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1.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d.docs.live.net/fa76dbc9b469103d/Printer Friendly Receipt Detail_files/psur-generator/data/input/"/>
    </mc:Choice>
  </mc:AlternateContent>
  <xr:revisionPtr revIDLastSave="33" documentId="13_ncr:1_{66755FA6-E614-418B-BB88-E5E54E211D8E}" xr6:coauthVersionLast="47" xr6:coauthVersionMax="47" xr10:uidLastSave="{9A333F08-40C1-4B47-8BC4-EF575E0D042B}"/>
  <bookViews>
    <workbookView xWindow="-98" yWindow="-98" windowWidth="22276" windowHeight="13276" firstSheet="8" activeTab="11" xr2:uid="{27167214-2DE3-4B08-8CD9-2BD2E13068A2}"/>
  </bookViews>
  <sheets>
    <sheet name="Config" sheetId="8" r:id="rId1"/>
    <sheet name="complaints" sheetId="1" r:id="rId2"/>
    <sheet name="Sales" sheetId="2" r:id="rId3"/>
    <sheet name="Harms table" sheetId="3" r:id="rId4"/>
    <sheet name="Section D - Incidents" sheetId="12" r:id="rId5"/>
    <sheet name="Section H - FSCA" sheetId="13" r:id="rId6"/>
    <sheet name="Section I - CAPA" sheetId="14" r:id="rId7"/>
    <sheet name="Codes" sheetId="4" r:id="rId8"/>
    <sheet name="Complaint Rate" sheetId="6" r:id="rId9"/>
    <sheet name="sales tables" sheetId="5" r:id="rId10"/>
    <sheet name="Dashboard" sheetId="10" r:id="rId11"/>
    <sheet name="Charts (Light Mode)" sheetId="15" r:id="rId12"/>
  </sheets>
  <definedNames>
    <definedName name="_xlnm._FilterDatabase" localSheetId="1" hidden="1">complaints!$A$1:$F$1</definedName>
    <definedName name="_ftn1" localSheetId="3">'Harms table'!#REF!</definedName>
    <definedName name="_ftn2" localSheetId="3">'Harms table'!#REF!</definedName>
    <definedName name="_ftn3" localSheetId="9">'sales tables'!$B$21</definedName>
    <definedName name="_ftn4" localSheetId="9">'sales tables'!$B$22</definedName>
    <definedName name="_ftn5" localSheetId="9">'sales tables'!$B$23</definedName>
    <definedName name="_ftnref1" localSheetId="3">'Harms table'!$I$6</definedName>
    <definedName name="_ftnref2" localSheetId="3">'Harms table'!$I$23</definedName>
    <definedName name="_ftnref4" localSheetId="9">'sales tables'!$B$12</definedName>
    <definedName name="_ftnref5" localSheetId="9">'sales tables'!$B$15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7" i="12" l="1"/>
  <c r="A37" i="12"/>
  <c r="A20" i="12"/>
  <c r="A5" i="12"/>
  <c r="B32" i="12" a="1"/>
  <c r="B32" i="12" s="1"/>
  <c r="E32" i="12" s="1" a="1"/>
  <c r="E32" i="12" s="1"/>
  <c r="B31" i="12" a="1"/>
  <c r="B31" i="12" s="1"/>
  <c r="E31" i="12" s="1" a="1"/>
  <c r="E31" i="12" s="1"/>
  <c r="B30" i="12" a="1"/>
  <c r="B30" i="12" s="1"/>
  <c r="E30" i="12" s="1" a="1"/>
  <c r="E30" i="12" s="1"/>
  <c r="B29" i="12" a="1"/>
  <c r="B29" i="12" s="1"/>
  <c r="E29" i="12" s="1" a="1"/>
  <c r="E29" i="12" s="1"/>
  <c r="B28" i="12" a="1"/>
  <c r="B28" i="12" s="1"/>
  <c r="E28" i="12" s="1" a="1"/>
  <c r="E28" i="12" s="1"/>
  <c r="B27" i="12" a="1"/>
  <c r="B27" i="12" s="1"/>
  <c r="B26" i="12" a="1"/>
  <c r="B26" i="12" s="1"/>
  <c r="C26" i="12" s="1"/>
  <c r="D26" i="12" s="1"/>
  <c r="B25" i="12" a="1"/>
  <c r="B25" i="12" s="1"/>
  <c r="B24" i="12" a="1"/>
  <c r="B24" i="12" s="1"/>
  <c r="E24" i="12" s="1" a="1"/>
  <c r="E24" i="12" s="1"/>
  <c r="B23" i="12" a="1"/>
  <c r="B23" i="12" s="1"/>
  <c r="B22" i="12" a="1"/>
  <c r="B22" i="12" s="1"/>
  <c r="C22" i="12" s="1"/>
  <c r="D22" i="12" s="1"/>
  <c r="B21" i="12" a="1"/>
  <c r="B21" i="12" s="1"/>
  <c r="C21" i="12" s="1"/>
  <c r="D21" i="12" s="1"/>
  <c r="B20" i="12" a="1"/>
  <c r="B20" i="12" s="1"/>
  <c r="C20" i="12" s="1"/>
  <c r="D20" i="12" s="1"/>
  <c r="E7" i="10"/>
  <c r="C7" i="10"/>
  <c r="C29" i="10" a="1"/>
  <c r="C29" i="10" s="1"/>
  <c r="D29" i="10" s="1"/>
  <c r="C30" i="10" a="1"/>
  <c r="C30" i="10" s="1"/>
  <c r="D30" i="10" s="1"/>
  <c r="C31" i="10" a="1"/>
  <c r="C31" i="10" s="1"/>
  <c r="D31" i="10" s="1"/>
  <c r="C32" i="10" a="1"/>
  <c r="C32" i="10" s="1"/>
  <c r="D32" i="10" s="1"/>
  <c r="C33" i="10" a="1"/>
  <c r="C33" i="10" s="1"/>
  <c r="D33" i="10" s="1"/>
  <c r="C34" i="10" a="1"/>
  <c r="C34" i="10" s="1"/>
  <c r="D34" i="10" s="1"/>
  <c r="C35" i="10" a="1"/>
  <c r="C35" i="10" s="1"/>
  <c r="D35" i="10" s="1"/>
  <c r="C6" i="10"/>
  <c r="D17" i="10" s="1"/>
  <c r="E17" i="10" s="1"/>
  <c r="B20" i="14"/>
  <c r="B19" i="14"/>
  <c r="B18" i="14"/>
  <c r="B17" i="14"/>
  <c r="B19" i="13"/>
  <c r="B18" i="13"/>
  <c r="B17" i="13"/>
  <c r="C32" i="8"/>
  <c r="C31" i="8"/>
  <c r="C27" i="8"/>
  <c r="E928" i="1" a="1"/>
  <c r="E928" i="1" s="1"/>
  <c r="E927" i="1" a="1"/>
  <c r="E927" i="1" s="1"/>
  <c r="E926" i="1"/>
  <c r="E926" i="1" a="1"/>
  <c r="E925" i="1" a="1"/>
  <c r="E925" i="1" s="1"/>
  <c r="E924" i="1"/>
  <c r="G924" i="1" s="1"/>
  <c r="E924" i="1" a="1"/>
  <c r="E923" i="1"/>
  <c r="E923" i="1" a="1"/>
  <c r="E922" i="1" a="1"/>
  <c r="E922" i="1" s="1"/>
  <c r="E921" i="1" a="1"/>
  <c r="E921" i="1" s="1"/>
  <c r="E920" i="1" a="1"/>
  <c r="E920" i="1" s="1"/>
  <c r="G920" i="1" s="1"/>
  <c r="E919" i="1" a="1"/>
  <c r="E919" i="1" s="1"/>
  <c r="G919" i="1" s="1"/>
  <c r="E918" i="1" a="1"/>
  <c r="E918" i="1" s="1"/>
  <c r="G918" i="1" s="1"/>
  <c r="E917" i="1" a="1"/>
  <c r="E917" i="1" s="1"/>
  <c r="G917" i="1" s="1"/>
  <c r="E916" i="1" a="1"/>
  <c r="E916" i="1" s="1"/>
  <c r="G916" i="1" s="1"/>
  <c r="E915" i="1" a="1"/>
  <c r="E915" i="1" s="1"/>
  <c r="G915" i="1" s="1"/>
  <c r="E914" i="1" a="1"/>
  <c r="E914" i="1" s="1"/>
  <c r="G914" i="1" s="1"/>
  <c r="E913" i="1" a="1"/>
  <c r="E913" i="1" s="1"/>
  <c r="G913" i="1" s="1"/>
  <c r="E912" i="1"/>
  <c r="G912" i="1" s="1"/>
  <c r="E912" i="1" a="1"/>
  <c r="E911" i="1"/>
  <c r="E911" i="1" a="1"/>
  <c r="E910" i="1" a="1"/>
  <c r="E910" i="1" s="1"/>
  <c r="E909" i="1"/>
  <c r="E909" i="1" a="1"/>
  <c r="E908" i="1"/>
  <c r="G908" i="1" s="1"/>
  <c r="E908" i="1" a="1"/>
  <c r="E907" i="1" a="1"/>
  <c r="E907" i="1" s="1"/>
  <c r="E906" i="1" a="1"/>
  <c r="E906" i="1" s="1"/>
  <c r="E905" i="1" a="1"/>
  <c r="E905" i="1" s="1"/>
  <c r="G905" i="1" s="1"/>
  <c r="E904" i="1" a="1"/>
  <c r="E904" i="1" s="1"/>
  <c r="G904" i="1" s="1"/>
  <c r="E903" i="1" a="1"/>
  <c r="E903" i="1" s="1"/>
  <c r="E902" i="1" a="1"/>
  <c r="E902" i="1" s="1"/>
  <c r="G902" i="1" s="1"/>
  <c r="E901" i="1" a="1"/>
  <c r="E901" i="1" s="1"/>
  <c r="G901" i="1" s="1"/>
  <c r="E900" i="1" a="1"/>
  <c r="E900" i="1" s="1"/>
  <c r="G900" i="1" s="1"/>
  <c r="E899" i="1" a="1"/>
  <c r="E899" i="1" s="1"/>
  <c r="E898" i="1" a="1"/>
  <c r="E898" i="1" s="1"/>
  <c r="G898" i="1" s="1"/>
  <c r="E897" i="1"/>
  <c r="G897" i="1" s="1"/>
  <c r="E897" i="1" a="1"/>
  <c r="E896" i="1"/>
  <c r="G896" i="1" s="1"/>
  <c r="E896" i="1" a="1"/>
  <c r="E895" i="1" a="1"/>
  <c r="E895" i="1" s="1"/>
  <c r="E894" i="1"/>
  <c r="E894" i="1" a="1"/>
  <c r="E893" i="1" a="1"/>
  <c r="E893" i="1" s="1"/>
  <c r="G893" i="1" s="1"/>
  <c r="E892" i="1" a="1"/>
  <c r="E892" i="1" s="1"/>
  <c r="E891" i="1" a="1"/>
  <c r="E891" i="1" s="1"/>
  <c r="E890" i="1" a="1"/>
  <c r="E890" i="1" s="1"/>
  <c r="E889" i="1" a="1"/>
  <c r="E889" i="1" s="1"/>
  <c r="E888" i="1"/>
  <c r="E888" i="1" a="1"/>
  <c r="E887" i="1" a="1"/>
  <c r="E887" i="1" s="1"/>
  <c r="G887" i="1" s="1"/>
  <c r="E886" i="1" a="1"/>
  <c r="E886" i="1" s="1"/>
  <c r="E885" i="1" a="1"/>
  <c r="E885" i="1" s="1"/>
  <c r="E884" i="1" a="1"/>
  <c r="E884" i="1" s="1"/>
  <c r="E883" i="1" a="1"/>
  <c r="E883" i="1" s="1"/>
  <c r="E882" i="1"/>
  <c r="E882" i="1" a="1"/>
  <c r="E881" i="1"/>
  <c r="G881" i="1" s="1"/>
  <c r="E881" i="1" a="1"/>
  <c r="E880" i="1" a="1"/>
  <c r="E880" i="1" s="1"/>
  <c r="G880" i="1" s="1"/>
  <c r="E879" i="1"/>
  <c r="G879" i="1" s="1"/>
  <c r="E879" i="1" a="1"/>
  <c r="E878" i="1"/>
  <c r="E878" i="1" a="1"/>
  <c r="E877" i="1" a="1"/>
  <c r="E877" i="1" s="1"/>
  <c r="G877" i="1" s="1"/>
  <c r="E876" i="1" a="1"/>
  <c r="E876" i="1" s="1"/>
  <c r="G876" i="1" s="1"/>
  <c r="E875" i="1" a="1"/>
  <c r="E875" i="1" s="1"/>
  <c r="G875" i="1" s="1"/>
  <c r="E874" i="1" a="1"/>
  <c r="E874" i="1" s="1"/>
  <c r="G874" i="1" s="1"/>
  <c r="E873" i="1" a="1"/>
  <c r="E873" i="1" s="1"/>
  <c r="G873" i="1" s="1"/>
  <c r="E872" i="1" a="1"/>
  <c r="E872" i="1" s="1"/>
  <c r="G872" i="1" s="1"/>
  <c r="E871" i="1" a="1"/>
  <c r="E871" i="1" s="1"/>
  <c r="G871" i="1" s="1"/>
  <c r="E870" i="1" a="1"/>
  <c r="E870" i="1" s="1"/>
  <c r="G870" i="1" s="1"/>
  <c r="E869" i="1" a="1"/>
  <c r="E869" i="1" s="1"/>
  <c r="G869" i="1" s="1"/>
  <c r="E868" i="1" a="1"/>
  <c r="E868" i="1" s="1"/>
  <c r="G868" i="1" s="1"/>
  <c r="E867" i="1"/>
  <c r="G867" i="1" s="1"/>
  <c r="E867" i="1" a="1"/>
  <c r="E866" i="1"/>
  <c r="G866" i="1" s="1"/>
  <c r="E866" i="1" a="1"/>
  <c r="E865" i="1" a="1"/>
  <c r="E865" i="1" s="1"/>
  <c r="G865" i="1" s="1"/>
  <c r="E864" i="1"/>
  <c r="G864" i="1" s="1"/>
  <c r="E864" i="1" a="1"/>
  <c r="E863" i="1"/>
  <c r="G863" i="1" s="1"/>
  <c r="E863" i="1" a="1"/>
  <c r="E862" i="1" a="1"/>
  <c r="E862" i="1" s="1"/>
  <c r="E861" i="1"/>
  <c r="E861" i="1" a="1"/>
  <c r="E860" i="1" a="1"/>
  <c r="E860" i="1" s="1"/>
  <c r="E859" i="1" a="1"/>
  <c r="E859" i="1" s="1"/>
  <c r="E858" i="1" a="1"/>
  <c r="E858" i="1" s="1"/>
  <c r="E857" i="1" a="1"/>
  <c r="E857" i="1" s="1"/>
  <c r="E856" i="1" a="1"/>
  <c r="E856" i="1" s="1"/>
  <c r="E855" i="1" a="1"/>
  <c r="E855" i="1" s="1"/>
  <c r="G855" i="1" s="1"/>
  <c r="E854" i="1"/>
  <c r="G854" i="1" s="1"/>
  <c r="E854" i="1" a="1"/>
  <c r="E853" i="1"/>
  <c r="G853" i="1" s="1"/>
  <c r="E853" i="1" a="1"/>
  <c r="E852" i="1"/>
  <c r="E852" i="1" a="1"/>
  <c r="E851" i="1"/>
  <c r="E851" i="1" a="1"/>
  <c r="E850" i="1" a="1"/>
  <c r="E850" i="1" s="1"/>
  <c r="G850" i="1" s="1"/>
  <c r="E849" i="1"/>
  <c r="G849" i="1" s="1"/>
  <c r="E849" i="1" a="1"/>
  <c r="E848" i="1"/>
  <c r="E848" i="1" a="1"/>
  <c r="E847" i="1" a="1"/>
  <c r="E847" i="1" s="1"/>
  <c r="E846" i="1"/>
  <c r="E846" i="1" a="1"/>
  <c r="E845" i="1"/>
  <c r="E845" i="1" a="1"/>
  <c r="E844" i="1" a="1"/>
  <c r="E844" i="1" s="1"/>
  <c r="E843" i="1" a="1"/>
  <c r="E843" i="1" s="1"/>
  <c r="E842" i="1" a="1"/>
  <c r="E842" i="1" s="1"/>
  <c r="G842" i="1" s="1"/>
  <c r="E841" i="1" a="1"/>
  <c r="E841" i="1" s="1"/>
  <c r="G841" i="1" s="1"/>
  <c r="E840" i="1" a="1"/>
  <c r="E840" i="1" s="1"/>
  <c r="G840" i="1" s="1"/>
  <c r="E839" i="1" a="1"/>
  <c r="E839" i="1" s="1"/>
  <c r="G839" i="1" s="1"/>
  <c r="E838" i="1"/>
  <c r="G838" i="1" s="1"/>
  <c r="E838" i="1" a="1"/>
  <c r="E837" i="1"/>
  <c r="G837" i="1" s="1"/>
  <c r="E837" i="1" a="1"/>
  <c r="E836" i="1"/>
  <c r="G836" i="1" s="1"/>
  <c r="E836" i="1" a="1"/>
  <c r="E835" i="1" a="1"/>
  <c r="E835" i="1" s="1"/>
  <c r="G835" i="1" s="1"/>
  <c r="E834" i="1"/>
  <c r="G834" i="1" s="1"/>
  <c r="E834" i="1" a="1"/>
  <c r="E833" i="1" a="1"/>
  <c r="E833" i="1" s="1"/>
  <c r="G833" i="1" s="1"/>
  <c r="E832" i="1" a="1"/>
  <c r="E832" i="1" s="1"/>
  <c r="E831" i="1" a="1"/>
  <c r="E831" i="1" s="1"/>
  <c r="G831" i="1" s="1"/>
  <c r="E830" i="1" a="1"/>
  <c r="E830" i="1" s="1"/>
  <c r="E829" i="1" a="1"/>
  <c r="E829" i="1" s="1"/>
  <c r="E828" i="1"/>
  <c r="E828" i="1" a="1"/>
  <c r="E827" i="1" a="1"/>
  <c r="E827" i="1" s="1"/>
  <c r="G827" i="1" s="1"/>
  <c r="E826" i="1" a="1"/>
  <c r="E826" i="1" s="1"/>
  <c r="G826" i="1" s="1"/>
  <c r="E825" i="1" a="1"/>
  <c r="E825" i="1" s="1"/>
  <c r="G825" i="1" s="1"/>
  <c r="E824" i="1" a="1"/>
  <c r="E824" i="1" s="1"/>
  <c r="G824" i="1" s="1"/>
  <c r="E823" i="1" a="1"/>
  <c r="E823" i="1" s="1"/>
  <c r="G823" i="1" s="1"/>
  <c r="E822" i="1"/>
  <c r="E822" i="1" a="1"/>
  <c r="E821" i="1"/>
  <c r="G821" i="1" s="1"/>
  <c r="E821" i="1" a="1"/>
  <c r="E820" i="1" a="1"/>
  <c r="E820" i="1" s="1"/>
  <c r="G820" i="1" s="1"/>
  <c r="E819" i="1"/>
  <c r="E819" i="1" a="1"/>
  <c r="E818" i="1" a="1"/>
  <c r="E818" i="1" s="1"/>
  <c r="G818" i="1" s="1"/>
  <c r="E817" i="1" a="1"/>
  <c r="E817" i="1" s="1"/>
  <c r="G817" i="1" s="1"/>
  <c r="E816" i="1" a="1"/>
  <c r="E816" i="1" s="1"/>
  <c r="E815" i="1" a="1"/>
  <c r="E815" i="1" s="1"/>
  <c r="E814" i="1"/>
  <c r="E814" i="1" a="1"/>
  <c r="E813" i="1" a="1"/>
  <c r="E813" i="1" s="1"/>
  <c r="E812" i="1"/>
  <c r="E812" i="1" a="1"/>
  <c r="E811" i="1" a="1"/>
  <c r="E811" i="1" s="1"/>
  <c r="G811" i="1" s="1"/>
  <c r="E810" i="1" a="1"/>
  <c r="E810" i="1" s="1"/>
  <c r="G810" i="1" s="1"/>
  <c r="E809" i="1" a="1"/>
  <c r="E809" i="1" s="1"/>
  <c r="E808" i="1" a="1"/>
  <c r="E808" i="1" s="1"/>
  <c r="G808" i="1" s="1"/>
  <c r="E807" i="1"/>
  <c r="G807" i="1" s="1"/>
  <c r="E807" i="1" a="1"/>
  <c r="E806" i="1"/>
  <c r="G806" i="1" s="1"/>
  <c r="E806" i="1" a="1"/>
  <c r="E805" i="1" a="1"/>
  <c r="E805" i="1" s="1"/>
  <c r="G805" i="1" s="1"/>
  <c r="E804" i="1"/>
  <c r="G804" i="1" s="1"/>
  <c r="E804" i="1" a="1"/>
  <c r="E803" i="1" a="1"/>
  <c r="E803" i="1" s="1"/>
  <c r="E802" i="1" a="1"/>
  <c r="E802" i="1" s="1"/>
  <c r="E801" i="1" a="1"/>
  <c r="E801" i="1" s="1"/>
  <c r="E800" i="1"/>
  <c r="E800" i="1" a="1"/>
  <c r="E799" i="1" a="1"/>
  <c r="E799" i="1" s="1"/>
  <c r="G799" i="1" s="1"/>
  <c r="E798" i="1"/>
  <c r="E798" i="1" a="1"/>
  <c r="E797" i="1"/>
  <c r="E797" i="1" a="1"/>
  <c r="E796" i="1" a="1"/>
  <c r="E796" i="1" s="1"/>
  <c r="E795" i="1"/>
  <c r="E795" i="1" a="1"/>
  <c r="E794" i="1"/>
  <c r="E794" i="1" a="1"/>
  <c r="E793" i="1" a="1"/>
  <c r="E793" i="1" s="1"/>
  <c r="G793" i="1" s="1"/>
  <c r="E792" i="1"/>
  <c r="G792" i="1" s="1"/>
  <c r="E792" i="1" a="1"/>
  <c r="E791" i="1"/>
  <c r="G791" i="1" s="1"/>
  <c r="E791" i="1" a="1"/>
  <c r="E790" i="1" a="1"/>
  <c r="E790" i="1" s="1"/>
  <c r="G790" i="1" s="1"/>
  <c r="E789" i="1"/>
  <c r="G789" i="1" s="1"/>
  <c r="E789" i="1" a="1"/>
  <c r="E788" i="1" a="1"/>
  <c r="E788" i="1" s="1"/>
  <c r="E787" i="1" a="1"/>
  <c r="E787" i="1" s="1"/>
  <c r="E786" i="1" a="1"/>
  <c r="E786" i="1" s="1"/>
  <c r="E785" i="1" a="1"/>
  <c r="E785" i="1" s="1"/>
  <c r="G785" i="1" s="1"/>
  <c r="E784" i="1" a="1"/>
  <c r="E784" i="1" s="1"/>
  <c r="G784" i="1" s="1"/>
  <c r="E783" i="1"/>
  <c r="G783" i="1" s="1"/>
  <c r="E783" i="1" a="1"/>
  <c r="E782" i="1"/>
  <c r="G782" i="1" s="1"/>
  <c r="E782" i="1" a="1"/>
  <c r="E781" i="1"/>
  <c r="G781" i="1" s="1"/>
  <c r="E781" i="1" a="1"/>
  <c r="E780" i="1" a="1"/>
  <c r="E780" i="1" s="1"/>
  <c r="G780" i="1" s="1"/>
  <c r="E779" i="1"/>
  <c r="E779" i="1" a="1"/>
  <c r="E778" i="1"/>
  <c r="G778" i="1" s="1"/>
  <c r="E778" i="1" a="1"/>
  <c r="E777" i="1"/>
  <c r="E777" i="1" a="1"/>
  <c r="E776" i="1"/>
  <c r="G776" i="1" s="1"/>
  <c r="E776" i="1" a="1"/>
  <c r="E775" i="1" a="1"/>
  <c r="E775" i="1" s="1"/>
  <c r="G775" i="1" s="1"/>
  <c r="E774" i="1" a="1"/>
  <c r="E774" i="1" s="1"/>
  <c r="G774" i="1" s="1"/>
  <c r="E773" i="1" a="1"/>
  <c r="E773" i="1" s="1"/>
  <c r="E772" i="1" a="1"/>
  <c r="E772" i="1" s="1"/>
  <c r="G772" i="1" s="1"/>
  <c r="E771" i="1" a="1"/>
  <c r="E771" i="1" s="1"/>
  <c r="E770" i="1"/>
  <c r="G770" i="1" s="1"/>
  <c r="E770" i="1" a="1"/>
  <c r="E769" i="1" a="1"/>
  <c r="E769" i="1" s="1"/>
  <c r="G769" i="1" s="1"/>
  <c r="E768" i="1" a="1"/>
  <c r="E768" i="1" s="1"/>
  <c r="G768" i="1" s="1"/>
  <c r="E767" i="1" a="1"/>
  <c r="E767" i="1" s="1"/>
  <c r="G767" i="1" s="1"/>
  <c r="E766" i="1"/>
  <c r="E766" i="1" a="1"/>
  <c r="E765" i="1"/>
  <c r="G765" i="1" s="1"/>
  <c r="E765" i="1" a="1"/>
  <c r="E764" i="1" a="1"/>
  <c r="E764" i="1" s="1"/>
  <c r="E763" i="1"/>
  <c r="E763" i="1" a="1"/>
  <c r="E762" i="1"/>
  <c r="G762" i="1" s="1"/>
  <c r="E762" i="1" a="1"/>
  <c r="E761" i="1"/>
  <c r="E761" i="1" a="1"/>
  <c r="E760" i="1" a="1"/>
  <c r="E760" i="1" s="1"/>
  <c r="E759" i="1" a="1"/>
  <c r="E759" i="1" s="1"/>
  <c r="E758" i="1"/>
  <c r="E758" i="1" a="1"/>
  <c r="E757" i="1" a="1"/>
  <c r="E757" i="1" s="1"/>
  <c r="G757" i="1" s="1"/>
  <c r="E756" i="1" a="1"/>
  <c r="E756" i="1" s="1"/>
  <c r="G756" i="1" s="1"/>
  <c r="E755" i="1" a="1"/>
  <c r="E755" i="1" s="1"/>
  <c r="G755" i="1" s="1"/>
  <c r="E754" i="1" a="1"/>
  <c r="E754" i="1" s="1"/>
  <c r="G754" i="1" s="1"/>
  <c r="E753" i="1" a="1"/>
  <c r="E753" i="1" s="1"/>
  <c r="G753" i="1" s="1"/>
  <c r="E752" i="1" a="1"/>
  <c r="E752" i="1" s="1"/>
  <c r="G752" i="1" s="1"/>
  <c r="E751" i="1"/>
  <c r="G751" i="1" s="1"/>
  <c r="E751" i="1" a="1"/>
  <c r="E750" i="1" a="1"/>
  <c r="E750" i="1" s="1"/>
  <c r="G750" i="1" s="1"/>
  <c r="E749" i="1"/>
  <c r="E749" i="1" a="1"/>
  <c r="E748" i="1" a="1"/>
  <c r="E748" i="1" s="1"/>
  <c r="G748" i="1" s="1"/>
  <c r="E747" i="1"/>
  <c r="E747" i="1" a="1"/>
  <c r="E746" i="1" a="1"/>
  <c r="E746" i="1" s="1"/>
  <c r="E745" i="1" a="1"/>
  <c r="E745" i="1" s="1"/>
  <c r="E744" i="1" a="1"/>
  <c r="E744" i="1" s="1"/>
  <c r="E743" i="1"/>
  <c r="E743" i="1" a="1"/>
  <c r="E742" i="1" a="1"/>
  <c r="E742" i="1" s="1"/>
  <c r="G742" i="1" s="1"/>
  <c r="E741" i="1" a="1"/>
  <c r="E741" i="1" s="1"/>
  <c r="E740" i="1"/>
  <c r="E740" i="1" a="1"/>
  <c r="E739" i="1" a="1"/>
  <c r="E739" i="1" s="1"/>
  <c r="E738" i="1" a="1"/>
  <c r="E738" i="1" s="1"/>
  <c r="E737" i="1" a="1"/>
  <c r="E737" i="1" s="1"/>
  <c r="G737" i="1" s="1"/>
  <c r="E736" i="1"/>
  <c r="G736" i="1" s="1"/>
  <c r="E736" i="1" a="1"/>
  <c r="E735" i="1" a="1"/>
  <c r="E735" i="1" s="1"/>
  <c r="G735" i="1" s="1"/>
  <c r="E734" i="1" a="1"/>
  <c r="E734" i="1" s="1"/>
  <c r="G734" i="1" s="1"/>
  <c r="E733" i="1"/>
  <c r="G733" i="1" s="1"/>
  <c r="E733" i="1" a="1"/>
  <c r="E732" i="1" a="1"/>
  <c r="E732" i="1" s="1"/>
  <c r="E731" i="1" a="1"/>
  <c r="E731" i="1" s="1"/>
  <c r="E730" i="1"/>
  <c r="E730" i="1" a="1"/>
  <c r="E729" i="1" a="1"/>
  <c r="E729" i="1" s="1"/>
  <c r="E728" i="1"/>
  <c r="E728" i="1" a="1"/>
  <c r="E727" i="1" a="1"/>
  <c r="E727" i="1" s="1"/>
  <c r="E726" i="1" a="1"/>
  <c r="E726" i="1" s="1"/>
  <c r="E725" i="1"/>
  <c r="E725" i="1" a="1"/>
  <c r="E724" i="1" a="1"/>
  <c r="E724" i="1" s="1"/>
  <c r="G724" i="1" s="1"/>
  <c r="E723" i="1" a="1"/>
  <c r="E723" i="1" s="1"/>
  <c r="E722" i="1" a="1"/>
  <c r="E722" i="1" s="1"/>
  <c r="G722" i="1" s="1"/>
  <c r="E721" i="1" a="1"/>
  <c r="E721" i="1" s="1"/>
  <c r="G721" i="1" s="1"/>
  <c r="E720" i="1" a="1"/>
  <c r="E720" i="1" s="1"/>
  <c r="G720" i="1" s="1"/>
  <c r="E719" i="1"/>
  <c r="G719" i="1" s="1"/>
  <c r="E719" i="1" a="1"/>
  <c r="E718" i="1" a="1"/>
  <c r="E718" i="1" s="1"/>
  <c r="G718" i="1" s="1"/>
  <c r="E717" i="1" a="1"/>
  <c r="E717" i="1" s="1"/>
  <c r="E716" i="1"/>
  <c r="E716" i="1" a="1"/>
  <c r="E715" i="1"/>
  <c r="E715" i="1" a="1"/>
  <c r="E714" i="1" a="1"/>
  <c r="E714" i="1" s="1"/>
  <c r="E713" i="1"/>
  <c r="E713" i="1" a="1"/>
  <c r="E712" i="1" a="1"/>
  <c r="E712" i="1" s="1"/>
  <c r="G712" i="1" s="1"/>
  <c r="E711" i="1" a="1"/>
  <c r="E711" i="1" s="1"/>
  <c r="G711" i="1" s="1"/>
  <c r="E710" i="1"/>
  <c r="G710" i="1" s="1"/>
  <c r="E710" i="1" a="1"/>
  <c r="E709" i="1"/>
  <c r="G709" i="1" s="1"/>
  <c r="E709" i="1" a="1"/>
  <c r="E708" i="1"/>
  <c r="E708" i="1" a="1"/>
  <c r="E707" i="1" a="1"/>
  <c r="E707" i="1" s="1"/>
  <c r="E706" i="1" a="1"/>
  <c r="E706" i="1" s="1"/>
  <c r="E705" i="1" a="1"/>
  <c r="E705" i="1" s="1"/>
  <c r="E704" i="1" a="1"/>
  <c r="E704" i="1" s="1"/>
  <c r="G704" i="1" s="1"/>
  <c r="E703" i="1" a="1"/>
  <c r="E703" i="1" s="1"/>
  <c r="G703" i="1" s="1"/>
  <c r="E702" i="1" a="1"/>
  <c r="E702" i="1" s="1"/>
  <c r="G702" i="1" s="1"/>
  <c r="E701" i="1"/>
  <c r="E701" i="1" a="1"/>
  <c r="E700" i="1"/>
  <c r="E700" i="1" a="1"/>
  <c r="E699" i="1" a="1"/>
  <c r="E699" i="1" s="1"/>
  <c r="E698" i="1"/>
  <c r="G698" i="1" s="1"/>
  <c r="E698" i="1" a="1"/>
  <c r="E697" i="1"/>
  <c r="E697" i="1" a="1"/>
  <c r="E696" i="1" a="1"/>
  <c r="E696" i="1" s="1"/>
  <c r="E695" i="1" a="1"/>
  <c r="E695" i="1" s="1"/>
  <c r="E694" i="1" a="1"/>
  <c r="E694" i="1" s="1"/>
  <c r="G694" i="1" s="1"/>
  <c r="E693" i="1"/>
  <c r="E693" i="1" a="1"/>
  <c r="E692" i="1"/>
  <c r="G692" i="1" s="1"/>
  <c r="E692" i="1" a="1"/>
  <c r="E691" i="1" a="1"/>
  <c r="E691" i="1" s="1"/>
  <c r="G691" i="1" s="1"/>
  <c r="E690" i="1" a="1"/>
  <c r="E690" i="1" s="1"/>
  <c r="G690" i="1" s="1"/>
  <c r="E689" i="1" a="1"/>
  <c r="E689" i="1" s="1"/>
  <c r="E688" i="1" a="1"/>
  <c r="E688" i="1" s="1"/>
  <c r="G688" i="1" s="1"/>
  <c r="E687" i="1" a="1"/>
  <c r="E687" i="1" s="1"/>
  <c r="G687" i="1" s="1"/>
  <c r="E686" i="1"/>
  <c r="G686" i="1" s="1"/>
  <c r="E686" i="1" a="1"/>
  <c r="E685" i="1"/>
  <c r="G685" i="1" s="1"/>
  <c r="E685" i="1" a="1"/>
  <c r="E684" i="1" a="1"/>
  <c r="E684" i="1" s="1"/>
  <c r="E683" i="1" a="1"/>
  <c r="E683" i="1" s="1"/>
  <c r="E682" i="1"/>
  <c r="E682" i="1" a="1"/>
  <c r="E681" i="1" a="1"/>
  <c r="E681" i="1" s="1"/>
  <c r="G681" i="1" s="1"/>
  <c r="E680" i="1" a="1"/>
  <c r="E680" i="1" s="1"/>
  <c r="G680" i="1" s="1"/>
  <c r="E679" i="1" a="1"/>
  <c r="E679" i="1" s="1"/>
  <c r="G679" i="1" s="1"/>
  <c r="E678" i="1"/>
  <c r="G678" i="1" s="1"/>
  <c r="E678" i="1" a="1"/>
  <c r="E677" i="1" a="1"/>
  <c r="E677" i="1" s="1"/>
  <c r="G677" i="1" s="1"/>
  <c r="E676" i="1" a="1"/>
  <c r="E676" i="1" s="1"/>
  <c r="G676" i="1" s="1"/>
  <c r="E675" i="1" a="1"/>
  <c r="E675" i="1" s="1"/>
  <c r="G675" i="1" s="1"/>
  <c r="E674" i="1" a="1"/>
  <c r="E674" i="1" s="1"/>
  <c r="G674" i="1" s="1"/>
  <c r="E673" i="1" a="1"/>
  <c r="E673" i="1" s="1"/>
  <c r="G673" i="1" s="1"/>
  <c r="E672" i="1" a="1"/>
  <c r="E672" i="1" s="1"/>
  <c r="G672" i="1" s="1"/>
  <c r="E671" i="1"/>
  <c r="E671" i="1" a="1"/>
  <c r="E670" i="1" a="1"/>
  <c r="E670" i="1" s="1"/>
  <c r="G670" i="1" s="1"/>
  <c r="E669" i="1" a="1"/>
  <c r="E669" i="1" s="1"/>
  <c r="E668" i="1"/>
  <c r="E668" i="1" a="1"/>
  <c r="E667" i="1" a="1"/>
  <c r="E667" i="1" s="1"/>
  <c r="G667" i="1" s="1"/>
  <c r="E666" i="1" a="1"/>
  <c r="E666" i="1" s="1"/>
  <c r="E665" i="1" a="1"/>
  <c r="E665" i="1" s="1"/>
  <c r="E664" i="1" a="1"/>
  <c r="E664" i="1" s="1"/>
  <c r="G664" i="1" s="1"/>
  <c r="E663" i="1" a="1"/>
  <c r="E663" i="1" s="1"/>
  <c r="E662" i="1" a="1"/>
  <c r="E662" i="1" s="1"/>
  <c r="G662" i="1" s="1"/>
  <c r="E661" i="1" a="1"/>
  <c r="E661" i="1" s="1"/>
  <c r="G661" i="1" s="1"/>
  <c r="E660" i="1" a="1"/>
  <c r="E660" i="1" s="1"/>
  <c r="G660" i="1" s="1"/>
  <c r="E659" i="1" a="1"/>
  <c r="E659" i="1" s="1"/>
  <c r="G659" i="1" s="1"/>
  <c r="E658" i="1" a="1"/>
  <c r="E658" i="1" s="1"/>
  <c r="G658" i="1" s="1"/>
  <c r="E657" i="1" a="1"/>
  <c r="E657" i="1" s="1"/>
  <c r="G657" i="1" s="1"/>
  <c r="E656" i="1"/>
  <c r="G656" i="1" s="1"/>
  <c r="E656" i="1" a="1"/>
  <c r="E655" i="1"/>
  <c r="G655" i="1" s="1"/>
  <c r="E655" i="1" a="1"/>
  <c r="E654" i="1" a="1"/>
  <c r="E654" i="1" s="1"/>
  <c r="G654" i="1" s="1"/>
  <c r="E653" i="1"/>
  <c r="G653" i="1" s="1"/>
  <c r="E653" i="1" a="1"/>
  <c r="E652" i="1"/>
  <c r="E652" i="1" a="1"/>
  <c r="E651" i="1" a="1"/>
  <c r="E651" i="1" s="1"/>
  <c r="E650" i="1" a="1"/>
  <c r="E650" i="1" s="1"/>
  <c r="E649" i="1" a="1"/>
  <c r="E649" i="1" s="1"/>
  <c r="E648" i="1" a="1"/>
  <c r="E648" i="1" s="1"/>
  <c r="E647" i="1" a="1"/>
  <c r="E647" i="1" s="1"/>
  <c r="E646" i="1" a="1"/>
  <c r="E646" i="1" s="1"/>
  <c r="G646" i="1" s="1"/>
  <c r="E645" i="1"/>
  <c r="G645" i="1" s="1"/>
  <c r="E645" i="1" a="1"/>
  <c r="E644" i="1"/>
  <c r="E644" i="1" a="1"/>
  <c r="E643" i="1" a="1"/>
  <c r="E643" i="1" s="1"/>
  <c r="E642" i="1" a="1"/>
  <c r="E642" i="1" s="1"/>
  <c r="E641" i="1"/>
  <c r="G641" i="1" s="1"/>
  <c r="E641" i="1" a="1"/>
  <c r="E640" i="1"/>
  <c r="G640" i="1" s="1"/>
  <c r="E640" i="1" a="1"/>
  <c r="E639" i="1" a="1"/>
  <c r="E639" i="1" s="1"/>
  <c r="G639" i="1" s="1"/>
  <c r="E638" i="1" a="1"/>
  <c r="E638" i="1" s="1"/>
  <c r="G638" i="1" s="1"/>
  <c r="E637" i="1"/>
  <c r="G637" i="1" s="1"/>
  <c r="E637" i="1" a="1"/>
  <c r="E636" i="1" a="1"/>
  <c r="E636" i="1" s="1"/>
  <c r="E635" i="1"/>
  <c r="E635" i="1" a="1"/>
  <c r="E634" i="1" a="1"/>
  <c r="E634" i="1" s="1"/>
  <c r="E633" i="1" a="1"/>
  <c r="E633" i="1" s="1"/>
  <c r="E632" i="1" a="1"/>
  <c r="E632" i="1" s="1"/>
  <c r="G632" i="1" s="1"/>
  <c r="E631" i="1" a="1"/>
  <c r="E631" i="1" s="1"/>
  <c r="G631" i="1" s="1"/>
  <c r="E630" i="1" a="1"/>
  <c r="E630" i="1" s="1"/>
  <c r="G630" i="1" s="1"/>
  <c r="E629" i="1" a="1"/>
  <c r="E629" i="1" s="1"/>
  <c r="G629" i="1" s="1"/>
  <c r="E628" i="1" a="1"/>
  <c r="E628" i="1" s="1"/>
  <c r="G628" i="1" s="1"/>
  <c r="E627" i="1" a="1"/>
  <c r="E627" i="1" s="1"/>
  <c r="G627" i="1" s="1"/>
  <c r="E626" i="1" a="1"/>
  <c r="E626" i="1" s="1"/>
  <c r="G626" i="1" s="1"/>
  <c r="E625" i="1" a="1"/>
  <c r="E625" i="1" s="1"/>
  <c r="G625" i="1" s="1"/>
  <c r="E624" i="1" a="1"/>
  <c r="E624" i="1" s="1"/>
  <c r="G624" i="1" s="1"/>
  <c r="E623" i="1" a="1"/>
  <c r="E623" i="1" s="1"/>
  <c r="G623" i="1" s="1"/>
  <c r="E622" i="1" a="1"/>
  <c r="E622" i="1" s="1"/>
  <c r="G622" i="1" s="1"/>
  <c r="E621" i="1" a="1"/>
  <c r="E621" i="1" s="1"/>
  <c r="G621" i="1" s="1"/>
  <c r="E620" i="1" a="1"/>
  <c r="E620" i="1" s="1"/>
  <c r="G620" i="1" s="1"/>
  <c r="E619" i="1" a="1"/>
  <c r="E619" i="1" s="1"/>
  <c r="E618" i="1" a="1"/>
  <c r="E618" i="1" s="1"/>
  <c r="G618" i="1" s="1"/>
  <c r="E617" i="1" a="1"/>
  <c r="E617" i="1" s="1"/>
  <c r="G617" i="1" s="1"/>
  <c r="E616" i="1" a="1"/>
  <c r="E616" i="1" s="1"/>
  <c r="G616" i="1" s="1"/>
  <c r="E615" i="1" a="1"/>
  <c r="E615" i="1" s="1"/>
  <c r="G615" i="1" s="1"/>
  <c r="E614" i="1" a="1"/>
  <c r="E614" i="1" s="1"/>
  <c r="G614" i="1" s="1"/>
  <c r="E613" i="1" a="1"/>
  <c r="E613" i="1" s="1"/>
  <c r="G613" i="1" s="1"/>
  <c r="E612" i="1" a="1"/>
  <c r="E612" i="1" s="1"/>
  <c r="G612" i="1" s="1"/>
  <c r="E611" i="1" a="1"/>
  <c r="E611" i="1" s="1"/>
  <c r="G611" i="1" s="1"/>
  <c r="E610" i="1" a="1"/>
  <c r="E610" i="1" s="1"/>
  <c r="G610" i="1" s="1"/>
  <c r="E609" i="1" a="1"/>
  <c r="E609" i="1" s="1"/>
  <c r="G609" i="1" s="1"/>
  <c r="E608" i="1" a="1"/>
  <c r="E608" i="1" s="1"/>
  <c r="G608" i="1" s="1"/>
  <c r="E607" i="1" a="1"/>
  <c r="E607" i="1" s="1"/>
  <c r="G607" i="1" s="1"/>
  <c r="E606" i="1" a="1"/>
  <c r="E606" i="1" s="1"/>
  <c r="G606" i="1" s="1"/>
  <c r="E605" i="1" a="1"/>
  <c r="E605" i="1" s="1"/>
  <c r="E604" i="1" a="1"/>
  <c r="E604" i="1" s="1"/>
  <c r="G604" i="1" s="1"/>
  <c r="E603" i="1" a="1"/>
  <c r="E603" i="1" s="1"/>
  <c r="G603" i="1" s="1"/>
  <c r="E602" i="1" a="1"/>
  <c r="E602" i="1" s="1"/>
  <c r="G602" i="1" s="1"/>
  <c r="E601" i="1" a="1"/>
  <c r="E601" i="1" s="1"/>
  <c r="G601" i="1" s="1"/>
  <c r="E600" i="1" a="1"/>
  <c r="E600" i="1" s="1"/>
  <c r="G600" i="1" s="1"/>
  <c r="E599" i="1" a="1"/>
  <c r="E599" i="1" s="1"/>
  <c r="G599" i="1" s="1"/>
  <c r="E598" i="1" a="1"/>
  <c r="E598" i="1" s="1"/>
  <c r="G598" i="1" s="1"/>
  <c r="E597" i="1" a="1"/>
  <c r="E597" i="1" s="1"/>
  <c r="G597" i="1" s="1"/>
  <c r="E596" i="1" a="1"/>
  <c r="E596" i="1" s="1"/>
  <c r="G596" i="1" s="1"/>
  <c r="E595" i="1" a="1"/>
  <c r="E595" i="1" s="1"/>
  <c r="G595" i="1" s="1"/>
  <c r="E594" i="1" a="1"/>
  <c r="E594" i="1" s="1"/>
  <c r="G594" i="1" s="1"/>
  <c r="E593" i="1" a="1"/>
  <c r="E593" i="1" s="1"/>
  <c r="G593" i="1" s="1"/>
  <c r="E592" i="1" a="1"/>
  <c r="E592" i="1" s="1"/>
  <c r="G592" i="1" s="1"/>
  <c r="E591" i="1" a="1"/>
  <c r="E591" i="1" s="1"/>
  <c r="G591" i="1" s="1"/>
  <c r="E590" i="1" a="1"/>
  <c r="E590" i="1" s="1"/>
  <c r="G590" i="1" s="1"/>
  <c r="E589" i="1" a="1"/>
  <c r="E589" i="1" s="1"/>
  <c r="G589" i="1" s="1"/>
  <c r="E588" i="1" a="1"/>
  <c r="E588" i="1" s="1"/>
  <c r="G588" i="1" s="1"/>
  <c r="E587" i="1" a="1"/>
  <c r="E587" i="1" s="1"/>
  <c r="G587" i="1" s="1"/>
  <c r="E586" i="1" a="1"/>
  <c r="E586" i="1" s="1"/>
  <c r="G586" i="1" s="1"/>
  <c r="E585" i="1" a="1"/>
  <c r="E585" i="1" s="1"/>
  <c r="G585" i="1" s="1"/>
  <c r="E584" i="1" a="1"/>
  <c r="E584" i="1" s="1"/>
  <c r="G584" i="1" s="1"/>
  <c r="E583" i="1" a="1"/>
  <c r="E583" i="1" s="1"/>
  <c r="G583" i="1" s="1"/>
  <c r="E582" i="1" a="1"/>
  <c r="E582" i="1" s="1"/>
  <c r="G582" i="1" s="1"/>
  <c r="E581" i="1" a="1"/>
  <c r="E581" i="1" s="1"/>
  <c r="G581" i="1" s="1"/>
  <c r="E580" i="1" a="1"/>
  <c r="E580" i="1" s="1"/>
  <c r="G580" i="1" s="1"/>
  <c r="E579" i="1" a="1"/>
  <c r="E579" i="1" s="1"/>
  <c r="G579" i="1" s="1"/>
  <c r="E578" i="1" a="1"/>
  <c r="E578" i="1" s="1"/>
  <c r="G578" i="1" s="1"/>
  <c r="E577" i="1" a="1"/>
  <c r="E577" i="1" s="1"/>
  <c r="E576" i="1" a="1"/>
  <c r="E576" i="1" s="1"/>
  <c r="G576" i="1" s="1"/>
  <c r="E575" i="1" a="1"/>
  <c r="E575" i="1" s="1"/>
  <c r="G575" i="1" s="1"/>
  <c r="E574" i="1" a="1"/>
  <c r="E574" i="1" s="1"/>
  <c r="G574" i="1" s="1"/>
  <c r="E573" i="1" a="1"/>
  <c r="E573" i="1" s="1"/>
  <c r="G573" i="1" s="1"/>
  <c r="E572" i="1" a="1"/>
  <c r="E572" i="1" s="1"/>
  <c r="G572" i="1" s="1"/>
  <c r="E571" i="1" a="1"/>
  <c r="E571" i="1" s="1"/>
  <c r="G571" i="1" s="1"/>
  <c r="E570" i="1" a="1"/>
  <c r="E570" i="1" s="1"/>
  <c r="G570" i="1" s="1"/>
  <c r="E569" i="1" a="1"/>
  <c r="E569" i="1" s="1"/>
  <c r="G569" i="1" s="1"/>
  <c r="E568" i="1" a="1"/>
  <c r="E568" i="1" s="1"/>
  <c r="G568" i="1" s="1"/>
  <c r="E567" i="1" a="1"/>
  <c r="E567" i="1" s="1"/>
  <c r="G567" i="1" s="1"/>
  <c r="E566" i="1" a="1"/>
  <c r="E566" i="1" s="1"/>
  <c r="G566" i="1" s="1"/>
  <c r="E565" i="1" a="1"/>
  <c r="E565" i="1" s="1"/>
  <c r="G565" i="1" s="1"/>
  <c r="E564" i="1" a="1"/>
  <c r="E564" i="1" s="1"/>
  <c r="E563" i="1" a="1"/>
  <c r="E563" i="1" s="1"/>
  <c r="G563" i="1" s="1"/>
  <c r="E562" i="1"/>
  <c r="E562" i="1" a="1"/>
  <c r="E561" i="1" a="1"/>
  <c r="E561" i="1" s="1"/>
  <c r="G561" i="1" s="1"/>
  <c r="E560" i="1" a="1"/>
  <c r="E560" i="1" s="1"/>
  <c r="E559" i="1" a="1"/>
  <c r="E559" i="1" s="1"/>
  <c r="G559" i="1" s="1"/>
  <c r="E558" i="1" a="1"/>
  <c r="E558" i="1" s="1"/>
  <c r="E557" i="1" a="1"/>
  <c r="E557" i="1" s="1"/>
  <c r="G557" i="1" s="1"/>
  <c r="E556" i="1" a="1"/>
  <c r="E556" i="1" s="1"/>
  <c r="G556" i="1" s="1"/>
  <c r="E555" i="1" a="1"/>
  <c r="E555" i="1" s="1"/>
  <c r="G555" i="1" s="1"/>
  <c r="E554" i="1" a="1"/>
  <c r="E554" i="1" s="1"/>
  <c r="G554" i="1" s="1"/>
  <c r="E553" i="1" a="1"/>
  <c r="E553" i="1" s="1"/>
  <c r="G553" i="1" s="1"/>
  <c r="E552" i="1" a="1"/>
  <c r="E552" i="1" s="1"/>
  <c r="G552" i="1" s="1"/>
  <c r="E551" i="1" a="1"/>
  <c r="E551" i="1" s="1"/>
  <c r="G551" i="1" s="1"/>
  <c r="E550" i="1" a="1"/>
  <c r="E550" i="1" s="1"/>
  <c r="G550" i="1" s="1"/>
  <c r="E549" i="1" a="1"/>
  <c r="E549" i="1" s="1"/>
  <c r="G549" i="1" s="1"/>
  <c r="E548" i="1" a="1"/>
  <c r="E548" i="1" s="1"/>
  <c r="G548" i="1" s="1"/>
  <c r="E547" i="1" a="1"/>
  <c r="E547" i="1" s="1"/>
  <c r="G547" i="1" s="1"/>
  <c r="E546" i="1" a="1"/>
  <c r="E546" i="1" s="1"/>
  <c r="G546" i="1" s="1"/>
  <c r="E545" i="1" a="1"/>
  <c r="E545" i="1" s="1"/>
  <c r="G545" i="1" s="1"/>
  <c r="E544" i="1" a="1"/>
  <c r="E544" i="1" s="1"/>
  <c r="G544" i="1" s="1"/>
  <c r="E543" i="1" a="1"/>
  <c r="E543" i="1" s="1"/>
  <c r="G543" i="1" s="1"/>
  <c r="E542" i="1" a="1"/>
  <c r="E542" i="1" s="1"/>
  <c r="G542" i="1" s="1"/>
  <c r="E541" i="1" a="1"/>
  <c r="E541" i="1" s="1"/>
  <c r="G541" i="1" s="1"/>
  <c r="E540" i="1" a="1"/>
  <c r="E540" i="1" s="1"/>
  <c r="G540" i="1" s="1"/>
  <c r="E539" i="1" a="1"/>
  <c r="E539" i="1" s="1"/>
  <c r="G539" i="1" s="1"/>
  <c r="E538" i="1" a="1"/>
  <c r="E538" i="1" s="1"/>
  <c r="G538" i="1" s="1"/>
  <c r="E537" i="1" a="1"/>
  <c r="E537" i="1" s="1"/>
  <c r="G537" i="1" s="1"/>
  <c r="E536" i="1" a="1"/>
  <c r="E536" i="1" s="1"/>
  <c r="E535" i="1" a="1"/>
  <c r="E535" i="1" s="1"/>
  <c r="E534" i="1" a="1"/>
  <c r="E534" i="1" s="1"/>
  <c r="G534" i="1" s="1"/>
  <c r="E533" i="1" a="1"/>
  <c r="E533" i="1" s="1"/>
  <c r="G533" i="1" s="1"/>
  <c r="E532" i="1" a="1"/>
  <c r="E532" i="1" s="1"/>
  <c r="G532" i="1" s="1"/>
  <c r="E531" i="1" a="1"/>
  <c r="E531" i="1" s="1"/>
  <c r="G531" i="1" s="1"/>
  <c r="E530" i="1" a="1"/>
  <c r="E530" i="1" s="1"/>
  <c r="G530" i="1" s="1"/>
  <c r="E529" i="1" a="1"/>
  <c r="E529" i="1" s="1"/>
  <c r="G529" i="1" s="1"/>
  <c r="E528" i="1" a="1"/>
  <c r="E528" i="1" s="1"/>
  <c r="G528" i="1" s="1"/>
  <c r="E527" i="1" a="1"/>
  <c r="E527" i="1" s="1"/>
  <c r="G527" i="1" s="1"/>
  <c r="E526" i="1" a="1"/>
  <c r="E526" i="1" s="1"/>
  <c r="G526" i="1" s="1"/>
  <c r="E525" i="1" a="1"/>
  <c r="E525" i="1" s="1"/>
  <c r="G525" i="1" s="1"/>
  <c r="E524" i="1" a="1"/>
  <c r="E524" i="1" s="1"/>
  <c r="G524" i="1" s="1"/>
  <c r="E523" i="1" a="1"/>
  <c r="E523" i="1" s="1"/>
  <c r="G523" i="1" s="1"/>
  <c r="E522" i="1" a="1"/>
  <c r="E522" i="1" s="1"/>
  <c r="G522" i="1" s="1"/>
  <c r="E521" i="1" a="1"/>
  <c r="E521" i="1" s="1"/>
  <c r="G521" i="1" s="1"/>
  <c r="E520" i="1" a="1"/>
  <c r="E520" i="1" s="1"/>
  <c r="G520" i="1" s="1"/>
  <c r="E519" i="1" a="1"/>
  <c r="E519" i="1" s="1"/>
  <c r="G519" i="1" s="1"/>
  <c r="E518" i="1" a="1"/>
  <c r="E518" i="1" s="1"/>
  <c r="E517" i="1" a="1"/>
  <c r="E517" i="1" s="1"/>
  <c r="G517" i="1" s="1"/>
  <c r="E516" i="1" a="1"/>
  <c r="E516" i="1" s="1"/>
  <c r="G516" i="1" s="1"/>
  <c r="E515" i="1" a="1"/>
  <c r="E515" i="1" s="1"/>
  <c r="G515" i="1" s="1"/>
  <c r="E514" i="1" a="1"/>
  <c r="E514" i="1" s="1"/>
  <c r="G514" i="1" s="1"/>
  <c r="E513" i="1" a="1"/>
  <c r="E513" i="1" s="1"/>
  <c r="G513" i="1" s="1"/>
  <c r="E512" i="1" a="1"/>
  <c r="E512" i="1" s="1"/>
  <c r="G512" i="1" s="1"/>
  <c r="E511" i="1" a="1"/>
  <c r="E511" i="1" s="1"/>
  <c r="G511" i="1" s="1"/>
  <c r="E510" i="1" a="1"/>
  <c r="E510" i="1" s="1"/>
  <c r="G510" i="1" s="1"/>
  <c r="E509" i="1" a="1"/>
  <c r="E509" i="1" s="1"/>
  <c r="G509" i="1" s="1"/>
  <c r="E508" i="1" a="1"/>
  <c r="E508" i="1" s="1"/>
  <c r="E507" i="1" a="1"/>
  <c r="E507" i="1" s="1"/>
  <c r="G507" i="1" s="1"/>
  <c r="E506" i="1" a="1"/>
  <c r="E506" i="1" s="1"/>
  <c r="G506" i="1" s="1"/>
  <c r="E505" i="1" a="1"/>
  <c r="E505" i="1" s="1"/>
  <c r="G505" i="1" s="1"/>
  <c r="E504" i="1" a="1"/>
  <c r="E504" i="1" s="1"/>
  <c r="G504" i="1" s="1"/>
  <c r="E503" i="1" a="1"/>
  <c r="E503" i="1" s="1"/>
  <c r="G503" i="1" s="1"/>
  <c r="E502" i="1" a="1"/>
  <c r="E502" i="1" s="1"/>
  <c r="G502" i="1" s="1"/>
  <c r="E501" i="1" a="1"/>
  <c r="E501" i="1" s="1"/>
  <c r="G501" i="1" s="1"/>
  <c r="E500" i="1" a="1"/>
  <c r="E500" i="1" s="1"/>
  <c r="G500" i="1" s="1"/>
  <c r="E499" i="1" a="1"/>
  <c r="E499" i="1" s="1"/>
  <c r="G499" i="1" s="1"/>
  <c r="E498" i="1" a="1"/>
  <c r="E498" i="1" s="1"/>
  <c r="G498" i="1" s="1"/>
  <c r="E497" i="1" a="1"/>
  <c r="E497" i="1" s="1"/>
  <c r="G497" i="1" s="1"/>
  <c r="E496" i="1" a="1"/>
  <c r="E496" i="1" s="1"/>
  <c r="G496" i="1" s="1"/>
  <c r="E495" i="1" a="1"/>
  <c r="E495" i="1" s="1"/>
  <c r="G495" i="1" s="1"/>
  <c r="E494" i="1" a="1"/>
  <c r="E494" i="1" s="1"/>
  <c r="G494" i="1" s="1"/>
  <c r="E493" i="1" a="1"/>
  <c r="E493" i="1" s="1"/>
  <c r="G493" i="1" s="1"/>
  <c r="E492" i="1" a="1"/>
  <c r="E492" i="1" s="1"/>
  <c r="G492" i="1" s="1"/>
  <c r="E491" i="1" a="1"/>
  <c r="E491" i="1" s="1"/>
  <c r="E490" i="1" a="1"/>
  <c r="E490" i="1" s="1"/>
  <c r="G490" i="1" s="1"/>
  <c r="E489" i="1" a="1"/>
  <c r="E489" i="1" s="1"/>
  <c r="E488" i="1" a="1"/>
  <c r="E488" i="1" s="1"/>
  <c r="G488" i="1" s="1"/>
  <c r="E487" i="1" a="1"/>
  <c r="E487" i="1" s="1"/>
  <c r="G487" i="1" s="1"/>
  <c r="E486" i="1" a="1"/>
  <c r="E486" i="1" s="1"/>
  <c r="G486" i="1" s="1"/>
  <c r="E485" i="1" a="1"/>
  <c r="E485" i="1" s="1"/>
  <c r="G485" i="1" s="1"/>
  <c r="E484" i="1" a="1"/>
  <c r="E484" i="1" s="1"/>
  <c r="G484" i="1" s="1"/>
  <c r="E483" i="1" a="1"/>
  <c r="E483" i="1" s="1"/>
  <c r="G483" i="1" s="1"/>
  <c r="E482" i="1" a="1"/>
  <c r="E482" i="1" s="1"/>
  <c r="G482" i="1" s="1"/>
  <c r="E481" i="1" a="1"/>
  <c r="E481" i="1" s="1"/>
  <c r="G481" i="1" s="1"/>
  <c r="E480" i="1" a="1"/>
  <c r="E480" i="1" s="1"/>
  <c r="G480" i="1" s="1"/>
  <c r="E479" i="1" a="1"/>
  <c r="E479" i="1" s="1"/>
  <c r="G479" i="1" s="1"/>
  <c r="E478" i="1" a="1"/>
  <c r="E478" i="1" s="1"/>
  <c r="G478" i="1" s="1"/>
  <c r="E477" i="1" a="1"/>
  <c r="E477" i="1" s="1"/>
  <c r="G477" i="1" s="1"/>
  <c r="E476" i="1" a="1"/>
  <c r="E476" i="1" s="1"/>
  <c r="G476" i="1" s="1"/>
  <c r="E475" i="1" a="1"/>
  <c r="E475" i="1" s="1"/>
  <c r="G475" i="1" s="1"/>
  <c r="E474" i="1" a="1"/>
  <c r="E474" i="1" s="1"/>
  <c r="G474" i="1" s="1"/>
  <c r="E473" i="1" a="1"/>
  <c r="E473" i="1" s="1"/>
  <c r="G473" i="1" s="1"/>
  <c r="E472" i="1" a="1"/>
  <c r="E472" i="1" s="1"/>
  <c r="G472" i="1" s="1"/>
  <c r="E471" i="1" a="1"/>
  <c r="E471" i="1" s="1"/>
  <c r="G471" i="1" s="1"/>
  <c r="E470" i="1" a="1"/>
  <c r="E470" i="1" s="1"/>
  <c r="G470" i="1" s="1"/>
  <c r="E469" i="1" a="1"/>
  <c r="E469" i="1" s="1"/>
  <c r="G469" i="1" s="1"/>
  <c r="E468" i="1" a="1"/>
  <c r="E468" i="1" s="1"/>
  <c r="G468" i="1" s="1"/>
  <c r="E467" i="1" a="1"/>
  <c r="E467" i="1" s="1"/>
  <c r="G467" i="1" s="1"/>
  <c r="E466" i="1" a="1"/>
  <c r="E466" i="1" s="1"/>
  <c r="G466" i="1" s="1"/>
  <c r="E465" i="1" a="1"/>
  <c r="E465" i="1" s="1"/>
  <c r="G465" i="1" s="1"/>
  <c r="E464" i="1" a="1"/>
  <c r="E464" i="1" s="1"/>
  <c r="G464" i="1" s="1"/>
  <c r="E463" i="1" a="1"/>
  <c r="E463" i="1" s="1"/>
  <c r="G463" i="1" s="1"/>
  <c r="E462" i="1" a="1"/>
  <c r="E462" i="1" s="1"/>
  <c r="G462" i="1" s="1"/>
  <c r="E461" i="1" a="1"/>
  <c r="E461" i="1" s="1"/>
  <c r="G461" i="1" s="1"/>
  <c r="E460" i="1" a="1"/>
  <c r="E460" i="1" s="1"/>
  <c r="G460" i="1" s="1"/>
  <c r="E459" i="1" a="1"/>
  <c r="E459" i="1" s="1"/>
  <c r="G459" i="1" s="1"/>
  <c r="E458" i="1" a="1"/>
  <c r="E458" i="1" s="1"/>
  <c r="G458" i="1" s="1"/>
  <c r="E457" i="1" a="1"/>
  <c r="E457" i="1" s="1"/>
  <c r="G457" i="1" s="1"/>
  <c r="E456" i="1" a="1"/>
  <c r="E456" i="1" s="1"/>
  <c r="G456" i="1" s="1"/>
  <c r="E455" i="1" a="1"/>
  <c r="E455" i="1" s="1"/>
  <c r="G455" i="1" s="1"/>
  <c r="E454" i="1" a="1"/>
  <c r="E454" i="1" s="1"/>
  <c r="G454" i="1" s="1"/>
  <c r="E453" i="1" a="1"/>
  <c r="E453" i="1" s="1"/>
  <c r="G453" i="1" s="1"/>
  <c r="E452" i="1" a="1"/>
  <c r="E452" i="1" s="1"/>
  <c r="G452" i="1" s="1"/>
  <c r="E451" i="1" a="1"/>
  <c r="E451" i="1" s="1"/>
  <c r="G451" i="1" s="1"/>
  <c r="E450" i="1" a="1"/>
  <c r="E450" i="1" s="1"/>
  <c r="G450" i="1" s="1"/>
  <c r="E449" i="1" a="1"/>
  <c r="E449" i="1" s="1"/>
  <c r="G449" i="1" s="1"/>
  <c r="E448" i="1" a="1"/>
  <c r="E448" i="1" s="1"/>
  <c r="G448" i="1" s="1"/>
  <c r="E447" i="1" a="1"/>
  <c r="E447" i="1" s="1"/>
  <c r="G447" i="1" s="1"/>
  <c r="E446" i="1" a="1"/>
  <c r="E446" i="1" s="1"/>
  <c r="G446" i="1" s="1"/>
  <c r="E445" i="1" a="1"/>
  <c r="E445" i="1" s="1"/>
  <c r="G445" i="1" s="1"/>
  <c r="E444" i="1" a="1"/>
  <c r="E444" i="1" s="1"/>
  <c r="G444" i="1" s="1"/>
  <c r="E443" i="1" a="1"/>
  <c r="E443" i="1" s="1"/>
  <c r="G443" i="1" s="1"/>
  <c r="E442" i="1" a="1"/>
  <c r="E442" i="1" s="1"/>
  <c r="G442" i="1" s="1"/>
  <c r="E441" i="1" a="1"/>
  <c r="E441" i="1" s="1"/>
  <c r="G441" i="1" s="1"/>
  <c r="E440" i="1" a="1"/>
  <c r="E440" i="1" s="1"/>
  <c r="G440" i="1" s="1"/>
  <c r="E439" i="1" a="1"/>
  <c r="E439" i="1" s="1"/>
  <c r="G439" i="1" s="1"/>
  <c r="E438" i="1" a="1"/>
  <c r="E438" i="1" s="1"/>
  <c r="G438" i="1" s="1"/>
  <c r="E437" i="1" a="1"/>
  <c r="E437" i="1" s="1"/>
  <c r="G437" i="1" s="1"/>
  <c r="E436" i="1" a="1"/>
  <c r="E436" i="1" s="1"/>
  <c r="G436" i="1" s="1"/>
  <c r="E435" i="1" a="1"/>
  <c r="E435" i="1" s="1"/>
  <c r="G435" i="1" s="1"/>
  <c r="E434" i="1" a="1"/>
  <c r="E434" i="1" s="1"/>
  <c r="G434" i="1" s="1"/>
  <c r="E433" i="1" a="1"/>
  <c r="E433" i="1" s="1"/>
  <c r="G433" i="1" s="1"/>
  <c r="E432" i="1" a="1"/>
  <c r="E432" i="1" s="1"/>
  <c r="G432" i="1" s="1"/>
  <c r="E431" i="1" a="1"/>
  <c r="E431" i="1" s="1"/>
  <c r="G431" i="1" s="1"/>
  <c r="E430" i="1" a="1"/>
  <c r="E430" i="1" s="1"/>
  <c r="G430" i="1" s="1"/>
  <c r="E429" i="1" a="1"/>
  <c r="E429" i="1" s="1"/>
  <c r="G429" i="1" s="1"/>
  <c r="E428" i="1" a="1"/>
  <c r="E428" i="1" s="1"/>
  <c r="G428" i="1" s="1"/>
  <c r="E427" i="1" a="1"/>
  <c r="E427" i="1" s="1"/>
  <c r="G427" i="1" s="1"/>
  <c r="E426" i="1" a="1"/>
  <c r="E426" i="1" s="1"/>
  <c r="G426" i="1" s="1"/>
  <c r="E425" i="1" a="1"/>
  <c r="E425" i="1" s="1"/>
  <c r="G425" i="1" s="1"/>
  <c r="E424" i="1" a="1"/>
  <c r="E424" i="1" s="1"/>
  <c r="G424" i="1" s="1"/>
  <c r="E423" i="1" a="1"/>
  <c r="E423" i="1" s="1"/>
  <c r="G423" i="1" s="1"/>
  <c r="E422" i="1" a="1"/>
  <c r="E422" i="1" s="1"/>
  <c r="G422" i="1" s="1"/>
  <c r="E421" i="1" a="1"/>
  <c r="E421" i="1" s="1"/>
  <c r="G421" i="1" s="1"/>
  <c r="E420" i="1" a="1"/>
  <c r="E420" i="1" s="1"/>
  <c r="G420" i="1" s="1"/>
  <c r="E419" i="1" a="1"/>
  <c r="E419" i="1" s="1"/>
  <c r="G419" i="1" s="1"/>
  <c r="E418" i="1" a="1"/>
  <c r="E418" i="1" s="1"/>
  <c r="G418" i="1" s="1"/>
  <c r="E417" i="1" a="1"/>
  <c r="E417" i="1" s="1"/>
  <c r="G417" i="1" s="1"/>
  <c r="E416" i="1" a="1"/>
  <c r="E416" i="1" s="1"/>
  <c r="G416" i="1" s="1"/>
  <c r="E415" i="1" a="1"/>
  <c r="E415" i="1" s="1"/>
  <c r="G415" i="1" s="1"/>
  <c r="E414" i="1" a="1"/>
  <c r="E414" i="1" s="1"/>
  <c r="G414" i="1" s="1"/>
  <c r="E413" i="1" a="1"/>
  <c r="E413" i="1" s="1"/>
  <c r="G413" i="1" s="1"/>
  <c r="E412" i="1" a="1"/>
  <c r="E412" i="1" s="1"/>
  <c r="G412" i="1" s="1"/>
  <c r="E411" i="1" a="1"/>
  <c r="E411" i="1" s="1"/>
  <c r="G411" i="1" s="1"/>
  <c r="E410" i="1" a="1"/>
  <c r="E410" i="1" s="1"/>
  <c r="G410" i="1" s="1"/>
  <c r="E409" i="1" a="1"/>
  <c r="E409" i="1" s="1"/>
  <c r="G409" i="1" s="1"/>
  <c r="E408" i="1" a="1"/>
  <c r="E408" i="1" s="1"/>
  <c r="G408" i="1" s="1"/>
  <c r="E407" i="1" a="1"/>
  <c r="E407" i="1" s="1"/>
  <c r="G407" i="1" s="1"/>
  <c r="E406" i="1" a="1"/>
  <c r="E406" i="1" s="1"/>
  <c r="G406" i="1" s="1"/>
  <c r="E405" i="1" a="1"/>
  <c r="E405" i="1" s="1"/>
  <c r="G405" i="1" s="1"/>
  <c r="E404" i="1" a="1"/>
  <c r="E404" i="1" s="1"/>
  <c r="G404" i="1" s="1"/>
  <c r="E403" i="1" a="1"/>
  <c r="E403" i="1" s="1"/>
  <c r="G403" i="1" s="1"/>
  <c r="E402" i="1" a="1"/>
  <c r="E402" i="1" s="1"/>
  <c r="G402" i="1" s="1"/>
  <c r="E401" i="1" a="1"/>
  <c r="E401" i="1" s="1"/>
  <c r="G401" i="1" s="1"/>
  <c r="E400" i="1" a="1"/>
  <c r="E400" i="1" s="1"/>
  <c r="G400" i="1" s="1"/>
  <c r="E399" i="1" a="1"/>
  <c r="E399" i="1" s="1"/>
  <c r="G399" i="1" s="1"/>
  <c r="E398" i="1" a="1"/>
  <c r="E398" i="1" s="1"/>
  <c r="G398" i="1" s="1"/>
  <c r="E397" i="1" a="1"/>
  <c r="E397" i="1" s="1"/>
  <c r="G397" i="1" s="1"/>
  <c r="E396" i="1" a="1"/>
  <c r="E396" i="1" s="1"/>
  <c r="G396" i="1" s="1"/>
  <c r="E395" i="1" a="1"/>
  <c r="E395" i="1" s="1"/>
  <c r="G395" i="1" s="1"/>
  <c r="E394" i="1" a="1"/>
  <c r="E394" i="1" s="1"/>
  <c r="G394" i="1" s="1"/>
  <c r="E393" i="1" a="1"/>
  <c r="E393" i="1" s="1"/>
  <c r="G393" i="1" s="1"/>
  <c r="E392" i="1" a="1"/>
  <c r="E392" i="1" s="1"/>
  <c r="G392" i="1" s="1"/>
  <c r="E391" i="1" a="1"/>
  <c r="E391" i="1" s="1"/>
  <c r="G391" i="1" s="1"/>
  <c r="E390" i="1" a="1"/>
  <c r="E390" i="1" s="1"/>
  <c r="G390" i="1" s="1"/>
  <c r="E389" i="1" a="1"/>
  <c r="E389" i="1" s="1"/>
  <c r="G389" i="1" s="1"/>
  <c r="E388" i="1" a="1"/>
  <c r="E388" i="1" s="1"/>
  <c r="G388" i="1" s="1"/>
  <c r="E387" i="1" a="1"/>
  <c r="E387" i="1" s="1"/>
  <c r="G387" i="1" s="1"/>
  <c r="E386" i="1" a="1"/>
  <c r="E386" i="1" s="1"/>
  <c r="G386" i="1" s="1"/>
  <c r="E385" i="1" a="1"/>
  <c r="E385" i="1" s="1"/>
  <c r="G385" i="1" s="1"/>
  <c r="E384" i="1" a="1"/>
  <c r="E384" i="1" s="1"/>
  <c r="G384" i="1" s="1"/>
  <c r="E383" i="1" a="1"/>
  <c r="E383" i="1" s="1"/>
  <c r="E382" i="1" a="1"/>
  <c r="E382" i="1" s="1"/>
  <c r="G382" i="1" s="1"/>
  <c r="E381" i="1" a="1"/>
  <c r="E381" i="1" s="1"/>
  <c r="E380" i="1" a="1"/>
  <c r="E380" i="1" s="1"/>
  <c r="G380" i="1" s="1"/>
  <c r="E379" i="1" a="1"/>
  <c r="E379" i="1" s="1"/>
  <c r="G379" i="1" s="1"/>
  <c r="E378" i="1" a="1"/>
  <c r="E378" i="1" s="1"/>
  <c r="G378" i="1" s="1"/>
  <c r="E377" i="1" a="1"/>
  <c r="E377" i="1" s="1"/>
  <c r="G377" i="1" s="1"/>
  <c r="E376" i="1" a="1"/>
  <c r="E376" i="1" s="1"/>
  <c r="G376" i="1" s="1"/>
  <c r="E375" i="1" a="1"/>
  <c r="E375" i="1" s="1"/>
  <c r="G375" i="1" s="1"/>
  <c r="E374" i="1" a="1"/>
  <c r="E374" i="1" s="1"/>
  <c r="G374" i="1" s="1"/>
  <c r="E373" i="1" a="1"/>
  <c r="E373" i="1" s="1"/>
  <c r="G373" i="1" s="1"/>
  <c r="E372" i="1" a="1"/>
  <c r="E372" i="1" s="1"/>
  <c r="G372" i="1" s="1"/>
  <c r="E371" i="1" a="1"/>
  <c r="E371" i="1" s="1"/>
  <c r="G371" i="1" s="1"/>
  <c r="E370" i="1" a="1"/>
  <c r="E370" i="1" s="1"/>
  <c r="G370" i="1" s="1"/>
  <c r="E369" i="1" a="1"/>
  <c r="E369" i="1" s="1"/>
  <c r="G369" i="1" s="1"/>
  <c r="E368" i="1" a="1"/>
  <c r="E368" i="1" s="1"/>
  <c r="E367" i="1" a="1"/>
  <c r="E367" i="1" s="1"/>
  <c r="G367" i="1" s="1"/>
  <c r="E366" i="1" a="1"/>
  <c r="E366" i="1" s="1"/>
  <c r="G366" i="1" s="1"/>
  <c r="E365" i="1" a="1"/>
  <c r="E365" i="1" s="1"/>
  <c r="G365" i="1" s="1"/>
  <c r="E364" i="1" a="1"/>
  <c r="E364" i="1" s="1"/>
  <c r="G364" i="1" s="1"/>
  <c r="E363" i="1" a="1"/>
  <c r="E363" i="1" s="1"/>
  <c r="G363" i="1" s="1"/>
  <c r="E362" i="1" a="1"/>
  <c r="E362" i="1" s="1"/>
  <c r="G362" i="1" s="1"/>
  <c r="E361" i="1" a="1"/>
  <c r="E361" i="1" s="1"/>
  <c r="G361" i="1" s="1"/>
  <c r="E360" i="1" a="1"/>
  <c r="E360" i="1" s="1"/>
  <c r="G360" i="1" s="1"/>
  <c r="E359" i="1" a="1"/>
  <c r="E359" i="1" s="1"/>
  <c r="G359" i="1" s="1"/>
  <c r="E358" i="1" a="1"/>
  <c r="E358" i="1" s="1"/>
  <c r="G358" i="1" s="1"/>
  <c r="E357" i="1" a="1"/>
  <c r="E357" i="1" s="1"/>
  <c r="G357" i="1" s="1"/>
  <c r="E356" i="1" a="1"/>
  <c r="E356" i="1" s="1"/>
  <c r="G356" i="1" s="1"/>
  <c r="E355" i="1" a="1"/>
  <c r="E355" i="1" s="1"/>
  <c r="G355" i="1" s="1"/>
  <c r="E354" i="1" a="1"/>
  <c r="E354" i="1" s="1"/>
  <c r="G354" i="1" s="1"/>
  <c r="E353" i="1" a="1"/>
  <c r="E353" i="1" s="1"/>
  <c r="G353" i="1" s="1"/>
  <c r="E352" i="1" a="1"/>
  <c r="E352" i="1" s="1"/>
  <c r="G352" i="1" s="1"/>
  <c r="E351" i="1" a="1"/>
  <c r="E351" i="1" s="1"/>
  <c r="G351" i="1" s="1"/>
  <c r="E350" i="1" a="1"/>
  <c r="E350" i="1" s="1"/>
  <c r="G350" i="1" s="1"/>
  <c r="E349" i="1" a="1"/>
  <c r="E349" i="1" s="1"/>
  <c r="G349" i="1" s="1"/>
  <c r="E348" i="1" a="1"/>
  <c r="E348" i="1" s="1"/>
  <c r="G348" i="1" s="1"/>
  <c r="E347" i="1" a="1"/>
  <c r="E347" i="1" s="1"/>
  <c r="G347" i="1" s="1"/>
  <c r="E346" i="1" a="1"/>
  <c r="E346" i="1" s="1"/>
  <c r="G346" i="1" s="1"/>
  <c r="E345" i="1" a="1"/>
  <c r="E345" i="1" s="1"/>
  <c r="G345" i="1" s="1"/>
  <c r="E344" i="1" a="1"/>
  <c r="E344" i="1" s="1"/>
  <c r="G344" i="1" s="1"/>
  <c r="E343" i="1" a="1"/>
  <c r="E343" i="1" s="1"/>
  <c r="G343" i="1" s="1"/>
  <c r="E342" i="1" a="1"/>
  <c r="E342" i="1" s="1"/>
  <c r="G342" i="1" s="1"/>
  <c r="E341" i="1" a="1"/>
  <c r="E341" i="1" s="1"/>
  <c r="G341" i="1" s="1"/>
  <c r="E340" i="1" a="1"/>
  <c r="E340" i="1" s="1"/>
  <c r="G340" i="1" s="1"/>
  <c r="E339" i="1" a="1"/>
  <c r="E339" i="1" s="1"/>
  <c r="E338" i="1" a="1"/>
  <c r="E338" i="1" s="1"/>
  <c r="E337" i="1" a="1"/>
  <c r="E337" i="1" s="1"/>
  <c r="E336" i="1" a="1"/>
  <c r="E336" i="1" s="1"/>
  <c r="E335" i="1" a="1"/>
  <c r="E335" i="1" s="1"/>
  <c r="E334" i="1" a="1"/>
  <c r="E334" i="1" s="1"/>
  <c r="G334" i="1" s="1"/>
  <c r="E333" i="1" a="1"/>
  <c r="E333" i="1" s="1"/>
  <c r="G333" i="1" s="1"/>
  <c r="E332" i="1" a="1"/>
  <c r="E332" i="1" s="1"/>
  <c r="G332" i="1" s="1"/>
  <c r="E331" i="1" a="1"/>
  <c r="E331" i="1" s="1"/>
  <c r="G331" i="1" s="1"/>
  <c r="E330" i="1" a="1"/>
  <c r="E330" i="1" s="1"/>
  <c r="G330" i="1" s="1"/>
  <c r="E329" i="1" a="1"/>
  <c r="E329" i="1" s="1"/>
  <c r="G329" i="1" s="1"/>
  <c r="E328" i="1" a="1"/>
  <c r="E328" i="1" s="1"/>
  <c r="G328" i="1" s="1"/>
  <c r="E327" i="1" a="1"/>
  <c r="E327" i="1" s="1"/>
  <c r="G327" i="1" s="1"/>
  <c r="E326" i="1" a="1"/>
  <c r="E326" i="1" s="1"/>
  <c r="G326" i="1" s="1"/>
  <c r="E325" i="1" a="1"/>
  <c r="E325" i="1" s="1"/>
  <c r="G325" i="1" s="1"/>
  <c r="E324" i="1" a="1"/>
  <c r="E324" i="1" s="1"/>
  <c r="G324" i="1" s="1"/>
  <c r="E323" i="1" a="1"/>
  <c r="E323" i="1" s="1"/>
  <c r="G323" i="1" s="1"/>
  <c r="E322" i="1" a="1"/>
  <c r="E322" i="1" s="1"/>
  <c r="G322" i="1" s="1"/>
  <c r="E321" i="1" a="1"/>
  <c r="E321" i="1" s="1"/>
  <c r="G321" i="1" s="1"/>
  <c r="E320" i="1" a="1"/>
  <c r="E320" i="1" s="1"/>
  <c r="G320" i="1" s="1"/>
  <c r="E319" i="1" a="1"/>
  <c r="E319" i="1" s="1"/>
  <c r="G319" i="1" s="1"/>
  <c r="E318" i="1" a="1"/>
  <c r="E318" i="1" s="1"/>
  <c r="G318" i="1" s="1"/>
  <c r="E317" i="1" a="1"/>
  <c r="E317" i="1" s="1"/>
  <c r="G317" i="1" s="1"/>
  <c r="E316" i="1" a="1"/>
  <c r="E316" i="1" s="1"/>
  <c r="G316" i="1" s="1"/>
  <c r="E315" i="1" a="1"/>
  <c r="E315" i="1" s="1"/>
  <c r="G315" i="1" s="1"/>
  <c r="E314" i="1" a="1"/>
  <c r="E314" i="1" s="1"/>
  <c r="G314" i="1" s="1"/>
  <c r="E313" i="1" a="1"/>
  <c r="E313" i="1" s="1"/>
  <c r="G313" i="1" s="1"/>
  <c r="E312" i="1" a="1"/>
  <c r="E312" i="1" s="1"/>
  <c r="G312" i="1" s="1"/>
  <c r="E311" i="1" a="1"/>
  <c r="E311" i="1" s="1"/>
  <c r="G311" i="1" s="1"/>
  <c r="E310" i="1" a="1"/>
  <c r="E310" i="1" s="1"/>
  <c r="G310" i="1" s="1"/>
  <c r="E309" i="1" a="1"/>
  <c r="E309" i="1" s="1"/>
  <c r="G309" i="1" s="1"/>
  <c r="E308" i="1" a="1"/>
  <c r="E308" i="1" s="1"/>
  <c r="E307" i="1" a="1"/>
  <c r="E307" i="1" s="1"/>
  <c r="G307" i="1" s="1"/>
  <c r="E306" i="1" a="1"/>
  <c r="E306" i="1" s="1"/>
  <c r="G306" i="1" s="1"/>
  <c r="E305" i="1" a="1"/>
  <c r="E305" i="1" s="1"/>
  <c r="G305" i="1" s="1"/>
  <c r="E304" i="1" a="1"/>
  <c r="E304" i="1" s="1"/>
  <c r="G304" i="1" s="1"/>
  <c r="E303" i="1" a="1"/>
  <c r="E303" i="1" s="1"/>
  <c r="G303" i="1" s="1"/>
  <c r="E302" i="1" a="1"/>
  <c r="E302" i="1" s="1"/>
  <c r="G302" i="1" s="1"/>
  <c r="E301" i="1" a="1"/>
  <c r="E301" i="1" s="1"/>
  <c r="G301" i="1" s="1"/>
  <c r="E300" i="1" a="1"/>
  <c r="E300" i="1" s="1"/>
  <c r="G300" i="1" s="1"/>
  <c r="E299" i="1" a="1"/>
  <c r="E299" i="1" s="1"/>
  <c r="G299" i="1" s="1"/>
  <c r="E298" i="1" a="1"/>
  <c r="E298" i="1" s="1"/>
  <c r="G298" i="1" s="1"/>
  <c r="E297" i="1" a="1"/>
  <c r="E297" i="1" s="1"/>
  <c r="G297" i="1" s="1"/>
  <c r="E296" i="1" a="1"/>
  <c r="E296" i="1" s="1"/>
  <c r="G296" i="1" s="1"/>
  <c r="E295" i="1" a="1"/>
  <c r="E295" i="1" s="1"/>
  <c r="G295" i="1" s="1"/>
  <c r="E294" i="1" a="1"/>
  <c r="E294" i="1" s="1"/>
  <c r="G294" i="1" s="1"/>
  <c r="E293" i="1" a="1"/>
  <c r="E293" i="1" s="1"/>
  <c r="G293" i="1" s="1"/>
  <c r="E292" i="1" a="1"/>
  <c r="E292" i="1" s="1"/>
  <c r="G292" i="1" s="1"/>
  <c r="E291" i="1" a="1"/>
  <c r="E291" i="1" s="1"/>
  <c r="G291" i="1" s="1"/>
  <c r="E290" i="1" a="1"/>
  <c r="E290" i="1" s="1"/>
  <c r="G290" i="1" s="1"/>
  <c r="E289" i="1" a="1"/>
  <c r="E289" i="1" s="1"/>
  <c r="G289" i="1" s="1"/>
  <c r="E288" i="1" a="1"/>
  <c r="E288" i="1" s="1"/>
  <c r="G288" i="1" s="1"/>
  <c r="E287" i="1" a="1"/>
  <c r="E287" i="1" s="1"/>
  <c r="G287" i="1" s="1"/>
  <c r="E286" i="1" a="1"/>
  <c r="E286" i="1" s="1"/>
  <c r="G286" i="1" s="1"/>
  <c r="E285" i="1" a="1"/>
  <c r="E285" i="1" s="1"/>
  <c r="G285" i="1" s="1"/>
  <c r="E284" i="1" a="1"/>
  <c r="E284" i="1" s="1"/>
  <c r="E283" i="1" a="1"/>
  <c r="E283" i="1" s="1"/>
  <c r="G283" i="1" s="1"/>
  <c r="E282" i="1" a="1"/>
  <c r="E282" i="1" s="1"/>
  <c r="G282" i="1" s="1"/>
  <c r="E281" i="1" a="1"/>
  <c r="E281" i="1" s="1"/>
  <c r="E280" i="1" a="1"/>
  <c r="E280" i="1" s="1"/>
  <c r="E279" i="1" a="1"/>
  <c r="E279" i="1" s="1"/>
  <c r="G279" i="1" s="1"/>
  <c r="E278" i="1" a="1"/>
  <c r="E278" i="1" s="1"/>
  <c r="G278" i="1" s="1"/>
  <c r="E277" i="1" a="1"/>
  <c r="E277" i="1" s="1"/>
  <c r="E276" i="1" a="1"/>
  <c r="E276" i="1" s="1"/>
  <c r="G276" i="1" s="1"/>
  <c r="E275" i="1" a="1"/>
  <c r="E275" i="1" s="1"/>
  <c r="G275" i="1" s="1"/>
  <c r="E274" i="1" a="1"/>
  <c r="E274" i="1" s="1"/>
  <c r="G274" i="1" s="1"/>
  <c r="E273" i="1" a="1"/>
  <c r="E273" i="1" s="1"/>
  <c r="G273" i="1" s="1"/>
  <c r="E272" i="1" a="1"/>
  <c r="E272" i="1" s="1"/>
  <c r="G272" i="1" s="1"/>
  <c r="E271" i="1" a="1"/>
  <c r="E271" i="1" s="1"/>
  <c r="G271" i="1" s="1"/>
  <c r="E270" i="1" a="1"/>
  <c r="E270" i="1" s="1"/>
  <c r="G270" i="1" s="1"/>
  <c r="E269" i="1" a="1"/>
  <c r="E269" i="1" s="1"/>
  <c r="G269" i="1" s="1"/>
  <c r="E268" i="1" a="1"/>
  <c r="E268" i="1" s="1"/>
  <c r="G268" i="1" s="1"/>
  <c r="E267" i="1" a="1"/>
  <c r="E267" i="1" s="1"/>
  <c r="G267" i="1" s="1"/>
  <c r="E266" i="1" a="1"/>
  <c r="E266" i="1" s="1"/>
  <c r="G266" i="1" s="1"/>
  <c r="E265" i="1" a="1"/>
  <c r="E265" i="1" s="1"/>
  <c r="G265" i="1" s="1"/>
  <c r="E264" i="1" a="1"/>
  <c r="E264" i="1" s="1"/>
  <c r="G264" i="1" s="1"/>
  <c r="E263" i="1" a="1"/>
  <c r="E263" i="1" s="1"/>
  <c r="G263" i="1" s="1"/>
  <c r="E262" i="1" a="1"/>
  <c r="E262" i="1" s="1"/>
  <c r="G262" i="1" s="1"/>
  <c r="E261" i="1" a="1"/>
  <c r="E261" i="1" s="1"/>
  <c r="G261" i="1" s="1"/>
  <c r="E260" i="1" a="1"/>
  <c r="E260" i="1" s="1"/>
  <c r="G260" i="1" s="1"/>
  <c r="E259" i="1" a="1"/>
  <c r="E259" i="1" s="1"/>
  <c r="G259" i="1" s="1"/>
  <c r="E258" i="1" a="1"/>
  <c r="E258" i="1" s="1"/>
  <c r="G258" i="1" s="1"/>
  <c r="E257" i="1" a="1"/>
  <c r="E257" i="1" s="1"/>
  <c r="G257" i="1" s="1"/>
  <c r="E256" i="1" a="1"/>
  <c r="E256" i="1" s="1"/>
  <c r="G256" i="1" s="1"/>
  <c r="E255" i="1" a="1"/>
  <c r="E255" i="1" s="1"/>
  <c r="G255" i="1" s="1"/>
  <c r="E254" i="1" a="1"/>
  <c r="E254" i="1" s="1"/>
  <c r="G254" i="1" s="1"/>
  <c r="E253" i="1" a="1"/>
  <c r="E253" i="1" s="1"/>
  <c r="G253" i="1" s="1"/>
  <c r="E252" i="1" a="1"/>
  <c r="E252" i="1" s="1"/>
  <c r="G252" i="1" s="1"/>
  <c r="E251" i="1" a="1"/>
  <c r="E251" i="1" s="1"/>
  <c r="G251" i="1" s="1"/>
  <c r="E250" i="1" a="1"/>
  <c r="E250" i="1" s="1"/>
  <c r="G250" i="1" s="1"/>
  <c r="E249" i="1" a="1"/>
  <c r="E249" i="1" s="1"/>
  <c r="G249" i="1" s="1"/>
  <c r="E248" i="1" a="1"/>
  <c r="E248" i="1" s="1"/>
  <c r="G248" i="1" s="1"/>
  <c r="E247" i="1" a="1"/>
  <c r="E247" i="1" s="1"/>
  <c r="G247" i="1" s="1"/>
  <c r="E246" i="1" a="1"/>
  <c r="E246" i="1" s="1"/>
  <c r="G246" i="1" s="1"/>
  <c r="E245" i="1" a="1"/>
  <c r="E245" i="1" s="1"/>
  <c r="G245" i="1" s="1"/>
  <c r="E244" i="1" a="1"/>
  <c r="E244" i="1" s="1"/>
  <c r="G244" i="1" s="1"/>
  <c r="E243" i="1" a="1"/>
  <c r="E243" i="1" s="1"/>
  <c r="G243" i="1" s="1"/>
  <c r="E242" i="1" a="1"/>
  <c r="E242" i="1" s="1"/>
  <c r="G242" i="1" s="1"/>
  <c r="E241" i="1" a="1"/>
  <c r="E241" i="1" s="1"/>
  <c r="G241" i="1" s="1"/>
  <c r="E240" i="1" a="1"/>
  <c r="E240" i="1" s="1"/>
  <c r="G240" i="1" s="1"/>
  <c r="E239" i="1" a="1"/>
  <c r="E239" i="1" s="1"/>
  <c r="G239" i="1" s="1"/>
  <c r="E238" i="1" a="1"/>
  <c r="E238" i="1" s="1"/>
  <c r="G238" i="1" s="1"/>
  <c r="E237" i="1" a="1"/>
  <c r="E237" i="1" s="1"/>
  <c r="G237" i="1" s="1"/>
  <c r="E236" i="1" a="1"/>
  <c r="E236" i="1" s="1"/>
  <c r="G236" i="1" s="1"/>
  <c r="E235" i="1" a="1"/>
  <c r="E235" i="1" s="1"/>
  <c r="G235" i="1" s="1"/>
  <c r="E234" i="1" a="1"/>
  <c r="E234" i="1" s="1"/>
  <c r="G234" i="1" s="1"/>
  <c r="E233" i="1" a="1"/>
  <c r="E233" i="1" s="1"/>
  <c r="G233" i="1" s="1"/>
  <c r="E232" i="1" a="1"/>
  <c r="E232" i="1" s="1"/>
  <c r="G232" i="1" s="1"/>
  <c r="E231" i="1" a="1"/>
  <c r="E231" i="1" s="1"/>
  <c r="G231" i="1" s="1"/>
  <c r="E230" i="1" a="1"/>
  <c r="E230" i="1" s="1"/>
  <c r="G230" i="1" s="1"/>
  <c r="E229" i="1" a="1"/>
  <c r="E229" i="1" s="1"/>
  <c r="G229" i="1" s="1"/>
  <c r="E228" i="1" a="1"/>
  <c r="E228" i="1" s="1"/>
  <c r="G228" i="1" s="1"/>
  <c r="E227" i="1" a="1"/>
  <c r="E227" i="1" s="1"/>
  <c r="G227" i="1" s="1"/>
  <c r="E226" i="1" a="1"/>
  <c r="E226" i="1" s="1"/>
  <c r="G226" i="1" s="1"/>
  <c r="E225" i="1" a="1"/>
  <c r="E225" i="1" s="1"/>
  <c r="G225" i="1" s="1"/>
  <c r="E224" i="1" a="1"/>
  <c r="E224" i="1" s="1"/>
  <c r="G224" i="1" s="1"/>
  <c r="E223" i="1" a="1"/>
  <c r="E223" i="1" s="1"/>
  <c r="G223" i="1" s="1"/>
  <c r="E222" i="1" a="1"/>
  <c r="E222" i="1" s="1"/>
  <c r="G222" i="1" s="1"/>
  <c r="E221" i="1" a="1"/>
  <c r="E221" i="1" s="1"/>
  <c r="G221" i="1" s="1"/>
  <c r="E220" i="1" a="1"/>
  <c r="E220" i="1" s="1"/>
  <c r="G220" i="1" s="1"/>
  <c r="E219" i="1" a="1"/>
  <c r="E219" i="1" s="1"/>
  <c r="G219" i="1" s="1"/>
  <c r="E218" i="1" a="1"/>
  <c r="E218" i="1" s="1"/>
  <c r="G218" i="1" s="1"/>
  <c r="E217" i="1" a="1"/>
  <c r="E217" i="1" s="1"/>
  <c r="G217" i="1" s="1"/>
  <c r="E216" i="1" a="1"/>
  <c r="E216" i="1" s="1"/>
  <c r="G216" i="1" s="1"/>
  <c r="E215" i="1" a="1"/>
  <c r="E215" i="1" s="1"/>
  <c r="G215" i="1" s="1"/>
  <c r="E214" i="1" a="1"/>
  <c r="E214" i="1" s="1"/>
  <c r="G214" i="1" s="1"/>
  <c r="E213" i="1" a="1"/>
  <c r="E213" i="1" s="1"/>
  <c r="G213" i="1" s="1"/>
  <c r="E212" i="1" a="1"/>
  <c r="E212" i="1" s="1"/>
  <c r="G212" i="1" s="1"/>
  <c r="E211" i="1" a="1"/>
  <c r="E211" i="1" s="1"/>
  <c r="G211" i="1" s="1"/>
  <c r="E210" i="1" a="1"/>
  <c r="E210" i="1" s="1"/>
  <c r="G210" i="1" s="1"/>
  <c r="E209" i="1" a="1"/>
  <c r="E209" i="1" s="1"/>
  <c r="G209" i="1" s="1"/>
  <c r="E208" i="1" a="1"/>
  <c r="E208" i="1" s="1"/>
  <c r="G208" i="1" s="1"/>
  <c r="E207" i="1" a="1"/>
  <c r="E207" i="1" s="1"/>
  <c r="G207" i="1" s="1"/>
  <c r="E206" i="1" a="1"/>
  <c r="E206" i="1" s="1"/>
  <c r="G206" i="1" s="1"/>
  <c r="E205" i="1" a="1"/>
  <c r="E205" i="1" s="1"/>
  <c r="G205" i="1" s="1"/>
  <c r="E204" i="1" a="1"/>
  <c r="E204" i="1" s="1"/>
  <c r="G204" i="1" s="1"/>
  <c r="E203" i="1" a="1"/>
  <c r="E203" i="1" s="1"/>
  <c r="G203" i="1" s="1"/>
  <c r="E202" i="1" a="1"/>
  <c r="E202" i="1" s="1"/>
  <c r="G202" i="1" s="1"/>
  <c r="E201" i="1" a="1"/>
  <c r="E201" i="1" s="1"/>
  <c r="G201" i="1" s="1"/>
  <c r="E200" i="1" a="1"/>
  <c r="E200" i="1" s="1"/>
  <c r="G200" i="1" s="1"/>
  <c r="E199" i="1" a="1"/>
  <c r="E199" i="1" s="1"/>
  <c r="G199" i="1" s="1"/>
  <c r="E198" i="1" a="1"/>
  <c r="E198" i="1" s="1"/>
  <c r="G198" i="1" s="1"/>
  <c r="E197" i="1" a="1"/>
  <c r="E197" i="1" s="1"/>
  <c r="G197" i="1" s="1"/>
  <c r="E196" i="1" a="1"/>
  <c r="E196" i="1" s="1"/>
  <c r="G196" i="1" s="1"/>
  <c r="E195" i="1" a="1"/>
  <c r="E195" i="1" s="1"/>
  <c r="G195" i="1" s="1"/>
  <c r="E194" i="1" a="1"/>
  <c r="E194" i="1" s="1"/>
  <c r="G194" i="1" s="1"/>
  <c r="E193" i="1" a="1"/>
  <c r="E193" i="1" s="1"/>
  <c r="G193" i="1" s="1"/>
  <c r="E192" i="1" a="1"/>
  <c r="E192" i="1" s="1"/>
  <c r="G192" i="1" s="1"/>
  <c r="E191" i="1" a="1"/>
  <c r="E191" i="1" s="1"/>
  <c r="G191" i="1" s="1"/>
  <c r="E190" i="1" a="1"/>
  <c r="E190" i="1" s="1"/>
  <c r="G190" i="1" s="1"/>
  <c r="E189" i="1" a="1"/>
  <c r="E189" i="1" s="1"/>
  <c r="G189" i="1" s="1"/>
  <c r="E188" i="1" a="1"/>
  <c r="E188" i="1" s="1"/>
  <c r="G188" i="1" s="1"/>
  <c r="E187" i="1" a="1"/>
  <c r="E187" i="1" s="1"/>
  <c r="G187" i="1" s="1"/>
  <c r="E186" i="1" a="1"/>
  <c r="E186" i="1" s="1"/>
  <c r="G186" i="1" s="1"/>
  <c r="E185" i="1" a="1"/>
  <c r="E185" i="1" s="1"/>
  <c r="G185" i="1" s="1"/>
  <c r="E184" i="1" a="1"/>
  <c r="E184" i="1" s="1"/>
  <c r="G184" i="1" s="1"/>
  <c r="E183" i="1" a="1"/>
  <c r="E183" i="1" s="1"/>
  <c r="G183" i="1" s="1"/>
  <c r="E182" i="1" a="1"/>
  <c r="E182" i="1" s="1"/>
  <c r="G182" i="1" s="1"/>
  <c r="E181" i="1" a="1"/>
  <c r="E181" i="1" s="1"/>
  <c r="G181" i="1" s="1"/>
  <c r="E180" i="1" a="1"/>
  <c r="E180" i="1" s="1"/>
  <c r="G180" i="1" s="1"/>
  <c r="E179" i="1" a="1"/>
  <c r="E179" i="1" s="1"/>
  <c r="G179" i="1" s="1"/>
  <c r="E178" i="1" a="1"/>
  <c r="E178" i="1" s="1"/>
  <c r="G178" i="1" s="1"/>
  <c r="E177" i="1" a="1"/>
  <c r="E177" i="1" s="1"/>
  <c r="G177" i="1" s="1"/>
  <c r="E176" i="1" a="1"/>
  <c r="E176" i="1" s="1"/>
  <c r="G176" i="1" s="1"/>
  <c r="E175" i="1" a="1"/>
  <c r="E175" i="1" s="1"/>
  <c r="G175" i="1" s="1"/>
  <c r="E174" i="1" a="1"/>
  <c r="E174" i="1" s="1"/>
  <c r="G174" i="1" s="1"/>
  <c r="E173" i="1" a="1"/>
  <c r="E173" i="1" s="1"/>
  <c r="G173" i="1" s="1"/>
  <c r="E172" i="1" a="1"/>
  <c r="E172" i="1" s="1"/>
  <c r="G172" i="1" s="1"/>
  <c r="E171" i="1" a="1"/>
  <c r="E171" i="1" s="1"/>
  <c r="G171" i="1" s="1"/>
  <c r="E170" i="1" a="1"/>
  <c r="E170" i="1" s="1"/>
  <c r="G170" i="1" s="1"/>
  <c r="E169" i="1" a="1"/>
  <c r="E169" i="1" s="1"/>
  <c r="G169" i="1" s="1"/>
  <c r="E168" i="1" a="1"/>
  <c r="E168" i="1" s="1"/>
  <c r="G168" i="1" s="1"/>
  <c r="E167" i="1" a="1"/>
  <c r="E167" i="1" s="1"/>
  <c r="G167" i="1" s="1"/>
  <c r="E166" i="1" a="1"/>
  <c r="E166" i="1" s="1"/>
  <c r="G166" i="1" s="1"/>
  <c r="E165" i="1" a="1"/>
  <c r="E165" i="1" s="1"/>
  <c r="G165" i="1" s="1"/>
  <c r="E164" i="1" a="1"/>
  <c r="E164" i="1" s="1"/>
  <c r="G164" i="1" s="1"/>
  <c r="E163" i="1" a="1"/>
  <c r="E163" i="1" s="1"/>
  <c r="G163" i="1" s="1"/>
  <c r="E162" i="1" a="1"/>
  <c r="E162" i="1" s="1"/>
  <c r="G162" i="1" s="1"/>
  <c r="E161" i="1" a="1"/>
  <c r="E161" i="1" s="1"/>
  <c r="G161" i="1" s="1"/>
  <c r="E160" i="1" a="1"/>
  <c r="E160" i="1" s="1"/>
  <c r="G160" i="1" s="1"/>
  <c r="E159" i="1" a="1"/>
  <c r="E159" i="1" s="1"/>
  <c r="G159" i="1" s="1"/>
  <c r="E158" i="1" a="1"/>
  <c r="E158" i="1" s="1"/>
  <c r="G158" i="1" s="1"/>
  <c r="E157" i="1" a="1"/>
  <c r="E157" i="1" s="1"/>
  <c r="G157" i="1" s="1"/>
  <c r="E156" i="1" a="1"/>
  <c r="E156" i="1" s="1"/>
  <c r="G156" i="1" s="1"/>
  <c r="E155" i="1" a="1"/>
  <c r="E155" i="1" s="1"/>
  <c r="G155" i="1" s="1"/>
  <c r="E154" i="1" a="1"/>
  <c r="E154" i="1" s="1"/>
  <c r="G154" i="1" s="1"/>
  <c r="E153" i="1" a="1"/>
  <c r="E153" i="1" s="1"/>
  <c r="G153" i="1" s="1"/>
  <c r="E152" i="1" a="1"/>
  <c r="E152" i="1" s="1"/>
  <c r="G152" i="1" s="1"/>
  <c r="E151" i="1" a="1"/>
  <c r="E151" i="1" s="1"/>
  <c r="G151" i="1" s="1"/>
  <c r="E150" i="1" a="1"/>
  <c r="E150" i="1" s="1"/>
  <c r="G150" i="1" s="1"/>
  <c r="E149" i="1" a="1"/>
  <c r="E149" i="1" s="1"/>
  <c r="G149" i="1" s="1"/>
  <c r="E148" i="1" a="1"/>
  <c r="E148" i="1" s="1"/>
  <c r="G148" i="1" s="1"/>
  <c r="E147" i="1" a="1"/>
  <c r="E147" i="1" s="1"/>
  <c r="G147" i="1" s="1"/>
  <c r="E146" i="1" a="1"/>
  <c r="E146" i="1" s="1"/>
  <c r="G146" i="1" s="1"/>
  <c r="E145" i="1" a="1"/>
  <c r="E145" i="1" s="1"/>
  <c r="G145" i="1" s="1"/>
  <c r="E144" i="1" a="1"/>
  <c r="E144" i="1" s="1"/>
  <c r="G144" i="1" s="1"/>
  <c r="E143" i="1" a="1"/>
  <c r="E143" i="1" s="1"/>
  <c r="G143" i="1" s="1"/>
  <c r="E142" i="1" a="1"/>
  <c r="E142" i="1" s="1"/>
  <c r="G142" i="1" s="1"/>
  <c r="E141" i="1" a="1"/>
  <c r="E141" i="1" s="1"/>
  <c r="G141" i="1" s="1"/>
  <c r="E140" i="1" a="1"/>
  <c r="E140" i="1" s="1"/>
  <c r="G140" i="1" s="1"/>
  <c r="E139" i="1" a="1"/>
  <c r="E139" i="1" s="1"/>
  <c r="G139" i="1" s="1"/>
  <c r="E138" i="1" a="1"/>
  <c r="E138" i="1" s="1"/>
  <c r="G138" i="1" s="1"/>
  <c r="E137" i="1" a="1"/>
  <c r="E137" i="1" s="1"/>
  <c r="G137" i="1" s="1"/>
  <c r="E136" i="1" a="1"/>
  <c r="E136" i="1" s="1"/>
  <c r="G136" i="1" s="1"/>
  <c r="E135" i="1" a="1"/>
  <c r="E135" i="1" s="1"/>
  <c r="G135" i="1" s="1"/>
  <c r="E134" i="1" a="1"/>
  <c r="E134" i="1" s="1"/>
  <c r="G134" i="1" s="1"/>
  <c r="E133" i="1" a="1"/>
  <c r="E133" i="1" s="1"/>
  <c r="G133" i="1" s="1"/>
  <c r="E132" i="1" a="1"/>
  <c r="E132" i="1" s="1"/>
  <c r="G132" i="1" s="1"/>
  <c r="E131" i="1" a="1"/>
  <c r="E131" i="1" s="1"/>
  <c r="G131" i="1" s="1"/>
  <c r="E130" i="1" a="1"/>
  <c r="E130" i="1" s="1"/>
  <c r="G130" i="1" s="1"/>
  <c r="E129" i="1" a="1"/>
  <c r="E129" i="1" s="1"/>
  <c r="G129" i="1" s="1"/>
  <c r="E128" i="1" a="1"/>
  <c r="E128" i="1" s="1"/>
  <c r="G128" i="1" s="1"/>
  <c r="E127" i="1" a="1"/>
  <c r="E127" i="1" s="1"/>
  <c r="G127" i="1" s="1"/>
  <c r="E126" i="1" a="1"/>
  <c r="E126" i="1" s="1"/>
  <c r="G126" i="1" s="1"/>
  <c r="E125" i="1" a="1"/>
  <c r="E125" i="1" s="1"/>
  <c r="G125" i="1" s="1"/>
  <c r="E124" i="1" a="1"/>
  <c r="E124" i="1" s="1"/>
  <c r="G124" i="1" s="1"/>
  <c r="E123" i="1" a="1"/>
  <c r="E123" i="1" s="1"/>
  <c r="G123" i="1" s="1"/>
  <c r="E122" i="1" a="1"/>
  <c r="E122" i="1" s="1"/>
  <c r="G122" i="1" s="1"/>
  <c r="E121" i="1" a="1"/>
  <c r="E121" i="1" s="1"/>
  <c r="G121" i="1" s="1"/>
  <c r="E120" i="1" a="1"/>
  <c r="E120" i="1" s="1"/>
  <c r="G120" i="1" s="1"/>
  <c r="E119" i="1" a="1"/>
  <c r="E119" i="1" s="1"/>
  <c r="G119" i="1" s="1"/>
  <c r="E118" i="1" a="1"/>
  <c r="E118" i="1" s="1"/>
  <c r="G118" i="1" s="1"/>
  <c r="E117" i="1" a="1"/>
  <c r="E117" i="1" s="1"/>
  <c r="G117" i="1" s="1"/>
  <c r="E116" i="1" a="1"/>
  <c r="E116" i="1" s="1"/>
  <c r="G116" i="1" s="1"/>
  <c r="E115" i="1" a="1"/>
  <c r="E115" i="1" s="1"/>
  <c r="G115" i="1" s="1"/>
  <c r="E114" i="1" a="1"/>
  <c r="E114" i="1" s="1"/>
  <c r="G114" i="1" s="1"/>
  <c r="E113" i="1" a="1"/>
  <c r="E113" i="1" s="1"/>
  <c r="G113" i="1" s="1"/>
  <c r="E112" i="1" a="1"/>
  <c r="E112" i="1" s="1"/>
  <c r="G112" i="1" s="1"/>
  <c r="E111" i="1" a="1"/>
  <c r="E111" i="1" s="1"/>
  <c r="G111" i="1" s="1"/>
  <c r="E110" i="1" a="1"/>
  <c r="E110" i="1" s="1"/>
  <c r="G110" i="1" s="1"/>
  <c r="E109" i="1" a="1"/>
  <c r="E109" i="1" s="1"/>
  <c r="E108" i="1" a="1"/>
  <c r="E108" i="1" s="1"/>
  <c r="G108" i="1" s="1"/>
  <c r="E107" i="1" a="1"/>
  <c r="E107" i="1" s="1"/>
  <c r="G107" i="1" s="1"/>
  <c r="E106" i="1" a="1"/>
  <c r="E106" i="1" s="1"/>
  <c r="G106" i="1" s="1"/>
  <c r="E105" i="1" a="1"/>
  <c r="E105" i="1" s="1"/>
  <c r="G105" i="1" s="1"/>
  <c r="E104" i="1" a="1"/>
  <c r="E104" i="1" s="1"/>
  <c r="G104" i="1" s="1"/>
  <c r="E103" i="1" a="1"/>
  <c r="E103" i="1" s="1"/>
  <c r="G103" i="1" s="1"/>
  <c r="E102" i="1" a="1"/>
  <c r="E102" i="1" s="1"/>
  <c r="G102" i="1" s="1"/>
  <c r="E101" i="1" a="1"/>
  <c r="E101" i="1" s="1"/>
  <c r="G101" i="1" s="1"/>
  <c r="E100" i="1" a="1"/>
  <c r="E100" i="1" s="1"/>
  <c r="G100" i="1" s="1"/>
  <c r="E99" i="1" a="1"/>
  <c r="E99" i="1" s="1"/>
  <c r="G99" i="1" s="1"/>
  <c r="E98" i="1" a="1"/>
  <c r="E98" i="1" s="1"/>
  <c r="G98" i="1" s="1"/>
  <c r="E97" i="1" a="1"/>
  <c r="E97" i="1" s="1"/>
  <c r="G97" i="1" s="1"/>
  <c r="E96" i="1" a="1"/>
  <c r="E96" i="1" s="1"/>
  <c r="G96" i="1" s="1"/>
  <c r="E95" i="1" a="1"/>
  <c r="E95" i="1" s="1"/>
  <c r="G95" i="1" s="1"/>
  <c r="E94" i="1" a="1"/>
  <c r="E94" i="1" s="1"/>
  <c r="G94" i="1" s="1"/>
  <c r="E93" i="1" a="1"/>
  <c r="E93" i="1" s="1"/>
  <c r="G93" i="1" s="1"/>
  <c r="E92" i="1" a="1"/>
  <c r="E92" i="1" s="1"/>
  <c r="G92" i="1" s="1"/>
  <c r="E91" i="1" a="1"/>
  <c r="E91" i="1" s="1"/>
  <c r="G91" i="1" s="1"/>
  <c r="E90" i="1" a="1"/>
  <c r="E90" i="1" s="1"/>
  <c r="G90" i="1" s="1"/>
  <c r="E89" i="1" a="1"/>
  <c r="E89" i="1" s="1"/>
  <c r="G89" i="1" s="1"/>
  <c r="E88" i="1" a="1"/>
  <c r="E88" i="1" s="1"/>
  <c r="G88" i="1" s="1"/>
  <c r="E87" i="1" a="1"/>
  <c r="E87" i="1" s="1"/>
  <c r="G87" i="1" s="1"/>
  <c r="E86" i="1" a="1"/>
  <c r="E86" i="1" s="1"/>
  <c r="G86" i="1" s="1"/>
  <c r="E85" i="1" a="1"/>
  <c r="E85" i="1" s="1"/>
  <c r="G85" i="1" s="1"/>
  <c r="E84" i="1" a="1"/>
  <c r="E84" i="1" s="1"/>
  <c r="G84" i="1" s="1"/>
  <c r="E83" i="1" a="1"/>
  <c r="E83" i="1" s="1"/>
  <c r="G83" i="1" s="1"/>
  <c r="E82" i="1" a="1"/>
  <c r="E82" i="1" s="1"/>
  <c r="G82" i="1" s="1"/>
  <c r="E81" i="1" a="1"/>
  <c r="E81" i="1" s="1"/>
  <c r="G81" i="1" s="1"/>
  <c r="E80" i="1" a="1"/>
  <c r="E80" i="1" s="1"/>
  <c r="G80" i="1" s="1"/>
  <c r="E79" i="1" a="1"/>
  <c r="E79" i="1" s="1"/>
  <c r="G79" i="1" s="1"/>
  <c r="E78" i="1" a="1"/>
  <c r="E78" i="1" s="1"/>
  <c r="G78" i="1" s="1"/>
  <c r="E77" i="1" a="1"/>
  <c r="E77" i="1" s="1"/>
  <c r="G77" i="1" s="1"/>
  <c r="E76" i="1" a="1"/>
  <c r="E76" i="1" s="1"/>
  <c r="G76" i="1" s="1"/>
  <c r="E75" i="1" a="1"/>
  <c r="E75" i="1" s="1"/>
  <c r="G75" i="1" s="1"/>
  <c r="E74" i="1" a="1"/>
  <c r="E74" i="1" s="1"/>
  <c r="G74" i="1" s="1"/>
  <c r="E73" i="1" a="1"/>
  <c r="E73" i="1" s="1"/>
  <c r="G73" i="1" s="1"/>
  <c r="E72" i="1" a="1"/>
  <c r="E72" i="1" s="1"/>
  <c r="G72" i="1" s="1"/>
  <c r="E71" i="1" a="1"/>
  <c r="E71" i="1" s="1"/>
  <c r="G71" i="1" s="1"/>
  <c r="E70" i="1" a="1"/>
  <c r="E70" i="1" s="1"/>
  <c r="G70" i="1" s="1"/>
  <c r="E69" i="1" a="1"/>
  <c r="E69" i="1" s="1"/>
  <c r="G69" i="1" s="1"/>
  <c r="E68" i="1" a="1"/>
  <c r="E68" i="1" s="1"/>
  <c r="G68" i="1" s="1"/>
  <c r="E67" i="1" a="1"/>
  <c r="E67" i="1" s="1"/>
  <c r="G67" i="1" s="1"/>
  <c r="E66" i="1" a="1"/>
  <c r="E66" i="1" s="1"/>
  <c r="G66" i="1" s="1"/>
  <c r="E65" i="1" a="1"/>
  <c r="E65" i="1" s="1"/>
  <c r="G65" i="1" s="1"/>
  <c r="E64" i="1" a="1"/>
  <c r="E64" i="1" s="1"/>
  <c r="G64" i="1" s="1"/>
  <c r="E63" i="1" a="1"/>
  <c r="E63" i="1" s="1"/>
  <c r="G63" i="1" s="1"/>
  <c r="E62" i="1" a="1"/>
  <c r="E62" i="1" s="1"/>
  <c r="G62" i="1" s="1"/>
  <c r="E61" i="1" a="1"/>
  <c r="E61" i="1" s="1"/>
  <c r="G61" i="1" s="1"/>
  <c r="E60" i="1" a="1"/>
  <c r="E60" i="1" s="1"/>
  <c r="G60" i="1" s="1"/>
  <c r="E59" i="1" a="1"/>
  <c r="E59" i="1" s="1"/>
  <c r="G59" i="1" s="1"/>
  <c r="E58" i="1" a="1"/>
  <c r="E58" i="1" s="1"/>
  <c r="G58" i="1" s="1"/>
  <c r="E57" i="1" a="1"/>
  <c r="E57" i="1" s="1"/>
  <c r="G57" i="1" s="1"/>
  <c r="E56" i="1" a="1"/>
  <c r="E56" i="1" s="1"/>
  <c r="G56" i="1" s="1"/>
  <c r="E55" i="1" a="1"/>
  <c r="E55" i="1" s="1"/>
  <c r="G55" i="1" s="1"/>
  <c r="E54" i="1" a="1"/>
  <c r="E54" i="1" s="1"/>
  <c r="G54" i="1" s="1"/>
  <c r="E53" i="1" a="1"/>
  <c r="E53" i="1" s="1"/>
  <c r="G53" i="1" s="1"/>
  <c r="E52" i="1" a="1"/>
  <c r="E52" i="1" s="1"/>
  <c r="G52" i="1" s="1"/>
  <c r="E51" i="1" a="1"/>
  <c r="E51" i="1" s="1"/>
  <c r="G51" i="1" s="1"/>
  <c r="E50" i="1" a="1"/>
  <c r="E50" i="1" s="1"/>
  <c r="G50" i="1" s="1"/>
  <c r="E49" i="1" a="1"/>
  <c r="E49" i="1" s="1"/>
  <c r="G49" i="1" s="1"/>
  <c r="E48" i="1" a="1"/>
  <c r="E48" i="1" s="1"/>
  <c r="G48" i="1" s="1"/>
  <c r="E47" i="1" a="1"/>
  <c r="E47" i="1" s="1"/>
  <c r="G47" i="1" s="1"/>
  <c r="E46" i="1" a="1"/>
  <c r="E46" i="1" s="1"/>
  <c r="G46" i="1" s="1"/>
  <c r="E45" i="1" a="1"/>
  <c r="E45" i="1" s="1"/>
  <c r="G45" i="1" s="1"/>
  <c r="E44" i="1" a="1"/>
  <c r="E44" i="1" s="1"/>
  <c r="G44" i="1" s="1"/>
  <c r="E43" i="1" a="1"/>
  <c r="E43" i="1" s="1"/>
  <c r="G43" i="1" s="1"/>
  <c r="E42" i="1" a="1"/>
  <c r="E42" i="1" s="1"/>
  <c r="G42" i="1" s="1"/>
  <c r="E41" i="1" a="1"/>
  <c r="E41" i="1" s="1"/>
  <c r="G41" i="1" s="1"/>
  <c r="E40" i="1" a="1"/>
  <c r="E40" i="1" s="1"/>
  <c r="G40" i="1" s="1"/>
  <c r="E39" i="1" a="1"/>
  <c r="E39" i="1" s="1"/>
  <c r="G39" i="1" s="1"/>
  <c r="E38" i="1" a="1"/>
  <c r="E38" i="1" s="1"/>
  <c r="G38" i="1" s="1"/>
  <c r="E37" i="1" a="1"/>
  <c r="E37" i="1" s="1"/>
  <c r="G37" i="1" s="1"/>
  <c r="E36" i="1" a="1"/>
  <c r="E36" i="1" s="1"/>
  <c r="G36" i="1" s="1"/>
  <c r="E35" i="1" a="1"/>
  <c r="E35" i="1" s="1"/>
  <c r="G35" i="1" s="1"/>
  <c r="E34" i="1" a="1"/>
  <c r="E34" i="1" s="1"/>
  <c r="G34" i="1" s="1"/>
  <c r="E33" i="1" a="1"/>
  <c r="E33" i="1" s="1"/>
  <c r="G33" i="1" s="1"/>
  <c r="E32" i="1" a="1"/>
  <c r="E32" i="1" s="1"/>
  <c r="G32" i="1" s="1"/>
  <c r="E31" i="1" a="1"/>
  <c r="E31" i="1" s="1"/>
  <c r="G31" i="1" s="1"/>
  <c r="E30" i="1" a="1"/>
  <c r="E30" i="1" s="1"/>
  <c r="E29" i="1" a="1"/>
  <c r="E29" i="1" s="1"/>
  <c r="G29" i="1" s="1"/>
  <c r="E28" i="1" a="1"/>
  <c r="E28" i="1" s="1"/>
  <c r="G28" i="1" s="1"/>
  <c r="E27" i="1" a="1"/>
  <c r="E27" i="1" s="1"/>
  <c r="G27" i="1" s="1"/>
  <c r="E26" i="1" a="1"/>
  <c r="E26" i="1" s="1"/>
  <c r="G26" i="1" s="1"/>
  <c r="E25" i="1" a="1"/>
  <c r="E25" i="1" s="1"/>
  <c r="G25" i="1" s="1"/>
  <c r="E24" i="1" a="1"/>
  <c r="E24" i="1" s="1"/>
  <c r="G24" i="1" s="1"/>
  <c r="E23" i="1" a="1"/>
  <c r="E23" i="1" s="1"/>
  <c r="G23" i="1" s="1"/>
  <c r="E22" i="1" a="1"/>
  <c r="E22" i="1" s="1"/>
  <c r="G22" i="1" s="1"/>
  <c r="E21" i="1" a="1"/>
  <c r="E21" i="1" s="1"/>
  <c r="G21" i="1" s="1"/>
  <c r="E20" i="1" a="1"/>
  <c r="E20" i="1" s="1"/>
  <c r="G20" i="1" s="1"/>
  <c r="E19" i="1" a="1"/>
  <c r="E19" i="1" s="1"/>
  <c r="G19" i="1" s="1"/>
  <c r="E18" i="1" a="1"/>
  <c r="E18" i="1" s="1"/>
  <c r="G18" i="1" s="1"/>
  <c r="E17" i="1" a="1"/>
  <c r="E17" i="1" s="1"/>
  <c r="G17" i="1" s="1"/>
  <c r="E16" i="1" a="1"/>
  <c r="E16" i="1" s="1"/>
  <c r="E15" i="1" a="1"/>
  <c r="E15" i="1" s="1"/>
  <c r="G15" i="1" s="1"/>
  <c r="E14" i="1" a="1"/>
  <c r="E14" i="1" s="1"/>
  <c r="G14" i="1" s="1"/>
  <c r="E13" i="1" a="1"/>
  <c r="E13" i="1" s="1"/>
  <c r="G13" i="1" s="1"/>
  <c r="E12" i="1" a="1"/>
  <c r="E12" i="1" s="1"/>
  <c r="G12" i="1" s="1"/>
  <c r="E11" i="1" a="1"/>
  <c r="E11" i="1" s="1"/>
  <c r="G11" i="1" s="1"/>
  <c r="E10" i="1" a="1"/>
  <c r="E10" i="1" s="1"/>
  <c r="G10" i="1" s="1"/>
  <c r="E9" i="1" a="1"/>
  <c r="E9" i="1" s="1"/>
  <c r="G9" i="1" s="1"/>
  <c r="E8" i="1" a="1"/>
  <c r="E8" i="1" s="1"/>
  <c r="G8" i="1" s="1"/>
  <c r="E7" i="1" a="1"/>
  <c r="E7" i="1" s="1"/>
  <c r="G7" i="1" s="1"/>
  <c r="E6" i="1" a="1"/>
  <c r="E6" i="1" s="1"/>
  <c r="G6" i="1" s="1"/>
  <c r="E5" i="1" a="1"/>
  <c r="E5" i="1" s="1"/>
  <c r="G5" i="1" s="1"/>
  <c r="E4" i="1" a="1"/>
  <c r="E4" i="1" s="1"/>
  <c r="G4" i="1" s="1"/>
  <c r="E3" i="1" a="1"/>
  <c r="E3" i="1" s="1"/>
  <c r="G3" i="1" s="1"/>
  <c r="E2" i="1" a="1"/>
  <c r="E2" i="1" s="1"/>
  <c r="G928" i="1"/>
  <c r="G927" i="1"/>
  <c r="G926" i="1"/>
  <c r="G925" i="1"/>
  <c r="G923" i="1"/>
  <c r="G922" i="1"/>
  <c r="G921" i="1"/>
  <c r="G911" i="1"/>
  <c r="G910" i="1"/>
  <c r="G909" i="1"/>
  <c r="G907" i="1"/>
  <c r="G906" i="1"/>
  <c r="G903" i="1"/>
  <c r="G899" i="1"/>
  <c r="G895" i="1"/>
  <c r="G894" i="1"/>
  <c r="G892" i="1"/>
  <c r="G891" i="1"/>
  <c r="G890" i="1"/>
  <c r="G889" i="1"/>
  <c r="G888" i="1"/>
  <c r="G886" i="1"/>
  <c r="G885" i="1"/>
  <c r="G884" i="1"/>
  <c r="G883" i="1"/>
  <c r="G882" i="1"/>
  <c r="G878" i="1"/>
  <c r="G862" i="1"/>
  <c r="G861" i="1"/>
  <c r="G860" i="1"/>
  <c r="G859" i="1"/>
  <c r="G858" i="1"/>
  <c r="G857" i="1"/>
  <c r="G856" i="1"/>
  <c r="G852" i="1"/>
  <c r="G851" i="1"/>
  <c r="G848" i="1"/>
  <c r="G847" i="1"/>
  <c r="G846" i="1"/>
  <c r="G845" i="1"/>
  <c r="G844" i="1"/>
  <c r="G843" i="1"/>
  <c r="G832" i="1"/>
  <c r="G830" i="1"/>
  <c r="G829" i="1"/>
  <c r="G828" i="1"/>
  <c r="G822" i="1"/>
  <c r="G819" i="1"/>
  <c r="G816" i="1"/>
  <c r="G815" i="1"/>
  <c r="G814" i="1"/>
  <c r="G813" i="1"/>
  <c r="G812" i="1"/>
  <c r="G809" i="1"/>
  <c r="G803" i="1"/>
  <c r="G802" i="1"/>
  <c r="G801" i="1"/>
  <c r="G800" i="1"/>
  <c r="G798" i="1"/>
  <c r="G797" i="1"/>
  <c r="G796" i="1"/>
  <c r="G795" i="1"/>
  <c r="G794" i="1"/>
  <c r="G788" i="1"/>
  <c r="G787" i="1"/>
  <c r="G786" i="1"/>
  <c r="G779" i="1"/>
  <c r="G777" i="1"/>
  <c r="G773" i="1"/>
  <c r="G771" i="1"/>
  <c r="G766" i="1"/>
  <c r="G764" i="1"/>
  <c r="G763" i="1"/>
  <c r="G761" i="1"/>
  <c r="G760" i="1"/>
  <c r="G759" i="1"/>
  <c r="G758" i="1"/>
  <c r="G749" i="1"/>
  <c r="G747" i="1"/>
  <c r="G746" i="1"/>
  <c r="G745" i="1"/>
  <c r="G744" i="1"/>
  <c r="G743" i="1"/>
  <c r="G741" i="1"/>
  <c r="G740" i="1"/>
  <c r="G739" i="1"/>
  <c r="G738" i="1"/>
  <c r="G732" i="1"/>
  <c r="G731" i="1"/>
  <c r="G730" i="1"/>
  <c r="G729" i="1"/>
  <c r="G728" i="1"/>
  <c r="G727" i="1"/>
  <c r="G726" i="1"/>
  <c r="G725" i="1"/>
  <c r="G723" i="1"/>
  <c r="G717" i="1"/>
  <c r="G716" i="1"/>
  <c r="G715" i="1"/>
  <c r="G714" i="1"/>
  <c r="G713" i="1"/>
  <c r="G708" i="1"/>
  <c r="G707" i="1"/>
  <c r="G706" i="1"/>
  <c r="G705" i="1"/>
  <c r="G701" i="1"/>
  <c r="G700" i="1"/>
  <c r="G699" i="1"/>
  <c r="G697" i="1"/>
  <c r="G696" i="1"/>
  <c r="G695" i="1"/>
  <c r="G693" i="1"/>
  <c r="G689" i="1"/>
  <c r="G684" i="1"/>
  <c r="G683" i="1"/>
  <c r="G682" i="1"/>
  <c r="G671" i="1"/>
  <c r="G669" i="1"/>
  <c r="G668" i="1"/>
  <c r="G666" i="1"/>
  <c r="G665" i="1"/>
  <c r="G663" i="1"/>
  <c r="G652" i="1"/>
  <c r="G651" i="1"/>
  <c r="G650" i="1"/>
  <c r="G649" i="1"/>
  <c r="G648" i="1"/>
  <c r="G647" i="1"/>
  <c r="G644" i="1"/>
  <c r="G643" i="1"/>
  <c r="G642" i="1"/>
  <c r="G636" i="1"/>
  <c r="G635" i="1"/>
  <c r="G634" i="1"/>
  <c r="G633" i="1"/>
  <c r="G619" i="1"/>
  <c r="G605" i="1"/>
  <c r="G577" i="1"/>
  <c r="G564" i="1"/>
  <c r="G562" i="1"/>
  <c r="G560" i="1"/>
  <c r="G558" i="1"/>
  <c r="G536" i="1"/>
  <c r="G535" i="1"/>
  <c r="G518" i="1"/>
  <c r="G508" i="1"/>
  <c r="G491" i="1"/>
  <c r="G489" i="1"/>
  <c r="G383" i="1"/>
  <c r="G381" i="1"/>
  <c r="G368" i="1"/>
  <c r="G339" i="1"/>
  <c r="G338" i="1"/>
  <c r="G337" i="1"/>
  <c r="G336" i="1"/>
  <c r="G335" i="1"/>
  <c r="G308" i="1"/>
  <c r="G284" i="1"/>
  <c r="G281" i="1"/>
  <c r="G280" i="1"/>
  <c r="G277" i="1"/>
  <c r="G109" i="1"/>
  <c r="G30" i="1"/>
  <c r="G1" i="5"/>
  <c r="F1" i="5"/>
  <c r="E1" i="5"/>
  <c r="E92" i="5" s="1"/>
  <c r="D1" i="5"/>
  <c r="C1" i="5"/>
  <c r="C86" i="5" s="1" a="1"/>
  <c r="C86" i="5" s="1"/>
  <c r="B25" i="5"/>
  <c r="B26" i="5" s="1"/>
  <c r="C26" i="5" s="1"/>
  <c r="A2" i="6"/>
  <c r="A3" i="6" s="1"/>
  <c r="A4" i="6" s="1"/>
  <c r="A5" i="6" s="1"/>
  <c r="A6" i="6" s="1"/>
  <c r="A7" i="6" s="1"/>
  <c r="A8" i="6" s="1"/>
  <c r="A9" i="6" s="1"/>
  <c r="A10" i="6" s="1"/>
  <c r="A11" i="6" s="1"/>
  <c r="A12" i="6" s="1"/>
  <c r="A13" i="6" s="1"/>
  <c r="A14" i="6" s="1"/>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A38" i="6" s="1"/>
  <c r="A39" i="6" s="1"/>
  <c r="A40" i="6" s="1"/>
  <c r="A41" i="6" s="1"/>
  <c r="A42" i="6" s="1"/>
  <c r="A43" i="6" s="1"/>
  <c r="A44" i="6" s="1"/>
  <c r="A45" i="6" s="1"/>
  <c r="A46" i="6" s="1"/>
  <c r="G2" i="1" l="1"/>
  <c r="F2" i="1"/>
  <c r="H24" i="10"/>
  <c r="H11" i="10"/>
  <c r="H12" i="10"/>
  <c r="H14" i="10"/>
  <c r="H13" i="10"/>
  <c r="H15" i="10"/>
  <c r="H16" i="10"/>
  <c r="H17" i="10"/>
  <c r="H19" i="10"/>
  <c r="H18" i="10"/>
  <c r="H20" i="10"/>
  <c r="H21" i="10"/>
  <c r="H22" i="10"/>
  <c r="H23" i="10"/>
  <c r="E20" i="12" a="1"/>
  <c r="E20" i="12" s="1"/>
  <c r="E31" i="10"/>
  <c r="F31" i="10" s="1"/>
  <c r="G16" i="1"/>
  <c r="B7" i="12" a="1"/>
  <c r="B7" i="12" s="1"/>
  <c r="B15" i="12" a="1"/>
  <c r="B15" i="12" s="1"/>
  <c r="B6" i="12" a="1"/>
  <c r="B6" i="12" s="1"/>
  <c r="E25" i="12" a="1"/>
  <c r="E25" i="12" s="1"/>
  <c r="C25" i="12"/>
  <c r="D25" i="12" s="1"/>
  <c r="E27" i="12" a="1"/>
  <c r="E27" i="12" s="1"/>
  <c r="C27" i="12"/>
  <c r="D27" i="12" s="1"/>
  <c r="C23" i="12"/>
  <c r="D23" i="12" s="1"/>
  <c r="E23" i="12" a="1"/>
  <c r="E23" i="12" s="1"/>
  <c r="B10" i="12" a="1"/>
  <c r="B10" i="12" s="1"/>
  <c r="B13" i="12" a="1"/>
  <c r="B13" i="12" s="1"/>
  <c r="E21" i="12" a="1"/>
  <c r="E21" i="12" s="1"/>
  <c r="E22" i="12" a="1"/>
  <c r="E22" i="12" s="1"/>
  <c r="C24" i="12"/>
  <c r="D24" i="12" s="1"/>
  <c r="E26" i="12" a="1"/>
  <c r="E26" i="12" s="1"/>
  <c r="C13" i="10" a="1"/>
  <c r="C13" i="10" s="1"/>
  <c r="D13" i="10" s="1"/>
  <c r="F13" i="10" s="1"/>
  <c r="D36" i="10"/>
  <c r="E36" i="10" s="1"/>
  <c r="C12" i="10" a="1"/>
  <c r="C12" i="10" s="1"/>
  <c r="D12" i="10" s="1"/>
  <c r="F12" i="10" s="1"/>
  <c r="C11" i="10" a="1"/>
  <c r="C11" i="10" s="1"/>
  <c r="D11" i="10" s="1"/>
  <c r="F11" i="10" s="1"/>
  <c r="C28" i="12"/>
  <c r="D28" i="12" s="1"/>
  <c r="C29" i="12"/>
  <c r="D29" i="12" s="1"/>
  <c r="C30" i="12"/>
  <c r="D30" i="12" s="1"/>
  <c r="C31" i="12"/>
  <c r="D31" i="12" s="1"/>
  <c r="B5" i="12" a="1"/>
  <c r="B5" i="12" s="1"/>
  <c r="C32" i="12"/>
  <c r="D32" i="12" s="1"/>
  <c r="B8" i="12" a="1"/>
  <c r="B8" i="12" s="1"/>
  <c r="B9" i="12" a="1"/>
  <c r="B9" i="12" s="1"/>
  <c r="B11" i="12" a="1"/>
  <c r="B11" i="12" s="1"/>
  <c r="B14" i="12" a="1"/>
  <c r="B14" i="12" s="1"/>
  <c r="B12" i="12" a="1"/>
  <c r="B12" i="12" s="1"/>
  <c r="C16" i="10" a="1"/>
  <c r="C16" i="10" s="1"/>
  <c r="D16" i="10" s="1"/>
  <c r="F16" i="10" s="1"/>
  <c r="C15" i="10" a="1"/>
  <c r="C15" i="10" s="1"/>
  <c r="D15" i="10" s="1"/>
  <c r="F15" i="10" s="1"/>
  <c r="C14" i="10" a="1"/>
  <c r="C14" i="10" s="1"/>
  <c r="D14" i="10" s="1"/>
  <c r="F14" i="10" s="1"/>
  <c r="C82" i="5" a="1"/>
  <c r="C82" i="5" s="1"/>
  <c r="C85" i="5" a="1"/>
  <c r="C85" i="5" s="1"/>
  <c r="C88" i="5" a="1"/>
  <c r="C88" i="5" s="1"/>
  <c r="C91" i="5"/>
  <c r="H1" i="5" a="1"/>
  <c r="H1" i="5" s="1"/>
  <c r="C92" i="5" a="1"/>
  <c r="C92" i="5" s="1"/>
  <c r="C87" i="5" a="1"/>
  <c r="C87" i="5" s="1"/>
  <c r="G92" i="5"/>
  <c r="C89" i="5" a="1"/>
  <c r="C89" i="5" s="1"/>
  <c r="C25" i="5"/>
  <c r="D84" i="5"/>
  <c r="F82" i="5"/>
  <c r="D82" i="5"/>
  <c r="D83" i="5"/>
  <c r="C83" i="5" a="1"/>
  <c r="C83" i="5" s="1"/>
  <c r="C84" i="5" a="1"/>
  <c r="C84" i="5" s="1"/>
  <c r="F84" i="5"/>
  <c r="F86" i="5"/>
  <c r="F87" i="5"/>
  <c r="F88" i="5"/>
  <c r="F92" i="5"/>
  <c r="D85" i="5"/>
  <c r="G88" i="5"/>
  <c r="E86" i="5"/>
  <c r="F83" i="5"/>
  <c r="F85" i="5"/>
  <c r="F89" i="5"/>
  <c r="G82" i="5"/>
  <c r="G83" i="5"/>
  <c r="G84" i="5"/>
  <c r="G85" i="5"/>
  <c r="D86" i="5"/>
  <c r="G86" i="5"/>
  <c r="D87" i="5"/>
  <c r="G87" i="5"/>
  <c r="D88" i="5"/>
  <c r="D89" i="5"/>
  <c r="G89" i="5"/>
  <c r="D92" i="5"/>
  <c r="E82" i="5"/>
  <c r="O30" i="10" s="1"/>
  <c r="E83" i="5"/>
  <c r="O32" i="10" s="1"/>
  <c r="E84" i="5"/>
  <c r="E85" i="5"/>
  <c r="O33" i="10" s="1"/>
  <c r="E87" i="5"/>
  <c r="E88" i="5"/>
  <c r="E89" i="5"/>
  <c r="O29" i="10" s="1"/>
  <c r="B27" i="5"/>
  <c r="C27" i="5" s="1"/>
  <c r="C2" i="6"/>
  <c r="I2" i="6"/>
  <c r="H29" i="10" s="1"/>
  <c r="B2" i="6"/>
  <c r="I11" i="10" s="1"/>
  <c r="C3" i="6"/>
  <c r="J12" i="10" s="1"/>
  <c r="I3" i="6"/>
  <c r="H30" i="10" s="1"/>
  <c r="B3" i="6"/>
  <c r="I12" i="10" s="1"/>
  <c r="G91" i="5" l="1"/>
  <c r="F13" i="5" a="1"/>
  <c r="F13" i="5" s="1"/>
  <c r="F91" i="5"/>
  <c r="E35" i="10"/>
  <c r="F35" i="10" s="1"/>
  <c r="E29" i="10"/>
  <c r="F29" i="10" s="1"/>
  <c r="E30" i="10"/>
  <c r="F30" i="10" s="1"/>
  <c r="E32" i="10"/>
  <c r="F32" i="10" s="1"/>
  <c r="E14" i="10"/>
  <c r="E12" i="10"/>
  <c r="E11" i="10"/>
  <c r="M7" i="10" s="1"/>
  <c r="E15" i="10"/>
  <c r="E13" i="10"/>
  <c r="E16" i="10"/>
  <c r="E33" i="10"/>
  <c r="F33" i="10" s="1"/>
  <c r="M6" i="10"/>
  <c r="E34" i="10"/>
  <c r="F34" i="10" s="1"/>
  <c r="J11" i="10"/>
  <c r="N12" i="10"/>
  <c r="N30" i="10"/>
  <c r="N32" i="10"/>
  <c r="N14" i="10"/>
  <c r="N29" i="10"/>
  <c r="N11" i="10"/>
  <c r="N33" i="10"/>
  <c r="N15" i="10"/>
  <c r="E91" i="5"/>
  <c r="O31" i="10" s="1"/>
  <c r="O34" i="10" s="1"/>
  <c r="D91" i="5"/>
  <c r="B28" i="5"/>
  <c r="C28" i="5" s="1"/>
  <c r="F12" i="5" a="1"/>
  <c r="F12" i="5" s="1"/>
  <c r="G13" i="5" a="1"/>
  <c r="G13" i="5" s="1"/>
  <c r="C3" i="5" a="1"/>
  <c r="C3" i="5" s="1"/>
  <c r="D3" i="5" a="1"/>
  <c r="D3" i="5" s="1"/>
  <c r="G8" i="5" a="1"/>
  <c r="G8" i="5" s="1"/>
  <c r="F9" i="5" a="1"/>
  <c r="F9" i="5" s="1"/>
  <c r="E12" i="5" a="1"/>
  <c r="E12" i="5" s="1"/>
  <c r="G7" i="5" a="1"/>
  <c r="G7" i="5" s="1"/>
  <c r="H3" i="5" a="1"/>
  <c r="H3" i="5" s="1"/>
  <c r="H15" i="5" a="1"/>
  <c r="H15" i="5" s="1"/>
  <c r="F3" i="5" a="1"/>
  <c r="F3" i="5" s="1"/>
  <c r="H12" i="5" a="1"/>
  <c r="H12" i="5" s="1"/>
  <c r="D14" i="5" a="1"/>
  <c r="D14" i="5" s="1"/>
  <c r="H8" i="5" a="1"/>
  <c r="H8" i="5" s="1"/>
  <c r="G16" i="5" a="1"/>
  <c r="G16" i="5" s="1"/>
  <c r="G9" i="5" a="1"/>
  <c r="G9" i="5" s="1"/>
  <c r="H16" i="5" a="1"/>
  <c r="H16" i="5" s="1"/>
  <c r="G6" i="5" a="1"/>
  <c r="G6" i="5" s="1"/>
  <c r="H10" i="5" a="1"/>
  <c r="H10" i="5" s="1"/>
  <c r="G15" i="5" a="1"/>
  <c r="G15" i="5" s="1"/>
  <c r="E6" i="5" a="1"/>
  <c r="E6" i="5" s="1"/>
  <c r="C10" i="5" a="1"/>
  <c r="C10" i="5" s="1"/>
  <c r="F8" i="5" a="1"/>
  <c r="F8" i="5" s="1"/>
  <c r="D13" i="5" a="1"/>
  <c r="D13" i="5" s="1"/>
  <c r="H7" i="5" a="1"/>
  <c r="H7" i="5" s="1"/>
  <c r="G12" i="5" a="1"/>
  <c r="G12" i="5" s="1"/>
  <c r="F10" i="5" a="1"/>
  <c r="F10" i="5" s="1"/>
  <c r="D10" i="5" a="1"/>
  <c r="D10" i="5" s="1"/>
  <c r="D11" i="5" a="1"/>
  <c r="D11" i="5" s="1"/>
  <c r="F6" i="5" a="1"/>
  <c r="F6" i="5" s="1"/>
  <c r="E10" i="5" a="1"/>
  <c r="E10" i="5" s="1"/>
  <c r="D12" i="5" a="1"/>
  <c r="D12" i="5" s="1"/>
  <c r="G3" i="5" a="1"/>
  <c r="G3" i="5" s="1"/>
  <c r="E14" i="5" a="1"/>
  <c r="E14" i="5" s="1"/>
  <c r="E3" i="5" a="1"/>
  <c r="E3" i="5" s="1"/>
  <c r="F14" i="5" a="1"/>
  <c r="F14" i="5" s="1"/>
  <c r="D7" i="5" a="1"/>
  <c r="D7" i="5" s="1"/>
  <c r="G11" i="5" a="1"/>
  <c r="G11" i="5" s="1"/>
  <c r="F11" i="5" a="1"/>
  <c r="F11" i="5" s="1"/>
  <c r="E8" i="5" a="1"/>
  <c r="E8" i="5" s="1"/>
  <c r="H6" i="5" a="1"/>
  <c r="H6" i="5" s="1"/>
  <c r="E9" i="5" a="1"/>
  <c r="E9" i="5" s="1"/>
  <c r="F7" i="5" a="1"/>
  <c r="F7" i="5" s="1"/>
  <c r="E16" i="5" a="1"/>
  <c r="E16" i="5" s="1"/>
  <c r="E7" i="5" a="1"/>
  <c r="E7" i="5" s="1"/>
  <c r="H11" i="5" a="1"/>
  <c r="H11" i="5" s="1"/>
  <c r="H9" i="5" a="1"/>
  <c r="H9" i="5" s="1"/>
  <c r="D9" i="5" a="1"/>
  <c r="D9" i="5" s="1"/>
  <c r="D16" i="5" a="1"/>
  <c r="D16" i="5" s="1"/>
  <c r="G10" i="5" a="1"/>
  <c r="G10" i="5" s="1"/>
  <c r="F16" i="5" a="1"/>
  <c r="F16" i="5" s="1"/>
  <c r="H14" i="5" a="1"/>
  <c r="H14" i="5" s="1"/>
  <c r="G14" i="5" a="1"/>
  <c r="G14" i="5" s="1"/>
  <c r="E13" i="5" a="1"/>
  <c r="E13" i="5" s="1"/>
  <c r="D8" i="5" a="1"/>
  <c r="D8" i="5" s="1"/>
  <c r="E11" i="5" a="1"/>
  <c r="E11" i="5" s="1"/>
  <c r="H13" i="5" a="1"/>
  <c r="H13" i="5" s="1"/>
  <c r="C13" i="5" a="1"/>
  <c r="C13" i="5" s="1"/>
  <c r="C9" i="5" a="1"/>
  <c r="C9" i="5" s="1"/>
  <c r="D6" i="5" a="1"/>
  <c r="D6" i="5" s="1"/>
  <c r="C7" i="5" a="1"/>
  <c r="C7" i="5" s="1"/>
  <c r="C16" i="5" a="1"/>
  <c r="C16" i="5" s="1"/>
  <c r="C11" i="5" a="1"/>
  <c r="C11" i="5" s="1"/>
  <c r="C6" i="5" a="1"/>
  <c r="C6" i="5" s="1"/>
  <c r="C8" i="5" a="1"/>
  <c r="C8" i="5" s="1"/>
  <c r="C14" i="5" a="1"/>
  <c r="C14" i="5" s="1"/>
  <c r="C12" i="5" a="1"/>
  <c r="C12" i="5" s="1"/>
  <c r="D3" i="6"/>
  <c r="K12" i="10" s="1"/>
  <c r="D2" i="6"/>
  <c r="I4" i="6"/>
  <c r="H31" i="10" s="1"/>
  <c r="B4" i="6"/>
  <c r="I13" i="10" s="1"/>
  <c r="C4" i="6"/>
  <c r="J13" i="10" s="1"/>
  <c r="D15" i="5" l="1" a="1"/>
  <c r="D15" i="5" s="1"/>
  <c r="F15" i="5" a="1"/>
  <c r="F15" i="5" s="1"/>
  <c r="B29" i="5"/>
  <c r="C29" i="5" s="1"/>
  <c r="E15" i="5" a="1"/>
  <c r="E15" i="5" s="1"/>
  <c r="J3" i="6"/>
  <c r="I30" i="10" s="1"/>
  <c r="C15" i="5" a="1"/>
  <c r="C15" i="5" s="1"/>
  <c r="J2" i="6"/>
  <c r="I29" i="10" s="1"/>
  <c r="K11" i="10"/>
  <c r="N31" i="10"/>
  <c r="N34" i="10" s="1"/>
  <c r="N13" i="10"/>
  <c r="N16" i="10" s="1"/>
  <c r="D4" i="6"/>
  <c r="K13" i="10" s="1"/>
  <c r="B5" i="6"/>
  <c r="I14" i="10" s="1"/>
  <c r="I5" i="6"/>
  <c r="H32" i="10" s="1"/>
  <c r="C5" i="6"/>
  <c r="J14" i="10" s="1"/>
  <c r="B30" i="5" l="1"/>
  <c r="C30" i="5" s="1"/>
  <c r="J4" i="6"/>
  <c r="I31" i="10" s="1"/>
  <c r="O16" i="10"/>
  <c r="O15" i="10"/>
  <c r="O14" i="10"/>
  <c r="O13" i="10"/>
  <c r="O12" i="10"/>
  <c r="O11" i="10"/>
  <c r="D5" i="6"/>
  <c r="B6" i="6"/>
  <c r="I15" i="10" s="1"/>
  <c r="I6" i="6"/>
  <c r="H33" i="10" s="1"/>
  <c r="C6" i="6"/>
  <c r="J15" i="10" s="1"/>
  <c r="B31" i="5" l="1"/>
  <c r="C31" i="5" s="1"/>
  <c r="J5" i="6"/>
  <c r="I32" i="10" s="1"/>
  <c r="K14" i="10"/>
  <c r="D6" i="6"/>
  <c r="B32" i="5"/>
  <c r="C32" i="5" s="1"/>
  <c r="I7" i="6"/>
  <c r="H34" i="10" s="1"/>
  <c r="C7" i="6"/>
  <c r="J16" i="10" s="1"/>
  <c r="B7" i="6"/>
  <c r="I16" i="10" s="1"/>
  <c r="D3" i="3"/>
  <c r="D5" i="3" s="1"/>
  <c r="D2" i="3"/>
  <c r="D4" i="3" s="1"/>
  <c r="B4" i="3"/>
  <c r="B2" i="3"/>
  <c r="F44" i="3"/>
  <c r="F31" i="3"/>
  <c r="F9" i="3"/>
  <c r="F692" i="1"/>
  <c r="F689" i="1"/>
  <c r="F688" i="1"/>
  <c r="F686" i="1"/>
  <c r="F685" i="1"/>
  <c r="F683" i="1"/>
  <c r="F682" i="1"/>
  <c r="F680" i="1"/>
  <c r="F679" i="1"/>
  <c r="F676" i="1"/>
  <c r="F675" i="1"/>
  <c r="F673" i="1"/>
  <c r="F670" i="1"/>
  <c r="F669" i="1"/>
  <c r="F668" i="1"/>
  <c r="F667" i="1"/>
  <c r="F665" i="1"/>
  <c r="F660" i="1"/>
  <c r="F635" i="1"/>
  <c r="F634" i="1"/>
  <c r="F629" i="1"/>
  <c r="F628" i="1"/>
  <c r="F621" i="1"/>
  <c r="F620" i="1"/>
  <c r="F619" i="1"/>
  <c r="F593" i="1"/>
  <c r="F581" i="1"/>
  <c r="F577" i="1"/>
  <c r="F573" i="1"/>
  <c r="F565" i="1"/>
  <c r="F564" i="1"/>
  <c r="F558" i="1"/>
  <c r="F522" i="1"/>
  <c r="F519" i="1"/>
  <c r="F518" i="1"/>
  <c r="F489" i="1"/>
  <c r="F480" i="1"/>
  <c r="F478" i="1"/>
  <c r="F477" i="1"/>
  <c r="F466" i="1"/>
  <c r="F451" i="1"/>
  <c r="F450" i="1"/>
  <c r="F443" i="1"/>
  <c r="F436" i="1"/>
  <c r="F429" i="1"/>
  <c r="F426" i="1"/>
  <c r="F407" i="1"/>
  <c r="F405" i="1"/>
  <c r="F404" i="1"/>
  <c r="F403" i="1"/>
  <c r="F401" i="1"/>
  <c r="F398" i="1"/>
  <c r="F382" i="1"/>
  <c r="F381" i="1"/>
  <c r="F374" i="1"/>
  <c r="F370" i="1"/>
  <c r="F361" i="1"/>
  <c r="F360" i="1"/>
  <c r="F343" i="1"/>
  <c r="F336" i="1"/>
  <c r="F331" i="1"/>
  <c r="F328" i="1"/>
  <c r="F327" i="1"/>
  <c r="F326" i="1"/>
  <c r="F325" i="1"/>
  <c r="F324" i="1"/>
  <c r="F302" i="1"/>
  <c r="F301" i="1"/>
  <c r="F300" i="1"/>
  <c r="F284" i="1"/>
  <c r="F280" i="1"/>
  <c r="F276" i="1"/>
  <c r="F245" i="1"/>
  <c r="F241" i="1"/>
  <c r="F224" i="1"/>
  <c r="F211" i="1"/>
  <c r="F210" i="1"/>
  <c r="F199" i="1"/>
  <c r="F197" i="1"/>
  <c r="F196" i="1"/>
  <c r="F194" i="1"/>
  <c r="F193" i="1"/>
  <c r="F192" i="1"/>
  <c r="F186" i="1"/>
  <c r="F185" i="1"/>
  <c r="F184" i="1"/>
  <c r="F176" i="1"/>
  <c r="F157" i="1"/>
  <c r="F156" i="1"/>
  <c r="F137" i="1"/>
  <c r="F135" i="1"/>
  <c r="F131" i="1"/>
  <c r="F130" i="1"/>
  <c r="F129" i="1"/>
  <c r="F128" i="1"/>
  <c r="F127" i="1"/>
  <c r="F126" i="1"/>
  <c r="F121" i="1"/>
  <c r="F119" i="1"/>
  <c r="F118" i="1"/>
  <c r="F117" i="1"/>
  <c r="F116" i="1"/>
  <c r="F113" i="1"/>
  <c r="F111" i="1"/>
  <c r="F104" i="1"/>
  <c r="F98" i="1"/>
  <c r="F97" i="1"/>
  <c r="F91" i="1"/>
  <c r="F82" i="1"/>
  <c r="F80" i="1"/>
  <c r="F79" i="1"/>
  <c r="F78" i="1"/>
  <c r="F77" i="1"/>
  <c r="F75" i="1"/>
  <c r="F73" i="1"/>
  <c r="F70" i="1"/>
  <c r="F68" i="1"/>
  <c r="F63" i="1"/>
  <c r="F60" i="1"/>
  <c r="F55" i="1"/>
  <c r="F52" i="1"/>
  <c r="F45" i="1"/>
  <c r="F43" i="1"/>
  <c r="F32" i="1"/>
  <c r="F24" i="1"/>
  <c r="F20" i="1"/>
  <c r="F19" i="1"/>
  <c r="F18" i="1"/>
  <c r="F16" i="1"/>
  <c r="F14" i="1"/>
  <c r="F13" i="1"/>
  <c r="F11" i="1"/>
  <c r="F6" i="1"/>
  <c r="F5" i="1"/>
  <c r="F4" i="1"/>
  <c r="F928" i="1"/>
  <c r="F927" i="1"/>
  <c r="F926" i="1"/>
  <c r="F925" i="1"/>
  <c r="F924" i="1"/>
  <c r="F923" i="1"/>
  <c r="F922" i="1"/>
  <c r="F921" i="1"/>
  <c r="F920" i="1"/>
  <c r="F919" i="1"/>
  <c r="F918" i="1"/>
  <c r="F917" i="1"/>
  <c r="F916" i="1"/>
  <c r="F915" i="1"/>
  <c r="F914" i="1"/>
  <c r="F913" i="1"/>
  <c r="F912" i="1"/>
  <c r="F911" i="1"/>
  <c r="F910" i="1"/>
  <c r="F909" i="1"/>
  <c r="F908" i="1"/>
  <c r="F907" i="1"/>
  <c r="F906" i="1"/>
  <c r="F905" i="1"/>
  <c r="F904" i="1"/>
  <c r="F903" i="1"/>
  <c r="F902" i="1"/>
  <c r="F901" i="1"/>
  <c r="F900" i="1"/>
  <c r="F899" i="1"/>
  <c r="F898" i="1"/>
  <c r="F897" i="1"/>
  <c r="F896" i="1"/>
  <c r="F895" i="1"/>
  <c r="F894" i="1"/>
  <c r="F893" i="1"/>
  <c r="F892" i="1"/>
  <c r="F891" i="1"/>
  <c r="F890" i="1"/>
  <c r="F889" i="1"/>
  <c r="F888" i="1"/>
  <c r="F887" i="1"/>
  <c r="F886" i="1"/>
  <c r="F885" i="1"/>
  <c r="F884" i="1"/>
  <c r="F883" i="1"/>
  <c r="F882" i="1"/>
  <c r="F881" i="1"/>
  <c r="F880" i="1"/>
  <c r="F879" i="1"/>
  <c r="F878" i="1"/>
  <c r="F877" i="1"/>
  <c r="F876" i="1"/>
  <c r="F875" i="1"/>
  <c r="F874" i="1"/>
  <c r="F873" i="1"/>
  <c r="F872" i="1"/>
  <c r="F871" i="1"/>
  <c r="F870" i="1"/>
  <c r="F869" i="1"/>
  <c r="F868" i="1"/>
  <c r="F867" i="1"/>
  <c r="F866" i="1"/>
  <c r="F865" i="1"/>
  <c r="F864" i="1"/>
  <c r="F863" i="1"/>
  <c r="F862" i="1"/>
  <c r="F861" i="1"/>
  <c r="F860" i="1"/>
  <c r="F859" i="1"/>
  <c r="F858" i="1"/>
  <c r="F857" i="1"/>
  <c r="F856" i="1"/>
  <c r="F855" i="1"/>
  <c r="F854" i="1"/>
  <c r="F853" i="1"/>
  <c r="F852" i="1"/>
  <c r="F851" i="1"/>
  <c r="F850" i="1"/>
  <c r="F849" i="1"/>
  <c r="F848" i="1"/>
  <c r="F847" i="1"/>
  <c r="F846" i="1"/>
  <c r="F845" i="1"/>
  <c r="F844" i="1"/>
  <c r="F843" i="1"/>
  <c r="F842" i="1"/>
  <c r="F841" i="1"/>
  <c r="F840" i="1"/>
  <c r="F839" i="1"/>
  <c r="F838" i="1"/>
  <c r="F837" i="1"/>
  <c r="F836" i="1"/>
  <c r="F835" i="1"/>
  <c r="F834" i="1"/>
  <c r="F833" i="1"/>
  <c r="F832" i="1"/>
  <c r="F831" i="1"/>
  <c r="F830" i="1"/>
  <c r="F829" i="1"/>
  <c r="F828" i="1"/>
  <c r="F827" i="1"/>
  <c r="F826" i="1"/>
  <c r="F825" i="1"/>
  <c r="F824" i="1"/>
  <c r="F823" i="1"/>
  <c r="F822" i="1"/>
  <c r="F821" i="1"/>
  <c r="F820" i="1"/>
  <c r="F819" i="1"/>
  <c r="F818" i="1"/>
  <c r="F817" i="1"/>
  <c r="F816" i="1"/>
  <c r="F815" i="1"/>
  <c r="F814" i="1"/>
  <c r="F813" i="1"/>
  <c r="F812" i="1"/>
  <c r="F811" i="1"/>
  <c r="F810" i="1"/>
  <c r="F809" i="1"/>
  <c r="F808" i="1"/>
  <c r="F807" i="1"/>
  <c r="F806" i="1"/>
  <c r="F805" i="1"/>
  <c r="F804" i="1"/>
  <c r="F803" i="1"/>
  <c r="F802" i="1"/>
  <c r="F801" i="1"/>
  <c r="F800" i="1"/>
  <c r="F799" i="1"/>
  <c r="F798" i="1"/>
  <c r="F797" i="1"/>
  <c r="F796" i="1"/>
  <c r="F795" i="1"/>
  <c r="F794" i="1"/>
  <c r="F793" i="1"/>
  <c r="F792" i="1"/>
  <c r="F791" i="1"/>
  <c r="F790" i="1"/>
  <c r="F789" i="1"/>
  <c r="F788" i="1"/>
  <c r="F787" i="1"/>
  <c r="F786" i="1"/>
  <c r="F785" i="1"/>
  <c r="F784" i="1"/>
  <c r="F783" i="1"/>
  <c r="F782" i="1"/>
  <c r="F781" i="1"/>
  <c r="F780" i="1"/>
  <c r="F779" i="1"/>
  <c r="F778" i="1"/>
  <c r="F777" i="1"/>
  <c r="F776" i="1"/>
  <c r="F775" i="1"/>
  <c r="F774" i="1"/>
  <c r="F773" i="1"/>
  <c r="F772" i="1"/>
  <c r="F771" i="1"/>
  <c r="F770" i="1"/>
  <c r="F769" i="1"/>
  <c r="F768" i="1"/>
  <c r="F767" i="1"/>
  <c r="F766" i="1"/>
  <c r="F765" i="1"/>
  <c r="F764" i="1"/>
  <c r="F763" i="1"/>
  <c r="F762" i="1"/>
  <c r="F761" i="1"/>
  <c r="F760" i="1"/>
  <c r="F759" i="1"/>
  <c r="F758" i="1"/>
  <c r="F757" i="1"/>
  <c r="F756" i="1"/>
  <c r="F755" i="1"/>
  <c r="F754" i="1"/>
  <c r="F753" i="1"/>
  <c r="F752" i="1"/>
  <c r="F751" i="1"/>
  <c r="F750" i="1"/>
  <c r="F749" i="1"/>
  <c r="F748" i="1"/>
  <c r="F747" i="1"/>
  <c r="F746" i="1"/>
  <c r="F745" i="1"/>
  <c r="F744" i="1"/>
  <c r="F743" i="1"/>
  <c r="F742" i="1"/>
  <c r="F741" i="1"/>
  <c r="F740" i="1"/>
  <c r="F739" i="1"/>
  <c r="F738" i="1"/>
  <c r="F737" i="1"/>
  <c r="F736" i="1"/>
  <c r="F735" i="1"/>
  <c r="F734" i="1"/>
  <c r="F733" i="1"/>
  <c r="F732" i="1"/>
  <c r="F731" i="1"/>
  <c r="F730" i="1"/>
  <c r="F729" i="1"/>
  <c r="F728" i="1"/>
  <c r="F727" i="1"/>
  <c r="F726" i="1"/>
  <c r="F725" i="1"/>
  <c r="F724" i="1"/>
  <c r="F723" i="1"/>
  <c r="F722" i="1"/>
  <c r="F721" i="1"/>
  <c r="F720" i="1"/>
  <c r="F719" i="1"/>
  <c r="F718" i="1"/>
  <c r="F717" i="1"/>
  <c r="F716" i="1"/>
  <c r="F715" i="1"/>
  <c r="F714" i="1"/>
  <c r="F713" i="1"/>
  <c r="F712" i="1"/>
  <c r="F711" i="1"/>
  <c r="F710" i="1"/>
  <c r="F709" i="1"/>
  <c r="F708" i="1"/>
  <c r="F707" i="1"/>
  <c r="F706" i="1"/>
  <c r="F705" i="1"/>
  <c r="F704" i="1"/>
  <c r="F703" i="1"/>
  <c r="F702" i="1"/>
  <c r="F701" i="1"/>
  <c r="F700" i="1"/>
  <c r="F699" i="1"/>
  <c r="F698" i="1"/>
  <c r="F697" i="1"/>
  <c r="F696" i="1"/>
  <c r="F695" i="1"/>
  <c r="F694" i="1"/>
  <c r="F693" i="1"/>
  <c r="F691" i="1"/>
  <c r="F690" i="1"/>
  <c r="F687" i="1"/>
  <c r="F684" i="1"/>
  <c r="F681" i="1"/>
  <c r="F678" i="1"/>
  <c r="F677" i="1"/>
  <c r="F674" i="1"/>
  <c r="F672" i="1"/>
  <c r="F671" i="1"/>
  <c r="F666" i="1"/>
  <c r="F664" i="1"/>
  <c r="F663" i="1"/>
  <c r="F662" i="1"/>
  <c r="F661" i="1"/>
  <c r="F659" i="1"/>
  <c r="F658" i="1"/>
  <c r="F657" i="1"/>
  <c r="F656" i="1"/>
  <c r="F655" i="1"/>
  <c r="F654" i="1"/>
  <c r="F653" i="1"/>
  <c r="F652" i="1"/>
  <c r="F651" i="1"/>
  <c r="F650" i="1"/>
  <c r="F649" i="1"/>
  <c r="F648" i="1"/>
  <c r="F647" i="1"/>
  <c r="F646" i="1"/>
  <c r="F645" i="1"/>
  <c r="F644" i="1"/>
  <c r="F643" i="1"/>
  <c r="F642" i="1"/>
  <c r="F641" i="1"/>
  <c r="F640" i="1"/>
  <c r="F639" i="1"/>
  <c r="F638" i="1"/>
  <c r="F637" i="1"/>
  <c r="F636" i="1"/>
  <c r="F633" i="1"/>
  <c r="F632" i="1"/>
  <c r="F631" i="1"/>
  <c r="F630" i="1"/>
  <c r="F627" i="1"/>
  <c r="F626" i="1"/>
  <c r="F625" i="1"/>
  <c r="F624" i="1"/>
  <c r="F623" i="1"/>
  <c r="F622" i="1"/>
  <c r="F618" i="1"/>
  <c r="F617" i="1"/>
  <c r="F616" i="1"/>
  <c r="F615" i="1"/>
  <c r="F614" i="1"/>
  <c r="F613" i="1"/>
  <c r="F612" i="1"/>
  <c r="F611" i="1"/>
  <c r="F610" i="1"/>
  <c r="F609" i="1"/>
  <c r="F608" i="1"/>
  <c r="F607" i="1"/>
  <c r="F606" i="1"/>
  <c r="F605" i="1"/>
  <c r="F604" i="1"/>
  <c r="F603" i="1"/>
  <c r="F602" i="1"/>
  <c r="F601" i="1"/>
  <c r="F600" i="1"/>
  <c r="F599" i="1"/>
  <c r="F598" i="1"/>
  <c r="F597" i="1"/>
  <c r="F596" i="1"/>
  <c r="F595" i="1"/>
  <c r="F594" i="1"/>
  <c r="F592" i="1"/>
  <c r="F591" i="1"/>
  <c r="F590" i="1"/>
  <c r="F589" i="1"/>
  <c r="F588" i="1"/>
  <c r="F587" i="1"/>
  <c r="F586" i="1"/>
  <c r="F585" i="1"/>
  <c r="F584" i="1"/>
  <c r="F583" i="1"/>
  <c r="F582" i="1"/>
  <c r="F580" i="1"/>
  <c r="F579" i="1"/>
  <c r="F578" i="1"/>
  <c r="F576" i="1"/>
  <c r="F575" i="1"/>
  <c r="F574" i="1"/>
  <c r="F572" i="1"/>
  <c r="F571" i="1"/>
  <c r="F570" i="1"/>
  <c r="F569" i="1"/>
  <c r="F568" i="1"/>
  <c r="F567" i="1"/>
  <c r="F566" i="1"/>
  <c r="F563" i="1"/>
  <c r="F562" i="1"/>
  <c r="F561" i="1"/>
  <c r="F560" i="1"/>
  <c r="F559" i="1"/>
  <c r="F557" i="1"/>
  <c r="F556" i="1"/>
  <c r="F555" i="1"/>
  <c r="F554" i="1"/>
  <c r="F553" i="1"/>
  <c r="F552" i="1"/>
  <c r="F551" i="1"/>
  <c r="F550" i="1"/>
  <c r="F549" i="1"/>
  <c r="F548" i="1"/>
  <c r="F547" i="1"/>
  <c r="F546" i="1"/>
  <c r="F545" i="1"/>
  <c r="F544" i="1"/>
  <c r="F543" i="1"/>
  <c r="F542" i="1"/>
  <c r="F541" i="1"/>
  <c r="F540" i="1"/>
  <c r="F539" i="1"/>
  <c r="F538" i="1"/>
  <c r="F537" i="1"/>
  <c r="F536" i="1"/>
  <c r="F535" i="1"/>
  <c r="F534" i="1"/>
  <c r="F533" i="1"/>
  <c r="F532" i="1"/>
  <c r="F531" i="1"/>
  <c r="F530" i="1"/>
  <c r="F529" i="1"/>
  <c r="F528" i="1"/>
  <c r="F527" i="1"/>
  <c r="F526" i="1"/>
  <c r="F525" i="1"/>
  <c r="F524" i="1"/>
  <c r="F523" i="1"/>
  <c r="F521" i="1"/>
  <c r="F520" i="1"/>
  <c r="F517" i="1"/>
  <c r="F516" i="1"/>
  <c r="F515" i="1"/>
  <c r="F514" i="1"/>
  <c r="F513" i="1"/>
  <c r="F512" i="1"/>
  <c r="F511" i="1"/>
  <c r="F510" i="1"/>
  <c r="F509" i="1"/>
  <c r="F508" i="1"/>
  <c r="F507" i="1"/>
  <c r="F506" i="1"/>
  <c r="F505" i="1"/>
  <c r="F504" i="1"/>
  <c r="F503" i="1"/>
  <c r="F502" i="1"/>
  <c r="F501" i="1"/>
  <c r="F500" i="1"/>
  <c r="F499" i="1"/>
  <c r="F498" i="1"/>
  <c r="F497" i="1"/>
  <c r="F496" i="1"/>
  <c r="F495" i="1"/>
  <c r="F494" i="1"/>
  <c r="F493" i="1"/>
  <c r="F492" i="1"/>
  <c r="F491" i="1"/>
  <c r="F490" i="1"/>
  <c r="F488" i="1"/>
  <c r="F487" i="1"/>
  <c r="F486" i="1"/>
  <c r="F485" i="1"/>
  <c r="F484" i="1"/>
  <c r="F483" i="1"/>
  <c r="F482" i="1"/>
  <c r="F481" i="1"/>
  <c r="F479" i="1"/>
  <c r="F476" i="1"/>
  <c r="F475" i="1"/>
  <c r="F474" i="1"/>
  <c r="F473" i="1"/>
  <c r="F472" i="1"/>
  <c r="F471" i="1"/>
  <c r="F470" i="1"/>
  <c r="F469" i="1"/>
  <c r="F468" i="1"/>
  <c r="F467" i="1"/>
  <c r="F465" i="1"/>
  <c r="F464" i="1"/>
  <c r="F463" i="1"/>
  <c r="F462" i="1"/>
  <c r="F461" i="1"/>
  <c r="F460" i="1"/>
  <c r="F459" i="1"/>
  <c r="F458" i="1"/>
  <c r="F457" i="1"/>
  <c r="F456" i="1"/>
  <c r="F455" i="1"/>
  <c r="F454" i="1"/>
  <c r="F453" i="1"/>
  <c r="F452" i="1"/>
  <c r="F449" i="1"/>
  <c r="F448" i="1"/>
  <c r="F447" i="1"/>
  <c r="F446" i="1"/>
  <c r="F445" i="1"/>
  <c r="F444" i="1"/>
  <c r="F442" i="1"/>
  <c r="F441" i="1"/>
  <c r="F440" i="1"/>
  <c r="F439" i="1"/>
  <c r="F438" i="1"/>
  <c r="F437" i="1"/>
  <c r="F435" i="1"/>
  <c r="F434" i="1"/>
  <c r="F433" i="1"/>
  <c r="F432" i="1"/>
  <c r="F431" i="1"/>
  <c r="F430" i="1"/>
  <c r="F428" i="1"/>
  <c r="F427" i="1"/>
  <c r="F425" i="1"/>
  <c r="F424" i="1"/>
  <c r="F423" i="1"/>
  <c r="F422" i="1"/>
  <c r="F421" i="1"/>
  <c r="F420" i="1"/>
  <c r="F419" i="1"/>
  <c r="F418" i="1"/>
  <c r="F417" i="1"/>
  <c r="F416" i="1"/>
  <c r="F415" i="1"/>
  <c r="F414" i="1"/>
  <c r="F413" i="1"/>
  <c r="F412" i="1"/>
  <c r="F411" i="1"/>
  <c r="F410" i="1"/>
  <c r="F409" i="1"/>
  <c r="F408" i="1"/>
  <c r="F406" i="1"/>
  <c r="F402" i="1"/>
  <c r="F400" i="1"/>
  <c r="F399" i="1"/>
  <c r="F397" i="1"/>
  <c r="F396" i="1"/>
  <c r="F395" i="1"/>
  <c r="F394" i="1"/>
  <c r="F393" i="1"/>
  <c r="F392" i="1"/>
  <c r="F391" i="1"/>
  <c r="F390" i="1"/>
  <c r="F389" i="1"/>
  <c r="F388" i="1"/>
  <c r="F387" i="1"/>
  <c r="F386" i="1"/>
  <c r="F385" i="1"/>
  <c r="F384" i="1"/>
  <c r="F383" i="1"/>
  <c r="F380" i="1"/>
  <c r="F379" i="1"/>
  <c r="F378" i="1"/>
  <c r="F377" i="1"/>
  <c r="F376" i="1"/>
  <c r="F375" i="1"/>
  <c r="F373" i="1"/>
  <c r="F372" i="1"/>
  <c r="F371" i="1"/>
  <c r="F369" i="1"/>
  <c r="F368" i="1"/>
  <c r="F367" i="1"/>
  <c r="F366" i="1"/>
  <c r="F365" i="1"/>
  <c r="F364" i="1"/>
  <c r="F363" i="1"/>
  <c r="F362" i="1"/>
  <c r="F359" i="1"/>
  <c r="F358" i="1"/>
  <c r="F357" i="1"/>
  <c r="F356" i="1"/>
  <c r="F355" i="1"/>
  <c r="F354" i="1"/>
  <c r="F353" i="1"/>
  <c r="F352" i="1"/>
  <c r="F351" i="1"/>
  <c r="F350" i="1"/>
  <c r="F349" i="1"/>
  <c r="F348" i="1"/>
  <c r="F347" i="1"/>
  <c r="F346" i="1"/>
  <c r="F345" i="1"/>
  <c r="F344" i="1"/>
  <c r="F342" i="1"/>
  <c r="F341" i="1"/>
  <c r="F340" i="1"/>
  <c r="F339" i="1"/>
  <c r="F338" i="1"/>
  <c r="F337" i="1"/>
  <c r="F335" i="1"/>
  <c r="F334" i="1"/>
  <c r="F333" i="1"/>
  <c r="F332" i="1"/>
  <c r="F330" i="1"/>
  <c r="F329" i="1"/>
  <c r="F323" i="1"/>
  <c r="F322" i="1"/>
  <c r="F321" i="1"/>
  <c r="F320" i="1"/>
  <c r="F319" i="1"/>
  <c r="F318" i="1"/>
  <c r="F317" i="1"/>
  <c r="F316" i="1"/>
  <c r="F315" i="1"/>
  <c r="F314" i="1"/>
  <c r="F313" i="1"/>
  <c r="F312" i="1"/>
  <c r="F311" i="1"/>
  <c r="F310" i="1"/>
  <c r="F309" i="1"/>
  <c r="F308" i="1"/>
  <c r="F307" i="1"/>
  <c r="F306" i="1"/>
  <c r="F305" i="1"/>
  <c r="F304" i="1"/>
  <c r="F303" i="1"/>
  <c r="F299" i="1"/>
  <c r="F298" i="1"/>
  <c r="F297" i="1"/>
  <c r="F296" i="1"/>
  <c r="F295" i="1"/>
  <c r="F294" i="1"/>
  <c r="F293" i="1"/>
  <c r="F292" i="1"/>
  <c r="F291" i="1"/>
  <c r="F290" i="1"/>
  <c r="F289" i="1"/>
  <c r="F288" i="1"/>
  <c r="F287" i="1"/>
  <c r="F286" i="1"/>
  <c r="F285" i="1"/>
  <c r="F283" i="1"/>
  <c r="F282" i="1"/>
  <c r="F281" i="1"/>
  <c r="F279" i="1"/>
  <c r="F278" i="1"/>
  <c r="F277"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4" i="1"/>
  <c r="F243" i="1"/>
  <c r="F242" i="1"/>
  <c r="F240" i="1"/>
  <c r="F239" i="1"/>
  <c r="F238" i="1"/>
  <c r="F237" i="1"/>
  <c r="F236" i="1"/>
  <c r="F235" i="1"/>
  <c r="F234" i="1"/>
  <c r="F233" i="1"/>
  <c r="F232" i="1"/>
  <c r="F231" i="1"/>
  <c r="F230" i="1"/>
  <c r="F229" i="1"/>
  <c r="F228" i="1"/>
  <c r="F227" i="1"/>
  <c r="F226" i="1"/>
  <c r="F225" i="1"/>
  <c r="F223" i="1"/>
  <c r="F222" i="1"/>
  <c r="F221" i="1"/>
  <c r="F220" i="1"/>
  <c r="F219" i="1"/>
  <c r="F218" i="1"/>
  <c r="F217" i="1"/>
  <c r="F216" i="1"/>
  <c r="F215" i="1"/>
  <c r="F214" i="1"/>
  <c r="F213" i="1"/>
  <c r="F212" i="1"/>
  <c r="F209" i="1"/>
  <c r="F208" i="1"/>
  <c r="F207" i="1"/>
  <c r="F206" i="1"/>
  <c r="F205" i="1"/>
  <c r="F204" i="1"/>
  <c r="F203" i="1"/>
  <c r="F202" i="1"/>
  <c r="F201" i="1"/>
  <c r="F200" i="1"/>
  <c r="F198" i="1"/>
  <c r="F195" i="1"/>
  <c r="F191" i="1"/>
  <c r="F190" i="1"/>
  <c r="F189" i="1"/>
  <c r="F188" i="1"/>
  <c r="F187" i="1"/>
  <c r="F183" i="1"/>
  <c r="F182" i="1"/>
  <c r="F181" i="1"/>
  <c r="F180" i="1"/>
  <c r="F179" i="1"/>
  <c r="F178" i="1"/>
  <c r="F177" i="1"/>
  <c r="F175" i="1"/>
  <c r="F174" i="1"/>
  <c r="F173" i="1"/>
  <c r="F172" i="1"/>
  <c r="F171" i="1"/>
  <c r="F170" i="1"/>
  <c r="F169" i="1"/>
  <c r="F168" i="1"/>
  <c r="F167" i="1"/>
  <c r="F166" i="1"/>
  <c r="F165" i="1"/>
  <c r="F164" i="1"/>
  <c r="F163" i="1"/>
  <c r="F162" i="1"/>
  <c r="F161" i="1"/>
  <c r="F160" i="1"/>
  <c r="F159" i="1"/>
  <c r="F158" i="1"/>
  <c r="F155" i="1"/>
  <c r="F154" i="1"/>
  <c r="F153" i="1"/>
  <c r="F152" i="1"/>
  <c r="F151" i="1"/>
  <c r="F150" i="1"/>
  <c r="F149" i="1"/>
  <c r="F148" i="1"/>
  <c r="F147" i="1"/>
  <c r="F146" i="1"/>
  <c r="F145" i="1"/>
  <c r="F144" i="1"/>
  <c r="F143" i="1"/>
  <c r="F142" i="1"/>
  <c r="F141" i="1"/>
  <c r="F140" i="1"/>
  <c r="F139" i="1"/>
  <c r="F138" i="1"/>
  <c r="F136" i="1"/>
  <c r="F134" i="1"/>
  <c r="F133" i="1"/>
  <c r="F132" i="1"/>
  <c r="F125" i="1"/>
  <c r="F124" i="1"/>
  <c r="F123" i="1"/>
  <c r="F122" i="1"/>
  <c r="F120" i="1"/>
  <c r="F115" i="1"/>
  <c r="F114" i="1"/>
  <c r="F112" i="1"/>
  <c r="F110" i="1"/>
  <c r="F109" i="1"/>
  <c r="F108" i="1"/>
  <c r="F107" i="1"/>
  <c r="F106" i="1"/>
  <c r="F105" i="1"/>
  <c r="F103" i="1"/>
  <c r="F102" i="1"/>
  <c r="F101" i="1"/>
  <c r="F100" i="1"/>
  <c r="F99" i="1"/>
  <c r="F96" i="1"/>
  <c r="F95" i="1"/>
  <c r="F94" i="1"/>
  <c r="F93" i="1"/>
  <c r="F92" i="1"/>
  <c r="F90" i="1"/>
  <c r="F89" i="1"/>
  <c r="F88" i="1"/>
  <c r="F87" i="1"/>
  <c r="F86" i="1"/>
  <c r="F85" i="1"/>
  <c r="F84" i="1"/>
  <c r="F83" i="1"/>
  <c r="F81" i="1"/>
  <c r="F76" i="1"/>
  <c r="F74" i="1"/>
  <c r="F72" i="1"/>
  <c r="F71" i="1"/>
  <c r="F69" i="1"/>
  <c r="F67" i="1"/>
  <c r="F66" i="1"/>
  <c r="F65" i="1"/>
  <c r="F64" i="1"/>
  <c r="F62" i="1"/>
  <c r="F61" i="1"/>
  <c r="F59" i="1"/>
  <c r="F58" i="1"/>
  <c r="F57" i="1"/>
  <c r="F56" i="1"/>
  <c r="F54" i="1"/>
  <c r="F53" i="1"/>
  <c r="F51" i="1"/>
  <c r="F50" i="1"/>
  <c r="F49" i="1"/>
  <c r="F48" i="1"/>
  <c r="F47" i="1"/>
  <c r="F46" i="1"/>
  <c r="F44" i="1"/>
  <c r="F42" i="1"/>
  <c r="F41" i="1"/>
  <c r="F40" i="1"/>
  <c r="F39" i="1"/>
  <c r="F38" i="1"/>
  <c r="F37" i="1"/>
  <c r="F36" i="1"/>
  <c r="F35" i="1"/>
  <c r="F34" i="1"/>
  <c r="F33" i="1"/>
  <c r="F31" i="1"/>
  <c r="F30" i="1"/>
  <c r="F29" i="1"/>
  <c r="F28" i="1"/>
  <c r="F27" i="1"/>
  <c r="F26" i="1"/>
  <c r="F25" i="1"/>
  <c r="F23" i="1"/>
  <c r="F22" i="1"/>
  <c r="F21" i="1"/>
  <c r="F17" i="1"/>
  <c r="F15" i="1"/>
  <c r="F12" i="1"/>
  <c r="F10" i="1"/>
  <c r="F8" i="1"/>
  <c r="F7" i="1"/>
  <c r="F3" i="1"/>
  <c r="E13" i="12" l="1" a="1"/>
  <c r="E13" i="12" s="1"/>
  <c r="C15" i="12"/>
  <c r="C14" i="12"/>
  <c r="E12" i="12" a="1"/>
  <c r="E12" i="12" s="1"/>
  <c r="E11" i="12" a="1"/>
  <c r="E11" i="12" s="1"/>
  <c r="C13" i="12"/>
  <c r="C12" i="12"/>
  <c r="C11" i="12"/>
  <c r="E14" i="12" a="1"/>
  <c r="E14" i="12" s="1"/>
  <c r="E15" i="12" a="1"/>
  <c r="E15" i="12" s="1"/>
  <c r="J6" i="6"/>
  <c r="I33" i="10" s="1"/>
  <c r="K15" i="10"/>
  <c r="D7" i="6"/>
  <c r="K16" i="10" s="1"/>
  <c r="H8" i="3"/>
  <c r="E8" i="12" a="1"/>
  <c r="E8" i="12" s="1"/>
  <c r="C8" i="12"/>
  <c r="C7" i="12"/>
  <c r="E7" i="12" a="1"/>
  <c r="E7" i="12" s="1"/>
  <c r="E6" i="12" a="1"/>
  <c r="E6" i="12" s="1"/>
  <c r="C6" i="12"/>
  <c r="E5" i="12" a="1"/>
  <c r="E5" i="12" s="1"/>
  <c r="C5" i="12"/>
  <c r="C9" i="12"/>
  <c r="E9" i="12" a="1"/>
  <c r="E9" i="12" s="1"/>
  <c r="E10" i="12" a="1"/>
  <c r="E10" i="12" s="1"/>
  <c r="C10" i="12"/>
  <c r="H30" i="3"/>
  <c r="F43" i="3" a="1"/>
  <c r="F43" i="3" s="1"/>
  <c r="F40" i="3" a="1"/>
  <c r="F40" i="3" s="1"/>
  <c r="F34" i="3" a="1"/>
  <c r="F34" i="3" s="1"/>
  <c r="F33" i="3" a="1"/>
  <c r="F33" i="3" s="1"/>
  <c r="F36" i="3" a="1"/>
  <c r="F36" i="3" s="1"/>
  <c r="F32" i="3" a="1"/>
  <c r="F32" i="3" s="1"/>
  <c r="F20" i="3" a="1"/>
  <c r="F20" i="3" s="1"/>
  <c r="F19" i="3" a="1"/>
  <c r="F19" i="3" s="1"/>
  <c r="F35" i="3" a="1"/>
  <c r="F35" i="3" s="1"/>
  <c r="F21" i="3" a="1"/>
  <c r="F21" i="3" s="1"/>
  <c r="F17" i="3" a="1"/>
  <c r="F17" i="3" s="1"/>
  <c r="F18" i="3" a="1"/>
  <c r="F18" i="3" s="1"/>
  <c r="F16" i="3" a="1"/>
  <c r="F16" i="3" s="1"/>
  <c r="F15" i="3" a="1"/>
  <c r="F15" i="3" s="1"/>
  <c r="F13" i="3" a="1"/>
  <c r="F13" i="3" s="1"/>
  <c r="F42" i="3" a="1"/>
  <c r="F42" i="3" s="1"/>
  <c r="F39" i="3" a="1"/>
  <c r="F39" i="3" s="1"/>
  <c r="F14" i="3" a="1"/>
  <c r="F14" i="3" s="1"/>
  <c r="F12" i="3" a="1"/>
  <c r="F12" i="3" s="1"/>
  <c r="F38" i="3" a="1"/>
  <c r="F38" i="3" s="1"/>
  <c r="F11" i="3" a="1"/>
  <c r="F11" i="3" s="1"/>
  <c r="F37" i="3" a="1"/>
  <c r="F37" i="3" s="1"/>
  <c r="F10" i="3" a="1"/>
  <c r="F10" i="3" s="1"/>
  <c r="F41" i="3" a="1"/>
  <c r="F41" i="3" s="1"/>
  <c r="B33" i="5"/>
  <c r="C33" i="5" s="1"/>
  <c r="B3" i="3"/>
  <c r="I8" i="6"/>
  <c r="H35" i="10" s="1"/>
  <c r="C8" i="6"/>
  <c r="J17" i="10" s="1"/>
  <c r="B8" i="6"/>
  <c r="I17" i="10" s="1"/>
  <c r="G8" i="3"/>
  <c r="F9" i="1"/>
  <c r="J7" i="6" l="1"/>
  <c r="I34" i="10" s="1"/>
  <c r="C37" i="12"/>
  <c r="C38" i="12" s="1"/>
  <c r="C33" i="12"/>
  <c r="C16" i="12"/>
  <c r="B34" i="5"/>
  <c r="C34" i="5" s="1"/>
  <c r="G30" i="3"/>
  <c r="D8" i="6"/>
  <c r="I9" i="6"/>
  <c r="H36" i="10" s="1"/>
  <c r="C9" i="6"/>
  <c r="J18" i="10" s="1"/>
  <c r="B9" i="6"/>
  <c r="I18" i="10" s="1"/>
  <c r="G37" i="12" l="1"/>
  <c r="G38" i="12" s="1"/>
  <c r="F37" i="12"/>
  <c r="F38" i="12" s="1"/>
  <c r="E37" i="12"/>
  <c r="E38" i="12" s="1"/>
  <c r="D37" i="12"/>
  <c r="D38" i="12" s="1"/>
  <c r="J8" i="6"/>
  <c r="I35" i="10" s="1"/>
  <c r="K17" i="10"/>
  <c r="D9" i="6"/>
  <c r="B35" i="5"/>
  <c r="C35" i="5" s="1"/>
  <c r="I10" i="6"/>
  <c r="H37" i="10" s="1"/>
  <c r="C10" i="6"/>
  <c r="J19" i="10" s="1"/>
  <c r="B10" i="6"/>
  <c r="I19" i="10" s="1"/>
  <c r="J9" i="6" l="1"/>
  <c r="I36" i="10" s="1"/>
  <c r="K18" i="10"/>
  <c r="D10" i="6"/>
  <c r="K19" i="10" s="1"/>
  <c r="B36" i="5"/>
  <c r="C36" i="5" s="1"/>
  <c r="I11" i="6"/>
  <c r="H38" i="10" s="1"/>
  <c r="C11" i="6"/>
  <c r="J20" i="10" s="1"/>
  <c r="B11" i="6"/>
  <c r="I20" i="10" s="1"/>
  <c r="J10" i="6" l="1"/>
  <c r="I37" i="10" s="1"/>
  <c r="D11" i="6"/>
  <c r="K20" i="10" s="1"/>
  <c r="B37" i="5"/>
  <c r="C37" i="5" s="1"/>
  <c r="I12" i="6"/>
  <c r="H39" i="10" s="1"/>
  <c r="C12" i="6"/>
  <c r="J21" i="10" s="1"/>
  <c r="B12" i="6"/>
  <c r="I21" i="10" s="1"/>
  <c r="J11" i="6" l="1"/>
  <c r="I38" i="10" s="1"/>
  <c r="D12" i="6"/>
  <c r="K21" i="10" s="1"/>
  <c r="B38" i="5"/>
  <c r="C38" i="5" s="1"/>
  <c r="I13" i="6"/>
  <c r="H40" i="10" s="1"/>
  <c r="C13" i="6"/>
  <c r="J22" i="10" s="1"/>
  <c r="B13" i="6"/>
  <c r="I22" i="10" s="1"/>
  <c r="J12" i="6" l="1"/>
  <c r="I39" i="10" s="1"/>
  <c r="D13" i="6"/>
  <c r="K22" i="10" s="1"/>
  <c r="B39" i="5"/>
  <c r="C39" i="5" s="1"/>
  <c r="C14" i="6"/>
  <c r="J23" i="10" s="1"/>
  <c r="I14" i="6"/>
  <c r="H41" i="10" s="1"/>
  <c r="B14" i="6"/>
  <c r="I23" i="10" s="1"/>
  <c r="J13" i="6" l="1"/>
  <c r="I40" i="10" s="1"/>
  <c r="B40" i="5"/>
  <c r="C40" i="5" s="1"/>
  <c r="D14" i="6"/>
  <c r="K23" i="10" s="1"/>
  <c r="C15" i="6"/>
  <c r="J24" i="10" s="1"/>
  <c r="I15" i="6"/>
  <c r="H42" i="10" s="1"/>
  <c r="B15" i="6"/>
  <c r="I24" i="10" s="1"/>
  <c r="J14" i="6" l="1"/>
  <c r="I41" i="10" s="1"/>
  <c r="D15" i="6"/>
  <c r="B41" i="5"/>
  <c r="C41" i="5" s="1"/>
  <c r="C16" i="6"/>
  <c r="I16" i="6"/>
  <c r="B16" i="6"/>
  <c r="D16" i="6" l="1"/>
  <c r="J16" i="6" s="1"/>
  <c r="J15" i="6"/>
  <c r="I42" i="10" s="1"/>
  <c r="K24" i="10"/>
  <c r="B42" i="5"/>
  <c r="C42" i="5" s="1"/>
  <c r="C17" i="6"/>
  <c r="B17" i="6"/>
  <c r="I17" i="6"/>
  <c r="D17" i="6" l="1"/>
  <c r="J17" i="6" s="1"/>
  <c r="B43" i="5"/>
  <c r="C43" i="5" s="1"/>
  <c r="B18" i="6"/>
  <c r="I18" i="6"/>
  <c r="C18" i="6"/>
  <c r="D18" i="6" l="1"/>
  <c r="B44" i="5"/>
  <c r="C44" i="5" s="1"/>
  <c r="J18" i="6"/>
  <c r="C19" i="6"/>
  <c r="B19" i="6"/>
  <c r="I19" i="6"/>
  <c r="D19" i="6" l="1"/>
  <c r="J19" i="6" s="1"/>
  <c r="B45" i="5"/>
  <c r="C45" i="5" s="1"/>
  <c r="B20" i="6"/>
  <c r="I20" i="6"/>
  <c r="C20" i="6"/>
  <c r="D20" i="6" l="1"/>
  <c r="J20" i="6" s="1"/>
  <c r="B46" i="5"/>
  <c r="C46" i="5" s="1"/>
  <c r="B21" i="6"/>
  <c r="C21" i="6"/>
  <c r="I21" i="6"/>
  <c r="D21" i="6" l="1"/>
  <c r="J21" i="6" s="1"/>
  <c r="B47" i="5"/>
  <c r="C47" i="5" s="1"/>
  <c r="B22" i="6"/>
  <c r="C22" i="6"/>
  <c r="I22" i="6"/>
  <c r="D22" i="6" l="1"/>
  <c r="B48" i="5"/>
  <c r="C48" i="5" s="1"/>
  <c r="J22" i="6"/>
  <c r="B23" i="6"/>
  <c r="I23" i="6"/>
  <c r="C23" i="6"/>
  <c r="D23" i="6" l="1"/>
  <c r="J23" i="6" s="1"/>
  <c r="B49" i="5"/>
  <c r="C49" i="5" s="1"/>
  <c r="B24" i="6"/>
  <c r="I24" i="6"/>
  <c r="C24" i="6"/>
  <c r="D24" i="6" l="1"/>
  <c r="J24" i="6" s="1"/>
  <c r="B50" i="5"/>
  <c r="C50" i="5" s="1"/>
  <c r="I25" i="6"/>
  <c r="B25" i="6"/>
  <c r="C25" i="6"/>
  <c r="D25" i="6" l="1"/>
  <c r="J25" i="6" s="1"/>
  <c r="B51" i="5"/>
  <c r="C51" i="5" s="1"/>
  <c r="B26" i="6"/>
  <c r="I26" i="6"/>
  <c r="C26" i="6"/>
  <c r="D26" i="6" l="1"/>
  <c r="J26" i="6"/>
  <c r="B52" i="5"/>
  <c r="C52" i="5" s="1"/>
  <c r="B27" i="6"/>
  <c r="I27" i="6"/>
  <c r="C27" i="6"/>
  <c r="D27" i="6" l="1"/>
  <c r="J27" i="6" s="1"/>
  <c r="B53" i="5"/>
  <c r="C53" i="5" s="1"/>
  <c r="B28" i="6"/>
  <c r="I28" i="6"/>
  <c r="C28" i="6"/>
  <c r="D28" i="6" l="1"/>
  <c r="J28" i="6" s="1"/>
  <c r="B54" i="5"/>
  <c r="C54" i="5" s="1"/>
  <c r="I29" i="6"/>
  <c r="B29" i="6"/>
  <c r="C29" i="6"/>
  <c r="D29" i="6" l="1"/>
  <c r="J29" i="6" s="1"/>
  <c r="B55" i="5"/>
  <c r="C55" i="5" s="1"/>
  <c r="B30" i="6"/>
  <c r="C30" i="6"/>
  <c r="I30" i="6"/>
  <c r="D30" i="6" l="1"/>
  <c r="J30" i="6" s="1"/>
  <c r="B56" i="5"/>
  <c r="C56" i="5" s="1"/>
  <c r="B31" i="6"/>
  <c r="I31" i="6"/>
  <c r="C31" i="6"/>
  <c r="D31" i="6" l="1"/>
  <c r="J31" i="6"/>
  <c r="B57" i="5"/>
  <c r="C57" i="5" s="1"/>
  <c r="B32" i="6"/>
  <c r="I32" i="6"/>
  <c r="C32" i="6"/>
  <c r="D32" i="6" l="1"/>
  <c r="J32" i="6" s="1"/>
  <c r="B58" i="5"/>
  <c r="C58" i="5" s="1"/>
  <c r="B33" i="6"/>
  <c r="I33" i="6"/>
  <c r="C33" i="6"/>
  <c r="D33" i="6" l="1"/>
  <c r="J33" i="6" s="1"/>
  <c r="B59" i="5"/>
  <c r="C59" i="5" s="1"/>
  <c r="B34" i="6"/>
  <c r="C34" i="6"/>
  <c r="I34" i="6"/>
  <c r="D34" i="6" l="1"/>
  <c r="J34" i="6" s="1"/>
  <c r="B60" i="5"/>
  <c r="C60" i="5" s="1"/>
  <c r="C35" i="6"/>
  <c r="I35" i="6"/>
  <c r="B35" i="6"/>
  <c r="D35" i="6" l="1"/>
  <c r="J35" i="6" s="1"/>
  <c r="B61" i="5"/>
  <c r="C61" i="5" s="1"/>
  <c r="I36" i="6"/>
  <c r="C36" i="6"/>
  <c r="B36" i="6"/>
  <c r="D36" i="6" l="1"/>
  <c r="J36" i="6" s="1"/>
  <c r="B62" i="5"/>
  <c r="C62" i="5" s="1"/>
  <c r="C37" i="6"/>
  <c r="I37" i="6"/>
  <c r="B37" i="6"/>
  <c r="D37" i="6" l="1"/>
  <c r="J37" i="6" s="1"/>
  <c r="B63" i="5"/>
  <c r="C63" i="5" s="1"/>
  <c r="E38" i="6"/>
  <c r="C38" i="6"/>
  <c r="I38" i="6"/>
  <c r="F38" i="6" a="1"/>
  <c r="F38" i="6" s="1"/>
  <c r="L38" i="6"/>
  <c r="J38" i="6"/>
  <c r="G38" i="6"/>
  <c r="B38" i="6"/>
  <c r="D38" i="6"/>
  <c r="K38" i="6"/>
  <c r="B64" i="5" l="1"/>
  <c r="C64" i="5" s="1"/>
  <c r="E39" i="6"/>
  <c r="I39" i="6"/>
  <c r="F39" i="6" a="1"/>
  <c r="F39" i="6" s="1"/>
  <c r="J39" i="6"/>
  <c r="L39" i="6"/>
  <c r="C39" i="6"/>
  <c r="B39" i="6"/>
  <c r="D39" i="6"/>
  <c r="K39" i="6"/>
  <c r="G39" i="6"/>
  <c r="B65" i="5" l="1"/>
  <c r="C65" i="5" s="1"/>
  <c r="I40" i="6"/>
  <c r="J40" i="6"/>
  <c r="L40" i="6"/>
  <c r="C40" i="6"/>
  <c r="F40" i="6" a="1"/>
  <c r="F40" i="6" s="1"/>
  <c r="E40" i="6"/>
  <c r="B40" i="6"/>
  <c r="G40" i="6"/>
  <c r="D40" i="6"/>
  <c r="K40" i="6"/>
  <c r="B66" i="5" l="1"/>
  <c r="C66" i="5" s="1"/>
  <c r="I41" i="6"/>
  <c r="C41" i="6"/>
  <c r="L41" i="6"/>
  <c r="F41" i="6" a="1"/>
  <c r="F41" i="6" s="1"/>
  <c r="J41" i="6"/>
  <c r="E41" i="6"/>
  <c r="D41" i="6"/>
  <c r="K41" i="6"/>
  <c r="B41" i="6"/>
  <c r="G41" i="6"/>
  <c r="B67" i="5" l="1"/>
  <c r="C67" i="5" s="1"/>
  <c r="C42" i="6"/>
  <c r="J42" i="6"/>
  <c r="L42" i="6"/>
  <c r="F42" i="6" a="1"/>
  <c r="F42" i="6" s="1"/>
  <c r="D42" i="6"/>
  <c r="G42" i="6"/>
  <c r="B42" i="6"/>
  <c r="I42" i="6"/>
  <c r="E42" i="6"/>
  <c r="K42" i="6"/>
  <c r="B68" i="5" l="1"/>
  <c r="C68" i="5" s="1"/>
  <c r="F43" i="6" a="1"/>
  <c r="F43" i="6" s="1"/>
  <c r="J43" i="6"/>
  <c r="L43" i="6"/>
  <c r="C43" i="6"/>
  <c r="D43" i="6"/>
  <c r="G43" i="6"/>
  <c r="B43" i="6"/>
  <c r="K43" i="6"/>
  <c r="I43" i="6"/>
  <c r="E43" i="6"/>
  <c r="B69" i="5" l="1"/>
  <c r="C69" i="5" s="1"/>
  <c r="L44" i="6"/>
  <c r="C44" i="6"/>
  <c r="F44" i="6" a="1"/>
  <c r="F44" i="6" s="1"/>
  <c r="D44" i="6"/>
  <c r="J44" i="6"/>
  <c r="G44" i="6"/>
  <c r="I44" i="6"/>
  <c r="K44" i="6"/>
  <c r="E44" i="6"/>
  <c r="B44" i="6"/>
  <c r="B70" i="5" l="1"/>
  <c r="C70" i="5" s="1"/>
  <c r="L45" i="6"/>
  <c r="C45" i="6"/>
  <c r="F45" i="6" a="1"/>
  <c r="F45" i="6" s="1"/>
  <c r="G45" i="6"/>
  <c r="J45" i="6"/>
  <c r="D45" i="6"/>
  <c r="K45" i="6"/>
  <c r="I45" i="6"/>
  <c r="B45" i="6"/>
  <c r="E45" i="6"/>
  <c r="B71" i="5" l="1"/>
  <c r="C71" i="5" s="1"/>
  <c r="L46" i="6"/>
  <c r="F46" i="6" a="1"/>
  <c r="F46" i="6" s="1"/>
  <c r="G46" i="6"/>
  <c r="J46" i="6"/>
  <c r="D46" i="6"/>
  <c r="C46" i="6"/>
  <c r="B46" i="6"/>
  <c r="K46" i="6"/>
  <c r="E46" i="6"/>
  <c r="I46" i="6"/>
  <c r="E6" i="10" l="1"/>
  <c r="H6" i="10" s="1"/>
  <c r="D8" i="3"/>
  <c r="J6" i="10"/>
  <c r="F23" i="6" a="1"/>
  <c r="F23" i="6" s="1"/>
  <c r="E23" i="6"/>
  <c r="K23" i="6" s="1"/>
  <c r="E24" i="6"/>
  <c r="K24" i="6" s="1"/>
  <c r="F24" i="6" a="1"/>
  <c r="F24" i="6" s="1"/>
  <c r="E25" i="6"/>
  <c r="K25" i="6" s="1"/>
  <c r="F25" i="6" a="1"/>
  <c r="F25" i="6" s="1"/>
  <c r="E26" i="6"/>
  <c r="K26" i="6" s="1"/>
  <c r="F26" i="6" a="1"/>
  <c r="F26" i="6" s="1"/>
  <c r="E27" i="6"/>
  <c r="K27" i="6" s="1"/>
  <c r="F27" i="6" a="1"/>
  <c r="F27" i="6" s="1"/>
  <c r="E28" i="6"/>
  <c r="K28" i="6" s="1"/>
  <c r="F28" i="6" a="1"/>
  <c r="F28" i="6" s="1"/>
  <c r="F30" i="6" a="1"/>
  <c r="F30" i="6" s="1"/>
  <c r="E29" i="6"/>
  <c r="K29" i="6" s="1"/>
  <c r="F29" i="6" a="1"/>
  <c r="F29" i="6" s="1"/>
  <c r="F31" i="6" a="1"/>
  <c r="F31" i="6" s="1"/>
  <c r="E30" i="6"/>
  <c r="K30" i="6" s="1"/>
  <c r="E31" i="6"/>
  <c r="K31" i="6" s="1"/>
  <c r="F32" i="6" a="1"/>
  <c r="F32" i="6" s="1"/>
  <c r="E32" i="6"/>
  <c r="K32" i="6" s="1"/>
  <c r="E33" i="6"/>
  <c r="K33" i="6" s="1"/>
  <c r="F33" i="6" a="1"/>
  <c r="F33" i="6" s="1"/>
  <c r="F34" i="6" a="1"/>
  <c r="F34" i="6" s="1"/>
  <c r="E34" i="6"/>
  <c r="K34" i="6" s="1"/>
  <c r="E35" i="6"/>
  <c r="K35" i="6" s="1"/>
  <c r="F35" i="6" a="1"/>
  <c r="F35" i="6" s="1"/>
  <c r="E36" i="6"/>
  <c r="K36" i="6" s="1"/>
  <c r="F36" i="6" a="1"/>
  <c r="F36" i="6" s="1"/>
  <c r="E37" i="6"/>
  <c r="K37" i="6" s="1"/>
  <c r="F37" i="6" a="1"/>
  <c r="F37" i="6" s="1"/>
  <c r="B72" i="5"/>
  <c r="C72" i="5" s="1"/>
  <c r="B6" i="3"/>
  <c r="D6" i="3"/>
  <c r="E4" i="6"/>
  <c r="K4" i="6" s="1"/>
  <c r="J31" i="10" s="1"/>
  <c r="E3" i="6"/>
  <c r="K3" i="6" s="1"/>
  <c r="J30" i="10" s="1"/>
  <c r="F4" i="6" a="1"/>
  <c r="F4" i="6" s="1"/>
  <c r="E2" i="6"/>
  <c r="K2" i="6" s="1"/>
  <c r="J29" i="10" s="1"/>
  <c r="E5" i="6"/>
  <c r="K5" i="6" s="1"/>
  <c r="J32" i="10" s="1"/>
  <c r="F3" i="6" a="1"/>
  <c r="F3" i="6" s="1"/>
  <c r="F5" i="6" a="1"/>
  <c r="F5" i="6" s="1"/>
  <c r="F2" i="6" a="1"/>
  <c r="F2" i="6" s="1"/>
  <c r="E6" i="6"/>
  <c r="K6" i="6" s="1"/>
  <c r="J33" i="10" s="1"/>
  <c r="F6" i="6" a="1"/>
  <c r="F6" i="6" s="1"/>
  <c r="F7" i="6" a="1"/>
  <c r="F7" i="6" s="1"/>
  <c r="E7" i="6"/>
  <c r="K7" i="6" s="1"/>
  <c r="J34" i="10" s="1"/>
  <c r="F8" i="6" a="1"/>
  <c r="F8" i="6" s="1"/>
  <c r="E8" i="6"/>
  <c r="K8" i="6" s="1"/>
  <c r="J35" i="10" s="1"/>
  <c r="F9" i="6" a="1"/>
  <c r="F9" i="6" s="1"/>
  <c r="E9" i="6"/>
  <c r="K9" i="6" s="1"/>
  <c r="J36" i="10" s="1"/>
  <c r="E10" i="6"/>
  <c r="K10" i="6" s="1"/>
  <c r="J37" i="10" s="1"/>
  <c r="F10" i="6" a="1"/>
  <c r="F10" i="6" s="1"/>
  <c r="E11" i="6"/>
  <c r="K11" i="6" s="1"/>
  <c r="J38" i="10" s="1"/>
  <c r="F11" i="6" a="1"/>
  <c r="F11" i="6" s="1"/>
  <c r="E12" i="6"/>
  <c r="K12" i="6" s="1"/>
  <c r="J39" i="10" s="1"/>
  <c r="F12" i="6" a="1"/>
  <c r="F12" i="6" s="1"/>
  <c r="E13" i="6"/>
  <c r="K13" i="6" s="1"/>
  <c r="J40" i="10" s="1"/>
  <c r="F13" i="6" a="1"/>
  <c r="F13" i="6" s="1"/>
  <c r="F14" i="6" a="1"/>
  <c r="F14" i="6" s="1"/>
  <c r="E14" i="6"/>
  <c r="K14" i="6" s="1"/>
  <c r="J41" i="10" s="1"/>
  <c r="F15" i="6" a="1"/>
  <c r="F15" i="6" s="1"/>
  <c r="E15" i="6"/>
  <c r="K15" i="6" s="1"/>
  <c r="J42" i="10" s="1"/>
  <c r="F16" i="6" a="1"/>
  <c r="F16" i="6" s="1"/>
  <c r="E16" i="6"/>
  <c r="K16" i="6" s="1"/>
  <c r="F17" i="6" a="1"/>
  <c r="F17" i="6" s="1"/>
  <c r="E17" i="6"/>
  <c r="K17" i="6" s="1"/>
  <c r="E18" i="6"/>
  <c r="K18" i="6" s="1"/>
  <c r="F18" i="6" a="1"/>
  <c r="F18" i="6" s="1"/>
  <c r="F19" i="6" a="1"/>
  <c r="F19" i="6" s="1"/>
  <c r="E19" i="6"/>
  <c r="K19" i="6" s="1"/>
  <c r="E21" i="6"/>
  <c r="K21" i="6" s="1"/>
  <c r="F20" i="6" a="1"/>
  <c r="F20" i="6" s="1"/>
  <c r="E20" i="6"/>
  <c r="K20" i="6" s="1"/>
  <c r="F22" i="6" a="1"/>
  <c r="F22" i="6" s="1"/>
  <c r="F21" i="6" a="1"/>
  <c r="F21" i="6" s="1"/>
  <c r="E22" i="6"/>
  <c r="K22" i="6" s="1"/>
  <c r="H41" i="3" l="1" a="1"/>
  <c r="H41" i="3" s="1"/>
  <c r="H42" i="3" a="1"/>
  <c r="H42" i="3" s="1"/>
  <c r="H38" i="3" a="1"/>
  <c r="H38" i="3" s="1"/>
  <c r="H40" i="3" a="1"/>
  <c r="H40" i="3" s="1"/>
  <c r="H43" i="3" a="1"/>
  <c r="H43" i="3" s="1"/>
  <c r="H39" i="3" a="1"/>
  <c r="H39" i="3" s="1"/>
  <c r="H18" i="3" a="1"/>
  <c r="H18" i="3" s="1"/>
  <c r="H21" i="3" a="1"/>
  <c r="H21" i="3" s="1"/>
  <c r="H20" i="3" a="1"/>
  <c r="H20" i="3" s="1"/>
  <c r="H19" i="3" a="1"/>
  <c r="H19" i="3" s="1"/>
  <c r="H17" i="3" a="1"/>
  <c r="H17" i="3" s="1"/>
  <c r="H16" i="3" a="1"/>
  <c r="H16" i="3" s="1"/>
  <c r="G41" i="3" a="1"/>
  <c r="G41" i="3" s="1"/>
  <c r="G39" i="3" a="1"/>
  <c r="G39" i="3" s="1"/>
  <c r="G42" i="3" a="1"/>
  <c r="G42" i="3" s="1"/>
  <c r="G40" i="3" a="1"/>
  <c r="G40" i="3" s="1"/>
  <c r="G43" i="3" a="1"/>
  <c r="G43" i="3" s="1"/>
  <c r="G38" i="3" a="1"/>
  <c r="G38" i="3" s="1"/>
  <c r="G33" i="3" a="1"/>
  <c r="G33" i="3" s="1"/>
  <c r="G37" i="3" a="1"/>
  <c r="G37" i="3" s="1"/>
  <c r="G32" i="3" a="1"/>
  <c r="G32" i="3" s="1"/>
  <c r="G34" i="3" a="1"/>
  <c r="G34" i="3" s="1"/>
  <c r="G31" i="3" a="1"/>
  <c r="G31" i="3" s="1"/>
  <c r="G44" i="3" s="1"/>
  <c r="G35" i="3" a="1"/>
  <c r="G35" i="3" s="1"/>
  <c r="G36" i="3" a="1"/>
  <c r="G36" i="3" s="1"/>
  <c r="L33" i="6"/>
  <c r="G33" i="6"/>
  <c r="L29" i="6"/>
  <c r="G29" i="6"/>
  <c r="L31" i="6"/>
  <c r="G31" i="6"/>
  <c r="L23" i="6"/>
  <c r="G23" i="6"/>
  <c r="L32" i="6"/>
  <c r="G32" i="6"/>
  <c r="L30" i="6"/>
  <c r="G30" i="6"/>
  <c r="L36" i="6"/>
  <c r="G36" i="6"/>
  <c r="L34" i="6"/>
  <c r="G34" i="6"/>
  <c r="L28" i="6"/>
  <c r="G28" i="6"/>
  <c r="L25" i="6"/>
  <c r="G25" i="6"/>
  <c r="L24" i="6"/>
  <c r="G24" i="6"/>
  <c r="L27" i="6"/>
  <c r="G27" i="6"/>
  <c r="L26" i="6"/>
  <c r="G26" i="6"/>
  <c r="L37" i="6"/>
  <c r="G37" i="6"/>
  <c r="L35" i="6"/>
  <c r="G35" i="6"/>
  <c r="J7" i="10"/>
  <c r="H35" i="3" a="1"/>
  <c r="H35" i="3" s="1"/>
  <c r="H37" i="3" a="1"/>
  <c r="H37" i="3" s="1"/>
  <c r="H36" i="3" a="1"/>
  <c r="H36" i="3" s="1"/>
  <c r="H33" i="3" a="1"/>
  <c r="H33" i="3" s="1"/>
  <c r="H34" i="3" a="1"/>
  <c r="H34" i="3" s="1"/>
  <c r="H32" i="3" a="1"/>
  <c r="H32" i="3" s="1"/>
  <c r="H14" i="3" a="1"/>
  <c r="H14" i="3" s="1"/>
  <c r="H10" i="3" a="1"/>
  <c r="H10" i="3" s="1"/>
  <c r="H11" i="3" a="1"/>
  <c r="H11" i="3" s="1"/>
  <c r="H12" i="3" a="1"/>
  <c r="H12" i="3" s="1"/>
  <c r="H13" i="3" a="1"/>
  <c r="H13" i="3" s="1"/>
  <c r="H15" i="3" a="1"/>
  <c r="H15" i="3" s="1"/>
  <c r="B73" i="5"/>
  <c r="C73" i="5" s="1"/>
  <c r="H31" i="3" a="1"/>
  <c r="H31" i="3" s="1"/>
  <c r="B8" i="3"/>
  <c r="H9" i="3" a="1"/>
  <c r="H9" i="3" s="1"/>
  <c r="L7" i="6"/>
  <c r="K34" i="10" s="1"/>
  <c r="G7" i="6"/>
  <c r="G2" i="6"/>
  <c r="L2" i="6"/>
  <c r="K29" i="10" s="1"/>
  <c r="L9" i="6"/>
  <c r="K36" i="10" s="1"/>
  <c r="G9" i="6"/>
  <c r="L19" i="6"/>
  <c r="G19" i="6"/>
  <c r="L14" i="6"/>
  <c r="K41" i="10" s="1"/>
  <c r="G14" i="6"/>
  <c r="L22" i="6"/>
  <c r="G22" i="6"/>
  <c r="L3" i="6"/>
  <c r="K30" i="10" s="1"/>
  <c r="G3" i="6"/>
  <c r="L15" i="6"/>
  <c r="K42" i="10" s="1"/>
  <c r="G15" i="6"/>
  <c r="L10" i="6"/>
  <c r="K37" i="10" s="1"/>
  <c r="G10" i="6"/>
  <c r="L18" i="6"/>
  <c r="G18" i="6"/>
  <c r="L11" i="6"/>
  <c r="K38" i="10" s="1"/>
  <c r="G11" i="6"/>
  <c r="L5" i="6"/>
  <c r="K32" i="10" s="1"/>
  <c r="G5" i="6"/>
  <c r="L13" i="6"/>
  <c r="K40" i="10" s="1"/>
  <c r="G13" i="6"/>
  <c r="L21" i="6"/>
  <c r="G21" i="6"/>
  <c r="L6" i="6"/>
  <c r="K33" i="10" s="1"/>
  <c r="G6" i="6"/>
  <c r="L4" i="6"/>
  <c r="K31" i="10" s="1"/>
  <c r="G4" i="6"/>
  <c r="L12" i="6"/>
  <c r="K39" i="10" s="1"/>
  <c r="G12" i="6"/>
  <c r="L20" i="6"/>
  <c r="G20" i="6"/>
  <c r="L17" i="6"/>
  <c r="G17" i="6"/>
  <c r="L8" i="6"/>
  <c r="K35" i="10" s="1"/>
  <c r="G8" i="6"/>
  <c r="L16" i="6"/>
  <c r="G16" i="6"/>
  <c r="I19" i="3" l="1"/>
  <c r="J19" i="3"/>
  <c r="I20" i="3"/>
  <c r="J20" i="3"/>
  <c r="I21" i="3"/>
  <c r="J21" i="3"/>
  <c r="I18" i="3"/>
  <c r="J18" i="3"/>
  <c r="D15" i="12"/>
  <c r="D14" i="12"/>
  <c r="D12" i="12"/>
  <c r="D13" i="12"/>
  <c r="D11" i="12"/>
  <c r="G16" i="3" a="1"/>
  <c r="G16" i="3" s="1"/>
  <c r="G17" i="3" a="1"/>
  <c r="G17" i="3" s="1"/>
  <c r="G20" i="3" a="1"/>
  <c r="G20" i="3" s="1"/>
  <c r="G18" i="3" a="1"/>
  <c r="G18" i="3" s="1"/>
  <c r="G21" i="3" a="1"/>
  <c r="G21" i="3" s="1"/>
  <c r="G19" i="3" a="1"/>
  <c r="G19" i="3" s="1"/>
  <c r="I43" i="3"/>
  <c r="J43" i="3"/>
  <c r="I16" i="3"/>
  <c r="J16" i="3"/>
  <c r="I17" i="3"/>
  <c r="J17" i="3"/>
  <c r="I40" i="3"/>
  <c r="J40" i="3"/>
  <c r="J38" i="3"/>
  <c r="I38" i="3"/>
  <c r="J39" i="3"/>
  <c r="I39" i="3"/>
  <c r="I42" i="3"/>
  <c r="J42" i="3"/>
  <c r="J41" i="3"/>
  <c r="I41" i="3"/>
  <c r="D16" i="12"/>
  <c r="D33" i="12"/>
  <c r="D9" i="12"/>
  <c r="G14" i="3" a="1"/>
  <c r="G14" i="3" s="1"/>
  <c r="G12" i="3" a="1"/>
  <c r="G12" i="3" s="1"/>
  <c r="G10" i="3" a="1"/>
  <c r="G10" i="3" s="1"/>
  <c r="G15" i="3" a="1"/>
  <c r="G15" i="3" s="1"/>
  <c r="G13" i="3" a="1"/>
  <c r="G13" i="3" s="1"/>
  <c r="D6" i="12"/>
  <c r="G11" i="3" a="1"/>
  <c r="G11" i="3" s="1"/>
  <c r="D10" i="12"/>
  <c r="D7" i="12"/>
  <c r="D8" i="12"/>
  <c r="D5" i="12"/>
  <c r="B74" i="5"/>
  <c r="C74" i="5" s="1"/>
  <c r="I11" i="3"/>
  <c r="J11" i="3"/>
  <c r="I13" i="3"/>
  <c r="J13" i="3"/>
  <c r="J10" i="3"/>
  <c r="I10" i="3"/>
  <c r="I12" i="3"/>
  <c r="J12" i="3"/>
  <c r="I9" i="3"/>
  <c r="J9" i="3"/>
  <c r="J14" i="3"/>
  <c r="I14" i="3"/>
  <c r="G9" i="3" a="1"/>
  <c r="G9" i="3" s="1"/>
  <c r="J15" i="3"/>
  <c r="I15" i="3"/>
  <c r="I32" i="3"/>
  <c r="J32" i="3"/>
  <c r="I33" i="3"/>
  <c r="J33" i="3"/>
  <c r="I34" i="3"/>
  <c r="J34" i="3"/>
  <c r="I36" i="3"/>
  <c r="J36" i="3"/>
  <c r="J37" i="3"/>
  <c r="I37" i="3"/>
  <c r="H44" i="3"/>
  <c r="I31" i="3"/>
  <c r="J31" i="3"/>
  <c r="I35" i="3"/>
  <c r="J3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tc={FF8D2688-63F3-4F24-8D8D-04AA71ECFBFE}</author>
  </authors>
  <commentList>
    <comment ref="C7" authorId="0" shapeId="0" xr:uid="{FF8D2688-63F3-4F24-8D8D-04AA71ECFBFE}">
      <text>
        <t>[Threaded comment]
Your version of Excel allows you to read this threaded comment; however, any edits to it will get removed if the file is opened in a newer version of Excel. Learn more: https://go.microsoft.com/fwlink/?linkid=870924
Comment:
    ✏️ USER INPUT: Edit cells C7–C12 (gold-bordered cells) to configure surveillance settings.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tc={1FF40F96-0CBF-4094-9B94-0E057856266B}</author>
  </authors>
  <commentList>
    <comment ref="A1" authorId="0" shapeId="0" xr:uid="{1FF40F96-0CBF-4094-9B94-0E057856266B}">
      <text>
        <t>[Threaded comment]
Your version of Excel allows you to read this threaded comment; however, any edits to it will get removed if the file is opened in a newer version of Excel. Learn more: https://go.microsoft.com/fwlink/?linkid=870924
Comment:
    ✏️ USER INPUT: Enter complaint data in columns A–D (rows 2–928). Columns E–F are auto-calculated — do not edit.</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tc={92FC86A9-6DD0-4CD6-9B77-AD821B41942A}</author>
  </authors>
  <commentList>
    <comment ref="A1" authorId="0" shapeId="0" xr:uid="{92FC86A9-6DD0-4CD6-9B77-AD821B41942A}">
      <text>
        <t>[Threaded comment]
Your version of Excel allows you to read this threaded comment; however, any edits to it will get removed if the file is opened in a newer version of Excel. Learn more: https://go.microsoft.com/fwlink/?linkid=870924
Comment:
    ✏️ USER INPUT: Enter sales data in all columns A–D (rows 2–3425). Country, Month, Quantity, Calendar year.</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Terence Musoni</author>
    <author>tc={9125ABD4-F184-4BB7-A12C-92FD20B28067}</author>
  </authors>
  <commentList>
    <comment ref="D4" authorId="0" shapeId="0" xr:uid="{B644F3F8-18F7-4AE9-8A70-AF74B8C4B2F1}">
      <text>
        <r>
          <rPr>
            <b/>
            <sz val="9"/>
            <color indexed="81"/>
            <rFont val="Tahoma"/>
            <family val="2"/>
          </rPr>
          <t>Terence Musoni:</t>
        </r>
        <r>
          <rPr>
            <sz val="9"/>
            <color indexed="81"/>
            <rFont val="Tahoma"/>
            <family val="2"/>
          </rPr>
          <t xml:space="preserve">
Auto-calculated: equals the 12-Month End date</t>
        </r>
      </text>
    </comment>
    <comment ref="D5" authorId="0" shapeId="0" xr:uid="{2896EA6E-0E83-4E51-99FA-ABFA28203F78}">
      <text>
        <r>
          <rPr>
            <b/>
            <sz val="9"/>
            <color indexed="81"/>
            <rFont val="Tahoma"/>
            <family val="2"/>
          </rPr>
          <t>Terence Musoni:</t>
        </r>
        <r>
          <rPr>
            <sz val="9"/>
            <color indexed="81"/>
            <rFont val="Tahoma"/>
            <family val="2"/>
          </rPr>
          <t xml:space="preserve">
Auto-calculated: equals the 24-Month End date</t>
        </r>
      </text>
    </comment>
    <comment ref="B6" authorId="0" shapeId="0" xr:uid="{A3FE879B-48A3-4173-B1A1-D3F1367DEE3E}">
      <text>
        <r>
          <rPr>
            <b/>
            <sz val="9"/>
            <color indexed="81"/>
            <rFont val="Tahoma"/>
            <family val="2"/>
          </rPr>
          <t>Terence Musoni:</t>
        </r>
        <r>
          <rPr>
            <sz val="9"/>
            <color indexed="81"/>
            <rFont val="Tahoma"/>
            <family val="2"/>
          </rPr>
          <t xml:space="preserve">
Auto-calculated: Total sales for the surveillance period (annual table). Same as all cumulative sales.</t>
        </r>
      </text>
    </comment>
    <comment ref="D6" authorId="0" shapeId="0" xr:uid="{F85BFB95-601E-4B0B-AFAB-F8B3BEBE078D}">
      <text>
        <r>
          <rPr>
            <b/>
            <sz val="9"/>
            <color indexed="81"/>
            <rFont val="Tahoma"/>
            <family val="2"/>
          </rPr>
          <t>Terence Musoni:</t>
        </r>
        <r>
          <rPr>
            <sz val="9"/>
            <color indexed="81"/>
            <rFont val="Tahoma"/>
            <family val="2"/>
          </rPr>
          <t xml:space="preserve">
Auto-calculated: Total sales for the surveillance period (biennial table). Same as all cumulative sales.</t>
        </r>
      </text>
    </comment>
    <comment ref="F6" authorId="1" shapeId="0" xr:uid="{9125ABD4-F184-4BB7-A12C-92FD20B28067}">
      <text>
        <t>[Threaded comment]
Your version of Excel allows you to read this threaded comment; however, any edits to it will get removed if the file is opened in a newer version of Excel. Learn more: https://go.microsoft.com/fwlink/?linkid=870924
Comment:
    📋 Dynamic rows: Empty device problem rows are hidden. When new complaint types are added to the complaints sheet, the corresponding rows will auto-populate with data. To reveal them: Select rows around the hidden area → Right-click → Unhide.</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<sst xmlns="http://schemas.openxmlformats.org/spreadsheetml/2006/main" count="12128" uniqueCount="1731">
  <si>
    <t>brokenordamagedcomponent</t>
  </si>
  <si>
    <t>productslipping</t>
  </si>
  <si>
    <t>brokenhandle</t>
  </si>
  <si>
    <t>footpedalissues</t>
  </si>
  <si>
    <t>excessivesoundornoise</t>
  </si>
  <si>
    <t>rigidjoints</t>
  </si>
  <si>
    <t>componentseparation</t>
  </si>
  <si>
    <t>connectionissues</t>
  </si>
  <si>
    <t>electrical</t>
  </si>
  <si>
    <t>foreignmaterial</t>
  </si>
  <si>
    <t>powerissues</t>
  </si>
  <si>
    <t>excessiveheat</t>
  </si>
  <si>
    <t>performance</t>
  </si>
  <si>
    <t>rust</t>
  </si>
  <si>
    <t>doesnotperformproperly</t>
  </si>
  <si>
    <t>holeortear</t>
  </si>
  <si>
    <t>other</t>
  </si>
  <si>
    <t>shippingdamage</t>
  </si>
  <si>
    <t>willnotturnon</t>
  </si>
  <si>
    <t>missingcomponent</t>
  </si>
  <si>
    <t>brokenbutton</t>
  </si>
  <si>
    <t>pressureissues</t>
  </si>
  <si>
    <t>laceration</t>
  </si>
  <si>
    <t>leak</t>
  </si>
  <si>
    <t>stained</t>
  </si>
  <si>
    <t>damagedpackaging</t>
  </si>
  <si>
    <t>bent</t>
  </si>
  <si>
    <t>discolorationortarnish</t>
  </si>
  <si>
    <t>intermittentfunctionality</t>
  </si>
  <si>
    <t>cannotbeadjusted</t>
  </si>
  <si>
    <t>willnotclose</t>
  </si>
  <si>
    <t>alignmentissues</t>
  </si>
  <si>
    <t>labeling</t>
  </si>
  <si>
    <t>productsticking</t>
  </si>
  <si>
    <t>equipment</t>
  </si>
  <si>
    <t>Canada</t>
  </si>
  <si>
    <t>lowpressure</t>
  </si>
  <si>
    <t>Country</t>
  </si>
  <si>
    <t>Symptom Code</t>
  </si>
  <si>
    <t>CSI Notification Date</t>
  </si>
  <si>
    <t>Medical Device Problem</t>
  </si>
  <si>
    <t>Harm</t>
  </si>
  <si>
    <t>Defective Device</t>
  </si>
  <si>
    <t>No Clinical Signs, Symptoms or Conditions</t>
  </si>
  <si>
    <t>Material Frayed</t>
  </si>
  <si>
    <t>Loose or Intermittent Connection</t>
  </si>
  <si>
    <t>Mechanical Jam</t>
  </si>
  <si>
    <t>Material Separation</t>
  </si>
  <si>
    <t>Appropriate Device Problem Term/Code Not Available</t>
  </si>
  <si>
    <t>Noise, Audible</t>
  </si>
  <si>
    <t>Break</t>
  </si>
  <si>
    <t>Detachment of Device or Device Component</t>
  </si>
  <si>
    <t>Contamination</t>
  </si>
  <si>
    <t>Material Twisted/Bent</t>
  </si>
  <si>
    <t>Difficult or Delayed Activation</t>
  </si>
  <si>
    <t>Complete Loss of Power</t>
  </si>
  <si>
    <t>Sparking</t>
  </si>
  <si>
    <t>Packaging Problem</t>
  </si>
  <si>
    <t>Electrical Power Problem</t>
  </si>
  <si>
    <t>Device Markings/Labelling Problem</t>
  </si>
  <si>
    <t>Mechanical Problem</t>
  </si>
  <si>
    <t>Corroded</t>
  </si>
  <si>
    <t>Overheating of Device</t>
  </si>
  <si>
    <t>Injury</t>
  </si>
  <si>
    <t>Fluid/Blood Leak</t>
  </si>
  <si>
    <t>Component Missing</t>
  </si>
  <si>
    <t>Activation Problem</t>
  </si>
  <si>
    <t>Unexpected Shutdown</t>
  </si>
  <si>
    <t>Connection Problem</t>
  </si>
  <si>
    <t>Month</t>
  </si>
  <si>
    <t>Quantity</t>
  </si>
  <si>
    <t>Calendar year</t>
  </si>
  <si>
    <t>United States of America</t>
  </si>
  <si>
    <t>Australia</t>
  </si>
  <si>
    <t>Japan</t>
  </si>
  <si>
    <t>China</t>
  </si>
  <si>
    <t xml:space="preserve">   Medical Device Problem</t>
  </si>
  <si>
    <t>Current 12‑Month Data Collection Period</t>
  </si>
  <si>
    <t>Current 24‑Month</t>
  </si>
  <si>
    <t>Data Collection Period</t>
  </si>
  <si>
    <t>O2</t>
  </si>
  <si>
    <t>[1] RACT, Risk Assessment &amp; Control Table for ALLY UPS.</t>
  </si>
  <si>
    <t>[2] RACT, Risk Assessment &amp; Control Table for ALLY UPS.</t>
  </si>
  <si>
    <t>Max Expected Rate (Numeric)</t>
  </si>
  <si>
    <t>Date Range Inputs</t>
  </si>
  <si>
    <t>12-Month Start</t>
  </si>
  <si>
    <t>12-Month End</t>
  </si>
  <si>
    <t>24-Month Start</t>
  </si>
  <si>
    <t>24-Month End</t>
  </si>
  <si>
    <t>Total Sales (12-Mo)</t>
  </si>
  <si>
    <t>Total Sales (24-Mo)</t>
  </si>
  <si>
    <t>Table 7 Complaint Rate (and Complaint Count) by Harm and Medical Device Problem [Use this table if the PSUR update frequency is 'annually'.]</t>
  </si>
  <si>
    <t>Max Expected Rate of Occurrence (from the RACT[1])</t>
  </si>
  <si>
    <t>Table 7 Complaint Rate (and Complaint Count) by Harm and Medical Device Problem [Use this table if the PSUR update frequency is 'every two years'.]</t>
  </si>
  <si>
    <t>Confidence</t>
  </si>
  <si>
    <t>LOW</t>
  </si>
  <si>
    <t>HIGH</t>
  </si>
  <si>
    <t>MED</t>
  </si>
  <si>
    <t>IMDRF Code</t>
  </si>
  <si>
    <t>Medical Device Problem Term</t>
  </si>
  <si>
    <t>Level</t>
  </si>
  <si>
    <t>Parent Category</t>
  </si>
  <si>
    <t>Harm Term</t>
  </si>
  <si>
    <t>Default MDP</t>
  </si>
  <si>
    <t>A01</t>
  </si>
  <si>
    <t>Patient Device Interaction Problem</t>
  </si>
  <si>
    <t>A0101</t>
  </si>
  <si>
    <t>Patient-Device Incompatibility</t>
  </si>
  <si>
    <t>A0102</t>
  </si>
  <si>
    <t>Osseointegration Problem</t>
  </si>
  <si>
    <t>A0103</t>
  </si>
  <si>
    <t>Loosening of Implant Not Related to Bone-Ingrowth</t>
  </si>
  <si>
    <t>A0104</t>
  </si>
  <si>
    <t>Migration or Expulsion of Device</t>
  </si>
  <si>
    <t>A0105</t>
  </si>
  <si>
    <t>Lack of Effect</t>
  </si>
  <si>
    <t>A0106</t>
  </si>
  <si>
    <t>Device Stenosis</t>
  </si>
  <si>
    <t>A0107</t>
  </si>
  <si>
    <t>Implant Subsidence</t>
  </si>
  <si>
    <t>A02</t>
  </si>
  <si>
    <t>Manufacturing, Packaging or Shipping Problem</t>
  </si>
  <si>
    <t>A0201</t>
  </si>
  <si>
    <t>Product Quality Problem</t>
  </si>
  <si>
    <t>A0202</t>
  </si>
  <si>
    <t>Defective Component</t>
  </si>
  <si>
    <t>A0203</t>
  </si>
  <si>
    <t>A0204</t>
  </si>
  <si>
    <t>Device Damaged Prior to Use</t>
  </si>
  <si>
    <t>A0205</t>
  </si>
  <si>
    <t>A0206</t>
  </si>
  <si>
    <t>Device Misassembled During Manufacturing / Shipping</t>
  </si>
  <si>
    <t>A0207</t>
  </si>
  <si>
    <t>Shipping Damage or Problem Device Damaged Prior to Receipt by User</t>
  </si>
  <si>
    <t>A03</t>
  </si>
  <si>
    <t>Chemical Problem</t>
  </si>
  <si>
    <t>A0301</t>
  </si>
  <si>
    <t>Device Emits Odor</t>
  </si>
  <si>
    <t>A0302</t>
  </si>
  <si>
    <t>Device Ingredient or Reagent Problem</t>
  </si>
  <si>
    <t>A0303</t>
  </si>
  <si>
    <t>Improper Chemical Reaction</t>
  </si>
  <si>
    <t>A04</t>
  </si>
  <si>
    <t>Material Integrity Problem</t>
  </si>
  <si>
    <t>A0401</t>
  </si>
  <si>
    <t>A0402</t>
  </si>
  <si>
    <t>Burst Container or Vessel</t>
  </si>
  <si>
    <t>A0403</t>
  </si>
  <si>
    <t>Explosion</t>
  </si>
  <si>
    <t>A0404</t>
  </si>
  <si>
    <t>Crack</t>
  </si>
  <si>
    <t>A0405</t>
  </si>
  <si>
    <t>Degraded</t>
  </si>
  <si>
    <t>A0406</t>
  </si>
  <si>
    <t>Material Deformation</t>
  </si>
  <si>
    <t>A0407</t>
  </si>
  <si>
    <t>Material Discolored</t>
  </si>
  <si>
    <t>A0408</t>
  </si>
  <si>
    <t>Material Disintegration</t>
  </si>
  <si>
    <t>A0409</t>
  </si>
  <si>
    <t>Material Opacification</t>
  </si>
  <si>
    <t>A0410</t>
  </si>
  <si>
    <t>Material Perforation</t>
  </si>
  <si>
    <t>A0411</t>
  </si>
  <si>
    <t>Material Protrusion/Extrusion</t>
  </si>
  <si>
    <t>A0412</t>
  </si>
  <si>
    <t>Material Rupture</t>
  </si>
  <si>
    <t>A0413</t>
  </si>
  <si>
    <t>A0414</t>
  </si>
  <si>
    <t>Material Split, Cut or Torn</t>
  </si>
  <si>
    <t>A0415</t>
  </si>
  <si>
    <t>Scratched Material</t>
  </si>
  <si>
    <t>A0416</t>
  </si>
  <si>
    <t>Failure to Degrade</t>
  </si>
  <si>
    <t>A05</t>
  </si>
  <si>
    <t>A0501</t>
  </si>
  <si>
    <t>A0502</t>
  </si>
  <si>
    <t>Device Damaged by Another Device</t>
  </si>
  <si>
    <t>A0503</t>
  </si>
  <si>
    <t>Ejection Problem</t>
  </si>
  <si>
    <t>A0504</t>
  </si>
  <si>
    <t>Leak/Splash</t>
  </si>
  <si>
    <t>A0505</t>
  </si>
  <si>
    <t>Firing Problem</t>
  </si>
  <si>
    <t>A0506</t>
  </si>
  <si>
    <t>A0507</t>
  </si>
  <si>
    <t>Mechanics Altered</t>
  </si>
  <si>
    <t>A0508</t>
  </si>
  <si>
    <t>A0509</t>
  </si>
  <si>
    <t>Physical Resistance/Sticking</t>
  </si>
  <si>
    <t>A0510</t>
  </si>
  <si>
    <t>Retraction Problem</t>
  </si>
  <si>
    <t>A0511</t>
  </si>
  <si>
    <t>Structural Problem</t>
  </si>
  <si>
    <t>A0512</t>
  </si>
  <si>
    <t>Unintended Movement</t>
  </si>
  <si>
    <t>A0513</t>
  </si>
  <si>
    <t>Inadequate Lubrication</t>
  </si>
  <si>
    <t>A0514</t>
  </si>
  <si>
    <t>Damaged Thread</t>
  </si>
  <si>
    <t>A06</t>
  </si>
  <si>
    <t>Optical Problem</t>
  </si>
  <si>
    <t>A0601</t>
  </si>
  <si>
    <t>Misfocusing</t>
  </si>
  <si>
    <t>A0602</t>
  </si>
  <si>
    <t>Optical Decentration</t>
  </si>
  <si>
    <t>A0603</t>
  </si>
  <si>
    <t>Optical Discoloration</t>
  </si>
  <si>
    <t>A0604</t>
  </si>
  <si>
    <t>Optical Distortion</t>
  </si>
  <si>
    <t>A0605</t>
  </si>
  <si>
    <t>Optical Obstruction</t>
  </si>
  <si>
    <t>A07</t>
  </si>
  <si>
    <t>Electrical/Electronic Property Problem</t>
  </si>
  <si>
    <t>A0701</t>
  </si>
  <si>
    <t>Capturing Problem</t>
  </si>
  <si>
    <t>A0702</t>
  </si>
  <si>
    <t>Continuous Firing</t>
  </si>
  <si>
    <t>A0703</t>
  </si>
  <si>
    <t>Arcing</t>
  </si>
  <si>
    <t>A0704</t>
  </si>
  <si>
    <t>A0705</t>
  </si>
  <si>
    <t>Battery Problem</t>
  </si>
  <si>
    <t>A0706</t>
  </si>
  <si>
    <t>Charging Problem</t>
  </si>
  <si>
    <t>A0707</t>
  </si>
  <si>
    <t>Failure to Discharge</t>
  </si>
  <si>
    <t>A0708</t>
  </si>
  <si>
    <t>Power Problem</t>
  </si>
  <si>
    <t>A0709</t>
  </si>
  <si>
    <t>Device Sensing Problem</t>
  </si>
  <si>
    <t>A0710</t>
  </si>
  <si>
    <t>Failure to Conduct</t>
  </si>
  <si>
    <t>A0711</t>
  </si>
  <si>
    <t>Interrogation Problem</t>
  </si>
  <si>
    <t>A0712</t>
  </si>
  <si>
    <t>Pacing Problem</t>
  </si>
  <si>
    <t>A0713</t>
  </si>
  <si>
    <t>Defibrillation/Stimulation Problem</t>
  </si>
  <si>
    <t>A0714</t>
  </si>
  <si>
    <t>Unintended Electrical Shock</t>
  </si>
  <si>
    <t>A0715</t>
  </si>
  <si>
    <t>Grounding Malfunction</t>
  </si>
  <si>
    <t>A0716</t>
  </si>
  <si>
    <t>Electrical Overstress</t>
  </si>
  <si>
    <t>A0717</t>
  </si>
  <si>
    <t>Electrostatic Discharge</t>
  </si>
  <si>
    <t>A0718</t>
  </si>
  <si>
    <t>Failure to Shut Off</t>
  </si>
  <si>
    <t>A0719</t>
  </si>
  <si>
    <t>A0720</t>
  </si>
  <si>
    <t>Electromagnetic Compatibility Problem</t>
  </si>
  <si>
    <t>A0721</t>
  </si>
  <si>
    <t>Circuit Failure</t>
  </si>
  <si>
    <t>A0722</t>
  </si>
  <si>
    <t>Impedance Problem</t>
  </si>
  <si>
    <t>A0723</t>
  </si>
  <si>
    <t>Unexpected Mode Switch</t>
  </si>
  <si>
    <t>A08</t>
  </si>
  <si>
    <t>Calibration Problem</t>
  </si>
  <si>
    <t>A0801</t>
  </si>
  <si>
    <t>Failure to Calibrate</t>
  </si>
  <si>
    <t>A0802</t>
  </si>
  <si>
    <t>Failure to Recalibrate</t>
  </si>
  <si>
    <t>A0803</t>
  </si>
  <si>
    <t>Imprecision</t>
  </si>
  <si>
    <t>A0804</t>
  </si>
  <si>
    <t>Overcorrection</t>
  </si>
  <si>
    <t>A0805</t>
  </si>
  <si>
    <t>Undercorrection</t>
  </si>
  <si>
    <t>A09</t>
  </si>
  <si>
    <t>Output Problem</t>
  </si>
  <si>
    <t>A0901</t>
  </si>
  <si>
    <t>Audible Prompt/Feedback Problem</t>
  </si>
  <si>
    <t>A0902</t>
  </si>
  <si>
    <t>Display or Visual Feedback Problem</t>
  </si>
  <si>
    <t>A0903</t>
  </si>
  <si>
    <t>Tactile Prompts/Feedback</t>
  </si>
  <si>
    <t>A0904</t>
  </si>
  <si>
    <t>Energy Output Problem</t>
  </si>
  <si>
    <t>A0905</t>
  </si>
  <si>
    <t>Radiation Output Problem</t>
  </si>
  <si>
    <t>A0906</t>
  </si>
  <si>
    <t>Gas Output Problem</t>
  </si>
  <si>
    <t>A0907</t>
  </si>
  <si>
    <t>No Device Output</t>
  </si>
  <si>
    <t>A0908</t>
  </si>
  <si>
    <t>Incorrect, Inadequate or Imprecise Result or Readings</t>
  </si>
  <si>
    <t>A0909</t>
  </si>
  <si>
    <t>Unexpected Therapeutic Results</t>
  </si>
  <si>
    <t>A10</t>
  </si>
  <si>
    <t>Temperature Problem</t>
  </si>
  <si>
    <t>A1001</t>
  </si>
  <si>
    <t>Excessive Cooling</t>
  </si>
  <si>
    <t>A1002</t>
  </si>
  <si>
    <t>Excessive Heating</t>
  </si>
  <si>
    <t>A1003</t>
  </si>
  <si>
    <t>Insufficient Cooling</t>
  </si>
  <si>
    <t>A1004</t>
  </si>
  <si>
    <t>Insufficient Heating</t>
  </si>
  <si>
    <t>A1005</t>
  </si>
  <si>
    <t>A1006</t>
  </si>
  <si>
    <t>Thermal Decomposition of Device</t>
  </si>
  <si>
    <t>A1007</t>
  </si>
  <si>
    <t>Fire</t>
  </si>
  <si>
    <t>A1008</t>
  </si>
  <si>
    <t>Flare or Flash</t>
  </si>
  <si>
    <t>A1009</t>
  </si>
  <si>
    <t>Smoking</t>
  </si>
  <si>
    <t>A11</t>
  </si>
  <si>
    <t>Computer Software Problem</t>
  </si>
  <si>
    <t>A1101</t>
  </si>
  <si>
    <t>Application Network Problem</t>
  </si>
  <si>
    <t>A1102</t>
  </si>
  <si>
    <t>Application Program Problem</t>
  </si>
  <si>
    <t>A1103</t>
  </si>
  <si>
    <t>Program or Algorithm Execution Problem</t>
  </si>
  <si>
    <t>A1104</t>
  </si>
  <si>
    <t>Computer Operating System Problem</t>
  </si>
  <si>
    <t>A1105</t>
  </si>
  <si>
    <t>Computer System Security Problem</t>
  </si>
  <si>
    <t>A1106</t>
  </si>
  <si>
    <t>Data Back-Up Problem</t>
  </si>
  <si>
    <t>A1107</t>
  </si>
  <si>
    <t>Data Problem</t>
  </si>
  <si>
    <t>A1108</t>
  </si>
  <si>
    <t>Date/Time-Related Software Problem</t>
  </si>
  <si>
    <t>A12</t>
  </si>
  <si>
    <t>A1201</t>
  </si>
  <si>
    <t>Blocked Connection</t>
  </si>
  <si>
    <t>A1202</t>
  </si>
  <si>
    <t>Decoupling</t>
  </si>
  <si>
    <t>A1203</t>
  </si>
  <si>
    <t>Disconnection</t>
  </si>
  <si>
    <t>A1204</t>
  </si>
  <si>
    <t>Failure to Disconnect</t>
  </si>
  <si>
    <t>A1205</t>
  </si>
  <si>
    <t>A1206</t>
  </si>
  <si>
    <t>Misconnection</t>
  </si>
  <si>
    <t>A1207</t>
  </si>
  <si>
    <t>Incomplete or Inadequate Connection</t>
  </si>
  <si>
    <t>A1208</t>
  </si>
  <si>
    <t>Fitting Problem</t>
  </si>
  <si>
    <t>A13</t>
  </si>
  <si>
    <t>Communication or Transmission Problem</t>
  </si>
  <si>
    <t>A1301</t>
  </si>
  <si>
    <t>Failure to Read Input Signal</t>
  </si>
  <si>
    <t>A1302</t>
  </si>
  <si>
    <t>Failure to Transmit Record</t>
  </si>
  <si>
    <t>A1303</t>
  </si>
  <si>
    <t>Intermittent Communication Failure</t>
  </si>
  <si>
    <t>A1304</t>
  </si>
  <si>
    <t>Telemetry Discrepancy</t>
  </si>
  <si>
    <t>A1305</t>
  </si>
  <si>
    <t>Wireless Communication Problem</t>
  </si>
  <si>
    <t>A14</t>
  </si>
  <si>
    <t>Infusion or Flow Problem</t>
  </si>
  <si>
    <t>A1401</t>
  </si>
  <si>
    <t>Deflation Problem</t>
  </si>
  <si>
    <t>A1402</t>
  </si>
  <si>
    <t>Excess Flow or Over-Infusion</t>
  </si>
  <si>
    <t>A1403</t>
  </si>
  <si>
    <t>Filling Problem</t>
  </si>
  <si>
    <t>A1404</t>
  </si>
  <si>
    <t>Filtration Problem</t>
  </si>
  <si>
    <t>A1405</t>
  </si>
  <si>
    <t>Improper Flow or Infusion</t>
  </si>
  <si>
    <t>A1406</t>
  </si>
  <si>
    <t>Inflation Problem</t>
  </si>
  <si>
    <t>A1407</t>
  </si>
  <si>
    <t>Insufficient Flow or Under Infusion</t>
  </si>
  <si>
    <t>A1408</t>
  </si>
  <si>
    <t>No Flow</t>
  </si>
  <si>
    <t>A1409</t>
  </si>
  <si>
    <t>Obstruction of Flow</t>
  </si>
  <si>
    <t>A1410</t>
  </si>
  <si>
    <t>Difficult to Flush</t>
  </si>
  <si>
    <t>A1411</t>
  </si>
  <si>
    <t>Pressure Problem</t>
  </si>
  <si>
    <t>A1412</t>
  </si>
  <si>
    <t>Pumping Problem</t>
  </si>
  <si>
    <t>A1413</t>
  </si>
  <si>
    <t>Suction Problem</t>
  </si>
  <si>
    <t>A1414</t>
  </si>
  <si>
    <t>Priming Problem</t>
  </si>
  <si>
    <t>A1415</t>
  </si>
  <si>
    <t>Air/Gas in Device</t>
  </si>
  <si>
    <t>A15</t>
  </si>
  <si>
    <t>Activation, Positioning or Separation Problem</t>
  </si>
  <si>
    <t>A1501</t>
  </si>
  <si>
    <t>A1502</t>
  </si>
  <si>
    <t>Positioning Problem</t>
  </si>
  <si>
    <t>A1503</t>
  </si>
  <si>
    <t>Separation Problem</t>
  </si>
  <si>
    <t>A16</t>
  </si>
  <si>
    <t>Protective Measures Problem</t>
  </si>
  <si>
    <t>A1601</t>
  </si>
  <si>
    <t>Device Alarm System</t>
  </si>
  <si>
    <t>A1602</t>
  </si>
  <si>
    <t>Fail-Safe Problem</t>
  </si>
  <si>
    <t>A1603</t>
  </si>
  <si>
    <t>Failure of Device to Self-Test</t>
  </si>
  <si>
    <t>A1604</t>
  </si>
  <si>
    <t>Failure to Auto Stop</t>
  </si>
  <si>
    <t>A1605</t>
  </si>
  <si>
    <t>Reset Problem</t>
  </si>
  <si>
    <t>A1606</t>
  </si>
  <si>
    <t>Premature Indicator Activation</t>
  </si>
  <si>
    <t>A1607</t>
  </si>
  <si>
    <t>Shielding Failure</t>
  </si>
  <si>
    <t>A17</t>
  </si>
  <si>
    <t>Compatibility Problem</t>
  </si>
  <si>
    <t>A1701</t>
  </si>
  <si>
    <t>Component or Accessory Incompatibility</t>
  </si>
  <si>
    <t>A1702</t>
  </si>
  <si>
    <t>Device-Device Incompatibility</t>
  </si>
  <si>
    <t>A1703</t>
  </si>
  <si>
    <t>Measurement System Incompatibility</t>
  </si>
  <si>
    <t>A1704</t>
  </si>
  <si>
    <t>Unintended Compatibility</t>
  </si>
  <si>
    <t>A18</t>
  </si>
  <si>
    <t>Contamination /Decontamination Problem</t>
  </si>
  <si>
    <t>A1801</t>
  </si>
  <si>
    <t>A1802</t>
  </si>
  <si>
    <t>Device Contaminated During Manufacture or Shipping</t>
  </si>
  <si>
    <t>A1803</t>
  </si>
  <si>
    <t>Device Reprocessing Problem</t>
  </si>
  <si>
    <t>A1804</t>
  </si>
  <si>
    <t>Device Contaminated at the User Facility</t>
  </si>
  <si>
    <t>A19</t>
  </si>
  <si>
    <t>Environmental Compatibility Problem</t>
  </si>
  <si>
    <t>A1901</t>
  </si>
  <si>
    <t>Ambient Noise Problem</t>
  </si>
  <si>
    <t>A1902</t>
  </si>
  <si>
    <t>Ambient Temperature Problem</t>
  </si>
  <si>
    <t>A1903</t>
  </si>
  <si>
    <t>Fumes or Vapors</t>
  </si>
  <si>
    <t>A1904</t>
  </si>
  <si>
    <t>Fungus in Device Environment</t>
  </si>
  <si>
    <t>A1905</t>
  </si>
  <si>
    <t>Moisture or Humidity Problem</t>
  </si>
  <si>
    <t>A1906</t>
  </si>
  <si>
    <t>Ventilation Problem in Device Environment</t>
  </si>
  <si>
    <t>A1907</t>
  </si>
  <si>
    <t>Device Unsafe to Use in Environment</t>
  </si>
  <si>
    <t>A1908</t>
  </si>
  <si>
    <t>Environmental Particulates</t>
  </si>
  <si>
    <t>A1909</t>
  </si>
  <si>
    <t>Medical Gas Supply Problem</t>
  </si>
  <si>
    <t>A1910</t>
  </si>
  <si>
    <t>A20</t>
  </si>
  <si>
    <t>Installation-Related Problem</t>
  </si>
  <si>
    <t>A2001</t>
  </si>
  <si>
    <t>Misassembled During Installation</t>
  </si>
  <si>
    <t>A21</t>
  </si>
  <si>
    <t>Labelling, Instructions for Use or Training Problem</t>
  </si>
  <si>
    <t>A2101</t>
  </si>
  <si>
    <t>A2102</t>
  </si>
  <si>
    <t>Lack of Maintenance Documentation or Guidelines</t>
  </si>
  <si>
    <t>A2103</t>
  </si>
  <si>
    <t>Inadequate Instructions for Healthcare Professional</t>
  </si>
  <si>
    <t>A2104</t>
  </si>
  <si>
    <t>Inadequate Instructions for Non-Healthcare Professional</t>
  </si>
  <si>
    <t>A2105</t>
  </si>
  <si>
    <t>Inadequate or Insufficient Training</t>
  </si>
  <si>
    <t>A22</t>
  </si>
  <si>
    <t>Human-Device Interface Problem</t>
  </si>
  <si>
    <t>A2201</t>
  </si>
  <si>
    <t>Device Difficult to Setup or Prepare</t>
  </si>
  <si>
    <t>A2202</t>
  </si>
  <si>
    <t>Device Difficult to Program or Calibrate</t>
  </si>
  <si>
    <t>A2203</t>
  </si>
  <si>
    <t>Device Difficult to Maintain</t>
  </si>
  <si>
    <t>A2204</t>
  </si>
  <si>
    <t>Inadequate User Interface</t>
  </si>
  <si>
    <t>A2205</t>
  </si>
  <si>
    <t>Device Provides Uninformative Message</t>
  </si>
  <si>
    <t>A2206</t>
  </si>
  <si>
    <t>Device Provides Unintelligible Message</t>
  </si>
  <si>
    <t>A23</t>
  </si>
  <si>
    <t>Use of Device Problem</t>
  </si>
  <si>
    <t>A2301</t>
  </si>
  <si>
    <t>Device Handling Problem</t>
  </si>
  <si>
    <t>A2302</t>
  </si>
  <si>
    <t>Use of Incorrect Control/Treatment Settings</t>
  </si>
  <si>
    <t>A2303</t>
  </si>
  <si>
    <t>Improper or Incorrect Procedure or Method</t>
  </si>
  <si>
    <t>A2304</t>
  </si>
  <si>
    <t>Off-Label Use</t>
  </si>
  <si>
    <t>A2305</t>
  </si>
  <si>
    <t>Misassembled</t>
  </si>
  <si>
    <t>A24</t>
  </si>
  <si>
    <t>Adverse Event Without Identified Device or Use Problem</t>
  </si>
  <si>
    <t>A25</t>
  </si>
  <si>
    <t>No Apparent Adverse Event</t>
  </si>
  <si>
    <t>A2501</t>
  </si>
  <si>
    <t>Prophylactic Removal Due to Corrective Action</t>
  </si>
  <si>
    <t>A26</t>
  </si>
  <si>
    <t>Insufficient Device Problem Information</t>
  </si>
  <si>
    <t>A27</t>
  </si>
  <si>
    <t>E01</t>
  </si>
  <si>
    <t>Nervous System</t>
  </si>
  <si>
    <t>E0101</t>
  </si>
  <si>
    <t>Balance Problems</t>
  </si>
  <si>
    <t>E0102</t>
  </si>
  <si>
    <t>Brain Injury</t>
  </si>
  <si>
    <t>E0103</t>
  </si>
  <si>
    <t>Cerebral Edema</t>
  </si>
  <si>
    <t>E0104</t>
  </si>
  <si>
    <t>Cerebral Hyperperfusion Syndrome</t>
  </si>
  <si>
    <t>E0105</t>
  </si>
  <si>
    <t>Cerebral Ventriculomegaly</t>
  </si>
  <si>
    <t>E0106</t>
  </si>
  <si>
    <t>Cerebrospinal Fluid Leakage</t>
  </si>
  <si>
    <t>E0107</t>
  </si>
  <si>
    <t>Cognitive Changes</t>
  </si>
  <si>
    <t>E0108</t>
  </si>
  <si>
    <t>Concussion</t>
  </si>
  <si>
    <t>E0109</t>
  </si>
  <si>
    <t>Convulsion/Seizure</t>
  </si>
  <si>
    <t>E0110</t>
  </si>
  <si>
    <t>Hyporesponsive to Stimuli</t>
  </si>
  <si>
    <t>E0111</t>
  </si>
  <si>
    <t>Hyperresponsive to Stimuli</t>
  </si>
  <si>
    <t>E0112</t>
  </si>
  <si>
    <t>Dizziness</t>
  </si>
  <si>
    <t>E0113</t>
  </si>
  <si>
    <t>Dysphasia</t>
  </si>
  <si>
    <t>E0114</t>
  </si>
  <si>
    <t>Encephalitis</t>
  </si>
  <si>
    <t>E0115</t>
  </si>
  <si>
    <t>Encephalopathy</t>
  </si>
  <si>
    <t>E0116</t>
  </si>
  <si>
    <t>Headache</t>
  </si>
  <si>
    <t>E0117</t>
  </si>
  <si>
    <t>Hydrocephalus</t>
  </si>
  <si>
    <t>E0118</t>
  </si>
  <si>
    <t>Intracranial Hemorrhage</t>
  </si>
  <si>
    <t>E0119</t>
  </si>
  <si>
    <t>Intracranial Hypertension</t>
  </si>
  <si>
    <t>E0120</t>
  </si>
  <si>
    <t>Loss of Consciousness</t>
  </si>
  <si>
    <t>E0121</t>
  </si>
  <si>
    <t>Meningitis</t>
  </si>
  <si>
    <t>E0122</t>
  </si>
  <si>
    <t>Migraine</t>
  </si>
  <si>
    <t>E0123</t>
  </si>
  <si>
    <t>Movement Disorder</t>
  </si>
  <si>
    <t>E0124</t>
  </si>
  <si>
    <t>Nerve Damage</t>
  </si>
  <si>
    <t>E0125</t>
  </si>
  <si>
    <t>Neuralgia</t>
  </si>
  <si>
    <t>E0126</t>
  </si>
  <si>
    <t>Numbness</t>
  </si>
  <si>
    <t>E0127</t>
  </si>
  <si>
    <t>Paresis/Paralysis</t>
  </si>
  <si>
    <t>E0128</t>
  </si>
  <si>
    <t>Peripheral Neuropathy</t>
  </si>
  <si>
    <t>E0129</t>
  </si>
  <si>
    <t>Spinal Cord Injury</t>
  </si>
  <si>
    <t>E0130</t>
  </si>
  <si>
    <t>Stroke</t>
  </si>
  <si>
    <t>E0131</t>
  </si>
  <si>
    <t>Syncope</t>
  </si>
  <si>
    <t>E0132</t>
  </si>
  <si>
    <t>Tingling/Paresthesias</t>
  </si>
  <si>
    <t>E0133</t>
  </si>
  <si>
    <t>Tremor</t>
  </si>
  <si>
    <t>E0134</t>
  </si>
  <si>
    <t>Trigeminal Neuralgia</t>
  </si>
  <si>
    <t>E0135</t>
  </si>
  <si>
    <t>Ventriculitis</t>
  </si>
  <si>
    <t>E0136</t>
  </si>
  <si>
    <t>Vertigo</t>
  </si>
  <si>
    <t>E02</t>
  </si>
  <si>
    <t>Mental, Emotional and Behavioural Disorders</t>
  </si>
  <si>
    <t>E0201</t>
  </si>
  <si>
    <t>Addictive Disorder</t>
  </si>
  <si>
    <t>E0202</t>
  </si>
  <si>
    <t>Anxiety or Fear</t>
  </si>
  <si>
    <t>E0203</t>
  </si>
  <si>
    <t>Delirium</t>
  </si>
  <si>
    <t>E0204</t>
  </si>
  <si>
    <t>Depression</t>
  </si>
  <si>
    <t>E0205</t>
  </si>
  <si>
    <t>Eating Disorder</t>
  </si>
  <si>
    <t>E0206</t>
  </si>
  <si>
    <t>Mood Disorder or Disturbance</t>
  </si>
  <si>
    <t>E0207</t>
  </si>
  <si>
    <t>Post-Traumatic Stress Disorder</t>
  </si>
  <si>
    <t>E0208</t>
  </si>
  <si>
    <t>Psychotic Disorder</t>
  </si>
  <si>
    <t>E0209</t>
  </si>
  <si>
    <t>Sexual Disorder</t>
  </si>
  <si>
    <t>E0210</t>
  </si>
  <si>
    <t>Sleep Disorder</t>
  </si>
  <si>
    <t>E0211</t>
  </si>
  <si>
    <t>Stress</t>
  </si>
  <si>
    <t>E0212</t>
  </si>
  <si>
    <t>Suicidal Ideation or Attempted Suicide</t>
  </si>
  <si>
    <t>E03</t>
  </si>
  <si>
    <t>Blood and Lymphatic System</t>
  </si>
  <si>
    <t>E0301</t>
  </si>
  <si>
    <t>Anemia</t>
  </si>
  <si>
    <t>E0302</t>
  </si>
  <si>
    <t>Bone Marrow Failure</t>
  </si>
  <si>
    <t>E0303</t>
  </si>
  <si>
    <t>Coagulation Disorder</t>
  </si>
  <si>
    <t>E0304</t>
  </si>
  <si>
    <t>Hematoma</t>
  </si>
  <si>
    <t>E0305</t>
  </si>
  <si>
    <t>Hemorrhage</t>
  </si>
  <si>
    <t>E0306</t>
  </si>
  <si>
    <t>Lymphadenopathy</t>
  </si>
  <si>
    <t>E0307</t>
  </si>
  <si>
    <t>Lymphedema</t>
  </si>
  <si>
    <t>E0308</t>
  </si>
  <si>
    <t>Seroma</t>
  </si>
  <si>
    <t>E0309</t>
  </si>
  <si>
    <t>Thrombocytopenia</t>
  </si>
  <si>
    <t>E0310</t>
  </si>
  <si>
    <t>Thrombosis</t>
  </si>
  <si>
    <t>E0311</t>
  </si>
  <si>
    <t>White Blood Cell Disorder</t>
  </si>
  <si>
    <t>E04</t>
  </si>
  <si>
    <t>Immune System</t>
  </si>
  <si>
    <t>E0401</t>
  </si>
  <si>
    <t>Allergic Reaction</t>
  </si>
  <si>
    <t>E0402</t>
  </si>
  <si>
    <t>Anaphylactic Reaction</t>
  </si>
  <si>
    <t>E0403</t>
  </si>
  <si>
    <t>Autoimmune Disorder</t>
  </si>
  <si>
    <t>E0404</t>
  </si>
  <si>
    <t>Graft Rejection</t>
  </si>
  <si>
    <t>E0405</t>
  </si>
  <si>
    <t>Graft-versus-Host Disease</t>
  </si>
  <si>
    <t>E0406</t>
  </si>
  <si>
    <t>Hypersensitivity</t>
  </si>
  <si>
    <t>E0407</t>
  </si>
  <si>
    <t>Immunodeficiency</t>
  </si>
  <si>
    <t>E0408</t>
  </si>
  <si>
    <t>Immunological Reaction</t>
  </si>
  <si>
    <t>E0409</t>
  </si>
  <si>
    <t>Metal Sensitivity</t>
  </si>
  <si>
    <t>E05</t>
  </si>
  <si>
    <t>Vascular System</t>
  </si>
  <si>
    <t>E0501</t>
  </si>
  <si>
    <t>Aneurysm</t>
  </si>
  <si>
    <t>E0502</t>
  </si>
  <si>
    <t>Angina Pectoris</t>
  </si>
  <si>
    <t>E0503</t>
  </si>
  <si>
    <t>Arteriovenous Fistula Complication</t>
  </si>
  <si>
    <t>E0504</t>
  </si>
  <si>
    <t>Arteriovenous Fistula Malfunction</t>
  </si>
  <si>
    <t>E0505</t>
  </si>
  <si>
    <t>Aortic Dissection</t>
  </si>
  <si>
    <t>E0506</t>
  </si>
  <si>
    <t>Blood Pressure Changes</t>
  </si>
  <si>
    <t>E0507</t>
  </si>
  <si>
    <t>Circulatory Problem</t>
  </si>
  <si>
    <t>E0508</t>
  </si>
  <si>
    <t>Deep Vein Thrombosis</t>
  </si>
  <si>
    <t>E0509</t>
  </si>
  <si>
    <t>Embolism</t>
  </si>
  <si>
    <t>E0510</t>
  </si>
  <si>
    <t>Hematological Signs and Symptoms</t>
  </si>
  <si>
    <t>E0511</t>
  </si>
  <si>
    <t>Hemodynamic Instability</t>
  </si>
  <si>
    <t>E0512</t>
  </si>
  <si>
    <t>Ischemia</t>
  </si>
  <si>
    <t>E0513</t>
  </si>
  <si>
    <t>Phlebitis</t>
  </si>
  <si>
    <t>E0514</t>
  </si>
  <si>
    <t>Vascular Damage or Injury</t>
  </si>
  <si>
    <t>E0515</t>
  </si>
  <si>
    <t>Vascular Dissection</t>
  </si>
  <si>
    <t>E0516</t>
  </si>
  <si>
    <t>Vascular Fistula</t>
  </si>
  <si>
    <t>E0517</t>
  </si>
  <si>
    <t>Vascular Occlusion</t>
  </si>
  <si>
    <t>E0518</t>
  </si>
  <si>
    <t>Vascular Perforation</t>
  </si>
  <si>
    <t>E0519</t>
  </si>
  <si>
    <t>Vascular Pseudoaneurysm</t>
  </si>
  <si>
    <t>E0520</t>
  </si>
  <si>
    <t>Vascular Spasm</t>
  </si>
  <si>
    <t>E0521</t>
  </si>
  <si>
    <t>Vascular Stenosis or Restenosis</t>
  </si>
  <si>
    <t>E0522</t>
  </si>
  <si>
    <t>Vasovagal Response</t>
  </si>
  <si>
    <t>E06</t>
  </si>
  <si>
    <t>Heart</t>
  </si>
  <si>
    <t>E0601</t>
  </si>
  <si>
    <t>Cardiac Arrest</t>
  </si>
  <si>
    <t>E0602</t>
  </si>
  <si>
    <t>Cardiac Conduction Disorder</t>
  </si>
  <si>
    <t>E0603</t>
  </si>
  <si>
    <t>Cardiac Failure</t>
  </si>
  <si>
    <t>E0604</t>
  </si>
  <si>
    <t>Cardiac Tamponade</t>
  </si>
  <si>
    <t>E0605</t>
  </si>
  <si>
    <t>Cardiomyopathy</t>
  </si>
  <si>
    <t>E0606</t>
  </si>
  <si>
    <t>Endocarditis</t>
  </si>
  <si>
    <t>E0607</t>
  </si>
  <si>
    <t>Myocardial Infarction</t>
  </si>
  <si>
    <t>E0608</t>
  </si>
  <si>
    <t>Myocarditis</t>
  </si>
  <si>
    <t>E0609</t>
  </si>
  <si>
    <t>Pericardial Effusion</t>
  </si>
  <si>
    <t>E0610</t>
  </si>
  <si>
    <t>Pericarditis</t>
  </si>
  <si>
    <t>E0611</t>
  </si>
  <si>
    <t>Valvular Disease</t>
  </si>
  <si>
    <t>E07</t>
  </si>
  <si>
    <t>Respiratory System</t>
  </si>
  <si>
    <t>E0701</t>
  </si>
  <si>
    <t>Airway Problem</t>
  </si>
  <si>
    <t>E0702</t>
  </si>
  <si>
    <t>Aspiration</t>
  </si>
  <si>
    <t>E0703</t>
  </si>
  <si>
    <t>Asthma</t>
  </si>
  <si>
    <t>E0704</t>
  </si>
  <si>
    <t>Atelectasis</t>
  </si>
  <si>
    <t>E0705</t>
  </si>
  <si>
    <t>Barotrauma</t>
  </si>
  <si>
    <t>E0706</t>
  </si>
  <si>
    <t>Bronchospasm</t>
  </si>
  <si>
    <t>E0707</t>
  </si>
  <si>
    <t>Chylothorax</t>
  </si>
  <si>
    <t>E0708</t>
  </si>
  <si>
    <t>Cough</t>
  </si>
  <si>
    <t>E0709</t>
  </si>
  <si>
    <t>Diaphragm Injury</t>
  </si>
  <si>
    <t>E0710</t>
  </si>
  <si>
    <t>Dyspnea</t>
  </si>
  <si>
    <t>E0711</t>
  </si>
  <si>
    <t>Hemoptysis</t>
  </si>
  <si>
    <t>E0712</t>
  </si>
  <si>
    <t>Hemothorax</t>
  </si>
  <si>
    <t>E0713</t>
  </si>
  <si>
    <t>Hypercarbia</t>
  </si>
  <si>
    <t>E0714</t>
  </si>
  <si>
    <t>Hypoxia</t>
  </si>
  <si>
    <t>E0715</t>
  </si>
  <si>
    <t>Pleural Effusion</t>
  </si>
  <si>
    <t>E0716</t>
  </si>
  <si>
    <t>Pneumomediastinum</t>
  </si>
  <si>
    <t>E0717</t>
  </si>
  <si>
    <t>Pneumonia</t>
  </si>
  <si>
    <t>E0718</t>
  </si>
  <si>
    <t>Pneumothorax</t>
  </si>
  <si>
    <t>E0719</t>
  </si>
  <si>
    <t>Pulmonary Edema</t>
  </si>
  <si>
    <t>E0720</t>
  </si>
  <si>
    <t>Pulmonary Embolism</t>
  </si>
  <si>
    <t>E0721</t>
  </si>
  <si>
    <t>Pulmonary Fibrosis</t>
  </si>
  <si>
    <t>E0722</t>
  </si>
  <si>
    <t>Pulmonary Hemorrhage</t>
  </si>
  <si>
    <t>E0723</t>
  </si>
  <si>
    <t>Pulmonary Hypertension</t>
  </si>
  <si>
    <t>E0724</t>
  </si>
  <si>
    <t>Respiratory Failure</t>
  </si>
  <si>
    <t>E0725</t>
  </si>
  <si>
    <t>Rhinitis</t>
  </si>
  <si>
    <t>E0726</t>
  </si>
  <si>
    <t>Sinusitis</t>
  </si>
  <si>
    <t>E0727</t>
  </si>
  <si>
    <t>Tracheal Problem</t>
  </si>
  <si>
    <t>E08</t>
  </si>
  <si>
    <t>Eye</t>
  </si>
  <si>
    <t>E0801</t>
  </si>
  <si>
    <t>Blindness/Vision Loss</t>
  </si>
  <si>
    <t>E0802</t>
  </si>
  <si>
    <t>Capsular Fibrosis/Contraction</t>
  </si>
  <si>
    <t>E0803</t>
  </si>
  <si>
    <t>Cataract</t>
  </si>
  <si>
    <t>E0804</t>
  </si>
  <si>
    <t>Conjunctival Problem</t>
  </si>
  <si>
    <t>E0805</t>
  </si>
  <si>
    <t>Corneal Abrasion</t>
  </si>
  <si>
    <t>E0806</t>
  </si>
  <si>
    <t>Corneal Edema</t>
  </si>
  <si>
    <t>E0807</t>
  </si>
  <si>
    <t>Corneal Opacity</t>
  </si>
  <si>
    <t>E0808</t>
  </si>
  <si>
    <t>Corneal Perforation</t>
  </si>
  <si>
    <t>E0809</t>
  </si>
  <si>
    <t>Corneal Ulcer</t>
  </si>
  <si>
    <t>E0810</t>
  </si>
  <si>
    <t>Cystoid Macular Edema</t>
  </si>
  <si>
    <t>E0811</t>
  </si>
  <si>
    <t>Diplopia</t>
  </si>
  <si>
    <t>E0812</t>
  </si>
  <si>
    <t>Dry Eye Syndrome</t>
  </si>
  <si>
    <t>E0813</t>
  </si>
  <si>
    <t>Endophthalmitis</t>
  </si>
  <si>
    <t>E0814</t>
  </si>
  <si>
    <t>Epiretinal Membrane</t>
  </si>
  <si>
    <t>E0815</t>
  </si>
  <si>
    <t>Eye Irritation</t>
  </si>
  <si>
    <t>E0816</t>
  </si>
  <si>
    <t>Eye Pain</t>
  </si>
  <si>
    <t>E0817</t>
  </si>
  <si>
    <t>Floaters</t>
  </si>
  <si>
    <t>E0818</t>
  </si>
  <si>
    <t>Glare</t>
  </si>
  <si>
    <t>E0819</t>
  </si>
  <si>
    <t>Glaucoma</t>
  </si>
  <si>
    <t>E0820</t>
  </si>
  <si>
    <t>Halos</t>
  </si>
  <si>
    <t>E0821</t>
  </si>
  <si>
    <t>Hyphema</t>
  </si>
  <si>
    <t>E0822</t>
  </si>
  <si>
    <t>Hypopyon</t>
  </si>
  <si>
    <t>E0823</t>
  </si>
  <si>
    <t>Intraocular Lens Dislocation</t>
  </si>
  <si>
    <t>E0824</t>
  </si>
  <si>
    <t>Intraocular Pressure Increase</t>
  </si>
  <si>
    <t>E0825</t>
  </si>
  <si>
    <t>Iris Problem</t>
  </si>
  <si>
    <t>E0826</t>
  </si>
  <si>
    <t>Lacrimal Problem</t>
  </si>
  <si>
    <t>E0827</t>
  </si>
  <si>
    <t>Macular Degeneration</t>
  </si>
  <si>
    <t>E0828</t>
  </si>
  <si>
    <t>Nystagmus</t>
  </si>
  <si>
    <t>E0829</t>
  </si>
  <si>
    <t>Ocular Allergy</t>
  </si>
  <si>
    <t>E0830</t>
  </si>
  <si>
    <t>Ocular Foreign Body Sensation</t>
  </si>
  <si>
    <t>E0831</t>
  </si>
  <si>
    <t>Ocular Hemorrhage</t>
  </si>
  <si>
    <t>E0832</t>
  </si>
  <si>
    <t>Orbital Problem</t>
  </si>
  <si>
    <t>E0833</t>
  </si>
  <si>
    <t>Photophobia</t>
  </si>
  <si>
    <t>E0834</t>
  </si>
  <si>
    <t>Refractive Change</t>
  </si>
  <si>
    <t>E0835</t>
  </si>
  <si>
    <t>Retinal Detachment</t>
  </si>
  <si>
    <t>E0836</t>
  </si>
  <si>
    <t>Strabismus</t>
  </si>
  <si>
    <t>E0837</t>
  </si>
  <si>
    <t>Uveitis</t>
  </si>
  <si>
    <t>E0838</t>
  </si>
  <si>
    <t>Visual Disturbances</t>
  </si>
  <si>
    <t>E0839</t>
  </si>
  <si>
    <t>Vitreous Detachment</t>
  </si>
  <si>
    <t>E0840</t>
  </si>
  <si>
    <t>Vitreous Hemorrhage</t>
  </si>
  <si>
    <t>E09</t>
  </si>
  <si>
    <t>Ear and Labyrinth</t>
  </si>
  <si>
    <t>E0901</t>
  </si>
  <si>
    <t>Cholesteatoma</t>
  </si>
  <si>
    <t>E0902</t>
  </si>
  <si>
    <t>Ear Discharge</t>
  </si>
  <si>
    <t>E0903</t>
  </si>
  <si>
    <t>Ear Pain</t>
  </si>
  <si>
    <t>E0904</t>
  </si>
  <si>
    <t>Hearing Loss/Deafness</t>
  </si>
  <si>
    <t>E0905</t>
  </si>
  <si>
    <t>Hyperacusis</t>
  </si>
  <si>
    <t>E0906</t>
  </si>
  <si>
    <t>Labyrinthitis</t>
  </si>
  <si>
    <t>E0907</t>
  </si>
  <si>
    <t>Mastoiditis</t>
  </si>
  <si>
    <t>E0908</t>
  </si>
  <si>
    <t>Ossicular Disruption</t>
  </si>
  <si>
    <t>E0909</t>
  </si>
  <si>
    <t>Otitis Externa</t>
  </si>
  <si>
    <t>E0910</t>
  </si>
  <si>
    <t>Otitis Media</t>
  </si>
  <si>
    <t>E0911</t>
  </si>
  <si>
    <t>Tinnitus</t>
  </si>
  <si>
    <t>E0912</t>
  </si>
  <si>
    <t>Tympanic Membrane Perforation</t>
  </si>
  <si>
    <t>E10</t>
  </si>
  <si>
    <t>Gastrointestinal System</t>
  </si>
  <si>
    <t>E1001</t>
  </si>
  <si>
    <t>Abdominal Pain</t>
  </si>
  <si>
    <t>E1002</t>
  </si>
  <si>
    <t>Anal and Rectal Problem</t>
  </si>
  <si>
    <t>E1003</t>
  </si>
  <si>
    <t>Constipation</t>
  </si>
  <si>
    <t>E1004</t>
  </si>
  <si>
    <t>Diarrhea</t>
  </si>
  <si>
    <t>E1005</t>
  </si>
  <si>
    <t>Dry Mouth</t>
  </si>
  <si>
    <t>E1006</t>
  </si>
  <si>
    <t>Dyspepsia</t>
  </si>
  <si>
    <t>E1007</t>
  </si>
  <si>
    <t>Dysphagia</t>
  </si>
  <si>
    <t>E1008</t>
  </si>
  <si>
    <t>Esophageal Problem</t>
  </si>
  <si>
    <t>E1009</t>
  </si>
  <si>
    <t>Fecal Incontinence</t>
  </si>
  <si>
    <t>E1010</t>
  </si>
  <si>
    <t>Fistula Related to Gastrointestinal System</t>
  </si>
  <si>
    <t>E1011</t>
  </si>
  <si>
    <t>Flatulence</t>
  </si>
  <si>
    <t>E1012</t>
  </si>
  <si>
    <t>Gastrointestinal Hemorrhage</t>
  </si>
  <si>
    <t>E1013</t>
  </si>
  <si>
    <t>Gastrointestinal Inflammation</t>
  </si>
  <si>
    <t>E1014</t>
  </si>
  <si>
    <t>Gastrointestinal Obstruction</t>
  </si>
  <si>
    <t>E1015</t>
  </si>
  <si>
    <t>Gastrointestinal Perforation</t>
  </si>
  <si>
    <t>E1016</t>
  </si>
  <si>
    <t>Ileus</t>
  </si>
  <si>
    <t>E1017</t>
  </si>
  <si>
    <t>Nausea</t>
  </si>
  <si>
    <t>E1018</t>
  </si>
  <si>
    <t>Oral Condition</t>
  </si>
  <si>
    <t>E1019</t>
  </si>
  <si>
    <t>Pancreatitis</t>
  </si>
  <si>
    <t>E1020</t>
  </si>
  <si>
    <t>Peritonitis</t>
  </si>
  <si>
    <t>E1021</t>
  </si>
  <si>
    <t>Stoma Complication</t>
  </si>
  <si>
    <t>E1022</t>
  </si>
  <si>
    <t>Taste Disturbance</t>
  </si>
  <si>
    <t>E1023</t>
  </si>
  <si>
    <t>Vomiting</t>
  </si>
  <si>
    <t>E11</t>
  </si>
  <si>
    <t>Hepatic and Biliary System</t>
  </si>
  <si>
    <t>E1101</t>
  </si>
  <si>
    <t>Bile Duct Damage or Injury</t>
  </si>
  <si>
    <t>E1102</t>
  </si>
  <si>
    <t>Bile Duct Obstruction</t>
  </si>
  <si>
    <t>E1103</t>
  </si>
  <si>
    <t>Bile Leak</t>
  </si>
  <si>
    <t>E1104</t>
  </si>
  <si>
    <t>Cholangitis</t>
  </si>
  <si>
    <t>E1105</t>
  </si>
  <si>
    <t>Cholecystitis</t>
  </si>
  <si>
    <t>E1106</t>
  </si>
  <si>
    <t>Gallstone Problem</t>
  </si>
  <si>
    <t>E1107</t>
  </si>
  <si>
    <t>Hepatic Failure</t>
  </si>
  <si>
    <t>E1108</t>
  </si>
  <si>
    <t>Hepatitis</t>
  </si>
  <si>
    <t>E1109</t>
  </si>
  <si>
    <t>Jaundice</t>
  </si>
  <si>
    <t>E12</t>
  </si>
  <si>
    <t>Endocrine, Metabolism and Nutrition</t>
  </si>
  <si>
    <t>E1201</t>
  </si>
  <si>
    <t>Acid-Base Imbalance</t>
  </si>
  <si>
    <t>E1202</t>
  </si>
  <si>
    <t>Dehydration</t>
  </si>
  <si>
    <t>E1203</t>
  </si>
  <si>
    <t>Electrolyte Imbalance</t>
  </si>
  <si>
    <t>E1204</t>
  </si>
  <si>
    <t>Endocrine Disorder</t>
  </si>
  <si>
    <t>E1205</t>
  </si>
  <si>
    <t>Fluid Overload</t>
  </si>
  <si>
    <t>E1206</t>
  </si>
  <si>
    <t>Glucose Level Changes</t>
  </si>
  <si>
    <t>E1207</t>
  </si>
  <si>
    <t>Lipid Level Changes</t>
  </si>
  <si>
    <t>E1208</t>
  </si>
  <si>
    <t>Malnutrition</t>
  </si>
  <si>
    <t>E1209</t>
  </si>
  <si>
    <t>Nutritional Deficiency</t>
  </si>
  <si>
    <t>E13</t>
  </si>
  <si>
    <t>Kidney and Urinary Tract</t>
  </si>
  <si>
    <t>E1301</t>
  </si>
  <si>
    <t>Hematuria</t>
  </si>
  <si>
    <t>E1302</t>
  </si>
  <si>
    <t>Hydronephrosis</t>
  </si>
  <si>
    <t>E1303</t>
  </si>
  <si>
    <t>Kidney Stone</t>
  </si>
  <si>
    <t>E1304</t>
  </si>
  <si>
    <t>Proteinuria</t>
  </si>
  <si>
    <t>E1305</t>
  </si>
  <si>
    <t>Renal Failure</t>
  </si>
  <si>
    <t>E1306</t>
  </si>
  <si>
    <t>Renal Injury</t>
  </si>
  <si>
    <t>E1307</t>
  </si>
  <si>
    <t>Urethral Problem</t>
  </si>
  <si>
    <t>E1308</t>
  </si>
  <si>
    <t>Urinary Fistula</t>
  </si>
  <si>
    <t>E1309</t>
  </si>
  <si>
    <t>Urinary Incontinence</t>
  </si>
  <si>
    <t>E1310</t>
  </si>
  <si>
    <t>Urinary Obstruction</t>
  </si>
  <si>
    <t>E1311</t>
  </si>
  <si>
    <t>Urinary Retention</t>
  </si>
  <si>
    <t>E1312</t>
  </si>
  <si>
    <t>Urinary Tract Infection</t>
  </si>
  <si>
    <t>E14</t>
  </si>
  <si>
    <t>Reproductive System and Breast</t>
  </si>
  <si>
    <t>E1401</t>
  </si>
  <si>
    <t>Breast Abnormality</t>
  </si>
  <si>
    <t>E1402</t>
  </si>
  <si>
    <t>Breast Contracture</t>
  </si>
  <si>
    <t>E1403</t>
  </si>
  <si>
    <t>Breast Pain</t>
  </si>
  <si>
    <t>E1404</t>
  </si>
  <si>
    <t>Breast Seroma</t>
  </si>
  <si>
    <t>E1405</t>
  </si>
  <si>
    <t>Cervical Laceration</t>
  </si>
  <si>
    <t>E1406</t>
  </si>
  <si>
    <t>Dysmenorrhea</t>
  </si>
  <si>
    <t>E1407</t>
  </si>
  <si>
    <t>Dyspareunia</t>
  </si>
  <si>
    <t>E1408</t>
  </si>
  <si>
    <t>Endometritis</t>
  </si>
  <si>
    <t>E1409</t>
  </si>
  <si>
    <t>Female Genital Tract Fistula</t>
  </si>
  <si>
    <t>E1410</t>
  </si>
  <si>
    <t>Fertility Problem</t>
  </si>
  <si>
    <t>E1411</t>
  </si>
  <si>
    <t>Galactorrhea</t>
  </si>
  <si>
    <t>E1412</t>
  </si>
  <si>
    <t>Gynaecomastia</t>
  </si>
  <si>
    <t>E1413</t>
  </si>
  <si>
    <t>Menorrhagia/Metrorrhagia</t>
  </si>
  <si>
    <t>E1414</t>
  </si>
  <si>
    <t>Ovarian Hyperstimulation Syndrome</t>
  </si>
  <si>
    <t>E1415</t>
  </si>
  <si>
    <t>Pelvic Inflammatory Disease</t>
  </si>
  <si>
    <t>E1416</t>
  </si>
  <si>
    <t>Pelvic Pain</t>
  </si>
  <si>
    <t>E1417</t>
  </si>
  <si>
    <t>Prostate Problem</t>
  </si>
  <si>
    <t>E1418</t>
  </si>
  <si>
    <t>Testicular Problem</t>
  </si>
  <si>
    <t>E1419</t>
  </si>
  <si>
    <t>Uterine Cramping</t>
  </si>
  <si>
    <t>E1420</t>
  </si>
  <si>
    <t>Uterine Perforation</t>
  </si>
  <si>
    <t>E1421</t>
  </si>
  <si>
    <t>Vaginal Problem</t>
  </si>
  <si>
    <t>E15</t>
  </si>
  <si>
    <t>Pregnancy, Childbirth and the Puerperium</t>
  </si>
  <si>
    <t>E1501</t>
  </si>
  <si>
    <t>Ectopic Pregnancy</t>
  </si>
  <si>
    <t>E1502</t>
  </si>
  <si>
    <t>Foetal Abnormality</t>
  </si>
  <si>
    <t>E1503</t>
  </si>
  <si>
    <t>Foetal Distress</t>
  </si>
  <si>
    <t>E1504</t>
  </si>
  <si>
    <t>Gestational Diabetes</t>
  </si>
  <si>
    <t>E1505</t>
  </si>
  <si>
    <t>Miscarriage or Abortion</t>
  </si>
  <si>
    <t>E1506</t>
  </si>
  <si>
    <t>Neonatal Problem</t>
  </si>
  <si>
    <t>E1507</t>
  </si>
  <si>
    <t>Obstetric Hemorrhage</t>
  </si>
  <si>
    <t>E1508</t>
  </si>
  <si>
    <t>Placental Problem</t>
  </si>
  <si>
    <t>E1509</t>
  </si>
  <si>
    <t>Pre-Eclampsia/Eclampsia</t>
  </si>
  <si>
    <t>E1510</t>
  </si>
  <si>
    <t>Premature Birth or Delivery</t>
  </si>
  <si>
    <t>E1511</t>
  </si>
  <si>
    <t>Puerperal Complication</t>
  </si>
  <si>
    <t>E1512</t>
  </si>
  <si>
    <t>Stillbirth</t>
  </si>
  <si>
    <t>E1513</t>
  </si>
  <si>
    <t>Unintended Pregnancy</t>
  </si>
  <si>
    <t>E16</t>
  </si>
  <si>
    <t>Musculoskeletal System</t>
  </si>
  <si>
    <t>E1601</t>
  </si>
  <si>
    <t>Amputation</t>
  </si>
  <si>
    <t>E1602</t>
  </si>
  <si>
    <t>Arthralgia</t>
  </si>
  <si>
    <t>E1603</t>
  </si>
  <si>
    <t>Bone Fracture</t>
  </si>
  <si>
    <t>E1604</t>
  </si>
  <si>
    <t>Bone Loss/Resorption</t>
  </si>
  <si>
    <t>E1605</t>
  </si>
  <si>
    <t>Bursitis</t>
  </si>
  <si>
    <t>E1606</t>
  </si>
  <si>
    <t>Compartment Syndrome</t>
  </si>
  <si>
    <t>E1607</t>
  </si>
  <si>
    <t>Dislocation</t>
  </si>
  <si>
    <t>E1608</t>
  </si>
  <si>
    <t>Exostosis</t>
  </si>
  <si>
    <t>E1609</t>
  </si>
  <si>
    <t>Joint Contracture</t>
  </si>
  <si>
    <t>E1610</t>
  </si>
  <si>
    <t>Joint Effusion</t>
  </si>
  <si>
    <t>E1611</t>
  </si>
  <si>
    <t>Joint Instability</t>
  </si>
  <si>
    <t>E1612</t>
  </si>
  <si>
    <t>Leg Length Discrepancy</t>
  </si>
  <si>
    <t>E1613</t>
  </si>
  <si>
    <t>Muscle or Tendon Problem</t>
  </si>
  <si>
    <t>E1614</t>
  </si>
  <si>
    <t>Musculoskeletal Pain</t>
  </si>
  <si>
    <t>E1615</t>
  </si>
  <si>
    <t>Osteolysis</t>
  </si>
  <si>
    <t>E1616</t>
  </si>
  <si>
    <t>Osteomyelitis</t>
  </si>
  <si>
    <t>E1617</t>
  </si>
  <si>
    <t>Osteonecrosis</t>
  </si>
  <si>
    <t>E1618</t>
  </si>
  <si>
    <t>Osteoporosis</t>
  </si>
  <si>
    <t>E1619</t>
  </si>
  <si>
    <t>Range of Motion Problem</t>
  </si>
  <si>
    <t>E1620</t>
  </si>
  <si>
    <t>Skeletal Deformity</t>
  </si>
  <si>
    <t>E1621</t>
  </si>
  <si>
    <t>Spinal Cord Problem</t>
  </si>
  <si>
    <t>E1622</t>
  </si>
  <si>
    <t>Subluxation</t>
  </si>
  <si>
    <t>E1623</t>
  </si>
  <si>
    <t>Synovitis</t>
  </si>
  <si>
    <t>E17</t>
  </si>
  <si>
    <t>Skin and Subcutaneous Tissue</t>
  </si>
  <si>
    <t>E1701</t>
  </si>
  <si>
    <t>Abscess</t>
  </si>
  <si>
    <t>E1702</t>
  </si>
  <si>
    <t>Alopecia</t>
  </si>
  <si>
    <t>E1703</t>
  </si>
  <si>
    <t>Blister</t>
  </si>
  <si>
    <t>E1704</t>
  </si>
  <si>
    <t>Bruise/Contusion</t>
  </si>
  <si>
    <t>E1705</t>
  </si>
  <si>
    <t>Burn</t>
  </si>
  <si>
    <t>E1706</t>
  </si>
  <si>
    <t>Cellulitis</t>
  </si>
  <si>
    <t>E1707</t>
  </si>
  <si>
    <t>Decubitus Ulcer</t>
  </si>
  <si>
    <t>E1708</t>
  </si>
  <si>
    <t>Dermatitis</t>
  </si>
  <si>
    <t>E1709</t>
  </si>
  <si>
    <t>Ecchymosis</t>
  </si>
  <si>
    <t>E1710</t>
  </si>
  <si>
    <t>Edema</t>
  </si>
  <si>
    <t>E1711</t>
  </si>
  <si>
    <t>Erythema</t>
  </si>
  <si>
    <t>E1712</t>
  </si>
  <si>
    <t>Exfoliation</t>
  </si>
  <si>
    <t>E1713</t>
  </si>
  <si>
    <t>Foreign Body Granuloma</t>
  </si>
  <si>
    <t>E1714</t>
  </si>
  <si>
    <t>Necrosis</t>
  </si>
  <si>
    <t>E1715</t>
  </si>
  <si>
    <t>Pruritus</t>
  </si>
  <si>
    <t>E1716</t>
  </si>
  <si>
    <t>Rash</t>
  </si>
  <si>
    <t>E1717</t>
  </si>
  <si>
    <t>Scar Complication</t>
  </si>
  <si>
    <t>E1718</t>
  </si>
  <si>
    <t>Skin Erosion</t>
  </si>
  <si>
    <t>E1719</t>
  </si>
  <si>
    <t>Skin Infection</t>
  </si>
  <si>
    <t>E1720</t>
  </si>
  <si>
    <t>Skin Irritation</t>
  </si>
  <si>
    <t>E1721</t>
  </si>
  <si>
    <t>Skin Laceration</t>
  </si>
  <si>
    <t>E1722</t>
  </si>
  <si>
    <t>Skin Lesion</t>
  </si>
  <si>
    <t>E1723</t>
  </si>
  <si>
    <t>Skin Neoplasm</t>
  </si>
  <si>
    <t>E1724</t>
  </si>
  <si>
    <t>Skin Perforation or Puncture</t>
  </si>
  <si>
    <t>E1725</t>
  </si>
  <si>
    <t>Skin Pigmentation Changes</t>
  </si>
  <si>
    <t>E1726</t>
  </si>
  <si>
    <t>Skin Ulcer</t>
  </si>
  <si>
    <t>E1727</t>
  </si>
  <si>
    <t>Urticaria</t>
  </si>
  <si>
    <t>E1728</t>
  </si>
  <si>
    <t>Wound Complication</t>
  </si>
  <si>
    <t>E18</t>
  </si>
  <si>
    <t>Neoplasms Benign, Malignant and Unspecified</t>
  </si>
  <si>
    <t>E1801</t>
  </si>
  <si>
    <t>Cancer</t>
  </si>
  <si>
    <t>E1802</t>
  </si>
  <si>
    <t>Benign Neoplasm</t>
  </si>
  <si>
    <t>E19</t>
  </si>
  <si>
    <t>Infections</t>
  </si>
  <si>
    <t>E1901</t>
  </si>
  <si>
    <t>Bacteremia</t>
  </si>
  <si>
    <t>E1902</t>
  </si>
  <si>
    <t>Device-Related Infection</t>
  </si>
  <si>
    <t>E1903</t>
  </si>
  <si>
    <t>Fungal Infection</t>
  </si>
  <si>
    <t>E1904</t>
  </si>
  <si>
    <t>Mycobacterial Infection</t>
  </si>
  <si>
    <t>E1905</t>
  </si>
  <si>
    <t>Parasitic Infection</t>
  </si>
  <si>
    <t>E1906</t>
  </si>
  <si>
    <t>Sepsis</t>
  </si>
  <si>
    <t>E1907</t>
  </si>
  <si>
    <t>Surgical Site Infection</t>
  </si>
  <si>
    <t>E1908</t>
  </si>
  <si>
    <t>Viral Infection</t>
  </si>
  <si>
    <t>E20</t>
  </si>
  <si>
    <t>E2001</t>
  </si>
  <si>
    <t>Aspiration Injury</t>
  </si>
  <si>
    <t>E2002</t>
  </si>
  <si>
    <t>Bite Injury</t>
  </si>
  <si>
    <t>E2003</t>
  </si>
  <si>
    <t>Crushing Injury</t>
  </si>
  <si>
    <t>E2004</t>
  </si>
  <si>
    <t>Drowning or Submersion</t>
  </si>
  <si>
    <t>E2005</t>
  </si>
  <si>
    <t>Electrical Injury</t>
  </si>
  <si>
    <t>E2006</t>
  </si>
  <si>
    <t>Erosion</t>
  </si>
  <si>
    <t>E2007</t>
  </si>
  <si>
    <t>Fall</t>
  </si>
  <si>
    <t>E2008</t>
  </si>
  <si>
    <t>Foreign Body</t>
  </si>
  <si>
    <t>E2009</t>
  </si>
  <si>
    <t>Impaction</t>
  </si>
  <si>
    <t>E2010</t>
  </si>
  <si>
    <t>Intussusception</t>
  </si>
  <si>
    <t>E2011</t>
  </si>
  <si>
    <t>Laceration</t>
  </si>
  <si>
    <t>E2012</t>
  </si>
  <si>
    <t>Obstruction</t>
  </si>
  <si>
    <t>E2013</t>
  </si>
  <si>
    <t>Organ Damage or Injury</t>
  </si>
  <si>
    <t>E2014</t>
  </si>
  <si>
    <t>Perforation</t>
  </si>
  <si>
    <t>E2015</t>
  </si>
  <si>
    <t>Radiation Injury</t>
  </si>
  <si>
    <t>E2016</t>
  </si>
  <si>
    <t>Suffocation or Asphyxiation</t>
  </si>
  <si>
    <t>E2017</t>
  </si>
  <si>
    <t>Thermal Injury</t>
  </si>
  <si>
    <t>E2018</t>
  </si>
  <si>
    <t>Toxic or Noxious Substance Exposure</t>
  </si>
  <si>
    <t>E2019</t>
  </si>
  <si>
    <t>Volvulus</t>
  </si>
  <si>
    <t>E21</t>
  </si>
  <si>
    <t>Procedural Complications</t>
  </si>
  <si>
    <t>E2101</t>
  </si>
  <si>
    <t>Adverse Reaction to Agent or Material</t>
  </si>
  <si>
    <t>E2102</t>
  </si>
  <si>
    <t>Air Embolism</t>
  </si>
  <si>
    <t>E2103</t>
  </si>
  <si>
    <t>Extravasation</t>
  </si>
  <si>
    <t>E2104</t>
  </si>
  <si>
    <t>Inadvertent Tissue or Organ Damage</t>
  </si>
  <si>
    <t>E2105</t>
  </si>
  <si>
    <t>Prolonged/Repeated Procedure</t>
  </si>
  <si>
    <t>E2106</t>
  </si>
  <si>
    <t>Unintended Change in Course of Treatment</t>
  </si>
  <si>
    <t>E2107</t>
  </si>
  <si>
    <t>Unnecessary Medical or Surgical Intervention</t>
  </si>
  <si>
    <t>E22</t>
  </si>
  <si>
    <t>Investigations and Diagnostic Tests</t>
  </si>
  <si>
    <t>E2201</t>
  </si>
  <si>
    <t>Abnormal Blood Test</t>
  </si>
  <si>
    <t>E2202</t>
  </si>
  <si>
    <t>Abnormal Other Tests</t>
  </si>
  <si>
    <t>E2203</t>
  </si>
  <si>
    <t>Delayed Treatment or Diagnosis</t>
  </si>
  <si>
    <t>E2204</t>
  </si>
  <si>
    <t>Incorrect Diagnosis or Results</t>
  </si>
  <si>
    <t>E2205</t>
  </si>
  <si>
    <t>Missed Diagnosis</t>
  </si>
  <si>
    <t>E23</t>
  </si>
  <si>
    <t>Generalized Disorders</t>
  </si>
  <si>
    <t>E2301</t>
  </si>
  <si>
    <t>Asthenia</t>
  </si>
  <si>
    <t>E2302</t>
  </si>
  <si>
    <t>Chest Pain</t>
  </si>
  <si>
    <t>E2303</t>
  </si>
  <si>
    <t>Chills</t>
  </si>
  <si>
    <t>E2304</t>
  </si>
  <si>
    <t>Death</t>
  </si>
  <si>
    <t>E2305</t>
  </si>
  <si>
    <t>Disability</t>
  </si>
  <si>
    <t>E2306</t>
  </si>
  <si>
    <t>Discomfort</t>
  </si>
  <si>
    <t>E2307</t>
  </si>
  <si>
    <t>Failure to Thrive</t>
  </si>
  <si>
    <t>E2308</t>
  </si>
  <si>
    <t>Fatigue</t>
  </si>
  <si>
    <t>E2309</t>
  </si>
  <si>
    <t>Fever/Elevated Body Temperature</t>
  </si>
  <si>
    <t>E2310</t>
  </si>
  <si>
    <t>Fibrosis</t>
  </si>
  <si>
    <t>E2311</t>
  </si>
  <si>
    <t>Fistula</t>
  </si>
  <si>
    <t>E2312</t>
  </si>
  <si>
    <t>Granuloma</t>
  </si>
  <si>
    <t>E2313</t>
  </si>
  <si>
    <t>Hernia</t>
  </si>
  <si>
    <t>E2314</t>
  </si>
  <si>
    <t>Hospitalization</t>
  </si>
  <si>
    <t>E2315</t>
  </si>
  <si>
    <t>Inflammation</t>
  </si>
  <si>
    <t>E2316</t>
  </si>
  <si>
    <t>Multi-Organ Failure</t>
  </si>
  <si>
    <t>E2317</t>
  </si>
  <si>
    <t>Pain</t>
  </si>
  <si>
    <t>E2318</t>
  </si>
  <si>
    <t>Prolapse</t>
  </si>
  <si>
    <t>E2319</t>
  </si>
  <si>
    <t>Shock</t>
  </si>
  <si>
    <t>E2320</t>
  </si>
  <si>
    <t>Stenosis</t>
  </si>
  <si>
    <t>E2321</t>
  </si>
  <si>
    <t>Swelling</t>
  </si>
  <si>
    <t>E2322</t>
  </si>
  <si>
    <t>Weight Change</t>
  </si>
  <si>
    <t>E24</t>
  </si>
  <si>
    <t>Other Terms/Codes Related to Clinical Signs and Symptoms or Conditions</t>
  </si>
  <si>
    <t>E2401</t>
  </si>
  <si>
    <t>No Known Health Consequences or Injury</t>
  </si>
  <si>
    <t>E2402</t>
  </si>
  <si>
    <t>Insufficient Information to Determine Health Consequence or Impact</t>
  </si>
  <si>
    <t>E2403</t>
  </si>
  <si>
    <t>Region</t>
  </si>
  <si>
    <t>Brazil</t>
  </si>
  <si>
    <t>United States</t>
  </si>
  <si>
    <t>Worldwide</t>
  </si>
  <si>
    <t>Units Sold</t>
  </si>
  <si>
    <t>Complaints</t>
  </si>
  <si>
    <t>Cumulative Sales</t>
  </si>
  <si>
    <t>Complaint Rate (per unit)</t>
  </si>
  <si>
    <t>Mean Rate</t>
  </si>
  <si>
    <t>UCL (Mean + 3σ)</t>
  </si>
  <si>
    <t>Breach?</t>
  </si>
  <si>
    <t>Complaint Rate</t>
  </si>
  <si>
    <t>UCL</t>
  </si>
  <si>
    <t>Surveillance Start</t>
  </si>
  <si>
    <t>Surveillance End (Annual)</t>
  </si>
  <si>
    <t>Surveillance End (Biennial)</t>
  </si>
  <si>
    <t>Total Sales (Surv-Ann)</t>
  </si>
  <si>
    <t>Total Sales (Surv-Biennial)</t>
  </si>
  <si>
    <t>Cumulative Surveillance Period</t>
  </si>
  <si>
    <t>Cumulative Surveillance</t>
  </si>
  <si>
    <t>Period</t>
  </si>
  <si>
    <t>Complaint Number</t>
  </si>
  <si>
    <t>Description</t>
  </si>
  <si>
    <t>Annual Number of Devices Sold by Region</t>
  </si>
  <si>
    <t>EEA + TR + XI</t>
  </si>
  <si>
    <t>UK ⁴</t>
  </si>
  <si>
    <t>Other</t>
  </si>
  <si>
    <t>Rest of World ⁵</t>
  </si>
  <si>
    <t>⁴ UK includes only England, Scotland, and Wales</t>
  </si>
  <si>
    <t>⁵ Includes all other countries with less than 5% of global sales</t>
  </si>
  <si>
    <t>¹ EEA = all EU countries + Iceland, Liechtenstein &amp; Norway   ² Turkey   ³ Northern Ireland</t>
  </si>
  <si>
    <t>Monthly Unit Sales</t>
  </si>
  <si>
    <t>Max Expected Rate of Occurrence</t>
  </si>
  <si>
    <t>PSUR Complaint &amp; Sales Surveillance Workbook</t>
  </si>
  <si>
    <t>Configuration &amp; Instructions</t>
  </si>
  <si>
    <t>⚙️  CONFIGURATION</t>
  </si>
  <si>
    <t>Setting</t>
  </si>
  <si>
    <t>Value</t>
  </si>
  <si>
    <t>Notes</t>
  </si>
  <si>
    <t>Product / Device Name</t>
  </si>
  <si>
    <t>e.g., ALLY UPS Micropipettes</t>
  </si>
  <si>
    <t>Surveillance Start Date</t>
  </si>
  <si>
    <t>First day of surveillance (e.g., 01/04/2022)</t>
  </si>
  <si>
    <t>Surveillance End Date</t>
  </si>
  <si>
    <t>Last day of surveillance window</t>
  </si>
  <si>
    <t>Update Frequency</t>
  </si>
  <si>
    <t>Enter: Annual  or  Biennial</t>
  </si>
  <si>
    <t>Max Expected Rate</t>
  </si>
  <si>
    <t>📖  DATA ENTRY INSTRUCTIONS</t>
  </si>
  <si>
    <t>OVERVIEW</t>
  </si>
  <si>
    <t>This workbook automates PSUR (Periodic Safety Update Report) surveillance. You only enter data in TWO sheets — all other tabs auto-calculate.</t>
  </si>
  <si>
    <t>WORKBOOK STRUCTURE</t>
  </si>
  <si>
    <t>Sheet</t>
  </si>
  <si>
    <t>Type</t>
  </si>
  <si>
    <t>Config (this sheet)</t>
  </si>
  <si>
    <t>⚙️ Settings</t>
  </si>
  <si>
    <t>Surveillance settings, RACT values, and this instruction guide</t>
  </si>
  <si>
    <t>complaints</t>
  </si>
  <si>
    <t>✏️ INPUT</t>
  </si>
  <si>
    <t>Enter complaint records in columns A–D. Columns E–F auto-populate.</t>
  </si>
  <si>
    <t>Sales</t>
  </si>
  <si>
    <t>Enter sales data in columns A–D (Country, Month, Quantity, Year).</t>
  </si>
  <si>
    <t>Harms table</t>
  </si>
  <si>
    <t>🔒 AUTO</t>
  </si>
  <si>
    <t>Complaint rates by Medical Device Problem — annual &amp; biennial tables (protected)</t>
  </si>
  <si>
    <t>Monthly complaint rate trend with control chart (SPC) — includes line chart (protected)</t>
  </si>
  <si>
    <t>sales tables</t>
  </si>
  <si>
    <t>Regional &amp; monthly sales breakdowns with trend chart (protected)</t>
  </si>
  <si>
    <t>COMPLAINTS SHEET — Data Entry Guide</t>
  </si>
  <si>
    <t>Column</t>
  </si>
  <si>
    <t>Format</t>
  </si>
  <si>
    <t>Details</t>
  </si>
  <si>
    <t>A — Complaint Number</t>
  </si>
  <si>
    <t>Text</t>
  </si>
  <si>
    <t>Required. Unique ID (e.g., 2022-04-0000169). Triggers all data-existence checks.</t>
  </si>
  <si>
    <t>B — CSI Notification Date</t>
  </si>
  <si>
    <t>Date</t>
  </si>
  <si>
    <t>Required. Must be an Excel date value (not text). Drives Complaint Rate chart and Harms table date filtering.</t>
  </si>
  <si>
    <t>C — Description</t>
  </si>
  <si>
    <t>Optional. Free-text. Used as fallback for MDP classification if column D is blank (keyword matching).</t>
  </si>
  <si>
    <t>D — Symptom Code</t>
  </si>
  <si>
    <t>Text (lowercase)</t>
  </si>
  <si>
    <t>Recommended. Must match a code from the lookup table (see accepted codes below).</t>
  </si>
  <si>
    <t>E — Medical Device Problem</t>
  </si>
  <si>
    <t>🔒 Auto</t>
  </si>
  <si>
    <t>Auto-derived from column D (VLOOKUP) or column C (keyword matching). DO NOT EDIT.</t>
  </si>
  <si>
    <t>F — Harm</t>
  </si>
  <si>
    <t>Auto-populated: "No Clinical Signs, Symptoms or Conditions" when column E has a value.</t>
  </si>
  <si>
    <t>Maximum 927 complaint rows (rows 2–928).</t>
  </si>
  <si>
    <t>ACCEPTED SYMPTOM CODES (Column D)</t>
  </si>
  <si>
    <t>Maps To (MDP)</t>
  </si>
  <si>
    <t>SALES SHEET — Data Entry Guide</t>
  </si>
  <si>
    <t>Enter data in columns A–D. All sales tables and charts auto-calculate from this data.</t>
  </si>
  <si>
    <t>A — Country</t>
  </si>
  <si>
    <t>Text (exact match)</t>
  </si>
  <si>
    <t>Required. Must use exact country names from the accepted list below. Case-sensitive.</t>
  </si>
  <si>
    <t>B — Month</t>
  </si>
  <si>
    <t>Text (full name)</t>
  </si>
  <si>
    <t>Required. Full month name: January, February, March, ... December. NOT abbreviations.</t>
  </si>
  <si>
    <t>C — Quantity</t>
  </si>
  <si>
    <t>Number</t>
  </si>
  <si>
    <t>Required. Units sold. Drives all sales totals, complaint rates, and charts.</t>
  </si>
  <si>
    <t>D — Calendar year</t>
  </si>
  <si>
    <t>Number or Text</t>
  </si>
  <si>
    <t>Required. Must be 2022, 2023, 2024, or 2025. Formulas use exact text matching on these years.</t>
  </si>
  <si>
    <t>Maximum 78,140 sales rows (rows 2–78,141).</t>
  </si>
  <si>
    <t>ACCEPTED COUNTRY NAMES (Column A)</t>
  </si>
  <si>
    <t>Country names are CASE-SENSITIVE. Use exactly as shown below. Any country not listed below will be grouped under "Rest of World".</t>
  </si>
  <si>
    <t>Accepted Country Names</t>
  </si>
  <si>
    <t>EEA + Turkey + N. Ireland</t>
  </si>
  <si>
    <t>Austria, Belgium, Bulgaria, Croatia, Cyprus, Czech Republic, Denmark, Estonia, Finland, France, Germany, Greece, Hungary, Ireland, Italy, Latvia, Lithuania, Luxembourg, Malta, Netherlands, Poland, Portugal, Romania, Slovakia, Slovenia, Spain, Sweden, Iceland, Norway, Turkey, Northern Ireland</t>
  </si>
  <si>
    <t>UK</t>
  </si>
  <si>
    <t>England, Scotland, Wales, United Kingdom</t>
  </si>
  <si>
    <t>Rest of World</t>
  </si>
  <si>
    <t>Any other country name — automatically captured as the difference between worldwide total and named regions</t>
  </si>
  <si>
    <t>⚠️  IMPORTANT CONSTRAINTS &amp; LIMITS</t>
  </si>
  <si>
    <t>Constraint</t>
  </si>
  <si>
    <t>Limit</t>
  </si>
  <si>
    <t>Impact if Exceeded</t>
  </si>
  <si>
    <t>Complaint Rate chart time range</t>
  </si>
  <si>
    <t>Apr 2022 – Dec 2025 (45 months)</t>
  </si>
  <si>
    <t>Complaints outside this window appear in Harms table but NOT in Complaint Rate chart</t>
  </si>
  <si>
    <t>Sales year range</t>
  </si>
  <si>
    <t>2022, 2023, 2024, 2025 only</t>
  </si>
  <si>
    <t>Data from other years won't be picked up by regional or monthly tables</t>
  </si>
  <si>
    <t>Month names</t>
  </si>
  <si>
    <t>Full English names only</t>
  </si>
  <si>
    <t>Abbreviations (Jan, Apr) or numbers (1, 4) will NOT match</t>
  </si>
  <si>
    <t>Max complaint rows</t>
  </si>
  <si>
    <t>927 rows (rows 2–928)</t>
  </si>
  <si>
    <t>Rows beyond 928 will not be included in calculations</t>
  </si>
  <si>
    <t>Max sales rows</t>
  </si>
  <si>
    <t>78,140 rows (rows 2–78,141)</t>
  </si>
  <si>
    <t>Rows beyond 78,141 will not be included in calculations</t>
  </si>
  <si>
    <t>Protected sheets</t>
  </si>
  <si>
    <t>Harms table, Complaint Rate, sales tables, Codes</t>
  </si>
  <si>
    <t>These sheets are formula-driven and protected. Do not unprotect or edit.</t>
  </si>
  <si>
    <t>Occurrence Code</t>
  </si>
  <si>
    <t>Rate Range</t>
  </si>
  <si>
    <t>O5</t>
  </si>
  <si>
    <t>OHarm &gt; 10%</t>
  </si>
  <si>
    <t>O4</t>
  </si>
  <si>
    <t>1% &lt; OHarm ≤ 10%</t>
  </si>
  <si>
    <t>O3</t>
  </si>
  <si>
    <t>0.1% &lt; OHarm ≤ 1%</t>
  </si>
  <si>
    <t>0.01% &lt; OHarm ≤ 0.1%</t>
  </si>
  <si>
    <t>O1</t>
  </si>
  <si>
    <t>OHarm ≤ 0.01%</t>
  </si>
  <si>
    <t>Auto-calculated in the Harms table columns I &amp; J based on actual complaint rates.</t>
  </si>
  <si>
    <t>Occurrence Rate Scale (RACT Standard)</t>
  </si>
  <si>
    <t>burn</t>
  </si>
  <si>
    <t>Historical Data Start Date</t>
  </si>
  <si>
    <t>Optional – First day of historical period (leave blank if none)</t>
  </si>
  <si>
    <t>Historical Data End Date</t>
  </si>
  <si>
    <t>Optional – Last day of historical period (should precede Surveillance Start)</t>
  </si>
  <si>
    <t>EEA ¹ + TR ² + XI ³</t>
  </si>
  <si>
    <t>slot</t>
  </si>
  <si>
    <t>DATA ENGINE — DO NOT EDIT</t>
  </si>
  <si>
    <t>Historical</t>
  </si>
  <si>
    <t>Surv Yr 1</t>
  </si>
  <si>
    <t>Surv Yr 2</t>
  </si>
  <si>
    <t>Surv Yr 3</t>
  </si>
  <si>
    <t>Surv Yr 4</t>
  </si>
  <si>
    <t>EEA+TR+XI</t>
  </si>
  <si>
    <t>⚠️  TOTAL COMPLAINTS</t>
  </si>
  <si>
    <t>📦  TOTAL UNITS SOLD</t>
  </si>
  <si>
    <t>📉  COMPLAINT RATE</t>
  </si>
  <si>
    <t>✅  MEAN RATE</t>
  </si>
  <si>
    <t>🔥  TOP ISSUE</t>
  </si>
  <si>
    <t>Per Unit Sold</t>
  </si>
  <si>
    <t>COMPLAINTS BY DEVICE PROBLEM</t>
  </si>
  <si>
    <t>COMPLAINT TREND BY MONTH</t>
  </si>
  <si>
    <t>SALES BY REGION</t>
  </si>
  <si>
    <t>Device Problem</t>
  </si>
  <si>
    <t>Count</t>
  </si>
  <si>
    <t>% Share</t>
  </si>
  <si>
    <t>Severity</t>
  </si>
  <si>
    <t>UNKNOWN - burn</t>
  </si>
  <si>
    <t>Not Available</t>
  </si>
  <si>
    <t>Electrical Power</t>
  </si>
  <si>
    <t>Loose Connection</t>
  </si>
  <si>
    <t>∑ TOTAL</t>
  </si>
  <si>
    <t>Rate</t>
  </si>
  <si>
    <t>Units</t>
  </si>
  <si>
    <t>🇺🇸  United States</t>
  </si>
  <si>
    <t>🇪🇺  EEA + TR + XI</t>
  </si>
  <si>
    <t>🌏  Rest of World</t>
  </si>
  <si>
    <t>🇦🇺  Australia</t>
  </si>
  <si>
    <t>🇨🇦  Canada</t>
  </si>
  <si>
    <t>🌐  WORLDWIDE</t>
  </si>
  <si>
    <t>COMPLAINTS BY SYMPTOM CODE</t>
  </si>
  <si>
    <t>STATISTICAL PROCESS CONTROL CHART</t>
  </si>
  <si>
    <t>REGIONAL SALES: H1 vs H2</t>
  </si>
  <si>
    <t>Trend</t>
  </si>
  <si>
    <t>Mean</t>
  </si>
  <si>
    <t>Jul-Dec 2024</t>
  </si>
  <si>
    <t>Jan-Aug 2025</t>
  </si>
  <si>
    <t>🌐 WORLDWIDE</t>
  </si>
  <si>
    <t>HARM CATEGORY ANALYSIS</t>
  </si>
  <si>
    <t>MONTHLY UNIT SALES TREND</t>
  </si>
  <si>
    <t>KEY INSIGHTS &amp; ALERTS</t>
  </si>
  <si>
    <t>Rate (12-Mo)</t>
  </si>
  <si>
    <t>RACT Max</t>
  </si>
  <si>
    <t>Status</t>
  </si>
  <si>
    <t>✅ WITHIN LIMIT</t>
  </si>
  <si>
    <t>⚠️ AT LIMIT</t>
  </si>
  <si>
    <t>All within RACT expected limits ✓</t>
  </si>
  <si>
    <t>🚨  ALERT</t>
  </si>
  <si>
    <t>Dec 2024 Spike</t>
  </si>
  <si>
    <t>4 complaints</t>
  </si>
  <si>
    <t xml:space="preserve">  Dec 2024 had the highest complaint count. Rate nearly</t>
  </si>
  <si>
    <t>touched UCL (0.22% vs 0.24%)</t>
  </si>
  <si>
    <t>🟢  POSITIVE</t>
  </si>
  <si>
    <t>US Sales Growth</t>
  </si>
  <si>
    <t>+52% H2 vs H1</t>
  </si>
  <si>
    <t xml:space="preserve">  US sales surged from 9,290 to 14,115 units.</t>
  </si>
  <si>
    <t>Worldwide +25%</t>
  </si>
  <si>
    <t>🟡  MONITOR</t>
  </si>
  <si>
    <t>Burn Issues</t>
  </si>
  <si>
    <t>At RACT limit</t>
  </si>
  <si>
    <t xml:space="preserve">  "UNKNOWN - burn" rate equals RACT max expected rate.</t>
  </si>
  <si>
    <t>2 events logged</t>
  </si>
  <si>
    <t>📊  TREND</t>
  </si>
  <si>
    <t>Overall</t>
  </si>
  <si>
    <t>Improving ↓</t>
  </si>
  <si>
    <t xml:space="preserve">  5 consecutive months with ≤1 complaint (Mar-Jul 2025).</t>
  </si>
  <si>
    <t>Process stable</t>
  </si>
  <si>
    <t>🔒  COMPLIANCE</t>
  </si>
  <si>
    <t>UCL Status</t>
  </si>
  <si>
    <t>NO BREACH</t>
  </si>
  <si>
    <t>Device Surveillance Command Center  ·  Auto-generated from complaints.xlsx  ·  Data Period: Jul 2024 – Aug 2025  ·  © 2026</t>
  </si>
  <si>
    <t>📊PSUR DATA</t>
  </si>
  <si>
    <t xml:space="preserve">Post-Market Surveillance </t>
  </si>
  <si>
    <t>📊 PSUR DASHBOARD CHARTS</t>
  </si>
  <si>
    <t>Visual Analytics — Complaint &amp; Sales Surveillance</t>
  </si>
  <si>
    <t>COMPLAINT ANALYSIS</t>
  </si>
  <si>
    <t>TREND &amp; CONTROL ANALYSIS</t>
  </si>
  <si>
    <t>SALES &amp; VOLUME ANALYSIS</t>
  </si>
  <si>
    <t>Device Surveillance Command Center  ·  Charts auto-linked to Dashboard data  ·  © 2026</t>
  </si>
  <si>
    <t>IMDRF MDP Code</t>
  </si>
  <si>
    <t>Investigation Findings</t>
  </si>
  <si>
    <t>Investigation Conclusion</t>
  </si>
  <si>
    <t>Section D: Information on Serious Incidents</t>
  </si>
  <si>
    <t>Table 2 – Serious Incidents by IMDRF Annex A Medical Device Problem Code</t>
  </si>
  <si>
    <t>IMDRF Problem Code &amp; Term</t>
  </si>
  <si>
    <t>N (current period)</t>
  </si>
  <si>
    <t>Rate (%)</t>
  </si>
  <si>
    <t>Complaint Number(s)</t>
  </si>
  <si>
    <t>TOTAL</t>
  </si>
  <si>
    <t>Table 3 – Serious Incidents by IMDRF Annex C Cause Investigation Code</t>
  </si>
  <si>
    <t>IMDRF Cause Code &amp; Term</t>
  </si>
  <si>
    <t>Table 4 – IMDRF Annex F Health Impact by Investigation Conclusion</t>
  </si>
  <si>
    <t>IMDRF Health Impact (Annex F)</t>
  </si>
  <si>
    <t>No. Serious Incidents</t>
  </si>
  <si>
    <t>D01 - Device Issue %</t>
  </si>
  <si>
    <t>D02 - Non-Device Issue %</t>
  </si>
  <si>
    <t>D03 - Inconclusive %</t>
  </si>
  <si>
    <t>D04 - Under Investigation %</t>
  </si>
  <si>
    <t>📋  PSUR COVER PAGE METADATA</t>
  </si>
  <si>
    <t>Manufacturer Information</t>
  </si>
  <si>
    <t>Company Name</t>
  </si>
  <si>
    <t>Company Address</t>
  </si>
  <si>
    <t>Manufacturer SRN</t>
  </si>
  <si>
    <t>Authorized Representative</t>
  </si>
  <si>
    <t>AR SRN</t>
  </si>
  <si>
    <t>Notified Body Name</t>
  </si>
  <si>
    <t>Notified Body Number</t>
  </si>
  <si>
    <t>Certificate Number</t>
  </si>
  <si>
    <t>Device Information</t>
  </si>
  <si>
    <t>Basic UDI-DI</t>
  </si>
  <si>
    <t>Basic Unique Device Identification</t>
  </si>
  <si>
    <t>Device Trade Name</t>
  </si>
  <si>
    <t>Auto-linked from Product Name above</t>
  </si>
  <si>
    <t>EMDN Code</t>
  </si>
  <si>
    <t>European Medical Device Nomenclature code</t>
  </si>
  <si>
    <t>GMDN Code</t>
  </si>
  <si>
    <t>Global Medical Device Nomenclature code</t>
  </si>
  <si>
    <t>Device Risk Class</t>
  </si>
  <si>
    <t>MDR Classification (I, IIa, IIb, III)</t>
  </si>
  <si>
    <t>Auto-calculated from surveillance dates above</t>
  </si>
  <si>
    <t>PSUR Cadence</t>
  </si>
  <si>
    <t>Auto-linked from Update Frequency above</t>
  </si>
  <si>
    <t>⬆ BLUE cells with YELLOW background = User inputs  |  GREEN text = Auto-linked from settings above</t>
  </si>
  <si>
    <t>Enter data in columns A–D (complaint data) and H–I (investigation data). Columns E, F, G are auto-generated formulas — DO NOT edit them.</t>
  </si>
  <si>
    <t>G — IMDRF MDP Code</t>
  </si>
  <si>
    <t>Auto-derived IMDRF Annex A code from column E MDP term via Codes sheet lookup. DO NOT EDIT.</t>
  </si>
  <si>
    <t>H — Investigation Findings</t>
  </si>
  <si>
    <t>✏️ Dropdown</t>
  </si>
  <si>
    <t>IMDRF Annex C cause category (C01–C13). Select from dropdown. Feeds Section D Table 3.</t>
  </si>
  <si>
    <t>I — Investigation Conclusion</t>
  </si>
  <si>
    <t>IMDRF Annex D conclusion (D01–D05). Select from dropdown. Feeds Section D Table 4.</t>
  </si>
  <si>
    <t>Section H: Field Safety Corrective Actions (FSCA)</t>
  </si>
  <si>
    <t>Table 8 – FSCA Initiated in Current Reporting Period and Open FSCAs</t>
  </si>
  <si>
    <t>Type of Action</t>
  </si>
  <si>
    <t>Manufacturer Ref. Number</t>
  </si>
  <si>
    <t>Issuing Date / Date of Final FSN</t>
  </si>
  <si>
    <t>Scope / Device Models</t>
  </si>
  <si>
    <t>Status of FSCA</t>
  </si>
  <si>
    <t>Rationale &amp; Description</t>
  </si>
  <si>
    <t>Impacted Regions</t>
  </si>
  <si>
    <t>Date Reported to MHRA</t>
  </si>
  <si>
    <t>Summary</t>
  </si>
  <si>
    <t>Total FSCAs</t>
  </si>
  <si>
    <t>Open FSCAs</t>
  </si>
  <si>
    <t>Closed FSCAs</t>
  </si>
  <si>
    <t>Section I: Corrective and Preventive Actions (CAPA)</t>
  </si>
  <si>
    <t>Table 9 – CAPA Initiated in Current Reporting Period</t>
  </si>
  <si>
    <t>CAPA ID</t>
  </si>
  <si>
    <t>Date Initiated</t>
  </si>
  <si>
    <t>Source / Trigger</t>
  </si>
  <si>
    <t>Description of Issue</t>
  </si>
  <si>
    <t>Corrective / Preventive Action Taken</t>
  </si>
  <si>
    <t>Target Close Date</t>
  </si>
  <si>
    <t>Total CAPAs</t>
  </si>
  <si>
    <t>Open CAPAs</t>
  </si>
  <si>
    <t>Closed CAPAs</t>
  </si>
  <si>
    <t>Overdue CAPAs</t>
  </si>
  <si>
    <t>CooperSurgical, Inc.</t>
  </si>
  <si>
    <t>CooperSurgical, Inc., 95 Corporate Drive, Trumbull, CT 06611, United States of America</t>
  </si>
  <si>
    <t>US-MF-000002607</t>
  </si>
  <si>
    <t>CooperSurgical Distribution B.V., Celsiusweg 35, 5928 PR Venlo, The Netherlands</t>
  </si>
  <si>
    <t>NL-AR-0000000059</t>
  </si>
  <si>
    <t>BSI Group The Netherlands B.V.</t>
  </si>
  <si>
    <t>Pre-filled from PSUR template (static)</t>
  </si>
  <si>
    <t>User input — Certificate number (varies per PSUR cycle)</t>
  </si>
  <si>
    <t>Global® Total® for Fertilization</t>
  </si>
  <si>
    <t>Annual</t>
  </si>
  <si>
    <t>N/A - Not Under EU MDR</t>
  </si>
  <si>
    <t>Iib</t>
  </si>
  <si>
    <t>Argentina</t>
  </si>
  <si>
    <t>Bolivia</t>
  </si>
  <si>
    <t>Chile</t>
  </si>
  <si>
    <t>Colombia</t>
  </si>
  <si>
    <t>Ecuador</t>
  </si>
  <si>
    <t>Guatemala</t>
  </si>
  <si>
    <t>Jamaica</t>
  </si>
  <si>
    <t>Panama</t>
  </si>
  <si>
    <t>Peru</t>
  </si>
  <si>
    <t>Uruguay</t>
  </si>
  <si>
    <t>Barbados</t>
  </si>
  <si>
    <t>Haiti</t>
  </si>
  <si>
    <t>Trinidad</t>
  </si>
  <si>
    <t>Hong Kong</t>
  </si>
  <si>
    <t>Cambodia</t>
  </si>
  <si>
    <t>Korea</t>
  </si>
  <si>
    <t>Malaysia</t>
  </si>
  <si>
    <t>Taiwan</t>
  </si>
  <si>
    <t>India</t>
  </si>
  <si>
    <t>Kenya</t>
  </si>
  <si>
    <t>Nigeria</t>
  </si>
  <si>
    <t>South Africa</t>
  </si>
  <si>
    <t>Switzerland</t>
  </si>
  <si>
    <t>Israel</t>
  </si>
  <si>
    <t>Bahrain</t>
  </si>
  <si>
    <t>Jordan</t>
  </si>
  <si>
    <t>Kuwait</t>
  </si>
  <si>
    <t>Lebanon</t>
  </si>
  <si>
    <t>Qatar</t>
  </si>
  <si>
    <t>Saudi Arabia</t>
  </si>
  <si>
    <t>United Arab Emirates</t>
  </si>
  <si>
    <t>Albania</t>
  </si>
  <si>
    <t>Georgia</t>
  </si>
  <si>
    <t>Ukraine</t>
  </si>
  <si>
    <t>April</t>
  </si>
  <si>
    <t>August</t>
  </si>
  <si>
    <t>December</t>
  </si>
  <si>
    <t>February</t>
  </si>
  <si>
    <t>January</t>
  </si>
  <si>
    <t>July</t>
  </si>
  <si>
    <t>June</t>
  </si>
  <si>
    <t>March</t>
  </si>
  <si>
    <t>May</t>
  </si>
  <si>
    <t>October</t>
  </si>
  <si>
    <t>September</t>
  </si>
  <si>
    <t>November</t>
  </si>
  <si>
    <t>2023-03-0000416</t>
  </si>
  <si>
    <t>2023-04-0000158</t>
  </si>
  <si>
    <t>2023-05-0000145</t>
  </si>
  <si>
    <t>2023-05-0000540</t>
  </si>
  <si>
    <t>2023-05-0000618</t>
  </si>
  <si>
    <t>2023-06-0000030</t>
  </si>
  <si>
    <t>2023-06-0000116</t>
  </si>
  <si>
    <t>2023-06-0000121</t>
  </si>
  <si>
    <t>2023-06-0000281</t>
  </si>
  <si>
    <t>2023-06-0000348</t>
  </si>
  <si>
    <t>2023-06-0000391</t>
  </si>
  <si>
    <t>2023-12-0000241</t>
  </si>
  <si>
    <t>2023-12-0000246</t>
  </si>
  <si>
    <t>2024-02-0000191</t>
  </si>
  <si>
    <t>2024-07-0000328</t>
  </si>
  <si>
    <t>2024-09-0000519</t>
  </si>
  <si>
    <t>2025-07-0000299</t>
  </si>
  <si>
    <t>2025-07-0000687</t>
  </si>
  <si>
    <t>2025-10-0000273</t>
  </si>
  <si>
    <t>2025-10-0000274</t>
  </si>
  <si>
    <t>The customer is seeing particles in the dish, he was having this particles observed in embryo culture from 11th of this month. He is using on K-system G210 and G185 incubators for culture. He is ruling out different parameters one by one to resolve this issues. Initially he was suspecting the GPS dishes. Yesterday he made droplets of sperm washing from origio all the dishes he is using from different brands and found no artefacts after 24 hr incubation. Today he made droplets with global media and he is finding some artefacts under observation. He thinks it’s the cause of the particles in culture during the course he had done culture swab from all areas and lab equipment including incubator and culture media but no growth reported by infection control. (Photos attached)_x000D_
_x000D_
ANY PATIENT INJURY OR IMPACT TO THE GAMETE OR EMBRYO? No_x000D_
WAS A MEDICAL OR PROCEDURAL INTERVENTION REQUIRED? No</t>
  </si>
  <si>
    <t xml:space="preserve">When using the culture media, customer is seeing particles / artefacts in the dish. </t>
  </si>
  <si>
    <t>Product was darker pink than normal</t>
  </si>
  <si>
    <t>Product arrived and is a yellow color. just received; did not use.</t>
  </si>
  <si>
    <t>Media is all more yellow than previous lots._x000D_
_x000D_
ANY PATIENT INJURY OR IMPACT TO THE GAMETE OR EMBRYO? No_x000D_
WAS A MEDICAL OR PROCEDURAL INTERVENTION REQUIRED? No</t>
  </si>
  <si>
    <t>New lot is discolored- more yellow than previous lot. (Photos attached)</t>
  </si>
  <si>
    <t>Color of some bottles is yellow. I have attached data logger details. (Photo attached)</t>
  </si>
  <si>
    <t>discoloration of media product. will not use. Customer does not trust the media and current LGQC procedures. customer extremely concerned about media QC. does not trust LG media at this time. Very upset with CR manufacturing. (Photo attached)_x000D_
_x000D_
Patient, Gamete, Embryo, or End User Involvement? no</t>
  </si>
  <si>
    <t>Discoloration_x000D_
_x000D_
This lab director has had multiple media issues and both of her labs (Stanford being the other), and she is very vocal in the IVF community about the media issues and Cooper not giving her answers.</t>
  </si>
  <si>
    <t>The cultured embryos are dark in color and coarse particles, the embryo cyst formation rate is significantly lower than our normal level, the color of the medium and the pH value has changed from the appearance. (Photo attached)</t>
  </si>
  <si>
    <t>Product arrived with the color off. It is light pink/peach and with all the media issues lately, customer does not trust to use this. _x000D_
_x000D_
Patient, Gamete, Embryo, or End User Involvement? No</t>
  </si>
  <si>
    <t xml:space="preserve">Customer is reporting lower than normal blast rates. The media was used between 10/7- 10/15. _x000D_
_x000D_
Follow up response:_x000D_
We are not requesting credit, we’re requesting information of if anyone else reported anything related to these lots of medium, or if you find an any problems during your investigation </t>
  </si>
  <si>
    <t xml:space="preserve">FAULTY LID/ no seal_x000D_
</t>
  </si>
  <si>
    <t>Media was received in the morning and ice packs were ripped and leaking in 2 of the boxes and one of them bad enough the packing slip and cardboard were soaked. (Photo attached) _x000D_
No damage to media, but clinic has made several comments about boxes being damaged or having water damage. Clinic was in desperate need of media and moved forward with using it due to no impact on the actual bottles.</t>
  </si>
  <si>
    <t>PS notification 09/23/2024_x000D_
The media order we just received arrived warm. We have been checking the temperature of media on arrival, we took a thermometer from the fridge and put in in the media box and it reached 12 degrees Celsius and was still going up. Can you please send another order ASAP with extra ice packs in it?</t>
  </si>
  <si>
    <t>We received our order yesterday (Order#03869 Cyang), but unfortunately, all the media arrived warm upon delivery. We’re concerned about the quality of the contents, as proper temperature control is critical for these media.</t>
  </si>
  <si>
    <t>Media arrived warm</t>
  </si>
  <si>
    <t xml:space="preserve">customer standing order arrived warm, _x000D_
shipped on 10/6 and arrived on 10/8 - customer sayd temp was at 9 degrees and ice pack melted._x000D_
_x000D_
Invoice: SO5500000480485 </t>
  </si>
  <si>
    <t>particles</t>
  </si>
  <si>
    <t>colorph</t>
  </si>
  <si>
    <t>bottleslids</t>
  </si>
  <si>
    <t>arrivedwarm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</si>
</sst>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164" formatCode="mm/dd/yyyy"/>
    <numFmt numFmtId="165" formatCode="0.0000"/>
    <numFmt numFmtId="166" formatCode="mmm\-yyyy"/>
    <numFmt numFmtId="167" formatCode="0.0%"/>
    <numFmt numFmtId="168" formatCode="mmm\ yyyy"/>
    <numFmt numFmtId="169" formatCode="[$-409]mmmm\-yy;@"/>
    <numFmt numFmtId="170" formatCode="dd/mm/yyyy"/>
    <numFmt numFmtId="171" formatCode="[$-409]dd\-mmm\-yy;@"/>
    <numFmt numFmtId="172" formatCode="0.000%"/>
    <numFmt numFmtId="173" formatCode="m\/d\/yyyy"/>
  </numFmts>
  <fonts count="68" x14ac:knownFonts="1">
    <font>
      <sz val="10"/>
      <color rgb="FF000000"/>
      <name val="Arial"/>
    </font>
    <font>
      <sz val="8"/>
      <color rgb="FF000000"/>
      <name val="Arial"/>
      <family val="2"/>
    </font>
    <font>
      <sz val="9"/>
      <color indexed="81"/>
      <name val="Tahoma"/>
      <family val="2"/>
    </font>
    <font>
      <b/>
      <sz val="9"/>
      <color indexed="81"/>
      <name val="Tahoma"/>
      <family val="2"/>
    </font>
    <font>
      <b/>
      <sz val="11"/>
      <color rgb="FFFFFFFF"/>
      <name val="Arial"/>
      <family val="2"/>
    </font>
    <font>
      <sz val="10"/>
      <color rgb="FFE8EDF3"/>
      <name val="Aptos"/>
      <family val="2"/>
    </font>
    <font>
      <sz val="10"/>
      <color rgb="FFFFFFFF"/>
      <name val="Aptos"/>
      <family val="2"/>
    </font>
    <font>
      <b/>
      <sz val="22"/>
      <color rgb="FFFFFFFF"/>
      <name val="Aptos"/>
      <family val="2"/>
    </font>
    <font>
      <sz val="10"/>
      <color rgb="FF00B4D8"/>
      <name val="Aptos"/>
      <family val="2"/>
    </font>
    <font>
      <sz val="11"/>
      <color rgb="FF64748B"/>
      <name val="Aptos"/>
      <family val="2"/>
    </font>
    <font>
      <b/>
      <sz val="8"/>
      <color rgb="FF94A3B8"/>
      <name val="Aptos"/>
      <family val="2"/>
    </font>
    <font>
      <sz val="10"/>
      <color rgb="FFFF6B6B"/>
      <name val="Aptos"/>
      <family val="2"/>
    </font>
    <font>
      <b/>
      <sz val="32"/>
      <color rgb="FFFF6B6B"/>
      <name val="Aptos"/>
      <family val="2"/>
    </font>
    <font>
      <b/>
      <sz val="32"/>
      <color rgb="FF00B4D8"/>
      <name val="Aptos"/>
      <family val="2"/>
    </font>
    <font>
      <sz val="10"/>
      <color rgb="FF06D6A0"/>
      <name val="Aptos"/>
      <family val="2"/>
    </font>
    <font>
      <b/>
      <sz val="32"/>
      <color rgb="FF06D6A0"/>
      <name val="Aptos"/>
      <family val="2"/>
    </font>
    <font>
      <sz val="10"/>
      <color rgb="FFFFD166"/>
      <name val="Aptos"/>
      <family val="2"/>
    </font>
    <font>
      <b/>
      <sz val="32"/>
      <color rgb="FFFFD166"/>
      <name val="Aptos"/>
      <family val="2"/>
    </font>
    <font>
      <sz val="10"/>
      <color rgb="FFA78BFA"/>
      <name val="Aptos"/>
      <family val="2"/>
    </font>
    <font>
      <b/>
      <sz val="28"/>
      <color rgb="FFA78BFA"/>
      <name val="Aptos"/>
      <family val="2"/>
    </font>
    <font>
      <sz val="8"/>
      <color rgb="FF64748B"/>
      <name val="Aptos"/>
      <family val="2"/>
    </font>
    <font>
      <sz val="8"/>
      <color rgb="FF06D6A0"/>
      <name val="Aptos"/>
      <family val="2"/>
    </font>
    <font>
      <sz val="9"/>
      <color rgb="FF94A3B8"/>
      <name val="Aptos"/>
      <family val="2"/>
    </font>
    <font>
      <b/>
      <sz val="9"/>
      <color rgb="FF94A3B8"/>
      <name val="Aptos"/>
      <family val="2"/>
    </font>
    <font>
      <b/>
      <sz val="10"/>
      <color rgb="FFFF6B6B"/>
      <name val="Aptos"/>
      <family val="2"/>
    </font>
    <font>
      <b/>
      <sz val="10"/>
      <color rgb="FFFFD166"/>
      <name val="Aptos"/>
      <family val="2"/>
    </font>
    <font>
      <b/>
      <sz val="10"/>
      <color rgb="FF06D6A0"/>
      <name val="Aptos"/>
      <family val="2"/>
    </font>
    <font>
      <b/>
      <sz val="10"/>
      <color rgb="FF00B4D8"/>
      <name val="Aptos"/>
      <family val="2"/>
    </font>
    <font>
      <b/>
      <sz val="10"/>
      <color rgb="FFA78BFA"/>
      <name val="Aptos"/>
      <family val="2"/>
    </font>
    <font>
      <sz val="9"/>
      <color rgb="FFFF6B6B"/>
      <name val="Aptos"/>
      <family val="2"/>
    </font>
    <font>
      <b/>
      <sz val="9"/>
      <color rgb="FFFF6B6B"/>
      <name val="Aptos"/>
      <family val="2"/>
    </font>
    <font>
      <sz val="9"/>
      <color rgb="FFFFD166"/>
      <name val="Aptos"/>
      <family val="2"/>
    </font>
    <font>
      <sz val="9"/>
      <color rgb="FF06D6A0"/>
      <name val="Aptos"/>
      <family val="2"/>
    </font>
    <font>
      <b/>
      <sz val="11"/>
      <color rgb="FFFFFFFF"/>
      <name val="Aptos"/>
      <family val="2"/>
    </font>
    <font>
      <sz val="10"/>
      <color rgb="FF1E293B"/>
      <name val="Aptos"/>
      <family val="2"/>
    </font>
    <font>
      <b/>
      <sz val="10"/>
      <color rgb="FF0F172A"/>
      <name val="Aptos"/>
      <family val="2"/>
    </font>
    <font>
      <b/>
      <sz val="10"/>
      <color rgb="FF6366F1"/>
      <name val="Aptos"/>
      <family val="2"/>
    </font>
    <font>
      <b/>
      <sz val="10"/>
      <color rgb="FFFFFFFF"/>
      <name val="Aptos"/>
      <family val="2"/>
    </font>
    <font>
      <b/>
      <sz val="10"/>
      <color rgb="FF1E293B"/>
      <name val="Aptos"/>
      <family val="2"/>
    </font>
    <font>
      <b/>
      <sz val="9"/>
      <color rgb="FF06D6A0"/>
      <name val="Aptos"/>
      <family val="2"/>
    </font>
    <font>
      <b/>
      <sz val="9"/>
      <color rgb="FFFFD166"/>
      <name val="Aptos"/>
      <family val="2"/>
    </font>
    <font>
      <i/>
      <sz val="9"/>
      <color rgb="FF06D6A0"/>
      <name val="Aptos"/>
      <family val="2"/>
    </font>
    <font>
      <sz val="8"/>
      <color rgb="FF475569"/>
      <name val="Aptos"/>
      <family val="2"/>
    </font>
    <font>
      <b/>
      <sz val="18"/>
      <color rgb="FFFFFFFF"/>
      <name val="Aptos"/>
      <family val="2"/>
    </font>
    <font>
      <b/>
      <sz val="12"/>
      <color rgb="FFFFFFFF"/>
      <name val="Aptos"/>
      <family val="2"/>
    </font>
    <font>
      <b/>
      <sz val="9"/>
      <color rgb="FFFFFFFF"/>
      <name val="Aptos"/>
      <family val="2"/>
    </font>
    <font>
      <b/>
      <sz val="10"/>
      <color rgb="FF000000"/>
      <name val="Aptos"/>
      <family val="2"/>
    </font>
    <font>
      <b/>
      <sz val="9"/>
      <color rgb="FF1E293B"/>
      <name val="Aptos"/>
      <family val="2"/>
    </font>
    <font>
      <i/>
      <sz val="9"/>
      <color rgb="FF1E293B"/>
      <name val="Aptos"/>
      <family val="2"/>
    </font>
    <font>
      <sz val="9"/>
      <color rgb="FF1E293B"/>
      <name val="Aptos"/>
      <family val="2"/>
    </font>
    <font>
      <b/>
      <i/>
      <sz val="10"/>
      <color rgb="FF1E293B"/>
      <name val="Aptos"/>
      <family val="2"/>
    </font>
    <font>
      <i/>
      <sz val="10"/>
      <color rgb="FF1E293B"/>
      <name val="Aptos"/>
      <family val="2"/>
    </font>
    <font>
      <b/>
      <i/>
      <sz val="9"/>
      <color rgb="FF1E293B"/>
      <name val="Aptos"/>
      <family val="2"/>
    </font>
    <font>
      <b/>
      <sz val="11"/>
      <color rgb="FF0F172A"/>
      <name val="Aptos"/>
      <family val="2"/>
    </font>
    <font>
      <b/>
      <sz val="9"/>
      <color rgb="FF0F172A"/>
      <name val="Aptos"/>
      <family val="2"/>
    </font>
    <font>
      <sz val="9"/>
      <color rgb="FF6366F1"/>
      <name val="Aptos"/>
      <family val="2"/>
    </font>
    <font>
      <b/>
      <sz val="9"/>
      <color rgb="FF6366F1"/>
      <name val="Aptos"/>
      <family val="2"/>
    </font>
    <font>
      <b/>
      <i/>
      <sz val="9"/>
      <color rgb="FF0F172A"/>
      <name val="Aptos"/>
      <family val="2"/>
    </font>
    <font>
      <b/>
      <i/>
      <sz val="9"/>
      <color rgb="FF6366F1"/>
      <name val="Aptos"/>
      <family val="2"/>
    </font>
    <font>
      <i/>
      <sz val="8"/>
      <color rgb="FF64748B"/>
      <name val="Aptos"/>
      <family val="2"/>
    </font>
    <font>
      <b/>
      <sz val="9"/>
      <color rgb="FFDC2626"/>
      <name val="Aptos"/>
      <family val="2"/>
    </font>
    <font>
      <b/>
      <i/>
      <sz val="10"/>
      <color rgb="FF0F172A"/>
      <name val="Aptos"/>
      <family val="2"/>
    </font>
    <font>
      <sz val="9"/>
      <color rgb="FF64748B"/>
      <name val="Aptos"/>
      <family val="2"/>
    </font>
    <font>
      <b/>
      <sz val="9"/>
      <color rgb="FF64748B"/>
      <name val="Aptos"/>
      <family val="2"/>
    </font>
    <font>
      <b/>
      <sz val="14"/>
      <color rgb="FF0F172A"/>
      <name val="Aptos"/>
      <family val="2"/>
    </font>
    <font>
      <b/>
      <sz val="12"/>
      <color rgb="FF0F172A"/>
      <name val="Aptos"/>
      <family val="2"/>
    </font>
    <font>
      <sz val="10"/>
      <color rgb="FF008000"/>
      <name val="Aptos"/>
      <family val="2"/>
    </font>
    <font>
      <sz val="9"/>
      <color rgb="FF333333"/>
      <name val="Arial"/>
      <family val="2"/>
    </font>
  </fonts>
  <fills count="28">
    <fill>
      <patternFill patternType="none"/>
    </fill>
    <fill>
      <patternFill patternType="gray125"/>
    </fill>
    <fill>
      <patternFill patternType="solid">
        <fgColor rgb="FFFBE2D5"/>
        <bgColor indexed="64"/>
      </patternFill>
    </fill>
    <fill>
      <patternFill patternType="solid">
        <fgColor rgb="FFC0E6F5"/>
        <bgColor indexed="64"/>
      </patternFill>
    </fill>
    <fill>
      <patternFill patternType="solid">
        <fgColor rgb="FF1F4E79"/>
        <bgColor indexed="64"/>
      </patternFill>
    </fill>
    <fill>
      <patternFill patternType="solid">
        <fgColor rgb="FF375623"/>
        <bgColor indexed="64"/>
      </patternFill>
    </fill>
    <fill>
      <patternFill patternType="solid">
        <fgColor rgb="FFD6E4F0"/>
        <bgColor indexed="64"/>
      </patternFill>
    </fill>
    <fill>
      <patternFill patternType="solid">
        <fgColor rgb="FFC00000"/>
        <bgColor indexed="64"/>
      </patternFill>
    </fill>
    <fill>
      <patternFill patternType="solid">
        <fgColor rgb="FFFFFFFF"/>
        <bgColor indexed="64"/>
      </patternFill>
    </fill>
    <fill>
      <patternFill patternType="solid">
        <fgColor rgb="FFF2F7FB"/>
        <bgColor indexed="64"/>
      </patternFill>
    </fill>
    <fill>
      <patternFill patternType="solid">
        <fgColor rgb="FFE8E8E8"/>
        <bgColor indexed="64"/>
      </patternFill>
    </fill>
    <fill>
      <patternFill patternType="solid">
        <fgColor rgb="FF0A1628"/>
        <bgColor indexed="64"/>
      </patternFill>
    </fill>
    <fill>
      <patternFill patternType="solid">
        <fgColor rgb="FF111D32"/>
        <bgColor indexed="64"/>
      </patternFill>
    </fill>
    <fill>
      <patternFill patternType="solid">
        <fgColor rgb="FF0F172A"/>
        <bgColor indexed="64"/>
      </patternFill>
    </fill>
    <fill>
      <patternFill patternType="solid">
        <fgColor rgb="FFF8FAFC"/>
        <bgColor indexed="64"/>
      </patternFill>
    </fill>
    <fill>
      <patternFill patternType="solid">
        <fgColor rgb="FF1A0F0F"/>
        <bgColor indexed="64"/>
      </patternFill>
    </fill>
    <fill>
      <patternFill patternType="solid">
        <fgColor rgb="FF0A1A14"/>
        <bgColor indexed="64"/>
      </patternFill>
    </fill>
    <fill>
      <patternFill patternType="solid">
        <fgColor rgb="FF1A1508"/>
        <bgColor indexed="64"/>
      </patternFill>
    </fill>
    <fill>
      <patternFill patternType="solid">
        <fgColor rgb="FF120E1E"/>
        <bgColor indexed="64"/>
      </patternFill>
    </fill>
    <fill>
      <patternFill patternType="solid">
        <fgColor rgb="FF081620"/>
        <bgColor indexed="64"/>
      </patternFill>
    </fill>
    <fill>
      <patternFill patternType="solid">
        <fgColor rgb="FFE8F4FD"/>
        <bgColor indexed="64"/>
      </patternFill>
    </fill>
    <fill>
      <patternFill patternType="solid">
        <fgColor rgb="FF2A2000"/>
        <bgColor indexed="64"/>
      </patternFill>
    </fill>
    <fill>
      <patternFill patternType="solid">
        <fgColor rgb="FF1A1500"/>
        <bgColor indexed="64"/>
      </patternFill>
    </fill>
    <fill>
      <patternFill patternType="solid">
        <fgColor rgb="FF1A0000"/>
        <bgColor indexed="64"/>
      </patternFill>
    </fill>
    <fill>
      <patternFill patternType="solid">
        <fgColor rgb="FF334155"/>
        <bgColor indexed="64"/>
      </patternFill>
    </fill>
    <fill>
      <patternFill patternType="solid">
        <fgColor rgb="FFF8FBFC"/>
        <bgColor rgb="FFFFFFFF"/>
      </patternFill>
    </fill>
    <fill>
      <patternFill patternType="solid">
        <fgColor rgb="FFFFFFFF"/>
        <bgColor rgb="FFFFFFFF"/>
      </patternFill>
    </fill>
    <fill>
      <patternFill patternType="solid">
        <fgColor rgb="FFF1F5F9"/>
        <bgColor indexed="64"/>
      </patternFill>
    </fill>
  </fills>
  <borders count="118">
    <border>
      <left/>
      <right/>
      <top/>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bottom/>
      <diagonal/>
    </border>
    <border>
      <left style="medium">
        <color indexed="64"/>
      </left>
      <right style="medium">
        <color auto="1"/>
      </right>
      <top style="thin">
        <color auto="1"/>
      </top>
      <bottom/>
      <diagonal/>
    </border>
    <border>
      <left style="medium">
        <color indexed="64"/>
      </left>
      <right/>
      <top style="thin">
        <color auto="1"/>
      </top>
      <bottom/>
      <diagonal/>
    </border>
    <border>
      <left/>
      <right style="medium">
        <color indexed="64"/>
      </right>
      <top style="thin">
        <color auto="1"/>
      </top>
      <bottom/>
      <diagonal/>
    </border>
    <border>
      <left/>
      <right/>
      <top style="medium">
        <color auto="1"/>
      </top>
      <bottom/>
      <diagonal/>
    </border>
    <border>
      <left/>
      <right/>
      <top/>
      <bottom style="medium">
        <color auto="1"/>
      </bottom>
      <diagonal/>
    </border>
    <border>
      <left style="medium">
        <color auto="1"/>
      </left>
      <right/>
      <top style="medium">
        <color auto="1"/>
      </top>
      <bottom/>
      <diagonal/>
    </border>
    <border>
      <left style="medium">
        <color auto="1"/>
      </left>
      <right/>
      <top/>
      <bottom style="medium">
        <color auto="1"/>
      </bottom>
      <diagonal/>
    </border>
    <border>
      <left/>
      <right style="medium">
        <color auto="1"/>
      </right>
      <top style="medium">
        <color auto="1"/>
      </top>
      <bottom/>
      <diagonal/>
    </border>
    <border>
      <left/>
      <right style="thin">
        <color rgb="FFD6E4F0"/>
      </right>
      <top/>
      <bottom style="thin">
        <color rgb="FFD6E4F0"/>
      </bottom>
      <diagonal/>
    </border>
    <border>
      <left/>
      <right style="thin">
        <color rgb="FFD6E4F0"/>
      </right>
      <top style="thin">
        <color rgb="FFD6E4F0"/>
      </top>
      <bottom style="thin">
        <color rgb="FFD6E4F0"/>
      </bottom>
      <diagonal/>
    </border>
    <border>
      <left style="thin">
        <color rgb="FFD6E4F0"/>
      </left>
      <right style="thin">
        <color rgb="FFD6E4F0"/>
      </right>
      <top style="thin">
        <color rgb="FFD6E4F0"/>
      </top>
      <bottom style="thin">
        <color rgb="FFD6E4F0"/>
      </bottom>
      <diagonal/>
    </border>
    <border>
      <left style="thin">
        <color rgb="FFD6E4F0"/>
      </left>
      <right style="thin">
        <color rgb="FFD6E4F0"/>
      </right>
      <top style="thin">
        <color rgb="FF1F4E79"/>
      </top>
      <bottom style="thin">
        <color rgb="FFD6E4F0"/>
      </bottom>
      <diagonal/>
    </border>
    <border>
      <left style="thin">
        <color rgb="FFD6E4F0"/>
      </left>
      <right style="thin">
        <color rgb="FFD6E4F0"/>
      </right>
      <top style="thin">
        <color rgb="FFD6E4F0"/>
      </top>
      <bottom style="thin">
        <color rgb="FF1F4E79"/>
      </bottom>
      <diagonal/>
    </border>
    <border>
      <left style="thin">
        <color rgb="FF1F4E79"/>
      </left>
      <right style="thin">
        <color rgb="FFD6E4F0"/>
      </right>
      <top style="thin">
        <color rgb="FFD6E4F0"/>
      </top>
      <bottom style="thin">
        <color rgb="FFD6E4F0"/>
      </bottom>
      <diagonal/>
    </border>
    <border>
      <left style="thin">
        <color rgb="FFD6E4F0"/>
      </left>
      <right style="thin">
        <color rgb="FF1F4E79"/>
      </right>
      <top style="thin">
        <color rgb="FFD6E4F0"/>
      </top>
      <bottom style="thin">
        <color rgb="FFD6E4F0"/>
      </bottom>
      <diagonal/>
    </border>
    <border>
      <left style="thin">
        <color rgb="FF1F4E79"/>
      </left>
      <right style="thin">
        <color rgb="FFD6E4F0"/>
      </right>
      <top style="thin">
        <color rgb="FF1F4E79"/>
      </top>
      <bottom style="thin">
        <color rgb="FFD6E4F0"/>
      </bottom>
      <diagonal/>
    </border>
    <border>
      <left style="thin">
        <color rgb="FFD6E4F0"/>
      </left>
      <right style="thin">
        <color rgb="FF1F4E79"/>
      </right>
      <top style="thin">
        <color rgb="FF1F4E79"/>
      </top>
      <bottom style="thin">
        <color rgb="FFD6E4F0"/>
      </bottom>
      <diagonal/>
    </border>
    <border>
      <left style="thin">
        <color rgb="FF1F4E79"/>
      </left>
      <right style="thin">
        <color rgb="FFD6E4F0"/>
      </right>
      <top style="thin">
        <color rgb="FFD6E4F0"/>
      </top>
      <bottom style="thin">
        <color rgb="FF1F4E79"/>
      </bottom>
      <diagonal/>
    </border>
    <border>
      <left style="thin">
        <color rgb="FFD6E4F0"/>
      </left>
      <right style="thin">
        <color rgb="FF1F4E79"/>
      </right>
      <top style="thin">
        <color rgb="FFD6E4F0"/>
      </top>
      <bottom style="thin">
        <color rgb="FF1F4E79"/>
      </bottom>
      <diagonal/>
    </border>
    <border>
      <left style="thin">
        <color rgb="FF000000"/>
      </left>
      <right style="thin">
        <color rgb="FF000000"/>
      </right>
      <top style="thin">
        <color rgb="FF000000"/>
      </top>
      <bottom/>
      <diagonal/>
    </border>
    <border>
      <left/>
      <right/>
      <top style="thick">
        <color rgb="FF00B4D8"/>
      </top>
      <bottom/>
      <diagonal/>
    </border>
    <border>
      <left/>
      <right/>
      <top/>
      <bottom style="thin">
        <color rgb="FFFF6B6B"/>
      </bottom>
      <diagonal/>
    </border>
    <border>
      <left/>
      <right/>
      <top/>
      <bottom style="medium">
        <color rgb="FFFF6B6B"/>
      </bottom>
      <diagonal/>
    </border>
    <border>
      <left/>
      <right/>
      <top/>
      <bottom style="medium">
        <color rgb="FF00B4D8"/>
      </bottom>
      <diagonal/>
    </border>
    <border>
      <left/>
      <right/>
      <top/>
      <bottom style="thin">
        <color rgb="FF06D6A0"/>
      </bottom>
      <diagonal/>
    </border>
    <border>
      <left/>
      <right/>
      <top/>
      <bottom style="thin">
        <color rgb="FFA78BFA"/>
      </bottom>
      <diagonal/>
    </border>
    <border>
      <left/>
      <right/>
      <top/>
      <bottom style="thin">
        <color rgb="FFFFD166"/>
      </bottom>
      <diagonal/>
    </border>
    <border>
      <left/>
      <right/>
      <top/>
      <bottom style="medium">
        <color rgb="FFFFD166"/>
      </bottom>
      <diagonal/>
    </border>
    <border>
      <left/>
      <right/>
      <top style="medium">
        <color rgb="FF00B4D8"/>
      </top>
      <bottom/>
      <diagonal/>
    </border>
    <border>
      <left/>
      <right/>
      <top style="thin">
        <color rgb="FFE2E8F0"/>
      </top>
      <bottom style="thin">
        <color rgb="FFE2E8F0"/>
      </bottom>
      <diagonal/>
    </border>
    <border>
      <left/>
      <right/>
      <top style="thin">
        <color rgb="FFE2E8F0"/>
      </top>
      <bottom/>
      <diagonal/>
    </border>
    <border>
      <left style="thin">
        <color rgb="FFFFD166"/>
      </left>
      <right/>
      <top/>
      <bottom/>
      <diagonal/>
    </border>
    <border>
      <left/>
      <right/>
      <top style="thin">
        <color rgb="FF1E293B"/>
      </top>
      <bottom/>
      <diagonal/>
    </border>
    <border>
      <left style="medium">
        <color rgb="FF1F4E79"/>
      </left>
      <right style="thin">
        <color rgb="FFD6E4F0"/>
      </right>
      <top style="medium">
        <color rgb="FF1F4E79"/>
      </top>
      <bottom/>
      <diagonal/>
    </border>
    <border>
      <left style="thin">
        <color rgb="FFD6E4F0"/>
      </left>
      <right style="thin">
        <color rgb="FFD6E4F0"/>
      </right>
      <top style="medium">
        <color rgb="FF1F4E79"/>
      </top>
      <bottom/>
      <diagonal/>
    </border>
    <border>
      <left style="thin">
        <color rgb="FFD6E4F0"/>
      </left>
      <right style="medium">
        <color rgb="FF1F4E79"/>
      </right>
      <top style="medium">
        <color rgb="FF1F4E79"/>
      </top>
      <bottom/>
      <diagonal/>
    </border>
    <border>
      <left style="medium">
        <color rgb="FF1F4E79"/>
      </left>
      <right style="thin">
        <color rgb="FFD6E4F0"/>
      </right>
      <top style="medium">
        <color rgb="FF00B4D8"/>
      </top>
      <bottom/>
      <diagonal/>
    </border>
    <border>
      <left style="thin">
        <color rgb="FFD6E4F0"/>
      </left>
      <right style="thin">
        <color rgb="FFD6E4F0"/>
      </right>
      <top style="medium">
        <color rgb="FF00B4D8"/>
      </top>
      <bottom/>
      <diagonal/>
    </border>
    <border>
      <left style="thin">
        <color rgb="FFD6E4F0"/>
      </left>
      <right style="medium">
        <color rgb="FF1F4E79"/>
      </right>
      <top style="medium">
        <color rgb="FF00B4D8"/>
      </top>
      <bottom/>
      <diagonal/>
    </border>
    <border>
      <left style="medium">
        <color rgb="FF1F4E79"/>
      </left>
      <right style="thin">
        <color rgb="FFD6E4F0"/>
      </right>
      <top style="thin">
        <color rgb="FFE2E8F0"/>
      </top>
      <bottom style="thin">
        <color rgb="FFE2E8F0"/>
      </bottom>
      <diagonal/>
    </border>
    <border>
      <left style="thin">
        <color rgb="FFD6E4F0"/>
      </left>
      <right style="thin">
        <color rgb="FFD6E4F0"/>
      </right>
      <top style="thin">
        <color rgb="FFE2E8F0"/>
      </top>
      <bottom style="thin">
        <color rgb="FFE2E8F0"/>
      </bottom>
      <diagonal/>
    </border>
    <border>
      <left style="thin">
        <color rgb="FFD6E4F0"/>
      </left>
      <right style="medium">
        <color rgb="FF1F4E79"/>
      </right>
      <top style="thin">
        <color rgb="FFE2E8F0"/>
      </top>
      <bottom style="thin">
        <color rgb="FFE2E8F0"/>
      </bottom>
      <diagonal/>
    </border>
    <border>
      <left style="medium">
        <color rgb="FF1F4E79"/>
      </left>
      <right style="thin">
        <color rgb="FFD6E4F0"/>
      </right>
      <top style="thin">
        <color rgb="FFE2E8F0"/>
      </top>
      <bottom/>
      <diagonal/>
    </border>
    <border>
      <left style="thin">
        <color rgb="FFD6E4F0"/>
      </left>
      <right style="thin">
        <color rgb="FFD6E4F0"/>
      </right>
      <top style="thin">
        <color rgb="FFE2E8F0"/>
      </top>
      <bottom/>
      <diagonal/>
    </border>
    <border>
      <left style="thin">
        <color rgb="FFD6E4F0"/>
      </left>
      <right style="medium">
        <color rgb="FF1F4E79"/>
      </right>
      <top style="thin">
        <color rgb="FFE2E8F0"/>
      </top>
      <bottom/>
      <diagonal/>
    </border>
    <border>
      <left style="medium">
        <color rgb="FF1F4E79"/>
      </left>
      <right/>
      <top style="thin">
        <color rgb="FFE2E8F0"/>
      </top>
      <bottom/>
      <diagonal/>
    </border>
    <border>
      <left style="medium">
        <color indexed="64"/>
      </left>
      <right style="medium">
        <color indexed="64"/>
      </right>
      <top style="medium">
        <color indexed="64"/>
      </top>
      <bottom style="medium">
        <color rgb="FF00B4D8"/>
      </bottom>
      <diagonal/>
    </border>
    <border>
      <left style="medium">
        <color indexed="64"/>
      </left>
      <right/>
      <top style="thin">
        <color rgb="FFE2E8F0"/>
      </top>
      <bottom style="thin">
        <color rgb="FFE2E8F0"/>
      </bottom>
      <diagonal/>
    </border>
    <border>
      <left/>
      <right style="medium">
        <color auto="1"/>
      </right>
      <top style="thin">
        <color rgb="FFE2E8F0"/>
      </top>
      <bottom style="thin">
        <color rgb="FFE2E8F0"/>
      </bottom>
      <diagonal/>
    </border>
    <border>
      <left style="medium">
        <color indexed="64"/>
      </left>
      <right/>
      <top style="thin">
        <color rgb="FFE2E8F0"/>
      </top>
      <bottom/>
      <diagonal/>
    </border>
    <border>
      <left/>
      <right style="medium">
        <color auto="1"/>
      </right>
      <top style="thin">
        <color rgb="FFE2E8F0"/>
      </top>
      <bottom/>
      <diagonal/>
    </border>
    <border>
      <left/>
      <right/>
      <top/>
      <bottom style="thin">
        <color rgb="FFE2E8F0"/>
      </bottom>
      <diagonal/>
    </border>
    <border>
      <left/>
      <right/>
      <top style="thin">
        <color rgb="FFF1F5F9"/>
      </top>
      <bottom style="thin">
        <color rgb="FFF1F5F9"/>
      </bottom>
      <diagonal/>
    </border>
    <border>
      <left/>
      <right/>
      <top style="thin">
        <color rgb="FFF1F5F9"/>
      </top>
      <bottom/>
      <diagonal/>
    </border>
    <border>
      <left/>
      <right/>
      <top style="medium">
        <color rgb="FFFF6B6B"/>
      </top>
      <bottom/>
      <diagonal/>
    </border>
    <border>
      <left/>
      <right/>
      <top style="medium">
        <color rgb="FF06D6A0"/>
      </top>
      <bottom/>
      <diagonal/>
    </border>
    <border>
      <left/>
      <right/>
      <top style="medium">
        <color rgb="FFA78BFA"/>
      </top>
      <bottom/>
      <diagonal/>
    </border>
    <border>
      <left style="thin">
        <color rgb="FF000000"/>
      </left>
      <right style="thin">
        <color rgb="FF000000"/>
      </right>
      <top style="medium">
        <color rgb="FF00B4D8"/>
      </top>
      <bottom/>
      <diagonal/>
    </border>
    <border>
      <left style="thin">
        <color rgb="FF000000"/>
      </left>
      <right style="thin">
        <color rgb="FF000000"/>
      </right>
      <top style="medium">
        <color rgb="FF00B4D8"/>
      </top>
      <bottom style="thin">
        <color rgb="FFE2E8F0"/>
      </bottom>
      <diagonal/>
    </border>
    <border>
      <left style="thin">
        <color rgb="FF000000"/>
      </left>
      <right style="thin">
        <color rgb="FF000000"/>
      </right>
      <top style="thin">
        <color rgb="FFE2E8F0"/>
      </top>
      <bottom/>
      <diagonal/>
    </border>
    <border>
      <left/>
      <right style="thin">
        <color rgb="FFD6E4F0"/>
      </right>
      <top style="medium">
        <color rgb="FF00B4D8"/>
      </top>
      <bottom/>
      <diagonal/>
    </border>
    <border>
      <left/>
      <right style="thin">
        <color rgb="FFD6E4F0"/>
      </right>
      <top style="thin">
        <color rgb="FFE2E8F0"/>
      </top>
      <bottom style="thin">
        <color rgb="FFE2E8F0"/>
      </bottom>
      <diagonal/>
    </border>
    <border>
      <left/>
      <right style="thin">
        <color rgb="FFD6E4F0"/>
      </right>
      <top style="thin">
        <color rgb="FFE2E8F0"/>
      </top>
      <bottom/>
      <diagonal/>
    </border>
    <border>
      <left/>
      <right/>
      <top/>
      <bottom style="thick">
        <color rgb="FF00B4D8"/>
      </bottom>
      <diagonal/>
    </border>
    <border>
      <left/>
      <right style="thin">
        <color rgb="FF1E3A5F"/>
      </right>
      <top/>
      <bottom/>
      <diagonal/>
    </border>
    <border>
      <left/>
      <right/>
      <top/>
      <bottom style="thin">
        <color rgb="FF1E3A5F"/>
      </bottom>
      <diagonal/>
    </border>
    <border>
      <left/>
      <right style="thin">
        <color rgb="FF1E3A5F"/>
      </right>
      <top/>
      <bottom style="thin">
        <color rgb="FF1E3A5F"/>
      </bottom>
      <diagonal/>
    </border>
    <border>
      <left style="thin">
        <color rgb="FF162032"/>
      </left>
      <right/>
      <top/>
      <bottom/>
      <diagonal/>
    </border>
    <border>
      <left style="thin">
        <color rgb="FF162032"/>
      </left>
      <right/>
      <top/>
      <bottom style="thin">
        <color rgb="FF1E3A5F"/>
      </bottom>
      <diagonal/>
    </border>
    <border>
      <left style="thin">
        <color rgb="FF162032"/>
      </left>
      <right/>
      <top style="thick">
        <color rgb="FF162032"/>
      </top>
      <bottom/>
      <diagonal/>
    </border>
    <border>
      <left/>
      <right/>
      <top style="thick">
        <color rgb="FF162032"/>
      </top>
      <bottom/>
      <diagonal/>
    </border>
    <border>
      <left/>
      <right style="thin">
        <color rgb="FF1E3A5F"/>
      </right>
      <top style="thick">
        <color rgb="FF162032"/>
      </top>
      <bottom/>
      <diagonal/>
    </border>
    <border>
      <left style="thin">
        <color rgb="FF162032"/>
      </left>
      <right/>
      <top style="thin">
        <color rgb="FF162032"/>
      </top>
      <bottom style="medium">
        <color rgb="FFFF6B6B"/>
      </bottom>
      <diagonal/>
    </border>
    <border>
      <left/>
      <right/>
      <top style="thin">
        <color rgb="FF162032"/>
      </top>
      <bottom style="medium">
        <color rgb="FFFF6B6B"/>
      </bottom>
      <diagonal/>
    </border>
    <border>
      <left/>
      <right/>
      <top style="thin">
        <color rgb="FF162032"/>
      </top>
      <bottom style="medium">
        <color rgb="FF00B4D8"/>
      </bottom>
      <diagonal/>
    </border>
    <border>
      <left style="thin">
        <color rgb="FF162032"/>
      </left>
      <right/>
      <top style="thin">
        <color rgb="FF162032"/>
      </top>
      <bottom style="medium">
        <color rgb="FF06D6A0"/>
      </bottom>
      <diagonal/>
    </border>
    <border>
      <left/>
      <right/>
      <top style="thin">
        <color rgb="FF162032"/>
      </top>
      <bottom style="medium">
        <color rgb="FF06D6A0"/>
      </bottom>
      <diagonal/>
    </border>
    <border>
      <left style="thin">
        <color rgb="FF162032"/>
      </left>
      <right/>
      <top style="thin">
        <color rgb="FF162032"/>
      </top>
      <bottom style="medium">
        <color rgb="FFA78BFA"/>
      </bottom>
      <diagonal/>
    </border>
    <border>
      <left/>
      <right/>
      <top style="thin">
        <color rgb="FF162032"/>
      </top>
      <bottom style="medium">
        <color rgb="FFA78BFA"/>
      </bottom>
      <diagonal/>
    </border>
    <border>
      <left/>
      <right/>
      <top style="thin">
        <color rgb="FF162032"/>
      </top>
      <bottom style="medium">
        <color rgb="FFFFD166"/>
      </bottom>
      <diagonal/>
    </border>
    <border>
      <left/>
      <right/>
      <top style="thin">
        <color rgb="FF162032"/>
      </top>
      <bottom style="medium">
        <color rgb="FF1E3A5F"/>
      </bottom>
      <diagonal/>
    </border>
    <border>
      <left/>
      <right style="thin">
        <color rgb="FF1E3A5F"/>
      </right>
      <top style="thin">
        <color rgb="FF162032"/>
      </top>
      <bottom style="medium">
        <color rgb="FF1E3A5F"/>
      </bottom>
      <diagonal/>
    </border>
    <border>
      <left style="thin">
        <color rgb="FF162032"/>
      </left>
      <right/>
      <top style="medium">
        <color rgb="FFFF6B6B"/>
      </top>
      <bottom/>
      <diagonal/>
    </border>
    <border>
      <left style="thin">
        <color rgb="FF162032"/>
      </left>
      <right/>
      <top style="thin">
        <color rgb="FF162032"/>
      </top>
      <bottom/>
      <diagonal/>
    </border>
    <border>
      <left style="thin">
        <color rgb="FF0E1A2E"/>
      </left>
      <right style="thin">
        <color rgb="FF162032"/>
      </right>
      <top/>
      <bottom/>
      <diagonal/>
    </border>
    <border>
      <left/>
      <right/>
      <top style="thin">
        <color rgb="FF0E1A2E"/>
      </top>
      <bottom/>
      <diagonal/>
    </border>
    <border>
      <left style="thin">
        <color rgb="FF0E1A2E"/>
      </left>
      <right/>
      <top/>
      <bottom/>
      <diagonal/>
    </border>
    <border>
      <left style="medium">
        <color rgb="FF1F4E79"/>
      </left>
      <right/>
      <top style="medium">
        <color rgb="FF00B4D8"/>
      </top>
      <bottom/>
      <diagonal/>
    </border>
    <border>
      <left/>
      <right style="medium">
        <color rgb="FF1F4E79"/>
      </right>
      <top style="medium">
        <color rgb="FF00B4D8"/>
      </top>
      <bottom/>
      <diagonal/>
    </border>
    <border>
      <left/>
      <right style="medium">
        <color rgb="FF1F4E79"/>
      </right>
      <top style="thin">
        <color rgb="FFE2E8F0"/>
      </top>
      <bottom/>
      <diagonal/>
    </border>
    <border>
      <left style="thin">
        <color rgb="FFFFD166"/>
      </left>
      <right style="thin">
        <color rgb="FFFFD166"/>
      </right>
      <top style="thin">
        <color rgb="FFE2E8F0"/>
      </top>
      <bottom/>
      <diagonal/>
    </border>
    <border>
      <left style="thin">
        <color rgb="FFFFD166"/>
      </left>
      <right style="thin">
        <color rgb="FFFFD166"/>
      </right>
      <top style="thin">
        <color rgb="FFE2E8F0"/>
      </top>
      <bottom style="thin">
        <color rgb="FFE2E8F0"/>
      </bottom>
      <diagonal/>
    </border>
    <border>
      <left style="thin">
        <color rgb="FFFFD166"/>
      </left>
      <right style="thin">
        <color rgb="FFFFD166"/>
      </right>
      <top style="medium">
        <color rgb="FFFFD166"/>
      </top>
      <bottom/>
      <diagonal/>
    </border>
    <border>
      <left style="thin">
        <color rgb="FFFFD166"/>
      </left>
      <right style="thin">
        <color rgb="FFFFD166"/>
      </right>
      <top style="thin">
        <color rgb="FFE2E8F0"/>
      </top>
      <bottom style="thin">
        <color rgb="FFFFD166"/>
      </bottom>
      <diagonal/>
    </border>
    <border>
      <left style="thin">
        <color rgb="FF3877A6"/>
      </left>
      <right style="thin">
        <color rgb="FF3877A6"/>
      </right>
      <top style="thin">
        <color rgb="FF3877A6"/>
      </top>
      <bottom style="medium">
        <color rgb="FFFFD166"/>
      </bottom>
      <diagonal/>
    </border>
    <border>
      <left style="thin">
        <color rgb="FFFFD166"/>
      </left>
      <right style="thin">
        <color rgb="FFFFD166"/>
      </right>
      <top/>
      <bottom style="thin">
        <color rgb="FFE2E8F0"/>
      </bottom>
      <diagonal/>
    </border>
    <border>
      <left style="medium">
        <color rgb="FF1F4E79"/>
      </left>
      <right style="thin">
        <color rgb="FFFFD166"/>
      </right>
      <top/>
      <bottom style="thin">
        <color rgb="FFE2E8F0"/>
      </bottom>
      <diagonal/>
    </border>
    <border>
      <left style="medium">
        <color rgb="FF1F4E79"/>
      </left>
      <right style="thin">
        <color rgb="FFFFD166"/>
      </right>
      <top style="thin">
        <color rgb="FFE2E8F0"/>
      </top>
      <bottom style="thin">
        <color rgb="FFE2E8F0"/>
      </bottom>
      <diagonal/>
    </border>
    <border>
      <left style="thin">
        <color rgb="FFFFD166"/>
      </left>
      <right style="medium">
        <color rgb="FF1F4E79"/>
      </right>
      <top/>
      <bottom style="thin">
        <color rgb="FFE2E8F0"/>
      </bottom>
      <diagonal/>
    </border>
    <border>
      <left style="thin">
        <color rgb="FFFFD166"/>
      </left>
      <right style="medium">
        <color rgb="FF1F4E79"/>
      </right>
      <top style="thin">
        <color rgb="FFE2E8F0"/>
      </top>
      <bottom style="thin">
        <color rgb="FFE2E8F0"/>
      </bottom>
      <diagonal/>
    </border>
    <border>
      <left style="medium">
        <color rgb="FF1F4E79"/>
      </left>
      <right style="thin">
        <color rgb="FFFFD166"/>
      </right>
      <top style="thin">
        <color rgb="FFE2E8F0"/>
      </top>
      <bottom style="medium">
        <color rgb="FF1F4E79"/>
      </bottom>
      <diagonal/>
    </border>
    <border>
      <left style="thin">
        <color rgb="FFFFD166"/>
      </left>
      <right style="thin">
        <color rgb="FFFFD166"/>
      </right>
      <top style="thin">
        <color rgb="FFE2E8F0"/>
      </top>
      <bottom style="medium">
        <color rgb="FF1F4E79"/>
      </bottom>
      <diagonal/>
    </border>
    <border>
      <left style="thin">
        <color rgb="FFFFD166"/>
      </left>
      <right style="medium">
        <color rgb="FF1F4E79"/>
      </right>
      <top style="thin">
        <color rgb="FFE2E8F0"/>
      </top>
      <bottom style="medium">
        <color rgb="FF1F4E79"/>
      </bottom>
      <diagonal/>
    </border>
    <border>
      <left/>
      <right style="thin">
        <color rgb="FFE2E8F0"/>
      </right>
      <top/>
      <bottom style="thin">
        <color rgb="FFE2E8F0"/>
      </bottom>
      <diagonal/>
    </border>
    <border>
      <left style="thin">
        <color rgb="FFE2E8F0"/>
      </left>
      <right style="thin">
        <color rgb="FFE2E8F0"/>
      </right>
      <top/>
      <bottom style="thin">
        <color rgb="FFE2E8F0"/>
      </bottom>
      <diagonal/>
    </border>
    <border>
      <left style="thin">
        <color rgb="FFE2E8F0"/>
      </left>
      <right/>
      <top/>
      <bottom style="thin">
        <color rgb="FFE2E8F0"/>
      </bottom>
      <diagonal/>
    </border>
    <border>
      <left/>
      <right style="thin">
        <color rgb="FFE2E8F0"/>
      </right>
      <top style="thin">
        <color rgb="FFE2E8F0"/>
      </top>
      <bottom style="thin">
        <color rgb="FFE2E8F0"/>
      </bottom>
      <diagonal/>
    </border>
    <border>
      <left style="thin">
        <color rgb="FFE2E8F0"/>
      </left>
      <right style="thin">
        <color rgb="FFE2E8F0"/>
      </right>
      <top style="thin">
        <color rgb="FFE2E8F0"/>
      </top>
      <bottom style="thin">
        <color rgb="FFE2E8F0"/>
      </bottom>
      <diagonal/>
    </border>
    <border>
      <left style="thin">
        <color rgb="FFE2E8F0"/>
      </left>
      <right/>
      <top style="thin">
        <color rgb="FFE2E8F0"/>
      </top>
      <bottom style="thin">
        <color rgb="FFE2E8F0"/>
      </bottom>
      <diagonal/>
    </border>
    <border>
      <left/>
      <right style="thin">
        <color rgb="FFE2E8F0"/>
      </right>
      <top style="thin">
        <color rgb="FFE2E8F0"/>
      </top>
      <bottom/>
      <diagonal/>
    </border>
    <border>
      <left style="thin">
        <color rgb="FFE2E8F0"/>
      </left>
      <right style="thin">
        <color rgb="FFE2E8F0"/>
      </right>
      <top style="thin">
        <color rgb="FFE2E8F0"/>
      </top>
      <bottom/>
      <diagonal/>
    </border>
    <border>
      <left style="thin">
        <color rgb="FFE2E8F0"/>
      </left>
      <right/>
      <top style="thin">
        <color rgb="FFE2E8F0"/>
      </top>
      <bottom/>
      <diagonal/>
    </border>
    <border>
      <left style="thin">
        <color rgb="FFEBEBEB"/>
      </left>
      <right style="thin">
        <color rgb="FFEBEBEB"/>
      </right>
      <top style="thin">
        <color rgb="FFEBEBEB"/>
      </top>
      <bottom style="thin">
        <color rgb="FFEBEBEB"/>
      </bottom>
      <diagonal/>
    </border>
  </borders>
  <cellStyleXfs count="1">
    <xf numFmtId="0" fontId="0" fillId="0" borderId="0"/>
  </cellStyleXfs>
  <cellXfs count="508">
    <xf numFmtId="0" fontId="0" fillId="0" borderId="0" xfId="0"/>
    <xf numFmtId="0" fontId="0" fillId="0" borderId="0" xfId="0" applyAlignment="1">
      <alignment horizontal="center" vertical="center"/>
    </xf>
    <xf numFmtId="49" fontId="0" fillId="0" borderId="0" xfId="0" applyNumberFormat="1" applyAlignment="1">
      <alignment horizontal="center" vertical="center"/>
    </xf>
    <xf numFmtId="0" fontId="0" fillId="8" borderId="0" xfId="0" applyFill="1"/>
    <xf numFmtId="0" fontId="1" fillId="0" borderId="0" xfId="0" applyFont="1" applyAlignment="1">
      <alignment horizontal="center" vertical="center"/>
    </xf>
    <xf numFmtId="169" fontId="1" fillId="0" borderId="0" xfId="0" applyNumberFormat="1" applyFont="1" applyAlignment="1">
      <alignment horizontal="center" vertical="center"/>
    </xf>
    <xf numFmtId="0" fontId="34" fillId="8" borderId="0" xfId="0" applyFont="1" applyFill="1"/>
    <xf numFmtId="0" fontId="34" fillId="8" borderId="34" xfId="0" applyFont="1" applyFill="1" applyBorder="1"/>
    <xf numFmtId="0" fontId="46" fillId="0" borderId="0" xfId="0" applyFont="1"/>
    <xf numFmtId="0" fontId="34" fillId="14" borderId="34" xfId="0" applyFont="1" applyFill="1" applyBorder="1" applyAlignment="1">
      <alignment horizontal="center"/>
    </xf>
    <xf numFmtId="0" fontId="34" fillId="8" borderId="34" xfId="0" applyFont="1" applyFill="1" applyBorder="1" applyAlignment="1">
      <alignment horizontal="center"/>
    </xf>
    <xf numFmtId="0" fontId="34" fillId="0" borderId="0" xfId="0" applyFont="1"/>
    <xf numFmtId="0" fontId="35" fillId="0" borderId="0" xfId="0" applyFont="1"/>
    <xf numFmtId="0" fontId="37" fillId="13" borderId="38" xfId="0" applyFont="1" applyFill="1" applyBorder="1" applyAlignment="1">
      <alignment horizontal="center"/>
    </xf>
    <xf numFmtId="0" fontId="37" fillId="13" borderId="39" xfId="0" applyFont="1" applyFill="1" applyBorder="1" applyAlignment="1">
      <alignment horizontal="center"/>
    </xf>
    <xf numFmtId="0" fontId="37" fillId="13" borderId="40" xfId="0" applyFont="1" applyFill="1" applyBorder="1" applyAlignment="1">
      <alignment horizontal="center"/>
    </xf>
    <xf numFmtId="0" fontId="36" fillId="8" borderId="41" xfId="0" applyFont="1" applyFill="1" applyBorder="1" applyAlignment="1">
      <alignment horizontal="center"/>
    </xf>
    <xf numFmtId="0" fontId="34" fillId="8" borderId="42" xfId="0" applyFont="1" applyFill="1" applyBorder="1" applyAlignment="1">
      <alignment horizontal="center"/>
    </xf>
    <xf numFmtId="9" fontId="34" fillId="8" borderId="43" xfId="0" applyNumberFormat="1" applyFont="1" applyFill="1" applyBorder="1" applyAlignment="1">
      <alignment horizontal="center"/>
    </xf>
    <xf numFmtId="0" fontId="36" fillId="14" borderId="47" xfId="0" applyFont="1" applyFill="1" applyBorder="1" applyAlignment="1">
      <alignment horizontal="center"/>
    </xf>
    <xf numFmtId="0" fontId="34" fillId="14" borderId="48" xfId="0" applyFont="1" applyFill="1" applyBorder="1" applyAlignment="1">
      <alignment horizontal="center"/>
    </xf>
    <xf numFmtId="9" fontId="34" fillId="14" borderId="49" xfId="0" applyNumberFormat="1" applyFont="1" applyFill="1" applyBorder="1" applyAlignment="1">
      <alignment horizontal="center"/>
    </xf>
    <xf numFmtId="0" fontId="36" fillId="8" borderId="47" xfId="0" applyFont="1" applyFill="1" applyBorder="1" applyAlignment="1">
      <alignment horizontal="center"/>
    </xf>
    <xf numFmtId="0" fontId="34" fillId="8" borderId="48" xfId="0" applyFont="1" applyFill="1" applyBorder="1" applyAlignment="1">
      <alignment horizontal="center"/>
    </xf>
    <xf numFmtId="9" fontId="34" fillId="8" borderId="49" xfId="0" applyNumberFormat="1" applyFont="1" applyFill="1" applyBorder="1" applyAlignment="1">
      <alignment horizontal="center"/>
    </xf>
    <xf numFmtId="0" fontId="35" fillId="14" borderId="50" xfId="0" applyFont="1" applyFill="1" applyBorder="1"/>
    <xf numFmtId="10" fontId="34" fillId="14" borderId="49" xfId="0" applyNumberFormat="1" applyFont="1" applyFill="1" applyBorder="1" applyAlignment="1">
      <alignment horizontal="center"/>
    </xf>
    <xf numFmtId="0" fontId="35" fillId="8" borderId="50" xfId="0" applyFont="1" applyFill="1" applyBorder="1"/>
    <xf numFmtId="10" fontId="34" fillId="8" borderId="49" xfId="0" applyNumberFormat="1" applyFont="1" applyFill="1" applyBorder="1" applyAlignment="1">
      <alignment horizontal="center"/>
    </xf>
    <xf numFmtId="0" fontId="36" fillId="8" borderId="44" xfId="0" applyFont="1" applyFill="1" applyBorder="1" applyAlignment="1">
      <alignment horizontal="center"/>
    </xf>
    <xf numFmtId="0" fontId="34" fillId="8" borderId="45" xfId="0" applyFont="1" applyFill="1" applyBorder="1" applyAlignment="1">
      <alignment horizontal="center"/>
    </xf>
    <xf numFmtId="10" fontId="34" fillId="8" borderId="46" xfId="0" applyNumberFormat="1" applyFont="1" applyFill="1" applyBorder="1" applyAlignment="1">
      <alignment horizontal="center"/>
    </xf>
    <xf numFmtId="0" fontId="51" fillId="0" borderId="0" xfId="0" applyFont="1"/>
    <xf numFmtId="0" fontId="38" fillId="4" borderId="20" xfId="0" applyFont="1" applyFill="1" applyBorder="1" applyAlignment="1">
      <alignment horizontal="center"/>
    </xf>
    <xf numFmtId="0" fontId="38" fillId="4" borderId="16" xfId="0" applyFont="1" applyFill="1" applyBorder="1" applyAlignment="1">
      <alignment horizontal="center"/>
    </xf>
    <xf numFmtId="0" fontId="38" fillId="4" borderId="21" xfId="0" applyFont="1" applyFill="1" applyBorder="1" applyAlignment="1">
      <alignment horizontal="center"/>
    </xf>
    <xf numFmtId="0" fontId="34" fillId="9" borderId="18" xfId="0" applyFont="1" applyFill="1" applyBorder="1"/>
    <xf numFmtId="0" fontId="38" fillId="9" borderId="15" xfId="0" applyFont="1" applyFill="1" applyBorder="1" applyAlignment="1">
      <alignment horizontal="center"/>
    </xf>
    <xf numFmtId="0" fontId="34" fillId="9" borderId="19" xfId="0" applyFont="1" applyFill="1" applyBorder="1"/>
    <xf numFmtId="0" fontId="34" fillId="8" borderId="18" xfId="0" applyFont="1" applyFill="1" applyBorder="1"/>
    <xf numFmtId="0" fontId="38" fillId="8" borderId="15" xfId="0" applyFont="1" applyFill="1" applyBorder="1" applyAlignment="1">
      <alignment horizontal="center"/>
    </xf>
    <xf numFmtId="0" fontId="34" fillId="8" borderId="19" xfId="0" applyFont="1" applyFill="1" applyBorder="1"/>
    <xf numFmtId="0" fontId="34" fillId="8" borderId="22" xfId="0" applyFont="1" applyFill="1" applyBorder="1"/>
    <xf numFmtId="0" fontId="38" fillId="8" borderId="17" xfId="0" applyFont="1" applyFill="1" applyBorder="1" applyAlignment="1">
      <alignment horizontal="center"/>
    </xf>
    <xf numFmtId="0" fontId="34" fillId="8" borderId="23" xfId="0" applyFont="1" applyFill="1" applyBorder="1"/>
    <xf numFmtId="0" fontId="38" fillId="0" borderId="0" xfId="0" applyFont="1"/>
    <xf numFmtId="0" fontId="38" fillId="9" borderId="18" xfId="0" applyFont="1" applyFill="1" applyBorder="1"/>
    <xf numFmtId="0" fontId="34" fillId="9" borderId="15" xfId="0" applyFont="1" applyFill="1" applyBorder="1" applyAlignment="1">
      <alignment horizontal="center"/>
    </xf>
    <xf numFmtId="0" fontId="34" fillId="9" borderId="19" xfId="0" applyFont="1" applyFill="1" applyBorder="1" applyAlignment="1">
      <alignment wrapText="1"/>
    </xf>
    <xf numFmtId="0" fontId="38" fillId="8" borderId="18" xfId="0" applyFont="1" applyFill="1" applyBorder="1"/>
    <xf numFmtId="0" fontId="34" fillId="8" borderId="15" xfId="0" applyFont="1" applyFill="1" applyBorder="1" applyAlignment="1">
      <alignment horizontal="center"/>
    </xf>
    <xf numFmtId="0" fontId="34" fillId="8" borderId="19" xfId="0" applyFont="1" applyFill="1" applyBorder="1" applyAlignment="1">
      <alignment wrapText="1"/>
    </xf>
    <xf numFmtId="0" fontId="50" fillId="10" borderId="18" xfId="0" applyFont="1" applyFill="1" applyBorder="1"/>
    <xf numFmtId="0" fontId="51" fillId="10" borderId="15" xfId="0" applyFont="1" applyFill="1" applyBorder="1" applyAlignment="1">
      <alignment horizontal="center"/>
    </xf>
    <xf numFmtId="0" fontId="51" fillId="10" borderId="19" xfId="0" applyFont="1" applyFill="1" applyBorder="1" applyAlignment="1">
      <alignment wrapText="1"/>
    </xf>
    <xf numFmtId="0" fontId="34" fillId="0" borderId="22" xfId="0" applyFont="1" applyBorder="1"/>
    <xf numFmtId="0" fontId="34" fillId="0" borderId="17" xfId="0" applyFont="1" applyBorder="1"/>
    <xf numFmtId="0" fontId="34" fillId="0" borderId="23" xfId="0" applyFont="1" applyBorder="1" applyAlignment="1">
      <alignment wrapText="1"/>
    </xf>
    <xf numFmtId="0" fontId="38" fillId="5" borderId="20" xfId="0" applyFont="1" applyFill="1" applyBorder="1" applyAlignment="1">
      <alignment horizontal="center"/>
    </xf>
    <xf numFmtId="0" fontId="38" fillId="5" borderId="21" xfId="0" applyFont="1" applyFill="1" applyBorder="1" applyAlignment="1">
      <alignment horizontal="center"/>
    </xf>
    <xf numFmtId="0" fontId="34" fillId="0" borderId="18" xfId="0" applyFont="1" applyBorder="1"/>
    <xf numFmtId="0" fontId="34" fillId="0" borderId="19" xfId="0" applyFont="1" applyBorder="1"/>
    <xf numFmtId="0" fontId="34" fillId="0" borderId="23" xfId="0" applyFont="1" applyBorder="1"/>
    <xf numFmtId="0" fontId="38" fillId="4" borderId="20" xfId="0" applyFont="1" applyFill="1" applyBorder="1" applyAlignment="1">
      <alignment horizontal="center" vertical="center"/>
    </xf>
    <xf numFmtId="0" fontId="38" fillId="4" borderId="21" xfId="0" applyFont="1" applyFill="1" applyBorder="1" applyAlignment="1">
      <alignment horizontal="center" vertical="center"/>
    </xf>
    <xf numFmtId="0" fontId="38" fillId="9" borderId="18" xfId="0" applyFont="1" applyFill="1" applyBorder="1" applyAlignment="1">
      <alignment vertical="center"/>
    </xf>
    <xf numFmtId="0" fontId="34" fillId="9" borderId="19" xfId="0" applyFont="1" applyFill="1" applyBorder="1" applyAlignment="1">
      <alignment vertical="center" wrapText="1"/>
    </xf>
    <xf numFmtId="0" fontId="38" fillId="8" borderId="18" xfId="0" applyFont="1" applyFill="1" applyBorder="1" applyAlignment="1">
      <alignment vertical="center"/>
    </xf>
    <xf numFmtId="0" fontId="34" fillId="8" borderId="19" xfId="0" applyFont="1" applyFill="1" applyBorder="1" applyAlignment="1">
      <alignment vertical="center"/>
    </xf>
    <xf numFmtId="0" fontId="34" fillId="9" borderId="19" xfId="0" applyFont="1" applyFill="1" applyBorder="1" applyAlignment="1">
      <alignment vertical="center"/>
    </xf>
    <xf numFmtId="0" fontId="50" fillId="9" borderId="22" xfId="0" applyFont="1" applyFill="1" applyBorder="1" applyAlignment="1">
      <alignment vertical="center"/>
    </xf>
    <xf numFmtId="0" fontId="51" fillId="9" borderId="23" xfId="0" applyFont="1" applyFill="1" applyBorder="1" applyAlignment="1">
      <alignment vertical="center"/>
    </xf>
    <xf numFmtId="0" fontId="38" fillId="7" borderId="20" xfId="0" applyFont="1" applyFill="1" applyBorder="1" applyAlignment="1">
      <alignment horizontal="center"/>
    </xf>
    <xf numFmtId="0" fontId="38" fillId="7" borderId="16" xfId="0" applyFont="1" applyFill="1" applyBorder="1" applyAlignment="1">
      <alignment horizontal="center"/>
    </xf>
    <xf numFmtId="0" fontId="38" fillId="7" borderId="21" xfId="0" applyFont="1" applyFill="1" applyBorder="1" applyAlignment="1">
      <alignment horizontal="center"/>
    </xf>
    <xf numFmtId="0" fontId="34" fillId="2" borderId="18" xfId="0" applyFont="1" applyFill="1" applyBorder="1"/>
    <xf numFmtId="0" fontId="34" fillId="2" borderId="15" xfId="0" applyFont="1" applyFill="1" applyBorder="1" applyAlignment="1">
      <alignment horizontal="center"/>
    </xf>
    <xf numFmtId="0" fontId="34" fillId="2" borderId="19" xfId="0" applyFont="1" applyFill="1" applyBorder="1" applyAlignment="1">
      <alignment wrapText="1"/>
    </xf>
    <xf numFmtId="0" fontId="34" fillId="8" borderId="17" xfId="0" applyFont="1" applyFill="1" applyBorder="1" applyAlignment="1">
      <alignment horizontal="center"/>
    </xf>
    <xf numFmtId="0" fontId="34" fillId="8" borderId="23" xfId="0" applyFont="1" applyFill="1" applyBorder="1" applyAlignment="1">
      <alignment wrapText="1"/>
    </xf>
    <xf numFmtId="0" fontId="35" fillId="8" borderId="92" xfId="0" applyFont="1" applyFill="1" applyBorder="1"/>
    <xf numFmtId="0" fontId="51" fillId="8" borderId="93" xfId="0" applyFont="1" applyFill="1" applyBorder="1"/>
    <xf numFmtId="0" fontId="51" fillId="14" borderId="94" xfId="0" applyFont="1" applyFill="1" applyBorder="1"/>
    <xf numFmtId="0" fontId="51" fillId="8" borderId="94" xfId="0" applyFont="1" applyFill="1" applyBorder="1"/>
    <xf numFmtId="0" fontId="36" fillId="8" borderId="56" xfId="0" applyFont="1" applyFill="1" applyBorder="1"/>
    <xf numFmtId="0" fontId="34" fillId="8" borderId="35" xfId="0" applyFont="1" applyFill="1" applyBorder="1" applyAlignment="1">
      <alignment horizontal="center" vertical="center" wrapText="1"/>
    </xf>
    <xf numFmtId="0" fontId="34" fillId="14" borderId="35" xfId="0" applyFont="1" applyFill="1" applyBorder="1" applyAlignment="1">
      <alignment horizontal="center" vertical="center" wrapText="1"/>
    </xf>
    <xf numFmtId="0" fontId="34" fillId="8" borderId="34" xfId="0" applyFont="1" applyFill="1" applyBorder="1" applyAlignment="1">
      <alignment horizontal="center" vertical="center" wrapText="1"/>
    </xf>
    <xf numFmtId="0" fontId="1" fillId="0" borderId="0" xfId="0" applyFont="1" applyAlignment="1" applyProtection="1">
      <alignment horizontal="center" vertical="center"/>
      <protection locked="0"/>
    </xf>
    <xf numFmtId="169" fontId="1" fillId="0" borderId="0" xfId="0" applyNumberFormat="1" applyFont="1" applyAlignment="1" applyProtection="1">
      <alignment horizontal="center" vertical="center"/>
      <protection locked="0"/>
    </xf>
    <xf numFmtId="0" fontId="1" fillId="0" borderId="0" xfId="0" applyFont="1" applyAlignment="1" applyProtection="1">
      <alignment vertical="center" wrapText="1"/>
      <protection locked="0"/>
    </xf>
    <xf numFmtId="0" fontId="1" fillId="0" borderId="0" xfId="0" applyFont="1" applyAlignment="1" applyProtection="1">
      <alignment vertical="center"/>
      <protection locked="0"/>
    </xf>
    <xf numFmtId="0" fontId="1" fillId="0" borderId="36" xfId="0" applyFont="1" applyBorder="1" applyAlignment="1" applyProtection="1">
      <alignment horizontal="center" vertical="center"/>
      <protection locked="0"/>
    </xf>
    <xf numFmtId="0" fontId="34" fillId="14" borderId="0" xfId="0" applyFont="1" applyFill="1" applyAlignment="1">
      <alignment horizontal="center" vertical="center" wrapText="1"/>
    </xf>
    <xf numFmtId="0" fontId="33" fillId="13" borderId="0" xfId="0" applyFont="1" applyFill="1"/>
    <xf numFmtId="0" fontId="6" fillId="13" borderId="0" xfId="0" applyFont="1" applyFill="1"/>
    <xf numFmtId="0" fontId="54" fillId="14" borderId="33" xfId="0" applyFont="1" applyFill="1" applyBorder="1"/>
    <xf numFmtId="166" fontId="56" fillId="14" borderId="33" xfId="0" applyNumberFormat="1" applyFont="1" applyFill="1" applyBorder="1"/>
    <xf numFmtId="0" fontId="54" fillId="8" borderId="35" xfId="0" applyFont="1" applyFill="1" applyBorder="1"/>
    <xf numFmtId="166" fontId="56" fillId="8" borderId="35" xfId="0" applyNumberFormat="1" applyFont="1" applyFill="1" applyBorder="1"/>
    <xf numFmtId="0" fontId="45" fillId="13" borderId="28" xfId="0" applyFont="1" applyFill="1" applyBorder="1" applyAlignment="1">
      <alignment horizontal="center" wrapText="1"/>
    </xf>
    <xf numFmtId="0" fontId="45" fillId="13" borderId="28" xfId="0" applyFont="1" applyFill="1" applyBorder="1" applyAlignment="1">
      <alignment wrapText="1"/>
    </xf>
    <xf numFmtId="0" fontId="54" fillId="14" borderId="35" xfId="0" applyFont="1" applyFill="1" applyBorder="1"/>
    <xf numFmtId="164" fontId="56" fillId="14" borderId="35" xfId="0" applyNumberFormat="1" applyFont="1" applyFill="1" applyBorder="1"/>
    <xf numFmtId="0" fontId="34" fillId="0" borderId="0" xfId="0" applyFont="1" applyAlignment="1">
      <alignment horizontal="center"/>
    </xf>
    <xf numFmtId="164" fontId="56" fillId="8" borderId="35" xfId="0" applyNumberFormat="1" applyFont="1" applyFill="1" applyBorder="1"/>
    <xf numFmtId="0" fontId="54" fillId="20" borderId="34" xfId="0" applyFont="1" applyFill="1" applyBorder="1"/>
    <xf numFmtId="0" fontId="56" fillId="20" borderId="34" xfId="0" applyFont="1" applyFill="1" applyBorder="1"/>
    <xf numFmtId="0" fontId="45" fillId="13" borderId="51" xfId="0" applyFont="1" applyFill="1" applyBorder="1" applyAlignment="1">
      <alignment horizontal="center" wrapText="1"/>
    </xf>
    <xf numFmtId="0" fontId="54" fillId="20" borderId="2" xfId="0" applyFont="1" applyFill="1" applyBorder="1" applyAlignment="1">
      <alignment horizontal="center"/>
    </xf>
    <xf numFmtId="0" fontId="54" fillId="20" borderId="4" xfId="0" applyFont="1" applyFill="1" applyBorder="1" applyAlignment="1">
      <alignment horizontal="center"/>
    </xf>
    <xf numFmtId="0" fontId="54" fillId="20" borderId="3" xfId="0" applyFont="1" applyFill="1" applyBorder="1" applyAlignment="1">
      <alignment horizontal="center"/>
    </xf>
    <xf numFmtId="0" fontId="54" fillId="14" borderId="0" xfId="0" applyFont="1" applyFill="1"/>
    <xf numFmtId="3" fontId="55" fillId="14" borderId="0" xfId="0" applyNumberFormat="1" applyFont="1" applyFill="1"/>
    <xf numFmtId="0" fontId="47" fillId="14" borderId="0" xfId="0" applyFont="1" applyFill="1"/>
    <xf numFmtId="0" fontId="54" fillId="20" borderId="5" xfId="0" applyFont="1" applyFill="1" applyBorder="1" applyAlignment="1">
      <alignment horizontal="center"/>
    </xf>
    <xf numFmtId="0" fontId="57" fillId="20" borderId="6" xfId="0" applyFont="1" applyFill="1" applyBorder="1" applyAlignment="1">
      <alignment horizontal="center"/>
    </xf>
    <xf numFmtId="0" fontId="57" fillId="20" borderId="5" xfId="0" applyFont="1" applyFill="1" applyBorder="1" applyAlignment="1">
      <alignment horizontal="center"/>
    </xf>
    <xf numFmtId="0" fontId="54" fillId="20" borderId="7" xfId="0" applyFont="1" applyFill="1" applyBorder="1" applyAlignment="1">
      <alignment horizontal="center"/>
    </xf>
    <xf numFmtId="0" fontId="57" fillId="8" borderId="10" xfId="0" applyFont="1" applyFill="1" applyBorder="1"/>
    <xf numFmtId="0" fontId="52" fillId="8" borderId="8" xfId="0" applyFont="1" applyFill="1" applyBorder="1" applyAlignment="1">
      <alignment horizontal="center"/>
    </xf>
    <xf numFmtId="0" fontId="58" fillId="8" borderId="8" xfId="0" applyFont="1" applyFill="1" applyBorder="1" applyAlignment="1">
      <alignment horizontal="center"/>
    </xf>
    <xf numFmtId="0" fontId="48" fillId="8" borderId="12" xfId="0" applyFont="1" applyFill="1" applyBorder="1" applyAlignment="1">
      <alignment horizontal="center"/>
    </xf>
    <xf numFmtId="0" fontId="57" fillId="14" borderId="54" xfId="0" applyFont="1" applyFill="1" applyBorder="1"/>
    <xf numFmtId="0" fontId="48" fillId="14" borderId="35" xfId="0" applyFont="1" applyFill="1" applyBorder="1" applyAlignment="1">
      <alignment horizontal="center"/>
    </xf>
    <xf numFmtId="0" fontId="58" fillId="14" borderId="35" xfId="0" applyFont="1" applyFill="1" applyBorder="1" applyAlignment="1">
      <alignment horizontal="center"/>
    </xf>
    <xf numFmtId="0" fontId="48" fillId="14" borderId="55" xfId="0" applyFont="1" applyFill="1" applyBorder="1" applyAlignment="1">
      <alignment horizontal="center"/>
    </xf>
    <xf numFmtId="0" fontId="57" fillId="8" borderId="54" xfId="0" applyFont="1" applyFill="1" applyBorder="1"/>
    <xf numFmtId="0" fontId="48" fillId="8" borderId="35" xfId="0" applyFont="1" applyFill="1" applyBorder="1" applyAlignment="1">
      <alignment horizontal="center"/>
    </xf>
    <xf numFmtId="0" fontId="58" fillId="8" borderId="35" xfId="0" applyFont="1" applyFill="1" applyBorder="1" applyAlignment="1">
      <alignment horizontal="center"/>
    </xf>
    <xf numFmtId="0" fontId="48" fillId="8" borderId="55" xfId="0" applyFont="1" applyFill="1" applyBorder="1" applyAlignment="1">
      <alignment horizontal="center"/>
    </xf>
    <xf numFmtId="0" fontId="57" fillId="8" borderId="52" xfId="0" applyFont="1" applyFill="1" applyBorder="1"/>
    <xf numFmtId="0" fontId="48" fillId="8" borderId="34" xfId="0" applyFont="1" applyFill="1" applyBorder="1" applyAlignment="1">
      <alignment horizontal="center"/>
    </xf>
    <xf numFmtId="0" fontId="58" fillId="8" borderId="34" xfId="0" applyFont="1" applyFill="1" applyBorder="1" applyAlignment="1">
      <alignment horizontal="center"/>
    </xf>
    <xf numFmtId="0" fontId="48" fillId="8" borderId="53" xfId="0" applyFont="1" applyFill="1" applyBorder="1" applyAlignment="1">
      <alignment horizontal="center"/>
    </xf>
    <xf numFmtId="0" fontId="45" fillId="13" borderId="0" xfId="0" applyFont="1" applyFill="1" applyAlignment="1">
      <alignment horizontal="center" wrapText="1"/>
    </xf>
    <xf numFmtId="0" fontId="54" fillId="20" borderId="10" xfId="0" applyFont="1" applyFill="1" applyBorder="1" applyAlignment="1">
      <alignment horizontal="center"/>
    </xf>
    <xf numFmtId="0" fontId="54" fillId="20" borderId="8" xfId="0" applyFont="1" applyFill="1" applyBorder="1" applyAlignment="1">
      <alignment horizontal="center"/>
    </xf>
    <xf numFmtId="0" fontId="54" fillId="20" borderId="12" xfId="0" applyFont="1" applyFill="1" applyBorder="1" applyAlignment="1">
      <alignment horizontal="center"/>
    </xf>
    <xf numFmtId="0" fontId="54" fillId="20" borderId="0" xfId="0" applyFont="1" applyFill="1" applyAlignment="1">
      <alignment horizontal="center"/>
    </xf>
    <xf numFmtId="0" fontId="57" fillId="14" borderId="4" xfId="0" applyFont="1" applyFill="1" applyBorder="1" applyAlignment="1">
      <alignment horizontal="center"/>
    </xf>
    <xf numFmtId="0" fontId="48" fillId="14" borderId="0" xfId="0" applyFont="1" applyFill="1" applyAlignment="1">
      <alignment horizontal="center"/>
    </xf>
    <xf numFmtId="0" fontId="56" fillId="14" borderId="0" xfId="0" applyFont="1" applyFill="1" applyAlignment="1">
      <alignment horizontal="center"/>
    </xf>
    <xf numFmtId="0" fontId="49" fillId="14" borderId="3" xfId="0" applyFont="1" applyFill="1" applyBorder="1" applyAlignment="1">
      <alignment horizontal="center"/>
    </xf>
    <xf numFmtId="0" fontId="52" fillId="8" borderId="35" xfId="0" applyFont="1" applyFill="1" applyBorder="1" applyAlignment="1">
      <alignment horizontal="center"/>
    </xf>
    <xf numFmtId="0" fontId="50" fillId="3" borderId="11" xfId="0" applyFont="1" applyFill="1" applyBorder="1"/>
    <xf numFmtId="0" fontId="38" fillId="3" borderId="9" xfId="0" applyFont="1" applyFill="1" applyBorder="1" applyAlignment="1">
      <alignment horizontal="center"/>
    </xf>
    <xf numFmtId="0" fontId="34" fillId="0" borderId="9" xfId="0" applyFont="1" applyBorder="1"/>
    <xf numFmtId="0" fontId="34" fillId="0" borderId="1" xfId="0" applyFont="1" applyBorder="1"/>
    <xf numFmtId="0" fontId="59" fillId="0" borderId="0" xfId="0" applyFont="1"/>
    <xf numFmtId="0" fontId="37" fillId="13" borderId="0" xfId="0" applyFont="1" applyFill="1" applyAlignment="1">
      <alignment horizontal="center"/>
    </xf>
    <xf numFmtId="0" fontId="49" fillId="8" borderId="0" xfId="0" applyFont="1" applyFill="1"/>
    <xf numFmtId="0" fontId="56" fillId="14" borderId="33" xfId="0" applyFont="1" applyFill="1" applyBorder="1"/>
    <xf numFmtId="0" fontId="47" fillId="14" borderId="33" xfId="0" applyFont="1" applyFill="1" applyBorder="1"/>
    <xf numFmtId="0" fontId="56" fillId="14" borderId="59" xfId="0" applyFont="1" applyFill="1" applyBorder="1"/>
    <xf numFmtId="0" fontId="47" fillId="14" borderId="59" xfId="0" applyFont="1" applyFill="1" applyBorder="1"/>
    <xf numFmtId="0" fontId="54" fillId="14" borderId="60" xfId="0" applyFont="1" applyFill="1" applyBorder="1"/>
    <xf numFmtId="0" fontId="49" fillId="14" borderId="60" xfId="0" applyFont="1" applyFill="1" applyBorder="1"/>
    <xf numFmtId="0" fontId="49" fillId="14" borderId="60" xfId="0" applyFont="1" applyFill="1" applyBorder="1" applyAlignment="1">
      <alignment horizontal="center"/>
    </xf>
    <xf numFmtId="0" fontId="56" fillId="8" borderId="58" xfId="0" applyFont="1" applyFill="1" applyBorder="1"/>
    <xf numFmtId="0" fontId="49" fillId="8" borderId="58" xfId="0" applyFont="1" applyFill="1" applyBorder="1"/>
    <xf numFmtId="0" fontId="54" fillId="8" borderId="58" xfId="0" applyFont="1" applyFill="1" applyBorder="1"/>
    <xf numFmtId="0" fontId="49" fillId="8" borderId="58" xfId="0" applyFont="1" applyFill="1" applyBorder="1" applyAlignment="1">
      <alignment horizontal="center"/>
    </xf>
    <xf numFmtId="0" fontId="56" fillId="14" borderId="58" xfId="0" applyFont="1" applyFill="1" applyBorder="1"/>
    <xf numFmtId="0" fontId="49" fillId="14" borderId="58" xfId="0" applyFont="1" applyFill="1" applyBorder="1"/>
    <xf numFmtId="0" fontId="54" fillId="14" borderId="58" xfId="0" applyFont="1" applyFill="1" applyBorder="1"/>
    <xf numFmtId="0" fontId="49" fillId="14" borderId="58" xfId="0" applyFont="1" applyFill="1" applyBorder="1" applyAlignment="1">
      <alignment horizontal="center"/>
    </xf>
    <xf numFmtId="0" fontId="47" fillId="14" borderId="58" xfId="0" applyFont="1" applyFill="1" applyBorder="1"/>
    <xf numFmtId="0" fontId="47" fillId="8" borderId="58" xfId="0" applyFont="1" applyFill="1" applyBorder="1"/>
    <xf numFmtId="0" fontId="56" fillId="8" borderId="57" xfId="0" applyFont="1" applyFill="1" applyBorder="1"/>
    <xf numFmtId="0" fontId="49" fillId="8" borderId="57" xfId="0" applyFont="1" applyFill="1" applyBorder="1"/>
    <xf numFmtId="0" fontId="54" fillId="8" borderId="57" xfId="0" applyFont="1" applyFill="1" applyBorder="1"/>
    <xf numFmtId="0" fontId="37" fillId="13" borderId="28" xfId="0" applyFont="1" applyFill="1" applyBorder="1" applyAlignment="1">
      <alignment horizontal="center" wrapText="1"/>
    </xf>
    <xf numFmtId="0" fontId="24" fillId="13" borderId="27" xfId="0" applyFont="1" applyFill="1" applyBorder="1" applyAlignment="1">
      <alignment horizontal="center"/>
    </xf>
    <xf numFmtId="0" fontId="37" fillId="13" borderId="0" xfId="0" applyFont="1" applyFill="1" applyAlignment="1">
      <alignment horizontal="center" wrapText="1"/>
    </xf>
    <xf numFmtId="168" fontId="54" fillId="14" borderId="0" xfId="0" applyNumberFormat="1" applyFont="1" applyFill="1" applyAlignment="1">
      <alignment horizontal="center"/>
    </xf>
    <xf numFmtId="0" fontId="47" fillId="14" borderId="0" xfId="0" applyFont="1" applyFill="1" applyAlignment="1">
      <alignment horizontal="center"/>
    </xf>
    <xf numFmtId="165" fontId="47" fillId="14" borderId="0" xfId="0" applyNumberFormat="1" applyFont="1" applyFill="1" applyAlignment="1">
      <alignment horizontal="center"/>
    </xf>
    <xf numFmtId="165" fontId="60" fillId="14" borderId="0" xfId="0" applyNumberFormat="1" applyFont="1" applyFill="1" applyAlignment="1">
      <alignment horizontal="center"/>
    </xf>
    <xf numFmtId="0" fontId="60" fillId="14" borderId="0" xfId="0" applyFont="1" applyFill="1" applyAlignment="1">
      <alignment horizontal="center"/>
    </xf>
    <xf numFmtId="0" fontId="54" fillId="14" borderId="61" xfId="0" applyFont="1" applyFill="1" applyBorder="1" applyAlignment="1">
      <alignment horizontal="center"/>
    </xf>
    <xf numFmtId="165" fontId="47" fillId="14" borderId="61" xfId="0" applyNumberFormat="1" applyFont="1" applyFill="1" applyBorder="1" applyAlignment="1">
      <alignment horizontal="center"/>
    </xf>
    <xf numFmtId="168" fontId="54" fillId="8" borderId="35" xfId="0" applyNumberFormat="1" applyFont="1" applyFill="1" applyBorder="1" applyAlignment="1">
      <alignment horizontal="center"/>
    </xf>
    <xf numFmtId="0" fontId="56" fillId="8" borderId="35" xfId="0" applyFont="1" applyFill="1" applyBorder="1" applyAlignment="1">
      <alignment horizontal="center"/>
    </xf>
    <xf numFmtId="0" fontId="47" fillId="8" borderId="35" xfId="0" applyFont="1" applyFill="1" applyBorder="1" applyAlignment="1">
      <alignment horizontal="center"/>
    </xf>
    <xf numFmtId="165" fontId="47" fillId="8" borderId="35" xfId="0" applyNumberFormat="1" applyFont="1" applyFill="1" applyBorder="1" applyAlignment="1">
      <alignment horizontal="center"/>
    </xf>
    <xf numFmtId="165" fontId="60" fillId="8" borderId="35" xfId="0" applyNumberFormat="1" applyFont="1" applyFill="1" applyBorder="1" applyAlignment="1">
      <alignment horizontal="center"/>
    </xf>
    <xf numFmtId="0" fontId="60" fillId="8" borderId="35" xfId="0" applyFont="1" applyFill="1" applyBorder="1" applyAlignment="1">
      <alignment horizontal="center"/>
    </xf>
    <xf numFmtId="0" fontId="54" fillId="8" borderId="35" xfId="0" applyFont="1" applyFill="1" applyBorder="1" applyAlignment="1">
      <alignment horizontal="center"/>
    </xf>
    <xf numFmtId="168" fontId="54" fillId="14" borderId="35" xfId="0" applyNumberFormat="1" applyFont="1" applyFill="1" applyBorder="1" applyAlignment="1">
      <alignment horizontal="center"/>
    </xf>
    <xf numFmtId="0" fontId="56" fillId="14" borderId="35" xfId="0" applyFont="1" applyFill="1" applyBorder="1" applyAlignment="1">
      <alignment horizontal="center"/>
    </xf>
    <xf numFmtId="0" fontId="47" fillId="14" borderId="35" xfId="0" applyFont="1" applyFill="1" applyBorder="1" applyAlignment="1">
      <alignment horizontal="center"/>
    </xf>
    <xf numFmtId="165" fontId="47" fillId="14" borderId="35" xfId="0" applyNumberFormat="1" applyFont="1" applyFill="1" applyBorder="1" applyAlignment="1">
      <alignment horizontal="center"/>
    </xf>
    <xf numFmtId="165" fontId="60" fillId="14" borderId="35" xfId="0" applyNumberFormat="1" applyFont="1" applyFill="1" applyBorder="1" applyAlignment="1">
      <alignment horizontal="center"/>
    </xf>
    <xf numFmtId="0" fontId="60" fillId="14" borderId="35" xfId="0" applyFont="1" applyFill="1" applyBorder="1" applyAlignment="1">
      <alignment horizontal="center"/>
    </xf>
    <xf numFmtId="0" fontId="54" fillId="14" borderId="35" xfId="0" applyFont="1" applyFill="1" applyBorder="1" applyAlignment="1">
      <alignment horizontal="center"/>
    </xf>
    <xf numFmtId="0" fontId="49" fillId="8" borderId="35" xfId="0" applyFont="1" applyFill="1" applyBorder="1" applyAlignment="1">
      <alignment horizontal="center"/>
    </xf>
    <xf numFmtId="165" fontId="49" fillId="8" borderId="35" xfId="0" applyNumberFormat="1" applyFont="1" applyFill="1" applyBorder="1" applyAlignment="1">
      <alignment horizontal="center"/>
    </xf>
    <xf numFmtId="0" fontId="49" fillId="14" borderId="35" xfId="0" applyFont="1" applyFill="1" applyBorder="1" applyAlignment="1">
      <alignment horizontal="center"/>
    </xf>
    <xf numFmtId="165" fontId="49" fillId="14" borderId="35" xfId="0" applyNumberFormat="1" applyFont="1" applyFill="1" applyBorder="1" applyAlignment="1">
      <alignment horizontal="center"/>
    </xf>
    <xf numFmtId="168" fontId="54" fillId="8" borderId="34" xfId="0" applyNumberFormat="1" applyFont="1" applyFill="1" applyBorder="1" applyAlignment="1">
      <alignment horizontal="center"/>
    </xf>
    <xf numFmtId="0" fontId="56" fillId="8" borderId="34" xfId="0" applyFont="1" applyFill="1" applyBorder="1" applyAlignment="1">
      <alignment horizontal="center"/>
    </xf>
    <xf numFmtId="0" fontId="49" fillId="8" borderId="34" xfId="0" applyFont="1" applyFill="1" applyBorder="1" applyAlignment="1">
      <alignment horizontal="center"/>
    </xf>
    <xf numFmtId="165" fontId="49" fillId="8" borderId="34" xfId="0" applyNumberFormat="1" applyFont="1" applyFill="1" applyBorder="1" applyAlignment="1">
      <alignment horizontal="center"/>
    </xf>
    <xf numFmtId="165" fontId="60" fillId="8" borderId="34" xfId="0" applyNumberFormat="1" applyFont="1" applyFill="1" applyBorder="1" applyAlignment="1">
      <alignment horizontal="center"/>
    </xf>
    <xf numFmtId="0" fontId="60" fillId="8" borderId="34" xfId="0" applyFont="1" applyFill="1" applyBorder="1" applyAlignment="1">
      <alignment horizontal="center"/>
    </xf>
    <xf numFmtId="168" fontId="38" fillId="8" borderId="0" xfId="0" applyNumberFormat="1" applyFont="1" applyFill="1" applyAlignment="1">
      <alignment horizontal="center"/>
    </xf>
    <xf numFmtId="165" fontId="34" fillId="0" borderId="0" xfId="0" applyNumberFormat="1" applyFont="1" applyAlignment="1">
      <alignment horizontal="center"/>
    </xf>
    <xf numFmtId="0" fontId="38" fillId="0" borderId="0" xfId="0" applyFont="1" applyAlignment="1">
      <alignment horizontal="center"/>
    </xf>
    <xf numFmtId="168" fontId="34" fillId="0" borderId="0" xfId="0" applyNumberFormat="1" applyFont="1"/>
    <xf numFmtId="165" fontId="34" fillId="0" borderId="0" xfId="0" applyNumberFormat="1" applyFont="1"/>
    <xf numFmtId="0" fontId="33" fillId="13" borderId="24" xfId="0" applyFont="1" applyFill="1" applyBorder="1" applyAlignment="1">
      <alignment horizontal="left"/>
    </xf>
    <xf numFmtId="0" fontId="33" fillId="13" borderId="24" xfId="0" applyFont="1" applyFill="1" applyBorder="1"/>
    <xf numFmtId="0" fontId="33" fillId="13" borderId="28" xfId="0" applyFont="1" applyFill="1" applyBorder="1"/>
    <xf numFmtId="0" fontId="45" fillId="13" borderId="62" xfId="0" applyFont="1" applyFill="1" applyBorder="1" applyAlignment="1">
      <alignment horizontal="center"/>
    </xf>
    <xf numFmtId="0" fontId="38" fillId="6" borderId="0" xfId="0" applyFont="1" applyFill="1" applyAlignment="1">
      <alignment horizontal="center"/>
    </xf>
    <xf numFmtId="0" fontId="35" fillId="14" borderId="62" xfId="0" applyFont="1" applyFill="1" applyBorder="1"/>
    <xf numFmtId="0" fontId="34" fillId="14" borderId="62" xfId="0" applyFont="1" applyFill="1" applyBorder="1" applyAlignment="1">
      <alignment horizontal="center"/>
    </xf>
    <xf numFmtId="0" fontId="35" fillId="8" borderId="64" xfId="0" applyFont="1" applyFill="1" applyBorder="1"/>
    <xf numFmtId="0" fontId="34" fillId="8" borderId="64" xfId="0" applyFont="1" applyFill="1" applyBorder="1" applyAlignment="1">
      <alignment horizontal="center"/>
    </xf>
    <xf numFmtId="0" fontId="35" fillId="14" borderId="64" xfId="0" applyFont="1" applyFill="1" applyBorder="1" applyAlignment="1">
      <alignment horizontal="left"/>
    </xf>
    <xf numFmtId="0" fontId="34" fillId="14" borderId="64" xfId="0" applyFont="1" applyFill="1" applyBorder="1" applyAlignment="1">
      <alignment horizontal="center"/>
    </xf>
    <xf numFmtId="0" fontId="34" fillId="8" borderId="0" xfId="0" applyFont="1" applyFill="1" applyAlignment="1">
      <alignment horizontal="center"/>
    </xf>
    <xf numFmtId="0" fontId="35" fillId="8" borderId="64" xfId="0" applyFont="1" applyFill="1" applyBorder="1" applyAlignment="1">
      <alignment horizontal="left"/>
    </xf>
    <xf numFmtId="0" fontId="34" fillId="9" borderId="0" xfId="0" applyFont="1" applyFill="1" applyAlignment="1">
      <alignment horizontal="center"/>
    </xf>
    <xf numFmtId="0" fontId="61" fillId="14" borderId="64" xfId="0" applyFont="1" applyFill="1" applyBorder="1" applyAlignment="1">
      <alignment horizontal="left"/>
    </xf>
    <xf numFmtId="0" fontId="35" fillId="20" borderId="63" xfId="0" applyFont="1" applyFill="1" applyBorder="1" applyAlignment="1">
      <alignment horizontal="left"/>
    </xf>
    <xf numFmtId="0" fontId="35" fillId="20" borderId="63" xfId="0" applyFont="1" applyFill="1" applyBorder="1" applyAlignment="1">
      <alignment horizontal="center"/>
    </xf>
    <xf numFmtId="0" fontId="38" fillId="4" borderId="0" xfId="0" applyFont="1" applyFill="1" applyAlignment="1">
      <alignment horizontal="center"/>
    </xf>
    <xf numFmtId="0" fontId="59" fillId="8" borderId="0" xfId="0" applyFont="1" applyFill="1"/>
    <xf numFmtId="0" fontId="33" fillId="13" borderId="0" xfId="0" applyFont="1" applyFill="1" applyAlignment="1">
      <alignment horizontal="left"/>
    </xf>
    <xf numFmtId="0" fontId="45" fillId="13" borderId="33" xfId="0" applyFont="1" applyFill="1" applyBorder="1" applyAlignment="1">
      <alignment horizontal="center"/>
    </xf>
    <xf numFmtId="168" fontId="35" fillId="8" borderId="65" xfId="0" applyNumberFormat="1" applyFont="1" applyFill="1" applyBorder="1" applyAlignment="1">
      <alignment horizontal="center"/>
    </xf>
    <xf numFmtId="0" fontId="36" fillId="8" borderId="33" xfId="0" applyFont="1" applyFill="1" applyBorder="1" applyAlignment="1">
      <alignment horizontal="center"/>
    </xf>
    <xf numFmtId="168" fontId="35" fillId="14" borderId="67" xfId="0" applyNumberFormat="1" applyFont="1" applyFill="1" applyBorder="1" applyAlignment="1">
      <alignment horizontal="center"/>
    </xf>
    <xf numFmtId="0" fontId="36" fillId="14" borderId="35" xfId="0" applyFont="1" applyFill="1" applyBorder="1" applyAlignment="1">
      <alignment horizontal="center"/>
    </xf>
    <xf numFmtId="168" fontId="35" fillId="8" borderId="67" xfId="0" applyNumberFormat="1" applyFont="1" applyFill="1" applyBorder="1" applyAlignment="1">
      <alignment horizontal="center"/>
    </xf>
    <xf numFmtId="0" fontId="36" fillId="8" borderId="35" xfId="0" applyFont="1" applyFill="1" applyBorder="1" applyAlignment="1">
      <alignment horizontal="center"/>
    </xf>
    <xf numFmtId="168" fontId="35" fillId="14" borderId="66" xfId="0" applyNumberFormat="1" applyFont="1" applyFill="1" applyBorder="1" applyAlignment="1">
      <alignment horizontal="center"/>
    </xf>
    <xf numFmtId="0" fontId="36" fillId="14" borderId="34" xfId="0" applyFont="1" applyFill="1" applyBorder="1" applyAlignment="1">
      <alignment horizontal="center"/>
    </xf>
    <xf numFmtId="168" fontId="34" fillId="8" borderId="13" xfId="0" applyNumberFormat="1" applyFont="1" applyFill="1" applyBorder="1" applyAlignment="1">
      <alignment horizontal="center"/>
    </xf>
    <xf numFmtId="168" fontId="34" fillId="9" borderId="14" xfId="0" applyNumberFormat="1" applyFont="1" applyFill="1" applyBorder="1" applyAlignment="1">
      <alignment horizontal="center"/>
    </xf>
    <xf numFmtId="168" fontId="34" fillId="8" borderId="14" xfId="0" applyNumberFormat="1" applyFont="1" applyFill="1" applyBorder="1" applyAlignment="1">
      <alignment horizontal="center"/>
    </xf>
    <xf numFmtId="0" fontId="59" fillId="13" borderId="0" xfId="0" applyFont="1" applyFill="1"/>
    <xf numFmtId="0" fontId="23" fillId="13" borderId="0" xfId="0" applyFont="1" applyFill="1"/>
    <xf numFmtId="0" fontId="62" fillId="12" borderId="0" xfId="0" applyFont="1" applyFill="1"/>
    <xf numFmtId="0" fontId="63" fillId="13" borderId="0" xfId="0" applyFont="1" applyFill="1"/>
    <xf numFmtId="0" fontId="62" fillId="13" borderId="0" xfId="0" applyFont="1" applyFill="1"/>
    <xf numFmtId="0" fontId="63" fillId="12" borderId="0" xfId="0" applyFont="1" applyFill="1"/>
    <xf numFmtId="0" fontId="63" fillId="12" borderId="0" xfId="0" applyFont="1" applyFill="1" applyAlignment="1">
      <alignment horizontal="center"/>
    </xf>
    <xf numFmtId="0" fontId="5" fillId="11" borderId="0" xfId="0" applyFont="1" applyFill="1"/>
    <xf numFmtId="0" fontId="5" fillId="11" borderId="25" xfId="0" applyFont="1" applyFill="1" applyBorder="1"/>
    <xf numFmtId="0" fontId="5" fillId="11" borderId="89" xfId="0" applyFont="1" applyFill="1" applyBorder="1"/>
    <xf numFmtId="0" fontId="5" fillId="11" borderId="91" xfId="0" applyFont="1" applyFill="1" applyBorder="1"/>
    <xf numFmtId="0" fontId="23" fillId="12" borderId="72" xfId="0" applyFont="1" applyFill="1" applyBorder="1" applyAlignment="1">
      <alignment horizontal="left"/>
    </xf>
    <xf numFmtId="0" fontId="23" fillId="12" borderId="0" xfId="0" applyFont="1" applyFill="1" applyAlignment="1">
      <alignment horizontal="center"/>
    </xf>
    <xf numFmtId="0" fontId="23" fillId="12" borderId="0" xfId="0" applyFont="1" applyFill="1" applyAlignment="1">
      <alignment horizontal="left"/>
    </xf>
    <xf numFmtId="0" fontId="5" fillId="13" borderId="72" xfId="0" applyFont="1" applyFill="1" applyBorder="1"/>
    <xf numFmtId="0" fontId="24" fillId="13" borderId="0" xfId="0" applyFont="1" applyFill="1" applyAlignment="1">
      <alignment horizontal="center"/>
    </xf>
    <xf numFmtId="9" fontId="5" fillId="13" borderId="0" xfId="0" applyNumberFormat="1" applyFont="1" applyFill="1" applyAlignment="1">
      <alignment horizontal="center"/>
    </xf>
    <xf numFmtId="0" fontId="11" fillId="13" borderId="0" xfId="0" applyFont="1" applyFill="1" applyAlignment="1">
      <alignment horizontal="center"/>
    </xf>
    <xf numFmtId="17" fontId="5" fillId="13" borderId="0" xfId="0" applyNumberFormat="1" applyFont="1" applyFill="1"/>
    <xf numFmtId="0" fontId="14" fillId="13" borderId="0" xfId="0" applyFont="1" applyFill="1" applyAlignment="1">
      <alignment horizontal="center"/>
    </xf>
    <xf numFmtId="3" fontId="5" fillId="13" borderId="0" xfId="0" applyNumberFormat="1" applyFont="1" applyFill="1" applyAlignment="1">
      <alignment horizontal="center"/>
    </xf>
    <xf numFmtId="10" fontId="5" fillId="13" borderId="0" xfId="0" applyNumberFormat="1" applyFont="1" applyFill="1" applyAlignment="1">
      <alignment horizontal="center"/>
    </xf>
    <xf numFmtId="0" fontId="5" fillId="13" borderId="0" xfId="0" applyFont="1" applyFill="1"/>
    <xf numFmtId="3" fontId="27" fillId="13" borderId="0" xfId="0" applyNumberFormat="1" applyFont="1" applyFill="1" applyAlignment="1">
      <alignment horizontal="center"/>
    </xf>
    <xf numFmtId="167" fontId="5" fillId="13" borderId="0" xfId="0" applyNumberFormat="1" applyFont="1" applyFill="1" applyAlignment="1">
      <alignment horizontal="center"/>
    </xf>
    <xf numFmtId="0" fontId="5" fillId="12" borderId="72" xfId="0" applyFont="1" applyFill="1" applyBorder="1"/>
    <xf numFmtId="0" fontId="25" fillId="12" borderId="0" xfId="0" applyFont="1" applyFill="1" applyAlignment="1">
      <alignment horizontal="center"/>
    </xf>
    <xf numFmtId="9" fontId="5" fillId="12" borderId="0" xfId="0" applyNumberFormat="1" applyFont="1" applyFill="1" applyAlignment="1">
      <alignment horizontal="center"/>
    </xf>
    <xf numFmtId="0" fontId="16" fillId="12" borderId="0" xfId="0" applyFont="1" applyFill="1" applyAlignment="1">
      <alignment horizontal="center"/>
    </xf>
    <xf numFmtId="17" fontId="5" fillId="12" borderId="0" xfId="0" applyNumberFormat="1" applyFont="1" applyFill="1"/>
    <xf numFmtId="3" fontId="5" fillId="12" borderId="0" xfId="0" applyNumberFormat="1" applyFont="1" applyFill="1" applyAlignment="1">
      <alignment horizontal="center"/>
    </xf>
    <xf numFmtId="10" fontId="5" fillId="12" borderId="0" xfId="0" applyNumberFormat="1" applyFont="1" applyFill="1" applyAlignment="1">
      <alignment horizontal="center"/>
    </xf>
    <xf numFmtId="0" fontId="5" fillId="12" borderId="0" xfId="0" applyFont="1" applyFill="1"/>
    <xf numFmtId="3" fontId="28" fillId="12" borderId="0" xfId="0" applyNumberFormat="1" applyFont="1" applyFill="1" applyAlignment="1">
      <alignment horizontal="center"/>
    </xf>
    <xf numFmtId="167" fontId="5" fillId="12" borderId="0" xfId="0" applyNumberFormat="1" applyFont="1" applyFill="1" applyAlignment="1">
      <alignment horizontal="center"/>
    </xf>
    <xf numFmtId="0" fontId="25" fillId="13" borderId="0" xfId="0" applyFont="1" applyFill="1" applyAlignment="1">
      <alignment horizontal="center"/>
    </xf>
    <xf numFmtId="0" fontId="16" fillId="13" borderId="0" xfId="0" applyFont="1" applyFill="1" applyAlignment="1">
      <alignment horizontal="center"/>
    </xf>
    <xf numFmtId="3" fontId="26" fillId="13" borderId="0" xfId="0" applyNumberFormat="1" applyFont="1" applyFill="1" applyAlignment="1">
      <alignment horizontal="center"/>
    </xf>
    <xf numFmtId="0" fontId="26" fillId="12" borderId="0" xfId="0" applyFont="1" applyFill="1" applyAlignment="1">
      <alignment horizontal="center"/>
    </xf>
    <xf numFmtId="0" fontId="14" fillId="12" borderId="0" xfId="0" applyFont="1" applyFill="1" applyAlignment="1">
      <alignment horizontal="center"/>
    </xf>
    <xf numFmtId="3" fontId="25" fillId="12" borderId="0" xfId="0" applyNumberFormat="1" applyFont="1" applyFill="1" applyAlignment="1">
      <alignment horizontal="center"/>
    </xf>
    <xf numFmtId="0" fontId="26" fillId="13" borderId="0" xfId="0" applyFont="1" applyFill="1" applyAlignment="1">
      <alignment horizontal="center"/>
    </xf>
    <xf numFmtId="3" fontId="24" fillId="13" borderId="0" xfId="0" applyNumberFormat="1" applyFont="1" applyFill="1" applyAlignment="1">
      <alignment horizontal="center"/>
    </xf>
    <xf numFmtId="0" fontId="24" fillId="12" borderId="0" xfId="0" applyFont="1" applyFill="1" applyAlignment="1">
      <alignment horizontal="center"/>
    </xf>
    <xf numFmtId="10" fontId="24" fillId="12" borderId="0" xfId="0" applyNumberFormat="1" applyFont="1" applyFill="1" applyAlignment="1">
      <alignment horizontal="center"/>
    </xf>
    <xf numFmtId="0" fontId="27" fillId="13" borderId="0" xfId="0" applyFont="1" applyFill="1"/>
    <xf numFmtId="9" fontId="27" fillId="13" borderId="0" xfId="0" applyNumberFormat="1" applyFont="1" applyFill="1" applyAlignment="1">
      <alignment horizontal="center"/>
    </xf>
    <xf numFmtId="0" fontId="27" fillId="13" borderId="72" xfId="0" applyFont="1" applyFill="1" applyBorder="1"/>
    <xf numFmtId="0" fontId="27" fillId="13" borderId="0" xfId="0" applyFont="1" applyFill="1" applyAlignment="1">
      <alignment horizontal="center"/>
    </xf>
    <xf numFmtId="0" fontId="5" fillId="11" borderId="90" xfId="0" applyFont="1" applyFill="1" applyBorder="1"/>
    <xf numFmtId="17" fontId="5" fillId="12" borderId="72" xfId="0" applyNumberFormat="1" applyFont="1" applyFill="1" applyBorder="1"/>
    <xf numFmtId="17" fontId="5" fillId="13" borderId="72" xfId="0" applyNumberFormat="1" applyFont="1" applyFill="1" applyBorder="1"/>
    <xf numFmtId="0" fontId="30" fillId="13" borderId="0" xfId="0" applyFont="1" applyFill="1" applyAlignment="1">
      <alignment horizontal="center"/>
    </xf>
    <xf numFmtId="16" fontId="5" fillId="13" borderId="0" xfId="0" applyNumberFormat="1" applyFont="1" applyFill="1"/>
    <xf numFmtId="172" fontId="8" fillId="13" borderId="0" xfId="0" applyNumberFormat="1" applyFont="1" applyFill="1" applyAlignment="1">
      <alignment horizontal="center"/>
    </xf>
    <xf numFmtId="172" fontId="16" fillId="13" borderId="0" xfId="0" applyNumberFormat="1" applyFont="1" applyFill="1" applyAlignment="1">
      <alignment horizontal="center"/>
    </xf>
    <xf numFmtId="172" fontId="11" fillId="13" borderId="0" xfId="0" applyNumberFormat="1" applyFont="1" applyFill="1" applyAlignment="1">
      <alignment horizontal="center"/>
    </xf>
    <xf numFmtId="3" fontId="8" fillId="13" borderId="0" xfId="0" applyNumberFormat="1" applyFont="1" applyFill="1" applyAlignment="1">
      <alignment horizontal="center"/>
    </xf>
    <xf numFmtId="0" fontId="31" fillId="12" borderId="0" xfId="0" applyFont="1" applyFill="1" applyAlignment="1">
      <alignment horizontal="center"/>
    </xf>
    <xf numFmtId="16" fontId="5" fillId="12" borderId="0" xfId="0" applyNumberFormat="1" applyFont="1" applyFill="1"/>
    <xf numFmtId="172" fontId="8" fillId="12" borderId="0" xfId="0" applyNumberFormat="1" applyFont="1" applyFill="1" applyAlignment="1">
      <alignment horizontal="center"/>
    </xf>
    <xf numFmtId="172" fontId="16" fillId="12" borderId="0" xfId="0" applyNumberFormat="1" applyFont="1" applyFill="1" applyAlignment="1">
      <alignment horizontal="center"/>
    </xf>
    <xf numFmtId="172" fontId="11" fillId="12" borderId="0" xfId="0" applyNumberFormat="1" applyFont="1" applyFill="1" applyAlignment="1">
      <alignment horizontal="center"/>
    </xf>
    <xf numFmtId="3" fontId="8" fillId="12" borderId="0" xfId="0" applyNumberFormat="1" applyFont="1" applyFill="1" applyAlignment="1">
      <alignment horizontal="center"/>
    </xf>
    <xf numFmtId="3" fontId="11" fillId="12" borderId="0" xfId="0" applyNumberFormat="1" applyFont="1" applyFill="1" applyAlignment="1">
      <alignment horizontal="center"/>
    </xf>
    <xf numFmtId="0" fontId="31" fillId="13" borderId="0" xfId="0" applyFont="1" applyFill="1" applyAlignment="1">
      <alignment horizontal="center"/>
    </xf>
    <xf numFmtId="3" fontId="11" fillId="13" borderId="0" xfId="0" applyNumberFormat="1" applyFont="1" applyFill="1" applyAlignment="1">
      <alignment horizontal="center"/>
    </xf>
    <xf numFmtId="0" fontId="32" fillId="13" borderId="0" xfId="0" applyFont="1" applyFill="1" applyAlignment="1">
      <alignment horizontal="center"/>
    </xf>
    <xf numFmtId="0" fontId="32" fillId="12" borderId="0" xfId="0" applyFont="1" applyFill="1" applyAlignment="1">
      <alignment horizontal="center"/>
    </xf>
    <xf numFmtId="172" fontId="24" fillId="12" borderId="0" xfId="0" applyNumberFormat="1" applyFont="1" applyFill="1" applyAlignment="1">
      <alignment horizontal="center"/>
    </xf>
    <xf numFmtId="0" fontId="27" fillId="12" borderId="0" xfId="0" applyFont="1" applyFill="1"/>
    <xf numFmtId="3" fontId="27" fillId="12" borderId="0" xfId="0" applyNumberFormat="1" applyFont="1" applyFill="1" applyAlignment="1">
      <alignment horizontal="center"/>
    </xf>
    <xf numFmtId="3" fontId="26" fillId="12" borderId="0" xfId="0" applyNumberFormat="1" applyFont="1" applyFill="1" applyAlignment="1">
      <alignment horizontal="center"/>
    </xf>
    <xf numFmtId="0" fontId="27" fillId="12" borderId="72" xfId="0" applyFont="1" applyFill="1" applyBorder="1"/>
    <xf numFmtId="0" fontId="27" fillId="12" borderId="0" xfId="0" applyFont="1" applyFill="1" applyAlignment="1">
      <alignment horizontal="center"/>
    </xf>
    <xf numFmtId="9" fontId="27" fillId="12" borderId="0" xfId="0" applyNumberFormat="1" applyFont="1" applyFill="1" applyAlignment="1">
      <alignment horizontal="center"/>
    </xf>
    <xf numFmtId="16" fontId="5" fillId="13" borderId="72" xfId="0" applyNumberFormat="1" applyFont="1" applyFill="1" applyBorder="1"/>
    <xf numFmtId="16" fontId="5" fillId="12" borderId="72" xfId="0" applyNumberFormat="1" applyFont="1" applyFill="1" applyBorder="1"/>
    <xf numFmtId="0" fontId="24" fillId="15" borderId="87" xfId="0" applyFont="1" applyFill="1" applyBorder="1" applyAlignment="1">
      <alignment horizontal="left"/>
    </xf>
    <xf numFmtId="0" fontId="11" fillId="15" borderId="0" xfId="0" applyFont="1" applyFill="1" applyAlignment="1">
      <alignment horizontal="center"/>
    </xf>
    <xf numFmtId="0" fontId="24" fillId="15" borderId="0" xfId="0" applyFont="1" applyFill="1" applyAlignment="1">
      <alignment horizontal="right"/>
    </xf>
    <xf numFmtId="165" fontId="5" fillId="13" borderId="0" xfId="0" applyNumberFormat="1" applyFont="1" applyFill="1" applyAlignment="1">
      <alignment horizontal="center"/>
    </xf>
    <xf numFmtId="0" fontId="39" fillId="13" borderId="0" xfId="0" applyFont="1" applyFill="1" applyAlignment="1">
      <alignment horizontal="center"/>
    </xf>
    <xf numFmtId="0" fontId="22" fillId="15" borderId="72" xfId="0" applyFont="1" applyFill="1" applyBorder="1"/>
    <xf numFmtId="0" fontId="29" fillId="15" borderId="0" xfId="0" applyFont="1" applyFill="1" applyAlignment="1">
      <alignment horizontal="right"/>
    </xf>
    <xf numFmtId="165" fontId="5" fillId="12" borderId="0" xfId="0" applyNumberFormat="1" applyFont="1" applyFill="1" applyAlignment="1">
      <alignment horizontal="center"/>
    </xf>
    <xf numFmtId="0" fontId="40" fillId="12" borderId="0" xfId="0" applyFont="1" applyFill="1" applyAlignment="1">
      <alignment horizontal="center"/>
    </xf>
    <xf numFmtId="0" fontId="5" fillId="11" borderId="72" xfId="0" applyFont="1" applyFill="1" applyBorder="1"/>
    <xf numFmtId="0" fontId="40" fillId="13" borderId="0" xfId="0" applyFont="1" applyFill="1" applyAlignment="1">
      <alignment horizontal="center"/>
    </xf>
    <xf numFmtId="0" fontId="26" fillId="16" borderId="72" xfId="0" applyFont="1" applyFill="1" applyBorder="1" applyAlignment="1">
      <alignment horizontal="left"/>
    </xf>
    <xf numFmtId="0" fontId="14" fillId="16" borderId="0" xfId="0" applyFont="1" applyFill="1" applyAlignment="1">
      <alignment horizontal="center"/>
    </xf>
    <xf numFmtId="0" fontId="26" fillId="16" borderId="0" xfId="0" applyFont="1" applyFill="1" applyAlignment="1">
      <alignment horizontal="right"/>
    </xf>
    <xf numFmtId="0" fontId="39" fillId="12" borderId="0" xfId="0" applyFont="1" applyFill="1" applyAlignment="1">
      <alignment horizontal="center"/>
    </xf>
    <xf numFmtId="0" fontId="22" fillId="16" borderId="72" xfId="0" applyFont="1" applyFill="1" applyBorder="1"/>
    <xf numFmtId="0" fontId="32" fillId="16" borderId="0" xfId="0" applyFont="1" applyFill="1" applyAlignment="1">
      <alignment horizontal="right"/>
    </xf>
    <xf numFmtId="0" fontId="25" fillId="17" borderId="72" xfId="0" applyFont="1" applyFill="1" applyBorder="1" applyAlignment="1">
      <alignment horizontal="left"/>
    </xf>
    <xf numFmtId="0" fontId="16" fillId="17" borderId="0" xfId="0" applyFont="1" applyFill="1" applyAlignment="1">
      <alignment horizontal="center"/>
    </xf>
    <xf numFmtId="0" fontId="25" fillId="17" borderId="0" xfId="0" applyFont="1" applyFill="1" applyAlignment="1">
      <alignment horizontal="right"/>
    </xf>
    <xf numFmtId="0" fontId="22" fillId="17" borderId="72" xfId="0" applyFont="1" applyFill="1" applyBorder="1"/>
    <xf numFmtId="0" fontId="31" fillId="17" borderId="0" xfId="0" applyFont="1" applyFill="1" applyAlignment="1">
      <alignment horizontal="right"/>
    </xf>
    <xf numFmtId="0" fontId="41" fillId="11" borderId="72" xfId="0" applyFont="1" applyFill="1" applyBorder="1" applyAlignment="1">
      <alignment horizontal="left"/>
    </xf>
    <xf numFmtId="0" fontId="28" fillId="18" borderId="72" xfId="0" applyFont="1" applyFill="1" applyBorder="1" applyAlignment="1">
      <alignment horizontal="left"/>
    </xf>
    <xf numFmtId="0" fontId="18" fillId="18" borderId="0" xfId="0" applyFont="1" applyFill="1" applyAlignment="1">
      <alignment horizontal="center"/>
    </xf>
    <xf numFmtId="0" fontId="26" fillId="18" borderId="0" xfId="0" applyFont="1" applyFill="1" applyAlignment="1">
      <alignment horizontal="right"/>
    </xf>
    <xf numFmtId="0" fontId="22" fillId="18" borderId="72" xfId="0" applyFont="1" applyFill="1" applyBorder="1"/>
    <xf numFmtId="0" fontId="32" fillId="18" borderId="0" xfId="0" applyFont="1" applyFill="1" applyAlignment="1">
      <alignment horizontal="right"/>
    </xf>
    <xf numFmtId="0" fontId="27" fillId="19" borderId="72" xfId="0" applyFont="1" applyFill="1" applyBorder="1" applyAlignment="1">
      <alignment horizontal="left"/>
    </xf>
    <xf numFmtId="0" fontId="8" fillId="19" borderId="0" xfId="0" applyFont="1" applyFill="1" applyAlignment="1">
      <alignment horizontal="center"/>
    </xf>
    <xf numFmtId="0" fontId="26" fillId="19" borderId="0" xfId="0" applyFont="1" applyFill="1" applyAlignment="1">
      <alignment horizontal="right"/>
    </xf>
    <xf numFmtId="0" fontId="5" fillId="11" borderId="37" xfId="0" applyFont="1" applyFill="1" applyBorder="1"/>
    <xf numFmtId="0" fontId="36" fillId="21" borderId="97" xfId="0" applyFont="1" applyFill="1" applyBorder="1" applyAlignment="1" applyProtection="1">
      <alignment horizontal="center"/>
      <protection locked="0"/>
    </xf>
    <xf numFmtId="171" fontId="36" fillId="21" borderId="95" xfId="0" applyNumberFormat="1" applyFont="1" applyFill="1" applyBorder="1" applyAlignment="1" applyProtection="1">
      <alignment horizontal="center"/>
      <protection locked="0"/>
    </xf>
    <xf numFmtId="0" fontId="36" fillId="21" borderId="95" xfId="0" applyFont="1" applyFill="1" applyBorder="1" applyAlignment="1" applyProtection="1">
      <alignment horizontal="center"/>
      <protection locked="0"/>
    </xf>
    <xf numFmtId="49" fontId="33" fillId="22" borderId="99" xfId="0" applyNumberFormat="1" applyFont="1" applyFill="1" applyBorder="1" applyAlignment="1">
      <alignment horizontal="center" vertical="center"/>
    </xf>
    <xf numFmtId="169" fontId="33" fillId="22" borderId="99" xfId="0" applyNumberFormat="1" applyFont="1" applyFill="1" applyBorder="1" applyAlignment="1">
      <alignment horizontal="center" vertical="center"/>
    </xf>
    <xf numFmtId="49" fontId="33" fillId="22" borderId="32" xfId="0" applyNumberFormat="1" applyFont="1" applyFill="1" applyBorder="1" applyAlignment="1">
      <alignment horizontal="center" vertical="center"/>
    </xf>
    <xf numFmtId="0" fontId="33" fillId="23" borderId="27" xfId="0" applyFont="1" applyFill="1" applyBorder="1" applyAlignment="1">
      <alignment horizontal="center" vertical="center"/>
    </xf>
    <xf numFmtId="0" fontId="33" fillId="22" borderId="32" xfId="0" applyFont="1" applyFill="1" applyBorder="1" applyAlignment="1">
      <alignment horizontal="center" vertical="center"/>
    </xf>
    <xf numFmtId="0" fontId="55" fillId="14" borderId="0" xfId="0" applyFont="1" applyFill="1" applyAlignment="1">
      <alignment horizontal="center"/>
    </xf>
    <xf numFmtId="0" fontId="55" fillId="8" borderId="0" xfId="0" applyFont="1" applyFill="1" applyAlignment="1">
      <alignment horizontal="center"/>
    </xf>
    <xf numFmtId="0" fontId="36" fillId="14" borderId="0" xfId="0" applyFont="1" applyFill="1" applyAlignment="1">
      <alignment horizontal="center" vertical="center" wrapText="1"/>
    </xf>
    <xf numFmtId="0" fontId="33" fillId="23" borderId="26" xfId="0" applyFont="1" applyFill="1" applyBorder="1" applyAlignment="1">
      <alignment horizontal="center" vertical="center"/>
    </xf>
    <xf numFmtId="0" fontId="33" fillId="22" borderId="31" xfId="0" applyFont="1" applyFill="1" applyBorder="1" applyAlignment="1">
      <alignment horizontal="center" vertical="center"/>
    </xf>
    <xf numFmtId="0" fontId="34" fillId="14" borderId="0" xfId="0" applyFont="1" applyFill="1" applyAlignment="1" applyProtection="1">
      <alignment horizontal="center" vertical="center" wrapText="1"/>
      <protection locked="0"/>
    </xf>
    <xf numFmtId="0" fontId="34" fillId="8" borderId="0" xfId="0" applyFont="1" applyFill="1" applyAlignment="1" applyProtection="1">
      <alignment horizontal="center" vertical="center" wrapText="1"/>
      <protection locked="0"/>
    </xf>
    <xf numFmtId="0" fontId="64" fillId="0" borderId="0" xfId="0" applyFont="1"/>
    <xf numFmtId="0" fontId="53" fillId="0" borderId="0" xfId="0" applyFont="1"/>
    <xf numFmtId="0" fontId="35" fillId="14" borderId="0" xfId="0" applyFont="1" applyFill="1"/>
    <xf numFmtId="0" fontId="34" fillId="14" borderId="0" xfId="0" applyFont="1" applyFill="1"/>
    <xf numFmtId="0" fontId="37" fillId="13" borderId="56" xfId="0" applyFont="1" applyFill="1" applyBorder="1" applyAlignment="1">
      <alignment horizontal="center"/>
    </xf>
    <xf numFmtId="0" fontId="35" fillId="14" borderId="34" xfId="0" applyFont="1" applyFill="1" applyBorder="1" applyAlignment="1">
      <alignment horizontal="center"/>
    </xf>
    <xf numFmtId="0" fontId="34" fillId="14" borderId="34" xfId="0" applyFont="1" applyFill="1" applyBorder="1"/>
    <xf numFmtId="0" fontId="55" fillId="14" borderId="34" xfId="0" applyFont="1" applyFill="1" applyBorder="1"/>
    <xf numFmtId="0" fontId="0" fillId="8" borderId="34" xfId="0" applyFill="1" applyBorder="1"/>
    <xf numFmtId="0" fontId="55" fillId="8" borderId="34" xfId="0" applyFont="1" applyFill="1" applyBorder="1"/>
    <xf numFmtId="0" fontId="0" fillId="14" borderId="34" xfId="0" applyFill="1" applyBorder="1"/>
    <xf numFmtId="0" fontId="37" fillId="24" borderId="35" xfId="0" applyFont="1" applyFill="1" applyBorder="1" applyAlignment="1">
      <alignment horizontal="center"/>
    </xf>
    <xf numFmtId="0" fontId="0" fillId="24" borderId="35" xfId="0" applyFill="1" applyBorder="1"/>
    <xf numFmtId="0" fontId="55" fillId="24" borderId="35" xfId="0" applyFont="1" applyFill="1" applyBorder="1"/>
    <xf numFmtId="0" fontId="45" fillId="13" borderId="56" xfId="0" applyFont="1" applyFill="1" applyBorder="1" applyAlignment="1">
      <alignment horizontal="center"/>
    </xf>
    <xf numFmtId="0" fontId="35" fillId="14" borderId="34" xfId="0" applyFont="1" applyFill="1" applyBorder="1"/>
    <xf numFmtId="0" fontId="65" fillId="0" borderId="0" xfId="0" applyFont="1"/>
    <xf numFmtId="0" fontId="35" fillId="8" borderId="0" xfId="0" applyFont="1" applyFill="1"/>
    <xf numFmtId="0" fontId="37" fillId="13" borderId="100" xfId="0" applyFont="1" applyFill="1" applyBorder="1" applyAlignment="1">
      <alignment horizontal="center"/>
    </xf>
    <xf numFmtId="0" fontId="34" fillId="8" borderId="56" xfId="0" applyFont="1" applyFill="1" applyBorder="1"/>
    <xf numFmtId="0" fontId="37" fillId="13" borderId="101" xfId="0" applyFont="1" applyFill="1" applyBorder="1" applyAlignment="1">
      <alignment horizontal="center"/>
    </xf>
    <xf numFmtId="0" fontId="35" fillId="8" borderId="102" xfId="0" applyFont="1" applyFill="1" applyBorder="1"/>
    <xf numFmtId="0" fontId="35" fillId="14" borderId="102" xfId="0" applyFont="1" applyFill="1" applyBorder="1"/>
    <xf numFmtId="0" fontId="37" fillId="13" borderId="103" xfId="0" applyFont="1" applyFill="1" applyBorder="1" applyAlignment="1">
      <alignment horizontal="center"/>
    </xf>
    <xf numFmtId="0" fontId="51" fillId="8" borderId="104" xfId="0" applyFont="1" applyFill="1" applyBorder="1"/>
    <xf numFmtId="0" fontId="51" fillId="14" borderId="104" xfId="0" applyFont="1" applyFill="1" applyBorder="1"/>
    <xf numFmtId="0" fontId="35" fillId="14" borderId="105" xfId="0" applyFont="1" applyFill="1" applyBorder="1"/>
    <xf numFmtId="0" fontId="51" fillId="14" borderId="107" xfId="0" applyFont="1" applyFill="1" applyBorder="1"/>
    <xf numFmtId="0" fontId="35" fillId="8" borderId="105" xfId="0" applyFont="1" applyFill="1" applyBorder="1"/>
    <xf numFmtId="0" fontId="51" fillId="8" borderId="107" xfId="0" applyFont="1" applyFill="1" applyBorder="1"/>
    <xf numFmtId="0" fontId="36" fillId="21" borderId="96" xfId="0" applyFont="1" applyFill="1" applyBorder="1" applyAlignment="1" applyProtection="1">
      <alignment horizontal="center"/>
      <protection locked="0"/>
    </xf>
    <xf numFmtId="0" fontId="36" fillId="21" borderId="106" xfId="0" applyFont="1" applyFill="1" applyBorder="1" applyAlignment="1" applyProtection="1">
      <alignment horizontal="center"/>
      <protection locked="0"/>
    </xf>
    <xf numFmtId="0" fontId="66" fillId="14" borderId="96" xfId="0" applyFont="1" applyFill="1" applyBorder="1" applyAlignment="1">
      <alignment horizontal="center"/>
    </xf>
    <xf numFmtId="0" fontId="66" fillId="8" borderId="106" xfId="0" applyFont="1" applyFill="1" applyBorder="1" applyAlignment="1">
      <alignment horizontal="center"/>
    </xf>
    <xf numFmtId="0" fontId="56" fillId="8" borderId="56" xfId="0" applyFont="1" applyFill="1" applyBorder="1"/>
    <xf numFmtId="0" fontId="37" fillId="13" borderId="108" xfId="0" applyFont="1" applyFill="1" applyBorder="1" applyAlignment="1">
      <alignment horizontal="center"/>
    </xf>
    <xf numFmtId="0" fontId="37" fillId="13" borderId="109" xfId="0" applyFont="1" applyFill="1" applyBorder="1" applyAlignment="1">
      <alignment horizontal="center"/>
    </xf>
    <xf numFmtId="0" fontId="37" fillId="13" borderId="110" xfId="0" applyFont="1" applyFill="1" applyBorder="1" applyAlignment="1">
      <alignment horizontal="center"/>
    </xf>
    <xf numFmtId="0" fontId="36" fillId="14" borderId="111" xfId="0" applyFont="1" applyFill="1" applyBorder="1" applyProtection="1">
      <protection locked="0"/>
    </xf>
    <xf numFmtId="0" fontId="36" fillId="14" borderId="112" xfId="0" applyFont="1" applyFill="1" applyBorder="1" applyProtection="1">
      <protection locked="0"/>
    </xf>
    <xf numFmtId="170" fontId="36" fillId="14" borderId="112" xfId="0" applyNumberFormat="1" applyFont="1" applyFill="1" applyBorder="1" applyProtection="1">
      <protection locked="0"/>
    </xf>
    <xf numFmtId="170" fontId="36" fillId="14" borderId="113" xfId="0" applyNumberFormat="1" applyFont="1" applyFill="1" applyBorder="1" applyProtection="1">
      <protection locked="0"/>
    </xf>
    <xf numFmtId="0" fontId="36" fillId="8" borderId="111" xfId="0" applyFont="1" applyFill="1" applyBorder="1" applyProtection="1">
      <protection locked="0"/>
    </xf>
    <xf numFmtId="0" fontId="36" fillId="8" borderId="112" xfId="0" applyFont="1" applyFill="1" applyBorder="1" applyProtection="1">
      <protection locked="0"/>
    </xf>
    <xf numFmtId="170" fontId="36" fillId="8" borderId="112" xfId="0" applyNumberFormat="1" applyFont="1" applyFill="1" applyBorder="1" applyProtection="1">
      <protection locked="0"/>
    </xf>
    <xf numFmtId="170" fontId="36" fillId="8" borderId="113" xfId="0" applyNumberFormat="1" applyFont="1" applyFill="1" applyBorder="1" applyProtection="1">
      <protection locked="0"/>
    </xf>
    <xf numFmtId="0" fontId="36" fillId="8" borderId="114" xfId="0" applyFont="1" applyFill="1" applyBorder="1" applyProtection="1">
      <protection locked="0"/>
    </xf>
    <xf numFmtId="0" fontId="36" fillId="8" borderId="115" xfId="0" applyFont="1" applyFill="1" applyBorder="1" applyProtection="1">
      <protection locked="0"/>
    </xf>
    <xf numFmtId="170" fontId="36" fillId="8" borderId="115" xfId="0" applyNumberFormat="1" applyFont="1" applyFill="1" applyBorder="1" applyProtection="1">
      <protection locked="0"/>
    </xf>
    <xf numFmtId="170" fontId="36" fillId="8" borderId="116" xfId="0" applyNumberFormat="1" applyFont="1" applyFill="1" applyBorder="1" applyProtection="1">
      <protection locked="0"/>
    </xf>
    <xf numFmtId="0" fontId="46" fillId="0" borderId="0" xfId="0" applyFont="1" applyAlignment="1">
      <alignment horizontal="center"/>
    </xf>
    <xf numFmtId="170" fontId="36" fillId="21" borderId="95" xfId="0" applyNumberFormat="1" applyFont="1" applyFill="1" applyBorder="1" applyAlignment="1" applyProtection="1">
      <alignment horizontal="center"/>
      <protection locked="0"/>
    </xf>
    <xf numFmtId="170" fontId="36" fillId="21" borderId="98" xfId="0" applyNumberFormat="1" applyFont="1" applyFill="1" applyBorder="1" applyAlignment="1" applyProtection="1">
      <alignment horizontal="center"/>
      <protection locked="0"/>
    </xf>
    <xf numFmtId="0" fontId="35" fillId="14" borderId="96" xfId="0" applyFont="1" applyFill="1" applyBorder="1" applyAlignment="1">
      <alignment horizontal="center"/>
    </xf>
    <xf numFmtId="0" fontId="35" fillId="8" borderId="96" xfId="0" applyFont="1" applyFill="1" applyBorder="1" applyAlignment="1">
      <alignment horizontal="center"/>
    </xf>
    <xf numFmtId="0" fontId="6" fillId="8" borderId="0" xfId="0" applyFont="1" applyFill="1"/>
    <xf numFmtId="0" fontId="7" fillId="8" borderId="0" xfId="0" applyFont="1" applyFill="1"/>
    <xf numFmtId="0" fontId="9" fillId="8" borderId="68" xfId="0" applyFont="1" applyFill="1" applyBorder="1"/>
    <xf numFmtId="0" fontId="6" fillId="8" borderId="68" xfId="0" applyFont="1" applyFill="1" applyBorder="1"/>
    <xf numFmtId="0" fontId="4" fillId="8" borderId="26" xfId="0" applyFont="1" applyFill="1" applyBorder="1"/>
    <xf numFmtId="0" fontId="6" fillId="8" borderId="26" xfId="0" applyFont="1" applyFill="1" applyBorder="1"/>
    <xf numFmtId="0" fontId="4" fillId="8" borderId="30" xfId="0" applyFont="1" applyFill="1" applyBorder="1"/>
    <xf numFmtId="0" fontId="6" fillId="8" borderId="30" xfId="0" applyFont="1" applyFill="1" applyBorder="1"/>
    <xf numFmtId="0" fontId="4" fillId="8" borderId="29" xfId="0" applyFont="1" applyFill="1" applyBorder="1"/>
    <xf numFmtId="0" fontId="6" fillId="8" borderId="29" xfId="0" applyFont="1" applyFill="1" applyBorder="1"/>
    <xf numFmtId="0" fontId="42" fillId="8" borderId="0" xfId="0" applyFont="1" applyFill="1" applyAlignment="1">
      <alignment horizontal="center"/>
    </xf>
    <xf numFmtId="49" fontId="67" fillId="25" borderId="117" xfId="0" applyNumberFormat="1" applyFont="1" applyFill="1" applyBorder="1" applyAlignment="1">
      <alignment horizontal="center" vertical="center"/>
    </xf>
    <xf numFmtId="49" fontId="67" fillId="26" borderId="117" xfId="0" applyNumberFormat="1" applyFont="1" applyFill="1" applyBorder="1" applyAlignment="1">
      <alignment horizontal="center" vertical="center"/>
    </xf>
    <xf numFmtId="173" fontId="67" fillId="25" borderId="117" xfId="0" applyNumberFormat="1" applyFont="1" applyFill="1" applyBorder="1" applyAlignment="1">
      <alignment horizontal="center" vertical="center"/>
    </xf>
    <xf numFmtId="0" fontId="67" fillId="25" borderId="117" xfId="0" applyFont="1" applyFill="1" applyBorder="1" applyAlignment="1">
      <alignment horizontal="center" vertical="center" wrapText="1"/>
    </xf>
    <xf numFmtId="0" fontId="67" fillId="26" borderId="117" xfId="0" applyFont="1" applyFill="1" applyBorder="1" applyAlignment="1">
      <alignment horizontal="center" vertical="center" wrapText="1"/>
    </xf>
    <xf numFmtId="0" fontId="67" fillId="25" borderId="117" xfId="0" applyFont="1" applyFill="1" applyBorder="1" applyAlignment="1">
      <alignment horizontal="center" vertical="center"/>
    </xf>
    <xf numFmtId="0" fontId="67" fillId="26" borderId="117" xfId="0" applyFont="1" applyFill="1" applyBorder="1" applyAlignment="1">
      <alignment horizontal="center" vertical="center"/>
    </xf>
    <xf numFmtId="49" fontId="67" fillId="26" borderId="117" xfId="0" applyNumberFormat="1" applyFont="1" applyFill="1" applyBorder="1" applyAlignment="1">
      <alignment horizontal="left"/>
    </xf>
    <xf numFmtId="49" fontId="67" fillId="25" borderId="117" xfId="0" applyNumberFormat="1" applyFont="1" applyFill="1" applyBorder="1" applyAlignment="1">
      <alignment horizontal="left"/>
    </xf>
    <xf numFmtId="173" fontId="67" fillId="25" borderId="117" xfId="0" applyNumberFormat="1" applyFont="1" applyFill="1" applyBorder="1" applyAlignment="1">
      <alignment horizontal="left"/>
    </xf>
    <xf numFmtId="0" fontId="67" fillId="25" borderId="117" xfId="0" applyFont="1" applyFill="1" applyBorder="1" applyAlignment="1">
      <alignment horizontal="left"/>
    </xf>
    <xf numFmtId="0" fontId="67" fillId="26" borderId="117" xfId="0" applyFont="1" applyFill="1" applyBorder="1" applyAlignment="1">
      <alignment horizontal="left"/>
    </xf>
    <xf numFmtId="0" fontId="67" fillId="26" borderId="117" xfId="0" applyFont="1" applyFill="1" applyBorder="1" applyAlignment="1">
      <alignment horizontal="left" wrapText="1"/>
    </xf>
    <xf numFmtId="0" fontId="67" fillId="25" borderId="117" xfId="0" applyFont="1" applyFill="1" applyBorder="1" applyAlignment="1">
      <alignment horizontal="left" wrapText="1"/>
    </xf>
    <xf numFmtId="0" fontId="35" fillId="27" borderId="36" xfId="0" applyFont="1" applyFill="1" applyBorder="1" applyAlignment="1" applyProtection="1">
      <alignment horizontal="center" vertical="center"/>
      <protection locked="0"/>
    </xf>
    <xf numFmtId="0" fontId="34" fillId="27" borderId="0" xfId="0" applyFont="1" applyFill="1" applyAlignment="1" applyProtection="1">
      <alignment horizontal="center" vertical="center"/>
      <protection locked="0"/>
    </xf>
    <xf numFmtId="49" fontId="34" fillId="27" borderId="0" xfId="0" applyNumberFormat="1" applyFont="1" applyFill="1" applyAlignment="1" applyProtection="1">
      <alignment horizontal="center" vertical="center"/>
      <protection locked="0"/>
    </xf>
    <xf numFmtId="0" fontId="35" fillId="8" borderId="36" xfId="0" applyFont="1" applyFill="1" applyBorder="1" applyAlignment="1" applyProtection="1">
      <alignment horizontal="center" vertical="center"/>
      <protection locked="0"/>
    </xf>
    <xf numFmtId="0" fontId="34" fillId="8" borderId="0" xfId="0" applyFont="1" applyFill="1" applyAlignment="1" applyProtection="1">
      <alignment horizontal="center" vertical="center"/>
      <protection locked="0"/>
    </xf>
    <xf numFmtId="49" fontId="34" fillId="8" borderId="0" xfId="0" applyNumberFormat="1" applyFont="1" applyFill="1" applyAlignment="1" applyProtection="1">
      <alignment horizontal="center" vertical="center"/>
      <protection locked="0"/>
    </xf>
    <xf numFmtId="0" fontId="0" fillId="8" borderId="36" xfId="0" applyFill="1" applyBorder="1" applyAlignment="1" applyProtection="1">
      <alignment horizontal="center" vertical="center"/>
      <protection locked="0"/>
    </xf>
    <xf numFmtId="0" fontId="0" fillId="8" borderId="0" xfId="0" applyFill="1" applyAlignment="1" applyProtection="1">
      <alignment horizontal="center" vertical="center"/>
      <protection locked="0"/>
    </xf>
    <xf numFmtId="49" fontId="0" fillId="8" borderId="0" xfId="0" applyNumberFormat="1" applyFill="1" applyAlignment="1" applyProtection="1">
      <alignment horizontal="center" vertical="center"/>
      <protection locked="0"/>
    </xf>
    <xf numFmtId="0" fontId="0" fillId="0" borderId="36" xfId="0" applyBorder="1" applyAlignment="1" applyProtection="1">
      <alignment horizontal="center" vertical="center"/>
      <protection locked="0"/>
    </xf>
    <xf numFmtId="0" fontId="0" fillId="0" borderId="0" xfId="0" applyAlignment="1" applyProtection="1">
      <alignment horizontal="center" vertical="center"/>
      <protection locked="0"/>
    </xf>
    <xf numFmtId="49" fontId="0" fillId="0" borderId="0" xfId="0" applyNumberFormat="1" applyAlignment="1" applyProtection="1">
      <alignment horizontal="center" vertical="center"/>
      <protection locked="0"/>
    </xf>
    <xf numFmtId="0" fontId="43" fillId="13" borderId="28" xfId="0" applyFont="1" applyFill="1" applyBorder="1" applyAlignment="1">
      <alignment horizontal="left" vertical="center"/>
    </xf>
    <xf numFmtId="0" fontId="43" fillId="13" borderId="28" xfId="0" applyFont="1" applyFill="1" applyBorder="1" applyAlignment="1">
      <alignment horizontal="left"/>
    </xf>
    <xf numFmtId="0" fontId="53" fillId="20" borderId="0" xfId="0" applyFont="1" applyFill="1" applyAlignment="1">
      <alignment horizontal="left" vertical="center"/>
    </xf>
    <xf numFmtId="0" fontId="53" fillId="20" borderId="0" xfId="0" applyFont="1" applyFill="1" applyAlignment="1">
      <alignment horizontal="left"/>
    </xf>
    <xf numFmtId="0" fontId="44" fillId="13" borderId="28" xfId="0" applyFont="1" applyFill="1" applyBorder="1" applyAlignment="1">
      <alignment vertical="center"/>
    </xf>
    <xf numFmtId="0" fontId="44" fillId="13" borderId="28" xfId="0" applyFont="1" applyFill="1" applyBorder="1"/>
    <xf numFmtId="0" fontId="20" fillId="12" borderId="73" xfId="0" applyFont="1" applyFill="1" applyBorder="1" applyAlignment="1">
      <alignment horizontal="center"/>
    </xf>
    <xf numFmtId="0" fontId="20" fillId="12" borderId="71" xfId="0" applyFont="1" applyFill="1" applyBorder="1" applyAlignment="1">
      <alignment horizontal="center"/>
    </xf>
    <xf numFmtId="0" fontId="4" fillId="11" borderId="80" xfId="0" applyFont="1" applyFill="1" applyBorder="1" applyAlignment="1">
      <alignment horizontal="left"/>
    </xf>
    <xf numFmtId="0" fontId="0" fillId="0" borderId="81" xfId="0" applyBorder="1"/>
    <xf numFmtId="0" fontId="4" fillId="11" borderId="85" xfId="0" applyFont="1" applyFill="1" applyBorder="1" applyAlignment="1">
      <alignment horizontal="left"/>
    </xf>
    <xf numFmtId="0" fontId="0" fillId="0" borderId="85" xfId="0" applyBorder="1"/>
    <xf numFmtId="0" fontId="0" fillId="0" borderId="86" xfId="0" applyBorder="1"/>
    <xf numFmtId="0" fontId="4" fillId="11" borderId="88" xfId="0" applyFont="1" applyFill="1" applyBorder="1" applyAlignment="1">
      <alignment horizontal="left"/>
    </xf>
    <xf numFmtId="0" fontId="0" fillId="0" borderId="78" xfId="0" applyBorder="1"/>
    <xf numFmtId="0" fontId="42" fillId="11" borderId="37" xfId="0" applyFont="1" applyFill="1" applyBorder="1" applyAlignment="1">
      <alignment horizontal="center" vertical="center"/>
    </xf>
    <xf numFmtId="0" fontId="0" fillId="0" borderId="37" xfId="0" applyBorder="1"/>
    <xf numFmtId="0" fontId="4" fillId="11" borderId="77" xfId="0" applyFont="1" applyFill="1" applyBorder="1" applyAlignment="1">
      <alignment horizontal="left"/>
    </xf>
    <xf numFmtId="0" fontId="4" fillId="11" borderId="79" xfId="0" applyFont="1" applyFill="1" applyBorder="1" applyAlignment="1">
      <alignment horizontal="left"/>
    </xf>
    <xf numFmtId="0" fontId="0" fillId="0" borderId="79" xfId="0" applyBorder="1"/>
    <xf numFmtId="0" fontId="4" fillId="11" borderId="81" xfId="0" applyFont="1" applyFill="1" applyBorder="1" applyAlignment="1">
      <alignment horizontal="left"/>
    </xf>
    <xf numFmtId="0" fontId="4" fillId="11" borderId="82" xfId="0" applyFont="1" applyFill="1" applyBorder="1" applyAlignment="1">
      <alignment horizontal="left"/>
    </xf>
    <xf numFmtId="0" fontId="0" fillId="0" borderId="83" xfId="0" applyBorder="1"/>
    <xf numFmtId="0" fontId="4" fillId="11" borderId="84" xfId="0" applyFont="1" applyFill="1" applyBorder="1" applyAlignment="1">
      <alignment horizontal="left"/>
    </xf>
    <xf numFmtId="0" fontId="0" fillId="0" borderId="84" xfId="0" applyBorder="1"/>
    <xf numFmtId="0" fontId="4" fillId="11" borderId="78" xfId="0" applyFont="1" applyFill="1" applyBorder="1" applyAlignment="1">
      <alignment horizontal="left"/>
    </xf>
    <xf numFmtId="0" fontId="7" fillId="11" borderId="0" xfId="0" applyFont="1" applyFill="1" applyAlignment="1">
      <alignment horizontal="left"/>
    </xf>
    <xf numFmtId="0" fontId="9" fillId="11" borderId="0" xfId="0" applyFont="1" applyFill="1" applyAlignment="1">
      <alignment horizontal="left"/>
    </xf>
    <xf numFmtId="0" fontId="10" fillId="12" borderId="74" xfId="0" applyFont="1" applyFill="1" applyBorder="1" applyAlignment="1">
      <alignment horizontal="center"/>
    </xf>
    <xf numFmtId="0" fontId="10" fillId="12" borderId="75" xfId="0" applyFont="1" applyFill="1" applyBorder="1" applyAlignment="1">
      <alignment horizontal="center"/>
    </xf>
    <xf numFmtId="0" fontId="12" fillId="12" borderId="72" xfId="0" applyFont="1" applyFill="1" applyBorder="1" applyAlignment="1">
      <alignment horizontal="center"/>
    </xf>
    <xf numFmtId="0" fontId="12" fillId="12" borderId="0" xfId="0" applyFont="1" applyFill="1" applyAlignment="1">
      <alignment horizontal="center"/>
    </xf>
    <xf numFmtId="0" fontId="20" fillId="12" borderId="70" xfId="0" applyFont="1" applyFill="1" applyBorder="1" applyAlignment="1">
      <alignment horizontal="center"/>
    </xf>
    <xf numFmtId="0" fontId="10" fillId="12" borderId="76" xfId="0" applyFont="1" applyFill="1" applyBorder="1" applyAlignment="1">
      <alignment horizontal="center"/>
    </xf>
    <xf numFmtId="3" fontId="13" fillId="12" borderId="72" xfId="0" applyNumberFormat="1" applyFont="1" applyFill="1" applyBorder="1" applyAlignment="1">
      <alignment horizontal="center"/>
    </xf>
    <xf numFmtId="3" fontId="13" fillId="12" borderId="69" xfId="0" applyNumberFormat="1" applyFont="1" applyFill="1" applyBorder="1" applyAlignment="1">
      <alignment horizontal="center"/>
    </xf>
    <xf numFmtId="10" fontId="15" fillId="12" borderId="72" xfId="0" applyNumberFormat="1" applyFont="1" applyFill="1" applyBorder="1" applyAlignment="1">
      <alignment horizontal="center"/>
    </xf>
    <xf numFmtId="10" fontId="15" fillId="12" borderId="0" xfId="0" applyNumberFormat="1" applyFont="1" applyFill="1" applyAlignment="1">
      <alignment horizontal="center"/>
    </xf>
    <xf numFmtId="10" fontId="17" fillId="12" borderId="72" xfId="0" applyNumberFormat="1" applyFont="1" applyFill="1" applyBorder="1" applyAlignment="1">
      <alignment horizontal="center"/>
    </xf>
    <xf numFmtId="10" fontId="17" fillId="12" borderId="69" xfId="0" applyNumberFormat="1" applyFont="1" applyFill="1" applyBorder="1" applyAlignment="1">
      <alignment horizontal="center"/>
    </xf>
    <xf numFmtId="0" fontId="21" fillId="12" borderId="73" xfId="0" applyFont="1" applyFill="1" applyBorder="1" applyAlignment="1">
      <alignment horizontal="center"/>
    </xf>
    <xf numFmtId="0" fontId="21" fillId="12" borderId="71" xfId="0" applyFont="1" applyFill="1" applyBorder="1" applyAlignment="1">
      <alignment horizontal="center"/>
    </xf>
    <xf numFmtId="0" fontId="19" fillId="12" borderId="72" xfId="0" applyFont="1" applyFill="1" applyBorder="1" applyAlignment="1">
      <alignment horizontal="center"/>
    </xf>
    <xf numFmtId="0" fontId="19" fillId="12" borderId="69" xfId="0" applyFont="1" applyFill="1" applyBorder="1" applyAlignment="1">
      <alignment horizontal="center"/>
    </xf>
    <xf numFmtId="173" fontId="67" fillId="26" borderId="117" xfId="0" applyNumberFormat="1" applyFont="1" applyFill="1" applyBorder="1" applyAlignment="1">
      <alignment horizontal="center" vertical="center"/>
    </xf>
    <xf numFmtId="167" fontId="34" fillId="14" borderId="64" xfId="0" applyNumberFormat="1" applyFont="1" applyFill="1" applyBorder="1" applyAlignment="1">
      <alignment horizontal="center"/>
    </xf>
    <xf numFmtId="167" fontId="34" fillId="8" borderId="64" xfId="0" applyNumberFormat="1" applyFont="1" applyFill="1" applyBorder="1" applyAlignment="1">
      <alignment horizontal="center"/>
    </xf>
    <xf numFmtId="167" fontId="35" fillId="20" borderId="63" xfId="0" applyNumberFormat="1" applyFont="1" applyFill="1" applyBorder="1" applyAlignment="1">
      <alignment horizontal="center"/>
    </xf>
  </cellXfs>
  <cellStyles count="1">
    <cellStyle name="Normal" xfId="0" builtinId="0"/>
  </cellStyles>
  <dxfs count="17">
    <dxf>
      <font>
        <b/>
        <i val="0"/>
        <color rgb="FFD97706"/>
      </font>
      <fill>
        <patternFill patternType="solid">
          <fgColor indexed="64"/>
          <bgColor rgb="FFFEF3C7"/>
        </patternFill>
      </fill>
    </dxf>
    <dxf>
      <font>
        <b/>
        <i val="0"/>
        <color rgb="FFDC2626"/>
      </font>
      <fill>
        <patternFill patternType="solid">
          <fgColor indexed="64"/>
          <bgColor rgb="FFFEE2E2"/>
        </patternFill>
      </fill>
    </dxf>
    <dxf>
      <font>
        <b/>
        <i val="0"/>
        <color rgb="FF166534"/>
      </font>
      <fill>
        <patternFill patternType="solid">
          <fgColor indexed="64"/>
          <bgColor rgb="FFDCFCE7"/>
        </patternFill>
      </fill>
    </dxf>
    <dxf>
      <font>
        <b/>
        <i val="0"/>
        <color rgb="FFCA8A04"/>
      </font>
      <fill>
        <patternFill patternType="solid">
          <fgColor indexed="64"/>
          <bgColor rgb="FFFEF9C3"/>
        </patternFill>
      </fill>
    </dxf>
    <dxf>
      <font>
        <b/>
        <i val="0"/>
        <color rgb="FFD97706"/>
      </font>
      <fill>
        <patternFill patternType="solid">
          <fgColor indexed="64"/>
          <bgColor rgb="FFFEF3C7"/>
        </patternFill>
      </fill>
    </dxf>
    <dxf>
      <font>
        <b/>
        <i val="0"/>
        <color rgb="FFDC2626"/>
      </font>
      <fill>
        <patternFill patternType="solid">
          <fgColor indexed="64"/>
          <bgColor rgb="FFFEE2E2"/>
        </patternFill>
      </fill>
    </dxf>
    <dxf>
      <font>
        <color rgb="FFCC0000"/>
      </font>
      <fill>
        <patternFill patternType="solid">
          <fgColor indexed="64"/>
          <bgColor rgb="FFFFFF00"/>
        </patternFill>
      </fill>
    </dxf>
    <dxf>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bottom style="medium">
          <color rgb="FFFFD166"/>
        </bottom>
      </border>
    </dxf>
    <dxf>
      <font>
        <b/>
        <sz val="11"/>
        <color rgb="FFFFFFFF"/>
        <name val="Aptos"/>
      </font>
      <fill>
        <patternFill patternType="solid">
          <fgColor indexed="64"/>
          <bgColor rgb="FF1A1500"/>
        </patternFill>
      </fill>
      <alignment horizontal="center" vertical="center" textRotation="0" wrapText="0" indent="0" justifyLastLine="0" shrinkToFit="0" readingOrder="0"/>
    </dxf>
    <dxf>
      <fill>
        <patternFill>
          <bgColor theme="0" tint="-4.9989318521683403E-2"/>
        </patternFill>
      </fill>
    </dxf>
    <dxf>
      <fill>
        <patternFill>
          <bgColor theme="3" tint="0.79998168889431442"/>
        </patternFill>
      </fill>
    </dxf>
  </dxfs>
  <tableStyles count="1" defaultTableStyle="TableStyleMedium2" defaultPivotStyle="PivotStyleLight16">
    <tableStyle name="RA" pivot="0" count="2" xr9:uid="{EDB667A8-6D32-4FF2-A6D6-0917C0082974}">
      <tableStyleElement type="headerRow" dxfId="16"/>
      <tableStyleElement type="secondRowStripe" dxfId="15"/>
    </tableStyle>
  </tableStyles>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Complaint Rate Control Chart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'Complaint Rate'!$I$2:$I$37</c:f>
              <c:strCache>
                <c:ptCount val="36"/>
                <c:pt idx="0">
                  <c:v>Jul 2022</c:v>
                </c:pt>
                <c:pt idx="1">
                  <c:v>Aug 2022</c:v>
                </c:pt>
                <c:pt idx="2">
                  <c:v>Sep 2022</c:v>
                </c:pt>
                <c:pt idx="3">
                  <c:v>Oct 2022</c:v>
                </c:pt>
                <c:pt idx="4">
                  <c:v>Nov 2022</c:v>
                </c:pt>
                <c:pt idx="5">
                  <c:v>Dec 2022</c:v>
                </c:pt>
                <c:pt idx="6">
                  <c:v>Jan 2023</c:v>
                </c:pt>
                <c:pt idx="7">
                  <c:v>Feb 2023</c:v>
                </c:pt>
                <c:pt idx="8">
                  <c:v>Mar 2023</c:v>
                </c:pt>
                <c:pt idx="9">
                  <c:v>Apr 2023</c:v>
                </c:pt>
                <c:pt idx="10">
                  <c:v>May 2023</c:v>
                </c:pt>
                <c:pt idx="11">
                  <c:v>Jun 2023</c:v>
                </c:pt>
                <c:pt idx="12">
                  <c:v>Jul 2023</c:v>
                </c:pt>
                <c:pt idx="13">
                  <c:v>Aug 2023</c:v>
                </c:pt>
                <c:pt idx="14">
                  <c:v>Sep 2023</c:v>
                </c:pt>
                <c:pt idx="15">
                  <c:v>Oct 2023</c:v>
                </c:pt>
                <c:pt idx="16">
                  <c:v>Nov 2023</c:v>
                </c:pt>
                <c:pt idx="17">
                  <c:v>Dec 2023</c:v>
                </c:pt>
                <c:pt idx="18">
                  <c:v>Jan 2024</c:v>
                </c:pt>
                <c:pt idx="19">
                  <c:v>Feb 2024</c:v>
                </c:pt>
                <c:pt idx="20">
                  <c:v>Mar 2024</c:v>
                </c:pt>
                <c:pt idx="21">
                  <c:v>Apr 2024</c:v>
                </c:pt>
                <c:pt idx="22">
                  <c:v>May 2024</c:v>
                </c:pt>
                <c:pt idx="23">
                  <c:v>Jun 2024</c:v>
                </c:pt>
                <c:pt idx="24">
                  <c:v>Jul 2024</c:v>
                </c:pt>
                <c:pt idx="25">
                  <c:v>Aug 2024</c:v>
                </c:pt>
                <c:pt idx="26">
                  <c:v>Sep 2024</c:v>
                </c:pt>
                <c:pt idx="27">
                  <c:v>Oct 2024</c:v>
                </c:pt>
                <c:pt idx="28">
                  <c:v>Nov 2024</c:v>
                </c:pt>
                <c:pt idx="29">
                  <c:v>Dec 2024</c:v>
                </c:pt>
                <c:pt idx="30">
                  <c:v>Jan 2025</c:v>
                </c:pt>
                <c:pt idx="31">
                  <c:v>Feb 2025</c:v>
                </c:pt>
                <c:pt idx="32">
                  <c:v>Mar 2025</c:v>
                </c:pt>
                <c:pt idx="33">
                  <c:v>Apr 2025</c:v>
                </c:pt>
                <c:pt idx="34">
                  <c:v>May 2025</c:v>
                </c:pt>
                <c:pt idx="35">
                  <c:v>Jun 2025</c:v>
                </c:pt>
              </c:strCache>
            </c:strRef>
          </c:cat>
          <c:val>
            <c:numRef>
              <c:f>'Complaint Rate'!$J$2:$J$37</c:f>
              <c:numCache>
                <c:formatCode>0.0000</c:formatCode>
                <c:ptCount val="36"/>
                <c:pt idx="0">
                  <c:v>0</c:v>
                </c:pt>
                <c:pt idx="1">
                  <c:v>0</c:v>
                </c:pt>
                <c:pt idx="2">
                  <c:v>0</c:v>
                </c:pt>
                <c:pt idx="3">
                  <c:v>0</c:v>
                </c:pt>
                <c:pt idx="4">
                  <c:v>0</c:v>
                </c:pt>
                <c:pt idx="5">
                  <c:v>0</c:v>
                </c:pt>
                <c:pt idx="6">
                  <c:v>0</c:v>
                </c:pt>
                <c:pt idx="7">
                  <c:v>0</c:v>
                </c:pt>
                <c:pt idx="8">
                  <c:v>5.0709939148073022E-4</c:v>
                </c:pt>
                <c:pt idx="9">
                  <c:v>6.2111801242236027E-4</c:v>
                </c:pt>
                <c:pt idx="10">
                  <c:v>1.6882386043894203E-3</c:v>
                </c:pt>
                <c:pt idx="11">
                  <c:v>3.5671819262782403E-3</c:v>
                </c:pt>
                <c:pt idx="12">
                  <c:v>0</c:v>
                </c:pt>
                <c:pt idx="13">
                  <c:v>0</c:v>
                </c:pt>
                <c:pt idx="14">
                  <c:v>0</c:v>
                </c:pt>
                <c:pt idx="15">
                  <c:v>0</c:v>
                </c:pt>
                <c:pt idx="16">
                  <c:v>0</c:v>
                </c:pt>
                <c:pt idx="17">
                  <c:v>1.4245014245014246E-3</c:v>
                </c:pt>
                <c:pt idx="18">
                  <c:v>0</c:v>
                </c:pt>
                <c:pt idx="19">
                  <c:v>9.5969289827255275E-4</c:v>
                </c:pt>
                <c:pt idx="20">
                  <c:v>0</c:v>
                </c:pt>
                <c:pt idx="21">
                  <c:v>0</c:v>
                </c:pt>
                <c:pt idx="22">
                  <c:v>0</c:v>
                </c:pt>
                <c:pt idx="23">
                  <c:v>0</c:v>
                </c:pt>
                <c:pt idx="24">
                  <c:v>6.1576354679802956E-4</c:v>
                </c:pt>
                <c:pt idx="25">
                  <c:v>0</c:v>
                </c:pt>
                <c:pt idx="26">
                  <c:v>5.5959709009513155E-4</c:v>
                </c:pt>
                <c:pt idx="27">
                  <c:v>0</c:v>
                </c:pt>
                <c:pt idx="28">
                  <c:v>0</c:v>
                </c:pt>
                <c:pt idx="29">
                  <c:v>0</c:v>
                </c:pt>
                <c:pt idx="30">
                  <c:v>0</c:v>
                </c:pt>
                <c:pt idx="31">
                  <c:v>0</c:v>
                </c:pt>
                <c:pt idx="32">
                  <c:v>0</c:v>
                </c:pt>
                <c:pt idx="33">
                  <c:v>0</c:v>
                </c:pt>
                <c:pt idx="34">
                  <c:v>0</c:v>
                </c:pt>
                <c:pt idx="35">
                  <c:v>0</c:v>
                </c:pt>
              </c:numCache>
            </c:numRef>
          </c:val>
          <c:smooth val="0"/>
          <c:extLst>
            <c:ext xmlns:c16="http://schemas.microsoft.com/office/drawing/2014/chart" uri="{C3380CC4-5D6E-409C-BE32-E72D297353CC}">
              <c16:uniqueId val="{00000000-D58A-4122-9774-4EEA90A545C8}"/>
            </c:ext>
          </c:extLst>
        </c:ser>
        <c:ser>
          <c:idx val="1"/>
          <c:order val="1"/>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'Complaint Rate'!$I$2:$I$37</c:f>
              <c:strCache>
                <c:ptCount val="36"/>
                <c:pt idx="0">
                  <c:v>Jul 2022</c:v>
                </c:pt>
                <c:pt idx="1">
                  <c:v>Aug 2022</c:v>
                </c:pt>
                <c:pt idx="2">
                  <c:v>Sep 2022</c:v>
                </c:pt>
                <c:pt idx="3">
                  <c:v>Oct 2022</c:v>
                </c:pt>
                <c:pt idx="4">
                  <c:v>Nov 2022</c:v>
                </c:pt>
                <c:pt idx="5">
                  <c:v>Dec 2022</c:v>
                </c:pt>
                <c:pt idx="6">
                  <c:v>Jan 2023</c:v>
                </c:pt>
                <c:pt idx="7">
                  <c:v>Feb 2023</c:v>
                </c:pt>
                <c:pt idx="8">
                  <c:v>Mar 2023</c:v>
                </c:pt>
                <c:pt idx="9">
                  <c:v>Apr 2023</c:v>
                </c:pt>
                <c:pt idx="10">
                  <c:v>May 2023</c:v>
                </c:pt>
                <c:pt idx="11">
                  <c:v>Jun 2023</c:v>
                </c:pt>
                <c:pt idx="12">
                  <c:v>Jul 2023</c:v>
                </c:pt>
                <c:pt idx="13">
                  <c:v>Aug 2023</c:v>
                </c:pt>
                <c:pt idx="14">
                  <c:v>Sep 2023</c:v>
                </c:pt>
                <c:pt idx="15">
                  <c:v>Oct 2023</c:v>
                </c:pt>
                <c:pt idx="16">
                  <c:v>Nov 2023</c:v>
                </c:pt>
                <c:pt idx="17">
                  <c:v>Dec 2023</c:v>
                </c:pt>
                <c:pt idx="18">
                  <c:v>Jan 2024</c:v>
                </c:pt>
                <c:pt idx="19">
                  <c:v>Feb 2024</c:v>
                </c:pt>
                <c:pt idx="20">
                  <c:v>Mar 2024</c:v>
                </c:pt>
                <c:pt idx="21">
                  <c:v>Apr 2024</c:v>
                </c:pt>
                <c:pt idx="22">
                  <c:v>May 2024</c:v>
                </c:pt>
                <c:pt idx="23">
                  <c:v>Jun 2024</c:v>
                </c:pt>
                <c:pt idx="24">
                  <c:v>Jul 2024</c:v>
                </c:pt>
                <c:pt idx="25">
                  <c:v>Aug 2024</c:v>
                </c:pt>
                <c:pt idx="26">
                  <c:v>Sep 2024</c:v>
                </c:pt>
                <c:pt idx="27">
                  <c:v>Oct 2024</c:v>
                </c:pt>
                <c:pt idx="28">
                  <c:v>Nov 2024</c:v>
                </c:pt>
                <c:pt idx="29">
                  <c:v>Dec 2024</c:v>
                </c:pt>
                <c:pt idx="30">
                  <c:v>Jan 2025</c:v>
                </c:pt>
                <c:pt idx="31">
                  <c:v>Feb 2025</c:v>
                </c:pt>
                <c:pt idx="32">
                  <c:v>Mar 2025</c:v>
                </c:pt>
                <c:pt idx="33">
                  <c:v>Apr 2025</c:v>
                </c:pt>
                <c:pt idx="34">
                  <c:v>May 2025</c:v>
                </c:pt>
                <c:pt idx="35">
                  <c:v>Jun 2025</c:v>
                </c:pt>
              </c:strCache>
            </c:strRef>
          </c:cat>
          <c:val>
            <c:numRef>
              <c:f>'Complaint Rate'!$K$2:$K$37</c:f>
              <c:numCache>
                <c:formatCode>0.0000</c:formatCode>
                <c:ptCount val="36"/>
                <c:pt idx="0">
                  <c:v>2.7619980261771912E-4</c:v>
                </c:pt>
                <c:pt idx="1">
                  <c:v>2.7619980261771912E-4</c:v>
                </c:pt>
                <c:pt idx="2">
                  <c:v>2.7619980261771912E-4</c:v>
                </c:pt>
                <c:pt idx="3">
                  <c:v>2.7619980261771912E-4</c:v>
                </c:pt>
                <c:pt idx="4">
                  <c:v>2.7619980261771912E-4</c:v>
                </c:pt>
                <c:pt idx="5">
                  <c:v>2.7619980261771912E-4</c:v>
                </c:pt>
                <c:pt idx="6">
                  <c:v>2.7619980261771912E-4</c:v>
                </c:pt>
                <c:pt idx="7">
                  <c:v>2.7619980261771912E-4</c:v>
                </c:pt>
                <c:pt idx="8">
                  <c:v>2.7619980261771912E-4</c:v>
                </c:pt>
                <c:pt idx="9">
                  <c:v>2.7619980261771912E-4</c:v>
                </c:pt>
                <c:pt idx="10">
                  <c:v>2.7619980261771912E-4</c:v>
                </c:pt>
                <c:pt idx="11">
                  <c:v>2.7619980261771912E-4</c:v>
                </c:pt>
                <c:pt idx="12">
                  <c:v>2.7619980261771912E-4</c:v>
                </c:pt>
                <c:pt idx="13">
                  <c:v>2.7619980261771912E-4</c:v>
                </c:pt>
                <c:pt idx="14">
                  <c:v>2.7619980261771912E-4</c:v>
                </c:pt>
                <c:pt idx="15">
                  <c:v>2.7619980261771912E-4</c:v>
                </c:pt>
                <c:pt idx="16">
                  <c:v>2.7619980261771912E-4</c:v>
                </c:pt>
                <c:pt idx="17">
                  <c:v>2.7619980261771912E-4</c:v>
                </c:pt>
                <c:pt idx="18">
                  <c:v>2.7619980261771912E-4</c:v>
                </c:pt>
                <c:pt idx="19">
                  <c:v>2.7619980261771912E-4</c:v>
                </c:pt>
                <c:pt idx="20">
                  <c:v>2.7619980261771912E-4</c:v>
                </c:pt>
                <c:pt idx="21">
                  <c:v>2.7619980261771912E-4</c:v>
                </c:pt>
                <c:pt idx="22">
                  <c:v>2.7619980261771912E-4</c:v>
                </c:pt>
                <c:pt idx="23">
                  <c:v>2.7619980261771912E-4</c:v>
                </c:pt>
                <c:pt idx="24">
                  <c:v>2.7619980261771912E-4</c:v>
                </c:pt>
                <c:pt idx="25">
                  <c:v>2.7619980261771912E-4</c:v>
                </c:pt>
                <c:pt idx="26">
                  <c:v>2.7619980261771912E-4</c:v>
                </c:pt>
                <c:pt idx="27">
                  <c:v>2.7619980261771912E-4</c:v>
                </c:pt>
                <c:pt idx="28">
                  <c:v>2.7619980261771912E-4</c:v>
                </c:pt>
                <c:pt idx="29">
                  <c:v>2.7619980261771912E-4</c:v>
                </c:pt>
                <c:pt idx="30">
                  <c:v>2.7619980261771912E-4</c:v>
                </c:pt>
                <c:pt idx="31">
                  <c:v>2.7619980261771912E-4</c:v>
                </c:pt>
                <c:pt idx="32">
                  <c:v>2.7619980261771912E-4</c:v>
                </c:pt>
                <c:pt idx="33">
                  <c:v>2.7619980261771912E-4</c:v>
                </c:pt>
                <c:pt idx="34">
                  <c:v>2.7619980261771912E-4</c:v>
                </c:pt>
                <c:pt idx="35">
                  <c:v>2.7619980261771912E-4</c:v>
                </c:pt>
              </c:numCache>
            </c:numRef>
          </c:val>
          <c:smooth val="0"/>
          <c:extLst>
            <c:ext xmlns:c16="http://schemas.microsoft.com/office/drawing/2014/chart" uri="{C3380CC4-5D6E-409C-BE32-E72D297353CC}">
              <c16:uniqueId val="{00000001-D58A-4122-9774-4EEA90A545C8}"/>
            </c:ext>
          </c:extLst>
        </c:ser>
        <c:ser>
          <c:idx val="2"/>
          <c:order val="2"/>
          <c:spPr>
            <a:ln w="22225" cap="rnd">
              <a:solidFill>
                <a:schemeClr val="accent3"/>
              </a:solidFill>
              <a:round/>
            </a:ln>
            <a:effectLst/>
          </c:spPr>
          <c:marker>
            <c:symbol val="triangle"/>
            <c:size val="6"/>
            <c:spPr>
              <a:solidFill>
                <a:schemeClr val="accent3"/>
              </a:solidFill>
              <a:ln w="9525">
                <a:solidFill>
                  <a:schemeClr val="accent3"/>
                </a:solidFill>
                <a:round/>
              </a:ln>
              <a:effectLst/>
            </c:spPr>
          </c:marker>
          <c:cat>
            <c:strRef>
              <c:f>'Complaint Rate'!$I$2:$I$37</c:f>
              <c:strCache>
                <c:ptCount val="36"/>
                <c:pt idx="0">
                  <c:v>Jul 2022</c:v>
                </c:pt>
                <c:pt idx="1">
                  <c:v>Aug 2022</c:v>
                </c:pt>
                <c:pt idx="2">
                  <c:v>Sep 2022</c:v>
                </c:pt>
                <c:pt idx="3">
                  <c:v>Oct 2022</c:v>
                </c:pt>
                <c:pt idx="4">
                  <c:v>Nov 2022</c:v>
                </c:pt>
                <c:pt idx="5">
                  <c:v>Dec 2022</c:v>
                </c:pt>
                <c:pt idx="6">
                  <c:v>Jan 2023</c:v>
                </c:pt>
                <c:pt idx="7">
                  <c:v>Feb 2023</c:v>
                </c:pt>
                <c:pt idx="8">
                  <c:v>Mar 2023</c:v>
                </c:pt>
                <c:pt idx="9">
                  <c:v>Apr 2023</c:v>
                </c:pt>
                <c:pt idx="10">
                  <c:v>May 2023</c:v>
                </c:pt>
                <c:pt idx="11">
                  <c:v>Jun 2023</c:v>
                </c:pt>
                <c:pt idx="12">
                  <c:v>Jul 2023</c:v>
                </c:pt>
                <c:pt idx="13">
                  <c:v>Aug 2023</c:v>
                </c:pt>
                <c:pt idx="14">
                  <c:v>Sep 2023</c:v>
                </c:pt>
                <c:pt idx="15">
                  <c:v>Oct 2023</c:v>
                </c:pt>
                <c:pt idx="16">
                  <c:v>Nov 2023</c:v>
                </c:pt>
                <c:pt idx="17">
                  <c:v>Dec 2023</c:v>
                </c:pt>
                <c:pt idx="18">
                  <c:v>Jan 2024</c:v>
                </c:pt>
                <c:pt idx="19">
                  <c:v>Feb 2024</c:v>
                </c:pt>
                <c:pt idx="20">
                  <c:v>Mar 2024</c:v>
                </c:pt>
                <c:pt idx="21">
                  <c:v>Apr 2024</c:v>
                </c:pt>
                <c:pt idx="22">
                  <c:v>May 2024</c:v>
                </c:pt>
                <c:pt idx="23">
                  <c:v>Jun 2024</c:v>
                </c:pt>
                <c:pt idx="24">
                  <c:v>Jul 2024</c:v>
                </c:pt>
                <c:pt idx="25">
                  <c:v>Aug 2024</c:v>
                </c:pt>
                <c:pt idx="26">
                  <c:v>Sep 2024</c:v>
                </c:pt>
                <c:pt idx="27">
                  <c:v>Oct 2024</c:v>
                </c:pt>
                <c:pt idx="28">
                  <c:v>Nov 2024</c:v>
                </c:pt>
                <c:pt idx="29">
                  <c:v>Dec 2024</c:v>
                </c:pt>
                <c:pt idx="30">
                  <c:v>Jan 2025</c:v>
                </c:pt>
                <c:pt idx="31">
                  <c:v>Feb 2025</c:v>
                </c:pt>
                <c:pt idx="32">
                  <c:v>Mar 2025</c:v>
                </c:pt>
                <c:pt idx="33">
                  <c:v>Apr 2025</c:v>
                </c:pt>
                <c:pt idx="34">
                  <c:v>May 2025</c:v>
                </c:pt>
                <c:pt idx="35">
                  <c:v>Jun 2025</c:v>
                </c:pt>
              </c:strCache>
            </c:strRef>
          </c:cat>
          <c:val>
            <c:numRef>
              <c:f>'Complaint Rate'!$L$2:$L$37</c:f>
              <c:numCache>
                <c:formatCode>0.0000</c:formatCode>
                <c:ptCount val="36"/>
                <c:pt idx="0">
                  <c:v>2.3740003463252955E-3</c:v>
                </c:pt>
                <c:pt idx="1">
                  <c:v>2.3740003463252955E-3</c:v>
                </c:pt>
                <c:pt idx="2">
                  <c:v>2.3740003463252955E-3</c:v>
                </c:pt>
                <c:pt idx="3">
                  <c:v>2.3740003463252955E-3</c:v>
                </c:pt>
                <c:pt idx="4">
                  <c:v>2.3740003463252955E-3</c:v>
                </c:pt>
                <c:pt idx="5">
                  <c:v>2.3740003463252955E-3</c:v>
                </c:pt>
                <c:pt idx="6">
                  <c:v>2.3740003463252955E-3</c:v>
                </c:pt>
                <c:pt idx="7">
                  <c:v>2.3740003463252955E-3</c:v>
                </c:pt>
                <c:pt idx="8">
                  <c:v>2.3740003463252955E-3</c:v>
                </c:pt>
                <c:pt idx="9">
                  <c:v>2.3740003463252955E-3</c:v>
                </c:pt>
                <c:pt idx="10">
                  <c:v>2.3740003463252955E-3</c:v>
                </c:pt>
                <c:pt idx="11">
                  <c:v>2.3740003463252955E-3</c:v>
                </c:pt>
                <c:pt idx="12">
                  <c:v>2.3740003463252955E-3</c:v>
                </c:pt>
                <c:pt idx="13">
                  <c:v>2.3740003463252955E-3</c:v>
                </c:pt>
                <c:pt idx="14">
                  <c:v>2.3740003463252955E-3</c:v>
                </c:pt>
                <c:pt idx="15">
                  <c:v>2.3740003463252955E-3</c:v>
                </c:pt>
                <c:pt idx="16">
                  <c:v>2.3740003463252955E-3</c:v>
                </c:pt>
                <c:pt idx="17">
                  <c:v>2.3740003463252955E-3</c:v>
                </c:pt>
                <c:pt idx="18">
                  <c:v>2.3740003463252955E-3</c:v>
                </c:pt>
                <c:pt idx="19">
                  <c:v>2.3740003463252955E-3</c:v>
                </c:pt>
                <c:pt idx="20">
                  <c:v>2.3740003463252955E-3</c:v>
                </c:pt>
                <c:pt idx="21">
                  <c:v>2.3740003463252955E-3</c:v>
                </c:pt>
                <c:pt idx="22">
                  <c:v>2.3740003463252955E-3</c:v>
                </c:pt>
                <c:pt idx="23">
                  <c:v>2.3740003463252955E-3</c:v>
                </c:pt>
                <c:pt idx="24">
                  <c:v>2.3740003463252955E-3</c:v>
                </c:pt>
                <c:pt idx="25">
                  <c:v>2.3740003463252955E-3</c:v>
                </c:pt>
                <c:pt idx="26">
                  <c:v>2.3740003463252955E-3</c:v>
                </c:pt>
                <c:pt idx="27">
                  <c:v>2.3740003463252955E-3</c:v>
                </c:pt>
                <c:pt idx="28">
                  <c:v>2.3740003463252955E-3</c:v>
                </c:pt>
                <c:pt idx="29">
                  <c:v>2.3740003463252955E-3</c:v>
                </c:pt>
                <c:pt idx="30">
                  <c:v>2.3740003463252955E-3</c:v>
                </c:pt>
                <c:pt idx="31">
                  <c:v>2.3740003463252955E-3</c:v>
                </c:pt>
                <c:pt idx="32">
                  <c:v>2.3740003463252955E-3</c:v>
                </c:pt>
                <c:pt idx="33">
                  <c:v>2.3740003463252955E-3</c:v>
                </c:pt>
                <c:pt idx="34">
                  <c:v>2.3740003463252955E-3</c:v>
                </c:pt>
                <c:pt idx="35">
                  <c:v>2.3740003463252955E-3</c:v>
                </c:pt>
              </c:numCache>
            </c:numRef>
          </c:val>
          <c:smooth val="0"/>
          <c:extLst>
            <c:ext xmlns:c16="http://schemas.microsoft.com/office/drawing/2014/chart" uri="{C3380CC4-5D6E-409C-BE32-E72D297353CC}">
              <c16:uniqueId val="{00000002-D58A-4122-9774-4EEA90A545C8}"/>
            </c:ext>
          </c:extLst>
        </c:ser>
        <c:dLbls>
          <c:showLegendKey val="0"/>
          <c:showVal val="0"/>
          <c:showCatName val="0"/>
          <c:showSerName val="0"/>
          <c:showPercent val="0"/>
          <c:showBubbleSize val="0"/>
        </c:dLbls>
        <c:marker val="1"/>
        <c:smooth val="0"/>
        <c:axId val="1159154208"/>
        <c:axId val="1159154688"/>
      </c:lineChart>
      <c:catAx>
        <c:axId val="11591542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159154688"/>
        <c:crosses val="autoZero"/>
        <c:auto val="1"/>
        <c:lblAlgn val="ctr"/>
        <c:lblOffset val="100"/>
        <c:noMultiLvlLbl val="0"/>
      </c:catAx>
      <c:valAx>
        <c:axId val="1159154688"/>
        <c:scaling>
          <c:orientation val="minMax"/>
        </c:scaling>
        <c:delete val="0"/>
        <c:axPos val="l"/>
        <c:numFmt formatCode="0.0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1542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'sales tables'!$C$24</c:f>
              <c:strCache>
                <c:ptCount val="1"/>
                <c:pt idx="0">
                  <c:v>Units Sold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'sales tables'!$B$25:$B$60</c:f>
              <c:numCache>
                <c:formatCode>mmm\ yyyy</c:formatCode>
                <c:ptCount val="36"/>
                <c:pt idx="0">
                  <c:v>44743</c:v>
                </c:pt>
                <c:pt idx="1">
                  <c:v>44774</c:v>
                </c:pt>
                <c:pt idx="2">
                  <c:v>44805</c:v>
                </c:pt>
                <c:pt idx="3">
                  <c:v>44835</c:v>
                </c:pt>
                <c:pt idx="4">
                  <c:v>44866</c:v>
                </c:pt>
                <c:pt idx="5">
                  <c:v>44896</c:v>
                </c:pt>
                <c:pt idx="6">
                  <c:v>44927</c:v>
                </c:pt>
                <c:pt idx="7">
                  <c:v>44958</c:v>
                </c:pt>
                <c:pt idx="8">
                  <c:v>44986</c:v>
                </c:pt>
                <c:pt idx="9">
                  <c:v>45017</c:v>
                </c:pt>
                <c:pt idx="10">
                  <c:v>45047</c:v>
                </c:pt>
                <c:pt idx="11">
                  <c:v>45078</c:v>
                </c:pt>
                <c:pt idx="12">
                  <c:v>45108</c:v>
                </c:pt>
                <c:pt idx="13">
                  <c:v>45139</c:v>
                </c:pt>
                <c:pt idx="14">
                  <c:v>45170</c:v>
                </c:pt>
                <c:pt idx="15">
                  <c:v>45200</c:v>
                </c:pt>
                <c:pt idx="16">
                  <c:v>45231</c:v>
                </c:pt>
                <c:pt idx="17">
                  <c:v>45261</c:v>
                </c:pt>
                <c:pt idx="18">
                  <c:v>45292</c:v>
                </c:pt>
                <c:pt idx="19">
                  <c:v>45323</c:v>
                </c:pt>
                <c:pt idx="20">
                  <c:v>45352</c:v>
                </c:pt>
                <c:pt idx="21">
                  <c:v>45383</c:v>
                </c:pt>
                <c:pt idx="22">
                  <c:v>45413</c:v>
                </c:pt>
                <c:pt idx="23">
                  <c:v>45444</c:v>
                </c:pt>
                <c:pt idx="24">
                  <c:v>45474</c:v>
                </c:pt>
                <c:pt idx="25">
                  <c:v>45505</c:v>
                </c:pt>
                <c:pt idx="26">
                  <c:v>45536</c:v>
                </c:pt>
                <c:pt idx="27">
                  <c:v>45566</c:v>
                </c:pt>
                <c:pt idx="28">
                  <c:v>45597</c:v>
                </c:pt>
                <c:pt idx="29">
                  <c:v>45627</c:v>
                </c:pt>
                <c:pt idx="30">
                  <c:v>45658</c:v>
                </c:pt>
                <c:pt idx="31">
                  <c:v>45689</c:v>
                </c:pt>
                <c:pt idx="32">
                  <c:v>45717</c:v>
                </c:pt>
                <c:pt idx="33">
                  <c:v>45748</c:v>
                </c:pt>
                <c:pt idx="34">
                  <c:v>45778</c:v>
                </c:pt>
                <c:pt idx="35">
                  <c:v>45809</c:v>
                </c:pt>
              </c:numCache>
            </c:numRef>
          </c:cat>
          <c:val>
            <c:numRef>
              <c:f>'sales tables'!$C$25:$C$60</c:f>
              <c:numCache>
                <c:formatCode>General</c:formatCode>
                <c:ptCount val="36"/>
                <c:pt idx="0">
                  <c:v>1569</c:v>
                </c:pt>
                <c:pt idx="1">
                  <c:v>1518</c:v>
                </c:pt>
                <c:pt idx="2">
                  <c:v>1521</c:v>
                </c:pt>
                <c:pt idx="3">
                  <c:v>1548</c:v>
                </c:pt>
                <c:pt idx="4">
                  <c:v>1528</c:v>
                </c:pt>
                <c:pt idx="5">
                  <c:v>1201</c:v>
                </c:pt>
                <c:pt idx="6">
                  <c:v>2007</c:v>
                </c:pt>
                <c:pt idx="7">
                  <c:v>1670</c:v>
                </c:pt>
                <c:pt idx="8">
                  <c:v>1972</c:v>
                </c:pt>
                <c:pt idx="9">
                  <c:v>1610</c:v>
                </c:pt>
                <c:pt idx="10">
                  <c:v>1777</c:v>
                </c:pt>
                <c:pt idx="11">
                  <c:v>1682</c:v>
                </c:pt>
                <c:pt idx="12">
                  <c:v>1689</c:v>
                </c:pt>
                <c:pt idx="13">
                  <c:v>1684</c:v>
                </c:pt>
                <c:pt idx="14">
                  <c:v>1601</c:v>
                </c:pt>
                <c:pt idx="15">
                  <c:v>1645</c:v>
                </c:pt>
                <c:pt idx="16">
                  <c:v>1635</c:v>
                </c:pt>
                <c:pt idx="17">
                  <c:v>1404</c:v>
                </c:pt>
                <c:pt idx="18">
                  <c:v>2666</c:v>
                </c:pt>
                <c:pt idx="19">
                  <c:v>1042</c:v>
                </c:pt>
                <c:pt idx="20">
                  <c:v>2146</c:v>
                </c:pt>
                <c:pt idx="21">
                  <c:v>1780</c:v>
                </c:pt>
                <c:pt idx="22">
                  <c:v>1826</c:v>
                </c:pt>
                <c:pt idx="23">
                  <c:v>1608</c:v>
                </c:pt>
                <c:pt idx="24">
                  <c:v>1624</c:v>
                </c:pt>
                <c:pt idx="25">
                  <c:v>1489</c:v>
                </c:pt>
                <c:pt idx="26">
                  <c:v>1787</c:v>
                </c:pt>
                <c:pt idx="27">
                  <c:v>2484</c:v>
                </c:pt>
                <c:pt idx="28">
                  <c:v>682</c:v>
                </c:pt>
                <c:pt idx="29">
                  <c:v>2069</c:v>
                </c:pt>
                <c:pt idx="30">
                  <c:v>1741</c:v>
                </c:pt>
                <c:pt idx="31">
                  <c:v>1630</c:v>
                </c:pt>
                <c:pt idx="32">
                  <c:v>1515</c:v>
                </c:pt>
                <c:pt idx="33">
                  <c:v>1772</c:v>
                </c:pt>
                <c:pt idx="34">
                  <c:v>1741</c:v>
                </c:pt>
                <c:pt idx="35">
                  <c:v>1613</c:v>
                </c:pt>
              </c:numCache>
            </c:numRef>
          </c:val>
          <c:smooth val="0"/>
          <c:extLst>
            <c:ext xmlns:c16="http://schemas.microsoft.com/office/drawing/2014/chart" uri="{C3380CC4-5D6E-409C-BE32-E72D297353CC}">
              <c16:uniqueId val="{00000000-A6C0-47C8-A17C-E0EE64EF909C}"/>
            </c:ext>
          </c:extLst>
        </c:ser>
        <c:dLbls>
          <c:showLegendKey val="0"/>
          <c:showVal val="0"/>
          <c:showCatName val="0"/>
          <c:showSerName val="0"/>
          <c:showPercent val="0"/>
          <c:showBubbleSize val="0"/>
        </c:dLbls>
        <c:marker val="1"/>
        <c:smooth val="0"/>
        <c:axId val="710152304"/>
        <c:axId val="710153744"/>
      </c:lineChart>
      <c:dateAx>
        <c:axId val="710152304"/>
        <c:scaling>
          <c:orientation val="minMax"/>
        </c:scaling>
        <c:delete val="0"/>
        <c:axPos val="b"/>
        <c:numFmt formatCode="mmm\ 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153744"/>
        <c:crosses val="autoZero"/>
        <c:auto val="1"/>
        <c:lblOffset val="100"/>
        <c:baseTimeUnit val="months"/>
      </c:dateAx>
      <c:valAx>
        <c:axId val="710153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1523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E293B"/>
                </a:solidFill>
                <a:latin typeface="Aptos"/>
                <a:ea typeface="Aptos"/>
                <a:cs typeface="Aptos"/>
              </a:defRPr>
            </a:pPr>
            <a:r>
              <a:rPr lang="en-US"/>
              <a:t>Device Problem Distribution</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E293B"/>
              </a:solidFill>
              <a:latin typeface="Aptos"/>
              <a:ea typeface="Aptos"/>
              <a:cs typeface="Aptos"/>
            </a:defRPr>
          </a:pPr>
          <a:endParaRPr lang="en-US"/>
        </a:p>
      </c:txPr>
    </c:title>
    <c:autoTitleDeleted val="0"/>
    <c:plotArea>
      <c:layout/>
      <c:doughnutChart>
        <c:varyColors val="1"/>
        <c:ser>
          <c:idx val="0"/>
          <c:order val="0"/>
          <c:tx>
            <c:strRef>
              <c:f>Dashboard!$D$10</c:f>
              <c:strCache>
                <c:ptCount val="1"/>
                <c:pt idx="0">
                  <c:v>Count</c:v>
                </c:pt>
              </c:strCache>
            </c:strRef>
          </c:tx>
          <c:dPt>
            <c:idx val="0"/>
            <c:bubble3D val="0"/>
            <c:spPr>
              <a:solidFill>
                <a:srgbClr val="2563EB"/>
              </a:solidFill>
              <a:ln w="19050">
                <a:solidFill>
                  <a:schemeClr val="lt1"/>
                </a:solidFill>
              </a:ln>
              <a:effectLst/>
            </c:spPr>
            <c:extLst>
              <c:ext xmlns:c16="http://schemas.microsoft.com/office/drawing/2014/chart" uri="{C3380CC4-5D6E-409C-BE32-E72D297353CC}">
                <c16:uniqueId val="{00000001-1A7E-47C9-B886-6B3A8C996F19}"/>
              </c:ext>
            </c:extLst>
          </c:dPt>
          <c:dPt>
            <c:idx val="1"/>
            <c:bubble3D val="0"/>
            <c:spPr>
              <a:solidFill>
                <a:srgbClr val="059669"/>
              </a:solidFill>
              <a:ln w="19050">
                <a:solidFill>
                  <a:schemeClr val="lt1"/>
                </a:solidFill>
              </a:ln>
              <a:effectLst/>
            </c:spPr>
            <c:extLst>
              <c:ext xmlns:c16="http://schemas.microsoft.com/office/drawing/2014/chart" uri="{C3380CC4-5D6E-409C-BE32-E72D297353CC}">
                <c16:uniqueId val="{00000003-1A7E-47C9-B886-6B3A8C996F19}"/>
              </c:ext>
            </c:extLst>
          </c:dPt>
          <c:dPt>
            <c:idx val="2"/>
            <c:bubble3D val="0"/>
            <c:spPr>
              <a:solidFill>
                <a:srgbClr val="D97706"/>
              </a:solidFill>
              <a:ln w="19050">
                <a:solidFill>
                  <a:schemeClr val="lt1"/>
                </a:solidFill>
              </a:ln>
              <a:effectLst/>
            </c:spPr>
            <c:extLst>
              <c:ext xmlns:c16="http://schemas.microsoft.com/office/drawing/2014/chart" uri="{C3380CC4-5D6E-409C-BE32-E72D297353CC}">
                <c16:uniqueId val="{00000005-1A7E-47C9-B886-6B3A8C996F19}"/>
              </c:ext>
            </c:extLst>
          </c:dPt>
          <c:dPt>
            <c:idx val="3"/>
            <c:bubble3D val="0"/>
            <c:spPr>
              <a:solidFill>
                <a:srgbClr val="DC2626"/>
              </a:solidFill>
              <a:ln w="19050">
                <a:solidFill>
                  <a:schemeClr val="lt1"/>
                </a:solidFill>
              </a:ln>
              <a:effectLst/>
            </c:spPr>
            <c:extLst>
              <c:ext xmlns:c16="http://schemas.microsoft.com/office/drawing/2014/chart" uri="{C3380CC4-5D6E-409C-BE32-E72D297353CC}">
                <c16:uniqueId val="{00000007-1A7E-47C9-B886-6B3A8C996F19}"/>
              </c:ext>
            </c:extLst>
          </c:dPt>
          <c:dPt>
            <c:idx val="4"/>
            <c:bubble3D val="0"/>
            <c:spPr>
              <a:solidFill>
                <a:srgbClr val="7C3AED"/>
              </a:solidFill>
              <a:ln w="19050">
                <a:solidFill>
                  <a:schemeClr val="lt1"/>
                </a:solidFill>
              </a:ln>
              <a:effectLst/>
            </c:spPr>
            <c:extLst>
              <c:ext xmlns:c16="http://schemas.microsoft.com/office/drawing/2014/chart" uri="{C3380CC4-5D6E-409C-BE32-E72D297353CC}">
                <c16:uniqueId val="{00000009-1A7E-47C9-B886-6B3A8C996F19}"/>
              </c:ext>
            </c:extLst>
          </c:dPt>
          <c:dPt>
            <c:idx val="5"/>
            <c:bubble3D val="0"/>
            <c:spPr>
              <a:solidFill>
                <a:srgbClr val="0891B2"/>
              </a:solidFill>
              <a:ln w="19050">
                <a:solidFill>
                  <a:schemeClr val="lt1"/>
                </a:solidFill>
              </a:ln>
              <a:effectLst/>
            </c:spPr>
            <c:extLst>
              <c:ext xmlns:c16="http://schemas.microsoft.com/office/drawing/2014/chart" uri="{C3380CC4-5D6E-409C-BE32-E72D297353CC}">
                <c16:uniqueId val="{0000000B-1A7E-47C9-B886-6B3A8C996F19}"/>
              </c:ext>
            </c:extLst>
          </c:dPt>
          <c:cat>
            <c:strRef>
              <c:f>Dashboard!$C$11:$C$16</c:f>
              <c:strCache>
                <c:ptCount val="6"/>
                <c:pt idx="0">
                  <c:v>UNKNOWN - colorph</c:v>
                </c:pt>
                <c:pt idx="1">
                  <c:v>UNKNOWN - arrivedwarm</c:v>
                </c:pt>
                <c:pt idx="2">
                  <c:v>Defective Device</c:v>
                </c:pt>
                <c:pt idx="3">
                  <c:v>Break</c:v>
                </c:pt>
                <c:pt idx="4">
                  <c:v>Contamination</c:v>
                </c:pt>
                <c:pt idx="5">
                  <c:v>UNKNOWN - particles</c:v>
                </c:pt>
              </c:strCache>
            </c:strRef>
          </c:cat>
          <c:val>
            <c:numRef>
              <c:f>Dashboard!$D$11:$D$16</c:f>
              <c:numCache>
                <c:formatCode>General</c:formatCode>
                <c:ptCount val="6"/>
                <c:pt idx="0">
                  <c:v>9</c:v>
                </c:pt>
                <c:pt idx="1">
                  <c:v>4</c:v>
                </c:pt>
                <c:pt idx="2">
                  <c:v>2</c:v>
                </c:pt>
                <c:pt idx="3">
                  <c:v>2</c:v>
                </c:pt>
                <c:pt idx="4">
                  <c:v>1</c:v>
                </c:pt>
                <c:pt idx="5">
                  <c:v>1</c:v>
                </c:pt>
              </c:numCache>
            </c:numRef>
          </c:val>
          <c:extLst>
            <c:ext xmlns:c16="http://schemas.microsoft.com/office/drawing/2014/chart" uri="{C3380CC4-5D6E-409C-BE32-E72D297353CC}">
              <c16:uniqueId val="{0000000C-1A7E-47C9-B886-6B3A8C996F19}"/>
            </c:ext>
          </c:extLst>
        </c:ser>
        <c:ser>
          <c:idx val="1"/>
          <c:order val="1"/>
          <c:tx>
            <c:strRef>
              <c:f>Dashboard!$E$10</c:f>
              <c:strCache>
                <c:ptCount val="1"/>
                <c:pt idx="0">
                  <c:v>% Share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E-1A7E-47C9-B886-6B3A8C996F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0-1A7E-47C9-B886-6B3A8C996F1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2-1A7E-47C9-B886-6B3A8C996F1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4-1A7E-47C9-B886-6B3A8C996F1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6-1A7E-47C9-B886-6B3A8C996F1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8-1A7E-47C9-B886-6B3A8C996F19}"/>
              </c:ext>
            </c:extLst>
          </c:dPt>
          <c:cat>
            <c:strRef>
              <c:f>Dashboard!$C$11:$C$16</c:f>
              <c:strCache>
                <c:ptCount val="6"/>
                <c:pt idx="0">
                  <c:v>UNKNOWN - colorph</c:v>
                </c:pt>
                <c:pt idx="1">
                  <c:v>UNKNOWN - arrivedwarm</c:v>
                </c:pt>
                <c:pt idx="2">
                  <c:v>Defective Device</c:v>
                </c:pt>
                <c:pt idx="3">
                  <c:v>Break</c:v>
                </c:pt>
                <c:pt idx="4">
                  <c:v>Contamination</c:v>
                </c:pt>
                <c:pt idx="5">
                  <c:v>UNKNOWN - particles</c:v>
                </c:pt>
              </c:strCache>
            </c:strRef>
          </c:cat>
          <c:val>
            <c:numRef>
              <c:f>Dashboard!$E$11:$E$16</c:f>
              <c:numCache>
                <c:formatCode>0%</c:formatCode>
                <c:ptCount val="6"/>
                <c:pt idx="0">
                  <c:v>0.5625</c:v>
                </c:pt>
                <c:pt idx="1">
                  <c:v>0.25</c:v>
                </c:pt>
                <c:pt idx="2">
                  <c:v>0.125</c:v>
                </c:pt>
                <c:pt idx="3">
                  <c:v>0.125</c:v>
                </c:pt>
                <c:pt idx="4">
                  <c:v>6.25E-2</c:v>
                </c:pt>
                <c:pt idx="5">
                  <c:v>6.25E-2</c:v>
                </c:pt>
              </c:numCache>
            </c:numRef>
          </c:val>
          <c:extLst>
            <c:ext xmlns:c16="http://schemas.microsoft.com/office/drawing/2014/chart" uri="{C3380CC4-5D6E-409C-BE32-E72D297353CC}">
              <c16:uniqueId val="{00000019-1A7E-47C9-B886-6B3A8C996F19}"/>
            </c:ext>
          </c:extLst>
        </c:ser>
        <c:dLbls>
          <c:showLegendKey val="0"/>
          <c:showVal val="0"/>
          <c:showCatName val="0"/>
          <c:showSerName val="0"/>
          <c:showPercent val="0"/>
          <c:showBubbleSize val="0"/>
          <c:showLeaderLines val="1"/>
        </c:dLbls>
        <c:firstSliceAng val="0"/>
        <c:holeSize val="75"/>
      </c:doughnutChart>
      <c:spPr>
        <a:solidFill>
          <a:srgbClr val="FFFFFF"/>
        </a:solidFill>
        <a:ln w="25400">
          <a:noFill/>
        </a:ln>
        <a:effectLst/>
      </c:spPr>
    </c:plotArea>
    <c:legend>
      <c:legendPos val="b"/>
      <c:overlay val="0"/>
      <c:spPr>
        <a:solidFill>
          <a:srgbClr val="FFFFFF"/>
        </a:solidFill>
        <a:ln>
          <a:noFill/>
        </a:ln>
        <a:effectLst/>
      </c:spPr>
      <c:txPr>
        <a:bodyPr rot="0" spcFirstLastPara="1" vertOverflow="ellipsis" vert="horz" wrap="square" anchor="ctr" anchorCtr="1"/>
        <a:lstStyle/>
        <a:p>
          <a:pPr>
            <a:defRPr sz="900" b="0" i="0" u="none" strike="noStrike" kern="1200" baseline="0">
              <a:solidFill>
                <a:srgbClr val="37415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1E3A5F"/>
      </a:solidFill>
      <a:prstDash val="solid"/>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E293B"/>
                </a:solidFill>
                <a:latin typeface="Aptos"/>
                <a:ea typeface="Aptos"/>
                <a:cs typeface="Aptos"/>
              </a:defRPr>
            </a:pPr>
            <a:r>
              <a:rPr lang="en-US"/>
              <a:t>Monthly Complaints</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E293B"/>
              </a:solidFill>
              <a:latin typeface="Aptos"/>
              <a:ea typeface="Aptos"/>
              <a:cs typeface="Aptos"/>
            </a:defRPr>
          </a:pPr>
          <a:endParaRPr lang="en-US"/>
        </a:p>
      </c:txPr>
    </c:title>
    <c:autoTitleDeleted val="0"/>
    <c:plotArea>
      <c:layout/>
      <c:barChart>
        <c:barDir val="col"/>
        <c:grouping val="clustered"/>
        <c:varyColors val="0"/>
        <c:ser>
          <c:idx val="0"/>
          <c:order val="0"/>
          <c:tx>
            <c:strRef>
              <c:f>Dashboard!$I$10</c:f>
              <c:strCache>
                <c:ptCount val="1"/>
                <c:pt idx="0">
                  <c:v>Complaints</c:v>
                </c:pt>
              </c:strCache>
            </c:strRef>
          </c:tx>
          <c:spPr>
            <a:solidFill>
              <a:srgbClr val="2563EB"/>
            </a:solidFill>
            <a:ln w="25400">
              <a:solidFill>
                <a:srgbClr val="2563EB"/>
              </a:solidFill>
              <a:prstDash val="solid"/>
            </a:ln>
            <a:effectLst/>
          </c:spPr>
          <c:invertIfNegative val="0"/>
          <c:cat>
            <c:numRef>
              <c:f>Dashboard!$H$11:$H$24</c:f>
              <c:numCache>
                <c:formatCode>mmm\-yy</c:formatCode>
                <c:ptCount val="14"/>
                <c:pt idx="0">
                  <c:v>44743</c:v>
                </c:pt>
                <c:pt idx="1">
                  <c:v>44774</c:v>
                </c:pt>
                <c:pt idx="2">
                  <c:v>44805</c:v>
                </c:pt>
                <c:pt idx="3">
                  <c:v>44835</c:v>
                </c:pt>
                <c:pt idx="4">
                  <c:v>44866</c:v>
                </c:pt>
                <c:pt idx="5">
                  <c:v>44896</c:v>
                </c:pt>
                <c:pt idx="6">
                  <c:v>44927</c:v>
                </c:pt>
                <c:pt idx="7">
                  <c:v>44958</c:v>
                </c:pt>
                <c:pt idx="8">
                  <c:v>44986</c:v>
                </c:pt>
                <c:pt idx="9">
                  <c:v>45017</c:v>
                </c:pt>
                <c:pt idx="10">
                  <c:v>45047</c:v>
                </c:pt>
                <c:pt idx="11">
                  <c:v>45078</c:v>
                </c:pt>
                <c:pt idx="12">
                  <c:v>45108</c:v>
                </c:pt>
                <c:pt idx="13">
                  <c:v>45139</c:v>
                </c:pt>
              </c:numCache>
            </c:numRef>
          </c:cat>
          <c:val>
            <c:numRef>
              <c:f>Dashboard!$I$11:$I$24</c:f>
              <c:numCache>
                <c:formatCode>General</c:formatCode>
                <c:ptCount val="14"/>
                <c:pt idx="0">
                  <c:v>0</c:v>
                </c:pt>
                <c:pt idx="1">
                  <c:v>0</c:v>
                </c:pt>
                <c:pt idx="2">
                  <c:v>0</c:v>
                </c:pt>
                <c:pt idx="3">
                  <c:v>0</c:v>
                </c:pt>
                <c:pt idx="4">
                  <c:v>0</c:v>
                </c:pt>
                <c:pt idx="5">
                  <c:v>0</c:v>
                </c:pt>
                <c:pt idx="6">
                  <c:v>0</c:v>
                </c:pt>
                <c:pt idx="7">
                  <c:v>0</c:v>
                </c:pt>
                <c:pt idx="8">
                  <c:v>1</c:v>
                </c:pt>
                <c:pt idx="9">
                  <c:v>1</c:v>
                </c:pt>
                <c:pt idx="10">
                  <c:v>3</c:v>
                </c:pt>
                <c:pt idx="11">
                  <c:v>6</c:v>
                </c:pt>
                <c:pt idx="12">
                  <c:v>0</c:v>
                </c:pt>
                <c:pt idx="13">
                  <c:v>0</c:v>
                </c:pt>
              </c:numCache>
            </c:numRef>
          </c:val>
          <c:extLst>
            <c:ext xmlns:c16="http://schemas.microsoft.com/office/drawing/2014/chart" uri="{C3380CC4-5D6E-409C-BE32-E72D297353CC}">
              <c16:uniqueId val="{00000000-3B07-4862-A64E-CAD20251B45D}"/>
            </c:ext>
          </c:extLst>
        </c:ser>
        <c:dLbls>
          <c:showLegendKey val="0"/>
          <c:showVal val="0"/>
          <c:showCatName val="0"/>
          <c:showSerName val="0"/>
          <c:showPercent val="0"/>
          <c:showBubbleSize val="0"/>
        </c:dLbls>
        <c:gapWidth val="219"/>
        <c:overlap val="-27"/>
        <c:axId val="1196070496"/>
        <c:axId val="1196071456"/>
      </c:barChart>
      <c:dateAx>
        <c:axId val="1196070496"/>
        <c:scaling>
          <c:orientation val="minMax"/>
        </c:scaling>
        <c:delete val="0"/>
        <c:axPos val="b"/>
        <c:numFmt formatCode="mmm\-yy" sourceLinked="1"/>
        <c:majorTickMark val="out"/>
        <c:minorTickMark val="none"/>
        <c:tickLblPos val="nextTo"/>
        <c:spPr>
          <a:noFill/>
          <a:ln w="9525" cap="flat" cmpd="sng" algn="ctr">
            <a:solidFill>
              <a:srgbClr val="D1D5DB"/>
            </a:solidFill>
            <a:prstDash val="solid"/>
            <a:round/>
          </a:ln>
          <a:effectLst/>
        </c:spPr>
        <c:txPr>
          <a:bodyPr rot="-60000000" spcFirstLastPara="1" vertOverflow="ellipsis" vert="horz" wrap="square" anchor="ctr" anchorCtr="1"/>
          <a:lstStyle/>
          <a:p>
            <a:pPr>
              <a:defRPr sz="900" b="0" i="0" u="none" strike="noStrike" kern="1200" baseline="0">
                <a:solidFill>
                  <a:srgbClr val="374151"/>
                </a:solidFill>
                <a:latin typeface="Aptos"/>
                <a:ea typeface="Aptos"/>
                <a:cs typeface="Aptos"/>
              </a:defRPr>
            </a:pPr>
            <a:endParaRPr lang="en-US"/>
          </a:p>
        </c:txPr>
        <c:crossAx val="1196071456"/>
        <c:crosses val="autoZero"/>
        <c:auto val="1"/>
        <c:lblOffset val="100"/>
        <c:baseTimeUnit val="months"/>
      </c:dateAx>
      <c:valAx>
        <c:axId val="1196071456"/>
        <c:scaling>
          <c:orientation val="minMax"/>
        </c:scaling>
        <c:delete val="0"/>
        <c:axPos val="l"/>
        <c:majorGridlines>
          <c:spPr>
            <a:ln w="9525" cap="flat" cmpd="sng" algn="ctr">
              <a:solidFill>
                <a:srgbClr val="E5E7EB"/>
              </a:solidFill>
              <a:prstDash val="solid"/>
              <a:round/>
            </a:ln>
            <a:effectLst/>
          </c:spPr>
        </c:majorGridlines>
        <c:numFmt formatCode="General" sourceLinked="1"/>
        <c:majorTickMark val="none"/>
        <c:minorTickMark val="none"/>
        <c:tickLblPos val="nextTo"/>
        <c:spPr>
          <a:noFill/>
          <a:ln>
            <a:solidFill>
              <a:srgbClr val="D1D5DB"/>
            </a:solidFill>
            <a:prstDash val="solid"/>
          </a:ln>
          <a:effectLst/>
        </c:spPr>
        <c:txPr>
          <a:bodyPr rot="-60000000" spcFirstLastPara="1" vertOverflow="ellipsis" vert="horz" wrap="square" anchor="ctr" anchorCtr="1"/>
          <a:lstStyle/>
          <a:p>
            <a:pPr>
              <a:defRPr sz="900" b="0" i="0" u="none" strike="noStrike" kern="1200" baseline="0">
                <a:solidFill>
                  <a:srgbClr val="374151"/>
                </a:solidFill>
                <a:latin typeface="Aptos"/>
                <a:ea typeface="Aptos"/>
                <a:cs typeface="Aptos"/>
              </a:defRPr>
            </a:pPr>
            <a:endParaRPr lang="en-US"/>
          </a:p>
        </c:txPr>
        <c:crossAx val="1196070496"/>
        <c:crosses val="autoZero"/>
        <c:crossBetween val="between"/>
      </c:valAx>
      <c:spPr>
        <a:solidFill>
          <a:srgbClr val="FFFFFF"/>
        </a:solidFill>
        <a:ln w="25400">
          <a:noFill/>
        </a:ln>
        <a:effectLst/>
      </c:spPr>
    </c:plotArea>
    <c:legend>
      <c:legendPos val="r"/>
      <c:overlay val="0"/>
      <c:spPr>
        <a:solidFill>
          <a:srgbClr val="FFFFFF"/>
        </a:solidFill>
        <a:ln>
          <a:noFill/>
        </a:ln>
        <a:effectLst/>
      </c:spPr>
      <c:txPr>
        <a:bodyPr rot="0" spcFirstLastPara="1" vertOverflow="ellipsis" vert="horz" wrap="square" anchor="ctr" anchorCtr="1"/>
        <a:lstStyle/>
        <a:p>
          <a:pPr>
            <a:defRPr sz="900" b="0" i="0" u="none" strike="noStrike" kern="1200" baseline="0">
              <a:solidFill>
                <a:srgbClr val="37415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1E3A5F"/>
      </a:solidFill>
      <a:prstDash val="solid"/>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E293B"/>
                </a:solidFill>
                <a:latin typeface="Aptos"/>
                <a:ea typeface="Aptos"/>
                <a:cs typeface="Aptos"/>
              </a:defRPr>
            </a:pPr>
            <a:r>
              <a:rPr lang="en-US"/>
              <a:t>Sales Distribution by Region</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E293B"/>
              </a:solidFill>
              <a:latin typeface="Aptos"/>
              <a:ea typeface="Aptos"/>
              <a:cs typeface="Aptos"/>
            </a:defRPr>
          </a:pPr>
          <a:endParaRPr lang="en-US"/>
        </a:p>
      </c:txPr>
    </c:title>
    <c:autoTitleDeleted val="0"/>
    <c:plotArea>
      <c:layout/>
      <c:pieChart>
        <c:varyColors val="1"/>
        <c:ser>
          <c:idx val="0"/>
          <c:order val="0"/>
          <c:tx>
            <c:strRef>
              <c:f>Dashboard!$N$10</c:f>
              <c:strCache>
                <c:ptCount val="1"/>
                <c:pt idx="0">
                  <c:v>Units</c:v>
                </c:pt>
              </c:strCache>
            </c:strRef>
          </c:tx>
          <c:dPt>
            <c:idx val="0"/>
            <c:bubble3D val="0"/>
            <c:spPr>
              <a:solidFill>
                <a:srgbClr val="2563EB"/>
              </a:solidFill>
              <a:ln w="19050">
                <a:solidFill>
                  <a:schemeClr val="lt1"/>
                </a:solidFill>
              </a:ln>
              <a:effectLst/>
            </c:spPr>
            <c:extLst>
              <c:ext xmlns:c16="http://schemas.microsoft.com/office/drawing/2014/chart" uri="{C3380CC4-5D6E-409C-BE32-E72D297353CC}">
                <c16:uniqueId val="{00000001-7CD5-42D9-94EE-11B371DE8BAB}"/>
              </c:ext>
            </c:extLst>
          </c:dPt>
          <c:dPt>
            <c:idx val="1"/>
            <c:bubble3D val="0"/>
            <c:spPr>
              <a:solidFill>
                <a:srgbClr val="059669"/>
              </a:solidFill>
              <a:ln w="19050">
                <a:solidFill>
                  <a:schemeClr val="lt1"/>
                </a:solidFill>
              </a:ln>
              <a:effectLst/>
            </c:spPr>
            <c:extLst>
              <c:ext xmlns:c16="http://schemas.microsoft.com/office/drawing/2014/chart" uri="{C3380CC4-5D6E-409C-BE32-E72D297353CC}">
                <c16:uniqueId val="{00000003-7CD5-42D9-94EE-11B371DE8BAB}"/>
              </c:ext>
            </c:extLst>
          </c:dPt>
          <c:dPt>
            <c:idx val="2"/>
            <c:bubble3D val="0"/>
            <c:spPr>
              <a:solidFill>
                <a:srgbClr val="D97706"/>
              </a:solidFill>
              <a:ln w="19050">
                <a:solidFill>
                  <a:schemeClr val="lt1"/>
                </a:solidFill>
              </a:ln>
              <a:effectLst/>
            </c:spPr>
            <c:extLst>
              <c:ext xmlns:c16="http://schemas.microsoft.com/office/drawing/2014/chart" uri="{C3380CC4-5D6E-409C-BE32-E72D297353CC}">
                <c16:uniqueId val="{00000005-7CD5-42D9-94EE-11B371DE8BAB}"/>
              </c:ext>
            </c:extLst>
          </c:dPt>
          <c:dPt>
            <c:idx val="3"/>
            <c:bubble3D val="0"/>
            <c:spPr>
              <a:solidFill>
                <a:srgbClr val="DC2626"/>
              </a:solidFill>
              <a:ln w="19050">
                <a:solidFill>
                  <a:schemeClr val="lt1"/>
                </a:solidFill>
              </a:ln>
              <a:effectLst/>
            </c:spPr>
            <c:extLst>
              <c:ext xmlns:c16="http://schemas.microsoft.com/office/drawing/2014/chart" uri="{C3380CC4-5D6E-409C-BE32-E72D297353CC}">
                <c16:uniqueId val="{00000007-7CD5-42D9-94EE-11B371DE8BAB}"/>
              </c:ext>
            </c:extLst>
          </c:dPt>
          <c:dPt>
            <c:idx val="4"/>
            <c:bubble3D val="0"/>
            <c:spPr>
              <a:solidFill>
                <a:srgbClr val="7C3AED"/>
              </a:solidFill>
              <a:ln w="19050">
                <a:solidFill>
                  <a:schemeClr val="lt1"/>
                </a:solidFill>
              </a:ln>
              <a:effectLst/>
            </c:spPr>
            <c:extLst>
              <c:ext xmlns:c16="http://schemas.microsoft.com/office/drawing/2014/chart" uri="{C3380CC4-5D6E-409C-BE32-E72D297353CC}">
                <c16:uniqueId val="{00000009-7CD5-42D9-94EE-11B371DE8BAB}"/>
              </c:ext>
            </c:extLst>
          </c:dPt>
          <c:dPt>
            <c:idx val="5"/>
            <c:bubble3D val="0"/>
            <c:spPr>
              <a:solidFill>
                <a:srgbClr val="0891B2"/>
              </a:solidFill>
              <a:ln w="19050">
                <a:solidFill>
                  <a:schemeClr val="lt1"/>
                </a:solidFill>
              </a:ln>
              <a:effectLst/>
            </c:spPr>
            <c:extLst>
              <c:ext xmlns:c16="http://schemas.microsoft.com/office/drawing/2014/chart" uri="{C3380CC4-5D6E-409C-BE32-E72D297353CC}">
                <c16:uniqueId val="{0000000B-7CD5-42D9-94EE-11B371DE8BAB}"/>
              </c:ext>
            </c:extLst>
          </c:dPt>
          <c:cat>
            <c:strRef>
              <c:f>Dashboard!$M$11:$M$16</c:f>
              <c:strCache>
                <c:ptCount val="6"/>
                <c:pt idx="0">
                  <c:v>🇺🇸  United States</c:v>
                </c:pt>
                <c:pt idx="1">
                  <c:v>🇪🇺  EEA + TR + XI</c:v>
                </c:pt>
                <c:pt idx="2">
                  <c:v>🌏  Rest of World</c:v>
                </c:pt>
                <c:pt idx="3">
                  <c:v>🇦🇺  Australia</c:v>
                </c:pt>
                <c:pt idx="4">
                  <c:v>🇨🇦  Canada</c:v>
                </c:pt>
                <c:pt idx="5">
                  <c:v>🌐  WORLDWIDE</c:v>
                </c:pt>
              </c:strCache>
            </c:strRef>
          </c:cat>
          <c:val>
            <c:numRef>
              <c:f>Dashboard!$N$11:$N$16</c:f>
              <c:numCache>
                <c:formatCode>#,##0</c:formatCode>
                <c:ptCount val="6"/>
                <c:pt idx="0">
                  <c:v>13256</c:v>
                </c:pt>
                <c:pt idx="1">
                  <c:v>0</c:v>
                </c:pt>
                <c:pt idx="2">
                  <c:v>11278</c:v>
                </c:pt>
                <c:pt idx="3">
                  <c:v>0</c:v>
                </c:pt>
                <c:pt idx="4">
                  <c:v>2951</c:v>
                </c:pt>
                <c:pt idx="5">
                  <c:v>27485</c:v>
                </c:pt>
              </c:numCache>
            </c:numRef>
          </c:val>
          <c:extLst>
            <c:ext xmlns:c16="http://schemas.microsoft.com/office/drawing/2014/chart" uri="{C3380CC4-5D6E-409C-BE32-E72D297353CC}">
              <c16:uniqueId val="{0000000C-7CD5-42D9-94EE-11B371DE8BAB}"/>
            </c:ext>
          </c:extLst>
        </c:ser>
        <c:dLbls>
          <c:showLegendKey val="0"/>
          <c:showVal val="0"/>
          <c:showCatName val="0"/>
          <c:showSerName val="0"/>
          <c:showPercent val="0"/>
          <c:showBubbleSize val="0"/>
          <c:showLeaderLines val="1"/>
        </c:dLbls>
        <c:firstSliceAng val="0"/>
      </c:pieChart>
      <c:spPr>
        <a:solidFill>
          <a:srgbClr val="FFFFFF"/>
        </a:solidFill>
        <a:ln w="25400">
          <a:noFill/>
        </a:ln>
        <a:effectLst/>
      </c:spPr>
    </c:plotArea>
    <c:legend>
      <c:legendPos val="b"/>
      <c:overlay val="0"/>
      <c:spPr>
        <a:solidFill>
          <a:srgbClr val="FFFFFF"/>
        </a:solidFill>
        <a:ln>
          <a:noFill/>
        </a:ln>
        <a:effectLst/>
      </c:spPr>
      <c:txPr>
        <a:bodyPr rot="0" spcFirstLastPara="1" vertOverflow="ellipsis" vert="horz" wrap="square" anchor="ctr" anchorCtr="1"/>
        <a:lstStyle/>
        <a:p>
          <a:pPr>
            <a:defRPr sz="900" b="0" i="0" u="none" strike="noStrike" kern="1200" baseline="0">
              <a:solidFill>
                <a:srgbClr val="37415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1E3A5F"/>
      </a:solidFill>
      <a:prstDash val="solid"/>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E293B"/>
                </a:solidFill>
                <a:latin typeface="Aptos"/>
                <a:ea typeface="Aptos"/>
                <a:cs typeface="Aptos"/>
              </a:defRPr>
            </a:pPr>
            <a:r>
              <a:rPr lang="en-US"/>
              <a:t>Complaints by Symptom Code</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E293B"/>
              </a:solidFill>
              <a:latin typeface="Aptos"/>
              <a:ea typeface="Aptos"/>
              <a:cs typeface="Aptos"/>
            </a:defRPr>
          </a:pPr>
          <a:endParaRPr lang="en-US"/>
        </a:p>
      </c:txPr>
    </c:title>
    <c:autoTitleDeleted val="0"/>
    <c:plotArea>
      <c:layout/>
      <c:barChart>
        <c:barDir val="bar"/>
        <c:grouping val="clustered"/>
        <c:varyColors val="0"/>
        <c:ser>
          <c:idx val="0"/>
          <c:order val="0"/>
          <c:tx>
            <c:strRef>
              <c:f>Dashboard!$D$28</c:f>
              <c:strCache>
                <c:ptCount val="1"/>
                <c:pt idx="0">
                  <c:v>Count</c:v>
                </c:pt>
              </c:strCache>
            </c:strRef>
          </c:tx>
          <c:spPr>
            <a:solidFill>
              <a:srgbClr val="2563EB"/>
            </a:solidFill>
            <a:ln w="25400">
              <a:solidFill>
                <a:srgbClr val="2563EB"/>
              </a:solidFill>
              <a:prstDash val="solid"/>
            </a:ln>
            <a:effectLst/>
          </c:spPr>
          <c:invertIfNegative val="0"/>
          <c:cat>
            <c:strRef>
              <c:f>Dashboard!$C$29:$C$35</c:f>
              <c:strCache>
                <c:ptCount val="7"/>
                <c:pt idx="0">
                  <c:v>colorph</c:v>
                </c:pt>
                <c:pt idx="1">
                  <c:v>arrivedwarm</c:v>
                </c:pt>
                <c:pt idx="2">
                  <c:v>performance</c:v>
                </c:pt>
                <c:pt idx="3">
                  <c:v>shippingdamage</c:v>
                </c:pt>
                <c:pt idx="4">
                  <c:v>foreignmaterial</c:v>
                </c:pt>
                <c:pt idx="5">
                  <c:v>particles</c:v>
                </c:pt>
                <c:pt idx="6">
                  <c:v>bottleslids</c:v>
                </c:pt>
              </c:strCache>
            </c:strRef>
          </c:cat>
          <c:val>
            <c:numRef>
              <c:f>Dashboard!$D$29:$D$35</c:f>
              <c:numCache>
                <c:formatCode>General</c:formatCode>
                <c:ptCount val="7"/>
                <c:pt idx="0">
                  <c:v>9</c:v>
                </c:pt>
                <c:pt idx="1">
                  <c:v>4</c:v>
                </c:pt>
                <c:pt idx="2">
                  <c:v>2</c:v>
                </c:pt>
                <c:pt idx="3">
                  <c:v>2</c:v>
                </c:pt>
                <c:pt idx="4">
                  <c:v>1</c:v>
                </c:pt>
                <c:pt idx="5">
                  <c:v>1</c:v>
                </c:pt>
                <c:pt idx="6">
                  <c:v>1</c:v>
                </c:pt>
              </c:numCache>
            </c:numRef>
          </c:val>
          <c:extLst>
            <c:ext xmlns:c16="http://schemas.microsoft.com/office/drawing/2014/chart" uri="{C3380CC4-5D6E-409C-BE32-E72D297353CC}">
              <c16:uniqueId val="{00000000-8D7C-4F52-A27E-67987A17B0B2}"/>
            </c:ext>
          </c:extLst>
        </c:ser>
        <c:dLbls>
          <c:showLegendKey val="0"/>
          <c:showVal val="0"/>
          <c:showCatName val="0"/>
          <c:showSerName val="0"/>
          <c:showPercent val="0"/>
          <c:showBubbleSize val="0"/>
        </c:dLbls>
        <c:gapWidth val="182"/>
        <c:axId val="1176087920"/>
        <c:axId val="1176091280"/>
      </c:barChart>
      <c:catAx>
        <c:axId val="1176087920"/>
        <c:scaling>
          <c:orientation val="minMax"/>
        </c:scaling>
        <c:delete val="0"/>
        <c:axPos val="l"/>
        <c:numFmt formatCode="General" sourceLinked="1"/>
        <c:majorTickMark val="none"/>
        <c:minorTickMark val="none"/>
        <c:tickLblPos val="nextTo"/>
        <c:spPr>
          <a:noFill/>
          <a:ln w="9525" cap="flat" cmpd="sng" algn="ctr">
            <a:solidFill>
              <a:srgbClr val="D1D5DB"/>
            </a:solidFill>
            <a:prstDash val="solid"/>
            <a:round/>
          </a:ln>
          <a:effectLst/>
        </c:spPr>
        <c:txPr>
          <a:bodyPr rot="-60000000" spcFirstLastPara="1" vertOverflow="ellipsis" vert="horz" wrap="square" anchor="ctr" anchorCtr="1"/>
          <a:lstStyle/>
          <a:p>
            <a:pPr>
              <a:defRPr sz="900" b="0" i="0" u="none" strike="noStrike" kern="1200" baseline="0">
                <a:solidFill>
                  <a:srgbClr val="374151"/>
                </a:solidFill>
                <a:latin typeface="Aptos"/>
                <a:ea typeface="Aptos"/>
                <a:cs typeface="Aptos"/>
              </a:defRPr>
            </a:pPr>
            <a:endParaRPr lang="en-US"/>
          </a:p>
        </c:txPr>
        <c:crossAx val="1176091280"/>
        <c:crosses val="autoZero"/>
        <c:auto val="1"/>
        <c:lblAlgn val="ctr"/>
        <c:lblOffset val="100"/>
        <c:noMultiLvlLbl val="0"/>
      </c:catAx>
      <c:valAx>
        <c:axId val="1176091280"/>
        <c:scaling>
          <c:orientation val="minMax"/>
        </c:scaling>
        <c:delete val="0"/>
        <c:axPos val="b"/>
        <c:majorGridlines>
          <c:spPr>
            <a:ln w="9525" cap="flat" cmpd="sng" algn="ctr">
              <a:solidFill>
                <a:srgbClr val="E5E7EB"/>
              </a:solidFill>
              <a:prstDash val="solid"/>
              <a:round/>
            </a:ln>
            <a:effectLst/>
          </c:spPr>
        </c:majorGridlines>
        <c:numFmt formatCode="General" sourceLinked="1"/>
        <c:majorTickMark val="none"/>
        <c:minorTickMark val="none"/>
        <c:tickLblPos val="nextTo"/>
        <c:spPr>
          <a:noFill/>
          <a:ln>
            <a:solidFill>
              <a:srgbClr val="D1D5DB"/>
            </a:solidFill>
            <a:prstDash val="solid"/>
          </a:ln>
          <a:effectLst/>
        </c:spPr>
        <c:txPr>
          <a:bodyPr rot="-60000000" spcFirstLastPara="1" vertOverflow="ellipsis" vert="horz" wrap="square" anchor="ctr" anchorCtr="1"/>
          <a:lstStyle/>
          <a:p>
            <a:pPr>
              <a:defRPr sz="900" b="0" i="0" u="none" strike="noStrike" kern="1200" baseline="0">
                <a:solidFill>
                  <a:srgbClr val="374151"/>
                </a:solidFill>
                <a:latin typeface="Aptos"/>
                <a:ea typeface="Aptos"/>
                <a:cs typeface="Aptos"/>
              </a:defRPr>
            </a:pPr>
            <a:endParaRPr lang="en-US"/>
          </a:p>
        </c:txPr>
        <c:crossAx val="1176087920"/>
        <c:crosses val="autoZero"/>
        <c:crossBetween val="between"/>
      </c:valAx>
      <c:spPr>
        <a:solidFill>
          <a:srgbClr val="FFFFFF"/>
        </a:solidFill>
        <a:ln w="25400">
          <a:noFill/>
        </a:ln>
        <a:effectLst/>
      </c:spPr>
    </c:plotArea>
    <c:legend>
      <c:legendPos val="r"/>
      <c:overlay val="0"/>
      <c:spPr>
        <a:solidFill>
          <a:srgbClr val="FFFFFF"/>
        </a:solidFill>
        <a:ln>
          <a:noFill/>
        </a:ln>
        <a:effectLst/>
      </c:spPr>
      <c:txPr>
        <a:bodyPr rot="0" spcFirstLastPara="1" vertOverflow="ellipsis" vert="horz" wrap="square" anchor="ctr" anchorCtr="1"/>
        <a:lstStyle/>
        <a:p>
          <a:pPr>
            <a:defRPr sz="900" b="0" i="0" u="none" strike="noStrike" kern="1200" baseline="0">
              <a:solidFill>
                <a:srgbClr val="37415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1E3A5F"/>
      </a:solidFill>
      <a:prstDash val="solid"/>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E293B"/>
                </a:solidFill>
                <a:latin typeface="Aptos"/>
                <a:ea typeface="Aptos"/>
                <a:cs typeface="Aptos"/>
              </a:defRPr>
            </a:pPr>
            <a:r>
              <a:rPr lang="en-US"/>
              <a:t>Complaint Rate SPC Control Chart</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E293B"/>
              </a:solidFill>
              <a:latin typeface="Aptos"/>
              <a:ea typeface="Aptos"/>
              <a:cs typeface="Aptos"/>
            </a:defRPr>
          </a:pPr>
          <a:endParaRPr lang="en-US"/>
        </a:p>
      </c:txPr>
    </c:title>
    <c:autoTitleDeleted val="0"/>
    <c:plotArea>
      <c:layout/>
      <c:lineChart>
        <c:grouping val="standard"/>
        <c:varyColors val="0"/>
        <c:ser>
          <c:idx val="0"/>
          <c:order val="0"/>
          <c:tx>
            <c:strRef>
              <c:f>Dashboard!$I$28</c:f>
              <c:strCache>
                <c:ptCount val="1"/>
                <c:pt idx="0">
                  <c:v>Rate</c:v>
                </c:pt>
              </c:strCache>
            </c:strRef>
          </c:tx>
          <c:spPr>
            <a:ln w="25400" cap="rnd">
              <a:solidFill>
                <a:srgbClr val="2563EB"/>
              </a:solidFill>
              <a:prstDash val="solid"/>
              <a:round/>
            </a:ln>
            <a:effectLst/>
          </c:spPr>
          <c:marker>
            <c:symbol val="circle"/>
            <c:size val="5"/>
            <c:spPr>
              <a:solidFill>
                <a:schemeClr val="accent1"/>
              </a:solidFill>
              <a:ln w="9525">
                <a:solidFill>
                  <a:schemeClr val="accent1"/>
                </a:solidFill>
              </a:ln>
              <a:effectLst/>
            </c:spPr>
          </c:marker>
          <c:cat>
            <c:strRef>
              <c:f>Dashboard!$H$29:$H$42</c:f>
              <c:strCache>
                <c:ptCount val="14"/>
                <c:pt idx="0">
                  <c:v>Jul 2022</c:v>
                </c:pt>
                <c:pt idx="1">
                  <c:v>Aug 2022</c:v>
                </c:pt>
                <c:pt idx="2">
                  <c:v>Sep 2022</c:v>
                </c:pt>
                <c:pt idx="3">
                  <c:v>Oct 2022</c:v>
                </c:pt>
                <c:pt idx="4">
                  <c:v>Nov 2022</c:v>
                </c:pt>
                <c:pt idx="5">
                  <c:v>Dec 2022</c:v>
                </c:pt>
                <c:pt idx="6">
                  <c:v>Jan 2023</c:v>
                </c:pt>
                <c:pt idx="7">
                  <c:v>Feb 2023</c:v>
                </c:pt>
                <c:pt idx="8">
                  <c:v>Mar 2023</c:v>
                </c:pt>
                <c:pt idx="9">
                  <c:v>Apr 2023</c:v>
                </c:pt>
                <c:pt idx="10">
                  <c:v>May 2023</c:v>
                </c:pt>
                <c:pt idx="11">
                  <c:v>Jun 2023</c:v>
                </c:pt>
                <c:pt idx="12">
                  <c:v>Jul 2023</c:v>
                </c:pt>
                <c:pt idx="13">
                  <c:v>Aug 2023</c:v>
                </c:pt>
              </c:strCache>
            </c:strRef>
          </c:cat>
          <c:val>
            <c:numRef>
              <c:f>Dashboard!$I$29:$I$42</c:f>
              <c:numCache>
                <c:formatCode>0.000%</c:formatCode>
                <c:ptCount val="14"/>
                <c:pt idx="0">
                  <c:v>0</c:v>
                </c:pt>
                <c:pt idx="1">
                  <c:v>0</c:v>
                </c:pt>
                <c:pt idx="2">
                  <c:v>0</c:v>
                </c:pt>
                <c:pt idx="3">
                  <c:v>0</c:v>
                </c:pt>
                <c:pt idx="4">
                  <c:v>0</c:v>
                </c:pt>
                <c:pt idx="5">
                  <c:v>0</c:v>
                </c:pt>
                <c:pt idx="6">
                  <c:v>0</c:v>
                </c:pt>
                <c:pt idx="7">
                  <c:v>0</c:v>
                </c:pt>
                <c:pt idx="8">
                  <c:v>5.0709939148073022E-4</c:v>
                </c:pt>
                <c:pt idx="9">
                  <c:v>6.2111801242236027E-4</c:v>
                </c:pt>
                <c:pt idx="10">
                  <c:v>1.6882386043894203E-3</c:v>
                </c:pt>
                <c:pt idx="11">
                  <c:v>3.5671819262782403E-3</c:v>
                </c:pt>
                <c:pt idx="12">
                  <c:v>0</c:v>
                </c:pt>
                <c:pt idx="13">
                  <c:v>0</c:v>
                </c:pt>
              </c:numCache>
            </c:numRef>
          </c:val>
          <c:smooth val="0"/>
          <c:extLst>
            <c:ext xmlns:c16="http://schemas.microsoft.com/office/drawing/2014/chart" uri="{C3380CC4-5D6E-409C-BE32-E72D297353CC}">
              <c16:uniqueId val="{00000000-9E36-4905-8534-95301A5F1C74}"/>
            </c:ext>
          </c:extLst>
        </c:ser>
        <c:ser>
          <c:idx val="1"/>
          <c:order val="1"/>
          <c:tx>
            <c:strRef>
              <c:f>Dashboard!$J$28</c:f>
              <c:strCache>
                <c:ptCount val="1"/>
                <c:pt idx="0">
                  <c:v>Mean</c:v>
                </c:pt>
              </c:strCache>
            </c:strRef>
          </c:tx>
          <c:spPr>
            <a:ln w="25400" cap="rnd">
              <a:solidFill>
                <a:srgbClr val="059669"/>
              </a:solidFill>
              <a:prstDash val="solid"/>
              <a:round/>
            </a:ln>
            <a:effectLst/>
          </c:spPr>
          <c:marker>
            <c:symbol val="circle"/>
            <c:size val="5"/>
            <c:spPr>
              <a:solidFill>
                <a:schemeClr val="accent2"/>
              </a:solidFill>
              <a:ln w="9525">
                <a:solidFill>
                  <a:schemeClr val="accent2"/>
                </a:solidFill>
              </a:ln>
              <a:effectLst/>
            </c:spPr>
          </c:marker>
          <c:cat>
            <c:strRef>
              <c:f>Dashboard!$H$29:$H$42</c:f>
              <c:strCache>
                <c:ptCount val="14"/>
                <c:pt idx="0">
                  <c:v>Jul 2022</c:v>
                </c:pt>
                <c:pt idx="1">
                  <c:v>Aug 2022</c:v>
                </c:pt>
                <c:pt idx="2">
                  <c:v>Sep 2022</c:v>
                </c:pt>
                <c:pt idx="3">
                  <c:v>Oct 2022</c:v>
                </c:pt>
                <c:pt idx="4">
                  <c:v>Nov 2022</c:v>
                </c:pt>
                <c:pt idx="5">
                  <c:v>Dec 2022</c:v>
                </c:pt>
                <c:pt idx="6">
                  <c:v>Jan 2023</c:v>
                </c:pt>
                <c:pt idx="7">
                  <c:v>Feb 2023</c:v>
                </c:pt>
                <c:pt idx="8">
                  <c:v>Mar 2023</c:v>
                </c:pt>
                <c:pt idx="9">
                  <c:v>Apr 2023</c:v>
                </c:pt>
                <c:pt idx="10">
                  <c:v>May 2023</c:v>
                </c:pt>
                <c:pt idx="11">
                  <c:v>Jun 2023</c:v>
                </c:pt>
                <c:pt idx="12">
                  <c:v>Jul 2023</c:v>
                </c:pt>
                <c:pt idx="13">
                  <c:v>Aug 2023</c:v>
                </c:pt>
              </c:strCache>
            </c:strRef>
          </c:cat>
          <c:val>
            <c:numRef>
              <c:f>Dashboard!$J$29:$J$42</c:f>
              <c:numCache>
                <c:formatCode>0.000%</c:formatCode>
                <c:ptCount val="14"/>
                <c:pt idx="0">
                  <c:v>2.7619980261771912E-4</c:v>
                </c:pt>
                <c:pt idx="1">
                  <c:v>2.7619980261771912E-4</c:v>
                </c:pt>
                <c:pt idx="2">
                  <c:v>2.7619980261771912E-4</c:v>
                </c:pt>
                <c:pt idx="3">
                  <c:v>2.7619980261771912E-4</c:v>
                </c:pt>
                <c:pt idx="4">
                  <c:v>2.7619980261771912E-4</c:v>
                </c:pt>
                <c:pt idx="5">
                  <c:v>2.7619980261771912E-4</c:v>
                </c:pt>
                <c:pt idx="6">
                  <c:v>2.7619980261771912E-4</c:v>
                </c:pt>
                <c:pt idx="7">
                  <c:v>2.7619980261771912E-4</c:v>
                </c:pt>
                <c:pt idx="8">
                  <c:v>2.7619980261771912E-4</c:v>
                </c:pt>
                <c:pt idx="9">
                  <c:v>2.7619980261771912E-4</c:v>
                </c:pt>
                <c:pt idx="10">
                  <c:v>2.7619980261771912E-4</c:v>
                </c:pt>
                <c:pt idx="11">
                  <c:v>2.7619980261771912E-4</c:v>
                </c:pt>
                <c:pt idx="12">
                  <c:v>2.7619980261771912E-4</c:v>
                </c:pt>
                <c:pt idx="13">
                  <c:v>2.7619980261771912E-4</c:v>
                </c:pt>
              </c:numCache>
            </c:numRef>
          </c:val>
          <c:smooth val="0"/>
          <c:extLst>
            <c:ext xmlns:c16="http://schemas.microsoft.com/office/drawing/2014/chart" uri="{C3380CC4-5D6E-409C-BE32-E72D297353CC}">
              <c16:uniqueId val="{00000001-9E36-4905-8534-95301A5F1C74}"/>
            </c:ext>
          </c:extLst>
        </c:ser>
        <c:ser>
          <c:idx val="2"/>
          <c:order val="2"/>
          <c:tx>
            <c:strRef>
              <c:f>Dashboard!$K$28</c:f>
              <c:strCache>
                <c:ptCount val="1"/>
                <c:pt idx="0">
                  <c:v>UCL</c:v>
                </c:pt>
              </c:strCache>
            </c:strRef>
          </c:tx>
          <c:spPr>
            <a:ln w="25400" cap="rnd">
              <a:solidFill>
                <a:srgbClr val="D97706"/>
              </a:solidFill>
              <a:prstDash val="solid"/>
              <a:round/>
            </a:ln>
            <a:effectLst/>
          </c:spPr>
          <c:marker>
            <c:symbol val="circle"/>
            <c:size val="5"/>
            <c:spPr>
              <a:solidFill>
                <a:schemeClr val="accent3"/>
              </a:solidFill>
              <a:ln w="9525">
                <a:solidFill>
                  <a:schemeClr val="accent3"/>
                </a:solidFill>
              </a:ln>
              <a:effectLst/>
            </c:spPr>
          </c:marker>
          <c:cat>
            <c:strRef>
              <c:f>Dashboard!$H$29:$H$42</c:f>
              <c:strCache>
                <c:ptCount val="14"/>
                <c:pt idx="0">
                  <c:v>Jul 2022</c:v>
                </c:pt>
                <c:pt idx="1">
                  <c:v>Aug 2022</c:v>
                </c:pt>
                <c:pt idx="2">
                  <c:v>Sep 2022</c:v>
                </c:pt>
                <c:pt idx="3">
                  <c:v>Oct 2022</c:v>
                </c:pt>
                <c:pt idx="4">
                  <c:v>Nov 2022</c:v>
                </c:pt>
                <c:pt idx="5">
                  <c:v>Dec 2022</c:v>
                </c:pt>
                <c:pt idx="6">
                  <c:v>Jan 2023</c:v>
                </c:pt>
                <c:pt idx="7">
                  <c:v>Feb 2023</c:v>
                </c:pt>
                <c:pt idx="8">
                  <c:v>Mar 2023</c:v>
                </c:pt>
                <c:pt idx="9">
                  <c:v>Apr 2023</c:v>
                </c:pt>
                <c:pt idx="10">
                  <c:v>May 2023</c:v>
                </c:pt>
                <c:pt idx="11">
                  <c:v>Jun 2023</c:v>
                </c:pt>
                <c:pt idx="12">
                  <c:v>Jul 2023</c:v>
                </c:pt>
                <c:pt idx="13">
                  <c:v>Aug 2023</c:v>
                </c:pt>
              </c:strCache>
            </c:strRef>
          </c:cat>
          <c:val>
            <c:numRef>
              <c:f>Dashboard!$K$29:$K$42</c:f>
              <c:numCache>
                <c:formatCode>0.000%</c:formatCode>
                <c:ptCount val="14"/>
                <c:pt idx="0">
                  <c:v>2.3740003463252955E-3</c:v>
                </c:pt>
                <c:pt idx="1">
                  <c:v>2.3740003463252955E-3</c:v>
                </c:pt>
                <c:pt idx="2">
                  <c:v>2.3740003463252955E-3</c:v>
                </c:pt>
                <c:pt idx="3">
                  <c:v>2.3740003463252955E-3</c:v>
                </c:pt>
                <c:pt idx="4">
                  <c:v>2.3740003463252955E-3</c:v>
                </c:pt>
                <c:pt idx="5">
                  <c:v>2.3740003463252955E-3</c:v>
                </c:pt>
                <c:pt idx="6">
                  <c:v>2.3740003463252955E-3</c:v>
                </c:pt>
                <c:pt idx="7">
                  <c:v>2.3740003463252955E-3</c:v>
                </c:pt>
                <c:pt idx="8">
                  <c:v>2.3740003463252955E-3</c:v>
                </c:pt>
                <c:pt idx="9">
                  <c:v>2.3740003463252955E-3</c:v>
                </c:pt>
                <c:pt idx="10">
                  <c:v>2.3740003463252955E-3</c:v>
                </c:pt>
                <c:pt idx="11">
                  <c:v>2.3740003463252955E-3</c:v>
                </c:pt>
                <c:pt idx="12">
                  <c:v>2.3740003463252955E-3</c:v>
                </c:pt>
                <c:pt idx="13">
                  <c:v>2.3740003463252955E-3</c:v>
                </c:pt>
              </c:numCache>
            </c:numRef>
          </c:val>
          <c:smooth val="0"/>
          <c:extLst>
            <c:ext xmlns:c16="http://schemas.microsoft.com/office/drawing/2014/chart" uri="{C3380CC4-5D6E-409C-BE32-E72D297353CC}">
              <c16:uniqueId val="{00000002-9E36-4905-8534-95301A5F1C74}"/>
            </c:ext>
          </c:extLst>
        </c:ser>
        <c:dLbls>
          <c:showLegendKey val="0"/>
          <c:showVal val="0"/>
          <c:showCatName val="0"/>
          <c:showSerName val="0"/>
          <c:showPercent val="0"/>
          <c:showBubbleSize val="0"/>
        </c:dLbls>
        <c:marker val="1"/>
        <c:smooth val="0"/>
        <c:axId val="117607712"/>
        <c:axId val="117608672"/>
      </c:lineChart>
      <c:catAx>
        <c:axId val="117607712"/>
        <c:scaling>
          <c:orientation val="minMax"/>
        </c:scaling>
        <c:delete val="0"/>
        <c:axPos val="b"/>
        <c:numFmt formatCode="General" sourceLinked="1"/>
        <c:majorTickMark val="out"/>
        <c:minorTickMark val="none"/>
        <c:tickLblPos val="nextTo"/>
        <c:spPr>
          <a:noFill/>
          <a:ln w="9525" cap="flat" cmpd="sng" algn="ctr">
            <a:solidFill>
              <a:srgbClr val="D1D5DB"/>
            </a:solidFill>
            <a:prstDash val="solid"/>
            <a:round/>
          </a:ln>
          <a:effectLst/>
        </c:spPr>
        <c:txPr>
          <a:bodyPr rot="-60000000" spcFirstLastPara="1" vertOverflow="ellipsis" vert="horz" wrap="square" anchor="ctr" anchorCtr="1"/>
          <a:lstStyle/>
          <a:p>
            <a:pPr>
              <a:defRPr sz="900" b="0" i="0" u="none" strike="noStrike" kern="1200" baseline="0">
                <a:solidFill>
                  <a:srgbClr val="374151"/>
                </a:solidFill>
                <a:latin typeface="Aptos"/>
                <a:ea typeface="Aptos"/>
                <a:cs typeface="Aptos"/>
              </a:defRPr>
            </a:pPr>
            <a:endParaRPr lang="en-US"/>
          </a:p>
        </c:txPr>
        <c:crossAx val="117608672"/>
        <c:crosses val="autoZero"/>
        <c:auto val="1"/>
        <c:lblAlgn val="ctr"/>
        <c:lblOffset val="100"/>
        <c:noMultiLvlLbl val="0"/>
      </c:catAx>
      <c:valAx>
        <c:axId val="117608672"/>
        <c:scaling>
          <c:orientation val="minMax"/>
        </c:scaling>
        <c:delete val="0"/>
        <c:axPos val="l"/>
        <c:majorGridlines>
          <c:spPr>
            <a:ln w="9525" cap="flat" cmpd="sng" algn="ctr">
              <a:solidFill>
                <a:srgbClr val="E5E7EB"/>
              </a:solidFill>
              <a:prstDash val="solid"/>
              <a:round/>
            </a:ln>
            <a:effectLst/>
          </c:spPr>
        </c:majorGridlines>
        <c:numFmt formatCode="0.000%" sourceLinked="1"/>
        <c:majorTickMark val="none"/>
        <c:minorTickMark val="none"/>
        <c:tickLblPos val="nextTo"/>
        <c:spPr>
          <a:noFill/>
          <a:ln>
            <a:solidFill>
              <a:srgbClr val="D1D5DB"/>
            </a:solidFill>
            <a:prstDash val="solid"/>
          </a:ln>
          <a:effectLst/>
        </c:spPr>
        <c:txPr>
          <a:bodyPr rot="-60000000" spcFirstLastPara="1" vertOverflow="ellipsis" vert="horz" wrap="square" anchor="ctr" anchorCtr="1"/>
          <a:lstStyle/>
          <a:p>
            <a:pPr>
              <a:defRPr sz="900" b="0" i="0" u="none" strike="noStrike" kern="1200" baseline="0">
                <a:solidFill>
                  <a:srgbClr val="374151"/>
                </a:solidFill>
                <a:latin typeface="Aptos"/>
                <a:ea typeface="Aptos"/>
                <a:cs typeface="Aptos"/>
              </a:defRPr>
            </a:pPr>
            <a:endParaRPr lang="en-US"/>
          </a:p>
        </c:txPr>
        <c:crossAx val="117607712"/>
        <c:crosses val="autoZero"/>
        <c:crossBetween val="between"/>
      </c:valAx>
      <c:spPr>
        <a:solidFill>
          <a:srgbClr val="FFFFFF"/>
        </a:solidFill>
        <a:ln w="25400">
          <a:noFill/>
        </a:ln>
        <a:effectLst/>
      </c:spPr>
    </c:plotArea>
    <c:legend>
      <c:legendPos val="b"/>
      <c:overlay val="0"/>
      <c:spPr>
        <a:solidFill>
          <a:srgbClr val="FFFFFF"/>
        </a:solidFill>
        <a:ln>
          <a:noFill/>
        </a:ln>
        <a:effectLst/>
      </c:spPr>
      <c:txPr>
        <a:bodyPr rot="0" spcFirstLastPara="1" vertOverflow="ellipsis" vert="horz" wrap="square" anchor="ctr" anchorCtr="1"/>
        <a:lstStyle/>
        <a:p>
          <a:pPr>
            <a:defRPr sz="900" b="0" i="0" u="none" strike="noStrike" kern="1200" baseline="0">
              <a:solidFill>
                <a:srgbClr val="37415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1E3A5F"/>
      </a:solidFill>
      <a:prstDash val="solid"/>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E293B"/>
                </a:solidFill>
                <a:latin typeface="Aptos"/>
                <a:ea typeface="Aptos"/>
                <a:cs typeface="Aptos"/>
              </a:defRPr>
            </a:pPr>
            <a:r>
              <a:rPr lang="en-US"/>
              <a:t>Regional Sales: H1 vs H2 Trend</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E293B"/>
              </a:solidFill>
              <a:latin typeface="Aptos"/>
              <a:ea typeface="Aptos"/>
              <a:cs typeface="Aptos"/>
            </a:defRPr>
          </a:pPr>
          <a:endParaRPr lang="en-US"/>
        </a:p>
      </c:txPr>
    </c:title>
    <c:autoTitleDeleted val="0"/>
    <c:plotArea>
      <c:layout/>
      <c:barChart>
        <c:barDir val="bar"/>
        <c:grouping val="clustered"/>
        <c:varyColors val="0"/>
        <c:ser>
          <c:idx val="0"/>
          <c:order val="0"/>
          <c:tx>
            <c:strRef>
              <c:f>Dashboard!$N$28</c:f>
              <c:strCache>
                <c:ptCount val="1"/>
                <c:pt idx="0">
                  <c:v>Jul-Dec 2024</c:v>
                </c:pt>
              </c:strCache>
            </c:strRef>
          </c:tx>
          <c:spPr>
            <a:solidFill>
              <a:srgbClr val="2563EB"/>
            </a:solidFill>
            <a:ln>
              <a:noFill/>
            </a:ln>
            <a:effectLst/>
          </c:spPr>
          <c:invertIfNegative val="0"/>
          <c:cat>
            <c:strRef>
              <c:f>Dashboard!$M$29:$M$33</c:f>
              <c:strCache>
                <c:ptCount val="5"/>
                <c:pt idx="0">
                  <c:v>United States</c:v>
                </c:pt>
                <c:pt idx="1">
                  <c:v>EEA + TR + XI</c:v>
                </c:pt>
                <c:pt idx="2">
                  <c:v>Rest of World</c:v>
                </c:pt>
                <c:pt idx="3">
                  <c:v>Australia</c:v>
                </c:pt>
                <c:pt idx="4">
                  <c:v>Canada</c:v>
                </c:pt>
              </c:strCache>
            </c:strRef>
          </c:cat>
          <c:val>
            <c:numRef>
              <c:f>Dashboard!$N$29:$N$33</c:f>
              <c:numCache>
                <c:formatCode>#,##0</c:formatCode>
                <c:ptCount val="5"/>
                <c:pt idx="0">
                  <c:v>3945</c:v>
                </c:pt>
                <c:pt idx="1">
                  <c:v>0</c:v>
                </c:pt>
                <c:pt idx="2">
                  <c:v>3432</c:v>
                </c:pt>
                <c:pt idx="3">
                  <c:v>0</c:v>
                </c:pt>
                <c:pt idx="4">
                  <c:v>893</c:v>
                </c:pt>
              </c:numCache>
            </c:numRef>
          </c:val>
          <c:extLst>
            <c:ext xmlns:c16="http://schemas.microsoft.com/office/drawing/2014/chart" uri="{C3380CC4-5D6E-409C-BE32-E72D297353CC}">
              <c16:uniqueId val="{00000000-3209-46B0-BDF5-B523335BF1C9}"/>
            </c:ext>
          </c:extLst>
        </c:ser>
        <c:ser>
          <c:idx val="1"/>
          <c:order val="1"/>
          <c:tx>
            <c:strRef>
              <c:f>Dashboard!$O$28</c:f>
              <c:strCache>
                <c:ptCount val="1"/>
                <c:pt idx="0">
                  <c:v>Jan-Aug 2025</c:v>
                </c:pt>
              </c:strCache>
            </c:strRef>
          </c:tx>
          <c:spPr>
            <a:solidFill>
              <a:srgbClr val="059669"/>
            </a:solidFill>
            <a:ln>
              <a:noFill/>
            </a:ln>
            <a:effectLst/>
          </c:spPr>
          <c:invertIfNegative val="0"/>
          <c:cat>
            <c:strRef>
              <c:f>Dashboard!$M$29:$M$33</c:f>
              <c:strCache>
                <c:ptCount val="5"/>
                <c:pt idx="0">
                  <c:v>United States</c:v>
                </c:pt>
                <c:pt idx="1">
                  <c:v>EEA + TR + XI</c:v>
                </c:pt>
                <c:pt idx="2">
                  <c:v>Rest of World</c:v>
                </c:pt>
                <c:pt idx="3">
                  <c:v>Australia</c:v>
                </c:pt>
                <c:pt idx="4">
                  <c:v>Canada</c:v>
                </c:pt>
              </c:strCache>
            </c:strRef>
          </c:cat>
          <c:val>
            <c:numRef>
              <c:f>Dashboard!$O$29:$O$33</c:f>
              <c:numCache>
                <c:formatCode>#,##0</c:formatCode>
                <c:ptCount val="5"/>
                <c:pt idx="0">
                  <c:v>9311</c:v>
                </c:pt>
                <c:pt idx="1">
                  <c:v>0</c:v>
                </c:pt>
                <c:pt idx="2">
                  <c:v>7846</c:v>
                </c:pt>
                <c:pt idx="3">
                  <c:v>0</c:v>
                </c:pt>
                <c:pt idx="4">
                  <c:v>2058</c:v>
                </c:pt>
              </c:numCache>
            </c:numRef>
          </c:val>
          <c:extLst>
            <c:ext xmlns:c16="http://schemas.microsoft.com/office/drawing/2014/chart" uri="{C3380CC4-5D6E-409C-BE32-E72D297353CC}">
              <c16:uniqueId val="{00000001-3209-46B0-BDF5-B523335BF1C9}"/>
            </c:ext>
          </c:extLst>
        </c:ser>
        <c:dLbls>
          <c:showLegendKey val="0"/>
          <c:showVal val="0"/>
          <c:showCatName val="0"/>
          <c:showSerName val="0"/>
          <c:showPercent val="0"/>
          <c:showBubbleSize val="0"/>
        </c:dLbls>
        <c:gapWidth val="182"/>
        <c:axId val="597246720"/>
        <c:axId val="597243360"/>
      </c:barChart>
      <c:catAx>
        <c:axId val="597246720"/>
        <c:scaling>
          <c:orientation val="minMax"/>
        </c:scaling>
        <c:delete val="0"/>
        <c:axPos val="l"/>
        <c:numFmt formatCode="General" sourceLinked="1"/>
        <c:majorTickMark val="none"/>
        <c:minorTickMark val="none"/>
        <c:tickLblPos val="nextTo"/>
        <c:spPr>
          <a:noFill/>
          <a:ln w="9525" cap="flat" cmpd="sng" algn="ctr">
            <a:solidFill>
              <a:srgbClr val="D1D5DB"/>
            </a:solidFill>
            <a:prstDash val="solid"/>
            <a:round/>
          </a:ln>
          <a:effectLst/>
        </c:spPr>
        <c:txPr>
          <a:bodyPr rot="-60000000" spcFirstLastPara="1" vertOverflow="ellipsis" vert="horz" wrap="square" anchor="ctr" anchorCtr="1"/>
          <a:lstStyle/>
          <a:p>
            <a:pPr>
              <a:defRPr sz="900" b="0" i="0" u="none" strike="noStrike" kern="1200" baseline="0">
                <a:solidFill>
                  <a:srgbClr val="374151"/>
                </a:solidFill>
                <a:latin typeface="Aptos"/>
                <a:ea typeface="Aptos"/>
                <a:cs typeface="Aptos"/>
              </a:defRPr>
            </a:pPr>
            <a:endParaRPr lang="en-US"/>
          </a:p>
        </c:txPr>
        <c:crossAx val="597243360"/>
        <c:crosses val="autoZero"/>
        <c:auto val="1"/>
        <c:lblAlgn val="ctr"/>
        <c:lblOffset val="100"/>
        <c:noMultiLvlLbl val="0"/>
      </c:catAx>
      <c:valAx>
        <c:axId val="597243360"/>
        <c:scaling>
          <c:orientation val="minMax"/>
        </c:scaling>
        <c:delete val="0"/>
        <c:axPos val="b"/>
        <c:majorGridlines>
          <c:spPr>
            <a:ln w="9525" cap="flat" cmpd="sng" algn="ctr">
              <a:solidFill>
                <a:srgbClr val="E5E7EB"/>
              </a:solidFill>
              <a:prstDash val="solid"/>
              <a:round/>
            </a:ln>
            <a:effectLst/>
          </c:spPr>
        </c:majorGridlines>
        <c:numFmt formatCode="#,##0" sourceLinked="1"/>
        <c:majorTickMark val="none"/>
        <c:minorTickMark val="none"/>
        <c:tickLblPos val="nextTo"/>
        <c:spPr>
          <a:noFill/>
          <a:ln>
            <a:solidFill>
              <a:srgbClr val="D1D5DB"/>
            </a:solidFill>
            <a:prstDash val="solid"/>
          </a:ln>
          <a:effectLst/>
        </c:spPr>
        <c:txPr>
          <a:bodyPr rot="-60000000" spcFirstLastPara="1" vertOverflow="ellipsis" vert="horz" wrap="square" anchor="ctr" anchorCtr="1"/>
          <a:lstStyle/>
          <a:p>
            <a:pPr>
              <a:defRPr sz="900" b="0" i="0" u="none" strike="noStrike" kern="1200" baseline="0">
                <a:solidFill>
                  <a:srgbClr val="374151"/>
                </a:solidFill>
                <a:latin typeface="Aptos"/>
                <a:ea typeface="Aptos"/>
                <a:cs typeface="Aptos"/>
              </a:defRPr>
            </a:pPr>
            <a:endParaRPr lang="en-US"/>
          </a:p>
        </c:txPr>
        <c:crossAx val="597246720"/>
        <c:crosses val="autoZero"/>
        <c:crossBetween val="between"/>
      </c:valAx>
      <c:spPr>
        <a:solidFill>
          <a:srgbClr val="FFFFFF"/>
        </a:solidFill>
        <a:ln w="25400">
          <a:noFill/>
        </a:ln>
        <a:effectLst/>
      </c:spPr>
    </c:plotArea>
    <c:legend>
      <c:legendPos val="b"/>
      <c:overlay val="0"/>
      <c:spPr>
        <a:solidFill>
          <a:srgbClr val="FFFFFF"/>
        </a:solidFill>
        <a:ln>
          <a:noFill/>
        </a:ln>
        <a:effectLst/>
      </c:spPr>
      <c:txPr>
        <a:bodyPr rot="0" spcFirstLastPara="1" vertOverflow="ellipsis" vert="horz" wrap="square" anchor="ctr" anchorCtr="1"/>
        <a:lstStyle/>
        <a:p>
          <a:pPr>
            <a:defRPr sz="900" b="0" i="0" u="none" strike="noStrike" kern="1200" baseline="0">
              <a:solidFill>
                <a:srgbClr val="37415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1E3A5F"/>
      </a:solidFill>
      <a:prstDash val="solid"/>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E293B"/>
                </a:solidFill>
                <a:latin typeface="Aptos"/>
                <a:ea typeface="Aptos"/>
                <a:cs typeface="Aptos"/>
              </a:defRPr>
            </a:pPr>
            <a:r>
              <a:rPr lang="en-US"/>
              <a:t>Monthly Sales Volume &amp; Complaints</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E293B"/>
              </a:solidFill>
              <a:latin typeface="Aptos"/>
              <a:ea typeface="Aptos"/>
              <a:cs typeface="Aptos"/>
            </a:defRPr>
          </a:pPr>
          <a:endParaRPr lang="en-US"/>
        </a:p>
      </c:txPr>
    </c:title>
    <c:autoTitleDeleted val="0"/>
    <c:plotArea>
      <c:layout/>
      <c:lineChart>
        <c:grouping val="standard"/>
        <c:varyColors val="0"/>
        <c:ser>
          <c:idx val="1"/>
          <c:order val="1"/>
          <c:tx>
            <c:strRef>
              <c:f>Dashboard!$J$10</c:f>
              <c:strCache>
                <c:ptCount val="1"/>
                <c:pt idx="0">
                  <c:v>Units Sold</c:v>
                </c:pt>
              </c:strCache>
            </c:strRef>
          </c:tx>
          <c:spPr>
            <a:ln w="25400" cap="rnd">
              <a:solidFill>
                <a:srgbClr val="059669"/>
              </a:solidFill>
              <a:prstDash val="solid"/>
              <a:round/>
            </a:ln>
            <a:effectLst/>
          </c:spPr>
          <c:marker>
            <c:symbol val="none"/>
          </c:marker>
          <c:cat>
            <c:numRef>
              <c:f>Dashboard!$H$11:$H$24</c:f>
              <c:numCache>
                <c:formatCode>mmm\-yy</c:formatCode>
                <c:ptCount val="14"/>
                <c:pt idx="0">
                  <c:v>44743</c:v>
                </c:pt>
                <c:pt idx="1">
                  <c:v>44774</c:v>
                </c:pt>
                <c:pt idx="2">
                  <c:v>44805</c:v>
                </c:pt>
                <c:pt idx="3">
                  <c:v>44835</c:v>
                </c:pt>
                <c:pt idx="4">
                  <c:v>44866</c:v>
                </c:pt>
                <c:pt idx="5">
                  <c:v>44896</c:v>
                </c:pt>
                <c:pt idx="6">
                  <c:v>44927</c:v>
                </c:pt>
                <c:pt idx="7">
                  <c:v>44958</c:v>
                </c:pt>
                <c:pt idx="8">
                  <c:v>44986</c:v>
                </c:pt>
                <c:pt idx="9">
                  <c:v>45017</c:v>
                </c:pt>
                <c:pt idx="10">
                  <c:v>45047</c:v>
                </c:pt>
                <c:pt idx="11">
                  <c:v>45078</c:v>
                </c:pt>
                <c:pt idx="12">
                  <c:v>45108</c:v>
                </c:pt>
                <c:pt idx="13">
                  <c:v>45139</c:v>
                </c:pt>
              </c:numCache>
            </c:numRef>
          </c:cat>
          <c:val>
            <c:numRef>
              <c:f>Dashboard!$J$11:$J$24</c:f>
              <c:numCache>
                <c:formatCode>#,##0</c:formatCode>
                <c:ptCount val="14"/>
                <c:pt idx="0">
                  <c:v>1569</c:v>
                </c:pt>
                <c:pt idx="1">
                  <c:v>1518</c:v>
                </c:pt>
                <c:pt idx="2">
                  <c:v>1521</c:v>
                </c:pt>
                <c:pt idx="3">
                  <c:v>1548</c:v>
                </c:pt>
                <c:pt idx="4">
                  <c:v>1528</c:v>
                </c:pt>
                <c:pt idx="5">
                  <c:v>1201</c:v>
                </c:pt>
                <c:pt idx="6">
                  <c:v>2007</c:v>
                </c:pt>
                <c:pt idx="7">
                  <c:v>1670</c:v>
                </c:pt>
                <c:pt idx="8">
                  <c:v>1972</c:v>
                </c:pt>
                <c:pt idx="9">
                  <c:v>1610</c:v>
                </c:pt>
                <c:pt idx="10">
                  <c:v>1777</c:v>
                </c:pt>
                <c:pt idx="11">
                  <c:v>1682</c:v>
                </c:pt>
                <c:pt idx="12">
                  <c:v>1689</c:v>
                </c:pt>
                <c:pt idx="13">
                  <c:v>1684</c:v>
                </c:pt>
              </c:numCache>
            </c:numRef>
          </c:val>
          <c:smooth val="0"/>
          <c:extLst>
            <c:ext xmlns:c16="http://schemas.microsoft.com/office/drawing/2014/chart" uri="{C3380CC4-5D6E-409C-BE32-E72D297353CC}">
              <c16:uniqueId val="{00000001-3642-45B1-8E62-F24E69C3AF3C}"/>
            </c:ext>
          </c:extLst>
        </c:ser>
        <c:dLbls>
          <c:showLegendKey val="0"/>
          <c:showVal val="0"/>
          <c:showCatName val="0"/>
          <c:showSerName val="0"/>
          <c:showPercent val="0"/>
          <c:showBubbleSize val="0"/>
        </c:dLbls>
        <c:marker val="1"/>
        <c:smooth val="0"/>
        <c:axId val="118057536"/>
        <c:axId val="118059456"/>
      </c:lineChart>
      <c:lineChart>
        <c:grouping val="standard"/>
        <c:varyColors val="0"/>
        <c:ser>
          <c:idx val="0"/>
          <c:order val="0"/>
          <c:tx>
            <c:strRef>
              <c:f>Dashboard!$I$10</c:f>
              <c:strCache>
                <c:ptCount val="1"/>
                <c:pt idx="0">
                  <c:v>Complaints</c:v>
                </c:pt>
              </c:strCache>
            </c:strRef>
          </c:tx>
          <c:spPr>
            <a:ln w="25400" cap="rnd">
              <a:solidFill>
                <a:srgbClr val="2563EB"/>
              </a:solidFill>
              <a:prstDash val="solid"/>
              <a:round/>
            </a:ln>
            <a:effectLst/>
          </c:spPr>
          <c:marker>
            <c:symbol val="none"/>
          </c:marker>
          <c:cat>
            <c:numRef>
              <c:f>Dashboard!$H$11:$H$24</c:f>
              <c:numCache>
                <c:formatCode>mmm\-yy</c:formatCode>
                <c:ptCount val="14"/>
                <c:pt idx="0">
                  <c:v>44743</c:v>
                </c:pt>
                <c:pt idx="1">
                  <c:v>44774</c:v>
                </c:pt>
                <c:pt idx="2">
                  <c:v>44805</c:v>
                </c:pt>
                <c:pt idx="3">
                  <c:v>44835</c:v>
                </c:pt>
                <c:pt idx="4">
                  <c:v>44866</c:v>
                </c:pt>
                <c:pt idx="5">
                  <c:v>44896</c:v>
                </c:pt>
                <c:pt idx="6">
                  <c:v>44927</c:v>
                </c:pt>
                <c:pt idx="7">
                  <c:v>44958</c:v>
                </c:pt>
                <c:pt idx="8">
                  <c:v>44986</c:v>
                </c:pt>
                <c:pt idx="9">
                  <c:v>45017</c:v>
                </c:pt>
                <c:pt idx="10">
                  <c:v>45047</c:v>
                </c:pt>
                <c:pt idx="11">
                  <c:v>45078</c:v>
                </c:pt>
                <c:pt idx="12">
                  <c:v>45108</c:v>
                </c:pt>
                <c:pt idx="13">
                  <c:v>45139</c:v>
                </c:pt>
              </c:numCache>
            </c:numRef>
          </c:cat>
          <c:val>
            <c:numRef>
              <c:f>Dashboard!$I$11:$I$24</c:f>
              <c:numCache>
                <c:formatCode>General</c:formatCode>
                <c:ptCount val="14"/>
                <c:pt idx="0">
                  <c:v>0</c:v>
                </c:pt>
                <c:pt idx="1">
                  <c:v>0</c:v>
                </c:pt>
                <c:pt idx="2">
                  <c:v>0</c:v>
                </c:pt>
                <c:pt idx="3">
                  <c:v>0</c:v>
                </c:pt>
                <c:pt idx="4">
                  <c:v>0</c:v>
                </c:pt>
                <c:pt idx="5">
                  <c:v>0</c:v>
                </c:pt>
                <c:pt idx="6">
                  <c:v>0</c:v>
                </c:pt>
                <c:pt idx="7">
                  <c:v>0</c:v>
                </c:pt>
                <c:pt idx="8">
                  <c:v>1</c:v>
                </c:pt>
                <c:pt idx="9">
                  <c:v>1</c:v>
                </c:pt>
                <c:pt idx="10">
                  <c:v>3</c:v>
                </c:pt>
                <c:pt idx="11">
                  <c:v>6</c:v>
                </c:pt>
                <c:pt idx="12">
                  <c:v>0</c:v>
                </c:pt>
                <c:pt idx="13">
                  <c:v>0</c:v>
                </c:pt>
              </c:numCache>
            </c:numRef>
          </c:val>
          <c:smooth val="0"/>
          <c:extLst>
            <c:ext xmlns:c16="http://schemas.microsoft.com/office/drawing/2014/chart" uri="{C3380CC4-5D6E-409C-BE32-E72D297353CC}">
              <c16:uniqueId val="{00000000-3642-45B1-8E62-F24E69C3AF3C}"/>
            </c:ext>
          </c:extLst>
        </c:ser>
        <c:dLbls>
          <c:showLegendKey val="0"/>
          <c:showVal val="0"/>
          <c:showCatName val="0"/>
          <c:showSerName val="0"/>
          <c:showPercent val="0"/>
          <c:showBubbleSize val="0"/>
        </c:dLbls>
        <c:marker val="1"/>
        <c:smooth val="0"/>
        <c:axId val="1132414672"/>
        <c:axId val="1132417072"/>
      </c:lineChart>
      <c:dateAx>
        <c:axId val="118057536"/>
        <c:scaling>
          <c:orientation val="minMax"/>
        </c:scaling>
        <c:delete val="0"/>
        <c:axPos val="b"/>
        <c:numFmt formatCode="mmm\-yy" sourceLinked="1"/>
        <c:majorTickMark val="out"/>
        <c:minorTickMark val="none"/>
        <c:tickLblPos val="nextTo"/>
        <c:spPr>
          <a:noFill/>
          <a:ln w="9525" cap="flat" cmpd="sng" algn="ctr">
            <a:solidFill>
              <a:srgbClr val="D1D5DB"/>
            </a:solidFill>
            <a:prstDash val="solid"/>
            <a:round/>
          </a:ln>
          <a:effectLst/>
        </c:spPr>
        <c:txPr>
          <a:bodyPr rot="-60000000" spcFirstLastPara="1" vertOverflow="ellipsis" vert="horz" wrap="square" anchor="ctr" anchorCtr="1"/>
          <a:lstStyle/>
          <a:p>
            <a:pPr>
              <a:defRPr sz="900" b="0" i="0" u="none" strike="noStrike" kern="1200" baseline="0">
                <a:solidFill>
                  <a:srgbClr val="374151"/>
                </a:solidFill>
                <a:latin typeface="Aptos"/>
                <a:ea typeface="Aptos"/>
                <a:cs typeface="Aptos"/>
              </a:defRPr>
            </a:pPr>
            <a:endParaRPr lang="en-US"/>
          </a:p>
        </c:txPr>
        <c:crossAx val="118059456"/>
        <c:crosses val="autoZero"/>
        <c:auto val="1"/>
        <c:lblOffset val="100"/>
        <c:baseTimeUnit val="months"/>
      </c:dateAx>
      <c:valAx>
        <c:axId val="118059456"/>
        <c:scaling>
          <c:orientation val="minMax"/>
        </c:scaling>
        <c:delete val="0"/>
        <c:axPos val="l"/>
        <c:majorGridlines>
          <c:spPr>
            <a:ln w="9525" cap="flat" cmpd="sng" algn="ctr">
              <a:solidFill>
                <a:srgbClr val="E5E7EB"/>
              </a:solidFill>
              <a:prstDash val="solid"/>
              <a:round/>
            </a:ln>
            <a:effectLst/>
          </c:spPr>
        </c:majorGridlines>
        <c:numFmt formatCode="#,##0" sourceLinked="1"/>
        <c:majorTickMark val="none"/>
        <c:minorTickMark val="none"/>
        <c:tickLblPos val="nextTo"/>
        <c:spPr>
          <a:noFill/>
          <a:ln>
            <a:solidFill>
              <a:srgbClr val="D1D5DB"/>
            </a:solidFill>
            <a:prstDash val="solid"/>
          </a:ln>
          <a:effectLst/>
        </c:spPr>
        <c:txPr>
          <a:bodyPr rot="-60000000" spcFirstLastPara="1" vertOverflow="ellipsis" vert="horz" wrap="square" anchor="ctr" anchorCtr="1"/>
          <a:lstStyle/>
          <a:p>
            <a:pPr>
              <a:defRPr sz="900" b="0" i="0" u="none" strike="noStrike" kern="1200" baseline="0">
                <a:solidFill>
                  <a:srgbClr val="374151"/>
                </a:solidFill>
                <a:latin typeface="Aptos"/>
                <a:ea typeface="Aptos"/>
                <a:cs typeface="Aptos"/>
              </a:defRPr>
            </a:pPr>
            <a:endParaRPr lang="en-US"/>
          </a:p>
        </c:txPr>
        <c:crossAx val="118057536"/>
        <c:crosses val="autoZero"/>
        <c:crossBetween val="between"/>
      </c:valAx>
      <c:valAx>
        <c:axId val="113241707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414672"/>
        <c:crosses val="max"/>
        <c:crossBetween val="between"/>
      </c:valAx>
      <c:dateAx>
        <c:axId val="1132414672"/>
        <c:scaling>
          <c:orientation val="minMax"/>
        </c:scaling>
        <c:delete val="1"/>
        <c:axPos val="b"/>
        <c:numFmt formatCode="mmm\-yy" sourceLinked="1"/>
        <c:majorTickMark val="out"/>
        <c:minorTickMark val="none"/>
        <c:tickLblPos val="nextTo"/>
        <c:crossAx val="1132417072"/>
        <c:crosses val="autoZero"/>
        <c:auto val="1"/>
        <c:lblOffset val="100"/>
        <c:baseTimeUnit val="months"/>
      </c:dateAx>
      <c:spPr>
        <a:solidFill>
          <a:srgbClr val="FFFFFF"/>
        </a:solidFill>
        <a:ln w="25400">
          <a:noFill/>
        </a:ln>
        <a:effectLst/>
      </c:spPr>
    </c:plotArea>
    <c:legend>
      <c:legendPos val="b"/>
      <c:overlay val="0"/>
      <c:spPr>
        <a:solidFill>
          <a:srgbClr val="FFFFFF"/>
        </a:solidFill>
        <a:ln>
          <a:noFill/>
        </a:ln>
        <a:effectLst/>
      </c:spPr>
      <c:txPr>
        <a:bodyPr rot="0" spcFirstLastPara="1" vertOverflow="ellipsis" vert="horz" wrap="square" anchor="ctr" anchorCtr="1"/>
        <a:lstStyle/>
        <a:p>
          <a:pPr>
            <a:defRPr sz="900" b="0" i="0" u="none" strike="noStrike" kern="1200" baseline="0">
              <a:solidFill>
                <a:srgbClr val="37415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1E3A5F"/>
      </a:solidFill>
      <a:prstDash val="solid"/>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19051</xdr:colOff>
      <xdr:row>15</xdr:row>
      <xdr:rowOff>28574</xdr:rowOff>
    </xdr:from>
    <xdr:to>
      <xdr:col>7</xdr:col>
      <xdr:colOff>238126</xdr:colOff>
      <xdr:row>40</xdr:row>
      <xdr:rowOff>47625</xdr:rowOff>
    </xdr:to>
    <xdr:graphicFrame macro="">
      <xdr:nvGraphicFramePr>
        <xdr:cNvPr id="2" name="Chart 1">
          <a:extLst>
            <a:ext uri="{FF2B5EF4-FFF2-40B4-BE49-F238E27FC236}">
              <a16:creationId xmlns:a16="http://schemas.microsoft.com/office/drawing/2014/main" id="{E39334B4-9A30-5B28-3FDA-E05788AF3F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22</xdr:row>
      <xdr:rowOff>0</xdr:rowOff>
    </xdr:from>
    <xdr:to>
      <xdr:col>9</xdr:col>
      <xdr:colOff>957262</xdr:colOff>
      <xdr:row>43</xdr:row>
      <xdr:rowOff>90488</xdr:rowOff>
    </xdr:to>
    <xdr:graphicFrame macro="">
      <xdr:nvGraphicFramePr>
        <xdr:cNvPr id="3" name="Chart 2">
          <a:extLst>
            <a:ext uri="{FF2B5EF4-FFF2-40B4-BE49-F238E27FC236}">
              <a16:creationId xmlns:a16="http://schemas.microsoft.com/office/drawing/2014/main" id="{405A0707-B82B-4ABD-7C07-BAA58F86E4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406400</xdr:colOff>
      <xdr:row>5</xdr:row>
      <xdr:rowOff>165100</xdr:rowOff>
    </xdr:from>
    <xdr:to>
      <xdr:col>9</xdr:col>
      <xdr:colOff>355600</xdr:colOff>
      <xdr:row>25</xdr:row>
      <xdr:rowOff>19050</xdr:rowOff>
    </xdr:to>
    <xdr:graphicFrame macro="">
      <xdr:nvGraphicFramePr>
        <xdr:cNvPr id="2" name="Chart 1">
          <a:extLst>
            <a:ext uri="{FF2B5EF4-FFF2-40B4-BE49-F238E27FC236}">
              <a16:creationId xmlns:a16="http://schemas.microsoft.com/office/drawing/2014/main" id="{342B0B48-6C6F-487C-BC3A-6504302637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5</xdr:row>
      <xdr:rowOff>165100</xdr:rowOff>
    </xdr:from>
    <xdr:to>
      <xdr:col>17</xdr:col>
      <xdr:colOff>558800</xdr:colOff>
      <xdr:row>25</xdr:row>
      <xdr:rowOff>19050</xdr:rowOff>
    </xdr:to>
    <xdr:graphicFrame macro="">
      <xdr:nvGraphicFramePr>
        <xdr:cNvPr id="3" name="Chart 2">
          <a:extLst>
            <a:ext uri="{FF2B5EF4-FFF2-40B4-BE49-F238E27FC236}">
              <a16:creationId xmlns:a16="http://schemas.microsoft.com/office/drawing/2014/main" id="{64D44C47-16C0-44B3-B37B-8E671939C6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203200</xdr:colOff>
      <xdr:row>5</xdr:row>
      <xdr:rowOff>165100</xdr:rowOff>
    </xdr:from>
    <xdr:to>
      <xdr:col>26</xdr:col>
      <xdr:colOff>152400</xdr:colOff>
      <xdr:row>25</xdr:row>
      <xdr:rowOff>19050</xdr:rowOff>
    </xdr:to>
    <xdr:graphicFrame macro="">
      <xdr:nvGraphicFramePr>
        <xdr:cNvPr id="4" name="Chart 3">
          <a:extLst>
            <a:ext uri="{FF2B5EF4-FFF2-40B4-BE49-F238E27FC236}">
              <a16:creationId xmlns:a16="http://schemas.microsoft.com/office/drawing/2014/main" id="{D2591380-F04E-410A-B86E-7E7D66B628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406400</xdr:colOff>
      <xdr:row>28</xdr:row>
      <xdr:rowOff>12700</xdr:rowOff>
    </xdr:from>
    <xdr:to>
      <xdr:col>9</xdr:col>
      <xdr:colOff>355600</xdr:colOff>
      <xdr:row>47</xdr:row>
      <xdr:rowOff>38100</xdr:rowOff>
    </xdr:to>
    <xdr:graphicFrame macro="">
      <xdr:nvGraphicFramePr>
        <xdr:cNvPr id="5" name="Chart 4">
          <a:extLst>
            <a:ext uri="{FF2B5EF4-FFF2-40B4-BE49-F238E27FC236}">
              <a16:creationId xmlns:a16="http://schemas.microsoft.com/office/drawing/2014/main" id="{461DC635-D359-4E0F-BFA3-8B35F20A3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0</xdr:colOff>
      <xdr:row>28</xdr:row>
      <xdr:rowOff>12700</xdr:rowOff>
    </xdr:from>
    <xdr:to>
      <xdr:col>17</xdr:col>
      <xdr:colOff>558800</xdr:colOff>
      <xdr:row>47</xdr:row>
      <xdr:rowOff>38100</xdr:rowOff>
    </xdr:to>
    <xdr:graphicFrame macro="">
      <xdr:nvGraphicFramePr>
        <xdr:cNvPr id="6" name="Chart 5">
          <a:extLst>
            <a:ext uri="{FF2B5EF4-FFF2-40B4-BE49-F238E27FC236}">
              <a16:creationId xmlns:a16="http://schemas.microsoft.com/office/drawing/2014/main" id="{7618010A-8124-490C-A218-181F3167DF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406400</xdr:colOff>
      <xdr:row>50</xdr:row>
      <xdr:rowOff>31750</xdr:rowOff>
    </xdr:from>
    <xdr:to>
      <xdr:col>9</xdr:col>
      <xdr:colOff>355600</xdr:colOff>
      <xdr:row>70</xdr:row>
      <xdr:rowOff>0</xdr:rowOff>
    </xdr:to>
    <xdr:graphicFrame macro="">
      <xdr:nvGraphicFramePr>
        <xdr:cNvPr id="7" name="Chart 6">
          <a:extLst>
            <a:ext uri="{FF2B5EF4-FFF2-40B4-BE49-F238E27FC236}">
              <a16:creationId xmlns:a16="http://schemas.microsoft.com/office/drawing/2014/main" id="{BFB02E8D-6100-4D7A-8349-1E4677B320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0</xdr:colOff>
      <xdr:row>50</xdr:row>
      <xdr:rowOff>31750</xdr:rowOff>
    </xdr:from>
    <xdr:to>
      <xdr:col>17</xdr:col>
      <xdr:colOff>558800</xdr:colOff>
      <xdr:row>70</xdr:row>
      <xdr:rowOff>0</xdr:rowOff>
    </xdr:to>
    <xdr:graphicFrame macro="">
      <xdr:nvGraphicFramePr>
        <xdr:cNvPr id="8" name="Chart 7">
          <a:extLst>
            <a:ext uri="{FF2B5EF4-FFF2-40B4-BE49-F238E27FC236}">
              <a16:creationId xmlns:a16="http://schemas.microsoft.com/office/drawing/2014/main" id="{C2AA1472-B045-403B-B314-9895489091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Terence Musoni" id="{0CC849DA-3ECC-465C-92F3-2AA1C19986E4}" userId="fa76dbc9b469103d"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095C92-704D-4A6F-BC12-94BFAAAB0A0B}" name="Table1" displayName="Table1" ref="A1:D78142" headerRowDxfId="14" dataDxfId="12" totalsRowDxfId="11" headerRowBorderDxfId="13">
  <autoFilter ref="A1:D78142" xr:uid="{63095C92-704D-4A6F-BC12-94BFAAAB0A0B}"/>
  <tableColumns count="4">
    <tableColumn id="5" xr3:uid="{0C85107F-F2B4-480F-B98F-68FEC0D2C48D}" name="Country" dataDxfId="10"/>
    <tableColumn id="11" xr3:uid="{6B411997-CC2D-49F5-9E00-8C18C4599F80}" name="Month" dataDxfId="9"/>
    <tableColumn id="22" xr3:uid="{9E49026F-29A5-4FF5-9DA3-7159582F93CA}" name="Quantity" dataDxfId="8"/>
    <tableColumn id="23" xr3:uid="{D700ACC2-3C5E-4983-845F-DF0A15FFBD90}" name="Calendar year" dataDxfId="7"/>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7" dT="2026-02-27T14:58:41.62" personId="{0CC849DA-3ECC-465C-92F3-2AA1C19986E4}" id="{FF8D2688-63F3-4F24-8D8D-04AA71ECFBFE}">
    <text>✏️ USER INPUT: Edit cells C7–C12 (gold-bordered cells) to configure surveillance settings.</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6-02-27T14:58:41.42" personId="{0CC849DA-3ECC-465C-92F3-2AA1C19986E4}" id="{1FF40F96-0CBF-4094-9B94-0E057856266B}">
    <text>✏️ USER INPUT: Enter complaint data in columns A–D (rows 2–928). Columns E–F are auto-calculated — do not edit.</text>
  </threadedComment>
</ThreadedComments>
</file>

<file path=xl/threadedComments/threadedComment3.xml><?xml version="1.0" encoding="utf-8"?>
<ThreadedComments xmlns="http://schemas.microsoft.com/office/spreadsheetml/2018/threadedcomments" xmlns:x="http://schemas.openxmlformats.org/spreadsheetml/2006/main">
  <threadedComment ref="A1" dT="2026-02-27T14:58:41.47" personId="{0CC849DA-3ECC-465C-92F3-2AA1C19986E4}" id="{92FC86A9-6DD0-4CD6-9B77-AD821B41942A}">
    <text>✏️ USER INPUT: Enter sales data in all columns A–D (rows 2–3425). Country, Month, Quantity, Calendar year.</text>
  </threadedComment>
</ThreadedComments>
</file>

<file path=xl/threadedComments/threadedComment4.xml><?xml version="1.0" encoding="utf-8"?>
<ThreadedComments xmlns="http://schemas.microsoft.com/office/spreadsheetml/2018/threadedcomments" xmlns:x="http://schemas.openxmlformats.org/spreadsheetml/2006/main">
  <threadedComment ref="F6" dT="2026-02-27T15:28:09.12" personId="{0CC849DA-3ECC-465C-92F3-2AA1C19986E4}" id="{9125ABD4-F184-4BB7-A12C-92FD20B28067}">
    <text>📋 Dynamic rows: Empty device problem rows are hidden. When new complaint types are added to the complaints sheet, the corresponding rows will auto-populate with data. To reveal them: Select rows around the hidden area → Right-click → Unhide.</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70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62FD990-6511-4D50-92EA-85B5191526F4}">
  <we:reference id="wa200009404" version="1.0.0.5" store="en-US" storeType="OMEX"/>
  <we:alternateReferences>
    <we:reference id="wa200009404" version="1.0.0.5" store="wa200009404"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1.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2AA75-ABAB-49FD-98AE-468AED8F40E8}">
  <sheetPr>
    <tabColor rgb="FF0F172A"/>
  </sheetPr>
  <dimension ref="A1:L121"/>
  <sheetViews>
    <sheetView showGridLines="0" workbookViewId="0">
      <pane ySplit="3" topLeftCell="A23" activePane="bottomLeft" state="frozen"/>
      <selection pane="bottomLeft" activeCell="C30" sqref="C30"/>
    </sheetView>
  </sheetViews>
  <sheetFormatPr defaultRowHeight="12.75" x14ac:dyDescent="0.35"/>
  <cols>
    <col min="1" max="1" width="2.86328125" customWidth="1"/>
    <col min="2" max="2" width="41.86328125" customWidth="1"/>
    <col min="3" max="3" width="36.73046875" customWidth="1"/>
    <col min="4" max="4" width="71.73046875" bestFit="1" customWidth="1"/>
    <col min="5" max="5" width="34.265625" customWidth="1"/>
    <col min="6" max="6" width="68.73046875" bestFit="1" customWidth="1"/>
    <col min="7" max="7" width="26.73046875" customWidth="1"/>
    <col min="8" max="8" width="22.86328125" customWidth="1"/>
  </cols>
  <sheetData>
    <row r="1" spans="1:12" ht="42" customHeight="1" thickBot="1" x14ac:dyDescent="0.75">
      <c r="A1" s="460" t="s">
        <v>1347</v>
      </c>
      <c r="B1" s="461"/>
      <c r="C1" s="461"/>
      <c r="D1" s="461"/>
      <c r="E1" s="461"/>
      <c r="F1" s="461"/>
      <c r="G1" s="461"/>
      <c r="H1" s="461"/>
      <c r="I1" s="461"/>
      <c r="J1" s="461"/>
      <c r="K1" s="461"/>
      <c r="L1" s="461"/>
    </row>
    <row r="2" spans="1:12" ht="27.95" customHeight="1" x14ac:dyDescent="0.45">
      <c r="A2" s="462" t="s">
        <v>1348</v>
      </c>
      <c r="B2" s="463"/>
      <c r="C2" s="463"/>
      <c r="D2" s="463"/>
      <c r="E2" s="463"/>
      <c r="F2" s="463"/>
      <c r="G2" s="463"/>
      <c r="H2" s="463"/>
      <c r="I2" s="463"/>
      <c r="J2" s="463"/>
      <c r="K2" s="463"/>
      <c r="L2" s="463"/>
    </row>
    <row r="3" spans="1:12" ht="13.15" x14ac:dyDescent="0.4">
      <c r="A3" s="11"/>
      <c r="B3" s="11"/>
      <c r="C3" s="11"/>
      <c r="D3" s="11"/>
      <c r="E3" s="11"/>
      <c r="F3" s="11"/>
      <c r="G3" s="11"/>
      <c r="H3" s="11"/>
      <c r="I3" s="11"/>
      <c r="J3" s="11"/>
      <c r="K3" s="11"/>
      <c r="L3" s="11"/>
    </row>
    <row r="4" spans="1:12" ht="30" customHeight="1" thickBot="1" x14ac:dyDescent="0.55000000000000004">
      <c r="A4" s="464" t="s">
        <v>1349</v>
      </c>
      <c r="B4" s="465"/>
      <c r="C4" s="465"/>
      <c r="D4" s="465"/>
      <c r="E4" s="465"/>
      <c r="F4" s="465"/>
      <c r="G4" s="465"/>
      <c r="H4" s="465"/>
      <c r="I4" s="465"/>
      <c r="J4" s="465"/>
      <c r="K4" s="465"/>
      <c r="L4" s="465"/>
    </row>
    <row r="5" spans="1:12" ht="13.5" thickBot="1" x14ac:dyDescent="0.45">
      <c r="A5" s="11"/>
      <c r="B5" s="11"/>
      <c r="C5" s="11"/>
      <c r="D5" s="11"/>
      <c r="E5" s="11"/>
      <c r="F5" s="12" t="s">
        <v>1463</v>
      </c>
      <c r="G5" s="11"/>
      <c r="H5" s="11"/>
      <c r="I5" s="11"/>
      <c r="J5" s="11"/>
      <c r="K5" s="11"/>
      <c r="L5" s="11"/>
    </row>
    <row r="6" spans="1:12" ht="21.95" customHeight="1" thickBot="1" x14ac:dyDescent="0.45">
      <c r="A6" s="11"/>
      <c r="B6" s="13" t="s">
        <v>1350</v>
      </c>
      <c r="C6" s="14" t="s">
        <v>1351</v>
      </c>
      <c r="D6" s="15" t="s">
        <v>1352</v>
      </c>
      <c r="E6" s="11"/>
      <c r="F6" s="13" t="s">
        <v>1451</v>
      </c>
      <c r="G6" s="14" t="s">
        <v>1452</v>
      </c>
      <c r="H6" s="15" t="s">
        <v>1361</v>
      </c>
      <c r="I6" s="11"/>
      <c r="J6" s="11"/>
      <c r="K6" s="11"/>
      <c r="L6" s="11"/>
    </row>
    <row r="7" spans="1:12" ht="21.95" customHeight="1" x14ac:dyDescent="0.4">
      <c r="A7" s="11"/>
      <c r="B7" s="80" t="s">
        <v>1353</v>
      </c>
      <c r="C7" s="353" t="s">
        <v>1639</v>
      </c>
      <c r="D7" s="81" t="s">
        <v>1354</v>
      </c>
      <c r="E7" s="11"/>
      <c r="F7" s="16" t="s">
        <v>1453</v>
      </c>
      <c r="G7" s="17" t="s">
        <v>1454</v>
      </c>
      <c r="H7" s="18">
        <v>1</v>
      </c>
      <c r="I7" s="11"/>
      <c r="J7" s="11"/>
      <c r="K7" s="11"/>
      <c r="L7" s="11"/>
    </row>
    <row r="8" spans="1:12" ht="21.95" customHeight="1" x14ac:dyDescent="0.4">
      <c r="A8" s="11"/>
      <c r="B8" s="25" t="s">
        <v>1355</v>
      </c>
      <c r="C8" s="354">
        <v>44743</v>
      </c>
      <c r="D8" s="82" t="s">
        <v>1356</v>
      </c>
      <c r="E8" s="11"/>
      <c r="F8" s="19" t="s">
        <v>1455</v>
      </c>
      <c r="G8" s="20" t="s">
        <v>1456</v>
      </c>
      <c r="H8" s="21">
        <v>0.1</v>
      </c>
      <c r="I8" s="11"/>
      <c r="J8" s="11"/>
      <c r="K8" s="11"/>
      <c r="L8" s="11"/>
    </row>
    <row r="9" spans="1:12" ht="21.95" customHeight="1" x14ac:dyDescent="0.4">
      <c r="A9" s="11"/>
      <c r="B9" s="27" t="s">
        <v>1357</v>
      </c>
      <c r="C9" s="354">
        <v>45838</v>
      </c>
      <c r="D9" s="83" t="s">
        <v>1358</v>
      </c>
      <c r="E9" s="11"/>
      <c r="F9" s="22" t="s">
        <v>1457</v>
      </c>
      <c r="G9" s="23" t="s">
        <v>1458</v>
      </c>
      <c r="H9" s="24">
        <v>0.01</v>
      </c>
      <c r="I9" s="11"/>
      <c r="J9" s="11"/>
      <c r="K9" s="11"/>
      <c r="L9" s="11"/>
    </row>
    <row r="10" spans="1:12" ht="21.95" customHeight="1" x14ac:dyDescent="0.4">
      <c r="A10" s="11"/>
      <c r="B10" s="25" t="s">
        <v>1359</v>
      </c>
      <c r="C10" s="355" t="s">
        <v>1640</v>
      </c>
      <c r="D10" s="82" t="s">
        <v>1360</v>
      </c>
      <c r="E10" s="11"/>
      <c r="F10" s="19" t="s">
        <v>80</v>
      </c>
      <c r="G10" s="20" t="s">
        <v>1459</v>
      </c>
      <c r="H10" s="26">
        <v>1E-3</v>
      </c>
      <c r="I10" s="11"/>
      <c r="J10" s="11"/>
      <c r="K10" s="11"/>
      <c r="L10" s="11"/>
    </row>
    <row r="11" spans="1:12" ht="21.95" customHeight="1" x14ac:dyDescent="0.4">
      <c r="A11" s="11"/>
      <c r="B11" s="27" t="s">
        <v>1465</v>
      </c>
      <c r="C11" s="419"/>
      <c r="D11" s="83" t="s">
        <v>1466</v>
      </c>
      <c r="E11" s="11"/>
      <c r="F11" s="22"/>
      <c r="G11" s="23"/>
      <c r="H11" s="28"/>
      <c r="I11" s="11"/>
      <c r="J11" s="11"/>
      <c r="K11" s="11"/>
      <c r="L11" s="11"/>
    </row>
    <row r="12" spans="1:12" ht="21.95" customHeight="1" x14ac:dyDescent="0.4">
      <c r="A12" s="11"/>
      <c r="B12" s="25" t="s">
        <v>1467</v>
      </c>
      <c r="C12" s="420"/>
      <c r="D12" s="82" t="s">
        <v>1468</v>
      </c>
      <c r="E12" s="11"/>
      <c r="F12" s="19"/>
      <c r="G12" s="20"/>
      <c r="H12" s="26"/>
      <c r="I12" s="11"/>
      <c r="J12" s="11"/>
      <c r="K12" s="11"/>
      <c r="L12" s="11"/>
    </row>
    <row r="13" spans="1:12" ht="21.95" customHeight="1" x14ac:dyDescent="0.35"/>
    <row r="14" spans="1:12" ht="21.95" customHeight="1" x14ac:dyDescent="0.5">
      <c r="A14" s="384" t="s">
        <v>1572</v>
      </c>
    </row>
    <row r="15" spans="1:12" ht="21.95" customHeight="1" x14ac:dyDescent="0.4">
      <c r="B15" s="388" t="s">
        <v>1573</v>
      </c>
      <c r="C15" s="386" t="s">
        <v>1351</v>
      </c>
      <c r="D15" s="391" t="s">
        <v>1352</v>
      </c>
    </row>
    <row r="16" spans="1:12" ht="21.95" customHeight="1" x14ac:dyDescent="0.4">
      <c r="B16" s="389" t="s">
        <v>1574</v>
      </c>
      <c r="C16" s="421" t="s">
        <v>1631</v>
      </c>
      <c r="D16" s="392" t="s">
        <v>1637</v>
      </c>
    </row>
    <row r="17" spans="2:4" ht="21.95" customHeight="1" x14ac:dyDescent="0.4">
      <c r="B17" s="390" t="s">
        <v>1575</v>
      </c>
      <c r="C17" s="422" t="s">
        <v>1632</v>
      </c>
      <c r="D17" s="393" t="s">
        <v>1637</v>
      </c>
    </row>
    <row r="18" spans="2:4" ht="21.95" customHeight="1" x14ac:dyDescent="0.4">
      <c r="B18" s="389" t="s">
        <v>1576</v>
      </c>
      <c r="C18" s="421" t="s">
        <v>1633</v>
      </c>
      <c r="D18" s="392" t="s">
        <v>1637</v>
      </c>
    </row>
    <row r="19" spans="2:4" ht="21.95" customHeight="1" x14ac:dyDescent="0.4">
      <c r="B19" s="390" t="s">
        <v>1577</v>
      </c>
      <c r="C19" s="422" t="s">
        <v>1634</v>
      </c>
      <c r="D19" s="393" t="s">
        <v>1637</v>
      </c>
    </row>
    <row r="20" spans="2:4" ht="21.95" customHeight="1" x14ac:dyDescent="0.4">
      <c r="B20" s="389" t="s">
        <v>1578</v>
      </c>
      <c r="C20" s="421" t="s">
        <v>1635</v>
      </c>
      <c r="D20" s="392" t="s">
        <v>1637</v>
      </c>
    </row>
    <row r="21" spans="2:4" ht="21.95" customHeight="1" x14ac:dyDescent="0.4">
      <c r="B21" s="390" t="s">
        <v>1579</v>
      </c>
      <c r="C21" s="422" t="s">
        <v>1636</v>
      </c>
      <c r="D21" s="393" t="s">
        <v>1637</v>
      </c>
    </row>
    <row r="22" spans="2:4" ht="21.95" customHeight="1" x14ac:dyDescent="0.4">
      <c r="B22" s="389" t="s">
        <v>1580</v>
      </c>
      <c r="C22" s="421">
        <v>2797</v>
      </c>
      <c r="D22" s="392" t="s">
        <v>1637</v>
      </c>
    </row>
    <row r="23" spans="2:4" ht="21.95" customHeight="1" thickBot="1" x14ac:dyDescent="0.45">
      <c r="B23" s="394" t="s">
        <v>1581</v>
      </c>
      <c r="C23" s="399" t="s">
        <v>1641</v>
      </c>
      <c r="D23" s="395" t="s">
        <v>1638</v>
      </c>
    </row>
    <row r="24" spans="2:4" ht="21.95" customHeight="1" x14ac:dyDescent="0.35"/>
    <row r="25" spans="2:4" ht="21.95" customHeight="1" x14ac:dyDescent="0.4">
      <c r="B25" s="388" t="s">
        <v>1582</v>
      </c>
      <c r="C25" s="386" t="s">
        <v>1351</v>
      </c>
      <c r="D25" s="391" t="s">
        <v>1352</v>
      </c>
    </row>
    <row r="26" spans="2:4" ht="21.95" customHeight="1" x14ac:dyDescent="0.4">
      <c r="B26" s="389" t="s">
        <v>1583</v>
      </c>
      <c r="C26" s="398" t="s">
        <v>1641</v>
      </c>
      <c r="D26" s="392" t="s">
        <v>1584</v>
      </c>
    </row>
    <row r="27" spans="2:4" ht="21.95" customHeight="1" x14ac:dyDescent="0.4">
      <c r="B27" s="390" t="s">
        <v>1585</v>
      </c>
      <c r="C27" s="400" t="str">
        <f>IF(C7="","",C7)</f>
        <v>Global® Total® for Fertilization</v>
      </c>
      <c r="D27" s="393" t="s">
        <v>1586</v>
      </c>
    </row>
    <row r="28" spans="2:4" ht="21.95" customHeight="1" x14ac:dyDescent="0.4">
      <c r="B28" s="389" t="s">
        <v>1587</v>
      </c>
      <c r="C28" s="398" t="s">
        <v>1641</v>
      </c>
      <c r="D28" s="392" t="s">
        <v>1588</v>
      </c>
    </row>
    <row r="29" spans="2:4" ht="21.95" customHeight="1" x14ac:dyDescent="0.4">
      <c r="B29" s="390" t="s">
        <v>1589</v>
      </c>
      <c r="C29" s="398" t="s">
        <v>1641</v>
      </c>
      <c r="D29" s="393" t="s">
        <v>1590</v>
      </c>
    </row>
    <row r="30" spans="2:4" ht="21.95" customHeight="1" x14ac:dyDescent="0.4">
      <c r="B30" s="389" t="s">
        <v>1591</v>
      </c>
      <c r="C30" s="398" t="s">
        <v>1642</v>
      </c>
      <c r="D30" s="392" t="s">
        <v>1592</v>
      </c>
    </row>
    <row r="31" spans="2:4" ht="21.95" customHeight="1" x14ac:dyDescent="0.4">
      <c r="B31" s="390" t="s">
        <v>79</v>
      </c>
      <c r="C31" s="400" t="str">
        <f>IF(OR(C8="",C9=""),"",TEXT(C8,"dd-mmm-yyyy")&amp;" to "&amp;TEXT(C9,"dd-mmm-yyyy"))</f>
        <v>01-Jul-2022 to 30-Jun-2025</v>
      </c>
      <c r="D31" s="393" t="s">
        <v>1593</v>
      </c>
    </row>
    <row r="32" spans="2:4" ht="21.95" customHeight="1" thickBot="1" x14ac:dyDescent="0.45">
      <c r="B32" s="396" t="s">
        <v>1594</v>
      </c>
      <c r="C32" s="401" t="str">
        <f>IF(C10="","",C10)</f>
        <v>Annual</v>
      </c>
      <c r="D32" s="397" t="s">
        <v>1595</v>
      </c>
    </row>
    <row r="33" spans="1:12" ht="21.95" customHeight="1" x14ac:dyDescent="0.4">
      <c r="A33" s="11"/>
      <c r="B33" s="402" t="s">
        <v>1596</v>
      </c>
      <c r="C33" s="84"/>
      <c r="D33" s="387"/>
      <c r="E33" s="11"/>
      <c r="F33" s="29" t="s">
        <v>1460</v>
      </c>
      <c r="G33" s="30" t="s">
        <v>1461</v>
      </c>
      <c r="H33" s="31">
        <v>1E-4</v>
      </c>
      <c r="I33" s="11"/>
      <c r="J33" s="11"/>
      <c r="K33" s="11"/>
      <c r="L33" s="11"/>
    </row>
    <row r="34" spans="1:12" ht="21.95" customHeight="1" x14ac:dyDescent="0.4">
      <c r="A34" s="11"/>
      <c r="B34" s="11"/>
      <c r="C34" s="11"/>
      <c r="D34" s="11"/>
      <c r="E34" s="11"/>
      <c r="F34" s="11"/>
      <c r="G34" s="11"/>
      <c r="H34" s="11"/>
      <c r="I34" s="11"/>
      <c r="J34" s="11"/>
      <c r="K34" s="11"/>
      <c r="L34" s="11"/>
    </row>
    <row r="35" spans="1:12" ht="21.95" customHeight="1" x14ac:dyDescent="0.4">
      <c r="A35" s="11"/>
      <c r="B35" s="11"/>
      <c r="C35" s="11"/>
      <c r="D35" s="11"/>
      <c r="E35" s="11"/>
      <c r="F35" s="32" t="s">
        <v>1462</v>
      </c>
      <c r="G35" s="11"/>
      <c r="H35" s="11"/>
      <c r="I35" s="11"/>
      <c r="J35" s="11"/>
      <c r="K35" s="11"/>
      <c r="L35" s="11"/>
    </row>
    <row r="36" spans="1:12" ht="21.95" customHeight="1" x14ac:dyDescent="0.4">
      <c r="A36" s="11"/>
      <c r="B36" s="11"/>
      <c r="C36" s="11"/>
      <c r="D36" s="11"/>
      <c r="E36" s="11"/>
      <c r="F36" s="11"/>
      <c r="G36" s="11"/>
      <c r="H36" s="11"/>
      <c r="I36" s="11"/>
      <c r="J36" s="11"/>
      <c r="K36" s="11"/>
      <c r="L36" s="11"/>
    </row>
    <row r="37" spans="1:12" ht="13.15" x14ac:dyDescent="0.4">
      <c r="A37" s="11"/>
      <c r="B37" s="11"/>
      <c r="C37" s="11"/>
      <c r="D37" s="11"/>
      <c r="E37" s="11"/>
      <c r="F37" s="11"/>
      <c r="G37" s="11"/>
      <c r="H37" s="11"/>
      <c r="I37" s="11"/>
      <c r="J37" s="11"/>
      <c r="K37" s="11"/>
      <c r="L37" s="11"/>
    </row>
    <row r="38" spans="1:12" ht="30" customHeight="1" thickBot="1" x14ac:dyDescent="0.55000000000000004">
      <c r="A38" s="464" t="s">
        <v>1362</v>
      </c>
      <c r="B38" s="465"/>
      <c r="C38" s="465"/>
      <c r="D38" s="465"/>
      <c r="E38" s="465"/>
      <c r="F38" s="465"/>
      <c r="G38" s="465"/>
      <c r="H38" s="465"/>
      <c r="I38" s="465"/>
      <c r="J38" s="465"/>
      <c r="K38" s="465"/>
      <c r="L38" s="465"/>
    </row>
    <row r="39" spans="1:12" ht="13.15" x14ac:dyDescent="0.4">
      <c r="A39" s="11"/>
      <c r="B39" s="11"/>
      <c r="C39" s="11"/>
      <c r="D39" s="11"/>
      <c r="E39" s="11"/>
      <c r="F39" s="11"/>
      <c r="G39" s="11"/>
      <c r="H39" s="11"/>
      <c r="I39" s="11"/>
      <c r="J39" s="11"/>
      <c r="K39" s="11"/>
      <c r="L39" s="11"/>
    </row>
    <row r="40" spans="1:12" ht="13.15" x14ac:dyDescent="0.4">
      <c r="A40" s="11"/>
      <c r="B40" s="12" t="s">
        <v>1363</v>
      </c>
      <c r="C40" s="12"/>
      <c r="D40" s="12"/>
      <c r="E40" s="11"/>
      <c r="F40" s="11"/>
      <c r="G40" s="11"/>
      <c r="H40" s="11"/>
      <c r="I40" s="11"/>
      <c r="J40" s="11"/>
      <c r="K40" s="11"/>
      <c r="L40" s="11"/>
    </row>
    <row r="41" spans="1:12" ht="13.15" x14ac:dyDescent="0.4">
      <c r="A41" s="11"/>
      <c r="B41" s="11" t="s">
        <v>1364</v>
      </c>
      <c r="C41" s="11"/>
      <c r="D41" s="11"/>
      <c r="E41" s="11"/>
      <c r="F41" s="11"/>
      <c r="G41" s="11"/>
      <c r="H41" s="11"/>
      <c r="I41" s="11"/>
      <c r="J41" s="11"/>
      <c r="K41" s="11"/>
      <c r="L41" s="11"/>
    </row>
    <row r="42" spans="1:12" ht="13.15" x14ac:dyDescent="0.4">
      <c r="A42" s="11"/>
      <c r="B42" s="11"/>
      <c r="C42" s="11"/>
      <c r="D42" s="11"/>
      <c r="E42" s="11"/>
      <c r="F42" s="11"/>
      <c r="G42" s="11"/>
      <c r="H42" s="11"/>
      <c r="I42" s="11"/>
      <c r="J42" s="11"/>
      <c r="K42" s="11"/>
      <c r="L42" s="11"/>
    </row>
    <row r="43" spans="1:12" ht="13.15" x14ac:dyDescent="0.4">
      <c r="A43" s="11"/>
      <c r="B43" s="12" t="s">
        <v>1365</v>
      </c>
      <c r="C43" s="12"/>
      <c r="D43" s="12"/>
      <c r="E43" s="11"/>
      <c r="F43" s="11"/>
      <c r="G43" s="11"/>
      <c r="H43" s="11"/>
      <c r="I43" s="11"/>
      <c r="J43" s="11"/>
      <c r="K43" s="11"/>
      <c r="L43" s="11"/>
    </row>
    <row r="44" spans="1:12" ht="13.15" x14ac:dyDescent="0.4">
      <c r="A44" s="11"/>
      <c r="B44" s="33" t="s">
        <v>1366</v>
      </c>
      <c r="C44" s="34" t="s">
        <v>1367</v>
      </c>
      <c r="D44" s="35" t="s">
        <v>1336</v>
      </c>
      <c r="E44" s="11"/>
      <c r="F44" s="11"/>
      <c r="G44" s="11"/>
      <c r="H44" s="11"/>
      <c r="I44" s="11"/>
      <c r="J44" s="11"/>
      <c r="K44" s="11"/>
      <c r="L44" s="11"/>
    </row>
    <row r="45" spans="1:12" ht="13.15" x14ac:dyDescent="0.4">
      <c r="A45" s="11"/>
      <c r="B45" s="36" t="s">
        <v>1368</v>
      </c>
      <c r="C45" s="37" t="s">
        <v>1369</v>
      </c>
      <c r="D45" s="38" t="s">
        <v>1370</v>
      </c>
      <c r="E45" s="11"/>
      <c r="F45" s="11"/>
      <c r="G45" s="11"/>
      <c r="H45" s="11"/>
      <c r="I45" s="11"/>
      <c r="J45" s="11"/>
      <c r="K45" s="11"/>
      <c r="L45" s="11"/>
    </row>
    <row r="46" spans="1:12" ht="13.15" x14ac:dyDescent="0.4">
      <c r="A46" s="11"/>
      <c r="B46" s="39" t="s">
        <v>1371</v>
      </c>
      <c r="C46" s="40" t="s">
        <v>1372</v>
      </c>
      <c r="D46" s="41" t="s">
        <v>1373</v>
      </c>
      <c r="E46" s="11"/>
      <c r="F46" s="11"/>
      <c r="G46" s="11"/>
      <c r="H46" s="11"/>
      <c r="I46" s="11"/>
      <c r="J46" s="11"/>
      <c r="K46" s="11"/>
      <c r="L46" s="11"/>
    </row>
    <row r="47" spans="1:12" ht="13.15" x14ac:dyDescent="0.4">
      <c r="A47" s="11"/>
      <c r="B47" s="36" t="s">
        <v>1374</v>
      </c>
      <c r="C47" s="37" t="s">
        <v>1372</v>
      </c>
      <c r="D47" s="38" t="s">
        <v>1375</v>
      </c>
      <c r="E47" s="11"/>
      <c r="F47" s="11"/>
      <c r="G47" s="11"/>
      <c r="H47" s="11"/>
      <c r="I47" s="11"/>
      <c r="J47" s="11"/>
      <c r="K47" s="11"/>
      <c r="L47" s="11"/>
    </row>
    <row r="48" spans="1:12" ht="13.15" x14ac:dyDescent="0.4">
      <c r="A48" s="11"/>
      <c r="B48" s="39" t="s">
        <v>1376</v>
      </c>
      <c r="C48" s="40" t="s">
        <v>1377</v>
      </c>
      <c r="D48" s="41" t="s">
        <v>1378</v>
      </c>
      <c r="E48" s="11"/>
      <c r="F48" s="11"/>
      <c r="G48" s="11"/>
      <c r="H48" s="11"/>
      <c r="I48" s="11"/>
      <c r="J48" s="11"/>
      <c r="K48" s="11"/>
      <c r="L48" s="11"/>
    </row>
    <row r="49" spans="1:12" ht="13.15" x14ac:dyDescent="0.4">
      <c r="A49" s="11"/>
      <c r="B49" s="36" t="s">
        <v>1325</v>
      </c>
      <c r="C49" s="37" t="s">
        <v>1377</v>
      </c>
      <c r="D49" s="38" t="s">
        <v>1379</v>
      </c>
      <c r="E49" s="11"/>
      <c r="F49" s="11"/>
      <c r="G49" s="11"/>
      <c r="H49" s="11"/>
      <c r="I49" s="11"/>
      <c r="J49" s="11"/>
      <c r="K49" s="11"/>
      <c r="L49" s="11"/>
    </row>
    <row r="50" spans="1:12" ht="13.15" x14ac:dyDescent="0.4">
      <c r="A50" s="11"/>
      <c r="B50" s="42" t="s">
        <v>1380</v>
      </c>
      <c r="C50" s="43" t="s">
        <v>1377</v>
      </c>
      <c r="D50" s="44" t="s">
        <v>1381</v>
      </c>
      <c r="E50" s="11"/>
      <c r="F50" s="11"/>
      <c r="G50" s="11"/>
      <c r="H50" s="11"/>
      <c r="I50" s="11"/>
      <c r="J50" s="11"/>
      <c r="K50" s="11"/>
      <c r="L50" s="11"/>
    </row>
    <row r="51" spans="1:12" ht="13.15" x14ac:dyDescent="0.4">
      <c r="A51" s="11"/>
      <c r="B51" s="11"/>
      <c r="C51" s="11"/>
      <c r="D51" s="11"/>
      <c r="E51" s="11"/>
      <c r="F51" s="11"/>
      <c r="G51" s="11"/>
      <c r="H51" s="11"/>
      <c r="I51" s="11"/>
      <c r="J51" s="11"/>
      <c r="K51" s="11"/>
      <c r="L51" s="11"/>
    </row>
    <row r="52" spans="1:12" ht="13.15" x14ac:dyDescent="0.4">
      <c r="A52" s="11"/>
      <c r="B52" s="45" t="s">
        <v>1382</v>
      </c>
      <c r="C52" s="11"/>
      <c r="D52" s="11"/>
      <c r="E52" s="11"/>
      <c r="F52" s="11"/>
      <c r="G52" s="11"/>
      <c r="H52" s="11"/>
      <c r="I52" s="11"/>
      <c r="J52" s="11"/>
      <c r="K52" s="11"/>
      <c r="L52" s="11"/>
    </row>
    <row r="53" spans="1:12" ht="13.15" x14ac:dyDescent="0.4">
      <c r="A53" s="11"/>
      <c r="B53" s="45" t="s">
        <v>1597</v>
      </c>
      <c r="C53" s="11"/>
      <c r="D53" s="11"/>
      <c r="E53" s="11"/>
      <c r="F53" s="11"/>
      <c r="G53" s="11"/>
      <c r="H53" s="11"/>
      <c r="I53" s="11"/>
      <c r="J53" s="11"/>
      <c r="K53" s="11"/>
      <c r="L53" s="11"/>
    </row>
    <row r="54" spans="1:12" ht="13.15" x14ac:dyDescent="0.4">
      <c r="A54" s="11"/>
      <c r="B54" s="33" t="s">
        <v>1383</v>
      </c>
      <c r="C54" s="34" t="s">
        <v>1384</v>
      </c>
      <c r="D54" s="35" t="s">
        <v>1385</v>
      </c>
      <c r="E54" s="11"/>
      <c r="F54" s="11"/>
      <c r="G54" s="11"/>
      <c r="H54" s="11"/>
      <c r="I54" s="11"/>
      <c r="J54" s="11"/>
      <c r="K54" s="11"/>
      <c r="L54" s="11"/>
    </row>
    <row r="55" spans="1:12" ht="13.15" x14ac:dyDescent="0.4">
      <c r="A55" s="11"/>
      <c r="B55" s="46" t="s">
        <v>1386</v>
      </c>
      <c r="C55" s="47" t="s">
        <v>1387</v>
      </c>
      <c r="D55" s="48" t="s">
        <v>1388</v>
      </c>
      <c r="E55" s="11"/>
      <c r="F55" s="11"/>
      <c r="G55" s="11"/>
      <c r="H55" s="11"/>
      <c r="I55" s="11"/>
      <c r="J55" s="11"/>
      <c r="K55" s="11"/>
      <c r="L55" s="11"/>
    </row>
    <row r="56" spans="1:12" ht="26.25" x14ac:dyDescent="0.4">
      <c r="A56" s="11"/>
      <c r="B56" s="49" t="s">
        <v>1389</v>
      </c>
      <c r="C56" s="50" t="s">
        <v>1390</v>
      </c>
      <c r="D56" s="51" t="s">
        <v>1391</v>
      </c>
      <c r="E56" s="11"/>
      <c r="F56" s="11"/>
      <c r="G56" s="11"/>
      <c r="H56" s="11"/>
      <c r="I56" s="11"/>
      <c r="J56" s="11"/>
      <c r="K56" s="11"/>
      <c r="L56" s="11"/>
    </row>
    <row r="57" spans="1:12" ht="26.25" x14ac:dyDescent="0.4">
      <c r="A57" s="11"/>
      <c r="B57" s="46" t="s">
        <v>1392</v>
      </c>
      <c r="C57" s="47" t="s">
        <v>1387</v>
      </c>
      <c r="D57" s="48" t="s">
        <v>1393</v>
      </c>
      <c r="E57" s="11"/>
      <c r="F57" s="11"/>
      <c r="G57" s="11"/>
      <c r="H57" s="11"/>
      <c r="I57" s="11"/>
      <c r="J57" s="11"/>
      <c r="K57" s="11"/>
      <c r="L57" s="11"/>
    </row>
    <row r="58" spans="1:12" ht="13.15" x14ac:dyDescent="0.4">
      <c r="A58" s="11"/>
      <c r="B58" s="49" t="s">
        <v>1394</v>
      </c>
      <c r="C58" s="50" t="s">
        <v>1395</v>
      </c>
      <c r="D58" s="51" t="s">
        <v>1396</v>
      </c>
      <c r="E58" s="11"/>
      <c r="F58" s="11"/>
      <c r="G58" s="11"/>
      <c r="H58" s="11"/>
      <c r="I58" s="11"/>
      <c r="J58" s="11"/>
      <c r="K58" s="11"/>
      <c r="L58" s="11"/>
    </row>
    <row r="59" spans="1:12" ht="13.15" x14ac:dyDescent="0.4">
      <c r="A59" s="11"/>
      <c r="B59" s="52" t="s">
        <v>1397</v>
      </c>
      <c r="C59" s="53" t="s">
        <v>1398</v>
      </c>
      <c r="D59" s="54" t="s">
        <v>1399</v>
      </c>
      <c r="E59" s="11"/>
      <c r="F59" s="11"/>
      <c r="G59" s="11"/>
      <c r="H59" s="11"/>
      <c r="I59" s="11"/>
      <c r="J59" s="11"/>
      <c r="K59" s="11"/>
      <c r="L59" s="11"/>
    </row>
    <row r="60" spans="1:12" ht="13.15" x14ac:dyDescent="0.4">
      <c r="A60" s="11"/>
      <c r="B60" s="52" t="s">
        <v>1400</v>
      </c>
      <c r="C60" s="53" t="s">
        <v>1398</v>
      </c>
      <c r="D60" s="54" t="s">
        <v>1401</v>
      </c>
      <c r="E60" s="11"/>
      <c r="F60" s="11"/>
      <c r="G60" s="11"/>
      <c r="H60" s="11"/>
      <c r="I60" s="11"/>
      <c r="J60" s="11"/>
      <c r="K60" s="11"/>
      <c r="L60" s="11"/>
    </row>
    <row r="61" spans="1:12" ht="13.15" x14ac:dyDescent="0.4">
      <c r="A61" s="11"/>
      <c r="B61" s="385" t="s">
        <v>1598</v>
      </c>
      <c r="C61" s="6" t="s">
        <v>1398</v>
      </c>
      <c r="D61" s="6" t="s">
        <v>1599</v>
      </c>
      <c r="E61" s="11"/>
      <c r="F61" s="11"/>
      <c r="G61" s="11"/>
      <c r="H61" s="11"/>
      <c r="I61" s="11"/>
      <c r="J61" s="11"/>
      <c r="K61" s="11"/>
      <c r="L61" s="11"/>
    </row>
    <row r="62" spans="1:12" ht="13.15" x14ac:dyDescent="0.4">
      <c r="A62" s="11"/>
      <c r="B62" s="370" t="s">
        <v>1600</v>
      </c>
      <c r="C62" s="371" t="s">
        <v>1601</v>
      </c>
      <c r="D62" s="371" t="s">
        <v>1602</v>
      </c>
      <c r="E62" s="11"/>
      <c r="F62" s="11"/>
      <c r="G62" s="11"/>
      <c r="H62" s="11"/>
      <c r="I62" s="11"/>
      <c r="J62" s="11"/>
      <c r="K62" s="11"/>
      <c r="L62" s="11"/>
    </row>
    <row r="63" spans="1:12" ht="13.15" x14ac:dyDescent="0.4">
      <c r="A63" s="11"/>
      <c r="B63" s="385" t="s">
        <v>1603</v>
      </c>
      <c r="C63" s="6" t="s">
        <v>1601</v>
      </c>
      <c r="D63" s="6" t="s">
        <v>1604</v>
      </c>
      <c r="E63" s="11"/>
      <c r="F63" s="11"/>
      <c r="G63" s="11"/>
      <c r="H63" s="11"/>
      <c r="I63" s="11"/>
      <c r="J63" s="11"/>
      <c r="K63" s="11"/>
      <c r="L63" s="11"/>
    </row>
    <row r="64" spans="1:12" ht="13.15" x14ac:dyDescent="0.4">
      <c r="A64" s="11"/>
      <c r="B64" s="55"/>
      <c r="C64" s="56"/>
      <c r="D64" s="57"/>
      <c r="E64" s="11"/>
      <c r="F64" s="11"/>
      <c r="G64" s="11"/>
      <c r="H64" s="11"/>
      <c r="I64" s="11"/>
      <c r="J64" s="11"/>
      <c r="K64" s="11"/>
      <c r="L64" s="11"/>
    </row>
    <row r="65" spans="1:12" ht="13.15" x14ac:dyDescent="0.4">
      <c r="A65" s="11"/>
      <c r="B65" s="45" t="s">
        <v>1402</v>
      </c>
      <c r="C65" s="11"/>
      <c r="D65" s="11"/>
      <c r="E65" s="11"/>
      <c r="F65" s="11"/>
      <c r="G65" s="11"/>
      <c r="H65" s="11"/>
      <c r="I65" s="11"/>
      <c r="J65" s="11"/>
      <c r="K65" s="11"/>
      <c r="L65" s="11"/>
    </row>
    <row r="66" spans="1:12" ht="13.15" x14ac:dyDescent="0.4">
      <c r="A66" s="11"/>
      <c r="B66" s="11"/>
      <c r="C66" s="11"/>
      <c r="D66" s="11"/>
      <c r="E66" s="11"/>
      <c r="F66" s="11"/>
      <c r="G66" s="11"/>
      <c r="H66" s="11"/>
      <c r="I66" s="11"/>
      <c r="J66" s="11"/>
      <c r="K66" s="11"/>
      <c r="L66" s="11"/>
    </row>
    <row r="67" spans="1:12" ht="13.15" x14ac:dyDescent="0.4">
      <c r="A67" s="11"/>
      <c r="B67" s="45" t="s">
        <v>1403</v>
      </c>
      <c r="C67" s="11"/>
      <c r="D67" s="11"/>
      <c r="E67" s="11"/>
      <c r="F67" s="11"/>
      <c r="G67" s="11"/>
      <c r="H67" s="11"/>
      <c r="I67" s="11"/>
      <c r="J67" s="11"/>
      <c r="K67" s="11"/>
      <c r="L67" s="11"/>
    </row>
    <row r="68" spans="1:12" ht="13.15" x14ac:dyDescent="0.4">
      <c r="A68" s="11"/>
      <c r="B68" s="58" t="s">
        <v>38</v>
      </c>
      <c r="C68" s="59" t="s">
        <v>1404</v>
      </c>
      <c r="D68" s="6"/>
      <c r="E68" s="58" t="s">
        <v>38</v>
      </c>
      <c r="F68" s="59" t="s">
        <v>1404</v>
      </c>
      <c r="G68" s="11"/>
      <c r="H68" s="11"/>
      <c r="I68" s="11"/>
      <c r="J68" s="11"/>
      <c r="K68" s="11"/>
      <c r="L68" s="11"/>
    </row>
    <row r="69" spans="1:12" ht="13.15" x14ac:dyDescent="0.4">
      <c r="A69" s="11"/>
      <c r="B69" s="36" t="s">
        <v>31</v>
      </c>
      <c r="C69" s="38" t="s">
        <v>42</v>
      </c>
      <c r="D69" s="11"/>
      <c r="E69" s="36" t="s">
        <v>32</v>
      </c>
      <c r="F69" s="38" t="s">
        <v>59</v>
      </c>
      <c r="G69" s="11"/>
      <c r="H69" s="11"/>
      <c r="I69" s="11"/>
      <c r="J69" s="11"/>
      <c r="K69" s="11"/>
      <c r="L69" s="11"/>
    </row>
    <row r="70" spans="1:12" ht="13.15" x14ac:dyDescent="0.4">
      <c r="A70" s="11"/>
      <c r="B70" s="60" t="s">
        <v>26</v>
      </c>
      <c r="C70" s="61" t="s">
        <v>53</v>
      </c>
      <c r="D70" s="11"/>
      <c r="E70" s="60" t="s">
        <v>22</v>
      </c>
      <c r="F70" s="61" t="s">
        <v>42</v>
      </c>
      <c r="G70" s="11"/>
      <c r="H70" s="11"/>
      <c r="I70" s="11"/>
      <c r="J70" s="11"/>
      <c r="K70" s="11"/>
      <c r="L70" s="11"/>
    </row>
    <row r="71" spans="1:12" ht="13.15" x14ac:dyDescent="0.4">
      <c r="A71" s="11"/>
      <c r="B71" s="36" t="s">
        <v>20</v>
      </c>
      <c r="C71" s="38" t="s">
        <v>50</v>
      </c>
      <c r="D71" s="11"/>
      <c r="E71" s="36" t="s">
        <v>23</v>
      </c>
      <c r="F71" s="38" t="s">
        <v>64</v>
      </c>
      <c r="G71" s="11"/>
      <c r="H71" s="11"/>
      <c r="I71" s="11"/>
      <c r="J71" s="11"/>
      <c r="K71" s="11"/>
      <c r="L71" s="11"/>
    </row>
    <row r="72" spans="1:12" ht="13.15" x14ac:dyDescent="0.4">
      <c r="A72" s="11"/>
      <c r="B72" s="60" t="s">
        <v>2</v>
      </c>
      <c r="C72" s="61" t="s">
        <v>50</v>
      </c>
      <c r="D72" s="11"/>
      <c r="E72" s="60" t="s">
        <v>36</v>
      </c>
      <c r="F72" s="61" t="s">
        <v>51</v>
      </c>
      <c r="G72" s="11"/>
      <c r="H72" s="11"/>
      <c r="I72" s="11"/>
      <c r="J72" s="11"/>
      <c r="K72" s="11"/>
      <c r="L72" s="11"/>
    </row>
    <row r="73" spans="1:12" ht="13.15" x14ac:dyDescent="0.4">
      <c r="A73" s="11"/>
      <c r="B73" s="36" t="s">
        <v>0</v>
      </c>
      <c r="C73" s="38" t="s">
        <v>50</v>
      </c>
      <c r="D73" s="11"/>
      <c r="E73" s="36" t="s">
        <v>19</v>
      </c>
      <c r="F73" s="38" t="s">
        <v>65</v>
      </c>
      <c r="G73" s="11"/>
      <c r="H73" s="11"/>
      <c r="I73" s="11"/>
      <c r="J73" s="11"/>
      <c r="K73" s="11"/>
      <c r="L73" s="11"/>
    </row>
    <row r="74" spans="1:12" ht="13.15" x14ac:dyDescent="0.4">
      <c r="A74" s="11"/>
      <c r="B74" s="60" t="s">
        <v>29</v>
      </c>
      <c r="C74" s="61" t="s">
        <v>42</v>
      </c>
      <c r="D74" s="11"/>
      <c r="E74" s="60" t="s">
        <v>16</v>
      </c>
      <c r="F74" s="61" t="s">
        <v>48</v>
      </c>
      <c r="G74" s="11"/>
      <c r="H74" s="11"/>
      <c r="I74" s="11"/>
      <c r="J74" s="11"/>
      <c r="K74" s="11"/>
      <c r="L74" s="11"/>
    </row>
    <row r="75" spans="1:12" ht="13.15" x14ac:dyDescent="0.4">
      <c r="A75" s="11"/>
      <c r="B75" s="36" t="s">
        <v>6</v>
      </c>
      <c r="C75" s="38" t="s">
        <v>47</v>
      </c>
      <c r="D75" s="11"/>
      <c r="E75" s="36" t="s">
        <v>12</v>
      </c>
      <c r="F75" s="38" t="s">
        <v>42</v>
      </c>
      <c r="G75" s="11"/>
      <c r="H75" s="11"/>
      <c r="I75" s="11"/>
      <c r="J75" s="11"/>
      <c r="K75" s="11"/>
      <c r="L75" s="11"/>
    </row>
    <row r="76" spans="1:12" ht="13.15" x14ac:dyDescent="0.4">
      <c r="A76" s="11"/>
      <c r="B76" s="60" t="s">
        <v>7</v>
      </c>
      <c r="C76" s="61" t="s">
        <v>45</v>
      </c>
      <c r="D76" s="11"/>
      <c r="E76" s="60" t="s">
        <v>10</v>
      </c>
      <c r="F76" s="61" t="s">
        <v>55</v>
      </c>
      <c r="G76" s="11"/>
      <c r="H76" s="11"/>
      <c r="I76" s="11"/>
      <c r="J76" s="11"/>
      <c r="K76" s="11"/>
      <c r="L76" s="11"/>
    </row>
    <row r="77" spans="1:12" ht="13.15" x14ac:dyDescent="0.4">
      <c r="A77" s="11"/>
      <c r="B77" s="36" t="s">
        <v>25</v>
      </c>
      <c r="C77" s="38" t="s">
        <v>57</v>
      </c>
      <c r="D77" s="11"/>
      <c r="E77" s="36" t="s">
        <v>21</v>
      </c>
      <c r="F77" s="38" t="s">
        <v>51</v>
      </c>
      <c r="G77" s="11"/>
      <c r="H77" s="11"/>
      <c r="I77" s="11"/>
      <c r="J77" s="11"/>
      <c r="K77" s="11"/>
      <c r="L77" s="11"/>
    </row>
    <row r="78" spans="1:12" ht="13.15" x14ac:dyDescent="0.4">
      <c r="A78" s="11"/>
      <c r="B78" s="60" t="s">
        <v>27</v>
      </c>
      <c r="C78" s="61" t="s">
        <v>52</v>
      </c>
      <c r="D78" s="11"/>
      <c r="E78" s="60" t="s">
        <v>1</v>
      </c>
      <c r="F78" s="61" t="s">
        <v>51</v>
      </c>
      <c r="G78" s="11"/>
      <c r="H78" s="11"/>
      <c r="I78" s="11"/>
      <c r="J78" s="11"/>
      <c r="K78" s="11"/>
      <c r="L78" s="11"/>
    </row>
    <row r="79" spans="1:12" ht="13.15" x14ac:dyDescent="0.4">
      <c r="A79" s="11"/>
      <c r="B79" s="36" t="s">
        <v>14</v>
      </c>
      <c r="C79" s="38" t="s">
        <v>42</v>
      </c>
      <c r="D79" s="11"/>
      <c r="E79" s="36" t="s">
        <v>33</v>
      </c>
      <c r="F79" s="38" t="s">
        <v>46</v>
      </c>
      <c r="G79" s="11"/>
      <c r="H79" s="11"/>
      <c r="I79" s="11"/>
      <c r="J79" s="11"/>
      <c r="K79" s="11"/>
      <c r="L79" s="11"/>
    </row>
    <row r="80" spans="1:12" ht="13.15" x14ac:dyDescent="0.4">
      <c r="A80" s="11"/>
      <c r="B80" s="60" t="s">
        <v>8</v>
      </c>
      <c r="C80" s="61" t="s">
        <v>58</v>
      </c>
      <c r="D80" s="11"/>
      <c r="E80" s="60" t="s">
        <v>5</v>
      </c>
      <c r="F80" s="61" t="s">
        <v>46</v>
      </c>
      <c r="G80" s="11"/>
      <c r="H80" s="11"/>
      <c r="I80" s="11"/>
      <c r="J80" s="11"/>
      <c r="K80" s="11"/>
      <c r="L80" s="11"/>
    </row>
    <row r="81" spans="1:12" ht="13.15" x14ac:dyDescent="0.4">
      <c r="A81" s="11"/>
      <c r="B81" s="36" t="s">
        <v>34</v>
      </c>
      <c r="C81" s="38" t="s">
        <v>42</v>
      </c>
      <c r="D81" s="11"/>
      <c r="E81" s="36" t="s">
        <v>13</v>
      </c>
      <c r="F81" s="38" t="s">
        <v>61</v>
      </c>
      <c r="G81" s="11"/>
      <c r="H81" s="11"/>
      <c r="I81" s="11"/>
      <c r="J81" s="11"/>
      <c r="K81" s="11"/>
      <c r="L81" s="11"/>
    </row>
    <row r="82" spans="1:12" ht="13.15" x14ac:dyDescent="0.4">
      <c r="A82" s="11"/>
      <c r="B82" s="60" t="s">
        <v>11</v>
      </c>
      <c r="C82" s="61" t="s">
        <v>62</v>
      </c>
      <c r="D82" s="11"/>
      <c r="E82" s="60" t="s">
        <v>17</v>
      </c>
      <c r="F82" s="61" t="s">
        <v>50</v>
      </c>
      <c r="G82" s="11"/>
      <c r="H82" s="11"/>
      <c r="I82" s="11"/>
      <c r="J82" s="11"/>
      <c r="K82" s="11"/>
      <c r="L82" s="11"/>
    </row>
    <row r="83" spans="1:12" ht="13.15" x14ac:dyDescent="0.4">
      <c r="A83" s="11"/>
      <c r="B83" s="36" t="s">
        <v>4</v>
      </c>
      <c r="C83" s="38" t="s">
        <v>49</v>
      </c>
      <c r="D83" s="11"/>
      <c r="E83" s="36" t="s">
        <v>24</v>
      </c>
      <c r="F83" s="38" t="s">
        <v>52</v>
      </c>
      <c r="G83" s="11"/>
      <c r="H83" s="11"/>
      <c r="I83" s="11"/>
      <c r="J83" s="11"/>
      <c r="K83" s="11"/>
      <c r="L83" s="11"/>
    </row>
    <row r="84" spans="1:12" ht="13.15" x14ac:dyDescent="0.4">
      <c r="A84" s="11"/>
      <c r="B84" s="60" t="s">
        <v>3</v>
      </c>
      <c r="C84" s="61" t="s">
        <v>44</v>
      </c>
      <c r="D84" s="11"/>
      <c r="E84" s="60" t="s">
        <v>30</v>
      </c>
      <c r="F84" s="61" t="s">
        <v>46</v>
      </c>
      <c r="G84" s="11"/>
      <c r="H84" s="11"/>
      <c r="I84" s="11"/>
      <c r="J84" s="11"/>
      <c r="K84" s="11"/>
      <c r="L84" s="11"/>
    </row>
    <row r="85" spans="1:12" ht="13.15" x14ac:dyDescent="0.4">
      <c r="A85" s="11"/>
      <c r="B85" s="36" t="s">
        <v>9</v>
      </c>
      <c r="C85" s="38" t="s">
        <v>52</v>
      </c>
      <c r="D85" s="11"/>
      <c r="E85" s="36" t="s">
        <v>18</v>
      </c>
      <c r="F85" s="38" t="s">
        <v>55</v>
      </c>
      <c r="G85" s="11"/>
      <c r="H85" s="11"/>
      <c r="I85" s="11"/>
      <c r="J85" s="11"/>
      <c r="K85" s="11"/>
      <c r="L85" s="11"/>
    </row>
    <row r="86" spans="1:12" ht="13.15" x14ac:dyDescent="0.4">
      <c r="A86" s="11"/>
      <c r="B86" s="55" t="s">
        <v>15</v>
      </c>
      <c r="C86" s="62" t="s">
        <v>44</v>
      </c>
      <c r="D86" s="11"/>
      <c r="E86" s="55" t="s">
        <v>28</v>
      </c>
      <c r="F86" s="62" t="s">
        <v>54</v>
      </c>
      <c r="G86" s="11"/>
      <c r="H86" s="11"/>
      <c r="I86" s="11"/>
      <c r="J86" s="11"/>
      <c r="K86" s="11"/>
      <c r="L86" s="11"/>
    </row>
    <row r="87" spans="1:12" ht="13.15" x14ac:dyDescent="0.4">
      <c r="A87" s="11"/>
      <c r="B87" s="11"/>
      <c r="C87" s="11"/>
      <c r="D87" s="11"/>
      <c r="E87" s="11"/>
      <c r="F87" s="11"/>
      <c r="G87" s="11"/>
      <c r="H87" s="11"/>
      <c r="I87" s="11"/>
      <c r="J87" s="11"/>
      <c r="K87" s="11"/>
      <c r="L87" s="11"/>
    </row>
    <row r="88" spans="1:12" ht="13.15" x14ac:dyDescent="0.4">
      <c r="A88" s="11"/>
      <c r="B88" s="45" t="s">
        <v>1405</v>
      </c>
      <c r="C88" s="11"/>
      <c r="D88" s="11"/>
      <c r="E88" s="11"/>
      <c r="F88" s="11"/>
      <c r="G88" s="11"/>
      <c r="H88" s="11"/>
      <c r="I88" s="11"/>
      <c r="J88" s="11"/>
      <c r="K88" s="11"/>
      <c r="L88" s="11"/>
    </row>
    <row r="89" spans="1:12" ht="13.15" x14ac:dyDescent="0.4">
      <c r="A89" s="11"/>
      <c r="B89" s="45" t="s">
        <v>1406</v>
      </c>
      <c r="C89" s="11"/>
      <c r="D89" s="11"/>
      <c r="E89" s="11"/>
      <c r="F89" s="11"/>
      <c r="G89" s="11"/>
      <c r="H89" s="11"/>
      <c r="I89" s="11"/>
      <c r="J89" s="11"/>
      <c r="K89" s="11"/>
      <c r="L89" s="11"/>
    </row>
    <row r="90" spans="1:12" ht="13.15" x14ac:dyDescent="0.4">
      <c r="A90" s="11"/>
      <c r="B90" s="33" t="s">
        <v>1383</v>
      </c>
      <c r="C90" s="34" t="s">
        <v>1384</v>
      </c>
      <c r="D90" s="35" t="s">
        <v>1385</v>
      </c>
      <c r="E90" s="11"/>
      <c r="F90" s="11"/>
      <c r="G90" s="11"/>
      <c r="H90" s="11"/>
      <c r="I90" s="11"/>
      <c r="J90" s="11"/>
      <c r="K90" s="11"/>
      <c r="L90" s="11"/>
    </row>
    <row r="91" spans="1:12" ht="13.15" x14ac:dyDescent="0.4">
      <c r="A91" s="11"/>
      <c r="B91" s="46" t="s">
        <v>1407</v>
      </c>
      <c r="C91" s="47" t="s">
        <v>1408</v>
      </c>
      <c r="D91" s="48" t="s">
        <v>1409</v>
      </c>
      <c r="E91" s="11"/>
      <c r="F91" s="11"/>
      <c r="G91" s="11"/>
      <c r="H91" s="11"/>
      <c r="I91" s="11"/>
      <c r="J91" s="11"/>
      <c r="K91" s="11"/>
      <c r="L91" s="11"/>
    </row>
    <row r="92" spans="1:12" ht="13.15" x14ac:dyDescent="0.4">
      <c r="A92" s="11"/>
      <c r="B92" s="49" t="s">
        <v>1410</v>
      </c>
      <c r="C92" s="50" t="s">
        <v>1411</v>
      </c>
      <c r="D92" s="51" t="s">
        <v>1412</v>
      </c>
      <c r="E92" s="11"/>
      <c r="F92" s="11"/>
      <c r="G92" s="11"/>
      <c r="H92" s="11"/>
      <c r="I92" s="11"/>
      <c r="J92" s="11"/>
      <c r="K92" s="11"/>
      <c r="L92" s="11"/>
    </row>
    <row r="93" spans="1:12" ht="13.15" x14ac:dyDescent="0.4">
      <c r="A93" s="11"/>
      <c r="B93" s="46" t="s">
        <v>1413</v>
      </c>
      <c r="C93" s="47" t="s">
        <v>1414</v>
      </c>
      <c r="D93" s="48" t="s">
        <v>1415</v>
      </c>
      <c r="E93" s="11"/>
      <c r="F93" s="11"/>
      <c r="G93" s="11"/>
      <c r="H93" s="11"/>
      <c r="I93" s="11"/>
      <c r="J93" s="11"/>
      <c r="K93" s="11"/>
      <c r="L93" s="11"/>
    </row>
    <row r="94" spans="1:12" ht="26.25" x14ac:dyDescent="0.4">
      <c r="A94" s="11"/>
      <c r="B94" s="49" t="s">
        <v>1416</v>
      </c>
      <c r="C94" s="50" t="s">
        <v>1417</v>
      </c>
      <c r="D94" s="51" t="s">
        <v>1418</v>
      </c>
      <c r="E94" s="11"/>
      <c r="F94" s="11"/>
      <c r="G94" s="11"/>
      <c r="H94" s="11"/>
      <c r="I94" s="11"/>
      <c r="J94" s="11"/>
      <c r="K94" s="11"/>
      <c r="L94" s="11"/>
    </row>
    <row r="95" spans="1:12" ht="13.15" x14ac:dyDescent="0.4">
      <c r="A95" s="11"/>
      <c r="B95" s="55"/>
      <c r="C95" s="56"/>
      <c r="D95" s="57"/>
      <c r="E95" s="11"/>
      <c r="F95" s="11"/>
      <c r="G95" s="11"/>
      <c r="H95" s="11"/>
      <c r="I95" s="11"/>
      <c r="J95" s="11"/>
      <c r="K95" s="11"/>
      <c r="L95" s="11"/>
    </row>
    <row r="96" spans="1:12" ht="13.15" x14ac:dyDescent="0.4">
      <c r="A96" s="11"/>
      <c r="B96" s="45" t="s">
        <v>1419</v>
      </c>
      <c r="C96" s="11"/>
      <c r="D96" s="11"/>
      <c r="E96" s="11"/>
      <c r="F96" s="11"/>
      <c r="G96" s="11"/>
      <c r="H96" s="11"/>
      <c r="I96" s="11"/>
      <c r="J96" s="11"/>
      <c r="K96" s="11"/>
      <c r="L96" s="11"/>
    </row>
    <row r="97" spans="1:12" ht="13.15" x14ac:dyDescent="0.4">
      <c r="A97" s="11"/>
      <c r="B97" s="11"/>
      <c r="C97" s="11"/>
      <c r="D97" s="11"/>
      <c r="E97" s="11"/>
      <c r="F97" s="11"/>
      <c r="G97" s="11"/>
      <c r="H97" s="11"/>
      <c r="I97" s="11"/>
      <c r="J97" s="11"/>
      <c r="K97" s="11"/>
      <c r="L97" s="11"/>
    </row>
    <row r="98" spans="1:12" ht="13.15" x14ac:dyDescent="0.4">
      <c r="A98" s="11"/>
      <c r="B98" s="45" t="s">
        <v>1420</v>
      </c>
      <c r="C98" s="11"/>
      <c r="D98" s="11"/>
      <c r="E98" s="11"/>
      <c r="F98" s="11"/>
      <c r="G98" s="11"/>
      <c r="H98" s="11"/>
      <c r="I98" s="11"/>
      <c r="J98" s="11"/>
      <c r="K98" s="11"/>
      <c r="L98" s="11"/>
    </row>
    <row r="99" spans="1:12" ht="13.15" x14ac:dyDescent="0.4">
      <c r="A99" s="11"/>
      <c r="B99" s="45" t="s">
        <v>1421</v>
      </c>
      <c r="C99" s="11"/>
      <c r="D99" s="11"/>
      <c r="E99" s="11"/>
      <c r="F99" s="11"/>
      <c r="G99" s="11"/>
      <c r="H99" s="11"/>
      <c r="I99" s="11"/>
      <c r="J99" s="11"/>
      <c r="K99" s="11"/>
      <c r="L99" s="11"/>
    </row>
    <row r="100" spans="1:12" ht="13.15" x14ac:dyDescent="0.4">
      <c r="A100" s="11"/>
      <c r="B100" s="11"/>
      <c r="C100" s="11"/>
      <c r="D100" s="11"/>
      <c r="E100" s="11"/>
      <c r="F100" s="11"/>
      <c r="G100" s="11"/>
      <c r="H100" s="11"/>
      <c r="I100" s="11"/>
      <c r="J100" s="11"/>
      <c r="K100" s="11"/>
      <c r="L100" s="11"/>
    </row>
    <row r="101" spans="1:12" ht="13.15" x14ac:dyDescent="0.4">
      <c r="A101" s="11"/>
      <c r="B101" s="63" t="s">
        <v>1314</v>
      </c>
      <c r="C101" s="64" t="s">
        <v>1422</v>
      </c>
      <c r="D101" s="11"/>
      <c r="E101" s="11"/>
      <c r="F101" s="11"/>
      <c r="G101" s="11"/>
      <c r="H101" s="11"/>
      <c r="I101" s="11"/>
      <c r="J101" s="11"/>
      <c r="K101" s="11"/>
      <c r="L101" s="11"/>
    </row>
    <row r="102" spans="1:12" ht="91.9" x14ac:dyDescent="0.4">
      <c r="A102" s="11"/>
      <c r="B102" s="65" t="s">
        <v>1423</v>
      </c>
      <c r="C102" s="66" t="s">
        <v>1424</v>
      </c>
      <c r="D102" s="11"/>
      <c r="E102" s="11"/>
      <c r="F102" s="11"/>
      <c r="G102" s="11"/>
      <c r="H102" s="11"/>
      <c r="I102" s="11"/>
      <c r="J102" s="11"/>
      <c r="K102" s="11"/>
      <c r="L102" s="11"/>
    </row>
    <row r="103" spans="1:12" ht="13.15" x14ac:dyDescent="0.4">
      <c r="A103" s="11"/>
      <c r="B103" s="67" t="s">
        <v>73</v>
      </c>
      <c r="C103" s="68" t="s">
        <v>73</v>
      </c>
      <c r="D103" s="11"/>
      <c r="E103" s="11"/>
      <c r="F103" s="11"/>
      <c r="G103" s="11"/>
      <c r="H103" s="11"/>
      <c r="I103" s="11"/>
      <c r="J103" s="11"/>
      <c r="K103" s="11"/>
      <c r="L103" s="11"/>
    </row>
    <row r="104" spans="1:12" ht="13.15" x14ac:dyDescent="0.4">
      <c r="A104" s="11"/>
      <c r="B104" s="65" t="s">
        <v>1315</v>
      </c>
      <c r="C104" s="69" t="s">
        <v>1315</v>
      </c>
      <c r="D104" s="11"/>
      <c r="E104" s="11"/>
      <c r="F104" s="11"/>
      <c r="G104" s="11"/>
      <c r="H104" s="11"/>
      <c r="I104" s="11"/>
      <c r="J104" s="11"/>
      <c r="K104" s="11"/>
      <c r="L104" s="11"/>
    </row>
    <row r="105" spans="1:12" ht="13.15" x14ac:dyDescent="0.4">
      <c r="A105" s="11"/>
      <c r="B105" s="67" t="s">
        <v>35</v>
      </c>
      <c r="C105" s="68" t="s">
        <v>35</v>
      </c>
      <c r="D105" s="11"/>
      <c r="E105" s="11"/>
      <c r="F105" s="11"/>
      <c r="G105" s="11"/>
      <c r="H105" s="11"/>
      <c r="I105" s="11"/>
      <c r="J105" s="11"/>
      <c r="K105" s="11"/>
      <c r="L105" s="11"/>
    </row>
    <row r="106" spans="1:12" ht="13.15" x14ac:dyDescent="0.4">
      <c r="A106" s="11"/>
      <c r="B106" s="65" t="s">
        <v>75</v>
      </c>
      <c r="C106" s="69" t="s">
        <v>75</v>
      </c>
      <c r="D106" s="11"/>
      <c r="E106" s="11"/>
      <c r="F106" s="11"/>
      <c r="G106" s="11"/>
      <c r="H106" s="11"/>
      <c r="I106" s="11"/>
      <c r="J106" s="11"/>
      <c r="K106" s="11"/>
      <c r="L106" s="11"/>
    </row>
    <row r="107" spans="1:12" ht="13.15" x14ac:dyDescent="0.4">
      <c r="A107" s="11"/>
      <c r="B107" s="67" t="s">
        <v>74</v>
      </c>
      <c r="C107" s="68" t="s">
        <v>74</v>
      </c>
      <c r="D107" s="11"/>
      <c r="E107" s="11"/>
      <c r="F107" s="11"/>
      <c r="G107" s="11"/>
      <c r="H107" s="11"/>
      <c r="I107" s="11"/>
      <c r="J107" s="11"/>
      <c r="K107" s="11"/>
      <c r="L107" s="11"/>
    </row>
    <row r="108" spans="1:12" ht="13.15" x14ac:dyDescent="0.4">
      <c r="A108" s="11"/>
      <c r="B108" s="65" t="s">
        <v>1425</v>
      </c>
      <c r="C108" s="69" t="s">
        <v>1426</v>
      </c>
      <c r="D108" s="11"/>
      <c r="E108" s="11"/>
      <c r="F108" s="11"/>
      <c r="G108" s="11"/>
      <c r="H108" s="11"/>
      <c r="I108" s="11"/>
      <c r="J108" s="11"/>
      <c r="K108" s="11"/>
      <c r="L108" s="11"/>
    </row>
    <row r="109" spans="1:12" ht="13.15" x14ac:dyDescent="0.4">
      <c r="A109" s="11"/>
      <c r="B109" s="67" t="s">
        <v>1316</v>
      </c>
      <c r="C109" s="68" t="s">
        <v>72</v>
      </c>
      <c r="D109" s="11"/>
      <c r="E109" s="11"/>
      <c r="F109" s="11"/>
      <c r="G109" s="11"/>
      <c r="H109" s="11"/>
      <c r="I109" s="11"/>
      <c r="J109" s="11"/>
      <c r="K109" s="11"/>
      <c r="L109" s="11"/>
    </row>
    <row r="110" spans="1:12" ht="13.15" x14ac:dyDescent="0.4">
      <c r="A110" s="11"/>
      <c r="B110" s="70" t="s">
        <v>1427</v>
      </c>
      <c r="C110" s="71" t="s">
        <v>1428</v>
      </c>
      <c r="D110" s="11"/>
      <c r="E110" s="11"/>
      <c r="F110" s="11"/>
      <c r="G110" s="11"/>
      <c r="H110" s="11"/>
      <c r="I110" s="11"/>
      <c r="J110" s="11"/>
      <c r="K110" s="11"/>
      <c r="L110" s="11"/>
    </row>
    <row r="111" spans="1:12" ht="13.15" x14ac:dyDescent="0.4">
      <c r="A111" s="11"/>
      <c r="B111" s="11"/>
      <c r="C111" s="11"/>
      <c r="D111" s="11"/>
      <c r="E111" s="11"/>
      <c r="F111" s="11"/>
      <c r="G111" s="11"/>
      <c r="H111" s="11"/>
      <c r="I111" s="11"/>
      <c r="J111" s="11"/>
      <c r="K111" s="11"/>
      <c r="L111" s="11"/>
    </row>
    <row r="112" spans="1:12" ht="13.15" x14ac:dyDescent="0.4">
      <c r="A112" s="11"/>
      <c r="B112" s="11"/>
      <c r="C112" s="11"/>
      <c r="D112" s="11"/>
      <c r="E112" s="11"/>
      <c r="F112" s="11"/>
      <c r="G112" s="11"/>
      <c r="H112" s="11"/>
      <c r="I112" s="11"/>
      <c r="J112" s="11"/>
      <c r="K112" s="11"/>
      <c r="L112" s="11"/>
    </row>
    <row r="113" spans="1:12" ht="13.15" x14ac:dyDescent="0.4">
      <c r="A113" s="11"/>
      <c r="B113" s="45" t="s">
        <v>1429</v>
      </c>
      <c r="C113" s="11"/>
      <c r="D113" s="11"/>
      <c r="E113" s="11"/>
      <c r="F113" s="11"/>
      <c r="G113" s="11"/>
      <c r="H113" s="11"/>
      <c r="I113" s="11"/>
      <c r="J113" s="11"/>
      <c r="K113" s="11"/>
      <c r="L113" s="11"/>
    </row>
    <row r="114" spans="1:12" ht="13.15" x14ac:dyDescent="0.4">
      <c r="A114" s="11"/>
      <c r="B114" s="11"/>
      <c r="C114" s="11"/>
      <c r="D114" s="11"/>
      <c r="E114" s="11"/>
      <c r="F114" s="11"/>
      <c r="G114" s="11"/>
      <c r="H114" s="11"/>
      <c r="I114" s="11"/>
      <c r="J114" s="11"/>
      <c r="K114" s="11"/>
      <c r="L114" s="11"/>
    </row>
    <row r="115" spans="1:12" ht="13.15" x14ac:dyDescent="0.4">
      <c r="A115" s="11"/>
      <c r="B115" s="72" t="s">
        <v>1430</v>
      </c>
      <c r="C115" s="73" t="s">
        <v>1431</v>
      </c>
      <c r="D115" s="74" t="s">
        <v>1432</v>
      </c>
      <c r="E115" s="11"/>
      <c r="F115" s="11"/>
      <c r="G115" s="11"/>
      <c r="H115" s="11"/>
      <c r="I115" s="11"/>
      <c r="J115" s="11"/>
      <c r="K115" s="11"/>
      <c r="L115" s="11"/>
    </row>
    <row r="116" spans="1:12" ht="13.15" x14ac:dyDescent="0.4">
      <c r="A116" s="11"/>
      <c r="B116" s="75" t="s">
        <v>1433</v>
      </c>
      <c r="C116" s="76" t="s">
        <v>1434</v>
      </c>
      <c r="D116" s="77" t="s">
        <v>1435</v>
      </c>
      <c r="E116" s="11"/>
      <c r="F116" s="11"/>
      <c r="G116" s="11"/>
      <c r="H116" s="11"/>
      <c r="I116" s="11"/>
      <c r="J116" s="11"/>
      <c r="K116" s="11"/>
      <c r="L116" s="11"/>
    </row>
    <row r="117" spans="1:12" ht="13.15" x14ac:dyDescent="0.4">
      <c r="A117" s="11"/>
      <c r="B117" s="39" t="s">
        <v>1436</v>
      </c>
      <c r="C117" s="50" t="s">
        <v>1437</v>
      </c>
      <c r="D117" s="51" t="s">
        <v>1438</v>
      </c>
      <c r="E117" s="11"/>
      <c r="F117" s="11"/>
      <c r="G117" s="11"/>
      <c r="H117" s="11"/>
      <c r="I117" s="11"/>
      <c r="J117" s="11"/>
      <c r="K117" s="11"/>
      <c r="L117" s="11"/>
    </row>
    <row r="118" spans="1:12" ht="13.15" x14ac:dyDescent="0.4">
      <c r="A118" s="11"/>
      <c r="B118" s="75" t="s">
        <v>1439</v>
      </c>
      <c r="C118" s="76" t="s">
        <v>1440</v>
      </c>
      <c r="D118" s="77" t="s">
        <v>1441</v>
      </c>
      <c r="E118" s="11"/>
      <c r="F118" s="11"/>
      <c r="G118" s="11"/>
      <c r="H118" s="11"/>
      <c r="I118" s="11"/>
      <c r="J118" s="11"/>
      <c r="K118" s="11"/>
      <c r="L118" s="11"/>
    </row>
    <row r="119" spans="1:12" ht="13.15" x14ac:dyDescent="0.4">
      <c r="A119" s="11"/>
      <c r="B119" s="39" t="s">
        <v>1442</v>
      </c>
      <c r="C119" s="50" t="s">
        <v>1443</v>
      </c>
      <c r="D119" s="51" t="s">
        <v>1444</v>
      </c>
      <c r="E119" s="11"/>
      <c r="F119" s="11"/>
      <c r="G119" s="11"/>
      <c r="H119" s="11"/>
      <c r="I119" s="11"/>
      <c r="J119" s="11"/>
      <c r="K119" s="11"/>
      <c r="L119" s="11"/>
    </row>
    <row r="120" spans="1:12" ht="13.15" x14ac:dyDescent="0.4">
      <c r="A120" s="11"/>
      <c r="B120" s="75" t="s">
        <v>1445</v>
      </c>
      <c r="C120" s="76" t="s">
        <v>1446</v>
      </c>
      <c r="D120" s="77" t="s">
        <v>1447</v>
      </c>
      <c r="E120" s="11"/>
      <c r="F120" s="11"/>
      <c r="G120" s="11"/>
      <c r="H120" s="11"/>
      <c r="I120" s="11"/>
      <c r="J120" s="11"/>
      <c r="K120" s="11"/>
      <c r="L120" s="11"/>
    </row>
    <row r="121" spans="1:12" ht="13.15" x14ac:dyDescent="0.4">
      <c r="A121" s="11"/>
      <c r="B121" s="42" t="s">
        <v>1448</v>
      </c>
      <c r="C121" s="78" t="s">
        <v>1449</v>
      </c>
      <c r="D121" s="79" t="s">
        <v>1450</v>
      </c>
      <c r="E121" s="11"/>
      <c r="F121" s="11"/>
      <c r="G121" s="11"/>
      <c r="H121" s="11"/>
      <c r="I121" s="11"/>
      <c r="J121" s="11"/>
      <c r="K121" s="11"/>
      <c r="L121" s="11"/>
    </row>
  </sheetData>
  <sheetProtection sheet="1" objects="1" scenarios="1" sort="0" autoFilter="0"/>
  <mergeCells count="4">
    <mergeCell ref="A1:L1"/>
    <mergeCell ref="A2:L2"/>
    <mergeCell ref="A4:L4"/>
    <mergeCell ref="A38:L38"/>
  </mergeCells>
  <dataValidations count="1">
    <dataValidation type="list" allowBlank="1" showInputMessage="1" showErrorMessage="1" sqref="C10" xr:uid="{93B9572A-CA3B-4CF1-8C7D-BCA6986DDF38}">
      <formula1>"Annual,Biennial"</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89CED-0D84-4AAB-8985-E2B215495E69}">
  <sheetPr>
    <tabColor rgb="FFFF6B6B"/>
  </sheetPr>
  <dimension ref="A1:I928"/>
  <sheetViews>
    <sheetView showGridLines="0" topLeftCell="C1" workbookViewId="0">
      <pane ySplit="1" topLeftCell="A2" activePane="bottomLeft" state="frozen"/>
      <selection pane="bottomLeft" activeCell="D2" sqref="D2:D21"/>
    </sheetView>
  </sheetViews>
  <sheetFormatPr defaultColWidth="9.1328125" defaultRowHeight="10.15" x14ac:dyDescent="0.35"/>
  <cols>
    <col min="1" max="1" width="26.73046875" style="4" customWidth="1"/>
    <col min="2" max="2" width="26.3984375" style="5" bestFit="1" customWidth="1"/>
    <col min="3" max="3" width="66.73046875" style="4" customWidth="1"/>
    <col min="4" max="4" width="30.3984375" style="4" customWidth="1"/>
    <col min="5" max="6" width="34.265625" style="4" customWidth="1"/>
    <col min="7" max="7" width="19" style="4" customWidth="1"/>
    <col min="8" max="8" width="38.1328125" style="4" customWidth="1"/>
    <col min="9" max="9" width="34.265625" style="4" customWidth="1"/>
    <col min="10" max="16384" width="9.1328125" style="4"/>
  </cols>
  <sheetData>
    <row r="1" spans="1:9" ht="35.1" customHeight="1" thickBot="1" x14ac:dyDescent="0.4">
      <c r="A1" s="356" t="s">
        <v>1335</v>
      </c>
      <c r="B1" s="357" t="s">
        <v>39</v>
      </c>
      <c r="C1" s="358" t="s">
        <v>1336</v>
      </c>
      <c r="D1" s="358" t="s">
        <v>38</v>
      </c>
      <c r="E1" s="359" t="s">
        <v>40</v>
      </c>
      <c r="F1" s="359" t="s">
        <v>41</v>
      </c>
      <c r="G1" s="364" t="s">
        <v>1553</v>
      </c>
      <c r="H1" s="365" t="s">
        <v>1554</v>
      </c>
      <c r="I1" s="365" t="s">
        <v>1555</v>
      </c>
    </row>
    <row r="2" spans="1:9" ht="51.95" customHeight="1" x14ac:dyDescent="0.35">
      <c r="A2" s="435" t="s">
        <v>1689</v>
      </c>
      <c r="B2" s="504">
        <v>45006</v>
      </c>
      <c r="C2" s="441" t="s">
        <v>1709</v>
      </c>
      <c r="D2" s="441" t="s">
        <v>9</v>
      </c>
      <c r="E2" s="93" t="str" cm="1">
        <f t="array" ref="E2">IF(D2&lt;&gt;"",IFERROR(VLOOKUP(D2,Codes!$K$2:$L$409,2,FALSE),"UNKNOWN - "&amp;D2),IF(C2="","",IFERROR(_xlfn.IFS(ISNUMBER(SEARCH("broken button",C2)),"Break",ISNUMBER(SEARCH("broken handle",C2)),"Break",ISNUMBER(SEARCH("shipping damage",C2)),"Break",ISNUMBER(SEARCH("broken",C2)),"Break",ISNUMBER(SEARCH("crack",C2)),"Break",ISNUMBER(SEARCH("snap",C2)),"Break",ISNUMBER(SEARCH("fracture",C2)),"Break",ISNUMBER(SEARCH("bent",C2)),"Material Twisted/Bent",ISNUMBER(SEARCH("twisted",C2)),"Material Twisted/Bent",ISNUMBER(SEARCH("component separat",C2)),"Material Separation",ISNUMBER(SEARCH("separat",C2)),"Material Separation",ISNUMBER(SEARCH("connection",C2)),"Loose or Intermittent Connection",ISNUMBER(SEARCH("loose",C2)),"Loose or Intermittent Connection",ISNUMBER(SEARCH("damaged packaging",C2)),"Packaging Problem",ISNUMBER(SEARCH("packaging",C2)),"Packaging Problem",ISNUMBER(SEARCH("discoloration",C2)),"Contamination",ISNUMBER(SEARCH("tarnish",C2)),"Contamination",ISNUMBER(SEARCH("stain",C2)),"Contamination",ISNUMBER(SEARCH("foreign material",C2)),"Contamination",ISNUMBER(SEARCH("contamina",C2)),"Contamination",ISNUMBER(SEARCH("overheat",C2)),"Overheating of Device",ISNUMBER(SEARCH("excessive heat",C2)),"Overheating of Device",ISNUMBER(SEARCH("hot",C2)),"Overheating of Device",ISNUMBER(SEARCH("noise",C2)),"Noise, Audible",ISNUMBER(SEARCH("sound",C2)),"Noise, Audible",ISNUMBER(SEARCH("loud",C2)),"Noise, Audible",ISNUMBER(SEARCH("fray",C2)),"Material Frayed",ISNUMBER(SEARCH("hole",C2)),"Material Frayed",ISNUMBER(SEARCH("tear",C2)),"Material Frayed",ISNUMBER(SEARCH("worn",C2)),"Material Frayed",ISNUMBER(SEARCH("intermittent",C2)),"Difficult or Delayed Activation",ISNUMBER(SEARCH("delay",C2)),"Difficult or Delayed Activation",ISNUMBER(SEARCH("label",C2)),"Device Markings/Labelling Problem",ISNUMBER(SEARCH("marking",C2)),"Device Markings/Labelling Problem",ISNUMBER(SEARCH("lacerat",C2)),"Defective Device",ISNUMBER(SEARCH("cut",C2)),"Defective Device",ISNUMBER(SEARCH("leak",C2)),"Fluid/Blood Leak",ISNUMBER(SEARCH("missing",C2)),"Component Missing",ISNUMBER(SEARCH("power",C2)),"Complete Loss of Power",ISNUMBER(SEARCH("will not turn on",C2)),"Complete Loss of Power",ISNUMBER(SEARCH("won't turn on",C2)),"Complete Loss of Power",ISNUMBER(SEARCH("does not turn on",C2)),"Complete Loss of Power",ISNUMBER(SEARCH("electrical",C2)),"Electrical Power Problem",ISNUMBER(SEARCH("pressure",C2)),"Detachment of Device or Device Component",ISNUMBER(SEARCH("slip",C2)),"Detachment of Device or Device Component",ISNUMBER(SEARCH("detach",C2)),"Detachment of Device or Device Component",ISNUMBER(SEARCH("stick",C2)),"Mechanical Jam",ISNUMBER(SEARCH("jam",C2)),"Mechanical Jam",ISNUMBER(SEARCH("rigid",C2)),"Mechanical Jam",ISNUMBER(SEARCH("rust",C2)),"Corroded",ISNUMBER(SEARCH("corrod",C2)),"Corroded",ISNUMBER(SEARCH("corrosion",C2)),"Corroded",ISNUMBER(SEARCH("alignment",C2)),"Defective Device",ISNUMBER(SEARCH("adjust",C2)),"Defective Device",ISNUMBER(SEARCH("perform",C2)),"Defective Device",ISNUMBER(SEARCH("malfunction",C2)),"Defective Device",ISNUMBER(SEARCH("defect",C2)),"Defective Device",ISNUMBER(SEARCH("fail",C2)),"Defective Device",ISNUMBER(SEARCH("not work",C2)),"Defective Device",ISNUMBER(SEARCH("doesn't work",C2)),"Defective Device",TRUE,"UNKNOWN"),"UNKNOWN")))</f>
        <v>Contamination</v>
      </c>
      <c r="F2" s="93" t="str">
        <f>IF(E2="","","No Clinical Signs, Symptoms or Conditions")</f>
        <v>No Clinical Signs, Symptoms or Conditions</v>
      </c>
      <c r="G2" s="363" t="str">
        <f>IF(E2="","",IFERROR(VLOOKUP(E2,Codes!$L$2:$N$409,3,FALSE),"—"))</f>
        <v>A1801</v>
      </c>
      <c r="H2" s="366"/>
      <c r="I2" s="366"/>
    </row>
    <row r="3" spans="1:9" ht="51.95" customHeight="1" x14ac:dyDescent="0.35">
      <c r="A3" s="434" t="s">
        <v>1690</v>
      </c>
      <c r="B3" s="436">
        <v>45026</v>
      </c>
      <c r="C3" s="442" t="s">
        <v>1710</v>
      </c>
      <c r="D3" s="441" t="s">
        <v>1727</v>
      </c>
      <c r="E3" s="93" t="str" cm="1">
        <f t="array" ref="E3">IF(D3&lt;&gt;"",IFERROR(VLOOKUP(D3,Codes!$K$2:$L$409,2,FALSE),"UNKNOWN - "&amp;D3),IF(C3="","",IFERROR(_xlfn.IFS(ISNUMBER(SEARCH("broken button",C3)),"Break",ISNUMBER(SEARCH("broken handle",C3)),"Break",ISNUMBER(SEARCH("shipping damage",C3)),"Break",ISNUMBER(SEARCH("broken",C3)),"Break",ISNUMBER(SEARCH("crack",C3)),"Break",ISNUMBER(SEARCH("snap",C3)),"Break",ISNUMBER(SEARCH("fracture",C3)),"Break",ISNUMBER(SEARCH("bent",C3)),"Material Twisted/Bent",ISNUMBER(SEARCH("twisted",C3)),"Material Twisted/Bent",ISNUMBER(SEARCH("component separat",C3)),"Material Separation",ISNUMBER(SEARCH("separat",C3)),"Material Separation",ISNUMBER(SEARCH("connection",C3)),"Loose or Intermittent Connection",ISNUMBER(SEARCH("loose",C3)),"Loose or Intermittent Connection",ISNUMBER(SEARCH("damaged packaging",C3)),"Packaging Problem",ISNUMBER(SEARCH("packaging",C3)),"Packaging Problem",ISNUMBER(SEARCH("discoloration",C3)),"Contamination",ISNUMBER(SEARCH("tarnish",C3)),"Contamination",ISNUMBER(SEARCH("stain",C3)),"Contamination",ISNUMBER(SEARCH("foreign material",C3)),"Contamination",ISNUMBER(SEARCH("contamina",C3)),"Contamination",ISNUMBER(SEARCH("overheat",C3)),"Overheating of Device",ISNUMBER(SEARCH("excessive heat",C3)),"Overheating of Device",ISNUMBER(SEARCH("hot",C3)),"Overheating of Device",ISNUMBER(SEARCH("noise",C3)),"Noise, Audible",ISNUMBER(SEARCH("sound",C3)),"Noise, Audible",ISNUMBER(SEARCH("loud",C3)),"Noise, Audible",ISNUMBER(SEARCH("fray",C3)),"Material Frayed",ISNUMBER(SEARCH("hole",C3)),"Material Frayed",ISNUMBER(SEARCH("tear",C3)),"Material Frayed",ISNUMBER(SEARCH("worn",C3)),"Material Frayed",ISNUMBER(SEARCH("intermittent",C3)),"Difficult or Delayed Activation",ISNUMBER(SEARCH("delay",C3)),"Difficult or Delayed Activation",ISNUMBER(SEARCH("label",C3)),"Device Markings/Labelling Problem",ISNUMBER(SEARCH("marking",C3)),"Device Markings/Labelling Problem",ISNUMBER(SEARCH("lacerat",C3)),"Defective Device",ISNUMBER(SEARCH("cut",C3)),"Defective Device",ISNUMBER(SEARCH("leak",C3)),"Fluid/Blood Leak",ISNUMBER(SEARCH("missing",C3)),"Component Missing",ISNUMBER(SEARCH("power",C3)),"Complete Loss of Power",ISNUMBER(SEARCH("will not turn on",C3)),"Complete Loss of Power",ISNUMBER(SEARCH("won't turn on",C3)),"Complete Loss of Power",ISNUMBER(SEARCH("does not turn on",C3)),"Complete Loss of Power",ISNUMBER(SEARCH("electrical",C3)),"Electrical Power Problem",ISNUMBER(SEARCH("pressure",C3)),"Detachment of Device or Device Component",ISNUMBER(SEARCH("slip",C3)),"Detachment of Device or Device Component",ISNUMBER(SEARCH("detach",C3)),"Detachment of Device or Device Component",ISNUMBER(SEARCH("stick",C3)),"Mechanical Jam",ISNUMBER(SEARCH("jam",C3)),"Mechanical Jam",ISNUMBER(SEARCH("rigid",C3)),"Mechanical Jam",ISNUMBER(SEARCH("rust",C3)),"Corroded",ISNUMBER(SEARCH("corrod",C3)),"Corroded",ISNUMBER(SEARCH("corrosion",C3)),"Corroded",ISNUMBER(SEARCH("alignment",C3)),"Defective Device",ISNUMBER(SEARCH("adjust",C3)),"Defective Device",ISNUMBER(SEARCH("perform",C3)),"Defective Device",ISNUMBER(SEARCH("malfunction",C3)),"Defective Device",ISNUMBER(SEARCH("defect",C3)),"Defective Device",ISNUMBER(SEARCH("fail",C3)),"Defective Device",ISNUMBER(SEARCH("not work",C3)),"Defective Device",ISNUMBER(SEARCH("doesn't work",C3)),"Defective Device",TRUE,"UNKNOWN"),"UNKNOWN")))</f>
        <v>UNKNOWN - particles</v>
      </c>
      <c r="F3" s="85" t="str">
        <f t="shared" ref="F3:F66" si="0">IF(E3="","","No Clinical Signs, Symptoms or Conditions")</f>
        <v>No Clinical Signs, Symptoms or Conditions</v>
      </c>
      <c r="G3" s="363" t="str">
        <f>IF(E3="","",IFERROR(VLOOKUP(E3,Codes!$L$2:$N$409,3,FALSE),"—"))</f>
        <v>—</v>
      </c>
      <c r="H3" s="367"/>
      <c r="I3" s="367"/>
    </row>
    <row r="4" spans="1:9" ht="51.95" customHeight="1" x14ac:dyDescent="0.35">
      <c r="A4" s="435" t="s">
        <v>1691</v>
      </c>
      <c r="B4" s="504">
        <v>45051</v>
      </c>
      <c r="C4" s="441" t="s">
        <v>1711</v>
      </c>
      <c r="D4" s="441" t="s">
        <v>1728</v>
      </c>
      <c r="E4" s="93" t="str" cm="1">
        <f t="array" ref="E4">IF(D4&lt;&gt;"",IFERROR(VLOOKUP(D4,Codes!$K$2:$L$409,2,FALSE),"UNKNOWN - "&amp;D4),IF(C4="","",IFERROR(_xlfn.IFS(ISNUMBER(SEARCH("broken button",C4)),"Break",ISNUMBER(SEARCH("broken handle",C4)),"Break",ISNUMBER(SEARCH("shipping damage",C4)),"Break",ISNUMBER(SEARCH("broken",C4)),"Break",ISNUMBER(SEARCH("crack",C4)),"Break",ISNUMBER(SEARCH("snap",C4)),"Break",ISNUMBER(SEARCH("fracture",C4)),"Break",ISNUMBER(SEARCH("bent",C4)),"Material Twisted/Bent",ISNUMBER(SEARCH("twisted",C4)),"Material Twisted/Bent",ISNUMBER(SEARCH("component separat",C4)),"Material Separation",ISNUMBER(SEARCH("separat",C4)),"Material Separation",ISNUMBER(SEARCH("connection",C4)),"Loose or Intermittent Connection",ISNUMBER(SEARCH("loose",C4)),"Loose or Intermittent Connection",ISNUMBER(SEARCH("damaged packaging",C4)),"Packaging Problem",ISNUMBER(SEARCH("packaging",C4)),"Packaging Problem",ISNUMBER(SEARCH("discoloration",C4)),"Contamination",ISNUMBER(SEARCH("tarnish",C4)),"Contamination",ISNUMBER(SEARCH("stain",C4)),"Contamination",ISNUMBER(SEARCH("foreign material",C4)),"Contamination",ISNUMBER(SEARCH("contamina",C4)),"Contamination",ISNUMBER(SEARCH("overheat",C4)),"Overheating of Device",ISNUMBER(SEARCH("excessive heat",C4)),"Overheating of Device",ISNUMBER(SEARCH("hot",C4)),"Overheating of Device",ISNUMBER(SEARCH("noise",C4)),"Noise, Audible",ISNUMBER(SEARCH("sound",C4)),"Noise, Audible",ISNUMBER(SEARCH("loud",C4)),"Noise, Audible",ISNUMBER(SEARCH("fray",C4)),"Material Frayed",ISNUMBER(SEARCH("hole",C4)),"Material Frayed",ISNUMBER(SEARCH("tear",C4)),"Material Frayed",ISNUMBER(SEARCH("worn",C4)),"Material Frayed",ISNUMBER(SEARCH("intermittent",C4)),"Difficult or Delayed Activation",ISNUMBER(SEARCH("delay",C4)),"Difficult or Delayed Activation",ISNUMBER(SEARCH("label",C4)),"Device Markings/Labelling Problem",ISNUMBER(SEARCH("marking",C4)),"Device Markings/Labelling Problem",ISNUMBER(SEARCH("lacerat",C4)),"Defective Device",ISNUMBER(SEARCH("cut",C4)),"Defective Device",ISNUMBER(SEARCH("leak",C4)),"Fluid/Blood Leak",ISNUMBER(SEARCH("missing",C4)),"Component Missing",ISNUMBER(SEARCH("power",C4)),"Complete Loss of Power",ISNUMBER(SEARCH("will not turn on",C4)),"Complete Loss of Power",ISNUMBER(SEARCH("won't turn on",C4)),"Complete Loss of Power",ISNUMBER(SEARCH("does not turn on",C4)),"Complete Loss of Power",ISNUMBER(SEARCH("electrical",C4)),"Electrical Power Problem",ISNUMBER(SEARCH("pressure",C4)),"Detachment of Device or Device Component",ISNUMBER(SEARCH("slip",C4)),"Detachment of Device or Device Component",ISNUMBER(SEARCH("detach",C4)),"Detachment of Device or Device Component",ISNUMBER(SEARCH("stick",C4)),"Mechanical Jam",ISNUMBER(SEARCH("jam",C4)),"Mechanical Jam",ISNUMBER(SEARCH("rigid",C4)),"Mechanical Jam",ISNUMBER(SEARCH("rust",C4)),"Corroded",ISNUMBER(SEARCH("corrod",C4)),"Corroded",ISNUMBER(SEARCH("corrosion",C4)),"Corroded",ISNUMBER(SEARCH("alignment",C4)),"Defective Device",ISNUMBER(SEARCH("adjust",C4)),"Defective Device",ISNUMBER(SEARCH("perform",C4)),"Defective Device",ISNUMBER(SEARCH("malfunction",C4)),"Defective Device",ISNUMBER(SEARCH("defect",C4)),"Defective Device",ISNUMBER(SEARCH("fail",C4)),"Defective Device",ISNUMBER(SEARCH("not work",C4)),"Defective Device",ISNUMBER(SEARCH("doesn't work",C4)),"Defective Device",TRUE,"UNKNOWN"),"UNKNOWN")))</f>
        <v>UNKNOWN - colorph</v>
      </c>
      <c r="F4" s="86" t="str">
        <f t="shared" si="0"/>
        <v>No Clinical Signs, Symptoms or Conditions</v>
      </c>
      <c r="G4" s="363" t="str">
        <f>IF(E4="","",IFERROR(VLOOKUP(E4,Codes!$L$2:$N$409,3,FALSE),"—"))</f>
        <v>—</v>
      </c>
      <c r="H4" s="366"/>
      <c r="I4" s="366"/>
    </row>
    <row r="5" spans="1:9" ht="51.95" customHeight="1" x14ac:dyDescent="0.35">
      <c r="A5" s="434" t="s">
        <v>1692</v>
      </c>
      <c r="B5" s="436">
        <v>45072</v>
      </c>
      <c r="C5" s="442" t="s">
        <v>1712</v>
      </c>
      <c r="D5" s="441" t="s">
        <v>1728</v>
      </c>
      <c r="E5" s="93" t="str" cm="1">
        <f t="array" ref="E5">IF(D5&lt;&gt;"",IFERROR(VLOOKUP(D5,Codes!$K$2:$L$409,2,FALSE),"UNKNOWN - "&amp;D5),IF(C5="","",IFERROR(_xlfn.IFS(ISNUMBER(SEARCH("broken button",C5)),"Break",ISNUMBER(SEARCH("broken handle",C5)),"Break",ISNUMBER(SEARCH("shipping damage",C5)),"Break",ISNUMBER(SEARCH("broken",C5)),"Break",ISNUMBER(SEARCH("crack",C5)),"Break",ISNUMBER(SEARCH("snap",C5)),"Break",ISNUMBER(SEARCH("fracture",C5)),"Break",ISNUMBER(SEARCH("bent",C5)),"Material Twisted/Bent",ISNUMBER(SEARCH("twisted",C5)),"Material Twisted/Bent",ISNUMBER(SEARCH("component separat",C5)),"Material Separation",ISNUMBER(SEARCH("separat",C5)),"Material Separation",ISNUMBER(SEARCH("connection",C5)),"Loose or Intermittent Connection",ISNUMBER(SEARCH("loose",C5)),"Loose or Intermittent Connection",ISNUMBER(SEARCH("damaged packaging",C5)),"Packaging Problem",ISNUMBER(SEARCH("packaging",C5)),"Packaging Problem",ISNUMBER(SEARCH("discoloration",C5)),"Contamination",ISNUMBER(SEARCH("tarnish",C5)),"Contamination",ISNUMBER(SEARCH("stain",C5)),"Contamination",ISNUMBER(SEARCH("foreign material",C5)),"Contamination",ISNUMBER(SEARCH("contamina",C5)),"Contamination",ISNUMBER(SEARCH("overheat",C5)),"Overheating of Device",ISNUMBER(SEARCH("excessive heat",C5)),"Overheating of Device",ISNUMBER(SEARCH("hot",C5)),"Overheating of Device",ISNUMBER(SEARCH("noise",C5)),"Noise, Audible",ISNUMBER(SEARCH("sound",C5)),"Noise, Audible",ISNUMBER(SEARCH("loud",C5)),"Noise, Audible",ISNUMBER(SEARCH("fray",C5)),"Material Frayed",ISNUMBER(SEARCH("hole",C5)),"Material Frayed",ISNUMBER(SEARCH("tear",C5)),"Material Frayed",ISNUMBER(SEARCH("worn",C5)),"Material Frayed",ISNUMBER(SEARCH("intermittent",C5)),"Difficult or Delayed Activation",ISNUMBER(SEARCH("delay",C5)),"Difficult or Delayed Activation",ISNUMBER(SEARCH("label",C5)),"Device Markings/Labelling Problem",ISNUMBER(SEARCH("marking",C5)),"Device Markings/Labelling Problem",ISNUMBER(SEARCH("lacerat",C5)),"Defective Device",ISNUMBER(SEARCH("cut",C5)),"Defective Device",ISNUMBER(SEARCH("leak",C5)),"Fluid/Blood Leak",ISNUMBER(SEARCH("missing",C5)),"Component Missing",ISNUMBER(SEARCH("power",C5)),"Complete Loss of Power",ISNUMBER(SEARCH("will not turn on",C5)),"Complete Loss of Power",ISNUMBER(SEARCH("won't turn on",C5)),"Complete Loss of Power",ISNUMBER(SEARCH("does not turn on",C5)),"Complete Loss of Power",ISNUMBER(SEARCH("electrical",C5)),"Electrical Power Problem",ISNUMBER(SEARCH("pressure",C5)),"Detachment of Device or Device Component",ISNUMBER(SEARCH("slip",C5)),"Detachment of Device or Device Component",ISNUMBER(SEARCH("detach",C5)),"Detachment of Device or Device Component",ISNUMBER(SEARCH("stick",C5)),"Mechanical Jam",ISNUMBER(SEARCH("jam",C5)),"Mechanical Jam",ISNUMBER(SEARCH("rigid",C5)),"Mechanical Jam",ISNUMBER(SEARCH("rust",C5)),"Corroded",ISNUMBER(SEARCH("corrod",C5)),"Corroded",ISNUMBER(SEARCH("corrosion",C5)),"Corroded",ISNUMBER(SEARCH("alignment",C5)),"Defective Device",ISNUMBER(SEARCH("adjust",C5)),"Defective Device",ISNUMBER(SEARCH("perform",C5)),"Defective Device",ISNUMBER(SEARCH("malfunction",C5)),"Defective Device",ISNUMBER(SEARCH("defect",C5)),"Defective Device",ISNUMBER(SEARCH("fail",C5)),"Defective Device",ISNUMBER(SEARCH("not work",C5)),"Defective Device",ISNUMBER(SEARCH("doesn't work",C5)),"Defective Device",TRUE,"UNKNOWN"),"UNKNOWN")))</f>
        <v>UNKNOWN - colorph</v>
      </c>
      <c r="F5" s="85" t="str">
        <f t="shared" si="0"/>
        <v>No Clinical Signs, Symptoms or Conditions</v>
      </c>
      <c r="G5" s="363" t="str">
        <f>IF(E5="","",IFERROR(VLOOKUP(E5,Codes!$L$2:$N$409,3,FALSE),"—"))</f>
        <v>—</v>
      </c>
      <c r="H5" s="367"/>
      <c r="I5" s="367"/>
    </row>
    <row r="6" spans="1:9" ht="51.95" customHeight="1" x14ac:dyDescent="0.35">
      <c r="A6" s="435" t="s">
        <v>1693</v>
      </c>
      <c r="B6" s="504">
        <v>45076</v>
      </c>
      <c r="C6" s="441" t="s">
        <v>1713</v>
      </c>
      <c r="D6" s="441" t="s">
        <v>1728</v>
      </c>
      <c r="E6" s="93" t="str" cm="1">
        <f t="array" ref="E6">IF(D6&lt;&gt;"",IFERROR(VLOOKUP(D6,Codes!$K$2:$L$409,2,FALSE),"UNKNOWN - "&amp;D6),IF(C6="","",IFERROR(_xlfn.IFS(ISNUMBER(SEARCH("broken button",C6)),"Break",ISNUMBER(SEARCH("broken handle",C6)),"Break",ISNUMBER(SEARCH("shipping damage",C6)),"Break",ISNUMBER(SEARCH("broken",C6)),"Break",ISNUMBER(SEARCH("crack",C6)),"Break",ISNUMBER(SEARCH("snap",C6)),"Break",ISNUMBER(SEARCH("fracture",C6)),"Break",ISNUMBER(SEARCH("bent",C6)),"Material Twisted/Bent",ISNUMBER(SEARCH("twisted",C6)),"Material Twisted/Bent",ISNUMBER(SEARCH("component separat",C6)),"Material Separation",ISNUMBER(SEARCH("separat",C6)),"Material Separation",ISNUMBER(SEARCH("connection",C6)),"Loose or Intermittent Connection",ISNUMBER(SEARCH("loose",C6)),"Loose or Intermittent Connection",ISNUMBER(SEARCH("damaged packaging",C6)),"Packaging Problem",ISNUMBER(SEARCH("packaging",C6)),"Packaging Problem",ISNUMBER(SEARCH("discoloration",C6)),"Contamination",ISNUMBER(SEARCH("tarnish",C6)),"Contamination",ISNUMBER(SEARCH("stain",C6)),"Contamination",ISNUMBER(SEARCH("foreign material",C6)),"Contamination",ISNUMBER(SEARCH("contamina",C6)),"Contamination",ISNUMBER(SEARCH("overheat",C6)),"Overheating of Device",ISNUMBER(SEARCH("excessive heat",C6)),"Overheating of Device",ISNUMBER(SEARCH("hot",C6)),"Overheating of Device",ISNUMBER(SEARCH("noise",C6)),"Noise, Audible",ISNUMBER(SEARCH("sound",C6)),"Noise, Audible",ISNUMBER(SEARCH("loud",C6)),"Noise, Audible",ISNUMBER(SEARCH("fray",C6)),"Material Frayed",ISNUMBER(SEARCH("hole",C6)),"Material Frayed",ISNUMBER(SEARCH("tear",C6)),"Material Frayed",ISNUMBER(SEARCH("worn",C6)),"Material Frayed",ISNUMBER(SEARCH("intermittent",C6)),"Difficult or Delayed Activation",ISNUMBER(SEARCH("delay",C6)),"Difficult or Delayed Activation",ISNUMBER(SEARCH("label",C6)),"Device Markings/Labelling Problem",ISNUMBER(SEARCH("marking",C6)),"Device Markings/Labelling Problem",ISNUMBER(SEARCH("lacerat",C6)),"Defective Device",ISNUMBER(SEARCH("cut",C6)),"Defective Device",ISNUMBER(SEARCH("leak",C6)),"Fluid/Blood Leak",ISNUMBER(SEARCH("missing",C6)),"Component Missing",ISNUMBER(SEARCH("power",C6)),"Complete Loss of Power",ISNUMBER(SEARCH("will not turn on",C6)),"Complete Loss of Power",ISNUMBER(SEARCH("won't turn on",C6)),"Complete Loss of Power",ISNUMBER(SEARCH("does not turn on",C6)),"Complete Loss of Power",ISNUMBER(SEARCH("electrical",C6)),"Electrical Power Problem",ISNUMBER(SEARCH("pressure",C6)),"Detachment of Device or Device Component",ISNUMBER(SEARCH("slip",C6)),"Detachment of Device or Device Component",ISNUMBER(SEARCH("detach",C6)),"Detachment of Device or Device Component",ISNUMBER(SEARCH("stick",C6)),"Mechanical Jam",ISNUMBER(SEARCH("jam",C6)),"Mechanical Jam",ISNUMBER(SEARCH("rigid",C6)),"Mechanical Jam",ISNUMBER(SEARCH("rust",C6)),"Corroded",ISNUMBER(SEARCH("corrod",C6)),"Corroded",ISNUMBER(SEARCH("corrosion",C6)),"Corroded",ISNUMBER(SEARCH("alignment",C6)),"Defective Device",ISNUMBER(SEARCH("adjust",C6)),"Defective Device",ISNUMBER(SEARCH("perform",C6)),"Defective Device",ISNUMBER(SEARCH("malfunction",C6)),"Defective Device",ISNUMBER(SEARCH("defect",C6)),"Defective Device",ISNUMBER(SEARCH("fail",C6)),"Defective Device",ISNUMBER(SEARCH("not work",C6)),"Defective Device",ISNUMBER(SEARCH("doesn't work",C6)),"Defective Device",TRUE,"UNKNOWN"),"UNKNOWN")))</f>
        <v>UNKNOWN - colorph</v>
      </c>
      <c r="F6" s="86" t="str">
        <f t="shared" si="0"/>
        <v>No Clinical Signs, Symptoms or Conditions</v>
      </c>
      <c r="G6" s="363" t="str">
        <f>IF(E6="","",IFERROR(VLOOKUP(E6,Codes!$L$2:$N$409,3,FALSE),"—"))</f>
        <v>—</v>
      </c>
      <c r="H6" s="366"/>
      <c r="I6" s="366"/>
    </row>
    <row r="7" spans="1:9" ht="51.95" customHeight="1" x14ac:dyDescent="0.35">
      <c r="A7" s="434" t="s">
        <v>1694</v>
      </c>
      <c r="B7" s="436">
        <v>45078</v>
      </c>
      <c r="C7" s="442" t="s">
        <v>1714</v>
      </c>
      <c r="D7" s="441" t="s">
        <v>1728</v>
      </c>
      <c r="E7" s="93" t="str" cm="1">
        <f t="array" ref="E7">IF(D7&lt;&gt;"",IFERROR(VLOOKUP(D7,Codes!$K$2:$L$409,2,FALSE),"UNKNOWN - "&amp;D7),IF(C7="","",IFERROR(_xlfn.IFS(ISNUMBER(SEARCH("broken button",C7)),"Break",ISNUMBER(SEARCH("broken handle",C7)),"Break",ISNUMBER(SEARCH("shipping damage",C7)),"Break",ISNUMBER(SEARCH("broken",C7)),"Break",ISNUMBER(SEARCH("crack",C7)),"Break",ISNUMBER(SEARCH("snap",C7)),"Break",ISNUMBER(SEARCH("fracture",C7)),"Break",ISNUMBER(SEARCH("bent",C7)),"Material Twisted/Bent",ISNUMBER(SEARCH("twisted",C7)),"Material Twisted/Bent",ISNUMBER(SEARCH("component separat",C7)),"Material Separation",ISNUMBER(SEARCH("separat",C7)),"Material Separation",ISNUMBER(SEARCH("connection",C7)),"Loose or Intermittent Connection",ISNUMBER(SEARCH("loose",C7)),"Loose or Intermittent Connection",ISNUMBER(SEARCH("damaged packaging",C7)),"Packaging Problem",ISNUMBER(SEARCH("packaging",C7)),"Packaging Problem",ISNUMBER(SEARCH("discoloration",C7)),"Contamination",ISNUMBER(SEARCH("tarnish",C7)),"Contamination",ISNUMBER(SEARCH("stain",C7)),"Contamination",ISNUMBER(SEARCH("foreign material",C7)),"Contamination",ISNUMBER(SEARCH("contamina",C7)),"Contamination",ISNUMBER(SEARCH("overheat",C7)),"Overheating of Device",ISNUMBER(SEARCH("excessive heat",C7)),"Overheating of Device",ISNUMBER(SEARCH("hot",C7)),"Overheating of Device",ISNUMBER(SEARCH("noise",C7)),"Noise, Audible",ISNUMBER(SEARCH("sound",C7)),"Noise, Audible",ISNUMBER(SEARCH("loud",C7)),"Noise, Audible",ISNUMBER(SEARCH("fray",C7)),"Material Frayed",ISNUMBER(SEARCH("hole",C7)),"Material Frayed",ISNUMBER(SEARCH("tear",C7)),"Material Frayed",ISNUMBER(SEARCH("worn",C7)),"Material Frayed",ISNUMBER(SEARCH("intermittent",C7)),"Difficult or Delayed Activation",ISNUMBER(SEARCH("delay",C7)),"Difficult or Delayed Activation",ISNUMBER(SEARCH("label",C7)),"Device Markings/Labelling Problem",ISNUMBER(SEARCH("marking",C7)),"Device Markings/Labelling Problem",ISNUMBER(SEARCH("lacerat",C7)),"Defective Device",ISNUMBER(SEARCH("cut",C7)),"Defective Device",ISNUMBER(SEARCH("leak",C7)),"Fluid/Blood Leak",ISNUMBER(SEARCH("missing",C7)),"Component Missing",ISNUMBER(SEARCH("power",C7)),"Complete Loss of Power",ISNUMBER(SEARCH("will not turn on",C7)),"Complete Loss of Power",ISNUMBER(SEARCH("won't turn on",C7)),"Complete Loss of Power",ISNUMBER(SEARCH("does not turn on",C7)),"Complete Loss of Power",ISNUMBER(SEARCH("electrical",C7)),"Electrical Power Problem",ISNUMBER(SEARCH("pressure",C7)),"Detachment of Device or Device Component",ISNUMBER(SEARCH("slip",C7)),"Detachment of Device or Device Component",ISNUMBER(SEARCH("detach",C7)),"Detachment of Device or Device Component",ISNUMBER(SEARCH("stick",C7)),"Mechanical Jam",ISNUMBER(SEARCH("jam",C7)),"Mechanical Jam",ISNUMBER(SEARCH("rigid",C7)),"Mechanical Jam",ISNUMBER(SEARCH("rust",C7)),"Corroded",ISNUMBER(SEARCH("corrod",C7)),"Corroded",ISNUMBER(SEARCH("corrosion",C7)),"Corroded",ISNUMBER(SEARCH("alignment",C7)),"Defective Device",ISNUMBER(SEARCH("adjust",C7)),"Defective Device",ISNUMBER(SEARCH("perform",C7)),"Defective Device",ISNUMBER(SEARCH("malfunction",C7)),"Defective Device",ISNUMBER(SEARCH("defect",C7)),"Defective Device",ISNUMBER(SEARCH("fail",C7)),"Defective Device",ISNUMBER(SEARCH("not work",C7)),"Defective Device",ISNUMBER(SEARCH("doesn't work",C7)),"Defective Device",TRUE,"UNKNOWN"),"UNKNOWN")))</f>
        <v>UNKNOWN - colorph</v>
      </c>
      <c r="F7" s="85" t="str">
        <f t="shared" si="0"/>
        <v>No Clinical Signs, Symptoms or Conditions</v>
      </c>
      <c r="G7" s="363" t="str">
        <f>IF(E7="","",IFERROR(VLOOKUP(E7,Codes!$L$2:$N$409,3,FALSE),"—"))</f>
        <v>—</v>
      </c>
      <c r="H7" s="367"/>
      <c r="I7" s="367"/>
    </row>
    <row r="8" spans="1:9" ht="51.95" customHeight="1" x14ac:dyDescent="0.35">
      <c r="A8" s="434" t="s">
        <v>1695</v>
      </c>
      <c r="B8" s="436">
        <v>45083</v>
      </c>
      <c r="C8" s="444" t="s">
        <v>1715</v>
      </c>
      <c r="D8" s="442" t="s">
        <v>1728</v>
      </c>
      <c r="E8" s="93" t="str" cm="1">
        <f t="array" ref="E8">IF(D8&lt;&gt;"",IFERROR(VLOOKUP(D8,Codes!$K$2:$L$409,2,FALSE),"UNKNOWN - "&amp;D8),IF(C8="","",IFERROR(_xlfn.IFS(ISNUMBER(SEARCH("broken button",C8)),"Break",ISNUMBER(SEARCH("broken handle",C8)),"Break",ISNUMBER(SEARCH("shipping damage",C8)),"Break",ISNUMBER(SEARCH("broken",C8)),"Break",ISNUMBER(SEARCH("crack",C8)),"Break",ISNUMBER(SEARCH("snap",C8)),"Break",ISNUMBER(SEARCH("fracture",C8)),"Break",ISNUMBER(SEARCH("bent",C8)),"Material Twisted/Bent",ISNUMBER(SEARCH("twisted",C8)),"Material Twisted/Bent",ISNUMBER(SEARCH("component separat",C8)),"Material Separation",ISNUMBER(SEARCH("separat",C8)),"Material Separation",ISNUMBER(SEARCH("connection",C8)),"Loose or Intermittent Connection",ISNUMBER(SEARCH("loose",C8)),"Loose or Intermittent Connection",ISNUMBER(SEARCH("damaged packaging",C8)),"Packaging Problem",ISNUMBER(SEARCH("packaging",C8)),"Packaging Problem",ISNUMBER(SEARCH("discoloration",C8)),"Contamination",ISNUMBER(SEARCH("tarnish",C8)),"Contamination",ISNUMBER(SEARCH("stain",C8)),"Contamination",ISNUMBER(SEARCH("foreign material",C8)),"Contamination",ISNUMBER(SEARCH("contamina",C8)),"Contamination",ISNUMBER(SEARCH("overheat",C8)),"Overheating of Device",ISNUMBER(SEARCH("excessive heat",C8)),"Overheating of Device",ISNUMBER(SEARCH("hot",C8)),"Overheating of Device",ISNUMBER(SEARCH("noise",C8)),"Noise, Audible",ISNUMBER(SEARCH("sound",C8)),"Noise, Audible",ISNUMBER(SEARCH("loud",C8)),"Noise, Audible",ISNUMBER(SEARCH("fray",C8)),"Material Frayed",ISNUMBER(SEARCH("hole",C8)),"Material Frayed",ISNUMBER(SEARCH("tear",C8)),"Material Frayed",ISNUMBER(SEARCH("worn",C8)),"Material Frayed",ISNUMBER(SEARCH("intermittent",C8)),"Difficult or Delayed Activation",ISNUMBER(SEARCH("delay",C8)),"Difficult or Delayed Activation",ISNUMBER(SEARCH("label",C8)),"Device Markings/Labelling Problem",ISNUMBER(SEARCH("marking",C8)),"Device Markings/Labelling Problem",ISNUMBER(SEARCH("lacerat",C8)),"Defective Device",ISNUMBER(SEARCH("cut",C8)),"Defective Device",ISNUMBER(SEARCH("leak",C8)),"Fluid/Blood Leak",ISNUMBER(SEARCH("missing",C8)),"Component Missing",ISNUMBER(SEARCH("power",C8)),"Complete Loss of Power",ISNUMBER(SEARCH("will not turn on",C8)),"Complete Loss of Power",ISNUMBER(SEARCH("won't turn on",C8)),"Complete Loss of Power",ISNUMBER(SEARCH("does not turn on",C8)),"Complete Loss of Power",ISNUMBER(SEARCH("electrical",C8)),"Electrical Power Problem",ISNUMBER(SEARCH("pressure",C8)),"Detachment of Device or Device Component",ISNUMBER(SEARCH("slip",C8)),"Detachment of Device or Device Component",ISNUMBER(SEARCH("detach",C8)),"Detachment of Device or Device Component",ISNUMBER(SEARCH("stick",C8)),"Mechanical Jam",ISNUMBER(SEARCH("jam",C8)),"Mechanical Jam",ISNUMBER(SEARCH("rigid",C8)),"Mechanical Jam",ISNUMBER(SEARCH("rust",C8)),"Corroded",ISNUMBER(SEARCH("corrod",C8)),"Corroded",ISNUMBER(SEARCH("corrosion",C8)),"Corroded",ISNUMBER(SEARCH("alignment",C8)),"Defective Device",ISNUMBER(SEARCH("adjust",C8)),"Defective Device",ISNUMBER(SEARCH("perform",C8)),"Defective Device",ISNUMBER(SEARCH("malfunction",C8)),"Defective Device",ISNUMBER(SEARCH("defect",C8)),"Defective Device",ISNUMBER(SEARCH("fail",C8)),"Defective Device",ISNUMBER(SEARCH("not work",C8)),"Defective Device",ISNUMBER(SEARCH("doesn't work",C8)),"Defective Device",TRUE,"UNKNOWN"),"UNKNOWN")))</f>
        <v>UNKNOWN - colorph</v>
      </c>
      <c r="F8" s="86" t="str">
        <f t="shared" si="0"/>
        <v>No Clinical Signs, Symptoms or Conditions</v>
      </c>
      <c r="G8" s="363" t="str">
        <f>IF(E8="","",IFERROR(VLOOKUP(E8,Codes!$L$2:$N$409,3,FALSE),"—"))</f>
        <v>—</v>
      </c>
      <c r="H8" s="366"/>
      <c r="I8" s="366"/>
    </row>
    <row r="9" spans="1:9" ht="51.95" customHeight="1" x14ac:dyDescent="0.35">
      <c r="A9" s="435" t="s">
        <v>1696</v>
      </c>
      <c r="B9" s="504">
        <v>45083</v>
      </c>
      <c r="C9" s="445" t="s">
        <v>1716</v>
      </c>
      <c r="D9" s="441" t="s">
        <v>1728</v>
      </c>
      <c r="E9" s="93" t="str" cm="1">
        <f t="array" ref="E9">IF(D9&lt;&gt;"",IFERROR(VLOOKUP(D9,Codes!$K$2:$L$409,2,FALSE),"UNKNOWN - "&amp;D9),IF(C9="","",IFERROR(_xlfn.IFS(ISNUMBER(SEARCH("broken button",C9)),"Break",ISNUMBER(SEARCH("broken handle",C9)),"Break",ISNUMBER(SEARCH("shipping damage",C9)),"Break",ISNUMBER(SEARCH("broken",C9)),"Break",ISNUMBER(SEARCH("crack",C9)),"Break",ISNUMBER(SEARCH("snap",C9)),"Break",ISNUMBER(SEARCH("fracture",C9)),"Break",ISNUMBER(SEARCH("bent",C9)),"Material Twisted/Bent",ISNUMBER(SEARCH("twisted",C9)),"Material Twisted/Bent",ISNUMBER(SEARCH("component separat",C9)),"Material Separation",ISNUMBER(SEARCH("separat",C9)),"Material Separation",ISNUMBER(SEARCH("connection",C9)),"Loose or Intermittent Connection",ISNUMBER(SEARCH("loose",C9)),"Loose or Intermittent Connection",ISNUMBER(SEARCH("damaged packaging",C9)),"Packaging Problem",ISNUMBER(SEARCH("packaging",C9)),"Packaging Problem",ISNUMBER(SEARCH("discoloration",C9)),"Contamination",ISNUMBER(SEARCH("tarnish",C9)),"Contamination",ISNUMBER(SEARCH("stain",C9)),"Contamination",ISNUMBER(SEARCH("foreign material",C9)),"Contamination",ISNUMBER(SEARCH("contamina",C9)),"Contamination",ISNUMBER(SEARCH("overheat",C9)),"Overheating of Device",ISNUMBER(SEARCH("excessive heat",C9)),"Overheating of Device",ISNUMBER(SEARCH("hot",C9)),"Overheating of Device",ISNUMBER(SEARCH("noise",C9)),"Noise, Audible",ISNUMBER(SEARCH("sound",C9)),"Noise, Audible",ISNUMBER(SEARCH("loud",C9)),"Noise, Audible",ISNUMBER(SEARCH("fray",C9)),"Material Frayed",ISNUMBER(SEARCH("hole",C9)),"Material Frayed",ISNUMBER(SEARCH("tear",C9)),"Material Frayed",ISNUMBER(SEARCH("worn",C9)),"Material Frayed",ISNUMBER(SEARCH("intermittent",C9)),"Difficult or Delayed Activation",ISNUMBER(SEARCH("delay",C9)),"Difficult or Delayed Activation",ISNUMBER(SEARCH("label",C9)),"Device Markings/Labelling Problem",ISNUMBER(SEARCH("marking",C9)),"Device Markings/Labelling Problem",ISNUMBER(SEARCH("lacerat",C9)),"Defective Device",ISNUMBER(SEARCH("cut",C9)),"Defective Device",ISNUMBER(SEARCH("leak",C9)),"Fluid/Blood Leak",ISNUMBER(SEARCH("missing",C9)),"Component Missing",ISNUMBER(SEARCH("power",C9)),"Complete Loss of Power",ISNUMBER(SEARCH("will not turn on",C9)),"Complete Loss of Power",ISNUMBER(SEARCH("won't turn on",C9)),"Complete Loss of Power",ISNUMBER(SEARCH("does not turn on",C9)),"Complete Loss of Power",ISNUMBER(SEARCH("electrical",C9)),"Electrical Power Problem",ISNUMBER(SEARCH("pressure",C9)),"Detachment of Device or Device Component",ISNUMBER(SEARCH("slip",C9)),"Detachment of Device or Device Component",ISNUMBER(SEARCH("detach",C9)),"Detachment of Device or Device Component",ISNUMBER(SEARCH("stick",C9)),"Mechanical Jam",ISNUMBER(SEARCH("jam",C9)),"Mechanical Jam",ISNUMBER(SEARCH("rigid",C9)),"Mechanical Jam",ISNUMBER(SEARCH("rust",C9)),"Corroded",ISNUMBER(SEARCH("corrod",C9)),"Corroded",ISNUMBER(SEARCH("corrosion",C9)),"Corroded",ISNUMBER(SEARCH("alignment",C9)),"Defective Device",ISNUMBER(SEARCH("adjust",C9)),"Defective Device",ISNUMBER(SEARCH("perform",C9)),"Defective Device",ISNUMBER(SEARCH("malfunction",C9)),"Defective Device",ISNUMBER(SEARCH("defect",C9)),"Defective Device",ISNUMBER(SEARCH("fail",C9)),"Defective Device",ISNUMBER(SEARCH("not work",C9)),"Defective Device",ISNUMBER(SEARCH("doesn't work",C9)),"Defective Device",TRUE,"UNKNOWN"),"UNKNOWN")))</f>
        <v>UNKNOWN - colorph</v>
      </c>
      <c r="F9" s="85" t="str">
        <f t="shared" si="0"/>
        <v>No Clinical Signs, Symptoms or Conditions</v>
      </c>
      <c r="G9" s="363" t="str">
        <f>IF(E9="","",IFERROR(VLOOKUP(E9,Codes!$L$2:$N$409,3,FALSE),"—"))</f>
        <v>—</v>
      </c>
      <c r="H9" s="367"/>
      <c r="I9" s="367"/>
    </row>
    <row r="10" spans="1:9" ht="51.95" customHeight="1" x14ac:dyDescent="0.35">
      <c r="A10" s="434" t="s">
        <v>1697</v>
      </c>
      <c r="B10" s="436">
        <v>45088</v>
      </c>
      <c r="C10" s="444" t="s">
        <v>1717</v>
      </c>
      <c r="D10" s="442" t="s">
        <v>1728</v>
      </c>
      <c r="E10" s="93" t="str" cm="1">
        <f t="array" ref="E10">IF(D10&lt;&gt;"",IFERROR(VLOOKUP(D10,Codes!$K$2:$L$409,2,FALSE),"UNKNOWN - "&amp;D10),IF(C10="","",IFERROR(_xlfn.IFS(ISNUMBER(SEARCH("broken button",C10)),"Break",ISNUMBER(SEARCH("broken handle",C10)),"Break",ISNUMBER(SEARCH("shipping damage",C10)),"Break",ISNUMBER(SEARCH("broken",C10)),"Break",ISNUMBER(SEARCH("crack",C10)),"Break",ISNUMBER(SEARCH("snap",C10)),"Break",ISNUMBER(SEARCH("fracture",C10)),"Break",ISNUMBER(SEARCH("bent",C10)),"Material Twisted/Bent",ISNUMBER(SEARCH("twisted",C10)),"Material Twisted/Bent",ISNUMBER(SEARCH("component separat",C10)),"Material Separation",ISNUMBER(SEARCH("separat",C10)),"Material Separation",ISNUMBER(SEARCH("connection",C10)),"Loose or Intermittent Connection",ISNUMBER(SEARCH("loose",C10)),"Loose or Intermittent Connection",ISNUMBER(SEARCH("damaged packaging",C10)),"Packaging Problem",ISNUMBER(SEARCH("packaging",C10)),"Packaging Problem",ISNUMBER(SEARCH("discoloration",C10)),"Contamination",ISNUMBER(SEARCH("tarnish",C10)),"Contamination",ISNUMBER(SEARCH("stain",C10)),"Contamination",ISNUMBER(SEARCH("foreign material",C10)),"Contamination",ISNUMBER(SEARCH("contamina",C10)),"Contamination",ISNUMBER(SEARCH("overheat",C10)),"Overheating of Device",ISNUMBER(SEARCH("excessive heat",C10)),"Overheating of Device",ISNUMBER(SEARCH("hot",C10)),"Overheating of Device",ISNUMBER(SEARCH("noise",C10)),"Noise, Audible",ISNUMBER(SEARCH("sound",C10)),"Noise, Audible",ISNUMBER(SEARCH("loud",C10)),"Noise, Audible",ISNUMBER(SEARCH("fray",C10)),"Material Frayed",ISNUMBER(SEARCH("hole",C10)),"Material Frayed",ISNUMBER(SEARCH("tear",C10)),"Material Frayed",ISNUMBER(SEARCH("worn",C10)),"Material Frayed",ISNUMBER(SEARCH("intermittent",C10)),"Difficult or Delayed Activation",ISNUMBER(SEARCH("delay",C10)),"Difficult or Delayed Activation",ISNUMBER(SEARCH("label",C10)),"Device Markings/Labelling Problem",ISNUMBER(SEARCH("marking",C10)),"Device Markings/Labelling Problem",ISNUMBER(SEARCH("lacerat",C10)),"Defective Device",ISNUMBER(SEARCH("cut",C10)),"Defective Device",ISNUMBER(SEARCH("leak",C10)),"Fluid/Blood Leak",ISNUMBER(SEARCH("missing",C10)),"Component Missing",ISNUMBER(SEARCH("power",C10)),"Complete Loss of Power",ISNUMBER(SEARCH("will not turn on",C10)),"Complete Loss of Power",ISNUMBER(SEARCH("won't turn on",C10)),"Complete Loss of Power",ISNUMBER(SEARCH("does not turn on",C10)),"Complete Loss of Power",ISNUMBER(SEARCH("electrical",C10)),"Electrical Power Problem",ISNUMBER(SEARCH("pressure",C10)),"Detachment of Device or Device Component",ISNUMBER(SEARCH("slip",C10)),"Detachment of Device or Device Component",ISNUMBER(SEARCH("detach",C10)),"Detachment of Device or Device Component",ISNUMBER(SEARCH("stick",C10)),"Mechanical Jam",ISNUMBER(SEARCH("jam",C10)),"Mechanical Jam",ISNUMBER(SEARCH("rigid",C10)),"Mechanical Jam",ISNUMBER(SEARCH("rust",C10)),"Corroded",ISNUMBER(SEARCH("corrod",C10)),"Corroded",ISNUMBER(SEARCH("corrosion",C10)),"Corroded",ISNUMBER(SEARCH("alignment",C10)),"Defective Device",ISNUMBER(SEARCH("adjust",C10)),"Defective Device",ISNUMBER(SEARCH("perform",C10)),"Defective Device",ISNUMBER(SEARCH("malfunction",C10)),"Defective Device",ISNUMBER(SEARCH("defect",C10)),"Defective Device",ISNUMBER(SEARCH("fail",C10)),"Defective Device",ISNUMBER(SEARCH("not work",C10)),"Defective Device",ISNUMBER(SEARCH("doesn't work",C10)),"Defective Device",TRUE,"UNKNOWN"),"UNKNOWN")))</f>
        <v>UNKNOWN - colorph</v>
      </c>
      <c r="F10" s="86" t="str">
        <f t="shared" si="0"/>
        <v>No Clinical Signs, Symptoms or Conditions</v>
      </c>
      <c r="G10" s="363" t="str">
        <f>IF(E10="","",IFERROR(VLOOKUP(E10,Codes!$L$2:$N$409,3,FALSE),"—"))</f>
        <v>—</v>
      </c>
      <c r="H10" s="366"/>
      <c r="I10" s="366"/>
    </row>
    <row r="11" spans="1:9" ht="51.95" customHeight="1" x14ac:dyDescent="0.35">
      <c r="A11" s="435" t="s">
        <v>1698</v>
      </c>
      <c r="B11" s="504">
        <v>45091</v>
      </c>
      <c r="C11" s="445" t="s">
        <v>1718</v>
      </c>
      <c r="D11" s="441" t="s">
        <v>1728</v>
      </c>
      <c r="E11" s="93" t="str" cm="1">
        <f t="array" ref="E11">IF(D11&lt;&gt;"",IFERROR(VLOOKUP(D11,Codes!$K$2:$L$409,2,FALSE),"UNKNOWN - "&amp;D11),IF(C11="","",IFERROR(_xlfn.IFS(ISNUMBER(SEARCH("broken button",C11)),"Break",ISNUMBER(SEARCH("broken handle",C11)),"Break",ISNUMBER(SEARCH("shipping damage",C11)),"Break",ISNUMBER(SEARCH("broken",C11)),"Break",ISNUMBER(SEARCH("crack",C11)),"Break",ISNUMBER(SEARCH("snap",C11)),"Break",ISNUMBER(SEARCH("fracture",C11)),"Break",ISNUMBER(SEARCH("bent",C11)),"Material Twisted/Bent",ISNUMBER(SEARCH("twisted",C11)),"Material Twisted/Bent",ISNUMBER(SEARCH("component separat",C11)),"Material Separation",ISNUMBER(SEARCH("separat",C11)),"Material Separation",ISNUMBER(SEARCH("connection",C11)),"Loose or Intermittent Connection",ISNUMBER(SEARCH("loose",C11)),"Loose or Intermittent Connection",ISNUMBER(SEARCH("damaged packaging",C11)),"Packaging Problem",ISNUMBER(SEARCH("packaging",C11)),"Packaging Problem",ISNUMBER(SEARCH("discoloration",C11)),"Contamination",ISNUMBER(SEARCH("tarnish",C11)),"Contamination",ISNUMBER(SEARCH("stain",C11)),"Contamination",ISNUMBER(SEARCH("foreign material",C11)),"Contamination",ISNUMBER(SEARCH("contamina",C11)),"Contamination",ISNUMBER(SEARCH("overheat",C11)),"Overheating of Device",ISNUMBER(SEARCH("excessive heat",C11)),"Overheating of Device",ISNUMBER(SEARCH("hot",C11)),"Overheating of Device",ISNUMBER(SEARCH("noise",C11)),"Noise, Audible",ISNUMBER(SEARCH("sound",C11)),"Noise, Audible",ISNUMBER(SEARCH("loud",C11)),"Noise, Audible",ISNUMBER(SEARCH("fray",C11)),"Material Frayed",ISNUMBER(SEARCH("hole",C11)),"Material Frayed",ISNUMBER(SEARCH("tear",C11)),"Material Frayed",ISNUMBER(SEARCH("worn",C11)),"Material Frayed",ISNUMBER(SEARCH("intermittent",C11)),"Difficult or Delayed Activation",ISNUMBER(SEARCH("delay",C11)),"Difficult or Delayed Activation",ISNUMBER(SEARCH("label",C11)),"Device Markings/Labelling Problem",ISNUMBER(SEARCH("marking",C11)),"Device Markings/Labelling Problem",ISNUMBER(SEARCH("lacerat",C11)),"Defective Device",ISNUMBER(SEARCH("cut",C11)),"Defective Device",ISNUMBER(SEARCH("leak",C11)),"Fluid/Blood Leak",ISNUMBER(SEARCH("missing",C11)),"Component Missing",ISNUMBER(SEARCH("power",C11)),"Complete Loss of Power",ISNUMBER(SEARCH("will not turn on",C11)),"Complete Loss of Power",ISNUMBER(SEARCH("won't turn on",C11)),"Complete Loss of Power",ISNUMBER(SEARCH("does not turn on",C11)),"Complete Loss of Power",ISNUMBER(SEARCH("electrical",C11)),"Electrical Power Problem",ISNUMBER(SEARCH("pressure",C11)),"Detachment of Device or Device Component",ISNUMBER(SEARCH("slip",C11)),"Detachment of Device or Device Component",ISNUMBER(SEARCH("detach",C11)),"Detachment of Device or Device Component",ISNUMBER(SEARCH("stick",C11)),"Mechanical Jam",ISNUMBER(SEARCH("jam",C11)),"Mechanical Jam",ISNUMBER(SEARCH("rigid",C11)),"Mechanical Jam",ISNUMBER(SEARCH("rust",C11)),"Corroded",ISNUMBER(SEARCH("corrod",C11)),"Corroded",ISNUMBER(SEARCH("corrosion",C11)),"Corroded",ISNUMBER(SEARCH("alignment",C11)),"Defective Device",ISNUMBER(SEARCH("adjust",C11)),"Defective Device",ISNUMBER(SEARCH("perform",C11)),"Defective Device",ISNUMBER(SEARCH("malfunction",C11)),"Defective Device",ISNUMBER(SEARCH("defect",C11)),"Defective Device",ISNUMBER(SEARCH("fail",C11)),"Defective Device",ISNUMBER(SEARCH("not work",C11)),"Defective Device",ISNUMBER(SEARCH("doesn't work",C11)),"Defective Device",TRUE,"UNKNOWN"),"UNKNOWN")))</f>
        <v>UNKNOWN - colorph</v>
      </c>
      <c r="F11" s="85" t="str">
        <f t="shared" si="0"/>
        <v>No Clinical Signs, Symptoms or Conditions</v>
      </c>
      <c r="G11" s="363" t="str">
        <f>IF(E11="","",IFERROR(VLOOKUP(E11,Codes!$L$2:$N$409,3,FALSE),"—"))</f>
        <v>—</v>
      </c>
      <c r="H11" s="367"/>
      <c r="I11" s="367"/>
    </row>
    <row r="12" spans="1:9" ht="51.95" customHeight="1" x14ac:dyDescent="0.35">
      <c r="A12" s="434" t="s">
        <v>1699</v>
      </c>
      <c r="B12" s="436">
        <v>45093</v>
      </c>
      <c r="C12" s="444" t="s">
        <v>1719</v>
      </c>
      <c r="D12" s="442" t="s">
        <v>1728</v>
      </c>
      <c r="E12" s="93" t="str" cm="1">
        <f t="array" ref="E12">IF(D12&lt;&gt;"",IFERROR(VLOOKUP(D12,Codes!$K$2:$L$409,2,FALSE),"UNKNOWN - "&amp;D12),IF(C12="","",IFERROR(_xlfn.IFS(ISNUMBER(SEARCH("broken button",C12)),"Break",ISNUMBER(SEARCH("broken handle",C12)),"Break",ISNUMBER(SEARCH("shipping damage",C12)),"Break",ISNUMBER(SEARCH("broken",C12)),"Break",ISNUMBER(SEARCH("crack",C12)),"Break",ISNUMBER(SEARCH("snap",C12)),"Break",ISNUMBER(SEARCH("fracture",C12)),"Break",ISNUMBER(SEARCH("bent",C12)),"Material Twisted/Bent",ISNUMBER(SEARCH("twisted",C12)),"Material Twisted/Bent",ISNUMBER(SEARCH("component separat",C12)),"Material Separation",ISNUMBER(SEARCH("separat",C12)),"Material Separation",ISNUMBER(SEARCH("connection",C12)),"Loose or Intermittent Connection",ISNUMBER(SEARCH("loose",C12)),"Loose or Intermittent Connection",ISNUMBER(SEARCH("damaged packaging",C12)),"Packaging Problem",ISNUMBER(SEARCH("packaging",C12)),"Packaging Problem",ISNUMBER(SEARCH("discoloration",C12)),"Contamination",ISNUMBER(SEARCH("tarnish",C12)),"Contamination",ISNUMBER(SEARCH("stain",C12)),"Contamination",ISNUMBER(SEARCH("foreign material",C12)),"Contamination",ISNUMBER(SEARCH("contamina",C12)),"Contamination",ISNUMBER(SEARCH("overheat",C12)),"Overheating of Device",ISNUMBER(SEARCH("excessive heat",C12)),"Overheating of Device",ISNUMBER(SEARCH("hot",C12)),"Overheating of Device",ISNUMBER(SEARCH("noise",C12)),"Noise, Audible",ISNUMBER(SEARCH("sound",C12)),"Noise, Audible",ISNUMBER(SEARCH("loud",C12)),"Noise, Audible",ISNUMBER(SEARCH("fray",C12)),"Material Frayed",ISNUMBER(SEARCH("hole",C12)),"Material Frayed",ISNUMBER(SEARCH("tear",C12)),"Material Frayed",ISNUMBER(SEARCH("worn",C12)),"Material Frayed",ISNUMBER(SEARCH("intermittent",C12)),"Difficult or Delayed Activation",ISNUMBER(SEARCH("delay",C12)),"Difficult or Delayed Activation",ISNUMBER(SEARCH("label",C12)),"Device Markings/Labelling Problem",ISNUMBER(SEARCH("marking",C12)),"Device Markings/Labelling Problem",ISNUMBER(SEARCH("lacerat",C12)),"Defective Device",ISNUMBER(SEARCH("cut",C12)),"Defective Device",ISNUMBER(SEARCH("leak",C12)),"Fluid/Blood Leak",ISNUMBER(SEARCH("missing",C12)),"Component Missing",ISNUMBER(SEARCH("power",C12)),"Complete Loss of Power",ISNUMBER(SEARCH("will not turn on",C12)),"Complete Loss of Power",ISNUMBER(SEARCH("won't turn on",C12)),"Complete Loss of Power",ISNUMBER(SEARCH("does not turn on",C12)),"Complete Loss of Power",ISNUMBER(SEARCH("electrical",C12)),"Electrical Power Problem",ISNUMBER(SEARCH("pressure",C12)),"Detachment of Device or Device Component",ISNUMBER(SEARCH("slip",C12)),"Detachment of Device or Device Component",ISNUMBER(SEARCH("detach",C12)),"Detachment of Device or Device Component",ISNUMBER(SEARCH("stick",C12)),"Mechanical Jam",ISNUMBER(SEARCH("jam",C12)),"Mechanical Jam",ISNUMBER(SEARCH("rigid",C12)),"Mechanical Jam",ISNUMBER(SEARCH("rust",C12)),"Corroded",ISNUMBER(SEARCH("corrod",C12)),"Corroded",ISNUMBER(SEARCH("corrosion",C12)),"Corroded",ISNUMBER(SEARCH("alignment",C12)),"Defective Device",ISNUMBER(SEARCH("adjust",C12)),"Defective Device",ISNUMBER(SEARCH("perform",C12)),"Defective Device",ISNUMBER(SEARCH("malfunction",C12)),"Defective Device",ISNUMBER(SEARCH("defect",C12)),"Defective Device",ISNUMBER(SEARCH("fail",C12)),"Defective Device",ISNUMBER(SEARCH("not work",C12)),"Defective Device",ISNUMBER(SEARCH("doesn't work",C12)),"Defective Device",TRUE,"UNKNOWN"),"UNKNOWN")))</f>
        <v>UNKNOWN - colorph</v>
      </c>
      <c r="F12" s="86" t="str">
        <f t="shared" si="0"/>
        <v>No Clinical Signs, Symptoms or Conditions</v>
      </c>
      <c r="G12" s="363" t="str">
        <f>IF(E12="","",IFERROR(VLOOKUP(E12,Codes!$L$2:$N$409,3,FALSE),"—"))</f>
        <v>—</v>
      </c>
      <c r="H12" s="366"/>
      <c r="I12" s="366"/>
    </row>
    <row r="13" spans="1:9" ht="51.95" customHeight="1" x14ac:dyDescent="0.35">
      <c r="A13" s="435" t="s">
        <v>1700</v>
      </c>
      <c r="B13" s="504">
        <v>45265</v>
      </c>
      <c r="C13" s="445" t="s">
        <v>1720</v>
      </c>
      <c r="D13" s="441" t="s">
        <v>12</v>
      </c>
      <c r="E13" s="93" t="str" cm="1">
        <f t="array" ref="E13">IF(D13&lt;&gt;"",IFERROR(VLOOKUP(D13,Codes!$K$2:$L$409,2,FALSE),"UNKNOWN - "&amp;D13),IF(C13="","",IFERROR(_xlfn.IFS(ISNUMBER(SEARCH("broken button",C13)),"Break",ISNUMBER(SEARCH("broken handle",C13)),"Break",ISNUMBER(SEARCH("shipping damage",C13)),"Break",ISNUMBER(SEARCH("broken",C13)),"Break",ISNUMBER(SEARCH("crack",C13)),"Break",ISNUMBER(SEARCH("snap",C13)),"Break",ISNUMBER(SEARCH("fracture",C13)),"Break",ISNUMBER(SEARCH("bent",C13)),"Material Twisted/Bent",ISNUMBER(SEARCH("twisted",C13)),"Material Twisted/Bent",ISNUMBER(SEARCH("component separat",C13)),"Material Separation",ISNUMBER(SEARCH("separat",C13)),"Material Separation",ISNUMBER(SEARCH("connection",C13)),"Loose or Intermittent Connection",ISNUMBER(SEARCH("loose",C13)),"Loose or Intermittent Connection",ISNUMBER(SEARCH("damaged packaging",C13)),"Packaging Problem",ISNUMBER(SEARCH("packaging",C13)),"Packaging Problem",ISNUMBER(SEARCH("discoloration",C13)),"Contamination",ISNUMBER(SEARCH("tarnish",C13)),"Contamination",ISNUMBER(SEARCH("stain",C13)),"Contamination",ISNUMBER(SEARCH("foreign material",C13)),"Contamination",ISNUMBER(SEARCH("contamina",C13)),"Contamination",ISNUMBER(SEARCH("overheat",C13)),"Overheating of Device",ISNUMBER(SEARCH("excessive heat",C13)),"Overheating of Device",ISNUMBER(SEARCH("hot",C13)),"Overheating of Device",ISNUMBER(SEARCH("noise",C13)),"Noise, Audible",ISNUMBER(SEARCH("sound",C13)),"Noise, Audible",ISNUMBER(SEARCH("loud",C13)),"Noise, Audible",ISNUMBER(SEARCH("fray",C13)),"Material Frayed",ISNUMBER(SEARCH("hole",C13)),"Material Frayed",ISNUMBER(SEARCH("tear",C13)),"Material Frayed",ISNUMBER(SEARCH("worn",C13)),"Material Frayed",ISNUMBER(SEARCH("intermittent",C13)),"Difficult or Delayed Activation",ISNUMBER(SEARCH("delay",C13)),"Difficult or Delayed Activation",ISNUMBER(SEARCH("label",C13)),"Device Markings/Labelling Problem",ISNUMBER(SEARCH("marking",C13)),"Device Markings/Labelling Problem",ISNUMBER(SEARCH("lacerat",C13)),"Defective Device",ISNUMBER(SEARCH("cut",C13)),"Defective Device",ISNUMBER(SEARCH("leak",C13)),"Fluid/Blood Leak",ISNUMBER(SEARCH("missing",C13)),"Component Missing",ISNUMBER(SEARCH("power",C13)),"Complete Loss of Power",ISNUMBER(SEARCH("will not turn on",C13)),"Complete Loss of Power",ISNUMBER(SEARCH("won't turn on",C13)),"Complete Loss of Power",ISNUMBER(SEARCH("does not turn on",C13)),"Complete Loss of Power",ISNUMBER(SEARCH("electrical",C13)),"Electrical Power Problem",ISNUMBER(SEARCH("pressure",C13)),"Detachment of Device or Device Component",ISNUMBER(SEARCH("slip",C13)),"Detachment of Device or Device Component",ISNUMBER(SEARCH("detach",C13)),"Detachment of Device or Device Component",ISNUMBER(SEARCH("stick",C13)),"Mechanical Jam",ISNUMBER(SEARCH("jam",C13)),"Mechanical Jam",ISNUMBER(SEARCH("rigid",C13)),"Mechanical Jam",ISNUMBER(SEARCH("rust",C13)),"Corroded",ISNUMBER(SEARCH("corrod",C13)),"Corroded",ISNUMBER(SEARCH("corrosion",C13)),"Corroded",ISNUMBER(SEARCH("alignment",C13)),"Defective Device",ISNUMBER(SEARCH("adjust",C13)),"Defective Device",ISNUMBER(SEARCH("perform",C13)),"Defective Device",ISNUMBER(SEARCH("malfunction",C13)),"Defective Device",ISNUMBER(SEARCH("defect",C13)),"Defective Device",ISNUMBER(SEARCH("fail",C13)),"Defective Device",ISNUMBER(SEARCH("not work",C13)),"Defective Device",ISNUMBER(SEARCH("doesn't work",C13)),"Defective Device",TRUE,"UNKNOWN"),"UNKNOWN")))</f>
        <v>Defective Device</v>
      </c>
      <c r="F13" s="85" t="str">
        <f t="shared" si="0"/>
        <v>No Clinical Signs, Symptoms or Conditions</v>
      </c>
      <c r="G13" s="363" t="str">
        <f>IF(E13="","",IFERROR(VLOOKUP(E13,Codes!$L$2:$N$409,3,FALSE),"—"))</f>
        <v>A0203</v>
      </c>
      <c r="H13" s="367"/>
      <c r="I13" s="367"/>
    </row>
    <row r="14" spans="1:9" ht="51.95" customHeight="1" x14ac:dyDescent="0.35">
      <c r="A14" s="435" t="s">
        <v>1701</v>
      </c>
      <c r="B14" s="504">
        <v>45265</v>
      </c>
      <c r="C14" s="446" t="s">
        <v>1720</v>
      </c>
      <c r="D14" s="441" t="s">
        <v>12</v>
      </c>
      <c r="E14" s="93" t="str" cm="1">
        <f t="array" ref="E14">IF(D14&lt;&gt;"",IFERROR(VLOOKUP(D14,Codes!$K$2:$L$409,2,FALSE),"UNKNOWN - "&amp;D14),IF(C14="","",IFERROR(_xlfn.IFS(ISNUMBER(SEARCH("broken button",C14)),"Break",ISNUMBER(SEARCH("broken handle",C14)),"Break",ISNUMBER(SEARCH("shipping damage",C14)),"Break",ISNUMBER(SEARCH("broken",C14)),"Break",ISNUMBER(SEARCH("crack",C14)),"Break",ISNUMBER(SEARCH("snap",C14)),"Break",ISNUMBER(SEARCH("fracture",C14)),"Break",ISNUMBER(SEARCH("bent",C14)),"Material Twisted/Bent",ISNUMBER(SEARCH("twisted",C14)),"Material Twisted/Bent",ISNUMBER(SEARCH("component separat",C14)),"Material Separation",ISNUMBER(SEARCH("separat",C14)),"Material Separation",ISNUMBER(SEARCH("connection",C14)),"Loose or Intermittent Connection",ISNUMBER(SEARCH("loose",C14)),"Loose or Intermittent Connection",ISNUMBER(SEARCH("damaged packaging",C14)),"Packaging Problem",ISNUMBER(SEARCH("packaging",C14)),"Packaging Problem",ISNUMBER(SEARCH("discoloration",C14)),"Contamination",ISNUMBER(SEARCH("tarnish",C14)),"Contamination",ISNUMBER(SEARCH("stain",C14)),"Contamination",ISNUMBER(SEARCH("foreign material",C14)),"Contamination",ISNUMBER(SEARCH("contamina",C14)),"Contamination",ISNUMBER(SEARCH("overheat",C14)),"Overheating of Device",ISNUMBER(SEARCH("excessive heat",C14)),"Overheating of Device",ISNUMBER(SEARCH("hot",C14)),"Overheating of Device",ISNUMBER(SEARCH("noise",C14)),"Noise, Audible",ISNUMBER(SEARCH("sound",C14)),"Noise, Audible",ISNUMBER(SEARCH("loud",C14)),"Noise, Audible",ISNUMBER(SEARCH("fray",C14)),"Material Frayed",ISNUMBER(SEARCH("hole",C14)),"Material Frayed",ISNUMBER(SEARCH("tear",C14)),"Material Frayed",ISNUMBER(SEARCH("worn",C14)),"Material Frayed",ISNUMBER(SEARCH("intermittent",C14)),"Difficult or Delayed Activation",ISNUMBER(SEARCH("delay",C14)),"Difficult or Delayed Activation",ISNUMBER(SEARCH("label",C14)),"Device Markings/Labelling Problem",ISNUMBER(SEARCH("marking",C14)),"Device Markings/Labelling Problem",ISNUMBER(SEARCH("lacerat",C14)),"Defective Device",ISNUMBER(SEARCH("cut",C14)),"Defective Device",ISNUMBER(SEARCH("leak",C14)),"Fluid/Blood Leak",ISNUMBER(SEARCH("missing",C14)),"Component Missing",ISNUMBER(SEARCH("power",C14)),"Complete Loss of Power",ISNUMBER(SEARCH("will not turn on",C14)),"Complete Loss of Power",ISNUMBER(SEARCH("won't turn on",C14)),"Complete Loss of Power",ISNUMBER(SEARCH("does not turn on",C14)),"Complete Loss of Power",ISNUMBER(SEARCH("electrical",C14)),"Electrical Power Problem",ISNUMBER(SEARCH("pressure",C14)),"Detachment of Device or Device Component",ISNUMBER(SEARCH("slip",C14)),"Detachment of Device or Device Component",ISNUMBER(SEARCH("detach",C14)),"Detachment of Device or Device Component",ISNUMBER(SEARCH("stick",C14)),"Mechanical Jam",ISNUMBER(SEARCH("jam",C14)),"Mechanical Jam",ISNUMBER(SEARCH("rigid",C14)),"Mechanical Jam",ISNUMBER(SEARCH("rust",C14)),"Corroded",ISNUMBER(SEARCH("corrod",C14)),"Corroded",ISNUMBER(SEARCH("corrosion",C14)),"Corroded",ISNUMBER(SEARCH("alignment",C14)),"Defective Device",ISNUMBER(SEARCH("adjust",C14)),"Defective Device",ISNUMBER(SEARCH("perform",C14)),"Defective Device",ISNUMBER(SEARCH("malfunction",C14)),"Defective Device",ISNUMBER(SEARCH("defect",C14)),"Defective Device",ISNUMBER(SEARCH("fail",C14)),"Defective Device",ISNUMBER(SEARCH("not work",C14)),"Defective Device",ISNUMBER(SEARCH("doesn't work",C14)),"Defective Device",TRUE,"UNKNOWN"),"UNKNOWN")))</f>
        <v>Defective Device</v>
      </c>
      <c r="F14" s="86" t="str">
        <f t="shared" si="0"/>
        <v>No Clinical Signs, Symptoms or Conditions</v>
      </c>
      <c r="G14" s="363" t="str">
        <f>IF(E14="","",IFERROR(VLOOKUP(E14,Codes!$L$2:$N$409,3,FALSE),"—"))</f>
        <v>A0203</v>
      </c>
      <c r="H14" s="366"/>
      <c r="I14" s="366"/>
    </row>
    <row r="15" spans="1:9" ht="51.95" customHeight="1" x14ac:dyDescent="0.35">
      <c r="A15" s="434" t="s">
        <v>1702</v>
      </c>
      <c r="B15" s="436">
        <v>45329</v>
      </c>
      <c r="C15" s="444" t="s">
        <v>1721</v>
      </c>
      <c r="D15" s="442" t="s">
        <v>1729</v>
      </c>
      <c r="E15" s="93" t="str" cm="1">
        <f t="array" ref="E15">IF(D15&lt;&gt;"",IFERROR(VLOOKUP(D15,Codes!$K$2:$L$409,2,FALSE),"UNKNOWN - "&amp;D15),IF(C15="","",IFERROR(_xlfn.IFS(ISNUMBER(SEARCH("broken button",C15)),"Break",ISNUMBER(SEARCH("broken handle",C15)),"Break",ISNUMBER(SEARCH("shipping damage",C15)),"Break",ISNUMBER(SEARCH("broken",C15)),"Break",ISNUMBER(SEARCH("crack",C15)),"Break",ISNUMBER(SEARCH("snap",C15)),"Break",ISNUMBER(SEARCH("fracture",C15)),"Break",ISNUMBER(SEARCH("bent",C15)),"Material Twisted/Bent",ISNUMBER(SEARCH("twisted",C15)),"Material Twisted/Bent",ISNUMBER(SEARCH("component separat",C15)),"Material Separation",ISNUMBER(SEARCH("separat",C15)),"Material Separation",ISNUMBER(SEARCH("connection",C15)),"Loose or Intermittent Connection",ISNUMBER(SEARCH("loose",C15)),"Loose or Intermittent Connection",ISNUMBER(SEARCH("damaged packaging",C15)),"Packaging Problem",ISNUMBER(SEARCH("packaging",C15)),"Packaging Problem",ISNUMBER(SEARCH("discoloration",C15)),"Contamination",ISNUMBER(SEARCH("tarnish",C15)),"Contamination",ISNUMBER(SEARCH("stain",C15)),"Contamination",ISNUMBER(SEARCH("foreign material",C15)),"Contamination",ISNUMBER(SEARCH("contamina",C15)),"Contamination",ISNUMBER(SEARCH("overheat",C15)),"Overheating of Device",ISNUMBER(SEARCH("excessive heat",C15)),"Overheating of Device",ISNUMBER(SEARCH("hot",C15)),"Overheating of Device",ISNUMBER(SEARCH("noise",C15)),"Noise, Audible",ISNUMBER(SEARCH("sound",C15)),"Noise, Audible",ISNUMBER(SEARCH("loud",C15)),"Noise, Audible",ISNUMBER(SEARCH("fray",C15)),"Material Frayed",ISNUMBER(SEARCH("hole",C15)),"Material Frayed",ISNUMBER(SEARCH("tear",C15)),"Material Frayed",ISNUMBER(SEARCH("worn",C15)),"Material Frayed",ISNUMBER(SEARCH("intermittent",C15)),"Difficult or Delayed Activation",ISNUMBER(SEARCH("delay",C15)),"Difficult or Delayed Activation",ISNUMBER(SEARCH("label",C15)),"Device Markings/Labelling Problem",ISNUMBER(SEARCH("marking",C15)),"Device Markings/Labelling Problem",ISNUMBER(SEARCH("lacerat",C15)),"Defective Device",ISNUMBER(SEARCH("cut",C15)),"Defective Device",ISNUMBER(SEARCH("leak",C15)),"Fluid/Blood Leak",ISNUMBER(SEARCH("missing",C15)),"Component Missing",ISNUMBER(SEARCH("power",C15)),"Complete Loss of Power",ISNUMBER(SEARCH("will not turn on",C15)),"Complete Loss of Power",ISNUMBER(SEARCH("won't turn on",C15)),"Complete Loss of Power",ISNUMBER(SEARCH("does not turn on",C15)),"Complete Loss of Power",ISNUMBER(SEARCH("electrical",C15)),"Electrical Power Problem",ISNUMBER(SEARCH("pressure",C15)),"Detachment of Device or Device Component",ISNUMBER(SEARCH("slip",C15)),"Detachment of Device or Device Component",ISNUMBER(SEARCH("detach",C15)),"Detachment of Device or Device Component",ISNUMBER(SEARCH("stick",C15)),"Mechanical Jam",ISNUMBER(SEARCH("jam",C15)),"Mechanical Jam",ISNUMBER(SEARCH("rigid",C15)),"Mechanical Jam",ISNUMBER(SEARCH("rust",C15)),"Corroded",ISNUMBER(SEARCH("corrod",C15)),"Corroded",ISNUMBER(SEARCH("corrosion",C15)),"Corroded",ISNUMBER(SEARCH("alignment",C15)),"Defective Device",ISNUMBER(SEARCH("adjust",C15)),"Defective Device",ISNUMBER(SEARCH("perform",C15)),"Defective Device",ISNUMBER(SEARCH("malfunction",C15)),"Defective Device",ISNUMBER(SEARCH("defect",C15)),"Defective Device",ISNUMBER(SEARCH("fail",C15)),"Defective Device",ISNUMBER(SEARCH("not work",C15)),"Defective Device",ISNUMBER(SEARCH("doesn't work",C15)),"Defective Device",TRUE,"UNKNOWN"),"UNKNOWN")))</f>
        <v>UNKNOWN - bottleslids</v>
      </c>
      <c r="F15" s="87" t="str">
        <f t="shared" si="0"/>
        <v>No Clinical Signs, Symptoms or Conditions</v>
      </c>
      <c r="G15" s="363" t="str">
        <f>IF(E15="","",IFERROR(VLOOKUP(E15,Codes!$L$2:$N$409,3,FALSE),"—"))</f>
        <v>—</v>
      </c>
      <c r="H15" s="367"/>
      <c r="I15" s="367"/>
    </row>
    <row r="16" spans="1:9" ht="13.15" x14ac:dyDescent="0.35">
      <c r="A16" s="434" t="s">
        <v>1703</v>
      </c>
      <c r="B16" s="436">
        <v>45482</v>
      </c>
      <c r="C16" s="444" t="s">
        <v>1722</v>
      </c>
      <c r="D16" s="442" t="s">
        <v>17</v>
      </c>
      <c r="E16" s="93" t="str" cm="1">
        <f t="array" ref="E16">IF(D16&lt;&gt;"",IFERROR(VLOOKUP(D16,Codes!$K$2:$L$409,2,FALSE),"UNKNOWN - "&amp;D16),IF(C16="","",IFERROR(_xlfn.IFS(ISNUMBER(SEARCH("broken button",C16)),"Break",ISNUMBER(SEARCH("broken handle",C16)),"Break",ISNUMBER(SEARCH("shipping damage",C16)),"Break",ISNUMBER(SEARCH("broken",C16)),"Break",ISNUMBER(SEARCH("crack",C16)),"Break",ISNUMBER(SEARCH("snap",C16)),"Break",ISNUMBER(SEARCH("fracture",C16)),"Break",ISNUMBER(SEARCH("bent",C16)),"Material Twisted/Bent",ISNUMBER(SEARCH("twisted",C16)),"Material Twisted/Bent",ISNUMBER(SEARCH("component separat",C16)),"Material Separation",ISNUMBER(SEARCH("separat",C16)),"Material Separation",ISNUMBER(SEARCH("connection",C16)),"Loose or Intermittent Connection",ISNUMBER(SEARCH("loose",C16)),"Loose or Intermittent Connection",ISNUMBER(SEARCH("damaged packaging",C16)),"Packaging Problem",ISNUMBER(SEARCH("packaging",C16)),"Packaging Problem",ISNUMBER(SEARCH("discoloration",C16)),"Contamination",ISNUMBER(SEARCH("tarnish",C16)),"Contamination",ISNUMBER(SEARCH("stain",C16)),"Contamination",ISNUMBER(SEARCH("foreign material",C16)),"Contamination",ISNUMBER(SEARCH("contamina",C16)),"Contamination",ISNUMBER(SEARCH("overheat",C16)),"Overheating of Device",ISNUMBER(SEARCH("excessive heat",C16)),"Overheating of Device",ISNUMBER(SEARCH("hot",C16)),"Overheating of Device",ISNUMBER(SEARCH("noise",C16)),"Noise, Audible",ISNUMBER(SEARCH("sound",C16)),"Noise, Audible",ISNUMBER(SEARCH("loud",C16)),"Noise, Audible",ISNUMBER(SEARCH("fray",C16)),"Material Frayed",ISNUMBER(SEARCH("hole",C16)),"Material Frayed",ISNUMBER(SEARCH("tear",C16)),"Material Frayed",ISNUMBER(SEARCH("worn",C16)),"Material Frayed",ISNUMBER(SEARCH("intermittent",C16)),"Difficult or Delayed Activation",ISNUMBER(SEARCH("delay",C16)),"Difficult or Delayed Activation",ISNUMBER(SEARCH("label",C16)),"Device Markings/Labelling Problem",ISNUMBER(SEARCH("marking",C16)),"Device Markings/Labelling Problem",ISNUMBER(SEARCH("lacerat",C16)),"Defective Device",ISNUMBER(SEARCH("cut",C16)),"Defective Device",ISNUMBER(SEARCH("leak",C16)),"Fluid/Blood Leak",ISNUMBER(SEARCH("missing",C16)),"Component Missing",ISNUMBER(SEARCH("power",C16)),"Complete Loss of Power",ISNUMBER(SEARCH("will not turn on",C16)),"Complete Loss of Power",ISNUMBER(SEARCH("won't turn on",C16)),"Complete Loss of Power",ISNUMBER(SEARCH("does not turn on",C16)),"Complete Loss of Power",ISNUMBER(SEARCH("electrical",C16)),"Electrical Power Problem",ISNUMBER(SEARCH("pressure",C16)),"Detachment of Device or Device Component",ISNUMBER(SEARCH("slip",C16)),"Detachment of Device or Device Component",ISNUMBER(SEARCH("detach",C16)),"Detachment of Device or Device Component",ISNUMBER(SEARCH("stick",C16)),"Mechanical Jam",ISNUMBER(SEARCH("jam",C16)),"Mechanical Jam",ISNUMBER(SEARCH("rigid",C16)),"Mechanical Jam",ISNUMBER(SEARCH("rust",C16)),"Corroded",ISNUMBER(SEARCH("corrod",C16)),"Corroded",ISNUMBER(SEARCH("corrosion",C16)),"Corroded",ISNUMBER(SEARCH("alignment",C16)),"Defective Device",ISNUMBER(SEARCH("adjust",C16)),"Defective Device",ISNUMBER(SEARCH("perform",C16)),"Defective Device",ISNUMBER(SEARCH("malfunction",C16)),"Defective Device",ISNUMBER(SEARCH("defect",C16)),"Defective Device",ISNUMBER(SEARCH("fail",C16)),"Defective Device",ISNUMBER(SEARCH("not work",C16)),"Defective Device",ISNUMBER(SEARCH("doesn't work",C16)),"Defective Device",TRUE,"UNKNOWN"),"UNKNOWN")))</f>
        <v>Break</v>
      </c>
      <c r="F16" s="4" t="str">
        <f t="shared" si="0"/>
        <v>No Clinical Signs, Symptoms or Conditions</v>
      </c>
      <c r="G16" s="363" t="str">
        <f>IF(E16="","",IFERROR(VLOOKUP(E16,Codes!$L$2:$N$409,3,FALSE),"—"))</f>
        <v>A0401</v>
      </c>
      <c r="H16" s="88"/>
      <c r="I16" s="88"/>
    </row>
    <row r="17" spans="1:9" ht="13.15" x14ac:dyDescent="0.35">
      <c r="A17" s="435" t="s">
        <v>1704</v>
      </c>
      <c r="B17" s="504">
        <v>45554</v>
      </c>
      <c r="C17" s="445" t="s">
        <v>1723</v>
      </c>
      <c r="D17" s="441" t="s">
        <v>17</v>
      </c>
      <c r="E17" s="93" t="str" cm="1">
        <f t="array" ref="E17">IF(D17&lt;&gt;"",IFERROR(VLOOKUP(D17,Codes!$K$2:$L$409,2,FALSE),"UNKNOWN - "&amp;D17),IF(C17="","",IFERROR(_xlfn.IFS(ISNUMBER(SEARCH("broken button",C17)),"Break",ISNUMBER(SEARCH("broken handle",C17)),"Break",ISNUMBER(SEARCH("shipping damage",C17)),"Break",ISNUMBER(SEARCH("broken",C17)),"Break",ISNUMBER(SEARCH("crack",C17)),"Break",ISNUMBER(SEARCH("snap",C17)),"Break",ISNUMBER(SEARCH("fracture",C17)),"Break",ISNUMBER(SEARCH("bent",C17)),"Material Twisted/Bent",ISNUMBER(SEARCH("twisted",C17)),"Material Twisted/Bent",ISNUMBER(SEARCH("component separat",C17)),"Material Separation",ISNUMBER(SEARCH("separat",C17)),"Material Separation",ISNUMBER(SEARCH("connection",C17)),"Loose or Intermittent Connection",ISNUMBER(SEARCH("loose",C17)),"Loose or Intermittent Connection",ISNUMBER(SEARCH("damaged packaging",C17)),"Packaging Problem",ISNUMBER(SEARCH("packaging",C17)),"Packaging Problem",ISNUMBER(SEARCH("discoloration",C17)),"Contamination",ISNUMBER(SEARCH("tarnish",C17)),"Contamination",ISNUMBER(SEARCH("stain",C17)),"Contamination",ISNUMBER(SEARCH("foreign material",C17)),"Contamination",ISNUMBER(SEARCH("contamina",C17)),"Contamination",ISNUMBER(SEARCH("overheat",C17)),"Overheating of Device",ISNUMBER(SEARCH("excessive heat",C17)),"Overheating of Device",ISNUMBER(SEARCH("hot",C17)),"Overheating of Device",ISNUMBER(SEARCH("noise",C17)),"Noise, Audible",ISNUMBER(SEARCH("sound",C17)),"Noise, Audible",ISNUMBER(SEARCH("loud",C17)),"Noise, Audible",ISNUMBER(SEARCH("fray",C17)),"Material Frayed",ISNUMBER(SEARCH("hole",C17)),"Material Frayed",ISNUMBER(SEARCH("tear",C17)),"Material Frayed",ISNUMBER(SEARCH("worn",C17)),"Material Frayed",ISNUMBER(SEARCH("intermittent",C17)),"Difficult or Delayed Activation",ISNUMBER(SEARCH("delay",C17)),"Difficult or Delayed Activation",ISNUMBER(SEARCH("label",C17)),"Device Markings/Labelling Problem",ISNUMBER(SEARCH("marking",C17)),"Device Markings/Labelling Problem",ISNUMBER(SEARCH("lacerat",C17)),"Defective Device",ISNUMBER(SEARCH("cut",C17)),"Defective Device",ISNUMBER(SEARCH("leak",C17)),"Fluid/Blood Leak",ISNUMBER(SEARCH("missing",C17)),"Component Missing",ISNUMBER(SEARCH("power",C17)),"Complete Loss of Power",ISNUMBER(SEARCH("will not turn on",C17)),"Complete Loss of Power",ISNUMBER(SEARCH("won't turn on",C17)),"Complete Loss of Power",ISNUMBER(SEARCH("does not turn on",C17)),"Complete Loss of Power",ISNUMBER(SEARCH("electrical",C17)),"Electrical Power Problem",ISNUMBER(SEARCH("pressure",C17)),"Detachment of Device or Device Component",ISNUMBER(SEARCH("slip",C17)),"Detachment of Device or Device Component",ISNUMBER(SEARCH("detach",C17)),"Detachment of Device or Device Component",ISNUMBER(SEARCH("stick",C17)),"Mechanical Jam",ISNUMBER(SEARCH("jam",C17)),"Mechanical Jam",ISNUMBER(SEARCH("rigid",C17)),"Mechanical Jam",ISNUMBER(SEARCH("rust",C17)),"Corroded",ISNUMBER(SEARCH("corrod",C17)),"Corroded",ISNUMBER(SEARCH("corrosion",C17)),"Corroded",ISNUMBER(SEARCH("alignment",C17)),"Defective Device",ISNUMBER(SEARCH("adjust",C17)),"Defective Device",ISNUMBER(SEARCH("perform",C17)),"Defective Device",ISNUMBER(SEARCH("malfunction",C17)),"Defective Device",ISNUMBER(SEARCH("defect",C17)),"Defective Device",ISNUMBER(SEARCH("fail",C17)),"Defective Device",ISNUMBER(SEARCH("not work",C17)),"Defective Device",ISNUMBER(SEARCH("doesn't work",C17)),"Defective Device",TRUE,"UNKNOWN"),"UNKNOWN")))</f>
        <v>Break</v>
      </c>
      <c r="F17" s="4" t="str">
        <f t="shared" si="0"/>
        <v>No Clinical Signs, Symptoms or Conditions</v>
      </c>
      <c r="G17" s="363" t="str">
        <f>IF(E17="","",IFERROR(VLOOKUP(E17,Codes!$L$2:$N$409,3,FALSE),"—"))</f>
        <v>A0401</v>
      </c>
      <c r="H17" s="88"/>
      <c r="I17" s="88"/>
    </row>
    <row r="18" spans="1:9" ht="13.15" x14ac:dyDescent="0.35">
      <c r="A18" s="434" t="s">
        <v>1705</v>
      </c>
      <c r="B18" s="436">
        <v>45846</v>
      </c>
      <c r="C18" s="444" t="s">
        <v>1724</v>
      </c>
      <c r="D18" s="442" t="s">
        <v>1730</v>
      </c>
      <c r="E18" s="93" t="str" cm="1">
        <f t="array" ref="E18">IF(D18&lt;&gt;"",IFERROR(VLOOKUP(D18,Codes!$K$2:$L$409,2,FALSE),"UNKNOWN - "&amp;D18),IF(C18="","",IFERROR(_xlfn.IFS(ISNUMBER(SEARCH("broken button",C18)),"Break",ISNUMBER(SEARCH("broken handle",C18)),"Break",ISNUMBER(SEARCH("shipping damage",C18)),"Break",ISNUMBER(SEARCH("broken",C18)),"Break",ISNUMBER(SEARCH("crack",C18)),"Break",ISNUMBER(SEARCH("snap",C18)),"Break",ISNUMBER(SEARCH("fracture",C18)),"Break",ISNUMBER(SEARCH("bent",C18)),"Material Twisted/Bent",ISNUMBER(SEARCH("twisted",C18)),"Material Twisted/Bent",ISNUMBER(SEARCH("component separat",C18)),"Material Separation",ISNUMBER(SEARCH("separat",C18)),"Material Separation",ISNUMBER(SEARCH("connection",C18)),"Loose or Intermittent Connection",ISNUMBER(SEARCH("loose",C18)),"Loose or Intermittent Connection",ISNUMBER(SEARCH("damaged packaging",C18)),"Packaging Problem",ISNUMBER(SEARCH("packaging",C18)),"Packaging Problem",ISNUMBER(SEARCH("discoloration",C18)),"Contamination",ISNUMBER(SEARCH("tarnish",C18)),"Contamination",ISNUMBER(SEARCH("stain",C18)),"Contamination",ISNUMBER(SEARCH("foreign material",C18)),"Contamination",ISNUMBER(SEARCH("contamina",C18)),"Contamination",ISNUMBER(SEARCH("overheat",C18)),"Overheating of Device",ISNUMBER(SEARCH("excessive heat",C18)),"Overheating of Device",ISNUMBER(SEARCH("hot",C18)),"Overheating of Device",ISNUMBER(SEARCH("noise",C18)),"Noise, Audible",ISNUMBER(SEARCH("sound",C18)),"Noise, Audible",ISNUMBER(SEARCH("loud",C18)),"Noise, Audible",ISNUMBER(SEARCH("fray",C18)),"Material Frayed",ISNUMBER(SEARCH("hole",C18)),"Material Frayed",ISNUMBER(SEARCH("tear",C18)),"Material Frayed",ISNUMBER(SEARCH("worn",C18)),"Material Frayed",ISNUMBER(SEARCH("intermittent",C18)),"Difficult or Delayed Activation",ISNUMBER(SEARCH("delay",C18)),"Difficult or Delayed Activation",ISNUMBER(SEARCH("label",C18)),"Device Markings/Labelling Problem",ISNUMBER(SEARCH("marking",C18)),"Device Markings/Labelling Problem",ISNUMBER(SEARCH("lacerat",C18)),"Defective Device",ISNUMBER(SEARCH("cut",C18)),"Defective Device",ISNUMBER(SEARCH("leak",C18)),"Fluid/Blood Leak",ISNUMBER(SEARCH("missing",C18)),"Component Missing",ISNUMBER(SEARCH("power",C18)),"Complete Loss of Power",ISNUMBER(SEARCH("will not turn on",C18)),"Complete Loss of Power",ISNUMBER(SEARCH("won't turn on",C18)),"Complete Loss of Power",ISNUMBER(SEARCH("does not turn on",C18)),"Complete Loss of Power",ISNUMBER(SEARCH("electrical",C18)),"Electrical Power Problem",ISNUMBER(SEARCH("pressure",C18)),"Detachment of Device or Device Component",ISNUMBER(SEARCH("slip",C18)),"Detachment of Device or Device Component",ISNUMBER(SEARCH("detach",C18)),"Detachment of Device or Device Component",ISNUMBER(SEARCH("stick",C18)),"Mechanical Jam",ISNUMBER(SEARCH("jam",C18)),"Mechanical Jam",ISNUMBER(SEARCH("rigid",C18)),"Mechanical Jam",ISNUMBER(SEARCH("rust",C18)),"Corroded",ISNUMBER(SEARCH("corrod",C18)),"Corroded",ISNUMBER(SEARCH("corrosion",C18)),"Corroded",ISNUMBER(SEARCH("alignment",C18)),"Defective Device",ISNUMBER(SEARCH("adjust",C18)),"Defective Device",ISNUMBER(SEARCH("perform",C18)),"Defective Device",ISNUMBER(SEARCH("malfunction",C18)),"Defective Device",ISNUMBER(SEARCH("defect",C18)),"Defective Device",ISNUMBER(SEARCH("fail",C18)),"Defective Device",ISNUMBER(SEARCH("not work",C18)),"Defective Device",ISNUMBER(SEARCH("doesn't work",C18)),"Defective Device",TRUE,"UNKNOWN"),"UNKNOWN")))</f>
        <v>UNKNOWN - arrivedwarm</v>
      </c>
      <c r="F18" s="4" t="str">
        <f t="shared" si="0"/>
        <v>No Clinical Signs, Symptoms or Conditions</v>
      </c>
      <c r="G18" s="363" t="str">
        <f>IF(E18="","",IFERROR(VLOOKUP(E18,Codes!$L$2:$N$409,3,FALSE),"—"))</f>
        <v>—</v>
      </c>
      <c r="H18" s="88"/>
      <c r="I18" s="88"/>
    </row>
    <row r="19" spans="1:9" ht="13.15" x14ac:dyDescent="0.35">
      <c r="A19" s="435" t="s">
        <v>1706</v>
      </c>
      <c r="B19" s="504">
        <v>45866</v>
      </c>
      <c r="C19" s="445" t="s">
        <v>1725</v>
      </c>
      <c r="D19" s="441" t="s">
        <v>1730</v>
      </c>
      <c r="E19" s="93" t="str" cm="1">
        <f t="array" ref="E19">IF(D19&lt;&gt;"",IFERROR(VLOOKUP(D19,Codes!$K$2:$L$409,2,FALSE),"UNKNOWN - "&amp;D19),IF(C19="","",IFERROR(_xlfn.IFS(ISNUMBER(SEARCH("broken button",C19)),"Break",ISNUMBER(SEARCH("broken handle",C19)),"Break",ISNUMBER(SEARCH("shipping damage",C19)),"Break",ISNUMBER(SEARCH("broken",C19)),"Break",ISNUMBER(SEARCH("crack",C19)),"Break",ISNUMBER(SEARCH("snap",C19)),"Break",ISNUMBER(SEARCH("fracture",C19)),"Break",ISNUMBER(SEARCH("bent",C19)),"Material Twisted/Bent",ISNUMBER(SEARCH("twisted",C19)),"Material Twisted/Bent",ISNUMBER(SEARCH("component separat",C19)),"Material Separation",ISNUMBER(SEARCH("separat",C19)),"Material Separation",ISNUMBER(SEARCH("connection",C19)),"Loose or Intermittent Connection",ISNUMBER(SEARCH("loose",C19)),"Loose or Intermittent Connection",ISNUMBER(SEARCH("damaged packaging",C19)),"Packaging Problem",ISNUMBER(SEARCH("packaging",C19)),"Packaging Problem",ISNUMBER(SEARCH("discoloration",C19)),"Contamination",ISNUMBER(SEARCH("tarnish",C19)),"Contamination",ISNUMBER(SEARCH("stain",C19)),"Contamination",ISNUMBER(SEARCH("foreign material",C19)),"Contamination",ISNUMBER(SEARCH("contamina",C19)),"Contamination",ISNUMBER(SEARCH("overheat",C19)),"Overheating of Device",ISNUMBER(SEARCH("excessive heat",C19)),"Overheating of Device",ISNUMBER(SEARCH("hot",C19)),"Overheating of Device",ISNUMBER(SEARCH("noise",C19)),"Noise, Audible",ISNUMBER(SEARCH("sound",C19)),"Noise, Audible",ISNUMBER(SEARCH("loud",C19)),"Noise, Audible",ISNUMBER(SEARCH("fray",C19)),"Material Frayed",ISNUMBER(SEARCH("hole",C19)),"Material Frayed",ISNUMBER(SEARCH("tear",C19)),"Material Frayed",ISNUMBER(SEARCH("worn",C19)),"Material Frayed",ISNUMBER(SEARCH("intermittent",C19)),"Difficult or Delayed Activation",ISNUMBER(SEARCH("delay",C19)),"Difficult or Delayed Activation",ISNUMBER(SEARCH("label",C19)),"Device Markings/Labelling Problem",ISNUMBER(SEARCH("marking",C19)),"Device Markings/Labelling Problem",ISNUMBER(SEARCH("lacerat",C19)),"Defective Device",ISNUMBER(SEARCH("cut",C19)),"Defective Device",ISNUMBER(SEARCH("leak",C19)),"Fluid/Blood Leak",ISNUMBER(SEARCH("missing",C19)),"Component Missing",ISNUMBER(SEARCH("power",C19)),"Complete Loss of Power",ISNUMBER(SEARCH("will not turn on",C19)),"Complete Loss of Power",ISNUMBER(SEARCH("won't turn on",C19)),"Complete Loss of Power",ISNUMBER(SEARCH("does not turn on",C19)),"Complete Loss of Power",ISNUMBER(SEARCH("electrical",C19)),"Electrical Power Problem",ISNUMBER(SEARCH("pressure",C19)),"Detachment of Device or Device Component",ISNUMBER(SEARCH("slip",C19)),"Detachment of Device or Device Component",ISNUMBER(SEARCH("detach",C19)),"Detachment of Device or Device Component",ISNUMBER(SEARCH("stick",C19)),"Mechanical Jam",ISNUMBER(SEARCH("jam",C19)),"Mechanical Jam",ISNUMBER(SEARCH("rigid",C19)),"Mechanical Jam",ISNUMBER(SEARCH("rust",C19)),"Corroded",ISNUMBER(SEARCH("corrod",C19)),"Corroded",ISNUMBER(SEARCH("corrosion",C19)),"Corroded",ISNUMBER(SEARCH("alignment",C19)),"Defective Device",ISNUMBER(SEARCH("adjust",C19)),"Defective Device",ISNUMBER(SEARCH("perform",C19)),"Defective Device",ISNUMBER(SEARCH("malfunction",C19)),"Defective Device",ISNUMBER(SEARCH("defect",C19)),"Defective Device",ISNUMBER(SEARCH("fail",C19)),"Defective Device",ISNUMBER(SEARCH("not work",C19)),"Defective Device",ISNUMBER(SEARCH("doesn't work",C19)),"Defective Device",TRUE,"UNKNOWN"),"UNKNOWN")))</f>
        <v>UNKNOWN - arrivedwarm</v>
      </c>
      <c r="F19" s="4" t="str">
        <f t="shared" si="0"/>
        <v>No Clinical Signs, Symptoms or Conditions</v>
      </c>
      <c r="G19" s="363" t="str">
        <f>IF(E19="","",IFERROR(VLOOKUP(E19,Codes!$L$2:$N$409,3,FALSE),"—"))</f>
        <v>—</v>
      </c>
      <c r="H19" s="88"/>
      <c r="I19" s="88"/>
    </row>
    <row r="20" spans="1:9" ht="13.15" x14ac:dyDescent="0.35">
      <c r="A20" s="434" t="s">
        <v>1707</v>
      </c>
      <c r="B20" s="436">
        <v>45939</v>
      </c>
      <c r="C20" s="444" t="s">
        <v>1726</v>
      </c>
      <c r="D20" s="442" t="s">
        <v>1730</v>
      </c>
      <c r="E20" s="93" t="str" cm="1">
        <f t="array" ref="E20">IF(D20&lt;&gt;"",IFERROR(VLOOKUP(D20,Codes!$K$2:$L$409,2,FALSE),"UNKNOWN - "&amp;D20),IF(C20="","",IFERROR(_xlfn.IFS(ISNUMBER(SEARCH("broken button",C20)),"Break",ISNUMBER(SEARCH("broken handle",C20)),"Break",ISNUMBER(SEARCH("shipping damage",C20)),"Break",ISNUMBER(SEARCH("broken",C20)),"Break",ISNUMBER(SEARCH("crack",C20)),"Break",ISNUMBER(SEARCH("snap",C20)),"Break",ISNUMBER(SEARCH("fracture",C20)),"Break",ISNUMBER(SEARCH("bent",C20)),"Material Twisted/Bent",ISNUMBER(SEARCH("twisted",C20)),"Material Twisted/Bent",ISNUMBER(SEARCH("component separat",C20)),"Material Separation",ISNUMBER(SEARCH("separat",C20)),"Material Separation",ISNUMBER(SEARCH("connection",C20)),"Loose or Intermittent Connection",ISNUMBER(SEARCH("loose",C20)),"Loose or Intermittent Connection",ISNUMBER(SEARCH("damaged packaging",C20)),"Packaging Problem",ISNUMBER(SEARCH("packaging",C20)),"Packaging Problem",ISNUMBER(SEARCH("discoloration",C20)),"Contamination",ISNUMBER(SEARCH("tarnish",C20)),"Contamination",ISNUMBER(SEARCH("stain",C20)),"Contamination",ISNUMBER(SEARCH("foreign material",C20)),"Contamination",ISNUMBER(SEARCH("contamina",C20)),"Contamination",ISNUMBER(SEARCH("overheat",C20)),"Overheating of Device",ISNUMBER(SEARCH("excessive heat",C20)),"Overheating of Device",ISNUMBER(SEARCH("hot",C20)),"Overheating of Device",ISNUMBER(SEARCH("noise",C20)),"Noise, Audible",ISNUMBER(SEARCH("sound",C20)),"Noise, Audible",ISNUMBER(SEARCH("loud",C20)),"Noise, Audible",ISNUMBER(SEARCH("fray",C20)),"Material Frayed",ISNUMBER(SEARCH("hole",C20)),"Material Frayed",ISNUMBER(SEARCH("tear",C20)),"Material Frayed",ISNUMBER(SEARCH("worn",C20)),"Material Frayed",ISNUMBER(SEARCH("intermittent",C20)),"Difficult or Delayed Activation",ISNUMBER(SEARCH("delay",C20)),"Difficult or Delayed Activation",ISNUMBER(SEARCH("label",C20)),"Device Markings/Labelling Problem",ISNUMBER(SEARCH("marking",C20)),"Device Markings/Labelling Problem",ISNUMBER(SEARCH("lacerat",C20)),"Defective Device",ISNUMBER(SEARCH("cut",C20)),"Defective Device",ISNUMBER(SEARCH("leak",C20)),"Fluid/Blood Leak",ISNUMBER(SEARCH("missing",C20)),"Component Missing",ISNUMBER(SEARCH("power",C20)),"Complete Loss of Power",ISNUMBER(SEARCH("will not turn on",C20)),"Complete Loss of Power",ISNUMBER(SEARCH("won't turn on",C20)),"Complete Loss of Power",ISNUMBER(SEARCH("does not turn on",C20)),"Complete Loss of Power",ISNUMBER(SEARCH("electrical",C20)),"Electrical Power Problem",ISNUMBER(SEARCH("pressure",C20)),"Detachment of Device or Device Component",ISNUMBER(SEARCH("slip",C20)),"Detachment of Device or Device Component",ISNUMBER(SEARCH("detach",C20)),"Detachment of Device or Device Component",ISNUMBER(SEARCH("stick",C20)),"Mechanical Jam",ISNUMBER(SEARCH("jam",C20)),"Mechanical Jam",ISNUMBER(SEARCH("rigid",C20)),"Mechanical Jam",ISNUMBER(SEARCH("rust",C20)),"Corroded",ISNUMBER(SEARCH("corrod",C20)),"Corroded",ISNUMBER(SEARCH("corrosion",C20)),"Corroded",ISNUMBER(SEARCH("alignment",C20)),"Defective Device",ISNUMBER(SEARCH("adjust",C20)),"Defective Device",ISNUMBER(SEARCH("perform",C20)),"Defective Device",ISNUMBER(SEARCH("malfunction",C20)),"Defective Device",ISNUMBER(SEARCH("defect",C20)),"Defective Device",ISNUMBER(SEARCH("fail",C20)),"Defective Device",ISNUMBER(SEARCH("not work",C20)),"Defective Device",ISNUMBER(SEARCH("doesn't work",C20)),"Defective Device",TRUE,"UNKNOWN"),"UNKNOWN")))</f>
        <v>UNKNOWN - arrivedwarm</v>
      </c>
      <c r="F20" s="4" t="str">
        <f t="shared" si="0"/>
        <v>No Clinical Signs, Symptoms or Conditions</v>
      </c>
      <c r="G20" s="363" t="str">
        <f>IF(E20="","",IFERROR(VLOOKUP(E20,Codes!$L$2:$N$409,3,FALSE),"—"))</f>
        <v>—</v>
      </c>
      <c r="H20" s="88"/>
      <c r="I20" s="88"/>
    </row>
    <row r="21" spans="1:9" ht="58.15" x14ac:dyDescent="0.35">
      <c r="A21" s="434" t="s">
        <v>1708</v>
      </c>
      <c r="B21" s="436">
        <v>45939</v>
      </c>
      <c r="C21" s="447" t="s">
        <v>1726</v>
      </c>
      <c r="D21" s="442" t="s">
        <v>1730</v>
      </c>
      <c r="E21" s="93" t="str" cm="1">
        <f t="array" ref="E21">IF(D21&lt;&gt;"",IFERROR(VLOOKUP(D21,Codes!$K$2:$L$409,2,FALSE),"UNKNOWN - "&amp;D21),IF(C21="","",IFERROR(_xlfn.IFS(ISNUMBER(SEARCH("broken button",C21)),"Break",ISNUMBER(SEARCH("broken handle",C21)),"Break",ISNUMBER(SEARCH("shipping damage",C21)),"Break",ISNUMBER(SEARCH("broken",C21)),"Break",ISNUMBER(SEARCH("crack",C21)),"Break",ISNUMBER(SEARCH("snap",C21)),"Break",ISNUMBER(SEARCH("fracture",C21)),"Break",ISNUMBER(SEARCH("bent",C21)),"Material Twisted/Bent",ISNUMBER(SEARCH("twisted",C21)),"Material Twisted/Bent",ISNUMBER(SEARCH("component separat",C21)),"Material Separation",ISNUMBER(SEARCH("separat",C21)),"Material Separation",ISNUMBER(SEARCH("connection",C21)),"Loose or Intermittent Connection",ISNUMBER(SEARCH("loose",C21)),"Loose or Intermittent Connection",ISNUMBER(SEARCH("damaged packaging",C21)),"Packaging Problem",ISNUMBER(SEARCH("packaging",C21)),"Packaging Problem",ISNUMBER(SEARCH("discoloration",C21)),"Contamination",ISNUMBER(SEARCH("tarnish",C21)),"Contamination",ISNUMBER(SEARCH("stain",C21)),"Contamination",ISNUMBER(SEARCH("foreign material",C21)),"Contamination",ISNUMBER(SEARCH("contamina",C21)),"Contamination",ISNUMBER(SEARCH("overheat",C21)),"Overheating of Device",ISNUMBER(SEARCH("excessive heat",C21)),"Overheating of Device",ISNUMBER(SEARCH("hot",C21)),"Overheating of Device",ISNUMBER(SEARCH("noise",C21)),"Noise, Audible",ISNUMBER(SEARCH("sound",C21)),"Noise, Audible",ISNUMBER(SEARCH("loud",C21)),"Noise, Audible",ISNUMBER(SEARCH("fray",C21)),"Material Frayed",ISNUMBER(SEARCH("hole",C21)),"Material Frayed",ISNUMBER(SEARCH("tear",C21)),"Material Frayed",ISNUMBER(SEARCH("worn",C21)),"Material Frayed",ISNUMBER(SEARCH("intermittent",C21)),"Difficult or Delayed Activation",ISNUMBER(SEARCH("delay",C21)),"Difficult or Delayed Activation",ISNUMBER(SEARCH("label",C21)),"Device Markings/Labelling Problem",ISNUMBER(SEARCH("marking",C21)),"Device Markings/Labelling Problem",ISNUMBER(SEARCH("lacerat",C21)),"Defective Device",ISNUMBER(SEARCH("cut",C21)),"Defective Device",ISNUMBER(SEARCH("leak",C21)),"Fluid/Blood Leak",ISNUMBER(SEARCH("missing",C21)),"Component Missing",ISNUMBER(SEARCH("power",C21)),"Complete Loss of Power",ISNUMBER(SEARCH("will not turn on",C21)),"Complete Loss of Power",ISNUMBER(SEARCH("won't turn on",C21)),"Complete Loss of Power",ISNUMBER(SEARCH("does not turn on",C21)),"Complete Loss of Power",ISNUMBER(SEARCH("electrical",C21)),"Electrical Power Problem",ISNUMBER(SEARCH("pressure",C21)),"Detachment of Device or Device Component",ISNUMBER(SEARCH("slip",C21)),"Detachment of Device or Device Component",ISNUMBER(SEARCH("detach",C21)),"Detachment of Device or Device Component",ISNUMBER(SEARCH("stick",C21)),"Mechanical Jam",ISNUMBER(SEARCH("jam",C21)),"Mechanical Jam",ISNUMBER(SEARCH("rigid",C21)),"Mechanical Jam",ISNUMBER(SEARCH("rust",C21)),"Corroded",ISNUMBER(SEARCH("corrod",C21)),"Corroded",ISNUMBER(SEARCH("corrosion",C21)),"Corroded",ISNUMBER(SEARCH("alignment",C21)),"Defective Device",ISNUMBER(SEARCH("adjust",C21)),"Defective Device",ISNUMBER(SEARCH("perform",C21)),"Defective Device",ISNUMBER(SEARCH("malfunction",C21)),"Defective Device",ISNUMBER(SEARCH("defect",C21)),"Defective Device",ISNUMBER(SEARCH("fail",C21)),"Defective Device",ISNUMBER(SEARCH("not work",C21)),"Defective Device",ISNUMBER(SEARCH("doesn't work",C21)),"Defective Device",TRUE,"UNKNOWN"),"UNKNOWN")))</f>
        <v>UNKNOWN - arrivedwarm</v>
      </c>
      <c r="F21" s="4" t="str">
        <f t="shared" si="0"/>
        <v>No Clinical Signs, Symptoms or Conditions</v>
      </c>
      <c r="G21" s="363" t="str">
        <f>IF(E21="","",IFERROR(VLOOKUP(E21,Codes!$L$2:$N$409,3,FALSE),"—"))</f>
        <v>—</v>
      </c>
      <c r="H21" s="88"/>
      <c r="I21" s="88"/>
    </row>
    <row r="22" spans="1:9" ht="13.15" x14ac:dyDescent="0.35">
      <c r="A22" s="442"/>
      <c r="B22" s="443"/>
      <c r="C22" s="444"/>
      <c r="D22" s="442"/>
      <c r="E22" s="93" t="str" cm="1">
        <f t="array" ref="E22">IF(D22&lt;&gt;"",IFERROR(VLOOKUP(D22,Codes!$K$2:$L$409,2,FALSE),"UNKNOWN - "&amp;D22),IF(C22="","",IFERROR(_xlfn.IFS(ISNUMBER(SEARCH("broken button",C22)),"Break",ISNUMBER(SEARCH("broken handle",C22)),"Break",ISNUMBER(SEARCH("shipping damage",C22)),"Break",ISNUMBER(SEARCH("broken",C22)),"Break",ISNUMBER(SEARCH("crack",C22)),"Break",ISNUMBER(SEARCH("snap",C22)),"Break",ISNUMBER(SEARCH("fracture",C22)),"Break",ISNUMBER(SEARCH("bent",C22)),"Material Twisted/Bent",ISNUMBER(SEARCH("twisted",C22)),"Material Twisted/Bent",ISNUMBER(SEARCH("component separat",C22)),"Material Separation",ISNUMBER(SEARCH("separat",C22)),"Material Separation",ISNUMBER(SEARCH("connection",C22)),"Loose or Intermittent Connection",ISNUMBER(SEARCH("loose",C22)),"Loose or Intermittent Connection",ISNUMBER(SEARCH("damaged packaging",C22)),"Packaging Problem",ISNUMBER(SEARCH("packaging",C22)),"Packaging Problem",ISNUMBER(SEARCH("discoloration",C22)),"Contamination",ISNUMBER(SEARCH("tarnish",C22)),"Contamination",ISNUMBER(SEARCH("stain",C22)),"Contamination",ISNUMBER(SEARCH("foreign material",C22)),"Contamination",ISNUMBER(SEARCH("contamina",C22)),"Contamination",ISNUMBER(SEARCH("overheat",C22)),"Overheating of Device",ISNUMBER(SEARCH("excessive heat",C22)),"Overheating of Device",ISNUMBER(SEARCH("hot",C22)),"Overheating of Device",ISNUMBER(SEARCH("noise",C22)),"Noise, Audible",ISNUMBER(SEARCH("sound",C22)),"Noise, Audible",ISNUMBER(SEARCH("loud",C22)),"Noise, Audible",ISNUMBER(SEARCH("fray",C22)),"Material Frayed",ISNUMBER(SEARCH("hole",C22)),"Material Frayed",ISNUMBER(SEARCH("tear",C22)),"Material Frayed",ISNUMBER(SEARCH("worn",C22)),"Material Frayed",ISNUMBER(SEARCH("intermittent",C22)),"Difficult or Delayed Activation",ISNUMBER(SEARCH("delay",C22)),"Difficult or Delayed Activation",ISNUMBER(SEARCH("label",C22)),"Device Markings/Labelling Problem",ISNUMBER(SEARCH("marking",C22)),"Device Markings/Labelling Problem",ISNUMBER(SEARCH("lacerat",C22)),"Defective Device",ISNUMBER(SEARCH("cut",C22)),"Defective Device",ISNUMBER(SEARCH("leak",C22)),"Fluid/Blood Leak",ISNUMBER(SEARCH("missing",C22)),"Component Missing",ISNUMBER(SEARCH("power",C22)),"Complete Loss of Power",ISNUMBER(SEARCH("will not turn on",C22)),"Complete Loss of Power",ISNUMBER(SEARCH("won't turn on",C22)),"Complete Loss of Power",ISNUMBER(SEARCH("does not turn on",C22)),"Complete Loss of Power",ISNUMBER(SEARCH("electrical",C22)),"Electrical Power Problem",ISNUMBER(SEARCH("pressure",C22)),"Detachment of Device or Device Component",ISNUMBER(SEARCH("slip",C22)),"Detachment of Device or Device Component",ISNUMBER(SEARCH("detach",C22)),"Detachment of Device or Device Component",ISNUMBER(SEARCH("stick",C22)),"Mechanical Jam",ISNUMBER(SEARCH("jam",C22)),"Mechanical Jam",ISNUMBER(SEARCH("rigid",C22)),"Mechanical Jam",ISNUMBER(SEARCH("rust",C22)),"Corroded",ISNUMBER(SEARCH("corrod",C22)),"Corroded",ISNUMBER(SEARCH("corrosion",C22)),"Corroded",ISNUMBER(SEARCH("alignment",C22)),"Defective Device",ISNUMBER(SEARCH("adjust",C22)),"Defective Device",ISNUMBER(SEARCH("perform",C22)),"Defective Device",ISNUMBER(SEARCH("malfunction",C22)),"Defective Device",ISNUMBER(SEARCH("defect",C22)),"Defective Device",ISNUMBER(SEARCH("fail",C22)),"Defective Device",ISNUMBER(SEARCH("not work",C22)),"Defective Device",ISNUMBER(SEARCH("doesn't work",C22)),"Defective Device",TRUE,"UNKNOWN"),"UNKNOWN")))</f>
        <v/>
      </c>
      <c r="F22" s="4" t="str">
        <f t="shared" si="0"/>
        <v/>
      </c>
      <c r="G22" s="363" t="str">
        <f>IF(E22="","",IFERROR(VLOOKUP(E22,Codes!$L$2:$N$409,3,FALSE),"—"))</f>
        <v/>
      </c>
      <c r="H22" s="88"/>
      <c r="I22" s="88"/>
    </row>
    <row r="23" spans="1:9" ht="13.15" x14ac:dyDescent="0.35">
      <c r="A23" s="442"/>
      <c r="B23" s="443"/>
      <c r="C23" s="444"/>
      <c r="D23" s="442"/>
      <c r="E23" s="93" t="str" cm="1">
        <f t="array" ref="E23">IF(D23&lt;&gt;"",IFERROR(VLOOKUP(D23,Codes!$K$2:$L$409,2,FALSE),"UNKNOWN - "&amp;D23),IF(C23="","",IFERROR(_xlfn.IFS(ISNUMBER(SEARCH("broken button",C23)),"Break",ISNUMBER(SEARCH("broken handle",C23)),"Break",ISNUMBER(SEARCH("shipping damage",C23)),"Break",ISNUMBER(SEARCH("broken",C23)),"Break",ISNUMBER(SEARCH("crack",C23)),"Break",ISNUMBER(SEARCH("snap",C23)),"Break",ISNUMBER(SEARCH("fracture",C23)),"Break",ISNUMBER(SEARCH("bent",C23)),"Material Twisted/Bent",ISNUMBER(SEARCH("twisted",C23)),"Material Twisted/Bent",ISNUMBER(SEARCH("component separat",C23)),"Material Separation",ISNUMBER(SEARCH("separat",C23)),"Material Separation",ISNUMBER(SEARCH("connection",C23)),"Loose or Intermittent Connection",ISNUMBER(SEARCH("loose",C23)),"Loose or Intermittent Connection",ISNUMBER(SEARCH("damaged packaging",C23)),"Packaging Problem",ISNUMBER(SEARCH("packaging",C23)),"Packaging Problem",ISNUMBER(SEARCH("discoloration",C23)),"Contamination",ISNUMBER(SEARCH("tarnish",C23)),"Contamination",ISNUMBER(SEARCH("stain",C23)),"Contamination",ISNUMBER(SEARCH("foreign material",C23)),"Contamination",ISNUMBER(SEARCH("contamina",C23)),"Contamination",ISNUMBER(SEARCH("overheat",C23)),"Overheating of Device",ISNUMBER(SEARCH("excessive heat",C23)),"Overheating of Device",ISNUMBER(SEARCH("hot",C23)),"Overheating of Device",ISNUMBER(SEARCH("noise",C23)),"Noise, Audible",ISNUMBER(SEARCH("sound",C23)),"Noise, Audible",ISNUMBER(SEARCH("loud",C23)),"Noise, Audible",ISNUMBER(SEARCH("fray",C23)),"Material Frayed",ISNUMBER(SEARCH("hole",C23)),"Material Frayed",ISNUMBER(SEARCH("tear",C23)),"Material Frayed",ISNUMBER(SEARCH("worn",C23)),"Material Frayed",ISNUMBER(SEARCH("intermittent",C23)),"Difficult or Delayed Activation",ISNUMBER(SEARCH("delay",C23)),"Difficult or Delayed Activation",ISNUMBER(SEARCH("label",C23)),"Device Markings/Labelling Problem",ISNUMBER(SEARCH("marking",C23)),"Device Markings/Labelling Problem",ISNUMBER(SEARCH("lacerat",C23)),"Defective Device",ISNUMBER(SEARCH("cut",C23)),"Defective Device",ISNUMBER(SEARCH("leak",C23)),"Fluid/Blood Leak",ISNUMBER(SEARCH("missing",C23)),"Component Missing",ISNUMBER(SEARCH("power",C23)),"Complete Loss of Power",ISNUMBER(SEARCH("will not turn on",C23)),"Complete Loss of Power",ISNUMBER(SEARCH("won't turn on",C23)),"Complete Loss of Power",ISNUMBER(SEARCH("does not turn on",C23)),"Complete Loss of Power",ISNUMBER(SEARCH("electrical",C23)),"Electrical Power Problem",ISNUMBER(SEARCH("pressure",C23)),"Detachment of Device or Device Component",ISNUMBER(SEARCH("slip",C23)),"Detachment of Device or Device Component",ISNUMBER(SEARCH("detach",C23)),"Detachment of Device or Device Component",ISNUMBER(SEARCH("stick",C23)),"Mechanical Jam",ISNUMBER(SEARCH("jam",C23)),"Mechanical Jam",ISNUMBER(SEARCH("rigid",C23)),"Mechanical Jam",ISNUMBER(SEARCH("rust",C23)),"Corroded",ISNUMBER(SEARCH("corrod",C23)),"Corroded",ISNUMBER(SEARCH("corrosion",C23)),"Corroded",ISNUMBER(SEARCH("alignment",C23)),"Defective Device",ISNUMBER(SEARCH("adjust",C23)),"Defective Device",ISNUMBER(SEARCH("perform",C23)),"Defective Device",ISNUMBER(SEARCH("malfunction",C23)),"Defective Device",ISNUMBER(SEARCH("defect",C23)),"Defective Device",ISNUMBER(SEARCH("fail",C23)),"Defective Device",ISNUMBER(SEARCH("not work",C23)),"Defective Device",ISNUMBER(SEARCH("doesn't work",C23)),"Defective Device",TRUE,"UNKNOWN"),"UNKNOWN")))</f>
        <v/>
      </c>
      <c r="F23" s="4" t="str">
        <f t="shared" si="0"/>
        <v/>
      </c>
      <c r="G23" s="363" t="str">
        <f>IF(E23="","",IFERROR(VLOOKUP(E23,Codes!$L$2:$N$409,3,FALSE),"—"))</f>
        <v/>
      </c>
      <c r="H23" s="88"/>
      <c r="I23" s="88"/>
    </row>
    <row r="24" spans="1:9" ht="13.15" x14ac:dyDescent="0.35">
      <c r="A24" s="435"/>
      <c r="B24" s="436"/>
      <c r="C24" s="438"/>
      <c r="D24" s="435"/>
      <c r="E24" s="93" t="str" cm="1">
        <f t="array" ref="E24">IF(D24&lt;&gt;"",IFERROR(VLOOKUP(D24,Codes!$K$2:$L$409,2,FALSE),"UNKNOWN - "&amp;D24),IF(C24="","",IFERROR(_xlfn.IFS(ISNUMBER(SEARCH("broken button",C24)),"Break",ISNUMBER(SEARCH("broken handle",C24)),"Break",ISNUMBER(SEARCH("shipping damage",C24)),"Break",ISNUMBER(SEARCH("broken",C24)),"Break",ISNUMBER(SEARCH("crack",C24)),"Break",ISNUMBER(SEARCH("snap",C24)),"Break",ISNUMBER(SEARCH("fracture",C24)),"Break",ISNUMBER(SEARCH("bent",C24)),"Material Twisted/Bent",ISNUMBER(SEARCH("twisted",C24)),"Material Twisted/Bent",ISNUMBER(SEARCH("component separat",C24)),"Material Separation",ISNUMBER(SEARCH("separat",C24)),"Material Separation",ISNUMBER(SEARCH("connection",C24)),"Loose or Intermittent Connection",ISNUMBER(SEARCH("loose",C24)),"Loose or Intermittent Connection",ISNUMBER(SEARCH("damaged packaging",C24)),"Packaging Problem",ISNUMBER(SEARCH("packaging",C24)),"Packaging Problem",ISNUMBER(SEARCH("discoloration",C24)),"Contamination",ISNUMBER(SEARCH("tarnish",C24)),"Contamination",ISNUMBER(SEARCH("stain",C24)),"Contamination",ISNUMBER(SEARCH("foreign material",C24)),"Contamination",ISNUMBER(SEARCH("contamina",C24)),"Contamination",ISNUMBER(SEARCH("overheat",C24)),"Overheating of Device",ISNUMBER(SEARCH("excessive heat",C24)),"Overheating of Device",ISNUMBER(SEARCH("hot",C24)),"Overheating of Device",ISNUMBER(SEARCH("noise",C24)),"Noise, Audible",ISNUMBER(SEARCH("sound",C24)),"Noise, Audible",ISNUMBER(SEARCH("loud",C24)),"Noise, Audible",ISNUMBER(SEARCH("fray",C24)),"Material Frayed",ISNUMBER(SEARCH("hole",C24)),"Material Frayed",ISNUMBER(SEARCH("tear",C24)),"Material Frayed",ISNUMBER(SEARCH("worn",C24)),"Material Frayed",ISNUMBER(SEARCH("intermittent",C24)),"Difficult or Delayed Activation",ISNUMBER(SEARCH("delay",C24)),"Difficult or Delayed Activation",ISNUMBER(SEARCH("label",C24)),"Device Markings/Labelling Problem",ISNUMBER(SEARCH("marking",C24)),"Device Markings/Labelling Problem",ISNUMBER(SEARCH("lacerat",C24)),"Defective Device",ISNUMBER(SEARCH("cut",C24)),"Defective Device",ISNUMBER(SEARCH("leak",C24)),"Fluid/Blood Leak",ISNUMBER(SEARCH("missing",C24)),"Component Missing",ISNUMBER(SEARCH("power",C24)),"Complete Loss of Power",ISNUMBER(SEARCH("will not turn on",C24)),"Complete Loss of Power",ISNUMBER(SEARCH("won't turn on",C24)),"Complete Loss of Power",ISNUMBER(SEARCH("does not turn on",C24)),"Complete Loss of Power",ISNUMBER(SEARCH("electrical",C24)),"Electrical Power Problem",ISNUMBER(SEARCH("pressure",C24)),"Detachment of Device or Device Component",ISNUMBER(SEARCH("slip",C24)),"Detachment of Device or Device Component",ISNUMBER(SEARCH("detach",C24)),"Detachment of Device or Device Component",ISNUMBER(SEARCH("stick",C24)),"Mechanical Jam",ISNUMBER(SEARCH("jam",C24)),"Mechanical Jam",ISNUMBER(SEARCH("rigid",C24)),"Mechanical Jam",ISNUMBER(SEARCH("rust",C24)),"Corroded",ISNUMBER(SEARCH("corrod",C24)),"Corroded",ISNUMBER(SEARCH("corrosion",C24)),"Corroded",ISNUMBER(SEARCH("alignment",C24)),"Defective Device",ISNUMBER(SEARCH("adjust",C24)),"Defective Device",ISNUMBER(SEARCH("perform",C24)),"Defective Device",ISNUMBER(SEARCH("malfunction",C24)),"Defective Device",ISNUMBER(SEARCH("defect",C24)),"Defective Device",ISNUMBER(SEARCH("fail",C24)),"Defective Device",ISNUMBER(SEARCH("not work",C24)),"Defective Device",ISNUMBER(SEARCH("doesn't work",C24)),"Defective Device",TRUE,"UNKNOWN"),"UNKNOWN")))</f>
        <v/>
      </c>
      <c r="F24" s="4" t="str">
        <f t="shared" si="0"/>
        <v/>
      </c>
      <c r="G24" s="363" t="str">
        <f>IF(E24="","",IFERROR(VLOOKUP(E24,Codes!$L$2:$N$409,3,FALSE),"—"))</f>
        <v/>
      </c>
      <c r="H24" s="88"/>
      <c r="I24" s="88"/>
    </row>
    <row r="25" spans="1:9" ht="13.15" x14ac:dyDescent="0.35">
      <c r="A25" s="434"/>
      <c r="B25" s="436"/>
      <c r="C25" s="437"/>
      <c r="D25" s="434"/>
      <c r="E25" s="93" t="str" cm="1">
        <f t="array" ref="E25">IF(D25&lt;&gt;"",IFERROR(VLOOKUP(D25,Codes!$K$2:$L$409,2,FALSE),"UNKNOWN - "&amp;D25),IF(C25="","",IFERROR(_xlfn.IFS(ISNUMBER(SEARCH("broken button",C25)),"Break",ISNUMBER(SEARCH("broken handle",C25)),"Break",ISNUMBER(SEARCH("shipping damage",C25)),"Break",ISNUMBER(SEARCH("broken",C25)),"Break",ISNUMBER(SEARCH("crack",C25)),"Break",ISNUMBER(SEARCH("snap",C25)),"Break",ISNUMBER(SEARCH("fracture",C25)),"Break",ISNUMBER(SEARCH("bent",C25)),"Material Twisted/Bent",ISNUMBER(SEARCH("twisted",C25)),"Material Twisted/Bent",ISNUMBER(SEARCH("component separat",C25)),"Material Separation",ISNUMBER(SEARCH("separat",C25)),"Material Separation",ISNUMBER(SEARCH("connection",C25)),"Loose or Intermittent Connection",ISNUMBER(SEARCH("loose",C25)),"Loose or Intermittent Connection",ISNUMBER(SEARCH("damaged packaging",C25)),"Packaging Problem",ISNUMBER(SEARCH("packaging",C25)),"Packaging Problem",ISNUMBER(SEARCH("discoloration",C25)),"Contamination",ISNUMBER(SEARCH("tarnish",C25)),"Contamination",ISNUMBER(SEARCH("stain",C25)),"Contamination",ISNUMBER(SEARCH("foreign material",C25)),"Contamination",ISNUMBER(SEARCH("contamina",C25)),"Contamination",ISNUMBER(SEARCH("overheat",C25)),"Overheating of Device",ISNUMBER(SEARCH("excessive heat",C25)),"Overheating of Device",ISNUMBER(SEARCH("hot",C25)),"Overheating of Device",ISNUMBER(SEARCH("noise",C25)),"Noise, Audible",ISNUMBER(SEARCH("sound",C25)),"Noise, Audible",ISNUMBER(SEARCH("loud",C25)),"Noise, Audible",ISNUMBER(SEARCH("fray",C25)),"Material Frayed",ISNUMBER(SEARCH("hole",C25)),"Material Frayed",ISNUMBER(SEARCH("tear",C25)),"Material Frayed",ISNUMBER(SEARCH("worn",C25)),"Material Frayed",ISNUMBER(SEARCH("intermittent",C25)),"Difficult or Delayed Activation",ISNUMBER(SEARCH("delay",C25)),"Difficult or Delayed Activation",ISNUMBER(SEARCH("label",C25)),"Device Markings/Labelling Problem",ISNUMBER(SEARCH("marking",C25)),"Device Markings/Labelling Problem",ISNUMBER(SEARCH("lacerat",C25)),"Defective Device",ISNUMBER(SEARCH("cut",C25)),"Defective Device",ISNUMBER(SEARCH("leak",C25)),"Fluid/Blood Leak",ISNUMBER(SEARCH("missing",C25)),"Component Missing",ISNUMBER(SEARCH("power",C25)),"Complete Loss of Power",ISNUMBER(SEARCH("will not turn on",C25)),"Complete Loss of Power",ISNUMBER(SEARCH("won't turn on",C25)),"Complete Loss of Power",ISNUMBER(SEARCH("does not turn on",C25)),"Complete Loss of Power",ISNUMBER(SEARCH("electrical",C25)),"Electrical Power Problem",ISNUMBER(SEARCH("pressure",C25)),"Detachment of Device or Device Component",ISNUMBER(SEARCH("slip",C25)),"Detachment of Device or Device Component",ISNUMBER(SEARCH("detach",C25)),"Detachment of Device or Device Component",ISNUMBER(SEARCH("stick",C25)),"Mechanical Jam",ISNUMBER(SEARCH("jam",C25)),"Mechanical Jam",ISNUMBER(SEARCH("rigid",C25)),"Mechanical Jam",ISNUMBER(SEARCH("rust",C25)),"Corroded",ISNUMBER(SEARCH("corrod",C25)),"Corroded",ISNUMBER(SEARCH("corrosion",C25)),"Corroded",ISNUMBER(SEARCH("alignment",C25)),"Defective Device",ISNUMBER(SEARCH("adjust",C25)),"Defective Device",ISNUMBER(SEARCH("perform",C25)),"Defective Device",ISNUMBER(SEARCH("malfunction",C25)),"Defective Device",ISNUMBER(SEARCH("defect",C25)),"Defective Device",ISNUMBER(SEARCH("fail",C25)),"Defective Device",ISNUMBER(SEARCH("not work",C25)),"Defective Device",ISNUMBER(SEARCH("doesn't work",C25)),"Defective Device",TRUE,"UNKNOWN"),"UNKNOWN")))</f>
        <v/>
      </c>
      <c r="F25" s="4" t="str">
        <f t="shared" si="0"/>
        <v/>
      </c>
      <c r="G25" s="363" t="str">
        <f>IF(E25="","",IFERROR(VLOOKUP(E25,Codes!$L$2:$N$409,3,FALSE),"—"))</f>
        <v/>
      </c>
      <c r="H25" s="88"/>
      <c r="I25" s="88"/>
    </row>
    <row r="26" spans="1:9" ht="13.15" x14ac:dyDescent="0.35">
      <c r="A26" s="434"/>
      <c r="B26" s="436"/>
      <c r="C26" s="437"/>
      <c r="D26" s="434"/>
      <c r="E26" s="93" t="str" cm="1">
        <f t="array" ref="E26">IF(D26&lt;&gt;"",IFERROR(VLOOKUP(D26,Codes!$K$2:$L$409,2,FALSE),"UNKNOWN - "&amp;D26),IF(C26="","",IFERROR(_xlfn.IFS(ISNUMBER(SEARCH("broken button",C26)),"Break",ISNUMBER(SEARCH("broken handle",C26)),"Break",ISNUMBER(SEARCH("shipping damage",C26)),"Break",ISNUMBER(SEARCH("broken",C26)),"Break",ISNUMBER(SEARCH("crack",C26)),"Break",ISNUMBER(SEARCH("snap",C26)),"Break",ISNUMBER(SEARCH("fracture",C26)),"Break",ISNUMBER(SEARCH("bent",C26)),"Material Twisted/Bent",ISNUMBER(SEARCH("twisted",C26)),"Material Twisted/Bent",ISNUMBER(SEARCH("component separat",C26)),"Material Separation",ISNUMBER(SEARCH("separat",C26)),"Material Separation",ISNUMBER(SEARCH("connection",C26)),"Loose or Intermittent Connection",ISNUMBER(SEARCH("loose",C26)),"Loose or Intermittent Connection",ISNUMBER(SEARCH("damaged packaging",C26)),"Packaging Problem",ISNUMBER(SEARCH("packaging",C26)),"Packaging Problem",ISNUMBER(SEARCH("discoloration",C26)),"Contamination",ISNUMBER(SEARCH("tarnish",C26)),"Contamination",ISNUMBER(SEARCH("stain",C26)),"Contamination",ISNUMBER(SEARCH("foreign material",C26)),"Contamination",ISNUMBER(SEARCH("contamina",C26)),"Contamination",ISNUMBER(SEARCH("overheat",C26)),"Overheating of Device",ISNUMBER(SEARCH("excessive heat",C26)),"Overheating of Device",ISNUMBER(SEARCH("hot",C26)),"Overheating of Device",ISNUMBER(SEARCH("noise",C26)),"Noise, Audible",ISNUMBER(SEARCH("sound",C26)),"Noise, Audible",ISNUMBER(SEARCH("loud",C26)),"Noise, Audible",ISNUMBER(SEARCH("fray",C26)),"Material Frayed",ISNUMBER(SEARCH("hole",C26)),"Material Frayed",ISNUMBER(SEARCH("tear",C26)),"Material Frayed",ISNUMBER(SEARCH("worn",C26)),"Material Frayed",ISNUMBER(SEARCH("intermittent",C26)),"Difficult or Delayed Activation",ISNUMBER(SEARCH("delay",C26)),"Difficult or Delayed Activation",ISNUMBER(SEARCH("label",C26)),"Device Markings/Labelling Problem",ISNUMBER(SEARCH("marking",C26)),"Device Markings/Labelling Problem",ISNUMBER(SEARCH("lacerat",C26)),"Defective Device",ISNUMBER(SEARCH("cut",C26)),"Defective Device",ISNUMBER(SEARCH("leak",C26)),"Fluid/Blood Leak",ISNUMBER(SEARCH("missing",C26)),"Component Missing",ISNUMBER(SEARCH("power",C26)),"Complete Loss of Power",ISNUMBER(SEARCH("will not turn on",C26)),"Complete Loss of Power",ISNUMBER(SEARCH("won't turn on",C26)),"Complete Loss of Power",ISNUMBER(SEARCH("does not turn on",C26)),"Complete Loss of Power",ISNUMBER(SEARCH("electrical",C26)),"Electrical Power Problem",ISNUMBER(SEARCH("pressure",C26)),"Detachment of Device or Device Component",ISNUMBER(SEARCH("slip",C26)),"Detachment of Device or Device Component",ISNUMBER(SEARCH("detach",C26)),"Detachment of Device or Device Component",ISNUMBER(SEARCH("stick",C26)),"Mechanical Jam",ISNUMBER(SEARCH("jam",C26)),"Mechanical Jam",ISNUMBER(SEARCH("rigid",C26)),"Mechanical Jam",ISNUMBER(SEARCH("rust",C26)),"Corroded",ISNUMBER(SEARCH("corrod",C26)),"Corroded",ISNUMBER(SEARCH("corrosion",C26)),"Corroded",ISNUMBER(SEARCH("alignment",C26)),"Defective Device",ISNUMBER(SEARCH("adjust",C26)),"Defective Device",ISNUMBER(SEARCH("perform",C26)),"Defective Device",ISNUMBER(SEARCH("malfunction",C26)),"Defective Device",ISNUMBER(SEARCH("defect",C26)),"Defective Device",ISNUMBER(SEARCH("fail",C26)),"Defective Device",ISNUMBER(SEARCH("not work",C26)),"Defective Device",ISNUMBER(SEARCH("doesn't work",C26)),"Defective Device",TRUE,"UNKNOWN"),"UNKNOWN")))</f>
        <v/>
      </c>
      <c r="F26" s="4" t="str">
        <f t="shared" si="0"/>
        <v/>
      </c>
      <c r="G26" s="363" t="str">
        <f>IF(E26="","",IFERROR(VLOOKUP(E26,Codes!$L$2:$N$409,3,FALSE),"—"))</f>
        <v/>
      </c>
      <c r="H26" s="88"/>
      <c r="I26" s="88"/>
    </row>
    <row r="27" spans="1:9" ht="13.15" x14ac:dyDescent="0.35">
      <c r="A27" s="434"/>
      <c r="B27" s="436"/>
      <c r="C27" s="437"/>
      <c r="D27" s="434"/>
      <c r="E27" s="93" t="str" cm="1">
        <f t="array" ref="E27">IF(D27&lt;&gt;"",IFERROR(VLOOKUP(D27,Codes!$K$2:$L$409,2,FALSE),"UNKNOWN - "&amp;D27),IF(C27="","",IFERROR(_xlfn.IFS(ISNUMBER(SEARCH("broken button",C27)),"Break",ISNUMBER(SEARCH("broken handle",C27)),"Break",ISNUMBER(SEARCH("shipping damage",C27)),"Break",ISNUMBER(SEARCH("broken",C27)),"Break",ISNUMBER(SEARCH("crack",C27)),"Break",ISNUMBER(SEARCH("snap",C27)),"Break",ISNUMBER(SEARCH("fracture",C27)),"Break",ISNUMBER(SEARCH("bent",C27)),"Material Twisted/Bent",ISNUMBER(SEARCH("twisted",C27)),"Material Twisted/Bent",ISNUMBER(SEARCH("component separat",C27)),"Material Separation",ISNUMBER(SEARCH("separat",C27)),"Material Separation",ISNUMBER(SEARCH("connection",C27)),"Loose or Intermittent Connection",ISNUMBER(SEARCH("loose",C27)),"Loose or Intermittent Connection",ISNUMBER(SEARCH("damaged packaging",C27)),"Packaging Problem",ISNUMBER(SEARCH("packaging",C27)),"Packaging Problem",ISNUMBER(SEARCH("discoloration",C27)),"Contamination",ISNUMBER(SEARCH("tarnish",C27)),"Contamination",ISNUMBER(SEARCH("stain",C27)),"Contamination",ISNUMBER(SEARCH("foreign material",C27)),"Contamination",ISNUMBER(SEARCH("contamina",C27)),"Contamination",ISNUMBER(SEARCH("overheat",C27)),"Overheating of Device",ISNUMBER(SEARCH("excessive heat",C27)),"Overheating of Device",ISNUMBER(SEARCH("hot",C27)),"Overheating of Device",ISNUMBER(SEARCH("noise",C27)),"Noise, Audible",ISNUMBER(SEARCH("sound",C27)),"Noise, Audible",ISNUMBER(SEARCH("loud",C27)),"Noise, Audible",ISNUMBER(SEARCH("fray",C27)),"Material Frayed",ISNUMBER(SEARCH("hole",C27)),"Material Frayed",ISNUMBER(SEARCH("tear",C27)),"Material Frayed",ISNUMBER(SEARCH("worn",C27)),"Material Frayed",ISNUMBER(SEARCH("intermittent",C27)),"Difficult or Delayed Activation",ISNUMBER(SEARCH("delay",C27)),"Difficult or Delayed Activation",ISNUMBER(SEARCH("label",C27)),"Device Markings/Labelling Problem",ISNUMBER(SEARCH("marking",C27)),"Device Markings/Labelling Problem",ISNUMBER(SEARCH("lacerat",C27)),"Defective Device",ISNUMBER(SEARCH("cut",C27)),"Defective Device",ISNUMBER(SEARCH("leak",C27)),"Fluid/Blood Leak",ISNUMBER(SEARCH("missing",C27)),"Component Missing",ISNUMBER(SEARCH("power",C27)),"Complete Loss of Power",ISNUMBER(SEARCH("will not turn on",C27)),"Complete Loss of Power",ISNUMBER(SEARCH("won't turn on",C27)),"Complete Loss of Power",ISNUMBER(SEARCH("does not turn on",C27)),"Complete Loss of Power",ISNUMBER(SEARCH("electrical",C27)),"Electrical Power Problem",ISNUMBER(SEARCH("pressure",C27)),"Detachment of Device or Device Component",ISNUMBER(SEARCH("slip",C27)),"Detachment of Device or Device Component",ISNUMBER(SEARCH("detach",C27)),"Detachment of Device or Device Component",ISNUMBER(SEARCH("stick",C27)),"Mechanical Jam",ISNUMBER(SEARCH("jam",C27)),"Mechanical Jam",ISNUMBER(SEARCH("rigid",C27)),"Mechanical Jam",ISNUMBER(SEARCH("rust",C27)),"Corroded",ISNUMBER(SEARCH("corrod",C27)),"Corroded",ISNUMBER(SEARCH("corrosion",C27)),"Corroded",ISNUMBER(SEARCH("alignment",C27)),"Defective Device",ISNUMBER(SEARCH("adjust",C27)),"Defective Device",ISNUMBER(SEARCH("perform",C27)),"Defective Device",ISNUMBER(SEARCH("malfunction",C27)),"Defective Device",ISNUMBER(SEARCH("defect",C27)),"Defective Device",ISNUMBER(SEARCH("fail",C27)),"Defective Device",ISNUMBER(SEARCH("not work",C27)),"Defective Device",ISNUMBER(SEARCH("doesn't work",C27)),"Defective Device",TRUE,"UNKNOWN"),"UNKNOWN")))</f>
        <v/>
      </c>
      <c r="F27" s="4" t="str">
        <f t="shared" si="0"/>
        <v/>
      </c>
      <c r="G27" s="363" t="str">
        <f>IF(E27="","",IFERROR(VLOOKUP(E27,Codes!$L$2:$N$409,3,FALSE),"—"))</f>
        <v/>
      </c>
      <c r="H27" s="88"/>
      <c r="I27" s="88"/>
    </row>
    <row r="28" spans="1:9" ht="13.15" x14ac:dyDescent="0.35">
      <c r="A28" s="434"/>
      <c r="B28" s="436"/>
      <c r="C28" s="437"/>
      <c r="D28" s="434"/>
      <c r="E28" s="93" t="str" cm="1">
        <f t="array" ref="E28">IF(D28&lt;&gt;"",IFERROR(VLOOKUP(D28,Codes!$K$2:$L$409,2,FALSE),"UNKNOWN - "&amp;D28),IF(C28="","",IFERROR(_xlfn.IFS(ISNUMBER(SEARCH("broken button",C28)),"Break",ISNUMBER(SEARCH("broken handle",C28)),"Break",ISNUMBER(SEARCH("shipping damage",C28)),"Break",ISNUMBER(SEARCH("broken",C28)),"Break",ISNUMBER(SEARCH("crack",C28)),"Break",ISNUMBER(SEARCH("snap",C28)),"Break",ISNUMBER(SEARCH("fracture",C28)),"Break",ISNUMBER(SEARCH("bent",C28)),"Material Twisted/Bent",ISNUMBER(SEARCH("twisted",C28)),"Material Twisted/Bent",ISNUMBER(SEARCH("component separat",C28)),"Material Separation",ISNUMBER(SEARCH("separat",C28)),"Material Separation",ISNUMBER(SEARCH("connection",C28)),"Loose or Intermittent Connection",ISNUMBER(SEARCH("loose",C28)),"Loose or Intermittent Connection",ISNUMBER(SEARCH("damaged packaging",C28)),"Packaging Problem",ISNUMBER(SEARCH("packaging",C28)),"Packaging Problem",ISNUMBER(SEARCH("discoloration",C28)),"Contamination",ISNUMBER(SEARCH("tarnish",C28)),"Contamination",ISNUMBER(SEARCH("stain",C28)),"Contamination",ISNUMBER(SEARCH("foreign material",C28)),"Contamination",ISNUMBER(SEARCH("contamina",C28)),"Contamination",ISNUMBER(SEARCH("overheat",C28)),"Overheating of Device",ISNUMBER(SEARCH("excessive heat",C28)),"Overheating of Device",ISNUMBER(SEARCH("hot",C28)),"Overheating of Device",ISNUMBER(SEARCH("noise",C28)),"Noise, Audible",ISNUMBER(SEARCH("sound",C28)),"Noise, Audible",ISNUMBER(SEARCH("loud",C28)),"Noise, Audible",ISNUMBER(SEARCH("fray",C28)),"Material Frayed",ISNUMBER(SEARCH("hole",C28)),"Material Frayed",ISNUMBER(SEARCH("tear",C28)),"Material Frayed",ISNUMBER(SEARCH("worn",C28)),"Material Frayed",ISNUMBER(SEARCH("intermittent",C28)),"Difficult or Delayed Activation",ISNUMBER(SEARCH("delay",C28)),"Difficult or Delayed Activation",ISNUMBER(SEARCH("label",C28)),"Device Markings/Labelling Problem",ISNUMBER(SEARCH("marking",C28)),"Device Markings/Labelling Problem",ISNUMBER(SEARCH("lacerat",C28)),"Defective Device",ISNUMBER(SEARCH("cut",C28)),"Defective Device",ISNUMBER(SEARCH("leak",C28)),"Fluid/Blood Leak",ISNUMBER(SEARCH("missing",C28)),"Component Missing",ISNUMBER(SEARCH("power",C28)),"Complete Loss of Power",ISNUMBER(SEARCH("will not turn on",C28)),"Complete Loss of Power",ISNUMBER(SEARCH("won't turn on",C28)),"Complete Loss of Power",ISNUMBER(SEARCH("does not turn on",C28)),"Complete Loss of Power",ISNUMBER(SEARCH("electrical",C28)),"Electrical Power Problem",ISNUMBER(SEARCH("pressure",C28)),"Detachment of Device or Device Component",ISNUMBER(SEARCH("slip",C28)),"Detachment of Device or Device Component",ISNUMBER(SEARCH("detach",C28)),"Detachment of Device or Device Component",ISNUMBER(SEARCH("stick",C28)),"Mechanical Jam",ISNUMBER(SEARCH("jam",C28)),"Mechanical Jam",ISNUMBER(SEARCH("rigid",C28)),"Mechanical Jam",ISNUMBER(SEARCH("rust",C28)),"Corroded",ISNUMBER(SEARCH("corrod",C28)),"Corroded",ISNUMBER(SEARCH("corrosion",C28)),"Corroded",ISNUMBER(SEARCH("alignment",C28)),"Defective Device",ISNUMBER(SEARCH("adjust",C28)),"Defective Device",ISNUMBER(SEARCH("perform",C28)),"Defective Device",ISNUMBER(SEARCH("malfunction",C28)),"Defective Device",ISNUMBER(SEARCH("defect",C28)),"Defective Device",ISNUMBER(SEARCH("fail",C28)),"Defective Device",ISNUMBER(SEARCH("not work",C28)),"Defective Device",ISNUMBER(SEARCH("doesn't work",C28)),"Defective Device",TRUE,"UNKNOWN"),"UNKNOWN")))</f>
        <v/>
      </c>
      <c r="F28" s="4" t="str">
        <f t="shared" si="0"/>
        <v/>
      </c>
      <c r="G28" s="363" t="str">
        <f>IF(E28="","",IFERROR(VLOOKUP(E28,Codes!$L$2:$N$409,3,FALSE),"—"))</f>
        <v/>
      </c>
      <c r="H28" s="88"/>
      <c r="I28" s="88"/>
    </row>
    <row r="29" spans="1:9" ht="13.15" x14ac:dyDescent="0.35">
      <c r="A29" s="434"/>
      <c r="B29" s="436"/>
      <c r="C29" s="437"/>
      <c r="D29" s="434"/>
      <c r="E29" s="93" t="str" cm="1">
        <f t="array" ref="E29">IF(D29&lt;&gt;"",IFERROR(VLOOKUP(D29,Codes!$K$2:$L$409,2,FALSE),"UNKNOWN - "&amp;D29),IF(C29="","",IFERROR(_xlfn.IFS(ISNUMBER(SEARCH("broken button",C29)),"Break",ISNUMBER(SEARCH("broken handle",C29)),"Break",ISNUMBER(SEARCH("shipping damage",C29)),"Break",ISNUMBER(SEARCH("broken",C29)),"Break",ISNUMBER(SEARCH("crack",C29)),"Break",ISNUMBER(SEARCH("snap",C29)),"Break",ISNUMBER(SEARCH("fracture",C29)),"Break",ISNUMBER(SEARCH("bent",C29)),"Material Twisted/Bent",ISNUMBER(SEARCH("twisted",C29)),"Material Twisted/Bent",ISNUMBER(SEARCH("component separat",C29)),"Material Separation",ISNUMBER(SEARCH("separat",C29)),"Material Separation",ISNUMBER(SEARCH("connection",C29)),"Loose or Intermittent Connection",ISNUMBER(SEARCH("loose",C29)),"Loose or Intermittent Connection",ISNUMBER(SEARCH("damaged packaging",C29)),"Packaging Problem",ISNUMBER(SEARCH("packaging",C29)),"Packaging Problem",ISNUMBER(SEARCH("discoloration",C29)),"Contamination",ISNUMBER(SEARCH("tarnish",C29)),"Contamination",ISNUMBER(SEARCH("stain",C29)),"Contamination",ISNUMBER(SEARCH("foreign material",C29)),"Contamination",ISNUMBER(SEARCH("contamina",C29)),"Contamination",ISNUMBER(SEARCH("overheat",C29)),"Overheating of Device",ISNUMBER(SEARCH("excessive heat",C29)),"Overheating of Device",ISNUMBER(SEARCH("hot",C29)),"Overheating of Device",ISNUMBER(SEARCH("noise",C29)),"Noise, Audible",ISNUMBER(SEARCH("sound",C29)),"Noise, Audible",ISNUMBER(SEARCH("loud",C29)),"Noise, Audible",ISNUMBER(SEARCH("fray",C29)),"Material Frayed",ISNUMBER(SEARCH("hole",C29)),"Material Frayed",ISNUMBER(SEARCH("tear",C29)),"Material Frayed",ISNUMBER(SEARCH("worn",C29)),"Material Frayed",ISNUMBER(SEARCH("intermittent",C29)),"Difficult or Delayed Activation",ISNUMBER(SEARCH("delay",C29)),"Difficult or Delayed Activation",ISNUMBER(SEARCH("label",C29)),"Device Markings/Labelling Problem",ISNUMBER(SEARCH("marking",C29)),"Device Markings/Labelling Problem",ISNUMBER(SEARCH("lacerat",C29)),"Defective Device",ISNUMBER(SEARCH("cut",C29)),"Defective Device",ISNUMBER(SEARCH("leak",C29)),"Fluid/Blood Leak",ISNUMBER(SEARCH("missing",C29)),"Component Missing",ISNUMBER(SEARCH("power",C29)),"Complete Loss of Power",ISNUMBER(SEARCH("will not turn on",C29)),"Complete Loss of Power",ISNUMBER(SEARCH("won't turn on",C29)),"Complete Loss of Power",ISNUMBER(SEARCH("does not turn on",C29)),"Complete Loss of Power",ISNUMBER(SEARCH("electrical",C29)),"Electrical Power Problem",ISNUMBER(SEARCH("pressure",C29)),"Detachment of Device or Device Component",ISNUMBER(SEARCH("slip",C29)),"Detachment of Device or Device Component",ISNUMBER(SEARCH("detach",C29)),"Detachment of Device or Device Component",ISNUMBER(SEARCH("stick",C29)),"Mechanical Jam",ISNUMBER(SEARCH("jam",C29)),"Mechanical Jam",ISNUMBER(SEARCH("rigid",C29)),"Mechanical Jam",ISNUMBER(SEARCH("rust",C29)),"Corroded",ISNUMBER(SEARCH("corrod",C29)),"Corroded",ISNUMBER(SEARCH("corrosion",C29)),"Corroded",ISNUMBER(SEARCH("alignment",C29)),"Defective Device",ISNUMBER(SEARCH("adjust",C29)),"Defective Device",ISNUMBER(SEARCH("perform",C29)),"Defective Device",ISNUMBER(SEARCH("malfunction",C29)),"Defective Device",ISNUMBER(SEARCH("defect",C29)),"Defective Device",ISNUMBER(SEARCH("fail",C29)),"Defective Device",ISNUMBER(SEARCH("not work",C29)),"Defective Device",ISNUMBER(SEARCH("doesn't work",C29)),"Defective Device",TRUE,"UNKNOWN"),"UNKNOWN")))</f>
        <v/>
      </c>
      <c r="F29" s="4" t="str">
        <f t="shared" si="0"/>
        <v/>
      </c>
      <c r="G29" s="363" t="str">
        <f>IF(E29="","",IFERROR(VLOOKUP(E29,Codes!$L$2:$N$409,3,FALSE),"—"))</f>
        <v/>
      </c>
      <c r="H29" s="88"/>
      <c r="I29" s="88"/>
    </row>
    <row r="30" spans="1:9" ht="13.15" x14ac:dyDescent="0.35">
      <c r="A30" s="434"/>
      <c r="B30" s="436"/>
      <c r="C30" s="437"/>
      <c r="D30" s="434"/>
      <c r="E30" s="93" t="str" cm="1">
        <f t="array" ref="E30">IF(D30&lt;&gt;"",IFERROR(VLOOKUP(D30,Codes!$K$2:$L$409,2,FALSE),"UNKNOWN - "&amp;D30),IF(C30="","",IFERROR(_xlfn.IFS(ISNUMBER(SEARCH("broken button",C30)),"Break",ISNUMBER(SEARCH("broken handle",C30)),"Break",ISNUMBER(SEARCH("shipping damage",C30)),"Break",ISNUMBER(SEARCH("broken",C30)),"Break",ISNUMBER(SEARCH("crack",C30)),"Break",ISNUMBER(SEARCH("snap",C30)),"Break",ISNUMBER(SEARCH("fracture",C30)),"Break",ISNUMBER(SEARCH("bent",C30)),"Material Twisted/Bent",ISNUMBER(SEARCH("twisted",C30)),"Material Twisted/Bent",ISNUMBER(SEARCH("component separat",C30)),"Material Separation",ISNUMBER(SEARCH("separat",C30)),"Material Separation",ISNUMBER(SEARCH("connection",C30)),"Loose or Intermittent Connection",ISNUMBER(SEARCH("loose",C30)),"Loose or Intermittent Connection",ISNUMBER(SEARCH("damaged packaging",C30)),"Packaging Problem",ISNUMBER(SEARCH("packaging",C30)),"Packaging Problem",ISNUMBER(SEARCH("discoloration",C30)),"Contamination",ISNUMBER(SEARCH("tarnish",C30)),"Contamination",ISNUMBER(SEARCH("stain",C30)),"Contamination",ISNUMBER(SEARCH("foreign material",C30)),"Contamination",ISNUMBER(SEARCH("contamina",C30)),"Contamination",ISNUMBER(SEARCH("overheat",C30)),"Overheating of Device",ISNUMBER(SEARCH("excessive heat",C30)),"Overheating of Device",ISNUMBER(SEARCH("hot",C30)),"Overheating of Device",ISNUMBER(SEARCH("noise",C30)),"Noise, Audible",ISNUMBER(SEARCH("sound",C30)),"Noise, Audible",ISNUMBER(SEARCH("loud",C30)),"Noise, Audible",ISNUMBER(SEARCH("fray",C30)),"Material Frayed",ISNUMBER(SEARCH("hole",C30)),"Material Frayed",ISNUMBER(SEARCH("tear",C30)),"Material Frayed",ISNUMBER(SEARCH("worn",C30)),"Material Frayed",ISNUMBER(SEARCH("intermittent",C30)),"Difficult or Delayed Activation",ISNUMBER(SEARCH("delay",C30)),"Difficult or Delayed Activation",ISNUMBER(SEARCH("label",C30)),"Device Markings/Labelling Problem",ISNUMBER(SEARCH("marking",C30)),"Device Markings/Labelling Problem",ISNUMBER(SEARCH("lacerat",C30)),"Defective Device",ISNUMBER(SEARCH("cut",C30)),"Defective Device",ISNUMBER(SEARCH("leak",C30)),"Fluid/Blood Leak",ISNUMBER(SEARCH("missing",C30)),"Component Missing",ISNUMBER(SEARCH("power",C30)),"Complete Loss of Power",ISNUMBER(SEARCH("will not turn on",C30)),"Complete Loss of Power",ISNUMBER(SEARCH("won't turn on",C30)),"Complete Loss of Power",ISNUMBER(SEARCH("does not turn on",C30)),"Complete Loss of Power",ISNUMBER(SEARCH("electrical",C30)),"Electrical Power Problem",ISNUMBER(SEARCH("pressure",C30)),"Detachment of Device or Device Component",ISNUMBER(SEARCH("slip",C30)),"Detachment of Device or Device Component",ISNUMBER(SEARCH("detach",C30)),"Detachment of Device or Device Component",ISNUMBER(SEARCH("stick",C30)),"Mechanical Jam",ISNUMBER(SEARCH("jam",C30)),"Mechanical Jam",ISNUMBER(SEARCH("rigid",C30)),"Mechanical Jam",ISNUMBER(SEARCH("rust",C30)),"Corroded",ISNUMBER(SEARCH("corrod",C30)),"Corroded",ISNUMBER(SEARCH("corrosion",C30)),"Corroded",ISNUMBER(SEARCH("alignment",C30)),"Defective Device",ISNUMBER(SEARCH("adjust",C30)),"Defective Device",ISNUMBER(SEARCH("perform",C30)),"Defective Device",ISNUMBER(SEARCH("malfunction",C30)),"Defective Device",ISNUMBER(SEARCH("defect",C30)),"Defective Device",ISNUMBER(SEARCH("fail",C30)),"Defective Device",ISNUMBER(SEARCH("not work",C30)),"Defective Device",ISNUMBER(SEARCH("doesn't work",C30)),"Defective Device",TRUE,"UNKNOWN"),"UNKNOWN")))</f>
        <v/>
      </c>
      <c r="F30" s="4" t="str">
        <f t="shared" si="0"/>
        <v/>
      </c>
      <c r="G30" s="363" t="str">
        <f>IF(E30="","",IFERROR(VLOOKUP(E30,Codes!$L$2:$N$409,3,FALSE),"—"))</f>
        <v/>
      </c>
      <c r="H30" s="88"/>
      <c r="I30" s="88"/>
    </row>
    <row r="31" spans="1:9" ht="13.15" x14ac:dyDescent="0.35">
      <c r="A31" s="435"/>
      <c r="B31" s="436"/>
      <c r="C31" s="438"/>
      <c r="D31" s="435"/>
      <c r="E31" s="93" t="str" cm="1">
        <f t="array" ref="E31">IF(D31&lt;&gt;"",IFERROR(VLOOKUP(D31,Codes!$K$2:$L$409,2,FALSE),"UNKNOWN - "&amp;D31),IF(C31="","",IFERROR(_xlfn.IFS(ISNUMBER(SEARCH("broken button",C31)),"Break",ISNUMBER(SEARCH("broken handle",C31)),"Break",ISNUMBER(SEARCH("shipping damage",C31)),"Break",ISNUMBER(SEARCH("broken",C31)),"Break",ISNUMBER(SEARCH("crack",C31)),"Break",ISNUMBER(SEARCH("snap",C31)),"Break",ISNUMBER(SEARCH("fracture",C31)),"Break",ISNUMBER(SEARCH("bent",C31)),"Material Twisted/Bent",ISNUMBER(SEARCH("twisted",C31)),"Material Twisted/Bent",ISNUMBER(SEARCH("component separat",C31)),"Material Separation",ISNUMBER(SEARCH("separat",C31)),"Material Separation",ISNUMBER(SEARCH("connection",C31)),"Loose or Intermittent Connection",ISNUMBER(SEARCH("loose",C31)),"Loose or Intermittent Connection",ISNUMBER(SEARCH("damaged packaging",C31)),"Packaging Problem",ISNUMBER(SEARCH("packaging",C31)),"Packaging Problem",ISNUMBER(SEARCH("discoloration",C31)),"Contamination",ISNUMBER(SEARCH("tarnish",C31)),"Contamination",ISNUMBER(SEARCH("stain",C31)),"Contamination",ISNUMBER(SEARCH("foreign material",C31)),"Contamination",ISNUMBER(SEARCH("contamina",C31)),"Contamination",ISNUMBER(SEARCH("overheat",C31)),"Overheating of Device",ISNUMBER(SEARCH("excessive heat",C31)),"Overheating of Device",ISNUMBER(SEARCH("hot",C31)),"Overheating of Device",ISNUMBER(SEARCH("noise",C31)),"Noise, Audible",ISNUMBER(SEARCH("sound",C31)),"Noise, Audible",ISNUMBER(SEARCH("loud",C31)),"Noise, Audible",ISNUMBER(SEARCH("fray",C31)),"Material Frayed",ISNUMBER(SEARCH("hole",C31)),"Material Frayed",ISNUMBER(SEARCH("tear",C31)),"Material Frayed",ISNUMBER(SEARCH("worn",C31)),"Material Frayed",ISNUMBER(SEARCH("intermittent",C31)),"Difficult or Delayed Activation",ISNUMBER(SEARCH("delay",C31)),"Difficult or Delayed Activation",ISNUMBER(SEARCH("label",C31)),"Device Markings/Labelling Problem",ISNUMBER(SEARCH("marking",C31)),"Device Markings/Labelling Problem",ISNUMBER(SEARCH("lacerat",C31)),"Defective Device",ISNUMBER(SEARCH("cut",C31)),"Defective Device",ISNUMBER(SEARCH("leak",C31)),"Fluid/Blood Leak",ISNUMBER(SEARCH("missing",C31)),"Component Missing",ISNUMBER(SEARCH("power",C31)),"Complete Loss of Power",ISNUMBER(SEARCH("will not turn on",C31)),"Complete Loss of Power",ISNUMBER(SEARCH("won't turn on",C31)),"Complete Loss of Power",ISNUMBER(SEARCH("does not turn on",C31)),"Complete Loss of Power",ISNUMBER(SEARCH("electrical",C31)),"Electrical Power Problem",ISNUMBER(SEARCH("pressure",C31)),"Detachment of Device or Device Component",ISNUMBER(SEARCH("slip",C31)),"Detachment of Device or Device Component",ISNUMBER(SEARCH("detach",C31)),"Detachment of Device or Device Component",ISNUMBER(SEARCH("stick",C31)),"Mechanical Jam",ISNUMBER(SEARCH("jam",C31)),"Mechanical Jam",ISNUMBER(SEARCH("rigid",C31)),"Mechanical Jam",ISNUMBER(SEARCH("rust",C31)),"Corroded",ISNUMBER(SEARCH("corrod",C31)),"Corroded",ISNUMBER(SEARCH("corrosion",C31)),"Corroded",ISNUMBER(SEARCH("alignment",C31)),"Defective Device",ISNUMBER(SEARCH("adjust",C31)),"Defective Device",ISNUMBER(SEARCH("perform",C31)),"Defective Device",ISNUMBER(SEARCH("malfunction",C31)),"Defective Device",ISNUMBER(SEARCH("defect",C31)),"Defective Device",ISNUMBER(SEARCH("fail",C31)),"Defective Device",ISNUMBER(SEARCH("not work",C31)),"Defective Device",ISNUMBER(SEARCH("doesn't work",C31)),"Defective Device",TRUE,"UNKNOWN"),"UNKNOWN")))</f>
        <v/>
      </c>
      <c r="F31" s="4" t="str">
        <f t="shared" si="0"/>
        <v/>
      </c>
      <c r="G31" s="363" t="str">
        <f>IF(E31="","",IFERROR(VLOOKUP(E31,Codes!$L$2:$N$409,3,FALSE),"—"))</f>
        <v/>
      </c>
      <c r="H31" s="88"/>
      <c r="I31" s="88"/>
    </row>
    <row r="32" spans="1:9" ht="13.15" x14ac:dyDescent="0.35">
      <c r="A32" s="435"/>
      <c r="B32" s="436"/>
      <c r="C32" s="438"/>
      <c r="D32" s="435"/>
      <c r="E32" s="93" t="str" cm="1">
        <f t="array" ref="E32">IF(D32&lt;&gt;"",IFERROR(VLOOKUP(D32,Codes!$K$2:$L$409,2,FALSE),"UNKNOWN - "&amp;D32),IF(C32="","",IFERROR(_xlfn.IFS(ISNUMBER(SEARCH("broken button",C32)),"Break",ISNUMBER(SEARCH("broken handle",C32)),"Break",ISNUMBER(SEARCH("shipping damage",C32)),"Break",ISNUMBER(SEARCH("broken",C32)),"Break",ISNUMBER(SEARCH("crack",C32)),"Break",ISNUMBER(SEARCH("snap",C32)),"Break",ISNUMBER(SEARCH("fracture",C32)),"Break",ISNUMBER(SEARCH("bent",C32)),"Material Twisted/Bent",ISNUMBER(SEARCH("twisted",C32)),"Material Twisted/Bent",ISNUMBER(SEARCH("component separat",C32)),"Material Separation",ISNUMBER(SEARCH("separat",C32)),"Material Separation",ISNUMBER(SEARCH("connection",C32)),"Loose or Intermittent Connection",ISNUMBER(SEARCH("loose",C32)),"Loose or Intermittent Connection",ISNUMBER(SEARCH("damaged packaging",C32)),"Packaging Problem",ISNUMBER(SEARCH("packaging",C32)),"Packaging Problem",ISNUMBER(SEARCH("discoloration",C32)),"Contamination",ISNUMBER(SEARCH("tarnish",C32)),"Contamination",ISNUMBER(SEARCH("stain",C32)),"Contamination",ISNUMBER(SEARCH("foreign material",C32)),"Contamination",ISNUMBER(SEARCH("contamina",C32)),"Contamination",ISNUMBER(SEARCH("overheat",C32)),"Overheating of Device",ISNUMBER(SEARCH("excessive heat",C32)),"Overheating of Device",ISNUMBER(SEARCH("hot",C32)),"Overheating of Device",ISNUMBER(SEARCH("noise",C32)),"Noise, Audible",ISNUMBER(SEARCH("sound",C32)),"Noise, Audible",ISNUMBER(SEARCH("loud",C32)),"Noise, Audible",ISNUMBER(SEARCH("fray",C32)),"Material Frayed",ISNUMBER(SEARCH("hole",C32)),"Material Frayed",ISNUMBER(SEARCH("tear",C32)),"Material Frayed",ISNUMBER(SEARCH("worn",C32)),"Material Frayed",ISNUMBER(SEARCH("intermittent",C32)),"Difficult or Delayed Activation",ISNUMBER(SEARCH("delay",C32)),"Difficult or Delayed Activation",ISNUMBER(SEARCH("label",C32)),"Device Markings/Labelling Problem",ISNUMBER(SEARCH("marking",C32)),"Device Markings/Labelling Problem",ISNUMBER(SEARCH("lacerat",C32)),"Defective Device",ISNUMBER(SEARCH("cut",C32)),"Defective Device",ISNUMBER(SEARCH("leak",C32)),"Fluid/Blood Leak",ISNUMBER(SEARCH("missing",C32)),"Component Missing",ISNUMBER(SEARCH("power",C32)),"Complete Loss of Power",ISNUMBER(SEARCH("will not turn on",C32)),"Complete Loss of Power",ISNUMBER(SEARCH("won't turn on",C32)),"Complete Loss of Power",ISNUMBER(SEARCH("does not turn on",C32)),"Complete Loss of Power",ISNUMBER(SEARCH("electrical",C32)),"Electrical Power Problem",ISNUMBER(SEARCH("pressure",C32)),"Detachment of Device or Device Component",ISNUMBER(SEARCH("slip",C32)),"Detachment of Device or Device Component",ISNUMBER(SEARCH("detach",C32)),"Detachment of Device or Device Component",ISNUMBER(SEARCH("stick",C32)),"Mechanical Jam",ISNUMBER(SEARCH("jam",C32)),"Mechanical Jam",ISNUMBER(SEARCH("rigid",C32)),"Mechanical Jam",ISNUMBER(SEARCH("rust",C32)),"Corroded",ISNUMBER(SEARCH("corrod",C32)),"Corroded",ISNUMBER(SEARCH("corrosion",C32)),"Corroded",ISNUMBER(SEARCH("alignment",C32)),"Defective Device",ISNUMBER(SEARCH("adjust",C32)),"Defective Device",ISNUMBER(SEARCH("perform",C32)),"Defective Device",ISNUMBER(SEARCH("malfunction",C32)),"Defective Device",ISNUMBER(SEARCH("defect",C32)),"Defective Device",ISNUMBER(SEARCH("fail",C32)),"Defective Device",ISNUMBER(SEARCH("not work",C32)),"Defective Device",ISNUMBER(SEARCH("doesn't work",C32)),"Defective Device",TRUE,"UNKNOWN"),"UNKNOWN")))</f>
        <v/>
      </c>
      <c r="F32" s="4" t="str">
        <f t="shared" si="0"/>
        <v/>
      </c>
      <c r="G32" s="363" t="str">
        <f>IF(E32="","",IFERROR(VLOOKUP(E32,Codes!$L$2:$N$409,3,FALSE),"—"))</f>
        <v/>
      </c>
      <c r="H32" s="88"/>
      <c r="I32" s="88"/>
    </row>
    <row r="33" spans="1:9" ht="13.15" x14ac:dyDescent="0.35">
      <c r="A33" s="435"/>
      <c r="B33" s="436"/>
      <c r="C33" s="438"/>
      <c r="D33" s="435"/>
      <c r="E33" s="93" t="str" cm="1">
        <f t="array" ref="E33">IF(D33&lt;&gt;"",IFERROR(VLOOKUP(D33,Codes!$K$2:$L$409,2,FALSE),"UNKNOWN - "&amp;D33),IF(C33="","",IFERROR(_xlfn.IFS(ISNUMBER(SEARCH("broken button",C33)),"Break",ISNUMBER(SEARCH("broken handle",C33)),"Break",ISNUMBER(SEARCH("shipping damage",C33)),"Break",ISNUMBER(SEARCH("broken",C33)),"Break",ISNUMBER(SEARCH("crack",C33)),"Break",ISNUMBER(SEARCH("snap",C33)),"Break",ISNUMBER(SEARCH("fracture",C33)),"Break",ISNUMBER(SEARCH("bent",C33)),"Material Twisted/Bent",ISNUMBER(SEARCH("twisted",C33)),"Material Twisted/Bent",ISNUMBER(SEARCH("component separat",C33)),"Material Separation",ISNUMBER(SEARCH("separat",C33)),"Material Separation",ISNUMBER(SEARCH("connection",C33)),"Loose or Intermittent Connection",ISNUMBER(SEARCH("loose",C33)),"Loose or Intermittent Connection",ISNUMBER(SEARCH("damaged packaging",C33)),"Packaging Problem",ISNUMBER(SEARCH("packaging",C33)),"Packaging Problem",ISNUMBER(SEARCH("discoloration",C33)),"Contamination",ISNUMBER(SEARCH("tarnish",C33)),"Contamination",ISNUMBER(SEARCH("stain",C33)),"Contamination",ISNUMBER(SEARCH("foreign material",C33)),"Contamination",ISNUMBER(SEARCH("contamina",C33)),"Contamination",ISNUMBER(SEARCH("overheat",C33)),"Overheating of Device",ISNUMBER(SEARCH("excessive heat",C33)),"Overheating of Device",ISNUMBER(SEARCH("hot",C33)),"Overheating of Device",ISNUMBER(SEARCH("noise",C33)),"Noise, Audible",ISNUMBER(SEARCH("sound",C33)),"Noise, Audible",ISNUMBER(SEARCH("loud",C33)),"Noise, Audible",ISNUMBER(SEARCH("fray",C33)),"Material Frayed",ISNUMBER(SEARCH("hole",C33)),"Material Frayed",ISNUMBER(SEARCH("tear",C33)),"Material Frayed",ISNUMBER(SEARCH("worn",C33)),"Material Frayed",ISNUMBER(SEARCH("intermittent",C33)),"Difficult or Delayed Activation",ISNUMBER(SEARCH("delay",C33)),"Difficult or Delayed Activation",ISNUMBER(SEARCH("label",C33)),"Device Markings/Labelling Problem",ISNUMBER(SEARCH("marking",C33)),"Device Markings/Labelling Problem",ISNUMBER(SEARCH("lacerat",C33)),"Defective Device",ISNUMBER(SEARCH("cut",C33)),"Defective Device",ISNUMBER(SEARCH("leak",C33)),"Fluid/Blood Leak",ISNUMBER(SEARCH("missing",C33)),"Component Missing",ISNUMBER(SEARCH("power",C33)),"Complete Loss of Power",ISNUMBER(SEARCH("will not turn on",C33)),"Complete Loss of Power",ISNUMBER(SEARCH("won't turn on",C33)),"Complete Loss of Power",ISNUMBER(SEARCH("does not turn on",C33)),"Complete Loss of Power",ISNUMBER(SEARCH("electrical",C33)),"Electrical Power Problem",ISNUMBER(SEARCH("pressure",C33)),"Detachment of Device or Device Component",ISNUMBER(SEARCH("slip",C33)),"Detachment of Device or Device Component",ISNUMBER(SEARCH("detach",C33)),"Detachment of Device or Device Component",ISNUMBER(SEARCH("stick",C33)),"Mechanical Jam",ISNUMBER(SEARCH("jam",C33)),"Mechanical Jam",ISNUMBER(SEARCH("rigid",C33)),"Mechanical Jam",ISNUMBER(SEARCH("rust",C33)),"Corroded",ISNUMBER(SEARCH("corrod",C33)),"Corroded",ISNUMBER(SEARCH("corrosion",C33)),"Corroded",ISNUMBER(SEARCH("alignment",C33)),"Defective Device",ISNUMBER(SEARCH("adjust",C33)),"Defective Device",ISNUMBER(SEARCH("perform",C33)),"Defective Device",ISNUMBER(SEARCH("malfunction",C33)),"Defective Device",ISNUMBER(SEARCH("defect",C33)),"Defective Device",ISNUMBER(SEARCH("fail",C33)),"Defective Device",ISNUMBER(SEARCH("not work",C33)),"Defective Device",ISNUMBER(SEARCH("doesn't work",C33)),"Defective Device",TRUE,"UNKNOWN"),"UNKNOWN")))</f>
        <v/>
      </c>
      <c r="F33" s="4" t="str">
        <f t="shared" si="0"/>
        <v/>
      </c>
      <c r="G33" s="363" t="str">
        <f>IF(E33="","",IFERROR(VLOOKUP(E33,Codes!$L$2:$N$409,3,FALSE),"—"))</f>
        <v/>
      </c>
      <c r="H33" s="88"/>
      <c r="I33" s="88"/>
    </row>
    <row r="34" spans="1:9" ht="13.15" x14ac:dyDescent="0.35">
      <c r="A34" s="435"/>
      <c r="B34" s="436"/>
      <c r="C34" s="438"/>
      <c r="D34" s="435"/>
      <c r="E34" s="93" t="str" cm="1">
        <f t="array" ref="E34">IF(D34&lt;&gt;"",IFERROR(VLOOKUP(D34,Codes!$K$2:$L$409,2,FALSE),"UNKNOWN - "&amp;D34),IF(C34="","",IFERROR(_xlfn.IFS(ISNUMBER(SEARCH("broken button",C34)),"Break",ISNUMBER(SEARCH("broken handle",C34)),"Break",ISNUMBER(SEARCH("shipping damage",C34)),"Break",ISNUMBER(SEARCH("broken",C34)),"Break",ISNUMBER(SEARCH("crack",C34)),"Break",ISNUMBER(SEARCH("snap",C34)),"Break",ISNUMBER(SEARCH("fracture",C34)),"Break",ISNUMBER(SEARCH("bent",C34)),"Material Twisted/Bent",ISNUMBER(SEARCH("twisted",C34)),"Material Twisted/Bent",ISNUMBER(SEARCH("component separat",C34)),"Material Separation",ISNUMBER(SEARCH("separat",C34)),"Material Separation",ISNUMBER(SEARCH("connection",C34)),"Loose or Intermittent Connection",ISNUMBER(SEARCH("loose",C34)),"Loose or Intermittent Connection",ISNUMBER(SEARCH("damaged packaging",C34)),"Packaging Problem",ISNUMBER(SEARCH("packaging",C34)),"Packaging Problem",ISNUMBER(SEARCH("discoloration",C34)),"Contamination",ISNUMBER(SEARCH("tarnish",C34)),"Contamination",ISNUMBER(SEARCH("stain",C34)),"Contamination",ISNUMBER(SEARCH("foreign material",C34)),"Contamination",ISNUMBER(SEARCH("contamina",C34)),"Contamination",ISNUMBER(SEARCH("overheat",C34)),"Overheating of Device",ISNUMBER(SEARCH("excessive heat",C34)),"Overheating of Device",ISNUMBER(SEARCH("hot",C34)),"Overheating of Device",ISNUMBER(SEARCH("noise",C34)),"Noise, Audible",ISNUMBER(SEARCH("sound",C34)),"Noise, Audible",ISNUMBER(SEARCH("loud",C34)),"Noise, Audible",ISNUMBER(SEARCH("fray",C34)),"Material Frayed",ISNUMBER(SEARCH("hole",C34)),"Material Frayed",ISNUMBER(SEARCH("tear",C34)),"Material Frayed",ISNUMBER(SEARCH("worn",C34)),"Material Frayed",ISNUMBER(SEARCH("intermittent",C34)),"Difficult or Delayed Activation",ISNUMBER(SEARCH("delay",C34)),"Difficult or Delayed Activation",ISNUMBER(SEARCH("label",C34)),"Device Markings/Labelling Problem",ISNUMBER(SEARCH("marking",C34)),"Device Markings/Labelling Problem",ISNUMBER(SEARCH("lacerat",C34)),"Defective Device",ISNUMBER(SEARCH("cut",C34)),"Defective Device",ISNUMBER(SEARCH("leak",C34)),"Fluid/Blood Leak",ISNUMBER(SEARCH("missing",C34)),"Component Missing",ISNUMBER(SEARCH("power",C34)),"Complete Loss of Power",ISNUMBER(SEARCH("will not turn on",C34)),"Complete Loss of Power",ISNUMBER(SEARCH("won't turn on",C34)),"Complete Loss of Power",ISNUMBER(SEARCH("does not turn on",C34)),"Complete Loss of Power",ISNUMBER(SEARCH("electrical",C34)),"Electrical Power Problem",ISNUMBER(SEARCH("pressure",C34)),"Detachment of Device or Device Component",ISNUMBER(SEARCH("slip",C34)),"Detachment of Device or Device Component",ISNUMBER(SEARCH("detach",C34)),"Detachment of Device or Device Component",ISNUMBER(SEARCH("stick",C34)),"Mechanical Jam",ISNUMBER(SEARCH("jam",C34)),"Mechanical Jam",ISNUMBER(SEARCH("rigid",C34)),"Mechanical Jam",ISNUMBER(SEARCH("rust",C34)),"Corroded",ISNUMBER(SEARCH("corrod",C34)),"Corroded",ISNUMBER(SEARCH("corrosion",C34)),"Corroded",ISNUMBER(SEARCH("alignment",C34)),"Defective Device",ISNUMBER(SEARCH("adjust",C34)),"Defective Device",ISNUMBER(SEARCH("perform",C34)),"Defective Device",ISNUMBER(SEARCH("malfunction",C34)),"Defective Device",ISNUMBER(SEARCH("defect",C34)),"Defective Device",ISNUMBER(SEARCH("fail",C34)),"Defective Device",ISNUMBER(SEARCH("not work",C34)),"Defective Device",ISNUMBER(SEARCH("doesn't work",C34)),"Defective Device",TRUE,"UNKNOWN"),"UNKNOWN")))</f>
        <v/>
      </c>
      <c r="F34" s="4" t="str">
        <f t="shared" si="0"/>
        <v/>
      </c>
      <c r="G34" s="363" t="str">
        <f>IF(E34="","",IFERROR(VLOOKUP(E34,Codes!$L$2:$N$409,3,FALSE),"—"))</f>
        <v/>
      </c>
      <c r="H34" s="88"/>
      <c r="I34" s="88"/>
    </row>
    <row r="35" spans="1:9" ht="13.15" x14ac:dyDescent="0.35">
      <c r="A35" s="435"/>
      <c r="B35" s="436"/>
      <c r="C35" s="438"/>
      <c r="D35" s="435"/>
      <c r="E35" s="93" t="str" cm="1">
        <f t="array" ref="E35">IF(D35&lt;&gt;"",IFERROR(VLOOKUP(D35,Codes!$K$2:$L$409,2,FALSE),"UNKNOWN - "&amp;D35),IF(C35="","",IFERROR(_xlfn.IFS(ISNUMBER(SEARCH("broken button",C35)),"Break",ISNUMBER(SEARCH("broken handle",C35)),"Break",ISNUMBER(SEARCH("shipping damage",C35)),"Break",ISNUMBER(SEARCH("broken",C35)),"Break",ISNUMBER(SEARCH("crack",C35)),"Break",ISNUMBER(SEARCH("snap",C35)),"Break",ISNUMBER(SEARCH("fracture",C35)),"Break",ISNUMBER(SEARCH("bent",C35)),"Material Twisted/Bent",ISNUMBER(SEARCH("twisted",C35)),"Material Twisted/Bent",ISNUMBER(SEARCH("component separat",C35)),"Material Separation",ISNUMBER(SEARCH("separat",C35)),"Material Separation",ISNUMBER(SEARCH("connection",C35)),"Loose or Intermittent Connection",ISNUMBER(SEARCH("loose",C35)),"Loose or Intermittent Connection",ISNUMBER(SEARCH("damaged packaging",C35)),"Packaging Problem",ISNUMBER(SEARCH("packaging",C35)),"Packaging Problem",ISNUMBER(SEARCH("discoloration",C35)),"Contamination",ISNUMBER(SEARCH("tarnish",C35)),"Contamination",ISNUMBER(SEARCH("stain",C35)),"Contamination",ISNUMBER(SEARCH("foreign material",C35)),"Contamination",ISNUMBER(SEARCH("contamina",C35)),"Contamination",ISNUMBER(SEARCH("overheat",C35)),"Overheating of Device",ISNUMBER(SEARCH("excessive heat",C35)),"Overheating of Device",ISNUMBER(SEARCH("hot",C35)),"Overheating of Device",ISNUMBER(SEARCH("noise",C35)),"Noise, Audible",ISNUMBER(SEARCH("sound",C35)),"Noise, Audible",ISNUMBER(SEARCH("loud",C35)),"Noise, Audible",ISNUMBER(SEARCH("fray",C35)),"Material Frayed",ISNUMBER(SEARCH("hole",C35)),"Material Frayed",ISNUMBER(SEARCH("tear",C35)),"Material Frayed",ISNUMBER(SEARCH("worn",C35)),"Material Frayed",ISNUMBER(SEARCH("intermittent",C35)),"Difficult or Delayed Activation",ISNUMBER(SEARCH("delay",C35)),"Difficult or Delayed Activation",ISNUMBER(SEARCH("label",C35)),"Device Markings/Labelling Problem",ISNUMBER(SEARCH("marking",C35)),"Device Markings/Labelling Problem",ISNUMBER(SEARCH("lacerat",C35)),"Defective Device",ISNUMBER(SEARCH("cut",C35)),"Defective Device",ISNUMBER(SEARCH("leak",C35)),"Fluid/Blood Leak",ISNUMBER(SEARCH("missing",C35)),"Component Missing",ISNUMBER(SEARCH("power",C35)),"Complete Loss of Power",ISNUMBER(SEARCH("will not turn on",C35)),"Complete Loss of Power",ISNUMBER(SEARCH("won't turn on",C35)),"Complete Loss of Power",ISNUMBER(SEARCH("does not turn on",C35)),"Complete Loss of Power",ISNUMBER(SEARCH("electrical",C35)),"Electrical Power Problem",ISNUMBER(SEARCH("pressure",C35)),"Detachment of Device or Device Component",ISNUMBER(SEARCH("slip",C35)),"Detachment of Device or Device Component",ISNUMBER(SEARCH("detach",C35)),"Detachment of Device or Device Component",ISNUMBER(SEARCH("stick",C35)),"Mechanical Jam",ISNUMBER(SEARCH("jam",C35)),"Mechanical Jam",ISNUMBER(SEARCH("rigid",C35)),"Mechanical Jam",ISNUMBER(SEARCH("rust",C35)),"Corroded",ISNUMBER(SEARCH("corrod",C35)),"Corroded",ISNUMBER(SEARCH("corrosion",C35)),"Corroded",ISNUMBER(SEARCH("alignment",C35)),"Defective Device",ISNUMBER(SEARCH("adjust",C35)),"Defective Device",ISNUMBER(SEARCH("perform",C35)),"Defective Device",ISNUMBER(SEARCH("malfunction",C35)),"Defective Device",ISNUMBER(SEARCH("defect",C35)),"Defective Device",ISNUMBER(SEARCH("fail",C35)),"Defective Device",ISNUMBER(SEARCH("not work",C35)),"Defective Device",ISNUMBER(SEARCH("doesn't work",C35)),"Defective Device",TRUE,"UNKNOWN"),"UNKNOWN")))</f>
        <v/>
      </c>
      <c r="F35" s="4" t="str">
        <f t="shared" si="0"/>
        <v/>
      </c>
      <c r="G35" s="363" t="str">
        <f>IF(E35="","",IFERROR(VLOOKUP(E35,Codes!$L$2:$N$409,3,FALSE),"—"))</f>
        <v/>
      </c>
      <c r="H35" s="88"/>
      <c r="I35" s="88"/>
    </row>
    <row r="36" spans="1:9" ht="13.15" x14ac:dyDescent="0.35">
      <c r="A36" s="434"/>
      <c r="B36" s="436"/>
      <c r="C36" s="437"/>
      <c r="D36" s="434"/>
      <c r="E36" s="93" t="str" cm="1">
        <f t="array" ref="E36">IF(D36&lt;&gt;"",IFERROR(VLOOKUP(D36,Codes!$K$2:$L$409,2,FALSE),"UNKNOWN - "&amp;D36),IF(C36="","",IFERROR(_xlfn.IFS(ISNUMBER(SEARCH("broken button",C36)),"Break",ISNUMBER(SEARCH("broken handle",C36)),"Break",ISNUMBER(SEARCH("shipping damage",C36)),"Break",ISNUMBER(SEARCH("broken",C36)),"Break",ISNUMBER(SEARCH("crack",C36)),"Break",ISNUMBER(SEARCH("snap",C36)),"Break",ISNUMBER(SEARCH("fracture",C36)),"Break",ISNUMBER(SEARCH("bent",C36)),"Material Twisted/Bent",ISNUMBER(SEARCH("twisted",C36)),"Material Twisted/Bent",ISNUMBER(SEARCH("component separat",C36)),"Material Separation",ISNUMBER(SEARCH("separat",C36)),"Material Separation",ISNUMBER(SEARCH("connection",C36)),"Loose or Intermittent Connection",ISNUMBER(SEARCH("loose",C36)),"Loose or Intermittent Connection",ISNUMBER(SEARCH("damaged packaging",C36)),"Packaging Problem",ISNUMBER(SEARCH("packaging",C36)),"Packaging Problem",ISNUMBER(SEARCH("discoloration",C36)),"Contamination",ISNUMBER(SEARCH("tarnish",C36)),"Contamination",ISNUMBER(SEARCH("stain",C36)),"Contamination",ISNUMBER(SEARCH("foreign material",C36)),"Contamination",ISNUMBER(SEARCH("contamina",C36)),"Contamination",ISNUMBER(SEARCH("overheat",C36)),"Overheating of Device",ISNUMBER(SEARCH("excessive heat",C36)),"Overheating of Device",ISNUMBER(SEARCH("hot",C36)),"Overheating of Device",ISNUMBER(SEARCH("noise",C36)),"Noise, Audible",ISNUMBER(SEARCH("sound",C36)),"Noise, Audible",ISNUMBER(SEARCH("loud",C36)),"Noise, Audible",ISNUMBER(SEARCH("fray",C36)),"Material Frayed",ISNUMBER(SEARCH("hole",C36)),"Material Frayed",ISNUMBER(SEARCH("tear",C36)),"Material Frayed",ISNUMBER(SEARCH("worn",C36)),"Material Frayed",ISNUMBER(SEARCH("intermittent",C36)),"Difficult or Delayed Activation",ISNUMBER(SEARCH("delay",C36)),"Difficult or Delayed Activation",ISNUMBER(SEARCH("label",C36)),"Device Markings/Labelling Problem",ISNUMBER(SEARCH("marking",C36)),"Device Markings/Labelling Problem",ISNUMBER(SEARCH("lacerat",C36)),"Defective Device",ISNUMBER(SEARCH("cut",C36)),"Defective Device",ISNUMBER(SEARCH("leak",C36)),"Fluid/Blood Leak",ISNUMBER(SEARCH("missing",C36)),"Component Missing",ISNUMBER(SEARCH("power",C36)),"Complete Loss of Power",ISNUMBER(SEARCH("will not turn on",C36)),"Complete Loss of Power",ISNUMBER(SEARCH("won't turn on",C36)),"Complete Loss of Power",ISNUMBER(SEARCH("does not turn on",C36)),"Complete Loss of Power",ISNUMBER(SEARCH("electrical",C36)),"Electrical Power Problem",ISNUMBER(SEARCH("pressure",C36)),"Detachment of Device or Device Component",ISNUMBER(SEARCH("slip",C36)),"Detachment of Device or Device Component",ISNUMBER(SEARCH("detach",C36)),"Detachment of Device or Device Component",ISNUMBER(SEARCH("stick",C36)),"Mechanical Jam",ISNUMBER(SEARCH("jam",C36)),"Mechanical Jam",ISNUMBER(SEARCH("rigid",C36)),"Mechanical Jam",ISNUMBER(SEARCH("rust",C36)),"Corroded",ISNUMBER(SEARCH("corrod",C36)),"Corroded",ISNUMBER(SEARCH("corrosion",C36)),"Corroded",ISNUMBER(SEARCH("alignment",C36)),"Defective Device",ISNUMBER(SEARCH("adjust",C36)),"Defective Device",ISNUMBER(SEARCH("perform",C36)),"Defective Device",ISNUMBER(SEARCH("malfunction",C36)),"Defective Device",ISNUMBER(SEARCH("defect",C36)),"Defective Device",ISNUMBER(SEARCH("fail",C36)),"Defective Device",ISNUMBER(SEARCH("not work",C36)),"Defective Device",ISNUMBER(SEARCH("doesn't work",C36)),"Defective Device",TRUE,"UNKNOWN"),"UNKNOWN")))</f>
        <v/>
      </c>
      <c r="F36" s="4" t="str">
        <f t="shared" si="0"/>
        <v/>
      </c>
      <c r="G36" s="363" t="str">
        <f>IF(E36="","",IFERROR(VLOOKUP(E36,Codes!$L$2:$N$409,3,FALSE),"—"))</f>
        <v/>
      </c>
      <c r="H36" s="88"/>
      <c r="I36" s="88"/>
    </row>
    <row r="37" spans="1:9" ht="13.15" x14ac:dyDescent="0.35">
      <c r="A37" s="435"/>
      <c r="B37" s="436"/>
      <c r="C37" s="438"/>
      <c r="D37" s="435"/>
      <c r="E37" s="93" t="str" cm="1">
        <f t="array" ref="E37">IF(D37&lt;&gt;"",IFERROR(VLOOKUP(D37,Codes!$K$2:$L$409,2,FALSE),"UNKNOWN - "&amp;D37),IF(C37="","",IFERROR(_xlfn.IFS(ISNUMBER(SEARCH("broken button",C37)),"Break",ISNUMBER(SEARCH("broken handle",C37)),"Break",ISNUMBER(SEARCH("shipping damage",C37)),"Break",ISNUMBER(SEARCH("broken",C37)),"Break",ISNUMBER(SEARCH("crack",C37)),"Break",ISNUMBER(SEARCH("snap",C37)),"Break",ISNUMBER(SEARCH("fracture",C37)),"Break",ISNUMBER(SEARCH("bent",C37)),"Material Twisted/Bent",ISNUMBER(SEARCH("twisted",C37)),"Material Twisted/Bent",ISNUMBER(SEARCH("component separat",C37)),"Material Separation",ISNUMBER(SEARCH("separat",C37)),"Material Separation",ISNUMBER(SEARCH("connection",C37)),"Loose or Intermittent Connection",ISNUMBER(SEARCH("loose",C37)),"Loose or Intermittent Connection",ISNUMBER(SEARCH("damaged packaging",C37)),"Packaging Problem",ISNUMBER(SEARCH("packaging",C37)),"Packaging Problem",ISNUMBER(SEARCH("discoloration",C37)),"Contamination",ISNUMBER(SEARCH("tarnish",C37)),"Contamination",ISNUMBER(SEARCH("stain",C37)),"Contamination",ISNUMBER(SEARCH("foreign material",C37)),"Contamination",ISNUMBER(SEARCH("contamina",C37)),"Contamination",ISNUMBER(SEARCH("overheat",C37)),"Overheating of Device",ISNUMBER(SEARCH("excessive heat",C37)),"Overheating of Device",ISNUMBER(SEARCH("hot",C37)),"Overheating of Device",ISNUMBER(SEARCH("noise",C37)),"Noise, Audible",ISNUMBER(SEARCH("sound",C37)),"Noise, Audible",ISNUMBER(SEARCH("loud",C37)),"Noise, Audible",ISNUMBER(SEARCH("fray",C37)),"Material Frayed",ISNUMBER(SEARCH("hole",C37)),"Material Frayed",ISNUMBER(SEARCH("tear",C37)),"Material Frayed",ISNUMBER(SEARCH("worn",C37)),"Material Frayed",ISNUMBER(SEARCH("intermittent",C37)),"Difficult or Delayed Activation",ISNUMBER(SEARCH("delay",C37)),"Difficult or Delayed Activation",ISNUMBER(SEARCH("label",C37)),"Device Markings/Labelling Problem",ISNUMBER(SEARCH("marking",C37)),"Device Markings/Labelling Problem",ISNUMBER(SEARCH("lacerat",C37)),"Defective Device",ISNUMBER(SEARCH("cut",C37)),"Defective Device",ISNUMBER(SEARCH("leak",C37)),"Fluid/Blood Leak",ISNUMBER(SEARCH("missing",C37)),"Component Missing",ISNUMBER(SEARCH("power",C37)),"Complete Loss of Power",ISNUMBER(SEARCH("will not turn on",C37)),"Complete Loss of Power",ISNUMBER(SEARCH("won't turn on",C37)),"Complete Loss of Power",ISNUMBER(SEARCH("does not turn on",C37)),"Complete Loss of Power",ISNUMBER(SEARCH("electrical",C37)),"Electrical Power Problem",ISNUMBER(SEARCH("pressure",C37)),"Detachment of Device or Device Component",ISNUMBER(SEARCH("slip",C37)),"Detachment of Device or Device Component",ISNUMBER(SEARCH("detach",C37)),"Detachment of Device or Device Component",ISNUMBER(SEARCH("stick",C37)),"Mechanical Jam",ISNUMBER(SEARCH("jam",C37)),"Mechanical Jam",ISNUMBER(SEARCH("rigid",C37)),"Mechanical Jam",ISNUMBER(SEARCH("rust",C37)),"Corroded",ISNUMBER(SEARCH("corrod",C37)),"Corroded",ISNUMBER(SEARCH("corrosion",C37)),"Corroded",ISNUMBER(SEARCH("alignment",C37)),"Defective Device",ISNUMBER(SEARCH("adjust",C37)),"Defective Device",ISNUMBER(SEARCH("perform",C37)),"Defective Device",ISNUMBER(SEARCH("malfunction",C37)),"Defective Device",ISNUMBER(SEARCH("defect",C37)),"Defective Device",ISNUMBER(SEARCH("fail",C37)),"Defective Device",ISNUMBER(SEARCH("not work",C37)),"Defective Device",ISNUMBER(SEARCH("doesn't work",C37)),"Defective Device",TRUE,"UNKNOWN"),"UNKNOWN")))</f>
        <v/>
      </c>
      <c r="F37" s="4" t="str">
        <f t="shared" si="0"/>
        <v/>
      </c>
      <c r="G37" s="363" t="str">
        <f>IF(E37="","",IFERROR(VLOOKUP(E37,Codes!$L$2:$N$409,3,FALSE),"—"))</f>
        <v/>
      </c>
      <c r="H37" s="88"/>
      <c r="I37" s="88"/>
    </row>
    <row r="38" spans="1:9" ht="13.15" x14ac:dyDescent="0.35">
      <c r="A38" s="435"/>
      <c r="B38" s="436"/>
      <c r="C38" s="438"/>
      <c r="D38" s="435"/>
      <c r="E38" s="93" t="str" cm="1">
        <f t="array" ref="E38">IF(D38&lt;&gt;"",IFERROR(VLOOKUP(D38,Codes!$K$2:$L$409,2,FALSE),"UNKNOWN - "&amp;D38),IF(C38="","",IFERROR(_xlfn.IFS(ISNUMBER(SEARCH("broken button",C38)),"Break",ISNUMBER(SEARCH("broken handle",C38)),"Break",ISNUMBER(SEARCH("shipping damage",C38)),"Break",ISNUMBER(SEARCH("broken",C38)),"Break",ISNUMBER(SEARCH("crack",C38)),"Break",ISNUMBER(SEARCH("snap",C38)),"Break",ISNUMBER(SEARCH("fracture",C38)),"Break",ISNUMBER(SEARCH("bent",C38)),"Material Twisted/Bent",ISNUMBER(SEARCH("twisted",C38)),"Material Twisted/Bent",ISNUMBER(SEARCH("component separat",C38)),"Material Separation",ISNUMBER(SEARCH("separat",C38)),"Material Separation",ISNUMBER(SEARCH("connection",C38)),"Loose or Intermittent Connection",ISNUMBER(SEARCH("loose",C38)),"Loose or Intermittent Connection",ISNUMBER(SEARCH("damaged packaging",C38)),"Packaging Problem",ISNUMBER(SEARCH("packaging",C38)),"Packaging Problem",ISNUMBER(SEARCH("discoloration",C38)),"Contamination",ISNUMBER(SEARCH("tarnish",C38)),"Contamination",ISNUMBER(SEARCH("stain",C38)),"Contamination",ISNUMBER(SEARCH("foreign material",C38)),"Contamination",ISNUMBER(SEARCH("contamina",C38)),"Contamination",ISNUMBER(SEARCH("overheat",C38)),"Overheating of Device",ISNUMBER(SEARCH("excessive heat",C38)),"Overheating of Device",ISNUMBER(SEARCH("hot",C38)),"Overheating of Device",ISNUMBER(SEARCH("noise",C38)),"Noise, Audible",ISNUMBER(SEARCH("sound",C38)),"Noise, Audible",ISNUMBER(SEARCH("loud",C38)),"Noise, Audible",ISNUMBER(SEARCH("fray",C38)),"Material Frayed",ISNUMBER(SEARCH("hole",C38)),"Material Frayed",ISNUMBER(SEARCH("tear",C38)),"Material Frayed",ISNUMBER(SEARCH("worn",C38)),"Material Frayed",ISNUMBER(SEARCH("intermittent",C38)),"Difficult or Delayed Activation",ISNUMBER(SEARCH("delay",C38)),"Difficult or Delayed Activation",ISNUMBER(SEARCH("label",C38)),"Device Markings/Labelling Problem",ISNUMBER(SEARCH("marking",C38)),"Device Markings/Labelling Problem",ISNUMBER(SEARCH("lacerat",C38)),"Defective Device",ISNUMBER(SEARCH("cut",C38)),"Defective Device",ISNUMBER(SEARCH("leak",C38)),"Fluid/Blood Leak",ISNUMBER(SEARCH("missing",C38)),"Component Missing",ISNUMBER(SEARCH("power",C38)),"Complete Loss of Power",ISNUMBER(SEARCH("will not turn on",C38)),"Complete Loss of Power",ISNUMBER(SEARCH("won't turn on",C38)),"Complete Loss of Power",ISNUMBER(SEARCH("does not turn on",C38)),"Complete Loss of Power",ISNUMBER(SEARCH("electrical",C38)),"Electrical Power Problem",ISNUMBER(SEARCH("pressure",C38)),"Detachment of Device or Device Component",ISNUMBER(SEARCH("slip",C38)),"Detachment of Device or Device Component",ISNUMBER(SEARCH("detach",C38)),"Detachment of Device or Device Component",ISNUMBER(SEARCH("stick",C38)),"Mechanical Jam",ISNUMBER(SEARCH("jam",C38)),"Mechanical Jam",ISNUMBER(SEARCH("rigid",C38)),"Mechanical Jam",ISNUMBER(SEARCH("rust",C38)),"Corroded",ISNUMBER(SEARCH("corrod",C38)),"Corroded",ISNUMBER(SEARCH("corrosion",C38)),"Corroded",ISNUMBER(SEARCH("alignment",C38)),"Defective Device",ISNUMBER(SEARCH("adjust",C38)),"Defective Device",ISNUMBER(SEARCH("perform",C38)),"Defective Device",ISNUMBER(SEARCH("malfunction",C38)),"Defective Device",ISNUMBER(SEARCH("defect",C38)),"Defective Device",ISNUMBER(SEARCH("fail",C38)),"Defective Device",ISNUMBER(SEARCH("not work",C38)),"Defective Device",ISNUMBER(SEARCH("doesn't work",C38)),"Defective Device",TRUE,"UNKNOWN"),"UNKNOWN")))</f>
        <v/>
      </c>
      <c r="F38" s="4" t="str">
        <f t="shared" si="0"/>
        <v/>
      </c>
      <c r="G38" s="363" t="str">
        <f>IF(E38="","",IFERROR(VLOOKUP(E38,Codes!$L$2:$N$409,3,FALSE),"—"))</f>
        <v/>
      </c>
      <c r="H38" s="88"/>
      <c r="I38" s="88"/>
    </row>
    <row r="39" spans="1:9" ht="13.15" x14ac:dyDescent="0.35">
      <c r="A39" s="434"/>
      <c r="B39" s="436"/>
      <c r="C39" s="437"/>
      <c r="D39" s="434"/>
      <c r="E39" s="93" t="str" cm="1">
        <f t="array" ref="E39">IF(D39&lt;&gt;"",IFERROR(VLOOKUP(D39,Codes!$K$2:$L$409,2,FALSE),"UNKNOWN - "&amp;D39),IF(C39="","",IFERROR(_xlfn.IFS(ISNUMBER(SEARCH("broken button",C39)),"Break",ISNUMBER(SEARCH("broken handle",C39)),"Break",ISNUMBER(SEARCH("shipping damage",C39)),"Break",ISNUMBER(SEARCH("broken",C39)),"Break",ISNUMBER(SEARCH("crack",C39)),"Break",ISNUMBER(SEARCH("snap",C39)),"Break",ISNUMBER(SEARCH("fracture",C39)),"Break",ISNUMBER(SEARCH("bent",C39)),"Material Twisted/Bent",ISNUMBER(SEARCH("twisted",C39)),"Material Twisted/Bent",ISNUMBER(SEARCH("component separat",C39)),"Material Separation",ISNUMBER(SEARCH("separat",C39)),"Material Separation",ISNUMBER(SEARCH("connection",C39)),"Loose or Intermittent Connection",ISNUMBER(SEARCH("loose",C39)),"Loose or Intermittent Connection",ISNUMBER(SEARCH("damaged packaging",C39)),"Packaging Problem",ISNUMBER(SEARCH("packaging",C39)),"Packaging Problem",ISNUMBER(SEARCH("discoloration",C39)),"Contamination",ISNUMBER(SEARCH("tarnish",C39)),"Contamination",ISNUMBER(SEARCH("stain",C39)),"Contamination",ISNUMBER(SEARCH("foreign material",C39)),"Contamination",ISNUMBER(SEARCH("contamina",C39)),"Contamination",ISNUMBER(SEARCH("overheat",C39)),"Overheating of Device",ISNUMBER(SEARCH("excessive heat",C39)),"Overheating of Device",ISNUMBER(SEARCH("hot",C39)),"Overheating of Device",ISNUMBER(SEARCH("noise",C39)),"Noise, Audible",ISNUMBER(SEARCH("sound",C39)),"Noise, Audible",ISNUMBER(SEARCH("loud",C39)),"Noise, Audible",ISNUMBER(SEARCH("fray",C39)),"Material Frayed",ISNUMBER(SEARCH("hole",C39)),"Material Frayed",ISNUMBER(SEARCH("tear",C39)),"Material Frayed",ISNUMBER(SEARCH("worn",C39)),"Material Frayed",ISNUMBER(SEARCH("intermittent",C39)),"Difficult or Delayed Activation",ISNUMBER(SEARCH("delay",C39)),"Difficult or Delayed Activation",ISNUMBER(SEARCH("label",C39)),"Device Markings/Labelling Problem",ISNUMBER(SEARCH("marking",C39)),"Device Markings/Labelling Problem",ISNUMBER(SEARCH("lacerat",C39)),"Defective Device",ISNUMBER(SEARCH("cut",C39)),"Defective Device",ISNUMBER(SEARCH("leak",C39)),"Fluid/Blood Leak",ISNUMBER(SEARCH("missing",C39)),"Component Missing",ISNUMBER(SEARCH("power",C39)),"Complete Loss of Power",ISNUMBER(SEARCH("will not turn on",C39)),"Complete Loss of Power",ISNUMBER(SEARCH("won't turn on",C39)),"Complete Loss of Power",ISNUMBER(SEARCH("does not turn on",C39)),"Complete Loss of Power",ISNUMBER(SEARCH("electrical",C39)),"Electrical Power Problem",ISNUMBER(SEARCH("pressure",C39)),"Detachment of Device or Device Component",ISNUMBER(SEARCH("slip",C39)),"Detachment of Device or Device Component",ISNUMBER(SEARCH("detach",C39)),"Detachment of Device or Device Component",ISNUMBER(SEARCH("stick",C39)),"Mechanical Jam",ISNUMBER(SEARCH("jam",C39)),"Mechanical Jam",ISNUMBER(SEARCH("rigid",C39)),"Mechanical Jam",ISNUMBER(SEARCH("rust",C39)),"Corroded",ISNUMBER(SEARCH("corrod",C39)),"Corroded",ISNUMBER(SEARCH("corrosion",C39)),"Corroded",ISNUMBER(SEARCH("alignment",C39)),"Defective Device",ISNUMBER(SEARCH("adjust",C39)),"Defective Device",ISNUMBER(SEARCH("perform",C39)),"Defective Device",ISNUMBER(SEARCH("malfunction",C39)),"Defective Device",ISNUMBER(SEARCH("defect",C39)),"Defective Device",ISNUMBER(SEARCH("fail",C39)),"Defective Device",ISNUMBER(SEARCH("not work",C39)),"Defective Device",ISNUMBER(SEARCH("doesn't work",C39)),"Defective Device",TRUE,"UNKNOWN"),"UNKNOWN")))</f>
        <v/>
      </c>
      <c r="F39" s="4" t="str">
        <f t="shared" si="0"/>
        <v/>
      </c>
      <c r="G39" s="363" t="str">
        <f>IF(E39="","",IFERROR(VLOOKUP(E39,Codes!$L$2:$N$409,3,FALSE),"—"))</f>
        <v/>
      </c>
      <c r="H39" s="88"/>
      <c r="I39" s="88"/>
    </row>
    <row r="40" spans="1:9" ht="13.15" x14ac:dyDescent="0.35">
      <c r="A40" s="435"/>
      <c r="B40" s="436"/>
      <c r="C40" s="438"/>
      <c r="D40" s="435"/>
      <c r="E40" s="93" t="str" cm="1">
        <f t="array" ref="E40">IF(D40&lt;&gt;"",IFERROR(VLOOKUP(D40,Codes!$K$2:$L$409,2,FALSE),"UNKNOWN - "&amp;D40),IF(C40="","",IFERROR(_xlfn.IFS(ISNUMBER(SEARCH("broken button",C40)),"Break",ISNUMBER(SEARCH("broken handle",C40)),"Break",ISNUMBER(SEARCH("shipping damage",C40)),"Break",ISNUMBER(SEARCH("broken",C40)),"Break",ISNUMBER(SEARCH("crack",C40)),"Break",ISNUMBER(SEARCH("snap",C40)),"Break",ISNUMBER(SEARCH("fracture",C40)),"Break",ISNUMBER(SEARCH("bent",C40)),"Material Twisted/Bent",ISNUMBER(SEARCH("twisted",C40)),"Material Twisted/Bent",ISNUMBER(SEARCH("component separat",C40)),"Material Separation",ISNUMBER(SEARCH("separat",C40)),"Material Separation",ISNUMBER(SEARCH("connection",C40)),"Loose or Intermittent Connection",ISNUMBER(SEARCH("loose",C40)),"Loose or Intermittent Connection",ISNUMBER(SEARCH("damaged packaging",C40)),"Packaging Problem",ISNUMBER(SEARCH("packaging",C40)),"Packaging Problem",ISNUMBER(SEARCH("discoloration",C40)),"Contamination",ISNUMBER(SEARCH("tarnish",C40)),"Contamination",ISNUMBER(SEARCH("stain",C40)),"Contamination",ISNUMBER(SEARCH("foreign material",C40)),"Contamination",ISNUMBER(SEARCH("contamina",C40)),"Contamination",ISNUMBER(SEARCH("overheat",C40)),"Overheating of Device",ISNUMBER(SEARCH("excessive heat",C40)),"Overheating of Device",ISNUMBER(SEARCH("hot",C40)),"Overheating of Device",ISNUMBER(SEARCH("noise",C40)),"Noise, Audible",ISNUMBER(SEARCH("sound",C40)),"Noise, Audible",ISNUMBER(SEARCH("loud",C40)),"Noise, Audible",ISNUMBER(SEARCH("fray",C40)),"Material Frayed",ISNUMBER(SEARCH("hole",C40)),"Material Frayed",ISNUMBER(SEARCH("tear",C40)),"Material Frayed",ISNUMBER(SEARCH("worn",C40)),"Material Frayed",ISNUMBER(SEARCH("intermittent",C40)),"Difficult or Delayed Activation",ISNUMBER(SEARCH("delay",C40)),"Difficult or Delayed Activation",ISNUMBER(SEARCH("label",C40)),"Device Markings/Labelling Problem",ISNUMBER(SEARCH("marking",C40)),"Device Markings/Labelling Problem",ISNUMBER(SEARCH("lacerat",C40)),"Defective Device",ISNUMBER(SEARCH("cut",C40)),"Defective Device",ISNUMBER(SEARCH("leak",C40)),"Fluid/Blood Leak",ISNUMBER(SEARCH("missing",C40)),"Component Missing",ISNUMBER(SEARCH("power",C40)),"Complete Loss of Power",ISNUMBER(SEARCH("will not turn on",C40)),"Complete Loss of Power",ISNUMBER(SEARCH("won't turn on",C40)),"Complete Loss of Power",ISNUMBER(SEARCH("does not turn on",C40)),"Complete Loss of Power",ISNUMBER(SEARCH("electrical",C40)),"Electrical Power Problem",ISNUMBER(SEARCH("pressure",C40)),"Detachment of Device or Device Component",ISNUMBER(SEARCH("slip",C40)),"Detachment of Device or Device Component",ISNUMBER(SEARCH("detach",C40)),"Detachment of Device or Device Component",ISNUMBER(SEARCH("stick",C40)),"Mechanical Jam",ISNUMBER(SEARCH("jam",C40)),"Mechanical Jam",ISNUMBER(SEARCH("rigid",C40)),"Mechanical Jam",ISNUMBER(SEARCH("rust",C40)),"Corroded",ISNUMBER(SEARCH("corrod",C40)),"Corroded",ISNUMBER(SEARCH("corrosion",C40)),"Corroded",ISNUMBER(SEARCH("alignment",C40)),"Defective Device",ISNUMBER(SEARCH("adjust",C40)),"Defective Device",ISNUMBER(SEARCH("perform",C40)),"Defective Device",ISNUMBER(SEARCH("malfunction",C40)),"Defective Device",ISNUMBER(SEARCH("defect",C40)),"Defective Device",ISNUMBER(SEARCH("fail",C40)),"Defective Device",ISNUMBER(SEARCH("not work",C40)),"Defective Device",ISNUMBER(SEARCH("doesn't work",C40)),"Defective Device",TRUE,"UNKNOWN"),"UNKNOWN")))</f>
        <v/>
      </c>
      <c r="F40" s="4" t="str">
        <f t="shared" si="0"/>
        <v/>
      </c>
      <c r="G40" s="363" t="str">
        <f>IF(E40="","",IFERROR(VLOOKUP(E40,Codes!$L$2:$N$409,3,FALSE),"—"))</f>
        <v/>
      </c>
      <c r="H40" s="88"/>
      <c r="I40" s="88"/>
    </row>
    <row r="41" spans="1:9" ht="13.15" x14ac:dyDescent="0.35">
      <c r="A41" s="434"/>
      <c r="B41" s="436"/>
      <c r="C41" s="437"/>
      <c r="D41" s="434"/>
      <c r="E41" s="93" t="str" cm="1">
        <f t="array" ref="E41">IF(D41&lt;&gt;"",IFERROR(VLOOKUP(D41,Codes!$K$2:$L$409,2,FALSE),"UNKNOWN - "&amp;D41),IF(C41="","",IFERROR(_xlfn.IFS(ISNUMBER(SEARCH("broken button",C41)),"Break",ISNUMBER(SEARCH("broken handle",C41)),"Break",ISNUMBER(SEARCH("shipping damage",C41)),"Break",ISNUMBER(SEARCH("broken",C41)),"Break",ISNUMBER(SEARCH("crack",C41)),"Break",ISNUMBER(SEARCH("snap",C41)),"Break",ISNUMBER(SEARCH("fracture",C41)),"Break",ISNUMBER(SEARCH("bent",C41)),"Material Twisted/Bent",ISNUMBER(SEARCH("twisted",C41)),"Material Twisted/Bent",ISNUMBER(SEARCH("component separat",C41)),"Material Separation",ISNUMBER(SEARCH("separat",C41)),"Material Separation",ISNUMBER(SEARCH("connection",C41)),"Loose or Intermittent Connection",ISNUMBER(SEARCH("loose",C41)),"Loose or Intermittent Connection",ISNUMBER(SEARCH("damaged packaging",C41)),"Packaging Problem",ISNUMBER(SEARCH("packaging",C41)),"Packaging Problem",ISNUMBER(SEARCH("discoloration",C41)),"Contamination",ISNUMBER(SEARCH("tarnish",C41)),"Contamination",ISNUMBER(SEARCH("stain",C41)),"Contamination",ISNUMBER(SEARCH("foreign material",C41)),"Contamination",ISNUMBER(SEARCH("contamina",C41)),"Contamination",ISNUMBER(SEARCH("overheat",C41)),"Overheating of Device",ISNUMBER(SEARCH("excessive heat",C41)),"Overheating of Device",ISNUMBER(SEARCH("hot",C41)),"Overheating of Device",ISNUMBER(SEARCH("noise",C41)),"Noise, Audible",ISNUMBER(SEARCH("sound",C41)),"Noise, Audible",ISNUMBER(SEARCH("loud",C41)),"Noise, Audible",ISNUMBER(SEARCH("fray",C41)),"Material Frayed",ISNUMBER(SEARCH("hole",C41)),"Material Frayed",ISNUMBER(SEARCH("tear",C41)),"Material Frayed",ISNUMBER(SEARCH("worn",C41)),"Material Frayed",ISNUMBER(SEARCH("intermittent",C41)),"Difficult or Delayed Activation",ISNUMBER(SEARCH("delay",C41)),"Difficult or Delayed Activation",ISNUMBER(SEARCH("label",C41)),"Device Markings/Labelling Problem",ISNUMBER(SEARCH("marking",C41)),"Device Markings/Labelling Problem",ISNUMBER(SEARCH("lacerat",C41)),"Defective Device",ISNUMBER(SEARCH("cut",C41)),"Defective Device",ISNUMBER(SEARCH("leak",C41)),"Fluid/Blood Leak",ISNUMBER(SEARCH("missing",C41)),"Component Missing",ISNUMBER(SEARCH("power",C41)),"Complete Loss of Power",ISNUMBER(SEARCH("will not turn on",C41)),"Complete Loss of Power",ISNUMBER(SEARCH("won't turn on",C41)),"Complete Loss of Power",ISNUMBER(SEARCH("does not turn on",C41)),"Complete Loss of Power",ISNUMBER(SEARCH("electrical",C41)),"Electrical Power Problem",ISNUMBER(SEARCH("pressure",C41)),"Detachment of Device or Device Component",ISNUMBER(SEARCH("slip",C41)),"Detachment of Device or Device Component",ISNUMBER(SEARCH("detach",C41)),"Detachment of Device or Device Component",ISNUMBER(SEARCH("stick",C41)),"Mechanical Jam",ISNUMBER(SEARCH("jam",C41)),"Mechanical Jam",ISNUMBER(SEARCH("rigid",C41)),"Mechanical Jam",ISNUMBER(SEARCH("rust",C41)),"Corroded",ISNUMBER(SEARCH("corrod",C41)),"Corroded",ISNUMBER(SEARCH("corrosion",C41)),"Corroded",ISNUMBER(SEARCH("alignment",C41)),"Defective Device",ISNUMBER(SEARCH("adjust",C41)),"Defective Device",ISNUMBER(SEARCH("perform",C41)),"Defective Device",ISNUMBER(SEARCH("malfunction",C41)),"Defective Device",ISNUMBER(SEARCH("defect",C41)),"Defective Device",ISNUMBER(SEARCH("fail",C41)),"Defective Device",ISNUMBER(SEARCH("not work",C41)),"Defective Device",ISNUMBER(SEARCH("doesn't work",C41)),"Defective Device",TRUE,"UNKNOWN"),"UNKNOWN")))</f>
        <v/>
      </c>
      <c r="F41" s="4" t="str">
        <f t="shared" si="0"/>
        <v/>
      </c>
      <c r="G41" s="363" t="str">
        <f>IF(E41="","",IFERROR(VLOOKUP(E41,Codes!$L$2:$N$409,3,FALSE),"—"))</f>
        <v/>
      </c>
      <c r="H41" s="88"/>
      <c r="I41" s="88"/>
    </row>
    <row r="42" spans="1:9" ht="13.15" x14ac:dyDescent="0.35">
      <c r="A42" s="434"/>
      <c r="B42" s="436"/>
      <c r="C42" s="437"/>
      <c r="D42" s="434"/>
      <c r="E42" s="93" t="str" cm="1">
        <f t="array" ref="E42">IF(D42&lt;&gt;"",IFERROR(VLOOKUP(D42,Codes!$K$2:$L$409,2,FALSE),"UNKNOWN - "&amp;D42),IF(C42="","",IFERROR(_xlfn.IFS(ISNUMBER(SEARCH("broken button",C42)),"Break",ISNUMBER(SEARCH("broken handle",C42)),"Break",ISNUMBER(SEARCH("shipping damage",C42)),"Break",ISNUMBER(SEARCH("broken",C42)),"Break",ISNUMBER(SEARCH("crack",C42)),"Break",ISNUMBER(SEARCH("snap",C42)),"Break",ISNUMBER(SEARCH("fracture",C42)),"Break",ISNUMBER(SEARCH("bent",C42)),"Material Twisted/Bent",ISNUMBER(SEARCH("twisted",C42)),"Material Twisted/Bent",ISNUMBER(SEARCH("component separat",C42)),"Material Separation",ISNUMBER(SEARCH("separat",C42)),"Material Separation",ISNUMBER(SEARCH("connection",C42)),"Loose or Intermittent Connection",ISNUMBER(SEARCH("loose",C42)),"Loose or Intermittent Connection",ISNUMBER(SEARCH("damaged packaging",C42)),"Packaging Problem",ISNUMBER(SEARCH("packaging",C42)),"Packaging Problem",ISNUMBER(SEARCH("discoloration",C42)),"Contamination",ISNUMBER(SEARCH("tarnish",C42)),"Contamination",ISNUMBER(SEARCH("stain",C42)),"Contamination",ISNUMBER(SEARCH("foreign material",C42)),"Contamination",ISNUMBER(SEARCH("contamina",C42)),"Contamination",ISNUMBER(SEARCH("overheat",C42)),"Overheating of Device",ISNUMBER(SEARCH("excessive heat",C42)),"Overheating of Device",ISNUMBER(SEARCH("hot",C42)),"Overheating of Device",ISNUMBER(SEARCH("noise",C42)),"Noise, Audible",ISNUMBER(SEARCH("sound",C42)),"Noise, Audible",ISNUMBER(SEARCH("loud",C42)),"Noise, Audible",ISNUMBER(SEARCH("fray",C42)),"Material Frayed",ISNUMBER(SEARCH("hole",C42)),"Material Frayed",ISNUMBER(SEARCH("tear",C42)),"Material Frayed",ISNUMBER(SEARCH("worn",C42)),"Material Frayed",ISNUMBER(SEARCH("intermittent",C42)),"Difficult or Delayed Activation",ISNUMBER(SEARCH("delay",C42)),"Difficult or Delayed Activation",ISNUMBER(SEARCH("label",C42)),"Device Markings/Labelling Problem",ISNUMBER(SEARCH("marking",C42)),"Device Markings/Labelling Problem",ISNUMBER(SEARCH("lacerat",C42)),"Defective Device",ISNUMBER(SEARCH("cut",C42)),"Defective Device",ISNUMBER(SEARCH("leak",C42)),"Fluid/Blood Leak",ISNUMBER(SEARCH("missing",C42)),"Component Missing",ISNUMBER(SEARCH("power",C42)),"Complete Loss of Power",ISNUMBER(SEARCH("will not turn on",C42)),"Complete Loss of Power",ISNUMBER(SEARCH("won't turn on",C42)),"Complete Loss of Power",ISNUMBER(SEARCH("does not turn on",C42)),"Complete Loss of Power",ISNUMBER(SEARCH("electrical",C42)),"Electrical Power Problem",ISNUMBER(SEARCH("pressure",C42)),"Detachment of Device or Device Component",ISNUMBER(SEARCH("slip",C42)),"Detachment of Device or Device Component",ISNUMBER(SEARCH("detach",C42)),"Detachment of Device or Device Component",ISNUMBER(SEARCH("stick",C42)),"Mechanical Jam",ISNUMBER(SEARCH("jam",C42)),"Mechanical Jam",ISNUMBER(SEARCH("rigid",C42)),"Mechanical Jam",ISNUMBER(SEARCH("rust",C42)),"Corroded",ISNUMBER(SEARCH("corrod",C42)),"Corroded",ISNUMBER(SEARCH("corrosion",C42)),"Corroded",ISNUMBER(SEARCH("alignment",C42)),"Defective Device",ISNUMBER(SEARCH("adjust",C42)),"Defective Device",ISNUMBER(SEARCH("perform",C42)),"Defective Device",ISNUMBER(SEARCH("malfunction",C42)),"Defective Device",ISNUMBER(SEARCH("defect",C42)),"Defective Device",ISNUMBER(SEARCH("fail",C42)),"Defective Device",ISNUMBER(SEARCH("not work",C42)),"Defective Device",ISNUMBER(SEARCH("doesn't work",C42)),"Defective Device",TRUE,"UNKNOWN"),"UNKNOWN")))</f>
        <v/>
      </c>
      <c r="F42" s="4" t="str">
        <f t="shared" si="0"/>
        <v/>
      </c>
      <c r="G42" s="363" t="str">
        <f>IF(E42="","",IFERROR(VLOOKUP(E42,Codes!$L$2:$N$409,3,FALSE),"—"))</f>
        <v/>
      </c>
      <c r="H42" s="88"/>
      <c r="I42" s="88"/>
    </row>
    <row r="43" spans="1:9" ht="13.15" x14ac:dyDescent="0.35">
      <c r="A43" s="434"/>
      <c r="B43" s="436"/>
      <c r="C43" s="437"/>
      <c r="D43" s="434"/>
      <c r="E43" s="93" t="str" cm="1">
        <f t="array" ref="E43">IF(D43&lt;&gt;"",IFERROR(VLOOKUP(D43,Codes!$K$2:$L$409,2,FALSE),"UNKNOWN - "&amp;D43),IF(C43="","",IFERROR(_xlfn.IFS(ISNUMBER(SEARCH("broken button",C43)),"Break",ISNUMBER(SEARCH("broken handle",C43)),"Break",ISNUMBER(SEARCH("shipping damage",C43)),"Break",ISNUMBER(SEARCH("broken",C43)),"Break",ISNUMBER(SEARCH("crack",C43)),"Break",ISNUMBER(SEARCH("snap",C43)),"Break",ISNUMBER(SEARCH("fracture",C43)),"Break",ISNUMBER(SEARCH("bent",C43)),"Material Twisted/Bent",ISNUMBER(SEARCH("twisted",C43)),"Material Twisted/Bent",ISNUMBER(SEARCH("component separat",C43)),"Material Separation",ISNUMBER(SEARCH("separat",C43)),"Material Separation",ISNUMBER(SEARCH("connection",C43)),"Loose or Intermittent Connection",ISNUMBER(SEARCH("loose",C43)),"Loose or Intermittent Connection",ISNUMBER(SEARCH("damaged packaging",C43)),"Packaging Problem",ISNUMBER(SEARCH("packaging",C43)),"Packaging Problem",ISNUMBER(SEARCH("discoloration",C43)),"Contamination",ISNUMBER(SEARCH("tarnish",C43)),"Contamination",ISNUMBER(SEARCH("stain",C43)),"Contamination",ISNUMBER(SEARCH("foreign material",C43)),"Contamination",ISNUMBER(SEARCH("contamina",C43)),"Contamination",ISNUMBER(SEARCH("overheat",C43)),"Overheating of Device",ISNUMBER(SEARCH("excessive heat",C43)),"Overheating of Device",ISNUMBER(SEARCH("hot",C43)),"Overheating of Device",ISNUMBER(SEARCH("noise",C43)),"Noise, Audible",ISNUMBER(SEARCH("sound",C43)),"Noise, Audible",ISNUMBER(SEARCH("loud",C43)),"Noise, Audible",ISNUMBER(SEARCH("fray",C43)),"Material Frayed",ISNUMBER(SEARCH("hole",C43)),"Material Frayed",ISNUMBER(SEARCH("tear",C43)),"Material Frayed",ISNUMBER(SEARCH("worn",C43)),"Material Frayed",ISNUMBER(SEARCH("intermittent",C43)),"Difficult or Delayed Activation",ISNUMBER(SEARCH("delay",C43)),"Difficult or Delayed Activation",ISNUMBER(SEARCH("label",C43)),"Device Markings/Labelling Problem",ISNUMBER(SEARCH("marking",C43)),"Device Markings/Labelling Problem",ISNUMBER(SEARCH("lacerat",C43)),"Defective Device",ISNUMBER(SEARCH("cut",C43)),"Defective Device",ISNUMBER(SEARCH("leak",C43)),"Fluid/Blood Leak",ISNUMBER(SEARCH("missing",C43)),"Component Missing",ISNUMBER(SEARCH("power",C43)),"Complete Loss of Power",ISNUMBER(SEARCH("will not turn on",C43)),"Complete Loss of Power",ISNUMBER(SEARCH("won't turn on",C43)),"Complete Loss of Power",ISNUMBER(SEARCH("does not turn on",C43)),"Complete Loss of Power",ISNUMBER(SEARCH("electrical",C43)),"Electrical Power Problem",ISNUMBER(SEARCH("pressure",C43)),"Detachment of Device or Device Component",ISNUMBER(SEARCH("slip",C43)),"Detachment of Device or Device Component",ISNUMBER(SEARCH("detach",C43)),"Detachment of Device or Device Component",ISNUMBER(SEARCH("stick",C43)),"Mechanical Jam",ISNUMBER(SEARCH("jam",C43)),"Mechanical Jam",ISNUMBER(SEARCH("rigid",C43)),"Mechanical Jam",ISNUMBER(SEARCH("rust",C43)),"Corroded",ISNUMBER(SEARCH("corrod",C43)),"Corroded",ISNUMBER(SEARCH("corrosion",C43)),"Corroded",ISNUMBER(SEARCH("alignment",C43)),"Defective Device",ISNUMBER(SEARCH("adjust",C43)),"Defective Device",ISNUMBER(SEARCH("perform",C43)),"Defective Device",ISNUMBER(SEARCH("malfunction",C43)),"Defective Device",ISNUMBER(SEARCH("defect",C43)),"Defective Device",ISNUMBER(SEARCH("fail",C43)),"Defective Device",ISNUMBER(SEARCH("not work",C43)),"Defective Device",ISNUMBER(SEARCH("doesn't work",C43)),"Defective Device",TRUE,"UNKNOWN"),"UNKNOWN")))</f>
        <v/>
      </c>
      <c r="F43" s="4" t="str">
        <f t="shared" si="0"/>
        <v/>
      </c>
      <c r="G43" s="363" t="str">
        <f>IF(E43="","",IFERROR(VLOOKUP(E43,Codes!$L$2:$N$409,3,FALSE),"—"))</f>
        <v/>
      </c>
      <c r="H43" s="88"/>
      <c r="I43" s="88"/>
    </row>
    <row r="44" spans="1:9" ht="13.15" x14ac:dyDescent="0.35">
      <c r="A44" s="435"/>
      <c r="B44" s="436"/>
      <c r="C44" s="438"/>
      <c r="D44" s="435"/>
      <c r="E44" s="93" t="str" cm="1">
        <f t="array" ref="E44">IF(D44&lt;&gt;"",IFERROR(VLOOKUP(D44,Codes!$K$2:$L$409,2,FALSE),"UNKNOWN - "&amp;D44),IF(C44="","",IFERROR(_xlfn.IFS(ISNUMBER(SEARCH("broken button",C44)),"Break",ISNUMBER(SEARCH("broken handle",C44)),"Break",ISNUMBER(SEARCH("shipping damage",C44)),"Break",ISNUMBER(SEARCH("broken",C44)),"Break",ISNUMBER(SEARCH("crack",C44)),"Break",ISNUMBER(SEARCH("snap",C44)),"Break",ISNUMBER(SEARCH("fracture",C44)),"Break",ISNUMBER(SEARCH("bent",C44)),"Material Twisted/Bent",ISNUMBER(SEARCH("twisted",C44)),"Material Twisted/Bent",ISNUMBER(SEARCH("component separat",C44)),"Material Separation",ISNUMBER(SEARCH("separat",C44)),"Material Separation",ISNUMBER(SEARCH("connection",C44)),"Loose or Intermittent Connection",ISNUMBER(SEARCH("loose",C44)),"Loose or Intermittent Connection",ISNUMBER(SEARCH("damaged packaging",C44)),"Packaging Problem",ISNUMBER(SEARCH("packaging",C44)),"Packaging Problem",ISNUMBER(SEARCH("discoloration",C44)),"Contamination",ISNUMBER(SEARCH("tarnish",C44)),"Contamination",ISNUMBER(SEARCH("stain",C44)),"Contamination",ISNUMBER(SEARCH("foreign material",C44)),"Contamination",ISNUMBER(SEARCH("contamina",C44)),"Contamination",ISNUMBER(SEARCH("overheat",C44)),"Overheating of Device",ISNUMBER(SEARCH("excessive heat",C44)),"Overheating of Device",ISNUMBER(SEARCH("hot",C44)),"Overheating of Device",ISNUMBER(SEARCH("noise",C44)),"Noise, Audible",ISNUMBER(SEARCH("sound",C44)),"Noise, Audible",ISNUMBER(SEARCH("loud",C44)),"Noise, Audible",ISNUMBER(SEARCH("fray",C44)),"Material Frayed",ISNUMBER(SEARCH("hole",C44)),"Material Frayed",ISNUMBER(SEARCH("tear",C44)),"Material Frayed",ISNUMBER(SEARCH("worn",C44)),"Material Frayed",ISNUMBER(SEARCH("intermittent",C44)),"Difficult or Delayed Activation",ISNUMBER(SEARCH("delay",C44)),"Difficult or Delayed Activation",ISNUMBER(SEARCH("label",C44)),"Device Markings/Labelling Problem",ISNUMBER(SEARCH("marking",C44)),"Device Markings/Labelling Problem",ISNUMBER(SEARCH("lacerat",C44)),"Defective Device",ISNUMBER(SEARCH("cut",C44)),"Defective Device",ISNUMBER(SEARCH("leak",C44)),"Fluid/Blood Leak",ISNUMBER(SEARCH("missing",C44)),"Component Missing",ISNUMBER(SEARCH("power",C44)),"Complete Loss of Power",ISNUMBER(SEARCH("will not turn on",C44)),"Complete Loss of Power",ISNUMBER(SEARCH("won't turn on",C44)),"Complete Loss of Power",ISNUMBER(SEARCH("does not turn on",C44)),"Complete Loss of Power",ISNUMBER(SEARCH("electrical",C44)),"Electrical Power Problem",ISNUMBER(SEARCH("pressure",C44)),"Detachment of Device or Device Component",ISNUMBER(SEARCH("slip",C44)),"Detachment of Device or Device Component",ISNUMBER(SEARCH("detach",C44)),"Detachment of Device or Device Component",ISNUMBER(SEARCH("stick",C44)),"Mechanical Jam",ISNUMBER(SEARCH("jam",C44)),"Mechanical Jam",ISNUMBER(SEARCH("rigid",C44)),"Mechanical Jam",ISNUMBER(SEARCH("rust",C44)),"Corroded",ISNUMBER(SEARCH("corrod",C44)),"Corroded",ISNUMBER(SEARCH("corrosion",C44)),"Corroded",ISNUMBER(SEARCH("alignment",C44)),"Defective Device",ISNUMBER(SEARCH("adjust",C44)),"Defective Device",ISNUMBER(SEARCH("perform",C44)),"Defective Device",ISNUMBER(SEARCH("malfunction",C44)),"Defective Device",ISNUMBER(SEARCH("defect",C44)),"Defective Device",ISNUMBER(SEARCH("fail",C44)),"Defective Device",ISNUMBER(SEARCH("not work",C44)),"Defective Device",ISNUMBER(SEARCH("doesn't work",C44)),"Defective Device",TRUE,"UNKNOWN"),"UNKNOWN")))</f>
        <v/>
      </c>
      <c r="F44" s="4" t="str">
        <f t="shared" si="0"/>
        <v/>
      </c>
      <c r="G44" s="363" t="str">
        <f>IF(E44="","",IFERROR(VLOOKUP(E44,Codes!$L$2:$N$409,3,FALSE),"—"))</f>
        <v/>
      </c>
      <c r="H44" s="88"/>
      <c r="I44" s="88"/>
    </row>
    <row r="45" spans="1:9" ht="13.15" x14ac:dyDescent="0.35">
      <c r="A45" s="435"/>
      <c r="B45" s="436"/>
      <c r="C45" s="438"/>
      <c r="D45" s="435"/>
      <c r="E45" s="93" t="str" cm="1">
        <f t="array" ref="E45">IF(D45&lt;&gt;"",IFERROR(VLOOKUP(D45,Codes!$K$2:$L$409,2,FALSE),"UNKNOWN - "&amp;D45),IF(C45="","",IFERROR(_xlfn.IFS(ISNUMBER(SEARCH("broken button",C45)),"Break",ISNUMBER(SEARCH("broken handle",C45)),"Break",ISNUMBER(SEARCH("shipping damage",C45)),"Break",ISNUMBER(SEARCH("broken",C45)),"Break",ISNUMBER(SEARCH("crack",C45)),"Break",ISNUMBER(SEARCH("snap",C45)),"Break",ISNUMBER(SEARCH("fracture",C45)),"Break",ISNUMBER(SEARCH("bent",C45)),"Material Twisted/Bent",ISNUMBER(SEARCH("twisted",C45)),"Material Twisted/Bent",ISNUMBER(SEARCH("component separat",C45)),"Material Separation",ISNUMBER(SEARCH("separat",C45)),"Material Separation",ISNUMBER(SEARCH("connection",C45)),"Loose or Intermittent Connection",ISNUMBER(SEARCH("loose",C45)),"Loose or Intermittent Connection",ISNUMBER(SEARCH("damaged packaging",C45)),"Packaging Problem",ISNUMBER(SEARCH("packaging",C45)),"Packaging Problem",ISNUMBER(SEARCH("discoloration",C45)),"Contamination",ISNUMBER(SEARCH("tarnish",C45)),"Contamination",ISNUMBER(SEARCH("stain",C45)),"Contamination",ISNUMBER(SEARCH("foreign material",C45)),"Contamination",ISNUMBER(SEARCH("contamina",C45)),"Contamination",ISNUMBER(SEARCH("overheat",C45)),"Overheating of Device",ISNUMBER(SEARCH("excessive heat",C45)),"Overheating of Device",ISNUMBER(SEARCH("hot",C45)),"Overheating of Device",ISNUMBER(SEARCH("noise",C45)),"Noise, Audible",ISNUMBER(SEARCH("sound",C45)),"Noise, Audible",ISNUMBER(SEARCH("loud",C45)),"Noise, Audible",ISNUMBER(SEARCH("fray",C45)),"Material Frayed",ISNUMBER(SEARCH("hole",C45)),"Material Frayed",ISNUMBER(SEARCH("tear",C45)),"Material Frayed",ISNUMBER(SEARCH("worn",C45)),"Material Frayed",ISNUMBER(SEARCH("intermittent",C45)),"Difficult or Delayed Activation",ISNUMBER(SEARCH("delay",C45)),"Difficult or Delayed Activation",ISNUMBER(SEARCH("label",C45)),"Device Markings/Labelling Problem",ISNUMBER(SEARCH("marking",C45)),"Device Markings/Labelling Problem",ISNUMBER(SEARCH("lacerat",C45)),"Defective Device",ISNUMBER(SEARCH("cut",C45)),"Defective Device",ISNUMBER(SEARCH("leak",C45)),"Fluid/Blood Leak",ISNUMBER(SEARCH("missing",C45)),"Component Missing",ISNUMBER(SEARCH("power",C45)),"Complete Loss of Power",ISNUMBER(SEARCH("will not turn on",C45)),"Complete Loss of Power",ISNUMBER(SEARCH("won't turn on",C45)),"Complete Loss of Power",ISNUMBER(SEARCH("does not turn on",C45)),"Complete Loss of Power",ISNUMBER(SEARCH("electrical",C45)),"Electrical Power Problem",ISNUMBER(SEARCH("pressure",C45)),"Detachment of Device or Device Component",ISNUMBER(SEARCH("slip",C45)),"Detachment of Device or Device Component",ISNUMBER(SEARCH("detach",C45)),"Detachment of Device or Device Component",ISNUMBER(SEARCH("stick",C45)),"Mechanical Jam",ISNUMBER(SEARCH("jam",C45)),"Mechanical Jam",ISNUMBER(SEARCH("rigid",C45)),"Mechanical Jam",ISNUMBER(SEARCH("rust",C45)),"Corroded",ISNUMBER(SEARCH("corrod",C45)),"Corroded",ISNUMBER(SEARCH("corrosion",C45)),"Corroded",ISNUMBER(SEARCH("alignment",C45)),"Defective Device",ISNUMBER(SEARCH("adjust",C45)),"Defective Device",ISNUMBER(SEARCH("perform",C45)),"Defective Device",ISNUMBER(SEARCH("malfunction",C45)),"Defective Device",ISNUMBER(SEARCH("defect",C45)),"Defective Device",ISNUMBER(SEARCH("fail",C45)),"Defective Device",ISNUMBER(SEARCH("not work",C45)),"Defective Device",ISNUMBER(SEARCH("doesn't work",C45)),"Defective Device",TRUE,"UNKNOWN"),"UNKNOWN")))</f>
        <v/>
      </c>
      <c r="F45" s="4" t="str">
        <f t="shared" si="0"/>
        <v/>
      </c>
      <c r="G45" s="363" t="str">
        <f>IF(E45="","",IFERROR(VLOOKUP(E45,Codes!$L$2:$N$409,3,FALSE),"—"))</f>
        <v/>
      </c>
      <c r="H45" s="88"/>
      <c r="I45" s="88"/>
    </row>
    <row r="46" spans="1:9" ht="13.15" x14ac:dyDescent="0.35">
      <c r="A46" s="434"/>
      <c r="B46" s="436"/>
      <c r="C46" s="437"/>
      <c r="D46" s="434"/>
      <c r="E46" s="93" t="str" cm="1">
        <f t="array" ref="E46">IF(D46&lt;&gt;"",IFERROR(VLOOKUP(D46,Codes!$K$2:$L$409,2,FALSE),"UNKNOWN - "&amp;D46),IF(C46="","",IFERROR(_xlfn.IFS(ISNUMBER(SEARCH("broken button",C46)),"Break",ISNUMBER(SEARCH("broken handle",C46)),"Break",ISNUMBER(SEARCH("shipping damage",C46)),"Break",ISNUMBER(SEARCH("broken",C46)),"Break",ISNUMBER(SEARCH("crack",C46)),"Break",ISNUMBER(SEARCH("snap",C46)),"Break",ISNUMBER(SEARCH("fracture",C46)),"Break",ISNUMBER(SEARCH("bent",C46)),"Material Twisted/Bent",ISNUMBER(SEARCH("twisted",C46)),"Material Twisted/Bent",ISNUMBER(SEARCH("component separat",C46)),"Material Separation",ISNUMBER(SEARCH("separat",C46)),"Material Separation",ISNUMBER(SEARCH("connection",C46)),"Loose or Intermittent Connection",ISNUMBER(SEARCH("loose",C46)),"Loose or Intermittent Connection",ISNUMBER(SEARCH("damaged packaging",C46)),"Packaging Problem",ISNUMBER(SEARCH("packaging",C46)),"Packaging Problem",ISNUMBER(SEARCH("discoloration",C46)),"Contamination",ISNUMBER(SEARCH("tarnish",C46)),"Contamination",ISNUMBER(SEARCH("stain",C46)),"Contamination",ISNUMBER(SEARCH("foreign material",C46)),"Contamination",ISNUMBER(SEARCH("contamina",C46)),"Contamination",ISNUMBER(SEARCH("overheat",C46)),"Overheating of Device",ISNUMBER(SEARCH("excessive heat",C46)),"Overheating of Device",ISNUMBER(SEARCH("hot",C46)),"Overheating of Device",ISNUMBER(SEARCH("noise",C46)),"Noise, Audible",ISNUMBER(SEARCH("sound",C46)),"Noise, Audible",ISNUMBER(SEARCH("loud",C46)),"Noise, Audible",ISNUMBER(SEARCH("fray",C46)),"Material Frayed",ISNUMBER(SEARCH("hole",C46)),"Material Frayed",ISNUMBER(SEARCH("tear",C46)),"Material Frayed",ISNUMBER(SEARCH("worn",C46)),"Material Frayed",ISNUMBER(SEARCH("intermittent",C46)),"Difficult or Delayed Activation",ISNUMBER(SEARCH("delay",C46)),"Difficult or Delayed Activation",ISNUMBER(SEARCH("label",C46)),"Device Markings/Labelling Problem",ISNUMBER(SEARCH("marking",C46)),"Device Markings/Labelling Problem",ISNUMBER(SEARCH("lacerat",C46)),"Defective Device",ISNUMBER(SEARCH("cut",C46)),"Defective Device",ISNUMBER(SEARCH("leak",C46)),"Fluid/Blood Leak",ISNUMBER(SEARCH("missing",C46)),"Component Missing",ISNUMBER(SEARCH("power",C46)),"Complete Loss of Power",ISNUMBER(SEARCH("will not turn on",C46)),"Complete Loss of Power",ISNUMBER(SEARCH("won't turn on",C46)),"Complete Loss of Power",ISNUMBER(SEARCH("does not turn on",C46)),"Complete Loss of Power",ISNUMBER(SEARCH("electrical",C46)),"Electrical Power Problem",ISNUMBER(SEARCH("pressure",C46)),"Detachment of Device or Device Component",ISNUMBER(SEARCH("slip",C46)),"Detachment of Device or Device Component",ISNUMBER(SEARCH("detach",C46)),"Detachment of Device or Device Component",ISNUMBER(SEARCH("stick",C46)),"Mechanical Jam",ISNUMBER(SEARCH("jam",C46)),"Mechanical Jam",ISNUMBER(SEARCH("rigid",C46)),"Mechanical Jam",ISNUMBER(SEARCH("rust",C46)),"Corroded",ISNUMBER(SEARCH("corrod",C46)),"Corroded",ISNUMBER(SEARCH("corrosion",C46)),"Corroded",ISNUMBER(SEARCH("alignment",C46)),"Defective Device",ISNUMBER(SEARCH("adjust",C46)),"Defective Device",ISNUMBER(SEARCH("perform",C46)),"Defective Device",ISNUMBER(SEARCH("malfunction",C46)),"Defective Device",ISNUMBER(SEARCH("defect",C46)),"Defective Device",ISNUMBER(SEARCH("fail",C46)),"Defective Device",ISNUMBER(SEARCH("not work",C46)),"Defective Device",ISNUMBER(SEARCH("doesn't work",C46)),"Defective Device",TRUE,"UNKNOWN"),"UNKNOWN")))</f>
        <v/>
      </c>
      <c r="F46" s="4" t="str">
        <f t="shared" si="0"/>
        <v/>
      </c>
      <c r="G46" s="363" t="str">
        <f>IF(E46="","",IFERROR(VLOOKUP(E46,Codes!$L$2:$N$409,3,FALSE),"—"))</f>
        <v/>
      </c>
      <c r="H46" s="88"/>
      <c r="I46" s="88"/>
    </row>
    <row r="47" spans="1:9" ht="13.15" x14ac:dyDescent="0.35">
      <c r="A47" s="435"/>
      <c r="B47" s="436"/>
      <c r="C47" s="438"/>
      <c r="D47" s="435"/>
      <c r="E47" s="93" t="str" cm="1">
        <f t="array" ref="E47">IF(D47&lt;&gt;"",IFERROR(VLOOKUP(D47,Codes!$K$2:$L$409,2,FALSE),"UNKNOWN - "&amp;D47),IF(C47="","",IFERROR(_xlfn.IFS(ISNUMBER(SEARCH("broken button",C47)),"Break",ISNUMBER(SEARCH("broken handle",C47)),"Break",ISNUMBER(SEARCH("shipping damage",C47)),"Break",ISNUMBER(SEARCH("broken",C47)),"Break",ISNUMBER(SEARCH("crack",C47)),"Break",ISNUMBER(SEARCH("snap",C47)),"Break",ISNUMBER(SEARCH("fracture",C47)),"Break",ISNUMBER(SEARCH("bent",C47)),"Material Twisted/Bent",ISNUMBER(SEARCH("twisted",C47)),"Material Twisted/Bent",ISNUMBER(SEARCH("component separat",C47)),"Material Separation",ISNUMBER(SEARCH("separat",C47)),"Material Separation",ISNUMBER(SEARCH("connection",C47)),"Loose or Intermittent Connection",ISNUMBER(SEARCH("loose",C47)),"Loose or Intermittent Connection",ISNUMBER(SEARCH("damaged packaging",C47)),"Packaging Problem",ISNUMBER(SEARCH("packaging",C47)),"Packaging Problem",ISNUMBER(SEARCH("discoloration",C47)),"Contamination",ISNUMBER(SEARCH("tarnish",C47)),"Contamination",ISNUMBER(SEARCH("stain",C47)),"Contamination",ISNUMBER(SEARCH("foreign material",C47)),"Contamination",ISNUMBER(SEARCH("contamina",C47)),"Contamination",ISNUMBER(SEARCH("overheat",C47)),"Overheating of Device",ISNUMBER(SEARCH("excessive heat",C47)),"Overheating of Device",ISNUMBER(SEARCH("hot",C47)),"Overheating of Device",ISNUMBER(SEARCH("noise",C47)),"Noise, Audible",ISNUMBER(SEARCH("sound",C47)),"Noise, Audible",ISNUMBER(SEARCH("loud",C47)),"Noise, Audible",ISNUMBER(SEARCH("fray",C47)),"Material Frayed",ISNUMBER(SEARCH("hole",C47)),"Material Frayed",ISNUMBER(SEARCH("tear",C47)),"Material Frayed",ISNUMBER(SEARCH("worn",C47)),"Material Frayed",ISNUMBER(SEARCH("intermittent",C47)),"Difficult or Delayed Activation",ISNUMBER(SEARCH("delay",C47)),"Difficult or Delayed Activation",ISNUMBER(SEARCH("label",C47)),"Device Markings/Labelling Problem",ISNUMBER(SEARCH("marking",C47)),"Device Markings/Labelling Problem",ISNUMBER(SEARCH("lacerat",C47)),"Defective Device",ISNUMBER(SEARCH("cut",C47)),"Defective Device",ISNUMBER(SEARCH("leak",C47)),"Fluid/Blood Leak",ISNUMBER(SEARCH("missing",C47)),"Component Missing",ISNUMBER(SEARCH("power",C47)),"Complete Loss of Power",ISNUMBER(SEARCH("will not turn on",C47)),"Complete Loss of Power",ISNUMBER(SEARCH("won't turn on",C47)),"Complete Loss of Power",ISNUMBER(SEARCH("does not turn on",C47)),"Complete Loss of Power",ISNUMBER(SEARCH("electrical",C47)),"Electrical Power Problem",ISNUMBER(SEARCH("pressure",C47)),"Detachment of Device or Device Component",ISNUMBER(SEARCH("slip",C47)),"Detachment of Device or Device Component",ISNUMBER(SEARCH("detach",C47)),"Detachment of Device or Device Component",ISNUMBER(SEARCH("stick",C47)),"Mechanical Jam",ISNUMBER(SEARCH("jam",C47)),"Mechanical Jam",ISNUMBER(SEARCH("rigid",C47)),"Mechanical Jam",ISNUMBER(SEARCH("rust",C47)),"Corroded",ISNUMBER(SEARCH("corrod",C47)),"Corroded",ISNUMBER(SEARCH("corrosion",C47)),"Corroded",ISNUMBER(SEARCH("alignment",C47)),"Defective Device",ISNUMBER(SEARCH("adjust",C47)),"Defective Device",ISNUMBER(SEARCH("perform",C47)),"Defective Device",ISNUMBER(SEARCH("malfunction",C47)),"Defective Device",ISNUMBER(SEARCH("defect",C47)),"Defective Device",ISNUMBER(SEARCH("fail",C47)),"Defective Device",ISNUMBER(SEARCH("not work",C47)),"Defective Device",ISNUMBER(SEARCH("doesn't work",C47)),"Defective Device",TRUE,"UNKNOWN"),"UNKNOWN")))</f>
        <v/>
      </c>
      <c r="F47" s="4" t="str">
        <f t="shared" si="0"/>
        <v/>
      </c>
      <c r="G47" s="363" t="str">
        <f>IF(E47="","",IFERROR(VLOOKUP(E47,Codes!$L$2:$N$409,3,FALSE),"—"))</f>
        <v/>
      </c>
      <c r="H47" s="88"/>
      <c r="I47" s="88"/>
    </row>
    <row r="48" spans="1:9" ht="13.15" x14ac:dyDescent="0.35">
      <c r="A48" s="434"/>
      <c r="B48" s="436"/>
      <c r="C48" s="437"/>
      <c r="D48" s="434"/>
      <c r="E48" s="93" t="str" cm="1">
        <f t="array" ref="E48">IF(D48&lt;&gt;"",IFERROR(VLOOKUP(D48,Codes!$K$2:$L$409,2,FALSE),"UNKNOWN - "&amp;D48),IF(C48="","",IFERROR(_xlfn.IFS(ISNUMBER(SEARCH("broken button",C48)),"Break",ISNUMBER(SEARCH("broken handle",C48)),"Break",ISNUMBER(SEARCH("shipping damage",C48)),"Break",ISNUMBER(SEARCH("broken",C48)),"Break",ISNUMBER(SEARCH("crack",C48)),"Break",ISNUMBER(SEARCH("snap",C48)),"Break",ISNUMBER(SEARCH("fracture",C48)),"Break",ISNUMBER(SEARCH("bent",C48)),"Material Twisted/Bent",ISNUMBER(SEARCH("twisted",C48)),"Material Twisted/Bent",ISNUMBER(SEARCH("component separat",C48)),"Material Separation",ISNUMBER(SEARCH("separat",C48)),"Material Separation",ISNUMBER(SEARCH("connection",C48)),"Loose or Intermittent Connection",ISNUMBER(SEARCH("loose",C48)),"Loose or Intermittent Connection",ISNUMBER(SEARCH("damaged packaging",C48)),"Packaging Problem",ISNUMBER(SEARCH("packaging",C48)),"Packaging Problem",ISNUMBER(SEARCH("discoloration",C48)),"Contamination",ISNUMBER(SEARCH("tarnish",C48)),"Contamination",ISNUMBER(SEARCH("stain",C48)),"Contamination",ISNUMBER(SEARCH("foreign material",C48)),"Contamination",ISNUMBER(SEARCH("contamina",C48)),"Contamination",ISNUMBER(SEARCH("overheat",C48)),"Overheating of Device",ISNUMBER(SEARCH("excessive heat",C48)),"Overheating of Device",ISNUMBER(SEARCH("hot",C48)),"Overheating of Device",ISNUMBER(SEARCH("noise",C48)),"Noise, Audible",ISNUMBER(SEARCH("sound",C48)),"Noise, Audible",ISNUMBER(SEARCH("loud",C48)),"Noise, Audible",ISNUMBER(SEARCH("fray",C48)),"Material Frayed",ISNUMBER(SEARCH("hole",C48)),"Material Frayed",ISNUMBER(SEARCH("tear",C48)),"Material Frayed",ISNUMBER(SEARCH("worn",C48)),"Material Frayed",ISNUMBER(SEARCH("intermittent",C48)),"Difficult or Delayed Activation",ISNUMBER(SEARCH("delay",C48)),"Difficult or Delayed Activation",ISNUMBER(SEARCH("label",C48)),"Device Markings/Labelling Problem",ISNUMBER(SEARCH("marking",C48)),"Device Markings/Labelling Problem",ISNUMBER(SEARCH("lacerat",C48)),"Defective Device",ISNUMBER(SEARCH("cut",C48)),"Defective Device",ISNUMBER(SEARCH("leak",C48)),"Fluid/Blood Leak",ISNUMBER(SEARCH("missing",C48)),"Component Missing",ISNUMBER(SEARCH("power",C48)),"Complete Loss of Power",ISNUMBER(SEARCH("will not turn on",C48)),"Complete Loss of Power",ISNUMBER(SEARCH("won't turn on",C48)),"Complete Loss of Power",ISNUMBER(SEARCH("does not turn on",C48)),"Complete Loss of Power",ISNUMBER(SEARCH("electrical",C48)),"Electrical Power Problem",ISNUMBER(SEARCH("pressure",C48)),"Detachment of Device or Device Component",ISNUMBER(SEARCH("slip",C48)),"Detachment of Device or Device Component",ISNUMBER(SEARCH("detach",C48)),"Detachment of Device or Device Component",ISNUMBER(SEARCH("stick",C48)),"Mechanical Jam",ISNUMBER(SEARCH("jam",C48)),"Mechanical Jam",ISNUMBER(SEARCH("rigid",C48)),"Mechanical Jam",ISNUMBER(SEARCH("rust",C48)),"Corroded",ISNUMBER(SEARCH("corrod",C48)),"Corroded",ISNUMBER(SEARCH("corrosion",C48)),"Corroded",ISNUMBER(SEARCH("alignment",C48)),"Defective Device",ISNUMBER(SEARCH("adjust",C48)),"Defective Device",ISNUMBER(SEARCH("perform",C48)),"Defective Device",ISNUMBER(SEARCH("malfunction",C48)),"Defective Device",ISNUMBER(SEARCH("defect",C48)),"Defective Device",ISNUMBER(SEARCH("fail",C48)),"Defective Device",ISNUMBER(SEARCH("not work",C48)),"Defective Device",ISNUMBER(SEARCH("doesn't work",C48)),"Defective Device",TRUE,"UNKNOWN"),"UNKNOWN")))</f>
        <v/>
      </c>
      <c r="F48" s="4" t="str">
        <f t="shared" si="0"/>
        <v/>
      </c>
      <c r="G48" s="363" t="str">
        <f>IF(E48="","",IFERROR(VLOOKUP(E48,Codes!$L$2:$N$409,3,FALSE),"—"))</f>
        <v/>
      </c>
      <c r="H48" s="88"/>
      <c r="I48" s="88"/>
    </row>
    <row r="49" spans="1:9" ht="13.15" x14ac:dyDescent="0.35">
      <c r="A49" s="434"/>
      <c r="B49" s="436"/>
      <c r="C49" s="437"/>
      <c r="D49" s="434"/>
      <c r="E49" s="93" t="str" cm="1">
        <f t="array" ref="E49">IF(D49&lt;&gt;"",IFERROR(VLOOKUP(D49,Codes!$K$2:$L$409,2,FALSE),"UNKNOWN - "&amp;D49),IF(C49="","",IFERROR(_xlfn.IFS(ISNUMBER(SEARCH("broken button",C49)),"Break",ISNUMBER(SEARCH("broken handle",C49)),"Break",ISNUMBER(SEARCH("shipping damage",C49)),"Break",ISNUMBER(SEARCH("broken",C49)),"Break",ISNUMBER(SEARCH("crack",C49)),"Break",ISNUMBER(SEARCH("snap",C49)),"Break",ISNUMBER(SEARCH("fracture",C49)),"Break",ISNUMBER(SEARCH("bent",C49)),"Material Twisted/Bent",ISNUMBER(SEARCH("twisted",C49)),"Material Twisted/Bent",ISNUMBER(SEARCH("component separat",C49)),"Material Separation",ISNUMBER(SEARCH("separat",C49)),"Material Separation",ISNUMBER(SEARCH("connection",C49)),"Loose or Intermittent Connection",ISNUMBER(SEARCH("loose",C49)),"Loose or Intermittent Connection",ISNUMBER(SEARCH("damaged packaging",C49)),"Packaging Problem",ISNUMBER(SEARCH("packaging",C49)),"Packaging Problem",ISNUMBER(SEARCH("discoloration",C49)),"Contamination",ISNUMBER(SEARCH("tarnish",C49)),"Contamination",ISNUMBER(SEARCH("stain",C49)),"Contamination",ISNUMBER(SEARCH("foreign material",C49)),"Contamination",ISNUMBER(SEARCH("contamina",C49)),"Contamination",ISNUMBER(SEARCH("overheat",C49)),"Overheating of Device",ISNUMBER(SEARCH("excessive heat",C49)),"Overheating of Device",ISNUMBER(SEARCH("hot",C49)),"Overheating of Device",ISNUMBER(SEARCH("noise",C49)),"Noise, Audible",ISNUMBER(SEARCH("sound",C49)),"Noise, Audible",ISNUMBER(SEARCH("loud",C49)),"Noise, Audible",ISNUMBER(SEARCH("fray",C49)),"Material Frayed",ISNUMBER(SEARCH("hole",C49)),"Material Frayed",ISNUMBER(SEARCH("tear",C49)),"Material Frayed",ISNUMBER(SEARCH("worn",C49)),"Material Frayed",ISNUMBER(SEARCH("intermittent",C49)),"Difficult or Delayed Activation",ISNUMBER(SEARCH("delay",C49)),"Difficult or Delayed Activation",ISNUMBER(SEARCH("label",C49)),"Device Markings/Labelling Problem",ISNUMBER(SEARCH("marking",C49)),"Device Markings/Labelling Problem",ISNUMBER(SEARCH("lacerat",C49)),"Defective Device",ISNUMBER(SEARCH("cut",C49)),"Defective Device",ISNUMBER(SEARCH("leak",C49)),"Fluid/Blood Leak",ISNUMBER(SEARCH("missing",C49)),"Component Missing",ISNUMBER(SEARCH("power",C49)),"Complete Loss of Power",ISNUMBER(SEARCH("will not turn on",C49)),"Complete Loss of Power",ISNUMBER(SEARCH("won't turn on",C49)),"Complete Loss of Power",ISNUMBER(SEARCH("does not turn on",C49)),"Complete Loss of Power",ISNUMBER(SEARCH("electrical",C49)),"Electrical Power Problem",ISNUMBER(SEARCH("pressure",C49)),"Detachment of Device or Device Component",ISNUMBER(SEARCH("slip",C49)),"Detachment of Device or Device Component",ISNUMBER(SEARCH("detach",C49)),"Detachment of Device or Device Component",ISNUMBER(SEARCH("stick",C49)),"Mechanical Jam",ISNUMBER(SEARCH("jam",C49)),"Mechanical Jam",ISNUMBER(SEARCH("rigid",C49)),"Mechanical Jam",ISNUMBER(SEARCH("rust",C49)),"Corroded",ISNUMBER(SEARCH("corrod",C49)),"Corroded",ISNUMBER(SEARCH("corrosion",C49)),"Corroded",ISNUMBER(SEARCH("alignment",C49)),"Defective Device",ISNUMBER(SEARCH("adjust",C49)),"Defective Device",ISNUMBER(SEARCH("perform",C49)),"Defective Device",ISNUMBER(SEARCH("malfunction",C49)),"Defective Device",ISNUMBER(SEARCH("defect",C49)),"Defective Device",ISNUMBER(SEARCH("fail",C49)),"Defective Device",ISNUMBER(SEARCH("not work",C49)),"Defective Device",ISNUMBER(SEARCH("doesn't work",C49)),"Defective Device",TRUE,"UNKNOWN"),"UNKNOWN")))</f>
        <v/>
      </c>
      <c r="F49" s="4" t="str">
        <f t="shared" si="0"/>
        <v/>
      </c>
      <c r="G49" s="363" t="str">
        <f>IF(E49="","",IFERROR(VLOOKUP(E49,Codes!$L$2:$N$409,3,FALSE),"—"))</f>
        <v/>
      </c>
      <c r="H49" s="88"/>
      <c r="I49" s="88"/>
    </row>
    <row r="50" spans="1:9" ht="13.15" x14ac:dyDescent="0.35">
      <c r="A50" s="434"/>
      <c r="B50" s="436"/>
      <c r="C50" s="437"/>
      <c r="D50" s="434"/>
      <c r="E50" s="93" t="str" cm="1">
        <f t="array" ref="E50">IF(D50&lt;&gt;"",IFERROR(VLOOKUP(D50,Codes!$K$2:$L$409,2,FALSE),"UNKNOWN - "&amp;D50),IF(C50="","",IFERROR(_xlfn.IFS(ISNUMBER(SEARCH("broken button",C50)),"Break",ISNUMBER(SEARCH("broken handle",C50)),"Break",ISNUMBER(SEARCH("shipping damage",C50)),"Break",ISNUMBER(SEARCH("broken",C50)),"Break",ISNUMBER(SEARCH("crack",C50)),"Break",ISNUMBER(SEARCH("snap",C50)),"Break",ISNUMBER(SEARCH("fracture",C50)),"Break",ISNUMBER(SEARCH("bent",C50)),"Material Twisted/Bent",ISNUMBER(SEARCH("twisted",C50)),"Material Twisted/Bent",ISNUMBER(SEARCH("component separat",C50)),"Material Separation",ISNUMBER(SEARCH("separat",C50)),"Material Separation",ISNUMBER(SEARCH("connection",C50)),"Loose or Intermittent Connection",ISNUMBER(SEARCH("loose",C50)),"Loose or Intermittent Connection",ISNUMBER(SEARCH("damaged packaging",C50)),"Packaging Problem",ISNUMBER(SEARCH("packaging",C50)),"Packaging Problem",ISNUMBER(SEARCH("discoloration",C50)),"Contamination",ISNUMBER(SEARCH("tarnish",C50)),"Contamination",ISNUMBER(SEARCH("stain",C50)),"Contamination",ISNUMBER(SEARCH("foreign material",C50)),"Contamination",ISNUMBER(SEARCH("contamina",C50)),"Contamination",ISNUMBER(SEARCH("overheat",C50)),"Overheating of Device",ISNUMBER(SEARCH("excessive heat",C50)),"Overheating of Device",ISNUMBER(SEARCH("hot",C50)),"Overheating of Device",ISNUMBER(SEARCH("noise",C50)),"Noise, Audible",ISNUMBER(SEARCH("sound",C50)),"Noise, Audible",ISNUMBER(SEARCH("loud",C50)),"Noise, Audible",ISNUMBER(SEARCH("fray",C50)),"Material Frayed",ISNUMBER(SEARCH("hole",C50)),"Material Frayed",ISNUMBER(SEARCH("tear",C50)),"Material Frayed",ISNUMBER(SEARCH("worn",C50)),"Material Frayed",ISNUMBER(SEARCH("intermittent",C50)),"Difficult or Delayed Activation",ISNUMBER(SEARCH("delay",C50)),"Difficult or Delayed Activation",ISNUMBER(SEARCH("label",C50)),"Device Markings/Labelling Problem",ISNUMBER(SEARCH("marking",C50)),"Device Markings/Labelling Problem",ISNUMBER(SEARCH("lacerat",C50)),"Defective Device",ISNUMBER(SEARCH("cut",C50)),"Defective Device",ISNUMBER(SEARCH("leak",C50)),"Fluid/Blood Leak",ISNUMBER(SEARCH("missing",C50)),"Component Missing",ISNUMBER(SEARCH("power",C50)),"Complete Loss of Power",ISNUMBER(SEARCH("will not turn on",C50)),"Complete Loss of Power",ISNUMBER(SEARCH("won't turn on",C50)),"Complete Loss of Power",ISNUMBER(SEARCH("does not turn on",C50)),"Complete Loss of Power",ISNUMBER(SEARCH("electrical",C50)),"Electrical Power Problem",ISNUMBER(SEARCH("pressure",C50)),"Detachment of Device or Device Component",ISNUMBER(SEARCH("slip",C50)),"Detachment of Device or Device Component",ISNUMBER(SEARCH("detach",C50)),"Detachment of Device or Device Component",ISNUMBER(SEARCH("stick",C50)),"Mechanical Jam",ISNUMBER(SEARCH("jam",C50)),"Mechanical Jam",ISNUMBER(SEARCH("rigid",C50)),"Mechanical Jam",ISNUMBER(SEARCH("rust",C50)),"Corroded",ISNUMBER(SEARCH("corrod",C50)),"Corroded",ISNUMBER(SEARCH("corrosion",C50)),"Corroded",ISNUMBER(SEARCH("alignment",C50)),"Defective Device",ISNUMBER(SEARCH("adjust",C50)),"Defective Device",ISNUMBER(SEARCH("perform",C50)),"Defective Device",ISNUMBER(SEARCH("malfunction",C50)),"Defective Device",ISNUMBER(SEARCH("defect",C50)),"Defective Device",ISNUMBER(SEARCH("fail",C50)),"Defective Device",ISNUMBER(SEARCH("not work",C50)),"Defective Device",ISNUMBER(SEARCH("doesn't work",C50)),"Defective Device",TRUE,"UNKNOWN"),"UNKNOWN")))</f>
        <v/>
      </c>
      <c r="F50" s="4" t="str">
        <f t="shared" si="0"/>
        <v/>
      </c>
      <c r="G50" s="363" t="str">
        <f>IF(E50="","",IFERROR(VLOOKUP(E50,Codes!$L$2:$N$409,3,FALSE),"—"))</f>
        <v/>
      </c>
      <c r="H50" s="88"/>
      <c r="I50" s="88"/>
    </row>
    <row r="51" spans="1:9" ht="13.15" x14ac:dyDescent="0.35">
      <c r="A51" s="434"/>
      <c r="B51" s="436"/>
      <c r="C51" s="437"/>
      <c r="D51" s="434"/>
      <c r="E51" s="93" t="str" cm="1">
        <f t="array" ref="E51">IF(D51&lt;&gt;"",IFERROR(VLOOKUP(D51,Codes!$K$2:$L$409,2,FALSE),"UNKNOWN - "&amp;D51),IF(C51="","",IFERROR(_xlfn.IFS(ISNUMBER(SEARCH("broken button",C51)),"Break",ISNUMBER(SEARCH("broken handle",C51)),"Break",ISNUMBER(SEARCH("shipping damage",C51)),"Break",ISNUMBER(SEARCH("broken",C51)),"Break",ISNUMBER(SEARCH("crack",C51)),"Break",ISNUMBER(SEARCH("snap",C51)),"Break",ISNUMBER(SEARCH("fracture",C51)),"Break",ISNUMBER(SEARCH("bent",C51)),"Material Twisted/Bent",ISNUMBER(SEARCH("twisted",C51)),"Material Twisted/Bent",ISNUMBER(SEARCH("component separat",C51)),"Material Separation",ISNUMBER(SEARCH("separat",C51)),"Material Separation",ISNUMBER(SEARCH("connection",C51)),"Loose or Intermittent Connection",ISNUMBER(SEARCH("loose",C51)),"Loose or Intermittent Connection",ISNUMBER(SEARCH("damaged packaging",C51)),"Packaging Problem",ISNUMBER(SEARCH("packaging",C51)),"Packaging Problem",ISNUMBER(SEARCH("discoloration",C51)),"Contamination",ISNUMBER(SEARCH("tarnish",C51)),"Contamination",ISNUMBER(SEARCH("stain",C51)),"Contamination",ISNUMBER(SEARCH("foreign material",C51)),"Contamination",ISNUMBER(SEARCH("contamina",C51)),"Contamination",ISNUMBER(SEARCH("overheat",C51)),"Overheating of Device",ISNUMBER(SEARCH("excessive heat",C51)),"Overheating of Device",ISNUMBER(SEARCH("hot",C51)),"Overheating of Device",ISNUMBER(SEARCH("noise",C51)),"Noise, Audible",ISNUMBER(SEARCH("sound",C51)),"Noise, Audible",ISNUMBER(SEARCH("loud",C51)),"Noise, Audible",ISNUMBER(SEARCH("fray",C51)),"Material Frayed",ISNUMBER(SEARCH("hole",C51)),"Material Frayed",ISNUMBER(SEARCH("tear",C51)),"Material Frayed",ISNUMBER(SEARCH("worn",C51)),"Material Frayed",ISNUMBER(SEARCH("intermittent",C51)),"Difficult or Delayed Activation",ISNUMBER(SEARCH("delay",C51)),"Difficult or Delayed Activation",ISNUMBER(SEARCH("label",C51)),"Device Markings/Labelling Problem",ISNUMBER(SEARCH("marking",C51)),"Device Markings/Labelling Problem",ISNUMBER(SEARCH("lacerat",C51)),"Defective Device",ISNUMBER(SEARCH("cut",C51)),"Defective Device",ISNUMBER(SEARCH("leak",C51)),"Fluid/Blood Leak",ISNUMBER(SEARCH("missing",C51)),"Component Missing",ISNUMBER(SEARCH("power",C51)),"Complete Loss of Power",ISNUMBER(SEARCH("will not turn on",C51)),"Complete Loss of Power",ISNUMBER(SEARCH("won't turn on",C51)),"Complete Loss of Power",ISNUMBER(SEARCH("does not turn on",C51)),"Complete Loss of Power",ISNUMBER(SEARCH("electrical",C51)),"Electrical Power Problem",ISNUMBER(SEARCH("pressure",C51)),"Detachment of Device or Device Component",ISNUMBER(SEARCH("slip",C51)),"Detachment of Device or Device Component",ISNUMBER(SEARCH("detach",C51)),"Detachment of Device or Device Component",ISNUMBER(SEARCH("stick",C51)),"Mechanical Jam",ISNUMBER(SEARCH("jam",C51)),"Mechanical Jam",ISNUMBER(SEARCH("rigid",C51)),"Mechanical Jam",ISNUMBER(SEARCH("rust",C51)),"Corroded",ISNUMBER(SEARCH("corrod",C51)),"Corroded",ISNUMBER(SEARCH("corrosion",C51)),"Corroded",ISNUMBER(SEARCH("alignment",C51)),"Defective Device",ISNUMBER(SEARCH("adjust",C51)),"Defective Device",ISNUMBER(SEARCH("perform",C51)),"Defective Device",ISNUMBER(SEARCH("malfunction",C51)),"Defective Device",ISNUMBER(SEARCH("defect",C51)),"Defective Device",ISNUMBER(SEARCH("fail",C51)),"Defective Device",ISNUMBER(SEARCH("not work",C51)),"Defective Device",ISNUMBER(SEARCH("doesn't work",C51)),"Defective Device",TRUE,"UNKNOWN"),"UNKNOWN")))</f>
        <v/>
      </c>
      <c r="F51" s="4" t="str">
        <f t="shared" si="0"/>
        <v/>
      </c>
      <c r="G51" s="363" t="str">
        <f>IF(E51="","",IFERROR(VLOOKUP(E51,Codes!$L$2:$N$409,3,FALSE),"—"))</f>
        <v/>
      </c>
      <c r="H51" s="88"/>
      <c r="I51" s="88"/>
    </row>
    <row r="52" spans="1:9" ht="13.15" x14ac:dyDescent="0.35">
      <c r="A52" s="435"/>
      <c r="B52" s="436"/>
      <c r="C52" s="438"/>
      <c r="D52" s="435"/>
      <c r="E52" s="93" t="str" cm="1">
        <f t="array" ref="E52">IF(D52&lt;&gt;"",IFERROR(VLOOKUP(D52,Codes!$K$2:$L$409,2,FALSE),"UNKNOWN - "&amp;D52),IF(C52="","",IFERROR(_xlfn.IFS(ISNUMBER(SEARCH("broken button",C52)),"Break",ISNUMBER(SEARCH("broken handle",C52)),"Break",ISNUMBER(SEARCH("shipping damage",C52)),"Break",ISNUMBER(SEARCH("broken",C52)),"Break",ISNUMBER(SEARCH("crack",C52)),"Break",ISNUMBER(SEARCH("snap",C52)),"Break",ISNUMBER(SEARCH("fracture",C52)),"Break",ISNUMBER(SEARCH("bent",C52)),"Material Twisted/Bent",ISNUMBER(SEARCH("twisted",C52)),"Material Twisted/Bent",ISNUMBER(SEARCH("component separat",C52)),"Material Separation",ISNUMBER(SEARCH("separat",C52)),"Material Separation",ISNUMBER(SEARCH("connection",C52)),"Loose or Intermittent Connection",ISNUMBER(SEARCH("loose",C52)),"Loose or Intermittent Connection",ISNUMBER(SEARCH("damaged packaging",C52)),"Packaging Problem",ISNUMBER(SEARCH("packaging",C52)),"Packaging Problem",ISNUMBER(SEARCH("discoloration",C52)),"Contamination",ISNUMBER(SEARCH("tarnish",C52)),"Contamination",ISNUMBER(SEARCH("stain",C52)),"Contamination",ISNUMBER(SEARCH("foreign material",C52)),"Contamination",ISNUMBER(SEARCH("contamina",C52)),"Contamination",ISNUMBER(SEARCH("overheat",C52)),"Overheating of Device",ISNUMBER(SEARCH("excessive heat",C52)),"Overheating of Device",ISNUMBER(SEARCH("hot",C52)),"Overheating of Device",ISNUMBER(SEARCH("noise",C52)),"Noise, Audible",ISNUMBER(SEARCH("sound",C52)),"Noise, Audible",ISNUMBER(SEARCH("loud",C52)),"Noise, Audible",ISNUMBER(SEARCH("fray",C52)),"Material Frayed",ISNUMBER(SEARCH("hole",C52)),"Material Frayed",ISNUMBER(SEARCH("tear",C52)),"Material Frayed",ISNUMBER(SEARCH("worn",C52)),"Material Frayed",ISNUMBER(SEARCH("intermittent",C52)),"Difficult or Delayed Activation",ISNUMBER(SEARCH("delay",C52)),"Difficult or Delayed Activation",ISNUMBER(SEARCH("label",C52)),"Device Markings/Labelling Problem",ISNUMBER(SEARCH("marking",C52)),"Device Markings/Labelling Problem",ISNUMBER(SEARCH("lacerat",C52)),"Defective Device",ISNUMBER(SEARCH("cut",C52)),"Defective Device",ISNUMBER(SEARCH("leak",C52)),"Fluid/Blood Leak",ISNUMBER(SEARCH("missing",C52)),"Component Missing",ISNUMBER(SEARCH("power",C52)),"Complete Loss of Power",ISNUMBER(SEARCH("will not turn on",C52)),"Complete Loss of Power",ISNUMBER(SEARCH("won't turn on",C52)),"Complete Loss of Power",ISNUMBER(SEARCH("does not turn on",C52)),"Complete Loss of Power",ISNUMBER(SEARCH("electrical",C52)),"Electrical Power Problem",ISNUMBER(SEARCH("pressure",C52)),"Detachment of Device or Device Component",ISNUMBER(SEARCH("slip",C52)),"Detachment of Device or Device Component",ISNUMBER(SEARCH("detach",C52)),"Detachment of Device or Device Component",ISNUMBER(SEARCH("stick",C52)),"Mechanical Jam",ISNUMBER(SEARCH("jam",C52)),"Mechanical Jam",ISNUMBER(SEARCH("rigid",C52)),"Mechanical Jam",ISNUMBER(SEARCH("rust",C52)),"Corroded",ISNUMBER(SEARCH("corrod",C52)),"Corroded",ISNUMBER(SEARCH("corrosion",C52)),"Corroded",ISNUMBER(SEARCH("alignment",C52)),"Defective Device",ISNUMBER(SEARCH("adjust",C52)),"Defective Device",ISNUMBER(SEARCH("perform",C52)),"Defective Device",ISNUMBER(SEARCH("malfunction",C52)),"Defective Device",ISNUMBER(SEARCH("defect",C52)),"Defective Device",ISNUMBER(SEARCH("fail",C52)),"Defective Device",ISNUMBER(SEARCH("not work",C52)),"Defective Device",ISNUMBER(SEARCH("doesn't work",C52)),"Defective Device",TRUE,"UNKNOWN"),"UNKNOWN")))</f>
        <v/>
      </c>
      <c r="F52" s="4" t="str">
        <f t="shared" si="0"/>
        <v/>
      </c>
      <c r="G52" s="363" t="str">
        <f>IF(E52="","",IFERROR(VLOOKUP(E52,Codes!$L$2:$N$409,3,FALSE),"—"))</f>
        <v/>
      </c>
      <c r="H52" s="88"/>
      <c r="I52" s="88"/>
    </row>
    <row r="53" spans="1:9" ht="13.15" x14ac:dyDescent="0.35">
      <c r="A53" s="434"/>
      <c r="B53" s="436"/>
      <c r="C53" s="437"/>
      <c r="D53" s="434"/>
      <c r="E53" s="93" t="str" cm="1">
        <f t="array" ref="E53">IF(D53&lt;&gt;"",IFERROR(VLOOKUP(D53,Codes!$K$2:$L$409,2,FALSE),"UNKNOWN - "&amp;D53),IF(C53="","",IFERROR(_xlfn.IFS(ISNUMBER(SEARCH("broken button",C53)),"Break",ISNUMBER(SEARCH("broken handle",C53)),"Break",ISNUMBER(SEARCH("shipping damage",C53)),"Break",ISNUMBER(SEARCH("broken",C53)),"Break",ISNUMBER(SEARCH("crack",C53)),"Break",ISNUMBER(SEARCH("snap",C53)),"Break",ISNUMBER(SEARCH("fracture",C53)),"Break",ISNUMBER(SEARCH("bent",C53)),"Material Twisted/Bent",ISNUMBER(SEARCH("twisted",C53)),"Material Twisted/Bent",ISNUMBER(SEARCH("component separat",C53)),"Material Separation",ISNUMBER(SEARCH("separat",C53)),"Material Separation",ISNUMBER(SEARCH("connection",C53)),"Loose or Intermittent Connection",ISNUMBER(SEARCH("loose",C53)),"Loose or Intermittent Connection",ISNUMBER(SEARCH("damaged packaging",C53)),"Packaging Problem",ISNUMBER(SEARCH("packaging",C53)),"Packaging Problem",ISNUMBER(SEARCH("discoloration",C53)),"Contamination",ISNUMBER(SEARCH("tarnish",C53)),"Contamination",ISNUMBER(SEARCH("stain",C53)),"Contamination",ISNUMBER(SEARCH("foreign material",C53)),"Contamination",ISNUMBER(SEARCH("contamina",C53)),"Contamination",ISNUMBER(SEARCH("overheat",C53)),"Overheating of Device",ISNUMBER(SEARCH("excessive heat",C53)),"Overheating of Device",ISNUMBER(SEARCH("hot",C53)),"Overheating of Device",ISNUMBER(SEARCH("noise",C53)),"Noise, Audible",ISNUMBER(SEARCH("sound",C53)),"Noise, Audible",ISNUMBER(SEARCH("loud",C53)),"Noise, Audible",ISNUMBER(SEARCH("fray",C53)),"Material Frayed",ISNUMBER(SEARCH("hole",C53)),"Material Frayed",ISNUMBER(SEARCH("tear",C53)),"Material Frayed",ISNUMBER(SEARCH("worn",C53)),"Material Frayed",ISNUMBER(SEARCH("intermittent",C53)),"Difficult or Delayed Activation",ISNUMBER(SEARCH("delay",C53)),"Difficult or Delayed Activation",ISNUMBER(SEARCH("label",C53)),"Device Markings/Labelling Problem",ISNUMBER(SEARCH("marking",C53)),"Device Markings/Labelling Problem",ISNUMBER(SEARCH("lacerat",C53)),"Defective Device",ISNUMBER(SEARCH("cut",C53)),"Defective Device",ISNUMBER(SEARCH("leak",C53)),"Fluid/Blood Leak",ISNUMBER(SEARCH("missing",C53)),"Component Missing",ISNUMBER(SEARCH("power",C53)),"Complete Loss of Power",ISNUMBER(SEARCH("will not turn on",C53)),"Complete Loss of Power",ISNUMBER(SEARCH("won't turn on",C53)),"Complete Loss of Power",ISNUMBER(SEARCH("does not turn on",C53)),"Complete Loss of Power",ISNUMBER(SEARCH("electrical",C53)),"Electrical Power Problem",ISNUMBER(SEARCH("pressure",C53)),"Detachment of Device or Device Component",ISNUMBER(SEARCH("slip",C53)),"Detachment of Device or Device Component",ISNUMBER(SEARCH("detach",C53)),"Detachment of Device or Device Component",ISNUMBER(SEARCH("stick",C53)),"Mechanical Jam",ISNUMBER(SEARCH("jam",C53)),"Mechanical Jam",ISNUMBER(SEARCH("rigid",C53)),"Mechanical Jam",ISNUMBER(SEARCH("rust",C53)),"Corroded",ISNUMBER(SEARCH("corrod",C53)),"Corroded",ISNUMBER(SEARCH("corrosion",C53)),"Corroded",ISNUMBER(SEARCH("alignment",C53)),"Defective Device",ISNUMBER(SEARCH("adjust",C53)),"Defective Device",ISNUMBER(SEARCH("perform",C53)),"Defective Device",ISNUMBER(SEARCH("malfunction",C53)),"Defective Device",ISNUMBER(SEARCH("defect",C53)),"Defective Device",ISNUMBER(SEARCH("fail",C53)),"Defective Device",ISNUMBER(SEARCH("not work",C53)),"Defective Device",ISNUMBER(SEARCH("doesn't work",C53)),"Defective Device",TRUE,"UNKNOWN"),"UNKNOWN")))</f>
        <v/>
      </c>
      <c r="F53" s="4" t="str">
        <f t="shared" si="0"/>
        <v/>
      </c>
      <c r="G53" s="363" t="str">
        <f>IF(E53="","",IFERROR(VLOOKUP(E53,Codes!$L$2:$N$409,3,FALSE),"—"))</f>
        <v/>
      </c>
      <c r="H53" s="88"/>
      <c r="I53" s="88"/>
    </row>
    <row r="54" spans="1:9" ht="13.15" x14ac:dyDescent="0.35">
      <c r="A54" s="434"/>
      <c r="B54" s="436"/>
      <c r="C54" s="437"/>
      <c r="D54" s="434"/>
      <c r="E54" s="93" t="str" cm="1">
        <f t="array" ref="E54">IF(D54&lt;&gt;"",IFERROR(VLOOKUP(D54,Codes!$K$2:$L$409,2,FALSE),"UNKNOWN - "&amp;D54),IF(C54="","",IFERROR(_xlfn.IFS(ISNUMBER(SEARCH("broken button",C54)),"Break",ISNUMBER(SEARCH("broken handle",C54)),"Break",ISNUMBER(SEARCH("shipping damage",C54)),"Break",ISNUMBER(SEARCH("broken",C54)),"Break",ISNUMBER(SEARCH("crack",C54)),"Break",ISNUMBER(SEARCH("snap",C54)),"Break",ISNUMBER(SEARCH("fracture",C54)),"Break",ISNUMBER(SEARCH("bent",C54)),"Material Twisted/Bent",ISNUMBER(SEARCH("twisted",C54)),"Material Twisted/Bent",ISNUMBER(SEARCH("component separat",C54)),"Material Separation",ISNUMBER(SEARCH("separat",C54)),"Material Separation",ISNUMBER(SEARCH("connection",C54)),"Loose or Intermittent Connection",ISNUMBER(SEARCH("loose",C54)),"Loose or Intermittent Connection",ISNUMBER(SEARCH("damaged packaging",C54)),"Packaging Problem",ISNUMBER(SEARCH("packaging",C54)),"Packaging Problem",ISNUMBER(SEARCH("discoloration",C54)),"Contamination",ISNUMBER(SEARCH("tarnish",C54)),"Contamination",ISNUMBER(SEARCH("stain",C54)),"Contamination",ISNUMBER(SEARCH("foreign material",C54)),"Contamination",ISNUMBER(SEARCH("contamina",C54)),"Contamination",ISNUMBER(SEARCH("overheat",C54)),"Overheating of Device",ISNUMBER(SEARCH("excessive heat",C54)),"Overheating of Device",ISNUMBER(SEARCH("hot",C54)),"Overheating of Device",ISNUMBER(SEARCH("noise",C54)),"Noise, Audible",ISNUMBER(SEARCH("sound",C54)),"Noise, Audible",ISNUMBER(SEARCH("loud",C54)),"Noise, Audible",ISNUMBER(SEARCH("fray",C54)),"Material Frayed",ISNUMBER(SEARCH("hole",C54)),"Material Frayed",ISNUMBER(SEARCH("tear",C54)),"Material Frayed",ISNUMBER(SEARCH("worn",C54)),"Material Frayed",ISNUMBER(SEARCH("intermittent",C54)),"Difficult or Delayed Activation",ISNUMBER(SEARCH("delay",C54)),"Difficult or Delayed Activation",ISNUMBER(SEARCH("label",C54)),"Device Markings/Labelling Problem",ISNUMBER(SEARCH("marking",C54)),"Device Markings/Labelling Problem",ISNUMBER(SEARCH("lacerat",C54)),"Defective Device",ISNUMBER(SEARCH("cut",C54)),"Defective Device",ISNUMBER(SEARCH("leak",C54)),"Fluid/Blood Leak",ISNUMBER(SEARCH("missing",C54)),"Component Missing",ISNUMBER(SEARCH("power",C54)),"Complete Loss of Power",ISNUMBER(SEARCH("will not turn on",C54)),"Complete Loss of Power",ISNUMBER(SEARCH("won't turn on",C54)),"Complete Loss of Power",ISNUMBER(SEARCH("does not turn on",C54)),"Complete Loss of Power",ISNUMBER(SEARCH("electrical",C54)),"Electrical Power Problem",ISNUMBER(SEARCH("pressure",C54)),"Detachment of Device or Device Component",ISNUMBER(SEARCH("slip",C54)),"Detachment of Device or Device Component",ISNUMBER(SEARCH("detach",C54)),"Detachment of Device or Device Component",ISNUMBER(SEARCH("stick",C54)),"Mechanical Jam",ISNUMBER(SEARCH("jam",C54)),"Mechanical Jam",ISNUMBER(SEARCH("rigid",C54)),"Mechanical Jam",ISNUMBER(SEARCH("rust",C54)),"Corroded",ISNUMBER(SEARCH("corrod",C54)),"Corroded",ISNUMBER(SEARCH("corrosion",C54)),"Corroded",ISNUMBER(SEARCH("alignment",C54)),"Defective Device",ISNUMBER(SEARCH("adjust",C54)),"Defective Device",ISNUMBER(SEARCH("perform",C54)),"Defective Device",ISNUMBER(SEARCH("malfunction",C54)),"Defective Device",ISNUMBER(SEARCH("defect",C54)),"Defective Device",ISNUMBER(SEARCH("fail",C54)),"Defective Device",ISNUMBER(SEARCH("not work",C54)),"Defective Device",ISNUMBER(SEARCH("doesn't work",C54)),"Defective Device",TRUE,"UNKNOWN"),"UNKNOWN")))</f>
        <v/>
      </c>
      <c r="F54" s="4" t="str">
        <f t="shared" si="0"/>
        <v/>
      </c>
      <c r="G54" s="363" t="str">
        <f>IF(E54="","",IFERROR(VLOOKUP(E54,Codes!$L$2:$N$409,3,FALSE),"—"))</f>
        <v/>
      </c>
      <c r="H54" s="88"/>
      <c r="I54" s="88"/>
    </row>
    <row r="55" spans="1:9" ht="13.15" x14ac:dyDescent="0.35">
      <c r="A55" s="434"/>
      <c r="B55" s="436"/>
      <c r="C55" s="437"/>
      <c r="D55" s="434"/>
      <c r="E55" s="93" t="str" cm="1">
        <f t="array" ref="E55">IF(D55&lt;&gt;"",IFERROR(VLOOKUP(D55,Codes!$K$2:$L$409,2,FALSE),"UNKNOWN - "&amp;D55),IF(C55="","",IFERROR(_xlfn.IFS(ISNUMBER(SEARCH("broken button",C55)),"Break",ISNUMBER(SEARCH("broken handle",C55)),"Break",ISNUMBER(SEARCH("shipping damage",C55)),"Break",ISNUMBER(SEARCH("broken",C55)),"Break",ISNUMBER(SEARCH("crack",C55)),"Break",ISNUMBER(SEARCH("snap",C55)),"Break",ISNUMBER(SEARCH("fracture",C55)),"Break",ISNUMBER(SEARCH("bent",C55)),"Material Twisted/Bent",ISNUMBER(SEARCH("twisted",C55)),"Material Twisted/Bent",ISNUMBER(SEARCH("component separat",C55)),"Material Separation",ISNUMBER(SEARCH("separat",C55)),"Material Separation",ISNUMBER(SEARCH("connection",C55)),"Loose or Intermittent Connection",ISNUMBER(SEARCH("loose",C55)),"Loose or Intermittent Connection",ISNUMBER(SEARCH("damaged packaging",C55)),"Packaging Problem",ISNUMBER(SEARCH("packaging",C55)),"Packaging Problem",ISNUMBER(SEARCH("discoloration",C55)),"Contamination",ISNUMBER(SEARCH("tarnish",C55)),"Contamination",ISNUMBER(SEARCH("stain",C55)),"Contamination",ISNUMBER(SEARCH("foreign material",C55)),"Contamination",ISNUMBER(SEARCH("contamina",C55)),"Contamination",ISNUMBER(SEARCH("overheat",C55)),"Overheating of Device",ISNUMBER(SEARCH("excessive heat",C55)),"Overheating of Device",ISNUMBER(SEARCH("hot",C55)),"Overheating of Device",ISNUMBER(SEARCH("noise",C55)),"Noise, Audible",ISNUMBER(SEARCH("sound",C55)),"Noise, Audible",ISNUMBER(SEARCH("loud",C55)),"Noise, Audible",ISNUMBER(SEARCH("fray",C55)),"Material Frayed",ISNUMBER(SEARCH("hole",C55)),"Material Frayed",ISNUMBER(SEARCH("tear",C55)),"Material Frayed",ISNUMBER(SEARCH("worn",C55)),"Material Frayed",ISNUMBER(SEARCH("intermittent",C55)),"Difficult or Delayed Activation",ISNUMBER(SEARCH("delay",C55)),"Difficult or Delayed Activation",ISNUMBER(SEARCH("label",C55)),"Device Markings/Labelling Problem",ISNUMBER(SEARCH("marking",C55)),"Device Markings/Labelling Problem",ISNUMBER(SEARCH("lacerat",C55)),"Defective Device",ISNUMBER(SEARCH("cut",C55)),"Defective Device",ISNUMBER(SEARCH("leak",C55)),"Fluid/Blood Leak",ISNUMBER(SEARCH("missing",C55)),"Component Missing",ISNUMBER(SEARCH("power",C55)),"Complete Loss of Power",ISNUMBER(SEARCH("will not turn on",C55)),"Complete Loss of Power",ISNUMBER(SEARCH("won't turn on",C55)),"Complete Loss of Power",ISNUMBER(SEARCH("does not turn on",C55)),"Complete Loss of Power",ISNUMBER(SEARCH("electrical",C55)),"Electrical Power Problem",ISNUMBER(SEARCH("pressure",C55)),"Detachment of Device or Device Component",ISNUMBER(SEARCH("slip",C55)),"Detachment of Device or Device Component",ISNUMBER(SEARCH("detach",C55)),"Detachment of Device or Device Component",ISNUMBER(SEARCH("stick",C55)),"Mechanical Jam",ISNUMBER(SEARCH("jam",C55)),"Mechanical Jam",ISNUMBER(SEARCH("rigid",C55)),"Mechanical Jam",ISNUMBER(SEARCH("rust",C55)),"Corroded",ISNUMBER(SEARCH("corrod",C55)),"Corroded",ISNUMBER(SEARCH("corrosion",C55)),"Corroded",ISNUMBER(SEARCH("alignment",C55)),"Defective Device",ISNUMBER(SEARCH("adjust",C55)),"Defective Device",ISNUMBER(SEARCH("perform",C55)),"Defective Device",ISNUMBER(SEARCH("malfunction",C55)),"Defective Device",ISNUMBER(SEARCH("defect",C55)),"Defective Device",ISNUMBER(SEARCH("fail",C55)),"Defective Device",ISNUMBER(SEARCH("not work",C55)),"Defective Device",ISNUMBER(SEARCH("doesn't work",C55)),"Defective Device",TRUE,"UNKNOWN"),"UNKNOWN")))</f>
        <v/>
      </c>
      <c r="F55" s="4" t="str">
        <f t="shared" si="0"/>
        <v/>
      </c>
      <c r="G55" s="363" t="str">
        <f>IF(E55="","",IFERROR(VLOOKUP(E55,Codes!$L$2:$N$409,3,FALSE),"—"))</f>
        <v/>
      </c>
      <c r="H55" s="88"/>
      <c r="I55" s="88"/>
    </row>
    <row r="56" spans="1:9" ht="13.15" x14ac:dyDescent="0.35">
      <c r="A56" s="435"/>
      <c r="B56" s="436"/>
      <c r="C56" s="438"/>
      <c r="D56" s="435"/>
      <c r="E56" s="93" t="str" cm="1">
        <f t="array" ref="E56">IF(D56&lt;&gt;"",IFERROR(VLOOKUP(D56,Codes!$K$2:$L$409,2,FALSE),"UNKNOWN - "&amp;D56),IF(C56="","",IFERROR(_xlfn.IFS(ISNUMBER(SEARCH("broken button",C56)),"Break",ISNUMBER(SEARCH("broken handle",C56)),"Break",ISNUMBER(SEARCH("shipping damage",C56)),"Break",ISNUMBER(SEARCH("broken",C56)),"Break",ISNUMBER(SEARCH("crack",C56)),"Break",ISNUMBER(SEARCH("snap",C56)),"Break",ISNUMBER(SEARCH("fracture",C56)),"Break",ISNUMBER(SEARCH("bent",C56)),"Material Twisted/Bent",ISNUMBER(SEARCH("twisted",C56)),"Material Twisted/Bent",ISNUMBER(SEARCH("component separat",C56)),"Material Separation",ISNUMBER(SEARCH("separat",C56)),"Material Separation",ISNUMBER(SEARCH("connection",C56)),"Loose or Intermittent Connection",ISNUMBER(SEARCH("loose",C56)),"Loose or Intermittent Connection",ISNUMBER(SEARCH("damaged packaging",C56)),"Packaging Problem",ISNUMBER(SEARCH("packaging",C56)),"Packaging Problem",ISNUMBER(SEARCH("discoloration",C56)),"Contamination",ISNUMBER(SEARCH("tarnish",C56)),"Contamination",ISNUMBER(SEARCH("stain",C56)),"Contamination",ISNUMBER(SEARCH("foreign material",C56)),"Contamination",ISNUMBER(SEARCH("contamina",C56)),"Contamination",ISNUMBER(SEARCH("overheat",C56)),"Overheating of Device",ISNUMBER(SEARCH("excessive heat",C56)),"Overheating of Device",ISNUMBER(SEARCH("hot",C56)),"Overheating of Device",ISNUMBER(SEARCH("noise",C56)),"Noise, Audible",ISNUMBER(SEARCH("sound",C56)),"Noise, Audible",ISNUMBER(SEARCH("loud",C56)),"Noise, Audible",ISNUMBER(SEARCH("fray",C56)),"Material Frayed",ISNUMBER(SEARCH("hole",C56)),"Material Frayed",ISNUMBER(SEARCH("tear",C56)),"Material Frayed",ISNUMBER(SEARCH("worn",C56)),"Material Frayed",ISNUMBER(SEARCH("intermittent",C56)),"Difficult or Delayed Activation",ISNUMBER(SEARCH("delay",C56)),"Difficult or Delayed Activation",ISNUMBER(SEARCH("label",C56)),"Device Markings/Labelling Problem",ISNUMBER(SEARCH("marking",C56)),"Device Markings/Labelling Problem",ISNUMBER(SEARCH("lacerat",C56)),"Defective Device",ISNUMBER(SEARCH("cut",C56)),"Defective Device",ISNUMBER(SEARCH("leak",C56)),"Fluid/Blood Leak",ISNUMBER(SEARCH("missing",C56)),"Component Missing",ISNUMBER(SEARCH("power",C56)),"Complete Loss of Power",ISNUMBER(SEARCH("will not turn on",C56)),"Complete Loss of Power",ISNUMBER(SEARCH("won't turn on",C56)),"Complete Loss of Power",ISNUMBER(SEARCH("does not turn on",C56)),"Complete Loss of Power",ISNUMBER(SEARCH("electrical",C56)),"Electrical Power Problem",ISNUMBER(SEARCH("pressure",C56)),"Detachment of Device or Device Component",ISNUMBER(SEARCH("slip",C56)),"Detachment of Device or Device Component",ISNUMBER(SEARCH("detach",C56)),"Detachment of Device or Device Component",ISNUMBER(SEARCH("stick",C56)),"Mechanical Jam",ISNUMBER(SEARCH("jam",C56)),"Mechanical Jam",ISNUMBER(SEARCH("rigid",C56)),"Mechanical Jam",ISNUMBER(SEARCH("rust",C56)),"Corroded",ISNUMBER(SEARCH("corrod",C56)),"Corroded",ISNUMBER(SEARCH("corrosion",C56)),"Corroded",ISNUMBER(SEARCH("alignment",C56)),"Defective Device",ISNUMBER(SEARCH("adjust",C56)),"Defective Device",ISNUMBER(SEARCH("perform",C56)),"Defective Device",ISNUMBER(SEARCH("malfunction",C56)),"Defective Device",ISNUMBER(SEARCH("defect",C56)),"Defective Device",ISNUMBER(SEARCH("fail",C56)),"Defective Device",ISNUMBER(SEARCH("not work",C56)),"Defective Device",ISNUMBER(SEARCH("doesn't work",C56)),"Defective Device",TRUE,"UNKNOWN"),"UNKNOWN")))</f>
        <v/>
      </c>
      <c r="F56" s="4" t="str">
        <f t="shared" si="0"/>
        <v/>
      </c>
      <c r="G56" s="363" t="str">
        <f>IF(E56="","",IFERROR(VLOOKUP(E56,Codes!$L$2:$N$409,3,FALSE),"—"))</f>
        <v/>
      </c>
      <c r="H56" s="88"/>
      <c r="I56" s="88"/>
    </row>
    <row r="57" spans="1:9" ht="13.15" x14ac:dyDescent="0.35">
      <c r="A57" s="434"/>
      <c r="B57" s="436"/>
      <c r="C57" s="437"/>
      <c r="D57" s="434"/>
      <c r="E57" s="93" t="str" cm="1">
        <f t="array" ref="E57">IF(D57&lt;&gt;"",IFERROR(VLOOKUP(D57,Codes!$K$2:$L$409,2,FALSE),"UNKNOWN - "&amp;D57),IF(C57="","",IFERROR(_xlfn.IFS(ISNUMBER(SEARCH("broken button",C57)),"Break",ISNUMBER(SEARCH("broken handle",C57)),"Break",ISNUMBER(SEARCH("shipping damage",C57)),"Break",ISNUMBER(SEARCH("broken",C57)),"Break",ISNUMBER(SEARCH("crack",C57)),"Break",ISNUMBER(SEARCH("snap",C57)),"Break",ISNUMBER(SEARCH("fracture",C57)),"Break",ISNUMBER(SEARCH("bent",C57)),"Material Twisted/Bent",ISNUMBER(SEARCH("twisted",C57)),"Material Twisted/Bent",ISNUMBER(SEARCH("component separat",C57)),"Material Separation",ISNUMBER(SEARCH("separat",C57)),"Material Separation",ISNUMBER(SEARCH("connection",C57)),"Loose or Intermittent Connection",ISNUMBER(SEARCH("loose",C57)),"Loose or Intermittent Connection",ISNUMBER(SEARCH("damaged packaging",C57)),"Packaging Problem",ISNUMBER(SEARCH("packaging",C57)),"Packaging Problem",ISNUMBER(SEARCH("discoloration",C57)),"Contamination",ISNUMBER(SEARCH("tarnish",C57)),"Contamination",ISNUMBER(SEARCH("stain",C57)),"Contamination",ISNUMBER(SEARCH("foreign material",C57)),"Contamination",ISNUMBER(SEARCH("contamina",C57)),"Contamination",ISNUMBER(SEARCH("overheat",C57)),"Overheating of Device",ISNUMBER(SEARCH("excessive heat",C57)),"Overheating of Device",ISNUMBER(SEARCH("hot",C57)),"Overheating of Device",ISNUMBER(SEARCH("noise",C57)),"Noise, Audible",ISNUMBER(SEARCH("sound",C57)),"Noise, Audible",ISNUMBER(SEARCH("loud",C57)),"Noise, Audible",ISNUMBER(SEARCH("fray",C57)),"Material Frayed",ISNUMBER(SEARCH("hole",C57)),"Material Frayed",ISNUMBER(SEARCH("tear",C57)),"Material Frayed",ISNUMBER(SEARCH("worn",C57)),"Material Frayed",ISNUMBER(SEARCH("intermittent",C57)),"Difficult or Delayed Activation",ISNUMBER(SEARCH("delay",C57)),"Difficult or Delayed Activation",ISNUMBER(SEARCH("label",C57)),"Device Markings/Labelling Problem",ISNUMBER(SEARCH("marking",C57)),"Device Markings/Labelling Problem",ISNUMBER(SEARCH("lacerat",C57)),"Defective Device",ISNUMBER(SEARCH("cut",C57)),"Defective Device",ISNUMBER(SEARCH("leak",C57)),"Fluid/Blood Leak",ISNUMBER(SEARCH("missing",C57)),"Component Missing",ISNUMBER(SEARCH("power",C57)),"Complete Loss of Power",ISNUMBER(SEARCH("will not turn on",C57)),"Complete Loss of Power",ISNUMBER(SEARCH("won't turn on",C57)),"Complete Loss of Power",ISNUMBER(SEARCH("does not turn on",C57)),"Complete Loss of Power",ISNUMBER(SEARCH("electrical",C57)),"Electrical Power Problem",ISNUMBER(SEARCH("pressure",C57)),"Detachment of Device or Device Component",ISNUMBER(SEARCH("slip",C57)),"Detachment of Device or Device Component",ISNUMBER(SEARCH("detach",C57)),"Detachment of Device or Device Component",ISNUMBER(SEARCH("stick",C57)),"Mechanical Jam",ISNUMBER(SEARCH("jam",C57)),"Mechanical Jam",ISNUMBER(SEARCH("rigid",C57)),"Mechanical Jam",ISNUMBER(SEARCH("rust",C57)),"Corroded",ISNUMBER(SEARCH("corrod",C57)),"Corroded",ISNUMBER(SEARCH("corrosion",C57)),"Corroded",ISNUMBER(SEARCH("alignment",C57)),"Defective Device",ISNUMBER(SEARCH("adjust",C57)),"Defective Device",ISNUMBER(SEARCH("perform",C57)),"Defective Device",ISNUMBER(SEARCH("malfunction",C57)),"Defective Device",ISNUMBER(SEARCH("defect",C57)),"Defective Device",ISNUMBER(SEARCH("fail",C57)),"Defective Device",ISNUMBER(SEARCH("not work",C57)),"Defective Device",ISNUMBER(SEARCH("doesn't work",C57)),"Defective Device",TRUE,"UNKNOWN"),"UNKNOWN")))</f>
        <v/>
      </c>
      <c r="F57" s="4" t="str">
        <f t="shared" si="0"/>
        <v/>
      </c>
      <c r="G57" s="363" t="str">
        <f>IF(E57="","",IFERROR(VLOOKUP(E57,Codes!$L$2:$N$409,3,FALSE),"—"))</f>
        <v/>
      </c>
      <c r="H57" s="88"/>
      <c r="I57" s="88"/>
    </row>
    <row r="58" spans="1:9" ht="13.15" x14ac:dyDescent="0.35">
      <c r="A58" s="434"/>
      <c r="B58" s="436"/>
      <c r="C58" s="437"/>
      <c r="D58" s="434"/>
      <c r="E58" s="93" t="str" cm="1">
        <f t="array" ref="E58">IF(D58&lt;&gt;"",IFERROR(VLOOKUP(D58,Codes!$K$2:$L$409,2,FALSE),"UNKNOWN - "&amp;D58),IF(C58="","",IFERROR(_xlfn.IFS(ISNUMBER(SEARCH("broken button",C58)),"Break",ISNUMBER(SEARCH("broken handle",C58)),"Break",ISNUMBER(SEARCH("shipping damage",C58)),"Break",ISNUMBER(SEARCH("broken",C58)),"Break",ISNUMBER(SEARCH("crack",C58)),"Break",ISNUMBER(SEARCH("snap",C58)),"Break",ISNUMBER(SEARCH("fracture",C58)),"Break",ISNUMBER(SEARCH("bent",C58)),"Material Twisted/Bent",ISNUMBER(SEARCH("twisted",C58)),"Material Twisted/Bent",ISNUMBER(SEARCH("component separat",C58)),"Material Separation",ISNUMBER(SEARCH("separat",C58)),"Material Separation",ISNUMBER(SEARCH("connection",C58)),"Loose or Intermittent Connection",ISNUMBER(SEARCH("loose",C58)),"Loose or Intermittent Connection",ISNUMBER(SEARCH("damaged packaging",C58)),"Packaging Problem",ISNUMBER(SEARCH("packaging",C58)),"Packaging Problem",ISNUMBER(SEARCH("discoloration",C58)),"Contamination",ISNUMBER(SEARCH("tarnish",C58)),"Contamination",ISNUMBER(SEARCH("stain",C58)),"Contamination",ISNUMBER(SEARCH("foreign material",C58)),"Contamination",ISNUMBER(SEARCH("contamina",C58)),"Contamination",ISNUMBER(SEARCH("overheat",C58)),"Overheating of Device",ISNUMBER(SEARCH("excessive heat",C58)),"Overheating of Device",ISNUMBER(SEARCH("hot",C58)),"Overheating of Device",ISNUMBER(SEARCH("noise",C58)),"Noise, Audible",ISNUMBER(SEARCH("sound",C58)),"Noise, Audible",ISNUMBER(SEARCH("loud",C58)),"Noise, Audible",ISNUMBER(SEARCH("fray",C58)),"Material Frayed",ISNUMBER(SEARCH("hole",C58)),"Material Frayed",ISNUMBER(SEARCH("tear",C58)),"Material Frayed",ISNUMBER(SEARCH("worn",C58)),"Material Frayed",ISNUMBER(SEARCH("intermittent",C58)),"Difficult or Delayed Activation",ISNUMBER(SEARCH("delay",C58)),"Difficult or Delayed Activation",ISNUMBER(SEARCH("label",C58)),"Device Markings/Labelling Problem",ISNUMBER(SEARCH("marking",C58)),"Device Markings/Labelling Problem",ISNUMBER(SEARCH("lacerat",C58)),"Defective Device",ISNUMBER(SEARCH("cut",C58)),"Defective Device",ISNUMBER(SEARCH("leak",C58)),"Fluid/Blood Leak",ISNUMBER(SEARCH("missing",C58)),"Component Missing",ISNUMBER(SEARCH("power",C58)),"Complete Loss of Power",ISNUMBER(SEARCH("will not turn on",C58)),"Complete Loss of Power",ISNUMBER(SEARCH("won't turn on",C58)),"Complete Loss of Power",ISNUMBER(SEARCH("does not turn on",C58)),"Complete Loss of Power",ISNUMBER(SEARCH("electrical",C58)),"Electrical Power Problem",ISNUMBER(SEARCH("pressure",C58)),"Detachment of Device or Device Component",ISNUMBER(SEARCH("slip",C58)),"Detachment of Device or Device Component",ISNUMBER(SEARCH("detach",C58)),"Detachment of Device or Device Component",ISNUMBER(SEARCH("stick",C58)),"Mechanical Jam",ISNUMBER(SEARCH("jam",C58)),"Mechanical Jam",ISNUMBER(SEARCH("rigid",C58)),"Mechanical Jam",ISNUMBER(SEARCH("rust",C58)),"Corroded",ISNUMBER(SEARCH("corrod",C58)),"Corroded",ISNUMBER(SEARCH("corrosion",C58)),"Corroded",ISNUMBER(SEARCH("alignment",C58)),"Defective Device",ISNUMBER(SEARCH("adjust",C58)),"Defective Device",ISNUMBER(SEARCH("perform",C58)),"Defective Device",ISNUMBER(SEARCH("malfunction",C58)),"Defective Device",ISNUMBER(SEARCH("defect",C58)),"Defective Device",ISNUMBER(SEARCH("fail",C58)),"Defective Device",ISNUMBER(SEARCH("not work",C58)),"Defective Device",ISNUMBER(SEARCH("doesn't work",C58)),"Defective Device",TRUE,"UNKNOWN"),"UNKNOWN")))</f>
        <v/>
      </c>
      <c r="F58" s="4" t="str">
        <f t="shared" si="0"/>
        <v/>
      </c>
      <c r="G58" s="363" t="str">
        <f>IF(E58="","",IFERROR(VLOOKUP(E58,Codes!$L$2:$N$409,3,FALSE),"—"))</f>
        <v/>
      </c>
      <c r="H58" s="88"/>
      <c r="I58" s="88"/>
    </row>
    <row r="59" spans="1:9" ht="13.15" x14ac:dyDescent="0.35">
      <c r="A59" s="435"/>
      <c r="B59" s="436"/>
      <c r="C59" s="438"/>
      <c r="D59" s="435"/>
      <c r="E59" s="93" t="str" cm="1">
        <f t="array" ref="E59">IF(D59&lt;&gt;"",IFERROR(VLOOKUP(D59,Codes!$K$2:$L$409,2,FALSE),"UNKNOWN - "&amp;D59),IF(C59="","",IFERROR(_xlfn.IFS(ISNUMBER(SEARCH("broken button",C59)),"Break",ISNUMBER(SEARCH("broken handle",C59)),"Break",ISNUMBER(SEARCH("shipping damage",C59)),"Break",ISNUMBER(SEARCH("broken",C59)),"Break",ISNUMBER(SEARCH("crack",C59)),"Break",ISNUMBER(SEARCH("snap",C59)),"Break",ISNUMBER(SEARCH("fracture",C59)),"Break",ISNUMBER(SEARCH("bent",C59)),"Material Twisted/Bent",ISNUMBER(SEARCH("twisted",C59)),"Material Twisted/Bent",ISNUMBER(SEARCH("component separat",C59)),"Material Separation",ISNUMBER(SEARCH("separat",C59)),"Material Separation",ISNUMBER(SEARCH("connection",C59)),"Loose or Intermittent Connection",ISNUMBER(SEARCH("loose",C59)),"Loose or Intermittent Connection",ISNUMBER(SEARCH("damaged packaging",C59)),"Packaging Problem",ISNUMBER(SEARCH("packaging",C59)),"Packaging Problem",ISNUMBER(SEARCH("discoloration",C59)),"Contamination",ISNUMBER(SEARCH("tarnish",C59)),"Contamination",ISNUMBER(SEARCH("stain",C59)),"Contamination",ISNUMBER(SEARCH("foreign material",C59)),"Contamination",ISNUMBER(SEARCH("contamina",C59)),"Contamination",ISNUMBER(SEARCH("overheat",C59)),"Overheating of Device",ISNUMBER(SEARCH("excessive heat",C59)),"Overheating of Device",ISNUMBER(SEARCH("hot",C59)),"Overheating of Device",ISNUMBER(SEARCH("noise",C59)),"Noise, Audible",ISNUMBER(SEARCH("sound",C59)),"Noise, Audible",ISNUMBER(SEARCH("loud",C59)),"Noise, Audible",ISNUMBER(SEARCH("fray",C59)),"Material Frayed",ISNUMBER(SEARCH("hole",C59)),"Material Frayed",ISNUMBER(SEARCH("tear",C59)),"Material Frayed",ISNUMBER(SEARCH("worn",C59)),"Material Frayed",ISNUMBER(SEARCH("intermittent",C59)),"Difficult or Delayed Activation",ISNUMBER(SEARCH("delay",C59)),"Difficult or Delayed Activation",ISNUMBER(SEARCH("label",C59)),"Device Markings/Labelling Problem",ISNUMBER(SEARCH("marking",C59)),"Device Markings/Labelling Problem",ISNUMBER(SEARCH("lacerat",C59)),"Defective Device",ISNUMBER(SEARCH("cut",C59)),"Defective Device",ISNUMBER(SEARCH("leak",C59)),"Fluid/Blood Leak",ISNUMBER(SEARCH("missing",C59)),"Component Missing",ISNUMBER(SEARCH("power",C59)),"Complete Loss of Power",ISNUMBER(SEARCH("will not turn on",C59)),"Complete Loss of Power",ISNUMBER(SEARCH("won't turn on",C59)),"Complete Loss of Power",ISNUMBER(SEARCH("does not turn on",C59)),"Complete Loss of Power",ISNUMBER(SEARCH("electrical",C59)),"Electrical Power Problem",ISNUMBER(SEARCH("pressure",C59)),"Detachment of Device or Device Component",ISNUMBER(SEARCH("slip",C59)),"Detachment of Device or Device Component",ISNUMBER(SEARCH("detach",C59)),"Detachment of Device or Device Component",ISNUMBER(SEARCH("stick",C59)),"Mechanical Jam",ISNUMBER(SEARCH("jam",C59)),"Mechanical Jam",ISNUMBER(SEARCH("rigid",C59)),"Mechanical Jam",ISNUMBER(SEARCH("rust",C59)),"Corroded",ISNUMBER(SEARCH("corrod",C59)),"Corroded",ISNUMBER(SEARCH("corrosion",C59)),"Corroded",ISNUMBER(SEARCH("alignment",C59)),"Defective Device",ISNUMBER(SEARCH("adjust",C59)),"Defective Device",ISNUMBER(SEARCH("perform",C59)),"Defective Device",ISNUMBER(SEARCH("malfunction",C59)),"Defective Device",ISNUMBER(SEARCH("defect",C59)),"Defective Device",ISNUMBER(SEARCH("fail",C59)),"Defective Device",ISNUMBER(SEARCH("not work",C59)),"Defective Device",ISNUMBER(SEARCH("doesn't work",C59)),"Defective Device",TRUE,"UNKNOWN"),"UNKNOWN")))</f>
        <v/>
      </c>
      <c r="F59" s="4" t="str">
        <f t="shared" si="0"/>
        <v/>
      </c>
      <c r="G59" s="363" t="str">
        <f>IF(E59="","",IFERROR(VLOOKUP(E59,Codes!$L$2:$N$409,3,FALSE),"—"))</f>
        <v/>
      </c>
      <c r="H59" s="88"/>
      <c r="I59" s="88"/>
    </row>
    <row r="60" spans="1:9" ht="13.15" x14ac:dyDescent="0.35">
      <c r="A60" s="435"/>
      <c r="B60" s="436"/>
      <c r="C60" s="438"/>
      <c r="D60" s="435"/>
      <c r="E60" s="93" t="str" cm="1">
        <f t="array" ref="E60">IF(D60&lt;&gt;"",IFERROR(VLOOKUP(D60,Codes!$K$2:$L$409,2,FALSE),"UNKNOWN - "&amp;D60),IF(C60="","",IFERROR(_xlfn.IFS(ISNUMBER(SEARCH("broken button",C60)),"Break",ISNUMBER(SEARCH("broken handle",C60)),"Break",ISNUMBER(SEARCH("shipping damage",C60)),"Break",ISNUMBER(SEARCH("broken",C60)),"Break",ISNUMBER(SEARCH("crack",C60)),"Break",ISNUMBER(SEARCH("snap",C60)),"Break",ISNUMBER(SEARCH("fracture",C60)),"Break",ISNUMBER(SEARCH("bent",C60)),"Material Twisted/Bent",ISNUMBER(SEARCH("twisted",C60)),"Material Twisted/Bent",ISNUMBER(SEARCH("component separat",C60)),"Material Separation",ISNUMBER(SEARCH("separat",C60)),"Material Separation",ISNUMBER(SEARCH("connection",C60)),"Loose or Intermittent Connection",ISNUMBER(SEARCH("loose",C60)),"Loose or Intermittent Connection",ISNUMBER(SEARCH("damaged packaging",C60)),"Packaging Problem",ISNUMBER(SEARCH("packaging",C60)),"Packaging Problem",ISNUMBER(SEARCH("discoloration",C60)),"Contamination",ISNUMBER(SEARCH("tarnish",C60)),"Contamination",ISNUMBER(SEARCH("stain",C60)),"Contamination",ISNUMBER(SEARCH("foreign material",C60)),"Contamination",ISNUMBER(SEARCH("contamina",C60)),"Contamination",ISNUMBER(SEARCH("overheat",C60)),"Overheating of Device",ISNUMBER(SEARCH("excessive heat",C60)),"Overheating of Device",ISNUMBER(SEARCH("hot",C60)),"Overheating of Device",ISNUMBER(SEARCH("noise",C60)),"Noise, Audible",ISNUMBER(SEARCH("sound",C60)),"Noise, Audible",ISNUMBER(SEARCH("loud",C60)),"Noise, Audible",ISNUMBER(SEARCH("fray",C60)),"Material Frayed",ISNUMBER(SEARCH("hole",C60)),"Material Frayed",ISNUMBER(SEARCH("tear",C60)),"Material Frayed",ISNUMBER(SEARCH("worn",C60)),"Material Frayed",ISNUMBER(SEARCH("intermittent",C60)),"Difficult or Delayed Activation",ISNUMBER(SEARCH("delay",C60)),"Difficult or Delayed Activation",ISNUMBER(SEARCH("label",C60)),"Device Markings/Labelling Problem",ISNUMBER(SEARCH("marking",C60)),"Device Markings/Labelling Problem",ISNUMBER(SEARCH("lacerat",C60)),"Defective Device",ISNUMBER(SEARCH("cut",C60)),"Defective Device",ISNUMBER(SEARCH("leak",C60)),"Fluid/Blood Leak",ISNUMBER(SEARCH("missing",C60)),"Component Missing",ISNUMBER(SEARCH("power",C60)),"Complete Loss of Power",ISNUMBER(SEARCH("will not turn on",C60)),"Complete Loss of Power",ISNUMBER(SEARCH("won't turn on",C60)),"Complete Loss of Power",ISNUMBER(SEARCH("does not turn on",C60)),"Complete Loss of Power",ISNUMBER(SEARCH("electrical",C60)),"Electrical Power Problem",ISNUMBER(SEARCH("pressure",C60)),"Detachment of Device or Device Component",ISNUMBER(SEARCH("slip",C60)),"Detachment of Device or Device Component",ISNUMBER(SEARCH("detach",C60)),"Detachment of Device or Device Component",ISNUMBER(SEARCH("stick",C60)),"Mechanical Jam",ISNUMBER(SEARCH("jam",C60)),"Mechanical Jam",ISNUMBER(SEARCH("rigid",C60)),"Mechanical Jam",ISNUMBER(SEARCH("rust",C60)),"Corroded",ISNUMBER(SEARCH("corrod",C60)),"Corroded",ISNUMBER(SEARCH("corrosion",C60)),"Corroded",ISNUMBER(SEARCH("alignment",C60)),"Defective Device",ISNUMBER(SEARCH("adjust",C60)),"Defective Device",ISNUMBER(SEARCH("perform",C60)),"Defective Device",ISNUMBER(SEARCH("malfunction",C60)),"Defective Device",ISNUMBER(SEARCH("defect",C60)),"Defective Device",ISNUMBER(SEARCH("fail",C60)),"Defective Device",ISNUMBER(SEARCH("not work",C60)),"Defective Device",ISNUMBER(SEARCH("doesn't work",C60)),"Defective Device",TRUE,"UNKNOWN"),"UNKNOWN")))</f>
        <v/>
      </c>
      <c r="F60" s="4" t="str">
        <f t="shared" si="0"/>
        <v/>
      </c>
      <c r="G60" s="363" t="str">
        <f>IF(E60="","",IFERROR(VLOOKUP(E60,Codes!$L$2:$N$409,3,FALSE),"—"))</f>
        <v/>
      </c>
      <c r="H60" s="88"/>
      <c r="I60" s="88"/>
    </row>
    <row r="61" spans="1:9" ht="13.15" x14ac:dyDescent="0.35">
      <c r="A61" s="434"/>
      <c r="B61" s="436"/>
      <c r="C61" s="437"/>
      <c r="D61" s="434"/>
      <c r="E61" s="93" t="str" cm="1">
        <f t="array" ref="E61">IF(D61&lt;&gt;"",IFERROR(VLOOKUP(D61,Codes!$K$2:$L$409,2,FALSE),"UNKNOWN - "&amp;D61),IF(C61="","",IFERROR(_xlfn.IFS(ISNUMBER(SEARCH("broken button",C61)),"Break",ISNUMBER(SEARCH("broken handle",C61)),"Break",ISNUMBER(SEARCH("shipping damage",C61)),"Break",ISNUMBER(SEARCH("broken",C61)),"Break",ISNUMBER(SEARCH("crack",C61)),"Break",ISNUMBER(SEARCH("snap",C61)),"Break",ISNUMBER(SEARCH("fracture",C61)),"Break",ISNUMBER(SEARCH("bent",C61)),"Material Twisted/Bent",ISNUMBER(SEARCH("twisted",C61)),"Material Twisted/Bent",ISNUMBER(SEARCH("component separat",C61)),"Material Separation",ISNUMBER(SEARCH("separat",C61)),"Material Separation",ISNUMBER(SEARCH("connection",C61)),"Loose or Intermittent Connection",ISNUMBER(SEARCH("loose",C61)),"Loose or Intermittent Connection",ISNUMBER(SEARCH("damaged packaging",C61)),"Packaging Problem",ISNUMBER(SEARCH("packaging",C61)),"Packaging Problem",ISNUMBER(SEARCH("discoloration",C61)),"Contamination",ISNUMBER(SEARCH("tarnish",C61)),"Contamination",ISNUMBER(SEARCH("stain",C61)),"Contamination",ISNUMBER(SEARCH("foreign material",C61)),"Contamination",ISNUMBER(SEARCH("contamina",C61)),"Contamination",ISNUMBER(SEARCH("overheat",C61)),"Overheating of Device",ISNUMBER(SEARCH("excessive heat",C61)),"Overheating of Device",ISNUMBER(SEARCH("hot",C61)),"Overheating of Device",ISNUMBER(SEARCH("noise",C61)),"Noise, Audible",ISNUMBER(SEARCH("sound",C61)),"Noise, Audible",ISNUMBER(SEARCH("loud",C61)),"Noise, Audible",ISNUMBER(SEARCH("fray",C61)),"Material Frayed",ISNUMBER(SEARCH("hole",C61)),"Material Frayed",ISNUMBER(SEARCH("tear",C61)),"Material Frayed",ISNUMBER(SEARCH("worn",C61)),"Material Frayed",ISNUMBER(SEARCH("intermittent",C61)),"Difficult or Delayed Activation",ISNUMBER(SEARCH("delay",C61)),"Difficult or Delayed Activation",ISNUMBER(SEARCH("label",C61)),"Device Markings/Labelling Problem",ISNUMBER(SEARCH("marking",C61)),"Device Markings/Labelling Problem",ISNUMBER(SEARCH("lacerat",C61)),"Defective Device",ISNUMBER(SEARCH("cut",C61)),"Defective Device",ISNUMBER(SEARCH("leak",C61)),"Fluid/Blood Leak",ISNUMBER(SEARCH("missing",C61)),"Component Missing",ISNUMBER(SEARCH("power",C61)),"Complete Loss of Power",ISNUMBER(SEARCH("will not turn on",C61)),"Complete Loss of Power",ISNUMBER(SEARCH("won't turn on",C61)),"Complete Loss of Power",ISNUMBER(SEARCH("does not turn on",C61)),"Complete Loss of Power",ISNUMBER(SEARCH("electrical",C61)),"Electrical Power Problem",ISNUMBER(SEARCH("pressure",C61)),"Detachment of Device or Device Component",ISNUMBER(SEARCH("slip",C61)),"Detachment of Device or Device Component",ISNUMBER(SEARCH("detach",C61)),"Detachment of Device or Device Component",ISNUMBER(SEARCH("stick",C61)),"Mechanical Jam",ISNUMBER(SEARCH("jam",C61)),"Mechanical Jam",ISNUMBER(SEARCH("rigid",C61)),"Mechanical Jam",ISNUMBER(SEARCH("rust",C61)),"Corroded",ISNUMBER(SEARCH("corrod",C61)),"Corroded",ISNUMBER(SEARCH("corrosion",C61)),"Corroded",ISNUMBER(SEARCH("alignment",C61)),"Defective Device",ISNUMBER(SEARCH("adjust",C61)),"Defective Device",ISNUMBER(SEARCH("perform",C61)),"Defective Device",ISNUMBER(SEARCH("malfunction",C61)),"Defective Device",ISNUMBER(SEARCH("defect",C61)),"Defective Device",ISNUMBER(SEARCH("fail",C61)),"Defective Device",ISNUMBER(SEARCH("not work",C61)),"Defective Device",ISNUMBER(SEARCH("doesn't work",C61)),"Defective Device",TRUE,"UNKNOWN"),"UNKNOWN")))</f>
        <v/>
      </c>
      <c r="F61" s="4" t="str">
        <f t="shared" si="0"/>
        <v/>
      </c>
      <c r="G61" s="363" t="str">
        <f>IF(E61="","",IFERROR(VLOOKUP(E61,Codes!$L$2:$N$409,3,FALSE),"—"))</f>
        <v/>
      </c>
      <c r="H61" s="88"/>
      <c r="I61" s="88"/>
    </row>
    <row r="62" spans="1:9" ht="13.15" x14ac:dyDescent="0.35">
      <c r="A62" s="434"/>
      <c r="B62" s="436"/>
      <c r="C62" s="437"/>
      <c r="D62" s="434"/>
      <c r="E62" s="93" t="str" cm="1">
        <f t="array" ref="E62">IF(D62&lt;&gt;"",IFERROR(VLOOKUP(D62,Codes!$K$2:$L$409,2,FALSE),"UNKNOWN - "&amp;D62),IF(C62="","",IFERROR(_xlfn.IFS(ISNUMBER(SEARCH("broken button",C62)),"Break",ISNUMBER(SEARCH("broken handle",C62)),"Break",ISNUMBER(SEARCH("shipping damage",C62)),"Break",ISNUMBER(SEARCH("broken",C62)),"Break",ISNUMBER(SEARCH("crack",C62)),"Break",ISNUMBER(SEARCH("snap",C62)),"Break",ISNUMBER(SEARCH("fracture",C62)),"Break",ISNUMBER(SEARCH("bent",C62)),"Material Twisted/Bent",ISNUMBER(SEARCH("twisted",C62)),"Material Twisted/Bent",ISNUMBER(SEARCH("component separat",C62)),"Material Separation",ISNUMBER(SEARCH("separat",C62)),"Material Separation",ISNUMBER(SEARCH("connection",C62)),"Loose or Intermittent Connection",ISNUMBER(SEARCH("loose",C62)),"Loose or Intermittent Connection",ISNUMBER(SEARCH("damaged packaging",C62)),"Packaging Problem",ISNUMBER(SEARCH("packaging",C62)),"Packaging Problem",ISNUMBER(SEARCH("discoloration",C62)),"Contamination",ISNUMBER(SEARCH("tarnish",C62)),"Contamination",ISNUMBER(SEARCH("stain",C62)),"Contamination",ISNUMBER(SEARCH("foreign material",C62)),"Contamination",ISNUMBER(SEARCH("contamina",C62)),"Contamination",ISNUMBER(SEARCH("overheat",C62)),"Overheating of Device",ISNUMBER(SEARCH("excessive heat",C62)),"Overheating of Device",ISNUMBER(SEARCH("hot",C62)),"Overheating of Device",ISNUMBER(SEARCH("noise",C62)),"Noise, Audible",ISNUMBER(SEARCH("sound",C62)),"Noise, Audible",ISNUMBER(SEARCH("loud",C62)),"Noise, Audible",ISNUMBER(SEARCH("fray",C62)),"Material Frayed",ISNUMBER(SEARCH("hole",C62)),"Material Frayed",ISNUMBER(SEARCH("tear",C62)),"Material Frayed",ISNUMBER(SEARCH("worn",C62)),"Material Frayed",ISNUMBER(SEARCH("intermittent",C62)),"Difficult or Delayed Activation",ISNUMBER(SEARCH("delay",C62)),"Difficult or Delayed Activation",ISNUMBER(SEARCH("label",C62)),"Device Markings/Labelling Problem",ISNUMBER(SEARCH("marking",C62)),"Device Markings/Labelling Problem",ISNUMBER(SEARCH("lacerat",C62)),"Defective Device",ISNUMBER(SEARCH("cut",C62)),"Defective Device",ISNUMBER(SEARCH("leak",C62)),"Fluid/Blood Leak",ISNUMBER(SEARCH("missing",C62)),"Component Missing",ISNUMBER(SEARCH("power",C62)),"Complete Loss of Power",ISNUMBER(SEARCH("will not turn on",C62)),"Complete Loss of Power",ISNUMBER(SEARCH("won't turn on",C62)),"Complete Loss of Power",ISNUMBER(SEARCH("does not turn on",C62)),"Complete Loss of Power",ISNUMBER(SEARCH("electrical",C62)),"Electrical Power Problem",ISNUMBER(SEARCH("pressure",C62)),"Detachment of Device or Device Component",ISNUMBER(SEARCH("slip",C62)),"Detachment of Device or Device Component",ISNUMBER(SEARCH("detach",C62)),"Detachment of Device or Device Component",ISNUMBER(SEARCH("stick",C62)),"Mechanical Jam",ISNUMBER(SEARCH("jam",C62)),"Mechanical Jam",ISNUMBER(SEARCH("rigid",C62)),"Mechanical Jam",ISNUMBER(SEARCH("rust",C62)),"Corroded",ISNUMBER(SEARCH("corrod",C62)),"Corroded",ISNUMBER(SEARCH("corrosion",C62)),"Corroded",ISNUMBER(SEARCH("alignment",C62)),"Defective Device",ISNUMBER(SEARCH("adjust",C62)),"Defective Device",ISNUMBER(SEARCH("perform",C62)),"Defective Device",ISNUMBER(SEARCH("malfunction",C62)),"Defective Device",ISNUMBER(SEARCH("defect",C62)),"Defective Device",ISNUMBER(SEARCH("fail",C62)),"Defective Device",ISNUMBER(SEARCH("not work",C62)),"Defective Device",ISNUMBER(SEARCH("doesn't work",C62)),"Defective Device",TRUE,"UNKNOWN"),"UNKNOWN")))</f>
        <v/>
      </c>
      <c r="F62" s="4" t="str">
        <f t="shared" si="0"/>
        <v/>
      </c>
      <c r="G62" s="363" t="str">
        <f>IF(E62="","",IFERROR(VLOOKUP(E62,Codes!$L$2:$N$409,3,FALSE),"—"))</f>
        <v/>
      </c>
      <c r="H62" s="88"/>
      <c r="I62" s="88"/>
    </row>
    <row r="63" spans="1:9" ht="13.15" x14ac:dyDescent="0.35">
      <c r="A63" s="435"/>
      <c r="B63" s="436"/>
      <c r="C63" s="438"/>
      <c r="D63" s="435"/>
      <c r="E63" s="93" t="str" cm="1">
        <f t="array" ref="E63">IF(D63&lt;&gt;"",IFERROR(VLOOKUP(D63,Codes!$K$2:$L$409,2,FALSE),"UNKNOWN - "&amp;D63),IF(C63="","",IFERROR(_xlfn.IFS(ISNUMBER(SEARCH("broken button",C63)),"Break",ISNUMBER(SEARCH("broken handle",C63)),"Break",ISNUMBER(SEARCH("shipping damage",C63)),"Break",ISNUMBER(SEARCH("broken",C63)),"Break",ISNUMBER(SEARCH("crack",C63)),"Break",ISNUMBER(SEARCH("snap",C63)),"Break",ISNUMBER(SEARCH("fracture",C63)),"Break",ISNUMBER(SEARCH("bent",C63)),"Material Twisted/Bent",ISNUMBER(SEARCH("twisted",C63)),"Material Twisted/Bent",ISNUMBER(SEARCH("component separat",C63)),"Material Separation",ISNUMBER(SEARCH("separat",C63)),"Material Separation",ISNUMBER(SEARCH("connection",C63)),"Loose or Intermittent Connection",ISNUMBER(SEARCH("loose",C63)),"Loose or Intermittent Connection",ISNUMBER(SEARCH("damaged packaging",C63)),"Packaging Problem",ISNUMBER(SEARCH("packaging",C63)),"Packaging Problem",ISNUMBER(SEARCH("discoloration",C63)),"Contamination",ISNUMBER(SEARCH("tarnish",C63)),"Contamination",ISNUMBER(SEARCH("stain",C63)),"Contamination",ISNUMBER(SEARCH("foreign material",C63)),"Contamination",ISNUMBER(SEARCH("contamina",C63)),"Contamination",ISNUMBER(SEARCH("overheat",C63)),"Overheating of Device",ISNUMBER(SEARCH("excessive heat",C63)),"Overheating of Device",ISNUMBER(SEARCH("hot",C63)),"Overheating of Device",ISNUMBER(SEARCH("noise",C63)),"Noise, Audible",ISNUMBER(SEARCH("sound",C63)),"Noise, Audible",ISNUMBER(SEARCH("loud",C63)),"Noise, Audible",ISNUMBER(SEARCH("fray",C63)),"Material Frayed",ISNUMBER(SEARCH("hole",C63)),"Material Frayed",ISNUMBER(SEARCH("tear",C63)),"Material Frayed",ISNUMBER(SEARCH("worn",C63)),"Material Frayed",ISNUMBER(SEARCH("intermittent",C63)),"Difficult or Delayed Activation",ISNUMBER(SEARCH("delay",C63)),"Difficult or Delayed Activation",ISNUMBER(SEARCH("label",C63)),"Device Markings/Labelling Problem",ISNUMBER(SEARCH("marking",C63)),"Device Markings/Labelling Problem",ISNUMBER(SEARCH("lacerat",C63)),"Defective Device",ISNUMBER(SEARCH("cut",C63)),"Defective Device",ISNUMBER(SEARCH("leak",C63)),"Fluid/Blood Leak",ISNUMBER(SEARCH("missing",C63)),"Component Missing",ISNUMBER(SEARCH("power",C63)),"Complete Loss of Power",ISNUMBER(SEARCH("will not turn on",C63)),"Complete Loss of Power",ISNUMBER(SEARCH("won't turn on",C63)),"Complete Loss of Power",ISNUMBER(SEARCH("does not turn on",C63)),"Complete Loss of Power",ISNUMBER(SEARCH("electrical",C63)),"Electrical Power Problem",ISNUMBER(SEARCH("pressure",C63)),"Detachment of Device or Device Component",ISNUMBER(SEARCH("slip",C63)),"Detachment of Device or Device Component",ISNUMBER(SEARCH("detach",C63)),"Detachment of Device or Device Component",ISNUMBER(SEARCH("stick",C63)),"Mechanical Jam",ISNUMBER(SEARCH("jam",C63)),"Mechanical Jam",ISNUMBER(SEARCH("rigid",C63)),"Mechanical Jam",ISNUMBER(SEARCH("rust",C63)),"Corroded",ISNUMBER(SEARCH("corrod",C63)),"Corroded",ISNUMBER(SEARCH("corrosion",C63)),"Corroded",ISNUMBER(SEARCH("alignment",C63)),"Defective Device",ISNUMBER(SEARCH("adjust",C63)),"Defective Device",ISNUMBER(SEARCH("perform",C63)),"Defective Device",ISNUMBER(SEARCH("malfunction",C63)),"Defective Device",ISNUMBER(SEARCH("defect",C63)),"Defective Device",ISNUMBER(SEARCH("fail",C63)),"Defective Device",ISNUMBER(SEARCH("not work",C63)),"Defective Device",ISNUMBER(SEARCH("doesn't work",C63)),"Defective Device",TRUE,"UNKNOWN"),"UNKNOWN")))</f>
        <v/>
      </c>
      <c r="F63" s="4" t="str">
        <f t="shared" si="0"/>
        <v/>
      </c>
      <c r="G63" s="363" t="str">
        <f>IF(E63="","",IFERROR(VLOOKUP(E63,Codes!$L$2:$N$409,3,FALSE),"—"))</f>
        <v/>
      </c>
      <c r="H63" s="88"/>
      <c r="I63" s="88"/>
    </row>
    <row r="64" spans="1:9" ht="13.15" x14ac:dyDescent="0.35">
      <c r="A64" s="434"/>
      <c r="B64" s="436"/>
      <c r="C64" s="437"/>
      <c r="D64" s="434"/>
      <c r="E64" s="93" t="str" cm="1">
        <f t="array" ref="E64">IF(D64&lt;&gt;"",IFERROR(VLOOKUP(D64,Codes!$K$2:$L$409,2,FALSE),"UNKNOWN - "&amp;D64),IF(C64="","",IFERROR(_xlfn.IFS(ISNUMBER(SEARCH("broken button",C64)),"Break",ISNUMBER(SEARCH("broken handle",C64)),"Break",ISNUMBER(SEARCH("shipping damage",C64)),"Break",ISNUMBER(SEARCH("broken",C64)),"Break",ISNUMBER(SEARCH("crack",C64)),"Break",ISNUMBER(SEARCH("snap",C64)),"Break",ISNUMBER(SEARCH("fracture",C64)),"Break",ISNUMBER(SEARCH("bent",C64)),"Material Twisted/Bent",ISNUMBER(SEARCH("twisted",C64)),"Material Twisted/Bent",ISNUMBER(SEARCH("component separat",C64)),"Material Separation",ISNUMBER(SEARCH("separat",C64)),"Material Separation",ISNUMBER(SEARCH("connection",C64)),"Loose or Intermittent Connection",ISNUMBER(SEARCH("loose",C64)),"Loose or Intermittent Connection",ISNUMBER(SEARCH("damaged packaging",C64)),"Packaging Problem",ISNUMBER(SEARCH("packaging",C64)),"Packaging Problem",ISNUMBER(SEARCH("discoloration",C64)),"Contamination",ISNUMBER(SEARCH("tarnish",C64)),"Contamination",ISNUMBER(SEARCH("stain",C64)),"Contamination",ISNUMBER(SEARCH("foreign material",C64)),"Contamination",ISNUMBER(SEARCH("contamina",C64)),"Contamination",ISNUMBER(SEARCH("overheat",C64)),"Overheating of Device",ISNUMBER(SEARCH("excessive heat",C64)),"Overheating of Device",ISNUMBER(SEARCH("hot",C64)),"Overheating of Device",ISNUMBER(SEARCH("noise",C64)),"Noise, Audible",ISNUMBER(SEARCH("sound",C64)),"Noise, Audible",ISNUMBER(SEARCH("loud",C64)),"Noise, Audible",ISNUMBER(SEARCH("fray",C64)),"Material Frayed",ISNUMBER(SEARCH("hole",C64)),"Material Frayed",ISNUMBER(SEARCH("tear",C64)),"Material Frayed",ISNUMBER(SEARCH("worn",C64)),"Material Frayed",ISNUMBER(SEARCH("intermittent",C64)),"Difficult or Delayed Activation",ISNUMBER(SEARCH("delay",C64)),"Difficult or Delayed Activation",ISNUMBER(SEARCH("label",C64)),"Device Markings/Labelling Problem",ISNUMBER(SEARCH("marking",C64)),"Device Markings/Labelling Problem",ISNUMBER(SEARCH("lacerat",C64)),"Defective Device",ISNUMBER(SEARCH("cut",C64)),"Defective Device",ISNUMBER(SEARCH("leak",C64)),"Fluid/Blood Leak",ISNUMBER(SEARCH("missing",C64)),"Component Missing",ISNUMBER(SEARCH("power",C64)),"Complete Loss of Power",ISNUMBER(SEARCH("will not turn on",C64)),"Complete Loss of Power",ISNUMBER(SEARCH("won't turn on",C64)),"Complete Loss of Power",ISNUMBER(SEARCH("does not turn on",C64)),"Complete Loss of Power",ISNUMBER(SEARCH("electrical",C64)),"Electrical Power Problem",ISNUMBER(SEARCH("pressure",C64)),"Detachment of Device or Device Component",ISNUMBER(SEARCH("slip",C64)),"Detachment of Device or Device Component",ISNUMBER(SEARCH("detach",C64)),"Detachment of Device or Device Component",ISNUMBER(SEARCH("stick",C64)),"Mechanical Jam",ISNUMBER(SEARCH("jam",C64)),"Mechanical Jam",ISNUMBER(SEARCH("rigid",C64)),"Mechanical Jam",ISNUMBER(SEARCH("rust",C64)),"Corroded",ISNUMBER(SEARCH("corrod",C64)),"Corroded",ISNUMBER(SEARCH("corrosion",C64)),"Corroded",ISNUMBER(SEARCH("alignment",C64)),"Defective Device",ISNUMBER(SEARCH("adjust",C64)),"Defective Device",ISNUMBER(SEARCH("perform",C64)),"Defective Device",ISNUMBER(SEARCH("malfunction",C64)),"Defective Device",ISNUMBER(SEARCH("defect",C64)),"Defective Device",ISNUMBER(SEARCH("fail",C64)),"Defective Device",ISNUMBER(SEARCH("not work",C64)),"Defective Device",ISNUMBER(SEARCH("doesn't work",C64)),"Defective Device",TRUE,"UNKNOWN"),"UNKNOWN")))</f>
        <v/>
      </c>
      <c r="F64" s="4" t="str">
        <f t="shared" si="0"/>
        <v/>
      </c>
      <c r="G64" s="363" t="str">
        <f>IF(E64="","",IFERROR(VLOOKUP(E64,Codes!$L$2:$N$409,3,FALSE),"—"))</f>
        <v/>
      </c>
      <c r="H64" s="88"/>
      <c r="I64" s="88"/>
    </row>
    <row r="65" spans="1:9" ht="13.15" x14ac:dyDescent="0.35">
      <c r="A65" s="434"/>
      <c r="B65" s="436"/>
      <c r="C65" s="437"/>
      <c r="D65" s="434"/>
      <c r="E65" s="93" t="str" cm="1">
        <f t="array" ref="E65">IF(D65&lt;&gt;"",IFERROR(VLOOKUP(D65,Codes!$K$2:$L$409,2,FALSE),"UNKNOWN - "&amp;D65),IF(C65="","",IFERROR(_xlfn.IFS(ISNUMBER(SEARCH("broken button",C65)),"Break",ISNUMBER(SEARCH("broken handle",C65)),"Break",ISNUMBER(SEARCH("shipping damage",C65)),"Break",ISNUMBER(SEARCH("broken",C65)),"Break",ISNUMBER(SEARCH("crack",C65)),"Break",ISNUMBER(SEARCH("snap",C65)),"Break",ISNUMBER(SEARCH("fracture",C65)),"Break",ISNUMBER(SEARCH("bent",C65)),"Material Twisted/Bent",ISNUMBER(SEARCH("twisted",C65)),"Material Twisted/Bent",ISNUMBER(SEARCH("component separat",C65)),"Material Separation",ISNUMBER(SEARCH("separat",C65)),"Material Separation",ISNUMBER(SEARCH("connection",C65)),"Loose or Intermittent Connection",ISNUMBER(SEARCH("loose",C65)),"Loose or Intermittent Connection",ISNUMBER(SEARCH("damaged packaging",C65)),"Packaging Problem",ISNUMBER(SEARCH("packaging",C65)),"Packaging Problem",ISNUMBER(SEARCH("discoloration",C65)),"Contamination",ISNUMBER(SEARCH("tarnish",C65)),"Contamination",ISNUMBER(SEARCH("stain",C65)),"Contamination",ISNUMBER(SEARCH("foreign material",C65)),"Contamination",ISNUMBER(SEARCH("contamina",C65)),"Contamination",ISNUMBER(SEARCH("overheat",C65)),"Overheating of Device",ISNUMBER(SEARCH("excessive heat",C65)),"Overheating of Device",ISNUMBER(SEARCH("hot",C65)),"Overheating of Device",ISNUMBER(SEARCH("noise",C65)),"Noise, Audible",ISNUMBER(SEARCH("sound",C65)),"Noise, Audible",ISNUMBER(SEARCH("loud",C65)),"Noise, Audible",ISNUMBER(SEARCH("fray",C65)),"Material Frayed",ISNUMBER(SEARCH("hole",C65)),"Material Frayed",ISNUMBER(SEARCH("tear",C65)),"Material Frayed",ISNUMBER(SEARCH("worn",C65)),"Material Frayed",ISNUMBER(SEARCH("intermittent",C65)),"Difficult or Delayed Activation",ISNUMBER(SEARCH("delay",C65)),"Difficult or Delayed Activation",ISNUMBER(SEARCH("label",C65)),"Device Markings/Labelling Problem",ISNUMBER(SEARCH("marking",C65)),"Device Markings/Labelling Problem",ISNUMBER(SEARCH("lacerat",C65)),"Defective Device",ISNUMBER(SEARCH("cut",C65)),"Defective Device",ISNUMBER(SEARCH("leak",C65)),"Fluid/Blood Leak",ISNUMBER(SEARCH("missing",C65)),"Component Missing",ISNUMBER(SEARCH("power",C65)),"Complete Loss of Power",ISNUMBER(SEARCH("will not turn on",C65)),"Complete Loss of Power",ISNUMBER(SEARCH("won't turn on",C65)),"Complete Loss of Power",ISNUMBER(SEARCH("does not turn on",C65)),"Complete Loss of Power",ISNUMBER(SEARCH("electrical",C65)),"Electrical Power Problem",ISNUMBER(SEARCH("pressure",C65)),"Detachment of Device or Device Component",ISNUMBER(SEARCH("slip",C65)),"Detachment of Device or Device Component",ISNUMBER(SEARCH("detach",C65)),"Detachment of Device or Device Component",ISNUMBER(SEARCH("stick",C65)),"Mechanical Jam",ISNUMBER(SEARCH("jam",C65)),"Mechanical Jam",ISNUMBER(SEARCH("rigid",C65)),"Mechanical Jam",ISNUMBER(SEARCH("rust",C65)),"Corroded",ISNUMBER(SEARCH("corrod",C65)),"Corroded",ISNUMBER(SEARCH("corrosion",C65)),"Corroded",ISNUMBER(SEARCH("alignment",C65)),"Defective Device",ISNUMBER(SEARCH("adjust",C65)),"Defective Device",ISNUMBER(SEARCH("perform",C65)),"Defective Device",ISNUMBER(SEARCH("malfunction",C65)),"Defective Device",ISNUMBER(SEARCH("defect",C65)),"Defective Device",ISNUMBER(SEARCH("fail",C65)),"Defective Device",ISNUMBER(SEARCH("not work",C65)),"Defective Device",ISNUMBER(SEARCH("doesn't work",C65)),"Defective Device",TRUE,"UNKNOWN"),"UNKNOWN")))</f>
        <v/>
      </c>
      <c r="F65" s="4" t="str">
        <f t="shared" si="0"/>
        <v/>
      </c>
      <c r="G65" s="363" t="str">
        <f>IF(E65="","",IFERROR(VLOOKUP(E65,Codes!$L$2:$N$409,3,FALSE),"—"))</f>
        <v/>
      </c>
      <c r="H65" s="88"/>
      <c r="I65" s="88"/>
    </row>
    <row r="66" spans="1:9" ht="13.15" x14ac:dyDescent="0.35">
      <c r="A66" s="434"/>
      <c r="B66" s="436"/>
      <c r="C66" s="437"/>
      <c r="D66" s="434"/>
      <c r="E66" s="93" t="str" cm="1">
        <f t="array" ref="E66">IF(D66&lt;&gt;"",IFERROR(VLOOKUP(D66,Codes!$K$2:$L$409,2,FALSE),"UNKNOWN - "&amp;D66),IF(C66="","",IFERROR(_xlfn.IFS(ISNUMBER(SEARCH("broken button",C66)),"Break",ISNUMBER(SEARCH("broken handle",C66)),"Break",ISNUMBER(SEARCH("shipping damage",C66)),"Break",ISNUMBER(SEARCH("broken",C66)),"Break",ISNUMBER(SEARCH("crack",C66)),"Break",ISNUMBER(SEARCH("snap",C66)),"Break",ISNUMBER(SEARCH("fracture",C66)),"Break",ISNUMBER(SEARCH("bent",C66)),"Material Twisted/Bent",ISNUMBER(SEARCH("twisted",C66)),"Material Twisted/Bent",ISNUMBER(SEARCH("component separat",C66)),"Material Separation",ISNUMBER(SEARCH("separat",C66)),"Material Separation",ISNUMBER(SEARCH("connection",C66)),"Loose or Intermittent Connection",ISNUMBER(SEARCH("loose",C66)),"Loose or Intermittent Connection",ISNUMBER(SEARCH("damaged packaging",C66)),"Packaging Problem",ISNUMBER(SEARCH("packaging",C66)),"Packaging Problem",ISNUMBER(SEARCH("discoloration",C66)),"Contamination",ISNUMBER(SEARCH("tarnish",C66)),"Contamination",ISNUMBER(SEARCH("stain",C66)),"Contamination",ISNUMBER(SEARCH("foreign material",C66)),"Contamination",ISNUMBER(SEARCH("contamina",C66)),"Contamination",ISNUMBER(SEARCH("overheat",C66)),"Overheating of Device",ISNUMBER(SEARCH("excessive heat",C66)),"Overheating of Device",ISNUMBER(SEARCH("hot",C66)),"Overheating of Device",ISNUMBER(SEARCH("noise",C66)),"Noise, Audible",ISNUMBER(SEARCH("sound",C66)),"Noise, Audible",ISNUMBER(SEARCH("loud",C66)),"Noise, Audible",ISNUMBER(SEARCH("fray",C66)),"Material Frayed",ISNUMBER(SEARCH("hole",C66)),"Material Frayed",ISNUMBER(SEARCH("tear",C66)),"Material Frayed",ISNUMBER(SEARCH("worn",C66)),"Material Frayed",ISNUMBER(SEARCH("intermittent",C66)),"Difficult or Delayed Activation",ISNUMBER(SEARCH("delay",C66)),"Difficult or Delayed Activation",ISNUMBER(SEARCH("label",C66)),"Device Markings/Labelling Problem",ISNUMBER(SEARCH("marking",C66)),"Device Markings/Labelling Problem",ISNUMBER(SEARCH("lacerat",C66)),"Defective Device",ISNUMBER(SEARCH("cut",C66)),"Defective Device",ISNUMBER(SEARCH("leak",C66)),"Fluid/Blood Leak",ISNUMBER(SEARCH("missing",C66)),"Component Missing",ISNUMBER(SEARCH("power",C66)),"Complete Loss of Power",ISNUMBER(SEARCH("will not turn on",C66)),"Complete Loss of Power",ISNUMBER(SEARCH("won't turn on",C66)),"Complete Loss of Power",ISNUMBER(SEARCH("does not turn on",C66)),"Complete Loss of Power",ISNUMBER(SEARCH("electrical",C66)),"Electrical Power Problem",ISNUMBER(SEARCH("pressure",C66)),"Detachment of Device or Device Component",ISNUMBER(SEARCH("slip",C66)),"Detachment of Device or Device Component",ISNUMBER(SEARCH("detach",C66)),"Detachment of Device or Device Component",ISNUMBER(SEARCH("stick",C66)),"Mechanical Jam",ISNUMBER(SEARCH("jam",C66)),"Mechanical Jam",ISNUMBER(SEARCH("rigid",C66)),"Mechanical Jam",ISNUMBER(SEARCH("rust",C66)),"Corroded",ISNUMBER(SEARCH("corrod",C66)),"Corroded",ISNUMBER(SEARCH("corrosion",C66)),"Corroded",ISNUMBER(SEARCH("alignment",C66)),"Defective Device",ISNUMBER(SEARCH("adjust",C66)),"Defective Device",ISNUMBER(SEARCH("perform",C66)),"Defective Device",ISNUMBER(SEARCH("malfunction",C66)),"Defective Device",ISNUMBER(SEARCH("defect",C66)),"Defective Device",ISNUMBER(SEARCH("fail",C66)),"Defective Device",ISNUMBER(SEARCH("not work",C66)),"Defective Device",ISNUMBER(SEARCH("doesn't work",C66)),"Defective Device",TRUE,"UNKNOWN"),"UNKNOWN")))</f>
        <v/>
      </c>
      <c r="F66" s="4" t="str">
        <f t="shared" si="0"/>
        <v/>
      </c>
      <c r="G66" s="363" t="str">
        <f>IF(E66="","",IFERROR(VLOOKUP(E66,Codes!$L$2:$N$409,3,FALSE),"—"))</f>
        <v/>
      </c>
      <c r="H66" s="88"/>
      <c r="I66" s="88"/>
    </row>
    <row r="67" spans="1:9" ht="13.15" x14ac:dyDescent="0.35">
      <c r="A67" s="435"/>
      <c r="B67" s="436"/>
      <c r="C67" s="438"/>
      <c r="D67" s="435"/>
      <c r="E67" s="93" t="str" cm="1">
        <f t="array" ref="E67">IF(D67&lt;&gt;"",IFERROR(VLOOKUP(D67,Codes!$K$2:$L$409,2,FALSE),"UNKNOWN - "&amp;D67),IF(C67="","",IFERROR(_xlfn.IFS(ISNUMBER(SEARCH("broken button",C67)),"Break",ISNUMBER(SEARCH("broken handle",C67)),"Break",ISNUMBER(SEARCH("shipping damage",C67)),"Break",ISNUMBER(SEARCH("broken",C67)),"Break",ISNUMBER(SEARCH("crack",C67)),"Break",ISNUMBER(SEARCH("snap",C67)),"Break",ISNUMBER(SEARCH("fracture",C67)),"Break",ISNUMBER(SEARCH("bent",C67)),"Material Twisted/Bent",ISNUMBER(SEARCH("twisted",C67)),"Material Twisted/Bent",ISNUMBER(SEARCH("component separat",C67)),"Material Separation",ISNUMBER(SEARCH("separat",C67)),"Material Separation",ISNUMBER(SEARCH("connection",C67)),"Loose or Intermittent Connection",ISNUMBER(SEARCH("loose",C67)),"Loose or Intermittent Connection",ISNUMBER(SEARCH("damaged packaging",C67)),"Packaging Problem",ISNUMBER(SEARCH("packaging",C67)),"Packaging Problem",ISNUMBER(SEARCH("discoloration",C67)),"Contamination",ISNUMBER(SEARCH("tarnish",C67)),"Contamination",ISNUMBER(SEARCH("stain",C67)),"Contamination",ISNUMBER(SEARCH("foreign material",C67)),"Contamination",ISNUMBER(SEARCH("contamina",C67)),"Contamination",ISNUMBER(SEARCH("overheat",C67)),"Overheating of Device",ISNUMBER(SEARCH("excessive heat",C67)),"Overheating of Device",ISNUMBER(SEARCH("hot",C67)),"Overheating of Device",ISNUMBER(SEARCH("noise",C67)),"Noise, Audible",ISNUMBER(SEARCH("sound",C67)),"Noise, Audible",ISNUMBER(SEARCH("loud",C67)),"Noise, Audible",ISNUMBER(SEARCH("fray",C67)),"Material Frayed",ISNUMBER(SEARCH("hole",C67)),"Material Frayed",ISNUMBER(SEARCH("tear",C67)),"Material Frayed",ISNUMBER(SEARCH("worn",C67)),"Material Frayed",ISNUMBER(SEARCH("intermittent",C67)),"Difficult or Delayed Activation",ISNUMBER(SEARCH("delay",C67)),"Difficult or Delayed Activation",ISNUMBER(SEARCH("label",C67)),"Device Markings/Labelling Problem",ISNUMBER(SEARCH("marking",C67)),"Device Markings/Labelling Problem",ISNUMBER(SEARCH("lacerat",C67)),"Defective Device",ISNUMBER(SEARCH("cut",C67)),"Defective Device",ISNUMBER(SEARCH("leak",C67)),"Fluid/Blood Leak",ISNUMBER(SEARCH("missing",C67)),"Component Missing",ISNUMBER(SEARCH("power",C67)),"Complete Loss of Power",ISNUMBER(SEARCH("will not turn on",C67)),"Complete Loss of Power",ISNUMBER(SEARCH("won't turn on",C67)),"Complete Loss of Power",ISNUMBER(SEARCH("does not turn on",C67)),"Complete Loss of Power",ISNUMBER(SEARCH("electrical",C67)),"Electrical Power Problem",ISNUMBER(SEARCH("pressure",C67)),"Detachment of Device or Device Component",ISNUMBER(SEARCH("slip",C67)),"Detachment of Device or Device Component",ISNUMBER(SEARCH("detach",C67)),"Detachment of Device or Device Component",ISNUMBER(SEARCH("stick",C67)),"Mechanical Jam",ISNUMBER(SEARCH("jam",C67)),"Mechanical Jam",ISNUMBER(SEARCH("rigid",C67)),"Mechanical Jam",ISNUMBER(SEARCH("rust",C67)),"Corroded",ISNUMBER(SEARCH("corrod",C67)),"Corroded",ISNUMBER(SEARCH("corrosion",C67)),"Corroded",ISNUMBER(SEARCH("alignment",C67)),"Defective Device",ISNUMBER(SEARCH("adjust",C67)),"Defective Device",ISNUMBER(SEARCH("perform",C67)),"Defective Device",ISNUMBER(SEARCH("malfunction",C67)),"Defective Device",ISNUMBER(SEARCH("defect",C67)),"Defective Device",ISNUMBER(SEARCH("fail",C67)),"Defective Device",ISNUMBER(SEARCH("not work",C67)),"Defective Device",ISNUMBER(SEARCH("doesn't work",C67)),"Defective Device",TRUE,"UNKNOWN"),"UNKNOWN")))</f>
        <v/>
      </c>
      <c r="F67" s="4" t="str">
        <f t="shared" ref="F67:F130" si="1">IF(E67="","","No Clinical Signs, Symptoms or Conditions")</f>
        <v/>
      </c>
      <c r="G67" s="363" t="str">
        <f>IF(E67="","",IFERROR(VLOOKUP(E67,Codes!$L$2:$N$409,3,FALSE),"—"))</f>
        <v/>
      </c>
      <c r="H67" s="88"/>
      <c r="I67" s="88"/>
    </row>
    <row r="68" spans="1:9" ht="13.15" x14ac:dyDescent="0.35">
      <c r="A68" s="434"/>
      <c r="B68" s="436"/>
      <c r="C68" s="437"/>
      <c r="D68" s="434"/>
      <c r="E68" s="93" t="str" cm="1">
        <f t="array" ref="E68">IF(D68&lt;&gt;"",IFERROR(VLOOKUP(D68,Codes!$K$2:$L$409,2,FALSE),"UNKNOWN - "&amp;D68),IF(C68="","",IFERROR(_xlfn.IFS(ISNUMBER(SEARCH("broken button",C68)),"Break",ISNUMBER(SEARCH("broken handle",C68)),"Break",ISNUMBER(SEARCH("shipping damage",C68)),"Break",ISNUMBER(SEARCH("broken",C68)),"Break",ISNUMBER(SEARCH("crack",C68)),"Break",ISNUMBER(SEARCH("snap",C68)),"Break",ISNUMBER(SEARCH("fracture",C68)),"Break",ISNUMBER(SEARCH("bent",C68)),"Material Twisted/Bent",ISNUMBER(SEARCH("twisted",C68)),"Material Twisted/Bent",ISNUMBER(SEARCH("component separat",C68)),"Material Separation",ISNUMBER(SEARCH("separat",C68)),"Material Separation",ISNUMBER(SEARCH("connection",C68)),"Loose or Intermittent Connection",ISNUMBER(SEARCH("loose",C68)),"Loose or Intermittent Connection",ISNUMBER(SEARCH("damaged packaging",C68)),"Packaging Problem",ISNUMBER(SEARCH("packaging",C68)),"Packaging Problem",ISNUMBER(SEARCH("discoloration",C68)),"Contamination",ISNUMBER(SEARCH("tarnish",C68)),"Contamination",ISNUMBER(SEARCH("stain",C68)),"Contamination",ISNUMBER(SEARCH("foreign material",C68)),"Contamination",ISNUMBER(SEARCH("contamina",C68)),"Contamination",ISNUMBER(SEARCH("overheat",C68)),"Overheating of Device",ISNUMBER(SEARCH("excessive heat",C68)),"Overheating of Device",ISNUMBER(SEARCH("hot",C68)),"Overheating of Device",ISNUMBER(SEARCH("noise",C68)),"Noise, Audible",ISNUMBER(SEARCH("sound",C68)),"Noise, Audible",ISNUMBER(SEARCH("loud",C68)),"Noise, Audible",ISNUMBER(SEARCH("fray",C68)),"Material Frayed",ISNUMBER(SEARCH("hole",C68)),"Material Frayed",ISNUMBER(SEARCH("tear",C68)),"Material Frayed",ISNUMBER(SEARCH("worn",C68)),"Material Frayed",ISNUMBER(SEARCH("intermittent",C68)),"Difficult or Delayed Activation",ISNUMBER(SEARCH("delay",C68)),"Difficult or Delayed Activation",ISNUMBER(SEARCH("label",C68)),"Device Markings/Labelling Problem",ISNUMBER(SEARCH("marking",C68)),"Device Markings/Labelling Problem",ISNUMBER(SEARCH("lacerat",C68)),"Defective Device",ISNUMBER(SEARCH("cut",C68)),"Defective Device",ISNUMBER(SEARCH("leak",C68)),"Fluid/Blood Leak",ISNUMBER(SEARCH("missing",C68)),"Component Missing",ISNUMBER(SEARCH("power",C68)),"Complete Loss of Power",ISNUMBER(SEARCH("will not turn on",C68)),"Complete Loss of Power",ISNUMBER(SEARCH("won't turn on",C68)),"Complete Loss of Power",ISNUMBER(SEARCH("does not turn on",C68)),"Complete Loss of Power",ISNUMBER(SEARCH("electrical",C68)),"Electrical Power Problem",ISNUMBER(SEARCH("pressure",C68)),"Detachment of Device or Device Component",ISNUMBER(SEARCH("slip",C68)),"Detachment of Device or Device Component",ISNUMBER(SEARCH("detach",C68)),"Detachment of Device or Device Component",ISNUMBER(SEARCH("stick",C68)),"Mechanical Jam",ISNUMBER(SEARCH("jam",C68)),"Mechanical Jam",ISNUMBER(SEARCH("rigid",C68)),"Mechanical Jam",ISNUMBER(SEARCH("rust",C68)),"Corroded",ISNUMBER(SEARCH("corrod",C68)),"Corroded",ISNUMBER(SEARCH("corrosion",C68)),"Corroded",ISNUMBER(SEARCH("alignment",C68)),"Defective Device",ISNUMBER(SEARCH("adjust",C68)),"Defective Device",ISNUMBER(SEARCH("perform",C68)),"Defective Device",ISNUMBER(SEARCH("malfunction",C68)),"Defective Device",ISNUMBER(SEARCH("defect",C68)),"Defective Device",ISNUMBER(SEARCH("fail",C68)),"Defective Device",ISNUMBER(SEARCH("not work",C68)),"Defective Device",ISNUMBER(SEARCH("doesn't work",C68)),"Defective Device",TRUE,"UNKNOWN"),"UNKNOWN")))</f>
        <v/>
      </c>
      <c r="F68" s="4" t="str">
        <f t="shared" si="1"/>
        <v/>
      </c>
      <c r="G68" s="363" t="str">
        <f>IF(E68="","",IFERROR(VLOOKUP(E68,Codes!$L$2:$N$409,3,FALSE),"—"))</f>
        <v/>
      </c>
      <c r="H68" s="88"/>
      <c r="I68" s="88"/>
    </row>
    <row r="69" spans="1:9" ht="13.15" x14ac:dyDescent="0.35">
      <c r="A69" s="435"/>
      <c r="B69" s="436"/>
      <c r="C69" s="438"/>
      <c r="D69" s="435"/>
      <c r="E69" s="93" t="str" cm="1">
        <f t="array" ref="E69">IF(D69&lt;&gt;"",IFERROR(VLOOKUP(D69,Codes!$K$2:$L$409,2,FALSE),"UNKNOWN - "&amp;D69),IF(C69="","",IFERROR(_xlfn.IFS(ISNUMBER(SEARCH("broken button",C69)),"Break",ISNUMBER(SEARCH("broken handle",C69)),"Break",ISNUMBER(SEARCH("shipping damage",C69)),"Break",ISNUMBER(SEARCH("broken",C69)),"Break",ISNUMBER(SEARCH("crack",C69)),"Break",ISNUMBER(SEARCH("snap",C69)),"Break",ISNUMBER(SEARCH("fracture",C69)),"Break",ISNUMBER(SEARCH("bent",C69)),"Material Twisted/Bent",ISNUMBER(SEARCH("twisted",C69)),"Material Twisted/Bent",ISNUMBER(SEARCH("component separat",C69)),"Material Separation",ISNUMBER(SEARCH("separat",C69)),"Material Separation",ISNUMBER(SEARCH("connection",C69)),"Loose or Intermittent Connection",ISNUMBER(SEARCH("loose",C69)),"Loose or Intermittent Connection",ISNUMBER(SEARCH("damaged packaging",C69)),"Packaging Problem",ISNUMBER(SEARCH("packaging",C69)),"Packaging Problem",ISNUMBER(SEARCH("discoloration",C69)),"Contamination",ISNUMBER(SEARCH("tarnish",C69)),"Contamination",ISNUMBER(SEARCH("stain",C69)),"Contamination",ISNUMBER(SEARCH("foreign material",C69)),"Contamination",ISNUMBER(SEARCH("contamina",C69)),"Contamination",ISNUMBER(SEARCH("overheat",C69)),"Overheating of Device",ISNUMBER(SEARCH("excessive heat",C69)),"Overheating of Device",ISNUMBER(SEARCH("hot",C69)),"Overheating of Device",ISNUMBER(SEARCH("noise",C69)),"Noise, Audible",ISNUMBER(SEARCH("sound",C69)),"Noise, Audible",ISNUMBER(SEARCH("loud",C69)),"Noise, Audible",ISNUMBER(SEARCH("fray",C69)),"Material Frayed",ISNUMBER(SEARCH("hole",C69)),"Material Frayed",ISNUMBER(SEARCH("tear",C69)),"Material Frayed",ISNUMBER(SEARCH("worn",C69)),"Material Frayed",ISNUMBER(SEARCH("intermittent",C69)),"Difficult or Delayed Activation",ISNUMBER(SEARCH("delay",C69)),"Difficult or Delayed Activation",ISNUMBER(SEARCH("label",C69)),"Device Markings/Labelling Problem",ISNUMBER(SEARCH("marking",C69)),"Device Markings/Labelling Problem",ISNUMBER(SEARCH("lacerat",C69)),"Defective Device",ISNUMBER(SEARCH("cut",C69)),"Defective Device",ISNUMBER(SEARCH("leak",C69)),"Fluid/Blood Leak",ISNUMBER(SEARCH("missing",C69)),"Component Missing",ISNUMBER(SEARCH("power",C69)),"Complete Loss of Power",ISNUMBER(SEARCH("will not turn on",C69)),"Complete Loss of Power",ISNUMBER(SEARCH("won't turn on",C69)),"Complete Loss of Power",ISNUMBER(SEARCH("does not turn on",C69)),"Complete Loss of Power",ISNUMBER(SEARCH("electrical",C69)),"Electrical Power Problem",ISNUMBER(SEARCH("pressure",C69)),"Detachment of Device or Device Component",ISNUMBER(SEARCH("slip",C69)),"Detachment of Device or Device Component",ISNUMBER(SEARCH("detach",C69)),"Detachment of Device or Device Component",ISNUMBER(SEARCH("stick",C69)),"Mechanical Jam",ISNUMBER(SEARCH("jam",C69)),"Mechanical Jam",ISNUMBER(SEARCH("rigid",C69)),"Mechanical Jam",ISNUMBER(SEARCH("rust",C69)),"Corroded",ISNUMBER(SEARCH("corrod",C69)),"Corroded",ISNUMBER(SEARCH("corrosion",C69)),"Corroded",ISNUMBER(SEARCH("alignment",C69)),"Defective Device",ISNUMBER(SEARCH("adjust",C69)),"Defective Device",ISNUMBER(SEARCH("perform",C69)),"Defective Device",ISNUMBER(SEARCH("malfunction",C69)),"Defective Device",ISNUMBER(SEARCH("defect",C69)),"Defective Device",ISNUMBER(SEARCH("fail",C69)),"Defective Device",ISNUMBER(SEARCH("not work",C69)),"Defective Device",ISNUMBER(SEARCH("doesn't work",C69)),"Defective Device",TRUE,"UNKNOWN"),"UNKNOWN")))</f>
        <v/>
      </c>
      <c r="F69" s="4" t="str">
        <f t="shared" si="1"/>
        <v/>
      </c>
      <c r="G69" s="363" t="str">
        <f>IF(E69="","",IFERROR(VLOOKUP(E69,Codes!$L$2:$N$409,3,FALSE),"—"))</f>
        <v/>
      </c>
      <c r="H69" s="88"/>
      <c r="I69" s="88"/>
    </row>
    <row r="70" spans="1:9" ht="13.15" x14ac:dyDescent="0.35">
      <c r="A70" s="434"/>
      <c r="B70" s="436"/>
      <c r="C70" s="437"/>
      <c r="D70" s="434"/>
      <c r="E70" s="93" t="str" cm="1">
        <f t="array" ref="E70">IF(D70&lt;&gt;"",IFERROR(VLOOKUP(D70,Codes!$K$2:$L$409,2,FALSE),"UNKNOWN - "&amp;D70),IF(C70="","",IFERROR(_xlfn.IFS(ISNUMBER(SEARCH("broken button",C70)),"Break",ISNUMBER(SEARCH("broken handle",C70)),"Break",ISNUMBER(SEARCH("shipping damage",C70)),"Break",ISNUMBER(SEARCH("broken",C70)),"Break",ISNUMBER(SEARCH("crack",C70)),"Break",ISNUMBER(SEARCH("snap",C70)),"Break",ISNUMBER(SEARCH("fracture",C70)),"Break",ISNUMBER(SEARCH("bent",C70)),"Material Twisted/Bent",ISNUMBER(SEARCH("twisted",C70)),"Material Twisted/Bent",ISNUMBER(SEARCH("component separat",C70)),"Material Separation",ISNUMBER(SEARCH("separat",C70)),"Material Separation",ISNUMBER(SEARCH("connection",C70)),"Loose or Intermittent Connection",ISNUMBER(SEARCH("loose",C70)),"Loose or Intermittent Connection",ISNUMBER(SEARCH("damaged packaging",C70)),"Packaging Problem",ISNUMBER(SEARCH("packaging",C70)),"Packaging Problem",ISNUMBER(SEARCH("discoloration",C70)),"Contamination",ISNUMBER(SEARCH("tarnish",C70)),"Contamination",ISNUMBER(SEARCH("stain",C70)),"Contamination",ISNUMBER(SEARCH("foreign material",C70)),"Contamination",ISNUMBER(SEARCH("contamina",C70)),"Contamination",ISNUMBER(SEARCH("overheat",C70)),"Overheating of Device",ISNUMBER(SEARCH("excessive heat",C70)),"Overheating of Device",ISNUMBER(SEARCH("hot",C70)),"Overheating of Device",ISNUMBER(SEARCH("noise",C70)),"Noise, Audible",ISNUMBER(SEARCH("sound",C70)),"Noise, Audible",ISNUMBER(SEARCH("loud",C70)),"Noise, Audible",ISNUMBER(SEARCH("fray",C70)),"Material Frayed",ISNUMBER(SEARCH("hole",C70)),"Material Frayed",ISNUMBER(SEARCH("tear",C70)),"Material Frayed",ISNUMBER(SEARCH("worn",C70)),"Material Frayed",ISNUMBER(SEARCH("intermittent",C70)),"Difficult or Delayed Activation",ISNUMBER(SEARCH("delay",C70)),"Difficult or Delayed Activation",ISNUMBER(SEARCH("label",C70)),"Device Markings/Labelling Problem",ISNUMBER(SEARCH("marking",C70)),"Device Markings/Labelling Problem",ISNUMBER(SEARCH("lacerat",C70)),"Defective Device",ISNUMBER(SEARCH("cut",C70)),"Defective Device",ISNUMBER(SEARCH("leak",C70)),"Fluid/Blood Leak",ISNUMBER(SEARCH("missing",C70)),"Component Missing",ISNUMBER(SEARCH("power",C70)),"Complete Loss of Power",ISNUMBER(SEARCH("will not turn on",C70)),"Complete Loss of Power",ISNUMBER(SEARCH("won't turn on",C70)),"Complete Loss of Power",ISNUMBER(SEARCH("does not turn on",C70)),"Complete Loss of Power",ISNUMBER(SEARCH("electrical",C70)),"Electrical Power Problem",ISNUMBER(SEARCH("pressure",C70)),"Detachment of Device or Device Component",ISNUMBER(SEARCH("slip",C70)),"Detachment of Device or Device Component",ISNUMBER(SEARCH("detach",C70)),"Detachment of Device or Device Component",ISNUMBER(SEARCH("stick",C70)),"Mechanical Jam",ISNUMBER(SEARCH("jam",C70)),"Mechanical Jam",ISNUMBER(SEARCH("rigid",C70)),"Mechanical Jam",ISNUMBER(SEARCH("rust",C70)),"Corroded",ISNUMBER(SEARCH("corrod",C70)),"Corroded",ISNUMBER(SEARCH("corrosion",C70)),"Corroded",ISNUMBER(SEARCH("alignment",C70)),"Defective Device",ISNUMBER(SEARCH("adjust",C70)),"Defective Device",ISNUMBER(SEARCH("perform",C70)),"Defective Device",ISNUMBER(SEARCH("malfunction",C70)),"Defective Device",ISNUMBER(SEARCH("defect",C70)),"Defective Device",ISNUMBER(SEARCH("fail",C70)),"Defective Device",ISNUMBER(SEARCH("not work",C70)),"Defective Device",ISNUMBER(SEARCH("doesn't work",C70)),"Defective Device",TRUE,"UNKNOWN"),"UNKNOWN")))</f>
        <v/>
      </c>
      <c r="F70" s="4" t="str">
        <f t="shared" si="1"/>
        <v/>
      </c>
      <c r="G70" s="363" t="str">
        <f>IF(E70="","",IFERROR(VLOOKUP(E70,Codes!$L$2:$N$409,3,FALSE),"—"))</f>
        <v/>
      </c>
      <c r="H70" s="88"/>
      <c r="I70" s="88"/>
    </row>
    <row r="71" spans="1:9" ht="13.15" x14ac:dyDescent="0.35">
      <c r="A71" s="435"/>
      <c r="B71" s="436"/>
      <c r="C71" s="438"/>
      <c r="D71" s="435"/>
      <c r="E71" s="93" t="str" cm="1">
        <f t="array" ref="E71">IF(D71&lt;&gt;"",IFERROR(VLOOKUP(D71,Codes!$K$2:$L$409,2,FALSE),"UNKNOWN - "&amp;D71),IF(C71="","",IFERROR(_xlfn.IFS(ISNUMBER(SEARCH("broken button",C71)),"Break",ISNUMBER(SEARCH("broken handle",C71)),"Break",ISNUMBER(SEARCH("shipping damage",C71)),"Break",ISNUMBER(SEARCH("broken",C71)),"Break",ISNUMBER(SEARCH("crack",C71)),"Break",ISNUMBER(SEARCH("snap",C71)),"Break",ISNUMBER(SEARCH("fracture",C71)),"Break",ISNUMBER(SEARCH("bent",C71)),"Material Twisted/Bent",ISNUMBER(SEARCH("twisted",C71)),"Material Twisted/Bent",ISNUMBER(SEARCH("component separat",C71)),"Material Separation",ISNUMBER(SEARCH("separat",C71)),"Material Separation",ISNUMBER(SEARCH("connection",C71)),"Loose or Intermittent Connection",ISNUMBER(SEARCH("loose",C71)),"Loose or Intermittent Connection",ISNUMBER(SEARCH("damaged packaging",C71)),"Packaging Problem",ISNUMBER(SEARCH("packaging",C71)),"Packaging Problem",ISNUMBER(SEARCH("discoloration",C71)),"Contamination",ISNUMBER(SEARCH("tarnish",C71)),"Contamination",ISNUMBER(SEARCH("stain",C71)),"Contamination",ISNUMBER(SEARCH("foreign material",C71)),"Contamination",ISNUMBER(SEARCH("contamina",C71)),"Contamination",ISNUMBER(SEARCH("overheat",C71)),"Overheating of Device",ISNUMBER(SEARCH("excessive heat",C71)),"Overheating of Device",ISNUMBER(SEARCH("hot",C71)),"Overheating of Device",ISNUMBER(SEARCH("noise",C71)),"Noise, Audible",ISNUMBER(SEARCH("sound",C71)),"Noise, Audible",ISNUMBER(SEARCH("loud",C71)),"Noise, Audible",ISNUMBER(SEARCH("fray",C71)),"Material Frayed",ISNUMBER(SEARCH("hole",C71)),"Material Frayed",ISNUMBER(SEARCH("tear",C71)),"Material Frayed",ISNUMBER(SEARCH("worn",C71)),"Material Frayed",ISNUMBER(SEARCH("intermittent",C71)),"Difficult or Delayed Activation",ISNUMBER(SEARCH("delay",C71)),"Difficult or Delayed Activation",ISNUMBER(SEARCH("label",C71)),"Device Markings/Labelling Problem",ISNUMBER(SEARCH("marking",C71)),"Device Markings/Labelling Problem",ISNUMBER(SEARCH("lacerat",C71)),"Defective Device",ISNUMBER(SEARCH("cut",C71)),"Defective Device",ISNUMBER(SEARCH("leak",C71)),"Fluid/Blood Leak",ISNUMBER(SEARCH("missing",C71)),"Component Missing",ISNUMBER(SEARCH("power",C71)),"Complete Loss of Power",ISNUMBER(SEARCH("will not turn on",C71)),"Complete Loss of Power",ISNUMBER(SEARCH("won't turn on",C71)),"Complete Loss of Power",ISNUMBER(SEARCH("does not turn on",C71)),"Complete Loss of Power",ISNUMBER(SEARCH("electrical",C71)),"Electrical Power Problem",ISNUMBER(SEARCH("pressure",C71)),"Detachment of Device or Device Component",ISNUMBER(SEARCH("slip",C71)),"Detachment of Device or Device Component",ISNUMBER(SEARCH("detach",C71)),"Detachment of Device or Device Component",ISNUMBER(SEARCH("stick",C71)),"Mechanical Jam",ISNUMBER(SEARCH("jam",C71)),"Mechanical Jam",ISNUMBER(SEARCH("rigid",C71)),"Mechanical Jam",ISNUMBER(SEARCH("rust",C71)),"Corroded",ISNUMBER(SEARCH("corrod",C71)),"Corroded",ISNUMBER(SEARCH("corrosion",C71)),"Corroded",ISNUMBER(SEARCH("alignment",C71)),"Defective Device",ISNUMBER(SEARCH("adjust",C71)),"Defective Device",ISNUMBER(SEARCH("perform",C71)),"Defective Device",ISNUMBER(SEARCH("malfunction",C71)),"Defective Device",ISNUMBER(SEARCH("defect",C71)),"Defective Device",ISNUMBER(SEARCH("fail",C71)),"Defective Device",ISNUMBER(SEARCH("not work",C71)),"Defective Device",ISNUMBER(SEARCH("doesn't work",C71)),"Defective Device",TRUE,"UNKNOWN"),"UNKNOWN")))</f>
        <v/>
      </c>
      <c r="F71" s="4" t="str">
        <f t="shared" si="1"/>
        <v/>
      </c>
      <c r="G71" s="363" t="str">
        <f>IF(E71="","",IFERROR(VLOOKUP(E71,Codes!$L$2:$N$409,3,FALSE),"—"))</f>
        <v/>
      </c>
      <c r="H71" s="88"/>
      <c r="I71" s="88"/>
    </row>
    <row r="72" spans="1:9" ht="13.15" x14ac:dyDescent="0.35">
      <c r="A72" s="434"/>
      <c r="B72" s="436"/>
      <c r="C72" s="437"/>
      <c r="D72" s="434"/>
      <c r="E72" s="93" t="str" cm="1">
        <f t="array" ref="E72">IF(D72&lt;&gt;"",IFERROR(VLOOKUP(D72,Codes!$K$2:$L$409,2,FALSE),"UNKNOWN - "&amp;D72),IF(C72="","",IFERROR(_xlfn.IFS(ISNUMBER(SEARCH("broken button",C72)),"Break",ISNUMBER(SEARCH("broken handle",C72)),"Break",ISNUMBER(SEARCH("shipping damage",C72)),"Break",ISNUMBER(SEARCH("broken",C72)),"Break",ISNUMBER(SEARCH("crack",C72)),"Break",ISNUMBER(SEARCH("snap",C72)),"Break",ISNUMBER(SEARCH("fracture",C72)),"Break",ISNUMBER(SEARCH("bent",C72)),"Material Twisted/Bent",ISNUMBER(SEARCH("twisted",C72)),"Material Twisted/Bent",ISNUMBER(SEARCH("component separat",C72)),"Material Separation",ISNUMBER(SEARCH("separat",C72)),"Material Separation",ISNUMBER(SEARCH("connection",C72)),"Loose or Intermittent Connection",ISNUMBER(SEARCH("loose",C72)),"Loose or Intermittent Connection",ISNUMBER(SEARCH("damaged packaging",C72)),"Packaging Problem",ISNUMBER(SEARCH("packaging",C72)),"Packaging Problem",ISNUMBER(SEARCH("discoloration",C72)),"Contamination",ISNUMBER(SEARCH("tarnish",C72)),"Contamination",ISNUMBER(SEARCH("stain",C72)),"Contamination",ISNUMBER(SEARCH("foreign material",C72)),"Contamination",ISNUMBER(SEARCH("contamina",C72)),"Contamination",ISNUMBER(SEARCH("overheat",C72)),"Overheating of Device",ISNUMBER(SEARCH("excessive heat",C72)),"Overheating of Device",ISNUMBER(SEARCH("hot",C72)),"Overheating of Device",ISNUMBER(SEARCH("noise",C72)),"Noise, Audible",ISNUMBER(SEARCH("sound",C72)),"Noise, Audible",ISNUMBER(SEARCH("loud",C72)),"Noise, Audible",ISNUMBER(SEARCH("fray",C72)),"Material Frayed",ISNUMBER(SEARCH("hole",C72)),"Material Frayed",ISNUMBER(SEARCH("tear",C72)),"Material Frayed",ISNUMBER(SEARCH("worn",C72)),"Material Frayed",ISNUMBER(SEARCH("intermittent",C72)),"Difficult or Delayed Activation",ISNUMBER(SEARCH("delay",C72)),"Difficult or Delayed Activation",ISNUMBER(SEARCH("label",C72)),"Device Markings/Labelling Problem",ISNUMBER(SEARCH("marking",C72)),"Device Markings/Labelling Problem",ISNUMBER(SEARCH("lacerat",C72)),"Defective Device",ISNUMBER(SEARCH("cut",C72)),"Defective Device",ISNUMBER(SEARCH("leak",C72)),"Fluid/Blood Leak",ISNUMBER(SEARCH("missing",C72)),"Component Missing",ISNUMBER(SEARCH("power",C72)),"Complete Loss of Power",ISNUMBER(SEARCH("will not turn on",C72)),"Complete Loss of Power",ISNUMBER(SEARCH("won't turn on",C72)),"Complete Loss of Power",ISNUMBER(SEARCH("does not turn on",C72)),"Complete Loss of Power",ISNUMBER(SEARCH("electrical",C72)),"Electrical Power Problem",ISNUMBER(SEARCH("pressure",C72)),"Detachment of Device or Device Component",ISNUMBER(SEARCH("slip",C72)),"Detachment of Device or Device Component",ISNUMBER(SEARCH("detach",C72)),"Detachment of Device or Device Component",ISNUMBER(SEARCH("stick",C72)),"Mechanical Jam",ISNUMBER(SEARCH("jam",C72)),"Mechanical Jam",ISNUMBER(SEARCH("rigid",C72)),"Mechanical Jam",ISNUMBER(SEARCH("rust",C72)),"Corroded",ISNUMBER(SEARCH("corrod",C72)),"Corroded",ISNUMBER(SEARCH("corrosion",C72)),"Corroded",ISNUMBER(SEARCH("alignment",C72)),"Defective Device",ISNUMBER(SEARCH("adjust",C72)),"Defective Device",ISNUMBER(SEARCH("perform",C72)),"Defective Device",ISNUMBER(SEARCH("malfunction",C72)),"Defective Device",ISNUMBER(SEARCH("defect",C72)),"Defective Device",ISNUMBER(SEARCH("fail",C72)),"Defective Device",ISNUMBER(SEARCH("not work",C72)),"Defective Device",ISNUMBER(SEARCH("doesn't work",C72)),"Defective Device",TRUE,"UNKNOWN"),"UNKNOWN")))</f>
        <v/>
      </c>
      <c r="F72" s="4" t="str">
        <f t="shared" si="1"/>
        <v/>
      </c>
      <c r="G72" s="363" t="str">
        <f>IF(E72="","",IFERROR(VLOOKUP(E72,Codes!$L$2:$N$409,3,FALSE),"—"))</f>
        <v/>
      </c>
      <c r="H72" s="88"/>
      <c r="I72" s="88"/>
    </row>
    <row r="73" spans="1:9" ht="13.15" x14ac:dyDescent="0.35">
      <c r="A73" s="435"/>
      <c r="B73" s="436"/>
      <c r="C73" s="438"/>
      <c r="D73" s="435"/>
      <c r="E73" s="93" t="str" cm="1">
        <f t="array" ref="E73">IF(D73&lt;&gt;"",IFERROR(VLOOKUP(D73,Codes!$K$2:$L$409,2,FALSE),"UNKNOWN - "&amp;D73),IF(C73="","",IFERROR(_xlfn.IFS(ISNUMBER(SEARCH("broken button",C73)),"Break",ISNUMBER(SEARCH("broken handle",C73)),"Break",ISNUMBER(SEARCH("shipping damage",C73)),"Break",ISNUMBER(SEARCH("broken",C73)),"Break",ISNUMBER(SEARCH("crack",C73)),"Break",ISNUMBER(SEARCH("snap",C73)),"Break",ISNUMBER(SEARCH("fracture",C73)),"Break",ISNUMBER(SEARCH("bent",C73)),"Material Twisted/Bent",ISNUMBER(SEARCH("twisted",C73)),"Material Twisted/Bent",ISNUMBER(SEARCH("component separat",C73)),"Material Separation",ISNUMBER(SEARCH("separat",C73)),"Material Separation",ISNUMBER(SEARCH("connection",C73)),"Loose or Intermittent Connection",ISNUMBER(SEARCH("loose",C73)),"Loose or Intermittent Connection",ISNUMBER(SEARCH("damaged packaging",C73)),"Packaging Problem",ISNUMBER(SEARCH("packaging",C73)),"Packaging Problem",ISNUMBER(SEARCH("discoloration",C73)),"Contamination",ISNUMBER(SEARCH("tarnish",C73)),"Contamination",ISNUMBER(SEARCH("stain",C73)),"Contamination",ISNUMBER(SEARCH("foreign material",C73)),"Contamination",ISNUMBER(SEARCH("contamina",C73)),"Contamination",ISNUMBER(SEARCH("overheat",C73)),"Overheating of Device",ISNUMBER(SEARCH("excessive heat",C73)),"Overheating of Device",ISNUMBER(SEARCH("hot",C73)),"Overheating of Device",ISNUMBER(SEARCH("noise",C73)),"Noise, Audible",ISNUMBER(SEARCH("sound",C73)),"Noise, Audible",ISNUMBER(SEARCH("loud",C73)),"Noise, Audible",ISNUMBER(SEARCH("fray",C73)),"Material Frayed",ISNUMBER(SEARCH("hole",C73)),"Material Frayed",ISNUMBER(SEARCH("tear",C73)),"Material Frayed",ISNUMBER(SEARCH("worn",C73)),"Material Frayed",ISNUMBER(SEARCH("intermittent",C73)),"Difficult or Delayed Activation",ISNUMBER(SEARCH("delay",C73)),"Difficult or Delayed Activation",ISNUMBER(SEARCH("label",C73)),"Device Markings/Labelling Problem",ISNUMBER(SEARCH("marking",C73)),"Device Markings/Labelling Problem",ISNUMBER(SEARCH("lacerat",C73)),"Defective Device",ISNUMBER(SEARCH("cut",C73)),"Defective Device",ISNUMBER(SEARCH("leak",C73)),"Fluid/Blood Leak",ISNUMBER(SEARCH("missing",C73)),"Component Missing",ISNUMBER(SEARCH("power",C73)),"Complete Loss of Power",ISNUMBER(SEARCH("will not turn on",C73)),"Complete Loss of Power",ISNUMBER(SEARCH("won't turn on",C73)),"Complete Loss of Power",ISNUMBER(SEARCH("does not turn on",C73)),"Complete Loss of Power",ISNUMBER(SEARCH("electrical",C73)),"Electrical Power Problem",ISNUMBER(SEARCH("pressure",C73)),"Detachment of Device or Device Component",ISNUMBER(SEARCH("slip",C73)),"Detachment of Device or Device Component",ISNUMBER(SEARCH("detach",C73)),"Detachment of Device or Device Component",ISNUMBER(SEARCH("stick",C73)),"Mechanical Jam",ISNUMBER(SEARCH("jam",C73)),"Mechanical Jam",ISNUMBER(SEARCH("rigid",C73)),"Mechanical Jam",ISNUMBER(SEARCH("rust",C73)),"Corroded",ISNUMBER(SEARCH("corrod",C73)),"Corroded",ISNUMBER(SEARCH("corrosion",C73)),"Corroded",ISNUMBER(SEARCH("alignment",C73)),"Defective Device",ISNUMBER(SEARCH("adjust",C73)),"Defective Device",ISNUMBER(SEARCH("perform",C73)),"Defective Device",ISNUMBER(SEARCH("malfunction",C73)),"Defective Device",ISNUMBER(SEARCH("defect",C73)),"Defective Device",ISNUMBER(SEARCH("fail",C73)),"Defective Device",ISNUMBER(SEARCH("not work",C73)),"Defective Device",ISNUMBER(SEARCH("doesn't work",C73)),"Defective Device",TRUE,"UNKNOWN"),"UNKNOWN")))</f>
        <v/>
      </c>
      <c r="F73" s="4" t="str">
        <f t="shared" si="1"/>
        <v/>
      </c>
      <c r="G73" s="363" t="str">
        <f>IF(E73="","",IFERROR(VLOOKUP(E73,Codes!$L$2:$N$409,3,FALSE),"—"))</f>
        <v/>
      </c>
      <c r="H73" s="88"/>
      <c r="I73" s="88"/>
    </row>
    <row r="74" spans="1:9" ht="13.15" x14ac:dyDescent="0.35">
      <c r="A74" s="434"/>
      <c r="B74" s="436"/>
      <c r="C74" s="437"/>
      <c r="D74" s="434"/>
      <c r="E74" s="93" t="str" cm="1">
        <f t="array" ref="E74">IF(D74&lt;&gt;"",IFERROR(VLOOKUP(D74,Codes!$K$2:$L$409,2,FALSE),"UNKNOWN - "&amp;D74),IF(C74="","",IFERROR(_xlfn.IFS(ISNUMBER(SEARCH("broken button",C74)),"Break",ISNUMBER(SEARCH("broken handle",C74)),"Break",ISNUMBER(SEARCH("shipping damage",C74)),"Break",ISNUMBER(SEARCH("broken",C74)),"Break",ISNUMBER(SEARCH("crack",C74)),"Break",ISNUMBER(SEARCH("snap",C74)),"Break",ISNUMBER(SEARCH("fracture",C74)),"Break",ISNUMBER(SEARCH("bent",C74)),"Material Twisted/Bent",ISNUMBER(SEARCH("twisted",C74)),"Material Twisted/Bent",ISNUMBER(SEARCH("component separat",C74)),"Material Separation",ISNUMBER(SEARCH("separat",C74)),"Material Separation",ISNUMBER(SEARCH("connection",C74)),"Loose or Intermittent Connection",ISNUMBER(SEARCH("loose",C74)),"Loose or Intermittent Connection",ISNUMBER(SEARCH("damaged packaging",C74)),"Packaging Problem",ISNUMBER(SEARCH("packaging",C74)),"Packaging Problem",ISNUMBER(SEARCH("discoloration",C74)),"Contamination",ISNUMBER(SEARCH("tarnish",C74)),"Contamination",ISNUMBER(SEARCH("stain",C74)),"Contamination",ISNUMBER(SEARCH("foreign material",C74)),"Contamination",ISNUMBER(SEARCH("contamina",C74)),"Contamination",ISNUMBER(SEARCH("overheat",C74)),"Overheating of Device",ISNUMBER(SEARCH("excessive heat",C74)),"Overheating of Device",ISNUMBER(SEARCH("hot",C74)),"Overheating of Device",ISNUMBER(SEARCH("noise",C74)),"Noise, Audible",ISNUMBER(SEARCH("sound",C74)),"Noise, Audible",ISNUMBER(SEARCH("loud",C74)),"Noise, Audible",ISNUMBER(SEARCH("fray",C74)),"Material Frayed",ISNUMBER(SEARCH("hole",C74)),"Material Frayed",ISNUMBER(SEARCH("tear",C74)),"Material Frayed",ISNUMBER(SEARCH("worn",C74)),"Material Frayed",ISNUMBER(SEARCH("intermittent",C74)),"Difficult or Delayed Activation",ISNUMBER(SEARCH("delay",C74)),"Difficult or Delayed Activation",ISNUMBER(SEARCH("label",C74)),"Device Markings/Labelling Problem",ISNUMBER(SEARCH("marking",C74)),"Device Markings/Labelling Problem",ISNUMBER(SEARCH("lacerat",C74)),"Defective Device",ISNUMBER(SEARCH("cut",C74)),"Defective Device",ISNUMBER(SEARCH("leak",C74)),"Fluid/Blood Leak",ISNUMBER(SEARCH("missing",C74)),"Component Missing",ISNUMBER(SEARCH("power",C74)),"Complete Loss of Power",ISNUMBER(SEARCH("will not turn on",C74)),"Complete Loss of Power",ISNUMBER(SEARCH("won't turn on",C74)),"Complete Loss of Power",ISNUMBER(SEARCH("does not turn on",C74)),"Complete Loss of Power",ISNUMBER(SEARCH("electrical",C74)),"Electrical Power Problem",ISNUMBER(SEARCH("pressure",C74)),"Detachment of Device or Device Component",ISNUMBER(SEARCH("slip",C74)),"Detachment of Device or Device Component",ISNUMBER(SEARCH("detach",C74)),"Detachment of Device or Device Component",ISNUMBER(SEARCH("stick",C74)),"Mechanical Jam",ISNUMBER(SEARCH("jam",C74)),"Mechanical Jam",ISNUMBER(SEARCH("rigid",C74)),"Mechanical Jam",ISNUMBER(SEARCH("rust",C74)),"Corroded",ISNUMBER(SEARCH("corrod",C74)),"Corroded",ISNUMBER(SEARCH("corrosion",C74)),"Corroded",ISNUMBER(SEARCH("alignment",C74)),"Defective Device",ISNUMBER(SEARCH("adjust",C74)),"Defective Device",ISNUMBER(SEARCH("perform",C74)),"Defective Device",ISNUMBER(SEARCH("malfunction",C74)),"Defective Device",ISNUMBER(SEARCH("defect",C74)),"Defective Device",ISNUMBER(SEARCH("fail",C74)),"Defective Device",ISNUMBER(SEARCH("not work",C74)),"Defective Device",ISNUMBER(SEARCH("doesn't work",C74)),"Defective Device",TRUE,"UNKNOWN"),"UNKNOWN")))</f>
        <v/>
      </c>
      <c r="F74" s="4" t="str">
        <f t="shared" si="1"/>
        <v/>
      </c>
      <c r="G74" s="363" t="str">
        <f>IF(E74="","",IFERROR(VLOOKUP(E74,Codes!$L$2:$N$409,3,FALSE),"—"))</f>
        <v/>
      </c>
      <c r="H74" s="88"/>
      <c r="I74" s="88"/>
    </row>
    <row r="75" spans="1:9" ht="13.15" x14ac:dyDescent="0.35">
      <c r="A75" s="435"/>
      <c r="B75" s="436"/>
      <c r="C75" s="440"/>
      <c r="D75" s="435"/>
      <c r="E75" s="93" t="str" cm="1">
        <f t="array" ref="E75">IF(D75&lt;&gt;"",IFERROR(VLOOKUP(D75,Codes!$K$2:$L$409,2,FALSE),"UNKNOWN - "&amp;D75),IF(C75="","",IFERROR(_xlfn.IFS(ISNUMBER(SEARCH("broken button",C75)),"Break",ISNUMBER(SEARCH("broken handle",C75)),"Break",ISNUMBER(SEARCH("shipping damage",C75)),"Break",ISNUMBER(SEARCH("broken",C75)),"Break",ISNUMBER(SEARCH("crack",C75)),"Break",ISNUMBER(SEARCH("snap",C75)),"Break",ISNUMBER(SEARCH("fracture",C75)),"Break",ISNUMBER(SEARCH("bent",C75)),"Material Twisted/Bent",ISNUMBER(SEARCH("twisted",C75)),"Material Twisted/Bent",ISNUMBER(SEARCH("component separat",C75)),"Material Separation",ISNUMBER(SEARCH("separat",C75)),"Material Separation",ISNUMBER(SEARCH("connection",C75)),"Loose or Intermittent Connection",ISNUMBER(SEARCH("loose",C75)),"Loose or Intermittent Connection",ISNUMBER(SEARCH("damaged packaging",C75)),"Packaging Problem",ISNUMBER(SEARCH("packaging",C75)),"Packaging Problem",ISNUMBER(SEARCH("discoloration",C75)),"Contamination",ISNUMBER(SEARCH("tarnish",C75)),"Contamination",ISNUMBER(SEARCH("stain",C75)),"Contamination",ISNUMBER(SEARCH("foreign material",C75)),"Contamination",ISNUMBER(SEARCH("contamina",C75)),"Contamination",ISNUMBER(SEARCH("overheat",C75)),"Overheating of Device",ISNUMBER(SEARCH("excessive heat",C75)),"Overheating of Device",ISNUMBER(SEARCH("hot",C75)),"Overheating of Device",ISNUMBER(SEARCH("noise",C75)),"Noise, Audible",ISNUMBER(SEARCH("sound",C75)),"Noise, Audible",ISNUMBER(SEARCH("loud",C75)),"Noise, Audible",ISNUMBER(SEARCH("fray",C75)),"Material Frayed",ISNUMBER(SEARCH("hole",C75)),"Material Frayed",ISNUMBER(SEARCH("tear",C75)),"Material Frayed",ISNUMBER(SEARCH("worn",C75)),"Material Frayed",ISNUMBER(SEARCH("intermittent",C75)),"Difficult or Delayed Activation",ISNUMBER(SEARCH("delay",C75)),"Difficult or Delayed Activation",ISNUMBER(SEARCH("label",C75)),"Device Markings/Labelling Problem",ISNUMBER(SEARCH("marking",C75)),"Device Markings/Labelling Problem",ISNUMBER(SEARCH("lacerat",C75)),"Defective Device",ISNUMBER(SEARCH("cut",C75)),"Defective Device",ISNUMBER(SEARCH("leak",C75)),"Fluid/Blood Leak",ISNUMBER(SEARCH("missing",C75)),"Component Missing",ISNUMBER(SEARCH("power",C75)),"Complete Loss of Power",ISNUMBER(SEARCH("will not turn on",C75)),"Complete Loss of Power",ISNUMBER(SEARCH("won't turn on",C75)),"Complete Loss of Power",ISNUMBER(SEARCH("does not turn on",C75)),"Complete Loss of Power",ISNUMBER(SEARCH("electrical",C75)),"Electrical Power Problem",ISNUMBER(SEARCH("pressure",C75)),"Detachment of Device or Device Component",ISNUMBER(SEARCH("slip",C75)),"Detachment of Device or Device Component",ISNUMBER(SEARCH("detach",C75)),"Detachment of Device or Device Component",ISNUMBER(SEARCH("stick",C75)),"Mechanical Jam",ISNUMBER(SEARCH("jam",C75)),"Mechanical Jam",ISNUMBER(SEARCH("rigid",C75)),"Mechanical Jam",ISNUMBER(SEARCH("rust",C75)),"Corroded",ISNUMBER(SEARCH("corrod",C75)),"Corroded",ISNUMBER(SEARCH("corrosion",C75)),"Corroded",ISNUMBER(SEARCH("alignment",C75)),"Defective Device",ISNUMBER(SEARCH("adjust",C75)),"Defective Device",ISNUMBER(SEARCH("perform",C75)),"Defective Device",ISNUMBER(SEARCH("malfunction",C75)),"Defective Device",ISNUMBER(SEARCH("defect",C75)),"Defective Device",ISNUMBER(SEARCH("fail",C75)),"Defective Device",ISNUMBER(SEARCH("not work",C75)),"Defective Device",ISNUMBER(SEARCH("doesn't work",C75)),"Defective Device",TRUE,"UNKNOWN"),"UNKNOWN")))</f>
        <v/>
      </c>
      <c r="F75" s="4" t="str">
        <f t="shared" si="1"/>
        <v/>
      </c>
      <c r="G75" s="363" t="str">
        <f>IF(E75="","",IFERROR(VLOOKUP(E75,Codes!$L$2:$N$409,3,FALSE),"—"))</f>
        <v/>
      </c>
      <c r="H75" s="88"/>
      <c r="I75" s="88"/>
    </row>
    <row r="76" spans="1:9" ht="13.15" x14ac:dyDescent="0.35">
      <c r="A76" s="434"/>
      <c r="B76" s="436"/>
      <c r="C76" s="437"/>
      <c r="D76" s="434"/>
      <c r="E76" s="93" t="str" cm="1">
        <f t="array" ref="E76">IF(D76&lt;&gt;"",IFERROR(VLOOKUP(D76,Codes!$K$2:$L$409,2,FALSE),"UNKNOWN - "&amp;D76),IF(C76="","",IFERROR(_xlfn.IFS(ISNUMBER(SEARCH("broken button",C76)),"Break",ISNUMBER(SEARCH("broken handle",C76)),"Break",ISNUMBER(SEARCH("shipping damage",C76)),"Break",ISNUMBER(SEARCH("broken",C76)),"Break",ISNUMBER(SEARCH("crack",C76)),"Break",ISNUMBER(SEARCH("snap",C76)),"Break",ISNUMBER(SEARCH("fracture",C76)),"Break",ISNUMBER(SEARCH("bent",C76)),"Material Twisted/Bent",ISNUMBER(SEARCH("twisted",C76)),"Material Twisted/Bent",ISNUMBER(SEARCH("component separat",C76)),"Material Separation",ISNUMBER(SEARCH("separat",C76)),"Material Separation",ISNUMBER(SEARCH("connection",C76)),"Loose or Intermittent Connection",ISNUMBER(SEARCH("loose",C76)),"Loose or Intermittent Connection",ISNUMBER(SEARCH("damaged packaging",C76)),"Packaging Problem",ISNUMBER(SEARCH("packaging",C76)),"Packaging Problem",ISNUMBER(SEARCH("discoloration",C76)),"Contamination",ISNUMBER(SEARCH("tarnish",C76)),"Contamination",ISNUMBER(SEARCH("stain",C76)),"Contamination",ISNUMBER(SEARCH("foreign material",C76)),"Contamination",ISNUMBER(SEARCH("contamina",C76)),"Contamination",ISNUMBER(SEARCH("overheat",C76)),"Overheating of Device",ISNUMBER(SEARCH("excessive heat",C76)),"Overheating of Device",ISNUMBER(SEARCH("hot",C76)),"Overheating of Device",ISNUMBER(SEARCH("noise",C76)),"Noise, Audible",ISNUMBER(SEARCH("sound",C76)),"Noise, Audible",ISNUMBER(SEARCH("loud",C76)),"Noise, Audible",ISNUMBER(SEARCH("fray",C76)),"Material Frayed",ISNUMBER(SEARCH("hole",C76)),"Material Frayed",ISNUMBER(SEARCH("tear",C76)),"Material Frayed",ISNUMBER(SEARCH("worn",C76)),"Material Frayed",ISNUMBER(SEARCH("intermittent",C76)),"Difficult or Delayed Activation",ISNUMBER(SEARCH("delay",C76)),"Difficult or Delayed Activation",ISNUMBER(SEARCH("label",C76)),"Device Markings/Labelling Problem",ISNUMBER(SEARCH("marking",C76)),"Device Markings/Labelling Problem",ISNUMBER(SEARCH("lacerat",C76)),"Defective Device",ISNUMBER(SEARCH("cut",C76)),"Defective Device",ISNUMBER(SEARCH("leak",C76)),"Fluid/Blood Leak",ISNUMBER(SEARCH("missing",C76)),"Component Missing",ISNUMBER(SEARCH("power",C76)),"Complete Loss of Power",ISNUMBER(SEARCH("will not turn on",C76)),"Complete Loss of Power",ISNUMBER(SEARCH("won't turn on",C76)),"Complete Loss of Power",ISNUMBER(SEARCH("does not turn on",C76)),"Complete Loss of Power",ISNUMBER(SEARCH("electrical",C76)),"Electrical Power Problem",ISNUMBER(SEARCH("pressure",C76)),"Detachment of Device or Device Component",ISNUMBER(SEARCH("slip",C76)),"Detachment of Device or Device Component",ISNUMBER(SEARCH("detach",C76)),"Detachment of Device or Device Component",ISNUMBER(SEARCH("stick",C76)),"Mechanical Jam",ISNUMBER(SEARCH("jam",C76)),"Mechanical Jam",ISNUMBER(SEARCH("rigid",C76)),"Mechanical Jam",ISNUMBER(SEARCH("rust",C76)),"Corroded",ISNUMBER(SEARCH("corrod",C76)),"Corroded",ISNUMBER(SEARCH("corrosion",C76)),"Corroded",ISNUMBER(SEARCH("alignment",C76)),"Defective Device",ISNUMBER(SEARCH("adjust",C76)),"Defective Device",ISNUMBER(SEARCH("perform",C76)),"Defective Device",ISNUMBER(SEARCH("malfunction",C76)),"Defective Device",ISNUMBER(SEARCH("defect",C76)),"Defective Device",ISNUMBER(SEARCH("fail",C76)),"Defective Device",ISNUMBER(SEARCH("not work",C76)),"Defective Device",ISNUMBER(SEARCH("doesn't work",C76)),"Defective Device",TRUE,"UNKNOWN"),"UNKNOWN")))</f>
        <v/>
      </c>
      <c r="F76" s="4" t="str">
        <f t="shared" si="1"/>
        <v/>
      </c>
      <c r="G76" s="363" t="str">
        <f>IF(E76="","",IFERROR(VLOOKUP(E76,Codes!$L$2:$N$409,3,FALSE),"—"))</f>
        <v/>
      </c>
      <c r="H76" s="88"/>
      <c r="I76" s="88"/>
    </row>
    <row r="77" spans="1:9" ht="13.15" x14ac:dyDescent="0.35">
      <c r="A77" s="434"/>
      <c r="B77" s="436"/>
      <c r="C77" s="437"/>
      <c r="D77" s="434"/>
      <c r="E77" s="93" t="str" cm="1">
        <f t="array" ref="E77">IF(D77&lt;&gt;"",IFERROR(VLOOKUP(D77,Codes!$K$2:$L$409,2,FALSE),"UNKNOWN - "&amp;D77),IF(C77="","",IFERROR(_xlfn.IFS(ISNUMBER(SEARCH("broken button",C77)),"Break",ISNUMBER(SEARCH("broken handle",C77)),"Break",ISNUMBER(SEARCH("shipping damage",C77)),"Break",ISNUMBER(SEARCH("broken",C77)),"Break",ISNUMBER(SEARCH("crack",C77)),"Break",ISNUMBER(SEARCH("snap",C77)),"Break",ISNUMBER(SEARCH("fracture",C77)),"Break",ISNUMBER(SEARCH("bent",C77)),"Material Twisted/Bent",ISNUMBER(SEARCH("twisted",C77)),"Material Twisted/Bent",ISNUMBER(SEARCH("component separat",C77)),"Material Separation",ISNUMBER(SEARCH("separat",C77)),"Material Separation",ISNUMBER(SEARCH("connection",C77)),"Loose or Intermittent Connection",ISNUMBER(SEARCH("loose",C77)),"Loose or Intermittent Connection",ISNUMBER(SEARCH("damaged packaging",C77)),"Packaging Problem",ISNUMBER(SEARCH("packaging",C77)),"Packaging Problem",ISNUMBER(SEARCH("discoloration",C77)),"Contamination",ISNUMBER(SEARCH("tarnish",C77)),"Contamination",ISNUMBER(SEARCH("stain",C77)),"Contamination",ISNUMBER(SEARCH("foreign material",C77)),"Contamination",ISNUMBER(SEARCH("contamina",C77)),"Contamination",ISNUMBER(SEARCH("overheat",C77)),"Overheating of Device",ISNUMBER(SEARCH("excessive heat",C77)),"Overheating of Device",ISNUMBER(SEARCH("hot",C77)),"Overheating of Device",ISNUMBER(SEARCH("noise",C77)),"Noise, Audible",ISNUMBER(SEARCH("sound",C77)),"Noise, Audible",ISNUMBER(SEARCH("loud",C77)),"Noise, Audible",ISNUMBER(SEARCH("fray",C77)),"Material Frayed",ISNUMBER(SEARCH("hole",C77)),"Material Frayed",ISNUMBER(SEARCH("tear",C77)),"Material Frayed",ISNUMBER(SEARCH("worn",C77)),"Material Frayed",ISNUMBER(SEARCH("intermittent",C77)),"Difficult or Delayed Activation",ISNUMBER(SEARCH("delay",C77)),"Difficult or Delayed Activation",ISNUMBER(SEARCH("label",C77)),"Device Markings/Labelling Problem",ISNUMBER(SEARCH("marking",C77)),"Device Markings/Labelling Problem",ISNUMBER(SEARCH("lacerat",C77)),"Defective Device",ISNUMBER(SEARCH("cut",C77)),"Defective Device",ISNUMBER(SEARCH("leak",C77)),"Fluid/Blood Leak",ISNUMBER(SEARCH("missing",C77)),"Component Missing",ISNUMBER(SEARCH("power",C77)),"Complete Loss of Power",ISNUMBER(SEARCH("will not turn on",C77)),"Complete Loss of Power",ISNUMBER(SEARCH("won't turn on",C77)),"Complete Loss of Power",ISNUMBER(SEARCH("does not turn on",C77)),"Complete Loss of Power",ISNUMBER(SEARCH("electrical",C77)),"Electrical Power Problem",ISNUMBER(SEARCH("pressure",C77)),"Detachment of Device or Device Component",ISNUMBER(SEARCH("slip",C77)),"Detachment of Device or Device Component",ISNUMBER(SEARCH("detach",C77)),"Detachment of Device or Device Component",ISNUMBER(SEARCH("stick",C77)),"Mechanical Jam",ISNUMBER(SEARCH("jam",C77)),"Mechanical Jam",ISNUMBER(SEARCH("rigid",C77)),"Mechanical Jam",ISNUMBER(SEARCH("rust",C77)),"Corroded",ISNUMBER(SEARCH("corrod",C77)),"Corroded",ISNUMBER(SEARCH("corrosion",C77)),"Corroded",ISNUMBER(SEARCH("alignment",C77)),"Defective Device",ISNUMBER(SEARCH("adjust",C77)),"Defective Device",ISNUMBER(SEARCH("perform",C77)),"Defective Device",ISNUMBER(SEARCH("malfunction",C77)),"Defective Device",ISNUMBER(SEARCH("defect",C77)),"Defective Device",ISNUMBER(SEARCH("fail",C77)),"Defective Device",ISNUMBER(SEARCH("not work",C77)),"Defective Device",ISNUMBER(SEARCH("doesn't work",C77)),"Defective Device",TRUE,"UNKNOWN"),"UNKNOWN")))</f>
        <v/>
      </c>
      <c r="F77" s="4" t="str">
        <f t="shared" si="1"/>
        <v/>
      </c>
      <c r="G77" s="363" t="str">
        <f>IF(E77="","",IFERROR(VLOOKUP(E77,Codes!$L$2:$N$409,3,FALSE),"—"))</f>
        <v/>
      </c>
      <c r="H77" s="88"/>
      <c r="I77" s="88"/>
    </row>
    <row r="78" spans="1:9" ht="13.15" x14ac:dyDescent="0.35">
      <c r="A78" s="435"/>
      <c r="B78" s="436"/>
      <c r="C78" s="438"/>
      <c r="D78" s="435"/>
      <c r="E78" s="93" t="str" cm="1">
        <f t="array" ref="E78">IF(D78&lt;&gt;"",IFERROR(VLOOKUP(D78,Codes!$K$2:$L$409,2,FALSE),"UNKNOWN - "&amp;D78),IF(C78="","",IFERROR(_xlfn.IFS(ISNUMBER(SEARCH("broken button",C78)),"Break",ISNUMBER(SEARCH("broken handle",C78)),"Break",ISNUMBER(SEARCH("shipping damage",C78)),"Break",ISNUMBER(SEARCH("broken",C78)),"Break",ISNUMBER(SEARCH("crack",C78)),"Break",ISNUMBER(SEARCH("snap",C78)),"Break",ISNUMBER(SEARCH("fracture",C78)),"Break",ISNUMBER(SEARCH("bent",C78)),"Material Twisted/Bent",ISNUMBER(SEARCH("twisted",C78)),"Material Twisted/Bent",ISNUMBER(SEARCH("component separat",C78)),"Material Separation",ISNUMBER(SEARCH("separat",C78)),"Material Separation",ISNUMBER(SEARCH("connection",C78)),"Loose or Intermittent Connection",ISNUMBER(SEARCH("loose",C78)),"Loose or Intermittent Connection",ISNUMBER(SEARCH("damaged packaging",C78)),"Packaging Problem",ISNUMBER(SEARCH("packaging",C78)),"Packaging Problem",ISNUMBER(SEARCH("discoloration",C78)),"Contamination",ISNUMBER(SEARCH("tarnish",C78)),"Contamination",ISNUMBER(SEARCH("stain",C78)),"Contamination",ISNUMBER(SEARCH("foreign material",C78)),"Contamination",ISNUMBER(SEARCH("contamina",C78)),"Contamination",ISNUMBER(SEARCH("overheat",C78)),"Overheating of Device",ISNUMBER(SEARCH("excessive heat",C78)),"Overheating of Device",ISNUMBER(SEARCH("hot",C78)),"Overheating of Device",ISNUMBER(SEARCH("noise",C78)),"Noise, Audible",ISNUMBER(SEARCH("sound",C78)),"Noise, Audible",ISNUMBER(SEARCH("loud",C78)),"Noise, Audible",ISNUMBER(SEARCH("fray",C78)),"Material Frayed",ISNUMBER(SEARCH("hole",C78)),"Material Frayed",ISNUMBER(SEARCH("tear",C78)),"Material Frayed",ISNUMBER(SEARCH("worn",C78)),"Material Frayed",ISNUMBER(SEARCH("intermittent",C78)),"Difficult or Delayed Activation",ISNUMBER(SEARCH("delay",C78)),"Difficult or Delayed Activation",ISNUMBER(SEARCH("label",C78)),"Device Markings/Labelling Problem",ISNUMBER(SEARCH("marking",C78)),"Device Markings/Labelling Problem",ISNUMBER(SEARCH("lacerat",C78)),"Defective Device",ISNUMBER(SEARCH("cut",C78)),"Defective Device",ISNUMBER(SEARCH("leak",C78)),"Fluid/Blood Leak",ISNUMBER(SEARCH("missing",C78)),"Component Missing",ISNUMBER(SEARCH("power",C78)),"Complete Loss of Power",ISNUMBER(SEARCH("will not turn on",C78)),"Complete Loss of Power",ISNUMBER(SEARCH("won't turn on",C78)),"Complete Loss of Power",ISNUMBER(SEARCH("does not turn on",C78)),"Complete Loss of Power",ISNUMBER(SEARCH("electrical",C78)),"Electrical Power Problem",ISNUMBER(SEARCH("pressure",C78)),"Detachment of Device or Device Component",ISNUMBER(SEARCH("slip",C78)),"Detachment of Device or Device Component",ISNUMBER(SEARCH("detach",C78)),"Detachment of Device or Device Component",ISNUMBER(SEARCH("stick",C78)),"Mechanical Jam",ISNUMBER(SEARCH("jam",C78)),"Mechanical Jam",ISNUMBER(SEARCH("rigid",C78)),"Mechanical Jam",ISNUMBER(SEARCH("rust",C78)),"Corroded",ISNUMBER(SEARCH("corrod",C78)),"Corroded",ISNUMBER(SEARCH("corrosion",C78)),"Corroded",ISNUMBER(SEARCH("alignment",C78)),"Defective Device",ISNUMBER(SEARCH("adjust",C78)),"Defective Device",ISNUMBER(SEARCH("perform",C78)),"Defective Device",ISNUMBER(SEARCH("malfunction",C78)),"Defective Device",ISNUMBER(SEARCH("defect",C78)),"Defective Device",ISNUMBER(SEARCH("fail",C78)),"Defective Device",ISNUMBER(SEARCH("not work",C78)),"Defective Device",ISNUMBER(SEARCH("doesn't work",C78)),"Defective Device",TRUE,"UNKNOWN"),"UNKNOWN")))</f>
        <v/>
      </c>
      <c r="F78" s="4" t="str">
        <f t="shared" si="1"/>
        <v/>
      </c>
      <c r="G78" s="363" t="str">
        <f>IF(E78="","",IFERROR(VLOOKUP(E78,Codes!$L$2:$N$409,3,FALSE),"—"))</f>
        <v/>
      </c>
      <c r="H78" s="88"/>
      <c r="I78" s="88"/>
    </row>
    <row r="79" spans="1:9" ht="13.15" x14ac:dyDescent="0.35">
      <c r="A79" s="434"/>
      <c r="B79" s="436"/>
      <c r="C79" s="437"/>
      <c r="D79" s="434"/>
      <c r="E79" s="93" t="str" cm="1">
        <f t="array" ref="E79">IF(D79&lt;&gt;"",IFERROR(VLOOKUP(D79,Codes!$K$2:$L$409,2,FALSE),"UNKNOWN - "&amp;D79),IF(C79="","",IFERROR(_xlfn.IFS(ISNUMBER(SEARCH("broken button",C79)),"Break",ISNUMBER(SEARCH("broken handle",C79)),"Break",ISNUMBER(SEARCH("shipping damage",C79)),"Break",ISNUMBER(SEARCH("broken",C79)),"Break",ISNUMBER(SEARCH("crack",C79)),"Break",ISNUMBER(SEARCH("snap",C79)),"Break",ISNUMBER(SEARCH("fracture",C79)),"Break",ISNUMBER(SEARCH("bent",C79)),"Material Twisted/Bent",ISNUMBER(SEARCH("twisted",C79)),"Material Twisted/Bent",ISNUMBER(SEARCH("component separat",C79)),"Material Separation",ISNUMBER(SEARCH("separat",C79)),"Material Separation",ISNUMBER(SEARCH("connection",C79)),"Loose or Intermittent Connection",ISNUMBER(SEARCH("loose",C79)),"Loose or Intermittent Connection",ISNUMBER(SEARCH("damaged packaging",C79)),"Packaging Problem",ISNUMBER(SEARCH("packaging",C79)),"Packaging Problem",ISNUMBER(SEARCH("discoloration",C79)),"Contamination",ISNUMBER(SEARCH("tarnish",C79)),"Contamination",ISNUMBER(SEARCH("stain",C79)),"Contamination",ISNUMBER(SEARCH("foreign material",C79)),"Contamination",ISNUMBER(SEARCH("contamina",C79)),"Contamination",ISNUMBER(SEARCH("overheat",C79)),"Overheating of Device",ISNUMBER(SEARCH("excessive heat",C79)),"Overheating of Device",ISNUMBER(SEARCH("hot",C79)),"Overheating of Device",ISNUMBER(SEARCH("noise",C79)),"Noise, Audible",ISNUMBER(SEARCH("sound",C79)),"Noise, Audible",ISNUMBER(SEARCH("loud",C79)),"Noise, Audible",ISNUMBER(SEARCH("fray",C79)),"Material Frayed",ISNUMBER(SEARCH("hole",C79)),"Material Frayed",ISNUMBER(SEARCH("tear",C79)),"Material Frayed",ISNUMBER(SEARCH("worn",C79)),"Material Frayed",ISNUMBER(SEARCH("intermittent",C79)),"Difficult or Delayed Activation",ISNUMBER(SEARCH("delay",C79)),"Difficult or Delayed Activation",ISNUMBER(SEARCH("label",C79)),"Device Markings/Labelling Problem",ISNUMBER(SEARCH("marking",C79)),"Device Markings/Labelling Problem",ISNUMBER(SEARCH("lacerat",C79)),"Defective Device",ISNUMBER(SEARCH("cut",C79)),"Defective Device",ISNUMBER(SEARCH("leak",C79)),"Fluid/Blood Leak",ISNUMBER(SEARCH("missing",C79)),"Component Missing",ISNUMBER(SEARCH("power",C79)),"Complete Loss of Power",ISNUMBER(SEARCH("will not turn on",C79)),"Complete Loss of Power",ISNUMBER(SEARCH("won't turn on",C79)),"Complete Loss of Power",ISNUMBER(SEARCH("does not turn on",C79)),"Complete Loss of Power",ISNUMBER(SEARCH("electrical",C79)),"Electrical Power Problem",ISNUMBER(SEARCH("pressure",C79)),"Detachment of Device or Device Component",ISNUMBER(SEARCH("slip",C79)),"Detachment of Device or Device Component",ISNUMBER(SEARCH("detach",C79)),"Detachment of Device or Device Component",ISNUMBER(SEARCH("stick",C79)),"Mechanical Jam",ISNUMBER(SEARCH("jam",C79)),"Mechanical Jam",ISNUMBER(SEARCH("rigid",C79)),"Mechanical Jam",ISNUMBER(SEARCH("rust",C79)),"Corroded",ISNUMBER(SEARCH("corrod",C79)),"Corroded",ISNUMBER(SEARCH("corrosion",C79)),"Corroded",ISNUMBER(SEARCH("alignment",C79)),"Defective Device",ISNUMBER(SEARCH("adjust",C79)),"Defective Device",ISNUMBER(SEARCH("perform",C79)),"Defective Device",ISNUMBER(SEARCH("malfunction",C79)),"Defective Device",ISNUMBER(SEARCH("defect",C79)),"Defective Device",ISNUMBER(SEARCH("fail",C79)),"Defective Device",ISNUMBER(SEARCH("not work",C79)),"Defective Device",ISNUMBER(SEARCH("doesn't work",C79)),"Defective Device",TRUE,"UNKNOWN"),"UNKNOWN")))</f>
        <v/>
      </c>
      <c r="F79" s="4" t="str">
        <f t="shared" si="1"/>
        <v/>
      </c>
      <c r="G79" s="363" t="str">
        <f>IF(E79="","",IFERROR(VLOOKUP(E79,Codes!$L$2:$N$409,3,FALSE),"—"))</f>
        <v/>
      </c>
      <c r="H79" s="88"/>
      <c r="I79" s="88"/>
    </row>
    <row r="80" spans="1:9" ht="13.15" x14ac:dyDescent="0.35">
      <c r="A80" s="435"/>
      <c r="B80" s="436"/>
      <c r="C80" s="438"/>
      <c r="D80" s="435"/>
      <c r="E80" s="93" t="str" cm="1">
        <f t="array" ref="E80">IF(D80&lt;&gt;"",IFERROR(VLOOKUP(D80,Codes!$K$2:$L$409,2,FALSE),"UNKNOWN - "&amp;D80),IF(C80="","",IFERROR(_xlfn.IFS(ISNUMBER(SEARCH("broken button",C80)),"Break",ISNUMBER(SEARCH("broken handle",C80)),"Break",ISNUMBER(SEARCH("shipping damage",C80)),"Break",ISNUMBER(SEARCH("broken",C80)),"Break",ISNUMBER(SEARCH("crack",C80)),"Break",ISNUMBER(SEARCH("snap",C80)),"Break",ISNUMBER(SEARCH("fracture",C80)),"Break",ISNUMBER(SEARCH("bent",C80)),"Material Twisted/Bent",ISNUMBER(SEARCH("twisted",C80)),"Material Twisted/Bent",ISNUMBER(SEARCH("component separat",C80)),"Material Separation",ISNUMBER(SEARCH("separat",C80)),"Material Separation",ISNUMBER(SEARCH("connection",C80)),"Loose or Intermittent Connection",ISNUMBER(SEARCH("loose",C80)),"Loose or Intermittent Connection",ISNUMBER(SEARCH("damaged packaging",C80)),"Packaging Problem",ISNUMBER(SEARCH("packaging",C80)),"Packaging Problem",ISNUMBER(SEARCH("discoloration",C80)),"Contamination",ISNUMBER(SEARCH("tarnish",C80)),"Contamination",ISNUMBER(SEARCH("stain",C80)),"Contamination",ISNUMBER(SEARCH("foreign material",C80)),"Contamination",ISNUMBER(SEARCH("contamina",C80)),"Contamination",ISNUMBER(SEARCH("overheat",C80)),"Overheating of Device",ISNUMBER(SEARCH("excessive heat",C80)),"Overheating of Device",ISNUMBER(SEARCH("hot",C80)),"Overheating of Device",ISNUMBER(SEARCH("noise",C80)),"Noise, Audible",ISNUMBER(SEARCH("sound",C80)),"Noise, Audible",ISNUMBER(SEARCH("loud",C80)),"Noise, Audible",ISNUMBER(SEARCH("fray",C80)),"Material Frayed",ISNUMBER(SEARCH("hole",C80)),"Material Frayed",ISNUMBER(SEARCH("tear",C80)),"Material Frayed",ISNUMBER(SEARCH("worn",C80)),"Material Frayed",ISNUMBER(SEARCH("intermittent",C80)),"Difficult or Delayed Activation",ISNUMBER(SEARCH("delay",C80)),"Difficult or Delayed Activation",ISNUMBER(SEARCH("label",C80)),"Device Markings/Labelling Problem",ISNUMBER(SEARCH("marking",C80)),"Device Markings/Labelling Problem",ISNUMBER(SEARCH("lacerat",C80)),"Defective Device",ISNUMBER(SEARCH("cut",C80)),"Defective Device",ISNUMBER(SEARCH("leak",C80)),"Fluid/Blood Leak",ISNUMBER(SEARCH("missing",C80)),"Component Missing",ISNUMBER(SEARCH("power",C80)),"Complete Loss of Power",ISNUMBER(SEARCH("will not turn on",C80)),"Complete Loss of Power",ISNUMBER(SEARCH("won't turn on",C80)),"Complete Loss of Power",ISNUMBER(SEARCH("does not turn on",C80)),"Complete Loss of Power",ISNUMBER(SEARCH("electrical",C80)),"Electrical Power Problem",ISNUMBER(SEARCH("pressure",C80)),"Detachment of Device or Device Component",ISNUMBER(SEARCH("slip",C80)),"Detachment of Device or Device Component",ISNUMBER(SEARCH("detach",C80)),"Detachment of Device or Device Component",ISNUMBER(SEARCH("stick",C80)),"Mechanical Jam",ISNUMBER(SEARCH("jam",C80)),"Mechanical Jam",ISNUMBER(SEARCH("rigid",C80)),"Mechanical Jam",ISNUMBER(SEARCH("rust",C80)),"Corroded",ISNUMBER(SEARCH("corrod",C80)),"Corroded",ISNUMBER(SEARCH("corrosion",C80)),"Corroded",ISNUMBER(SEARCH("alignment",C80)),"Defective Device",ISNUMBER(SEARCH("adjust",C80)),"Defective Device",ISNUMBER(SEARCH("perform",C80)),"Defective Device",ISNUMBER(SEARCH("malfunction",C80)),"Defective Device",ISNUMBER(SEARCH("defect",C80)),"Defective Device",ISNUMBER(SEARCH("fail",C80)),"Defective Device",ISNUMBER(SEARCH("not work",C80)),"Defective Device",ISNUMBER(SEARCH("doesn't work",C80)),"Defective Device",TRUE,"UNKNOWN"),"UNKNOWN")))</f>
        <v/>
      </c>
      <c r="F80" s="4" t="str">
        <f t="shared" si="1"/>
        <v/>
      </c>
      <c r="G80" s="363" t="str">
        <f>IF(E80="","",IFERROR(VLOOKUP(E80,Codes!$L$2:$N$409,3,FALSE),"—"))</f>
        <v/>
      </c>
      <c r="H80" s="88"/>
      <c r="I80" s="88"/>
    </row>
    <row r="81" spans="1:9" ht="13.15" x14ac:dyDescent="0.35">
      <c r="A81" s="434"/>
      <c r="B81" s="436"/>
      <c r="C81" s="437"/>
      <c r="D81" s="434"/>
      <c r="E81" s="93" t="str" cm="1">
        <f t="array" ref="E81">IF(D81&lt;&gt;"",IFERROR(VLOOKUP(D81,Codes!$K$2:$L$409,2,FALSE),"UNKNOWN - "&amp;D81),IF(C81="","",IFERROR(_xlfn.IFS(ISNUMBER(SEARCH("broken button",C81)),"Break",ISNUMBER(SEARCH("broken handle",C81)),"Break",ISNUMBER(SEARCH("shipping damage",C81)),"Break",ISNUMBER(SEARCH("broken",C81)),"Break",ISNUMBER(SEARCH("crack",C81)),"Break",ISNUMBER(SEARCH("snap",C81)),"Break",ISNUMBER(SEARCH("fracture",C81)),"Break",ISNUMBER(SEARCH("bent",C81)),"Material Twisted/Bent",ISNUMBER(SEARCH("twisted",C81)),"Material Twisted/Bent",ISNUMBER(SEARCH("component separat",C81)),"Material Separation",ISNUMBER(SEARCH("separat",C81)),"Material Separation",ISNUMBER(SEARCH("connection",C81)),"Loose or Intermittent Connection",ISNUMBER(SEARCH("loose",C81)),"Loose or Intermittent Connection",ISNUMBER(SEARCH("damaged packaging",C81)),"Packaging Problem",ISNUMBER(SEARCH("packaging",C81)),"Packaging Problem",ISNUMBER(SEARCH("discoloration",C81)),"Contamination",ISNUMBER(SEARCH("tarnish",C81)),"Contamination",ISNUMBER(SEARCH("stain",C81)),"Contamination",ISNUMBER(SEARCH("foreign material",C81)),"Contamination",ISNUMBER(SEARCH("contamina",C81)),"Contamination",ISNUMBER(SEARCH("overheat",C81)),"Overheating of Device",ISNUMBER(SEARCH("excessive heat",C81)),"Overheating of Device",ISNUMBER(SEARCH("hot",C81)),"Overheating of Device",ISNUMBER(SEARCH("noise",C81)),"Noise, Audible",ISNUMBER(SEARCH("sound",C81)),"Noise, Audible",ISNUMBER(SEARCH("loud",C81)),"Noise, Audible",ISNUMBER(SEARCH("fray",C81)),"Material Frayed",ISNUMBER(SEARCH("hole",C81)),"Material Frayed",ISNUMBER(SEARCH("tear",C81)),"Material Frayed",ISNUMBER(SEARCH("worn",C81)),"Material Frayed",ISNUMBER(SEARCH("intermittent",C81)),"Difficult or Delayed Activation",ISNUMBER(SEARCH("delay",C81)),"Difficult or Delayed Activation",ISNUMBER(SEARCH("label",C81)),"Device Markings/Labelling Problem",ISNUMBER(SEARCH("marking",C81)),"Device Markings/Labelling Problem",ISNUMBER(SEARCH("lacerat",C81)),"Defective Device",ISNUMBER(SEARCH("cut",C81)),"Defective Device",ISNUMBER(SEARCH("leak",C81)),"Fluid/Blood Leak",ISNUMBER(SEARCH("missing",C81)),"Component Missing",ISNUMBER(SEARCH("power",C81)),"Complete Loss of Power",ISNUMBER(SEARCH("will not turn on",C81)),"Complete Loss of Power",ISNUMBER(SEARCH("won't turn on",C81)),"Complete Loss of Power",ISNUMBER(SEARCH("does not turn on",C81)),"Complete Loss of Power",ISNUMBER(SEARCH("electrical",C81)),"Electrical Power Problem",ISNUMBER(SEARCH("pressure",C81)),"Detachment of Device or Device Component",ISNUMBER(SEARCH("slip",C81)),"Detachment of Device or Device Component",ISNUMBER(SEARCH("detach",C81)),"Detachment of Device or Device Component",ISNUMBER(SEARCH("stick",C81)),"Mechanical Jam",ISNUMBER(SEARCH("jam",C81)),"Mechanical Jam",ISNUMBER(SEARCH("rigid",C81)),"Mechanical Jam",ISNUMBER(SEARCH("rust",C81)),"Corroded",ISNUMBER(SEARCH("corrod",C81)),"Corroded",ISNUMBER(SEARCH("corrosion",C81)),"Corroded",ISNUMBER(SEARCH("alignment",C81)),"Defective Device",ISNUMBER(SEARCH("adjust",C81)),"Defective Device",ISNUMBER(SEARCH("perform",C81)),"Defective Device",ISNUMBER(SEARCH("malfunction",C81)),"Defective Device",ISNUMBER(SEARCH("defect",C81)),"Defective Device",ISNUMBER(SEARCH("fail",C81)),"Defective Device",ISNUMBER(SEARCH("not work",C81)),"Defective Device",ISNUMBER(SEARCH("doesn't work",C81)),"Defective Device",TRUE,"UNKNOWN"),"UNKNOWN")))</f>
        <v/>
      </c>
      <c r="F81" s="4" t="str">
        <f t="shared" si="1"/>
        <v/>
      </c>
      <c r="G81" s="363" t="str">
        <f>IF(E81="","",IFERROR(VLOOKUP(E81,Codes!$L$2:$N$409,3,FALSE),"—"))</f>
        <v/>
      </c>
      <c r="H81" s="88"/>
      <c r="I81" s="88"/>
    </row>
    <row r="82" spans="1:9" ht="13.15" x14ac:dyDescent="0.35">
      <c r="A82" s="435"/>
      <c r="B82" s="436"/>
      <c r="C82" s="438"/>
      <c r="D82" s="435"/>
      <c r="E82" s="93" t="str" cm="1">
        <f t="array" ref="E82">IF(D82&lt;&gt;"",IFERROR(VLOOKUP(D82,Codes!$K$2:$L$409,2,FALSE),"UNKNOWN - "&amp;D82),IF(C82="","",IFERROR(_xlfn.IFS(ISNUMBER(SEARCH("broken button",C82)),"Break",ISNUMBER(SEARCH("broken handle",C82)),"Break",ISNUMBER(SEARCH("shipping damage",C82)),"Break",ISNUMBER(SEARCH("broken",C82)),"Break",ISNUMBER(SEARCH("crack",C82)),"Break",ISNUMBER(SEARCH("snap",C82)),"Break",ISNUMBER(SEARCH("fracture",C82)),"Break",ISNUMBER(SEARCH("bent",C82)),"Material Twisted/Bent",ISNUMBER(SEARCH("twisted",C82)),"Material Twisted/Bent",ISNUMBER(SEARCH("component separat",C82)),"Material Separation",ISNUMBER(SEARCH("separat",C82)),"Material Separation",ISNUMBER(SEARCH("connection",C82)),"Loose or Intermittent Connection",ISNUMBER(SEARCH("loose",C82)),"Loose or Intermittent Connection",ISNUMBER(SEARCH("damaged packaging",C82)),"Packaging Problem",ISNUMBER(SEARCH("packaging",C82)),"Packaging Problem",ISNUMBER(SEARCH("discoloration",C82)),"Contamination",ISNUMBER(SEARCH("tarnish",C82)),"Contamination",ISNUMBER(SEARCH("stain",C82)),"Contamination",ISNUMBER(SEARCH("foreign material",C82)),"Contamination",ISNUMBER(SEARCH("contamina",C82)),"Contamination",ISNUMBER(SEARCH("overheat",C82)),"Overheating of Device",ISNUMBER(SEARCH("excessive heat",C82)),"Overheating of Device",ISNUMBER(SEARCH("hot",C82)),"Overheating of Device",ISNUMBER(SEARCH("noise",C82)),"Noise, Audible",ISNUMBER(SEARCH("sound",C82)),"Noise, Audible",ISNUMBER(SEARCH("loud",C82)),"Noise, Audible",ISNUMBER(SEARCH("fray",C82)),"Material Frayed",ISNUMBER(SEARCH("hole",C82)),"Material Frayed",ISNUMBER(SEARCH("tear",C82)),"Material Frayed",ISNUMBER(SEARCH("worn",C82)),"Material Frayed",ISNUMBER(SEARCH("intermittent",C82)),"Difficult or Delayed Activation",ISNUMBER(SEARCH("delay",C82)),"Difficult or Delayed Activation",ISNUMBER(SEARCH("label",C82)),"Device Markings/Labelling Problem",ISNUMBER(SEARCH("marking",C82)),"Device Markings/Labelling Problem",ISNUMBER(SEARCH("lacerat",C82)),"Defective Device",ISNUMBER(SEARCH("cut",C82)),"Defective Device",ISNUMBER(SEARCH("leak",C82)),"Fluid/Blood Leak",ISNUMBER(SEARCH("missing",C82)),"Component Missing",ISNUMBER(SEARCH("power",C82)),"Complete Loss of Power",ISNUMBER(SEARCH("will not turn on",C82)),"Complete Loss of Power",ISNUMBER(SEARCH("won't turn on",C82)),"Complete Loss of Power",ISNUMBER(SEARCH("does not turn on",C82)),"Complete Loss of Power",ISNUMBER(SEARCH("electrical",C82)),"Electrical Power Problem",ISNUMBER(SEARCH("pressure",C82)),"Detachment of Device or Device Component",ISNUMBER(SEARCH("slip",C82)),"Detachment of Device or Device Component",ISNUMBER(SEARCH("detach",C82)),"Detachment of Device or Device Component",ISNUMBER(SEARCH("stick",C82)),"Mechanical Jam",ISNUMBER(SEARCH("jam",C82)),"Mechanical Jam",ISNUMBER(SEARCH("rigid",C82)),"Mechanical Jam",ISNUMBER(SEARCH("rust",C82)),"Corroded",ISNUMBER(SEARCH("corrod",C82)),"Corroded",ISNUMBER(SEARCH("corrosion",C82)),"Corroded",ISNUMBER(SEARCH("alignment",C82)),"Defective Device",ISNUMBER(SEARCH("adjust",C82)),"Defective Device",ISNUMBER(SEARCH("perform",C82)),"Defective Device",ISNUMBER(SEARCH("malfunction",C82)),"Defective Device",ISNUMBER(SEARCH("defect",C82)),"Defective Device",ISNUMBER(SEARCH("fail",C82)),"Defective Device",ISNUMBER(SEARCH("not work",C82)),"Defective Device",ISNUMBER(SEARCH("doesn't work",C82)),"Defective Device",TRUE,"UNKNOWN"),"UNKNOWN")))</f>
        <v/>
      </c>
      <c r="F82" s="4" t="str">
        <f t="shared" si="1"/>
        <v/>
      </c>
      <c r="G82" s="363" t="str">
        <f>IF(E82="","",IFERROR(VLOOKUP(E82,Codes!$L$2:$N$409,3,FALSE),"—"))</f>
        <v/>
      </c>
      <c r="H82" s="88"/>
      <c r="I82" s="88"/>
    </row>
    <row r="83" spans="1:9" ht="13.15" x14ac:dyDescent="0.35">
      <c r="A83" s="435"/>
      <c r="B83" s="436"/>
      <c r="C83" s="438"/>
      <c r="D83" s="435"/>
      <c r="E83" s="93" t="str" cm="1">
        <f t="array" ref="E83">IF(D83&lt;&gt;"",IFERROR(VLOOKUP(D83,Codes!$K$2:$L$409,2,FALSE),"UNKNOWN - "&amp;D83),IF(C83="","",IFERROR(_xlfn.IFS(ISNUMBER(SEARCH("broken button",C83)),"Break",ISNUMBER(SEARCH("broken handle",C83)),"Break",ISNUMBER(SEARCH("shipping damage",C83)),"Break",ISNUMBER(SEARCH("broken",C83)),"Break",ISNUMBER(SEARCH("crack",C83)),"Break",ISNUMBER(SEARCH("snap",C83)),"Break",ISNUMBER(SEARCH("fracture",C83)),"Break",ISNUMBER(SEARCH("bent",C83)),"Material Twisted/Bent",ISNUMBER(SEARCH("twisted",C83)),"Material Twisted/Bent",ISNUMBER(SEARCH("component separat",C83)),"Material Separation",ISNUMBER(SEARCH("separat",C83)),"Material Separation",ISNUMBER(SEARCH("connection",C83)),"Loose or Intermittent Connection",ISNUMBER(SEARCH("loose",C83)),"Loose or Intermittent Connection",ISNUMBER(SEARCH("damaged packaging",C83)),"Packaging Problem",ISNUMBER(SEARCH("packaging",C83)),"Packaging Problem",ISNUMBER(SEARCH("discoloration",C83)),"Contamination",ISNUMBER(SEARCH("tarnish",C83)),"Contamination",ISNUMBER(SEARCH("stain",C83)),"Contamination",ISNUMBER(SEARCH("foreign material",C83)),"Contamination",ISNUMBER(SEARCH("contamina",C83)),"Contamination",ISNUMBER(SEARCH("overheat",C83)),"Overheating of Device",ISNUMBER(SEARCH("excessive heat",C83)),"Overheating of Device",ISNUMBER(SEARCH("hot",C83)),"Overheating of Device",ISNUMBER(SEARCH("noise",C83)),"Noise, Audible",ISNUMBER(SEARCH("sound",C83)),"Noise, Audible",ISNUMBER(SEARCH("loud",C83)),"Noise, Audible",ISNUMBER(SEARCH("fray",C83)),"Material Frayed",ISNUMBER(SEARCH("hole",C83)),"Material Frayed",ISNUMBER(SEARCH("tear",C83)),"Material Frayed",ISNUMBER(SEARCH("worn",C83)),"Material Frayed",ISNUMBER(SEARCH("intermittent",C83)),"Difficult or Delayed Activation",ISNUMBER(SEARCH("delay",C83)),"Difficult or Delayed Activation",ISNUMBER(SEARCH("label",C83)),"Device Markings/Labelling Problem",ISNUMBER(SEARCH("marking",C83)),"Device Markings/Labelling Problem",ISNUMBER(SEARCH("lacerat",C83)),"Defective Device",ISNUMBER(SEARCH("cut",C83)),"Defective Device",ISNUMBER(SEARCH("leak",C83)),"Fluid/Blood Leak",ISNUMBER(SEARCH("missing",C83)),"Component Missing",ISNUMBER(SEARCH("power",C83)),"Complete Loss of Power",ISNUMBER(SEARCH("will not turn on",C83)),"Complete Loss of Power",ISNUMBER(SEARCH("won't turn on",C83)),"Complete Loss of Power",ISNUMBER(SEARCH("does not turn on",C83)),"Complete Loss of Power",ISNUMBER(SEARCH("electrical",C83)),"Electrical Power Problem",ISNUMBER(SEARCH("pressure",C83)),"Detachment of Device or Device Component",ISNUMBER(SEARCH("slip",C83)),"Detachment of Device or Device Component",ISNUMBER(SEARCH("detach",C83)),"Detachment of Device or Device Component",ISNUMBER(SEARCH("stick",C83)),"Mechanical Jam",ISNUMBER(SEARCH("jam",C83)),"Mechanical Jam",ISNUMBER(SEARCH("rigid",C83)),"Mechanical Jam",ISNUMBER(SEARCH("rust",C83)),"Corroded",ISNUMBER(SEARCH("corrod",C83)),"Corroded",ISNUMBER(SEARCH("corrosion",C83)),"Corroded",ISNUMBER(SEARCH("alignment",C83)),"Defective Device",ISNUMBER(SEARCH("adjust",C83)),"Defective Device",ISNUMBER(SEARCH("perform",C83)),"Defective Device",ISNUMBER(SEARCH("malfunction",C83)),"Defective Device",ISNUMBER(SEARCH("defect",C83)),"Defective Device",ISNUMBER(SEARCH("fail",C83)),"Defective Device",ISNUMBER(SEARCH("not work",C83)),"Defective Device",ISNUMBER(SEARCH("doesn't work",C83)),"Defective Device",TRUE,"UNKNOWN"),"UNKNOWN")))</f>
        <v/>
      </c>
      <c r="F83" s="4" t="str">
        <f t="shared" si="1"/>
        <v/>
      </c>
      <c r="G83" s="363" t="str">
        <f>IF(E83="","",IFERROR(VLOOKUP(E83,Codes!$L$2:$N$409,3,FALSE),"—"))</f>
        <v/>
      </c>
      <c r="H83" s="88"/>
      <c r="I83" s="88"/>
    </row>
    <row r="84" spans="1:9" ht="13.15" x14ac:dyDescent="0.35">
      <c r="A84" s="434"/>
      <c r="B84" s="436"/>
      <c r="C84" s="437"/>
      <c r="D84" s="434"/>
      <c r="E84" s="93" t="str" cm="1">
        <f t="array" ref="E84">IF(D84&lt;&gt;"",IFERROR(VLOOKUP(D84,Codes!$K$2:$L$409,2,FALSE),"UNKNOWN - "&amp;D84),IF(C84="","",IFERROR(_xlfn.IFS(ISNUMBER(SEARCH("broken button",C84)),"Break",ISNUMBER(SEARCH("broken handle",C84)),"Break",ISNUMBER(SEARCH("shipping damage",C84)),"Break",ISNUMBER(SEARCH("broken",C84)),"Break",ISNUMBER(SEARCH("crack",C84)),"Break",ISNUMBER(SEARCH("snap",C84)),"Break",ISNUMBER(SEARCH("fracture",C84)),"Break",ISNUMBER(SEARCH("bent",C84)),"Material Twisted/Bent",ISNUMBER(SEARCH("twisted",C84)),"Material Twisted/Bent",ISNUMBER(SEARCH("component separat",C84)),"Material Separation",ISNUMBER(SEARCH("separat",C84)),"Material Separation",ISNUMBER(SEARCH("connection",C84)),"Loose or Intermittent Connection",ISNUMBER(SEARCH("loose",C84)),"Loose or Intermittent Connection",ISNUMBER(SEARCH("damaged packaging",C84)),"Packaging Problem",ISNUMBER(SEARCH("packaging",C84)),"Packaging Problem",ISNUMBER(SEARCH("discoloration",C84)),"Contamination",ISNUMBER(SEARCH("tarnish",C84)),"Contamination",ISNUMBER(SEARCH("stain",C84)),"Contamination",ISNUMBER(SEARCH("foreign material",C84)),"Contamination",ISNUMBER(SEARCH("contamina",C84)),"Contamination",ISNUMBER(SEARCH("overheat",C84)),"Overheating of Device",ISNUMBER(SEARCH("excessive heat",C84)),"Overheating of Device",ISNUMBER(SEARCH("hot",C84)),"Overheating of Device",ISNUMBER(SEARCH("noise",C84)),"Noise, Audible",ISNUMBER(SEARCH("sound",C84)),"Noise, Audible",ISNUMBER(SEARCH("loud",C84)),"Noise, Audible",ISNUMBER(SEARCH("fray",C84)),"Material Frayed",ISNUMBER(SEARCH("hole",C84)),"Material Frayed",ISNUMBER(SEARCH("tear",C84)),"Material Frayed",ISNUMBER(SEARCH("worn",C84)),"Material Frayed",ISNUMBER(SEARCH("intermittent",C84)),"Difficult or Delayed Activation",ISNUMBER(SEARCH("delay",C84)),"Difficult or Delayed Activation",ISNUMBER(SEARCH("label",C84)),"Device Markings/Labelling Problem",ISNUMBER(SEARCH("marking",C84)),"Device Markings/Labelling Problem",ISNUMBER(SEARCH("lacerat",C84)),"Defective Device",ISNUMBER(SEARCH("cut",C84)),"Defective Device",ISNUMBER(SEARCH("leak",C84)),"Fluid/Blood Leak",ISNUMBER(SEARCH("missing",C84)),"Component Missing",ISNUMBER(SEARCH("power",C84)),"Complete Loss of Power",ISNUMBER(SEARCH("will not turn on",C84)),"Complete Loss of Power",ISNUMBER(SEARCH("won't turn on",C84)),"Complete Loss of Power",ISNUMBER(SEARCH("does not turn on",C84)),"Complete Loss of Power",ISNUMBER(SEARCH("electrical",C84)),"Electrical Power Problem",ISNUMBER(SEARCH("pressure",C84)),"Detachment of Device or Device Component",ISNUMBER(SEARCH("slip",C84)),"Detachment of Device or Device Component",ISNUMBER(SEARCH("detach",C84)),"Detachment of Device or Device Component",ISNUMBER(SEARCH("stick",C84)),"Mechanical Jam",ISNUMBER(SEARCH("jam",C84)),"Mechanical Jam",ISNUMBER(SEARCH("rigid",C84)),"Mechanical Jam",ISNUMBER(SEARCH("rust",C84)),"Corroded",ISNUMBER(SEARCH("corrod",C84)),"Corroded",ISNUMBER(SEARCH("corrosion",C84)),"Corroded",ISNUMBER(SEARCH("alignment",C84)),"Defective Device",ISNUMBER(SEARCH("adjust",C84)),"Defective Device",ISNUMBER(SEARCH("perform",C84)),"Defective Device",ISNUMBER(SEARCH("malfunction",C84)),"Defective Device",ISNUMBER(SEARCH("defect",C84)),"Defective Device",ISNUMBER(SEARCH("fail",C84)),"Defective Device",ISNUMBER(SEARCH("not work",C84)),"Defective Device",ISNUMBER(SEARCH("doesn't work",C84)),"Defective Device",TRUE,"UNKNOWN"),"UNKNOWN")))</f>
        <v/>
      </c>
      <c r="F84" s="4" t="str">
        <f t="shared" si="1"/>
        <v/>
      </c>
      <c r="G84" s="363" t="str">
        <f>IF(E84="","",IFERROR(VLOOKUP(E84,Codes!$L$2:$N$409,3,FALSE),"—"))</f>
        <v/>
      </c>
      <c r="H84" s="88"/>
      <c r="I84" s="88"/>
    </row>
    <row r="85" spans="1:9" ht="13.15" x14ac:dyDescent="0.35">
      <c r="A85" s="435"/>
      <c r="B85" s="436"/>
      <c r="C85" s="438"/>
      <c r="D85" s="435"/>
      <c r="E85" s="93" t="str" cm="1">
        <f t="array" ref="E85">IF(D85&lt;&gt;"",IFERROR(VLOOKUP(D85,Codes!$K$2:$L$409,2,FALSE),"UNKNOWN - "&amp;D85),IF(C85="","",IFERROR(_xlfn.IFS(ISNUMBER(SEARCH("broken button",C85)),"Break",ISNUMBER(SEARCH("broken handle",C85)),"Break",ISNUMBER(SEARCH("shipping damage",C85)),"Break",ISNUMBER(SEARCH("broken",C85)),"Break",ISNUMBER(SEARCH("crack",C85)),"Break",ISNUMBER(SEARCH("snap",C85)),"Break",ISNUMBER(SEARCH("fracture",C85)),"Break",ISNUMBER(SEARCH("bent",C85)),"Material Twisted/Bent",ISNUMBER(SEARCH("twisted",C85)),"Material Twisted/Bent",ISNUMBER(SEARCH("component separat",C85)),"Material Separation",ISNUMBER(SEARCH("separat",C85)),"Material Separation",ISNUMBER(SEARCH("connection",C85)),"Loose or Intermittent Connection",ISNUMBER(SEARCH("loose",C85)),"Loose or Intermittent Connection",ISNUMBER(SEARCH("damaged packaging",C85)),"Packaging Problem",ISNUMBER(SEARCH("packaging",C85)),"Packaging Problem",ISNUMBER(SEARCH("discoloration",C85)),"Contamination",ISNUMBER(SEARCH("tarnish",C85)),"Contamination",ISNUMBER(SEARCH("stain",C85)),"Contamination",ISNUMBER(SEARCH("foreign material",C85)),"Contamination",ISNUMBER(SEARCH("contamina",C85)),"Contamination",ISNUMBER(SEARCH("overheat",C85)),"Overheating of Device",ISNUMBER(SEARCH("excessive heat",C85)),"Overheating of Device",ISNUMBER(SEARCH("hot",C85)),"Overheating of Device",ISNUMBER(SEARCH("noise",C85)),"Noise, Audible",ISNUMBER(SEARCH("sound",C85)),"Noise, Audible",ISNUMBER(SEARCH("loud",C85)),"Noise, Audible",ISNUMBER(SEARCH("fray",C85)),"Material Frayed",ISNUMBER(SEARCH("hole",C85)),"Material Frayed",ISNUMBER(SEARCH("tear",C85)),"Material Frayed",ISNUMBER(SEARCH("worn",C85)),"Material Frayed",ISNUMBER(SEARCH("intermittent",C85)),"Difficult or Delayed Activation",ISNUMBER(SEARCH("delay",C85)),"Difficult or Delayed Activation",ISNUMBER(SEARCH("label",C85)),"Device Markings/Labelling Problem",ISNUMBER(SEARCH("marking",C85)),"Device Markings/Labelling Problem",ISNUMBER(SEARCH("lacerat",C85)),"Defective Device",ISNUMBER(SEARCH("cut",C85)),"Defective Device",ISNUMBER(SEARCH("leak",C85)),"Fluid/Blood Leak",ISNUMBER(SEARCH("missing",C85)),"Component Missing",ISNUMBER(SEARCH("power",C85)),"Complete Loss of Power",ISNUMBER(SEARCH("will not turn on",C85)),"Complete Loss of Power",ISNUMBER(SEARCH("won't turn on",C85)),"Complete Loss of Power",ISNUMBER(SEARCH("does not turn on",C85)),"Complete Loss of Power",ISNUMBER(SEARCH("electrical",C85)),"Electrical Power Problem",ISNUMBER(SEARCH("pressure",C85)),"Detachment of Device or Device Component",ISNUMBER(SEARCH("slip",C85)),"Detachment of Device or Device Component",ISNUMBER(SEARCH("detach",C85)),"Detachment of Device or Device Component",ISNUMBER(SEARCH("stick",C85)),"Mechanical Jam",ISNUMBER(SEARCH("jam",C85)),"Mechanical Jam",ISNUMBER(SEARCH("rigid",C85)),"Mechanical Jam",ISNUMBER(SEARCH("rust",C85)),"Corroded",ISNUMBER(SEARCH("corrod",C85)),"Corroded",ISNUMBER(SEARCH("corrosion",C85)),"Corroded",ISNUMBER(SEARCH("alignment",C85)),"Defective Device",ISNUMBER(SEARCH("adjust",C85)),"Defective Device",ISNUMBER(SEARCH("perform",C85)),"Defective Device",ISNUMBER(SEARCH("malfunction",C85)),"Defective Device",ISNUMBER(SEARCH("defect",C85)),"Defective Device",ISNUMBER(SEARCH("fail",C85)),"Defective Device",ISNUMBER(SEARCH("not work",C85)),"Defective Device",ISNUMBER(SEARCH("doesn't work",C85)),"Defective Device",TRUE,"UNKNOWN"),"UNKNOWN")))</f>
        <v/>
      </c>
      <c r="F85" s="4" t="str">
        <f t="shared" si="1"/>
        <v/>
      </c>
      <c r="G85" s="363" t="str">
        <f>IF(E85="","",IFERROR(VLOOKUP(E85,Codes!$L$2:$N$409,3,FALSE),"—"))</f>
        <v/>
      </c>
      <c r="H85" s="88"/>
      <c r="I85" s="88"/>
    </row>
    <row r="86" spans="1:9" ht="13.15" x14ac:dyDescent="0.35">
      <c r="A86" s="434"/>
      <c r="B86" s="436"/>
      <c r="C86" s="437"/>
      <c r="D86" s="434"/>
      <c r="E86" s="93" t="str" cm="1">
        <f t="array" ref="E86">IF(D86&lt;&gt;"",IFERROR(VLOOKUP(D86,Codes!$K$2:$L$409,2,FALSE),"UNKNOWN - "&amp;D86),IF(C86="","",IFERROR(_xlfn.IFS(ISNUMBER(SEARCH("broken button",C86)),"Break",ISNUMBER(SEARCH("broken handle",C86)),"Break",ISNUMBER(SEARCH("shipping damage",C86)),"Break",ISNUMBER(SEARCH("broken",C86)),"Break",ISNUMBER(SEARCH("crack",C86)),"Break",ISNUMBER(SEARCH("snap",C86)),"Break",ISNUMBER(SEARCH("fracture",C86)),"Break",ISNUMBER(SEARCH("bent",C86)),"Material Twisted/Bent",ISNUMBER(SEARCH("twisted",C86)),"Material Twisted/Bent",ISNUMBER(SEARCH("component separat",C86)),"Material Separation",ISNUMBER(SEARCH("separat",C86)),"Material Separation",ISNUMBER(SEARCH("connection",C86)),"Loose or Intermittent Connection",ISNUMBER(SEARCH("loose",C86)),"Loose or Intermittent Connection",ISNUMBER(SEARCH("damaged packaging",C86)),"Packaging Problem",ISNUMBER(SEARCH("packaging",C86)),"Packaging Problem",ISNUMBER(SEARCH("discoloration",C86)),"Contamination",ISNUMBER(SEARCH("tarnish",C86)),"Contamination",ISNUMBER(SEARCH("stain",C86)),"Contamination",ISNUMBER(SEARCH("foreign material",C86)),"Contamination",ISNUMBER(SEARCH("contamina",C86)),"Contamination",ISNUMBER(SEARCH("overheat",C86)),"Overheating of Device",ISNUMBER(SEARCH("excessive heat",C86)),"Overheating of Device",ISNUMBER(SEARCH("hot",C86)),"Overheating of Device",ISNUMBER(SEARCH("noise",C86)),"Noise, Audible",ISNUMBER(SEARCH("sound",C86)),"Noise, Audible",ISNUMBER(SEARCH("loud",C86)),"Noise, Audible",ISNUMBER(SEARCH("fray",C86)),"Material Frayed",ISNUMBER(SEARCH("hole",C86)),"Material Frayed",ISNUMBER(SEARCH("tear",C86)),"Material Frayed",ISNUMBER(SEARCH("worn",C86)),"Material Frayed",ISNUMBER(SEARCH("intermittent",C86)),"Difficult or Delayed Activation",ISNUMBER(SEARCH("delay",C86)),"Difficult or Delayed Activation",ISNUMBER(SEARCH("label",C86)),"Device Markings/Labelling Problem",ISNUMBER(SEARCH("marking",C86)),"Device Markings/Labelling Problem",ISNUMBER(SEARCH("lacerat",C86)),"Defective Device",ISNUMBER(SEARCH("cut",C86)),"Defective Device",ISNUMBER(SEARCH("leak",C86)),"Fluid/Blood Leak",ISNUMBER(SEARCH("missing",C86)),"Component Missing",ISNUMBER(SEARCH("power",C86)),"Complete Loss of Power",ISNUMBER(SEARCH("will not turn on",C86)),"Complete Loss of Power",ISNUMBER(SEARCH("won't turn on",C86)),"Complete Loss of Power",ISNUMBER(SEARCH("does not turn on",C86)),"Complete Loss of Power",ISNUMBER(SEARCH("electrical",C86)),"Electrical Power Problem",ISNUMBER(SEARCH("pressure",C86)),"Detachment of Device or Device Component",ISNUMBER(SEARCH("slip",C86)),"Detachment of Device or Device Component",ISNUMBER(SEARCH("detach",C86)),"Detachment of Device or Device Component",ISNUMBER(SEARCH("stick",C86)),"Mechanical Jam",ISNUMBER(SEARCH("jam",C86)),"Mechanical Jam",ISNUMBER(SEARCH("rigid",C86)),"Mechanical Jam",ISNUMBER(SEARCH("rust",C86)),"Corroded",ISNUMBER(SEARCH("corrod",C86)),"Corroded",ISNUMBER(SEARCH("corrosion",C86)),"Corroded",ISNUMBER(SEARCH("alignment",C86)),"Defective Device",ISNUMBER(SEARCH("adjust",C86)),"Defective Device",ISNUMBER(SEARCH("perform",C86)),"Defective Device",ISNUMBER(SEARCH("malfunction",C86)),"Defective Device",ISNUMBER(SEARCH("defect",C86)),"Defective Device",ISNUMBER(SEARCH("fail",C86)),"Defective Device",ISNUMBER(SEARCH("not work",C86)),"Defective Device",ISNUMBER(SEARCH("doesn't work",C86)),"Defective Device",TRUE,"UNKNOWN"),"UNKNOWN")))</f>
        <v/>
      </c>
      <c r="F86" s="4" t="str">
        <f t="shared" si="1"/>
        <v/>
      </c>
      <c r="G86" s="363" t="str">
        <f>IF(E86="","",IFERROR(VLOOKUP(E86,Codes!$L$2:$N$409,3,FALSE),"—"))</f>
        <v/>
      </c>
      <c r="H86" s="88"/>
      <c r="I86" s="88"/>
    </row>
    <row r="87" spans="1:9" ht="13.15" x14ac:dyDescent="0.35">
      <c r="A87" s="435"/>
      <c r="B87" s="436"/>
      <c r="C87" s="438"/>
      <c r="D87" s="435"/>
      <c r="E87" s="93" t="str" cm="1">
        <f t="array" ref="E87">IF(D87&lt;&gt;"",IFERROR(VLOOKUP(D87,Codes!$K$2:$L$409,2,FALSE),"UNKNOWN - "&amp;D87),IF(C87="","",IFERROR(_xlfn.IFS(ISNUMBER(SEARCH("broken button",C87)),"Break",ISNUMBER(SEARCH("broken handle",C87)),"Break",ISNUMBER(SEARCH("shipping damage",C87)),"Break",ISNUMBER(SEARCH("broken",C87)),"Break",ISNUMBER(SEARCH("crack",C87)),"Break",ISNUMBER(SEARCH("snap",C87)),"Break",ISNUMBER(SEARCH("fracture",C87)),"Break",ISNUMBER(SEARCH("bent",C87)),"Material Twisted/Bent",ISNUMBER(SEARCH("twisted",C87)),"Material Twisted/Bent",ISNUMBER(SEARCH("component separat",C87)),"Material Separation",ISNUMBER(SEARCH("separat",C87)),"Material Separation",ISNUMBER(SEARCH("connection",C87)),"Loose or Intermittent Connection",ISNUMBER(SEARCH("loose",C87)),"Loose or Intermittent Connection",ISNUMBER(SEARCH("damaged packaging",C87)),"Packaging Problem",ISNUMBER(SEARCH("packaging",C87)),"Packaging Problem",ISNUMBER(SEARCH("discoloration",C87)),"Contamination",ISNUMBER(SEARCH("tarnish",C87)),"Contamination",ISNUMBER(SEARCH("stain",C87)),"Contamination",ISNUMBER(SEARCH("foreign material",C87)),"Contamination",ISNUMBER(SEARCH("contamina",C87)),"Contamination",ISNUMBER(SEARCH("overheat",C87)),"Overheating of Device",ISNUMBER(SEARCH("excessive heat",C87)),"Overheating of Device",ISNUMBER(SEARCH("hot",C87)),"Overheating of Device",ISNUMBER(SEARCH("noise",C87)),"Noise, Audible",ISNUMBER(SEARCH("sound",C87)),"Noise, Audible",ISNUMBER(SEARCH("loud",C87)),"Noise, Audible",ISNUMBER(SEARCH("fray",C87)),"Material Frayed",ISNUMBER(SEARCH("hole",C87)),"Material Frayed",ISNUMBER(SEARCH("tear",C87)),"Material Frayed",ISNUMBER(SEARCH("worn",C87)),"Material Frayed",ISNUMBER(SEARCH("intermittent",C87)),"Difficult or Delayed Activation",ISNUMBER(SEARCH("delay",C87)),"Difficult or Delayed Activation",ISNUMBER(SEARCH("label",C87)),"Device Markings/Labelling Problem",ISNUMBER(SEARCH("marking",C87)),"Device Markings/Labelling Problem",ISNUMBER(SEARCH("lacerat",C87)),"Defective Device",ISNUMBER(SEARCH("cut",C87)),"Defective Device",ISNUMBER(SEARCH("leak",C87)),"Fluid/Blood Leak",ISNUMBER(SEARCH("missing",C87)),"Component Missing",ISNUMBER(SEARCH("power",C87)),"Complete Loss of Power",ISNUMBER(SEARCH("will not turn on",C87)),"Complete Loss of Power",ISNUMBER(SEARCH("won't turn on",C87)),"Complete Loss of Power",ISNUMBER(SEARCH("does not turn on",C87)),"Complete Loss of Power",ISNUMBER(SEARCH("electrical",C87)),"Electrical Power Problem",ISNUMBER(SEARCH("pressure",C87)),"Detachment of Device or Device Component",ISNUMBER(SEARCH("slip",C87)),"Detachment of Device or Device Component",ISNUMBER(SEARCH("detach",C87)),"Detachment of Device or Device Component",ISNUMBER(SEARCH("stick",C87)),"Mechanical Jam",ISNUMBER(SEARCH("jam",C87)),"Mechanical Jam",ISNUMBER(SEARCH("rigid",C87)),"Mechanical Jam",ISNUMBER(SEARCH("rust",C87)),"Corroded",ISNUMBER(SEARCH("corrod",C87)),"Corroded",ISNUMBER(SEARCH("corrosion",C87)),"Corroded",ISNUMBER(SEARCH("alignment",C87)),"Defective Device",ISNUMBER(SEARCH("adjust",C87)),"Defective Device",ISNUMBER(SEARCH("perform",C87)),"Defective Device",ISNUMBER(SEARCH("malfunction",C87)),"Defective Device",ISNUMBER(SEARCH("defect",C87)),"Defective Device",ISNUMBER(SEARCH("fail",C87)),"Defective Device",ISNUMBER(SEARCH("not work",C87)),"Defective Device",ISNUMBER(SEARCH("doesn't work",C87)),"Defective Device",TRUE,"UNKNOWN"),"UNKNOWN")))</f>
        <v/>
      </c>
      <c r="F87" s="4" t="str">
        <f t="shared" si="1"/>
        <v/>
      </c>
      <c r="G87" s="363" t="str">
        <f>IF(E87="","",IFERROR(VLOOKUP(E87,Codes!$L$2:$N$409,3,FALSE),"—"))</f>
        <v/>
      </c>
      <c r="H87" s="88"/>
      <c r="I87" s="88"/>
    </row>
    <row r="88" spans="1:9" ht="13.15" x14ac:dyDescent="0.35">
      <c r="A88" s="434"/>
      <c r="B88" s="436"/>
      <c r="C88" s="437"/>
      <c r="D88" s="434"/>
      <c r="E88" s="93" t="str" cm="1">
        <f t="array" ref="E88">IF(D88&lt;&gt;"",IFERROR(VLOOKUP(D88,Codes!$K$2:$L$409,2,FALSE),"UNKNOWN - "&amp;D88),IF(C88="","",IFERROR(_xlfn.IFS(ISNUMBER(SEARCH("broken button",C88)),"Break",ISNUMBER(SEARCH("broken handle",C88)),"Break",ISNUMBER(SEARCH("shipping damage",C88)),"Break",ISNUMBER(SEARCH("broken",C88)),"Break",ISNUMBER(SEARCH("crack",C88)),"Break",ISNUMBER(SEARCH("snap",C88)),"Break",ISNUMBER(SEARCH("fracture",C88)),"Break",ISNUMBER(SEARCH("bent",C88)),"Material Twisted/Bent",ISNUMBER(SEARCH("twisted",C88)),"Material Twisted/Bent",ISNUMBER(SEARCH("component separat",C88)),"Material Separation",ISNUMBER(SEARCH("separat",C88)),"Material Separation",ISNUMBER(SEARCH("connection",C88)),"Loose or Intermittent Connection",ISNUMBER(SEARCH("loose",C88)),"Loose or Intermittent Connection",ISNUMBER(SEARCH("damaged packaging",C88)),"Packaging Problem",ISNUMBER(SEARCH("packaging",C88)),"Packaging Problem",ISNUMBER(SEARCH("discoloration",C88)),"Contamination",ISNUMBER(SEARCH("tarnish",C88)),"Contamination",ISNUMBER(SEARCH("stain",C88)),"Contamination",ISNUMBER(SEARCH("foreign material",C88)),"Contamination",ISNUMBER(SEARCH("contamina",C88)),"Contamination",ISNUMBER(SEARCH("overheat",C88)),"Overheating of Device",ISNUMBER(SEARCH("excessive heat",C88)),"Overheating of Device",ISNUMBER(SEARCH("hot",C88)),"Overheating of Device",ISNUMBER(SEARCH("noise",C88)),"Noise, Audible",ISNUMBER(SEARCH("sound",C88)),"Noise, Audible",ISNUMBER(SEARCH("loud",C88)),"Noise, Audible",ISNUMBER(SEARCH("fray",C88)),"Material Frayed",ISNUMBER(SEARCH("hole",C88)),"Material Frayed",ISNUMBER(SEARCH("tear",C88)),"Material Frayed",ISNUMBER(SEARCH("worn",C88)),"Material Frayed",ISNUMBER(SEARCH("intermittent",C88)),"Difficult or Delayed Activation",ISNUMBER(SEARCH("delay",C88)),"Difficult or Delayed Activation",ISNUMBER(SEARCH("label",C88)),"Device Markings/Labelling Problem",ISNUMBER(SEARCH("marking",C88)),"Device Markings/Labelling Problem",ISNUMBER(SEARCH("lacerat",C88)),"Defective Device",ISNUMBER(SEARCH("cut",C88)),"Defective Device",ISNUMBER(SEARCH("leak",C88)),"Fluid/Blood Leak",ISNUMBER(SEARCH("missing",C88)),"Component Missing",ISNUMBER(SEARCH("power",C88)),"Complete Loss of Power",ISNUMBER(SEARCH("will not turn on",C88)),"Complete Loss of Power",ISNUMBER(SEARCH("won't turn on",C88)),"Complete Loss of Power",ISNUMBER(SEARCH("does not turn on",C88)),"Complete Loss of Power",ISNUMBER(SEARCH("electrical",C88)),"Electrical Power Problem",ISNUMBER(SEARCH("pressure",C88)),"Detachment of Device or Device Component",ISNUMBER(SEARCH("slip",C88)),"Detachment of Device or Device Component",ISNUMBER(SEARCH("detach",C88)),"Detachment of Device or Device Component",ISNUMBER(SEARCH("stick",C88)),"Mechanical Jam",ISNUMBER(SEARCH("jam",C88)),"Mechanical Jam",ISNUMBER(SEARCH("rigid",C88)),"Mechanical Jam",ISNUMBER(SEARCH("rust",C88)),"Corroded",ISNUMBER(SEARCH("corrod",C88)),"Corroded",ISNUMBER(SEARCH("corrosion",C88)),"Corroded",ISNUMBER(SEARCH("alignment",C88)),"Defective Device",ISNUMBER(SEARCH("adjust",C88)),"Defective Device",ISNUMBER(SEARCH("perform",C88)),"Defective Device",ISNUMBER(SEARCH("malfunction",C88)),"Defective Device",ISNUMBER(SEARCH("defect",C88)),"Defective Device",ISNUMBER(SEARCH("fail",C88)),"Defective Device",ISNUMBER(SEARCH("not work",C88)),"Defective Device",ISNUMBER(SEARCH("doesn't work",C88)),"Defective Device",TRUE,"UNKNOWN"),"UNKNOWN")))</f>
        <v/>
      </c>
      <c r="F88" s="4" t="str">
        <f t="shared" si="1"/>
        <v/>
      </c>
      <c r="G88" s="363" t="str">
        <f>IF(E88="","",IFERROR(VLOOKUP(E88,Codes!$L$2:$N$409,3,FALSE),"—"))</f>
        <v/>
      </c>
      <c r="H88" s="88"/>
      <c r="I88" s="88"/>
    </row>
    <row r="89" spans="1:9" ht="13.15" x14ac:dyDescent="0.35">
      <c r="A89" s="434"/>
      <c r="B89" s="436"/>
      <c r="C89" s="437"/>
      <c r="D89" s="434"/>
      <c r="E89" s="93" t="str" cm="1">
        <f t="array" ref="E89">IF(D89&lt;&gt;"",IFERROR(VLOOKUP(D89,Codes!$K$2:$L$409,2,FALSE),"UNKNOWN - "&amp;D89),IF(C89="","",IFERROR(_xlfn.IFS(ISNUMBER(SEARCH("broken button",C89)),"Break",ISNUMBER(SEARCH("broken handle",C89)),"Break",ISNUMBER(SEARCH("shipping damage",C89)),"Break",ISNUMBER(SEARCH("broken",C89)),"Break",ISNUMBER(SEARCH("crack",C89)),"Break",ISNUMBER(SEARCH("snap",C89)),"Break",ISNUMBER(SEARCH("fracture",C89)),"Break",ISNUMBER(SEARCH("bent",C89)),"Material Twisted/Bent",ISNUMBER(SEARCH("twisted",C89)),"Material Twisted/Bent",ISNUMBER(SEARCH("component separat",C89)),"Material Separation",ISNUMBER(SEARCH("separat",C89)),"Material Separation",ISNUMBER(SEARCH("connection",C89)),"Loose or Intermittent Connection",ISNUMBER(SEARCH("loose",C89)),"Loose or Intermittent Connection",ISNUMBER(SEARCH("damaged packaging",C89)),"Packaging Problem",ISNUMBER(SEARCH("packaging",C89)),"Packaging Problem",ISNUMBER(SEARCH("discoloration",C89)),"Contamination",ISNUMBER(SEARCH("tarnish",C89)),"Contamination",ISNUMBER(SEARCH("stain",C89)),"Contamination",ISNUMBER(SEARCH("foreign material",C89)),"Contamination",ISNUMBER(SEARCH("contamina",C89)),"Contamination",ISNUMBER(SEARCH("overheat",C89)),"Overheating of Device",ISNUMBER(SEARCH("excessive heat",C89)),"Overheating of Device",ISNUMBER(SEARCH("hot",C89)),"Overheating of Device",ISNUMBER(SEARCH("noise",C89)),"Noise, Audible",ISNUMBER(SEARCH("sound",C89)),"Noise, Audible",ISNUMBER(SEARCH("loud",C89)),"Noise, Audible",ISNUMBER(SEARCH("fray",C89)),"Material Frayed",ISNUMBER(SEARCH("hole",C89)),"Material Frayed",ISNUMBER(SEARCH("tear",C89)),"Material Frayed",ISNUMBER(SEARCH("worn",C89)),"Material Frayed",ISNUMBER(SEARCH("intermittent",C89)),"Difficult or Delayed Activation",ISNUMBER(SEARCH("delay",C89)),"Difficult or Delayed Activation",ISNUMBER(SEARCH("label",C89)),"Device Markings/Labelling Problem",ISNUMBER(SEARCH("marking",C89)),"Device Markings/Labelling Problem",ISNUMBER(SEARCH("lacerat",C89)),"Defective Device",ISNUMBER(SEARCH("cut",C89)),"Defective Device",ISNUMBER(SEARCH("leak",C89)),"Fluid/Blood Leak",ISNUMBER(SEARCH("missing",C89)),"Component Missing",ISNUMBER(SEARCH("power",C89)),"Complete Loss of Power",ISNUMBER(SEARCH("will not turn on",C89)),"Complete Loss of Power",ISNUMBER(SEARCH("won't turn on",C89)),"Complete Loss of Power",ISNUMBER(SEARCH("does not turn on",C89)),"Complete Loss of Power",ISNUMBER(SEARCH("electrical",C89)),"Electrical Power Problem",ISNUMBER(SEARCH("pressure",C89)),"Detachment of Device or Device Component",ISNUMBER(SEARCH("slip",C89)),"Detachment of Device or Device Component",ISNUMBER(SEARCH("detach",C89)),"Detachment of Device or Device Component",ISNUMBER(SEARCH("stick",C89)),"Mechanical Jam",ISNUMBER(SEARCH("jam",C89)),"Mechanical Jam",ISNUMBER(SEARCH("rigid",C89)),"Mechanical Jam",ISNUMBER(SEARCH("rust",C89)),"Corroded",ISNUMBER(SEARCH("corrod",C89)),"Corroded",ISNUMBER(SEARCH("corrosion",C89)),"Corroded",ISNUMBER(SEARCH("alignment",C89)),"Defective Device",ISNUMBER(SEARCH("adjust",C89)),"Defective Device",ISNUMBER(SEARCH("perform",C89)),"Defective Device",ISNUMBER(SEARCH("malfunction",C89)),"Defective Device",ISNUMBER(SEARCH("defect",C89)),"Defective Device",ISNUMBER(SEARCH("fail",C89)),"Defective Device",ISNUMBER(SEARCH("not work",C89)),"Defective Device",ISNUMBER(SEARCH("doesn't work",C89)),"Defective Device",TRUE,"UNKNOWN"),"UNKNOWN")))</f>
        <v/>
      </c>
      <c r="F89" s="4" t="str">
        <f t="shared" si="1"/>
        <v/>
      </c>
      <c r="G89" s="363" t="str">
        <f>IF(E89="","",IFERROR(VLOOKUP(E89,Codes!$L$2:$N$409,3,FALSE),"—"))</f>
        <v/>
      </c>
      <c r="H89" s="88"/>
      <c r="I89" s="88"/>
    </row>
    <row r="90" spans="1:9" ht="13.15" x14ac:dyDescent="0.35">
      <c r="A90" s="434"/>
      <c r="B90" s="436"/>
      <c r="C90" s="437"/>
      <c r="D90" s="434"/>
      <c r="E90" s="93" t="str" cm="1">
        <f t="array" ref="E90">IF(D90&lt;&gt;"",IFERROR(VLOOKUP(D90,Codes!$K$2:$L$409,2,FALSE),"UNKNOWN - "&amp;D90),IF(C90="","",IFERROR(_xlfn.IFS(ISNUMBER(SEARCH("broken button",C90)),"Break",ISNUMBER(SEARCH("broken handle",C90)),"Break",ISNUMBER(SEARCH("shipping damage",C90)),"Break",ISNUMBER(SEARCH("broken",C90)),"Break",ISNUMBER(SEARCH("crack",C90)),"Break",ISNUMBER(SEARCH("snap",C90)),"Break",ISNUMBER(SEARCH("fracture",C90)),"Break",ISNUMBER(SEARCH("bent",C90)),"Material Twisted/Bent",ISNUMBER(SEARCH("twisted",C90)),"Material Twisted/Bent",ISNUMBER(SEARCH("component separat",C90)),"Material Separation",ISNUMBER(SEARCH("separat",C90)),"Material Separation",ISNUMBER(SEARCH("connection",C90)),"Loose or Intermittent Connection",ISNUMBER(SEARCH("loose",C90)),"Loose or Intermittent Connection",ISNUMBER(SEARCH("damaged packaging",C90)),"Packaging Problem",ISNUMBER(SEARCH("packaging",C90)),"Packaging Problem",ISNUMBER(SEARCH("discoloration",C90)),"Contamination",ISNUMBER(SEARCH("tarnish",C90)),"Contamination",ISNUMBER(SEARCH("stain",C90)),"Contamination",ISNUMBER(SEARCH("foreign material",C90)),"Contamination",ISNUMBER(SEARCH("contamina",C90)),"Contamination",ISNUMBER(SEARCH("overheat",C90)),"Overheating of Device",ISNUMBER(SEARCH("excessive heat",C90)),"Overheating of Device",ISNUMBER(SEARCH("hot",C90)),"Overheating of Device",ISNUMBER(SEARCH("noise",C90)),"Noise, Audible",ISNUMBER(SEARCH("sound",C90)),"Noise, Audible",ISNUMBER(SEARCH("loud",C90)),"Noise, Audible",ISNUMBER(SEARCH("fray",C90)),"Material Frayed",ISNUMBER(SEARCH("hole",C90)),"Material Frayed",ISNUMBER(SEARCH("tear",C90)),"Material Frayed",ISNUMBER(SEARCH("worn",C90)),"Material Frayed",ISNUMBER(SEARCH("intermittent",C90)),"Difficult or Delayed Activation",ISNUMBER(SEARCH("delay",C90)),"Difficult or Delayed Activation",ISNUMBER(SEARCH("label",C90)),"Device Markings/Labelling Problem",ISNUMBER(SEARCH("marking",C90)),"Device Markings/Labelling Problem",ISNUMBER(SEARCH("lacerat",C90)),"Defective Device",ISNUMBER(SEARCH("cut",C90)),"Defective Device",ISNUMBER(SEARCH("leak",C90)),"Fluid/Blood Leak",ISNUMBER(SEARCH("missing",C90)),"Component Missing",ISNUMBER(SEARCH("power",C90)),"Complete Loss of Power",ISNUMBER(SEARCH("will not turn on",C90)),"Complete Loss of Power",ISNUMBER(SEARCH("won't turn on",C90)),"Complete Loss of Power",ISNUMBER(SEARCH("does not turn on",C90)),"Complete Loss of Power",ISNUMBER(SEARCH("electrical",C90)),"Electrical Power Problem",ISNUMBER(SEARCH("pressure",C90)),"Detachment of Device or Device Component",ISNUMBER(SEARCH("slip",C90)),"Detachment of Device or Device Component",ISNUMBER(SEARCH("detach",C90)),"Detachment of Device or Device Component",ISNUMBER(SEARCH("stick",C90)),"Mechanical Jam",ISNUMBER(SEARCH("jam",C90)),"Mechanical Jam",ISNUMBER(SEARCH("rigid",C90)),"Mechanical Jam",ISNUMBER(SEARCH("rust",C90)),"Corroded",ISNUMBER(SEARCH("corrod",C90)),"Corroded",ISNUMBER(SEARCH("corrosion",C90)),"Corroded",ISNUMBER(SEARCH("alignment",C90)),"Defective Device",ISNUMBER(SEARCH("adjust",C90)),"Defective Device",ISNUMBER(SEARCH("perform",C90)),"Defective Device",ISNUMBER(SEARCH("malfunction",C90)),"Defective Device",ISNUMBER(SEARCH("defect",C90)),"Defective Device",ISNUMBER(SEARCH("fail",C90)),"Defective Device",ISNUMBER(SEARCH("not work",C90)),"Defective Device",ISNUMBER(SEARCH("doesn't work",C90)),"Defective Device",TRUE,"UNKNOWN"),"UNKNOWN")))</f>
        <v/>
      </c>
      <c r="F90" s="4" t="str">
        <f t="shared" si="1"/>
        <v/>
      </c>
      <c r="G90" s="363" t="str">
        <f>IF(E90="","",IFERROR(VLOOKUP(E90,Codes!$L$2:$N$409,3,FALSE),"—"))</f>
        <v/>
      </c>
      <c r="H90" s="88"/>
      <c r="I90" s="88"/>
    </row>
    <row r="91" spans="1:9" ht="13.15" x14ac:dyDescent="0.35">
      <c r="A91" s="434"/>
      <c r="B91" s="436"/>
      <c r="C91" s="437"/>
      <c r="D91" s="434"/>
      <c r="E91" s="93" t="str" cm="1">
        <f t="array" ref="E91">IF(D91&lt;&gt;"",IFERROR(VLOOKUP(D91,Codes!$K$2:$L$409,2,FALSE),"UNKNOWN - "&amp;D91),IF(C91="","",IFERROR(_xlfn.IFS(ISNUMBER(SEARCH("broken button",C91)),"Break",ISNUMBER(SEARCH("broken handle",C91)),"Break",ISNUMBER(SEARCH("shipping damage",C91)),"Break",ISNUMBER(SEARCH("broken",C91)),"Break",ISNUMBER(SEARCH("crack",C91)),"Break",ISNUMBER(SEARCH("snap",C91)),"Break",ISNUMBER(SEARCH("fracture",C91)),"Break",ISNUMBER(SEARCH("bent",C91)),"Material Twisted/Bent",ISNUMBER(SEARCH("twisted",C91)),"Material Twisted/Bent",ISNUMBER(SEARCH("component separat",C91)),"Material Separation",ISNUMBER(SEARCH("separat",C91)),"Material Separation",ISNUMBER(SEARCH("connection",C91)),"Loose or Intermittent Connection",ISNUMBER(SEARCH("loose",C91)),"Loose or Intermittent Connection",ISNUMBER(SEARCH("damaged packaging",C91)),"Packaging Problem",ISNUMBER(SEARCH("packaging",C91)),"Packaging Problem",ISNUMBER(SEARCH("discoloration",C91)),"Contamination",ISNUMBER(SEARCH("tarnish",C91)),"Contamination",ISNUMBER(SEARCH("stain",C91)),"Contamination",ISNUMBER(SEARCH("foreign material",C91)),"Contamination",ISNUMBER(SEARCH("contamina",C91)),"Contamination",ISNUMBER(SEARCH("overheat",C91)),"Overheating of Device",ISNUMBER(SEARCH("excessive heat",C91)),"Overheating of Device",ISNUMBER(SEARCH("hot",C91)),"Overheating of Device",ISNUMBER(SEARCH("noise",C91)),"Noise, Audible",ISNUMBER(SEARCH("sound",C91)),"Noise, Audible",ISNUMBER(SEARCH("loud",C91)),"Noise, Audible",ISNUMBER(SEARCH("fray",C91)),"Material Frayed",ISNUMBER(SEARCH("hole",C91)),"Material Frayed",ISNUMBER(SEARCH("tear",C91)),"Material Frayed",ISNUMBER(SEARCH("worn",C91)),"Material Frayed",ISNUMBER(SEARCH("intermittent",C91)),"Difficult or Delayed Activation",ISNUMBER(SEARCH("delay",C91)),"Difficult or Delayed Activation",ISNUMBER(SEARCH("label",C91)),"Device Markings/Labelling Problem",ISNUMBER(SEARCH("marking",C91)),"Device Markings/Labelling Problem",ISNUMBER(SEARCH("lacerat",C91)),"Defective Device",ISNUMBER(SEARCH("cut",C91)),"Defective Device",ISNUMBER(SEARCH("leak",C91)),"Fluid/Blood Leak",ISNUMBER(SEARCH("missing",C91)),"Component Missing",ISNUMBER(SEARCH("power",C91)),"Complete Loss of Power",ISNUMBER(SEARCH("will not turn on",C91)),"Complete Loss of Power",ISNUMBER(SEARCH("won't turn on",C91)),"Complete Loss of Power",ISNUMBER(SEARCH("does not turn on",C91)),"Complete Loss of Power",ISNUMBER(SEARCH("electrical",C91)),"Electrical Power Problem",ISNUMBER(SEARCH("pressure",C91)),"Detachment of Device or Device Component",ISNUMBER(SEARCH("slip",C91)),"Detachment of Device or Device Component",ISNUMBER(SEARCH("detach",C91)),"Detachment of Device or Device Component",ISNUMBER(SEARCH("stick",C91)),"Mechanical Jam",ISNUMBER(SEARCH("jam",C91)),"Mechanical Jam",ISNUMBER(SEARCH("rigid",C91)),"Mechanical Jam",ISNUMBER(SEARCH("rust",C91)),"Corroded",ISNUMBER(SEARCH("corrod",C91)),"Corroded",ISNUMBER(SEARCH("corrosion",C91)),"Corroded",ISNUMBER(SEARCH("alignment",C91)),"Defective Device",ISNUMBER(SEARCH("adjust",C91)),"Defective Device",ISNUMBER(SEARCH("perform",C91)),"Defective Device",ISNUMBER(SEARCH("malfunction",C91)),"Defective Device",ISNUMBER(SEARCH("defect",C91)),"Defective Device",ISNUMBER(SEARCH("fail",C91)),"Defective Device",ISNUMBER(SEARCH("not work",C91)),"Defective Device",ISNUMBER(SEARCH("doesn't work",C91)),"Defective Device",TRUE,"UNKNOWN"),"UNKNOWN")))</f>
        <v/>
      </c>
      <c r="F91" s="4" t="str">
        <f t="shared" si="1"/>
        <v/>
      </c>
      <c r="G91" s="363" t="str">
        <f>IF(E91="","",IFERROR(VLOOKUP(E91,Codes!$L$2:$N$409,3,FALSE),"—"))</f>
        <v/>
      </c>
      <c r="H91" s="88"/>
      <c r="I91" s="88"/>
    </row>
    <row r="92" spans="1:9" ht="13.15" x14ac:dyDescent="0.35">
      <c r="A92" s="434"/>
      <c r="B92" s="436"/>
      <c r="C92" s="437"/>
      <c r="D92" s="434"/>
      <c r="E92" s="93" t="str" cm="1">
        <f t="array" ref="E92">IF(D92&lt;&gt;"",IFERROR(VLOOKUP(D92,Codes!$K$2:$L$409,2,FALSE),"UNKNOWN - "&amp;D92),IF(C92="","",IFERROR(_xlfn.IFS(ISNUMBER(SEARCH("broken button",C92)),"Break",ISNUMBER(SEARCH("broken handle",C92)),"Break",ISNUMBER(SEARCH("shipping damage",C92)),"Break",ISNUMBER(SEARCH("broken",C92)),"Break",ISNUMBER(SEARCH("crack",C92)),"Break",ISNUMBER(SEARCH("snap",C92)),"Break",ISNUMBER(SEARCH("fracture",C92)),"Break",ISNUMBER(SEARCH("bent",C92)),"Material Twisted/Bent",ISNUMBER(SEARCH("twisted",C92)),"Material Twisted/Bent",ISNUMBER(SEARCH("component separat",C92)),"Material Separation",ISNUMBER(SEARCH("separat",C92)),"Material Separation",ISNUMBER(SEARCH("connection",C92)),"Loose or Intermittent Connection",ISNUMBER(SEARCH("loose",C92)),"Loose or Intermittent Connection",ISNUMBER(SEARCH("damaged packaging",C92)),"Packaging Problem",ISNUMBER(SEARCH("packaging",C92)),"Packaging Problem",ISNUMBER(SEARCH("discoloration",C92)),"Contamination",ISNUMBER(SEARCH("tarnish",C92)),"Contamination",ISNUMBER(SEARCH("stain",C92)),"Contamination",ISNUMBER(SEARCH("foreign material",C92)),"Contamination",ISNUMBER(SEARCH("contamina",C92)),"Contamination",ISNUMBER(SEARCH("overheat",C92)),"Overheating of Device",ISNUMBER(SEARCH("excessive heat",C92)),"Overheating of Device",ISNUMBER(SEARCH("hot",C92)),"Overheating of Device",ISNUMBER(SEARCH("noise",C92)),"Noise, Audible",ISNUMBER(SEARCH("sound",C92)),"Noise, Audible",ISNUMBER(SEARCH("loud",C92)),"Noise, Audible",ISNUMBER(SEARCH("fray",C92)),"Material Frayed",ISNUMBER(SEARCH("hole",C92)),"Material Frayed",ISNUMBER(SEARCH("tear",C92)),"Material Frayed",ISNUMBER(SEARCH("worn",C92)),"Material Frayed",ISNUMBER(SEARCH("intermittent",C92)),"Difficult or Delayed Activation",ISNUMBER(SEARCH("delay",C92)),"Difficult or Delayed Activation",ISNUMBER(SEARCH("label",C92)),"Device Markings/Labelling Problem",ISNUMBER(SEARCH("marking",C92)),"Device Markings/Labelling Problem",ISNUMBER(SEARCH("lacerat",C92)),"Defective Device",ISNUMBER(SEARCH("cut",C92)),"Defective Device",ISNUMBER(SEARCH("leak",C92)),"Fluid/Blood Leak",ISNUMBER(SEARCH("missing",C92)),"Component Missing",ISNUMBER(SEARCH("power",C92)),"Complete Loss of Power",ISNUMBER(SEARCH("will not turn on",C92)),"Complete Loss of Power",ISNUMBER(SEARCH("won't turn on",C92)),"Complete Loss of Power",ISNUMBER(SEARCH("does not turn on",C92)),"Complete Loss of Power",ISNUMBER(SEARCH("electrical",C92)),"Electrical Power Problem",ISNUMBER(SEARCH("pressure",C92)),"Detachment of Device or Device Component",ISNUMBER(SEARCH("slip",C92)),"Detachment of Device or Device Component",ISNUMBER(SEARCH("detach",C92)),"Detachment of Device or Device Component",ISNUMBER(SEARCH("stick",C92)),"Mechanical Jam",ISNUMBER(SEARCH("jam",C92)),"Mechanical Jam",ISNUMBER(SEARCH("rigid",C92)),"Mechanical Jam",ISNUMBER(SEARCH("rust",C92)),"Corroded",ISNUMBER(SEARCH("corrod",C92)),"Corroded",ISNUMBER(SEARCH("corrosion",C92)),"Corroded",ISNUMBER(SEARCH("alignment",C92)),"Defective Device",ISNUMBER(SEARCH("adjust",C92)),"Defective Device",ISNUMBER(SEARCH("perform",C92)),"Defective Device",ISNUMBER(SEARCH("malfunction",C92)),"Defective Device",ISNUMBER(SEARCH("defect",C92)),"Defective Device",ISNUMBER(SEARCH("fail",C92)),"Defective Device",ISNUMBER(SEARCH("not work",C92)),"Defective Device",ISNUMBER(SEARCH("doesn't work",C92)),"Defective Device",TRUE,"UNKNOWN"),"UNKNOWN")))</f>
        <v/>
      </c>
      <c r="F92" s="4" t="str">
        <f t="shared" si="1"/>
        <v/>
      </c>
      <c r="G92" s="363" t="str">
        <f>IF(E92="","",IFERROR(VLOOKUP(E92,Codes!$L$2:$N$409,3,FALSE),"—"))</f>
        <v/>
      </c>
      <c r="H92" s="88"/>
      <c r="I92" s="88"/>
    </row>
    <row r="93" spans="1:9" ht="13.15" x14ac:dyDescent="0.35">
      <c r="A93" s="434"/>
      <c r="B93" s="436"/>
      <c r="C93" s="437"/>
      <c r="D93" s="434"/>
      <c r="E93" s="93" t="str" cm="1">
        <f t="array" ref="E93">IF(D93&lt;&gt;"",IFERROR(VLOOKUP(D93,Codes!$K$2:$L$409,2,FALSE),"UNKNOWN - "&amp;D93),IF(C93="","",IFERROR(_xlfn.IFS(ISNUMBER(SEARCH("broken button",C93)),"Break",ISNUMBER(SEARCH("broken handle",C93)),"Break",ISNUMBER(SEARCH("shipping damage",C93)),"Break",ISNUMBER(SEARCH("broken",C93)),"Break",ISNUMBER(SEARCH("crack",C93)),"Break",ISNUMBER(SEARCH("snap",C93)),"Break",ISNUMBER(SEARCH("fracture",C93)),"Break",ISNUMBER(SEARCH("bent",C93)),"Material Twisted/Bent",ISNUMBER(SEARCH("twisted",C93)),"Material Twisted/Bent",ISNUMBER(SEARCH("component separat",C93)),"Material Separation",ISNUMBER(SEARCH("separat",C93)),"Material Separation",ISNUMBER(SEARCH("connection",C93)),"Loose or Intermittent Connection",ISNUMBER(SEARCH("loose",C93)),"Loose or Intermittent Connection",ISNUMBER(SEARCH("damaged packaging",C93)),"Packaging Problem",ISNUMBER(SEARCH("packaging",C93)),"Packaging Problem",ISNUMBER(SEARCH("discoloration",C93)),"Contamination",ISNUMBER(SEARCH("tarnish",C93)),"Contamination",ISNUMBER(SEARCH("stain",C93)),"Contamination",ISNUMBER(SEARCH("foreign material",C93)),"Contamination",ISNUMBER(SEARCH("contamina",C93)),"Contamination",ISNUMBER(SEARCH("overheat",C93)),"Overheating of Device",ISNUMBER(SEARCH("excessive heat",C93)),"Overheating of Device",ISNUMBER(SEARCH("hot",C93)),"Overheating of Device",ISNUMBER(SEARCH("noise",C93)),"Noise, Audible",ISNUMBER(SEARCH("sound",C93)),"Noise, Audible",ISNUMBER(SEARCH("loud",C93)),"Noise, Audible",ISNUMBER(SEARCH("fray",C93)),"Material Frayed",ISNUMBER(SEARCH("hole",C93)),"Material Frayed",ISNUMBER(SEARCH("tear",C93)),"Material Frayed",ISNUMBER(SEARCH("worn",C93)),"Material Frayed",ISNUMBER(SEARCH("intermittent",C93)),"Difficult or Delayed Activation",ISNUMBER(SEARCH("delay",C93)),"Difficult or Delayed Activation",ISNUMBER(SEARCH("label",C93)),"Device Markings/Labelling Problem",ISNUMBER(SEARCH("marking",C93)),"Device Markings/Labelling Problem",ISNUMBER(SEARCH("lacerat",C93)),"Defective Device",ISNUMBER(SEARCH("cut",C93)),"Defective Device",ISNUMBER(SEARCH("leak",C93)),"Fluid/Blood Leak",ISNUMBER(SEARCH("missing",C93)),"Component Missing",ISNUMBER(SEARCH("power",C93)),"Complete Loss of Power",ISNUMBER(SEARCH("will not turn on",C93)),"Complete Loss of Power",ISNUMBER(SEARCH("won't turn on",C93)),"Complete Loss of Power",ISNUMBER(SEARCH("does not turn on",C93)),"Complete Loss of Power",ISNUMBER(SEARCH("electrical",C93)),"Electrical Power Problem",ISNUMBER(SEARCH("pressure",C93)),"Detachment of Device or Device Component",ISNUMBER(SEARCH("slip",C93)),"Detachment of Device or Device Component",ISNUMBER(SEARCH("detach",C93)),"Detachment of Device or Device Component",ISNUMBER(SEARCH("stick",C93)),"Mechanical Jam",ISNUMBER(SEARCH("jam",C93)),"Mechanical Jam",ISNUMBER(SEARCH("rigid",C93)),"Mechanical Jam",ISNUMBER(SEARCH("rust",C93)),"Corroded",ISNUMBER(SEARCH("corrod",C93)),"Corroded",ISNUMBER(SEARCH("corrosion",C93)),"Corroded",ISNUMBER(SEARCH("alignment",C93)),"Defective Device",ISNUMBER(SEARCH("adjust",C93)),"Defective Device",ISNUMBER(SEARCH("perform",C93)),"Defective Device",ISNUMBER(SEARCH("malfunction",C93)),"Defective Device",ISNUMBER(SEARCH("defect",C93)),"Defective Device",ISNUMBER(SEARCH("fail",C93)),"Defective Device",ISNUMBER(SEARCH("not work",C93)),"Defective Device",ISNUMBER(SEARCH("doesn't work",C93)),"Defective Device",TRUE,"UNKNOWN"),"UNKNOWN")))</f>
        <v/>
      </c>
      <c r="F93" s="4" t="str">
        <f t="shared" si="1"/>
        <v/>
      </c>
      <c r="G93" s="363" t="str">
        <f>IF(E93="","",IFERROR(VLOOKUP(E93,Codes!$L$2:$N$409,3,FALSE),"—"))</f>
        <v/>
      </c>
      <c r="H93" s="88"/>
      <c r="I93" s="88"/>
    </row>
    <row r="94" spans="1:9" ht="13.15" x14ac:dyDescent="0.35">
      <c r="A94" s="434"/>
      <c r="B94" s="436"/>
      <c r="C94" s="437"/>
      <c r="D94" s="434"/>
      <c r="E94" s="93" t="str" cm="1">
        <f t="array" ref="E94">IF(D94&lt;&gt;"",IFERROR(VLOOKUP(D94,Codes!$K$2:$L$409,2,FALSE),"UNKNOWN - "&amp;D94),IF(C94="","",IFERROR(_xlfn.IFS(ISNUMBER(SEARCH("broken button",C94)),"Break",ISNUMBER(SEARCH("broken handle",C94)),"Break",ISNUMBER(SEARCH("shipping damage",C94)),"Break",ISNUMBER(SEARCH("broken",C94)),"Break",ISNUMBER(SEARCH("crack",C94)),"Break",ISNUMBER(SEARCH("snap",C94)),"Break",ISNUMBER(SEARCH("fracture",C94)),"Break",ISNUMBER(SEARCH("bent",C94)),"Material Twisted/Bent",ISNUMBER(SEARCH("twisted",C94)),"Material Twisted/Bent",ISNUMBER(SEARCH("component separat",C94)),"Material Separation",ISNUMBER(SEARCH("separat",C94)),"Material Separation",ISNUMBER(SEARCH("connection",C94)),"Loose or Intermittent Connection",ISNUMBER(SEARCH("loose",C94)),"Loose or Intermittent Connection",ISNUMBER(SEARCH("damaged packaging",C94)),"Packaging Problem",ISNUMBER(SEARCH("packaging",C94)),"Packaging Problem",ISNUMBER(SEARCH("discoloration",C94)),"Contamination",ISNUMBER(SEARCH("tarnish",C94)),"Contamination",ISNUMBER(SEARCH("stain",C94)),"Contamination",ISNUMBER(SEARCH("foreign material",C94)),"Contamination",ISNUMBER(SEARCH("contamina",C94)),"Contamination",ISNUMBER(SEARCH("overheat",C94)),"Overheating of Device",ISNUMBER(SEARCH("excessive heat",C94)),"Overheating of Device",ISNUMBER(SEARCH("hot",C94)),"Overheating of Device",ISNUMBER(SEARCH("noise",C94)),"Noise, Audible",ISNUMBER(SEARCH("sound",C94)),"Noise, Audible",ISNUMBER(SEARCH("loud",C94)),"Noise, Audible",ISNUMBER(SEARCH("fray",C94)),"Material Frayed",ISNUMBER(SEARCH("hole",C94)),"Material Frayed",ISNUMBER(SEARCH("tear",C94)),"Material Frayed",ISNUMBER(SEARCH("worn",C94)),"Material Frayed",ISNUMBER(SEARCH("intermittent",C94)),"Difficult or Delayed Activation",ISNUMBER(SEARCH("delay",C94)),"Difficult or Delayed Activation",ISNUMBER(SEARCH("label",C94)),"Device Markings/Labelling Problem",ISNUMBER(SEARCH("marking",C94)),"Device Markings/Labelling Problem",ISNUMBER(SEARCH("lacerat",C94)),"Defective Device",ISNUMBER(SEARCH("cut",C94)),"Defective Device",ISNUMBER(SEARCH("leak",C94)),"Fluid/Blood Leak",ISNUMBER(SEARCH("missing",C94)),"Component Missing",ISNUMBER(SEARCH("power",C94)),"Complete Loss of Power",ISNUMBER(SEARCH("will not turn on",C94)),"Complete Loss of Power",ISNUMBER(SEARCH("won't turn on",C94)),"Complete Loss of Power",ISNUMBER(SEARCH("does not turn on",C94)),"Complete Loss of Power",ISNUMBER(SEARCH("electrical",C94)),"Electrical Power Problem",ISNUMBER(SEARCH("pressure",C94)),"Detachment of Device or Device Component",ISNUMBER(SEARCH("slip",C94)),"Detachment of Device or Device Component",ISNUMBER(SEARCH("detach",C94)),"Detachment of Device or Device Component",ISNUMBER(SEARCH("stick",C94)),"Mechanical Jam",ISNUMBER(SEARCH("jam",C94)),"Mechanical Jam",ISNUMBER(SEARCH("rigid",C94)),"Mechanical Jam",ISNUMBER(SEARCH("rust",C94)),"Corroded",ISNUMBER(SEARCH("corrod",C94)),"Corroded",ISNUMBER(SEARCH("corrosion",C94)),"Corroded",ISNUMBER(SEARCH("alignment",C94)),"Defective Device",ISNUMBER(SEARCH("adjust",C94)),"Defective Device",ISNUMBER(SEARCH("perform",C94)),"Defective Device",ISNUMBER(SEARCH("malfunction",C94)),"Defective Device",ISNUMBER(SEARCH("defect",C94)),"Defective Device",ISNUMBER(SEARCH("fail",C94)),"Defective Device",ISNUMBER(SEARCH("not work",C94)),"Defective Device",ISNUMBER(SEARCH("doesn't work",C94)),"Defective Device",TRUE,"UNKNOWN"),"UNKNOWN")))</f>
        <v/>
      </c>
      <c r="F94" s="4" t="str">
        <f t="shared" si="1"/>
        <v/>
      </c>
      <c r="G94" s="363" t="str">
        <f>IF(E94="","",IFERROR(VLOOKUP(E94,Codes!$L$2:$N$409,3,FALSE),"—"))</f>
        <v/>
      </c>
      <c r="H94" s="88"/>
      <c r="I94" s="88"/>
    </row>
    <row r="95" spans="1:9" ht="13.15" x14ac:dyDescent="0.35">
      <c r="A95" s="435"/>
      <c r="B95" s="436"/>
      <c r="C95" s="438"/>
      <c r="D95" s="435"/>
      <c r="E95" s="93" t="str" cm="1">
        <f t="array" ref="E95">IF(D95&lt;&gt;"",IFERROR(VLOOKUP(D95,Codes!$K$2:$L$409,2,FALSE),"UNKNOWN - "&amp;D95),IF(C95="","",IFERROR(_xlfn.IFS(ISNUMBER(SEARCH("broken button",C95)),"Break",ISNUMBER(SEARCH("broken handle",C95)),"Break",ISNUMBER(SEARCH("shipping damage",C95)),"Break",ISNUMBER(SEARCH("broken",C95)),"Break",ISNUMBER(SEARCH("crack",C95)),"Break",ISNUMBER(SEARCH("snap",C95)),"Break",ISNUMBER(SEARCH("fracture",C95)),"Break",ISNUMBER(SEARCH("bent",C95)),"Material Twisted/Bent",ISNUMBER(SEARCH("twisted",C95)),"Material Twisted/Bent",ISNUMBER(SEARCH("component separat",C95)),"Material Separation",ISNUMBER(SEARCH("separat",C95)),"Material Separation",ISNUMBER(SEARCH("connection",C95)),"Loose or Intermittent Connection",ISNUMBER(SEARCH("loose",C95)),"Loose or Intermittent Connection",ISNUMBER(SEARCH("damaged packaging",C95)),"Packaging Problem",ISNUMBER(SEARCH("packaging",C95)),"Packaging Problem",ISNUMBER(SEARCH("discoloration",C95)),"Contamination",ISNUMBER(SEARCH("tarnish",C95)),"Contamination",ISNUMBER(SEARCH("stain",C95)),"Contamination",ISNUMBER(SEARCH("foreign material",C95)),"Contamination",ISNUMBER(SEARCH("contamina",C95)),"Contamination",ISNUMBER(SEARCH("overheat",C95)),"Overheating of Device",ISNUMBER(SEARCH("excessive heat",C95)),"Overheating of Device",ISNUMBER(SEARCH("hot",C95)),"Overheating of Device",ISNUMBER(SEARCH("noise",C95)),"Noise, Audible",ISNUMBER(SEARCH("sound",C95)),"Noise, Audible",ISNUMBER(SEARCH("loud",C95)),"Noise, Audible",ISNUMBER(SEARCH("fray",C95)),"Material Frayed",ISNUMBER(SEARCH("hole",C95)),"Material Frayed",ISNUMBER(SEARCH("tear",C95)),"Material Frayed",ISNUMBER(SEARCH("worn",C95)),"Material Frayed",ISNUMBER(SEARCH("intermittent",C95)),"Difficult or Delayed Activation",ISNUMBER(SEARCH("delay",C95)),"Difficult or Delayed Activation",ISNUMBER(SEARCH("label",C95)),"Device Markings/Labelling Problem",ISNUMBER(SEARCH("marking",C95)),"Device Markings/Labelling Problem",ISNUMBER(SEARCH("lacerat",C95)),"Defective Device",ISNUMBER(SEARCH("cut",C95)),"Defective Device",ISNUMBER(SEARCH("leak",C95)),"Fluid/Blood Leak",ISNUMBER(SEARCH("missing",C95)),"Component Missing",ISNUMBER(SEARCH("power",C95)),"Complete Loss of Power",ISNUMBER(SEARCH("will not turn on",C95)),"Complete Loss of Power",ISNUMBER(SEARCH("won't turn on",C95)),"Complete Loss of Power",ISNUMBER(SEARCH("does not turn on",C95)),"Complete Loss of Power",ISNUMBER(SEARCH("electrical",C95)),"Electrical Power Problem",ISNUMBER(SEARCH("pressure",C95)),"Detachment of Device or Device Component",ISNUMBER(SEARCH("slip",C95)),"Detachment of Device or Device Component",ISNUMBER(SEARCH("detach",C95)),"Detachment of Device or Device Component",ISNUMBER(SEARCH("stick",C95)),"Mechanical Jam",ISNUMBER(SEARCH("jam",C95)),"Mechanical Jam",ISNUMBER(SEARCH("rigid",C95)),"Mechanical Jam",ISNUMBER(SEARCH("rust",C95)),"Corroded",ISNUMBER(SEARCH("corrod",C95)),"Corroded",ISNUMBER(SEARCH("corrosion",C95)),"Corroded",ISNUMBER(SEARCH("alignment",C95)),"Defective Device",ISNUMBER(SEARCH("adjust",C95)),"Defective Device",ISNUMBER(SEARCH("perform",C95)),"Defective Device",ISNUMBER(SEARCH("malfunction",C95)),"Defective Device",ISNUMBER(SEARCH("defect",C95)),"Defective Device",ISNUMBER(SEARCH("fail",C95)),"Defective Device",ISNUMBER(SEARCH("not work",C95)),"Defective Device",ISNUMBER(SEARCH("doesn't work",C95)),"Defective Device",TRUE,"UNKNOWN"),"UNKNOWN")))</f>
        <v/>
      </c>
      <c r="F95" s="4" t="str">
        <f t="shared" si="1"/>
        <v/>
      </c>
      <c r="G95" s="363" t="str">
        <f>IF(E95="","",IFERROR(VLOOKUP(E95,Codes!$L$2:$N$409,3,FALSE),"—"))</f>
        <v/>
      </c>
      <c r="H95" s="88"/>
      <c r="I95" s="88"/>
    </row>
    <row r="96" spans="1:9" ht="13.15" x14ac:dyDescent="0.35">
      <c r="A96" s="434"/>
      <c r="B96" s="436"/>
      <c r="C96" s="437"/>
      <c r="D96" s="434"/>
      <c r="E96" s="93" t="str" cm="1">
        <f t="array" ref="E96">IF(D96&lt;&gt;"",IFERROR(VLOOKUP(D96,Codes!$K$2:$L$409,2,FALSE),"UNKNOWN - "&amp;D96),IF(C96="","",IFERROR(_xlfn.IFS(ISNUMBER(SEARCH("broken button",C96)),"Break",ISNUMBER(SEARCH("broken handle",C96)),"Break",ISNUMBER(SEARCH("shipping damage",C96)),"Break",ISNUMBER(SEARCH("broken",C96)),"Break",ISNUMBER(SEARCH("crack",C96)),"Break",ISNUMBER(SEARCH("snap",C96)),"Break",ISNUMBER(SEARCH("fracture",C96)),"Break",ISNUMBER(SEARCH("bent",C96)),"Material Twisted/Bent",ISNUMBER(SEARCH("twisted",C96)),"Material Twisted/Bent",ISNUMBER(SEARCH("component separat",C96)),"Material Separation",ISNUMBER(SEARCH("separat",C96)),"Material Separation",ISNUMBER(SEARCH("connection",C96)),"Loose or Intermittent Connection",ISNUMBER(SEARCH("loose",C96)),"Loose or Intermittent Connection",ISNUMBER(SEARCH("damaged packaging",C96)),"Packaging Problem",ISNUMBER(SEARCH("packaging",C96)),"Packaging Problem",ISNUMBER(SEARCH("discoloration",C96)),"Contamination",ISNUMBER(SEARCH("tarnish",C96)),"Contamination",ISNUMBER(SEARCH("stain",C96)),"Contamination",ISNUMBER(SEARCH("foreign material",C96)),"Contamination",ISNUMBER(SEARCH("contamina",C96)),"Contamination",ISNUMBER(SEARCH("overheat",C96)),"Overheating of Device",ISNUMBER(SEARCH("excessive heat",C96)),"Overheating of Device",ISNUMBER(SEARCH("hot",C96)),"Overheating of Device",ISNUMBER(SEARCH("noise",C96)),"Noise, Audible",ISNUMBER(SEARCH("sound",C96)),"Noise, Audible",ISNUMBER(SEARCH("loud",C96)),"Noise, Audible",ISNUMBER(SEARCH("fray",C96)),"Material Frayed",ISNUMBER(SEARCH("hole",C96)),"Material Frayed",ISNUMBER(SEARCH("tear",C96)),"Material Frayed",ISNUMBER(SEARCH("worn",C96)),"Material Frayed",ISNUMBER(SEARCH("intermittent",C96)),"Difficult or Delayed Activation",ISNUMBER(SEARCH("delay",C96)),"Difficult or Delayed Activation",ISNUMBER(SEARCH("label",C96)),"Device Markings/Labelling Problem",ISNUMBER(SEARCH("marking",C96)),"Device Markings/Labelling Problem",ISNUMBER(SEARCH("lacerat",C96)),"Defective Device",ISNUMBER(SEARCH("cut",C96)),"Defective Device",ISNUMBER(SEARCH("leak",C96)),"Fluid/Blood Leak",ISNUMBER(SEARCH("missing",C96)),"Component Missing",ISNUMBER(SEARCH("power",C96)),"Complete Loss of Power",ISNUMBER(SEARCH("will not turn on",C96)),"Complete Loss of Power",ISNUMBER(SEARCH("won't turn on",C96)),"Complete Loss of Power",ISNUMBER(SEARCH("does not turn on",C96)),"Complete Loss of Power",ISNUMBER(SEARCH("electrical",C96)),"Electrical Power Problem",ISNUMBER(SEARCH("pressure",C96)),"Detachment of Device or Device Component",ISNUMBER(SEARCH("slip",C96)),"Detachment of Device or Device Component",ISNUMBER(SEARCH("detach",C96)),"Detachment of Device or Device Component",ISNUMBER(SEARCH("stick",C96)),"Mechanical Jam",ISNUMBER(SEARCH("jam",C96)),"Mechanical Jam",ISNUMBER(SEARCH("rigid",C96)),"Mechanical Jam",ISNUMBER(SEARCH("rust",C96)),"Corroded",ISNUMBER(SEARCH("corrod",C96)),"Corroded",ISNUMBER(SEARCH("corrosion",C96)),"Corroded",ISNUMBER(SEARCH("alignment",C96)),"Defective Device",ISNUMBER(SEARCH("adjust",C96)),"Defective Device",ISNUMBER(SEARCH("perform",C96)),"Defective Device",ISNUMBER(SEARCH("malfunction",C96)),"Defective Device",ISNUMBER(SEARCH("defect",C96)),"Defective Device",ISNUMBER(SEARCH("fail",C96)),"Defective Device",ISNUMBER(SEARCH("not work",C96)),"Defective Device",ISNUMBER(SEARCH("doesn't work",C96)),"Defective Device",TRUE,"UNKNOWN"),"UNKNOWN")))</f>
        <v/>
      </c>
      <c r="F96" s="4" t="str">
        <f t="shared" si="1"/>
        <v/>
      </c>
      <c r="G96" s="363" t="str">
        <f>IF(E96="","",IFERROR(VLOOKUP(E96,Codes!$L$2:$N$409,3,FALSE),"—"))</f>
        <v/>
      </c>
      <c r="H96" s="88"/>
      <c r="I96" s="88"/>
    </row>
    <row r="97" spans="1:9" ht="13.15" x14ac:dyDescent="0.35">
      <c r="A97" s="434"/>
      <c r="B97" s="436"/>
      <c r="C97" s="437"/>
      <c r="D97" s="434"/>
      <c r="E97" s="93" t="str" cm="1">
        <f t="array" ref="E97">IF(D97&lt;&gt;"",IFERROR(VLOOKUP(D97,Codes!$K$2:$L$409,2,FALSE),"UNKNOWN - "&amp;D97),IF(C97="","",IFERROR(_xlfn.IFS(ISNUMBER(SEARCH("broken button",C97)),"Break",ISNUMBER(SEARCH("broken handle",C97)),"Break",ISNUMBER(SEARCH("shipping damage",C97)),"Break",ISNUMBER(SEARCH("broken",C97)),"Break",ISNUMBER(SEARCH("crack",C97)),"Break",ISNUMBER(SEARCH("snap",C97)),"Break",ISNUMBER(SEARCH("fracture",C97)),"Break",ISNUMBER(SEARCH("bent",C97)),"Material Twisted/Bent",ISNUMBER(SEARCH("twisted",C97)),"Material Twisted/Bent",ISNUMBER(SEARCH("component separat",C97)),"Material Separation",ISNUMBER(SEARCH("separat",C97)),"Material Separation",ISNUMBER(SEARCH("connection",C97)),"Loose or Intermittent Connection",ISNUMBER(SEARCH("loose",C97)),"Loose or Intermittent Connection",ISNUMBER(SEARCH("damaged packaging",C97)),"Packaging Problem",ISNUMBER(SEARCH("packaging",C97)),"Packaging Problem",ISNUMBER(SEARCH("discoloration",C97)),"Contamination",ISNUMBER(SEARCH("tarnish",C97)),"Contamination",ISNUMBER(SEARCH("stain",C97)),"Contamination",ISNUMBER(SEARCH("foreign material",C97)),"Contamination",ISNUMBER(SEARCH("contamina",C97)),"Contamination",ISNUMBER(SEARCH("overheat",C97)),"Overheating of Device",ISNUMBER(SEARCH("excessive heat",C97)),"Overheating of Device",ISNUMBER(SEARCH("hot",C97)),"Overheating of Device",ISNUMBER(SEARCH("noise",C97)),"Noise, Audible",ISNUMBER(SEARCH("sound",C97)),"Noise, Audible",ISNUMBER(SEARCH("loud",C97)),"Noise, Audible",ISNUMBER(SEARCH("fray",C97)),"Material Frayed",ISNUMBER(SEARCH("hole",C97)),"Material Frayed",ISNUMBER(SEARCH("tear",C97)),"Material Frayed",ISNUMBER(SEARCH("worn",C97)),"Material Frayed",ISNUMBER(SEARCH("intermittent",C97)),"Difficult or Delayed Activation",ISNUMBER(SEARCH("delay",C97)),"Difficult or Delayed Activation",ISNUMBER(SEARCH("label",C97)),"Device Markings/Labelling Problem",ISNUMBER(SEARCH("marking",C97)),"Device Markings/Labelling Problem",ISNUMBER(SEARCH("lacerat",C97)),"Defective Device",ISNUMBER(SEARCH("cut",C97)),"Defective Device",ISNUMBER(SEARCH("leak",C97)),"Fluid/Blood Leak",ISNUMBER(SEARCH("missing",C97)),"Component Missing",ISNUMBER(SEARCH("power",C97)),"Complete Loss of Power",ISNUMBER(SEARCH("will not turn on",C97)),"Complete Loss of Power",ISNUMBER(SEARCH("won't turn on",C97)),"Complete Loss of Power",ISNUMBER(SEARCH("does not turn on",C97)),"Complete Loss of Power",ISNUMBER(SEARCH("electrical",C97)),"Electrical Power Problem",ISNUMBER(SEARCH("pressure",C97)),"Detachment of Device or Device Component",ISNUMBER(SEARCH("slip",C97)),"Detachment of Device or Device Component",ISNUMBER(SEARCH("detach",C97)),"Detachment of Device or Device Component",ISNUMBER(SEARCH("stick",C97)),"Mechanical Jam",ISNUMBER(SEARCH("jam",C97)),"Mechanical Jam",ISNUMBER(SEARCH("rigid",C97)),"Mechanical Jam",ISNUMBER(SEARCH("rust",C97)),"Corroded",ISNUMBER(SEARCH("corrod",C97)),"Corroded",ISNUMBER(SEARCH("corrosion",C97)),"Corroded",ISNUMBER(SEARCH("alignment",C97)),"Defective Device",ISNUMBER(SEARCH("adjust",C97)),"Defective Device",ISNUMBER(SEARCH("perform",C97)),"Defective Device",ISNUMBER(SEARCH("malfunction",C97)),"Defective Device",ISNUMBER(SEARCH("defect",C97)),"Defective Device",ISNUMBER(SEARCH("fail",C97)),"Defective Device",ISNUMBER(SEARCH("not work",C97)),"Defective Device",ISNUMBER(SEARCH("doesn't work",C97)),"Defective Device",TRUE,"UNKNOWN"),"UNKNOWN")))</f>
        <v/>
      </c>
      <c r="F97" s="4" t="str">
        <f t="shared" si="1"/>
        <v/>
      </c>
      <c r="G97" s="363" t="str">
        <f>IF(E97="","",IFERROR(VLOOKUP(E97,Codes!$L$2:$N$409,3,FALSE),"—"))</f>
        <v/>
      </c>
      <c r="H97" s="88"/>
      <c r="I97" s="88"/>
    </row>
    <row r="98" spans="1:9" ht="13.15" x14ac:dyDescent="0.35">
      <c r="A98" s="435"/>
      <c r="B98" s="436"/>
      <c r="C98" s="438"/>
      <c r="D98" s="435"/>
      <c r="E98" s="93" t="str" cm="1">
        <f t="array" ref="E98">IF(D98&lt;&gt;"",IFERROR(VLOOKUP(D98,Codes!$K$2:$L$409,2,FALSE),"UNKNOWN - "&amp;D98),IF(C98="","",IFERROR(_xlfn.IFS(ISNUMBER(SEARCH("broken button",C98)),"Break",ISNUMBER(SEARCH("broken handle",C98)),"Break",ISNUMBER(SEARCH("shipping damage",C98)),"Break",ISNUMBER(SEARCH("broken",C98)),"Break",ISNUMBER(SEARCH("crack",C98)),"Break",ISNUMBER(SEARCH("snap",C98)),"Break",ISNUMBER(SEARCH("fracture",C98)),"Break",ISNUMBER(SEARCH("bent",C98)),"Material Twisted/Bent",ISNUMBER(SEARCH("twisted",C98)),"Material Twisted/Bent",ISNUMBER(SEARCH("component separat",C98)),"Material Separation",ISNUMBER(SEARCH("separat",C98)),"Material Separation",ISNUMBER(SEARCH("connection",C98)),"Loose or Intermittent Connection",ISNUMBER(SEARCH("loose",C98)),"Loose or Intermittent Connection",ISNUMBER(SEARCH("damaged packaging",C98)),"Packaging Problem",ISNUMBER(SEARCH("packaging",C98)),"Packaging Problem",ISNUMBER(SEARCH("discoloration",C98)),"Contamination",ISNUMBER(SEARCH("tarnish",C98)),"Contamination",ISNUMBER(SEARCH("stain",C98)),"Contamination",ISNUMBER(SEARCH("foreign material",C98)),"Contamination",ISNUMBER(SEARCH("contamina",C98)),"Contamination",ISNUMBER(SEARCH("overheat",C98)),"Overheating of Device",ISNUMBER(SEARCH("excessive heat",C98)),"Overheating of Device",ISNUMBER(SEARCH("hot",C98)),"Overheating of Device",ISNUMBER(SEARCH("noise",C98)),"Noise, Audible",ISNUMBER(SEARCH("sound",C98)),"Noise, Audible",ISNUMBER(SEARCH("loud",C98)),"Noise, Audible",ISNUMBER(SEARCH("fray",C98)),"Material Frayed",ISNUMBER(SEARCH("hole",C98)),"Material Frayed",ISNUMBER(SEARCH("tear",C98)),"Material Frayed",ISNUMBER(SEARCH("worn",C98)),"Material Frayed",ISNUMBER(SEARCH("intermittent",C98)),"Difficult or Delayed Activation",ISNUMBER(SEARCH("delay",C98)),"Difficult or Delayed Activation",ISNUMBER(SEARCH("label",C98)),"Device Markings/Labelling Problem",ISNUMBER(SEARCH("marking",C98)),"Device Markings/Labelling Problem",ISNUMBER(SEARCH("lacerat",C98)),"Defective Device",ISNUMBER(SEARCH("cut",C98)),"Defective Device",ISNUMBER(SEARCH("leak",C98)),"Fluid/Blood Leak",ISNUMBER(SEARCH("missing",C98)),"Component Missing",ISNUMBER(SEARCH("power",C98)),"Complete Loss of Power",ISNUMBER(SEARCH("will not turn on",C98)),"Complete Loss of Power",ISNUMBER(SEARCH("won't turn on",C98)),"Complete Loss of Power",ISNUMBER(SEARCH("does not turn on",C98)),"Complete Loss of Power",ISNUMBER(SEARCH("electrical",C98)),"Electrical Power Problem",ISNUMBER(SEARCH("pressure",C98)),"Detachment of Device or Device Component",ISNUMBER(SEARCH("slip",C98)),"Detachment of Device or Device Component",ISNUMBER(SEARCH("detach",C98)),"Detachment of Device or Device Component",ISNUMBER(SEARCH("stick",C98)),"Mechanical Jam",ISNUMBER(SEARCH("jam",C98)),"Mechanical Jam",ISNUMBER(SEARCH("rigid",C98)),"Mechanical Jam",ISNUMBER(SEARCH("rust",C98)),"Corroded",ISNUMBER(SEARCH("corrod",C98)),"Corroded",ISNUMBER(SEARCH("corrosion",C98)),"Corroded",ISNUMBER(SEARCH("alignment",C98)),"Defective Device",ISNUMBER(SEARCH("adjust",C98)),"Defective Device",ISNUMBER(SEARCH("perform",C98)),"Defective Device",ISNUMBER(SEARCH("malfunction",C98)),"Defective Device",ISNUMBER(SEARCH("defect",C98)),"Defective Device",ISNUMBER(SEARCH("fail",C98)),"Defective Device",ISNUMBER(SEARCH("not work",C98)),"Defective Device",ISNUMBER(SEARCH("doesn't work",C98)),"Defective Device",TRUE,"UNKNOWN"),"UNKNOWN")))</f>
        <v/>
      </c>
      <c r="F98" s="4" t="str">
        <f t="shared" si="1"/>
        <v/>
      </c>
      <c r="G98" s="363" t="str">
        <f>IF(E98="","",IFERROR(VLOOKUP(E98,Codes!$L$2:$N$409,3,FALSE),"—"))</f>
        <v/>
      </c>
      <c r="H98" s="88"/>
      <c r="I98" s="88"/>
    </row>
    <row r="99" spans="1:9" ht="13.15" x14ac:dyDescent="0.35">
      <c r="A99" s="434"/>
      <c r="B99" s="436"/>
      <c r="C99" s="437"/>
      <c r="D99" s="434"/>
      <c r="E99" s="93" t="str" cm="1">
        <f t="array" ref="E99">IF(D99&lt;&gt;"",IFERROR(VLOOKUP(D99,Codes!$K$2:$L$409,2,FALSE),"UNKNOWN - "&amp;D99),IF(C99="","",IFERROR(_xlfn.IFS(ISNUMBER(SEARCH("broken button",C99)),"Break",ISNUMBER(SEARCH("broken handle",C99)),"Break",ISNUMBER(SEARCH("shipping damage",C99)),"Break",ISNUMBER(SEARCH("broken",C99)),"Break",ISNUMBER(SEARCH("crack",C99)),"Break",ISNUMBER(SEARCH("snap",C99)),"Break",ISNUMBER(SEARCH("fracture",C99)),"Break",ISNUMBER(SEARCH("bent",C99)),"Material Twisted/Bent",ISNUMBER(SEARCH("twisted",C99)),"Material Twisted/Bent",ISNUMBER(SEARCH("component separat",C99)),"Material Separation",ISNUMBER(SEARCH("separat",C99)),"Material Separation",ISNUMBER(SEARCH("connection",C99)),"Loose or Intermittent Connection",ISNUMBER(SEARCH("loose",C99)),"Loose or Intermittent Connection",ISNUMBER(SEARCH("damaged packaging",C99)),"Packaging Problem",ISNUMBER(SEARCH("packaging",C99)),"Packaging Problem",ISNUMBER(SEARCH("discoloration",C99)),"Contamination",ISNUMBER(SEARCH("tarnish",C99)),"Contamination",ISNUMBER(SEARCH("stain",C99)),"Contamination",ISNUMBER(SEARCH("foreign material",C99)),"Contamination",ISNUMBER(SEARCH("contamina",C99)),"Contamination",ISNUMBER(SEARCH("overheat",C99)),"Overheating of Device",ISNUMBER(SEARCH("excessive heat",C99)),"Overheating of Device",ISNUMBER(SEARCH("hot",C99)),"Overheating of Device",ISNUMBER(SEARCH("noise",C99)),"Noise, Audible",ISNUMBER(SEARCH("sound",C99)),"Noise, Audible",ISNUMBER(SEARCH("loud",C99)),"Noise, Audible",ISNUMBER(SEARCH("fray",C99)),"Material Frayed",ISNUMBER(SEARCH("hole",C99)),"Material Frayed",ISNUMBER(SEARCH("tear",C99)),"Material Frayed",ISNUMBER(SEARCH("worn",C99)),"Material Frayed",ISNUMBER(SEARCH("intermittent",C99)),"Difficult or Delayed Activation",ISNUMBER(SEARCH("delay",C99)),"Difficult or Delayed Activation",ISNUMBER(SEARCH("label",C99)),"Device Markings/Labelling Problem",ISNUMBER(SEARCH("marking",C99)),"Device Markings/Labelling Problem",ISNUMBER(SEARCH("lacerat",C99)),"Defective Device",ISNUMBER(SEARCH("cut",C99)),"Defective Device",ISNUMBER(SEARCH("leak",C99)),"Fluid/Blood Leak",ISNUMBER(SEARCH("missing",C99)),"Component Missing",ISNUMBER(SEARCH("power",C99)),"Complete Loss of Power",ISNUMBER(SEARCH("will not turn on",C99)),"Complete Loss of Power",ISNUMBER(SEARCH("won't turn on",C99)),"Complete Loss of Power",ISNUMBER(SEARCH("does not turn on",C99)),"Complete Loss of Power",ISNUMBER(SEARCH("electrical",C99)),"Electrical Power Problem",ISNUMBER(SEARCH("pressure",C99)),"Detachment of Device or Device Component",ISNUMBER(SEARCH("slip",C99)),"Detachment of Device or Device Component",ISNUMBER(SEARCH("detach",C99)),"Detachment of Device or Device Component",ISNUMBER(SEARCH("stick",C99)),"Mechanical Jam",ISNUMBER(SEARCH("jam",C99)),"Mechanical Jam",ISNUMBER(SEARCH("rigid",C99)),"Mechanical Jam",ISNUMBER(SEARCH("rust",C99)),"Corroded",ISNUMBER(SEARCH("corrod",C99)),"Corroded",ISNUMBER(SEARCH("corrosion",C99)),"Corroded",ISNUMBER(SEARCH("alignment",C99)),"Defective Device",ISNUMBER(SEARCH("adjust",C99)),"Defective Device",ISNUMBER(SEARCH("perform",C99)),"Defective Device",ISNUMBER(SEARCH("malfunction",C99)),"Defective Device",ISNUMBER(SEARCH("defect",C99)),"Defective Device",ISNUMBER(SEARCH("fail",C99)),"Defective Device",ISNUMBER(SEARCH("not work",C99)),"Defective Device",ISNUMBER(SEARCH("doesn't work",C99)),"Defective Device",TRUE,"UNKNOWN"),"UNKNOWN")))</f>
        <v/>
      </c>
      <c r="F99" s="4" t="str">
        <f t="shared" si="1"/>
        <v/>
      </c>
      <c r="G99" s="363" t="str">
        <f>IF(E99="","",IFERROR(VLOOKUP(E99,Codes!$L$2:$N$409,3,FALSE),"—"))</f>
        <v/>
      </c>
      <c r="H99" s="88"/>
      <c r="I99" s="88"/>
    </row>
    <row r="100" spans="1:9" ht="13.15" x14ac:dyDescent="0.35">
      <c r="A100" s="434"/>
      <c r="B100" s="436"/>
      <c r="C100" s="437"/>
      <c r="D100" s="434"/>
      <c r="E100" s="93" t="str" cm="1">
        <f t="array" ref="E100">IF(D100&lt;&gt;"",IFERROR(VLOOKUP(D100,Codes!$K$2:$L$409,2,FALSE),"UNKNOWN - "&amp;D100),IF(C100="","",IFERROR(_xlfn.IFS(ISNUMBER(SEARCH("broken button",C100)),"Break",ISNUMBER(SEARCH("broken handle",C100)),"Break",ISNUMBER(SEARCH("shipping damage",C100)),"Break",ISNUMBER(SEARCH("broken",C100)),"Break",ISNUMBER(SEARCH("crack",C100)),"Break",ISNUMBER(SEARCH("snap",C100)),"Break",ISNUMBER(SEARCH("fracture",C100)),"Break",ISNUMBER(SEARCH("bent",C100)),"Material Twisted/Bent",ISNUMBER(SEARCH("twisted",C100)),"Material Twisted/Bent",ISNUMBER(SEARCH("component separat",C100)),"Material Separation",ISNUMBER(SEARCH("separat",C100)),"Material Separation",ISNUMBER(SEARCH("connection",C100)),"Loose or Intermittent Connection",ISNUMBER(SEARCH("loose",C100)),"Loose or Intermittent Connection",ISNUMBER(SEARCH("damaged packaging",C100)),"Packaging Problem",ISNUMBER(SEARCH("packaging",C100)),"Packaging Problem",ISNUMBER(SEARCH("discoloration",C100)),"Contamination",ISNUMBER(SEARCH("tarnish",C100)),"Contamination",ISNUMBER(SEARCH("stain",C100)),"Contamination",ISNUMBER(SEARCH("foreign material",C100)),"Contamination",ISNUMBER(SEARCH("contamina",C100)),"Contamination",ISNUMBER(SEARCH("overheat",C100)),"Overheating of Device",ISNUMBER(SEARCH("excessive heat",C100)),"Overheating of Device",ISNUMBER(SEARCH("hot",C100)),"Overheating of Device",ISNUMBER(SEARCH("noise",C100)),"Noise, Audible",ISNUMBER(SEARCH("sound",C100)),"Noise, Audible",ISNUMBER(SEARCH("loud",C100)),"Noise, Audible",ISNUMBER(SEARCH("fray",C100)),"Material Frayed",ISNUMBER(SEARCH("hole",C100)),"Material Frayed",ISNUMBER(SEARCH("tear",C100)),"Material Frayed",ISNUMBER(SEARCH("worn",C100)),"Material Frayed",ISNUMBER(SEARCH("intermittent",C100)),"Difficult or Delayed Activation",ISNUMBER(SEARCH("delay",C100)),"Difficult or Delayed Activation",ISNUMBER(SEARCH("label",C100)),"Device Markings/Labelling Problem",ISNUMBER(SEARCH("marking",C100)),"Device Markings/Labelling Problem",ISNUMBER(SEARCH("lacerat",C100)),"Defective Device",ISNUMBER(SEARCH("cut",C100)),"Defective Device",ISNUMBER(SEARCH("leak",C100)),"Fluid/Blood Leak",ISNUMBER(SEARCH("missing",C100)),"Component Missing",ISNUMBER(SEARCH("power",C100)),"Complete Loss of Power",ISNUMBER(SEARCH("will not turn on",C100)),"Complete Loss of Power",ISNUMBER(SEARCH("won't turn on",C100)),"Complete Loss of Power",ISNUMBER(SEARCH("does not turn on",C100)),"Complete Loss of Power",ISNUMBER(SEARCH("electrical",C100)),"Electrical Power Problem",ISNUMBER(SEARCH("pressure",C100)),"Detachment of Device or Device Component",ISNUMBER(SEARCH("slip",C100)),"Detachment of Device or Device Component",ISNUMBER(SEARCH("detach",C100)),"Detachment of Device or Device Component",ISNUMBER(SEARCH("stick",C100)),"Mechanical Jam",ISNUMBER(SEARCH("jam",C100)),"Mechanical Jam",ISNUMBER(SEARCH("rigid",C100)),"Mechanical Jam",ISNUMBER(SEARCH("rust",C100)),"Corroded",ISNUMBER(SEARCH("corrod",C100)),"Corroded",ISNUMBER(SEARCH("corrosion",C100)),"Corroded",ISNUMBER(SEARCH("alignment",C100)),"Defective Device",ISNUMBER(SEARCH("adjust",C100)),"Defective Device",ISNUMBER(SEARCH("perform",C100)),"Defective Device",ISNUMBER(SEARCH("malfunction",C100)),"Defective Device",ISNUMBER(SEARCH("defect",C100)),"Defective Device",ISNUMBER(SEARCH("fail",C100)),"Defective Device",ISNUMBER(SEARCH("not work",C100)),"Defective Device",ISNUMBER(SEARCH("doesn't work",C100)),"Defective Device",TRUE,"UNKNOWN"),"UNKNOWN")))</f>
        <v/>
      </c>
      <c r="F100" s="4" t="str">
        <f t="shared" si="1"/>
        <v/>
      </c>
      <c r="G100" s="363" t="str">
        <f>IF(E100="","",IFERROR(VLOOKUP(E100,Codes!$L$2:$N$409,3,FALSE),"—"))</f>
        <v/>
      </c>
      <c r="H100" s="88"/>
      <c r="I100" s="88"/>
    </row>
    <row r="101" spans="1:9" ht="13.15" x14ac:dyDescent="0.35">
      <c r="A101" s="435"/>
      <c r="B101" s="436"/>
      <c r="C101" s="438"/>
      <c r="D101" s="435"/>
      <c r="E101" s="93" t="str" cm="1">
        <f t="array" ref="E101">IF(D101&lt;&gt;"",IFERROR(VLOOKUP(D101,Codes!$K$2:$L$409,2,FALSE),"UNKNOWN - "&amp;D101),IF(C101="","",IFERROR(_xlfn.IFS(ISNUMBER(SEARCH("broken button",C101)),"Break",ISNUMBER(SEARCH("broken handle",C101)),"Break",ISNUMBER(SEARCH("shipping damage",C101)),"Break",ISNUMBER(SEARCH("broken",C101)),"Break",ISNUMBER(SEARCH("crack",C101)),"Break",ISNUMBER(SEARCH("snap",C101)),"Break",ISNUMBER(SEARCH("fracture",C101)),"Break",ISNUMBER(SEARCH("bent",C101)),"Material Twisted/Bent",ISNUMBER(SEARCH("twisted",C101)),"Material Twisted/Bent",ISNUMBER(SEARCH("component separat",C101)),"Material Separation",ISNUMBER(SEARCH("separat",C101)),"Material Separation",ISNUMBER(SEARCH("connection",C101)),"Loose or Intermittent Connection",ISNUMBER(SEARCH("loose",C101)),"Loose or Intermittent Connection",ISNUMBER(SEARCH("damaged packaging",C101)),"Packaging Problem",ISNUMBER(SEARCH("packaging",C101)),"Packaging Problem",ISNUMBER(SEARCH("discoloration",C101)),"Contamination",ISNUMBER(SEARCH("tarnish",C101)),"Contamination",ISNUMBER(SEARCH("stain",C101)),"Contamination",ISNUMBER(SEARCH("foreign material",C101)),"Contamination",ISNUMBER(SEARCH("contamina",C101)),"Contamination",ISNUMBER(SEARCH("overheat",C101)),"Overheating of Device",ISNUMBER(SEARCH("excessive heat",C101)),"Overheating of Device",ISNUMBER(SEARCH("hot",C101)),"Overheating of Device",ISNUMBER(SEARCH("noise",C101)),"Noise, Audible",ISNUMBER(SEARCH("sound",C101)),"Noise, Audible",ISNUMBER(SEARCH("loud",C101)),"Noise, Audible",ISNUMBER(SEARCH("fray",C101)),"Material Frayed",ISNUMBER(SEARCH("hole",C101)),"Material Frayed",ISNUMBER(SEARCH("tear",C101)),"Material Frayed",ISNUMBER(SEARCH("worn",C101)),"Material Frayed",ISNUMBER(SEARCH("intermittent",C101)),"Difficult or Delayed Activation",ISNUMBER(SEARCH("delay",C101)),"Difficult or Delayed Activation",ISNUMBER(SEARCH("label",C101)),"Device Markings/Labelling Problem",ISNUMBER(SEARCH("marking",C101)),"Device Markings/Labelling Problem",ISNUMBER(SEARCH("lacerat",C101)),"Defective Device",ISNUMBER(SEARCH("cut",C101)),"Defective Device",ISNUMBER(SEARCH("leak",C101)),"Fluid/Blood Leak",ISNUMBER(SEARCH("missing",C101)),"Component Missing",ISNUMBER(SEARCH("power",C101)),"Complete Loss of Power",ISNUMBER(SEARCH("will not turn on",C101)),"Complete Loss of Power",ISNUMBER(SEARCH("won't turn on",C101)),"Complete Loss of Power",ISNUMBER(SEARCH("does not turn on",C101)),"Complete Loss of Power",ISNUMBER(SEARCH("electrical",C101)),"Electrical Power Problem",ISNUMBER(SEARCH("pressure",C101)),"Detachment of Device or Device Component",ISNUMBER(SEARCH("slip",C101)),"Detachment of Device or Device Component",ISNUMBER(SEARCH("detach",C101)),"Detachment of Device or Device Component",ISNUMBER(SEARCH("stick",C101)),"Mechanical Jam",ISNUMBER(SEARCH("jam",C101)),"Mechanical Jam",ISNUMBER(SEARCH("rigid",C101)),"Mechanical Jam",ISNUMBER(SEARCH("rust",C101)),"Corroded",ISNUMBER(SEARCH("corrod",C101)),"Corroded",ISNUMBER(SEARCH("corrosion",C101)),"Corroded",ISNUMBER(SEARCH("alignment",C101)),"Defective Device",ISNUMBER(SEARCH("adjust",C101)),"Defective Device",ISNUMBER(SEARCH("perform",C101)),"Defective Device",ISNUMBER(SEARCH("malfunction",C101)),"Defective Device",ISNUMBER(SEARCH("defect",C101)),"Defective Device",ISNUMBER(SEARCH("fail",C101)),"Defective Device",ISNUMBER(SEARCH("not work",C101)),"Defective Device",ISNUMBER(SEARCH("doesn't work",C101)),"Defective Device",TRUE,"UNKNOWN"),"UNKNOWN")))</f>
        <v/>
      </c>
      <c r="F101" s="4" t="str">
        <f t="shared" si="1"/>
        <v/>
      </c>
      <c r="G101" s="363" t="str">
        <f>IF(E101="","",IFERROR(VLOOKUP(E101,Codes!$L$2:$N$409,3,FALSE),"—"))</f>
        <v/>
      </c>
      <c r="H101" s="88"/>
      <c r="I101" s="88"/>
    </row>
    <row r="102" spans="1:9" ht="13.15" x14ac:dyDescent="0.35">
      <c r="A102" s="435"/>
      <c r="B102" s="436"/>
      <c r="C102" s="438"/>
      <c r="D102" s="435"/>
      <c r="E102" s="93" t="str" cm="1">
        <f t="array" ref="E102">IF(D102&lt;&gt;"",IFERROR(VLOOKUP(D102,Codes!$K$2:$L$409,2,FALSE),"UNKNOWN - "&amp;D102),IF(C102="","",IFERROR(_xlfn.IFS(ISNUMBER(SEARCH("broken button",C102)),"Break",ISNUMBER(SEARCH("broken handle",C102)),"Break",ISNUMBER(SEARCH("shipping damage",C102)),"Break",ISNUMBER(SEARCH("broken",C102)),"Break",ISNUMBER(SEARCH("crack",C102)),"Break",ISNUMBER(SEARCH("snap",C102)),"Break",ISNUMBER(SEARCH("fracture",C102)),"Break",ISNUMBER(SEARCH("bent",C102)),"Material Twisted/Bent",ISNUMBER(SEARCH("twisted",C102)),"Material Twisted/Bent",ISNUMBER(SEARCH("component separat",C102)),"Material Separation",ISNUMBER(SEARCH("separat",C102)),"Material Separation",ISNUMBER(SEARCH("connection",C102)),"Loose or Intermittent Connection",ISNUMBER(SEARCH("loose",C102)),"Loose or Intermittent Connection",ISNUMBER(SEARCH("damaged packaging",C102)),"Packaging Problem",ISNUMBER(SEARCH("packaging",C102)),"Packaging Problem",ISNUMBER(SEARCH("discoloration",C102)),"Contamination",ISNUMBER(SEARCH("tarnish",C102)),"Contamination",ISNUMBER(SEARCH("stain",C102)),"Contamination",ISNUMBER(SEARCH("foreign material",C102)),"Contamination",ISNUMBER(SEARCH("contamina",C102)),"Contamination",ISNUMBER(SEARCH("overheat",C102)),"Overheating of Device",ISNUMBER(SEARCH("excessive heat",C102)),"Overheating of Device",ISNUMBER(SEARCH("hot",C102)),"Overheating of Device",ISNUMBER(SEARCH("noise",C102)),"Noise, Audible",ISNUMBER(SEARCH("sound",C102)),"Noise, Audible",ISNUMBER(SEARCH("loud",C102)),"Noise, Audible",ISNUMBER(SEARCH("fray",C102)),"Material Frayed",ISNUMBER(SEARCH("hole",C102)),"Material Frayed",ISNUMBER(SEARCH("tear",C102)),"Material Frayed",ISNUMBER(SEARCH("worn",C102)),"Material Frayed",ISNUMBER(SEARCH("intermittent",C102)),"Difficult or Delayed Activation",ISNUMBER(SEARCH("delay",C102)),"Difficult or Delayed Activation",ISNUMBER(SEARCH("label",C102)),"Device Markings/Labelling Problem",ISNUMBER(SEARCH("marking",C102)),"Device Markings/Labelling Problem",ISNUMBER(SEARCH("lacerat",C102)),"Defective Device",ISNUMBER(SEARCH("cut",C102)),"Defective Device",ISNUMBER(SEARCH("leak",C102)),"Fluid/Blood Leak",ISNUMBER(SEARCH("missing",C102)),"Component Missing",ISNUMBER(SEARCH("power",C102)),"Complete Loss of Power",ISNUMBER(SEARCH("will not turn on",C102)),"Complete Loss of Power",ISNUMBER(SEARCH("won't turn on",C102)),"Complete Loss of Power",ISNUMBER(SEARCH("does not turn on",C102)),"Complete Loss of Power",ISNUMBER(SEARCH("electrical",C102)),"Electrical Power Problem",ISNUMBER(SEARCH("pressure",C102)),"Detachment of Device or Device Component",ISNUMBER(SEARCH("slip",C102)),"Detachment of Device or Device Component",ISNUMBER(SEARCH("detach",C102)),"Detachment of Device or Device Component",ISNUMBER(SEARCH("stick",C102)),"Mechanical Jam",ISNUMBER(SEARCH("jam",C102)),"Mechanical Jam",ISNUMBER(SEARCH("rigid",C102)),"Mechanical Jam",ISNUMBER(SEARCH("rust",C102)),"Corroded",ISNUMBER(SEARCH("corrod",C102)),"Corroded",ISNUMBER(SEARCH("corrosion",C102)),"Corroded",ISNUMBER(SEARCH("alignment",C102)),"Defective Device",ISNUMBER(SEARCH("adjust",C102)),"Defective Device",ISNUMBER(SEARCH("perform",C102)),"Defective Device",ISNUMBER(SEARCH("malfunction",C102)),"Defective Device",ISNUMBER(SEARCH("defect",C102)),"Defective Device",ISNUMBER(SEARCH("fail",C102)),"Defective Device",ISNUMBER(SEARCH("not work",C102)),"Defective Device",ISNUMBER(SEARCH("doesn't work",C102)),"Defective Device",TRUE,"UNKNOWN"),"UNKNOWN")))</f>
        <v/>
      </c>
      <c r="F102" s="4" t="str">
        <f t="shared" si="1"/>
        <v/>
      </c>
      <c r="G102" s="363" t="str">
        <f>IF(E102="","",IFERROR(VLOOKUP(E102,Codes!$L$2:$N$409,3,FALSE),"—"))</f>
        <v/>
      </c>
      <c r="H102" s="88"/>
      <c r="I102" s="88"/>
    </row>
    <row r="103" spans="1:9" ht="13.15" x14ac:dyDescent="0.35">
      <c r="A103" s="434"/>
      <c r="B103" s="436"/>
      <c r="C103" s="437"/>
      <c r="D103" s="434"/>
      <c r="E103" s="93" t="str" cm="1">
        <f t="array" ref="E103">IF(D103&lt;&gt;"",IFERROR(VLOOKUP(D103,Codes!$K$2:$L$409,2,FALSE),"UNKNOWN - "&amp;D103),IF(C103="","",IFERROR(_xlfn.IFS(ISNUMBER(SEARCH("broken button",C103)),"Break",ISNUMBER(SEARCH("broken handle",C103)),"Break",ISNUMBER(SEARCH("shipping damage",C103)),"Break",ISNUMBER(SEARCH("broken",C103)),"Break",ISNUMBER(SEARCH("crack",C103)),"Break",ISNUMBER(SEARCH("snap",C103)),"Break",ISNUMBER(SEARCH("fracture",C103)),"Break",ISNUMBER(SEARCH("bent",C103)),"Material Twisted/Bent",ISNUMBER(SEARCH("twisted",C103)),"Material Twisted/Bent",ISNUMBER(SEARCH("component separat",C103)),"Material Separation",ISNUMBER(SEARCH("separat",C103)),"Material Separation",ISNUMBER(SEARCH("connection",C103)),"Loose or Intermittent Connection",ISNUMBER(SEARCH("loose",C103)),"Loose or Intermittent Connection",ISNUMBER(SEARCH("damaged packaging",C103)),"Packaging Problem",ISNUMBER(SEARCH("packaging",C103)),"Packaging Problem",ISNUMBER(SEARCH("discoloration",C103)),"Contamination",ISNUMBER(SEARCH("tarnish",C103)),"Contamination",ISNUMBER(SEARCH("stain",C103)),"Contamination",ISNUMBER(SEARCH("foreign material",C103)),"Contamination",ISNUMBER(SEARCH("contamina",C103)),"Contamination",ISNUMBER(SEARCH("overheat",C103)),"Overheating of Device",ISNUMBER(SEARCH("excessive heat",C103)),"Overheating of Device",ISNUMBER(SEARCH("hot",C103)),"Overheating of Device",ISNUMBER(SEARCH("noise",C103)),"Noise, Audible",ISNUMBER(SEARCH("sound",C103)),"Noise, Audible",ISNUMBER(SEARCH("loud",C103)),"Noise, Audible",ISNUMBER(SEARCH("fray",C103)),"Material Frayed",ISNUMBER(SEARCH("hole",C103)),"Material Frayed",ISNUMBER(SEARCH("tear",C103)),"Material Frayed",ISNUMBER(SEARCH("worn",C103)),"Material Frayed",ISNUMBER(SEARCH("intermittent",C103)),"Difficult or Delayed Activation",ISNUMBER(SEARCH("delay",C103)),"Difficult or Delayed Activation",ISNUMBER(SEARCH("label",C103)),"Device Markings/Labelling Problem",ISNUMBER(SEARCH("marking",C103)),"Device Markings/Labelling Problem",ISNUMBER(SEARCH("lacerat",C103)),"Defective Device",ISNUMBER(SEARCH("cut",C103)),"Defective Device",ISNUMBER(SEARCH("leak",C103)),"Fluid/Blood Leak",ISNUMBER(SEARCH("missing",C103)),"Component Missing",ISNUMBER(SEARCH("power",C103)),"Complete Loss of Power",ISNUMBER(SEARCH("will not turn on",C103)),"Complete Loss of Power",ISNUMBER(SEARCH("won't turn on",C103)),"Complete Loss of Power",ISNUMBER(SEARCH("does not turn on",C103)),"Complete Loss of Power",ISNUMBER(SEARCH("electrical",C103)),"Electrical Power Problem",ISNUMBER(SEARCH("pressure",C103)),"Detachment of Device or Device Component",ISNUMBER(SEARCH("slip",C103)),"Detachment of Device or Device Component",ISNUMBER(SEARCH("detach",C103)),"Detachment of Device or Device Component",ISNUMBER(SEARCH("stick",C103)),"Mechanical Jam",ISNUMBER(SEARCH("jam",C103)),"Mechanical Jam",ISNUMBER(SEARCH("rigid",C103)),"Mechanical Jam",ISNUMBER(SEARCH("rust",C103)),"Corroded",ISNUMBER(SEARCH("corrod",C103)),"Corroded",ISNUMBER(SEARCH("corrosion",C103)),"Corroded",ISNUMBER(SEARCH("alignment",C103)),"Defective Device",ISNUMBER(SEARCH("adjust",C103)),"Defective Device",ISNUMBER(SEARCH("perform",C103)),"Defective Device",ISNUMBER(SEARCH("malfunction",C103)),"Defective Device",ISNUMBER(SEARCH("defect",C103)),"Defective Device",ISNUMBER(SEARCH("fail",C103)),"Defective Device",ISNUMBER(SEARCH("not work",C103)),"Defective Device",ISNUMBER(SEARCH("doesn't work",C103)),"Defective Device",TRUE,"UNKNOWN"),"UNKNOWN")))</f>
        <v/>
      </c>
      <c r="F103" s="4" t="str">
        <f t="shared" si="1"/>
        <v/>
      </c>
      <c r="G103" s="363" t="str">
        <f>IF(E103="","",IFERROR(VLOOKUP(E103,Codes!$L$2:$N$409,3,FALSE),"—"))</f>
        <v/>
      </c>
      <c r="H103" s="88"/>
      <c r="I103" s="88"/>
    </row>
    <row r="104" spans="1:9" ht="13.15" x14ac:dyDescent="0.35">
      <c r="A104" s="435"/>
      <c r="B104" s="436"/>
      <c r="C104" s="438"/>
      <c r="D104" s="435"/>
      <c r="E104" s="93" t="str" cm="1">
        <f t="array" ref="E104">IF(D104&lt;&gt;"",IFERROR(VLOOKUP(D104,Codes!$K$2:$L$409,2,FALSE),"UNKNOWN - "&amp;D104),IF(C104="","",IFERROR(_xlfn.IFS(ISNUMBER(SEARCH("broken button",C104)),"Break",ISNUMBER(SEARCH("broken handle",C104)),"Break",ISNUMBER(SEARCH("shipping damage",C104)),"Break",ISNUMBER(SEARCH("broken",C104)),"Break",ISNUMBER(SEARCH("crack",C104)),"Break",ISNUMBER(SEARCH("snap",C104)),"Break",ISNUMBER(SEARCH("fracture",C104)),"Break",ISNUMBER(SEARCH("bent",C104)),"Material Twisted/Bent",ISNUMBER(SEARCH("twisted",C104)),"Material Twisted/Bent",ISNUMBER(SEARCH("component separat",C104)),"Material Separation",ISNUMBER(SEARCH("separat",C104)),"Material Separation",ISNUMBER(SEARCH("connection",C104)),"Loose or Intermittent Connection",ISNUMBER(SEARCH("loose",C104)),"Loose or Intermittent Connection",ISNUMBER(SEARCH("damaged packaging",C104)),"Packaging Problem",ISNUMBER(SEARCH("packaging",C104)),"Packaging Problem",ISNUMBER(SEARCH("discoloration",C104)),"Contamination",ISNUMBER(SEARCH("tarnish",C104)),"Contamination",ISNUMBER(SEARCH("stain",C104)),"Contamination",ISNUMBER(SEARCH("foreign material",C104)),"Contamination",ISNUMBER(SEARCH("contamina",C104)),"Contamination",ISNUMBER(SEARCH("overheat",C104)),"Overheating of Device",ISNUMBER(SEARCH("excessive heat",C104)),"Overheating of Device",ISNUMBER(SEARCH("hot",C104)),"Overheating of Device",ISNUMBER(SEARCH("noise",C104)),"Noise, Audible",ISNUMBER(SEARCH("sound",C104)),"Noise, Audible",ISNUMBER(SEARCH("loud",C104)),"Noise, Audible",ISNUMBER(SEARCH("fray",C104)),"Material Frayed",ISNUMBER(SEARCH("hole",C104)),"Material Frayed",ISNUMBER(SEARCH("tear",C104)),"Material Frayed",ISNUMBER(SEARCH("worn",C104)),"Material Frayed",ISNUMBER(SEARCH("intermittent",C104)),"Difficult or Delayed Activation",ISNUMBER(SEARCH("delay",C104)),"Difficult or Delayed Activation",ISNUMBER(SEARCH("label",C104)),"Device Markings/Labelling Problem",ISNUMBER(SEARCH("marking",C104)),"Device Markings/Labelling Problem",ISNUMBER(SEARCH("lacerat",C104)),"Defective Device",ISNUMBER(SEARCH("cut",C104)),"Defective Device",ISNUMBER(SEARCH("leak",C104)),"Fluid/Blood Leak",ISNUMBER(SEARCH("missing",C104)),"Component Missing",ISNUMBER(SEARCH("power",C104)),"Complete Loss of Power",ISNUMBER(SEARCH("will not turn on",C104)),"Complete Loss of Power",ISNUMBER(SEARCH("won't turn on",C104)),"Complete Loss of Power",ISNUMBER(SEARCH("does not turn on",C104)),"Complete Loss of Power",ISNUMBER(SEARCH("electrical",C104)),"Electrical Power Problem",ISNUMBER(SEARCH("pressure",C104)),"Detachment of Device or Device Component",ISNUMBER(SEARCH("slip",C104)),"Detachment of Device or Device Component",ISNUMBER(SEARCH("detach",C104)),"Detachment of Device or Device Component",ISNUMBER(SEARCH("stick",C104)),"Mechanical Jam",ISNUMBER(SEARCH("jam",C104)),"Mechanical Jam",ISNUMBER(SEARCH("rigid",C104)),"Mechanical Jam",ISNUMBER(SEARCH("rust",C104)),"Corroded",ISNUMBER(SEARCH("corrod",C104)),"Corroded",ISNUMBER(SEARCH("corrosion",C104)),"Corroded",ISNUMBER(SEARCH("alignment",C104)),"Defective Device",ISNUMBER(SEARCH("adjust",C104)),"Defective Device",ISNUMBER(SEARCH("perform",C104)),"Defective Device",ISNUMBER(SEARCH("malfunction",C104)),"Defective Device",ISNUMBER(SEARCH("defect",C104)),"Defective Device",ISNUMBER(SEARCH("fail",C104)),"Defective Device",ISNUMBER(SEARCH("not work",C104)),"Defective Device",ISNUMBER(SEARCH("doesn't work",C104)),"Defective Device",TRUE,"UNKNOWN"),"UNKNOWN")))</f>
        <v/>
      </c>
      <c r="F104" s="4" t="str">
        <f t="shared" si="1"/>
        <v/>
      </c>
      <c r="G104" s="363" t="str">
        <f>IF(E104="","",IFERROR(VLOOKUP(E104,Codes!$L$2:$N$409,3,FALSE),"—"))</f>
        <v/>
      </c>
      <c r="H104" s="88"/>
      <c r="I104" s="88"/>
    </row>
    <row r="105" spans="1:9" ht="13.15" x14ac:dyDescent="0.35">
      <c r="A105" s="434"/>
      <c r="B105" s="436"/>
      <c r="C105" s="437"/>
      <c r="D105" s="434"/>
      <c r="E105" s="93" t="str" cm="1">
        <f t="array" ref="E105">IF(D105&lt;&gt;"",IFERROR(VLOOKUP(D105,Codes!$K$2:$L$409,2,FALSE),"UNKNOWN - "&amp;D105),IF(C105="","",IFERROR(_xlfn.IFS(ISNUMBER(SEARCH("broken button",C105)),"Break",ISNUMBER(SEARCH("broken handle",C105)),"Break",ISNUMBER(SEARCH("shipping damage",C105)),"Break",ISNUMBER(SEARCH("broken",C105)),"Break",ISNUMBER(SEARCH("crack",C105)),"Break",ISNUMBER(SEARCH("snap",C105)),"Break",ISNUMBER(SEARCH("fracture",C105)),"Break",ISNUMBER(SEARCH("bent",C105)),"Material Twisted/Bent",ISNUMBER(SEARCH("twisted",C105)),"Material Twisted/Bent",ISNUMBER(SEARCH("component separat",C105)),"Material Separation",ISNUMBER(SEARCH("separat",C105)),"Material Separation",ISNUMBER(SEARCH("connection",C105)),"Loose or Intermittent Connection",ISNUMBER(SEARCH("loose",C105)),"Loose or Intermittent Connection",ISNUMBER(SEARCH("damaged packaging",C105)),"Packaging Problem",ISNUMBER(SEARCH("packaging",C105)),"Packaging Problem",ISNUMBER(SEARCH("discoloration",C105)),"Contamination",ISNUMBER(SEARCH("tarnish",C105)),"Contamination",ISNUMBER(SEARCH("stain",C105)),"Contamination",ISNUMBER(SEARCH("foreign material",C105)),"Contamination",ISNUMBER(SEARCH("contamina",C105)),"Contamination",ISNUMBER(SEARCH("overheat",C105)),"Overheating of Device",ISNUMBER(SEARCH("excessive heat",C105)),"Overheating of Device",ISNUMBER(SEARCH("hot",C105)),"Overheating of Device",ISNUMBER(SEARCH("noise",C105)),"Noise, Audible",ISNUMBER(SEARCH("sound",C105)),"Noise, Audible",ISNUMBER(SEARCH("loud",C105)),"Noise, Audible",ISNUMBER(SEARCH("fray",C105)),"Material Frayed",ISNUMBER(SEARCH("hole",C105)),"Material Frayed",ISNUMBER(SEARCH("tear",C105)),"Material Frayed",ISNUMBER(SEARCH("worn",C105)),"Material Frayed",ISNUMBER(SEARCH("intermittent",C105)),"Difficult or Delayed Activation",ISNUMBER(SEARCH("delay",C105)),"Difficult or Delayed Activation",ISNUMBER(SEARCH("label",C105)),"Device Markings/Labelling Problem",ISNUMBER(SEARCH("marking",C105)),"Device Markings/Labelling Problem",ISNUMBER(SEARCH("lacerat",C105)),"Defective Device",ISNUMBER(SEARCH("cut",C105)),"Defective Device",ISNUMBER(SEARCH("leak",C105)),"Fluid/Blood Leak",ISNUMBER(SEARCH("missing",C105)),"Component Missing",ISNUMBER(SEARCH("power",C105)),"Complete Loss of Power",ISNUMBER(SEARCH("will not turn on",C105)),"Complete Loss of Power",ISNUMBER(SEARCH("won't turn on",C105)),"Complete Loss of Power",ISNUMBER(SEARCH("does not turn on",C105)),"Complete Loss of Power",ISNUMBER(SEARCH("electrical",C105)),"Electrical Power Problem",ISNUMBER(SEARCH("pressure",C105)),"Detachment of Device or Device Component",ISNUMBER(SEARCH("slip",C105)),"Detachment of Device or Device Component",ISNUMBER(SEARCH("detach",C105)),"Detachment of Device or Device Component",ISNUMBER(SEARCH("stick",C105)),"Mechanical Jam",ISNUMBER(SEARCH("jam",C105)),"Mechanical Jam",ISNUMBER(SEARCH("rigid",C105)),"Mechanical Jam",ISNUMBER(SEARCH("rust",C105)),"Corroded",ISNUMBER(SEARCH("corrod",C105)),"Corroded",ISNUMBER(SEARCH("corrosion",C105)),"Corroded",ISNUMBER(SEARCH("alignment",C105)),"Defective Device",ISNUMBER(SEARCH("adjust",C105)),"Defective Device",ISNUMBER(SEARCH("perform",C105)),"Defective Device",ISNUMBER(SEARCH("malfunction",C105)),"Defective Device",ISNUMBER(SEARCH("defect",C105)),"Defective Device",ISNUMBER(SEARCH("fail",C105)),"Defective Device",ISNUMBER(SEARCH("not work",C105)),"Defective Device",ISNUMBER(SEARCH("doesn't work",C105)),"Defective Device",TRUE,"UNKNOWN"),"UNKNOWN")))</f>
        <v/>
      </c>
      <c r="F105" s="4" t="str">
        <f t="shared" si="1"/>
        <v/>
      </c>
      <c r="G105" s="363" t="str">
        <f>IF(E105="","",IFERROR(VLOOKUP(E105,Codes!$L$2:$N$409,3,FALSE),"—"))</f>
        <v/>
      </c>
      <c r="H105" s="88"/>
      <c r="I105" s="88"/>
    </row>
    <row r="106" spans="1:9" ht="13.15" x14ac:dyDescent="0.35">
      <c r="A106" s="435"/>
      <c r="B106" s="436"/>
      <c r="C106" s="438"/>
      <c r="D106" s="435"/>
      <c r="E106" s="93" t="str" cm="1">
        <f t="array" ref="E106">IF(D106&lt;&gt;"",IFERROR(VLOOKUP(D106,Codes!$K$2:$L$409,2,FALSE),"UNKNOWN - "&amp;D106),IF(C106="","",IFERROR(_xlfn.IFS(ISNUMBER(SEARCH("broken button",C106)),"Break",ISNUMBER(SEARCH("broken handle",C106)),"Break",ISNUMBER(SEARCH("shipping damage",C106)),"Break",ISNUMBER(SEARCH("broken",C106)),"Break",ISNUMBER(SEARCH("crack",C106)),"Break",ISNUMBER(SEARCH("snap",C106)),"Break",ISNUMBER(SEARCH("fracture",C106)),"Break",ISNUMBER(SEARCH("bent",C106)),"Material Twisted/Bent",ISNUMBER(SEARCH("twisted",C106)),"Material Twisted/Bent",ISNUMBER(SEARCH("component separat",C106)),"Material Separation",ISNUMBER(SEARCH("separat",C106)),"Material Separation",ISNUMBER(SEARCH("connection",C106)),"Loose or Intermittent Connection",ISNUMBER(SEARCH("loose",C106)),"Loose or Intermittent Connection",ISNUMBER(SEARCH("damaged packaging",C106)),"Packaging Problem",ISNUMBER(SEARCH("packaging",C106)),"Packaging Problem",ISNUMBER(SEARCH("discoloration",C106)),"Contamination",ISNUMBER(SEARCH("tarnish",C106)),"Contamination",ISNUMBER(SEARCH("stain",C106)),"Contamination",ISNUMBER(SEARCH("foreign material",C106)),"Contamination",ISNUMBER(SEARCH("contamina",C106)),"Contamination",ISNUMBER(SEARCH("overheat",C106)),"Overheating of Device",ISNUMBER(SEARCH("excessive heat",C106)),"Overheating of Device",ISNUMBER(SEARCH("hot",C106)),"Overheating of Device",ISNUMBER(SEARCH("noise",C106)),"Noise, Audible",ISNUMBER(SEARCH("sound",C106)),"Noise, Audible",ISNUMBER(SEARCH("loud",C106)),"Noise, Audible",ISNUMBER(SEARCH("fray",C106)),"Material Frayed",ISNUMBER(SEARCH("hole",C106)),"Material Frayed",ISNUMBER(SEARCH("tear",C106)),"Material Frayed",ISNUMBER(SEARCH("worn",C106)),"Material Frayed",ISNUMBER(SEARCH("intermittent",C106)),"Difficult or Delayed Activation",ISNUMBER(SEARCH("delay",C106)),"Difficult or Delayed Activation",ISNUMBER(SEARCH("label",C106)),"Device Markings/Labelling Problem",ISNUMBER(SEARCH("marking",C106)),"Device Markings/Labelling Problem",ISNUMBER(SEARCH("lacerat",C106)),"Defective Device",ISNUMBER(SEARCH("cut",C106)),"Defective Device",ISNUMBER(SEARCH("leak",C106)),"Fluid/Blood Leak",ISNUMBER(SEARCH("missing",C106)),"Component Missing",ISNUMBER(SEARCH("power",C106)),"Complete Loss of Power",ISNUMBER(SEARCH("will not turn on",C106)),"Complete Loss of Power",ISNUMBER(SEARCH("won't turn on",C106)),"Complete Loss of Power",ISNUMBER(SEARCH("does not turn on",C106)),"Complete Loss of Power",ISNUMBER(SEARCH("electrical",C106)),"Electrical Power Problem",ISNUMBER(SEARCH("pressure",C106)),"Detachment of Device or Device Component",ISNUMBER(SEARCH("slip",C106)),"Detachment of Device or Device Component",ISNUMBER(SEARCH("detach",C106)),"Detachment of Device or Device Component",ISNUMBER(SEARCH("stick",C106)),"Mechanical Jam",ISNUMBER(SEARCH("jam",C106)),"Mechanical Jam",ISNUMBER(SEARCH("rigid",C106)),"Mechanical Jam",ISNUMBER(SEARCH("rust",C106)),"Corroded",ISNUMBER(SEARCH("corrod",C106)),"Corroded",ISNUMBER(SEARCH("corrosion",C106)),"Corroded",ISNUMBER(SEARCH("alignment",C106)),"Defective Device",ISNUMBER(SEARCH("adjust",C106)),"Defective Device",ISNUMBER(SEARCH("perform",C106)),"Defective Device",ISNUMBER(SEARCH("malfunction",C106)),"Defective Device",ISNUMBER(SEARCH("defect",C106)),"Defective Device",ISNUMBER(SEARCH("fail",C106)),"Defective Device",ISNUMBER(SEARCH("not work",C106)),"Defective Device",ISNUMBER(SEARCH("doesn't work",C106)),"Defective Device",TRUE,"UNKNOWN"),"UNKNOWN")))</f>
        <v/>
      </c>
      <c r="F106" s="4" t="str">
        <f t="shared" si="1"/>
        <v/>
      </c>
      <c r="G106" s="363" t="str">
        <f>IF(E106="","",IFERROR(VLOOKUP(E106,Codes!$L$2:$N$409,3,FALSE),"—"))</f>
        <v/>
      </c>
      <c r="H106" s="88"/>
      <c r="I106" s="88"/>
    </row>
    <row r="107" spans="1:9" ht="13.15" x14ac:dyDescent="0.35">
      <c r="A107" s="434"/>
      <c r="B107" s="436"/>
      <c r="C107" s="437"/>
      <c r="D107" s="434"/>
      <c r="E107" s="93" t="str" cm="1">
        <f t="array" ref="E107">IF(D107&lt;&gt;"",IFERROR(VLOOKUP(D107,Codes!$K$2:$L$409,2,FALSE),"UNKNOWN - "&amp;D107),IF(C107="","",IFERROR(_xlfn.IFS(ISNUMBER(SEARCH("broken button",C107)),"Break",ISNUMBER(SEARCH("broken handle",C107)),"Break",ISNUMBER(SEARCH("shipping damage",C107)),"Break",ISNUMBER(SEARCH("broken",C107)),"Break",ISNUMBER(SEARCH("crack",C107)),"Break",ISNUMBER(SEARCH("snap",C107)),"Break",ISNUMBER(SEARCH("fracture",C107)),"Break",ISNUMBER(SEARCH("bent",C107)),"Material Twisted/Bent",ISNUMBER(SEARCH("twisted",C107)),"Material Twisted/Bent",ISNUMBER(SEARCH("component separat",C107)),"Material Separation",ISNUMBER(SEARCH("separat",C107)),"Material Separation",ISNUMBER(SEARCH("connection",C107)),"Loose or Intermittent Connection",ISNUMBER(SEARCH("loose",C107)),"Loose or Intermittent Connection",ISNUMBER(SEARCH("damaged packaging",C107)),"Packaging Problem",ISNUMBER(SEARCH("packaging",C107)),"Packaging Problem",ISNUMBER(SEARCH("discoloration",C107)),"Contamination",ISNUMBER(SEARCH("tarnish",C107)),"Contamination",ISNUMBER(SEARCH("stain",C107)),"Contamination",ISNUMBER(SEARCH("foreign material",C107)),"Contamination",ISNUMBER(SEARCH("contamina",C107)),"Contamination",ISNUMBER(SEARCH("overheat",C107)),"Overheating of Device",ISNUMBER(SEARCH("excessive heat",C107)),"Overheating of Device",ISNUMBER(SEARCH("hot",C107)),"Overheating of Device",ISNUMBER(SEARCH("noise",C107)),"Noise, Audible",ISNUMBER(SEARCH("sound",C107)),"Noise, Audible",ISNUMBER(SEARCH("loud",C107)),"Noise, Audible",ISNUMBER(SEARCH("fray",C107)),"Material Frayed",ISNUMBER(SEARCH("hole",C107)),"Material Frayed",ISNUMBER(SEARCH("tear",C107)),"Material Frayed",ISNUMBER(SEARCH("worn",C107)),"Material Frayed",ISNUMBER(SEARCH("intermittent",C107)),"Difficult or Delayed Activation",ISNUMBER(SEARCH("delay",C107)),"Difficult or Delayed Activation",ISNUMBER(SEARCH("label",C107)),"Device Markings/Labelling Problem",ISNUMBER(SEARCH("marking",C107)),"Device Markings/Labelling Problem",ISNUMBER(SEARCH("lacerat",C107)),"Defective Device",ISNUMBER(SEARCH("cut",C107)),"Defective Device",ISNUMBER(SEARCH("leak",C107)),"Fluid/Blood Leak",ISNUMBER(SEARCH("missing",C107)),"Component Missing",ISNUMBER(SEARCH("power",C107)),"Complete Loss of Power",ISNUMBER(SEARCH("will not turn on",C107)),"Complete Loss of Power",ISNUMBER(SEARCH("won't turn on",C107)),"Complete Loss of Power",ISNUMBER(SEARCH("does not turn on",C107)),"Complete Loss of Power",ISNUMBER(SEARCH("electrical",C107)),"Electrical Power Problem",ISNUMBER(SEARCH("pressure",C107)),"Detachment of Device or Device Component",ISNUMBER(SEARCH("slip",C107)),"Detachment of Device or Device Component",ISNUMBER(SEARCH("detach",C107)),"Detachment of Device or Device Component",ISNUMBER(SEARCH("stick",C107)),"Mechanical Jam",ISNUMBER(SEARCH("jam",C107)),"Mechanical Jam",ISNUMBER(SEARCH("rigid",C107)),"Mechanical Jam",ISNUMBER(SEARCH("rust",C107)),"Corroded",ISNUMBER(SEARCH("corrod",C107)),"Corroded",ISNUMBER(SEARCH("corrosion",C107)),"Corroded",ISNUMBER(SEARCH("alignment",C107)),"Defective Device",ISNUMBER(SEARCH("adjust",C107)),"Defective Device",ISNUMBER(SEARCH("perform",C107)),"Defective Device",ISNUMBER(SEARCH("malfunction",C107)),"Defective Device",ISNUMBER(SEARCH("defect",C107)),"Defective Device",ISNUMBER(SEARCH("fail",C107)),"Defective Device",ISNUMBER(SEARCH("not work",C107)),"Defective Device",ISNUMBER(SEARCH("doesn't work",C107)),"Defective Device",TRUE,"UNKNOWN"),"UNKNOWN")))</f>
        <v/>
      </c>
      <c r="F107" s="4" t="str">
        <f t="shared" si="1"/>
        <v/>
      </c>
      <c r="G107" s="363" t="str">
        <f>IF(E107="","",IFERROR(VLOOKUP(E107,Codes!$L$2:$N$409,3,FALSE),"—"))</f>
        <v/>
      </c>
      <c r="H107" s="88"/>
      <c r="I107" s="88"/>
    </row>
    <row r="108" spans="1:9" ht="13.15" x14ac:dyDescent="0.35">
      <c r="A108" s="435"/>
      <c r="B108" s="436"/>
      <c r="C108" s="438"/>
      <c r="D108" s="435"/>
      <c r="E108" s="93" t="str" cm="1">
        <f t="array" ref="E108">IF(D108&lt;&gt;"",IFERROR(VLOOKUP(D108,Codes!$K$2:$L$409,2,FALSE),"UNKNOWN - "&amp;D108),IF(C108="","",IFERROR(_xlfn.IFS(ISNUMBER(SEARCH("broken button",C108)),"Break",ISNUMBER(SEARCH("broken handle",C108)),"Break",ISNUMBER(SEARCH("shipping damage",C108)),"Break",ISNUMBER(SEARCH("broken",C108)),"Break",ISNUMBER(SEARCH("crack",C108)),"Break",ISNUMBER(SEARCH("snap",C108)),"Break",ISNUMBER(SEARCH("fracture",C108)),"Break",ISNUMBER(SEARCH("bent",C108)),"Material Twisted/Bent",ISNUMBER(SEARCH("twisted",C108)),"Material Twisted/Bent",ISNUMBER(SEARCH("component separat",C108)),"Material Separation",ISNUMBER(SEARCH("separat",C108)),"Material Separation",ISNUMBER(SEARCH("connection",C108)),"Loose or Intermittent Connection",ISNUMBER(SEARCH("loose",C108)),"Loose or Intermittent Connection",ISNUMBER(SEARCH("damaged packaging",C108)),"Packaging Problem",ISNUMBER(SEARCH("packaging",C108)),"Packaging Problem",ISNUMBER(SEARCH("discoloration",C108)),"Contamination",ISNUMBER(SEARCH("tarnish",C108)),"Contamination",ISNUMBER(SEARCH("stain",C108)),"Contamination",ISNUMBER(SEARCH("foreign material",C108)),"Contamination",ISNUMBER(SEARCH("contamina",C108)),"Contamination",ISNUMBER(SEARCH("overheat",C108)),"Overheating of Device",ISNUMBER(SEARCH("excessive heat",C108)),"Overheating of Device",ISNUMBER(SEARCH("hot",C108)),"Overheating of Device",ISNUMBER(SEARCH("noise",C108)),"Noise, Audible",ISNUMBER(SEARCH("sound",C108)),"Noise, Audible",ISNUMBER(SEARCH("loud",C108)),"Noise, Audible",ISNUMBER(SEARCH("fray",C108)),"Material Frayed",ISNUMBER(SEARCH("hole",C108)),"Material Frayed",ISNUMBER(SEARCH("tear",C108)),"Material Frayed",ISNUMBER(SEARCH("worn",C108)),"Material Frayed",ISNUMBER(SEARCH("intermittent",C108)),"Difficult or Delayed Activation",ISNUMBER(SEARCH("delay",C108)),"Difficult or Delayed Activation",ISNUMBER(SEARCH("label",C108)),"Device Markings/Labelling Problem",ISNUMBER(SEARCH("marking",C108)),"Device Markings/Labelling Problem",ISNUMBER(SEARCH("lacerat",C108)),"Defective Device",ISNUMBER(SEARCH("cut",C108)),"Defective Device",ISNUMBER(SEARCH("leak",C108)),"Fluid/Blood Leak",ISNUMBER(SEARCH("missing",C108)),"Component Missing",ISNUMBER(SEARCH("power",C108)),"Complete Loss of Power",ISNUMBER(SEARCH("will not turn on",C108)),"Complete Loss of Power",ISNUMBER(SEARCH("won't turn on",C108)),"Complete Loss of Power",ISNUMBER(SEARCH("does not turn on",C108)),"Complete Loss of Power",ISNUMBER(SEARCH("electrical",C108)),"Electrical Power Problem",ISNUMBER(SEARCH("pressure",C108)),"Detachment of Device or Device Component",ISNUMBER(SEARCH("slip",C108)),"Detachment of Device or Device Component",ISNUMBER(SEARCH("detach",C108)),"Detachment of Device or Device Component",ISNUMBER(SEARCH("stick",C108)),"Mechanical Jam",ISNUMBER(SEARCH("jam",C108)),"Mechanical Jam",ISNUMBER(SEARCH("rigid",C108)),"Mechanical Jam",ISNUMBER(SEARCH("rust",C108)),"Corroded",ISNUMBER(SEARCH("corrod",C108)),"Corroded",ISNUMBER(SEARCH("corrosion",C108)),"Corroded",ISNUMBER(SEARCH("alignment",C108)),"Defective Device",ISNUMBER(SEARCH("adjust",C108)),"Defective Device",ISNUMBER(SEARCH("perform",C108)),"Defective Device",ISNUMBER(SEARCH("malfunction",C108)),"Defective Device",ISNUMBER(SEARCH("defect",C108)),"Defective Device",ISNUMBER(SEARCH("fail",C108)),"Defective Device",ISNUMBER(SEARCH("not work",C108)),"Defective Device",ISNUMBER(SEARCH("doesn't work",C108)),"Defective Device",TRUE,"UNKNOWN"),"UNKNOWN")))</f>
        <v/>
      </c>
      <c r="F108" s="4" t="str">
        <f t="shared" si="1"/>
        <v/>
      </c>
      <c r="G108" s="363" t="str">
        <f>IF(E108="","",IFERROR(VLOOKUP(E108,Codes!$L$2:$N$409,3,FALSE),"—"))</f>
        <v/>
      </c>
      <c r="H108" s="88"/>
      <c r="I108" s="88"/>
    </row>
    <row r="109" spans="1:9" ht="13.15" x14ac:dyDescent="0.35">
      <c r="A109" s="435"/>
      <c r="B109" s="436"/>
      <c r="C109" s="438"/>
      <c r="D109" s="435"/>
      <c r="E109" s="93" t="str" cm="1">
        <f t="array" ref="E109">IF(D109&lt;&gt;"",IFERROR(VLOOKUP(D109,Codes!$K$2:$L$409,2,FALSE),"UNKNOWN - "&amp;D109),IF(C109="","",IFERROR(_xlfn.IFS(ISNUMBER(SEARCH("broken button",C109)),"Break",ISNUMBER(SEARCH("broken handle",C109)),"Break",ISNUMBER(SEARCH("shipping damage",C109)),"Break",ISNUMBER(SEARCH("broken",C109)),"Break",ISNUMBER(SEARCH("crack",C109)),"Break",ISNUMBER(SEARCH("snap",C109)),"Break",ISNUMBER(SEARCH("fracture",C109)),"Break",ISNUMBER(SEARCH("bent",C109)),"Material Twisted/Bent",ISNUMBER(SEARCH("twisted",C109)),"Material Twisted/Bent",ISNUMBER(SEARCH("component separat",C109)),"Material Separation",ISNUMBER(SEARCH("separat",C109)),"Material Separation",ISNUMBER(SEARCH("connection",C109)),"Loose or Intermittent Connection",ISNUMBER(SEARCH("loose",C109)),"Loose or Intermittent Connection",ISNUMBER(SEARCH("damaged packaging",C109)),"Packaging Problem",ISNUMBER(SEARCH("packaging",C109)),"Packaging Problem",ISNUMBER(SEARCH("discoloration",C109)),"Contamination",ISNUMBER(SEARCH("tarnish",C109)),"Contamination",ISNUMBER(SEARCH("stain",C109)),"Contamination",ISNUMBER(SEARCH("foreign material",C109)),"Contamination",ISNUMBER(SEARCH("contamina",C109)),"Contamination",ISNUMBER(SEARCH("overheat",C109)),"Overheating of Device",ISNUMBER(SEARCH("excessive heat",C109)),"Overheating of Device",ISNUMBER(SEARCH("hot",C109)),"Overheating of Device",ISNUMBER(SEARCH("noise",C109)),"Noise, Audible",ISNUMBER(SEARCH("sound",C109)),"Noise, Audible",ISNUMBER(SEARCH("loud",C109)),"Noise, Audible",ISNUMBER(SEARCH("fray",C109)),"Material Frayed",ISNUMBER(SEARCH("hole",C109)),"Material Frayed",ISNUMBER(SEARCH("tear",C109)),"Material Frayed",ISNUMBER(SEARCH("worn",C109)),"Material Frayed",ISNUMBER(SEARCH("intermittent",C109)),"Difficult or Delayed Activation",ISNUMBER(SEARCH("delay",C109)),"Difficult or Delayed Activation",ISNUMBER(SEARCH("label",C109)),"Device Markings/Labelling Problem",ISNUMBER(SEARCH("marking",C109)),"Device Markings/Labelling Problem",ISNUMBER(SEARCH("lacerat",C109)),"Defective Device",ISNUMBER(SEARCH("cut",C109)),"Defective Device",ISNUMBER(SEARCH("leak",C109)),"Fluid/Blood Leak",ISNUMBER(SEARCH("missing",C109)),"Component Missing",ISNUMBER(SEARCH("power",C109)),"Complete Loss of Power",ISNUMBER(SEARCH("will not turn on",C109)),"Complete Loss of Power",ISNUMBER(SEARCH("won't turn on",C109)),"Complete Loss of Power",ISNUMBER(SEARCH("does not turn on",C109)),"Complete Loss of Power",ISNUMBER(SEARCH("electrical",C109)),"Electrical Power Problem",ISNUMBER(SEARCH("pressure",C109)),"Detachment of Device or Device Component",ISNUMBER(SEARCH("slip",C109)),"Detachment of Device or Device Component",ISNUMBER(SEARCH("detach",C109)),"Detachment of Device or Device Component",ISNUMBER(SEARCH("stick",C109)),"Mechanical Jam",ISNUMBER(SEARCH("jam",C109)),"Mechanical Jam",ISNUMBER(SEARCH("rigid",C109)),"Mechanical Jam",ISNUMBER(SEARCH("rust",C109)),"Corroded",ISNUMBER(SEARCH("corrod",C109)),"Corroded",ISNUMBER(SEARCH("corrosion",C109)),"Corroded",ISNUMBER(SEARCH("alignment",C109)),"Defective Device",ISNUMBER(SEARCH("adjust",C109)),"Defective Device",ISNUMBER(SEARCH("perform",C109)),"Defective Device",ISNUMBER(SEARCH("malfunction",C109)),"Defective Device",ISNUMBER(SEARCH("defect",C109)),"Defective Device",ISNUMBER(SEARCH("fail",C109)),"Defective Device",ISNUMBER(SEARCH("not work",C109)),"Defective Device",ISNUMBER(SEARCH("doesn't work",C109)),"Defective Device",TRUE,"UNKNOWN"),"UNKNOWN")))</f>
        <v/>
      </c>
      <c r="F109" s="4" t="str">
        <f t="shared" si="1"/>
        <v/>
      </c>
      <c r="G109" s="363" t="str">
        <f>IF(E109="","",IFERROR(VLOOKUP(E109,Codes!$L$2:$N$409,3,FALSE),"—"))</f>
        <v/>
      </c>
      <c r="H109" s="88"/>
      <c r="I109" s="88"/>
    </row>
    <row r="110" spans="1:9" ht="13.15" x14ac:dyDescent="0.35">
      <c r="A110" s="435"/>
      <c r="B110" s="436"/>
      <c r="C110" s="438"/>
      <c r="D110" s="435"/>
      <c r="E110" s="93" t="str" cm="1">
        <f t="array" ref="E110">IF(D110&lt;&gt;"",IFERROR(VLOOKUP(D110,Codes!$K$2:$L$409,2,FALSE),"UNKNOWN - "&amp;D110),IF(C110="","",IFERROR(_xlfn.IFS(ISNUMBER(SEARCH("broken button",C110)),"Break",ISNUMBER(SEARCH("broken handle",C110)),"Break",ISNUMBER(SEARCH("shipping damage",C110)),"Break",ISNUMBER(SEARCH("broken",C110)),"Break",ISNUMBER(SEARCH("crack",C110)),"Break",ISNUMBER(SEARCH("snap",C110)),"Break",ISNUMBER(SEARCH("fracture",C110)),"Break",ISNUMBER(SEARCH("bent",C110)),"Material Twisted/Bent",ISNUMBER(SEARCH("twisted",C110)),"Material Twisted/Bent",ISNUMBER(SEARCH("component separat",C110)),"Material Separation",ISNUMBER(SEARCH("separat",C110)),"Material Separation",ISNUMBER(SEARCH("connection",C110)),"Loose or Intermittent Connection",ISNUMBER(SEARCH("loose",C110)),"Loose or Intermittent Connection",ISNUMBER(SEARCH("damaged packaging",C110)),"Packaging Problem",ISNUMBER(SEARCH("packaging",C110)),"Packaging Problem",ISNUMBER(SEARCH("discoloration",C110)),"Contamination",ISNUMBER(SEARCH("tarnish",C110)),"Contamination",ISNUMBER(SEARCH("stain",C110)),"Contamination",ISNUMBER(SEARCH("foreign material",C110)),"Contamination",ISNUMBER(SEARCH("contamina",C110)),"Contamination",ISNUMBER(SEARCH("overheat",C110)),"Overheating of Device",ISNUMBER(SEARCH("excessive heat",C110)),"Overheating of Device",ISNUMBER(SEARCH("hot",C110)),"Overheating of Device",ISNUMBER(SEARCH("noise",C110)),"Noise, Audible",ISNUMBER(SEARCH("sound",C110)),"Noise, Audible",ISNUMBER(SEARCH("loud",C110)),"Noise, Audible",ISNUMBER(SEARCH("fray",C110)),"Material Frayed",ISNUMBER(SEARCH("hole",C110)),"Material Frayed",ISNUMBER(SEARCH("tear",C110)),"Material Frayed",ISNUMBER(SEARCH("worn",C110)),"Material Frayed",ISNUMBER(SEARCH("intermittent",C110)),"Difficult or Delayed Activation",ISNUMBER(SEARCH("delay",C110)),"Difficult or Delayed Activation",ISNUMBER(SEARCH("label",C110)),"Device Markings/Labelling Problem",ISNUMBER(SEARCH("marking",C110)),"Device Markings/Labelling Problem",ISNUMBER(SEARCH("lacerat",C110)),"Defective Device",ISNUMBER(SEARCH("cut",C110)),"Defective Device",ISNUMBER(SEARCH("leak",C110)),"Fluid/Blood Leak",ISNUMBER(SEARCH("missing",C110)),"Component Missing",ISNUMBER(SEARCH("power",C110)),"Complete Loss of Power",ISNUMBER(SEARCH("will not turn on",C110)),"Complete Loss of Power",ISNUMBER(SEARCH("won't turn on",C110)),"Complete Loss of Power",ISNUMBER(SEARCH("does not turn on",C110)),"Complete Loss of Power",ISNUMBER(SEARCH("electrical",C110)),"Electrical Power Problem",ISNUMBER(SEARCH("pressure",C110)),"Detachment of Device or Device Component",ISNUMBER(SEARCH("slip",C110)),"Detachment of Device or Device Component",ISNUMBER(SEARCH("detach",C110)),"Detachment of Device or Device Component",ISNUMBER(SEARCH("stick",C110)),"Mechanical Jam",ISNUMBER(SEARCH("jam",C110)),"Mechanical Jam",ISNUMBER(SEARCH("rigid",C110)),"Mechanical Jam",ISNUMBER(SEARCH("rust",C110)),"Corroded",ISNUMBER(SEARCH("corrod",C110)),"Corroded",ISNUMBER(SEARCH("corrosion",C110)),"Corroded",ISNUMBER(SEARCH("alignment",C110)),"Defective Device",ISNUMBER(SEARCH("adjust",C110)),"Defective Device",ISNUMBER(SEARCH("perform",C110)),"Defective Device",ISNUMBER(SEARCH("malfunction",C110)),"Defective Device",ISNUMBER(SEARCH("defect",C110)),"Defective Device",ISNUMBER(SEARCH("fail",C110)),"Defective Device",ISNUMBER(SEARCH("not work",C110)),"Defective Device",ISNUMBER(SEARCH("doesn't work",C110)),"Defective Device",TRUE,"UNKNOWN"),"UNKNOWN")))</f>
        <v/>
      </c>
      <c r="F110" s="4" t="str">
        <f t="shared" si="1"/>
        <v/>
      </c>
      <c r="G110" s="363" t="str">
        <f>IF(E110="","",IFERROR(VLOOKUP(E110,Codes!$L$2:$N$409,3,FALSE),"—"))</f>
        <v/>
      </c>
      <c r="H110" s="88"/>
      <c r="I110" s="88"/>
    </row>
    <row r="111" spans="1:9" ht="13.15" x14ac:dyDescent="0.35">
      <c r="A111" s="435"/>
      <c r="B111" s="436"/>
      <c r="C111" s="438"/>
      <c r="D111" s="435"/>
      <c r="E111" s="93" t="str" cm="1">
        <f t="array" ref="E111">IF(D111&lt;&gt;"",IFERROR(VLOOKUP(D111,Codes!$K$2:$L$409,2,FALSE),"UNKNOWN - "&amp;D111),IF(C111="","",IFERROR(_xlfn.IFS(ISNUMBER(SEARCH("broken button",C111)),"Break",ISNUMBER(SEARCH("broken handle",C111)),"Break",ISNUMBER(SEARCH("shipping damage",C111)),"Break",ISNUMBER(SEARCH("broken",C111)),"Break",ISNUMBER(SEARCH("crack",C111)),"Break",ISNUMBER(SEARCH("snap",C111)),"Break",ISNUMBER(SEARCH("fracture",C111)),"Break",ISNUMBER(SEARCH("bent",C111)),"Material Twisted/Bent",ISNUMBER(SEARCH("twisted",C111)),"Material Twisted/Bent",ISNUMBER(SEARCH("component separat",C111)),"Material Separation",ISNUMBER(SEARCH("separat",C111)),"Material Separation",ISNUMBER(SEARCH("connection",C111)),"Loose or Intermittent Connection",ISNUMBER(SEARCH("loose",C111)),"Loose or Intermittent Connection",ISNUMBER(SEARCH("damaged packaging",C111)),"Packaging Problem",ISNUMBER(SEARCH("packaging",C111)),"Packaging Problem",ISNUMBER(SEARCH("discoloration",C111)),"Contamination",ISNUMBER(SEARCH("tarnish",C111)),"Contamination",ISNUMBER(SEARCH("stain",C111)),"Contamination",ISNUMBER(SEARCH("foreign material",C111)),"Contamination",ISNUMBER(SEARCH("contamina",C111)),"Contamination",ISNUMBER(SEARCH("overheat",C111)),"Overheating of Device",ISNUMBER(SEARCH("excessive heat",C111)),"Overheating of Device",ISNUMBER(SEARCH("hot",C111)),"Overheating of Device",ISNUMBER(SEARCH("noise",C111)),"Noise, Audible",ISNUMBER(SEARCH("sound",C111)),"Noise, Audible",ISNUMBER(SEARCH("loud",C111)),"Noise, Audible",ISNUMBER(SEARCH("fray",C111)),"Material Frayed",ISNUMBER(SEARCH("hole",C111)),"Material Frayed",ISNUMBER(SEARCH("tear",C111)),"Material Frayed",ISNUMBER(SEARCH("worn",C111)),"Material Frayed",ISNUMBER(SEARCH("intermittent",C111)),"Difficult or Delayed Activation",ISNUMBER(SEARCH("delay",C111)),"Difficult or Delayed Activation",ISNUMBER(SEARCH("label",C111)),"Device Markings/Labelling Problem",ISNUMBER(SEARCH("marking",C111)),"Device Markings/Labelling Problem",ISNUMBER(SEARCH("lacerat",C111)),"Defective Device",ISNUMBER(SEARCH("cut",C111)),"Defective Device",ISNUMBER(SEARCH("leak",C111)),"Fluid/Blood Leak",ISNUMBER(SEARCH("missing",C111)),"Component Missing",ISNUMBER(SEARCH("power",C111)),"Complete Loss of Power",ISNUMBER(SEARCH("will not turn on",C111)),"Complete Loss of Power",ISNUMBER(SEARCH("won't turn on",C111)),"Complete Loss of Power",ISNUMBER(SEARCH("does not turn on",C111)),"Complete Loss of Power",ISNUMBER(SEARCH("electrical",C111)),"Electrical Power Problem",ISNUMBER(SEARCH("pressure",C111)),"Detachment of Device or Device Component",ISNUMBER(SEARCH("slip",C111)),"Detachment of Device or Device Component",ISNUMBER(SEARCH("detach",C111)),"Detachment of Device or Device Component",ISNUMBER(SEARCH("stick",C111)),"Mechanical Jam",ISNUMBER(SEARCH("jam",C111)),"Mechanical Jam",ISNUMBER(SEARCH("rigid",C111)),"Mechanical Jam",ISNUMBER(SEARCH("rust",C111)),"Corroded",ISNUMBER(SEARCH("corrod",C111)),"Corroded",ISNUMBER(SEARCH("corrosion",C111)),"Corroded",ISNUMBER(SEARCH("alignment",C111)),"Defective Device",ISNUMBER(SEARCH("adjust",C111)),"Defective Device",ISNUMBER(SEARCH("perform",C111)),"Defective Device",ISNUMBER(SEARCH("malfunction",C111)),"Defective Device",ISNUMBER(SEARCH("defect",C111)),"Defective Device",ISNUMBER(SEARCH("fail",C111)),"Defective Device",ISNUMBER(SEARCH("not work",C111)),"Defective Device",ISNUMBER(SEARCH("doesn't work",C111)),"Defective Device",TRUE,"UNKNOWN"),"UNKNOWN")))</f>
        <v/>
      </c>
      <c r="F111" s="4" t="str">
        <f t="shared" si="1"/>
        <v/>
      </c>
      <c r="G111" s="363" t="str">
        <f>IF(E111="","",IFERROR(VLOOKUP(E111,Codes!$L$2:$N$409,3,FALSE),"—"))</f>
        <v/>
      </c>
      <c r="H111" s="88"/>
      <c r="I111" s="88"/>
    </row>
    <row r="112" spans="1:9" ht="13.15" x14ac:dyDescent="0.35">
      <c r="A112" s="434"/>
      <c r="B112" s="436"/>
      <c r="C112" s="437"/>
      <c r="D112" s="434"/>
      <c r="E112" s="93" t="str" cm="1">
        <f t="array" ref="E112">IF(D112&lt;&gt;"",IFERROR(VLOOKUP(D112,Codes!$K$2:$L$409,2,FALSE),"UNKNOWN - "&amp;D112),IF(C112="","",IFERROR(_xlfn.IFS(ISNUMBER(SEARCH("broken button",C112)),"Break",ISNUMBER(SEARCH("broken handle",C112)),"Break",ISNUMBER(SEARCH("shipping damage",C112)),"Break",ISNUMBER(SEARCH("broken",C112)),"Break",ISNUMBER(SEARCH("crack",C112)),"Break",ISNUMBER(SEARCH("snap",C112)),"Break",ISNUMBER(SEARCH("fracture",C112)),"Break",ISNUMBER(SEARCH("bent",C112)),"Material Twisted/Bent",ISNUMBER(SEARCH("twisted",C112)),"Material Twisted/Bent",ISNUMBER(SEARCH("component separat",C112)),"Material Separation",ISNUMBER(SEARCH("separat",C112)),"Material Separation",ISNUMBER(SEARCH("connection",C112)),"Loose or Intermittent Connection",ISNUMBER(SEARCH("loose",C112)),"Loose or Intermittent Connection",ISNUMBER(SEARCH("damaged packaging",C112)),"Packaging Problem",ISNUMBER(SEARCH("packaging",C112)),"Packaging Problem",ISNUMBER(SEARCH("discoloration",C112)),"Contamination",ISNUMBER(SEARCH("tarnish",C112)),"Contamination",ISNUMBER(SEARCH("stain",C112)),"Contamination",ISNUMBER(SEARCH("foreign material",C112)),"Contamination",ISNUMBER(SEARCH("contamina",C112)),"Contamination",ISNUMBER(SEARCH("overheat",C112)),"Overheating of Device",ISNUMBER(SEARCH("excessive heat",C112)),"Overheating of Device",ISNUMBER(SEARCH("hot",C112)),"Overheating of Device",ISNUMBER(SEARCH("noise",C112)),"Noise, Audible",ISNUMBER(SEARCH("sound",C112)),"Noise, Audible",ISNUMBER(SEARCH("loud",C112)),"Noise, Audible",ISNUMBER(SEARCH("fray",C112)),"Material Frayed",ISNUMBER(SEARCH("hole",C112)),"Material Frayed",ISNUMBER(SEARCH("tear",C112)),"Material Frayed",ISNUMBER(SEARCH("worn",C112)),"Material Frayed",ISNUMBER(SEARCH("intermittent",C112)),"Difficult or Delayed Activation",ISNUMBER(SEARCH("delay",C112)),"Difficult or Delayed Activation",ISNUMBER(SEARCH("label",C112)),"Device Markings/Labelling Problem",ISNUMBER(SEARCH("marking",C112)),"Device Markings/Labelling Problem",ISNUMBER(SEARCH("lacerat",C112)),"Defective Device",ISNUMBER(SEARCH("cut",C112)),"Defective Device",ISNUMBER(SEARCH("leak",C112)),"Fluid/Blood Leak",ISNUMBER(SEARCH("missing",C112)),"Component Missing",ISNUMBER(SEARCH("power",C112)),"Complete Loss of Power",ISNUMBER(SEARCH("will not turn on",C112)),"Complete Loss of Power",ISNUMBER(SEARCH("won't turn on",C112)),"Complete Loss of Power",ISNUMBER(SEARCH("does not turn on",C112)),"Complete Loss of Power",ISNUMBER(SEARCH("electrical",C112)),"Electrical Power Problem",ISNUMBER(SEARCH("pressure",C112)),"Detachment of Device or Device Component",ISNUMBER(SEARCH("slip",C112)),"Detachment of Device or Device Component",ISNUMBER(SEARCH("detach",C112)),"Detachment of Device or Device Component",ISNUMBER(SEARCH("stick",C112)),"Mechanical Jam",ISNUMBER(SEARCH("jam",C112)),"Mechanical Jam",ISNUMBER(SEARCH("rigid",C112)),"Mechanical Jam",ISNUMBER(SEARCH("rust",C112)),"Corroded",ISNUMBER(SEARCH("corrod",C112)),"Corroded",ISNUMBER(SEARCH("corrosion",C112)),"Corroded",ISNUMBER(SEARCH("alignment",C112)),"Defective Device",ISNUMBER(SEARCH("adjust",C112)),"Defective Device",ISNUMBER(SEARCH("perform",C112)),"Defective Device",ISNUMBER(SEARCH("malfunction",C112)),"Defective Device",ISNUMBER(SEARCH("defect",C112)),"Defective Device",ISNUMBER(SEARCH("fail",C112)),"Defective Device",ISNUMBER(SEARCH("not work",C112)),"Defective Device",ISNUMBER(SEARCH("doesn't work",C112)),"Defective Device",TRUE,"UNKNOWN"),"UNKNOWN")))</f>
        <v/>
      </c>
      <c r="F112" s="4" t="str">
        <f t="shared" si="1"/>
        <v/>
      </c>
      <c r="G112" s="363" t="str">
        <f>IF(E112="","",IFERROR(VLOOKUP(E112,Codes!$L$2:$N$409,3,FALSE),"—"))</f>
        <v/>
      </c>
      <c r="H112" s="88"/>
      <c r="I112" s="88"/>
    </row>
    <row r="113" spans="1:9" ht="13.15" x14ac:dyDescent="0.35">
      <c r="A113" s="435"/>
      <c r="B113" s="436"/>
      <c r="C113" s="438"/>
      <c r="D113" s="435"/>
      <c r="E113" s="93" t="str" cm="1">
        <f t="array" ref="E113">IF(D113&lt;&gt;"",IFERROR(VLOOKUP(D113,Codes!$K$2:$L$409,2,FALSE),"UNKNOWN - "&amp;D113),IF(C113="","",IFERROR(_xlfn.IFS(ISNUMBER(SEARCH("broken button",C113)),"Break",ISNUMBER(SEARCH("broken handle",C113)),"Break",ISNUMBER(SEARCH("shipping damage",C113)),"Break",ISNUMBER(SEARCH("broken",C113)),"Break",ISNUMBER(SEARCH("crack",C113)),"Break",ISNUMBER(SEARCH("snap",C113)),"Break",ISNUMBER(SEARCH("fracture",C113)),"Break",ISNUMBER(SEARCH("bent",C113)),"Material Twisted/Bent",ISNUMBER(SEARCH("twisted",C113)),"Material Twisted/Bent",ISNUMBER(SEARCH("component separat",C113)),"Material Separation",ISNUMBER(SEARCH("separat",C113)),"Material Separation",ISNUMBER(SEARCH("connection",C113)),"Loose or Intermittent Connection",ISNUMBER(SEARCH("loose",C113)),"Loose or Intermittent Connection",ISNUMBER(SEARCH("damaged packaging",C113)),"Packaging Problem",ISNUMBER(SEARCH("packaging",C113)),"Packaging Problem",ISNUMBER(SEARCH("discoloration",C113)),"Contamination",ISNUMBER(SEARCH("tarnish",C113)),"Contamination",ISNUMBER(SEARCH("stain",C113)),"Contamination",ISNUMBER(SEARCH("foreign material",C113)),"Contamination",ISNUMBER(SEARCH("contamina",C113)),"Contamination",ISNUMBER(SEARCH("overheat",C113)),"Overheating of Device",ISNUMBER(SEARCH("excessive heat",C113)),"Overheating of Device",ISNUMBER(SEARCH("hot",C113)),"Overheating of Device",ISNUMBER(SEARCH("noise",C113)),"Noise, Audible",ISNUMBER(SEARCH("sound",C113)),"Noise, Audible",ISNUMBER(SEARCH("loud",C113)),"Noise, Audible",ISNUMBER(SEARCH("fray",C113)),"Material Frayed",ISNUMBER(SEARCH("hole",C113)),"Material Frayed",ISNUMBER(SEARCH("tear",C113)),"Material Frayed",ISNUMBER(SEARCH("worn",C113)),"Material Frayed",ISNUMBER(SEARCH("intermittent",C113)),"Difficult or Delayed Activation",ISNUMBER(SEARCH("delay",C113)),"Difficult or Delayed Activation",ISNUMBER(SEARCH("label",C113)),"Device Markings/Labelling Problem",ISNUMBER(SEARCH("marking",C113)),"Device Markings/Labelling Problem",ISNUMBER(SEARCH("lacerat",C113)),"Defective Device",ISNUMBER(SEARCH("cut",C113)),"Defective Device",ISNUMBER(SEARCH("leak",C113)),"Fluid/Blood Leak",ISNUMBER(SEARCH("missing",C113)),"Component Missing",ISNUMBER(SEARCH("power",C113)),"Complete Loss of Power",ISNUMBER(SEARCH("will not turn on",C113)),"Complete Loss of Power",ISNUMBER(SEARCH("won't turn on",C113)),"Complete Loss of Power",ISNUMBER(SEARCH("does not turn on",C113)),"Complete Loss of Power",ISNUMBER(SEARCH("electrical",C113)),"Electrical Power Problem",ISNUMBER(SEARCH("pressure",C113)),"Detachment of Device or Device Component",ISNUMBER(SEARCH("slip",C113)),"Detachment of Device or Device Component",ISNUMBER(SEARCH("detach",C113)),"Detachment of Device or Device Component",ISNUMBER(SEARCH("stick",C113)),"Mechanical Jam",ISNUMBER(SEARCH("jam",C113)),"Mechanical Jam",ISNUMBER(SEARCH("rigid",C113)),"Mechanical Jam",ISNUMBER(SEARCH("rust",C113)),"Corroded",ISNUMBER(SEARCH("corrod",C113)),"Corroded",ISNUMBER(SEARCH("corrosion",C113)),"Corroded",ISNUMBER(SEARCH("alignment",C113)),"Defective Device",ISNUMBER(SEARCH("adjust",C113)),"Defective Device",ISNUMBER(SEARCH("perform",C113)),"Defective Device",ISNUMBER(SEARCH("malfunction",C113)),"Defective Device",ISNUMBER(SEARCH("defect",C113)),"Defective Device",ISNUMBER(SEARCH("fail",C113)),"Defective Device",ISNUMBER(SEARCH("not work",C113)),"Defective Device",ISNUMBER(SEARCH("doesn't work",C113)),"Defective Device",TRUE,"UNKNOWN"),"UNKNOWN")))</f>
        <v/>
      </c>
      <c r="F113" s="4" t="str">
        <f t="shared" si="1"/>
        <v/>
      </c>
      <c r="G113" s="363" t="str">
        <f>IF(E113="","",IFERROR(VLOOKUP(E113,Codes!$L$2:$N$409,3,FALSE),"—"))</f>
        <v/>
      </c>
      <c r="H113" s="88"/>
      <c r="I113" s="88"/>
    </row>
    <row r="114" spans="1:9" ht="13.15" x14ac:dyDescent="0.35">
      <c r="A114" s="434"/>
      <c r="B114" s="436"/>
      <c r="C114" s="437"/>
      <c r="D114" s="434"/>
      <c r="E114" s="93" t="str" cm="1">
        <f t="array" ref="E114">IF(D114&lt;&gt;"",IFERROR(VLOOKUP(D114,Codes!$K$2:$L$409,2,FALSE),"UNKNOWN - "&amp;D114),IF(C114="","",IFERROR(_xlfn.IFS(ISNUMBER(SEARCH("broken button",C114)),"Break",ISNUMBER(SEARCH("broken handle",C114)),"Break",ISNUMBER(SEARCH("shipping damage",C114)),"Break",ISNUMBER(SEARCH("broken",C114)),"Break",ISNUMBER(SEARCH("crack",C114)),"Break",ISNUMBER(SEARCH("snap",C114)),"Break",ISNUMBER(SEARCH("fracture",C114)),"Break",ISNUMBER(SEARCH("bent",C114)),"Material Twisted/Bent",ISNUMBER(SEARCH("twisted",C114)),"Material Twisted/Bent",ISNUMBER(SEARCH("component separat",C114)),"Material Separation",ISNUMBER(SEARCH("separat",C114)),"Material Separation",ISNUMBER(SEARCH("connection",C114)),"Loose or Intermittent Connection",ISNUMBER(SEARCH("loose",C114)),"Loose or Intermittent Connection",ISNUMBER(SEARCH("damaged packaging",C114)),"Packaging Problem",ISNUMBER(SEARCH("packaging",C114)),"Packaging Problem",ISNUMBER(SEARCH("discoloration",C114)),"Contamination",ISNUMBER(SEARCH("tarnish",C114)),"Contamination",ISNUMBER(SEARCH("stain",C114)),"Contamination",ISNUMBER(SEARCH("foreign material",C114)),"Contamination",ISNUMBER(SEARCH("contamina",C114)),"Contamination",ISNUMBER(SEARCH("overheat",C114)),"Overheating of Device",ISNUMBER(SEARCH("excessive heat",C114)),"Overheating of Device",ISNUMBER(SEARCH("hot",C114)),"Overheating of Device",ISNUMBER(SEARCH("noise",C114)),"Noise, Audible",ISNUMBER(SEARCH("sound",C114)),"Noise, Audible",ISNUMBER(SEARCH("loud",C114)),"Noise, Audible",ISNUMBER(SEARCH("fray",C114)),"Material Frayed",ISNUMBER(SEARCH("hole",C114)),"Material Frayed",ISNUMBER(SEARCH("tear",C114)),"Material Frayed",ISNUMBER(SEARCH("worn",C114)),"Material Frayed",ISNUMBER(SEARCH("intermittent",C114)),"Difficult or Delayed Activation",ISNUMBER(SEARCH("delay",C114)),"Difficult or Delayed Activation",ISNUMBER(SEARCH("label",C114)),"Device Markings/Labelling Problem",ISNUMBER(SEARCH("marking",C114)),"Device Markings/Labelling Problem",ISNUMBER(SEARCH("lacerat",C114)),"Defective Device",ISNUMBER(SEARCH("cut",C114)),"Defective Device",ISNUMBER(SEARCH("leak",C114)),"Fluid/Blood Leak",ISNUMBER(SEARCH("missing",C114)),"Component Missing",ISNUMBER(SEARCH("power",C114)),"Complete Loss of Power",ISNUMBER(SEARCH("will not turn on",C114)),"Complete Loss of Power",ISNUMBER(SEARCH("won't turn on",C114)),"Complete Loss of Power",ISNUMBER(SEARCH("does not turn on",C114)),"Complete Loss of Power",ISNUMBER(SEARCH("electrical",C114)),"Electrical Power Problem",ISNUMBER(SEARCH("pressure",C114)),"Detachment of Device or Device Component",ISNUMBER(SEARCH("slip",C114)),"Detachment of Device or Device Component",ISNUMBER(SEARCH("detach",C114)),"Detachment of Device or Device Component",ISNUMBER(SEARCH("stick",C114)),"Mechanical Jam",ISNUMBER(SEARCH("jam",C114)),"Mechanical Jam",ISNUMBER(SEARCH("rigid",C114)),"Mechanical Jam",ISNUMBER(SEARCH("rust",C114)),"Corroded",ISNUMBER(SEARCH("corrod",C114)),"Corroded",ISNUMBER(SEARCH("corrosion",C114)),"Corroded",ISNUMBER(SEARCH("alignment",C114)),"Defective Device",ISNUMBER(SEARCH("adjust",C114)),"Defective Device",ISNUMBER(SEARCH("perform",C114)),"Defective Device",ISNUMBER(SEARCH("malfunction",C114)),"Defective Device",ISNUMBER(SEARCH("defect",C114)),"Defective Device",ISNUMBER(SEARCH("fail",C114)),"Defective Device",ISNUMBER(SEARCH("not work",C114)),"Defective Device",ISNUMBER(SEARCH("doesn't work",C114)),"Defective Device",TRUE,"UNKNOWN"),"UNKNOWN")))</f>
        <v/>
      </c>
      <c r="F114" s="4" t="str">
        <f t="shared" si="1"/>
        <v/>
      </c>
      <c r="G114" s="363" t="str">
        <f>IF(E114="","",IFERROR(VLOOKUP(E114,Codes!$L$2:$N$409,3,FALSE),"—"))</f>
        <v/>
      </c>
      <c r="H114" s="88"/>
      <c r="I114" s="88"/>
    </row>
    <row r="115" spans="1:9" ht="13.15" x14ac:dyDescent="0.35">
      <c r="A115" s="435"/>
      <c r="B115" s="436"/>
      <c r="C115" s="438"/>
      <c r="D115" s="435"/>
      <c r="E115" s="93" t="str" cm="1">
        <f t="array" ref="E115">IF(D115&lt;&gt;"",IFERROR(VLOOKUP(D115,Codes!$K$2:$L$409,2,FALSE),"UNKNOWN - "&amp;D115),IF(C115="","",IFERROR(_xlfn.IFS(ISNUMBER(SEARCH("broken button",C115)),"Break",ISNUMBER(SEARCH("broken handle",C115)),"Break",ISNUMBER(SEARCH("shipping damage",C115)),"Break",ISNUMBER(SEARCH("broken",C115)),"Break",ISNUMBER(SEARCH("crack",C115)),"Break",ISNUMBER(SEARCH("snap",C115)),"Break",ISNUMBER(SEARCH("fracture",C115)),"Break",ISNUMBER(SEARCH("bent",C115)),"Material Twisted/Bent",ISNUMBER(SEARCH("twisted",C115)),"Material Twisted/Bent",ISNUMBER(SEARCH("component separat",C115)),"Material Separation",ISNUMBER(SEARCH("separat",C115)),"Material Separation",ISNUMBER(SEARCH("connection",C115)),"Loose or Intermittent Connection",ISNUMBER(SEARCH("loose",C115)),"Loose or Intermittent Connection",ISNUMBER(SEARCH("damaged packaging",C115)),"Packaging Problem",ISNUMBER(SEARCH("packaging",C115)),"Packaging Problem",ISNUMBER(SEARCH("discoloration",C115)),"Contamination",ISNUMBER(SEARCH("tarnish",C115)),"Contamination",ISNUMBER(SEARCH("stain",C115)),"Contamination",ISNUMBER(SEARCH("foreign material",C115)),"Contamination",ISNUMBER(SEARCH("contamina",C115)),"Contamination",ISNUMBER(SEARCH("overheat",C115)),"Overheating of Device",ISNUMBER(SEARCH("excessive heat",C115)),"Overheating of Device",ISNUMBER(SEARCH("hot",C115)),"Overheating of Device",ISNUMBER(SEARCH("noise",C115)),"Noise, Audible",ISNUMBER(SEARCH("sound",C115)),"Noise, Audible",ISNUMBER(SEARCH("loud",C115)),"Noise, Audible",ISNUMBER(SEARCH("fray",C115)),"Material Frayed",ISNUMBER(SEARCH("hole",C115)),"Material Frayed",ISNUMBER(SEARCH("tear",C115)),"Material Frayed",ISNUMBER(SEARCH("worn",C115)),"Material Frayed",ISNUMBER(SEARCH("intermittent",C115)),"Difficult or Delayed Activation",ISNUMBER(SEARCH("delay",C115)),"Difficult or Delayed Activation",ISNUMBER(SEARCH("label",C115)),"Device Markings/Labelling Problem",ISNUMBER(SEARCH("marking",C115)),"Device Markings/Labelling Problem",ISNUMBER(SEARCH("lacerat",C115)),"Defective Device",ISNUMBER(SEARCH("cut",C115)),"Defective Device",ISNUMBER(SEARCH("leak",C115)),"Fluid/Blood Leak",ISNUMBER(SEARCH("missing",C115)),"Component Missing",ISNUMBER(SEARCH("power",C115)),"Complete Loss of Power",ISNUMBER(SEARCH("will not turn on",C115)),"Complete Loss of Power",ISNUMBER(SEARCH("won't turn on",C115)),"Complete Loss of Power",ISNUMBER(SEARCH("does not turn on",C115)),"Complete Loss of Power",ISNUMBER(SEARCH("electrical",C115)),"Electrical Power Problem",ISNUMBER(SEARCH("pressure",C115)),"Detachment of Device or Device Component",ISNUMBER(SEARCH("slip",C115)),"Detachment of Device or Device Component",ISNUMBER(SEARCH("detach",C115)),"Detachment of Device or Device Component",ISNUMBER(SEARCH("stick",C115)),"Mechanical Jam",ISNUMBER(SEARCH("jam",C115)),"Mechanical Jam",ISNUMBER(SEARCH("rigid",C115)),"Mechanical Jam",ISNUMBER(SEARCH("rust",C115)),"Corroded",ISNUMBER(SEARCH("corrod",C115)),"Corroded",ISNUMBER(SEARCH("corrosion",C115)),"Corroded",ISNUMBER(SEARCH("alignment",C115)),"Defective Device",ISNUMBER(SEARCH("adjust",C115)),"Defective Device",ISNUMBER(SEARCH("perform",C115)),"Defective Device",ISNUMBER(SEARCH("malfunction",C115)),"Defective Device",ISNUMBER(SEARCH("defect",C115)),"Defective Device",ISNUMBER(SEARCH("fail",C115)),"Defective Device",ISNUMBER(SEARCH("not work",C115)),"Defective Device",ISNUMBER(SEARCH("doesn't work",C115)),"Defective Device",TRUE,"UNKNOWN"),"UNKNOWN")))</f>
        <v/>
      </c>
      <c r="F115" s="4" t="str">
        <f t="shared" si="1"/>
        <v/>
      </c>
      <c r="G115" s="363" t="str">
        <f>IF(E115="","",IFERROR(VLOOKUP(E115,Codes!$L$2:$N$409,3,FALSE),"—"))</f>
        <v/>
      </c>
      <c r="H115" s="88"/>
      <c r="I115" s="88"/>
    </row>
    <row r="116" spans="1:9" ht="13.15" x14ac:dyDescent="0.35">
      <c r="A116" s="435"/>
      <c r="B116" s="436"/>
      <c r="C116" s="438"/>
      <c r="D116" s="435"/>
      <c r="E116" s="93" t="str" cm="1">
        <f t="array" ref="E116">IF(D116&lt;&gt;"",IFERROR(VLOOKUP(D116,Codes!$K$2:$L$409,2,FALSE),"UNKNOWN - "&amp;D116),IF(C116="","",IFERROR(_xlfn.IFS(ISNUMBER(SEARCH("broken button",C116)),"Break",ISNUMBER(SEARCH("broken handle",C116)),"Break",ISNUMBER(SEARCH("shipping damage",C116)),"Break",ISNUMBER(SEARCH("broken",C116)),"Break",ISNUMBER(SEARCH("crack",C116)),"Break",ISNUMBER(SEARCH("snap",C116)),"Break",ISNUMBER(SEARCH("fracture",C116)),"Break",ISNUMBER(SEARCH("bent",C116)),"Material Twisted/Bent",ISNUMBER(SEARCH("twisted",C116)),"Material Twisted/Bent",ISNUMBER(SEARCH("component separat",C116)),"Material Separation",ISNUMBER(SEARCH("separat",C116)),"Material Separation",ISNUMBER(SEARCH("connection",C116)),"Loose or Intermittent Connection",ISNUMBER(SEARCH("loose",C116)),"Loose or Intermittent Connection",ISNUMBER(SEARCH("damaged packaging",C116)),"Packaging Problem",ISNUMBER(SEARCH("packaging",C116)),"Packaging Problem",ISNUMBER(SEARCH("discoloration",C116)),"Contamination",ISNUMBER(SEARCH("tarnish",C116)),"Contamination",ISNUMBER(SEARCH("stain",C116)),"Contamination",ISNUMBER(SEARCH("foreign material",C116)),"Contamination",ISNUMBER(SEARCH("contamina",C116)),"Contamination",ISNUMBER(SEARCH("overheat",C116)),"Overheating of Device",ISNUMBER(SEARCH("excessive heat",C116)),"Overheating of Device",ISNUMBER(SEARCH("hot",C116)),"Overheating of Device",ISNUMBER(SEARCH("noise",C116)),"Noise, Audible",ISNUMBER(SEARCH("sound",C116)),"Noise, Audible",ISNUMBER(SEARCH("loud",C116)),"Noise, Audible",ISNUMBER(SEARCH("fray",C116)),"Material Frayed",ISNUMBER(SEARCH("hole",C116)),"Material Frayed",ISNUMBER(SEARCH("tear",C116)),"Material Frayed",ISNUMBER(SEARCH("worn",C116)),"Material Frayed",ISNUMBER(SEARCH("intermittent",C116)),"Difficult or Delayed Activation",ISNUMBER(SEARCH("delay",C116)),"Difficult or Delayed Activation",ISNUMBER(SEARCH("label",C116)),"Device Markings/Labelling Problem",ISNUMBER(SEARCH("marking",C116)),"Device Markings/Labelling Problem",ISNUMBER(SEARCH("lacerat",C116)),"Defective Device",ISNUMBER(SEARCH("cut",C116)),"Defective Device",ISNUMBER(SEARCH("leak",C116)),"Fluid/Blood Leak",ISNUMBER(SEARCH("missing",C116)),"Component Missing",ISNUMBER(SEARCH("power",C116)),"Complete Loss of Power",ISNUMBER(SEARCH("will not turn on",C116)),"Complete Loss of Power",ISNUMBER(SEARCH("won't turn on",C116)),"Complete Loss of Power",ISNUMBER(SEARCH("does not turn on",C116)),"Complete Loss of Power",ISNUMBER(SEARCH("electrical",C116)),"Electrical Power Problem",ISNUMBER(SEARCH("pressure",C116)),"Detachment of Device or Device Component",ISNUMBER(SEARCH("slip",C116)),"Detachment of Device or Device Component",ISNUMBER(SEARCH("detach",C116)),"Detachment of Device or Device Component",ISNUMBER(SEARCH("stick",C116)),"Mechanical Jam",ISNUMBER(SEARCH("jam",C116)),"Mechanical Jam",ISNUMBER(SEARCH("rigid",C116)),"Mechanical Jam",ISNUMBER(SEARCH("rust",C116)),"Corroded",ISNUMBER(SEARCH("corrod",C116)),"Corroded",ISNUMBER(SEARCH("corrosion",C116)),"Corroded",ISNUMBER(SEARCH("alignment",C116)),"Defective Device",ISNUMBER(SEARCH("adjust",C116)),"Defective Device",ISNUMBER(SEARCH("perform",C116)),"Defective Device",ISNUMBER(SEARCH("malfunction",C116)),"Defective Device",ISNUMBER(SEARCH("defect",C116)),"Defective Device",ISNUMBER(SEARCH("fail",C116)),"Defective Device",ISNUMBER(SEARCH("not work",C116)),"Defective Device",ISNUMBER(SEARCH("doesn't work",C116)),"Defective Device",TRUE,"UNKNOWN"),"UNKNOWN")))</f>
        <v/>
      </c>
      <c r="F116" s="4" t="str">
        <f t="shared" si="1"/>
        <v/>
      </c>
      <c r="G116" s="363" t="str">
        <f>IF(E116="","",IFERROR(VLOOKUP(E116,Codes!$L$2:$N$409,3,FALSE),"—"))</f>
        <v/>
      </c>
      <c r="H116" s="88"/>
      <c r="I116" s="88"/>
    </row>
    <row r="117" spans="1:9" ht="13.15" x14ac:dyDescent="0.35">
      <c r="A117" s="434"/>
      <c r="B117" s="436"/>
      <c r="C117" s="437"/>
      <c r="D117" s="434"/>
      <c r="E117" s="93" t="str" cm="1">
        <f t="array" ref="E117">IF(D117&lt;&gt;"",IFERROR(VLOOKUP(D117,Codes!$K$2:$L$409,2,FALSE),"UNKNOWN - "&amp;D117),IF(C117="","",IFERROR(_xlfn.IFS(ISNUMBER(SEARCH("broken button",C117)),"Break",ISNUMBER(SEARCH("broken handle",C117)),"Break",ISNUMBER(SEARCH("shipping damage",C117)),"Break",ISNUMBER(SEARCH("broken",C117)),"Break",ISNUMBER(SEARCH("crack",C117)),"Break",ISNUMBER(SEARCH("snap",C117)),"Break",ISNUMBER(SEARCH("fracture",C117)),"Break",ISNUMBER(SEARCH("bent",C117)),"Material Twisted/Bent",ISNUMBER(SEARCH("twisted",C117)),"Material Twisted/Bent",ISNUMBER(SEARCH("component separat",C117)),"Material Separation",ISNUMBER(SEARCH("separat",C117)),"Material Separation",ISNUMBER(SEARCH("connection",C117)),"Loose or Intermittent Connection",ISNUMBER(SEARCH("loose",C117)),"Loose or Intermittent Connection",ISNUMBER(SEARCH("damaged packaging",C117)),"Packaging Problem",ISNUMBER(SEARCH("packaging",C117)),"Packaging Problem",ISNUMBER(SEARCH("discoloration",C117)),"Contamination",ISNUMBER(SEARCH("tarnish",C117)),"Contamination",ISNUMBER(SEARCH("stain",C117)),"Contamination",ISNUMBER(SEARCH("foreign material",C117)),"Contamination",ISNUMBER(SEARCH("contamina",C117)),"Contamination",ISNUMBER(SEARCH("overheat",C117)),"Overheating of Device",ISNUMBER(SEARCH("excessive heat",C117)),"Overheating of Device",ISNUMBER(SEARCH("hot",C117)),"Overheating of Device",ISNUMBER(SEARCH("noise",C117)),"Noise, Audible",ISNUMBER(SEARCH("sound",C117)),"Noise, Audible",ISNUMBER(SEARCH("loud",C117)),"Noise, Audible",ISNUMBER(SEARCH("fray",C117)),"Material Frayed",ISNUMBER(SEARCH("hole",C117)),"Material Frayed",ISNUMBER(SEARCH("tear",C117)),"Material Frayed",ISNUMBER(SEARCH("worn",C117)),"Material Frayed",ISNUMBER(SEARCH("intermittent",C117)),"Difficult or Delayed Activation",ISNUMBER(SEARCH("delay",C117)),"Difficult or Delayed Activation",ISNUMBER(SEARCH("label",C117)),"Device Markings/Labelling Problem",ISNUMBER(SEARCH("marking",C117)),"Device Markings/Labelling Problem",ISNUMBER(SEARCH("lacerat",C117)),"Defective Device",ISNUMBER(SEARCH("cut",C117)),"Defective Device",ISNUMBER(SEARCH("leak",C117)),"Fluid/Blood Leak",ISNUMBER(SEARCH("missing",C117)),"Component Missing",ISNUMBER(SEARCH("power",C117)),"Complete Loss of Power",ISNUMBER(SEARCH("will not turn on",C117)),"Complete Loss of Power",ISNUMBER(SEARCH("won't turn on",C117)),"Complete Loss of Power",ISNUMBER(SEARCH("does not turn on",C117)),"Complete Loss of Power",ISNUMBER(SEARCH("electrical",C117)),"Electrical Power Problem",ISNUMBER(SEARCH("pressure",C117)),"Detachment of Device or Device Component",ISNUMBER(SEARCH("slip",C117)),"Detachment of Device or Device Component",ISNUMBER(SEARCH("detach",C117)),"Detachment of Device or Device Component",ISNUMBER(SEARCH("stick",C117)),"Mechanical Jam",ISNUMBER(SEARCH("jam",C117)),"Mechanical Jam",ISNUMBER(SEARCH("rigid",C117)),"Mechanical Jam",ISNUMBER(SEARCH("rust",C117)),"Corroded",ISNUMBER(SEARCH("corrod",C117)),"Corroded",ISNUMBER(SEARCH("corrosion",C117)),"Corroded",ISNUMBER(SEARCH("alignment",C117)),"Defective Device",ISNUMBER(SEARCH("adjust",C117)),"Defective Device",ISNUMBER(SEARCH("perform",C117)),"Defective Device",ISNUMBER(SEARCH("malfunction",C117)),"Defective Device",ISNUMBER(SEARCH("defect",C117)),"Defective Device",ISNUMBER(SEARCH("fail",C117)),"Defective Device",ISNUMBER(SEARCH("not work",C117)),"Defective Device",ISNUMBER(SEARCH("doesn't work",C117)),"Defective Device",TRUE,"UNKNOWN"),"UNKNOWN")))</f>
        <v/>
      </c>
      <c r="F117" s="4" t="str">
        <f t="shared" si="1"/>
        <v/>
      </c>
      <c r="G117" s="363" t="str">
        <f>IF(E117="","",IFERROR(VLOOKUP(E117,Codes!$L$2:$N$409,3,FALSE),"—"))</f>
        <v/>
      </c>
      <c r="H117" s="88"/>
      <c r="I117" s="88"/>
    </row>
    <row r="118" spans="1:9" ht="13.15" x14ac:dyDescent="0.35">
      <c r="A118" s="434"/>
      <c r="B118" s="436"/>
      <c r="C118" s="437"/>
      <c r="D118" s="434"/>
      <c r="E118" s="93" t="str" cm="1">
        <f t="array" ref="E118">IF(D118&lt;&gt;"",IFERROR(VLOOKUP(D118,Codes!$K$2:$L$409,2,FALSE),"UNKNOWN - "&amp;D118),IF(C118="","",IFERROR(_xlfn.IFS(ISNUMBER(SEARCH("broken button",C118)),"Break",ISNUMBER(SEARCH("broken handle",C118)),"Break",ISNUMBER(SEARCH("shipping damage",C118)),"Break",ISNUMBER(SEARCH("broken",C118)),"Break",ISNUMBER(SEARCH("crack",C118)),"Break",ISNUMBER(SEARCH("snap",C118)),"Break",ISNUMBER(SEARCH("fracture",C118)),"Break",ISNUMBER(SEARCH("bent",C118)),"Material Twisted/Bent",ISNUMBER(SEARCH("twisted",C118)),"Material Twisted/Bent",ISNUMBER(SEARCH("component separat",C118)),"Material Separation",ISNUMBER(SEARCH("separat",C118)),"Material Separation",ISNUMBER(SEARCH("connection",C118)),"Loose or Intermittent Connection",ISNUMBER(SEARCH("loose",C118)),"Loose or Intermittent Connection",ISNUMBER(SEARCH("damaged packaging",C118)),"Packaging Problem",ISNUMBER(SEARCH("packaging",C118)),"Packaging Problem",ISNUMBER(SEARCH("discoloration",C118)),"Contamination",ISNUMBER(SEARCH("tarnish",C118)),"Contamination",ISNUMBER(SEARCH("stain",C118)),"Contamination",ISNUMBER(SEARCH("foreign material",C118)),"Contamination",ISNUMBER(SEARCH("contamina",C118)),"Contamination",ISNUMBER(SEARCH("overheat",C118)),"Overheating of Device",ISNUMBER(SEARCH("excessive heat",C118)),"Overheating of Device",ISNUMBER(SEARCH("hot",C118)),"Overheating of Device",ISNUMBER(SEARCH("noise",C118)),"Noise, Audible",ISNUMBER(SEARCH("sound",C118)),"Noise, Audible",ISNUMBER(SEARCH("loud",C118)),"Noise, Audible",ISNUMBER(SEARCH("fray",C118)),"Material Frayed",ISNUMBER(SEARCH("hole",C118)),"Material Frayed",ISNUMBER(SEARCH("tear",C118)),"Material Frayed",ISNUMBER(SEARCH("worn",C118)),"Material Frayed",ISNUMBER(SEARCH("intermittent",C118)),"Difficult or Delayed Activation",ISNUMBER(SEARCH("delay",C118)),"Difficult or Delayed Activation",ISNUMBER(SEARCH("label",C118)),"Device Markings/Labelling Problem",ISNUMBER(SEARCH("marking",C118)),"Device Markings/Labelling Problem",ISNUMBER(SEARCH("lacerat",C118)),"Defective Device",ISNUMBER(SEARCH("cut",C118)),"Defective Device",ISNUMBER(SEARCH("leak",C118)),"Fluid/Blood Leak",ISNUMBER(SEARCH("missing",C118)),"Component Missing",ISNUMBER(SEARCH("power",C118)),"Complete Loss of Power",ISNUMBER(SEARCH("will not turn on",C118)),"Complete Loss of Power",ISNUMBER(SEARCH("won't turn on",C118)),"Complete Loss of Power",ISNUMBER(SEARCH("does not turn on",C118)),"Complete Loss of Power",ISNUMBER(SEARCH("electrical",C118)),"Electrical Power Problem",ISNUMBER(SEARCH("pressure",C118)),"Detachment of Device or Device Component",ISNUMBER(SEARCH("slip",C118)),"Detachment of Device or Device Component",ISNUMBER(SEARCH("detach",C118)),"Detachment of Device or Device Component",ISNUMBER(SEARCH("stick",C118)),"Mechanical Jam",ISNUMBER(SEARCH("jam",C118)),"Mechanical Jam",ISNUMBER(SEARCH("rigid",C118)),"Mechanical Jam",ISNUMBER(SEARCH("rust",C118)),"Corroded",ISNUMBER(SEARCH("corrod",C118)),"Corroded",ISNUMBER(SEARCH("corrosion",C118)),"Corroded",ISNUMBER(SEARCH("alignment",C118)),"Defective Device",ISNUMBER(SEARCH("adjust",C118)),"Defective Device",ISNUMBER(SEARCH("perform",C118)),"Defective Device",ISNUMBER(SEARCH("malfunction",C118)),"Defective Device",ISNUMBER(SEARCH("defect",C118)),"Defective Device",ISNUMBER(SEARCH("fail",C118)),"Defective Device",ISNUMBER(SEARCH("not work",C118)),"Defective Device",ISNUMBER(SEARCH("doesn't work",C118)),"Defective Device",TRUE,"UNKNOWN"),"UNKNOWN")))</f>
        <v/>
      </c>
      <c r="F118" s="4" t="str">
        <f t="shared" si="1"/>
        <v/>
      </c>
      <c r="G118" s="363" t="str">
        <f>IF(E118="","",IFERROR(VLOOKUP(E118,Codes!$L$2:$N$409,3,FALSE),"—"))</f>
        <v/>
      </c>
      <c r="H118" s="88"/>
      <c r="I118" s="88"/>
    </row>
    <row r="119" spans="1:9" ht="13.15" x14ac:dyDescent="0.35">
      <c r="A119" s="435"/>
      <c r="B119" s="436"/>
      <c r="C119" s="438"/>
      <c r="D119" s="435"/>
      <c r="E119" s="93" t="str" cm="1">
        <f t="array" ref="E119">IF(D119&lt;&gt;"",IFERROR(VLOOKUP(D119,Codes!$K$2:$L$409,2,FALSE),"UNKNOWN - "&amp;D119),IF(C119="","",IFERROR(_xlfn.IFS(ISNUMBER(SEARCH("broken button",C119)),"Break",ISNUMBER(SEARCH("broken handle",C119)),"Break",ISNUMBER(SEARCH("shipping damage",C119)),"Break",ISNUMBER(SEARCH("broken",C119)),"Break",ISNUMBER(SEARCH("crack",C119)),"Break",ISNUMBER(SEARCH("snap",C119)),"Break",ISNUMBER(SEARCH("fracture",C119)),"Break",ISNUMBER(SEARCH("bent",C119)),"Material Twisted/Bent",ISNUMBER(SEARCH("twisted",C119)),"Material Twisted/Bent",ISNUMBER(SEARCH("component separat",C119)),"Material Separation",ISNUMBER(SEARCH("separat",C119)),"Material Separation",ISNUMBER(SEARCH("connection",C119)),"Loose or Intermittent Connection",ISNUMBER(SEARCH("loose",C119)),"Loose or Intermittent Connection",ISNUMBER(SEARCH("damaged packaging",C119)),"Packaging Problem",ISNUMBER(SEARCH("packaging",C119)),"Packaging Problem",ISNUMBER(SEARCH("discoloration",C119)),"Contamination",ISNUMBER(SEARCH("tarnish",C119)),"Contamination",ISNUMBER(SEARCH("stain",C119)),"Contamination",ISNUMBER(SEARCH("foreign material",C119)),"Contamination",ISNUMBER(SEARCH("contamina",C119)),"Contamination",ISNUMBER(SEARCH("overheat",C119)),"Overheating of Device",ISNUMBER(SEARCH("excessive heat",C119)),"Overheating of Device",ISNUMBER(SEARCH("hot",C119)),"Overheating of Device",ISNUMBER(SEARCH("noise",C119)),"Noise, Audible",ISNUMBER(SEARCH("sound",C119)),"Noise, Audible",ISNUMBER(SEARCH("loud",C119)),"Noise, Audible",ISNUMBER(SEARCH("fray",C119)),"Material Frayed",ISNUMBER(SEARCH("hole",C119)),"Material Frayed",ISNUMBER(SEARCH("tear",C119)),"Material Frayed",ISNUMBER(SEARCH("worn",C119)),"Material Frayed",ISNUMBER(SEARCH("intermittent",C119)),"Difficult or Delayed Activation",ISNUMBER(SEARCH("delay",C119)),"Difficult or Delayed Activation",ISNUMBER(SEARCH("label",C119)),"Device Markings/Labelling Problem",ISNUMBER(SEARCH("marking",C119)),"Device Markings/Labelling Problem",ISNUMBER(SEARCH("lacerat",C119)),"Defective Device",ISNUMBER(SEARCH("cut",C119)),"Defective Device",ISNUMBER(SEARCH("leak",C119)),"Fluid/Blood Leak",ISNUMBER(SEARCH("missing",C119)),"Component Missing",ISNUMBER(SEARCH("power",C119)),"Complete Loss of Power",ISNUMBER(SEARCH("will not turn on",C119)),"Complete Loss of Power",ISNUMBER(SEARCH("won't turn on",C119)),"Complete Loss of Power",ISNUMBER(SEARCH("does not turn on",C119)),"Complete Loss of Power",ISNUMBER(SEARCH("electrical",C119)),"Electrical Power Problem",ISNUMBER(SEARCH("pressure",C119)),"Detachment of Device or Device Component",ISNUMBER(SEARCH("slip",C119)),"Detachment of Device or Device Component",ISNUMBER(SEARCH("detach",C119)),"Detachment of Device or Device Component",ISNUMBER(SEARCH("stick",C119)),"Mechanical Jam",ISNUMBER(SEARCH("jam",C119)),"Mechanical Jam",ISNUMBER(SEARCH("rigid",C119)),"Mechanical Jam",ISNUMBER(SEARCH("rust",C119)),"Corroded",ISNUMBER(SEARCH("corrod",C119)),"Corroded",ISNUMBER(SEARCH("corrosion",C119)),"Corroded",ISNUMBER(SEARCH("alignment",C119)),"Defective Device",ISNUMBER(SEARCH("adjust",C119)),"Defective Device",ISNUMBER(SEARCH("perform",C119)),"Defective Device",ISNUMBER(SEARCH("malfunction",C119)),"Defective Device",ISNUMBER(SEARCH("defect",C119)),"Defective Device",ISNUMBER(SEARCH("fail",C119)),"Defective Device",ISNUMBER(SEARCH("not work",C119)),"Defective Device",ISNUMBER(SEARCH("doesn't work",C119)),"Defective Device",TRUE,"UNKNOWN"),"UNKNOWN")))</f>
        <v/>
      </c>
      <c r="F119" s="4" t="str">
        <f t="shared" si="1"/>
        <v/>
      </c>
      <c r="G119" s="363" t="str">
        <f>IF(E119="","",IFERROR(VLOOKUP(E119,Codes!$L$2:$N$409,3,FALSE),"—"))</f>
        <v/>
      </c>
      <c r="H119" s="88"/>
      <c r="I119" s="88"/>
    </row>
    <row r="120" spans="1:9" ht="13.15" x14ac:dyDescent="0.35">
      <c r="A120" s="434"/>
      <c r="B120" s="436"/>
      <c r="C120" s="437"/>
      <c r="D120" s="434"/>
      <c r="E120" s="93" t="str" cm="1">
        <f t="array" ref="E120">IF(D120&lt;&gt;"",IFERROR(VLOOKUP(D120,Codes!$K$2:$L$409,2,FALSE),"UNKNOWN - "&amp;D120),IF(C120="","",IFERROR(_xlfn.IFS(ISNUMBER(SEARCH("broken button",C120)),"Break",ISNUMBER(SEARCH("broken handle",C120)),"Break",ISNUMBER(SEARCH("shipping damage",C120)),"Break",ISNUMBER(SEARCH("broken",C120)),"Break",ISNUMBER(SEARCH("crack",C120)),"Break",ISNUMBER(SEARCH("snap",C120)),"Break",ISNUMBER(SEARCH("fracture",C120)),"Break",ISNUMBER(SEARCH("bent",C120)),"Material Twisted/Bent",ISNUMBER(SEARCH("twisted",C120)),"Material Twisted/Bent",ISNUMBER(SEARCH("component separat",C120)),"Material Separation",ISNUMBER(SEARCH("separat",C120)),"Material Separation",ISNUMBER(SEARCH("connection",C120)),"Loose or Intermittent Connection",ISNUMBER(SEARCH("loose",C120)),"Loose or Intermittent Connection",ISNUMBER(SEARCH("damaged packaging",C120)),"Packaging Problem",ISNUMBER(SEARCH("packaging",C120)),"Packaging Problem",ISNUMBER(SEARCH("discoloration",C120)),"Contamination",ISNUMBER(SEARCH("tarnish",C120)),"Contamination",ISNUMBER(SEARCH("stain",C120)),"Contamination",ISNUMBER(SEARCH("foreign material",C120)),"Contamination",ISNUMBER(SEARCH("contamina",C120)),"Contamination",ISNUMBER(SEARCH("overheat",C120)),"Overheating of Device",ISNUMBER(SEARCH("excessive heat",C120)),"Overheating of Device",ISNUMBER(SEARCH("hot",C120)),"Overheating of Device",ISNUMBER(SEARCH("noise",C120)),"Noise, Audible",ISNUMBER(SEARCH("sound",C120)),"Noise, Audible",ISNUMBER(SEARCH("loud",C120)),"Noise, Audible",ISNUMBER(SEARCH("fray",C120)),"Material Frayed",ISNUMBER(SEARCH("hole",C120)),"Material Frayed",ISNUMBER(SEARCH("tear",C120)),"Material Frayed",ISNUMBER(SEARCH("worn",C120)),"Material Frayed",ISNUMBER(SEARCH("intermittent",C120)),"Difficult or Delayed Activation",ISNUMBER(SEARCH("delay",C120)),"Difficult or Delayed Activation",ISNUMBER(SEARCH("label",C120)),"Device Markings/Labelling Problem",ISNUMBER(SEARCH("marking",C120)),"Device Markings/Labelling Problem",ISNUMBER(SEARCH("lacerat",C120)),"Defective Device",ISNUMBER(SEARCH("cut",C120)),"Defective Device",ISNUMBER(SEARCH("leak",C120)),"Fluid/Blood Leak",ISNUMBER(SEARCH("missing",C120)),"Component Missing",ISNUMBER(SEARCH("power",C120)),"Complete Loss of Power",ISNUMBER(SEARCH("will not turn on",C120)),"Complete Loss of Power",ISNUMBER(SEARCH("won't turn on",C120)),"Complete Loss of Power",ISNUMBER(SEARCH("does not turn on",C120)),"Complete Loss of Power",ISNUMBER(SEARCH("electrical",C120)),"Electrical Power Problem",ISNUMBER(SEARCH("pressure",C120)),"Detachment of Device or Device Component",ISNUMBER(SEARCH("slip",C120)),"Detachment of Device or Device Component",ISNUMBER(SEARCH("detach",C120)),"Detachment of Device or Device Component",ISNUMBER(SEARCH("stick",C120)),"Mechanical Jam",ISNUMBER(SEARCH("jam",C120)),"Mechanical Jam",ISNUMBER(SEARCH("rigid",C120)),"Mechanical Jam",ISNUMBER(SEARCH("rust",C120)),"Corroded",ISNUMBER(SEARCH("corrod",C120)),"Corroded",ISNUMBER(SEARCH("corrosion",C120)),"Corroded",ISNUMBER(SEARCH("alignment",C120)),"Defective Device",ISNUMBER(SEARCH("adjust",C120)),"Defective Device",ISNUMBER(SEARCH("perform",C120)),"Defective Device",ISNUMBER(SEARCH("malfunction",C120)),"Defective Device",ISNUMBER(SEARCH("defect",C120)),"Defective Device",ISNUMBER(SEARCH("fail",C120)),"Defective Device",ISNUMBER(SEARCH("not work",C120)),"Defective Device",ISNUMBER(SEARCH("doesn't work",C120)),"Defective Device",TRUE,"UNKNOWN"),"UNKNOWN")))</f>
        <v/>
      </c>
      <c r="F120" s="4" t="str">
        <f t="shared" si="1"/>
        <v/>
      </c>
      <c r="G120" s="363" t="str">
        <f>IF(E120="","",IFERROR(VLOOKUP(E120,Codes!$L$2:$N$409,3,FALSE),"—"))</f>
        <v/>
      </c>
      <c r="H120" s="88"/>
      <c r="I120" s="88"/>
    </row>
    <row r="121" spans="1:9" ht="13.15" x14ac:dyDescent="0.35">
      <c r="A121" s="435"/>
      <c r="B121" s="436"/>
      <c r="C121" s="438"/>
      <c r="D121" s="435"/>
      <c r="E121" s="93" t="str" cm="1">
        <f t="array" ref="E121">IF(D121&lt;&gt;"",IFERROR(VLOOKUP(D121,Codes!$K$2:$L$409,2,FALSE),"UNKNOWN - "&amp;D121),IF(C121="","",IFERROR(_xlfn.IFS(ISNUMBER(SEARCH("broken button",C121)),"Break",ISNUMBER(SEARCH("broken handle",C121)),"Break",ISNUMBER(SEARCH("shipping damage",C121)),"Break",ISNUMBER(SEARCH("broken",C121)),"Break",ISNUMBER(SEARCH("crack",C121)),"Break",ISNUMBER(SEARCH("snap",C121)),"Break",ISNUMBER(SEARCH("fracture",C121)),"Break",ISNUMBER(SEARCH("bent",C121)),"Material Twisted/Bent",ISNUMBER(SEARCH("twisted",C121)),"Material Twisted/Bent",ISNUMBER(SEARCH("component separat",C121)),"Material Separation",ISNUMBER(SEARCH("separat",C121)),"Material Separation",ISNUMBER(SEARCH("connection",C121)),"Loose or Intermittent Connection",ISNUMBER(SEARCH("loose",C121)),"Loose or Intermittent Connection",ISNUMBER(SEARCH("damaged packaging",C121)),"Packaging Problem",ISNUMBER(SEARCH("packaging",C121)),"Packaging Problem",ISNUMBER(SEARCH("discoloration",C121)),"Contamination",ISNUMBER(SEARCH("tarnish",C121)),"Contamination",ISNUMBER(SEARCH("stain",C121)),"Contamination",ISNUMBER(SEARCH("foreign material",C121)),"Contamination",ISNUMBER(SEARCH("contamina",C121)),"Contamination",ISNUMBER(SEARCH("overheat",C121)),"Overheating of Device",ISNUMBER(SEARCH("excessive heat",C121)),"Overheating of Device",ISNUMBER(SEARCH("hot",C121)),"Overheating of Device",ISNUMBER(SEARCH("noise",C121)),"Noise, Audible",ISNUMBER(SEARCH("sound",C121)),"Noise, Audible",ISNUMBER(SEARCH("loud",C121)),"Noise, Audible",ISNUMBER(SEARCH("fray",C121)),"Material Frayed",ISNUMBER(SEARCH("hole",C121)),"Material Frayed",ISNUMBER(SEARCH("tear",C121)),"Material Frayed",ISNUMBER(SEARCH("worn",C121)),"Material Frayed",ISNUMBER(SEARCH("intermittent",C121)),"Difficult or Delayed Activation",ISNUMBER(SEARCH("delay",C121)),"Difficult or Delayed Activation",ISNUMBER(SEARCH("label",C121)),"Device Markings/Labelling Problem",ISNUMBER(SEARCH("marking",C121)),"Device Markings/Labelling Problem",ISNUMBER(SEARCH("lacerat",C121)),"Defective Device",ISNUMBER(SEARCH("cut",C121)),"Defective Device",ISNUMBER(SEARCH("leak",C121)),"Fluid/Blood Leak",ISNUMBER(SEARCH("missing",C121)),"Component Missing",ISNUMBER(SEARCH("power",C121)),"Complete Loss of Power",ISNUMBER(SEARCH("will not turn on",C121)),"Complete Loss of Power",ISNUMBER(SEARCH("won't turn on",C121)),"Complete Loss of Power",ISNUMBER(SEARCH("does not turn on",C121)),"Complete Loss of Power",ISNUMBER(SEARCH("electrical",C121)),"Electrical Power Problem",ISNUMBER(SEARCH("pressure",C121)),"Detachment of Device or Device Component",ISNUMBER(SEARCH("slip",C121)),"Detachment of Device or Device Component",ISNUMBER(SEARCH("detach",C121)),"Detachment of Device or Device Component",ISNUMBER(SEARCH("stick",C121)),"Mechanical Jam",ISNUMBER(SEARCH("jam",C121)),"Mechanical Jam",ISNUMBER(SEARCH("rigid",C121)),"Mechanical Jam",ISNUMBER(SEARCH("rust",C121)),"Corroded",ISNUMBER(SEARCH("corrod",C121)),"Corroded",ISNUMBER(SEARCH("corrosion",C121)),"Corroded",ISNUMBER(SEARCH("alignment",C121)),"Defective Device",ISNUMBER(SEARCH("adjust",C121)),"Defective Device",ISNUMBER(SEARCH("perform",C121)),"Defective Device",ISNUMBER(SEARCH("malfunction",C121)),"Defective Device",ISNUMBER(SEARCH("defect",C121)),"Defective Device",ISNUMBER(SEARCH("fail",C121)),"Defective Device",ISNUMBER(SEARCH("not work",C121)),"Defective Device",ISNUMBER(SEARCH("doesn't work",C121)),"Defective Device",TRUE,"UNKNOWN"),"UNKNOWN")))</f>
        <v/>
      </c>
      <c r="F121" s="4" t="str">
        <f t="shared" si="1"/>
        <v/>
      </c>
      <c r="G121" s="363" t="str">
        <f>IF(E121="","",IFERROR(VLOOKUP(E121,Codes!$L$2:$N$409,3,FALSE),"—"))</f>
        <v/>
      </c>
      <c r="H121" s="88"/>
      <c r="I121" s="88"/>
    </row>
    <row r="122" spans="1:9" ht="13.15" x14ac:dyDescent="0.35">
      <c r="A122" s="435"/>
      <c r="B122" s="436"/>
      <c r="C122" s="438"/>
      <c r="D122" s="435"/>
      <c r="E122" s="93" t="str" cm="1">
        <f t="array" ref="E122">IF(D122&lt;&gt;"",IFERROR(VLOOKUP(D122,Codes!$K$2:$L$409,2,FALSE),"UNKNOWN - "&amp;D122),IF(C122="","",IFERROR(_xlfn.IFS(ISNUMBER(SEARCH("broken button",C122)),"Break",ISNUMBER(SEARCH("broken handle",C122)),"Break",ISNUMBER(SEARCH("shipping damage",C122)),"Break",ISNUMBER(SEARCH("broken",C122)),"Break",ISNUMBER(SEARCH("crack",C122)),"Break",ISNUMBER(SEARCH("snap",C122)),"Break",ISNUMBER(SEARCH("fracture",C122)),"Break",ISNUMBER(SEARCH("bent",C122)),"Material Twisted/Bent",ISNUMBER(SEARCH("twisted",C122)),"Material Twisted/Bent",ISNUMBER(SEARCH("component separat",C122)),"Material Separation",ISNUMBER(SEARCH("separat",C122)),"Material Separation",ISNUMBER(SEARCH("connection",C122)),"Loose or Intermittent Connection",ISNUMBER(SEARCH("loose",C122)),"Loose or Intermittent Connection",ISNUMBER(SEARCH("damaged packaging",C122)),"Packaging Problem",ISNUMBER(SEARCH("packaging",C122)),"Packaging Problem",ISNUMBER(SEARCH("discoloration",C122)),"Contamination",ISNUMBER(SEARCH("tarnish",C122)),"Contamination",ISNUMBER(SEARCH("stain",C122)),"Contamination",ISNUMBER(SEARCH("foreign material",C122)),"Contamination",ISNUMBER(SEARCH("contamina",C122)),"Contamination",ISNUMBER(SEARCH("overheat",C122)),"Overheating of Device",ISNUMBER(SEARCH("excessive heat",C122)),"Overheating of Device",ISNUMBER(SEARCH("hot",C122)),"Overheating of Device",ISNUMBER(SEARCH("noise",C122)),"Noise, Audible",ISNUMBER(SEARCH("sound",C122)),"Noise, Audible",ISNUMBER(SEARCH("loud",C122)),"Noise, Audible",ISNUMBER(SEARCH("fray",C122)),"Material Frayed",ISNUMBER(SEARCH("hole",C122)),"Material Frayed",ISNUMBER(SEARCH("tear",C122)),"Material Frayed",ISNUMBER(SEARCH("worn",C122)),"Material Frayed",ISNUMBER(SEARCH("intermittent",C122)),"Difficult or Delayed Activation",ISNUMBER(SEARCH("delay",C122)),"Difficult or Delayed Activation",ISNUMBER(SEARCH("label",C122)),"Device Markings/Labelling Problem",ISNUMBER(SEARCH("marking",C122)),"Device Markings/Labelling Problem",ISNUMBER(SEARCH("lacerat",C122)),"Defective Device",ISNUMBER(SEARCH("cut",C122)),"Defective Device",ISNUMBER(SEARCH("leak",C122)),"Fluid/Blood Leak",ISNUMBER(SEARCH("missing",C122)),"Component Missing",ISNUMBER(SEARCH("power",C122)),"Complete Loss of Power",ISNUMBER(SEARCH("will not turn on",C122)),"Complete Loss of Power",ISNUMBER(SEARCH("won't turn on",C122)),"Complete Loss of Power",ISNUMBER(SEARCH("does not turn on",C122)),"Complete Loss of Power",ISNUMBER(SEARCH("electrical",C122)),"Electrical Power Problem",ISNUMBER(SEARCH("pressure",C122)),"Detachment of Device or Device Component",ISNUMBER(SEARCH("slip",C122)),"Detachment of Device or Device Component",ISNUMBER(SEARCH("detach",C122)),"Detachment of Device or Device Component",ISNUMBER(SEARCH("stick",C122)),"Mechanical Jam",ISNUMBER(SEARCH("jam",C122)),"Mechanical Jam",ISNUMBER(SEARCH("rigid",C122)),"Mechanical Jam",ISNUMBER(SEARCH("rust",C122)),"Corroded",ISNUMBER(SEARCH("corrod",C122)),"Corroded",ISNUMBER(SEARCH("corrosion",C122)),"Corroded",ISNUMBER(SEARCH("alignment",C122)),"Defective Device",ISNUMBER(SEARCH("adjust",C122)),"Defective Device",ISNUMBER(SEARCH("perform",C122)),"Defective Device",ISNUMBER(SEARCH("malfunction",C122)),"Defective Device",ISNUMBER(SEARCH("defect",C122)),"Defective Device",ISNUMBER(SEARCH("fail",C122)),"Defective Device",ISNUMBER(SEARCH("not work",C122)),"Defective Device",ISNUMBER(SEARCH("doesn't work",C122)),"Defective Device",TRUE,"UNKNOWN"),"UNKNOWN")))</f>
        <v/>
      </c>
      <c r="F122" s="4" t="str">
        <f t="shared" si="1"/>
        <v/>
      </c>
      <c r="G122" s="363" t="str">
        <f>IF(E122="","",IFERROR(VLOOKUP(E122,Codes!$L$2:$N$409,3,FALSE),"—"))</f>
        <v/>
      </c>
      <c r="H122" s="88"/>
      <c r="I122" s="88"/>
    </row>
    <row r="123" spans="1:9" ht="13.15" x14ac:dyDescent="0.35">
      <c r="A123" s="434"/>
      <c r="B123" s="436"/>
      <c r="C123" s="437"/>
      <c r="D123" s="434"/>
      <c r="E123" s="93" t="str" cm="1">
        <f t="array" ref="E123">IF(D123&lt;&gt;"",IFERROR(VLOOKUP(D123,Codes!$K$2:$L$409,2,FALSE),"UNKNOWN - "&amp;D123),IF(C123="","",IFERROR(_xlfn.IFS(ISNUMBER(SEARCH("broken button",C123)),"Break",ISNUMBER(SEARCH("broken handle",C123)),"Break",ISNUMBER(SEARCH("shipping damage",C123)),"Break",ISNUMBER(SEARCH("broken",C123)),"Break",ISNUMBER(SEARCH("crack",C123)),"Break",ISNUMBER(SEARCH("snap",C123)),"Break",ISNUMBER(SEARCH("fracture",C123)),"Break",ISNUMBER(SEARCH("bent",C123)),"Material Twisted/Bent",ISNUMBER(SEARCH("twisted",C123)),"Material Twisted/Bent",ISNUMBER(SEARCH("component separat",C123)),"Material Separation",ISNUMBER(SEARCH("separat",C123)),"Material Separation",ISNUMBER(SEARCH("connection",C123)),"Loose or Intermittent Connection",ISNUMBER(SEARCH("loose",C123)),"Loose or Intermittent Connection",ISNUMBER(SEARCH("damaged packaging",C123)),"Packaging Problem",ISNUMBER(SEARCH("packaging",C123)),"Packaging Problem",ISNUMBER(SEARCH("discoloration",C123)),"Contamination",ISNUMBER(SEARCH("tarnish",C123)),"Contamination",ISNUMBER(SEARCH("stain",C123)),"Contamination",ISNUMBER(SEARCH("foreign material",C123)),"Contamination",ISNUMBER(SEARCH("contamina",C123)),"Contamination",ISNUMBER(SEARCH("overheat",C123)),"Overheating of Device",ISNUMBER(SEARCH("excessive heat",C123)),"Overheating of Device",ISNUMBER(SEARCH("hot",C123)),"Overheating of Device",ISNUMBER(SEARCH("noise",C123)),"Noise, Audible",ISNUMBER(SEARCH("sound",C123)),"Noise, Audible",ISNUMBER(SEARCH("loud",C123)),"Noise, Audible",ISNUMBER(SEARCH("fray",C123)),"Material Frayed",ISNUMBER(SEARCH("hole",C123)),"Material Frayed",ISNUMBER(SEARCH("tear",C123)),"Material Frayed",ISNUMBER(SEARCH("worn",C123)),"Material Frayed",ISNUMBER(SEARCH("intermittent",C123)),"Difficult or Delayed Activation",ISNUMBER(SEARCH("delay",C123)),"Difficult or Delayed Activation",ISNUMBER(SEARCH("label",C123)),"Device Markings/Labelling Problem",ISNUMBER(SEARCH("marking",C123)),"Device Markings/Labelling Problem",ISNUMBER(SEARCH("lacerat",C123)),"Defective Device",ISNUMBER(SEARCH("cut",C123)),"Defective Device",ISNUMBER(SEARCH("leak",C123)),"Fluid/Blood Leak",ISNUMBER(SEARCH("missing",C123)),"Component Missing",ISNUMBER(SEARCH("power",C123)),"Complete Loss of Power",ISNUMBER(SEARCH("will not turn on",C123)),"Complete Loss of Power",ISNUMBER(SEARCH("won't turn on",C123)),"Complete Loss of Power",ISNUMBER(SEARCH("does not turn on",C123)),"Complete Loss of Power",ISNUMBER(SEARCH("electrical",C123)),"Electrical Power Problem",ISNUMBER(SEARCH("pressure",C123)),"Detachment of Device or Device Component",ISNUMBER(SEARCH("slip",C123)),"Detachment of Device or Device Component",ISNUMBER(SEARCH("detach",C123)),"Detachment of Device or Device Component",ISNUMBER(SEARCH("stick",C123)),"Mechanical Jam",ISNUMBER(SEARCH("jam",C123)),"Mechanical Jam",ISNUMBER(SEARCH("rigid",C123)),"Mechanical Jam",ISNUMBER(SEARCH("rust",C123)),"Corroded",ISNUMBER(SEARCH("corrod",C123)),"Corroded",ISNUMBER(SEARCH("corrosion",C123)),"Corroded",ISNUMBER(SEARCH("alignment",C123)),"Defective Device",ISNUMBER(SEARCH("adjust",C123)),"Defective Device",ISNUMBER(SEARCH("perform",C123)),"Defective Device",ISNUMBER(SEARCH("malfunction",C123)),"Defective Device",ISNUMBER(SEARCH("defect",C123)),"Defective Device",ISNUMBER(SEARCH("fail",C123)),"Defective Device",ISNUMBER(SEARCH("not work",C123)),"Defective Device",ISNUMBER(SEARCH("doesn't work",C123)),"Defective Device",TRUE,"UNKNOWN"),"UNKNOWN")))</f>
        <v/>
      </c>
      <c r="F123" s="4" t="str">
        <f t="shared" si="1"/>
        <v/>
      </c>
      <c r="G123" s="363" t="str">
        <f>IF(E123="","",IFERROR(VLOOKUP(E123,Codes!$L$2:$N$409,3,FALSE),"—"))</f>
        <v/>
      </c>
      <c r="H123" s="88"/>
      <c r="I123" s="88"/>
    </row>
    <row r="124" spans="1:9" ht="13.15" x14ac:dyDescent="0.35">
      <c r="A124" s="435"/>
      <c r="B124" s="436"/>
      <c r="C124" s="438"/>
      <c r="D124" s="435"/>
      <c r="E124" s="93" t="str" cm="1">
        <f t="array" ref="E124">IF(D124&lt;&gt;"",IFERROR(VLOOKUP(D124,Codes!$K$2:$L$409,2,FALSE),"UNKNOWN - "&amp;D124),IF(C124="","",IFERROR(_xlfn.IFS(ISNUMBER(SEARCH("broken button",C124)),"Break",ISNUMBER(SEARCH("broken handle",C124)),"Break",ISNUMBER(SEARCH("shipping damage",C124)),"Break",ISNUMBER(SEARCH("broken",C124)),"Break",ISNUMBER(SEARCH("crack",C124)),"Break",ISNUMBER(SEARCH("snap",C124)),"Break",ISNUMBER(SEARCH("fracture",C124)),"Break",ISNUMBER(SEARCH("bent",C124)),"Material Twisted/Bent",ISNUMBER(SEARCH("twisted",C124)),"Material Twisted/Bent",ISNUMBER(SEARCH("component separat",C124)),"Material Separation",ISNUMBER(SEARCH("separat",C124)),"Material Separation",ISNUMBER(SEARCH("connection",C124)),"Loose or Intermittent Connection",ISNUMBER(SEARCH("loose",C124)),"Loose or Intermittent Connection",ISNUMBER(SEARCH("damaged packaging",C124)),"Packaging Problem",ISNUMBER(SEARCH("packaging",C124)),"Packaging Problem",ISNUMBER(SEARCH("discoloration",C124)),"Contamination",ISNUMBER(SEARCH("tarnish",C124)),"Contamination",ISNUMBER(SEARCH("stain",C124)),"Contamination",ISNUMBER(SEARCH("foreign material",C124)),"Contamination",ISNUMBER(SEARCH("contamina",C124)),"Contamination",ISNUMBER(SEARCH("overheat",C124)),"Overheating of Device",ISNUMBER(SEARCH("excessive heat",C124)),"Overheating of Device",ISNUMBER(SEARCH("hot",C124)),"Overheating of Device",ISNUMBER(SEARCH("noise",C124)),"Noise, Audible",ISNUMBER(SEARCH("sound",C124)),"Noise, Audible",ISNUMBER(SEARCH("loud",C124)),"Noise, Audible",ISNUMBER(SEARCH("fray",C124)),"Material Frayed",ISNUMBER(SEARCH("hole",C124)),"Material Frayed",ISNUMBER(SEARCH("tear",C124)),"Material Frayed",ISNUMBER(SEARCH("worn",C124)),"Material Frayed",ISNUMBER(SEARCH("intermittent",C124)),"Difficult or Delayed Activation",ISNUMBER(SEARCH("delay",C124)),"Difficult or Delayed Activation",ISNUMBER(SEARCH("label",C124)),"Device Markings/Labelling Problem",ISNUMBER(SEARCH("marking",C124)),"Device Markings/Labelling Problem",ISNUMBER(SEARCH("lacerat",C124)),"Defective Device",ISNUMBER(SEARCH("cut",C124)),"Defective Device",ISNUMBER(SEARCH("leak",C124)),"Fluid/Blood Leak",ISNUMBER(SEARCH("missing",C124)),"Component Missing",ISNUMBER(SEARCH("power",C124)),"Complete Loss of Power",ISNUMBER(SEARCH("will not turn on",C124)),"Complete Loss of Power",ISNUMBER(SEARCH("won't turn on",C124)),"Complete Loss of Power",ISNUMBER(SEARCH("does not turn on",C124)),"Complete Loss of Power",ISNUMBER(SEARCH("electrical",C124)),"Electrical Power Problem",ISNUMBER(SEARCH("pressure",C124)),"Detachment of Device or Device Component",ISNUMBER(SEARCH("slip",C124)),"Detachment of Device or Device Component",ISNUMBER(SEARCH("detach",C124)),"Detachment of Device or Device Component",ISNUMBER(SEARCH("stick",C124)),"Mechanical Jam",ISNUMBER(SEARCH("jam",C124)),"Mechanical Jam",ISNUMBER(SEARCH("rigid",C124)),"Mechanical Jam",ISNUMBER(SEARCH("rust",C124)),"Corroded",ISNUMBER(SEARCH("corrod",C124)),"Corroded",ISNUMBER(SEARCH("corrosion",C124)),"Corroded",ISNUMBER(SEARCH("alignment",C124)),"Defective Device",ISNUMBER(SEARCH("adjust",C124)),"Defective Device",ISNUMBER(SEARCH("perform",C124)),"Defective Device",ISNUMBER(SEARCH("malfunction",C124)),"Defective Device",ISNUMBER(SEARCH("defect",C124)),"Defective Device",ISNUMBER(SEARCH("fail",C124)),"Defective Device",ISNUMBER(SEARCH("not work",C124)),"Defective Device",ISNUMBER(SEARCH("doesn't work",C124)),"Defective Device",TRUE,"UNKNOWN"),"UNKNOWN")))</f>
        <v/>
      </c>
      <c r="F124" s="4" t="str">
        <f t="shared" si="1"/>
        <v/>
      </c>
      <c r="G124" s="363" t="str">
        <f>IF(E124="","",IFERROR(VLOOKUP(E124,Codes!$L$2:$N$409,3,FALSE),"—"))</f>
        <v/>
      </c>
      <c r="H124" s="88"/>
      <c r="I124" s="88"/>
    </row>
    <row r="125" spans="1:9" ht="13.15" x14ac:dyDescent="0.35">
      <c r="A125" s="434"/>
      <c r="B125" s="436"/>
      <c r="C125" s="437"/>
      <c r="D125" s="434"/>
      <c r="E125" s="93" t="str" cm="1">
        <f t="array" ref="E125">IF(D125&lt;&gt;"",IFERROR(VLOOKUP(D125,Codes!$K$2:$L$409,2,FALSE),"UNKNOWN - "&amp;D125),IF(C125="","",IFERROR(_xlfn.IFS(ISNUMBER(SEARCH("broken button",C125)),"Break",ISNUMBER(SEARCH("broken handle",C125)),"Break",ISNUMBER(SEARCH("shipping damage",C125)),"Break",ISNUMBER(SEARCH("broken",C125)),"Break",ISNUMBER(SEARCH("crack",C125)),"Break",ISNUMBER(SEARCH("snap",C125)),"Break",ISNUMBER(SEARCH("fracture",C125)),"Break",ISNUMBER(SEARCH("bent",C125)),"Material Twisted/Bent",ISNUMBER(SEARCH("twisted",C125)),"Material Twisted/Bent",ISNUMBER(SEARCH("component separat",C125)),"Material Separation",ISNUMBER(SEARCH("separat",C125)),"Material Separation",ISNUMBER(SEARCH("connection",C125)),"Loose or Intermittent Connection",ISNUMBER(SEARCH("loose",C125)),"Loose or Intermittent Connection",ISNUMBER(SEARCH("damaged packaging",C125)),"Packaging Problem",ISNUMBER(SEARCH("packaging",C125)),"Packaging Problem",ISNUMBER(SEARCH("discoloration",C125)),"Contamination",ISNUMBER(SEARCH("tarnish",C125)),"Contamination",ISNUMBER(SEARCH("stain",C125)),"Contamination",ISNUMBER(SEARCH("foreign material",C125)),"Contamination",ISNUMBER(SEARCH("contamina",C125)),"Contamination",ISNUMBER(SEARCH("overheat",C125)),"Overheating of Device",ISNUMBER(SEARCH("excessive heat",C125)),"Overheating of Device",ISNUMBER(SEARCH("hot",C125)),"Overheating of Device",ISNUMBER(SEARCH("noise",C125)),"Noise, Audible",ISNUMBER(SEARCH("sound",C125)),"Noise, Audible",ISNUMBER(SEARCH("loud",C125)),"Noise, Audible",ISNUMBER(SEARCH("fray",C125)),"Material Frayed",ISNUMBER(SEARCH("hole",C125)),"Material Frayed",ISNUMBER(SEARCH("tear",C125)),"Material Frayed",ISNUMBER(SEARCH("worn",C125)),"Material Frayed",ISNUMBER(SEARCH("intermittent",C125)),"Difficult or Delayed Activation",ISNUMBER(SEARCH("delay",C125)),"Difficult or Delayed Activation",ISNUMBER(SEARCH("label",C125)),"Device Markings/Labelling Problem",ISNUMBER(SEARCH("marking",C125)),"Device Markings/Labelling Problem",ISNUMBER(SEARCH("lacerat",C125)),"Defective Device",ISNUMBER(SEARCH("cut",C125)),"Defective Device",ISNUMBER(SEARCH("leak",C125)),"Fluid/Blood Leak",ISNUMBER(SEARCH("missing",C125)),"Component Missing",ISNUMBER(SEARCH("power",C125)),"Complete Loss of Power",ISNUMBER(SEARCH("will not turn on",C125)),"Complete Loss of Power",ISNUMBER(SEARCH("won't turn on",C125)),"Complete Loss of Power",ISNUMBER(SEARCH("does not turn on",C125)),"Complete Loss of Power",ISNUMBER(SEARCH("electrical",C125)),"Electrical Power Problem",ISNUMBER(SEARCH("pressure",C125)),"Detachment of Device or Device Component",ISNUMBER(SEARCH("slip",C125)),"Detachment of Device or Device Component",ISNUMBER(SEARCH("detach",C125)),"Detachment of Device or Device Component",ISNUMBER(SEARCH("stick",C125)),"Mechanical Jam",ISNUMBER(SEARCH("jam",C125)),"Mechanical Jam",ISNUMBER(SEARCH("rigid",C125)),"Mechanical Jam",ISNUMBER(SEARCH("rust",C125)),"Corroded",ISNUMBER(SEARCH("corrod",C125)),"Corroded",ISNUMBER(SEARCH("corrosion",C125)),"Corroded",ISNUMBER(SEARCH("alignment",C125)),"Defective Device",ISNUMBER(SEARCH("adjust",C125)),"Defective Device",ISNUMBER(SEARCH("perform",C125)),"Defective Device",ISNUMBER(SEARCH("malfunction",C125)),"Defective Device",ISNUMBER(SEARCH("defect",C125)),"Defective Device",ISNUMBER(SEARCH("fail",C125)),"Defective Device",ISNUMBER(SEARCH("not work",C125)),"Defective Device",ISNUMBER(SEARCH("doesn't work",C125)),"Defective Device",TRUE,"UNKNOWN"),"UNKNOWN")))</f>
        <v/>
      </c>
      <c r="F125" s="4" t="str">
        <f t="shared" si="1"/>
        <v/>
      </c>
      <c r="G125" s="363" t="str">
        <f>IF(E125="","",IFERROR(VLOOKUP(E125,Codes!$L$2:$N$409,3,FALSE),"—"))</f>
        <v/>
      </c>
      <c r="H125" s="88"/>
      <c r="I125" s="88"/>
    </row>
    <row r="126" spans="1:9" ht="13.15" x14ac:dyDescent="0.35">
      <c r="A126" s="435"/>
      <c r="B126" s="436"/>
      <c r="C126" s="438"/>
      <c r="D126" s="435"/>
      <c r="E126" s="93" t="str" cm="1">
        <f t="array" ref="E126">IF(D126&lt;&gt;"",IFERROR(VLOOKUP(D126,Codes!$K$2:$L$409,2,FALSE),"UNKNOWN - "&amp;D126),IF(C126="","",IFERROR(_xlfn.IFS(ISNUMBER(SEARCH("broken button",C126)),"Break",ISNUMBER(SEARCH("broken handle",C126)),"Break",ISNUMBER(SEARCH("shipping damage",C126)),"Break",ISNUMBER(SEARCH("broken",C126)),"Break",ISNUMBER(SEARCH("crack",C126)),"Break",ISNUMBER(SEARCH("snap",C126)),"Break",ISNUMBER(SEARCH("fracture",C126)),"Break",ISNUMBER(SEARCH("bent",C126)),"Material Twisted/Bent",ISNUMBER(SEARCH("twisted",C126)),"Material Twisted/Bent",ISNUMBER(SEARCH("component separat",C126)),"Material Separation",ISNUMBER(SEARCH("separat",C126)),"Material Separation",ISNUMBER(SEARCH("connection",C126)),"Loose or Intermittent Connection",ISNUMBER(SEARCH("loose",C126)),"Loose or Intermittent Connection",ISNUMBER(SEARCH("damaged packaging",C126)),"Packaging Problem",ISNUMBER(SEARCH("packaging",C126)),"Packaging Problem",ISNUMBER(SEARCH("discoloration",C126)),"Contamination",ISNUMBER(SEARCH("tarnish",C126)),"Contamination",ISNUMBER(SEARCH("stain",C126)),"Contamination",ISNUMBER(SEARCH("foreign material",C126)),"Contamination",ISNUMBER(SEARCH("contamina",C126)),"Contamination",ISNUMBER(SEARCH("overheat",C126)),"Overheating of Device",ISNUMBER(SEARCH("excessive heat",C126)),"Overheating of Device",ISNUMBER(SEARCH("hot",C126)),"Overheating of Device",ISNUMBER(SEARCH("noise",C126)),"Noise, Audible",ISNUMBER(SEARCH("sound",C126)),"Noise, Audible",ISNUMBER(SEARCH("loud",C126)),"Noise, Audible",ISNUMBER(SEARCH("fray",C126)),"Material Frayed",ISNUMBER(SEARCH("hole",C126)),"Material Frayed",ISNUMBER(SEARCH("tear",C126)),"Material Frayed",ISNUMBER(SEARCH("worn",C126)),"Material Frayed",ISNUMBER(SEARCH("intermittent",C126)),"Difficult or Delayed Activation",ISNUMBER(SEARCH("delay",C126)),"Difficult or Delayed Activation",ISNUMBER(SEARCH("label",C126)),"Device Markings/Labelling Problem",ISNUMBER(SEARCH("marking",C126)),"Device Markings/Labelling Problem",ISNUMBER(SEARCH("lacerat",C126)),"Defective Device",ISNUMBER(SEARCH("cut",C126)),"Defective Device",ISNUMBER(SEARCH("leak",C126)),"Fluid/Blood Leak",ISNUMBER(SEARCH("missing",C126)),"Component Missing",ISNUMBER(SEARCH("power",C126)),"Complete Loss of Power",ISNUMBER(SEARCH("will not turn on",C126)),"Complete Loss of Power",ISNUMBER(SEARCH("won't turn on",C126)),"Complete Loss of Power",ISNUMBER(SEARCH("does not turn on",C126)),"Complete Loss of Power",ISNUMBER(SEARCH("electrical",C126)),"Electrical Power Problem",ISNUMBER(SEARCH("pressure",C126)),"Detachment of Device or Device Component",ISNUMBER(SEARCH("slip",C126)),"Detachment of Device or Device Component",ISNUMBER(SEARCH("detach",C126)),"Detachment of Device or Device Component",ISNUMBER(SEARCH("stick",C126)),"Mechanical Jam",ISNUMBER(SEARCH("jam",C126)),"Mechanical Jam",ISNUMBER(SEARCH("rigid",C126)),"Mechanical Jam",ISNUMBER(SEARCH("rust",C126)),"Corroded",ISNUMBER(SEARCH("corrod",C126)),"Corroded",ISNUMBER(SEARCH("corrosion",C126)),"Corroded",ISNUMBER(SEARCH("alignment",C126)),"Defective Device",ISNUMBER(SEARCH("adjust",C126)),"Defective Device",ISNUMBER(SEARCH("perform",C126)),"Defective Device",ISNUMBER(SEARCH("malfunction",C126)),"Defective Device",ISNUMBER(SEARCH("defect",C126)),"Defective Device",ISNUMBER(SEARCH("fail",C126)),"Defective Device",ISNUMBER(SEARCH("not work",C126)),"Defective Device",ISNUMBER(SEARCH("doesn't work",C126)),"Defective Device",TRUE,"UNKNOWN"),"UNKNOWN")))</f>
        <v/>
      </c>
      <c r="F126" s="4" t="str">
        <f t="shared" si="1"/>
        <v/>
      </c>
      <c r="G126" s="363" t="str">
        <f>IF(E126="","",IFERROR(VLOOKUP(E126,Codes!$L$2:$N$409,3,FALSE),"—"))</f>
        <v/>
      </c>
      <c r="H126" s="88"/>
      <c r="I126" s="88"/>
    </row>
    <row r="127" spans="1:9" ht="13.15" x14ac:dyDescent="0.35">
      <c r="A127" s="434"/>
      <c r="B127" s="436"/>
      <c r="C127" s="437"/>
      <c r="D127" s="434"/>
      <c r="E127" s="93" t="str" cm="1">
        <f t="array" ref="E127">IF(D127&lt;&gt;"",IFERROR(VLOOKUP(D127,Codes!$K$2:$L$409,2,FALSE),"UNKNOWN - "&amp;D127),IF(C127="","",IFERROR(_xlfn.IFS(ISNUMBER(SEARCH("broken button",C127)),"Break",ISNUMBER(SEARCH("broken handle",C127)),"Break",ISNUMBER(SEARCH("shipping damage",C127)),"Break",ISNUMBER(SEARCH("broken",C127)),"Break",ISNUMBER(SEARCH("crack",C127)),"Break",ISNUMBER(SEARCH("snap",C127)),"Break",ISNUMBER(SEARCH("fracture",C127)),"Break",ISNUMBER(SEARCH("bent",C127)),"Material Twisted/Bent",ISNUMBER(SEARCH("twisted",C127)),"Material Twisted/Bent",ISNUMBER(SEARCH("component separat",C127)),"Material Separation",ISNUMBER(SEARCH("separat",C127)),"Material Separation",ISNUMBER(SEARCH("connection",C127)),"Loose or Intermittent Connection",ISNUMBER(SEARCH("loose",C127)),"Loose or Intermittent Connection",ISNUMBER(SEARCH("damaged packaging",C127)),"Packaging Problem",ISNUMBER(SEARCH("packaging",C127)),"Packaging Problem",ISNUMBER(SEARCH("discoloration",C127)),"Contamination",ISNUMBER(SEARCH("tarnish",C127)),"Contamination",ISNUMBER(SEARCH("stain",C127)),"Contamination",ISNUMBER(SEARCH("foreign material",C127)),"Contamination",ISNUMBER(SEARCH("contamina",C127)),"Contamination",ISNUMBER(SEARCH("overheat",C127)),"Overheating of Device",ISNUMBER(SEARCH("excessive heat",C127)),"Overheating of Device",ISNUMBER(SEARCH("hot",C127)),"Overheating of Device",ISNUMBER(SEARCH("noise",C127)),"Noise, Audible",ISNUMBER(SEARCH("sound",C127)),"Noise, Audible",ISNUMBER(SEARCH("loud",C127)),"Noise, Audible",ISNUMBER(SEARCH("fray",C127)),"Material Frayed",ISNUMBER(SEARCH("hole",C127)),"Material Frayed",ISNUMBER(SEARCH("tear",C127)),"Material Frayed",ISNUMBER(SEARCH("worn",C127)),"Material Frayed",ISNUMBER(SEARCH("intermittent",C127)),"Difficult or Delayed Activation",ISNUMBER(SEARCH("delay",C127)),"Difficult or Delayed Activation",ISNUMBER(SEARCH("label",C127)),"Device Markings/Labelling Problem",ISNUMBER(SEARCH("marking",C127)),"Device Markings/Labelling Problem",ISNUMBER(SEARCH("lacerat",C127)),"Defective Device",ISNUMBER(SEARCH("cut",C127)),"Defective Device",ISNUMBER(SEARCH("leak",C127)),"Fluid/Blood Leak",ISNUMBER(SEARCH("missing",C127)),"Component Missing",ISNUMBER(SEARCH("power",C127)),"Complete Loss of Power",ISNUMBER(SEARCH("will not turn on",C127)),"Complete Loss of Power",ISNUMBER(SEARCH("won't turn on",C127)),"Complete Loss of Power",ISNUMBER(SEARCH("does not turn on",C127)),"Complete Loss of Power",ISNUMBER(SEARCH("electrical",C127)),"Electrical Power Problem",ISNUMBER(SEARCH("pressure",C127)),"Detachment of Device or Device Component",ISNUMBER(SEARCH("slip",C127)),"Detachment of Device or Device Component",ISNUMBER(SEARCH("detach",C127)),"Detachment of Device or Device Component",ISNUMBER(SEARCH("stick",C127)),"Mechanical Jam",ISNUMBER(SEARCH("jam",C127)),"Mechanical Jam",ISNUMBER(SEARCH("rigid",C127)),"Mechanical Jam",ISNUMBER(SEARCH("rust",C127)),"Corroded",ISNUMBER(SEARCH("corrod",C127)),"Corroded",ISNUMBER(SEARCH("corrosion",C127)),"Corroded",ISNUMBER(SEARCH("alignment",C127)),"Defective Device",ISNUMBER(SEARCH("adjust",C127)),"Defective Device",ISNUMBER(SEARCH("perform",C127)),"Defective Device",ISNUMBER(SEARCH("malfunction",C127)),"Defective Device",ISNUMBER(SEARCH("defect",C127)),"Defective Device",ISNUMBER(SEARCH("fail",C127)),"Defective Device",ISNUMBER(SEARCH("not work",C127)),"Defective Device",ISNUMBER(SEARCH("doesn't work",C127)),"Defective Device",TRUE,"UNKNOWN"),"UNKNOWN")))</f>
        <v/>
      </c>
      <c r="F127" s="4" t="str">
        <f t="shared" si="1"/>
        <v/>
      </c>
      <c r="G127" s="363" t="str">
        <f>IF(E127="","",IFERROR(VLOOKUP(E127,Codes!$L$2:$N$409,3,FALSE),"—"))</f>
        <v/>
      </c>
      <c r="H127" s="88"/>
      <c r="I127" s="88"/>
    </row>
    <row r="128" spans="1:9" ht="13.15" x14ac:dyDescent="0.35">
      <c r="A128" s="435"/>
      <c r="B128" s="436"/>
      <c r="C128" s="438"/>
      <c r="D128" s="435"/>
      <c r="E128" s="93" t="str" cm="1">
        <f t="array" ref="E128">IF(D128&lt;&gt;"",IFERROR(VLOOKUP(D128,Codes!$K$2:$L$409,2,FALSE),"UNKNOWN - "&amp;D128),IF(C128="","",IFERROR(_xlfn.IFS(ISNUMBER(SEARCH("broken button",C128)),"Break",ISNUMBER(SEARCH("broken handle",C128)),"Break",ISNUMBER(SEARCH("shipping damage",C128)),"Break",ISNUMBER(SEARCH("broken",C128)),"Break",ISNUMBER(SEARCH("crack",C128)),"Break",ISNUMBER(SEARCH("snap",C128)),"Break",ISNUMBER(SEARCH("fracture",C128)),"Break",ISNUMBER(SEARCH("bent",C128)),"Material Twisted/Bent",ISNUMBER(SEARCH("twisted",C128)),"Material Twisted/Bent",ISNUMBER(SEARCH("component separat",C128)),"Material Separation",ISNUMBER(SEARCH("separat",C128)),"Material Separation",ISNUMBER(SEARCH("connection",C128)),"Loose or Intermittent Connection",ISNUMBER(SEARCH("loose",C128)),"Loose or Intermittent Connection",ISNUMBER(SEARCH("damaged packaging",C128)),"Packaging Problem",ISNUMBER(SEARCH("packaging",C128)),"Packaging Problem",ISNUMBER(SEARCH("discoloration",C128)),"Contamination",ISNUMBER(SEARCH("tarnish",C128)),"Contamination",ISNUMBER(SEARCH("stain",C128)),"Contamination",ISNUMBER(SEARCH("foreign material",C128)),"Contamination",ISNUMBER(SEARCH("contamina",C128)),"Contamination",ISNUMBER(SEARCH("overheat",C128)),"Overheating of Device",ISNUMBER(SEARCH("excessive heat",C128)),"Overheating of Device",ISNUMBER(SEARCH("hot",C128)),"Overheating of Device",ISNUMBER(SEARCH("noise",C128)),"Noise, Audible",ISNUMBER(SEARCH("sound",C128)),"Noise, Audible",ISNUMBER(SEARCH("loud",C128)),"Noise, Audible",ISNUMBER(SEARCH("fray",C128)),"Material Frayed",ISNUMBER(SEARCH("hole",C128)),"Material Frayed",ISNUMBER(SEARCH("tear",C128)),"Material Frayed",ISNUMBER(SEARCH("worn",C128)),"Material Frayed",ISNUMBER(SEARCH("intermittent",C128)),"Difficult or Delayed Activation",ISNUMBER(SEARCH("delay",C128)),"Difficult or Delayed Activation",ISNUMBER(SEARCH("label",C128)),"Device Markings/Labelling Problem",ISNUMBER(SEARCH("marking",C128)),"Device Markings/Labelling Problem",ISNUMBER(SEARCH("lacerat",C128)),"Defective Device",ISNUMBER(SEARCH("cut",C128)),"Defective Device",ISNUMBER(SEARCH("leak",C128)),"Fluid/Blood Leak",ISNUMBER(SEARCH("missing",C128)),"Component Missing",ISNUMBER(SEARCH("power",C128)),"Complete Loss of Power",ISNUMBER(SEARCH("will not turn on",C128)),"Complete Loss of Power",ISNUMBER(SEARCH("won't turn on",C128)),"Complete Loss of Power",ISNUMBER(SEARCH("does not turn on",C128)),"Complete Loss of Power",ISNUMBER(SEARCH("electrical",C128)),"Electrical Power Problem",ISNUMBER(SEARCH("pressure",C128)),"Detachment of Device or Device Component",ISNUMBER(SEARCH("slip",C128)),"Detachment of Device or Device Component",ISNUMBER(SEARCH("detach",C128)),"Detachment of Device or Device Component",ISNUMBER(SEARCH("stick",C128)),"Mechanical Jam",ISNUMBER(SEARCH("jam",C128)),"Mechanical Jam",ISNUMBER(SEARCH("rigid",C128)),"Mechanical Jam",ISNUMBER(SEARCH("rust",C128)),"Corroded",ISNUMBER(SEARCH("corrod",C128)),"Corroded",ISNUMBER(SEARCH("corrosion",C128)),"Corroded",ISNUMBER(SEARCH("alignment",C128)),"Defective Device",ISNUMBER(SEARCH("adjust",C128)),"Defective Device",ISNUMBER(SEARCH("perform",C128)),"Defective Device",ISNUMBER(SEARCH("malfunction",C128)),"Defective Device",ISNUMBER(SEARCH("defect",C128)),"Defective Device",ISNUMBER(SEARCH("fail",C128)),"Defective Device",ISNUMBER(SEARCH("not work",C128)),"Defective Device",ISNUMBER(SEARCH("doesn't work",C128)),"Defective Device",TRUE,"UNKNOWN"),"UNKNOWN")))</f>
        <v/>
      </c>
      <c r="F128" s="4" t="str">
        <f t="shared" si="1"/>
        <v/>
      </c>
      <c r="G128" s="363" t="str">
        <f>IF(E128="","",IFERROR(VLOOKUP(E128,Codes!$L$2:$N$409,3,FALSE),"—"))</f>
        <v/>
      </c>
      <c r="H128" s="88"/>
      <c r="I128" s="88"/>
    </row>
    <row r="129" spans="1:9" ht="13.15" x14ac:dyDescent="0.35">
      <c r="A129" s="434"/>
      <c r="B129" s="436"/>
      <c r="C129" s="437"/>
      <c r="D129" s="434"/>
      <c r="E129" s="93" t="str" cm="1">
        <f t="array" ref="E129">IF(D129&lt;&gt;"",IFERROR(VLOOKUP(D129,Codes!$K$2:$L$409,2,FALSE),"UNKNOWN - "&amp;D129),IF(C129="","",IFERROR(_xlfn.IFS(ISNUMBER(SEARCH("broken button",C129)),"Break",ISNUMBER(SEARCH("broken handle",C129)),"Break",ISNUMBER(SEARCH("shipping damage",C129)),"Break",ISNUMBER(SEARCH("broken",C129)),"Break",ISNUMBER(SEARCH("crack",C129)),"Break",ISNUMBER(SEARCH("snap",C129)),"Break",ISNUMBER(SEARCH("fracture",C129)),"Break",ISNUMBER(SEARCH("bent",C129)),"Material Twisted/Bent",ISNUMBER(SEARCH("twisted",C129)),"Material Twisted/Bent",ISNUMBER(SEARCH("component separat",C129)),"Material Separation",ISNUMBER(SEARCH("separat",C129)),"Material Separation",ISNUMBER(SEARCH("connection",C129)),"Loose or Intermittent Connection",ISNUMBER(SEARCH("loose",C129)),"Loose or Intermittent Connection",ISNUMBER(SEARCH("damaged packaging",C129)),"Packaging Problem",ISNUMBER(SEARCH("packaging",C129)),"Packaging Problem",ISNUMBER(SEARCH("discoloration",C129)),"Contamination",ISNUMBER(SEARCH("tarnish",C129)),"Contamination",ISNUMBER(SEARCH("stain",C129)),"Contamination",ISNUMBER(SEARCH("foreign material",C129)),"Contamination",ISNUMBER(SEARCH("contamina",C129)),"Contamination",ISNUMBER(SEARCH("overheat",C129)),"Overheating of Device",ISNUMBER(SEARCH("excessive heat",C129)),"Overheating of Device",ISNUMBER(SEARCH("hot",C129)),"Overheating of Device",ISNUMBER(SEARCH("noise",C129)),"Noise, Audible",ISNUMBER(SEARCH("sound",C129)),"Noise, Audible",ISNUMBER(SEARCH("loud",C129)),"Noise, Audible",ISNUMBER(SEARCH("fray",C129)),"Material Frayed",ISNUMBER(SEARCH("hole",C129)),"Material Frayed",ISNUMBER(SEARCH("tear",C129)),"Material Frayed",ISNUMBER(SEARCH("worn",C129)),"Material Frayed",ISNUMBER(SEARCH("intermittent",C129)),"Difficult or Delayed Activation",ISNUMBER(SEARCH("delay",C129)),"Difficult or Delayed Activation",ISNUMBER(SEARCH("label",C129)),"Device Markings/Labelling Problem",ISNUMBER(SEARCH("marking",C129)),"Device Markings/Labelling Problem",ISNUMBER(SEARCH("lacerat",C129)),"Defective Device",ISNUMBER(SEARCH("cut",C129)),"Defective Device",ISNUMBER(SEARCH("leak",C129)),"Fluid/Blood Leak",ISNUMBER(SEARCH("missing",C129)),"Component Missing",ISNUMBER(SEARCH("power",C129)),"Complete Loss of Power",ISNUMBER(SEARCH("will not turn on",C129)),"Complete Loss of Power",ISNUMBER(SEARCH("won't turn on",C129)),"Complete Loss of Power",ISNUMBER(SEARCH("does not turn on",C129)),"Complete Loss of Power",ISNUMBER(SEARCH("electrical",C129)),"Electrical Power Problem",ISNUMBER(SEARCH("pressure",C129)),"Detachment of Device or Device Component",ISNUMBER(SEARCH("slip",C129)),"Detachment of Device or Device Component",ISNUMBER(SEARCH("detach",C129)),"Detachment of Device or Device Component",ISNUMBER(SEARCH("stick",C129)),"Mechanical Jam",ISNUMBER(SEARCH("jam",C129)),"Mechanical Jam",ISNUMBER(SEARCH("rigid",C129)),"Mechanical Jam",ISNUMBER(SEARCH("rust",C129)),"Corroded",ISNUMBER(SEARCH("corrod",C129)),"Corroded",ISNUMBER(SEARCH("corrosion",C129)),"Corroded",ISNUMBER(SEARCH("alignment",C129)),"Defective Device",ISNUMBER(SEARCH("adjust",C129)),"Defective Device",ISNUMBER(SEARCH("perform",C129)),"Defective Device",ISNUMBER(SEARCH("malfunction",C129)),"Defective Device",ISNUMBER(SEARCH("defect",C129)),"Defective Device",ISNUMBER(SEARCH("fail",C129)),"Defective Device",ISNUMBER(SEARCH("not work",C129)),"Defective Device",ISNUMBER(SEARCH("doesn't work",C129)),"Defective Device",TRUE,"UNKNOWN"),"UNKNOWN")))</f>
        <v/>
      </c>
      <c r="F129" s="4" t="str">
        <f t="shared" si="1"/>
        <v/>
      </c>
      <c r="G129" s="363" t="str">
        <f>IF(E129="","",IFERROR(VLOOKUP(E129,Codes!$L$2:$N$409,3,FALSE),"—"))</f>
        <v/>
      </c>
      <c r="H129" s="88"/>
      <c r="I129" s="88"/>
    </row>
    <row r="130" spans="1:9" ht="13.15" x14ac:dyDescent="0.35">
      <c r="A130" s="435"/>
      <c r="B130" s="436"/>
      <c r="C130" s="435"/>
      <c r="D130" s="435"/>
      <c r="E130" s="93" t="str" cm="1">
        <f t="array" ref="E130">IF(D130&lt;&gt;"",IFERROR(VLOOKUP(D130,Codes!$K$2:$L$409,2,FALSE),"UNKNOWN - "&amp;D130),IF(C130="","",IFERROR(_xlfn.IFS(ISNUMBER(SEARCH("broken button",C130)),"Break",ISNUMBER(SEARCH("broken handle",C130)),"Break",ISNUMBER(SEARCH("shipping damage",C130)),"Break",ISNUMBER(SEARCH("broken",C130)),"Break",ISNUMBER(SEARCH("crack",C130)),"Break",ISNUMBER(SEARCH("snap",C130)),"Break",ISNUMBER(SEARCH("fracture",C130)),"Break",ISNUMBER(SEARCH("bent",C130)),"Material Twisted/Bent",ISNUMBER(SEARCH("twisted",C130)),"Material Twisted/Bent",ISNUMBER(SEARCH("component separat",C130)),"Material Separation",ISNUMBER(SEARCH("separat",C130)),"Material Separation",ISNUMBER(SEARCH("connection",C130)),"Loose or Intermittent Connection",ISNUMBER(SEARCH("loose",C130)),"Loose or Intermittent Connection",ISNUMBER(SEARCH("damaged packaging",C130)),"Packaging Problem",ISNUMBER(SEARCH("packaging",C130)),"Packaging Problem",ISNUMBER(SEARCH("discoloration",C130)),"Contamination",ISNUMBER(SEARCH("tarnish",C130)),"Contamination",ISNUMBER(SEARCH("stain",C130)),"Contamination",ISNUMBER(SEARCH("foreign material",C130)),"Contamination",ISNUMBER(SEARCH("contamina",C130)),"Contamination",ISNUMBER(SEARCH("overheat",C130)),"Overheating of Device",ISNUMBER(SEARCH("excessive heat",C130)),"Overheating of Device",ISNUMBER(SEARCH("hot",C130)),"Overheating of Device",ISNUMBER(SEARCH("noise",C130)),"Noise, Audible",ISNUMBER(SEARCH("sound",C130)),"Noise, Audible",ISNUMBER(SEARCH("loud",C130)),"Noise, Audible",ISNUMBER(SEARCH("fray",C130)),"Material Frayed",ISNUMBER(SEARCH("hole",C130)),"Material Frayed",ISNUMBER(SEARCH("tear",C130)),"Material Frayed",ISNUMBER(SEARCH("worn",C130)),"Material Frayed",ISNUMBER(SEARCH("intermittent",C130)),"Difficult or Delayed Activation",ISNUMBER(SEARCH("delay",C130)),"Difficult or Delayed Activation",ISNUMBER(SEARCH("label",C130)),"Device Markings/Labelling Problem",ISNUMBER(SEARCH("marking",C130)),"Device Markings/Labelling Problem",ISNUMBER(SEARCH("lacerat",C130)),"Defective Device",ISNUMBER(SEARCH("cut",C130)),"Defective Device",ISNUMBER(SEARCH("leak",C130)),"Fluid/Blood Leak",ISNUMBER(SEARCH("missing",C130)),"Component Missing",ISNUMBER(SEARCH("power",C130)),"Complete Loss of Power",ISNUMBER(SEARCH("will not turn on",C130)),"Complete Loss of Power",ISNUMBER(SEARCH("won't turn on",C130)),"Complete Loss of Power",ISNUMBER(SEARCH("does not turn on",C130)),"Complete Loss of Power",ISNUMBER(SEARCH("electrical",C130)),"Electrical Power Problem",ISNUMBER(SEARCH("pressure",C130)),"Detachment of Device or Device Component",ISNUMBER(SEARCH("slip",C130)),"Detachment of Device or Device Component",ISNUMBER(SEARCH("detach",C130)),"Detachment of Device or Device Component",ISNUMBER(SEARCH("stick",C130)),"Mechanical Jam",ISNUMBER(SEARCH("jam",C130)),"Mechanical Jam",ISNUMBER(SEARCH("rigid",C130)),"Mechanical Jam",ISNUMBER(SEARCH("rust",C130)),"Corroded",ISNUMBER(SEARCH("corrod",C130)),"Corroded",ISNUMBER(SEARCH("corrosion",C130)),"Corroded",ISNUMBER(SEARCH("alignment",C130)),"Defective Device",ISNUMBER(SEARCH("adjust",C130)),"Defective Device",ISNUMBER(SEARCH("perform",C130)),"Defective Device",ISNUMBER(SEARCH("malfunction",C130)),"Defective Device",ISNUMBER(SEARCH("defect",C130)),"Defective Device",ISNUMBER(SEARCH("fail",C130)),"Defective Device",ISNUMBER(SEARCH("not work",C130)),"Defective Device",ISNUMBER(SEARCH("doesn't work",C130)),"Defective Device",TRUE,"UNKNOWN"),"UNKNOWN")))</f>
        <v/>
      </c>
      <c r="F130" s="4" t="str">
        <f t="shared" si="1"/>
        <v/>
      </c>
      <c r="G130" s="363" t="str">
        <f>IF(E130="","",IFERROR(VLOOKUP(E130,Codes!$L$2:$N$409,3,FALSE),"—"))</f>
        <v/>
      </c>
      <c r="H130" s="88"/>
      <c r="I130" s="88"/>
    </row>
    <row r="131" spans="1:9" ht="13.15" x14ac:dyDescent="0.35">
      <c r="A131" s="435"/>
      <c r="B131" s="436"/>
      <c r="C131" s="438"/>
      <c r="D131" s="435"/>
      <c r="E131" s="93" t="str" cm="1">
        <f t="array" ref="E131">IF(D131&lt;&gt;"",IFERROR(VLOOKUP(D131,Codes!$K$2:$L$409,2,FALSE),"UNKNOWN - "&amp;D131),IF(C131="","",IFERROR(_xlfn.IFS(ISNUMBER(SEARCH("broken button",C131)),"Break",ISNUMBER(SEARCH("broken handle",C131)),"Break",ISNUMBER(SEARCH("shipping damage",C131)),"Break",ISNUMBER(SEARCH("broken",C131)),"Break",ISNUMBER(SEARCH("crack",C131)),"Break",ISNUMBER(SEARCH("snap",C131)),"Break",ISNUMBER(SEARCH("fracture",C131)),"Break",ISNUMBER(SEARCH("bent",C131)),"Material Twisted/Bent",ISNUMBER(SEARCH("twisted",C131)),"Material Twisted/Bent",ISNUMBER(SEARCH("component separat",C131)),"Material Separation",ISNUMBER(SEARCH("separat",C131)),"Material Separation",ISNUMBER(SEARCH("connection",C131)),"Loose or Intermittent Connection",ISNUMBER(SEARCH("loose",C131)),"Loose or Intermittent Connection",ISNUMBER(SEARCH("damaged packaging",C131)),"Packaging Problem",ISNUMBER(SEARCH("packaging",C131)),"Packaging Problem",ISNUMBER(SEARCH("discoloration",C131)),"Contamination",ISNUMBER(SEARCH("tarnish",C131)),"Contamination",ISNUMBER(SEARCH("stain",C131)),"Contamination",ISNUMBER(SEARCH("foreign material",C131)),"Contamination",ISNUMBER(SEARCH("contamina",C131)),"Contamination",ISNUMBER(SEARCH("overheat",C131)),"Overheating of Device",ISNUMBER(SEARCH("excessive heat",C131)),"Overheating of Device",ISNUMBER(SEARCH("hot",C131)),"Overheating of Device",ISNUMBER(SEARCH("noise",C131)),"Noise, Audible",ISNUMBER(SEARCH("sound",C131)),"Noise, Audible",ISNUMBER(SEARCH("loud",C131)),"Noise, Audible",ISNUMBER(SEARCH("fray",C131)),"Material Frayed",ISNUMBER(SEARCH("hole",C131)),"Material Frayed",ISNUMBER(SEARCH("tear",C131)),"Material Frayed",ISNUMBER(SEARCH("worn",C131)),"Material Frayed",ISNUMBER(SEARCH("intermittent",C131)),"Difficult or Delayed Activation",ISNUMBER(SEARCH("delay",C131)),"Difficult or Delayed Activation",ISNUMBER(SEARCH("label",C131)),"Device Markings/Labelling Problem",ISNUMBER(SEARCH("marking",C131)),"Device Markings/Labelling Problem",ISNUMBER(SEARCH("lacerat",C131)),"Defective Device",ISNUMBER(SEARCH("cut",C131)),"Defective Device",ISNUMBER(SEARCH("leak",C131)),"Fluid/Blood Leak",ISNUMBER(SEARCH("missing",C131)),"Component Missing",ISNUMBER(SEARCH("power",C131)),"Complete Loss of Power",ISNUMBER(SEARCH("will not turn on",C131)),"Complete Loss of Power",ISNUMBER(SEARCH("won't turn on",C131)),"Complete Loss of Power",ISNUMBER(SEARCH("does not turn on",C131)),"Complete Loss of Power",ISNUMBER(SEARCH("electrical",C131)),"Electrical Power Problem",ISNUMBER(SEARCH("pressure",C131)),"Detachment of Device or Device Component",ISNUMBER(SEARCH("slip",C131)),"Detachment of Device or Device Component",ISNUMBER(SEARCH("detach",C131)),"Detachment of Device or Device Component",ISNUMBER(SEARCH("stick",C131)),"Mechanical Jam",ISNUMBER(SEARCH("jam",C131)),"Mechanical Jam",ISNUMBER(SEARCH("rigid",C131)),"Mechanical Jam",ISNUMBER(SEARCH("rust",C131)),"Corroded",ISNUMBER(SEARCH("corrod",C131)),"Corroded",ISNUMBER(SEARCH("corrosion",C131)),"Corroded",ISNUMBER(SEARCH("alignment",C131)),"Defective Device",ISNUMBER(SEARCH("adjust",C131)),"Defective Device",ISNUMBER(SEARCH("perform",C131)),"Defective Device",ISNUMBER(SEARCH("malfunction",C131)),"Defective Device",ISNUMBER(SEARCH("defect",C131)),"Defective Device",ISNUMBER(SEARCH("fail",C131)),"Defective Device",ISNUMBER(SEARCH("not work",C131)),"Defective Device",ISNUMBER(SEARCH("doesn't work",C131)),"Defective Device",TRUE,"UNKNOWN"),"UNKNOWN")))</f>
        <v/>
      </c>
      <c r="F131" s="4" t="str">
        <f t="shared" ref="F131:F194" si="2">IF(E131="","","No Clinical Signs, Symptoms or Conditions")</f>
        <v/>
      </c>
      <c r="G131" s="363" t="str">
        <f>IF(E131="","",IFERROR(VLOOKUP(E131,Codes!$L$2:$N$409,3,FALSE),"—"))</f>
        <v/>
      </c>
      <c r="H131" s="88"/>
      <c r="I131" s="88"/>
    </row>
    <row r="132" spans="1:9" ht="13.15" x14ac:dyDescent="0.35">
      <c r="A132" s="434"/>
      <c r="B132" s="436"/>
      <c r="C132" s="437"/>
      <c r="D132" s="434"/>
      <c r="E132" s="93" t="str" cm="1">
        <f t="array" ref="E132">IF(D132&lt;&gt;"",IFERROR(VLOOKUP(D132,Codes!$K$2:$L$409,2,FALSE),"UNKNOWN - "&amp;D132),IF(C132="","",IFERROR(_xlfn.IFS(ISNUMBER(SEARCH("broken button",C132)),"Break",ISNUMBER(SEARCH("broken handle",C132)),"Break",ISNUMBER(SEARCH("shipping damage",C132)),"Break",ISNUMBER(SEARCH("broken",C132)),"Break",ISNUMBER(SEARCH("crack",C132)),"Break",ISNUMBER(SEARCH("snap",C132)),"Break",ISNUMBER(SEARCH("fracture",C132)),"Break",ISNUMBER(SEARCH("bent",C132)),"Material Twisted/Bent",ISNUMBER(SEARCH("twisted",C132)),"Material Twisted/Bent",ISNUMBER(SEARCH("component separat",C132)),"Material Separation",ISNUMBER(SEARCH("separat",C132)),"Material Separation",ISNUMBER(SEARCH("connection",C132)),"Loose or Intermittent Connection",ISNUMBER(SEARCH("loose",C132)),"Loose or Intermittent Connection",ISNUMBER(SEARCH("damaged packaging",C132)),"Packaging Problem",ISNUMBER(SEARCH("packaging",C132)),"Packaging Problem",ISNUMBER(SEARCH("discoloration",C132)),"Contamination",ISNUMBER(SEARCH("tarnish",C132)),"Contamination",ISNUMBER(SEARCH("stain",C132)),"Contamination",ISNUMBER(SEARCH("foreign material",C132)),"Contamination",ISNUMBER(SEARCH("contamina",C132)),"Contamination",ISNUMBER(SEARCH("overheat",C132)),"Overheating of Device",ISNUMBER(SEARCH("excessive heat",C132)),"Overheating of Device",ISNUMBER(SEARCH("hot",C132)),"Overheating of Device",ISNUMBER(SEARCH("noise",C132)),"Noise, Audible",ISNUMBER(SEARCH("sound",C132)),"Noise, Audible",ISNUMBER(SEARCH("loud",C132)),"Noise, Audible",ISNUMBER(SEARCH("fray",C132)),"Material Frayed",ISNUMBER(SEARCH("hole",C132)),"Material Frayed",ISNUMBER(SEARCH("tear",C132)),"Material Frayed",ISNUMBER(SEARCH("worn",C132)),"Material Frayed",ISNUMBER(SEARCH("intermittent",C132)),"Difficult or Delayed Activation",ISNUMBER(SEARCH("delay",C132)),"Difficult or Delayed Activation",ISNUMBER(SEARCH("label",C132)),"Device Markings/Labelling Problem",ISNUMBER(SEARCH("marking",C132)),"Device Markings/Labelling Problem",ISNUMBER(SEARCH("lacerat",C132)),"Defective Device",ISNUMBER(SEARCH("cut",C132)),"Defective Device",ISNUMBER(SEARCH("leak",C132)),"Fluid/Blood Leak",ISNUMBER(SEARCH("missing",C132)),"Component Missing",ISNUMBER(SEARCH("power",C132)),"Complete Loss of Power",ISNUMBER(SEARCH("will not turn on",C132)),"Complete Loss of Power",ISNUMBER(SEARCH("won't turn on",C132)),"Complete Loss of Power",ISNUMBER(SEARCH("does not turn on",C132)),"Complete Loss of Power",ISNUMBER(SEARCH("electrical",C132)),"Electrical Power Problem",ISNUMBER(SEARCH("pressure",C132)),"Detachment of Device or Device Component",ISNUMBER(SEARCH("slip",C132)),"Detachment of Device or Device Component",ISNUMBER(SEARCH("detach",C132)),"Detachment of Device or Device Component",ISNUMBER(SEARCH("stick",C132)),"Mechanical Jam",ISNUMBER(SEARCH("jam",C132)),"Mechanical Jam",ISNUMBER(SEARCH("rigid",C132)),"Mechanical Jam",ISNUMBER(SEARCH("rust",C132)),"Corroded",ISNUMBER(SEARCH("corrod",C132)),"Corroded",ISNUMBER(SEARCH("corrosion",C132)),"Corroded",ISNUMBER(SEARCH("alignment",C132)),"Defective Device",ISNUMBER(SEARCH("adjust",C132)),"Defective Device",ISNUMBER(SEARCH("perform",C132)),"Defective Device",ISNUMBER(SEARCH("malfunction",C132)),"Defective Device",ISNUMBER(SEARCH("defect",C132)),"Defective Device",ISNUMBER(SEARCH("fail",C132)),"Defective Device",ISNUMBER(SEARCH("not work",C132)),"Defective Device",ISNUMBER(SEARCH("doesn't work",C132)),"Defective Device",TRUE,"UNKNOWN"),"UNKNOWN")))</f>
        <v/>
      </c>
      <c r="F132" s="4" t="str">
        <f t="shared" si="2"/>
        <v/>
      </c>
      <c r="G132" s="363" t="str">
        <f>IF(E132="","",IFERROR(VLOOKUP(E132,Codes!$L$2:$N$409,3,FALSE),"—"))</f>
        <v/>
      </c>
      <c r="H132" s="88"/>
      <c r="I132" s="88"/>
    </row>
    <row r="133" spans="1:9" ht="13.15" x14ac:dyDescent="0.35">
      <c r="A133" s="435"/>
      <c r="B133" s="436"/>
      <c r="C133" s="438"/>
      <c r="D133" s="435"/>
      <c r="E133" s="93" t="str" cm="1">
        <f t="array" ref="E133">IF(D133&lt;&gt;"",IFERROR(VLOOKUP(D133,Codes!$K$2:$L$409,2,FALSE),"UNKNOWN - "&amp;D133),IF(C133="","",IFERROR(_xlfn.IFS(ISNUMBER(SEARCH("broken button",C133)),"Break",ISNUMBER(SEARCH("broken handle",C133)),"Break",ISNUMBER(SEARCH("shipping damage",C133)),"Break",ISNUMBER(SEARCH("broken",C133)),"Break",ISNUMBER(SEARCH("crack",C133)),"Break",ISNUMBER(SEARCH("snap",C133)),"Break",ISNUMBER(SEARCH("fracture",C133)),"Break",ISNUMBER(SEARCH("bent",C133)),"Material Twisted/Bent",ISNUMBER(SEARCH("twisted",C133)),"Material Twisted/Bent",ISNUMBER(SEARCH("component separat",C133)),"Material Separation",ISNUMBER(SEARCH("separat",C133)),"Material Separation",ISNUMBER(SEARCH("connection",C133)),"Loose or Intermittent Connection",ISNUMBER(SEARCH("loose",C133)),"Loose or Intermittent Connection",ISNUMBER(SEARCH("damaged packaging",C133)),"Packaging Problem",ISNUMBER(SEARCH("packaging",C133)),"Packaging Problem",ISNUMBER(SEARCH("discoloration",C133)),"Contamination",ISNUMBER(SEARCH("tarnish",C133)),"Contamination",ISNUMBER(SEARCH("stain",C133)),"Contamination",ISNUMBER(SEARCH("foreign material",C133)),"Contamination",ISNUMBER(SEARCH("contamina",C133)),"Contamination",ISNUMBER(SEARCH("overheat",C133)),"Overheating of Device",ISNUMBER(SEARCH("excessive heat",C133)),"Overheating of Device",ISNUMBER(SEARCH("hot",C133)),"Overheating of Device",ISNUMBER(SEARCH("noise",C133)),"Noise, Audible",ISNUMBER(SEARCH("sound",C133)),"Noise, Audible",ISNUMBER(SEARCH("loud",C133)),"Noise, Audible",ISNUMBER(SEARCH("fray",C133)),"Material Frayed",ISNUMBER(SEARCH("hole",C133)),"Material Frayed",ISNUMBER(SEARCH("tear",C133)),"Material Frayed",ISNUMBER(SEARCH("worn",C133)),"Material Frayed",ISNUMBER(SEARCH("intermittent",C133)),"Difficult or Delayed Activation",ISNUMBER(SEARCH("delay",C133)),"Difficult or Delayed Activation",ISNUMBER(SEARCH("label",C133)),"Device Markings/Labelling Problem",ISNUMBER(SEARCH("marking",C133)),"Device Markings/Labelling Problem",ISNUMBER(SEARCH("lacerat",C133)),"Defective Device",ISNUMBER(SEARCH("cut",C133)),"Defective Device",ISNUMBER(SEARCH("leak",C133)),"Fluid/Blood Leak",ISNUMBER(SEARCH("missing",C133)),"Component Missing",ISNUMBER(SEARCH("power",C133)),"Complete Loss of Power",ISNUMBER(SEARCH("will not turn on",C133)),"Complete Loss of Power",ISNUMBER(SEARCH("won't turn on",C133)),"Complete Loss of Power",ISNUMBER(SEARCH("does not turn on",C133)),"Complete Loss of Power",ISNUMBER(SEARCH("electrical",C133)),"Electrical Power Problem",ISNUMBER(SEARCH("pressure",C133)),"Detachment of Device or Device Component",ISNUMBER(SEARCH("slip",C133)),"Detachment of Device or Device Component",ISNUMBER(SEARCH("detach",C133)),"Detachment of Device or Device Component",ISNUMBER(SEARCH("stick",C133)),"Mechanical Jam",ISNUMBER(SEARCH("jam",C133)),"Mechanical Jam",ISNUMBER(SEARCH("rigid",C133)),"Mechanical Jam",ISNUMBER(SEARCH("rust",C133)),"Corroded",ISNUMBER(SEARCH("corrod",C133)),"Corroded",ISNUMBER(SEARCH("corrosion",C133)),"Corroded",ISNUMBER(SEARCH("alignment",C133)),"Defective Device",ISNUMBER(SEARCH("adjust",C133)),"Defective Device",ISNUMBER(SEARCH("perform",C133)),"Defective Device",ISNUMBER(SEARCH("malfunction",C133)),"Defective Device",ISNUMBER(SEARCH("defect",C133)),"Defective Device",ISNUMBER(SEARCH("fail",C133)),"Defective Device",ISNUMBER(SEARCH("not work",C133)),"Defective Device",ISNUMBER(SEARCH("doesn't work",C133)),"Defective Device",TRUE,"UNKNOWN"),"UNKNOWN")))</f>
        <v/>
      </c>
      <c r="F133" s="4" t="str">
        <f t="shared" si="2"/>
        <v/>
      </c>
      <c r="G133" s="363" t="str">
        <f>IF(E133="","",IFERROR(VLOOKUP(E133,Codes!$L$2:$N$409,3,FALSE),"—"))</f>
        <v/>
      </c>
      <c r="H133" s="88"/>
      <c r="I133" s="88"/>
    </row>
    <row r="134" spans="1:9" ht="13.15" x14ac:dyDescent="0.35">
      <c r="A134" s="434"/>
      <c r="B134" s="436"/>
      <c r="C134" s="437"/>
      <c r="D134" s="434"/>
      <c r="E134" s="93" t="str" cm="1">
        <f t="array" ref="E134">IF(D134&lt;&gt;"",IFERROR(VLOOKUP(D134,Codes!$K$2:$L$409,2,FALSE),"UNKNOWN - "&amp;D134),IF(C134="","",IFERROR(_xlfn.IFS(ISNUMBER(SEARCH("broken button",C134)),"Break",ISNUMBER(SEARCH("broken handle",C134)),"Break",ISNUMBER(SEARCH("shipping damage",C134)),"Break",ISNUMBER(SEARCH("broken",C134)),"Break",ISNUMBER(SEARCH("crack",C134)),"Break",ISNUMBER(SEARCH("snap",C134)),"Break",ISNUMBER(SEARCH("fracture",C134)),"Break",ISNUMBER(SEARCH("bent",C134)),"Material Twisted/Bent",ISNUMBER(SEARCH("twisted",C134)),"Material Twisted/Bent",ISNUMBER(SEARCH("component separat",C134)),"Material Separation",ISNUMBER(SEARCH("separat",C134)),"Material Separation",ISNUMBER(SEARCH("connection",C134)),"Loose or Intermittent Connection",ISNUMBER(SEARCH("loose",C134)),"Loose or Intermittent Connection",ISNUMBER(SEARCH("damaged packaging",C134)),"Packaging Problem",ISNUMBER(SEARCH("packaging",C134)),"Packaging Problem",ISNUMBER(SEARCH("discoloration",C134)),"Contamination",ISNUMBER(SEARCH("tarnish",C134)),"Contamination",ISNUMBER(SEARCH("stain",C134)),"Contamination",ISNUMBER(SEARCH("foreign material",C134)),"Contamination",ISNUMBER(SEARCH("contamina",C134)),"Contamination",ISNUMBER(SEARCH("overheat",C134)),"Overheating of Device",ISNUMBER(SEARCH("excessive heat",C134)),"Overheating of Device",ISNUMBER(SEARCH("hot",C134)),"Overheating of Device",ISNUMBER(SEARCH("noise",C134)),"Noise, Audible",ISNUMBER(SEARCH("sound",C134)),"Noise, Audible",ISNUMBER(SEARCH("loud",C134)),"Noise, Audible",ISNUMBER(SEARCH("fray",C134)),"Material Frayed",ISNUMBER(SEARCH("hole",C134)),"Material Frayed",ISNUMBER(SEARCH("tear",C134)),"Material Frayed",ISNUMBER(SEARCH("worn",C134)),"Material Frayed",ISNUMBER(SEARCH("intermittent",C134)),"Difficult or Delayed Activation",ISNUMBER(SEARCH("delay",C134)),"Difficult or Delayed Activation",ISNUMBER(SEARCH("label",C134)),"Device Markings/Labelling Problem",ISNUMBER(SEARCH("marking",C134)),"Device Markings/Labelling Problem",ISNUMBER(SEARCH("lacerat",C134)),"Defective Device",ISNUMBER(SEARCH("cut",C134)),"Defective Device",ISNUMBER(SEARCH("leak",C134)),"Fluid/Blood Leak",ISNUMBER(SEARCH("missing",C134)),"Component Missing",ISNUMBER(SEARCH("power",C134)),"Complete Loss of Power",ISNUMBER(SEARCH("will not turn on",C134)),"Complete Loss of Power",ISNUMBER(SEARCH("won't turn on",C134)),"Complete Loss of Power",ISNUMBER(SEARCH("does not turn on",C134)),"Complete Loss of Power",ISNUMBER(SEARCH("electrical",C134)),"Electrical Power Problem",ISNUMBER(SEARCH("pressure",C134)),"Detachment of Device or Device Component",ISNUMBER(SEARCH("slip",C134)),"Detachment of Device or Device Component",ISNUMBER(SEARCH("detach",C134)),"Detachment of Device or Device Component",ISNUMBER(SEARCH("stick",C134)),"Mechanical Jam",ISNUMBER(SEARCH("jam",C134)),"Mechanical Jam",ISNUMBER(SEARCH("rigid",C134)),"Mechanical Jam",ISNUMBER(SEARCH("rust",C134)),"Corroded",ISNUMBER(SEARCH("corrod",C134)),"Corroded",ISNUMBER(SEARCH("corrosion",C134)),"Corroded",ISNUMBER(SEARCH("alignment",C134)),"Defective Device",ISNUMBER(SEARCH("adjust",C134)),"Defective Device",ISNUMBER(SEARCH("perform",C134)),"Defective Device",ISNUMBER(SEARCH("malfunction",C134)),"Defective Device",ISNUMBER(SEARCH("defect",C134)),"Defective Device",ISNUMBER(SEARCH("fail",C134)),"Defective Device",ISNUMBER(SEARCH("not work",C134)),"Defective Device",ISNUMBER(SEARCH("doesn't work",C134)),"Defective Device",TRUE,"UNKNOWN"),"UNKNOWN")))</f>
        <v/>
      </c>
      <c r="F134" s="4" t="str">
        <f t="shared" si="2"/>
        <v/>
      </c>
      <c r="G134" s="363" t="str">
        <f>IF(E134="","",IFERROR(VLOOKUP(E134,Codes!$L$2:$N$409,3,FALSE),"—"))</f>
        <v/>
      </c>
      <c r="H134" s="88"/>
      <c r="I134" s="88"/>
    </row>
    <row r="135" spans="1:9" ht="13.15" x14ac:dyDescent="0.35">
      <c r="A135" s="435"/>
      <c r="B135" s="436"/>
      <c r="C135" s="438"/>
      <c r="D135" s="435"/>
      <c r="E135" s="93" t="str" cm="1">
        <f t="array" ref="E135">IF(D135&lt;&gt;"",IFERROR(VLOOKUP(D135,Codes!$K$2:$L$409,2,FALSE),"UNKNOWN - "&amp;D135),IF(C135="","",IFERROR(_xlfn.IFS(ISNUMBER(SEARCH("broken button",C135)),"Break",ISNUMBER(SEARCH("broken handle",C135)),"Break",ISNUMBER(SEARCH("shipping damage",C135)),"Break",ISNUMBER(SEARCH("broken",C135)),"Break",ISNUMBER(SEARCH("crack",C135)),"Break",ISNUMBER(SEARCH("snap",C135)),"Break",ISNUMBER(SEARCH("fracture",C135)),"Break",ISNUMBER(SEARCH("bent",C135)),"Material Twisted/Bent",ISNUMBER(SEARCH("twisted",C135)),"Material Twisted/Bent",ISNUMBER(SEARCH("component separat",C135)),"Material Separation",ISNUMBER(SEARCH("separat",C135)),"Material Separation",ISNUMBER(SEARCH("connection",C135)),"Loose or Intermittent Connection",ISNUMBER(SEARCH("loose",C135)),"Loose or Intermittent Connection",ISNUMBER(SEARCH("damaged packaging",C135)),"Packaging Problem",ISNUMBER(SEARCH("packaging",C135)),"Packaging Problem",ISNUMBER(SEARCH("discoloration",C135)),"Contamination",ISNUMBER(SEARCH("tarnish",C135)),"Contamination",ISNUMBER(SEARCH("stain",C135)),"Contamination",ISNUMBER(SEARCH("foreign material",C135)),"Contamination",ISNUMBER(SEARCH("contamina",C135)),"Contamination",ISNUMBER(SEARCH("overheat",C135)),"Overheating of Device",ISNUMBER(SEARCH("excessive heat",C135)),"Overheating of Device",ISNUMBER(SEARCH("hot",C135)),"Overheating of Device",ISNUMBER(SEARCH("noise",C135)),"Noise, Audible",ISNUMBER(SEARCH("sound",C135)),"Noise, Audible",ISNUMBER(SEARCH("loud",C135)),"Noise, Audible",ISNUMBER(SEARCH("fray",C135)),"Material Frayed",ISNUMBER(SEARCH("hole",C135)),"Material Frayed",ISNUMBER(SEARCH("tear",C135)),"Material Frayed",ISNUMBER(SEARCH("worn",C135)),"Material Frayed",ISNUMBER(SEARCH("intermittent",C135)),"Difficult or Delayed Activation",ISNUMBER(SEARCH("delay",C135)),"Difficult or Delayed Activation",ISNUMBER(SEARCH("label",C135)),"Device Markings/Labelling Problem",ISNUMBER(SEARCH("marking",C135)),"Device Markings/Labelling Problem",ISNUMBER(SEARCH("lacerat",C135)),"Defective Device",ISNUMBER(SEARCH("cut",C135)),"Defective Device",ISNUMBER(SEARCH("leak",C135)),"Fluid/Blood Leak",ISNUMBER(SEARCH("missing",C135)),"Component Missing",ISNUMBER(SEARCH("power",C135)),"Complete Loss of Power",ISNUMBER(SEARCH("will not turn on",C135)),"Complete Loss of Power",ISNUMBER(SEARCH("won't turn on",C135)),"Complete Loss of Power",ISNUMBER(SEARCH("does not turn on",C135)),"Complete Loss of Power",ISNUMBER(SEARCH("electrical",C135)),"Electrical Power Problem",ISNUMBER(SEARCH("pressure",C135)),"Detachment of Device or Device Component",ISNUMBER(SEARCH("slip",C135)),"Detachment of Device or Device Component",ISNUMBER(SEARCH("detach",C135)),"Detachment of Device or Device Component",ISNUMBER(SEARCH("stick",C135)),"Mechanical Jam",ISNUMBER(SEARCH("jam",C135)),"Mechanical Jam",ISNUMBER(SEARCH("rigid",C135)),"Mechanical Jam",ISNUMBER(SEARCH("rust",C135)),"Corroded",ISNUMBER(SEARCH("corrod",C135)),"Corroded",ISNUMBER(SEARCH("corrosion",C135)),"Corroded",ISNUMBER(SEARCH("alignment",C135)),"Defective Device",ISNUMBER(SEARCH("adjust",C135)),"Defective Device",ISNUMBER(SEARCH("perform",C135)),"Defective Device",ISNUMBER(SEARCH("malfunction",C135)),"Defective Device",ISNUMBER(SEARCH("defect",C135)),"Defective Device",ISNUMBER(SEARCH("fail",C135)),"Defective Device",ISNUMBER(SEARCH("not work",C135)),"Defective Device",ISNUMBER(SEARCH("doesn't work",C135)),"Defective Device",TRUE,"UNKNOWN"),"UNKNOWN")))</f>
        <v/>
      </c>
      <c r="F135" s="4" t="str">
        <f t="shared" si="2"/>
        <v/>
      </c>
      <c r="G135" s="363" t="str">
        <f>IF(E135="","",IFERROR(VLOOKUP(E135,Codes!$L$2:$N$409,3,FALSE),"—"))</f>
        <v/>
      </c>
      <c r="H135" s="88"/>
      <c r="I135" s="88"/>
    </row>
    <row r="136" spans="1:9" ht="13.15" x14ac:dyDescent="0.35">
      <c r="A136" s="434"/>
      <c r="B136" s="436"/>
      <c r="C136" s="437"/>
      <c r="D136" s="434"/>
      <c r="E136" s="93" t="str" cm="1">
        <f t="array" ref="E136">IF(D136&lt;&gt;"",IFERROR(VLOOKUP(D136,Codes!$K$2:$L$409,2,FALSE),"UNKNOWN - "&amp;D136),IF(C136="","",IFERROR(_xlfn.IFS(ISNUMBER(SEARCH("broken button",C136)),"Break",ISNUMBER(SEARCH("broken handle",C136)),"Break",ISNUMBER(SEARCH("shipping damage",C136)),"Break",ISNUMBER(SEARCH("broken",C136)),"Break",ISNUMBER(SEARCH("crack",C136)),"Break",ISNUMBER(SEARCH("snap",C136)),"Break",ISNUMBER(SEARCH("fracture",C136)),"Break",ISNUMBER(SEARCH("bent",C136)),"Material Twisted/Bent",ISNUMBER(SEARCH("twisted",C136)),"Material Twisted/Bent",ISNUMBER(SEARCH("component separat",C136)),"Material Separation",ISNUMBER(SEARCH("separat",C136)),"Material Separation",ISNUMBER(SEARCH("connection",C136)),"Loose or Intermittent Connection",ISNUMBER(SEARCH("loose",C136)),"Loose or Intermittent Connection",ISNUMBER(SEARCH("damaged packaging",C136)),"Packaging Problem",ISNUMBER(SEARCH("packaging",C136)),"Packaging Problem",ISNUMBER(SEARCH("discoloration",C136)),"Contamination",ISNUMBER(SEARCH("tarnish",C136)),"Contamination",ISNUMBER(SEARCH("stain",C136)),"Contamination",ISNUMBER(SEARCH("foreign material",C136)),"Contamination",ISNUMBER(SEARCH("contamina",C136)),"Contamination",ISNUMBER(SEARCH("overheat",C136)),"Overheating of Device",ISNUMBER(SEARCH("excessive heat",C136)),"Overheating of Device",ISNUMBER(SEARCH("hot",C136)),"Overheating of Device",ISNUMBER(SEARCH("noise",C136)),"Noise, Audible",ISNUMBER(SEARCH("sound",C136)),"Noise, Audible",ISNUMBER(SEARCH("loud",C136)),"Noise, Audible",ISNUMBER(SEARCH("fray",C136)),"Material Frayed",ISNUMBER(SEARCH("hole",C136)),"Material Frayed",ISNUMBER(SEARCH("tear",C136)),"Material Frayed",ISNUMBER(SEARCH("worn",C136)),"Material Frayed",ISNUMBER(SEARCH("intermittent",C136)),"Difficult or Delayed Activation",ISNUMBER(SEARCH("delay",C136)),"Difficult or Delayed Activation",ISNUMBER(SEARCH("label",C136)),"Device Markings/Labelling Problem",ISNUMBER(SEARCH("marking",C136)),"Device Markings/Labelling Problem",ISNUMBER(SEARCH("lacerat",C136)),"Defective Device",ISNUMBER(SEARCH("cut",C136)),"Defective Device",ISNUMBER(SEARCH("leak",C136)),"Fluid/Blood Leak",ISNUMBER(SEARCH("missing",C136)),"Component Missing",ISNUMBER(SEARCH("power",C136)),"Complete Loss of Power",ISNUMBER(SEARCH("will not turn on",C136)),"Complete Loss of Power",ISNUMBER(SEARCH("won't turn on",C136)),"Complete Loss of Power",ISNUMBER(SEARCH("does not turn on",C136)),"Complete Loss of Power",ISNUMBER(SEARCH("electrical",C136)),"Electrical Power Problem",ISNUMBER(SEARCH("pressure",C136)),"Detachment of Device or Device Component",ISNUMBER(SEARCH("slip",C136)),"Detachment of Device or Device Component",ISNUMBER(SEARCH("detach",C136)),"Detachment of Device or Device Component",ISNUMBER(SEARCH("stick",C136)),"Mechanical Jam",ISNUMBER(SEARCH("jam",C136)),"Mechanical Jam",ISNUMBER(SEARCH("rigid",C136)),"Mechanical Jam",ISNUMBER(SEARCH("rust",C136)),"Corroded",ISNUMBER(SEARCH("corrod",C136)),"Corroded",ISNUMBER(SEARCH("corrosion",C136)),"Corroded",ISNUMBER(SEARCH("alignment",C136)),"Defective Device",ISNUMBER(SEARCH("adjust",C136)),"Defective Device",ISNUMBER(SEARCH("perform",C136)),"Defective Device",ISNUMBER(SEARCH("malfunction",C136)),"Defective Device",ISNUMBER(SEARCH("defect",C136)),"Defective Device",ISNUMBER(SEARCH("fail",C136)),"Defective Device",ISNUMBER(SEARCH("not work",C136)),"Defective Device",ISNUMBER(SEARCH("doesn't work",C136)),"Defective Device",TRUE,"UNKNOWN"),"UNKNOWN")))</f>
        <v/>
      </c>
      <c r="F136" s="4" t="str">
        <f t="shared" si="2"/>
        <v/>
      </c>
      <c r="G136" s="363" t="str">
        <f>IF(E136="","",IFERROR(VLOOKUP(E136,Codes!$L$2:$N$409,3,FALSE),"—"))</f>
        <v/>
      </c>
      <c r="H136" s="88"/>
      <c r="I136" s="88"/>
    </row>
    <row r="137" spans="1:9" ht="13.15" x14ac:dyDescent="0.35">
      <c r="A137" s="435"/>
      <c r="B137" s="436"/>
      <c r="C137" s="438"/>
      <c r="D137" s="435"/>
      <c r="E137" s="93" t="str" cm="1">
        <f t="array" ref="E137">IF(D137&lt;&gt;"",IFERROR(VLOOKUP(D137,Codes!$K$2:$L$409,2,FALSE),"UNKNOWN - "&amp;D137),IF(C137="","",IFERROR(_xlfn.IFS(ISNUMBER(SEARCH("broken button",C137)),"Break",ISNUMBER(SEARCH("broken handle",C137)),"Break",ISNUMBER(SEARCH("shipping damage",C137)),"Break",ISNUMBER(SEARCH("broken",C137)),"Break",ISNUMBER(SEARCH("crack",C137)),"Break",ISNUMBER(SEARCH("snap",C137)),"Break",ISNUMBER(SEARCH("fracture",C137)),"Break",ISNUMBER(SEARCH("bent",C137)),"Material Twisted/Bent",ISNUMBER(SEARCH("twisted",C137)),"Material Twisted/Bent",ISNUMBER(SEARCH("component separat",C137)),"Material Separation",ISNUMBER(SEARCH("separat",C137)),"Material Separation",ISNUMBER(SEARCH("connection",C137)),"Loose or Intermittent Connection",ISNUMBER(SEARCH("loose",C137)),"Loose or Intermittent Connection",ISNUMBER(SEARCH("damaged packaging",C137)),"Packaging Problem",ISNUMBER(SEARCH("packaging",C137)),"Packaging Problem",ISNUMBER(SEARCH("discoloration",C137)),"Contamination",ISNUMBER(SEARCH("tarnish",C137)),"Contamination",ISNUMBER(SEARCH("stain",C137)),"Contamination",ISNUMBER(SEARCH("foreign material",C137)),"Contamination",ISNUMBER(SEARCH("contamina",C137)),"Contamination",ISNUMBER(SEARCH("overheat",C137)),"Overheating of Device",ISNUMBER(SEARCH("excessive heat",C137)),"Overheating of Device",ISNUMBER(SEARCH("hot",C137)),"Overheating of Device",ISNUMBER(SEARCH("noise",C137)),"Noise, Audible",ISNUMBER(SEARCH("sound",C137)),"Noise, Audible",ISNUMBER(SEARCH("loud",C137)),"Noise, Audible",ISNUMBER(SEARCH("fray",C137)),"Material Frayed",ISNUMBER(SEARCH("hole",C137)),"Material Frayed",ISNUMBER(SEARCH("tear",C137)),"Material Frayed",ISNUMBER(SEARCH("worn",C137)),"Material Frayed",ISNUMBER(SEARCH("intermittent",C137)),"Difficult or Delayed Activation",ISNUMBER(SEARCH("delay",C137)),"Difficult or Delayed Activation",ISNUMBER(SEARCH("label",C137)),"Device Markings/Labelling Problem",ISNUMBER(SEARCH("marking",C137)),"Device Markings/Labelling Problem",ISNUMBER(SEARCH("lacerat",C137)),"Defective Device",ISNUMBER(SEARCH("cut",C137)),"Defective Device",ISNUMBER(SEARCH("leak",C137)),"Fluid/Blood Leak",ISNUMBER(SEARCH("missing",C137)),"Component Missing",ISNUMBER(SEARCH("power",C137)),"Complete Loss of Power",ISNUMBER(SEARCH("will not turn on",C137)),"Complete Loss of Power",ISNUMBER(SEARCH("won't turn on",C137)),"Complete Loss of Power",ISNUMBER(SEARCH("does not turn on",C137)),"Complete Loss of Power",ISNUMBER(SEARCH("electrical",C137)),"Electrical Power Problem",ISNUMBER(SEARCH("pressure",C137)),"Detachment of Device or Device Component",ISNUMBER(SEARCH("slip",C137)),"Detachment of Device or Device Component",ISNUMBER(SEARCH("detach",C137)),"Detachment of Device or Device Component",ISNUMBER(SEARCH("stick",C137)),"Mechanical Jam",ISNUMBER(SEARCH("jam",C137)),"Mechanical Jam",ISNUMBER(SEARCH("rigid",C137)),"Mechanical Jam",ISNUMBER(SEARCH("rust",C137)),"Corroded",ISNUMBER(SEARCH("corrod",C137)),"Corroded",ISNUMBER(SEARCH("corrosion",C137)),"Corroded",ISNUMBER(SEARCH("alignment",C137)),"Defective Device",ISNUMBER(SEARCH("adjust",C137)),"Defective Device",ISNUMBER(SEARCH("perform",C137)),"Defective Device",ISNUMBER(SEARCH("malfunction",C137)),"Defective Device",ISNUMBER(SEARCH("defect",C137)),"Defective Device",ISNUMBER(SEARCH("fail",C137)),"Defective Device",ISNUMBER(SEARCH("not work",C137)),"Defective Device",ISNUMBER(SEARCH("doesn't work",C137)),"Defective Device",TRUE,"UNKNOWN"),"UNKNOWN")))</f>
        <v/>
      </c>
      <c r="F137" s="4" t="str">
        <f t="shared" si="2"/>
        <v/>
      </c>
      <c r="G137" s="363" t="str">
        <f>IF(E137="","",IFERROR(VLOOKUP(E137,Codes!$L$2:$N$409,3,FALSE),"—"))</f>
        <v/>
      </c>
      <c r="H137" s="88"/>
      <c r="I137" s="88"/>
    </row>
    <row r="138" spans="1:9" ht="13.15" x14ac:dyDescent="0.35">
      <c r="A138" s="434"/>
      <c r="B138" s="436"/>
      <c r="C138" s="437"/>
      <c r="D138" s="434"/>
      <c r="E138" s="93" t="str" cm="1">
        <f t="array" ref="E138">IF(D138&lt;&gt;"",IFERROR(VLOOKUP(D138,Codes!$K$2:$L$409,2,FALSE),"UNKNOWN - "&amp;D138),IF(C138="","",IFERROR(_xlfn.IFS(ISNUMBER(SEARCH("broken button",C138)),"Break",ISNUMBER(SEARCH("broken handle",C138)),"Break",ISNUMBER(SEARCH("shipping damage",C138)),"Break",ISNUMBER(SEARCH("broken",C138)),"Break",ISNUMBER(SEARCH("crack",C138)),"Break",ISNUMBER(SEARCH("snap",C138)),"Break",ISNUMBER(SEARCH("fracture",C138)),"Break",ISNUMBER(SEARCH("bent",C138)),"Material Twisted/Bent",ISNUMBER(SEARCH("twisted",C138)),"Material Twisted/Bent",ISNUMBER(SEARCH("component separat",C138)),"Material Separation",ISNUMBER(SEARCH("separat",C138)),"Material Separation",ISNUMBER(SEARCH("connection",C138)),"Loose or Intermittent Connection",ISNUMBER(SEARCH("loose",C138)),"Loose or Intermittent Connection",ISNUMBER(SEARCH("damaged packaging",C138)),"Packaging Problem",ISNUMBER(SEARCH("packaging",C138)),"Packaging Problem",ISNUMBER(SEARCH("discoloration",C138)),"Contamination",ISNUMBER(SEARCH("tarnish",C138)),"Contamination",ISNUMBER(SEARCH("stain",C138)),"Contamination",ISNUMBER(SEARCH("foreign material",C138)),"Contamination",ISNUMBER(SEARCH("contamina",C138)),"Contamination",ISNUMBER(SEARCH("overheat",C138)),"Overheating of Device",ISNUMBER(SEARCH("excessive heat",C138)),"Overheating of Device",ISNUMBER(SEARCH("hot",C138)),"Overheating of Device",ISNUMBER(SEARCH("noise",C138)),"Noise, Audible",ISNUMBER(SEARCH("sound",C138)),"Noise, Audible",ISNUMBER(SEARCH("loud",C138)),"Noise, Audible",ISNUMBER(SEARCH("fray",C138)),"Material Frayed",ISNUMBER(SEARCH("hole",C138)),"Material Frayed",ISNUMBER(SEARCH("tear",C138)),"Material Frayed",ISNUMBER(SEARCH("worn",C138)),"Material Frayed",ISNUMBER(SEARCH("intermittent",C138)),"Difficult or Delayed Activation",ISNUMBER(SEARCH("delay",C138)),"Difficult or Delayed Activation",ISNUMBER(SEARCH("label",C138)),"Device Markings/Labelling Problem",ISNUMBER(SEARCH("marking",C138)),"Device Markings/Labelling Problem",ISNUMBER(SEARCH("lacerat",C138)),"Defective Device",ISNUMBER(SEARCH("cut",C138)),"Defective Device",ISNUMBER(SEARCH("leak",C138)),"Fluid/Blood Leak",ISNUMBER(SEARCH("missing",C138)),"Component Missing",ISNUMBER(SEARCH("power",C138)),"Complete Loss of Power",ISNUMBER(SEARCH("will not turn on",C138)),"Complete Loss of Power",ISNUMBER(SEARCH("won't turn on",C138)),"Complete Loss of Power",ISNUMBER(SEARCH("does not turn on",C138)),"Complete Loss of Power",ISNUMBER(SEARCH("electrical",C138)),"Electrical Power Problem",ISNUMBER(SEARCH("pressure",C138)),"Detachment of Device or Device Component",ISNUMBER(SEARCH("slip",C138)),"Detachment of Device or Device Component",ISNUMBER(SEARCH("detach",C138)),"Detachment of Device or Device Component",ISNUMBER(SEARCH("stick",C138)),"Mechanical Jam",ISNUMBER(SEARCH("jam",C138)),"Mechanical Jam",ISNUMBER(SEARCH("rigid",C138)),"Mechanical Jam",ISNUMBER(SEARCH("rust",C138)),"Corroded",ISNUMBER(SEARCH("corrod",C138)),"Corroded",ISNUMBER(SEARCH("corrosion",C138)),"Corroded",ISNUMBER(SEARCH("alignment",C138)),"Defective Device",ISNUMBER(SEARCH("adjust",C138)),"Defective Device",ISNUMBER(SEARCH("perform",C138)),"Defective Device",ISNUMBER(SEARCH("malfunction",C138)),"Defective Device",ISNUMBER(SEARCH("defect",C138)),"Defective Device",ISNUMBER(SEARCH("fail",C138)),"Defective Device",ISNUMBER(SEARCH("not work",C138)),"Defective Device",ISNUMBER(SEARCH("doesn't work",C138)),"Defective Device",TRUE,"UNKNOWN"),"UNKNOWN")))</f>
        <v/>
      </c>
      <c r="F138" s="4" t="str">
        <f t="shared" si="2"/>
        <v/>
      </c>
      <c r="G138" s="363" t="str">
        <f>IF(E138="","",IFERROR(VLOOKUP(E138,Codes!$L$2:$N$409,3,FALSE),"—"))</f>
        <v/>
      </c>
      <c r="H138" s="88"/>
      <c r="I138" s="88"/>
    </row>
    <row r="139" spans="1:9" ht="13.15" x14ac:dyDescent="0.35">
      <c r="A139" s="435"/>
      <c r="B139" s="436"/>
      <c r="C139" s="438"/>
      <c r="D139" s="435"/>
      <c r="E139" s="93" t="str" cm="1">
        <f t="array" ref="E139">IF(D139&lt;&gt;"",IFERROR(VLOOKUP(D139,Codes!$K$2:$L$409,2,FALSE),"UNKNOWN - "&amp;D139),IF(C139="","",IFERROR(_xlfn.IFS(ISNUMBER(SEARCH("broken button",C139)),"Break",ISNUMBER(SEARCH("broken handle",C139)),"Break",ISNUMBER(SEARCH("shipping damage",C139)),"Break",ISNUMBER(SEARCH("broken",C139)),"Break",ISNUMBER(SEARCH("crack",C139)),"Break",ISNUMBER(SEARCH("snap",C139)),"Break",ISNUMBER(SEARCH("fracture",C139)),"Break",ISNUMBER(SEARCH("bent",C139)),"Material Twisted/Bent",ISNUMBER(SEARCH("twisted",C139)),"Material Twisted/Bent",ISNUMBER(SEARCH("component separat",C139)),"Material Separation",ISNUMBER(SEARCH("separat",C139)),"Material Separation",ISNUMBER(SEARCH("connection",C139)),"Loose or Intermittent Connection",ISNUMBER(SEARCH("loose",C139)),"Loose or Intermittent Connection",ISNUMBER(SEARCH("damaged packaging",C139)),"Packaging Problem",ISNUMBER(SEARCH("packaging",C139)),"Packaging Problem",ISNUMBER(SEARCH("discoloration",C139)),"Contamination",ISNUMBER(SEARCH("tarnish",C139)),"Contamination",ISNUMBER(SEARCH("stain",C139)),"Contamination",ISNUMBER(SEARCH("foreign material",C139)),"Contamination",ISNUMBER(SEARCH("contamina",C139)),"Contamination",ISNUMBER(SEARCH("overheat",C139)),"Overheating of Device",ISNUMBER(SEARCH("excessive heat",C139)),"Overheating of Device",ISNUMBER(SEARCH("hot",C139)),"Overheating of Device",ISNUMBER(SEARCH("noise",C139)),"Noise, Audible",ISNUMBER(SEARCH("sound",C139)),"Noise, Audible",ISNUMBER(SEARCH("loud",C139)),"Noise, Audible",ISNUMBER(SEARCH("fray",C139)),"Material Frayed",ISNUMBER(SEARCH("hole",C139)),"Material Frayed",ISNUMBER(SEARCH("tear",C139)),"Material Frayed",ISNUMBER(SEARCH("worn",C139)),"Material Frayed",ISNUMBER(SEARCH("intermittent",C139)),"Difficult or Delayed Activation",ISNUMBER(SEARCH("delay",C139)),"Difficult or Delayed Activation",ISNUMBER(SEARCH("label",C139)),"Device Markings/Labelling Problem",ISNUMBER(SEARCH("marking",C139)),"Device Markings/Labelling Problem",ISNUMBER(SEARCH("lacerat",C139)),"Defective Device",ISNUMBER(SEARCH("cut",C139)),"Defective Device",ISNUMBER(SEARCH("leak",C139)),"Fluid/Blood Leak",ISNUMBER(SEARCH("missing",C139)),"Component Missing",ISNUMBER(SEARCH("power",C139)),"Complete Loss of Power",ISNUMBER(SEARCH("will not turn on",C139)),"Complete Loss of Power",ISNUMBER(SEARCH("won't turn on",C139)),"Complete Loss of Power",ISNUMBER(SEARCH("does not turn on",C139)),"Complete Loss of Power",ISNUMBER(SEARCH("electrical",C139)),"Electrical Power Problem",ISNUMBER(SEARCH("pressure",C139)),"Detachment of Device or Device Component",ISNUMBER(SEARCH("slip",C139)),"Detachment of Device or Device Component",ISNUMBER(SEARCH("detach",C139)),"Detachment of Device or Device Component",ISNUMBER(SEARCH("stick",C139)),"Mechanical Jam",ISNUMBER(SEARCH("jam",C139)),"Mechanical Jam",ISNUMBER(SEARCH("rigid",C139)),"Mechanical Jam",ISNUMBER(SEARCH("rust",C139)),"Corroded",ISNUMBER(SEARCH("corrod",C139)),"Corroded",ISNUMBER(SEARCH("corrosion",C139)),"Corroded",ISNUMBER(SEARCH("alignment",C139)),"Defective Device",ISNUMBER(SEARCH("adjust",C139)),"Defective Device",ISNUMBER(SEARCH("perform",C139)),"Defective Device",ISNUMBER(SEARCH("malfunction",C139)),"Defective Device",ISNUMBER(SEARCH("defect",C139)),"Defective Device",ISNUMBER(SEARCH("fail",C139)),"Defective Device",ISNUMBER(SEARCH("not work",C139)),"Defective Device",ISNUMBER(SEARCH("doesn't work",C139)),"Defective Device",TRUE,"UNKNOWN"),"UNKNOWN")))</f>
        <v/>
      </c>
      <c r="F139" s="4" t="str">
        <f t="shared" si="2"/>
        <v/>
      </c>
      <c r="G139" s="363" t="str">
        <f>IF(E139="","",IFERROR(VLOOKUP(E139,Codes!$L$2:$N$409,3,FALSE),"—"))</f>
        <v/>
      </c>
      <c r="H139" s="88"/>
      <c r="I139" s="88"/>
    </row>
    <row r="140" spans="1:9" ht="13.15" x14ac:dyDescent="0.35">
      <c r="A140" s="435"/>
      <c r="B140" s="436"/>
      <c r="C140" s="438"/>
      <c r="D140" s="435"/>
      <c r="E140" s="93" t="str" cm="1">
        <f t="array" ref="E140">IF(D140&lt;&gt;"",IFERROR(VLOOKUP(D140,Codes!$K$2:$L$409,2,FALSE),"UNKNOWN - "&amp;D140),IF(C140="","",IFERROR(_xlfn.IFS(ISNUMBER(SEARCH("broken button",C140)),"Break",ISNUMBER(SEARCH("broken handle",C140)),"Break",ISNUMBER(SEARCH("shipping damage",C140)),"Break",ISNUMBER(SEARCH("broken",C140)),"Break",ISNUMBER(SEARCH("crack",C140)),"Break",ISNUMBER(SEARCH("snap",C140)),"Break",ISNUMBER(SEARCH("fracture",C140)),"Break",ISNUMBER(SEARCH("bent",C140)),"Material Twisted/Bent",ISNUMBER(SEARCH("twisted",C140)),"Material Twisted/Bent",ISNUMBER(SEARCH("component separat",C140)),"Material Separation",ISNUMBER(SEARCH("separat",C140)),"Material Separation",ISNUMBER(SEARCH("connection",C140)),"Loose or Intermittent Connection",ISNUMBER(SEARCH("loose",C140)),"Loose or Intermittent Connection",ISNUMBER(SEARCH("damaged packaging",C140)),"Packaging Problem",ISNUMBER(SEARCH("packaging",C140)),"Packaging Problem",ISNUMBER(SEARCH("discoloration",C140)),"Contamination",ISNUMBER(SEARCH("tarnish",C140)),"Contamination",ISNUMBER(SEARCH("stain",C140)),"Contamination",ISNUMBER(SEARCH("foreign material",C140)),"Contamination",ISNUMBER(SEARCH("contamina",C140)),"Contamination",ISNUMBER(SEARCH("overheat",C140)),"Overheating of Device",ISNUMBER(SEARCH("excessive heat",C140)),"Overheating of Device",ISNUMBER(SEARCH("hot",C140)),"Overheating of Device",ISNUMBER(SEARCH("noise",C140)),"Noise, Audible",ISNUMBER(SEARCH("sound",C140)),"Noise, Audible",ISNUMBER(SEARCH("loud",C140)),"Noise, Audible",ISNUMBER(SEARCH("fray",C140)),"Material Frayed",ISNUMBER(SEARCH("hole",C140)),"Material Frayed",ISNUMBER(SEARCH("tear",C140)),"Material Frayed",ISNUMBER(SEARCH("worn",C140)),"Material Frayed",ISNUMBER(SEARCH("intermittent",C140)),"Difficult or Delayed Activation",ISNUMBER(SEARCH("delay",C140)),"Difficult or Delayed Activation",ISNUMBER(SEARCH("label",C140)),"Device Markings/Labelling Problem",ISNUMBER(SEARCH("marking",C140)),"Device Markings/Labelling Problem",ISNUMBER(SEARCH("lacerat",C140)),"Defective Device",ISNUMBER(SEARCH("cut",C140)),"Defective Device",ISNUMBER(SEARCH("leak",C140)),"Fluid/Blood Leak",ISNUMBER(SEARCH("missing",C140)),"Component Missing",ISNUMBER(SEARCH("power",C140)),"Complete Loss of Power",ISNUMBER(SEARCH("will not turn on",C140)),"Complete Loss of Power",ISNUMBER(SEARCH("won't turn on",C140)),"Complete Loss of Power",ISNUMBER(SEARCH("does not turn on",C140)),"Complete Loss of Power",ISNUMBER(SEARCH("electrical",C140)),"Electrical Power Problem",ISNUMBER(SEARCH("pressure",C140)),"Detachment of Device or Device Component",ISNUMBER(SEARCH("slip",C140)),"Detachment of Device or Device Component",ISNUMBER(SEARCH("detach",C140)),"Detachment of Device or Device Component",ISNUMBER(SEARCH("stick",C140)),"Mechanical Jam",ISNUMBER(SEARCH("jam",C140)),"Mechanical Jam",ISNUMBER(SEARCH("rigid",C140)),"Mechanical Jam",ISNUMBER(SEARCH("rust",C140)),"Corroded",ISNUMBER(SEARCH("corrod",C140)),"Corroded",ISNUMBER(SEARCH("corrosion",C140)),"Corroded",ISNUMBER(SEARCH("alignment",C140)),"Defective Device",ISNUMBER(SEARCH("adjust",C140)),"Defective Device",ISNUMBER(SEARCH("perform",C140)),"Defective Device",ISNUMBER(SEARCH("malfunction",C140)),"Defective Device",ISNUMBER(SEARCH("defect",C140)),"Defective Device",ISNUMBER(SEARCH("fail",C140)),"Defective Device",ISNUMBER(SEARCH("not work",C140)),"Defective Device",ISNUMBER(SEARCH("doesn't work",C140)),"Defective Device",TRUE,"UNKNOWN"),"UNKNOWN")))</f>
        <v/>
      </c>
      <c r="F140" s="4" t="str">
        <f t="shared" si="2"/>
        <v/>
      </c>
      <c r="G140" s="363" t="str">
        <f>IF(E140="","",IFERROR(VLOOKUP(E140,Codes!$L$2:$N$409,3,FALSE),"—"))</f>
        <v/>
      </c>
      <c r="H140" s="88"/>
      <c r="I140" s="88"/>
    </row>
    <row r="141" spans="1:9" ht="13.15" x14ac:dyDescent="0.35">
      <c r="A141" s="434"/>
      <c r="B141" s="436"/>
      <c r="C141" s="439"/>
      <c r="D141" s="434"/>
      <c r="E141" s="93" t="str" cm="1">
        <f t="array" ref="E141">IF(D141&lt;&gt;"",IFERROR(VLOOKUP(D141,Codes!$K$2:$L$409,2,FALSE),"UNKNOWN - "&amp;D141),IF(C141="","",IFERROR(_xlfn.IFS(ISNUMBER(SEARCH("broken button",C141)),"Break",ISNUMBER(SEARCH("broken handle",C141)),"Break",ISNUMBER(SEARCH("shipping damage",C141)),"Break",ISNUMBER(SEARCH("broken",C141)),"Break",ISNUMBER(SEARCH("crack",C141)),"Break",ISNUMBER(SEARCH("snap",C141)),"Break",ISNUMBER(SEARCH("fracture",C141)),"Break",ISNUMBER(SEARCH("bent",C141)),"Material Twisted/Bent",ISNUMBER(SEARCH("twisted",C141)),"Material Twisted/Bent",ISNUMBER(SEARCH("component separat",C141)),"Material Separation",ISNUMBER(SEARCH("separat",C141)),"Material Separation",ISNUMBER(SEARCH("connection",C141)),"Loose or Intermittent Connection",ISNUMBER(SEARCH("loose",C141)),"Loose or Intermittent Connection",ISNUMBER(SEARCH("damaged packaging",C141)),"Packaging Problem",ISNUMBER(SEARCH("packaging",C141)),"Packaging Problem",ISNUMBER(SEARCH("discoloration",C141)),"Contamination",ISNUMBER(SEARCH("tarnish",C141)),"Contamination",ISNUMBER(SEARCH("stain",C141)),"Contamination",ISNUMBER(SEARCH("foreign material",C141)),"Contamination",ISNUMBER(SEARCH("contamina",C141)),"Contamination",ISNUMBER(SEARCH("overheat",C141)),"Overheating of Device",ISNUMBER(SEARCH("excessive heat",C141)),"Overheating of Device",ISNUMBER(SEARCH("hot",C141)),"Overheating of Device",ISNUMBER(SEARCH("noise",C141)),"Noise, Audible",ISNUMBER(SEARCH("sound",C141)),"Noise, Audible",ISNUMBER(SEARCH("loud",C141)),"Noise, Audible",ISNUMBER(SEARCH("fray",C141)),"Material Frayed",ISNUMBER(SEARCH("hole",C141)),"Material Frayed",ISNUMBER(SEARCH("tear",C141)),"Material Frayed",ISNUMBER(SEARCH("worn",C141)),"Material Frayed",ISNUMBER(SEARCH("intermittent",C141)),"Difficult or Delayed Activation",ISNUMBER(SEARCH("delay",C141)),"Difficult or Delayed Activation",ISNUMBER(SEARCH("label",C141)),"Device Markings/Labelling Problem",ISNUMBER(SEARCH("marking",C141)),"Device Markings/Labelling Problem",ISNUMBER(SEARCH("lacerat",C141)),"Defective Device",ISNUMBER(SEARCH("cut",C141)),"Defective Device",ISNUMBER(SEARCH("leak",C141)),"Fluid/Blood Leak",ISNUMBER(SEARCH("missing",C141)),"Component Missing",ISNUMBER(SEARCH("power",C141)),"Complete Loss of Power",ISNUMBER(SEARCH("will not turn on",C141)),"Complete Loss of Power",ISNUMBER(SEARCH("won't turn on",C141)),"Complete Loss of Power",ISNUMBER(SEARCH("does not turn on",C141)),"Complete Loss of Power",ISNUMBER(SEARCH("electrical",C141)),"Electrical Power Problem",ISNUMBER(SEARCH("pressure",C141)),"Detachment of Device or Device Component",ISNUMBER(SEARCH("slip",C141)),"Detachment of Device or Device Component",ISNUMBER(SEARCH("detach",C141)),"Detachment of Device or Device Component",ISNUMBER(SEARCH("stick",C141)),"Mechanical Jam",ISNUMBER(SEARCH("jam",C141)),"Mechanical Jam",ISNUMBER(SEARCH("rigid",C141)),"Mechanical Jam",ISNUMBER(SEARCH("rust",C141)),"Corroded",ISNUMBER(SEARCH("corrod",C141)),"Corroded",ISNUMBER(SEARCH("corrosion",C141)),"Corroded",ISNUMBER(SEARCH("alignment",C141)),"Defective Device",ISNUMBER(SEARCH("adjust",C141)),"Defective Device",ISNUMBER(SEARCH("perform",C141)),"Defective Device",ISNUMBER(SEARCH("malfunction",C141)),"Defective Device",ISNUMBER(SEARCH("defect",C141)),"Defective Device",ISNUMBER(SEARCH("fail",C141)),"Defective Device",ISNUMBER(SEARCH("not work",C141)),"Defective Device",ISNUMBER(SEARCH("doesn't work",C141)),"Defective Device",TRUE,"UNKNOWN"),"UNKNOWN")))</f>
        <v/>
      </c>
      <c r="F141" s="4" t="str">
        <f t="shared" si="2"/>
        <v/>
      </c>
      <c r="G141" s="363" t="str">
        <f>IF(E141="","",IFERROR(VLOOKUP(E141,Codes!$L$2:$N$409,3,FALSE),"—"))</f>
        <v/>
      </c>
      <c r="H141" s="88"/>
      <c r="I141" s="88"/>
    </row>
    <row r="142" spans="1:9" ht="13.15" x14ac:dyDescent="0.35">
      <c r="A142" s="434"/>
      <c r="B142" s="436"/>
      <c r="C142" s="437"/>
      <c r="D142" s="434"/>
      <c r="E142" s="93" t="str" cm="1">
        <f t="array" ref="E142">IF(D142&lt;&gt;"",IFERROR(VLOOKUP(D142,Codes!$K$2:$L$409,2,FALSE),"UNKNOWN - "&amp;D142),IF(C142="","",IFERROR(_xlfn.IFS(ISNUMBER(SEARCH("broken button",C142)),"Break",ISNUMBER(SEARCH("broken handle",C142)),"Break",ISNUMBER(SEARCH("shipping damage",C142)),"Break",ISNUMBER(SEARCH("broken",C142)),"Break",ISNUMBER(SEARCH("crack",C142)),"Break",ISNUMBER(SEARCH("snap",C142)),"Break",ISNUMBER(SEARCH("fracture",C142)),"Break",ISNUMBER(SEARCH("bent",C142)),"Material Twisted/Bent",ISNUMBER(SEARCH("twisted",C142)),"Material Twisted/Bent",ISNUMBER(SEARCH("component separat",C142)),"Material Separation",ISNUMBER(SEARCH("separat",C142)),"Material Separation",ISNUMBER(SEARCH("connection",C142)),"Loose or Intermittent Connection",ISNUMBER(SEARCH("loose",C142)),"Loose or Intermittent Connection",ISNUMBER(SEARCH("damaged packaging",C142)),"Packaging Problem",ISNUMBER(SEARCH("packaging",C142)),"Packaging Problem",ISNUMBER(SEARCH("discoloration",C142)),"Contamination",ISNUMBER(SEARCH("tarnish",C142)),"Contamination",ISNUMBER(SEARCH("stain",C142)),"Contamination",ISNUMBER(SEARCH("foreign material",C142)),"Contamination",ISNUMBER(SEARCH("contamina",C142)),"Contamination",ISNUMBER(SEARCH("overheat",C142)),"Overheating of Device",ISNUMBER(SEARCH("excessive heat",C142)),"Overheating of Device",ISNUMBER(SEARCH("hot",C142)),"Overheating of Device",ISNUMBER(SEARCH("noise",C142)),"Noise, Audible",ISNUMBER(SEARCH("sound",C142)),"Noise, Audible",ISNUMBER(SEARCH("loud",C142)),"Noise, Audible",ISNUMBER(SEARCH("fray",C142)),"Material Frayed",ISNUMBER(SEARCH("hole",C142)),"Material Frayed",ISNUMBER(SEARCH("tear",C142)),"Material Frayed",ISNUMBER(SEARCH("worn",C142)),"Material Frayed",ISNUMBER(SEARCH("intermittent",C142)),"Difficult or Delayed Activation",ISNUMBER(SEARCH("delay",C142)),"Difficult or Delayed Activation",ISNUMBER(SEARCH("label",C142)),"Device Markings/Labelling Problem",ISNUMBER(SEARCH("marking",C142)),"Device Markings/Labelling Problem",ISNUMBER(SEARCH("lacerat",C142)),"Defective Device",ISNUMBER(SEARCH("cut",C142)),"Defective Device",ISNUMBER(SEARCH("leak",C142)),"Fluid/Blood Leak",ISNUMBER(SEARCH("missing",C142)),"Component Missing",ISNUMBER(SEARCH("power",C142)),"Complete Loss of Power",ISNUMBER(SEARCH("will not turn on",C142)),"Complete Loss of Power",ISNUMBER(SEARCH("won't turn on",C142)),"Complete Loss of Power",ISNUMBER(SEARCH("does not turn on",C142)),"Complete Loss of Power",ISNUMBER(SEARCH("electrical",C142)),"Electrical Power Problem",ISNUMBER(SEARCH("pressure",C142)),"Detachment of Device or Device Component",ISNUMBER(SEARCH("slip",C142)),"Detachment of Device or Device Component",ISNUMBER(SEARCH("detach",C142)),"Detachment of Device or Device Component",ISNUMBER(SEARCH("stick",C142)),"Mechanical Jam",ISNUMBER(SEARCH("jam",C142)),"Mechanical Jam",ISNUMBER(SEARCH("rigid",C142)),"Mechanical Jam",ISNUMBER(SEARCH("rust",C142)),"Corroded",ISNUMBER(SEARCH("corrod",C142)),"Corroded",ISNUMBER(SEARCH("corrosion",C142)),"Corroded",ISNUMBER(SEARCH("alignment",C142)),"Defective Device",ISNUMBER(SEARCH("adjust",C142)),"Defective Device",ISNUMBER(SEARCH("perform",C142)),"Defective Device",ISNUMBER(SEARCH("malfunction",C142)),"Defective Device",ISNUMBER(SEARCH("defect",C142)),"Defective Device",ISNUMBER(SEARCH("fail",C142)),"Defective Device",ISNUMBER(SEARCH("not work",C142)),"Defective Device",ISNUMBER(SEARCH("doesn't work",C142)),"Defective Device",TRUE,"UNKNOWN"),"UNKNOWN")))</f>
        <v/>
      </c>
      <c r="F142" s="4" t="str">
        <f t="shared" si="2"/>
        <v/>
      </c>
      <c r="G142" s="363" t="str">
        <f>IF(E142="","",IFERROR(VLOOKUP(E142,Codes!$L$2:$N$409,3,FALSE),"—"))</f>
        <v/>
      </c>
      <c r="H142" s="88"/>
      <c r="I142" s="88"/>
    </row>
    <row r="143" spans="1:9" ht="13.15" x14ac:dyDescent="0.35">
      <c r="A143" s="434"/>
      <c r="B143" s="436"/>
      <c r="C143" s="437"/>
      <c r="D143" s="434"/>
      <c r="E143" s="93" t="str" cm="1">
        <f t="array" ref="E143">IF(D143&lt;&gt;"",IFERROR(VLOOKUP(D143,Codes!$K$2:$L$409,2,FALSE),"UNKNOWN - "&amp;D143),IF(C143="","",IFERROR(_xlfn.IFS(ISNUMBER(SEARCH("broken button",C143)),"Break",ISNUMBER(SEARCH("broken handle",C143)),"Break",ISNUMBER(SEARCH("shipping damage",C143)),"Break",ISNUMBER(SEARCH("broken",C143)),"Break",ISNUMBER(SEARCH("crack",C143)),"Break",ISNUMBER(SEARCH("snap",C143)),"Break",ISNUMBER(SEARCH("fracture",C143)),"Break",ISNUMBER(SEARCH("bent",C143)),"Material Twisted/Bent",ISNUMBER(SEARCH("twisted",C143)),"Material Twisted/Bent",ISNUMBER(SEARCH("component separat",C143)),"Material Separation",ISNUMBER(SEARCH("separat",C143)),"Material Separation",ISNUMBER(SEARCH("connection",C143)),"Loose or Intermittent Connection",ISNUMBER(SEARCH("loose",C143)),"Loose or Intermittent Connection",ISNUMBER(SEARCH("damaged packaging",C143)),"Packaging Problem",ISNUMBER(SEARCH("packaging",C143)),"Packaging Problem",ISNUMBER(SEARCH("discoloration",C143)),"Contamination",ISNUMBER(SEARCH("tarnish",C143)),"Contamination",ISNUMBER(SEARCH("stain",C143)),"Contamination",ISNUMBER(SEARCH("foreign material",C143)),"Contamination",ISNUMBER(SEARCH("contamina",C143)),"Contamination",ISNUMBER(SEARCH("overheat",C143)),"Overheating of Device",ISNUMBER(SEARCH("excessive heat",C143)),"Overheating of Device",ISNUMBER(SEARCH("hot",C143)),"Overheating of Device",ISNUMBER(SEARCH("noise",C143)),"Noise, Audible",ISNUMBER(SEARCH("sound",C143)),"Noise, Audible",ISNUMBER(SEARCH("loud",C143)),"Noise, Audible",ISNUMBER(SEARCH("fray",C143)),"Material Frayed",ISNUMBER(SEARCH("hole",C143)),"Material Frayed",ISNUMBER(SEARCH("tear",C143)),"Material Frayed",ISNUMBER(SEARCH("worn",C143)),"Material Frayed",ISNUMBER(SEARCH("intermittent",C143)),"Difficult or Delayed Activation",ISNUMBER(SEARCH("delay",C143)),"Difficult or Delayed Activation",ISNUMBER(SEARCH("label",C143)),"Device Markings/Labelling Problem",ISNUMBER(SEARCH("marking",C143)),"Device Markings/Labelling Problem",ISNUMBER(SEARCH("lacerat",C143)),"Defective Device",ISNUMBER(SEARCH("cut",C143)),"Defective Device",ISNUMBER(SEARCH("leak",C143)),"Fluid/Blood Leak",ISNUMBER(SEARCH("missing",C143)),"Component Missing",ISNUMBER(SEARCH("power",C143)),"Complete Loss of Power",ISNUMBER(SEARCH("will not turn on",C143)),"Complete Loss of Power",ISNUMBER(SEARCH("won't turn on",C143)),"Complete Loss of Power",ISNUMBER(SEARCH("does not turn on",C143)),"Complete Loss of Power",ISNUMBER(SEARCH("electrical",C143)),"Electrical Power Problem",ISNUMBER(SEARCH("pressure",C143)),"Detachment of Device or Device Component",ISNUMBER(SEARCH("slip",C143)),"Detachment of Device or Device Component",ISNUMBER(SEARCH("detach",C143)),"Detachment of Device or Device Component",ISNUMBER(SEARCH("stick",C143)),"Mechanical Jam",ISNUMBER(SEARCH("jam",C143)),"Mechanical Jam",ISNUMBER(SEARCH("rigid",C143)),"Mechanical Jam",ISNUMBER(SEARCH("rust",C143)),"Corroded",ISNUMBER(SEARCH("corrod",C143)),"Corroded",ISNUMBER(SEARCH("corrosion",C143)),"Corroded",ISNUMBER(SEARCH("alignment",C143)),"Defective Device",ISNUMBER(SEARCH("adjust",C143)),"Defective Device",ISNUMBER(SEARCH("perform",C143)),"Defective Device",ISNUMBER(SEARCH("malfunction",C143)),"Defective Device",ISNUMBER(SEARCH("defect",C143)),"Defective Device",ISNUMBER(SEARCH("fail",C143)),"Defective Device",ISNUMBER(SEARCH("not work",C143)),"Defective Device",ISNUMBER(SEARCH("doesn't work",C143)),"Defective Device",TRUE,"UNKNOWN"),"UNKNOWN")))</f>
        <v/>
      </c>
      <c r="F143" s="4" t="str">
        <f t="shared" si="2"/>
        <v/>
      </c>
      <c r="G143" s="363" t="str">
        <f>IF(E143="","",IFERROR(VLOOKUP(E143,Codes!$L$2:$N$409,3,FALSE),"—"))</f>
        <v/>
      </c>
      <c r="H143" s="88"/>
      <c r="I143" s="88"/>
    </row>
    <row r="144" spans="1:9" ht="13.15" x14ac:dyDescent="0.35">
      <c r="A144" s="435"/>
      <c r="B144" s="436"/>
      <c r="C144" s="438"/>
      <c r="D144" s="435"/>
      <c r="E144" s="93" t="str" cm="1">
        <f t="array" ref="E144">IF(D144&lt;&gt;"",IFERROR(VLOOKUP(D144,Codes!$K$2:$L$409,2,FALSE),"UNKNOWN - "&amp;D144),IF(C144="","",IFERROR(_xlfn.IFS(ISNUMBER(SEARCH("broken button",C144)),"Break",ISNUMBER(SEARCH("broken handle",C144)),"Break",ISNUMBER(SEARCH("shipping damage",C144)),"Break",ISNUMBER(SEARCH("broken",C144)),"Break",ISNUMBER(SEARCH("crack",C144)),"Break",ISNUMBER(SEARCH("snap",C144)),"Break",ISNUMBER(SEARCH("fracture",C144)),"Break",ISNUMBER(SEARCH("bent",C144)),"Material Twisted/Bent",ISNUMBER(SEARCH("twisted",C144)),"Material Twisted/Bent",ISNUMBER(SEARCH("component separat",C144)),"Material Separation",ISNUMBER(SEARCH("separat",C144)),"Material Separation",ISNUMBER(SEARCH("connection",C144)),"Loose or Intermittent Connection",ISNUMBER(SEARCH("loose",C144)),"Loose or Intermittent Connection",ISNUMBER(SEARCH("damaged packaging",C144)),"Packaging Problem",ISNUMBER(SEARCH("packaging",C144)),"Packaging Problem",ISNUMBER(SEARCH("discoloration",C144)),"Contamination",ISNUMBER(SEARCH("tarnish",C144)),"Contamination",ISNUMBER(SEARCH("stain",C144)),"Contamination",ISNUMBER(SEARCH("foreign material",C144)),"Contamination",ISNUMBER(SEARCH("contamina",C144)),"Contamination",ISNUMBER(SEARCH("overheat",C144)),"Overheating of Device",ISNUMBER(SEARCH("excessive heat",C144)),"Overheating of Device",ISNUMBER(SEARCH("hot",C144)),"Overheating of Device",ISNUMBER(SEARCH("noise",C144)),"Noise, Audible",ISNUMBER(SEARCH("sound",C144)),"Noise, Audible",ISNUMBER(SEARCH("loud",C144)),"Noise, Audible",ISNUMBER(SEARCH("fray",C144)),"Material Frayed",ISNUMBER(SEARCH("hole",C144)),"Material Frayed",ISNUMBER(SEARCH("tear",C144)),"Material Frayed",ISNUMBER(SEARCH("worn",C144)),"Material Frayed",ISNUMBER(SEARCH("intermittent",C144)),"Difficult or Delayed Activation",ISNUMBER(SEARCH("delay",C144)),"Difficult or Delayed Activation",ISNUMBER(SEARCH("label",C144)),"Device Markings/Labelling Problem",ISNUMBER(SEARCH("marking",C144)),"Device Markings/Labelling Problem",ISNUMBER(SEARCH("lacerat",C144)),"Defective Device",ISNUMBER(SEARCH("cut",C144)),"Defective Device",ISNUMBER(SEARCH("leak",C144)),"Fluid/Blood Leak",ISNUMBER(SEARCH("missing",C144)),"Component Missing",ISNUMBER(SEARCH("power",C144)),"Complete Loss of Power",ISNUMBER(SEARCH("will not turn on",C144)),"Complete Loss of Power",ISNUMBER(SEARCH("won't turn on",C144)),"Complete Loss of Power",ISNUMBER(SEARCH("does not turn on",C144)),"Complete Loss of Power",ISNUMBER(SEARCH("electrical",C144)),"Electrical Power Problem",ISNUMBER(SEARCH("pressure",C144)),"Detachment of Device or Device Component",ISNUMBER(SEARCH("slip",C144)),"Detachment of Device or Device Component",ISNUMBER(SEARCH("detach",C144)),"Detachment of Device or Device Component",ISNUMBER(SEARCH("stick",C144)),"Mechanical Jam",ISNUMBER(SEARCH("jam",C144)),"Mechanical Jam",ISNUMBER(SEARCH("rigid",C144)),"Mechanical Jam",ISNUMBER(SEARCH("rust",C144)),"Corroded",ISNUMBER(SEARCH("corrod",C144)),"Corroded",ISNUMBER(SEARCH("corrosion",C144)),"Corroded",ISNUMBER(SEARCH("alignment",C144)),"Defective Device",ISNUMBER(SEARCH("adjust",C144)),"Defective Device",ISNUMBER(SEARCH("perform",C144)),"Defective Device",ISNUMBER(SEARCH("malfunction",C144)),"Defective Device",ISNUMBER(SEARCH("defect",C144)),"Defective Device",ISNUMBER(SEARCH("fail",C144)),"Defective Device",ISNUMBER(SEARCH("not work",C144)),"Defective Device",ISNUMBER(SEARCH("doesn't work",C144)),"Defective Device",TRUE,"UNKNOWN"),"UNKNOWN")))</f>
        <v/>
      </c>
      <c r="F144" s="4" t="str">
        <f t="shared" si="2"/>
        <v/>
      </c>
      <c r="G144" s="363" t="str">
        <f>IF(E144="","",IFERROR(VLOOKUP(E144,Codes!$L$2:$N$409,3,FALSE),"—"))</f>
        <v/>
      </c>
      <c r="H144" s="88"/>
      <c r="I144" s="88"/>
    </row>
    <row r="145" spans="1:9" ht="13.15" x14ac:dyDescent="0.35">
      <c r="A145" s="435"/>
      <c r="B145" s="436"/>
      <c r="C145" s="438"/>
      <c r="D145" s="435"/>
      <c r="E145" s="93" t="str" cm="1">
        <f t="array" ref="E145">IF(D145&lt;&gt;"",IFERROR(VLOOKUP(D145,Codes!$K$2:$L$409,2,FALSE),"UNKNOWN - "&amp;D145),IF(C145="","",IFERROR(_xlfn.IFS(ISNUMBER(SEARCH("broken button",C145)),"Break",ISNUMBER(SEARCH("broken handle",C145)),"Break",ISNUMBER(SEARCH("shipping damage",C145)),"Break",ISNUMBER(SEARCH("broken",C145)),"Break",ISNUMBER(SEARCH("crack",C145)),"Break",ISNUMBER(SEARCH("snap",C145)),"Break",ISNUMBER(SEARCH("fracture",C145)),"Break",ISNUMBER(SEARCH("bent",C145)),"Material Twisted/Bent",ISNUMBER(SEARCH("twisted",C145)),"Material Twisted/Bent",ISNUMBER(SEARCH("component separat",C145)),"Material Separation",ISNUMBER(SEARCH("separat",C145)),"Material Separation",ISNUMBER(SEARCH("connection",C145)),"Loose or Intermittent Connection",ISNUMBER(SEARCH("loose",C145)),"Loose or Intermittent Connection",ISNUMBER(SEARCH("damaged packaging",C145)),"Packaging Problem",ISNUMBER(SEARCH("packaging",C145)),"Packaging Problem",ISNUMBER(SEARCH("discoloration",C145)),"Contamination",ISNUMBER(SEARCH("tarnish",C145)),"Contamination",ISNUMBER(SEARCH("stain",C145)),"Contamination",ISNUMBER(SEARCH("foreign material",C145)),"Contamination",ISNUMBER(SEARCH("contamina",C145)),"Contamination",ISNUMBER(SEARCH("overheat",C145)),"Overheating of Device",ISNUMBER(SEARCH("excessive heat",C145)),"Overheating of Device",ISNUMBER(SEARCH("hot",C145)),"Overheating of Device",ISNUMBER(SEARCH("noise",C145)),"Noise, Audible",ISNUMBER(SEARCH("sound",C145)),"Noise, Audible",ISNUMBER(SEARCH("loud",C145)),"Noise, Audible",ISNUMBER(SEARCH("fray",C145)),"Material Frayed",ISNUMBER(SEARCH("hole",C145)),"Material Frayed",ISNUMBER(SEARCH("tear",C145)),"Material Frayed",ISNUMBER(SEARCH("worn",C145)),"Material Frayed",ISNUMBER(SEARCH("intermittent",C145)),"Difficult or Delayed Activation",ISNUMBER(SEARCH("delay",C145)),"Difficult or Delayed Activation",ISNUMBER(SEARCH("label",C145)),"Device Markings/Labelling Problem",ISNUMBER(SEARCH("marking",C145)),"Device Markings/Labelling Problem",ISNUMBER(SEARCH("lacerat",C145)),"Defective Device",ISNUMBER(SEARCH("cut",C145)),"Defective Device",ISNUMBER(SEARCH("leak",C145)),"Fluid/Blood Leak",ISNUMBER(SEARCH("missing",C145)),"Component Missing",ISNUMBER(SEARCH("power",C145)),"Complete Loss of Power",ISNUMBER(SEARCH("will not turn on",C145)),"Complete Loss of Power",ISNUMBER(SEARCH("won't turn on",C145)),"Complete Loss of Power",ISNUMBER(SEARCH("does not turn on",C145)),"Complete Loss of Power",ISNUMBER(SEARCH("electrical",C145)),"Electrical Power Problem",ISNUMBER(SEARCH("pressure",C145)),"Detachment of Device or Device Component",ISNUMBER(SEARCH("slip",C145)),"Detachment of Device or Device Component",ISNUMBER(SEARCH("detach",C145)),"Detachment of Device or Device Component",ISNUMBER(SEARCH("stick",C145)),"Mechanical Jam",ISNUMBER(SEARCH("jam",C145)),"Mechanical Jam",ISNUMBER(SEARCH("rigid",C145)),"Mechanical Jam",ISNUMBER(SEARCH("rust",C145)),"Corroded",ISNUMBER(SEARCH("corrod",C145)),"Corroded",ISNUMBER(SEARCH("corrosion",C145)),"Corroded",ISNUMBER(SEARCH("alignment",C145)),"Defective Device",ISNUMBER(SEARCH("adjust",C145)),"Defective Device",ISNUMBER(SEARCH("perform",C145)),"Defective Device",ISNUMBER(SEARCH("malfunction",C145)),"Defective Device",ISNUMBER(SEARCH("defect",C145)),"Defective Device",ISNUMBER(SEARCH("fail",C145)),"Defective Device",ISNUMBER(SEARCH("not work",C145)),"Defective Device",ISNUMBER(SEARCH("doesn't work",C145)),"Defective Device",TRUE,"UNKNOWN"),"UNKNOWN")))</f>
        <v/>
      </c>
      <c r="F145" s="4" t="str">
        <f t="shared" si="2"/>
        <v/>
      </c>
      <c r="G145" s="363" t="str">
        <f>IF(E145="","",IFERROR(VLOOKUP(E145,Codes!$L$2:$N$409,3,FALSE),"—"))</f>
        <v/>
      </c>
      <c r="H145" s="88"/>
      <c r="I145" s="88"/>
    </row>
    <row r="146" spans="1:9" ht="13.15" x14ac:dyDescent="0.35">
      <c r="A146" s="434"/>
      <c r="B146" s="436"/>
      <c r="C146" s="437"/>
      <c r="D146" s="434"/>
      <c r="E146" s="93" t="str" cm="1">
        <f t="array" ref="E146">IF(D146&lt;&gt;"",IFERROR(VLOOKUP(D146,Codes!$K$2:$L$409,2,FALSE),"UNKNOWN - "&amp;D146),IF(C146="","",IFERROR(_xlfn.IFS(ISNUMBER(SEARCH("broken button",C146)),"Break",ISNUMBER(SEARCH("broken handle",C146)),"Break",ISNUMBER(SEARCH("shipping damage",C146)),"Break",ISNUMBER(SEARCH("broken",C146)),"Break",ISNUMBER(SEARCH("crack",C146)),"Break",ISNUMBER(SEARCH("snap",C146)),"Break",ISNUMBER(SEARCH("fracture",C146)),"Break",ISNUMBER(SEARCH("bent",C146)),"Material Twisted/Bent",ISNUMBER(SEARCH("twisted",C146)),"Material Twisted/Bent",ISNUMBER(SEARCH("component separat",C146)),"Material Separation",ISNUMBER(SEARCH("separat",C146)),"Material Separation",ISNUMBER(SEARCH("connection",C146)),"Loose or Intermittent Connection",ISNUMBER(SEARCH("loose",C146)),"Loose or Intermittent Connection",ISNUMBER(SEARCH("damaged packaging",C146)),"Packaging Problem",ISNUMBER(SEARCH("packaging",C146)),"Packaging Problem",ISNUMBER(SEARCH("discoloration",C146)),"Contamination",ISNUMBER(SEARCH("tarnish",C146)),"Contamination",ISNUMBER(SEARCH("stain",C146)),"Contamination",ISNUMBER(SEARCH("foreign material",C146)),"Contamination",ISNUMBER(SEARCH("contamina",C146)),"Contamination",ISNUMBER(SEARCH("overheat",C146)),"Overheating of Device",ISNUMBER(SEARCH("excessive heat",C146)),"Overheating of Device",ISNUMBER(SEARCH("hot",C146)),"Overheating of Device",ISNUMBER(SEARCH("noise",C146)),"Noise, Audible",ISNUMBER(SEARCH("sound",C146)),"Noise, Audible",ISNUMBER(SEARCH("loud",C146)),"Noise, Audible",ISNUMBER(SEARCH("fray",C146)),"Material Frayed",ISNUMBER(SEARCH("hole",C146)),"Material Frayed",ISNUMBER(SEARCH("tear",C146)),"Material Frayed",ISNUMBER(SEARCH("worn",C146)),"Material Frayed",ISNUMBER(SEARCH("intermittent",C146)),"Difficult or Delayed Activation",ISNUMBER(SEARCH("delay",C146)),"Difficult or Delayed Activation",ISNUMBER(SEARCH("label",C146)),"Device Markings/Labelling Problem",ISNUMBER(SEARCH("marking",C146)),"Device Markings/Labelling Problem",ISNUMBER(SEARCH("lacerat",C146)),"Defective Device",ISNUMBER(SEARCH("cut",C146)),"Defective Device",ISNUMBER(SEARCH("leak",C146)),"Fluid/Blood Leak",ISNUMBER(SEARCH("missing",C146)),"Component Missing",ISNUMBER(SEARCH("power",C146)),"Complete Loss of Power",ISNUMBER(SEARCH("will not turn on",C146)),"Complete Loss of Power",ISNUMBER(SEARCH("won't turn on",C146)),"Complete Loss of Power",ISNUMBER(SEARCH("does not turn on",C146)),"Complete Loss of Power",ISNUMBER(SEARCH("electrical",C146)),"Electrical Power Problem",ISNUMBER(SEARCH("pressure",C146)),"Detachment of Device or Device Component",ISNUMBER(SEARCH("slip",C146)),"Detachment of Device or Device Component",ISNUMBER(SEARCH("detach",C146)),"Detachment of Device or Device Component",ISNUMBER(SEARCH("stick",C146)),"Mechanical Jam",ISNUMBER(SEARCH("jam",C146)),"Mechanical Jam",ISNUMBER(SEARCH("rigid",C146)),"Mechanical Jam",ISNUMBER(SEARCH("rust",C146)),"Corroded",ISNUMBER(SEARCH("corrod",C146)),"Corroded",ISNUMBER(SEARCH("corrosion",C146)),"Corroded",ISNUMBER(SEARCH("alignment",C146)),"Defective Device",ISNUMBER(SEARCH("adjust",C146)),"Defective Device",ISNUMBER(SEARCH("perform",C146)),"Defective Device",ISNUMBER(SEARCH("malfunction",C146)),"Defective Device",ISNUMBER(SEARCH("defect",C146)),"Defective Device",ISNUMBER(SEARCH("fail",C146)),"Defective Device",ISNUMBER(SEARCH("not work",C146)),"Defective Device",ISNUMBER(SEARCH("doesn't work",C146)),"Defective Device",TRUE,"UNKNOWN"),"UNKNOWN")))</f>
        <v/>
      </c>
      <c r="F146" s="4" t="str">
        <f t="shared" si="2"/>
        <v/>
      </c>
      <c r="G146" s="363" t="str">
        <f>IF(E146="","",IFERROR(VLOOKUP(E146,Codes!$L$2:$N$409,3,FALSE),"—"))</f>
        <v/>
      </c>
      <c r="H146" s="88"/>
      <c r="I146" s="88"/>
    </row>
    <row r="147" spans="1:9" ht="13.15" x14ac:dyDescent="0.35">
      <c r="A147" s="435"/>
      <c r="B147" s="436"/>
      <c r="C147" s="438"/>
      <c r="D147" s="435"/>
      <c r="E147" s="93" t="str" cm="1">
        <f t="array" ref="E147">IF(D147&lt;&gt;"",IFERROR(VLOOKUP(D147,Codes!$K$2:$L$409,2,FALSE),"UNKNOWN - "&amp;D147),IF(C147="","",IFERROR(_xlfn.IFS(ISNUMBER(SEARCH("broken button",C147)),"Break",ISNUMBER(SEARCH("broken handle",C147)),"Break",ISNUMBER(SEARCH("shipping damage",C147)),"Break",ISNUMBER(SEARCH("broken",C147)),"Break",ISNUMBER(SEARCH("crack",C147)),"Break",ISNUMBER(SEARCH("snap",C147)),"Break",ISNUMBER(SEARCH("fracture",C147)),"Break",ISNUMBER(SEARCH("bent",C147)),"Material Twisted/Bent",ISNUMBER(SEARCH("twisted",C147)),"Material Twisted/Bent",ISNUMBER(SEARCH("component separat",C147)),"Material Separation",ISNUMBER(SEARCH("separat",C147)),"Material Separation",ISNUMBER(SEARCH("connection",C147)),"Loose or Intermittent Connection",ISNUMBER(SEARCH("loose",C147)),"Loose or Intermittent Connection",ISNUMBER(SEARCH("damaged packaging",C147)),"Packaging Problem",ISNUMBER(SEARCH("packaging",C147)),"Packaging Problem",ISNUMBER(SEARCH("discoloration",C147)),"Contamination",ISNUMBER(SEARCH("tarnish",C147)),"Contamination",ISNUMBER(SEARCH("stain",C147)),"Contamination",ISNUMBER(SEARCH("foreign material",C147)),"Contamination",ISNUMBER(SEARCH("contamina",C147)),"Contamination",ISNUMBER(SEARCH("overheat",C147)),"Overheating of Device",ISNUMBER(SEARCH("excessive heat",C147)),"Overheating of Device",ISNUMBER(SEARCH("hot",C147)),"Overheating of Device",ISNUMBER(SEARCH("noise",C147)),"Noise, Audible",ISNUMBER(SEARCH("sound",C147)),"Noise, Audible",ISNUMBER(SEARCH("loud",C147)),"Noise, Audible",ISNUMBER(SEARCH("fray",C147)),"Material Frayed",ISNUMBER(SEARCH("hole",C147)),"Material Frayed",ISNUMBER(SEARCH("tear",C147)),"Material Frayed",ISNUMBER(SEARCH("worn",C147)),"Material Frayed",ISNUMBER(SEARCH("intermittent",C147)),"Difficult or Delayed Activation",ISNUMBER(SEARCH("delay",C147)),"Difficult or Delayed Activation",ISNUMBER(SEARCH("label",C147)),"Device Markings/Labelling Problem",ISNUMBER(SEARCH("marking",C147)),"Device Markings/Labelling Problem",ISNUMBER(SEARCH("lacerat",C147)),"Defective Device",ISNUMBER(SEARCH("cut",C147)),"Defective Device",ISNUMBER(SEARCH("leak",C147)),"Fluid/Blood Leak",ISNUMBER(SEARCH("missing",C147)),"Component Missing",ISNUMBER(SEARCH("power",C147)),"Complete Loss of Power",ISNUMBER(SEARCH("will not turn on",C147)),"Complete Loss of Power",ISNUMBER(SEARCH("won't turn on",C147)),"Complete Loss of Power",ISNUMBER(SEARCH("does not turn on",C147)),"Complete Loss of Power",ISNUMBER(SEARCH("electrical",C147)),"Electrical Power Problem",ISNUMBER(SEARCH("pressure",C147)),"Detachment of Device or Device Component",ISNUMBER(SEARCH("slip",C147)),"Detachment of Device or Device Component",ISNUMBER(SEARCH("detach",C147)),"Detachment of Device or Device Component",ISNUMBER(SEARCH("stick",C147)),"Mechanical Jam",ISNUMBER(SEARCH("jam",C147)),"Mechanical Jam",ISNUMBER(SEARCH("rigid",C147)),"Mechanical Jam",ISNUMBER(SEARCH("rust",C147)),"Corroded",ISNUMBER(SEARCH("corrod",C147)),"Corroded",ISNUMBER(SEARCH("corrosion",C147)),"Corroded",ISNUMBER(SEARCH("alignment",C147)),"Defective Device",ISNUMBER(SEARCH("adjust",C147)),"Defective Device",ISNUMBER(SEARCH("perform",C147)),"Defective Device",ISNUMBER(SEARCH("malfunction",C147)),"Defective Device",ISNUMBER(SEARCH("defect",C147)),"Defective Device",ISNUMBER(SEARCH("fail",C147)),"Defective Device",ISNUMBER(SEARCH("not work",C147)),"Defective Device",ISNUMBER(SEARCH("doesn't work",C147)),"Defective Device",TRUE,"UNKNOWN"),"UNKNOWN")))</f>
        <v/>
      </c>
      <c r="F147" s="4" t="str">
        <f t="shared" si="2"/>
        <v/>
      </c>
      <c r="G147" s="363" t="str">
        <f>IF(E147="","",IFERROR(VLOOKUP(E147,Codes!$L$2:$N$409,3,FALSE),"—"))</f>
        <v/>
      </c>
      <c r="H147" s="88"/>
      <c r="I147" s="88"/>
    </row>
    <row r="148" spans="1:9" ht="13.15" x14ac:dyDescent="0.35">
      <c r="A148" s="434"/>
      <c r="B148" s="436"/>
      <c r="C148" s="437"/>
      <c r="D148" s="434"/>
      <c r="E148" s="93" t="str" cm="1">
        <f t="array" ref="E148">IF(D148&lt;&gt;"",IFERROR(VLOOKUP(D148,Codes!$K$2:$L$409,2,FALSE),"UNKNOWN - "&amp;D148),IF(C148="","",IFERROR(_xlfn.IFS(ISNUMBER(SEARCH("broken button",C148)),"Break",ISNUMBER(SEARCH("broken handle",C148)),"Break",ISNUMBER(SEARCH("shipping damage",C148)),"Break",ISNUMBER(SEARCH("broken",C148)),"Break",ISNUMBER(SEARCH("crack",C148)),"Break",ISNUMBER(SEARCH("snap",C148)),"Break",ISNUMBER(SEARCH("fracture",C148)),"Break",ISNUMBER(SEARCH("bent",C148)),"Material Twisted/Bent",ISNUMBER(SEARCH("twisted",C148)),"Material Twisted/Bent",ISNUMBER(SEARCH("component separat",C148)),"Material Separation",ISNUMBER(SEARCH("separat",C148)),"Material Separation",ISNUMBER(SEARCH("connection",C148)),"Loose or Intermittent Connection",ISNUMBER(SEARCH("loose",C148)),"Loose or Intermittent Connection",ISNUMBER(SEARCH("damaged packaging",C148)),"Packaging Problem",ISNUMBER(SEARCH("packaging",C148)),"Packaging Problem",ISNUMBER(SEARCH("discoloration",C148)),"Contamination",ISNUMBER(SEARCH("tarnish",C148)),"Contamination",ISNUMBER(SEARCH("stain",C148)),"Contamination",ISNUMBER(SEARCH("foreign material",C148)),"Contamination",ISNUMBER(SEARCH("contamina",C148)),"Contamination",ISNUMBER(SEARCH("overheat",C148)),"Overheating of Device",ISNUMBER(SEARCH("excessive heat",C148)),"Overheating of Device",ISNUMBER(SEARCH("hot",C148)),"Overheating of Device",ISNUMBER(SEARCH("noise",C148)),"Noise, Audible",ISNUMBER(SEARCH("sound",C148)),"Noise, Audible",ISNUMBER(SEARCH("loud",C148)),"Noise, Audible",ISNUMBER(SEARCH("fray",C148)),"Material Frayed",ISNUMBER(SEARCH("hole",C148)),"Material Frayed",ISNUMBER(SEARCH("tear",C148)),"Material Frayed",ISNUMBER(SEARCH("worn",C148)),"Material Frayed",ISNUMBER(SEARCH("intermittent",C148)),"Difficult or Delayed Activation",ISNUMBER(SEARCH("delay",C148)),"Difficult or Delayed Activation",ISNUMBER(SEARCH("label",C148)),"Device Markings/Labelling Problem",ISNUMBER(SEARCH("marking",C148)),"Device Markings/Labelling Problem",ISNUMBER(SEARCH("lacerat",C148)),"Defective Device",ISNUMBER(SEARCH("cut",C148)),"Defective Device",ISNUMBER(SEARCH("leak",C148)),"Fluid/Blood Leak",ISNUMBER(SEARCH("missing",C148)),"Component Missing",ISNUMBER(SEARCH("power",C148)),"Complete Loss of Power",ISNUMBER(SEARCH("will not turn on",C148)),"Complete Loss of Power",ISNUMBER(SEARCH("won't turn on",C148)),"Complete Loss of Power",ISNUMBER(SEARCH("does not turn on",C148)),"Complete Loss of Power",ISNUMBER(SEARCH("electrical",C148)),"Electrical Power Problem",ISNUMBER(SEARCH("pressure",C148)),"Detachment of Device or Device Component",ISNUMBER(SEARCH("slip",C148)),"Detachment of Device or Device Component",ISNUMBER(SEARCH("detach",C148)),"Detachment of Device or Device Component",ISNUMBER(SEARCH("stick",C148)),"Mechanical Jam",ISNUMBER(SEARCH("jam",C148)),"Mechanical Jam",ISNUMBER(SEARCH("rigid",C148)),"Mechanical Jam",ISNUMBER(SEARCH("rust",C148)),"Corroded",ISNUMBER(SEARCH("corrod",C148)),"Corroded",ISNUMBER(SEARCH("corrosion",C148)),"Corroded",ISNUMBER(SEARCH("alignment",C148)),"Defective Device",ISNUMBER(SEARCH("adjust",C148)),"Defective Device",ISNUMBER(SEARCH("perform",C148)),"Defective Device",ISNUMBER(SEARCH("malfunction",C148)),"Defective Device",ISNUMBER(SEARCH("defect",C148)),"Defective Device",ISNUMBER(SEARCH("fail",C148)),"Defective Device",ISNUMBER(SEARCH("not work",C148)),"Defective Device",ISNUMBER(SEARCH("doesn't work",C148)),"Defective Device",TRUE,"UNKNOWN"),"UNKNOWN")))</f>
        <v/>
      </c>
      <c r="F148" s="4" t="str">
        <f t="shared" si="2"/>
        <v/>
      </c>
      <c r="G148" s="363" t="str">
        <f>IF(E148="","",IFERROR(VLOOKUP(E148,Codes!$L$2:$N$409,3,FALSE),"—"))</f>
        <v/>
      </c>
      <c r="H148" s="88"/>
      <c r="I148" s="88"/>
    </row>
    <row r="149" spans="1:9" ht="13.15" x14ac:dyDescent="0.35">
      <c r="A149" s="435"/>
      <c r="B149" s="436"/>
      <c r="C149" s="438"/>
      <c r="D149" s="435"/>
      <c r="E149" s="93" t="str" cm="1">
        <f t="array" ref="E149">IF(D149&lt;&gt;"",IFERROR(VLOOKUP(D149,Codes!$K$2:$L$409,2,FALSE),"UNKNOWN - "&amp;D149),IF(C149="","",IFERROR(_xlfn.IFS(ISNUMBER(SEARCH("broken button",C149)),"Break",ISNUMBER(SEARCH("broken handle",C149)),"Break",ISNUMBER(SEARCH("shipping damage",C149)),"Break",ISNUMBER(SEARCH("broken",C149)),"Break",ISNUMBER(SEARCH("crack",C149)),"Break",ISNUMBER(SEARCH("snap",C149)),"Break",ISNUMBER(SEARCH("fracture",C149)),"Break",ISNUMBER(SEARCH("bent",C149)),"Material Twisted/Bent",ISNUMBER(SEARCH("twisted",C149)),"Material Twisted/Bent",ISNUMBER(SEARCH("component separat",C149)),"Material Separation",ISNUMBER(SEARCH("separat",C149)),"Material Separation",ISNUMBER(SEARCH("connection",C149)),"Loose or Intermittent Connection",ISNUMBER(SEARCH("loose",C149)),"Loose or Intermittent Connection",ISNUMBER(SEARCH("damaged packaging",C149)),"Packaging Problem",ISNUMBER(SEARCH("packaging",C149)),"Packaging Problem",ISNUMBER(SEARCH("discoloration",C149)),"Contamination",ISNUMBER(SEARCH("tarnish",C149)),"Contamination",ISNUMBER(SEARCH("stain",C149)),"Contamination",ISNUMBER(SEARCH("foreign material",C149)),"Contamination",ISNUMBER(SEARCH("contamina",C149)),"Contamination",ISNUMBER(SEARCH("overheat",C149)),"Overheating of Device",ISNUMBER(SEARCH("excessive heat",C149)),"Overheating of Device",ISNUMBER(SEARCH("hot",C149)),"Overheating of Device",ISNUMBER(SEARCH("noise",C149)),"Noise, Audible",ISNUMBER(SEARCH("sound",C149)),"Noise, Audible",ISNUMBER(SEARCH("loud",C149)),"Noise, Audible",ISNUMBER(SEARCH("fray",C149)),"Material Frayed",ISNUMBER(SEARCH("hole",C149)),"Material Frayed",ISNUMBER(SEARCH("tear",C149)),"Material Frayed",ISNUMBER(SEARCH("worn",C149)),"Material Frayed",ISNUMBER(SEARCH("intermittent",C149)),"Difficult or Delayed Activation",ISNUMBER(SEARCH("delay",C149)),"Difficult or Delayed Activation",ISNUMBER(SEARCH("label",C149)),"Device Markings/Labelling Problem",ISNUMBER(SEARCH("marking",C149)),"Device Markings/Labelling Problem",ISNUMBER(SEARCH("lacerat",C149)),"Defective Device",ISNUMBER(SEARCH("cut",C149)),"Defective Device",ISNUMBER(SEARCH("leak",C149)),"Fluid/Blood Leak",ISNUMBER(SEARCH("missing",C149)),"Component Missing",ISNUMBER(SEARCH("power",C149)),"Complete Loss of Power",ISNUMBER(SEARCH("will not turn on",C149)),"Complete Loss of Power",ISNUMBER(SEARCH("won't turn on",C149)),"Complete Loss of Power",ISNUMBER(SEARCH("does not turn on",C149)),"Complete Loss of Power",ISNUMBER(SEARCH("electrical",C149)),"Electrical Power Problem",ISNUMBER(SEARCH("pressure",C149)),"Detachment of Device or Device Component",ISNUMBER(SEARCH("slip",C149)),"Detachment of Device or Device Component",ISNUMBER(SEARCH("detach",C149)),"Detachment of Device or Device Component",ISNUMBER(SEARCH("stick",C149)),"Mechanical Jam",ISNUMBER(SEARCH("jam",C149)),"Mechanical Jam",ISNUMBER(SEARCH("rigid",C149)),"Mechanical Jam",ISNUMBER(SEARCH("rust",C149)),"Corroded",ISNUMBER(SEARCH("corrod",C149)),"Corroded",ISNUMBER(SEARCH("corrosion",C149)),"Corroded",ISNUMBER(SEARCH("alignment",C149)),"Defective Device",ISNUMBER(SEARCH("adjust",C149)),"Defective Device",ISNUMBER(SEARCH("perform",C149)),"Defective Device",ISNUMBER(SEARCH("malfunction",C149)),"Defective Device",ISNUMBER(SEARCH("defect",C149)),"Defective Device",ISNUMBER(SEARCH("fail",C149)),"Defective Device",ISNUMBER(SEARCH("not work",C149)),"Defective Device",ISNUMBER(SEARCH("doesn't work",C149)),"Defective Device",TRUE,"UNKNOWN"),"UNKNOWN")))</f>
        <v/>
      </c>
      <c r="F149" s="4" t="str">
        <f t="shared" si="2"/>
        <v/>
      </c>
      <c r="G149" s="363" t="str">
        <f>IF(E149="","",IFERROR(VLOOKUP(E149,Codes!$L$2:$N$409,3,FALSE),"—"))</f>
        <v/>
      </c>
      <c r="H149" s="88"/>
      <c r="I149" s="88"/>
    </row>
    <row r="150" spans="1:9" ht="13.15" x14ac:dyDescent="0.35">
      <c r="A150" s="434"/>
      <c r="B150" s="436"/>
      <c r="C150" s="437"/>
      <c r="D150" s="434"/>
      <c r="E150" s="93" t="str" cm="1">
        <f t="array" ref="E150">IF(D150&lt;&gt;"",IFERROR(VLOOKUP(D150,Codes!$K$2:$L$409,2,FALSE),"UNKNOWN - "&amp;D150),IF(C150="","",IFERROR(_xlfn.IFS(ISNUMBER(SEARCH("broken button",C150)),"Break",ISNUMBER(SEARCH("broken handle",C150)),"Break",ISNUMBER(SEARCH("shipping damage",C150)),"Break",ISNUMBER(SEARCH("broken",C150)),"Break",ISNUMBER(SEARCH("crack",C150)),"Break",ISNUMBER(SEARCH("snap",C150)),"Break",ISNUMBER(SEARCH("fracture",C150)),"Break",ISNUMBER(SEARCH("bent",C150)),"Material Twisted/Bent",ISNUMBER(SEARCH("twisted",C150)),"Material Twisted/Bent",ISNUMBER(SEARCH("component separat",C150)),"Material Separation",ISNUMBER(SEARCH("separat",C150)),"Material Separation",ISNUMBER(SEARCH("connection",C150)),"Loose or Intermittent Connection",ISNUMBER(SEARCH("loose",C150)),"Loose or Intermittent Connection",ISNUMBER(SEARCH("damaged packaging",C150)),"Packaging Problem",ISNUMBER(SEARCH("packaging",C150)),"Packaging Problem",ISNUMBER(SEARCH("discoloration",C150)),"Contamination",ISNUMBER(SEARCH("tarnish",C150)),"Contamination",ISNUMBER(SEARCH("stain",C150)),"Contamination",ISNUMBER(SEARCH("foreign material",C150)),"Contamination",ISNUMBER(SEARCH("contamina",C150)),"Contamination",ISNUMBER(SEARCH("overheat",C150)),"Overheating of Device",ISNUMBER(SEARCH("excessive heat",C150)),"Overheating of Device",ISNUMBER(SEARCH("hot",C150)),"Overheating of Device",ISNUMBER(SEARCH("noise",C150)),"Noise, Audible",ISNUMBER(SEARCH("sound",C150)),"Noise, Audible",ISNUMBER(SEARCH("loud",C150)),"Noise, Audible",ISNUMBER(SEARCH("fray",C150)),"Material Frayed",ISNUMBER(SEARCH("hole",C150)),"Material Frayed",ISNUMBER(SEARCH("tear",C150)),"Material Frayed",ISNUMBER(SEARCH("worn",C150)),"Material Frayed",ISNUMBER(SEARCH("intermittent",C150)),"Difficult or Delayed Activation",ISNUMBER(SEARCH("delay",C150)),"Difficult or Delayed Activation",ISNUMBER(SEARCH("label",C150)),"Device Markings/Labelling Problem",ISNUMBER(SEARCH("marking",C150)),"Device Markings/Labelling Problem",ISNUMBER(SEARCH("lacerat",C150)),"Defective Device",ISNUMBER(SEARCH("cut",C150)),"Defective Device",ISNUMBER(SEARCH("leak",C150)),"Fluid/Blood Leak",ISNUMBER(SEARCH("missing",C150)),"Component Missing",ISNUMBER(SEARCH("power",C150)),"Complete Loss of Power",ISNUMBER(SEARCH("will not turn on",C150)),"Complete Loss of Power",ISNUMBER(SEARCH("won't turn on",C150)),"Complete Loss of Power",ISNUMBER(SEARCH("does not turn on",C150)),"Complete Loss of Power",ISNUMBER(SEARCH("electrical",C150)),"Electrical Power Problem",ISNUMBER(SEARCH("pressure",C150)),"Detachment of Device or Device Component",ISNUMBER(SEARCH("slip",C150)),"Detachment of Device or Device Component",ISNUMBER(SEARCH("detach",C150)),"Detachment of Device or Device Component",ISNUMBER(SEARCH("stick",C150)),"Mechanical Jam",ISNUMBER(SEARCH("jam",C150)),"Mechanical Jam",ISNUMBER(SEARCH("rigid",C150)),"Mechanical Jam",ISNUMBER(SEARCH("rust",C150)),"Corroded",ISNUMBER(SEARCH("corrod",C150)),"Corroded",ISNUMBER(SEARCH("corrosion",C150)),"Corroded",ISNUMBER(SEARCH("alignment",C150)),"Defective Device",ISNUMBER(SEARCH("adjust",C150)),"Defective Device",ISNUMBER(SEARCH("perform",C150)),"Defective Device",ISNUMBER(SEARCH("malfunction",C150)),"Defective Device",ISNUMBER(SEARCH("defect",C150)),"Defective Device",ISNUMBER(SEARCH("fail",C150)),"Defective Device",ISNUMBER(SEARCH("not work",C150)),"Defective Device",ISNUMBER(SEARCH("doesn't work",C150)),"Defective Device",TRUE,"UNKNOWN"),"UNKNOWN")))</f>
        <v/>
      </c>
      <c r="F150" s="4" t="str">
        <f t="shared" si="2"/>
        <v/>
      </c>
      <c r="G150" s="363" t="str">
        <f>IF(E150="","",IFERROR(VLOOKUP(E150,Codes!$L$2:$N$409,3,FALSE),"—"))</f>
        <v/>
      </c>
      <c r="H150" s="88"/>
      <c r="I150" s="88"/>
    </row>
    <row r="151" spans="1:9" ht="13.15" x14ac:dyDescent="0.35">
      <c r="A151" s="435"/>
      <c r="B151" s="436"/>
      <c r="C151" s="438"/>
      <c r="D151" s="435"/>
      <c r="E151" s="93" t="str" cm="1">
        <f t="array" ref="E151">IF(D151&lt;&gt;"",IFERROR(VLOOKUP(D151,Codes!$K$2:$L$409,2,FALSE),"UNKNOWN - "&amp;D151),IF(C151="","",IFERROR(_xlfn.IFS(ISNUMBER(SEARCH("broken button",C151)),"Break",ISNUMBER(SEARCH("broken handle",C151)),"Break",ISNUMBER(SEARCH("shipping damage",C151)),"Break",ISNUMBER(SEARCH("broken",C151)),"Break",ISNUMBER(SEARCH("crack",C151)),"Break",ISNUMBER(SEARCH("snap",C151)),"Break",ISNUMBER(SEARCH("fracture",C151)),"Break",ISNUMBER(SEARCH("bent",C151)),"Material Twisted/Bent",ISNUMBER(SEARCH("twisted",C151)),"Material Twisted/Bent",ISNUMBER(SEARCH("component separat",C151)),"Material Separation",ISNUMBER(SEARCH("separat",C151)),"Material Separation",ISNUMBER(SEARCH("connection",C151)),"Loose or Intermittent Connection",ISNUMBER(SEARCH("loose",C151)),"Loose or Intermittent Connection",ISNUMBER(SEARCH("damaged packaging",C151)),"Packaging Problem",ISNUMBER(SEARCH("packaging",C151)),"Packaging Problem",ISNUMBER(SEARCH("discoloration",C151)),"Contamination",ISNUMBER(SEARCH("tarnish",C151)),"Contamination",ISNUMBER(SEARCH("stain",C151)),"Contamination",ISNUMBER(SEARCH("foreign material",C151)),"Contamination",ISNUMBER(SEARCH("contamina",C151)),"Contamination",ISNUMBER(SEARCH("overheat",C151)),"Overheating of Device",ISNUMBER(SEARCH("excessive heat",C151)),"Overheating of Device",ISNUMBER(SEARCH("hot",C151)),"Overheating of Device",ISNUMBER(SEARCH("noise",C151)),"Noise, Audible",ISNUMBER(SEARCH("sound",C151)),"Noise, Audible",ISNUMBER(SEARCH("loud",C151)),"Noise, Audible",ISNUMBER(SEARCH("fray",C151)),"Material Frayed",ISNUMBER(SEARCH("hole",C151)),"Material Frayed",ISNUMBER(SEARCH("tear",C151)),"Material Frayed",ISNUMBER(SEARCH("worn",C151)),"Material Frayed",ISNUMBER(SEARCH("intermittent",C151)),"Difficult or Delayed Activation",ISNUMBER(SEARCH("delay",C151)),"Difficult or Delayed Activation",ISNUMBER(SEARCH("label",C151)),"Device Markings/Labelling Problem",ISNUMBER(SEARCH("marking",C151)),"Device Markings/Labelling Problem",ISNUMBER(SEARCH("lacerat",C151)),"Defective Device",ISNUMBER(SEARCH("cut",C151)),"Defective Device",ISNUMBER(SEARCH("leak",C151)),"Fluid/Blood Leak",ISNUMBER(SEARCH("missing",C151)),"Component Missing",ISNUMBER(SEARCH("power",C151)),"Complete Loss of Power",ISNUMBER(SEARCH("will not turn on",C151)),"Complete Loss of Power",ISNUMBER(SEARCH("won't turn on",C151)),"Complete Loss of Power",ISNUMBER(SEARCH("does not turn on",C151)),"Complete Loss of Power",ISNUMBER(SEARCH("electrical",C151)),"Electrical Power Problem",ISNUMBER(SEARCH("pressure",C151)),"Detachment of Device or Device Component",ISNUMBER(SEARCH("slip",C151)),"Detachment of Device or Device Component",ISNUMBER(SEARCH("detach",C151)),"Detachment of Device or Device Component",ISNUMBER(SEARCH("stick",C151)),"Mechanical Jam",ISNUMBER(SEARCH("jam",C151)),"Mechanical Jam",ISNUMBER(SEARCH("rigid",C151)),"Mechanical Jam",ISNUMBER(SEARCH("rust",C151)),"Corroded",ISNUMBER(SEARCH("corrod",C151)),"Corroded",ISNUMBER(SEARCH("corrosion",C151)),"Corroded",ISNUMBER(SEARCH("alignment",C151)),"Defective Device",ISNUMBER(SEARCH("adjust",C151)),"Defective Device",ISNUMBER(SEARCH("perform",C151)),"Defective Device",ISNUMBER(SEARCH("malfunction",C151)),"Defective Device",ISNUMBER(SEARCH("defect",C151)),"Defective Device",ISNUMBER(SEARCH("fail",C151)),"Defective Device",ISNUMBER(SEARCH("not work",C151)),"Defective Device",ISNUMBER(SEARCH("doesn't work",C151)),"Defective Device",TRUE,"UNKNOWN"),"UNKNOWN")))</f>
        <v/>
      </c>
      <c r="F151" s="4" t="str">
        <f t="shared" si="2"/>
        <v/>
      </c>
      <c r="G151" s="363" t="str">
        <f>IF(E151="","",IFERROR(VLOOKUP(E151,Codes!$L$2:$N$409,3,FALSE),"—"))</f>
        <v/>
      </c>
      <c r="H151" s="88"/>
      <c r="I151" s="88"/>
    </row>
    <row r="152" spans="1:9" ht="13.15" x14ac:dyDescent="0.35">
      <c r="A152" s="435"/>
      <c r="B152" s="436"/>
      <c r="C152" s="438"/>
      <c r="D152" s="435"/>
      <c r="E152" s="93" t="str" cm="1">
        <f t="array" ref="E152">IF(D152&lt;&gt;"",IFERROR(VLOOKUP(D152,Codes!$K$2:$L$409,2,FALSE),"UNKNOWN - "&amp;D152),IF(C152="","",IFERROR(_xlfn.IFS(ISNUMBER(SEARCH("broken button",C152)),"Break",ISNUMBER(SEARCH("broken handle",C152)),"Break",ISNUMBER(SEARCH("shipping damage",C152)),"Break",ISNUMBER(SEARCH("broken",C152)),"Break",ISNUMBER(SEARCH("crack",C152)),"Break",ISNUMBER(SEARCH("snap",C152)),"Break",ISNUMBER(SEARCH("fracture",C152)),"Break",ISNUMBER(SEARCH("bent",C152)),"Material Twisted/Bent",ISNUMBER(SEARCH("twisted",C152)),"Material Twisted/Bent",ISNUMBER(SEARCH("component separat",C152)),"Material Separation",ISNUMBER(SEARCH("separat",C152)),"Material Separation",ISNUMBER(SEARCH("connection",C152)),"Loose or Intermittent Connection",ISNUMBER(SEARCH("loose",C152)),"Loose or Intermittent Connection",ISNUMBER(SEARCH("damaged packaging",C152)),"Packaging Problem",ISNUMBER(SEARCH("packaging",C152)),"Packaging Problem",ISNUMBER(SEARCH("discoloration",C152)),"Contamination",ISNUMBER(SEARCH("tarnish",C152)),"Contamination",ISNUMBER(SEARCH("stain",C152)),"Contamination",ISNUMBER(SEARCH("foreign material",C152)),"Contamination",ISNUMBER(SEARCH("contamina",C152)),"Contamination",ISNUMBER(SEARCH("overheat",C152)),"Overheating of Device",ISNUMBER(SEARCH("excessive heat",C152)),"Overheating of Device",ISNUMBER(SEARCH("hot",C152)),"Overheating of Device",ISNUMBER(SEARCH("noise",C152)),"Noise, Audible",ISNUMBER(SEARCH("sound",C152)),"Noise, Audible",ISNUMBER(SEARCH("loud",C152)),"Noise, Audible",ISNUMBER(SEARCH("fray",C152)),"Material Frayed",ISNUMBER(SEARCH("hole",C152)),"Material Frayed",ISNUMBER(SEARCH("tear",C152)),"Material Frayed",ISNUMBER(SEARCH("worn",C152)),"Material Frayed",ISNUMBER(SEARCH("intermittent",C152)),"Difficult or Delayed Activation",ISNUMBER(SEARCH("delay",C152)),"Difficult or Delayed Activation",ISNUMBER(SEARCH("label",C152)),"Device Markings/Labelling Problem",ISNUMBER(SEARCH("marking",C152)),"Device Markings/Labelling Problem",ISNUMBER(SEARCH("lacerat",C152)),"Defective Device",ISNUMBER(SEARCH("cut",C152)),"Defective Device",ISNUMBER(SEARCH("leak",C152)),"Fluid/Blood Leak",ISNUMBER(SEARCH("missing",C152)),"Component Missing",ISNUMBER(SEARCH("power",C152)),"Complete Loss of Power",ISNUMBER(SEARCH("will not turn on",C152)),"Complete Loss of Power",ISNUMBER(SEARCH("won't turn on",C152)),"Complete Loss of Power",ISNUMBER(SEARCH("does not turn on",C152)),"Complete Loss of Power",ISNUMBER(SEARCH("electrical",C152)),"Electrical Power Problem",ISNUMBER(SEARCH("pressure",C152)),"Detachment of Device or Device Component",ISNUMBER(SEARCH("slip",C152)),"Detachment of Device or Device Component",ISNUMBER(SEARCH("detach",C152)),"Detachment of Device or Device Component",ISNUMBER(SEARCH("stick",C152)),"Mechanical Jam",ISNUMBER(SEARCH("jam",C152)),"Mechanical Jam",ISNUMBER(SEARCH("rigid",C152)),"Mechanical Jam",ISNUMBER(SEARCH("rust",C152)),"Corroded",ISNUMBER(SEARCH("corrod",C152)),"Corroded",ISNUMBER(SEARCH("corrosion",C152)),"Corroded",ISNUMBER(SEARCH("alignment",C152)),"Defective Device",ISNUMBER(SEARCH("adjust",C152)),"Defective Device",ISNUMBER(SEARCH("perform",C152)),"Defective Device",ISNUMBER(SEARCH("malfunction",C152)),"Defective Device",ISNUMBER(SEARCH("defect",C152)),"Defective Device",ISNUMBER(SEARCH("fail",C152)),"Defective Device",ISNUMBER(SEARCH("not work",C152)),"Defective Device",ISNUMBER(SEARCH("doesn't work",C152)),"Defective Device",TRUE,"UNKNOWN"),"UNKNOWN")))</f>
        <v/>
      </c>
      <c r="F152" s="4" t="str">
        <f t="shared" si="2"/>
        <v/>
      </c>
      <c r="G152" s="363" t="str">
        <f>IF(E152="","",IFERROR(VLOOKUP(E152,Codes!$L$2:$N$409,3,FALSE),"—"))</f>
        <v/>
      </c>
      <c r="H152" s="88"/>
      <c r="I152" s="88"/>
    </row>
    <row r="153" spans="1:9" ht="13.15" x14ac:dyDescent="0.35">
      <c r="A153" s="435"/>
      <c r="B153" s="436"/>
      <c r="C153" s="438"/>
      <c r="D153" s="435"/>
      <c r="E153" s="93" t="str" cm="1">
        <f t="array" ref="E153">IF(D153&lt;&gt;"",IFERROR(VLOOKUP(D153,Codes!$K$2:$L$409,2,FALSE),"UNKNOWN - "&amp;D153),IF(C153="","",IFERROR(_xlfn.IFS(ISNUMBER(SEARCH("broken button",C153)),"Break",ISNUMBER(SEARCH("broken handle",C153)),"Break",ISNUMBER(SEARCH("shipping damage",C153)),"Break",ISNUMBER(SEARCH("broken",C153)),"Break",ISNUMBER(SEARCH("crack",C153)),"Break",ISNUMBER(SEARCH("snap",C153)),"Break",ISNUMBER(SEARCH("fracture",C153)),"Break",ISNUMBER(SEARCH("bent",C153)),"Material Twisted/Bent",ISNUMBER(SEARCH("twisted",C153)),"Material Twisted/Bent",ISNUMBER(SEARCH("component separat",C153)),"Material Separation",ISNUMBER(SEARCH("separat",C153)),"Material Separation",ISNUMBER(SEARCH("connection",C153)),"Loose or Intermittent Connection",ISNUMBER(SEARCH("loose",C153)),"Loose or Intermittent Connection",ISNUMBER(SEARCH("damaged packaging",C153)),"Packaging Problem",ISNUMBER(SEARCH("packaging",C153)),"Packaging Problem",ISNUMBER(SEARCH("discoloration",C153)),"Contamination",ISNUMBER(SEARCH("tarnish",C153)),"Contamination",ISNUMBER(SEARCH("stain",C153)),"Contamination",ISNUMBER(SEARCH("foreign material",C153)),"Contamination",ISNUMBER(SEARCH("contamina",C153)),"Contamination",ISNUMBER(SEARCH("overheat",C153)),"Overheating of Device",ISNUMBER(SEARCH("excessive heat",C153)),"Overheating of Device",ISNUMBER(SEARCH("hot",C153)),"Overheating of Device",ISNUMBER(SEARCH("noise",C153)),"Noise, Audible",ISNUMBER(SEARCH("sound",C153)),"Noise, Audible",ISNUMBER(SEARCH("loud",C153)),"Noise, Audible",ISNUMBER(SEARCH("fray",C153)),"Material Frayed",ISNUMBER(SEARCH("hole",C153)),"Material Frayed",ISNUMBER(SEARCH("tear",C153)),"Material Frayed",ISNUMBER(SEARCH("worn",C153)),"Material Frayed",ISNUMBER(SEARCH("intermittent",C153)),"Difficult or Delayed Activation",ISNUMBER(SEARCH("delay",C153)),"Difficult or Delayed Activation",ISNUMBER(SEARCH("label",C153)),"Device Markings/Labelling Problem",ISNUMBER(SEARCH("marking",C153)),"Device Markings/Labelling Problem",ISNUMBER(SEARCH("lacerat",C153)),"Defective Device",ISNUMBER(SEARCH("cut",C153)),"Defective Device",ISNUMBER(SEARCH("leak",C153)),"Fluid/Blood Leak",ISNUMBER(SEARCH("missing",C153)),"Component Missing",ISNUMBER(SEARCH("power",C153)),"Complete Loss of Power",ISNUMBER(SEARCH("will not turn on",C153)),"Complete Loss of Power",ISNUMBER(SEARCH("won't turn on",C153)),"Complete Loss of Power",ISNUMBER(SEARCH("does not turn on",C153)),"Complete Loss of Power",ISNUMBER(SEARCH("electrical",C153)),"Electrical Power Problem",ISNUMBER(SEARCH("pressure",C153)),"Detachment of Device or Device Component",ISNUMBER(SEARCH("slip",C153)),"Detachment of Device or Device Component",ISNUMBER(SEARCH("detach",C153)),"Detachment of Device or Device Component",ISNUMBER(SEARCH("stick",C153)),"Mechanical Jam",ISNUMBER(SEARCH("jam",C153)),"Mechanical Jam",ISNUMBER(SEARCH("rigid",C153)),"Mechanical Jam",ISNUMBER(SEARCH("rust",C153)),"Corroded",ISNUMBER(SEARCH("corrod",C153)),"Corroded",ISNUMBER(SEARCH("corrosion",C153)),"Corroded",ISNUMBER(SEARCH("alignment",C153)),"Defective Device",ISNUMBER(SEARCH("adjust",C153)),"Defective Device",ISNUMBER(SEARCH("perform",C153)),"Defective Device",ISNUMBER(SEARCH("malfunction",C153)),"Defective Device",ISNUMBER(SEARCH("defect",C153)),"Defective Device",ISNUMBER(SEARCH("fail",C153)),"Defective Device",ISNUMBER(SEARCH("not work",C153)),"Defective Device",ISNUMBER(SEARCH("doesn't work",C153)),"Defective Device",TRUE,"UNKNOWN"),"UNKNOWN")))</f>
        <v/>
      </c>
      <c r="F153" s="4" t="str">
        <f t="shared" si="2"/>
        <v/>
      </c>
      <c r="G153" s="363" t="str">
        <f>IF(E153="","",IFERROR(VLOOKUP(E153,Codes!$L$2:$N$409,3,FALSE),"—"))</f>
        <v/>
      </c>
      <c r="H153" s="88"/>
      <c r="I153" s="88"/>
    </row>
    <row r="154" spans="1:9" ht="13.15" x14ac:dyDescent="0.35">
      <c r="A154" s="434"/>
      <c r="B154" s="436"/>
      <c r="C154" s="437"/>
      <c r="D154" s="434"/>
      <c r="E154" s="93" t="str" cm="1">
        <f t="array" ref="E154">IF(D154&lt;&gt;"",IFERROR(VLOOKUP(D154,Codes!$K$2:$L$409,2,FALSE),"UNKNOWN - "&amp;D154),IF(C154="","",IFERROR(_xlfn.IFS(ISNUMBER(SEARCH("broken button",C154)),"Break",ISNUMBER(SEARCH("broken handle",C154)),"Break",ISNUMBER(SEARCH("shipping damage",C154)),"Break",ISNUMBER(SEARCH("broken",C154)),"Break",ISNUMBER(SEARCH("crack",C154)),"Break",ISNUMBER(SEARCH("snap",C154)),"Break",ISNUMBER(SEARCH("fracture",C154)),"Break",ISNUMBER(SEARCH("bent",C154)),"Material Twisted/Bent",ISNUMBER(SEARCH("twisted",C154)),"Material Twisted/Bent",ISNUMBER(SEARCH("component separat",C154)),"Material Separation",ISNUMBER(SEARCH("separat",C154)),"Material Separation",ISNUMBER(SEARCH("connection",C154)),"Loose or Intermittent Connection",ISNUMBER(SEARCH("loose",C154)),"Loose or Intermittent Connection",ISNUMBER(SEARCH("damaged packaging",C154)),"Packaging Problem",ISNUMBER(SEARCH("packaging",C154)),"Packaging Problem",ISNUMBER(SEARCH("discoloration",C154)),"Contamination",ISNUMBER(SEARCH("tarnish",C154)),"Contamination",ISNUMBER(SEARCH("stain",C154)),"Contamination",ISNUMBER(SEARCH("foreign material",C154)),"Contamination",ISNUMBER(SEARCH("contamina",C154)),"Contamination",ISNUMBER(SEARCH("overheat",C154)),"Overheating of Device",ISNUMBER(SEARCH("excessive heat",C154)),"Overheating of Device",ISNUMBER(SEARCH("hot",C154)),"Overheating of Device",ISNUMBER(SEARCH("noise",C154)),"Noise, Audible",ISNUMBER(SEARCH("sound",C154)),"Noise, Audible",ISNUMBER(SEARCH("loud",C154)),"Noise, Audible",ISNUMBER(SEARCH("fray",C154)),"Material Frayed",ISNUMBER(SEARCH("hole",C154)),"Material Frayed",ISNUMBER(SEARCH("tear",C154)),"Material Frayed",ISNUMBER(SEARCH("worn",C154)),"Material Frayed",ISNUMBER(SEARCH("intermittent",C154)),"Difficult or Delayed Activation",ISNUMBER(SEARCH("delay",C154)),"Difficult or Delayed Activation",ISNUMBER(SEARCH("label",C154)),"Device Markings/Labelling Problem",ISNUMBER(SEARCH("marking",C154)),"Device Markings/Labelling Problem",ISNUMBER(SEARCH("lacerat",C154)),"Defective Device",ISNUMBER(SEARCH("cut",C154)),"Defective Device",ISNUMBER(SEARCH("leak",C154)),"Fluid/Blood Leak",ISNUMBER(SEARCH("missing",C154)),"Component Missing",ISNUMBER(SEARCH("power",C154)),"Complete Loss of Power",ISNUMBER(SEARCH("will not turn on",C154)),"Complete Loss of Power",ISNUMBER(SEARCH("won't turn on",C154)),"Complete Loss of Power",ISNUMBER(SEARCH("does not turn on",C154)),"Complete Loss of Power",ISNUMBER(SEARCH("electrical",C154)),"Electrical Power Problem",ISNUMBER(SEARCH("pressure",C154)),"Detachment of Device or Device Component",ISNUMBER(SEARCH("slip",C154)),"Detachment of Device or Device Component",ISNUMBER(SEARCH("detach",C154)),"Detachment of Device or Device Component",ISNUMBER(SEARCH("stick",C154)),"Mechanical Jam",ISNUMBER(SEARCH("jam",C154)),"Mechanical Jam",ISNUMBER(SEARCH("rigid",C154)),"Mechanical Jam",ISNUMBER(SEARCH("rust",C154)),"Corroded",ISNUMBER(SEARCH("corrod",C154)),"Corroded",ISNUMBER(SEARCH("corrosion",C154)),"Corroded",ISNUMBER(SEARCH("alignment",C154)),"Defective Device",ISNUMBER(SEARCH("adjust",C154)),"Defective Device",ISNUMBER(SEARCH("perform",C154)),"Defective Device",ISNUMBER(SEARCH("malfunction",C154)),"Defective Device",ISNUMBER(SEARCH("defect",C154)),"Defective Device",ISNUMBER(SEARCH("fail",C154)),"Defective Device",ISNUMBER(SEARCH("not work",C154)),"Defective Device",ISNUMBER(SEARCH("doesn't work",C154)),"Defective Device",TRUE,"UNKNOWN"),"UNKNOWN")))</f>
        <v/>
      </c>
      <c r="F154" s="4" t="str">
        <f t="shared" si="2"/>
        <v/>
      </c>
      <c r="G154" s="363" t="str">
        <f>IF(E154="","",IFERROR(VLOOKUP(E154,Codes!$L$2:$N$409,3,FALSE),"—"))</f>
        <v/>
      </c>
      <c r="H154" s="88"/>
      <c r="I154" s="88"/>
    </row>
    <row r="155" spans="1:9" ht="13.15" x14ac:dyDescent="0.35">
      <c r="A155" s="435"/>
      <c r="B155" s="436"/>
      <c r="C155" s="438"/>
      <c r="D155" s="435"/>
      <c r="E155" s="93" t="str" cm="1">
        <f t="array" ref="E155">IF(D155&lt;&gt;"",IFERROR(VLOOKUP(D155,Codes!$K$2:$L$409,2,FALSE),"UNKNOWN - "&amp;D155),IF(C155="","",IFERROR(_xlfn.IFS(ISNUMBER(SEARCH("broken button",C155)),"Break",ISNUMBER(SEARCH("broken handle",C155)),"Break",ISNUMBER(SEARCH("shipping damage",C155)),"Break",ISNUMBER(SEARCH("broken",C155)),"Break",ISNUMBER(SEARCH("crack",C155)),"Break",ISNUMBER(SEARCH("snap",C155)),"Break",ISNUMBER(SEARCH("fracture",C155)),"Break",ISNUMBER(SEARCH("bent",C155)),"Material Twisted/Bent",ISNUMBER(SEARCH("twisted",C155)),"Material Twisted/Bent",ISNUMBER(SEARCH("component separat",C155)),"Material Separation",ISNUMBER(SEARCH("separat",C155)),"Material Separation",ISNUMBER(SEARCH("connection",C155)),"Loose or Intermittent Connection",ISNUMBER(SEARCH("loose",C155)),"Loose or Intermittent Connection",ISNUMBER(SEARCH("damaged packaging",C155)),"Packaging Problem",ISNUMBER(SEARCH("packaging",C155)),"Packaging Problem",ISNUMBER(SEARCH("discoloration",C155)),"Contamination",ISNUMBER(SEARCH("tarnish",C155)),"Contamination",ISNUMBER(SEARCH("stain",C155)),"Contamination",ISNUMBER(SEARCH("foreign material",C155)),"Contamination",ISNUMBER(SEARCH("contamina",C155)),"Contamination",ISNUMBER(SEARCH("overheat",C155)),"Overheating of Device",ISNUMBER(SEARCH("excessive heat",C155)),"Overheating of Device",ISNUMBER(SEARCH("hot",C155)),"Overheating of Device",ISNUMBER(SEARCH("noise",C155)),"Noise, Audible",ISNUMBER(SEARCH("sound",C155)),"Noise, Audible",ISNUMBER(SEARCH("loud",C155)),"Noise, Audible",ISNUMBER(SEARCH("fray",C155)),"Material Frayed",ISNUMBER(SEARCH("hole",C155)),"Material Frayed",ISNUMBER(SEARCH("tear",C155)),"Material Frayed",ISNUMBER(SEARCH("worn",C155)),"Material Frayed",ISNUMBER(SEARCH("intermittent",C155)),"Difficult or Delayed Activation",ISNUMBER(SEARCH("delay",C155)),"Difficult or Delayed Activation",ISNUMBER(SEARCH("label",C155)),"Device Markings/Labelling Problem",ISNUMBER(SEARCH("marking",C155)),"Device Markings/Labelling Problem",ISNUMBER(SEARCH("lacerat",C155)),"Defective Device",ISNUMBER(SEARCH("cut",C155)),"Defective Device",ISNUMBER(SEARCH("leak",C155)),"Fluid/Blood Leak",ISNUMBER(SEARCH("missing",C155)),"Component Missing",ISNUMBER(SEARCH("power",C155)),"Complete Loss of Power",ISNUMBER(SEARCH("will not turn on",C155)),"Complete Loss of Power",ISNUMBER(SEARCH("won't turn on",C155)),"Complete Loss of Power",ISNUMBER(SEARCH("does not turn on",C155)),"Complete Loss of Power",ISNUMBER(SEARCH("electrical",C155)),"Electrical Power Problem",ISNUMBER(SEARCH("pressure",C155)),"Detachment of Device or Device Component",ISNUMBER(SEARCH("slip",C155)),"Detachment of Device or Device Component",ISNUMBER(SEARCH("detach",C155)),"Detachment of Device or Device Component",ISNUMBER(SEARCH("stick",C155)),"Mechanical Jam",ISNUMBER(SEARCH("jam",C155)),"Mechanical Jam",ISNUMBER(SEARCH("rigid",C155)),"Mechanical Jam",ISNUMBER(SEARCH("rust",C155)),"Corroded",ISNUMBER(SEARCH("corrod",C155)),"Corroded",ISNUMBER(SEARCH("corrosion",C155)),"Corroded",ISNUMBER(SEARCH("alignment",C155)),"Defective Device",ISNUMBER(SEARCH("adjust",C155)),"Defective Device",ISNUMBER(SEARCH("perform",C155)),"Defective Device",ISNUMBER(SEARCH("malfunction",C155)),"Defective Device",ISNUMBER(SEARCH("defect",C155)),"Defective Device",ISNUMBER(SEARCH("fail",C155)),"Defective Device",ISNUMBER(SEARCH("not work",C155)),"Defective Device",ISNUMBER(SEARCH("doesn't work",C155)),"Defective Device",TRUE,"UNKNOWN"),"UNKNOWN")))</f>
        <v/>
      </c>
      <c r="F155" s="4" t="str">
        <f t="shared" si="2"/>
        <v/>
      </c>
      <c r="G155" s="363" t="str">
        <f>IF(E155="","",IFERROR(VLOOKUP(E155,Codes!$L$2:$N$409,3,FALSE),"—"))</f>
        <v/>
      </c>
      <c r="H155" s="88"/>
      <c r="I155" s="88"/>
    </row>
    <row r="156" spans="1:9" ht="13.15" x14ac:dyDescent="0.35">
      <c r="A156" s="434"/>
      <c r="B156" s="436"/>
      <c r="C156" s="437"/>
      <c r="D156" s="434"/>
      <c r="E156" s="93" t="str" cm="1">
        <f t="array" ref="E156">IF(D156&lt;&gt;"",IFERROR(VLOOKUP(D156,Codes!$K$2:$L$409,2,FALSE),"UNKNOWN - "&amp;D156),IF(C156="","",IFERROR(_xlfn.IFS(ISNUMBER(SEARCH("broken button",C156)),"Break",ISNUMBER(SEARCH("broken handle",C156)),"Break",ISNUMBER(SEARCH("shipping damage",C156)),"Break",ISNUMBER(SEARCH("broken",C156)),"Break",ISNUMBER(SEARCH("crack",C156)),"Break",ISNUMBER(SEARCH("snap",C156)),"Break",ISNUMBER(SEARCH("fracture",C156)),"Break",ISNUMBER(SEARCH("bent",C156)),"Material Twisted/Bent",ISNUMBER(SEARCH("twisted",C156)),"Material Twisted/Bent",ISNUMBER(SEARCH("component separat",C156)),"Material Separation",ISNUMBER(SEARCH("separat",C156)),"Material Separation",ISNUMBER(SEARCH("connection",C156)),"Loose or Intermittent Connection",ISNUMBER(SEARCH("loose",C156)),"Loose or Intermittent Connection",ISNUMBER(SEARCH("damaged packaging",C156)),"Packaging Problem",ISNUMBER(SEARCH("packaging",C156)),"Packaging Problem",ISNUMBER(SEARCH("discoloration",C156)),"Contamination",ISNUMBER(SEARCH("tarnish",C156)),"Contamination",ISNUMBER(SEARCH("stain",C156)),"Contamination",ISNUMBER(SEARCH("foreign material",C156)),"Contamination",ISNUMBER(SEARCH("contamina",C156)),"Contamination",ISNUMBER(SEARCH("overheat",C156)),"Overheating of Device",ISNUMBER(SEARCH("excessive heat",C156)),"Overheating of Device",ISNUMBER(SEARCH("hot",C156)),"Overheating of Device",ISNUMBER(SEARCH("noise",C156)),"Noise, Audible",ISNUMBER(SEARCH("sound",C156)),"Noise, Audible",ISNUMBER(SEARCH("loud",C156)),"Noise, Audible",ISNUMBER(SEARCH("fray",C156)),"Material Frayed",ISNUMBER(SEARCH("hole",C156)),"Material Frayed",ISNUMBER(SEARCH("tear",C156)),"Material Frayed",ISNUMBER(SEARCH("worn",C156)),"Material Frayed",ISNUMBER(SEARCH("intermittent",C156)),"Difficult or Delayed Activation",ISNUMBER(SEARCH("delay",C156)),"Difficult or Delayed Activation",ISNUMBER(SEARCH("label",C156)),"Device Markings/Labelling Problem",ISNUMBER(SEARCH("marking",C156)),"Device Markings/Labelling Problem",ISNUMBER(SEARCH("lacerat",C156)),"Defective Device",ISNUMBER(SEARCH("cut",C156)),"Defective Device",ISNUMBER(SEARCH("leak",C156)),"Fluid/Blood Leak",ISNUMBER(SEARCH("missing",C156)),"Component Missing",ISNUMBER(SEARCH("power",C156)),"Complete Loss of Power",ISNUMBER(SEARCH("will not turn on",C156)),"Complete Loss of Power",ISNUMBER(SEARCH("won't turn on",C156)),"Complete Loss of Power",ISNUMBER(SEARCH("does not turn on",C156)),"Complete Loss of Power",ISNUMBER(SEARCH("electrical",C156)),"Electrical Power Problem",ISNUMBER(SEARCH("pressure",C156)),"Detachment of Device or Device Component",ISNUMBER(SEARCH("slip",C156)),"Detachment of Device or Device Component",ISNUMBER(SEARCH("detach",C156)),"Detachment of Device or Device Component",ISNUMBER(SEARCH("stick",C156)),"Mechanical Jam",ISNUMBER(SEARCH("jam",C156)),"Mechanical Jam",ISNUMBER(SEARCH("rigid",C156)),"Mechanical Jam",ISNUMBER(SEARCH("rust",C156)),"Corroded",ISNUMBER(SEARCH("corrod",C156)),"Corroded",ISNUMBER(SEARCH("corrosion",C156)),"Corroded",ISNUMBER(SEARCH("alignment",C156)),"Defective Device",ISNUMBER(SEARCH("adjust",C156)),"Defective Device",ISNUMBER(SEARCH("perform",C156)),"Defective Device",ISNUMBER(SEARCH("malfunction",C156)),"Defective Device",ISNUMBER(SEARCH("defect",C156)),"Defective Device",ISNUMBER(SEARCH("fail",C156)),"Defective Device",ISNUMBER(SEARCH("not work",C156)),"Defective Device",ISNUMBER(SEARCH("doesn't work",C156)),"Defective Device",TRUE,"UNKNOWN"),"UNKNOWN")))</f>
        <v/>
      </c>
      <c r="F156" s="4" t="str">
        <f t="shared" si="2"/>
        <v/>
      </c>
      <c r="G156" s="363" t="str">
        <f>IF(E156="","",IFERROR(VLOOKUP(E156,Codes!$L$2:$N$409,3,FALSE),"—"))</f>
        <v/>
      </c>
      <c r="H156" s="88"/>
      <c r="I156" s="88"/>
    </row>
    <row r="157" spans="1:9" ht="13.15" x14ac:dyDescent="0.35">
      <c r="A157" s="435"/>
      <c r="B157" s="436"/>
      <c r="C157" s="438"/>
      <c r="D157" s="435"/>
      <c r="E157" s="93" t="str" cm="1">
        <f t="array" ref="E157">IF(D157&lt;&gt;"",IFERROR(VLOOKUP(D157,Codes!$K$2:$L$409,2,FALSE),"UNKNOWN - "&amp;D157),IF(C157="","",IFERROR(_xlfn.IFS(ISNUMBER(SEARCH("broken button",C157)),"Break",ISNUMBER(SEARCH("broken handle",C157)),"Break",ISNUMBER(SEARCH("shipping damage",C157)),"Break",ISNUMBER(SEARCH("broken",C157)),"Break",ISNUMBER(SEARCH("crack",C157)),"Break",ISNUMBER(SEARCH("snap",C157)),"Break",ISNUMBER(SEARCH("fracture",C157)),"Break",ISNUMBER(SEARCH("bent",C157)),"Material Twisted/Bent",ISNUMBER(SEARCH("twisted",C157)),"Material Twisted/Bent",ISNUMBER(SEARCH("component separat",C157)),"Material Separation",ISNUMBER(SEARCH("separat",C157)),"Material Separation",ISNUMBER(SEARCH("connection",C157)),"Loose or Intermittent Connection",ISNUMBER(SEARCH("loose",C157)),"Loose or Intermittent Connection",ISNUMBER(SEARCH("damaged packaging",C157)),"Packaging Problem",ISNUMBER(SEARCH("packaging",C157)),"Packaging Problem",ISNUMBER(SEARCH("discoloration",C157)),"Contamination",ISNUMBER(SEARCH("tarnish",C157)),"Contamination",ISNUMBER(SEARCH("stain",C157)),"Contamination",ISNUMBER(SEARCH("foreign material",C157)),"Contamination",ISNUMBER(SEARCH("contamina",C157)),"Contamination",ISNUMBER(SEARCH("overheat",C157)),"Overheating of Device",ISNUMBER(SEARCH("excessive heat",C157)),"Overheating of Device",ISNUMBER(SEARCH("hot",C157)),"Overheating of Device",ISNUMBER(SEARCH("noise",C157)),"Noise, Audible",ISNUMBER(SEARCH("sound",C157)),"Noise, Audible",ISNUMBER(SEARCH("loud",C157)),"Noise, Audible",ISNUMBER(SEARCH("fray",C157)),"Material Frayed",ISNUMBER(SEARCH("hole",C157)),"Material Frayed",ISNUMBER(SEARCH("tear",C157)),"Material Frayed",ISNUMBER(SEARCH("worn",C157)),"Material Frayed",ISNUMBER(SEARCH("intermittent",C157)),"Difficult or Delayed Activation",ISNUMBER(SEARCH("delay",C157)),"Difficult or Delayed Activation",ISNUMBER(SEARCH("label",C157)),"Device Markings/Labelling Problem",ISNUMBER(SEARCH("marking",C157)),"Device Markings/Labelling Problem",ISNUMBER(SEARCH("lacerat",C157)),"Defective Device",ISNUMBER(SEARCH("cut",C157)),"Defective Device",ISNUMBER(SEARCH("leak",C157)),"Fluid/Blood Leak",ISNUMBER(SEARCH("missing",C157)),"Component Missing",ISNUMBER(SEARCH("power",C157)),"Complete Loss of Power",ISNUMBER(SEARCH("will not turn on",C157)),"Complete Loss of Power",ISNUMBER(SEARCH("won't turn on",C157)),"Complete Loss of Power",ISNUMBER(SEARCH("does not turn on",C157)),"Complete Loss of Power",ISNUMBER(SEARCH("electrical",C157)),"Electrical Power Problem",ISNUMBER(SEARCH("pressure",C157)),"Detachment of Device or Device Component",ISNUMBER(SEARCH("slip",C157)),"Detachment of Device or Device Component",ISNUMBER(SEARCH("detach",C157)),"Detachment of Device or Device Component",ISNUMBER(SEARCH("stick",C157)),"Mechanical Jam",ISNUMBER(SEARCH("jam",C157)),"Mechanical Jam",ISNUMBER(SEARCH("rigid",C157)),"Mechanical Jam",ISNUMBER(SEARCH("rust",C157)),"Corroded",ISNUMBER(SEARCH("corrod",C157)),"Corroded",ISNUMBER(SEARCH("corrosion",C157)),"Corroded",ISNUMBER(SEARCH("alignment",C157)),"Defective Device",ISNUMBER(SEARCH("adjust",C157)),"Defective Device",ISNUMBER(SEARCH("perform",C157)),"Defective Device",ISNUMBER(SEARCH("malfunction",C157)),"Defective Device",ISNUMBER(SEARCH("defect",C157)),"Defective Device",ISNUMBER(SEARCH("fail",C157)),"Defective Device",ISNUMBER(SEARCH("not work",C157)),"Defective Device",ISNUMBER(SEARCH("doesn't work",C157)),"Defective Device",TRUE,"UNKNOWN"),"UNKNOWN")))</f>
        <v/>
      </c>
      <c r="F157" s="4" t="str">
        <f t="shared" si="2"/>
        <v/>
      </c>
      <c r="G157" s="363" t="str">
        <f>IF(E157="","",IFERROR(VLOOKUP(E157,Codes!$L$2:$N$409,3,FALSE),"—"))</f>
        <v/>
      </c>
      <c r="H157" s="88"/>
      <c r="I157" s="88"/>
    </row>
    <row r="158" spans="1:9" ht="13.15" x14ac:dyDescent="0.35">
      <c r="A158" s="435"/>
      <c r="B158" s="436"/>
      <c r="C158" s="438"/>
      <c r="D158" s="435"/>
      <c r="E158" s="93" t="str" cm="1">
        <f t="array" ref="E158">IF(D158&lt;&gt;"",IFERROR(VLOOKUP(D158,Codes!$K$2:$L$409,2,FALSE),"UNKNOWN - "&amp;D158),IF(C158="","",IFERROR(_xlfn.IFS(ISNUMBER(SEARCH("broken button",C158)),"Break",ISNUMBER(SEARCH("broken handle",C158)),"Break",ISNUMBER(SEARCH("shipping damage",C158)),"Break",ISNUMBER(SEARCH("broken",C158)),"Break",ISNUMBER(SEARCH("crack",C158)),"Break",ISNUMBER(SEARCH("snap",C158)),"Break",ISNUMBER(SEARCH("fracture",C158)),"Break",ISNUMBER(SEARCH("bent",C158)),"Material Twisted/Bent",ISNUMBER(SEARCH("twisted",C158)),"Material Twisted/Bent",ISNUMBER(SEARCH("component separat",C158)),"Material Separation",ISNUMBER(SEARCH("separat",C158)),"Material Separation",ISNUMBER(SEARCH("connection",C158)),"Loose or Intermittent Connection",ISNUMBER(SEARCH("loose",C158)),"Loose or Intermittent Connection",ISNUMBER(SEARCH("damaged packaging",C158)),"Packaging Problem",ISNUMBER(SEARCH("packaging",C158)),"Packaging Problem",ISNUMBER(SEARCH("discoloration",C158)),"Contamination",ISNUMBER(SEARCH("tarnish",C158)),"Contamination",ISNUMBER(SEARCH("stain",C158)),"Contamination",ISNUMBER(SEARCH("foreign material",C158)),"Contamination",ISNUMBER(SEARCH("contamina",C158)),"Contamination",ISNUMBER(SEARCH("overheat",C158)),"Overheating of Device",ISNUMBER(SEARCH("excessive heat",C158)),"Overheating of Device",ISNUMBER(SEARCH("hot",C158)),"Overheating of Device",ISNUMBER(SEARCH("noise",C158)),"Noise, Audible",ISNUMBER(SEARCH("sound",C158)),"Noise, Audible",ISNUMBER(SEARCH("loud",C158)),"Noise, Audible",ISNUMBER(SEARCH("fray",C158)),"Material Frayed",ISNUMBER(SEARCH("hole",C158)),"Material Frayed",ISNUMBER(SEARCH("tear",C158)),"Material Frayed",ISNUMBER(SEARCH("worn",C158)),"Material Frayed",ISNUMBER(SEARCH("intermittent",C158)),"Difficult or Delayed Activation",ISNUMBER(SEARCH("delay",C158)),"Difficult or Delayed Activation",ISNUMBER(SEARCH("label",C158)),"Device Markings/Labelling Problem",ISNUMBER(SEARCH("marking",C158)),"Device Markings/Labelling Problem",ISNUMBER(SEARCH("lacerat",C158)),"Defective Device",ISNUMBER(SEARCH("cut",C158)),"Defective Device",ISNUMBER(SEARCH("leak",C158)),"Fluid/Blood Leak",ISNUMBER(SEARCH("missing",C158)),"Component Missing",ISNUMBER(SEARCH("power",C158)),"Complete Loss of Power",ISNUMBER(SEARCH("will not turn on",C158)),"Complete Loss of Power",ISNUMBER(SEARCH("won't turn on",C158)),"Complete Loss of Power",ISNUMBER(SEARCH("does not turn on",C158)),"Complete Loss of Power",ISNUMBER(SEARCH("electrical",C158)),"Electrical Power Problem",ISNUMBER(SEARCH("pressure",C158)),"Detachment of Device or Device Component",ISNUMBER(SEARCH("slip",C158)),"Detachment of Device or Device Component",ISNUMBER(SEARCH("detach",C158)),"Detachment of Device or Device Component",ISNUMBER(SEARCH("stick",C158)),"Mechanical Jam",ISNUMBER(SEARCH("jam",C158)),"Mechanical Jam",ISNUMBER(SEARCH("rigid",C158)),"Mechanical Jam",ISNUMBER(SEARCH("rust",C158)),"Corroded",ISNUMBER(SEARCH("corrod",C158)),"Corroded",ISNUMBER(SEARCH("corrosion",C158)),"Corroded",ISNUMBER(SEARCH("alignment",C158)),"Defective Device",ISNUMBER(SEARCH("adjust",C158)),"Defective Device",ISNUMBER(SEARCH("perform",C158)),"Defective Device",ISNUMBER(SEARCH("malfunction",C158)),"Defective Device",ISNUMBER(SEARCH("defect",C158)),"Defective Device",ISNUMBER(SEARCH("fail",C158)),"Defective Device",ISNUMBER(SEARCH("not work",C158)),"Defective Device",ISNUMBER(SEARCH("doesn't work",C158)),"Defective Device",TRUE,"UNKNOWN"),"UNKNOWN")))</f>
        <v/>
      </c>
      <c r="F158" s="4" t="str">
        <f t="shared" si="2"/>
        <v/>
      </c>
      <c r="G158" s="363" t="str">
        <f>IF(E158="","",IFERROR(VLOOKUP(E158,Codes!$L$2:$N$409,3,FALSE),"—"))</f>
        <v/>
      </c>
      <c r="H158" s="88"/>
      <c r="I158" s="88"/>
    </row>
    <row r="159" spans="1:9" ht="13.15" x14ac:dyDescent="0.35">
      <c r="A159" s="434"/>
      <c r="B159" s="436"/>
      <c r="C159" s="437"/>
      <c r="D159" s="434"/>
      <c r="E159" s="93" t="str" cm="1">
        <f t="array" ref="E159">IF(D159&lt;&gt;"",IFERROR(VLOOKUP(D159,Codes!$K$2:$L$409,2,FALSE),"UNKNOWN - "&amp;D159),IF(C159="","",IFERROR(_xlfn.IFS(ISNUMBER(SEARCH("broken button",C159)),"Break",ISNUMBER(SEARCH("broken handle",C159)),"Break",ISNUMBER(SEARCH("shipping damage",C159)),"Break",ISNUMBER(SEARCH("broken",C159)),"Break",ISNUMBER(SEARCH("crack",C159)),"Break",ISNUMBER(SEARCH("snap",C159)),"Break",ISNUMBER(SEARCH("fracture",C159)),"Break",ISNUMBER(SEARCH("bent",C159)),"Material Twisted/Bent",ISNUMBER(SEARCH("twisted",C159)),"Material Twisted/Bent",ISNUMBER(SEARCH("component separat",C159)),"Material Separation",ISNUMBER(SEARCH("separat",C159)),"Material Separation",ISNUMBER(SEARCH("connection",C159)),"Loose or Intermittent Connection",ISNUMBER(SEARCH("loose",C159)),"Loose or Intermittent Connection",ISNUMBER(SEARCH("damaged packaging",C159)),"Packaging Problem",ISNUMBER(SEARCH("packaging",C159)),"Packaging Problem",ISNUMBER(SEARCH("discoloration",C159)),"Contamination",ISNUMBER(SEARCH("tarnish",C159)),"Contamination",ISNUMBER(SEARCH("stain",C159)),"Contamination",ISNUMBER(SEARCH("foreign material",C159)),"Contamination",ISNUMBER(SEARCH("contamina",C159)),"Contamination",ISNUMBER(SEARCH("overheat",C159)),"Overheating of Device",ISNUMBER(SEARCH("excessive heat",C159)),"Overheating of Device",ISNUMBER(SEARCH("hot",C159)),"Overheating of Device",ISNUMBER(SEARCH("noise",C159)),"Noise, Audible",ISNUMBER(SEARCH("sound",C159)),"Noise, Audible",ISNUMBER(SEARCH("loud",C159)),"Noise, Audible",ISNUMBER(SEARCH("fray",C159)),"Material Frayed",ISNUMBER(SEARCH("hole",C159)),"Material Frayed",ISNUMBER(SEARCH("tear",C159)),"Material Frayed",ISNUMBER(SEARCH("worn",C159)),"Material Frayed",ISNUMBER(SEARCH("intermittent",C159)),"Difficult or Delayed Activation",ISNUMBER(SEARCH("delay",C159)),"Difficult or Delayed Activation",ISNUMBER(SEARCH("label",C159)),"Device Markings/Labelling Problem",ISNUMBER(SEARCH("marking",C159)),"Device Markings/Labelling Problem",ISNUMBER(SEARCH("lacerat",C159)),"Defective Device",ISNUMBER(SEARCH("cut",C159)),"Defective Device",ISNUMBER(SEARCH("leak",C159)),"Fluid/Blood Leak",ISNUMBER(SEARCH("missing",C159)),"Component Missing",ISNUMBER(SEARCH("power",C159)),"Complete Loss of Power",ISNUMBER(SEARCH("will not turn on",C159)),"Complete Loss of Power",ISNUMBER(SEARCH("won't turn on",C159)),"Complete Loss of Power",ISNUMBER(SEARCH("does not turn on",C159)),"Complete Loss of Power",ISNUMBER(SEARCH("electrical",C159)),"Electrical Power Problem",ISNUMBER(SEARCH("pressure",C159)),"Detachment of Device or Device Component",ISNUMBER(SEARCH("slip",C159)),"Detachment of Device or Device Component",ISNUMBER(SEARCH("detach",C159)),"Detachment of Device or Device Component",ISNUMBER(SEARCH("stick",C159)),"Mechanical Jam",ISNUMBER(SEARCH("jam",C159)),"Mechanical Jam",ISNUMBER(SEARCH("rigid",C159)),"Mechanical Jam",ISNUMBER(SEARCH("rust",C159)),"Corroded",ISNUMBER(SEARCH("corrod",C159)),"Corroded",ISNUMBER(SEARCH("corrosion",C159)),"Corroded",ISNUMBER(SEARCH("alignment",C159)),"Defective Device",ISNUMBER(SEARCH("adjust",C159)),"Defective Device",ISNUMBER(SEARCH("perform",C159)),"Defective Device",ISNUMBER(SEARCH("malfunction",C159)),"Defective Device",ISNUMBER(SEARCH("defect",C159)),"Defective Device",ISNUMBER(SEARCH("fail",C159)),"Defective Device",ISNUMBER(SEARCH("not work",C159)),"Defective Device",ISNUMBER(SEARCH("doesn't work",C159)),"Defective Device",TRUE,"UNKNOWN"),"UNKNOWN")))</f>
        <v/>
      </c>
      <c r="F159" s="4" t="str">
        <f t="shared" si="2"/>
        <v/>
      </c>
      <c r="G159" s="363" t="str">
        <f>IF(E159="","",IFERROR(VLOOKUP(E159,Codes!$L$2:$N$409,3,FALSE),"—"))</f>
        <v/>
      </c>
      <c r="H159" s="88"/>
      <c r="I159" s="88"/>
    </row>
    <row r="160" spans="1:9" ht="13.15" x14ac:dyDescent="0.35">
      <c r="A160" s="435"/>
      <c r="B160" s="436"/>
      <c r="C160" s="438"/>
      <c r="D160" s="435"/>
      <c r="E160" s="93" t="str" cm="1">
        <f t="array" ref="E160">IF(D160&lt;&gt;"",IFERROR(VLOOKUP(D160,Codes!$K$2:$L$409,2,FALSE),"UNKNOWN - "&amp;D160),IF(C160="","",IFERROR(_xlfn.IFS(ISNUMBER(SEARCH("broken button",C160)),"Break",ISNUMBER(SEARCH("broken handle",C160)),"Break",ISNUMBER(SEARCH("shipping damage",C160)),"Break",ISNUMBER(SEARCH("broken",C160)),"Break",ISNUMBER(SEARCH("crack",C160)),"Break",ISNUMBER(SEARCH("snap",C160)),"Break",ISNUMBER(SEARCH("fracture",C160)),"Break",ISNUMBER(SEARCH("bent",C160)),"Material Twisted/Bent",ISNUMBER(SEARCH("twisted",C160)),"Material Twisted/Bent",ISNUMBER(SEARCH("component separat",C160)),"Material Separation",ISNUMBER(SEARCH("separat",C160)),"Material Separation",ISNUMBER(SEARCH("connection",C160)),"Loose or Intermittent Connection",ISNUMBER(SEARCH("loose",C160)),"Loose or Intermittent Connection",ISNUMBER(SEARCH("damaged packaging",C160)),"Packaging Problem",ISNUMBER(SEARCH("packaging",C160)),"Packaging Problem",ISNUMBER(SEARCH("discoloration",C160)),"Contamination",ISNUMBER(SEARCH("tarnish",C160)),"Contamination",ISNUMBER(SEARCH("stain",C160)),"Contamination",ISNUMBER(SEARCH("foreign material",C160)),"Contamination",ISNUMBER(SEARCH("contamina",C160)),"Contamination",ISNUMBER(SEARCH("overheat",C160)),"Overheating of Device",ISNUMBER(SEARCH("excessive heat",C160)),"Overheating of Device",ISNUMBER(SEARCH("hot",C160)),"Overheating of Device",ISNUMBER(SEARCH("noise",C160)),"Noise, Audible",ISNUMBER(SEARCH("sound",C160)),"Noise, Audible",ISNUMBER(SEARCH("loud",C160)),"Noise, Audible",ISNUMBER(SEARCH("fray",C160)),"Material Frayed",ISNUMBER(SEARCH("hole",C160)),"Material Frayed",ISNUMBER(SEARCH("tear",C160)),"Material Frayed",ISNUMBER(SEARCH("worn",C160)),"Material Frayed",ISNUMBER(SEARCH("intermittent",C160)),"Difficult or Delayed Activation",ISNUMBER(SEARCH("delay",C160)),"Difficult or Delayed Activation",ISNUMBER(SEARCH("label",C160)),"Device Markings/Labelling Problem",ISNUMBER(SEARCH("marking",C160)),"Device Markings/Labelling Problem",ISNUMBER(SEARCH("lacerat",C160)),"Defective Device",ISNUMBER(SEARCH("cut",C160)),"Defective Device",ISNUMBER(SEARCH("leak",C160)),"Fluid/Blood Leak",ISNUMBER(SEARCH("missing",C160)),"Component Missing",ISNUMBER(SEARCH("power",C160)),"Complete Loss of Power",ISNUMBER(SEARCH("will not turn on",C160)),"Complete Loss of Power",ISNUMBER(SEARCH("won't turn on",C160)),"Complete Loss of Power",ISNUMBER(SEARCH("does not turn on",C160)),"Complete Loss of Power",ISNUMBER(SEARCH("electrical",C160)),"Electrical Power Problem",ISNUMBER(SEARCH("pressure",C160)),"Detachment of Device or Device Component",ISNUMBER(SEARCH("slip",C160)),"Detachment of Device or Device Component",ISNUMBER(SEARCH("detach",C160)),"Detachment of Device or Device Component",ISNUMBER(SEARCH("stick",C160)),"Mechanical Jam",ISNUMBER(SEARCH("jam",C160)),"Mechanical Jam",ISNUMBER(SEARCH("rigid",C160)),"Mechanical Jam",ISNUMBER(SEARCH("rust",C160)),"Corroded",ISNUMBER(SEARCH("corrod",C160)),"Corroded",ISNUMBER(SEARCH("corrosion",C160)),"Corroded",ISNUMBER(SEARCH("alignment",C160)),"Defective Device",ISNUMBER(SEARCH("adjust",C160)),"Defective Device",ISNUMBER(SEARCH("perform",C160)),"Defective Device",ISNUMBER(SEARCH("malfunction",C160)),"Defective Device",ISNUMBER(SEARCH("defect",C160)),"Defective Device",ISNUMBER(SEARCH("fail",C160)),"Defective Device",ISNUMBER(SEARCH("not work",C160)),"Defective Device",ISNUMBER(SEARCH("doesn't work",C160)),"Defective Device",TRUE,"UNKNOWN"),"UNKNOWN")))</f>
        <v/>
      </c>
      <c r="F160" s="4" t="str">
        <f t="shared" si="2"/>
        <v/>
      </c>
      <c r="G160" s="363" t="str">
        <f>IF(E160="","",IFERROR(VLOOKUP(E160,Codes!$L$2:$N$409,3,FALSE),"—"))</f>
        <v/>
      </c>
      <c r="H160" s="88"/>
      <c r="I160" s="88"/>
    </row>
    <row r="161" spans="1:9" ht="13.15" x14ac:dyDescent="0.35">
      <c r="A161" s="434"/>
      <c r="B161" s="436"/>
      <c r="C161" s="437"/>
      <c r="D161" s="434"/>
      <c r="E161" s="93" t="str" cm="1">
        <f t="array" ref="E161">IF(D161&lt;&gt;"",IFERROR(VLOOKUP(D161,Codes!$K$2:$L$409,2,FALSE),"UNKNOWN - "&amp;D161),IF(C161="","",IFERROR(_xlfn.IFS(ISNUMBER(SEARCH("broken button",C161)),"Break",ISNUMBER(SEARCH("broken handle",C161)),"Break",ISNUMBER(SEARCH("shipping damage",C161)),"Break",ISNUMBER(SEARCH("broken",C161)),"Break",ISNUMBER(SEARCH("crack",C161)),"Break",ISNUMBER(SEARCH("snap",C161)),"Break",ISNUMBER(SEARCH("fracture",C161)),"Break",ISNUMBER(SEARCH("bent",C161)),"Material Twisted/Bent",ISNUMBER(SEARCH("twisted",C161)),"Material Twisted/Bent",ISNUMBER(SEARCH("component separat",C161)),"Material Separation",ISNUMBER(SEARCH("separat",C161)),"Material Separation",ISNUMBER(SEARCH("connection",C161)),"Loose or Intermittent Connection",ISNUMBER(SEARCH("loose",C161)),"Loose or Intermittent Connection",ISNUMBER(SEARCH("damaged packaging",C161)),"Packaging Problem",ISNUMBER(SEARCH("packaging",C161)),"Packaging Problem",ISNUMBER(SEARCH("discoloration",C161)),"Contamination",ISNUMBER(SEARCH("tarnish",C161)),"Contamination",ISNUMBER(SEARCH("stain",C161)),"Contamination",ISNUMBER(SEARCH("foreign material",C161)),"Contamination",ISNUMBER(SEARCH("contamina",C161)),"Contamination",ISNUMBER(SEARCH("overheat",C161)),"Overheating of Device",ISNUMBER(SEARCH("excessive heat",C161)),"Overheating of Device",ISNUMBER(SEARCH("hot",C161)),"Overheating of Device",ISNUMBER(SEARCH("noise",C161)),"Noise, Audible",ISNUMBER(SEARCH("sound",C161)),"Noise, Audible",ISNUMBER(SEARCH("loud",C161)),"Noise, Audible",ISNUMBER(SEARCH("fray",C161)),"Material Frayed",ISNUMBER(SEARCH("hole",C161)),"Material Frayed",ISNUMBER(SEARCH("tear",C161)),"Material Frayed",ISNUMBER(SEARCH("worn",C161)),"Material Frayed",ISNUMBER(SEARCH("intermittent",C161)),"Difficult or Delayed Activation",ISNUMBER(SEARCH("delay",C161)),"Difficult or Delayed Activation",ISNUMBER(SEARCH("label",C161)),"Device Markings/Labelling Problem",ISNUMBER(SEARCH("marking",C161)),"Device Markings/Labelling Problem",ISNUMBER(SEARCH("lacerat",C161)),"Defective Device",ISNUMBER(SEARCH("cut",C161)),"Defective Device",ISNUMBER(SEARCH("leak",C161)),"Fluid/Blood Leak",ISNUMBER(SEARCH("missing",C161)),"Component Missing",ISNUMBER(SEARCH("power",C161)),"Complete Loss of Power",ISNUMBER(SEARCH("will not turn on",C161)),"Complete Loss of Power",ISNUMBER(SEARCH("won't turn on",C161)),"Complete Loss of Power",ISNUMBER(SEARCH("does not turn on",C161)),"Complete Loss of Power",ISNUMBER(SEARCH("electrical",C161)),"Electrical Power Problem",ISNUMBER(SEARCH("pressure",C161)),"Detachment of Device or Device Component",ISNUMBER(SEARCH("slip",C161)),"Detachment of Device or Device Component",ISNUMBER(SEARCH("detach",C161)),"Detachment of Device or Device Component",ISNUMBER(SEARCH("stick",C161)),"Mechanical Jam",ISNUMBER(SEARCH("jam",C161)),"Mechanical Jam",ISNUMBER(SEARCH("rigid",C161)),"Mechanical Jam",ISNUMBER(SEARCH("rust",C161)),"Corroded",ISNUMBER(SEARCH("corrod",C161)),"Corroded",ISNUMBER(SEARCH("corrosion",C161)),"Corroded",ISNUMBER(SEARCH("alignment",C161)),"Defective Device",ISNUMBER(SEARCH("adjust",C161)),"Defective Device",ISNUMBER(SEARCH("perform",C161)),"Defective Device",ISNUMBER(SEARCH("malfunction",C161)),"Defective Device",ISNUMBER(SEARCH("defect",C161)),"Defective Device",ISNUMBER(SEARCH("fail",C161)),"Defective Device",ISNUMBER(SEARCH("not work",C161)),"Defective Device",ISNUMBER(SEARCH("doesn't work",C161)),"Defective Device",TRUE,"UNKNOWN"),"UNKNOWN")))</f>
        <v/>
      </c>
      <c r="F161" s="4" t="str">
        <f t="shared" si="2"/>
        <v/>
      </c>
      <c r="G161" s="363" t="str">
        <f>IF(E161="","",IFERROR(VLOOKUP(E161,Codes!$L$2:$N$409,3,FALSE),"—"))</f>
        <v/>
      </c>
      <c r="H161" s="88"/>
      <c r="I161" s="88"/>
    </row>
    <row r="162" spans="1:9" ht="13.15" x14ac:dyDescent="0.35">
      <c r="A162" s="435"/>
      <c r="B162" s="436"/>
      <c r="C162" s="438"/>
      <c r="D162" s="435"/>
      <c r="E162" s="93" t="str" cm="1">
        <f t="array" ref="E162">IF(D162&lt;&gt;"",IFERROR(VLOOKUP(D162,Codes!$K$2:$L$409,2,FALSE),"UNKNOWN - "&amp;D162),IF(C162="","",IFERROR(_xlfn.IFS(ISNUMBER(SEARCH("broken button",C162)),"Break",ISNUMBER(SEARCH("broken handle",C162)),"Break",ISNUMBER(SEARCH("shipping damage",C162)),"Break",ISNUMBER(SEARCH("broken",C162)),"Break",ISNUMBER(SEARCH("crack",C162)),"Break",ISNUMBER(SEARCH("snap",C162)),"Break",ISNUMBER(SEARCH("fracture",C162)),"Break",ISNUMBER(SEARCH("bent",C162)),"Material Twisted/Bent",ISNUMBER(SEARCH("twisted",C162)),"Material Twisted/Bent",ISNUMBER(SEARCH("component separat",C162)),"Material Separation",ISNUMBER(SEARCH("separat",C162)),"Material Separation",ISNUMBER(SEARCH("connection",C162)),"Loose or Intermittent Connection",ISNUMBER(SEARCH("loose",C162)),"Loose or Intermittent Connection",ISNUMBER(SEARCH("damaged packaging",C162)),"Packaging Problem",ISNUMBER(SEARCH("packaging",C162)),"Packaging Problem",ISNUMBER(SEARCH("discoloration",C162)),"Contamination",ISNUMBER(SEARCH("tarnish",C162)),"Contamination",ISNUMBER(SEARCH("stain",C162)),"Contamination",ISNUMBER(SEARCH("foreign material",C162)),"Contamination",ISNUMBER(SEARCH("contamina",C162)),"Contamination",ISNUMBER(SEARCH("overheat",C162)),"Overheating of Device",ISNUMBER(SEARCH("excessive heat",C162)),"Overheating of Device",ISNUMBER(SEARCH("hot",C162)),"Overheating of Device",ISNUMBER(SEARCH("noise",C162)),"Noise, Audible",ISNUMBER(SEARCH("sound",C162)),"Noise, Audible",ISNUMBER(SEARCH("loud",C162)),"Noise, Audible",ISNUMBER(SEARCH("fray",C162)),"Material Frayed",ISNUMBER(SEARCH("hole",C162)),"Material Frayed",ISNUMBER(SEARCH("tear",C162)),"Material Frayed",ISNUMBER(SEARCH("worn",C162)),"Material Frayed",ISNUMBER(SEARCH("intermittent",C162)),"Difficult or Delayed Activation",ISNUMBER(SEARCH("delay",C162)),"Difficult or Delayed Activation",ISNUMBER(SEARCH("label",C162)),"Device Markings/Labelling Problem",ISNUMBER(SEARCH("marking",C162)),"Device Markings/Labelling Problem",ISNUMBER(SEARCH("lacerat",C162)),"Defective Device",ISNUMBER(SEARCH("cut",C162)),"Defective Device",ISNUMBER(SEARCH("leak",C162)),"Fluid/Blood Leak",ISNUMBER(SEARCH("missing",C162)),"Component Missing",ISNUMBER(SEARCH("power",C162)),"Complete Loss of Power",ISNUMBER(SEARCH("will not turn on",C162)),"Complete Loss of Power",ISNUMBER(SEARCH("won't turn on",C162)),"Complete Loss of Power",ISNUMBER(SEARCH("does not turn on",C162)),"Complete Loss of Power",ISNUMBER(SEARCH("electrical",C162)),"Electrical Power Problem",ISNUMBER(SEARCH("pressure",C162)),"Detachment of Device or Device Component",ISNUMBER(SEARCH("slip",C162)),"Detachment of Device or Device Component",ISNUMBER(SEARCH("detach",C162)),"Detachment of Device or Device Component",ISNUMBER(SEARCH("stick",C162)),"Mechanical Jam",ISNUMBER(SEARCH("jam",C162)),"Mechanical Jam",ISNUMBER(SEARCH("rigid",C162)),"Mechanical Jam",ISNUMBER(SEARCH("rust",C162)),"Corroded",ISNUMBER(SEARCH("corrod",C162)),"Corroded",ISNUMBER(SEARCH("corrosion",C162)),"Corroded",ISNUMBER(SEARCH("alignment",C162)),"Defective Device",ISNUMBER(SEARCH("adjust",C162)),"Defective Device",ISNUMBER(SEARCH("perform",C162)),"Defective Device",ISNUMBER(SEARCH("malfunction",C162)),"Defective Device",ISNUMBER(SEARCH("defect",C162)),"Defective Device",ISNUMBER(SEARCH("fail",C162)),"Defective Device",ISNUMBER(SEARCH("not work",C162)),"Defective Device",ISNUMBER(SEARCH("doesn't work",C162)),"Defective Device",TRUE,"UNKNOWN"),"UNKNOWN")))</f>
        <v/>
      </c>
      <c r="F162" s="4" t="str">
        <f t="shared" si="2"/>
        <v/>
      </c>
      <c r="G162" s="363" t="str">
        <f>IF(E162="","",IFERROR(VLOOKUP(E162,Codes!$L$2:$N$409,3,FALSE),"—"))</f>
        <v/>
      </c>
      <c r="H162" s="88"/>
      <c r="I162" s="88"/>
    </row>
    <row r="163" spans="1:9" ht="13.15" x14ac:dyDescent="0.35">
      <c r="A163" s="434"/>
      <c r="B163" s="436"/>
      <c r="C163" s="437"/>
      <c r="D163" s="434"/>
      <c r="E163" s="93" t="str" cm="1">
        <f t="array" ref="E163">IF(D163&lt;&gt;"",IFERROR(VLOOKUP(D163,Codes!$K$2:$L$409,2,FALSE),"UNKNOWN - "&amp;D163),IF(C163="","",IFERROR(_xlfn.IFS(ISNUMBER(SEARCH("broken button",C163)),"Break",ISNUMBER(SEARCH("broken handle",C163)),"Break",ISNUMBER(SEARCH("shipping damage",C163)),"Break",ISNUMBER(SEARCH("broken",C163)),"Break",ISNUMBER(SEARCH("crack",C163)),"Break",ISNUMBER(SEARCH("snap",C163)),"Break",ISNUMBER(SEARCH("fracture",C163)),"Break",ISNUMBER(SEARCH("bent",C163)),"Material Twisted/Bent",ISNUMBER(SEARCH("twisted",C163)),"Material Twisted/Bent",ISNUMBER(SEARCH("component separat",C163)),"Material Separation",ISNUMBER(SEARCH("separat",C163)),"Material Separation",ISNUMBER(SEARCH("connection",C163)),"Loose or Intermittent Connection",ISNUMBER(SEARCH("loose",C163)),"Loose or Intermittent Connection",ISNUMBER(SEARCH("damaged packaging",C163)),"Packaging Problem",ISNUMBER(SEARCH("packaging",C163)),"Packaging Problem",ISNUMBER(SEARCH("discoloration",C163)),"Contamination",ISNUMBER(SEARCH("tarnish",C163)),"Contamination",ISNUMBER(SEARCH("stain",C163)),"Contamination",ISNUMBER(SEARCH("foreign material",C163)),"Contamination",ISNUMBER(SEARCH("contamina",C163)),"Contamination",ISNUMBER(SEARCH("overheat",C163)),"Overheating of Device",ISNUMBER(SEARCH("excessive heat",C163)),"Overheating of Device",ISNUMBER(SEARCH("hot",C163)),"Overheating of Device",ISNUMBER(SEARCH("noise",C163)),"Noise, Audible",ISNUMBER(SEARCH("sound",C163)),"Noise, Audible",ISNUMBER(SEARCH("loud",C163)),"Noise, Audible",ISNUMBER(SEARCH("fray",C163)),"Material Frayed",ISNUMBER(SEARCH("hole",C163)),"Material Frayed",ISNUMBER(SEARCH("tear",C163)),"Material Frayed",ISNUMBER(SEARCH("worn",C163)),"Material Frayed",ISNUMBER(SEARCH("intermittent",C163)),"Difficult or Delayed Activation",ISNUMBER(SEARCH("delay",C163)),"Difficult or Delayed Activation",ISNUMBER(SEARCH("label",C163)),"Device Markings/Labelling Problem",ISNUMBER(SEARCH("marking",C163)),"Device Markings/Labelling Problem",ISNUMBER(SEARCH("lacerat",C163)),"Defective Device",ISNUMBER(SEARCH("cut",C163)),"Defective Device",ISNUMBER(SEARCH("leak",C163)),"Fluid/Blood Leak",ISNUMBER(SEARCH("missing",C163)),"Component Missing",ISNUMBER(SEARCH("power",C163)),"Complete Loss of Power",ISNUMBER(SEARCH("will not turn on",C163)),"Complete Loss of Power",ISNUMBER(SEARCH("won't turn on",C163)),"Complete Loss of Power",ISNUMBER(SEARCH("does not turn on",C163)),"Complete Loss of Power",ISNUMBER(SEARCH("electrical",C163)),"Electrical Power Problem",ISNUMBER(SEARCH("pressure",C163)),"Detachment of Device or Device Component",ISNUMBER(SEARCH("slip",C163)),"Detachment of Device or Device Component",ISNUMBER(SEARCH("detach",C163)),"Detachment of Device or Device Component",ISNUMBER(SEARCH("stick",C163)),"Mechanical Jam",ISNUMBER(SEARCH("jam",C163)),"Mechanical Jam",ISNUMBER(SEARCH("rigid",C163)),"Mechanical Jam",ISNUMBER(SEARCH("rust",C163)),"Corroded",ISNUMBER(SEARCH("corrod",C163)),"Corroded",ISNUMBER(SEARCH("corrosion",C163)),"Corroded",ISNUMBER(SEARCH("alignment",C163)),"Defective Device",ISNUMBER(SEARCH("adjust",C163)),"Defective Device",ISNUMBER(SEARCH("perform",C163)),"Defective Device",ISNUMBER(SEARCH("malfunction",C163)),"Defective Device",ISNUMBER(SEARCH("defect",C163)),"Defective Device",ISNUMBER(SEARCH("fail",C163)),"Defective Device",ISNUMBER(SEARCH("not work",C163)),"Defective Device",ISNUMBER(SEARCH("doesn't work",C163)),"Defective Device",TRUE,"UNKNOWN"),"UNKNOWN")))</f>
        <v/>
      </c>
      <c r="F163" s="4" t="str">
        <f t="shared" si="2"/>
        <v/>
      </c>
      <c r="G163" s="363" t="str">
        <f>IF(E163="","",IFERROR(VLOOKUP(E163,Codes!$L$2:$N$409,3,FALSE),"—"))</f>
        <v/>
      </c>
      <c r="H163" s="88"/>
      <c r="I163" s="88"/>
    </row>
    <row r="164" spans="1:9" ht="13.15" x14ac:dyDescent="0.35">
      <c r="A164" s="434"/>
      <c r="B164" s="436"/>
      <c r="C164" s="437"/>
      <c r="D164" s="434"/>
      <c r="E164" s="93" t="str" cm="1">
        <f t="array" ref="E164">IF(D164&lt;&gt;"",IFERROR(VLOOKUP(D164,Codes!$K$2:$L$409,2,FALSE),"UNKNOWN - "&amp;D164),IF(C164="","",IFERROR(_xlfn.IFS(ISNUMBER(SEARCH("broken button",C164)),"Break",ISNUMBER(SEARCH("broken handle",C164)),"Break",ISNUMBER(SEARCH("shipping damage",C164)),"Break",ISNUMBER(SEARCH("broken",C164)),"Break",ISNUMBER(SEARCH("crack",C164)),"Break",ISNUMBER(SEARCH("snap",C164)),"Break",ISNUMBER(SEARCH("fracture",C164)),"Break",ISNUMBER(SEARCH("bent",C164)),"Material Twisted/Bent",ISNUMBER(SEARCH("twisted",C164)),"Material Twisted/Bent",ISNUMBER(SEARCH("component separat",C164)),"Material Separation",ISNUMBER(SEARCH("separat",C164)),"Material Separation",ISNUMBER(SEARCH("connection",C164)),"Loose or Intermittent Connection",ISNUMBER(SEARCH("loose",C164)),"Loose or Intermittent Connection",ISNUMBER(SEARCH("damaged packaging",C164)),"Packaging Problem",ISNUMBER(SEARCH("packaging",C164)),"Packaging Problem",ISNUMBER(SEARCH("discoloration",C164)),"Contamination",ISNUMBER(SEARCH("tarnish",C164)),"Contamination",ISNUMBER(SEARCH("stain",C164)),"Contamination",ISNUMBER(SEARCH("foreign material",C164)),"Contamination",ISNUMBER(SEARCH("contamina",C164)),"Contamination",ISNUMBER(SEARCH("overheat",C164)),"Overheating of Device",ISNUMBER(SEARCH("excessive heat",C164)),"Overheating of Device",ISNUMBER(SEARCH("hot",C164)),"Overheating of Device",ISNUMBER(SEARCH("noise",C164)),"Noise, Audible",ISNUMBER(SEARCH("sound",C164)),"Noise, Audible",ISNUMBER(SEARCH("loud",C164)),"Noise, Audible",ISNUMBER(SEARCH("fray",C164)),"Material Frayed",ISNUMBER(SEARCH("hole",C164)),"Material Frayed",ISNUMBER(SEARCH("tear",C164)),"Material Frayed",ISNUMBER(SEARCH("worn",C164)),"Material Frayed",ISNUMBER(SEARCH("intermittent",C164)),"Difficult or Delayed Activation",ISNUMBER(SEARCH("delay",C164)),"Difficult or Delayed Activation",ISNUMBER(SEARCH("label",C164)),"Device Markings/Labelling Problem",ISNUMBER(SEARCH("marking",C164)),"Device Markings/Labelling Problem",ISNUMBER(SEARCH("lacerat",C164)),"Defective Device",ISNUMBER(SEARCH("cut",C164)),"Defective Device",ISNUMBER(SEARCH("leak",C164)),"Fluid/Blood Leak",ISNUMBER(SEARCH("missing",C164)),"Component Missing",ISNUMBER(SEARCH("power",C164)),"Complete Loss of Power",ISNUMBER(SEARCH("will not turn on",C164)),"Complete Loss of Power",ISNUMBER(SEARCH("won't turn on",C164)),"Complete Loss of Power",ISNUMBER(SEARCH("does not turn on",C164)),"Complete Loss of Power",ISNUMBER(SEARCH("electrical",C164)),"Electrical Power Problem",ISNUMBER(SEARCH("pressure",C164)),"Detachment of Device or Device Component",ISNUMBER(SEARCH("slip",C164)),"Detachment of Device or Device Component",ISNUMBER(SEARCH("detach",C164)),"Detachment of Device or Device Component",ISNUMBER(SEARCH("stick",C164)),"Mechanical Jam",ISNUMBER(SEARCH("jam",C164)),"Mechanical Jam",ISNUMBER(SEARCH("rigid",C164)),"Mechanical Jam",ISNUMBER(SEARCH("rust",C164)),"Corroded",ISNUMBER(SEARCH("corrod",C164)),"Corroded",ISNUMBER(SEARCH("corrosion",C164)),"Corroded",ISNUMBER(SEARCH("alignment",C164)),"Defective Device",ISNUMBER(SEARCH("adjust",C164)),"Defective Device",ISNUMBER(SEARCH("perform",C164)),"Defective Device",ISNUMBER(SEARCH("malfunction",C164)),"Defective Device",ISNUMBER(SEARCH("defect",C164)),"Defective Device",ISNUMBER(SEARCH("fail",C164)),"Defective Device",ISNUMBER(SEARCH("not work",C164)),"Defective Device",ISNUMBER(SEARCH("doesn't work",C164)),"Defective Device",TRUE,"UNKNOWN"),"UNKNOWN")))</f>
        <v/>
      </c>
      <c r="F164" s="4" t="str">
        <f t="shared" si="2"/>
        <v/>
      </c>
      <c r="G164" s="363" t="str">
        <f>IF(E164="","",IFERROR(VLOOKUP(E164,Codes!$L$2:$N$409,3,FALSE),"—"))</f>
        <v/>
      </c>
      <c r="H164" s="88"/>
      <c r="I164" s="88"/>
    </row>
    <row r="165" spans="1:9" ht="13.15" x14ac:dyDescent="0.35">
      <c r="A165" s="434"/>
      <c r="B165" s="436"/>
      <c r="C165" s="437"/>
      <c r="D165" s="434"/>
      <c r="E165" s="93" t="str" cm="1">
        <f t="array" ref="E165">IF(D165&lt;&gt;"",IFERROR(VLOOKUP(D165,Codes!$K$2:$L$409,2,FALSE),"UNKNOWN - "&amp;D165),IF(C165="","",IFERROR(_xlfn.IFS(ISNUMBER(SEARCH("broken button",C165)),"Break",ISNUMBER(SEARCH("broken handle",C165)),"Break",ISNUMBER(SEARCH("shipping damage",C165)),"Break",ISNUMBER(SEARCH("broken",C165)),"Break",ISNUMBER(SEARCH("crack",C165)),"Break",ISNUMBER(SEARCH("snap",C165)),"Break",ISNUMBER(SEARCH("fracture",C165)),"Break",ISNUMBER(SEARCH("bent",C165)),"Material Twisted/Bent",ISNUMBER(SEARCH("twisted",C165)),"Material Twisted/Bent",ISNUMBER(SEARCH("component separat",C165)),"Material Separation",ISNUMBER(SEARCH("separat",C165)),"Material Separation",ISNUMBER(SEARCH("connection",C165)),"Loose or Intermittent Connection",ISNUMBER(SEARCH("loose",C165)),"Loose or Intermittent Connection",ISNUMBER(SEARCH("damaged packaging",C165)),"Packaging Problem",ISNUMBER(SEARCH("packaging",C165)),"Packaging Problem",ISNUMBER(SEARCH("discoloration",C165)),"Contamination",ISNUMBER(SEARCH("tarnish",C165)),"Contamination",ISNUMBER(SEARCH("stain",C165)),"Contamination",ISNUMBER(SEARCH("foreign material",C165)),"Contamination",ISNUMBER(SEARCH("contamina",C165)),"Contamination",ISNUMBER(SEARCH("overheat",C165)),"Overheating of Device",ISNUMBER(SEARCH("excessive heat",C165)),"Overheating of Device",ISNUMBER(SEARCH("hot",C165)),"Overheating of Device",ISNUMBER(SEARCH("noise",C165)),"Noise, Audible",ISNUMBER(SEARCH("sound",C165)),"Noise, Audible",ISNUMBER(SEARCH("loud",C165)),"Noise, Audible",ISNUMBER(SEARCH("fray",C165)),"Material Frayed",ISNUMBER(SEARCH("hole",C165)),"Material Frayed",ISNUMBER(SEARCH("tear",C165)),"Material Frayed",ISNUMBER(SEARCH("worn",C165)),"Material Frayed",ISNUMBER(SEARCH("intermittent",C165)),"Difficult or Delayed Activation",ISNUMBER(SEARCH("delay",C165)),"Difficult or Delayed Activation",ISNUMBER(SEARCH("label",C165)),"Device Markings/Labelling Problem",ISNUMBER(SEARCH("marking",C165)),"Device Markings/Labelling Problem",ISNUMBER(SEARCH("lacerat",C165)),"Defective Device",ISNUMBER(SEARCH("cut",C165)),"Defective Device",ISNUMBER(SEARCH("leak",C165)),"Fluid/Blood Leak",ISNUMBER(SEARCH("missing",C165)),"Component Missing",ISNUMBER(SEARCH("power",C165)),"Complete Loss of Power",ISNUMBER(SEARCH("will not turn on",C165)),"Complete Loss of Power",ISNUMBER(SEARCH("won't turn on",C165)),"Complete Loss of Power",ISNUMBER(SEARCH("does not turn on",C165)),"Complete Loss of Power",ISNUMBER(SEARCH("electrical",C165)),"Electrical Power Problem",ISNUMBER(SEARCH("pressure",C165)),"Detachment of Device or Device Component",ISNUMBER(SEARCH("slip",C165)),"Detachment of Device or Device Component",ISNUMBER(SEARCH("detach",C165)),"Detachment of Device or Device Component",ISNUMBER(SEARCH("stick",C165)),"Mechanical Jam",ISNUMBER(SEARCH("jam",C165)),"Mechanical Jam",ISNUMBER(SEARCH("rigid",C165)),"Mechanical Jam",ISNUMBER(SEARCH("rust",C165)),"Corroded",ISNUMBER(SEARCH("corrod",C165)),"Corroded",ISNUMBER(SEARCH("corrosion",C165)),"Corroded",ISNUMBER(SEARCH("alignment",C165)),"Defective Device",ISNUMBER(SEARCH("adjust",C165)),"Defective Device",ISNUMBER(SEARCH("perform",C165)),"Defective Device",ISNUMBER(SEARCH("malfunction",C165)),"Defective Device",ISNUMBER(SEARCH("defect",C165)),"Defective Device",ISNUMBER(SEARCH("fail",C165)),"Defective Device",ISNUMBER(SEARCH("not work",C165)),"Defective Device",ISNUMBER(SEARCH("doesn't work",C165)),"Defective Device",TRUE,"UNKNOWN"),"UNKNOWN")))</f>
        <v/>
      </c>
      <c r="F165" s="4" t="str">
        <f t="shared" si="2"/>
        <v/>
      </c>
      <c r="G165" s="363" t="str">
        <f>IF(E165="","",IFERROR(VLOOKUP(E165,Codes!$L$2:$N$409,3,FALSE),"—"))</f>
        <v/>
      </c>
      <c r="H165" s="88"/>
      <c r="I165" s="88"/>
    </row>
    <row r="166" spans="1:9" ht="13.15" x14ac:dyDescent="0.35">
      <c r="A166" s="434"/>
      <c r="B166" s="436"/>
      <c r="C166" s="434"/>
      <c r="D166" s="434"/>
      <c r="E166" s="93" t="str" cm="1">
        <f t="array" ref="E166">IF(D166&lt;&gt;"",IFERROR(VLOOKUP(D166,Codes!$K$2:$L$409,2,FALSE),"UNKNOWN - "&amp;D166),IF(C166="","",IFERROR(_xlfn.IFS(ISNUMBER(SEARCH("broken button",C166)),"Break",ISNUMBER(SEARCH("broken handle",C166)),"Break",ISNUMBER(SEARCH("shipping damage",C166)),"Break",ISNUMBER(SEARCH("broken",C166)),"Break",ISNUMBER(SEARCH("crack",C166)),"Break",ISNUMBER(SEARCH("snap",C166)),"Break",ISNUMBER(SEARCH("fracture",C166)),"Break",ISNUMBER(SEARCH("bent",C166)),"Material Twisted/Bent",ISNUMBER(SEARCH("twisted",C166)),"Material Twisted/Bent",ISNUMBER(SEARCH("component separat",C166)),"Material Separation",ISNUMBER(SEARCH("separat",C166)),"Material Separation",ISNUMBER(SEARCH("connection",C166)),"Loose or Intermittent Connection",ISNUMBER(SEARCH("loose",C166)),"Loose or Intermittent Connection",ISNUMBER(SEARCH("damaged packaging",C166)),"Packaging Problem",ISNUMBER(SEARCH("packaging",C166)),"Packaging Problem",ISNUMBER(SEARCH("discoloration",C166)),"Contamination",ISNUMBER(SEARCH("tarnish",C166)),"Contamination",ISNUMBER(SEARCH("stain",C166)),"Contamination",ISNUMBER(SEARCH("foreign material",C166)),"Contamination",ISNUMBER(SEARCH("contamina",C166)),"Contamination",ISNUMBER(SEARCH("overheat",C166)),"Overheating of Device",ISNUMBER(SEARCH("excessive heat",C166)),"Overheating of Device",ISNUMBER(SEARCH("hot",C166)),"Overheating of Device",ISNUMBER(SEARCH("noise",C166)),"Noise, Audible",ISNUMBER(SEARCH("sound",C166)),"Noise, Audible",ISNUMBER(SEARCH("loud",C166)),"Noise, Audible",ISNUMBER(SEARCH("fray",C166)),"Material Frayed",ISNUMBER(SEARCH("hole",C166)),"Material Frayed",ISNUMBER(SEARCH("tear",C166)),"Material Frayed",ISNUMBER(SEARCH("worn",C166)),"Material Frayed",ISNUMBER(SEARCH("intermittent",C166)),"Difficult or Delayed Activation",ISNUMBER(SEARCH("delay",C166)),"Difficult or Delayed Activation",ISNUMBER(SEARCH("label",C166)),"Device Markings/Labelling Problem",ISNUMBER(SEARCH("marking",C166)),"Device Markings/Labelling Problem",ISNUMBER(SEARCH("lacerat",C166)),"Defective Device",ISNUMBER(SEARCH("cut",C166)),"Defective Device",ISNUMBER(SEARCH("leak",C166)),"Fluid/Blood Leak",ISNUMBER(SEARCH("missing",C166)),"Component Missing",ISNUMBER(SEARCH("power",C166)),"Complete Loss of Power",ISNUMBER(SEARCH("will not turn on",C166)),"Complete Loss of Power",ISNUMBER(SEARCH("won't turn on",C166)),"Complete Loss of Power",ISNUMBER(SEARCH("does not turn on",C166)),"Complete Loss of Power",ISNUMBER(SEARCH("electrical",C166)),"Electrical Power Problem",ISNUMBER(SEARCH("pressure",C166)),"Detachment of Device or Device Component",ISNUMBER(SEARCH("slip",C166)),"Detachment of Device or Device Component",ISNUMBER(SEARCH("detach",C166)),"Detachment of Device or Device Component",ISNUMBER(SEARCH("stick",C166)),"Mechanical Jam",ISNUMBER(SEARCH("jam",C166)),"Mechanical Jam",ISNUMBER(SEARCH("rigid",C166)),"Mechanical Jam",ISNUMBER(SEARCH("rust",C166)),"Corroded",ISNUMBER(SEARCH("corrod",C166)),"Corroded",ISNUMBER(SEARCH("corrosion",C166)),"Corroded",ISNUMBER(SEARCH("alignment",C166)),"Defective Device",ISNUMBER(SEARCH("adjust",C166)),"Defective Device",ISNUMBER(SEARCH("perform",C166)),"Defective Device",ISNUMBER(SEARCH("malfunction",C166)),"Defective Device",ISNUMBER(SEARCH("defect",C166)),"Defective Device",ISNUMBER(SEARCH("fail",C166)),"Defective Device",ISNUMBER(SEARCH("not work",C166)),"Defective Device",ISNUMBER(SEARCH("doesn't work",C166)),"Defective Device",TRUE,"UNKNOWN"),"UNKNOWN")))</f>
        <v/>
      </c>
      <c r="F166" s="4" t="str">
        <f t="shared" si="2"/>
        <v/>
      </c>
      <c r="G166" s="363" t="str">
        <f>IF(E166="","",IFERROR(VLOOKUP(E166,Codes!$L$2:$N$409,3,FALSE),"—"))</f>
        <v/>
      </c>
      <c r="H166" s="88"/>
      <c r="I166" s="88"/>
    </row>
    <row r="167" spans="1:9" ht="13.15" x14ac:dyDescent="0.35">
      <c r="A167" s="434"/>
      <c r="B167" s="436"/>
      <c r="C167" s="437"/>
      <c r="D167" s="434"/>
      <c r="E167" s="93" t="str" cm="1">
        <f t="array" ref="E167">IF(D167&lt;&gt;"",IFERROR(VLOOKUP(D167,Codes!$K$2:$L$409,2,FALSE),"UNKNOWN - "&amp;D167),IF(C167="","",IFERROR(_xlfn.IFS(ISNUMBER(SEARCH("broken button",C167)),"Break",ISNUMBER(SEARCH("broken handle",C167)),"Break",ISNUMBER(SEARCH("shipping damage",C167)),"Break",ISNUMBER(SEARCH("broken",C167)),"Break",ISNUMBER(SEARCH("crack",C167)),"Break",ISNUMBER(SEARCH("snap",C167)),"Break",ISNUMBER(SEARCH("fracture",C167)),"Break",ISNUMBER(SEARCH("bent",C167)),"Material Twisted/Bent",ISNUMBER(SEARCH("twisted",C167)),"Material Twisted/Bent",ISNUMBER(SEARCH("component separat",C167)),"Material Separation",ISNUMBER(SEARCH("separat",C167)),"Material Separation",ISNUMBER(SEARCH("connection",C167)),"Loose or Intermittent Connection",ISNUMBER(SEARCH("loose",C167)),"Loose or Intermittent Connection",ISNUMBER(SEARCH("damaged packaging",C167)),"Packaging Problem",ISNUMBER(SEARCH("packaging",C167)),"Packaging Problem",ISNUMBER(SEARCH("discoloration",C167)),"Contamination",ISNUMBER(SEARCH("tarnish",C167)),"Contamination",ISNUMBER(SEARCH("stain",C167)),"Contamination",ISNUMBER(SEARCH("foreign material",C167)),"Contamination",ISNUMBER(SEARCH("contamina",C167)),"Contamination",ISNUMBER(SEARCH("overheat",C167)),"Overheating of Device",ISNUMBER(SEARCH("excessive heat",C167)),"Overheating of Device",ISNUMBER(SEARCH("hot",C167)),"Overheating of Device",ISNUMBER(SEARCH("noise",C167)),"Noise, Audible",ISNUMBER(SEARCH("sound",C167)),"Noise, Audible",ISNUMBER(SEARCH("loud",C167)),"Noise, Audible",ISNUMBER(SEARCH("fray",C167)),"Material Frayed",ISNUMBER(SEARCH("hole",C167)),"Material Frayed",ISNUMBER(SEARCH("tear",C167)),"Material Frayed",ISNUMBER(SEARCH("worn",C167)),"Material Frayed",ISNUMBER(SEARCH("intermittent",C167)),"Difficult or Delayed Activation",ISNUMBER(SEARCH("delay",C167)),"Difficult or Delayed Activation",ISNUMBER(SEARCH("label",C167)),"Device Markings/Labelling Problem",ISNUMBER(SEARCH("marking",C167)),"Device Markings/Labelling Problem",ISNUMBER(SEARCH("lacerat",C167)),"Defective Device",ISNUMBER(SEARCH("cut",C167)),"Defective Device",ISNUMBER(SEARCH("leak",C167)),"Fluid/Blood Leak",ISNUMBER(SEARCH("missing",C167)),"Component Missing",ISNUMBER(SEARCH("power",C167)),"Complete Loss of Power",ISNUMBER(SEARCH("will not turn on",C167)),"Complete Loss of Power",ISNUMBER(SEARCH("won't turn on",C167)),"Complete Loss of Power",ISNUMBER(SEARCH("does not turn on",C167)),"Complete Loss of Power",ISNUMBER(SEARCH("electrical",C167)),"Electrical Power Problem",ISNUMBER(SEARCH("pressure",C167)),"Detachment of Device or Device Component",ISNUMBER(SEARCH("slip",C167)),"Detachment of Device or Device Component",ISNUMBER(SEARCH("detach",C167)),"Detachment of Device or Device Component",ISNUMBER(SEARCH("stick",C167)),"Mechanical Jam",ISNUMBER(SEARCH("jam",C167)),"Mechanical Jam",ISNUMBER(SEARCH("rigid",C167)),"Mechanical Jam",ISNUMBER(SEARCH("rust",C167)),"Corroded",ISNUMBER(SEARCH("corrod",C167)),"Corroded",ISNUMBER(SEARCH("corrosion",C167)),"Corroded",ISNUMBER(SEARCH("alignment",C167)),"Defective Device",ISNUMBER(SEARCH("adjust",C167)),"Defective Device",ISNUMBER(SEARCH("perform",C167)),"Defective Device",ISNUMBER(SEARCH("malfunction",C167)),"Defective Device",ISNUMBER(SEARCH("defect",C167)),"Defective Device",ISNUMBER(SEARCH("fail",C167)),"Defective Device",ISNUMBER(SEARCH("not work",C167)),"Defective Device",ISNUMBER(SEARCH("doesn't work",C167)),"Defective Device",TRUE,"UNKNOWN"),"UNKNOWN")))</f>
        <v/>
      </c>
      <c r="F167" s="4" t="str">
        <f t="shared" si="2"/>
        <v/>
      </c>
      <c r="G167" s="363" t="str">
        <f>IF(E167="","",IFERROR(VLOOKUP(E167,Codes!$L$2:$N$409,3,FALSE),"—"))</f>
        <v/>
      </c>
      <c r="H167" s="88"/>
      <c r="I167" s="88"/>
    </row>
    <row r="168" spans="1:9" ht="13.15" x14ac:dyDescent="0.35">
      <c r="A168" s="435"/>
      <c r="B168" s="436"/>
      <c r="C168" s="438"/>
      <c r="D168" s="435"/>
      <c r="E168" s="93" t="str" cm="1">
        <f t="array" ref="E168">IF(D168&lt;&gt;"",IFERROR(VLOOKUP(D168,Codes!$K$2:$L$409,2,FALSE),"UNKNOWN - "&amp;D168),IF(C168="","",IFERROR(_xlfn.IFS(ISNUMBER(SEARCH("broken button",C168)),"Break",ISNUMBER(SEARCH("broken handle",C168)),"Break",ISNUMBER(SEARCH("shipping damage",C168)),"Break",ISNUMBER(SEARCH("broken",C168)),"Break",ISNUMBER(SEARCH("crack",C168)),"Break",ISNUMBER(SEARCH("snap",C168)),"Break",ISNUMBER(SEARCH("fracture",C168)),"Break",ISNUMBER(SEARCH("bent",C168)),"Material Twisted/Bent",ISNUMBER(SEARCH("twisted",C168)),"Material Twisted/Bent",ISNUMBER(SEARCH("component separat",C168)),"Material Separation",ISNUMBER(SEARCH("separat",C168)),"Material Separation",ISNUMBER(SEARCH("connection",C168)),"Loose or Intermittent Connection",ISNUMBER(SEARCH("loose",C168)),"Loose or Intermittent Connection",ISNUMBER(SEARCH("damaged packaging",C168)),"Packaging Problem",ISNUMBER(SEARCH("packaging",C168)),"Packaging Problem",ISNUMBER(SEARCH("discoloration",C168)),"Contamination",ISNUMBER(SEARCH("tarnish",C168)),"Contamination",ISNUMBER(SEARCH("stain",C168)),"Contamination",ISNUMBER(SEARCH("foreign material",C168)),"Contamination",ISNUMBER(SEARCH("contamina",C168)),"Contamination",ISNUMBER(SEARCH("overheat",C168)),"Overheating of Device",ISNUMBER(SEARCH("excessive heat",C168)),"Overheating of Device",ISNUMBER(SEARCH("hot",C168)),"Overheating of Device",ISNUMBER(SEARCH("noise",C168)),"Noise, Audible",ISNUMBER(SEARCH("sound",C168)),"Noise, Audible",ISNUMBER(SEARCH("loud",C168)),"Noise, Audible",ISNUMBER(SEARCH("fray",C168)),"Material Frayed",ISNUMBER(SEARCH("hole",C168)),"Material Frayed",ISNUMBER(SEARCH("tear",C168)),"Material Frayed",ISNUMBER(SEARCH("worn",C168)),"Material Frayed",ISNUMBER(SEARCH("intermittent",C168)),"Difficult or Delayed Activation",ISNUMBER(SEARCH("delay",C168)),"Difficult or Delayed Activation",ISNUMBER(SEARCH("label",C168)),"Device Markings/Labelling Problem",ISNUMBER(SEARCH("marking",C168)),"Device Markings/Labelling Problem",ISNUMBER(SEARCH("lacerat",C168)),"Defective Device",ISNUMBER(SEARCH("cut",C168)),"Defective Device",ISNUMBER(SEARCH("leak",C168)),"Fluid/Blood Leak",ISNUMBER(SEARCH("missing",C168)),"Component Missing",ISNUMBER(SEARCH("power",C168)),"Complete Loss of Power",ISNUMBER(SEARCH("will not turn on",C168)),"Complete Loss of Power",ISNUMBER(SEARCH("won't turn on",C168)),"Complete Loss of Power",ISNUMBER(SEARCH("does not turn on",C168)),"Complete Loss of Power",ISNUMBER(SEARCH("electrical",C168)),"Electrical Power Problem",ISNUMBER(SEARCH("pressure",C168)),"Detachment of Device or Device Component",ISNUMBER(SEARCH("slip",C168)),"Detachment of Device or Device Component",ISNUMBER(SEARCH("detach",C168)),"Detachment of Device or Device Component",ISNUMBER(SEARCH("stick",C168)),"Mechanical Jam",ISNUMBER(SEARCH("jam",C168)),"Mechanical Jam",ISNUMBER(SEARCH("rigid",C168)),"Mechanical Jam",ISNUMBER(SEARCH("rust",C168)),"Corroded",ISNUMBER(SEARCH("corrod",C168)),"Corroded",ISNUMBER(SEARCH("corrosion",C168)),"Corroded",ISNUMBER(SEARCH("alignment",C168)),"Defective Device",ISNUMBER(SEARCH("adjust",C168)),"Defective Device",ISNUMBER(SEARCH("perform",C168)),"Defective Device",ISNUMBER(SEARCH("malfunction",C168)),"Defective Device",ISNUMBER(SEARCH("defect",C168)),"Defective Device",ISNUMBER(SEARCH("fail",C168)),"Defective Device",ISNUMBER(SEARCH("not work",C168)),"Defective Device",ISNUMBER(SEARCH("doesn't work",C168)),"Defective Device",TRUE,"UNKNOWN"),"UNKNOWN")))</f>
        <v/>
      </c>
      <c r="F168" s="4" t="str">
        <f t="shared" si="2"/>
        <v/>
      </c>
      <c r="G168" s="363" t="str">
        <f>IF(E168="","",IFERROR(VLOOKUP(E168,Codes!$L$2:$N$409,3,FALSE),"—"))</f>
        <v/>
      </c>
      <c r="H168" s="88"/>
      <c r="I168" s="88"/>
    </row>
    <row r="169" spans="1:9" ht="13.15" x14ac:dyDescent="0.35">
      <c r="A169" s="435"/>
      <c r="B169" s="436"/>
      <c r="C169" s="438"/>
      <c r="D169" s="435"/>
      <c r="E169" s="93" t="str" cm="1">
        <f t="array" ref="E169">IF(D169&lt;&gt;"",IFERROR(VLOOKUP(D169,Codes!$K$2:$L$409,2,FALSE),"UNKNOWN - "&amp;D169),IF(C169="","",IFERROR(_xlfn.IFS(ISNUMBER(SEARCH("broken button",C169)),"Break",ISNUMBER(SEARCH("broken handle",C169)),"Break",ISNUMBER(SEARCH("shipping damage",C169)),"Break",ISNUMBER(SEARCH("broken",C169)),"Break",ISNUMBER(SEARCH("crack",C169)),"Break",ISNUMBER(SEARCH("snap",C169)),"Break",ISNUMBER(SEARCH("fracture",C169)),"Break",ISNUMBER(SEARCH("bent",C169)),"Material Twisted/Bent",ISNUMBER(SEARCH("twisted",C169)),"Material Twisted/Bent",ISNUMBER(SEARCH("component separat",C169)),"Material Separation",ISNUMBER(SEARCH("separat",C169)),"Material Separation",ISNUMBER(SEARCH("connection",C169)),"Loose or Intermittent Connection",ISNUMBER(SEARCH("loose",C169)),"Loose or Intermittent Connection",ISNUMBER(SEARCH("damaged packaging",C169)),"Packaging Problem",ISNUMBER(SEARCH("packaging",C169)),"Packaging Problem",ISNUMBER(SEARCH("discoloration",C169)),"Contamination",ISNUMBER(SEARCH("tarnish",C169)),"Contamination",ISNUMBER(SEARCH("stain",C169)),"Contamination",ISNUMBER(SEARCH("foreign material",C169)),"Contamination",ISNUMBER(SEARCH("contamina",C169)),"Contamination",ISNUMBER(SEARCH("overheat",C169)),"Overheating of Device",ISNUMBER(SEARCH("excessive heat",C169)),"Overheating of Device",ISNUMBER(SEARCH("hot",C169)),"Overheating of Device",ISNUMBER(SEARCH("noise",C169)),"Noise, Audible",ISNUMBER(SEARCH("sound",C169)),"Noise, Audible",ISNUMBER(SEARCH("loud",C169)),"Noise, Audible",ISNUMBER(SEARCH("fray",C169)),"Material Frayed",ISNUMBER(SEARCH("hole",C169)),"Material Frayed",ISNUMBER(SEARCH("tear",C169)),"Material Frayed",ISNUMBER(SEARCH("worn",C169)),"Material Frayed",ISNUMBER(SEARCH("intermittent",C169)),"Difficult or Delayed Activation",ISNUMBER(SEARCH("delay",C169)),"Difficult or Delayed Activation",ISNUMBER(SEARCH("label",C169)),"Device Markings/Labelling Problem",ISNUMBER(SEARCH("marking",C169)),"Device Markings/Labelling Problem",ISNUMBER(SEARCH("lacerat",C169)),"Defective Device",ISNUMBER(SEARCH("cut",C169)),"Defective Device",ISNUMBER(SEARCH("leak",C169)),"Fluid/Blood Leak",ISNUMBER(SEARCH("missing",C169)),"Component Missing",ISNUMBER(SEARCH("power",C169)),"Complete Loss of Power",ISNUMBER(SEARCH("will not turn on",C169)),"Complete Loss of Power",ISNUMBER(SEARCH("won't turn on",C169)),"Complete Loss of Power",ISNUMBER(SEARCH("does not turn on",C169)),"Complete Loss of Power",ISNUMBER(SEARCH("electrical",C169)),"Electrical Power Problem",ISNUMBER(SEARCH("pressure",C169)),"Detachment of Device or Device Component",ISNUMBER(SEARCH("slip",C169)),"Detachment of Device or Device Component",ISNUMBER(SEARCH("detach",C169)),"Detachment of Device or Device Component",ISNUMBER(SEARCH("stick",C169)),"Mechanical Jam",ISNUMBER(SEARCH("jam",C169)),"Mechanical Jam",ISNUMBER(SEARCH("rigid",C169)),"Mechanical Jam",ISNUMBER(SEARCH("rust",C169)),"Corroded",ISNUMBER(SEARCH("corrod",C169)),"Corroded",ISNUMBER(SEARCH("corrosion",C169)),"Corroded",ISNUMBER(SEARCH("alignment",C169)),"Defective Device",ISNUMBER(SEARCH("adjust",C169)),"Defective Device",ISNUMBER(SEARCH("perform",C169)),"Defective Device",ISNUMBER(SEARCH("malfunction",C169)),"Defective Device",ISNUMBER(SEARCH("defect",C169)),"Defective Device",ISNUMBER(SEARCH("fail",C169)),"Defective Device",ISNUMBER(SEARCH("not work",C169)),"Defective Device",ISNUMBER(SEARCH("doesn't work",C169)),"Defective Device",TRUE,"UNKNOWN"),"UNKNOWN")))</f>
        <v/>
      </c>
      <c r="F169" s="4" t="str">
        <f t="shared" si="2"/>
        <v/>
      </c>
      <c r="G169" s="363" t="str">
        <f>IF(E169="","",IFERROR(VLOOKUP(E169,Codes!$L$2:$N$409,3,FALSE),"—"))</f>
        <v/>
      </c>
      <c r="H169" s="88"/>
      <c r="I169" s="88"/>
    </row>
    <row r="170" spans="1:9" ht="13.15" x14ac:dyDescent="0.35">
      <c r="A170" s="435"/>
      <c r="B170" s="436"/>
      <c r="C170" s="438"/>
      <c r="D170" s="435"/>
      <c r="E170" s="93" t="str" cm="1">
        <f t="array" ref="E170">IF(D170&lt;&gt;"",IFERROR(VLOOKUP(D170,Codes!$K$2:$L$409,2,FALSE),"UNKNOWN - "&amp;D170),IF(C170="","",IFERROR(_xlfn.IFS(ISNUMBER(SEARCH("broken button",C170)),"Break",ISNUMBER(SEARCH("broken handle",C170)),"Break",ISNUMBER(SEARCH("shipping damage",C170)),"Break",ISNUMBER(SEARCH("broken",C170)),"Break",ISNUMBER(SEARCH("crack",C170)),"Break",ISNUMBER(SEARCH("snap",C170)),"Break",ISNUMBER(SEARCH("fracture",C170)),"Break",ISNUMBER(SEARCH("bent",C170)),"Material Twisted/Bent",ISNUMBER(SEARCH("twisted",C170)),"Material Twisted/Bent",ISNUMBER(SEARCH("component separat",C170)),"Material Separation",ISNUMBER(SEARCH("separat",C170)),"Material Separation",ISNUMBER(SEARCH("connection",C170)),"Loose or Intermittent Connection",ISNUMBER(SEARCH("loose",C170)),"Loose or Intermittent Connection",ISNUMBER(SEARCH("damaged packaging",C170)),"Packaging Problem",ISNUMBER(SEARCH("packaging",C170)),"Packaging Problem",ISNUMBER(SEARCH("discoloration",C170)),"Contamination",ISNUMBER(SEARCH("tarnish",C170)),"Contamination",ISNUMBER(SEARCH("stain",C170)),"Contamination",ISNUMBER(SEARCH("foreign material",C170)),"Contamination",ISNUMBER(SEARCH("contamina",C170)),"Contamination",ISNUMBER(SEARCH("overheat",C170)),"Overheating of Device",ISNUMBER(SEARCH("excessive heat",C170)),"Overheating of Device",ISNUMBER(SEARCH("hot",C170)),"Overheating of Device",ISNUMBER(SEARCH("noise",C170)),"Noise, Audible",ISNUMBER(SEARCH("sound",C170)),"Noise, Audible",ISNUMBER(SEARCH("loud",C170)),"Noise, Audible",ISNUMBER(SEARCH("fray",C170)),"Material Frayed",ISNUMBER(SEARCH("hole",C170)),"Material Frayed",ISNUMBER(SEARCH("tear",C170)),"Material Frayed",ISNUMBER(SEARCH("worn",C170)),"Material Frayed",ISNUMBER(SEARCH("intermittent",C170)),"Difficult or Delayed Activation",ISNUMBER(SEARCH("delay",C170)),"Difficult or Delayed Activation",ISNUMBER(SEARCH("label",C170)),"Device Markings/Labelling Problem",ISNUMBER(SEARCH("marking",C170)),"Device Markings/Labelling Problem",ISNUMBER(SEARCH("lacerat",C170)),"Defective Device",ISNUMBER(SEARCH("cut",C170)),"Defective Device",ISNUMBER(SEARCH("leak",C170)),"Fluid/Blood Leak",ISNUMBER(SEARCH("missing",C170)),"Component Missing",ISNUMBER(SEARCH("power",C170)),"Complete Loss of Power",ISNUMBER(SEARCH("will not turn on",C170)),"Complete Loss of Power",ISNUMBER(SEARCH("won't turn on",C170)),"Complete Loss of Power",ISNUMBER(SEARCH("does not turn on",C170)),"Complete Loss of Power",ISNUMBER(SEARCH("electrical",C170)),"Electrical Power Problem",ISNUMBER(SEARCH("pressure",C170)),"Detachment of Device or Device Component",ISNUMBER(SEARCH("slip",C170)),"Detachment of Device or Device Component",ISNUMBER(SEARCH("detach",C170)),"Detachment of Device or Device Component",ISNUMBER(SEARCH("stick",C170)),"Mechanical Jam",ISNUMBER(SEARCH("jam",C170)),"Mechanical Jam",ISNUMBER(SEARCH("rigid",C170)),"Mechanical Jam",ISNUMBER(SEARCH("rust",C170)),"Corroded",ISNUMBER(SEARCH("corrod",C170)),"Corroded",ISNUMBER(SEARCH("corrosion",C170)),"Corroded",ISNUMBER(SEARCH("alignment",C170)),"Defective Device",ISNUMBER(SEARCH("adjust",C170)),"Defective Device",ISNUMBER(SEARCH("perform",C170)),"Defective Device",ISNUMBER(SEARCH("malfunction",C170)),"Defective Device",ISNUMBER(SEARCH("defect",C170)),"Defective Device",ISNUMBER(SEARCH("fail",C170)),"Defective Device",ISNUMBER(SEARCH("not work",C170)),"Defective Device",ISNUMBER(SEARCH("doesn't work",C170)),"Defective Device",TRUE,"UNKNOWN"),"UNKNOWN")))</f>
        <v/>
      </c>
      <c r="F170" s="4" t="str">
        <f t="shared" si="2"/>
        <v/>
      </c>
      <c r="G170" s="363" t="str">
        <f>IF(E170="","",IFERROR(VLOOKUP(E170,Codes!$L$2:$N$409,3,FALSE),"—"))</f>
        <v/>
      </c>
      <c r="H170" s="88"/>
      <c r="I170" s="88"/>
    </row>
    <row r="171" spans="1:9" ht="13.15" x14ac:dyDescent="0.35">
      <c r="A171" s="434"/>
      <c r="B171" s="436"/>
      <c r="C171" s="439"/>
      <c r="D171" s="434"/>
      <c r="E171" s="93" t="str" cm="1">
        <f t="array" ref="E171">IF(D171&lt;&gt;"",IFERROR(VLOOKUP(D171,Codes!$K$2:$L$409,2,FALSE),"UNKNOWN - "&amp;D171),IF(C171="","",IFERROR(_xlfn.IFS(ISNUMBER(SEARCH("broken button",C171)),"Break",ISNUMBER(SEARCH("broken handle",C171)),"Break",ISNUMBER(SEARCH("shipping damage",C171)),"Break",ISNUMBER(SEARCH("broken",C171)),"Break",ISNUMBER(SEARCH("crack",C171)),"Break",ISNUMBER(SEARCH("snap",C171)),"Break",ISNUMBER(SEARCH("fracture",C171)),"Break",ISNUMBER(SEARCH("bent",C171)),"Material Twisted/Bent",ISNUMBER(SEARCH("twisted",C171)),"Material Twisted/Bent",ISNUMBER(SEARCH("component separat",C171)),"Material Separation",ISNUMBER(SEARCH("separat",C171)),"Material Separation",ISNUMBER(SEARCH("connection",C171)),"Loose or Intermittent Connection",ISNUMBER(SEARCH("loose",C171)),"Loose or Intermittent Connection",ISNUMBER(SEARCH("damaged packaging",C171)),"Packaging Problem",ISNUMBER(SEARCH("packaging",C171)),"Packaging Problem",ISNUMBER(SEARCH("discoloration",C171)),"Contamination",ISNUMBER(SEARCH("tarnish",C171)),"Contamination",ISNUMBER(SEARCH("stain",C171)),"Contamination",ISNUMBER(SEARCH("foreign material",C171)),"Contamination",ISNUMBER(SEARCH("contamina",C171)),"Contamination",ISNUMBER(SEARCH("overheat",C171)),"Overheating of Device",ISNUMBER(SEARCH("excessive heat",C171)),"Overheating of Device",ISNUMBER(SEARCH("hot",C171)),"Overheating of Device",ISNUMBER(SEARCH("noise",C171)),"Noise, Audible",ISNUMBER(SEARCH("sound",C171)),"Noise, Audible",ISNUMBER(SEARCH("loud",C171)),"Noise, Audible",ISNUMBER(SEARCH("fray",C171)),"Material Frayed",ISNUMBER(SEARCH("hole",C171)),"Material Frayed",ISNUMBER(SEARCH("tear",C171)),"Material Frayed",ISNUMBER(SEARCH("worn",C171)),"Material Frayed",ISNUMBER(SEARCH("intermittent",C171)),"Difficult or Delayed Activation",ISNUMBER(SEARCH("delay",C171)),"Difficult or Delayed Activation",ISNUMBER(SEARCH("label",C171)),"Device Markings/Labelling Problem",ISNUMBER(SEARCH("marking",C171)),"Device Markings/Labelling Problem",ISNUMBER(SEARCH("lacerat",C171)),"Defective Device",ISNUMBER(SEARCH("cut",C171)),"Defective Device",ISNUMBER(SEARCH("leak",C171)),"Fluid/Blood Leak",ISNUMBER(SEARCH("missing",C171)),"Component Missing",ISNUMBER(SEARCH("power",C171)),"Complete Loss of Power",ISNUMBER(SEARCH("will not turn on",C171)),"Complete Loss of Power",ISNUMBER(SEARCH("won't turn on",C171)),"Complete Loss of Power",ISNUMBER(SEARCH("does not turn on",C171)),"Complete Loss of Power",ISNUMBER(SEARCH("electrical",C171)),"Electrical Power Problem",ISNUMBER(SEARCH("pressure",C171)),"Detachment of Device or Device Component",ISNUMBER(SEARCH("slip",C171)),"Detachment of Device or Device Component",ISNUMBER(SEARCH("detach",C171)),"Detachment of Device or Device Component",ISNUMBER(SEARCH("stick",C171)),"Mechanical Jam",ISNUMBER(SEARCH("jam",C171)),"Mechanical Jam",ISNUMBER(SEARCH("rigid",C171)),"Mechanical Jam",ISNUMBER(SEARCH("rust",C171)),"Corroded",ISNUMBER(SEARCH("corrod",C171)),"Corroded",ISNUMBER(SEARCH("corrosion",C171)),"Corroded",ISNUMBER(SEARCH("alignment",C171)),"Defective Device",ISNUMBER(SEARCH("adjust",C171)),"Defective Device",ISNUMBER(SEARCH("perform",C171)),"Defective Device",ISNUMBER(SEARCH("malfunction",C171)),"Defective Device",ISNUMBER(SEARCH("defect",C171)),"Defective Device",ISNUMBER(SEARCH("fail",C171)),"Defective Device",ISNUMBER(SEARCH("not work",C171)),"Defective Device",ISNUMBER(SEARCH("doesn't work",C171)),"Defective Device",TRUE,"UNKNOWN"),"UNKNOWN")))</f>
        <v/>
      </c>
      <c r="F171" s="4" t="str">
        <f t="shared" si="2"/>
        <v/>
      </c>
      <c r="G171" s="363" t="str">
        <f>IF(E171="","",IFERROR(VLOOKUP(E171,Codes!$L$2:$N$409,3,FALSE),"—"))</f>
        <v/>
      </c>
      <c r="H171" s="88"/>
      <c r="I171" s="88"/>
    </row>
    <row r="172" spans="1:9" ht="13.15" x14ac:dyDescent="0.35">
      <c r="A172" s="435"/>
      <c r="B172" s="436"/>
      <c r="C172" s="438"/>
      <c r="D172" s="435"/>
      <c r="E172" s="93" t="str" cm="1">
        <f t="array" ref="E172">IF(D172&lt;&gt;"",IFERROR(VLOOKUP(D172,Codes!$K$2:$L$409,2,FALSE),"UNKNOWN - "&amp;D172),IF(C172="","",IFERROR(_xlfn.IFS(ISNUMBER(SEARCH("broken button",C172)),"Break",ISNUMBER(SEARCH("broken handle",C172)),"Break",ISNUMBER(SEARCH("shipping damage",C172)),"Break",ISNUMBER(SEARCH("broken",C172)),"Break",ISNUMBER(SEARCH("crack",C172)),"Break",ISNUMBER(SEARCH("snap",C172)),"Break",ISNUMBER(SEARCH("fracture",C172)),"Break",ISNUMBER(SEARCH("bent",C172)),"Material Twisted/Bent",ISNUMBER(SEARCH("twisted",C172)),"Material Twisted/Bent",ISNUMBER(SEARCH("component separat",C172)),"Material Separation",ISNUMBER(SEARCH("separat",C172)),"Material Separation",ISNUMBER(SEARCH("connection",C172)),"Loose or Intermittent Connection",ISNUMBER(SEARCH("loose",C172)),"Loose or Intermittent Connection",ISNUMBER(SEARCH("damaged packaging",C172)),"Packaging Problem",ISNUMBER(SEARCH("packaging",C172)),"Packaging Problem",ISNUMBER(SEARCH("discoloration",C172)),"Contamination",ISNUMBER(SEARCH("tarnish",C172)),"Contamination",ISNUMBER(SEARCH("stain",C172)),"Contamination",ISNUMBER(SEARCH("foreign material",C172)),"Contamination",ISNUMBER(SEARCH("contamina",C172)),"Contamination",ISNUMBER(SEARCH("overheat",C172)),"Overheating of Device",ISNUMBER(SEARCH("excessive heat",C172)),"Overheating of Device",ISNUMBER(SEARCH("hot",C172)),"Overheating of Device",ISNUMBER(SEARCH("noise",C172)),"Noise, Audible",ISNUMBER(SEARCH("sound",C172)),"Noise, Audible",ISNUMBER(SEARCH("loud",C172)),"Noise, Audible",ISNUMBER(SEARCH("fray",C172)),"Material Frayed",ISNUMBER(SEARCH("hole",C172)),"Material Frayed",ISNUMBER(SEARCH("tear",C172)),"Material Frayed",ISNUMBER(SEARCH("worn",C172)),"Material Frayed",ISNUMBER(SEARCH("intermittent",C172)),"Difficult or Delayed Activation",ISNUMBER(SEARCH("delay",C172)),"Difficult or Delayed Activation",ISNUMBER(SEARCH("label",C172)),"Device Markings/Labelling Problem",ISNUMBER(SEARCH("marking",C172)),"Device Markings/Labelling Problem",ISNUMBER(SEARCH("lacerat",C172)),"Defective Device",ISNUMBER(SEARCH("cut",C172)),"Defective Device",ISNUMBER(SEARCH("leak",C172)),"Fluid/Blood Leak",ISNUMBER(SEARCH("missing",C172)),"Component Missing",ISNUMBER(SEARCH("power",C172)),"Complete Loss of Power",ISNUMBER(SEARCH("will not turn on",C172)),"Complete Loss of Power",ISNUMBER(SEARCH("won't turn on",C172)),"Complete Loss of Power",ISNUMBER(SEARCH("does not turn on",C172)),"Complete Loss of Power",ISNUMBER(SEARCH("electrical",C172)),"Electrical Power Problem",ISNUMBER(SEARCH("pressure",C172)),"Detachment of Device or Device Component",ISNUMBER(SEARCH("slip",C172)),"Detachment of Device or Device Component",ISNUMBER(SEARCH("detach",C172)),"Detachment of Device or Device Component",ISNUMBER(SEARCH("stick",C172)),"Mechanical Jam",ISNUMBER(SEARCH("jam",C172)),"Mechanical Jam",ISNUMBER(SEARCH("rigid",C172)),"Mechanical Jam",ISNUMBER(SEARCH("rust",C172)),"Corroded",ISNUMBER(SEARCH("corrod",C172)),"Corroded",ISNUMBER(SEARCH("corrosion",C172)),"Corroded",ISNUMBER(SEARCH("alignment",C172)),"Defective Device",ISNUMBER(SEARCH("adjust",C172)),"Defective Device",ISNUMBER(SEARCH("perform",C172)),"Defective Device",ISNUMBER(SEARCH("malfunction",C172)),"Defective Device",ISNUMBER(SEARCH("defect",C172)),"Defective Device",ISNUMBER(SEARCH("fail",C172)),"Defective Device",ISNUMBER(SEARCH("not work",C172)),"Defective Device",ISNUMBER(SEARCH("doesn't work",C172)),"Defective Device",TRUE,"UNKNOWN"),"UNKNOWN")))</f>
        <v/>
      </c>
      <c r="F172" s="4" t="str">
        <f t="shared" si="2"/>
        <v/>
      </c>
      <c r="G172" s="363" t="str">
        <f>IF(E172="","",IFERROR(VLOOKUP(E172,Codes!$L$2:$N$409,3,FALSE),"—"))</f>
        <v/>
      </c>
      <c r="H172" s="88"/>
      <c r="I172" s="88"/>
    </row>
    <row r="173" spans="1:9" ht="13.15" x14ac:dyDescent="0.35">
      <c r="A173" s="434"/>
      <c r="B173" s="436"/>
      <c r="C173" s="437"/>
      <c r="D173" s="434"/>
      <c r="E173" s="93" t="str" cm="1">
        <f t="array" ref="E173">IF(D173&lt;&gt;"",IFERROR(VLOOKUP(D173,Codes!$K$2:$L$409,2,FALSE),"UNKNOWN - "&amp;D173),IF(C173="","",IFERROR(_xlfn.IFS(ISNUMBER(SEARCH("broken button",C173)),"Break",ISNUMBER(SEARCH("broken handle",C173)),"Break",ISNUMBER(SEARCH("shipping damage",C173)),"Break",ISNUMBER(SEARCH("broken",C173)),"Break",ISNUMBER(SEARCH("crack",C173)),"Break",ISNUMBER(SEARCH("snap",C173)),"Break",ISNUMBER(SEARCH("fracture",C173)),"Break",ISNUMBER(SEARCH("bent",C173)),"Material Twisted/Bent",ISNUMBER(SEARCH("twisted",C173)),"Material Twisted/Bent",ISNUMBER(SEARCH("component separat",C173)),"Material Separation",ISNUMBER(SEARCH("separat",C173)),"Material Separation",ISNUMBER(SEARCH("connection",C173)),"Loose or Intermittent Connection",ISNUMBER(SEARCH("loose",C173)),"Loose or Intermittent Connection",ISNUMBER(SEARCH("damaged packaging",C173)),"Packaging Problem",ISNUMBER(SEARCH("packaging",C173)),"Packaging Problem",ISNUMBER(SEARCH("discoloration",C173)),"Contamination",ISNUMBER(SEARCH("tarnish",C173)),"Contamination",ISNUMBER(SEARCH("stain",C173)),"Contamination",ISNUMBER(SEARCH("foreign material",C173)),"Contamination",ISNUMBER(SEARCH("contamina",C173)),"Contamination",ISNUMBER(SEARCH("overheat",C173)),"Overheating of Device",ISNUMBER(SEARCH("excessive heat",C173)),"Overheating of Device",ISNUMBER(SEARCH("hot",C173)),"Overheating of Device",ISNUMBER(SEARCH("noise",C173)),"Noise, Audible",ISNUMBER(SEARCH("sound",C173)),"Noise, Audible",ISNUMBER(SEARCH("loud",C173)),"Noise, Audible",ISNUMBER(SEARCH("fray",C173)),"Material Frayed",ISNUMBER(SEARCH("hole",C173)),"Material Frayed",ISNUMBER(SEARCH("tear",C173)),"Material Frayed",ISNUMBER(SEARCH("worn",C173)),"Material Frayed",ISNUMBER(SEARCH("intermittent",C173)),"Difficult or Delayed Activation",ISNUMBER(SEARCH("delay",C173)),"Difficult or Delayed Activation",ISNUMBER(SEARCH("label",C173)),"Device Markings/Labelling Problem",ISNUMBER(SEARCH("marking",C173)),"Device Markings/Labelling Problem",ISNUMBER(SEARCH("lacerat",C173)),"Defective Device",ISNUMBER(SEARCH("cut",C173)),"Defective Device",ISNUMBER(SEARCH("leak",C173)),"Fluid/Blood Leak",ISNUMBER(SEARCH("missing",C173)),"Component Missing",ISNUMBER(SEARCH("power",C173)),"Complete Loss of Power",ISNUMBER(SEARCH("will not turn on",C173)),"Complete Loss of Power",ISNUMBER(SEARCH("won't turn on",C173)),"Complete Loss of Power",ISNUMBER(SEARCH("does not turn on",C173)),"Complete Loss of Power",ISNUMBER(SEARCH("electrical",C173)),"Electrical Power Problem",ISNUMBER(SEARCH("pressure",C173)),"Detachment of Device or Device Component",ISNUMBER(SEARCH("slip",C173)),"Detachment of Device or Device Component",ISNUMBER(SEARCH("detach",C173)),"Detachment of Device or Device Component",ISNUMBER(SEARCH("stick",C173)),"Mechanical Jam",ISNUMBER(SEARCH("jam",C173)),"Mechanical Jam",ISNUMBER(SEARCH("rigid",C173)),"Mechanical Jam",ISNUMBER(SEARCH("rust",C173)),"Corroded",ISNUMBER(SEARCH("corrod",C173)),"Corroded",ISNUMBER(SEARCH("corrosion",C173)),"Corroded",ISNUMBER(SEARCH("alignment",C173)),"Defective Device",ISNUMBER(SEARCH("adjust",C173)),"Defective Device",ISNUMBER(SEARCH("perform",C173)),"Defective Device",ISNUMBER(SEARCH("malfunction",C173)),"Defective Device",ISNUMBER(SEARCH("defect",C173)),"Defective Device",ISNUMBER(SEARCH("fail",C173)),"Defective Device",ISNUMBER(SEARCH("not work",C173)),"Defective Device",ISNUMBER(SEARCH("doesn't work",C173)),"Defective Device",TRUE,"UNKNOWN"),"UNKNOWN")))</f>
        <v/>
      </c>
      <c r="F173" s="4" t="str">
        <f t="shared" si="2"/>
        <v/>
      </c>
      <c r="G173" s="363" t="str">
        <f>IF(E173="","",IFERROR(VLOOKUP(E173,Codes!$L$2:$N$409,3,FALSE),"—"))</f>
        <v/>
      </c>
      <c r="H173" s="88"/>
      <c r="I173" s="88"/>
    </row>
    <row r="174" spans="1:9" ht="13.15" x14ac:dyDescent="0.35">
      <c r="A174" s="434"/>
      <c r="B174" s="436"/>
      <c r="C174" s="437"/>
      <c r="D174" s="434"/>
      <c r="E174" s="93" t="str" cm="1">
        <f t="array" ref="E174">IF(D174&lt;&gt;"",IFERROR(VLOOKUP(D174,Codes!$K$2:$L$409,2,FALSE),"UNKNOWN - "&amp;D174),IF(C174="","",IFERROR(_xlfn.IFS(ISNUMBER(SEARCH("broken button",C174)),"Break",ISNUMBER(SEARCH("broken handle",C174)),"Break",ISNUMBER(SEARCH("shipping damage",C174)),"Break",ISNUMBER(SEARCH("broken",C174)),"Break",ISNUMBER(SEARCH("crack",C174)),"Break",ISNUMBER(SEARCH("snap",C174)),"Break",ISNUMBER(SEARCH("fracture",C174)),"Break",ISNUMBER(SEARCH("bent",C174)),"Material Twisted/Bent",ISNUMBER(SEARCH("twisted",C174)),"Material Twisted/Bent",ISNUMBER(SEARCH("component separat",C174)),"Material Separation",ISNUMBER(SEARCH("separat",C174)),"Material Separation",ISNUMBER(SEARCH("connection",C174)),"Loose or Intermittent Connection",ISNUMBER(SEARCH("loose",C174)),"Loose or Intermittent Connection",ISNUMBER(SEARCH("damaged packaging",C174)),"Packaging Problem",ISNUMBER(SEARCH("packaging",C174)),"Packaging Problem",ISNUMBER(SEARCH("discoloration",C174)),"Contamination",ISNUMBER(SEARCH("tarnish",C174)),"Contamination",ISNUMBER(SEARCH("stain",C174)),"Contamination",ISNUMBER(SEARCH("foreign material",C174)),"Contamination",ISNUMBER(SEARCH("contamina",C174)),"Contamination",ISNUMBER(SEARCH("overheat",C174)),"Overheating of Device",ISNUMBER(SEARCH("excessive heat",C174)),"Overheating of Device",ISNUMBER(SEARCH("hot",C174)),"Overheating of Device",ISNUMBER(SEARCH("noise",C174)),"Noise, Audible",ISNUMBER(SEARCH("sound",C174)),"Noise, Audible",ISNUMBER(SEARCH("loud",C174)),"Noise, Audible",ISNUMBER(SEARCH("fray",C174)),"Material Frayed",ISNUMBER(SEARCH("hole",C174)),"Material Frayed",ISNUMBER(SEARCH("tear",C174)),"Material Frayed",ISNUMBER(SEARCH("worn",C174)),"Material Frayed",ISNUMBER(SEARCH("intermittent",C174)),"Difficult or Delayed Activation",ISNUMBER(SEARCH("delay",C174)),"Difficult or Delayed Activation",ISNUMBER(SEARCH("label",C174)),"Device Markings/Labelling Problem",ISNUMBER(SEARCH("marking",C174)),"Device Markings/Labelling Problem",ISNUMBER(SEARCH("lacerat",C174)),"Defective Device",ISNUMBER(SEARCH("cut",C174)),"Defective Device",ISNUMBER(SEARCH("leak",C174)),"Fluid/Blood Leak",ISNUMBER(SEARCH("missing",C174)),"Component Missing",ISNUMBER(SEARCH("power",C174)),"Complete Loss of Power",ISNUMBER(SEARCH("will not turn on",C174)),"Complete Loss of Power",ISNUMBER(SEARCH("won't turn on",C174)),"Complete Loss of Power",ISNUMBER(SEARCH("does not turn on",C174)),"Complete Loss of Power",ISNUMBER(SEARCH("electrical",C174)),"Electrical Power Problem",ISNUMBER(SEARCH("pressure",C174)),"Detachment of Device or Device Component",ISNUMBER(SEARCH("slip",C174)),"Detachment of Device or Device Component",ISNUMBER(SEARCH("detach",C174)),"Detachment of Device or Device Component",ISNUMBER(SEARCH("stick",C174)),"Mechanical Jam",ISNUMBER(SEARCH("jam",C174)),"Mechanical Jam",ISNUMBER(SEARCH("rigid",C174)),"Mechanical Jam",ISNUMBER(SEARCH("rust",C174)),"Corroded",ISNUMBER(SEARCH("corrod",C174)),"Corroded",ISNUMBER(SEARCH("corrosion",C174)),"Corroded",ISNUMBER(SEARCH("alignment",C174)),"Defective Device",ISNUMBER(SEARCH("adjust",C174)),"Defective Device",ISNUMBER(SEARCH("perform",C174)),"Defective Device",ISNUMBER(SEARCH("malfunction",C174)),"Defective Device",ISNUMBER(SEARCH("defect",C174)),"Defective Device",ISNUMBER(SEARCH("fail",C174)),"Defective Device",ISNUMBER(SEARCH("not work",C174)),"Defective Device",ISNUMBER(SEARCH("doesn't work",C174)),"Defective Device",TRUE,"UNKNOWN"),"UNKNOWN")))</f>
        <v/>
      </c>
      <c r="F174" s="4" t="str">
        <f t="shared" si="2"/>
        <v/>
      </c>
      <c r="G174" s="363" t="str">
        <f>IF(E174="","",IFERROR(VLOOKUP(E174,Codes!$L$2:$N$409,3,FALSE),"—"))</f>
        <v/>
      </c>
      <c r="H174" s="88"/>
      <c r="I174" s="88"/>
    </row>
    <row r="175" spans="1:9" ht="13.15" x14ac:dyDescent="0.35">
      <c r="A175" s="435"/>
      <c r="B175" s="436"/>
      <c r="C175" s="438"/>
      <c r="D175" s="435"/>
      <c r="E175" s="93" t="str" cm="1">
        <f t="array" ref="E175">IF(D175&lt;&gt;"",IFERROR(VLOOKUP(D175,Codes!$K$2:$L$409,2,FALSE),"UNKNOWN - "&amp;D175),IF(C175="","",IFERROR(_xlfn.IFS(ISNUMBER(SEARCH("broken button",C175)),"Break",ISNUMBER(SEARCH("broken handle",C175)),"Break",ISNUMBER(SEARCH("shipping damage",C175)),"Break",ISNUMBER(SEARCH("broken",C175)),"Break",ISNUMBER(SEARCH("crack",C175)),"Break",ISNUMBER(SEARCH("snap",C175)),"Break",ISNUMBER(SEARCH("fracture",C175)),"Break",ISNUMBER(SEARCH("bent",C175)),"Material Twisted/Bent",ISNUMBER(SEARCH("twisted",C175)),"Material Twisted/Bent",ISNUMBER(SEARCH("component separat",C175)),"Material Separation",ISNUMBER(SEARCH("separat",C175)),"Material Separation",ISNUMBER(SEARCH("connection",C175)),"Loose or Intermittent Connection",ISNUMBER(SEARCH("loose",C175)),"Loose or Intermittent Connection",ISNUMBER(SEARCH("damaged packaging",C175)),"Packaging Problem",ISNUMBER(SEARCH("packaging",C175)),"Packaging Problem",ISNUMBER(SEARCH("discoloration",C175)),"Contamination",ISNUMBER(SEARCH("tarnish",C175)),"Contamination",ISNUMBER(SEARCH("stain",C175)),"Contamination",ISNUMBER(SEARCH("foreign material",C175)),"Contamination",ISNUMBER(SEARCH("contamina",C175)),"Contamination",ISNUMBER(SEARCH("overheat",C175)),"Overheating of Device",ISNUMBER(SEARCH("excessive heat",C175)),"Overheating of Device",ISNUMBER(SEARCH("hot",C175)),"Overheating of Device",ISNUMBER(SEARCH("noise",C175)),"Noise, Audible",ISNUMBER(SEARCH("sound",C175)),"Noise, Audible",ISNUMBER(SEARCH("loud",C175)),"Noise, Audible",ISNUMBER(SEARCH("fray",C175)),"Material Frayed",ISNUMBER(SEARCH("hole",C175)),"Material Frayed",ISNUMBER(SEARCH("tear",C175)),"Material Frayed",ISNUMBER(SEARCH("worn",C175)),"Material Frayed",ISNUMBER(SEARCH("intermittent",C175)),"Difficult or Delayed Activation",ISNUMBER(SEARCH("delay",C175)),"Difficult or Delayed Activation",ISNUMBER(SEARCH("label",C175)),"Device Markings/Labelling Problem",ISNUMBER(SEARCH("marking",C175)),"Device Markings/Labelling Problem",ISNUMBER(SEARCH("lacerat",C175)),"Defective Device",ISNUMBER(SEARCH("cut",C175)),"Defective Device",ISNUMBER(SEARCH("leak",C175)),"Fluid/Blood Leak",ISNUMBER(SEARCH("missing",C175)),"Component Missing",ISNUMBER(SEARCH("power",C175)),"Complete Loss of Power",ISNUMBER(SEARCH("will not turn on",C175)),"Complete Loss of Power",ISNUMBER(SEARCH("won't turn on",C175)),"Complete Loss of Power",ISNUMBER(SEARCH("does not turn on",C175)),"Complete Loss of Power",ISNUMBER(SEARCH("electrical",C175)),"Electrical Power Problem",ISNUMBER(SEARCH("pressure",C175)),"Detachment of Device or Device Component",ISNUMBER(SEARCH("slip",C175)),"Detachment of Device or Device Component",ISNUMBER(SEARCH("detach",C175)),"Detachment of Device or Device Component",ISNUMBER(SEARCH("stick",C175)),"Mechanical Jam",ISNUMBER(SEARCH("jam",C175)),"Mechanical Jam",ISNUMBER(SEARCH("rigid",C175)),"Mechanical Jam",ISNUMBER(SEARCH("rust",C175)),"Corroded",ISNUMBER(SEARCH("corrod",C175)),"Corroded",ISNUMBER(SEARCH("corrosion",C175)),"Corroded",ISNUMBER(SEARCH("alignment",C175)),"Defective Device",ISNUMBER(SEARCH("adjust",C175)),"Defective Device",ISNUMBER(SEARCH("perform",C175)),"Defective Device",ISNUMBER(SEARCH("malfunction",C175)),"Defective Device",ISNUMBER(SEARCH("defect",C175)),"Defective Device",ISNUMBER(SEARCH("fail",C175)),"Defective Device",ISNUMBER(SEARCH("not work",C175)),"Defective Device",ISNUMBER(SEARCH("doesn't work",C175)),"Defective Device",TRUE,"UNKNOWN"),"UNKNOWN")))</f>
        <v/>
      </c>
      <c r="F175" s="4" t="str">
        <f t="shared" si="2"/>
        <v/>
      </c>
      <c r="G175" s="363" t="str">
        <f>IF(E175="","",IFERROR(VLOOKUP(E175,Codes!$L$2:$N$409,3,FALSE),"—"))</f>
        <v/>
      </c>
      <c r="H175" s="88"/>
      <c r="I175" s="88"/>
    </row>
    <row r="176" spans="1:9" ht="13.15" x14ac:dyDescent="0.35">
      <c r="A176" s="435"/>
      <c r="B176" s="436"/>
      <c r="C176" s="438"/>
      <c r="D176" s="435"/>
      <c r="E176" s="93" t="str" cm="1">
        <f t="array" ref="E176">IF(D176&lt;&gt;"",IFERROR(VLOOKUP(D176,Codes!$K$2:$L$409,2,FALSE),"UNKNOWN - "&amp;D176),IF(C176="","",IFERROR(_xlfn.IFS(ISNUMBER(SEARCH("broken button",C176)),"Break",ISNUMBER(SEARCH("broken handle",C176)),"Break",ISNUMBER(SEARCH("shipping damage",C176)),"Break",ISNUMBER(SEARCH("broken",C176)),"Break",ISNUMBER(SEARCH("crack",C176)),"Break",ISNUMBER(SEARCH("snap",C176)),"Break",ISNUMBER(SEARCH("fracture",C176)),"Break",ISNUMBER(SEARCH("bent",C176)),"Material Twisted/Bent",ISNUMBER(SEARCH("twisted",C176)),"Material Twisted/Bent",ISNUMBER(SEARCH("component separat",C176)),"Material Separation",ISNUMBER(SEARCH("separat",C176)),"Material Separation",ISNUMBER(SEARCH("connection",C176)),"Loose or Intermittent Connection",ISNUMBER(SEARCH("loose",C176)),"Loose or Intermittent Connection",ISNUMBER(SEARCH("damaged packaging",C176)),"Packaging Problem",ISNUMBER(SEARCH("packaging",C176)),"Packaging Problem",ISNUMBER(SEARCH("discoloration",C176)),"Contamination",ISNUMBER(SEARCH("tarnish",C176)),"Contamination",ISNUMBER(SEARCH("stain",C176)),"Contamination",ISNUMBER(SEARCH("foreign material",C176)),"Contamination",ISNUMBER(SEARCH("contamina",C176)),"Contamination",ISNUMBER(SEARCH("overheat",C176)),"Overheating of Device",ISNUMBER(SEARCH("excessive heat",C176)),"Overheating of Device",ISNUMBER(SEARCH("hot",C176)),"Overheating of Device",ISNUMBER(SEARCH("noise",C176)),"Noise, Audible",ISNUMBER(SEARCH("sound",C176)),"Noise, Audible",ISNUMBER(SEARCH("loud",C176)),"Noise, Audible",ISNUMBER(SEARCH("fray",C176)),"Material Frayed",ISNUMBER(SEARCH("hole",C176)),"Material Frayed",ISNUMBER(SEARCH("tear",C176)),"Material Frayed",ISNUMBER(SEARCH("worn",C176)),"Material Frayed",ISNUMBER(SEARCH("intermittent",C176)),"Difficult or Delayed Activation",ISNUMBER(SEARCH("delay",C176)),"Difficult or Delayed Activation",ISNUMBER(SEARCH("label",C176)),"Device Markings/Labelling Problem",ISNUMBER(SEARCH("marking",C176)),"Device Markings/Labelling Problem",ISNUMBER(SEARCH("lacerat",C176)),"Defective Device",ISNUMBER(SEARCH("cut",C176)),"Defective Device",ISNUMBER(SEARCH("leak",C176)),"Fluid/Blood Leak",ISNUMBER(SEARCH("missing",C176)),"Component Missing",ISNUMBER(SEARCH("power",C176)),"Complete Loss of Power",ISNUMBER(SEARCH("will not turn on",C176)),"Complete Loss of Power",ISNUMBER(SEARCH("won't turn on",C176)),"Complete Loss of Power",ISNUMBER(SEARCH("does not turn on",C176)),"Complete Loss of Power",ISNUMBER(SEARCH("electrical",C176)),"Electrical Power Problem",ISNUMBER(SEARCH("pressure",C176)),"Detachment of Device or Device Component",ISNUMBER(SEARCH("slip",C176)),"Detachment of Device or Device Component",ISNUMBER(SEARCH("detach",C176)),"Detachment of Device or Device Component",ISNUMBER(SEARCH("stick",C176)),"Mechanical Jam",ISNUMBER(SEARCH("jam",C176)),"Mechanical Jam",ISNUMBER(SEARCH("rigid",C176)),"Mechanical Jam",ISNUMBER(SEARCH("rust",C176)),"Corroded",ISNUMBER(SEARCH("corrod",C176)),"Corroded",ISNUMBER(SEARCH("corrosion",C176)),"Corroded",ISNUMBER(SEARCH("alignment",C176)),"Defective Device",ISNUMBER(SEARCH("adjust",C176)),"Defective Device",ISNUMBER(SEARCH("perform",C176)),"Defective Device",ISNUMBER(SEARCH("malfunction",C176)),"Defective Device",ISNUMBER(SEARCH("defect",C176)),"Defective Device",ISNUMBER(SEARCH("fail",C176)),"Defective Device",ISNUMBER(SEARCH("not work",C176)),"Defective Device",ISNUMBER(SEARCH("doesn't work",C176)),"Defective Device",TRUE,"UNKNOWN"),"UNKNOWN")))</f>
        <v/>
      </c>
      <c r="F176" s="4" t="str">
        <f t="shared" si="2"/>
        <v/>
      </c>
      <c r="G176" s="363" t="str">
        <f>IF(E176="","",IFERROR(VLOOKUP(E176,Codes!$L$2:$N$409,3,FALSE),"—"))</f>
        <v/>
      </c>
      <c r="H176" s="88"/>
      <c r="I176" s="88"/>
    </row>
    <row r="177" spans="1:9" ht="13.15" x14ac:dyDescent="0.35">
      <c r="A177" s="435"/>
      <c r="B177" s="436"/>
      <c r="C177" s="438"/>
      <c r="D177" s="435"/>
      <c r="E177" s="93" t="str" cm="1">
        <f t="array" ref="E177">IF(D177&lt;&gt;"",IFERROR(VLOOKUP(D177,Codes!$K$2:$L$409,2,FALSE),"UNKNOWN - "&amp;D177),IF(C177="","",IFERROR(_xlfn.IFS(ISNUMBER(SEARCH("broken button",C177)),"Break",ISNUMBER(SEARCH("broken handle",C177)),"Break",ISNUMBER(SEARCH("shipping damage",C177)),"Break",ISNUMBER(SEARCH("broken",C177)),"Break",ISNUMBER(SEARCH("crack",C177)),"Break",ISNUMBER(SEARCH("snap",C177)),"Break",ISNUMBER(SEARCH("fracture",C177)),"Break",ISNUMBER(SEARCH("bent",C177)),"Material Twisted/Bent",ISNUMBER(SEARCH("twisted",C177)),"Material Twisted/Bent",ISNUMBER(SEARCH("component separat",C177)),"Material Separation",ISNUMBER(SEARCH("separat",C177)),"Material Separation",ISNUMBER(SEARCH("connection",C177)),"Loose or Intermittent Connection",ISNUMBER(SEARCH("loose",C177)),"Loose or Intermittent Connection",ISNUMBER(SEARCH("damaged packaging",C177)),"Packaging Problem",ISNUMBER(SEARCH("packaging",C177)),"Packaging Problem",ISNUMBER(SEARCH("discoloration",C177)),"Contamination",ISNUMBER(SEARCH("tarnish",C177)),"Contamination",ISNUMBER(SEARCH("stain",C177)),"Contamination",ISNUMBER(SEARCH("foreign material",C177)),"Contamination",ISNUMBER(SEARCH("contamina",C177)),"Contamination",ISNUMBER(SEARCH("overheat",C177)),"Overheating of Device",ISNUMBER(SEARCH("excessive heat",C177)),"Overheating of Device",ISNUMBER(SEARCH("hot",C177)),"Overheating of Device",ISNUMBER(SEARCH("noise",C177)),"Noise, Audible",ISNUMBER(SEARCH("sound",C177)),"Noise, Audible",ISNUMBER(SEARCH("loud",C177)),"Noise, Audible",ISNUMBER(SEARCH("fray",C177)),"Material Frayed",ISNUMBER(SEARCH("hole",C177)),"Material Frayed",ISNUMBER(SEARCH("tear",C177)),"Material Frayed",ISNUMBER(SEARCH("worn",C177)),"Material Frayed",ISNUMBER(SEARCH("intermittent",C177)),"Difficult or Delayed Activation",ISNUMBER(SEARCH("delay",C177)),"Difficult or Delayed Activation",ISNUMBER(SEARCH("label",C177)),"Device Markings/Labelling Problem",ISNUMBER(SEARCH("marking",C177)),"Device Markings/Labelling Problem",ISNUMBER(SEARCH("lacerat",C177)),"Defective Device",ISNUMBER(SEARCH("cut",C177)),"Defective Device",ISNUMBER(SEARCH("leak",C177)),"Fluid/Blood Leak",ISNUMBER(SEARCH("missing",C177)),"Component Missing",ISNUMBER(SEARCH("power",C177)),"Complete Loss of Power",ISNUMBER(SEARCH("will not turn on",C177)),"Complete Loss of Power",ISNUMBER(SEARCH("won't turn on",C177)),"Complete Loss of Power",ISNUMBER(SEARCH("does not turn on",C177)),"Complete Loss of Power",ISNUMBER(SEARCH("electrical",C177)),"Electrical Power Problem",ISNUMBER(SEARCH("pressure",C177)),"Detachment of Device or Device Component",ISNUMBER(SEARCH("slip",C177)),"Detachment of Device or Device Component",ISNUMBER(SEARCH("detach",C177)),"Detachment of Device or Device Component",ISNUMBER(SEARCH("stick",C177)),"Mechanical Jam",ISNUMBER(SEARCH("jam",C177)),"Mechanical Jam",ISNUMBER(SEARCH("rigid",C177)),"Mechanical Jam",ISNUMBER(SEARCH("rust",C177)),"Corroded",ISNUMBER(SEARCH("corrod",C177)),"Corroded",ISNUMBER(SEARCH("corrosion",C177)),"Corroded",ISNUMBER(SEARCH("alignment",C177)),"Defective Device",ISNUMBER(SEARCH("adjust",C177)),"Defective Device",ISNUMBER(SEARCH("perform",C177)),"Defective Device",ISNUMBER(SEARCH("malfunction",C177)),"Defective Device",ISNUMBER(SEARCH("defect",C177)),"Defective Device",ISNUMBER(SEARCH("fail",C177)),"Defective Device",ISNUMBER(SEARCH("not work",C177)),"Defective Device",ISNUMBER(SEARCH("doesn't work",C177)),"Defective Device",TRUE,"UNKNOWN"),"UNKNOWN")))</f>
        <v/>
      </c>
      <c r="F177" s="4" t="str">
        <f t="shared" si="2"/>
        <v/>
      </c>
      <c r="G177" s="363" t="str">
        <f>IF(E177="","",IFERROR(VLOOKUP(E177,Codes!$L$2:$N$409,3,FALSE),"—"))</f>
        <v/>
      </c>
      <c r="H177" s="88"/>
      <c r="I177" s="88"/>
    </row>
    <row r="178" spans="1:9" ht="13.15" x14ac:dyDescent="0.35">
      <c r="A178" s="434"/>
      <c r="B178" s="436"/>
      <c r="C178" s="437"/>
      <c r="D178" s="434"/>
      <c r="E178" s="93" t="str" cm="1">
        <f t="array" ref="E178">IF(D178&lt;&gt;"",IFERROR(VLOOKUP(D178,Codes!$K$2:$L$409,2,FALSE),"UNKNOWN - "&amp;D178),IF(C178="","",IFERROR(_xlfn.IFS(ISNUMBER(SEARCH("broken button",C178)),"Break",ISNUMBER(SEARCH("broken handle",C178)),"Break",ISNUMBER(SEARCH("shipping damage",C178)),"Break",ISNUMBER(SEARCH("broken",C178)),"Break",ISNUMBER(SEARCH("crack",C178)),"Break",ISNUMBER(SEARCH("snap",C178)),"Break",ISNUMBER(SEARCH("fracture",C178)),"Break",ISNUMBER(SEARCH("bent",C178)),"Material Twisted/Bent",ISNUMBER(SEARCH("twisted",C178)),"Material Twisted/Bent",ISNUMBER(SEARCH("component separat",C178)),"Material Separation",ISNUMBER(SEARCH("separat",C178)),"Material Separation",ISNUMBER(SEARCH("connection",C178)),"Loose or Intermittent Connection",ISNUMBER(SEARCH("loose",C178)),"Loose or Intermittent Connection",ISNUMBER(SEARCH("damaged packaging",C178)),"Packaging Problem",ISNUMBER(SEARCH("packaging",C178)),"Packaging Problem",ISNUMBER(SEARCH("discoloration",C178)),"Contamination",ISNUMBER(SEARCH("tarnish",C178)),"Contamination",ISNUMBER(SEARCH("stain",C178)),"Contamination",ISNUMBER(SEARCH("foreign material",C178)),"Contamination",ISNUMBER(SEARCH("contamina",C178)),"Contamination",ISNUMBER(SEARCH("overheat",C178)),"Overheating of Device",ISNUMBER(SEARCH("excessive heat",C178)),"Overheating of Device",ISNUMBER(SEARCH("hot",C178)),"Overheating of Device",ISNUMBER(SEARCH("noise",C178)),"Noise, Audible",ISNUMBER(SEARCH("sound",C178)),"Noise, Audible",ISNUMBER(SEARCH("loud",C178)),"Noise, Audible",ISNUMBER(SEARCH("fray",C178)),"Material Frayed",ISNUMBER(SEARCH("hole",C178)),"Material Frayed",ISNUMBER(SEARCH("tear",C178)),"Material Frayed",ISNUMBER(SEARCH("worn",C178)),"Material Frayed",ISNUMBER(SEARCH("intermittent",C178)),"Difficult or Delayed Activation",ISNUMBER(SEARCH("delay",C178)),"Difficult or Delayed Activation",ISNUMBER(SEARCH("label",C178)),"Device Markings/Labelling Problem",ISNUMBER(SEARCH("marking",C178)),"Device Markings/Labelling Problem",ISNUMBER(SEARCH("lacerat",C178)),"Defective Device",ISNUMBER(SEARCH("cut",C178)),"Defective Device",ISNUMBER(SEARCH("leak",C178)),"Fluid/Blood Leak",ISNUMBER(SEARCH("missing",C178)),"Component Missing",ISNUMBER(SEARCH("power",C178)),"Complete Loss of Power",ISNUMBER(SEARCH("will not turn on",C178)),"Complete Loss of Power",ISNUMBER(SEARCH("won't turn on",C178)),"Complete Loss of Power",ISNUMBER(SEARCH("does not turn on",C178)),"Complete Loss of Power",ISNUMBER(SEARCH("electrical",C178)),"Electrical Power Problem",ISNUMBER(SEARCH("pressure",C178)),"Detachment of Device or Device Component",ISNUMBER(SEARCH("slip",C178)),"Detachment of Device or Device Component",ISNUMBER(SEARCH("detach",C178)),"Detachment of Device or Device Component",ISNUMBER(SEARCH("stick",C178)),"Mechanical Jam",ISNUMBER(SEARCH("jam",C178)),"Mechanical Jam",ISNUMBER(SEARCH("rigid",C178)),"Mechanical Jam",ISNUMBER(SEARCH("rust",C178)),"Corroded",ISNUMBER(SEARCH("corrod",C178)),"Corroded",ISNUMBER(SEARCH("corrosion",C178)),"Corroded",ISNUMBER(SEARCH("alignment",C178)),"Defective Device",ISNUMBER(SEARCH("adjust",C178)),"Defective Device",ISNUMBER(SEARCH("perform",C178)),"Defective Device",ISNUMBER(SEARCH("malfunction",C178)),"Defective Device",ISNUMBER(SEARCH("defect",C178)),"Defective Device",ISNUMBER(SEARCH("fail",C178)),"Defective Device",ISNUMBER(SEARCH("not work",C178)),"Defective Device",ISNUMBER(SEARCH("doesn't work",C178)),"Defective Device",TRUE,"UNKNOWN"),"UNKNOWN")))</f>
        <v/>
      </c>
      <c r="F178" s="4" t="str">
        <f t="shared" si="2"/>
        <v/>
      </c>
      <c r="G178" s="363" t="str">
        <f>IF(E178="","",IFERROR(VLOOKUP(E178,Codes!$L$2:$N$409,3,FALSE),"—"))</f>
        <v/>
      </c>
      <c r="H178" s="88"/>
      <c r="I178" s="88"/>
    </row>
    <row r="179" spans="1:9" ht="13.15" x14ac:dyDescent="0.35">
      <c r="A179" s="434"/>
      <c r="B179" s="436"/>
      <c r="C179" s="437"/>
      <c r="D179" s="434"/>
      <c r="E179" s="93" t="str" cm="1">
        <f t="array" ref="E179">IF(D179&lt;&gt;"",IFERROR(VLOOKUP(D179,Codes!$K$2:$L$409,2,FALSE),"UNKNOWN - "&amp;D179),IF(C179="","",IFERROR(_xlfn.IFS(ISNUMBER(SEARCH("broken button",C179)),"Break",ISNUMBER(SEARCH("broken handle",C179)),"Break",ISNUMBER(SEARCH("shipping damage",C179)),"Break",ISNUMBER(SEARCH("broken",C179)),"Break",ISNUMBER(SEARCH("crack",C179)),"Break",ISNUMBER(SEARCH("snap",C179)),"Break",ISNUMBER(SEARCH("fracture",C179)),"Break",ISNUMBER(SEARCH("bent",C179)),"Material Twisted/Bent",ISNUMBER(SEARCH("twisted",C179)),"Material Twisted/Bent",ISNUMBER(SEARCH("component separat",C179)),"Material Separation",ISNUMBER(SEARCH("separat",C179)),"Material Separation",ISNUMBER(SEARCH("connection",C179)),"Loose or Intermittent Connection",ISNUMBER(SEARCH("loose",C179)),"Loose or Intermittent Connection",ISNUMBER(SEARCH("damaged packaging",C179)),"Packaging Problem",ISNUMBER(SEARCH("packaging",C179)),"Packaging Problem",ISNUMBER(SEARCH("discoloration",C179)),"Contamination",ISNUMBER(SEARCH("tarnish",C179)),"Contamination",ISNUMBER(SEARCH("stain",C179)),"Contamination",ISNUMBER(SEARCH("foreign material",C179)),"Contamination",ISNUMBER(SEARCH("contamina",C179)),"Contamination",ISNUMBER(SEARCH("overheat",C179)),"Overheating of Device",ISNUMBER(SEARCH("excessive heat",C179)),"Overheating of Device",ISNUMBER(SEARCH("hot",C179)),"Overheating of Device",ISNUMBER(SEARCH("noise",C179)),"Noise, Audible",ISNUMBER(SEARCH("sound",C179)),"Noise, Audible",ISNUMBER(SEARCH("loud",C179)),"Noise, Audible",ISNUMBER(SEARCH("fray",C179)),"Material Frayed",ISNUMBER(SEARCH("hole",C179)),"Material Frayed",ISNUMBER(SEARCH("tear",C179)),"Material Frayed",ISNUMBER(SEARCH("worn",C179)),"Material Frayed",ISNUMBER(SEARCH("intermittent",C179)),"Difficult or Delayed Activation",ISNUMBER(SEARCH("delay",C179)),"Difficult or Delayed Activation",ISNUMBER(SEARCH("label",C179)),"Device Markings/Labelling Problem",ISNUMBER(SEARCH("marking",C179)),"Device Markings/Labelling Problem",ISNUMBER(SEARCH("lacerat",C179)),"Defective Device",ISNUMBER(SEARCH("cut",C179)),"Defective Device",ISNUMBER(SEARCH("leak",C179)),"Fluid/Blood Leak",ISNUMBER(SEARCH("missing",C179)),"Component Missing",ISNUMBER(SEARCH("power",C179)),"Complete Loss of Power",ISNUMBER(SEARCH("will not turn on",C179)),"Complete Loss of Power",ISNUMBER(SEARCH("won't turn on",C179)),"Complete Loss of Power",ISNUMBER(SEARCH("does not turn on",C179)),"Complete Loss of Power",ISNUMBER(SEARCH("electrical",C179)),"Electrical Power Problem",ISNUMBER(SEARCH("pressure",C179)),"Detachment of Device or Device Component",ISNUMBER(SEARCH("slip",C179)),"Detachment of Device or Device Component",ISNUMBER(SEARCH("detach",C179)),"Detachment of Device or Device Component",ISNUMBER(SEARCH("stick",C179)),"Mechanical Jam",ISNUMBER(SEARCH("jam",C179)),"Mechanical Jam",ISNUMBER(SEARCH("rigid",C179)),"Mechanical Jam",ISNUMBER(SEARCH("rust",C179)),"Corroded",ISNUMBER(SEARCH("corrod",C179)),"Corroded",ISNUMBER(SEARCH("corrosion",C179)),"Corroded",ISNUMBER(SEARCH("alignment",C179)),"Defective Device",ISNUMBER(SEARCH("adjust",C179)),"Defective Device",ISNUMBER(SEARCH("perform",C179)),"Defective Device",ISNUMBER(SEARCH("malfunction",C179)),"Defective Device",ISNUMBER(SEARCH("defect",C179)),"Defective Device",ISNUMBER(SEARCH("fail",C179)),"Defective Device",ISNUMBER(SEARCH("not work",C179)),"Defective Device",ISNUMBER(SEARCH("doesn't work",C179)),"Defective Device",TRUE,"UNKNOWN"),"UNKNOWN")))</f>
        <v/>
      </c>
      <c r="F179" s="4" t="str">
        <f t="shared" si="2"/>
        <v/>
      </c>
      <c r="G179" s="363" t="str">
        <f>IF(E179="","",IFERROR(VLOOKUP(E179,Codes!$L$2:$N$409,3,FALSE),"—"))</f>
        <v/>
      </c>
      <c r="H179" s="88"/>
      <c r="I179" s="88"/>
    </row>
    <row r="180" spans="1:9" ht="13.15" x14ac:dyDescent="0.35">
      <c r="A180" s="434"/>
      <c r="B180" s="436"/>
      <c r="C180" s="437"/>
      <c r="D180" s="434"/>
      <c r="E180" s="93" t="str" cm="1">
        <f t="array" ref="E180">IF(D180&lt;&gt;"",IFERROR(VLOOKUP(D180,Codes!$K$2:$L$409,2,FALSE),"UNKNOWN - "&amp;D180),IF(C180="","",IFERROR(_xlfn.IFS(ISNUMBER(SEARCH("broken button",C180)),"Break",ISNUMBER(SEARCH("broken handle",C180)),"Break",ISNUMBER(SEARCH("shipping damage",C180)),"Break",ISNUMBER(SEARCH("broken",C180)),"Break",ISNUMBER(SEARCH("crack",C180)),"Break",ISNUMBER(SEARCH("snap",C180)),"Break",ISNUMBER(SEARCH("fracture",C180)),"Break",ISNUMBER(SEARCH("bent",C180)),"Material Twisted/Bent",ISNUMBER(SEARCH("twisted",C180)),"Material Twisted/Bent",ISNUMBER(SEARCH("component separat",C180)),"Material Separation",ISNUMBER(SEARCH("separat",C180)),"Material Separation",ISNUMBER(SEARCH("connection",C180)),"Loose or Intermittent Connection",ISNUMBER(SEARCH("loose",C180)),"Loose or Intermittent Connection",ISNUMBER(SEARCH("damaged packaging",C180)),"Packaging Problem",ISNUMBER(SEARCH("packaging",C180)),"Packaging Problem",ISNUMBER(SEARCH("discoloration",C180)),"Contamination",ISNUMBER(SEARCH("tarnish",C180)),"Contamination",ISNUMBER(SEARCH("stain",C180)),"Contamination",ISNUMBER(SEARCH("foreign material",C180)),"Contamination",ISNUMBER(SEARCH("contamina",C180)),"Contamination",ISNUMBER(SEARCH("overheat",C180)),"Overheating of Device",ISNUMBER(SEARCH("excessive heat",C180)),"Overheating of Device",ISNUMBER(SEARCH("hot",C180)),"Overheating of Device",ISNUMBER(SEARCH("noise",C180)),"Noise, Audible",ISNUMBER(SEARCH("sound",C180)),"Noise, Audible",ISNUMBER(SEARCH("loud",C180)),"Noise, Audible",ISNUMBER(SEARCH("fray",C180)),"Material Frayed",ISNUMBER(SEARCH("hole",C180)),"Material Frayed",ISNUMBER(SEARCH("tear",C180)),"Material Frayed",ISNUMBER(SEARCH("worn",C180)),"Material Frayed",ISNUMBER(SEARCH("intermittent",C180)),"Difficult or Delayed Activation",ISNUMBER(SEARCH("delay",C180)),"Difficult or Delayed Activation",ISNUMBER(SEARCH("label",C180)),"Device Markings/Labelling Problem",ISNUMBER(SEARCH("marking",C180)),"Device Markings/Labelling Problem",ISNUMBER(SEARCH("lacerat",C180)),"Defective Device",ISNUMBER(SEARCH("cut",C180)),"Defective Device",ISNUMBER(SEARCH("leak",C180)),"Fluid/Blood Leak",ISNUMBER(SEARCH("missing",C180)),"Component Missing",ISNUMBER(SEARCH("power",C180)),"Complete Loss of Power",ISNUMBER(SEARCH("will not turn on",C180)),"Complete Loss of Power",ISNUMBER(SEARCH("won't turn on",C180)),"Complete Loss of Power",ISNUMBER(SEARCH("does not turn on",C180)),"Complete Loss of Power",ISNUMBER(SEARCH("electrical",C180)),"Electrical Power Problem",ISNUMBER(SEARCH("pressure",C180)),"Detachment of Device or Device Component",ISNUMBER(SEARCH("slip",C180)),"Detachment of Device or Device Component",ISNUMBER(SEARCH("detach",C180)),"Detachment of Device or Device Component",ISNUMBER(SEARCH("stick",C180)),"Mechanical Jam",ISNUMBER(SEARCH("jam",C180)),"Mechanical Jam",ISNUMBER(SEARCH("rigid",C180)),"Mechanical Jam",ISNUMBER(SEARCH("rust",C180)),"Corroded",ISNUMBER(SEARCH("corrod",C180)),"Corroded",ISNUMBER(SEARCH("corrosion",C180)),"Corroded",ISNUMBER(SEARCH("alignment",C180)),"Defective Device",ISNUMBER(SEARCH("adjust",C180)),"Defective Device",ISNUMBER(SEARCH("perform",C180)),"Defective Device",ISNUMBER(SEARCH("malfunction",C180)),"Defective Device",ISNUMBER(SEARCH("defect",C180)),"Defective Device",ISNUMBER(SEARCH("fail",C180)),"Defective Device",ISNUMBER(SEARCH("not work",C180)),"Defective Device",ISNUMBER(SEARCH("doesn't work",C180)),"Defective Device",TRUE,"UNKNOWN"),"UNKNOWN")))</f>
        <v/>
      </c>
      <c r="F180" s="4" t="str">
        <f t="shared" si="2"/>
        <v/>
      </c>
      <c r="G180" s="363" t="str">
        <f>IF(E180="","",IFERROR(VLOOKUP(E180,Codes!$L$2:$N$409,3,FALSE),"—"))</f>
        <v/>
      </c>
      <c r="H180" s="88"/>
      <c r="I180" s="88"/>
    </row>
    <row r="181" spans="1:9" ht="13.15" x14ac:dyDescent="0.35">
      <c r="A181" s="435"/>
      <c r="B181" s="436"/>
      <c r="C181" s="438"/>
      <c r="D181" s="435"/>
      <c r="E181" s="93" t="str" cm="1">
        <f t="array" ref="E181">IF(D181&lt;&gt;"",IFERROR(VLOOKUP(D181,Codes!$K$2:$L$409,2,FALSE),"UNKNOWN - "&amp;D181),IF(C181="","",IFERROR(_xlfn.IFS(ISNUMBER(SEARCH("broken button",C181)),"Break",ISNUMBER(SEARCH("broken handle",C181)),"Break",ISNUMBER(SEARCH("shipping damage",C181)),"Break",ISNUMBER(SEARCH("broken",C181)),"Break",ISNUMBER(SEARCH("crack",C181)),"Break",ISNUMBER(SEARCH("snap",C181)),"Break",ISNUMBER(SEARCH("fracture",C181)),"Break",ISNUMBER(SEARCH("bent",C181)),"Material Twisted/Bent",ISNUMBER(SEARCH("twisted",C181)),"Material Twisted/Bent",ISNUMBER(SEARCH("component separat",C181)),"Material Separation",ISNUMBER(SEARCH("separat",C181)),"Material Separation",ISNUMBER(SEARCH("connection",C181)),"Loose or Intermittent Connection",ISNUMBER(SEARCH("loose",C181)),"Loose or Intermittent Connection",ISNUMBER(SEARCH("damaged packaging",C181)),"Packaging Problem",ISNUMBER(SEARCH("packaging",C181)),"Packaging Problem",ISNUMBER(SEARCH("discoloration",C181)),"Contamination",ISNUMBER(SEARCH("tarnish",C181)),"Contamination",ISNUMBER(SEARCH("stain",C181)),"Contamination",ISNUMBER(SEARCH("foreign material",C181)),"Contamination",ISNUMBER(SEARCH("contamina",C181)),"Contamination",ISNUMBER(SEARCH("overheat",C181)),"Overheating of Device",ISNUMBER(SEARCH("excessive heat",C181)),"Overheating of Device",ISNUMBER(SEARCH("hot",C181)),"Overheating of Device",ISNUMBER(SEARCH("noise",C181)),"Noise, Audible",ISNUMBER(SEARCH("sound",C181)),"Noise, Audible",ISNUMBER(SEARCH("loud",C181)),"Noise, Audible",ISNUMBER(SEARCH("fray",C181)),"Material Frayed",ISNUMBER(SEARCH("hole",C181)),"Material Frayed",ISNUMBER(SEARCH("tear",C181)),"Material Frayed",ISNUMBER(SEARCH("worn",C181)),"Material Frayed",ISNUMBER(SEARCH("intermittent",C181)),"Difficult or Delayed Activation",ISNUMBER(SEARCH("delay",C181)),"Difficult or Delayed Activation",ISNUMBER(SEARCH("label",C181)),"Device Markings/Labelling Problem",ISNUMBER(SEARCH("marking",C181)),"Device Markings/Labelling Problem",ISNUMBER(SEARCH("lacerat",C181)),"Defective Device",ISNUMBER(SEARCH("cut",C181)),"Defective Device",ISNUMBER(SEARCH("leak",C181)),"Fluid/Blood Leak",ISNUMBER(SEARCH("missing",C181)),"Component Missing",ISNUMBER(SEARCH("power",C181)),"Complete Loss of Power",ISNUMBER(SEARCH("will not turn on",C181)),"Complete Loss of Power",ISNUMBER(SEARCH("won't turn on",C181)),"Complete Loss of Power",ISNUMBER(SEARCH("does not turn on",C181)),"Complete Loss of Power",ISNUMBER(SEARCH("electrical",C181)),"Electrical Power Problem",ISNUMBER(SEARCH("pressure",C181)),"Detachment of Device or Device Component",ISNUMBER(SEARCH("slip",C181)),"Detachment of Device or Device Component",ISNUMBER(SEARCH("detach",C181)),"Detachment of Device or Device Component",ISNUMBER(SEARCH("stick",C181)),"Mechanical Jam",ISNUMBER(SEARCH("jam",C181)),"Mechanical Jam",ISNUMBER(SEARCH("rigid",C181)),"Mechanical Jam",ISNUMBER(SEARCH("rust",C181)),"Corroded",ISNUMBER(SEARCH("corrod",C181)),"Corroded",ISNUMBER(SEARCH("corrosion",C181)),"Corroded",ISNUMBER(SEARCH("alignment",C181)),"Defective Device",ISNUMBER(SEARCH("adjust",C181)),"Defective Device",ISNUMBER(SEARCH("perform",C181)),"Defective Device",ISNUMBER(SEARCH("malfunction",C181)),"Defective Device",ISNUMBER(SEARCH("defect",C181)),"Defective Device",ISNUMBER(SEARCH("fail",C181)),"Defective Device",ISNUMBER(SEARCH("not work",C181)),"Defective Device",ISNUMBER(SEARCH("doesn't work",C181)),"Defective Device",TRUE,"UNKNOWN"),"UNKNOWN")))</f>
        <v/>
      </c>
      <c r="F181" s="4" t="str">
        <f t="shared" si="2"/>
        <v/>
      </c>
      <c r="G181" s="363" t="str">
        <f>IF(E181="","",IFERROR(VLOOKUP(E181,Codes!$L$2:$N$409,3,FALSE),"—"))</f>
        <v/>
      </c>
      <c r="H181" s="88"/>
      <c r="I181" s="88"/>
    </row>
    <row r="182" spans="1:9" ht="13.15" x14ac:dyDescent="0.35">
      <c r="A182" s="434"/>
      <c r="B182" s="436"/>
      <c r="C182" s="437"/>
      <c r="D182" s="434"/>
      <c r="E182" s="93" t="str" cm="1">
        <f t="array" ref="E182">IF(D182&lt;&gt;"",IFERROR(VLOOKUP(D182,Codes!$K$2:$L$409,2,FALSE),"UNKNOWN - "&amp;D182),IF(C182="","",IFERROR(_xlfn.IFS(ISNUMBER(SEARCH("broken button",C182)),"Break",ISNUMBER(SEARCH("broken handle",C182)),"Break",ISNUMBER(SEARCH("shipping damage",C182)),"Break",ISNUMBER(SEARCH("broken",C182)),"Break",ISNUMBER(SEARCH("crack",C182)),"Break",ISNUMBER(SEARCH("snap",C182)),"Break",ISNUMBER(SEARCH("fracture",C182)),"Break",ISNUMBER(SEARCH("bent",C182)),"Material Twisted/Bent",ISNUMBER(SEARCH("twisted",C182)),"Material Twisted/Bent",ISNUMBER(SEARCH("component separat",C182)),"Material Separation",ISNUMBER(SEARCH("separat",C182)),"Material Separation",ISNUMBER(SEARCH("connection",C182)),"Loose or Intermittent Connection",ISNUMBER(SEARCH("loose",C182)),"Loose or Intermittent Connection",ISNUMBER(SEARCH("damaged packaging",C182)),"Packaging Problem",ISNUMBER(SEARCH("packaging",C182)),"Packaging Problem",ISNUMBER(SEARCH("discoloration",C182)),"Contamination",ISNUMBER(SEARCH("tarnish",C182)),"Contamination",ISNUMBER(SEARCH("stain",C182)),"Contamination",ISNUMBER(SEARCH("foreign material",C182)),"Contamination",ISNUMBER(SEARCH("contamina",C182)),"Contamination",ISNUMBER(SEARCH("overheat",C182)),"Overheating of Device",ISNUMBER(SEARCH("excessive heat",C182)),"Overheating of Device",ISNUMBER(SEARCH("hot",C182)),"Overheating of Device",ISNUMBER(SEARCH("noise",C182)),"Noise, Audible",ISNUMBER(SEARCH("sound",C182)),"Noise, Audible",ISNUMBER(SEARCH("loud",C182)),"Noise, Audible",ISNUMBER(SEARCH("fray",C182)),"Material Frayed",ISNUMBER(SEARCH("hole",C182)),"Material Frayed",ISNUMBER(SEARCH("tear",C182)),"Material Frayed",ISNUMBER(SEARCH("worn",C182)),"Material Frayed",ISNUMBER(SEARCH("intermittent",C182)),"Difficult or Delayed Activation",ISNUMBER(SEARCH("delay",C182)),"Difficult or Delayed Activation",ISNUMBER(SEARCH("label",C182)),"Device Markings/Labelling Problem",ISNUMBER(SEARCH("marking",C182)),"Device Markings/Labelling Problem",ISNUMBER(SEARCH("lacerat",C182)),"Defective Device",ISNUMBER(SEARCH("cut",C182)),"Defective Device",ISNUMBER(SEARCH("leak",C182)),"Fluid/Blood Leak",ISNUMBER(SEARCH("missing",C182)),"Component Missing",ISNUMBER(SEARCH("power",C182)),"Complete Loss of Power",ISNUMBER(SEARCH("will not turn on",C182)),"Complete Loss of Power",ISNUMBER(SEARCH("won't turn on",C182)),"Complete Loss of Power",ISNUMBER(SEARCH("does not turn on",C182)),"Complete Loss of Power",ISNUMBER(SEARCH("electrical",C182)),"Electrical Power Problem",ISNUMBER(SEARCH("pressure",C182)),"Detachment of Device or Device Component",ISNUMBER(SEARCH("slip",C182)),"Detachment of Device or Device Component",ISNUMBER(SEARCH("detach",C182)),"Detachment of Device or Device Component",ISNUMBER(SEARCH("stick",C182)),"Mechanical Jam",ISNUMBER(SEARCH("jam",C182)),"Mechanical Jam",ISNUMBER(SEARCH("rigid",C182)),"Mechanical Jam",ISNUMBER(SEARCH("rust",C182)),"Corroded",ISNUMBER(SEARCH("corrod",C182)),"Corroded",ISNUMBER(SEARCH("corrosion",C182)),"Corroded",ISNUMBER(SEARCH("alignment",C182)),"Defective Device",ISNUMBER(SEARCH("adjust",C182)),"Defective Device",ISNUMBER(SEARCH("perform",C182)),"Defective Device",ISNUMBER(SEARCH("malfunction",C182)),"Defective Device",ISNUMBER(SEARCH("defect",C182)),"Defective Device",ISNUMBER(SEARCH("fail",C182)),"Defective Device",ISNUMBER(SEARCH("not work",C182)),"Defective Device",ISNUMBER(SEARCH("doesn't work",C182)),"Defective Device",TRUE,"UNKNOWN"),"UNKNOWN")))</f>
        <v/>
      </c>
      <c r="F182" s="4" t="str">
        <f t="shared" si="2"/>
        <v/>
      </c>
      <c r="G182" s="363" t="str">
        <f>IF(E182="","",IFERROR(VLOOKUP(E182,Codes!$L$2:$N$409,3,FALSE),"—"))</f>
        <v/>
      </c>
      <c r="H182" s="88"/>
      <c r="I182" s="88"/>
    </row>
    <row r="183" spans="1:9" ht="13.15" x14ac:dyDescent="0.35">
      <c r="A183" s="435"/>
      <c r="B183" s="436"/>
      <c r="C183" s="440"/>
      <c r="D183" s="435"/>
      <c r="E183" s="93" t="str" cm="1">
        <f t="array" ref="E183">IF(D183&lt;&gt;"",IFERROR(VLOOKUP(D183,Codes!$K$2:$L$409,2,FALSE),"UNKNOWN - "&amp;D183),IF(C183="","",IFERROR(_xlfn.IFS(ISNUMBER(SEARCH("broken button",C183)),"Break",ISNUMBER(SEARCH("broken handle",C183)),"Break",ISNUMBER(SEARCH("shipping damage",C183)),"Break",ISNUMBER(SEARCH("broken",C183)),"Break",ISNUMBER(SEARCH("crack",C183)),"Break",ISNUMBER(SEARCH("snap",C183)),"Break",ISNUMBER(SEARCH("fracture",C183)),"Break",ISNUMBER(SEARCH("bent",C183)),"Material Twisted/Bent",ISNUMBER(SEARCH("twisted",C183)),"Material Twisted/Bent",ISNUMBER(SEARCH("component separat",C183)),"Material Separation",ISNUMBER(SEARCH("separat",C183)),"Material Separation",ISNUMBER(SEARCH("connection",C183)),"Loose or Intermittent Connection",ISNUMBER(SEARCH("loose",C183)),"Loose or Intermittent Connection",ISNUMBER(SEARCH("damaged packaging",C183)),"Packaging Problem",ISNUMBER(SEARCH("packaging",C183)),"Packaging Problem",ISNUMBER(SEARCH("discoloration",C183)),"Contamination",ISNUMBER(SEARCH("tarnish",C183)),"Contamination",ISNUMBER(SEARCH("stain",C183)),"Contamination",ISNUMBER(SEARCH("foreign material",C183)),"Contamination",ISNUMBER(SEARCH("contamina",C183)),"Contamination",ISNUMBER(SEARCH("overheat",C183)),"Overheating of Device",ISNUMBER(SEARCH("excessive heat",C183)),"Overheating of Device",ISNUMBER(SEARCH("hot",C183)),"Overheating of Device",ISNUMBER(SEARCH("noise",C183)),"Noise, Audible",ISNUMBER(SEARCH("sound",C183)),"Noise, Audible",ISNUMBER(SEARCH("loud",C183)),"Noise, Audible",ISNUMBER(SEARCH("fray",C183)),"Material Frayed",ISNUMBER(SEARCH("hole",C183)),"Material Frayed",ISNUMBER(SEARCH("tear",C183)),"Material Frayed",ISNUMBER(SEARCH("worn",C183)),"Material Frayed",ISNUMBER(SEARCH("intermittent",C183)),"Difficult or Delayed Activation",ISNUMBER(SEARCH("delay",C183)),"Difficult or Delayed Activation",ISNUMBER(SEARCH("label",C183)),"Device Markings/Labelling Problem",ISNUMBER(SEARCH("marking",C183)),"Device Markings/Labelling Problem",ISNUMBER(SEARCH("lacerat",C183)),"Defective Device",ISNUMBER(SEARCH("cut",C183)),"Defective Device",ISNUMBER(SEARCH("leak",C183)),"Fluid/Blood Leak",ISNUMBER(SEARCH("missing",C183)),"Component Missing",ISNUMBER(SEARCH("power",C183)),"Complete Loss of Power",ISNUMBER(SEARCH("will not turn on",C183)),"Complete Loss of Power",ISNUMBER(SEARCH("won't turn on",C183)),"Complete Loss of Power",ISNUMBER(SEARCH("does not turn on",C183)),"Complete Loss of Power",ISNUMBER(SEARCH("electrical",C183)),"Electrical Power Problem",ISNUMBER(SEARCH("pressure",C183)),"Detachment of Device or Device Component",ISNUMBER(SEARCH("slip",C183)),"Detachment of Device or Device Component",ISNUMBER(SEARCH("detach",C183)),"Detachment of Device or Device Component",ISNUMBER(SEARCH("stick",C183)),"Mechanical Jam",ISNUMBER(SEARCH("jam",C183)),"Mechanical Jam",ISNUMBER(SEARCH("rigid",C183)),"Mechanical Jam",ISNUMBER(SEARCH("rust",C183)),"Corroded",ISNUMBER(SEARCH("corrod",C183)),"Corroded",ISNUMBER(SEARCH("corrosion",C183)),"Corroded",ISNUMBER(SEARCH("alignment",C183)),"Defective Device",ISNUMBER(SEARCH("adjust",C183)),"Defective Device",ISNUMBER(SEARCH("perform",C183)),"Defective Device",ISNUMBER(SEARCH("malfunction",C183)),"Defective Device",ISNUMBER(SEARCH("defect",C183)),"Defective Device",ISNUMBER(SEARCH("fail",C183)),"Defective Device",ISNUMBER(SEARCH("not work",C183)),"Defective Device",ISNUMBER(SEARCH("doesn't work",C183)),"Defective Device",TRUE,"UNKNOWN"),"UNKNOWN")))</f>
        <v/>
      </c>
      <c r="F183" s="4" t="str">
        <f t="shared" si="2"/>
        <v/>
      </c>
      <c r="G183" s="363" t="str">
        <f>IF(E183="","",IFERROR(VLOOKUP(E183,Codes!$L$2:$N$409,3,FALSE),"—"))</f>
        <v/>
      </c>
      <c r="H183" s="88"/>
      <c r="I183" s="88"/>
    </row>
    <row r="184" spans="1:9" ht="13.15" x14ac:dyDescent="0.35">
      <c r="A184" s="434"/>
      <c r="B184" s="436"/>
      <c r="C184" s="437"/>
      <c r="D184" s="434"/>
      <c r="E184" s="93" t="str" cm="1">
        <f t="array" ref="E184">IF(D184&lt;&gt;"",IFERROR(VLOOKUP(D184,Codes!$K$2:$L$409,2,FALSE),"UNKNOWN - "&amp;D184),IF(C184="","",IFERROR(_xlfn.IFS(ISNUMBER(SEARCH("broken button",C184)),"Break",ISNUMBER(SEARCH("broken handle",C184)),"Break",ISNUMBER(SEARCH("shipping damage",C184)),"Break",ISNUMBER(SEARCH("broken",C184)),"Break",ISNUMBER(SEARCH("crack",C184)),"Break",ISNUMBER(SEARCH("snap",C184)),"Break",ISNUMBER(SEARCH("fracture",C184)),"Break",ISNUMBER(SEARCH("bent",C184)),"Material Twisted/Bent",ISNUMBER(SEARCH("twisted",C184)),"Material Twisted/Bent",ISNUMBER(SEARCH("component separat",C184)),"Material Separation",ISNUMBER(SEARCH("separat",C184)),"Material Separation",ISNUMBER(SEARCH("connection",C184)),"Loose or Intermittent Connection",ISNUMBER(SEARCH("loose",C184)),"Loose or Intermittent Connection",ISNUMBER(SEARCH("damaged packaging",C184)),"Packaging Problem",ISNUMBER(SEARCH("packaging",C184)),"Packaging Problem",ISNUMBER(SEARCH("discoloration",C184)),"Contamination",ISNUMBER(SEARCH("tarnish",C184)),"Contamination",ISNUMBER(SEARCH("stain",C184)),"Contamination",ISNUMBER(SEARCH("foreign material",C184)),"Contamination",ISNUMBER(SEARCH("contamina",C184)),"Contamination",ISNUMBER(SEARCH("overheat",C184)),"Overheating of Device",ISNUMBER(SEARCH("excessive heat",C184)),"Overheating of Device",ISNUMBER(SEARCH("hot",C184)),"Overheating of Device",ISNUMBER(SEARCH("noise",C184)),"Noise, Audible",ISNUMBER(SEARCH("sound",C184)),"Noise, Audible",ISNUMBER(SEARCH("loud",C184)),"Noise, Audible",ISNUMBER(SEARCH("fray",C184)),"Material Frayed",ISNUMBER(SEARCH("hole",C184)),"Material Frayed",ISNUMBER(SEARCH("tear",C184)),"Material Frayed",ISNUMBER(SEARCH("worn",C184)),"Material Frayed",ISNUMBER(SEARCH("intermittent",C184)),"Difficult or Delayed Activation",ISNUMBER(SEARCH("delay",C184)),"Difficult or Delayed Activation",ISNUMBER(SEARCH("label",C184)),"Device Markings/Labelling Problem",ISNUMBER(SEARCH("marking",C184)),"Device Markings/Labelling Problem",ISNUMBER(SEARCH("lacerat",C184)),"Defective Device",ISNUMBER(SEARCH("cut",C184)),"Defective Device",ISNUMBER(SEARCH("leak",C184)),"Fluid/Blood Leak",ISNUMBER(SEARCH("missing",C184)),"Component Missing",ISNUMBER(SEARCH("power",C184)),"Complete Loss of Power",ISNUMBER(SEARCH("will not turn on",C184)),"Complete Loss of Power",ISNUMBER(SEARCH("won't turn on",C184)),"Complete Loss of Power",ISNUMBER(SEARCH("does not turn on",C184)),"Complete Loss of Power",ISNUMBER(SEARCH("electrical",C184)),"Electrical Power Problem",ISNUMBER(SEARCH("pressure",C184)),"Detachment of Device or Device Component",ISNUMBER(SEARCH("slip",C184)),"Detachment of Device or Device Component",ISNUMBER(SEARCH("detach",C184)),"Detachment of Device or Device Component",ISNUMBER(SEARCH("stick",C184)),"Mechanical Jam",ISNUMBER(SEARCH("jam",C184)),"Mechanical Jam",ISNUMBER(SEARCH("rigid",C184)),"Mechanical Jam",ISNUMBER(SEARCH("rust",C184)),"Corroded",ISNUMBER(SEARCH("corrod",C184)),"Corroded",ISNUMBER(SEARCH("corrosion",C184)),"Corroded",ISNUMBER(SEARCH("alignment",C184)),"Defective Device",ISNUMBER(SEARCH("adjust",C184)),"Defective Device",ISNUMBER(SEARCH("perform",C184)),"Defective Device",ISNUMBER(SEARCH("malfunction",C184)),"Defective Device",ISNUMBER(SEARCH("defect",C184)),"Defective Device",ISNUMBER(SEARCH("fail",C184)),"Defective Device",ISNUMBER(SEARCH("not work",C184)),"Defective Device",ISNUMBER(SEARCH("doesn't work",C184)),"Defective Device",TRUE,"UNKNOWN"),"UNKNOWN")))</f>
        <v/>
      </c>
      <c r="F184" s="4" t="str">
        <f t="shared" si="2"/>
        <v/>
      </c>
      <c r="G184" s="363" t="str">
        <f>IF(E184="","",IFERROR(VLOOKUP(E184,Codes!$L$2:$N$409,3,FALSE),"—"))</f>
        <v/>
      </c>
      <c r="H184" s="88"/>
      <c r="I184" s="88"/>
    </row>
    <row r="185" spans="1:9" ht="13.15" x14ac:dyDescent="0.35">
      <c r="A185" s="434"/>
      <c r="B185" s="436"/>
      <c r="C185" s="437"/>
      <c r="D185" s="434"/>
      <c r="E185" s="93" t="str" cm="1">
        <f t="array" ref="E185">IF(D185&lt;&gt;"",IFERROR(VLOOKUP(D185,Codes!$K$2:$L$409,2,FALSE),"UNKNOWN - "&amp;D185),IF(C185="","",IFERROR(_xlfn.IFS(ISNUMBER(SEARCH("broken button",C185)),"Break",ISNUMBER(SEARCH("broken handle",C185)),"Break",ISNUMBER(SEARCH("shipping damage",C185)),"Break",ISNUMBER(SEARCH("broken",C185)),"Break",ISNUMBER(SEARCH("crack",C185)),"Break",ISNUMBER(SEARCH("snap",C185)),"Break",ISNUMBER(SEARCH("fracture",C185)),"Break",ISNUMBER(SEARCH("bent",C185)),"Material Twisted/Bent",ISNUMBER(SEARCH("twisted",C185)),"Material Twisted/Bent",ISNUMBER(SEARCH("component separat",C185)),"Material Separation",ISNUMBER(SEARCH("separat",C185)),"Material Separation",ISNUMBER(SEARCH("connection",C185)),"Loose or Intermittent Connection",ISNUMBER(SEARCH("loose",C185)),"Loose or Intermittent Connection",ISNUMBER(SEARCH("damaged packaging",C185)),"Packaging Problem",ISNUMBER(SEARCH("packaging",C185)),"Packaging Problem",ISNUMBER(SEARCH("discoloration",C185)),"Contamination",ISNUMBER(SEARCH("tarnish",C185)),"Contamination",ISNUMBER(SEARCH("stain",C185)),"Contamination",ISNUMBER(SEARCH("foreign material",C185)),"Contamination",ISNUMBER(SEARCH("contamina",C185)),"Contamination",ISNUMBER(SEARCH("overheat",C185)),"Overheating of Device",ISNUMBER(SEARCH("excessive heat",C185)),"Overheating of Device",ISNUMBER(SEARCH("hot",C185)),"Overheating of Device",ISNUMBER(SEARCH("noise",C185)),"Noise, Audible",ISNUMBER(SEARCH("sound",C185)),"Noise, Audible",ISNUMBER(SEARCH("loud",C185)),"Noise, Audible",ISNUMBER(SEARCH("fray",C185)),"Material Frayed",ISNUMBER(SEARCH("hole",C185)),"Material Frayed",ISNUMBER(SEARCH("tear",C185)),"Material Frayed",ISNUMBER(SEARCH("worn",C185)),"Material Frayed",ISNUMBER(SEARCH("intermittent",C185)),"Difficult or Delayed Activation",ISNUMBER(SEARCH("delay",C185)),"Difficult or Delayed Activation",ISNUMBER(SEARCH("label",C185)),"Device Markings/Labelling Problem",ISNUMBER(SEARCH("marking",C185)),"Device Markings/Labelling Problem",ISNUMBER(SEARCH("lacerat",C185)),"Defective Device",ISNUMBER(SEARCH("cut",C185)),"Defective Device",ISNUMBER(SEARCH("leak",C185)),"Fluid/Blood Leak",ISNUMBER(SEARCH("missing",C185)),"Component Missing",ISNUMBER(SEARCH("power",C185)),"Complete Loss of Power",ISNUMBER(SEARCH("will not turn on",C185)),"Complete Loss of Power",ISNUMBER(SEARCH("won't turn on",C185)),"Complete Loss of Power",ISNUMBER(SEARCH("does not turn on",C185)),"Complete Loss of Power",ISNUMBER(SEARCH("electrical",C185)),"Electrical Power Problem",ISNUMBER(SEARCH("pressure",C185)),"Detachment of Device or Device Component",ISNUMBER(SEARCH("slip",C185)),"Detachment of Device or Device Component",ISNUMBER(SEARCH("detach",C185)),"Detachment of Device or Device Component",ISNUMBER(SEARCH("stick",C185)),"Mechanical Jam",ISNUMBER(SEARCH("jam",C185)),"Mechanical Jam",ISNUMBER(SEARCH("rigid",C185)),"Mechanical Jam",ISNUMBER(SEARCH("rust",C185)),"Corroded",ISNUMBER(SEARCH("corrod",C185)),"Corroded",ISNUMBER(SEARCH("corrosion",C185)),"Corroded",ISNUMBER(SEARCH("alignment",C185)),"Defective Device",ISNUMBER(SEARCH("adjust",C185)),"Defective Device",ISNUMBER(SEARCH("perform",C185)),"Defective Device",ISNUMBER(SEARCH("malfunction",C185)),"Defective Device",ISNUMBER(SEARCH("defect",C185)),"Defective Device",ISNUMBER(SEARCH("fail",C185)),"Defective Device",ISNUMBER(SEARCH("not work",C185)),"Defective Device",ISNUMBER(SEARCH("doesn't work",C185)),"Defective Device",TRUE,"UNKNOWN"),"UNKNOWN")))</f>
        <v/>
      </c>
      <c r="F185" s="4" t="str">
        <f t="shared" si="2"/>
        <v/>
      </c>
      <c r="G185" s="363" t="str">
        <f>IF(E185="","",IFERROR(VLOOKUP(E185,Codes!$L$2:$N$409,3,FALSE),"—"))</f>
        <v/>
      </c>
      <c r="H185" s="88"/>
      <c r="I185" s="88"/>
    </row>
    <row r="186" spans="1:9" ht="13.15" x14ac:dyDescent="0.35">
      <c r="A186" s="434"/>
      <c r="B186" s="436"/>
      <c r="C186" s="437"/>
      <c r="D186" s="434"/>
      <c r="E186" s="93" t="str" cm="1">
        <f t="array" ref="E186">IF(D186&lt;&gt;"",IFERROR(VLOOKUP(D186,Codes!$K$2:$L$409,2,FALSE),"UNKNOWN - "&amp;D186),IF(C186="","",IFERROR(_xlfn.IFS(ISNUMBER(SEARCH("broken button",C186)),"Break",ISNUMBER(SEARCH("broken handle",C186)),"Break",ISNUMBER(SEARCH("shipping damage",C186)),"Break",ISNUMBER(SEARCH("broken",C186)),"Break",ISNUMBER(SEARCH("crack",C186)),"Break",ISNUMBER(SEARCH("snap",C186)),"Break",ISNUMBER(SEARCH("fracture",C186)),"Break",ISNUMBER(SEARCH("bent",C186)),"Material Twisted/Bent",ISNUMBER(SEARCH("twisted",C186)),"Material Twisted/Bent",ISNUMBER(SEARCH("component separat",C186)),"Material Separation",ISNUMBER(SEARCH("separat",C186)),"Material Separation",ISNUMBER(SEARCH("connection",C186)),"Loose or Intermittent Connection",ISNUMBER(SEARCH("loose",C186)),"Loose or Intermittent Connection",ISNUMBER(SEARCH("damaged packaging",C186)),"Packaging Problem",ISNUMBER(SEARCH("packaging",C186)),"Packaging Problem",ISNUMBER(SEARCH("discoloration",C186)),"Contamination",ISNUMBER(SEARCH("tarnish",C186)),"Contamination",ISNUMBER(SEARCH("stain",C186)),"Contamination",ISNUMBER(SEARCH("foreign material",C186)),"Contamination",ISNUMBER(SEARCH("contamina",C186)),"Contamination",ISNUMBER(SEARCH("overheat",C186)),"Overheating of Device",ISNUMBER(SEARCH("excessive heat",C186)),"Overheating of Device",ISNUMBER(SEARCH("hot",C186)),"Overheating of Device",ISNUMBER(SEARCH("noise",C186)),"Noise, Audible",ISNUMBER(SEARCH("sound",C186)),"Noise, Audible",ISNUMBER(SEARCH("loud",C186)),"Noise, Audible",ISNUMBER(SEARCH("fray",C186)),"Material Frayed",ISNUMBER(SEARCH("hole",C186)),"Material Frayed",ISNUMBER(SEARCH("tear",C186)),"Material Frayed",ISNUMBER(SEARCH("worn",C186)),"Material Frayed",ISNUMBER(SEARCH("intermittent",C186)),"Difficult or Delayed Activation",ISNUMBER(SEARCH("delay",C186)),"Difficult or Delayed Activation",ISNUMBER(SEARCH("label",C186)),"Device Markings/Labelling Problem",ISNUMBER(SEARCH("marking",C186)),"Device Markings/Labelling Problem",ISNUMBER(SEARCH("lacerat",C186)),"Defective Device",ISNUMBER(SEARCH("cut",C186)),"Defective Device",ISNUMBER(SEARCH("leak",C186)),"Fluid/Blood Leak",ISNUMBER(SEARCH("missing",C186)),"Component Missing",ISNUMBER(SEARCH("power",C186)),"Complete Loss of Power",ISNUMBER(SEARCH("will not turn on",C186)),"Complete Loss of Power",ISNUMBER(SEARCH("won't turn on",C186)),"Complete Loss of Power",ISNUMBER(SEARCH("does not turn on",C186)),"Complete Loss of Power",ISNUMBER(SEARCH("electrical",C186)),"Electrical Power Problem",ISNUMBER(SEARCH("pressure",C186)),"Detachment of Device or Device Component",ISNUMBER(SEARCH("slip",C186)),"Detachment of Device or Device Component",ISNUMBER(SEARCH("detach",C186)),"Detachment of Device or Device Component",ISNUMBER(SEARCH("stick",C186)),"Mechanical Jam",ISNUMBER(SEARCH("jam",C186)),"Mechanical Jam",ISNUMBER(SEARCH("rigid",C186)),"Mechanical Jam",ISNUMBER(SEARCH("rust",C186)),"Corroded",ISNUMBER(SEARCH("corrod",C186)),"Corroded",ISNUMBER(SEARCH("corrosion",C186)),"Corroded",ISNUMBER(SEARCH("alignment",C186)),"Defective Device",ISNUMBER(SEARCH("adjust",C186)),"Defective Device",ISNUMBER(SEARCH("perform",C186)),"Defective Device",ISNUMBER(SEARCH("malfunction",C186)),"Defective Device",ISNUMBER(SEARCH("defect",C186)),"Defective Device",ISNUMBER(SEARCH("fail",C186)),"Defective Device",ISNUMBER(SEARCH("not work",C186)),"Defective Device",ISNUMBER(SEARCH("doesn't work",C186)),"Defective Device",TRUE,"UNKNOWN"),"UNKNOWN")))</f>
        <v/>
      </c>
      <c r="F186" s="4" t="str">
        <f t="shared" si="2"/>
        <v/>
      </c>
      <c r="G186" s="363" t="str">
        <f>IF(E186="","",IFERROR(VLOOKUP(E186,Codes!$L$2:$N$409,3,FALSE),"—"))</f>
        <v/>
      </c>
      <c r="H186" s="88"/>
      <c r="I186" s="88"/>
    </row>
    <row r="187" spans="1:9" ht="13.15" x14ac:dyDescent="0.35">
      <c r="A187" s="434"/>
      <c r="B187" s="436"/>
      <c r="C187" s="437"/>
      <c r="D187" s="434"/>
      <c r="E187" s="93" t="str" cm="1">
        <f t="array" ref="E187">IF(D187&lt;&gt;"",IFERROR(VLOOKUP(D187,Codes!$K$2:$L$409,2,FALSE),"UNKNOWN - "&amp;D187),IF(C187="","",IFERROR(_xlfn.IFS(ISNUMBER(SEARCH("broken button",C187)),"Break",ISNUMBER(SEARCH("broken handle",C187)),"Break",ISNUMBER(SEARCH("shipping damage",C187)),"Break",ISNUMBER(SEARCH("broken",C187)),"Break",ISNUMBER(SEARCH("crack",C187)),"Break",ISNUMBER(SEARCH("snap",C187)),"Break",ISNUMBER(SEARCH("fracture",C187)),"Break",ISNUMBER(SEARCH("bent",C187)),"Material Twisted/Bent",ISNUMBER(SEARCH("twisted",C187)),"Material Twisted/Bent",ISNUMBER(SEARCH("component separat",C187)),"Material Separation",ISNUMBER(SEARCH("separat",C187)),"Material Separation",ISNUMBER(SEARCH("connection",C187)),"Loose or Intermittent Connection",ISNUMBER(SEARCH("loose",C187)),"Loose or Intermittent Connection",ISNUMBER(SEARCH("damaged packaging",C187)),"Packaging Problem",ISNUMBER(SEARCH("packaging",C187)),"Packaging Problem",ISNUMBER(SEARCH("discoloration",C187)),"Contamination",ISNUMBER(SEARCH("tarnish",C187)),"Contamination",ISNUMBER(SEARCH("stain",C187)),"Contamination",ISNUMBER(SEARCH("foreign material",C187)),"Contamination",ISNUMBER(SEARCH("contamina",C187)),"Contamination",ISNUMBER(SEARCH("overheat",C187)),"Overheating of Device",ISNUMBER(SEARCH("excessive heat",C187)),"Overheating of Device",ISNUMBER(SEARCH("hot",C187)),"Overheating of Device",ISNUMBER(SEARCH("noise",C187)),"Noise, Audible",ISNUMBER(SEARCH("sound",C187)),"Noise, Audible",ISNUMBER(SEARCH("loud",C187)),"Noise, Audible",ISNUMBER(SEARCH("fray",C187)),"Material Frayed",ISNUMBER(SEARCH("hole",C187)),"Material Frayed",ISNUMBER(SEARCH("tear",C187)),"Material Frayed",ISNUMBER(SEARCH("worn",C187)),"Material Frayed",ISNUMBER(SEARCH("intermittent",C187)),"Difficult or Delayed Activation",ISNUMBER(SEARCH("delay",C187)),"Difficult or Delayed Activation",ISNUMBER(SEARCH("label",C187)),"Device Markings/Labelling Problem",ISNUMBER(SEARCH("marking",C187)),"Device Markings/Labelling Problem",ISNUMBER(SEARCH("lacerat",C187)),"Defective Device",ISNUMBER(SEARCH("cut",C187)),"Defective Device",ISNUMBER(SEARCH("leak",C187)),"Fluid/Blood Leak",ISNUMBER(SEARCH("missing",C187)),"Component Missing",ISNUMBER(SEARCH("power",C187)),"Complete Loss of Power",ISNUMBER(SEARCH("will not turn on",C187)),"Complete Loss of Power",ISNUMBER(SEARCH("won't turn on",C187)),"Complete Loss of Power",ISNUMBER(SEARCH("does not turn on",C187)),"Complete Loss of Power",ISNUMBER(SEARCH("electrical",C187)),"Electrical Power Problem",ISNUMBER(SEARCH("pressure",C187)),"Detachment of Device or Device Component",ISNUMBER(SEARCH("slip",C187)),"Detachment of Device or Device Component",ISNUMBER(SEARCH("detach",C187)),"Detachment of Device or Device Component",ISNUMBER(SEARCH("stick",C187)),"Mechanical Jam",ISNUMBER(SEARCH("jam",C187)),"Mechanical Jam",ISNUMBER(SEARCH("rigid",C187)),"Mechanical Jam",ISNUMBER(SEARCH("rust",C187)),"Corroded",ISNUMBER(SEARCH("corrod",C187)),"Corroded",ISNUMBER(SEARCH("corrosion",C187)),"Corroded",ISNUMBER(SEARCH("alignment",C187)),"Defective Device",ISNUMBER(SEARCH("adjust",C187)),"Defective Device",ISNUMBER(SEARCH("perform",C187)),"Defective Device",ISNUMBER(SEARCH("malfunction",C187)),"Defective Device",ISNUMBER(SEARCH("defect",C187)),"Defective Device",ISNUMBER(SEARCH("fail",C187)),"Defective Device",ISNUMBER(SEARCH("not work",C187)),"Defective Device",ISNUMBER(SEARCH("doesn't work",C187)),"Defective Device",TRUE,"UNKNOWN"),"UNKNOWN")))</f>
        <v/>
      </c>
      <c r="F187" s="4" t="str">
        <f t="shared" si="2"/>
        <v/>
      </c>
      <c r="G187" s="363" t="str">
        <f>IF(E187="","",IFERROR(VLOOKUP(E187,Codes!$L$2:$N$409,3,FALSE),"—"))</f>
        <v/>
      </c>
      <c r="H187" s="88"/>
      <c r="I187" s="88"/>
    </row>
    <row r="188" spans="1:9" ht="13.15" x14ac:dyDescent="0.35">
      <c r="A188" s="434"/>
      <c r="B188" s="436"/>
      <c r="C188" s="437"/>
      <c r="D188" s="434"/>
      <c r="E188" s="93" t="str" cm="1">
        <f t="array" ref="E188">IF(D188&lt;&gt;"",IFERROR(VLOOKUP(D188,Codes!$K$2:$L$409,2,FALSE),"UNKNOWN - "&amp;D188),IF(C188="","",IFERROR(_xlfn.IFS(ISNUMBER(SEARCH("broken button",C188)),"Break",ISNUMBER(SEARCH("broken handle",C188)),"Break",ISNUMBER(SEARCH("shipping damage",C188)),"Break",ISNUMBER(SEARCH("broken",C188)),"Break",ISNUMBER(SEARCH("crack",C188)),"Break",ISNUMBER(SEARCH("snap",C188)),"Break",ISNUMBER(SEARCH("fracture",C188)),"Break",ISNUMBER(SEARCH("bent",C188)),"Material Twisted/Bent",ISNUMBER(SEARCH("twisted",C188)),"Material Twisted/Bent",ISNUMBER(SEARCH("component separat",C188)),"Material Separation",ISNUMBER(SEARCH("separat",C188)),"Material Separation",ISNUMBER(SEARCH("connection",C188)),"Loose or Intermittent Connection",ISNUMBER(SEARCH("loose",C188)),"Loose or Intermittent Connection",ISNUMBER(SEARCH("damaged packaging",C188)),"Packaging Problem",ISNUMBER(SEARCH("packaging",C188)),"Packaging Problem",ISNUMBER(SEARCH("discoloration",C188)),"Contamination",ISNUMBER(SEARCH("tarnish",C188)),"Contamination",ISNUMBER(SEARCH("stain",C188)),"Contamination",ISNUMBER(SEARCH("foreign material",C188)),"Contamination",ISNUMBER(SEARCH("contamina",C188)),"Contamination",ISNUMBER(SEARCH("overheat",C188)),"Overheating of Device",ISNUMBER(SEARCH("excessive heat",C188)),"Overheating of Device",ISNUMBER(SEARCH("hot",C188)),"Overheating of Device",ISNUMBER(SEARCH("noise",C188)),"Noise, Audible",ISNUMBER(SEARCH("sound",C188)),"Noise, Audible",ISNUMBER(SEARCH("loud",C188)),"Noise, Audible",ISNUMBER(SEARCH("fray",C188)),"Material Frayed",ISNUMBER(SEARCH("hole",C188)),"Material Frayed",ISNUMBER(SEARCH("tear",C188)),"Material Frayed",ISNUMBER(SEARCH("worn",C188)),"Material Frayed",ISNUMBER(SEARCH("intermittent",C188)),"Difficult or Delayed Activation",ISNUMBER(SEARCH("delay",C188)),"Difficult or Delayed Activation",ISNUMBER(SEARCH("label",C188)),"Device Markings/Labelling Problem",ISNUMBER(SEARCH("marking",C188)),"Device Markings/Labelling Problem",ISNUMBER(SEARCH("lacerat",C188)),"Defective Device",ISNUMBER(SEARCH("cut",C188)),"Defective Device",ISNUMBER(SEARCH("leak",C188)),"Fluid/Blood Leak",ISNUMBER(SEARCH("missing",C188)),"Component Missing",ISNUMBER(SEARCH("power",C188)),"Complete Loss of Power",ISNUMBER(SEARCH("will not turn on",C188)),"Complete Loss of Power",ISNUMBER(SEARCH("won't turn on",C188)),"Complete Loss of Power",ISNUMBER(SEARCH("does not turn on",C188)),"Complete Loss of Power",ISNUMBER(SEARCH("electrical",C188)),"Electrical Power Problem",ISNUMBER(SEARCH("pressure",C188)),"Detachment of Device or Device Component",ISNUMBER(SEARCH("slip",C188)),"Detachment of Device or Device Component",ISNUMBER(SEARCH("detach",C188)),"Detachment of Device or Device Component",ISNUMBER(SEARCH("stick",C188)),"Mechanical Jam",ISNUMBER(SEARCH("jam",C188)),"Mechanical Jam",ISNUMBER(SEARCH("rigid",C188)),"Mechanical Jam",ISNUMBER(SEARCH("rust",C188)),"Corroded",ISNUMBER(SEARCH("corrod",C188)),"Corroded",ISNUMBER(SEARCH("corrosion",C188)),"Corroded",ISNUMBER(SEARCH("alignment",C188)),"Defective Device",ISNUMBER(SEARCH("adjust",C188)),"Defective Device",ISNUMBER(SEARCH("perform",C188)),"Defective Device",ISNUMBER(SEARCH("malfunction",C188)),"Defective Device",ISNUMBER(SEARCH("defect",C188)),"Defective Device",ISNUMBER(SEARCH("fail",C188)),"Defective Device",ISNUMBER(SEARCH("not work",C188)),"Defective Device",ISNUMBER(SEARCH("doesn't work",C188)),"Defective Device",TRUE,"UNKNOWN"),"UNKNOWN")))</f>
        <v/>
      </c>
      <c r="F188" s="4" t="str">
        <f t="shared" si="2"/>
        <v/>
      </c>
      <c r="G188" s="363" t="str">
        <f>IF(E188="","",IFERROR(VLOOKUP(E188,Codes!$L$2:$N$409,3,FALSE),"—"))</f>
        <v/>
      </c>
      <c r="H188" s="88"/>
      <c r="I188" s="88"/>
    </row>
    <row r="189" spans="1:9" ht="13.15" x14ac:dyDescent="0.35">
      <c r="A189" s="435"/>
      <c r="B189" s="436"/>
      <c r="C189" s="438"/>
      <c r="D189" s="435"/>
      <c r="E189" s="93" t="str" cm="1">
        <f t="array" ref="E189">IF(D189&lt;&gt;"",IFERROR(VLOOKUP(D189,Codes!$K$2:$L$409,2,FALSE),"UNKNOWN - "&amp;D189),IF(C189="","",IFERROR(_xlfn.IFS(ISNUMBER(SEARCH("broken button",C189)),"Break",ISNUMBER(SEARCH("broken handle",C189)),"Break",ISNUMBER(SEARCH("shipping damage",C189)),"Break",ISNUMBER(SEARCH("broken",C189)),"Break",ISNUMBER(SEARCH("crack",C189)),"Break",ISNUMBER(SEARCH("snap",C189)),"Break",ISNUMBER(SEARCH("fracture",C189)),"Break",ISNUMBER(SEARCH("bent",C189)),"Material Twisted/Bent",ISNUMBER(SEARCH("twisted",C189)),"Material Twisted/Bent",ISNUMBER(SEARCH("component separat",C189)),"Material Separation",ISNUMBER(SEARCH("separat",C189)),"Material Separation",ISNUMBER(SEARCH("connection",C189)),"Loose or Intermittent Connection",ISNUMBER(SEARCH("loose",C189)),"Loose or Intermittent Connection",ISNUMBER(SEARCH("damaged packaging",C189)),"Packaging Problem",ISNUMBER(SEARCH("packaging",C189)),"Packaging Problem",ISNUMBER(SEARCH("discoloration",C189)),"Contamination",ISNUMBER(SEARCH("tarnish",C189)),"Contamination",ISNUMBER(SEARCH("stain",C189)),"Contamination",ISNUMBER(SEARCH("foreign material",C189)),"Contamination",ISNUMBER(SEARCH("contamina",C189)),"Contamination",ISNUMBER(SEARCH("overheat",C189)),"Overheating of Device",ISNUMBER(SEARCH("excessive heat",C189)),"Overheating of Device",ISNUMBER(SEARCH("hot",C189)),"Overheating of Device",ISNUMBER(SEARCH("noise",C189)),"Noise, Audible",ISNUMBER(SEARCH("sound",C189)),"Noise, Audible",ISNUMBER(SEARCH("loud",C189)),"Noise, Audible",ISNUMBER(SEARCH("fray",C189)),"Material Frayed",ISNUMBER(SEARCH("hole",C189)),"Material Frayed",ISNUMBER(SEARCH("tear",C189)),"Material Frayed",ISNUMBER(SEARCH("worn",C189)),"Material Frayed",ISNUMBER(SEARCH("intermittent",C189)),"Difficult or Delayed Activation",ISNUMBER(SEARCH("delay",C189)),"Difficult or Delayed Activation",ISNUMBER(SEARCH("label",C189)),"Device Markings/Labelling Problem",ISNUMBER(SEARCH("marking",C189)),"Device Markings/Labelling Problem",ISNUMBER(SEARCH("lacerat",C189)),"Defective Device",ISNUMBER(SEARCH("cut",C189)),"Defective Device",ISNUMBER(SEARCH("leak",C189)),"Fluid/Blood Leak",ISNUMBER(SEARCH("missing",C189)),"Component Missing",ISNUMBER(SEARCH("power",C189)),"Complete Loss of Power",ISNUMBER(SEARCH("will not turn on",C189)),"Complete Loss of Power",ISNUMBER(SEARCH("won't turn on",C189)),"Complete Loss of Power",ISNUMBER(SEARCH("does not turn on",C189)),"Complete Loss of Power",ISNUMBER(SEARCH("electrical",C189)),"Electrical Power Problem",ISNUMBER(SEARCH("pressure",C189)),"Detachment of Device or Device Component",ISNUMBER(SEARCH("slip",C189)),"Detachment of Device or Device Component",ISNUMBER(SEARCH("detach",C189)),"Detachment of Device or Device Component",ISNUMBER(SEARCH("stick",C189)),"Mechanical Jam",ISNUMBER(SEARCH("jam",C189)),"Mechanical Jam",ISNUMBER(SEARCH("rigid",C189)),"Mechanical Jam",ISNUMBER(SEARCH("rust",C189)),"Corroded",ISNUMBER(SEARCH("corrod",C189)),"Corroded",ISNUMBER(SEARCH("corrosion",C189)),"Corroded",ISNUMBER(SEARCH("alignment",C189)),"Defective Device",ISNUMBER(SEARCH("adjust",C189)),"Defective Device",ISNUMBER(SEARCH("perform",C189)),"Defective Device",ISNUMBER(SEARCH("malfunction",C189)),"Defective Device",ISNUMBER(SEARCH("defect",C189)),"Defective Device",ISNUMBER(SEARCH("fail",C189)),"Defective Device",ISNUMBER(SEARCH("not work",C189)),"Defective Device",ISNUMBER(SEARCH("doesn't work",C189)),"Defective Device",TRUE,"UNKNOWN"),"UNKNOWN")))</f>
        <v/>
      </c>
      <c r="F189" s="4" t="str">
        <f t="shared" si="2"/>
        <v/>
      </c>
      <c r="G189" s="363" t="str">
        <f>IF(E189="","",IFERROR(VLOOKUP(E189,Codes!$L$2:$N$409,3,FALSE),"—"))</f>
        <v/>
      </c>
      <c r="H189" s="88"/>
      <c r="I189" s="88"/>
    </row>
    <row r="190" spans="1:9" ht="13.15" x14ac:dyDescent="0.35">
      <c r="A190" s="434"/>
      <c r="B190" s="436"/>
      <c r="C190" s="437"/>
      <c r="D190" s="434"/>
      <c r="E190" s="93" t="str" cm="1">
        <f t="array" ref="E190">IF(D190&lt;&gt;"",IFERROR(VLOOKUP(D190,Codes!$K$2:$L$409,2,FALSE),"UNKNOWN - "&amp;D190),IF(C190="","",IFERROR(_xlfn.IFS(ISNUMBER(SEARCH("broken button",C190)),"Break",ISNUMBER(SEARCH("broken handle",C190)),"Break",ISNUMBER(SEARCH("shipping damage",C190)),"Break",ISNUMBER(SEARCH("broken",C190)),"Break",ISNUMBER(SEARCH("crack",C190)),"Break",ISNUMBER(SEARCH("snap",C190)),"Break",ISNUMBER(SEARCH("fracture",C190)),"Break",ISNUMBER(SEARCH("bent",C190)),"Material Twisted/Bent",ISNUMBER(SEARCH("twisted",C190)),"Material Twisted/Bent",ISNUMBER(SEARCH("component separat",C190)),"Material Separation",ISNUMBER(SEARCH("separat",C190)),"Material Separation",ISNUMBER(SEARCH("connection",C190)),"Loose or Intermittent Connection",ISNUMBER(SEARCH("loose",C190)),"Loose or Intermittent Connection",ISNUMBER(SEARCH("damaged packaging",C190)),"Packaging Problem",ISNUMBER(SEARCH("packaging",C190)),"Packaging Problem",ISNUMBER(SEARCH("discoloration",C190)),"Contamination",ISNUMBER(SEARCH("tarnish",C190)),"Contamination",ISNUMBER(SEARCH("stain",C190)),"Contamination",ISNUMBER(SEARCH("foreign material",C190)),"Contamination",ISNUMBER(SEARCH("contamina",C190)),"Contamination",ISNUMBER(SEARCH("overheat",C190)),"Overheating of Device",ISNUMBER(SEARCH("excessive heat",C190)),"Overheating of Device",ISNUMBER(SEARCH("hot",C190)),"Overheating of Device",ISNUMBER(SEARCH("noise",C190)),"Noise, Audible",ISNUMBER(SEARCH("sound",C190)),"Noise, Audible",ISNUMBER(SEARCH("loud",C190)),"Noise, Audible",ISNUMBER(SEARCH("fray",C190)),"Material Frayed",ISNUMBER(SEARCH("hole",C190)),"Material Frayed",ISNUMBER(SEARCH("tear",C190)),"Material Frayed",ISNUMBER(SEARCH("worn",C190)),"Material Frayed",ISNUMBER(SEARCH("intermittent",C190)),"Difficult or Delayed Activation",ISNUMBER(SEARCH("delay",C190)),"Difficult or Delayed Activation",ISNUMBER(SEARCH("label",C190)),"Device Markings/Labelling Problem",ISNUMBER(SEARCH("marking",C190)),"Device Markings/Labelling Problem",ISNUMBER(SEARCH("lacerat",C190)),"Defective Device",ISNUMBER(SEARCH("cut",C190)),"Defective Device",ISNUMBER(SEARCH("leak",C190)),"Fluid/Blood Leak",ISNUMBER(SEARCH("missing",C190)),"Component Missing",ISNUMBER(SEARCH("power",C190)),"Complete Loss of Power",ISNUMBER(SEARCH("will not turn on",C190)),"Complete Loss of Power",ISNUMBER(SEARCH("won't turn on",C190)),"Complete Loss of Power",ISNUMBER(SEARCH("does not turn on",C190)),"Complete Loss of Power",ISNUMBER(SEARCH("electrical",C190)),"Electrical Power Problem",ISNUMBER(SEARCH("pressure",C190)),"Detachment of Device or Device Component",ISNUMBER(SEARCH("slip",C190)),"Detachment of Device or Device Component",ISNUMBER(SEARCH("detach",C190)),"Detachment of Device or Device Component",ISNUMBER(SEARCH("stick",C190)),"Mechanical Jam",ISNUMBER(SEARCH("jam",C190)),"Mechanical Jam",ISNUMBER(SEARCH("rigid",C190)),"Mechanical Jam",ISNUMBER(SEARCH("rust",C190)),"Corroded",ISNUMBER(SEARCH("corrod",C190)),"Corroded",ISNUMBER(SEARCH("corrosion",C190)),"Corroded",ISNUMBER(SEARCH("alignment",C190)),"Defective Device",ISNUMBER(SEARCH("adjust",C190)),"Defective Device",ISNUMBER(SEARCH("perform",C190)),"Defective Device",ISNUMBER(SEARCH("malfunction",C190)),"Defective Device",ISNUMBER(SEARCH("defect",C190)),"Defective Device",ISNUMBER(SEARCH("fail",C190)),"Defective Device",ISNUMBER(SEARCH("not work",C190)),"Defective Device",ISNUMBER(SEARCH("doesn't work",C190)),"Defective Device",TRUE,"UNKNOWN"),"UNKNOWN")))</f>
        <v/>
      </c>
      <c r="F190" s="4" t="str">
        <f t="shared" si="2"/>
        <v/>
      </c>
      <c r="G190" s="363" t="str">
        <f>IF(E190="","",IFERROR(VLOOKUP(E190,Codes!$L$2:$N$409,3,FALSE),"—"))</f>
        <v/>
      </c>
      <c r="H190" s="88"/>
      <c r="I190" s="88"/>
    </row>
    <row r="191" spans="1:9" ht="13.15" x14ac:dyDescent="0.35">
      <c r="A191" s="434"/>
      <c r="B191" s="436"/>
      <c r="C191" s="437"/>
      <c r="D191" s="434"/>
      <c r="E191" s="93" t="str" cm="1">
        <f t="array" ref="E191">IF(D191&lt;&gt;"",IFERROR(VLOOKUP(D191,Codes!$K$2:$L$409,2,FALSE),"UNKNOWN - "&amp;D191),IF(C191="","",IFERROR(_xlfn.IFS(ISNUMBER(SEARCH("broken button",C191)),"Break",ISNUMBER(SEARCH("broken handle",C191)),"Break",ISNUMBER(SEARCH("shipping damage",C191)),"Break",ISNUMBER(SEARCH("broken",C191)),"Break",ISNUMBER(SEARCH("crack",C191)),"Break",ISNUMBER(SEARCH("snap",C191)),"Break",ISNUMBER(SEARCH("fracture",C191)),"Break",ISNUMBER(SEARCH("bent",C191)),"Material Twisted/Bent",ISNUMBER(SEARCH("twisted",C191)),"Material Twisted/Bent",ISNUMBER(SEARCH("component separat",C191)),"Material Separation",ISNUMBER(SEARCH("separat",C191)),"Material Separation",ISNUMBER(SEARCH("connection",C191)),"Loose or Intermittent Connection",ISNUMBER(SEARCH("loose",C191)),"Loose or Intermittent Connection",ISNUMBER(SEARCH("damaged packaging",C191)),"Packaging Problem",ISNUMBER(SEARCH("packaging",C191)),"Packaging Problem",ISNUMBER(SEARCH("discoloration",C191)),"Contamination",ISNUMBER(SEARCH("tarnish",C191)),"Contamination",ISNUMBER(SEARCH("stain",C191)),"Contamination",ISNUMBER(SEARCH("foreign material",C191)),"Contamination",ISNUMBER(SEARCH("contamina",C191)),"Contamination",ISNUMBER(SEARCH("overheat",C191)),"Overheating of Device",ISNUMBER(SEARCH("excessive heat",C191)),"Overheating of Device",ISNUMBER(SEARCH("hot",C191)),"Overheating of Device",ISNUMBER(SEARCH("noise",C191)),"Noise, Audible",ISNUMBER(SEARCH("sound",C191)),"Noise, Audible",ISNUMBER(SEARCH("loud",C191)),"Noise, Audible",ISNUMBER(SEARCH("fray",C191)),"Material Frayed",ISNUMBER(SEARCH("hole",C191)),"Material Frayed",ISNUMBER(SEARCH("tear",C191)),"Material Frayed",ISNUMBER(SEARCH("worn",C191)),"Material Frayed",ISNUMBER(SEARCH("intermittent",C191)),"Difficult or Delayed Activation",ISNUMBER(SEARCH("delay",C191)),"Difficult or Delayed Activation",ISNUMBER(SEARCH("label",C191)),"Device Markings/Labelling Problem",ISNUMBER(SEARCH("marking",C191)),"Device Markings/Labelling Problem",ISNUMBER(SEARCH("lacerat",C191)),"Defective Device",ISNUMBER(SEARCH("cut",C191)),"Defective Device",ISNUMBER(SEARCH("leak",C191)),"Fluid/Blood Leak",ISNUMBER(SEARCH("missing",C191)),"Component Missing",ISNUMBER(SEARCH("power",C191)),"Complete Loss of Power",ISNUMBER(SEARCH("will not turn on",C191)),"Complete Loss of Power",ISNUMBER(SEARCH("won't turn on",C191)),"Complete Loss of Power",ISNUMBER(SEARCH("does not turn on",C191)),"Complete Loss of Power",ISNUMBER(SEARCH("electrical",C191)),"Electrical Power Problem",ISNUMBER(SEARCH("pressure",C191)),"Detachment of Device or Device Component",ISNUMBER(SEARCH("slip",C191)),"Detachment of Device or Device Component",ISNUMBER(SEARCH("detach",C191)),"Detachment of Device or Device Component",ISNUMBER(SEARCH("stick",C191)),"Mechanical Jam",ISNUMBER(SEARCH("jam",C191)),"Mechanical Jam",ISNUMBER(SEARCH("rigid",C191)),"Mechanical Jam",ISNUMBER(SEARCH("rust",C191)),"Corroded",ISNUMBER(SEARCH("corrod",C191)),"Corroded",ISNUMBER(SEARCH("corrosion",C191)),"Corroded",ISNUMBER(SEARCH("alignment",C191)),"Defective Device",ISNUMBER(SEARCH("adjust",C191)),"Defective Device",ISNUMBER(SEARCH("perform",C191)),"Defective Device",ISNUMBER(SEARCH("malfunction",C191)),"Defective Device",ISNUMBER(SEARCH("defect",C191)),"Defective Device",ISNUMBER(SEARCH("fail",C191)),"Defective Device",ISNUMBER(SEARCH("not work",C191)),"Defective Device",ISNUMBER(SEARCH("doesn't work",C191)),"Defective Device",TRUE,"UNKNOWN"),"UNKNOWN")))</f>
        <v/>
      </c>
      <c r="F191" s="4" t="str">
        <f t="shared" si="2"/>
        <v/>
      </c>
      <c r="G191" s="363" t="str">
        <f>IF(E191="","",IFERROR(VLOOKUP(E191,Codes!$L$2:$N$409,3,FALSE),"—"))</f>
        <v/>
      </c>
      <c r="H191" s="88"/>
      <c r="I191" s="88"/>
    </row>
    <row r="192" spans="1:9" ht="13.15" x14ac:dyDescent="0.35">
      <c r="A192" s="434"/>
      <c r="B192" s="436"/>
      <c r="C192" s="437"/>
      <c r="D192" s="434"/>
      <c r="E192" s="93" t="str" cm="1">
        <f t="array" ref="E192">IF(D192&lt;&gt;"",IFERROR(VLOOKUP(D192,Codes!$K$2:$L$409,2,FALSE),"UNKNOWN - "&amp;D192),IF(C192="","",IFERROR(_xlfn.IFS(ISNUMBER(SEARCH("broken button",C192)),"Break",ISNUMBER(SEARCH("broken handle",C192)),"Break",ISNUMBER(SEARCH("shipping damage",C192)),"Break",ISNUMBER(SEARCH("broken",C192)),"Break",ISNUMBER(SEARCH("crack",C192)),"Break",ISNUMBER(SEARCH("snap",C192)),"Break",ISNUMBER(SEARCH("fracture",C192)),"Break",ISNUMBER(SEARCH("bent",C192)),"Material Twisted/Bent",ISNUMBER(SEARCH("twisted",C192)),"Material Twisted/Bent",ISNUMBER(SEARCH("component separat",C192)),"Material Separation",ISNUMBER(SEARCH("separat",C192)),"Material Separation",ISNUMBER(SEARCH("connection",C192)),"Loose or Intermittent Connection",ISNUMBER(SEARCH("loose",C192)),"Loose or Intermittent Connection",ISNUMBER(SEARCH("damaged packaging",C192)),"Packaging Problem",ISNUMBER(SEARCH("packaging",C192)),"Packaging Problem",ISNUMBER(SEARCH("discoloration",C192)),"Contamination",ISNUMBER(SEARCH("tarnish",C192)),"Contamination",ISNUMBER(SEARCH("stain",C192)),"Contamination",ISNUMBER(SEARCH("foreign material",C192)),"Contamination",ISNUMBER(SEARCH("contamina",C192)),"Contamination",ISNUMBER(SEARCH("overheat",C192)),"Overheating of Device",ISNUMBER(SEARCH("excessive heat",C192)),"Overheating of Device",ISNUMBER(SEARCH("hot",C192)),"Overheating of Device",ISNUMBER(SEARCH("noise",C192)),"Noise, Audible",ISNUMBER(SEARCH("sound",C192)),"Noise, Audible",ISNUMBER(SEARCH("loud",C192)),"Noise, Audible",ISNUMBER(SEARCH("fray",C192)),"Material Frayed",ISNUMBER(SEARCH("hole",C192)),"Material Frayed",ISNUMBER(SEARCH("tear",C192)),"Material Frayed",ISNUMBER(SEARCH("worn",C192)),"Material Frayed",ISNUMBER(SEARCH("intermittent",C192)),"Difficult or Delayed Activation",ISNUMBER(SEARCH("delay",C192)),"Difficult or Delayed Activation",ISNUMBER(SEARCH("label",C192)),"Device Markings/Labelling Problem",ISNUMBER(SEARCH("marking",C192)),"Device Markings/Labelling Problem",ISNUMBER(SEARCH("lacerat",C192)),"Defective Device",ISNUMBER(SEARCH("cut",C192)),"Defective Device",ISNUMBER(SEARCH("leak",C192)),"Fluid/Blood Leak",ISNUMBER(SEARCH("missing",C192)),"Component Missing",ISNUMBER(SEARCH("power",C192)),"Complete Loss of Power",ISNUMBER(SEARCH("will not turn on",C192)),"Complete Loss of Power",ISNUMBER(SEARCH("won't turn on",C192)),"Complete Loss of Power",ISNUMBER(SEARCH("does not turn on",C192)),"Complete Loss of Power",ISNUMBER(SEARCH("electrical",C192)),"Electrical Power Problem",ISNUMBER(SEARCH("pressure",C192)),"Detachment of Device or Device Component",ISNUMBER(SEARCH("slip",C192)),"Detachment of Device or Device Component",ISNUMBER(SEARCH("detach",C192)),"Detachment of Device or Device Component",ISNUMBER(SEARCH("stick",C192)),"Mechanical Jam",ISNUMBER(SEARCH("jam",C192)),"Mechanical Jam",ISNUMBER(SEARCH("rigid",C192)),"Mechanical Jam",ISNUMBER(SEARCH("rust",C192)),"Corroded",ISNUMBER(SEARCH("corrod",C192)),"Corroded",ISNUMBER(SEARCH("corrosion",C192)),"Corroded",ISNUMBER(SEARCH("alignment",C192)),"Defective Device",ISNUMBER(SEARCH("adjust",C192)),"Defective Device",ISNUMBER(SEARCH("perform",C192)),"Defective Device",ISNUMBER(SEARCH("malfunction",C192)),"Defective Device",ISNUMBER(SEARCH("defect",C192)),"Defective Device",ISNUMBER(SEARCH("fail",C192)),"Defective Device",ISNUMBER(SEARCH("not work",C192)),"Defective Device",ISNUMBER(SEARCH("doesn't work",C192)),"Defective Device",TRUE,"UNKNOWN"),"UNKNOWN")))</f>
        <v/>
      </c>
      <c r="F192" s="4" t="str">
        <f t="shared" si="2"/>
        <v/>
      </c>
      <c r="G192" s="363" t="str">
        <f>IF(E192="","",IFERROR(VLOOKUP(E192,Codes!$L$2:$N$409,3,FALSE),"—"))</f>
        <v/>
      </c>
      <c r="H192" s="88"/>
      <c r="I192" s="88"/>
    </row>
    <row r="193" spans="1:9" ht="13.15" x14ac:dyDescent="0.35">
      <c r="A193" s="435"/>
      <c r="B193" s="436"/>
      <c r="C193" s="438"/>
      <c r="D193" s="435"/>
      <c r="E193" s="93" t="str" cm="1">
        <f t="array" ref="E193">IF(D193&lt;&gt;"",IFERROR(VLOOKUP(D193,Codes!$K$2:$L$409,2,FALSE),"UNKNOWN - "&amp;D193),IF(C193="","",IFERROR(_xlfn.IFS(ISNUMBER(SEARCH("broken button",C193)),"Break",ISNUMBER(SEARCH("broken handle",C193)),"Break",ISNUMBER(SEARCH("shipping damage",C193)),"Break",ISNUMBER(SEARCH("broken",C193)),"Break",ISNUMBER(SEARCH("crack",C193)),"Break",ISNUMBER(SEARCH("snap",C193)),"Break",ISNUMBER(SEARCH("fracture",C193)),"Break",ISNUMBER(SEARCH("bent",C193)),"Material Twisted/Bent",ISNUMBER(SEARCH("twisted",C193)),"Material Twisted/Bent",ISNUMBER(SEARCH("component separat",C193)),"Material Separation",ISNUMBER(SEARCH("separat",C193)),"Material Separation",ISNUMBER(SEARCH("connection",C193)),"Loose or Intermittent Connection",ISNUMBER(SEARCH("loose",C193)),"Loose or Intermittent Connection",ISNUMBER(SEARCH("damaged packaging",C193)),"Packaging Problem",ISNUMBER(SEARCH("packaging",C193)),"Packaging Problem",ISNUMBER(SEARCH("discoloration",C193)),"Contamination",ISNUMBER(SEARCH("tarnish",C193)),"Contamination",ISNUMBER(SEARCH("stain",C193)),"Contamination",ISNUMBER(SEARCH("foreign material",C193)),"Contamination",ISNUMBER(SEARCH("contamina",C193)),"Contamination",ISNUMBER(SEARCH("overheat",C193)),"Overheating of Device",ISNUMBER(SEARCH("excessive heat",C193)),"Overheating of Device",ISNUMBER(SEARCH("hot",C193)),"Overheating of Device",ISNUMBER(SEARCH("noise",C193)),"Noise, Audible",ISNUMBER(SEARCH("sound",C193)),"Noise, Audible",ISNUMBER(SEARCH("loud",C193)),"Noise, Audible",ISNUMBER(SEARCH("fray",C193)),"Material Frayed",ISNUMBER(SEARCH("hole",C193)),"Material Frayed",ISNUMBER(SEARCH("tear",C193)),"Material Frayed",ISNUMBER(SEARCH("worn",C193)),"Material Frayed",ISNUMBER(SEARCH("intermittent",C193)),"Difficult or Delayed Activation",ISNUMBER(SEARCH("delay",C193)),"Difficult or Delayed Activation",ISNUMBER(SEARCH("label",C193)),"Device Markings/Labelling Problem",ISNUMBER(SEARCH("marking",C193)),"Device Markings/Labelling Problem",ISNUMBER(SEARCH("lacerat",C193)),"Defective Device",ISNUMBER(SEARCH("cut",C193)),"Defective Device",ISNUMBER(SEARCH("leak",C193)),"Fluid/Blood Leak",ISNUMBER(SEARCH("missing",C193)),"Component Missing",ISNUMBER(SEARCH("power",C193)),"Complete Loss of Power",ISNUMBER(SEARCH("will not turn on",C193)),"Complete Loss of Power",ISNUMBER(SEARCH("won't turn on",C193)),"Complete Loss of Power",ISNUMBER(SEARCH("does not turn on",C193)),"Complete Loss of Power",ISNUMBER(SEARCH("electrical",C193)),"Electrical Power Problem",ISNUMBER(SEARCH("pressure",C193)),"Detachment of Device or Device Component",ISNUMBER(SEARCH("slip",C193)),"Detachment of Device or Device Component",ISNUMBER(SEARCH("detach",C193)),"Detachment of Device or Device Component",ISNUMBER(SEARCH("stick",C193)),"Mechanical Jam",ISNUMBER(SEARCH("jam",C193)),"Mechanical Jam",ISNUMBER(SEARCH("rigid",C193)),"Mechanical Jam",ISNUMBER(SEARCH("rust",C193)),"Corroded",ISNUMBER(SEARCH("corrod",C193)),"Corroded",ISNUMBER(SEARCH("corrosion",C193)),"Corroded",ISNUMBER(SEARCH("alignment",C193)),"Defective Device",ISNUMBER(SEARCH("adjust",C193)),"Defective Device",ISNUMBER(SEARCH("perform",C193)),"Defective Device",ISNUMBER(SEARCH("malfunction",C193)),"Defective Device",ISNUMBER(SEARCH("defect",C193)),"Defective Device",ISNUMBER(SEARCH("fail",C193)),"Defective Device",ISNUMBER(SEARCH("not work",C193)),"Defective Device",ISNUMBER(SEARCH("doesn't work",C193)),"Defective Device",TRUE,"UNKNOWN"),"UNKNOWN")))</f>
        <v/>
      </c>
      <c r="F193" s="4" t="str">
        <f t="shared" si="2"/>
        <v/>
      </c>
      <c r="G193" s="363" t="str">
        <f>IF(E193="","",IFERROR(VLOOKUP(E193,Codes!$L$2:$N$409,3,FALSE),"—"))</f>
        <v/>
      </c>
      <c r="H193" s="88"/>
      <c r="I193" s="88"/>
    </row>
    <row r="194" spans="1:9" ht="13.15" x14ac:dyDescent="0.35">
      <c r="A194" s="435"/>
      <c r="B194" s="436"/>
      <c r="C194" s="438"/>
      <c r="D194" s="435"/>
      <c r="E194" s="93" t="str" cm="1">
        <f t="array" ref="E194">IF(D194&lt;&gt;"",IFERROR(VLOOKUP(D194,Codes!$K$2:$L$409,2,FALSE),"UNKNOWN - "&amp;D194),IF(C194="","",IFERROR(_xlfn.IFS(ISNUMBER(SEARCH("broken button",C194)),"Break",ISNUMBER(SEARCH("broken handle",C194)),"Break",ISNUMBER(SEARCH("shipping damage",C194)),"Break",ISNUMBER(SEARCH("broken",C194)),"Break",ISNUMBER(SEARCH("crack",C194)),"Break",ISNUMBER(SEARCH("snap",C194)),"Break",ISNUMBER(SEARCH("fracture",C194)),"Break",ISNUMBER(SEARCH("bent",C194)),"Material Twisted/Bent",ISNUMBER(SEARCH("twisted",C194)),"Material Twisted/Bent",ISNUMBER(SEARCH("component separat",C194)),"Material Separation",ISNUMBER(SEARCH("separat",C194)),"Material Separation",ISNUMBER(SEARCH("connection",C194)),"Loose or Intermittent Connection",ISNUMBER(SEARCH("loose",C194)),"Loose or Intermittent Connection",ISNUMBER(SEARCH("damaged packaging",C194)),"Packaging Problem",ISNUMBER(SEARCH("packaging",C194)),"Packaging Problem",ISNUMBER(SEARCH("discoloration",C194)),"Contamination",ISNUMBER(SEARCH("tarnish",C194)),"Contamination",ISNUMBER(SEARCH("stain",C194)),"Contamination",ISNUMBER(SEARCH("foreign material",C194)),"Contamination",ISNUMBER(SEARCH("contamina",C194)),"Contamination",ISNUMBER(SEARCH("overheat",C194)),"Overheating of Device",ISNUMBER(SEARCH("excessive heat",C194)),"Overheating of Device",ISNUMBER(SEARCH("hot",C194)),"Overheating of Device",ISNUMBER(SEARCH("noise",C194)),"Noise, Audible",ISNUMBER(SEARCH("sound",C194)),"Noise, Audible",ISNUMBER(SEARCH("loud",C194)),"Noise, Audible",ISNUMBER(SEARCH("fray",C194)),"Material Frayed",ISNUMBER(SEARCH("hole",C194)),"Material Frayed",ISNUMBER(SEARCH("tear",C194)),"Material Frayed",ISNUMBER(SEARCH("worn",C194)),"Material Frayed",ISNUMBER(SEARCH("intermittent",C194)),"Difficult or Delayed Activation",ISNUMBER(SEARCH("delay",C194)),"Difficult or Delayed Activation",ISNUMBER(SEARCH("label",C194)),"Device Markings/Labelling Problem",ISNUMBER(SEARCH("marking",C194)),"Device Markings/Labelling Problem",ISNUMBER(SEARCH("lacerat",C194)),"Defective Device",ISNUMBER(SEARCH("cut",C194)),"Defective Device",ISNUMBER(SEARCH("leak",C194)),"Fluid/Blood Leak",ISNUMBER(SEARCH("missing",C194)),"Component Missing",ISNUMBER(SEARCH("power",C194)),"Complete Loss of Power",ISNUMBER(SEARCH("will not turn on",C194)),"Complete Loss of Power",ISNUMBER(SEARCH("won't turn on",C194)),"Complete Loss of Power",ISNUMBER(SEARCH("does not turn on",C194)),"Complete Loss of Power",ISNUMBER(SEARCH("electrical",C194)),"Electrical Power Problem",ISNUMBER(SEARCH("pressure",C194)),"Detachment of Device or Device Component",ISNUMBER(SEARCH("slip",C194)),"Detachment of Device or Device Component",ISNUMBER(SEARCH("detach",C194)),"Detachment of Device or Device Component",ISNUMBER(SEARCH("stick",C194)),"Mechanical Jam",ISNUMBER(SEARCH("jam",C194)),"Mechanical Jam",ISNUMBER(SEARCH("rigid",C194)),"Mechanical Jam",ISNUMBER(SEARCH("rust",C194)),"Corroded",ISNUMBER(SEARCH("corrod",C194)),"Corroded",ISNUMBER(SEARCH("corrosion",C194)),"Corroded",ISNUMBER(SEARCH("alignment",C194)),"Defective Device",ISNUMBER(SEARCH("adjust",C194)),"Defective Device",ISNUMBER(SEARCH("perform",C194)),"Defective Device",ISNUMBER(SEARCH("malfunction",C194)),"Defective Device",ISNUMBER(SEARCH("defect",C194)),"Defective Device",ISNUMBER(SEARCH("fail",C194)),"Defective Device",ISNUMBER(SEARCH("not work",C194)),"Defective Device",ISNUMBER(SEARCH("doesn't work",C194)),"Defective Device",TRUE,"UNKNOWN"),"UNKNOWN")))</f>
        <v/>
      </c>
      <c r="F194" s="4" t="str">
        <f t="shared" si="2"/>
        <v/>
      </c>
      <c r="G194" s="363" t="str">
        <f>IF(E194="","",IFERROR(VLOOKUP(E194,Codes!$L$2:$N$409,3,FALSE),"—"))</f>
        <v/>
      </c>
      <c r="H194" s="88"/>
      <c r="I194" s="88"/>
    </row>
    <row r="195" spans="1:9" ht="13.15" x14ac:dyDescent="0.35">
      <c r="A195" s="434"/>
      <c r="B195" s="436"/>
      <c r="C195" s="437"/>
      <c r="D195" s="434"/>
      <c r="E195" s="93" t="str" cm="1">
        <f t="array" ref="E195">IF(D195&lt;&gt;"",IFERROR(VLOOKUP(D195,Codes!$K$2:$L$409,2,FALSE),"UNKNOWN - "&amp;D195),IF(C195="","",IFERROR(_xlfn.IFS(ISNUMBER(SEARCH("broken button",C195)),"Break",ISNUMBER(SEARCH("broken handle",C195)),"Break",ISNUMBER(SEARCH("shipping damage",C195)),"Break",ISNUMBER(SEARCH("broken",C195)),"Break",ISNUMBER(SEARCH("crack",C195)),"Break",ISNUMBER(SEARCH("snap",C195)),"Break",ISNUMBER(SEARCH("fracture",C195)),"Break",ISNUMBER(SEARCH("bent",C195)),"Material Twisted/Bent",ISNUMBER(SEARCH("twisted",C195)),"Material Twisted/Bent",ISNUMBER(SEARCH("component separat",C195)),"Material Separation",ISNUMBER(SEARCH("separat",C195)),"Material Separation",ISNUMBER(SEARCH("connection",C195)),"Loose or Intermittent Connection",ISNUMBER(SEARCH("loose",C195)),"Loose or Intermittent Connection",ISNUMBER(SEARCH("damaged packaging",C195)),"Packaging Problem",ISNUMBER(SEARCH("packaging",C195)),"Packaging Problem",ISNUMBER(SEARCH("discoloration",C195)),"Contamination",ISNUMBER(SEARCH("tarnish",C195)),"Contamination",ISNUMBER(SEARCH("stain",C195)),"Contamination",ISNUMBER(SEARCH("foreign material",C195)),"Contamination",ISNUMBER(SEARCH("contamina",C195)),"Contamination",ISNUMBER(SEARCH("overheat",C195)),"Overheating of Device",ISNUMBER(SEARCH("excessive heat",C195)),"Overheating of Device",ISNUMBER(SEARCH("hot",C195)),"Overheating of Device",ISNUMBER(SEARCH("noise",C195)),"Noise, Audible",ISNUMBER(SEARCH("sound",C195)),"Noise, Audible",ISNUMBER(SEARCH("loud",C195)),"Noise, Audible",ISNUMBER(SEARCH("fray",C195)),"Material Frayed",ISNUMBER(SEARCH("hole",C195)),"Material Frayed",ISNUMBER(SEARCH("tear",C195)),"Material Frayed",ISNUMBER(SEARCH("worn",C195)),"Material Frayed",ISNUMBER(SEARCH("intermittent",C195)),"Difficult or Delayed Activation",ISNUMBER(SEARCH("delay",C195)),"Difficult or Delayed Activation",ISNUMBER(SEARCH("label",C195)),"Device Markings/Labelling Problem",ISNUMBER(SEARCH("marking",C195)),"Device Markings/Labelling Problem",ISNUMBER(SEARCH("lacerat",C195)),"Defective Device",ISNUMBER(SEARCH("cut",C195)),"Defective Device",ISNUMBER(SEARCH("leak",C195)),"Fluid/Blood Leak",ISNUMBER(SEARCH("missing",C195)),"Component Missing",ISNUMBER(SEARCH("power",C195)),"Complete Loss of Power",ISNUMBER(SEARCH("will not turn on",C195)),"Complete Loss of Power",ISNUMBER(SEARCH("won't turn on",C195)),"Complete Loss of Power",ISNUMBER(SEARCH("does not turn on",C195)),"Complete Loss of Power",ISNUMBER(SEARCH("electrical",C195)),"Electrical Power Problem",ISNUMBER(SEARCH("pressure",C195)),"Detachment of Device or Device Component",ISNUMBER(SEARCH("slip",C195)),"Detachment of Device or Device Component",ISNUMBER(SEARCH("detach",C195)),"Detachment of Device or Device Component",ISNUMBER(SEARCH("stick",C195)),"Mechanical Jam",ISNUMBER(SEARCH("jam",C195)),"Mechanical Jam",ISNUMBER(SEARCH("rigid",C195)),"Mechanical Jam",ISNUMBER(SEARCH("rust",C195)),"Corroded",ISNUMBER(SEARCH("corrod",C195)),"Corroded",ISNUMBER(SEARCH("corrosion",C195)),"Corroded",ISNUMBER(SEARCH("alignment",C195)),"Defective Device",ISNUMBER(SEARCH("adjust",C195)),"Defective Device",ISNUMBER(SEARCH("perform",C195)),"Defective Device",ISNUMBER(SEARCH("malfunction",C195)),"Defective Device",ISNUMBER(SEARCH("defect",C195)),"Defective Device",ISNUMBER(SEARCH("fail",C195)),"Defective Device",ISNUMBER(SEARCH("not work",C195)),"Defective Device",ISNUMBER(SEARCH("doesn't work",C195)),"Defective Device",TRUE,"UNKNOWN"),"UNKNOWN")))</f>
        <v/>
      </c>
      <c r="F195" s="4" t="str">
        <f t="shared" ref="F195:F258" si="3">IF(E195="","","No Clinical Signs, Symptoms or Conditions")</f>
        <v/>
      </c>
      <c r="G195" s="363" t="str">
        <f>IF(E195="","",IFERROR(VLOOKUP(E195,Codes!$L$2:$N$409,3,FALSE),"—"))</f>
        <v/>
      </c>
      <c r="H195" s="88"/>
      <c r="I195" s="88"/>
    </row>
    <row r="196" spans="1:9" ht="13.15" x14ac:dyDescent="0.35">
      <c r="A196" s="434"/>
      <c r="B196" s="436"/>
      <c r="C196" s="437"/>
      <c r="D196" s="434"/>
      <c r="E196" s="93" t="str" cm="1">
        <f t="array" ref="E196">IF(D196&lt;&gt;"",IFERROR(VLOOKUP(D196,Codes!$K$2:$L$409,2,FALSE),"UNKNOWN - "&amp;D196),IF(C196="","",IFERROR(_xlfn.IFS(ISNUMBER(SEARCH("broken button",C196)),"Break",ISNUMBER(SEARCH("broken handle",C196)),"Break",ISNUMBER(SEARCH("shipping damage",C196)),"Break",ISNUMBER(SEARCH("broken",C196)),"Break",ISNUMBER(SEARCH("crack",C196)),"Break",ISNUMBER(SEARCH("snap",C196)),"Break",ISNUMBER(SEARCH("fracture",C196)),"Break",ISNUMBER(SEARCH("bent",C196)),"Material Twisted/Bent",ISNUMBER(SEARCH("twisted",C196)),"Material Twisted/Bent",ISNUMBER(SEARCH("component separat",C196)),"Material Separation",ISNUMBER(SEARCH("separat",C196)),"Material Separation",ISNUMBER(SEARCH("connection",C196)),"Loose or Intermittent Connection",ISNUMBER(SEARCH("loose",C196)),"Loose or Intermittent Connection",ISNUMBER(SEARCH("damaged packaging",C196)),"Packaging Problem",ISNUMBER(SEARCH("packaging",C196)),"Packaging Problem",ISNUMBER(SEARCH("discoloration",C196)),"Contamination",ISNUMBER(SEARCH("tarnish",C196)),"Contamination",ISNUMBER(SEARCH("stain",C196)),"Contamination",ISNUMBER(SEARCH("foreign material",C196)),"Contamination",ISNUMBER(SEARCH("contamina",C196)),"Contamination",ISNUMBER(SEARCH("overheat",C196)),"Overheating of Device",ISNUMBER(SEARCH("excessive heat",C196)),"Overheating of Device",ISNUMBER(SEARCH("hot",C196)),"Overheating of Device",ISNUMBER(SEARCH("noise",C196)),"Noise, Audible",ISNUMBER(SEARCH("sound",C196)),"Noise, Audible",ISNUMBER(SEARCH("loud",C196)),"Noise, Audible",ISNUMBER(SEARCH("fray",C196)),"Material Frayed",ISNUMBER(SEARCH("hole",C196)),"Material Frayed",ISNUMBER(SEARCH("tear",C196)),"Material Frayed",ISNUMBER(SEARCH("worn",C196)),"Material Frayed",ISNUMBER(SEARCH("intermittent",C196)),"Difficult or Delayed Activation",ISNUMBER(SEARCH("delay",C196)),"Difficult or Delayed Activation",ISNUMBER(SEARCH("label",C196)),"Device Markings/Labelling Problem",ISNUMBER(SEARCH("marking",C196)),"Device Markings/Labelling Problem",ISNUMBER(SEARCH("lacerat",C196)),"Defective Device",ISNUMBER(SEARCH("cut",C196)),"Defective Device",ISNUMBER(SEARCH("leak",C196)),"Fluid/Blood Leak",ISNUMBER(SEARCH("missing",C196)),"Component Missing",ISNUMBER(SEARCH("power",C196)),"Complete Loss of Power",ISNUMBER(SEARCH("will not turn on",C196)),"Complete Loss of Power",ISNUMBER(SEARCH("won't turn on",C196)),"Complete Loss of Power",ISNUMBER(SEARCH("does not turn on",C196)),"Complete Loss of Power",ISNUMBER(SEARCH("electrical",C196)),"Electrical Power Problem",ISNUMBER(SEARCH("pressure",C196)),"Detachment of Device or Device Component",ISNUMBER(SEARCH("slip",C196)),"Detachment of Device or Device Component",ISNUMBER(SEARCH("detach",C196)),"Detachment of Device or Device Component",ISNUMBER(SEARCH("stick",C196)),"Mechanical Jam",ISNUMBER(SEARCH("jam",C196)),"Mechanical Jam",ISNUMBER(SEARCH("rigid",C196)),"Mechanical Jam",ISNUMBER(SEARCH("rust",C196)),"Corroded",ISNUMBER(SEARCH("corrod",C196)),"Corroded",ISNUMBER(SEARCH("corrosion",C196)),"Corroded",ISNUMBER(SEARCH("alignment",C196)),"Defective Device",ISNUMBER(SEARCH("adjust",C196)),"Defective Device",ISNUMBER(SEARCH("perform",C196)),"Defective Device",ISNUMBER(SEARCH("malfunction",C196)),"Defective Device",ISNUMBER(SEARCH("defect",C196)),"Defective Device",ISNUMBER(SEARCH("fail",C196)),"Defective Device",ISNUMBER(SEARCH("not work",C196)),"Defective Device",ISNUMBER(SEARCH("doesn't work",C196)),"Defective Device",TRUE,"UNKNOWN"),"UNKNOWN")))</f>
        <v/>
      </c>
      <c r="F196" s="4" t="str">
        <f t="shared" si="3"/>
        <v/>
      </c>
      <c r="G196" s="363" t="str">
        <f>IF(E196="","",IFERROR(VLOOKUP(E196,Codes!$L$2:$N$409,3,FALSE),"—"))</f>
        <v/>
      </c>
      <c r="H196" s="88"/>
      <c r="I196" s="88"/>
    </row>
    <row r="197" spans="1:9" ht="13.15" x14ac:dyDescent="0.35">
      <c r="A197" s="435"/>
      <c r="B197" s="436"/>
      <c r="C197" s="438"/>
      <c r="D197" s="435"/>
      <c r="E197" s="93" t="str" cm="1">
        <f t="array" ref="E197">IF(D197&lt;&gt;"",IFERROR(VLOOKUP(D197,Codes!$K$2:$L$409,2,FALSE),"UNKNOWN - "&amp;D197),IF(C197="","",IFERROR(_xlfn.IFS(ISNUMBER(SEARCH("broken button",C197)),"Break",ISNUMBER(SEARCH("broken handle",C197)),"Break",ISNUMBER(SEARCH("shipping damage",C197)),"Break",ISNUMBER(SEARCH("broken",C197)),"Break",ISNUMBER(SEARCH("crack",C197)),"Break",ISNUMBER(SEARCH("snap",C197)),"Break",ISNUMBER(SEARCH("fracture",C197)),"Break",ISNUMBER(SEARCH("bent",C197)),"Material Twisted/Bent",ISNUMBER(SEARCH("twisted",C197)),"Material Twisted/Bent",ISNUMBER(SEARCH("component separat",C197)),"Material Separation",ISNUMBER(SEARCH("separat",C197)),"Material Separation",ISNUMBER(SEARCH("connection",C197)),"Loose or Intermittent Connection",ISNUMBER(SEARCH("loose",C197)),"Loose or Intermittent Connection",ISNUMBER(SEARCH("damaged packaging",C197)),"Packaging Problem",ISNUMBER(SEARCH("packaging",C197)),"Packaging Problem",ISNUMBER(SEARCH("discoloration",C197)),"Contamination",ISNUMBER(SEARCH("tarnish",C197)),"Contamination",ISNUMBER(SEARCH("stain",C197)),"Contamination",ISNUMBER(SEARCH("foreign material",C197)),"Contamination",ISNUMBER(SEARCH("contamina",C197)),"Contamination",ISNUMBER(SEARCH("overheat",C197)),"Overheating of Device",ISNUMBER(SEARCH("excessive heat",C197)),"Overheating of Device",ISNUMBER(SEARCH("hot",C197)),"Overheating of Device",ISNUMBER(SEARCH("noise",C197)),"Noise, Audible",ISNUMBER(SEARCH("sound",C197)),"Noise, Audible",ISNUMBER(SEARCH("loud",C197)),"Noise, Audible",ISNUMBER(SEARCH("fray",C197)),"Material Frayed",ISNUMBER(SEARCH("hole",C197)),"Material Frayed",ISNUMBER(SEARCH("tear",C197)),"Material Frayed",ISNUMBER(SEARCH("worn",C197)),"Material Frayed",ISNUMBER(SEARCH("intermittent",C197)),"Difficult or Delayed Activation",ISNUMBER(SEARCH("delay",C197)),"Difficult or Delayed Activation",ISNUMBER(SEARCH("label",C197)),"Device Markings/Labelling Problem",ISNUMBER(SEARCH("marking",C197)),"Device Markings/Labelling Problem",ISNUMBER(SEARCH("lacerat",C197)),"Defective Device",ISNUMBER(SEARCH("cut",C197)),"Defective Device",ISNUMBER(SEARCH("leak",C197)),"Fluid/Blood Leak",ISNUMBER(SEARCH("missing",C197)),"Component Missing",ISNUMBER(SEARCH("power",C197)),"Complete Loss of Power",ISNUMBER(SEARCH("will not turn on",C197)),"Complete Loss of Power",ISNUMBER(SEARCH("won't turn on",C197)),"Complete Loss of Power",ISNUMBER(SEARCH("does not turn on",C197)),"Complete Loss of Power",ISNUMBER(SEARCH("electrical",C197)),"Electrical Power Problem",ISNUMBER(SEARCH("pressure",C197)),"Detachment of Device or Device Component",ISNUMBER(SEARCH("slip",C197)),"Detachment of Device or Device Component",ISNUMBER(SEARCH("detach",C197)),"Detachment of Device or Device Component",ISNUMBER(SEARCH("stick",C197)),"Mechanical Jam",ISNUMBER(SEARCH("jam",C197)),"Mechanical Jam",ISNUMBER(SEARCH("rigid",C197)),"Mechanical Jam",ISNUMBER(SEARCH("rust",C197)),"Corroded",ISNUMBER(SEARCH("corrod",C197)),"Corroded",ISNUMBER(SEARCH("corrosion",C197)),"Corroded",ISNUMBER(SEARCH("alignment",C197)),"Defective Device",ISNUMBER(SEARCH("adjust",C197)),"Defective Device",ISNUMBER(SEARCH("perform",C197)),"Defective Device",ISNUMBER(SEARCH("malfunction",C197)),"Defective Device",ISNUMBER(SEARCH("defect",C197)),"Defective Device",ISNUMBER(SEARCH("fail",C197)),"Defective Device",ISNUMBER(SEARCH("not work",C197)),"Defective Device",ISNUMBER(SEARCH("doesn't work",C197)),"Defective Device",TRUE,"UNKNOWN"),"UNKNOWN")))</f>
        <v/>
      </c>
      <c r="F197" s="4" t="str">
        <f t="shared" si="3"/>
        <v/>
      </c>
      <c r="G197" s="363" t="str">
        <f>IF(E197="","",IFERROR(VLOOKUP(E197,Codes!$L$2:$N$409,3,FALSE),"—"))</f>
        <v/>
      </c>
      <c r="H197" s="88"/>
      <c r="I197" s="88"/>
    </row>
    <row r="198" spans="1:9" ht="13.15" x14ac:dyDescent="0.35">
      <c r="A198" s="435"/>
      <c r="B198" s="436"/>
      <c r="C198" s="438"/>
      <c r="D198" s="435"/>
      <c r="E198" s="93" t="str" cm="1">
        <f t="array" ref="E198">IF(D198&lt;&gt;"",IFERROR(VLOOKUP(D198,Codes!$K$2:$L$409,2,FALSE),"UNKNOWN - "&amp;D198),IF(C198="","",IFERROR(_xlfn.IFS(ISNUMBER(SEARCH("broken button",C198)),"Break",ISNUMBER(SEARCH("broken handle",C198)),"Break",ISNUMBER(SEARCH("shipping damage",C198)),"Break",ISNUMBER(SEARCH("broken",C198)),"Break",ISNUMBER(SEARCH("crack",C198)),"Break",ISNUMBER(SEARCH("snap",C198)),"Break",ISNUMBER(SEARCH("fracture",C198)),"Break",ISNUMBER(SEARCH("bent",C198)),"Material Twisted/Bent",ISNUMBER(SEARCH("twisted",C198)),"Material Twisted/Bent",ISNUMBER(SEARCH("component separat",C198)),"Material Separation",ISNUMBER(SEARCH("separat",C198)),"Material Separation",ISNUMBER(SEARCH("connection",C198)),"Loose or Intermittent Connection",ISNUMBER(SEARCH("loose",C198)),"Loose or Intermittent Connection",ISNUMBER(SEARCH("damaged packaging",C198)),"Packaging Problem",ISNUMBER(SEARCH("packaging",C198)),"Packaging Problem",ISNUMBER(SEARCH("discoloration",C198)),"Contamination",ISNUMBER(SEARCH("tarnish",C198)),"Contamination",ISNUMBER(SEARCH("stain",C198)),"Contamination",ISNUMBER(SEARCH("foreign material",C198)),"Contamination",ISNUMBER(SEARCH("contamina",C198)),"Contamination",ISNUMBER(SEARCH("overheat",C198)),"Overheating of Device",ISNUMBER(SEARCH("excessive heat",C198)),"Overheating of Device",ISNUMBER(SEARCH("hot",C198)),"Overheating of Device",ISNUMBER(SEARCH("noise",C198)),"Noise, Audible",ISNUMBER(SEARCH("sound",C198)),"Noise, Audible",ISNUMBER(SEARCH("loud",C198)),"Noise, Audible",ISNUMBER(SEARCH("fray",C198)),"Material Frayed",ISNUMBER(SEARCH("hole",C198)),"Material Frayed",ISNUMBER(SEARCH("tear",C198)),"Material Frayed",ISNUMBER(SEARCH("worn",C198)),"Material Frayed",ISNUMBER(SEARCH("intermittent",C198)),"Difficult or Delayed Activation",ISNUMBER(SEARCH("delay",C198)),"Difficult or Delayed Activation",ISNUMBER(SEARCH("label",C198)),"Device Markings/Labelling Problem",ISNUMBER(SEARCH("marking",C198)),"Device Markings/Labelling Problem",ISNUMBER(SEARCH("lacerat",C198)),"Defective Device",ISNUMBER(SEARCH("cut",C198)),"Defective Device",ISNUMBER(SEARCH("leak",C198)),"Fluid/Blood Leak",ISNUMBER(SEARCH("missing",C198)),"Component Missing",ISNUMBER(SEARCH("power",C198)),"Complete Loss of Power",ISNUMBER(SEARCH("will not turn on",C198)),"Complete Loss of Power",ISNUMBER(SEARCH("won't turn on",C198)),"Complete Loss of Power",ISNUMBER(SEARCH("does not turn on",C198)),"Complete Loss of Power",ISNUMBER(SEARCH("electrical",C198)),"Electrical Power Problem",ISNUMBER(SEARCH("pressure",C198)),"Detachment of Device or Device Component",ISNUMBER(SEARCH("slip",C198)),"Detachment of Device or Device Component",ISNUMBER(SEARCH("detach",C198)),"Detachment of Device or Device Component",ISNUMBER(SEARCH("stick",C198)),"Mechanical Jam",ISNUMBER(SEARCH("jam",C198)),"Mechanical Jam",ISNUMBER(SEARCH("rigid",C198)),"Mechanical Jam",ISNUMBER(SEARCH("rust",C198)),"Corroded",ISNUMBER(SEARCH("corrod",C198)),"Corroded",ISNUMBER(SEARCH("corrosion",C198)),"Corroded",ISNUMBER(SEARCH("alignment",C198)),"Defective Device",ISNUMBER(SEARCH("adjust",C198)),"Defective Device",ISNUMBER(SEARCH("perform",C198)),"Defective Device",ISNUMBER(SEARCH("malfunction",C198)),"Defective Device",ISNUMBER(SEARCH("defect",C198)),"Defective Device",ISNUMBER(SEARCH("fail",C198)),"Defective Device",ISNUMBER(SEARCH("not work",C198)),"Defective Device",ISNUMBER(SEARCH("doesn't work",C198)),"Defective Device",TRUE,"UNKNOWN"),"UNKNOWN")))</f>
        <v/>
      </c>
      <c r="F198" s="4" t="str">
        <f t="shared" si="3"/>
        <v/>
      </c>
      <c r="G198" s="363" t="str">
        <f>IF(E198="","",IFERROR(VLOOKUP(E198,Codes!$L$2:$N$409,3,FALSE),"—"))</f>
        <v/>
      </c>
      <c r="H198" s="88"/>
      <c r="I198" s="88"/>
    </row>
    <row r="199" spans="1:9" ht="13.15" x14ac:dyDescent="0.35">
      <c r="A199" s="434"/>
      <c r="B199" s="436"/>
      <c r="C199" s="437"/>
      <c r="D199" s="434"/>
      <c r="E199" s="93" t="str" cm="1">
        <f t="array" ref="E199">IF(D199&lt;&gt;"",IFERROR(VLOOKUP(D199,Codes!$K$2:$L$409,2,FALSE),"UNKNOWN - "&amp;D199),IF(C199="","",IFERROR(_xlfn.IFS(ISNUMBER(SEARCH("broken button",C199)),"Break",ISNUMBER(SEARCH("broken handle",C199)),"Break",ISNUMBER(SEARCH("shipping damage",C199)),"Break",ISNUMBER(SEARCH("broken",C199)),"Break",ISNUMBER(SEARCH("crack",C199)),"Break",ISNUMBER(SEARCH("snap",C199)),"Break",ISNUMBER(SEARCH("fracture",C199)),"Break",ISNUMBER(SEARCH("bent",C199)),"Material Twisted/Bent",ISNUMBER(SEARCH("twisted",C199)),"Material Twisted/Bent",ISNUMBER(SEARCH("component separat",C199)),"Material Separation",ISNUMBER(SEARCH("separat",C199)),"Material Separation",ISNUMBER(SEARCH("connection",C199)),"Loose or Intermittent Connection",ISNUMBER(SEARCH("loose",C199)),"Loose or Intermittent Connection",ISNUMBER(SEARCH("damaged packaging",C199)),"Packaging Problem",ISNUMBER(SEARCH("packaging",C199)),"Packaging Problem",ISNUMBER(SEARCH("discoloration",C199)),"Contamination",ISNUMBER(SEARCH("tarnish",C199)),"Contamination",ISNUMBER(SEARCH("stain",C199)),"Contamination",ISNUMBER(SEARCH("foreign material",C199)),"Contamination",ISNUMBER(SEARCH("contamina",C199)),"Contamination",ISNUMBER(SEARCH("overheat",C199)),"Overheating of Device",ISNUMBER(SEARCH("excessive heat",C199)),"Overheating of Device",ISNUMBER(SEARCH("hot",C199)),"Overheating of Device",ISNUMBER(SEARCH("noise",C199)),"Noise, Audible",ISNUMBER(SEARCH("sound",C199)),"Noise, Audible",ISNUMBER(SEARCH("loud",C199)),"Noise, Audible",ISNUMBER(SEARCH("fray",C199)),"Material Frayed",ISNUMBER(SEARCH("hole",C199)),"Material Frayed",ISNUMBER(SEARCH("tear",C199)),"Material Frayed",ISNUMBER(SEARCH("worn",C199)),"Material Frayed",ISNUMBER(SEARCH("intermittent",C199)),"Difficult or Delayed Activation",ISNUMBER(SEARCH("delay",C199)),"Difficult or Delayed Activation",ISNUMBER(SEARCH("label",C199)),"Device Markings/Labelling Problem",ISNUMBER(SEARCH("marking",C199)),"Device Markings/Labelling Problem",ISNUMBER(SEARCH("lacerat",C199)),"Defective Device",ISNUMBER(SEARCH("cut",C199)),"Defective Device",ISNUMBER(SEARCH("leak",C199)),"Fluid/Blood Leak",ISNUMBER(SEARCH("missing",C199)),"Component Missing",ISNUMBER(SEARCH("power",C199)),"Complete Loss of Power",ISNUMBER(SEARCH("will not turn on",C199)),"Complete Loss of Power",ISNUMBER(SEARCH("won't turn on",C199)),"Complete Loss of Power",ISNUMBER(SEARCH("does not turn on",C199)),"Complete Loss of Power",ISNUMBER(SEARCH("electrical",C199)),"Electrical Power Problem",ISNUMBER(SEARCH("pressure",C199)),"Detachment of Device or Device Component",ISNUMBER(SEARCH("slip",C199)),"Detachment of Device or Device Component",ISNUMBER(SEARCH("detach",C199)),"Detachment of Device or Device Component",ISNUMBER(SEARCH("stick",C199)),"Mechanical Jam",ISNUMBER(SEARCH("jam",C199)),"Mechanical Jam",ISNUMBER(SEARCH("rigid",C199)),"Mechanical Jam",ISNUMBER(SEARCH("rust",C199)),"Corroded",ISNUMBER(SEARCH("corrod",C199)),"Corroded",ISNUMBER(SEARCH("corrosion",C199)),"Corroded",ISNUMBER(SEARCH("alignment",C199)),"Defective Device",ISNUMBER(SEARCH("adjust",C199)),"Defective Device",ISNUMBER(SEARCH("perform",C199)),"Defective Device",ISNUMBER(SEARCH("malfunction",C199)),"Defective Device",ISNUMBER(SEARCH("defect",C199)),"Defective Device",ISNUMBER(SEARCH("fail",C199)),"Defective Device",ISNUMBER(SEARCH("not work",C199)),"Defective Device",ISNUMBER(SEARCH("doesn't work",C199)),"Defective Device",TRUE,"UNKNOWN"),"UNKNOWN")))</f>
        <v/>
      </c>
      <c r="F199" s="4" t="str">
        <f t="shared" si="3"/>
        <v/>
      </c>
      <c r="G199" s="363" t="str">
        <f>IF(E199="","",IFERROR(VLOOKUP(E199,Codes!$L$2:$N$409,3,FALSE),"—"))</f>
        <v/>
      </c>
      <c r="H199" s="88"/>
      <c r="I199" s="88"/>
    </row>
    <row r="200" spans="1:9" ht="13.15" x14ac:dyDescent="0.35">
      <c r="A200" s="435"/>
      <c r="B200" s="436"/>
      <c r="C200" s="438"/>
      <c r="D200" s="435"/>
      <c r="E200" s="93" t="str" cm="1">
        <f t="array" ref="E200">IF(D200&lt;&gt;"",IFERROR(VLOOKUP(D200,Codes!$K$2:$L$409,2,FALSE),"UNKNOWN - "&amp;D200),IF(C200="","",IFERROR(_xlfn.IFS(ISNUMBER(SEARCH("broken button",C200)),"Break",ISNUMBER(SEARCH("broken handle",C200)),"Break",ISNUMBER(SEARCH("shipping damage",C200)),"Break",ISNUMBER(SEARCH("broken",C200)),"Break",ISNUMBER(SEARCH("crack",C200)),"Break",ISNUMBER(SEARCH("snap",C200)),"Break",ISNUMBER(SEARCH("fracture",C200)),"Break",ISNUMBER(SEARCH("bent",C200)),"Material Twisted/Bent",ISNUMBER(SEARCH("twisted",C200)),"Material Twisted/Bent",ISNUMBER(SEARCH("component separat",C200)),"Material Separation",ISNUMBER(SEARCH("separat",C200)),"Material Separation",ISNUMBER(SEARCH("connection",C200)),"Loose or Intermittent Connection",ISNUMBER(SEARCH("loose",C200)),"Loose or Intermittent Connection",ISNUMBER(SEARCH("damaged packaging",C200)),"Packaging Problem",ISNUMBER(SEARCH("packaging",C200)),"Packaging Problem",ISNUMBER(SEARCH("discoloration",C200)),"Contamination",ISNUMBER(SEARCH("tarnish",C200)),"Contamination",ISNUMBER(SEARCH("stain",C200)),"Contamination",ISNUMBER(SEARCH("foreign material",C200)),"Contamination",ISNUMBER(SEARCH("contamina",C200)),"Contamination",ISNUMBER(SEARCH("overheat",C200)),"Overheating of Device",ISNUMBER(SEARCH("excessive heat",C200)),"Overheating of Device",ISNUMBER(SEARCH("hot",C200)),"Overheating of Device",ISNUMBER(SEARCH("noise",C200)),"Noise, Audible",ISNUMBER(SEARCH("sound",C200)),"Noise, Audible",ISNUMBER(SEARCH("loud",C200)),"Noise, Audible",ISNUMBER(SEARCH("fray",C200)),"Material Frayed",ISNUMBER(SEARCH("hole",C200)),"Material Frayed",ISNUMBER(SEARCH("tear",C200)),"Material Frayed",ISNUMBER(SEARCH("worn",C200)),"Material Frayed",ISNUMBER(SEARCH("intermittent",C200)),"Difficult or Delayed Activation",ISNUMBER(SEARCH("delay",C200)),"Difficult or Delayed Activation",ISNUMBER(SEARCH("label",C200)),"Device Markings/Labelling Problem",ISNUMBER(SEARCH("marking",C200)),"Device Markings/Labelling Problem",ISNUMBER(SEARCH("lacerat",C200)),"Defective Device",ISNUMBER(SEARCH("cut",C200)),"Defective Device",ISNUMBER(SEARCH("leak",C200)),"Fluid/Blood Leak",ISNUMBER(SEARCH("missing",C200)),"Component Missing",ISNUMBER(SEARCH("power",C200)),"Complete Loss of Power",ISNUMBER(SEARCH("will not turn on",C200)),"Complete Loss of Power",ISNUMBER(SEARCH("won't turn on",C200)),"Complete Loss of Power",ISNUMBER(SEARCH("does not turn on",C200)),"Complete Loss of Power",ISNUMBER(SEARCH("electrical",C200)),"Electrical Power Problem",ISNUMBER(SEARCH("pressure",C200)),"Detachment of Device or Device Component",ISNUMBER(SEARCH("slip",C200)),"Detachment of Device or Device Component",ISNUMBER(SEARCH("detach",C200)),"Detachment of Device or Device Component",ISNUMBER(SEARCH("stick",C200)),"Mechanical Jam",ISNUMBER(SEARCH("jam",C200)),"Mechanical Jam",ISNUMBER(SEARCH("rigid",C200)),"Mechanical Jam",ISNUMBER(SEARCH("rust",C200)),"Corroded",ISNUMBER(SEARCH("corrod",C200)),"Corroded",ISNUMBER(SEARCH("corrosion",C200)),"Corroded",ISNUMBER(SEARCH("alignment",C200)),"Defective Device",ISNUMBER(SEARCH("adjust",C200)),"Defective Device",ISNUMBER(SEARCH("perform",C200)),"Defective Device",ISNUMBER(SEARCH("malfunction",C200)),"Defective Device",ISNUMBER(SEARCH("defect",C200)),"Defective Device",ISNUMBER(SEARCH("fail",C200)),"Defective Device",ISNUMBER(SEARCH("not work",C200)),"Defective Device",ISNUMBER(SEARCH("doesn't work",C200)),"Defective Device",TRUE,"UNKNOWN"),"UNKNOWN")))</f>
        <v/>
      </c>
      <c r="F200" s="4" t="str">
        <f t="shared" si="3"/>
        <v/>
      </c>
      <c r="G200" s="363" t="str">
        <f>IF(E200="","",IFERROR(VLOOKUP(E200,Codes!$L$2:$N$409,3,FALSE),"—"))</f>
        <v/>
      </c>
      <c r="H200" s="88"/>
      <c r="I200" s="88"/>
    </row>
    <row r="201" spans="1:9" ht="13.15" x14ac:dyDescent="0.35">
      <c r="A201" s="434"/>
      <c r="B201" s="436"/>
      <c r="C201" s="437"/>
      <c r="D201" s="434"/>
      <c r="E201" s="93" t="str" cm="1">
        <f t="array" ref="E201">IF(D201&lt;&gt;"",IFERROR(VLOOKUP(D201,Codes!$K$2:$L$409,2,FALSE),"UNKNOWN - "&amp;D201),IF(C201="","",IFERROR(_xlfn.IFS(ISNUMBER(SEARCH("broken button",C201)),"Break",ISNUMBER(SEARCH("broken handle",C201)),"Break",ISNUMBER(SEARCH("shipping damage",C201)),"Break",ISNUMBER(SEARCH("broken",C201)),"Break",ISNUMBER(SEARCH("crack",C201)),"Break",ISNUMBER(SEARCH("snap",C201)),"Break",ISNUMBER(SEARCH("fracture",C201)),"Break",ISNUMBER(SEARCH("bent",C201)),"Material Twisted/Bent",ISNUMBER(SEARCH("twisted",C201)),"Material Twisted/Bent",ISNUMBER(SEARCH("component separat",C201)),"Material Separation",ISNUMBER(SEARCH("separat",C201)),"Material Separation",ISNUMBER(SEARCH("connection",C201)),"Loose or Intermittent Connection",ISNUMBER(SEARCH("loose",C201)),"Loose or Intermittent Connection",ISNUMBER(SEARCH("damaged packaging",C201)),"Packaging Problem",ISNUMBER(SEARCH("packaging",C201)),"Packaging Problem",ISNUMBER(SEARCH("discoloration",C201)),"Contamination",ISNUMBER(SEARCH("tarnish",C201)),"Contamination",ISNUMBER(SEARCH("stain",C201)),"Contamination",ISNUMBER(SEARCH("foreign material",C201)),"Contamination",ISNUMBER(SEARCH("contamina",C201)),"Contamination",ISNUMBER(SEARCH("overheat",C201)),"Overheating of Device",ISNUMBER(SEARCH("excessive heat",C201)),"Overheating of Device",ISNUMBER(SEARCH("hot",C201)),"Overheating of Device",ISNUMBER(SEARCH("noise",C201)),"Noise, Audible",ISNUMBER(SEARCH("sound",C201)),"Noise, Audible",ISNUMBER(SEARCH("loud",C201)),"Noise, Audible",ISNUMBER(SEARCH("fray",C201)),"Material Frayed",ISNUMBER(SEARCH("hole",C201)),"Material Frayed",ISNUMBER(SEARCH("tear",C201)),"Material Frayed",ISNUMBER(SEARCH("worn",C201)),"Material Frayed",ISNUMBER(SEARCH("intermittent",C201)),"Difficult or Delayed Activation",ISNUMBER(SEARCH("delay",C201)),"Difficult or Delayed Activation",ISNUMBER(SEARCH("label",C201)),"Device Markings/Labelling Problem",ISNUMBER(SEARCH("marking",C201)),"Device Markings/Labelling Problem",ISNUMBER(SEARCH("lacerat",C201)),"Defective Device",ISNUMBER(SEARCH("cut",C201)),"Defective Device",ISNUMBER(SEARCH("leak",C201)),"Fluid/Blood Leak",ISNUMBER(SEARCH("missing",C201)),"Component Missing",ISNUMBER(SEARCH("power",C201)),"Complete Loss of Power",ISNUMBER(SEARCH("will not turn on",C201)),"Complete Loss of Power",ISNUMBER(SEARCH("won't turn on",C201)),"Complete Loss of Power",ISNUMBER(SEARCH("does not turn on",C201)),"Complete Loss of Power",ISNUMBER(SEARCH("electrical",C201)),"Electrical Power Problem",ISNUMBER(SEARCH("pressure",C201)),"Detachment of Device or Device Component",ISNUMBER(SEARCH("slip",C201)),"Detachment of Device or Device Component",ISNUMBER(SEARCH("detach",C201)),"Detachment of Device or Device Component",ISNUMBER(SEARCH("stick",C201)),"Mechanical Jam",ISNUMBER(SEARCH("jam",C201)),"Mechanical Jam",ISNUMBER(SEARCH("rigid",C201)),"Mechanical Jam",ISNUMBER(SEARCH("rust",C201)),"Corroded",ISNUMBER(SEARCH("corrod",C201)),"Corroded",ISNUMBER(SEARCH("corrosion",C201)),"Corroded",ISNUMBER(SEARCH("alignment",C201)),"Defective Device",ISNUMBER(SEARCH("adjust",C201)),"Defective Device",ISNUMBER(SEARCH("perform",C201)),"Defective Device",ISNUMBER(SEARCH("malfunction",C201)),"Defective Device",ISNUMBER(SEARCH("defect",C201)),"Defective Device",ISNUMBER(SEARCH("fail",C201)),"Defective Device",ISNUMBER(SEARCH("not work",C201)),"Defective Device",ISNUMBER(SEARCH("doesn't work",C201)),"Defective Device",TRUE,"UNKNOWN"),"UNKNOWN")))</f>
        <v/>
      </c>
      <c r="F201" s="4" t="str">
        <f t="shared" si="3"/>
        <v/>
      </c>
      <c r="G201" s="363" t="str">
        <f>IF(E201="","",IFERROR(VLOOKUP(E201,Codes!$L$2:$N$409,3,FALSE),"—"))</f>
        <v/>
      </c>
      <c r="H201" s="88"/>
      <c r="I201" s="88"/>
    </row>
    <row r="202" spans="1:9" ht="13.15" x14ac:dyDescent="0.35">
      <c r="A202" s="434"/>
      <c r="B202" s="436"/>
      <c r="C202" s="437"/>
      <c r="D202" s="434"/>
      <c r="E202" s="93" t="str" cm="1">
        <f t="array" ref="E202">IF(D202&lt;&gt;"",IFERROR(VLOOKUP(D202,Codes!$K$2:$L$409,2,FALSE),"UNKNOWN - "&amp;D202),IF(C202="","",IFERROR(_xlfn.IFS(ISNUMBER(SEARCH("broken button",C202)),"Break",ISNUMBER(SEARCH("broken handle",C202)),"Break",ISNUMBER(SEARCH("shipping damage",C202)),"Break",ISNUMBER(SEARCH("broken",C202)),"Break",ISNUMBER(SEARCH("crack",C202)),"Break",ISNUMBER(SEARCH("snap",C202)),"Break",ISNUMBER(SEARCH("fracture",C202)),"Break",ISNUMBER(SEARCH("bent",C202)),"Material Twisted/Bent",ISNUMBER(SEARCH("twisted",C202)),"Material Twisted/Bent",ISNUMBER(SEARCH("component separat",C202)),"Material Separation",ISNUMBER(SEARCH("separat",C202)),"Material Separation",ISNUMBER(SEARCH("connection",C202)),"Loose or Intermittent Connection",ISNUMBER(SEARCH("loose",C202)),"Loose or Intermittent Connection",ISNUMBER(SEARCH("damaged packaging",C202)),"Packaging Problem",ISNUMBER(SEARCH("packaging",C202)),"Packaging Problem",ISNUMBER(SEARCH("discoloration",C202)),"Contamination",ISNUMBER(SEARCH("tarnish",C202)),"Contamination",ISNUMBER(SEARCH("stain",C202)),"Contamination",ISNUMBER(SEARCH("foreign material",C202)),"Contamination",ISNUMBER(SEARCH("contamina",C202)),"Contamination",ISNUMBER(SEARCH("overheat",C202)),"Overheating of Device",ISNUMBER(SEARCH("excessive heat",C202)),"Overheating of Device",ISNUMBER(SEARCH("hot",C202)),"Overheating of Device",ISNUMBER(SEARCH("noise",C202)),"Noise, Audible",ISNUMBER(SEARCH("sound",C202)),"Noise, Audible",ISNUMBER(SEARCH("loud",C202)),"Noise, Audible",ISNUMBER(SEARCH("fray",C202)),"Material Frayed",ISNUMBER(SEARCH("hole",C202)),"Material Frayed",ISNUMBER(SEARCH("tear",C202)),"Material Frayed",ISNUMBER(SEARCH("worn",C202)),"Material Frayed",ISNUMBER(SEARCH("intermittent",C202)),"Difficult or Delayed Activation",ISNUMBER(SEARCH("delay",C202)),"Difficult or Delayed Activation",ISNUMBER(SEARCH("label",C202)),"Device Markings/Labelling Problem",ISNUMBER(SEARCH("marking",C202)),"Device Markings/Labelling Problem",ISNUMBER(SEARCH("lacerat",C202)),"Defective Device",ISNUMBER(SEARCH("cut",C202)),"Defective Device",ISNUMBER(SEARCH("leak",C202)),"Fluid/Blood Leak",ISNUMBER(SEARCH("missing",C202)),"Component Missing",ISNUMBER(SEARCH("power",C202)),"Complete Loss of Power",ISNUMBER(SEARCH("will not turn on",C202)),"Complete Loss of Power",ISNUMBER(SEARCH("won't turn on",C202)),"Complete Loss of Power",ISNUMBER(SEARCH("does not turn on",C202)),"Complete Loss of Power",ISNUMBER(SEARCH("electrical",C202)),"Electrical Power Problem",ISNUMBER(SEARCH("pressure",C202)),"Detachment of Device or Device Component",ISNUMBER(SEARCH("slip",C202)),"Detachment of Device or Device Component",ISNUMBER(SEARCH("detach",C202)),"Detachment of Device or Device Component",ISNUMBER(SEARCH("stick",C202)),"Mechanical Jam",ISNUMBER(SEARCH("jam",C202)),"Mechanical Jam",ISNUMBER(SEARCH("rigid",C202)),"Mechanical Jam",ISNUMBER(SEARCH("rust",C202)),"Corroded",ISNUMBER(SEARCH("corrod",C202)),"Corroded",ISNUMBER(SEARCH("corrosion",C202)),"Corroded",ISNUMBER(SEARCH("alignment",C202)),"Defective Device",ISNUMBER(SEARCH("adjust",C202)),"Defective Device",ISNUMBER(SEARCH("perform",C202)),"Defective Device",ISNUMBER(SEARCH("malfunction",C202)),"Defective Device",ISNUMBER(SEARCH("defect",C202)),"Defective Device",ISNUMBER(SEARCH("fail",C202)),"Defective Device",ISNUMBER(SEARCH("not work",C202)),"Defective Device",ISNUMBER(SEARCH("doesn't work",C202)),"Defective Device",TRUE,"UNKNOWN"),"UNKNOWN")))</f>
        <v/>
      </c>
      <c r="F202" s="4" t="str">
        <f t="shared" si="3"/>
        <v/>
      </c>
      <c r="G202" s="363" t="str">
        <f>IF(E202="","",IFERROR(VLOOKUP(E202,Codes!$L$2:$N$409,3,FALSE),"—"))</f>
        <v/>
      </c>
      <c r="H202" s="88"/>
      <c r="I202" s="88"/>
    </row>
    <row r="203" spans="1:9" ht="13.15" x14ac:dyDescent="0.35">
      <c r="A203" s="435"/>
      <c r="B203" s="436"/>
      <c r="C203" s="438"/>
      <c r="D203" s="435"/>
      <c r="E203" s="93" t="str" cm="1">
        <f t="array" ref="E203">IF(D203&lt;&gt;"",IFERROR(VLOOKUP(D203,Codes!$K$2:$L$409,2,FALSE),"UNKNOWN - "&amp;D203),IF(C203="","",IFERROR(_xlfn.IFS(ISNUMBER(SEARCH("broken button",C203)),"Break",ISNUMBER(SEARCH("broken handle",C203)),"Break",ISNUMBER(SEARCH("shipping damage",C203)),"Break",ISNUMBER(SEARCH("broken",C203)),"Break",ISNUMBER(SEARCH("crack",C203)),"Break",ISNUMBER(SEARCH("snap",C203)),"Break",ISNUMBER(SEARCH("fracture",C203)),"Break",ISNUMBER(SEARCH("bent",C203)),"Material Twisted/Bent",ISNUMBER(SEARCH("twisted",C203)),"Material Twisted/Bent",ISNUMBER(SEARCH("component separat",C203)),"Material Separation",ISNUMBER(SEARCH("separat",C203)),"Material Separation",ISNUMBER(SEARCH("connection",C203)),"Loose or Intermittent Connection",ISNUMBER(SEARCH("loose",C203)),"Loose or Intermittent Connection",ISNUMBER(SEARCH("damaged packaging",C203)),"Packaging Problem",ISNUMBER(SEARCH("packaging",C203)),"Packaging Problem",ISNUMBER(SEARCH("discoloration",C203)),"Contamination",ISNUMBER(SEARCH("tarnish",C203)),"Contamination",ISNUMBER(SEARCH("stain",C203)),"Contamination",ISNUMBER(SEARCH("foreign material",C203)),"Contamination",ISNUMBER(SEARCH("contamina",C203)),"Contamination",ISNUMBER(SEARCH("overheat",C203)),"Overheating of Device",ISNUMBER(SEARCH("excessive heat",C203)),"Overheating of Device",ISNUMBER(SEARCH("hot",C203)),"Overheating of Device",ISNUMBER(SEARCH("noise",C203)),"Noise, Audible",ISNUMBER(SEARCH("sound",C203)),"Noise, Audible",ISNUMBER(SEARCH("loud",C203)),"Noise, Audible",ISNUMBER(SEARCH("fray",C203)),"Material Frayed",ISNUMBER(SEARCH("hole",C203)),"Material Frayed",ISNUMBER(SEARCH("tear",C203)),"Material Frayed",ISNUMBER(SEARCH("worn",C203)),"Material Frayed",ISNUMBER(SEARCH("intermittent",C203)),"Difficult or Delayed Activation",ISNUMBER(SEARCH("delay",C203)),"Difficult or Delayed Activation",ISNUMBER(SEARCH("label",C203)),"Device Markings/Labelling Problem",ISNUMBER(SEARCH("marking",C203)),"Device Markings/Labelling Problem",ISNUMBER(SEARCH("lacerat",C203)),"Defective Device",ISNUMBER(SEARCH("cut",C203)),"Defective Device",ISNUMBER(SEARCH("leak",C203)),"Fluid/Blood Leak",ISNUMBER(SEARCH("missing",C203)),"Component Missing",ISNUMBER(SEARCH("power",C203)),"Complete Loss of Power",ISNUMBER(SEARCH("will not turn on",C203)),"Complete Loss of Power",ISNUMBER(SEARCH("won't turn on",C203)),"Complete Loss of Power",ISNUMBER(SEARCH("does not turn on",C203)),"Complete Loss of Power",ISNUMBER(SEARCH("electrical",C203)),"Electrical Power Problem",ISNUMBER(SEARCH("pressure",C203)),"Detachment of Device or Device Component",ISNUMBER(SEARCH("slip",C203)),"Detachment of Device or Device Component",ISNUMBER(SEARCH("detach",C203)),"Detachment of Device or Device Component",ISNUMBER(SEARCH("stick",C203)),"Mechanical Jam",ISNUMBER(SEARCH("jam",C203)),"Mechanical Jam",ISNUMBER(SEARCH("rigid",C203)),"Mechanical Jam",ISNUMBER(SEARCH("rust",C203)),"Corroded",ISNUMBER(SEARCH("corrod",C203)),"Corroded",ISNUMBER(SEARCH("corrosion",C203)),"Corroded",ISNUMBER(SEARCH("alignment",C203)),"Defective Device",ISNUMBER(SEARCH("adjust",C203)),"Defective Device",ISNUMBER(SEARCH("perform",C203)),"Defective Device",ISNUMBER(SEARCH("malfunction",C203)),"Defective Device",ISNUMBER(SEARCH("defect",C203)),"Defective Device",ISNUMBER(SEARCH("fail",C203)),"Defective Device",ISNUMBER(SEARCH("not work",C203)),"Defective Device",ISNUMBER(SEARCH("doesn't work",C203)),"Defective Device",TRUE,"UNKNOWN"),"UNKNOWN")))</f>
        <v/>
      </c>
      <c r="F203" s="4" t="str">
        <f t="shared" si="3"/>
        <v/>
      </c>
      <c r="G203" s="363" t="str">
        <f>IF(E203="","",IFERROR(VLOOKUP(E203,Codes!$L$2:$N$409,3,FALSE),"—"))</f>
        <v/>
      </c>
      <c r="H203" s="88"/>
      <c r="I203" s="88"/>
    </row>
    <row r="204" spans="1:9" ht="13.15" x14ac:dyDescent="0.35">
      <c r="A204" s="435"/>
      <c r="B204" s="436"/>
      <c r="C204" s="438"/>
      <c r="D204" s="435"/>
      <c r="E204" s="93" t="str" cm="1">
        <f t="array" ref="E204">IF(D204&lt;&gt;"",IFERROR(VLOOKUP(D204,Codes!$K$2:$L$409,2,FALSE),"UNKNOWN - "&amp;D204),IF(C204="","",IFERROR(_xlfn.IFS(ISNUMBER(SEARCH("broken button",C204)),"Break",ISNUMBER(SEARCH("broken handle",C204)),"Break",ISNUMBER(SEARCH("shipping damage",C204)),"Break",ISNUMBER(SEARCH("broken",C204)),"Break",ISNUMBER(SEARCH("crack",C204)),"Break",ISNUMBER(SEARCH("snap",C204)),"Break",ISNUMBER(SEARCH("fracture",C204)),"Break",ISNUMBER(SEARCH("bent",C204)),"Material Twisted/Bent",ISNUMBER(SEARCH("twisted",C204)),"Material Twisted/Bent",ISNUMBER(SEARCH("component separat",C204)),"Material Separation",ISNUMBER(SEARCH("separat",C204)),"Material Separation",ISNUMBER(SEARCH("connection",C204)),"Loose or Intermittent Connection",ISNUMBER(SEARCH("loose",C204)),"Loose or Intermittent Connection",ISNUMBER(SEARCH("damaged packaging",C204)),"Packaging Problem",ISNUMBER(SEARCH("packaging",C204)),"Packaging Problem",ISNUMBER(SEARCH("discoloration",C204)),"Contamination",ISNUMBER(SEARCH("tarnish",C204)),"Contamination",ISNUMBER(SEARCH("stain",C204)),"Contamination",ISNUMBER(SEARCH("foreign material",C204)),"Contamination",ISNUMBER(SEARCH("contamina",C204)),"Contamination",ISNUMBER(SEARCH("overheat",C204)),"Overheating of Device",ISNUMBER(SEARCH("excessive heat",C204)),"Overheating of Device",ISNUMBER(SEARCH("hot",C204)),"Overheating of Device",ISNUMBER(SEARCH("noise",C204)),"Noise, Audible",ISNUMBER(SEARCH("sound",C204)),"Noise, Audible",ISNUMBER(SEARCH("loud",C204)),"Noise, Audible",ISNUMBER(SEARCH("fray",C204)),"Material Frayed",ISNUMBER(SEARCH("hole",C204)),"Material Frayed",ISNUMBER(SEARCH("tear",C204)),"Material Frayed",ISNUMBER(SEARCH("worn",C204)),"Material Frayed",ISNUMBER(SEARCH("intermittent",C204)),"Difficult or Delayed Activation",ISNUMBER(SEARCH("delay",C204)),"Difficult or Delayed Activation",ISNUMBER(SEARCH("label",C204)),"Device Markings/Labelling Problem",ISNUMBER(SEARCH("marking",C204)),"Device Markings/Labelling Problem",ISNUMBER(SEARCH("lacerat",C204)),"Defective Device",ISNUMBER(SEARCH("cut",C204)),"Defective Device",ISNUMBER(SEARCH("leak",C204)),"Fluid/Blood Leak",ISNUMBER(SEARCH("missing",C204)),"Component Missing",ISNUMBER(SEARCH("power",C204)),"Complete Loss of Power",ISNUMBER(SEARCH("will not turn on",C204)),"Complete Loss of Power",ISNUMBER(SEARCH("won't turn on",C204)),"Complete Loss of Power",ISNUMBER(SEARCH("does not turn on",C204)),"Complete Loss of Power",ISNUMBER(SEARCH("electrical",C204)),"Electrical Power Problem",ISNUMBER(SEARCH("pressure",C204)),"Detachment of Device or Device Component",ISNUMBER(SEARCH("slip",C204)),"Detachment of Device or Device Component",ISNUMBER(SEARCH("detach",C204)),"Detachment of Device or Device Component",ISNUMBER(SEARCH("stick",C204)),"Mechanical Jam",ISNUMBER(SEARCH("jam",C204)),"Mechanical Jam",ISNUMBER(SEARCH("rigid",C204)),"Mechanical Jam",ISNUMBER(SEARCH("rust",C204)),"Corroded",ISNUMBER(SEARCH("corrod",C204)),"Corroded",ISNUMBER(SEARCH("corrosion",C204)),"Corroded",ISNUMBER(SEARCH("alignment",C204)),"Defective Device",ISNUMBER(SEARCH("adjust",C204)),"Defective Device",ISNUMBER(SEARCH("perform",C204)),"Defective Device",ISNUMBER(SEARCH("malfunction",C204)),"Defective Device",ISNUMBER(SEARCH("defect",C204)),"Defective Device",ISNUMBER(SEARCH("fail",C204)),"Defective Device",ISNUMBER(SEARCH("not work",C204)),"Defective Device",ISNUMBER(SEARCH("doesn't work",C204)),"Defective Device",TRUE,"UNKNOWN"),"UNKNOWN")))</f>
        <v/>
      </c>
      <c r="F204" s="4" t="str">
        <f t="shared" si="3"/>
        <v/>
      </c>
      <c r="G204" s="363" t="str">
        <f>IF(E204="","",IFERROR(VLOOKUP(E204,Codes!$L$2:$N$409,3,FALSE),"—"))</f>
        <v/>
      </c>
      <c r="H204" s="88"/>
      <c r="I204" s="88"/>
    </row>
    <row r="205" spans="1:9" ht="13.15" x14ac:dyDescent="0.35">
      <c r="A205" s="434"/>
      <c r="B205" s="436"/>
      <c r="C205" s="437"/>
      <c r="D205" s="434"/>
      <c r="E205" s="93" t="str" cm="1">
        <f t="array" ref="E205">IF(D205&lt;&gt;"",IFERROR(VLOOKUP(D205,Codes!$K$2:$L$409,2,FALSE),"UNKNOWN - "&amp;D205),IF(C205="","",IFERROR(_xlfn.IFS(ISNUMBER(SEARCH("broken button",C205)),"Break",ISNUMBER(SEARCH("broken handle",C205)),"Break",ISNUMBER(SEARCH("shipping damage",C205)),"Break",ISNUMBER(SEARCH("broken",C205)),"Break",ISNUMBER(SEARCH("crack",C205)),"Break",ISNUMBER(SEARCH("snap",C205)),"Break",ISNUMBER(SEARCH("fracture",C205)),"Break",ISNUMBER(SEARCH("bent",C205)),"Material Twisted/Bent",ISNUMBER(SEARCH("twisted",C205)),"Material Twisted/Bent",ISNUMBER(SEARCH("component separat",C205)),"Material Separation",ISNUMBER(SEARCH("separat",C205)),"Material Separation",ISNUMBER(SEARCH("connection",C205)),"Loose or Intermittent Connection",ISNUMBER(SEARCH("loose",C205)),"Loose or Intermittent Connection",ISNUMBER(SEARCH("damaged packaging",C205)),"Packaging Problem",ISNUMBER(SEARCH("packaging",C205)),"Packaging Problem",ISNUMBER(SEARCH("discoloration",C205)),"Contamination",ISNUMBER(SEARCH("tarnish",C205)),"Contamination",ISNUMBER(SEARCH("stain",C205)),"Contamination",ISNUMBER(SEARCH("foreign material",C205)),"Contamination",ISNUMBER(SEARCH("contamina",C205)),"Contamination",ISNUMBER(SEARCH("overheat",C205)),"Overheating of Device",ISNUMBER(SEARCH("excessive heat",C205)),"Overheating of Device",ISNUMBER(SEARCH("hot",C205)),"Overheating of Device",ISNUMBER(SEARCH("noise",C205)),"Noise, Audible",ISNUMBER(SEARCH("sound",C205)),"Noise, Audible",ISNUMBER(SEARCH("loud",C205)),"Noise, Audible",ISNUMBER(SEARCH("fray",C205)),"Material Frayed",ISNUMBER(SEARCH("hole",C205)),"Material Frayed",ISNUMBER(SEARCH("tear",C205)),"Material Frayed",ISNUMBER(SEARCH("worn",C205)),"Material Frayed",ISNUMBER(SEARCH("intermittent",C205)),"Difficult or Delayed Activation",ISNUMBER(SEARCH("delay",C205)),"Difficult or Delayed Activation",ISNUMBER(SEARCH("label",C205)),"Device Markings/Labelling Problem",ISNUMBER(SEARCH("marking",C205)),"Device Markings/Labelling Problem",ISNUMBER(SEARCH("lacerat",C205)),"Defective Device",ISNUMBER(SEARCH("cut",C205)),"Defective Device",ISNUMBER(SEARCH("leak",C205)),"Fluid/Blood Leak",ISNUMBER(SEARCH("missing",C205)),"Component Missing",ISNUMBER(SEARCH("power",C205)),"Complete Loss of Power",ISNUMBER(SEARCH("will not turn on",C205)),"Complete Loss of Power",ISNUMBER(SEARCH("won't turn on",C205)),"Complete Loss of Power",ISNUMBER(SEARCH("does not turn on",C205)),"Complete Loss of Power",ISNUMBER(SEARCH("electrical",C205)),"Electrical Power Problem",ISNUMBER(SEARCH("pressure",C205)),"Detachment of Device or Device Component",ISNUMBER(SEARCH("slip",C205)),"Detachment of Device or Device Component",ISNUMBER(SEARCH("detach",C205)),"Detachment of Device or Device Component",ISNUMBER(SEARCH("stick",C205)),"Mechanical Jam",ISNUMBER(SEARCH("jam",C205)),"Mechanical Jam",ISNUMBER(SEARCH("rigid",C205)),"Mechanical Jam",ISNUMBER(SEARCH("rust",C205)),"Corroded",ISNUMBER(SEARCH("corrod",C205)),"Corroded",ISNUMBER(SEARCH("corrosion",C205)),"Corroded",ISNUMBER(SEARCH("alignment",C205)),"Defective Device",ISNUMBER(SEARCH("adjust",C205)),"Defective Device",ISNUMBER(SEARCH("perform",C205)),"Defective Device",ISNUMBER(SEARCH("malfunction",C205)),"Defective Device",ISNUMBER(SEARCH("defect",C205)),"Defective Device",ISNUMBER(SEARCH("fail",C205)),"Defective Device",ISNUMBER(SEARCH("not work",C205)),"Defective Device",ISNUMBER(SEARCH("doesn't work",C205)),"Defective Device",TRUE,"UNKNOWN"),"UNKNOWN")))</f>
        <v/>
      </c>
      <c r="F205" s="4" t="str">
        <f t="shared" si="3"/>
        <v/>
      </c>
      <c r="G205" s="363" t="str">
        <f>IF(E205="","",IFERROR(VLOOKUP(E205,Codes!$L$2:$N$409,3,FALSE),"—"))</f>
        <v/>
      </c>
      <c r="H205" s="88"/>
      <c r="I205" s="88"/>
    </row>
    <row r="206" spans="1:9" ht="13.15" x14ac:dyDescent="0.35">
      <c r="A206" s="435"/>
      <c r="B206" s="436"/>
      <c r="C206" s="438"/>
      <c r="D206" s="435"/>
      <c r="E206" s="93" t="str" cm="1">
        <f t="array" ref="E206">IF(D206&lt;&gt;"",IFERROR(VLOOKUP(D206,Codes!$K$2:$L$409,2,FALSE),"UNKNOWN - "&amp;D206),IF(C206="","",IFERROR(_xlfn.IFS(ISNUMBER(SEARCH("broken button",C206)),"Break",ISNUMBER(SEARCH("broken handle",C206)),"Break",ISNUMBER(SEARCH("shipping damage",C206)),"Break",ISNUMBER(SEARCH("broken",C206)),"Break",ISNUMBER(SEARCH("crack",C206)),"Break",ISNUMBER(SEARCH("snap",C206)),"Break",ISNUMBER(SEARCH("fracture",C206)),"Break",ISNUMBER(SEARCH("bent",C206)),"Material Twisted/Bent",ISNUMBER(SEARCH("twisted",C206)),"Material Twisted/Bent",ISNUMBER(SEARCH("component separat",C206)),"Material Separation",ISNUMBER(SEARCH("separat",C206)),"Material Separation",ISNUMBER(SEARCH("connection",C206)),"Loose or Intermittent Connection",ISNUMBER(SEARCH("loose",C206)),"Loose or Intermittent Connection",ISNUMBER(SEARCH("damaged packaging",C206)),"Packaging Problem",ISNUMBER(SEARCH("packaging",C206)),"Packaging Problem",ISNUMBER(SEARCH("discoloration",C206)),"Contamination",ISNUMBER(SEARCH("tarnish",C206)),"Contamination",ISNUMBER(SEARCH("stain",C206)),"Contamination",ISNUMBER(SEARCH("foreign material",C206)),"Contamination",ISNUMBER(SEARCH("contamina",C206)),"Contamination",ISNUMBER(SEARCH("overheat",C206)),"Overheating of Device",ISNUMBER(SEARCH("excessive heat",C206)),"Overheating of Device",ISNUMBER(SEARCH("hot",C206)),"Overheating of Device",ISNUMBER(SEARCH("noise",C206)),"Noise, Audible",ISNUMBER(SEARCH("sound",C206)),"Noise, Audible",ISNUMBER(SEARCH("loud",C206)),"Noise, Audible",ISNUMBER(SEARCH("fray",C206)),"Material Frayed",ISNUMBER(SEARCH("hole",C206)),"Material Frayed",ISNUMBER(SEARCH("tear",C206)),"Material Frayed",ISNUMBER(SEARCH("worn",C206)),"Material Frayed",ISNUMBER(SEARCH("intermittent",C206)),"Difficult or Delayed Activation",ISNUMBER(SEARCH("delay",C206)),"Difficult or Delayed Activation",ISNUMBER(SEARCH("label",C206)),"Device Markings/Labelling Problem",ISNUMBER(SEARCH("marking",C206)),"Device Markings/Labelling Problem",ISNUMBER(SEARCH("lacerat",C206)),"Defective Device",ISNUMBER(SEARCH("cut",C206)),"Defective Device",ISNUMBER(SEARCH("leak",C206)),"Fluid/Blood Leak",ISNUMBER(SEARCH("missing",C206)),"Component Missing",ISNUMBER(SEARCH("power",C206)),"Complete Loss of Power",ISNUMBER(SEARCH("will not turn on",C206)),"Complete Loss of Power",ISNUMBER(SEARCH("won't turn on",C206)),"Complete Loss of Power",ISNUMBER(SEARCH("does not turn on",C206)),"Complete Loss of Power",ISNUMBER(SEARCH("electrical",C206)),"Electrical Power Problem",ISNUMBER(SEARCH("pressure",C206)),"Detachment of Device or Device Component",ISNUMBER(SEARCH("slip",C206)),"Detachment of Device or Device Component",ISNUMBER(SEARCH("detach",C206)),"Detachment of Device or Device Component",ISNUMBER(SEARCH("stick",C206)),"Mechanical Jam",ISNUMBER(SEARCH("jam",C206)),"Mechanical Jam",ISNUMBER(SEARCH("rigid",C206)),"Mechanical Jam",ISNUMBER(SEARCH("rust",C206)),"Corroded",ISNUMBER(SEARCH("corrod",C206)),"Corroded",ISNUMBER(SEARCH("corrosion",C206)),"Corroded",ISNUMBER(SEARCH("alignment",C206)),"Defective Device",ISNUMBER(SEARCH("adjust",C206)),"Defective Device",ISNUMBER(SEARCH("perform",C206)),"Defective Device",ISNUMBER(SEARCH("malfunction",C206)),"Defective Device",ISNUMBER(SEARCH("defect",C206)),"Defective Device",ISNUMBER(SEARCH("fail",C206)),"Defective Device",ISNUMBER(SEARCH("not work",C206)),"Defective Device",ISNUMBER(SEARCH("doesn't work",C206)),"Defective Device",TRUE,"UNKNOWN"),"UNKNOWN")))</f>
        <v/>
      </c>
      <c r="F206" s="4" t="str">
        <f t="shared" si="3"/>
        <v/>
      </c>
      <c r="G206" s="363" t="str">
        <f>IF(E206="","",IFERROR(VLOOKUP(E206,Codes!$L$2:$N$409,3,FALSE),"—"))</f>
        <v/>
      </c>
      <c r="H206" s="88"/>
      <c r="I206" s="88"/>
    </row>
    <row r="207" spans="1:9" ht="13.15" x14ac:dyDescent="0.35">
      <c r="A207" s="435"/>
      <c r="B207" s="436"/>
      <c r="C207" s="438"/>
      <c r="D207" s="435"/>
      <c r="E207" s="93" t="str" cm="1">
        <f t="array" ref="E207">IF(D207&lt;&gt;"",IFERROR(VLOOKUP(D207,Codes!$K$2:$L$409,2,FALSE),"UNKNOWN - "&amp;D207),IF(C207="","",IFERROR(_xlfn.IFS(ISNUMBER(SEARCH("broken button",C207)),"Break",ISNUMBER(SEARCH("broken handle",C207)),"Break",ISNUMBER(SEARCH("shipping damage",C207)),"Break",ISNUMBER(SEARCH("broken",C207)),"Break",ISNUMBER(SEARCH("crack",C207)),"Break",ISNUMBER(SEARCH("snap",C207)),"Break",ISNUMBER(SEARCH("fracture",C207)),"Break",ISNUMBER(SEARCH("bent",C207)),"Material Twisted/Bent",ISNUMBER(SEARCH("twisted",C207)),"Material Twisted/Bent",ISNUMBER(SEARCH("component separat",C207)),"Material Separation",ISNUMBER(SEARCH("separat",C207)),"Material Separation",ISNUMBER(SEARCH("connection",C207)),"Loose or Intermittent Connection",ISNUMBER(SEARCH("loose",C207)),"Loose or Intermittent Connection",ISNUMBER(SEARCH("damaged packaging",C207)),"Packaging Problem",ISNUMBER(SEARCH("packaging",C207)),"Packaging Problem",ISNUMBER(SEARCH("discoloration",C207)),"Contamination",ISNUMBER(SEARCH("tarnish",C207)),"Contamination",ISNUMBER(SEARCH("stain",C207)),"Contamination",ISNUMBER(SEARCH("foreign material",C207)),"Contamination",ISNUMBER(SEARCH("contamina",C207)),"Contamination",ISNUMBER(SEARCH("overheat",C207)),"Overheating of Device",ISNUMBER(SEARCH("excessive heat",C207)),"Overheating of Device",ISNUMBER(SEARCH("hot",C207)),"Overheating of Device",ISNUMBER(SEARCH("noise",C207)),"Noise, Audible",ISNUMBER(SEARCH("sound",C207)),"Noise, Audible",ISNUMBER(SEARCH("loud",C207)),"Noise, Audible",ISNUMBER(SEARCH("fray",C207)),"Material Frayed",ISNUMBER(SEARCH("hole",C207)),"Material Frayed",ISNUMBER(SEARCH("tear",C207)),"Material Frayed",ISNUMBER(SEARCH("worn",C207)),"Material Frayed",ISNUMBER(SEARCH("intermittent",C207)),"Difficult or Delayed Activation",ISNUMBER(SEARCH("delay",C207)),"Difficult or Delayed Activation",ISNUMBER(SEARCH("label",C207)),"Device Markings/Labelling Problem",ISNUMBER(SEARCH("marking",C207)),"Device Markings/Labelling Problem",ISNUMBER(SEARCH("lacerat",C207)),"Defective Device",ISNUMBER(SEARCH("cut",C207)),"Defective Device",ISNUMBER(SEARCH("leak",C207)),"Fluid/Blood Leak",ISNUMBER(SEARCH("missing",C207)),"Component Missing",ISNUMBER(SEARCH("power",C207)),"Complete Loss of Power",ISNUMBER(SEARCH("will not turn on",C207)),"Complete Loss of Power",ISNUMBER(SEARCH("won't turn on",C207)),"Complete Loss of Power",ISNUMBER(SEARCH("does not turn on",C207)),"Complete Loss of Power",ISNUMBER(SEARCH("electrical",C207)),"Electrical Power Problem",ISNUMBER(SEARCH("pressure",C207)),"Detachment of Device or Device Component",ISNUMBER(SEARCH("slip",C207)),"Detachment of Device or Device Component",ISNUMBER(SEARCH("detach",C207)),"Detachment of Device or Device Component",ISNUMBER(SEARCH("stick",C207)),"Mechanical Jam",ISNUMBER(SEARCH("jam",C207)),"Mechanical Jam",ISNUMBER(SEARCH("rigid",C207)),"Mechanical Jam",ISNUMBER(SEARCH("rust",C207)),"Corroded",ISNUMBER(SEARCH("corrod",C207)),"Corroded",ISNUMBER(SEARCH("corrosion",C207)),"Corroded",ISNUMBER(SEARCH("alignment",C207)),"Defective Device",ISNUMBER(SEARCH("adjust",C207)),"Defective Device",ISNUMBER(SEARCH("perform",C207)),"Defective Device",ISNUMBER(SEARCH("malfunction",C207)),"Defective Device",ISNUMBER(SEARCH("defect",C207)),"Defective Device",ISNUMBER(SEARCH("fail",C207)),"Defective Device",ISNUMBER(SEARCH("not work",C207)),"Defective Device",ISNUMBER(SEARCH("doesn't work",C207)),"Defective Device",TRUE,"UNKNOWN"),"UNKNOWN")))</f>
        <v/>
      </c>
      <c r="F207" s="4" t="str">
        <f t="shared" si="3"/>
        <v/>
      </c>
      <c r="G207" s="363" t="str">
        <f>IF(E207="","",IFERROR(VLOOKUP(E207,Codes!$L$2:$N$409,3,FALSE),"—"))</f>
        <v/>
      </c>
      <c r="H207" s="88"/>
      <c r="I207" s="88"/>
    </row>
    <row r="208" spans="1:9" ht="13.15" x14ac:dyDescent="0.35">
      <c r="A208" s="434"/>
      <c r="B208" s="436"/>
      <c r="C208" s="437"/>
      <c r="D208" s="434"/>
      <c r="E208" s="93" t="str" cm="1">
        <f t="array" ref="E208">IF(D208&lt;&gt;"",IFERROR(VLOOKUP(D208,Codes!$K$2:$L$409,2,FALSE),"UNKNOWN - "&amp;D208),IF(C208="","",IFERROR(_xlfn.IFS(ISNUMBER(SEARCH("broken button",C208)),"Break",ISNUMBER(SEARCH("broken handle",C208)),"Break",ISNUMBER(SEARCH("shipping damage",C208)),"Break",ISNUMBER(SEARCH("broken",C208)),"Break",ISNUMBER(SEARCH("crack",C208)),"Break",ISNUMBER(SEARCH("snap",C208)),"Break",ISNUMBER(SEARCH("fracture",C208)),"Break",ISNUMBER(SEARCH("bent",C208)),"Material Twisted/Bent",ISNUMBER(SEARCH("twisted",C208)),"Material Twisted/Bent",ISNUMBER(SEARCH("component separat",C208)),"Material Separation",ISNUMBER(SEARCH("separat",C208)),"Material Separation",ISNUMBER(SEARCH("connection",C208)),"Loose or Intermittent Connection",ISNUMBER(SEARCH("loose",C208)),"Loose or Intermittent Connection",ISNUMBER(SEARCH("damaged packaging",C208)),"Packaging Problem",ISNUMBER(SEARCH("packaging",C208)),"Packaging Problem",ISNUMBER(SEARCH("discoloration",C208)),"Contamination",ISNUMBER(SEARCH("tarnish",C208)),"Contamination",ISNUMBER(SEARCH("stain",C208)),"Contamination",ISNUMBER(SEARCH("foreign material",C208)),"Contamination",ISNUMBER(SEARCH("contamina",C208)),"Contamination",ISNUMBER(SEARCH("overheat",C208)),"Overheating of Device",ISNUMBER(SEARCH("excessive heat",C208)),"Overheating of Device",ISNUMBER(SEARCH("hot",C208)),"Overheating of Device",ISNUMBER(SEARCH("noise",C208)),"Noise, Audible",ISNUMBER(SEARCH("sound",C208)),"Noise, Audible",ISNUMBER(SEARCH("loud",C208)),"Noise, Audible",ISNUMBER(SEARCH("fray",C208)),"Material Frayed",ISNUMBER(SEARCH("hole",C208)),"Material Frayed",ISNUMBER(SEARCH("tear",C208)),"Material Frayed",ISNUMBER(SEARCH("worn",C208)),"Material Frayed",ISNUMBER(SEARCH("intermittent",C208)),"Difficult or Delayed Activation",ISNUMBER(SEARCH("delay",C208)),"Difficult or Delayed Activation",ISNUMBER(SEARCH("label",C208)),"Device Markings/Labelling Problem",ISNUMBER(SEARCH("marking",C208)),"Device Markings/Labelling Problem",ISNUMBER(SEARCH("lacerat",C208)),"Defective Device",ISNUMBER(SEARCH("cut",C208)),"Defective Device",ISNUMBER(SEARCH("leak",C208)),"Fluid/Blood Leak",ISNUMBER(SEARCH("missing",C208)),"Component Missing",ISNUMBER(SEARCH("power",C208)),"Complete Loss of Power",ISNUMBER(SEARCH("will not turn on",C208)),"Complete Loss of Power",ISNUMBER(SEARCH("won't turn on",C208)),"Complete Loss of Power",ISNUMBER(SEARCH("does not turn on",C208)),"Complete Loss of Power",ISNUMBER(SEARCH("electrical",C208)),"Electrical Power Problem",ISNUMBER(SEARCH("pressure",C208)),"Detachment of Device or Device Component",ISNUMBER(SEARCH("slip",C208)),"Detachment of Device or Device Component",ISNUMBER(SEARCH("detach",C208)),"Detachment of Device or Device Component",ISNUMBER(SEARCH("stick",C208)),"Mechanical Jam",ISNUMBER(SEARCH("jam",C208)),"Mechanical Jam",ISNUMBER(SEARCH("rigid",C208)),"Mechanical Jam",ISNUMBER(SEARCH("rust",C208)),"Corroded",ISNUMBER(SEARCH("corrod",C208)),"Corroded",ISNUMBER(SEARCH("corrosion",C208)),"Corroded",ISNUMBER(SEARCH("alignment",C208)),"Defective Device",ISNUMBER(SEARCH("adjust",C208)),"Defective Device",ISNUMBER(SEARCH("perform",C208)),"Defective Device",ISNUMBER(SEARCH("malfunction",C208)),"Defective Device",ISNUMBER(SEARCH("defect",C208)),"Defective Device",ISNUMBER(SEARCH("fail",C208)),"Defective Device",ISNUMBER(SEARCH("not work",C208)),"Defective Device",ISNUMBER(SEARCH("doesn't work",C208)),"Defective Device",TRUE,"UNKNOWN"),"UNKNOWN")))</f>
        <v/>
      </c>
      <c r="F208" s="4" t="str">
        <f t="shared" si="3"/>
        <v/>
      </c>
      <c r="G208" s="363" t="str">
        <f>IF(E208="","",IFERROR(VLOOKUP(E208,Codes!$L$2:$N$409,3,FALSE),"—"))</f>
        <v/>
      </c>
      <c r="H208" s="88"/>
      <c r="I208" s="88"/>
    </row>
    <row r="209" spans="1:9" ht="13.15" x14ac:dyDescent="0.35">
      <c r="A209" s="435"/>
      <c r="B209" s="436"/>
      <c r="C209" s="438"/>
      <c r="D209" s="435"/>
      <c r="E209" s="93" t="str" cm="1">
        <f t="array" ref="E209">IF(D209&lt;&gt;"",IFERROR(VLOOKUP(D209,Codes!$K$2:$L$409,2,FALSE),"UNKNOWN - "&amp;D209),IF(C209="","",IFERROR(_xlfn.IFS(ISNUMBER(SEARCH("broken button",C209)),"Break",ISNUMBER(SEARCH("broken handle",C209)),"Break",ISNUMBER(SEARCH("shipping damage",C209)),"Break",ISNUMBER(SEARCH("broken",C209)),"Break",ISNUMBER(SEARCH("crack",C209)),"Break",ISNUMBER(SEARCH("snap",C209)),"Break",ISNUMBER(SEARCH("fracture",C209)),"Break",ISNUMBER(SEARCH("bent",C209)),"Material Twisted/Bent",ISNUMBER(SEARCH("twisted",C209)),"Material Twisted/Bent",ISNUMBER(SEARCH("component separat",C209)),"Material Separation",ISNUMBER(SEARCH("separat",C209)),"Material Separation",ISNUMBER(SEARCH("connection",C209)),"Loose or Intermittent Connection",ISNUMBER(SEARCH("loose",C209)),"Loose or Intermittent Connection",ISNUMBER(SEARCH("damaged packaging",C209)),"Packaging Problem",ISNUMBER(SEARCH("packaging",C209)),"Packaging Problem",ISNUMBER(SEARCH("discoloration",C209)),"Contamination",ISNUMBER(SEARCH("tarnish",C209)),"Contamination",ISNUMBER(SEARCH("stain",C209)),"Contamination",ISNUMBER(SEARCH("foreign material",C209)),"Contamination",ISNUMBER(SEARCH("contamina",C209)),"Contamination",ISNUMBER(SEARCH("overheat",C209)),"Overheating of Device",ISNUMBER(SEARCH("excessive heat",C209)),"Overheating of Device",ISNUMBER(SEARCH("hot",C209)),"Overheating of Device",ISNUMBER(SEARCH("noise",C209)),"Noise, Audible",ISNUMBER(SEARCH("sound",C209)),"Noise, Audible",ISNUMBER(SEARCH("loud",C209)),"Noise, Audible",ISNUMBER(SEARCH("fray",C209)),"Material Frayed",ISNUMBER(SEARCH("hole",C209)),"Material Frayed",ISNUMBER(SEARCH("tear",C209)),"Material Frayed",ISNUMBER(SEARCH("worn",C209)),"Material Frayed",ISNUMBER(SEARCH("intermittent",C209)),"Difficult or Delayed Activation",ISNUMBER(SEARCH("delay",C209)),"Difficult or Delayed Activation",ISNUMBER(SEARCH("label",C209)),"Device Markings/Labelling Problem",ISNUMBER(SEARCH("marking",C209)),"Device Markings/Labelling Problem",ISNUMBER(SEARCH("lacerat",C209)),"Defective Device",ISNUMBER(SEARCH("cut",C209)),"Defective Device",ISNUMBER(SEARCH("leak",C209)),"Fluid/Blood Leak",ISNUMBER(SEARCH("missing",C209)),"Component Missing",ISNUMBER(SEARCH("power",C209)),"Complete Loss of Power",ISNUMBER(SEARCH("will not turn on",C209)),"Complete Loss of Power",ISNUMBER(SEARCH("won't turn on",C209)),"Complete Loss of Power",ISNUMBER(SEARCH("does not turn on",C209)),"Complete Loss of Power",ISNUMBER(SEARCH("electrical",C209)),"Electrical Power Problem",ISNUMBER(SEARCH("pressure",C209)),"Detachment of Device or Device Component",ISNUMBER(SEARCH("slip",C209)),"Detachment of Device or Device Component",ISNUMBER(SEARCH("detach",C209)),"Detachment of Device or Device Component",ISNUMBER(SEARCH("stick",C209)),"Mechanical Jam",ISNUMBER(SEARCH("jam",C209)),"Mechanical Jam",ISNUMBER(SEARCH("rigid",C209)),"Mechanical Jam",ISNUMBER(SEARCH("rust",C209)),"Corroded",ISNUMBER(SEARCH("corrod",C209)),"Corroded",ISNUMBER(SEARCH("corrosion",C209)),"Corroded",ISNUMBER(SEARCH("alignment",C209)),"Defective Device",ISNUMBER(SEARCH("adjust",C209)),"Defective Device",ISNUMBER(SEARCH("perform",C209)),"Defective Device",ISNUMBER(SEARCH("malfunction",C209)),"Defective Device",ISNUMBER(SEARCH("defect",C209)),"Defective Device",ISNUMBER(SEARCH("fail",C209)),"Defective Device",ISNUMBER(SEARCH("not work",C209)),"Defective Device",ISNUMBER(SEARCH("doesn't work",C209)),"Defective Device",TRUE,"UNKNOWN"),"UNKNOWN")))</f>
        <v/>
      </c>
      <c r="F209" s="4" t="str">
        <f t="shared" si="3"/>
        <v/>
      </c>
      <c r="G209" s="363" t="str">
        <f>IF(E209="","",IFERROR(VLOOKUP(E209,Codes!$L$2:$N$409,3,FALSE),"—"))</f>
        <v/>
      </c>
      <c r="H209" s="88"/>
      <c r="I209" s="88"/>
    </row>
    <row r="210" spans="1:9" ht="13.15" x14ac:dyDescent="0.35">
      <c r="A210" s="434"/>
      <c r="B210" s="436"/>
      <c r="C210" s="437"/>
      <c r="D210" s="434"/>
      <c r="E210" s="93" t="str" cm="1">
        <f t="array" ref="E210">IF(D210&lt;&gt;"",IFERROR(VLOOKUP(D210,Codes!$K$2:$L$409,2,FALSE),"UNKNOWN - "&amp;D210),IF(C210="","",IFERROR(_xlfn.IFS(ISNUMBER(SEARCH("broken button",C210)),"Break",ISNUMBER(SEARCH("broken handle",C210)),"Break",ISNUMBER(SEARCH("shipping damage",C210)),"Break",ISNUMBER(SEARCH("broken",C210)),"Break",ISNUMBER(SEARCH("crack",C210)),"Break",ISNUMBER(SEARCH("snap",C210)),"Break",ISNUMBER(SEARCH("fracture",C210)),"Break",ISNUMBER(SEARCH("bent",C210)),"Material Twisted/Bent",ISNUMBER(SEARCH("twisted",C210)),"Material Twisted/Bent",ISNUMBER(SEARCH("component separat",C210)),"Material Separation",ISNUMBER(SEARCH("separat",C210)),"Material Separation",ISNUMBER(SEARCH("connection",C210)),"Loose or Intermittent Connection",ISNUMBER(SEARCH("loose",C210)),"Loose or Intermittent Connection",ISNUMBER(SEARCH("damaged packaging",C210)),"Packaging Problem",ISNUMBER(SEARCH("packaging",C210)),"Packaging Problem",ISNUMBER(SEARCH("discoloration",C210)),"Contamination",ISNUMBER(SEARCH("tarnish",C210)),"Contamination",ISNUMBER(SEARCH("stain",C210)),"Contamination",ISNUMBER(SEARCH("foreign material",C210)),"Contamination",ISNUMBER(SEARCH("contamina",C210)),"Contamination",ISNUMBER(SEARCH("overheat",C210)),"Overheating of Device",ISNUMBER(SEARCH("excessive heat",C210)),"Overheating of Device",ISNUMBER(SEARCH("hot",C210)),"Overheating of Device",ISNUMBER(SEARCH("noise",C210)),"Noise, Audible",ISNUMBER(SEARCH("sound",C210)),"Noise, Audible",ISNUMBER(SEARCH("loud",C210)),"Noise, Audible",ISNUMBER(SEARCH("fray",C210)),"Material Frayed",ISNUMBER(SEARCH("hole",C210)),"Material Frayed",ISNUMBER(SEARCH("tear",C210)),"Material Frayed",ISNUMBER(SEARCH("worn",C210)),"Material Frayed",ISNUMBER(SEARCH("intermittent",C210)),"Difficult or Delayed Activation",ISNUMBER(SEARCH("delay",C210)),"Difficult or Delayed Activation",ISNUMBER(SEARCH("label",C210)),"Device Markings/Labelling Problem",ISNUMBER(SEARCH("marking",C210)),"Device Markings/Labelling Problem",ISNUMBER(SEARCH("lacerat",C210)),"Defective Device",ISNUMBER(SEARCH("cut",C210)),"Defective Device",ISNUMBER(SEARCH("leak",C210)),"Fluid/Blood Leak",ISNUMBER(SEARCH("missing",C210)),"Component Missing",ISNUMBER(SEARCH("power",C210)),"Complete Loss of Power",ISNUMBER(SEARCH("will not turn on",C210)),"Complete Loss of Power",ISNUMBER(SEARCH("won't turn on",C210)),"Complete Loss of Power",ISNUMBER(SEARCH("does not turn on",C210)),"Complete Loss of Power",ISNUMBER(SEARCH("electrical",C210)),"Electrical Power Problem",ISNUMBER(SEARCH("pressure",C210)),"Detachment of Device or Device Component",ISNUMBER(SEARCH("slip",C210)),"Detachment of Device or Device Component",ISNUMBER(SEARCH("detach",C210)),"Detachment of Device or Device Component",ISNUMBER(SEARCH("stick",C210)),"Mechanical Jam",ISNUMBER(SEARCH("jam",C210)),"Mechanical Jam",ISNUMBER(SEARCH("rigid",C210)),"Mechanical Jam",ISNUMBER(SEARCH("rust",C210)),"Corroded",ISNUMBER(SEARCH("corrod",C210)),"Corroded",ISNUMBER(SEARCH("corrosion",C210)),"Corroded",ISNUMBER(SEARCH("alignment",C210)),"Defective Device",ISNUMBER(SEARCH("adjust",C210)),"Defective Device",ISNUMBER(SEARCH("perform",C210)),"Defective Device",ISNUMBER(SEARCH("malfunction",C210)),"Defective Device",ISNUMBER(SEARCH("defect",C210)),"Defective Device",ISNUMBER(SEARCH("fail",C210)),"Defective Device",ISNUMBER(SEARCH("not work",C210)),"Defective Device",ISNUMBER(SEARCH("doesn't work",C210)),"Defective Device",TRUE,"UNKNOWN"),"UNKNOWN")))</f>
        <v/>
      </c>
      <c r="F210" s="4" t="str">
        <f t="shared" si="3"/>
        <v/>
      </c>
      <c r="G210" s="363" t="str">
        <f>IF(E210="","",IFERROR(VLOOKUP(E210,Codes!$L$2:$N$409,3,FALSE),"—"))</f>
        <v/>
      </c>
      <c r="H210" s="88"/>
      <c r="I210" s="88"/>
    </row>
    <row r="211" spans="1:9" ht="13.15" x14ac:dyDescent="0.35">
      <c r="A211" s="434"/>
      <c r="B211" s="436"/>
      <c r="C211" s="437"/>
      <c r="D211" s="434"/>
      <c r="E211" s="93" t="str" cm="1">
        <f t="array" ref="E211">IF(D211&lt;&gt;"",IFERROR(VLOOKUP(D211,Codes!$K$2:$L$409,2,FALSE),"UNKNOWN - "&amp;D211),IF(C211="","",IFERROR(_xlfn.IFS(ISNUMBER(SEARCH("broken button",C211)),"Break",ISNUMBER(SEARCH("broken handle",C211)),"Break",ISNUMBER(SEARCH("shipping damage",C211)),"Break",ISNUMBER(SEARCH("broken",C211)),"Break",ISNUMBER(SEARCH("crack",C211)),"Break",ISNUMBER(SEARCH("snap",C211)),"Break",ISNUMBER(SEARCH("fracture",C211)),"Break",ISNUMBER(SEARCH("bent",C211)),"Material Twisted/Bent",ISNUMBER(SEARCH("twisted",C211)),"Material Twisted/Bent",ISNUMBER(SEARCH("component separat",C211)),"Material Separation",ISNUMBER(SEARCH("separat",C211)),"Material Separation",ISNUMBER(SEARCH("connection",C211)),"Loose or Intermittent Connection",ISNUMBER(SEARCH("loose",C211)),"Loose or Intermittent Connection",ISNUMBER(SEARCH("damaged packaging",C211)),"Packaging Problem",ISNUMBER(SEARCH("packaging",C211)),"Packaging Problem",ISNUMBER(SEARCH("discoloration",C211)),"Contamination",ISNUMBER(SEARCH("tarnish",C211)),"Contamination",ISNUMBER(SEARCH("stain",C211)),"Contamination",ISNUMBER(SEARCH("foreign material",C211)),"Contamination",ISNUMBER(SEARCH("contamina",C211)),"Contamination",ISNUMBER(SEARCH("overheat",C211)),"Overheating of Device",ISNUMBER(SEARCH("excessive heat",C211)),"Overheating of Device",ISNUMBER(SEARCH("hot",C211)),"Overheating of Device",ISNUMBER(SEARCH("noise",C211)),"Noise, Audible",ISNUMBER(SEARCH("sound",C211)),"Noise, Audible",ISNUMBER(SEARCH("loud",C211)),"Noise, Audible",ISNUMBER(SEARCH("fray",C211)),"Material Frayed",ISNUMBER(SEARCH("hole",C211)),"Material Frayed",ISNUMBER(SEARCH("tear",C211)),"Material Frayed",ISNUMBER(SEARCH("worn",C211)),"Material Frayed",ISNUMBER(SEARCH("intermittent",C211)),"Difficult or Delayed Activation",ISNUMBER(SEARCH("delay",C211)),"Difficult or Delayed Activation",ISNUMBER(SEARCH("label",C211)),"Device Markings/Labelling Problem",ISNUMBER(SEARCH("marking",C211)),"Device Markings/Labelling Problem",ISNUMBER(SEARCH("lacerat",C211)),"Defective Device",ISNUMBER(SEARCH("cut",C211)),"Defective Device",ISNUMBER(SEARCH("leak",C211)),"Fluid/Blood Leak",ISNUMBER(SEARCH("missing",C211)),"Component Missing",ISNUMBER(SEARCH("power",C211)),"Complete Loss of Power",ISNUMBER(SEARCH("will not turn on",C211)),"Complete Loss of Power",ISNUMBER(SEARCH("won't turn on",C211)),"Complete Loss of Power",ISNUMBER(SEARCH("does not turn on",C211)),"Complete Loss of Power",ISNUMBER(SEARCH("electrical",C211)),"Electrical Power Problem",ISNUMBER(SEARCH("pressure",C211)),"Detachment of Device or Device Component",ISNUMBER(SEARCH("slip",C211)),"Detachment of Device or Device Component",ISNUMBER(SEARCH("detach",C211)),"Detachment of Device or Device Component",ISNUMBER(SEARCH("stick",C211)),"Mechanical Jam",ISNUMBER(SEARCH("jam",C211)),"Mechanical Jam",ISNUMBER(SEARCH("rigid",C211)),"Mechanical Jam",ISNUMBER(SEARCH("rust",C211)),"Corroded",ISNUMBER(SEARCH("corrod",C211)),"Corroded",ISNUMBER(SEARCH("corrosion",C211)),"Corroded",ISNUMBER(SEARCH("alignment",C211)),"Defective Device",ISNUMBER(SEARCH("adjust",C211)),"Defective Device",ISNUMBER(SEARCH("perform",C211)),"Defective Device",ISNUMBER(SEARCH("malfunction",C211)),"Defective Device",ISNUMBER(SEARCH("defect",C211)),"Defective Device",ISNUMBER(SEARCH("fail",C211)),"Defective Device",ISNUMBER(SEARCH("not work",C211)),"Defective Device",ISNUMBER(SEARCH("doesn't work",C211)),"Defective Device",TRUE,"UNKNOWN"),"UNKNOWN")))</f>
        <v/>
      </c>
      <c r="F211" s="4" t="str">
        <f t="shared" si="3"/>
        <v/>
      </c>
      <c r="G211" s="363" t="str">
        <f>IF(E211="","",IFERROR(VLOOKUP(E211,Codes!$L$2:$N$409,3,FALSE),"—"))</f>
        <v/>
      </c>
      <c r="H211" s="88"/>
      <c r="I211" s="88"/>
    </row>
    <row r="212" spans="1:9" ht="13.15" x14ac:dyDescent="0.35">
      <c r="A212" s="435"/>
      <c r="B212" s="436"/>
      <c r="C212" s="438"/>
      <c r="D212" s="435"/>
      <c r="E212" s="93" t="str" cm="1">
        <f t="array" ref="E212">IF(D212&lt;&gt;"",IFERROR(VLOOKUP(D212,Codes!$K$2:$L$409,2,FALSE),"UNKNOWN - "&amp;D212),IF(C212="","",IFERROR(_xlfn.IFS(ISNUMBER(SEARCH("broken button",C212)),"Break",ISNUMBER(SEARCH("broken handle",C212)),"Break",ISNUMBER(SEARCH("shipping damage",C212)),"Break",ISNUMBER(SEARCH("broken",C212)),"Break",ISNUMBER(SEARCH("crack",C212)),"Break",ISNUMBER(SEARCH("snap",C212)),"Break",ISNUMBER(SEARCH("fracture",C212)),"Break",ISNUMBER(SEARCH("bent",C212)),"Material Twisted/Bent",ISNUMBER(SEARCH("twisted",C212)),"Material Twisted/Bent",ISNUMBER(SEARCH("component separat",C212)),"Material Separation",ISNUMBER(SEARCH("separat",C212)),"Material Separation",ISNUMBER(SEARCH("connection",C212)),"Loose or Intermittent Connection",ISNUMBER(SEARCH("loose",C212)),"Loose or Intermittent Connection",ISNUMBER(SEARCH("damaged packaging",C212)),"Packaging Problem",ISNUMBER(SEARCH("packaging",C212)),"Packaging Problem",ISNUMBER(SEARCH("discoloration",C212)),"Contamination",ISNUMBER(SEARCH("tarnish",C212)),"Contamination",ISNUMBER(SEARCH("stain",C212)),"Contamination",ISNUMBER(SEARCH("foreign material",C212)),"Contamination",ISNUMBER(SEARCH("contamina",C212)),"Contamination",ISNUMBER(SEARCH("overheat",C212)),"Overheating of Device",ISNUMBER(SEARCH("excessive heat",C212)),"Overheating of Device",ISNUMBER(SEARCH("hot",C212)),"Overheating of Device",ISNUMBER(SEARCH("noise",C212)),"Noise, Audible",ISNUMBER(SEARCH("sound",C212)),"Noise, Audible",ISNUMBER(SEARCH("loud",C212)),"Noise, Audible",ISNUMBER(SEARCH("fray",C212)),"Material Frayed",ISNUMBER(SEARCH("hole",C212)),"Material Frayed",ISNUMBER(SEARCH("tear",C212)),"Material Frayed",ISNUMBER(SEARCH("worn",C212)),"Material Frayed",ISNUMBER(SEARCH("intermittent",C212)),"Difficult or Delayed Activation",ISNUMBER(SEARCH("delay",C212)),"Difficult or Delayed Activation",ISNUMBER(SEARCH("label",C212)),"Device Markings/Labelling Problem",ISNUMBER(SEARCH("marking",C212)),"Device Markings/Labelling Problem",ISNUMBER(SEARCH("lacerat",C212)),"Defective Device",ISNUMBER(SEARCH("cut",C212)),"Defective Device",ISNUMBER(SEARCH("leak",C212)),"Fluid/Blood Leak",ISNUMBER(SEARCH("missing",C212)),"Component Missing",ISNUMBER(SEARCH("power",C212)),"Complete Loss of Power",ISNUMBER(SEARCH("will not turn on",C212)),"Complete Loss of Power",ISNUMBER(SEARCH("won't turn on",C212)),"Complete Loss of Power",ISNUMBER(SEARCH("does not turn on",C212)),"Complete Loss of Power",ISNUMBER(SEARCH("electrical",C212)),"Electrical Power Problem",ISNUMBER(SEARCH("pressure",C212)),"Detachment of Device or Device Component",ISNUMBER(SEARCH("slip",C212)),"Detachment of Device or Device Component",ISNUMBER(SEARCH("detach",C212)),"Detachment of Device or Device Component",ISNUMBER(SEARCH("stick",C212)),"Mechanical Jam",ISNUMBER(SEARCH("jam",C212)),"Mechanical Jam",ISNUMBER(SEARCH("rigid",C212)),"Mechanical Jam",ISNUMBER(SEARCH("rust",C212)),"Corroded",ISNUMBER(SEARCH("corrod",C212)),"Corroded",ISNUMBER(SEARCH("corrosion",C212)),"Corroded",ISNUMBER(SEARCH("alignment",C212)),"Defective Device",ISNUMBER(SEARCH("adjust",C212)),"Defective Device",ISNUMBER(SEARCH("perform",C212)),"Defective Device",ISNUMBER(SEARCH("malfunction",C212)),"Defective Device",ISNUMBER(SEARCH("defect",C212)),"Defective Device",ISNUMBER(SEARCH("fail",C212)),"Defective Device",ISNUMBER(SEARCH("not work",C212)),"Defective Device",ISNUMBER(SEARCH("doesn't work",C212)),"Defective Device",TRUE,"UNKNOWN"),"UNKNOWN")))</f>
        <v/>
      </c>
      <c r="F212" s="4" t="str">
        <f t="shared" si="3"/>
        <v/>
      </c>
      <c r="G212" s="363" t="str">
        <f>IF(E212="","",IFERROR(VLOOKUP(E212,Codes!$L$2:$N$409,3,FALSE),"—"))</f>
        <v/>
      </c>
      <c r="H212" s="88"/>
      <c r="I212" s="88"/>
    </row>
    <row r="213" spans="1:9" ht="13.15" x14ac:dyDescent="0.35">
      <c r="A213" s="435"/>
      <c r="B213" s="436"/>
      <c r="C213" s="438"/>
      <c r="D213" s="435"/>
      <c r="E213" s="93" t="str" cm="1">
        <f t="array" ref="E213">IF(D213&lt;&gt;"",IFERROR(VLOOKUP(D213,Codes!$K$2:$L$409,2,FALSE),"UNKNOWN - "&amp;D213),IF(C213="","",IFERROR(_xlfn.IFS(ISNUMBER(SEARCH("broken button",C213)),"Break",ISNUMBER(SEARCH("broken handle",C213)),"Break",ISNUMBER(SEARCH("shipping damage",C213)),"Break",ISNUMBER(SEARCH("broken",C213)),"Break",ISNUMBER(SEARCH("crack",C213)),"Break",ISNUMBER(SEARCH("snap",C213)),"Break",ISNUMBER(SEARCH("fracture",C213)),"Break",ISNUMBER(SEARCH("bent",C213)),"Material Twisted/Bent",ISNUMBER(SEARCH("twisted",C213)),"Material Twisted/Bent",ISNUMBER(SEARCH("component separat",C213)),"Material Separation",ISNUMBER(SEARCH("separat",C213)),"Material Separation",ISNUMBER(SEARCH("connection",C213)),"Loose or Intermittent Connection",ISNUMBER(SEARCH("loose",C213)),"Loose or Intermittent Connection",ISNUMBER(SEARCH("damaged packaging",C213)),"Packaging Problem",ISNUMBER(SEARCH("packaging",C213)),"Packaging Problem",ISNUMBER(SEARCH("discoloration",C213)),"Contamination",ISNUMBER(SEARCH("tarnish",C213)),"Contamination",ISNUMBER(SEARCH("stain",C213)),"Contamination",ISNUMBER(SEARCH("foreign material",C213)),"Contamination",ISNUMBER(SEARCH("contamina",C213)),"Contamination",ISNUMBER(SEARCH("overheat",C213)),"Overheating of Device",ISNUMBER(SEARCH("excessive heat",C213)),"Overheating of Device",ISNUMBER(SEARCH("hot",C213)),"Overheating of Device",ISNUMBER(SEARCH("noise",C213)),"Noise, Audible",ISNUMBER(SEARCH("sound",C213)),"Noise, Audible",ISNUMBER(SEARCH("loud",C213)),"Noise, Audible",ISNUMBER(SEARCH("fray",C213)),"Material Frayed",ISNUMBER(SEARCH("hole",C213)),"Material Frayed",ISNUMBER(SEARCH("tear",C213)),"Material Frayed",ISNUMBER(SEARCH("worn",C213)),"Material Frayed",ISNUMBER(SEARCH("intermittent",C213)),"Difficult or Delayed Activation",ISNUMBER(SEARCH("delay",C213)),"Difficult or Delayed Activation",ISNUMBER(SEARCH("label",C213)),"Device Markings/Labelling Problem",ISNUMBER(SEARCH("marking",C213)),"Device Markings/Labelling Problem",ISNUMBER(SEARCH("lacerat",C213)),"Defective Device",ISNUMBER(SEARCH("cut",C213)),"Defective Device",ISNUMBER(SEARCH("leak",C213)),"Fluid/Blood Leak",ISNUMBER(SEARCH("missing",C213)),"Component Missing",ISNUMBER(SEARCH("power",C213)),"Complete Loss of Power",ISNUMBER(SEARCH("will not turn on",C213)),"Complete Loss of Power",ISNUMBER(SEARCH("won't turn on",C213)),"Complete Loss of Power",ISNUMBER(SEARCH("does not turn on",C213)),"Complete Loss of Power",ISNUMBER(SEARCH("electrical",C213)),"Electrical Power Problem",ISNUMBER(SEARCH("pressure",C213)),"Detachment of Device or Device Component",ISNUMBER(SEARCH("slip",C213)),"Detachment of Device or Device Component",ISNUMBER(SEARCH("detach",C213)),"Detachment of Device or Device Component",ISNUMBER(SEARCH("stick",C213)),"Mechanical Jam",ISNUMBER(SEARCH("jam",C213)),"Mechanical Jam",ISNUMBER(SEARCH("rigid",C213)),"Mechanical Jam",ISNUMBER(SEARCH("rust",C213)),"Corroded",ISNUMBER(SEARCH("corrod",C213)),"Corroded",ISNUMBER(SEARCH("corrosion",C213)),"Corroded",ISNUMBER(SEARCH("alignment",C213)),"Defective Device",ISNUMBER(SEARCH("adjust",C213)),"Defective Device",ISNUMBER(SEARCH("perform",C213)),"Defective Device",ISNUMBER(SEARCH("malfunction",C213)),"Defective Device",ISNUMBER(SEARCH("defect",C213)),"Defective Device",ISNUMBER(SEARCH("fail",C213)),"Defective Device",ISNUMBER(SEARCH("not work",C213)),"Defective Device",ISNUMBER(SEARCH("doesn't work",C213)),"Defective Device",TRUE,"UNKNOWN"),"UNKNOWN")))</f>
        <v/>
      </c>
      <c r="F213" s="4" t="str">
        <f t="shared" si="3"/>
        <v/>
      </c>
      <c r="G213" s="363" t="str">
        <f>IF(E213="","",IFERROR(VLOOKUP(E213,Codes!$L$2:$N$409,3,FALSE),"—"))</f>
        <v/>
      </c>
      <c r="H213" s="88"/>
      <c r="I213" s="88"/>
    </row>
    <row r="214" spans="1:9" ht="13.15" x14ac:dyDescent="0.35">
      <c r="A214" s="435"/>
      <c r="B214" s="436"/>
      <c r="C214" s="438"/>
      <c r="D214" s="435"/>
      <c r="E214" s="93" t="str" cm="1">
        <f t="array" ref="E214">IF(D214&lt;&gt;"",IFERROR(VLOOKUP(D214,Codes!$K$2:$L$409,2,FALSE),"UNKNOWN - "&amp;D214),IF(C214="","",IFERROR(_xlfn.IFS(ISNUMBER(SEARCH("broken button",C214)),"Break",ISNUMBER(SEARCH("broken handle",C214)),"Break",ISNUMBER(SEARCH("shipping damage",C214)),"Break",ISNUMBER(SEARCH("broken",C214)),"Break",ISNUMBER(SEARCH("crack",C214)),"Break",ISNUMBER(SEARCH("snap",C214)),"Break",ISNUMBER(SEARCH("fracture",C214)),"Break",ISNUMBER(SEARCH("bent",C214)),"Material Twisted/Bent",ISNUMBER(SEARCH("twisted",C214)),"Material Twisted/Bent",ISNUMBER(SEARCH("component separat",C214)),"Material Separation",ISNUMBER(SEARCH("separat",C214)),"Material Separation",ISNUMBER(SEARCH("connection",C214)),"Loose or Intermittent Connection",ISNUMBER(SEARCH("loose",C214)),"Loose or Intermittent Connection",ISNUMBER(SEARCH("damaged packaging",C214)),"Packaging Problem",ISNUMBER(SEARCH("packaging",C214)),"Packaging Problem",ISNUMBER(SEARCH("discoloration",C214)),"Contamination",ISNUMBER(SEARCH("tarnish",C214)),"Contamination",ISNUMBER(SEARCH("stain",C214)),"Contamination",ISNUMBER(SEARCH("foreign material",C214)),"Contamination",ISNUMBER(SEARCH("contamina",C214)),"Contamination",ISNUMBER(SEARCH("overheat",C214)),"Overheating of Device",ISNUMBER(SEARCH("excessive heat",C214)),"Overheating of Device",ISNUMBER(SEARCH("hot",C214)),"Overheating of Device",ISNUMBER(SEARCH("noise",C214)),"Noise, Audible",ISNUMBER(SEARCH("sound",C214)),"Noise, Audible",ISNUMBER(SEARCH("loud",C214)),"Noise, Audible",ISNUMBER(SEARCH("fray",C214)),"Material Frayed",ISNUMBER(SEARCH("hole",C214)),"Material Frayed",ISNUMBER(SEARCH("tear",C214)),"Material Frayed",ISNUMBER(SEARCH("worn",C214)),"Material Frayed",ISNUMBER(SEARCH("intermittent",C214)),"Difficult or Delayed Activation",ISNUMBER(SEARCH("delay",C214)),"Difficult or Delayed Activation",ISNUMBER(SEARCH("label",C214)),"Device Markings/Labelling Problem",ISNUMBER(SEARCH("marking",C214)),"Device Markings/Labelling Problem",ISNUMBER(SEARCH("lacerat",C214)),"Defective Device",ISNUMBER(SEARCH("cut",C214)),"Defective Device",ISNUMBER(SEARCH("leak",C214)),"Fluid/Blood Leak",ISNUMBER(SEARCH("missing",C214)),"Component Missing",ISNUMBER(SEARCH("power",C214)),"Complete Loss of Power",ISNUMBER(SEARCH("will not turn on",C214)),"Complete Loss of Power",ISNUMBER(SEARCH("won't turn on",C214)),"Complete Loss of Power",ISNUMBER(SEARCH("does not turn on",C214)),"Complete Loss of Power",ISNUMBER(SEARCH("electrical",C214)),"Electrical Power Problem",ISNUMBER(SEARCH("pressure",C214)),"Detachment of Device or Device Component",ISNUMBER(SEARCH("slip",C214)),"Detachment of Device or Device Component",ISNUMBER(SEARCH("detach",C214)),"Detachment of Device or Device Component",ISNUMBER(SEARCH("stick",C214)),"Mechanical Jam",ISNUMBER(SEARCH("jam",C214)),"Mechanical Jam",ISNUMBER(SEARCH("rigid",C214)),"Mechanical Jam",ISNUMBER(SEARCH("rust",C214)),"Corroded",ISNUMBER(SEARCH("corrod",C214)),"Corroded",ISNUMBER(SEARCH("corrosion",C214)),"Corroded",ISNUMBER(SEARCH("alignment",C214)),"Defective Device",ISNUMBER(SEARCH("adjust",C214)),"Defective Device",ISNUMBER(SEARCH("perform",C214)),"Defective Device",ISNUMBER(SEARCH("malfunction",C214)),"Defective Device",ISNUMBER(SEARCH("defect",C214)),"Defective Device",ISNUMBER(SEARCH("fail",C214)),"Defective Device",ISNUMBER(SEARCH("not work",C214)),"Defective Device",ISNUMBER(SEARCH("doesn't work",C214)),"Defective Device",TRUE,"UNKNOWN"),"UNKNOWN")))</f>
        <v/>
      </c>
      <c r="F214" s="4" t="str">
        <f t="shared" si="3"/>
        <v/>
      </c>
      <c r="G214" s="363" t="str">
        <f>IF(E214="","",IFERROR(VLOOKUP(E214,Codes!$L$2:$N$409,3,FALSE),"—"))</f>
        <v/>
      </c>
      <c r="H214" s="88"/>
      <c r="I214" s="88"/>
    </row>
    <row r="215" spans="1:9" ht="13.15" x14ac:dyDescent="0.35">
      <c r="A215" s="434"/>
      <c r="B215" s="436"/>
      <c r="C215" s="437"/>
      <c r="D215" s="434"/>
      <c r="E215" s="93" t="str" cm="1">
        <f t="array" ref="E215">IF(D215&lt;&gt;"",IFERROR(VLOOKUP(D215,Codes!$K$2:$L$409,2,FALSE),"UNKNOWN - "&amp;D215),IF(C215="","",IFERROR(_xlfn.IFS(ISNUMBER(SEARCH("broken button",C215)),"Break",ISNUMBER(SEARCH("broken handle",C215)),"Break",ISNUMBER(SEARCH("shipping damage",C215)),"Break",ISNUMBER(SEARCH("broken",C215)),"Break",ISNUMBER(SEARCH("crack",C215)),"Break",ISNUMBER(SEARCH("snap",C215)),"Break",ISNUMBER(SEARCH("fracture",C215)),"Break",ISNUMBER(SEARCH("bent",C215)),"Material Twisted/Bent",ISNUMBER(SEARCH("twisted",C215)),"Material Twisted/Bent",ISNUMBER(SEARCH("component separat",C215)),"Material Separation",ISNUMBER(SEARCH("separat",C215)),"Material Separation",ISNUMBER(SEARCH("connection",C215)),"Loose or Intermittent Connection",ISNUMBER(SEARCH("loose",C215)),"Loose or Intermittent Connection",ISNUMBER(SEARCH("damaged packaging",C215)),"Packaging Problem",ISNUMBER(SEARCH("packaging",C215)),"Packaging Problem",ISNUMBER(SEARCH("discoloration",C215)),"Contamination",ISNUMBER(SEARCH("tarnish",C215)),"Contamination",ISNUMBER(SEARCH("stain",C215)),"Contamination",ISNUMBER(SEARCH("foreign material",C215)),"Contamination",ISNUMBER(SEARCH("contamina",C215)),"Contamination",ISNUMBER(SEARCH("overheat",C215)),"Overheating of Device",ISNUMBER(SEARCH("excessive heat",C215)),"Overheating of Device",ISNUMBER(SEARCH("hot",C215)),"Overheating of Device",ISNUMBER(SEARCH("noise",C215)),"Noise, Audible",ISNUMBER(SEARCH("sound",C215)),"Noise, Audible",ISNUMBER(SEARCH("loud",C215)),"Noise, Audible",ISNUMBER(SEARCH("fray",C215)),"Material Frayed",ISNUMBER(SEARCH("hole",C215)),"Material Frayed",ISNUMBER(SEARCH("tear",C215)),"Material Frayed",ISNUMBER(SEARCH("worn",C215)),"Material Frayed",ISNUMBER(SEARCH("intermittent",C215)),"Difficult or Delayed Activation",ISNUMBER(SEARCH("delay",C215)),"Difficult or Delayed Activation",ISNUMBER(SEARCH("label",C215)),"Device Markings/Labelling Problem",ISNUMBER(SEARCH("marking",C215)),"Device Markings/Labelling Problem",ISNUMBER(SEARCH("lacerat",C215)),"Defective Device",ISNUMBER(SEARCH("cut",C215)),"Defective Device",ISNUMBER(SEARCH("leak",C215)),"Fluid/Blood Leak",ISNUMBER(SEARCH("missing",C215)),"Component Missing",ISNUMBER(SEARCH("power",C215)),"Complete Loss of Power",ISNUMBER(SEARCH("will not turn on",C215)),"Complete Loss of Power",ISNUMBER(SEARCH("won't turn on",C215)),"Complete Loss of Power",ISNUMBER(SEARCH("does not turn on",C215)),"Complete Loss of Power",ISNUMBER(SEARCH("electrical",C215)),"Electrical Power Problem",ISNUMBER(SEARCH("pressure",C215)),"Detachment of Device or Device Component",ISNUMBER(SEARCH("slip",C215)),"Detachment of Device or Device Component",ISNUMBER(SEARCH("detach",C215)),"Detachment of Device or Device Component",ISNUMBER(SEARCH("stick",C215)),"Mechanical Jam",ISNUMBER(SEARCH("jam",C215)),"Mechanical Jam",ISNUMBER(SEARCH("rigid",C215)),"Mechanical Jam",ISNUMBER(SEARCH("rust",C215)),"Corroded",ISNUMBER(SEARCH("corrod",C215)),"Corroded",ISNUMBER(SEARCH("corrosion",C215)),"Corroded",ISNUMBER(SEARCH("alignment",C215)),"Defective Device",ISNUMBER(SEARCH("adjust",C215)),"Defective Device",ISNUMBER(SEARCH("perform",C215)),"Defective Device",ISNUMBER(SEARCH("malfunction",C215)),"Defective Device",ISNUMBER(SEARCH("defect",C215)),"Defective Device",ISNUMBER(SEARCH("fail",C215)),"Defective Device",ISNUMBER(SEARCH("not work",C215)),"Defective Device",ISNUMBER(SEARCH("doesn't work",C215)),"Defective Device",TRUE,"UNKNOWN"),"UNKNOWN")))</f>
        <v/>
      </c>
      <c r="F215" s="4" t="str">
        <f t="shared" si="3"/>
        <v/>
      </c>
      <c r="G215" s="363" t="str">
        <f>IF(E215="","",IFERROR(VLOOKUP(E215,Codes!$L$2:$N$409,3,FALSE),"—"))</f>
        <v/>
      </c>
      <c r="H215" s="88"/>
      <c r="I215" s="88"/>
    </row>
    <row r="216" spans="1:9" ht="13.15" x14ac:dyDescent="0.35">
      <c r="A216" s="435"/>
      <c r="B216" s="436"/>
      <c r="C216" s="438"/>
      <c r="D216" s="435"/>
      <c r="E216" s="93" t="str" cm="1">
        <f t="array" ref="E216">IF(D216&lt;&gt;"",IFERROR(VLOOKUP(D216,Codes!$K$2:$L$409,2,FALSE),"UNKNOWN - "&amp;D216),IF(C216="","",IFERROR(_xlfn.IFS(ISNUMBER(SEARCH("broken button",C216)),"Break",ISNUMBER(SEARCH("broken handle",C216)),"Break",ISNUMBER(SEARCH("shipping damage",C216)),"Break",ISNUMBER(SEARCH("broken",C216)),"Break",ISNUMBER(SEARCH("crack",C216)),"Break",ISNUMBER(SEARCH("snap",C216)),"Break",ISNUMBER(SEARCH("fracture",C216)),"Break",ISNUMBER(SEARCH("bent",C216)),"Material Twisted/Bent",ISNUMBER(SEARCH("twisted",C216)),"Material Twisted/Bent",ISNUMBER(SEARCH("component separat",C216)),"Material Separation",ISNUMBER(SEARCH("separat",C216)),"Material Separation",ISNUMBER(SEARCH("connection",C216)),"Loose or Intermittent Connection",ISNUMBER(SEARCH("loose",C216)),"Loose or Intermittent Connection",ISNUMBER(SEARCH("damaged packaging",C216)),"Packaging Problem",ISNUMBER(SEARCH("packaging",C216)),"Packaging Problem",ISNUMBER(SEARCH("discoloration",C216)),"Contamination",ISNUMBER(SEARCH("tarnish",C216)),"Contamination",ISNUMBER(SEARCH("stain",C216)),"Contamination",ISNUMBER(SEARCH("foreign material",C216)),"Contamination",ISNUMBER(SEARCH("contamina",C216)),"Contamination",ISNUMBER(SEARCH("overheat",C216)),"Overheating of Device",ISNUMBER(SEARCH("excessive heat",C216)),"Overheating of Device",ISNUMBER(SEARCH("hot",C216)),"Overheating of Device",ISNUMBER(SEARCH("noise",C216)),"Noise, Audible",ISNUMBER(SEARCH("sound",C216)),"Noise, Audible",ISNUMBER(SEARCH("loud",C216)),"Noise, Audible",ISNUMBER(SEARCH("fray",C216)),"Material Frayed",ISNUMBER(SEARCH("hole",C216)),"Material Frayed",ISNUMBER(SEARCH("tear",C216)),"Material Frayed",ISNUMBER(SEARCH("worn",C216)),"Material Frayed",ISNUMBER(SEARCH("intermittent",C216)),"Difficult or Delayed Activation",ISNUMBER(SEARCH("delay",C216)),"Difficult or Delayed Activation",ISNUMBER(SEARCH("label",C216)),"Device Markings/Labelling Problem",ISNUMBER(SEARCH("marking",C216)),"Device Markings/Labelling Problem",ISNUMBER(SEARCH("lacerat",C216)),"Defective Device",ISNUMBER(SEARCH("cut",C216)),"Defective Device",ISNUMBER(SEARCH("leak",C216)),"Fluid/Blood Leak",ISNUMBER(SEARCH("missing",C216)),"Component Missing",ISNUMBER(SEARCH("power",C216)),"Complete Loss of Power",ISNUMBER(SEARCH("will not turn on",C216)),"Complete Loss of Power",ISNUMBER(SEARCH("won't turn on",C216)),"Complete Loss of Power",ISNUMBER(SEARCH("does not turn on",C216)),"Complete Loss of Power",ISNUMBER(SEARCH("electrical",C216)),"Electrical Power Problem",ISNUMBER(SEARCH("pressure",C216)),"Detachment of Device or Device Component",ISNUMBER(SEARCH("slip",C216)),"Detachment of Device or Device Component",ISNUMBER(SEARCH("detach",C216)),"Detachment of Device or Device Component",ISNUMBER(SEARCH("stick",C216)),"Mechanical Jam",ISNUMBER(SEARCH("jam",C216)),"Mechanical Jam",ISNUMBER(SEARCH("rigid",C216)),"Mechanical Jam",ISNUMBER(SEARCH("rust",C216)),"Corroded",ISNUMBER(SEARCH("corrod",C216)),"Corroded",ISNUMBER(SEARCH("corrosion",C216)),"Corroded",ISNUMBER(SEARCH("alignment",C216)),"Defective Device",ISNUMBER(SEARCH("adjust",C216)),"Defective Device",ISNUMBER(SEARCH("perform",C216)),"Defective Device",ISNUMBER(SEARCH("malfunction",C216)),"Defective Device",ISNUMBER(SEARCH("defect",C216)),"Defective Device",ISNUMBER(SEARCH("fail",C216)),"Defective Device",ISNUMBER(SEARCH("not work",C216)),"Defective Device",ISNUMBER(SEARCH("doesn't work",C216)),"Defective Device",TRUE,"UNKNOWN"),"UNKNOWN")))</f>
        <v/>
      </c>
      <c r="F216" s="4" t="str">
        <f t="shared" si="3"/>
        <v/>
      </c>
      <c r="G216" s="363" t="str">
        <f>IF(E216="","",IFERROR(VLOOKUP(E216,Codes!$L$2:$N$409,3,FALSE),"—"))</f>
        <v/>
      </c>
      <c r="H216" s="88"/>
      <c r="I216" s="88"/>
    </row>
    <row r="217" spans="1:9" ht="13.15" x14ac:dyDescent="0.35">
      <c r="A217" s="435"/>
      <c r="B217" s="436"/>
      <c r="C217" s="438"/>
      <c r="D217" s="435"/>
      <c r="E217" s="93" t="str" cm="1">
        <f t="array" ref="E217">IF(D217&lt;&gt;"",IFERROR(VLOOKUP(D217,Codes!$K$2:$L$409,2,FALSE),"UNKNOWN - "&amp;D217),IF(C217="","",IFERROR(_xlfn.IFS(ISNUMBER(SEARCH("broken button",C217)),"Break",ISNUMBER(SEARCH("broken handle",C217)),"Break",ISNUMBER(SEARCH("shipping damage",C217)),"Break",ISNUMBER(SEARCH("broken",C217)),"Break",ISNUMBER(SEARCH("crack",C217)),"Break",ISNUMBER(SEARCH("snap",C217)),"Break",ISNUMBER(SEARCH("fracture",C217)),"Break",ISNUMBER(SEARCH("bent",C217)),"Material Twisted/Bent",ISNUMBER(SEARCH("twisted",C217)),"Material Twisted/Bent",ISNUMBER(SEARCH("component separat",C217)),"Material Separation",ISNUMBER(SEARCH("separat",C217)),"Material Separation",ISNUMBER(SEARCH("connection",C217)),"Loose or Intermittent Connection",ISNUMBER(SEARCH("loose",C217)),"Loose or Intermittent Connection",ISNUMBER(SEARCH("damaged packaging",C217)),"Packaging Problem",ISNUMBER(SEARCH("packaging",C217)),"Packaging Problem",ISNUMBER(SEARCH("discoloration",C217)),"Contamination",ISNUMBER(SEARCH("tarnish",C217)),"Contamination",ISNUMBER(SEARCH("stain",C217)),"Contamination",ISNUMBER(SEARCH("foreign material",C217)),"Contamination",ISNUMBER(SEARCH("contamina",C217)),"Contamination",ISNUMBER(SEARCH("overheat",C217)),"Overheating of Device",ISNUMBER(SEARCH("excessive heat",C217)),"Overheating of Device",ISNUMBER(SEARCH("hot",C217)),"Overheating of Device",ISNUMBER(SEARCH("noise",C217)),"Noise, Audible",ISNUMBER(SEARCH("sound",C217)),"Noise, Audible",ISNUMBER(SEARCH("loud",C217)),"Noise, Audible",ISNUMBER(SEARCH("fray",C217)),"Material Frayed",ISNUMBER(SEARCH("hole",C217)),"Material Frayed",ISNUMBER(SEARCH("tear",C217)),"Material Frayed",ISNUMBER(SEARCH("worn",C217)),"Material Frayed",ISNUMBER(SEARCH("intermittent",C217)),"Difficult or Delayed Activation",ISNUMBER(SEARCH("delay",C217)),"Difficult or Delayed Activation",ISNUMBER(SEARCH("label",C217)),"Device Markings/Labelling Problem",ISNUMBER(SEARCH("marking",C217)),"Device Markings/Labelling Problem",ISNUMBER(SEARCH("lacerat",C217)),"Defective Device",ISNUMBER(SEARCH("cut",C217)),"Defective Device",ISNUMBER(SEARCH("leak",C217)),"Fluid/Blood Leak",ISNUMBER(SEARCH("missing",C217)),"Component Missing",ISNUMBER(SEARCH("power",C217)),"Complete Loss of Power",ISNUMBER(SEARCH("will not turn on",C217)),"Complete Loss of Power",ISNUMBER(SEARCH("won't turn on",C217)),"Complete Loss of Power",ISNUMBER(SEARCH("does not turn on",C217)),"Complete Loss of Power",ISNUMBER(SEARCH("electrical",C217)),"Electrical Power Problem",ISNUMBER(SEARCH("pressure",C217)),"Detachment of Device or Device Component",ISNUMBER(SEARCH("slip",C217)),"Detachment of Device or Device Component",ISNUMBER(SEARCH("detach",C217)),"Detachment of Device or Device Component",ISNUMBER(SEARCH("stick",C217)),"Mechanical Jam",ISNUMBER(SEARCH("jam",C217)),"Mechanical Jam",ISNUMBER(SEARCH("rigid",C217)),"Mechanical Jam",ISNUMBER(SEARCH("rust",C217)),"Corroded",ISNUMBER(SEARCH("corrod",C217)),"Corroded",ISNUMBER(SEARCH("corrosion",C217)),"Corroded",ISNUMBER(SEARCH("alignment",C217)),"Defective Device",ISNUMBER(SEARCH("adjust",C217)),"Defective Device",ISNUMBER(SEARCH("perform",C217)),"Defective Device",ISNUMBER(SEARCH("malfunction",C217)),"Defective Device",ISNUMBER(SEARCH("defect",C217)),"Defective Device",ISNUMBER(SEARCH("fail",C217)),"Defective Device",ISNUMBER(SEARCH("not work",C217)),"Defective Device",ISNUMBER(SEARCH("doesn't work",C217)),"Defective Device",TRUE,"UNKNOWN"),"UNKNOWN")))</f>
        <v/>
      </c>
      <c r="F217" s="4" t="str">
        <f t="shared" si="3"/>
        <v/>
      </c>
      <c r="G217" s="363" t="str">
        <f>IF(E217="","",IFERROR(VLOOKUP(E217,Codes!$L$2:$N$409,3,FALSE),"—"))</f>
        <v/>
      </c>
      <c r="H217" s="88"/>
      <c r="I217" s="88"/>
    </row>
    <row r="218" spans="1:9" ht="13.15" x14ac:dyDescent="0.35">
      <c r="A218" s="434"/>
      <c r="B218" s="436"/>
      <c r="C218" s="437"/>
      <c r="D218" s="434"/>
      <c r="E218" s="93" t="str" cm="1">
        <f t="array" ref="E218">IF(D218&lt;&gt;"",IFERROR(VLOOKUP(D218,Codes!$K$2:$L$409,2,FALSE),"UNKNOWN - "&amp;D218),IF(C218="","",IFERROR(_xlfn.IFS(ISNUMBER(SEARCH("broken button",C218)),"Break",ISNUMBER(SEARCH("broken handle",C218)),"Break",ISNUMBER(SEARCH("shipping damage",C218)),"Break",ISNUMBER(SEARCH("broken",C218)),"Break",ISNUMBER(SEARCH("crack",C218)),"Break",ISNUMBER(SEARCH("snap",C218)),"Break",ISNUMBER(SEARCH("fracture",C218)),"Break",ISNUMBER(SEARCH("bent",C218)),"Material Twisted/Bent",ISNUMBER(SEARCH("twisted",C218)),"Material Twisted/Bent",ISNUMBER(SEARCH("component separat",C218)),"Material Separation",ISNUMBER(SEARCH("separat",C218)),"Material Separation",ISNUMBER(SEARCH("connection",C218)),"Loose or Intermittent Connection",ISNUMBER(SEARCH("loose",C218)),"Loose or Intermittent Connection",ISNUMBER(SEARCH("damaged packaging",C218)),"Packaging Problem",ISNUMBER(SEARCH("packaging",C218)),"Packaging Problem",ISNUMBER(SEARCH("discoloration",C218)),"Contamination",ISNUMBER(SEARCH("tarnish",C218)),"Contamination",ISNUMBER(SEARCH("stain",C218)),"Contamination",ISNUMBER(SEARCH("foreign material",C218)),"Contamination",ISNUMBER(SEARCH("contamina",C218)),"Contamination",ISNUMBER(SEARCH("overheat",C218)),"Overheating of Device",ISNUMBER(SEARCH("excessive heat",C218)),"Overheating of Device",ISNUMBER(SEARCH("hot",C218)),"Overheating of Device",ISNUMBER(SEARCH("noise",C218)),"Noise, Audible",ISNUMBER(SEARCH("sound",C218)),"Noise, Audible",ISNUMBER(SEARCH("loud",C218)),"Noise, Audible",ISNUMBER(SEARCH("fray",C218)),"Material Frayed",ISNUMBER(SEARCH("hole",C218)),"Material Frayed",ISNUMBER(SEARCH("tear",C218)),"Material Frayed",ISNUMBER(SEARCH("worn",C218)),"Material Frayed",ISNUMBER(SEARCH("intermittent",C218)),"Difficult or Delayed Activation",ISNUMBER(SEARCH("delay",C218)),"Difficult or Delayed Activation",ISNUMBER(SEARCH("label",C218)),"Device Markings/Labelling Problem",ISNUMBER(SEARCH("marking",C218)),"Device Markings/Labelling Problem",ISNUMBER(SEARCH("lacerat",C218)),"Defective Device",ISNUMBER(SEARCH("cut",C218)),"Defective Device",ISNUMBER(SEARCH("leak",C218)),"Fluid/Blood Leak",ISNUMBER(SEARCH("missing",C218)),"Component Missing",ISNUMBER(SEARCH("power",C218)),"Complete Loss of Power",ISNUMBER(SEARCH("will not turn on",C218)),"Complete Loss of Power",ISNUMBER(SEARCH("won't turn on",C218)),"Complete Loss of Power",ISNUMBER(SEARCH("does not turn on",C218)),"Complete Loss of Power",ISNUMBER(SEARCH("electrical",C218)),"Electrical Power Problem",ISNUMBER(SEARCH("pressure",C218)),"Detachment of Device or Device Component",ISNUMBER(SEARCH("slip",C218)),"Detachment of Device or Device Component",ISNUMBER(SEARCH("detach",C218)),"Detachment of Device or Device Component",ISNUMBER(SEARCH("stick",C218)),"Mechanical Jam",ISNUMBER(SEARCH("jam",C218)),"Mechanical Jam",ISNUMBER(SEARCH("rigid",C218)),"Mechanical Jam",ISNUMBER(SEARCH("rust",C218)),"Corroded",ISNUMBER(SEARCH("corrod",C218)),"Corroded",ISNUMBER(SEARCH("corrosion",C218)),"Corroded",ISNUMBER(SEARCH("alignment",C218)),"Defective Device",ISNUMBER(SEARCH("adjust",C218)),"Defective Device",ISNUMBER(SEARCH("perform",C218)),"Defective Device",ISNUMBER(SEARCH("malfunction",C218)),"Defective Device",ISNUMBER(SEARCH("defect",C218)),"Defective Device",ISNUMBER(SEARCH("fail",C218)),"Defective Device",ISNUMBER(SEARCH("not work",C218)),"Defective Device",ISNUMBER(SEARCH("doesn't work",C218)),"Defective Device",TRUE,"UNKNOWN"),"UNKNOWN")))</f>
        <v/>
      </c>
      <c r="F218" s="4" t="str">
        <f t="shared" si="3"/>
        <v/>
      </c>
      <c r="G218" s="363" t="str">
        <f>IF(E218="","",IFERROR(VLOOKUP(E218,Codes!$L$2:$N$409,3,FALSE),"—"))</f>
        <v/>
      </c>
      <c r="H218" s="88"/>
      <c r="I218" s="88"/>
    </row>
    <row r="219" spans="1:9" ht="13.15" x14ac:dyDescent="0.35">
      <c r="A219" s="434"/>
      <c r="B219" s="436"/>
      <c r="C219" s="437"/>
      <c r="D219" s="434"/>
      <c r="E219" s="93" t="str" cm="1">
        <f t="array" ref="E219">IF(D219&lt;&gt;"",IFERROR(VLOOKUP(D219,Codes!$K$2:$L$409,2,FALSE),"UNKNOWN - "&amp;D219),IF(C219="","",IFERROR(_xlfn.IFS(ISNUMBER(SEARCH("broken button",C219)),"Break",ISNUMBER(SEARCH("broken handle",C219)),"Break",ISNUMBER(SEARCH("shipping damage",C219)),"Break",ISNUMBER(SEARCH("broken",C219)),"Break",ISNUMBER(SEARCH("crack",C219)),"Break",ISNUMBER(SEARCH("snap",C219)),"Break",ISNUMBER(SEARCH("fracture",C219)),"Break",ISNUMBER(SEARCH("bent",C219)),"Material Twisted/Bent",ISNUMBER(SEARCH("twisted",C219)),"Material Twisted/Bent",ISNUMBER(SEARCH("component separat",C219)),"Material Separation",ISNUMBER(SEARCH("separat",C219)),"Material Separation",ISNUMBER(SEARCH("connection",C219)),"Loose or Intermittent Connection",ISNUMBER(SEARCH("loose",C219)),"Loose or Intermittent Connection",ISNUMBER(SEARCH("damaged packaging",C219)),"Packaging Problem",ISNUMBER(SEARCH("packaging",C219)),"Packaging Problem",ISNUMBER(SEARCH("discoloration",C219)),"Contamination",ISNUMBER(SEARCH("tarnish",C219)),"Contamination",ISNUMBER(SEARCH("stain",C219)),"Contamination",ISNUMBER(SEARCH("foreign material",C219)),"Contamination",ISNUMBER(SEARCH("contamina",C219)),"Contamination",ISNUMBER(SEARCH("overheat",C219)),"Overheating of Device",ISNUMBER(SEARCH("excessive heat",C219)),"Overheating of Device",ISNUMBER(SEARCH("hot",C219)),"Overheating of Device",ISNUMBER(SEARCH("noise",C219)),"Noise, Audible",ISNUMBER(SEARCH("sound",C219)),"Noise, Audible",ISNUMBER(SEARCH("loud",C219)),"Noise, Audible",ISNUMBER(SEARCH("fray",C219)),"Material Frayed",ISNUMBER(SEARCH("hole",C219)),"Material Frayed",ISNUMBER(SEARCH("tear",C219)),"Material Frayed",ISNUMBER(SEARCH("worn",C219)),"Material Frayed",ISNUMBER(SEARCH("intermittent",C219)),"Difficult or Delayed Activation",ISNUMBER(SEARCH("delay",C219)),"Difficult or Delayed Activation",ISNUMBER(SEARCH("label",C219)),"Device Markings/Labelling Problem",ISNUMBER(SEARCH("marking",C219)),"Device Markings/Labelling Problem",ISNUMBER(SEARCH("lacerat",C219)),"Defective Device",ISNUMBER(SEARCH("cut",C219)),"Defective Device",ISNUMBER(SEARCH("leak",C219)),"Fluid/Blood Leak",ISNUMBER(SEARCH("missing",C219)),"Component Missing",ISNUMBER(SEARCH("power",C219)),"Complete Loss of Power",ISNUMBER(SEARCH("will not turn on",C219)),"Complete Loss of Power",ISNUMBER(SEARCH("won't turn on",C219)),"Complete Loss of Power",ISNUMBER(SEARCH("does not turn on",C219)),"Complete Loss of Power",ISNUMBER(SEARCH("electrical",C219)),"Electrical Power Problem",ISNUMBER(SEARCH("pressure",C219)),"Detachment of Device or Device Component",ISNUMBER(SEARCH("slip",C219)),"Detachment of Device or Device Component",ISNUMBER(SEARCH("detach",C219)),"Detachment of Device or Device Component",ISNUMBER(SEARCH("stick",C219)),"Mechanical Jam",ISNUMBER(SEARCH("jam",C219)),"Mechanical Jam",ISNUMBER(SEARCH("rigid",C219)),"Mechanical Jam",ISNUMBER(SEARCH("rust",C219)),"Corroded",ISNUMBER(SEARCH("corrod",C219)),"Corroded",ISNUMBER(SEARCH("corrosion",C219)),"Corroded",ISNUMBER(SEARCH("alignment",C219)),"Defective Device",ISNUMBER(SEARCH("adjust",C219)),"Defective Device",ISNUMBER(SEARCH("perform",C219)),"Defective Device",ISNUMBER(SEARCH("malfunction",C219)),"Defective Device",ISNUMBER(SEARCH("defect",C219)),"Defective Device",ISNUMBER(SEARCH("fail",C219)),"Defective Device",ISNUMBER(SEARCH("not work",C219)),"Defective Device",ISNUMBER(SEARCH("doesn't work",C219)),"Defective Device",TRUE,"UNKNOWN"),"UNKNOWN")))</f>
        <v/>
      </c>
      <c r="F219" s="4" t="str">
        <f t="shared" si="3"/>
        <v/>
      </c>
      <c r="G219" s="363" t="str">
        <f>IF(E219="","",IFERROR(VLOOKUP(E219,Codes!$L$2:$N$409,3,FALSE),"—"))</f>
        <v/>
      </c>
      <c r="H219" s="88"/>
      <c r="I219" s="88"/>
    </row>
    <row r="220" spans="1:9" ht="13.15" x14ac:dyDescent="0.35">
      <c r="A220" s="434"/>
      <c r="B220" s="436"/>
      <c r="C220" s="437"/>
      <c r="D220" s="434"/>
      <c r="E220" s="93" t="str" cm="1">
        <f t="array" ref="E220">IF(D220&lt;&gt;"",IFERROR(VLOOKUP(D220,Codes!$K$2:$L$409,2,FALSE),"UNKNOWN - "&amp;D220),IF(C220="","",IFERROR(_xlfn.IFS(ISNUMBER(SEARCH("broken button",C220)),"Break",ISNUMBER(SEARCH("broken handle",C220)),"Break",ISNUMBER(SEARCH("shipping damage",C220)),"Break",ISNUMBER(SEARCH("broken",C220)),"Break",ISNUMBER(SEARCH("crack",C220)),"Break",ISNUMBER(SEARCH("snap",C220)),"Break",ISNUMBER(SEARCH("fracture",C220)),"Break",ISNUMBER(SEARCH("bent",C220)),"Material Twisted/Bent",ISNUMBER(SEARCH("twisted",C220)),"Material Twisted/Bent",ISNUMBER(SEARCH("component separat",C220)),"Material Separation",ISNUMBER(SEARCH("separat",C220)),"Material Separation",ISNUMBER(SEARCH("connection",C220)),"Loose or Intermittent Connection",ISNUMBER(SEARCH("loose",C220)),"Loose or Intermittent Connection",ISNUMBER(SEARCH("damaged packaging",C220)),"Packaging Problem",ISNUMBER(SEARCH("packaging",C220)),"Packaging Problem",ISNUMBER(SEARCH("discoloration",C220)),"Contamination",ISNUMBER(SEARCH("tarnish",C220)),"Contamination",ISNUMBER(SEARCH("stain",C220)),"Contamination",ISNUMBER(SEARCH("foreign material",C220)),"Contamination",ISNUMBER(SEARCH("contamina",C220)),"Contamination",ISNUMBER(SEARCH("overheat",C220)),"Overheating of Device",ISNUMBER(SEARCH("excessive heat",C220)),"Overheating of Device",ISNUMBER(SEARCH("hot",C220)),"Overheating of Device",ISNUMBER(SEARCH("noise",C220)),"Noise, Audible",ISNUMBER(SEARCH("sound",C220)),"Noise, Audible",ISNUMBER(SEARCH("loud",C220)),"Noise, Audible",ISNUMBER(SEARCH("fray",C220)),"Material Frayed",ISNUMBER(SEARCH("hole",C220)),"Material Frayed",ISNUMBER(SEARCH("tear",C220)),"Material Frayed",ISNUMBER(SEARCH("worn",C220)),"Material Frayed",ISNUMBER(SEARCH("intermittent",C220)),"Difficult or Delayed Activation",ISNUMBER(SEARCH("delay",C220)),"Difficult or Delayed Activation",ISNUMBER(SEARCH("label",C220)),"Device Markings/Labelling Problem",ISNUMBER(SEARCH("marking",C220)),"Device Markings/Labelling Problem",ISNUMBER(SEARCH("lacerat",C220)),"Defective Device",ISNUMBER(SEARCH("cut",C220)),"Defective Device",ISNUMBER(SEARCH("leak",C220)),"Fluid/Blood Leak",ISNUMBER(SEARCH("missing",C220)),"Component Missing",ISNUMBER(SEARCH("power",C220)),"Complete Loss of Power",ISNUMBER(SEARCH("will not turn on",C220)),"Complete Loss of Power",ISNUMBER(SEARCH("won't turn on",C220)),"Complete Loss of Power",ISNUMBER(SEARCH("does not turn on",C220)),"Complete Loss of Power",ISNUMBER(SEARCH("electrical",C220)),"Electrical Power Problem",ISNUMBER(SEARCH("pressure",C220)),"Detachment of Device or Device Component",ISNUMBER(SEARCH("slip",C220)),"Detachment of Device or Device Component",ISNUMBER(SEARCH("detach",C220)),"Detachment of Device or Device Component",ISNUMBER(SEARCH("stick",C220)),"Mechanical Jam",ISNUMBER(SEARCH("jam",C220)),"Mechanical Jam",ISNUMBER(SEARCH("rigid",C220)),"Mechanical Jam",ISNUMBER(SEARCH("rust",C220)),"Corroded",ISNUMBER(SEARCH("corrod",C220)),"Corroded",ISNUMBER(SEARCH("corrosion",C220)),"Corroded",ISNUMBER(SEARCH("alignment",C220)),"Defective Device",ISNUMBER(SEARCH("adjust",C220)),"Defective Device",ISNUMBER(SEARCH("perform",C220)),"Defective Device",ISNUMBER(SEARCH("malfunction",C220)),"Defective Device",ISNUMBER(SEARCH("defect",C220)),"Defective Device",ISNUMBER(SEARCH("fail",C220)),"Defective Device",ISNUMBER(SEARCH("not work",C220)),"Defective Device",ISNUMBER(SEARCH("doesn't work",C220)),"Defective Device",TRUE,"UNKNOWN"),"UNKNOWN")))</f>
        <v/>
      </c>
      <c r="F220" s="4" t="str">
        <f t="shared" si="3"/>
        <v/>
      </c>
      <c r="G220" s="363" t="str">
        <f>IF(E220="","",IFERROR(VLOOKUP(E220,Codes!$L$2:$N$409,3,FALSE),"—"))</f>
        <v/>
      </c>
      <c r="H220" s="88"/>
      <c r="I220" s="88"/>
    </row>
    <row r="221" spans="1:9" ht="13.15" x14ac:dyDescent="0.35">
      <c r="A221" s="434"/>
      <c r="B221" s="436"/>
      <c r="C221" s="439"/>
      <c r="D221" s="434"/>
      <c r="E221" s="93" t="str" cm="1">
        <f t="array" ref="E221">IF(D221&lt;&gt;"",IFERROR(VLOOKUP(D221,Codes!$K$2:$L$409,2,FALSE),"UNKNOWN - "&amp;D221),IF(C221="","",IFERROR(_xlfn.IFS(ISNUMBER(SEARCH("broken button",C221)),"Break",ISNUMBER(SEARCH("broken handle",C221)),"Break",ISNUMBER(SEARCH("shipping damage",C221)),"Break",ISNUMBER(SEARCH("broken",C221)),"Break",ISNUMBER(SEARCH("crack",C221)),"Break",ISNUMBER(SEARCH("snap",C221)),"Break",ISNUMBER(SEARCH("fracture",C221)),"Break",ISNUMBER(SEARCH("bent",C221)),"Material Twisted/Bent",ISNUMBER(SEARCH("twisted",C221)),"Material Twisted/Bent",ISNUMBER(SEARCH("component separat",C221)),"Material Separation",ISNUMBER(SEARCH("separat",C221)),"Material Separation",ISNUMBER(SEARCH("connection",C221)),"Loose or Intermittent Connection",ISNUMBER(SEARCH("loose",C221)),"Loose or Intermittent Connection",ISNUMBER(SEARCH("damaged packaging",C221)),"Packaging Problem",ISNUMBER(SEARCH("packaging",C221)),"Packaging Problem",ISNUMBER(SEARCH("discoloration",C221)),"Contamination",ISNUMBER(SEARCH("tarnish",C221)),"Contamination",ISNUMBER(SEARCH("stain",C221)),"Contamination",ISNUMBER(SEARCH("foreign material",C221)),"Contamination",ISNUMBER(SEARCH("contamina",C221)),"Contamination",ISNUMBER(SEARCH("overheat",C221)),"Overheating of Device",ISNUMBER(SEARCH("excessive heat",C221)),"Overheating of Device",ISNUMBER(SEARCH("hot",C221)),"Overheating of Device",ISNUMBER(SEARCH("noise",C221)),"Noise, Audible",ISNUMBER(SEARCH("sound",C221)),"Noise, Audible",ISNUMBER(SEARCH("loud",C221)),"Noise, Audible",ISNUMBER(SEARCH("fray",C221)),"Material Frayed",ISNUMBER(SEARCH("hole",C221)),"Material Frayed",ISNUMBER(SEARCH("tear",C221)),"Material Frayed",ISNUMBER(SEARCH("worn",C221)),"Material Frayed",ISNUMBER(SEARCH("intermittent",C221)),"Difficult or Delayed Activation",ISNUMBER(SEARCH("delay",C221)),"Difficult or Delayed Activation",ISNUMBER(SEARCH("label",C221)),"Device Markings/Labelling Problem",ISNUMBER(SEARCH("marking",C221)),"Device Markings/Labelling Problem",ISNUMBER(SEARCH("lacerat",C221)),"Defective Device",ISNUMBER(SEARCH("cut",C221)),"Defective Device",ISNUMBER(SEARCH("leak",C221)),"Fluid/Blood Leak",ISNUMBER(SEARCH("missing",C221)),"Component Missing",ISNUMBER(SEARCH("power",C221)),"Complete Loss of Power",ISNUMBER(SEARCH("will not turn on",C221)),"Complete Loss of Power",ISNUMBER(SEARCH("won't turn on",C221)),"Complete Loss of Power",ISNUMBER(SEARCH("does not turn on",C221)),"Complete Loss of Power",ISNUMBER(SEARCH("electrical",C221)),"Electrical Power Problem",ISNUMBER(SEARCH("pressure",C221)),"Detachment of Device or Device Component",ISNUMBER(SEARCH("slip",C221)),"Detachment of Device or Device Component",ISNUMBER(SEARCH("detach",C221)),"Detachment of Device or Device Component",ISNUMBER(SEARCH("stick",C221)),"Mechanical Jam",ISNUMBER(SEARCH("jam",C221)),"Mechanical Jam",ISNUMBER(SEARCH("rigid",C221)),"Mechanical Jam",ISNUMBER(SEARCH("rust",C221)),"Corroded",ISNUMBER(SEARCH("corrod",C221)),"Corroded",ISNUMBER(SEARCH("corrosion",C221)),"Corroded",ISNUMBER(SEARCH("alignment",C221)),"Defective Device",ISNUMBER(SEARCH("adjust",C221)),"Defective Device",ISNUMBER(SEARCH("perform",C221)),"Defective Device",ISNUMBER(SEARCH("malfunction",C221)),"Defective Device",ISNUMBER(SEARCH("defect",C221)),"Defective Device",ISNUMBER(SEARCH("fail",C221)),"Defective Device",ISNUMBER(SEARCH("not work",C221)),"Defective Device",ISNUMBER(SEARCH("doesn't work",C221)),"Defective Device",TRUE,"UNKNOWN"),"UNKNOWN")))</f>
        <v/>
      </c>
      <c r="F221" s="4" t="str">
        <f t="shared" si="3"/>
        <v/>
      </c>
      <c r="G221" s="363" t="str">
        <f>IF(E221="","",IFERROR(VLOOKUP(E221,Codes!$L$2:$N$409,3,FALSE),"—"))</f>
        <v/>
      </c>
      <c r="H221" s="88"/>
      <c r="I221" s="88"/>
    </row>
    <row r="222" spans="1:9" ht="13.15" x14ac:dyDescent="0.35">
      <c r="A222" s="435"/>
      <c r="B222" s="436"/>
      <c r="C222" s="438"/>
      <c r="D222" s="435"/>
      <c r="E222" s="93" t="str" cm="1">
        <f t="array" ref="E222">IF(D222&lt;&gt;"",IFERROR(VLOOKUP(D222,Codes!$K$2:$L$409,2,FALSE),"UNKNOWN - "&amp;D222),IF(C222="","",IFERROR(_xlfn.IFS(ISNUMBER(SEARCH("broken button",C222)),"Break",ISNUMBER(SEARCH("broken handle",C222)),"Break",ISNUMBER(SEARCH("shipping damage",C222)),"Break",ISNUMBER(SEARCH("broken",C222)),"Break",ISNUMBER(SEARCH("crack",C222)),"Break",ISNUMBER(SEARCH("snap",C222)),"Break",ISNUMBER(SEARCH("fracture",C222)),"Break",ISNUMBER(SEARCH("bent",C222)),"Material Twisted/Bent",ISNUMBER(SEARCH("twisted",C222)),"Material Twisted/Bent",ISNUMBER(SEARCH("component separat",C222)),"Material Separation",ISNUMBER(SEARCH("separat",C222)),"Material Separation",ISNUMBER(SEARCH("connection",C222)),"Loose or Intermittent Connection",ISNUMBER(SEARCH("loose",C222)),"Loose or Intermittent Connection",ISNUMBER(SEARCH("damaged packaging",C222)),"Packaging Problem",ISNUMBER(SEARCH("packaging",C222)),"Packaging Problem",ISNUMBER(SEARCH("discoloration",C222)),"Contamination",ISNUMBER(SEARCH("tarnish",C222)),"Contamination",ISNUMBER(SEARCH("stain",C222)),"Contamination",ISNUMBER(SEARCH("foreign material",C222)),"Contamination",ISNUMBER(SEARCH("contamina",C222)),"Contamination",ISNUMBER(SEARCH("overheat",C222)),"Overheating of Device",ISNUMBER(SEARCH("excessive heat",C222)),"Overheating of Device",ISNUMBER(SEARCH("hot",C222)),"Overheating of Device",ISNUMBER(SEARCH("noise",C222)),"Noise, Audible",ISNUMBER(SEARCH("sound",C222)),"Noise, Audible",ISNUMBER(SEARCH("loud",C222)),"Noise, Audible",ISNUMBER(SEARCH("fray",C222)),"Material Frayed",ISNUMBER(SEARCH("hole",C222)),"Material Frayed",ISNUMBER(SEARCH("tear",C222)),"Material Frayed",ISNUMBER(SEARCH("worn",C222)),"Material Frayed",ISNUMBER(SEARCH("intermittent",C222)),"Difficult or Delayed Activation",ISNUMBER(SEARCH("delay",C222)),"Difficult or Delayed Activation",ISNUMBER(SEARCH("label",C222)),"Device Markings/Labelling Problem",ISNUMBER(SEARCH("marking",C222)),"Device Markings/Labelling Problem",ISNUMBER(SEARCH("lacerat",C222)),"Defective Device",ISNUMBER(SEARCH("cut",C222)),"Defective Device",ISNUMBER(SEARCH("leak",C222)),"Fluid/Blood Leak",ISNUMBER(SEARCH("missing",C222)),"Component Missing",ISNUMBER(SEARCH("power",C222)),"Complete Loss of Power",ISNUMBER(SEARCH("will not turn on",C222)),"Complete Loss of Power",ISNUMBER(SEARCH("won't turn on",C222)),"Complete Loss of Power",ISNUMBER(SEARCH("does not turn on",C222)),"Complete Loss of Power",ISNUMBER(SEARCH("electrical",C222)),"Electrical Power Problem",ISNUMBER(SEARCH("pressure",C222)),"Detachment of Device or Device Component",ISNUMBER(SEARCH("slip",C222)),"Detachment of Device or Device Component",ISNUMBER(SEARCH("detach",C222)),"Detachment of Device or Device Component",ISNUMBER(SEARCH("stick",C222)),"Mechanical Jam",ISNUMBER(SEARCH("jam",C222)),"Mechanical Jam",ISNUMBER(SEARCH("rigid",C222)),"Mechanical Jam",ISNUMBER(SEARCH("rust",C222)),"Corroded",ISNUMBER(SEARCH("corrod",C222)),"Corroded",ISNUMBER(SEARCH("corrosion",C222)),"Corroded",ISNUMBER(SEARCH("alignment",C222)),"Defective Device",ISNUMBER(SEARCH("adjust",C222)),"Defective Device",ISNUMBER(SEARCH("perform",C222)),"Defective Device",ISNUMBER(SEARCH("malfunction",C222)),"Defective Device",ISNUMBER(SEARCH("defect",C222)),"Defective Device",ISNUMBER(SEARCH("fail",C222)),"Defective Device",ISNUMBER(SEARCH("not work",C222)),"Defective Device",ISNUMBER(SEARCH("doesn't work",C222)),"Defective Device",TRUE,"UNKNOWN"),"UNKNOWN")))</f>
        <v/>
      </c>
      <c r="F222" s="4" t="str">
        <f t="shared" si="3"/>
        <v/>
      </c>
      <c r="G222" s="363" t="str">
        <f>IF(E222="","",IFERROR(VLOOKUP(E222,Codes!$L$2:$N$409,3,FALSE),"—"))</f>
        <v/>
      </c>
      <c r="H222" s="88"/>
      <c r="I222" s="88"/>
    </row>
    <row r="223" spans="1:9" ht="13.15" x14ac:dyDescent="0.35">
      <c r="A223" s="434"/>
      <c r="B223" s="436"/>
      <c r="C223" s="437"/>
      <c r="D223" s="434"/>
      <c r="E223" s="93" t="str" cm="1">
        <f t="array" ref="E223">IF(D223&lt;&gt;"",IFERROR(VLOOKUP(D223,Codes!$K$2:$L$409,2,FALSE),"UNKNOWN - "&amp;D223),IF(C223="","",IFERROR(_xlfn.IFS(ISNUMBER(SEARCH("broken button",C223)),"Break",ISNUMBER(SEARCH("broken handle",C223)),"Break",ISNUMBER(SEARCH("shipping damage",C223)),"Break",ISNUMBER(SEARCH("broken",C223)),"Break",ISNUMBER(SEARCH("crack",C223)),"Break",ISNUMBER(SEARCH("snap",C223)),"Break",ISNUMBER(SEARCH("fracture",C223)),"Break",ISNUMBER(SEARCH("bent",C223)),"Material Twisted/Bent",ISNUMBER(SEARCH("twisted",C223)),"Material Twisted/Bent",ISNUMBER(SEARCH("component separat",C223)),"Material Separation",ISNUMBER(SEARCH("separat",C223)),"Material Separation",ISNUMBER(SEARCH("connection",C223)),"Loose or Intermittent Connection",ISNUMBER(SEARCH("loose",C223)),"Loose or Intermittent Connection",ISNUMBER(SEARCH("damaged packaging",C223)),"Packaging Problem",ISNUMBER(SEARCH("packaging",C223)),"Packaging Problem",ISNUMBER(SEARCH("discoloration",C223)),"Contamination",ISNUMBER(SEARCH("tarnish",C223)),"Contamination",ISNUMBER(SEARCH("stain",C223)),"Contamination",ISNUMBER(SEARCH("foreign material",C223)),"Contamination",ISNUMBER(SEARCH("contamina",C223)),"Contamination",ISNUMBER(SEARCH("overheat",C223)),"Overheating of Device",ISNUMBER(SEARCH("excessive heat",C223)),"Overheating of Device",ISNUMBER(SEARCH("hot",C223)),"Overheating of Device",ISNUMBER(SEARCH("noise",C223)),"Noise, Audible",ISNUMBER(SEARCH("sound",C223)),"Noise, Audible",ISNUMBER(SEARCH("loud",C223)),"Noise, Audible",ISNUMBER(SEARCH("fray",C223)),"Material Frayed",ISNUMBER(SEARCH("hole",C223)),"Material Frayed",ISNUMBER(SEARCH("tear",C223)),"Material Frayed",ISNUMBER(SEARCH("worn",C223)),"Material Frayed",ISNUMBER(SEARCH("intermittent",C223)),"Difficult or Delayed Activation",ISNUMBER(SEARCH("delay",C223)),"Difficult or Delayed Activation",ISNUMBER(SEARCH("label",C223)),"Device Markings/Labelling Problem",ISNUMBER(SEARCH("marking",C223)),"Device Markings/Labelling Problem",ISNUMBER(SEARCH("lacerat",C223)),"Defective Device",ISNUMBER(SEARCH("cut",C223)),"Defective Device",ISNUMBER(SEARCH("leak",C223)),"Fluid/Blood Leak",ISNUMBER(SEARCH("missing",C223)),"Component Missing",ISNUMBER(SEARCH("power",C223)),"Complete Loss of Power",ISNUMBER(SEARCH("will not turn on",C223)),"Complete Loss of Power",ISNUMBER(SEARCH("won't turn on",C223)),"Complete Loss of Power",ISNUMBER(SEARCH("does not turn on",C223)),"Complete Loss of Power",ISNUMBER(SEARCH("electrical",C223)),"Electrical Power Problem",ISNUMBER(SEARCH("pressure",C223)),"Detachment of Device or Device Component",ISNUMBER(SEARCH("slip",C223)),"Detachment of Device or Device Component",ISNUMBER(SEARCH("detach",C223)),"Detachment of Device or Device Component",ISNUMBER(SEARCH("stick",C223)),"Mechanical Jam",ISNUMBER(SEARCH("jam",C223)),"Mechanical Jam",ISNUMBER(SEARCH("rigid",C223)),"Mechanical Jam",ISNUMBER(SEARCH("rust",C223)),"Corroded",ISNUMBER(SEARCH("corrod",C223)),"Corroded",ISNUMBER(SEARCH("corrosion",C223)),"Corroded",ISNUMBER(SEARCH("alignment",C223)),"Defective Device",ISNUMBER(SEARCH("adjust",C223)),"Defective Device",ISNUMBER(SEARCH("perform",C223)),"Defective Device",ISNUMBER(SEARCH("malfunction",C223)),"Defective Device",ISNUMBER(SEARCH("defect",C223)),"Defective Device",ISNUMBER(SEARCH("fail",C223)),"Defective Device",ISNUMBER(SEARCH("not work",C223)),"Defective Device",ISNUMBER(SEARCH("doesn't work",C223)),"Defective Device",TRUE,"UNKNOWN"),"UNKNOWN")))</f>
        <v/>
      </c>
      <c r="F223" s="4" t="str">
        <f t="shared" si="3"/>
        <v/>
      </c>
      <c r="G223" s="363" t="str">
        <f>IF(E223="","",IFERROR(VLOOKUP(E223,Codes!$L$2:$N$409,3,FALSE),"—"))</f>
        <v/>
      </c>
      <c r="H223" s="88"/>
      <c r="I223" s="88"/>
    </row>
    <row r="224" spans="1:9" ht="13.15" x14ac:dyDescent="0.35">
      <c r="A224" s="434"/>
      <c r="B224" s="436"/>
      <c r="C224" s="437"/>
      <c r="D224" s="434"/>
      <c r="E224" s="93" t="str" cm="1">
        <f t="array" ref="E224">IF(D224&lt;&gt;"",IFERROR(VLOOKUP(D224,Codes!$K$2:$L$409,2,FALSE),"UNKNOWN - "&amp;D224),IF(C224="","",IFERROR(_xlfn.IFS(ISNUMBER(SEARCH("broken button",C224)),"Break",ISNUMBER(SEARCH("broken handle",C224)),"Break",ISNUMBER(SEARCH("shipping damage",C224)),"Break",ISNUMBER(SEARCH("broken",C224)),"Break",ISNUMBER(SEARCH("crack",C224)),"Break",ISNUMBER(SEARCH("snap",C224)),"Break",ISNUMBER(SEARCH("fracture",C224)),"Break",ISNUMBER(SEARCH("bent",C224)),"Material Twisted/Bent",ISNUMBER(SEARCH("twisted",C224)),"Material Twisted/Bent",ISNUMBER(SEARCH("component separat",C224)),"Material Separation",ISNUMBER(SEARCH("separat",C224)),"Material Separation",ISNUMBER(SEARCH("connection",C224)),"Loose or Intermittent Connection",ISNUMBER(SEARCH("loose",C224)),"Loose or Intermittent Connection",ISNUMBER(SEARCH("damaged packaging",C224)),"Packaging Problem",ISNUMBER(SEARCH("packaging",C224)),"Packaging Problem",ISNUMBER(SEARCH("discoloration",C224)),"Contamination",ISNUMBER(SEARCH("tarnish",C224)),"Contamination",ISNUMBER(SEARCH("stain",C224)),"Contamination",ISNUMBER(SEARCH("foreign material",C224)),"Contamination",ISNUMBER(SEARCH("contamina",C224)),"Contamination",ISNUMBER(SEARCH("overheat",C224)),"Overheating of Device",ISNUMBER(SEARCH("excessive heat",C224)),"Overheating of Device",ISNUMBER(SEARCH("hot",C224)),"Overheating of Device",ISNUMBER(SEARCH("noise",C224)),"Noise, Audible",ISNUMBER(SEARCH("sound",C224)),"Noise, Audible",ISNUMBER(SEARCH("loud",C224)),"Noise, Audible",ISNUMBER(SEARCH("fray",C224)),"Material Frayed",ISNUMBER(SEARCH("hole",C224)),"Material Frayed",ISNUMBER(SEARCH("tear",C224)),"Material Frayed",ISNUMBER(SEARCH("worn",C224)),"Material Frayed",ISNUMBER(SEARCH("intermittent",C224)),"Difficult or Delayed Activation",ISNUMBER(SEARCH("delay",C224)),"Difficult or Delayed Activation",ISNUMBER(SEARCH("label",C224)),"Device Markings/Labelling Problem",ISNUMBER(SEARCH("marking",C224)),"Device Markings/Labelling Problem",ISNUMBER(SEARCH("lacerat",C224)),"Defective Device",ISNUMBER(SEARCH("cut",C224)),"Defective Device",ISNUMBER(SEARCH("leak",C224)),"Fluid/Blood Leak",ISNUMBER(SEARCH("missing",C224)),"Component Missing",ISNUMBER(SEARCH("power",C224)),"Complete Loss of Power",ISNUMBER(SEARCH("will not turn on",C224)),"Complete Loss of Power",ISNUMBER(SEARCH("won't turn on",C224)),"Complete Loss of Power",ISNUMBER(SEARCH("does not turn on",C224)),"Complete Loss of Power",ISNUMBER(SEARCH("electrical",C224)),"Electrical Power Problem",ISNUMBER(SEARCH("pressure",C224)),"Detachment of Device or Device Component",ISNUMBER(SEARCH("slip",C224)),"Detachment of Device or Device Component",ISNUMBER(SEARCH("detach",C224)),"Detachment of Device or Device Component",ISNUMBER(SEARCH("stick",C224)),"Mechanical Jam",ISNUMBER(SEARCH("jam",C224)),"Mechanical Jam",ISNUMBER(SEARCH("rigid",C224)),"Mechanical Jam",ISNUMBER(SEARCH("rust",C224)),"Corroded",ISNUMBER(SEARCH("corrod",C224)),"Corroded",ISNUMBER(SEARCH("corrosion",C224)),"Corroded",ISNUMBER(SEARCH("alignment",C224)),"Defective Device",ISNUMBER(SEARCH("adjust",C224)),"Defective Device",ISNUMBER(SEARCH("perform",C224)),"Defective Device",ISNUMBER(SEARCH("malfunction",C224)),"Defective Device",ISNUMBER(SEARCH("defect",C224)),"Defective Device",ISNUMBER(SEARCH("fail",C224)),"Defective Device",ISNUMBER(SEARCH("not work",C224)),"Defective Device",ISNUMBER(SEARCH("doesn't work",C224)),"Defective Device",TRUE,"UNKNOWN"),"UNKNOWN")))</f>
        <v/>
      </c>
      <c r="F224" s="4" t="str">
        <f t="shared" si="3"/>
        <v/>
      </c>
      <c r="G224" s="363" t="str">
        <f>IF(E224="","",IFERROR(VLOOKUP(E224,Codes!$L$2:$N$409,3,FALSE),"—"))</f>
        <v/>
      </c>
      <c r="H224" s="88"/>
      <c r="I224" s="88"/>
    </row>
    <row r="225" spans="1:9" ht="13.15" x14ac:dyDescent="0.35">
      <c r="A225" s="435"/>
      <c r="B225" s="436"/>
      <c r="C225" s="438"/>
      <c r="D225" s="435"/>
      <c r="E225" s="93" t="str" cm="1">
        <f t="array" ref="E225">IF(D225&lt;&gt;"",IFERROR(VLOOKUP(D225,Codes!$K$2:$L$409,2,FALSE),"UNKNOWN - "&amp;D225),IF(C225="","",IFERROR(_xlfn.IFS(ISNUMBER(SEARCH("broken button",C225)),"Break",ISNUMBER(SEARCH("broken handle",C225)),"Break",ISNUMBER(SEARCH("shipping damage",C225)),"Break",ISNUMBER(SEARCH("broken",C225)),"Break",ISNUMBER(SEARCH("crack",C225)),"Break",ISNUMBER(SEARCH("snap",C225)),"Break",ISNUMBER(SEARCH("fracture",C225)),"Break",ISNUMBER(SEARCH("bent",C225)),"Material Twisted/Bent",ISNUMBER(SEARCH("twisted",C225)),"Material Twisted/Bent",ISNUMBER(SEARCH("component separat",C225)),"Material Separation",ISNUMBER(SEARCH("separat",C225)),"Material Separation",ISNUMBER(SEARCH("connection",C225)),"Loose or Intermittent Connection",ISNUMBER(SEARCH("loose",C225)),"Loose or Intermittent Connection",ISNUMBER(SEARCH("damaged packaging",C225)),"Packaging Problem",ISNUMBER(SEARCH("packaging",C225)),"Packaging Problem",ISNUMBER(SEARCH("discoloration",C225)),"Contamination",ISNUMBER(SEARCH("tarnish",C225)),"Contamination",ISNUMBER(SEARCH("stain",C225)),"Contamination",ISNUMBER(SEARCH("foreign material",C225)),"Contamination",ISNUMBER(SEARCH("contamina",C225)),"Contamination",ISNUMBER(SEARCH("overheat",C225)),"Overheating of Device",ISNUMBER(SEARCH("excessive heat",C225)),"Overheating of Device",ISNUMBER(SEARCH("hot",C225)),"Overheating of Device",ISNUMBER(SEARCH("noise",C225)),"Noise, Audible",ISNUMBER(SEARCH("sound",C225)),"Noise, Audible",ISNUMBER(SEARCH("loud",C225)),"Noise, Audible",ISNUMBER(SEARCH("fray",C225)),"Material Frayed",ISNUMBER(SEARCH("hole",C225)),"Material Frayed",ISNUMBER(SEARCH("tear",C225)),"Material Frayed",ISNUMBER(SEARCH("worn",C225)),"Material Frayed",ISNUMBER(SEARCH("intermittent",C225)),"Difficult or Delayed Activation",ISNUMBER(SEARCH("delay",C225)),"Difficult or Delayed Activation",ISNUMBER(SEARCH("label",C225)),"Device Markings/Labelling Problem",ISNUMBER(SEARCH("marking",C225)),"Device Markings/Labelling Problem",ISNUMBER(SEARCH("lacerat",C225)),"Defective Device",ISNUMBER(SEARCH("cut",C225)),"Defective Device",ISNUMBER(SEARCH("leak",C225)),"Fluid/Blood Leak",ISNUMBER(SEARCH("missing",C225)),"Component Missing",ISNUMBER(SEARCH("power",C225)),"Complete Loss of Power",ISNUMBER(SEARCH("will not turn on",C225)),"Complete Loss of Power",ISNUMBER(SEARCH("won't turn on",C225)),"Complete Loss of Power",ISNUMBER(SEARCH("does not turn on",C225)),"Complete Loss of Power",ISNUMBER(SEARCH("electrical",C225)),"Electrical Power Problem",ISNUMBER(SEARCH("pressure",C225)),"Detachment of Device or Device Component",ISNUMBER(SEARCH("slip",C225)),"Detachment of Device or Device Component",ISNUMBER(SEARCH("detach",C225)),"Detachment of Device or Device Component",ISNUMBER(SEARCH("stick",C225)),"Mechanical Jam",ISNUMBER(SEARCH("jam",C225)),"Mechanical Jam",ISNUMBER(SEARCH("rigid",C225)),"Mechanical Jam",ISNUMBER(SEARCH("rust",C225)),"Corroded",ISNUMBER(SEARCH("corrod",C225)),"Corroded",ISNUMBER(SEARCH("corrosion",C225)),"Corroded",ISNUMBER(SEARCH("alignment",C225)),"Defective Device",ISNUMBER(SEARCH("adjust",C225)),"Defective Device",ISNUMBER(SEARCH("perform",C225)),"Defective Device",ISNUMBER(SEARCH("malfunction",C225)),"Defective Device",ISNUMBER(SEARCH("defect",C225)),"Defective Device",ISNUMBER(SEARCH("fail",C225)),"Defective Device",ISNUMBER(SEARCH("not work",C225)),"Defective Device",ISNUMBER(SEARCH("doesn't work",C225)),"Defective Device",TRUE,"UNKNOWN"),"UNKNOWN")))</f>
        <v/>
      </c>
      <c r="F225" s="4" t="str">
        <f t="shared" si="3"/>
        <v/>
      </c>
      <c r="G225" s="363" t="str">
        <f>IF(E225="","",IFERROR(VLOOKUP(E225,Codes!$L$2:$N$409,3,FALSE),"—"))</f>
        <v/>
      </c>
      <c r="H225" s="88"/>
      <c r="I225" s="88"/>
    </row>
    <row r="226" spans="1:9" ht="13.15" x14ac:dyDescent="0.35">
      <c r="A226" s="435"/>
      <c r="B226" s="436"/>
      <c r="C226" s="438"/>
      <c r="D226" s="435"/>
      <c r="E226" s="93" t="str" cm="1">
        <f t="array" ref="E226">IF(D226&lt;&gt;"",IFERROR(VLOOKUP(D226,Codes!$K$2:$L$409,2,FALSE),"UNKNOWN - "&amp;D226),IF(C226="","",IFERROR(_xlfn.IFS(ISNUMBER(SEARCH("broken button",C226)),"Break",ISNUMBER(SEARCH("broken handle",C226)),"Break",ISNUMBER(SEARCH("shipping damage",C226)),"Break",ISNUMBER(SEARCH("broken",C226)),"Break",ISNUMBER(SEARCH("crack",C226)),"Break",ISNUMBER(SEARCH("snap",C226)),"Break",ISNUMBER(SEARCH("fracture",C226)),"Break",ISNUMBER(SEARCH("bent",C226)),"Material Twisted/Bent",ISNUMBER(SEARCH("twisted",C226)),"Material Twisted/Bent",ISNUMBER(SEARCH("component separat",C226)),"Material Separation",ISNUMBER(SEARCH("separat",C226)),"Material Separation",ISNUMBER(SEARCH("connection",C226)),"Loose or Intermittent Connection",ISNUMBER(SEARCH("loose",C226)),"Loose or Intermittent Connection",ISNUMBER(SEARCH("damaged packaging",C226)),"Packaging Problem",ISNUMBER(SEARCH("packaging",C226)),"Packaging Problem",ISNUMBER(SEARCH("discoloration",C226)),"Contamination",ISNUMBER(SEARCH("tarnish",C226)),"Contamination",ISNUMBER(SEARCH("stain",C226)),"Contamination",ISNUMBER(SEARCH("foreign material",C226)),"Contamination",ISNUMBER(SEARCH("contamina",C226)),"Contamination",ISNUMBER(SEARCH("overheat",C226)),"Overheating of Device",ISNUMBER(SEARCH("excessive heat",C226)),"Overheating of Device",ISNUMBER(SEARCH("hot",C226)),"Overheating of Device",ISNUMBER(SEARCH("noise",C226)),"Noise, Audible",ISNUMBER(SEARCH("sound",C226)),"Noise, Audible",ISNUMBER(SEARCH("loud",C226)),"Noise, Audible",ISNUMBER(SEARCH("fray",C226)),"Material Frayed",ISNUMBER(SEARCH("hole",C226)),"Material Frayed",ISNUMBER(SEARCH("tear",C226)),"Material Frayed",ISNUMBER(SEARCH("worn",C226)),"Material Frayed",ISNUMBER(SEARCH("intermittent",C226)),"Difficult or Delayed Activation",ISNUMBER(SEARCH("delay",C226)),"Difficult or Delayed Activation",ISNUMBER(SEARCH("label",C226)),"Device Markings/Labelling Problem",ISNUMBER(SEARCH("marking",C226)),"Device Markings/Labelling Problem",ISNUMBER(SEARCH("lacerat",C226)),"Defective Device",ISNUMBER(SEARCH("cut",C226)),"Defective Device",ISNUMBER(SEARCH("leak",C226)),"Fluid/Blood Leak",ISNUMBER(SEARCH("missing",C226)),"Component Missing",ISNUMBER(SEARCH("power",C226)),"Complete Loss of Power",ISNUMBER(SEARCH("will not turn on",C226)),"Complete Loss of Power",ISNUMBER(SEARCH("won't turn on",C226)),"Complete Loss of Power",ISNUMBER(SEARCH("does not turn on",C226)),"Complete Loss of Power",ISNUMBER(SEARCH("electrical",C226)),"Electrical Power Problem",ISNUMBER(SEARCH("pressure",C226)),"Detachment of Device or Device Component",ISNUMBER(SEARCH("slip",C226)),"Detachment of Device or Device Component",ISNUMBER(SEARCH("detach",C226)),"Detachment of Device or Device Component",ISNUMBER(SEARCH("stick",C226)),"Mechanical Jam",ISNUMBER(SEARCH("jam",C226)),"Mechanical Jam",ISNUMBER(SEARCH("rigid",C226)),"Mechanical Jam",ISNUMBER(SEARCH("rust",C226)),"Corroded",ISNUMBER(SEARCH("corrod",C226)),"Corroded",ISNUMBER(SEARCH("corrosion",C226)),"Corroded",ISNUMBER(SEARCH("alignment",C226)),"Defective Device",ISNUMBER(SEARCH("adjust",C226)),"Defective Device",ISNUMBER(SEARCH("perform",C226)),"Defective Device",ISNUMBER(SEARCH("malfunction",C226)),"Defective Device",ISNUMBER(SEARCH("defect",C226)),"Defective Device",ISNUMBER(SEARCH("fail",C226)),"Defective Device",ISNUMBER(SEARCH("not work",C226)),"Defective Device",ISNUMBER(SEARCH("doesn't work",C226)),"Defective Device",TRUE,"UNKNOWN"),"UNKNOWN")))</f>
        <v/>
      </c>
      <c r="F226" s="4" t="str">
        <f t="shared" si="3"/>
        <v/>
      </c>
      <c r="G226" s="363" t="str">
        <f>IF(E226="","",IFERROR(VLOOKUP(E226,Codes!$L$2:$N$409,3,FALSE),"—"))</f>
        <v/>
      </c>
      <c r="H226" s="88"/>
      <c r="I226" s="88"/>
    </row>
    <row r="227" spans="1:9" ht="13.15" x14ac:dyDescent="0.35">
      <c r="A227" s="435"/>
      <c r="B227" s="436"/>
      <c r="C227" s="438"/>
      <c r="D227" s="435"/>
      <c r="E227" s="93" t="str" cm="1">
        <f t="array" ref="E227">IF(D227&lt;&gt;"",IFERROR(VLOOKUP(D227,Codes!$K$2:$L$409,2,FALSE),"UNKNOWN - "&amp;D227),IF(C227="","",IFERROR(_xlfn.IFS(ISNUMBER(SEARCH("broken button",C227)),"Break",ISNUMBER(SEARCH("broken handle",C227)),"Break",ISNUMBER(SEARCH("shipping damage",C227)),"Break",ISNUMBER(SEARCH("broken",C227)),"Break",ISNUMBER(SEARCH("crack",C227)),"Break",ISNUMBER(SEARCH("snap",C227)),"Break",ISNUMBER(SEARCH("fracture",C227)),"Break",ISNUMBER(SEARCH("bent",C227)),"Material Twisted/Bent",ISNUMBER(SEARCH("twisted",C227)),"Material Twisted/Bent",ISNUMBER(SEARCH("component separat",C227)),"Material Separation",ISNUMBER(SEARCH("separat",C227)),"Material Separation",ISNUMBER(SEARCH("connection",C227)),"Loose or Intermittent Connection",ISNUMBER(SEARCH("loose",C227)),"Loose or Intermittent Connection",ISNUMBER(SEARCH("damaged packaging",C227)),"Packaging Problem",ISNUMBER(SEARCH("packaging",C227)),"Packaging Problem",ISNUMBER(SEARCH("discoloration",C227)),"Contamination",ISNUMBER(SEARCH("tarnish",C227)),"Contamination",ISNUMBER(SEARCH("stain",C227)),"Contamination",ISNUMBER(SEARCH("foreign material",C227)),"Contamination",ISNUMBER(SEARCH("contamina",C227)),"Contamination",ISNUMBER(SEARCH("overheat",C227)),"Overheating of Device",ISNUMBER(SEARCH("excessive heat",C227)),"Overheating of Device",ISNUMBER(SEARCH("hot",C227)),"Overheating of Device",ISNUMBER(SEARCH("noise",C227)),"Noise, Audible",ISNUMBER(SEARCH("sound",C227)),"Noise, Audible",ISNUMBER(SEARCH("loud",C227)),"Noise, Audible",ISNUMBER(SEARCH("fray",C227)),"Material Frayed",ISNUMBER(SEARCH("hole",C227)),"Material Frayed",ISNUMBER(SEARCH("tear",C227)),"Material Frayed",ISNUMBER(SEARCH("worn",C227)),"Material Frayed",ISNUMBER(SEARCH("intermittent",C227)),"Difficult or Delayed Activation",ISNUMBER(SEARCH("delay",C227)),"Difficult or Delayed Activation",ISNUMBER(SEARCH("label",C227)),"Device Markings/Labelling Problem",ISNUMBER(SEARCH("marking",C227)),"Device Markings/Labelling Problem",ISNUMBER(SEARCH("lacerat",C227)),"Defective Device",ISNUMBER(SEARCH("cut",C227)),"Defective Device",ISNUMBER(SEARCH("leak",C227)),"Fluid/Blood Leak",ISNUMBER(SEARCH("missing",C227)),"Component Missing",ISNUMBER(SEARCH("power",C227)),"Complete Loss of Power",ISNUMBER(SEARCH("will not turn on",C227)),"Complete Loss of Power",ISNUMBER(SEARCH("won't turn on",C227)),"Complete Loss of Power",ISNUMBER(SEARCH("does not turn on",C227)),"Complete Loss of Power",ISNUMBER(SEARCH("electrical",C227)),"Electrical Power Problem",ISNUMBER(SEARCH("pressure",C227)),"Detachment of Device or Device Component",ISNUMBER(SEARCH("slip",C227)),"Detachment of Device or Device Component",ISNUMBER(SEARCH("detach",C227)),"Detachment of Device or Device Component",ISNUMBER(SEARCH("stick",C227)),"Mechanical Jam",ISNUMBER(SEARCH("jam",C227)),"Mechanical Jam",ISNUMBER(SEARCH("rigid",C227)),"Mechanical Jam",ISNUMBER(SEARCH("rust",C227)),"Corroded",ISNUMBER(SEARCH("corrod",C227)),"Corroded",ISNUMBER(SEARCH("corrosion",C227)),"Corroded",ISNUMBER(SEARCH("alignment",C227)),"Defective Device",ISNUMBER(SEARCH("adjust",C227)),"Defective Device",ISNUMBER(SEARCH("perform",C227)),"Defective Device",ISNUMBER(SEARCH("malfunction",C227)),"Defective Device",ISNUMBER(SEARCH("defect",C227)),"Defective Device",ISNUMBER(SEARCH("fail",C227)),"Defective Device",ISNUMBER(SEARCH("not work",C227)),"Defective Device",ISNUMBER(SEARCH("doesn't work",C227)),"Defective Device",TRUE,"UNKNOWN"),"UNKNOWN")))</f>
        <v/>
      </c>
      <c r="F227" s="4" t="str">
        <f t="shared" si="3"/>
        <v/>
      </c>
      <c r="G227" s="363" t="str">
        <f>IF(E227="","",IFERROR(VLOOKUP(E227,Codes!$L$2:$N$409,3,FALSE),"—"))</f>
        <v/>
      </c>
      <c r="H227" s="88"/>
      <c r="I227" s="88"/>
    </row>
    <row r="228" spans="1:9" ht="13.15" x14ac:dyDescent="0.35">
      <c r="A228" s="434"/>
      <c r="B228" s="436"/>
      <c r="C228" s="437"/>
      <c r="D228" s="434"/>
      <c r="E228" s="93" t="str" cm="1">
        <f t="array" ref="E228">IF(D228&lt;&gt;"",IFERROR(VLOOKUP(D228,Codes!$K$2:$L$409,2,FALSE),"UNKNOWN - "&amp;D228),IF(C228="","",IFERROR(_xlfn.IFS(ISNUMBER(SEARCH("broken button",C228)),"Break",ISNUMBER(SEARCH("broken handle",C228)),"Break",ISNUMBER(SEARCH("shipping damage",C228)),"Break",ISNUMBER(SEARCH("broken",C228)),"Break",ISNUMBER(SEARCH("crack",C228)),"Break",ISNUMBER(SEARCH("snap",C228)),"Break",ISNUMBER(SEARCH("fracture",C228)),"Break",ISNUMBER(SEARCH("bent",C228)),"Material Twisted/Bent",ISNUMBER(SEARCH("twisted",C228)),"Material Twisted/Bent",ISNUMBER(SEARCH("component separat",C228)),"Material Separation",ISNUMBER(SEARCH("separat",C228)),"Material Separation",ISNUMBER(SEARCH("connection",C228)),"Loose or Intermittent Connection",ISNUMBER(SEARCH("loose",C228)),"Loose or Intermittent Connection",ISNUMBER(SEARCH("damaged packaging",C228)),"Packaging Problem",ISNUMBER(SEARCH("packaging",C228)),"Packaging Problem",ISNUMBER(SEARCH("discoloration",C228)),"Contamination",ISNUMBER(SEARCH("tarnish",C228)),"Contamination",ISNUMBER(SEARCH("stain",C228)),"Contamination",ISNUMBER(SEARCH("foreign material",C228)),"Contamination",ISNUMBER(SEARCH("contamina",C228)),"Contamination",ISNUMBER(SEARCH("overheat",C228)),"Overheating of Device",ISNUMBER(SEARCH("excessive heat",C228)),"Overheating of Device",ISNUMBER(SEARCH("hot",C228)),"Overheating of Device",ISNUMBER(SEARCH("noise",C228)),"Noise, Audible",ISNUMBER(SEARCH("sound",C228)),"Noise, Audible",ISNUMBER(SEARCH("loud",C228)),"Noise, Audible",ISNUMBER(SEARCH("fray",C228)),"Material Frayed",ISNUMBER(SEARCH("hole",C228)),"Material Frayed",ISNUMBER(SEARCH("tear",C228)),"Material Frayed",ISNUMBER(SEARCH("worn",C228)),"Material Frayed",ISNUMBER(SEARCH("intermittent",C228)),"Difficult or Delayed Activation",ISNUMBER(SEARCH("delay",C228)),"Difficult or Delayed Activation",ISNUMBER(SEARCH("label",C228)),"Device Markings/Labelling Problem",ISNUMBER(SEARCH("marking",C228)),"Device Markings/Labelling Problem",ISNUMBER(SEARCH("lacerat",C228)),"Defective Device",ISNUMBER(SEARCH("cut",C228)),"Defective Device",ISNUMBER(SEARCH("leak",C228)),"Fluid/Blood Leak",ISNUMBER(SEARCH("missing",C228)),"Component Missing",ISNUMBER(SEARCH("power",C228)),"Complete Loss of Power",ISNUMBER(SEARCH("will not turn on",C228)),"Complete Loss of Power",ISNUMBER(SEARCH("won't turn on",C228)),"Complete Loss of Power",ISNUMBER(SEARCH("does not turn on",C228)),"Complete Loss of Power",ISNUMBER(SEARCH("electrical",C228)),"Electrical Power Problem",ISNUMBER(SEARCH("pressure",C228)),"Detachment of Device or Device Component",ISNUMBER(SEARCH("slip",C228)),"Detachment of Device or Device Component",ISNUMBER(SEARCH("detach",C228)),"Detachment of Device or Device Component",ISNUMBER(SEARCH("stick",C228)),"Mechanical Jam",ISNUMBER(SEARCH("jam",C228)),"Mechanical Jam",ISNUMBER(SEARCH("rigid",C228)),"Mechanical Jam",ISNUMBER(SEARCH("rust",C228)),"Corroded",ISNUMBER(SEARCH("corrod",C228)),"Corroded",ISNUMBER(SEARCH("corrosion",C228)),"Corroded",ISNUMBER(SEARCH("alignment",C228)),"Defective Device",ISNUMBER(SEARCH("adjust",C228)),"Defective Device",ISNUMBER(SEARCH("perform",C228)),"Defective Device",ISNUMBER(SEARCH("malfunction",C228)),"Defective Device",ISNUMBER(SEARCH("defect",C228)),"Defective Device",ISNUMBER(SEARCH("fail",C228)),"Defective Device",ISNUMBER(SEARCH("not work",C228)),"Defective Device",ISNUMBER(SEARCH("doesn't work",C228)),"Defective Device",TRUE,"UNKNOWN"),"UNKNOWN")))</f>
        <v/>
      </c>
      <c r="F228" s="4" t="str">
        <f t="shared" si="3"/>
        <v/>
      </c>
      <c r="G228" s="363" t="str">
        <f>IF(E228="","",IFERROR(VLOOKUP(E228,Codes!$L$2:$N$409,3,FALSE),"—"))</f>
        <v/>
      </c>
      <c r="H228" s="88"/>
      <c r="I228" s="88"/>
    </row>
    <row r="229" spans="1:9" ht="13.15" x14ac:dyDescent="0.35">
      <c r="A229" s="434"/>
      <c r="B229" s="436"/>
      <c r="C229" s="437"/>
      <c r="D229" s="434"/>
      <c r="E229" s="93" t="str" cm="1">
        <f t="array" ref="E229">IF(D229&lt;&gt;"",IFERROR(VLOOKUP(D229,Codes!$K$2:$L$409,2,FALSE),"UNKNOWN - "&amp;D229),IF(C229="","",IFERROR(_xlfn.IFS(ISNUMBER(SEARCH("broken button",C229)),"Break",ISNUMBER(SEARCH("broken handle",C229)),"Break",ISNUMBER(SEARCH("shipping damage",C229)),"Break",ISNUMBER(SEARCH("broken",C229)),"Break",ISNUMBER(SEARCH("crack",C229)),"Break",ISNUMBER(SEARCH("snap",C229)),"Break",ISNUMBER(SEARCH("fracture",C229)),"Break",ISNUMBER(SEARCH("bent",C229)),"Material Twisted/Bent",ISNUMBER(SEARCH("twisted",C229)),"Material Twisted/Bent",ISNUMBER(SEARCH("component separat",C229)),"Material Separation",ISNUMBER(SEARCH("separat",C229)),"Material Separation",ISNUMBER(SEARCH("connection",C229)),"Loose or Intermittent Connection",ISNUMBER(SEARCH("loose",C229)),"Loose or Intermittent Connection",ISNUMBER(SEARCH("damaged packaging",C229)),"Packaging Problem",ISNUMBER(SEARCH("packaging",C229)),"Packaging Problem",ISNUMBER(SEARCH("discoloration",C229)),"Contamination",ISNUMBER(SEARCH("tarnish",C229)),"Contamination",ISNUMBER(SEARCH("stain",C229)),"Contamination",ISNUMBER(SEARCH("foreign material",C229)),"Contamination",ISNUMBER(SEARCH("contamina",C229)),"Contamination",ISNUMBER(SEARCH("overheat",C229)),"Overheating of Device",ISNUMBER(SEARCH("excessive heat",C229)),"Overheating of Device",ISNUMBER(SEARCH("hot",C229)),"Overheating of Device",ISNUMBER(SEARCH("noise",C229)),"Noise, Audible",ISNUMBER(SEARCH("sound",C229)),"Noise, Audible",ISNUMBER(SEARCH("loud",C229)),"Noise, Audible",ISNUMBER(SEARCH("fray",C229)),"Material Frayed",ISNUMBER(SEARCH("hole",C229)),"Material Frayed",ISNUMBER(SEARCH("tear",C229)),"Material Frayed",ISNUMBER(SEARCH("worn",C229)),"Material Frayed",ISNUMBER(SEARCH("intermittent",C229)),"Difficult or Delayed Activation",ISNUMBER(SEARCH("delay",C229)),"Difficult or Delayed Activation",ISNUMBER(SEARCH("label",C229)),"Device Markings/Labelling Problem",ISNUMBER(SEARCH("marking",C229)),"Device Markings/Labelling Problem",ISNUMBER(SEARCH("lacerat",C229)),"Defective Device",ISNUMBER(SEARCH("cut",C229)),"Defective Device",ISNUMBER(SEARCH("leak",C229)),"Fluid/Blood Leak",ISNUMBER(SEARCH("missing",C229)),"Component Missing",ISNUMBER(SEARCH("power",C229)),"Complete Loss of Power",ISNUMBER(SEARCH("will not turn on",C229)),"Complete Loss of Power",ISNUMBER(SEARCH("won't turn on",C229)),"Complete Loss of Power",ISNUMBER(SEARCH("does not turn on",C229)),"Complete Loss of Power",ISNUMBER(SEARCH("electrical",C229)),"Electrical Power Problem",ISNUMBER(SEARCH("pressure",C229)),"Detachment of Device or Device Component",ISNUMBER(SEARCH("slip",C229)),"Detachment of Device or Device Component",ISNUMBER(SEARCH("detach",C229)),"Detachment of Device or Device Component",ISNUMBER(SEARCH("stick",C229)),"Mechanical Jam",ISNUMBER(SEARCH("jam",C229)),"Mechanical Jam",ISNUMBER(SEARCH("rigid",C229)),"Mechanical Jam",ISNUMBER(SEARCH("rust",C229)),"Corroded",ISNUMBER(SEARCH("corrod",C229)),"Corroded",ISNUMBER(SEARCH("corrosion",C229)),"Corroded",ISNUMBER(SEARCH("alignment",C229)),"Defective Device",ISNUMBER(SEARCH("adjust",C229)),"Defective Device",ISNUMBER(SEARCH("perform",C229)),"Defective Device",ISNUMBER(SEARCH("malfunction",C229)),"Defective Device",ISNUMBER(SEARCH("defect",C229)),"Defective Device",ISNUMBER(SEARCH("fail",C229)),"Defective Device",ISNUMBER(SEARCH("not work",C229)),"Defective Device",ISNUMBER(SEARCH("doesn't work",C229)),"Defective Device",TRUE,"UNKNOWN"),"UNKNOWN")))</f>
        <v/>
      </c>
      <c r="F229" s="4" t="str">
        <f t="shared" si="3"/>
        <v/>
      </c>
      <c r="G229" s="363" t="str">
        <f>IF(E229="","",IFERROR(VLOOKUP(E229,Codes!$L$2:$N$409,3,FALSE),"—"))</f>
        <v/>
      </c>
      <c r="H229" s="88"/>
      <c r="I229" s="88"/>
    </row>
    <row r="230" spans="1:9" ht="13.15" x14ac:dyDescent="0.35">
      <c r="A230" s="435"/>
      <c r="B230" s="436"/>
      <c r="C230" s="440"/>
      <c r="D230" s="435"/>
      <c r="E230" s="93" t="str" cm="1">
        <f t="array" ref="E230">IF(D230&lt;&gt;"",IFERROR(VLOOKUP(D230,Codes!$K$2:$L$409,2,FALSE),"UNKNOWN - "&amp;D230),IF(C230="","",IFERROR(_xlfn.IFS(ISNUMBER(SEARCH("broken button",C230)),"Break",ISNUMBER(SEARCH("broken handle",C230)),"Break",ISNUMBER(SEARCH("shipping damage",C230)),"Break",ISNUMBER(SEARCH("broken",C230)),"Break",ISNUMBER(SEARCH("crack",C230)),"Break",ISNUMBER(SEARCH("snap",C230)),"Break",ISNUMBER(SEARCH("fracture",C230)),"Break",ISNUMBER(SEARCH("bent",C230)),"Material Twisted/Bent",ISNUMBER(SEARCH("twisted",C230)),"Material Twisted/Bent",ISNUMBER(SEARCH("component separat",C230)),"Material Separation",ISNUMBER(SEARCH("separat",C230)),"Material Separation",ISNUMBER(SEARCH("connection",C230)),"Loose or Intermittent Connection",ISNUMBER(SEARCH("loose",C230)),"Loose or Intermittent Connection",ISNUMBER(SEARCH("damaged packaging",C230)),"Packaging Problem",ISNUMBER(SEARCH("packaging",C230)),"Packaging Problem",ISNUMBER(SEARCH("discoloration",C230)),"Contamination",ISNUMBER(SEARCH("tarnish",C230)),"Contamination",ISNUMBER(SEARCH("stain",C230)),"Contamination",ISNUMBER(SEARCH("foreign material",C230)),"Contamination",ISNUMBER(SEARCH("contamina",C230)),"Contamination",ISNUMBER(SEARCH("overheat",C230)),"Overheating of Device",ISNUMBER(SEARCH("excessive heat",C230)),"Overheating of Device",ISNUMBER(SEARCH("hot",C230)),"Overheating of Device",ISNUMBER(SEARCH("noise",C230)),"Noise, Audible",ISNUMBER(SEARCH("sound",C230)),"Noise, Audible",ISNUMBER(SEARCH("loud",C230)),"Noise, Audible",ISNUMBER(SEARCH("fray",C230)),"Material Frayed",ISNUMBER(SEARCH("hole",C230)),"Material Frayed",ISNUMBER(SEARCH("tear",C230)),"Material Frayed",ISNUMBER(SEARCH("worn",C230)),"Material Frayed",ISNUMBER(SEARCH("intermittent",C230)),"Difficult or Delayed Activation",ISNUMBER(SEARCH("delay",C230)),"Difficult or Delayed Activation",ISNUMBER(SEARCH("label",C230)),"Device Markings/Labelling Problem",ISNUMBER(SEARCH("marking",C230)),"Device Markings/Labelling Problem",ISNUMBER(SEARCH("lacerat",C230)),"Defective Device",ISNUMBER(SEARCH("cut",C230)),"Defective Device",ISNUMBER(SEARCH("leak",C230)),"Fluid/Blood Leak",ISNUMBER(SEARCH("missing",C230)),"Component Missing",ISNUMBER(SEARCH("power",C230)),"Complete Loss of Power",ISNUMBER(SEARCH("will not turn on",C230)),"Complete Loss of Power",ISNUMBER(SEARCH("won't turn on",C230)),"Complete Loss of Power",ISNUMBER(SEARCH("does not turn on",C230)),"Complete Loss of Power",ISNUMBER(SEARCH("electrical",C230)),"Electrical Power Problem",ISNUMBER(SEARCH("pressure",C230)),"Detachment of Device or Device Component",ISNUMBER(SEARCH("slip",C230)),"Detachment of Device or Device Component",ISNUMBER(SEARCH("detach",C230)),"Detachment of Device or Device Component",ISNUMBER(SEARCH("stick",C230)),"Mechanical Jam",ISNUMBER(SEARCH("jam",C230)),"Mechanical Jam",ISNUMBER(SEARCH("rigid",C230)),"Mechanical Jam",ISNUMBER(SEARCH("rust",C230)),"Corroded",ISNUMBER(SEARCH("corrod",C230)),"Corroded",ISNUMBER(SEARCH("corrosion",C230)),"Corroded",ISNUMBER(SEARCH("alignment",C230)),"Defective Device",ISNUMBER(SEARCH("adjust",C230)),"Defective Device",ISNUMBER(SEARCH("perform",C230)),"Defective Device",ISNUMBER(SEARCH("malfunction",C230)),"Defective Device",ISNUMBER(SEARCH("defect",C230)),"Defective Device",ISNUMBER(SEARCH("fail",C230)),"Defective Device",ISNUMBER(SEARCH("not work",C230)),"Defective Device",ISNUMBER(SEARCH("doesn't work",C230)),"Defective Device",TRUE,"UNKNOWN"),"UNKNOWN")))</f>
        <v/>
      </c>
      <c r="F230" s="4" t="str">
        <f t="shared" si="3"/>
        <v/>
      </c>
      <c r="G230" s="363" t="str">
        <f>IF(E230="","",IFERROR(VLOOKUP(E230,Codes!$L$2:$N$409,3,FALSE),"—"))</f>
        <v/>
      </c>
      <c r="H230" s="88"/>
      <c r="I230" s="88"/>
    </row>
    <row r="231" spans="1:9" ht="13.15" x14ac:dyDescent="0.35">
      <c r="A231" s="434"/>
      <c r="B231" s="436"/>
      <c r="C231" s="437"/>
      <c r="D231" s="434"/>
      <c r="E231" s="93" t="str" cm="1">
        <f t="array" ref="E231">IF(D231&lt;&gt;"",IFERROR(VLOOKUP(D231,Codes!$K$2:$L$409,2,FALSE),"UNKNOWN - "&amp;D231),IF(C231="","",IFERROR(_xlfn.IFS(ISNUMBER(SEARCH("broken button",C231)),"Break",ISNUMBER(SEARCH("broken handle",C231)),"Break",ISNUMBER(SEARCH("shipping damage",C231)),"Break",ISNUMBER(SEARCH("broken",C231)),"Break",ISNUMBER(SEARCH("crack",C231)),"Break",ISNUMBER(SEARCH("snap",C231)),"Break",ISNUMBER(SEARCH("fracture",C231)),"Break",ISNUMBER(SEARCH("bent",C231)),"Material Twisted/Bent",ISNUMBER(SEARCH("twisted",C231)),"Material Twisted/Bent",ISNUMBER(SEARCH("component separat",C231)),"Material Separation",ISNUMBER(SEARCH("separat",C231)),"Material Separation",ISNUMBER(SEARCH("connection",C231)),"Loose or Intermittent Connection",ISNUMBER(SEARCH("loose",C231)),"Loose or Intermittent Connection",ISNUMBER(SEARCH("damaged packaging",C231)),"Packaging Problem",ISNUMBER(SEARCH("packaging",C231)),"Packaging Problem",ISNUMBER(SEARCH("discoloration",C231)),"Contamination",ISNUMBER(SEARCH("tarnish",C231)),"Contamination",ISNUMBER(SEARCH("stain",C231)),"Contamination",ISNUMBER(SEARCH("foreign material",C231)),"Contamination",ISNUMBER(SEARCH("contamina",C231)),"Contamination",ISNUMBER(SEARCH("overheat",C231)),"Overheating of Device",ISNUMBER(SEARCH("excessive heat",C231)),"Overheating of Device",ISNUMBER(SEARCH("hot",C231)),"Overheating of Device",ISNUMBER(SEARCH("noise",C231)),"Noise, Audible",ISNUMBER(SEARCH("sound",C231)),"Noise, Audible",ISNUMBER(SEARCH("loud",C231)),"Noise, Audible",ISNUMBER(SEARCH("fray",C231)),"Material Frayed",ISNUMBER(SEARCH("hole",C231)),"Material Frayed",ISNUMBER(SEARCH("tear",C231)),"Material Frayed",ISNUMBER(SEARCH("worn",C231)),"Material Frayed",ISNUMBER(SEARCH("intermittent",C231)),"Difficult or Delayed Activation",ISNUMBER(SEARCH("delay",C231)),"Difficult or Delayed Activation",ISNUMBER(SEARCH("label",C231)),"Device Markings/Labelling Problem",ISNUMBER(SEARCH("marking",C231)),"Device Markings/Labelling Problem",ISNUMBER(SEARCH("lacerat",C231)),"Defective Device",ISNUMBER(SEARCH("cut",C231)),"Defective Device",ISNUMBER(SEARCH("leak",C231)),"Fluid/Blood Leak",ISNUMBER(SEARCH("missing",C231)),"Component Missing",ISNUMBER(SEARCH("power",C231)),"Complete Loss of Power",ISNUMBER(SEARCH("will not turn on",C231)),"Complete Loss of Power",ISNUMBER(SEARCH("won't turn on",C231)),"Complete Loss of Power",ISNUMBER(SEARCH("does not turn on",C231)),"Complete Loss of Power",ISNUMBER(SEARCH("electrical",C231)),"Electrical Power Problem",ISNUMBER(SEARCH("pressure",C231)),"Detachment of Device or Device Component",ISNUMBER(SEARCH("slip",C231)),"Detachment of Device or Device Component",ISNUMBER(SEARCH("detach",C231)),"Detachment of Device or Device Component",ISNUMBER(SEARCH("stick",C231)),"Mechanical Jam",ISNUMBER(SEARCH("jam",C231)),"Mechanical Jam",ISNUMBER(SEARCH("rigid",C231)),"Mechanical Jam",ISNUMBER(SEARCH("rust",C231)),"Corroded",ISNUMBER(SEARCH("corrod",C231)),"Corroded",ISNUMBER(SEARCH("corrosion",C231)),"Corroded",ISNUMBER(SEARCH("alignment",C231)),"Defective Device",ISNUMBER(SEARCH("adjust",C231)),"Defective Device",ISNUMBER(SEARCH("perform",C231)),"Defective Device",ISNUMBER(SEARCH("malfunction",C231)),"Defective Device",ISNUMBER(SEARCH("defect",C231)),"Defective Device",ISNUMBER(SEARCH("fail",C231)),"Defective Device",ISNUMBER(SEARCH("not work",C231)),"Defective Device",ISNUMBER(SEARCH("doesn't work",C231)),"Defective Device",TRUE,"UNKNOWN"),"UNKNOWN")))</f>
        <v/>
      </c>
      <c r="F231" s="4" t="str">
        <f t="shared" si="3"/>
        <v/>
      </c>
      <c r="G231" s="363" t="str">
        <f>IF(E231="","",IFERROR(VLOOKUP(E231,Codes!$L$2:$N$409,3,FALSE),"—"))</f>
        <v/>
      </c>
      <c r="H231" s="88"/>
      <c r="I231" s="88"/>
    </row>
    <row r="232" spans="1:9" ht="13.15" x14ac:dyDescent="0.35">
      <c r="A232" s="435"/>
      <c r="B232" s="436"/>
      <c r="C232" s="438"/>
      <c r="D232" s="435"/>
      <c r="E232" s="93" t="str" cm="1">
        <f t="array" ref="E232">IF(D232&lt;&gt;"",IFERROR(VLOOKUP(D232,Codes!$K$2:$L$409,2,FALSE),"UNKNOWN - "&amp;D232),IF(C232="","",IFERROR(_xlfn.IFS(ISNUMBER(SEARCH("broken button",C232)),"Break",ISNUMBER(SEARCH("broken handle",C232)),"Break",ISNUMBER(SEARCH("shipping damage",C232)),"Break",ISNUMBER(SEARCH("broken",C232)),"Break",ISNUMBER(SEARCH("crack",C232)),"Break",ISNUMBER(SEARCH("snap",C232)),"Break",ISNUMBER(SEARCH("fracture",C232)),"Break",ISNUMBER(SEARCH("bent",C232)),"Material Twisted/Bent",ISNUMBER(SEARCH("twisted",C232)),"Material Twisted/Bent",ISNUMBER(SEARCH("component separat",C232)),"Material Separation",ISNUMBER(SEARCH("separat",C232)),"Material Separation",ISNUMBER(SEARCH("connection",C232)),"Loose or Intermittent Connection",ISNUMBER(SEARCH("loose",C232)),"Loose or Intermittent Connection",ISNUMBER(SEARCH("damaged packaging",C232)),"Packaging Problem",ISNUMBER(SEARCH("packaging",C232)),"Packaging Problem",ISNUMBER(SEARCH("discoloration",C232)),"Contamination",ISNUMBER(SEARCH("tarnish",C232)),"Contamination",ISNUMBER(SEARCH("stain",C232)),"Contamination",ISNUMBER(SEARCH("foreign material",C232)),"Contamination",ISNUMBER(SEARCH("contamina",C232)),"Contamination",ISNUMBER(SEARCH("overheat",C232)),"Overheating of Device",ISNUMBER(SEARCH("excessive heat",C232)),"Overheating of Device",ISNUMBER(SEARCH("hot",C232)),"Overheating of Device",ISNUMBER(SEARCH("noise",C232)),"Noise, Audible",ISNUMBER(SEARCH("sound",C232)),"Noise, Audible",ISNUMBER(SEARCH("loud",C232)),"Noise, Audible",ISNUMBER(SEARCH("fray",C232)),"Material Frayed",ISNUMBER(SEARCH("hole",C232)),"Material Frayed",ISNUMBER(SEARCH("tear",C232)),"Material Frayed",ISNUMBER(SEARCH("worn",C232)),"Material Frayed",ISNUMBER(SEARCH("intermittent",C232)),"Difficult or Delayed Activation",ISNUMBER(SEARCH("delay",C232)),"Difficult or Delayed Activation",ISNUMBER(SEARCH("label",C232)),"Device Markings/Labelling Problem",ISNUMBER(SEARCH("marking",C232)),"Device Markings/Labelling Problem",ISNUMBER(SEARCH("lacerat",C232)),"Defective Device",ISNUMBER(SEARCH("cut",C232)),"Defective Device",ISNUMBER(SEARCH("leak",C232)),"Fluid/Blood Leak",ISNUMBER(SEARCH("missing",C232)),"Component Missing",ISNUMBER(SEARCH("power",C232)),"Complete Loss of Power",ISNUMBER(SEARCH("will not turn on",C232)),"Complete Loss of Power",ISNUMBER(SEARCH("won't turn on",C232)),"Complete Loss of Power",ISNUMBER(SEARCH("does not turn on",C232)),"Complete Loss of Power",ISNUMBER(SEARCH("electrical",C232)),"Electrical Power Problem",ISNUMBER(SEARCH("pressure",C232)),"Detachment of Device or Device Component",ISNUMBER(SEARCH("slip",C232)),"Detachment of Device or Device Component",ISNUMBER(SEARCH("detach",C232)),"Detachment of Device or Device Component",ISNUMBER(SEARCH("stick",C232)),"Mechanical Jam",ISNUMBER(SEARCH("jam",C232)),"Mechanical Jam",ISNUMBER(SEARCH("rigid",C232)),"Mechanical Jam",ISNUMBER(SEARCH("rust",C232)),"Corroded",ISNUMBER(SEARCH("corrod",C232)),"Corroded",ISNUMBER(SEARCH("corrosion",C232)),"Corroded",ISNUMBER(SEARCH("alignment",C232)),"Defective Device",ISNUMBER(SEARCH("adjust",C232)),"Defective Device",ISNUMBER(SEARCH("perform",C232)),"Defective Device",ISNUMBER(SEARCH("malfunction",C232)),"Defective Device",ISNUMBER(SEARCH("defect",C232)),"Defective Device",ISNUMBER(SEARCH("fail",C232)),"Defective Device",ISNUMBER(SEARCH("not work",C232)),"Defective Device",ISNUMBER(SEARCH("doesn't work",C232)),"Defective Device",TRUE,"UNKNOWN"),"UNKNOWN")))</f>
        <v/>
      </c>
      <c r="F232" s="4" t="str">
        <f t="shared" si="3"/>
        <v/>
      </c>
      <c r="G232" s="363" t="str">
        <f>IF(E232="","",IFERROR(VLOOKUP(E232,Codes!$L$2:$N$409,3,FALSE),"—"))</f>
        <v/>
      </c>
      <c r="H232" s="88"/>
      <c r="I232" s="88"/>
    </row>
    <row r="233" spans="1:9" ht="13.15" x14ac:dyDescent="0.35">
      <c r="A233" s="435"/>
      <c r="B233" s="436"/>
      <c r="C233" s="438"/>
      <c r="D233" s="435"/>
      <c r="E233" s="93" t="str" cm="1">
        <f t="array" ref="E233">IF(D233&lt;&gt;"",IFERROR(VLOOKUP(D233,Codes!$K$2:$L$409,2,FALSE),"UNKNOWN - "&amp;D233),IF(C233="","",IFERROR(_xlfn.IFS(ISNUMBER(SEARCH("broken button",C233)),"Break",ISNUMBER(SEARCH("broken handle",C233)),"Break",ISNUMBER(SEARCH("shipping damage",C233)),"Break",ISNUMBER(SEARCH("broken",C233)),"Break",ISNUMBER(SEARCH("crack",C233)),"Break",ISNUMBER(SEARCH("snap",C233)),"Break",ISNUMBER(SEARCH("fracture",C233)),"Break",ISNUMBER(SEARCH("bent",C233)),"Material Twisted/Bent",ISNUMBER(SEARCH("twisted",C233)),"Material Twisted/Bent",ISNUMBER(SEARCH("component separat",C233)),"Material Separation",ISNUMBER(SEARCH("separat",C233)),"Material Separation",ISNUMBER(SEARCH("connection",C233)),"Loose or Intermittent Connection",ISNUMBER(SEARCH("loose",C233)),"Loose or Intermittent Connection",ISNUMBER(SEARCH("damaged packaging",C233)),"Packaging Problem",ISNUMBER(SEARCH("packaging",C233)),"Packaging Problem",ISNUMBER(SEARCH("discoloration",C233)),"Contamination",ISNUMBER(SEARCH("tarnish",C233)),"Contamination",ISNUMBER(SEARCH("stain",C233)),"Contamination",ISNUMBER(SEARCH("foreign material",C233)),"Contamination",ISNUMBER(SEARCH("contamina",C233)),"Contamination",ISNUMBER(SEARCH("overheat",C233)),"Overheating of Device",ISNUMBER(SEARCH("excessive heat",C233)),"Overheating of Device",ISNUMBER(SEARCH("hot",C233)),"Overheating of Device",ISNUMBER(SEARCH("noise",C233)),"Noise, Audible",ISNUMBER(SEARCH("sound",C233)),"Noise, Audible",ISNUMBER(SEARCH("loud",C233)),"Noise, Audible",ISNUMBER(SEARCH("fray",C233)),"Material Frayed",ISNUMBER(SEARCH("hole",C233)),"Material Frayed",ISNUMBER(SEARCH("tear",C233)),"Material Frayed",ISNUMBER(SEARCH("worn",C233)),"Material Frayed",ISNUMBER(SEARCH("intermittent",C233)),"Difficult or Delayed Activation",ISNUMBER(SEARCH("delay",C233)),"Difficult or Delayed Activation",ISNUMBER(SEARCH("label",C233)),"Device Markings/Labelling Problem",ISNUMBER(SEARCH("marking",C233)),"Device Markings/Labelling Problem",ISNUMBER(SEARCH("lacerat",C233)),"Defective Device",ISNUMBER(SEARCH("cut",C233)),"Defective Device",ISNUMBER(SEARCH("leak",C233)),"Fluid/Blood Leak",ISNUMBER(SEARCH("missing",C233)),"Component Missing",ISNUMBER(SEARCH("power",C233)),"Complete Loss of Power",ISNUMBER(SEARCH("will not turn on",C233)),"Complete Loss of Power",ISNUMBER(SEARCH("won't turn on",C233)),"Complete Loss of Power",ISNUMBER(SEARCH("does not turn on",C233)),"Complete Loss of Power",ISNUMBER(SEARCH("electrical",C233)),"Electrical Power Problem",ISNUMBER(SEARCH("pressure",C233)),"Detachment of Device or Device Component",ISNUMBER(SEARCH("slip",C233)),"Detachment of Device or Device Component",ISNUMBER(SEARCH("detach",C233)),"Detachment of Device or Device Component",ISNUMBER(SEARCH("stick",C233)),"Mechanical Jam",ISNUMBER(SEARCH("jam",C233)),"Mechanical Jam",ISNUMBER(SEARCH("rigid",C233)),"Mechanical Jam",ISNUMBER(SEARCH("rust",C233)),"Corroded",ISNUMBER(SEARCH("corrod",C233)),"Corroded",ISNUMBER(SEARCH("corrosion",C233)),"Corroded",ISNUMBER(SEARCH("alignment",C233)),"Defective Device",ISNUMBER(SEARCH("adjust",C233)),"Defective Device",ISNUMBER(SEARCH("perform",C233)),"Defective Device",ISNUMBER(SEARCH("malfunction",C233)),"Defective Device",ISNUMBER(SEARCH("defect",C233)),"Defective Device",ISNUMBER(SEARCH("fail",C233)),"Defective Device",ISNUMBER(SEARCH("not work",C233)),"Defective Device",ISNUMBER(SEARCH("doesn't work",C233)),"Defective Device",TRUE,"UNKNOWN"),"UNKNOWN")))</f>
        <v/>
      </c>
      <c r="F233" s="4" t="str">
        <f t="shared" si="3"/>
        <v/>
      </c>
      <c r="G233" s="363" t="str">
        <f>IF(E233="","",IFERROR(VLOOKUP(E233,Codes!$L$2:$N$409,3,FALSE),"—"))</f>
        <v/>
      </c>
      <c r="H233" s="88"/>
      <c r="I233" s="88"/>
    </row>
    <row r="234" spans="1:9" ht="13.15" x14ac:dyDescent="0.35">
      <c r="A234" s="434"/>
      <c r="B234" s="436"/>
      <c r="C234" s="437"/>
      <c r="D234" s="434"/>
      <c r="E234" s="93" t="str" cm="1">
        <f t="array" ref="E234">IF(D234&lt;&gt;"",IFERROR(VLOOKUP(D234,Codes!$K$2:$L$409,2,FALSE),"UNKNOWN - "&amp;D234),IF(C234="","",IFERROR(_xlfn.IFS(ISNUMBER(SEARCH("broken button",C234)),"Break",ISNUMBER(SEARCH("broken handle",C234)),"Break",ISNUMBER(SEARCH("shipping damage",C234)),"Break",ISNUMBER(SEARCH("broken",C234)),"Break",ISNUMBER(SEARCH("crack",C234)),"Break",ISNUMBER(SEARCH("snap",C234)),"Break",ISNUMBER(SEARCH("fracture",C234)),"Break",ISNUMBER(SEARCH("bent",C234)),"Material Twisted/Bent",ISNUMBER(SEARCH("twisted",C234)),"Material Twisted/Bent",ISNUMBER(SEARCH("component separat",C234)),"Material Separation",ISNUMBER(SEARCH("separat",C234)),"Material Separation",ISNUMBER(SEARCH("connection",C234)),"Loose or Intermittent Connection",ISNUMBER(SEARCH("loose",C234)),"Loose or Intermittent Connection",ISNUMBER(SEARCH("damaged packaging",C234)),"Packaging Problem",ISNUMBER(SEARCH("packaging",C234)),"Packaging Problem",ISNUMBER(SEARCH("discoloration",C234)),"Contamination",ISNUMBER(SEARCH("tarnish",C234)),"Contamination",ISNUMBER(SEARCH("stain",C234)),"Contamination",ISNUMBER(SEARCH("foreign material",C234)),"Contamination",ISNUMBER(SEARCH("contamina",C234)),"Contamination",ISNUMBER(SEARCH("overheat",C234)),"Overheating of Device",ISNUMBER(SEARCH("excessive heat",C234)),"Overheating of Device",ISNUMBER(SEARCH("hot",C234)),"Overheating of Device",ISNUMBER(SEARCH("noise",C234)),"Noise, Audible",ISNUMBER(SEARCH("sound",C234)),"Noise, Audible",ISNUMBER(SEARCH("loud",C234)),"Noise, Audible",ISNUMBER(SEARCH("fray",C234)),"Material Frayed",ISNUMBER(SEARCH("hole",C234)),"Material Frayed",ISNUMBER(SEARCH("tear",C234)),"Material Frayed",ISNUMBER(SEARCH("worn",C234)),"Material Frayed",ISNUMBER(SEARCH("intermittent",C234)),"Difficult or Delayed Activation",ISNUMBER(SEARCH("delay",C234)),"Difficult or Delayed Activation",ISNUMBER(SEARCH("label",C234)),"Device Markings/Labelling Problem",ISNUMBER(SEARCH("marking",C234)),"Device Markings/Labelling Problem",ISNUMBER(SEARCH("lacerat",C234)),"Defective Device",ISNUMBER(SEARCH("cut",C234)),"Defective Device",ISNUMBER(SEARCH("leak",C234)),"Fluid/Blood Leak",ISNUMBER(SEARCH("missing",C234)),"Component Missing",ISNUMBER(SEARCH("power",C234)),"Complete Loss of Power",ISNUMBER(SEARCH("will not turn on",C234)),"Complete Loss of Power",ISNUMBER(SEARCH("won't turn on",C234)),"Complete Loss of Power",ISNUMBER(SEARCH("does not turn on",C234)),"Complete Loss of Power",ISNUMBER(SEARCH("electrical",C234)),"Electrical Power Problem",ISNUMBER(SEARCH("pressure",C234)),"Detachment of Device or Device Component",ISNUMBER(SEARCH("slip",C234)),"Detachment of Device or Device Component",ISNUMBER(SEARCH("detach",C234)),"Detachment of Device or Device Component",ISNUMBER(SEARCH("stick",C234)),"Mechanical Jam",ISNUMBER(SEARCH("jam",C234)),"Mechanical Jam",ISNUMBER(SEARCH("rigid",C234)),"Mechanical Jam",ISNUMBER(SEARCH("rust",C234)),"Corroded",ISNUMBER(SEARCH("corrod",C234)),"Corroded",ISNUMBER(SEARCH("corrosion",C234)),"Corroded",ISNUMBER(SEARCH("alignment",C234)),"Defective Device",ISNUMBER(SEARCH("adjust",C234)),"Defective Device",ISNUMBER(SEARCH("perform",C234)),"Defective Device",ISNUMBER(SEARCH("malfunction",C234)),"Defective Device",ISNUMBER(SEARCH("defect",C234)),"Defective Device",ISNUMBER(SEARCH("fail",C234)),"Defective Device",ISNUMBER(SEARCH("not work",C234)),"Defective Device",ISNUMBER(SEARCH("doesn't work",C234)),"Defective Device",TRUE,"UNKNOWN"),"UNKNOWN")))</f>
        <v/>
      </c>
      <c r="F234" s="4" t="str">
        <f t="shared" si="3"/>
        <v/>
      </c>
      <c r="G234" s="363" t="str">
        <f>IF(E234="","",IFERROR(VLOOKUP(E234,Codes!$L$2:$N$409,3,FALSE),"—"))</f>
        <v/>
      </c>
      <c r="H234" s="88"/>
      <c r="I234" s="88"/>
    </row>
    <row r="235" spans="1:9" ht="13.15" x14ac:dyDescent="0.35">
      <c r="A235" s="434"/>
      <c r="B235" s="436"/>
      <c r="C235" s="437"/>
      <c r="D235" s="434"/>
      <c r="E235" s="93" t="str" cm="1">
        <f t="array" ref="E235">IF(D235&lt;&gt;"",IFERROR(VLOOKUP(D235,Codes!$K$2:$L$409,2,FALSE),"UNKNOWN - "&amp;D235),IF(C235="","",IFERROR(_xlfn.IFS(ISNUMBER(SEARCH("broken button",C235)),"Break",ISNUMBER(SEARCH("broken handle",C235)),"Break",ISNUMBER(SEARCH("shipping damage",C235)),"Break",ISNUMBER(SEARCH("broken",C235)),"Break",ISNUMBER(SEARCH("crack",C235)),"Break",ISNUMBER(SEARCH("snap",C235)),"Break",ISNUMBER(SEARCH("fracture",C235)),"Break",ISNUMBER(SEARCH("bent",C235)),"Material Twisted/Bent",ISNUMBER(SEARCH("twisted",C235)),"Material Twisted/Bent",ISNUMBER(SEARCH("component separat",C235)),"Material Separation",ISNUMBER(SEARCH("separat",C235)),"Material Separation",ISNUMBER(SEARCH("connection",C235)),"Loose or Intermittent Connection",ISNUMBER(SEARCH("loose",C235)),"Loose or Intermittent Connection",ISNUMBER(SEARCH("damaged packaging",C235)),"Packaging Problem",ISNUMBER(SEARCH("packaging",C235)),"Packaging Problem",ISNUMBER(SEARCH("discoloration",C235)),"Contamination",ISNUMBER(SEARCH("tarnish",C235)),"Contamination",ISNUMBER(SEARCH("stain",C235)),"Contamination",ISNUMBER(SEARCH("foreign material",C235)),"Contamination",ISNUMBER(SEARCH("contamina",C235)),"Contamination",ISNUMBER(SEARCH("overheat",C235)),"Overheating of Device",ISNUMBER(SEARCH("excessive heat",C235)),"Overheating of Device",ISNUMBER(SEARCH("hot",C235)),"Overheating of Device",ISNUMBER(SEARCH("noise",C235)),"Noise, Audible",ISNUMBER(SEARCH("sound",C235)),"Noise, Audible",ISNUMBER(SEARCH("loud",C235)),"Noise, Audible",ISNUMBER(SEARCH("fray",C235)),"Material Frayed",ISNUMBER(SEARCH("hole",C235)),"Material Frayed",ISNUMBER(SEARCH("tear",C235)),"Material Frayed",ISNUMBER(SEARCH("worn",C235)),"Material Frayed",ISNUMBER(SEARCH("intermittent",C235)),"Difficult or Delayed Activation",ISNUMBER(SEARCH("delay",C235)),"Difficult or Delayed Activation",ISNUMBER(SEARCH("label",C235)),"Device Markings/Labelling Problem",ISNUMBER(SEARCH("marking",C235)),"Device Markings/Labelling Problem",ISNUMBER(SEARCH("lacerat",C235)),"Defective Device",ISNUMBER(SEARCH("cut",C235)),"Defective Device",ISNUMBER(SEARCH("leak",C235)),"Fluid/Blood Leak",ISNUMBER(SEARCH("missing",C235)),"Component Missing",ISNUMBER(SEARCH("power",C235)),"Complete Loss of Power",ISNUMBER(SEARCH("will not turn on",C235)),"Complete Loss of Power",ISNUMBER(SEARCH("won't turn on",C235)),"Complete Loss of Power",ISNUMBER(SEARCH("does not turn on",C235)),"Complete Loss of Power",ISNUMBER(SEARCH("electrical",C235)),"Electrical Power Problem",ISNUMBER(SEARCH("pressure",C235)),"Detachment of Device or Device Component",ISNUMBER(SEARCH("slip",C235)),"Detachment of Device or Device Component",ISNUMBER(SEARCH("detach",C235)),"Detachment of Device or Device Component",ISNUMBER(SEARCH("stick",C235)),"Mechanical Jam",ISNUMBER(SEARCH("jam",C235)),"Mechanical Jam",ISNUMBER(SEARCH("rigid",C235)),"Mechanical Jam",ISNUMBER(SEARCH("rust",C235)),"Corroded",ISNUMBER(SEARCH("corrod",C235)),"Corroded",ISNUMBER(SEARCH("corrosion",C235)),"Corroded",ISNUMBER(SEARCH("alignment",C235)),"Defective Device",ISNUMBER(SEARCH("adjust",C235)),"Defective Device",ISNUMBER(SEARCH("perform",C235)),"Defective Device",ISNUMBER(SEARCH("malfunction",C235)),"Defective Device",ISNUMBER(SEARCH("defect",C235)),"Defective Device",ISNUMBER(SEARCH("fail",C235)),"Defective Device",ISNUMBER(SEARCH("not work",C235)),"Defective Device",ISNUMBER(SEARCH("doesn't work",C235)),"Defective Device",TRUE,"UNKNOWN"),"UNKNOWN")))</f>
        <v/>
      </c>
      <c r="F235" s="4" t="str">
        <f t="shared" si="3"/>
        <v/>
      </c>
      <c r="G235" s="363" t="str">
        <f>IF(E235="","",IFERROR(VLOOKUP(E235,Codes!$L$2:$N$409,3,FALSE),"—"))</f>
        <v/>
      </c>
      <c r="H235" s="88"/>
      <c r="I235" s="88"/>
    </row>
    <row r="236" spans="1:9" ht="13.15" x14ac:dyDescent="0.35">
      <c r="A236" s="434"/>
      <c r="B236" s="436"/>
      <c r="C236" s="437"/>
      <c r="D236" s="434"/>
      <c r="E236" s="93" t="str" cm="1">
        <f t="array" ref="E236">IF(D236&lt;&gt;"",IFERROR(VLOOKUP(D236,Codes!$K$2:$L$409,2,FALSE),"UNKNOWN - "&amp;D236),IF(C236="","",IFERROR(_xlfn.IFS(ISNUMBER(SEARCH("broken button",C236)),"Break",ISNUMBER(SEARCH("broken handle",C236)),"Break",ISNUMBER(SEARCH("shipping damage",C236)),"Break",ISNUMBER(SEARCH("broken",C236)),"Break",ISNUMBER(SEARCH("crack",C236)),"Break",ISNUMBER(SEARCH("snap",C236)),"Break",ISNUMBER(SEARCH("fracture",C236)),"Break",ISNUMBER(SEARCH("bent",C236)),"Material Twisted/Bent",ISNUMBER(SEARCH("twisted",C236)),"Material Twisted/Bent",ISNUMBER(SEARCH("component separat",C236)),"Material Separation",ISNUMBER(SEARCH("separat",C236)),"Material Separation",ISNUMBER(SEARCH("connection",C236)),"Loose or Intermittent Connection",ISNUMBER(SEARCH("loose",C236)),"Loose or Intermittent Connection",ISNUMBER(SEARCH("damaged packaging",C236)),"Packaging Problem",ISNUMBER(SEARCH("packaging",C236)),"Packaging Problem",ISNUMBER(SEARCH("discoloration",C236)),"Contamination",ISNUMBER(SEARCH("tarnish",C236)),"Contamination",ISNUMBER(SEARCH("stain",C236)),"Contamination",ISNUMBER(SEARCH("foreign material",C236)),"Contamination",ISNUMBER(SEARCH("contamina",C236)),"Contamination",ISNUMBER(SEARCH("overheat",C236)),"Overheating of Device",ISNUMBER(SEARCH("excessive heat",C236)),"Overheating of Device",ISNUMBER(SEARCH("hot",C236)),"Overheating of Device",ISNUMBER(SEARCH("noise",C236)),"Noise, Audible",ISNUMBER(SEARCH("sound",C236)),"Noise, Audible",ISNUMBER(SEARCH("loud",C236)),"Noise, Audible",ISNUMBER(SEARCH("fray",C236)),"Material Frayed",ISNUMBER(SEARCH("hole",C236)),"Material Frayed",ISNUMBER(SEARCH("tear",C236)),"Material Frayed",ISNUMBER(SEARCH("worn",C236)),"Material Frayed",ISNUMBER(SEARCH("intermittent",C236)),"Difficult or Delayed Activation",ISNUMBER(SEARCH("delay",C236)),"Difficult or Delayed Activation",ISNUMBER(SEARCH("label",C236)),"Device Markings/Labelling Problem",ISNUMBER(SEARCH("marking",C236)),"Device Markings/Labelling Problem",ISNUMBER(SEARCH("lacerat",C236)),"Defective Device",ISNUMBER(SEARCH("cut",C236)),"Defective Device",ISNUMBER(SEARCH("leak",C236)),"Fluid/Blood Leak",ISNUMBER(SEARCH("missing",C236)),"Component Missing",ISNUMBER(SEARCH("power",C236)),"Complete Loss of Power",ISNUMBER(SEARCH("will not turn on",C236)),"Complete Loss of Power",ISNUMBER(SEARCH("won't turn on",C236)),"Complete Loss of Power",ISNUMBER(SEARCH("does not turn on",C236)),"Complete Loss of Power",ISNUMBER(SEARCH("electrical",C236)),"Electrical Power Problem",ISNUMBER(SEARCH("pressure",C236)),"Detachment of Device or Device Component",ISNUMBER(SEARCH("slip",C236)),"Detachment of Device or Device Component",ISNUMBER(SEARCH("detach",C236)),"Detachment of Device or Device Component",ISNUMBER(SEARCH("stick",C236)),"Mechanical Jam",ISNUMBER(SEARCH("jam",C236)),"Mechanical Jam",ISNUMBER(SEARCH("rigid",C236)),"Mechanical Jam",ISNUMBER(SEARCH("rust",C236)),"Corroded",ISNUMBER(SEARCH("corrod",C236)),"Corroded",ISNUMBER(SEARCH("corrosion",C236)),"Corroded",ISNUMBER(SEARCH("alignment",C236)),"Defective Device",ISNUMBER(SEARCH("adjust",C236)),"Defective Device",ISNUMBER(SEARCH("perform",C236)),"Defective Device",ISNUMBER(SEARCH("malfunction",C236)),"Defective Device",ISNUMBER(SEARCH("defect",C236)),"Defective Device",ISNUMBER(SEARCH("fail",C236)),"Defective Device",ISNUMBER(SEARCH("not work",C236)),"Defective Device",ISNUMBER(SEARCH("doesn't work",C236)),"Defective Device",TRUE,"UNKNOWN"),"UNKNOWN")))</f>
        <v/>
      </c>
      <c r="F236" s="4" t="str">
        <f t="shared" si="3"/>
        <v/>
      </c>
      <c r="G236" s="363" t="str">
        <f>IF(E236="","",IFERROR(VLOOKUP(E236,Codes!$L$2:$N$409,3,FALSE),"—"))</f>
        <v/>
      </c>
      <c r="H236" s="88"/>
      <c r="I236" s="88"/>
    </row>
    <row r="237" spans="1:9" ht="13.15" x14ac:dyDescent="0.35">
      <c r="A237" s="435"/>
      <c r="B237" s="436"/>
      <c r="C237" s="438"/>
      <c r="D237" s="435"/>
      <c r="E237" s="93" t="str" cm="1">
        <f t="array" ref="E237">IF(D237&lt;&gt;"",IFERROR(VLOOKUP(D237,Codes!$K$2:$L$409,2,FALSE),"UNKNOWN - "&amp;D237),IF(C237="","",IFERROR(_xlfn.IFS(ISNUMBER(SEARCH("broken button",C237)),"Break",ISNUMBER(SEARCH("broken handle",C237)),"Break",ISNUMBER(SEARCH("shipping damage",C237)),"Break",ISNUMBER(SEARCH("broken",C237)),"Break",ISNUMBER(SEARCH("crack",C237)),"Break",ISNUMBER(SEARCH("snap",C237)),"Break",ISNUMBER(SEARCH("fracture",C237)),"Break",ISNUMBER(SEARCH("bent",C237)),"Material Twisted/Bent",ISNUMBER(SEARCH("twisted",C237)),"Material Twisted/Bent",ISNUMBER(SEARCH("component separat",C237)),"Material Separation",ISNUMBER(SEARCH("separat",C237)),"Material Separation",ISNUMBER(SEARCH("connection",C237)),"Loose or Intermittent Connection",ISNUMBER(SEARCH("loose",C237)),"Loose or Intermittent Connection",ISNUMBER(SEARCH("damaged packaging",C237)),"Packaging Problem",ISNUMBER(SEARCH("packaging",C237)),"Packaging Problem",ISNUMBER(SEARCH("discoloration",C237)),"Contamination",ISNUMBER(SEARCH("tarnish",C237)),"Contamination",ISNUMBER(SEARCH("stain",C237)),"Contamination",ISNUMBER(SEARCH("foreign material",C237)),"Contamination",ISNUMBER(SEARCH("contamina",C237)),"Contamination",ISNUMBER(SEARCH("overheat",C237)),"Overheating of Device",ISNUMBER(SEARCH("excessive heat",C237)),"Overheating of Device",ISNUMBER(SEARCH("hot",C237)),"Overheating of Device",ISNUMBER(SEARCH("noise",C237)),"Noise, Audible",ISNUMBER(SEARCH("sound",C237)),"Noise, Audible",ISNUMBER(SEARCH("loud",C237)),"Noise, Audible",ISNUMBER(SEARCH("fray",C237)),"Material Frayed",ISNUMBER(SEARCH("hole",C237)),"Material Frayed",ISNUMBER(SEARCH("tear",C237)),"Material Frayed",ISNUMBER(SEARCH("worn",C237)),"Material Frayed",ISNUMBER(SEARCH("intermittent",C237)),"Difficult or Delayed Activation",ISNUMBER(SEARCH("delay",C237)),"Difficult or Delayed Activation",ISNUMBER(SEARCH("label",C237)),"Device Markings/Labelling Problem",ISNUMBER(SEARCH("marking",C237)),"Device Markings/Labelling Problem",ISNUMBER(SEARCH("lacerat",C237)),"Defective Device",ISNUMBER(SEARCH("cut",C237)),"Defective Device",ISNUMBER(SEARCH("leak",C237)),"Fluid/Blood Leak",ISNUMBER(SEARCH("missing",C237)),"Component Missing",ISNUMBER(SEARCH("power",C237)),"Complete Loss of Power",ISNUMBER(SEARCH("will not turn on",C237)),"Complete Loss of Power",ISNUMBER(SEARCH("won't turn on",C237)),"Complete Loss of Power",ISNUMBER(SEARCH("does not turn on",C237)),"Complete Loss of Power",ISNUMBER(SEARCH("electrical",C237)),"Electrical Power Problem",ISNUMBER(SEARCH("pressure",C237)),"Detachment of Device or Device Component",ISNUMBER(SEARCH("slip",C237)),"Detachment of Device or Device Component",ISNUMBER(SEARCH("detach",C237)),"Detachment of Device or Device Component",ISNUMBER(SEARCH("stick",C237)),"Mechanical Jam",ISNUMBER(SEARCH("jam",C237)),"Mechanical Jam",ISNUMBER(SEARCH("rigid",C237)),"Mechanical Jam",ISNUMBER(SEARCH("rust",C237)),"Corroded",ISNUMBER(SEARCH("corrod",C237)),"Corroded",ISNUMBER(SEARCH("corrosion",C237)),"Corroded",ISNUMBER(SEARCH("alignment",C237)),"Defective Device",ISNUMBER(SEARCH("adjust",C237)),"Defective Device",ISNUMBER(SEARCH("perform",C237)),"Defective Device",ISNUMBER(SEARCH("malfunction",C237)),"Defective Device",ISNUMBER(SEARCH("defect",C237)),"Defective Device",ISNUMBER(SEARCH("fail",C237)),"Defective Device",ISNUMBER(SEARCH("not work",C237)),"Defective Device",ISNUMBER(SEARCH("doesn't work",C237)),"Defective Device",TRUE,"UNKNOWN"),"UNKNOWN")))</f>
        <v/>
      </c>
      <c r="F237" s="4" t="str">
        <f t="shared" si="3"/>
        <v/>
      </c>
      <c r="G237" s="363" t="str">
        <f>IF(E237="","",IFERROR(VLOOKUP(E237,Codes!$L$2:$N$409,3,FALSE),"—"))</f>
        <v/>
      </c>
      <c r="H237" s="88"/>
      <c r="I237" s="88"/>
    </row>
    <row r="238" spans="1:9" ht="13.15" x14ac:dyDescent="0.35">
      <c r="A238" s="434"/>
      <c r="B238" s="436"/>
      <c r="C238" s="437"/>
      <c r="D238" s="434"/>
      <c r="E238" s="93" t="str" cm="1">
        <f t="array" ref="E238">IF(D238&lt;&gt;"",IFERROR(VLOOKUP(D238,Codes!$K$2:$L$409,2,FALSE),"UNKNOWN - "&amp;D238),IF(C238="","",IFERROR(_xlfn.IFS(ISNUMBER(SEARCH("broken button",C238)),"Break",ISNUMBER(SEARCH("broken handle",C238)),"Break",ISNUMBER(SEARCH("shipping damage",C238)),"Break",ISNUMBER(SEARCH("broken",C238)),"Break",ISNUMBER(SEARCH("crack",C238)),"Break",ISNUMBER(SEARCH("snap",C238)),"Break",ISNUMBER(SEARCH("fracture",C238)),"Break",ISNUMBER(SEARCH("bent",C238)),"Material Twisted/Bent",ISNUMBER(SEARCH("twisted",C238)),"Material Twisted/Bent",ISNUMBER(SEARCH("component separat",C238)),"Material Separation",ISNUMBER(SEARCH("separat",C238)),"Material Separation",ISNUMBER(SEARCH("connection",C238)),"Loose or Intermittent Connection",ISNUMBER(SEARCH("loose",C238)),"Loose or Intermittent Connection",ISNUMBER(SEARCH("damaged packaging",C238)),"Packaging Problem",ISNUMBER(SEARCH("packaging",C238)),"Packaging Problem",ISNUMBER(SEARCH("discoloration",C238)),"Contamination",ISNUMBER(SEARCH("tarnish",C238)),"Contamination",ISNUMBER(SEARCH("stain",C238)),"Contamination",ISNUMBER(SEARCH("foreign material",C238)),"Contamination",ISNUMBER(SEARCH("contamina",C238)),"Contamination",ISNUMBER(SEARCH("overheat",C238)),"Overheating of Device",ISNUMBER(SEARCH("excessive heat",C238)),"Overheating of Device",ISNUMBER(SEARCH("hot",C238)),"Overheating of Device",ISNUMBER(SEARCH("noise",C238)),"Noise, Audible",ISNUMBER(SEARCH("sound",C238)),"Noise, Audible",ISNUMBER(SEARCH("loud",C238)),"Noise, Audible",ISNUMBER(SEARCH("fray",C238)),"Material Frayed",ISNUMBER(SEARCH("hole",C238)),"Material Frayed",ISNUMBER(SEARCH("tear",C238)),"Material Frayed",ISNUMBER(SEARCH("worn",C238)),"Material Frayed",ISNUMBER(SEARCH("intermittent",C238)),"Difficult or Delayed Activation",ISNUMBER(SEARCH("delay",C238)),"Difficult or Delayed Activation",ISNUMBER(SEARCH("label",C238)),"Device Markings/Labelling Problem",ISNUMBER(SEARCH("marking",C238)),"Device Markings/Labelling Problem",ISNUMBER(SEARCH("lacerat",C238)),"Defective Device",ISNUMBER(SEARCH("cut",C238)),"Defective Device",ISNUMBER(SEARCH("leak",C238)),"Fluid/Blood Leak",ISNUMBER(SEARCH("missing",C238)),"Component Missing",ISNUMBER(SEARCH("power",C238)),"Complete Loss of Power",ISNUMBER(SEARCH("will not turn on",C238)),"Complete Loss of Power",ISNUMBER(SEARCH("won't turn on",C238)),"Complete Loss of Power",ISNUMBER(SEARCH("does not turn on",C238)),"Complete Loss of Power",ISNUMBER(SEARCH("electrical",C238)),"Electrical Power Problem",ISNUMBER(SEARCH("pressure",C238)),"Detachment of Device or Device Component",ISNUMBER(SEARCH("slip",C238)),"Detachment of Device or Device Component",ISNUMBER(SEARCH("detach",C238)),"Detachment of Device or Device Component",ISNUMBER(SEARCH("stick",C238)),"Mechanical Jam",ISNUMBER(SEARCH("jam",C238)),"Mechanical Jam",ISNUMBER(SEARCH("rigid",C238)),"Mechanical Jam",ISNUMBER(SEARCH("rust",C238)),"Corroded",ISNUMBER(SEARCH("corrod",C238)),"Corroded",ISNUMBER(SEARCH("corrosion",C238)),"Corroded",ISNUMBER(SEARCH("alignment",C238)),"Defective Device",ISNUMBER(SEARCH("adjust",C238)),"Defective Device",ISNUMBER(SEARCH("perform",C238)),"Defective Device",ISNUMBER(SEARCH("malfunction",C238)),"Defective Device",ISNUMBER(SEARCH("defect",C238)),"Defective Device",ISNUMBER(SEARCH("fail",C238)),"Defective Device",ISNUMBER(SEARCH("not work",C238)),"Defective Device",ISNUMBER(SEARCH("doesn't work",C238)),"Defective Device",TRUE,"UNKNOWN"),"UNKNOWN")))</f>
        <v/>
      </c>
      <c r="F238" s="4" t="str">
        <f t="shared" si="3"/>
        <v/>
      </c>
      <c r="G238" s="363" t="str">
        <f>IF(E238="","",IFERROR(VLOOKUP(E238,Codes!$L$2:$N$409,3,FALSE),"—"))</f>
        <v/>
      </c>
      <c r="H238" s="88"/>
      <c r="I238" s="88"/>
    </row>
    <row r="239" spans="1:9" ht="13.15" x14ac:dyDescent="0.35">
      <c r="A239" s="434"/>
      <c r="B239" s="436"/>
      <c r="C239" s="437"/>
      <c r="D239" s="434"/>
      <c r="E239" s="93" t="str" cm="1">
        <f t="array" ref="E239">IF(D239&lt;&gt;"",IFERROR(VLOOKUP(D239,Codes!$K$2:$L$409,2,FALSE),"UNKNOWN - "&amp;D239),IF(C239="","",IFERROR(_xlfn.IFS(ISNUMBER(SEARCH("broken button",C239)),"Break",ISNUMBER(SEARCH("broken handle",C239)),"Break",ISNUMBER(SEARCH("shipping damage",C239)),"Break",ISNUMBER(SEARCH("broken",C239)),"Break",ISNUMBER(SEARCH("crack",C239)),"Break",ISNUMBER(SEARCH("snap",C239)),"Break",ISNUMBER(SEARCH("fracture",C239)),"Break",ISNUMBER(SEARCH("bent",C239)),"Material Twisted/Bent",ISNUMBER(SEARCH("twisted",C239)),"Material Twisted/Bent",ISNUMBER(SEARCH("component separat",C239)),"Material Separation",ISNUMBER(SEARCH("separat",C239)),"Material Separation",ISNUMBER(SEARCH("connection",C239)),"Loose or Intermittent Connection",ISNUMBER(SEARCH("loose",C239)),"Loose or Intermittent Connection",ISNUMBER(SEARCH("damaged packaging",C239)),"Packaging Problem",ISNUMBER(SEARCH("packaging",C239)),"Packaging Problem",ISNUMBER(SEARCH("discoloration",C239)),"Contamination",ISNUMBER(SEARCH("tarnish",C239)),"Contamination",ISNUMBER(SEARCH("stain",C239)),"Contamination",ISNUMBER(SEARCH("foreign material",C239)),"Contamination",ISNUMBER(SEARCH("contamina",C239)),"Contamination",ISNUMBER(SEARCH("overheat",C239)),"Overheating of Device",ISNUMBER(SEARCH("excessive heat",C239)),"Overheating of Device",ISNUMBER(SEARCH("hot",C239)),"Overheating of Device",ISNUMBER(SEARCH("noise",C239)),"Noise, Audible",ISNUMBER(SEARCH("sound",C239)),"Noise, Audible",ISNUMBER(SEARCH("loud",C239)),"Noise, Audible",ISNUMBER(SEARCH("fray",C239)),"Material Frayed",ISNUMBER(SEARCH("hole",C239)),"Material Frayed",ISNUMBER(SEARCH("tear",C239)),"Material Frayed",ISNUMBER(SEARCH("worn",C239)),"Material Frayed",ISNUMBER(SEARCH("intermittent",C239)),"Difficult or Delayed Activation",ISNUMBER(SEARCH("delay",C239)),"Difficult or Delayed Activation",ISNUMBER(SEARCH("label",C239)),"Device Markings/Labelling Problem",ISNUMBER(SEARCH("marking",C239)),"Device Markings/Labelling Problem",ISNUMBER(SEARCH("lacerat",C239)),"Defective Device",ISNUMBER(SEARCH("cut",C239)),"Defective Device",ISNUMBER(SEARCH("leak",C239)),"Fluid/Blood Leak",ISNUMBER(SEARCH("missing",C239)),"Component Missing",ISNUMBER(SEARCH("power",C239)),"Complete Loss of Power",ISNUMBER(SEARCH("will not turn on",C239)),"Complete Loss of Power",ISNUMBER(SEARCH("won't turn on",C239)),"Complete Loss of Power",ISNUMBER(SEARCH("does not turn on",C239)),"Complete Loss of Power",ISNUMBER(SEARCH("electrical",C239)),"Electrical Power Problem",ISNUMBER(SEARCH("pressure",C239)),"Detachment of Device or Device Component",ISNUMBER(SEARCH("slip",C239)),"Detachment of Device or Device Component",ISNUMBER(SEARCH("detach",C239)),"Detachment of Device or Device Component",ISNUMBER(SEARCH("stick",C239)),"Mechanical Jam",ISNUMBER(SEARCH("jam",C239)),"Mechanical Jam",ISNUMBER(SEARCH("rigid",C239)),"Mechanical Jam",ISNUMBER(SEARCH("rust",C239)),"Corroded",ISNUMBER(SEARCH("corrod",C239)),"Corroded",ISNUMBER(SEARCH("corrosion",C239)),"Corroded",ISNUMBER(SEARCH("alignment",C239)),"Defective Device",ISNUMBER(SEARCH("adjust",C239)),"Defective Device",ISNUMBER(SEARCH("perform",C239)),"Defective Device",ISNUMBER(SEARCH("malfunction",C239)),"Defective Device",ISNUMBER(SEARCH("defect",C239)),"Defective Device",ISNUMBER(SEARCH("fail",C239)),"Defective Device",ISNUMBER(SEARCH("not work",C239)),"Defective Device",ISNUMBER(SEARCH("doesn't work",C239)),"Defective Device",TRUE,"UNKNOWN"),"UNKNOWN")))</f>
        <v/>
      </c>
      <c r="F239" s="4" t="str">
        <f t="shared" si="3"/>
        <v/>
      </c>
      <c r="G239" s="363" t="str">
        <f>IF(E239="","",IFERROR(VLOOKUP(E239,Codes!$L$2:$N$409,3,FALSE),"—"))</f>
        <v/>
      </c>
      <c r="H239" s="88"/>
      <c r="I239" s="88"/>
    </row>
    <row r="240" spans="1:9" ht="13.15" x14ac:dyDescent="0.35">
      <c r="A240" s="435"/>
      <c r="B240" s="436"/>
      <c r="C240" s="438"/>
      <c r="D240" s="435"/>
      <c r="E240" s="93" t="str" cm="1">
        <f t="array" ref="E240">IF(D240&lt;&gt;"",IFERROR(VLOOKUP(D240,Codes!$K$2:$L$409,2,FALSE),"UNKNOWN - "&amp;D240),IF(C240="","",IFERROR(_xlfn.IFS(ISNUMBER(SEARCH("broken button",C240)),"Break",ISNUMBER(SEARCH("broken handle",C240)),"Break",ISNUMBER(SEARCH("shipping damage",C240)),"Break",ISNUMBER(SEARCH("broken",C240)),"Break",ISNUMBER(SEARCH("crack",C240)),"Break",ISNUMBER(SEARCH("snap",C240)),"Break",ISNUMBER(SEARCH("fracture",C240)),"Break",ISNUMBER(SEARCH("bent",C240)),"Material Twisted/Bent",ISNUMBER(SEARCH("twisted",C240)),"Material Twisted/Bent",ISNUMBER(SEARCH("component separat",C240)),"Material Separation",ISNUMBER(SEARCH("separat",C240)),"Material Separation",ISNUMBER(SEARCH("connection",C240)),"Loose or Intermittent Connection",ISNUMBER(SEARCH("loose",C240)),"Loose or Intermittent Connection",ISNUMBER(SEARCH("damaged packaging",C240)),"Packaging Problem",ISNUMBER(SEARCH("packaging",C240)),"Packaging Problem",ISNUMBER(SEARCH("discoloration",C240)),"Contamination",ISNUMBER(SEARCH("tarnish",C240)),"Contamination",ISNUMBER(SEARCH("stain",C240)),"Contamination",ISNUMBER(SEARCH("foreign material",C240)),"Contamination",ISNUMBER(SEARCH("contamina",C240)),"Contamination",ISNUMBER(SEARCH("overheat",C240)),"Overheating of Device",ISNUMBER(SEARCH("excessive heat",C240)),"Overheating of Device",ISNUMBER(SEARCH("hot",C240)),"Overheating of Device",ISNUMBER(SEARCH("noise",C240)),"Noise, Audible",ISNUMBER(SEARCH("sound",C240)),"Noise, Audible",ISNUMBER(SEARCH("loud",C240)),"Noise, Audible",ISNUMBER(SEARCH("fray",C240)),"Material Frayed",ISNUMBER(SEARCH("hole",C240)),"Material Frayed",ISNUMBER(SEARCH("tear",C240)),"Material Frayed",ISNUMBER(SEARCH("worn",C240)),"Material Frayed",ISNUMBER(SEARCH("intermittent",C240)),"Difficult or Delayed Activation",ISNUMBER(SEARCH("delay",C240)),"Difficult or Delayed Activation",ISNUMBER(SEARCH("label",C240)),"Device Markings/Labelling Problem",ISNUMBER(SEARCH("marking",C240)),"Device Markings/Labelling Problem",ISNUMBER(SEARCH("lacerat",C240)),"Defective Device",ISNUMBER(SEARCH("cut",C240)),"Defective Device",ISNUMBER(SEARCH("leak",C240)),"Fluid/Blood Leak",ISNUMBER(SEARCH("missing",C240)),"Component Missing",ISNUMBER(SEARCH("power",C240)),"Complete Loss of Power",ISNUMBER(SEARCH("will not turn on",C240)),"Complete Loss of Power",ISNUMBER(SEARCH("won't turn on",C240)),"Complete Loss of Power",ISNUMBER(SEARCH("does not turn on",C240)),"Complete Loss of Power",ISNUMBER(SEARCH("electrical",C240)),"Electrical Power Problem",ISNUMBER(SEARCH("pressure",C240)),"Detachment of Device or Device Component",ISNUMBER(SEARCH("slip",C240)),"Detachment of Device or Device Component",ISNUMBER(SEARCH("detach",C240)),"Detachment of Device or Device Component",ISNUMBER(SEARCH("stick",C240)),"Mechanical Jam",ISNUMBER(SEARCH("jam",C240)),"Mechanical Jam",ISNUMBER(SEARCH("rigid",C240)),"Mechanical Jam",ISNUMBER(SEARCH("rust",C240)),"Corroded",ISNUMBER(SEARCH("corrod",C240)),"Corroded",ISNUMBER(SEARCH("corrosion",C240)),"Corroded",ISNUMBER(SEARCH("alignment",C240)),"Defective Device",ISNUMBER(SEARCH("adjust",C240)),"Defective Device",ISNUMBER(SEARCH("perform",C240)),"Defective Device",ISNUMBER(SEARCH("malfunction",C240)),"Defective Device",ISNUMBER(SEARCH("defect",C240)),"Defective Device",ISNUMBER(SEARCH("fail",C240)),"Defective Device",ISNUMBER(SEARCH("not work",C240)),"Defective Device",ISNUMBER(SEARCH("doesn't work",C240)),"Defective Device",TRUE,"UNKNOWN"),"UNKNOWN")))</f>
        <v/>
      </c>
      <c r="F240" s="4" t="str">
        <f t="shared" si="3"/>
        <v/>
      </c>
      <c r="G240" s="363" t="str">
        <f>IF(E240="","",IFERROR(VLOOKUP(E240,Codes!$L$2:$N$409,3,FALSE),"—"))</f>
        <v/>
      </c>
      <c r="H240" s="88"/>
      <c r="I240" s="88"/>
    </row>
    <row r="241" spans="1:9" ht="13.15" x14ac:dyDescent="0.35">
      <c r="A241" s="434"/>
      <c r="B241" s="436"/>
      <c r="C241" s="437"/>
      <c r="D241" s="434"/>
      <c r="E241" s="93" t="str" cm="1">
        <f t="array" ref="E241">IF(D241&lt;&gt;"",IFERROR(VLOOKUP(D241,Codes!$K$2:$L$409,2,FALSE),"UNKNOWN - "&amp;D241),IF(C241="","",IFERROR(_xlfn.IFS(ISNUMBER(SEARCH("broken button",C241)),"Break",ISNUMBER(SEARCH("broken handle",C241)),"Break",ISNUMBER(SEARCH("shipping damage",C241)),"Break",ISNUMBER(SEARCH("broken",C241)),"Break",ISNUMBER(SEARCH("crack",C241)),"Break",ISNUMBER(SEARCH("snap",C241)),"Break",ISNUMBER(SEARCH("fracture",C241)),"Break",ISNUMBER(SEARCH("bent",C241)),"Material Twisted/Bent",ISNUMBER(SEARCH("twisted",C241)),"Material Twisted/Bent",ISNUMBER(SEARCH("component separat",C241)),"Material Separation",ISNUMBER(SEARCH("separat",C241)),"Material Separation",ISNUMBER(SEARCH("connection",C241)),"Loose or Intermittent Connection",ISNUMBER(SEARCH("loose",C241)),"Loose or Intermittent Connection",ISNUMBER(SEARCH("damaged packaging",C241)),"Packaging Problem",ISNUMBER(SEARCH("packaging",C241)),"Packaging Problem",ISNUMBER(SEARCH("discoloration",C241)),"Contamination",ISNUMBER(SEARCH("tarnish",C241)),"Contamination",ISNUMBER(SEARCH("stain",C241)),"Contamination",ISNUMBER(SEARCH("foreign material",C241)),"Contamination",ISNUMBER(SEARCH("contamina",C241)),"Contamination",ISNUMBER(SEARCH("overheat",C241)),"Overheating of Device",ISNUMBER(SEARCH("excessive heat",C241)),"Overheating of Device",ISNUMBER(SEARCH("hot",C241)),"Overheating of Device",ISNUMBER(SEARCH("noise",C241)),"Noise, Audible",ISNUMBER(SEARCH("sound",C241)),"Noise, Audible",ISNUMBER(SEARCH("loud",C241)),"Noise, Audible",ISNUMBER(SEARCH("fray",C241)),"Material Frayed",ISNUMBER(SEARCH("hole",C241)),"Material Frayed",ISNUMBER(SEARCH("tear",C241)),"Material Frayed",ISNUMBER(SEARCH("worn",C241)),"Material Frayed",ISNUMBER(SEARCH("intermittent",C241)),"Difficult or Delayed Activation",ISNUMBER(SEARCH("delay",C241)),"Difficult or Delayed Activation",ISNUMBER(SEARCH("label",C241)),"Device Markings/Labelling Problem",ISNUMBER(SEARCH("marking",C241)),"Device Markings/Labelling Problem",ISNUMBER(SEARCH("lacerat",C241)),"Defective Device",ISNUMBER(SEARCH("cut",C241)),"Defective Device",ISNUMBER(SEARCH("leak",C241)),"Fluid/Blood Leak",ISNUMBER(SEARCH("missing",C241)),"Component Missing",ISNUMBER(SEARCH("power",C241)),"Complete Loss of Power",ISNUMBER(SEARCH("will not turn on",C241)),"Complete Loss of Power",ISNUMBER(SEARCH("won't turn on",C241)),"Complete Loss of Power",ISNUMBER(SEARCH("does not turn on",C241)),"Complete Loss of Power",ISNUMBER(SEARCH("electrical",C241)),"Electrical Power Problem",ISNUMBER(SEARCH("pressure",C241)),"Detachment of Device or Device Component",ISNUMBER(SEARCH("slip",C241)),"Detachment of Device or Device Component",ISNUMBER(SEARCH("detach",C241)),"Detachment of Device or Device Component",ISNUMBER(SEARCH("stick",C241)),"Mechanical Jam",ISNUMBER(SEARCH("jam",C241)),"Mechanical Jam",ISNUMBER(SEARCH("rigid",C241)),"Mechanical Jam",ISNUMBER(SEARCH("rust",C241)),"Corroded",ISNUMBER(SEARCH("corrod",C241)),"Corroded",ISNUMBER(SEARCH("corrosion",C241)),"Corroded",ISNUMBER(SEARCH("alignment",C241)),"Defective Device",ISNUMBER(SEARCH("adjust",C241)),"Defective Device",ISNUMBER(SEARCH("perform",C241)),"Defective Device",ISNUMBER(SEARCH("malfunction",C241)),"Defective Device",ISNUMBER(SEARCH("defect",C241)),"Defective Device",ISNUMBER(SEARCH("fail",C241)),"Defective Device",ISNUMBER(SEARCH("not work",C241)),"Defective Device",ISNUMBER(SEARCH("doesn't work",C241)),"Defective Device",TRUE,"UNKNOWN"),"UNKNOWN")))</f>
        <v/>
      </c>
      <c r="F241" s="4" t="str">
        <f t="shared" si="3"/>
        <v/>
      </c>
      <c r="G241" s="363" t="str">
        <f>IF(E241="","",IFERROR(VLOOKUP(E241,Codes!$L$2:$N$409,3,FALSE),"—"))</f>
        <v/>
      </c>
      <c r="H241" s="88"/>
      <c r="I241" s="88"/>
    </row>
    <row r="242" spans="1:9" ht="13.15" x14ac:dyDescent="0.35">
      <c r="A242" s="434"/>
      <c r="B242" s="436"/>
      <c r="C242" s="437"/>
      <c r="D242" s="434"/>
      <c r="E242" s="93" t="str" cm="1">
        <f t="array" ref="E242">IF(D242&lt;&gt;"",IFERROR(VLOOKUP(D242,Codes!$K$2:$L$409,2,FALSE),"UNKNOWN - "&amp;D242),IF(C242="","",IFERROR(_xlfn.IFS(ISNUMBER(SEARCH("broken button",C242)),"Break",ISNUMBER(SEARCH("broken handle",C242)),"Break",ISNUMBER(SEARCH("shipping damage",C242)),"Break",ISNUMBER(SEARCH("broken",C242)),"Break",ISNUMBER(SEARCH("crack",C242)),"Break",ISNUMBER(SEARCH("snap",C242)),"Break",ISNUMBER(SEARCH("fracture",C242)),"Break",ISNUMBER(SEARCH("bent",C242)),"Material Twisted/Bent",ISNUMBER(SEARCH("twisted",C242)),"Material Twisted/Bent",ISNUMBER(SEARCH("component separat",C242)),"Material Separation",ISNUMBER(SEARCH("separat",C242)),"Material Separation",ISNUMBER(SEARCH("connection",C242)),"Loose or Intermittent Connection",ISNUMBER(SEARCH("loose",C242)),"Loose or Intermittent Connection",ISNUMBER(SEARCH("damaged packaging",C242)),"Packaging Problem",ISNUMBER(SEARCH("packaging",C242)),"Packaging Problem",ISNUMBER(SEARCH("discoloration",C242)),"Contamination",ISNUMBER(SEARCH("tarnish",C242)),"Contamination",ISNUMBER(SEARCH("stain",C242)),"Contamination",ISNUMBER(SEARCH("foreign material",C242)),"Contamination",ISNUMBER(SEARCH("contamina",C242)),"Contamination",ISNUMBER(SEARCH("overheat",C242)),"Overheating of Device",ISNUMBER(SEARCH("excessive heat",C242)),"Overheating of Device",ISNUMBER(SEARCH("hot",C242)),"Overheating of Device",ISNUMBER(SEARCH("noise",C242)),"Noise, Audible",ISNUMBER(SEARCH("sound",C242)),"Noise, Audible",ISNUMBER(SEARCH("loud",C242)),"Noise, Audible",ISNUMBER(SEARCH("fray",C242)),"Material Frayed",ISNUMBER(SEARCH("hole",C242)),"Material Frayed",ISNUMBER(SEARCH("tear",C242)),"Material Frayed",ISNUMBER(SEARCH("worn",C242)),"Material Frayed",ISNUMBER(SEARCH("intermittent",C242)),"Difficult or Delayed Activation",ISNUMBER(SEARCH("delay",C242)),"Difficult or Delayed Activation",ISNUMBER(SEARCH("label",C242)),"Device Markings/Labelling Problem",ISNUMBER(SEARCH("marking",C242)),"Device Markings/Labelling Problem",ISNUMBER(SEARCH("lacerat",C242)),"Defective Device",ISNUMBER(SEARCH("cut",C242)),"Defective Device",ISNUMBER(SEARCH("leak",C242)),"Fluid/Blood Leak",ISNUMBER(SEARCH("missing",C242)),"Component Missing",ISNUMBER(SEARCH("power",C242)),"Complete Loss of Power",ISNUMBER(SEARCH("will not turn on",C242)),"Complete Loss of Power",ISNUMBER(SEARCH("won't turn on",C242)),"Complete Loss of Power",ISNUMBER(SEARCH("does not turn on",C242)),"Complete Loss of Power",ISNUMBER(SEARCH("electrical",C242)),"Electrical Power Problem",ISNUMBER(SEARCH("pressure",C242)),"Detachment of Device or Device Component",ISNUMBER(SEARCH("slip",C242)),"Detachment of Device or Device Component",ISNUMBER(SEARCH("detach",C242)),"Detachment of Device or Device Component",ISNUMBER(SEARCH("stick",C242)),"Mechanical Jam",ISNUMBER(SEARCH("jam",C242)),"Mechanical Jam",ISNUMBER(SEARCH("rigid",C242)),"Mechanical Jam",ISNUMBER(SEARCH("rust",C242)),"Corroded",ISNUMBER(SEARCH("corrod",C242)),"Corroded",ISNUMBER(SEARCH("corrosion",C242)),"Corroded",ISNUMBER(SEARCH("alignment",C242)),"Defective Device",ISNUMBER(SEARCH("adjust",C242)),"Defective Device",ISNUMBER(SEARCH("perform",C242)),"Defective Device",ISNUMBER(SEARCH("malfunction",C242)),"Defective Device",ISNUMBER(SEARCH("defect",C242)),"Defective Device",ISNUMBER(SEARCH("fail",C242)),"Defective Device",ISNUMBER(SEARCH("not work",C242)),"Defective Device",ISNUMBER(SEARCH("doesn't work",C242)),"Defective Device",TRUE,"UNKNOWN"),"UNKNOWN")))</f>
        <v/>
      </c>
      <c r="F242" s="4" t="str">
        <f t="shared" si="3"/>
        <v/>
      </c>
      <c r="G242" s="363" t="str">
        <f>IF(E242="","",IFERROR(VLOOKUP(E242,Codes!$L$2:$N$409,3,FALSE),"—"))</f>
        <v/>
      </c>
      <c r="H242" s="88"/>
      <c r="I242" s="88"/>
    </row>
    <row r="243" spans="1:9" ht="13.15" x14ac:dyDescent="0.35">
      <c r="A243" s="435"/>
      <c r="B243" s="436"/>
      <c r="C243" s="440"/>
      <c r="D243" s="435"/>
      <c r="E243" s="93" t="str" cm="1">
        <f t="array" ref="E243">IF(D243&lt;&gt;"",IFERROR(VLOOKUP(D243,Codes!$K$2:$L$409,2,FALSE),"UNKNOWN - "&amp;D243),IF(C243="","",IFERROR(_xlfn.IFS(ISNUMBER(SEARCH("broken button",C243)),"Break",ISNUMBER(SEARCH("broken handle",C243)),"Break",ISNUMBER(SEARCH("shipping damage",C243)),"Break",ISNUMBER(SEARCH("broken",C243)),"Break",ISNUMBER(SEARCH("crack",C243)),"Break",ISNUMBER(SEARCH("snap",C243)),"Break",ISNUMBER(SEARCH("fracture",C243)),"Break",ISNUMBER(SEARCH("bent",C243)),"Material Twisted/Bent",ISNUMBER(SEARCH("twisted",C243)),"Material Twisted/Bent",ISNUMBER(SEARCH("component separat",C243)),"Material Separation",ISNUMBER(SEARCH("separat",C243)),"Material Separation",ISNUMBER(SEARCH("connection",C243)),"Loose or Intermittent Connection",ISNUMBER(SEARCH("loose",C243)),"Loose or Intermittent Connection",ISNUMBER(SEARCH("damaged packaging",C243)),"Packaging Problem",ISNUMBER(SEARCH("packaging",C243)),"Packaging Problem",ISNUMBER(SEARCH("discoloration",C243)),"Contamination",ISNUMBER(SEARCH("tarnish",C243)),"Contamination",ISNUMBER(SEARCH("stain",C243)),"Contamination",ISNUMBER(SEARCH("foreign material",C243)),"Contamination",ISNUMBER(SEARCH("contamina",C243)),"Contamination",ISNUMBER(SEARCH("overheat",C243)),"Overheating of Device",ISNUMBER(SEARCH("excessive heat",C243)),"Overheating of Device",ISNUMBER(SEARCH("hot",C243)),"Overheating of Device",ISNUMBER(SEARCH("noise",C243)),"Noise, Audible",ISNUMBER(SEARCH("sound",C243)),"Noise, Audible",ISNUMBER(SEARCH("loud",C243)),"Noise, Audible",ISNUMBER(SEARCH("fray",C243)),"Material Frayed",ISNUMBER(SEARCH("hole",C243)),"Material Frayed",ISNUMBER(SEARCH("tear",C243)),"Material Frayed",ISNUMBER(SEARCH("worn",C243)),"Material Frayed",ISNUMBER(SEARCH("intermittent",C243)),"Difficult or Delayed Activation",ISNUMBER(SEARCH("delay",C243)),"Difficult or Delayed Activation",ISNUMBER(SEARCH("label",C243)),"Device Markings/Labelling Problem",ISNUMBER(SEARCH("marking",C243)),"Device Markings/Labelling Problem",ISNUMBER(SEARCH("lacerat",C243)),"Defective Device",ISNUMBER(SEARCH("cut",C243)),"Defective Device",ISNUMBER(SEARCH("leak",C243)),"Fluid/Blood Leak",ISNUMBER(SEARCH("missing",C243)),"Component Missing",ISNUMBER(SEARCH("power",C243)),"Complete Loss of Power",ISNUMBER(SEARCH("will not turn on",C243)),"Complete Loss of Power",ISNUMBER(SEARCH("won't turn on",C243)),"Complete Loss of Power",ISNUMBER(SEARCH("does not turn on",C243)),"Complete Loss of Power",ISNUMBER(SEARCH("electrical",C243)),"Electrical Power Problem",ISNUMBER(SEARCH("pressure",C243)),"Detachment of Device or Device Component",ISNUMBER(SEARCH("slip",C243)),"Detachment of Device or Device Component",ISNUMBER(SEARCH("detach",C243)),"Detachment of Device or Device Component",ISNUMBER(SEARCH("stick",C243)),"Mechanical Jam",ISNUMBER(SEARCH("jam",C243)),"Mechanical Jam",ISNUMBER(SEARCH("rigid",C243)),"Mechanical Jam",ISNUMBER(SEARCH("rust",C243)),"Corroded",ISNUMBER(SEARCH("corrod",C243)),"Corroded",ISNUMBER(SEARCH("corrosion",C243)),"Corroded",ISNUMBER(SEARCH("alignment",C243)),"Defective Device",ISNUMBER(SEARCH("adjust",C243)),"Defective Device",ISNUMBER(SEARCH("perform",C243)),"Defective Device",ISNUMBER(SEARCH("malfunction",C243)),"Defective Device",ISNUMBER(SEARCH("defect",C243)),"Defective Device",ISNUMBER(SEARCH("fail",C243)),"Defective Device",ISNUMBER(SEARCH("not work",C243)),"Defective Device",ISNUMBER(SEARCH("doesn't work",C243)),"Defective Device",TRUE,"UNKNOWN"),"UNKNOWN")))</f>
        <v/>
      </c>
      <c r="F243" s="4" t="str">
        <f t="shared" si="3"/>
        <v/>
      </c>
      <c r="G243" s="363" t="str">
        <f>IF(E243="","",IFERROR(VLOOKUP(E243,Codes!$L$2:$N$409,3,FALSE),"—"))</f>
        <v/>
      </c>
      <c r="H243" s="88"/>
      <c r="I243" s="88"/>
    </row>
    <row r="244" spans="1:9" ht="13.15" x14ac:dyDescent="0.35">
      <c r="A244" s="434"/>
      <c r="B244" s="436"/>
      <c r="C244" s="437"/>
      <c r="D244" s="434"/>
      <c r="E244" s="93" t="str" cm="1">
        <f t="array" ref="E244">IF(D244&lt;&gt;"",IFERROR(VLOOKUP(D244,Codes!$K$2:$L$409,2,FALSE),"UNKNOWN - "&amp;D244),IF(C244="","",IFERROR(_xlfn.IFS(ISNUMBER(SEARCH("broken button",C244)),"Break",ISNUMBER(SEARCH("broken handle",C244)),"Break",ISNUMBER(SEARCH("shipping damage",C244)),"Break",ISNUMBER(SEARCH("broken",C244)),"Break",ISNUMBER(SEARCH("crack",C244)),"Break",ISNUMBER(SEARCH("snap",C244)),"Break",ISNUMBER(SEARCH("fracture",C244)),"Break",ISNUMBER(SEARCH("bent",C244)),"Material Twisted/Bent",ISNUMBER(SEARCH("twisted",C244)),"Material Twisted/Bent",ISNUMBER(SEARCH("component separat",C244)),"Material Separation",ISNUMBER(SEARCH("separat",C244)),"Material Separation",ISNUMBER(SEARCH("connection",C244)),"Loose or Intermittent Connection",ISNUMBER(SEARCH("loose",C244)),"Loose or Intermittent Connection",ISNUMBER(SEARCH("damaged packaging",C244)),"Packaging Problem",ISNUMBER(SEARCH("packaging",C244)),"Packaging Problem",ISNUMBER(SEARCH("discoloration",C244)),"Contamination",ISNUMBER(SEARCH("tarnish",C244)),"Contamination",ISNUMBER(SEARCH("stain",C244)),"Contamination",ISNUMBER(SEARCH("foreign material",C244)),"Contamination",ISNUMBER(SEARCH("contamina",C244)),"Contamination",ISNUMBER(SEARCH("overheat",C244)),"Overheating of Device",ISNUMBER(SEARCH("excessive heat",C244)),"Overheating of Device",ISNUMBER(SEARCH("hot",C244)),"Overheating of Device",ISNUMBER(SEARCH("noise",C244)),"Noise, Audible",ISNUMBER(SEARCH("sound",C244)),"Noise, Audible",ISNUMBER(SEARCH("loud",C244)),"Noise, Audible",ISNUMBER(SEARCH("fray",C244)),"Material Frayed",ISNUMBER(SEARCH("hole",C244)),"Material Frayed",ISNUMBER(SEARCH("tear",C244)),"Material Frayed",ISNUMBER(SEARCH("worn",C244)),"Material Frayed",ISNUMBER(SEARCH("intermittent",C244)),"Difficult or Delayed Activation",ISNUMBER(SEARCH("delay",C244)),"Difficult or Delayed Activation",ISNUMBER(SEARCH("label",C244)),"Device Markings/Labelling Problem",ISNUMBER(SEARCH("marking",C244)),"Device Markings/Labelling Problem",ISNUMBER(SEARCH("lacerat",C244)),"Defective Device",ISNUMBER(SEARCH("cut",C244)),"Defective Device",ISNUMBER(SEARCH("leak",C244)),"Fluid/Blood Leak",ISNUMBER(SEARCH("missing",C244)),"Component Missing",ISNUMBER(SEARCH("power",C244)),"Complete Loss of Power",ISNUMBER(SEARCH("will not turn on",C244)),"Complete Loss of Power",ISNUMBER(SEARCH("won't turn on",C244)),"Complete Loss of Power",ISNUMBER(SEARCH("does not turn on",C244)),"Complete Loss of Power",ISNUMBER(SEARCH("electrical",C244)),"Electrical Power Problem",ISNUMBER(SEARCH("pressure",C244)),"Detachment of Device or Device Component",ISNUMBER(SEARCH("slip",C244)),"Detachment of Device or Device Component",ISNUMBER(SEARCH("detach",C244)),"Detachment of Device or Device Component",ISNUMBER(SEARCH("stick",C244)),"Mechanical Jam",ISNUMBER(SEARCH("jam",C244)),"Mechanical Jam",ISNUMBER(SEARCH("rigid",C244)),"Mechanical Jam",ISNUMBER(SEARCH("rust",C244)),"Corroded",ISNUMBER(SEARCH("corrod",C244)),"Corroded",ISNUMBER(SEARCH("corrosion",C244)),"Corroded",ISNUMBER(SEARCH("alignment",C244)),"Defective Device",ISNUMBER(SEARCH("adjust",C244)),"Defective Device",ISNUMBER(SEARCH("perform",C244)),"Defective Device",ISNUMBER(SEARCH("malfunction",C244)),"Defective Device",ISNUMBER(SEARCH("defect",C244)),"Defective Device",ISNUMBER(SEARCH("fail",C244)),"Defective Device",ISNUMBER(SEARCH("not work",C244)),"Defective Device",ISNUMBER(SEARCH("doesn't work",C244)),"Defective Device",TRUE,"UNKNOWN"),"UNKNOWN")))</f>
        <v/>
      </c>
      <c r="F244" s="4" t="str">
        <f t="shared" si="3"/>
        <v/>
      </c>
      <c r="G244" s="363" t="str">
        <f>IF(E244="","",IFERROR(VLOOKUP(E244,Codes!$L$2:$N$409,3,FALSE),"—"))</f>
        <v/>
      </c>
      <c r="H244" s="88"/>
      <c r="I244" s="88"/>
    </row>
    <row r="245" spans="1:9" ht="13.15" x14ac:dyDescent="0.35">
      <c r="A245" s="435"/>
      <c r="B245" s="436"/>
      <c r="C245" s="438"/>
      <c r="D245" s="435"/>
      <c r="E245" s="93" t="str" cm="1">
        <f t="array" ref="E245">IF(D245&lt;&gt;"",IFERROR(VLOOKUP(D245,Codes!$K$2:$L$409,2,FALSE),"UNKNOWN - "&amp;D245),IF(C245="","",IFERROR(_xlfn.IFS(ISNUMBER(SEARCH("broken button",C245)),"Break",ISNUMBER(SEARCH("broken handle",C245)),"Break",ISNUMBER(SEARCH("shipping damage",C245)),"Break",ISNUMBER(SEARCH("broken",C245)),"Break",ISNUMBER(SEARCH("crack",C245)),"Break",ISNUMBER(SEARCH("snap",C245)),"Break",ISNUMBER(SEARCH("fracture",C245)),"Break",ISNUMBER(SEARCH("bent",C245)),"Material Twisted/Bent",ISNUMBER(SEARCH("twisted",C245)),"Material Twisted/Bent",ISNUMBER(SEARCH("component separat",C245)),"Material Separation",ISNUMBER(SEARCH("separat",C245)),"Material Separation",ISNUMBER(SEARCH("connection",C245)),"Loose or Intermittent Connection",ISNUMBER(SEARCH("loose",C245)),"Loose or Intermittent Connection",ISNUMBER(SEARCH("damaged packaging",C245)),"Packaging Problem",ISNUMBER(SEARCH("packaging",C245)),"Packaging Problem",ISNUMBER(SEARCH("discoloration",C245)),"Contamination",ISNUMBER(SEARCH("tarnish",C245)),"Contamination",ISNUMBER(SEARCH("stain",C245)),"Contamination",ISNUMBER(SEARCH("foreign material",C245)),"Contamination",ISNUMBER(SEARCH("contamina",C245)),"Contamination",ISNUMBER(SEARCH("overheat",C245)),"Overheating of Device",ISNUMBER(SEARCH("excessive heat",C245)),"Overheating of Device",ISNUMBER(SEARCH("hot",C245)),"Overheating of Device",ISNUMBER(SEARCH("noise",C245)),"Noise, Audible",ISNUMBER(SEARCH("sound",C245)),"Noise, Audible",ISNUMBER(SEARCH("loud",C245)),"Noise, Audible",ISNUMBER(SEARCH("fray",C245)),"Material Frayed",ISNUMBER(SEARCH("hole",C245)),"Material Frayed",ISNUMBER(SEARCH("tear",C245)),"Material Frayed",ISNUMBER(SEARCH("worn",C245)),"Material Frayed",ISNUMBER(SEARCH("intermittent",C245)),"Difficult or Delayed Activation",ISNUMBER(SEARCH("delay",C245)),"Difficult or Delayed Activation",ISNUMBER(SEARCH("label",C245)),"Device Markings/Labelling Problem",ISNUMBER(SEARCH("marking",C245)),"Device Markings/Labelling Problem",ISNUMBER(SEARCH("lacerat",C245)),"Defective Device",ISNUMBER(SEARCH("cut",C245)),"Defective Device",ISNUMBER(SEARCH("leak",C245)),"Fluid/Blood Leak",ISNUMBER(SEARCH("missing",C245)),"Component Missing",ISNUMBER(SEARCH("power",C245)),"Complete Loss of Power",ISNUMBER(SEARCH("will not turn on",C245)),"Complete Loss of Power",ISNUMBER(SEARCH("won't turn on",C245)),"Complete Loss of Power",ISNUMBER(SEARCH("does not turn on",C245)),"Complete Loss of Power",ISNUMBER(SEARCH("electrical",C245)),"Electrical Power Problem",ISNUMBER(SEARCH("pressure",C245)),"Detachment of Device or Device Component",ISNUMBER(SEARCH("slip",C245)),"Detachment of Device or Device Component",ISNUMBER(SEARCH("detach",C245)),"Detachment of Device or Device Component",ISNUMBER(SEARCH("stick",C245)),"Mechanical Jam",ISNUMBER(SEARCH("jam",C245)),"Mechanical Jam",ISNUMBER(SEARCH("rigid",C245)),"Mechanical Jam",ISNUMBER(SEARCH("rust",C245)),"Corroded",ISNUMBER(SEARCH("corrod",C245)),"Corroded",ISNUMBER(SEARCH("corrosion",C245)),"Corroded",ISNUMBER(SEARCH("alignment",C245)),"Defective Device",ISNUMBER(SEARCH("adjust",C245)),"Defective Device",ISNUMBER(SEARCH("perform",C245)),"Defective Device",ISNUMBER(SEARCH("malfunction",C245)),"Defective Device",ISNUMBER(SEARCH("defect",C245)),"Defective Device",ISNUMBER(SEARCH("fail",C245)),"Defective Device",ISNUMBER(SEARCH("not work",C245)),"Defective Device",ISNUMBER(SEARCH("doesn't work",C245)),"Defective Device",TRUE,"UNKNOWN"),"UNKNOWN")))</f>
        <v/>
      </c>
      <c r="F245" s="4" t="str">
        <f t="shared" si="3"/>
        <v/>
      </c>
      <c r="G245" s="363" t="str">
        <f>IF(E245="","",IFERROR(VLOOKUP(E245,Codes!$L$2:$N$409,3,FALSE),"—"))</f>
        <v/>
      </c>
      <c r="H245" s="88"/>
      <c r="I245" s="88"/>
    </row>
    <row r="246" spans="1:9" ht="13.15" x14ac:dyDescent="0.35">
      <c r="A246" s="434"/>
      <c r="B246" s="436"/>
      <c r="C246" s="437"/>
      <c r="D246" s="434"/>
      <c r="E246" s="93" t="str" cm="1">
        <f t="array" ref="E246">IF(D246&lt;&gt;"",IFERROR(VLOOKUP(D246,Codes!$K$2:$L$409,2,FALSE),"UNKNOWN - "&amp;D246),IF(C246="","",IFERROR(_xlfn.IFS(ISNUMBER(SEARCH("broken button",C246)),"Break",ISNUMBER(SEARCH("broken handle",C246)),"Break",ISNUMBER(SEARCH("shipping damage",C246)),"Break",ISNUMBER(SEARCH("broken",C246)),"Break",ISNUMBER(SEARCH("crack",C246)),"Break",ISNUMBER(SEARCH("snap",C246)),"Break",ISNUMBER(SEARCH("fracture",C246)),"Break",ISNUMBER(SEARCH("bent",C246)),"Material Twisted/Bent",ISNUMBER(SEARCH("twisted",C246)),"Material Twisted/Bent",ISNUMBER(SEARCH("component separat",C246)),"Material Separation",ISNUMBER(SEARCH("separat",C246)),"Material Separation",ISNUMBER(SEARCH("connection",C246)),"Loose or Intermittent Connection",ISNUMBER(SEARCH("loose",C246)),"Loose or Intermittent Connection",ISNUMBER(SEARCH("damaged packaging",C246)),"Packaging Problem",ISNUMBER(SEARCH("packaging",C246)),"Packaging Problem",ISNUMBER(SEARCH("discoloration",C246)),"Contamination",ISNUMBER(SEARCH("tarnish",C246)),"Contamination",ISNUMBER(SEARCH("stain",C246)),"Contamination",ISNUMBER(SEARCH("foreign material",C246)),"Contamination",ISNUMBER(SEARCH("contamina",C246)),"Contamination",ISNUMBER(SEARCH("overheat",C246)),"Overheating of Device",ISNUMBER(SEARCH("excessive heat",C246)),"Overheating of Device",ISNUMBER(SEARCH("hot",C246)),"Overheating of Device",ISNUMBER(SEARCH("noise",C246)),"Noise, Audible",ISNUMBER(SEARCH("sound",C246)),"Noise, Audible",ISNUMBER(SEARCH("loud",C246)),"Noise, Audible",ISNUMBER(SEARCH("fray",C246)),"Material Frayed",ISNUMBER(SEARCH("hole",C246)),"Material Frayed",ISNUMBER(SEARCH("tear",C246)),"Material Frayed",ISNUMBER(SEARCH("worn",C246)),"Material Frayed",ISNUMBER(SEARCH("intermittent",C246)),"Difficult or Delayed Activation",ISNUMBER(SEARCH("delay",C246)),"Difficult or Delayed Activation",ISNUMBER(SEARCH("label",C246)),"Device Markings/Labelling Problem",ISNUMBER(SEARCH("marking",C246)),"Device Markings/Labelling Problem",ISNUMBER(SEARCH("lacerat",C246)),"Defective Device",ISNUMBER(SEARCH("cut",C246)),"Defective Device",ISNUMBER(SEARCH("leak",C246)),"Fluid/Blood Leak",ISNUMBER(SEARCH("missing",C246)),"Component Missing",ISNUMBER(SEARCH("power",C246)),"Complete Loss of Power",ISNUMBER(SEARCH("will not turn on",C246)),"Complete Loss of Power",ISNUMBER(SEARCH("won't turn on",C246)),"Complete Loss of Power",ISNUMBER(SEARCH("does not turn on",C246)),"Complete Loss of Power",ISNUMBER(SEARCH("electrical",C246)),"Electrical Power Problem",ISNUMBER(SEARCH("pressure",C246)),"Detachment of Device or Device Component",ISNUMBER(SEARCH("slip",C246)),"Detachment of Device or Device Component",ISNUMBER(SEARCH("detach",C246)),"Detachment of Device or Device Component",ISNUMBER(SEARCH("stick",C246)),"Mechanical Jam",ISNUMBER(SEARCH("jam",C246)),"Mechanical Jam",ISNUMBER(SEARCH("rigid",C246)),"Mechanical Jam",ISNUMBER(SEARCH("rust",C246)),"Corroded",ISNUMBER(SEARCH("corrod",C246)),"Corroded",ISNUMBER(SEARCH("corrosion",C246)),"Corroded",ISNUMBER(SEARCH("alignment",C246)),"Defective Device",ISNUMBER(SEARCH("adjust",C246)),"Defective Device",ISNUMBER(SEARCH("perform",C246)),"Defective Device",ISNUMBER(SEARCH("malfunction",C246)),"Defective Device",ISNUMBER(SEARCH("defect",C246)),"Defective Device",ISNUMBER(SEARCH("fail",C246)),"Defective Device",ISNUMBER(SEARCH("not work",C246)),"Defective Device",ISNUMBER(SEARCH("doesn't work",C246)),"Defective Device",TRUE,"UNKNOWN"),"UNKNOWN")))</f>
        <v/>
      </c>
      <c r="F246" s="4" t="str">
        <f t="shared" si="3"/>
        <v/>
      </c>
      <c r="G246" s="363" t="str">
        <f>IF(E246="","",IFERROR(VLOOKUP(E246,Codes!$L$2:$N$409,3,FALSE),"—"))</f>
        <v/>
      </c>
      <c r="H246" s="88"/>
      <c r="I246" s="88"/>
    </row>
    <row r="247" spans="1:9" ht="13.15" x14ac:dyDescent="0.35">
      <c r="A247" s="434"/>
      <c r="B247" s="436"/>
      <c r="C247" s="437"/>
      <c r="D247" s="434"/>
      <c r="E247" s="93" t="str" cm="1">
        <f t="array" ref="E247">IF(D247&lt;&gt;"",IFERROR(VLOOKUP(D247,Codes!$K$2:$L$409,2,FALSE),"UNKNOWN - "&amp;D247),IF(C247="","",IFERROR(_xlfn.IFS(ISNUMBER(SEARCH("broken button",C247)),"Break",ISNUMBER(SEARCH("broken handle",C247)),"Break",ISNUMBER(SEARCH("shipping damage",C247)),"Break",ISNUMBER(SEARCH("broken",C247)),"Break",ISNUMBER(SEARCH("crack",C247)),"Break",ISNUMBER(SEARCH("snap",C247)),"Break",ISNUMBER(SEARCH("fracture",C247)),"Break",ISNUMBER(SEARCH("bent",C247)),"Material Twisted/Bent",ISNUMBER(SEARCH("twisted",C247)),"Material Twisted/Bent",ISNUMBER(SEARCH("component separat",C247)),"Material Separation",ISNUMBER(SEARCH("separat",C247)),"Material Separation",ISNUMBER(SEARCH("connection",C247)),"Loose or Intermittent Connection",ISNUMBER(SEARCH("loose",C247)),"Loose or Intermittent Connection",ISNUMBER(SEARCH("damaged packaging",C247)),"Packaging Problem",ISNUMBER(SEARCH("packaging",C247)),"Packaging Problem",ISNUMBER(SEARCH("discoloration",C247)),"Contamination",ISNUMBER(SEARCH("tarnish",C247)),"Contamination",ISNUMBER(SEARCH("stain",C247)),"Contamination",ISNUMBER(SEARCH("foreign material",C247)),"Contamination",ISNUMBER(SEARCH("contamina",C247)),"Contamination",ISNUMBER(SEARCH("overheat",C247)),"Overheating of Device",ISNUMBER(SEARCH("excessive heat",C247)),"Overheating of Device",ISNUMBER(SEARCH("hot",C247)),"Overheating of Device",ISNUMBER(SEARCH("noise",C247)),"Noise, Audible",ISNUMBER(SEARCH("sound",C247)),"Noise, Audible",ISNUMBER(SEARCH("loud",C247)),"Noise, Audible",ISNUMBER(SEARCH("fray",C247)),"Material Frayed",ISNUMBER(SEARCH("hole",C247)),"Material Frayed",ISNUMBER(SEARCH("tear",C247)),"Material Frayed",ISNUMBER(SEARCH("worn",C247)),"Material Frayed",ISNUMBER(SEARCH("intermittent",C247)),"Difficult or Delayed Activation",ISNUMBER(SEARCH("delay",C247)),"Difficult or Delayed Activation",ISNUMBER(SEARCH("label",C247)),"Device Markings/Labelling Problem",ISNUMBER(SEARCH("marking",C247)),"Device Markings/Labelling Problem",ISNUMBER(SEARCH("lacerat",C247)),"Defective Device",ISNUMBER(SEARCH("cut",C247)),"Defective Device",ISNUMBER(SEARCH("leak",C247)),"Fluid/Blood Leak",ISNUMBER(SEARCH("missing",C247)),"Component Missing",ISNUMBER(SEARCH("power",C247)),"Complete Loss of Power",ISNUMBER(SEARCH("will not turn on",C247)),"Complete Loss of Power",ISNUMBER(SEARCH("won't turn on",C247)),"Complete Loss of Power",ISNUMBER(SEARCH("does not turn on",C247)),"Complete Loss of Power",ISNUMBER(SEARCH("electrical",C247)),"Electrical Power Problem",ISNUMBER(SEARCH("pressure",C247)),"Detachment of Device or Device Component",ISNUMBER(SEARCH("slip",C247)),"Detachment of Device or Device Component",ISNUMBER(SEARCH("detach",C247)),"Detachment of Device or Device Component",ISNUMBER(SEARCH("stick",C247)),"Mechanical Jam",ISNUMBER(SEARCH("jam",C247)),"Mechanical Jam",ISNUMBER(SEARCH("rigid",C247)),"Mechanical Jam",ISNUMBER(SEARCH("rust",C247)),"Corroded",ISNUMBER(SEARCH("corrod",C247)),"Corroded",ISNUMBER(SEARCH("corrosion",C247)),"Corroded",ISNUMBER(SEARCH("alignment",C247)),"Defective Device",ISNUMBER(SEARCH("adjust",C247)),"Defective Device",ISNUMBER(SEARCH("perform",C247)),"Defective Device",ISNUMBER(SEARCH("malfunction",C247)),"Defective Device",ISNUMBER(SEARCH("defect",C247)),"Defective Device",ISNUMBER(SEARCH("fail",C247)),"Defective Device",ISNUMBER(SEARCH("not work",C247)),"Defective Device",ISNUMBER(SEARCH("doesn't work",C247)),"Defective Device",TRUE,"UNKNOWN"),"UNKNOWN")))</f>
        <v/>
      </c>
      <c r="F247" s="4" t="str">
        <f t="shared" si="3"/>
        <v/>
      </c>
      <c r="G247" s="363" t="str">
        <f>IF(E247="","",IFERROR(VLOOKUP(E247,Codes!$L$2:$N$409,3,FALSE),"—"))</f>
        <v/>
      </c>
      <c r="H247" s="88"/>
      <c r="I247" s="88"/>
    </row>
    <row r="248" spans="1:9" ht="13.15" x14ac:dyDescent="0.35">
      <c r="A248" s="435"/>
      <c r="B248" s="436"/>
      <c r="C248" s="438"/>
      <c r="D248" s="435"/>
      <c r="E248" s="93" t="str" cm="1">
        <f t="array" ref="E248">IF(D248&lt;&gt;"",IFERROR(VLOOKUP(D248,Codes!$K$2:$L$409,2,FALSE),"UNKNOWN - "&amp;D248),IF(C248="","",IFERROR(_xlfn.IFS(ISNUMBER(SEARCH("broken button",C248)),"Break",ISNUMBER(SEARCH("broken handle",C248)),"Break",ISNUMBER(SEARCH("shipping damage",C248)),"Break",ISNUMBER(SEARCH("broken",C248)),"Break",ISNUMBER(SEARCH("crack",C248)),"Break",ISNUMBER(SEARCH("snap",C248)),"Break",ISNUMBER(SEARCH("fracture",C248)),"Break",ISNUMBER(SEARCH("bent",C248)),"Material Twisted/Bent",ISNUMBER(SEARCH("twisted",C248)),"Material Twisted/Bent",ISNUMBER(SEARCH("component separat",C248)),"Material Separation",ISNUMBER(SEARCH("separat",C248)),"Material Separation",ISNUMBER(SEARCH("connection",C248)),"Loose or Intermittent Connection",ISNUMBER(SEARCH("loose",C248)),"Loose or Intermittent Connection",ISNUMBER(SEARCH("damaged packaging",C248)),"Packaging Problem",ISNUMBER(SEARCH("packaging",C248)),"Packaging Problem",ISNUMBER(SEARCH("discoloration",C248)),"Contamination",ISNUMBER(SEARCH("tarnish",C248)),"Contamination",ISNUMBER(SEARCH("stain",C248)),"Contamination",ISNUMBER(SEARCH("foreign material",C248)),"Contamination",ISNUMBER(SEARCH("contamina",C248)),"Contamination",ISNUMBER(SEARCH("overheat",C248)),"Overheating of Device",ISNUMBER(SEARCH("excessive heat",C248)),"Overheating of Device",ISNUMBER(SEARCH("hot",C248)),"Overheating of Device",ISNUMBER(SEARCH("noise",C248)),"Noise, Audible",ISNUMBER(SEARCH("sound",C248)),"Noise, Audible",ISNUMBER(SEARCH("loud",C248)),"Noise, Audible",ISNUMBER(SEARCH("fray",C248)),"Material Frayed",ISNUMBER(SEARCH("hole",C248)),"Material Frayed",ISNUMBER(SEARCH("tear",C248)),"Material Frayed",ISNUMBER(SEARCH("worn",C248)),"Material Frayed",ISNUMBER(SEARCH("intermittent",C248)),"Difficult or Delayed Activation",ISNUMBER(SEARCH("delay",C248)),"Difficult or Delayed Activation",ISNUMBER(SEARCH("label",C248)),"Device Markings/Labelling Problem",ISNUMBER(SEARCH("marking",C248)),"Device Markings/Labelling Problem",ISNUMBER(SEARCH("lacerat",C248)),"Defective Device",ISNUMBER(SEARCH("cut",C248)),"Defective Device",ISNUMBER(SEARCH("leak",C248)),"Fluid/Blood Leak",ISNUMBER(SEARCH("missing",C248)),"Component Missing",ISNUMBER(SEARCH("power",C248)),"Complete Loss of Power",ISNUMBER(SEARCH("will not turn on",C248)),"Complete Loss of Power",ISNUMBER(SEARCH("won't turn on",C248)),"Complete Loss of Power",ISNUMBER(SEARCH("does not turn on",C248)),"Complete Loss of Power",ISNUMBER(SEARCH("electrical",C248)),"Electrical Power Problem",ISNUMBER(SEARCH("pressure",C248)),"Detachment of Device or Device Component",ISNUMBER(SEARCH("slip",C248)),"Detachment of Device or Device Component",ISNUMBER(SEARCH("detach",C248)),"Detachment of Device or Device Component",ISNUMBER(SEARCH("stick",C248)),"Mechanical Jam",ISNUMBER(SEARCH("jam",C248)),"Mechanical Jam",ISNUMBER(SEARCH("rigid",C248)),"Mechanical Jam",ISNUMBER(SEARCH("rust",C248)),"Corroded",ISNUMBER(SEARCH("corrod",C248)),"Corroded",ISNUMBER(SEARCH("corrosion",C248)),"Corroded",ISNUMBER(SEARCH("alignment",C248)),"Defective Device",ISNUMBER(SEARCH("adjust",C248)),"Defective Device",ISNUMBER(SEARCH("perform",C248)),"Defective Device",ISNUMBER(SEARCH("malfunction",C248)),"Defective Device",ISNUMBER(SEARCH("defect",C248)),"Defective Device",ISNUMBER(SEARCH("fail",C248)),"Defective Device",ISNUMBER(SEARCH("not work",C248)),"Defective Device",ISNUMBER(SEARCH("doesn't work",C248)),"Defective Device",TRUE,"UNKNOWN"),"UNKNOWN")))</f>
        <v/>
      </c>
      <c r="F248" s="4" t="str">
        <f t="shared" si="3"/>
        <v/>
      </c>
      <c r="G248" s="363" t="str">
        <f>IF(E248="","",IFERROR(VLOOKUP(E248,Codes!$L$2:$N$409,3,FALSE),"—"))</f>
        <v/>
      </c>
      <c r="H248" s="88"/>
      <c r="I248" s="88"/>
    </row>
    <row r="249" spans="1:9" ht="13.15" x14ac:dyDescent="0.35">
      <c r="A249" s="435"/>
      <c r="B249" s="436"/>
      <c r="C249" s="438"/>
      <c r="D249" s="435"/>
      <c r="E249" s="93" t="str" cm="1">
        <f t="array" ref="E249">IF(D249&lt;&gt;"",IFERROR(VLOOKUP(D249,Codes!$K$2:$L$409,2,FALSE),"UNKNOWN - "&amp;D249),IF(C249="","",IFERROR(_xlfn.IFS(ISNUMBER(SEARCH("broken button",C249)),"Break",ISNUMBER(SEARCH("broken handle",C249)),"Break",ISNUMBER(SEARCH("shipping damage",C249)),"Break",ISNUMBER(SEARCH("broken",C249)),"Break",ISNUMBER(SEARCH("crack",C249)),"Break",ISNUMBER(SEARCH("snap",C249)),"Break",ISNUMBER(SEARCH("fracture",C249)),"Break",ISNUMBER(SEARCH("bent",C249)),"Material Twisted/Bent",ISNUMBER(SEARCH("twisted",C249)),"Material Twisted/Bent",ISNUMBER(SEARCH("component separat",C249)),"Material Separation",ISNUMBER(SEARCH("separat",C249)),"Material Separation",ISNUMBER(SEARCH("connection",C249)),"Loose or Intermittent Connection",ISNUMBER(SEARCH("loose",C249)),"Loose or Intermittent Connection",ISNUMBER(SEARCH("damaged packaging",C249)),"Packaging Problem",ISNUMBER(SEARCH("packaging",C249)),"Packaging Problem",ISNUMBER(SEARCH("discoloration",C249)),"Contamination",ISNUMBER(SEARCH("tarnish",C249)),"Contamination",ISNUMBER(SEARCH("stain",C249)),"Contamination",ISNUMBER(SEARCH("foreign material",C249)),"Contamination",ISNUMBER(SEARCH("contamina",C249)),"Contamination",ISNUMBER(SEARCH("overheat",C249)),"Overheating of Device",ISNUMBER(SEARCH("excessive heat",C249)),"Overheating of Device",ISNUMBER(SEARCH("hot",C249)),"Overheating of Device",ISNUMBER(SEARCH("noise",C249)),"Noise, Audible",ISNUMBER(SEARCH("sound",C249)),"Noise, Audible",ISNUMBER(SEARCH("loud",C249)),"Noise, Audible",ISNUMBER(SEARCH("fray",C249)),"Material Frayed",ISNUMBER(SEARCH("hole",C249)),"Material Frayed",ISNUMBER(SEARCH("tear",C249)),"Material Frayed",ISNUMBER(SEARCH("worn",C249)),"Material Frayed",ISNUMBER(SEARCH("intermittent",C249)),"Difficult or Delayed Activation",ISNUMBER(SEARCH("delay",C249)),"Difficult or Delayed Activation",ISNUMBER(SEARCH("label",C249)),"Device Markings/Labelling Problem",ISNUMBER(SEARCH("marking",C249)),"Device Markings/Labelling Problem",ISNUMBER(SEARCH("lacerat",C249)),"Defective Device",ISNUMBER(SEARCH("cut",C249)),"Defective Device",ISNUMBER(SEARCH("leak",C249)),"Fluid/Blood Leak",ISNUMBER(SEARCH("missing",C249)),"Component Missing",ISNUMBER(SEARCH("power",C249)),"Complete Loss of Power",ISNUMBER(SEARCH("will not turn on",C249)),"Complete Loss of Power",ISNUMBER(SEARCH("won't turn on",C249)),"Complete Loss of Power",ISNUMBER(SEARCH("does not turn on",C249)),"Complete Loss of Power",ISNUMBER(SEARCH("electrical",C249)),"Electrical Power Problem",ISNUMBER(SEARCH("pressure",C249)),"Detachment of Device or Device Component",ISNUMBER(SEARCH("slip",C249)),"Detachment of Device or Device Component",ISNUMBER(SEARCH("detach",C249)),"Detachment of Device or Device Component",ISNUMBER(SEARCH("stick",C249)),"Mechanical Jam",ISNUMBER(SEARCH("jam",C249)),"Mechanical Jam",ISNUMBER(SEARCH("rigid",C249)),"Mechanical Jam",ISNUMBER(SEARCH("rust",C249)),"Corroded",ISNUMBER(SEARCH("corrod",C249)),"Corroded",ISNUMBER(SEARCH("corrosion",C249)),"Corroded",ISNUMBER(SEARCH("alignment",C249)),"Defective Device",ISNUMBER(SEARCH("adjust",C249)),"Defective Device",ISNUMBER(SEARCH("perform",C249)),"Defective Device",ISNUMBER(SEARCH("malfunction",C249)),"Defective Device",ISNUMBER(SEARCH("defect",C249)),"Defective Device",ISNUMBER(SEARCH("fail",C249)),"Defective Device",ISNUMBER(SEARCH("not work",C249)),"Defective Device",ISNUMBER(SEARCH("doesn't work",C249)),"Defective Device",TRUE,"UNKNOWN"),"UNKNOWN")))</f>
        <v/>
      </c>
      <c r="F249" s="4" t="str">
        <f t="shared" si="3"/>
        <v/>
      </c>
      <c r="G249" s="363" t="str">
        <f>IF(E249="","",IFERROR(VLOOKUP(E249,Codes!$L$2:$N$409,3,FALSE),"—"))</f>
        <v/>
      </c>
      <c r="H249" s="88"/>
      <c r="I249" s="88"/>
    </row>
    <row r="250" spans="1:9" ht="13.15" x14ac:dyDescent="0.35">
      <c r="A250" s="434"/>
      <c r="B250" s="436"/>
      <c r="C250" s="437"/>
      <c r="D250" s="434"/>
      <c r="E250" s="93" t="str" cm="1">
        <f t="array" ref="E250">IF(D250&lt;&gt;"",IFERROR(VLOOKUP(D250,Codes!$K$2:$L$409,2,FALSE),"UNKNOWN - "&amp;D250),IF(C250="","",IFERROR(_xlfn.IFS(ISNUMBER(SEARCH("broken button",C250)),"Break",ISNUMBER(SEARCH("broken handle",C250)),"Break",ISNUMBER(SEARCH("shipping damage",C250)),"Break",ISNUMBER(SEARCH("broken",C250)),"Break",ISNUMBER(SEARCH("crack",C250)),"Break",ISNUMBER(SEARCH("snap",C250)),"Break",ISNUMBER(SEARCH("fracture",C250)),"Break",ISNUMBER(SEARCH("bent",C250)),"Material Twisted/Bent",ISNUMBER(SEARCH("twisted",C250)),"Material Twisted/Bent",ISNUMBER(SEARCH("component separat",C250)),"Material Separation",ISNUMBER(SEARCH("separat",C250)),"Material Separation",ISNUMBER(SEARCH("connection",C250)),"Loose or Intermittent Connection",ISNUMBER(SEARCH("loose",C250)),"Loose or Intermittent Connection",ISNUMBER(SEARCH("damaged packaging",C250)),"Packaging Problem",ISNUMBER(SEARCH("packaging",C250)),"Packaging Problem",ISNUMBER(SEARCH("discoloration",C250)),"Contamination",ISNUMBER(SEARCH("tarnish",C250)),"Contamination",ISNUMBER(SEARCH("stain",C250)),"Contamination",ISNUMBER(SEARCH("foreign material",C250)),"Contamination",ISNUMBER(SEARCH("contamina",C250)),"Contamination",ISNUMBER(SEARCH("overheat",C250)),"Overheating of Device",ISNUMBER(SEARCH("excessive heat",C250)),"Overheating of Device",ISNUMBER(SEARCH("hot",C250)),"Overheating of Device",ISNUMBER(SEARCH("noise",C250)),"Noise, Audible",ISNUMBER(SEARCH("sound",C250)),"Noise, Audible",ISNUMBER(SEARCH("loud",C250)),"Noise, Audible",ISNUMBER(SEARCH("fray",C250)),"Material Frayed",ISNUMBER(SEARCH("hole",C250)),"Material Frayed",ISNUMBER(SEARCH("tear",C250)),"Material Frayed",ISNUMBER(SEARCH("worn",C250)),"Material Frayed",ISNUMBER(SEARCH("intermittent",C250)),"Difficult or Delayed Activation",ISNUMBER(SEARCH("delay",C250)),"Difficult or Delayed Activation",ISNUMBER(SEARCH("label",C250)),"Device Markings/Labelling Problem",ISNUMBER(SEARCH("marking",C250)),"Device Markings/Labelling Problem",ISNUMBER(SEARCH("lacerat",C250)),"Defective Device",ISNUMBER(SEARCH("cut",C250)),"Defective Device",ISNUMBER(SEARCH("leak",C250)),"Fluid/Blood Leak",ISNUMBER(SEARCH("missing",C250)),"Component Missing",ISNUMBER(SEARCH("power",C250)),"Complete Loss of Power",ISNUMBER(SEARCH("will not turn on",C250)),"Complete Loss of Power",ISNUMBER(SEARCH("won't turn on",C250)),"Complete Loss of Power",ISNUMBER(SEARCH("does not turn on",C250)),"Complete Loss of Power",ISNUMBER(SEARCH("electrical",C250)),"Electrical Power Problem",ISNUMBER(SEARCH("pressure",C250)),"Detachment of Device or Device Component",ISNUMBER(SEARCH("slip",C250)),"Detachment of Device or Device Component",ISNUMBER(SEARCH("detach",C250)),"Detachment of Device or Device Component",ISNUMBER(SEARCH("stick",C250)),"Mechanical Jam",ISNUMBER(SEARCH("jam",C250)),"Mechanical Jam",ISNUMBER(SEARCH("rigid",C250)),"Mechanical Jam",ISNUMBER(SEARCH("rust",C250)),"Corroded",ISNUMBER(SEARCH("corrod",C250)),"Corroded",ISNUMBER(SEARCH("corrosion",C250)),"Corroded",ISNUMBER(SEARCH("alignment",C250)),"Defective Device",ISNUMBER(SEARCH("adjust",C250)),"Defective Device",ISNUMBER(SEARCH("perform",C250)),"Defective Device",ISNUMBER(SEARCH("malfunction",C250)),"Defective Device",ISNUMBER(SEARCH("defect",C250)),"Defective Device",ISNUMBER(SEARCH("fail",C250)),"Defective Device",ISNUMBER(SEARCH("not work",C250)),"Defective Device",ISNUMBER(SEARCH("doesn't work",C250)),"Defective Device",TRUE,"UNKNOWN"),"UNKNOWN")))</f>
        <v/>
      </c>
      <c r="F250" s="4" t="str">
        <f t="shared" si="3"/>
        <v/>
      </c>
      <c r="G250" s="363" t="str">
        <f>IF(E250="","",IFERROR(VLOOKUP(E250,Codes!$L$2:$N$409,3,FALSE),"—"))</f>
        <v/>
      </c>
      <c r="H250" s="88"/>
      <c r="I250" s="88"/>
    </row>
    <row r="251" spans="1:9" ht="13.15" x14ac:dyDescent="0.35">
      <c r="A251" s="435"/>
      <c r="B251" s="436"/>
      <c r="C251" s="438"/>
      <c r="D251" s="435"/>
      <c r="E251" s="93" t="str" cm="1">
        <f t="array" ref="E251">IF(D251&lt;&gt;"",IFERROR(VLOOKUP(D251,Codes!$K$2:$L$409,2,FALSE),"UNKNOWN - "&amp;D251),IF(C251="","",IFERROR(_xlfn.IFS(ISNUMBER(SEARCH("broken button",C251)),"Break",ISNUMBER(SEARCH("broken handle",C251)),"Break",ISNUMBER(SEARCH("shipping damage",C251)),"Break",ISNUMBER(SEARCH("broken",C251)),"Break",ISNUMBER(SEARCH("crack",C251)),"Break",ISNUMBER(SEARCH("snap",C251)),"Break",ISNUMBER(SEARCH("fracture",C251)),"Break",ISNUMBER(SEARCH("bent",C251)),"Material Twisted/Bent",ISNUMBER(SEARCH("twisted",C251)),"Material Twisted/Bent",ISNUMBER(SEARCH("component separat",C251)),"Material Separation",ISNUMBER(SEARCH("separat",C251)),"Material Separation",ISNUMBER(SEARCH("connection",C251)),"Loose or Intermittent Connection",ISNUMBER(SEARCH("loose",C251)),"Loose or Intermittent Connection",ISNUMBER(SEARCH("damaged packaging",C251)),"Packaging Problem",ISNUMBER(SEARCH("packaging",C251)),"Packaging Problem",ISNUMBER(SEARCH("discoloration",C251)),"Contamination",ISNUMBER(SEARCH("tarnish",C251)),"Contamination",ISNUMBER(SEARCH("stain",C251)),"Contamination",ISNUMBER(SEARCH("foreign material",C251)),"Contamination",ISNUMBER(SEARCH("contamina",C251)),"Contamination",ISNUMBER(SEARCH("overheat",C251)),"Overheating of Device",ISNUMBER(SEARCH("excessive heat",C251)),"Overheating of Device",ISNUMBER(SEARCH("hot",C251)),"Overheating of Device",ISNUMBER(SEARCH("noise",C251)),"Noise, Audible",ISNUMBER(SEARCH("sound",C251)),"Noise, Audible",ISNUMBER(SEARCH("loud",C251)),"Noise, Audible",ISNUMBER(SEARCH("fray",C251)),"Material Frayed",ISNUMBER(SEARCH("hole",C251)),"Material Frayed",ISNUMBER(SEARCH("tear",C251)),"Material Frayed",ISNUMBER(SEARCH("worn",C251)),"Material Frayed",ISNUMBER(SEARCH("intermittent",C251)),"Difficult or Delayed Activation",ISNUMBER(SEARCH("delay",C251)),"Difficult or Delayed Activation",ISNUMBER(SEARCH("label",C251)),"Device Markings/Labelling Problem",ISNUMBER(SEARCH("marking",C251)),"Device Markings/Labelling Problem",ISNUMBER(SEARCH("lacerat",C251)),"Defective Device",ISNUMBER(SEARCH("cut",C251)),"Defective Device",ISNUMBER(SEARCH("leak",C251)),"Fluid/Blood Leak",ISNUMBER(SEARCH("missing",C251)),"Component Missing",ISNUMBER(SEARCH("power",C251)),"Complete Loss of Power",ISNUMBER(SEARCH("will not turn on",C251)),"Complete Loss of Power",ISNUMBER(SEARCH("won't turn on",C251)),"Complete Loss of Power",ISNUMBER(SEARCH("does not turn on",C251)),"Complete Loss of Power",ISNUMBER(SEARCH("electrical",C251)),"Electrical Power Problem",ISNUMBER(SEARCH("pressure",C251)),"Detachment of Device or Device Component",ISNUMBER(SEARCH("slip",C251)),"Detachment of Device or Device Component",ISNUMBER(SEARCH("detach",C251)),"Detachment of Device or Device Component",ISNUMBER(SEARCH("stick",C251)),"Mechanical Jam",ISNUMBER(SEARCH("jam",C251)),"Mechanical Jam",ISNUMBER(SEARCH("rigid",C251)),"Mechanical Jam",ISNUMBER(SEARCH("rust",C251)),"Corroded",ISNUMBER(SEARCH("corrod",C251)),"Corroded",ISNUMBER(SEARCH("corrosion",C251)),"Corroded",ISNUMBER(SEARCH("alignment",C251)),"Defective Device",ISNUMBER(SEARCH("adjust",C251)),"Defective Device",ISNUMBER(SEARCH("perform",C251)),"Defective Device",ISNUMBER(SEARCH("malfunction",C251)),"Defective Device",ISNUMBER(SEARCH("defect",C251)),"Defective Device",ISNUMBER(SEARCH("fail",C251)),"Defective Device",ISNUMBER(SEARCH("not work",C251)),"Defective Device",ISNUMBER(SEARCH("doesn't work",C251)),"Defective Device",TRUE,"UNKNOWN"),"UNKNOWN")))</f>
        <v/>
      </c>
      <c r="F251" s="4" t="str">
        <f t="shared" si="3"/>
        <v/>
      </c>
      <c r="G251" s="363" t="str">
        <f>IF(E251="","",IFERROR(VLOOKUP(E251,Codes!$L$2:$N$409,3,FALSE),"—"))</f>
        <v/>
      </c>
      <c r="H251" s="88"/>
      <c r="I251" s="88"/>
    </row>
    <row r="252" spans="1:9" ht="13.15" x14ac:dyDescent="0.35">
      <c r="A252" s="434"/>
      <c r="B252" s="436"/>
      <c r="C252" s="437"/>
      <c r="D252" s="434"/>
      <c r="E252" s="93" t="str" cm="1">
        <f t="array" ref="E252">IF(D252&lt;&gt;"",IFERROR(VLOOKUP(D252,Codes!$K$2:$L$409,2,FALSE),"UNKNOWN - "&amp;D252),IF(C252="","",IFERROR(_xlfn.IFS(ISNUMBER(SEARCH("broken button",C252)),"Break",ISNUMBER(SEARCH("broken handle",C252)),"Break",ISNUMBER(SEARCH("shipping damage",C252)),"Break",ISNUMBER(SEARCH("broken",C252)),"Break",ISNUMBER(SEARCH("crack",C252)),"Break",ISNUMBER(SEARCH("snap",C252)),"Break",ISNUMBER(SEARCH("fracture",C252)),"Break",ISNUMBER(SEARCH("bent",C252)),"Material Twisted/Bent",ISNUMBER(SEARCH("twisted",C252)),"Material Twisted/Bent",ISNUMBER(SEARCH("component separat",C252)),"Material Separation",ISNUMBER(SEARCH("separat",C252)),"Material Separation",ISNUMBER(SEARCH("connection",C252)),"Loose or Intermittent Connection",ISNUMBER(SEARCH("loose",C252)),"Loose or Intermittent Connection",ISNUMBER(SEARCH("damaged packaging",C252)),"Packaging Problem",ISNUMBER(SEARCH("packaging",C252)),"Packaging Problem",ISNUMBER(SEARCH("discoloration",C252)),"Contamination",ISNUMBER(SEARCH("tarnish",C252)),"Contamination",ISNUMBER(SEARCH("stain",C252)),"Contamination",ISNUMBER(SEARCH("foreign material",C252)),"Contamination",ISNUMBER(SEARCH("contamina",C252)),"Contamination",ISNUMBER(SEARCH("overheat",C252)),"Overheating of Device",ISNUMBER(SEARCH("excessive heat",C252)),"Overheating of Device",ISNUMBER(SEARCH("hot",C252)),"Overheating of Device",ISNUMBER(SEARCH("noise",C252)),"Noise, Audible",ISNUMBER(SEARCH("sound",C252)),"Noise, Audible",ISNUMBER(SEARCH("loud",C252)),"Noise, Audible",ISNUMBER(SEARCH("fray",C252)),"Material Frayed",ISNUMBER(SEARCH("hole",C252)),"Material Frayed",ISNUMBER(SEARCH("tear",C252)),"Material Frayed",ISNUMBER(SEARCH("worn",C252)),"Material Frayed",ISNUMBER(SEARCH("intermittent",C252)),"Difficult or Delayed Activation",ISNUMBER(SEARCH("delay",C252)),"Difficult or Delayed Activation",ISNUMBER(SEARCH("label",C252)),"Device Markings/Labelling Problem",ISNUMBER(SEARCH("marking",C252)),"Device Markings/Labelling Problem",ISNUMBER(SEARCH("lacerat",C252)),"Defective Device",ISNUMBER(SEARCH("cut",C252)),"Defective Device",ISNUMBER(SEARCH("leak",C252)),"Fluid/Blood Leak",ISNUMBER(SEARCH("missing",C252)),"Component Missing",ISNUMBER(SEARCH("power",C252)),"Complete Loss of Power",ISNUMBER(SEARCH("will not turn on",C252)),"Complete Loss of Power",ISNUMBER(SEARCH("won't turn on",C252)),"Complete Loss of Power",ISNUMBER(SEARCH("does not turn on",C252)),"Complete Loss of Power",ISNUMBER(SEARCH("electrical",C252)),"Electrical Power Problem",ISNUMBER(SEARCH("pressure",C252)),"Detachment of Device or Device Component",ISNUMBER(SEARCH("slip",C252)),"Detachment of Device or Device Component",ISNUMBER(SEARCH("detach",C252)),"Detachment of Device or Device Component",ISNUMBER(SEARCH("stick",C252)),"Mechanical Jam",ISNUMBER(SEARCH("jam",C252)),"Mechanical Jam",ISNUMBER(SEARCH("rigid",C252)),"Mechanical Jam",ISNUMBER(SEARCH("rust",C252)),"Corroded",ISNUMBER(SEARCH("corrod",C252)),"Corroded",ISNUMBER(SEARCH("corrosion",C252)),"Corroded",ISNUMBER(SEARCH("alignment",C252)),"Defective Device",ISNUMBER(SEARCH("adjust",C252)),"Defective Device",ISNUMBER(SEARCH("perform",C252)),"Defective Device",ISNUMBER(SEARCH("malfunction",C252)),"Defective Device",ISNUMBER(SEARCH("defect",C252)),"Defective Device",ISNUMBER(SEARCH("fail",C252)),"Defective Device",ISNUMBER(SEARCH("not work",C252)),"Defective Device",ISNUMBER(SEARCH("doesn't work",C252)),"Defective Device",TRUE,"UNKNOWN"),"UNKNOWN")))</f>
        <v/>
      </c>
      <c r="F252" s="4" t="str">
        <f t="shared" si="3"/>
        <v/>
      </c>
      <c r="G252" s="363" t="str">
        <f>IF(E252="","",IFERROR(VLOOKUP(E252,Codes!$L$2:$N$409,3,FALSE),"—"))</f>
        <v/>
      </c>
      <c r="H252" s="88"/>
      <c r="I252" s="88"/>
    </row>
    <row r="253" spans="1:9" ht="13.15" x14ac:dyDescent="0.35">
      <c r="A253" s="434"/>
      <c r="B253" s="436"/>
      <c r="C253" s="437"/>
      <c r="D253" s="434"/>
      <c r="E253" s="93" t="str" cm="1">
        <f t="array" ref="E253">IF(D253&lt;&gt;"",IFERROR(VLOOKUP(D253,Codes!$K$2:$L$409,2,FALSE),"UNKNOWN - "&amp;D253),IF(C253="","",IFERROR(_xlfn.IFS(ISNUMBER(SEARCH("broken button",C253)),"Break",ISNUMBER(SEARCH("broken handle",C253)),"Break",ISNUMBER(SEARCH("shipping damage",C253)),"Break",ISNUMBER(SEARCH("broken",C253)),"Break",ISNUMBER(SEARCH("crack",C253)),"Break",ISNUMBER(SEARCH("snap",C253)),"Break",ISNUMBER(SEARCH("fracture",C253)),"Break",ISNUMBER(SEARCH("bent",C253)),"Material Twisted/Bent",ISNUMBER(SEARCH("twisted",C253)),"Material Twisted/Bent",ISNUMBER(SEARCH("component separat",C253)),"Material Separation",ISNUMBER(SEARCH("separat",C253)),"Material Separation",ISNUMBER(SEARCH("connection",C253)),"Loose or Intermittent Connection",ISNUMBER(SEARCH("loose",C253)),"Loose or Intermittent Connection",ISNUMBER(SEARCH("damaged packaging",C253)),"Packaging Problem",ISNUMBER(SEARCH("packaging",C253)),"Packaging Problem",ISNUMBER(SEARCH("discoloration",C253)),"Contamination",ISNUMBER(SEARCH("tarnish",C253)),"Contamination",ISNUMBER(SEARCH("stain",C253)),"Contamination",ISNUMBER(SEARCH("foreign material",C253)),"Contamination",ISNUMBER(SEARCH("contamina",C253)),"Contamination",ISNUMBER(SEARCH("overheat",C253)),"Overheating of Device",ISNUMBER(SEARCH("excessive heat",C253)),"Overheating of Device",ISNUMBER(SEARCH("hot",C253)),"Overheating of Device",ISNUMBER(SEARCH("noise",C253)),"Noise, Audible",ISNUMBER(SEARCH("sound",C253)),"Noise, Audible",ISNUMBER(SEARCH("loud",C253)),"Noise, Audible",ISNUMBER(SEARCH("fray",C253)),"Material Frayed",ISNUMBER(SEARCH("hole",C253)),"Material Frayed",ISNUMBER(SEARCH("tear",C253)),"Material Frayed",ISNUMBER(SEARCH("worn",C253)),"Material Frayed",ISNUMBER(SEARCH("intermittent",C253)),"Difficult or Delayed Activation",ISNUMBER(SEARCH("delay",C253)),"Difficult or Delayed Activation",ISNUMBER(SEARCH("label",C253)),"Device Markings/Labelling Problem",ISNUMBER(SEARCH("marking",C253)),"Device Markings/Labelling Problem",ISNUMBER(SEARCH("lacerat",C253)),"Defective Device",ISNUMBER(SEARCH("cut",C253)),"Defective Device",ISNUMBER(SEARCH("leak",C253)),"Fluid/Blood Leak",ISNUMBER(SEARCH("missing",C253)),"Component Missing",ISNUMBER(SEARCH("power",C253)),"Complete Loss of Power",ISNUMBER(SEARCH("will not turn on",C253)),"Complete Loss of Power",ISNUMBER(SEARCH("won't turn on",C253)),"Complete Loss of Power",ISNUMBER(SEARCH("does not turn on",C253)),"Complete Loss of Power",ISNUMBER(SEARCH("electrical",C253)),"Electrical Power Problem",ISNUMBER(SEARCH("pressure",C253)),"Detachment of Device or Device Component",ISNUMBER(SEARCH("slip",C253)),"Detachment of Device or Device Component",ISNUMBER(SEARCH("detach",C253)),"Detachment of Device or Device Component",ISNUMBER(SEARCH("stick",C253)),"Mechanical Jam",ISNUMBER(SEARCH("jam",C253)),"Mechanical Jam",ISNUMBER(SEARCH("rigid",C253)),"Mechanical Jam",ISNUMBER(SEARCH("rust",C253)),"Corroded",ISNUMBER(SEARCH("corrod",C253)),"Corroded",ISNUMBER(SEARCH("corrosion",C253)),"Corroded",ISNUMBER(SEARCH("alignment",C253)),"Defective Device",ISNUMBER(SEARCH("adjust",C253)),"Defective Device",ISNUMBER(SEARCH("perform",C253)),"Defective Device",ISNUMBER(SEARCH("malfunction",C253)),"Defective Device",ISNUMBER(SEARCH("defect",C253)),"Defective Device",ISNUMBER(SEARCH("fail",C253)),"Defective Device",ISNUMBER(SEARCH("not work",C253)),"Defective Device",ISNUMBER(SEARCH("doesn't work",C253)),"Defective Device",TRUE,"UNKNOWN"),"UNKNOWN")))</f>
        <v/>
      </c>
      <c r="F253" s="4" t="str">
        <f t="shared" si="3"/>
        <v/>
      </c>
      <c r="G253" s="363" t="str">
        <f>IF(E253="","",IFERROR(VLOOKUP(E253,Codes!$L$2:$N$409,3,FALSE),"—"))</f>
        <v/>
      </c>
      <c r="H253" s="88"/>
      <c r="I253" s="88"/>
    </row>
    <row r="254" spans="1:9" ht="13.15" x14ac:dyDescent="0.35">
      <c r="A254" s="434"/>
      <c r="B254" s="436"/>
      <c r="C254" s="437"/>
      <c r="D254" s="434"/>
      <c r="E254" s="93" t="str" cm="1">
        <f t="array" ref="E254">IF(D254&lt;&gt;"",IFERROR(VLOOKUP(D254,Codes!$K$2:$L$409,2,FALSE),"UNKNOWN - "&amp;D254),IF(C254="","",IFERROR(_xlfn.IFS(ISNUMBER(SEARCH("broken button",C254)),"Break",ISNUMBER(SEARCH("broken handle",C254)),"Break",ISNUMBER(SEARCH("shipping damage",C254)),"Break",ISNUMBER(SEARCH("broken",C254)),"Break",ISNUMBER(SEARCH("crack",C254)),"Break",ISNUMBER(SEARCH("snap",C254)),"Break",ISNUMBER(SEARCH("fracture",C254)),"Break",ISNUMBER(SEARCH("bent",C254)),"Material Twisted/Bent",ISNUMBER(SEARCH("twisted",C254)),"Material Twisted/Bent",ISNUMBER(SEARCH("component separat",C254)),"Material Separation",ISNUMBER(SEARCH("separat",C254)),"Material Separation",ISNUMBER(SEARCH("connection",C254)),"Loose or Intermittent Connection",ISNUMBER(SEARCH("loose",C254)),"Loose or Intermittent Connection",ISNUMBER(SEARCH("damaged packaging",C254)),"Packaging Problem",ISNUMBER(SEARCH("packaging",C254)),"Packaging Problem",ISNUMBER(SEARCH("discoloration",C254)),"Contamination",ISNUMBER(SEARCH("tarnish",C254)),"Contamination",ISNUMBER(SEARCH("stain",C254)),"Contamination",ISNUMBER(SEARCH("foreign material",C254)),"Contamination",ISNUMBER(SEARCH("contamina",C254)),"Contamination",ISNUMBER(SEARCH("overheat",C254)),"Overheating of Device",ISNUMBER(SEARCH("excessive heat",C254)),"Overheating of Device",ISNUMBER(SEARCH("hot",C254)),"Overheating of Device",ISNUMBER(SEARCH("noise",C254)),"Noise, Audible",ISNUMBER(SEARCH("sound",C254)),"Noise, Audible",ISNUMBER(SEARCH("loud",C254)),"Noise, Audible",ISNUMBER(SEARCH("fray",C254)),"Material Frayed",ISNUMBER(SEARCH("hole",C254)),"Material Frayed",ISNUMBER(SEARCH("tear",C254)),"Material Frayed",ISNUMBER(SEARCH("worn",C254)),"Material Frayed",ISNUMBER(SEARCH("intermittent",C254)),"Difficult or Delayed Activation",ISNUMBER(SEARCH("delay",C254)),"Difficult or Delayed Activation",ISNUMBER(SEARCH("label",C254)),"Device Markings/Labelling Problem",ISNUMBER(SEARCH("marking",C254)),"Device Markings/Labelling Problem",ISNUMBER(SEARCH("lacerat",C254)),"Defective Device",ISNUMBER(SEARCH("cut",C254)),"Defective Device",ISNUMBER(SEARCH("leak",C254)),"Fluid/Blood Leak",ISNUMBER(SEARCH("missing",C254)),"Component Missing",ISNUMBER(SEARCH("power",C254)),"Complete Loss of Power",ISNUMBER(SEARCH("will not turn on",C254)),"Complete Loss of Power",ISNUMBER(SEARCH("won't turn on",C254)),"Complete Loss of Power",ISNUMBER(SEARCH("does not turn on",C254)),"Complete Loss of Power",ISNUMBER(SEARCH("electrical",C254)),"Electrical Power Problem",ISNUMBER(SEARCH("pressure",C254)),"Detachment of Device or Device Component",ISNUMBER(SEARCH("slip",C254)),"Detachment of Device or Device Component",ISNUMBER(SEARCH("detach",C254)),"Detachment of Device or Device Component",ISNUMBER(SEARCH("stick",C254)),"Mechanical Jam",ISNUMBER(SEARCH("jam",C254)),"Mechanical Jam",ISNUMBER(SEARCH("rigid",C254)),"Mechanical Jam",ISNUMBER(SEARCH("rust",C254)),"Corroded",ISNUMBER(SEARCH("corrod",C254)),"Corroded",ISNUMBER(SEARCH("corrosion",C254)),"Corroded",ISNUMBER(SEARCH("alignment",C254)),"Defective Device",ISNUMBER(SEARCH("adjust",C254)),"Defective Device",ISNUMBER(SEARCH("perform",C254)),"Defective Device",ISNUMBER(SEARCH("malfunction",C254)),"Defective Device",ISNUMBER(SEARCH("defect",C254)),"Defective Device",ISNUMBER(SEARCH("fail",C254)),"Defective Device",ISNUMBER(SEARCH("not work",C254)),"Defective Device",ISNUMBER(SEARCH("doesn't work",C254)),"Defective Device",TRUE,"UNKNOWN"),"UNKNOWN")))</f>
        <v/>
      </c>
      <c r="F254" s="4" t="str">
        <f t="shared" si="3"/>
        <v/>
      </c>
      <c r="G254" s="363" t="str">
        <f>IF(E254="","",IFERROR(VLOOKUP(E254,Codes!$L$2:$N$409,3,FALSE),"—"))</f>
        <v/>
      </c>
      <c r="H254" s="88"/>
      <c r="I254" s="88"/>
    </row>
    <row r="255" spans="1:9" ht="13.15" x14ac:dyDescent="0.35">
      <c r="A255" s="434"/>
      <c r="B255" s="436"/>
      <c r="C255" s="437"/>
      <c r="D255" s="434"/>
      <c r="E255" s="93" t="str" cm="1">
        <f t="array" ref="E255">IF(D255&lt;&gt;"",IFERROR(VLOOKUP(D255,Codes!$K$2:$L$409,2,FALSE),"UNKNOWN - "&amp;D255),IF(C255="","",IFERROR(_xlfn.IFS(ISNUMBER(SEARCH("broken button",C255)),"Break",ISNUMBER(SEARCH("broken handle",C255)),"Break",ISNUMBER(SEARCH("shipping damage",C255)),"Break",ISNUMBER(SEARCH("broken",C255)),"Break",ISNUMBER(SEARCH("crack",C255)),"Break",ISNUMBER(SEARCH("snap",C255)),"Break",ISNUMBER(SEARCH("fracture",C255)),"Break",ISNUMBER(SEARCH("bent",C255)),"Material Twisted/Bent",ISNUMBER(SEARCH("twisted",C255)),"Material Twisted/Bent",ISNUMBER(SEARCH("component separat",C255)),"Material Separation",ISNUMBER(SEARCH("separat",C255)),"Material Separation",ISNUMBER(SEARCH("connection",C255)),"Loose or Intermittent Connection",ISNUMBER(SEARCH("loose",C255)),"Loose or Intermittent Connection",ISNUMBER(SEARCH("damaged packaging",C255)),"Packaging Problem",ISNUMBER(SEARCH("packaging",C255)),"Packaging Problem",ISNUMBER(SEARCH("discoloration",C255)),"Contamination",ISNUMBER(SEARCH("tarnish",C255)),"Contamination",ISNUMBER(SEARCH("stain",C255)),"Contamination",ISNUMBER(SEARCH("foreign material",C255)),"Contamination",ISNUMBER(SEARCH("contamina",C255)),"Contamination",ISNUMBER(SEARCH("overheat",C255)),"Overheating of Device",ISNUMBER(SEARCH("excessive heat",C255)),"Overheating of Device",ISNUMBER(SEARCH("hot",C255)),"Overheating of Device",ISNUMBER(SEARCH("noise",C255)),"Noise, Audible",ISNUMBER(SEARCH("sound",C255)),"Noise, Audible",ISNUMBER(SEARCH("loud",C255)),"Noise, Audible",ISNUMBER(SEARCH("fray",C255)),"Material Frayed",ISNUMBER(SEARCH("hole",C255)),"Material Frayed",ISNUMBER(SEARCH("tear",C255)),"Material Frayed",ISNUMBER(SEARCH("worn",C255)),"Material Frayed",ISNUMBER(SEARCH("intermittent",C255)),"Difficult or Delayed Activation",ISNUMBER(SEARCH("delay",C255)),"Difficult or Delayed Activation",ISNUMBER(SEARCH("label",C255)),"Device Markings/Labelling Problem",ISNUMBER(SEARCH("marking",C255)),"Device Markings/Labelling Problem",ISNUMBER(SEARCH("lacerat",C255)),"Defective Device",ISNUMBER(SEARCH("cut",C255)),"Defective Device",ISNUMBER(SEARCH("leak",C255)),"Fluid/Blood Leak",ISNUMBER(SEARCH("missing",C255)),"Component Missing",ISNUMBER(SEARCH("power",C255)),"Complete Loss of Power",ISNUMBER(SEARCH("will not turn on",C255)),"Complete Loss of Power",ISNUMBER(SEARCH("won't turn on",C255)),"Complete Loss of Power",ISNUMBER(SEARCH("does not turn on",C255)),"Complete Loss of Power",ISNUMBER(SEARCH("electrical",C255)),"Electrical Power Problem",ISNUMBER(SEARCH("pressure",C255)),"Detachment of Device or Device Component",ISNUMBER(SEARCH("slip",C255)),"Detachment of Device or Device Component",ISNUMBER(SEARCH("detach",C255)),"Detachment of Device or Device Component",ISNUMBER(SEARCH("stick",C255)),"Mechanical Jam",ISNUMBER(SEARCH("jam",C255)),"Mechanical Jam",ISNUMBER(SEARCH("rigid",C255)),"Mechanical Jam",ISNUMBER(SEARCH("rust",C255)),"Corroded",ISNUMBER(SEARCH("corrod",C255)),"Corroded",ISNUMBER(SEARCH("corrosion",C255)),"Corroded",ISNUMBER(SEARCH("alignment",C255)),"Defective Device",ISNUMBER(SEARCH("adjust",C255)),"Defective Device",ISNUMBER(SEARCH("perform",C255)),"Defective Device",ISNUMBER(SEARCH("malfunction",C255)),"Defective Device",ISNUMBER(SEARCH("defect",C255)),"Defective Device",ISNUMBER(SEARCH("fail",C255)),"Defective Device",ISNUMBER(SEARCH("not work",C255)),"Defective Device",ISNUMBER(SEARCH("doesn't work",C255)),"Defective Device",TRUE,"UNKNOWN"),"UNKNOWN")))</f>
        <v/>
      </c>
      <c r="F255" s="4" t="str">
        <f t="shared" si="3"/>
        <v/>
      </c>
      <c r="G255" s="363" t="str">
        <f>IF(E255="","",IFERROR(VLOOKUP(E255,Codes!$L$2:$N$409,3,FALSE),"—"))</f>
        <v/>
      </c>
      <c r="H255" s="88"/>
      <c r="I255" s="88"/>
    </row>
    <row r="256" spans="1:9" ht="13.15" x14ac:dyDescent="0.35">
      <c r="A256" s="434"/>
      <c r="B256" s="436"/>
      <c r="C256" s="437"/>
      <c r="D256" s="434"/>
      <c r="E256" s="93" t="str" cm="1">
        <f t="array" ref="E256">IF(D256&lt;&gt;"",IFERROR(VLOOKUP(D256,Codes!$K$2:$L$409,2,FALSE),"UNKNOWN - "&amp;D256),IF(C256="","",IFERROR(_xlfn.IFS(ISNUMBER(SEARCH("broken button",C256)),"Break",ISNUMBER(SEARCH("broken handle",C256)),"Break",ISNUMBER(SEARCH("shipping damage",C256)),"Break",ISNUMBER(SEARCH("broken",C256)),"Break",ISNUMBER(SEARCH("crack",C256)),"Break",ISNUMBER(SEARCH("snap",C256)),"Break",ISNUMBER(SEARCH("fracture",C256)),"Break",ISNUMBER(SEARCH("bent",C256)),"Material Twisted/Bent",ISNUMBER(SEARCH("twisted",C256)),"Material Twisted/Bent",ISNUMBER(SEARCH("component separat",C256)),"Material Separation",ISNUMBER(SEARCH("separat",C256)),"Material Separation",ISNUMBER(SEARCH("connection",C256)),"Loose or Intermittent Connection",ISNUMBER(SEARCH("loose",C256)),"Loose or Intermittent Connection",ISNUMBER(SEARCH("damaged packaging",C256)),"Packaging Problem",ISNUMBER(SEARCH("packaging",C256)),"Packaging Problem",ISNUMBER(SEARCH("discoloration",C256)),"Contamination",ISNUMBER(SEARCH("tarnish",C256)),"Contamination",ISNUMBER(SEARCH("stain",C256)),"Contamination",ISNUMBER(SEARCH("foreign material",C256)),"Contamination",ISNUMBER(SEARCH("contamina",C256)),"Contamination",ISNUMBER(SEARCH("overheat",C256)),"Overheating of Device",ISNUMBER(SEARCH("excessive heat",C256)),"Overheating of Device",ISNUMBER(SEARCH("hot",C256)),"Overheating of Device",ISNUMBER(SEARCH("noise",C256)),"Noise, Audible",ISNUMBER(SEARCH("sound",C256)),"Noise, Audible",ISNUMBER(SEARCH("loud",C256)),"Noise, Audible",ISNUMBER(SEARCH("fray",C256)),"Material Frayed",ISNUMBER(SEARCH("hole",C256)),"Material Frayed",ISNUMBER(SEARCH("tear",C256)),"Material Frayed",ISNUMBER(SEARCH("worn",C256)),"Material Frayed",ISNUMBER(SEARCH("intermittent",C256)),"Difficult or Delayed Activation",ISNUMBER(SEARCH("delay",C256)),"Difficult or Delayed Activation",ISNUMBER(SEARCH("label",C256)),"Device Markings/Labelling Problem",ISNUMBER(SEARCH("marking",C256)),"Device Markings/Labelling Problem",ISNUMBER(SEARCH("lacerat",C256)),"Defective Device",ISNUMBER(SEARCH("cut",C256)),"Defective Device",ISNUMBER(SEARCH("leak",C256)),"Fluid/Blood Leak",ISNUMBER(SEARCH("missing",C256)),"Component Missing",ISNUMBER(SEARCH("power",C256)),"Complete Loss of Power",ISNUMBER(SEARCH("will not turn on",C256)),"Complete Loss of Power",ISNUMBER(SEARCH("won't turn on",C256)),"Complete Loss of Power",ISNUMBER(SEARCH("does not turn on",C256)),"Complete Loss of Power",ISNUMBER(SEARCH("electrical",C256)),"Electrical Power Problem",ISNUMBER(SEARCH("pressure",C256)),"Detachment of Device or Device Component",ISNUMBER(SEARCH("slip",C256)),"Detachment of Device or Device Component",ISNUMBER(SEARCH("detach",C256)),"Detachment of Device or Device Component",ISNUMBER(SEARCH("stick",C256)),"Mechanical Jam",ISNUMBER(SEARCH("jam",C256)),"Mechanical Jam",ISNUMBER(SEARCH("rigid",C256)),"Mechanical Jam",ISNUMBER(SEARCH("rust",C256)),"Corroded",ISNUMBER(SEARCH("corrod",C256)),"Corroded",ISNUMBER(SEARCH("corrosion",C256)),"Corroded",ISNUMBER(SEARCH("alignment",C256)),"Defective Device",ISNUMBER(SEARCH("adjust",C256)),"Defective Device",ISNUMBER(SEARCH("perform",C256)),"Defective Device",ISNUMBER(SEARCH("malfunction",C256)),"Defective Device",ISNUMBER(SEARCH("defect",C256)),"Defective Device",ISNUMBER(SEARCH("fail",C256)),"Defective Device",ISNUMBER(SEARCH("not work",C256)),"Defective Device",ISNUMBER(SEARCH("doesn't work",C256)),"Defective Device",TRUE,"UNKNOWN"),"UNKNOWN")))</f>
        <v/>
      </c>
      <c r="F256" s="4" t="str">
        <f t="shared" si="3"/>
        <v/>
      </c>
      <c r="G256" s="363" t="str">
        <f>IF(E256="","",IFERROR(VLOOKUP(E256,Codes!$L$2:$N$409,3,FALSE),"—"))</f>
        <v/>
      </c>
      <c r="H256" s="88"/>
      <c r="I256" s="88"/>
    </row>
    <row r="257" spans="1:9" ht="13.15" x14ac:dyDescent="0.35">
      <c r="A257" s="435"/>
      <c r="B257" s="436"/>
      <c r="C257" s="438"/>
      <c r="D257" s="435"/>
      <c r="E257" s="93" t="str" cm="1">
        <f t="array" ref="E257">IF(D257&lt;&gt;"",IFERROR(VLOOKUP(D257,Codes!$K$2:$L$409,2,FALSE),"UNKNOWN - "&amp;D257),IF(C257="","",IFERROR(_xlfn.IFS(ISNUMBER(SEARCH("broken button",C257)),"Break",ISNUMBER(SEARCH("broken handle",C257)),"Break",ISNUMBER(SEARCH("shipping damage",C257)),"Break",ISNUMBER(SEARCH("broken",C257)),"Break",ISNUMBER(SEARCH("crack",C257)),"Break",ISNUMBER(SEARCH("snap",C257)),"Break",ISNUMBER(SEARCH("fracture",C257)),"Break",ISNUMBER(SEARCH("bent",C257)),"Material Twisted/Bent",ISNUMBER(SEARCH("twisted",C257)),"Material Twisted/Bent",ISNUMBER(SEARCH("component separat",C257)),"Material Separation",ISNUMBER(SEARCH("separat",C257)),"Material Separation",ISNUMBER(SEARCH("connection",C257)),"Loose or Intermittent Connection",ISNUMBER(SEARCH("loose",C257)),"Loose or Intermittent Connection",ISNUMBER(SEARCH("damaged packaging",C257)),"Packaging Problem",ISNUMBER(SEARCH("packaging",C257)),"Packaging Problem",ISNUMBER(SEARCH("discoloration",C257)),"Contamination",ISNUMBER(SEARCH("tarnish",C257)),"Contamination",ISNUMBER(SEARCH("stain",C257)),"Contamination",ISNUMBER(SEARCH("foreign material",C257)),"Contamination",ISNUMBER(SEARCH("contamina",C257)),"Contamination",ISNUMBER(SEARCH("overheat",C257)),"Overheating of Device",ISNUMBER(SEARCH("excessive heat",C257)),"Overheating of Device",ISNUMBER(SEARCH("hot",C257)),"Overheating of Device",ISNUMBER(SEARCH("noise",C257)),"Noise, Audible",ISNUMBER(SEARCH("sound",C257)),"Noise, Audible",ISNUMBER(SEARCH("loud",C257)),"Noise, Audible",ISNUMBER(SEARCH("fray",C257)),"Material Frayed",ISNUMBER(SEARCH("hole",C257)),"Material Frayed",ISNUMBER(SEARCH("tear",C257)),"Material Frayed",ISNUMBER(SEARCH("worn",C257)),"Material Frayed",ISNUMBER(SEARCH("intermittent",C257)),"Difficult or Delayed Activation",ISNUMBER(SEARCH("delay",C257)),"Difficult or Delayed Activation",ISNUMBER(SEARCH("label",C257)),"Device Markings/Labelling Problem",ISNUMBER(SEARCH("marking",C257)),"Device Markings/Labelling Problem",ISNUMBER(SEARCH("lacerat",C257)),"Defective Device",ISNUMBER(SEARCH("cut",C257)),"Defective Device",ISNUMBER(SEARCH("leak",C257)),"Fluid/Blood Leak",ISNUMBER(SEARCH("missing",C257)),"Component Missing",ISNUMBER(SEARCH("power",C257)),"Complete Loss of Power",ISNUMBER(SEARCH("will not turn on",C257)),"Complete Loss of Power",ISNUMBER(SEARCH("won't turn on",C257)),"Complete Loss of Power",ISNUMBER(SEARCH("does not turn on",C257)),"Complete Loss of Power",ISNUMBER(SEARCH("electrical",C257)),"Electrical Power Problem",ISNUMBER(SEARCH("pressure",C257)),"Detachment of Device or Device Component",ISNUMBER(SEARCH("slip",C257)),"Detachment of Device or Device Component",ISNUMBER(SEARCH("detach",C257)),"Detachment of Device or Device Component",ISNUMBER(SEARCH("stick",C257)),"Mechanical Jam",ISNUMBER(SEARCH("jam",C257)),"Mechanical Jam",ISNUMBER(SEARCH("rigid",C257)),"Mechanical Jam",ISNUMBER(SEARCH("rust",C257)),"Corroded",ISNUMBER(SEARCH("corrod",C257)),"Corroded",ISNUMBER(SEARCH("corrosion",C257)),"Corroded",ISNUMBER(SEARCH("alignment",C257)),"Defective Device",ISNUMBER(SEARCH("adjust",C257)),"Defective Device",ISNUMBER(SEARCH("perform",C257)),"Defective Device",ISNUMBER(SEARCH("malfunction",C257)),"Defective Device",ISNUMBER(SEARCH("defect",C257)),"Defective Device",ISNUMBER(SEARCH("fail",C257)),"Defective Device",ISNUMBER(SEARCH("not work",C257)),"Defective Device",ISNUMBER(SEARCH("doesn't work",C257)),"Defective Device",TRUE,"UNKNOWN"),"UNKNOWN")))</f>
        <v/>
      </c>
      <c r="F257" s="4" t="str">
        <f t="shared" si="3"/>
        <v/>
      </c>
      <c r="G257" s="363" t="str">
        <f>IF(E257="","",IFERROR(VLOOKUP(E257,Codes!$L$2:$N$409,3,FALSE),"—"))</f>
        <v/>
      </c>
      <c r="H257" s="88"/>
      <c r="I257" s="88"/>
    </row>
    <row r="258" spans="1:9" ht="13.15" x14ac:dyDescent="0.35">
      <c r="A258" s="434"/>
      <c r="B258" s="436"/>
      <c r="C258" s="437"/>
      <c r="D258" s="434"/>
      <c r="E258" s="93" t="str" cm="1">
        <f t="array" ref="E258">IF(D258&lt;&gt;"",IFERROR(VLOOKUP(D258,Codes!$K$2:$L$409,2,FALSE),"UNKNOWN - "&amp;D258),IF(C258="","",IFERROR(_xlfn.IFS(ISNUMBER(SEARCH("broken button",C258)),"Break",ISNUMBER(SEARCH("broken handle",C258)),"Break",ISNUMBER(SEARCH("shipping damage",C258)),"Break",ISNUMBER(SEARCH("broken",C258)),"Break",ISNUMBER(SEARCH("crack",C258)),"Break",ISNUMBER(SEARCH("snap",C258)),"Break",ISNUMBER(SEARCH("fracture",C258)),"Break",ISNUMBER(SEARCH("bent",C258)),"Material Twisted/Bent",ISNUMBER(SEARCH("twisted",C258)),"Material Twisted/Bent",ISNUMBER(SEARCH("component separat",C258)),"Material Separation",ISNUMBER(SEARCH("separat",C258)),"Material Separation",ISNUMBER(SEARCH("connection",C258)),"Loose or Intermittent Connection",ISNUMBER(SEARCH("loose",C258)),"Loose or Intermittent Connection",ISNUMBER(SEARCH("damaged packaging",C258)),"Packaging Problem",ISNUMBER(SEARCH("packaging",C258)),"Packaging Problem",ISNUMBER(SEARCH("discoloration",C258)),"Contamination",ISNUMBER(SEARCH("tarnish",C258)),"Contamination",ISNUMBER(SEARCH("stain",C258)),"Contamination",ISNUMBER(SEARCH("foreign material",C258)),"Contamination",ISNUMBER(SEARCH("contamina",C258)),"Contamination",ISNUMBER(SEARCH("overheat",C258)),"Overheating of Device",ISNUMBER(SEARCH("excessive heat",C258)),"Overheating of Device",ISNUMBER(SEARCH("hot",C258)),"Overheating of Device",ISNUMBER(SEARCH("noise",C258)),"Noise, Audible",ISNUMBER(SEARCH("sound",C258)),"Noise, Audible",ISNUMBER(SEARCH("loud",C258)),"Noise, Audible",ISNUMBER(SEARCH("fray",C258)),"Material Frayed",ISNUMBER(SEARCH("hole",C258)),"Material Frayed",ISNUMBER(SEARCH("tear",C258)),"Material Frayed",ISNUMBER(SEARCH("worn",C258)),"Material Frayed",ISNUMBER(SEARCH("intermittent",C258)),"Difficult or Delayed Activation",ISNUMBER(SEARCH("delay",C258)),"Difficult or Delayed Activation",ISNUMBER(SEARCH("label",C258)),"Device Markings/Labelling Problem",ISNUMBER(SEARCH("marking",C258)),"Device Markings/Labelling Problem",ISNUMBER(SEARCH("lacerat",C258)),"Defective Device",ISNUMBER(SEARCH("cut",C258)),"Defective Device",ISNUMBER(SEARCH("leak",C258)),"Fluid/Blood Leak",ISNUMBER(SEARCH("missing",C258)),"Component Missing",ISNUMBER(SEARCH("power",C258)),"Complete Loss of Power",ISNUMBER(SEARCH("will not turn on",C258)),"Complete Loss of Power",ISNUMBER(SEARCH("won't turn on",C258)),"Complete Loss of Power",ISNUMBER(SEARCH("does not turn on",C258)),"Complete Loss of Power",ISNUMBER(SEARCH("electrical",C258)),"Electrical Power Problem",ISNUMBER(SEARCH("pressure",C258)),"Detachment of Device or Device Component",ISNUMBER(SEARCH("slip",C258)),"Detachment of Device or Device Component",ISNUMBER(SEARCH("detach",C258)),"Detachment of Device or Device Component",ISNUMBER(SEARCH("stick",C258)),"Mechanical Jam",ISNUMBER(SEARCH("jam",C258)),"Mechanical Jam",ISNUMBER(SEARCH("rigid",C258)),"Mechanical Jam",ISNUMBER(SEARCH("rust",C258)),"Corroded",ISNUMBER(SEARCH("corrod",C258)),"Corroded",ISNUMBER(SEARCH("corrosion",C258)),"Corroded",ISNUMBER(SEARCH("alignment",C258)),"Defective Device",ISNUMBER(SEARCH("adjust",C258)),"Defective Device",ISNUMBER(SEARCH("perform",C258)),"Defective Device",ISNUMBER(SEARCH("malfunction",C258)),"Defective Device",ISNUMBER(SEARCH("defect",C258)),"Defective Device",ISNUMBER(SEARCH("fail",C258)),"Defective Device",ISNUMBER(SEARCH("not work",C258)),"Defective Device",ISNUMBER(SEARCH("doesn't work",C258)),"Defective Device",TRUE,"UNKNOWN"),"UNKNOWN")))</f>
        <v/>
      </c>
      <c r="F258" s="4" t="str">
        <f t="shared" si="3"/>
        <v/>
      </c>
      <c r="G258" s="363" t="str">
        <f>IF(E258="","",IFERROR(VLOOKUP(E258,Codes!$L$2:$N$409,3,FALSE),"—"))</f>
        <v/>
      </c>
      <c r="H258" s="88"/>
      <c r="I258" s="88"/>
    </row>
    <row r="259" spans="1:9" ht="13.15" x14ac:dyDescent="0.35">
      <c r="A259" s="435"/>
      <c r="B259" s="436"/>
      <c r="C259" s="438"/>
      <c r="D259" s="435"/>
      <c r="E259" s="93" t="str" cm="1">
        <f t="array" ref="E259">IF(D259&lt;&gt;"",IFERROR(VLOOKUP(D259,Codes!$K$2:$L$409,2,FALSE),"UNKNOWN - "&amp;D259),IF(C259="","",IFERROR(_xlfn.IFS(ISNUMBER(SEARCH("broken button",C259)),"Break",ISNUMBER(SEARCH("broken handle",C259)),"Break",ISNUMBER(SEARCH("shipping damage",C259)),"Break",ISNUMBER(SEARCH("broken",C259)),"Break",ISNUMBER(SEARCH("crack",C259)),"Break",ISNUMBER(SEARCH("snap",C259)),"Break",ISNUMBER(SEARCH("fracture",C259)),"Break",ISNUMBER(SEARCH("bent",C259)),"Material Twisted/Bent",ISNUMBER(SEARCH("twisted",C259)),"Material Twisted/Bent",ISNUMBER(SEARCH("component separat",C259)),"Material Separation",ISNUMBER(SEARCH("separat",C259)),"Material Separation",ISNUMBER(SEARCH("connection",C259)),"Loose or Intermittent Connection",ISNUMBER(SEARCH("loose",C259)),"Loose or Intermittent Connection",ISNUMBER(SEARCH("damaged packaging",C259)),"Packaging Problem",ISNUMBER(SEARCH("packaging",C259)),"Packaging Problem",ISNUMBER(SEARCH("discoloration",C259)),"Contamination",ISNUMBER(SEARCH("tarnish",C259)),"Contamination",ISNUMBER(SEARCH("stain",C259)),"Contamination",ISNUMBER(SEARCH("foreign material",C259)),"Contamination",ISNUMBER(SEARCH("contamina",C259)),"Contamination",ISNUMBER(SEARCH("overheat",C259)),"Overheating of Device",ISNUMBER(SEARCH("excessive heat",C259)),"Overheating of Device",ISNUMBER(SEARCH("hot",C259)),"Overheating of Device",ISNUMBER(SEARCH("noise",C259)),"Noise, Audible",ISNUMBER(SEARCH("sound",C259)),"Noise, Audible",ISNUMBER(SEARCH("loud",C259)),"Noise, Audible",ISNUMBER(SEARCH("fray",C259)),"Material Frayed",ISNUMBER(SEARCH("hole",C259)),"Material Frayed",ISNUMBER(SEARCH("tear",C259)),"Material Frayed",ISNUMBER(SEARCH("worn",C259)),"Material Frayed",ISNUMBER(SEARCH("intermittent",C259)),"Difficult or Delayed Activation",ISNUMBER(SEARCH("delay",C259)),"Difficult or Delayed Activation",ISNUMBER(SEARCH("label",C259)),"Device Markings/Labelling Problem",ISNUMBER(SEARCH("marking",C259)),"Device Markings/Labelling Problem",ISNUMBER(SEARCH("lacerat",C259)),"Defective Device",ISNUMBER(SEARCH("cut",C259)),"Defective Device",ISNUMBER(SEARCH("leak",C259)),"Fluid/Blood Leak",ISNUMBER(SEARCH("missing",C259)),"Component Missing",ISNUMBER(SEARCH("power",C259)),"Complete Loss of Power",ISNUMBER(SEARCH("will not turn on",C259)),"Complete Loss of Power",ISNUMBER(SEARCH("won't turn on",C259)),"Complete Loss of Power",ISNUMBER(SEARCH("does not turn on",C259)),"Complete Loss of Power",ISNUMBER(SEARCH("electrical",C259)),"Electrical Power Problem",ISNUMBER(SEARCH("pressure",C259)),"Detachment of Device or Device Component",ISNUMBER(SEARCH("slip",C259)),"Detachment of Device or Device Component",ISNUMBER(SEARCH("detach",C259)),"Detachment of Device or Device Component",ISNUMBER(SEARCH("stick",C259)),"Mechanical Jam",ISNUMBER(SEARCH("jam",C259)),"Mechanical Jam",ISNUMBER(SEARCH("rigid",C259)),"Mechanical Jam",ISNUMBER(SEARCH("rust",C259)),"Corroded",ISNUMBER(SEARCH("corrod",C259)),"Corroded",ISNUMBER(SEARCH("corrosion",C259)),"Corroded",ISNUMBER(SEARCH("alignment",C259)),"Defective Device",ISNUMBER(SEARCH("adjust",C259)),"Defective Device",ISNUMBER(SEARCH("perform",C259)),"Defective Device",ISNUMBER(SEARCH("malfunction",C259)),"Defective Device",ISNUMBER(SEARCH("defect",C259)),"Defective Device",ISNUMBER(SEARCH("fail",C259)),"Defective Device",ISNUMBER(SEARCH("not work",C259)),"Defective Device",ISNUMBER(SEARCH("doesn't work",C259)),"Defective Device",TRUE,"UNKNOWN"),"UNKNOWN")))</f>
        <v/>
      </c>
      <c r="F259" s="4" t="str">
        <f t="shared" ref="F259:F322" si="4">IF(E259="","","No Clinical Signs, Symptoms or Conditions")</f>
        <v/>
      </c>
      <c r="G259" s="363" t="str">
        <f>IF(E259="","",IFERROR(VLOOKUP(E259,Codes!$L$2:$N$409,3,FALSE),"—"))</f>
        <v/>
      </c>
      <c r="H259" s="88"/>
      <c r="I259" s="88"/>
    </row>
    <row r="260" spans="1:9" ht="13.15" x14ac:dyDescent="0.35">
      <c r="A260" s="435"/>
      <c r="B260" s="436"/>
      <c r="C260" s="438"/>
      <c r="D260" s="435"/>
      <c r="E260" s="93" t="str" cm="1">
        <f t="array" ref="E260">IF(D260&lt;&gt;"",IFERROR(VLOOKUP(D260,Codes!$K$2:$L$409,2,FALSE),"UNKNOWN - "&amp;D260),IF(C260="","",IFERROR(_xlfn.IFS(ISNUMBER(SEARCH("broken button",C260)),"Break",ISNUMBER(SEARCH("broken handle",C260)),"Break",ISNUMBER(SEARCH("shipping damage",C260)),"Break",ISNUMBER(SEARCH("broken",C260)),"Break",ISNUMBER(SEARCH("crack",C260)),"Break",ISNUMBER(SEARCH("snap",C260)),"Break",ISNUMBER(SEARCH("fracture",C260)),"Break",ISNUMBER(SEARCH("bent",C260)),"Material Twisted/Bent",ISNUMBER(SEARCH("twisted",C260)),"Material Twisted/Bent",ISNUMBER(SEARCH("component separat",C260)),"Material Separation",ISNUMBER(SEARCH("separat",C260)),"Material Separation",ISNUMBER(SEARCH("connection",C260)),"Loose or Intermittent Connection",ISNUMBER(SEARCH("loose",C260)),"Loose or Intermittent Connection",ISNUMBER(SEARCH("damaged packaging",C260)),"Packaging Problem",ISNUMBER(SEARCH("packaging",C260)),"Packaging Problem",ISNUMBER(SEARCH("discoloration",C260)),"Contamination",ISNUMBER(SEARCH("tarnish",C260)),"Contamination",ISNUMBER(SEARCH("stain",C260)),"Contamination",ISNUMBER(SEARCH("foreign material",C260)),"Contamination",ISNUMBER(SEARCH("contamina",C260)),"Contamination",ISNUMBER(SEARCH("overheat",C260)),"Overheating of Device",ISNUMBER(SEARCH("excessive heat",C260)),"Overheating of Device",ISNUMBER(SEARCH("hot",C260)),"Overheating of Device",ISNUMBER(SEARCH("noise",C260)),"Noise, Audible",ISNUMBER(SEARCH("sound",C260)),"Noise, Audible",ISNUMBER(SEARCH("loud",C260)),"Noise, Audible",ISNUMBER(SEARCH("fray",C260)),"Material Frayed",ISNUMBER(SEARCH("hole",C260)),"Material Frayed",ISNUMBER(SEARCH("tear",C260)),"Material Frayed",ISNUMBER(SEARCH("worn",C260)),"Material Frayed",ISNUMBER(SEARCH("intermittent",C260)),"Difficult or Delayed Activation",ISNUMBER(SEARCH("delay",C260)),"Difficult or Delayed Activation",ISNUMBER(SEARCH("label",C260)),"Device Markings/Labelling Problem",ISNUMBER(SEARCH("marking",C260)),"Device Markings/Labelling Problem",ISNUMBER(SEARCH("lacerat",C260)),"Defective Device",ISNUMBER(SEARCH("cut",C260)),"Defective Device",ISNUMBER(SEARCH("leak",C260)),"Fluid/Blood Leak",ISNUMBER(SEARCH("missing",C260)),"Component Missing",ISNUMBER(SEARCH("power",C260)),"Complete Loss of Power",ISNUMBER(SEARCH("will not turn on",C260)),"Complete Loss of Power",ISNUMBER(SEARCH("won't turn on",C260)),"Complete Loss of Power",ISNUMBER(SEARCH("does not turn on",C260)),"Complete Loss of Power",ISNUMBER(SEARCH("electrical",C260)),"Electrical Power Problem",ISNUMBER(SEARCH("pressure",C260)),"Detachment of Device or Device Component",ISNUMBER(SEARCH("slip",C260)),"Detachment of Device or Device Component",ISNUMBER(SEARCH("detach",C260)),"Detachment of Device or Device Component",ISNUMBER(SEARCH("stick",C260)),"Mechanical Jam",ISNUMBER(SEARCH("jam",C260)),"Mechanical Jam",ISNUMBER(SEARCH("rigid",C260)),"Mechanical Jam",ISNUMBER(SEARCH("rust",C260)),"Corroded",ISNUMBER(SEARCH("corrod",C260)),"Corroded",ISNUMBER(SEARCH("corrosion",C260)),"Corroded",ISNUMBER(SEARCH("alignment",C260)),"Defective Device",ISNUMBER(SEARCH("adjust",C260)),"Defective Device",ISNUMBER(SEARCH("perform",C260)),"Defective Device",ISNUMBER(SEARCH("malfunction",C260)),"Defective Device",ISNUMBER(SEARCH("defect",C260)),"Defective Device",ISNUMBER(SEARCH("fail",C260)),"Defective Device",ISNUMBER(SEARCH("not work",C260)),"Defective Device",ISNUMBER(SEARCH("doesn't work",C260)),"Defective Device",TRUE,"UNKNOWN"),"UNKNOWN")))</f>
        <v/>
      </c>
      <c r="F260" s="4" t="str">
        <f t="shared" si="4"/>
        <v/>
      </c>
      <c r="G260" s="363" t="str">
        <f>IF(E260="","",IFERROR(VLOOKUP(E260,Codes!$L$2:$N$409,3,FALSE),"—"))</f>
        <v/>
      </c>
      <c r="H260" s="88"/>
      <c r="I260" s="88"/>
    </row>
    <row r="261" spans="1:9" ht="13.15" x14ac:dyDescent="0.35">
      <c r="A261" s="434"/>
      <c r="B261" s="436"/>
      <c r="C261" s="437"/>
      <c r="D261" s="434"/>
      <c r="E261" s="93" t="str" cm="1">
        <f t="array" ref="E261">IF(D261&lt;&gt;"",IFERROR(VLOOKUP(D261,Codes!$K$2:$L$409,2,FALSE),"UNKNOWN - "&amp;D261),IF(C261="","",IFERROR(_xlfn.IFS(ISNUMBER(SEARCH("broken button",C261)),"Break",ISNUMBER(SEARCH("broken handle",C261)),"Break",ISNUMBER(SEARCH("shipping damage",C261)),"Break",ISNUMBER(SEARCH("broken",C261)),"Break",ISNUMBER(SEARCH("crack",C261)),"Break",ISNUMBER(SEARCH("snap",C261)),"Break",ISNUMBER(SEARCH("fracture",C261)),"Break",ISNUMBER(SEARCH("bent",C261)),"Material Twisted/Bent",ISNUMBER(SEARCH("twisted",C261)),"Material Twisted/Bent",ISNUMBER(SEARCH("component separat",C261)),"Material Separation",ISNUMBER(SEARCH("separat",C261)),"Material Separation",ISNUMBER(SEARCH("connection",C261)),"Loose or Intermittent Connection",ISNUMBER(SEARCH("loose",C261)),"Loose or Intermittent Connection",ISNUMBER(SEARCH("damaged packaging",C261)),"Packaging Problem",ISNUMBER(SEARCH("packaging",C261)),"Packaging Problem",ISNUMBER(SEARCH("discoloration",C261)),"Contamination",ISNUMBER(SEARCH("tarnish",C261)),"Contamination",ISNUMBER(SEARCH("stain",C261)),"Contamination",ISNUMBER(SEARCH("foreign material",C261)),"Contamination",ISNUMBER(SEARCH("contamina",C261)),"Contamination",ISNUMBER(SEARCH("overheat",C261)),"Overheating of Device",ISNUMBER(SEARCH("excessive heat",C261)),"Overheating of Device",ISNUMBER(SEARCH("hot",C261)),"Overheating of Device",ISNUMBER(SEARCH("noise",C261)),"Noise, Audible",ISNUMBER(SEARCH("sound",C261)),"Noise, Audible",ISNUMBER(SEARCH("loud",C261)),"Noise, Audible",ISNUMBER(SEARCH("fray",C261)),"Material Frayed",ISNUMBER(SEARCH("hole",C261)),"Material Frayed",ISNUMBER(SEARCH("tear",C261)),"Material Frayed",ISNUMBER(SEARCH("worn",C261)),"Material Frayed",ISNUMBER(SEARCH("intermittent",C261)),"Difficult or Delayed Activation",ISNUMBER(SEARCH("delay",C261)),"Difficult or Delayed Activation",ISNUMBER(SEARCH("label",C261)),"Device Markings/Labelling Problem",ISNUMBER(SEARCH("marking",C261)),"Device Markings/Labelling Problem",ISNUMBER(SEARCH("lacerat",C261)),"Defective Device",ISNUMBER(SEARCH("cut",C261)),"Defective Device",ISNUMBER(SEARCH("leak",C261)),"Fluid/Blood Leak",ISNUMBER(SEARCH("missing",C261)),"Component Missing",ISNUMBER(SEARCH("power",C261)),"Complete Loss of Power",ISNUMBER(SEARCH("will not turn on",C261)),"Complete Loss of Power",ISNUMBER(SEARCH("won't turn on",C261)),"Complete Loss of Power",ISNUMBER(SEARCH("does not turn on",C261)),"Complete Loss of Power",ISNUMBER(SEARCH("electrical",C261)),"Electrical Power Problem",ISNUMBER(SEARCH("pressure",C261)),"Detachment of Device or Device Component",ISNUMBER(SEARCH("slip",C261)),"Detachment of Device or Device Component",ISNUMBER(SEARCH("detach",C261)),"Detachment of Device or Device Component",ISNUMBER(SEARCH("stick",C261)),"Mechanical Jam",ISNUMBER(SEARCH("jam",C261)),"Mechanical Jam",ISNUMBER(SEARCH("rigid",C261)),"Mechanical Jam",ISNUMBER(SEARCH("rust",C261)),"Corroded",ISNUMBER(SEARCH("corrod",C261)),"Corroded",ISNUMBER(SEARCH("corrosion",C261)),"Corroded",ISNUMBER(SEARCH("alignment",C261)),"Defective Device",ISNUMBER(SEARCH("adjust",C261)),"Defective Device",ISNUMBER(SEARCH("perform",C261)),"Defective Device",ISNUMBER(SEARCH("malfunction",C261)),"Defective Device",ISNUMBER(SEARCH("defect",C261)),"Defective Device",ISNUMBER(SEARCH("fail",C261)),"Defective Device",ISNUMBER(SEARCH("not work",C261)),"Defective Device",ISNUMBER(SEARCH("doesn't work",C261)),"Defective Device",TRUE,"UNKNOWN"),"UNKNOWN")))</f>
        <v/>
      </c>
      <c r="F261" s="4" t="str">
        <f t="shared" si="4"/>
        <v/>
      </c>
      <c r="G261" s="363" t="str">
        <f>IF(E261="","",IFERROR(VLOOKUP(E261,Codes!$L$2:$N$409,3,FALSE),"—"))</f>
        <v/>
      </c>
      <c r="H261" s="88"/>
      <c r="I261" s="88"/>
    </row>
    <row r="262" spans="1:9" ht="13.15" x14ac:dyDescent="0.35">
      <c r="A262" s="434"/>
      <c r="B262" s="436"/>
      <c r="C262" s="437"/>
      <c r="D262" s="434"/>
      <c r="E262" s="93" t="str" cm="1">
        <f t="array" ref="E262">IF(D262&lt;&gt;"",IFERROR(VLOOKUP(D262,Codes!$K$2:$L$409,2,FALSE),"UNKNOWN - "&amp;D262),IF(C262="","",IFERROR(_xlfn.IFS(ISNUMBER(SEARCH("broken button",C262)),"Break",ISNUMBER(SEARCH("broken handle",C262)),"Break",ISNUMBER(SEARCH("shipping damage",C262)),"Break",ISNUMBER(SEARCH("broken",C262)),"Break",ISNUMBER(SEARCH("crack",C262)),"Break",ISNUMBER(SEARCH("snap",C262)),"Break",ISNUMBER(SEARCH("fracture",C262)),"Break",ISNUMBER(SEARCH("bent",C262)),"Material Twisted/Bent",ISNUMBER(SEARCH("twisted",C262)),"Material Twisted/Bent",ISNUMBER(SEARCH("component separat",C262)),"Material Separation",ISNUMBER(SEARCH("separat",C262)),"Material Separation",ISNUMBER(SEARCH("connection",C262)),"Loose or Intermittent Connection",ISNUMBER(SEARCH("loose",C262)),"Loose or Intermittent Connection",ISNUMBER(SEARCH("damaged packaging",C262)),"Packaging Problem",ISNUMBER(SEARCH("packaging",C262)),"Packaging Problem",ISNUMBER(SEARCH("discoloration",C262)),"Contamination",ISNUMBER(SEARCH("tarnish",C262)),"Contamination",ISNUMBER(SEARCH("stain",C262)),"Contamination",ISNUMBER(SEARCH("foreign material",C262)),"Contamination",ISNUMBER(SEARCH("contamina",C262)),"Contamination",ISNUMBER(SEARCH("overheat",C262)),"Overheating of Device",ISNUMBER(SEARCH("excessive heat",C262)),"Overheating of Device",ISNUMBER(SEARCH("hot",C262)),"Overheating of Device",ISNUMBER(SEARCH("noise",C262)),"Noise, Audible",ISNUMBER(SEARCH("sound",C262)),"Noise, Audible",ISNUMBER(SEARCH("loud",C262)),"Noise, Audible",ISNUMBER(SEARCH("fray",C262)),"Material Frayed",ISNUMBER(SEARCH("hole",C262)),"Material Frayed",ISNUMBER(SEARCH("tear",C262)),"Material Frayed",ISNUMBER(SEARCH("worn",C262)),"Material Frayed",ISNUMBER(SEARCH("intermittent",C262)),"Difficult or Delayed Activation",ISNUMBER(SEARCH("delay",C262)),"Difficult or Delayed Activation",ISNUMBER(SEARCH("label",C262)),"Device Markings/Labelling Problem",ISNUMBER(SEARCH("marking",C262)),"Device Markings/Labelling Problem",ISNUMBER(SEARCH("lacerat",C262)),"Defective Device",ISNUMBER(SEARCH("cut",C262)),"Defective Device",ISNUMBER(SEARCH("leak",C262)),"Fluid/Blood Leak",ISNUMBER(SEARCH("missing",C262)),"Component Missing",ISNUMBER(SEARCH("power",C262)),"Complete Loss of Power",ISNUMBER(SEARCH("will not turn on",C262)),"Complete Loss of Power",ISNUMBER(SEARCH("won't turn on",C262)),"Complete Loss of Power",ISNUMBER(SEARCH("does not turn on",C262)),"Complete Loss of Power",ISNUMBER(SEARCH("electrical",C262)),"Electrical Power Problem",ISNUMBER(SEARCH("pressure",C262)),"Detachment of Device or Device Component",ISNUMBER(SEARCH("slip",C262)),"Detachment of Device or Device Component",ISNUMBER(SEARCH("detach",C262)),"Detachment of Device or Device Component",ISNUMBER(SEARCH("stick",C262)),"Mechanical Jam",ISNUMBER(SEARCH("jam",C262)),"Mechanical Jam",ISNUMBER(SEARCH("rigid",C262)),"Mechanical Jam",ISNUMBER(SEARCH("rust",C262)),"Corroded",ISNUMBER(SEARCH("corrod",C262)),"Corroded",ISNUMBER(SEARCH("corrosion",C262)),"Corroded",ISNUMBER(SEARCH("alignment",C262)),"Defective Device",ISNUMBER(SEARCH("adjust",C262)),"Defective Device",ISNUMBER(SEARCH("perform",C262)),"Defective Device",ISNUMBER(SEARCH("malfunction",C262)),"Defective Device",ISNUMBER(SEARCH("defect",C262)),"Defective Device",ISNUMBER(SEARCH("fail",C262)),"Defective Device",ISNUMBER(SEARCH("not work",C262)),"Defective Device",ISNUMBER(SEARCH("doesn't work",C262)),"Defective Device",TRUE,"UNKNOWN"),"UNKNOWN")))</f>
        <v/>
      </c>
      <c r="F262" s="4" t="str">
        <f t="shared" si="4"/>
        <v/>
      </c>
      <c r="G262" s="363" t="str">
        <f>IF(E262="","",IFERROR(VLOOKUP(E262,Codes!$L$2:$N$409,3,FALSE),"—"))</f>
        <v/>
      </c>
      <c r="H262" s="88"/>
      <c r="I262" s="88"/>
    </row>
    <row r="263" spans="1:9" ht="13.15" x14ac:dyDescent="0.35">
      <c r="A263" s="434"/>
      <c r="B263" s="436"/>
      <c r="C263" s="439"/>
      <c r="D263" s="434"/>
      <c r="E263" s="93" t="str" cm="1">
        <f t="array" ref="E263">IF(D263&lt;&gt;"",IFERROR(VLOOKUP(D263,Codes!$K$2:$L$409,2,FALSE),"UNKNOWN - "&amp;D263),IF(C263="","",IFERROR(_xlfn.IFS(ISNUMBER(SEARCH("broken button",C263)),"Break",ISNUMBER(SEARCH("broken handle",C263)),"Break",ISNUMBER(SEARCH("shipping damage",C263)),"Break",ISNUMBER(SEARCH("broken",C263)),"Break",ISNUMBER(SEARCH("crack",C263)),"Break",ISNUMBER(SEARCH("snap",C263)),"Break",ISNUMBER(SEARCH("fracture",C263)),"Break",ISNUMBER(SEARCH("bent",C263)),"Material Twisted/Bent",ISNUMBER(SEARCH("twisted",C263)),"Material Twisted/Bent",ISNUMBER(SEARCH("component separat",C263)),"Material Separation",ISNUMBER(SEARCH("separat",C263)),"Material Separation",ISNUMBER(SEARCH("connection",C263)),"Loose or Intermittent Connection",ISNUMBER(SEARCH("loose",C263)),"Loose or Intermittent Connection",ISNUMBER(SEARCH("damaged packaging",C263)),"Packaging Problem",ISNUMBER(SEARCH("packaging",C263)),"Packaging Problem",ISNUMBER(SEARCH("discoloration",C263)),"Contamination",ISNUMBER(SEARCH("tarnish",C263)),"Contamination",ISNUMBER(SEARCH("stain",C263)),"Contamination",ISNUMBER(SEARCH("foreign material",C263)),"Contamination",ISNUMBER(SEARCH("contamina",C263)),"Contamination",ISNUMBER(SEARCH("overheat",C263)),"Overheating of Device",ISNUMBER(SEARCH("excessive heat",C263)),"Overheating of Device",ISNUMBER(SEARCH("hot",C263)),"Overheating of Device",ISNUMBER(SEARCH("noise",C263)),"Noise, Audible",ISNUMBER(SEARCH("sound",C263)),"Noise, Audible",ISNUMBER(SEARCH("loud",C263)),"Noise, Audible",ISNUMBER(SEARCH("fray",C263)),"Material Frayed",ISNUMBER(SEARCH("hole",C263)),"Material Frayed",ISNUMBER(SEARCH("tear",C263)),"Material Frayed",ISNUMBER(SEARCH("worn",C263)),"Material Frayed",ISNUMBER(SEARCH("intermittent",C263)),"Difficult or Delayed Activation",ISNUMBER(SEARCH("delay",C263)),"Difficult or Delayed Activation",ISNUMBER(SEARCH("label",C263)),"Device Markings/Labelling Problem",ISNUMBER(SEARCH("marking",C263)),"Device Markings/Labelling Problem",ISNUMBER(SEARCH("lacerat",C263)),"Defective Device",ISNUMBER(SEARCH("cut",C263)),"Defective Device",ISNUMBER(SEARCH("leak",C263)),"Fluid/Blood Leak",ISNUMBER(SEARCH("missing",C263)),"Component Missing",ISNUMBER(SEARCH("power",C263)),"Complete Loss of Power",ISNUMBER(SEARCH("will not turn on",C263)),"Complete Loss of Power",ISNUMBER(SEARCH("won't turn on",C263)),"Complete Loss of Power",ISNUMBER(SEARCH("does not turn on",C263)),"Complete Loss of Power",ISNUMBER(SEARCH("electrical",C263)),"Electrical Power Problem",ISNUMBER(SEARCH("pressure",C263)),"Detachment of Device or Device Component",ISNUMBER(SEARCH("slip",C263)),"Detachment of Device or Device Component",ISNUMBER(SEARCH("detach",C263)),"Detachment of Device or Device Component",ISNUMBER(SEARCH("stick",C263)),"Mechanical Jam",ISNUMBER(SEARCH("jam",C263)),"Mechanical Jam",ISNUMBER(SEARCH("rigid",C263)),"Mechanical Jam",ISNUMBER(SEARCH("rust",C263)),"Corroded",ISNUMBER(SEARCH("corrod",C263)),"Corroded",ISNUMBER(SEARCH("corrosion",C263)),"Corroded",ISNUMBER(SEARCH("alignment",C263)),"Defective Device",ISNUMBER(SEARCH("adjust",C263)),"Defective Device",ISNUMBER(SEARCH("perform",C263)),"Defective Device",ISNUMBER(SEARCH("malfunction",C263)),"Defective Device",ISNUMBER(SEARCH("defect",C263)),"Defective Device",ISNUMBER(SEARCH("fail",C263)),"Defective Device",ISNUMBER(SEARCH("not work",C263)),"Defective Device",ISNUMBER(SEARCH("doesn't work",C263)),"Defective Device",TRUE,"UNKNOWN"),"UNKNOWN")))</f>
        <v/>
      </c>
      <c r="F263" s="4" t="str">
        <f t="shared" si="4"/>
        <v/>
      </c>
      <c r="G263" s="363" t="str">
        <f>IF(E263="","",IFERROR(VLOOKUP(E263,Codes!$L$2:$N$409,3,FALSE),"—"))</f>
        <v/>
      </c>
      <c r="H263" s="88"/>
      <c r="I263" s="88"/>
    </row>
    <row r="264" spans="1:9" ht="13.15" x14ac:dyDescent="0.35">
      <c r="A264" s="434"/>
      <c r="B264" s="436"/>
      <c r="C264" s="437"/>
      <c r="D264" s="434"/>
      <c r="E264" s="93" t="str" cm="1">
        <f t="array" ref="E264">IF(D264&lt;&gt;"",IFERROR(VLOOKUP(D264,Codes!$K$2:$L$409,2,FALSE),"UNKNOWN - "&amp;D264),IF(C264="","",IFERROR(_xlfn.IFS(ISNUMBER(SEARCH("broken button",C264)),"Break",ISNUMBER(SEARCH("broken handle",C264)),"Break",ISNUMBER(SEARCH("shipping damage",C264)),"Break",ISNUMBER(SEARCH("broken",C264)),"Break",ISNUMBER(SEARCH("crack",C264)),"Break",ISNUMBER(SEARCH("snap",C264)),"Break",ISNUMBER(SEARCH("fracture",C264)),"Break",ISNUMBER(SEARCH("bent",C264)),"Material Twisted/Bent",ISNUMBER(SEARCH("twisted",C264)),"Material Twisted/Bent",ISNUMBER(SEARCH("component separat",C264)),"Material Separation",ISNUMBER(SEARCH("separat",C264)),"Material Separation",ISNUMBER(SEARCH("connection",C264)),"Loose or Intermittent Connection",ISNUMBER(SEARCH("loose",C264)),"Loose or Intermittent Connection",ISNUMBER(SEARCH("damaged packaging",C264)),"Packaging Problem",ISNUMBER(SEARCH("packaging",C264)),"Packaging Problem",ISNUMBER(SEARCH("discoloration",C264)),"Contamination",ISNUMBER(SEARCH("tarnish",C264)),"Contamination",ISNUMBER(SEARCH("stain",C264)),"Contamination",ISNUMBER(SEARCH("foreign material",C264)),"Contamination",ISNUMBER(SEARCH("contamina",C264)),"Contamination",ISNUMBER(SEARCH("overheat",C264)),"Overheating of Device",ISNUMBER(SEARCH("excessive heat",C264)),"Overheating of Device",ISNUMBER(SEARCH("hot",C264)),"Overheating of Device",ISNUMBER(SEARCH("noise",C264)),"Noise, Audible",ISNUMBER(SEARCH("sound",C264)),"Noise, Audible",ISNUMBER(SEARCH("loud",C264)),"Noise, Audible",ISNUMBER(SEARCH("fray",C264)),"Material Frayed",ISNUMBER(SEARCH("hole",C264)),"Material Frayed",ISNUMBER(SEARCH("tear",C264)),"Material Frayed",ISNUMBER(SEARCH("worn",C264)),"Material Frayed",ISNUMBER(SEARCH("intermittent",C264)),"Difficult or Delayed Activation",ISNUMBER(SEARCH("delay",C264)),"Difficult or Delayed Activation",ISNUMBER(SEARCH("label",C264)),"Device Markings/Labelling Problem",ISNUMBER(SEARCH("marking",C264)),"Device Markings/Labelling Problem",ISNUMBER(SEARCH("lacerat",C264)),"Defective Device",ISNUMBER(SEARCH("cut",C264)),"Defective Device",ISNUMBER(SEARCH("leak",C264)),"Fluid/Blood Leak",ISNUMBER(SEARCH("missing",C264)),"Component Missing",ISNUMBER(SEARCH("power",C264)),"Complete Loss of Power",ISNUMBER(SEARCH("will not turn on",C264)),"Complete Loss of Power",ISNUMBER(SEARCH("won't turn on",C264)),"Complete Loss of Power",ISNUMBER(SEARCH("does not turn on",C264)),"Complete Loss of Power",ISNUMBER(SEARCH("electrical",C264)),"Electrical Power Problem",ISNUMBER(SEARCH("pressure",C264)),"Detachment of Device or Device Component",ISNUMBER(SEARCH("slip",C264)),"Detachment of Device or Device Component",ISNUMBER(SEARCH("detach",C264)),"Detachment of Device or Device Component",ISNUMBER(SEARCH("stick",C264)),"Mechanical Jam",ISNUMBER(SEARCH("jam",C264)),"Mechanical Jam",ISNUMBER(SEARCH("rigid",C264)),"Mechanical Jam",ISNUMBER(SEARCH("rust",C264)),"Corroded",ISNUMBER(SEARCH("corrod",C264)),"Corroded",ISNUMBER(SEARCH("corrosion",C264)),"Corroded",ISNUMBER(SEARCH("alignment",C264)),"Defective Device",ISNUMBER(SEARCH("adjust",C264)),"Defective Device",ISNUMBER(SEARCH("perform",C264)),"Defective Device",ISNUMBER(SEARCH("malfunction",C264)),"Defective Device",ISNUMBER(SEARCH("defect",C264)),"Defective Device",ISNUMBER(SEARCH("fail",C264)),"Defective Device",ISNUMBER(SEARCH("not work",C264)),"Defective Device",ISNUMBER(SEARCH("doesn't work",C264)),"Defective Device",TRUE,"UNKNOWN"),"UNKNOWN")))</f>
        <v/>
      </c>
      <c r="F264" s="4" t="str">
        <f t="shared" si="4"/>
        <v/>
      </c>
      <c r="G264" s="363" t="str">
        <f>IF(E264="","",IFERROR(VLOOKUP(E264,Codes!$L$2:$N$409,3,FALSE),"—"))</f>
        <v/>
      </c>
      <c r="H264" s="88"/>
      <c r="I264" s="88"/>
    </row>
    <row r="265" spans="1:9" ht="13.15" x14ac:dyDescent="0.35">
      <c r="A265" s="435"/>
      <c r="B265" s="436"/>
      <c r="C265" s="438"/>
      <c r="D265" s="435"/>
      <c r="E265" s="93" t="str" cm="1">
        <f t="array" ref="E265">IF(D265&lt;&gt;"",IFERROR(VLOOKUP(D265,Codes!$K$2:$L$409,2,FALSE),"UNKNOWN - "&amp;D265),IF(C265="","",IFERROR(_xlfn.IFS(ISNUMBER(SEARCH("broken button",C265)),"Break",ISNUMBER(SEARCH("broken handle",C265)),"Break",ISNUMBER(SEARCH("shipping damage",C265)),"Break",ISNUMBER(SEARCH("broken",C265)),"Break",ISNUMBER(SEARCH("crack",C265)),"Break",ISNUMBER(SEARCH("snap",C265)),"Break",ISNUMBER(SEARCH("fracture",C265)),"Break",ISNUMBER(SEARCH("bent",C265)),"Material Twisted/Bent",ISNUMBER(SEARCH("twisted",C265)),"Material Twisted/Bent",ISNUMBER(SEARCH("component separat",C265)),"Material Separation",ISNUMBER(SEARCH("separat",C265)),"Material Separation",ISNUMBER(SEARCH("connection",C265)),"Loose or Intermittent Connection",ISNUMBER(SEARCH("loose",C265)),"Loose or Intermittent Connection",ISNUMBER(SEARCH("damaged packaging",C265)),"Packaging Problem",ISNUMBER(SEARCH("packaging",C265)),"Packaging Problem",ISNUMBER(SEARCH("discoloration",C265)),"Contamination",ISNUMBER(SEARCH("tarnish",C265)),"Contamination",ISNUMBER(SEARCH("stain",C265)),"Contamination",ISNUMBER(SEARCH("foreign material",C265)),"Contamination",ISNUMBER(SEARCH("contamina",C265)),"Contamination",ISNUMBER(SEARCH("overheat",C265)),"Overheating of Device",ISNUMBER(SEARCH("excessive heat",C265)),"Overheating of Device",ISNUMBER(SEARCH("hot",C265)),"Overheating of Device",ISNUMBER(SEARCH("noise",C265)),"Noise, Audible",ISNUMBER(SEARCH("sound",C265)),"Noise, Audible",ISNUMBER(SEARCH("loud",C265)),"Noise, Audible",ISNUMBER(SEARCH("fray",C265)),"Material Frayed",ISNUMBER(SEARCH("hole",C265)),"Material Frayed",ISNUMBER(SEARCH("tear",C265)),"Material Frayed",ISNUMBER(SEARCH("worn",C265)),"Material Frayed",ISNUMBER(SEARCH("intermittent",C265)),"Difficult or Delayed Activation",ISNUMBER(SEARCH("delay",C265)),"Difficult or Delayed Activation",ISNUMBER(SEARCH("label",C265)),"Device Markings/Labelling Problem",ISNUMBER(SEARCH("marking",C265)),"Device Markings/Labelling Problem",ISNUMBER(SEARCH("lacerat",C265)),"Defective Device",ISNUMBER(SEARCH("cut",C265)),"Defective Device",ISNUMBER(SEARCH("leak",C265)),"Fluid/Blood Leak",ISNUMBER(SEARCH("missing",C265)),"Component Missing",ISNUMBER(SEARCH("power",C265)),"Complete Loss of Power",ISNUMBER(SEARCH("will not turn on",C265)),"Complete Loss of Power",ISNUMBER(SEARCH("won't turn on",C265)),"Complete Loss of Power",ISNUMBER(SEARCH("does not turn on",C265)),"Complete Loss of Power",ISNUMBER(SEARCH("electrical",C265)),"Electrical Power Problem",ISNUMBER(SEARCH("pressure",C265)),"Detachment of Device or Device Component",ISNUMBER(SEARCH("slip",C265)),"Detachment of Device or Device Component",ISNUMBER(SEARCH("detach",C265)),"Detachment of Device or Device Component",ISNUMBER(SEARCH("stick",C265)),"Mechanical Jam",ISNUMBER(SEARCH("jam",C265)),"Mechanical Jam",ISNUMBER(SEARCH("rigid",C265)),"Mechanical Jam",ISNUMBER(SEARCH("rust",C265)),"Corroded",ISNUMBER(SEARCH("corrod",C265)),"Corroded",ISNUMBER(SEARCH("corrosion",C265)),"Corroded",ISNUMBER(SEARCH("alignment",C265)),"Defective Device",ISNUMBER(SEARCH("adjust",C265)),"Defective Device",ISNUMBER(SEARCH("perform",C265)),"Defective Device",ISNUMBER(SEARCH("malfunction",C265)),"Defective Device",ISNUMBER(SEARCH("defect",C265)),"Defective Device",ISNUMBER(SEARCH("fail",C265)),"Defective Device",ISNUMBER(SEARCH("not work",C265)),"Defective Device",ISNUMBER(SEARCH("doesn't work",C265)),"Defective Device",TRUE,"UNKNOWN"),"UNKNOWN")))</f>
        <v/>
      </c>
      <c r="F265" s="4" t="str">
        <f t="shared" si="4"/>
        <v/>
      </c>
      <c r="G265" s="363" t="str">
        <f>IF(E265="","",IFERROR(VLOOKUP(E265,Codes!$L$2:$N$409,3,FALSE),"—"))</f>
        <v/>
      </c>
      <c r="H265" s="88"/>
      <c r="I265" s="88"/>
    </row>
    <row r="266" spans="1:9" ht="13.15" x14ac:dyDescent="0.35">
      <c r="A266" s="435"/>
      <c r="B266" s="436"/>
      <c r="C266" s="438"/>
      <c r="D266" s="435"/>
      <c r="E266" s="93" t="str" cm="1">
        <f t="array" ref="E266">IF(D266&lt;&gt;"",IFERROR(VLOOKUP(D266,Codes!$K$2:$L$409,2,FALSE),"UNKNOWN - "&amp;D266),IF(C266="","",IFERROR(_xlfn.IFS(ISNUMBER(SEARCH("broken button",C266)),"Break",ISNUMBER(SEARCH("broken handle",C266)),"Break",ISNUMBER(SEARCH("shipping damage",C266)),"Break",ISNUMBER(SEARCH("broken",C266)),"Break",ISNUMBER(SEARCH("crack",C266)),"Break",ISNUMBER(SEARCH("snap",C266)),"Break",ISNUMBER(SEARCH("fracture",C266)),"Break",ISNUMBER(SEARCH("bent",C266)),"Material Twisted/Bent",ISNUMBER(SEARCH("twisted",C266)),"Material Twisted/Bent",ISNUMBER(SEARCH("component separat",C266)),"Material Separation",ISNUMBER(SEARCH("separat",C266)),"Material Separation",ISNUMBER(SEARCH("connection",C266)),"Loose or Intermittent Connection",ISNUMBER(SEARCH("loose",C266)),"Loose or Intermittent Connection",ISNUMBER(SEARCH("damaged packaging",C266)),"Packaging Problem",ISNUMBER(SEARCH("packaging",C266)),"Packaging Problem",ISNUMBER(SEARCH("discoloration",C266)),"Contamination",ISNUMBER(SEARCH("tarnish",C266)),"Contamination",ISNUMBER(SEARCH("stain",C266)),"Contamination",ISNUMBER(SEARCH("foreign material",C266)),"Contamination",ISNUMBER(SEARCH("contamina",C266)),"Contamination",ISNUMBER(SEARCH("overheat",C266)),"Overheating of Device",ISNUMBER(SEARCH("excessive heat",C266)),"Overheating of Device",ISNUMBER(SEARCH("hot",C266)),"Overheating of Device",ISNUMBER(SEARCH("noise",C266)),"Noise, Audible",ISNUMBER(SEARCH("sound",C266)),"Noise, Audible",ISNUMBER(SEARCH("loud",C266)),"Noise, Audible",ISNUMBER(SEARCH("fray",C266)),"Material Frayed",ISNUMBER(SEARCH("hole",C266)),"Material Frayed",ISNUMBER(SEARCH("tear",C266)),"Material Frayed",ISNUMBER(SEARCH("worn",C266)),"Material Frayed",ISNUMBER(SEARCH("intermittent",C266)),"Difficult or Delayed Activation",ISNUMBER(SEARCH("delay",C266)),"Difficult or Delayed Activation",ISNUMBER(SEARCH("label",C266)),"Device Markings/Labelling Problem",ISNUMBER(SEARCH("marking",C266)),"Device Markings/Labelling Problem",ISNUMBER(SEARCH("lacerat",C266)),"Defective Device",ISNUMBER(SEARCH("cut",C266)),"Defective Device",ISNUMBER(SEARCH("leak",C266)),"Fluid/Blood Leak",ISNUMBER(SEARCH("missing",C266)),"Component Missing",ISNUMBER(SEARCH("power",C266)),"Complete Loss of Power",ISNUMBER(SEARCH("will not turn on",C266)),"Complete Loss of Power",ISNUMBER(SEARCH("won't turn on",C266)),"Complete Loss of Power",ISNUMBER(SEARCH("does not turn on",C266)),"Complete Loss of Power",ISNUMBER(SEARCH("electrical",C266)),"Electrical Power Problem",ISNUMBER(SEARCH("pressure",C266)),"Detachment of Device or Device Component",ISNUMBER(SEARCH("slip",C266)),"Detachment of Device or Device Component",ISNUMBER(SEARCH("detach",C266)),"Detachment of Device or Device Component",ISNUMBER(SEARCH("stick",C266)),"Mechanical Jam",ISNUMBER(SEARCH("jam",C266)),"Mechanical Jam",ISNUMBER(SEARCH("rigid",C266)),"Mechanical Jam",ISNUMBER(SEARCH("rust",C266)),"Corroded",ISNUMBER(SEARCH("corrod",C266)),"Corroded",ISNUMBER(SEARCH("corrosion",C266)),"Corroded",ISNUMBER(SEARCH("alignment",C266)),"Defective Device",ISNUMBER(SEARCH("adjust",C266)),"Defective Device",ISNUMBER(SEARCH("perform",C266)),"Defective Device",ISNUMBER(SEARCH("malfunction",C266)),"Defective Device",ISNUMBER(SEARCH("defect",C266)),"Defective Device",ISNUMBER(SEARCH("fail",C266)),"Defective Device",ISNUMBER(SEARCH("not work",C266)),"Defective Device",ISNUMBER(SEARCH("doesn't work",C266)),"Defective Device",TRUE,"UNKNOWN"),"UNKNOWN")))</f>
        <v/>
      </c>
      <c r="F266" s="4" t="str">
        <f t="shared" si="4"/>
        <v/>
      </c>
      <c r="G266" s="363" t="str">
        <f>IF(E266="","",IFERROR(VLOOKUP(E266,Codes!$L$2:$N$409,3,FALSE),"—"))</f>
        <v/>
      </c>
      <c r="H266" s="88"/>
      <c r="I266" s="88"/>
    </row>
    <row r="267" spans="1:9" ht="13.15" x14ac:dyDescent="0.35">
      <c r="A267" s="434"/>
      <c r="B267" s="436"/>
      <c r="C267" s="437"/>
      <c r="D267" s="434"/>
      <c r="E267" s="93" t="str" cm="1">
        <f t="array" ref="E267">IF(D267&lt;&gt;"",IFERROR(VLOOKUP(D267,Codes!$K$2:$L$409,2,FALSE),"UNKNOWN - "&amp;D267),IF(C267="","",IFERROR(_xlfn.IFS(ISNUMBER(SEARCH("broken button",C267)),"Break",ISNUMBER(SEARCH("broken handle",C267)),"Break",ISNUMBER(SEARCH("shipping damage",C267)),"Break",ISNUMBER(SEARCH("broken",C267)),"Break",ISNUMBER(SEARCH("crack",C267)),"Break",ISNUMBER(SEARCH("snap",C267)),"Break",ISNUMBER(SEARCH("fracture",C267)),"Break",ISNUMBER(SEARCH("bent",C267)),"Material Twisted/Bent",ISNUMBER(SEARCH("twisted",C267)),"Material Twisted/Bent",ISNUMBER(SEARCH("component separat",C267)),"Material Separation",ISNUMBER(SEARCH("separat",C267)),"Material Separation",ISNUMBER(SEARCH("connection",C267)),"Loose or Intermittent Connection",ISNUMBER(SEARCH("loose",C267)),"Loose or Intermittent Connection",ISNUMBER(SEARCH("damaged packaging",C267)),"Packaging Problem",ISNUMBER(SEARCH("packaging",C267)),"Packaging Problem",ISNUMBER(SEARCH("discoloration",C267)),"Contamination",ISNUMBER(SEARCH("tarnish",C267)),"Contamination",ISNUMBER(SEARCH("stain",C267)),"Contamination",ISNUMBER(SEARCH("foreign material",C267)),"Contamination",ISNUMBER(SEARCH("contamina",C267)),"Contamination",ISNUMBER(SEARCH("overheat",C267)),"Overheating of Device",ISNUMBER(SEARCH("excessive heat",C267)),"Overheating of Device",ISNUMBER(SEARCH("hot",C267)),"Overheating of Device",ISNUMBER(SEARCH("noise",C267)),"Noise, Audible",ISNUMBER(SEARCH("sound",C267)),"Noise, Audible",ISNUMBER(SEARCH("loud",C267)),"Noise, Audible",ISNUMBER(SEARCH("fray",C267)),"Material Frayed",ISNUMBER(SEARCH("hole",C267)),"Material Frayed",ISNUMBER(SEARCH("tear",C267)),"Material Frayed",ISNUMBER(SEARCH("worn",C267)),"Material Frayed",ISNUMBER(SEARCH("intermittent",C267)),"Difficult or Delayed Activation",ISNUMBER(SEARCH("delay",C267)),"Difficult or Delayed Activation",ISNUMBER(SEARCH("label",C267)),"Device Markings/Labelling Problem",ISNUMBER(SEARCH("marking",C267)),"Device Markings/Labelling Problem",ISNUMBER(SEARCH("lacerat",C267)),"Defective Device",ISNUMBER(SEARCH("cut",C267)),"Defective Device",ISNUMBER(SEARCH("leak",C267)),"Fluid/Blood Leak",ISNUMBER(SEARCH("missing",C267)),"Component Missing",ISNUMBER(SEARCH("power",C267)),"Complete Loss of Power",ISNUMBER(SEARCH("will not turn on",C267)),"Complete Loss of Power",ISNUMBER(SEARCH("won't turn on",C267)),"Complete Loss of Power",ISNUMBER(SEARCH("does not turn on",C267)),"Complete Loss of Power",ISNUMBER(SEARCH("electrical",C267)),"Electrical Power Problem",ISNUMBER(SEARCH("pressure",C267)),"Detachment of Device or Device Component",ISNUMBER(SEARCH("slip",C267)),"Detachment of Device or Device Component",ISNUMBER(SEARCH("detach",C267)),"Detachment of Device or Device Component",ISNUMBER(SEARCH("stick",C267)),"Mechanical Jam",ISNUMBER(SEARCH("jam",C267)),"Mechanical Jam",ISNUMBER(SEARCH("rigid",C267)),"Mechanical Jam",ISNUMBER(SEARCH("rust",C267)),"Corroded",ISNUMBER(SEARCH("corrod",C267)),"Corroded",ISNUMBER(SEARCH("corrosion",C267)),"Corroded",ISNUMBER(SEARCH("alignment",C267)),"Defective Device",ISNUMBER(SEARCH("adjust",C267)),"Defective Device",ISNUMBER(SEARCH("perform",C267)),"Defective Device",ISNUMBER(SEARCH("malfunction",C267)),"Defective Device",ISNUMBER(SEARCH("defect",C267)),"Defective Device",ISNUMBER(SEARCH("fail",C267)),"Defective Device",ISNUMBER(SEARCH("not work",C267)),"Defective Device",ISNUMBER(SEARCH("doesn't work",C267)),"Defective Device",TRUE,"UNKNOWN"),"UNKNOWN")))</f>
        <v/>
      </c>
      <c r="F267" s="4" t="str">
        <f t="shared" si="4"/>
        <v/>
      </c>
      <c r="G267" s="363" t="str">
        <f>IF(E267="","",IFERROR(VLOOKUP(E267,Codes!$L$2:$N$409,3,FALSE),"—"))</f>
        <v/>
      </c>
      <c r="H267" s="88"/>
      <c r="I267" s="88"/>
    </row>
    <row r="268" spans="1:9" ht="13.15" x14ac:dyDescent="0.35">
      <c r="A268" s="434"/>
      <c r="B268" s="436"/>
      <c r="C268" s="437"/>
      <c r="D268" s="434"/>
      <c r="E268" s="93" t="str" cm="1">
        <f t="array" ref="E268">IF(D268&lt;&gt;"",IFERROR(VLOOKUP(D268,Codes!$K$2:$L$409,2,FALSE),"UNKNOWN - "&amp;D268),IF(C268="","",IFERROR(_xlfn.IFS(ISNUMBER(SEARCH("broken button",C268)),"Break",ISNUMBER(SEARCH("broken handle",C268)),"Break",ISNUMBER(SEARCH("shipping damage",C268)),"Break",ISNUMBER(SEARCH("broken",C268)),"Break",ISNUMBER(SEARCH("crack",C268)),"Break",ISNUMBER(SEARCH("snap",C268)),"Break",ISNUMBER(SEARCH("fracture",C268)),"Break",ISNUMBER(SEARCH("bent",C268)),"Material Twisted/Bent",ISNUMBER(SEARCH("twisted",C268)),"Material Twisted/Bent",ISNUMBER(SEARCH("component separat",C268)),"Material Separation",ISNUMBER(SEARCH("separat",C268)),"Material Separation",ISNUMBER(SEARCH("connection",C268)),"Loose or Intermittent Connection",ISNUMBER(SEARCH("loose",C268)),"Loose or Intermittent Connection",ISNUMBER(SEARCH("damaged packaging",C268)),"Packaging Problem",ISNUMBER(SEARCH("packaging",C268)),"Packaging Problem",ISNUMBER(SEARCH("discoloration",C268)),"Contamination",ISNUMBER(SEARCH("tarnish",C268)),"Contamination",ISNUMBER(SEARCH("stain",C268)),"Contamination",ISNUMBER(SEARCH("foreign material",C268)),"Contamination",ISNUMBER(SEARCH("contamina",C268)),"Contamination",ISNUMBER(SEARCH("overheat",C268)),"Overheating of Device",ISNUMBER(SEARCH("excessive heat",C268)),"Overheating of Device",ISNUMBER(SEARCH("hot",C268)),"Overheating of Device",ISNUMBER(SEARCH("noise",C268)),"Noise, Audible",ISNUMBER(SEARCH("sound",C268)),"Noise, Audible",ISNUMBER(SEARCH("loud",C268)),"Noise, Audible",ISNUMBER(SEARCH("fray",C268)),"Material Frayed",ISNUMBER(SEARCH("hole",C268)),"Material Frayed",ISNUMBER(SEARCH("tear",C268)),"Material Frayed",ISNUMBER(SEARCH("worn",C268)),"Material Frayed",ISNUMBER(SEARCH("intermittent",C268)),"Difficult or Delayed Activation",ISNUMBER(SEARCH("delay",C268)),"Difficult or Delayed Activation",ISNUMBER(SEARCH("label",C268)),"Device Markings/Labelling Problem",ISNUMBER(SEARCH("marking",C268)),"Device Markings/Labelling Problem",ISNUMBER(SEARCH("lacerat",C268)),"Defective Device",ISNUMBER(SEARCH("cut",C268)),"Defective Device",ISNUMBER(SEARCH("leak",C268)),"Fluid/Blood Leak",ISNUMBER(SEARCH("missing",C268)),"Component Missing",ISNUMBER(SEARCH("power",C268)),"Complete Loss of Power",ISNUMBER(SEARCH("will not turn on",C268)),"Complete Loss of Power",ISNUMBER(SEARCH("won't turn on",C268)),"Complete Loss of Power",ISNUMBER(SEARCH("does not turn on",C268)),"Complete Loss of Power",ISNUMBER(SEARCH("electrical",C268)),"Electrical Power Problem",ISNUMBER(SEARCH("pressure",C268)),"Detachment of Device or Device Component",ISNUMBER(SEARCH("slip",C268)),"Detachment of Device or Device Component",ISNUMBER(SEARCH("detach",C268)),"Detachment of Device or Device Component",ISNUMBER(SEARCH("stick",C268)),"Mechanical Jam",ISNUMBER(SEARCH("jam",C268)),"Mechanical Jam",ISNUMBER(SEARCH("rigid",C268)),"Mechanical Jam",ISNUMBER(SEARCH("rust",C268)),"Corroded",ISNUMBER(SEARCH("corrod",C268)),"Corroded",ISNUMBER(SEARCH("corrosion",C268)),"Corroded",ISNUMBER(SEARCH("alignment",C268)),"Defective Device",ISNUMBER(SEARCH("adjust",C268)),"Defective Device",ISNUMBER(SEARCH("perform",C268)),"Defective Device",ISNUMBER(SEARCH("malfunction",C268)),"Defective Device",ISNUMBER(SEARCH("defect",C268)),"Defective Device",ISNUMBER(SEARCH("fail",C268)),"Defective Device",ISNUMBER(SEARCH("not work",C268)),"Defective Device",ISNUMBER(SEARCH("doesn't work",C268)),"Defective Device",TRUE,"UNKNOWN"),"UNKNOWN")))</f>
        <v/>
      </c>
      <c r="F268" s="4" t="str">
        <f t="shared" si="4"/>
        <v/>
      </c>
      <c r="G268" s="363" t="str">
        <f>IF(E268="","",IFERROR(VLOOKUP(E268,Codes!$L$2:$N$409,3,FALSE),"—"))</f>
        <v/>
      </c>
      <c r="H268" s="88"/>
      <c r="I268" s="88"/>
    </row>
    <row r="269" spans="1:9" ht="13.15" x14ac:dyDescent="0.35">
      <c r="A269" s="435"/>
      <c r="B269" s="436"/>
      <c r="C269" s="438"/>
      <c r="D269" s="435"/>
      <c r="E269" s="93" t="str" cm="1">
        <f t="array" ref="E269">IF(D269&lt;&gt;"",IFERROR(VLOOKUP(D269,Codes!$K$2:$L$409,2,FALSE),"UNKNOWN - "&amp;D269),IF(C269="","",IFERROR(_xlfn.IFS(ISNUMBER(SEARCH("broken button",C269)),"Break",ISNUMBER(SEARCH("broken handle",C269)),"Break",ISNUMBER(SEARCH("shipping damage",C269)),"Break",ISNUMBER(SEARCH("broken",C269)),"Break",ISNUMBER(SEARCH("crack",C269)),"Break",ISNUMBER(SEARCH("snap",C269)),"Break",ISNUMBER(SEARCH("fracture",C269)),"Break",ISNUMBER(SEARCH("bent",C269)),"Material Twisted/Bent",ISNUMBER(SEARCH("twisted",C269)),"Material Twisted/Bent",ISNUMBER(SEARCH("component separat",C269)),"Material Separation",ISNUMBER(SEARCH("separat",C269)),"Material Separation",ISNUMBER(SEARCH("connection",C269)),"Loose or Intermittent Connection",ISNUMBER(SEARCH("loose",C269)),"Loose or Intermittent Connection",ISNUMBER(SEARCH("damaged packaging",C269)),"Packaging Problem",ISNUMBER(SEARCH("packaging",C269)),"Packaging Problem",ISNUMBER(SEARCH("discoloration",C269)),"Contamination",ISNUMBER(SEARCH("tarnish",C269)),"Contamination",ISNUMBER(SEARCH("stain",C269)),"Contamination",ISNUMBER(SEARCH("foreign material",C269)),"Contamination",ISNUMBER(SEARCH("contamina",C269)),"Contamination",ISNUMBER(SEARCH("overheat",C269)),"Overheating of Device",ISNUMBER(SEARCH("excessive heat",C269)),"Overheating of Device",ISNUMBER(SEARCH("hot",C269)),"Overheating of Device",ISNUMBER(SEARCH("noise",C269)),"Noise, Audible",ISNUMBER(SEARCH("sound",C269)),"Noise, Audible",ISNUMBER(SEARCH("loud",C269)),"Noise, Audible",ISNUMBER(SEARCH("fray",C269)),"Material Frayed",ISNUMBER(SEARCH("hole",C269)),"Material Frayed",ISNUMBER(SEARCH("tear",C269)),"Material Frayed",ISNUMBER(SEARCH("worn",C269)),"Material Frayed",ISNUMBER(SEARCH("intermittent",C269)),"Difficult or Delayed Activation",ISNUMBER(SEARCH("delay",C269)),"Difficult or Delayed Activation",ISNUMBER(SEARCH("label",C269)),"Device Markings/Labelling Problem",ISNUMBER(SEARCH("marking",C269)),"Device Markings/Labelling Problem",ISNUMBER(SEARCH("lacerat",C269)),"Defective Device",ISNUMBER(SEARCH("cut",C269)),"Defective Device",ISNUMBER(SEARCH("leak",C269)),"Fluid/Blood Leak",ISNUMBER(SEARCH("missing",C269)),"Component Missing",ISNUMBER(SEARCH("power",C269)),"Complete Loss of Power",ISNUMBER(SEARCH("will not turn on",C269)),"Complete Loss of Power",ISNUMBER(SEARCH("won't turn on",C269)),"Complete Loss of Power",ISNUMBER(SEARCH("does not turn on",C269)),"Complete Loss of Power",ISNUMBER(SEARCH("electrical",C269)),"Electrical Power Problem",ISNUMBER(SEARCH("pressure",C269)),"Detachment of Device or Device Component",ISNUMBER(SEARCH("slip",C269)),"Detachment of Device or Device Component",ISNUMBER(SEARCH("detach",C269)),"Detachment of Device or Device Component",ISNUMBER(SEARCH("stick",C269)),"Mechanical Jam",ISNUMBER(SEARCH("jam",C269)),"Mechanical Jam",ISNUMBER(SEARCH("rigid",C269)),"Mechanical Jam",ISNUMBER(SEARCH("rust",C269)),"Corroded",ISNUMBER(SEARCH("corrod",C269)),"Corroded",ISNUMBER(SEARCH("corrosion",C269)),"Corroded",ISNUMBER(SEARCH("alignment",C269)),"Defective Device",ISNUMBER(SEARCH("adjust",C269)),"Defective Device",ISNUMBER(SEARCH("perform",C269)),"Defective Device",ISNUMBER(SEARCH("malfunction",C269)),"Defective Device",ISNUMBER(SEARCH("defect",C269)),"Defective Device",ISNUMBER(SEARCH("fail",C269)),"Defective Device",ISNUMBER(SEARCH("not work",C269)),"Defective Device",ISNUMBER(SEARCH("doesn't work",C269)),"Defective Device",TRUE,"UNKNOWN"),"UNKNOWN")))</f>
        <v/>
      </c>
      <c r="F269" s="4" t="str">
        <f t="shared" si="4"/>
        <v/>
      </c>
      <c r="G269" s="363" t="str">
        <f>IF(E269="","",IFERROR(VLOOKUP(E269,Codes!$L$2:$N$409,3,FALSE),"—"))</f>
        <v/>
      </c>
      <c r="H269" s="88"/>
      <c r="I269" s="88"/>
    </row>
    <row r="270" spans="1:9" ht="13.15" x14ac:dyDescent="0.35">
      <c r="A270" s="434"/>
      <c r="B270" s="436"/>
      <c r="C270" s="437"/>
      <c r="D270" s="434"/>
      <c r="E270" s="93" t="str" cm="1">
        <f t="array" ref="E270">IF(D270&lt;&gt;"",IFERROR(VLOOKUP(D270,Codes!$K$2:$L$409,2,FALSE),"UNKNOWN - "&amp;D270),IF(C270="","",IFERROR(_xlfn.IFS(ISNUMBER(SEARCH("broken button",C270)),"Break",ISNUMBER(SEARCH("broken handle",C270)),"Break",ISNUMBER(SEARCH("shipping damage",C270)),"Break",ISNUMBER(SEARCH("broken",C270)),"Break",ISNUMBER(SEARCH("crack",C270)),"Break",ISNUMBER(SEARCH("snap",C270)),"Break",ISNUMBER(SEARCH("fracture",C270)),"Break",ISNUMBER(SEARCH("bent",C270)),"Material Twisted/Bent",ISNUMBER(SEARCH("twisted",C270)),"Material Twisted/Bent",ISNUMBER(SEARCH("component separat",C270)),"Material Separation",ISNUMBER(SEARCH("separat",C270)),"Material Separation",ISNUMBER(SEARCH("connection",C270)),"Loose or Intermittent Connection",ISNUMBER(SEARCH("loose",C270)),"Loose or Intermittent Connection",ISNUMBER(SEARCH("damaged packaging",C270)),"Packaging Problem",ISNUMBER(SEARCH("packaging",C270)),"Packaging Problem",ISNUMBER(SEARCH("discoloration",C270)),"Contamination",ISNUMBER(SEARCH("tarnish",C270)),"Contamination",ISNUMBER(SEARCH("stain",C270)),"Contamination",ISNUMBER(SEARCH("foreign material",C270)),"Contamination",ISNUMBER(SEARCH("contamina",C270)),"Contamination",ISNUMBER(SEARCH("overheat",C270)),"Overheating of Device",ISNUMBER(SEARCH("excessive heat",C270)),"Overheating of Device",ISNUMBER(SEARCH("hot",C270)),"Overheating of Device",ISNUMBER(SEARCH("noise",C270)),"Noise, Audible",ISNUMBER(SEARCH("sound",C270)),"Noise, Audible",ISNUMBER(SEARCH("loud",C270)),"Noise, Audible",ISNUMBER(SEARCH("fray",C270)),"Material Frayed",ISNUMBER(SEARCH("hole",C270)),"Material Frayed",ISNUMBER(SEARCH("tear",C270)),"Material Frayed",ISNUMBER(SEARCH("worn",C270)),"Material Frayed",ISNUMBER(SEARCH("intermittent",C270)),"Difficult or Delayed Activation",ISNUMBER(SEARCH("delay",C270)),"Difficult or Delayed Activation",ISNUMBER(SEARCH("label",C270)),"Device Markings/Labelling Problem",ISNUMBER(SEARCH("marking",C270)),"Device Markings/Labelling Problem",ISNUMBER(SEARCH("lacerat",C270)),"Defective Device",ISNUMBER(SEARCH("cut",C270)),"Defective Device",ISNUMBER(SEARCH("leak",C270)),"Fluid/Blood Leak",ISNUMBER(SEARCH("missing",C270)),"Component Missing",ISNUMBER(SEARCH("power",C270)),"Complete Loss of Power",ISNUMBER(SEARCH("will not turn on",C270)),"Complete Loss of Power",ISNUMBER(SEARCH("won't turn on",C270)),"Complete Loss of Power",ISNUMBER(SEARCH("does not turn on",C270)),"Complete Loss of Power",ISNUMBER(SEARCH("electrical",C270)),"Electrical Power Problem",ISNUMBER(SEARCH("pressure",C270)),"Detachment of Device or Device Component",ISNUMBER(SEARCH("slip",C270)),"Detachment of Device or Device Component",ISNUMBER(SEARCH("detach",C270)),"Detachment of Device or Device Component",ISNUMBER(SEARCH("stick",C270)),"Mechanical Jam",ISNUMBER(SEARCH("jam",C270)),"Mechanical Jam",ISNUMBER(SEARCH("rigid",C270)),"Mechanical Jam",ISNUMBER(SEARCH("rust",C270)),"Corroded",ISNUMBER(SEARCH("corrod",C270)),"Corroded",ISNUMBER(SEARCH("corrosion",C270)),"Corroded",ISNUMBER(SEARCH("alignment",C270)),"Defective Device",ISNUMBER(SEARCH("adjust",C270)),"Defective Device",ISNUMBER(SEARCH("perform",C270)),"Defective Device",ISNUMBER(SEARCH("malfunction",C270)),"Defective Device",ISNUMBER(SEARCH("defect",C270)),"Defective Device",ISNUMBER(SEARCH("fail",C270)),"Defective Device",ISNUMBER(SEARCH("not work",C270)),"Defective Device",ISNUMBER(SEARCH("doesn't work",C270)),"Defective Device",TRUE,"UNKNOWN"),"UNKNOWN")))</f>
        <v/>
      </c>
      <c r="F270" s="4" t="str">
        <f t="shared" si="4"/>
        <v/>
      </c>
      <c r="G270" s="363" t="str">
        <f>IF(E270="","",IFERROR(VLOOKUP(E270,Codes!$L$2:$N$409,3,FALSE),"—"))</f>
        <v/>
      </c>
      <c r="H270" s="88"/>
      <c r="I270" s="88"/>
    </row>
    <row r="271" spans="1:9" ht="13.15" x14ac:dyDescent="0.35">
      <c r="A271" s="434"/>
      <c r="B271" s="436"/>
      <c r="C271" s="437"/>
      <c r="D271" s="434"/>
      <c r="E271" s="93" t="str" cm="1">
        <f t="array" ref="E271">IF(D271&lt;&gt;"",IFERROR(VLOOKUP(D271,Codes!$K$2:$L$409,2,FALSE),"UNKNOWN - "&amp;D271),IF(C271="","",IFERROR(_xlfn.IFS(ISNUMBER(SEARCH("broken button",C271)),"Break",ISNUMBER(SEARCH("broken handle",C271)),"Break",ISNUMBER(SEARCH("shipping damage",C271)),"Break",ISNUMBER(SEARCH("broken",C271)),"Break",ISNUMBER(SEARCH("crack",C271)),"Break",ISNUMBER(SEARCH("snap",C271)),"Break",ISNUMBER(SEARCH("fracture",C271)),"Break",ISNUMBER(SEARCH("bent",C271)),"Material Twisted/Bent",ISNUMBER(SEARCH("twisted",C271)),"Material Twisted/Bent",ISNUMBER(SEARCH("component separat",C271)),"Material Separation",ISNUMBER(SEARCH("separat",C271)),"Material Separation",ISNUMBER(SEARCH("connection",C271)),"Loose or Intermittent Connection",ISNUMBER(SEARCH("loose",C271)),"Loose or Intermittent Connection",ISNUMBER(SEARCH("damaged packaging",C271)),"Packaging Problem",ISNUMBER(SEARCH("packaging",C271)),"Packaging Problem",ISNUMBER(SEARCH("discoloration",C271)),"Contamination",ISNUMBER(SEARCH("tarnish",C271)),"Contamination",ISNUMBER(SEARCH("stain",C271)),"Contamination",ISNUMBER(SEARCH("foreign material",C271)),"Contamination",ISNUMBER(SEARCH("contamina",C271)),"Contamination",ISNUMBER(SEARCH("overheat",C271)),"Overheating of Device",ISNUMBER(SEARCH("excessive heat",C271)),"Overheating of Device",ISNUMBER(SEARCH("hot",C271)),"Overheating of Device",ISNUMBER(SEARCH("noise",C271)),"Noise, Audible",ISNUMBER(SEARCH("sound",C271)),"Noise, Audible",ISNUMBER(SEARCH("loud",C271)),"Noise, Audible",ISNUMBER(SEARCH("fray",C271)),"Material Frayed",ISNUMBER(SEARCH("hole",C271)),"Material Frayed",ISNUMBER(SEARCH("tear",C271)),"Material Frayed",ISNUMBER(SEARCH("worn",C271)),"Material Frayed",ISNUMBER(SEARCH("intermittent",C271)),"Difficult or Delayed Activation",ISNUMBER(SEARCH("delay",C271)),"Difficult or Delayed Activation",ISNUMBER(SEARCH("label",C271)),"Device Markings/Labelling Problem",ISNUMBER(SEARCH("marking",C271)),"Device Markings/Labelling Problem",ISNUMBER(SEARCH("lacerat",C271)),"Defective Device",ISNUMBER(SEARCH("cut",C271)),"Defective Device",ISNUMBER(SEARCH("leak",C271)),"Fluid/Blood Leak",ISNUMBER(SEARCH("missing",C271)),"Component Missing",ISNUMBER(SEARCH("power",C271)),"Complete Loss of Power",ISNUMBER(SEARCH("will not turn on",C271)),"Complete Loss of Power",ISNUMBER(SEARCH("won't turn on",C271)),"Complete Loss of Power",ISNUMBER(SEARCH("does not turn on",C271)),"Complete Loss of Power",ISNUMBER(SEARCH("electrical",C271)),"Electrical Power Problem",ISNUMBER(SEARCH("pressure",C271)),"Detachment of Device or Device Component",ISNUMBER(SEARCH("slip",C271)),"Detachment of Device or Device Component",ISNUMBER(SEARCH("detach",C271)),"Detachment of Device or Device Component",ISNUMBER(SEARCH("stick",C271)),"Mechanical Jam",ISNUMBER(SEARCH("jam",C271)),"Mechanical Jam",ISNUMBER(SEARCH("rigid",C271)),"Mechanical Jam",ISNUMBER(SEARCH("rust",C271)),"Corroded",ISNUMBER(SEARCH("corrod",C271)),"Corroded",ISNUMBER(SEARCH("corrosion",C271)),"Corroded",ISNUMBER(SEARCH("alignment",C271)),"Defective Device",ISNUMBER(SEARCH("adjust",C271)),"Defective Device",ISNUMBER(SEARCH("perform",C271)),"Defective Device",ISNUMBER(SEARCH("malfunction",C271)),"Defective Device",ISNUMBER(SEARCH("defect",C271)),"Defective Device",ISNUMBER(SEARCH("fail",C271)),"Defective Device",ISNUMBER(SEARCH("not work",C271)),"Defective Device",ISNUMBER(SEARCH("doesn't work",C271)),"Defective Device",TRUE,"UNKNOWN"),"UNKNOWN")))</f>
        <v/>
      </c>
      <c r="F271" s="4" t="str">
        <f t="shared" si="4"/>
        <v/>
      </c>
      <c r="G271" s="363" t="str">
        <f>IF(E271="","",IFERROR(VLOOKUP(E271,Codes!$L$2:$N$409,3,FALSE),"—"))</f>
        <v/>
      </c>
      <c r="H271" s="88"/>
      <c r="I271" s="88"/>
    </row>
    <row r="272" spans="1:9" ht="13.15" x14ac:dyDescent="0.35">
      <c r="A272" s="435"/>
      <c r="B272" s="436"/>
      <c r="C272" s="438"/>
      <c r="D272" s="435"/>
      <c r="E272" s="93" t="str" cm="1">
        <f t="array" ref="E272">IF(D272&lt;&gt;"",IFERROR(VLOOKUP(D272,Codes!$K$2:$L$409,2,FALSE),"UNKNOWN - "&amp;D272),IF(C272="","",IFERROR(_xlfn.IFS(ISNUMBER(SEARCH("broken button",C272)),"Break",ISNUMBER(SEARCH("broken handle",C272)),"Break",ISNUMBER(SEARCH("shipping damage",C272)),"Break",ISNUMBER(SEARCH("broken",C272)),"Break",ISNUMBER(SEARCH("crack",C272)),"Break",ISNUMBER(SEARCH("snap",C272)),"Break",ISNUMBER(SEARCH("fracture",C272)),"Break",ISNUMBER(SEARCH("bent",C272)),"Material Twisted/Bent",ISNUMBER(SEARCH("twisted",C272)),"Material Twisted/Bent",ISNUMBER(SEARCH("component separat",C272)),"Material Separation",ISNUMBER(SEARCH("separat",C272)),"Material Separation",ISNUMBER(SEARCH("connection",C272)),"Loose or Intermittent Connection",ISNUMBER(SEARCH("loose",C272)),"Loose or Intermittent Connection",ISNUMBER(SEARCH("damaged packaging",C272)),"Packaging Problem",ISNUMBER(SEARCH("packaging",C272)),"Packaging Problem",ISNUMBER(SEARCH("discoloration",C272)),"Contamination",ISNUMBER(SEARCH("tarnish",C272)),"Contamination",ISNUMBER(SEARCH("stain",C272)),"Contamination",ISNUMBER(SEARCH("foreign material",C272)),"Contamination",ISNUMBER(SEARCH("contamina",C272)),"Contamination",ISNUMBER(SEARCH("overheat",C272)),"Overheating of Device",ISNUMBER(SEARCH("excessive heat",C272)),"Overheating of Device",ISNUMBER(SEARCH("hot",C272)),"Overheating of Device",ISNUMBER(SEARCH("noise",C272)),"Noise, Audible",ISNUMBER(SEARCH("sound",C272)),"Noise, Audible",ISNUMBER(SEARCH("loud",C272)),"Noise, Audible",ISNUMBER(SEARCH("fray",C272)),"Material Frayed",ISNUMBER(SEARCH("hole",C272)),"Material Frayed",ISNUMBER(SEARCH("tear",C272)),"Material Frayed",ISNUMBER(SEARCH("worn",C272)),"Material Frayed",ISNUMBER(SEARCH("intermittent",C272)),"Difficult or Delayed Activation",ISNUMBER(SEARCH("delay",C272)),"Difficult or Delayed Activation",ISNUMBER(SEARCH("label",C272)),"Device Markings/Labelling Problem",ISNUMBER(SEARCH("marking",C272)),"Device Markings/Labelling Problem",ISNUMBER(SEARCH("lacerat",C272)),"Defective Device",ISNUMBER(SEARCH("cut",C272)),"Defective Device",ISNUMBER(SEARCH("leak",C272)),"Fluid/Blood Leak",ISNUMBER(SEARCH("missing",C272)),"Component Missing",ISNUMBER(SEARCH("power",C272)),"Complete Loss of Power",ISNUMBER(SEARCH("will not turn on",C272)),"Complete Loss of Power",ISNUMBER(SEARCH("won't turn on",C272)),"Complete Loss of Power",ISNUMBER(SEARCH("does not turn on",C272)),"Complete Loss of Power",ISNUMBER(SEARCH("electrical",C272)),"Electrical Power Problem",ISNUMBER(SEARCH("pressure",C272)),"Detachment of Device or Device Component",ISNUMBER(SEARCH("slip",C272)),"Detachment of Device or Device Component",ISNUMBER(SEARCH("detach",C272)),"Detachment of Device or Device Component",ISNUMBER(SEARCH("stick",C272)),"Mechanical Jam",ISNUMBER(SEARCH("jam",C272)),"Mechanical Jam",ISNUMBER(SEARCH("rigid",C272)),"Mechanical Jam",ISNUMBER(SEARCH("rust",C272)),"Corroded",ISNUMBER(SEARCH("corrod",C272)),"Corroded",ISNUMBER(SEARCH("corrosion",C272)),"Corroded",ISNUMBER(SEARCH("alignment",C272)),"Defective Device",ISNUMBER(SEARCH("adjust",C272)),"Defective Device",ISNUMBER(SEARCH("perform",C272)),"Defective Device",ISNUMBER(SEARCH("malfunction",C272)),"Defective Device",ISNUMBER(SEARCH("defect",C272)),"Defective Device",ISNUMBER(SEARCH("fail",C272)),"Defective Device",ISNUMBER(SEARCH("not work",C272)),"Defective Device",ISNUMBER(SEARCH("doesn't work",C272)),"Defective Device",TRUE,"UNKNOWN"),"UNKNOWN")))</f>
        <v/>
      </c>
      <c r="F272" s="4" t="str">
        <f t="shared" si="4"/>
        <v/>
      </c>
      <c r="G272" s="363" t="str">
        <f>IF(E272="","",IFERROR(VLOOKUP(E272,Codes!$L$2:$N$409,3,FALSE),"—"))</f>
        <v/>
      </c>
      <c r="H272" s="88"/>
      <c r="I272" s="88"/>
    </row>
    <row r="273" spans="1:9" ht="13.15" x14ac:dyDescent="0.35">
      <c r="A273" s="434"/>
      <c r="B273" s="436"/>
      <c r="C273" s="437"/>
      <c r="D273" s="434"/>
      <c r="E273" s="93" t="str" cm="1">
        <f t="array" ref="E273">IF(D273&lt;&gt;"",IFERROR(VLOOKUP(D273,Codes!$K$2:$L$409,2,FALSE),"UNKNOWN - "&amp;D273),IF(C273="","",IFERROR(_xlfn.IFS(ISNUMBER(SEARCH("broken button",C273)),"Break",ISNUMBER(SEARCH("broken handle",C273)),"Break",ISNUMBER(SEARCH("shipping damage",C273)),"Break",ISNUMBER(SEARCH("broken",C273)),"Break",ISNUMBER(SEARCH("crack",C273)),"Break",ISNUMBER(SEARCH("snap",C273)),"Break",ISNUMBER(SEARCH("fracture",C273)),"Break",ISNUMBER(SEARCH("bent",C273)),"Material Twisted/Bent",ISNUMBER(SEARCH("twisted",C273)),"Material Twisted/Bent",ISNUMBER(SEARCH("component separat",C273)),"Material Separation",ISNUMBER(SEARCH("separat",C273)),"Material Separation",ISNUMBER(SEARCH("connection",C273)),"Loose or Intermittent Connection",ISNUMBER(SEARCH("loose",C273)),"Loose or Intermittent Connection",ISNUMBER(SEARCH("damaged packaging",C273)),"Packaging Problem",ISNUMBER(SEARCH("packaging",C273)),"Packaging Problem",ISNUMBER(SEARCH("discoloration",C273)),"Contamination",ISNUMBER(SEARCH("tarnish",C273)),"Contamination",ISNUMBER(SEARCH("stain",C273)),"Contamination",ISNUMBER(SEARCH("foreign material",C273)),"Contamination",ISNUMBER(SEARCH("contamina",C273)),"Contamination",ISNUMBER(SEARCH("overheat",C273)),"Overheating of Device",ISNUMBER(SEARCH("excessive heat",C273)),"Overheating of Device",ISNUMBER(SEARCH("hot",C273)),"Overheating of Device",ISNUMBER(SEARCH("noise",C273)),"Noise, Audible",ISNUMBER(SEARCH("sound",C273)),"Noise, Audible",ISNUMBER(SEARCH("loud",C273)),"Noise, Audible",ISNUMBER(SEARCH("fray",C273)),"Material Frayed",ISNUMBER(SEARCH("hole",C273)),"Material Frayed",ISNUMBER(SEARCH("tear",C273)),"Material Frayed",ISNUMBER(SEARCH("worn",C273)),"Material Frayed",ISNUMBER(SEARCH("intermittent",C273)),"Difficult or Delayed Activation",ISNUMBER(SEARCH("delay",C273)),"Difficult or Delayed Activation",ISNUMBER(SEARCH("label",C273)),"Device Markings/Labelling Problem",ISNUMBER(SEARCH("marking",C273)),"Device Markings/Labelling Problem",ISNUMBER(SEARCH("lacerat",C273)),"Defective Device",ISNUMBER(SEARCH("cut",C273)),"Defective Device",ISNUMBER(SEARCH("leak",C273)),"Fluid/Blood Leak",ISNUMBER(SEARCH("missing",C273)),"Component Missing",ISNUMBER(SEARCH("power",C273)),"Complete Loss of Power",ISNUMBER(SEARCH("will not turn on",C273)),"Complete Loss of Power",ISNUMBER(SEARCH("won't turn on",C273)),"Complete Loss of Power",ISNUMBER(SEARCH("does not turn on",C273)),"Complete Loss of Power",ISNUMBER(SEARCH("electrical",C273)),"Electrical Power Problem",ISNUMBER(SEARCH("pressure",C273)),"Detachment of Device or Device Component",ISNUMBER(SEARCH("slip",C273)),"Detachment of Device or Device Component",ISNUMBER(SEARCH("detach",C273)),"Detachment of Device or Device Component",ISNUMBER(SEARCH("stick",C273)),"Mechanical Jam",ISNUMBER(SEARCH("jam",C273)),"Mechanical Jam",ISNUMBER(SEARCH("rigid",C273)),"Mechanical Jam",ISNUMBER(SEARCH("rust",C273)),"Corroded",ISNUMBER(SEARCH("corrod",C273)),"Corroded",ISNUMBER(SEARCH("corrosion",C273)),"Corroded",ISNUMBER(SEARCH("alignment",C273)),"Defective Device",ISNUMBER(SEARCH("adjust",C273)),"Defective Device",ISNUMBER(SEARCH("perform",C273)),"Defective Device",ISNUMBER(SEARCH("malfunction",C273)),"Defective Device",ISNUMBER(SEARCH("defect",C273)),"Defective Device",ISNUMBER(SEARCH("fail",C273)),"Defective Device",ISNUMBER(SEARCH("not work",C273)),"Defective Device",ISNUMBER(SEARCH("doesn't work",C273)),"Defective Device",TRUE,"UNKNOWN"),"UNKNOWN")))</f>
        <v/>
      </c>
      <c r="F273" s="4" t="str">
        <f t="shared" si="4"/>
        <v/>
      </c>
      <c r="G273" s="363" t="str">
        <f>IF(E273="","",IFERROR(VLOOKUP(E273,Codes!$L$2:$N$409,3,FALSE),"—"))</f>
        <v/>
      </c>
      <c r="H273" s="88"/>
      <c r="I273" s="88"/>
    </row>
    <row r="274" spans="1:9" ht="13.15" x14ac:dyDescent="0.35">
      <c r="A274" s="434"/>
      <c r="B274" s="436"/>
      <c r="C274" s="439"/>
      <c r="D274" s="434"/>
      <c r="E274" s="93" t="str" cm="1">
        <f t="array" ref="E274">IF(D274&lt;&gt;"",IFERROR(VLOOKUP(D274,Codes!$K$2:$L$409,2,FALSE),"UNKNOWN - "&amp;D274),IF(C274="","",IFERROR(_xlfn.IFS(ISNUMBER(SEARCH("broken button",C274)),"Break",ISNUMBER(SEARCH("broken handle",C274)),"Break",ISNUMBER(SEARCH("shipping damage",C274)),"Break",ISNUMBER(SEARCH("broken",C274)),"Break",ISNUMBER(SEARCH("crack",C274)),"Break",ISNUMBER(SEARCH("snap",C274)),"Break",ISNUMBER(SEARCH("fracture",C274)),"Break",ISNUMBER(SEARCH("bent",C274)),"Material Twisted/Bent",ISNUMBER(SEARCH("twisted",C274)),"Material Twisted/Bent",ISNUMBER(SEARCH("component separat",C274)),"Material Separation",ISNUMBER(SEARCH("separat",C274)),"Material Separation",ISNUMBER(SEARCH("connection",C274)),"Loose or Intermittent Connection",ISNUMBER(SEARCH("loose",C274)),"Loose or Intermittent Connection",ISNUMBER(SEARCH("damaged packaging",C274)),"Packaging Problem",ISNUMBER(SEARCH("packaging",C274)),"Packaging Problem",ISNUMBER(SEARCH("discoloration",C274)),"Contamination",ISNUMBER(SEARCH("tarnish",C274)),"Contamination",ISNUMBER(SEARCH("stain",C274)),"Contamination",ISNUMBER(SEARCH("foreign material",C274)),"Contamination",ISNUMBER(SEARCH("contamina",C274)),"Contamination",ISNUMBER(SEARCH("overheat",C274)),"Overheating of Device",ISNUMBER(SEARCH("excessive heat",C274)),"Overheating of Device",ISNUMBER(SEARCH("hot",C274)),"Overheating of Device",ISNUMBER(SEARCH("noise",C274)),"Noise, Audible",ISNUMBER(SEARCH("sound",C274)),"Noise, Audible",ISNUMBER(SEARCH("loud",C274)),"Noise, Audible",ISNUMBER(SEARCH("fray",C274)),"Material Frayed",ISNUMBER(SEARCH("hole",C274)),"Material Frayed",ISNUMBER(SEARCH("tear",C274)),"Material Frayed",ISNUMBER(SEARCH("worn",C274)),"Material Frayed",ISNUMBER(SEARCH("intermittent",C274)),"Difficult or Delayed Activation",ISNUMBER(SEARCH("delay",C274)),"Difficult or Delayed Activation",ISNUMBER(SEARCH("label",C274)),"Device Markings/Labelling Problem",ISNUMBER(SEARCH("marking",C274)),"Device Markings/Labelling Problem",ISNUMBER(SEARCH("lacerat",C274)),"Defective Device",ISNUMBER(SEARCH("cut",C274)),"Defective Device",ISNUMBER(SEARCH("leak",C274)),"Fluid/Blood Leak",ISNUMBER(SEARCH("missing",C274)),"Component Missing",ISNUMBER(SEARCH("power",C274)),"Complete Loss of Power",ISNUMBER(SEARCH("will not turn on",C274)),"Complete Loss of Power",ISNUMBER(SEARCH("won't turn on",C274)),"Complete Loss of Power",ISNUMBER(SEARCH("does not turn on",C274)),"Complete Loss of Power",ISNUMBER(SEARCH("electrical",C274)),"Electrical Power Problem",ISNUMBER(SEARCH("pressure",C274)),"Detachment of Device or Device Component",ISNUMBER(SEARCH("slip",C274)),"Detachment of Device or Device Component",ISNUMBER(SEARCH("detach",C274)),"Detachment of Device or Device Component",ISNUMBER(SEARCH("stick",C274)),"Mechanical Jam",ISNUMBER(SEARCH("jam",C274)),"Mechanical Jam",ISNUMBER(SEARCH("rigid",C274)),"Mechanical Jam",ISNUMBER(SEARCH("rust",C274)),"Corroded",ISNUMBER(SEARCH("corrod",C274)),"Corroded",ISNUMBER(SEARCH("corrosion",C274)),"Corroded",ISNUMBER(SEARCH("alignment",C274)),"Defective Device",ISNUMBER(SEARCH("adjust",C274)),"Defective Device",ISNUMBER(SEARCH("perform",C274)),"Defective Device",ISNUMBER(SEARCH("malfunction",C274)),"Defective Device",ISNUMBER(SEARCH("defect",C274)),"Defective Device",ISNUMBER(SEARCH("fail",C274)),"Defective Device",ISNUMBER(SEARCH("not work",C274)),"Defective Device",ISNUMBER(SEARCH("doesn't work",C274)),"Defective Device",TRUE,"UNKNOWN"),"UNKNOWN")))</f>
        <v/>
      </c>
      <c r="F274" s="4" t="str">
        <f t="shared" si="4"/>
        <v/>
      </c>
      <c r="G274" s="363" t="str">
        <f>IF(E274="","",IFERROR(VLOOKUP(E274,Codes!$L$2:$N$409,3,FALSE),"—"))</f>
        <v/>
      </c>
      <c r="H274" s="88"/>
      <c r="I274" s="88"/>
    </row>
    <row r="275" spans="1:9" ht="13.15" x14ac:dyDescent="0.35">
      <c r="A275" s="434"/>
      <c r="B275" s="436"/>
      <c r="C275" s="437"/>
      <c r="D275" s="434"/>
      <c r="E275" s="93" t="str" cm="1">
        <f t="array" ref="E275">IF(D275&lt;&gt;"",IFERROR(VLOOKUP(D275,Codes!$K$2:$L$409,2,FALSE),"UNKNOWN - "&amp;D275),IF(C275="","",IFERROR(_xlfn.IFS(ISNUMBER(SEARCH("broken button",C275)),"Break",ISNUMBER(SEARCH("broken handle",C275)),"Break",ISNUMBER(SEARCH("shipping damage",C275)),"Break",ISNUMBER(SEARCH("broken",C275)),"Break",ISNUMBER(SEARCH("crack",C275)),"Break",ISNUMBER(SEARCH("snap",C275)),"Break",ISNUMBER(SEARCH("fracture",C275)),"Break",ISNUMBER(SEARCH("bent",C275)),"Material Twisted/Bent",ISNUMBER(SEARCH("twisted",C275)),"Material Twisted/Bent",ISNUMBER(SEARCH("component separat",C275)),"Material Separation",ISNUMBER(SEARCH("separat",C275)),"Material Separation",ISNUMBER(SEARCH("connection",C275)),"Loose or Intermittent Connection",ISNUMBER(SEARCH("loose",C275)),"Loose or Intermittent Connection",ISNUMBER(SEARCH("damaged packaging",C275)),"Packaging Problem",ISNUMBER(SEARCH("packaging",C275)),"Packaging Problem",ISNUMBER(SEARCH("discoloration",C275)),"Contamination",ISNUMBER(SEARCH("tarnish",C275)),"Contamination",ISNUMBER(SEARCH("stain",C275)),"Contamination",ISNUMBER(SEARCH("foreign material",C275)),"Contamination",ISNUMBER(SEARCH("contamina",C275)),"Contamination",ISNUMBER(SEARCH("overheat",C275)),"Overheating of Device",ISNUMBER(SEARCH("excessive heat",C275)),"Overheating of Device",ISNUMBER(SEARCH("hot",C275)),"Overheating of Device",ISNUMBER(SEARCH("noise",C275)),"Noise, Audible",ISNUMBER(SEARCH("sound",C275)),"Noise, Audible",ISNUMBER(SEARCH("loud",C275)),"Noise, Audible",ISNUMBER(SEARCH("fray",C275)),"Material Frayed",ISNUMBER(SEARCH("hole",C275)),"Material Frayed",ISNUMBER(SEARCH("tear",C275)),"Material Frayed",ISNUMBER(SEARCH("worn",C275)),"Material Frayed",ISNUMBER(SEARCH("intermittent",C275)),"Difficult or Delayed Activation",ISNUMBER(SEARCH("delay",C275)),"Difficult or Delayed Activation",ISNUMBER(SEARCH("label",C275)),"Device Markings/Labelling Problem",ISNUMBER(SEARCH("marking",C275)),"Device Markings/Labelling Problem",ISNUMBER(SEARCH("lacerat",C275)),"Defective Device",ISNUMBER(SEARCH("cut",C275)),"Defective Device",ISNUMBER(SEARCH("leak",C275)),"Fluid/Blood Leak",ISNUMBER(SEARCH("missing",C275)),"Component Missing",ISNUMBER(SEARCH("power",C275)),"Complete Loss of Power",ISNUMBER(SEARCH("will not turn on",C275)),"Complete Loss of Power",ISNUMBER(SEARCH("won't turn on",C275)),"Complete Loss of Power",ISNUMBER(SEARCH("does not turn on",C275)),"Complete Loss of Power",ISNUMBER(SEARCH("electrical",C275)),"Electrical Power Problem",ISNUMBER(SEARCH("pressure",C275)),"Detachment of Device or Device Component",ISNUMBER(SEARCH("slip",C275)),"Detachment of Device or Device Component",ISNUMBER(SEARCH("detach",C275)),"Detachment of Device or Device Component",ISNUMBER(SEARCH("stick",C275)),"Mechanical Jam",ISNUMBER(SEARCH("jam",C275)),"Mechanical Jam",ISNUMBER(SEARCH("rigid",C275)),"Mechanical Jam",ISNUMBER(SEARCH("rust",C275)),"Corroded",ISNUMBER(SEARCH("corrod",C275)),"Corroded",ISNUMBER(SEARCH("corrosion",C275)),"Corroded",ISNUMBER(SEARCH("alignment",C275)),"Defective Device",ISNUMBER(SEARCH("adjust",C275)),"Defective Device",ISNUMBER(SEARCH("perform",C275)),"Defective Device",ISNUMBER(SEARCH("malfunction",C275)),"Defective Device",ISNUMBER(SEARCH("defect",C275)),"Defective Device",ISNUMBER(SEARCH("fail",C275)),"Defective Device",ISNUMBER(SEARCH("not work",C275)),"Defective Device",ISNUMBER(SEARCH("doesn't work",C275)),"Defective Device",TRUE,"UNKNOWN"),"UNKNOWN")))</f>
        <v/>
      </c>
      <c r="F275" s="4" t="str">
        <f t="shared" si="4"/>
        <v/>
      </c>
      <c r="G275" s="363" t="str">
        <f>IF(E275="","",IFERROR(VLOOKUP(E275,Codes!$L$2:$N$409,3,FALSE),"—"))</f>
        <v/>
      </c>
      <c r="H275" s="88"/>
      <c r="I275" s="88"/>
    </row>
    <row r="276" spans="1:9" ht="13.15" x14ac:dyDescent="0.35">
      <c r="A276" s="435"/>
      <c r="B276" s="436"/>
      <c r="C276" s="438"/>
      <c r="D276" s="435"/>
      <c r="E276" s="93" t="str" cm="1">
        <f t="array" ref="E276">IF(D276&lt;&gt;"",IFERROR(VLOOKUP(D276,Codes!$K$2:$L$409,2,FALSE),"UNKNOWN - "&amp;D276),IF(C276="","",IFERROR(_xlfn.IFS(ISNUMBER(SEARCH("broken button",C276)),"Break",ISNUMBER(SEARCH("broken handle",C276)),"Break",ISNUMBER(SEARCH("shipping damage",C276)),"Break",ISNUMBER(SEARCH("broken",C276)),"Break",ISNUMBER(SEARCH("crack",C276)),"Break",ISNUMBER(SEARCH("snap",C276)),"Break",ISNUMBER(SEARCH("fracture",C276)),"Break",ISNUMBER(SEARCH("bent",C276)),"Material Twisted/Bent",ISNUMBER(SEARCH("twisted",C276)),"Material Twisted/Bent",ISNUMBER(SEARCH("component separat",C276)),"Material Separation",ISNUMBER(SEARCH("separat",C276)),"Material Separation",ISNUMBER(SEARCH("connection",C276)),"Loose or Intermittent Connection",ISNUMBER(SEARCH("loose",C276)),"Loose or Intermittent Connection",ISNUMBER(SEARCH("damaged packaging",C276)),"Packaging Problem",ISNUMBER(SEARCH("packaging",C276)),"Packaging Problem",ISNUMBER(SEARCH("discoloration",C276)),"Contamination",ISNUMBER(SEARCH("tarnish",C276)),"Contamination",ISNUMBER(SEARCH("stain",C276)),"Contamination",ISNUMBER(SEARCH("foreign material",C276)),"Contamination",ISNUMBER(SEARCH("contamina",C276)),"Contamination",ISNUMBER(SEARCH("overheat",C276)),"Overheating of Device",ISNUMBER(SEARCH("excessive heat",C276)),"Overheating of Device",ISNUMBER(SEARCH("hot",C276)),"Overheating of Device",ISNUMBER(SEARCH("noise",C276)),"Noise, Audible",ISNUMBER(SEARCH("sound",C276)),"Noise, Audible",ISNUMBER(SEARCH("loud",C276)),"Noise, Audible",ISNUMBER(SEARCH("fray",C276)),"Material Frayed",ISNUMBER(SEARCH("hole",C276)),"Material Frayed",ISNUMBER(SEARCH("tear",C276)),"Material Frayed",ISNUMBER(SEARCH("worn",C276)),"Material Frayed",ISNUMBER(SEARCH("intermittent",C276)),"Difficult or Delayed Activation",ISNUMBER(SEARCH("delay",C276)),"Difficult or Delayed Activation",ISNUMBER(SEARCH("label",C276)),"Device Markings/Labelling Problem",ISNUMBER(SEARCH("marking",C276)),"Device Markings/Labelling Problem",ISNUMBER(SEARCH("lacerat",C276)),"Defective Device",ISNUMBER(SEARCH("cut",C276)),"Defective Device",ISNUMBER(SEARCH("leak",C276)),"Fluid/Blood Leak",ISNUMBER(SEARCH("missing",C276)),"Component Missing",ISNUMBER(SEARCH("power",C276)),"Complete Loss of Power",ISNUMBER(SEARCH("will not turn on",C276)),"Complete Loss of Power",ISNUMBER(SEARCH("won't turn on",C276)),"Complete Loss of Power",ISNUMBER(SEARCH("does not turn on",C276)),"Complete Loss of Power",ISNUMBER(SEARCH("electrical",C276)),"Electrical Power Problem",ISNUMBER(SEARCH("pressure",C276)),"Detachment of Device or Device Component",ISNUMBER(SEARCH("slip",C276)),"Detachment of Device or Device Component",ISNUMBER(SEARCH("detach",C276)),"Detachment of Device or Device Component",ISNUMBER(SEARCH("stick",C276)),"Mechanical Jam",ISNUMBER(SEARCH("jam",C276)),"Mechanical Jam",ISNUMBER(SEARCH("rigid",C276)),"Mechanical Jam",ISNUMBER(SEARCH("rust",C276)),"Corroded",ISNUMBER(SEARCH("corrod",C276)),"Corroded",ISNUMBER(SEARCH("corrosion",C276)),"Corroded",ISNUMBER(SEARCH("alignment",C276)),"Defective Device",ISNUMBER(SEARCH("adjust",C276)),"Defective Device",ISNUMBER(SEARCH("perform",C276)),"Defective Device",ISNUMBER(SEARCH("malfunction",C276)),"Defective Device",ISNUMBER(SEARCH("defect",C276)),"Defective Device",ISNUMBER(SEARCH("fail",C276)),"Defective Device",ISNUMBER(SEARCH("not work",C276)),"Defective Device",ISNUMBER(SEARCH("doesn't work",C276)),"Defective Device",TRUE,"UNKNOWN"),"UNKNOWN")))</f>
        <v/>
      </c>
      <c r="F276" s="4" t="str">
        <f t="shared" si="4"/>
        <v/>
      </c>
      <c r="G276" s="363" t="str">
        <f>IF(E276="","",IFERROR(VLOOKUP(E276,Codes!$L$2:$N$409,3,FALSE),"—"))</f>
        <v/>
      </c>
      <c r="H276" s="88"/>
      <c r="I276" s="88"/>
    </row>
    <row r="277" spans="1:9" ht="13.15" x14ac:dyDescent="0.35">
      <c r="A277" s="435"/>
      <c r="B277" s="436"/>
      <c r="C277" s="438"/>
      <c r="D277" s="435"/>
      <c r="E277" s="93" t="str" cm="1">
        <f t="array" ref="E277">IF(D277&lt;&gt;"",IFERROR(VLOOKUP(D277,Codes!$K$2:$L$409,2,FALSE),"UNKNOWN - "&amp;D277),IF(C277="","",IFERROR(_xlfn.IFS(ISNUMBER(SEARCH("broken button",C277)),"Break",ISNUMBER(SEARCH("broken handle",C277)),"Break",ISNUMBER(SEARCH("shipping damage",C277)),"Break",ISNUMBER(SEARCH("broken",C277)),"Break",ISNUMBER(SEARCH("crack",C277)),"Break",ISNUMBER(SEARCH("snap",C277)),"Break",ISNUMBER(SEARCH("fracture",C277)),"Break",ISNUMBER(SEARCH("bent",C277)),"Material Twisted/Bent",ISNUMBER(SEARCH("twisted",C277)),"Material Twisted/Bent",ISNUMBER(SEARCH("component separat",C277)),"Material Separation",ISNUMBER(SEARCH("separat",C277)),"Material Separation",ISNUMBER(SEARCH("connection",C277)),"Loose or Intermittent Connection",ISNUMBER(SEARCH("loose",C277)),"Loose or Intermittent Connection",ISNUMBER(SEARCH("damaged packaging",C277)),"Packaging Problem",ISNUMBER(SEARCH("packaging",C277)),"Packaging Problem",ISNUMBER(SEARCH("discoloration",C277)),"Contamination",ISNUMBER(SEARCH("tarnish",C277)),"Contamination",ISNUMBER(SEARCH("stain",C277)),"Contamination",ISNUMBER(SEARCH("foreign material",C277)),"Contamination",ISNUMBER(SEARCH("contamina",C277)),"Contamination",ISNUMBER(SEARCH("overheat",C277)),"Overheating of Device",ISNUMBER(SEARCH("excessive heat",C277)),"Overheating of Device",ISNUMBER(SEARCH("hot",C277)),"Overheating of Device",ISNUMBER(SEARCH("noise",C277)),"Noise, Audible",ISNUMBER(SEARCH("sound",C277)),"Noise, Audible",ISNUMBER(SEARCH("loud",C277)),"Noise, Audible",ISNUMBER(SEARCH("fray",C277)),"Material Frayed",ISNUMBER(SEARCH("hole",C277)),"Material Frayed",ISNUMBER(SEARCH("tear",C277)),"Material Frayed",ISNUMBER(SEARCH("worn",C277)),"Material Frayed",ISNUMBER(SEARCH("intermittent",C277)),"Difficult or Delayed Activation",ISNUMBER(SEARCH("delay",C277)),"Difficult or Delayed Activation",ISNUMBER(SEARCH("label",C277)),"Device Markings/Labelling Problem",ISNUMBER(SEARCH("marking",C277)),"Device Markings/Labelling Problem",ISNUMBER(SEARCH("lacerat",C277)),"Defective Device",ISNUMBER(SEARCH("cut",C277)),"Defective Device",ISNUMBER(SEARCH("leak",C277)),"Fluid/Blood Leak",ISNUMBER(SEARCH("missing",C277)),"Component Missing",ISNUMBER(SEARCH("power",C277)),"Complete Loss of Power",ISNUMBER(SEARCH("will not turn on",C277)),"Complete Loss of Power",ISNUMBER(SEARCH("won't turn on",C277)),"Complete Loss of Power",ISNUMBER(SEARCH("does not turn on",C277)),"Complete Loss of Power",ISNUMBER(SEARCH("electrical",C277)),"Electrical Power Problem",ISNUMBER(SEARCH("pressure",C277)),"Detachment of Device or Device Component",ISNUMBER(SEARCH("slip",C277)),"Detachment of Device or Device Component",ISNUMBER(SEARCH("detach",C277)),"Detachment of Device or Device Component",ISNUMBER(SEARCH("stick",C277)),"Mechanical Jam",ISNUMBER(SEARCH("jam",C277)),"Mechanical Jam",ISNUMBER(SEARCH("rigid",C277)),"Mechanical Jam",ISNUMBER(SEARCH("rust",C277)),"Corroded",ISNUMBER(SEARCH("corrod",C277)),"Corroded",ISNUMBER(SEARCH("corrosion",C277)),"Corroded",ISNUMBER(SEARCH("alignment",C277)),"Defective Device",ISNUMBER(SEARCH("adjust",C277)),"Defective Device",ISNUMBER(SEARCH("perform",C277)),"Defective Device",ISNUMBER(SEARCH("malfunction",C277)),"Defective Device",ISNUMBER(SEARCH("defect",C277)),"Defective Device",ISNUMBER(SEARCH("fail",C277)),"Defective Device",ISNUMBER(SEARCH("not work",C277)),"Defective Device",ISNUMBER(SEARCH("doesn't work",C277)),"Defective Device",TRUE,"UNKNOWN"),"UNKNOWN")))</f>
        <v/>
      </c>
      <c r="F277" s="4" t="str">
        <f t="shared" si="4"/>
        <v/>
      </c>
      <c r="G277" s="363" t="str">
        <f>IF(E277="","",IFERROR(VLOOKUP(E277,Codes!$L$2:$N$409,3,FALSE),"—"))</f>
        <v/>
      </c>
      <c r="H277" s="88"/>
      <c r="I277" s="88"/>
    </row>
    <row r="278" spans="1:9" ht="13.15" x14ac:dyDescent="0.35">
      <c r="A278" s="435"/>
      <c r="B278" s="436"/>
      <c r="C278" s="438"/>
      <c r="D278" s="435"/>
      <c r="E278" s="93" t="str" cm="1">
        <f t="array" ref="E278">IF(D278&lt;&gt;"",IFERROR(VLOOKUP(D278,Codes!$K$2:$L$409,2,FALSE),"UNKNOWN - "&amp;D278),IF(C278="","",IFERROR(_xlfn.IFS(ISNUMBER(SEARCH("broken button",C278)),"Break",ISNUMBER(SEARCH("broken handle",C278)),"Break",ISNUMBER(SEARCH("shipping damage",C278)),"Break",ISNUMBER(SEARCH("broken",C278)),"Break",ISNUMBER(SEARCH("crack",C278)),"Break",ISNUMBER(SEARCH("snap",C278)),"Break",ISNUMBER(SEARCH("fracture",C278)),"Break",ISNUMBER(SEARCH("bent",C278)),"Material Twisted/Bent",ISNUMBER(SEARCH("twisted",C278)),"Material Twisted/Bent",ISNUMBER(SEARCH("component separat",C278)),"Material Separation",ISNUMBER(SEARCH("separat",C278)),"Material Separation",ISNUMBER(SEARCH("connection",C278)),"Loose or Intermittent Connection",ISNUMBER(SEARCH("loose",C278)),"Loose or Intermittent Connection",ISNUMBER(SEARCH("damaged packaging",C278)),"Packaging Problem",ISNUMBER(SEARCH("packaging",C278)),"Packaging Problem",ISNUMBER(SEARCH("discoloration",C278)),"Contamination",ISNUMBER(SEARCH("tarnish",C278)),"Contamination",ISNUMBER(SEARCH("stain",C278)),"Contamination",ISNUMBER(SEARCH("foreign material",C278)),"Contamination",ISNUMBER(SEARCH("contamina",C278)),"Contamination",ISNUMBER(SEARCH("overheat",C278)),"Overheating of Device",ISNUMBER(SEARCH("excessive heat",C278)),"Overheating of Device",ISNUMBER(SEARCH("hot",C278)),"Overheating of Device",ISNUMBER(SEARCH("noise",C278)),"Noise, Audible",ISNUMBER(SEARCH("sound",C278)),"Noise, Audible",ISNUMBER(SEARCH("loud",C278)),"Noise, Audible",ISNUMBER(SEARCH("fray",C278)),"Material Frayed",ISNUMBER(SEARCH("hole",C278)),"Material Frayed",ISNUMBER(SEARCH("tear",C278)),"Material Frayed",ISNUMBER(SEARCH("worn",C278)),"Material Frayed",ISNUMBER(SEARCH("intermittent",C278)),"Difficult or Delayed Activation",ISNUMBER(SEARCH("delay",C278)),"Difficult or Delayed Activation",ISNUMBER(SEARCH("label",C278)),"Device Markings/Labelling Problem",ISNUMBER(SEARCH("marking",C278)),"Device Markings/Labelling Problem",ISNUMBER(SEARCH("lacerat",C278)),"Defective Device",ISNUMBER(SEARCH("cut",C278)),"Defective Device",ISNUMBER(SEARCH("leak",C278)),"Fluid/Blood Leak",ISNUMBER(SEARCH("missing",C278)),"Component Missing",ISNUMBER(SEARCH("power",C278)),"Complete Loss of Power",ISNUMBER(SEARCH("will not turn on",C278)),"Complete Loss of Power",ISNUMBER(SEARCH("won't turn on",C278)),"Complete Loss of Power",ISNUMBER(SEARCH("does not turn on",C278)),"Complete Loss of Power",ISNUMBER(SEARCH("electrical",C278)),"Electrical Power Problem",ISNUMBER(SEARCH("pressure",C278)),"Detachment of Device or Device Component",ISNUMBER(SEARCH("slip",C278)),"Detachment of Device or Device Component",ISNUMBER(SEARCH("detach",C278)),"Detachment of Device or Device Component",ISNUMBER(SEARCH("stick",C278)),"Mechanical Jam",ISNUMBER(SEARCH("jam",C278)),"Mechanical Jam",ISNUMBER(SEARCH("rigid",C278)),"Mechanical Jam",ISNUMBER(SEARCH("rust",C278)),"Corroded",ISNUMBER(SEARCH("corrod",C278)),"Corroded",ISNUMBER(SEARCH("corrosion",C278)),"Corroded",ISNUMBER(SEARCH("alignment",C278)),"Defective Device",ISNUMBER(SEARCH("adjust",C278)),"Defective Device",ISNUMBER(SEARCH("perform",C278)),"Defective Device",ISNUMBER(SEARCH("malfunction",C278)),"Defective Device",ISNUMBER(SEARCH("defect",C278)),"Defective Device",ISNUMBER(SEARCH("fail",C278)),"Defective Device",ISNUMBER(SEARCH("not work",C278)),"Defective Device",ISNUMBER(SEARCH("doesn't work",C278)),"Defective Device",TRUE,"UNKNOWN"),"UNKNOWN")))</f>
        <v/>
      </c>
      <c r="F278" s="4" t="str">
        <f t="shared" si="4"/>
        <v/>
      </c>
      <c r="G278" s="363" t="str">
        <f>IF(E278="","",IFERROR(VLOOKUP(E278,Codes!$L$2:$N$409,3,FALSE),"—"))</f>
        <v/>
      </c>
      <c r="H278" s="88"/>
      <c r="I278" s="88"/>
    </row>
    <row r="279" spans="1:9" ht="13.15" x14ac:dyDescent="0.35">
      <c r="A279" s="435"/>
      <c r="B279" s="436"/>
      <c r="C279" s="438"/>
      <c r="D279" s="435"/>
      <c r="E279" s="93" t="str" cm="1">
        <f t="array" ref="E279">IF(D279&lt;&gt;"",IFERROR(VLOOKUP(D279,Codes!$K$2:$L$409,2,FALSE),"UNKNOWN - "&amp;D279),IF(C279="","",IFERROR(_xlfn.IFS(ISNUMBER(SEARCH("broken button",C279)),"Break",ISNUMBER(SEARCH("broken handle",C279)),"Break",ISNUMBER(SEARCH("shipping damage",C279)),"Break",ISNUMBER(SEARCH("broken",C279)),"Break",ISNUMBER(SEARCH("crack",C279)),"Break",ISNUMBER(SEARCH("snap",C279)),"Break",ISNUMBER(SEARCH("fracture",C279)),"Break",ISNUMBER(SEARCH("bent",C279)),"Material Twisted/Bent",ISNUMBER(SEARCH("twisted",C279)),"Material Twisted/Bent",ISNUMBER(SEARCH("component separat",C279)),"Material Separation",ISNUMBER(SEARCH("separat",C279)),"Material Separation",ISNUMBER(SEARCH("connection",C279)),"Loose or Intermittent Connection",ISNUMBER(SEARCH("loose",C279)),"Loose or Intermittent Connection",ISNUMBER(SEARCH("damaged packaging",C279)),"Packaging Problem",ISNUMBER(SEARCH("packaging",C279)),"Packaging Problem",ISNUMBER(SEARCH("discoloration",C279)),"Contamination",ISNUMBER(SEARCH("tarnish",C279)),"Contamination",ISNUMBER(SEARCH("stain",C279)),"Contamination",ISNUMBER(SEARCH("foreign material",C279)),"Contamination",ISNUMBER(SEARCH("contamina",C279)),"Contamination",ISNUMBER(SEARCH("overheat",C279)),"Overheating of Device",ISNUMBER(SEARCH("excessive heat",C279)),"Overheating of Device",ISNUMBER(SEARCH("hot",C279)),"Overheating of Device",ISNUMBER(SEARCH("noise",C279)),"Noise, Audible",ISNUMBER(SEARCH("sound",C279)),"Noise, Audible",ISNUMBER(SEARCH("loud",C279)),"Noise, Audible",ISNUMBER(SEARCH("fray",C279)),"Material Frayed",ISNUMBER(SEARCH("hole",C279)),"Material Frayed",ISNUMBER(SEARCH("tear",C279)),"Material Frayed",ISNUMBER(SEARCH("worn",C279)),"Material Frayed",ISNUMBER(SEARCH("intermittent",C279)),"Difficult or Delayed Activation",ISNUMBER(SEARCH("delay",C279)),"Difficult or Delayed Activation",ISNUMBER(SEARCH("label",C279)),"Device Markings/Labelling Problem",ISNUMBER(SEARCH("marking",C279)),"Device Markings/Labelling Problem",ISNUMBER(SEARCH("lacerat",C279)),"Defective Device",ISNUMBER(SEARCH("cut",C279)),"Defective Device",ISNUMBER(SEARCH("leak",C279)),"Fluid/Blood Leak",ISNUMBER(SEARCH("missing",C279)),"Component Missing",ISNUMBER(SEARCH("power",C279)),"Complete Loss of Power",ISNUMBER(SEARCH("will not turn on",C279)),"Complete Loss of Power",ISNUMBER(SEARCH("won't turn on",C279)),"Complete Loss of Power",ISNUMBER(SEARCH("does not turn on",C279)),"Complete Loss of Power",ISNUMBER(SEARCH("electrical",C279)),"Electrical Power Problem",ISNUMBER(SEARCH("pressure",C279)),"Detachment of Device or Device Component",ISNUMBER(SEARCH("slip",C279)),"Detachment of Device or Device Component",ISNUMBER(SEARCH("detach",C279)),"Detachment of Device or Device Component",ISNUMBER(SEARCH("stick",C279)),"Mechanical Jam",ISNUMBER(SEARCH("jam",C279)),"Mechanical Jam",ISNUMBER(SEARCH("rigid",C279)),"Mechanical Jam",ISNUMBER(SEARCH("rust",C279)),"Corroded",ISNUMBER(SEARCH("corrod",C279)),"Corroded",ISNUMBER(SEARCH("corrosion",C279)),"Corroded",ISNUMBER(SEARCH("alignment",C279)),"Defective Device",ISNUMBER(SEARCH("adjust",C279)),"Defective Device",ISNUMBER(SEARCH("perform",C279)),"Defective Device",ISNUMBER(SEARCH("malfunction",C279)),"Defective Device",ISNUMBER(SEARCH("defect",C279)),"Defective Device",ISNUMBER(SEARCH("fail",C279)),"Defective Device",ISNUMBER(SEARCH("not work",C279)),"Defective Device",ISNUMBER(SEARCH("doesn't work",C279)),"Defective Device",TRUE,"UNKNOWN"),"UNKNOWN")))</f>
        <v/>
      </c>
      <c r="F279" s="4" t="str">
        <f t="shared" si="4"/>
        <v/>
      </c>
      <c r="G279" s="363" t="str">
        <f>IF(E279="","",IFERROR(VLOOKUP(E279,Codes!$L$2:$N$409,3,FALSE),"—"))</f>
        <v/>
      </c>
      <c r="H279" s="88"/>
      <c r="I279" s="88"/>
    </row>
    <row r="280" spans="1:9" ht="13.15" x14ac:dyDescent="0.35">
      <c r="A280" s="434"/>
      <c r="B280" s="436"/>
      <c r="C280" s="437"/>
      <c r="D280" s="434"/>
      <c r="E280" s="93" t="str" cm="1">
        <f t="array" ref="E280">IF(D280&lt;&gt;"",IFERROR(VLOOKUP(D280,Codes!$K$2:$L$409,2,FALSE),"UNKNOWN - "&amp;D280),IF(C280="","",IFERROR(_xlfn.IFS(ISNUMBER(SEARCH("broken button",C280)),"Break",ISNUMBER(SEARCH("broken handle",C280)),"Break",ISNUMBER(SEARCH("shipping damage",C280)),"Break",ISNUMBER(SEARCH("broken",C280)),"Break",ISNUMBER(SEARCH("crack",C280)),"Break",ISNUMBER(SEARCH("snap",C280)),"Break",ISNUMBER(SEARCH("fracture",C280)),"Break",ISNUMBER(SEARCH("bent",C280)),"Material Twisted/Bent",ISNUMBER(SEARCH("twisted",C280)),"Material Twisted/Bent",ISNUMBER(SEARCH("component separat",C280)),"Material Separation",ISNUMBER(SEARCH("separat",C280)),"Material Separation",ISNUMBER(SEARCH("connection",C280)),"Loose or Intermittent Connection",ISNUMBER(SEARCH("loose",C280)),"Loose or Intermittent Connection",ISNUMBER(SEARCH("damaged packaging",C280)),"Packaging Problem",ISNUMBER(SEARCH("packaging",C280)),"Packaging Problem",ISNUMBER(SEARCH("discoloration",C280)),"Contamination",ISNUMBER(SEARCH("tarnish",C280)),"Contamination",ISNUMBER(SEARCH("stain",C280)),"Contamination",ISNUMBER(SEARCH("foreign material",C280)),"Contamination",ISNUMBER(SEARCH("contamina",C280)),"Contamination",ISNUMBER(SEARCH("overheat",C280)),"Overheating of Device",ISNUMBER(SEARCH("excessive heat",C280)),"Overheating of Device",ISNUMBER(SEARCH("hot",C280)),"Overheating of Device",ISNUMBER(SEARCH("noise",C280)),"Noise, Audible",ISNUMBER(SEARCH("sound",C280)),"Noise, Audible",ISNUMBER(SEARCH("loud",C280)),"Noise, Audible",ISNUMBER(SEARCH("fray",C280)),"Material Frayed",ISNUMBER(SEARCH("hole",C280)),"Material Frayed",ISNUMBER(SEARCH("tear",C280)),"Material Frayed",ISNUMBER(SEARCH("worn",C280)),"Material Frayed",ISNUMBER(SEARCH("intermittent",C280)),"Difficult or Delayed Activation",ISNUMBER(SEARCH("delay",C280)),"Difficult or Delayed Activation",ISNUMBER(SEARCH("label",C280)),"Device Markings/Labelling Problem",ISNUMBER(SEARCH("marking",C280)),"Device Markings/Labelling Problem",ISNUMBER(SEARCH("lacerat",C280)),"Defective Device",ISNUMBER(SEARCH("cut",C280)),"Defective Device",ISNUMBER(SEARCH("leak",C280)),"Fluid/Blood Leak",ISNUMBER(SEARCH("missing",C280)),"Component Missing",ISNUMBER(SEARCH("power",C280)),"Complete Loss of Power",ISNUMBER(SEARCH("will not turn on",C280)),"Complete Loss of Power",ISNUMBER(SEARCH("won't turn on",C280)),"Complete Loss of Power",ISNUMBER(SEARCH("does not turn on",C280)),"Complete Loss of Power",ISNUMBER(SEARCH("electrical",C280)),"Electrical Power Problem",ISNUMBER(SEARCH("pressure",C280)),"Detachment of Device or Device Component",ISNUMBER(SEARCH("slip",C280)),"Detachment of Device or Device Component",ISNUMBER(SEARCH("detach",C280)),"Detachment of Device or Device Component",ISNUMBER(SEARCH("stick",C280)),"Mechanical Jam",ISNUMBER(SEARCH("jam",C280)),"Mechanical Jam",ISNUMBER(SEARCH("rigid",C280)),"Mechanical Jam",ISNUMBER(SEARCH("rust",C280)),"Corroded",ISNUMBER(SEARCH("corrod",C280)),"Corroded",ISNUMBER(SEARCH("corrosion",C280)),"Corroded",ISNUMBER(SEARCH("alignment",C280)),"Defective Device",ISNUMBER(SEARCH("adjust",C280)),"Defective Device",ISNUMBER(SEARCH("perform",C280)),"Defective Device",ISNUMBER(SEARCH("malfunction",C280)),"Defective Device",ISNUMBER(SEARCH("defect",C280)),"Defective Device",ISNUMBER(SEARCH("fail",C280)),"Defective Device",ISNUMBER(SEARCH("not work",C280)),"Defective Device",ISNUMBER(SEARCH("doesn't work",C280)),"Defective Device",TRUE,"UNKNOWN"),"UNKNOWN")))</f>
        <v/>
      </c>
      <c r="F280" s="4" t="str">
        <f t="shared" si="4"/>
        <v/>
      </c>
      <c r="G280" s="363" t="str">
        <f>IF(E280="","",IFERROR(VLOOKUP(E280,Codes!$L$2:$N$409,3,FALSE),"—"))</f>
        <v/>
      </c>
      <c r="H280" s="88"/>
      <c r="I280" s="88"/>
    </row>
    <row r="281" spans="1:9" ht="13.15" x14ac:dyDescent="0.35">
      <c r="A281" s="435"/>
      <c r="B281" s="436"/>
      <c r="C281" s="438"/>
      <c r="D281" s="435"/>
      <c r="E281" s="93" t="str" cm="1">
        <f t="array" ref="E281">IF(D281&lt;&gt;"",IFERROR(VLOOKUP(D281,Codes!$K$2:$L$409,2,FALSE),"UNKNOWN - "&amp;D281),IF(C281="","",IFERROR(_xlfn.IFS(ISNUMBER(SEARCH("broken button",C281)),"Break",ISNUMBER(SEARCH("broken handle",C281)),"Break",ISNUMBER(SEARCH("shipping damage",C281)),"Break",ISNUMBER(SEARCH("broken",C281)),"Break",ISNUMBER(SEARCH("crack",C281)),"Break",ISNUMBER(SEARCH("snap",C281)),"Break",ISNUMBER(SEARCH("fracture",C281)),"Break",ISNUMBER(SEARCH("bent",C281)),"Material Twisted/Bent",ISNUMBER(SEARCH("twisted",C281)),"Material Twisted/Bent",ISNUMBER(SEARCH("component separat",C281)),"Material Separation",ISNUMBER(SEARCH("separat",C281)),"Material Separation",ISNUMBER(SEARCH("connection",C281)),"Loose or Intermittent Connection",ISNUMBER(SEARCH("loose",C281)),"Loose or Intermittent Connection",ISNUMBER(SEARCH("damaged packaging",C281)),"Packaging Problem",ISNUMBER(SEARCH("packaging",C281)),"Packaging Problem",ISNUMBER(SEARCH("discoloration",C281)),"Contamination",ISNUMBER(SEARCH("tarnish",C281)),"Contamination",ISNUMBER(SEARCH("stain",C281)),"Contamination",ISNUMBER(SEARCH("foreign material",C281)),"Contamination",ISNUMBER(SEARCH("contamina",C281)),"Contamination",ISNUMBER(SEARCH("overheat",C281)),"Overheating of Device",ISNUMBER(SEARCH("excessive heat",C281)),"Overheating of Device",ISNUMBER(SEARCH("hot",C281)),"Overheating of Device",ISNUMBER(SEARCH("noise",C281)),"Noise, Audible",ISNUMBER(SEARCH("sound",C281)),"Noise, Audible",ISNUMBER(SEARCH("loud",C281)),"Noise, Audible",ISNUMBER(SEARCH("fray",C281)),"Material Frayed",ISNUMBER(SEARCH("hole",C281)),"Material Frayed",ISNUMBER(SEARCH("tear",C281)),"Material Frayed",ISNUMBER(SEARCH("worn",C281)),"Material Frayed",ISNUMBER(SEARCH("intermittent",C281)),"Difficult or Delayed Activation",ISNUMBER(SEARCH("delay",C281)),"Difficult or Delayed Activation",ISNUMBER(SEARCH("label",C281)),"Device Markings/Labelling Problem",ISNUMBER(SEARCH("marking",C281)),"Device Markings/Labelling Problem",ISNUMBER(SEARCH("lacerat",C281)),"Defective Device",ISNUMBER(SEARCH("cut",C281)),"Defective Device",ISNUMBER(SEARCH("leak",C281)),"Fluid/Blood Leak",ISNUMBER(SEARCH("missing",C281)),"Component Missing",ISNUMBER(SEARCH("power",C281)),"Complete Loss of Power",ISNUMBER(SEARCH("will not turn on",C281)),"Complete Loss of Power",ISNUMBER(SEARCH("won't turn on",C281)),"Complete Loss of Power",ISNUMBER(SEARCH("does not turn on",C281)),"Complete Loss of Power",ISNUMBER(SEARCH("electrical",C281)),"Electrical Power Problem",ISNUMBER(SEARCH("pressure",C281)),"Detachment of Device or Device Component",ISNUMBER(SEARCH("slip",C281)),"Detachment of Device or Device Component",ISNUMBER(SEARCH("detach",C281)),"Detachment of Device or Device Component",ISNUMBER(SEARCH("stick",C281)),"Mechanical Jam",ISNUMBER(SEARCH("jam",C281)),"Mechanical Jam",ISNUMBER(SEARCH("rigid",C281)),"Mechanical Jam",ISNUMBER(SEARCH("rust",C281)),"Corroded",ISNUMBER(SEARCH("corrod",C281)),"Corroded",ISNUMBER(SEARCH("corrosion",C281)),"Corroded",ISNUMBER(SEARCH("alignment",C281)),"Defective Device",ISNUMBER(SEARCH("adjust",C281)),"Defective Device",ISNUMBER(SEARCH("perform",C281)),"Defective Device",ISNUMBER(SEARCH("malfunction",C281)),"Defective Device",ISNUMBER(SEARCH("defect",C281)),"Defective Device",ISNUMBER(SEARCH("fail",C281)),"Defective Device",ISNUMBER(SEARCH("not work",C281)),"Defective Device",ISNUMBER(SEARCH("doesn't work",C281)),"Defective Device",TRUE,"UNKNOWN"),"UNKNOWN")))</f>
        <v/>
      </c>
      <c r="F281" s="4" t="str">
        <f t="shared" si="4"/>
        <v/>
      </c>
      <c r="G281" s="363" t="str">
        <f>IF(E281="","",IFERROR(VLOOKUP(E281,Codes!$L$2:$N$409,3,FALSE),"—"))</f>
        <v/>
      </c>
      <c r="H281" s="88"/>
      <c r="I281" s="88"/>
    </row>
    <row r="282" spans="1:9" ht="13.15" x14ac:dyDescent="0.35">
      <c r="A282" s="435"/>
      <c r="B282" s="436"/>
      <c r="C282" s="438"/>
      <c r="D282" s="435"/>
      <c r="E282" s="93" t="str" cm="1">
        <f t="array" ref="E282">IF(D282&lt;&gt;"",IFERROR(VLOOKUP(D282,Codes!$K$2:$L$409,2,FALSE),"UNKNOWN - "&amp;D282),IF(C282="","",IFERROR(_xlfn.IFS(ISNUMBER(SEARCH("broken button",C282)),"Break",ISNUMBER(SEARCH("broken handle",C282)),"Break",ISNUMBER(SEARCH("shipping damage",C282)),"Break",ISNUMBER(SEARCH("broken",C282)),"Break",ISNUMBER(SEARCH("crack",C282)),"Break",ISNUMBER(SEARCH("snap",C282)),"Break",ISNUMBER(SEARCH("fracture",C282)),"Break",ISNUMBER(SEARCH("bent",C282)),"Material Twisted/Bent",ISNUMBER(SEARCH("twisted",C282)),"Material Twisted/Bent",ISNUMBER(SEARCH("component separat",C282)),"Material Separation",ISNUMBER(SEARCH("separat",C282)),"Material Separation",ISNUMBER(SEARCH("connection",C282)),"Loose or Intermittent Connection",ISNUMBER(SEARCH("loose",C282)),"Loose or Intermittent Connection",ISNUMBER(SEARCH("damaged packaging",C282)),"Packaging Problem",ISNUMBER(SEARCH("packaging",C282)),"Packaging Problem",ISNUMBER(SEARCH("discoloration",C282)),"Contamination",ISNUMBER(SEARCH("tarnish",C282)),"Contamination",ISNUMBER(SEARCH("stain",C282)),"Contamination",ISNUMBER(SEARCH("foreign material",C282)),"Contamination",ISNUMBER(SEARCH("contamina",C282)),"Contamination",ISNUMBER(SEARCH("overheat",C282)),"Overheating of Device",ISNUMBER(SEARCH("excessive heat",C282)),"Overheating of Device",ISNUMBER(SEARCH("hot",C282)),"Overheating of Device",ISNUMBER(SEARCH("noise",C282)),"Noise, Audible",ISNUMBER(SEARCH("sound",C282)),"Noise, Audible",ISNUMBER(SEARCH("loud",C282)),"Noise, Audible",ISNUMBER(SEARCH("fray",C282)),"Material Frayed",ISNUMBER(SEARCH("hole",C282)),"Material Frayed",ISNUMBER(SEARCH("tear",C282)),"Material Frayed",ISNUMBER(SEARCH("worn",C282)),"Material Frayed",ISNUMBER(SEARCH("intermittent",C282)),"Difficult or Delayed Activation",ISNUMBER(SEARCH("delay",C282)),"Difficult or Delayed Activation",ISNUMBER(SEARCH("label",C282)),"Device Markings/Labelling Problem",ISNUMBER(SEARCH("marking",C282)),"Device Markings/Labelling Problem",ISNUMBER(SEARCH("lacerat",C282)),"Defective Device",ISNUMBER(SEARCH("cut",C282)),"Defective Device",ISNUMBER(SEARCH("leak",C282)),"Fluid/Blood Leak",ISNUMBER(SEARCH("missing",C282)),"Component Missing",ISNUMBER(SEARCH("power",C282)),"Complete Loss of Power",ISNUMBER(SEARCH("will not turn on",C282)),"Complete Loss of Power",ISNUMBER(SEARCH("won't turn on",C282)),"Complete Loss of Power",ISNUMBER(SEARCH("does not turn on",C282)),"Complete Loss of Power",ISNUMBER(SEARCH("electrical",C282)),"Electrical Power Problem",ISNUMBER(SEARCH("pressure",C282)),"Detachment of Device or Device Component",ISNUMBER(SEARCH("slip",C282)),"Detachment of Device or Device Component",ISNUMBER(SEARCH("detach",C282)),"Detachment of Device or Device Component",ISNUMBER(SEARCH("stick",C282)),"Mechanical Jam",ISNUMBER(SEARCH("jam",C282)),"Mechanical Jam",ISNUMBER(SEARCH("rigid",C282)),"Mechanical Jam",ISNUMBER(SEARCH("rust",C282)),"Corroded",ISNUMBER(SEARCH("corrod",C282)),"Corroded",ISNUMBER(SEARCH("corrosion",C282)),"Corroded",ISNUMBER(SEARCH("alignment",C282)),"Defective Device",ISNUMBER(SEARCH("adjust",C282)),"Defective Device",ISNUMBER(SEARCH("perform",C282)),"Defective Device",ISNUMBER(SEARCH("malfunction",C282)),"Defective Device",ISNUMBER(SEARCH("defect",C282)),"Defective Device",ISNUMBER(SEARCH("fail",C282)),"Defective Device",ISNUMBER(SEARCH("not work",C282)),"Defective Device",ISNUMBER(SEARCH("doesn't work",C282)),"Defective Device",TRUE,"UNKNOWN"),"UNKNOWN")))</f>
        <v/>
      </c>
      <c r="F282" s="4" t="str">
        <f t="shared" si="4"/>
        <v/>
      </c>
      <c r="G282" s="363" t="str">
        <f>IF(E282="","",IFERROR(VLOOKUP(E282,Codes!$L$2:$N$409,3,FALSE),"—"))</f>
        <v/>
      </c>
      <c r="H282" s="88"/>
      <c r="I282" s="88"/>
    </row>
    <row r="283" spans="1:9" ht="13.15" x14ac:dyDescent="0.35">
      <c r="A283" s="435"/>
      <c r="B283" s="436"/>
      <c r="C283" s="438"/>
      <c r="D283" s="435"/>
      <c r="E283" s="93" t="str" cm="1">
        <f t="array" ref="E283">IF(D283&lt;&gt;"",IFERROR(VLOOKUP(D283,Codes!$K$2:$L$409,2,FALSE),"UNKNOWN - "&amp;D283),IF(C283="","",IFERROR(_xlfn.IFS(ISNUMBER(SEARCH("broken button",C283)),"Break",ISNUMBER(SEARCH("broken handle",C283)),"Break",ISNUMBER(SEARCH("shipping damage",C283)),"Break",ISNUMBER(SEARCH("broken",C283)),"Break",ISNUMBER(SEARCH("crack",C283)),"Break",ISNUMBER(SEARCH("snap",C283)),"Break",ISNUMBER(SEARCH("fracture",C283)),"Break",ISNUMBER(SEARCH("bent",C283)),"Material Twisted/Bent",ISNUMBER(SEARCH("twisted",C283)),"Material Twisted/Bent",ISNUMBER(SEARCH("component separat",C283)),"Material Separation",ISNUMBER(SEARCH("separat",C283)),"Material Separation",ISNUMBER(SEARCH("connection",C283)),"Loose or Intermittent Connection",ISNUMBER(SEARCH("loose",C283)),"Loose or Intermittent Connection",ISNUMBER(SEARCH("damaged packaging",C283)),"Packaging Problem",ISNUMBER(SEARCH("packaging",C283)),"Packaging Problem",ISNUMBER(SEARCH("discoloration",C283)),"Contamination",ISNUMBER(SEARCH("tarnish",C283)),"Contamination",ISNUMBER(SEARCH("stain",C283)),"Contamination",ISNUMBER(SEARCH("foreign material",C283)),"Contamination",ISNUMBER(SEARCH("contamina",C283)),"Contamination",ISNUMBER(SEARCH("overheat",C283)),"Overheating of Device",ISNUMBER(SEARCH("excessive heat",C283)),"Overheating of Device",ISNUMBER(SEARCH("hot",C283)),"Overheating of Device",ISNUMBER(SEARCH("noise",C283)),"Noise, Audible",ISNUMBER(SEARCH("sound",C283)),"Noise, Audible",ISNUMBER(SEARCH("loud",C283)),"Noise, Audible",ISNUMBER(SEARCH("fray",C283)),"Material Frayed",ISNUMBER(SEARCH("hole",C283)),"Material Frayed",ISNUMBER(SEARCH("tear",C283)),"Material Frayed",ISNUMBER(SEARCH("worn",C283)),"Material Frayed",ISNUMBER(SEARCH("intermittent",C283)),"Difficult or Delayed Activation",ISNUMBER(SEARCH("delay",C283)),"Difficult or Delayed Activation",ISNUMBER(SEARCH("label",C283)),"Device Markings/Labelling Problem",ISNUMBER(SEARCH("marking",C283)),"Device Markings/Labelling Problem",ISNUMBER(SEARCH("lacerat",C283)),"Defective Device",ISNUMBER(SEARCH("cut",C283)),"Defective Device",ISNUMBER(SEARCH("leak",C283)),"Fluid/Blood Leak",ISNUMBER(SEARCH("missing",C283)),"Component Missing",ISNUMBER(SEARCH("power",C283)),"Complete Loss of Power",ISNUMBER(SEARCH("will not turn on",C283)),"Complete Loss of Power",ISNUMBER(SEARCH("won't turn on",C283)),"Complete Loss of Power",ISNUMBER(SEARCH("does not turn on",C283)),"Complete Loss of Power",ISNUMBER(SEARCH("electrical",C283)),"Electrical Power Problem",ISNUMBER(SEARCH("pressure",C283)),"Detachment of Device or Device Component",ISNUMBER(SEARCH("slip",C283)),"Detachment of Device or Device Component",ISNUMBER(SEARCH("detach",C283)),"Detachment of Device or Device Component",ISNUMBER(SEARCH("stick",C283)),"Mechanical Jam",ISNUMBER(SEARCH("jam",C283)),"Mechanical Jam",ISNUMBER(SEARCH("rigid",C283)),"Mechanical Jam",ISNUMBER(SEARCH("rust",C283)),"Corroded",ISNUMBER(SEARCH("corrod",C283)),"Corroded",ISNUMBER(SEARCH("corrosion",C283)),"Corroded",ISNUMBER(SEARCH("alignment",C283)),"Defective Device",ISNUMBER(SEARCH("adjust",C283)),"Defective Device",ISNUMBER(SEARCH("perform",C283)),"Defective Device",ISNUMBER(SEARCH("malfunction",C283)),"Defective Device",ISNUMBER(SEARCH("defect",C283)),"Defective Device",ISNUMBER(SEARCH("fail",C283)),"Defective Device",ISNUMBER(SEARCH("not work",C283)),"Defective Device",ISNUMBER(SEARCH("doesn't work",C283)),"Defective Device",TRUE,"UNKNOWN"),"UNKNOWN")))</f>
        <v/>
      </c>
      <c r="F283" s="4" t="str">
        <f t="shared" si="4"/>
        <v/>
      </c>
      <c r="G283" s="363" t="str">
        <f>IF(E283="","",IFERROR(VLOOKUP(E283,Codes!$L$2:$N$409,3,FALSE),"—"))</f>
        <v/>
      </c>
      <c r="H283" s="88"/>
      <c r="I283" s="88"/>
    </row>
    <row r="284" spans="1:9" ht="13.15" x14ac:dyDescent="0.35">
      <c r="A284" s="434"/>
      <c r="B284" s="436"/>
      <c r="C284" s="437"/>
      <c r="D284" s="434"/>
      <c r="E284" s="93" t="str" cm="1">
        <f t="array" ref="E284">IF(D284&lt;&gt;"",IFERROR(VLOOKUP(D284,Codes!$K$2:$L$409,2,FALSE),"UNKNOWN - "&amp;D284),IF(C284="","",IFERROR(_xlfn.IFS(ISNUMBER(SEARCH("broken button",C284)),"Break",ISNUMBER(SEARCH("broken handle",C284)),"Break",ISNUMBER(SEARCH("shipping damage",C284)),"Break",ISNUMBER(SEARCH("broken",C284)),"Break",ISNUMBER(SEARCH("crack",C284)),"Break",ISNUMBER(SEARCH("snap",C284)),"Break",ISNUMBER(SEARCH("fracture",C284)),"Break",ISNUMBER(SEARCH("bent",C284)),"Material Twisted/Bent",ISNUMBER(SEARCH("twisted",C284)),"Material Twisted/Bent",ISNUMBER(SEARCH("component separat",C284)),"Material Separation",ISNUMBER(SEARCH("separat",C284)),"Material Separation",ISNUMBER(SEARCH("connection",C284)),"Loose or Intermittent Connection",ISNUMBER(SEARCH("loose",C284)),"Loose or Intermittent Connection",ISNUMBER(SEARCH("damaged packaging",C284)),"Packaging Problem",ISNUMBER(SEARCH("packaging",C284)),"Packaging Problem",ISNUMBER(SEARCH("discoloration",C284)),"Contamination",ISNUMBER(SEARCH("tarnish",C284)),"Contamination",ISNUMBER(SEARCH("stain",C284)),"Contamination",ISNUMBER(SEARCH("foreign material",C284)),"Contamination",ISNUMBER(SEARCH("contamina",C284)),"Contamination",ISNUMBER(SEARCH("overheat",C284)),"Overheating of Device",ISNUMBER(SEARCH("excessive heat",C284)),"Overheating of Device",ISNUMBER(SEARCH("hot",C284)),"Overheating of Device",ISNUMBER(SEARCH("noise",C284)),"Noise, Audible",ISNUMBER(SEARCH("sound",C284)),"Noise, Audible",ISNUMBER(SEARCH("loud",C284)),"Noise, Audible",ISNUMBER(SEARCH("fray",C284)),"Material Frayed",ISNUMBER(SEARCH("hole",C284)),"Material Frayed",ISNUMBER(SEARCH("tear",C284)),"Material Frayed",ISNUMBER(SEARCH("worn",C284)),"Material Frayed",ISNUMBER(SEARCH("intermittent",C284)),"Difficult or Delayed Activation",ISNUMBER(SEARCH("delay",C284)),"Difficult or Delayed Activation",ISNUMBER(SEARCH("label",C284)),"Device Markings/Labelling Problem",ISNUMBER(SEARCH("marking",C284)),"Device Markings/Labelling Problem",ISNUMBER(SEARCH("lacerat",C284)),"Defective Device",ISNUMBER(SEARCH("cut",C284)),"Defective Device",ISNUMBER(SEARCH("leak",C284)),"Fluid/Blood Leak",ISNUMBER(SEARCH("missing",C284)),"Component Missing",ISNUMBER(SEARCH("power",C284)),"Complete Loss of Power",ISNUMBER(SEARCH("will not turn on",C284)),"Complete Loss of Power",ISNUMBER(SEARCH("won't turn on",C284)),"Complete Loss of Power",ISNUMBER(SEARCH("does not turn on",C284)),"Complete Loss of Power",ISNUMBER(SEARCH("electrical",C284)),"Electrical Power Problem",ISNUMBER(SEARCH("pressure",C284)),"Detachment of Device or Device Component",ISNUMBER(SEARCH("slip",C284)),"Detachment of Device or Device Component",ISNUMBER(SEARCH("detach",C284)),"Detachment of Device or Device Component",ISNUMBER(SEARCH("stick",C284)),"Mechanical Jam",ISNUMBER(SEARCH("jam",C284)),"Mechanical Jam",ISNUMBER(SEARCH("rigid",C284)),"Mechanical Jam",ISNUMBER(SEARCH("rust",C284)),"Corroded",ISNUMBER(SEARCH("corrod",C284)),"Corroded",ISNUMBER(SEARCH("corrosion",C284)),"Corroded",ISNUMBER(SEARCH("alignment",C284)),"Defective Device",ISNUMBER(SEARCH("adjust",C284)),"Defective Device",ISNUMBER(SEARCH("perform",C284)),"Defective Device",ISNUMBER(SEARCH("malfunction",C284)),"Defective Device",ISNUMBER(SEARCH("defect",C284)),"Defective Device",ISNUMBER(SEARCH("fail",C284)),"Defective Device",ISNUMBER(SEARCH("not work",C284)),"Defective Device",ISNUMBER(SEARCH("doesn't work",C284)),"Defective Device",TRUE,"UNKNOWN"),"UNKNOWN")))</f>
        <v/>
      </c>
      <c r="F284" s="4" t="str">
        <f t="shared" si="4"/>
        <v/>
      </c>
      <c r="G284" s="363" t="str">
        <f>IF(E284="","",IFERROR(VLOOKUP(E284,Codes!$L$2:$N$409,3,FALSE),"—"))</f>
        <v/>
      </c>
      <c r="H284" s="88"/>
      <c r="I284" s="88"/>
    </row>
    <row r="285" spans="1:9" ht="13.15" x14ac:dyDescent="0.35">
      <c r="A285" s="435"/>
      <c r="B285" s="436"/>
      <c r="C285" s="438"/>
      <c r="D285" s="435"/>
      <c r="E285" s="93" t="str" cm="1">
        <f t="array" ref="E285">IF(D285&lt;&gt;"",IFERROR(VLOOKUP(D285,Codes!$K$2:$L$409,2,FALSE),"UNKNOWN - "&amp;D285),IF(C285="","",IFERROR(_xlfn.IFS(ISNUMBER(SEARCH("broken button",C285)),"Break",ISNUMBER(SEARCH("broken handle",C285)),"Break",ISNUMBER(SEARCH("shipping damage",C285)),"Break",ISNUMBER(SEARCH("broken",C285)),"Break",ISNUMBER(SEARCH("crack",C285)),"Break",ISNUMBER(SEARCH("snap",C285)),"Break",ISNUMBER(SEARCH("fracture",C285)),"Break",ISNUMBER(SEARCH("bent",C285)),"Material Twisted/Bent",ISNUMBER(SEARCH("twisted",C285)),"Material Twisted/Bent",ISNUMBER(SEARCH("component separat",C285)),"Material Separation",ISNUMBER(SEARCH("separat",C285)),"Material Separation",ISNUMBER(SEARCH("connection",C285)),"Loose or Intermittent Connection",ISNUMBER(SEARCH("loose",C285)),"Loose or Intermittent Connection",ISNUMBER(SEARCH("damaged packaging",C285)),"Packaging Problem",ISNUMBER(SEARCH("packaging",C285)),"Packaging Problem",ISNUMBER(SEARCH("discoloration",C285)),"Contamination",ISNUMBER(SEARCH("tarnish",C285)),"Contamination",ISNUMBER(SEARCH("stain",C285)),"Contamination",ISNUMBER(SEARCH("foreign material",C285)),"Contamination",ISNUMBER(SEARCH("contamina",C285)),"Contamination",ISNUMBER(SEARCH("overheat",C285)),"Overheating of Device",ISNUMBER(SEARCH("excessive heat",C285)),"Overheating of Device",ISNUMBER(SEARCH("hot",C285)),"Overheating of Device",ISNUMBER(SEARCH("noise",C285)),"Noise, Audible",ISNUMBER(SEARCH("sound",C285)),"Noise, Audible",ISNUMBER(SEARCH("loud",C285)),"Noise, Audible",ISNUMBER(SEARCH("fray",C285)),"Material Frayed",ISNUMBER(SEARCH("hole",C285)),"Material Frayed",ISNUMBER(SEARCH("tear",C285)),"Material Frayed",ISNUMBER(SEARCH("worn",C285)),"Material Frayed",ISNUMBER(SEARCH("intermittent",C285)),"Difficult or Delayed Activation",ISNUMBER(SEARCH("delay",C285)),"Difficult or Delayed Activation",ISNUMBER(SEARCH("label",C285)),"Device Markings/Labelling Problem",ISNUMBER(SEARCH("marking",C285)),"Device Markings/Labelling Problem",ISNUMBER(SEARCH("lacerat",C285)),"Defective Device",ISNUMBER(SEARCH("cut",C285)),"Defective Device",ISNUMBER(SEARCH("leak",C285)),"Fluid/Blood Leak",ISNUMBER(SEARCH("missing",C285)),"Component Missing",ISNUMBER(SEARCH("power",C285)),"Complete Loss of Power",ISNUMBER(SEARCH("will not turn on",C285)),"Complete Loss of Power",ISNUMBER(SEARCH("won't turn on",C285)),"Complete Loss of Power",ISNUMBER(SEARCH("does not turn on",C285)),"Complete Loss of Power",ISNUMBER(SEARCH("electrical",C285)),"Electrical Power Problem",ISNUMBER(SEARCH("pressure",C285)),"Detachment of Device or Device Component",ISNUMBER(SEARCH("slip",C285)),"Detachment of Device or Device Component",ISNUMBER(SEARCH("detach",C285)),"Detachment of Device or Device Component",ISNUMBER(SEARCH("stick",C285)),"Mechanical Jam",ISNUMBER(SEARCH("jam",C285)),"Mechanical Jam",ISNUMBER(SEARCH("rigid",C285)),"Mechanical Jam",ISNUMBER(SEARCH("rust",C285)),"Corroded",ISNUMBER(SEARCH("corrod",C285)),"Corroded",ISNUMBER(SEARCH("corrosion",C285)),"Corroded",ISNUMBER(SEARCH("alignment",C285)),"Defective Device",ISNUMBER(SEARCH("adjust",C285)),"Defective Device",ISNUMBER(SEARCH("perform",C285)),"Defective Device",ISNUMBER(SEARCH("malfunction",C285)),"Defective Device",ISNUMBER(SEARCH("defect",C285)),"Defective Device",ISNUMBER(SEARCH("fail",C285)),"Defective Device",ISNUMBER(SEARCH("not work",C285)),"Defective Device",ISNUMBER(SEARCH("doesn't work",C285)),"Defective Device",TRUE,"UNKNOWN"),"UNKNOWN")))</f>
        <v/>
      </c>
      <c r="F285" s="4" t="str">
        <f t="shared" si="4"/>
        <v/>
      </c>
      <c r="G285" s="363" t="str">
        <f>IF(E285="","",IFERROR(VLOOKUP(E285,Codes!$L$2:$N$409,3,FALSE),"—"))</f>
        <v/>
      </c>
      <c r="H285" s="88"/>
      <c r="I285" s="88"/>
    </row>
    <row r="286" spans="1:9" ht="13.15" x14ac:dyDescent="0.35">
      <c r="A286" s="435"/>
      <c r="B286" s="436"/>
      <c r="C286" s="438"/>
      <c r="D286" s="435"/>
      <c r="E286" s="93" t="str" cm="1">
        <f t="array" ref="E286">IF(D286&lt;&gt;"",IFERROR(VLOOKUP(D286,Codes!$K$2:$L$409,2,FALSE),"UNKNOWN - "&amp;D286),IF(C286="","",IFERROR(_xlfn.IFS(ISNUMBER(SEARCH("broken button",C286)),"Break",ISNUMBER(SEARCH("broken handle",C286)),"Break",ISNUMBER(SEARCH("shipping damage",C286)),"Break",ISNUMBER(SEARCH("broken",C286)),"Break",ISNUMBER(SEARCH("crack",C286)),"Break",ISNUMBER(SEARCH("snap",C286)),"Break",ISNUMBER(SEARCH("fracture",C286)),"Break",ISNUMBER(SEARCH("bent",C286)),"Material Twisted/Bent",ISNUMBER(SEARCH("twisted",C286)),"Material Twisted/Bent",ISNUMBER(SEARCH("component separat",C286)),"Material Separation",ISNUMBER(SEARCH("separat",C286)),"Material Separation",ISNUMBER(SEARCH("connection",C286)),"Loose or Intermittent Connection",ISNUMBER(SEARCH("loose",C286)),"Loose or Intermittent Connection",ISNUMBER(SEARCH("damaged packaging",C286)),"Packaging Problem",ISNUMBER(SEARCH("packaging",C286)),"Packaging Problem",ISNUMBER(SEARCH("discoloration",C286)),"Contamination",ISNUMBER(SEARCH("tarnish",C286)),"Contamination",ISNUMBER(SEARCH("stain",C286)),"Contamination",ISNUMBER(SEARCH("foreign material",C286)),"Contamination",ISNUMBER(SEARCH("contamina",C286)),"Contamination",ISNUMBER(SEARCH("overheat",C286)),"Overheating of Device",ISNUMBER(SEARCH("excessive heat",C286)),"Overheating of Device",ISNUMBER(SEARCH("hot",C286)),"Overheating of Device",ISNUMBER(SEARCH("noise",C286)),"Noise, Audible",ISNUMBER(SEARCH("sound",C286)),"Noise, Audible",ISNUMBER(SEARCH("loud",C286)),"Noise, Audible",ISNUMBER(SEARCH("fray",C286)),"Material Frayed",ISNUMBER(SEARCH("hole",C286)),"Material Frayed",ISNUMBER(SEARCH("tear",C286)),"Material Frayed",ISNUMBER(SEARCH("worn",C286)),"Material Frayed",ISNUMBER(SEARCH("intermittent",C286)),"Difficult or Delayed Activation",ISNUMBER(SEARCH("delay",C286)),"Difficult or Delayed Activation",ISNUMBER(SEARCH("label",C286)),"Device Markings/Labelling Problem",ISNUMBER(SEARCH("marking",C286)),"Device Markings/Labelling Problem",ISNUMBER(SEARCH("lacerat",C286)),"Defective Device",ISNUMBER(SEARCH("cut",C286)),"Defective Device",ISNUMBER(SEARCH("leak",C286)),"Fluid/Blood Leak",ISNUMBER(SEARCH("missing",C286)),"Component Missing",ISNUMBER(SEARCH("power",C286)),"Complete Loss of Power",ISNUMBER(SEARCH("will not turn on",C286)),"Complete Loss of Power",ISNUMBER(SEARCH("won't turn on",C286)),"Complete Loss of Power",ISNUMBER(SEARCH("does not turn on",C286)),"Complete Loss of Power",ISNUMBER(SEARCH("electrical",C286)),"Electrical Power Problem",ISNUMBER(SEARCH("pressure",C286)),"Detachment of Device or Device Component",ISNUMBER(SEARCH("slip",C286)),"Detachment of Device or Device Component",ISNUMBER(SEARCH("detach",C286)),"Detachment of Device or Device Component",ISNUMBER(SEARCH("stick",C286)),"Mechanical Jam",ISNUMBER(SEARCH("jam",C286)),"Mechanical Jam",ISNUMBER(SEARCH("rigid",C286)),"Mechanical Jam",ISNUMBER(SEARCH("rust",C286)),"Corroded",ISNUMBER(SEARCH("corrod",C286)),"Corroded",ISNUMBER(SEARCH("corrosion",C286)),"Corroded",ISNUMBER(SEARCH("alignment",C286)),"Defective Device",ISNUMBER(SEARCH("adjust",C286)),"Defective Device",ISNUMBER(SEARCH("perform",C286)),"Defective Device",ISNUMBER(SEARCH("malfunction",C286)),"Defective Device",ISNUMBER(SEARCH("defect",C286)),"Defective Device",ISNUMBER(SEARCH("fail",C286)),"Defective Device",ISNUMBER(SEARCH("not work",C286)),"Defective Device",ISNUMBER(SEARCH("doesn't work",C286)),"Defective Device",TRUE,"UNKNOWN"),"UNKNOWN")))</f>
        <v/>
      </c>
      <c r="F286" s="4" t="str">
        <f t="shared" si="4"/>
        <v/>
      </c>
      <c r="G286" s="363" t="str">
        <f>IF(E286="","",IFERROR(VLOOKUP(E286,Codes!$L$2:$N$409,3,FALSE),"—"))</f>
        <v/>
      </c>
      <c r="H286" s="88"/>
      <c r="I286" s="88"/>
    </row>
    <row r="287" spans="1:9" ht="13.15" x14ac:dyDescent="0.35">
      <c r="A287" s="435"/>
      <c r="B287" s="436"/>
      <c r="C287" s="438"/>
      <c r="D287" s="435"/>
      <c r="E287" s="93" t="str" cm="1">
        <f t="array" ref="E287">IF(D287&lt;&gt;"",IFERROR(VLOOKUP(D287,Codes!$K$2:$L$409,2,FALSE),"UNKNOWN - "&amp;D287),IF(C287="","",IFERROR(_xlfn.IFS(ISNUMBER(SEARCH("broken button",C287)),"Break",ISNUMBER(SEARCH("broken handle",C287)),"Break",ISNUMBER(SEARCH("shipping damage",C287)),"Break",ISNUMBER(SEARCH("broken",C287)),"Break",ISNUMBER(SEARCH("crack",C287)),"Break",ISNUMBER(SEARCH("snap",C287)),"Break",ISNUMBER(SEARCH("fracture",C287)),"Break",ISNUMBER(SEARCH("bent",C287)),"Material Twisted/Bent",ISNUMBER(SEARCH("twisted",C287)),"Material Twisted/Bent",ISNUMBER(SEARCH("component separat",C287)),"Material Separation",ISNUMBER(SEARCH("separat",C287)),"Material Separation",ISNUMBER(SEARCH("connection",C287)),"Loose or Intermittent Connection",ISNUMBER(SEARCH("loose",C287)),"Loose or Intermittent Connection",ISNUMBER(SEARCH("damaged packaging",C287)),"Packaging Problem",ISNUMBER(SEARCH("packaging",C287)),"Packaging Problem",ISNUMBER(SEARCH("discoloration",C287)),"Contamination",ISNUMBER(SEARCH("tarnish",C287)),"Contamination",ISNUMBER(SEARCH("stain",C287)),"Contamination",ISNUMBER(SEARCH("foreign material",C287)),"Contamination",ISNUMBER(SEARCH("contamina",C287)),"Contamination",ISNUMBER(SEARCH("overheat",C287)),"Overheating of Device",ISNUMBER(SEARCH("excessive heat",C287)),"Overheating of Device",ISNUMBER(SEARCH("hot",C287)),"Overheating of Device",ISNUMBER(SEARCH("noise",C287)),"Noise, Audible",ISNUMBER(SEARCH("sound",C287)),"Noise, Audible",ISNUMBER(SEARCH("loud",C287)),"Noise, Audible",ISNUMBER(SEARCH("fray",C287)),"Material Frayed",ISNUMBER(SEARCH("hole",C287)),"Material Frayed",ISNUMBER(SEARCH("tear",C287)),"Material Frayed",ISNUMBER(SEARCH("worn",C287)),"Material Frayed",ISNUMBER(SEARCH("intermittent",C287)),"Difficult or Delayed Activation",ISNUMBER(SEARCH("delay",C287)),"Difficult or Delayed Activation",ISNUMBER(SEARCH("label",C287)),"Device Markings/Labelling Problem",ISNUMBER(SEARCH("marking",C287)),"Device Markings/Labelling Problem",ISNUMBER(SEARCH("lacerat",C287)),"Defective Device",ISNUMBER(SEARCH("cut",C287)),"Defective Device",ISNUMBER(SEARCH("leak",C287)),"Fluid/Blood Leak",ISNUMBER(SEARCH("missing",C287)),"Component Missing",ISNUMBER(SEARCH("power",C287)),"Complete Loss of Power",ISNUMBER(SEARCH("will not turn on",C287)),"Complete Loss of Power",ISNUMBER(SEARCH("won't turn on",C287)),"Complete Loss of Power",ISNUMBER(SEARCH("does not turn on",C287)),"Complete Loss of Power",ISNUMBER(SEARCH("electrical",C287)),"Electrical Power Problem",ISNUMBER(SEARCH("pressure",C287)),"Detachment of Device or Device Component",ISNUMBER(SEARCH("slip",C287)),"Detachment of Device or Device Component",ISNUMBER(SEARCH("detach",C287)),"Detachment of Device or Device Component",ISNUMBER(SEARCH("stick",C287)),"Mechanical Jam",ISNUMBER(SEARCH("jam",C287)),"Mechanical Jam",ISNUMBER(SEARCH("rigid",C287)),"Mechanical Jam",ISNUMBER(SEARCH("rust",C287)),"Corroded",ISNUMBER(SEARCH("corrod",C287)),"Corroded",ISNUMBER(SEARCH("corrosion",C287)),"Corroded",ISNUMBER(SEARCH("alignment",C287)),"Defective Device",ISNUMBER(SEARCH("adjust",C287)),"Defective Device",ISNUMBER(SEARCH("perform",C287)),"Defective Device",ISNUMBER(SEARCH("malfunction",C287)),"Defective Device",ISNUMBER(SEARCH("defect",C287)),"Defective Device",ISNUMBER(SEARCH("fail",C287)),"Defective Device",ISNUMBER(SEARCH("not work",C287)),"Defective Device",ISNUMBER(SEARCH("doesn't work",C287)),"Defective Device",TRUE,"UNKNOWN"),"UNKNOWN")))</f>
        <v/>
      </c>
      <c r="F287" s="4" t="str">
        <f t="shared" si="4"/>
        <v/>
      </c>
      <c r="G287" s="363" t="str">
        <f>IF(E287="","",IFERROR(VLOOKUP(E287,Codes!$L$2:$N$409,3,FALSE),"—"))</f>
        <v/>
      </c>
      <c r="H287" s="88"/>
      <c r="I287" s="88"/>
    </row>
    <row r="288" spans="1:9" ht="13.15" x14ac:dyDescent="0.35">
      <c r="A288" s="435"/>
      <c r="B288" s="436"/>
      <c r="C288" s="438"/>
      <c r="D288" s="435"/>
      <c r="E288" s="93" t="str" cm="1">
        <f t="array" ref="E288">IF(D288&lt;&gt;"",IFERROR(VLOOKUP(D288,Codes!$K$2:$L$409,2,FALSE),"UNKNOWN - "&amp;D288),IF(C288="","",IFERROR(_xlfn.IFS(ISNUMBER(SEARCH("broken button",C288)),"Break",ISNUMBER(SEARCH("broken handle",C288)),"Break",ISNUMBER(SEARCH("shipping damage",C288)),"Break",ISNUMBER(SEARCH("broken",C288)),"Break",ISNUMBER(SEARCH("crack",C288)),"Break",ISNUMBER(SEARCH("snap",C288)),"Break",ISNUMBER(SEARCH("fracture",C288)),"Break",ISNUMBER(SEARCH("bent",C288)),"Material Twisted/Bent",ISNUMBER(SEARCH("twisted",C288)),"Material Twisted/Bent",ISNUMBER(SEARCH("component separat",C288)),"Material Separation",ISNUMBER(SEARCH("separat",C288)),"Material Separation",ISNUMBER(SEARCH("connection",C288)),"Loose or Intermittent Connection",ISNUMBER(SEARCH("loose",C288)),"Loose or Intermittent Connection",ISNUMBER(SEARCH("damaged packaging",C288)),"Packaging Problem",ISNUMBER(SEARCH("packaging",C288)),"Packaging Problem",ISNUMBER(SEARCH("discoloration",C288)),"Contamination",ISNUMBER(SEARCH("tarnish",C288)),"Contamination",ISNUMBER(SEARCH("stain",C288)),"Contamination",ISNUMBER(SEARCH("foreign material",C288)),"Contamination",ISNUMBER(SEARCH("contamina",C288)),"Contamination",ISNUMBER(SEARCH("overheat",C288)),"Overheating of Device",ISNUMBER(SEARCH("excessive heat",C288)),"Overheating of Device",ISNUMBER(SEARCH("hot",C288)),"Overheating of Device",ISNUMBER(SEARCH("noise",C288)),"Noise, Audible",ISNUMBER(SEARCH("sound",C288)),"Noise, Audible",ISNUMBER(SEARCH("loud",C288)),"Noise, Audible",ISNUMBER(SEARCH("fray",C288)),"Material Frayed",ISNUMBER(SEARCH("hole",C288)),"Material Frayed",ISNUMBER(SEARCH("tear",C288)),"Material Frayed",ISNUMBER(SEARCH("worn",C288)),"Material Frayed",ISNUMBER(SEARCH("intermittent",C288)),"Difficult or Delayed Activation",ISNUMBER(SEARCH("delay",C288)),"Difficult or Delayed Activation",ISNUMBER(SEARCH("label",C288)),"Device Markings/Labelling Problem",ISNUMBER(SEARCH("marking",C288)),"Device Markings/Labelling Problem",ISNUMBER(SEARCH("lacerat",C288)),"Defective Device",ISNUMBER(SEARCH("cut",C288)),"Defective Device",ISNUMBER(SEARCH("leak",C288)),"Fluid/Blood Leak",ISNUMBER(SEARCH("missing",C288)),"Component Missing",ISNUMBER(SEARCH("power",C288)),"Complete Loss of Power",ISNUMBER(SEARCH("will not turn on",C288)),"Complete Loss of Power",ISNUMBER(SEARCH("won't turn on",C288)),"Complete Loss of Power",ISNUMBER(SEARCH("does not turn on",C288)),"Complete Loss of Power",ISNUMBER(SEARCH("electrical",C288)),"Electrical Power Problem",ISNUMBER(SEARCH("pressure",C288)),"Detachment of Device or Device Component",ISNUMBER(SEARCH("slip",C288)),"Detachment of Device or Device Component",ISNUMBER(SEARCH("detach",C288)),"Detachment of Device or Device Component",ISNUMBER(SEARCH("stick",C288)),"Mechanical Jam",ISNUMBER(SEARCH("jam",C288)),"Mechanical Jam",ISNUMBER(SEARCH("rigid",C288)),"Mechanical Jam",ISNUMBER(SEARCH("rust",C288)),"Corroded",ISNUMBER(SEARCH("corrod",C288)),"Corroded",ISNUMBER(SEARCH("corrosion",C288)),"Corroded",ISNUMBER(SEARCH("alignment",C288)),"Defective Device",ISNUMBER(SEARCH("adjust",C288)),"Defective Device",ISNUMBER(SEARCH("perform",C288)),"Defective Device",ISNUMBER(SEARCH("malfunction",C288)),"Defective Device",ISNUMBER(SEARCH("defect",C288)),"Defective Device",ISNUMBER(SEARCH("fail",C288)),"Defective Device",ISNUMBER(SEARCH("not work",C288)),"Defective Device",ISNUMBER(SEARCH("doesn't work",C288)),"Defective Device",TRUE,"UNKNOWN"),"UNKNOWN")))</f>
        <v/>
      </c>
      <c r="F288" s="4" t="str">
        <f t="shared" si="4"/>
        <v/>
      </c>
      <c r="G288" s="363" t="str">
        <f>IF(E288="","",IFERROR(VLOOKUP(E288,Codes!$L$2:$N$409,3,FALSE),"—"))</f>
        <v/>
      </c>
      <c r="H288" s="88"/>
      <c r="I288" s="88"/>
    </row>
    <row r="289" spans="1:9" ht="13.15" x14ac:dyDescent="0.35">
      <c r="A289" s="434"/>
      <c r="B289" s="436"/>
      <c r="C289" s="437"/>
      <c r="D289" s="434"/>
      <c r="E289" s="93" t="str" cm="1">
        <f t="array" ref="E289">IF(D289&lt;&gt;"",IFERROR(VLOOKUP(D289,Codes!$K$2:$L$409,2,FALSE),"UNKNOWN - "&amp;D289),IF(C289="","",IFERROR(_xlfn.IFS(ISNUMBER(SEARCH("broken button",C289)),"Break",ISNUMBER(SEARCH("broken handle",C289)),"Break",ISNUMBER(SEARCH("shipping damage",C289)),"Break",ISNUMBER(SEARCH("broken",C289)),"Break",ISNUMBER(SEARCH("crack",C289)),"Break",ISNUMBER(SEARCH("snap",C289)),"Break",ISNUMBER(SEARCH("fracture",C289)),"Break",ISNUMBER(SEARCH("bent",C289)),"Material Twisted/Bent",ISNUMBER(SEARCH("twisted",C289)),"Material Twisted/Bent",ISNUMBER(SEARCH("component separat",C289)),"Material Separation",ISNUMBER(SEARCH("separat",C289)),"Material Separation",ISNUMBER(SEARCH("connection",C289)),"Loose or Intermittent Connection",ISNUMBER(SEARCH("loose",C289)),"Loose or Intermittent Connection",ISNUMBER(SEARCH("damaged packaging",C289)),"Packaging Problem",ISNUMBER(SEARCH("packaging",C289)),"Packaging Problem",ISNUMBER(SEARCH("discoloration",C289)),"Contamination",ISNUMBER(SEARCH("tarnish",C289)),"Contamination",ISNUMBER(SEARCH("stain",C289)),"Contamination",ISNUMBER(SEARCH("foreign material",C289)),"Contamination",ISNUMBER(SEARCH("contamina",C289)),"Contamination",ISNUMBER(SEARCH("overheat",C289)),"Overheating of Device",ISNUMBER(SEARCH("excessive heat",C289)),"Overheating of Device",ISNUMBER(SEARCH("hot",C289)),"Overheating of Device",ISNUMBER(SEARCH("noise",C289)),"Noise, Audible",ISNUMBER(SEARCH("sound",C289)),"Noise, Audible",ISNUMBER(SEARCH("loud",C289)),"Noise, Audible",ISNUMBER(SEARCH("fray",C289)),"Material Frayed",ISNUMBER(SEARCH("hole",C289)),"Material Frayed",ISNUMBER(SEARCH("tear",C289)),"Material Frayed",ISNUMBER(SEARCH("worn",C289)),"Material Frayed",ISNUMBER(SEARCH("intermittent",C289)),"Difficult or Delayed Activation",ISNUMBER(SEARCH("delay",C289)),"Difficult or Delayed Activation",ISNUMBER(SEARCH("label",C289)),"Device Markings/Labelling Problem",ISNUMBER(SEARCH("marking",C289)),"Device Markings/Labelling Problem",ISNUMBER(SEARCH("lacerat",C289)),"Defective Device",ISNUMBER(SEARCH("cut",C289)),"Defective Device",ISNUMBER(SEARCH("leak",C289)),"Fluid/Blood Leak",ISNUMBER(SEARCH("missing",C289)),"Component Missing",ISNUMBER(SEARCH("power",C289)),"Complete Loss of Power",ISNUMBER(SEARCH("will not turn on",C289)),"Complete Loss of Power",ISNUMBER(SEARCH("won't turn on",C289)),"Complete Loss of Power",ISNUMBER(SEARCH("does not turn on",C289)),"Complete Loss of Power",ISNUMBER(SEARCH("electrical",C289)),"Electrical Power Problem",ISNUMBER(SEARCH("pressure",C289)),"Detachment of Device or Device Component",ISNUMBER(SEARCH("slip",C289)),"Detachment of Device or Device Component",ISNUMBER(SEARCH("detach",C289)),"Detachment of Device or Device Component",ISNUMBER(SEARCH("stick",C289)),"Mechanical Jam",ISNUMBER(SEARCH("jam",C289)),"Mechanical Jam",ISNUMBER(SEARCH("rigid",C289)),"Mechanical Jam",ISNUMBER(SEARCH("rust",C289)),"Corroded",ISNUMBER(SEARCH("corrod",C289)),"Corroded",ISNUMBER(SEARCH("corrosion",C289)),"Corroded",ISNUMBER(SEARCH("alignment",C289)),"Defective Device",ISNUMBER(SEARCH("adjust",C289)),"Defective Device",ISNUMBER(SEARCH("perform",C289)),"Defective Device",ISNUMBER(SEARCH("malfunction",C289)),"Defective Device",ISNUMBER(SEARCH("defect",C289)),"Defective Device",ISNUMBER(SEARCH("fail",C289)),"Defective Device",ISNUMBER(SEARCH("not work",C289)),"Defective Device",ISNUMBER(SEARCH("doesn't work",C289)),"Defective Device",TRUE,"UNKNOWN"),"UNKNOWN")))</f>
        <v/>
      </c>
      <c r="F289" s="4" t="str">
        <f t="shared" si="4"/>
        <v/>
      </c>
      <c r="G289" s="363" t="str">
        <f>IF(E289="","",IFERROR(VLOOKUP(E289,Codes!$L$2:$N$409,3,FALSE),"—"))</f>
        <v/>
      </c>
      <c r="H289" s="88"/>
      <c r="I289" s="88"/>
    </row>
    <row r="290" spans="1:9" ht="13.15" x14ac:dyDescent="0.35">
      <c r="A290" s="434"/>
      <c r="B290" s="436"/>
      <c r="C290" s="437"/>
      <c r="D290" s="434"/>
      <c r="E290" s="93" t="str" cm="1">
        <f t="array" ref="E290">IF(D290&lt;&gt;"",IFERROR(VLOOKUP(D290,Codes!$K$2:$L$409,2,FALSE),"UNKNOWN - "&amp;D290),IF(C290="","",IFERROR(_xlfn.IFS(ISNUMBER(SEARCH("broken button",C290)),"Break",ISNUMBER(SEARCH("broken handle",C290)),"Break",ISNUMBER(SEARCH("shipping damage",C290)),"Break",ISNUMBER(SEARCH("broken",C290)),"Break",ISNUMBER(SEARCH("crack",C290)),"Break",ISNUMBER(SEARCH("snap",C290)),"Break",ISNUMBER(SEARCH("fracture",C290)),"Break",ISNUMBER(SEARCH("bent",C290)),"Material Twisted/Bent",ISNUMBER(SEARCH("twisted",C290)),"Material Twisted/Bent",ISNUMBER(SEARCH("component separat",C290)),"Material Separation",ISNUMBER(SEARCH("separat",C290)),"Material Separation",ISNUMBER(SEARCH("connection",C290)),"Loose or Intermittent Connection",ISNUMBER(SEARCH("loose",C290)),"Loose or Intermittent Connection",ISNUMBER(SEARCH("damaged packaging",C290)),"Packaging Problem",ISNUMBER(SEARCH("packaging",C290)),"Packaging Problem",ISNUMBER(SEARCH("discoloration",C290)),"Contamination",ISNUMBER(SEARCH("tarnish",C290)),"Contamination",ISNUMBER(SEARCH("stain",C290)),"Contamination",ISNUMBER(SEARCH("foreign material",C290)),"Contamination",ISNUMBER(SEARCH("contamina",C290)),"Contamination",ISNUMBER(SEARCH("overheat",C290)),"Overheating of Device",ISNUMBER(SEARCH("excessive heat",C290)),"Overheating of Device",ISNUMBER(SEARCH("hot",C290)),"Overheating of Device",ISNUMBER(SEARCH("noise",C290)),"Noise, Audible",ISNUMBER(SEARCH("sound",C290)),"Noise, Audible",ISNUMBER(SEARCH("loud",C290)),"Noise, Audible",ISNUMBER(SEARCH("fray",C290)),"Material Frayed",ISNUMBER(SEARCH("hole",C290)),"Material Frayed",ISNUMBER(SEARCH("tear",C290)),"Material Frayed",ISNUMBER(SEARCH("worn",C290)),"Material Frayed",ISNUMBER(SEARCH("intermittent",C290)),"Difficult or Delayed Activation",ISNUMBER(SEARCH("delay",C290)),"Difficult or Delayed Activation",ISNUMBER(SEARCH("label",C290)),"Device Markings/Labelling Problem",ISNUMBER(SEARCH("marking",C290)),"Device Markings/Labelling Problem",ISNUMBER(SEARCH("lacerat",C290)),"Defective Device",ISNUMBER(SEARCH("cut",C290)),"Defective Device",ISNUMBER(SEARCH("leak",C290)),"Fluid/Blood Leak",ISNUMBER(SEARCH("missing",C290)),"Component Missing",ISNUMBER(SEARCH("power",C290)),"Complete Loss of Power",ISNUMBER(SEARCH("will not turn on",C290)),"Complete Loss of Power",ISNUMBER(SEARCH("won't turn on",C290)),"Complete Loss of Power",ISNUMBER(SEARCH("does not turn on",C290)),"Complete Loss of Power",ISNUMBER(SEARCH("electrical",C290)),"Electrical Power Problem",ISNUMBER(SEARCH("pressure",C290)),"Detachment of Device or Device Component",ISNUMBER(SEARCH("slip",C290)),"Detachment of Device or Device Component",ISNUMBER(SEARCH("detach",C290)),"Detachment of Device or Device Component",ISNUMBER(SEARCH("stick",C290)),"Mechanical Jam",ISNUMBER(SEARCH("jam",C290)),"Mechanical Jam",ISNUMBER(SEARCH("rigid",C290)),"Mechanical Jam",ISNUMBER(SEARCH("rust",C290)),"Corroded",ISNUMBER(SEARCH("corrod",C290)),"Corroded",ISNUMBER(SEARCH("corrosion",C290)),"Corroded",ISNUMBER(SEARCH("alignment",C290)),"Defective Device",ISNUMBER(SEARCH("adjust",C290)),"Defective Device",ISNUMBER(SEARCH("perform",C290)),"Defective Device",ISNUMBER(SEARCH("malfunction",C290)),"Defective Device",ISNUMBER(SEARCH("defect",C290)),"Defective Device",ISNUMBER(SEARCH("fail",C290)),"Defective Device",ISNUMBER(SEARCH("not work",C290)),"Defective Device",ISNUMBER(SEARCH("doesn't work",C290)),"Defective Device",TRUE,"UNKNOWN"),"UNKNOWN")))</f>
        <v/>
      </c>
      <c r="F290" s="4" t="str">
        <f t="shared" si="4"/>
        <v/>
      </c>
      <c r="G290" s="363" t="str">
        <f>IF(E290="","",IFERROR(VLOOKUP(E290,Codes!$L$2:$N$409,3,FALSE),"—"))</f>
        <v/>
      </c>
      <c r="H290" s="88"/>
      <c r="I290" s="88"/>
    </row>
    <row r="291" spans="1:9" ht="13.15" x14ac:dyDescent="0.35">
      <c r="A291" s="435"/>
      <c r="B291" s="436"/>
      <c r="C291" s="435"/>
      <c r="D291" s="435"/>
      <c r="E291" s="93" t="str" cm="1">
        <f t="array" ref="E291">IF(D291&lt;&gt;"",IFERROR(VLOOKUP(D291,Codes!$K$2:$L$409,2,FALSE),"UNKNOWN - "&amp;D291),IF(C291="","",IFERROR(_xlfn.IFS(ISNUMBER(SEARCH("broken button",C291)),"Break",ISNUMBER(SEARCH("broken handle",C291)),"Break",ISNUMBER(SEARCH("shipping damage",C291)),"Break",ISNUMBER(SEARCH("broken",C291)),"Break",ISNUMBER(SEARCH("crack",C291)),"Break",ISNUMBER(SEARCH("snap",C291)),"Break",ISNUMBER(SEARCH("fracture",C291)),"Break",ISNUMBER(SEARCH("bent",C291)),"Material Twisted/Bent",ISNUMBER(SEARCH("twisted",C291)),"Material Twisted/Bent",ISNUMBER(SEARCH("component separat",C291)),"Material Separation",ISNUMBER(SEARCH("separat",C291)),"Material Separation",ISNUMBER(SEARCH("connection",C291)),"Loose or Intermittent Connection",ISNUMBER(SEARCH("loose",C291)),"Loose or Intermittent Connection",ISNUMBER(SEARCH("damaged packaging",C291)),"Packaging Problem",ISNUMBER(SEARCH("packaging",C291)),"Packaging Problem",ISNUMBER(SEARCH("discoloration",C291)),"Contamination",ISNUMBER(SEARCH("tarnish",C291)),"Contamination",ISNUMBER(SEARCH("stain",C291)),"Contamination",ISNUMBER(SEARCH("foreign material",C291)),"Contamination",ISNUMBER(SEARCH("contamina",C291)),"Contamination",ISNUMBER(SEARCH("overheat",C291)),"Overheating of Device",ISNUMBER(SEARCH("excessive heat",C291)),"Overheating of Device",ISNUMBER(SEARCH("hot",C291)),"Overheating of Device",ISNUMBER(SEARCH("noise",C291)),"Noise, Audible",ISNUMBER(SEARCH("sound",C291)),"Noise, Audible",ISNUMBER(SEARCH("loud",C291)),"Noise, Audible",ISNUMBER(SEARCH("fray",C291)),"Material Frayed",ISNUMBER(SEARCH("hole",C291)),"Material Frayed",ISNUMBER(SEARCH("tear",C291)),"Material Frayed",ISNUMBER(SEARCH("worn",C291)),"Material Frayed",ISNUMBER(SEARCH("intermittent",C291)),"Difficult or Delayed Activation",ISNUMBER(SEARCH("delay",C291)),"Difficult or Delayed Activation",ISNUMBER(SEARCH("label",C291)),"Device Markings/Labelling Problem",ISNUMBER(SEARCH("marking",C291)),"Device Markings/Labelling Problem",ISNUMBER(SEARCH("lacerat",C291)),"Defective Device",ISNUMBER(SEARCH("cut",C291)),"Defective Device",ISNUMBER(SEARCH("leak",C291)),"Fluid/Blood Leak",ISNUMBER(SEARCH("missing",C291)),"Component Missing",ISNUMBER(SEARCH("power",C291)),"Complete Loss of Power",ISNUMBER(SEARCH("will not turn on",C291)),"Complete Loss of Power",ISNUMBER(SEARCH("won't turn on",C291)),"Complete Loss of Power",ISNUMBER(SEARCH("does not turn on",C291)),"Complete Loss of Power",ISNUMBER(SEARCH("electrical",C291)),"Electrical Power Problem",ISNUMBER(SEARCH("pressure",C291)),"Detachment of Device or Device Component",ISNUMBER(SEARCH("slip",C291)),"Detachment of Device or Device Component",ISNUMBER(SEARCH("detach",C291)),"Detachment of Device or Device Component",ISNUMBER(SEARCH("stick",C291)),"Mechanical Jam",ISNUMBER(SEARCH("jam",C291)),"Mechanical Jam",ISNUMBER(SEARCH("rigid",C291)),"Mechanical Jam",ISNUMBER(SEARCH("rust",C291)),"Corroded",ISNUMBER(SEARCH("corrod",C291)),"Corroded",ISNUMBER(SEARCH("corrosion",C291)),"Corroded",ISNUMBER(SEARCH("alignment",C291)),"Defective Device",ISNUMBER(SEARCH("adjust",C291)),"Defective Device",ISNUMBER(SEARCH("perform",C291)),"Defective Device",ISNUMBER(SEARCH("malfunction",C291)),"Defective Device",ISNUMBER(SEARCH("defect",C291)),"Defective Device",ISNUMBER(SEARCH("fail",C291)),"Defective Device",ISNUMBER(SEARCH("not work",C291)),"Defective Device",ISNUMBER(SEARCH("doesn't work",C291)),"Defective Device",TRUE,"UNKNOWN"),"UNKNOWN")))</f>
        <v/>
      </c>
      <c r="F291" s="4" t="str">
        <f t="shared" si="4"/>
        <v/>
      </c>
      <c r="G291" s="363" t="str">
        <f>IF(E291="","",IFERROR(VLOOKUP(E291,Codes!$L$2:$N$409,3,FALSE),"—"))</f>
        <v/>
      </c>
      <c r="H291" s="88"/>
      <c r="I291" s="88"/>
    </row>
    <row r="292" spans="1:9" ht="13.15" x14ac:dyDescent="0.35">
      <c r="A292" s="434"/>
      <c r="B292" s="436"/>
      <c r="C292" s="437"/>
      <c r="D292" s="434"/>
      <c r="E292" s="93" t="str" cm="1">
        <f t="array" ref="E292">IF(D292&lt;&gt;"",IFERROR(VLOOKUP(D292,Codes!$K$2:$L$409,2,FALSE),"UNKNOWN - "&amp;D292),IF(C292="","",IFERROR(_xlfn.IFS(ISNUMBER(SEARCH("broken button",C292)),"Break",ISNUMBER(SEARCH("broken handle",C292)),"Break",ISNUMBER(SEARCH("shipping damage",C292)),"Break",ISNUMBER(SEARCH("broken",C292)),"Break",ISNUMBER(SEARCH("crack",C292)),"Break",ISNUMBER(SEARCH("snap",C292)),"Break",ISNUMBER(SEARCH("fracture",C292)),"Break",ISNUMBER(SEARCH("bent",C292)),"Material Twisted/Bent",ISNUMBER(SEARCH("twisted",C292)),"Material Twisted/Bent",ISNUMBER(SEARCH("component separat",C292)),"Material Separation",ISNUMBER(SEARCH("separat",C292)),"Material Separation",ISNUMBER(SEARCH("connection",C292)),"Loose or Intermittent Connection",ISNUMBER(SEARCH("loose",C292)),"Loose or Intermittent Connection",ISNUMBER(SEARCH("damaged packaging",C292)),"Packaging Problem",ISNUMBER(SEARCH("packaging",C292)),"Packaging Problem",ISNUMBER(SEARCH("discoloration",C292)),"Contamination",ISNUMBER(SEARCH("tarnish",C292)),"Contamination",ISNUMBER(SEARCH("stain",C292)),"Contamination",ISNUMBER(SEARCH("foreign material",C292)),"Contamination",ISNUMBER(SEARCH("contamina",C292)),"Contamination",ISNUMBER(SEARCH("overheat",C292)),"Overheating of Device",ISNUMBER(SEARCH("excessive heat",C292)),"Overheating of Device",ISNUMBER(SEARCH("hot",C292)),"Overheating of Device",ISNUMBER(SEARCH("noise",C292)),"Noise, Audible",ISNUMBER(SEARCH("sound",C292)),"Noise, Audible",ISNUMBER(SEARCH("loud",C292)),"Noise, Audible",ISNUMBER(SEARCH("fray",C292)),"Material Frayed",ISNUMBER(SEARCH("hole",C292)),"Material Frayed",ISNUMBER(SEARCH("tear",C292)),"Material Frayed",ISNUMBER(SEARCH("worn",C292)),"Material Frayed",ISNUMBER(SEARCH("intermittent",C292)),"Difficult or Delayed Activation",ISNUMBER(SEARCH("delay",C292)),"Difficult or Delayed Activation",ISNUMBER(SEARCH("label",C292)),"Device Markings/Labelling Problem",ISNUMBER(SEARCH("marking",C292)),"Device Markings/Labelling Problem",ISNUMBER(SEARCH("lacerat",C292)),"Defective Device",ISNUMBER(SEARCH("cut",C292)),"Defective Device",ISNUMBER(SEARCH("leak",C292)),"Fluid/Blood Leak",ISNUMBER(SEARCH("missing",C292)),"Component Missing",ISNUMBER(SEARCH("power",C292)),"Complete Loss of Power",ISNUMBER(SEARCH("will not turn on",C292)),"Complete Loss of Power",ISNUMBER(SEARCH("won't turn on",C292)),"Complete Loss of Power",ISNUMBER(SEARCH("does not turn on",C292)),"Complete Loss of Power",ISNUMBER(SEARCH("electrical",C292)),"Electrical Power Problem",ISNUMBER(SEARCH("pressure",C292)),"Detachment of Device or Device Component",ISNUMBER(SEARCH("slip",C292)),"Detachment of Device or Device Component",ISNUMBER(SEARCH("detach",C292)),"Detachment of Device or Device Component",ISNUMBER(SEARCH("stick",C292)),"Mechanical Jam",ISNUMBER(SEARCH("jam",C292)),"Mechanical Jam",ISNUMBER(SEARCH("rigid",C292)),"Mechanical Jam",ISNUMBER(SEARCH("rust",C292)),"Corroded",ISNUMBER(SEARCH("corrod",C292)),"Corroded",ISNUMBER(SEARCH("corrosion",C292)),"Corroded",ISNUMBER(SEARCH("alignment",C292)),"Defective Device",ISNUMBER(SEARCH("adjust",C292)),"Defective Device",ISNUMBER(SEARCH("perform",C292)),"Defective Device",ISNUMBER(SEARCH("malfunction",C292)),"Defective Device",ISNUMBER(SEARCH("defect",C292)),"Defective Device",ISNUMBER(SEARCH("fail",C292)),"Defective Device",ISNUMBER(SEARCH("not work",C292)),"Defective Device",ISNUMBER(SEARCH("doesn't work",C292)),"Defective Device",TRUE,"UNKNOWN"),"UNKNOWN")))</f>
        <v/>
      </c>
      <c r="F292" s="4" t="str">
        <f t="shared" si="4"/>
        <v/>
      </c>
      <c r="G292" s="363" t="str">
        <f>IF(E292="","",IFERROR(VLOOKUP(E292,Codes!$L$2:$N$409,3,FALSE),"—"))</f>
        <v/>
      </c>
      <c r="H292" s="88"/>
      <c r="I292" s="88"/>
    </row>
    <row r="293" spans="1:9" ht="13.15" x14ac:dyDescent="0.35">
      <c r="A293" s="434"/>
      <c r="B293" s="436"/>
      <c r="C293" s="437"/>
      <c r="D293" s="434"/>
      <c r="E293" s="93" t="str" cm="1">
        <f t="array" ref="E293">IF(D293&lt;&gt;"",IFERROR(VLOOKUP(D293,Codes!$K$2:$L$409,2,FALSE),"UNKNOWN - "&amp;D293),IF(C293="","",IFERROR(_xlfn.IFS(ISNUMBER(SEARCH("broken button",C293)),"Break",ISNUMBER(SEARCH("broken handle",C293)),"Break",ISNUMBER(SEARCH("shipping damage",C293)),"Break",ISNUMBER(SEARCH("broken",C293)),"Break",ISNUMBER(SEARCH("crack",C293)),"Break",ISNUMBER(SEARCH("snap",C293)),"Break",ISNUMBER(SEARCH("fracture",C293)),"Break",ISNUMBER(SEARCH("bent",C293)),"Material Twisted/Bent",ISNUMBER(SEARCH("twisted",C293)),"Material Twisted/Bent",ISNUMBER(SEARCH("component separat",C293)),"Material Separation",ISNUMBER(SEARCH("separat",C293)),"Material Separation",ISNUMBER(SEARCH("connection",C293)),"Loose or Intermittent Connection",ISNUMBER(SEARCH("loose",C293)),"Loose or Intermittent Connection",ISNUMBER(SEARCH("damaged packaging",C293)),"Packaging Problem",ISNUMBER(SEARCH("packaging",C293)),"Packaging Problem",ISNUMBER(SEARCH("discoloration",C293)),"Contamination",ISNUMBER(SEARCH("tarnish",C293)),"Contamination",ISNUMBER(SEARCH("stain",C293)),"Contamination",ISNUMBER(SEARCH("foreign material",C293)),"Contamination",ISNUMBER(SEARCH("contamina",C293)),"Contamination",ISNUMBER(SEARCH("overheat",C293)),"Overheating of Device",ISNUMBER(SEARCH("excessive heat",C293)),"Overheating of Device",ISNUMBER(SEARCH("hot",C293)),"Overheating of Device",ISNUMBER(SEARCH("noise",C293)),"Noise, Audible",ISNUMBER(SEARCH("sound",C293)),"Noise, Audible",ISNUMBER(SEARCH("loud",C293)),"Noise, Audible",ISNUMBER(SEARCH("fray",C293)),"Material Frayed",ISNUMBER(SEARCH("hole",C293)),"Material Frayed",ISNUMBER(SEARCH("tear",C293)),"Material Frayed",ISNUMBER(SEARCH("worn",C293)),"Material Frayed",ISNUMBER(SEARCH("intermittent",C293)),"Difficult or Delayed Activation",ISNUMBER(SEARCH("delay",C293)),"Difficult or Delayed Activation",ISNUMBER(SEARCH("label",C293)),"Device Markings/Labelling Problem",ISNUMBER(SEARCH("marking",C293)),"Device Markings/Labelling Problem",ISNUMBER(SEARCH("lacerat",C293)),"Defective Device",ISNUMBER(SEARCH("cut",C293)),"Defective Device",ISNUMBER(SEARCH("leak",C293)),"Fluid/Blood Leak",ISNUMBER(SEARCH("missing",C293)),"Component Missing",ISNUMBER(SEARCH("power",C293)),"Complete Loss of Power",ISNUMBER(SEARCH("will not turn on",C293)),"Complete Loss of Power",ISNUMBER(SEARCH("won't turn on",C293)),"Complete Loss of Power",ISNUMBER(SEARCH("does not turn on",C293)),"Complete Loss of Power",ISNUMBER(SEARCH("electrical",C293)),"Electrical Power Problem",ISNUMBER(SEARCH("pressure",C293)),"Detachment of Device or Device Component",ISNUMBER(SEARCH("slip",C293)),"Detachment of Device or Device Component",ISNUMBER(SEARCH("detach",C293)),"Detachment of Device or Device Component",ISNUMBER(SEARCH("stick",C293)),"Mechanical Jam",ISNUMBER(SEARCH("jam",C293)),"Mechanical Jam",ISNUMBER(SEARCH("rigid",C293)),"Mechanical Jam",ISNUMBER(SEARCH("rust",C293)),"Corroded",ISNUMBER(SEARCH("corrod",C293)),"Corroded",ISNUMBER(SEARCH("corrosion",C293)),"Corroded",ISNUMBER(SEARCH("alignment",C293)),"Defective Device",ISNUMBER(SEARCH("adjust",C293)),"Defective Device",ISNUMBER(SEARCH("perform",C293)),"Defective Device",ISNUMBER(SEARCH("malfunction",C293)),"Defective Device",ISNUMBER(SEARCH("defect",C293)),"Defective Device",ISNUMBER(SEARCH("fail",C293)),"Defective Device",ISNUMBER(SEARCH("not work",C293)),"Defective Device",ISNUMBER(SEARCH("doesn't work",C293)),"Defective Device",TRUE,"UNKNOWN"),"UNKNOWN")))</f>
        <v/>
      </c>
      <c r="F293" s="4" t="str">
        <f t="shared" si="4"/>
        <v/>
      </c>
      <c r="G293" s="363" t="str">
        <f>IF(E293="","",IFERROR(VLOOKUP(E293,Codes!$L$2:$N$409,3,FALSE),"—"))</f>
        <v/>
      </c>
      <c r="H293" s="88"/>
      <c r="I293" s="88"/>
    </row>
    <row r="294" spans="1:9" ht="13.15" x14ac:dyDescent="0.35">
      <c r="A294" s="435"/>
      <c r="B294" s="436"/>
      <c r="C294" s="438"/>
      <c r="D294" s="435"/>
      <c r="E294" s="93" t="str" cm="1">
        <f t="array" ref="E294">IF(D294&lt;&gt;"",IFERROR(VLOOKUP(D294,Codes!$K$2:$L$409,2,FALSE),"UNKNOWN - "&amp;D294),IF(C294="","",IFERROR(_xlfn.IFS(ISNUMBER(SEARCH("broken button",C294)),"Break",ISNUMBER(SEARCH("broken handle",C294)),"Break",ISNUMBER(SEARCH("shipping damage",C294)),"Break",ISNUMBER(SEARCH("broken",C294)),"Break",ISNUMBER(SEARCH("crack",C294)),"Break",ISNUMBER(SEARCH("snap",C294)),"Break",ISNUMBER(SEARCH("fracture",C294)),"Break",ISNUMBER(SEARCH("bent",C294)),"Material Twisted/Bent",ISNUMBER(SEARCH("twisted",C294)),"Material Twisted/Bent",ISNUMBER(SEARCH("component separat",C294)),"Material Separation",ISNUMBER(SEARCH("separat",C294)),"Material Separation",ISNUMBER(SEARCH("connection",C294)),"Loose or Intermittent Connection",ISNUMBER(SEARCH("loose",C294)),"Loose or Intermittent Connection",ISNUMBER(SEARCH("damaged packaging",C294)),"Packaging Problem",ISNUMBER(SEARCH("packaging",C294)),"Packaging Problem",ISNUMBER(SEARCH("discoloration",C294)),"Contamination",ISNUMBER(SEARCH("tarnish",C294)),"Contamination",ISNUMBER(SEARCH("stain",C294)),"Contamination",ISNUMBER(SEARCH("foreign material",C294)),"Contamination",ISNUMBER(SEARCH("contamina",C294)),"Contamination",ISNUMBER(SEARCH("overheat",C294)),"Overheating of Device",ISNUMBER(SEARCH("excessive heat",C294)),"Overheating of Device",ISNUMBER(SEARCH("hot",C294)),"Overheating of Device",ISNUMBER(SEARCH("noise",C294)),"Noise, Audible",ISNUMBER(SEARCH("sound",C294)),"Noise, Audible",ISNUMBER(SEARCH("loud",C294)),"Noise, Audible",ISNUMBER(SEARCH("fray",C294)),"Material Frayed",ISNUMBER(SEARCH("hole",C294)),"Material Frayed",ISNUMBER(SEARCH("tear",C294)),"Material Frayed",ISNUMBER(SEARCH("worn",C294)),"Material Frayed",ISNUMBER(SEARCH("intermittent",C294)),"Difficult or Delayed Activation",ISNUMBER(SEARCH("delay",C294)),"Difficult or Delayed Activation",ISNUMBER(SEARCH("label",C294)),"Device Markings/Labelling Problem",ISNUMBER(SEARCH("marking",C294)),"Device Markings/Labelling Problem",ISNUMBER(SEARCH("lacerat",C294)),"Defective Device",ISNUMBER(SEARCH("cut",C294)),"Defective Device",ISNUMBER(SEARCH("leak",C294)),"Fluid/Blood Leak",ISNUMBER(SEARCH("missing",C294)),"Component Missing",ISNUMBER(SEARCH("power",C294)),"Complete Loss of Power",ISNUMBER(SEARCH("will not turn on",C294)),"Complete Loss of Power",ISNUMBER(SEARCH("won't turn on",C294)),"Complete Loss of Power",ISNUMBER(SEARCH("does not turn on",C294)),"Complete Loss of Power",ISNUMBER(SEARCH("electrical",C294)),"Electrical Power Problem",ISNUMBER(SEARCH("pressure",C294)),"Detachment of Device or Device Component",ISNUMBER(SEARCH("slip",C294)),"Detachment of Device or Device Component",ISNUMBER(SEARCH("detach",C294)),"Detachment of Device or Device Component",ISNUMBER(SEARCH("stick",C294)),"Mechanical Jam",ISNUMBER(SEARCH("jam",C294)),"Mechanical Jam",ISNUMBER(SEARCH("rigid",C294)),"Mechanical Jam",ISNUMBER(SEARCH("rust",C294)),"Corroded",ISNUMBER(SEARCH("corrod",C294)),"Corroded",ISNUMBER(SEARCH("corrosion",C294)),"Corroded",ISNUMBER(SEARCH("alignment",C294)),"Defective Device",ISNUMBER(SEARCH("adjust",C294)),"Defective Device",ISNUMBER(SEARCH("perform",C294)),"Defective Device",ISNUMBER(SEARCH("malfunction",C294)),"Defective Device",ISNUMBER(SEARCH("defect",C294)),"Defective Device",ISNUMBER(SEARCH("fail",C294)),"Defective Device",ISNUMBER(SEARCH("not work",C294)),"Defective Device",ISNUMBER(SEARCH("doesn't work",C294)),"Defective Device",TRUE,"UNKNOWN"),"UNKNOWN")))</f>
        <v/>
      </c>
      <c r="F294" s="4" t="str">
        <f t="shared" si="4"/>
        <v/>
      </c>
      <c r="G294" s="363" t="str">
        <f>IF(E294="","",IFERROR(VLOOKUP(E294,Codes!$L$2:$N$409,3,FALSE),"—"))</f>
        <v/>
      </c>
      <c r="H294" s="88"/>
      <c r="I294" s="88"/>
    </row>
    <row r="295" spans="1:9" ht="13.15" x14ac:dyDescent="0.35">
      <c r="A295" s="435"/>
      <c r="B295" s="436"/>
      <c r="C295" s="438"/>
      <c r="D295" s="435"/>
      <c r="E295" s="93" t="str" cm="1">
        <f t="array" ref="E295">IF(D295&lt;&gt;"",IFERROR(VLOOKUP(D295,Codes!$K$2:$L$409,2,FALSE),"UNKNOWN - "&amp;D295),IF(C295="","",IFERROR(_xlfn.IFS(ISNUMBER(SEARCH("broken button",C295)),"Break",ISNUMBER(SEARCH("broken handle",C295)),"Break",ISNUMBER(SEARCH("shipping damage",C295)),"Break",ISNUMBER(SEARCH("broken",C295)),"Break",ISNUMBER(SEARCH("crack",C295)),"Break",ISNUMBER(SEARCH("snap",C295)),"Break",ISNUMBER(SEARCH("fracture",C295)),"Break",ISNUMBER(SEARCH("bent",C295)),"Material Twisted/Bent",ISNUMBER(SEARCH("twisted",C295)),"Material Twisted/Bent",ISNUMBER(SEARCH("component separat",C295)),"Material Separation",ISNUMBER(SEARCH("separat",C295)),"Material Separation",ISNUMBER(SEARCH("connection",C295)),"Loose or Intermittent Connection",ISNUMBER(SEARCH("loose",C295)),"Loose or Intermittent Connection",ISNUMBER(SEARCH("damaged packaging",C295)),"Packaging Problem",ISNUMBER(SEARCH("packaging",C295)),"Packaging Problem",ISNUMBER(SEARCH("discoloration",C295)),"Contamination",ISNUMBER(SEARCH("tarnish",C295)),"Contamination",ISNUMBER(SEARCH("stain",C295)),"Contamination",ISNUMBER(SEARCH("foreign material",C295)),"Contamination",ISNUMBER(SEARCH("contamina",C295)),"Contamination",ISNUMBER(SEARCH("overheat",C295)),"Overheating of Device",ISNUMBER(SEARCH("excessive heat",C295)),"Overheating of Device",ISNUMBER(SEARCH("hot",C295)),"Overheating of Device",ISNUMBER(SEARCH("noise",C295)),"Noise, Audible",ISNUMBER(SEARCH("sound",C295)),"Noise, Audible",ISNUMBER(SEARCH("loud",C295)),"Noise, Audible",ISNUMBER(SEARCH("fray",C295)),"Material Frayed",ISNUMBER(SEARCH("hole",C295)),"Material Frayed",ISNUMBER(SEARCH("tear",C295)),"Material Frayed",ISNUMBER(SEARCH("worn",C295)),"Material Frayed",ISNUMBER(SEARCH("intermittent",C295)),"Difficult or Delayed Activation",ISNUMBER(SEARCH("delay",C295)),"Difficult or Delayed Activation",ISNUMBER(SEARCH("label",C295)),"Device Markings/Labelling Problem",ISNUMBER(SEARCH("marking",C295)),"Device Markings/Labelling Problem",ISNUMBER(SEARCH("lacerat",C295)),"Defective Device",ISNUMBER(SEARCH("cut",C295)),"Defective Device",ISNUMBER(SEARCH("leak",C295)),"Fluid/Blood Leak",ISNUMBER(SEARCH("missing",C295)),"Component Missing",ISNUMBER(SEARCH("power",C295)),"Complete Loss of Power",ISNUMBER(SEARCH("will not turn on",C295)),"Complete Loss of Power",ISNUMBER(SEARCH("won't turn on",C295)),"Complete Loss of Power",ISNUMBER(SEARCH("does not turn on",C295)),"Complete Loss of Power",ISNUMBER(SEARCH("electrical",C295)),"Electrical Power Problem",ISNUMBER(SEARCH("pressure",C295)),"Detachment of Device or Device Component",ISNUMBER(SEARCH("slip",C295)),"Detachment of Device or Device Component",ISNUMBER(SEARCH("detach",C295)),"Detachment of Device or Device Component",ISNUMBER(SEARCH("stick",C295)),"Mechanical Jam",ISNUMBER(SEARCH("jam",C295)),"Mechanical Jam",ISNUMBER(SEARCH("rigid",C295)),"Mechanical Jam",ISNUMBER(SEARCH("rust",C295)),"Corroded",ISNUMBER(SEARCH("corrod",C295)),"Corroded",ISNUMBER(SEARCH("corrosion",C295)),"Corroded",ISNUMBER(SEARCH("alignment",C295)),"Defective Device",ISNUMBER(SEARCH("adjust",C295)),"Defective Device",ISNUMBER(SEARCH("perform",C295)),"Defective Device",ISNUMBER(SEARCH("malfunction",C295)),"Defective Device",ISNUMBER(SEARCH("defect",C295)),"Defective Device",ISNUMBER(SEARCH("fail",C295)),"Defective Device",ISNUMBER(SEARCH("not work",C295)),"Defective Device",ISNUMBER(SEARCH("doesn't work",C295)),"Defective Device",TRUE,"UNKNOWN"),"UNKNOWN")))</f>
        <v/>
      </c>
      <c r="F295" s="4" t="str">
        <f t="shared" si="4"/>
        <v/>
      </c>
      <c r="G295" s="363" t="str">
        <f>IF(E295="","",IFERROR(VLOOKUP(E295,Codes!$L$2:$N$409,3,FALSE),"—"))</f>
        <v/>
      </c>
      <c r="H295" s="88"/>
      <c r="I295" s="88"/>
    </row>
    <row r="296" spans="1:9" ht="13.15" x14ac:dyDescent="0.35">
      <c r="A296" s="435"/>
      <c r="B296" s="436"/>
      <c r="C296" s="438"/>
      <c r="D296" s="435"/>
      <c r="E296" s="93" t="str" cm="1">
        <f t="array" ref="E296">IF(D296&lt;&gt;"",IFERROR(VLOOKUP(D296,Codes!$K$2:$L$409,2,FALSE),"UNKNOWN - "&amp;D296),IF(C296="","",IFERROR(_xlfn.IFS(ISNUMBER(SEARCH("broken button",C296)),"Break",ISNUMBER(SEARCH("broken handle",C296)),"Break",ISNUMBER(SEARCH("shipping damage",C296)),"Break",ISNUMBER(SEARCH("broken",C296)),"Break",ISNUMBER(SEARCH("crack",C296)),"Break",ISNUMBER(SEARCH("snap",C296)),"Break",ISNUMBER(SEARCH("fracture",C296)),"Break",ISNUMBER(SEARCH("bent",C296)),"Material Twisted/Bent",ISNUMBER(SEARCH("twisted",C296)),"Material Twisted/Bent",ISNUMBER(SEARCH("component separat",C296)),"Material Separation",ISNUMBER(SEARCH("separat",C296)),"Material Separation",ISNUMBER(SEARCH("connection",C296)),"Loose or Intermittent Connection",ISNUMBER(SEARCH("loose",C296)),"Loose or Intermittent Connection",ISNUMBER(SEARCH("damaged packaging",C296)),"Packaging Problem",ISNUMBER(SEARCH("packaging",C296)),"Packaging Problem",ISNUMBER(SEARCH("discoloration",C296)),"Contamination",ISNUMBER(SEARCH("tarnish",C296)),"Contamination",ISNUMBER(SEARCH("stain",C296)),"Contamination",ISNUMBER(SEARCH("foreign material",C296)),"Contamination",ISNUMBER(SEARCH("contamina",C296)),"Contamination",ISNUMBER(SEARCH("overheat",C296)),"Overheating of Device",ISNUMBER(SEARCH("excessive heat",C296)),"Overheating of Device",ISNUMBER(SEARCH("hot",C296)),"Overheating of Device",ISNUMBER(SEARCH("noise",C296)),"Noise, Audible",ISNUMBER(SEARCH("sound",C296)),"Noise, Audible",ISNUMBER(SEARCH("loud",C296)),"Noise, Audible",ISNUMBER(SEARCH("fray",C296)),"Material Frayed",ISNUMBER(SEARCH("hole",C296)),"Material Frayed",ISNUMBER(SEARCH("tear",C296)),"Material Frayed",ISNUMBER(SEARCH("worn",C296)),"Material Frayed",ISNUMBER(SEARCH("intermittent",C296)),"Difficult or Delayed Activation",ISNUMBER(SEARCH("delay",C296)),"Difficult or Delayed Activation",ISNUMBER(SEARCH("label",C296)),"Device Markings/Labelling Problem",ISNUMBER(SEARCH("marking",C296)),"Device Markings/Labelling Problem",ISNUMBER(SEARCH("lacerat",C296)),"Defective Device",ISNUMBER(SEARCH("cut",C296)),"Defective Device",ISNUMBER(SEARCH("leak",C296)),"Fluid/Blood Leak",ISNUMBER(SEARCH("missing",C296)),"Component Missing",ISNUMBER(SEARCH("power",C296)),"Complete Loss of Power",ISNUMBER(SEARCH("will not turn on",C296)),"Complete Loss of Power",ISNUMBER(SEARCH("won't turn on",C296)),"Complete Loss of Power",ISNUMBER(SEARCH("does not turn on",C296)),"Complete Loss of Power",ISNUMBER(SEARCH("electrical",C296)),"Electrical Power Problem",ISNUMBER(SEARCH("pressure",C296)),"Detachment of Device or Device Component",ISNUMBER(SEARCH("slip",C296)),"Detachment of Device or Device Component",ISNUMBER(SEARCH("detach",C296)),"Detachment of Device or Device Component",ISNUMBER(SEARCH("stick",C296)),"Mechanical Jam",ISNUMBER(SEARCH("jam",C296)),"Mechanical Jam",ISNUMBER(SEARCH("rigid",C296)),"Mechanical Jam",ISNUMBER(SEARCH("rust",C296)),"Corroded",ISNUMBER(SEARCH("corrod",C296)),"Corroded",ISNUMBER(SEARCH("corrosion",C296)),"Corroded",ISNUMBER(SEARCH("alignment",C296)),"Defective Device",ISNUMBER(SEARCH("adjust",C296)),"Defective Device",ISNUMBER(SEARCH("perform",C296)),"Defective Device",ISNUMBER(SEARCH("malfunction",C296)),"Defective Device",ISNUMBER(SEARCH("defect",C296)),"Defective Device",ISNUMBER(SEARCH("fail",C296)),"Defective Device",ISNUMBER(SEARCH("not work",C296)),"Defective Device",ISNUMBER(SEARCH("doesn't work",C296)),"Defective Device",TRUE,"UNKNOWN"),"UNKNOWN")))</f>
        <v/>
      </c>
      <c r="F296" s="4" t="str">
        <f t="shared" si="4"/>
        <v/>
      </c>
      <c r="G296" s="363" t="str">
        <f>IF(E296="","",IFERROR(VLOOKUP(E296,Codes!$L$2:$N$409,3,FALSE),"—"))</f>
        <v/>
      </c>
      <c r="H296" s="88"/>
      <c r="I296" s="88"/>
    </row>
    <row r="297" spans="1:9" ht="13.15" x14ac:dyDescent="0.35">
      <c r="A297" s="434"/>
      <c r="B297" s="436"/>
      <c r="C297" s="439"/>
      <c r="D297" s="434"/>
      <c r="E297" s="93" t="str" cm="1">
        <f t="array" ref="E297">IF(D297&lt;&gt;"",IFERROR(VLOOKUP(D297,Codes!$K$2:$L$409,2,FALSE),"UNKNOWN - "&amp;D297),IF(C297="","",IFERROR(_xlfn.IFS(ISNUMBER(SEARCH("broken button",C297)),"Break",ISNUMBER(SEARCH("broken handle",C297)),"Break",ISNUMBER(SEARCH("shipping damage",C297)),"Break",ISNUMBER(SEARCH("broken",C297)),"Break",ISNUMBER(SEARCH("crack",C297)),"Break",ISNUMBER(SEARCH("snap",C297)),"Break",ISNUMBER(SEARCH("fracture",C297)),"Break",ISNUMBER(SEARCH("bent",C297)),"Material Twisted/Bent",ISNUMBER(SEARCH("twisted",C297)),"Material Twisted/Bent",ISNUMBER(SEARCH("component separat",C297)),"Material Separation",ISNUMBER(SEARCH("separat",C297)),"Material Separation",ISNUMBER(SEARCH("connection",C297)),"Loose or Intermittent Connection",ISNUMBER(SEARCH("loose",C297)),"Loose or Intermittent Connection",ISNUMBER(SEARCH("damaged packaging",C297)),"Packaging Problem",ISNUMBER(SEARCH("packaging",C297)),"Packaging Problem",ISNUMBER(SEARCH("discoloration",C297)),"Contamination",ISNUMBER(SEARCH("tarnish",C297)),"Contamination",ISNUMBER(SEARCH("stain",C297)),"Contamination",ISNUMBER(SEARCH("foreign material",C297)),"Contamination",ISNUMBER(SEARCH("contamina",C297)),"Contamination",ISNUMBER(SEARCH("overheat",C297)),"Overheating of Device",ISNUMBER(SEARCH("excessive heat",C297)),"Overheating of Device",ISNUMBER(SEARCH("hot",C297)),"Overheating of Device",ISNUMBER(SEARCH("noise",C297)),"Noise, Audible",ISNUMBER(SEARCH("sound",C297)),"Noise, Audible",ISNUMBER(SEARCH("loud",C297)),"Noise, Audible",ISNUMBER(SEARCH("fray",C297)),"Material Frayed",ISNUMBER(SEARCH("hole",C297)),"Material Frayed",ISNUMBER(SEARCH("tear",C297)),"Material Frayed",ISNUMBER(SEARCH("worn",C297)),"Material Frayed",ISNUMBER(SEARCH("intermittent",C297)),"Difficult or Delayed Activation",ISNUMBER(SEARCH("delay",C297)),"Difficult or Delayed Activation",ISNUMBER(SEARCH("label",C297)),"Device Markings/Labelling Problem",ISNUMBER(SEARCH("marking",C297)),"Device Markings/Labelling Problem",ISNUMBER(SEARCH("lacerat",C297)),"Defective Device",ISNUMBER(SEARCH("cut",C297)),"Defective Device",ISNUMBER(SEARCH("leak",C297)),"Fluid/Blood Leak",ISNUMBER(SEARCH("missing",C297)),"Component Missing",ISNUMBER(SEARCH("power",C297)),"Complete Loss of Power",ISNUMBER(SEARCH("will not turn on",C297)),"Complete Loss of Power",ISNUMBER(SEARCH("won't turn on",C297)),"Complete Loss of Power",ISNUMBER(SEARCH("does not turn on",C297)),"Complete Loss of Power",ISNUMBER(SEARCH("electrical",C297)),"Electrical Power Problem",ISNUMBER(SEARCH("pressure",C297)),"Detachment of Device or Device Component",ISNUMBER(SEARCH("slip",C297)),"Detachment of Device or Device Component",ISNUMBER(SEARCH("detach",C297)),"Detachment of Device or Device Component",ISNUMBER(SEARCH("stick",C297)),"Mechanical Jam",ISNUMBER(SEARCH("jam",C297)),"Mechanical Jam",ISNUMBER(SEARCH("rigid",C297)),"Mechanical Jam",ISNUMBER(SEARCH("rust",C297)),"Corroded",ISNUMBER(SEARCH("corrod",C297)),"Corroded",ISNUMBER(SEARCH("corrosion",C297)),"Corroded",ISNUMBER(SEARCH("alignment",C297)),"Defective Device",ISNUMBER(SEARCH("adjust",C297)),"Defective Device",ISNUMBER(SEARCH("perform",C297)),"Defective Device",ISNUMBER(SEARCH("malfunction",C297)),"Defective Device",ISNUMBER(SEARCH("defect",C297)),"Defective Device",ISNUMBER(SEARCH("fail",C297)),"Defective Device",ISNUMBER(SEARCH("not work",C297)),"Defective Device",ISNUMBER(SEARCH("doesn't work",C297)),"Defective Device",TRUE,"UNKNOWN"),"UNKNOWN")))</f>
        <v/>
      </c>
      <c r="F297" s="4" t="str">
        <f t="shared" si="4"/>
        <v/>
      </c>
      <c r="G297" s="363" t="str">
        <f>IF(E297="","",IFERROR(VLOOKUP(E297,Codes!$L$2:$N$409,3,FALSE),"—"))</f>
        <v/>
      </c>
      <c r="H297" s="88"/>
      <c r="I297" s="88"/>
    </row>
    <row r="298" spans="1:9" ht="13.15" x14ac:dyDescent="0.35">
      <c r="A298" s="435"/>
      <c r="B298" s="436"/>
      <c r="C298" s="438"/>
      <c r="D298" s="435"/>
      <c r="E298" s="93" t="str" cm="1">
        <f t="array" ref="E298">IF(D298&lt;&gt;"",IFERROR(VLOOKUP(D298,Codes!$K$2:$L$409,2,FALSE),"UNKNOWN - "&amp;D298),IF(C298="","",IFERROR(_xlfn.IFS(ISNUMBER(SEARCH("broken button",C298)),"Break",ISNUMBER(SEARCH("broken handle",C298)),"Break",ISNUMBER(SEARCH("shipping damage",C298)),"Break",ISNUMBER(SEARCH("broken",C298)),"Break",ISNUMBER(SEARCH("crack",C298)),"Break",ISNUMBER(SEARCH("snap",C298)),"Break",ISNUMBER(SEARCH("fracture",C298)),"Break",ISNUMBER(SEARCH("bent",C298)),"Material Twisted/Bent",ISNUMBER(SEARCH("twisted",C298)),"Material Twisted/Bent",ISNUMBER(SEARCH("component separat",C298)),"Material Separation",ISNUMBER(SEARCH("separat",C298)),"Material Separation",ISNUMBER(SEARCH("connection",C298)),"Loose or Intermittent Connection",ISNUMBER(SEARCH("loose",C298)),"Loose or Intermittent Connection",ISNUMBER(SEARCH("damaged packaging",C298)),"Packaging Problem",ISNUMBER(SEARCH("packaging",C298)),"Packaging Problem",ISNUMBER(SEARCH("discoloration",C298)),"Contamination",ISNUMBER(SEARCH("tarnish",C298)),"Contamination",ISNUMBER(SEARCH("stain",C298)),"Contamination",ISNUMBER(SEARCH("foreign material",C298)),"Contamination",ISNUMBER(SEARCH("contamina",C298)),"Contamination",ISNUMBER(SEARCH("overheat",C298)),"Overheating of Device",ISNUMBER(SEARCH("excessive heat",C298)),"Overheating of Device",ISNUMBER(SEARCH("hot",C298)),"Overheating of Device",ISNUMBER(SEARCH("noise",C298)),"Noise, Audible",ISNUMBER(SEARCH("sound",C298)),"Noise, Audible",ISNUMBER(SEARCH("loud",C298)),"Noise, Audible",ISNUMBER(SEARCH("fray",C298)),"Material Frayed",ISNUMBER(SEARCH("hole",C298)),"Material Frayed",ISNUMBER(SEARCH("tear",C298)),"Material Frayed",ISNUMBER(SEARCH("worn",C298)),"Material Frayed",ISNUMBER(SEARCH("intermittent",C298)),"Difficult or Delayed Activation",ISNUMBER(SEARCH("delay",C298)),"Difficult or Delayed Activation",ISNUMBER(SEARCH("label",C298)),"Device Markings/Labelling Problem",ISNUMBER(SEARCH("marking",C298)),"Device Markings/Labelling Problem",ISNUMBER(SEARCH("lacerat",C298)),"Defective Device",ISNUMBER(SEARCH("cut",C298)),"Defective Device",ISNUMBER(SEARCH("leak",C298)),"Fluid/Blood Leak",ISNUMBER(SEARCH("missing",C298)),"Component Missing",ISNUMBER(SEARCH("power",C298)),"Complete Loss of Power",ISNUMBER(SEARCH("will not turn on",C298)),"Complete Loss of Power",ISNUMBER(SEARCH("won't turn on",C298)),"Complete Loss of Power",ISNUMBER(SEARCH("does not turn on",C298)),"Complete Loss of Power",ISNUMBER(SEARCH("electrical",C298)),"Electrical Power Problem",ISNUMBER(SEARCH("pressure",C298)),"Detachment of Device or Device Component",ISNUMBER(SEARCH("slip",C298)),"Detachment of Device or Device Component",ISNUMBER(SEARCH("detach",C298)),"Detachment of Device or Device Component",ISNUMBER(SEARCH("stick",C298)),"Mechanical Jam",ISNUMBER(SEARCH("jam",C298)),"Mechanical Jam",ISNUMBER(SEARCH("rigid",C298)),"Mechanical Jam",ISNUMBER(SEARCH("rust",C298)),"Corroded",ISNUMBER(SEARCH("corrod",C298)),"Corroded",ISNUMBER(SEARCH("corrosion",C298)),"Corroded",ISNUMBER(SEARCH("alignment",C298)),"Defective Device",ISNUMBER(SEARCH("adjust",C298)),"Defective Device",ISNUMBER(SEARCH("perform",C298)),"Defective Device",ISNUMBER(SEARCH("malfunction",C298)),"Defective Device",ISNUMBER(SEARCH("defect",C298)),"Defective Device",ISNUMBER(SEARCH("fail",C298)),"Defective Device",ISNUMBER(SEARCH("not work",C298)),"Defective Device",ISNUMBER(SEARCH("doesn't work",C298)),"Defective Device",TRUE,"UNKNOWN"),"UNKNOWN")))</f>
        <v/>
      </c>
      <c r="F298" s="4" t="str">
        <f t="shared" si="4"/>
        <v/>
      </c>
      <c r="G298" s="363" t="str">
        <f>IF(E298="","",IFERROR(VLOOKUP(E298,Codes!$L$2:$N$409,3,FALSE),"—"))</f>
        <v/>
      </c>
      <c r="H298" s="88"/>
      <c r="I298" s="88"/>
    </row>
    <row r="299" spans="1:9" ht="13.15" x14ac:dyDescent="0.35">
      <c r="A299" s="434"/>
      <c r="B299" s="436"/>
      <c r="C299" s="437"/>
      <c r="D299" s="434"/>
      <c r="E299" s="93" t="str" cm="1">
        <f t="array" ref="E299">IF(D299&lt;&gt;"",IFERROR(VLOOKUP(D299,Codes!$K$2:$L$409,2,FALSE),"UNKNOWN - "&amp;D299),IF(C299="","",IFERROR(_xlfn.IFS(ISNUMBER(SEARCH("broken button",C299)),"Break",ISNUMBER(SEARCH("broken handle",C299)),"Break",ISNUMBER(SEARCH("shipping damage",C299)),"Break",ISNUMBER(SEARCH("broken",C299)),"Break",ISNUMBER(SEARCH("crack",C299)),"Break",ISNUMBER(SEARCH("snap",C299)),"Break",ISNUMBER(SEARCH("fracture",C299)),"Break",ISNUMBER(SEARCH("bent",C299)),"Material Twisted/Bent",ISNUMBER(SEARCH("twisted",C299)),"Material Twisted/Bent",ISNUMBER(SEARCH("component separat",C299)),"Material Separation",ISNUMBER(SEARCH("separat",C299)),"Material Separation",ISNUMBER(SEARCH("connection",C299)),"Loose or Intermittent Connection",ISNUMBER(SEARCH("loose",C299)),"Loose or Intermittent Connection",ISNUMBER(SEARCH("damaged packaging",C299)),"Packaging Problem",ISNUMBER(SEARCH("packaging",C299)),"Packaging Problem",ISNUMBER(SEARCH("discoloration",C299)),"Contamination",ISNUMBER(SEARCH("tarnish",C299)),"Contamination",ISNUMBER(SEARCH("stain",C299)),"Contamination",ISNUMBER(SEARCH("foreign material",C299)),"Contamination",ISNUMBER(SEARCH("contamina",C299)),"Contamination",ISNUMBER(SEARCH("overheat",C299)),"Overheating of Device",ISNUMBER(SEARCH("excessive heat",C299)),"Overheating of Device",ISNUMBER(SEARCH("hot",C299)),"Overheating of Device",ISNUMBER(SEARCH("noise",C299)),"Noise, Audible",ISNUMBER(SEARCH("sound",C299)),"Noise, Audible",ISNUMBER(SEARCH("loud",C299)),"Noise, Audible",ISNUMBER(SEARCH("fray",C299)),"Material Frayed",ISNUMBER(SEARCH("hole",C299)),"Material Frayed",ISNUMBER(SEARCH("tear",C299)),"Material Frayed",ISNUMBER(SEARCH("worn",C299)),"Material Frayed",ISNUMBER(SEARCH("intermittent",C299)),"Difficult or Delayed Activation",ISNUMBER(SEARCH("delay",C299)),"Difficult or Delayed Activation",ISNUMBER(SEARCH("label",C299)),"Device Markings/Labelling Problem",ISNUMBER(SEARCH("marking",C299)),"Device Markings/Labelling Problem",ISNUMBER(SEARCH("lacerat",C299)),"Defective Device",ISNUMBER(SEARCH("cut",C299)),"Defective Device",ISNUMBER(SEARCH("leak",C299)),"Fluid/Blood Leak",ISNUMBER(SEARCH("missing",C299)),"Component Missing",ISNUMBER(SEARCH("power",C299)),"Complete Loss of Power",ISNUMBER(SEARCH("will not turn on",C299)),"Complete Loss of Power",ISNUMBER(SEARCH("won't turn on",C299)),"Complete Loss of Power",ISNUMBER(SEARCH("does not turn on",C299)),"Complete Loss of Power",ISNUMBER(SEARCH("electrical",C299)),"Electrical Power Problem",ISNUMBER(SEARCH("pressure",C299)),"Detachment of Device or Device Component",ISNUMBER(SEARCH("slip",C299)),"Detachment of Device or Device Component",ISNUMBER(SEARCH("detach",C299)),"Detachment of Device or Device Component",ISNUMBER(SEARCH("stick",C299)),"Mechanical Jam",ISNUMBER(SEARCH("jam",C299)),"Mechanical Jam",ISNUMBER(SEARCH("rigid",C299)),"Mechanical Jam",ISNUMBER(SEARCH("rust",C299)),"Corroded",ISNUMBER(SEARCH("corrod",C299)),"Corroded",ISNUMBER(SEARCH("corrosion",C299)),"Corroded",ISNUMBER(SEARCH("alignment",C299)),"Defective Device",ISNUMBER(SEARCH("adjust",C299)),"Defective Device",ISNUMBER(SEARCH("perform",C299)),"Defective Device",ISNUMBER(SEARCH("malfunction",C299)),"Defective Device",ISNUMBER(SEARCH("defect",C299)),"Defective Device",ISNUMBER(SEARCH("fail",C299)),"Defective Device",ISNUMBER(SEARCH("not work",C299)),"Defective Device",ISNUMBER(SEARCH("doesn't work",C299)),"Defective Device",TRUE,"UNKNOWN"),"UNKNOWN")))</f>
        <v/>
      </c>
      <c r="F299" s="4" t="str">
        <f t="shared" si="4"/>
        <v/>
      </c>
      <c r="G299" s="363" t="str">
        <f>IF(E299="","",IFERROR(VLOOKUP(E299,Codes!$L$2:$N$409,3,FALSE),"—"))</f>
        <v/>
      </c>
      <c r="H299" s="88"/>
      <c r="I299" s="88"/>
    </row>
    <row r="300" spans="1:9" ht="13.15" x14ac:dyDescent="0.35">
      <c r="A300" s="434"/>
      <c r="B300" s="436"/>
      <c r="C300" s="437"/>
      <c r="D300" s="434"/>
      <c r="E300" s="93" t="str" cm="1">
        <f t="array" ref="E300">IF(D300&lt;&gt;"",IFERROR(VLOOKUP(D300,Codes!$K$2:$L$409,2,FALSE),"UNKNOWN - "&amp;D300),IF(C300="","",IFERROR(_xlfn.IFS(ISNUMBER(SEARCH("broken button",C300)),"Break",ISNUMBER(SEARCH("broken handle",C300)),"Break",ISNUMBER(SEARCH("shipping damage",C300)),"Break",ISNUMBER(SEARCH("broken",C300)),"Break",ISNUMBER(SEARCH("crack",C300)),"Break",ISNUMBER(SEARCH("snap",C300)),"Break",ISNUMBER(SEARCH("fracture",C300)),"Break",ISNUMBER(SEARCH("bent",C300)),"Material Twisted/Bent",ISNUMBER(SEARCH("twisted",C300)),"Material Twisted/Bent",ISNUMBER(SEARCH("component separat",C300)),"Material Separation",ISNUMBER(SEARCH("separat",C300)),"Material Separation",ISNUMBER(SEARCH("connection",C300)),"Loose or Intermittent Connection",ISNUMBER(SEARCH("loose",C300)),"Loose or Intermittent Connection",ISNUMBER(SEARCH("damaged packaging",C300)),"Packaging Problem",ISNUMBER(SEARCH("packaging",C300)),"Packaging Problem",ISNUMBER(SEARCH("discoloration",C300)),"Contamination",ISNUMBER(SEARCH("tarnish",C300)),"Contamination",ISNUMBER(SEARCH("stain",C300)),"Contamination",ISNUMBER(SEARCH("foreign material",C300)),"Contamination",ISNUMBER(SEARCH("contamina",C300)),"Contamination",ISNUMBER(SEARCH("overheat",C300)),"Overheating of Device",ISNUMBER(SEARCH("excessive heat",C300)),"Overheating of Device",ISNUMBER(SEARCH("hot",C300)),"Overheating of Device",ISNUMBER(SEARCH("noise",C300)),"Noise, Audible",ISNUMBER(SEARCH("sound",C300)),"Noise, Audible",ISNUMBER(SEARCH("loud",C300)),"Noise, Audible",ISNUMBER(SEARCH("fray",C300)),"Material Frayed",ISNUMBER(SEARCH("hole",C300)),"Material Frayed",ISNUMBER(SEARCH("tear",C300)),"Material Frayed",ISNUMBER(SEARCH("worn",C300)),"Material Frayed",ISNUMBER(SEARCH("intermittent",C300)),"Difficult or Delayed Activation",ISNUMBER(SEARCH("delay",C300)),"Difficult or Delayed Activation",ISNUMBER(SEARCH("label",C300)),"Device Markings/Labelling Problem",ISNUMBER(SEARCH("marking",C300)),"Device Markings/Labelling Problem",ISNUMBER(SEARCH("lacerat",C300)),"Defective Device",ISNUMBER(SEARCH("cut",C300)),"Defective Device",ISNUMBER(SEARCH("leak",C300)),"Fluid/Blood Leak",ISNUMBER(SEARCH("missing",C300)),"Component Missing",ISNUMBER(SEARCH("power",C300)),"Complete Loss of Power",ISNUMBER(SEARCH("will not turn on",C300)),"Complete Loss of Power",ISNUMBER(SEARCH("won't turn on",C300)),"Complete Loss of Power",ISNUMBER(SEARCH("does not turn on",C300)),"Complete Loss of Power",ISNUMBER(SEARCH("electrical",C300)),"Electrical Power Problem",ISNUMBER(SEARCH("pressure",C300)),"Detachment of Device or Device Component",ISNUMBER(SEARCH("slip",C300)),"Detachment of Device or Device Component",ISNUMBER(SEARCH("detach",C300)),"Detachment of Device or Device Component",ISNUMBER(SEARCH("stick",C300)),"Mechanical Jam",ISNUMBER(SEARCH("jam",C300)),"Mechanical Jam",ISNUMBER(SEARCH("rigid",C300)),"Mechanical Jam",ISNUMBER(SEARCH("rust",C300)),"Corroded",ISNUMBER(SEARCH("corrod",C300)),"Corroded",ISNUMBER(SEARCH("corrosion",C300)),"Corroded",ISNUMBER(SEARCH("alignment",C300)),"Defective Device",ISNUMBER(SEARCH("adjust",C300)),"Defective Device",ISNUMBER(SEARCH("perform",C300)),"Defective Device",ISNUMBER(SEARCH("malfunction",C300)),"Defective Device",ISNUMBER(SEARCH("defect",C300)),"Defective Device",ISNUMBER(SEARCH("fail",C300)),"Defective Device",ISNUMBER(SEARCH("not work",C300)),"Defective Device",ISNUMBER(SEARCH("doesn't work",C300)),"Defective Device",TRUE,"UNKNOWN"),"UNKNOWN")))</f>
        <v/>
      </c>
      <c r="F300" s="4" t="str">
        <f t="shared" si="4"/>
        <v/>
      </c>
      <c r="G300" s="363" t="str">
        <f>IF(E300="","",IFERROR(VLOOKUP(E300,Codes!$L$2:$N$409,3,FALSE),"—"))</f>
        <v/>
      </c>
      <c r="H300" s="88"/>
      <c r="I300" s="88"/>
    </row>
    <row r="301" spans="1:9" ht="13.15" x14ac:dyDescent="0.35">
      <c r="A301" s="434"/>
      <c r="B301" s="436"/>
      <c r="C301" s="434"/>
      <c r="D301" s="434"/>
      <c r="E301" s="93" t="str" cm="1">
        <f t="array" ref="E301">IF(D301&lt;&gt;"",IFERROR(VLOOKUP(D301,Codes!$K$2:$L$409,2,FALSE),"UNKNOWN - "&amp;D301),IF(C301="","",IFERROR(_xlfn.IFS(ISNUMBER(SEARCH("broken button",C301)),"Break",ISNUMBER(SEARCH("broken handle",C301)),"Break",ISNUMBER(SEARCH("shipping damage",C301)),"Break",ISNUMBER(SEARCH("broken",C301)),"Break",ISNUMBER(SEARCH("crack",C301)),"Break",ISNUMBER(SEARCH("snap",C301)),"Break",ISNUMBER(SEARCH("fracture",C301)),"Break",ISNUMBER(SEARCH("bent",C301)),"Material Twisted/Bent",ISNUMBER(SEARCH("twisted",C301)),"Material Twisted/Bent",ISNUMBER(SEARCH("component separat",C301)),"Material Separation",ISNUMBER(SEARCH("separat",C301)),"Material Separation",ISNUMBER(SEARCH("connection",C301)),"Loose or Intermittent Connection",ISNUMBER(SEARCH("loose",C301)),"Loose or Intermittent Connection",ISNUMBER(SEARCH("damaged packaging",C301)),"Packaging Problem",ISNUMBER(SEARCH("packaging",C301)),"Packaging Problem",ISNUMBER(SEARCH("discoloration",C301)),"Contamination",ISNUMBER(SEARCH("tarnish",C301)),"Contamination",ISNUMBER(SEARCH("stain",C301)),"Contamination",ISNUMBER(SEARCH("foreign material",C301)),"Contamination",ISNUMBER(SEARCH("contamina",C301)),"Contamination",ISNUMBER(SEARCH("overheat",C301)),"Overheating of Device",ISNUMBER(SEARCH("excessive heat",C301)),"Overheating of Device",ISNUMBER(SEARCH("hot",C301)),"Overheating of Device",ISNUMBER(SEARCH("noise",C301)),"Noise, Audible",ISNUMBER(SEARCH("sound",C301)),"Noise, Audible",ISNUMBER(SEARCH("loud",C301)),"Noise, Audible",ISNUMBER(SEARCH("fray",C301)),"Material Frayed",ISNUMBER(SEARCH("hole",C301)),"Material Frayed",ISNUMBER(SEARCH("tear",C301)),"Material Frayed",ISNUMBER(SEARCH("worn",C301)),"Material Frayed",ISNUMBER(SEARCH("intermittent",C301)),"Difficult or Delayed Activation",ISNUMBER(SEARCH("delay",C301)),"Difficult or Delayed Activation",ISNUMBER(SEARCH("label",C301)),"Device Markings/Labelling Problem",ISNUMBER(SEARCH("marking",C301)),"Device Markings/Labelling Problem",ISNUMBER(SEARCH("lacerat",C301)),"Defective Device",ISNUMBER(SEARCH("cut",C301)),"Defective Device",ISNUMBER(SEARCH("leak",C301)),"Fluid/Blood Leak",ISNUMBER(SEARCH("missing",C301)),"Component Missing",ISNUMBER(SEARCH("power",C301)),"Complete Loss of Power",ISNUMBER(SEARCH("will not turn on",C301)),"Complete Loss of Power",ISNUMBER(SEARCH("won't turn on",C301)),"Complete Loss of Power",ISNUMBER(SEARCH("does not turn on",C301)),"Complete Loss of Power",ISNUMBER(SEARCH("electrical",C301)),"Electrical Power Problem",ISNUMBER(SEARCH("pressure",C301)),"Detachment of Device or Device Component",ISNUMBER(SEARCH("slip",C301)),"Detachment of Device or Device Component",ISNUMBER(SEARCH("detach",C301)),"Detachment of Device or Device Component",ISNUMBER(SEARCH("stick",C301)),"Mechanical Jam",ISNUMBER(SEARCH("jam",C301)),"Mechanical Jam",ISNUMBER(SEARCH("rigid",C301)),"Mechanical Jam",ISNUMBER(SEARCH("rust",C301)),"Corroded",ISNUMBER(SEARCH("corrod",C301)),"Corroded",ISNUMBER(SEARCH("corrosion",C301)),"Corroded",ISNUMBER(SEARCH("alignment",C301)),"Defective Device",ISNUMBER(SEARCH("adjust",C301)),"Defective Device",ISNUMBER(SEARCH("perform",C301)),"Defective Device",ISNUMBER(SEARCH("malfunction",C301)),"Defective Device",ISNUMBER(SEARCH("defect",C301)),"Defective Device",ISNUMBER(SEARCH("fail",C301)),"Defective Device",ISNUMBER(SEARCH("not work",C301)),"Defective Device",ISNUMBER(SEARCH("doesn't work",C301)),"Defective Device",TRUE,"UNKNOWN"),"UNKNOWN")))</f>
        <v/>
      </c>
      <c r="F301" s="4" t="str">
        <f t="shared" si="4"/>
        <v/>
      </c>
      <c r="G301" s="363" t="str">
        <f>IF(E301="","",IFERROR(VLOOKUP(E301,Codes!$L$2:$N$409,3,FALSE),"—"))</f>
        <v/>
      </c>
      <c r="H301" s="88"/>
      <c r="I301" s="88"/>
    </row>
    <row r="302" spans="1:9" ht="13.15" x14ac:dyDescent="0.35">
      <c r="A302" s="434"/>
      <c r="B302" s="436"/>
      <c r="C302" s="437"/>
      <c r="D302" s="434"/>
      <c r="E302" s="93" t="str" cm="1">
        <f t="array" ref="E302">IF(D302&lt;&gt;"",IFERROR(VLOOKUP(D302,Codes!$K$2:$L$409,2,FALSE),"UNKNOWN - "&amp;D302),IF(C302="","",IFERROR(_xlfn.IFS(ISNUMBER(SEARCH("broken button",C302)),"Break",ISNUMBER(SEARCH("broken handle",C302)),"Break",ISNUMBER(SEARCH("shipping damage",C302)),"Break",ISNUMBER(SEARCH("broken",C302)),"Break",ISNUMBER(SEARCH("crack",C302)),"Break",ISNUMBER(SEARCH("snap",C302)),"Break",ISNUMBER(SEARCH("fracture",C302)),"Break",ISNUMBER(SEARCH("bent",C302)),"Material Twisted/Bent",ISNUMBER(SEARCH("twisted",C302)),"Material Twisted/Bent",ISNUMBER(SEARCH("component separat",C302)),"Material Separation",ISNUMBER(SEARCH("separat",C302)),"Material Separation",ISNUMBER(SEARCH("connection",C302)),"Loose or Intermittent Connection",ISNUMBER(SEARCH("loose",C302)),"Loose or Intermittent Connection",ISNUMBER(SEARCH("damaged packaging",C302)),"Packaging Problem",ISNUMBER(SEARCH("packaging",C302)),"Packaging Problem",ISNUMBER(SEARCH("discoloration",C302)),"Contamination",ISNUMBER(SEARCH("tarnish",C302)),"Contamination",ISNUMBER(SEARCH("stain",C302)),"Contamination",ISNUMBER(SEARCH("foreign material",C302)),"Contamination",ISNUMBER(SEARCH("contamina",C302)),"Contamination",ISNUMBER(SEARCH("overheat",C302)),"Overheating of Device",ISNUMBER(SEARCH("excessive heat",C302)),"Overheating of Device",ISNUMBER(SEARCH("hot",C302)),"Overheating of Device",ISNUMBER(SEARCH("noise",C302)),"Noise, Audible",ISNUMBER(SEARCH("sound",C302)),"Noise, Audible",ISNUMBER(SEARCH("loud",C302)),"Noise, Audible",ISNUMBER(SEARCH("fray",C302)),"Material Frayed",ISNUMBER(SEARCH("hole",C302)),"Material Frayed",ISNUMBER(SEARCH("tear",C302)),"Material Frayed",ISNUMBER(SEARCH("worn",C302)),"Material Frayed",ISNUMBER(SEARCH("intermittent",C302)),"Difficult or Delayed Activation",ISNUMBER(SEARCH("delay",C302)),"Difficult or Delayed Activation",ISNUMBER(SEARCH("label",C302)),"Device Markings/Labelling Problem",ISNUMBER(SEARCH("marking",C302)),"Device Markings/Labelling Problem",ISNUMBER(SEARCH("lacerat",C302)),"Defective Device",ISNUMBER(SEARCH("cut",C302)),"Defective Device",ISNUMBER(SEARCH("leak",C302)),"Fluid/Blood Leak",ISNUMBER(SEARCH("missing",C302)),"Component Missing",ISNUMBER(SEARCH("power",C302)),"Complete Loss of Power",ISNUMBER(SEARCH("will not turn on",C302)),"Complete Loss of Power",ISNUMBER(SEARCH("won't turn on",C302)),"Complete Loss of Power",ISNUMBER(SEARCH("does not turn on",C302)),"Complete Loss of Power",ISNUMBER(SEARCH("electrical",C302)),"Electrical Power Problem",ISNUMBER(SEARCH("pressure",C302)),"Detachment of Device or Device Component",ISNUMBER(SEARCH("slip",C302)),"Detachment of Device or Device Component",ISNUMBER(SEARCH("detach",C302)),"Detachment of Device or Device Component",ISNUMBER(SEARCH("stick",C302)),"Mechanical Jam",ISNUMBER(SEARCH("jam",C302)),"Mechanical Jam",ISNUMBER(SEARCH("rigid",C302)),"Mechanical Jam",ISNUMBER(SEARCH("rust",C302)),"Corroded",ISNUMBER(SEARCH("corrod",C302)),"Corroded",ISNUMBER(SEARCH("corrosion",C302)),"Corroded",ISNUMBER(SEARCH("alignment",C302)),"Defective Device",ISNUMBER(SEARCH("adjust",C302)),"Defective Device",ISNUMBER(SEARCH("perform",C302)),"Defective Device",ISNUMBER(SEARCH("malfunction",C302)),"Defective Device",ISNUMBER(SEARCH("defect",C302)),"Defective Device",ISNUMBER(SEARCH("fail",C302)),"Defective Device",ISNUMBER(SEARCH("not work",C302)),"Defective Device",ISNUMBER(SEARCH("doesn't work",C302)),"Defective Device",TRUE,"UNKNOWN"),"UNKNOWN")))</f>
        <v/>
      </c>
      <c r="F302" s="4" t="str">
        <f t="shared" si="4"/>
        <v/>
      </c>
      <c r="G302" s="363" t="str">
        <f>IF(E302="","",IFERROR(VLOOKUP(E302,Codes!$L$2:$N$409,3,FALSE),"—"))</f>
        <v/>
      </c>
      <c r="H302" s="88"/>
      <c r="I302" s="88"/>
    </row>
    <row r="303" spans="1:9" ht="13.15" x14ac:dyDescent="0.35">
      <c r="A303" s="435"/>
      <c r="B303" s="436"/>
      <c r="C303" s="438"/>
      <c r="D303" s="435"/>
      <c r="E303" s="93" t="str" cm="1">
        <f t="array" ref="E303">IF(D303&lt;&gt;"",IFERROR(VLOOKUP(D303,Codes!$K$2:$L$409,2,FALSE),"UNKNOWN - "&amp;D303),IF(C303="","",IFERROR(_xlfn.IFS(ISNUMBER(SEARCH("broken button",C303)),"Break",ISNUMBER(SEARCH("broken handle",C303)),"Break",ISNUMBER(SEARCH("shipping damage",C303)),"Break",ISNUMBER(SEARCH("broken",C303)),"Break",ISNUMBER(SEARCH("crack",C303)),"Break",ISNUMBER(SEARCH("snap",C303)),"Break",ISNUMBER(SEARCH("fracture",C303)),"Break",ISNUMBER(SEARCH("bent",C303)),"Material Twisted/Bent",ISNUMBER(SEARCH("twisted",C303)),"Material Twisted/Bent",ISNUMBER(SEARCH("component separat",C303)),"Material Separation",ISNUMBER(SEARCH("separat",C303)),"Material Separation",ISNUMBER(SEARCH("connection",C303)),"Loose or Intermittent Connection",ISNUMBER(SEARCH("loose",C303)),"Loose or Intermittent Connection",ISNUMBER(SEARCH("damaged packaging",C303)),"Packaging Problem",ISNUMBER(SEARCH("packaging",C303)),"Packaging Problem",ISNUMBER(SEARCH("discoloration",C303)),"Contamination",ISNUMBER(SEARCH("tarnish",C303)),"Contamination",ISNUMBER(SEARCH("stain",C303)),"Contamination",ISNUMBER(SEARCH("foreign material",C303)),"Contamination",ISNUMBER(SEARCH("contamina",C303)),"Contamination",ISNUMBER(SEARCH("overheat",C303)),"Overheating of Device",ISNUMBER(SEARCH("excessive heat",C303)),"Overheating of Device",ISNUMBER(SEARCH("hot",C303)),"Overheating of Device",ISNUMBER(SEARCH("noise",C303)),"Noise, Audible",ISNUMBER(SEARCH("sound",C303)),"Noise, Audible",ISNUMBER(SEARCH("loud",C303)),"Noise, Audible",ISNUMBER(SEARCH("fray",C303)),"Material Frayed",ISNUMBER(SEARCH("hole",C303)),"Material Frayed",ISNUMBER(SEARCH("tear",C303)),"Material Frayed",ISNUMBER(SEARCH("worn",C303)),"Material Frayed",ISNUMBER(SEARCH("intermittent",C303)),"Difficult or Delayed Activation",ISNUMBER(SEARCH("delay",C303)),"Difficult or Delayed Activation",ISNUMBER(SEARCH("label",C303)),"Device Markings/Labelling Problem",ISNUMBER(SEARCH("marking",C303)),"Device Markings/Labelling Problem",ISNUMBER(SEARCH("lacerat",C303)),"Defective Device",ISNUMBER(SEARCH("cut",C303)),"Defective Device",ISNUMBER(SEARCH("leak",C303)),"Fluid/Blood Leak",ISNUMBER(SEARCH("missing",C303)),"Component Missing",ISNUMBER(SEARCH("power",C303)),"Complete Loss of Power",ISNUMBER(SEARCH("will not turn on",C303)),"Complete Loss of Power",ISNUMBER(SEARCH("won't turn on",C303)),"Complete Loss of Power",ISNUMBER(SEARCH("does not turn on",C303)),"Complete Loss of Power",ISNUMBER(SEARCH("electrical",C303)),"Electrical Power Problem",ISNUMBER(SEARCH("pressure",C303)),"Detachment of Device or Device Component",ISNUMBER(SEARCH("slip",C303)),"Detachment of Device or Device Component",ISNUMBER(SEARCH("detach",C303)),"Detachment of Device or Device Component",ISNUMBER(SEARCH("stick",C303)),"Mechanical Jam",ISNUMBER(SEARCH("jam",C303)),"Mechanical Jam",ISNUMBER(SEARCH("rigid",C303)),"Mechanical Jam",ISNUMBER(SEARCH("rust",C303)),"Corroded",ISNUMBER(SEARCH("corrod",C303)),"Corroded",ISNUMBER(SEARCH("corrosion",C303)),"Corroded",ISNUMBER(SEARCH("alignment",C303)),"Defective Device",ISNUMBER(SEARCH("adjust",C303)),"Defective Device",ISNUMBER(SEARCH("perform",C303)),"Defective Device",ISNUMBER(SEARCH("malfunction",C303)),"Defective Device",ISNUMBER(SEARCH("defect",C303)),"Defective Device",ISNUMBER(SEARCH("fail",C303)),"Defective Device",ISNUMBER(SEARCH("not work",C303)),"Defective Device",ISNUMBER(SEARCH("doesn't work",C303)),"Defective Device",TRUE,"UNKNOWN"),"UNKNOWN")))</f>
        <v/>
      </c>
      <c r="F303" s="4" t="str">
        <f t="shared" si="4"/>
        <v/>
      </c>
      <c r="G303" s="363" t="str">
        <f>IF(E303="","",IFERROR(VLOOKUP(E303,Codes!$L$2:$N$409,3,FALSE),"—"))</f>
        <v/>
      </c>
      <c r="H303" s="88"/>
      <c r="I303" s="88"/>
    </row>
    <row r="304" spans="1:9" ht="13.15" x14ac:dyDescent="0.35">
      <c r="A304" s="434"/>
      <c r="B304" s="436"/>
      <c r="C304" s="437"/>
      <c r="D304" s="434"/>
      <c r="E304" s="93" t="str" cm="1">
        <f t="array" ref="E304">IF(D304&lt;&gt;"",IFERROR(VLOOKUP(D304,Codes!$K$2:$L$409,2,FALSE),"UNKNOWN - "&amp;D304),IF(C304="","",IFERROR(_xlfn.IFS(ISNUMBER(SEARCH("broken button",C304)),"Break",ISNUMBER(SEARCH("broken handle",C304)),"Break",ISNUMBER(SEARCH("shipping damage",C304)),"Break",ISNUMBER(SEARCH("broken",C304)),"Break",ISNUMBER(SEARCH("crack",C304)),"Break",ISNUMBER(SEARCH("snap",C304)),"Break",ISNUMBER(SEARCH("fracture",C304)),"Break",ISNUMBER(SEARCH("bent",C304)),"Material Twisted/Bent",ISNUMBER(SEARCH("twisted",C304)),"Material Twisted/Bent",ISNUMBER(SEARCH("component separat",C304)),"Material Separation",ISNUMBER(SEARCH("separat",C304)),"Material Separation",ISNUMBER(SEARCH("connection",C304)),"Loose or Intermittent Connection",ISNUMBER(SEARCH("loose",C304)),"Loose or Intermittent Connection",ISNUMBER(SEARCH("damaged packaging",C304)),"Packaging Problem",ISNUMBER(SEARCH("packaging",C304)),"Packaging Problem",ISNUMBER(SEARCH("discoloration",C304)),"Contamination",ISNUMBER(SEARCH("tarnish",C304)),"Contamination",ISNUMBER(SEARCH("stain",C304)),"Contamination",ISNUMBER(SEARCH("foreign material",C304)),"Contamination",ISNUMBER(SEARCH("contamina",C304)),"Contamination",ISNUMBER(SEARCH("overheat",C304)),"Overheating of Device",ISNUMBER(SEARCH("excessive heat",C304)),"Overheating of Device",ISNUMBER(SEARCH("hot",C304)),"Overheating of Device",ISNUMBER(SEARCH("noise",C304)),"Noise, Audible",ISNUMBER(SEARCH("sound",C304)),"Noise, Audible",ISNUMBER(SEARCH("loud",C304)),"Noise, Audible",ISNUMBER(SEARCH("fray",C304)),"Material Frayed",ISNUMBER(SEARCH("hole",C304)),"Material Frayed",ISNUMBER(SEARCH("tear",C304)),"Material Frayed",ISNUMBER(SEARCH("worn",C304)),"Material Frayed",ISNUMBER(SEARCH("intermittent",C304)),"Difficult or Delayed Activation",ISNUMBER(SEARCH("delay",C304)),"Difficult or Delayed Activation",ISNUMBER(SEARCH("label",C304)),"Device Markings/Labelling Problem",ISNUMBER(SEARCH("marking",C304)),"Device Markings/Labelling Problem",ISNUMBER(SEARCH("lacerat",C304)),"Defective Device",ISNUMBER(SEARCH("cut",C304)),"Defective Device",ISNUMBER(SEARCH("leak",C304)),"Fluid/Blood Leak",ISNUMBER(SEARCH("missing",C304)),"Component Missing",ISNUMBER(SEARCH("power",C304)),"Complete Loss of Power",ISNUMBER(SEARCH("will not turn on",C304)),"Complete Loss of Power",ISNUMBER(SEARCH("won't turn on",C304)),"Complete Loss of Power",ISNUMBER(SEARCH("does not turn on",C304)),"Complete Loss of Power",ISNUMBER(SEARCH("electrical",C304)),"Electrical Power Problem",ISNUMBER(SEARCH("pressure",C304)),"Detachment of Device or Device Component",ISNUMBER(SEARCH("slip",C304)),"Detachment of Device or Device Component",ISNUMBER(SEARCH("detach",C304)),"Detachment of Device or Device Component",ISNUMBER(SEARCH("stick",C304)),"Mechanical Jam",ISNUMBER(SEARCH("jam",C304)),"Mechanical Jam",ISNUMBER(SEARCH("rigid",C304)),"Mechanical Jam",ISNUMBER(SEARCH("rust",C304)),"Corroded",ISNUMBER(SEARCH("corrod",C304)),"Corroded",ISNUMBER(SEARCH("corrosion",C304)),"Corroded",ISNUMBER(SEARCH("alignment",C304)),"Defective Device",ISNUMBER(SEARCH("adjust",C304)),"Defective Device",ISNUMBER(SEARCH("perform",C304)),"Defective Device",ISNUMBER(SEARCH("malfunction",C304)),"Defective Device",ISNUMBER(SEARCH("defect",C304)),"Defective Device",ISNUMBER(SEARCH("fail",C304)),"Defective Device",ISNUMBER(SEARCH("not work",C304)),"Defective Device",ISNUMBER(SEARCH("doesn't work",C304)),"Defective Device",TRUE,"UNKNOWN"),"UNKNOWN")))</f>
        <v/>
      </c>
      <c r="F304" s="4" t="str">
        <f t="shared" si="4"/>
        <v/>
      </c>
      <c r="G304" s="363" t="str">
        <f>IF(E304="","",IFERROR(VLOOKUP(E304,Codes!$L$2:$N$409,3,FALSE),"—"))</f>
        <v/>
      </c>
      <c r="H304" s="88"/>
      <c r="I304" s="88"/>
    </row>
    <row r="305" spans="1:9" ht="13.15" x14ac:dyDescent="0.35">
      <c r="A305" s="434"/>
      <c r="B305" s="436"/>
      <c r="C305" s="437"/>
      <c r="D305" s="434"/>
      <c r="E305" s="93" t="str" cm="1">
        <f t="array" ref="E305">IF(D305&lt;&gt;"",IFERROR(VLOOKUP(D305,Codes!$K$2:$L$409,2,FALSE),"UNKNOWN - "&amp;D305),IF(C305="","",IFERROR(_xlfn.IFS(ISNUMBER(SEARCH("broken button",C305)),"Break",ISNUMBER(SEARCH("broken handle",C305)),"Break",ISNUMBER(SEARCH("shipping damage",C305)),"Break",ISNUMBER(SEARCH("broken",C305)),"Break",ISNUMBER(SEARCH("crack",C305)),"Break",ISNUMBER(SEARCH("snap",C305)),"Break",ISNUMBER(SEARCH("fracture",C305)),"Break",ISNUMBER(SEARCH("bent",C305)),"Material Twisted/Bent",ISNUMBER(SEARCH("twisted",C305)),"Material Twisted/Bent",ISNUMBER(SEARCH("component separat",C305)),"Material Separation",ISNUMBER(SEARCH("separat",C305)),"Material Separation",ISNUMBER(SEARCH("connection",C305)),"Loose or Intermittent Connection",ISNUMBER(SEARCH("loose",C305)),"Loose or Intermittent Connection",ISNUMBER(SEARCH("damaged packaging",C305)),"Packaging Problem",ISNUMBER(SEARCH("packaging",C305)),"Packaging Problem",ISNUMBER(SEARCH("discoloration",C305)),"Contamination",ISNUMBER(SEARCH("tarnish",C305)),"Contamination",ISNUMBER(SEARCH("stain",C305)),"Contamination",ISNUMBER(SEARCH("foreign material",C305)),"Contamination",ISNUMBER(SEARCH("contamina",C305)),"Contamination",ISNUMBER(SEARCH("overheat",C305)),"Overheating of Device",ISNUMBER(SEARCH("excessive heat",C305)),"Overheating of Device",ISNUMBER(SEARCH("hot",C305)),"Overheating of Device",ISNUMBER(SEARCH("noise",C305)),"Noise, Audible",ISNUMBER(SEARCH("sound",C305)),"Noise, Audible",ISNUMBER(SEARCH("loud",C305)),"Noise, Audible",ISNUMBER(SEARCH("fray",C305)),"Material Frayed",ISNUMBER(SEARCH("hole",C305)),"Material Frayed",ISNUMBER(SEARCH("tear",C305)),"Material Frayed",ISNUMBER(SEARCH("worn",C305)),"Material Frayed",ISNUMBER(SEARCH("intermittent",C305)),"Difficult or Delayed Activation",ISNUMBER(SEARCH("delay",C305)),"Difficult or Delayed Activation",ISNUMBER(SEARCH("label",C305)),"Device Markings/Labelling Problem",ISNUMBER(SEARCH("marking",C305)),"Device Markings/Labelling Problem",ISNUMBER(SEARCH("lacerat",C305)),"Defective Device",ISNUMBER(SEARCH("cut",C305)),"Defective Device",ISNUMBER(SEARCH("leak",C305)),"Fluid/Blood Leak",ISNUMBER(SEARCH("missing",C305)),"Component Missing",ISNUMBER(SEARCH("power",C305)),"Complete Loss of Power",ISNUMBER(SEARCH("will not turn on",C305)),"Complete Loss of Power",ISNUMBER(SEARCH("won't turn on",C305)),"Complete Loss of Power",ISNUMBER(SEARCH("does not turn on",C305)),"Complete Loss of Power",ISNUMBER(SEARCH("electrical",C305)),"Electrical Power Problem",ISNUMBER(SEARCH("pressure",C305)),"Detachment of Device or Device Component",ISNUMBER(SEARCH("slip",C305)),"Detachment of Device or Device Component",ISNUMBER(SEARCH("detach",C305)),"Detachment of Device or Device Component",ISNUMBER(SEARCH("stick",C305)),"Mechanical Jam",ISNUMBER(SEARCH("jam",C305)),"Mechanical Jam",ISNUMBER(SEARCH("rigid",C305)),"Mechanical Jam",ISNUMBER(SEARCH("rust",C305)),"Corroded",ISNUMBER(SEARCH("corrod",C305)),"Corroded",ISNUMBER(SEARCH("corrosion",C305)),"Corroded",ISNUMBER(SEARCH("alignment",C305)),"Defective Device",ISNUMBER(SEARCH("adjust",C305)),"Defective Device",ISNUMBER(SEARCH("perform",C305)),"Defective Device",ISNUMBER(SEARCH("malfunction",C305)),"Defective Device",ISNUMBER(SEARCH("defect",C305)),"Defective Device",ISNUMBER(SEARCH("fail",C305)),"Defective Device",ISNUMBER(SEARCH("not work",C305)),"Defective Device",ISNUMBER(SEARCH("doesn't work",C305)),"Defective Device",TRUE,"UNKNOWN"),"UNKNOWN")))</f>
        <v/>
      </c>
      <c r="F305" s="4" t="str">
        <f t="shared" si="4"/>
        <v/>
      </c>
      <c r="G305" s="363" t="str">
        <f>IF(E305="","",IFERROR(VLOOKUP(E305,Codes!$L$2:$N$409,3,FALSE),"—"))</f>
        <v/>
      </c>
      <c r="H305" s="88"/>
      <c r="I305" s="88"/>
    </row>
    <row r="306" spans="1:9" ht="13.15" x14ac:dyDescent="0.35">
      <c r="A306" s="434"/>
      <c r="B306" s="436"/>
      <c r="C306" s="437"/>
      <c r="D306" s="434"/>
      <c r="E306" s="93" t="str" cm="1">
        <f t="array" ref="E306">IF(D306&lt;&gt;"",IFERROR(VLOOKUP(D306,Codes!$K$2:$L$409,2,FALSE),"UNKNOWN - "&amp;D306),IF(C306="","",IFERROR(_xlfn.IFS(ISNUMBER(SEARCH("broken button",C306)),"Break",ISNUMBER(SEARCH("broken handle",C306)),"Break",ISNUMBER(SEARCH("shipping damage",C306)),"Break",ISNUMBER(SEARCH("broken",C306)),"Break",ISNUMBER(SEARCH("crack",C306)),"Break",ISNUMBER(SEARCH("snap",C306)),"Break",ISNUMBER(SEARCH("fracture",C306)),"Break",ISNUMBER(SEARCH("bent",C306)),"Material Twisted/Bent",ISNUMBER(SEARCH("twisted",C306)),"Material Twisted/Bent",ISNUMBER(SEARCH("component separat",C306)),"Material Separation",ISNUMBER(SEARCH("separat",C306)),"Material Separation",ISNUMBER(SEARCH("connection",C306)),"Loose or Intermittent Connection",ISNUMBER(SEARCH("loose",C306)),"Loose or Intermittent Connection",ISNUMBER(SEARCH("damaged packaging",C306)),"Packaging Problem",ISNUMBER(SEARCH("packaging",C306)),"Packaging Problem",ISNUMBER(SEARCH("discoloration",C306)),"Contamination",ISNUMBER(SEARCH("tarnish",C306)),"Contamination",ISNUMBER(SEARCH("stain",C306)),"Contamination",ISNUMBER(SEARCH("foreign material",C306)),"Contamination",ISNUMBER(SEARCH("contamina",C306)),"Contamination",ISNUMBER(SEARCH("overheat",C306)),"Overheating of Device",ISNUMBER(SEARCH("excessive heat",C306)),"Overheating of Device",ISNUMBER(SEARCH("hot",C306)),"Overheating of Device",ISNUMBER(SEARCH("noise",C306)),"Noise, Audible",ISNUMBER(SEARCH("sound",C306)),"Noise, Audible",ISNUMBER(SEARCH("loud",C306)),"Noise, Audible",ISNUMBER(SEARCH("fray",C306)),"Material Frayed",ISNUMBER(SEARCH("hole",C306)),"Material Frayed",ISNUMBER(SEARCH("tear",C306)),"Material Frayed",ISNUMBER(SEARCH("worn",C306)),"Material Frayed",ISNUMBER(SEARCH("intermittent",C306)),"Difficult or Delayed Activation",ISNUMBER(SEARCH("delay",C306)),"Difficult or Delayed Activation",ISNUMBER(SEARCH("label",C306)),"Device Markings/Labelling Problem",ISNUMBER(SEARCH("marking",C306)),"Device Markings/Labelling Problem",ISNUMBER(SEARCH("lacerat",C306)),"Defective Device",ISNUMBER(SEARCH("cut",C306)),"Defective Device",ISNUMBER(SEARCH("leak",C306)),"Fluid/Blood Leak",ISNUMBER(SEARCH("missing",C306)),"Component Missing",ISNUMBER(SEARCH("power",C306)),"Complete Loss of Power",ISNUMBER(SEARCH("will not turn on",C306)),"Complete Loss of Power",ISNUMBER(SEARCH("won't turn on",C306)),"Complete Loss of Power",ISNUMBER(SEARCH("does not turn on",C306)),"Complete Loss of Power",ISNUMBER(SEARCH("electrical",C306)),"Electrical Power Problem",ISNUMBER(SEARCH("pressure",C306)),"Detachment of Device or Device Component",ISNUMBER(SEARCH("slip",C306)),"Detachment of Device or Device Component",ISNUMBER(SEARCH("detach",C306)),"Detachment of Device or Device Component",ISNUMBER(SEARCH("stick",C306)),"Mechanical Jam",ISNUMBER(SEARCH("jam",C306)),"Mechanical Jam",ISNUMBER(SEARCH("rigid",C306)),"Mechanical Jam",ISNUMBER(SEARCH("rust",C306)),"Corroded",ISNUMBER(SEARCH("corrod",C306)),"Corroded",ISNUMBER(SEARCH("corrosion",C306)),"Corroded",ISNUMBER(SEARCH("alignment",C306)),"Defective Device",ISNUMBER(SEARCH("adjust",C306)),"Defective Device",ISNUMBER(SEARCH("perform",C306)),"Defective Device",ISNUMBER(SEARCH("malfunction",C306)),"Defective Device",ISNUMBER(SEARCH("defect",C306)),"Defective Device",ISNUMBER(SEARCH("fail",C306)),"Defective Device",ISNUMBER(SEARCH("not work",C306)),"Defective Device",ISNUMBER(SEARCH("doesn't work",C306)),"Defective Device",TRUE,"UNKNOWN"),"UNKNOWN")))</f>
        <v/>
      </c>
      <c r="F306" s="4" t="str">
        <f t="shared" si="4"/>
        <v/>
      </c>
      <c r="G306" s="363" t="str">
        <f>IF(E306="","",IFERROR(VLOOKUP(E306,Codes!$L$2:$N$409,3,FALSE),"—"))</f>
        <v/>
      </c>
      <c r="H306" s="88"/>
      <c r="I306" s="88"/>
    </row>
    <row r="307" spans="1:9" ht="13.15" x14ac:dyDescent="0.35">
      <c r="A307" s="435"/>
      <c r="B307" s="436"/>
      <c r="C307" s="438"/>
      <c r="D307" s="435"/>
      <c r="E307" s="93" t="str" cm="1">
        <f t="array" ref="E307">IF(D307&lt;&gt;"",IFERROR(VLOOKUP(D307,Codes!$K$2:$L$409,2,FALSE),"UNKNOWN - "&amp;D307),IF(C307="","",IFERROR(_xlfn.IFS(ISNUMBER(SEARCH("broken button",C307)),"Break",ISNUMBER(SEARCH("broken handle",C307)),"Break",ISNUMBER(SEARCH("shipping damage",C307)),"Break",ISNUMBER(SEARCH("broken",C307)),"Break",ISNUMBER(SEARCH("crack",C307)),"Break",ISNUMBER(SEARCH("snap",C307)),"Break",ISNUMBER(SEARCH("fracture",C307)),"Break",ISNUMBER(SEARCH("bent",C307)),"Material Twisted/Bent",ISNUMBER(SEARCH("twisted",C307)),"Material Twisted/Bent",ISNUMBER(SEARCH("component separat",C307)),"Material Separation",ISNUMBER(SEARCH("separat",C307)),"Material Separation",ISNUMBER(SEARCH("connection",C307)),"Loose or Intermittent Connection",ISNUMBER(SEARCH("loose",C307)),"Loose or Intermittent Connection",ISNUMBER(SEARCH("damaged packaging",C307)),"Packaging Problem",ISNUMBER(SEARCH("packaging",C307)),"Packaging Problem",ISNUMBER(SEARCH("discoloration",C307)),"Contamination",ISNUMBER(SEARCH("tarnish",C307)),"Contamination",ISNUMBER(SEARCH("stain",C307)),"Contamination",ISNUMBER(SEARCH("foreign material",C307)),"Contamination",ISNUMBER(SEARCH("contamina",C307)),"Contamination",ISNUMBER(SEARCH("overheat",C307)),"Overheating of Device",ISNUMBER(SEARCH("excessive heat",C307)),"Overheating of Device",ISNUMBER(SEARCH("hot",C307)),"Overheating of Device",ISNUMBER(SEARCH("noise",C307)),"Noise, Audible",ISNUMBER(SEARCH("sound",C307)),"Noise, Audible",ISNUMBER(SEARCH("loud",C307)),"Noise, Audible",ISNUMBER(SEARCH("fray",C307)),"Material Frayed",ISNUMBER(SEARCH("hole",C307)),"Material Frayed",ISNUMBER(SEARCH("tear",C307)),"Material Frayed",ISNUMBER(SEARCH("worn",C307)),"Material Frayed",ISNUMBER(SEARCH("intermittent",C307)),"Difficult or Delayed Activation",ISNUMBER(SEARCH("delay",C307)),"Difficult or Delayed Activation",ISNUMBER(SEARCH("label",C307)),"Device Markings/Labelling Problem",ISNUMBER(SEARCH("marking",C307)),"Device Markings/Labelling Problem",ISNUMBER(SEARCH("lacerat",C307)),"Defective Device",ISNUMBER(SEARCH("cut",C307)),"Defective Device",ISNUMBER(SEARCH("leak",C307)),"Fluid/Blood Leak",ISNUMBER(SEARCH("missing",C307)),"Component Missing",ISNUMBER(SEARCH("power",C307)),"Complete Loss of Power",ISNUMBER(SEARCH("will not turn on",C307)),"Complete Loss of Power",ISNUMBER(SEARCH("won't turn on",C307)),"Complete Loss of Power",ISNUMBER(SEARCH("does not turn on",C307)),"Complete Loss of Power",ISNUMBER(SEARCH("electrical",C307)),"Electrical Power Problem",ISNUMBER(SEARCH("pressure",C307)),"Detachment of Device or Device Component",ISNUMBER(SEARCH("slip",C307)),"Detachment of Device or Device Component",ISNUMBER(SEARCH("detach",C307)),"Detachment of Device or Device Component",ISNUMBER(SEARCH("stick",C307)),"Mechanical Jam",ISNUMBER(SEARCH("jam",C307)),"Mechanical Jam",ISNUMBER(SEARCH("rigid",C307)),"Mechanical Jam",ISNUMBER(SEARCH("rust",C307)),"Corroded",ISNUMBER(SEARCH("corrod",C307)),"Corroded",ISNUMBER(SEARCH("corrosion",C307)),"Corroded",ISNUMBER(SEARCH("alignment",C307)),"Defective Device",ISNUMBER(SEARCH("adjust",C307)),"Defective Device",ISNUMBER(SEARCH("perform",C307)),"Defective Device",ISNUMBER(SEARCH("malfunction",C307)),"Defective Device",ISNUMBER(SEARCH("defect",C307)),"Defective Device",ISNUMBER(SEARCH("fail",C307)),"Defective Device",ISNUMBER(SEARCH("not work",C307)),"Defective Device",ISNUMBER(SEARCH("doesn't work",C307)),"Defective Device",TRUE,"UNKNOWN"),"UNKNOWN")))</f>
        <v/>
      </c>
      <c r="F307" s="4" t="str">
        <f t="shared" si="4"/>
        <v/>
      </c>
      <c r="G307" s="363" t="str">
        <f>IF(E307="","",IFERROR(VLOOKUP(E307,Codes!$L$2:$N$409,3,FALSE),"—"))</f>
        <v/>
      </c>
      <c r="H307" s="88"/>
      <c r="I307" s="88"/>
    </row>
    <row r="308" spans="1:9" ht="13.15" x14ac:dyDescent="0.35">
      <c r="A308" s="434"/>
      <c r="B308" s="436"/>
      <c r="C308" s="437"/>
      <c r="D308" s="434"/>
      <c r="E308" s="93" t="str" cm="1">
        <f t="array" ref="E308">IF(D308&lt;&gt;"",IFERROR(VLOOKUP(D308,Codes!$K$2:$L$409,2,FALSE),"UNKNOWN - "&amp;D308),IF(C308="","",IFERROR(_xlfn.IFS(ISNUMBER(SEARCH("broken button",C308)),"Break",ISNUMBER(SEARCH("broken handle",C308)),"Break",ISNUMBER(SEARCH("shipping damage",C308)),"Break",ISNUMBER(SEARCH("broken",C308)),"Break",ISNUMBER(SEARCH("crack",C308)),"Break",ISNUMBER(SEARCH("snap",C308)),"Break",ISNUMBER(SEARCH("fracture",C308)),"Break",ISNUMBER(SEARCH("bent",C308)),"Material Twisted/Bent",ISNUMBER(SEARCH("twisted",C308)),"Material Twisted/Bent",ISNUMBER(SEARCH("component separat",C308)),"Material Separation",ISNUMBER(SEARCH("separat",C308)),"Material Separation",ISNUMBER(SEARCH("connection",C308)),"Loose or Intermittent Connection",ISNUMBER(SEARCH("loose",C308)),"Loose or Intermittent Connection",ISNUMBER(SEARCH("damaged packaging",C308)),"Packaging Problem",ISNUMBER(SEARCH("packaging",C308)),"Packaging Problem",ISNUMBER(SEARCH("discoloration",C308)),"Contamination",ISNUMBER(SEARCH("tarnish",C308)),"Contamination",ISNUMBER(SEARCH("stain",C308)),"Contamination",ISNUMBER(SEARCH("foreign material",C308)),"Contamination",ISNUMBER(SEARCH("contamina",C308)),"Contamination",ISNUMBER(SEARCH("overheat",C308)),"Overheating of Device",ISNUMBER(SEARCH("excessive heat",C308)),"Overheating of Device",ISNUMBER(SEARCH("hot",C308)),"Overheating of Device",ISNUMBER(SEARCH("noise",C308)),"Noise, Audible",ISNUMBER(SEARCH("sound",C308)),"Noise, Audible",ISNUMBER(SEARCH("loud",C308)),"Noise, Audible",ISNUMBER(SEARCH("fray",C308)),"Material Frayed",ISNUMBER(SEARCH("hole",C308)),"Material Frayed",ISNUMBER(SEARCH("tear",C308)),"Material Frayed",ISNUMBER(SEARCH("worn",C308)),"Material Frayed",ISNUMBER(SEARCH("intermittent",C308)),"Difficult or Delayed Activation",ISNUMBER(SEARCH("delay",C308)),"Difficult or Delayed Activation",ISNUMBER(SEARCH("label",C308)),"Device Markings/Labelling Problem",ISNUMBER(SEARCH("marking",C308)),"Device Markings/Labelling Problem",ISNUMBER(SEARCH("lacerat",C308)),"Defective Device",ISNUMBER(SEARCH("cut",C308)),"Defective Device",ISNUMBER(SEARCH("leak",C308)),"Fluid/Blood Leak",ISNUMBER(SEARCH("missing",C308)),"Component Missing",ISNUMBER(SEARCH("power",C308)),"Complete Loss of Power",ISNUMBER(SEARCH("will not turn on",C308)),"Complete Loss of Power",ISNUMBER(SEARCH("won't turn on",C308)),"Complete Loss of Power",ISNUMBER(SEARCH("does not turn on",C308)),"Complete Loss of Power",ISNUMBER(SEARCH("electrical",C308)),"Electrical Power Problem",ISNUMBER(SEARCH("pressure",C308)),"Detachment of Device or Device Component",ISNUMBER(SEARCH("slip",C308)),"Detachment of Device or Device Component",ISNUMBER(SEARCH("detach",C308)),"Detachment of Device or Device Component",ISNUMBER(SEARCH("stick",C308)),"Mechanical Jam",ISNUMBER(SEARCH("jam",C308)),"Mechanical Jam",ISNUMBER(SEARCH("rigid",C308)),"Mechanical Jam",ISNUMBER(SEARCH("rust",C308)),"Corroded",ISNUMBER(SEARCH("corrod",C308)),"Corroded",ISNUMBER(SEARCH("corrosion",C308)),"Corroded",ISNUMBER(SEARCH("alignment",C308)),"Defective Device",ISNUMBER(SEARCH("adjust",C308)),"Defective Device",ISNUMBER(SEARCH("perform",C308)),"Defective Device",ISNUMBER(SEARCH("malfunction",C308)),"Defective Device",ISNUMBER(SEARCH("defect",C308)),"Defective Device",ISNUMBER(SEARCH("fail",C308)),"Defective Device",ISNUMBER(SEARCH("not work",C308)),"Defective Device",ISNUMBER(SEARCH("doesn't work",C308)),"Defective Device",TRUE,"UNKNOWN"),"UNKNOWN")))</f>
        <v/>
      </c>
      <c r="F308" s="4" t="str">
        <f t="shared" si="4"/>
        <v/>
      </c>
      <c r="G308" s="363" t="str">
        <f>IF(E308="","",IFERROR(VLOOKUP(E308,Codes!$L$2:$N$409,3,FALSE),"—"))</f>
        <v/>
      </c>
      <c r="H308" s="88"/>
      <c r="I308" s="88"/>
    </row>
    <row r="309" spans="1:9" ht="13.15" x14ac:dyDescent="0.35">
      <c r="A309" s="435"/>
      <c r="B309" s="436"/>
      <c r="C309" s="438"/>
      <c r="D309" s="435"/>
      <c r="E309" s="93" t="str" cm="1">
        <f t="array" ref="E309">IF(D309&lt;&gt;"",IFERROR(VLOOKUP(D309,Codes!$K$2:$L$409,2,FALSE),"UNKNOWN - "&amp;D309),IF(C309="","",IFERROR(_xlfn.IFS(ISNUMBER(SEARCH("broken button",C309)),"Break",ISNUMBER(SEARCH("broken handle",C309)),"Break",ISNUMBER(SEARCH("shipping damage",C309)),"Break",ISNUMBER(SEARCH("broken",C309)),"Break",ISNUMBER(SEARCH("crack",C309)),"Break",ISNUMBER(SEARCH("snap",C309)),"Break",ISNUMBER(SEARCH("fracture",C309)),"Break",ISNUMBER(SEARCH("bent",C309)),"Material Twisted/Bent",ISNUMBER(SEARCH("twisted",C309)),"Material Twisted/Bent",ISNUMBER(SEARCH("component separat",C309)),"Material Separation",ISNUMBER(SEARCH("separat",C309)),"Material Separation",ISNUMBER(SEARCH("connection",C309)),"Loose or Intermittent Connection",ISNUMBER(SEARCH("loose",C309)),"Loose or Intermittent Connection",ISNUMBER(SEARCH("damaged packaging",C309)),"Packaging Problem",ISNUMBER(SEARCH("packaging",C309)),"Packaging Problem",ISNUMBER(SEARCH("discoloration",C309)),"Contamination",ISNUMBER(SEARCH("tarnish",C309)),"Contamination",ISNUMBER(SEARCH("stain",C309)),"Contamination",ISNUMBER(SEARCH("foreign material",C309)),"Contamination",ISNUMBER(SEARCH("contamina",C309)),"Contamination",ISNUMBER(SEARCH("overheat",C309)),"Overheating of Device",ISNUMBER(SEARCH("excessive heat",C309)),"Overheating of Device",ISNUMBER(SEARCH("hot",C309)),"Overheating of Device",ISNUMBER(SEARCH("noise",C309)),"Noise, Audible",ISNUMBER(SEARCH("sound",C309)),"Noise, Audible",ISNUMBER(SEARCH("loud",C309)),"Noise, Audible",ISNUMBER(SEARCH("fray",C309)),"Material Frayed",ISNUMBER(SEARCH("hole",C309)),"Material Frayed",ISNUMBER(SEARCH("tear",C309)),"Material Frayed",ISNUMBER(SEARCH("worn",C309)),"Material Frayed",ISNUMBER(SEARCH("intermittent",C309)),"Difficult or Delayed Activation",ISNUMBER(SEARCH("delay",C309)),"Difficult or Delayed Activation",ISNUMBER(SEARCH("label",C309)),"Device Markings/Labelling Problem",ISNUMBER(SEARCH("marking",C309)),"Device Markings/Labelling Problem",ISNUMBER(SEARCH("lacerat",C309)),"Defective Device",ISNUMBER(SEARCH("cut",C309)),"Defective Device",ISNUMBER(SEARCH("leak",C309)),"Fluid/Blood Leak",ISNUMBER(SEARCH("missing",C309)),"Component Missing",ISNUMBER(SEARCH("power",C309)),"Complete Loss of Power",ISNUMBER(SEARCH("will not turn on",C309)),"Complete Loss of Power",ISNUMBER(SEARCH("won't turn on",C309)),"Complete Loss of Power",ISNUMBER(SEARCH("does not turn on",C309)),"Complete Loss of Power",ISNUMBER(SEARCH("electrical",C309)),"Electrical Power Problem",ISNUMBER(SEARCH("pressure",C309)),"Detachment of Device or Device Component",ISNUMBER(SEARCH("slip",C309)),"Detachment of Device or Device Component",ISNUMBER(SEARCH("detach",C309)),"Detachment of Device or Device Component",ISNUMBER(SEARCH("stick",C309)),"Mechanical Jam",ISNUMBER(SEARCH("jam",C309)),"Mechanical Jam",ISNUMBER(SEARCH("rigid",C309)),"Mechanical Jam",ISNUMBER(SEARCH("rust",C309)),"Corroded",ISNUMBER(SEARCH("corrod",C309)),"Corroded",ISNUMBER(SEARCH("corrosion",C309)),"Corroded",ISNUMBER(SEARCH("alignment",C309)),"Defective Device",ISNUMBER(SEARCH("adjust",C309)),"Defective Device",ISNUMBER(SEARCH("perform",C309)),"Defective Device",ISNUMBER(SEARCH("malfunction",C309)),"Defective Device",ISNUMBER(SEARCH("defect",C309)),"Defective Device",ISNUMBER(SEARCH("fail",C309)),"Defective Device",ISNUMBER(SEARCH("not work",C309)),"Defective Device",ISNUMBER(SEARCH("doesn't work",C309)),"Defective Device",TRUE,"UNKNOWN"),"UNKNOWN")))</f>
        <v/>
      </c>
      <c r="F309" s="4" t="str">
        <f t="shared" si="4"/>
        <v/>
      </c>
      <c r="G309" s="363" t="str">
        <f>IF(E309="","",IFERROR(VLOOKUP(E309,Codes!$L$2:$N$409,3,FALSE),"—"))</f>
        <v/>
      </c>
      <c r="H309" s="88"/>
      <c r="I309" s="88"/>
    </row>
    <row r="310" spans="1:9" ht="13.15" x14ac:dyDescent="0.35">
      <c r="A310" s="435"/>
      <c r="B310" s="436"/>
      <c r="C310" s="440"/>
      <c r="D310" s="435"/>
      <c r="E310" s="93" t="str" cm="1">
        <f t="array" ref="E310">IF(D310&lt;&gt;"",IFERROR(VLOOKUP(D310,Codes!$K$2:$L$409,2,FALSE),"UNKNOWN - "&amp;D310),IF(C310="","",IFERROR(_xlfn.IFS(ISNUMBER(SEARCH("broken button",C310)),"Break",ISNUMBER(SEARCH("broken handle",C310)),"Break",ISNUMBER(SEARCH("shipping damage",C310)),"Break",ISNUMBER(SEARCH("broken",C310)),"Break",ISNUMBER(SEARCH("crack",C310)),"Break",ISNUMBER(SEARCH("snap",C310)),"Break",ISNUMBER(SEARCH("fracture",C310)),"Break",ISNUMBER(SEARCH("bent",C310)),"Material Twisted/Bent",ISNUMBER(SEARCH("twisted",C310)),"Material Twisted/Bent",ISNUMBER(SEARCH("component separat",C310)),"Material Separation",ISNUMBER(SEARCH("separat",C310)),"Material Separation",ISNUMBER(SEARCH("connection",C310)),"Loose or Intermittent Connection",ISNUMBER(SEARCH("loose",C310)),"Loose or Intermittent Connection",ISNUMBER(SEARCH("damaged packaging",C310)),"Packaging Problem",ISNUMBER(SEARCH("packaging",C310)),"Packaging Problem",ISNUMBER(SEARCH("discoloration",C310)),"Contamination",ISNUMBER(SEARCH("tarnish",C310)),"Contamination",ISNUMBER(SEARCH("stain",C310)),"Contamination",ISNUMBER(SEARCH("foreign material",C310)),"Contamination",ISNUMBER(SEARCH("contamina",C310)),"Contamination",ISNUMBER(SEARCH("overheat",C310)),"Overheating of Device",ISNUMBER(SEARCH("excessive heat",C310)),"Overheating of Device",ISNUMBER(SEARCH("hot",C310)),"Overheating of Device",ISNUMBER(SEARCH("noise",C310)),"Noise, Audible",ISNUMBER(SEARCH("sound",C310)),"Noise, Audible",ISNUMBER(SEARCH("loud",C310)),"Noise, Audible",ISNUMBER(SEARCH("fray",C310)),"Material Frayed",ISNUMBER(SEARCH("hole",C310)),"Material Frayed",ISNUMBER(SEARCH("tear",C310)),"Material Frayed",ISNUMBER(SEARCH("worn",C310)),"Material Frayed",ISNUMBER(SEARCH("intermittent",C310)),"Difficult or Delayed Activation",ISNUMBER(SEARCH("delay",C310)),"Difficult or Delayed Activation",ISNUMBER(SEARCH("label",C310)),"Device Markings/Labelling Problem",ISNUMBER(SEARCH("marking",C310)),"Device Markings/Labelling Problem",ISNUMBER(SEARCH("lacerat",C310)),"Defective Device",ISNUMBER(SEARCH("cut",C310)),"Defective Device",ISNUMBER(SEARCH("leak",C310)),"Fluid/Blood Leak",ISNUMBER(SEARCH("missing",C310)),"Component Missing",ISNUMBER(SEARCH("power",C310)),"Complete Loss of Power",ISNUMBER(SEARCH("will not turn on",C310)),"Complete Loss of Power",ISNUMBER(SEARCH("won't turn on",C310)),"Complete Loss of Power",ISNUMBER(SEARCH("does not turn on",C310)),"Complete Loss of Power",ISNUMBER(SEARCH("electrical",C310)),"Electrical Power Problem",ISNUMBER(SEARCH("pressure",C310)),"Detachment of Device or Device Component",ISNUMBER(SEARCH("slip",C310)),"Detachment of Device or Device Component",ISNUMBER(SEARCH("detach",C310)),"Detachment of Device or Device Component",ISNUMBER(SEARCH("stick",C310)),"Mechanical Jam",ISNUMBER(SEARCH("jam",C310)),"Mechanical Jam",ISNUMBER(SEARCH("rigid",C310)),"Mechanical Jam",ISNUMBER(SEARCH("rust",C310)),"Corroded",ISNUMBER(SEARCH("corrod",C310)),"Corroded",ISNUMBER(SEARCH("corrosion",C310)),"Corroded",ISNUMBER(SEARCH("alignment",C310)),"Defective Device",ISNUMBER(SEARCH("adjust",C310)),"Defective Device",ISNUMBER(SEARCH("perform",C310)),"Defective Device",ISNUMBER(SEARCH("malfunction",C310)),"Defective Device",ISNUMBER(SEARCH("defect",C310)),"Defective Device",ISNUMBER(SEARCH("fail",C310)),"Defective Device",ISNUMBER(SEARCH("not work",C310)),"Defective Device",ISNUMBER(SEARCH("doesn't work",C310)),"Defective Device",TRUE,"UNKNOWN"),"UNKNOWN")))</f>
        <v/>
      </c>
      <c r="F310" s="4" t="str">
        <f t="shared" si="4"/>
        <v/>
      </c>
      <c r="G310" s="363" t="str">
        <f>IF(E310="","",IFERROR(VLOOKUP(E310,Codes!$L$2:$N$409,3,FALSE),"—"))</f>
        <v/>
      </c>
      <c r="H310" s="88"/>
      <c r="I310" s="88"/>
    </row>
    <row r="311" spans="1:9" ht="13.15" x14ac:dyDescent="0.35">
      <c r="A311" s="434"/>
      <c r="B311" s="436"/>
      <c r="C311" s="437"/>
      <c r="D311" s="434"/>
      <c r="E311" s="93" t="str" cm="1">
        <f t="array" ref="E311">IF(D311&lt;&gt;"",IFERROR(VLOOKUP(D311,Codes!$K$2:$L$409,2,FALSE),"UNKNOWN - "&amp;D311),IF(C311="","",IFERROR(_xlfn.IFS(ISNUMBER(SEARCH("broken button",C311)),"Break",ISNUMBER(SEARCH("broken handle",C311)),"Break",ISNUMBER(SEARCH("shipping damage",C311)),"Break",ISNUMBER(SEARCH("broken",C311)),"Break",ISNUMBER(SEARCH("crack",C311)),"Break",ISNUMBER(SEARCH("snap",C311)),"Break",ISNUMBER(SEARCH("fracture",C311)),"Break",ISNUMBER(SEARCH("bent",C311)),"Material Twisted/Bent",ISNUMBER(SEARCH("twisted",C311)),"Material Twisted/Bent",ISNUMBER(SEARCH("component separat",C311)),"Material Separation",ISNUMBER(SEARCH("separat",C311)),"Material Separation",ISNUMBER(SEARCH("connection",C311)),"Loose or Intermittent Connection",ISNUMBER(SEARCH("loose",C311)),"Loose or Intermittent Connection",ISNUMBER(SEARCH("damaged packaging",C311)),"Packaging Problem",ISNUMBER(SEARCH("packaging",C311)),"Packaging Problem",ISNUMBER(SEARCH("discoloration",C311)),"Contamination",ISNUMBER(SEARCH("tarnish",C311)),"Contamination",ISNUMBER(SEARCH("stain",C311)),"Contamination",ISNUMBER(SEARCH("foreign material",C311)),"Contamination",ISNUMBER(SEARCH("contamina",C311)),"Contamination",ISNUMBER(SEARCH("overheat",C311)),"Overheating of Device",ISNUMBER(SEARCH("excessive heat",C311)),"Overheating of Device",ISNUMBER(SEARCH("hot",C311)),"Overheating of Device",ISNUMBER(SEARCH("noise",C311)),"Noise, Audible",ISNUMBER(SEARCH("sound",C311)),"Noise, Audible",ISNUMBER(SEARCH("loud",C311)),"Noise, Audible",ISNUMBER(SEARCH("fray",C311)),"Material Frayed",ISNUMBER(SEARCH("hole",C311)),"Material Frayed",ISNUMBER(SEARCH("tear",C311)),"Material Frayed",ISNUMBER(SEARCH("worn",C311)),"Material Frayed",ISNUMBER(SEARCH("intermittent",C311)),"Difficult or Delayed Activation",ISNUMBER(SEARCH("delay",C311)),"Difficult or Delayed Activation",ISNUMBER(SEARCH("label",C311)),"Device Markings/Labelling Problem",ISNUMBER(SEARCH("marking",C311)),"Device Markings/Labelling Problem",ISNUMBER(SEARCH("lacerat",C311)),"Defective Device",ISNUMBER(SEARCH("cut",C311)),"Defective Device",ISNUMBER(SEARCH("leak",C311)),"Fluid/Blood Leak",ISNUMBER(SEARCH("missing",C311)),"Component Missing",ISNUMBER(SEARCH("power",C311)),"Complete Loss of Power",ISNUMBER(SEARCH("will not turn on",C311)),"Complete Loss of Power",ISNUMBER(SEARCH("won't turn on",C311)),"Complete Loss of Power",ISNUMBER(SEARCH("does not turn on",C311)),"Complete Loss of Power",ISNUMBER(SEARCH("electrical",C311)),"Electrical Power Problem",ISNUMBER(SEARCH("pressure",C311)),"Detachment of Device or Device Component",ISNUMBER(SEARCH("slip",C311)),"Detachment of Device or Device Component",ISNUMBER(SEARCH("detach",C311)),"Detachment of Device or Device Component",ISNUMBER(SEARCH("stick",C311)),"Mechanical Jam",ISNUMBER(SEARCH("jam",C311)),"Mechanical Jam",ISNUMBER(SEARCH("rigid",C311)),"Mechanical Jam",ISNUMBER(SEARCH("rust",C311)),"Corroded",ISNUMBER(SEARCH("corrod",C311)),"Corroded",ISNUMBER(SEARCH("corrosion",C311)),"Corroded",ISNUMBER(SEARCH("alignment",C311)),"Defective Device",ISNUMBER(SEARCH("adjust",C311)),"Defective Device",ISNUMBER(SEARCH("perform",C311)),"Defective Device",ISNUMBER(SEARCH("malfunction",C311)),"Defective Device",ISNUMBER(SEARCH("defect",C311)),"Defective Device",ISNUMBER(SEARCH("fail",C311)),"Defective Device",ISNUMBER(SEARCH("not work",C311)),"Defective Device",ISNUMBER(SEARCH("doesn't work",C311)),"Defective Device",TRUE,"UNKNOWN"),"UNKNOWN")))</f>
        <v/>
      </c>
      <c r="F311" s="4" t="str">
        <f t="shared" si="4"/>
        <v/>
      </c>
      <c r="G311" s="363" t="str">
        <f>IF(E311="","",IFERROR(VLOOKUP(E311,Codes!$L$2:$N$409,3,FALSE),"—"))</f>
        <v/>
      </c>
      <c r="H311" s="88"/>
      <c r="I311" s="88"/>
    </row>
    <row r="312" spans="1:9" ht="13.15" x14ac:dyDescent="0.35">
      <c r="A312" s="435"/>
      <c r="B312" s="436"/>
      <c r="C312" s="438"/>
      <c r="D312" s="435"/>
      <c r="E312" s="93" t="str" cm="1">
        <f t="array" ref="E312">IF(D312&lt;&gt;"",IFERROR(VLOOKUP(D312,Codes!$K$2:$L$409,2,FALSE),"UNKNOWN - "&amp;D312),IF(C312="","",IFERROR(_xlfn.IFS(ISNUMBER(SEARCH("broken button",C312)),"Break",ISNUMBER(SEARCH("broken handle",C312)),"Break",ISNUMBER(SEARCH("shipping damage",C312)),"Break",ISNUMBER(SEARCH("broken",C312)),"Break",ISNUMBER(SEARCH("crack",C312)),"Break",ISNUMBER(SEARCH("snap",C312)),"Break",ISNUMBER(SEARCH("fracture",C312)),"Break",ISNUMBER(SEARCH("bent",C312)),"Material Twisted/Bent",ISNUMBER(SEARCH("twisted",C312)),"Material Twisted/Bent",ISNUMBER(SEARCH("component separat",C312)),"Material Separation",ISNUMBER(SEARCH("separat",C312)),"Material Separation",ISNUMBER(SEARCH("connection",C312)),"Loose or Intermittent Connection",ISNUMBER(SEARCH("loose",C312)),"Loose or Intermittent Connection",ISNUMBER(SEARCH("damaged packaging",C312)),"Packaging Problem",ISNUMBER(SEARCH("packaging",C312)),"Packaging Problem",ISNUMBER(SEARCH("discoloration",C312)),"Contamination",ISNUMBER(SEARCH("tarnish",C312)),"Contamination",ISNUMBER(SEARCH("stain",C312)),"Contamination",ISNUMBER(SEARCH("foreign material",C312)),"Contamination",ISNUMBER(SEARCH("contamina",C312)),"Contamination",ISNUMBER(SEARCH("overheat",C312)),"Overheating of Device",ISNUMBER(SEARCH("excessive heat",C312)),"Overheating of Device",ISNUMBER(SEARCH("hot",C312)),"Overheating of Device",ISNUMBER(SEARCH("noise",C312)),"Noise, Audible",ISNUMBER(SEARCH("sound",C312)),"Noise, Audible",ISNUMBER(SEARCH("loud",C312)),"Noise, Audible",ISNUMBER(SEARCH("fray",C312)),"Material Frayed",ISNUMBER(SEARCH("hole",C312)),"Material Frayed",ISNUMBER(SEARCH("tear",C312)),"Material Frayed",ISNUMBER(SEARCH("worn",C312)),"Material Frayed",ISNUMBER(SEARCH("intermittent",C312)),"Difficult or Delayed Activation",ISNUMBER(SEARCH("delay",C312)),"Difficult or Delayed Activation",ISNUMBER(SEARCH("label",C312)),"Device Markings/Labelling Problem",ISNUMBER(SEARCH("marking",C312)),"Device Markings/Labelling Problem",ISNUMBER(SEARCH("lacerat",C312)),"Defective Device",ISNUMBER(SEARCH("cut",C312)),"Defective Device",ISNUMBER(SEARCH("leak",C312)),"Fluid/Blood Leak",ISNUMBER(SEARCH("missing",C312)),"Component Missing",ISNUMBER(SEARCH("power",C312)),"Complete Loss of Power",ISNUMBER(SEARCH("will not turn on",C312)),"Complete Loss of Power",ISNUMBER(SEARCH("won't turn on",C312)),"Complete Loss of Power",ISNUMBER(SEARCH("does not turn on",C312)),"Complete Loss of Power",ISNUMBER(SEARCH("electrical",C312)),"Electrical Power Problem",ISNUMBER(SEARCH("pressure",C312)),"Detachment of Device or Device Component",ISNUMBER(SEARCH("slip",C312)),"Detachment of Device or Device Component",ISNUMBER(SEARCH("detach",C312)),"Detachment of Device or Device Component",ISNUMBER(SEARCH("stick",C312)),"Mechanical Jam",ISNUMBER(SEARCH("jam",C312)),"Mechanical Jam",ISNUMBER(SEARCH("rigid",C312)),"Mechanical Jam",ISNUMBER(SEARCH("rust",C312)),"Corroded",ISNUMBER(SEARCH("corrod",C312)),"Corroded",ISNUMBER(SEARCH("corrosion",C312)),"Corroded",ISNUMBER(SEARCH("alignment",C312)),"Defective Device",ISNUMBER(SEARCH("adjust",C312)),"Defective Device",ISNUMBER(SEARCH("perform",C312)),"Defective Device",ISNUMBER(SEARCH("malfunction",C312)),"Defective Device",ISNUMBER(SEARCH("defect",C312)),"Defective Device",ISNUMBER(SEARCH("fail",C312)),"Defective Device",ISNUMBER(SEARCH("not work",C312)),"Defective Device",ISNUMBER(SEARCH("doesn't work",C312)),"Defective Device",TRUE,"UNKNOWN"),"UNKNOWN")))</f>
        <v/>
      </c>
      <c r="F312" s="4" t="str">
        <f t="shared" si="4"/>
        <v/>
      </c>
      <c r="G312" s="363" t="str">
        <f>IF(E312="","",IFERROR(VLOOKUP(E312,Codes!$L$2:$N$409,3,FALSE),"—"))</f>
        <v/>
      </c>
      <c r="H312" s="88"/>
      <c r="I312" s="88"/>
    </row>
    <row r="313" spans="1:9" ht="13.15" x14ac:dyDescent="0.35">
      <c r="A313" s="435"/>
      <c r="B313" s="436"/>
      <c r="C313" s="438"/>
      <c r="D313" s="435"/>
      <c r="E313" s="93" t="str" cm="1">
        <f t="array" ref="E313">IF(D313&lt;&gt;"",IFERROR(VLOOKUP(D313,Codes!$K$2:$L$409,2,FALSE),"UNKNOWN - "&amp;D313),IF(C313="","",IFERROR(_xlfn.IFS(ISNUMBER(SEARCH("broken button",C313)),"Break",ISNUMBER(SEARCH("broken handle",C313)),"Break",ISNUMBER(SEARCH("shipping damage",C313)),"Break",ISNUMBER(SEARCH("broken",C313)),"Break",ISNUMBER(SEARCH("crack",C313)),"Break",ISNUMBER(SEARCH("snap",C313)),"Break",ISNUMBER(SEARCH("fracture",C313)),"Break",ISNUMBER(SEARCH("bent",C313)),"Material Twisted/Bent",ISNUMBER(SEARCH("twisted",C313)),"Material Twisted/Bent",ISNUMBER(SEARCH("component separat",C313)),"Material Separation",ISNUMBER(SEARCH("separat",C313)),"Material Separation",ISNUMBER(SEARCH("connection",C313)),"Loose or Intermittent Connection",ISNUMBER(SEARCH("loose",C313)),"Loose or Intermittent Connection",ISNUMBER(SEARCH("damaged packaging",C313)),"Packaging Problem",ISNUMBER(SEARCH("packaging",C313)),"Packaging Problem",ISNUMBER(SEARCH("discoloration",C313)),"Contamination",ISNUMBER(SEARCH("tarnish",C313)),"Contamination",ISNUMBER(SEARCH("stain",C313)),"Contamination",ISNUMBER(SEARCH("foreign material",C313)),"Contamination",ISNUMBER(SEARCH("contamina",C313)),"Contamination",ISNUMBER(SEARCH("overheat",C313)),"Overheating of Device",ISNUMBER(SEARCH("excessive heat",C313)),"Overheating of Device",ISNUMBER(SEARCH("hot",C313)),"Overheating of Device",ISNUMBER(SEARCH("noise",C313)),"Noise, Audible",ISNUMBER(SEARCH("sound",C313)),"Noise, Audible",ISNUMBER(SEARCH("loud",C313)),"Noise, Audible",ISNUMBER(SEARCH("fray",C313)),"Material Frayed",ISNUMBER(SEARCH("hole",C313)),"Material Frayed",ISNUMBER(SEARCH("tear",C313)),"Material Frayed",ISNUMBER(SEARCH("worn",C313)),"Material Frayed",ISNUMBER(SEARCH("intermittent",C313)),"Difficult or Delayed Activation",ISNUMBER(SEARCH("delay",C313)),"Difficult or Delayed Activation",ISNUMBER(SEARCH("label",C313)),"Device Markings/Labelling Problem",ISNUMBER(SEARCH("marking",C313)),"Device Markings/Labelling Problem",ISNUMBER(SEARCH("lacerat",C313)),"Defective Device",ISNUMBER(SEARCH("cut",C313)),"Defective Device",ISNUMBER(SEARCH("leak",C313)),"Fluid/Blood Leak",ISNUMBER(SEARCH("missing",C313)),"Component Missing",ISNUMBER(SEARCH("power",C313)),"Complete Loss of Power",ISNUMBER(SEARCH("will not turn on",C313)),"Complete Loss of Power",ISNUMBER(SEARCH("won't turn on",C313)),"Complete Loss of Power",ISNUMBER(SEARCH("does not turn on",C313)),"Complete Loss of Power",ISNUMBER(SEARCH("electrical",C313)),"Electrical Power Problem",ISNUMBER(SEARCH("pressure",C313)),"Detachment of Device or Device Component",ISNUMBER(SEARCH("slip",C313)),"Detachment of Device or Device Component",ISNUMBER(SEARCH("detach",C313)),"Detachment of Device or Device Component",ISNUMBER(SEARCH("stick",C313)),"Mechanical Jam",ISNUMBER(SEARCH("jam",C313)),"Mechanical Jam",ISNUMBER(SEARCH("rigid",C313)),"Mechanical Jam",ISNUMBER(SEARCH("rust",C313)),"Corroded",ISNUMBER(SEARCH("corrod",C313)),"Corroded",ISNUMBER(SEARCH("corrosion",C313)),"Corroded",ISNUMBER(SEARCH("alignment",C313)),"Defective Device",ISNUMBER(SEARCH("adjust",C313)),"Defective Device",ISNUMBER(SEARCH("perform",C313)),"Defective Device",ISNUMBER(SEARCH("malfunction",C313)),"Defective Device",ISNUMBER(SEARCH("defect",C313)),"Defective Device",ISNUMBER(SEARCH("fail",C313)),"Defective Device",ISNUMBER(SEARCH("not work",C313)),"Defective Device",ISNUMBER(SEARCH("doesn't work",C313)),"Defective Device",TRUE,"UNKNOWN"),"UNKNOWN")))</f>
        <v/>
      </c>
      <c r="F313" s="4" t="str">
        <f t="shared" si="4"/>
        <v/>
      </c>
      <c r="G313" s="363" t="str">
        <f>IF(E313="","",IFERROR(VLOOKUP(E313,Codes!$L$2:$N$409,3,FALSE),"—"))</f>
        <v/>
      </c>
      <c r="H313" s="88"/>
      <c r="I313" s="88"/>
    </row>
    <row r="314" spans="1:9" ht="13.15" x14ac:dyDescent="0.35">
      <c r="A314" s="434"/>
      <c r="B314" s="436"/>
      <c r="C314" s="437"/>
      <c r="D314" s="434"/>
      <c r="E314" s="93" t="str" cm="1">
        <f t="array" ref="E314">IF(D314&lt;&gt;"",IFERROR(VLOOKUP(D314,Codes!$K$2:$L$409,2,FALSE),"UNKNOWN - "&amp;D314),IF(C314="","",IFERROR(_xlfn.IFS(ISNUMBER(SEARCH("broken button",C314)),"Break",ISNUMBER(SEARCH("broken handle",C314)),"Break",ISNUMBER(SEARCH("shipping damage",C314)),"Break",ISNUMBER(SEARCH("broken",C314)),"Break",ISNUMBER(SEARCH("crack",C314)),"Break",ISNUMBER(SEARCH("snap",C314)),"Break",ISNUMBER(SEARCH("fracture",C314)),"Break",ISNUMBER(SEARCH("bent",C314)),"Material Twisted/Bent",ISNUMBER(SEARCH("twisted",C314)),"Material Twisted/Bent",ISNUMBER(SEARCH("component separat",C314)),"Material Separation",ISNUMBER(SEARCH("separat",C314)),"Material Separation",ISNUMBER(SEARCH("connection",C314)),"Loose or Intermittent Connection",ISNUMBER(SEARCH("loose",C314)),"Loose or Intermittent Connection",ISNUMBER(SEARCH("damaged packaging",C314)),"Packaging Problem",ISNUMBER(SEARCH("packaging",C314)),"Packaging Problem",ISNUMBER(SEARCH("discoloration",C314)),"Contamination",ISNUMBER(SEARCH("tarnish",C314)),"Contamination",ISNUMBER(SEARCH("stain",C314)),"Contamination",ISNUMBER(SEARCH("foreign material",C314)),"Contamination",ISNUMBER(SEARCH("contamina",C314)),"Contamination",ISNUMBER(SEARCH("overheat",C314)),"Overheating of Device",ISNUMBER(SEARCH("excessive heat",C314)),"Overheating of Device",ISNUMBER(SEARCH("hot",C314)),"Overheating of Device",ISNUMBER(SEARCH("noise",C314)),"Noise, Audible",ISNUMBER(SEARCH("sound",C314)),"Noise, Audible",ISNUMBER(SEARCH("loud",C314)),"Noise, Audible",ISNUMBER(SEARCH("fray",C314)),"Material Frayed",ISNUMBER(SEARCH("hole",C314)),"Material Frayed",ISNUMBER(SEARCH("tear",C314)),"Material Frayed",ISNUMBER(SEARCH("worn",C314)),"Material Frayed",ISNUMBER(SEARCH("intermittent",C314)),"Difficult or Delayed Activation",ISNUMBER(SEARCH("delay",C314)),"Difficult or Delayed Activation",ISNUMBER(SEARCH("label",C314)),"Device Markings/Labelling Problem",ISNUMBER(SEARCH("marking",C314)),"Device Markings/Labelling Problem",ISNUMBER(SEARCH("lacerat",C314)),"Defective Device",ISNUMBER(SEARCH("cut",C314)),"Defective Device",ISNUMBER(SEARCH("leak",C314)),"Fluid/Blood Leak",ISNUMBER(SEARCH("missing",C314)),"Component Missing",ISNUMBER(SEARCH("power",C314)),"Complete Loss of Power",ISNUMBER(SEARCH("will not turn on",C314)),"Complete Loss of Power",ISNUMBER(SEARCH("won't turn on",C314)),"Complete Loss of Power",ISNUMBER(SEARCH("does not turn on",C314)),"Complete Loss of Power",ISNUMBER(SEARCH("electrical",C314)),"Electrical Power Problem",ISNUMBER(SEARCH("pressure",C314)),"Detachment of Device or Device Component",ISNUMBER(SEARCH("slip",C314)),"Detachment of Device or Device Component",ISNUMBER(SEARCH("detach",C314)),"Detachment of Device or Device Component",ISNUMBER(SEARCH("stick",C314)),"Mechanical Jam",ISNUMBER(SEARCH("jam",C314)),"Mechanical Jam",ISNUMBER(SEARCH("rigid",C314)),"Mechanical Jam",ISNUMBER(SEARCH("rust",C314)),"Corroded",ISNUMBER(SEARCH("corrod",C314)),"Corroded",ISNUMBER(SEARCH("corrosion",C314)),"Corroded",ISNUMBER(SEARCH("alignment",C314)),"Defective Device",ISNUMBER(SEARCH("adjust",C314)),"Defective Device",ISNUMBER(SEARCH("perform",C314)),"Defective Device",ISNUMBER(SEARCH("malfunction",C314)),"Defective Device",ISNUMBER(SEARCH("defect",C314)),"Defective Device",ISNUMBER(SEARCH("fail",C314)),"Defective Device",ISNUMBER(SEARCH("not work",C314)),"Defective Device",ISNUMBER(SEARCH("doesn't work",C314)),"Defective Device",TRUE,"UNKNOWN"),"UNKNOWN")))</f>
        <v/>
      </c>
      <c r="F314" s="4" t="str">
        <f t="shared" si="4"/>
        <v/>
      </c>
      <c r="G314" s="363" t="str">
        <f>IF(E314="","",IFERROR(VLOOKUP(E314,Codes!$L$2:$N$409,3,FALSE),"—"))</f>
        <v/>
      </c>
      <c r="H314" s="88"/>
      <c r="I314" s="88"/>
    </row>
    <row r="315" spans="1:9" ht="13.15" x14ac:dyDescent="0.35">
      <c r="A315" s="435"/>
      <c r="B315" s="436"/>
      <c r="C315" s="438"/>
      <c r="D315" s="435"/>
      <c r="E315" s="93" t="str" cm="1">
        <f t="array" ref="E315">IF(D315&lt;&gt;"",IFERROR(VLOOKUP(D315,Codes!$K$2:$L$409,2,FALSE),"UNKNOWN - "&amp;D315),IF(C315="","",IFERROR(_xlfn.IFS(ISNUMBER(SEARCH("broken button",C315)),"Break",ISNUMBER(SEARCH("broken handle",C315)),"Break",ISNUMBER(SEARCH("shipping damage",C315)),"Break",ISNUMBER(SEARCH("broken",C315)),"Break",ISNUMBER(SEARCH("crack",C315)),"Break",ISNUMBER(SEARCH("snap",C315)),"Break",ISNUMBER(SEARCH("fracture",C315)),"Break",ISNUMBER(SEARCH("bent",C315)),"Material Twisted/Bent",ISNUMBER(SEARCH("twisted",C315)),"Material Twisted/Bent",ISNUMBER(SEARCH("component separat",C315)),"Material Separation",ISNUMBER(SEARCH("separat",C315)),"Material Separation",ISNUMBER(SEARCH("connection",C315)),"Loose or Intermittent Connection",ISNUMBER(SEARCH("loose",C315)),"Loose or Intermittent Connection",ISNUMBER(SEARCH("damaged packaging",C315)),"Packaging Problem",ISNUMBER(SEARCH("packaging",C315)),"Packaging Problem",ISNUMBER(SEARCH("discoloration",C315)),"Contamination",ISNUMBER(SEARCH("tarnish",C315)),"Contamination",ISNUMBER(SEARCH("stain",C315)),"Contamination",ISNUMBER(SEARCH("foreign material",C315)),"Contamination",ISNUMBER(SEARCH("contamina",C315)),"Contamination",ISNUMBER(SEARCH("overheat",C315)),"Overheating of Device",ISNUMBER(SEARCH("excessive heat",C315)),"Overheating of Device",ISNUMBER(SEARCH("hot",C315)),"Overheating of Device",ISNUMBER(SEARCH("noise",C315)),"Noise, Audible",ISNUMBER(SEARCH("sound",C315)),"Noise, Audible",ISNUMBER(SEARCH("loud",C315)),"Noise, Audible",ISNUMBER(SEARCH("fray",C315)),"Material Frayed",ISNUMBER(SEARCH("hole",C315)),"Material Frayed",ISNUMBER(SEARCH("tear",C315)),"Material Frayed",ISNUMBER(SEARCH("worn",C315)),"Material Frayed",ISNUMBER(SEARCH("intermittent",C315)),"Difficult or Delayed Activation",ISNUMBER(SEARCH("delay",C315)),"Difficult or Delayed Activation",ISNUMBER(SEARCH("label",C315)),"Device Markings/Labelling Problem",ISNUMBER(SEARCH("marking",C315)),"Device Markings/Labelling Problem",ISNUMBER(SEARCH("lacerat",C315)),"Defective Device",ISNUMBER(SEARCH("cut",C315)),"Defective Device",ISNUMBER(SEARCH("leak",C315)),"Fluid/Blood Leak",ISNUMBER(SEARCH("missing",C315)),"Component Missing",ISNUMBER(SEARCH("power",C315)),"Complete Loss of Power",ISNUMBER(SEARCH("will not turn on",C315)),"Complete Loss of Power",ISNUMBER(SEARCH("won't turn on",C315)),"Complete Loss of Power",ISNUMBER(SEARCH("does not turn on",C315)),"Complete Loss of Power",ISNUMBER(SEARCH("electrical",C315)),"Electrical Power Problem",ISNUMBER(SEARCH("pressure",C315)),"Detachment of Device or Device Component",ISNUMBER(SEARCH("slip",C315)),"Detachment of Device or Device Component",ISNUMBER(SEARCH("detach",C315)),"Detachment of Device or Device Component",ISNUMBER(SEARCH("stick",C315)),"Mechanical Jam",ISNUMBER(SEARCH("jam",C315)),"Mechanical Jam",ISNUMBER(SEARCH("rigid",C315)),"Mechanical Jam",ISNUMBER(SEARCH("rust",C315)),"Corroded",ISNUMBER(SEARCH("corrod",C315)),"Corroded",ISNUMBER(SEARCH("corrosion",C315)),"Corroded",ISNUMBER(SEARCH("alignment",C315)),"Defective Device",ISNUMBER(SEARCH("adjust",C315)),"Defective Device",ISNUMBER(SEARCH("perform",C315)),"Defective Device",ISNUMBER(SEARCH("malfunction",C315)),"Defective Device",ISNUMBER(SEARCH("defect",C315)),"Defective Device",ISNUMBER(SEARCH("fail",C315)),"Defective Device",ISNUMBER(SEARCH("not work",C315)),"Defective Device",ISNUMBER(SEARCH("doesn't work",C315)),"Defective Device",TRUE,"UNKNOWN"),"UNKNOWN")))</f>
        <v/>
      </c>
      <c r="F315" s="4" t="str">
        <f t="shared" si="4"/>
        <v/>
      </c>
      <c r="G315" s="363" t="str">
        <f>IF(E315="","",IFERROR(VLOOKUP(E315,Codes!$L$2:$N$409,3,FALSE),"—"))</f>
        <v/>
      </c>
      <c r="H315" s="88"/>
      <c r="I315" s="88"/>
    </row>
    <row r="316" spans="1:9" ht="13.15" x14ac:dyDescent="0.35">
      <c r="A316" s="434"/>
      <c r="B316" s="436"/>
      <c r="C316" s="437"/>
      <c r="D316" s="434"/>
      <c r="E316" s="93" t="str" cm="1">
        <f t="array" ref="E316">IF(D316&lt;&gt;"",IFERROR(VLOOKUP(D316,Codes!$K$2:$L$409,2,FALSE),"UNKNOWN - "&amp;D316),IF(C316="","",IFERROR(_xlfn.IFS(ISNUMBER(SEARCH("broken button",C316)),"Break",ISNUMBER(SEARCH("broken handle",C316)),"Break",ISNUMBER(SEARCH("shipping damage",C316)),"Break",ISNUMBER(SEARCH("broken",C316)),"Break",ISNUMBER(SEARCH("crack",C316)),"Break",ISNUMBER(SEARCH("snap",C316)),"Break",ISNUMBER(SEARCH("fracture",C316)),"Break",ISNUMBER(SEARCH("bent",C316)),"Material Twisted/Bent",ISNUMBER(SEARCH("twisted",C316)),"Material Twisted/Bent",ISNUMBER(SEARCH("component separat",C316)),"Material Separation",ISNUMBER(SEARCH("separat",C316)),"Material Separation",ISNUMBER(SEARCH("connection",C316)),"Loose or Intermittent Connection",ISNUMBER(SEARCH("loose",C316)),"Loose or Intermittent Connection",ISNUMBER(SEARCH("damaged packaging",C316)),"Packaging Problem",ISNUMBER(SEARCH("packaging",C316)),"Packaging Problem",ISNUMBER(SEARCH("discoloration",C316)),"Contamination",ISNUMBER(SEARCH("tarnish",C316)),"Contamination",ISNUMBER(SEARCH("stain",C316)),"Contamination",ISNUMBER(SEARCH("foreign material",C316)),"Contamination",ISNUMBER(SEARCH("contamina",C316)),"Contamination",ISNUMBER(SEARCH("overheat",C316)),"Overheating of Device",ISNUMBER(SEARCH("excessive heat",C316)),"Overheating of Device",ISNUMBER(SEARCH("hot",C316)),"Overheating of Device",ISNUMBER(SEARCH("noise",C316)),"Noise, Audible",ISNUMBER(SEARCH("sound",C316)),"Noise, Audible",ISNUMBER(SEARCH("loud",C316)),"Noise, Audible",ISNUMBER(SEARCH("fray",C316)),"Material Frayed",ISNUMBER(SEARCH("hole",C316)),"Material Frayed",ISNUMBER(SEARCH("tear",C316)),"Material Frayed",ISNUMBER(SEARCH("worn",C316)),"Material Frayed",ISNUMBER(SEARCH("intermittent",C316)),"Difficult or Delayed Activation",ISNUMBER(SEARCH("delay",C316)),"Difficult or Delayed Activation",ISNUMBER(SEARCH("label",C316)),"Device Markings/Labelling Problem",ISNUMBER(SEARCH("marking",C316)),"Device Markings/Labelling Problem",ISNUMBER(SEARCH("lacerat",C316)),"Defective Device",ISNUMBER(SEARCH("cut",C316)),"Defective Device",ISNUMBER(SEARCH("leak",C316)),"Fluid/Blood Leak",ISNUMBER(SEARCH("missing",C316)),"Component Missing",ISNUMBER(SEARCH("power",C316)),"Complete Loss of Power",ISNUMBER(SEARCH("will not turn on",C316)),"Complete Loss of Power",ISNUMBER(SEARCH("won't turn on",C316)),"Complete Loss of Power",ISNUMBER(SEARCH("does not turn on",C316)),"Complete Loss of Power",ISNUMBER(SEARCH("electrical",C316)),"Electrical Power Problem",ISNUMBER(SEARCH("pressure",C316)),"Detachment of Device or Device Component",ISNUMBER(SEARCH("slip",C316)),"Detachment of Device or Device Component",ISNUMBER(SEARCH("detach",C316)),"Detachment of Device or Device Component",ISNUMBER(SEARCH("stick",C316)),"Mechanical Jam",ISNUMBER(SEARCH("jam",C316)),"Mechanical Jam",ISNUMBER(SEARCH("rigid",C316)),"Mechanical Jam",ISNUMBER(SEARCH("rust",C316)),"Corroded",ISNUMBER(SEARCH("corrod",C316)),"Corroded",ISNUMBER(SEARCH("corrosion",C316)),"Corroded",ISNUMBER(SEARCH("alignment",C316)),"Defective Device",ISNUMBER(SEARCH("adjust",C316)),"Defective Device",ISNUMBER(SEARCH("perform",C316)),"Defective Device",ISNUMBER(SEARCH("malfunction",C316)),"Defective Device",ISNUMBER(SEARCH("defect",C316)),"Defective Device",ISNUMBER(SEARCH("fail",C316)),"Defective Device",ISNUMBER(SEARCH("not work",C316)),"Defective Device",ISNUMBER(SEARCH("doesn't work",C316)),"Defective Device",TRUE,"UNKNOWN"),"UNKNOWN")))</f>
        <v/>
      </c>
      <c r="F316" s="4" t="str">
        <f t="shared" si="4"/>
        <v/>
      </c>
      <c r="G316" s="363" t="str">
        <f>IF(E316="","",IFERROR(VLOOKUP(E316,Codes!$L$2:$N$409,3,FALSE),"—"))</f>
        <v/>
      </c>
      <c r="H316" s="88"/>
      <c r="I316" s="88"/>
    </row>
    <row r="317" spans="1:9" ht="13.15" x14ac:dyDescent="0.35">
      <c r="A317" s="435"/>
      <c r="B317" s="436"/>
      <c r="C317" s="438"/>
      <c r="D317" s="435"/>
      <c r="E317" s="93" t="str" cm="1">
        <f t="array" ref="E317">IF(D317&lt;&gt;"",IFERROR(VLOOKUP(D317,Codes!$K$2:$L$409,2,FALSE),"UNKNOWN - "&amp;D317),IF(C317="","",IFERROR(_xlfn.IFS(ISNUMBER(SEARCH("broken button",C317)),"Break",ISNUMBER(SEARCH("broken handle",C317)),"Break",ISNUMBER(SEARCH("shipping damage",C317)),"Break",ISNUMBER(SEARCH("broken",C317)),"Break",ISNUMBER(SEARCH("crack",C317)),"Break",ISNUMBER(SEARCH("snap",C317)),"Break",ISNUMBER(SEARCH("fracture",C317)),"Break",ISNUMBER(SEARCH("bent",C317)),"Material Twisted/Bent",ISNUMBER(SEARCH("twisted",C317)),"Material Twisted/Bent",ISNUMBER(SEARCH("component separat",C317)),"Material Separation",ISNUMBER(SEARCH("separat",C317)),"Material Separation",ISNUMBER(SEARCH("connection",C317)),"Loose or Intermittent Connection",ISNUMBER(SEARCH("loose",C317)),"Loose or Intermittent Connection",ISNUMBER(SEARCH("damaged packaging",C317)),"Packaging Problem",ISNUMBER(SEARCH("packaging",C317)),"Packaging Problem",ISNUMBER(SEARCH("discoloration",C317)),"Contamination",ISNUMBER(SEARCH("tarnish",C317)),"Contamination",ISNUMBER(SEARCH("stain",C317)),"Contamination",ISNUMBER(SEARCH("foreign material",C317)),"Contamination",ISNUMBER(SEARCH("contamina",C317)),"Contamination",ISNUMBER(SEARCH("overheat",C317)),"Overheating of Device",ISNUMBER(SEARCH("excessive heat",C317)),"Overheating of Device",ISNUMBER(SEARCH("hot",C317)),"Overheating of Device",ISNUMBER(SEARCH("noise",C317)),"Noise, Audible",ISNUMBER(SEARCH("sound",C317)),"Noise, Audible",ISNUMBER(SEARCH("loud",C317)),"Noise, Audible",ISNUMBER(SEARCH("fray",C317)),"Material Frayed",ISNUMBER(SEARCH("hole",C317)),"Material Frayed",ISNUMBER(SEARCH("tear",C317)),"Material Frayed",ISNUMBER(SEARCH("worn",C317)),"Material Frayed",ISNUMBER(SEARCH("intermittent",C317)),"Difficult or Delayed Activation",ISNUMBER(SEARCH("delay",C317)),"Difficult or Delayed Activation",ISNUMBER(SEARCH("label",C317)),"Device Markings/Labelling Problem",ISNUMBER(SEARCH("marking",C317)),"Device Markings/Labelling Problem",ISNUMBER(SEARCH("lacerat",C317)),"Defective Device",ISNUMBER(SEARCH("cut",C317)),"Defective Device",ISNUMBER(SEARCH("leak",C317)),"Fluid/Blood Leak",ISNUMBER(SEARCH("missing",C317)),"Component Missing",ISNUMBER(SEARCH("power",C317)),"Complete Loss of Power",ISNUMBER(SEARCH("will not turn on",C317)),"Complete Loss of Power",ISNUMBER(SEARCH("won't turn on",C317)),"Complete Loss of Power",ISNUMBER(SEARCH("does not turn on",C317)),"Complete Loss of Power",ISNUMBER(SEARCH("electrical",C317)),"Electrical Power Problem",ISNUMBER(SEARCH("pressure",C317)),"Detachment of Device or Device Component",ISNUMBER(SEARCH("slip",C317)),"Detachment of Device or Device Component",ISNUMBER(SEARCH("detach",C317)),"Detachment of Device or Device Component",ISNUMBER(SEARCH("stick",C317)),"Mechanical Jam",ISNUMBER(SEARCH("jam",C317)),"Mechanical Jam",ISNUMBER(SEARCH("rigid",C317)),"Mechanical Jam",ISNUMBER(SEARCH("rust",C317)),"Corroded",ISNUMBER(SEARCH("corrod",C317)),"Corroded",ISNUMBER(SEARCH("corrosion",C317)),"Corroded",ISNUMBER(SEARCH("alignment",C317)),"Defective Device",ISNUMBER(SEARCH("adjust",C317)),"Defective Device",ISNUMBER(SEARCH("perform",C317)),"Defective Device",ISNUMBER(SEARCH("malfunction",C317)),"Defective Device",ISNUMBER(SEARCH("defect",C317)),"Defective Device",ISNUMBER(SEARCH("fail",C317)),"Defective Device",ISNUMBER(SEARCH("not work",C317)),"Defective Device",ISNUMBER(SEARCH("doesn't work",C317)),"Defective Device",TRUE,"UNKNOWN"),"UNKNOWN")))</f>
        <v/>
      </c>
      <c r="F317" s="4" t="str">
        <f t="shared" si="4"/>
        <v/>
      </c>
      <c r="G317" s="363" t="str">
        <f>IF(E317="","",IFERROR(VLOOKUP(E317,Codes!$L$2:$N$409,3,FALSE),"—"))</f>
        <v/>
      </c>
      <c r="H317" s="88"/>
      <c r="I317" s="88"/>
    </row>
    <row r="318" spans="1:9" ht="13.15" x14ac:dyDescent="0.35">
      <c r="A318" s="434"/>
      <c r="B318" s="436"/>
      <c r="C318" s="437"/>
      <c r="D318" s="434"/>
      <c r="E318" s="93" t="str" cm="1">
        <f t="array" ref="E318">IF(D318&lt;&gt;"",IFERROR(VLOOKUP(D318,Codes!$K$2:$L$409,2,FALSE),"UNKNOWN - "&amp;D318),IF(C318="","",IFERROR(_xlfn.IFS(ISNUMBER(SEARCH("broken button",C318)),"Break",ISNUMBER(SEARCH("broken handle",C318)),"Break",ISNUMBER(SEARCH("shipping damage",C318)),"Break",ISNUMBER(SEARCH("broken",C318)),"Break",ISNUMBER(SEARCH("crack",C318)),"Break",ISNUMBER(SEARCH("snap",C318)),"Break",ISNUMBER(SEARCH("fracture",C318)),"Break",ISNUMBER(SEARCH("bent",C318)),"Material Twisted/Bent",ISNUMBER(SEARCH("twisted",C318)),"Material Twisted/Bent",ISNUMBER(SEARCH("component separat",C318)),"Material Separation",ISNUMBER(SEARCH("separat",C318)),"Material Separation",ISNUMBER(SEARCH("connection",C318)),"Loose or Intermittent Connection",ISNUMBER(SEARCH("loose",C318)),"Loose or Intermittent Connection",ISNUMBER(SEARCH("damaged packaging",C318)),"Packaging Problem",ISNUMBER(SEARCH("packaging",C318)),"Packaging Problem",ISNUMBER(SEARCH("discoloration",C318)),"Contamination",ISNUMBER(SEARCH("tarnish",C318)),"Contamination",ISNUMBER(SEARCH("stain",C318)),"Contamination",ISNUMBER(SEARCH("foreign material",C318)),"Contamination",ISNUMBER(SEARCH("contamina",C318)),"Contamination",ISNUMBER(SEARCH("overheat",C318)),"Overheating of Device",ISNUMBER(SEARCH("excessive heat",C318)),"Overheating of Device",ISNUMBER(SEARCH("hot",C318)),"Overheating of Device",ISNUMBER(SEARCH("noise",C318)),"Noise, Audible",ISNUMBER(SEARCH("sound",C318)),"Noise, Audible",ISNUMBER(SEARCH("loud",C318)),"Noise, Audible",ISNUMBER(SEARCH("fray",C318)),"Material Frayed",ISNUMBER(SEARCH("hole",C318)),"Material Frayed",ISNUMBER(SEARCH("tear",C318)),"Material Frayed",ISNUMBER(SEARCH("worn",C318)),"Material Frayed",ISNUMBER(SEARCH("intermittent",C318)),"Difficult or Delayed Activation",ISNUMBER(SEARCH("delay",C318)),"Difficult or Delayed Activation",ISNUMBER(SEARCH("label",C318)),"Device Markings/Labelling Problem",ISNUMBER(SEARCH("marking",C318)),"Device Markings/Labelling Problem",ISNUMBER(SEARCH("lacerat",C318)),"Defective Device",ISNUMBER(SEARCH("cut",C318)),"Defective Device",ISNUMBER(SEARCH("leak",C318)),"Fluid/Blood Leak",ISNUMBER(SEARCH("missing",C318)),"Component Missing",ISNUMBER(SEARCH("power",C318)),"Complete Loss of Power",ISNUMBER(SEARCH("will not turn on",C318)),"Complete Loss of Power",ISNUMBER(SEARCH("won't turn on",C318)),"Complete Loss of Power",ISNUMBER(SEARCH("does not turn on",C318)),"Complete Loss of Power",ISNUMBER(SEARCH("electrical",C318)),"Electrical Power Problem",ISNUMBER(SEARCH("pressure",C318)),"Detachment of Device or Device Component",ISNUMBER(SEARCH("slip",C318)),"Detachment of Device or Device Component",ISNUMBER(SEARCH("detach",C318)),"Detachment of Device or Device Component",ISNUMBER(SEARCH("stick",C318)),"Mechanical Jam",ISNUMBER(SEARCH("jam",C318)),"Mechanical Jam",ISNUMBER(SEARCH("rigid",C318)),"Mechanical Jam",ISNUMBER(SEARCH("rust",C318)),"Corroded",ISNUMBER(SEARCH("corrod",C318)),"Corroded",ISNUMBER(SEARCH("corrosion",C318)),"Corroded",ISNUMBER(SEARCH("alignment",C318)),"Defective Device",ISNUMBER(SEARCH("adjust",C318)),"Defective Device",ISNUMBER(SEARCH("perform",C318)),"Defective Device",ISNUMBER(SEARCH("malfunction",C318)),"Defective Device",ISNUMBER(SEARCH("defect",C318)),"Defective Device",ISNUMBER(SEARCH("fail",C318)),"Defective Device",ISNUMBER(SEARCH("not work",C318)),"Defective Device",ISNUMBER(SEARCH("doesn't work",C318)),"Defective Device",TRUE,"UNKNOWN"),"UNKNOWN")))</f>
        <v/>
      </c>
      <c r="F318" s="4" t="str">
        <f t="shared" si="4"/>
        <v/>
      </c>
      <c r="G318" s="363" t="str">
        <f>IF(E318="","",IFERROR(VLOOKUP(E318,Codes!$L$2:$N$409,3,FALSE),"—"))</f>
        <v/>
      </c>
      <c r="H318" s="88"/>
      <c r="I318" s="88"/>
    </row>
    <row r="319" spans="1:9" ht="13.15" x14ac:dyDescent="0.35">
      <c r="A319" s="435"/>
      <c r="B319" s="436"/>
      <c r="C319" s="438"/>
      <c r="D319" s="435"/>
      <c r="E319" s="93" t="str" cm="1">
        <f t="array" ref="E319">IF(D319&lt;&gt;"",IFERROR(VLOOKUP(D319,Codes!$K$2:$L$409,2,FALSE),"UNKNOWN - "&amp;D319),IF(C319="","",IFERROR(_xlfn.IFS(ISNUMBER(SEARCH("broken button",C319)),"Break",ISNUMBER(SEARCH("broken handle",C319)),"Break",ISNUMBER(SEARCH("shipping damage",C319)),"Break",ISNUMBER(SEARCH("broken",C319)),"Break",ISNUMBER(SEARCH("crack",C319)),"Break",ISNUMBER(SEARCH("snap",C319)),"Break",ISNUMBER(SEARCH("fracture",C319)),"Break",ISNUMBER(SEARCH("bent",C319)),"Material Twisted/Bent",ISNUMBER(SEARCH("twisted",C319)),"Material Twisted/Bent",ISNUMBER(SEARCH("component separat",C319)),"Material Separation",ISNUMBER(SEARCH("separat",C319)),"Material Separation",ISNUMBER(SEARCH("connection",C319)),"Loose or Intermittent Connection",ISNUMBER(SEARCH("loose",C319)),"Loose or Intermittent Connection",ISNUMBER(SEARCH("damaged packaging",C319)),"Packaging Problem",ISNUMBER(SEARCH("packaging",C319)),"Packaging Problem",ISNUMBER(SEARCH("discoloration",C319)),"Contamination",ISNUMBER(SEARCH("tarnish",C319)),"Contamination",ISNUMBER(SEARCH("stain",C319)),"Contamination",ISNUMBER(SEARCH("foreign material",C319)),"Contamination",ISNUMBER(SEARCH("contamina",C319)),"Contamination",ISNUMBER(SEARCH("overheat",C319)),"Overheating of Device",ISNUMBER(SEARCH("excessive heat",C319)),"Overheating of Device",ISNUMBER(SEARCH("hot",C319)),"Overheating of Device",ISNUMBER(SEARCH("noise",C319)),"Noise, Audible",ISNUMBER(SEARCH("sound",C319)),"Noise, Audible",ISNUMBER(SEARCH("loud",C319)),"Noise, Audible",ISNUMBER(SEARCH("fray",C319)),"Material Frayed",ISNUMBER(SEARCH("hole",C319)),"Material Frayed",ISNUMBER(SEARCH("tear",C319)),"Material Frayed",ISNUMBER(SEARCH("worn",C319)),"Material Frayed",ISNUMBER(SEARCH("intermittent",C319)),"Difficult or Delayed Activation",ISNUMBER(SEARCH("delay",C319)),"Difficult or Delayed Activation",ISNUMBER(SEARCH("label",C319)),"Device Markings/Labelling Problem",ISNUMBER(SEARCH("marking",C319)),"Device Markings/Labelling Problem",ISNUMBER(SEARCH("lacerat",C319)),"Defective Device",ISNUMBER(SEARCH("cut",C319)),"Defective Device",ISNUMBER(SEARCH("leak",C319)),"Fluid/Blood Leak",ISNUMBER(SEARCH("missing",C319)),"Component Missing",ISNUMBER(SEARCH("power",C319)),"Complete Loss of Power",ISNUMBER(SEARCH("will not turn on",C319)),"Complete Loss of Power",ISNUMBER(SEARCH("won't turn on",C319)),"Complete Loss of Power",ISNUMBER(SEARCH("does not turn on",C319)),"Complete Loss of Power",ISNUMBER(SEARCH("electrical",C319)),"Electrical Power Problem",ISNUMBER(SEARCH("pressure",C319)),"Detachment of Device or Device Component",ISNUMBER(SEARCH("slip",C319)),"Detachment of Device or Device Component",ISNUMBER(SEARCH("detach",C319)),"Detachment of Device or Device Component",ISNUMBER(SEARCH("stick",C319)),"Mechanical Jam",ISNUMBER(SEARCH("jam",C319)),"Mechanical Jam",ISNUMBER(SEARCH("rigid",C319)),"Mechanical Jam",ISNUMBER(SEARCH("rust",C319)),"Corroded",ISNUMBER(SEARCH("corrod",C319)),"Corroded",ISNUMBER(SEARCH("corrosion",C319)),"Corroded",ISNUMBER(SEARCH("alignment",C319)),"Defective Device",ISNUMBER(SEARCH("adjust",C319)),"Defective Device",ISNUMBER(SEARCH("perform",C319)),"Defective Device",ISNUMBER(SEARCH("malfunction",C319)),"Defective Device",ISNUMBER(SEARCH("defect",C319)),"Defective Device",ISNUMBER(SEARCH("fail",C319)),"Defective Device",ISNUMBER(SEARCH("not work",C319)),"Defective Device",ISNUMBER(SEARCH("doesn't work",C319)),"Defective Device",TRUE,"UNKNOWN"),"UNKNOWN")))</f>
        <v/>
      </c>
      <c r="F319" s="4" t="str">
        <f t="shared" si="4"/>
        <v/>
      </c>
      <c r="G319" s="363" t="str">
        <f>IF(E319="","",IFERROR(VLOOKUP(E319,Codes!$L$2:$N$409,3,FALSE),"—"))</f>
        <v/>
      </c>
      <c r="H319" s="88"/>
      <c r="I319" s="88"/>
    </row>
    <row r="320" spans="1:9" ht="13.15" x14ac:dyDescent="0.35">
      <c r="A320" s="435"/>
      <c r="B320" s="436"/>
      <c r="C320" s="438"/>
      <c r="D320" s="435"/>
      <c r="E320" s="93" t="str" cm="1">
        <f t="array" ref="E320">IF(D320&lt;&gt;"",IFERROR(VLOOKUP(D320,Codes!$K$2:$L$409,2,FALSE),"UNKNOWN - "&amp;D320),IF(C320="","",IFERROR(_xlfn.IFS(ISNUMBER(SEARCH("broken button",C320)),"Break",ISNUMBER(SEARCH("broken handle",C320)),"Break",ISNUMBER(SEARCH("shipping damage",C320)),"Break",ISNUMBER(SEARCH("broken",C320)),"Break",ISNUMBER(SEARCH("crack",C320)),"Break",ISNUMBER(SEARCH("snap",C320)),"Break",ISNUMBER(SEARCH("fracture",C320)),"Break",ISNUMBER(SEARCH("bent",C320)),"Material Twisted/Bent",ISNUMBER(SEARCH("twisted",C320)),"Material Twisted/Bent",ISNUMBER(SEARCH("component separat",C320)),"Material Separation",ISNUMBER(SEARCH("separat",C320)),"Material Separation",ISNUMBER(SEARCH("connection",C320)),"Loose or Intermittent Connection",ISNUMBER(SEARCH("loose",C320)),"Loose or Intermittent Connection",ISNUMBER(SEARCH("damaged packaging",C320)),"Packaging Problem",ISNUMBER(SEARCH("packaging",C320)),"Packaging Problem",ISNUMBER(SEARCH("discoloration",C320)),"Contamination",ISNUMBER(SEARCH("tarnish",C320)),"Contamination",ISNUMBER(SEARCH("stain",C320)),"Contamination",ISNUMBER(SEARCH("foreign material",C320)),"Contamination",ISNUMBER(SEARCH("contamina",C320)),"Contamination",ISNUMBER(SEARCH("overheat",C320)),"Overheating of Device",ISNUMBER(SEARCH("excessive heat",C320)),"Overheating of Device",ISNUMBER(SEARCH("hot",C320)),"Overheating of Device",ISNUMBER(SEARCH("noise",C320)),"Noise, Audible",ISNUMBER(SEARCH("sound",C320)),"Noise, Audible",ISNUMBER(SEARCH("loud",C320)),"Noise, Audible",ISNUMBER(SEARCH("fray",C320)),"Material Frayed",ISNUMBER(SEARCH("hole",C320)),"Material Frayed",ISNUMBER(SEARCH("tear",C320)),"Material Frayed",ISNUMBER(SEARCH("worn",C320)),"Material Frayed",ISNUMBER(SEARCH("intermittent",C320)),"Difficult or Delayed Activation",ISNUMBER(SEARCH("delay",C320)),"Difficult or Delayed Activation",ISNUMBER(SEARCH("label",C320)),"Device Markings/Labelling Problem",ISNUMBER(SEARCH("marking",C320)),"Device Markings/Labelling Problem",ISNUMBER(SEARCH("lacerat",C320)),"Defective Device",ISNUMBER(SEARCH("cut",C320)),"Defective Device",ISNUMBER(SEARCH("leak",C320)),"Fluid/Blood Leak",ISNUMBER(SEARCH("missing",C320)),"Component Missing",ISNUMBER(SEARCH("power",C320)),"Complete Loss of Power",ISNUMBER(SEARCH("will not turn on",C320)),"Complete Loss of Power",ISNUMBER(SEARCH("won't turn on",C320)),"Complete Loss of Power",ISNUMBER(SEARCH("does not turn on",C320)),"Complete Loss of Power",ISNUMBER(SEARCH("electrical",C320)),"Electrical Power Problem",ISNUMBER(SEARCH("pressure",C320)),"Detachment of Device or Device Component",ISNUMBER(SEARCH("slip",C320)),"Detachment of Device or Device Component",ISNUMBER(SEARCH("detach",C320)),"Detachment of Device or Device Component",ISNUMBER(SEARCH("stick",C320)),"Mechanical Jam",ISNUMBER(SEARCH("jam",C320)),"Mechanical Jam",ISNUMBER(SEARCH("rigid",C320)),"Mechanical Jam",ISNUMBER(SEARCH("rust",C320)),"Corroded",ISNUMBER(SEARCH("corrod",C320)),"Corroded",ISNUMBER(SEARCH("corrosion",C320)),"Corroded",ISNUMBER(SEARCH("alignment",C320)),"Defective Device",ISNUMBER(SEARCH("adjust",C320)),"Defective Device",ISNUMBER(SEARCH("perform",C320)),"Defective Device",ISNUMBER(SEARCH("malfunction",C320)),"Defective Device",ISNUMBER(SEARCH("defect",C320)),"Defective Device",ISNUMBER(SEARCH("fail",C320)),"Defective Device",ISNUMBER(SEARCH("not work",C320)),"Defective Device",ISNUMBER(SEARCH("doesn't work",C320)),"Defective Device",TRUE,"UNKNOWN"),"UNKNOWN")))</f>
        <v/>
      </c>
      <c r="F320" s="4" t="str">
        <f t="shared" si="4"/>
        <v/>
      </c>
      <c r="G320" s="363" t="str">
        <f>IF(E320="","",IFERROR(VLOOKUP(E320,Codes!$L$2:$N$409,3,FALSE),"—"))</f>
        <v/>
      </c>
      <c r="H320" s="88"/>
      <c r="I320" s="88"/>
    </row>
    <row r="321" spans="1:9" ht="13.15" x14ac:dyDescent="0.35">
      <c r="A321" s="434"/>
      <c r="B321" s="436"/>
      <c r="C321" s="437"/>
      <c r="D321" s="434"/>
      <c r="E321" s="93" t="str" cm="1">
        <f t="array" ref="E321">IF(D321&lt;&gt;"",IFERROR(VLOOKUP(D321,Codes!$K$2:$L$409,2,FALSE),"UNKNOWN - "&amp;D321),IF(C321="","",IFERROR(_xlfn.IFS(ISNUMBER(SEARCH("broken button",C321)),"Break",ISNUMBER(SEARCH("broken handle",C321)),"Break",ISNUMBER(SEARCH("shipping damage",C321)),"Break",ISNUMBER(SEARCH("broken",C321)),"Break",ISNUMBER(SEARCH("crack",C321)),"Break",ISNUMBER(SEARCH("snap",C321)),"Break",ISNUMBER(SEARCH("fracture",C321)),"Break",ISNUMBER(SEARCH("bent",C321)),"Material Twisted/Bent",ISNUMBER(SEARCH("twisted",C321)),"Material Twisted/Bent",ISNUMBER(SEARCH("component separat",C321)),"Material Separation",ISNUMBER(SEARCH("separat",C321)),"Material Separation",ISNUMBER(SEARCH("connection",C321)),"Loose or Intermittent Connection",ISNUMBER(SEARCH("loose",C321)),"Loose or Intermittent Connection",ISNUMBER(SEARCH("damaged packaging",C321)),"Packaging Problem",ISNUMBER(SEARCH("packaging",C321)),"Packaging Problem",ISNUMBER(SEARCH("discoloration",C321)),"Contamination",ISNUMBER(SEARCH("tarnish",C321)),"Contamination",ISNUMBER(SEARCH("stain",C321)),"Contamination",ISNUMBER(SEARCH("foreign material",C321)),"Contamination",ISNUMBER(SEARCH("contamina",C321)),"Contamination",ISNUMBER(SEARCH("overheat",C321)),"Overheating of Device",ISNUMBER(SEARCH("excessive heat",C321)),"Overheating of Device",ISNUMBER(SEARCH("hot",C321)),"Overheating of Device",ISNUMBER(SEARCH("noise",C321)),"Noise, Audible",ISNUMBER(SEARCH("sound",C321)),"Noise, Audible",ISNUMBER(SEARCH("loud",C321)),"Noise, Audible",ISNUMBER(SEARCH("fray",C321)),"Material Frayed",ISNUMBER(SEARCH("hole",C321)),"Material Frayed",ISNUMBER(SEARCH("tear",C321)),"Material Frayed",ISNUMBER(SEARCH("worn",C321)),"Material Frayed",ISNUMBER(SEARCH("intermittent",C321)),"Difficult or Delayed Activation",ISNUMBER(SEARCH("delay",C321)),"Difficult or Delayed Activation",ISNUMBER(SEARCH("label",C321)),"Device Markings/Labelling Problem",ISNUMBER(SEARCH("marking",C321)),"Device Markings/Labelling Problem",ISNUMBER(SEARCH("lacerat",C321)),"Defective Device",ISNUMBER(SEARCH("cut",C321)),"Defective Device",ISNUMBER(SEARCH("leak",C321)),"Fluid/Blood Leak",ISNUMBER(SEARCH("missing",C321)),"Component Missing",ISNUMBER(SEARCH("power",C321)),"Complete Loss of Power",ISNUMBER(SEARCH("will not turn on",C321)),"Complete Loss of Power",ISNUMBER(SEARCH("won't turn on",C321)),"Complete Loss of Power",ISNUMBER(SEARCH("does not turn on",C321)),"Complete Loss of Power",ISNUMBER(SEARCH("electrical",C321)),"Electrical Power Problem",ISNUMBER(SEARCH("pressure",C321)),"Detachment of Device or Device Component",ISNUMBER(SEARCH("slip",C321)),"Detachment of Device or Device Component",ISNUMBER(SEARCH("detach",C321)),"Detachment of Device or Device Component",ISNUMBER(SEARCH("stick",C321)),"Mechanical Jam",ISNUMBER(SEARCH("jam",C321)),"Mechanical Jam",ISNUMBER(SEARCH("rigid",C321)),"Mechanical Jam",ISNUMBER(SEARCH("rust",C321)),"Corroded",ISNUMBER(SEARCH("corrod",C321)),"Corroded",ISNUMBER(SEARCH("corrosion",C321)),"Corroded",ISNUMBER(SEARCH("alignment",C321)),"Defective Device",ISNUMBER(SEARCH("adjust",C321)),"Defective Device",ISNUMBER(SEARCH("perform",C321)),"Defective Device",ISNUMBER(SEARCH("malfunction",C321)),"Defective Device",ISNUMBER(SEARCH("defect",C321)),"Defective Device",ISNUMBER(SEARCH("fail",C321)),"Defective Device",ISNUMBER(SEARCH("not work",C321)),"Defective Device",ISNUMBER(SEARCH("doesn't work",C321)),"Defective Device",TRUE,"UNKNOWN"),"UNKNOWN")))</f>
        <v/>
      </c>
      <c r="F321" s="4" t="str">
        <f t="shared" si="4"/>
        <v/>
      </c>
      <c r="G321" s="363" t="str">
        <f>IF(E321="","",IFERROR(VLOOKUP(E321,Codes!$L$2:$N$409,3,FALSE),"—"))</f>
        <v/>
      </c>
      <c r="H321" s="88"/>
      <c r="I321" s="88"/>
    </row>
    <row r="322" spans="1:9" ht="13.15" x14ac:dyDescent="0.35">
      <c r="A322" s="434"/>
      <c r="B322" s="436"/>
      <c r="C322" s="437"/>
      <c r="D322" s="434"/>
      <c r="E322" s="93" t="str" cm="1">
        <f t="array" ref="E322">IF(D322&lt;&gt;"",IFERROR(VLOOKUP(D322,Codes!$K$2:$L$409,2,FALSE),"UNKNOWN - "&amp;D322),IF(C322="","",IFERROR(_xlfn.IFS(ISNUMBER(SEARCH("broken button",C322)),"Break",ISNUMBER(SEARCH("broken handle",C322)),"Break",ISNUMBER(SEARCH("shipping damage",C322)),"Break",ISNUMBER(SEARCH("broken",C322)),"Break",ISNUMBER(SEARCH("crack",C322)),"Break",ISNUMBER(SEARCH("snap",C322)),"Break",ISNUMBER(SEARCH("fracture",C322)),"Break",ISNUMBER(SEARCH("bent",C322)),"Material Twisted/Bent",ISNUMBER(SEARCH("twisted",C322)),"Material Twisted/Bent",ISNUMBER(SEARCH("component separat",C322)),"Material Separation",ISNUMBER(SEARCH("separat",C322)),"Material Separation",ISNUMBER(SEARCH("connection",C322)),"Loose or Intermittent Connection",ISNUMBER(SEARCH("loose",C322)),"Loose or Intermittent Connection",ISNUMBER(SEARCH("damaged packaging",C322)),"Packaging Problem",ISNUMBER(SEARCH("packaging",C322)),"Packaging Problem",ISNUMBER(SEARCH("discoloration",C322)),"Contamination",ISNUMBER(SEARCH("tarnish",C322)),"Contamination",ISNUMBER(SEARCH("stain",C322)),"Contamination",ISNUMBER(SEARCH("foreign material",C322)),"Contamination",ISNUMBER(SEARCH("contamina",C322)),"Contamination",ISNUMBER(SEARCH("overheat",C322)),"Overheating of Device",ISNUMBER(SEARCH("excessive heat",C322)),"Overheating of Device",ISNUMBER(SEARCH("hot",C322)),"Overheating of Device",ISNUMBER(SEARCH("noise",C322)),"Noise, Audible",ISNUMBER(SEARCH("sound",C322)),"Noise, Audible",ISNUMBER(SEARCH("loud",C322)),"Noise, Audible",ISNUMBER(SEARCH("fray",C322)),"Material Frayed",ISNUMBER(SEARCH("hole",C322)),"Material Frayed",ISNUMBER(SEARCH("tear",C322)),"Material Frayed",ISNUMBER(SEARCH("worn",C322)),"Material Frayed",ISNUMBER(SEARCH("intermittent",C322)),"Difficult or Delayed Activation",ISNUMBER(SEARCH("delay",C322)),"Difficult or Delayed Activation",ISNUMBER(SEARCH("label",C322)),"Device Markings/Labelling Problem",ISNUMBER(SEARCH("marking",C322)),"Device Markings/Labelling Problem",ISNUMBER(SEARCH("lacerat",C322)),"Defective Device",ISNUMBER(SEARCH("cut",C322)),"Defective Device",ISNUMBER(SEARCH("leak",C322)),"Fluid/Blood Leak",ISNUMBER(SEARCH("missing",C322)),"Component Missing",ISNUMBER(SEARCH("power",C322)),"Complete Loss of Power",ISNUMBER(SEARCH("will not turn on",C322)),"Complete Loss of Power",ISNUMBER(SEARCH("won't turn on",C322)),"Complete Loss of Power",ISNUMBER(SEARCH("does not turn on",C322)),"Complete Loss of Power",ISNUMBER(SEARCH("electrical",C322)),"Electrical Power Problem",ISNUMBER(SEARCH("pressure",C322)),"Detachment of Device or Device Component",ISNUMBER(SEARCH("slip",C322)),"Detachment of Device or Device Component",ISNUMBER(SEARCH("detach",C322)),"Detachment of Device or Device Component",ISNUMBER(SEARCH("stick",C322)),"Mechanical Jam",ISNUMBER(SEARCH("jam",C322)),"Mechanical Jam",ISNUMBER(SEARCH("rigid",C322)),"Mechanical Jam",ISNUMBER(SEARCH("rust",C322)),"Corroded",ISNUMBER(SEARCH("corrod",C322)),"Corroded",ISNUMBER(SEARCH("corrosion",C322)),"Corroded",ISNUMBER(SEARCH("alignment",C322)),"Defective Device",ISNUMBER(SEARCH("adjust",C322)),"Defective Device",ISNUMBER(SEARCH("perform",C322)),"Defective Device",ISNUMBER(SEARCH("malfunction",C322)),"Defective Device",ISNUMBER(SEARCH("defect",C322)),"Defective Device",ISNUMBER(SEARCH("fail",C322)),"Defective Device",ISNUMBER(SEARCH("not work",C322)),"Defective Device",ISNUMBER(SEARCH("doesn't work",C322)),"Defective Device",TRUE,"UNKNOWN"),"UNKNOWN")))</f>
        <v/>
      </c>
      <c r="F322" s="4" t="str">
        <f t="shared" si="4"/>
        <v/>
      </c>
      <c r="G322" s="363" t="str">
        <f>IF(E322="","",IFERROR(VLOOKUP(E322,Codes!$L$2:$N$409,3,FALSE),"—"))</f>
        <v/>
      </c>
      <c r="H322" s="88"/>
      <c r="I322" s="88"/>
    </row>
    <row r="323" spans="1:9" ht="13.15" x14ac:dyDescent="0.35">
      <c r="A323" s="435"/>
      <c r="B323" s="436"/>
      <c r="C323" s="438"/>
      <c r="D323" s="435"/>
      <c r="E323" s="93" t="str" cm="1">
        <f t="array" ref="E323">IF(D323&lt;&gt;"",IFERROR(VLOOKUP(D323,Codes!$K$2:$L$409,2,FALSE),"UNKNOWN - "&amp;D323),IF(C323="","",IFERROR(_xlfn.IFS(ISNUMBER(SEARCH("broken button",C323)),"Break",ISNUMBER(SEARCH("broken handle",C323)),"Break",ISNUMBER(SEARCH("shipping damage",C323)),"Break",ISNUMBER(SEARCH("broken",C323)),"Break",ISNUMBER(SEARCH("crack",C323)),"Break",ISNUMBER(SEARCH("snap",C323)),"Break",ISNUMBER(SEARCH("fracture",C323)),"Break",ISNUMBER(SEARCH("bent",C323)),"Material Twisted/Bent",ISNUMBER(SEARCH("twisted",C323)),"Material Twisted/Bent",ISNUMBER(SEARCH("component separat",C323)),"Material Separation",ISNUMBER(SEARCH("separat",C323)),"Material Separation",ISNUMBER(SEARCH("connection",C323)),"Loose or Intermittent Connection",ISNUMBER(SEARCH("loose",C323)),"Loose or Intermittent Connection",ISNUMBER(SEARCH("damaged packaging",C323)),"Packaging Problem",ISNUMBER(SEARCH("packaging",C323)),"Packaging Problem",ISNUMBER(SEARCH("discoloration",C323)),"Contamination",ISNUMBER(SEARCH("tarnish",C323)),"Contamination",ISNUMBER(SEARCH("stain",C323)),"Contamination",ISNUMBER(SEARCH("foreign material",C323)),"Contamination",ISNUMBER(SEARCH("contamina",C323)),"Contamination",ISNUMBER(SEARCH("overheat",C323)),"Overheating of Device",ISNUMBER(SEARCH("excessive heat",C323)),"Overheating of Device",ISNUMBER(SEARCH("hot",C323)),"Overheating of Device",ISNUMBER(SEARCH("noise",C323)),"Noise, Audible",ISNUMBER(SEARCH("sound",C323)),"Noise, Audible",ISNUMBER(SEARCH("loud",C323)),"Noise, Audible",ISNUMBER(SEARCH("fray",C323)),"Material Frayed",ISNUMBER(SEARCH("hole",C323)),"Material Frayed",ISNUMBER(SEARCH("tear",C323)),"Material Frayed",ISNUMBER(SEARCH("worn",C323)),"Material Frayed",ISNUMBER(SEARCH("intermittent",C323)),"Difficult or Delayed Activation",ISNUMBER(SEARCH("delay",C323)),"Difficult or Delayed Activation",ISNUMBER(SEARCH("label",C323)),"Device Markings/Labelling Problem",ISNUMBER(SEARCH("marking",C323)),"Device Markings/Labelling Problem",ISNUMBER(SEARCH("lacerat",C323)),"Defective Device",ISNUMBER(SEARCH("cut",C323)),"Defective Device",ISNUMBER(SEARCH("leak",C323)),"Fluid/Blood Leak",ISNUMBER(SEARCH("missing",C323)),"Component Missing",ISNUMBER(SEARCH("power",C323)),"Complete Loss of Power",ISNUMBER(SEARCH("will not turn on",C323)),"Complete Loss of Power",ISNUMBER(SEARCH("won't turn on",C323)),"Complete Loss of Power",ISNUMBER(SEARCH("does not turn on",C323)),"Complete Loss of Power",ISNUMBER(SEARCH("electrical",C323)),"Electrical Power Problem",ISNUMBER(SEARCH("pressure",C323)),"Detachment of Device or Device Component",ISNUMBER(SEARCH("slip",C323)),"Detachment of Device or Device Component",ISNUMBER(SEARCH("detach",C323)),"Detachment of Device or Device Component",ISNUMBER(SEARCH("stick",C323)),"Mechanical Jam",ISNUMBER(SEARCH("jam",C323)),"Mechanical Jam",ISNUMBER(SEARCH("rigid",C323)),"Mechanical Jam",ISNUMBER(SEARCH("rust",C323)),"Corroded",ISNUMBER(SEARCH("corrod",C323)),"Corroded",ISNUMBER(SEARCH("corrosion",C323)),"Corroded",ISNUMBER(SEARCH("alignment",C323)),"Defective Device",ISNUMBER(SEARCH("adjust",C323)),"Defective Device",ISNUMBER(SEARCH("perform",C323)),"Defective Device",ISNUMBER(SEARCH("malfunction",C323)),"Defective Device",ISNUMBER(SEARCH("defect",C323)),"Defective Device",ISNUMBER(SEARCH("fail",C323)),"Defective Device",ISNUMBER(SEARCH("not work",C323)),"Defective Device",ISNUMBER(SEARCH("doesn't work",C323)),"Defective Device",TRUE,"UNKNOWN"),"UNKNOWN")))</f>
        <v/>
      </c>
      <c r="F323" s="4" t="str">
        <f t="shared" ref="F323:F386" si="5">IF(E323="","","No Clinical Signs, Symptoms or Conditions")</f>
        <v/>
      </c>
      <c r="G323" s="363" t="str">
        <f>IF(E323="","",IFERROR(VLOOKUP(E323,Codes!$L$2:$N$409,3,FALSE),"—"))</f>
        <v/>
      </c>
      <c r="H323" s="88"/>
      <c r="I323" s="88"/>
    </row>
    <row r="324" spans="1:9" ht="13.15" x14ac:dyDescent="0.35">
      <c r="A324" s="434"/>
      <c r="B324" s="436"/>
      <c r="C324" s="439"/>
      <c r="D324" s="434"/>
      <c r="E324" s="93" t="str" cm="1">
        <f t="array" ref="E324">IF(D324&lt;&gt;"",IFERROR(VLOOKUP(D324,Codes!$K$2:$L$409,2,FALSE),"UNKNOWN - "&amp;D324),IF(C324="","",IFERROR(_xlfn.IFS(ISNUMBER(SEARCH("broken button",C324)),"Break",ISNUMBER(SEARCH("broken handle",C324)),"Break",ISNUMBER(SEARCH("shipping damage",C324)),"Break",ISNUMBER(SEARCH("broken",C324)),"Break",ISNUMBER(SEARCH("crack",C324)),"Break",ISNUMBER(SEARCH("snap",C324)),"Break",ISNUMBER(SEARCH("fracture",C324)),"Break",ISNUMBER(SEARCH("bent",C324)),"Material Twisted/Bent",ISNUMBER(SEARCH("twisted",C324)),"Material Twisted/Bent",ISNUMBER(SEARCH("component separat",C324)),"Material Separation",ISNUMBER(SEARCH("separat",C324)),"Material Separation",ISNUMBER(SEARCH("connection",C324)),"Loose or Intermittent Connection",ISNUMBER(SEARCH("loose",C324)),"Loose or Intermittent Connection",ISNUMBER(SEARCH("damaged packaging",C324)),"Packaging Problem",ISNUMBER(SEARCH("packaging",C324)),"Packaging Problem",ISNUMBER(SEARCH("discoloration",C324)),"Contamination",ISNUMBER(SEARCH("tarnish",C324)),"Contamination",ISNUMBER(SEARCH("stain",C324)),"Contamination",ISNUMBER(SEARCH("foreign material",C324)),"Contamination",ISNUMBER(SEARCH("contamina",C324)),"Contamination",ISNUMBER(SEARCH("overheat",C324)),"Overheating of Device",ISNUMBER(SEARCH("excessive heat",C324)),"Overheating of Device",ISNUMBER(SEARCH("hot",C324)),"Overheating of Device",ISNUMBER(SEARCH("noise",C324)),"Noise, Audible",ISNUMBER(SEARCH("sound",C324)),"Noise, Audible",ISNUMBER(SEARCH("loud",C324)),"Noise, Audible",ISNUMBER(SEARCH("fray",C324)),"Material Frayed",ISNUMBER(SEARCH("hole",C324)),"Material Frayed",ISNUMBER(SEARCH("tear",C324)),"Material Frayed",ISNUMBER(SEARCH("worn",C324)),"Material Frayed",ISNUMBER(SEARCH("intermittent",C324)),"Difficult or Delayed Activation",ISNUMBER(SEARCH("delay",C324)),"Difficult or Delayed Activation",ISNUMBER(SEARCH("label",C324)),"Device Markings/Labelling Problem",ISNUMBER(SEARCH("marking",C324)),"Device Markings/Labelling Problem",ISNUMBER(SEARCH("lacerat",C324)),"Defective Device",ISNUMBER(SEARCH("cut",C324)),"Defective Device",ISNUMBER(SEARCH("leak",C324)),"Fluid/Blood Leak",ISNUMBER(SEARCH("missing",C324)),"Component Missing",ISNUMBER(SEARCH("power",C324)),"Complete Loss of Power",ISNUMBER(SEARCH("will not turn on",C324)),"Complete Loss of Power",ISNUMBER(SEARCH("won't turn on",C324)),"Complete Loss of Power",ISNUMBER(SEARCH("does not turn on",C324)),"Complete Loss of Power",ISNUMBER(SEARCH("electrical",C324)),"Electrical Power Problem",ISNUMBER(SEARCH("pressure",C324)),"Detachment of Device or Device Component",ISNUMBER(SEARCH("slip",C324)),"Detachment of Device or Device Component",ISNUMBER(SEARCH("detach",C324)),"Detachment of Device or Device Component",ISNUMBER(SEARCH("stick",C324)),"Mechanical Jam",ISNUMBER(SEARCH("jam",C324)),"Mechanical Jam",ISNUMBER(SEARCH("rigid",C324)),"Mechanical Jam",ISNUMBER(SEARCH("rust",C324)),"Corroded",ISNUMBER(SEARCH("corrod",C324)),"Corroded",ISNUMBER(SEARCH("corrosion",C324)),"Corroded",ISNUMBER(SEARCH("alignment",C324)),"Defective Device",ISNUMBER(SEARCH("adjust",C324)),"Defective Device",ISNUMBER(SEARCH("perform",C324)),"Defective Device",ISNUMBER(SEARCH("malfunction",C324)),"Defective Device",ISNUMBER(SEARCH("defect",C324)),"Defective Device",ISNUMBER(SEARCH("fail",C324)),"Defective Device",ISNUMBER(SEARCH("not work",C324)),"Defective Device",ISNUMBER(SEARCH("doesn't work",C324)),"Defective Device",TRUE,"UNKNOWN"),"UNKNOWN")))</f>
        <v/>
      </c>
      <c r="F324" s="4" t="str">
        <f t="shared" si="5"/>
        <v/>
      </c>
      <c r="G324" s="363" t="str">
        <f>IF(E324="","",IFERROR(VLOOKUP(E324,Codes!$L$2:$N$409,3,FALSE),"—"))</f>
        <v/>
      </c>
      <c r="H324" s="88"/>
      <c r="I324" s="88"/>
    </row>
    <row r="325" spans="1:9" ht="13.15" x14ac:dyDescent="0.35">
      <c r="A325" s="435"/>
      <c r="B325" s="436"/>
      <c r="C325" s="438"/>
      <c r="D325" s="435"/>
      <c r="E325" s="93" t="str" cm="1">
        <f t="array" ref="E325">IF(D325&lt;&gt;"",IFERROR(VLOOKUP(D325,Codes!$K$2:$L$409,2,FALSE),"UNKNOWN - "&amp;D325),IF(C325="","",IFERROR(_xlfn.IFS(ISNUMBER(SEARCH("broken button",C325)),"Break",ISNUMBER(SEARCH("broken handle",C325)),"Break",ISNUMBER(SEARCH("shipping damage",C325)),"Break",ISNUMBER(SEARCH("broken",C325)),"Break",ISNUMBER(SEARCH("crack",C325)),"Break",ISNUMBER(SEARCH("snap",C325)),"Break",ISNUMBER(SEARCH("fracture",C325)),"Break",ISNUMBER(SEARCH("bent",C325)),"Material Twisted/Bent",ISNUMBER(SEARCH("twisted",C325)),"Material Twisted/Bent",ISNUMBER(SEARCH("component separat",C325)),"Material Separation",ISNUMBER(SEARCH("separat",C325)),"Material Separation",ISNUMBER(SEARCH("connection",C325)),"Loose or Intermittent Connection",ISNUMBER(SEARCH("loose",C325)),"Loose or Intermittent Connection",ISNUMBER(SEARCH("damaged packaging",C325)),"Packaging Problem",ISNUMBER(SEARCH("packaging",C325)),"Packaging Problem",ISNUMBER(SEARCH("discoloration",C325)),"Contamination",ISNUMBER(SEARCH("tarnish",C325)),"Contamination",ISNUMBER(SEARCH("stain",C325)),"Contamination",ISNUMBER(SEARCH("foreign material",C325)),"Contamination",ISNUMBER(SEARCH("contamina",C325)),"Contamination",ISNUMBER(SEARCH("overheat",C325)),"Overheating of Device",ISNUMBER(SEARCH("excessive heat",C325)),"Overheating of Device",ISNUMBER(SEARCH("hot",C325)),"Overheating of Device",ISNUMBER(SEARCH("noise",C325)),"Noise, Audible",ISNUMBER(SEARCH("sound",C325)),"Noise, Audible",ISNUMBER(SEARCH("loud",C325)),"Noise, Audible",ISNUMBER(SEARCH("fray",C325)),"Material Frayed",ISNUMBER(SEARCH("hole",C325)),"Material Frayed",ISNUMBER(SEARCH("tear",C325)),"Material Frayed",ISNUMBER(SEARCH("worn",C325)),"Material Frayed",ISNUMBER(SEARCH("intermittent",C325)),"Difficult or Delayed Activation",ISNUMBER(SEARCH("delay",C325)),"Difficult or Delayed Activation",ISNUMBER(SEARCH("label",C325)),"Device Markings/Labelling Problem",ISNUMBER(SEARCH("marking",C325)),"Device Markings/Labelling Problem",ISNUMBER(SEARCH("lacerat",C325)),"Defective Device",ISNUMBER(SEARCH("cut",C325)),"Defective Device",ISNUMBER(SEARCH("leak",C325)),"Fluid/Blood Leak",ISNUMBER(SEARCH("missing",C325)),"Component Missing",ISNUMBER(SEARCH("power",C325)),"Complete Loss of Power",ISNUMBER(SEARCH("will not turn on",C325)),"Complete Loss of Power",ISNUMBER(SEARCH("won't turn on",C325)),"Complete Loss of Power",ISNUMBER(SEARCH("does not turn on",C325)),"Complete Loss of Power",ISNUMBER(SEARCH("electrical",C325)),"Electrical Power Problem",ISNUMBER(SEARCH("pressure",C325)),"Detachment of Device or Device Component",ISNUMBER(SEARCH("slip",C325)),"Detachment of Device or Device Component",ISNUMBER(SEARCH("detach",C325)),"Detachment of Device or Device Component",ISNUMBER(SEARCH("stick",C325)),"Mechanical Jam",ISNUMBER(SEARCH("jam",C325)),"Mechanical Jam",ISNUMBER(SEARCH("rigid",C325)),"Mechanical Jam",ISNUMBER(SEARCH("rust",C325)),"Corroded",ISNUMBER(SEARCH("corrod",C325)),"Corroded",ISNUMBER(SEARCH("corrosion",C325)),"Corroded",ISNUMBER(SEARCH("alignment",C325)),"Defective Device",ISNUMBER(SEARCH("adjust",C325)),"Defective Device",ISNUMBER(SEARCH("perform",C325)),"Defective Device",ISNUMBER(SEARCH("malfunction",C325)),"Defective Device",ISNUMBER(SEARCH("defect",C325)),"Defective Device",ISNUMBER(SEARCH("fail",C325)),"Defective Device",ISNUMBER(SEARCH("not work",C325)),"Defective Device",ISNUMBER(SEARCH("doesn't work",C325)),"Defective Device",TRUE,"UNKNOWN"),"UNKNOWN")))</f>
        <v/>
      </c>
      <c r="F325" s="4" t="str">
        <f t="shared" si="5"/>
        <v/>
      </c>
      <c r="G325" s="363" t="str">
        <f>IF(E325="","",IFERROR(VLOOKUP(E325,Codes!$L$2:$N$409,3,FALSE),"—"))</f>
        <v/>
      </c>
      <c r="H325" s="88"/>
      <c r="I325" s="88"/>
    </row>
    <row r="326" spans="1:9" ht="13.15" x14ac:dyDescent="0.35">
      <c r="A326" s="434"/>
      <c r="B326" s="436"/>
      <c r="C326" s="437"/>
      <c r="D326" s="434"/>
      <c r="E326" s="93" t="str" cm="1">
        <f t="array" ref="E326">IF(D326&lt;&gt;"",IFERROR(VLOOKUP(D326,Codes!$K$2:$L$409,2,FALSE),"UNKNOWN - "&amp;D326),IF(C326="","",IFERROR(_xlfn.IFS(ISNUMBER(SEARCH("broken button",C326)),"Break",ISNUMBER(SEARCH("broken handle",C326)),"Break",ISNUMBER(SEARCH("shipping damage",C326)),"Break",ISNUMBER(SEARCH("broken",C326)),"Break",ISNUMBER(SEARCH("crack",C326)),"Break",ISNUMBER(SEARCH("snap",C326)),"Break",ISNUMBER(SEARCH("fracture",C326)),"Break",ISNUMBER(SEARCH("bent",C326)),"Material Twisted/Bent",ISNUMBER(SEARCH("twisted",C326)),"Material Twisted/Bent",ISNUMBER(SEARCH("component separat",C326)),"Material Separation",ISNUMBER(SEARCH("separat",C326)),"Material Separation",ISNUMBER(SEARCH("connection",C326)),"Loose or Intermittent Connection",ISNUMBER(SEARCH("loose",C326)),"Loose or Intermittent Connection",ISNUMBER(SEARCH("damaged packaging",C326)),"Packaging Problem",ISNUMBER(SEARCH("packaging",C326)),"Packaging Problem",ISNUMBER(SEARCH("discoloration",C326)),"Contamination",ISNUMBER(SEARCH("tarnish",C326)),"Contamination",ISNUMBER(SEARCH("stain",C326)),"Contamination",ISNUMBER(SEARCH("foreign material",C326)),"Contamination",ISNUMBER(SEARCH("contamina",C326)),"Contamination",ISNUMBER(SEARCH("overheat",C326)),"Overheating of Device",ISNUMBER(SEARCH("excessive heat",C326)),"Overheating of Device",ISNUMBER(SEARCH("hot",C326)),"Overheating of Device",ISNUMBER(SEARCH("noise",C326)),"Noise, Audible",ISNUMBER(SEARCH("sound",C326)),"Noise, Audible",ISNUMBER(SEARCH("loud",C326)),"Noise, Audible",ISNUMBER(SEARCH("fray",C326)),"Material Frayed",ISNUMBER(SEARCH("hole",C326)),"Material Frayed",ISNUMBER(SEARCH("tear",C326)),"Material Frayed",ISNUMBER(SEARCH("worn",C326)),"Material Frayed",ISNUMBER(SEARCH("intermittent",C326)),"Difficult or Delayed Activation",ISNUMBER(SEARCH("delay",C326)),"Difficult or Delayed Activation",ISNUMBER(SEARCH("label",C326)),"Device Markings/Labelling Problem",ISNUMBER(SEARCH("marking",C326)),"Device Markings/Labelling Problem",ISNUMBER(SEARCH("lacerat",C326)),"Defective Device",ISNUMBER(SEARCH("cut",C326)),"Defective Device",ISNUMBER(SEARCH("leak",C326)),"Fluid/Blood Leak",ISNUMBER(SEARCH("missing",C326)),"Component Missing",ISNUMBER(SEARCH("power",C326)),"Complete Loss of Power",ISNUMBER(SEARCH("will not turn on",C326)),"Complete Loss of Power",ISNUMBER(SEARCH("won't turn on",C326)),"Complete Loss of Power",ISNUMBER(SEARCH("does not turn on",C326)),"Complete Loss of Power",ISNUMBER(SEARCH("electrical",C326)),"Electrical Power Problem",ISNUMBER(SEARCH("pressure",C326)),"Detachment of Device or Device Component",ISNUMBER(SEARCH("slip",C326)),"Detachment of Device or Device Component",ISNUMBER(SEARCH("detach",C326)),"Detachment of Device or Device Component",ISNUMBER(SEARCH("stick",C326)),"Mechanical Jam",ISNUMBER(SEARCH("jam",C326)),"Mechanical Jam",ISNUMBER(SEARCH("rigid",C326)),"Mechanical Jam",ISNUMBER(SEARCH("rust",C326)),"Corroded",ISNUMBER(SEARCH("corrod",C326)),"Corroded",ISNUMBER(SEARCH("corrosion",C326)),"Corroded",ISNUMBER(SEARCH("alignment",C326)),"Defective Device",ISNUMBER(SEARCH("adjust",C326)),"Defective Device",ISNUMBER(SEARCH("perform",C326)),"Defective Device",ISNUMBER(SEARCH("malfunction",C326)),"Defective Device",ISNUMBER(SEARCH("defect",C326)),"Defective Device",ISNUMBER(SEARCH("fail",C326)),"Defective Device",ISNUMBER(SEARCH("not work",C326)),"Defective Device",ISNUMBER(SEARCH("doesn't work",C326)),"Defective Device",TRUE,"UNKNOWN"),"UNKNOWN")))</f>
        <v/>
      </c>
      <c r="F326" s="4" t="str">
        <f t="shared" si="5"/>
        <v/>
      </c>
      <c r="G326" s="363" t="str">
        <f>IF(E326="","",IFERROR(VLOOKUP(E326,Codes!$L$2:$N$409,3,FALSE),"—"))</f>
        <v/>
      </c>
      <c r="H326" s="88"/>
      <c r="I326" s="88"/>
    </row>
    <row r="327" spans="1:9" ht="13.15" x14ac:dyDescent="0.35">
      <c r="A327" s="434"/>
      <c r="B327" s="436"/>
      <c r="C327" s="437"/>
      <c r="D327" s="434"/>
      <c r="E327" s="93" t="str" cm="1">
        <f t="array" ref="E327">IF(D327&lt;&gt;"",IFERROR(VLOOKUP(D327,Codes!$K$2:$L$409,2,FALSE),"UNKNOWN - "&amp;D327),IF(C327="","",IFERROR(_xlfn.IFS(ISNUMBER(SEARCH("broken button",C327)),"Break",ISNUMBER(SEARCH("broken handle",C327)),"Break",ISNUMBER(SEARCH("shipping damage",C327)),"Break",ISNUMBER(SEARCH("broken",C327)),"Break",ISNUMBER(SEARCH("crack",C327)),"Break",ISNUMBER(SEARCH("snap",C327)),"Break",ISNUMBER(SEARCH("fracture",C327)),"Break",ISNUMBER(SEARCH("bent",C327)),"Material Twisted/Bent",ISNUMBER(SEARCH("twisted",C327)),"Material Twisted/Bent",ISNUMBER(SEARCH("component separat",C327)),"Material Separation",ISNUMBER(SEARCH("separat",C327)),"Material Separation",ISNUMBER(SEARCH("connection",C327)),"Loose or Intermittent Connection",ISNUMBER(SEARCH("loose",C327)),"Loose or Intermittent Connection",ISNUMBER(SEARCH("damaged packaging",C327)),"Packaging Problem",ISNUMBER(SEARCH("packaging",C327)),"Packaging Problem",ISNUMBER(SEARCH("discoloration",C327)),"Contamination",ISNUMBER(SEARCH("tarnish",C327)),"Contamination",ISNUMBER(SEARCH("stain",C327)),"Contamination",ISNUMBER(SEARCH("foreign material",C327)),"Contamination",ISNUMBER(SEARCH("contamina",C327)),"Contamination",ISNUMBER(SEARCH("overheat",C327)),"Overheating of Device",ISNUMBER(SEARCH("excessive heat",C327)),"Overheating of Device",ISNUMBER(SEARCH("hot",C327)),"Overheating of Device",ISNUMBER(SEARCH("noise",C327)),"Noise, Audible",ISNUMBER(SEARCH("sound",C327)),"Noise, Audible",ISNUMBER(SEARCH("loud",C327)),"Noise, Audible",ISNUMBER(SEARCH("fray",C327)),"Material Frayed",ISNUMBER(SEARCH("hole",C327)),"Material Frayed",ISNUMBER(SEARCH("tear",C327)),"Material Frayed",ISNUMBER(SEARCH("worn",C327)),"Material Frayed",ISNUMBER(SEARCH("intermittent",C327)),"Difficult or Delayed Activation",ISNUMBER(SEARCH("delay",C327)),"Difficult or Delayed Activation",ISNUMBER(SEARCH("label",C327)),"Device Markings/Labelling Problem",ISNUMBER(SEARCH("marking",C327)),"Device Markings/Labelling Problem",ISNUMBER(SEARCH("lacerat",C327)),"Defective Device",ISNUMBER(SEARCH("cut",C327)),"Defective Device",ISNUMBER(SEARCH("leak",C327)),"Fluid/Blood Leak",ISNUMBER(SEARCH("missing",C327)),"Component Missing",ISNUMBER(SEARCH("power",C327)),"Complete Loss of Power",ISNUMBER(SEARCH("will not turn on",C327)),"Complete Loss of Power",ISNUMBER(SEARCH("won't turn on",C327)),"Complete Loss of Power",ISNUMBER(SEARCH("does not turn on",C327)),"Complete Loss of Power",ISNUMBER(SEARCH("electrical",C327)),"Electrical Power Problem",ISNUMBER(SEARCH("pressure",C327)),"Detachment of Device or Device Component",ISNUMBER(SEARCH("slip",C327)),"Detachment of Device or Device Component",ISNUMBER(SEARCH("detach",C327)),"Detachment of Device or Device Component",ISNUMBER(SEARCH("stick",C327)),"Mechanical Jam",ISNUMBER(SEARCH("jam",C327)),"Mechanical Jam",ISNUMBER(SEARCH("rigid",C327)),"Mechanical Jam",ISNUMBER(SEARCH("rust",C327)),"Corroded",ISNUMBER(SEARCH("corrod",C327)),"Corroded",ISNUMBER(SEARCH("corrosion",C327)),"Corroded",ISNUMBER(SEARCH("alignment",C327)),"Defective Device",ISNUMBER(SEARCH("adjust",C327)),"Defective Device",ISNUMBER(SEARCH("perform",C327)),"Defective Device",ISNUMBER(SEARCH("malfunction",C327)),"Defective Device",ISNUMBER(SEARCH("defect",C327)),"Defective Device",ISNUMBER(SEARCH("fail",C327)),"Defective Device",ISNUMBER(SEARCH("not work",C327)),"Defective Device",ISNUMBER(SEARCH("doesn't work",C327)),"Defective Device",TRUE,"UNKNOWN"),"UNKNOWN")))</f>
        <v/>
      </c>
      <c r="F327" s="4" t="str">
        <f t="shared" si="5"/>
        <v/>
      </c>
      <c r="G327" s="363" t="str">
        <f>IF(E327="","",IFERROR(VLOOKUP(E327,Codes!$L$2:$N$409,3,FALSE),"—"))</f>
        <v/>
      </c>
      <c r="H327" s="88"/>
      <c r="I327" s="88"/>
    </row>
    <row r="328" spans="1:9" ht="13.15" x14ac:dyDescent="0.35">
      <c r="A328" s="435"/>
      <c r="B328" s="436"/>
      <c r="C328" s="438"/>
      <c r="D328" s="435"/>
      <c r="E328" s="93" t="str" cm="1">
        <f t="array" ref="E328">IF(D328&lt;&gt;"",IFERROR(VLOOKUP(D328,Codes!$K$2:$L$409,2,FALSE),"UNKNOWN - "&amp;D328),IF(C328="","",IFERROR(_xlfn.IFS(ISNUMBER(SEARCH("broken button",C328)),"Break",ISNUMBER(SEARCH("broken handle",C328)),"Break",ISNUMBER(SEARCH("shipping damage",C328)),"Break",ISNUMBER(SEARCH("broken",C328)),"Break",ISNUMBER(SEARCH("crack",C328)),"Break",ISNUMBER(SEARCH("snap",C328)),"Break",ISNUMBER(SEARCH("fracture",C328)),"Break",ISNUMBER(SEARCH("bent",C328)),"Material Twisted/Bent",ISNUMBER(SEARCH("twisted",C328)),"Material Twisted/Bent",ISNUMBER(SEARCH("component separat",C328)),"Material Separation",ISNUMBER(SEARCH("separat",C328)),"Material Separation",ISNUMBER(SEARCH("connection",C328)),"Loose or Intermittent Connection",ISNUMBER(SEARCH("loose",C328)),"Loose or Intermittent Connection",ISNUMBER(SEARCH("damaged packaging",C328)),"Packaging Problem",ISNUMBER(SEARCH("packaging",C328)),"Packaging Problem",ISNUMBER(SEARCH("discoloration",C328)),"Contamination",ISNUMBER(SEARCH("tarnish",C328)),"Contamination",ISNUMBER(SEARCH("stain",C328)),"Contamination",ISNUMBER(SEARCH("foreign material",C328)),"Contamination",ISNUMBER(SEARCH("contamina",C328)),"Contamination",ISNUMBER(SEARCH("overheat",C328)),"Overheating of Device",ISNUMBER(SEARCH("excessive heat",C328)),"Overheating of Device",ISNUMBER(SEARCH("hot",C328)),"Overheating of Device",ISNUMBER(SEARCH("noise",C328)),"Noise, Audible",ISNUMBER(SEARCH("sound",C328)),"Noise, Audible",ISNUMBER(SEARCH("loud",C328)),"Noise, Audible",ISNUMBER(SEARCH("fray",C328)),"Material Frayed",ISNUMBER(SEARCH("hole",C328)),"Material Frayed",ISNUMBER(SEARCH("tear",C328)),"Material Frayed",ISNUMBER(SEARCH("worn",C328)),"Material Frayed",ISNUMBER(SEARCH("intermittent",C328)),"Difficult or Delayed Activation",ISNUMBER(SEARCH("delay",C328)),"Difficult or Delayed Activation",ISNUMBER(SEARCH("label",C328)),"Device Markings/Labelling Problem",ISNUMBER(SEARCH("marking",C328)),"Device Markings/Labelling Problem",ISNUMBER(SEARCH("lacerat",C328)),"Defective Device",ISNUMBER(SEARCH("cut",C328)),"Defective Device",ISNUMBER(SEARCH("leak",C328)),"Fluid/Blood Leak",ISNUMBER(SEARCH("missing",C328)),"Component Missing",ISNUMBER(SEARCH("power",C328)),"Complete Loss of Power",ISNUMBER(SEARCH("will not turn on",C328)),"Complete Loss of Power",ISNUMBER(SEARCH("won't turn on",C328)),"Complete Loss of Power",ISNUMBER(SEARCH("does not turn on",C328)),"Complete Loss of Power",ISNUMBER(SEARCH("electrical",C328)),"Electrical Power Problem",ISNUMBER(SEARCH("pressure",C328)),"Detachment of Device or Device Component",ISNUMBER(SEARCH("slip",C328)),"Detachment of Device or Device Component",ISNUMBER(SEARCH("detach",C328)),"Detachment of Device or Device Component",ISNUMBER(SEARCH("stick",C328)),"Mechanical Jam",ISNUMBER(SEARCH("jam",C328)),"Mechanical Jam",ISNUMBER(SEARCH("rigid",C328)),"Mechanical Jam",ISNUMBER(SEARCH("rust",C328)),"Corroded",ISNUMBER(SEARCH("corrod",C328)),"Corroded",ISNUMBER(SEARCH("corrosion",C328)),"Corroded",ISNUMBER(SEARCH("alignment",C328)),"Defective Device",ISNUMBER(SEARCH("adjust",C328)),"Defective Device",ISNUMBER(SEARCH("perform",C328)),"Defective Device",ISNUMBER(SEARCH("malfunction",C328)),"Defective Device",ISNUMBER(SEARCH("defect",C328)),"Defective Device",ISNUMBER(SEARCH("fail",C328)),"Defective Device",ISNUMBER(SEARCH("not work",C328)),"Defective Device",ISNUMBER(SEARCH("doesn't work",C328)),"Defective Device",TRUE,"UNKNOWN"),"UNKNOWN")))</f>
        <v/>
      </c>
      <c r="F328" s="4" t="str">
        <f t="shared" si="5"/>
        <v/>
      </c>
      <c r="G328" s="363" t="str">
        <f>IF(E328="","",IFERROR(VLOOKUP(E328,Codes!$L$2:$N$409,3,FALSE),"—"))</f>
        <v/>
      </c>
      <c r="H328" s="88"/>
      <c r="I328" s="88"/>
    </row>
    <row r="329" spans="1:9" ht="13.15" x14ac:dyDescent="0.35">
      <c r="A329" s="434"/>
      <c r="B329" s="436"/>
      <c r="C329" s="434"/>
      <c r="D329" s="434"/>
      <c r="E329" s="93" t="str" cm="1">
        <f t="array" ref="E329">IF(D329&lt;&gt;"",IFERROR(VLOOKUP(D329,Codes!$K$2:$L$409,2,FALSE),"UNKNOWN - "&amp;D329),IF(C329="","",IFERROR(_xlfn.IFS(ISNUMBER(SEARCH("broken button",C329)),"Break",ISNUMBER(SEARCH("broken handle",C329)),"Break",ISNUMBER(SEARCH("shipping damage",C329)),"Break",ISNUMBER(SEARCH("broken",C329)),"Break",ISNUMBER(SEARCH("crack",C329)),"Break",ISNUMBER(SEARCH("snap",C329)),"Break",ISNUMBER(SEARCH("fracture",C329)),"Break",ISNUMBER(SEARCH("bent",C329)),"Material Twisted/Bent",ISNUMBER(SEARCH("twisted",C329)),"Material Twisted/Bent",ISNUMBER(SEARCH("component separat",C329)),"Material Separation",ISNUMBER(SEARCH("separat",C329)),"Material Separation",ISNUMBER(SEARCH("connection",C329)),"Loose or Intermittent Connection",ISNUMBER(SEARCH("loose",C329)),"Loose or Intermittent Connection",ISNUMBER(SEARCH("damaged packaging",C329)),"Packaging Problem",ISNUMBER(SEARCH("packaging",C329)),"Packaging Problem",ISNUMBER(SEARCH("discoloration",C329)),"Contamination",ISNUMBER(SEARCH("tarnish",C329)),"Contamination",ISNUMBER(SEARCH("stain",C329)),"Contamination",ISNUMBER(SEARCH("foreign material",C329)),"Contamination",ISNUMBER(SEARCH("contamina",C329)),"Contamination",ISNUMBER(SEARCH("overheat",C329)),"Overheating of Device",ISNUMBER(SEARCH("excessive heat",C329)),"Overheating of Device",ISNUMBER(SEARCH("hot",C329)),"Overheating of Device",ISNUMBER(SEARCH("noise",C329)),"Noise, Audible",ISNUMBER(SEARCH("sound",C329)),"Noise, Audible",ISNUMBER(SEARCH("loud",C329)),"Noise, Audible",ISNUMBER(SEARCH("fray",C329)),"Material Frayed",ISNUMBER(SEARCH("hole",C329)),"Material Frayed",ISNUMBER(SEARCH("tear",C329)),"Material Frayed",ISNUMBER(SEARCH("worn",C329)),"Material Frayed",ISNUMBER(SEARCH("intermittent",C329)),"Difficult or Delayed Activation",ISNUMBER(SEARCH("delay",C329)),"Difficult or Delayed Activation",ISNUMBER(SEARCH("label",C329)),"Device Markings/Labelling Problem",ISNUMBER(SEARCH("marking",C329)),"Device Markings/Labelling Problem",ISNUMBER(SEARCH("lacerat",C329)),"Defective Device",ISNUMBER(SEARCH("cut",C329)),"Defective Device",ISNUMBER(SEARCH("leak",C329)),"Fluid/Blood Leak",ISNUMBER(SEARCH("missing",C329)),"Component Missing",ISNUMBER(SEARCH("power",C329)),"Complete Loss of Power",ISNUMBER(SEARCH("will not turn on",C329)),"Complete Loss of Power",ISNUMBER(SEARCH("won't turn on",C329)),"Complete Loss of Power",ISNUMBER(SEARCH("does not turn on",C329)),"Complete Loss of Power",ISNUMBER(SEARCH("electrical",C329)),"Electrical Power Problem",ISNUMBER(SEARCH("pressure",C329)),"Detachment of Device or Device Component",ISNUMBER(SEARCH("slip",C329)),"Detachment of Device or Device Component",ISNUMBER(SEARCH("detach",C329)),"Detachment of Device or Device Component",ISNUMBER(SEARCH("stick",C329)),"Mechanical Jam",ISNUMBER(SEARCH("jam",C329)),"Mechanical Jam",ISNUMBER(SEARCH("rigid",C329)),"Mechanical Jam",ISNUMBER(SEARCH("rust",C329)),"Corroded",ISNUMBER(SEARCH("corrod",C329)),"Corroded",ISNUMBER(SEARCH("corrosion",C329)),"Corroded",ISNUMBER(SEARCH("alignment",C329)),"Defective Device",ISNUMBER(SEARCH("adjust",C329)),"Defective Device",ISNUMBER(SEARCH("perform",C329)),"Defective Device",ISNUMBER(SEARCH("malfunction",C329)),"Defective Device",ISNUMBER(SEARCH("defect",C329)),"Defective Device",ISNUMBER(SEARCH("fail",C329)),"Defective Device",ISNUMBER(SEARCH("not work",C329)),"Defective Device",ISNUMBER(SEARCH("doesn't work",C329)),"Defective Device",TRUE,"UNKNOWN"),"UNKNOWN")))</f>
        <v/>
      </c>
      <c r="F329" s="4" t="str">
        <f t="shared" si="5"/>
        <v/>
      </c>
      <c r="G329" s="363" t="str">
        <f>IF(E329="","",IFERROR(VLOOKUP(E329,Codes!$L$2:$N$409,3,FALSE),"—"))</f>
        <v/>
      </c>
      <c r="H329" s="88"/>
      <c r="I329" s="88"/>
    </row>
    <row r="330" spans="1:9" ht="13.15" x14ac:dyDescent="0.35">
      <c r="A330" s="435"/>
      <c r="B330" s="436"/>
      <c r="C330" s="438"/>
      <c r="D330" s="435"/>
      <c r="E330" s="93" t="str" cm="1">
        <f t="array" ref="E330">IF(D330&lt;&gt;"",IFERROR(VLOOKUP(D330,Codes!$K$2:$L$409,2,FALSE),"UNKNOWN - "&amp;D330),IF(C330="","",IFERROR(_xlfn.IFS(ISNUMBER(SEARCH("broken button",C330)),"Break",ISNUMBER(SEARCH("broken handle",C330)),"Break",ISNUMBER(SEARCH("shipping damage",C330)),"Break",ISNUMBER(SEARCH("broken",C330)),"Break",ISNUMBER(SEARCH("crack",C330)),"Break",ISNUMBER(SEARCH("snap",C330)),"Break",ISNUMBER(SEARCH("fracture",C330)),"Break",ISNUMBER(SEARCH("bent",C330)),"Material Twisted/Bent",ISNUMBER(SEARCH("twisted",C330)),"Material Twisted/Bent",ISNUMBER(SEARCH("component separat",C330)),"Material Separation",ISNUMBER(SEARCH("separat",C330)),"Material Separation",ISNUMBER(SEARCH("connection",C330)),"Loose or Intermittent Connection",ISNUMBER(SEARCH("loose",C330)),"Loose or Intermittent Connection",ISNUMBER(SEARCH("damaged packaging",C330)),"Packaging Problem",ISNUMBER(SEARCH("packaging",C330)),"Packaging Problem",ISNUMBER(SEARCH("discoloration",C330)),"Contamination",ISNUMBER(SEARCH("tarnish",C330)),"Contamination",ISNUMBER(SEARCH("stain",C330)),"Contamination",ISNUMBER(SEARCH("foreign material",C330)),"Contamination",ISNUMBER(SEARCH("contamina",C330)),"Contamination",ISNUMBER(SEARCH("overheat",C330)),"Overheating of Device",ISNUMBER(SEARCH("excessive heat",C330)),"Overheating of Device",ISNUMBER(SEARCH("hot",C330)),"Overheating of Device",ISNUMBER(SEARCH("noise",C330)),"Noise, Audible",ISNUMBER(SEARCH("sound",C330)),"Noise, Audible",ISNUMBER(SEARCH("loud",C330)),"Noise, Audible",ISNUMBER(SEARCH("fray",C330)),"Material Frayed",ISNUMBER(SEARCH("hole",C330)),"Material Frayed",ISNUMBER(SEARCH("tear",C330)),"Material Frayed",ISNUMBER(SEARCH("worn",C330)),"Material Frayed",ISNUMBER(SEARCH("intermittent",C330)),"Difficult or Delayed Activation",ISNUMBER(SEARCH("delay",C330)),"Difficult or Delayed Activation",ISNUMBER(SEARCH("label",C330)),"Device Markings/Labelling Problem",ISNUMBER(SEARCH("marking",C330)),"Device Markings/Labelling Problem",ISNUMBER(SEARCH("lacerat",C330)),"Defective Device",ISNUMBER(SEARCH("cut",C330)),"Defective Device",ISNUMBER(SEARCH("leak",C330)),"Fluid/Blood Leak",ISNUMBER(SEARCH("missing",C330)),"Component Missing",ISNUMBER(SEARCH("power",C330)),"Complete Loss of Power",ISNUMBER(SEARCH("will not turn on",C330)),"Complete Loss of Power",ISNUMBER(SEARCH("won't turn on",C330)),"Complete Loss of Power",ISNUMBER(SEARCH("does not turn on",C330)),"Complete Loss of Power",ISNUMBER(SEARCH("electrical",C330)),"Electrical Power Problem",ISNUMBER(SEARCH("pressure",C330)),"Detachment of Device or Device Component",ISNUMBER(SEARCH("slip",C330)),"Detachment of Device or Device Component",ISNUMBER(SEARCH("detach",C330)),"Detachment of Device or Device Component",ISNUMBER(SEARCH("stick",C330)),"Mechanical Jam",ISNUMBER(SEARCH("jam",C330)),"Mechanical Jam",ISNUMBER(SEARCH("rigid",C330)),"Mechanical Jam",ISNUMBER(SEARCH("rust",C330)),"Corroded",ISNUMBER(SEARCH("corrod",C330)),"Corroded",ISNUMBER(SEARCH("corrosion",C330)),"Corroded",ISNUMBER(SEARCH("alignment",C330)),"Defective Device",ISNUMBER(SEARCH("adjust",C330)),"Defective Device",ISNUMBER(SEARCH("perform",C330)),"Defective Device",ISNUMBER(SEARCH("malfunction",C330)),"Defective Device",ISNUMBER(SEARCH("defect",C330)),"Defective Device",ISNUMBER(SEARCH("fail",C330)),"Defective Device",ISNUMBER(SEARCH("not work",C330)),"Defective Device",ISNUMBER(SEARCH("doesn't work",C330)),"Defective Device",TRUE,"UNKNOWN"),"UNKNOWN")))</f>
        <v/>
      </c>
      <c r="F330" s="4" t="str">
        <f t="shared" si="5"/>
        <v/>
      </c>
      <c r="G330" s="363" t="str">
        <f>IF(E330="","",IFERROR(VLOOKUP(E330,Codes!$L$2:$N$409,3,FALSE),"—"))</f>
        <v/>
      </c>
      <c r="H330" s="88"/>
      <c r="I330" s="88"/>
    </row>
    <row r="331" spans="1:9" ht="13.15" x14ac:dyDescent="0.35">
      <c r="A331" s="434"/>
      <c r="B331" s="436"/>
      <c r="C331" s="437"/>
      <c r="D331" s="434"/>
      <c r="E331" s="93" t="str" cm="1">
        <f t="array" ref="E331">IF(D331&lt;&gt;"",IFERROR(VLOOKUP(D331,Codes!$K$2:$L$409,2,FALSE),"UNKNOWN - "&amp;D331),IF(C331="","",IFERROR(_xlfn.IFS(ISNUMBER(SEARCH("broken button",C331)),"Break",ISNUMBER(SEARCH("broken handle",C331)),"Break",ISNUMBER(SEARCH("shipping damage",C331)),"Break",ISNUMBER(SEARCH("broken",C331)),"Break",ISNUMBER(SEARCH("crack",C331)),"Break",ISNUMBER(SEARCH("snap",C331)),"Break",ISNUMBER(SEARCH("fracture",C331)),"Break",ISNUMBER(SEARCH("bent",C331)),"Material Twisted/Bent",ISNUMBER(SEARCH("twisted",C331)),"Material Twisted/Bent",ISNUMBER(SEARCH("component separat",C331)),"Material Separation",ISNUMBER(SEARCH("separat",C331)),"Material Separation",ISNUMBER(SEARCH("connection",C331)),"Loose or Intermittent Connection",ISNUMBER(SEARCH("loose",C331)),"Loose or Intermittent Connection",ISNUMBER(SEARCH("damaged packaging",C331)),"Packaging Problem",ISNUMBER(SEARCH("packaging",C331)),"Packaging Problem",ISNUMBER(SEARCH("discoloration",C331)),"Contamination",ISNUMBER(SEARCH("tarnish",C331)),"Contamination",ISNUMBER(SEARCH("stain",C331)),"Contamination",ISNUMBER(SEARCH("foreign material",C331)),"Contamination",ISNUMBER(SEARCH("contamina",C331)),"Contamination",ISNUMBER(SEARCH("overheat",C331)),"Overheating of Device",ISNUMBER(SEARCH("excessive heat",C331)),"Overheating of Device",ISNUMBER(SEARCH("hot",C331)),"Overheating of Device",ISNUMBER(SEARCH("noise",C331)),"Noise, Audible",ISNUMBER(SEARCH("sound",C331)),"Noise, Audible",ISNUMBER(SEARCH("loud",C331)),"Noise, Audible",ISNUMBER(SEARCH("fray",C331)),"Material Frayed",ISNUMBER(SEARCH("hole",C331)),"Material Frayed",ISNUMBER(SEARCH("tear",C331)),"Material Frayed",ISNUMBER(SEARCH("worn",C331)),"Material Frayed",ISNUMBER(SEARCH("intermittent",C331)),"Difficult or Delayed Activation",ISNUMBER(SEARCH("delay",C331)),"Difficult or Delayed Activation",ISNUMBER(SEARCH("label",C331)),"Device Markings/Labelling Problem",ISNUMBER(SEARCH("marking",C331)),"Device Markings/Labelling Problem",ISNUMBER(SEARCH("lacerat",C331)),"Defective Device",ISNUMBER(SEARCH("cut",C331)),"Defective Device",ISNUMBER(SEARCH("leak",C331)),"Fluid/Blood Leak",ISNUMBER(SEARCH("missing",C331)),"Component Missing",ISNUMBER(SEARCH("power",C331)),"Complete Loss of Power",ISNUMBER(SEARCH("will not turn on",C331)),"Complete Loss of Power",ISNUMBER(SEARCH("won't turn on",C331)),"Complete Loss of Power",ISNUMBER(SEARCH("does not turn on",C331)),"Complete Loss of Power",ISNUMBER(SEARCH("electrical",C331)),"Electrical Power Problem",ISNUMBER(SEARCH("pressure",C331)),"Detachment of Device or Device Component",ISNUMBER(SEARCH("slip",C331)),"Detachment of Device or Device Component",ISNUMBER(SEARCH("detach",C331)),"Detachment of Device or Device Component",ISNUMBER(SEARCH("stick",C331)),"Mechanical Jam",ISNUMBER(SEARCH("jam",C331)),"Mechanical Jam",ISNUMBER(SEARCH("rigid",C331)),"Mechanical Jam",ISNUMBER(SEARCH("rust",C331)),"Corroded",ISNUMBER(SEARCH("corrod",C331)),"Corroded",ISNUMBER(SEARCH("corrosion",C331)),"Corroded",ISNUMBER(SEARCH("alignment",C331)),"Defective Device",ISNUMBER(SEARCH("adjust",C331)),"Defective Device",ISNUMBER(SEARCH("perform",C331)),"Defective Device",ISNUMBER(SEARCH("malfunction",C331)),"Defective Device",ISNUMBER(SEARCH("defect",C331)),"Defective Device",ISNUMBER(SEARCH("fail",C331)),"Defective Device",ISNUMBER(SEARCH("not work",C331)),"Defective Device",ISNUMBER(SEARCH("doesn't work",C331)),"Defective Device",TRUE,"UNKNOWN"),"UNKNOWN")))</f>
        <v/>
      </c>
      <c r="F331" s="4" t="str">
        <f t="shared" si="5"/>
        <v/>
      </c>
      <c r="G331" s="363" t="str">
        <f>IF(E331="","",IFERROR(VLOOKUP(E331,Codes!$L$2:$N$409,3,FALSE),"—"))</f>
        <v/>
      </c>
      <c r="H331" s="88"/>
      <c r="I331" s="88"/>
    </row>
    <row r="332" spans="1:9" ht="13.15" x14ac:dyDescent="0.35">
      <c r="A332" s="435"/>
      <c r="B332" s="436"/>
      <c r="C332" s="440"/>
      <c r="D332" s="435"/>
      <c r="E332" s="93" t="str" cm="1">
        <f t="array" ref="E332">IF(D332&lt;&gt;"",IFERROR(VLOOKUP(D332,Codes!$K$2:$L$409,2,FALSE),"UNKNOWN - "&amp;D332),IF(C332="","",IFERROR(_xlfn.IFS(ISNUMBER(SEARCH("broken button",C332)),"Break",ISNUMBER(SEARCH("broken handle",C332)),"Break",ISNUMBER(SEARCH("shipping damage",C332)),"Break",ISNUMBER(SEARCH("broken",C332)),"Break",ISNUMBER(SEARCH("crack",C332)),"Break",ISNUMBER(SEARCH("snap",C332)),"Break",ISNUMBER(SEARCH("fracture",C332)),"Break",ISNUMBER(SEARCH("bent",C332)),"Material Twisted/Bent",ISNUMBER(SEARCH("twisted",C332)),"Material Twisted/Bent",ISNUMBER(SEARCH("component separat",C332)),"Material Separation",ISNUMBER(SEARCH("separat",C332)),"Material Separation",ISNUMBER(SEARCH("connection",C332)),"Loose or Intermittent Connection",ISNUMBER(SEARCH("loose",C332)),"Loose or Intermittent Connection",ISNUMBER(SEARCH("damaged packaging",C332)),"Packaging Problem",ISNUMBER(SEARCH("packaging",C332)),"Packaging Problem",ISNUMBER(SEARCH("discoloration",C332)),"Contamination",ISNUMBER(SEARCH("tarnish",C332)),"Contamination",ISNUMBER(SEARCH("stain",C332)),"Contamination",ISNUMBER(SEARCH("foreign material",C332)),"Contamination",ISNUMBER(SEARCH("contamina",C332)),"Contamination",ISNUMBER(SEARCH("overheat",C332)),"Overheating of Device",ISNUMBER(SEARCH("excessive heat",C332)),"Overheating of Device",ISNUMBER(SEARCH("hot",C332)),"Overheating of Device",ISNUMBER(SEARCH("noise",C332)),"Noise, Audible",ISNUMBER(SEARCH("sound",C332)),"Noise, Audible",ISNUMBER(SEARCH("loud",C332)),"Noise, Audible",ISNUMBER(SEARCH("fray",C332)),"Material Frayed",ISNUMBER(SEARCH("hole",C332)),"Material Frayed",ISNUMBER(SEARCH("tear",C332)),"Material Frayed",ISNUMBER(SEARCH("worn",C332)),"Material Frayed",ISNUMBER(SEARCH("intermittent",C332)),"Difficult or Delayed Activation",ISNUMBER(SEARCH("delay",C332)),"Difficult or Delayed Activation",ISNUMBER(SEARCH("label",C332)),"Device Markings/Labelling Problem",ISNUMBER(SEARCH("marking",C332)),"Device Markings/Labelling Problem",ISNUMBER(SEARCH("lacerat",C332)),"Defective Device",ISNUMBER(SEARCH("cut",C332)),"Defective Device",ISNUMBER(SEARCH("leak",C332)),"Fluid/Blood Leak",ISNUMBER(SEARCH("missing",C332)),"Component Missing",ISNUMBER(SEARCH("power",C332)),"Complete Loss of Power",ISNUMBER(SEARCH("will not turn on",C332)),"Complete Loss of Power",ISNUMBER(SEARCH("won't turn on",C332)),"Complete Loss of Power",ISNUMBER(SEARCH("does not turn on",C332)),"Complete Loss of Power",ISNUMBER(SEARCH("electrical",C332)),"Electrical Power Problem",ISNUMBER(SEARCH("pressure",C332)),"Detachment of Device or Device Component",ISNUMBER(SEARCH("slip",C332)),"Detachment of Device or Device Component",ISNUMBER(SEARCH("detach",C332)),"Detachment of Device or Device Component",ISNUMBER(SEARCH("stick",C332)),"Mechanical Jam",ISNUMBER(SEARCH("jam",C332)),"Mechanical Jam",ISNUMBER(SEARCH("rigid",C332)),"Mechanical Jam",ISNUMBER(SEARCH("rust",C332)),"Corroded",ISNUMBER(SEARCH("corrod",C332)),"Corroded",ISNUMBER(SEARCH("corrosion",C332)),"Corroded",ISNUMBER(SEARCH("alignment",C332)),"Defective Device",ISNUMBER(SEARCH("adjust",C332)),"Defective Device",ISNUMBER(SEARCH("perform",C332)),"Defective Device",ISNUMBER(SEARCH("malfunction",C332)),"Defective Device",ISNUMBER(SEARCH("defect",C332)),"Defective Device",ISNUMBER(SEARCH("fail",C332)),"Defective Device",ISNUMBER(SEARCH("not work",C332)),"Defective Device",ISNUMBER(SEARCH("doesn't work",C332)),"Defective Device",TRUE,"UNKNOWN"),"UNKNOWN")))</f>
        <v/>
      </c>
      <c r="F332" s="4" t="str">
        <f t="shared" si="5"/>
        <v/>
      </c>
      <c r="G332" s="363" t="str">
        <f>IF(E332="","",IFERROR(VLOOKUP(E332,Codes!$L$2:$N$409,3,FALSE),"—"))</f>
        <v/>
      </c>
      <c r="H332" s="88"/>
      <c r="I332" s="88"/>
    </row>
    <row r="333" spans="1:9" ht="13.15" x14ac:dyDescent="0.35">
      <c r="A333" s="435"/>
      <c r="B333" s="436"/>
      <c r="C333" s="438"/>
      <c r="D333" s="435"/>
      <c r="E333" s="93" t="str" cm="1">
        <f t="array" ref="E333">IF(D333&lt;&gt;"",IFERROR(VLOOKUP(D333,Codes!$K$2:$L$409,2,FALSE),"UNKNOWN - "&amp;D333),IF(C333="","",IFERROR(_xlfn.IFS(ISNUMBER(SEARCH("broken button",C333)),"Break",ISNUMBER(SEARCH("broken handle",C333)),"Break",ISNUMBER(SEARCH("shipping damage",C333)),"Break",ISNUMBER(SEARCH("broken",C333)),"Break",ISNUMBER(SEARCH("crack",C333)),"Break",ISNUMBER(SEARCH("snap",C333)),"Break",ISNUMBER(SEARCH("fracture",C333)),"Break",ISNUMBER(SEARCH("bent",C333)),"Material Twisted/Bent",ISNUMBER(SEARCH("twisted",C333)),"Material Twisted/Bent",ISNUMBER(SEARCH("component separat",C333)),"Material Separation",ISNUMBER(SEARCH("separat",C333)),"Material Separation",ISNUMBER(SEARCH("connection",C333)),"Loose or Intermittent Connection",ISNUMBER(SEARCH("loose",C333)),"Loose or Intermittent Connection",ISNUMBER(SEARCH("damaged packaging",C333)),"Packaging Problem",ISNUMBER(SEARCH("packaging",C333)),"Packaging Problem",ISNUMBER(SEARCH("discoloration",C333)),"Contamination",ISNUMBER(SEARCH("tarnish",C333)),"Contamination",ISNUMBER(SEARCH("stain",C333)),"Contamination",ISNUMBER(SEARCH("foreign material",C333)),"Contamination",ISNUMBER(SEARCH("contamina",C333)),"Contamination",ISNUMBER(SEARCH("overheat",C333)),"Overheating of Device",ISNUMBER(SEARCH("excessive heat",C333)),"Overheating of Device",ISNUMBER(SEARCH("hot",C333)),"Overheating of Device",ISNUMBER(SEARCH("noise",C333)),"Noise, Audible",ISNUMBER(SEARCH("sound",C333)),"Noise, Audible",ISNUMBER(SEARCH("loud",C333)),"Noise, Audible",ISNUMBER(SEARCH("fray",C333)),"Material Frayed",ISNUMBER(SEARCH("hole",C333)),"Material Frayed",ISNUMBER(SEARCH("tear",C333)),"Material Frayed",ISNUMBER(SEARCH("worn",C333)),"Material Frayed",ISNUMBER(SEARCH("intermittent",C333)),"Difficult or Delayed Activation",ISNUMBER(SEARCH("delay",C333)),"Difficult or Delayed Activation",ISNUMBER(SEARCH("label",C333)),"Device Markings/Labelling Problem",ISNUMBER(SEARCH("marking",C333)),"Device Markings/Labelling Problem",ISNUMBER(SEARCH("lacerat",C333)),"Defective Device",ISNUMBER(SEARCH("cut",C333)),"Defective Device",ISNUMBER(SEARCH("leak",C333)),"Fluid/Blood Leak",ISNUMBER(SEARCH("missing",C333)),"Component Missing",ISNUMBER(SEARCH("power",C333)),"Complete Loss of Power",ISNUMBER(SEARCH("will not turn on",C333)),"Complete Loss of Power",ISNUMBER(SEARCH("won't turn on",C333)),"Complete Loss of Power",ISNUMBER(SEARCH("does not turn on",C333)),"Complete Loss of Power",ISNUMBER(SEARCH("electrical",C333)),"Electrical Power Problem",ISNUMBER(SEARCH("pressure",C333)),"Detachment of Device or Device Component",ISNUMBER(SEARCH("slip",C333)),"Detachment of Device or Device Component",ISNUMBER(SEARCH("detach",C333)),"Detachment of Device or Device Component",ISNUMBER(SEARCH("stick",C333)),"Mechanical Jam",ISNUMBER(SEARCH("jam",C333)),"Mechanical Jam",ISNUMBER(SEARCH("rigid",C333)),"Mechanical Jam",ISNUMBER(SEARCH("rust",C333)),"Corroded",ISNUMBER(SEARCH("corrod",C333)),"Corroded",ISNUMBER(SEARCH("corrosion",C333)),"Corroded",ISNUMBER(SEARCH("alignment",C333)),"Defective Device",ISNUMBER(SEARCH("adjust",C333)),"Defective Device",ISNUMBER(SEARCH("perform",C333)),"Defective Device",ISNUMBER(SEARCH("malfunction",C333)),"Defective Device",ISNUMBER(SEARCH("defect",C333)),"Defective Device",ISNUMBER(SEARCH("fail",C333)),"Defective Device",ISNUMBER(SEARCH("not work",C333)),"Defective Device",ISNUMBER(SEARCH("doesn't work",C333)),"Defective Device",TRUE,"UNKNOWN"),"UNKNOWN")))</f>
        <v/>
      </c>
      <c r="F333" s="4" t="str">
        <f t="shared" si="5"/>
        <v/>
      </c>
      <c r="G333" s="363" t="str">
        <f>IF(E333="","",IFERROR(VLOOKUP(E333,Codes!$L$2:$N$409,3,FALSE),"—"))</f>
        <v/>
      </c>
      <c r="H333" s="88"/>
      <c r="I333" s="88"/>
    </row>
    <row r="334" spans="1:9" ht="13.15" x14ac:dyDescent="0.35">
      <c r="A334" s="434"/>
      <c r="B334" s="436"/>
      <c r="C334" s="437"/>
      <c r="D334" s="434"/>
      <c r="E334" s="93" t="str" cm="1">
        <f t="array" ref="E334">IF(D334&lt;&gt;"",IFERROR(VLOOKUP(D334,Codes!$K$2:$L$409,2,FALSE),"UNKNOWN - "&amp;D334),IF(C334="","",IFERROR(_xlfn.IFS(ISNUMBER(SEARCH("broken button",C334)),"Break",ISNUMBER(SEARCH("broken handle",C334)),"Break",ISNUMBER(SEARCH("shipping damage",C334)),"Break",ISNUMBER(SEARCH("broken",C334)),"Break",ISNUMBER(SEARCH("crack",C334)),"Break",ISNUMBER(SEARCH("snap",C334)),"Break",ISNUMBER(SEARCH("fracture",C334)),"Break",ISNUMBER(SEARCH("bent",C334)),"Material Twisted/Bent",ISNUMBER(SEARCH("twisted",C334)),"Material Twisted/Bent",ISNUMBER(SEARCH("component separat",C334)),"Material Separation",ISNUMBER(SEARCH("separat",C334)),"Material Separation",ISNUMBER(SEARCH("connection",C334)),"Loose or Intermittent Connection",ISNUMBER(SEARCH("loose",C334)),"Loose or Intermittent Connection",ISNUMBER(SEARCH("damaged packaging",C334)),"Packaging Problem",ISNUMBER(SEARCH("packaging",C334)),"Packaging Problem",ISNUMBER(SEARCH("discoloration",C334)),"Contamination",ISNUMBER(SEARCH("tarnish",C334)),"Contamination",ISNUMBER(SEARCH("stain",C334)),"Contamination",ISNUMBER(SEARCH("foreign material",C334)),"Contamination",ISNUMBER(SEARCH("contamina",C334)),"Contamination",ISNUMBER(SEARCH("overheat",C334)),"Overheating of Device",ISNUMBER(SEARCH("excessive heat",C334)),"Overheating of Device",ISNUMBER(SEARCH("hot",C334)),"Overheating of Device",ISNUMBER(SEARCH("noise",C334)),"Noise, Audible",ISNUMBER(SEARCH("sound",C334)),"Noise, Audible",ISNUMBER(SEARCH("loud",C334)),"Noise, Audible",ISNUMBER(SEARCH("fray",C334)),"Material Frayed",ISNUMBER(SEARCH("hole",C334)),"Material Frayed",ISNUMBER(SEARCH("tear",C334)),"Material Frayed",ISNUMBER(SEARCH("worn",C334)),"Material Frayed",ISNUMBER(SEARCH("intermittent",C334)),"Difficult or Delayed Activation",ISNUMBER(SEARCH("delay",C334)),"Difficult or Delayed Activation",ISNUMBER(SEARCH("label",C334)),"Device Markings/Labelling Problem",ISNUMBER(SEARCH("marking",C334)),"Device Markings/Labelling Problem",ISNUMBER(SEARCH("lacerat",C334)),"Defective Device",ISNUMBER(SEARCH("cut",C334)),"Defective Device",ISNUMBER(SEARCH("leak",C334)),"Fluid/Blood Leak",ISNUMBER(SEARCH("missing",C334)),"Component Missing",ISNUMBER(SEARCH("power",C334)),"Complete Loss of Power",ISNUMBER(SEARCH("will not turn on",C334)),"Complete Loss of Power",ISNUMBER(SEARCH("won't turn on",C334)),"Complete Loss of Power",ISNUMBER(SEARCH("does not turn on",C334)),"Complete Loss of Power",ISNUMBER(SEARCH("electrical",C334)),"Electrical Power Problem",ISNUMBER(SEARCH("pressure",C334)),"Detachment of Device or Device Component",ISNUMBER(SEARCH("slip",C334)),"Detachment of Device or Device Component",ISNUMBER(SEARCH("detach",C334)),"Detachment of Device or Device Component",ISNUMBER(SEARCH("stick",C334)),"Mechanical Jam",ISNUMBER(SEARCH("jam",C334)),"Mechanical Jam",ISNUMBER(SEARCH("rigid",C334)),"Mechanical Jam",ISNUMBER(SEARCH("rust",C334)),"Corroded",ISNUMBER(SEARCH("corrod",C334)),"Corroded",ISNUMBER(SEARCH("corrosion",C334)),"Corroded",ISNUMBER(SEARCH("alignment",C334)),"Defective Device",ISNUMBER(SEARCH("adjust",C334)),"Defective Device",ISNUMBER(SEARCH("perform",C334)),"Defective Device",ISNUMBER(SEARCH("malfunction",C334)),"Defective Device",ISNUMBER(SEARCH("defect",C334)),"Defective Device",ISNUMBER(SEARCH("fail",C334)),"Defective Device",ISNUMBER(SEARCH("not work",C334)),"Defective Device",ISNUMBER(SEARCH("doesn't work",C334)),"Defective Device",TRUE,"UNKNOWN"),"UNKNOWN")))</f>
        <v/>
      </c>
      <c r="F334" s="4" t="str">
        <f t="shared" si="5"/>
        <v/>
      </c>
      <c r="G334" s="363" t="str">
        <f>IF(E334="","",IFERROR(VLOOKUP(E334,Codes!$L$2:$N$409,3,FALSE),"—"))</f>
        <v/>
      </c>
      <c r="H334" s="88"/>
      <c r="I334" s="88"/>
    </row>
    <row r="335" spans="1:9" ht="13.15" x14ac:dyDescent="0.35">
      <c r="A335" s="434"/>
      <c r="B335" s="436"/>
      <c r="C335" s="437"/>
      <c r="D335" s="434"/>
      <c r="E335" s="93" t="str" cm="1">
        <f t="array" ref="E335">IF(D335&lt;&gt;"",IFERROR(VLOOKUP(D335,Codes!$K$2:$L$409,2,FALSE),"UNKNOWN - "&amp;D335),IF(C335="","",IFERROR(_xlfn.IFS(ISNUMBER(SEARCH("broken button",C335)),"Break",ISNUMBER(SEARCH("broken handle",C335)),"Break",ISNUMBER(SEARCH("shipping damage",C335)),"Break",ISNUMBER(SEARCH("broken",C335)),"Break",ISNUMBER(SEARCH("crack",C335)),"Break",ISNUMBER(SEARCH("snap",C335)),"Break",ISNUMBER(SEARCH("fracture",C335)),"Break",ISNUMBER(SEARCH("bent",C335)),"Material Twisted/Bent",ISNUMBER(SEARCH("twisted",C335)),"Material Twisted/Bent",ISNUMBER(SEARCH("component separat",C335)),"Material Separation",ISNUMBER(SEARCH("separat",C335)),"Material Separation",ISNUMBER(SEARCH("connection",C335)),"Loose or Intermittent Connection",ISNUMBER(SEARCH("loose",C335)),"Loose or Intermittent Connection",ISNUMBER(SEARCH("damaged packaging",C335)),"Packaging Problem",ISNUMBER(SEARCH("packaging",C335)),"Packaging Problem",ISNUMBER(SEARCH("discoloration",C335)),"Contamination",ISNUMBER(SEARCH("tarnish",C335)),"Contamination",ISNUMBER(SEARCH("stain",C335)),"Contamination",ISNUMBER(SEARCH("foreign material",C335)),"Contamination",ISNUMBER(SEARCH("contamina",C335)),"Contamination",ISNUMBER(SEARCH("overheat",C335)),"Overheating of Device",ISNUMBER(SEARCH("excessive heat",C335)),"Overheating of Device",ISNUMBER(SEARCH("hot",C335)),"Overheating of Device",ISNUMBER(SEARCH("noise",C335)),"Noise, Audible",ISNUMBER(SEARCH("sound",C335)),"Noise, Audible",ISNUMBER(SEARCH("loud",C335)),"Noise, Audible",ISNUMBER(SEARCH("fray",C335)),"Material Frayed",ISNUMBER(SEARCH("hole",C335)),"Material Frayed",ISNUMBER(SEARCH("tear",C335)),"Material Frayed",ISNUMBER(SEARCH("worn",C335)),"Material Frayed",ISNUMBER(SEARCH("intermittent",C335)),"Difficult or Delayed Activation",ISNUMBER(SEARCH("delay",C335)),"Difficult or Delayed Activation",ISNUMBER(SEARCH("label",C335)),"Device Markings/Labelling Problem",ISNUMBER(SEARCH("marking",C335)),"Device Markings/Labelling Problem",ISNUMBER(SEARCH("lacerat",C335)),"Defective Device",ISNUMBER(SEARCH("cut",C335)),"Defective Device",ISNUMBER(SEARCH("leak",C335)),"Fluid/Blood Leak",ISNUMBER(SEARCH("missing",C335)),"Component Missing",ISNUMBER(SEARCH("power",C335)),"Complete Loss of Power",ISNUMBER(SEARCH("will not turn on",C335)),"Complete Loss of Power",ISNUMBER(SEARCH("won't turn on",C335)),"Complete Loss of Power",ISNUMBER(SEARCH("does not turn on",C335)),"Complete Loss of Power",ISNUMBER(SEARCH("electrical",C335)),"Electrical Power Problem",ISNUMBER(SEARCH("pressure",C335)),"Detachment of Device or Device Component",ISNUMBER(SEARCH("slip",C335)),"Detachment of Device or Device Component",ISNUMBER(SEARCH("detach",C335)),"Detachment of Device or Device Component",ISNUMBER(SEARCH("stick",C335)),"Mechanical Jam",ISNUMBER(SEARCH("jam",C335)),"Mechanical Jam",ISNUMBER(SEARCH("rigid",C335)),"Mechanical Jam",ISNUMBER(SEARCH("rust",C335)),"Corroded",ISNUMBER(SEARCH("corrod",C335)),"Corroded",ISNUMBER(SEARCH("corrosion",C335)),"Corroded",ISNUMBER(SEARCH("alignment",C335)),"Defective Device",ISNUMBER(SEARCH("adjust",C335)),"Defective Device",ISNUMBER(SEARCH("perform",C335)),"Defective Device",ISNUMBER(SEARCH("malfunction",C335)),"Defective Device",ISNUMBER(SEARCH("defect",C335)),"Defective Device",ISNUMBER(SEARCH("fail",C335)),"Defective Device",ISNUMBER(SEARCH("not work",C335)),"Defective Device",ISNUMBER(SEARCH("doesn't work",C335)),"Defective Device",TRUE,"UNKNOWN"),"UNKNOWN")))</f>
        <v/>
      </c>
      <c r="F335" s="4" t="str">
        <f t="shared" si="5"/>
        <v/>
      </c>
      <c r="G335" s="363" t="str">
        <f>IF(E335="","",IFERROR(VLOOKUP(E335,Codes!$L$2:$N$409,3,FALSE),"—"))</f>
        <v/>
      </c>
      <c r="H335" s="88"/>
      <c r="I335" s="88"/>
    </row>
    <row r="336" spans="1:9" ht="13.15" x14ac:dyDescent="0.35">
      <c r="A336" s="434"/>
      <c r="B336" s="436"/>
      <c r="C336" s="437"/>
      <c r="D336" s="434"/>
      <c r="E336" s="93" t="str" cm="1">
        <f t="array" ref="E336">IF(D336&lt;&gt;"",IFERROR(VLOOKUP(D336,Codes!$K$2:$L$409,2,FALSE),"UNKNOWN - "&amp;D336),IF(C336="","",IFERROR(_xlfn.IFS(ISNUMBER(SEARCH("broken button",C336)),"Break",ISNUMBER(SEARCH("broken handle",C336)),"Break",ISNUMBER(SEARCH("shipping damage",C336)),"Break",ISNUMBER(SEARCH("broken",C336)),"Break",ISNUMBER(SEARCH("crack",C336)),"Break",ISNUMBER(SEARCH("snap",C336)),"Break",ISNUMBER(SEARCH("fracture",C336)),"Break",ISNUMBER(SEARCH("bent",C336)),"Material Twisted/Bent",ISNUMBER(SEARCH("twisted",C336)),"Material Twisted/Bent",ISNUMBER(SEARCH("component separat",C336)),"Material Separation",ISNUMBER(SEARCH("separat",C336)),"Material Separation",ISNUMBER(SEARCH("connection",C336)),"Loose or Intermittent Connection",ISNUMBER(SEARCH("loose",C336)),"Loose or Intermittent Connection",ISNUMBER(SEARCH("damaged packaging",C336)),"Packaging Problem",ISNUMBER(SEARCH("packaging",C336)),"Packaging Problem",ISNUMBER(SEARCH("discoloration",C336)),"Contamination",ISNUMBER(SEARCH("tarnish",C336)),"Contamination",ISNUMBER(SEARCH("stain",C336)),"Contamination",ISNUMBER(SEARCH("foreign material",C336)),"Contamination",ISNUMBER(SEARCH("contamina",C336)),"Contamination",ISNUMBER(SEARCH("overheat",C336)),"Overheating of Device",ISNUMBER(SEARCH("excessive heat",C336)),"Overheating of Device",ISNUMBER(SEARCH("hot",C336)),"Overheating of Device",ISNUMBER(SEARCH("noise",C336)),"Noise, Audible",ISNUMBER(SEARCH("sound",C336)),"Noise, Audible",ISNUMBER(SEARCH("loud",C336)),"Noise, Audible",ISNUMBER(SEARCH("fray",C336)),"Material Frayed",ISNUMBER(SEARCH("hole",C336)),"Material Frayed",ISNUMBER(SEARCH("tear",C336)),"Material Frayed",ISNUMBER(SEARCH("worn",C336)),"Material Frayed",ISNUMBER(SEARCH("intermittent",C336)),"Difficult or Delayed Activation",ISNUMBER(SEARCH("delay",C336)),"Difficult or Delayed Activation",ISNUMBER(SEARCH("label",C336)),"Device Markings/Labelling Problem",ISNUMBER(SEARCH("marking",C336)),"Device Markings/Labelling Problem",ISNUMBER(SEARCH("lacerat",C336)),"Defective Device",ISNUMBER(SEARCH("cut",C336)),"Defective Device",ISNUMBER(SEARCH("leak",C336)),"Fluid/Blood Leak",ISNUMBER(SEARCH("missing",C336)),"Component Missing",ISNUMBER(SEARCH("power",C336)),"Complete Loss of Power",ISNUMBER(SEARCH("will not turn on",C336)),"Complete Loss of Power",ISNUMBER(SEARCH("won't turn on",C336)),"Complete Loss of Power",ISNUMBER(SEARCH("does not turn on",C336)),"Complete Loss of Power",ISNUMBER(SEARCH("electrical",C336)),"Electrical Power Problem",ISNUMBER(SEARCH("pressure",C336)),"Detachment of Device or Device Component",ISNUMBER(SEARCH("slip",C336)),"Detachment of Device or Device Component",ISNUMBER(SEARCH("detach",C336)),"Detachment of Device or Device Component",ISNUMBER(SEARCH("stick",C336)),"Mechanical Jam",ISNUMBER(SEARCH("jam",C336)),"Mechanical Jam",ISNUMBER(SEARCH("rigid",C336)),"Mechanical Jam",ISNUMBER(SEARCH("rust",C336)),"Corroded",ISNUMBER(SEARCH("corrod",C336)),"Corroded",ISNUMBER(SEARCH("corrosion",C336)),"Corroded",ISNUMBER(SEARCH("alignment",C336)),"Defective Device",ISNUMBER(SEARCH("adjust",C336)),"Defective Device",ISNUMBER(SEARCH("perform",C336)),"Defective Device",ISNUMBER(SEARCH("malfunction",C336)),"Defective Device",ISNUMBER(SEARCH("defect",C336)),"Defective Device",ISNUMBER(SEARCH("fail",C336)),"Defective Device",ISNUMBER(SEARCH("not work",C336)),"Defective Device",ISNUMBER(SEARCH("doesn't work",C336)),"Defective Device",TRUE,"UNKNOWN"),"UNKNOWN")))</f>
        <v/>
      </c>
      <c r="F336" s="4" t="str">
        <f t="shared" si="5"/>
        <v/>
      </c>
      <c r="G336" s="363" t="str">
        <f>IF(E336="","",IFERROR(VLOOKUP(E336,Codes!$L$2:$N$409,3,FALSE),"—"))</f>
        <v/>
      </c>
      <c r="H336" s="88"/>
      <c r="I336" s="88"/>
    </row>
    <row r="337" spans="1:9" ht="13.15" x14ac:dyDescent="0.35">
      <c r="A337" s="435"/>
      <c r="B337" s="436"/>
      <c r="C337" s="440"/>
      <c r="D337" s="435"/>
      <c r="E337" s="93" t="str" cm="1">
        <f t="array" ref="E337">IF(D337&lt;&gt;"",IFERROR(VLOOKUP(D337,Codes!$K$2:$L$409,2,FALSE),"UNKNOWN - "&amp;D337),IF(C337="","",IFERROR(_xlfn.IFS(ISNUMBER(SEARCH("broken button",C337)),"Break",ISNUMBER(SEARCH("broken handle",C337)),"Break",ISNUMBER(SEARCH("shipping damage",C337)),"Break",ISNUMBER(SEARCH("broken",C337)),"Break",ISNUMBER(SEARCH("crack",C337)),"Break",ISNUMBER(SEARCH("snap",C337)),"Break",ISNUMBER(SEARCH("fracture",C337)),"Break",ISNUMBER(SEARCH("bent",C337)),"Material Twisted/Bent",ISNUMBER(SEARCH("twisted",C337)),"Material Twisted/Bent",ISNUMBER(SEARCH("component separat",C337)),"Material Separation",ISNUMBER(SEARCH("separat",C337)),"Material Separation",ISNUMBER(SEARCH("connection",C337)),"Loose or Intermittent Connection",ISNUMBER(SEARCH("loose",C337)),"Loose or Intermittent Connection",ISNUMBER(SEARCH("damaged packaging",C337)),"Packaging Problem",ISNUMBER(SEARCH("packaging",C337)),"Packaging Problem",ISNUMBER(SEARCH("discoloration",C337)),"Contamination",ISNUMBER(SEARCH("tarnish",C337)),"Contamination",ISNUMBER(SEARCH("stain",C337)),"Contamination",ISNUMBER(SEARCH("foreign material",C337)),"Contamination",ISNUMBER(SEARCH("contamina",C337)),"Contamination",ISNUMBER(SEARCH("overheat",C337)),"Overheating of Device",ISNUMBER(SEARCH("excessive heat",C337)),"Overheating of Device",ISNUMBER(SEARCH("hot",C337)),"Overheating of Device",ISNUMBER(SEARCH("noise",C337)),"Noise, Audible",ISNUMBER(SEARCH("sound",C337)),"Noise, Audible",ISNUMBER(SEARCH("loud",C337)),"Noise, Audible",ISNUMBER(SEARCH("fray",C337)),"Material Frayed",ISNUMBER(SEARCH("hole",C337)),"Material Frayed",ISNUMBER(SEARCH("tear",C337)),"Material Frayed",ISNUMBER(SEARCH("worn",C337)),"Material Frayed",ISNUMBER(SEARCH("intermittent",C337)),"Difficult or Delayed Activation",ISNUMBER(SEARCH("delay",C337)),"Difficult or Delayed Activation",ISNUMBER(SEARCH("label",C337)),"Device Markings/Labelling Problem",ISNUMBER(SEARCH("marking",C337)),"Device Markings/Labelling Problem",ISNUMBER(SEARCH("lacerat",C337)),"Defective Device",ISNUMBER(SEARCH("cut",C337)),"Defective Device",ISNUMBER(SEARCH("leak",C337)),"Fluid/Blood Leak",ISNUMBER(SEARCH("missing",C337)),"Component Missing",ISNUMBER(SEARCH("power",C337)),"Complete Loss of Power",ISNUMBER(SEARCH("will not turn on",C337)),"Complete Loss of Power",ISNUMBER(SEARCH("won't turn on",C337)),"Complete Loss of Power",ISNUMBER(SEARCH("does not turn on",C337)),"Complete Loss of Power",ISNUMBER(SEARCH("electrical",C337)),"Electrical Power Problem",ISNUMBER(SEARCH("pressure",C337)),"Detachment of Device or Device Component",ISNUMBER(SEARCH("slip",C337)),"Detachment of Device or Device Component",ISNUMBER(SEARCH("detach",C337)),"Detachment of Device or Device Component",ISNUMBER(SEARCH("stick",C337)),"Mechanical Jam",ISNUMBER(SEARCH("jam",C337)),"Mechanical Jam",ISNUMBER(SEARCH("rigid",C337)),"Mechanical Jam",ISNUMBER(SEARCH("rust",C337)),"Corroded",ISNUMBER(SEARCH("corrod",C337)),"Corroded",ISNUMBER(SEARCH("corrosion",C337)),"Corroded",ISNUMBER(SEARCH("alignment",C337)),"Defective Device",ISNUMBER(SEARCH("adjust",C337)),"Defective Device",ISNUMBER(SEARCH("perform",C337)),"Defective Device",ISNUMBER(SEARCH("malfunction",C337)),"Defective Device",ISNUMBER(SEARCH("defect",C337)),"Defective Device",ISNUMBER(SEARCH("fail",C337)),"Defective Device",ISNUMBER(SEARCH("not work",C337)),"Defective Device",ISNUMBER(SEARCH("doesn't work",C337)),"Defective Device",TRUE,"UNKNOWN"),"UNKNOWN")))</f>
        <v/>
      </c>
      <c r="F337" s="4" t="str">
        <f t="shared" si="5"/>
        <v/>
      </c>
      <c r="G337" s="363" t="str">
        <f>IF(E337="","",IFERROR(VLOOKUP(E337,Codes!$L$2:$N$409,3,FALSE),"—"))</f>
        <v/>
      </c>
      <c r="H337" s="88"/>
      <c r="I337" s="88"/>
    </row>
    <row r="338" spans="1:9" ht="13.15" x14ac:dyDescent="0.35">
      <c r="A338" s="435"/>
      <c r="B338" s="436"/>
      <c r="C338" s="438"/>
      <c r="D338" s="435"/>
      <c r="E338" s="93" t="str" cm="1">
        <f t="array" ref="E338">IF(D338&lt;&gt;"",IFERROR(VLOOKUP(D338,Codes!$K$2:$L$409,2,FALSE),"UNKNOWN - "&amp;D338),IF(C338="","",IFERROR(_xlfn.IFS(ISNUMBER(SEARCH("broken button",C338)),"Break",ISNUMBER(SEARCH("broken handle",C338)),"Break",ISNUMBER(SEARCH("shipping damage",C338)),"Break",ISNUMBER(SEARCH("broken",C338)),"Break",ISNUMBER(SEARCH("crack",C338)),"Break",ISNUMBER(SEARCH("snap",C338)),"Break",ISNUMBER(SEARCH("fracture",C338)),"Break",ISNUMBER(SEARCH("bent",C338)),"Material Twisted/Bent",ISNUMBER(SEARCH("twisted",C338)),"Material Twisted/Bent",ISNUMBER(SEARCH("component separat",C338)),"Material Separation",ISNUMBER(SEARCH("separat",C338)),"Material Separation",ISNUMBER(SEARCH("connection",C338)),"Loose or Intermittent Connection",ISNUMBER(SEARCH("loose",C338)),"Loose or Intermittent Connection",ISNUMBER(SEARCH("damaged packaging",C338)),"Packaging Problem",ISNUMBER(SEARCH("packaging",C338)),"Packaging Problem",ISNUMBER(SEARCH("discoloration",C338)),"Contamination",ISNUMBER(SEARCH("tarnish",C338)),"Contamination",ISNUMBER(SEARCH("stain",C338)),"Contamination",ISNUMBER(SEARCH("foreign material",C338)),"Contamination",ISNUMBER(SEARCH("contamina",C338)),"Contamination",ISNUMBER(SEARCH("overheat",C338)),"Overheating of Device",ISNUMBER(SEARCH("excessive heat",C338)),"Overheating of Device",ISNUMBER(SEARCH("hot",C338)),"Overheating of Device",ISNUMBER(SEARCH("noise",C338)),"Noise, Audible",ISNUMBER(SEARCH("sound",C338)),"Noise, Audible",ISNUMBER(SEARCH("loud",C338)),"Noise, Audible",ISNUMBER(SEARCH("fray",C338)),"Material Frayed",ISNUMBER(SEARCH("hole",C338)),"Material Frayed",ISNUMBER(SEARCH("tear",C338)),"Material Frayed",ISNUMBER(SEARCH("worn",C338)),"Material Frayed",ISNUMBER(SEARCH("intermittent",C338)),"Difficult or Delayed Activation",ISNUMBER(SEARCH("delay",C338)),"Difficult or Delayed Activation",ISNUMBER(SEARCH("label",C338)),"Device Markings/Labelling Problem",ISNUMBER(SEARCH("marking",C338)),"Device Markings/Labelling Problem",ISNUMBER(SEARCH("lacerat",C338)),"Defective Device",ISNUMBER(SEARCH("cut",C338)),"Defective Device",ISNUMBER(SEARCH("leak",C338)),"Fluid/Blood Leak",ISNUMBER(SEARCH("missing",C338)),"Component Missing",ISNUMBER(SEARCH("power",C338)),"Complete Loss of Power",ISNUMBER(SEARCH("will not turn on",C338)),"Complete Loss of Power",ISNUMBER(SEARCH("won't turn on",C338)),"Complete Loss of Power",ISNUMBER(SEARCH("does not turn on",C338)),"Complete Loss of Power",ISNUMBER(SEARCH("electrical",C338)),"Electrical Power Problem",ISNUMBER(SEARCH("pressure",C338)),"Detachment of Device or Device Component",ISNUMBER(SEARCH("slip",C338)),"Detachment of Device or Device Component",ISNUMBER(SEARCH("detach",C338)),"Detachment of Device or Device Component",ISNUMBER(SEARCH("stick",C338)),"Mechanical Jam",ISNUMBER(SEARCH("jam",C338)),"Mechanical Jam",ISNUMBER(SEARCH("rigid",C338)),"Mechanical Jam",ISNUMBER(SEARCH("rust",C338)),"Corroded",ISNUMBER(SEARCH("corrod",C338)),"Corroded",ISNUMBER(SEARCH("corrosion",C338)),"Corroded",ISNUMBER(SEARCH("alignment",C338)),"Defective Device",ISNUMBER(SEARCH("adjust",C338)),"Defective Device",ISNUMBER(SEARCH("perform",C338)),"Defective Device",ISNUMBER(SEARCH("malfunction",C338)),"Defective Device",ISNUMBER(SEARCH("defect",C338)),"Defective Device",ISNUMBER(SEARCH("fail",C338)),"Defective Device",ISNUMBER(SEARCH("not work",C338)),"Defective Device",ISNUMBER(SEARCH("doesn't work",C338)),"Defective Device",TRUE,"UNKNOWN"),"UNKNOWN")))</f>
        <v/>
      </c>
      <c r="F338" s="4" t="str">
        <f t="shared" si="5"/>
        <v/>
      </c>
      <c r="G338" s="363" t="str">
        <f>IF(E338="","",IFERROR(VLOOKUP(E338,Codes!$L$2:$N$409,3,FALSE),"—"))</f>
        <v/>
      </c>
      <c r="H338" s="88"/>
      <c r="I338" s="88"/>
    </row>
    <row r="339" spans="1:9" ht="13.15" x14ac:dyDescent="0.35">
      <c r="A339" s="434"/>
      <c r="B339" s="436"/>
      <c r="C339" s="437"/>
      <c r="D339" s="434"/>
      <c r="E339" s="93" t="str" cm="1">
        <f t="array" ref="E339">IF(D339&lt;&gt;"",IFERROR(VLOOKUP(D339,Codes!$K$2:$L$409,2,FALSE),"UNKNOWN - "&amp;D339),IF(C339="","",IFERROR(_xlfn.IFS(ISNUMBER(SEARCH("broken button",C339)),"Break",ISNUMBER(SEARCH("broken handle",C339)),"Break",ISNUMBER(SEARCH("shipping damage",C339)),"Break",ISNUMBER(SEARCH("broken",C339)),"Break",ISNUMBER(SEARCH("crack",C339)),"Break",ISNUMBER(SEARCH("snap",C339)),"Break",ISNUMBER(SEARCH("fracture",C339)),"Break",ISNUMBER(SEARCH("bent",C339)),"Material Twisted/Bent",ISNUMBER(SEARCH("twisted",C339)),"Material Twisted/Bent",ISNUMBER(SEARCH("component separat",C339)),"Material Separation",ISNUMBER(SEARCH("separat",C339)),"Material Separation",ISNUMBER(SEARCH("connection",C339)),"Loose or Intermittent Connection",ISNUMBER(SEARCH("loose",C339)),"Loose or Intermittent Connection",ISNUMBER(SEARCH("damaged packaging",C339)),"Packaging Problem",ISNUMBER(SEARCH("packaging",C339)),"Packaging Problem",ISNUMBER(SEARCH("discoloration",C339)),"Contamination",ISNUMBER(SEARCH("tarnish",C339)),"Contamination",ISNUMBER(SEARCH("stain",C339)),"Contamination",ISNUMBER(SEARCH("foreign material",C339)),"Contamination",ISNUMBER(SEARCH("contamina",C339)),"Contamination",ISNUMBER(SEARCH("overheat",C339)),"Overheating of Device",ISNUMBER(SEARCH("excessive heat",C339)),"Overheating of Device",ISNUMBER(SEARCH("hot",C339)),"Overheating of Device",ISNUMBER(SEARCH("noise",C339)),"Noise, Audible",ISNUMBER(SEARCH("sound",C339)),"Noise, Audible",ISNUMBER(SEARCH("loud",C339)),"Noise, Audible",ISNUMBER(SEARCH("fray",C339)),"Material Frayed",ISNUMBER(SEARCH("hole",C339)),"Material Frayed",ISNUMBER(SEARCH("tear",C339)),"Material Frayed",ISNUMBER(SEARCH("worn",C339)),"Material Frayed",ISNUMBER(SEARCH("intermittent",C339)),"Difficult or Delayed Activation",ISNUMBER(SEARCH("delay",C339)),"Difficult or Delayed Activation",ISNUMBER(SEARCH("label",C339)),"Device Markings/Labelling Problem",ISNUMBER(SEARCH("marking",C339)),"Device Markings/Labelling Problem",ISNUMBER(SEARCH("lacerat",C339)),"Defective Device",ISNUMBER(SEARCH("cut",C339)),"Defective Device",ISNUMBER(SEARCH("leak",C339)),"Fluid/Blood Leak",ISNUMBER(SEARCH("missing",C339)),"Component Missing",ISNUMBER(SEARCH("power",C339)),"Complete Loss of Power",ISNUMBER(SEARCH("will not turn on",C339)),"Complete Loss of Power",ISNUMBER(SEARCH("won't turn on",C339)),"Complete Loss of Power",ISNUMBER(SEARCH("does not turn on",C339)),"Complete Loss of Power",ISNUMBER(SEARCH("electrical",C339)),"Electrical Power Problem",ISNUMBER(SEARCH("pressure",C339)),"Detachment of Device or Device Component",ISNUMBER(SEARCH("slip",C339)),"Detachment of Device or Device Component",ISNUMBER(SEARCH("detach",C339)),"Detachment of Device or Device Component",ISNUMBER(SEARCH("stick",C339)),"Mechanical Jam",ISNUMBER(SEARCH("jam",C339)),"Mechanical Jam",ISNUMBER(SEARCH("rigid",C339)),"Mechanical Jam",ISNUMBER(SEARCH("rust",C339)),"Corroded",ISNUMBER(SEARCH("corrod",C339)),"Corroded",ISNUMBER(SEARCH("corrosion",C339)),"Corroded",ISNUMBER(SEARCH("alignment",C339)),"Defective Device",ISNUMBER(SEARCH("adjust",C339)),"Defective Device",ISNUMBER(SEARCH("perform",C339)),"Defective Device",ISNUMBER(SEARCH("malfunction",C339)),"Defective Device",ISNUMBER(SEARCH("defect",C339)),"Defective Device",ISNUMBER(SEARCH("fail",C339)),"Defective Device",ISNUMBER(SEARCH("not work",C339)),"Defective Device",ISNUMBER(SEARCH("doesn't work",C339)),"Defective Device",TRUE,"UNKNOWN"),"UNKNOWN")))</f>
        <v/>
      </c>
      <c r="F339" s="4" t="str">
        <f t="shared" si="5"/>
        <v/>
      </c>
      <c r="G339" s="363" t="str">
        <f>IF(E339="","",IFERROR(VLOOKUP(E339,Codes!$L$2:$N$409,3,FALSE),"—"))</f>
        <v/>
      </c>
      <c r="H339" s="88"/>
      <c r="I339" s="88"/>
    </row>
    <row r="340" spans="1:9" ht="13.15" x14ac:dyDescent="0.35">
      <c r="A340" s="435"/>
      <c r="B340" s="436"/>
      <c r="C340" s="438"/>
      <c r="D340" s="435"/>
      <c r="E340" s="93" t="str" cm="1">
        <f t="array" ref="E340">IF(D340&lt;&gt;"",IFERROR(VLOOKUP(D340,Codes!$K$2:$L$409,2,FALSE),"UNKNOWN - "&amp;D340),IF(C340="","",IFERROR(_xlfn.IFS(ISNUMBER(SEARCH("broken button",C340)),"Break",ISNUMBER(SEARCH("broken handle",C340)),"Break",ISNUMBER(SEARCH("shipping damage",C340)),"Break",ISNUMBER(SEARCH("broken",C340)),"Break",ISNUMBER(SEARCH("crack",C340)),"Break",ISNUMBER(SEARCH("snap",C340)),"Break",ISNUMBER(SEARCH("fracture",C340)),"Break",ISNUMBER(SEARCH("bent",C340)),"Material Twisted/Bent",ISNUMBER(SEARCH("twisted",C340)),"Material Twisted/Bent",ISNUMBER(SEARCH("component separat",C340)),"Material Separation",ISNUMBER(SEARCH("separat",C340)),"Material Separation",ISNUMBER(SEARCH("connection",C340)),"Loose or Intermittent Connection",ISNUMBER(SEARCH("loose",C340)),"Loose or Intermittent Connection",ISNUMBER(SEARCH("damaged packaging",C340)),"Packaging Problem",ISNUMBER(SEARCH("packaging",C340)),"Packaging Problem",ISNUMBER(SEARCH("discoloration",C340)),"Contamination",ISNUMBER(SEARCH("tarnish",C340)),"Contamination",ISNUMBER(SEARCH("stain",C340)),"Contamination",ISNUMBER(SEARCH("foreign material",C340)),"Contamination",ISNUMBER(SEARCH("contamina",C340)),"Contamination",ISNUMBER(SEARCH("overheat",C340)),"Overheating of Device",ISNUMBER(SEARCH("excessive heat",C340)),"Overheating of Device",ISNUMBER(SEARCH("hot",C340)),"Overheating of Device",ISNUMBER(SEARCH("noise",C340)),"Noise, Audible",ISNUMBER(SEARCH("sound",C340)),"Noise, Audible",ISNUMBER(SEARCH("loud",C340)),"Noise, Audible",ISNUMBER(SEARCH("fray",C340)),"Material Frayed",ISNUMBER(SEARCH("hole",C340)),"Material Frayed",ISNUMBER(SEARCH("tear",C340)),"Material Frayed",ISNUMBER(SEARCH("worn",C340)),"Material Frayed",ISNUMBER(SEARCH("intermittent",C340)),"Difficult or Delayed Activation",ISNUMBER(SEARCH("delay",C340)),"Difficult or Delayed Activation",ISNUMBER(SEARCH("label",C340)),"Device Markings/Labelling Problem",ISNUMBER(SEARCH("marking",C340)),"Device Markings/Labelling Problem",ISNUMBER(SEARCH("lacerat",C340)),"Defective Device",ISNUMBER(SEARCH("cut",C340)),"Defective Device",ISNUMBER(SEARCH("leak",C340)),"Fluid/Blood Leak",ISNUMBER(SEARCH("missing",C340)),"Component Missing",ISNUMBER(SEARCH("power",C340)),"Complete Loss of Power",ISNUMBER(SEARCH("will not turn on",C340)),"Complete Loss of Power",ISNUMBER(SEARCH("won't turn on",C340)),"Complete Loss of Power",ISNUMBER(SEARCH("does not turn on",C340)),"Complete Loss of Power",ISNUMBER(SEARCH("electrical",C340)),"Electrical Power Problem",ISNUMBER(SEARCH("pressure",C340)),"Detachment of Device or Device Component",ISNUMBER(SEARCH("slip",C340)),"Detachment of Device or Device Component",ISNUMBER(SEARCH("detach",C340)),"Detachment of Device or Device Component",ISNUMBER(SEARCH("stick",C340)),"Mechanical Jam",ISNUMBER(SEARCH("jam",C340)),"Mechanical Jam",ISNUMBER(SEARCH("rigid",C340)),"Mechanical Jam",ISNUMBER(SEARCH("rust",C340)),"Corroded",ISNUMBER(SEARCH("corrod",C340)),"Corroded",ISNUMBER(SEARCH("corrosion",C340)),"Corroded",ISNUMBER(SEARCH("alignment",C340)),"Defective Device",ISNUMBER(SEARCH("adjust",C340)),"Defective Device",ISNUMBER(SEARCH("perform",C340)),"Defective Device",ISNUMBER(SEARCH("malfunction",C340)),"Defective Device",ISNUMBER(SEARCH("defect",C340)),"Defective Device",ISNUMBER(SEARCH("fail",C340)),"Defective Device",ISNUMBER(SEARCH("not work",C340)),"Defective Device",ISNUMBER(SEARCH("doesn't work",C340)),"Defective Device",TRUE,"UNKNOWN"),"UNKNOWN")))</f>
        <v/>
      </c>
      <c r="F340" s="4" t="str">
        <f t="shared" si="5"/>
        <v/>
      </c>
      <c r="G340" s="363" t="str">
        <f>IF(E340="","",IFERROR(VLOOKUP(E340,Codes!$L$2:$N$409,3,FALSE),"—"))</f>
        <v/>
      </c>
      <c r="H340" s="88"/>
      <c r="I340" s="88"/>
    </row>
    <row r="341" spans="1:9" ht="13.15" x14ac:dyDescent="0.35">
      <c r="A341" s="434"/>
      <c r="B341" s="436"/>
      <c r="C341" s="437"/>
      <c r="D341" s="434"/>
      <c r="E341" s="93" t="str" cm="1">
        <f t="array" ref="E341">IF(D341&lt;&gt;"",IFERROR(VLOOKUP(D341,Codes!$K$2:$L$409,2,FALSE),"UNKNOWN - "&amp;D341),IF(C341="","",IFERROR(_xlfn.IFS(ISNUMBER(SEARCH("broken button",C341)),"Break",ISNUMBER(SEARCH("broken handle",C341)),"Break",ISNUMBER(SEARCH("shipping damage",C341)),"Break",ISNUMBER(SEARCH("broken",C341)),"Break",ISNUMBER(SEARCH("crack",C341)),"Break",ISNUMBER(SEARCH("snap",C341)),"Break",ISNUMBER(SEARCH("fracture",C341)),"Break",ISNUMBER(SEARCH("bent",C341)),"Material Twisted/Bent",ISNUMBER(SEARCH("twisted",C341)),"Material Twisted/Bent",ISNUMBER(SEARCH("component separat",C341)),"Material Separation",ISNUMBER(SEARCH("separat",C341)),"Material Separation",ISNUMBER(SEARCH("connection",C341)),"Loose or Intermittent Connection",ISNUMBER(SEARCH("loose",C341)),"Loose or Intermittent Connection",ISNUMBER(SEARCH("damaged packaging",C341)),"Packaging Problem",ISNUMBER(SEARCH("packaging",C341)),"Packaging Problem",ISNUMBER(SEARCH("discoloration",C341)),"Contamination",ISNUMBER(SEARCH("tarnish",C341)),"Contamination",ISNUMBER(SEARCH("stain",C341)),"Contamination",ISNUMBER(SEARCH("foreign material",C341)),"Contamination",ISNUMBER(SEARCH("contamina",C341)),"Contamination",ISNUMBER(SEARCH("overheat",C341)),"Overheating of Device",ISNUMBER(SEARCH("excessive heat",C341)),"Overheating of Device",ISNUMBER(SEARCH("hot",C341)),"Overheating of Device",ISNUMBER(SEARCH("noise",C341)),"Noise, Audible",ISNUMBER(SEARCH("sound",C341)),"Noise, Audible",ISNUMBER(SEARCH("loud",C341)),"Noise, Audible",ISNUMBER(SEARCH("fray",C341)),"Material Frayed",ISNUMBER(SEARCH("hole",C341)),"Material Frayed",ISNUMBER(SEARCH("tear",C341)),"Material Frayed",ISNUMBER(SEARCH("worn",C341)),"Material Frayed",ISNUMBER(SEARCH("intermittent",C341)),"Difficult or Delayed Activation",ISNUMBER(SEARCH("delay",C341)),"Difficult or Delayed Activation",ISNUMBER(SEARCH("label",C341)),"Device Markings/Labelling Problem",ISNUMBER(SEARCH("marking",C341)),"Device Markings/Labelling Problem",ISNUMBER(SEARCH("lacerat",C341)),"Defective Device",ISNUMBER(SEARCH("cut",C341)),"Defective Device",ISNUMBER(SEARCH("leak",C341)),"Fluid/Blood Leak",ISNUMBER(SEARCH("missing",C341)),"Component Missing",ISNUMBER(SEARCH("power",C341)),"Complete Loss of Power",ISNUMBER(SEARCH("will not turn on",C341)),"Complete Loss of Power",ISNUMBER(SEARCH("won't turn on",C341)),"Complete Loss of Power",ISNUMBER(SEARCH("does not turn on",C341)),"Complete Loss of Power",ISNUMBER(SEARCH("electrical",C341)),"Electrical Power Problem",ISNUMBER(SEARCH("pressure",C341)),"Detachment of Device or Device Component",ISNUMBER(SEARCH("slip",C341)),"Detachment of Device or Device Component",ISNUMBER(SEARCH("detach",C341)),"Detachment of Device or Device Component",ISNUMBER(SEARCH("stick",C341)),"Mechanical Jam",ISNUMBER(SEARCH("jam",C341)),"Mechanical Jam",ISNUMBER(SEARCH("rigid",C341)),"Mechanical Jam",ISNUMBER(SEARCH("rust",C341)),"Corroded",ISNUMBER(SEARCH("corrod",C341)),"Corroded",ISNUMBER(SEARCH("corrosion",C341)),"Corroded",ISNUMBER(SEARCH("alignment",C341)),"Defective Device",ISNUMBER(SEARCH("adjust",C341)),"Defective Device",ISNUMBER(SEARCH("perform",C341)),"Defective Device",ISNUMBER(SEARCH("malfunction",C341)),"Defective Device",ISNUMBER(SEARCH("defect",C341)),"Defective Device",ISNUMBER(SEARCH("fail",C341)),"Defective Device",ISNUMBER(SEARCH("not work",C341)),"Defective Device",ISNUMBER(SEARCH("doesn't work",C341)),"Defective Device",TRUE,"UNKNOWN"),"UNKNOWN")))</f>
        <v/>
      </c>
      <c r="F341" s="4" t="str">
        <f t="shared" si="5"/>
        <v/>
      </c>
      <c r="G341" s="363" t="str">
        <f>IF(E341="","",IFERROR(VLOOKUP(E341,Codes!$L$2:$N$409,3,FALSE),"—"))</f>
        <v/>
      </c>
      <c r="H341" s="88"/>
      <c r="I341" s="88"/>
    </row>
    <row r="342" spans="1:9" ht="13.15" x14ac:dyDescent="0.35">
      <c r="A342" s="434"/>
      <c r="B342" s="436"/>
      <c r="C342" s="437"/>
      <c r="D342" s="434"/>
      <c r="E342" s="93" t="str" cm="1">
        <f t="array" ref="E342">IF(D342&lt;&gt;"",IFERROR(VLOOKUP(D342,Codes!$K$2:$L$409,2,FALSE),"UNKNOWN - "&amp;D342),IF(C342="","",IFERROR(_xlfn.IFS(ISNUMBER(SEARCH("broken button",C342)),"Break",ISNUMBER(SEARCH("broken handle",C342)),"Break",ISNUMBER(SEARCH("shipping damage",C342)),"Break",ISNUMBER(SEARCH("broken",C342)),"Break",ISNUMBER(SEARCH("crack",C342)),"Break",ISNUMBER(SEARCH("snap",C342)),"Break",ISNUMBER(SEARCH("fracture",C342)),"Break",ISNUMBER(SEARCH("bent",C342)),"Material Twisted/Bent",ISNUMBER(SEARCH("twisted",C342)),"Material Twisted/Bent",ISNUMBER(SEARCH("component separat",C342)),"Material Separation",ISNUMBER(SEARCH("separat",C342)),"Material Separation",ISNUMBER(SEARCH("connection",C342)),"Loose or Intermittent Connection",ISNUMBER(SEARCH("loose",C342)),"Loose or Intermittent Connection",ISNUMBER(SEARCH("damaged packaging",C342)),"Packaging Problem",ISNUMBER(SEARCH("packaging",C342)),"Packaging Problem",ISNUMBER(SEARCH("discoloration",C342)),"Contamination",ISNUMBER(SEARCH("tarnish",C342)),"Contamination",ISNUMBER(SEARCH("stain",C342)),"Contamination",ISNUMBER(SEARCH("foreign material",C342)),"Contamination",ISNUMBER(SEARCH("contamina",C342)),"Contamination",ISNUMBER(SEARCH("overheat",C342)),"Overheating of Device",ISNUMBER(SEARCH("excessive heat",C342)),"Overheating of Device",ISNUMBER(SEARCH("hot",C342)),"Overheating of Device",ISNUMBER(SEARCH("noise",C342)),"Noise, Audible",ISNUMBER(SEARCH("sound",C342)),"Noise, Audible",ISNUMBER(SEARCH("loud",C342)),"Noise, Audible",ISNUMBER(SEARCH("fray",C342)),"Material Frayed",ISNUMBER(SEARCH("hole",C342)),"Material Frayed",ISNUMBER(SEARCH("tear",C342)),"Material Frayed",ISNUMBER(SEARCH("worn",C342)),"Material Frayed",ISNUMBER(SEARCH("intermittent",C342)),"Difficult or Delayed Activation",ISNUMBER(SEARCH("delay",C342)),"Difficult or Delayed Activation",ISNUMBER(SEARCH("label",C342)),"Device Markings/Labelling Problem",ISNUMBER(SEARCH("marking",C342)),"Device Markings/Labelling Problem",ISNUMBER(SEARCH("lacerat",C342)),"Defective Device",ISNUMBER(SEARCH("cut",C342)),"Defective Device",ISNUMBER(SEARCH("leak",C342)),"Fluid/Blood Leak",ISNUMBER(SEARCH("missing",C342)),"Component Missing",ISNUMBER(SEARCH("power",C342)),"Complete Loss of Power",ISNUMBER(SEARCH("will not turn on",C342)),"Complete Loss of Power",ISNUMBER(SEARCH("won't turn on",C342)),"Complete Loss of Power",ISNUMBER(SEARCH("does not turn on",C342)),"Complete Loss of Power",ISNUMBER(SEARCH("electrical",C342)),"Electrical Power Problem",ISNUMBER(SEARCH("pressure",C342)),"Detachment of Device or Device Component",ISNUMBER(SEARCH("slip",C342)),"Detachment of Device or Device Component",ISNUMBER(SEARCH("detach",C342)),"Detachment of Device or Device Component",ISNUMBER(SEARCH("stick",C342)),"Mechanical Jam",ISNUMBER(SEARCH("jam",C342)),"Mechanical Jam",ISNUMBER(SEARCH("rigid",C342)),"Mechanical Jam",ISNUMBER(SEARCH("rust",C342)),"Corroded",ISNUMBER(SEARCH("corrod",C342)),"Corroded",ISNUMBER(SEARCH("corrosion",C342)),"Corroded",ISNUMBER(SEARCH("alignment",C342)),"Defective Device",ISNUMBER(SEARCH("adjust",C342)),"Defective Device",ISNUMBER(SEARCH("perform",C342)),"Defective Device",ISNUMBER(SEARCH("malfunction",C342)),"Defective Device",ISNUMBER(SEARCH("defect",C342)),"Defective Device",ISNUMBER(SEARCH("fail",C342)),"Defective Device",ISNUMBER(SEARCH("not work",C342)),"Defective Device",ISNUMBER(SEARCH("doesn't work",C342)),"Defective Device",TRUE,"UNKNOWN"),"UNKNOWN")))</f>
        <v/>
      </c>
      <c r="F342" s="4" t="str">
        <f t="shared" si="5"/>
        <v/>
      </c>
      <c r="G342" s="363" t="str">
        <f>IF(E342="","",IFERROR(VLOOKUP(E342,Codes!$L$2:$N$409,3,FALSE),"—"))</f>
        <v/>
      </c>
      <c r="H342" s="88"/>
      <c r="I342" s="88"/>
    </row>
    <row r="343" spans="1:9" ht="13.15" x14ac:dyDescent="0.35">
      <c r="A343" s="435"/>
      <c r="B343" s="436"/>
      <c r="C343" s="438"/>
      <c r="D343" s="435"/>
      <c r="E343" s="93" t="str" cm="1">
        <f t="array" ref="E343">IF(D343&lt;&gt;"",IFERROR(VLOOKUP(D343,Codes!$K$2:$L$409,2,FALSE),"UNKNOWN - "&amp;D343),IF(C343="","",IFERROR(_xlfn.IFS(ISNUMBER(SEARCH("broken button",C343)),"Break",ISNUMBER(SEARCH("broken handle",C343)),"Break",ISNUMBER(SEARCH("shipping damage",C343)),"Break",ISNUMBER(SEARCH("broken",C343)),"Break",ISNUMBER(SEARCH("crack",C343)),"Break",ISNUMBER(SEARCH("snap",C343)),"Break",ISNUMBER(SEARCH("fracture",C343)),"Break",ISNUMBER(SEARCH("bent",C343)),"Material Twisted/Bent",ISNUMBER(SEARCH("twisted",C343)),"Material Twisted/Bent",ISNUMBER(SEARCH("component separat",C343)),"Material Separation",ISNUMBER(SEARCH("separat",C343)),"Material Separation",ISNUMBER(SEARCH("connection",C343)),"Loose or Intermittent Connection",ISNUMBER(SEARCH("loose",C343)),"Loose or Intermittent Connection",ISNUMBER(SEARCH("damaged packaging",C343)),"Packaging Problem",ISNUMBER(SEARCH("packaging",C343)),"Packaging Problem",ISNUMBER(SEARCH("discoloration",C343)),"Contamination",ISNUMBER(SEARCH("tarnish",C343)),"Contamination",ISNUMBER(SEARCH("stain",C343)),"Contamination",ISNUMBER(SEARCH("foreign material",C343)),"Contamination",ISNUMBER(SEARCH("contamina",C343)),"Contamination",ISNUMBER(SEARCH("overheat",C343)),"Overheating of Device",ISNUMBER(SEARCH("excessive heat",C343)),"Overheating of Device",ISNUMBER(SEARCH("hot",C343)),"Overheating of Device",ISNUMBER(SEARCH("noise",C343)),"Noise, Audible",ISNUMBER(SEARCH("sound",C343)),"Noise, Audible",ISNUMBER(SEARCH("loud",C343)),"Noise, Audible",ISNUMBER(SEARCH("fray",C343)),"Material Frayed",ISNUMBER(SEARCH("hole",C343)),"Material Frayed",ISNUMBER(SEARCH("tear",C343)),"Material Frayed",ISNUMBER(SEARCH("worn",C343)),"Material Frayed",ISNUMBER(SEARCH("intermittent",C343)),"Difficult or Delayed Activation",ISNUMBER(SEARCH("delay",C343)),"Difficult or Delayed Activation",ISNUMBER(SEARCH("label",C343)),"Device Markings/Labelling Problem",ISNUMBER(SEARCH("marking",C343)),"Device Markings/Labelling Problem",ISNUMBER(SEARCH("lacerat",C343)),"Defective Device",ISNUMBER(SEARCH("cut",C343)),"Defective Device",ISNUMBER(SEARCH("leak",C343)),"Fluid/Blood Leak",ISNUMBER(SEARCH("missing",C343)),"Component Missing",ISNUMBER(SEARCH("power",C343)),"Complete Loss of Power",ISNUMBER(SEARCH("will not turn on",C343)),"Complete Loss of Power",ISNUMBER(SEARCH("won't turn on",C343)),"Complete Loss of Power",ISNUMBER(SEARCH("does not turn on",C343)),"Complete Loss of Power",ISNUMBER(SEARCH("electrical",C343)),"Electrical Power Problem",ISNUMBER(SEARCH("pressure",C343)),"Detachment of Device or Device Component",ISNUMBER(SEARCH("slip",C343)),"Detachment of Device or Device Component",ISNUMBER(SEARCH("detach",C343)),"Detachment of Device or Device Component",ISNUMBER(SEARCH("stick",C343)),"Mechanical Jam",ISNUMBER(SEARCH("jam",C343)),"Mechanical Jam",ISNUMBER(SEARCH("rigid",C343)),"Mechanical Jam",ISNUMBER(SEARCH("rust",C343)),"Corroded",ISNUMBER(SEARCH("corrod",C343)),"Corroded",ISNUMBER(SEARCH("corrosion",C343)),"Corroded",ISNUMBER(SEARCH("alignment",C343)),"Defective Device",ISNUMBER(SEARCH("adjust",C343)),"Defective Device",ISNUMBER(SEARCH("perform",C343)),"Defective Device",ISNUMBER(SEARCH("malfunction",C343)),"Defective Device",ISNUMBER(SEARCH("defect",C343)),"Defective Device",ISNUMBER(SEARCH("fail",C343)),"Defective Device",ISNUMBER(SEARCH("not work",C343)),"Defective Device",ISNUMBER(SEARCH("doesn't work",C343)),"Defective Device",TRUE,"UNKNOWN"),"UNKNOWN")))</f>
        <v/>
      </c>
      <c r="F343" s="4" t="str">
        <f t="shared" si="5"/>
        <v/>
      </c>
      <c r="G343" s="363" t="str">
        <f>IF(E343="","",IFERROR(VLOOKUP(E343,Codes!$L$2:$N$409,3,FALSE),"—"))</f>
        <v/>
      </c>
      <c r="H343" s="88"/>
      <c r="I343" s="88"/>
    </row>
    <row r="344" spans="1:9" ht="13.15" x14ac:dyDescent="0.35">
      <c r="A344" s="434"/>
      <c r="B344" s="436"/>
      <c r="C344" s="437"/>
      <c r="D344" s="434"/>
      <c r="E344" s="93" t="str" cm="1">
        <f t="array" ref="E344">IF(D344&lt;&gt;"",IFERROR(VLOOKUP(D344,Codes!$K$2:$L$409,2,FALSE),"UNKNOWN - "&amp;D344),IF(C344="","",IFERROR(_xlfn.IFS(ISNUMBER(SEARCH("broken button",C344)),"Break",ISNUMBER(SEARCH("broken handle",C344)),"Break",ISNUMBER(SEARCH("shipping damage",C344)),"Break",ISNUMBER(SEARCH("broken",C344)),"Break",ISNUMBER(SEARCH("crack",C344)),"Break",ISNUMBER(SEARCH("snap",C344)),"Break",ISNUMBER(SEARCH("fracture",C344)),"Break",ISNUMBER(SEARCH("bent",C344)),"Material Twisted/Bent",ISNUMBER(SEARCH("twisted",C344)),"Material Twisted/Bent",ISNUMBER(SEARCH("component separat",C344)),"Material Separation",ISNUMBER(SEARCH("separat",C344)),"Material Separation",ISNUMBER(SEARCH("connection",C344)),"Loose or Intermittent Connection",ISNUMBER(SEARCH("loose",C344)),"Loose or Intermittent Connection",ISNUMBER(SEARCH("damaged packaging",C344)),"Packaging Problem",ISNUMBER(SEARCH("packaging",C344)),"Packaging Problem",ISNUMBER(SEARCH("discoloration",C344)),"Contamination",ISNUMBER(SEARCH("tarnish",C344)),"Contamination",ISNUMBER(SEARCH("stain",C344)),"Contamination",ISNUMBER(SEARCH("foreign material",C344)),"Contamination",ISNUMBER(SEARCH("contamina",C344)),"Contamination",ISNUMBER(SEARCH("overheat",C344)),"Overheating of Device",ISNUMBER(SEARCH("excessive heat",C344)),"Overheating of Device",ISNUMBER(SEARCH("hot",C344)),"Overheating of Device",ISNUMBER(SEARCH("noise",C344)),"Noise, Audible",ISNUMBER(SEARCH("sound",C344)),"Noise, Audible",ISNUMBER(SEARCH("loud",C344)),"Noise, Audible",ISNUMBER(SEARCH("fray",C344)),"Material Frayed",ISNUMBER(SEARCH("hole",C344)),"Material Frayed",ISNUMBER(SEARCH("tear",C344)),"Material Frayed",ISNUMBER(SEARCH("worn",C344)),"Material Frayed",ISNUMBER(SEARCH("intermittent",C344)),"Difficult or Delayed Activation",ISNUMBER(SEARCH("delay",C344)),"Difficult or Delayed Activation",ISNUMBER(SEARCH("label",C344)),"Device Markings/Labelling Problem",ISNUMBER(SEARCH("marking",C344)),"Device Markings/Labelling Problem",ISNUMBER(SEARCH("lacerat",C344)),"Defective Device",ISNUMBER(SEARCH("cut",C344)),"Defective Device",ISNUMBER(SEARCH("leak",C344)),"Fluid/Blood Leak",ISNUMBER(SEARCH("missing",C344)),"Component Missing",ISNUMBER(SEARCH("power",C344)),"Complete Loss of Power",ISNUMBER(SEARCH("will not turn on",C344)),"Complete Loss of Power",ISNUMBER(SEARCH("won't turn on",C344)),"Complete Loss of Power",ISNUMBER(SEARCH("does not turn on",C344)),"Complete Loss of Power",ISNUMBER(SEARCH("electrical",C344)),"Electrical Power Problem",ISNUMBER(SEARCH("pressure",C344)),"Detachment of Device or Device Component",ISNUMBER(SEARCH("slip",C344)),"Detachment of Device or Device Component",ISNUMBER(SEARCH("detach",C344)),"Detachment of Device or Device Component",ISNUMBER(SEARCH("stick",C344)),"Mechanical Jam",ISNUMBER(SEARCH("jam",C344)),"Mechanical Jam",ISNUMBER(SEARCH("rigid",C344)),"Mechanical Jam",ISNUMBER(SEARCH("rust",C344)),"Corroded",ISNUMBER(SEARCH("corrod",C344)),"Corroded",ISNUMBER(SEARCH("corrosion",C344)),"Corroded",ISNUMBER(SEARCH("alignment",C344)),"Defective Device",ISNUMBER(SEARCH("adjust",C344)),"Defective Device",ISNUMBER(SEARCH("perform",C344)),"Defective Device",ISNUMBER(SEARCH("malfunction",C344)),"Defective Device",ISNUMBER(SEARCH("defect",C344)),"Defective Device",ISNUMBER(SEARCH("fail",C344)),"Defective Device",ISNUMBER(SEARCH("not work",C344)),"Defective Device",ISNUMBER(SEARCH("doesn't work",C344)),"Defective Device",TRUE,"UNKNOWN"),"UNKNOWN")))</f>
        <v/>
      </c>
      <c r="F344" s="4" t="str">
        <f t="shared" si="5"/>
        <v/>
      </c>
      <c r="G344" s="363" t="str">
        <f>IF(E344="","",IFERROR(VLOOKUP(E344,Codes!$L$2:$N$409,3,FALSE),"—"))</f>
        <v/>
      </c>
      <c r="H344" s="88"/>
      <c r="I344" s="88"/>
    </row>
    <row r="345" spans="1:9" ht="13.15" x14ac:dyDescent="0.35">
      <c r="A345" s="435"/>
      <c r="B345" s="436"/>
      <c r="C345" s="438"/>
      <c r="D345" s="435"/>
      <c r="E345" s="93" t="str" cm="1">
        <f t="array" ref="E345">IF(D345&lt;&gt;"",IFERROR(VLOOKUP(D345,Codes!$K$2:$L$409,2,FALSE),"UNKNOWN - "&amp;D345),IF(C345="","",IFERROR(_xlfn.IFS(ISNUMBER(SEARCH("broken button",C345)),"Break",ISNUMBER(SEARCH("broken handle",C345)),"Break",ISNUMBER(SEARCH("shipping damage",C345)),"Break",ISNUMBER(SEARCH("broken",C345)),"Break",ISNUMBER(SEARCH("crack",C345)),"Break",ISNUMBER(SEARCH("snap",C345)),"Break",ISNUMBER(SEARCH("fracture",C345)),"Break",ISNUMBER(SEARCH("bent",C345)),"Material Twisted/Bent",ISNUMBER(SEARCH("twisted",C345)),"Material Twisted/Bent",ISNUMBER(SEARCH("component separat",C345)),"Material Separation",ISNUMBER(SEARCH("separat",C345)),"Material Separation",ISNUMBER(SEARCH("connection",C345)),"Loose or Intermittent Connection",ISNUMBER(SEARCH("loose",C345)),"Loose or Intermittent Connection",ISNUMBER(SEARCH("damaged packaging",C345)),"Packaging Problem",ISNUMBER(SEARCH("packaging",C345)),"Packaging Problem",ISNUMBER(SEARCH("discoloration",C345)),"Contamination",ISNUMBER(SEARCH("tarnish",C345)),"Contamination",ISNUMBER(SEARCH("stain",C345)),"Contamination",ISNUMBER(SEARCH("foreign material",C345)),"Contamination",ISNUMBER(SEARCH("contamina",C345)),"Contamination",ISNUMBER(SEARCH("overheat",C345)),"Overheating of Device",ISNUMBER(SEARCH("excessive heat",C345)),"Overheating of Device",ISNUMBER(SEARCH("hot",C345)),"Overheating of Device",ISNUMBER(SEARCH("noise",C345)),"Noise, Audible",ISNUMBER(SEARCH("sound",C345)),"Noise, Audible",ISNUMBER(SEARCH("loud",C345)),"Noise, Audible",ISNUMBER(SEARCH("fray",C345)),"Material Frayed",ISNUMBER(SEARCH("hole",C345)),"Material Frayed",ISNUMBER(SEARCH("tear",C345)),"Material Frayed",ISNUMBER(SEARCH("worn",C345)),"Material Frayed",ISNUMBER(SEARCH("intermittent",C345)),"Difficult or Delayed Activation",ISNUMBER(SEARCH("delay",C345)),"Difficult or Delayed Activation",ISNUMBER(SEARCH("label",C345)),"Device Markings/Labelling Problem",ISNUMBER(SEARCH("marking",C345)),"Device Markings/Labelling Problem",ISNUMBER(SEARCH("lacerat",C345)),"Defective Device",ISNUMBER(SEARCH("cut",C345)),"Defective Device",ISNUMBER(SEARCH("leak",C345)),"Fluid/Blood Leak",ISNUMBER(SEARCH("missing",C345)),"Component Missing",ISNUMBER(SEARCH("power",C345)),"Complete Loss of Power",ISNUMBER(SEARCH("will not turn on",C345)),"Complete Loss of Power",ISNUMBER(SEARCH("won't turn on",C345)),"Complete Loss of Power",ISNUMBER(SEARCH("does not turn on",C345)),"Complete Loss of Power",ISNUMBER(SEARCH("electrical",C345)),"Electrical Power Problem",ISNUMBER(SEARCH("pressure",C345)),"Detachment of Device or Device Component",ISNUMBER(SEARCH("slip",C345)),"Detachment of Device or Device Component",ISNUMBER(SEARCH("detach",C345)),"Detachment of Device or Device Component",ISNUMBER(SEARCH("stick",C345)),"Mechanical Jam",ISNUMBER(SEARCH("jam",C345)),"Mechanical Jam",ISNUMBER(SEARCH("rigid",C345)),"Mechanical Jam",ISNUMBER(SEARCH("rust",C345)),"Corroded",ISNUMBER(SEARCH("corrod",C345)),"Corroded",ISNUMBER(SEARCH("corrosion",C345)),"Corroded",ISNUMBER(SEARCH("alignment",C345)),"Defective Device",ISNUMBER(SEARCH("adjust",C345)),"Defective Device",ISNUMBER(SEARCH("perform",C345)),"Defective Device",ISNUMBER(SEARCH("malfunction",C345)),"Defective Device",ISNUMBER(SEARCH("defect",C345)),"Defective Device",ISNUMBER(SEARCH("fail",C345)),"Defective Device",ISNUMBER(SEARCH("not work",C345)),"Defective Device",ISNUMBER(SEARCH("doesn't work",C345)),"Defective Device",TRUE,"UNKNOWN"),"UNKNOWN")))</f>
        <v/>
      </c>
      <c r="F345" s="4" t="str">
        <f t="shared" si="5"/>
        <v/>
      </c>
      <c r="G345" s="363" t="str">
        <f>IF(E345="","",IFERROR(VLOOKUP(E345,Codes!$L$2:$N$409,3,FALSE),"—"))</f>
        <v/>
      </c>
      <c r="H345" s="88"/>
      <c r="I345" s="88"/>
    </row>
    <row r="346" spans="1:9" ht="13.15" x14ac:dyDescent="0.35">
      <c r="A346" s="435"/>
      <c r="B346" s="436"/>
      <c r="C346" s="438"/>
      <c r="D346" s="435"/>
      <c r="E346" s="93" t="str" cm="1">
        <f t="array" ref="E346">IF(D346&lt;&gt;"",IFERROR(VLOOKUP(D346,Codes!$K$2:$L$409,2,FALSE),"UNKNOWN - "&amp;D346),IF(C346="","",IFERROR(_xlfn.IFS(ISNUMBER(SEARCH("broken button",C346)),"Break",ISNUMBER(SEARCH("broken handle",C346)),"Break",ISNUMBER(SEARCH("shipping damage",C346)),"Break",ISNUMBER(SEARCH("broken",C346)),"Break",ISNUMBER(SEARCH("crack",C346)),"Break",ISNUMBER(SEARCH("snap",C346)),"Break",ISNUMBER(SEARCH("fracture",C346)),"Break",ISNUMBER(SEARCH("bent",C346)),"Material Twisted/Bent",ISNUMBER(SEARCH("twisted",C346)),"Material Twisted/Bent",ISNUMBER(SEARCH("component separat",C346)),"Material Separation",ISNUMBER(SEARCH("separat",C346)),"Material Separation",ISNUMBER(SEARCH("connection",C346)),"Loose or Intermittent Connection",ISNUMBER(SEARCH("loose",C346)),"Loose or Intermittent Connection",ISNUMBER(SEARCH("damaged packaging",C346)),"Packaging Problem",ISNUMBER(SEARCH("packaging",C346)),"Packaging Problem",ISNUMBER(SEARCH("discoloration",C346)),"Contamination",ISNUMBER(SEARCH("tarnish",C346)),"Contamination",ISNUMBER(SEARCH("stain",C346)),"Contamination",ISNUMBER(SEARCH("foreign material",C346)),"Contamination",ISNUMBER(SEARCH("contamina",C346)),"Contamination",ISNUMBER(SEARCH("overheat",C346)),"Overheating of Device",ISNUMBER(SEARCH("excessive heat",C346)),"Overheating of Device",ISNUMBER(SEARCH("hot",C346)),"Overheating of Device",ISNUMBER(SEARCH("noise",C346)),"Noise, Audible",ISNUMBER(SEARCH("sound",C346)),"Noise, Audible",ISNUMBER(SEARCH("loud",C346)),"Noise, Audible",ISNUMBER(SEARCH("fray",C346)),"Material Frayed",ISNUMBER(SEARCH("hole",C346)),"Material Frayed",ISNUMBER(SEARCH("tear",C346)),"Material Frayed",ISNUMBER(SEARCH("worn",C346)),"Material Frayed",ISNUMBER(SEARCH("intermittent",C346)),"Difficult or Delayed Activation",ISNUMBER(SEARCH("delay",C346)),"Difficult or Delayed Activation",ISNUMBER(SEARCH("label",C346)),"Device Markings/Labelling Problem",ISNUMBER(SEARCH("marking",C346)),"Device Markings/Labelling Problem",ISNUMBER(SEARCH("lacerat",C346)),"Defective Device",ISNUMBER(SEARCH("cut",C346)),"Defective Device",ISNUMBER(SEARCH("leak",C346)),"Fluid/Blood Leak",ISNUMBER(SEARCH("missing",C346)),"Component Missing",ISNUMBER(SEARCH("power",C346)),"Complete Loss of Power",ISNUMBER(SEARCH("will not turn on",C346)),"Complete Loss of Power",ISNUMBER(SEARCH("won't turn on",C346)),"Complete Loss of Power",ISNUMBER(SEARCH("does not turn on",C346)),"Complete Loss of Power",ISNUMBER(SEARCH("electrical",C346)),"Electrical Power Problem",ISNUMBER(SEARCH("pressure",C346)),"Detachment of Device or Device Component",ISNUMBER(SEARCH("slip",C346)),"Detachment of Device or Device Component",ISNUMBER(SEARCH("detach",C346)),"Detachment of Device or Device Component",ISNUMBER(SEARCH("stick",C346)),"Mechanical Jam",ISNUMBER(SEARCH("jam",C346)),"Mechanical Jam",ISNUMBER(SEARCH("rigid",C346)),"Mechanical Jam",ISNUMBER(SEARCH("rust",C346)),"Corroded",ISNUMBER(SEARCH("corrod",C346)),"Corroded",ISNUMBER(SEARCH("corrosion",C346)),"Corroded",ISNUMBER(SEARCH("alignment",C346)),"Defective Device",ISNUMBER(SEARCH("adjust",C346)),"Defective Device",ISNUMBER(SEARCH("perform",C346)),"Defective Device",ISNUMBER(SEARCH("malfunction",C346)),"Defective Device",ISNUMBER(SEARCH("defect",C346)),"Defective Device",ISNUMBER(SEARCH("fail",C346)),"Defective Device",ISNUMBER(SEARCH("not work",C346)),"Defective Device",ISNUMBER(SEARCH("doesn't work",C346)),"Defective Device",TRUE,"UNKNOWN"),"UNKNOWN")))</f>
        <v/>
      </c>
      <c r="F346" s="4" t="str">
        <f t="shared" si="5"/>
        <v/>
      </c>
      <c r="G346" s="363" t="str">
        <f>IF(E346="","",IFERROR(VLOOKUP(E346,Codes!$L$2:$N$409,3,FALSE),"—"))</f>
        <v/>
      </c>
      <c r="H346" s="88"/>
      <c r="I346" s="88"/>
    </row>
    <row r="347" spans="1:9" ht="13.15" x14ac:dyDescent="0.35">
      <c r="A347" s="435"/>
      <c r="B347" s="436"/>
      <c r="C347" s="438"/>
      <c r="D347" s="435"/>
      <c r="E347" s="93" t="str" cm="1">
        <f t="array" ref="E347">IF(D347&lt;&gt;"",IFERROR(VLOOKUP(D347,Codes!$K$2:$L$409,2,FALSE),"UNKNOWN - "&amp;D347),IF(C347="","",IFERROR(_xlfn.IFS(ISNUMBER(SEARCH("broken button",C347)),"Break",ISNUMBER(SEARCH("broken handle",C347)),"Break",ISNUMBER(SEARCH("shipping damage",C347)),"Break",ISNUMBER(SEARCH("broken",C347)),"Break",ISNUMBER(SEARCH("crack",C347)),"Break",ISNUMBER(SEARCH("snap",C347)),"Break",ISNUMBER(SEARCH("fracture",C347)),"Break",ISNUMBER(SEARCH("bent",C347)),"Material Twisted/Bent",ISNUMBER(SEARCH("twisted",C347)),"Material Twisted/Bent",ISNUMBER(SEARCH("component separat",C347)),"Material Separation",ISNUMBER(SEARCH("separat",C347)),"Material Separation",ISNUMBER(SEARCH("connection",C347)),"Loose or Intermittent Connection",ISNUMBER(SEARCH("loose",C347)),"Loose or Intermittent Connection",ISNUMBER(SEARCH("damaged packaging",C347)),"Packaging Problem",ISNUMBER(SEARCH("packaging",C347)),"Packaging Problem",ISNUMBER(SEARCH("discoloration",C347)),"Contamination",ISNUMBER(SEARCH("tarnish",C347)),"Contamination",ISNUMBER(SEARCH("stain",C347)),"Contamination",ISNUMBER(SEARCH("foreign material",C347)),"Contamination",ISNUMBER(SEARCH("contamina",C347)),"Contamination",ISNUMBER(SEARCH("overheat",C347)),"Overheating of Device",ISNUMBER(SEARCH("excessive heat",C347)),"Overheating of Device",ISNUMBER(SEARCH("hot",C347)),"Overheating of Device",ISNUMBER(SEARCH("noise",C347)),"Noise, Audible",ISNUMBER(SEARCH("sound",C347)),"Noise, Audible",ISNUMBER(SEARCH("loud",C347)),"Noise, Audible",ISNUMBER(SEARCH("fray",C347)),"Material Frayed",ISNUMBER(SEARCH("hole",C347)),"Material Frayed",ISNUMBER(SEARCH("tear",C347)),"Material Frayed",ISNUMBER(SEARCH("worn",C347)),"Material Frayed",ISNUMBER(SEARCH("intermittent",C347)),"Difficult or Delayed Activation",ISNUMBER(SEARCH("delay",C347)),"Difficult or Delayed Activation",ISNUMBER(SEARCH("label",C347)),"Device Markings/Labelling Problem",ISNUMBER(SEARCH("marking",C347)),"Device Markings/Labelling Problem",ISNUMBER(SEARCH("lacerat",C347)),"Defective Device",ISNUMBER(SEARCH("cut",C347)),"Defective Device",ISNUMBER(SEARCH("leak",C347)),"Fluid/Blood Leak",ISNUMBER(SEARCH("missing",C347)),"Component Missing",ISNUMBER(SEARCH("power",C347)),"Complete Loss of Power",ISNUMBER(SEARCH("will not turn on",C347)),"Complete Loss of Power",ISNUMBER(SEARCH("won't turn on",C347)),"Complete Loss of Power",ISNUMBER(SEARCH("does not turn on",C347)),"Complete Loss of Power",ISNUMBER(SEARCH("electrical",C347)),"Electrical Power Problem",ISNUMBER(SEARCH("pressure",C347)),"Detachment of Device or Device Component",ISNUMBER(SEARCH("slip",C347)),"Detachment of Device or Device Component",ISNUMBER(SEARCH("detach",C347)),"Detachment of Device or Device Component",ISNUMBER(SEARCH("stick",C347)),"Mechanical Jam",ISNUMBER(SEARCH("jam",C347)),"Mechanical Jam",ISNUMBER(SEARCH("rigid",C347)),"Mechanical Jam",ISNUMBER(SEARCH("rust",C347)),"Corroded",ISNUMBER(SEARCH("corrod",C347)),"Corroded",ISNUMBER(SEARCH("corrosion",C347)),"Corroded",ISNUMBER(SEARCH("alignment",C347)),"Defective Device",ISNUMBER(SEARCH("adjust",C347)),"Defective Device",ISNUMBER(SEARCH("perform",C347)),"Defective Device",ISNUMBER(SEARCH("malfunction",C347)),"Defective Device",ISNUMBER(SEARCH("defect",C347)),"Defective Device",ISNUMBER(SEARCH("fail",C347)),"Defective Device",ISNUMBER(SEARCH("not work",C347)),"Defective Device",ISNUMBER(SEARCH("doesn't work",C347)),"Defective Device",TRUE,"UNKNOWN"),"UNKNOWN")))</f>
        <v/>
      </c>
      <c r="F347" s="4" t="str">
        <f t="shared" si="5"/>
        <v/>
      </c>
      <c r="G347" s="363" t="str">
        <f>IF(E347="","",IFERROR(VLOOKUP(E347,Codes!$L$2:$N$409,3,FALSE),"—"))</f>
        <v/>
      </c>
      <c r="H347" s="88"/>
      <c r="I347" s="88"/>
    </row>
    <row r="348" spans="1:9" ht="13.15" x14ac:dyDescent="0.35">
      <c r="A348" s="434"/>
      <c r="B348" s="436"/>
      <c r="C348" s="437"/>
      <c r="D348" s="434"/>
      <c r="E348" s="93" t="str" cm="1">
        <f t="array" ref="E348">IF(D348&lt;&gt;"",IFERROR(VLOOKUP(D348,Codes!$K$2:$L$409,2,FALSE),"UNKNOWN - "&amp;D348),IF(C348="","",IFERROR(_xlfn.IFS(ISNUMBER(SEARCH("broken button",C348)),"Break",ISNUMBER(SEARCH("broken handle",C348)),"Break",ISNUMBER(SEARCH("shipping damage",C348)),"Break",ISNUMBER(SEARCH("broken",C348)),"Break",ISNUMBER(SEARCH("crack",C348)),"Break",ISNUMBER(SEARCH("snap",C348)),"Break",ISNUMBER(SEARCH("fracture",C348)),"Break",ISNUMBER(SEARCH("bent",C348)),"Material Twisted/Bent",ISNUMBER(SEARCH("twisted",C348)),"Material Twisted/Bent",ISNUMBER(SEARCH("component separat",C348)),"Material Separation",ISNUMBER(SEARCH("separat",C348)),"Material Separation",ISNUMBER(SEARCH("connection",C348)),"Loose or Intermittent Connection",ISNUMBER(SEARCH("loose",C348)),"Loose or Intermittent Connection",ISNUMBER(SEARCH("damaged packaging",C348)),"Packaging Problem",ISNUMBER(SEARCH("packaging",C348)),"Packaging Problem",ISNUMBER(SEARCH("discoloration",C348)),"Contamination",ISNUMBER(SEARCH("tarnish",C348)),"Contamination",ISNUMBER(SEARCH("stain",C348)),"Contamination",ISNUMBER(SEARCH("foreign material",C348)),"Contamination",ISNUMBER(SEARCH("contamina",C348)),"Contamination",ISNUMBER(SEARCH("overheat",C348)),"Overheating of Device",ISNUMBER(SEARCH("excessive heat",C348)),"Overheating of Device",ISNUMBER(SEARCH("hot",C348)),"Overheating of Device",ISNUMBER(SEARCH("noise",C348)),"Noise, Audible",ISNUMBER(SEARCH("sound",C348)),"Noise, Audible",ISNUMBER(SEARCH("loud",C348)),"Noise, Audible",ISNUMBER(SEARCH("fray",C348)),"Material Frayed",ISNUMBER(SEARCH("hole",C348)),"Material Frayed",ISNUMBER(SEARCH("tear",C348)),"Material Frayed",ISNUMBER(SEARCH("worn",C348)),"Material Frayed",ISNUMBER(SEARCH("intermittent",C348)),"Difficult or Delayed Activation",ISNUMBER(SEARCH("delay",C348)),"Difficult or Delayed Activation",ISNUMBER(SEARCH("label",C348)),"Device Markings/Labelling Problem",ISNUMBER(SEARCH("marking",C348)),"Device Markings/Labelling Problem",ISNUMBER(SEARCH("lacerat",C348)),"Defective Device",ISNUMBER(SEARCH("cut",C348)),"Defective Device",ISNUMBER(SEARCH("leak",C348)),"Fluid/Blood Leak",ISNUMBER(SEARCH("missing",C348)),"Component Missing",ISNUMBER(SEARCH("power",C348)),"Complete Loss of Power",ISNUMBER(SEARCH("will not turn on",C348)),"Complete Loss of Power",ISNUMBER(SEARCH("won't turn on",C348)),"Complete Loss of Power",ISNUMBER(SEARCH("does not turn on",C348)),"Complete Loss of Power",ISNUMBER(SEARCH("electrical",C348)),"Electrical Power Problem",ISNUMBER(SEARCH("pressure",C348)),"Detachment of Device or Device Component",ISNUMBER(SEARCH("slip",C348)),"Detachment of Device or Device Component",ISNUMBER(SEARCH("detach",C348)),"Detachment of Device or Device Component",ISNUMBER(SEARCH("stick",C348)),"Mechanical Jam",ISNUMBER(SEARCH("jam",C348)),"Mechanical Jam",ISNUMBER(SEARCH("rigid",C348)),"Mechanical Jam",ISNUMBER(SEARCH("rust",C348)),"Corroded",ISNUMBER(SEARCH("corrod",C348)),"Corroded",ISNUMBER(SEARCH("corrosion",C348)),"Corroded",ISNUMBER(SEARCH("alignment",C348)),"Defective Device",ISNUMBER(SEARCH("adjust",C348)),"Defective Device",ISNUMBER(SEARCH("perform",C348)),"Defective Device",ISNUMBER(SEARCH("malfunction",C348)),"Defective Device",ISNUMBER(SEARCH("defect",C348)),"Defective Device",ISNUMBER(SEARCH("fail",C348)),"Defective Device",ISNUMBER(SEARCH("not work",C348)),"Defective Device",ISNUMBER(SEARCH("doesn't work",C348)),"Defective Device",TRUE,"UNKNOWN"),"UNKNOWN")))</f>
        <v/>
      </c>
      <c r="F348" s="4" t="str">
        <f t="shared" si="5"/>
        <v/>
      </c>
      <c r="G348" s="363" t="str">
        <f>IF(E348="","",IFERROR(VLOOKUP(E348,Codes!$L$2:$N$409,3,FALSE),"—"))</f>
        <v/>
      </c>
      <c r="H348" s="88"/>
      <c r="I348" s="88"/>
    </row>
    <row r="349" spans="1:9" ht="13.15" x14ac:dyDescent="0.35">
      <c r="A349" s="434"/>
      <c r="B349" s="436"/>
      <c r="C349" s="437"/>
      <c r="D349" s="434"/>
      <c r="E349" s="93" t="str" cm="1">
        <f t="array" ref="E349">IF(D349&lt;&gt;"",IFERROR(VLOOKUP(D349,Codes!$K$2:$L$409,2,FALSE),"UNKNOWN - "&amp;D349),IF(C349="","",IFERROR(_xlfn.IFS(ISNUMBER(SEARCH("broken button",C349)),"Break",ISNUMBER(SEARCH("broken handle",C349)),"Break",ISNUMBER(SEARCH("shipping damage",C349)),"Break",ISNUMBER(SEARCH("broken",C349)),"Break",ISNUMBER(SEARCH("crack",C349)),"Break",ISNUMBER(SEARCH("snap",C349)),"Break",ISNUMBER(SEARCH("fracture",C349)),"Break",ISNUMBER(SEARCH("bent",C349)),"Material Twisted/Bent",ISNUMBER(SEARCH("twisted",C349)),"Material Twisted/Bent",ISNUMBER(SEARCH("component separat",C349)),"Material Separation",ISNUMBER(SEARCH("separat",C349)),"Material Separation",ISNUMBER(SEARCH("connection",C349)),"Loose or Intermittent Connection",ISNUMBER(SEARCH("loose",C349)),"Loose or Intermittent Connection",ISNUMBER(SEARCH("damaged packaging",C349)),"Packaging Problem",ISNUMBER(SEARCH("packaging",C349)),"Packaging Problem",ISNUMBER(SEARCH("discoloration",C349)),"Contamination",ISNUMBER(SEARCH("tarnish",C349)),"Contamination",ISNUMBER(SEARCH("stain",C349)),"Contamination",ISNUMBER(SEARCH("foreign material",C349)),"Contamination",ISNUMBER(SEARCH("contamina",C349)),"Contamination",ISNUMBER(SEARCH("overheat",C349)),"Overheating of Device",ISNUMBER(SEARCH("excessive heat",C349)),"Overheating of Device",ISNUMBER(SEARCH("hot",C349)),"Overheating of Device",ISNUMBER(SEARCH("noise",C349)),"Noise, Audible",ISNUMBER(SEARCH("sound",C349)),"Noise, Audible",ISNUMBER(SEARCH("loud",C349)),"Noise, Audible",ISNUMBER(SEARCH("fray",C349)),"Material Frayed",ISNUMBER(SEARCH("hole",C349)),"Material Frayed",ISNUMBER(SEARCH("tear",C349)),"Material Frayed",ISNUMBER(SEARCH("worn",C349)),"Material Frayed",ISNUMBER(SEARCH("intermittent",C349)),"Difficult or Delayed Activation",ISNUMBER(SEARCH("delay",C349)),"Difficult or Delayed Activation",ISNUMBER(SEARCH("label",C349)),"Device Markings/Labelling Problem",ISNUMBER(SEARCH("marking",C349)),"Device Markings/Labelling Problem",ISNUMBER(SEARCH("lacerat",C349)),"Defective Device",ISNUMBER(SEARCH("cut",C349)),"Defective Device",ISNUMBER(SEARCH("leak",C349)),"Fluid/Blood Leak",ISNUMBER(SEARCH("missing",C349)),"Component Missing",ISNUMBER(SEARCH("power",C349)),"Complete Loss of Power",ISNUMBER(SEARCH("will not turn on",C349)),"Complete Loss of Power",ISNUMBER(SEARCH("won't turn on",C349)),"Complete Loss of Power",ISNUMBER(SEARCH("does not turn on",C349)),"Complete Loss of Power",ISNUMBER(SEARCH("electrical",C349)),"Electrical Power Problem",ISNUMBER(SEARCH("pressure",C349)),"Detachment of Device or Device Component",ISNUMBER(SEARCH("slip",C349)),"Detachment of Device or Device Component",ISNUMBER(SEARCH("detach",C349)),"Detachment of Device or Device Component",ISNUMBER(SEARCH("stick",C349)),"Mechanical Jam",ISNUMBER(SEARCH("jam",C349)),"Mechanical Jam",ISNUMBER(SEARCH("rigid",C349)),"Mechanical Jam",ISNUMBER(SEARCH("rust",C349)),"Corroded",ISNUMBER(SEARCH("corrod",C349)),"Corroded",ISNUMBER(SEARCH("corrosion",C349)),"Corroded",ISNUMBER(SEARCH("alignment",C349)),"Defective Device",ISNUMBER(SEARCH("adjust",C349)),"Defective Device",ISNUMBER(SEARCH("perform",C349)),"Defective Device",ISNUMBER(SEARCH("malfunction",C349)),"Defective Device",ISNUMBER(SEARCH("defect",C349)),"Defective Device",ISNUMBER(SEARCH("fail",C349)),"Defective Device",ISNUMBER(SEARCH("not work",C349)),"Defective Device",ISNUMBER(SEARCH("doesn't work",C349)),"Defective Device",TRUE,"UNKNOWN"),"UNKNOWN")))</f>
        <v/>
      </c>
      <c r="F349" s="4" t="str">
        <f t="shared" si="5"/>
        <v/>
      </c>
      <c r="G349" s="363" t="str">
        <f>IF(E349="","",IFERROR(VLOOKUP(E349,Codes!$L$2:$N$409,3,FALSE),"—"))</f>
        <v/>
      </c>
      <c r="H349" s="88"/>
      <c r="I349" s="88"/>
    </row>
    <row r="350" spans="1:9" ht="13.15" x14ac:dyDescent="0.35">
      <c r="A350" s="434"/>
      <c r="B350" s="436"/>
      <c r="C350" s="437"/>
      <c r="D350" s="434"/>
      <c r="E350" s="93" t="str" cm="1">
        <f t="array" ref="E350">IF(D350&lt;&gt;"",IFERROR(VLOOKUP(D350,Codes!$K$2:$L$409,2,FALSE),"UNKNOWN - "&amp;D350),IF(C350="","",IFERROR(_xlfn.IFS(ISNUMBER(SEARCH("broken button",C350)),"Break",ISNUMBER(SEARCH("broken handle",C350)),"Break",ISNUMBER(SEARCH("shipping damage",C350)),"Break",ISNUMBER(SEARCH("broken",C350)),"Break",ISNUMBER(SEARCH("crack",C350)),"Break",ISNUMBER(SEARCH("snap",C350)),"Break",ISNUMBER(SEARCH("fracture",C350)),"Break",ISNUMBER(SEARCH("bent",C350)),"Material Twisted/Bent",ISNUMBER(SEARCH("twisted",C350)),"Material Twisted/Bent",ISNUMBER(SEARCH("component separat",C350)),"Material Separation",ISNUMBER(SEARCH("separat",C350)),"Material Separation",ISNUMBER(SEARCH("connection",C350)),"Loose or Intermittent Connection",ISNUMBER(SEARCH("loose",C350)),"Loose or Intermittent Connection",ISNUMBER(SEARCH("damaged packaging",C350)),"Packaging Problem",ISNUMBER(SEARCH("packaging",C350)),"Packaging Problem",ISNUMBER(SEARCH("discoloration",C350)),"Contamination",ISNUMBER(SEARCH("tarnish",C350)),"Contamination",ISNUMBER(SEARCH("stain",C350)),"Contamination",ISNUMBER(SEARCH("foreign material",C350)),"Contamination",ISNUMBER(SEARCH("contamina",C350)),"Contamination",ISNUMBER(SEARCH("overheat",C350)),"Overheating of Device",ISNUMBER(SEARCH("excessive heat",C350)),"Overheating of Device",ISNUMBER(SEARCH("hot",C350)),"Overheating of Device",ISNUMBER(SEARCH("noise",C350)),"Noise, Audible",ISNUMBER(SEARCH("sound",C350)),"Noise, Audible",ISNUMBER(SEARCH("loud",C350)),"Noise, Audible",ISNUMBER(SEARCH("fray",C350)),"Material Frayed",ISNUMBER(SEARCH("hole",C350)),"Material Frayed",ISNUMBER(SEARCH("tear",C350)),"Material Frayed",ISNUMBER(SEARCH("worn",C350)),"Material Frayed",ISNUMBER(SEARCH("intermittent",C350)),"Difficult or Delayed Activation",ISNUMBER(SEARCH("delay",C350)),"Difficult or Delayed Activation",ISNUMBER(SEARCH("label",C350)),"Device Markings/Labelling Problem",ISNUMBER(SEARCH("marking",C350)),"Device Markings/Labelling Problem",ISNUMBER(SEARCH("lacerat",C350)),"Defective Device",ISNUMBER(SEARCH("cut",C350)),"Defective Device",ISNUMBER(SEARCH("leak",C350)),"Fluid/Blood Leak",ISNUMBER(SEARCH("missing",C350)),"Component Missing",ISNUMBER(SEARCH("power",C350)),"Complete Loss of Power",ISNUMBER(SEARCH("will not turn on",C350)),"Complete Loss of Power",ISNUMBER(SEARCH("won't turn on",C350)),"Complete Loss of Power",ISNUMBER(SEARCH("does not turn on",C350)),"Complete Loss of Power",ISNUMBER(SEARCH("electrical",C350)),"Electrical Power Problem",ISNUMBER(SEARCH("pressure",C350)),"Detachment of Device or Device Component",ISNUMBER(SEARCH("slip",C350)),"Detachment of Device or Device Component",ISNUMBER(SEARCH("detach",C350)),"Detachment of Device or Device Component",ISNUMBER(SEARCH("stick",C350)),"Mechanical Jam",ISNUMBER(SEARCH("jam",C350)),"Mechanical Jam",ISNUMBER(SEARCH("rigid",C350)),"Mechanical Jam",ISNUMBER(SEARCH("rust",C350)),"Corroded",ISNUMBER(SEARCH("corrod",C350)),"Corroded",ISNUMBER(SEARCH("corrosion",C350)),"Corroded",ISNUMBER(SEARCH("alignment",C350)),"Defective Device",ISNUMBER(SEARCH("adjust",C350)),"Defective Device",ISNUMBER(SEARCH("perform",C350)),"Defective Device",ISNUMBER(SEARCH("malfunction",C350)),"Defective Device",ISNUMBER(SEARCH("defect",C350)),"Defective Device",ISNUMBER(SEARCH("fail",C350)),"Defective Device",ISNUMBER(SEARCH("not work",C350)),"Defective Device",ISNUMBER(SEARCH("doesn't work",C350)),"Defective Device",TRUE,"UNKNOWN"),"UNKNOWN")))</f>
        <v/>
      </c>
      <c r="F350" s="4" t="str">
        <f t="shared" si="5"/>
        <v/>
      </c>
      <c r="G350" s="363" t="str">
        <f>IF(E350="","",IFERROR(VLOOKUP(E350,Codes!$L$2:$N$409,3,FALSE),"—"))</f>
        <v/>
      </c>
      <c r="H350" s="88"/>
      <c r="I350" s="88"/>
    </row>
    <row r="351" spans="1:9" ht="13.15" x14ac:dyDescent="0.35">
      <c r="A351" s="434"/>
      <c r="B351" s="436"/>
      <c r="C351" s="437"/>
      <c r="D351" s="434"/>
      <c r="E351" s="93" t="str" cm="1">
        <f t="array" ref="E351">IF(D351&lt;&gt;"",IFERROR(VLOOKUP(D351,Codes!$K$2:$L$409,2,FALSE),"UNKNOWN - "&amp;D351),IF(C351="","",IFERROR(_xlfn.IFS(ISNUMBER(SEARCH("broken button",C351)),"Break",ISNUMBER(SEARCH("broken handle",C351)),"Break",ISNUMBER(SEARCH("shipping damage",C351)),"Break",ISNUMBER(SEARCH("broken",C351)),"Break",ISNUMBER(SEARCH("crack",C351)),"Break",ISNUMBER(SEARCH("snap",C351)),"Break",ISNUMBER(SEARCH("fracture",C351)),"Break",ISNUMBER(SEARCH("bent",C351)),"Material Twisted/Bent",ISNUMBER(SEARCH("twisted",C351)),"Material Twisted/Bent",ISNUMBER(SEARCH("component separat",C351)),"Material Separation",ISNUMBER(SEARCH("separat",C351)),"Material Separation",ISNUMBER(SEARCH("connection",C351)),"Loose or Intermittent Connection",ISNUMBER(SEARCH("loose",C351)),"Loose or Intermittent Connection",ISNUMBER(SEARCH("damaged packaging",C351)),"Packaging Problem",ISNUMBER(SEARCH("packaging",C351)),"Packaging Problem",ISNUMBER(SEARCH("discoloration",C351)),"Contamination",ISNUMBER(SEARCH("tarnish",C351)),"Contamination",ISNUMBER(SEARCH("stain",C351)),"Contamination",ISNUMBER(SEARCH("foreign material",C351)),"Contamination",ISNUMBER(SEARCH("contamina",C351)),"Contamination",ISNUMBER(SEARCH("overheat",C351)),"Overheating of Device",ISNUMBER(SEARCH("excessive heat",C351)),"Overheating of Device",ISNUMBER(SEARCH("hot",C351)),"Overheating of Device",ISNUMBER(SEARCH("noise",C351)),"Noise, Audible",ISNUMBER(SEARCH("sound",C351)),"Noise, Audible",ISNUMBER(SEARCH("loud",C351)),"Noise, Audible",ISNUMBER(SEARCH("fray",C351)),"Material Frayed",ISNUMBER(SEARCH("hole",C351)),"Material Frayed",ISNUMBER(SEARCH("tear",C351)),"Material Frayed",ISNUMBER(SEARCH("worn",C351)),"Material Frayed",ISNUMBER(SEARCH("intermittent",C351)),"Difficult or Delayed Activation",ISNUMBER(SEARCH("delay",C351)),"Difficult or Delayed Activation",ISNUMBER(SEARCH("label",C351)),"Device Markings/Labelling Problem",ISNUMBER(SEARCH("marking",C351)),"Device Markings/Labelling Problem",ISNUMBER(SEARCH("lacerat",C351)),"Defective Device",ISNUMBER(SEARCH("cut",C351)),"Defective Device",ISNUMBER(SEARCH("leak",C351)),"Fluid/Blood Leak",ISNUMBER(SEARCH("missing",C351)),"Component Missing",ISNUMBER(SEARCH("power",C351)),"Complete Loss of Power",ISNUMBER(SEARCH("will not turn on",C351)),"Complete Loss of Power",ISNUMBER(SEARCH("won't turn on",C351)),"Complete Loss of Power",ISNUMBER(SEARCH("does not turn on",C351)),"Complete Loss of Power",ISNUMBER(SEARCH("electrical",C351)),"Electrical Power Problem",ISNUMBER(SEARCH("pressure",C351)),"Detachment of Device or Device Component",ISNUMBER(SEARCH("slip",C351)),"Detachment of Device or Device Component",ISNUMBER(SEARCH("detach",C351)),"Detachment of Device or Device Component",ISNUMBER(SEARCH("stick",C351)),"Mechanical Jam",ISNUMBER(SEARCH("jam",C351)),"Mechanical Jam",ISNUMBER(SEARCH("rigid",C351)),"Mechanical Jam",ISNUMBER(SEARCH("rust",C351)),"Corroded",ISNUMBER(SEARCH("corrod",C351)),"Corroded",ISNUMBER(SEARCH("corrosion",C351)),"Corroded",ISNUMBER(SEARCH("alignment",C351)),"Defective Device",ISNUMBER(SEARCH("adjust",C351)),"Defective Device",ISNUMBER(SEARCH("perform",C351)),"Defective Device",ISNUMBER(SEARCH("malfunction",C351)),"Defective Device",ISNUMBER(SEARCH("defect",C351)),"Defective Device",ISNUMBER(SEARCH("fail",C351)),"Defective Device",ISNUMBER(SEARCH("not work",C351)),"Defective Device",ISNUMBER(SEARCH("doesn't work",C351)),"Defective Device",TRUE,"UNKNOWN"),"UNKNOWN")))</f>
        <v/>
      </c>
      <c r="F351" s="4" t="str">
        <f t="shared" si="5"/>
        <v/>
      </c>
      <c r="G351" s="363" t="str">
        <f>IF(E351="","",IFERROR(VLOOKUP(E351,Codes!$L$2:$N$409,3,FALSE),"—"))</f>
        <v/>
      </c>
      <c r="H351" s="88"/>
      <c r="I351" s="88"/>
    </row>
    <row r="352" spans="1:9" ht="13.15" x14ac:dyDescent="0.35">
      <c r="A352" s="435"/>
      <c r="B352" s="436"/>
      <c r="C352" s="438"/>
      <c r="D352" s="435"/>
      <c r="E352" s="93" t="str" cm="1">
        <f t="array" ref="E352">IF(D352&lt;&gt;"",IFERROR(VLOOKUP(D352,Codes!$K$2:$L$409,2,FALSE),"UNKNOWN - "&amp;D352),IF(C352="","",IFERROR(_xlfn.IFS(ISNUMBER(SEARCH("broken button",C352)),"Break",ISNUMBER(SEARCH("broken handle",C352)),"Break",ISNUMBER(SEARCH("shipping damage",C352)),"Break",ISNUMBER(SEARCH("broken",C352)),"Break",ISNUMBER(SEARCH("crack",C352)),"Break",ISNUMBER(SEARCH("snap",C352)),"Break",ISNUMBER(SEARCH("fracture",C352)),"Break",ISNUMBER(SEARCH("bent",C352)),"Material Twisted/Bent",ISNUMBER(SEARCH("twisted",C352)),"Material Twisted/Bent",ISNUMBER(SEARCH("component separat",C352)),"Material Separation",ISNUMBER(SEARCH("separat",C352)),"Material Separation",ISNUMBER(SEARCH("connection",C352)),"Loose or Intermittent Connection",ISNUMBER(SEARCH("loose",C352)),"Loose or Intermittent Connection",ISNUMBER(SEARCH("damaged packaging",C352)),"Packaging Problem",ISNUMBER(SEARCH("packaging",C352)),"Packaging Problem",ISNUMBER(SEARCH("discoloration",C352)),"Contamination",ISNUMBER(SEARCH("tarnish",C352)),"Contamination",ISNUMBER(SEARCH("stain",C352)),"Contamination",ISNUMBER(SEARCH("foreign material",C352)),"Contamination",ISNUMBER(SEARCH("contamina",C352)),"Contamination",ISNUMBER(SEARCH("overheat",C352)),"Overheating of Device",ISNUMBER(SEARCH("excessive heat",C352)),"Overheating of Device",ISNUMBER(SEARCH("hot",C352)),"Overheating of Device",ISNUMBER(SEARCH("noise",C352)),"Noise, Audible",ISNUMBER(SEARCH("sound",C352)),"Noise, Audible",ISNUMBER(SEARCH("loud",C352)),"Noise, Audible",ISNUMBER(SEARCH("fray",C352)),"Material Frayed",ISNUMBER(SEARCH("hole",C352)),"Material Frayed",ISNUMBER(SEARCH("tear",C352)),"Material Frayed",ISNUMBER(SEARCH("worn",C352)),"Material Frayed",ISNUMBER(SEARCH("intermittent",C352)),"Difficult or Delayed Activation",ISNUMBER(SEARCH("delay",C352)),"Difficult or Delayed Activation",ISNUMBER(SEARCH("label",C352)),"Device Markings/Labelling Problem",ISNUMBER(SEARCH("marking",C352)),"Device Markings/Labelling Problem",ISNUMBER(SEARCH("lacerat",C352)),"Defective Device",ISNUMBER(SEARCH("cut",C352)),"Defective Device",ISNUMBER(SEARCH("leak",C352)),"Fluid/Blood Leak",ISNUMBER(SEARCH("missing",C352)),"Component Missing",ISNUMBER(SEARCH("power",C352)),"Complete Loss of Power",ISNUMBER(SEARCH("will not turn on",C352)),"Complete Loss of Power",ISNUMBER(SEARCH("won't turn on",C352)),"Complete Loss of Power",ISNUMBER(SEARCH("does not turn on",C352)),"Complete Loss of Power",ISNUMBER(SEARCH("electrical",C352)),"Electrical Power Problem",ISNUMBER(SEARCH("pressure",C352)),"Detachment of Device or Device Component",ISNUMBER(SEARCH("slip",C352)),"Detachment of Device or Device Component",ISNUMBER(SEARCH("detach",C352)),"Detachment of Device or Device Component",ISNUMBER(SEARCH("stick",C352)),"Mechanical Jam",ISNUMBER(SEARCH("jam",C352)),"Mechanical Jam",ISNUMBER(SEARCH("rigid",C352)),"Mechanical Jam",ISNUMBER(SEARCH("rust",C352)),"Corroded",ISNUMBER(SEARCH("corrod",C352)),"Corroded",ISNUMBER(SEARCH("corrosion",C352)),"Corroded",ISNUMBER(SEARCH("alignment",C352)),"Defective Device",ISNUMBER(SEARCH("adjust",C352)),"Defective Device",ISNUMBER(SEARCH("perform",C352)),"Defective Device",ISNUMBER(SEARCH("malfunction",C352)),"Defective Device",ISNUMBER(SEARCH("defect",C352)),"Defective Device",ISNUMBER(SEARCH("fail",C352)),"Defective Device",ISNUMBER(SEARCH("not work",C352)),"Defective Device",ISNUMBER(SEARCH("doesn't work",C352)),"Defective Device",TRUE,"UNKNOWN"),"UNKNOWN")))</f>
        <v/>
      </c>
      <c r="F352" s="4" t="str">
        <f t="shared" si="5"/>
        <v/>
      </c>
      <c r="G352" s="363" t="str">
        <f>IF(E352="","",IFERROR(VLOOKUP(E352,Codes!$L$2:$N$409,3,FALSE),"—"))</f>
        <v/>
      </c>
      <c r="H352" s="88"/>
      <c r="I352" s="88"/>
    </row>
    <row r="353" spans="1:9" ht="13.15" x14ac:dyDescent="0.35">
      <c r="A353" s="434"/>
      <c r="B353" s="436"/>
      <c r="C353" s="437"/>
      <c r="D353" s="434"/>
      <c r="E353" s="93" t="str" cm="1">
        <f t="array" ref="E353">IF(D353&lt;&gt;"",IFERROR(VLOOKUP(D353,Codes!$K$2:$L$409,2,FALSE),"UNKNOWN - "&amp;D353),IF(C353="","",IFERROR(_xlfn.IFS(ISNUMBER(SEARCH("broken button",C353)),"Break",ISNUMBER(SEARCH("broken handle",C353)),"Break",ISNUMBER(SEARCH("shipping damage",C353)),"Break",ISNUMBER(SEARCH("broken",C353)),"Break",ISNUMBER(SEARCH("crack",C353)),"Break",ISNUMBER(SEARCH("snap",C353)),"Break",ISNUMBER(SEARCH("fracture",C353)),"Break",ISNUMBER(SEARCH("bent",C353)),"Material Twisted/Bent",ISNUMBER(SEARCH("twisted",C353)),"Material Twisted/Bent",ISNUMBER(SEARCH("component separat",C353)),"Material Separation",ISNUMBER(SEARCH("separat",C353)),"Material Separation",ISNUMBER(SEARCH("connection",C353)),"Loose or Intermittent Connection",ISNUMBER(SEARCH("loose",C353)),"Loose or Intermittent Connection",ISNUMBER(SEARCH("damaged packaging",C353)),"Packaging Problem",ISNUMBER(SEARCH("packaging",C353)),"Packaging Problem",ISNUMBER(SEARCH("discoloration",C353)),"Contamination",ISNUMBER(SEARCH("tarnish",C353)),"Contamination",ISNUMBER(SEARCH("stain",C353)),"Contamination",ISNUMBER(SEARCH("foreign material",C353)),"Contamination",ISNUMBER(SEARCH("contamina",C353)),"Contamination",ISNUMBER(SEARCH("overheat",C353)),"Overheating of Device",ISNUMBER(SEARCH("excessive heat",C353)),"Overheating of Device",ISNUMBER(SEARCH("hot",C353)),"Overheating of Device",ISNUMBER(SEARCH("noise",C353)),"Noise, Audible",ISNUMBER(SEARCH("sound",C353)),"Noise, Audible",ISNUMBER(SEARCH("loud",C353)),"Noise, Audible",ISNUMBER(SEARCH("fray",C353)),"Material Frayed",ISNUMBER(SEARCH("hole",C353)),"Material Frayed",ISNUMBER(SEARCH("tear",C353)),"Material Frayed",ISNUMBER(SEARCH("worn",C353)),"Material Frayed",ISNUMBER(SEARCH("intermittent",C353)),"Difficult or Delayed Activation",ISNUMBER(SEARCH("delay",C353)),"Difficult or Delayed Activation",ISNUMBER(SEARCH("label",C353)),"Device Markings/Labelling Problem",ISNUMBER(SEARCH("marking",C353)),"Device Markings/Labelling Problem",ISNUMBER(SEARCH("lacerat",C353)),"Defective Device",ISNUMBER(SEARCH("cut",C353)),"Defective Device",ISNUMBER(SEARCH("leak",C353)),"Fluid/Blood Leak",ISNUMBER(SEARCH("missing",C353)),"Component Missing",ISNUMBER(SEARCH("power",C353)),"Complete Loss of Power",ISNUMBER(SEARCH("will not turn on",C353)),"Complete Loss of Power",ISNUMBER(SEARCH("won't turn on",C353)),"Complete Loss of Power",ISNUMBER(SEARCH("does not turn on",C353)),"Complete Loss of Power",ISNUMBER(SEARCH("electrical",C353)),"Electrical Power Problem",ISNUMBER(SEARCH("pressure",C353)),"Detachment of Device or Device Component",ISNUMBER(SEARCH("slip",C353)),"Detachment of Device or Device Component",ISNUMBER(SEARCH("detach",C353)),"Detachment of Device or Device Component",ISNUMBER(SEARCH("stick",C353)),"Mechanical Jam",ISNUMBER(SEARCH("jam",C353)),"Mechanical Jam",ISNUMBER(SEARCH("rigid",C353)),"Mechanical Jam",ISNUMBER(SEARCH("rust",C353)),"Corroded",ISNUMBER(SEARCH("corrod",C353)),"Corroded",ISNUMBER(SEARCH("corrosion",C353)),"Corroded",ISNUMBER(SEARCH("alignment",C353)),"Defective Device",ISNUMBER(SEARCH("adjust",C353)),"Defective Device",ISNUMBER(SEARCH("perform",C353)),"Defective Device",ISNUMBER(SEARCH("malfunction",C353)),"Defective Device",ISNUMBER(SEARCH("defect",C353)),"Defective Device",ISNUMBER(SEARCH("fail",C353)),"Defective Device",ISNUMBER(SEARCH("not work",C353)),"Defective Device",ISNUMBER(SEARCH("doesn't work",C353)),"Defective Device",TRUE,"UNKNOWN"),"UNKNOWN")))</f>
        <v/>
      </c>
      <c r="F353" s="4" t="str">
        <f t="shared" si="5"/>
        <v/>
      </c>
      <c r="G353" s="363" t="str">
        <f>IF(E353="","",IFERROR(VLOOKUP(E353,Codes!$L$2:$N$409,3,FALSE),"—"))</f>
        <v/>
      </c>
      <c r="H353" s="88"/>
      <c r="I353" s="88"/>
    </row>
    <row r="354" spans="1:9" ht="13.15" x14ac:dyDescent="0.35">
      <c r="A354" s="435"/>
      <c r="B354" s="436"/>
      <c r="C354" s="438"/>
      <c r="D354" s="435"/>
      <c r="E354" s="93" t="str" cm="1">
        <f t="array" ref="E354">IF(D354&lt;&gt;"",IFERROR(VLOOKUP(D354,Codes!$K$2:$L$409,2,FALSE),"UNKNOWN - "&amp;D354),IF(C354="","",IFERROR(_xlfn.IFS(ISNUMBER(SEARCH("broken button",C354)),"Break",ISNUMBER(SEARCH("broken handle",C354)),"Break",ISNUMBER(SEARCH("shipping damage",C354)),"Break",ISNUMBER(SEARCH("broken",C354)),"Break",ISNUMBER(SEARCH("crack",C354)),"Break",ISNUMBER(SEARCH("snap",C354)),"Break",ISNUMBER(SEARCH("fracture",C354)),"Break",ISNUMBER(SEARCH("bent",C354)),"Material Twisted/Bent",ISNUMBER(SEARCH("twisted",C354)),"Material Twisted/Bent",ISNUMBER(SEARCH("component separat",C354)),"Material Separation",ISNUMBER(SEARCH("separat",C354)),"Material Separation",ISNUMBER(SEARCH("connection",C354)),"Loose or Intermittent Connection",ISNUMBER(SEARCH("loose",C354)),"Loose or Intermittent Connection",ISNUMBER(SEARCH("damaged packaging",C354)),"Packaging Problem",ISNUMBER(SEARCH("packaging",C354)),"Packaging Problem",ISNUMBER(SEARCH("discoloration",C354)),"Contamination",ISNUMBER(SEARCH("tarnish",C354)),"Contamination",ISNUMBER(SEARCH("stain",C354)),"Contamination",ISNUMBER(SEARCH("foreign material",C354)),"Contamination",ISNUMBER(SEARCH("contamina",C354)),"Contamination",ISNUMBER(SEARCH("overheat",C354)),"Overheating of Device",ISNUMBER(SEARCH("excessive heat",C354)),"Overheating of Device",ISNUMBER(SEARCH("hot",C354)),"Overheating of Device",ISNUMBER(SEARCH("noise",C354)),"Noise, Audible",ISNUMBER(SEARCH("sound",C354)),"Noise, Audible",ISNUMBER(SEARCH("loud",C354)),"Noise, Audible",ISNUMBER(SEARCH("fray",C354)),"Material Frayed",ISNUMBER(SEARCH("hole",C354)),"Material Frayed",ISNUMBER(SEARCH("tear",C354)),"Material Frayed",ISNUMBER(SEARCH("worn",C354)),"Material Frayed",ISNUMBER(SEARCH("intermittent",C354)),"Difficult or Delayed Activation",ISNUMBER(SEARCH("delay",C354)),"Difficult or Delayed Activation",ISNUMBER(SEARCH("label",C354)),"Device Markings/Labelling Problem",ISNUMBER(SEARCH("marking",C354)),"Device Markings/Labelling Problem",ISNUMBER(SEARCH("lacerat",C354)),"Defective Device",ISNUMBER(SEARCH("cut",C354)),"Defective Device",ISNUMBER(SEARCH("leak",C354)),"Fluid/Blood Leak",ISNUMBER(SEARCH("missing",C354)),"Component Missing",ISNUMBER(SEARCH("power",C354)),"Complete Loss of Power",ISNUMBER(SEARCH("will not turn on",C354)),"Complete Loss of Power",ISNUMBER(SEARCH("won't turn on",C354)),"Complete Loss of Power",ISNUMBER(SEARCH("does not turn on",C354)),"Complete Loss of Power",ISNUMBER(SEARCH("electrical",C354)),"Electrical Power Problem",ISNUMBER(SEARCH("pressure",C354)),"Detachment of Device or Device Component",ISNUMBER(SEARCH("slip",C354)),"Detachment of Device or Device Component",ISNUMBER(SEARCH("detach",C354)),"Detachment of Device or Device Component",ISNUMBER(SEARCH("stick",C354)),"Mechanical Jam",ISNUMBER(SEARCH("jam",C354)),"Mechanical Jam",ISNUMBER(SEARCH("rigid",C354)),"Mechanical Jam",ISNUMBER(SEARCH("rust",C354)),"Corroded",ISNUMBER(SEARCH("corrod",C354)),"Corroded",ISNUMBER(SEARCH("corrosion",C354)),"Corroded",ISNUMBER(SEARCH("alignment",C354)),"Defective Device",ISNUMBER(SEARCH("adjust",C354)),"Defective Device",ISNUMBER(SEARCH("perform",C354)),"Defective Device",ISNUMBER(SEARCH("malfunction",C354)),"Defective Device",ISNUMBER(SEARCH("defect",C354)),"Defective Device",ISNUMBER(SEARCH("fail",C354)),"Defective Device",ISNUMBER(SEARCH("not work",C354)),"Defective Device",ISNUMBER(SEARCH("doesn't work",C354)),"Defective Device",TRUE,"UNKNOWN"),"UNKNOWN")))</f>
        <v/>
      </c>
      <c r="F354" s="4" t="str">
        <f t="shared" si="5"/>
        <v/>
      </c>
      <c r="G354" s="363" t="str">
        <f>IF(E354="","",IFERROR(VLOOKUP(E354,Codes!$L$2:$N$409,3,FALSE),"—"))</f>
        <v/>
      </c>
      <c r="H354" s="88"/>
      <c r="I354" s="88"/>
    </row>
    <row r="355" spans="1:9" ht="13.15" x14ac:dyDescent="0.35">
      <c r="A355" s="434"/>
      <c r="B355" s="436"/>
      <c r="C355" s="439"/>
      <c r="D355" s="434"/>
      <c r="E355" s="93" t="str" cm="1">
        <f t="array" ref="E355">IF(D355&lt;&gt;"",IFERROR(VLOOKUP(D355,Codes!$K$2:$L$409,2,FALSE),"UNKNOWN - "&amp;D355),IF(C355="","",IFERROR(_xlfn.IFS(ISNUMBER(SEARCH("broken button",C355)),"Break",ISNUMBER(SEARCH("broken handle",C355)),"Break",ISNUMBER(SEARCH("shipping damage",C355)),"Break",ISNUMBER(SEARCH("broken",C355)),"Break",ISNUMBER(SEARCH("crack",C355)),"Break",ISNUMBER(SEARCH("snap",C355)),"Break",ISNUMBER(SEARCH("fracture",C355)),"Break",ISNUMBER(SEARCH("bent",C355)),"Material Twisted/Bent",ISNUMBER(SEARCH("twisted",C355)),"Material Twisted/Bent",ISNUMBER(SEARCH("component separat",C355)),"Material Separation",ISNUMBER(SEARCH("separat",C355)),"Material Separation",ISNUMBER(SEARCH("connection",C355)),"Loose or Intermittent Connection",ISNUMBER(SEARCH("loose",C355)),"Loose or Intermittent Connection",ISNUMBER(SEARCH("damaged packaging",C355)),"Packaging Problem",ISNUMBER(SEARCH("packaging",C355)),"Packaging Problem",ISNUMBER(SEARCH("discoloration",C355)),"Contamination",ISNUMBER(SEARCH("tarnish",C355)),"Contamination",ISNUMBER(SEARCH("stain",C355)),"Contamination",ISNUMBER(SEARCH("foreign material",C355)),"Contamination",ISNUMBER(SEARCH("contamina",C355)),"Contamination",ISNUMBER(SEARCH("overheat",C355)),"Overheating of Device",ISNUMBER(SEARCH("excessive heat",C355)),"Overheating of Device",ISNUMBER(SEARCH("hot",C355)),"Overheating of Device",ISNUMBER(SEARCH("noise",C355)),"Noise, Audible",ISNUMBER(SEARCH("sound",C355)),"Noise, Audible",ISNUMBER(SEARCH("loud",C355)),"Noise, Audible",ISNUMBER(SEARCH("fray",C355)),"Material Frayed",ISNUMBER(SEARCH("hole",C355)),"Material Frayed",ISNUMBER(SEARCH("tear",C355)),"Material Frayed",ISNUMBER(SEARCH("worn",C355)),"Material Frayed",ISNUMBER(SEARCH("intermittent",C355)),"Difficult or Delayed Activation",ISNUMBER(SEARCH("delay",C355)),"Difficult or Delayed Activation",ISNUMBER(SEARCH("label",C355)),"Device Markings/Labelling Problem",ISNUMBER(SEARCH("marking",C355)),"Device Markings/Labelling Problem",ISNUMBER(SEARCH("lacerat",C355)),"Defective Device",ISNUMBER(SEARCH("cut",C355)),"Defective Device",ISNUMBER(SEARCH("leak",C355)),"Fluid/Blood Leak",ISNUMBER(SEARCH("missing",C355)),"Component Missing",ISNUMBER(SEARCH("power",C355)),"Complete Loss of Power",ISNUMBER(SEARCH("will not turn on",C355)),"Complete Loss of Power",ISNUMBER(SEARCH("won't turn on",C355)),"Complete Loss of Power",ISNUMBER(SEARCH("does not turn on",C355)),"Complete Loss of Power",ISNUMBER(SEARCH("electrical",C355)),"Electrical Power Problem",ISNUMBER(SEARCH("pressure",C355)),"Detachment of Device or Device Component",ISNUMBER(SEARCH("slip",C355)),"Detachment of Device or Device Component",ISNUMBER(SEARCH("detach",C355)),"Detachment of Device or Device Component",ISNUMBER(SEARCH("stick",C355)),"Mechanical Jam",ISNUMBER(SEARCH("jam",C355)),"Mechanical Jam",ISNUMBER(SEARCH("rigid",C355)),"Mechanical Jam",ISNUMBER(SEARCH("rust",C355)),"Corroded",ISNUMBER(SEARCH("corrod",C355)),"Corroded",ISNUMBER(SEARCH("corrosion",C355)),"Corroded",ISNUMBER(SEARCH("alignment",C355)),"Defective Device",ISNUMBER(SEARCH("adjust",C355)),"Defective Device",ISNUMBER(SEARCH("perform",C355)),"Defective Device",ISNUMBER(SEARCH("malfunction",C355)),"Defective Device",ISNUMBER(SEARCH("defect",C355)),"Defective Device",ISNUMBER(SEARCH("fail",C355)),"Defective Device",ISNUMBER(SEARCH("not work",C355)),"Defective Device",ISNUMBER(SEARCH("doesn't work",C355)),"Defective Device",TRUE,"UNKNOWN"),"UNKNOWN")))</f>
        <v/>
      </c>
      <c r="F355" s="4" t="str">
        <f t="shared" si="5"/>
        <v/>
      </c>
      <c r="G355" s="363" t="str">
        <f>IF(E355="","",IFERROR(VLOOKUP(E355,Codes!$L$2:$N$409,3,FALSE),"—"))</f>
        <v/>
      </c>
      <c r="H355" s="88"/>
      <c r="I355" s="88"/>
    </row>
    <row r="356" spans="1:9" ht="13.15" x14ac:dyDescent="0.35">
      <c r="A356" s="434"/>
      <c r="B356" s="436"/>
      <c r="C356" s="437"/>
      <c r="D356" s="434"/>
      <c r="E356" s="93" t="str" cm="1">
        <f t="array" ref="E356">IF(D356&lt;&gt;"",IFERROR(VLOOKUP(D356,Codes!$K$2:$L$409,2,FALSE),"UNKNOWN - "&amp;D356),IF(C356="","",IFERROR(_xlfn.IFS(ISNUMBER(SEARCH("broken button",C356)),"Break",ISNUMBER(SEARCH("broken handle",C356)),"Break",ISNUMBER(SEARCH("shipping damage",C356)),"Break",ISNUMBER(SEARCH("broken",C356)),"Break",ISNUMBER(SEARCH("crack",C356)),"Break",ISNUMBER(SEARCH("snap",C356)),"Break",ISNUMBER(SEARCH("fracture",C356)),"Break",ISNUMBER(SEARCH("bent",C356)),"Material Twisted/Bent",ISNUMBER(SEARCH("twisted",C356)),"Material Twisted/Bent",ISNUMBER(SEARCH("component separat",C356)),"Material Separation",ISNUMBER(SEARCH("separat",C356)),"Material Separation",ISNUMBER(SEARCH("connection",C356)),"Loose or Intermittent Connection",ISNUMBER(SEARCH("loose",C356)),"Loose or Intermittent Connection",ISNUMBER(SEARCH("damaged packaging",C356)),"Packaging Problem",ISNUMBER(SEARCH("packaging",C356)),"Packaging Problem",ISNUMBER(SEARCH("discoloration",C356)),"Contamination",ISNUMBER(SEARCH("tarnish",C356)),"Contamination",ISNUMBER(SEARCH("stain",C356)),"Contamination",ISNUMBER(SEARCH("foreign material",C356)),"Contamination",ISNUMBER(SEARCH("contamina",C356)),"Contamination",ISNUMBER(SEARCH("overheat",C356)),"Overheating of Device",ISNUMBER(SEARCH("excessive heat",C356)),"Overheating of Device",ISNUMBER(SEARCH("hot",C356)),"Overheating of Device",ISNUMBER(SEARCH("noise",C356)),"Noise, Audible",ISNUMBER(SEARCH("sound",C356)),"Noise, Audible",ISNUMBER(SEARCH("loud",C356)),"Noise, Audible",ISNUMBER(SEARCH("fray",C356)),"Material Frayed",ISNUMBER(SEARCH("hole",C356)),"Material Frayed",ISNUMBER(SEARCH("tear",C356)),"Material Frayed",ISNUMBER(SEARCH("worn",C356)),"Material Frayed",ISNUMBER(SEARCH("intermittent",C356)),"Difficult or Delayed Activation",ISNUMBER(SEARCH("delay",C356)),"Difficult or Delayed Activation",ISNUMBER(SEARCH("label",C356)),"Device Markings/Labelling Problem",ISNUMBER(SEARCH("marking",C356)),"Device Markings/Labelling Problem",ISNUMBER(SEARCH("lacerat",C356)),"Defective Device",ISNUMBER(SEARCH("cut",C356)),"Defective Device",ISNUMBER(SEARCH("leak",C356)),"Fluid/Blood Leak",ISNUMBER(SEARCH("missing",C356)),"Component Missing",ISNUMBER(SEARCH("power",C356)),"Complete Loss of Power",ISNUMBER(SEARCH("will not turn on",C356)),"Complete Loss of Power",ISNUMBER(SEARCH("won't turn on",C356)),"Complete Loss of Power",ISNUMBER(SEARCH("does not turn on",C356)),"Complete Loss of Power",ISNUMBER(SEARCH("electrical",C356)),"Electrical Power Problem",ISNUMBER(SEARCH("pressure",C356)),"Detachment of Device or Device Component",ISNUMBER(SEARCH("slip",C356)),"Detachment of Device or Device Component",ISNUMBER(SEARCH("detach",C356)),"Detachment of Device or Device Component",ISNUMBER(SEARCH("stick",C356)),"Mechanical Jam",ISNUMBER(SEARCH("jam",C356)),"Mechanical Jam",ISNUMBER(SEARCH("rigid",C356)),"Mechanical Jam",ISNUMBER(SEARCH("rust",C356)),"Corroded",ISNUMBER(SEARCH("corrod",C356)),"Corroded",ISNUMBER(SEARCH("corrosion",C356)),"Corroded",ISNUMBER(SEARCH("alignment",C356)),"Defective Device",ISNUMBER(SEARCH("adjust",C356)),"Defective Device",ISNUMBER(SEARCH("perform",C356)),"Defective Device",ISNUMBER(SEARCH("malfunction",C356)),"Defective Device",ISNUMBER(SEARCH("defect",C356)),"Defective Device",ISNUMBER(SEARCH("fail",C356)),"Defective Device",ISNUMBER(SEARCH("not work",C356)),"Defective Device",ISNUMBER(SEARCH("doesn't work",C356)),"Defective Device",TRUE,"UNKNOWN"),"UNKNOWN")))</f>
        <v/>
      </c>
      <c r="F356" s="4" t="str">
        <f t="shared" si="5"/>
        <v/>
      </c>
      <c r="G356" s="363" t="str">
        <f>IF(E356="","",IFERROR(VLOOKUP(E356,Codes!$L$2:$N$409,3,FALSE),"—"))</f>
        <v/>
      </c>
      <c r="H356" s="88"/>
      <c r="I356" s="88"/>
    </row>
    <row r="357" spans="1:9" ht="13.15" x14ac:dyDescent="0.35">
      <c r="A357" s="435"/>
      <c r="B357" s="436"/>
      <c r="C357" s="438"/>
      <c r="D357" s="435"/>
      <c r="E357" s="93" t="str" cm="1">
        <f t="array" ref="E357">IF(D357&lt;&gt;"",IFERROR(VLOOKUP(D357,Codes!$K$2:$L$409,2,FALSE),"UNKNOWN - "&amp;D357),IF(C357="","",IFERROR(_xlfn.IFS(ISNUMBER(SEARCH("broken button",C357)),"Break",ISNUMBER(SEARCH("broken handle",C357)),"Break",ISNUMBER(SEARCH("shipping damage",C357)),"Break",ISNUMBER(SEARCH("broken",C357)),"Break",ISNUMBER(SEARCH("crack",C357)),"Break",ISNUMBER(SEARCH("snap",C357)),"Break",ISNUMBER(SEARCH("fracture",C357)),"Break",ISNUMBER(SEARCH("bent",C357)),"Material Twisted/Bent",ISNUMBER(SEARCH("twisted",C357)),"Material Twisted/Bent",ISNUMBER(SEARCH("component separat",C357)),"Material Separation",ISNUMBER(SEARCH("separat",C357)),"Material Separation",ISNUMBER(SEARCH("connection",C357)),"Loose or Intermittent Connection",ISNUMBER(SEARCH("loose",C357)),"Loose or Intermittent Connection",ISNUMBER(SEARCH("damaged packaging",C357)),"Packaging Problem",ISNUMBER(SEARCH("packaging",C357)),"Packaging Problem",ISNUMBER(SEARCH("discoloration",C357)),"Contamination",ISNUMBER(SEARCH("tarnish",C357)),"Contamination",ISNUMBER(SEARCH("stain",C357)),"Contamination",ISNUMBER(SEARCH("foreign material",C357)),"Contamination",ISNUMBER(SEARCH("contamina",C357)),"Contamination",ISNUMBER(SEARCH("overheat",C357)),"Overheating of Device",ISNUMBER(SEARCH("excessive heat",C357)),"Overheating of Device",ISNUMBER(SEARCH("hot",C357)),"Overheating of Device",ISNUMBER(SEARCH("noise",C357)),"Noise, Audible",ISNUMBER(SEARCH("sound",C357)),"Noise, Audible",ISNUMBER(SEARCH("loud",C357)),"Noise, Audible",ISNUMBER(SEARCH("fray",C357)),"Material Frayed",ISNUMBER(SEARCH("hole",C357)),"Material Frayed",ISNUMBER(SEARCH("tear",C357)),"Material Frayed",ISNUMBER(SEARCH("worn",C357)),"Material Frayed",ISNUMBER(SEARCH("intermittent",C357)),"Difficult or Delayed Activation",ISNUMBER(SEARCH("delay",C357)),"Difficult or Delayed Activation",ISNUMBER(SEARCH("label",C357)),"Device Markings/Labelling Problem",ISNUMBER(SEARCH("marking",C357)),"Device Markings/Labelling Problem",ISNUMBER(SEARCH("lacerat",C357)),"Defective Device",ISNUMBER(SEARCH("cut",C357)),"Defective Device",ISNUMBER(SEARCH("leak",C357)),"Fluid/Blood Leak",ISNUMBER(SEARCH("missing",C357)),"Component Missing",ISNUMBER(SEARCH("power",C357)),"Complete Loss of Power",ISNUMBER(SEARCH("will not turn on",C357)),"Complete Loss of Power",ISNUMBER(SEARCH("won't turn on",C357)),"Complete Loss of Power",ISNUMBER(SEARCH("does not turn on",C357)),"Complete Loss of Power",ISNUMBER(SEARCH("electrical",C357)),"Electrical Power Problem",ISNUMBER(SEARCH("pressure",C357)),"Detachment of Device or Device Component",ISNUMBER(SEARCH("slip",C357)),"Detachment of Device or Device Component",ISNUMBER(SEARCH("detach",C357)),"Detachment of Device or Device Component",ISNUMBER(SEARCH("stick",C357)),"Mechanical Jam",ISNUMBER(SEARCH("jam",C357)),"Mechanical Jam",ISNUMBER(SEARCH("rigid",C357)),"Mechanical Jam",ISNUMBER(SEARCH("rust",C357)),"Corroded",ISNUMBER(SEARCH("corrod",C357)),"Corroded",ISNUMBER(SEARCH("corrosion",C357)),"Corroded",ISNUMBER(SEARCH("alignment",C357)),"Defective Device",ISNUMBER(SEARCH("adjust",C357)),"Defective Device",ISNUMBER(SEARCH("perform",C357)),"Defective Device",ISNUMBER(SEARCH("malfunction",C357)),"Defective Device",ISNUMBER(SEARCH("defect",C357)),"Defective Device",ISNUMBER(SEARCH("fail",C357)),"Defective Device",ISNUMBER(SEARCH("not work",C357)),"Defective Device",ISNUMBER(SEARCH("doesn't work",C357)),"Defective Device",TRUE,"UNKNOWN"),"UNKNOWN")))</f>
        <v/>
      </c>
      <c r="F357" s="4" t="str">
        <f t="shared" si="5"/>
        <v/>
      </c>
      <c r="G357" s="363" t="str">
        <f>IF(E357="","",IFERROR(VLOOKUP(E357,Codes!$L$2:$N$409,3,FALSE),"—"))</f>
        <v/>
      </c>
      <c r="H357" s="88"/>
      <c r="I357" s="88"/>
    </row>
    <row r="358" spans="1:9" ht="13.15" x14ac:dyDescent="0.35">
      <c r="A358" s="435"/>
      <c r="B358" s="436"/>
      <c r="C358" s="438"/>
      <c r="D358" s="435"/>
      <c r="E358" s="93" t="str" cm="1">
        <f t="array" ref="E358">IF(D358&lt;&gt;"",IFERROR(VLOOKUP(D358,Codes!$K$2:$L$409,2,FALSE),"UNKNOWN - "&amp;D358),IF(C358="","",IFERROR(_xlfn.IFS(ISNUMBER(SEARCH("broken button",C358)),"Break",ISNUMBER(SEARCH("broken handle",C358)),"Break",ISNUMBER(SEARCH("shipping damage",C358)),"Break",ISNUMBER(SEARCH("broken",C358)),"Break",ISNUMBER(SEARCH("crack",C358)),"Break",ISNUMBER(SEARCH("snap",C358)),"Break",ISNUMBER(SEARCH("fracture",C358)),"Break",ISNUMBER(SEARCH("bent",C358)),"Material Twisted/Bent",ISNUMBER(SEARCH("twisted",C358)),"Material Twisted/Bent",ISNUMBER(SEARCH("component separat",C358)),"Material Separation",ISNUMBER(SEARCH("separat",C358)),"Material Separation",ISNUMBER(SEARCH("connection",C358)),"Loose or Intermittent Connection",ISNUMBER(SEARCH("loose",C358)),"Loose or Intermittent Connection",ISNUMBER(SEARCH("damaged packaging",C358)),"Packaging Problem",ISNUMBER(SEARCH("packaging",C358)),"Packaging Problem",ISNUMBER(SEARCH("discoloration",C358)),"Contamination",ISNUMBER(SEARCH("tarnish",C358)),"Contamination",ISNUMBER(SEARCH("stain",C358)),"Contamination",ISNUMBER(SEARCH("foreign material",C358)),"Contamination",ISNUMBER(SEARCH("contamina",C358)),"Contamination",ISNUMBER(SEARCH("overheat",C358)),"Overheating of Device",ISNUMBER(SEARCH("excessive heat",C358)),"Overheating of Device",ISNUMBER(SEARCH("hot",C358)),"Overheating of Device",ISNUMBER(SEARCH("noise",C358)),"Noise, Audible",ISNUMBER(SEARCH("sound",C358)),"Noise, Audible",ISNUMBER(SEARCH("loud",C358)),"Noise, Audible",ISNUMBER(SEARCH("fray",C358)),"Material Frayed",ISNUMBER(SEARCH("hole",C358)),"Material Frayed",ISNUMBER(SEARCH("tear",C358)),"Material Frayed",ISNUMBER(SEARCH("worn",C358)),"Material Frayed",ISNUMBER(SEARCH("intermittent",C358)),"Difficult or Delayed Activation",ISNUMBER(SEARCH("delay",C358)),"Difficult or Delayed Activation",ISNUMBER(SEARCH("label",C358)),"Device Markings/Labelling Problem",ISNUMBER(SEARCH("marking",C358)),"Device Markings/Labelling Problem",ISNUMBER(SEARCH("lacerat",C358)),"Defective Device",ISNUMBER(SEARCH("cut",C358)),"Defective Device",ISNUMBER(SEARCH("leak",C358)),"Fluid/Blood Leak",ISNUMBER(SEARCH("missing",C358)),"Component Missing",ISNUMBER(SEARCH("power",C358)),"Complete Loss of Power",ISNUMBER(SEARCH("will not turn on",C358)),"Complete Loss of Power",ISNUMBER(SEARCH("won't turn on",C358)),"Complete Loss of Power",ISNUMBER(SEARCH("does not turn on",C358)),"Complete Loss of Power",ISNUMBER(SEARCH("electrical",C358)),"Electrical Power Problem",ISNUMBER(SEARCH("pressure",C358)),"Detachment of Device or Device Component",ISNUMBER(SEARCH("slip",C358)),"Detachment of Device or Device Component",ISNUMBER(SEARCH("detach",C358)),"Detachment of Device or Device Component",ISNUMBER(SEARCH("stick",C358)),"Mechanical Jam",ISNUMBER(SEARCH("jam",C358)),"Mechanical Jam",ISNUMBER(SEARCH("rigid",C358)),"Mechanical Jam",ISNUMBER(SEARCH("rust",C358)),"Corroded",ISNUMBER(SEARCH("corrod",C358)),"Corroded",ISNUMBER(SEARCH("corrosion",C358)),"Corroded",ISNUMBER(SEARCH("alignment",C358)),"Defective Device",ISNUMBER(SEARCH("adjust",C358)),"Defective Device",ISNUMBER(SEARCH("perform",C358)),"Defective Device",ISNUMBER(SEARCH("malfunction",C358)),"Defective Device",ISNUMBER(SEARCH("defect",C358)),"Defective Device",ISNUMBER(SEARCH("fail",C358)),"Defective Device",ISNUMBER(SEARCH("not work",C358)),"Defective Device",ISNUMBER(SEARCH("doesn't work",C358)),"Defective Device",TRUE,"UNKNOWN"),"UNKNOWN")))</f>
        <v/>
      </c>
      <c r="F358" s="4" t="str">
        <f t="shared" si="5"/>
        <v/>
      </c>
      <c r="G358" s="363" t="str">
        <f>IF(E358="","",IFERROR(VLOOKUP(E358,Codes!$L$2:$N$409,3,FALSE),"—"))</f>
        <v/>
      </c>
      <c r="H358" s="88"/>
      <c r="I358" s="88"/>
    </row>
    <row r="359" spans="1:9" ht="13.15" x14ac:dyDescent="0.35">
      <c r="A359" s="434"/>
      <c r="B359" s="436"/>
      <c r="C359" s="437"/>
      <c r="D359" s="434"/>
      <c r="E359" s="93" t="str" cm="1">
        <f t="array" ref="E359">IF(D359&lt;&gt;"",IFERROR(VLOOKUP(D359,Codes!$K$2:$L$409,2,FALSE),"UNKNOWN - "&amp;D359),IF(C359="","",IFERROR(_xlfn.IFS(ISNUMBER(SEARCH("broken button",C359)),"Break",ISNUMBER(SEARCH("broken handle",C359)),"Break",ISNUMBER(SEARCH("shipping damage",C359)),"Break",ISNUMBER(SEARCH("broken",C359)),"Break",ISNUMBER(SEARCH("crack",C359)),"Break",ISNUMBER(SEARCH("snap",C359)),"Break",ISNUMBER(SEARCH("fracture",C359)),"Break",ISNUMBER(SEARCH("bent",C359)),"Material Twisted/Bent",ISNUMBER(SEARCH("twisted",C359)),"Material Twisted/Bent",ISNUMBER(SEARCH("component separat",C359)),"Material Separation",ISNUMBER(SEARCH("separat",C359)),"Material Separation",ISNUMBER(SEARCH("connection",C359)),"Loose or Intermittent Connection",ISNUMBER(SEARCH("loose",C359)),"Loose or Intermittent Connection",ISNUMBER(SEARCH("damaged packaging",C359)),"Packaging Problem",ISNUMBER(SEARCH("packaging",C359)),"Packaging Problem",ISNUMBER(SEARCH("discoloration",C359)),"Contamination",ISNUMBER(SEARCH("tarnish",C359)),"Contamination",ISNUMBER(SEARCH("stain",C359)),"Contamination",ISNUMBER(SEARCH("foreign material",C359)),"Contamination",ISNUMBER(SEARCH("contamina",C359)),"Contamination",ISNUMBER(SEARCH("overheat",C359)),"Overheating of Device",ISNUMBER(SEARCH("excessive heat",C359)),"Overheating of Device",ISNUMBER(SEARCH("hot",C359)),"Overheating of Device",ISNUMBER(SEARCH("noise",C359)),"Noise, Audible",ISNUMBER(SEARCH("sound",C359)),"Noise, Audible",ISNUMBER(SEARCH("loud",C359)),"Noise, Audible",ISNUMBER(SEARCH("fray",C359)),"Material Frayed",ISNUMBER(SEARCH("hole",C359)),"Material Frayed",ISNUMBER(SEARCH("tear",C359)),"Material Frayed",ISNUMBER(SEARCH("worn",C359)),"Material Frayed",ISNUMBER(SEARCH("intermittent",C359)),"Difficult or Delayed Activation",ISNUMBER(SEARCH("delay",C359)),"Difficult or Delayed Activation",ISNUMBER(SEARCH("label",C359)),"Device Markings/Labelling Problem",ISNUMBER(SEARCH("marking",C359)),"Device Markings/Labelling Problem",ISNUMBER(SEARCH("lacerat",C359)),"Defective Device",ISNUMBER(SEARCH("cut",C359)),"Defective Device",ISNUMBER(SEARCH("leak",C359)),"Fluid/Blood Leak",ISNUMBER(SEARCH("missing",C359)),"Component Missing",ISNUMBER(SEARCH("power",C359)),"Complete Loss of Power",ISNUMBER(SEARCH("will not turn on",C359)),"Complete Loss of Power",ISNUMBER(SEARCH("won't turn on",C359)),"Complete Loss of Power",ISNUMBER(SEARCH("does not turn on",C359)),"Complete Loss of Power",ISNUMBER(SEARCH("electrical",C359)),"Electrical Power Problem",ISNUMBER(SEARCH("pressure",C359)),"Detachment of Device or Device Component",ISNUMBER(SEARCH("slip",C359)),"Detachment of Device or Device Component",ISNUMBER(SEARCH("detach",C359)),"Detachment of Device or Device Component",ISNUMBER(SEARCH("stick",C359)),"Mechanical Jam",ISNUMBER(SEARCH("jam",C359)),"Mechanical Jam",ISNUMBER(SEARCH("rigid",C359)),"Mechanical Jam",ISNUMBER(SEARCH("rust",C359)),"Corroded",ISNUMBER(SEARCH("corrod",C359)),"Corroded",ISNUMBER(SEARCH("corrosion",C359)),"Corroded",ISNUMBER(SEARCH("alignment",C359)),"Defective Device",ISNUMBER(SEARCH("adjust",C359)),"Defective Device",ISNUMBER(SEARCH("perform",C359)),"Defective Device",ISNUMBER(SEARCH("malfunction",C359)),"Defective Device",ISNUMBER(SEARCH("defect",C359)),"Defective Device",ISNUMBER(SEARCH("fail",C359)),"Defective Device",ISNUMBER(SEARCH("not work",C359)),"Defective Device",ISNUMBER(SEARCH("doesn't work",C359)),"Defective Device",TRUE,"UNKNOWN"),"UNKNOWN")))</f>
        <v/>
      </c>
      <c r="F359" s="4" t="str">
        <f t="shared" si="5"/>
        <v/>
      </c>
      <c r="G359" s="363" t="str">
        <f>IF(E359="","",IFERROR(VLOOKUP(E359,Codes!$L$2:$N$409,3,FALSE),"—"))</f>
        <v/>
      </c>
      <c r="H359" s="88"/>
      <c r="I359" s="88"/>
    </row>
    <row r="360" spans="1:9" ht="13.15" x14ac:dyDescent="0.35">
      <c r="A360" s="434"/>
      <c r="B360" s="436"/>
      <c r="C360" s="437"/>
      <c r="D360" s="434"/>
      <c r="E360" s="93" t="str" cm="1">
        <f t="array" ref="E360">IF(D360&lt;&gt;"",IFERROR(VLOOKUP(D360,Codes!$K$2:$L$409,2,FALSE),"UNKNOWN - "&amp;D360),IF(C360="","",IFERROR(_xlfn.IFS(ISNUMBER(SEARCH("broken button",C360)),"Break",ISNUMBER(SEARCH("broken handle",C360)),"Break",ISNUMBER(SEARCH("shipping damage",C360)),"Break",ISNUMBER(SEARCH("broken",C360)),"Break",ISNUMBER(SEARCH("crack",C360)),"Break",ISNUMBER(SEARCH("snap",C360)),"Break",ISNUMBER(SEARCH("fracture",C360)),"Break",ISNUMBER(SEARCH("bent",C360)),"Material Twisted/Bent",ISNUMBER(SEARCH("twisted",C360)),"Material Twisted/Bent",ISNUMBER(SEARCH("component separat",C360)),"Material Separation",ISNUMBER(SEARCH("separat",C360)),"Material Separation",ISNUMBER(SEARCH("connection",C360)),"Loose or Intermittent Connection",ISNUMBER(SEARCH("loose",C360)),"Loose or Intermittent Connection",ISNUMBER(SEARCH("damaged packaging",C360)),"Packaging Problem",ISNUMBER(SEARCH("packaging",C360)),"Packaging Problem",ISNUMBER(SEARCH("discoloration",C360)),"Contamination",ISNUMBER(SEARCH("tarnish",C360)),"Contamination",ISNUMBER(SEARCH("stain",C360)),"Contamination",ISNUMBER(SEARCH("foreign material",C360)),"Contamination",ISNUMBER(SEARCH("contamina",C360)),"Contamination",ISNUMBER(SEARCH("overheat",C360)),"Overheating of Device",ISNUMBER(SEARCH("excessive heat",C360)),"Overheating of Device",ISNUMBER(SEARCH("hot",C360)),"Overheating of Device",ISNUMBER(SEARCH("noise",C360)),"Noise, Audible",ISNUMBER(SEARCH("sound",C360)),"Noise, Audible",ISNUMBER(SEARCH("loud",C360)),"Noise, Audible",ISNUMBER(SEARCH("fray",C360)),"Material Frayed",ISNUMBER(SEARCH("hole",C360)),"Material Frayed",ISNUMBER(SEARCH("tear",C360)),"Material Frayed",ISNUMBER(SEARCH("worn",C360)),"Material Frayed",ISNUMBER(SEARCH("intermittent",C360)),"Difficult or Delayed Activation",ISNUMBER(SEARCH("delay",C360)),"Difficult or Delayed Activation",ISNUMBER(SEARCH("label",C360)),"Device Markings/Labelling Problem",ISNUMBER(SEARCH("marking",C360)),"Device Markings/Labelling Problem",ISNUMBER(SEARCH("lacerat",C360)),"Defective Device",ISNUMBER(SEARCH("cut",C360)),"Defective Device",ISNUMBER(SEARCH("leak",C360)),"Fluid/Blood Leak",ISNUMBER(SEARCH("missing",C360)),"Component Missing",ISNUMBER(SEARCH("power",C360)),"Complete Loss of Power",ISNUMBER(SEARCH("will not turn on",C360)),"Complete Loss of Power",ISNUMBER(SEARCH("won't turn on",C360)),"Complete Loss of Power",ISNUMBER(SEARCH("does not turn on",C360)),"Complete Loss of Power",ISNUMBER(SEARCH("electrical",C360)),"Electrical Power Problem",ISNUMBER(SEARCH("pressure",C360)),"Detachment of Device or Device Component",ISNUMBER(SEARCH("slip",C360)),"Detachment of Device or Device Component",ISNUMBER(SEARCH("detach",C360)),"Detachment of Device or Device Component",ISNUMBER(SEARCH("stick",C360)),"Mechanical Jam",ISNUMBER(SEARCH("jam",C360)),"Mechanical Jam",ISNUMBER(SEARCH("rigid",C360)),"Mechanical Jam",ISNUMBER(SEARCH("rust",C360)),"Corroded",ISNUMBER(SEARCH("corrod",C360)),"Corroded",ISNUMBER(SEARCH("corrosion",C360)),"Corroded",ISNUMBER(SEARCH("alignment",C360)),"Defective Device",ISNUMBER(SEARCH("adjust",C360)),"Defective Device",ISNUMBER(SEARCH("perform",C360)),"Defective Device",ISNUMBER(SEARCH("malfunction",C360)),"Defective Device",ISNUMBER(SEARCH("defect",C360)),"Defective Device",ISNUMBER(SEARCH("fail",C360)),"Defective Device",ISNUMBER(SEARCH("not work",C360)),"Defective Device",ISNUMBER(SEARCH("doesn't work",C360)),"Defective Device",TRUE,"UNKNOWN"),"UNKNOWN")))</f>
        <v/>
      </c>
      <c r="F360" s="4" t="str">
        <f t="shared" si="5"/>
        <v/>
      </c>
      <c r="G360" s="363" t="str">
        <f>IF(E360="","",IFERROR(VLOOKUP(E360,Codes!$L$2:$N$409,3,FALSE),"—"))</f>
        <v/>
      </c>
      <c r="H360" s="88"/>
      <c r="I360" s="88"/>
    </row>
    <row r="361" spans="1:9" ht="13.15" x14ac:dyDescent="0.35">
      <c r="A361" s="435"/>
      <c r="B361" s="436"/>
      <c r="C361" s="438"/>
      <c r="D361" s="435"/>
      <c r="E361" s="93" t="str" cm="1">
        <f t="array" ref="E361">IF(D361&lt;&gt;"",IFERROR(VLOOKUP(D361,Codes!$K$2:$L$409,2,FALSE),"UNKNOWN - "&amp;D361),IF(C361="","",IFERROR(_xlfn.IFS(ISNUMBER(SEARCH("broken button",C361)),"Break",ISNUMBER(SEARCH("broken handle",C361)),"Break",ISNUMBER(SEARCH("shipping damage",C361)),"Break",ISNUMBER(SEARCH("broken",C361)),"Break",ISNUMBER(SEARCH("crack",C361)),"Break",ISNUMBER(SEARCH("snap",C361)),"Break",ISNUMBER(SEARCH("fracture",C361)),"Break",ISNUMBER(SEARCH("bent",C361)),"Material Twisted/Bent",ISNUMBER(SEARCH("twisted",C361)),"Material Twisted/Bent",ISNUMBER(SEARCH("component separat",C361)),"Material Separation",ISNUMBER(SEARCH("separat",C361)),"Material Separation",ISNUMBER(SEARCH("connection",C361)),"Loose or Intermittent Connection",ISNUMBER(SEARCH("loose",C361)),"Loose or Intermittent Connection",ISNUMBER(SEARCH("damaged packaging",C361)),"Packaging Problem",ISNUMBER(SEARCH("packaging",C361)),"Packaging Problem",ISNUMBER(SEARCH("discoloration",C361)),"Contamination",ISNUMBER(SEARCH("tarnish",C361)),"Contamination",ISNUMBER(SEARCH("stain",C361)),"Contamination",ISNUMBER(SEARCH("foreign material",C361)),"Contamination",ISNUMBER(SEARCH("contamina",C361)),"Contamination",ISNUMBER(SEARCH("overheat",C361)),"Overheating of Device",ISNUMBER(SEARCH("excessive heat",C361)),"Overheating of Device",ISNUMBER(SEARCH("hot",C361)),"Overheating of Device",ISNUMBER(SEARCH("noise",C361)),"Noise, Audible",ISNUMBER(SEARCH("sound",C361)),"Noise, Audible",ISNUMBER(SEARCH("loud",C361)),"Noise, Audible",ISNUMBER(SEARCH("fray",C361)),"Material Frayed",ISNUMBER(SEARCH("hole",C361)),"Material Frayed",ISNUMBER(SEARCH("tear",C361)),"Material Frayed",ISNUMBER(SEARCH("worn",C361)),"Material Frayed",ISNUMBER(SEARCH("intermittent",C361)),"Difficult or Delayed Activation",ISNUMBER(SEARCH("delay",C361)),"Difficult or Delayed Activation",ISNUMBER(SEARCH("label",C361)),"Device Markings/Labelling Problem",ISNUMBER(SEARCH("marking",C361)),"Device Markings/Labelling Problem",ISNUMBER(SEARCH("lacerat",C361)),"Defective Device",ISNUMBER(SEARCH("cut",C361)),"Defective Device",ISNUMBER(SEARCH("leak",C361)),"Fluid/Blood Leak",ISNUMBER(SEARCH("missing",C361)),"Component Missing",ISNUMBER(SEARCH("power",C361)),"Complete Loss of Power",ISNUMBER(SEARCH("will not turn on",C361)),"Complete Loss of Power",ISNUMBER(SEARCH("won't turn on",C361)),"Complete Loss of Power",ISNUMBER(SEARCH("does not turn on",C361)),"Complete Loss of Power",ISNUMBER(SEARCH("electrical",C361)),"Electrical Power Problem",ISNUMBER(SEARCH("pressure",C361)),"Detachment of Device or Device Component",ISNUMBER(SEARCH("slip",C361)),"Detachment of Device or Device Component",ISNUMBER(SEARCH("detach",C361)),"Detachment of Device or Device Component",ISNUMBER(SEARCH("stick",C361)),"Mechanical Jam",ISNUMBER(SEARCH("jam",C361)),"Mechanical Jam",ISNUMBER(SEARCH("rigid",C361)),"Mechanical Jam",ISNUMBER(SEARCH("rust",C361)),"Corroded",ISNUMBER(SEARCH("corrod",C361)),"Corroded",ISNUMBER(SEARCH("corrosion",C361)),"Corroded",ISNUMBER(SEARCH("alignment",C361)),"Defective Device",ISNUMBER(SEARCH("adjust",C361)),"Defective Device",ISNUMBER(SEARCH("perform",C361)),"Defective Device",ISNUMBER(SEARCH("malfunction",C361)),"Defective Device",ISNUMBER(SEARCH("defect",C361)),"Defective Device",ISNUMBER(SEARCH("fail",C361)),"Defective Device",ISNUMBER(SEARCH("not work",C361)),"Defective Device",ISNUMBER(SEARCH("doesn't work",C361)),"Defective Device",TRUE,"UNKNOWN"),"UNKNOWN")))</f>
        <v/>
      </c>
      <c r="F361" s="4" t="str">
        <f t="shared" si="5"/>
        <v/>
      </c>
      <c r="G361" s="363" t="str">
        <f>IF(E361="","",IFERROR(VLOOKUP(E361,Codes!$L$2:$N$409,3,FALSE),"—"))</f>
        <v/>
      </c>
      <c r="H361" s="88"/>
      <c r="I361" s="88"/>
    </row>
    <row r="362" spans="1:9" ht="13.15" x14ac:dyDescent="0.35">
      <c r="A362" s="434"/>
      <c r="B362" s="436"/>
      <c r="C362" s="437"/>
      <c r="D362" s="434"/>
      <c r="E362" s="93" t="str" cm="1">
        <f t="array" ref="E362">IF(D362&lt;&gt;"",IFERROR(VLOOKUP(D362,Codes!$K$2:$L$409,2,FALSE),"UNKNOWN - "&amp;D362),IF(C362="","",IFERROR(_xlfn.IFS(ISNUMBER(SEARCH("broken button",C362)),"Break",ISNUMBER(SEARCH("broken handle",C362)),"Break",ISNUMBER(SEARCH("shipping damage",C362)),"Break",ISNUMBER(SEARCH("broken",C362)),"Break",ISNUMBER(SEARCH("crack",C362)),"Break",ISNUMBER(SEARCH("snap",C362)),"Break",ISNUMBER(SEARCH("fracture",C362)),"Break",ISNUMBER(SEARCH("bent",C362)),"Material Twisted/Bent",ISNUMBER(SEARCH("twisted",C362)),"Material Twisted/Bent",ISNUMBER(SEARCH("component separat",C362)),"Material Separation",ISNUMBER(SEARCH("separat",C362)),"Material Separation",ISNUMBER(SEARCH("connection",C362)),"Loose or Intermittent Connection",ISNUMBER(SEARCH("loose",C362)),"Loose or Intermittent Connection",ISNUMBER(SEARCH("damaged packaging",C362)),"Packaging Problem",ISNUMBER(SEARCH("packaging",C362)),"Packaging Problem",ISNUMBER(SEARCH("discoloration",C362)),"Contamination",ISNUMBER(SEARCH("tarnish",C362)),"Contamination",ISNUMBER(SEARCH("stain",C362)),"Contamination",ISNUMBER(SEARCH("foreign material",C362)),"Contamination",ISNUMBER(SEARCH("contamina",C362)),"Contamination",ISNUMBER(SEARCH("overheat",C362)),"Overheating of Device",ISNUMBER(SEARCH("excessive heat",C362)),"Overheating of Device",ISNUMBER(SEARCH("hot",C362)),"Overheating of Device",ISNUMBER(SEARCH("noise",C362)),"Noise, Audible",ISNUMBER(SEARCH("sound",C362)),"Noise, Audible",ISNUMBER(SEARCH("loud",C362)),"Noise, Audible",ISNUMBER(SEARCH("fray",C362)),"Material Frayed",ISNUMBER(SEARCH("hole",C362)),"Material Frayed",ISNUMBER(SEARCH("tear",C362)),"Material Frayed",ISNUMBER(SEARCH("worn",C362)),"Material Frayed",ISNUMBER(SEARCH("intermittent",C362)),"Difficult or Delayed Activation",ISNUMBER(SEARCH("delay",C362)),"Difficult or Delayed Activation",ISNUMBER(SEARCH("label",C362)),"Device Markings/Labelling Problem",ISNUMBER(SEARCH("marking",C362)),"Device Markings/Labelling Problem",ISNUMBER(SEARCH("lacerat",C362)),"Defective Device",ISNUMBER(SEARCH("cut",C362)),"Defective Device",ISNUMBER(SEARCH("leak",C362)),"Fluid/Blood Leak",ISNUMBER(SEARCH("missing",C362)),"Component Missing",ISNUMBER(SEARCH("power",C362)),"Complete Loss of Power",ISNUMBER(SEARCH("will not turn on",C362)),"Complete Loss of Power",ISNUMBER(SEARCH("won't turn on",C362)),"Complete Loss of Power",ISNUMBER(SEARCH("does not turn on",C362)),"Complete Loss of Power",ISNUMBER(SEARCH("electrical",C362)),"Electrical Power Problem",ISNUMBER(SEARCH("pressure",C362)),"Detachment of Device or Device Component",ISNUMBER(SEARCH("slip",C362)),"Detachment of Device or Device Component",ISNUMBER(SEARCH("detach",C362)),"Detachment of Device or Device Component",ISNUMBER(SEARCH("stick",C362)),"Mechanical Jam",ISNUMBER(SEARCH("jam",C362)),"Mechanical Jam",ISNUMBER(SEARCH("rigid",C362)),"Mechanical Jam",ISNUMBER(SEARCH("rust",C362)),"Corroded",ISNUMBER(SEARCH("corrod",C362)),"Corroded",ISNUMBER(SEARCH("corrosion",C362)),"Corroded",ISNUMBER(SEARCH("alignment",C362)),"Defective Device",ISNUMBER(SEARCH("adjust",C362)),"Defective Device",ISNUMBER(SEARCH("perform",C362)),"Defective Device",ISNUMBER(SEARCH("malfunction",C362)),"Defective Device",ISNUMBER(SEARCH("defect",C362)),"Defective Device",ISNUMBER(SEARCH("fail",C362)),"Defective Device",ISNUMBER(SEARCH("not work",C362)),"Defective Device",ISNUMBER(SEARCH("doesn't work",C362)),"Defective Device",TRUE,"UNKNOWN"),"UNKNOWN")))</f>
        <v/>
      </c>
      <c r="F362" s="4" t="str">
        <f t="shared" si="5"/>
        <v/>
      </c>
      <c r="G362" s="363" t="str">
        <f>IF(E362="","",IFERROR(VLOOKUP(E362,Codes!$L$2:$N$409,3,FALSE),"—"))</f>
        <v/>
      </c>
      <c r="H362" s="88"/>
      <c r="I362" s="88"/>
    </row>
    <row r="363" spans="1:9" ht="13.15" x14ac:dyDescent="0.35">
      <c r="A363" s="434"/>
      <c r="B363" s="436"/>
      <c r="C363" s="437"/>
      <c r="D363" s="434"/>
      <c r="E363" s="93" t="str" cm="1">
        <f t="array" ref="E363">IF(D363&lt;&gt;"",IFERROR(VLOOKUP(D363,Codes!$K$2:$L$409,2,FALSE),"UNKNOWN - "&amp;D363),IF(C363="","",IFERROR(_xlfn.IFS(ISNUMBER(SEARCH("broken button",C363)),"Break",ISNUMBER(SEARCH("broken handle",C363)),"Break",ISNUMBER(SEARCH("shipping damage",C363)),"Break",ISNUMBER(SEARCH("broken",C363)),"Break",ISNUMBER(SEARCH("crack",C363)),"Break",ISNUMBER(SEARCH("snap",C363)),"Break",ISNUMBER(SEARCH("fracture",C363)),"Break",ISNUMBER(SEARCH("bent",C363)),"Material Twisted/Bent",ISNUMBER(SEARCH("twisted",C363)),"Material Twisted/Bent",ISNUMBER(SEARCH("component separat",C363)),"Material Separation",ISNUMBER(SEARCH("separat",C363)),"Material Separation",ISNUMBER(SEARCH("connection",C363)),"Loose or Intermittent Connection",ISNUMBER(SEARCH("loose",C363)),"Loose or Intermittent Connection",ISNUMBER(SEARCH("damaged packaging",C363)),"Packaging Problem",ISNUMBER(SEARCH("packaging",C363)),"Packaging Problem",ISNUMBER(SEARCH("discoloration",C363)),"Contamination",ISNUMBER(SEARCH("tarnish",C363)),"Contamination",ISNUMBER(SEARCH("stain",C363)),"Contamination",ISNUMBER(SEARCH("foreign material",C363)),"Contamination",ISNUMBER(SEARCH("contamina",C363)),"Contamination",ISNUMBER(SEARCH("overheat",C363)),"Overheating of Device",ISNUMBER(SEARCH("excessive heat",C363)),"Overheating of Device",ISNUMBER(SEARCH("hot",C363)),"Overheating of Device",ISNUMBER(SEARCH("noise",C363)),"Noise, Audible",ISNUMBER(SEARCH("sound",C363)),"Noise, Audible",ISNUMBER(SEARCH("loud",C363)),"Noise, Audible",ISNUMBER(SEARCH("fray",C363)),"Material Frayed",ISNUMBER(SEARCH("hole",C363)),"Material Frayed",ISNUMBER(SEARCH("tear",C363)),"Material Frayed",ISNUMBER(SEARCH("worn",C363)),"Material Frayed",ISNUMBER(SEARCH("intermittent",C363)),"Difficult or Delayed Activation",ISNUMBER(SEARCH("delay",C363)),"Difficult or Delayed Activation",ISNUMBER(SEARCH("label",C363)),"Device Markings/Labelling Problem",ISNUMBER(SEARCH("marking",C363)),"Device Markings/Labelling Problem",ISNUMBER(SEARCH("lacerat",C363)),"Defective Device",ISNUMBER(SEARCH("cut",C363)),"Defective Device",ISNUMBER(SEARCH("leak",C363)),"Fluid/Blood Leak",ISNUMBER(SEARCH("missing",C363)),"Component Missing",ISNUMBER(SEARCH("power",C363)),"Complete Loss of Power",ISNUMBER(SEARCH("will not turn on",C363)),"Complete Loss of Power",ISNUMBER(SEARCH("won't turn on",C363)),"Complete Loss of Power",ISNUMBER(SEARCH("does not turn on",C363)),"Complete Loss of Power",ISNUMBER(SEARCH("electrical",C363)),"Electrical Power Problem",ISNUMBER(SEARCH("pressure",C363)),"Detachment of Device or Device Component",ISNUMBER(SEARCH("slip",C363)),"Detachment of Device or Device Component",ISNUMBER(SEARCH("detach",C363)),"Detachment of Device or Device Component",ISNUMBER(SEARCH("stick",C363)),"Mechanical Jam",ISNUMBER(SEARCH("jam",C363)),"Mechanical Jam",ISNUMBER(SEARCH("rigid",C363)),"Mechanical Jam",ISNUMBER(SEARCH("rust",C363)),"Corroded",ISNUMBER(SEARCH("corrod",C363)),"Corroded",ISNUMBER(SEARCH("corrosion",C363)),"Corroded",ISNUMBER(SEARCH("alignment",C363)),"Defective Device",ISNUMBER(SEARCH("adjust",C363)),"Defective Device",ISNUMBER(SEARCH("perform",C363)),"Defective Device",ISNUMBER(SEARCH("malfunction",C363)),"Defective Device",ISNUMBER(SEARCH("defect",C363)),"Defective Device",ISNUMBER(SEARCH("fail",C363)),"Defective Device",ISNUMBER(SEARCH("not work",C363)),"Defective Device",ISNUMBER(SEARCH("doesn't work",C363)),"Defective Device",TRUE,"UNKNOWN"),"UNKNOWN")))</f>
        <v/>
      </c>
      <c r="F363" s="4" t="str">
        <f t="shared" si="5"/>
        <v/>
      </c>
      <c r="G363" s="363" t="str">
        <f>IF(E363="","",IFERROR(VLOOKUP(E363,Codes!$L$2:$N$409,3,FALSE),"—"))</f>
        <v/>
      </c>
      <c r="H363" s="88"/>
      <c r="I363" s="88"/>
    </row>
    <row r="364" spans="1:9" ht="13.15" x14ac:dyDescent="0.35">
      <c r="A364" s="435"/>
      <c r="B364" s="436"/>
      <c r="C364" s="438"/>
      <c r="D364" s="435"/>
      <c r="E364" s="93" t="str" cm="1">
        <f t="array" ref="E364">IF(D364&lt;&gt;"",IFERROR(VLOOKUP(D364,Codes!$K$2:$L$409,2,FALSE),"UNKNOWN - "&amp;D364),IF(C364="","",IFERROR(_xlfn.IFS(ISNUMBER(SEARCH("broken button",C364)),"Break",ISNUMBER(SEARCH("broken handle",C364)),"Break",ISNUMBER(SEARCH("shipping damage",C364)),"Break",ISNUMBER(SEARCH("broken",C364)),"Break",ISNUMBER(SEARCH("crack",C364)),"Break",ISNUMBER(SEARCH("snap",C364)),"Break",ISNUMBER(SEARCH("fracture",C364)),"Break",ISNUMBER(SEARCH("bent",C364)),"Material Twisted/Bent",ISNUMBER(SEARCH("twisted",C364)),"Material Twisted/Bent",ISNUMBER(SEARCH("component separat",C364)),"Material Separation",ISNUMBER(SEARCH("separat",C364)),"Material Separation",ISNUMBER(SEARCH("connection",C364)),"Loose or Intermittent Connection",ISNUMBER(SEARCH("loose",C364)),"Loose or Intermittent Connection",ISNUMBER(SEARCH("damaged packaging",C364)),"Packaging Problem",ISNUMBER(SEARCH("packaging",C364)),"Packaging Problem",ISNUMBER(SEARCH("discoloration",C364)),"Contamination",ISNUMBER(SEARCH("tarnish",C364)),"Contamination",ISNUMBER(SEARCH("stain",C364)),"Contamination",ISNUMBER(SEARCH("foreign material",C364)),"Contamination",ISNUMBER(SEARCH("contamina",C364)),"Contamination",ISNUMBER(SEARCH("overheat",C364)),"Overheating of Device",ISNUMBER(SEARCH("excessive heat",C364)),"Overheating of Device",ISNUMBER(SEARCH("hot",C364)),"Overheating of Device",ISNUMBER(SEARCH("noise",C364)),"Noise, Audible",ISNUMBER(SEARCH("sound",C364)),"Noise, Audible",ISNUMBER(SEARCH("loud",C364)),"Noise, Audible",ISNUMBER(SEARCH("fray",C364)),"Material Frayed",ISNUMBER(SEARCH("hole",C364)),"Material Frayed",ISNUMBER(SEARCH("tear",C364)),"Material Frayed",ISNUMBER(SEARCH("worn",C364)),"Material Frayed",ISNUMBER(SEARCH("intermittent",C364)),"Difficult or Delayed Activation",ISNUMBER(SEARCH("delay",C364)),"Difficult or Delayed Activation",ISNUMBER(SEARCH("label",C364)),"Device Markings/Labelling Problem",ISNUMBER(SEARCH("marking",C364)),"Device Markings/Labelling Problem",ISNUMBER(SEARCH("lacerat",C364)),"Defective Device",ISNUMBER(SEARCH("cut",C364)),"Defective Device",ISNUMBER(SEARCH("leak",C364)),"Fluid/Blood Leak",ISNUMBER(SEARCH("missing",C364)),"Component Missing",ISNUMBER(SEARCH("power",C364)),"Complete Loss of Power",ISNUMBER(SEARCH("will not turn on",C364)),"Complete Loss of Power",ISNUMBER(SEARCH("won't turn on",C364)),"Complete Loss of Power",ISNUMBER(SEARCH("does not turn on",C364)),"Complete Loss of Power",ISNUMBER(SEARCH("electrical",C364)),"Electrical Power Problem",ISNUMBER(SEARCH("pressure",C364)),"Detachment of Device or Device Component",ISNUMBER(SEARCH("slip",C364)),"Detachment of Device or Device Component",ISNUMBER(SEARCH("detach",C364)),"Detachment of Device or Device Component",ISNUMBER(SEARCH("stick",C364)),"Mechanical Jam",ISNUMBER(SEARCH("jam",C364)),"Mechanical Jam",ISNUMBER(SEARCH("rigid",C364)),"Mechanical Jam",ISNUMBER(SEARCH("rust",C364)),"Corroded",ISNUMBER(SEARCH("corrod",C364)),"Corroded",ISNUMBER(SEARCH("corrosion",C364)),"Corroded",ISNUMBER(SEARCH("alignment",C364)),"Defective Device",ISNUMBER(SEARCH("adjust",C364)),"Defective Device",ISNUMBER(SEARCH("perform",C364)),"Defective Device",ISNUMBER(SEARCH("malfunction",C364)),"Defective Device",ISNUMBER(SEARCH("defect",C364)),"Defective Device",ISNUMBER(SEARCH("fail",C364)),"Defective Device",ISNUMBER(SEARCH("not work",C364)),"Defective Device",ISNUMBER(SEARCH("doesn't work",C364)),"Defective Device",TRUE,"UNKNOWN"),"UNKNOWN")))</f>
        <v/>
      </c>
      <c r="F364" s="4" t="str">
        <f t="shared" si="5"/>
        <v/>
      </c>
      <c r="G364" s="363" t="str">
        <f>IF(E364="","",IFERROR(VLOOKUP(E364,Codes!$L$2:$N$409,3,FALSE),"—"))</f>
        <v/>
      </c>
      <c r="H364" s="88"/>
      <c r="I364" s="88"/>
    </row>
    <row r="365" spans="1:9" ht="13.15" x14ac:dyDescent="0.35">
      <c r="A365" s="435"/>
      <c r="B365" s="436"/>
      <c r="C365" s="438"/>
      <c r="D365" s="435"/>
      <c r="E365" s="93" t="str" cm="1">
        <f t="array" ref="E365">IF(D365&lt;&gt;"",IFERROR(VLOOKUP(D365,Codes!$K$2:$L$409,2,FALSE),"UNKNOWN - "&amp;D365),IF(C365="","",IFERROR(_xlfn.IFS(ISNUMBER(SEARCH("broken button",C365)),"Break",ISNUMBER(SEARCH("broken handle",C365)),"Break",ISNUMBER(SEARCH("shipping damage",C365)),"Break",ISNUMBER(SEARCH("broken",C365)),"Break",ISNUMBER(SEARCH("crack",C365)),"Break",ISNUMBER(SEARCH("snap",C365)),"Break",ISNUMBER(SEARCH("fracture",C365)),"Break",ISNUMBER(SEARCH("bent",C365)),"Material Twisted/Bent",ISNUMBER(SEARCH("twisted",C365)),"Material Twisted/Bent",ISNUMBER(SEARCH("component separat",C365)),"Material Separation",ISNUMBER(SEARCH("separat",C365)),"Material Separation",ISNUMBER(SEARCH("connection",C365)),"Loose or Intermittent Connection",ISNUMBER(SEARCH("loose",C365)),"Loose or Intermittent Connection",ISNUMBER(SEARCH("damaged packaging",C365)),"Packaging Problem",ISNUMBER(SEARCH("packaging",C365)),"Packaging Problem",ISNUMBER(SEARCH("discoloration",C365)),"Contamination",ISNUMBER(SEARCH("tarnish",C365)),"Contamination",ISNUMBER(SEARCH("stain",C365)),"Contamination",ISNUMBER(SEARCH("foreign material",C365)),"Contamination",ISNUMBER(SEARCH("contamina",C365)),"Contamination",ISNUMBER(SEARCH("overheat",C365)),"Overheating of Device",ISNUMBER(SEARCH("excessive heat",C365)),"Overheating of Device",ISNUMBER(SEARCH("hot",C365)),"Overheating of Device",ISNUMBER(SEARCH("noise",C365)),"Noise, Audible",ISNUMBER(SEARCH("sound",C365)),"Noise, Audible",ISNUMBER(SEARCH("loud",C365)),"Noise, Audible",ISNUMBER(SEARCH("fray",C365)),"Material Frayed",ISNUMBER(SEARCH("hole",C365)),"Material Frayed",ISNUMBER(SEARCH("tear",C365)),"Material Frayed",ISNUMBER(SEARCH("worn",C365)),"Material Frayed",ISNUMBER(SEARCH("intermittent",C365)),"Difficult or Delayed Activation",ISNUMBER(SEARCH("delay",C365)),"Difficult or Delayed Activation",ISNUMBER(SEARCH("label",C365)),"Device Markings/Labelling Problem",ISNUMBER(SEARCH("marking",C365)),"Device Markings/Labelling Problem",ISNUMBER(SEARCH("lacerat",C365)),"Defective Device",ISNUMBER(SEARCH("cut",C365)),"Defective Device",ISNUMBER(SEARCH("leak",C365)),"Fluid/Blood Leak",ISNUMBER(SEARCH("missing",C365)),"Component Missing",ISNUMBER(SEARCH("power",C365)),"Complete Loss of Power",ISNUMBER(SEARCH("will not turn on",C365)),"Complete Loss of Power",ISNUMBER(SEARCH("won't turn on",C365)),"Complete Loss of Power",ISNUMBER(SEARCH("does not turn on",C365)),"Complete Loss of Power",ISNUMBER(SEARCH("electrical",C365)),"Electrical Power Problem",ISNUMBER(SEARCH("pressure",C365)),"Detachment of Device or Device Component",ISNUMBER(SEARCH("slip",C365)),"Detachment of Device or Device Component",ISNUMBER(SEARCH("detach",C365)),"Detachment of Device or Device Component",ISNUMBER(SEARCH("stick",C365)),"Mechanical Jam",ISNUMBER(SEARCH("jam",C365)),"Mechanical Jam",ISNUMBER(SEARCH("rigid",C365)),"Mechanical Jam",ISNUMBER(SEARCH("rust",C365)),"Corroded",ISNUMBER(SEARCH("corrod",C365)),"Corroded",ISNUMBER(SEARCH("corrosion",C365)),"Corroded",ISNUMBER(SEARCH("alignment",C365)),"Defective Device",ISNUMBER(SEARCH("adjust",C365)),"Defective Device",ISNUMBER(SEARCH("perform",C365)),"Defective Device",ISNUMBER(SEARCH("malfunction",C365)),"Defective Device",ISNUMBER(SEARCH("defect",C365)),"Defective Device",ISNUMBER(SEARCH("fail",C365)),"Defective Device",ISNUMBER(SEARCH("not work",C365)),"Defective Device",ISNUMBER(SEARCH("doesn't work",C365)),"Defective Device",TRUE,"UNKNOWN"),"UNKNOWN")))</f>
        <v/>
      </c>
      <c r="F365" s="4" t="str">
        <f t="shared" si="5"/>
        <v/>
      </c>
      <c r="G365" s="363" t="str">
        <f>IF(E365="","",IFERROR(VLOOKUP(E365,Codes!$L$2:$N$409,3,FALSE),"—"))</f>
        <v/>
      </c>
      <c r="H365" s="88"/>
      <c r="I365" s="88"/>
    </row>
    <row r="366" spans="1:9" ht="13.15" x14ac:dyDescent="0.35">
      <c r="A366" s="434"/>
      <c r="B366" s="436"/>
      <c r="C366" s="437"/>
      <c r="D366" s="434"/>
      <c r="E366" s="93" t="str" cm="1">
        <f t="array" ref="E366">IF(D366&lt;&gt;"",IFERROR(VLOOKUP(D366,Codes!$K$2:$L$409,2,FALSE),"UNKNOWN - "&amp;D366),IF(C366="","",IFERROR(_xlfn.IFS(ISNUMBER(SEARCH("broken button",C366)),"Break",ISNUMBER(SEARCH("broken handle",C366)),"Break",ISNUMBER(SEARCH("shipping damage",C366)),"Break",ISNUMBER(SEARCH("broken",C366)),"Break",ISNUMBER(SEARCH("crack",C366)),"Break",ISNUMBER(SEARCH("snap",C366)),"Break",ISNUMBER(SEARCH("fracture",C366)),"Break",ISNUMBER(SEARCH("bent",C366)),"Material Twisted/Bent",ISNUMBER(SEARCH("twisted",C366)),"Material Twisted/Bent",ISNUMBER(SEARCH("component separat",C366)),"Material Separation",ISNUMBER(SEARCH("separat",C366)),"Material Separation",ISNUMBER(SEARCH("connection",C366)),"Loose or Intermittent Connection",ISNUMBER(SEARCH("loose",C366)),"Loose or Intermittent Connection",ISNUMBER(SEARCH("damaged packaging",C366)),"Packaging Problem",ISNUMBER(SEARCH("packaging",C366)),"Packaging Problem",ISNUMBER(SEARCH("discoloration",C366)),"Contamination",ISNUMBER(SEARCH("tarnish",C366)),"Contamination",ISNUMBER(SEARCH("stain",C366)),"Contamination",ISNUMBER(SEARCH("foreign material",C366)),"Contamination",ISNUMBER(SEARCH("contamina",C366)),"Contamination",ISNUMBER(SEARCH("overheat",C366)),"Overheating of Device",ISNUMBER(SEARCH("excessive heat",C366)),"Overheating of Device",ISNUMBER(SEARCH("hot",C366)),"Overheating of Device",ISNUMBER(SEARCH("noise",C366)),"Noise, Audible",ISNUMBER(SEARCH("sound",C366)),"Noise, Audible",ISNUMBER(SEARCH("loud",C366)),"Noise, Audible",ISNUMBER(SEARCH("fray",C366)),"Material Frayed",ISNUMBER(SEARCH("hole",C366)),"Material Frayed",ISNUMBER(SEARCH("tear",C366)),"Material Frayed",ISNUMBER(SEARCH("worn",C366)),"Material Frayed",ISNUMBER(SEARCH("intermittent",C366)),"Difficult or Delayed Activation",ISNUMBER(SEARCH("delay",C366)),"Difficult or Delayed Activation",ISNUMBER(SEARCH("label",C366)),"Device Markings/Labelling Problem",ISNUMBER(SEARCH("marking",C366)),"Device Markings/Labelling Problem",ISNUMBER(SEARCH("lacerat",C366)),"Defective Device",ISNUMBER(SEARCH("cut",C366)),"Defective Device",ISNUMBER(SEARCH("leak",C366)),"Fluid/Blood Leak",ISNUMBER(SEARCH("missing",C366)),"Component Missing",ISNUMBER(SEARCH("power",C366)),"Complete Loss of Power",ISNUMBER(SEARCH("will not turn on",C366)),"Complete Loss of Power",ISNUMBER(SEARCH("won't turn on",C366)),"Complete Loss of Power",ISNUMBER(SEARCH("does not turn on",C366)),"Complete Loss of Power",ISNUMBER(SEARCH("electrical",C366)),"Electrical Power Problem",ISNUMBER(SEARCH("pressure",C366)),"Detachment of Device or Device Component",ISNUMBER(SEARCH("slip",C366)),"Detachment of Device or Device Component",ISNUMBER(SEARCH("detach",C366)),"Detachment of Device or Device Component",ISNUMBER(SEARCH("stick",C366)),"Mechanical Jam",ISNUMBER(SEARCH("jam",C366)),"Mechanical Jam",ISNUMBER(SEARCH("rigid",C366)),"Mechanical Jam",ISNUMBER(SEARCH("rust",C366)),"Corroded",ISNUMBER(SEARCH("corrod",C366)),"Corroded",ISNUMBER(SEARCH("corrosion",C366)),"Corroded",ISNUMBER(SEARCH("alignment",C366)),"Defective Device",ISNUMBER(SEARCH("adjust",C366)),"Defective Device",ISNUMBER(SEARCH("perform",C366)),"Defective Device",ISNUMBER(SEARCH("malfunction",C366)),"Defective Device",ISNUMBER(SEARCH("defect",C366)),"Defective Device",ISNUMBER(SEARCH("fail",C366)),"Defective Device",ISNUMBER(SEARCH("not work",C366)),"Defective Device",ISNUMBER(SEARCH("doesn't work",C366)),"Defective Device",TRUE,"UNKNOWN"),"UNKNOWN")))</f>
        <v/>
      </c>
      <c r="F366" s="4" t="str">
        <f t="shared" si="5"/>
        <v/>
      </c>
      <c r="G366" s="363" t="str">
        <f>IF(E366="","",IFERROR(VLOOKUP(E366,Codes!$L$2:$N$409,3,FALSE),"—"))</f>
        <v/>
      </c>
      <c r="H366" s="88"/>
      <c r="I366" s="88"/>
    </row>
    <row r="367" spans="1:9" ht="13.15" x14ac:dyDescent="0.35">
      <c r="A367" s="434"/>
      <c r="B367" s="436"/>
      <c r="C367" s="437"/>
      <c r="D367" s="434"/>
      <c r="E367" s="93" t="str" cm="1">
        <f t="array" ref="E367">IF(D367&lt;&gt;"",IFERROR(VLOOKUP(D367,Codes!$K$2:$L$409,2,FALSE),"UNKNOWN - "&amp;D367),IF(C367="","",IFERROR(_xlfn.IFS(ISNUMBER(SEARCH("broken button",C367)),"Break",ISNUMBER(SEARCH("broken handle",C367)),"Break",ISNUMBER(SEARCH("shipping damage",C367)),"Break",ISNUMBER(SEARCH("broken",C367)),"Break",ISNUMBER(SEARCH("crack",C367)),"Break",ISNUMBER(SEARCH("snap",C367)),"Break",ISNUMBER(SEARCH("fracture",C367)),"Break",ISNUMBER(SEARCH("bent",C367)),"Material Twisted/Bent",ISNUMBER(SEARCH("twisted",C367)),"Material Twisted/Bent",ISNUMBER(SEARCH("component separat",C367)),"Material Separation",ISNUMBER(SEARCH("separat",C367)),"Material Separation",ISNUMBER(SEARCH("connection",C367)),"Loose or Intermittent Connection",ISNUMBER(SEARCH("loose",C367)),"Loose or Intermittent Connection",ISNUMBER(SEARCH("damaged packaging",C367)),"Packaging Problem",ISNUMBER(SEARCH("packaging",C367)),"Packaging Problem",ISNUMBER(SEARCH("discoloration",C367)),"Contamination",ISNUMBER(SEARCH("tarnish",C367)),"Contamination",ISNUMBER(SEARCH("stain",C367)),"Contamination",ISNUMBER(SEARCH("foreign material",C367)),"Contamination",ISNUMBER(SEARCH("contamina",C367)),"Contamination",ISNUMBER(SEARCH("overheat",C367)),"Overheating of Device",ISNUMBER(SEARCH("excessive heat",C367)),"Overheating of Device",ISNUMBER(SEARCH("hot",C367)),"Overheating of Device",ISNUMBER(SEARCH("noise",C367)),"Noise, Audible",ISNUMBER(SEARCH("sound",C367)),"Noise, Audible",ISNUMBER(SEARCH("loud",C367)),"Noise, Audible",ISNUMBER(SEARCH("fray",C367)),"Material Frayed",ISNUMBER(SEARCH("hole",C367)),"Material Frayed",ISNUMBER(SEARCH("tear",C367)),"Material Frayed",ISNUMBER(SEARCH("worn",C367)),"Material Frayed",ISNUMBER(SEARCH("intermittent",C367)),"Difficult or Delayed Activation",ISNUMBER(SEARCH("delay",C367)),"Difficult or Delayed Activation",ISNUMBER(SEARCH("label",C367)),"Device Markings/Labelling Problem",ISNUMBER(SEARCH("marking",C367)),"Device Markings/Labelling Problem",ISNUMBER(SEARCH("lacerat",C367)),"Defective Device",ISNUMBER(SEARCH("cut",C367)),"Defective Device",ISNUMBER(SEARCH("leak",C367)),"Fluid/Blood Leak",ISNUMBER(SEARCH("missing",C367)),"Component Missing",ISNUMBER(SEARCH("power",C367)),"Complete Loss of Power",ISNUMBER(SEARCH("will not turn on",C367)),"Complete Loss of Power",ISNUMBER(SEARCH("won't turn on",C367)),"Complete Loss of Power",ISNUMBER(SEARCH("does not turn on",C367)),"Complete Loss of Power",ISNUMBER(SEARCH("electrical",C367)),"Electrical Power Problem",ISNUMBER(SEARCH("pressure",C367)),"Detachment of Device or Device Component",ISNUMBER(SEARCH("slip",C367)),"Detachment of Device or Device Component",ISNUMBER(SEARCH("detach",C367)),"Detachment of Device or Device Component",ISNUMBER(SEARCH("stick",C367)),"Mechanical Jam",ISNUMBER(SEARCH("jam",C367)),"Mechanical Jam",ISNUMBER(SEARCH("rigid",C367)),"Mechanical Jam",ISNUMBER(SEARCH("rust",C367)),"Corroded",ISNUMBER(SEARCH("corrod",C367)),"Corroded",ISNUMBER(SEARCH("corrosion",C367)),"Corroded",ISNUMBER(SEARCH("alignment",C367)),"Defective Device",ISNUMBER(SEARCH("adjust",C367)),"Defective Device",ISNUMBER(SEARCH("perform",C367)),"Defective Device",ISNUMBER(SEARCH("malfunction",C367)),"Defective Device",ISNUMBER(SEARCH("defect",C367)),"Defective Device",ISNUMBER(SEARCH("fail",C367)),"Defective Device",ISNUMBER(SEARCH("not work",C367)),"Defective Device",ISNUMBER(SEARCH("doesn't work",C367)),"Defective Device",TRUE,"UNKNOWN"),"UNKNOWN")))</f>
        <v/>
      </c>
      <c r="F367" s="4" t="str">
        <f t="shared" si="5"/>
        <v/>
      </c>
      <c r="G367" s="363" t="str">
        <f>IF(E367="","",IFERROR(VLOOKUP(E367,Codes!$L$2:$N$409,3,FALSE),"—"))</f>
        <v/>
      </c>
      <c r="H367" s="88"/>
      <c r="I367" s="88"/>
    </row>
    <row r="368" spans="1:9" ht="13.15" x14ac:dyDescent="0.35">
      <c r="A368" s="435"/>
      <c r="B368" s="436"/>
      <c r="C368" s="438"/>
      <c r="D368" s="435"/>
      <c r="E368" s="93" t="str" cm="1">
        <f t="array" ref="E368">IF(D368&lt;&gt;"",IFERROR(VLOOKUP(D368,Codes!$K$2:$L$409,2,FALSE),"UNKNOWN - "&amp;D368),IF(C368="","",IFERROR(_xlfn.IFS(ISNUMBER(SEARCH("broken button",C368)),"Break",ISNUMBER(SEARCH("broken handle",C368)),"Break",ISNUMBER(SEARCH("shipping damage",C368)),"Break",ISNUMBER(SEARCH("broken",C368)),"Break",ISNUMBER(SEARCH("crack",C368)),"Break",ISNUMBER(SEARCH("snap",C368)),"Break",ISNUMBER(SEARCH("fracture",C368)),"Break",ISNUMBER(SEARCH("bent",C368)),"Material Twisted/Bent",ISNUMBER(SEARCH("twisted",C368)),"Material Twisted/Bent",ISNUMBER(SEARCH("component separat",C368)),"Material Separation",ISNUMBER(SEARCH("separat",C368)),"Material Separation",ISNUMBER(SEARCH("connection",C368)),"Loose or Intermittent Connection",ISNUMBER(SEARCH("loose",C368)),"Loose or Intermittent Connection",ISNUMBER(SEARCH("damaged packaging",C368)),"Packaging Problem",ISNUMBER(SEARCH("packaging",C368)),"Packaging Problem",ISNUMBER(SEARCH("discoloration",C368)),"Contamination",ISNUMBER(SEARCH("tarnish",C368)),"Contamination",ISNUMBER(SEARCH("stain",C368)),"Contamination",ISNUMBER(SEARCH("foreign material",C368)),"Contamination",ISNUMBER(SEARCH("contamina",C368)),"Contamination",ISNUMBER(SEARCH("overheat",C368)),"Overheating of Device",ISNUMBER(SEARCH("excessive heat",C368)),"Overheating of Device",ISNUMBER(SEARCH("hot",C368)),"Overheating of Device",ISNUMBER(SEARCH("noise",C368)),"Noise, Audible",ISNUMBER(SEARCH("sound",C368)),"Noise, Audible",ISNUMBER(SEARCH("loud",C368)),"Noise, Audible",ISNUMBER(SEARCH("fray",C368)),"Material Frayed",ISNUMBER(SEARCH("hole",C368)),"Material Frayed",ISNUMBER(SEARCH("tear",C368)),"Material Frayed",ISNUMBER(SEARCH("worn",C368)),"Material Frayed",ISNUMBER(SEARCH("intermittent",C368)),"Difficult or Delayed Activation",ISNUMBER(SEARCH("delay",C368)),"Difficult or Delayed Activation",ISNUMBER(SEARCH("label",C368)),"Device Markings/Labelling Problem",ISNUMBER(SEARCH("marking",C368)),"Device Markings/Labelling Problem",ISNUMBER(SEARCH("lacerat",C368)),"Defective Device",ISNUMBER(SEARCH("cut",C368)),"Defective Device",ISNUMBER(SEARCH("leak",C368)),"Fluid/Blood Leak",ISNUMBER(SEARCH("missing",C368)),"Component Missing",ISNUMBER(SEARCH("power",C368)),"Complete Loss of Power",ISNUMBER(SEARCH("will not turn on",C368)),"Complete Loss of Power",ISNUMBER(SEARCH("won't turn on",C368)),"Complete Loss of Power",ISNUMBER(SEARCH("does not turn on",C368)),"Complete Loss of Power",ISNUMBER(SEARCH("electrical",C368)),"Electrical Power Problem",ISNUMBER(SEARCH("pressure",C368)),"Detachment of Device or Device Component",ISNUMBER(SEARCH("slip",C368)),"Detachment of Device or Device Component",ISNUMBER(SEARCH("detach",C368)),"Detachment of Device or Device Component",ISNUMBER(SEARCH("stick",C368)),"Mechanical Jam",ISNUMBER(SEARCH("jam",C368)),"Mechanical Jam",ISNUMBER(SEARCH("rigid",C368)),"Mechanical Jam",ISNUMBER(SEARCH("rust",C368)),"Corroded",ISNUMBER(SEARCH("corrod",C368)),"Corroded",ISNUMBER(SEARCH("corrosion",C368)),"Corroded",ISNUMBER(SEARCH("alignment",C368)),"Defective Device",ISNUMBER(SEARCH("adjust",C368)),"Defective Device",ISNUMBER(SEARCH("perform",C368)),"Defective Device",ISNUMBER(SEARCH("malfunction",C368)),"Defective Device",ISNUMBER(SEARCH("defect",C368)),"Defective Device",ISNUMBER(SEARCH("fail",C368)),"Defective Device",ISNUMBER(SEARCH("not work",C368)),"Defective Device",ISNUMBER(SEARCH("doesn't work",C368)),"Defective Device",TRUE,"UNKNOWN"),"UNKNOWN")))</f>
        <v/>
      </c>
      <c r="F368" s="4" t="str">
        <f t="shared" si="5"/>
        <v/>
      </c>
      <c r="G368" s="363" t="str">
        <f>IF(E368="","",IFERROR(VLOOKUP(E368,Codes!$L$2:$N$409,3,FALSE),"—"))</f>
        <v/>
      </c>
      <c r="H368" s="88"/>
      <c r="I368" s="88"/>
    </row>
    <row r="369" spans="1:9" ht="13.15" x14ac:dyDescent="0.35">
      <c r="A369" s="435"/>
      <c r="B369" s="436"/>
      <c r="C369" s="438"/>
      <c r="D369" s="435"/>
      <c r="E369" s="93" t="str" cm="1">
        <f t="array" ref="E369">IF(D369&lt;&gt;"",IFERROR(VLOOKUP(D369,Codes!$K$2:$L$409,2,FALSE),"UNKNOWN - "&amp;D369),IF(C369="","",IFERROR(_xlfn.IFS(ISNUMBER(SEARCH("broken button",C369)),"Break",ISNUMBER(SEARCH("broken handle",C369)),"Break",ISNUMBER(SEARCH("shipping damage",C369)),"Break",ISNUMBER(SEARCH("broken",C369)),"Break",ISNUMBER(SEARCH("crack",C369)),"Break",ISNUMBER(SEARCH("snap",C369)),"Break",ISNUMBER(SEARCH("fracture",C369)),"Break",ISNUMBER(SEARCH("bent",C369)),"Material Twisted/Bent",ISNUMBER(SEARCH("twisted",C369)),"Material Twisted/Bent",ISNUMBER(SEARCH("component separat",C369)),"Material Separation",ISNUMBER(SEARCH("separat",C369)),"Material Separation",ISNUMBER(SEARCH("connection",C369)),"Loose or Intermittent Connection",ISNUMBER(SEARCH("loose",C369)),"Loose or Intermittent Connection",ISNUMBER(SEARCH("damaged packaging",C369)),"Packaging Problem",ISNUMBER(SEARCH("packaging",C369)),"Packaging Problem",ISNUMBER(SEARCH("discoloration",C369)),"Contamination",ISNUMBER(SEARCH("tarnish",C369)),"Contamination",ISNUMBER(SEARCH("stain",C369)),"Contamination",ISNUMBER(SEARCH("foreign material",C369)),"Contamination",ISNUMBER(SEARCH("contamina",C369)),"Contamination",ISNUMBER(SEARCH("overheat",C369)),"Overheating of Device",ISNUMBER(SEARCH("excessive heat",C369)),"Overheating of Device",ISNUMBER(SEARCH("hot",C369)),"Overheating of Device",ISNUMBER(SEARCH("noise",C369)),"Noise, Audible",ISNUMBER(SEARCH("sound",C369)),"Noise, Audible",ISNUMBER(SEARCH("loud",C369)),"Noise, Audible",ISNUMBER(SEARCH("fray",C369)),"Material Frayed",ISNUMBER(SEARCH("hole",C369)),"Material Frayed",ISNUMBER(SEARCH("tear",C369)),"Material Frayed",ISNUMBER(SEARCH("worn",C369)),"Material Frayed",ISNUMBER(SEARCH("intermittent",C369)),"Difficult or Delayed Activation",ISNUMBER(SEARCH("delay",C369)),"Difficult or Delayed Activation",ISNUMBER(SEARCH("label",C369)),"Device Markings/Labelling Problem",ISNUMBER(SEARCH("marking",C369)),"Device Markings/Labelling Problem",ISNUMBER(SEARCH("lacerat",C369)),"Defective Device",ISNUMBER(SEARCH("cut",C369)),"Defective Device",ISNUMBER(SEARCH("leak",C369)),"Fluid/Blood Leak",ISNUMBER(SEARCH("missing",C369)),"Component Missing",ISNUMBER(SEARCH("power",C369)),"Complete Loss of Power",ISNUMBER(SEARCH("will not turn on",C369)),"Complete Loss of Power",ISNUMBER(SEARCH("won't turn on",C369)),"Complete Loss of Power",ISNUMBER(SEARCH("does not turn on",C369)),"Complete Loss of Power",ISNUMBER(SEARCH("electrical",C369)),"Electrical Power Problem",ISNUMBER(SEARCH("pressure",C369)),"Detachment of Device or Device Component",ISNUMBER(SEARCH("slip",C369)),"Detachment of Device or Device Component",ISNUMBER(SEARCH("detach",C369)),"Detachment of Device or Device Component",ISNUMBER(SEARCH("stick",C369)),"Mechanical Jam",ISNUMBER(SEARCH("jam",C369)),"Mechanical Jam",ISNUMBER(SEARCH("rigid",C369)),"Mechanical Jam",ISNUMBER(SEARCH("rust",C369)),"Corroded",ISNUMBER(SEARCH("corrod",C369)),"Corroded",ISNUMBER(SEARCH("corrosion",C369)),"Corroded",ISNUMBER(SEARCH("alignment",C369)),"Defective Device",ISNUMBER(SEARCH("adjust",C369)),"Defective Device",ISNUMBER(SEARCH("perform",C369)),"Defective Device",ISNUMBER(SEARCH("malfunction",C369)),"Defective Device",ISNUMBER(SEARCH("defect",C369)),"Defective Device",ISNUMBER(SEARCH("fail",C369)),"Defective Device",ISNUMBER(SEARCH("not work",C369)),"Defective Device",ISNUMBER(SEARCH("doesn't work",C369)),"Defective Device",TRUE,"UNKNOWN"),"UNKNOWN")))</f>
        <v/>
      </c>
      <c r="F369" s="4" t="str">
        <f t="shared" si="5"/>
        <v/>
      </c>
      <c r="G369" s="363" t="str">
        <f>IF(E369="","",IFERROR(VLOOKUP(E369,Codes!$L$2:$N$409,3,FALSE),"—"))</f>
        <v/>
      </c>
      <c r="H369" s="88"/>
      <c r="I369" s="88"/>
    </row>
    <row r="370" spans="1:9" ht="13.15" x14ac:dyDescent="0.35">
      <c r="A370" s="434"/>
      <c r="B370" s="436"/>
      <c r="C370" s="437"/>
      <c r="D370" s="434"/>
      <c r="E370" s="93" t="str" cm="1">
        <f t="array" ref="E370">IF(D370&lt;&gt;"",IFERROR(VLOOKUP(D370,Codes!$K$2:$L$409,2,FALSE),"UNKNOWN - "&amp;D370),IF(C370="","",IFERROR(_xlfn.IFS(ISNUMBER(SEARCH("broken button",C370)),"Break",ISNUMBER(SEARCH("broken handle",C370)),"Break",ISNUMBER(SEARCH("shipping damage",C370)),"Break",ISNUMBER(SEARCH("broken",C370)),"Break",ISNUMBER(SEARCH("crack",C370)),"Break",ISNUMBER(SEARCH("snap",C370)),"Break",ISNUMBER(SEARCH("fracture",C370)),"Break",ISNUMBER(SEARCH("bent",C370)),"Material Twisted/Bent",ISNUMBER(SEARCH("twisted",C370)),"Material Twisted/Bent",ISNUMBER(SEARCH("component separat",C370)),"Material Separation",ISNUMBER(SEARCH("separat",C370)),"Material Separation",ISNUMBER(SEARCH("connection",C370)),"Loose or Intermittent Connection",ISNUMBER(SEARCH("loose",C370)),"Loose or Intermittent Connection",ISNUMBER(SEARCH("damaged packaging",C370)),"Packaging Problem",ISNUMBER(SEARCH("packaging",C370)),"Packaging Problem",ISNUMBER(SEARCH("discoloration",C370)),"Contamination",ISNUMBER(SEARCH("tarnish",C370)),"Contamination",ISNUMBER(SEARCH("stain",C370)),"Contamination",ISNUMBER(SEARCH("foreign material",C370)),"Contamination",ISNUMBER(SEARCH("contamina",C370)),"Contamination",ISNUMBER(SEARCH("overheat",C370)),"Overheating of Device",ISNUMBER(SEARCH("excessive heat",C370)),"Overheating of Device",ISNUMBER(SEARCH("hot",C370)),"Overheating of Device",ISNUMBER(SEARCH("noise",C370)),"Noise, Audible",ISNUMBER(SEARCH("sound",C370)),"Noise, Audible",ISNUMBER(SEARCH("loud",C370)),"Noise, Audible",ISNUMBER(SEARCH("fray",C370)),"Material Frayed",ISNUMBER(SEARCH("hole",C370)),"Material Frayed",ISNUMBER(SEARCH("tear",C370)),"Material Frayed",ISNUMBER(SEARCH("worn",C370)),"Material Frayed",ISNUMBER(SEARCH("intermittent",C370)),"Difficult or Delayed Activation",ISNUMBER(SEARCH("delay",C370)),"Difficult or Delayed Activation",ISNUMBER(SEARCH("label",C370)),"Device Markings/Labelling Problem",ISNUMBER(SEARCH("marking",C370)),"Device Markings/Labelling Problem",ISNUMBER(SEARCH("lacerat",C370)),"Defective Device",ISNUMBER(SEARCH("cut",C370)),"Defective Device",ISNUMBER(SEARCH("leak",C370)),"Fluid/Blood Leak",ISNUMBER(SEARCH("missing",C370)),"Component Missing",ISNUMBER(SEARCH("power",C370)),"Complete Loss of Power",ISNUMBER(SEARCH("will not turn on",C370)),"Complete Loss of Power",ISNUMBER(SEARCH("won't turn on",C370)),"Complete Loss of Power",ISNUMBER(SEARCH("does not turn on",C370)),"Complete Loss of Power",ISNUMBER(SEARCH("electrical",C370)),"Electrical Power Problem",ISNUMBER(SEARCH("pressure",C370)),"Detachment of Device or Device Component",ISNUMBER(SEARCH("slip",C370)),"Detachment of Device or Device Component",ISNUMBER(SEARCH("detach",C370)),"Detachment of Device or Device Component",ISNUMBER(SEARCH("stick",C370)),"Mechanical Jam",ISNUMBER(SEARCH("jam",C370)),"Mechanical Jam",ISNUMBER(SEARCH("rigid",C370)),"Mechanical Jam",ISNUMBER(SEARCH("rust",C370)),"Corroded",ISNUMBER(SEARCH("corrod",C370)),"Corroded",ISNUMBER(SEARCH("corrosion",C370)),"Corroded",ISNUMBER(SEARCH("alignment",C370)),"Defective Device",ISNUMBER(SEARCH("adjust",C370)),"Defective Device",ISNUMBER(SEARCH("perform",C370)),"Defective Device",ISNUMBER(SEARCH("malfunction",C370)),"Defective Device",ISNUMBER(SEARCH("defect",C370)),"Defective Device",ISNUMBER(SEARCH("fail",C370)),"Defective Device",ISNUMBER(SEARCH("not work",C370)),"Defective Device",ISNUMBER(SEARCH("doesn't work",C370)),"Defective Device",TRUE,"UNKNOWN"),"UNKNOWN")))</f>
        <v/>
      </c>
      <c r="F370" s="4" t="str">
        <f t="shared" si="5"/>
        <v/>
      </c>
      <c r="G370" s="363" t="str">
        <f>IF(E370="","",IFERROR(VLOOKUP(E370,Codes!$L$2:$N$409,3,FALSE),"—"))</f>
        <v/>
      </c>
      <c r="H370" s="88"/>
      <c r="I370" s="88"/>
    </row>
    <row r="371" spans="1:9" ht="13.15" x14ac:dyDescent="0.35">
      <c r="A371" s="434"/>
      <c r="B371" s="436"/>
      <c r="C371" s="437"/>
      <c r="D371" s="434"/>
      <c r="E371" s="93" t="str" cm="1">
        <f t="array" ref="E371">IF(D371&lt;&gt;"",IFERROR(VLOOKUP(D371,Codes!$K$2:$L$409,2,FALSE),"UNKNOWN - "&amp;D371),IF(C371="","",IFERROR(_xlfn.IFS(ISNUMBER(SEARCH("broken button",C371)),"Break",ISNUMBER(SEARCH("broken handle",C371)),"Break",ISNUMBER(SEARCH("shipping damage",C371)),"Break",ISNUMBER(SEARCH("broken",C371)),"Break",ISNUMBER(SEARCH("crack",C371)),"Break",ISNUMBER(SEARCH("snap",C371)),"Break",ISNUMBER(SEARCH("fracture",C371)),"Break",ISNUMBER(SEARCH("bent",C371)),"Material Twisted/Bent",ISNUMBER(SEARCH("twisted",C371)),"Material Twisted/Bent",ISNUMBER(SEARCH("component separat",C371)),"Material Separation",ISNUMBER(SEARCH("separat",C371)),"Material Separation",ISNUMBER(SEARCH("connection",C371)),"Loose or Intermittent Connection",ISNUMBER(SEARCH("loose",C371)),"Loose or Intermittent Connection",ISNUMBER(SEARCH("damaged packaging",C371)),"Packaging Problem",ISNUMBER(SEARCH("packaging",C371)),"Packaging Problem",ISNUMBER(SEARCH("discoloration",C371)),"Contamination",ISNUMBER(SEARCH("tarnish",C371)),"Contamination",ISNUMBER(SEARCH("stain",C371)),"Contamination",ISNUMBER(SEARCH("foreign material",C371)),"Contamination",ISNUMBER(SEARCH("contamina",C371)),"Contamination",ISNUMBER(SEARCH("overheat",C371)),"Overheating of Device",ISNUMBER(SEARCH("excessive heat",C371)),"Overheating of Device",ISNUMBER(SEARCH("hot",C371)),"Overheating of Device",ISNUMBER(SEARCH("noise",C371)),"Noise, Audible",ISNUMBER(SEARCH("sound",C371)),"Noise, Audible",ISNUMBER(SEARCH("loud",C371)),"Noise, Audible",ISNUMBER(SEARCH("fray",C371)),"Material Frayed",ISNUMBER(SEARCH("hole",C371)),"Material Frayed",ISNUMBER(SEARCH("tear",C371)),"Material Frayed",ISNUMBER(SEARCH("worn",C371)),"Material Frayed",ISNUMBER(SEARCH("intermittent",C371)),"Difficult or Delayed Activation",ISNUMBER(SEARCH("delay",C371)),"Difficult or Delayed Activation",ISNUMBER(SEARCH("label",C371)),"Device Markings/Labelling Problem",ISNUMBER(SEARCH("marking",C371)),"Device Markings/Labelling Problem",ISNUMBER(SEARCH("lacerat",C371)),"Defective Device",ISNUMBER(SEARCH("cut",C371)),"Defective Device",ISNUMBER(SEARCH("leak",C371)),"Fluid/Blood Leak",ISNUMBER(SEARCH("missing",C371)),"Component Missing",ISNUMBER(SEARCH("power",C371)),"Complete Loss of Power",ISNUMBER(SEARCH("will not turn on",C371)),"Complete Loss of Power",ISNUMBER(SEARCH("won't turn on",C371)),"Complete Loss of Power",ISNUMBER(SEARCH("does not turn on",C371)),"Complete Loss of Power",ISNUMBER(SEARCH("electrical",C371)),"Electrical Power Problem",ISNUMBER(SEARCH("pressure",C371)),"Detachment of Device or Device Component",ISNUMBER(SEARCH("slip",C371)),"Detachment of Device or Device Component",ISNUMBER(SEARCH("detach",C371)),"Detachment of Device or Device Component",ISNUMBER(SEARCH("stick",C371)),"Mechanical Jam",ISNUMBER(SEARCH("jam",C371)),"Mechanical Jam",ISNUMBER(SEARCH("rigid",C371)),"Mechanical Jam",ISNUMBER(SEARCH("rust",C371)),"Corroded",ISNUMBER(SEARCH("corrod",C371)),"Corroded",ISNUMBER(SEARCH("corrosion",C371)),"Corroded",ISNUMBER(SEARCH("alignment",C371)),"Defective Device",ISNUMBER(SEARCH("adjust",C371)),"Defective Device",ISNUMBER(SEARCH("perform",C371)),"Defective Device",ISNUMBER(SEARCH("malfunction",C371)),"Defective Device",ISNUMBER(SEARCH("defect",C371)),"Defective Device",ISNUMBER(SEARCH("fail",C371)),"Defective Device",ISNUMBER(SEARCH("not work",C371)),"Defective Device",ISNUMBER(SEARCH("doesn't work",C371)),"Defective Device",TRUE,"UNKNOWN"),"UNKNOWN")))</f>
        <v/>
      </c>
      <c r="F371" s="4" t="str">
        <f t="shared" si="5"/>
        <v/>
      </c>
      <c r="G371" s="363" t="str">
        <f>IF(E371="","",IFERROR(VLOOKUP(E371,Codes!$L$2:$N$409,3,FALSE),"—"))</f>
        <v/>
      </c>
      <c r="H371" s="88"/>
      <c r="I371" s="88"/>
    </row>
    <row r="372" spans="1:9" ht="13.15" x14ac:dyDescent="0.35">
      <c r="A372" s="435"/>
      <c r="B372" s="436"/>
      <c r="C372" s="438"/>
      <c r="D372" s="435"/>
      <c r="E372" s="93" t="str" cm="1">
        <f t="array" ref="E372">IF(D372&lt;&gt;"",IFERROR(VLOOKUP(D372,Codes!$K$2:$L$409,2,FALSE),"UNKNOWN - "&amp;D372),IF(C372="","",IFERROR(_xlfn.IFS(ISNUMBER(SEARCH("broken button",C372)),"Break",ISNUMBER(SEARCH("broken handle",C372)),"Break",ISNUMBER(SEARCH("shipping damage",C372)),"Break",ISNUMBER(SEARCH("broken",C372)),"Break",ISNUMBER(SEARCH("crack",C372)),"Break",ISNUMBER(SEARCH("snap",C372)),"Break",ISNUMBER(SEARCH("fracture",C372)),"Break",ISNUMBER(SEARCH("bent",C372)),"Material Twisted/Bent",ISNUMBER(SEARCH("twisted",C372)),"Material Twisted/Bent",ISNUMBER(SEARCH("component separat",C372)),"Material Separation",ISNUMBER(SEARCH("separat",C372)),"Material Separation",ISNUMBER(SEARCH("connection",C372)),"Loose or Intermittent Connection",ISNUMBER(SEARCH("loose",C372)),"Loose or Intermittent Connection",ISNUMBER(SEARCH("damaged packaging",C372)),"Packaging Problem",ISNUMBER(SEARCH("packaging",C372)),"Packaging Problem",ISNUMBER(SEARCH("discoloration",C372)),"Contamination",ISNUMBER(SEARCH("tarnish",C372)),"Contamination",ISNUMBER(SEARCH("stain",C372)),"Contamination",ISNUMBER(SEARCH("foreign material",C372)),"Contamination",ISNUMBER(SEARCH("contamina",C372)),"Contamination",ISNUMBER(SEARCH("overheat",C372)),"Overheating of Device",ISNUMBER(SEARCH("excessive heat",C372)),"Overheating of Device",ISNUMBER(SEARCH("hot",C372)),"Overheating of Device",ISNUMBER(SEARCH("noise",C372)),"Noise, Audible",ISNUMBER(SEARCH("sound",C372)),"Noise, Audible",ISNUMBER(SEARCH("loud",C372)),"Noise, Audible",ISNUMBER(SEARCH("fray",C372)),"Material Frayed",ISNUMBER(SEARCH("hole",C372)),"Material Frayed",ISNUMBER(SEARCH("tear",C372)),"Material Frayed",ISNUMBER(SEARCH("worn",C372)),"Material Frayed",ISNUMBER(SEARCH("intermittent",C372)),"Difficult or Delayed Activation",ISNUMBER(SEARCH("delay",C372)),"Difficult or Delayed Activation",ISNUMBER(SEARCH("label",C372)),"Device Markings/Labelling Problem",ISNUMBER(SEARCH("marking",C372)),"Device Markings/Labelling Problem",ISNUMBER(SEARCH("lacerat",C372)),"Defective Device",ISNUMBER(SEARCH("cut",C372)),"Defective Device",ISNUMBER(SEARCH("leak",C372)),"Fluid/Blood Leak",ISNUMBER(SEARCH("missing",C372)),"Component Missing",ISNUMBER(SEARCH("power",C372)),"Complete Loss of Power",ISNUMBER(SEARCH("will not turn on",C372)),"Complete Loss of Power",ISNUMBER(SEARCH("won't turn on",C372)),"Complete Loss of Power",ISNUMBER(SEARCH("does not turn on",C372)),"Complete Loss of Power",ISNUMBER(SEARCH("electrical",C372)),"Electrical Power Problem",ISNUMBER(SEARCH("pressure",C372)),"Detachment of Device or Device Component",ISNUMBER(SEARCH("slip",C372)),"Detachment of Device or Device Component",ISNUMBER(SEARCH("detach",C372)),"Detachment of Device or Device Component",ISNUMBER(SEARCH("stick",C372)),"Mechanical Jam",ISNUMBER(SEARCH("jam",C372)),"Mechanical Jam",ISNUMBER(SEARCH("rigid",C372)),"Mechanical Jam",ISNUMBER(SEARCH("rust",C372)),"Corroded",ISNUMBER(SEARCH("corrod",C372)),"Corroded",ISNUMBER(SEARCH("corrosion",C372)),"Corroded",ISNUMBER(SEARCH("alignment",C372)),"Defective Device",ISNUMBER(SEARCH("adjust",C372)),"Defective Device",ISNUMBER(SEARCH("perform",C372)),"Defective Device",ISNUMBER(SEARCH("malfunction",C372)),"Defective Device",ISNUMBER(SEARCH("defect",C372)),"Defective Device",ISNUMBER(SEARCH("fail",C372)),"Defective Device",ISNUMBER(SEARCH("not work",C372)),"Defective Device",ISNUMBER(SEARCH("doesn't work",C372)),"Defective Device",TRUE,"UNKNOWN"),"UNKNOWN")))</f>
        <v/>
      </c>
      <c r="F372" s="4" t="str">
        <f t="shared" si="5"/>
        <v/>
      </c>
      <c r="G372" s="363" t="str">
        <f>IF(E372="","",IFERROR(VLOOKUP(E372,Codes!$L$2:$N$409,3,FALSE),"—"))</f>
        <v/>
      </c>
      <c r="H372" s="88"/>
      <c r="I372" s="88"/>
    </row>
    <row r="373" spans="1:9" ht="13.15" x14ac:dyDescent="0.35">
      <c r="A373" s="435"/>
      <c r="B373" s="436"/>
      <c r="C373" s="438"/>
      <c r="D373" s="435"/>
      <c r="E373" s="93" t="str" cm="1">
        <f t="array" ref="E373">IF(D373&lt;&gt;"",IFERROR(VLOOKUP(D373,Codes!$K$2:$L$409,2,FALSE),"UNKNOWN - "&amp;D373),IF(C373="","",IFERROR(_xlfn.IFS(ISNUMBER(SEARCH("broken button",C373)),"Break",ISNUMBER(SEARCH("broken handle",C373)),"Break",ISNUMBER(SEARCH("shipping damage",C373)),"Break",ISNUMBER(SEARCH("broken",C373)),"Break",ISNUMBER(SEARCH("crack",C373)),"Break",ISNUMBER(SEARCH("snap",C373)),"Break",ISNUMBER(SEARCH("fracture",C373)),"Break",ISNUMBER(SEARCH("bent",C373)),"Material Twisted/Bent",ISNUMBER(SEARCH("twisted",C373)),"Material Twisted/Bent",ISNUMBER(SEARCH("component separat",C373)),"Material Separation",ISNUMBER(SEARCH("separat",C373)),"Material Separation",ISNUMBER(SEARCH("connection",C373)),"Loose or Intermittent Connection",ISNUMBER(SEARCH("loose",C373)),"Loose or Intermittent Connection",ISNUMBER(SEARCH("damaged packaging",C373)),"Packaging Problem",ISNUMBER(SEARCH("packaging",C373)),"Packaging Problem",ISNUMBER(SEARCH("discoloration",C373)),"Contamination",ISNUMBER(SEARCH("tarnish",C373)),"Contamination",ISNUMBER(SEARCH("stain",C373)),"Contamination",ISNUMBER(SEARCH("foreign material",C373)),"Contamination",ISNUMBER(SEARCH("contamina",C373)),"Contamination",ISNUMBER(SEARCH("overheat",C373)),"Overheating of Device",ISNUMBER(SEARCH("excessive heat",C373)),"Overheating of Device",ISNUMBER(SEARCH("hot",C373)),"Overheating of Device",ISNUMBER(SEARCH("noise",C373)),"Noise, Audible",ISNUMBER(SEARCH("sound",C373)),"Noise, Audible",ISNUMBER(SEARCH("loud",C373)),"Noise, Audible",ISNUMBER(SEARCH("fray",C373)),"Material Frayed",ISNUMBER(SEARCH("hole",C373)),"Material Frayed",ISNUMBER(SEARCH("tear",C373)),"Material Frayed",ISNUMBER(SEARCH("worn",C373)),"Material Frayed",ISNUMBER(SEARCH("intermittent",C373)),"Difficult or Delayed Activation",ISNUMBER(SEARCH("delay",C373)),"Difficult or Delayed Activation",ISNUMBER(SEARCH("label",C373)),"Device Markings/Labelling Problem",ISNUMBER(SEARCH("marking",C373)),"Device Markings/Labelling Problem",ISNUMBER(SEARCH("lacerat",C373)),"Defective Device",ISNUMBER(SEARCH("cut",C373)),"Defective Device",ISNUMBER(SEARCH("leak",C373)),"Fluid/Blood Leak",ISNUMBER(SEARCH("missing",C373)),"Component Missing",ISNUMBER(SEARCH("power",C373)),"Complete Loss of Power",ISNUMBER(SEARCH("will not turn on",C373)),"Complete Loss of Power",ISNUMBER(SEARCH("won't turn on",C373)),"Complete Loss of Power",ISNUMBER(SEARCH("does not turn on",C373)),"Complete Loss of Power",ISNUMBER(SEARCH("electrical",C373)),"Electrical Power Problem",ISNUMBER(SEARCH("pressure",C373)),"Detachment of Device or Device Component",ISNUMBER(SEARCH("slip",C373)),"Detachment of Device or Device Component",ISNUMBER(SEARCH("detach",C373)),"Detachment of Device or Device Component",ISNUMBER(SEARCH("stick",C373)),"Mechanical Jam",ISNUMBER(SEARCH("jam",C373)),"Mechanical Jam",ISNUMBER(SEARCH("rigid",C373)),"Mechanical Jam",ISNUMBER(SEARCH("rust",C373)),"Corroded",ISNUMBER(SEARCH("corrod",C373)),"Corroded",ISNUMBER(SEARCH("corrosion",C373)),"Corroded",ISNUMBER(SEARCH("alignment",C373)),"Defective Device",ISNUMBER(SEARCH("adjust",C373)),"Defective Device",ISNUMBER(SEARCH("perform",C373)),"Defective Device",ISNUMBER(SEARCH("malfunction",C373)),"Defective Device",ISNUMBER(SEARCH("defect",C373)),"Defective Device",ISNUMBER(SEARCH("fail",C373)),"Defective Device",ISNUMBER(SEARCH("not work",C373)),"Defective Device",ISNUMBER(SEARCH("doesn't work",C373)),"Defective Device",TRUE,"UNKNOWN"),"UNKNOWN")))</f>
        <v/>
      </c>
      <c r="F373" s="4" t="str">
        <f t="shared" si="5"/>
        <v/>
      </c>
      <c r="G373" s="363" t="str">
        <f>IF(E373="","",IFERROR(VLOOKUP(E373,Codes!$L$2:$N$409,3,FALSE),"—"))</f>
        <v/>
      </c>
      <c r="H373" s="88"/>
      <c r="I373" s="88"/>
    </row>
    <row r="374" spans="1:9" ht="13.15" x14ac:dyDescent="0.35">
      <c r="A374" s="434"/>
      <c r="B374" s="436"/>
      <c r="C374" s="437"/>
      <c r="D374" s="434"/>
      <c r="E374" s="93" t="str" cm="1">
        <f t="array" ref="E374">IF(D374&lt;&gt;"",IFERROR(VLOOKUP(D374,Codes!$K$2:$L$409,2,FALSE),"UNKNOWN - "&amp;D374),IF(C374="","",IFERROR(_xlfn.IFS(ISNUMBER(SEARCH("broken button",C374)),"Break",ISNUMBER(SEARCH("broken handle",C374)),"Break",ISNUMBER(SEARCH("shipping damage",C374)),"Break",ISNUMBER(SEARCH("broken",C374)),"Break",ISNUMBER(SEARCH("crack",C374)),"Break",ISNUMBER(SEARCH("snap",C374)),"Break",ISNUMBER(SEARCH("fracture",C374)),"Break",ISNUMBER(SEARCH("bent",C374)),"Material Twisted/Bent",ISNUMBER(SEARCH("twisted",C374)),"Material Twisted/Bent",ISNUMBER(SEARCH("component separat",C374)),"Material Separation",ISNUMBER(SEARCH("separat",C374)),"Material Separation",ISNUMBER(SEARCH("connection",C374)),"Loose or Intermittent Connection",ISNUMBER(SEARCH("loose",C374)),"Loose or Intermittent Connection",ISNUMBER(SEARCH("damaged packaging",C374)),"Packaging Problem",ISNUMBER(SEARCH("packaging",C374)),"Packaging Problem",ISNUMBER(SEARCH("discoloration",C374)),"Contamination",ISNUMBER(SEARCH("tarnish",C374)),"Contamination",ISNUMBER(SEARCH("stain",C374)),"Contamination",ISNUMBER(SEARCH("foreign material",C374)),"Contamination",ISNUMBER(SEARCH("contamina",C374)),"Contamination",ISNUMBER(SEARCH("overheat",C374)),"Overheating of Device",ISNUMBER(SEARCH("excessive heat",C374)),"Overheating of Device",ISNUMBER(SEARCH("hot",C374)),"Overheating of Device",ISNUMBER(SEARCH("noise",C374)),"Noise, Audible",ISNUMBER(SEARCH("sound",C374)),"Noise, Audible",ISNUMBER(SEARCH("loud",C374)),"Noise, Audible",ISNUMBER(SEARCH("fray",C374)),"Material Frayed",ISNUMBER(SEARCH("hole",C374)),"Material Frayed",ISNUMBER(SEARCH("tear",C374)),"Material Frayed",ISNUMBER(SEARCH("worn",C374)),"Material Frayed",ISNUMBER(SEARCH("intermittent",C374)),"Difficult or Delayed Activation",ISNUMBER(SEARCH("delay",C374)),"Difficult or Delayed Activation",ISNUMBER(SEARCH("label",C374)),"Device Markings/Labelling Problem",ISNUMBER(SEARCH("marking",C374)),"Device Markings/Labelling Problem",ISNUMBER(SEARCH("lacerat",C374)),"Defective Device",ISNUMBER(SEARCH("cut",C374)),"Defective Device",ISNUMBER(SEARCH("leak",C374)),"Fluid/Blood Leak",ISNUMBER(SEARCH("missing",C374)),"Component Missing",ISNUMBER(SEARCH("power",C374)),"Complete Loss of Power",ISNUMBER(SEARCH("will not turn on",C374)),"Complete Loss of Power",ISNUMBER(SEARCH("won't turn on",C374)),"Complete Loss of Power",ISNUMBER(SEARCH("does not turn on",C374)),"Complete Loss of Power",ISNUMBER(SEARCH("electrical",C374)),"Electrical Power Problem",ISNUMBER(SEARCH("pressure",C374)),"Detachment of Device or Device Component",ISNUMBER(SEARCH("slip",C374)),"Detachment of Device or Device Component",ISNUMBER(SEARCH("detach",C374)),"Detachment of Device or Device Component",ISNUMBER(SEARCH("stick",C374)),"Mechanical Jam",ISNUMBER(SEARCH("jam",C374)),"Mechanical Jam",ISNUMBER(SEARCH("rigid",C374)),"Mechanical Jam",ISNUMBER(SEARCH("rust",C374)),"Corroded",ISNUMBER(SEARCH("corrod",C374)),"Corroded",ISNUMBER(SEARCH("corrosion",C374)),"Corroded",ISNUMBER(SEARCH("alignment",C374)),"Defective Device",ISNUMBER(SEARCH("adjust",C374)),"Defective Device",ISNUMBER(SEARCH("perform",C374)),"Defective Device",ISNUMBER(SEARCH("malfunction",C374)),"Defective Device",ISNUMBER(SEARCH("defect",C374)),"Defective Device",ISNUMBER(SEARCH("fail",C374)),"Defective Device",ISNUMBER(SEARCH("not work",C374)),"Defective Device",ISNUMBER(SEARCH("doesn't work",C374)),"Defective Device",TRUE,"UNKNOWN"),"UNKNOWN")))</f>
        <v/>
      </c>
      <c r="F374" s="4" t="str">
        <f t="shared" si="5"/>
        <v/>
      </c>
      <c r="G374" s="363" t="str">
        <f>IF(E374="","",IFERROR(VLOOKUP(E374,Codes!$L$2:$N$409,3,FALSE),"—"))</f>
        <v/>
      </c>
      <c r="H374" s="88"/>
      <c r="I374" s="88"/>
    </row>
    <row r="375" spans="1:9" ht="13.15" x14ac:dyDescent="0.35">
      <c r="A375" s="435"/>
      <c r="B375" s="436"/>
      <c r="C375" s="438"/>
      <c r="D375" s="435"/>
      <c r="E375" s="93" t="str" cm="1">
        <f t="array" ref="E375">IF(D375&lt;&gt;"",IFERROR(VLOOKUP(D375,Codes!$K$2:$L$409,2,FALSE),"UNKNOWN - "&amp;D375),IF(C375="","",IFERROR(_xlfn.IFS(ISNUMBER(SEARCH("broken button",C375)),"Break",ISNUMBER(SEARCH("broken handle",C375)),"Break",ISNUMBER(SEARCH("shipping damage",C375)),"Break",ISNUMBER(SEARCH("broken",C375)),"Break",ISNUMBER(SEARCH("crack",C375)),"Break",ISNUMBER(SEARCH("snap",C375)),"Break",ISNUMBER(SEARCH("fracture",C375)),"Break",ISNUMBER(SEARCH("bent",C375)),"Material Twisted/Bent",ISNUMBER(SEARCH("twisted",C375)),"Material Twisted/Bent",ISNUMBER(SEARCH("component separat",C375)),"Material Separation",ISNUMBER(SEARCH("separat",C375)),"Material Separation",ISNUMBER(SEARCH("connection",C375)),"Loose or Intermittent Connection",ISNUMBER(SEARCH("loose",C375)),"Loose or Intermittent Connection",ISNUMBER(SEARCH("damaged packaging",C375)),"Packaging Problem",ISNUMBER(SEARCH("packaging",C375)),"Packaging Problem",ISNUMBER(SEARCH("discoloration",C375)),"Contamination",ISNUMBER(SEARCH("tarnish",C375)),"Contamination",ISNUMBER(SEARCH("stain",C375)),"Contamination",ISNUMBER(SEARCH("foreign material",C375)),"Contamination",ISNUMBER(SEARCH("contamina",C375)),"Contamination",ISNUMBER(SEARCH("overheat",C375)),"Overheating of Device",ISNUMBER(SEARCH("excessive heat",C375)),"Overheating of Device",ISNUMBER(SEARCH("hot",C375)),"Overheating of Device",ISNUMBER(SEARCH("noise",C375)),"Noise, Audible",ISNUMBER(SEARCH("sound",C375)),"Noise, Audible",ISNUMBER(SEARCH("loud",C375)),"Noise, Audible",ISNUMBER(SEARCH("fray",C375)),"Material Frayed",ISNUMBER(SEARCH("hole",C375)),"Material Frayed",ISNUMBER(SEARCH("tear",C375)),"Material Frayed",ISNUMBER(SEARCH("worn",C375)),"Material Frayed",ISNUMBER(SEARCH("intermittent",C375)),"Difficult or Delayed Activation",ISNUMBER(SEARCH("delay",C375)),"Difficult or Delayed Activation",ISNUMBER(SEARCH("label",C375)),"Device Markings/Labelling Problem",ISNUMBER(SEARCH("marking",C375)),"Device Markings/Labelling Problem",ISNUMBER(SEARCH("lacerat",C375)),"Defective Device",ISNUMBER(SEARCH("cut",C375)),"Defective Device",ISNUMBER(SEARCH("leak",C375)),"Fluid/Blood Leak",ISNUMBER(SEARCH("missing",C375)),"Component Missing",ISNUMBER(SEARCH("power",C375)),"Complete Loss of Power",ISNUMBER(SEARCH("will not turn on",C375)),"Complete Loss of Power",ISNUMBER(SEARCH("won't turn on",C375)),"Complete Loss of Power",ISNUMBER(SEARCH("does not turn on",C375)),"Complete Loss of Power",ISNUMBER(SEARCH("electrical",C375)),"Electrical Power Problem",ISNUMBER(SEARCH("pressure",C375)),"Detachment of Device or Device Component",ISNUMBER(SEARCH("slip",C375)),"Detachment of Device or Device Component",ISNUMBER(SEARCH("detach",C375)),"Detachment of Device or Device Component",ISNUMBER(SEARCH("stick",C375)),"Mechanical Jam",ISNUMBER(SEARCH("jam",C375)),"Mechanical Jam",ISNUMBER(SEARCH("rigid",C375)),"Mechanical Jam",ISNUMBER(SEARCH("rust",C375)),"Corroded",ISNUMBER(SEARCH("corrod",C375)),"Corroded",ISNUMBER(SEARCH("corrosion",C375)),"Corroded",ISNUMBER(SEARCH("alignment",C375)),"Defective Device",ISNUMBER(SEARCH("adjust",C375)),"Defective Device",ISNUMBER(SEARCH("perform",C375)),"Defective Device",ISNUMBER(SEARCH("malfunction",C375)),"Defective Device",ISNUMBER(SEARCH("defect",C375)),"Defective Device",ISNUMBER(SEARCH("fail",C375)),"Defective Device",ISNUMBER(SEARCH("not work",C375)),"Defective Device",ISNUMBER(SEARCH("doesn't work",C375)),"Defective Device",TRUE,"UNKNOWN"),"UNKNOWN")))</f>
        <v/>
      </c>
      <c r="F375" s="4" t="str">
        <f t="shared" si="5"/>
        <v/>
      </c>
      <c r="G375" s="363" t="str">
        <f>IF(E375="","",IFERROR(VLOOKUP(E375,Codes!$L$2:$N$409,3,FALSE),"—"))</f>
        <v/>
      </c>
      <c r="H375" s="88"/>
      <c r="I375" s="88"/>
    </row>
    <row r="376" spans="1:9" ht="13.15" x14ac:dyDescent="0.35">
      <c r="A376" s="434"/>
      <c r="B376" s="436"/>
      <c r="C376" s="437"/>
      <c r="D376" s="434"/>
      <c r="E376" s="93" t="str" cm="1">
        <f t="array" ref="E376">IF(D376&lt;&gt;"",IFERROR(VLOOKUP(D376,Codes!$K$2:$L$409,2,FALSE),"UNKNOWN - "&amp;D376),IF(C376="","",IFERROR(_xlfn.IFS(ISNUMBER(SEARCH("broken button",C376)),"Break",ISNUMBER(SEARCH("broken handle",C376)),"Break",ISNUMBER(SEARCH("shipping damage",C376)),"Break",ISNUMBER(SEARCH("broken",C376)),"Break",ISNUMBER(SEARCH("crack",C376)),"Break",ISNUMBER(SEARCH("snap",C376)),"Break",ISNUMBER(SEARCH("fracture",C376)),"Break",ISNUMBER(SEARCH("bent",C376)),"Material Twisted/Bent",ISNUMBER(SEARCH("twisted",C376)),"Material Twisted/Bent",ISNUMBER(SEARCH("component separat",C376)),"Material Separation",ISNUMBER(SEARCH("separat",C376)),"Material Separation",ISNUMBER(SEARCH("connection",C376)),"Loose or Intermittent Connection",ISNUMBER(SEARCH("loose",C376)),"Loose or Intermittent Connection",ISNUMBER(SEARCH("damaged packaging",C376)),"Packaging Problem",ISNUMBER(SEARCH("packaging",C376)),"Packaging Problem",ISNUMBER(SEARCH("discoloration",C376)),"Contamination",ISNUMBER(SEARCH("tarnish",C376)),"Contamination",ISNUMBER(SEARCH("stain",C376)),"Contamination",ISNUMBER(SEARCH("foreign material",C376)),"Contamination",ISNUMBER(SEARCH("contamina",C376)),"Contamination",ISNUMBER(SEARCH("overheat",C376)),"Overheating of Device",ISNUMBER(SEARCH("excessive heat",C376)),"Overheating of Device",ISNUMBER(SEARCH("hot",C376)),"Overheating of Device",ISNUMBER(SEARCH("noise",C376)),"Noise, Audible",ISNUMBER(SEARCH("sound",C376)),"Noise, Audible",ISNUMBER(SEARCH("loud",C376)),"Noise, Audible",ISNUMBER(SEARCH("fray",C376)),"Material Frayed",ISNUMBER(SEARCH("hole",C376)),"Material Frayed",ISNUMBER(SEARCH("tear",C376)),"Material Frayed",ISNUMBER(SEARCH("worn",C376)),"Material Frayed",ISNUMBER(SEARCH("intermittent",C376)),"Difficult or Delayed Activation",ISNUMBER(SEARCH("delay",C376)),"Difficult or Delayed Activation",ISNUMBER(SEARCH("label",C376)),"Device Markings/Labelling Problem",ISNUMBER(SEARCH("marking",C376)),"Device Markings/Labelling Problem",ISNUMBER(SEARCH("lacerat",C376)),"Defective Device",ISNUMBER(SEARCH("cut",C376)),"Defective Device",ISNUMBER(SEARCH("leak",C376)),"Fluid/Blood Leak",ISNUMBER(SEARCH("missing",C376)),"Component Missing",ISNUMBER(SEARCH("power",C376)),"Complete Loss of Power",ISNUMBER(SEARCH("will not turn on",C376)),"Complete Loss of Power",ISNUMBER(SEARCH("won't turn on",C376)),"Complete Loss of Power",ISNUMBER(SEARCH("does not turn on",C376)),"Complete Loss of Power",ISNUMBER(SEARCH("electrical",C376)),"Electrical Power Problem",ISNUMBER(SEARCH("pressure",C376)),"Detachment of Device or Device Component",ISNUMBER(SEARCH("slip",C376)),"Detachment of Device or Device Component",ISNUMBER(SEARCH("detach",C376)),"Detachment of Device or Device Component",ISNUMBER(SEARCH("stick",C376)),"Mechanical Jam",ISNUMBER(SEARCH("jam",C376)),"Mechanical Jam",ISNUMBER(SEARCH("rigid",C376)),"Mechanical Jam",ISNUMBER(SEARCH("rust",C376)),"Corroded",ISNUMBER(SEARCH("corrod",C376)),"Corroded",ISNUMBER(SEARCH("corrosion",C376)),"Corroded",ISNUMBER(SEARCH("alignment",C376)),"Defective Device",ISNUMBER(SEARCH("adjust",C376)),"Defective Device",ISNUMBER(SEARCH("perform",C376)),"Defective Device",ISNUMBER(SEARCH("malfunction",C376)),"Defective Device",ISNUMBER(SEARCH("defect",C376)),"Defective Device",ISNUMBER(SEARCH("fail",C376)),"Defective Device",ISNUMBER(SEARCH("not work",C376)),"Defective Device",ISNUMBER(SEARCH("doesn't work",C376)),"Defective Device",TRUE,"UNKNOWN"),"UNKNOWN")))</f>
        <v/>
      </c>
      <c r="F376" s="4" t="str">
        <f t="shared" si="5"/>
        <v/>
      </c>
      <c r="G376" s="363" t="str">
        <f>IF(E376="","",IFERROR(VLOOKUP(E376,Codes!$L$2:$N$409,3,FALSE),"—"))</f>
        <v/>
      </c>
      <c r="H376" s="88"/>
      <c r="I376" s="88"/>
    </row>
    <row r="377" spans="1:9" ht="13.15" x14ac:dyDescent="0.35">
      <c r="A377" s="434"/>
      <c r="B377" s="436"/>
      <c r="C377" s="437"/>
      <c r="D377" s="434"/>
      <c r="E377" s="93" t="str" cm="1">
        <f t="array" ref="E377">IF(D377&lt;&gt;"",IFERROR(VLOOKUP(D377,Codes!$K$2:$L$409,2,FALSE),"UNKNOWN - "&amp;D377),IF(C377="","",IFERROR(_xlfn.IFS(ISNUMBER(SEARCH("broken button",C377)),"Break",ISNUMBER(SEARCH("broken handle",C377)),"Break",ISNUMBER(SEARCH("shipping damage",C377)),"Break",ISNUMBER(SEARCH("broken",C377)),"Break",ISNUMBER(SEARCH("crack",C377)),"Break",ISNUMBER(SEARCH("snap",C377)),"Break",ISNUMBER(SEARCH("fracture",C377)),"Break",ISNUMBER(SEARCH("bent",C377)),"Material Twisted/Bent",ISNUMBER(SEARCH("twisted",C377)),"Material Twisted/Bent",ISNUMBER(SEARCH("component separat",C377)),"Material Separation",ISNUMBER(SEARCH("separat",C377)),"Material Separation",ISNUMBER(SEARCH("connection",C377)),"Loose or Intermittent Connection",ISNUMBER(SEARCH("loose",C377)),"Loose or Intermittent Connection",ISNUMBER(SEARCH("damaged packaging",C377)),"Packaging Problem",ISNUMBER(SEARCH("packaging",C377)),"Packaging Problem",ISNUMBER(SEARCH("discoloration",C377)),"Contamination",ISNUMBER(SEARCH("tarnish",C377)),"Contamination",ISNUMBER(SEARCH("stain",C377)),"Contamination",ISNUMBER(SEARCH("foreign material",C377)),"Contamination",ISNUMBER(SEARCH("contamina",C377)),"Contamination",ISNUMBER(SEARCH("overheat",C377)),"Overheating of Device",ISNUMBER(SEARCH("excessive heat",C377)),"Overheating of Device",ISNUMBER(SEARCH("hot",C377)),"Overheating of Device",ISNUMBER(SEARCH("noise",C377)),"Noise, Audible",ISNUMBER(SEARCH("sound",C377)),"Noise, Audible",ISNUMBER(SEARCH("loud",C377)),"Noise, Audible",ISNUMBER(SEARCH("fray",C377)),"Material Frayed",ISNUMBER(SEARCH("hole",C377)),"Material Frayed",ISNUMBER(SEARCH("tear",C377)),"Material Frayed",ISNUMBER(SEARCH("worn",C377)),"Material Frayed",ISNUMBER(SEARCH("intermittent",C377)),"Difficult or Delayed Activation",ISNUMBER(SEARCH("delay",C377)),"Difficult or Delayed Activation",ISNUMBER(SEARCH("label",C377)),"Device Markings/Labelling Problem",ISNUMBER(SEARCH("marking",C377)),"Device Markings/Labelling Problem",ISNUMBER(SEARCH("lacerat",C377)),"Defective Device",ISNUMBER(SEARCH("cut",C377)),"Defective Device",ISNUMBER(SEARCH("leak",C377)),"Fluid/Blood Leak",ISNUMBER(SEARCH("missing",C377)),"Component Missing",ISNUMBER(SEARCH("power",C377)),"Complete Loss of Power",ISNUMBER(SEARCH("will not turn on",C377)),"Complete Loss of Power",ISNUMBER(SEARCH("won't turn on",C377)),"Complete Loss of Power",ISNUMBER(SEARCH("does not turn on",C377)),"Complete Loss of Power",ISNUMBER(SEARCH("electrical",C377)),"Electrical Power Problem",ISNUMBER(SEARCH("pressure",C377)),"Detachment of Device or Device Component",ISNUMBER(SEARCH("slip",C377)),"Detachment of Device or Device Component",ISNUMBER(SEARCH("detach",C377)),"Detachment of Device or Device Component",ISNUMBER(SEARCH("stick",C377)),"Mechanical Jam",ISNUMBER(SEARCH("jam",C377)),"Mechanical Jam",ISNUMBER(SEARCH("rigid",C377)),"Mechanical Jam",ISNUMBER(SEARCH("rust",C377)),"Corroded",ISNUMBER(SEARCH("corrod",C377)),"Corroded",ISNUMBER(SEARCH("corrosion",C377)),"Corroded",ISNUMBER(SEARCH("alignment",C377)),"Defective Device",ISNUMBER(SEARCH("adjust",C377)),"Defective Device",ISNUMBER(SEARCH("perform",C377)),"Defective Device",ISNUMBER(SEARCH("malfunction",C377)),"Defective Device",ISNUMBER(SEARCH("defect",C377)),"Defective Device",ISNUMBER(SEARCH("fail",C377)),"Defective Device",ISNUMBER(SEARCH("not work",C377)),"Defective Device",ISNUMBER(SEARCH("doesn't work",C377)),"Defective Device",TRUE,"UNKNOWN"),"UNKNOWN")))</f>
        <v/>
      </c>
      <c r="F377" s="4" t="str">
        <f t="shared" si="5"/>
        <v/>
      </c>
      <c r="G377" s="363" t="str">
        <f>IF(E377="","",IFERROR(VLOOKUP(E377,Codes!$L$2:$N$409,3,FALSE),"—"))</f>
        <v/>
      </c>
      <c r="H377" s="88"/>
      <c r="I377" s="88"/>
    </row>
    <row r="378" spans="1:9" ht="13.15" x14ac:dyDescent="0.35">
      <c r="A378" s="434"/>
      <c r="B378" s="436"/>
      <c r="C378" s="437"/>
      <c r="D378" s="434"/>
      <c r="E378" s="93" t="str" cm="1">
        <f t="array" ref="E378">IF(D378&lt;&gt;"",IFERROR(VLOOKUP(D378,Codes!$K$2:$L$409,2,FALSE),"UNKNOWN - "&amp;D378),IF(C378="","",IFERROR(_xlfn.IFS(ISNUMBER(SEARCH("broken button",C378)),"Break",ISNUMBER(SEARCH("broken handle",C378)),"Break",ISNUMBER(SEARCH("shipping damage",C378)),"Break",ISNUMBER(SEARCH("broken",C378)),"Break",ISNUMBER(SEARCH("crack",C378)),"Break",ISNUMBER(SEARCH("snap",C378)),"Break",ISNUMBER(SEARCH("fracture",C378)),"Break",ISNUMBER(SEARCH("bent",C378)),"Material Twisted/Bent",ISNUMBER(SEARCH("twisted",C378)),"Material Twisted/Bent",ISNUMBER(SEARCH("component separat",C378)),"Material Separation",ISNUMBER(SEARCH("separat",C378)),"Material Separation",ISNUMBER(SEARCH("connection",C378)),"Loose or Intermittent Connection",ISNUMBER(SEARCH("loose",C378)),"Loose or Intermittent Connection",ISNUMBER(SEARCH("damaged packaging",C378)),"Packaging Problem",ISNUMBER(SEARCH("packaging",C378)),"Packaging Problem",ISNUMBER(SEARCH("discoloration",C378)),"Contamination",ISNUMBER(SEARCH("tarnish",C378)),"Contamination",ISNUMBER(SEARCH("stain",C378)),"Contamination",ISNUMBER(SEARCH("foreign material",C378)),"Contamination",ISNUMBER(SEARCH("contamina",C378)),"Contamination",ISNUMBER(SEARCH("overheat",C378)),"Overheating of Device",ISNUMBER(SEARCH("excessive heat",C378)),"Overheating of Device",ISNUMBER(SEARCH("hot",C378)),"Overheating of Device",ISNUMBER(SEARCH("noise",C378)),"Noise, Audible",ISNUMBER(SEARCH("sound",C378)),"Noise, Audible",ISNUMBER(SEARCH("loud",C378)),"Noise, Audible",ISNUMBER(SEARCH("fray",C378)),"Material Frayed",ISNUMBER(SEARCH("hole",C378)),"Material Frayed",ISNUMBER(SEARCH("tear",C378)),"Material Frayed",ISNUMBER(SEARCH("worn",C378)),"Material Frayed",ISNUMBER(SEARCH("intermittent",C378)),"Difficult or Delayed Activation",ISNUMBER(SEARCH("delay",C378)),"Difficult or Delayed Activation",ISNUMBER(SEARCH("label",C378)),"Device Markings/Labelling Problem",ISNUMBER(SEARCH("marking",C378)),"Device Markings/Labelling Problem",ISNUMBER(SEARCH("lacerat",C378)),"Defective Device",ISNUMBER(SEARCH("cut",C378)),"Defective Device",ISNUMBER(SEARCH("leak",C378)),"Fluid/Blood Leak",ISNUMBER(SEARCH("missing",C378)),"Component Missing",ISNUMBER(SEARCH("power",C378)),"Complete Loss of Power",ISNUMBER(SEARCH("will not turn on",C378)),"Complete Loss of Power",ISNUMBER(SEARCH("won't turn on",C378)),"Complete Loss of Power",ISNUMBER(SEARCH("does not turn on",C378)),"Complete Loss of Power",ISNUMBER(SEARCH("electrical",C378)),"Electrical Power Problem",ISNUMBER(SEARCH("pressure",C378)),"Detachment of Device or Device Component",ISNUMBER(SEARCH("slip",C378)),"Detachment of Device or Device Component",ISNUMBER(SEARCH("detach",C378)),"Detachment of Device or Device Component",ISNUMBER(SEARCH("stick",C378)),"Mechanical Jam",ISNUMBER(SEARCH("jam",C378)),"Mechanical Jam",ISNUMBER(SEARCH("rigid",C378)),"Mechanical Jam",ISNUMBER(SEARCH("rust",C378)),"Corroded",ISNUMBER(SEARCH("corrod",C378)),"Corroded",ISNUMBER(SEARCH("corrosion",C378)),"Corroded",ISNUMBER(SEARCH("alignment",C378)),"Defective Device",ISNUMBER(SEARCH("adjust",C378)),"Defective Device",ISNUMBER(SEARCH("perform",C378)),"Defective Device",ISNUMBER(SEARCH("malfunction",C378)),"Defective Device",ISNUMBER(SEARCH("defect",C378)),"Defective Device",ISNUMBER(SEARCH("fail",C378)),"Defective Device",ISNUMBER(SEARCH("not work",C378)),"Defective Device",ISNUMBER(SEARCH("doesn't work",C378)),"Defective Device",TRUE,"UNKNOWN"),"UNKNOWN")))</f>
        <v/>
      </c>
      <c r="F378" s="4" t="str">
        <f t="shared" si="5"/>
        <v/>
      </c>
      <c r="G378" s="363" t="str">
        <f>IF(E378="","",IFERROR(VLOOKUP(E378,Codes!$L$2:$N$409,3,FALSE),"—"))</f>
        <v/>
      </c>
      <c r="H378" s="88"/>
      <c r="I378" s="88"/>
    </row>
    <row r="379" spans="1:9" ht="13.15" x14ac:dyDescent="0.35">
      <c r="A379" s="435"/>
      <c r="B379" s="436"/>
      <c r="C379" s="438"/>
      <c r="D379" s="435"/>
      <c r="E379" s="93" t="str" cm="1">
        <f t="array" ref="E379">IF(D379&lt;&gt;"",IFERROR(VLOOKUP(D379,Codes!$K$2:$L$409,2,FALSE),"UNKNOWN - "&amp;D379),IF(C379="","",IFERROR(_xlfn.IFS(ISNUMBER(SEARCH("broken button",C379)),"Break",ISNUMBER(SEARCH("broken handle",C379)),"Break",ISNUMBER(SEARCH("shipping damage",C379)),"Break",ISNUMBER(SEARCH("broken",C379)),"Break",ISNUMBER(SEARCH("crack",C379)),"Break",ISNUMBER(SEARCH("snap",C379)),"Break",ISNUMBER(SEARCH("fracture",C379)),"Break",ISNUMBER(SEARCH("bent",C379)),"Material Twisted/Bent",ISNUMBER(SEARCH("twisted",C379)),"Material Twisted/Bent",ISNUMBER(SEARCH("component separat",C379)),"Material Separation",ISNUMBER(SEARCH("separat",C379)),"Material Separation",ISNUMBER(SEARCH("connection",C379)),"Loose or Intermittent Connection",ISNUMBER(SEARCH("loose",C379)),"Loose or Intermittent Connection",ISNUMBER(SEARCH("damaged packaging",C379)),"Packaging Problem",ISNUMBER(SEARCH("packaging",C379)),"Packaging Problem",ISNUMBER(SEARCH("discoloration",C379)),"Contamination",ISNUMBER(SEARCH("tarnish",C379)),"Contamination",ISNUMBER(SEARCH("stain",C379)),"Contamination",ISNUMBER(SEARCH("foreign material",C379)),"Contamination",ISNUMBER(SEARCH("contamina",C379)),"Contamination",ISNUMBER(SEARCH("overheat",C379)),"Overheating of Device",ISNUMBER(SEARCH("excessive heat",C379)),"Overheating of Device",ISNUMBER(SEARCH("hot",C379)),"Overheating of Device",ISNUMBER(SEARCH("noise",C379)),"Noise, Audible",ISNUMBER(SEARCH("sound",C379)),"Noise, Audible",ISNUMBER(SEARCH("loud",C379)),"Noise, Audible",ISNUMBER(SEARCH("fray",C379)),"Material Frayed",ISNUMBER(SEARCH("hole",C379)),"Material Frayed",ISNUMBER(SEARCH("tear",C379)),"Material Frayed",ISNUMBER(SEARCH("worn",C379)),"Material Frayed",ISNUMBER(SEARCH("intermittent",C379)),"Difficult or Delayed Activation",ISNUMBER(SEARCH("delay",C379)),"Difficult or Delayed Activation",ISNUMBER(SEARCH("label",C379)),"Device Markings/Labelling Problem",ISNUMBER(SEARCH("marking",C379)),"Device Markings/Labelling Problem",ISNUMBER(SEARCH("lacerat",C379)),"Defective Device",ISNUMBER(SEARCH("cut",C379)),"Defective Device",ISNUMBER(SEARCH("leak",C379)),"Fluid/Blood Leak",ISNUMBER(SEARCH("missing",C379)),"Component Missing",ISNUMBER(SEARCH("power",C379)),"Complete Loss of Power",ISNUMBER(SEARCH("will not turn on",C379)),"Complete Loss of Power",ISNUMBER(SEARCH("won't turn on",C379)),"Complete Loss of Power",ISNUMBER(SEARCH("does not turn on",C379)),"Complete Loss of Power",ISNUMBER(SEARCH("electrical",C379)),"Electrical Power Problem",ISNUMBER(SEARCH("pressure",C379)),"Detachment of Device or Device Component",ISNUMBER(SEARCH("slip",C379)),"Detachment of Device or Device Component",ISNUMBER(SEARCH("detach",C379)),"Detachment of Device or Device Component",ISNUMBER(SEARCH("stick",C379)),"Mechanical Jam",ISNUMBER(SEARCH("jam",C379)),"Mechanical Jam",ISNUMBER(SEARCH("rigid",C379)),"Mechanical Jam",ISNUMBER(SEARCH("rust",C379)),"Corroded",ISNUMBER(SEARCH("corrod",C379)),"Corroded",ISNUMBER(SEARCH("corrosion",C379)),"Corroded",ISNUMBER(SEARCH("alignment",C379)),"Defective Device",ISNUMBER(SEARCH("adjust",C379)),"Defective Device",ISNUMBER(SEARCH("perform",C379)),"Defective Device",ISNUMBER(SEARCH("malfunction",C379)),"Defective Device",ISNUMBER(SEARCH("defect",C379)),"Defective Device",ISNUMBER(SEARCH("fail",C379)),"Defective Device",ISNUMBER(SEARCH("not work",C379)),"Defective Device",ISNUMBER(SEARCH("doesn't work",C379)),"Defective Device",TRUE,"UNKNOWN"),"UNKNOWN")))</f>
        <v/>
      </c>
      <c r="F379" s="4" t="str">
        <f t="shared" si="5"/>
        <v/>
      </c>
      <c r="G379" s="363" t="str">
        <f>IF(E379="","",IFERROR(VLOOKUP(E379,Codes!$L$2:$N$409,3,FALSE),"—"))</f>
        <v/>
      </c>
      <c r="H379" s="88"/>
      <c r="I379" s="88"/>
    </row>
    <row r="380" spans="1:9" ht="13.15" x14ac:dyDescent="0.35">
      <c r="A380" s="435"/>
      <c r="B380" s="436"/>
      <c r="C380" s="438"/>
      <c r="D380" s="435"/>
      <c r="E380" s="93" t="str" cm="1">
        <f t="array" ref="E380">IF(D380&lt;&gt;"",IFERROR(VLOOKUP(D380,Codes!$K$2:$L$409,2,FALSE),"UNKNOWN - "&amp;D380),IF(C380="","",IFERROR(_xlfn.IFS(ISNUMBER(SEARCH("broken button",C380)),"Break",ISNUMBER(SEARCH("broken handle",C380)),"Break",ISNUMBER(SEARCH("shipping damage",C380)),"Break",ISNUMBER(SEARCH("broken",C380)),"Break",ISNUMBER(SEARCH("crack",C380)),"Break",ISNUMBER(SEARCH("snap",C380)),"Break",ISNUMBER(SEARCH("fracture",C380)),"Break",ISNUMBER(SEARCH("bent",C380)),"Material Twisted/Bent",ISNUMBER(SEARCH("twisted",C380)),"Material Twisted/Bent",ISNUMBER(SEARCH("component separat",C380)),"Material Separation",ISNUMBER(SEARCH("separat",C380)),"Material Separation",ISNUMBER(SEARCH("connection",C380)),"Loose or Intermittent Connection",ISNUMBER(SEARCH("loose",C380)),"Loose or Intermittent Connection",ISNUMBER(SEARCH("damaged packaging",C380)),"Packaging Problem",ISNUMBER(SEARCH("packaging",C380)),"Packaging Problem",ISNUMBER(SEARCH("discoloration",C380)),"Contamination",ISNUMBER(SEARCH("tarnish",C380)),"Contamination",ISNUMBER(SEARCH("stain",C380)),"Contamination",ISNUMBER(SEARCH("foreign material",C380)),"Contamination",ISNUMBER(SEARCH("contamina",C380)),"Contamination",ISNUMBER(SEARCH("overheat",C380)),"Overheating of Device",ISNUMBER(SEARCH("excessive heat",C380)),"Overheating of Device",ISNUMBER(SEARCH("hot",C380)),"Overheating of Device",ISNUMBER(SEARCH("noise",C380)),"Noise, Audible",ISNUMBER(SEARCH("sound",C380)),"Noise, Audible",ISNUMBER(SEARCH("loud",C380)),"Noise, Audible",ISNUMBER(SEARCH("fray",C380)),"Material Frayed",ISNUMBER(SEARCH("hole",C380)),"Material Frayed",ISNUMBER(SEARCH("tear",C380)),"Material Frayed",ISNUMBER(SEARCH("worn",C380)),"Material Frayed",ISNUMBER(SEARCH("intermittent",C380)),"Difficult or Delayed Activation",ISNUMBER(SEARCH("delay",C380)),"Difficult or Delayed Activation",ISNUMBER(SEARCH("label",C380)),"Device Markings/Labelling Problem",ISNUMBER(SEARCH("marking",C380)),"Device Markings/Labelling Problem",ISNUMBER(SEARCH("lacerat",C380)),"Defective Device",ISNUMBER(SEARCH("cut",C380)),"Defective Device",ISNUMBER(SEARCH("leak",C380)),"Fluid/Blood Leak",ISNUMBER(SEARCH("missing",C380)),"Component Missing",ISNUMBER(SEARCH("power",C380)),"Complete Loss of Power",ISNUMBER(SEARCH("will not turn on",C380)),"Complete Loss of Power",ISNUMBER(SEARCH("won't turn on",C380)),"Complete Loss of Power",ISNUMBER(SEARCH("does not turn on",C380)),"Complete Loss of Power",ISNUMBER(SEARCH("electrical",C380)),"Electrical Power Problem",ISNUMBER(SEARCH("pressure",C380)),"Detachment of Device or Device Component",ISNUMBER(SEARCH("slip",C380)),"Detachment of Device or Device Component",ISNUMBER(SEARCH("detach",C380)),"Detachment of Device or Device Component",ISNUMBER(SEARCH("stick",C380)),"Mechanical Jam",ISNUMBER(SEARCH("jam",C380)),"Mechanical Jam",ISNUMBER(SEARCH("rigid",C380)),"Mechanical Jam",ISNUMBER(SEARCH("rust",C380)),"Corroded",ISNUMBER(SEARCH("corrod",C380)),"Corroded",ISNUMBER(SEARCH("corrosion",C380)),"Corroded",ISNUMBER(SEARCH("alignment",C380)),"Defective Device",ISNUMBER(SEARCH("adjust",C380)),"Defective Device",ISNUMBER(SEARCH("perform",C380)),"Defective Device",ISNUMBER(SEARCH("malfunction",C380)),"Defective Device",ISNUMBER(SEARCH("defect",C380)),"Defective Device",ISNUMBER(SEARCH("fail",C380)),"Defective Device",ISNUMBER(SEARCH("not work",C380)),"Defective Device",ISNUMBER(SEARCH("doesn't work",C380)),"Defective Device",TRUE,"UNKNOWN"),"UNKNOWN")))</f>
        <v/>
      </c>
      <c r="F380" s="4" t="str">
        <f t="shared" si="5"/>
        <v/>
      </c>
      <c r="G380" s="363" t="str">
        <f>IF(E380="","",IFERROR(VLOOKUP(E380,Codes!$L$2:$N$409,3,FALSE),"—"))</f>
        <v/>
      </c>
      <c r="H380" s="88"/>
      <c r="I380" s="88"/>
    </row>
    <row r="381" spans="1:9" ht="13.15" x14ac:dyDescent="0.35">
      <c r="A381" s="435"/>
      <c r="B381" s="436"/>
      <c r="C381" s="438"/>
      <c r="D381" s="435"/>
      <c r="E381" s="93" t="str" cm="1">
        <f t="array" ref="E381">IF(D381&lt;&gt;"",IFERROR(VLOOKUP(D381,Codes!$K$2:$L$409,2,FALSE),"UNKNOWN - "&amp;D381),IF(C381="","",IFERROR(_xlfn.IFS(ISNUMBER(SEARCH("broken button",C381)),"Break",ISNUMBER(SEARCH("broken handle",C381)),"Break",ISNUMBER(SEARCH("shipping damage",C381)),"Break",ISNUMBER(SEARCH("broken",C381)),"Break",ISNUMBER(SEARCH("crack",C381)),"Break",ISNUMBER(SEARCH("snap",C381)),"Break",ISNUMBER(SEARCH("fracture",C381)),"Break",ISNUMBER(SEARCH("bent",C381)),"Material Twisted/Bent",ISNUMBER(SEARCH("twisted",C381)),"Material Twisted/Bent",ISNUMBER(SEARCH("component separat",C381)),"Material Separation",ISNUMBER(SEARCH("separat",C381)),"Material Separation",ISNUMBER(SEARCH("connection",C381)),"Loose or Intermittent Connection",ISNUMBER(SEARCH("loose",C381)),"Loose or Intermittent Connection",ISNUMBER(SEARCH("damaged packaging",C381)),"Packaging Problem",ISNUMBER(SEARCH("packaging",C381)),"Packaging Problem",ISNUMBER(SEARCH("discoloration",C381)),"Contamination",ISNUMBER(SEARCH("tarnish",C381)),"Contamination",ISNUMBER(SEARCH("stain",C381)),"Contamination",ISNUMBER(SEARCH("foreign material",C381)),"Contamination",ISNUMBER(SEARCH("contamina",C381)),"Contamination",ISNUMBER(SEARCH("overheat",C381)),"Overheating of Device",ISNUMBER(SEARCH("excessive heat",C381)),"Overheating of Device",ISNUMBER(SEARCH("hot",C381)),"Overheating of Device",ISNUMBER(SEARCH("noise",C381)),"Noise, Audible",ISNUMBER(SEARCH("sound",C381)),"Noise, Audible",ISNUMBER(SEARCH("loud",C381)),"Noise, Audible",ISNUMBER(SEARCH("fray",C381)),"Material Frayed",ISNUMBER(SEARCH("hole",C381)),"Material Frayed",ISNUMBER(SEARCH("tear",C381)),"Material Frayed",ISNUMBER(SEARCH("worn",C381)),"Material Frayed",ISNUMBER(SEARCH("intermittent",C381)),"Difficult or Delayed Activation",ISNUMBER(SEARCH("delay",C381)),"Difficult or Delayed Activation",ISNUMBER(SEARCH("label",C381)),"Device Markings/Labelling Problem",ISNUMBER(SEARCH("marking",C381)),"Device Markings/Labelling Problem",ISNUMBER(SEARCH("lacerat",C381)),"Defective Device",ISNUMBER(SEARCH("cut",C381)),"Defective Device",ISNUMBER(SEARCH("leak",C381)),"Fluid/Blood Leak",ISNUMBER(SEARCH("missing",C381)),"Component Missing",ISNUMBER(SEARCH("power",C381)),"Complete Loss of Power",ISNUMBER(SEARCH("will not turn on",C381)),"Complete Loss of Power",ISNUMBER(SEARCH("won't turn on",C381)),"Complete Loss of Power",ISNUMBER(SEARCH("does not turn on",C381)),"Complete Loss of Power",ISNUMBER(SEARCH("electrical",C381)),"Electrical Power Problem",ISNUMBER(SEARCH("pressure",C381)),"Detachment of Device or Device Component",ISNUMBER(SEARCH("slip",C381)),"Detachment of Device or Device Component",ISNUMBER(SEARCH("detach",C381)),"Detachment of Device or Device Component",ISNUMBER(SEARCH("stick",C381)),"Mechanical Jam",ISNUMBER(SEARCH("jam",C381)),"Mechanical Jam",ISNUMBER(SEARCH("rigid",C381)),"Mechanical Jam",ISNUMBER(SEARCH("rust",C381)),"Corroded",ISNUMBER(SEARCH("corrod",C381)),"Corroded",ISNUMBER(SEARCH("corrosion",C381)),"Corroded",ISNUMBER(SEARCH("alignment",C381)),"Defective Device",ISNUMBER(SEARCH("adjust",C381)),"Defective Device",ISNUMBER(SEARCH("perform",C381)),"Defective Device",ISNUMBER(SEARCH("malfunction",C381)),"Defective Device",ISNUMBER(SEARCH("defect",C381)),"Defective Device",ISNUMBER(SEARCH("fail",C381)),"Defective Device",ISNUMBER(SEARCH("not work",C381)),"Defective Device",ISNUMBER(SEARCH("doesn't work",C381)),"Defective Device",TRUE,"UNKNOWN"),"UNKNOWN")))</f>
        <v/>
      </c>
      <c r="F381" s="4" t="str">
        <f t="shared" si="5"/>
        <v/>
      </c>
      <c r="G381" s="363" t="str">
        <f>IF(E381="","",IFERROR(VLOOKUP(E381,Codes!$L$2:$N$409,3,FALSE),"—"))</f>
        <v/>
      </c>
      <c r="H381" s="88"/>
      <c r="I381" s="88"/>
    </row>
    <row r="382" spans="1:9" ht="13.15" x14ac:dyDescent="0.35">
      <c r="A382" s="435"/>
      <c r="B382" s="436"/>
      <c r="C382" s="440"/>
      <c r="D382" s="435"/>
      <c r="E382" s="93" t="str" cm="1">
        <f t="array" ref="E382">IF(D382&lt;&gt;"",IFERROR(VLOOKUP(D382,Codes!$K$2:$L$409,2,FALSE),"UNKNOWN - "&amp;D382),IF(C382="","",IFERROR(_xlfn.IFS(ISNUMBER(SEARCH("broken button",C382)),"Break",ISNUMBER(SEARCH("broken handle",C382)),"Break",ISNUMBER(SEARCH("shipping damage",C382)),"Break",ISNUMBER(SEARCH("broken",C382)),"Break",ISNUMBER(SEARCH("crack",C382)),"Break",ISNUMBER(SEARCH("snap",C382)),"Break",ISNUMBER(SEARCH("fracture",C382)),"Break",ISNUMBER(SEARCH("bent",C382)),"Material Twisted/Bent",ISNUMBER(SEARCH("twisted",C382)),"Material Twisted/Bent",ISNUMBER(SEARCH("component separat",C382)),"Material Separation",ISNUMBER(SEARCH("separat",C382)),"Material Separation",ISNUMBER(SEARCH("connection",C382)),"Loose or Intermittent Connection",ISNUMBER(SEARCH("loose",C382)),"Loose or Intermittent Connection",ISNUMBER(SEARCH("damaged packaging",C382)),"Packaging Problem",ISNUMBER(SEARCH("packaging",C382)),"Packaging Problem",ISNUMBER(SEARCH("discoloration",C382)),"Contamination",ISNUMBER(SEARCH("tarnish",C382)),"Contamination",ISNUMBER(SEARCH("stain",C382)),"Contamination",ISNUMBER(SEARCH("foreign material",C382)),"Contamination",ISNUMBER(SEARCH("contamina",C382)),"Contamination",ISNUMBER(SEARCH("overheat",C382)),"Overheating of Device",ISNUMBER(SEARCH("excessive heat",C382)),"Overheating of Device",ISNUMBER(SEARCH("hot",C382)),"Overheating of Device",ISNUMBER(SEARCH("noise",C382)),"Noise, Audible",ISNUMBER(SEARCH("sound",C382)),"Noise, Audible",ISNUMBER(SEARCH("loud",C382)),"Noise, Audible",ISNUMBER(SEARCH("fray",C382)),"Material Frayed",ISNUMBER(SEARCH("hole",C382)),"Material Frayed",ISNUMBER(SEARCH("tear",C382)),"Material Frayed",ISNUMBER(SEARCH("worn",C382)),"Material Frayed",ISNUMBER(SEARCH("intermittent",C382)),"Difficult or Delayed Activation",ISNUMBER(SEARCH("delay",C382)),"Difficult or Delayed Activation",ISNUMBER(SEARCH("label",C382)),"Device Markings/Labelling Problem",ISNUMBER(SEARCH("marking",C382)),"Device Markings/Labelling Problem",ISNUMBER(SEARCH("lacerat",C382)),"Defective Device",ISNUMBER(SEARCH("cut",C382)),"Defective Device",ISNUMBER(SEARCH("leak",C382)),"Fluid/Blood Leak",ISNUMBER(SEARCH("missing",C382)),"Component Missing",ISNUMBER(SEARCH("power",C382)),"Complete Loss of Power",ISNUMBER(SEARCH("will not turn on",C382)),"Complete Loss of Power",ISNUMBER(SEARCH("won't turn on",C382)),"Complete Loss of Power",ISNUMBER(SEARCH("does not turn on",C382)),"Complete Loss of Power",ISNUMBER(SEARCH("electrical",C382)),"Electrical Power Problem",ISNUMBER(SEARCH("pressure",C382)),"Detachment of Device or Device Component",ISNUMBER(SEARCH("slip",C382)),"Detachment of Device or Device Component",ISNUMBER(SEARCH("detach",C382)),"Detachment of Device or Device Component",ISNUMBER(SEARCH("stick",C382)),"Mechanical Jam",ISNUMBER(SEARCH("jam",C382)),"Mechanical Jam",ISNUMBER(SEARCH("rigid",C382)),"Mechanical Jam",ISNUMBER(SEARCH("rust",C382)),"Corroded",ISNUMBER(SEARCH("corrod",C382)),"Corroded",ISNUMBER(SEARCH("corrosion",C382)),"Corroded",ISNUMBER(SEARCH("alignment",C382)),"Defective Device",ISNUMBER(SEARCH("adjust",C382)),"Defective Device",ISNUMBER(SEARCH("perform",C382)),"Defective Device",ISNUMBER(SEARCH("malfunction",C382)),"Defective Device",ISNUMBER(SEARCH("defect",C382)),"Defective Device",ISNUMBER(SEARCH("fail",C382)),"Defective Device",ISNUMBER(SEARCH("not work",C382)),"Defective Device",ISNUMBER(SEARCH("doesn't work",C382)),"Defective Device",TRUE,"UNKNOWN"),"UNKNOWN")))</f>
        <v/>
      </c>
      <c r="F382" s="4" t="str">
        <f t="shared" si="5"/>
        <v/>
      </c>
      <c r="G382" s="363" t="str">
        <f>IF(E382="","",IFERROR(VLOOKUP(E382,Codes!$L$2:$N$409,3,FALSE),"—"))</f>
        <v/>
      </c>
      <c r="H382" s="88"/>
      <c r="I382" s="88"/>
    </row>
    <row r="383" spans="1:9" ht="13.15" x14ac:dyDescent="0.35">
      <c r="A383" s="435"/>
      <c r="B383" s="436"/>
      <c r="C383" s="435"/>
      <c r="D383" s="435"/>
      <c r="E383" s="93" t="str" cm="1">
        <f t="array" ref="E383">IF(D383&lt;&gt;"",IFERROR(VLOOKUP(D383,Codes!$K$2:$L$409,2,FALSE),"UNKNOWN - "&amp;D383),IF(C383="","",IFERROR(_xlfn.IFS(ISNUMBER(SEARCH("broken button",C383)),"Break",ISNUMBER(SEARCH("broken handle",C383)),"Break",ISNUMBER(SEARCH("shipping damage",C383)),"Break",ISNUMBER(SEARCH("broken",C383)),"Break",ISNUMBER(SEARCH("crack",C383)),"Break",ISNUMBER(SEARCH("snap",C383)),"Break",ISNUMBER(SEARCH("fracture",C383)),"Break",ISNUMBER(SEARCH("bent",C383)),"Material Twisted/Bent",ISNUMBER(SEARCH("twisted",C383)),"Material Twisted/Bent",ISNUMBER(SEARCH("component separat",C383)),"Material Separation",ISNUMBER(SEARCH("separat",C383)),"Material Separation",ISNUMBER(SEARCH("connection",C383)),"Loose or Intermittent Connection",ISNUMBER(SEARCH("loose",C383)),"Loose or Intermittent Connection",ISNUMBER(SEARCH("damaged packaging",C383)),"Packaging Problem",ISNUMBER(SEARCH("packaging",C383)),"Packaging Problem",ISNUMBER(SEARCH("discoloration",C383)),"Contamination",ISNUMBER(SEARCH("tarnish",C383)),"Contamination",ISNUMBER(SEARCH("stain",C383)),"Contamination",ISNUMBER(SEARCH("foreign material",C383)),"Contamination",ISNUMBER(SEARCH("contamina",C383)),"Contamination",ISNUMBER(SEARCH("overheat",C383)),"Overheating of Device",ISNUMBER(SEARCH("excessive heat",C383)),"Overheating of Device",ISNUMBER(SEARCH("hot",C383)),"Overheating of Device",ISNUMBER(SEARCH("noise",C383)),"Noise, Audible",ISNUMBER(SEARCH("sound",C383)),"Noise, Audible",ISNUMBER(SEARCH("loud",C383)),"Noise, Audible",ISNUMBER(SEARCH("fray",C383)),"Material Frayed",ISNUMBER(SEARCH("hole",C383)),"Material Frayed",ISNUMBER(SEARCH("tear",C383)),"Material Frayed",ISNUMBER(SEARCH("worn",C383)),"Material Frayed",ISNUMBER(SEARCH("intermittent",C383)),"Difficult or Delayed Activation",ISNUMBER(SEARCH("delay",C383)),"Difficult or Delayed Activation",ISNUMBER(SEARCH("label",C383)),"Device Markings/Labelling Problem",ISNUMBER(SEARCH("marking",C383)),"Device Markings/Labelling Problem",ISNUMBER(SEARCH("lacerat",C383)),"Defective Device",ISNUMBER(SEARCH("cut",C383)),"Defective Device",ISNUMBER(SEARCH("leak",C383)),"Fluid/Blood Leak",ISNUMBER(SEARCH("missing",C383)),"Component Missing",ISNUMBER(SEARCH("power",C383)),"Complete Loss of Power",ISNUMBER(SEARCH("will not turn on",C383)),"Complete Loss of Power",ISNUMBER(SEARCH("won't turn on",C383)),"Complete Loss of Power",ISNUMBER(SEARCH("does not turn on",C383)),"Complete Loss of Power",ISNUMBER(SEARCH("electrical",C383)),"Electrical Power Problem",ISNUMBER(SEARCH("pressure",C383)),"Detachment of Device or Device Component",ISNUMBER(SEARCH("slip",C383)),"Detachment of Device or Device Component",ISNUMBER(SEARCH("detach",C383)),"Detachment of Device or Device Component",ISNUMBER(SEARCH("stick",C383)),"Mechanical Jam",ISNUMBER(SEARCH("jam",C383)),"Mechanical Jam",ISNUMBER(SEARCH("rigid",C383)),"Mechanical Jam",ISNUMBER(SEARCH("rust",C383)),"Corroded",ISNUMBER(SEARCH("corrod",C383)),"Corroded",ISNUMBER(SEARCH("corrosion",C383)),"Corroded",ISNUMBER(SEARCH("alignment",C383)),"Defective Device",ISNUMBER(SEARCH("adjust",C383)),"Defective Device",ISNUMBER(SEARCH("perform",C383)),"Defective Device",ISNUMBER(SEARCH("malfunction",C383)),"Defective Device",ISNUMBER(SEARCH("defect",C383)),"Defective Device",ISNUMBER(SEARCH("fail",C383)),"Defective Device",ISNUMBER(SEARCH("not work",C383)),"Defective Device",ISNUMBER(SEARCH("doesn't work",C383)),"Defective Device",TRUE,"UNKNOWN"),"UNKNOWN")))</f>
        <v/>
      </c>
      <c r="F383" s="4" t="str">
        <f t="shared" si="5"/>
        <v/>
      </c>
      <c r="G383" s="363" t="str">
        <f>IF(E383="","",IFERROR(VLOOKUP(E383,Codes!$L$2:$N$409,3,FALSE),"—"))</f>
        <v/>
      </c>
      <c r="H383" s="88"/>
      <c r="I383" s="88"/>
    </row>
    <row r="384" spans="1:9" ht="13.15" x14ac:dyDescent="0.35">
      <c r="A384" s="434"/>
      <c r="B384" s="436"/>
      <c r="C384" s="437"/>
      <c r="D384" s="434"/>
      <c r="E384" s="93" t="str" cm="1">
        <f t="array" ref="E384">IF(D384&lt;&gt;"",IFERROR(VLOOKUP(D384,Codes!$K$2:$L$409,2,FALSE),"UNKNOWN - "&amp;D384),IF(C384="","",IFERROR(_xlfn.IFS(ISNUMBER(SEARCH("broken button",C384)),"Break",ISNUMBER(SEARCH("broken handle",C384)),"Break",ISNUMBER(SEARCH("shipping damage",C384)),"Break",ISNUMBER(SEARCH("broken",C384)),"Break",ISNUMBER(SEARCH("crack",C384)),"Break",ISNUMBER(SEARCH("snap",C384)),"Break",ISNUMBER(SEARCH("fracture",C384)),"Break",ISNUMBER(SEARCH("bent",C384)),"Material Twisted/Bent",ISNUMBER(SEARCH("twisted",C384)),"Material Twisted/Bent",ISNUMBER(SEARCH("component separat",C384)),"Material Separation",ISNUMBER(SEARCH("separat",C384)),"Material Separation",ISNUMBER(SEARCH("connection",C384)),"Loose or Intermittent Connection",ISNUMBER(SEARCH("loose",C384)),"Loose or Intermittent Connection",ISNUMBER(SEARCH("damaged packaging",C384)),"Packaging Problem",ISNUMBER(SEARCH("packaging",C384)),"Packaging Problem",ISNUMBER(SEARCH("discoloration",C384)),"Contamination",ISNUMBER(SEARCH("tarnish",C384)),"Contamination",ISNUMBER(SEARCH("stain",C384)),"Contamination",ISNUMBER(SEARCH("foreign material",C384)),"Contamination",ISNUMBER(SEARCH("contamina",C384)),"Contamination",ISNUMBER(SEARCH("overheat",C384)),"Overheating of Device",ISNUMBER(SEARCH("excessive heat",C384)),"Overheating of Device",ISNUMBER(SEARCH("hot",C384)),"Overheating of Device",ISNUMBER(SEARCH("noise",C384)),"Noise, Audible",ISNUMBER(SEARCH("sound",C384)),"Noise, Audible",ISNUMBER(SEARCH("loud",C384)),"Noise, Audible",ISNUMBER(SEARCH("fray",C384)),"Material Frayed",ISNUMBER(SEARCH("hole",C384)),"Material Frayed",ISNUMBER(SEARCH("tear",C384)),"Material Frayed",ISNUMBER(SEARCH("worn",C384)),"Material Frayed",ISNUMBER(SEARCH("intermittent",C384)),"Difficult or Delayed Activation",ISNUMBER(SEARCH("delay",C384)),"Difficult or Delayed Activation",ISNUMBER(SEARCH("label",C384)),"Device Markings/Labelling Problem",ISNUMBER(SEARCH("marking",C384)),"Device Markings/Labelling Problem",ISNUMBER(SEARCH("lacerat",C384)),"Defective Device",ISNUMBER(SEARCH("cut",C384)),"Defective Device",ISNUMBER(SEARCH("leak",C384)),"Fluid/Blood Leak",ISNUMBER(SEARCH("missing",C384)),"Component Missing",ISNUMBER(SEARCH("power",C384)),"Complete Loss of Power",ISNUMBER(SEARCH("will not turn on",C384)),"Complete Loss of Power",ISNUMBER(SEARCH("won't turn on",C384)),"Complete Loss of Power",ISNUMBER(SEARCH("does not turn on",C384)),"Complete Loss of Power",ISNUMBER(SEARCH("electrical",C384)),"Electrical Power Problem",ISNUMBER(SEARCH("pressure",C384)),"Detachment of Device or Device Component",ISNUMBER(SEARCH("slip",C384)),"Detachment of Device or Device Component",ISNUMBER(SEARCH("detach",C384)),"Detachment of Device or Device Component",ISNUMBER(SEARCH("stick",C384)),"Mechanical Jam",ISNUMBER(SEARCH("jam",C384)),"Mechanical Jam",ISNUMBER(SEARCH("rigid",C384)),"Mechanical Jam",ISNUMBER(SEARCH("rust",C384)),"Corroded",ISNUMBER(SEARCH("corrod",C384)),"Corroded",ISNUMBER(SEARCH("corrosion",C384)),"Corroded",ISNUMBER(SEARCH("alignment",C384)),"Defective Device",ISNUMBER(SEARCH("adjust",C384)),"Defective Device",ISNUMBER(SEARCH("perform",C384)),"Defective Device",ISNUMBER(SEARCH("malfunction",C384)),"Defective Device",ISNUMBER(SEARCH("defect",C384)),"Defective Device",ISNUMBER(SEARCH("fail",C384)),"Defective Device",ISNUMBER(SEARCH("not work",C384)),"Defective Device",ISNUMBER(SEARCH("doesn't work",C384)),"Defective Device",TRUE,"UNKNOWN"),"UNKNOWN")))</f>
        <v/>
      </c>
      <c r="F384" s="4" t="str">
        <f t="shared" si="5"/>
        <v/>
      </c>
      <c r="G384" s="363" t="str">
        <f>IF(E384="","",IFERROR(VLOOKUP(E384,Codes!$L$2:$N$409,3,FALSE),"—"))</f>
        <v/>
      </c>
      <c r="H384" s="88"/>
      <c r="I384" s="88"/>
    </row>
    <row r="385" spans="1:9" ht="13.15" x14ac:dyDescent="0.35">
      <c r="A385" s="435"/>
      <c r="B385" s="436"/>
      <c r="C385" s="438"/>
      <c r="D385" s="435"/>
      <c r="E385" s="93" t="str" cm="1">
        <f t="array" ref="E385">IF(D385&lt;&gt;"",IFERROR(VLOOKUP(D385,Codes!$K$2:$L$409,2,FALSE),"UNKNOWN - "&amp;D385),IF(C385="","",IFERROR(_xlfn.IFS(ISNUMBER(SEARCH("broken button",C385)),"Break",ISNUMBER(SEARCH("broken handle",C385)),"Break",ISNUMBER(SEARCH("shipping damage",C385)),"Break",ISNUMBER(SEARCH("broken",C385)),"Break",ISNUMBER(SEARCH("crack",C385)),"Break",ISNUMBER(SEARCH("snap",C385)),"Break",ISNUMBER(SEARCH("fracture",C385)),"Break",ISNUMBER(SEARCH("bent",C385)),"Material Twisted/Bent",ISNUMBER(SEARCH("twisted",C385)),"Material Twisted/Bent",ISNUMBER(SEARCH("component separat",C385)),"Material Separation",ISNUMBER(SEARCH("separat",C385)),"Material Separation",ISNUMBER(SEARCH("connection",C385)),"Loose or Intermittent Connection",ISNUMBER(SEARCH("loose",C385)),"Loose or Intermittent Connection",ISNUMBER(SEARCH("damaged packaging",C385)),"Packaging Problem",ISNUMBER(SEARCH("packaging",C385)),"Packaging Problem",ISNUMBER(SEARCH("discoloration",C385)),"Contamination",ISNUMBER(SEARCH("tarnish",C385)),"Contamination",ISNUMBER(SEARCH("stain",C385)),"Contamination",ISNUMBER(SEARCH("foreign material",C385)),"Contamination",ISNUMBER(SEARCH("contamina",C385)),"Contamination",ISNUMBER(SEARCH("overheat",C385)),"Overheating of Device",ISNUMBER(SEARCH("excessive heat",C385)),"Overheating of Device",ISNUMBER(SEARCH("hot",C385)),"Overheating of Device",ISNUMBER(SEARCH("noise",C385)),"Noise, Audible",ISNUMBER(SEARCH("sound",C385)),"Noise, Audible",ISNUMBER(SEARCH("loud",C385)),"Noise, Audible",ISNUMBER(SEARCH("fray",C385)),"Material Frayed",ISNUMBER(SEARCH("hole",C385)),"Material Frayed",ISNUMBER(SEARCH("tear",C385)),"Material Frayed",ISNUMBER(SEARCH("worn",C385)),"Material Frayed",ISNUMBER(SEARCH("intermittent",C385)),"Difficult or Delayed Activation",ISNUMBER(SEARCH("delay",C385)),"Difficult or Delayed Activation",ISNUMBER(SEARCH("label",C385)),"Device Markings/Labelling Problem",ISNUMBER(SEARCH("marking",C385)),"Device Markings/Labelling Problem",ISNUMBER(SEARCH("lacerat",C385)),"Defective Device",ISNUMBER(SEARCH("cut",C385)),"Defective Device",ISNUMBER(SEARCH("leak",C385)),"Fluid/Blood Leak",ISNUMBER(SEARCH("missing",C385)),"Component Missing",ISNUMBER(SEARCH("power",C385)),"Complete Loss of Power",ISNUMBER(SEARCH("will not turn on",C385)),"Complete Loss of Power",ISNUMBER(SEARCH("won't turn on",C385)),"Complete Loss of Power",ISNUMBER(SEARCH("does not turn on",C385)),"Complete Loss of Power",ISNUMBER(SEARCH("electrical",C385)),"Electrical Power Problem",ISNUMBER(SEARCH("pressure",C385)),"Detachment of Device or Device Component",ISNUMBER(SEARCH("slip",C385)),"Detachment of Device or Device Component",ISNUMBER(SEARCH("detach",C385)),"Detachment of Device or Device Component",ISNUMBER(SEARCH("stick",C385)),"Mechanical Jam",ISNUMBER(SEARCH("jam",C385)),"Mechanical Jam",ISNUMBER(SEARCH("rigid",C385)),"Mechanical Jam",ISNUMBER(SEARCH("rust",C385)),"Corroded",ISNUMBER(SEARCH("corrod",C385)),"Corroded",ISNUMBER(SEARCH("corrosion",C385)),"Corroded",ISNUMBER(SEARCH("alignment",C385)),"Defective Device",ISNUMBER(SEARCH("adjust",C385)),"Defective Device",ISNUMBER(SEARCH("perform",C385)),"Defective Device",ISNUMBER(SEARCH("malfunction",C385)),"Defective Device",ISNUMBER(SEARCH("defect",C385)),"Defective Device",ISNUMBER(SEARCH("fail",C385)),"Defective Device",ISNUMBER(SEARCH("not work",C385)),"Defective Device",ISNUMBER(SEARCH("doesn't work",C385)),"Defective Device",TRUE,"UNKNOWN"),"UNKNOWN")))</f>
        <v/>
      </c>
      <c r="F385" s="4" t="str">
        <f t="shared" si="5"/>
        <v/>
      </c>
      <c r="G385" s="363" t="str">
        <f>IF(E385="","",IFERROR(VLOOKUP(E385,Codes!$L$2:$N$409,3,FALSE),"—"))</f>
        <v/>
      </c>
      <c r="H385" s="88"/>
      <c r="I385" s="88"/>
    </row>
    <row r="386" spans="1:9" ht="13.15" x14ac:dyDescent="0.35">
      <c r="A386" s="434"/>
      <c r="B386" s="436"/>
      <c r="C386" s="437"/>
      <c r="D386" s="434"/>
      <c r="E386" s="93" t="str" cm="1">
        <f t="array" ref="E386">IF(D386&lt;&gt;"",IFERROR(VLOOKUP(D386,Codes!$K$2:$L$409,2,FALSE),"UNKNOWN - "&amp;D386),IF(C386="","",IFERROR(_xlfn.IFS(ISNUMBER(SEARCH("broken button",C386)),"Break",ISNUMBER(SEARCH("broken handle",C386)),"Break",ISNUMBER(SEARCH("shipping damage",C386)),"Break",ISNUMBER(SEARCH("broken",C386)),"Break",ISNUMBER(SEARCH("crack",C386)),"Break",ISNUMBER(SEARCH("snap",C386)),"Break",ISNUMBER(SEARCH("fracture",C386)),"Break",ISNUMBER(SEARCH("bent",C386)),"Material Twisted/Bent",ISNUMBER(SEARCH("twisted",C386)),"Material Twisted/Bent",ISNUMBER(SEARCH("component separat",C386)),"Material Separation",ISNUMBER(SEARCH("separat",C386)),"Material Separation",ISNUMBER(SEARCH("connection",C386)),"Loose or Intermittent Connection",ISNUMBER(SEARCH("loose",C386)),"Loose or Intermittent Connection",ISNUMBER(SEARCH("damaged packaging",C386)),"Packaging Problem",ISNUMBER(SEARCH("packaging",C386)),"Packaging Problem",ISNUMBER(SEARCH("discoloration",C386)),"Contamination",ISNUMBER(SEARCH("tarnish",C386)),"Contamination",ISNUMBER(SEARCH("stain",C386)),"Contamination",ISNUMBER(SEARCH("foreign material",C386)),"Contamination",ISNUMBER(SEARCH("contamina",C386)),"Contamination",ISNUMBER(SEARCH("overheat",C386)),"Overheating of Device",ISNUMBER(SEARCH("excessive heat",C386)),"Overheating of Device",ISNUMBER(SEARCH("hot",C386)),"Overheating of Device",ISNUMBER(SEARCH("noise",C386)),"Noise, Audible",ISNUMBER(SEARCH("sound",C386)),"Noise, Audible",ISNUMBER(SEARCH("loud",C386)),"Noise, Audible",ISNUMBER(SEARCH("fray",C386)),"Material Frayed",ISNUMBER(SEARCH("hole",C386)),"Material Frayed",ISNUMBER(SEARCH("tear",C386)),"Material Frayed",ISNUMBER(SEARCH("worn",C386)),"Material Frayed",ISNUMBER(SEARCH("intermittent",C386)),"Difficult or Delayed Activation",ISNUMBER(SEARCH("delay",C386)),"Difficult or Delayed Activation",ISNUMBER(SEARCH("label",C386)),"Device Markings/Labelling Problem",ISNUMBER(SEARCH("marking",C386)),"Device Markings/Labelling Problem",ISNUMBER(SEARCH("lacerat",C386)),"Defective Device",ISNUMBER(SEARCH("cut",C386)),"Defective Device",ISNUMBER(SEARCH("leak",C386)),"Fluid/Blood Leak",ISNUMBER(SEARCH("missing",C386)),"Component Missing",ISNUMBER(SEARCH("power",C386)),"Complete Loss of Power",ISNUMBER(SEARCH("will not turn on",C386)),"Complete Loss of Power",ISNUMBER(SEARCH("won't turn on",C386)),"Complete Loss of Power",ISNUMBER(SEARCH("does not turn on",C386)),"Complete Loss of Power",ISNUMBER(SEARCH("electrical",C386)),"Electrical Power Problem",ISNUMBER(SEARCH("pressure",C386)),"Detachment of Device or Device Component",ISNUMBER(SEARCH("slip",C386)),"Detachment of Device or Device Component",ISNUMBER(SEARCH("detach",C386)),"Detachment of Device or Device Component",ISNUMBER(SEARCH("stick",C386)),"Mechanical Jam",ISNUMBER(SEARCH("jam",C386)),"Mechanical Jam",ISNUMBER(SEARCH("rigid",C386)),"Mechanical Jam",ISNUMBER(SEARCH("rust",C386)),"Corroded",ISNUMBER(SEARCH("corrod",C386)),"Corroded",ISNUMBER(SEARCH("corrosion",C386)),"Corroded",ISNUMBER(SEARCH("alignment",C386)),"Defective Device",ISNUMBER(SEARCH("adjust",C386)),"Defective Device",ISNUMBER(SEARCH("perform",C386)),"Defective Device",ISNUMBER(SEARCH("malfunction",C386)),"Defective Device",ISNUMBER(SEARCH("defect",C386)),"Defective Device",ISNUMBER(SEARCH("fail",C386)),"Defective Device",ISNUMBER(SEARCH("not work",C386)),"Defective Device",ISNUMBER(SEARCH("doesn't work",C386)),"Defective Device",TRUE,"UNKNOWN"),"UNKNOWN")))</f>
        <v/>
      </c>
      <c r="F386" s="4" t="str">
        <f t="shared" si="5"/>
        <v/>
      </c>
      <c r="G386" s="363" t="str">
        <f>IF(E386="","",IFERROR(VLOOKUP(E386,Codes!$L$2:$N$409,3,FALSE),"—"))</f>
        <v/>
      </c>
      <c r="H386" s="88"/>
      <c r="I386" s="88"/>
    </row>
    <row r="387" spans="1:9" ht="13.15" x14ac:dyDescent="0.35">
      <c r="A387" s="434"/>
      <c r="B387" s="436"/>
      <c r="C387" s="437"/>
      <c r="D387" s="434"/>
      <c r="E387" s="93" t="str" cm="1">
        <f t="array" ref="E387">IF(D387&lt;&gt;"",IFERROR(VLOOKUP(D387,Codes!$K$2:$L$409,2,FALSE),"UNKNOWN - "&amp;D387),IF(C387="","",IFERROR(_xlfn.IFS(ISNUMBER(SEARCH("broken button",C387)),"Break",ISNUMBER(SEARCH("broken handle",C387)),"Break",ISNUMBER(SEARCH("shipping damage",C387)),"Break",ISNUMBER(SEARCH("broken",C387)),"Break",ISNUMBER(SEARCH("crack",C387)),"Break",ISNUMBER(SEARCH("snap",C387)),"Break",ISNUMBER(SEARCH("fracture",C387)),"Break",ISNUMBER(SEARCH("bent",C387)),"Material Twisted/Bent",ISNUMBER(SEARCH("twisted",C387)),"Material Twisted/Bent",ISNUMBER(SEARCH("component separat",C387)),"Material Separation",ISNUMBER(SEARCH("separat",C387)),"Material Separation",ISNUMBER(SEARCH("connection",C387)),"Loose or Intermittent Connection",ISNUMBER(SEARCH("loose",C387)),"Loose or Intermittent Connection",ISNUMBER(SEARCH("damaged packaging",C387)),"Packaging Problem",ISNUMBER(SEARCH("packaging",C387)),"Packaging Problem",ISNUMBER(SEARCH("discoloration",C387)),"Contamination",ISNUMBER(SEARCH("tarnish",C387)),"Contamination",ISNUMBER(SEARCH("stain",C387)),"Contamination",ISNUMBER(SEARCH("foreign material",C387)),"Contamination",ISNUMBER(SEARCH("contamina",C387)),"Contamination",ISNUMBER(SEARCH("overheat",C387)),"Overheating of Device",ISNUMBER(SEARCH("excessive heat",C387)),"Overheating of Device",ISNUMBER(SEARCH("hot",C387)),"Overheating of Device",ISNUMBER(SEARCH("noise",C387)),"Noise, Audible",ISNUMBER(SEARCH("sound",C387)),"Noise, Audible",ISNUMBER(SEARCH("loud",C387)),"Noise, Audible",ISNUMBER(SEARCH("fray",C387)),"Material Frayed",ISNUMBER(SEARCH("hole",C387)),"Material Frayed",ISNUMBER(SEARCH("tear",C387)),"Material Frayed",ISNUMBER(SEARCH("worn",C387)),"Material Frayed",ISNUMBER(SEARCH("intermittent",C387)),"Difficult or Delayed Activation",ISNUMBER(SEARCH("delay",C387)),"Difficult or Delayed Activation",ISNUMBER(SEARCH("label",C387)),"Device Markings/Labelling Problem",ISNUMBER(SEARCH("marking",C387)),"Device Markings/Labelling Problem",ISNUMBER(SEARCH("lacerat",C387)),"Defective Device",ISNUMBER(SEARCH("cut",C387)),"Defective Device",ISNUMBER(SEARCH("leak",C387)),"Fluid/Blood Leak",ISNUMBER(SEARCH("missing",C387)),"Component Missing",ISNUMBER(SEARCH("power",C387)),"Complete Loss of Power",ISNUMBER(SEARCH("will not turn on",C387)),"Complete Loss of Power",ISNUMBER(SEARCH("won't turn on",C387)),"Complete Loss of Power",ISNUMBER(SEARCH("does not turn on",C387)),"Complete Loss of Power",ISNUMBER(SEARCH("electrical",C387)),"Electrical Power Problem",ISNUMBER(SEARCH("pressure",C387)),"Detachment of Device or Device Component",ISNUMBER(SEARCH("slip",C387)),"Detachment of Device or Device Component",ISNUMBER(SEARCH("detach",C387)),"Detachment of Device or Device Component",ISNUMBER(SEARCH("stick",C387)),"Mechanical Jam",ISNUMBER(SEARCH("jam",C387)),"Mechanical Jam",ISNUMBER(SEARCH("rigid",C387)),"Mechanical Jam",ISNUMBER(SEARCH("rust",C387)),"Corroded",ISNUMBER(SEARCH("corrod",C387)),"Corroded",ISNUMBER(SEARCH("corrosion",C387)),"Corroded",ISNUMBER(SEARCH("alignment",C387)),"Defective Device",ISNUMBER(SEARCH("adjust",C387)),"Defective Device",ISNUMBER(SEARCH("perform",C387)),"Defective Device",ISNUMBER(SEARCH("malfunction",C387)),"Defective Device",ISNUMBER(SEARCH("defect",C387)),"Defective Device",ISNUMBER(SEARCH("fail",C387)),"Defective Device",ISNUMBER(SEARCH("not work",C387)),"Defective Device",ISNUMBER(SEARCH("doesn't work",C387)),"Defective Device",TRUE,"UNKNOWN"),"UNKNOWN")))</f>
        <v/>
      </c>
      <c r="F387" s="4" t="str">
        <f t="shared" ref="F387:F450" si="6">IF(E387="","","No Clinical Signs, Symptoms or Conditions")</f>
        <v/>
      </c>
      <c r="G387" s="363" t="str">
        <f>IF(E387="","",IFERROR(VLOOKUP(E387,Codes!$L$2:$N$409,3,FALSE),"—"))</f>
        <v/>
      </c>
      <c r="H387" s="88"/>
      <c r="I387" s="88"/>
    </row>
    <row r="388" spans="1:9" ht="13.15" x14ac:dyDescent="0.35">
      <c r="A388" s="435"/>
      <c r="B388" s="436"/>
      <c r="C388" s="438"/>
      <c r="D388" s="435"/>
      <c r="E388" s="93" t="str" cm="1">
        <f t="array" ref="E388">IF(D388&lt;&gt;"",IFERROR(VLOOKUP(D388,Codes!$K$2:$L$409,2,FALSE),"UNKNOWN - "&amp;D388),IF(C388="","",IFERROR(_xlfn.IFS(ISNUMBER(SEARCH("broken button",C388)),"Break",ISNUMBER(SEARCH("broken handle",C388)),"Break",ISNUMBER(SEARCH("shipping damage",C388)),"Break",ISNUMBER(SEARCH("broken",C388)),"Break",ISNUMBER(SEARCH("crack",C388)),"Break",ISNUMBER(SEARCH("snap",C388)),"Break",ISNUMBER(SEARCH("fracture",C388)),"Break",ISNUMBER(SEARCH("bent",C388)),"Material Twisted/Bent",ISNUMBER(SEARCH("twisted",C388)),"Material Twisted/Bent",ISNUMBER(SEARCH("component separat",C388)),"Material Separation",ISNUMBER(SEARCH("separat",C388)),"Material Separation",ISNUMBER(SEARCH("connection",C388)),"Loose or Intermittent Connection",ISNUMBER(SEARCH("loose",C388)),"Loose or Intermittent Connection",ISNUMBER(SEARCH("damaged packaging",C388)),"Packaging Problem",ISNUMBER(SEARCH("packaging",C388)),"Packaging Problem",ISNUMBER(SEARCH("discoloration",C388)),"Contamination",ISNUMBER(SEARCH("tarnish",C388)),"Contamination",ISNUMBER(SEARCH("stain",C388)),"Contamination",ISNUMBER(SEARCH("foreign material",C388)),"Contamination",ISNUMBER(SEARCH("contamina",C388)),"Contamination",ISNUMBER(SEARCH("overheat",C388)),"Overheating of Device",ISNUMBER(SEARCH("excessive heat",C388)),"Overheating of Device",ISNUMBER(SEARCH("hot",C388)),"Overheating of Device",ISNUMBER(SEARCH("noise",C388)),"Noise, Audible",ISNUMBER(SEARCH("sound",C388)),"Noise, Audible",ISNUMBER(SEARCH("loud",C388)),"Noise, Audible",ISNUMBER(SEARCH("fray",C388)),"Material Frayed",ISNUMBER(SEARCH("hole",C388)),"Material Frayed",ISNUMBER(SEARCH("tear",C388)),"Material Frayed",ISNUMBER(SEARCH("worn",C388)),"Material Frayed",ISNUMBER(SEARCH("intermittent",C388)),"Difficult or Delayed Activation",ISNUMBER(SEARCH("delay",C388)),"Difficult or Delayed Activation",ISNUMBER(SEARCH("label",C388)),"Device Markings/Labelling Problem",ISNUMBER(SEARCH("marking",C388)),"Device Markings/Labelling Problem",ISNUMBER(SEARCH("lacerat",C388)),"Defective Device",ISNUMBER(SEARCH("cut",C388)),"Defective Device",ISNUMBER(SEARCH("leak",C388)),"Fluid/Blood Leak",ISNUMBER(SEARCH("missing",C388)),"Component Missing",ISNUMBER(SEARCH("power",C388)),"Complete Loss of Power",ISNUMBER(SEARCH("will not turn on",C388)),"Complete Loss of Power",ISNUMBER(SEARCH("won't turn on",C388)),"Complete Loss of Power",ISNUMBER(SEARCH("does not turn on",C388)),"Complete Loss of Power",ISNUMBER(SEARCH("electrical",C388)),"Electrical Power Problem",ISNUMBER(SEARCH("pressure",C388)),"Detachment of Device or Device Component",ISNUMBER(SEARCH("slip",C388)),"Detachment of Device or Device Component",ISNUMBER(SEARCH("detach",C388)),"Detachment of Device or Device Component",ISNUMBER(SEARCH("stick",C388)),"Mechanical Jam",ISNUMBER(SEARCH("jam",C388)),"Mechanical Jam",ISNUMBER(SEARCH("rigid",C388)),"Mechanical Jam",ISNUMBER(SEARCH("rust",C388)),"Corroded",ISNUMBER(SEARCH("corrod",C388)),"Corroded",ISNUMBER(SEARCH("corrosion",C388)),"Corroded",ISNUMBER(SEARCH("alignment",C388)),"Defective Device",ISNUMBER(SEARCH("adjust",C388)),"Defective Device",ISNUMBER(SEARCH("perform",C388)),"Defective Device",ISNUMBER(SEARCH("malfunction",C388)),"Defective Device",ISNUMBER(SEARCH("defect",C388)),"Defective Device",ISNUMBER(SEARCH("fail",C388)),"Defective Device",ISNUMBER(SEARCH("not work",C388)),"Defective Device",ISNUMBER(SEARCH("doesn't work",C388)),"Defective Device",TRUE,"UNKNOWN"),"UNKNOWN")))</f>
        <v/>
      </c>
      <c r="F388" s="4" t="str">
        <f t="shared" si="6"/>
        <v/>
      </c>
      <c r="G388" s="363" t="str">
        <f>IF(E388="","",IFERROR(VLOOKUP(E388,Codes!$L$2:$N$409,3,FALSE),"—"))</f>
        <v/>
      </c>
      <c r="H388" s="88"/>
      <c r="I388" s="88"/>
    </row>
    <row r="389" spans="1:9" ht="13.15" x14ac:dyDescent="0.35">
      <c r="A389" s="435"/>
      <c r="B389" s="436"/>
      <c r="C389" s="438"/>
      <c r="D389" s="435"/>
      <c r="E389" s="93" t="str" cm="1">
        <f t="array" ref="E389">IF(D389&lt;&gt;"",IFERROR(VLOOKUP(D389,Codes!$K$2:$L$409,2,FALSE),"UNKNOWN - "&amp;D389),IF(C389="","",IFERROR(_xlfn.IFS(ISNUMBER(SEARCH("broken button",C389)),"Break",ISNUMBER(SEARCH("broken handle",C389)),"Break",ISNUMBER(SEARCH("shipping damage",C389)),"Break",ISNUMBER(SEARCH("broken",C389)),"Break",ISNUMBER(SEARCH("crack",C389)),"Break",ISNUMBER(SEARCH("snap",C389)),"Break",ISNUMBER(SEARCH("fracture",C389)),"Break",ISNUMBER(SEARCH("bent",C389)),"Material Twisted/Bent",ISNUMBER(SEARCH("twisted",C389)),"Material Twisted/Bent",ISNUMBER(SEARCH("component separat",C389)),"Material Separation",ISNUMBER(SEARCH("separat",C389)),"Material Separation",ISNUMBER(SEARCH("connection",C389)),"Loose or Intermittent Connection",ISNUMBER(SEARCH("loose",C389)),"Loose or Intermittent Connection",ISNUMBER(SEARCH("damaged packaging",C389)),"Packaging Problem",ISNUMBER(SEARCH("packaging",C389)),"Packaging Problem",ISNUMBER(SEARCH("discoloration",C389)),"Contamination",ISNUMBER(SEARCH("tarnish",C389)),"Contamination",ISNUMBER(SEARCH("stain",C389)),"Contamination",ISNUMBER(SEARCH("foreign material",C389)),"Contamination",ISNUMBER(SEARCH("contamina",C389)),"Contamination",ISNUMBER(SEARCH("overheat",C389)),"Overheating of Device",ISNUMBER(SEARCH("excessive heat",C389)),"Overheating of Device",ISNUMBER(SEARCH("hot",C389)),"Overheating of Device",ISNUMBER(SEARCH("noise",C389)),"Noise, Audible",ISNUMBER(SEARCH("sound",C389)),"Noise, Audible",ISNUMBER(SEARCH("loud",C389)),"Noise, Audible",ISNUMBER(SEARCH("fray",C389)),"Material Frayed",ISNUMBER(SEARCH("hole",C389)),"Material Frayed",ISNUMBER(SEARCH("tear",C389)),"Material Frayed",ISNUMBER(SEARCH("worn",C389)),"Material Frayed",ISNUMBER(SEARCH("intermittent",C389)),"Difficult or Delayed Activation",ISNUMBER(SEARCH("delay",C389)),"Difficult or Delayed Activation",ISNUMBER(SEARCH("label",C389)),"Device Markings/Labelling Problem",ISNUMBER(SEARCH("marking",C389)),"Device Markings/Labelling Problem",ISNUMBER(SEARCH("lacerat",C389)),"Defective Device",ISNUMBER(SEARCH("cut",C389)),"Defective Device",ISNUMBER(SEARCH("leak",C389)),"Fluid/Blood Leak",ISNUMBER(SEARCH("missing",C389)),"Component Missing",ISNUMBER(SEARCH("power",C389)),"Complete Loss of Power",ISNUMBER(SEARCH("will not turn on",C389)),"Complete Loss of Power",ISNUMBER(SEARCH("won't turn on",C389)),"Complete Loss of Power",ISNUMBER(SEARCH("does not turn on",C389)),"Complete Loss of Power",ISNUMBER(SEARCH("electrical",C389)),"Electrical Power Problem",ISNUMBER(SEARCH("pressure",C389)),"Detachment of Device or Device Component",ISNUMBER(SEARCH("slip",C389)),"Detachment of Device or Device Component",ISNUMBER(SEARCH("detach",C389)),"Detachment of Device or Device Component",ISNUMBER(SEARCH("stick",C389)),"Mechanical Jam",ISNUMBER(SEARCH("jam",C389)),"Mechanical Jam",ISNUMBER(SEARCH("rigid",C389)),"Mechanical Jam",ISNUMBER(SEARCH("rust",C389)),"Corroded",ISNUMBER(SEARCH("corrod",C389)),"Corroded",ISNUMBER(SEARCH("corrosion",C389)),"Corroded",ISNUMBER(SEARCH("alignment",C389)),"Defective Device",ISNUMBER(SEARCH("adjust",C389)),"Defective Device",ISNUMBER(SEARCH("perform",C389)),"Defective Device",ISNUMBER(SEARCH("malfunction",C389)),"Defective Device",ISNUMBER(SEARCH("defect",C389)),"Defective Device",ISNUMBER(SEARCH("fail",C389)),"Defective Device",ISNUMBER(SEARCH("not work",C389)),"Defective Device",ISNUMBER(SEARCH("doesn't work",C389)),"Defective Device",TRUE,"UNKNOWN"),"UNKNOWN")))</f>
        <v/>
      </c>
      <c r="F389" s="4" t="str">
        <f t="shared" si="6"/>
        <v/>
      </c>
      <c r="G389" s="363" t="str">
        <f>IF(E389="","",IFERROR(VLOOKUP(E389,Codes!$L$2:$N$409,3,FALSE),"—"))</f>
        <v/>
      </c>
      <c r="H389" s="88"/>
      <c r="I389" s="88"/>
    </row>
    <row r="390" spans="1:9" ht="13.15" x14ac:dyDescent="0.35">
      <c r="A390" s="434"/>
      <c r="B390" s="436"/>
      <c r="C390" s="437"/>
      <c r="D390" s="434"/>
      <c r="E390" s="93" t="str" cm="1">
        <f t="array" ref="E390">IF(D390&lt;&gt;"",IFERROR(VLOOKUP(D390,Codes!$K$2:$L$409,2,FALSE),"UNKNOWN - "&amp;D390),IF(C390="","",IFERROR(_xlfn.IFS(ISNUMBER(SEARCH("broken button",C390)),"Break",ISNUMBER(SEARCH("broken handle",C390)),"Break",ISNUMBER(SEARCH("shipping damage",C390)),"Break",ISNUMBER(SEARCH("broken",C390)),"Break",ISNUMBER(SEARCH("crack",C390)),"Break",ISNUMBER(SEARCH("snap",C390)),"Break",ISNUMBER(SEARCH("fracture",C390)),"Break",ISNUMBER(SEARCH("bent",C390)),"Material Twisted/Bent",ISNUMBER(SEARCH("twisted",C390)),"Material Twisted/Bent",ISNUMBER(SEARCH("component separat",C390)),"Material Separation",ISNUMBER(SEARCH("separat",C390)),"Material Separation",ISNUMBER(SEARCH("connection",C390)),"Loose or Intermittent Connection",ISNUMBER(SEARCH("loose",C390)),"Loose or Intermittent Connection",ISNUMBER(SEARCH("damaged packaging",C390)),"Packaging Problem",ISNUMBER(SEARCH("packaging",C390)),"Packaging Problem",ISNUMBER(SEARCH("discoloration",C390)),"Contamination",ISNUMBER(SEARCH("tarnish",C390)),"Contamination",ISNUMBER(SEARCH("stain",C390)),"Contamination",ISNUMBER(SEARCH("foreign material",C390)),"Contamination",ISNUMBER(SEARCH("contamina",C390)),"Contamination",ISNUMBER(SEARCH("overheat",C390)),"Overheating of Device",ISNUMBER(SEARCH("excessive heat",C390)),"Overheating of Device",ISNUMBER(SEARCH("hot",C390)),"Overheating of Device",ISNUMBER(SEARCH("noise",C390)),"Noise, Audible",ISNUMBER(SEARCH("sound",C390)),"Noise, Audible",ISNUMBER(SEARCH("loud",C390)),"Noise, Audible",ISNUMBER(SEARCH("fray",C390)),"Material Frayed",ISNUMBER(SEARCH("hole",C390)),"Material Frayed",ISNUMBER(SEARCH("tear",C390)),"Material Frayed",ISNUMBER(SEARCH("worn",C390)),"Material Frayed",ISNUMBER(SEARCH("intermittent",C390)),"Difficult or Delayed Activation",ISNUMBER(SEARCH("delay",C390)),"Difficult or Delayed Activation",ISNUMBER(SEARCH("label",C390)),"Device Markings/Labelling Problem",ISNUMBER(SEARCH("marking",C390)),"Device Markings/Labelling Problem",ISNUMBER(SEARCH("lacerat",C390)),"Defective Device",ISNUMBER(SEARCH("cut",C390)),"Defective Device",ISNUMBER(SEARCH("leak",C390)),"Fluid/Blood Leak",ISNUMBER(SEARCH("missing",C390)),"Component Missing",ISNUMBER(SEARCH("power",C390)),"Complete Loss of Power",ISNUMBER(SEARCH("will not turn on",C390)),"Complete Loss of Power",ISNUMBER(SEARCH("won't turn on",C390)),"Complete Loss of Power",ISNUMBER(SEARCH("does not turn on",C390)),"Complete Loss of Power",ISNUMBER(SEARCH("electrical",C390)),"Electrical Power Problem",ISNUMBER(SEARCH("pressure",C390)),"Detachment of Device or Device Component",ISNUMBER(SEARCH("slip",C390)),"Detachment of Device or Device Component",ISNUMBER(SEARCH("detach",C390)),"Detachment of Device or Device Component",ISNUMBER(SEARCH("stick",C390)),"Mechanical Jam",ISNUMBER(SEARCH("jam",C390)),"Mechanical Jam",ISNUMBER(SEARCH("rigid",C390)),"Mechanical Jam",ISNUMBER(SEARCH("rust",C390)),"Corroded",ISNUMBER(SEARCH("corrod",C390)),"Corroded",ISNUMBER(SEARCH("corrosion",C390)),"Corroded",ISNUMBER(SEARCH("alignment",C390)),"Defective Device",ISNUMBER(SEARCH("adjust",C390)),"Defective Device",ISNUMBER(SEARCH("perform",C390)),"Defective Device",ISNUMBER(SEARCH("malfunction",C390)),"Defective Device",ISNUMBER(SEARCH("defect",C390)),"Defective Device",ISNUMBER(SEARCH("fail",C390)),"Defective Device",ISNUMBER(SEARCH("not work",C390)),"Defective Device",ISNUMBER(SEARCH("doesn't work",C390)),"Defective Device",TRUE,"UNKNOWN"),"UNKNOWN")))</f>
        <v/>
      </c>
      <c r="F390" s="4" t="str">
        <f t="shared" si="6"/>
        <v/>
      </c>
      <c r="G390" s="363" t="str">
        <f>IF(E390="","",IFERROR(VLOOKUP(E390,Codes!$L$2:$N$409,3,FALSE),"—"))</f>
        <v/>
      </c>
      <c r="H390" s="88"/>
      <c r="I390" s="88"/>
    </row>
    <row r="391" spans="1:9" ht="13.15" x14ac:dyDescent="0.35">
      <c r="A391" s="435"/>
      <c r="B391" s="436"/>
      <c r="C391" s="438"/>
      <c r="D391" s="435"/>
      <c r="E391" s="93" t="str" cm="1">
        <f t="array" ref="E391">IF(D391&lt;&gt;"",IFERROR(VLOOKUP(D391,Codes!$K$2:$L$409,2,FALSE),"UNKNOWN - "&amp;D391),IF(C391="","",IFERROR(_xlfn.IFS(ISNUMBER(SEARCH("broken button",C391)),"Break",ISNUMBER(SEARCH("broken handle",C391)),"Break",ISNUMBER(SEARCH("shipping damage",C391)),"Break",ISNUMBER(SEARCH("broken",C391)),"Break",ISNUMBER(SEARCH("crack",C391)),"Break",ISNUMBER(SEARCH("snap",C391)),"Break",ISNUMBER(SEARCH("fracture",C391)),"Break",ISNUMBER(SEARCH("bent",C391)),"Material Twisted/Bent",ISNUMBER(SEARCH("twisted",C391)),"Material Twisted/Bent",ISNUMBER(SEARCH("component separat",C391)),"Material Separation",ISNUMBER(SEARCH("separat",C391)),"Material Separation",ISNUMBER(SEARCH("connection",C391)),"Loose or Intermittent Connection",ISNUMBER(SEARCH("loose",C391)),"Loose or Intermittent Connection",ISNUMBER(SEARCH("damaged packaging",C391)),"Packaging Problem",ISNUMBER(SEARCH("packaging",C391)),"Packaging Problem",ISNUMBER(SEARCH("discoloration",C391)),"Contamination",ISNUMBER(SEARCH("tarnish",C391)),"Contamination",ISNUMBER(SEARCH("stain",C391)),"Contamination",ISNUMBER(SEARCH("foreign material",C391)),"Contamination",ISNUMBER(SEARCH("contamina",C391)),"Contamination",ISNUMBER(SEARCH("overheat",C391)),"Overheating of Device",ISNUMBER(SEARCH("excessive heat",C391)),"Overheating of Device",ISNUMBER(SEARCH("hot",C391)),"Overheating of Device",ISNUMBER(SEARCH("noise",C391)),"Noise, Audible",ISNUMBER(SEARCH("sound",C391)),"Noise, Audible",ISNUMBER(SEARCH("loud",C391)),"Noise, Audible",ISNUMBER(SEARCH("fray",C391)),"Material Frayed",ISNUMBER(SEARCH("hole",C391)),"Material Frayed",ISNUMBER(SEARCH("tear",C391)),"Material Frayed",ISNUMBER(SEARCH("worn",C391)),"Material Frayed",ISNUMBER(SEARCH("intermittent",C391)),"Difficult or Delayed Activation",ISNUMBER(SEARCH("delay",C391)),"Difficult or Delayed Activation",ISNUMBER(SEARCH("label",C391)),"Device Markings/Labelling Problem",ISNUMBER(SEARCH("marking",C391)),"Device Markings/Labelling Problem",ISNUMBER(SEARCH("lacerat",C391)),"Defective Device",ISNUMBER(SEARCH("cut",C391)),"Defective Device",ISNUMBER(SEARCH("leak",C391)),"Fluid/Blood Leak",ISNUMBER(SEARCH("missing",C391)),"Component Missing",ISNUMBER(SEARCH("power",C391)),"Complete Loss of Power",ISNUMBER(SEARCH("will not turn on",C391)),"Complete Loss of Power",ISNUMBER(SEARCH("won't turn on",C391)),"Complete Loss of Power",ISNUMBER(SEARCH("does not turn on",C391)),"Complete Loss of Power",ISNUMBER(SEARCH("electrical",C391)),"Electrical Power Problem",ISNUMBER(SEARCH("pressure",C391)),"Detachment of Device or Device Component",ISNUMBER(SEARCH("slip",C391)),"Detachment of Device or Device Component",ISNUMBER(SEARCH("detach",C391)),"Detachment of Device or Device Component",ISNUMBER(SEARCH("stick",C391)),"Mechanical Jam",ISNUMBER(SEARCH("jam",C391)),"Mechanical Jam",ISNUMBER(SEARCH("rigid",C391)),"Mechanical Jam",ISNUMBER(SEARCH("rust",C391)),"Corroded",ISNUMBER(SEARCH("corrod",C391)),"Corroded",ISNUMBER(SEARCH("corrosion",C391)),"Corroded",ISNUMBER(SEARCH("alignment",C391)),"Defective Device",ISNUMBER(SEARCH("adjust",C391)),"Defective Device",ISNUMBER(SEARCH("perform",C391)),"Defective Device",ISNUMBER(SEARCH("malfunction",C391)),"Defective Device",ISNUMBER(SEARCH("defect",C391)),"Defective Device",ISNUMBER(SEARCH("fail",C391)),"Defective Device",ISNUMBER(SEARCH("not work",C391)),"Defective Device",ISNUMBER(SEARCH("doesn't work",C391)),"Defective Device",TRUE,"UNKNOWN"),"UNKNOWN")))</f>
        <v/>
      </c>
      <c r="F391" s="4" t="str">
        <f t="shared" si="6"/>
        <v/>
      </c>
      <c r="G391" s="363" t="str">
        <f>IF(E391="","",IFERROR(VLOOKUP(E391,Codes!$L$2:$N$409,3,FALSE),"—"))</f>
        <v/>
      </c>
      <c r="H391" s="88"/>
      <c r="I391" s="88"/>
    </row>
    <row r="392" spans="1:9" ht="13.15" x14ac:dyDescent="0.35">
      <c r="A392" s="435"/>
      <c r="B392" s="436"/>
      <c r="C392" s="438"/>
      <c r="D392" s="435"/>
      <c r="E392" s="93" t="str" cm="1">
        <f t="array" ref="E392">IF(D392&lt;&gt;"",IFERROR(VLOOKUP(D392,Codes!$K$2:$L$409,2,FALSE),"UNKNOWN - "&amp;D392),IF(C392="","",IFERROR(_xlfn.IFS(ISNUMBER(SEARCH("broken button",C392)),"Break",ISNUMBER(SEARCH("broken handle",C392)),"Break",ISNUMBER(SEARCH("shipping damage",C392)),"Break",ISNUMBER(SEARCH("broken",C392)),"Break",ISNUMBER(SEARCH("crack",C392)),"Break",ISNUMBER(SEARCH("snap",C392)),"Break",ISNUMBER(SEARCH("fracture",C392)),"Break",ISNUMBER(SEARCH("bent",C392)),"Material Twisted/Bent",ISNUMBER(SEARCH("twisted",C392)),"Material Twisted/Bent",ISNUMBER(SEARCH("component separat",C392)),"Material Separation",ISNUMBER(SEARCH("separat",C392)),"Material Separation",ISNUMBER(SEARCH("connection",C392)),"Loose or Intermittent Connection",ISNUMBER(SEARCH("loose",C392)),"Loose or Intermittent Connection",ISNUMBER(SEARCH("damaged packaging",C392)),"Packaging Problem",ISNUMBER(SEARCH("packaging",C392)),"Packaging Problem",ISNUMBER(SEARCH("discoloration",C392)),"Contamination",ISNUMBER(SEARCH("tarnish",C392)),"Contamination",ISNUMBER(SEARCH("stain",C392)),"Contamination",ISNUMBER(SEARCH("foreign material",C392)),"Contamination",ISNUMBER(SEARCH("contamina",C392)),"Contamination",ISNUMBER(SEARCH("overheat",C392)),"Overheating of Device",ISNUMBER(SEARCH("excessive heat",C392)),"Overheating of Device",ISNUMBER(SEARCH("hot",C392)),"Overheating of Device",ISNUMBER(SEARCH("noise",C392)),"Noise, Audible",ISNUMBER(SEARCH("sound",C392)),"Noise, Audible",ISNUMBER(SEARCH("loud",C392)),"Noise, Audible",ISNUMBER(SEARCH("fray",C392)),"Material Frayed",ISNUMBER(SEARCH("hole",C392)),"Material Frayed",ISNUMBER(SEARCH("tear",C392)),"Material Frayed",ISNUMBER(SEARCH("worn",C392)),"Material Frayed",ISNUMBER(SEARCH("intermittent",C392)),"Difficult or Delayed Activation",ISNUMBER(SEARCH("delay",C392)),"Difficult or Delayed Activation",ISNUMBER(SEARCH("label",C392)),"Device Markings/Labelling Problem",ISNUMBER(SEARCH("marking",C392)),"Device Markings/Labelling Problem",ISNUMBER(SEARCH("lacerat",C392)),"Defective Device",ISNUMBER(SEARCH("cut",C392)),"Defective Device",ISNUMBER(SEARCH("leak",C392)),"Fluid/Blood Leak",ISNUMBER(SEARCH("missing",C392)),"Component Missing",ISNUMBER(SEARCH("power",C392)),"Complete Loss of Power",ISNUMBER(SEARCH("will not turn on",C392)),"Complete Loss of Power",ISNUMBER(SEARCH("won't turn on",C392)),"Complete Loss of Power",ISNUMBER(SEARCH("does not turn on",C392)),"Complete Loss of Power",ISNUMBER(SEARCH("electrical",C392)),"Electrical Power Problem",ISNUMBER(SEARCH("pressure",C392)),"Detachment of Device or Device Component",ISNUMBER(SEARCH("slip",C392)),"Detachment of Device or Device Component",ISNUMBER(SEARCH("detach",C392)),"Detachment of Device or Device Component",ISNUMBER(SEARCH("stick",C392)),"Mechanical Jam",ISNUMBER(SEARCH("jam",C392)),"Mechanical Jam",ISNUMBER(SEARCH("rigid",C392)),"Mechanical Jam",ISNUMBER(SEARCH("rust",C392)),"Corroded",ISNUMBER(SEARCH("corrod",C392)),"Corroded",ISNUMBER(SEARCH("corrosion",C392)),"Corroded",ISNUMBER(SEARCH("alignment",C392)),"Defective Device",ISNUMBER(SEARCH("adjust",C392)),"Defective Device",ISNUMBER(SEARCH("perform",C392)),"Defective Device",ISNUMBER(SEARCH("malfunction",C392)),"Defective Device",ISNUMBER(SEARCH("defect",C392)),"Defective Device",ISNUMBER(SEARCH("fail",C392)),"Defective Device",ISNUMBER(SEARCH("not work",C392)),"Defective Device",ISNUMBER(SEARCH("doesn't work",C392)),"Defective Device",TRUE,"UNKNOWN"),"UNKNOWN")))</f>
        <v/>
      </c>
      <c r="F392" s="4" t="str">
        <f t="shared" si="6"/>
        <v/>
      </c>
      <c r="G392" s="363" t="str">
        <f>IF(E392="","",IFERROR(VLOOKUP(E392,Codes!$L$2:$N$409,3,FALSE),"—"))</f>
        <v/>
      </c>
      <c r="H392" s="88"/>
      <c r="I392" s="88"/>
    </row>
    <row r="393" spans="1:9" ht="13.15" x14ac:dyDescent="0.35">
      <c r="A393" s="434"/>
      <c r="B393" s="436"/>
      <c r="C393" s="437"/>
      <c r="D393" s="434"/>
      <c r="E393" s="93" t="str" cm="1">
        <f t="array" ref="E393">IF(D393&lt;&gt;"",IFERROR(VLOOKUP(D393,Codes!$K$2:$L$409,2,FALSE),"UNKNOWN - "&amp;D393),IF(C393="","",IFERROR(_xlfn.IFS(ISNUMBER(SEARCH("broken button",C393)),"Break",ISNUMBER(SEARCH("broken handle",C393)),"Break",ISNUMBER(SEARCH("shipping damage",C393)),"Break",ISNUMBER(SEARCH("broken",C393)),"Break",ISNUMBER(SEARCH("crack",C393)),"Break",ISNUMBER(SEARCH("snap",C393)),"Break",ISNUMBER(SEARCH("fracture",C393)),"Break",ISNUMBER(SEARCH("bent",C393)),"Material Twisted/Bent",ISNUMBER(SEARCH("twisted",C393)),"Material Twisted/Bent",ISNUMBER(SEARCH("component separat",C393)),"Material Separation",ISNUMBER(SEARCH("separat",C393)),"Material Separation",ISNUMBER(SEARCH("connection",C393)),"Loose or Intermittent Connection",ISNUMBER(SEARCH("loose",C393)),"Loose or Intermittent Connection",ISNUMBER(SEARCH("damaged packaging",C393)),"Packaging Problem",ISNUMBER(SEARCH("packaging",C393)),"Packaging Problem",ISNUMBER(SEARCH("discoloration",C393)),"Contamination",ISNUMBER(SEARCH("tarnish",C393)),"Contamination",ISNUMBER(SEARCH("stain",C393)),"Contamination",ISNUMBER(SEARCH("foreign material",C393)),"Contamination",ISNUMBER(SEARCH("contamina",C393)),"Contamination",ISNUMBER(SEARCH("overheat",C393)),"Overheating of Device",ISNUMBER(SEARCH("excessive heat",C393)),"Overheating of Device",ISNUMBER(SEARCH("hot",C393)),"Overheating of Device",ISNUMBER(SEARCH("noise",C393)),"Noise, Audible",ISNUMBER(SEARCH("sound",C393)),"Noise, Audible",ISNUMBER(SEARCH("loud",C393)),"Noise, Audible",ISNUMBER(SEARCH("fray",C393)),"Material Frayed",ISNUMBER(SEARCH("hole",C393)),"Material Frayed",ISNUMBER(SEARCH("tear",C393)),"Material Frayed",ISNUMBER(SEARCH("worn",C393)),"Material Frayed",ISNUMBER(SEARCH("intermittent",C393)),"Difficult or Delayed Activation",ISNUMBER(SEARCH("delay",C393)),"Difficult or Delayed Activation",ISNUMBER(SEARCH("label",C393)),"Device Markings/Labelling Problem",ISNUMBER(SEARCH("marking",C393)),"Device Markings/Labelling Problem",ISNUMBER(SEARCH("lacerat",C393)),"Defective Device",ISNUMBER(SEARCH("cut",C393)),"Defective Device",ISNUMBER(SEARCH("leak",C393)),"Fluid/Blood Leak",ISNUMBER(SEARCH("missing",C393)),"Component Missing",ISNUMBER(SEARCH("power",C393)),"Complete Loss of Power",ISNUMBER(SEARCH("will not turn on",C393)),"Complete Loss of Power",ISNUMBER(SEARCH("won't turn on",C393)),"Complete Loss of Power",ISNUMBER(SEARCH("does not turn on",C393)),"Complete Loss of Power",ISNUMBER(SEARCH("electrical",C393)),"Electrical Power Problem",ISNUMBER(SEARCH("pressure",C393)),"Detachment of Device or Device Component",ISNUMBER(SEARCH("slip",C393)),"Detachment of Device or Device Component",ISNUMBER(SEARCH("detach",C393)),"Detachment of Device or Device Component",ISNUMBER(SEARCH("stick",C393)),"Mechanical Jam",ISNUMBER(SEARCH("jam",C393)),"Mechanical Jam",ISNUMBER(SEARCH("rigid",C393)),"Mechanical Jam",ISNUMBER(SEARCH("rust",C393)),"Corroded",ISNUMBER(SEARCH("corrod",C393)),"Corroded",ISNUMBER(SEARCH("corrosion",C393)),"Corroded",ISNUMBER(SEARCH("alignment",C393)),"Defective Device",ISNUMBER(SEARCH("adjust",C393)),"Defective Device",ISNUMBER(SEARCH("perform",C393)),"Defective Device",ISNUMBER(SEARCH("malfunction",C393)),"Defective Device",ISNUMBER(SEARCH("defect",C393)),"Defective Device",ISNUMBER(SEARCH("fail",C393)),"Defective Device",ISNUMBER(SEARCH("not work",C393)),"Defective Device",ISNUMBER(SEARCH("doesn't work",C393)),"Defective Device",TRUE,"UNKNOWN"),"UNKNOWN")))</f>
        <v/>
      </c>
      <c r="F393" s="4" t="str">
        <f t="shared" si="6"/>
        <v/>
      </c>
      <c r="G393" s="363" t="str">
        <f>IF(E393="","",IFERROR(VLOOKUP(E393,Codes!$L$2:$N$409,3,FALSE),"—"))</f>
        <v/>
      </c>
      <c r="H393" s="88"/>
      <c r="I393" s="88"/>
    </row>
    <row r="394" spans="1:9" ht="13.15" x14ac:dyDescent="0.35">
      <c r="A394" s="435"/>
      <c r="B394" s="436"/>
      <c r="C394" s="438"/>
      <c r="D394" s="435"/>
      <c r="E394" s="93" t="str" cm="1">
        <f t="array" ref="E394">IF(D394&lt;&gt;"",IFERROR(VLOOKUP(D394,Codes!$K$2:$L$409,2,FALSE),"UNKNOWN - "&amp;D394),IF(C394="","",IFERROR(_xlfn.IFS(ISNUMBER(SEARCH("broken button",C394)),"Break",ISNUMBER(SEARCH("broken handle",C394)),"Break",ISNUMBER(SEARCH("shipping damage",C394)),"Break",ISNUMBER(SEARCH("broken",C394)),"Break",ISNUMBER(SEARCH("crack",C394)),"Break",ISNUMBER(SEARCH("snap",C394)),"Break",ISNUMBER(SEARCH("fracture",C394)),"Break",ISNUMBER(SEARCH("bent",C394)),"Material Twisted/Bent",ISNUMBER(SEARCH("twisted",C394)),"Material Twisted/Bent",ISNUMBER(SEARCH("component separat",C394)),"Material Separation",ISNUMBER(SEARCH("separat",C394)),"Material Separation",ISNUMBER(SEARCH("connection",C394)),"Loose or Intermittent Connection",ISNUMBER(SEARCH("loose",C394)),"Loose or Intermittent Connection",ISNUMBER(SEARCH("damaged packaging",C394)),"Packaging Problem",ISNUMBER(SEARCH("packaging",C394)),"Packaging Problem",ISNUMBER(SEARCH("discoloration",C394)),"Contamination",ISNUMBER(SEARCH("tarnish",C394)),"Contamination",ISNUMBER(SEARCH("stain",C394)),"Contamination",ISNUMBER(SEARCH("foreign material",C394)),"Contamination",ISNUMBER(SEARCH("contamina",C394)),"Contamination",ISNUMBER(SEARCH("overheat",C394)),"Overheating of Device",ISNUMBER(SEARCH("excessive heat",C394)),"Overheating of Device",ISNUMBER(SEARCH("hot",C394)),"Overheating of Device",ISNUMBER(SEARCH("noise",C394)),"Noise, Audible",ISNUMBER(SEARCH("sound",C394)),"Noise, Audible",ISNUMBER(SEARCH("loud",C394)),"Noise, Audible",ISNUMBER(SEARCH("fray",C394)),"Material Frayed",ISNUMBER(SEARCH("hole",C394)),"Material Frayed",ISNUMBER(SEARCH("tear",C394)),"Material Frayed",ISNUMBER(SEARCH("worn",C394)),"Material Frayed",ISNUMBER(SEARCH("intermittent",C394)),"Difficult or Delayed Activation",ISNUMBER(SEARCH("delay",C394)),"Difficult or Delayed Activation",ISNUMBER(SEARCH("label",C394)),"Device Markings/Labelling Problem",ISNUMBER(SEARCH("marking",C394)),"Device Markings/Labelling Problem",ISNUMBER(SEARCH("lacerat",C394)),"Defective Device",ISNUMBER(SEARCH("cut",C394)),"Defective Device",ISNUMBER(SEARCH("leak",C394)),"Fluid/Blood Leak",ISNUMBER(SEARCH("missing",C394)),"Component Missing",ISNUMBER(SEARCH("power",C394)),"Complete Loss of Power",ISNUMBER(SEARCH("will not turn on",C394)),"Complete Loss of Power",ISNUMBER(SEARCH("won't turn on",C394)),"Complete Loss of Power",ISNUMBER(SEARCH("does not turn on",C394)),"Complete Loss of Power",ISNUMBER(SEARCH("electrical",C394)),"Electrical Power Problem",ISNUMBER(SEARCH("pressure",C394)),"Detachment of Device or Device Component",ISNUMBER(SEARCH("slip",C394)),"Detachment of Device or Device Component",ISNUMBER(SEARCH("detach",C394)),"Detachment of Device or Device Component",ISNUMBER(SEARCH("stick",C394)),"Mechanical Jam",ISNUMBER(SEARCH("jam",C394)),"Mechanical Jam",ISNUMBER(SEARCH("rigid",C394)),"Mechanical Jam",ISNUMBER(SEARCH("rust",C394)),"Corroded",ISNUMBER(SEARCH("corrod",C394)),"Corroded",ISNUMBER(SEARCH("corrosion",C394)),"Corroded",ISNUMBER(SEARCH("alignment",C394)),"Defective Device",ISNUMBER(SEARCH("adjust",C394)),"Defective Device",ISNUMBER(SEARCH("perform",C394)),"Defective Device",ISNUMBER(SEARCH("malfunction",C394)),"Defective Device",ISNUMBER(SEARCH("defect",C394)),"Defective Device",ISNUMBER(SEARCH("fail",C394)),"Defective Device",ISNUMBER(SEARCH("not work",C394)),"Defective Device",ISNUMBER(SEARCH("doesn't work",C394)),"Defective Device",TRUE,"UNKNOWN"),"UNKNOWN")))</f>
        <v/>
      </c>
      <c r="F394" s="4" t="str">
        <f t="shared" si="6"/>
        <v/>
      </c>
      <c r="G394" s="363" t="str">
        <f>IF(E394="","",IFERROR(VLOOKUP(E394,Codes!$L$2:$N$409,3,FALSE),"—"))</f>
        <v/>
      </c>
      <c r="H394" s="88"/>
      <c r="I394" s="88"/>
    </row>
    <row r="395" spans="1:9" ht="13.15" x14ac:dyDescent="0.35">
      <c r="A395" s="434"/>
      <c r="B395" s="436"/>
      <c r="C395" s="437"/>
      <c r="D395" s="434"/>
      <c r="E395" s="93" t="str" cm="1">
        <f t="array" ref="E395">IF(D395&lt;&gt;"",IFERROR(VLOOKUP(D395,Codes!$K$2:$L$409,2,FALSE),"UNKNOWN - "&amp;D395),IF(C395="","",IFERROR(_xlfn.IFS(ISNUMBER(SEARCH("broken button",C395)),"Break",ISNUMBER(SEARCH("broken handle",C395)),"Break",ISNUMBER(SEARCH("shipping damage",C395)),"Break",ISNUMBER(SEARCH("broken",C395)),"Break",ISNUMBER(SEARCH("crack",C395)),"Break",ISNUMBER(SEARCH("snap",C395)),"Break",ISNUMBER(SEARCH("fracture",C395)),"Break",ISNUMBER(SEARCH("bent",C395)),"Material Twisted/Bent",ISNUMBER(SEARCH("twisted",C395)),"Material Twisted/Bent",ISNUMBER(SEARCH("component separat",C395)),"Material Separation",ISNUMBER(SEARCH("separat",C395)),"Material Separation",ISNUMBER(SEARCH("connection",C395)),"Loose or Intermittent Connection",ISNUMBER(SEARCH("loose",C395)),"Loose or Intermittent Connection",ISNUMBER(SEARCH("damaged packaging",C395)),"Packaging Problem",ISNUMBER(SEARCH("packaging",C395)),"Packaging Problem",ISNUMBER(SEARCH("discoloration",C395)),"Contamination",ISNUMBER(SEARCH("tarnish",C395)),"Contamination",ISNUMBER(SEARCH("stain",C395)),"Contamination",ISNUMBER(SEARCH("foreign material",C395)),"Contamination",ISNUMBER(SEARCH("contamina",C395)),"Contamination",ISNUMBER(SEARCH("overheat",C395)),"Overheating of Device",ISNUMBER(SEARCH("excessive heat",C395)),"Overheating of Device",ISNUMBER(SEARCH("hot",C395)),"Overheating of Device",ISNUMBER(SEARCH("noise",C395)),"Noise, Audible",ISNUMBER(SEARCH("sound",C395)),"Noise, Audible",ISNUMBER(SEARCH("loud",C395)),"Noise, Audible",ISNUMBER(SEARCH("fray",C395)),"Material Frayed",ISNUMBER(SEARCH("hole",C395)),"Material Frayed",ISNUMBER(SEARCH("tear",C395)),"Material Frayed",ISNUMBER(SEARCH("worn",C395)),"Material Frayed",ISNUMBER(SEARCH("intermittent",C395)),"Difficult or Delayed Activation",ISNUMBER(SEARCH("delay",C395)),"Difficult or Delayed Activation",ISNUMBER(SEARCH("label",C395)),"Device Markings/Labelling Problem",ISNUMBER(SEARCH("marking",C395)),"Device Markings/Labelling Problem",ISNUMBER(SEARCH("lacerat",C395)),"Defective Device",ISNUMBER(SEARCH("cut",C395)),"Defective Device",ISNUMBER(SEARCH("leak",C395)),"Fluid/Blood Leak",ISNUMBER(SEARCH("missing",C395)),"Component Missing",ISNUMBER(SEARCH("power",C395)),"Complete Loss of Power",ISNUMBER(SEARCH("will not turn on",C395)),"Complete Loss of Power",ISNUMBER(SEARCH("won't turn on",C395)),"Complete Loss of Power",ISNUMBER(SEARCH("does not turn on",C395)),"Complete Loss of Power",ISNUMBER(SEARCH("electrical",C395)),"Electrical Power Problem",ISNUMBER(SEARCH("pressure",C395)),"Detachment of Device or Device Component",ISNUMBER(SEARCH("slip",C395)),"Detachment of Device or Device Component",ISNUMBER(SEARCH("detach",C395)),"Detachment of Device or Device Component",ISNUMBER(SEARCH("stick",C395)),"Mechanical Jam",ISNUMBER(SEARCH("jam",C395)),"Mechanical Jam",ISNUMBER(SEARCH("rigid",C395)),"Mechanical Jam",ISNUMBER(SEARCH("rust",C395)),"Corroded",ISNUMBER(SEARCH("corrod",C395)),"Corroded",ISNUMBER(SEARCH("corrosion",C395)),"Corroded",ISNUMBER(SEARCH("alignment",C395)),"Defective Device",ISNUMBER(SEARCH("adjust",C395)),"Defective Device",ISNUMBER(SEARCH("perform",C395)),"Defective Device",ISNUMBER(SEARCH("malfunction",C395)),"Defective Device",ISNUMBER(SEARCH("defect",C395)),"Defective Device",ISNUMBER(SEARCH("fail",C395)),"Defective Device",ISNUMBER(SEARCH("not work",C395)),"Defective Device",ISNUMBER(SEARCH("doesn't work",C395)),"Defective Device",TRUE,"UNKNOWN"),"UNKNOWN")))</f>
        <v/>
      </c>
      <c r="F395" s="4" t="str">
        <f t="shared" si="6"/>
        <v/>
      </c>
      <c r="G395" s="363" t="str">
        <f>IF(E395="","",IFERROR(VLOOKUP(E395,Codes!$L$2:$N$409,3,FALSE),"—"))</f>
        <v/>
      </c>
      <c r="H395" s="88"/>
      <c r="I395" s="88"/>
    </row>
    <row r="396" spans="1:9" ht="13.15" x14ac:dyDescent="0.35">
      <c r="A396" s="434"/>
      <c r="B396" s="436"/>
      <c r="C396" s="437"/>
      <c r="D396" s="434"/>
      <c r="E396" s="93" t="str" cm="1">
        <f t="array" ref="E396">IF(D396&lt;&gt;"",IFERROR(VLOOKUP(D396,Codes!$K$2:$L$409,2,FALSE),"UNKNOWN - "&amp;D396),IF(C396="","",IFERROR(_xlfn.IFS(ISNUMBER(SEARCH("broken button",C396)),"Break",ISNUMBER(SEARCH("broken handle",C396)),"Break",ISNUMBER(SEARCH("shipping damage",C396)),"Break",ISNUMBER(SEARCH("broken",C396)),"Break",ISNUMBER(SEARCH("crack",C396)),"Break",ISNUMBER(SEARCH("snap",C396)),"Break",ISNUMBER(SEARCH("fracture",C396)),"Break",ISNUMBER(SEARCH("bent",C396)),"Material Twisted/Bent",ISNUMBER(SEARCH("twisted",C396)),"Material Twisted/Bent",ISNUMBER(SEARCH("component separat",C396)),"Material Separation",ISNUMBER(SEARCH("separat",C396)),"Material Separation",ISNUMBER(SEARCH("connection",C396)),"Loose or Intermittent Connection",ISNUMBER(SEARCH("loose",C396)),"Loose or Intermittent Connection",ISNUMBER(SEARCH("damaged packaging",C396)),"Packaging Problem",ISNUMBER(SEARCH("packaging",C396)),"Packaging Problem",ISNUMBER(SEARCH("discoloration",C396)),"Contamination",ISNUMBER(SEARCH("tarnish",C396)),"Contamination",ISNUMBER(SEARCH("stain",C396)),"Contamination",ISNUMBER(SEARCH("foreign material",C396)),"Contamination",ISNUMBER(SEARCH("contamina",C396)),"Contamination",ISNUMBER(SEARCH("overheat",C396)),"Overheating of Device",ISNUMBER(SEARCH("excessive heat",C396)),"Overheating of Device",ISNUMBER(SEARCH("hot",C396)),"Overheating of Device",ISNUMBER(SEARCH("noise",C396)),"Noise, Audible",ISNUMBER(SEARCH("sound",C396)),"Noise, Audible",ISNUMBER(SEARCH("loud",C396)),"Noise, Audible",ISNUMBER(SEARCH("fray",C396)),"Material Frayed",ISNUMBER(SEARCH("hole",C396)),"Material Frayed",ISNUMBER(SEARCH("tear",C396)),"Material Frayed",ISNUMBER(SEARCH("worn",C396)),"Material Frayed",ISNUMBER(SEARCH("intermittent",C396)),"Difficult or Delayed Activation",ISNUMBER(SEARCH("delay",C396)),"Difficult or Delayed Activation",ISNUMBER(SEARCH("label",C396)),"Device Markings/Labelling Problem",ISNUMBER(SEARCH("marking",C396)),"Device Markings/Labelling Problem",ISNUMBER(SEARCH("lacerat",C396)),"Defective Device",ISNUMBER(SEARCH("cut",C396)),"Defective Device",ISNUMBER(SEARCH("leak",C396)),"Fluid/Blood Leak",ISNUMBER(SEARCH("missing",C396)),"Component Missing",ISNUMBER(SEARCH("power",C396)),"Complete Loss of Power",ISNUMBER(SEARCH("will not turn on",C396)),"Complete Loss of Power",ISNUMBER(SEARCH("won't turn on",C396)),"Complete Loss of Power",ISNUMBER(SEARCH("does not turn on",C396)),"Complete Loss of Power",ISNUMBER(SEARCH("electrical",C396)),"Electrical Power Problem",ISNUMBER(SEARCH("pressure",C396)),"Detachment of Device or Device Component",ISNUMBER(SEARCH("slip",C396)),"Detachment of Device or Device Component",ISNUMBER(SEARCH("detach",C396)),"Detachment of Device or Device Component",ISNUMBER(SEARCH("stick",C396)),"Mechanical Jam",ISNUMBER(SEARCH("jam",C396)),"Mechanical Jam",ISNUMBER(SEARCH("rigid",C396)),"Mechanical Jam",ISNUMBER(SEARCH("rust",C396)),"Corroded",ISNUMBER(SEARCH("corrod",C396)),"Corroded",ISNUMBER(SEARCH("corrosion",C396)),"Corroded",ISNUMBER(SEARCH("alignment",C396)),"Defective Device",ISNUMBER(SEARCH("adjust",C396)),"Defective Device",ISNUMBER(SEARCH("perform",C396)),"Defective Device",ISNUMBER(SEARCH("malfunction",C396)),"Defective Device",ISNUMBER(SEARCH("defect",C396)),"Defective Device",ISNUMBER(SEARCH("fail",C396)),"Defective Device",ISNUMBER(SEARCH("not work",C396)),"Defective Device",ISNUMBER(SEARCH("doesn't work",C396)),"Defective Device",TRUE,"UNKNOWN"),"UNKNOWN")))</f>
        <v/>
      </c>
      <c r="F396" s="4" t="str">
        <f t="shared" si="6"/>
        <v/>
      </c>
      <c r="G396" s="363" t="str">
        <f>IF(E396="","",IFERROR(VLOOKUP(E396,Codes!$L$2:$N$409,3,FALSE),"—"))</f>
        <v/>
      </c>
      <c r="H396" s="88"/>
      <c r="I396" s="88"/>
    </row>
    <row r="397" spans="1:9" ht="13.15" x14ac:dyDescent="0.35">
      <c r="A397" s="434"/>
      <c r="B397" s="436"/>
      <c r="C397" s="439"/>
      <c r="D397" s="434"/>
      <c r="E397" s="93" t="str" cm="1">
        <f t="array" ref="E397">IF(D397&lt;&gt;"",IFERROR(VLOOKUP(D397,Codes!$K$2:$L$409,2,FALSE),"UNKNOWN - "&amp;D397),IF(C397="","",IFERROR(_xlfn.IFS(ISNUMBER(SEARCH("broken button",C397)),"Break",ISNUMBER(SEARCH("broken handle",C397)),"Break",ISNUMBER(SEARCH("shipping damage",C397)),"Break",ISNUMBER(SEARCH("broken",C397)),"Break",ISNUMBER(SEARCH("crack",C397)),"Break",ISNUMBER(SEARCH("snap",C397)),"Break",ISNUMBER(SEARCH("fracture",C397)),"Break",ISNUMBER(SEARCH("bent",C397)),"Material Twisted/Bent",ISNUMBER(SEARCH("twisted",C397)),"Material Twisted/Bent",ISNUMBER(SEARCH("component separat",C397)),"Material Separation",ISNUMBER(SEARCH("separat",C397)),"Material Separation",ISNUMBER(SEARCH("connection",C397)),"Loose or Intermittent Connection",ISNUMBER(SEARCH("loose",C397)),"Loose or Intermittent Connection",ISNUMBER(SEARCH("damaged packaging",C397)),"Packaging Problem",ISNUMBER(SEARCH("packaging",C397)),"Packaging Problem",ISNUMBER(SEARCH("discoloration",C397)),"Contamination",ISNUMBER(SEARCH("tarnish",C397)),"Contamination",ISNUMBER(SEARCH("stain",C397)),"Contamination",ISNUMBER(SEARCH("foreign material",C397)),"Contamination",ISNUMBER(SEARCH("contamina",C397)),"Contamination",ISNUMBER(SEARCH("overheat",C397)),"Overheating of Device",ISNUMBER(SEARCH("excessive heat",C397)),"Overheating of Device",ISNUMBER(SEARCH("hot",C397)),"Overheating of Device",ISNUMBER(SEARCH("noise",C397)),"Noise, Audible",ISNUMBER(SEARCH("sound",C397)),"Noise, Audible",ISNUMBER(SEARCH("loud",C397)),"Noise, Audible",ISNUMBER(SEARCH("fray",C397)),"Material Frayed",ISNUMBER(SEARCH("hole",C397)),"Material Frayed",ISNUMBER(SEARCH("tear",C397)),"Material Frayed",ISNUMBER(SEARCH("worn",C397)),"Material Frayed",ISNUMBER(SEARCH("intermittent",C397)),"Difficult or Delayed Activation",ISNUMBER(SEARCH("delay",C397)),"Difficult or Delayed Activation",ISNUMBER(SEARCH("label",C397)),"Device Markings/Labelling Problem",ISNUMBER(SEARCH("marking",C397)),"Device Markings/Labelling Problem",ISNUMBER(SEARCH("lacerat",C397)),"Defective Device",ISNUMBER(SEARCH("cut",C397)),"Defective Device",ISNUMBER(SEARCH("leak",C397)),"Fluid/Blood Leak",ISNUMBER(SEARCH("missing",C397)),"Component Missing",ISNUMBER(SEARCH("power",C397)),"Complete Loss of Power",ISNUMBER(SEARCH("will not turn on",C397)),"Complete Loss of Power",ISNUMBER(SEARCH("won't turn on",C397)),"Complete Loss of Power",ISNUMBER(SEARCH("does not turn on",C397)),"Complete Loss of Power",ISNUMBER(SEARCH("electrical",C397)),"Electrical Power Problem",ISNUMBER(SEARCH("pressure",C397)),"Detachment of Device or Device Component",ISNUMBER(SEARCH("slip",C397)),"Detachment of Device or Device Component",ISNUMBER(SEARCH("detach",C397)),"Detachment of Device or Device Component",ISNUMBER(SEARCH("stick",C397)),"Mechanical Jam",ISNUMBER(SEARCH("jam",C397)),"Mechanical Jam",ISNUMBER(SEARCH("rigid",C397)),"Mechanical Jam",ISNUMBER(SEARCH("rust",C397)),"Corroded",ISNUMBER(SEARCH("corrod",C397)),"Corroded",ISNUMBER(SEARCH("corrosion",C397)),"Corroded",ISNUMBER(SEARCH("alignment",C397)),"Defective Device",ISNUMBER(SEARCH("adjust",C397)),"Defective Device",ISNUMBER(SEARCH("perform",C397)),"Defective Device",ISNUMBER(SEARCH("malfunction",C397)),"Defective Device",ISNUMBER(SEARCH("defect",C397)),"Defective Device",ISNUMBER(SEARCH("fail",C397)),"Defective Device",ISNUMBER(SEARCH("not work",C397)),"Defective Device",ISNUMBER(SEARCH("doesn't work",C397)),"Defective Device",TRUE,"UNKNOWN"),"UNKNOWN")))</f>
        <v/>
      </c>
      <c r="F397" s="4" t="str">
        <f t="shared" si="6"/>
        <v/>
      </c>
      <c r="G397" s="363" t="str">
        <f>IF(E397="","",IFERROR(VLOOKUP(E397,Codes!$L$2:$N$409,3,FALSE),"—"))</f>
        <v/>
      </c>
      <c r="H397" s="88"/>
      <c r="I397" s="88"/>
    </row>
    <row r="398" spans="1:9" ht="13.15" x14ac:dyDescent="0.35">
      <c r="A398" s="435"/>
      <c r="B398" s="436"/>
      <c r="C398" s="438"/>
      <c r="D398" s="435"/>
      <c r="E398" s="93" t="str" cm="1">
        <f t="array" ref="E398">IF(D398&lt;&gt;"",IFERROR(VLOOKUP(D398,Codes!$K$2:$L$409,2,FALSE),"UNKNOWN - "&amp;D398),IF(C398="","",IFERROR(_xlfn.IFS(ISNUMBER(SEARCH("broken button",C398)),"Break",ISNUMBER(SEARCH("broken handle",C398)),"Break",ISNUMBER(SEARCH("shipping damage",C398)),"Break",ISNUMBER(SEARCH("broken",C398)),"Break",ISNUMBER(SEARCH("crack",C398)),"Break",ISNUMBER(SEARCH("snap",C398)),"Break",ISNUMBER(SEARCH("fracture",C398)),"Break",ISNUMBER(SEARCH("bent",C398)),"Material Twisted/Bent",ISNUMBER(SEARCH("twisted",C398)),"Material Twisted/Bent",ISNUMBER(SEARCH("component separat",C398)),"Material Separation",ISNUMBER(SEARCH("separat",C398)),"Material Separation",ISNUMBER(SEARCH("connection",C398)),"Loose or Intermittent Connection",ISNUMBER(SEARCH("loose",C398)),"Loose or Intermittent Connection",ISNUMBER(SEARCH("damaged packaging",C398)),"Packaging Problem",ISNUMBER(SEARCH("packaging",C398)),"Packaging Problem",ISNUMBER(SEARCH("discoloration",C398)),"Contamination",ISNUMBER(SEARCH("tarnish",C398)),"Contamination",ISNUMBER(SEARCH("stain",C398)),"Contamination",ISNUMBER(SEARCH("foreign material",C398)),"Contamination",ISNUMBER(SEARCH("contamina",C398)),"Contamination",ISNUMBER(SEARCH("overheat",C398)),"Overheating of Device",ISNUMBER(SEARCH("excessive heat",C398)),"Overheating of Device",ISNUMBER(SEARCH("hot",C398)),"Overheating of Device",ISNUMBER(SEARCH("noise",C398)),"Noise, Audible",ISNUMBER(SEARCH("sound",C398)),"Noise, Audible",ISNUMBER(SEARCH("loud",C398)),"Noise, Audible",ISNUMBER(SEARCH("fray",C398)),"Material Frayed",ISNUMBER(SEARCH("hole",C398)),"Material Frayed",ISNUMBER(SEARCH("tear",C398)),"Material Frayed",ISNUMBER(SEARCH("worn",C398)),"Material Frayed",ISNUMBER(SEARCH("intermittent",C398)),"Difficult or Delayed Activation",ISNUMBER(SEARCH("delay",C398)),"Difficult or Delayed Activation",ISNUMBER(SEARCH("label",C398)),"Device Markings/Labelling Problem",ISNUMBER(SEARCH("marking",C398)),"Device Markings/Labelling Problem",ISNUMBER(SEARCH("lacerat",C398)),"Defective Device",ISNUMBER(SEARCH("cut",C398)),"Defective Device",ISNUMBER(SEARCH("leak",C398)),"Fluid/Blood Leak",ISNUMBER(SEARCH("missing",C398)),"Component Missing",ISNUMBER(SEARCH("power",C398)),"Complete Loss of Power",ISNUMBER(SEARCH("will not turn on",C398)),"Complete Loss of Power",ISNUMBER(SEARCH("won't turn on",C398)),"Complete Loss of Power",ISNUMBER(SEARCH("does not turn on",C398)),"Complete Loss of Power",ISNUMBER(SEARCH("electrical",C398)),"Electrical Power Problem",ISNUMBER(SEARCH("pressure",C398)),"Detachment of Device or Device Component",ISNUMBER(SEARCH("slip",C398)),"Detachment of Device or Device Component",ISNUMBER(SEARCH("detach",C398)),"Detachment of Device or Device Component",ISNUMBER(SEARCH("stick",C398)),"Mechanical Jam",ISNUMBER(SEARCH("jam",C398)),"Mechanical Jam",ISNUMBER(SEARCH("rigid",C398)),"Mechanical Jam",ISNUMBER(SEARCH("rust",C398)),"Corroded",ISNUMBER(SEARCH("corrod",C398)),"Corroded",ISNUMBER(SEARCH("corrosion",C398)),"Corroded",ISNUMBER(SEARCH("alignment",C398)),"Defective Device",ISNUMBER(SEARCH("adjust",C398)),"Defective Device",ISNUMBER(SEARCH("perform",C398)),"Defective Device",ISNUMBER(SEARCH("malfunction",C398)),"Defective Device",ISNUMBER(SEARCH("defect",C398)),"Defective Device",ISNUMBER(SEARCH("fail",C398)),"Defective Device",ISNUMBER(SEARCH("not work",C398)),"Defective Device",ISNUMBER(SEARCH("doesn't work",C398)),"Defective Device",TRUE,"UNKNOWN"),"UNKNOWN")))</f>
        <v/>
      </c>
      <c r="F398" s="4" t="str">
        <f t="shared" si="6"/>
        <v/>
      </c>
      <c r="G398" s="363" t="str">
        <f>IF(E398="","",IFERROR(VLOOKUP(E398,Codes!$L$2:$N$409,3,FALSE),"—"))</f>
        <v/>
      </c>
      <c r="H398" s="88"/>
      <c r="I398" s="88"/>
    </row>
    <row r="399" spans="1:9" ht="13.15" x14ac:dyDescent="0.35">
      <c r="A399" s="435"/>
      <c r="B399" s="436"/>
      <c r="C399" s="438"/>
      <c r="D399" s="435"/>
      <c r="E399" s="93" t="str" cm="1">
        <f t="array" ref="E399">IF(D399&lt;&gt;"",IFERROR(VLOOKUP(D399,Codes!$K$2:$L$409,2,FALSE),"UNKNOWN - "&amp;D399),IF(C399="","",IFERROR(_xlfn.IFS(ISNUMBER(SEARCH("broken button",C399)),"Break",ISNUMBER(SEARCH("broken handle",C399)),"Break",ISNUMBER(SEARCH("shipping damage",C399)),"Break",ISNUMBER(SEARCH("broken",C399)),"Break",ISNUMBER(SEARCH("crack",C399)),"Break",ISNUMBER(SEARCH("snap",C399)),"Break",ISNUMBER(SEARCH("fracture",C399)),"Break",ISNUMBER(SEARCH("bent",C399)),"Material Twisted/Bent",ISNUMBER(SEARCH("twisted",C399)),"Material Twisted/Bent",ISNUMBER(SEARCH("component separat",C399)),"Material Separation",ISNUMBER(SEARCH("separat",C399)),"Material Separation",ISNUMBER(SEARCH("connection",C399)),"Loose or Intermittent Connection",ISNUMBER(SEARCH("loose",C399)),"Loose or Intermittent Connection",ISNUMBER(SEARCH("damaged packaging",C399)),"Packaging Problem",ISNUMBER(SEARCH("packaging",C399)),"Packaging Problem",ISNUMBER(SEARCH("discoloration",C399)),"Contamination",ISNUMBER(SEARCH("tarnish",C399)),"Contamination",ISNUMBER(SEARCH("stain",C399)),"Contamination",ISNUMBER(SEARCH("foreign material",C399)),"Contamination",ISNUMBER(SEARCH("contamina",C399)),"Contamination",ISNUMBER(SEARCH("overheat",C399)),"Overheating of Device",ISNUMBER(SEARCH("excessive heat",C399)),"Overheating of Device",ISNUMBER(SEARCH("hot",C399)),"Overheating of Device",ISNUMBER(SEARCH("noise",C399)),"Noise, Audible",ISNUMBER(SEARCH("sound",C399)),"Noise, Audible",ISNUMBER(SEARCH("loud",C399)),"Noise, Audible",ISNUMBER(SEARCH("fray",C399)),"Material Frayed",ISNUMBER(SEARCH("hole",C399)),"Material Frayed",ISNUMBER(SEARCH("tear",C399)),"Material Frayed",ISNUMBER(SEARCH("worn",C399)),"Material Frayed",ISNUMBER(SEARCH("intermittent",C399)),"Difficult or Delayed Activation",ISNUMBER(SEARCH("delay",C399)),"Difficult or Delayed Activation",ISNUMBER(SEARCH("label",C399)),"Device Markings/Labelling Problem",ISNUMBER(SEARCH("marking",C399)),"Device Markings/Labelling Problem",ISNUMBER(SEARCH("lacerat",C399)),"Defective Device",ISNUMBER(SEARCH("cut",C399)),"Defective Device",ISNUMBER(SEARCH("leak",C399)),"Fluid/Blood Leak",ISNUMBER(SEARCH("missing",C399)),"Component Missing",ISNUMBER(SEARCH("power",C399)),"Complete Loss of Power",ISNUMBER(SEARCH("will not turn on",C399)),"Complete Loss of Power",ISNUMBER(SEARCH("won't turn on",C399)),"Complete Loss of Power",ISNUMBER(SEARCH("does not turn on",C399)),"Complete Loss of Power",ISNUMBER(SEARCH("electrical",C399)),"Electrical Power Problem",ISNUMBER(SEARCH("pressure",C399)),"Detachment of Device or Device Component",ISNUMBER(SEARCH("slip",C399)),"Detachment of Device or Device Component",ISNUMBER(SEARCH("detach",C399)),"Detachment of Device or Device Component",ISNUMBER(SEARCH("stick",C399)),"Mechanical Jam",ISNUMBER(SEARCH("jam",C399)),"Mechanical Jam",ISNUMBER(SEARCH("rigid",C399)),"Mechanical Jam",ISNUMBER(SEARCH("rust",C399)),"Corroded",ISNUMBER(SEARCH("corrod",C399)),"Corroded",ISNUMBER(SEARCH("corrosion",C399)),"Corroded",ISNUMBER(SEARCH("alignment",C399)),"Defective Device",ISNUMBER(SEARCH("adjust",C399)),"Defective Device",ISNUMBER(SEARCH("perform",C399)),"Defective Device",ISNUMBER(SEARCH("malfunction",C399)),"Defective Device",ISNUMBER(SEARCH("defect",C399)),"Defective Device",ISNUMBER(SEARCH("fail",C399)),"Defective Device",ISNUMBER(SEARCH("not work",C399)),"Defective Device",ISNUMBER(SEARCH("doesn't work",C399)),"Defective Device",TRUE,"UNKNOWN"),"UNKNOWN")))</f>
        <v/>
      </c>
      <c r="F399" s="4" t="str">
        <f t="shared" si="6"/>
        <v/>
      </c>
      <c r="G399" s="363" t="str">
        <f>IF(E399="","",IFERROR(VLOOKUP(E399,Codes!$L$2:$N$409,3,FALSE),"—"))</f>
        <v/>
      </c>
      <c r="H399" s="88"/>
      <c r="I399" s="88"/>
    </row>
    <row r="400" spans="1:9" ht="13.15" x14ac:dyDescent="0.35">
      <c r="A400" s="434"/>
      <c r="B400" s="436"/>
      <c r="C400" s="437"/>
      <c r="D400" s="434"/>
      <c r="E400" s="93" t="str" cm="1">
        <f t="array" ref="E400">IF(D400&lt;&gt;"",IFERROR(VLOOKUP(D400,Codes!$K$2:$L$409,2,FALSE),"UNKNOWN - "&amp;D400),IF(C400="","",IFERROR(_xlfn.IFS(ISNUMBER(SEARCH("broken button",C400)),"Break",ISNUMBER(SEARCH("broken handle",C400)),"Break",ISNUMBER(SEARCH("shipping damage",C400)),"Break",ISNUMBER(SEARCH("broken",C400)),"Break",ISNUMBER(SEARCH("crack",C400)),"Break",ISNUMBER(SEARCH("snap",C400)),"Break",ISNUMBER(SEARCH("fracture",C400)),"Break",ISNUMBER(SEARCH("bent",C400)),"Material Twisted/Bent",ISNUMBER(SEARCH("twisted",C400)),"Material Twisted/Bent",ISNUMBER(SEARCH("component separat",C400)),"Material Separation",ISNUMBER(SEARCH("separat",C400)),"Material Separation",ISNUMBER(SEARCH("connection",C400)),"Loose or Intermittent Connection",ISNUMBER(SEARCH("loose",C400)),"Loose or Intermittent Connection",ISNUMBER(SEARCH("damaged packaging",C400)),"Packaging Problem",ISNUMBER(SEARCH("packaging",C400)),"Packaging Problem",ISNUMBER(SEARCH("discoloration",C400)),"Contamination",ISNUMBER(SEARCH("tarnish",C400)),"Contamination",ISNUMBER(SEARCH("stain",C400)),"Contamination",ISNUMBER(SEARCH("foreign material",C400)),"Contamination",ISNUMBER(SEARCH("contamina",C400)),"Contamination",ISNUMBER(SEARCH("overheat",C400)),"Overheating of Device",ISNUMBER(SEARCH("excessive heat",C400)),"Overheating of Device",ISNUMBER(SEARCH("hot",C400)),"Overheating of Device",ISNUMBER(SEARCH("noise",C400)),"Noise, Audible",ISNUMBER(SEARCH("sound",C400)),"Noise, Audible",ISNUMBER(SEARCH("loud",C400)),"Noise, Audible",ISNUMBER(SEARCH("fray",C400)),"Material Frayed",ISNUMBER(SEARCH("hole",C400)),"Material Frayed",ISNUMBER(SEARCH("tear",C400)),"Material Frayed",ISNUMBER(SEARCH("worn",C400)),"Material Frayed",ISNUMBER(SEARCH("intermittent",C400)),"Difficult or Delayed Activation",ISNUMBER(SEARCH("delay",C400)),"Difficult or Delayed Activation",ISNUMBER(SEARCH("label",C400)),"Device Markings/Labelling Problem",ISNUMBER(SEARCH("marking",C400)),"Device Markings/Labelling Problem",ISNUMBER(SEARCH("lacerat",C400)),"Defective Device",ISNUMBER(SEARCH("cut",C400)),"Defective Device",ISNUMBER(SEARCH("leak",C400)),"Fluid/Blood Leak",ISNUMBER(SEARCH("missing",C400)),"Component Missing",ISNUMBER(SEARCH("power",C400)),"Complete Loss of Power",ISNUMBER(SEARCH("will not turn on",C400)),"Complete Loss of Power",ISNUMBER(SEARCH("won't turn on",C400)),"Complete Loss of Power",ISNUMBER(SEARCH("does not turn on",C400)),"Complete Loss of Power",ISNUMBER(SEARCH("electrical",C400)),"Electrical Power Problem",ISNUMBER(SEARCH("pressure",C400)),"Detachment of Device or Device Component",ISNUMBER(SEARCH("slip",C400)),"Detachment of Device or Device Component",ISNUMBER(SEARCH("detach",C400)),"Detachment of Device or Device Component",ISNUMBER(SEARCH("stick",C400)),"Mechanical Jam",ISNUMBER(SEARCH("jam",C400)),"Mechanical Jam",ISNUMBER(SEARCH("rigid",C400)),"Mechanical Jam",ISNUMBER(SEARCH("rust",C400)),"Corroded",ISNUMBER(SEARCH("corrod",C400)),"Corroded",ISNUMBER(SEARCH("corrosion",C400)),"Corroded",ISNUMBER(SEARCH("alignment",C400)),"Defective Device",ISNUMBER(SEARCH("adjust",C400)),"Defective Device",ISNUMBER(SEARCH("perform",C400)),"Defective Device",ISNUMBER(SEARCH("malfunction",C400)),"Defective Device",ISNUMBER(SEARCH("defect",C400)),"Defective Device",ISNUMBER(SEARCH("fail",C400)),"Defective Device",ISNUMBER(SEARCH("not work",C400)),"Defective Device",ISNUMBER(SEARCH("doesn't work",C400)),"Defective Device",TRUE,"UNKNOWN"),"UNKNOWN")))</f>
        <v/>
      </c>
      <c r="F400" s="4" t="str">
        <f t="shared" si="6"/>
        <v/>
      </c>
      <c r="G400" s="363" t="str">
        <f>IF(E400="","",IFERROR(VLOOKUP(E400,Codes!$L$2:$N$409,3,FALSE),"—"))</f>
        <v/>
      </c>
      <c r="H400" s="88"/>
      <c r="I400" s="88"/>
    </row>
    <row r="401" spans="1:9" ht="13.15" x14ac:dyDescent="0.35">
      <c r="A401" s="435"/>
      <c r="B401" s="436"/>
      <c r="C401" s="438"/>
      <c r="D401" s="435"/>
      <c r="E401" s="93" t="str" cm="1">
        <f t="array" ref="E401">IF(D401&lt;&gt;"",IFERROR(VLOOKUP(D401,Codes!$K$2:$L$409,2,FALSE),"UNKNOWN - "&amp;D401),IF(C401="","",IFERROR(_xlfn.IFS(ISNUMBER(SEARCH("broken button",C401)),"Break",ISNUMBER(SEARCH("broken handle",C401)),"Break",ISNUMBER(SEARCH("shipping damage",C401)),"Break",ISNUMBER(SEARCH("broken",C401)),"Break",ISNUMBER(SEARCH("crack",C401)),"Break",ISNUMBER(SEARCH("snap",C401)),"Break",ISNUMBER(SEARCH("fracture",C401)),"Break",ISNUMBER(SEARCH("bent",C401)),"Material Twisted/Bent",ISNUMBER(SEARCH("twisted",C401)),"Material Twisted/Bent",ISNUMBER(SEARCH("component separat",C401)),"Material Separation",ISNUMBER(SEARCH("separat",C401)),"Material Separation",ISNUMBER(SEARCH("connection",C401)),"Loose or Intermittent Connection",ISNUMBER(SEARCH("loose",C401)),"Loose or Intermittent Connection",ISNUMBER(SEARCH("damaged packaging",C401)),"Packaging Problem",ISNUMBER(SEARCH("packaging",C401)),"Packaging Problem",ISNUMBER(SEARCH("discoloration",C401)),"Contamination",ISNUMBER(SEARCH("tarnish",C401)),"Contamination",ISNUMBER(SEARCH("stain",C401)),"Contamination",ISNUMBER(SEARCH("foreign material",C401)),"Contamination",ISNUMBER(SEARCH("contamina",C401)),"Contamination",ISNUMBER(SEARCH("overheat",C401)),"Overheating of Device",ISNUMBER(SEARCH("excessive heat",C401)),"Overheating of Device",ISNUMBER(SEARCH("hot",C401)),"Overheating of Device",ISNUMBER(SEARCH("noise",C401)),"Noise, Audible",ISNUMBER(SEARCH("sound",C401)),"Noise, Audible",ISNUMBER(SEARCH("loud",C401)),"Noise, Audible",ISNUMBER(SEARCH("fray",C401)),"Material Frayed",ISNUMBER(SEARCH("hole",C401)),"Material Frayed",ISNUMBER(SEARCH("tear",C401)),"Material Frayed",ISNUMBER(SEARCH("worn",C401)),"Material Frayed",ISNUMBER(SEARCH("intermittent",C401)),"Difficult or Delayed Activation",ISNUMBER(SEARCH("delay",C401)),"Difficult or Delayed Activation",ISNUMBER(SEARCH("label",C401)),"Device Markings/Labelling Problem",ISNUMBER(SEARCH("marking",C401)),"Device Markings/Labelling Problem",ISNUMBER(SEARCH("lacerat",C401)),"Defective Device",ISNUMBER(SEARCH("cut",C401)),"Defective Device",ISNUMBER(SEARCH("leak",C401)),"Fluid/Blood Leak",ISNUMBER(SEARCH("missing",C401)),"Component Missing",ISNUMBER(SEARCH("power",C401)),"Complete Loss of Power",ISNUMBER(SEARCH("will not turn on",C401)),"Complete Loss of Power",ISNUMBER(SEARCH("won't turn on",C401)),"Complete Loss of Power",ISNUMBER(SEARCH("does not turn on",C401)),"Complete Loss of Power",ISNUMBER(SEARCH("electrical",C401)),"Electrical Power Problem",ISNUMBER(SEARCH("pressure",C401)),"Detachment of Device or Device Component",ISNUMBER(SEARCH("slip",C401)),"Detachment of Device or Device Component",ISNUMBER(SEARCH("detach",C401)),"Detachment of Device or Device Component",ISNUMBER(SEARCH("stick",C401)),"Mechanical Jam",ISNUMBER(SEARCH("jam",C401)),"Mechanical Jam",ISNUMBER(SEARCH("rigid",C401)),"Mechanical Jam",ISNUMBER(SEARCH("rust",C401)),"Corroded",ISNUMBER(SEARCH("corrod",C401)),"Corroded",ISNUMBER(SEARCH("corrosion",C401)),"Corroded",ISNUMBER(SEARCH("alignment",C401)),"Defective Device",ISNUMBER(SEARCH("adjust",C401)),"Defective Device",ISNUMBER(SEARCH("perform",C401)),"Defective Device",ISNUMBER(SEARCH("malfunction",C401)),"Defective Device",ISNUMBER(SEARCH("defect",C401)),"Defective Device",ISNUMBER(SEARCH("fail",C401)),"Defective Device",ISNUMBER(SEARCH("not work",C401)),"Defective Device",ISNUMBER(SEARCH("doesn't work",C401)),"Defective Device",TRUE,"UNKNOWN"),"UNKNOWN")))</f>
        <v/>
      </c>
      <c r="F401" s="4" t="str">
        <f t="shared" si="6"/>
        <v/>
      </c>
      <c r="G401" s="363" t="str">
        <f>IF(E401="","",IFERROR(VLOOKUP(E401,Codes!$L$2:$N$409,3,FALSE),"—"))</f>
        <v/>
      </c>
      <c r="H401" s="88"/>
      <c r="I401" s="88"/>
    </row>
    <row r="402" spans="1:9" ht="13.15" x14ac:dyDescent="0.35">
      <c r="A402" s="434"/>
      <c r="B402" s="436"/>
      <c r="C402" s="437"/>
      <c r="D402" s="434"/>
      <c r="E402" s="93" t="str" cm="1">
        <f t="array" ref="E402">IF(D402&lt;&gt;"",IFERROR(VLOOKUP(D402,Codes!$K$2:$L$409,2,FALSE),"UNKNOWN - "&amp;D402),IF(C402="","",IFERROR(_xlfn.IFS(ISNUMBER(SEARCH("broken button",C402)),"Break",ISNUMBER(SEARCH("broken handle",C402)),"Break",ISNUMBER(SEARCH("shipping damage",C402)),"Break",ISNUMBER(SEARCH("broken",C402)),"Break",ISNUMBER(SEARCH("crack",C402)),"Break",ISNUMBER(SEARCH("snap",C402)),"Break",ISNUMBER(SEARCH("fracture",C402)),"Break",ISNUMBER(SEARCH("bent",C402)),"Material Twisted/Bent",ISNUMBER(SEARCH("twisted",C402)),"Material Twisted/Bent",ISNUMBER(SEARCH("component separat",C402)),"Material Separation",ISNUMBER(SEARCH("separat",C402)),"Material Separation",ISNUMBER(SEARCH("connection",C402)),"Loose or Intermittent Connection",ISNUMBER(SEARCH("loose",C402)),"Loose or Intermittent Connection",ISNUMBER(SEARCH("damaged packaging",C402)),"Packaging Problem",ISNUMBER(SEARCH("packaging",C402)),"Packaging Problem",ISNUMBER(SEARCH("discoloration",C402)),"Contamination",ISNUMBER(SEARCH("tarnish",C402)),"Contamination",ISNUMBER(SEARCH("stain",C402)),"Contamination",ISNUMBER(SEARCH("foreign material",C402)),"Contamination",ISNUMBER(SEARCH("contamina",C402)),"Contamination",ISNUMBER(SEARCH("overheat",C402)),"Overheating of Device",ISNUMBER(SEARCH("excessive heat",C402)),"Overheating of Device",ISNUMBER(SEARCH("hot",C402)),"Overheating of Device",ISNUMBER(SEARCH("noise",C402)),"Noise, Audible",ISNUMBER(SEARCH("sound",C402)),"Noise, Audible",ISNUMBER(SEARCH("loud",C402)),"Noise, Audible",ISNUMBER(SEARCH("fray",C402)),"Material Frayed",ISNUMBER(SEARCH("hole",C402)),"Material Frayed",ISNUMBER(SEARCH("tear",C402)),"Material Frayed",ISNUMBER(SEARCH("worn",C402)),"Material Frayed",ISNUMBER(SEARCH("intermittent",C402)),"Difficult or Delayed Activation",ISNUMBER(SEARCH("delay",C402)),"Difficult or Delayed Activation",ISNUMBER(SEARCH("label",C402)),"Device Markings/Labelling Problem",ISNUMBER(SEARCH("marking",C402)),"Device Markings/Labelling Problem",ISNUMBER(SEARCH("lacerat",C402)),"Defective Device",ISNUMBER(SEARCH("cut",C402)),"Defective Device",ISNUMBER(SEARCH("leak",C402)),"Fluid/Blood Leak",ISNUMBER(SEARCH("missing",C402)),"Component Missing",ISNUMBER(SEARCH("power",C402)),"Complete Loss of Power",ISNUMBER(SEARCH("will not turn on",C402)),"Complete Loss of Power",ISNUMBER(SEARCH("won't turn on",C402)),"Complete Loss of Power",ISNUMBER(SEARCH("does not turn on",C402)),"Complete Loss of Power",ISNUMBER(SEARCH("electrical",C402)),"Electrical Power Problem",ISNUMBER(SEARCH("pressure",C402)),"Detachment of Device or Device Component",ISNUMBER(SEARCH("slip",C402)),"Detachment of Device or Device Component",ISNUMBER(SEARCH("detach",C402)),"Detachment of Device or Device Component",ISNUMBER(SEARCH("stick",C402)),"Mechanical Jam",ISNUMBER(SEARCH("jam",C402)),"Mechanical Jam",ISNUMBER(SEARCH("rigid",C402)),"Mechanical Jam",ISNUMBER(SEARCH("rust",C402)),"Corroded",ISNUMBER(SEARCH("corrod",C402)),"Corroded",ISNUMBER(SEARCH("corrosion",C402)),"Corroded",ISNUMBER(SEARCH("alignment",C402)),"Defective Device",ISNUMBER(SEARCH("adjust",C402)),"Defective Device",ISNUMBER(SEARCH("perform",C402)),"Defective Device",ISNUMBER(SEARCH("malfunction",C402)),"Defective Device",ISNUMBER(SEARCH("defect",C402)),"Defective Device",ISNUMBER(SEARCH("fail",C402)),"Defective Device",ISNUMBER(SEARCH("not work",C402)),"Defective Device",ISNUMBER(SEARCH("doesn't work",C402)),"Defective Device",TRUE,"UNKNOWN"),"UNKNOWN")))</f>
        <v/>
      </c>
      <c r="F402" s="4" t="str">
        <f t="shared" si="6"/>
        <v/>
      </c>
      <c r="G402" s="363" t="str">
        <f>IF(E402="","",IFERROR(VLOOKUP(E402,Codes!$L$2:$N$409,3,FALSE),"—"))</f>
        <v/>
      </c>
      <c r="H402" s="88"/>
      <c r="I402" s="88"/>
    </row>
    <row r="403" spans="1:9" ht="13.15" x14ac:dyDescent="0.35">
      <c r="A403" s="435"/>
      <c r="B403" s="436"/>
      <c r="C403" s="438"/>
      <c r="D403" s="435"/>
      <c r="E403" s="93" t="str" cm="1">
        <f t="array" ref="E403">IF(D403&lt;&gt;"",IFERROR(VLOOKUP(D403,Codes!$K$2:$L$409,2,FALSE),"UNKNOWN - "&amp;D403),IF(C403="","",IFERROR(_xlfn.IFS(ISNUMBER(SEARCH("broken button",C403)),"Break",ISNUMBER(SEARCH("broken handle",C403)),"Break",ISNUMBER(SEARCH("shipping damage",C403)),"Break",ISNUMBER(SEARCH("broken",C403)),"Break",ISNUMBER(SEARCH("crack",C403)),"Break",ISNUMBER(SEARCH("snap",C403)),"Break",ISNUMBER(SEARCH("fracture",C403)),"Break",ISNUMBER(SEARCH("bent",C403)),"Material Twisted/Bent",ISNUMBER(SEARCH("twisted",C403)),"Material Twisted/Bent",ISNUMBER(SEARCH("component separat",C403)),"Material Separation",ISNUMBER(SEARCH("separat",C403)),"Material Separation",ISNUMBER(SEARCH("connection",C403)),"Loose or Intermittent Connection",ISNUMBER(SEARCH("loose",C403)),"Loose or Intermittent Connection",ISNUMBER(SEARCH("damaged packaging",C403)),"Packaging Problem",ISNUMBER(SEARCH("packaging",C403)),"Packaging Problem",ISNUMBER(SEARCH("discoloration",C403)),"Contamination",ISNUMBER(SEARCH("tarnish",C403)),"Contamination",ISNUMBER(SEARCH("stain",C403)),"Contamination",ISNUMBER(SEARCH("foreign material",C403)),"Contamination",ISNUMBER(SEARCH("contamina",C403)),"Contamination",ISNUMBER(SEARCH("overheat",C403)),"Overheating of Device",ISNUMBER(SEARCH("excessive heat",C403)),"Overheating of Device",ISNUMBER(SEARCH("hot",C403)),"Overheating of Device",ISNUMBER(SEARCH("noise",C403)),"Noise, Audible",ISNUMBER(SEARCH("sound",C403)),"Noise, Audible",ISNUMBER(SEARCH("loud",C403)),"Noise, Audible",ISNUMBER(SEARCH("fray",C403)),"Material Frayed",ISNUMBER(SEARCH("hole",C403)),"Material Frayed",ISNUMBER(SEARCH("tear",C403)),"Material Frayed",ISNUMBER(SEARCH("worn",C403)),"Material Frayed",ISNUMBER(SEARCH("intermittent",C403)),"Difficult or Delayed Activation",ISNUMBER(SEARCH("delay",C403)),"Difficult or Delayed Activation",ISNUMBER(SEARCH("label",C403)),"Device Markings/Labelling Problem",ISNUMBER(SEARCH("marking",C403)),"Device Markings/Labelling Problem",ISNUMBER(SEARCH("lacerat",C403)),"Defective Device",ISNUMBER(SEARCH("cut",C403)),"Defective Device",ISNUMBER(SEARCH("leak",C403)),"Fluid/Blood Leak",ISNUMBER(SEARCH("missing",C403)),"Component Missing",ISNUMBER(SEARCH("power",C403)),"Complete Loss of Power",ISNUMBER(SEARCH("will not turn on",C403)),"Complete Loss of Power",ISNUMBER(SEARCH("won't turn on",C403)),"Complete Loss of Power",ISNUMBER(SEARCH("does not turn on",C403)),"Complete Loss of Power",ISNUMBER(SEARCH("electrical",C403)),"Electrical Power Problem",ISNUMBER(SEARCH("pressure",C403)),"Detachment of Device or Device Component",ISNUMBER(SEARCH("slip",C403)),"Detachment of Device or Device Component",ISNUMBER(SEARCH("detach",C403)),"Detachment of Device or Device Component",ISNUMBER(SEARCH("stick",C403)),"Mechanical Jam",ISNUMBER(SEARCH("jam",C403)),"Mechanical Jam",ISNUMBER(SEARCH("rigid",C403)),"Mechanical Jam",ISNUMBER(SEARCH("rust",C403)),"Corroded",ISNUMBER(SEARCH("corrod",C403)),"Corroded",ISNUMBER(SEARCH("corrosion",C403)),"Corroded",ISNUMBER(SEARCH("alignment",C403)),"Defective Device",ISNUMBER(SEARCH("adjust",C403)),"Defective Device",ISNUMBER(SEARCH("perform",C403)),"Defective Device",ISNUMBER(SEARCH("malfunction",C403)),"Defective Device",ISNUMBER(SEARCH("defect",C403)),"Defective Device",ISNUMBER(SEARCH("fail",C403)),"Defective Device",ISNUMBER(SEARCH("not work",C403)),"Defective Device",ISNUMBER(SEARCH("doesn't work",C403)),"Defective Device",TRUE,"UNKNOWN"),"UNKNOWN")))</f>
        <v/>
      </c>
      <c r="F403" s="4" t="str">
        <f t="shared" si="6"/>
        <v/>
      </c>
      <c r="G403" s="363" t="str">
        <f>IF(E403="","",IFERROR(VLOOKUP(E403,Codes!$L$2:$N$409,3,FALSE),"—"))</f>
        <v/>
      </c>
      <c r="H403" s="88"/>
      <c r="I403" s="88"/>
    </row>
    <row r="404" spans="1:9" ht="13.15" x14ac:dyDescent="0.35">
      <c r="A404" s="434"/>
      <c r="B404" s="436"/>
      <c r="C404" s="437"/>
      <c r="D404" s="434"/>
      <c r="E404" s="93" t="str" cm="1">
        <f t="array" ref="E404">IF(D404&lt;&gt;"",IFERROR(VLOOKUP(D404,Codes!$K$2:$L$409,2,FALSE),"UNKNOWN - "&amp;D404),IF(C404="","",IFERROR(_xlfn.IFS(ISNUMBER(SEARCH("broken button",C404)),"Break",ISNUMBER(SEARCH("broken handle",C404)),"Break",ISNUMBER(SEARCH("shipping damage",C404)),"Break",ISNUMBER(SEARCH("broken",C404)),"Break",ISNUMBER(SEARCH("crack",C404)),"Break",ISNUMBER(SEARCH("snap",C404)),"Break",ISNUMBER(SEARCH("fracture",C404)),"Break",ISNUMBER(SEARCH("bent",C404)),"Material Twisted/Bent",ISNUMBER(SEARCH("twisted",C404)),"Material Twisted/Bent",ISNUMBER(SEARCH("component separat",C404)),"Material Separation",ISNUMBER(SEARCH("separat",C404)),"Material Separation",ISNUMBER(SEARCH("connection",C404)),"Loose or Intermittent Connection",ISNUMBER(SEARCH("loose",C404)),"Loose or Intermittent Connection",ISNUMBER(SEARCH("damaged packaging",C404)),"Packaging Problem",ISNUMBER(SEARCH("packaging",C404)),"Packaging Problem",ISNUMBER(SEARCH("discoloration",C404)),"Contamination",ISNUMBER(SEARCH("tarnish",C404)),"Contamination",ISNUMBER(SEARCH("stain",C404)),"Contamination",ISNUMBER(SEARCH("foreign material",C404)),"Contamination",ISNUMBER(SEARCH("contamina",C404)),"Contamination",ISNUMBER(SEARCH("overheat",C404)),"Overheating of Device",ISNUMBER(SEARCH("excessive heat",C404)),"Overheating of Device",ISNUMBER(SEARCH("hot",C404)),"Overheating of Device",ISNUMBER(SEARCH("noise",C404)),"Noise, Audible",ISNUMBER(SEARCH("sound",C404)),"Noise, Audible",ISNUMBER(SEARCH("loud",C404)),"Noise, Audible",ISNUMBER(SEARCH("fray",C404)),"Material Frayed",ISNUMBER(SEARCH("hole",C404)),"Material Frayed",ISNUMBER(SEARCH("tear",C404)),"Material Frayed",ISNUMBER(SEARCH("worn",C404)),"Material Frayed",ISNUMBER(SEARCH("intermittent",C404)),"Difficult or Delayed Activation",ISNUMBER(SEARCH("delay",C404)),"Difficult or Delayed Activation",ISNUMBER(SEARCH("label",C404)),"Device Markings/Labelling Problem",ISNUMBER(SEARCH("marking",C404)),"Device Markings/Labelling Problem",ISNUMBER(SEARCH("lacerat",C404)),"Defective Device",ISNUMBER(SEARCH("cut",C404)),"Defective Device",ISNUMBER(SEARCH("leak",C404)),"Fluid/Blood Leak",ISNUMBER(SEARCH("missing",C404)),"Component Missing",ISNUMBER(SEARCH("power",C404)),"Complete Loss of Power",ISNUMBER(SEARCH("will not turn on",C404)),"Complete Loss of Power",ISNUMBER(SEARCH("won't turn on",C404)),"Complete Loss of Power",ISNUMBER(SEARCH("does not turn on",C404)),"Complete Loss of Power",ISNUMBER(SEARCH("electrical",C404)),"Electrical Power Problem",ISNUMBER(SEARCH("pressure",C404)),"Detachment of Device or Device Component",ISNUMBER(SEARCH("slip",C404)),"Detachment of Device or Device Component",ISNUMBER(SEARCH("detach",C404)),"Detachment of Device or Device Component",ISNUMBER(SEARCH("stick",C404)),"Mechanical Jam",ISNUMBER(SEARCH("jam",C404)),"Mechanical Jam",ISNUMBER(SEARCH("rigid",C404)),"Mechanical Jam",ISNUMBER(SEARCH("rust",C404)),"Corroded",ISNUMBER(SEARCH("corrod",C404)),"Corroded",ISNUMBER(SEARCH("corrosion",C404)),"Corroded",ISNUMBER(SEARCH("alignment",C404)),"Defective Device",ISNUMBER(SEARCH("adjust",C404)),"Defective Device",ISNUMBER(SEARCH("perform",C404)),"Defective Device",ISNUMBER(SEARCH("malfunction",C404)),"Defective Device",ISNUMBER(SEARCH("defect",C404)),"Defective Device",ISNUMBER(SEARCH("fail",C404)),"Defective Device",ISNUMBER(SEARCH("not work",C404)),"Defective Device",ISNUMBER(SEARCH("doesn't work",C404)),"Defective Device",TRUE,"UNKNOWN"),"UNKNOWN")))</f>
        <v/>
      </c>
      <c r="F404" s="4" t="str">
        <f t="shared" si="6"/>
        <v/>
      </c>
      <c r="G404" s="363" t="str">
        <f>IF(E404="","",IFERROR(VLOOKUP(E404,Codes!$L$2:$N$409,3,FALSE),"—"))</f>
        <v/>
      </c>
      <c r="H404" s="88"/>
      <c r="I404" s="88"/>
    </row>
    <row r="405" spans="1:9" ht="13.15" x14ac:dyDescent="0.35">
      <c r="A405" s="435"/>
      <c r="B405" s="436"/>
      <c r="C405" s="438"/>
      <c r="D405" s="435"/>
      <c r="E405" s="93" t="str" cm="1">
        <f t="array" ref="E405">IF(D405&lt;&gt;"",IFERROR(VLOOKUP(D405,Codes!$K$2:$L$409,2,FALSE),"UNKNOWN - "&amp;D405),IF(C405="","",IFERROR(_xlfn.IFS(ISNUMBER(SEARCH("broken button",C405)),"Break",ISNUMBER(SEARCH("broken handle",C405)),"Break",ISNUMBER(SEARCH("shipping damage",C405)),"Break",ISNUMBER(SEARCH("broken",C405)),"Break",ISNUMBER(SEARCH("crack",C405)),"Break",ISNUMBER(SEARCH("snap",C405)),"Break",ISNUMBER(SEARCH("fracture",C405)),"Break",ISNUMBER(SEARCH("bent",C405)),"Material Twisted/Bent",ISNUMBER(SEARCH("twisted",C405)),"Material Twisted/Bent",ISNUMBER(SEARCH("component separat",C405)),"Material Separation",ISNUMBER(SEARCH("separat",C405)),"Material Separation",ISNUMBER(SEARCH("connection",C405)),"Loose or Intermittent Connection",ISNUMBER(SEARCH("loose",C405)),"Loose or Intermittent Connection",ISNUMBER(SEARCH("damaged packaging",C405)),"Packaging Problem",ISNUMBER(SEARCH("packaging",C405)),"Packaging Problem",ISNUMBER(SEARCH("discoloration",C405)),"Contamination",ISNUMBER(SEARCH("tarnish",C405)),"Contamination",ISNUMBER(SEARCH("stain",C405)),"Contamination",ISNUMBER(SEARCH("foreign material",C405)),"Contamination",ISNUMBER(SEARCH("contamina",C405)),"Contamination",ISNUMBER(SEARCH("overheat",C405)),"Overheating of Device",ISNUMBER(SEARCH("excessive heat",C405)),"Overheating of Device",ISNUMBER(SEARCH("hot",C405)),"Overheating of Device",ISNUMBER(SEARCH("noise",C405)),"Noise, Audible",ISNUMBER(SEARCH("sound",C405)),"Noise, Audible",ISNUMBER(SEARCH("loud",C405)),"Noise, Audible",ISNUMBER(SEARCH("fray",C405)),"Material Frayed",ISNUMBER(SEARCH("hole",C405)),"Material Frayed",ISNUMBER(SEARCH("tear",C405)),"Material Frayed",ISNUMBER(SEARCH("worn",C405)),"Material Frayed",ISNUMBER(SEARCH("intermittent",C405)),"Difficult or Delayed Activation",ISNUMBER(SEARCH("delay",C405)),"Difficult or Delayed Activation",ISNUMBER(SEARCH("label",C405)),"Device Markings/Labelling Problem",ISNUMBER(SEARCH("marking",C405)),"Device Markings/Labelling Problem",ISNUMBER(SEARCH("lacerat",C405)),"Defective Device",ISNUMBER(SEARCH("cut",C405)),"Defective Device",ISNUMBER(SEARCH("leak",C405)),"Fluid/Blood Leak",ISNUMBER(SEARCH("missing",C405)),"Component Missing",ISNUMBER(SEARCH("power",C405)),"Complete Loss of Power",ISNUMBER(SEARCH("will not turn on",C405)),"Complete Loss of Power",ISNUMBER(SEARCH("won't turn on",C405)),"Complete Loss of Power",ISNUMBER(SEARCH("does not turn on",C405)),"Complete Loss of Power",ISNUMBER(SEARCH("electrical",C405)),"Electrical Power Problem",ISNUMBER(SEARCH("pressure",C405)),"Detachment of Device or Device Component",ISNUMBER(SEARCH("slip",C405)),"Detachment of Device or Device Component",ISNUMBER(SEARCH("detach",C405)),"Detachment of Device or Device Component",ISNUMBER(SEARCH("stick",C405)),"Mechanical Jam",ISNUMBER(SEARCH("jam",C405)),"Mechanical Jam",ISNUMBER(SEARCH("rigid",C405)),"Mechanical Jam",ISNUMBER(SEARCH("rust",C405)),"Corroded",ISNUMBER(SEARCH("corrod",C405)),"Corroded",ISNUMBER(SEARCH("corrosion",C405)),"Corroded",ISNUMBER(SEARCH("alignment",C405)),"Defective Device",ISNUMBER(SEARCH("adjust",C405)),"Defective Device",ISNUMBER(SEARCH("perform",C405)),"Defective Device",ISNUMBER(SEARCH("malfunction",C405)),"Defective Device",ISNUMBER(SEARCH("defect",C405)),"Defective Device",ISNUMBER(SEARCH("fail",C405)),"Defective Device",ISNUMBER(SEARCH("not work",C405)),"Defective Device",ISNUMBER(SEARCH("doesn't work",C405)),"Defective Device",TRUE,"UNKNOWN"),"UNKNOWN")))</f>
        <v/>
      </c>
      <c r="F405" s="4" t="str">
        <f t="shared" si="6"/>
        <v/>
      </c>
      <c r="G405" s="363" t="str">
        <f>IF(E405="","",IFERROR(VLOOKUP(E405,Codes!$L$2:$N$409,3,FALSE),"—"))</f>
        <v/>
      </c>
      <c r="H405" s="88"/>
      <c r="I405" s="88"/>
    </row>
    <row r="406" spans="1:9" ht="13.15" x14ac:dyDescent="0.35">
      <c r="A406" s="434"/>
      <c r="B406" s="436"/>
      <c r="C406" s="437"/>
      <c r="D406" s="434"/>
      <c r="E406" s="93" t="str" cm="1">
        <f t="array" ref="E406">IF(D406&lt;&gt;"",IFERROR(VLOOKUP(D406,Codes!$K$2:$L$409,2,FALSE),"UNKNOWN - "&amp;D406),IF(C406="","",IFERROR(_xlfn.IFS(ISNUMBER(SEARCH("broken button",C406)),"Break",ISNUMBER(SEARCH("broken handle",C406)),"Break",ISNUMBER(SEARCH("shipping damage",C406)),"Break",ISNUMBER(SEARCH("broken",C406)),"Break",ISNUMBER(SEARCH("crack",C406)),"Break",ISNUMBER(SEARCH("snap",C406)),"Break",ISNUMBER(SEARCH("fracture",C406)),"Break",ISNUMBER(SEARCH("bent",C406)),"Material Twisted/Bent",ISNUMBER(SEARCH("twisted",C406)),"Material Twisted/Bent",ISNUMBER(SEARCH("component separat",C406)),"Material Separation",ISNUMBER(SEARCH("separat",C406)),"Material Separation",ISNUMBER(SEARCH("connection",C406)),"Loose or Intermittent Connection",ISNUMBER(SEARCH("loose",C406)),"Loose or Intermittent Connection",ISNUMBER(SEARCH("damaged packaging",C406)),"Packaging Problem",ISNUMBER(SEARCH("packaging",C406)),"Packaging Problem",ISNUMBER(SEARCH("discoloration",C406)),"Contamination",ISNUMBER(SEARCH("tarnish",C406)),"Contamination",ISNUMBER(SEARCH("stain",C406)),"Contamination",ISNUMBER(SEARCH("foreign material",C406)),"Contamination",ISNUMBER(SEARCH("contamina",C406)),"Contamination",ISNUMBER(SEARCH("overheat",C406)),"Overheating of Device",ISNUMBER(SEARCH("excessive heat",C406)),"Overheating of Device",ISNUMBER(SEARCH("hot",C406)),"Overheating of Device",ISNUMBER(SEARCH("noise",C406)),"Noise, Audible",ISNUMBER(SEARCH("sound",C406)),"Noise, Audible",ISNUMBER(SEARCH("loud",C406)),"Noise, Audible",ISNUMBER(SEARCH("fray",C406)),"Material Frayed",ISNUMBER(SEARCH("hole",C406)),"Material Frayed",ISNUMBER(SEARCH("tear",C406)),"Material Frayed",ISNUMBER(SEARCH("worn",C406)),"Material Frayed",ISNUMBER(SEARCH("intermittent",C406)),"Difficult or Delayed Activation",ISNUMBER(SEARCH("delay",C406)),"Difficult or Delayed Activation",ISNUMBER(SEARCH("label",C406)),"Device Markings/Labelling Problem",ISNUMBER(SEARCH("marking",C406)),"Device Markings/Labelling Problem",ISNUMBER(SEARCH("lacerat",C406)),"Defective Device",ISNUMBER(SEARCH("cut",C406)),"Defective Device",ISNUMBER(SEARCH("leak",C406)),"Fluid/Blood Leak",ISNUMBER(SEARCH("missing",C406)),"Component Missing",ISNUMBER(SEARCH("power",C406)),"Complete Loss of Power",ISNUMBER(SEARCH("will not turn on",C406)),"Complete Loss of Power",ISNUMBER(SEARCH("won't turn on",C406)),"Complete Loss of Power",ISNUMBER(SEARCH("does not turn on",C406)),"Complete Loss of Power",ISNUMBER(SEARCH("electrical",C406)),"Electrical Power Problem",ISNUMBER(SEARCH("pressure",C406)),"Detachment of Device or Device Component",ISNUMBER(SEARCH("slip",C406)),"Detachment of Device or Device Component",ISNUMBER(SEARCH("detach",C406)),"Detachment of Device or Device Component",ISNUMBER(SEARCH("stick",C406)),"Mechanical Jam",ISNUMBER(SEARCH("jam",C406)),"Mechanical Jam",ISNUMBER(SEARCH("rigid",C406)),"Mechanical Jam",ISNUMBER(SEARCH("rust",C406)),"Corroded",ISNUMBER(SEARCH("corrod",C406)),"Corroded",ISNUMBER(SEARCH("corrosion",C406)),"Corroded",ISNUMBER(SEARCH("alignment",C406)),"Defective Device",ISNUMBER(SEARCH("adjust",C406)),"Defective Device",ISNUMBER(SEARCH("perform",C406)),"Defective Device",ISNUMBER(SEARCH("malfunction",C406)),"Defective Device",ISNUMBER(SEARCH("defect",C406)),"Defective Device",ISNUMBER(SEARCH("fail",C406)),"Defective Device",ISNUMBER(SEARCH("not work",C406)),"Defective Device",ISNUMBER(SEARCH("doesn't work",C406)),"Defective Device",TRUE,"UNKNOWN"),"UNKNOWN")))</f>
        <v/>
      </c>
      <c r="F406" s="4" t="str">
        <f t="shared" si="6"/>
        <v/>
      </c>
      <c r="G406" s="363" t="str">
        <f>IF(E406="","",IFERROR(VLOOKUP(E406,Codes!$L$2:$N$409,3,FALSE),"—"))</f>
        <v/>
      </c>
      <c r="H406" s="88"/>
      <c r="I406" s="88"/>
    </row>
    <row r="407" spans="1:9" ht="13.15" x14ac:dyDescent="0.35">
      <c r="A407" s="435"/>
      <c r="B407" s="436"/>
      <c r="C407" s="438"/>
      <c r="D407" s="435"/>
      <c r="E407" s="93" t="str" cm="1">
        <f t="array" ref="E407">IF(D407&lt;&gt;"",IFERROR(VLOOKUP(D407,Codes!$K$2:$L$409,2,FALSE),"UNKNOWN - "&amp;D407),IF(C407="","",IFERROR(_xlfn.IFS(ISNUMBER(SEARCH("broken button",C407)),"Break",ISNUMBER(SEARCH("broken handle",C407)),"Break",ISNUMBER(SEARCH("shipping damage",C407)),"Break",ISNUMBER(SEARCH("broken",C407)),"Break",ISNUMBER(SEARCH("crack",C407)),"Break",ISNUMBER(SEARCH("snap",C407)),"Break",ISNUMBER(SEARCH("fracture",C407)),"Break",ISNUMBER(SEARCH("bent",C407)),"Material Twisted/Bent",ISNUMBER(SEARCH("twisted",C407)),"Material Twisted/Bent",ISNUMBER(SEARCH("component separat",C407)),"Material Separation",ISNUMBER(SEARCH("separat",C407)),"Material Separation",ISNUMBER(SEARCH("connection",C407)),"Loose or Intermittent Connection",ISNUMBER(SEARCH("loose",C407)),"Loose or Intermittent Connection",ISNUMBER(SEARCH("damaged packaging",C407)),"Packaging Problem",ISNUMBER(SEARCH("packaging",C407)),"Packaging Problem",ISNUMBER(SEARCH("discoloration",C407)),"Contamination",ISNUMBER(SEARCH("tarnish",C407)),"Contamination",ISNUMBER(SEARCH("stain",C407)),"Contamination",ISNUMBER(SEARCH("foreign material",C407)),"Contamination",ISNUMBER(SEARCH("contamina",C407)),"Contamination",ISNUMBER(SEARCH("overheat",C407)),"Overheating of Device",ISNUMBER(SEARCH("excessive heat",C407)),"Overheating of Device",ISNUMBER(SEARCH("hot",C407)),"Overheating of Device",ISNUMBER(SEARCH("noise",C407)),"Noise, Audible",ISNUMBER(SEARCH("sound",C407)),"Noise, Audible",ISNUMBER(SEARCH("loud",C407)),"Noise, Audible",ISNUMBER(SEARCH("fray",C407)),"Material Frayed",ISNUMBER(SEARCH("hole",C407)),"Material Frayed",ISNUMBER(SEARCH("tear",C407)),"Material Frayed",ISNUMBER(SEARCH("worn",C407)),"Material Frayed",ISNUMBER(SEARCH("intermittent",C407)),"Difficult or Delayed Activation",ISNUMBER(SEARCH("delay",C407)),"Difficult or Delayed Activation",ISNUMBER(SEARCH("label",C407)),"Device Markings/Labelling Problem",ISNUMBER(SEARCH("marking",C407)),"Device Markings/Labelling Problem",ISNUMBER(SEARCH("lacerat",C407)),"Defective Device",ISNUMBER(SEARCH("cut",C407)),"Defective Device",ISNUMBER(SEARCH("leak",C407)),"Fluid/Blood Leak",ISNUMBER(SEARCH("missing",C407)),"Component Missing",ISNUMBER(SEARCH("power",C407)),"Complete Loss of Power",ISNUMBER(SEARCH("will not turn on",C407)),"Complete Loss of Power",ISNUMBER(SEARCH("won't turn on",C407)),"Complete Loss of Power",ISNUMBER(SEARCH("does not turn on",C407)),"Complete Loss of Power",ISNUMBER(SEARCH("electrical",C407)),"Electrical Power Problem",ISNUMBER(SEARCH("pressure",C407)),"Detachment of Device or Device Component",ISNUMBER(SEARCH("slip",C407)),"Detachment of Device or Device Component",ISNUMBER(SEARCH("detach",C407)),"Detachment of Device or Device Component",ISNUMBER(SEARCH("stick",C407)),"Mechanical Jam",ISNUMBER(SEARCH("jam",C407)),"Mechanical Jam",ISNUMBER(SEARCH("rigid",C407)),"Mechanical Jam",ISNUMBER(SEARCH("rust",C407)),"Corroded",ISNUMBER(SEARCH("corrod",C407)),"Corroded",ISNUMBER(SEARCH("corrosion",C407)),"Corroded",ISNUMBER(SEARCH("alignment",C407)),"Defective Device",ISNUMBER(SEARCH("adjust",C407)),"Defective Device",ISNUMBER(SEARCH("perform",C407)),"Defective Device",ISNUMBER(SEARCH("malfunction",C407)),"Defective Device",ISNUMBER(SEARCH("defect",C407)),"Defective Device",ISNUMBER(SEARCH("fail",C407)),"Defective Device",ISNUMBER(SEARCH("not work",C407)),"Defective Device",ISNUMBER(SEARCH("doesn't work",C407)),"Defective Device",TRUE,"UNKNOWN"),"UNKNOWN")))</f>
        <v/>
      </c>
      <c r="F407" s="4" t="str">
        <f t="shared" si="6"/>
        <v/>
      </c>
      <c r="G407" s="363" t="str">
        <f>IF(E407="","",IFERROR(VLOOKUP(E407,Codes!$L$2:$N$409,3,FALSE),"—"))</f>
        <v/>
      </c>
      <c r="H407" s="88"/>
      <c r="I407" s="88"/>
    </row>
    <row r="408" spans="1:9" ht="13.15" x14ac:dyDescent="0.35">
      <c r="A408" s="435"/>
      <c r="B408" s="436"/>
      <c r="C408" s="438"/>
      <c r="D408" s="435"/>
      <c r="E408" s="93" t="str" cm="1">
        <f t="array" ref="E408">IF(D408&lt;&gt;"",IFERROR(VLOOKUP(D408,Codes!$K$2:$L$409,2,FALSE),"UNKNOWN - "&amp;D408),IF(C408="","",IFERROR(_xlfn.IFS(ISNUMBER(SEARCH("broken button",C408)),"Break",ISNUMBER(SEARCH("broken handle",C408)),"Break",ISNUMBER(SEARCH("shipping damage",C408)),"Break",ISNUMBER(SEARCH("broken",C408)),"Break",ISNUMBER(SEARCH("crack",C408)),"Break",ISNUMBER(SEARCH("snap",C408)),"Break",ISNUMBER(SEARCH("fracture",C408)),"Break",ISNUMBER(SEARCH("bent",C408)),"Material Twisted/Bent",ISNUMBER(SEARCH("twisted",C408)),"Material Twisted/Bent",ISNUMBER(SEARCH("component separat",C408)),"Material Separation",ISNUMBER(SEARCH("separat",C408)),"Material Separation",ISNUMBER(SEARCH("connection",C408)),"Loose or Intermittent Connection",ISNUMBER(SEARCH("loose",C408)),"Loose or Intermittent Connection",ISNUMBER(SEARCH("damaged packaging",C408)),"Packaging Problem",ISNUMBER(SEARCH("packaging",C408)),"Packaging Problem",ISNUMBER(SEARCH("discoloration",C408)),"Contamination",ISNUMBER(SEARCH("tarnish",C408)),"Contamination",ISNUMBER(SEARCH("stain",C408)),"Contamination",ISNUMBER(SEARCH("foreign material",C408)),"Contamination",ISNUMBER(SEARCH("contamina",C408)),"Contamination",ISNUMBER(SEARCH("overheat",C408)),"Overheating of Device",ISNUMBER(SEARCH("excessive heat",C408)),"Overheating of Device",ISNUMBER(SEARCH("hot",C408)),"Overheating of Device",ISNUMBER(SEARCH("noise",C408)),"Noise, Audible",ISNUMBER(SEARCH("sound",C408)),"Noise, Audible",ISNUMBER(SEARCH("loud",C408)),"Noise, Audible",ISNUMBER(SEARCH("fray",C408)),"Material Frayed",ISNUMBER(SEARCH("hole",C408)),"Material Frayed",ISNUMBER(SEARCH("tear",C408)),"Material Frayed",ISNUMBER(SEARCH("worn",C408)),"Material Frayed",ISNUMBER(SEARCH("intermittent",C408)),"Difficult or Delayed Activation",ISNUMBER(SEARCH("delay",C408)),"Difficult or Delayed Activation",ISNUMBER(SEARCH("label",C408)),"Device Markings/Labelling Problem",ISNUMBER(SEARCH("marking",C408)),"Device Markings/Labelling Problem",ISNUMBER(SEARCH("lacerat",C408)),"Defective Device",ISNUMBER(SEARCH("cut",C408)),"Defective Device",ISNUMBER(SEARCH("leak",C408)),"Fluid/Blood Leak",ISNUMBER(SEARCH("missing",C408)),"Component Missing",ISNUMBER(SEARCH("power",C408)),"Complete Loss of Power",ISNUMBER(SEARCH("will not turn on",C408)),"Complete Loss of Power",ISNUMBER(SEARCH("won't turn on",C408)),"Complete Loss of Power",ISNUMBER(SEARCH("does not turn on",C408)),"Complete Loss of Power",ISNUMBER(SEARCH("electrical",C408)),"Electrical Power Problem",ISNUMBER(SEARCH("pressure",C408)),"Detachment of Device or Device Component",ISNUMBER(SEARCH("slip",C408)),"Detachment of Device or Device Component",ISNUMBER(SEARCH("detach",C408)),"Detachment of Device or Device Component",ISNUMBER(SEARCH("stick",C408)),"Mechanical Jam",ISNUMBER(SEARCH("jam",C408)),"Mechanical Jam",ISNUMBER(SEARCH("rigid",C408)),"Mechanical Jam",ISNUMBER(SEARCH("rust",C408)),"Corroded",ISNUMBER(SEARCH("corrod",C408)),"Corroded",ISNUMBER(SEARCH("corrosion",C408)),"Corroded",ISNUMBER(SEARCH("alignment",C408)),"Defective Device",ISNUMBER(SEARCH("adjust",C408)),"Defective Device",ISNUMBER(SEARCH("perform",C408)),"Defective Device",ISNUMBER(SEARCH("malfunction",C408)),"Defective Device",ISNUMBER(SEARCH("defect",C408)),"Defective Device",ISNUMBER(SEARCH("fail",C408)),"Defective Device",ISNUMBER(SEARCH("not work",C408)),"Defective Device",ISNUMBER(SEARCH("doesn't work",C408)),"Defective Device",TRUE,"UNKNOWN"),"UNKNOWN")))</f>
        <v/>
      </c>
      <c r="F408" s="4" t="str">
        <f t="shared" si="6"/>
        <v/>
      </c>
      <c r="G408" s="363" t="str">
        <f>IF(E408="","",IFERROR(VLOOKUP(E408,Codes!$L$2:$N$409,3,FALSE),"—"))</f>
        <v/>
      </c>
      <c r="H408" s="88"/>
      <c r="I408" s="88"/>
    </row>
    <row r="409" spans="1:9" ht="13.15" x14ac:dyDescent="0.35">
      <c r="A409" s="434"/>
      <c r="B409" s="436"/>
      <c r="C409" s="434"/>
      <c r="D409" s="434"/>
      <c r="E409" s="93" t="str" cm="1">
        <f t="array" ref="E409">IF(D409&lt;&gt;"",IFERROR(VLOOKUP(D409,Codes!$K$2:$L$409,2,FALSE),"UNKNOWN - "&amp;D409),IF(C409="","",IFERROR(_xlfn.IFS(ISNUMBER(SEARCH("broken button",C409)),"Break",ISNUMBER(SEARCH("broken handle",C409)),"Break",ISNUMBER(SEARCH("shipping damage",C409)),"Break",ISNUMBER(SEARCH("broken",C409)),"Break",ISNUMBER(SEARCH("crack",C409)),"Break",ISNUMBER(SEARCH("snap",C409)),"Break",ISNUMBER(SEARCH("fracture",C409)),"Break",ISNUMBER(SEARCH("bent",C409)),"Material Twisted/Bent",ISNUMBER(SEARCH("twisted",C409)),"Material Twisted/Bent",ISNUMBER(SEARCH("component separat",C409)),"Material Separation",ISNUMBER(SEARCH("separat",C409)),"Material Separation",ISNUMBER(SEARCH("connection",C409)),"Loose or Intermittent Connection",ISNUMBER(SEARCH("loose",C409)),"Loose or Intermittent Connection",ISNUMBER(SEARCH("damaged packaging",C409)),"Packaging Problem",ISNUMBER(SEARCH("packaging",C409)),"Packaging Problem",ISNUMBER(SEARCH("discoloration",C409)),"Contamination",ISNUMBER(SEARCH("tarnish",C409)),"Contamination",ISNUMBER(SEARCH("stain",C409)),"Contamination",ISNUMBER(SEARCH("foreign material",C409)),"Contamination",ISNUMBER(SEARCH("contamina",C409)),"Contamination",ISNUMBER(SEARCH("overheat",C409)),"Overheating of Device",ISNUMBER(SEARCH("excessive heat",C409)),"Overheating of Device",ISNUMBER(SEARCH("hot",C409)),"Overheating of Device",ISNUMBER(SEARCH("noise",C409)),"Noise, Audible",ISNUMBER(SEARCH("sound",C409)),"Noise, Audible",ISNUMBER(SEARCH("loud",C409)),"Noise, Audible",ISNUMBER(SEARCH("fray",C409)),"Material Frayed",ISNUMBER(SEARCH("hole",C409)),"Material Frayed",ISNUMBER(SEARCH("tear",C409)),"Material Frayed",ISNUMBER(SEARCH("worn",C409)),"Material Frayed",ISNUMBER(SEARCH("intermittent",C409)),"Difficult or Delayed Activation",ISNUMBER(SEARCH("delay",C409)),"Difficult or Delayed Activation",ISNUMBER(SEARCH("label",C409)),"Device Markings/Labelling Problem",ISNUMBER(SEARCH("marking",C409)),"Device Markings/Labelling Problem",ISNUMBER(SEARCH("lacerat",C409)),"Defective Device",ISNUMBER(SEARCH("cut",C409)),"Defective Device",ISNUMBER(SEARCH("leak",C409)),"Fluid/Blood Leak",ISNUMBER(SEARCH("missing",C409)),"Component Missing",ISNUMBER(SEARCH("power",C409)),"Complete Loss of Power",ISNUMBER(SEARCH("will not turn on",C409)),"Complete Loss of Power",ISNUMBER(SEARCH("won't turn on",C409)),"Complete Loss of Power",ISNUMBER(SEARCH("does not turn on",C409)),"Complete Loss of Power",ISNUMBER(SEARCH("electrical",C409)),"Electrical Power Problem",ISNUMBER(SEARCH("pressure",C409)),"Detachment of Device or Device Component",ISNUMBER(SEARCH("slip",C409)),"Detachment of Device or Device Component",ISNUMBER(SEARCH("detach",C409)),"Detachment of Device or Device Component",ISNUMBER(SEARCH("stick",C409)),"Mechanical Jam",ISNUMBER(SEARCH("jam",C409)),"Mechanical Jam",ISNUMBER(SEARCH("rigid",C409)),"Mechanical Jam",ISNUMBER(SEARCH("rust",C409)),"Corroded",ISNUMBER(SEARCH("corrod",C409)),"Corroded",ISNUMBER(SEARCH("corrosion",C409)),"Corroded",ISNUMBER(SEARCH("alignment",C409)),"Defective Device",ISNUMBER(SEARCH("adjust",C409)),"Defective Device",ISNUMBER(SEARCH("perform",C409)),"Defective Device",ISNUMBER(SEARCH("malfunction",C409)),"Defective Device",ISNUMBER(SEARCH("defect",C409)),"Defective Device",ISNUMBER(SEARCH("fail",C409)),"Defective Device",ISNUMBER(SEARCH("not work",C409)),"Defective Device",ISNUMBER(SEARCH("doesn't work",C409)),"Defective Device",TRUE,"UNKNOWN"),"UNKNOWN")))</f>
        <v/>
      </c>
      <c r="F409" s="4" t="str">
        <f t="shared" si="6"/>
        <v/>
      </c>
      <c r="G409" s="363" t="str">
        <f>IF(E409="","",IFERROR(VLOOKUP(E409,Codes!$L$2:$N$409,3,FALSE),"—"))</f>
        <v/>
      </c>
      <c r="H409" s="88"/>
      <c r="I409" s="88"/>
    </row>
    <row r="410" spans="1:9" ht="13.15" x14ac:dyDescent="0.35">
      <c r="A410" s="435"/>
      <c r="B410" s="436"/>
      <c r="C410" s="438"/>
      <c r="D410" s="435"/>
      <c r="E410" s="93" t="str" cm="1">
        <f t="array" ref="E410">IF(D410&lt;&gt;"",IFERROR(VLOOKUP(D410,Codes!$K$2:$L$409,2,FALSE),"UNKNOWN - "&amp;D410),IF(C410="","",IFERROR(_xlfn.IFS(ISNUMBER(SEARCH("broken button",C410)),"Break",ISNUMBER(SEARCH("broken handle",C410)),"Break",ISNUMBER(SEARCH("shipping damage",C410)),"Break",ISNUMBER(SEARCH("broken",C410)),"Break",ISNUMBER(SEARCH("crack",C410)),"Break",ISNUMBER(SEARCH("snap",C410)),"Break",ISNUMBER(SEARCH("fracture",C410)),"Break",ISNUMBER(SEARCH("bent",C410)),"Material Twisted/Bent",ISNUMBER(SEARCH("twisted",C410)),"Material Twisted/Bent",ISNUMBER(SEARCH("component separat",C410)),"Material Separation",ISNUMBER(SEARCH("separat",C410)),"Material Separation",ISNUMBER(SEARCH("connection",C410)),"Loose or Intermittent Connection",ISNUMBER(SEARCH("loose",C410)),"Loose or Intermittent Connection",ISNUMBER(SEARCH("damaged packaging",C410)),"Packaging Problem",ISNUMBER(SEARCH("packaging",C410)),"Packaging Problem",ISNUMBER(SEARCH("discoloration",C410)),"Contamination",ISNUMBER(SEARCH("tarnish",C410)),"Contamination",ISNUMBER(SEARCH("stain",C410)),"Contamination",ISNUMBER(SEARCH("foreign material",C410)),"Contamination",ISNUMBER(SEARCH("contamina",C410)),"Contamination",ISNUMBER(SEARCH("overheat",C410)),"Overheating of Device",ISNUMBER(SEARCH("excessive heat",C410)),"Overheating of Device",ISNUMBER(SEARCH("hot",C410)),"Overheating of Device",ISNUMBER(SEARCH("noise",C410)),"Noise, Audible",ISNUMBER(SEARCH("sound",C410)),"Noise, Audible",ISNUMBER(SEARCH("loud",C410)),"Noise, Audible",ISNUMBER(SEARCH("fray",C410)),"Material Frayed",ISNUMBER(SEARCH("hole",C410)),"Material Frayed",ISNUMBER(SEARCH("tear",C410)),"Material Frayed",ISNUMBER(SEARCH("worn",C410)),"Material Frayed",ISNUMBER(SEARCH("intermittent",C410)),"Difficult or Delayed Activation",ISNUMBER(SEARCH("delay",C410)),"Difficult or Delayed Activation",ISNUMBER(SEARCH("label",C410)),"Device Markings/Labelling Problem",ISNUMBER(SEARCH("marking",C410)),"Device Markings/Labelling Problem",ISNUMBER(SEARCH("lacerat",C410)),"Defective Device",ISNUMBER(SEARCH("cut",C410)),"Defective Device",ISNUMBER(SEARCH("leak",C410)),"Fluid/Blood Leak",ISNUMBER(SEARCH("missing",C410)),"Component Missing",ISNUMBER(SEARCH("power",C410)),"Complete Loss of Power",ISNUMBER(SEARCH("will not turn on",C410)),"Complete Loss of Power",ISNUMBER(SEARCH("won't turn on",C410)),"Complete Loss of Power",ISNUMBER(SEARCH("does not turn on",C410)),"Complete Loss of Power",ISNUMBER(SEARCH("electrical",C410)),"Electrical Power Problem",ISNUMBER(SEARCH("pressure",C410)),"Detachment of Device or Device Component",ISNUMBER(SEARCH("slip",C410)),"Detachment of Device or Device Component",ISNUMBER(SEARCH("detach",C410)),"Detachment of Device or Device Component",ISNUMBER(SEARCH("stick",C410)),"Mechanical Jam",ISNUMBER(SEARCH("jam",C410)),"Mechanical Jam",ISNUMBER(SEARCH("rigid",C410)),"Mechanical Jam",ISNUMBER(SEARCH("rust",C410)),"Corroded",ISNUMBER(SEARCH("corrod",C410)),"Corroded",ISNUMBER(SEARCH("corrosion",C410)),"Corroded",ISNUMBER(SEARCH("alignment",C410)),"Defective Device",ISNUMBER(SEARCH("adjust",C410)),"Defective Device",ISNUMBER(SEARCH("perform",C410)),"Defective Device",ISNUMBER(SEARCH("malfunction",C410)),"Defective Device",ISNUMBER(SEARCH("defect",C410)),"Defective Device",ISNUMBER(SEARCH("fail",C410)),"Defective Device",ISNUMBER(SEARCH("not work",C410)),"Defective Device",ISNUMBER(SEARCH("doesn't work",C410)),"Defective Device",TRUE,"UNKNOWN"),"UNKNOWN")))</f>
        <v/>
      </c>
      <c r="F410" s="4" t="str">
        <f t="shared" si="6"/>
        <v/>
      </c>
      <c r="G410" s="363" t="str">
        <f>IF(E410="","",IFERROR(VLOOKUP(E410,Codes!$L$2:$N$409,3,FALSE),"—"))</f>
        <v/>
      </c>
      <c r="H410" s="88"/>
      <c r="I410" s="88"/>
    </row>
    <row r="411" spans="1:9" ht="13.15" x14ac:dyDescent="0.35">
      <c r="A411" s="434"/>
      <c r="B411" s="436"/>
      <c r="C411" s="437"/>
      <c r="D411" s="434"/>
      <c r="E411" s="93" t="str" cm="1">
        <f t="array" ref="E411">IF(D411&lt;&gt;"",IFERROR(VLOOKUP(D411,Codes!$K$2:$L$409,2,FALSE),"UNKNOWN - "&amp;D411),IF(C411="","",IFERROR(_xlfn.IFS(ISNUMBER(SEARCH("broken button",C411)),"Break",ISNUMBER(SEARCH("broken handle",C411)),"Break",ISNUMBER(SEARCH("shipping damage",C411)),"Break",ISNUMBER(SEARCH("broken",C411)),"Break",ISNUMBER(SEARCH("crack",C411)),"Break",ISNUMBER(SEARCH("snap",C411)),"Break",ISNUMBER(SEARCH("fracture",C411)),"Break",ISNUMBER(SEARCH("bent",C411)),"Material Twisted/Bent",ISNUMBER(SEARCH("twisted",C411)),"Material Twisted/Bent",ISNUMBER(SEARCH("component separat",C411)),"Material Separation",ISNUMBER(SEARCH("separat",C411)),"Material Separation",ISNUMBER(SEARCH("connection",C411)),"Loose or Intermittent Connection",ISNUMBER(SEARCH("loose",C411)),"Loose or Intermittent Connection",ISNUMBER(SEARCH("damaged packaging",C411)),"Packaging Problem",ISNUMBER(SEARCH("packaging",C411)),"Packaging Problem",ISNUMBER(SEARCH("discoloration",C411)),"Contamination",ISNUMBER(SEARCH("tarnish",C411)),"Contamination",ISNUMBER(SEARCH("stain",C411)),"Contamination",ISNUMBER(SEARCH("foreign material",C411)),"Contamination",ISNUMBER(SEARCH("contamina",C411)),"Contamination",ISNUMBER(SEARCH("overheat",C411)),"Overheating of Device",ISNUMBER(SEARCH("excessive heat",C411)),"Overheating of Device",ISNUMBER(SEARCH("hot",C411)),"Overheating of Device",ISNUMBER(SEARCH("noise",C411)),"Noise, Audible",ISNUMBER(SEARCH("sound",C411)),"Noise, Audible",ISNUMBER(SEARCH("loud",C411)),"Noise, Audible",ISNUMBER(SEARCH("fray",C411)),"Material Frayed",ISNUMBER(SEARCH("hole",C411)),"Material Frayed",ISNUMBER(SEARCH("tear",C411)),"Material Frayed",ISNUMBER(SEARCH("worn",C411)),"Material Frayed",ISNUMBER(SEARCH("intermittent",C411)),"Difficult or Delayed Activation",ISNUMBER(SEARCH("delay",C411)),"Difficult or Delayed Activation",ISNUMBER(SEARCH("label",C411)),"Device Markings/Labelling Problem",ISNUMBER(SEARCH("marking",C411)),"Device Markings/Labelling Problem",ISNUMBER(SEARCH("lacerat",C411)),"Defective Device",ISNUMBER(SEARCH("cut",C411)),"Defective Device",ISNUMBER(SEARCH("leak",C411)),"Fluid/Blood Leak",ISNUMBER(SEARCH("missing",C411)),"Component Missing",ISNUMBER(SEARCH("power",C411)),"Complete Loss of Power",ISNUMBER(SEARCH("will not turn on",C411)),"Complete Loss of Power",ISNUMBER(SEARCH("won't turn on",C411)),"Complete Loss of Power",ISNUMBER(SEARCH("does not turn on",C411)),"Complete Loss of Power",ISNUMBER(SEARCH("electrical",C411)),"Electrical Power Problem",ISNUMBER(SEARCH("pressure",C411)),"Detachment of Device or Device Component",ISNUMBER(SEARCH("slip",C411)),"Detachment of Device or Device Component",ISNUMBER(SEARCH("detach",C411)),"Detachment of Device or Device Component",ISNUMBER(SEARCH("stick",C411)),"Mechanical Jam",ISNUMBER(SEARCH("jam",C411)),"Mechanical Jam",ISNUMBER(SEARCH("rigid",C411)),"Mechanical Jam",ISNUMBER(SEARCH("rust",C411)),"Corroded",ISNUMBER(SEARCH("corrod",C411)),"Corroded",ISNUMBER(SEARCH("corrosion",C411)),"Corroded",ISNUMBER(SEARCH("alignment",C411)),"Defective Device",ISNUMBER(SEARCH("adjust",C411)),"Defective Device",ISNUMBER(SEARCH("perform",C411)),"Defective Device",ISNUMBER(SEARCH("malfunction",C411)),"Defective Device",ISNUMBER(SEARCH("defect",C411)),"Defective Device",ISNUMBER(SEARCH("fail",C411)),"Defective Device",ISNUMBER(SEARCH("not work",C411)),"Defective Device",ISNUMBER(SEARCH("doesn't work",C411)),"Defective Device",TRUE,"UNKNOWN"),"UNKNOWN")))</f>
        <v/>
      </c>
      <c r="F411" s="4" t="str">
        <f t="shared" si="6"/>
        <v/>
      </c>
      <c r="G411" s="363" t="str">
        <f>IF(E411="","",IFERROR(VLOOKUP(E411,Codes!$L$2:$N$409,3,FALSE),"—"))</f>
        <v/>
      </c>
      <c r="H411" s="88"/>
      <c r="I411" s="88"/>
    </row>
    <row r="412" spans="1:9" ht="13.15" x14ac:dyDescent="0.35">
      <c r="A412" s="435"/>
      <c r="B412" s="436"/>
      <c r="C412" s="438"/>
      <c r="D412" s="435"/>
      <c r="E412" s="93" t="str" cm="1">
        <f t="array" ref="E412">IF(D412&lt;&gt;"",IFERROR(VLOOKUP(D412,Codes!$K$2:$L$409,2,FALSE),"UNKNOWN - "&amp;D412),IF(C412="","",IFERROR(_xlfn.IFS(ISNUMBER(SEARCH("broken button",C412)),"Break",ISNUMBER(SEARCH("broken handle",C412)),"Break",ISNUMBER(SEARCH("shipping damage",C412)),"Break",ISNUMBER(SEARCH("broken",C412)),"Break",ISNUMBER(SEARCH("crack",C412)),"Break",ISNUMBER(SEARCH("snap",C412)),"Break",ISNUMBER(SEARCH("fracture",C412)),"Break",ISNUMBER(SEARCH("bent",C412)),"Material Twisted/Bent",ISNUMBER(SEARCH("twisted",C412)),"Material Twisted/Bent",ISNUMBER(SEARCH("component separat",C412)),"Material Separation",ISNUMBER(SEARCH("separat",C412)),"Material Separation",ISNUMBER(SEARCH("connection",C412)),"Loose or Intermittent Connection",ISNUMBER(SEARCH("loose",C412)),"Loose or Intermittent Connection",ISNUMBER(SEARCH("damaged packaging",C412)),"Packaging Problem",ISNUMBER(SEARCH("packaging",C412)),"Packaging Problem",ISNUMBER(SEARCH("discoloration",C412)),"Contamination",ISNUMBER(SEARCH("tarnish",C412)),"Contamination",ISNUMBER(SEARCH("stain",C412)),"Contamination",ISNUMBER(SEARCH("foreign material",C412)),"Contamination",ISNUMBER(SEARCH("contamina",C412)),"Contamination",ISNUMBER(SEARCH("overheat",C412)),"Overheating of Device",ISNUMBER(SEARCH("excessive heat",C412)),"Overheating of Device",ISNUMBER(SEARCH("hot",C412)),"Overheating of Device",ISNUMBER(SEARCH("noise",C412)),"Noise, Audible",ISNUMBER(SEARCH("sound",C412)),"Noise, Audible",ISNUMBER(SEARCH("loud",C412)),"Noise, Audible",ISNUMBER(SEARCH("fray",C412)),"Material Frayed",ISNUMBER(SEARCH("hole",C412)),"Material Frayed",ISNUMBER(SEARCH("tear",C412)),"Material Frayed",ISNUMBER(SEARCH("worn",C412)),"Material Frayed",ISNUMBER(SEARCH("intermittent",C412)),"Difficult or Delayed Activation",ISNUMBER(SEARCH("delay",C412)),"Difficult or Delayed Activation",ISNUMBER(SEARCH("label",C412)),"Device Markings/Labelling Problem",ISNUMBER(SEARCH("marking",C412)),"Device Markings/Labelling Problem",ISNUMBER(SEARCH("lacerat",C412)),"Defective Device",ISNUMBER(SEARCH("cut",C412)),"Defective Device",ISNUMBER(SEARCH("leak",C412)),"Fluid/Blood Leak",ISNUMBER(SEARCH("missing",C412)),"Component Missing",ISNUMBER(SEARCH("power",C412)),"Complete Loss of Power",ISNUMBER(SEARCH("will not turn on",C412)),"Complete Loss of Power",ISNUMBER(SEARCH("won't turn on",C412)),"Complete Loss of Power",ISNUMBER(SEARCH("does not turn on",C412)),"Complete Loss of Power",ISNUMBER(SEARCH("electrical",C412)),"Electrical Power Problem",ISNUMBER(SEARCH("pressure",C412)),"Detachment of Device or Device Component",ISNUMBER(SEARCH("slip",C412)),"Detachment of Device or Device Component",ISNUMBER(SEARCH("detach",C412)),"Detachment of Device or Device Component",ISNUMBER(SEARCH("stick",C412)),"Mechanical Jam",ISNUMBER(SEARCH("jam",C412)),"Mechanical Jam",ISNUMBER(SEARCH("rigid",C412)),"Mechanical Jam",ISNUMBER(SEARCH("rust",C412)),"Corroded",ISNUMBER(SEARCH("corrod",C412)),"Corroded",ISNUMBER(SEARCH("corrosion",C412)),"Corroded",ISNUMBER(SEARCH("alignment",C412)),"Defective Device",ISNUMBER(SEARCH("adjust",C412)),"Defective Device",ISNUMBER(SEARCH("perform",C412)),"Defective Device",ISNUMBER(SEARCH("malfunction",C412)),"Defective Device",ISNUMBER(SEARCH("defect",C412)),"Defective Device",ISNUMBER(SEARCH("fail",C412)),"Defective Device",ISNUMBER(SEARCH("not work",C412)),"Defective Device",ISNUMBER(SEARCH("doesn't work",C412)),"Defective Device",TRUE,"UNKNOWN"),"UNKNOWN")))</f>
        <v/>
      </c>
      <c r="F412" s="4" t="str">
        <f t="shared" si="6"/>
        <v/>
      </c>
      <c r="G412" s="363" t="str">
        <f>IF(E412="","",IFERROR(VLOOKUP(E412,Codes!$L$2:$N$409,3,FALSE),"—"))</f>
        <v/>
      </c>
      <c r="H412" s="88"/>
      <c r="I412" s="88"/>
    </row>
    <row r="413" spans="1:9" ht="13.15" x14ac:dyDescent="0.35">
      <c r="A413" s="435"/>
      <c r="B413" s="436"/>
      <c r="C413" s="438"/>
      <c r="D413" s="435"/>
      <c r="E413" s="93" t="str" cm="1">
        <f t="array" ref="E413">IF(D413&lt;&gt;"",IFERROR(VLOOKUP(D413,Codes!$K$2:$L$409,2,FALSE),"UNKNOWN - "&amp;D413),IF(C413="","",IFERROR(_xlfn.IFS(ISNUMBER(SEARCH("broken button",C413)),"Break",ISNUMBER(SEARCH("broken handle",C413)),"Break",ISNUMBER(SEARCH("shipping damage",C413)),"Break",ISNUMBER(SEARCH("broken",C413)),"Break",ISNUMBER(SEARCH("crack",C413)),"Break",ISNUMBER(SEARCH("snap",C413)),"Break",ISNUMBER(SEARCH("fracture",C413)),"Break",ISNUMBER(SEARCH("bent",C413)),"Material Twisted/Bent",ISNUMBER(SEARCH("twisted",C413)),"Material Twisted/Bent",ISNUMBER(SEARCH("component separat",C413)),"Material Separation",ISNUMBER(SEARCH("separat",C413)),"Material Separation",ISNUMBER(SEARCH("connection",C413)),"Loose or Intermittent Connection",ISNUMBER(SEARCH("loose",C413)),"Loose or Intermittent Connection",ISNUMBER(SEARCH("damaged packaging",C413)),"Packaging Problem",ISNUMBER(SEARCH("packaging",C413)),"Packaging Problem",ISNUMBER(SEARCH("discoloration",C413)),"Contamination",ISNUMBER(SEARCH("tarnish",C413)),"Contamination",ISNUMBER(SEARCH("stain",C413)),"Contamination",ISNUMBER(SEARCH("foreign material",C413)),"Contamination",ISNUMBER(SEARCH("contamina",C413)),"Contamination",ISNUMBER(SEARCH("overheat",C413)),"Overheating of Device",ISNUMBER(SEARCH("excessive heat",C413)),"Overheating of Device",ISNUMBER(SEARCH("hot",C413)),"Overheating of Device",ISNUMBER(SEARCH("noise",C413)),"Noise, Audible",ISNUMBER(SEARCH("sound",C413)),"Noise, Audible",ISNUMBER(SEARCH("loud",C413)),"Noise, Audible",ISNUMBER(SEARCH("fray",C413)),"Material Frayed",ISNUMBER(SEARCH("hole",C413)),"Material Frayed",ISNUMBER(SEARCH("tear",C413)),"Material Frayed",ISNUMBER(SEARCH("worn",C413)),"Material Frayed",ISNUMBER(SEARCH("intermittent",C413)),"Difficult or Delayed Activation",ISNUMBER(SEARCH("delay",C413)),"Difficult or Delayed Activation",ISNUMBER(SEARCH("label",C413)),"Device Markings/Labelling Problem",ISNUMBER(SEARCH("marking",C413)),"Device Markings/Labelling Problem",ISNUMBER(SEARCH("lacerat",C413)),"Defective Device",ISNUMBER(SEARCH("cut",C413)),"Defective Device",ISNUMBER(SEARCH("leak",C413)),"Fluid/Blood Leak",ISNUMBER(SEARCH("missing",C413)),"Component Missing",ISNUMBER(SEARCH("power",C413)),"Complete Loss of Power",ISNUMBER(SEARCH("will not turn on",C413)),"Complete Loss of Power",ISNUMBER(SEARCH("won't turn on",C413)),"Complete Loss of Power",ISNUMBER(SEARCH("does not turn on",C413)),"Complete Loss of Power",ISNUMBER(SEARCH("electrical",C413)),"Electrical Power Problem",ISNUMBER(SEARCH("pressure",C413)),"Detachment of Device or Device Component",ISNUMBER(SEARCH("slip",C413)),"Detachment of Device or Device Component",ISNUMBER(SEARCH("detach",C413)),"Detachment of Device or Device Component",ISNUMBER(SEARCH("stick",C413)),"Mechanical Jam",ISNUMBER(SEARCH("jam",C413)),"Mechanical Jam",ISNUMBER(SEARCH("rigid",C413)),"Mechanical Jam",ISNUMBER(SEARCH("rust",C413)),"Corroded",ISNUMBER(SEARCH("corrod",C413)),"Corroded",ISNUMBER(SEARCH("corrosion",C413)),"Corroded",ISNUMBER(SEARCH("alignment",C413)),"Defective Device",ISNUMBER(SEARCH("adjust",C413)),"Defective Device",ISNUMBER(SEARCH("perform",C413)),"Defective Device",ISNUMBER(SEARCH("malfunction",C413)),"Defective Device",ISNUMBER(SEARCH("defect",C413)),"Defective Device",ISNUMBER(SEARCH("fail",C413)),"Defective Device",ISNUMBER(SEARCH("not work",C413)),"Defective Device",ISNUMBER(SEARCH("doesn't work",C413)),"Defective Device",TRUE,"UNKNOWN"),"UNKNOWN")))</f>
        <v/>
      </c>
      <c r="F413" s="4" t="str">
        <f t="shared" si="6"/>
        <v/>
      </c>
      <c r="G413" s="363" t="str">
        <f>IF(E413="","",IFERROR(VLOOKUP(E413,Codes!$L$2:$N$409,3,FALSE),"—"))</f>
        <v/>
      </c>
      <c r="H413" s="88"/>
      <c r="I413" s="88"/>
    </row>
    <row r="414" spans="1:9" ht="13.15" x14ac:dyDescent="0.35">
      <c r="A414" s="434"/>
      <c r="B414" s="436"/>
      <c r="C414" s="437"/>
      <c r="D414" s="434"/>
      <c r="E414" s="93" t="str" cm="1">
        <f t="array" ref="E414">IF(D414&lt;&gt;"",IFERROR(VLOOKUP(D414,Codes!$K$2:$L$409,2,FALSE),"UNKNOWN - "&amp;D414),IF(C414="","",IFERROR(_xlfn.IFS(ISNUMBER(SEARCH("broken button",C414)),"Break",ISNUMBER(SEARCH("broken handle",C414)),"Break",ISNUMBER(SEARCH("shipping damage",C414)),"Break",ISNUMBER(SEARCH("broken",C414)),"Break",ISNUMBER(SEARCH("crack",C414)),"Break",ISNUMBER(SEARCH("snap",C414)),"Break",ISNUMBER(SEARCH("fracture",C414)),"Break",ISNUMBER(SEARCH("bent",C414)),"Material Twisted/Bent",ISNUMBER(SEARCH("twisted",C414)),"Material Twisted/Bent",ISNUMBER(SEARCH("component separat",C414)),"Material Separation",ISNUMBER(SEARCH("separat",C414)),"Material Separation",ISNUMBER(SEARCH("connection",C414)),"Loose or Intermittent Connection",ISNUMBER(SEARCH("loose",C414)),"Loose or Intermittent Connection",ISNUMBER(SEARCH("damaged packaging",C414)),"Packaging Problem",ISNUMBER(SEARCH("packaging",C414)),"Packaging Problem",ISNUMBER(SEARCH("discoloration",C414)),"Contamination",ISNUMBER(SEARCH("tarnish",C414)),"Contamination",ISNUMBER(SEARCH("stain",C414)),"Contamination",ISNUMBER(SEARCH("foreign material",C414)),"Contamination",ISNUMBER(SEARCH("contamina",C414)),"Contamination",ISNUMBER(SEARCH("overheat",C414)),"Overheating of Device",ISNUMBER(SEARCH("excessive heat",C414)),"Overheating of Device",ISNUMBER(SEARCH("hot",C414)),"Overheating of Device",ISNUMBER(SEARCH("noise",C414)),"Noise, Audible",ISNUMBER(SEARCH("sound",C414)),"Noise, Audible",ISNUMBER(SEARCH("loud",C414)),"Noise, Audible",ISNUMBER(SEARCH("fray",C414)),"Material Frayed",ISNUMBER(SEARCH("hole",C414)),"Material Frayed",ISNUMBER(SEARCH("tear",C414)),"Material Frayed",ISNUMBER(SEARCH("worn",C414)),"Material Frayed",ISNUMBER(SEARCH("intermittent",C414)),"Difficult or Delayed Activation",ISNUMBER(SEARCH("delay",C414)),"Difficult or Delayed Activation",ISNUMBER(SEARCH("label",C414)),"Device Markings/Labelling Problem",ISNUMBER(SEARCH("marking",C414)),"Device Markings/Labelling Problem",ISNUMBER(SEARCH("lacerat",C414)),"Defective Device",ISNUMBER(SEARCH("cut",C414)),"Defective Device",ISNUMBER(SEARCH("leak",C414)),"Fluid/Blood Leak",ISNUMBER(SEARCH("missing",C414)),"Component Missing",ISNUMBER(SEARCH("power",C414)),"Complete Loss of Power",ISNUMBER(SEARCH("will not turn on",C414)),"Complete Loss of Power",ISNUMBER(SEARCH("won't turn on",C414)),"Complete Loss of Power",ISNUMBER(SEARCH("does not turn on",C414)),"Complete Loss of Power",ISNUMBER(SEARCH("electrical",C414)),"Electrical Power Problem",ISNUMBER(SEARCH("pressure",C414)),"Detachment of Device or Device Component",ISNUMBER(SEARCH("slip",C414)),"Detachment of Device or Device Component",ISNUMBER(SEARCH("detach",C414)),"Detachment of Device or Device Component",ISNUMBER(SEARCH("stick",C414)),"Mechanical Jam",ISNUMBER(SEARCH("jam",C414)),"Mechanical Jam",ISNUMBER(SEARCH("rigid",C414)),"Mechanical Jam",ISNUMBER(SEARCH("rust",C414)),"Corroded",ISNUMBER(SEARCH("corrod",C414)),"Corroded",ISNUMBER(SEARCH("corrosion",C414)),"Corroded",ISNUMBER(SEARCH("alignment",C414)),"Defective Device",ISNUMBER(SEARCH("adjust",C414)),"Defective Device",ISNUMBER(SEARCH("perform",C414)),"Defective Device",ISNUMBER(SEARCH("malfunction",C414)),"Defective Device",ISNUMBER(SEARCH("defect",C414)),"Defective Device",ISNUMBER(SEARCH("fail",C414)),"Defective Device",ISNUMBER(SEARCH("not work",C414)),"Defective Device",ISNUMBER(SEARCH("doesn't work",C414)),"Defective Device",TRUE,"UNKNOWN"),"UNKNOWN")))</f>
        <v/>
      </c>
      <c r="F414" s="4" t="str">
        <f t="shared" si="6"/>
        <v/>
      </c>
      <c r="G414" s="363" t="str">
        <f>IF(E414="","",IFERROR(VLOOKUP(E414,Codes!$L$2:$N$409,3,FALSE),"—"))</f>
        <v/>
      </c>
      <c r="H414" s="88"/>
      <c r="I414" s="88"/>
    </row>
    <row r="415" spans="1:9" ht="13.15" x14ac:dyDescent="0.35">
      <c r="A415" s="435"/>
      <c r="B415" s="436"/>
      <c r="C415" s="438"/>
      <c r="D415" s="435"/>
      <c r="E415" s="93" t="str" cm="1">
        <f t="array" ref="E415">IF(D415&lt;&gt;"",IFERROR(VLOOKUP(D415,Codes!$K$2:$L$409,2,FALSE),"UNKNOWN - "&amp;D415),IF(C415="","",IFERROR(_xlfn.IFS(ISNUMBER(SEARCH("broken button",C415)),"Break",ISNUMBER(SEARCH("broken handle",C415)),"Break",ISNUMBER(SEARCH("shipping damage",C415)),"Break",ISNUMBER(SEARCH("broken",C415)),"Break",ISNUMBER(SEARCH("crack",C415)),"Break",ISNUMBER(SEARCH("snap",C415)),"Break",ISNUMBER(SEARCH("fracture",C415)),"Break",ISNUMBER(SEARCH("bent",C415)),"Material Twisted/Bent",ISNUMBER(SEARCH("twisted",C415)),"Material Twisted/Bent",ISNUMBER(SEARCH("component separat",C415)),"Material Separation",ISNUMBER(SEARCH("separat",C415)),"Material Separation",ISNUMBER(SEARCH("connection",C415)),"Loose or Intermittent Connection",ISNUMBER(SEARCH("loose",C415)),"Loose or Intermittent Connection",ISNUMBER(SEARCH("damaged packaging",C415)),"Packaging Problem",ISNUMBER(SEARCH("packaging",C415)),"Packaging Problem",ISNUMBER(SEARCH("discoloration",C415)),"Contamination",ISNUMBER(SEARCH("tarnish",C415)),"Contamination",ISNUMBER(SEARCH("stain",C415)),"Contamination",ISNUMBER(SEARCH("foreign material",C415)),"Contamination",ISNUMBER(SEARCH("contamina",C415)),"Contamination",ISNUMBER(SEARCH("overheat",C415)),"Overheating of Device",ISNUMBER(SEARCH("excessive heat",C415)),"Overheating of Device",ISNUMBER(SEARCH("hot",C415)),"Overheating of Device",ISNUMBER(SEARCH("noise",C415)),"Noise, Audible",ISNUMBER(SEARCH("sound",C415)),"Noise, Audible",ISNUMBER(SEARCH("loud",C415)),"Noise, Audible",ISNUMBER(SEARCH("fray",C415)),"Material Frayed",ISNUMBER(SEARCH("hole",C415)),"Material Frayed",ISNUMBER(SEARCH("tear",C415)),"Material Frayed",ISNUMBER(SEARCH("worn",C415)),"Material Frayed",ISNUMBER(SEARCH("intermittent",C415)),"Difficult or Delayed Activation",ISNUMBER(SEARCH("delay",C415)),"Difficult or Delayed Activation",ISNUMBER(SEARCH("label",C415)),"Device Markings/Labelling Problem",ISNUMBER(SEARCH("marking",C415)),"Device Markings/Labelling Problem",ISNUMBER(SEARCH("lacerat",C415)),"Defective Device",ISNUMBER(SEARCH("cut",C415)),"Defective Device",ISNUMBER(SEARCH("leak",C415)),"Fluid/Blood Leak",ISNUMBER(SEARCH("missing",C415)),"Component Missing",ISNUMBER(SEARCH("power",C415)),"Complete Loss of Power",ISNUMBER(SEARCH("will not turn on",C415)),"Complete Loss of Power",ISNUMBER(SEARCH("won't turn on",C415)),"Complete Loss of Power",ISNUMBER(SEARCH("does not turn on",C415)),"Complete Loss of Power",ISNUMBER(SEARCH("electrical",C415)),"Electrical Power Problem",ISNUMBER(SEARCH("pressure",C415)),"Detachment of Device or Device Component",ISNUMBER(SEARCH("slip",C415)),"Detachment of Device or Device Component",ISNUMBER(SEARCH("detach",C415)),"Detachment of Device or Device Component",ISNUMBER(SEARCH("stick",C415)),"Mechanical Jam",ISNUMBER(SEARCH("jam",C415)),"Mechanical Jam",ISNUMBER(SEARCH("rigid",C415)),"Mechanical Jam",ISNUMBER(SEARCH("rust",C415)),"Corroded",ISNUMBER(SEARCH("corrod",C415)),"Corroded",ISNUMBER(SEARCH("corrosion",C415)),"Corroded",ISNUMBER(SEARCH("alignment",C415)),"Defective Device",ISNUMBER(SEARCH("adjust",C415)),"Defective Device",ISNUMBER(SEARCH("perform",C415)),"Defective Device",ISNUMBER(SEARCH("malfunction",C415)),"Defective Device",ISNUMBER(SEARCH("defect",C415)),"Defective Device",ISNUMBER(SEARCH("fail",C415)),"Defective Device",ISNUMBER(SEARCH("not work",C415)),"Defective Device",ISNUMBER(SEARCH("doesn't work",C415)),"Defective Device",TRUE,"UNKNOWN"),"UNKNOWN")))</f>
        <v/>
      </c>
      <c r="F415" s="4" t="str">
        <f t="shared" si="6"/>
        <v/>
      </c>
      <c r="G415" s="363" t="str">
        <f>IF(E415="","",IFERROR(VLOOKUP(E415,Codes!$L$2:$N$409,3,FALSE),"—"))</f>
        <v/>
      </c>
      <c r="H415" s="88"/>
      <c r="I415" s="88"/>
    </row>
    <row r="416" spans="1:9" ht="13.15" x14ac:dyDescent="0.35">
      <c r="A416" s="434"/>
      <c r="B416" s="436"/>
      <c r="C416" s="437"/>
      <c r="D416" s="434"/>
      <c r="E416" s="93" t="str" cm="1">
        <f t="array" ref="E416">IF(D416&lt;&gt;"",IFERROR(VLOOKUP(D416,Codes!$K$2:$L$409,2,FALSE),"UNKNOWN - "&amp;D416),IF(C416="","",IFERROR(_xlfn.IFS(ISNUMBER(SEARCH("broken button",C416)),"Break",ISNUMBER(SEARCH("broken handle",C416)),"Break",ISNUMBER(SEARCH("shipping damage",C416)),"Break",ISNUMBER(SEARCH("broken",C416)),"Break",ISNUMBER(SEARCH("crack",C416)),"Break",ISNUMBER(SEARCH("snap",C416)),"Break",ISNUMBER(SEARCH("fracture",C416)),"Break",ISNUMBER(SEARCH("bent",C416)),"Material Twisted/Bent",ISNUMBER(SEARCH("twisted",C416)),"Material Twisted/Bent",ISNUMBER(SEARCH("component separat",C416)),"Material Separation",ISNUMBER(SEARCH("separat",C416)),"Material Separation",ISNUMBER(SEARCH("connection",C416)),"Loose or Intermittent Connection",ISNUMBER(SEARCH("loose",C416)),"Loose or Intermittent Connection",ISNUMBER(SEARCH("damaged packaging",C416)),"Packaging Problem",ISNUMBER(SEARCH("packaging",C416)),"Packaging Problem",ISNUMBER(SEARCH("discoloration",C416)),"Contamination",ISNUMBER(SEARCH("tarnish",C416)),"Contamination",ISNUMBER(SEARCH("stain",C416)),"Contamination",ISNUMBER(SEARCH("foreign material",C416)),"Contamination",ISNUMBER(SEARCH("contamina",C416)),"Contamination",ISNUMBER(SEARCH("overheat",C416)),"Overheating of Device",ISNUMBER(SEARCH("excessive heat",C416)),"Overheating of Device",ISNUMBER(SEARCH("hot",C416)),"Overheating of Device",ISNUMBER(SEARCH("noise",C416)),"Noise, Audible",ISNUMBER(SEARCH("sound",C416)),"Noise, Audible",ISNUMBER(SEARCH("loud",C416)),"Noise, Audible",ISNUMBER(SEARCH("fray",C416)),"Material Frayed",ISNUMBER(SEARCH("hole",C416)),"Material Frayed",ISNUMBER(SEARCH("tear",C416)),"Material Frayed",ISNUMBER(SEARCH("worn",C416)),"Material Frayed",ISNUMBER(SEARCH("intermittent",C416)),"Difficult or Delayed Activation",ISNUMBER(SEARCH("delay",C416)),"Difficult or Delayed Activation",ISNUMBER(SEARCH("label",C416)),"Device Markings/Labelling Problem",ISNUMBER(SEARCH("marking",C416)),"Device Markings/Labelling Problem",ISNUMBER(SEARCH("lacerat",C416)),"Defective Device",ISNUMBER(SEARCH("cut",C416)),"Defective Device",ISNUMBER(SEARCH("leak",C416)),"Fluid/Blood Leak",ISNUMBER(SEARCH("missing",C416)),"Component Missing",ISNUMBER(SEARCH("power",C416)),"Complete Loss of Power",ISNUMBER(SEARCH("will not turn on",C416)),"Complete Loss of Power",ISNUMBER(SEARCH("won't turn on",C416)),"Complete Loss of Power",ISNUMBER(SEARCH("does not turn on",C416)),"Complete Loss of Power",ISNUMBER(SEARCH("electrical",C416)),"Electrical Power Problem",ISNUMBER(SEARCH("pressure",C416)),"Detachment of Device or Device Component",ISNUMBER(SEARCH("slip",C416)),"Detachment of Device or Device Component",ISNUMBER(SEARCH("detach",C416)),"Detachment of Device or Device Component",ISNUMBER(SEARCH("stick",C416)),"Mechanical Jam",ISNUMBER(SEARCH("jam",C416)),"Mechanical Jam",ISNUMBER(SEARCH("rigid",C416)),"Mechanical Jam",ISNUMBER(SEARCH("rust",C416)),"Corroded",ISNUMBER(SEARCH("corrod",C416)),"Corroded",ISNUMBER(SEARCH("corrosion",C416)),"Corroded",ISNUMBER(SEARCH("alignment",C416)),"Defective Device",ISNUMBER(SEARCH("adjust",C416)),"Defective Device",ISNUMBER(SEARCH("perform",C416)),"Defective Device",ISNUMBER(SEARCH("malfunction",C416)),"Defective Device",ISNUMBER(SEARCH("defect",C416)),"Defective Device",ISNUMBER(SEARCH("fail",C416)),"Defective Device",ISNUMBER(SEARCH("not work",C416)),"Defective Device",ISNUMBER(SEARCH("doesn't work",C416)),"Defective Device",TRUE,"UNKNOWN"),"UNKNOWN")))</f>
        <v/>
      </c>
      <c r="F416" s="4" t="str">
        <f t="shared" si="6"/>
        <v/>
      </c>
      <c r="G416" s="363" t="str">
        <f>IF(E416="","",IFERROR(VLOOKUP(E416,Codes!$L$2:$N$409,3,FALSE),"—"))</f>
        <v/>
      </c>
      <c r="H416" s="88"/>
      <c r="I416" s="88"/>
    </row>
    <row r="417" spans="1:9" ht="13.15" x14ac:dyDescent="0.35">
      <c r="A417" s="435"/>
      <c r="B417" s="436"/>
      <c r="C417" s="438"/>
      <c r="D417" s="435"/>
      <c r="E417" s="93" t="str" cm="1">
        <f t="array" ref="E417">IF(D417&lt;&gt;"",IFERROR(VLOOKUP(D417,Codes!$K$2:$L$409,2,FALSE),"UNKNOWN - "&amp;D417),IF(C417="","",IFERROR(_xlfn.IFS(ISNUMBER(SEARCH("broken button",C417)),"Break",ISNUMBER(SEARCH("broken handle",C417)),"Break",ISNUMBER(SEARCH("shipping damage",C417)),"Break",ISNUMBER(SEARCH("broken",C417)),"Break",ISNUMBER(SEARCH("crack",C417)),"Break",ISNUMBER(SEARCH("snap",C417)),"Break",ISNUMBER(SEARCH("fracture",C417)),"Break",ISNUMBER(SEARCH("bent",C417)),"Material Twisted/Bent",ISNUMBER(SEARCH("twisted",C417)),"Material Twisted/Bent",ISNUMBER(SEARCH("component separat",C417)),"Material Separation",ISNUMBER(SEARCH("separat",C417)),"Material Separation",ISNUMBER(SEARCH("connection",C417)),"Loose or Intermittent Connection",ISNUMBER(SEARCH("loose",C417)),"Loose or Intermittent Connection",ISNUMBER(SEARCH("damaged packaging",C417)),"Packaging Problem",ISNUMBER(SEARCH("packaging",C417)),"Packaging Problem",ISNUMBER(SEARCH("discoloration",C417)),"Contamination",ISNUMBER(SEARCH("tarnish",C417)),"Contamination",ISNUMBER(SEARCH("stain",C417)),"Contamination",ISNUMBER(SEARCH("foreign material",C417)),"Contamination",ISNUMBER(SEARCH("contamina",C417)),"Contamination",ISNUMBER(SEARCH("overheat",C417)),"Overheating of Device",ISNUMBER(SEARCH("excessive heat",C417)),"Overheating of Device",ISNUMBER(SEARCH("hot",C417)),"Overheating of Device",ISNUMBER(SEARCH("noise",C417)),"Noise, Audible",ISNUMBER(SEARCH("sound",C417)),"Noise, Audible",ISNUMBER(SEARCH("loud",C417)),"Noise, Audible",ISNUMBER(SEARCH("fray",C417)),"Material Frayed",ISNUMBER(SEARCH("hole",C417)),"Material Frayed",ISNUMBER(SEARCH("tear",C417)),"Material Frayed",ISNUMBER(SEARCH("worn",C417)),"Material Frayed",ISNUMBER(SEARCH("intermittent",C417)),"Difficult or Delayed Activation",ISNUMBER(SEARCH("delay",C417)),"Difficult or Delayed Activation",ISNUMBER(SEARCH("label",C417)),"Device Markings/Labelling Problem",ISNUMBER(SEARCH("marking",C417)),"Device Markings/Labelling Problem",ISNUMBER(SEARCH("lacerat",C417)),"Defective Device",ISNUMBER(SEARCH("cut",C417)),"Defective Device",ISNUMBER(SEARCH("leak",C417)),"Fluid/Blood Leak",ISNUMBER(SEARCH("missing",C417)),"Component Missing",ISNUMBER(SEARCH("power",C417)),"Complete Loss of Power",ISNUMBER(SEARCH("will not turn on",C417)),"Complete Loss of Power",ISNUMBER(SEARCH("won't turn on",C417)),"Complete Loss of Power",ISNUMBER(SEARCH("does not turn on",C417)),"Complete Loss of Power",ISNUMBER(SEARCH("electrical",C417)),"Electrical Power Problem",ISNUMBER(SEARCH("pressure",C417)),"Detachment of Device or Device Component",ISNUMBER(SEARCH("slip",C417)),"Detachment of Device or Device Component",ISNUMBER(SEARCH("detach",C417)),"Detachment of Device or Device Component",ISNUMBER(SEARCH("stick",C417)),"Mechanical Jam",ISNUMBER(SEARCH("jam",C417)),"Mechanical Jam",ISNUMBER(SEARCH("rigid",C417)),"Mechanical Jam",ISNUMBER(SEARCH("rust",C417)),"Corroded",ISNUMBER(SEARCH("corrod",C417)),"Corroded",ISNUMBER(SEARCH("corrosion",C417)),"Corroded",ISNUMBER(SEARCH("alignment",C417)),"Defective Device",ISNUMBER(SEARCH("adjust",C417)),"Defective Device",ISNUMBER(SEARCH("perform",C417)),"Defective Device",ISNUMBER(SEARCH("malfunction",C417)),"Defective Device",ISNUMBER(SEARCH("defect",C417)),"Defective Device",ISNUMBER(SEARCH("fail",C417)),"Defective Device",ISNUMBER(SEARCH("not work",C417)),"Defective Device",ISNUMBER(SEARCH("doesn't work",C417)),"Defective Device",TRUE,"UNKNOWN"),"UNKNOWN")))</f>
        <v/>
      </c>
      <c r="F417" s="4" t="str">
        <f t="shared" si="6"/>
        <v/>
      </c>
      <c r="G417" s="363" t="str">
        <f>IF(E417="","",IFERROR(VLOOKUP(E417,Codes!$L$2:$N$409,3,FALSE),"—"))</f>
        <v/>
      </c>
      <c r="H417" s="88"/>
      <c r="I417" s="88"/>
    </row>
    <row r="418" spans="1:9" ht="13.15" x14ac:dyDescent="0.35">
      <c r="A418" s="434"/>
      <c r="B418" s="436"/>
      <c r="C418" s="437"/>
      <c r="D418" s="434"/>
      <c r="E418" s="93" t="str" cm="1">
        <f t="array" ref="E418">IF(D418&lt;&gt;"",IFERROR(VLOOKUP(D418,Codes!$K$2:$L$409,2,FALSE),"UNKNOWN - "&amp;D418),IF(C418="","",IFERROR(_xlfn.IFS(ISNUMBER(SEARCH("broken button",C418)),"Break",ISNUMBER(SEARCH("broken handle",C418)),"Break",ISNUMBER(SEARCH("shipping damage",C418)),"Break",ISNUMBER(SEARCH("broken",C418)),"Break",ISNUMBER(SEARCH("crack",C418)),"Break",ISNUMBER(SEARCH("snap",C418)),"Break",ISNUMBER(SEARCH("fracture",C418)),"Break",ISNUMBER(SEARCH("bent",C418)),"Material Twisted/Bent",ISNUMBER(SEARCH("twisted",C418)),"Material Twisted/Bent",ISNUMBER(SEARCH("component separat",C418)),"Material Separation",ISNUMBER(SEARCH("separat",C418)),"Material Separation",ISNUMBER(SEARCH("connection",C418)),"Loose or Intermittent Connection",ISNUMBER(SEARCH("loose",C418)),"Loose or Intermittent Connection",ISNUMBER(SEARCH("damaged packaging",C418)),"Packaging Problem",ISNUMBER(SEARCH("packaging",C418)),"Packaging Problem",ISNUMBER(SEARCH("discoloration",C418)),"Contamination",ISNUMBER(SEARCH("tarnish",C418)),"Contamination",ISNUMBER(SEARCH("stain",C418)),"Contamination",ISNUMBER(SEARCH("foreign material",C418)),"Contamination",ISNUMBER(SEARCH("contamina",C418)),"Contamination",ISNUMBER(SEARCH("overheat",C418)),"Overheating of Device",ISNUMBER(SEARCH("excessive heat",C418)),"Overheating of Device",ISNUMBER(SEARCH("hot",C418)),"Overheating of Device",ISNUMBER(SEARCH("noise",C418)),"Noise, Audible",ISNUMBER(SEARCH("sound",C418)),"Noise, Audible",ISNUMBER(SEARCH("loud",C418)),"Noise, Audible",ISNUMBER(SEARCH("fray",C418)),"Material Frayed",ISNUMBER(SEARCH("hole",C418)),"Material Frayed",ISNUMBER(SEARCH("tear",C418)),"Material Frayed",ISNUMBER(SEARCH("worn",C418)),"Material Frayed",ISNUMBER(SEARCH("intermittent",C418)),"Difficult or Delayed Activation",ISNUMBER(SEARCH("delay",C418)),"Difficult or Delayed Activation",ISNUMBER(SEARCH("label",C418)),"Device Markings/Labelling Problem",ISNUMBER(SEARCH("marking",C418)),"Device Markings/Labelling Problem",ISNUMBER(SEARCH("lacerat",C418)),"Defective Device",ISNUMBER(SEARCH("cut",C418)),"Defective Device",ISNUMBER(SEARCH("leak",C418)),"Fluid/Blood Leak",ISNUMBER(SEARCH("missing",C418)),"Component Missing",ISNUMBER(SEARCH("power",C418)),"Complete Loss of Power",ISNUMBER(SEARCH("will not turn on",C418)),"Complete Loss of Power",ISNUMBER(SEARCH("won't turn on",C418)),"Complete Loss of Power",ISNUMBER(SEARCH("does not turn on",C418)),"Complete Loss of Power",ISNUMBER(SEARCH("electrical",C418)),"Electrical Power Problem",ISNUMBER(SEARCH("pressure",C418)),"Detachment of Device or Device Component",ISNUMBER(SEARCH("slip",C418)),"Detachment of Device or Device Component",ISNUMBER(SEARCH("detach",C418)),"Detachment of Device or Device Component",ISNUMBER(SEARCH("stick",C418)),"Mechanical Jam",ISNUMBER(SEARCH("jam",C418)),"Mechanical Jam",ISNUMBER(SEARCH("rigid",C418)),"Mechanical Jam",ISNUMBER(SEARCH("rust",C418)),"Corroded",ISNUMBER(SEARCH("corrod",C418)),"Corroded",ISNUMBER(SEARCH("corrosion",C418)),"Corroded",ISNUMBER(SEARCH("alignment",C418)),"Defective Device",ISNUMBER(SEARCH("adjust",C418)),"Defective Device",ISNUMBER(SEARCH("perform",C418)),"Defective Device",ISNUMBER(SEARCH("malfunction",C418)),"Defective Device",ISNUMBER(SEARCH("defect",C418)),"Defective Device",ISNUMBER(SEARCH("fail",C418)),"Defective Device",ISNUMBER(SEARCH("not work",C418)),"Defective Device",ISNUMBER(SEARCH("doesn't work",C418)),"Defective Device",TRUE,"UNKNOWN"),"UNKNOWN")))</f>
        <v/>
      </c>
      <c r="F418" s="4" t="str">
        <f t="shared" si="6"/>
        <v/>
      </c>
      <c r="G418" s="363" t="str">
        <f>IF(E418="","",IFERROR(VLOOKUP(E418,Codes!$L$2:$N$409,3,FALSE),"—"))</f>
        <v/>
      </c>
      <c r="H418" s="88"/>
      <c r="I418" s="88"/>
    </row>
    <row r="419" spans="1:9" ht="13.15" x14ac:dyDescent="0.35">
      <c r="A419" s="435"/>
      <c r="B419" s="436"/>
      <c r="C419" s="438"/>
      <c r="D419" s="435"/>
      <c r="E419" s="93" t="str" cm="1">
        <f t="array" ref="E419">IF(D419&lt;&gt;"",IFERROR(VLOOKUP(D419,Codes!$K$2:$L$409,2,FALSE),"UNKNOWN - "&amp;D419),IF(C419="","",IFERROR(_xlfn.IFS(ISNUMBER(SEARCH("broken button",C419)),"Break",ISNUMBER(SEARCH("broken handle",C419)),"Break",ISNUMBER(SEARCH("shipping damage",C419)),"Break",ISNUMBER(SEARCH("broken",C419)),"Break",ISNUMBER(SEARCH("crack",C419)),"Break",ISNUMBER(SEARCH("snap",C419)),"Break",ISNUMBER(SEARCH("fracture",C419)),"Break",ISNUMBER(SEARCH("bent",C419)),"Material Twisted/Bent",ISNUMBER(SEARCH("twisted",C419)),"Material Twisted/Bent",ISNUMBER(SEARCH("component separat",C419)),"Material Separation",ISNUMBER(SEARCH("separat",C419)),"Material Separation",ISNUMBER(SEARCH("connection",C419)),"Loose or Intermittent Connection",ISNUMBER(SEARCH("loose",C419)),"Loose or Intermittent Connection",ISNUMBER(SEARCH("damaged packaging",C419)),"Packaging Problem",ISNUMBER(SEARCH("packaging",C419)),"Packaging Problem",ISNUMBER(SEARCH("discoloration",C419)),"Contamination",ISNUMBER(SEARCH("tarnish",C419)),"Contamination",ISNUMBER(SEARCH("stain",C419)),"Contamination",ISNUMBER(SEARCH("foreign material",C419)),"Contamination",ISNUMBER(SEARCH("contamina",C419)),"Contamination",ISNUMBER(SEARCH("overheat",C419)),"Overheating of Device",ISNUMBER(SEARCH("excessive heat",C419)),"Overheating of Device",ISNUMBER(SEARCH("hot",C419)),"Overheating of Device",ISNUMBER(SEARCH("noise",C419)),"Noise, Audible",ISNUMBER(SEARCH("sound",C419)),"Noise, Audible",ISNUMBER(SEARCH("loud",C419)),"Noise, Audible",ISNUMBER(SEARCH("fray",C419)),"Material Frayed",ISNUMBER(SEARCH("hole",C419)),"Material Frayed",ISNUMBER(SEARCH("tear",C419)),"Material Frayed",ISNUMBER(SEARCH("worn",C419)),"Material Frayed",ISNUMBER(SEARCH("intermittent",C419)),"Difficult or Delayed Activation",ISNUMBER(SEARCH("delay",C419)),"Difficult or Delayed Activation",ISNUMBER(SEARCH("label",C419)),"Device Markings/Labelling Problem",ISNUMBER(SEARCH("marking",C419)),"Device Markings/Labelling Problem",ISNUMBER(SEARCH("lacerat",C419)),"Defective Device",ISNUMBER(SEARCH("cut",C419)),"Defective Device",ISNUMBER(SEARCH("leak",C419)),"Fluid/Blood Leak",ISNUMBER(SEARCH("missing",C419)),"Component Missing",ISNUMBER(SEARCH("power",C419)),"Complete Loss of Power",ISNUMBER(SEARCH("will not turn on",C419)),"Complete Loss of Power",ISNUMBER(SEARCH("won't turn on",C419)),"Complete Loss of Power",ISNUMBER(SEARCH("does not turn on",C419)),"Complete Loss of Power",ISNUMBER(SEARCH("electrical",C419)),"Electrical Power Problem",ISNUMBER(SEARCH("pressure",C419)),"Detachment of Device or Device Component",ISNUMBER(SEARCH("slip",C419)),"Detachment of Device or Device Component",ISNUMBER(SEARCH("detach",C419)),"Detachment of Device or Device Component",ISNUMBER(SEARCH("stick",C419)),"Mechanical Jam",ISNUMBER(SEARCH("jam",C419)),"Mechanical Jam",ISNUMBER(SEARCH("rigid",C419)),"Mechanical Jam",ISNUMBER(SEARCH("rust",C419)),"Corroded",ISNUMBER(SEARCH("corrod",C419)),"Corroded",ISNUMBER(SEARCH("corrosion",C419)),"Corroded",ISNUMBER(SEARCH("alignment",C419)),"Defective Device",ISNUMBER(SEARCH("adjust",C419)),"Defective Device",ISNUMBER(SEARCH("perform",C419)),"Defective Device",ISNUMBER(SEARCH("malfunction",C419)),"Defective Device",ISNUMBER(SEARCH("defect",C419)),"Defective Device",ISNUMBER(SEARCH("fail",C419)),"Defective Device",ISNUMBER(SEARCH("not work",C419)),"Defective Device",ISNUMBER(SEARCH("doesn't work",C419)),"Defective Device",TRUE,"UNKNOWN"),"UNKNOWN")))</f>
        <v/>
      </c>
      <c r="F419" s="4" t="str">
        <f t="shared" si="6"/>
        <v/>
      </c>
      <c r="G419" s="363" t="str">
        <f>IF(E419="","",IFERROR(VLOOKUP(E419,Codes!$L$2:$N$409,3,FALSE),"—"))</f>
        <v/>
      </c>
      <c r="H419" s="88"/>
      <c r="I419" s="88"/>
    </row>
    <row r="420" spans="1:9" ht="13.15" x14ac:dyDescent="0.35">
      <c r="A420" s="435"/>
      <c r="B420" s="436"/>
      <c r="C420" s="438"/>
      <c r="D420" s="435"/>
      <c r="E420" s="93" t="str" cm="1">
        <f t="array" ref="E420">IF(D420&lt;&gt;"",IFERROR(VLOOKUP(D420,Codes!$K$2:$L$409,2,FALSE),"UNKNOWN - "&amp;D420),IF(C420="","",IFERROR(_xlfn.IFS(ISNUMBER(SEARCH("broken button",C420)),"Break",ISNUMBER(SEARCH("broken handle",C420)),"Break",ISNUMBER(SEARCH("shipping damage",C420)),"Break",ISNUMBER(SEARCH("broken",C420)),"Break",ISNUMBER(SEARCH("crack",C420)),"Break",ISNUMBER(SEARCH("snap",C420)),"Break",ISNUMBER(SEARCH("fracture",C420)),"Break",ISNUMBER(SEARCH("bent",C420)),"Material Twisted/Bent",ISNUMBER(SEARCH("twisted",C420)),"Material Twisted/Bent",ISNUMBER(SEARCH("component separat",C420)),"Material Separation",ISNUMBER(SEARCH("separat",C420)),"Material Separation",ISNUMBER(SEARCH("connection",C420)),"Loose or Intermittent Connection",ISNUMBER(SEARCH("loose",C420)),"Loose or Intermittent Connection",ISNUMBER(SEARCH("damaged packaging",C420)),"Packaging Problem",ISNUMBER(SEARCH("packaging",C420)),"Packaging Problem",ISNUMBER(SEARCH("discoloration",C420)),"Contamination",ISNUMBER(SEARCH("tarnish",C420)),"Contamination",ISNUMBER(SEARCH("stain",C420)),"Contamination",ISNUMBER(SEARCH("foreign material",C420)),"Contamination",ISNUMBER(SEARCH("contamina",C420)),"Contamination",ISNUMBER(SEARCH("overheat",C420)),"Overheating of Device",ISNUMBER(SEARCH("excessive heat",C420)),"Overheating of Device",ISNUMBER(SEARCH("hot",C420)),"Overheating of Device",ISNUMBER(SEARCH("noise",C420)),"Noise, Audible",ISNUMBER(SEARCH("sound",C420)),"Noise, Audible",ISNUMBER(SEARCH("loud",C420)),"Noise, Audible",ISNUMBER(SEARCH("fray",C420)),"Material Frayed",ISNUMBER(SEARCH("hole",C420)),"Material Frayed",ISNUMBER(SEARCH("tear",C420)),"Material Frayed",ISNUMBER(SEARCH("worn",C420)),"Material Frayed",ISNUMBER(SEARCH("intermittent",C420)),"Difficult or Delayed Activation",ISNUMBER(SEARCH("delay",C420)),"Difficult or Delayed Activation",ISNUMBER(SEARCH("label",C420)),"Device Markings/Labelling Problem",ISNUMBER(SEARCH("marking",C420)),"Device Markings/Labelling Problem",ISNUMBER(SEARCH("lacerat",C420)),"Defective Device",ISNUMBER(SEARCH("cut",C420)),"Defective Device",ISNUMBER(SEARCH("leak",C420)),"Fluid/Blood Leak",ISNUMBER(SEARCH("missing",C420)),"Component Missing",ISNUMBER(SEARCH("power",C420)),"Complete Loss of Power",ISNUMBER(SEARCH("will not turn on",C420)),"Complete Loss of Power",ISNUMBER(SEARCH("won't turn on",C420)),"Complete Loss of Power",ISNUMBER(SEARCH("does not turn on",C420)),"Complete Loss of Power",ISNUMBER(SEARCH("electrical",C420)),"Electrical Power Problem",ISNUMBER(SEARCH("pressure",C420)),"Detachment of Device or Device Component",ISNUMBER(SEARCH("slip",C420)),"Detachment of Device or Device Component",ISNUMBER(SEARCH("detach",C420)),"Detachment of Device or Device Component",ISNUMBER(SEARCH("stick",C420)),"Mechanical Jam",ISNUMBER(SEARCH("jam",C420)),"Mechanical Jam",ISNUMBER(SEARCH("rigid",C420)),"Mechanical Jam",ISNUMBER(SEARCH("rust",C420)),"Corroded",ISNUMBER(SEARCH("corrod",C420)),"Corroded",ISNUMBER(SEARCH("corrosion",C420)),"Corroded",ISNUMBER(SEARCH("alignment",C420)),"Defective Device",ISNUMBER(SEARCH("adjust",C420)),"Defective Device",ISNUMBER(SEARCH("perform",C420)),"Defective Device",ISNUMBER(SEARCH("malfunction",C420)),"Defective Device",ISNUMBER(SEARCH("defect",C420)),"Defective Device",ISNUMBER(SEARCH("fail",C420)),"Defective Device",ISNUMBER(SEARCH("not work",C420)),"Defective Device",ISNUMBER(SEARCH("doesn't work",C420)),"Defective Device",TRUE,"UNKNOWN"),"UNKNOWN")))</f>
        <v/>
      </c>
      <c r="F420" s="4" t="str">
        <f t="shared" si="6"/>
        <v/>
      </c>
      <c r="G420" s="363" t="str">
        <f>IF(E420="","",IFERROR(VLOOKUP(E420,Codes!$L$2:$N$409,3,FALSE),"—"))</f>
        <v/>
      </c>
      <c r="H420" s="88"/>
      <c r="I420" s="88"/>
    </row>
    <row r="421" spans="1:9" ht="13.15" x14ac:dyDescent="0.35">
      <c r="A421" s="434"/>
      <c r="B421" s="436"/>
      <c r="C421" s="437"/>
      <c r="D421" s="434"/>
      <c r="E421" s="93" t="str" cm="1">
        <f t="array" ref="E421">IF(D421&lt;&gt;"",IFERROR(VLOOKUP(D421,Codes!$K$2:$L$409,2,FALSE),"UNKNOWN - "&amp;D421),IF(C421="","",IFERROR(_xlfn.IFS(ISNUMBER(SEARCH("broken button",C421)),"Break",ISNUMBER(SEARCH("broken handle",C421)),"Break",ISNUMBER(SEARCH("shipping damage",C421)),"Break",ISNUMBER(SEARCH("broken",C421)),"Break",ISNUMBER(SEARCH("crack",C421)),"Break",ISNUMBER(SEARCH("snap",C421)),"Break",ISNUMBER(SEARCH("fracture",C421)),"Break",ISNUMBER(SEARCH("bent",C421)),"Material Twisted/Bent",ISNUMBER(SEARCH("twisted",C421)),"Material Twisted/Bent",ISNUMBER(SEARCH("component separat",C421)),"Material Separation",ISNUMBER(SEARCH("separat",C421)),"Material Separation",ISNUMBER(SEARCH("connection",C421)),"Loose or Intermittent Connection",ISNUMBER(SEARCH("loose",C421)),"Loose or Intermittent Connection",ISNUMBER(SEARCH("damaged packaging",C421)),"Packaging Problem",ISNUMBER(SEARCH("packaging",C421)),"Packaging Problem",ISNUMBER(SEARCH("discoloration",C421)),"Contamination",ISNUMBER(SEARCH("tarnish",C421)),"Contamination",ISNUMBER(SEARCH("stain",C421)),"Contamination",ISNUMBER(SEARCH("foreign material",C421)),"Contamination",ISNUMBER(SEARCH("contamina",C421)),"Contamination",ISNUMBER(SEARCH("overheat",C421)),"Overheating of Device",ISNUMBER(SEARCH("excessive heat",C421)),"Overheating of Device",ISNUMBER(SEARCH("hot",C421)),"Overheating of Device",ISNUMBER(SEARCH("noise",C421)),"Noise, Audible",ISNUMBER(SEARCH("sound",C421)),"Noise, Audible",ISNUMBER(SEARCH("loud",C421)),"Noise, Audible",ISNUMBER(SEARCH("fray",C421)),"Material Frayed",ISNUMBER(SEARCH("hole",C421)),"Material Frayed",ISNUMBER(SEARCH("tear",C421)),"Material Frayed",ISNUMBER(SEARCH("worn",C421)),"Material Frayed",ISNUMBER(SEARCH("intermittent",C421)),"Difficult or Delayed Activation",ISNUMBER(SEARCH("delay",C421)),"Difficult or Delayed Activation",ISNUMBER(SEARCH("label",C421)),"Device Markings/Labelling Problem",ISNUMBER(SEARCH("marking",C421)),"Device Markings/Labelling Problem",ISNUMBER(SEARCH("lacerat",C421)),"Defective Device",ISNUMBER(SEARCH("cut",C421)),"Defective Device",ISNUMBER(SEARCH("leak",C421)),"Fluid/Blood Leak",ISNUMBER(SEARCH("missing",C421)),"Component Missing",ISNUMBER(SEARCH("power",C421)),"Complete Loss of Power",ISNUMBER(SEARCH("will not turn on",C421)),"Complete Loss of Power",ISNUMBER(SEARCH("won't turn on",C421)),"Complete Loss of Power",ISNUMBER(SEARCH("does not turn on",C421)),"Complete Loss of Power",ISNUMBER(SEARCH("electrical",C421)),"Electrical Power Problem",ISNUMBER(SEARCH("pressure",C421)),"Detachment of Device or Device Component",ISNUMBER(SEARCH("slip",C421)),"Detachment of Device or Device Component",ISNUMBER(SEARCH("detach",C421)),"Detachment of Device or Device Component",ISNUMBER(SEARCH("stick",C421)),"Mechanical Jam",ISNUMBER(SEARCH("jam",C421)),"Mechanical Jam",ISNUMBER(SEARCH("rigid",C421)),"Mechanical Jam",ISNUMBER(SEARCH("rust",C421)),"Corroded",ISNUMBER(SEARCH("corrod",C421)),"Corroded",ISNUMBER(SEARCH("corrosion",C421)),"Corroded",ISNUMBER(SEARCH("alignment",C421)),"Defective Device",ISNUMBER(SEARCH("adjust",C421)),"Defective Device",ISNUMBER(SEARCH("perform",C421)),"Defective Device",ISNUMBER(SEARCH("malfunction",C421)),"Defective Device",ISNUMBER(SEARCH("defect",C421)),"Defective Device",ISNUMBER(SEARCH("fail",C421)),"Defective Device",ISNUMBER(SEARCH("not work",C421)),"Defective Device",ISNUMBER(SEARCH("doesn't work",C421)),"Defective Device",TRUE,"UNKNOWN"),"UNKNOWN")))</f>
        <v/>
      </c>
      <c r="F421" s="4" t="str">
        <f t="shared" si="6"/>
        <v/>
      </c>
      <c r="G421" s="363" t="str">
        <f>IF(E421="","",IFERROR(VLOOKUP(E421,Codes!$L$2:$N$409,3,FALSE),"—"))</f>
        <v/>
      </c>
      <c r="H421" s="88"/>
      <c r="I421" s="88"/>
    </row>
    <row r="422" spans="1:9" ht="13.15" x14ac:dyDescent="0.35">
      <c r="A422" s="434"/>
      <c r="B422" s="436"/>
      <c r="C422" s="437"/>
      <c r="D422" s="434"/>
      <c r="E422" s="93" t="str" cm="1">
        <f t="array" ref="E422">IF(D422&lt;&gt;"",IFERROR(VLOOKUP(D422,Codes!$K$2:$L$409,2,FALSE),"UNKNOWN - "&amp;D422),IF(C422="","",IFERROR(_xlfn.IFS(ISNUMBER(SEARCH("broken button",C422)),"Break",ISNUMBER(SEARCH("broken handle",C422)),"Break",ISNUMBER(SEARCH("shipping damage",C422)),"Break",ISNUMBER(SEARCH("broken",C422)),"Break",ISNUMBER(SEARCH("crack",C422)),"Break",ISNUMBER(SEARCH("snap",C422)),"Break",ISNUMBER(SEARCH("fracture",C422)),"Break",ISNUMBER(SEARCH("bent",C422)),"Material Twisted/Bent",ISNUMBER(SEARCH("twisted",C422)),"Material Twisted/Bent",ISNUMBER(SEARCH("component separat",C422)),"Material Separation",ISNUMBER(SEARCH("separat",C422)),"Material Separation",ISNUMBER(SEARCH("connection",C422)),"Loose or Intermittent Connection",ISNUMBER(SEARCH("loose",C422)),"Loose or Intermittent Connection",ISNUMBER(SEARCH("damaged packaging",C422)),"Packaging Problem",ISNUMBER(SEARCH("packaging",C422)),"Packaging Problem",ISNUMBER(SEARCH("discoloration",C422)),"Contamination",ISNUMBER(SEARCH("tarnish",C422)),"Contamination",ISNUMBER(SEARCH("stain",C422)),"Contamination",ISNUMBER(SEARCH("foreign material",C422)),"Contamination",ISNUMBER(SEARCH("contamina",C422)),"Contamination",ISNUMBER(SEARCH("overheat",C422)),"Overheating of Device",ISNUMBER(SEARCH("excessive heat",C422)),"Overheating of Device",ISNUMBER(SEARCH("hot",C422)),"Overheating of Device",ISNUMBER(SEARCH("noise",C422)),"Noise, Audible",ISNUMBER(SEARCH("sound",C422)),"Noise, Audible",ISNUMBER(SEARCH("loud",C422)),"Noise, Audible",ISNUMBER(SEARCH("fray",C422)),"Material Frayed",ISNUMBER(SEARCH("hole",C422)),"Material Frayed",ISNUMBER(SEARCH("tear",C422)),"Material Frayed",ISNUMBER(SEARCH("worn",C422)),"Material Frayed",ISNUMBER(SEARCH("intermittent",C422)),"Difficult or Delayed Activation",ISNUMBER(SEARCH("delay",C422)),"Difficult or Delayed Activation",ISNUMBER(SEARCH("label",C422)),"Device Markings/Labelling Problem",ISNUMBER(SEARCH("marking",C422)),"Device Markings/Labelling Problem",ISNUMBER(SEARCH("lacerat",C422)),"Defective Device",ISNUMBER(SEARCH("cut",C422)),"Defective Device",ISNUMBER(SEARCH("leak",C422)),"Fluid/Blood Leak",ISNUMBER(SEARCH("missing",C422)),"Component Missing",ISNUMBER(SEARCH("power",C422)),"Complete Loss of Power",ISNUMBER(SEARCH("will not turn on",C422)),"Complete Loss of Power",ISNUMBER(SEARCH("won't turn on",C422)),"Complete Loss of Power",ISNUMBER(SEARCH("does not turn on",C422)),"Complete Loss of Power",ISNUMBER(SEARCH("electrical",C422)),"Electrical Power Problem",ISNUMBER(SEARCH("pressure",C422)),"Detachment of Device or Device Component",ISNUMBER(SEARCH("slip",C422)),"Detachment of Device or Device Component",ISNUMBER(SEARCH("detach",C422)),"Detachment of Device or Device Component",ISNUMBER(SEARCH("stick",C422)),"Mechanical Jam",ISNUMBER(SEARCH("jam",C422)),"Mechanical Jam",ISNUMBER(SEARCH("rigid",C422)),"Mechanical Jam",ISNUMBER(SEARCH("rust",C422)),"Corroded",ISNUMBER(SEARCH("corrod",C422)),"Corroded",ISNUMBER(SEARCH("corrosion",C422)),"Corroded",ISNUMBER(SEARCH("alignment",C422)),"Defective Device",ISNUMBER(SEARCH("adjust",C422)),"Defective Device",ISNUMBER(SEARCH("perform",C422)),"Defective Device",ISNUMBER(SEARCH("malfunction",C422)),"Defective Device",ISNUMBER(SEARCH("defect",C422)),"Defective Device",ISNUMBER(SEARCH("fail",C422)),"Defective Device",ISNUMBER(SEARCH("not work",C422)),"Defective Device",ISNUMBER(SEARCH("doesn't work",C422)),"Defective Device",TRUE,"UNKNOWN"),"UNKNOWN")))</f>
        <v/>
      </c>
      <c r="F422" s="4" t="str">
        <f t="shared" si="6"/>
        <v/>
      </c>
      <c r="G422" s="363" t="str">
        <f>IF(E422="","",IFERROR(VLOOKUP(E422,Codes!$L$2:$N$409,3,FALSE),"—"))</f>
        <v/>
      </c>
      <c r="H422" s="88"/>
      <c r="I422" s="88"/>
    </row>
    <row r="423" spans="1:9" ht="13.15" x14ac:dyDescent="0.35">
      <c r="A423" s="435"/>
      <c r="B423" s="436"/>
      <c r="C423" s="440"/>
      <c r="D423" s="435"/>
      <c r="E423" s="93" t="str" cm="1">
        <f t="array" ref="E423">IF(D423&lt;&gt;"",IFERROR(VLOOKUP(D423,Codes!$K$2:$L$409,2,FALSE),"UNKNOWN - "&amp;D423),IF(C423="","",IFERROR(_xlfn.IFS(ISNUMBER(SEARCH("broken button",C423)),"Break",ISNUMBER(SEARCH("broken handle",C423)),"Break",ISNUMBER(SEARCH("shipping damage",C423)),"Break",ISNUMBER(SEARCH("broken",C423)),"Break",ISNUMBER(SEARCH("crack",C423)),"Break",ISNUMBER(SEARCH("snap",C423)),"Break",ISNUMBER(SEARCH("fracture",C423)),"Break",ISNUMBER(SEARCH("bent",C423)),"Material Twisted/Bent",ISNUMBER(SEARCH("twisted",C423)),"Material Twisted/Bent",ISNUMBER(SEARCH("component separat",C423)),"Material Separation",ISNUMBER(SEARCH("separat",C423)),"Material Separation",ISNUMBER(SEARCH("connection",C423)),"Loose or Intermittent Connection",ISNUMBER(SEARCH("loose",C423)),"Loose or Intermittent Connection",ISNUMBER(SEARCH("damaged packaging",C423)),"Packaging Problem",ISNUMBER(SEARCH("packaging",C423)),"Packaging Problem",ISNUMBER(SEARCH("discoloration",C423)),"Contamination",ISNUMBER(SEARCH("tarnish",C423)),"Contamination",ISNUMBER(SEARCH("stain",C423)),"Contamination",ISNUMBER(SEARCH("foreign material",C423)),"Contamination",ISNUMBER(SEARCH("contamina",C423)),"Contamination",ISNUMBER(SEARCH("overheat",C423)),"Overheating of Device",ISNUMBER(SEARCH("excessive heat",C423)),"Overheating of Device",ISNUMBER(SEARCH("hot",C423)),"Overheating of Device",ISNUMBER(SEARCH("noise",C423)),"Noise, Audible",ISNUMBER(SEARCH("sound",C423)),"Noise, Audible",ISNUMBER(SEARCH("loud",C423)),"Noise, Audible",ISNUMBER(SEARCH("fray",C423)),"Material Frayed",ISNUMBER(SEARCH("hole",C423)),"Material Frayed",ISNUMBER(SEARCH("tear",C423)),"Material Frayed",ISNUMBER(SEARCH("worn",C423)),"Material Frayed",ISNUMBER(SEARCH("intermittent",C423)),"Difficult or Delayed Activation",ISNUMBER(SEARCH("delay",C423)),"Difficult or Delayed Activation",ISNUMBER(SEARCH("label",C423)),"Device Markings/Labelling Problem",ISNUMBER(SEARCH("marking",C423)),"Device Markings/Labelling Problem",ISNUMBER(SEARCH("lacerat",C423)),"Defective Device",ISNUMBER(SEARCH("cut",C423)),"Defective Device",ISNUMBER(SEARCH("leak",C423)),"Fluid/Blood Leak",ISNUMBER(SEARCH("missing",C423)),"Component Missing",ISNUMBER(SEARCH("power",C423)),"Complete Loss of Power",ISNUMBER(SEARCH("will not turn on",C423)),"Complete Loss of Power",ISNUMBER(SEARCH("won't turn on",C423)),"Complete Loss of Power",ISNUMBER(SEARCH("does not turn on",C423)),"Complete Loss of Power",ISNUMBER(SEARCH("electrical",C423)),"Electrical Power Problem",ISNUMBER(SEARCH("pressure",C423)),"Detachment of Device or Device Component",ISNUMBER(SEARCH("slip",C423)),"Detachment of Device or Device Component",ISNUMBER(SEARCH("detach",C423)),"Detachment of Device or Device Component",ISNUMBER(SEARCH("stick",C423)),"Mechanical Jam",ISNUMBER(SEARCH("jam",C423)),"Mechanical Jam",ISNUMBER(SEARCH("rigid",C423)),"Mechanical Jam",ISNUMBER(SEARCH("rust",C423)),"Corroded",ISNUMBER(SEARCH("corrod",C423)),"Corroded",ISNUMBER(SEARCH("corrosion",C423)),"Corroded",ISNUMBER(SEARCH("alignment",C423)),"Defective Device",ISNUMBER(SEARCH("adjust",C423)),"Defective Device",ISNUMBER(SEARCH("perform",C423)),"Defective Device",ISNUMBER(SEARCH("malfunction",C423)),"Defective Device",ISNUMBER(SEARCH("defect",C423)),"Defective Device",ISNUMBER(SEARCH("fail",C423)),"Defective Device",ISNUMBER(SEARCH("not work",C423)),"Defective Device",ISNUMBER(SEARCH("doesn't work",C423)),"Defective Device",TRUE,"UNKNOWN"),"UNKNOWN")))</f>
        <v/>
      </c>
      <c r="F423" s="4" t="str">
        <f t="shared" si="6"/>
        <v/>
      </c>
      <c r="G423" s="363" t="str">
        <f>IF(E423="","",IFERROR(VLOOKUP(E423,Codes!$L$2:$N$409,3,FALSE),"—"))</f>
        <v/>
      </c>
      <c r="H423" s="88"/>
      <c r="I423" s="88"/>
    </row>
    <row r="424" spans="1:9" ht="13.15" x14ac:dyDescent="0.35">
      <c r="A424" s="434"/>
      <c r="B424" s="436"/>
      <c r="C424" s="437"/>
      <c r="D424" s="434"/>
      <c r="E424" s="93" t="str" cm="1">
        <f t="array" ref="E424">IF(D424&lt;&gt;"",IFERROR(VLOOKUP(D424,Codes!$K$2:$L$409,2,FALSE),"UNKNOWN - "&amp;D424),IF(C424="","",IFERROR(_xlfn.IFS(ISNUMBER(SEARCH("broken button",C424)),"Break",ISNUMBER(SEARCH("broken handle",C424)),"Break",ISNUMBER(SEARCH("shipping damage",C424)),"Break",ISNUMBER(SEARCH("broken",C424)),"Break",ISNUMBER(SEARCH("crack",C424)),"Break",ISNUMBER(SEARCH("snap",C424)),"Break",ISNUMBER(SEARCH("fracture",C424)),"Break",ISNUMBER(SEARCH("bent",C424)),"Material Twisted/Bent",ISNUMBER(SEARCH("twisted",C424)),"Material Twisted/Bent",ISNUMBER(SEARCH("component separat",C424)),"Material Separation",ISNUMBER(SEARCH("separat",C424)),"Material Separation",ISNUMBER(SEARCH("connection",C424)),"Loose or Intermittent Connection",ISNUMBER(SEARCH("loose",C424)),"Loose or Intermittent Connection",ISNUMBER(SEARCH("damaged packaging",C424)),"Packaging Problem",ISNUMBER(SEARCH("packaging",C424)),"Packaging Problem",ISNUMBER(SEARCH("discoloration",C424)),"Contamination",ISNUMBER(SEARCH("tarnish",C424)),"Contamination",ISNUMBER(SEARCH("stain",C424)),"Contamination",ISNUMBER(SEARCH("foreign material",C424)),"Contamination",ISNUMBER(SEARCH("contamina",C424)),"Contamination",ISNUMBER(SEARCH("overheat",C424)),"Overheating of Device",ISNUMBER(SEARCH("excessive heat",C424)),"Overheating of Device",ISNUMBER(SEARCH("hot",C424)),"Overheating of Device",ISNUMBER(SEARCH("noise",C424)),"Noise, Audible",ISNUMBER(SEARCH("sound",C424)),"Noise, Audible",ISNUMBER(SEARCH("loud",C424)),"Noise, Audible",ISNUMBER(SEARCH("fray",C424)),"Material Frayed",ISNUMBER(SEARCH("hole",C424)),"Material Frayed",ISNUMBER(SEARCH("tear",C424)),"Material Frayed",ISNUMBER(SEARCH("worn",C424)),"Material Frayed",ISNUMBER(SEARCH("intermittent",C424)),"Difficult or Delayed Activation",ISNUMBER(SEARCH("delay",C424)),"Difficult or Delayed Activation",ISNUMBER(SEARCH("label",C424)),"Device Markings/Labelling Problem",ISNUMBER(SEARCH("marking",C424)),"Device Markings/Labelling Problem",ISNUMBER(SEARCH("lacerat",C424)),"Defective Device",ISNUMBER(SEARCH("cut",C424)),"Defective Device",ISNUMBER(SEARCH("leak",C424)),"Fluid/Blood Leak",ISNUMBER(SEARCH("missing",C424)),"Component Missing",ISNUMBER(SEARCH("power",C424)),"Complete Loss of Power",ISNUMBER(SEARCH("will not turn on",C424)),"Complete Loss of Power",ISNUMBER(SEARCH("won't turn on",C424)),"Complete Loss of Power",ISNUMBER(SEARCH("does not turn on",C424)),"Complete Loss of Power",ISNUMBER(SEARCH("electrical",C424)),"Electrical Power Problem",ISNUMBER(SEARCH("pressure",C424)),"Detachment of Device or Device Component",ISNUMBER(SEARCH("slip",C424)),"Detachment of Device or Device Component",ISNUMBER(SEARCH("detach",C424)),"Detachment of Device or Device Component",ISNUMBER(SEARCH("stick",C424)),"Mechanical Jam",ISNUMBER(SEARCH("jam",C424)),"Mechanical Jam",ISNUMBER(SEARCH("rigid",C424)),"Mechanical Jam",ISNUMBER(SEARCH("rust",C424)),"Corroded",ISNUMBER(SEARCH("corrod",C424)),"Corroded",ISNUMBER(SEARCH("corrosion",C424)),"Corroded",ISNUMBER(SEARCH("alignment",C424)),"Defective Device",ISNUMBER(SEARCH("adjust",C424)),"Defective Device",ISNUMBER(SEARCH("perform",C424)),"Defective Device",ISNUMBER(SEARCH("malfunction",C424)),"Defective Device",ISNUMBER(SEARCH("defect",C424)),"Defective Device",ISNUMBER(SEARCH("fail",C424)),"Defective Device",ISNUMBER(SEARCH("not work",C424)),"Defective Device",ISNUMBER(SEARCH("doesn't work",C424)),"Defective Device",TRUE,"UNKNOWN"),"UNKNOWN")))</f>
        <v/>
      </c>
      <c r="F424" s="4" t="str">
        <f t="shared" si="6"/>
        <v/>
      </c>
      <c r="G424" s="363" t="str">
        <f>IF(E424="","",IFERROR(VLOOKUP(E424,Codes!$L$2:$N$409,3,FALSE),"—"))</f>
        <v/>
      </c>
      <c r="H424" s="88"/>
      <c r="I424" s="88"/>
    </row>
    <row r="425" spans="1:9" ht="13.15" x14ac:dyDescent="0.35">
      <c r="A425" s="435"/>
      <c r="B425" s="436"/>
      <c r="C425" s="438"/>
      <c r="D425" s="435"/>
      <c r="E425" s="93" t="str" cm="1">
        <f t="array" ref="E425">IF(D425&lt;&gt;"",IFERROR(VLOOKUP(D425,Codes!$K$2:$L$409,2,FALSE),"UNKNOWN - "&amp;D425),IF(C425="","",IFERROR(_xlfn.IFS(ISNUMBER(SEARCH("broken button",C425)),"Break",ISNUMBER(SEARCH("broken handle",C425)),"Break",ISNUMBER(SEARCH("shipping damage",C425)),"Break",ISNUMBER(SEARCH("broken",C425)),"Break",ISNUMBER(SEARCH("crack",C425)),"Break",ISNUMBER(SEARCH("snap",C425)),"Break",ISNUMBER(SEARCH("fracture",C425)),"Break",ISNUMBER(SEARCH("bent",C425)),"Material Twisted/Bent",ISNUMBER(SEARCH("twisted",C425)),"Material Twisted/Bent",ISNUMBER(SEARCH("component separat",C425)),"Material Separation",ISNUMBER(SEARCH("separat",C425)),"Material Separation",ISNUMBER(SEARCH("connection",C425)),"Loose or Intermittent Connection",ISNUMBER(SEARCH("loose",C425)),"Loose or Intermittent Connection",ISNUMBER(SEARCH("damaged packaging",C425)),"Packaging Problem",ISNUMBER(SEARCH("packaging",C425)),"Packaging Problem",ISNUMBER(SEARCH("discoloration",C425)),"Contamination",ISNUMBER(SEARCH("tarnish",C425)),"Contamination",ISNUMBER(SEARCH("stain",C425)),"Contamination",ISNUMBER(SEARCH("foreign material",C425)),"Contamination",ISNUMBER(SEARCH("contamina",C425)),"Contamination",ISNUMBER(SEARCH("overheat",C425)),"Overheating of Device",ISNUMBER(SEARCH("excessive heat",C425)),"Overheating of Device",ISNUMBER(SEARCH("hot",C425)),"Overheating of Device",ISNUMBER(SEARCH("noise",C425)),"Noise, Audible",ISNUMBER(SEARCH("sound",C425)),"Noise, Audible",ISNUMBER(SEARCH("loud",C425)),"Noise, Audible",ISNUMBER(SEARCH("fray",C425)),"Material Frayed",ISNUMBER(SEARCH("hole",C425)),"Material Frayed",ISNUMBER(SEARCH("tear",C425)),"Material Frayed",ISNUMBER(SEARCH("worn",C425)),"Material Frayed",ISNUMBER(SEARCH("intermittent",C425)),"Difficult or Delayed Activation",ISNUMBER(SEARCH("delay",C425)),"Difficult or Delayed Activation",ISNUMBER(SEARCH("label",C425)),"Device Markings/Labelling Problem",ISNUMBER(SEARCH("marking",C425)),"Device Markings/Labelling Problem",ISNUMBER(SEARCH("lacerat",C425)),"Defective Device",ISNUMBER(SEARCH("cut",C425)),"Defective Device",ISNUMBER(SEARCH("leak",C425)),"Fluid/Blood Leak",ISNUMBER(SEARCH("missing",C425)),"Component Missing",ISNUMBER(SEARCH("power",C425)),"Complete Loss of Power",ISNUMBER(SEARCH("will not turn on",C425)),"Complete Loss of Power",ISNUMBER(SEARCH("won't turn on",C425)),"Complete Loss of Power",ISNUMBER(SEARCH("does not turn on",C425)),"Complete Loss of Power",ISNUMBER(SEARCH("electrical",C425)),"Electrical Power Problem",ISNUMBER(SEARCH("pressure",C425)),"Detachment of Device or Device Component",ISNUMBER(SEARCH("slip",C425)),"Detachment of Device or Device Component",ISNUMBER(SEARCH("detach",C425)),"Detachment of Device or Device Component",ISNUMBER(SEARCH("stick",C425)),"Mechanical Jam",ISNUMBER(SEARCH("jam",C425)),"Mechanical Jam",ISNUMBER(SEARCH("rigid",C425)),"Mechanical Jam",ISNUMBER(SEARCH("rust",C425)),"Corroded",ISNUMBER(SEARCH("corrod",C425)),"Corroded",ISNUMBER(SEARCH("corrosion",C425)),"Corroded",ISNUMBER(SEARCH("alignment",C425)),"Defective Device",ISNUMBER(SEARCH("adjust",C425)),"Defective Device",ISNUMBER(SEARCH("perform",C425)),"Defective Device",ISNUMBER(SEARCH("malfunction",C425)),"Defective Device",ISNUMBER(SEARCH("defect",C425)),"Defective Device",ISNUMBER(SEARCH("fail",C425)),"Defective Device",ISNUMBER(SEARCH("not work",C425)),"Defective Device",ISNUMBER(SEARCH("doesn't work",C425)),"Defective Device",TRUE,"UNKNOWN"),"UNKNOWN")))</f>
        <v/>
      </c>
      <c r="F425" s="4" t="str">
        <f t="shared" si="6"/>
        <v/>
      </c>
      <c r="G425" s="363" t="str">
        <f>IF(E425="","",IFERROR(VLOOKUP(E425,Codes!$L$2:$N$409,3,FALSE),"—"))</f>
        <v/>
      </c>
      <c r="H425" s="88"/>
      <c r="I425" s="88"/>
    </row>
    <row r="426" spans="1:9" ht="13.15" x14ac:dyDescent="0.35">
      <c r="A426" s="434"/>
      <c r="B426" s="436"/>
      <c r="C426" s="437"/>
      <c r="D426" s="434"/>
      <c r="E426" s="93" t="str" cm="1">
        <f t="array" ref="E426">IF(D426&lt;&gt;"",IFERROR(VLOOKUP(D426,Codes!$K$2:$L$409,2,FALSE),"UNKNOWN - "&amp;D426),IF(C426="","",IFERROR(_xlfn.IFS(ISNUMBER(SEARCH("broken button",C426)),"Break",ISNUMBER(SEARCH("broken handle",C426)),"Break",ISNUMBER(SEARCH("shipping damage",C426)),"Break",ISNUMBER(SEARCH("broken",C426)),"Break",ISNUMBER(SEARCH("crack",C426)),"Break",ISNUMBER(SEARCH("snap",C426)),"Break",ISNUMBER(SEARCH("fracture",C426)),"Break",ISNUMBER(SEARCH("bent",C426)),"Material Twisted/Bent",ISNUMBER(SEARCH("twisted",C426)),"Material Twisted/Bent",ISNUMBER(SEARCH("component separat",C426)),"Material Separation",ISNUMBER(SEARCH("separat",C426)),"Material Separation",ISNUMBER(SEARCH("connection",C426)),"Loose or Intermittent Connection",ISNUMBER(SEARCH("loose",C426)),"Loose or Intermittent Connection",ISNUMBER(SEARCH("damaged packaging",C426)),"Packaging Problem",ISNUMBER(SEARCH("packaging",C426)),"Packaging Problem",ISNUMBER(SEARCH("discoloration",C426)),"Contamination",ISNUMBER(SEARCH("tarnish",C426)),"Contamination",ISNUMBER(SEARCH("stain",C426)),"Contamination",ISNUMBER(SEARCH("foreign material",C426)),"Contamination",ISNUMBER(SEARCH("contamina",C426)),"Contamination",ISNUMBER(SEARCH("overheat",C426)),"Overheating of Device",ISNUMBER(SEARCH("excessive heat",C426)),"Overheating of Device",ISNUMBER(SEARCH("hot",C426)),"Overheating of Device",ISNUMBER(SEARCH("noise",C426)),"Noise, Audible",ISNUMBER(SEARCH("sound",C426)),"Noise, Audible",ISNUMBER(SEARCH("loud",C426)),"Noise, Audible",ISNUMBER(SEARCH("fray",C426)),"Material Frayed",ISNUMBER(SEARCH("hole",C426)),"Material Frayed",ISNUMBER(SEARCH("tear",C426)),"Material Frayed",ISNUMBER(SEARCH("worn",C426)),"Material Frayed",ISNUMBER(SEARCH("intermittent",C426)),"Difficult or Delayed Activation",ISNUMBER(SEARCH("delay",C426)),"Difficult or Delayed Activation",ISNUMBER(SEARCH("label",C426)),"Device Markings/Labelling Problem",ISNUMBER(SEARCH("marking",C426)),"Device Markings/Labelling Problem",ISNUMBER(SEARCH("lacerat",C426)),"Defective Device",ISNUMBER(SEARCH("cut",C426)),"Defective Device",ISNUMBER(SEARCH("leak",C426)),"Fluid/Blood Leak",ISNUMBER(SEARCH("missing",C426)),"Component Missing",ISNUMBER(SEARCH("power",C426)),"Complete Loss of Power",ISNUMBER(SEARCH("will not turn on",C426)),"Complete Loss of Power",ISNUMBER(SEARCH("won't turn on",C426)),"Complete Loss of Power",ISNUMBER(SEARCH("does not turn on",C426)),"Complete Loss of Power",ISNUMBER(SEARCH("electrical",C426)),"Electrical Power Problem",ISNUMBER(SEARCH("pressure",C426)),"Detachment of Device or Device Component",ISNUMBER(SEARCH("slip",C426)),"Detachment of Device or Device Component",ISNUMBER(SEARCH("detach",C426)),"Detachment of Device or Device Component",ISNUMBER(SEARCH("stick",C426)),"Mechanical Jam",ISNUMBER(SEARCH("jam",C426)),"Mechanical Jam",ISNUMBER(SEARCH("rigid",C426)),"Mechanical Jam",ISNUMBER(SEARCH("rust",C426)),"Corroded",ISNUMBER(SEARCH("corrod",C426)),"Corroded",ISNUMBER(SEARCH("corrosion",C426)),"Corroded",ISNUMBER(SEARCH("alignment",C426)),"Defective Device",ISNUMBER(SEARCH("adjust",C426)),"Defective Device",ISNUMBER(SEARCH("perform",C426)),"Defective Device",ISNUMBER(SEARCH("malfunction",C426)),"Defective Device",ISNUMBER(SEARCH("defect",C426)),"Defective Device",ISNUMBER(SEARCH("fail",C426)),"Defective Device",ISNUMBER(SEARCH("not work",C426)),"Defective Device",ISNUMBER(SEARCH("doesn't work",C426)),"Defective Device",TRUE,"UNKNOWN"),"UNKNOWN")))</f>
        <v/>
      </c>
      <c r="F426" s="4" t="str">
        <f t="shared" si="6"/>
        <v/>
      </c>
      <c r="G426" s="363" t="str">
        <f>IF(E426="","",IFERROR(VLOOKUP(E426,Codes!$L$2:$N$409,3,FALSE),"—"))</f>
        <v/>
      </c>
      <c r="H426" s="88"/>
      <c r="I426" s="88"/>
    </row>
    <row r="427" spans="1:9" ht="13.15" x14ac:dyDescent="0.35">
      <c r="A427" s="435"/>
      <c r="B427" s="436"/>
      <c r="C427" s="438"/>
      <c r="D427" s="435"/>
      <c r="E427" s="93" t="str" cm="1">
        <f t="array" ref="E427">IF(D427&lt;&gt;"",IFERROR(VLOOKUP(D427,Codes!$K$2:$L$409,2,FALSE),"UNKNOWN - "&amp;D427),IF(C427="","",IFERROR(_xlfn.IFS(ISNUMBER(SEARCH("broken button",C427)),"Break",ISNUMBER(SEARCH("broken handle",C427)),"Break",ISNUMBER(SEARCH("shipping damage",C427)),"Break",ISNUMBER(SEARCH("broken",C427)),"Break",ISNUMBER(SEARCH("crack",C427)),"Break",ISNUMBER(SEARCH("snap",C427)),"Break",ISNUMBER(SEARCH("fracture",C427)),"Break",ISNUMBER(SEARCH("bent",C427)),"Material Twisted/Bent",ISNUMBER(SEARCH("twisted",C427)),"Material Twisted/Bent",ISNUMBER(SEARCH("component separat",C427)),"Material Separation",ISNUMBER(SEARCH("separat",C427)),"Material Separation",ISNUMBER(SEARCH("connection",C427)),"Loose or Intermittent Connection",ISNUMBER(SEARCH("loose",C427)),"Loose or Intermittent Connection",ISNUMBER(SEARCH("damaged packaging",C427)),"Packaging Problem",ISNUMBER(SEARCH("packaging",C427)),"Packaging Problem",ISNUMBER(SEARCH("discoloration",C427)),"Contamination",ISNUMBER(SEARCH("tarnish",C427)),"Contamination",ISNUMBER(SEARCH("stain",C427)),"Contamination",ISNUMBER(SEARCH("foreign material",C427)),"Contamination",ISNUMBER(SEARCH("contamina",C427)),"Contamination",ISNUMBER(SEARCH("overheat",C427)),"Overheating of Device",ISNUMBER(SEARCH("excessive heat",C427)),"Overheating of Device",ISNUMBER(SEARCH("hot",C427)),"Overheating of Device",ISNUMBER(SEARCH("noise",C427)),"Noise, Audible",ISNUMBER(SEARCH("sound",C427)),"Noise, Audible",ISNUMBER(SEARCH("loud",C427)),"Noise, Audible",ISNUMBER(SEARCH("fray",C427)),"Material Frayed",ISNUMBER(SEARCH("hole",C427)),"Material Frayed",ISNUMBER(SEARCH("tear",C427)),"Material Frayed",ISNUMBER(SEARCH("worn",C427)),"Material Frayed",ISNUMBER(SEARCH("intermittent",C427)),"Difficult or Delayed Activation",ISNUMBER(SEARCH("delay",C427)),"Difficult or Delayed Activation",ISNUMBER(SEARCH("label",C427)),"Device Markings/Labelling Problem",ISNUMBER(SEARCH("marking",C427)),"Device Markings/Labelling Problem",ISNUMBER(SEARCH("lacerat",C427)),"Defective Device",ISNUMBER(SEARCH("cut",C427)),"Defective Device",ISNUMBER(SEARCH("leak",C427)),"Fluid/Blood Leak",ISNUMBER(SEARCH("missing",C427)),"Component Missing",ISNUMBER(SEARCH("power",C427)),"Complete Loss of Power",ISNUMBER(SEARCH("will not turn on",C427)),"Complete Loss of Power",ISNUMBER(SEARCH("won't turn on",C427)),"Complete Loss of Power",ISNUMBER(SEARCH("does not turn on",C427)),"Complete Loss of Power",ISNUMBER(SEARCH("electrical",C427)),"Electrical Power Problem",ISNUMBER(SEARCH("pressure",C427)),"Detachment of Device or Device Component",ISNUMBER(SEARCH("slip",C427)),"Detachment of Device or Device Component",ISNUMBER(SEARCH("detach",C427)),"Detachment of Device or Device Component",ISNUMBER(SEARCH("stick",C427)),"Mechanical Jam",ISNUMBER(SEARCH("jam",C427)),"Mechanical Jam",ISNUMBER(SEARCH("rigid",C427)),"Mechanical Jam",ISNUMBER(SEARCH("rust",C427)),"Corroded",ISNUMBER(SEARCH("corrod",C427)),"Corroded",ISNUMBER(SEARCH("corrosion",C427)),"Corroded",ISNUMBER(SEARCH("alignment",C427)),"Defective Device",ISNUMBER(SEARCH("adjust",C427)),"Defective Device",ISNUMBER(SEARCH("perform",C427)),"Defective Device",ISNUMBER(SEARCH("malfunction",C427)),"Defective Device",ISNUMBER(SEARCH("defect",C427)),"Defective Device",ISNUMBER(SEARCH("fail",C427)),"Defective Device",ISNUMBER(SEARCH("not work",C427)),"Defective Device",ISNUMBER(SEARCH("doesn't work",C427)),"Defective Device",TRUE,"UNKNOWN"),"UNKNOWN")))</f>
        <v/>
      </c>
      <c r="F427" s="4" t="str">
        <f t="shared" si="6"/>
        <v/>
      </c>
      <c r="G427" s="363" t="str">
        <f>IF(E427="","",IFERROR(VLOOKUP(E427,Codes!$L$2:$N$409,3,FALSE),"—"))</f>
        <v/>
      </c>
      <c r="H427" s="88"/>
      <c r="I427" s="88"/>
    </row>
    <row r="428" spans="1:9" ht="13.15" x14ac:dyDescent="0.35">
      <c r="A428" s="435"/>
      <c r="B428" s="436"/>
      <c r="C428" s="438"/>
      <c r="D428" s="435"/>
      <c r="E428" s="93" t="str" cm="1">
        <f t="array" ref="E428">IF(D428&lt;&gt;"",IFERROR(VLOOKUP(D428,Codes!$K$2:$L$409,2,FALSE),"UNKNOWN - "&amp;D428),IF(C428="","",IFERROR(_xlfn.IFS(ISNUMBER(SEARCH("broken button",C428)),"Break",ISNUMBER(SEARCH("broken handle",C428)),"Break",ISNUMBER(SEARCH("shipping damage",C428)),"Break",ISNUMBER(SEARCH("broken",C428)),"Break",ISNUMBER(SEARCH("crack",C428)),"Break",ISNUMBER(SEARCH("snap",C428)),"Break",ISNUMBER(SEARCH("fracture",C428)),"Break",ISNUMBER(SEARCH("bent",C428)),"Material Twisted/Bent",ISNUMBER(SEARCH("twisted",C428)),"Material Twisted/Bent",ISNUMBER(SEARCH("component separat",C428)),"Material Separation",ISNUMBER(SEARCH("separat",C428)),"Material Separation",ISNUMBER(SEARCH("connection",C428)),"Loose or Intermittent Connection",ISNUMBER(SEARCH("loose",C428)),"Loose or Intermittent Connection",ISNUMBER(SEARCH("damaged packaging",C428)),"Packaging Problem",ISNUMBER(SEARCH("packaging",C428)),"Packaging Problem",ISNUMBER(SEARCH("discoloration",C428)),"Contamination",ISNUMBER(SEARCH("tarnish",C428)),"Contamination",ISNUMBER(SEARCH("stain",C428)),"Contamination",ISNUMBER(SEARCH("foreign material",C428)),"Contamination",ISNUMBER(SEARCH("contamina",C428)),"Contamination",ISNUMBER(SEARCH("overheat",C428)),"Overheating of Device",ISNUMBER(SEARCH("excessive heat",C428)),"Overheating of Device",ISNUMBER(SEARCH("hot",C428)),"Overheating of Device",ISNUMBER(SEARCH("noise",C428)),"Noise, Audible",ISNUMBER(SEARCH("sound",C428)),"Noise, Audible",ISNUMBER(SEARCH("loud",C428)),"Noise, Audible",ISNUMBER(SEARCH("fray",C428)),"Material Frayed",ISNUMBER(SEARCH("hole",C428)),"Material Frayed",ISNUMBER(SEARCH("tear",C428)),"Material Frayed",ISNUMBER(SEARCH("worn",C428)),"Material Frayed",ISNUMBER(SEARCH("intermittent",C428)),"Difficult or Delayed Activation",ISNUMBER(SEARCH("delay",C428)),"Difficult or Delayed Activation",ISNUMBER(SEARCH("label",C428)),"Device Markings/Labelling Problem",ISNUMBER(SEARCH("marking",C428)),"Device Markings/Labelling Problem",ISNUMBER(SEARCH("lacerat",C428)),"Defective Device",ISNUMBER(SEARCH("cut",C428)),"Defective Device",ISNUMBER(SEARCH("leak",C428)),"Fluid/Blood Leak",ISNUMBER(SEARCH("missing",C428)),"Component Missing",ISNUMBER(SEARCH("power",C428)),"Complete Loss of Power",ISNUMBER(SEARCH("will not turn on",C428)),"Complete Loss of Power",ISNUMBER(SEARCH("won't turn on",C428)),"Complete Loss of Power",ISNUMBER(SEARCH("does not turn on",C428)),"Complete Loss of Power",ISNUMBER(SEARCH("electrical",C428)),"Electrical Power Problem",ISNUMBER(SEARCH("pressure",C428)),"Detachment of Device or Device Component",ISNUMBER(SEARCH("slip",C428)),"Detachment of Device or Device Component",ISNUMBER(SEARCH("detach",C428)),"Detachment of Device or Device Component",ISNUMBER(SEARCH("stick",C428)),"Mechanical Jam",ISNUMBER(SEARCH("jam",C428)),"Mechanical Jam",ISNUMBER(SEARCH("rigid",C428)),"Mechanical Jam",ISNUMBER(SEARCH("rust",C428)),"Corroded",ISNUMBER(SEARCH("corrod",C428)),"Corroded",ISNUMBER(SEARCH("corrosion",C428)),"Corroded",ISNUMBER(SEARCH("alignment",C428)),"Defective Device",ISNUMBER(SEARCH("adjust",C428)),"Defective Device",ISNUMBER(SEARCH("perform",C428)),"Defective Device",ISNUMBER(SEARCH("malfunction",C428)),"Defective Device",ISNUMBER(SEARCH("defect",C428)),"Defective Device",ISNUMBER(SEARCH("fail",C428)),"Defective Device",ISNUMBER(SEARCH("not work",C428)),"Defective Device",ISNUMBER(SEARCH("doesn't work",C428)),"Defective Device",TRUE,"UNKNOWN"),"UNKNOWN")))</f>
        <v/>
      </c>
      <c r="F428" s="4" t="str">
        <f t="shared" si="6"/>
        <v/>
      </c>
      <c r="G428" s="363" t="str">
        <f>IF(E428="","",IFERROR(VLOOKUP(E428,Codes!$L$2:$N$409,3,FALSE),"—"))</f>
        <v/>
      </c>
      <c r="H428" s="88"/>
      <c r="I428" s="88"/>
    </row>
    <row r="429" spans="1:9" ht="13.15" x14ac:dyDescent="0.35">
      <c r="A429" s="434"/>
      <c r="B429" s="436"/>
      <c r="C429" s="437"/>
      <c r="D429" s="434"/>
      <c r="E429" s="93" t="str" cm="1">
        <f t="array" ref="E429">IF(D429&lt;&gt;"",IFERROR(VLOOKUP(D429,Codes!$K$2:$L$409,2,FALSE),"UNKNOWN - "&amp;D429),IF(C429="","",IFERROR(_xlfn.IFS(ISNUMBER(SEARCH("broken button",C429)),"Break",ISNUMBER(SEARCH("broken handle",C429)),"Break",ISNUMBER(SEARCH("shipping damage",C429)),"Break",ISNUMBER(SEARCH("broken",C429)),"Break",ISNUMBER(SEARCH("crack",C429)),"Break",ISNUMBER(SEARCH("snap",C429)),"Break",ISNUMBER(SEARCH("fracture",C429)),"Break",ISNUMBER(SEARCH("bent",C429)),"Material Twisted/Bent",ISNUMBER(SEARCH("twisted",C429)),"Material Twisted/Bent",ISNUMBER(SEARCH("component separat",C429)),"Material Separation",ISNUMBER(SEARCH("separat",C429)),"Material Separation",ISNUMBER(SEARCH("connection",C429)),"Loose or Intermittent Connection",ISNUMBER(SEARCH("loose",C429)),"Loose or Intermittent Connection",ISNUMBER(SEARCH("damaged packaging",C429)),"Packaging Problem",ISNUMBER(SEARCH("packaging",C429)),"Packaging Problem",ISNUMBER(SEARCH("discoloration",C429)),"Contamination",ISNUMBER(SEARCH("tarnish",C429)),"Contamination",ISNUMBER(SEARCH("stain",C429)),"Contamination",ISNUMBER(SEARCH("foreign material",C429)),"Contamination",ISNUMBER(SEARCH("contamina",C429)),"Contamination",ISNUMBER(SEARCH("overheat",C429)),"Overheating of Device",ISNUMBER(SEARCH("excessive heat",C429)),"Overheating of Device",ISNUMBER(SEARCH("hot",C429)),"Overheating of Device",ISNUMBER(SEARCH("noise",C429)),"Noise, Audible",ISNUMBER(SEARCH("sound",C429)),"Noise, Audible",ISNUMBER(SEARCH("loud",C429)),"Noise, Audible",ISNUMBER(SEARCH("fray",C429)),"Material Frayed",ISNUMBER(SEARCH("hole",C429)),"Material Frayed",ISNUMBER(SEARCH("tear",C429)),"Material Frayed",ISNUMBER(SEARCH("worn",C429)),"Material Frayed",ISNUMBER(SEARCH("intermittent",C429)),"Difficult or Delayed Activation",ISNUMBER(SEARCH("delay",C429)),"Difficult or Delayed Activation",ISNUMBER(SEARCH("label",C429)),"Device Markings/Labelling Problem",ISNUMBER(SEARCH("marking",C429)),"Device Markings/Labelling Problem",ISNUMBER(SEARCH("lacerat",C429)),"Defective Device",ISNUMBER(SEARCH("cut",C429)),"Defective Device",ISNUMBER(SEARCH("leak",C429)),"Fluid/Blood Leak",ISNUMBER(SEARCH("missing",C429)),"Component Missing",ISNUMBER(SEARCH("power",C429)),"Complete Loss of Power",ISNUMBER(SEARCH("will not turn on",C429)),"Complete Loss of Power",ISNUMBER(SEARCH("won't turn on",C429)),"Complete Loss of Power",ISNUMBER(SEARCH("does not turn on",C429)),"Complete Loss of Power",ISNUMBER(SEARCH("electrical",C429)),"Electrical Power Problem",ISNUMBER(SEARCH("pressure",C429)),"Detachment of Device or Device Component",ISNUMBER(SEARCH("slip",C429)),"Detachment of Device or Device Component",ISNUMBER(SEARCH("detach",C429)),"Detachment of Device or Device Component",ISNUMBER(SEARCH("stick",C429)),"Mechanical Jam",ISNUMBER(SEARCH("jam",C429)),"Mechanical Jam",ISNUMBER(SEARCH("rigid",C429)),"Mechanical Jam",ISNUMBER(SEARCH("rust",C429)),"Corroded",ISNUMBER(SEARCH("corrod",C429)),"Corroded",ISNUMBER(SEARCH("corrosion",C429)),"Corroded",ISNUMBER(SEARCH("alignment",C429)),"Defective Device",ISNUMBER(SEARCH("adjust",C429)),"Defective Device",ISNUMBER(SEARCH("perform",C429)),"Defective Device",ISNUMBER(SEARCH("malfunction",C429)),"Defective Device",ISNUMBER(SEARCH("defect",C429)),"Defective Device",ISNUMBER(SEARCH("fail",C429)),"Defective Device",ISNUMBER(SEARCH("not work",C429)),"Defective Device",ISNUMBER(SEARCH("doesn't work",C429)),"Defective Device",TRUE,"UNKNOWN"),"UNKNOWN")))</f>
        <v/>
      </c>
      <c r="F429" s="4" t="str">
        <f t="shared" si="6"/>
        <v/>
      </c>
      <c r="G429" s="363" t="str">
        <f>IF(E429="","",IFERROR(VLOOKUP(E429,Codes!$L$2:$N$409,3,FALSE),"—"))</f>
        <v/>
      </c>
      <c r="H429" s="88"/>
      <c r="I429" s="88"/>
    </row>
    <row r="430" spans="1:9" ht="13.15" x14ac:dyDescent="0.35">
      <c r="A430" s="434"/>
      <c r="B430" s="436"/>
      <c r="C430" s="437"/>
      <c r="D430" s="434"/>
      <c r="E430" s="93" t="str" cm="1">
        <f t="array" ref="E430">IF(D430&lt;&gt;"",IFERROR(VLOOKUP(D430,Codes!$K$2:$L$409,2,FALSE),"UNKNOWN - "&amp;D430),IF(C430="","",IFERROR(_xlfn.IFS(ISNUMBER(SEARCH("broken button",C430)),"Break",ISNUMBER(SEARCH("broken handle",C430)),"Break",ISNUMBER(SEARCH("shipping damage",C430)),"Break",ISNUMBER(SEARCH("broken",C430)),"Break",ISNUMBER(SEARCH("crack",C430)),"Break",ISNUMBER(SEARCH("snap",C430)),"Break",ISNUMBER(SEARCH("fracture",C430)),"Break",ISNUMBER(SEARCH("bent",C430)),"Material Twisted/Bent",ISNUMBER(SEARCH("twisted",C430)),"Material Twisted/Bent",ISNUMBER(SEARCH("component separat",C430)),"Material Separation",ISNUMBER(SEARCH("separat",C430)),"Material Separation",ISNUMBER(SEARCH("connection",C430)),"Loose or Intermittent Connection",ISNUMBER(SEARCH("loose",C430)),"Loose or Intermittent Connection",ISNUMBER(SEARCH("damaged packaging",C430)),"Packaging Problem",ISNUMBER(SEARCH("packaging",C430)),"Packaging Problem",ISNUMBER(SEARCH("discoloration",C430)),"Contamination",ISNUMBER(SEARCH("tarnish",C430)),"Contamination",ISNUMBER(SEARCH("stain",C430)),"Contamination",ISNUMBER(SEARCH("foreign material",C430)),"Contamination",ISNUMBER(SEARCH("contamina",C430)),"Contamination",ISNUMBER(SEARCH("overheat",C430)),"Overheating of Device",ISNUMBER(SEARCH("excessive heat",C430)),"Overheating of Device",ISNUMBER(SEARCH("hot",C430)),"Overheating of Device",ISNUMBER(SEARCH("noise",C430)),"Noise, Audible",ISNUMBER(SEARCH("sound",C430)),"Noise, Audible",ISNUMBER(SEARCH("loud",C430)),"Noise, Audible",ISNUMBER(SEARCH("fray",C430)),"Material Frayed",ISNUMBER(SEARCH("hole",C430)),"Material Frayed",ISNUMBER(SEARCH("tear",C430)),"Material Frayed",ISNUMBER(SEARCH("worn",C430)),"Material Frayed",ISNUMBER(SEARCH("intermittent",C430)),"Difficult or Delayed Activation",ISNUMBER(SEARCH("delay",C430)),"Difficult or Delayed Activation",ISNUMBER(SEARCH("label",C430)),"Device Markings/Labelling Problem",ISNUMBER(SEARCH("marking",C430)),"Device Markings/Labelling Problem",ISNUMBER(SEARCH("lacerat",C430)),"Defective Device",ISNUMBER(SEARCH("cut",C430)),"Defective Device",ISNUMBER(SEARCH("leak",C430)),"Fluid/Blood Leak",ISNUMBER(SEARCH("missing",C430)),"Component Missing",ISNUMBER(SEARCH("power",C430)),"Complete Loss of Power",ISNUMBER(SEARCH("will not turn on",C430)),"Complete Loss of Power",ISNUMBER(SEARCH("won't turn on",C430)),"Complete Loss of Power",ISNUMBER(SEARCH("does not turn on",C430)),"Complete Loss of Power",ISNUMBER(SEARCH("electrical",C430)),"Electrical Power Problem",ISNUMBER(SEARCH("pressure",C430)),"Detachment of Device or Device Component",ISNUMBER(SEARCH("slip",C430)),"Detachment of Device or Device Component",ISNUMBER(SEARCH("detach",C430)),"Detachment of Device or Device Component",ISNUMBER(SEARCH("stick",C430)),"Mechanical Jam",ISNUMBER(SEARCH("jam",C430)),"Mechanical Jam",ISNUMBER(SEARCH("rigid",C430)),"Mechanical Jam",ISNUMBER(SEARCH("rust",C430)),"Corroded",ISNUMBER(SEARCH("corrod",C430)),"Corroded",ISNUMBER(SEARCH("corrosion",C430)),"Corroded",ISNUMBER(SEARCH("alignment",C430)),"Defective Device",ISNUMBER(SEARCH("adjust",C430)),"Defective Device",ISNUMBER(SEARCH("perform",C430)),"Defective Device",ISNUMBER(SEARCH("malfunction",C430)),"Defective Device",ISNUMBER(SEARCH("defect",C430)),"Defective Device",ISNUMBER(SEARCH("fail",C430)),"Defective Device",ISNUMBER(SEARCH("not work",C430)),"Defective Device",ISNUMBER(SEARCH("doesn't work",C430)),"Defective Device",TRUE,"UNKNOWN"),"UNKNOWN")))</f>
        <v/>
      </c>
      <c r="F430" s="4" t="str">
        <f t="shared" si="6"/>
        <v/>
      </c>
      <c r="G430" s="363" t="str">
        <f>IF(E430="","",IFERROR(VLOOKUP(E430,Codes!$L$2:$N$409,3,FALSE),"—"))</f>
        <v/>
      </c>
      <c r="H430" s="88"/>
      <c r="I430" s="88"/>
    </row>
    <row r="431" spans="1:9" ht="13.15" x14ac:dyDescent="0.35">
      <c r="A431" s="434"/>
      <c r="B431" s="436"/>
      <c r="C431" s="437"/>
      <c r="D431" s="434"/>
      <c r="E431" s="93" t="str" cm="1">
        <f t="array" ref="E431">IF(D431&lt;&gt;"",IFERROR(VLOOKUP(D431,Codes!$K$2:$L$409,2,FALSE),"UNKNOWN - "&amp;D431),IF(C431="","",IFERROR(_xlfn.IFS(ISNUMBER(SEARCH("broken button",C431)),"Break",ISNUMBER(SEARCH("broken handle",C431)),"Break",ISNUMBER(SEARCH("shipping damage",C431)),"Break",ISNUMBER(SEARCH("broken",C431)),"Break",ISNUMBER(SEARCH("crack",C431)),"Break",ISNUMBER(SEARCH("snap",C431)),"Break",ISNUMBER(SEARCH("fracture",C431)),"Break",ISNUMBER(SEARCH("bent",C431)),"Material Twisted/Bent",ISNUMBER(SEARCH("twisted",C431)),"Material Twisted/Bent",ISNUMBER(SEARCH("component separat",C431)),"Material Separation",ISNUMBER(SEARCH("separat",C431)),"Material Separation",ISNUMBER(SEARCH("connection",C431)),"Loose or Intermittent Connection",ISNUMBER(SEARCH("loose",C431)),"Loose or Intermittent Connection",ISNUMBER(SEARCH("damaged packaging",C431)),"Packaging Problem",ISNUMBER(SEARCH("packaging",C431)),"Packaging Problem",ISNUMBER(SEARCH("discoloration",C431)),"Contamination",ISNUMBER(SEARCH("tarnish",C431)),"Contamination",ISNUMBER(SEARCH("stain",C431)),"Contamination",ISNUMBER(SEARCH("foreign material",C431)),"Contamination",ISNUMBER(SEARCH("contamina",C431)),"Contamination",ISNUMBER(SEARCH("overheat",C431)),"Overheating of Device",ISNUMBER(SEARCH("excessive heat",C431)),"Overheating of Device",ISNUMBER(SEARCH("hot",C431)),"Overheating of Device",ISNUMBER(SEARCH("noise",C431)),"Noise, Audible",ISNUMBER(SEARCH("sound",C431)),"Noise, Audible",ISNUMBER(SEARCH("loud",C431)),"Noise, Audible",ISNUMBER(SEARCH("fray",C431)),"Material Frayed",ISNUMBER(SEARCH("hole",C431)),"Material Frayed",ISNUMBER(SEARCH("tear",C431)),"Material Frayed",ISNUMBER(SEARCH("worn",C431)),"Material Frayed",ISNUMBER(SEARCH("intermittent",C431)),"Difficult or Delayed Activation",ISNUMBER(SEARCH("delay",C431)),"Difficult or Delayed Activation",ISNUMBER(SEARCH("label",C431)),"Device Markings/Labelling Problem",ISNUMBER(SEARCH("marking",C431)),"Device Markings/Labelling Problem",ISNUMBER(SEARCH("lacerat",C431)),"Defective Device",ISNUMBER(SEARCH("cut",C431)),"Defective Device",ISNUMBER(SEARCH("leak",C431)),"Fluid/Blood Leak",ISNUMBER(SEARCH("missing",C431)),"Component Missing",ISNUMBER(SEARCH("power",C431)),"Complete Loss of Power",ISNUMBER(SEARCH("will not turn on",C431)),"Complete Loss of Power",ISNUMBER(SEARCH("won't turn on",C431)),"Complete Loss of Power",ISNUMBER(SEARCH("does not turn on",C431)),"Complete Loss of Power",ISNUMBER(SEARCH("electrical",C431)),"Electrical Power Problem",ISNUMBER(SEARCH("pressure",C431)),"Detachment of Device or Device Component",ISNUMBER(SEARCH("slip",C431)),"Detachment of Device or Device Component",ISNUMBER(SEARCH("detach",C431)),"Detachment of Device or Device Component",ISNUMBER(SEARCH("stick",C431)),"Mechanical Jam",ISNUMBER(SEARCH("jam",C431)),"Mechanical Jam",ISNUMBER(SEARCH("rigid",C431)),"Mechanical Jam",ISNUMBER(SEARCH("rust",C431)),"Corroded",ISNUMBER(SEARCH("corrod",C431)),"Corroded",ISNUMBER(SEARCH("corrosion",C431)),"Corroded",ISNUMBER(SEARCH("alignment",C431)),"Defective Device",ISNUMBER(SEARCH("adjust",C431)),"Defective Device",ISNUMBER(SEARCH("perform",C431)),"Defective Device",ISNUMBER(SEARCH("malfunction",C431)),"Defective Device",ISNUMBER(SEARCH("defect",C431)),"Defective Device",ISNUMBER(SEARCH("fail",C431)),"Defective Device",ISNUMBER(SEARCH("not work",C431)),"Defective Device",ISNUMBER(SEARCH("doesn't work",C431)),"Defective Device",TRUE,"UNKNOWN"),"UNKNOWN")))</f>
        <v/>
      </c>
      <c r="F431" s="4" t="str">
        <f t="shared" si="6"/>
        <v/>
      </c>
      <c r="G431" s="363" t="str">
        <f>IF(E431="","",IFERROR(VLOOKUP(E431,Codes!$L$2:$N$409,3,FALSE),"—"))</f>
        <v/>
      </c>
      <c r="H431" s="88"/>
      <c r="I431" s="88"/>
    </row>
    <row r="432" spans="1:9" ht="13.15" x14ac:dyDescent="0.35">
      <c r="A432" s="435"/>
      <c r="B432" s="436"/>
      <c r="C432" s="438"/>
      <c r="D432" s="435"/>
      <c r="E432" s="93" t="str" cm="1">
        <f t="array" ref="E432">IF(D432&lt;&gt;"",IFERROR(VLOOKUP(D432,Codes!$K$2:$L$409,2,FALSE),"UNKNOWN - "&amp;D432),IF(C432="","",IFERROR(_xlfn.IFS(ISNUMBER(SEARCH("broken button",C432)),"Break",ISNUMBER(SEARCH("broken handle",C432)),"Break",ISNUMBER(SEARCH("shipping damage",C432)),"Break",ISNUMBER(SEARCH("broken",C432)),"Break",ISNUMBER(SEARCH("crack",C432)),"Break",ISNUMBER(SEARCH("snap",C432)),"Break",ISNUMBER(SEARCH("fracture",C432)),"Break",ISNUMBER(SEARCH("bent",C432)),"Material Twisted/Bent",ISNUMBER(SEARCH("twisted",C432)),"Material Twisted/Bent",ISNUMBER(SEARCH("component separat",C432)),"Material Separation",ISNUMBER(SEARCH("separat",C432)),"Material Separation",ISNUMBER(SEARCH("connection",C432)),"Loose or Intermittent Connection",ISNUMBER(SEARCH("loose",C432)),"Loose or Intermittent Connection",ISNUMBER(SEARCH("damaged packaging",C432)),"Packaging Problem",ISNUMBER(SEARCH("packaging",C432)),"Packaging Problem",ISNUMBER(SEARCH("discoloration",C432)),"Contamination",ISNUMBER(SEARCH("tarnish",C432)),"Contamination",ISNUMBER(SEARCH("stain",C432)),"Contamination",ISNUMBER(SEARCH("foreign material",C432)),"Contamination",ISNUMBER(SEARCH("contamina",C432)),"Contamination",ISNUMBER(SEARCH("overheat",C432)),"Overheating of Device",ISNUMBER(SEARCH("excessive heat",C432)),"Overheating of Device",ISNUMBER(SEARCH("hot",C432)),"Overheating of Device",ISNUMBER(SEARCH("noise",C432)),"Noise, Audible",ISNUMBER(SEARCH("sound",C432)),"Noise, Audible",ISNUMBER(SEARCH("loud",C432)),"Noise, Audible",ISNUMBER(SEARCH("fray",C432)),"Material Frayed",ISNUMBER(SEARCH("hole",C432)),"Material Frayed",ISNUMBER(SEARCH("tear",C432)),"Material Frayed",ISNUMBER(SEARCH("worn",C432)),"Material Frayed",ISNUMBER(SEARCH("intermittent",C432)),"Difficult or Delayed Activation",ISNUMBER(SEARCH("delay",C432)),"Difficult or Delayed Activation",ISNUMBER(SEARCH("label",C432)),"Device Markings/Labelling Problem",ISNUMBER(SEARCH("marking",C432)),"Device Markings/Labelling Problem",ISNUMBER(SEARCH("lacerat",C432)),"Defective Device",ISNUMBER(SEARCH("cut",C432)),"Defective Device",ISNUMBER(SEARCH("leak",C432)),"Fluid/Blood Leak",ISNUMBER(SEARCH("missing",C432)),"Component Missing",ISNUMBER(SEARCH("power",C432)),"Complete Loss of Power",ISNUMBER(SEARCH("will not turn on",C432)),"Complete Loss of Power",ISNUMBER(SEARCH("won't turn on",C432)),"Complete Loss of Power",ISNUMBER(SEARCH("does not turn on",C432)),"Complete Loss of Power",ISNUMBER(SEARCH("electrical",C432)),"Electrical Power Problem",ISNUMBER(SEARCH("pressure",C432)),"Detachment of Device or Device Component",ISNUMBER(SEARCH("slip",C432)),"Detachment of Device or Device Component",ISNUMBER(SEARCH("detach",C432)),"Detachment of Device or Device Component",ISNUMBER(SEARCH("stick",C432)),"Mechanical Jam",ISNUMBER(SEARCH("jam",C432)),"Mechanical Jam",ISNUMBER(SEARCH("rigid",C432)),"Mechanical Jam",ISNUMBER(SEARCH("rust",C432)),"Corroded",ISNUMBER(SEARCH("corrod",C432)),"Corroded",ISNUMBER(SEARCH("corrosion",C432)),"Corroded",ISNUMBER(SEARCH("alignment",C432)),"Defective Device",ISNUMBER(SEARCH("adjust",C432)),"Defective Device",ISNUMBER(SEARCH("perform",C432)),"Defective Device",ISNUMBER(SEARCH("malfunction",C432)),"Defective Device",ISNUMBER(SEARCH("defect",C432)),"Defective Device",ISNUMBER(SEARCH("fail",C432)),"Defective Device",ISNUMBER(SEARCH("not work",C432)),"Defective Device",ISNUMBER(SEARCH("doesn't work",C432)),"Defective Device",TRUE,"UNKNOWN"),"UNKNOWN")))</f>
        <v/>
      </c>
      <c r="F432" s="4" t="str">
        <f t="shared" si="6"/>
        <v/>
      </c>
      <c r="G432" s="363" t="str">
        <f>IF(E432="","",IFERROR(VLOOKUP(E432,Codes!$L$2:$N$409,3,FALSE),"—"))</f>
        <v/>
      </c>
      <c r="H432" s="88"/>
      <c r="I432" s="88"/>
    </row>
    <row r="433" spans="1:9" ht="13.15" x14ac:dyDescent="0.35">
      <c r="A433" s="434"/>
      <c r="B433" s="436"/>
      <c r="C433" s="437"/>
      <c r="D433" s="434"/>
      <c r="E433" s="93" t="str" cm="1">
        <f t="array" ref="E433">IF(D433&lt;&gt;"",IFERROR(VLOOKUP(D433,Codes!$K$2:$L$409,2,FALSE),"UNKNOWN - "&amp;D433),IF(C433="","",IFERROR(_xlfn.IFS(ISNUMBER(SEARCH("broken button",C433)),"Break",ISNUMBER(SEARCH("broken handle",C433)),"Break",ISNUMBER(SEARCH("shipping damage",C433)),"Break",ISNUMBER(SEARCH("broken",C433)),"Break",ISNUMBER(SEARCH("crack",C433)),"Break",ISNUMBER(SEARCH("snap",C433)),"Break",ISNUMBER(SEARCH("fracture",C433)),"Break",ISNUMBER(SEARCH("bent",C433)),"Material Twisted/Bent",ISNUMBER(SEARCH("twisted",C433)),"Material Twisted/Bent",ISNUMBER(SEARCH("component separat",C433)),"Material Separation",ISNUMBER(SEARCH("separat",C433)),"Material Separation",ISNUMBER(SEARCH("connection",C433)),"Loose or Intermittent Connection",ISNUMBER(SEARCH("loose",C433)),"Loose or Intermittent Connection",ISNUMBER(SEARCH("damaged packaging",C433)),"Packaging Problem",ISNUMBER(SEARCH("packaging",C433)),"Packaging Problem",ISNUMBER(SEARCH("discoloration",C433)),"Contamination",ISNUMBER(SEARCH("tarnish",C433)),"Contamination",ISNUMBER(SEARCH("stain",C433)),"Contamination",ISNUMBER(SEARCH("foreign material",C433)),"Contamination",ISNUMBER(SEARCH("contamina",C433)),"Contamination",ISNUMBER(SEARCH("overheat",C433)),"Overheating of Device",ISNUMBER(SEARCH("excessive heat",C433)),"Overheating of Device",ISNUMBER(SEARCH("hot",C433)),"Overheating of Device",ISNUMBER(SEARCH("noise",C433)),"Noise, Audible",ISNUMBER(SEARCH("sound",C433)),"Noise, Audible",ISNUMBER(SEARCH("loud",C433)),"Noise, Audible",ISNUMBER(SEARCH("fray",C433)),"Material Frayed",ISNUMBER(SEARCH("hole",C433)),"Material Frayed",ISNUMBER(SEARCH("tear",C433)),"Material Frayed",ISNUMBER(SEARCH("worn",C433)),"Material Frayed",ISNUMBER(SEARCH("intermittent",C433)),"Difficult or Delayed Activation",ISNUMBER(SEARCH("delay",C433)),"Difficult or Delayed Activation",ISNUMBER(SEARCH("label",C433)),"Device Markings/Labelling Problem",ISNUMBER(SEARCH("marking",C433)),"Device Markings/Labelling Problem",ISNUMBER(SEARCH("lacerat",C433)),"Defective Device",ISNUMBER(SEARCH("cut",C433)),"Defective Device",ISNUMBER(SEARCH("leak",C433)),"Fluid/Blood Leak",ISNUMBER(SEARCH("missing",C433)),"Component Missing",ISNUMBER(SEARCH("power",C433)),"Complete Loss of Power",ISNUMBER(SEARCH("will not turn on",C433)),"Complete Loss of Power",ISNUMBER(SEARCH("won't turn on",C433)),"Complete Loss of Power",ISNUMBER(SEARCH("does not turn on",C433)),"Complete Loss of Power",ISNUMBER(SEARCH("electrical",C433)),"Electrical Power Problem",ISNUMBER(SEARCH("pressure",C433)),"Detachment of Device or Device Component",ISNUMBER(SEARCH("slip",C433)),"Detachment of Device or Device Component",ISNUMBER(SEARCH("detach",C433)),"Detachment of Device or Device Component",ISNUMBER(SEARCH("stick",C433)),"Mechanical Jam",ISNUMBER(SEARCH("jam",C433)),"Mechanical Jam",ISNUMBER(SEARCH("rigid",C433)),"Mechanical Jam",ISNUMBER(SEARCH("rust",C433)),"Corroded",ISNUMBER(SEARCH("corrod",C433)),"Corroded",ISNUMBER(SEARCH("corrosion",C433)),"Corroded",ISNUMBER(SEARCH("alignment",C433)),"Defective Device",ISNUMBER(SEARCH("adjust",C433)),"Defective Device",ISNUMBER(SEARCH("perform",C433)),"Defective Device",ISNUMBER(SEARCH("malfunction",C433)),"Defective Device",ISNUMBER(SEARCH("defect",C433)),"Defective Device",ISNUMBER(SEARCH("fail",C433)),"Defective Device",ISNUMBER(SEARCH("not work",C433)),"Defective Device",ISNUMBER(SEARCH("doesn't work",C433)),"Defective Device",TRUE,"UNKNOWN"),"UNKNOWN")))</f>
        <v/>
      </c>
      <c r="F433" s="4" t="str">
        <f t="shared" si="6"/>
        <v/>
      </c>
      <c r="G433" s="363" t="str">
        <f>IF(E433="","",IFERROR(VLOOKUP(E433,Codes!$L$2:$N$409,3,FALSE),"—"))</f>
        <v/>
      </c>
      <c r="H433" s="88"/>
      <c r="I433" s="88"/>
    </row>
    <row r="434" spans="1:9" ht="13.15" x14ac:dyDescent="0.35">
      <c r="A434" s="434"/>
      <c r="B434" s="436"/>
      <c r="C434" s="437"/>
      <c r="D434" s="434"/>
      <c r="E434" s="93" t="str" cm="1">
        <f t="array" ref="E434">IF(D434&lt;&gt;"",IFERROR(VLOOKUP(D434,Codes!$K$2:$L$409,2,FALSE),"UNKNOWN - "&amp;D434),IF(C434="","",IFERROR(_xlfn.IFS(ISNUMBER(SEARCH("broken button",C434)),"Break",ISNUMBER(SEARCH("broken handle",C434)),"Break",ISNUMBER(SEARCH("shipping damage",C434)),"Break",ISNUMBER(SEARCH("broken",C434)),"Break",ISNUMBER(SEARCH("crack",C434)),"Break",ISNUMBER(SEARCH("snap",C434)),"Break",ISNUMBER(SEARCH("fracture",C434)),"Break",ISNUMBER(SEARCH("bent",C434)),"Material Twisted/Bent",ISNUMBER(SEARCH("twisted",C434)),"Material Twisted/Bent",ISNUMBER(SEARCH("component separat",C434)),"Material Separation",ISNUMBER(SEARCH("separat",C434)),"Material Separation",ISNUMBER(SEARCH("connection",C434)),"Loose or Intermittent Connection",ISNUMBER(SEARCH("loose",C434)),"Loose or Intermittent Connection",ISNUMBER(SEARCH("damaged packaging",C434)),"Packaging Problem",ISNUMBER(SEARCH("packaging",C434)),"Packaging Problem",ISNUMBER(SEARCH("discoloration",C434)),"Contamination",ISNUMBER(SEARCH("tarnish",C434)),"Contamination",ISNUMBER(SEARCH("stain",C434)),"Contamination",ISNUMBER(SEARCH("foreign material",C434)),"Contamination",ISNUMBER(SEARCH("contamina",C434)),"Contamination",ISNUMBER(SEARCH("overheat",C434)),"Overheating of Device",ISNUMBER(SEARCH("excessive heat",C434)),"Overheating of Device",ISNUMBER(SEARCH("hot",C434)),"Overheating of Device",ISNUMBER(SEARCH("noise",C434)),"Noise, Audible",ISNUMBER(SEARCH("sound",C434)),"Noise, Audible",ISNUMBER(SEARCH("loud",C434)),"Noise, Audible",ISNUMBER(SEARCH("fray",C434)),"Material Frayed",ISNUMBER(SEARCH("hole",C434)),"Material Frayed",ISNUMBER(SEARCH("tear",C434)),"Material Frayed",ISNUMBER(SEARCH("worn",C434)),"Material Frayed",ISNUMBER(SEARCH("intermittent",C434)),"Difficult or Delayed Activation",ISNUMBER(SEARCH("delay",C434)),"Difficult or Delayed Activation",ISNUMBER(SEARCH("label",C434)),"Device Markings/Labelling Problem",ISNUMBER(SEARCH("marking",C434)),"Device Markings/Labelling Problem",ISNUMBER(SEARCH("lacerat",C434)),"Defective Device",ISNUMBER(SEARCH("cut",C434)),"Defective Device",ISNUMBER(SEARCH("leak",C434)),"Fluid/Blood Leak",ISNUMBER(SEARCH("missing",C434)),"Component Missing",ISNUMBER(SEARCH("power",C434)),"Complete Loss of Power",ISNUMBER(SEARCH("will not turn on",C434)),"Complete Loss of Power",ISNUMBER(SEARCH("won't turn on",C434)),"Complete Loss of Power",ISNUMBER(SEARCH("does not turn on",C434)),"Complete Loss of Power",ISNUMBER(SEARCH("electrical",C434)),"Electrical Power Problem",ISNUMBER(SEARCH("pressure",C434)),"Detachment of Device or Device Component",ISNUMBER(SEARCH("slip",C434)),"Detachment of Device or Device Component",ISNUMBER(SEARCH("detach",C434)),"Detachment of Device or Device Component",ISNUMBER(SEARCH("stick",C434)),"Mechanical Jam",ISNUMBER(SEARCH("jam",C434)),"Mechanical Jam",ISNUMBER(SEARCH("rigid",C434)),"Mechanical Jam",ISNUMBER(SEARCH("rust",C434)),"Corroded",ISNUMBER(SEARCH("corrod",C434)),"Corroded",ISNUMBER(SEARCH("corrosion",C434)),"Corroded",ISNUMBER(SEARCH("alignment",C434)),"Defective Device",ISNUMBER(SEARCH("adjust",C434)),"Defective Device",ISNUMBER(SEARCH("perform",C434)),"Defective Device",ISNUMBER(SEARCH("malfunction",C434)),"Defective Device",ISNUMBER(SEARCH("defect",C434)),"Defective Device",ISNUMBER(SEARCH("fail",C434)),"Defective Device",ISNUMBER(SEARCH("not work",C434)),"Defective Device",ISNUMBER(SEARCH("doesn't work",C434)),"Defective Device",TRUE,"UNKNOWN"),"UNKNOWN")))</f>
        <v/>
      </c>
      <c r="F434" s="4" t="str">
        <f t="shared" si="6"/>
        <v/>
      </c>
      <c r="G434" s="363" t="str">
        <f>IF(E434="","",IFERROR(VLOOKUP(E434,Codes!$L$2:$N$409,3,FALSE),"—"))</f>
        <v/>
      </c>
      <c r="H434" s="88"/>
      <c r="I434" s="88"/>
    </row>
    <row r="435" spans="1:9" ht="13.15" x14ac:dyDescent="0.35">
      <c r="A435" s="435"/>
      <c r="B435" s="436"/>
      <c r="C435" s="438"/>
      <c r="D435" s="435"/>
      <c r="E435" s="93" t="str" cm="1">
        <f t="array" ref="E435">IF(D435&lt;&gt;"",IFERROR(VLOOKUP(D435,Codes!$K$2:$L$409,2,FALSE),"UNKNOWN - "&amp;D435),IF(C435="","",IFERROR(_xlfn.IFS(ISNUMBER(SEARCH("broken button",C435)),"Break",ISNUMBER(SEARCH("broken handle",C435)),"Break",ISNUMBER(SEARCH("shipping damage",C435)),"Break",ISNUMBER(SEARCH("broken",C435)),"Break",ISNUMBER(SEARCH("crack",C435)),"Break",ISNUMBER(SEARCH("snap",C435)),"Break",ISNUMBER(SEARCH("fracture",C435)),"Break",ISNUMBER(SEARCH("bent",C435)),"Material Twisted/Bent",ISNUMBER(SEARCH("twisted",C435)),"Material Twisted/Bent",ISNUMBER(SEARCH("component separat",C435)),"Material Separation",ISNUMBER(SEARCH("separat",C435)),"Material Separation",ISNUMBER(SEARCH("connection",C435)),"Loose or Intermittent Connection",ISNUMBER(SEARCH("loose",C435)),"Loose or Intermittent Connection",ISNUMBER(SEARCH("damaged packaging",C435)),"Packaging Problem",ISNUMBER(SEARCH("packaging",C435)),"Packaging Problem",ISNUMBER(SEARCH("discoloration",C435)),"Contamination",ISNUMBER(SEARCH("tarnish",C435)),"Contamination",ISNUMBER(SEARCH("stain",C435)),"Contamination",ISNUMBER(SEARCH("foreign material",C435)),"Contamination",ISNUMBER(SEARCH("contamina",C435)),"Contamination",ISNUMBER(SEARCH("overheat",C435)),"Overheating of Device",ISNUMBER(SEARCH("excessive heat",C435)),"Overheating of Device",ISNUMBER(SEARCH("hot",C435)),"Overheating of Device",ISNUMBER(SEARCH("noise",C435)),"Noise, Audible",ISNUMBER(SEARCH("sound",C435)),"Noise, Audible",ISNUMBER(SEARCH("loud",C435)),"Noise, Audible",ISNUMBER(SEARCH("fray",C435)),"Material Frayed",ISNUMBER(SEARCH("hole",C435)),"Material Frayed",ISNUMBER(SEARCH("tear",C435)),"Material Frayed",ISNUMBER(SEARCH("worn",C435)),"Material Frayed",ISNUMBER(SEARCH("intermittent",C435)),"Difficult or Delayed Activation",ISNUMBER(SEARCH("delay",C435)),"Difficult or Delayed Activation",ISNUMBER(SEARCH("label",C435)),"Device Markings/Labelling Problem",ISNUMBER(SEARCH("marking",C435)),"Device Markings/Labelling Problem",ISNUMBER(SEARCH("lacerat",C435)),"Defective Device",ISNUMBER(SEARCH("cut",C435)),"Defective Device",ISNUMBER(SEARCH("leak",C435)),"Fluid/Blood Leak",ISNUMBER(SEARCH("missing",C435)),"Component Missing",ISNUMBER(SEARCH("power",C435)),"Complete Loss of Power",ISNUMBER(SEARCH("will not turn on",C435)),"Complete Loss of Power",ISNUMBER(SEARCH("won't turn on",C435)),"Complete Loss of Power",ISNUMBER(SEARCH("does not turn on",C435)),"Complete Loss of Power",ISNUMBER(SEARCH("electrical",C435)),"Electrical Power Problem",ISNUMBER(SEARCH("pressure",C435)),"Detachment of Device or Device Component",ISNUMBER(SEARCH("slip",C435)),"Detachment of Device or Device Component",ISNUMBER(SEARCH("detach",C435)),"Detachment of Device or Device Component",ISNUMBER(SEARCH("stick",C435)),"Mechanical Jam",ISNUMBER(SEARCH("jam",C435)),"Mechanical Jam",ISNUMBER(SEARCH("rigid",C435)),"Mechanical Jam",ISNUMBER(SEARCH("rust",C435)),"Corroded",ISNUMBER(SEARCH("corrod",C435)),"Corroded",ISNUMBER(SEARCH("corrosion",C435)),"Corroded",ISNUMBER(SEARCH("alignment",C435)),"Defective Device",ISNUMBER(SEARCH("adjust",C435)),"Defective Device",ISNUMBER(SEARCH("perform",C435)),"Defective Device",ISNUMBER(SEARCH("malfunction",C435)),"Defective Device",ISNUMBER(SEARCH("defect",C435)),"Defective Device",ISNUMBER(SEARCH("fail",C435)),"Defective Device",ISNUMBER(SEARCH("not work",C435)),"Defective Device",ISNUMBER(SEARCH("doesn't work",C435)),"Defective Device",TRUE,"UNKNOWN"),"UNKNOWN")))</f>
        <v/>
      </c>
      <c r="F435" s="4" t="str">
        <f t="shared" si="6"/>
        <v/>
      </c>
      <c r="G435" s="363" t="str">
        <f>IF(E435="","",IFERROR(VLOOKUP(E435,Codes!$L$2:$N$409,3,FALSE),"—"))</f>
        <v/>
      </c>
      <c r="H435" s="88"/>
      <c r="I435" s="88"/>
    </row>
    <row r="436" spans="1:9" ht="13.15" x14ac:dyDescent="0.35">
      <c r="A436" s="434"/>
      <c r="B436" s="436"/>
      <c r="C436" s="437"/>
      <c r="D436" s="434"/>
      <c r="E436" s="93" t="str" cm="1">
        <f t="array" ref="E436">IF(D436&lt;&gt;"",IFERROR(VLOOKUP(D436,Codes!$K$2:$L$409,2,FALSE),"UNKNOWN - "&amp;D436),IF(C436="","",IFERROR(_xlfn.IFS(ISNUMBER(SEARCH("broken button",C436)),"Break",ISNUMBER(SEARCH("broken handle",C436)),"Break",ISNUMBER(SEARCH("shipping damage",C436)),"Break",ISNUMBER(SEARCH("broken",C436)),"Break",ISNUMBER(SEARCH("crack",C436)),"Break",ISNUMBER(SEARCH("snap",C436)),"Break",ISNUMBER(SEARCH("fracture",C436)),"Break",ISNUMBER(SEARCH("bent",C436)),"Material Twisted/Bent",ISNUMBER(SEARCH("twisted",C436)),"Material Twisted/Bent",ISNUMBER(SEARCH("component separat",C436)),"Material Separation",ISNUMBER(SEARCH("separat",C436)),"Material Separation",ISNUMBER(SEARCH("connection",C436)),"Loose or Intermittent Connection",ISNUMBER(SEARCH("loose",C436)),"Loose or Intermittent Connection",ISNUMBER(SEARCH("damaged packaging",C436)),"Packaging Problem",ISNUMBER(SEARCH("packaging",C436)),"Packaging Problem",ISNUMBER(SEARCH("discoloration",C436)),"Contamination",ISNUMBER(SEARCH("tarnish",C436)),"Contamination",ISNUMBER(SEARCH("stain",C436)),"Contamination",ISNUMBER(SEARCH("foreign material",C436)),"Contamination",ISNUMBER(SEARCH("contamina",C436)),"Contamination",ISNUMBER(SEARCH("overheat",C436)),"Overheating of Device",ISNUMBER(SEARCH("excessive heat",C436)),"Overheating of Device",ISNUMBER(SEARCH("hot",C436)),"Overheating of Device",ISNUMBER(SEARCH("noise",C436)),"Noise, Audible",ISNUMBER(SEARCH("sound",C436)),"Noise, Audible",ISNUMBER(SEARCH("loud",C436)),"Noise, Audible",ISNUMBER(SEARCH("fray",C436)),"Material Frayed",ISNUMBER(SEARCH("hole",C436)),"Material Frayed",ISNUMBER(SEARCH("tear",C436)),"Material Frayed",ISNUMBER(SEARCH("worn",C436)),"Material Frayed",ISNUMBER(SEARCH("intermittent",C436)),"Difficult or Delayed Activation",ISNUMBER(SEARCH("delay",C436)),"Difficult or Delayed Activation",ISNUMBER(SEARCH("label",C436)),"Device Markings/Labelling Problem",ISNUMBER(SEARCH("marking",C436)),"Device Markings/Labelling Problem",ISNUMBER(SEARCH("lacerat",C436)),"Defective Device",ISNUMBER(SEARCH("cut",C436)),"Defective Device",ISNUMBER(SEARCH("leak",C436)),"Fluid/Blood Leak",ISNUMBER(SEARCH("missing",C436)),"Component Missing",ISNUMBER(SEARCH("power",C436)),"Complete Loss of Power",ISNUMBER(SEARCH("will not turn on",C436)),"Complete Loss of Power",ISNUMBER(SEARCH("won't turn on",C436)),"Complete Loss of Power",ISNUMBER(SEARCH("does not turn on",C436)),"Complete Loss of Power",ISNUMBER(SEARCH("electrical",C436)),"Electrical Power Problem",ISNUMBER(SEARCH("pressure",C436)),"Detachment of Device or Device Component",ISNUMBER(SEARCH("slip",C436)),"Detachment of Device or Device Component",ISNUMBER(SEARCH("detach",C436)),"Detachment of Device or Device Component",ISNUMBER(SEARCH("stick",C436)),"Mechanical Jam",ISNUMBER(SEARCH("jam",C436)),"Mechanical Jam",ISNUMBER(SEARCH("rigid",C436)),"Mechanical Jam",ISNUMBER(SEARCH("rust",C436)),"Corroded",ISNUMBER(SEARCH("corrod",C436)),"Corroded",ISNUMBER(SEARCH("corrosion",C436)),"Corroded",ISNUMBER(SEARCH("alignment",C436)),"Defective Device",ISNUMBER(SEARCH("adjust",C436)),"Defective Device",ISNUMBER(SEARCH("perform",C436)),"Defective Device",ISNUMBER(SEARCH("malfunction",C436)),"Defective Device",ISNUMBER(SEARCH("defect",C436)),"Defective Device",ISNUMBER(SEARCH("fail",C436)),"Defective Device",ISNUMBER(SEARCH("not work",C436)),"Defective Device",ISNUMBER(SEARCH("doesn't work",C436)),"Defective Device",TRUE,"UNKNOWN"),"UNKNOWN")))</f>
        <v/>
      </c>
      <c r="F436" s="4" t="str">
        <f t="shared" si="6"/>
        <v/>
      </c>
      <c r="G436" s="363" t="str">
        <f>IF(E436="","",IFERROR(VLOOKUP(E436,Codes!$L$2:$N$409,3,FALSE),"—"))</f>
        <v/>
      </c>
      <c r="H436" s="88"/>
      <c r="I436" s="88"/>
    </row>
    <row r="437" spans="1:9" ht="13.15" x14ac:dyDescent="0.35">
      <c r="A437" s="434"/>
      <c r="B437" s="436"/>
      <c r="C437" s="439"/>
      <c r="D437" s="434"/>
      <c r="E437" s="93" t="str" cm="1">
        <f t="array" ref="E437">IF(D437&lt;&gt;"",IFERROR(VLOOKUP(D437,Codes!$K$2:$L$409,2,FALSE),"UNKNOWN - "&amp;D437),IF(C437="","",IFERROR(_xlfn.IFS(ISNUMBER(SEARCH("broken button",C437)),"Break",ISNUMBER(SEARCH("broken handle",C437)),"Break",ISNUMBER(SEARCH("shipping damage",C437)),"Break",ISNUMBER(SEARCH("broken",C437)),"Break",ISNUMBER(SEARCH("crack",C437)),"Break",ISNUMBER(SEARCH("snap",C437)),"Break",ISNUMBER(SEARCH("fracture",C437)),"Break",ISNUMBER(SEARCH("bent",C437)),"Material Twisted/Bent",ISNUMBER(SEARCH("twisted",C437)),"Material Twisted/Bent",ISNUMBER(SEARCH("component separat",C437)),"Material Separation",ISNUMBER(SEARCH("separat",C437)),"Material Separation",ISNUMBER(SEARCH("connection",C437)),"Loose or Intermittent Connection",ISNUMBER(SEARCH("loose",C437)),"Loose or Intermittent Connection",ISNUMBER(SEARCH("damaged packaging",C437)),"Packaging Problem",ISNUMBER(SEARCH("packaging",C437)),"Packaging Problem",ISNUMBER(SEARCH("discoloration",C437)),"Contamination",ISNUMBER(SEARCH("tarnish",C437)),"Contamination",ISNUMBER(SEARCH("stain",C437)),"Contamination",ISNUMBER(SEARCH("foreign material",C437)),"Contamination",ISNUMBER(SEARCH("contamina",C437)),"Contamination",ISNUMBER(SEARCH("overheat",C437)),"Overheating of Device",ISNUMBER(SEARCH("excessive heat",C437)),"Overheating of Device",ISNUMBER(SEARCH("hot",C437)),"Overheating of Device",ISNUMBER(SEARCH("noise",C437)),"Noise, Audible",ISNUMBER(SEARCH("sound",C437)),"Noise, Audible",ISNUMBER(SEARCH("loud",C437)),"Noise, Audible",ISNUMBER(SEARCH("fray",C437)),"Material Frayed",ISNUMBER(SEARCH("hole",C437)),"Material Frayed",ISNUMBER(SEARCH("tear",C437)),"Material Frayed",ISNUMBER(SEARCH("worn",C437)),"Material Frayed",ISNUMBER(SEARCH("intermittent",C437)),"Difficult or Delayed Activation",ISNUMBER(SEARCH("delay",C437)),"Difficult or Delayed Activation",ISNUMBER(SEARCH("label",C437)),"Device Markings/Labelling Problem",ISNUMBER(SEARCH("marking",C437)),"Device Markings/Labelling Problem",ISNUMBER(SEARCH("lacerat",C437)),"Defective Device",ISNUMBER(SEARCH("cut",C437)),"Defective Device",ISNUMBER(SEARCH("leak",C437)),"Fluid/Blood Leak",ISNUMBER(SEARCH("missing",C437)),"Component Missing",ISNUMBER(SEARCH("power",C437)),"Complete Loss of Power",ISNUMBER(SEARCH("will not turn on",C437)),"Complete Loss of Power",ISNUMBER(SEARCH("won't turn on",C437)),"Complete Loss of Power",ISNUMBER(SEARCH("does not turn on",C437)),"Complete Loss of Power",ISNUMBER(SEARCH("electrical",C437)),"Electrical Power Problem",ISNUMBER(SEARCH("pressure",C437)),"Detachment of Device or Device Component",ISNUMBER(SEARCH("slip",C437)),"Detachment of Device or Device Component",ISNUMBER(SEARCH("detach",C437)),"Detachment of Device or Device Component",ISNUMBER(SEARCH("stick",C437)),"Mechanical Jam",ISNUMBER(SEARCH("jam",C437)),"Mechanical Jam",ISNUMBER(SEARCH("rigid",C437)),"Mechanical Jam",ISNUMBER(SEARCH("rust",C437)),"Corroded",ISNUMBER(SEARCH("corrod",C437)),"Corroded",ISNUMBER(SEARCH("corrosion",C437)),"Corroded",ISNUMBER(SEARCH("alignment",C437)),"Defective Device",ISNUMBER(SEARCH("adjust",C437)),"Defective Device",ISNUMBER(SEARCH("perform",C437)),"Defective Device",ISNUMBER(SEARCH("malfunction",C437)),"Defective Device",ISNUMBER(SEARCH("defect",C437)),"Defective Device",ISNUMBER(SEARCH("fail",C437)),"Defective Device",ISNUMBER(SEARCH("not work",C437)),"Defective Device",ISNUMBER(SEARCH("doesn't work",C437)),"Defective Device",TRUE,"UNKNOWN"),"UNKNOWN")))</f>
        <v/>
      </c>
      <c r="F437" s="4" t="str">
        <f t="shared" si="6"/>
        <v/>
      </c>
      <c r="G437" s="363" t="str">
        <f>IF(E437="","",IFERROR(VLOOKUP(E437,Codes!$L$2:$N$409,3,FALSE),"—"))</f>
        <v/>
      </c>
      <c r="H437" s="88"/>
      <c r="I437" s="88"/>
    </row>
    <row r="438" spans="1:9" ht="13.15" x14ac:dyDescent="0.35">
      <c r="A438" s="435"/>
      <c r="B438" s="436"/>
      <c r="C438" s="438"/>
      <c r="D438" s="435"/>
      <c r="E438" s="93" t="str" cm="1">
        <f t="array" ref="E438">IF(D438&lt;&gt;"",IFERROR(VLOOKUP(D438,Codes!$K$2:$L$409,2,FALSE),"UNKNOWN - "&amp;D438),IF(C438="","",IFERROR(_xlfn.IFS(ISNUMBER(SEARCH("broken button",C438)),"Break",ISNUMBER(SEARCH("broken handle",C438)),"Break",ISNUMBER(SEARCH("shipping damage",C438)),"Break",ISNUMBER(SEARCH("broken",C438)),"Break",ISNUMBER(SEARCH("crack",C438)),"Break",ISNUMBER(SEARCH("snap",C438)),"Break",ISNUMBER(SEARCH("fracture",C438)),"Break",ISNUMBER(SEARCH("bent",C438)),"Material Twisted/Bent",ISNUMBER(SEARCH("twisted",C438)),"Material Twisted/Bent",ISNUMBER(SEARCH("component separat",C438)),"Material Separation",ISNUMBER(SEARCH("separat",C438)),"Material Separation",ISNUMBER(SEARCH("connection",C438)),"Loose or Intermittent Connection",ISNUMBER(SEARCH("loose",C438)),"Loose or Intermittent Connection",ISNUMBER(SEARCH("damaged packaging",C438)),"Packaging Problem",ISNUMBER(SEARCH("packaging",C438)),"Packaging Problem",ISNUMBER(SEARCH("discoloration",C438)),"Contamination",ISNUMBER(SEARCH("tarnish",C438)),"Contamination",ISNUMBER(SEARCH("stain",C438)),"Contamination",ISNUMBER(SEARCH("foreign material",C438)),"Contamination",ISNUMBER(SEARCH("contamina",C438)),"Contamination",ISNUMBER(SEARCH("overheat",C438)),"Overheating of Device",ISNUMBER(SEARCH("excessive heat",C438)),"Overheating of Device",ISNUMBER(SEARCH("hot",C438)),"Overheating of Device",ISNUMBER(SEARCH("noise",C438)),"Noise, Audible",ISNUMBER(SEARCH("sound",C438)),"Noise, Audible",ISNUMBER(SEARCH("loud",C438)),"Noise, Audible",ISNUMBER(SEARCH("fray",C438)),"Material Frayed",ISNUMBER(SEARCH("hole",C438)),"Material Frayed",ISNUMBER(SEARCH("tear",C438)),"Material Frayed",ISNUMBER(SEARCH("worn",C438)),"Material Frayed",ISNUMBER(SEARCH("intermittent",C438)),"Difficult or Delayed Activation",ISNUMBER(SEARCH("delay",C438)),"Difficult or Delayed Activation",ISNUMBER(SEARCH("label",C438)),"Device Markings/Labelling Problem",ISNUMBER(SEARCH("marking",C438)),"Device Markings/Labelling Problem",ISNUMBER(SEARCH("lacerat",C438)),"Defective Device",ISNUMBER(SEARCH("cut",C438)),"Defective Device",ISNUMBER(SEARCH("leak",C438)),"Fluid/Blood Leak",ISNUMBER(SEARCH("missing",C438)),"Component Missing",ISNUMBER(SEARCH("power",C438)),"Complete Loss of Power",ISNUMBER(SEARCH("will not turn on",C438)),"Complete Loss of Power",ISNUMBER(SEARCH("won't turn on",C438)),"Complete Loss of Power",ISNUMBER(SEARCH("does not turn on",C438)),"Complete Loss of Power",ISNUMBER(SEARCH("electrical",C438)),"Electrical Power Problem",ISNUMBER(SEARCH("pressure",C438)),"Detachment of Device or Device Component",ISNUMBER(SEARCH("slip",C438)),"Detachment of Device or Device Component",ISNUMBER(SEARCH("detach",C438)),"Detachment of Device or Device Component",ISNUMBER(SEARCH("stick",C438)),"Mechanical Jam",ISNUMBER(SEARCH("jam",C438)),"Mechanical Jam",ISNUMBER(SEARCH("rigid",C438)),"Mechanical Jam",ISNUMBER(SEARCH("rust",C438)),"Corroded",ISNUMBER(SEARCH("corrod",C438)),"Corroded",ISNUMBER(SEARCH("corrosion",C438)),"Corroded",ISNUMBER(SEARCH("alignment",C438)),"Defective Device",ISNUMBER(SEARCH("adjust",C438)),"Defective Device",ISNUMBER(SEARCH("perform",C438)),"Defective Device",ISNUMBER(SEARCH("malfunction",C438)),"Defective Device",ISNUMBER(SEARCH("defect",C438)),"Defective Device",ISNUMBER(SEARCH("fail",C438)),"Defective Device",ISNUMBER(SEARCH("not work",C438)),"Defective Device",ISNUMBER(SEARCH("doesn't work",C438)),"Defective Device",TRUE,"UNKNOWN"),"UNKNOWN")))</f>
        <v/>
      </c>
      <c r="F438" s="4" t="str">
        <f t="shared" si="6"/>
        <v/>
      </c>
      <c r="G438" s="363" t="str">
        <f>IF(E438="","",IFERROR(VLOOKUP(E438,Codes!$L$2:$N$409,3,FALSE),"—"))</f>
        <v/>
      </c>
      <c r="H438" s="88"/>
      <c r="I438" s="88"/>
    </row>
    <row r="439" spans="1:9" ht="13.15" x14ac:dyDescent="0.35">
      <c r="A439" s="434"/>
      <c r="B439" s="436"/>
      <c r="C439" s="437"/>
      <c r="D439" s="434"/>
      <c r="E439" s="93" t="str" cm="1">
        <f t="array" ref="E439">IF(D439&lt;&gt;"",IFERROR(VLOOKUP(D439,Codes!$K$2:$L$409,2,FALSE),"UNKNOWN - "&amp;D439),IF(C439="","",IFERROR(_xlfn.IFS(ISNUMBER(SEARCH("broken button",C439)),"Break",ISNUMBER(SEARCH("broken handle",C439)),"Break",ISNUMBER(SEARCH("shipping damage",C439)),"Break",ISNUMBER(SEARCH("broken",C439)),"Break",ISNUMBER(SEARCH("crack",C439)),"Break",ISNUMBER(SEARCH("snap",C439)),"Break",ISNUMBER(SEARCH("fracture",C439)),"Break",ISNUMBER(SEARCH("bent",C439)),"Material Twisted/Bent",ISNUMBER(SEARCH("twisted",C439)),"Material Twisted/Bent",ISNUMBER(SEARCH("component separat",C439)),"Material Separation",ISNUMBER(SEARCH("separat",C439)),"Material Separation",ISNUMBER(SEARCH("connection",C439)),"Loose or Intermittent Connection",ISNUMBER(SEARCH("loose",C439)),"Loose or Intermittent Connection",ISNUMBER(SEARCH("damaged packaging",C439)),"Packaging Problem",ISNUMBER(SEARCH("packaging",C439)),"Packaging Problem",ISNUMBER(SEARCH("discoloration",C439)),"Contamination",ISNUMBER(SEARCH("tarnish",C439)),"Contamination",ISNUMBER(SEARCH("stain",C439)),"Contamination",ISNUMBER(SEARCH("foreign material",C439)),"Contamination",ISNUMBER(SEARCH("contamina",C439)),"Contamination",ISNUMBER(SEARCH("overheat",C439)),"Overheating of Device",ISNUMBER(SEARCH("excessive heat",C439)),"Overheating of Device",ISNUMBER(SEARCH("hot",C439)),"Overheating of Device",ISNUMBER(SEARCH("noise",C439)),"Noise, Audible",ISNUMBER(SEARCH("sound",C439)),"Noise, Audible",ISNUMBER(SEARCH("loud",C439)),"Noise, Audible",ISNUMBER(SEARCH("fray",C439)),"Material Frayed",ISNUMBER(SEARCH("hole",C439)),"Material Frayed",ISNUMBER(SEARCH("tear",C439)),"Material Frayed",ISNUMBER(SEARCH("worn",C439)),"Material Frayed",ISNUMBER(SEARCH("intermittent",C439)),"Difficult or Delayed Activation",ISNUMBER(SEARCH("delay",C439)),"Difficult or Delayed Activation",ISNUMBER(SEARCH("label",C439)),"Device Markings/Labelling Problem",ISNUMBER(SEARCH("marking",C439)),"Device Markings/Labelling Problem",ISNUMBER(SEARCH("lacerat",C439)),"Defective Device",ISNUMBER(SEARCH("cut",C439)),"Defective Device",ISNUMBER(SEARCH("leak",C439)),"Fluid/Blood Leak",ISNUMBER(SEARCH("missing",C439)),"Component Missing",ISNUMBER(SEARCH("power",C439)),"Complete Loss of Power",ISNUMBER(SEARCH("will not turn on",C439)),"Complete Loss of Power",ISNUMBER(SEARCH("won't turn on",C439)),"Complete Loss of Power",ISNUMBER(SEARCH("does not turn on",C439)),"Complete Loss of Power",ISNUMBER(SEARCH("electrical",C439)),"Electrical Power Problem",ISNUMBER(SEARCH("pressure",C439)),"Detachment of Device or Device Component",ISNUMBER(SEARCH("slip",C439)),"Detachment of Device or Device Component",ISNUMBER(SEARCH("detach",C439)),"Detachment of Device or Device Component",ISNUMBER(SEARCH("stick",C439)),"Mechanical Jam",ISNUMBER(SEARCH("jam",C439)),"Mechanical Jam",ISNUMBER(SEARCH("rigid",C439)),"Mechanical Jam",ISNUMBER(SEARCH("rust",C439)),"Corroded",ISNUMBER(SEARCH("corrod",C439)),"Corroded",ISNUMBER(SEARCH("corrosion",C439)),"Corroded",ISNUMBER(SEARCH("alignment",C439)),"Defective Device",ISNUMBER(SEARCH("adjust",C439)),"Defective Device",ISNUMBER(SEARCH("perform",C439)),"Defective Device",ISNUMBER(SEARCH("malfunction",C439)),"Defective Device",ISNUMBER(SEARCH("defect",C439)),"Defective Device",ISNUMBER(SEARCH("fail",C439)),"Defective Device",ISNUMBER(SEARCH("not work",C439)),"Defective Device",ISNUMBER(SEARCH("doesn't work",C439)),"Defective Device",TRUE,"UNKNOWN"),"UNKNOWN")))</f>
        <v/>
      </c>
      <c r="F439" s="4" t="str">
        <f t="shared" si="6"/>
        <v/>
      </c>
      <c r="G439" s="363" t="str">
        <f>IF(E439="","",IFERROR(VLOOKUP(E439,Codes!$L$2:$N$409,3,FALSE),"—"))</f>
        <v/>
      </c>
      <c r="H439" s="88"/>
      <c r="I439" s="88"/>
    </row>
    <row r="440" spans="1:9" ht="13.15" x14ac:dyDescent="0.35">
      <c r="A440" s="435"/>
      <c r="B440" s="436"/>
      <c r="C440" s="438"/>
      <c r="D440" s="435"/>
      <c r="E440" s="93" t="str" cm="1">
        <f t="array" ref="E440">IF(D440&lt;&gt;"",IFERROR(VLOOKUP(D440,Codes!$K$2:$L$409,2,FALSE),"UNKNOWN - "&amp;D440),IF(C440="","",IFERROR(_xlfn.IFS(ISNUMBER(SEARCH("broken button",C440)),"Break",ISNUMBER(SEARCH("broken handle",C440)),"Break",ISNUMBER(SEARCH("shipping damage",C440)),"Break",ISNUMBER(SEARCH("broken",C440)),"Break",ISNUMBER(SEARCH("crack",C440)),"Break",ISNUMBER(SEARCH("snap",C440)),"Break",ISNUMBER(SEARCH("fracture",C440)),"Break",ISNUMBER(SEARCH("bent",C440)),"Material Twisted/Bent",ISNUMBER(SEARCH("twisted",C440)),"Material Twisted/Bent",ISNUMBER(SEARCH("component separat",C440)),"Material Separation",ISNUMBER(SEARCH("separat",C440)),"Material Separation",ISNUMBER(SEARCH("connection",C440)),"Loose or Intermittent Connection",ISNUMBER(SEARCH("loose",C440)),"Loose or Intermittent Connection",ISNUMBER(SEARCH("damaged packaging",C440)),"Packaging Problem",ISNUMBER(SEARCH("packaging",C440)),"Packaging Problem",ISNUMBER(SEARCH("discoloration",C440)),"Contamination",ISNUMBER(SEARCH("tarnish",C440)),"Contamination",ISNUMBER(SEARCH("stain",C440)),"Contamination",ISNUMBER(SEARCH("foreign material",C440)),"Contamination",ISNUMBER(SEARCH("contamina",C440)),"Contamination",ISNUMBER(SEARCH("overheat",C440)),"Overheating of Device",ISNUMBER(SEARCH("excessive heat",C440)),"Overheating of Device",ISNUMBER(SEARCH("hot",C440)),"Overheating of Device",ISNUMBER(SEARCH("noise",C440)),"Noise, Audible",ISNUMBER(SEARCH("sound",C440)),"Noise, Audible",ISNUMBER(SEARCH("loud",C440)),"Noise, Audible",ISNUMBER(SEARCH("fray",C440)),"Material Frayed",ISNUMBER(SEARCH("hole",C440)),"Material Frayed",ISNUMBER(SEARCH("tear",C440)),"Material Frayed",ISNUMBER(SEARCH("worn",C440)),"Material Frayed",ISNUMBER(SEARCH("intermittent",C440)),"Difficult or Delayed Activation",ISNUMBER(SEARCH("delay",C440)),"Difficult or Delayed Activation",ISNUMBER(SEARCH("label",C440)),"Device Markings/Labelling Problem",ISNUMBER(SEARCH("marking",C440)),"Device Markings/Labelling Problem",ISNUMBER(SEARCH("lacerat",C440)),"Defective Device",ISNUMBER(SEARCH("cut",C440)),"Defective Device",ISNUMBER(SEARCH("leak",C440)),"Fluid/Blood Leak",ISNUMBER(SEARCH("missing",C440)),"Component Missing",ISNUMBER(SEARCH("power",C440)),"Complete Loss of Power",ISNUMBER(SEARCH("will not turn on",C440)),"Complete Loss of Power",ISNUMBER(SEARCH("won't turn on",C440)),"Complete Loss of Power",ISNUMBER(SEARCH("does not turn on",C440)),"Complete Loss of Power",ISNUMBER(SEARCH("electrical",C440)),"Electrical Power Problem",ISNUMBER(SEARCH("pressure",C440)),"Detachment of Device or Device Component",ISNUMBER(SEARCH("slip",C440)),"Detachment of Device or Device Component",ISNUMBER(SEARCH("detach",C440)),"Detachment of Device or Device Component",ISNUMBER(SEARCH("stick",C440)),"Mechanical Jam",ISNUMBER(SEARCH("jam",C440)),"Mechanical Jam",ISNUMBER(SEARCH("rigid",C440)),"Mechanical Jam",ISNUMBER(SEARCH("rust",C440)),"Corroded",ISNUMBER(SEARCH("corrod",C440)),"Corroded",ISNUMBER(SEARCH("corrosion",C440)),"Corroded",ISNUMBER(SEARCH("alignment",C440)),"Defective Device",ISNUMBER(SEARCH("adjust",C440)),"Defective Device",ISNUMBER(SEARCH("perform",C440)),"Defective Device",ISNUMBER(SEARCH("malfunction",C440)),"Defective Device",ISNUMBER(SEARCH("defect",C440)),"Defective Device",ISNUMBER(SEARCH("fail",C440)),"Defective Device",ISNUMBER(SEARCH("not work",C440)),"Defective Device",ISNUMBER(SEARCH("doesn't work",C440)),"Defective Device",TRUE,"UNKNOWN"),"UNKNOWN")))</f>
        <v/>
      </c>
      <c r="F440" s="4" t="str">
        <f t="shared" si="6"/>
        <v/>
      </c>
      <c r="G440" s="363" t="str">
        <f>IF(E440="","",IFERROR(VLOOKUP(E440,Codes!$L$2:$N$409,3,FALSE),"—"))</f>
        <v/>
      </c>
      <c r="H440" s="88"/>
      <c r="I440" s="88"/>
    </row>
    <row r="441" spans="1:9" ht="13.15" x14ac:dyDescent="0.35">
      <c r="A441" s="434"/>
      <c r="B441" s="436"/>
      <c r="C441" s="437"/>
      <c r="D441" s="434"/>
      <c r="E441" s="93" t="str" cm="1">
        <f t="array" ref="E441">IF(D441&lt;&gt;"",IFERROR(VLOOKUP(D441,Codes!$K$2:$L$409,2,FALSE),"UNKNOWN - "&amp;D441),IF(C441="","",IFERROR(_xlfn.IFS(ISNUMBER(SEARCH("broken button",C441)),"Break",ISNUMBER(SEARCH("broken handle",C441)),"Break",ISNUMBER(SEARCH("shipping damage",C441)),"Break",ISNUMBER(SEARCH("broken",C441)),"Break",ISNUMBER(SEARCH("crack",C441)),"Break",ISNUMBER(SEARCH("snap",C441)),"Break",ISNUMBER(SEARCH("fracture",C441)),"Break",ISNUMBER(SEARCH("bent",C441)),"Material Twisted/Bent",ISNUMBER(SEARCH("twisted",C441)),"Material Twisted/Bent",ISNUMBER(SEARCH("component separat",C441)),"Material Separation",ISNUMBER(SEARCH("separat",C441)),"Material Separation",ISNUMBER(SEARCH("connection",C441)),"Loose or Intermittent Connection",ISNUMBER(SEARCH("loose",C441)),"Loose or Intermittent Connection",ISNUMBER(SEARCH("damaged packaging",C441)),"Packaging Problem",ISNUMBER(SEARCH("packaging",C441)),"Packaging Problem",ISNUMBER(SEARCH("discoloration",C441)),"Contamination",ISNUMBER(SEARCH("tarnish",C441)),"Contamination",ISNUMBER(SEARCH("stain",C441)),"Contamination",ISNUMBER(SEARCH("foreign material",C441)),"Contamination",ISNUMBER(SEARCH("contamina",C441)),"Contamination",ISNUMBER(SEARCH("overheat",C441)),"Overheating of Device",ISNUMBER(SEARCH("excessive heat",C441)),"Overheating of Device",ISNUMBER(SEARCH("hot",C441)),"Overheating of Device",ISNUMBER(SEARCH("noise",C441)),"Noise, Audible",ISNUMBER(SEARCH("sound",C441)),"Noise, Audible",ISNUMBER(SEARCH("loud",C441)),"Noise, Audible",ISNUMBER(SEARCH("fray",C441)),"Material Frayed",ISNUMBER(SEARCH("hole",C441)),"Material Frayed",ISNUMBER(SEARCH("tear",C441)),"Material Frayed",ISNUMBER(SEARCH("worn",C441)),"Material Frayed",ISNUMBER(SEARCH("intermittent",C441)),"Difficult or Delayed Activation",ISNUMBER(SEARCH("delay",C441)),"Difficult or Delayed Activation",ISNUMBER(SEARCH("label",C441)),"Device Markings/Labelling Problem",ISNUMBER(SEARCH("marking",C441)),"Device Markings/Labelling Problem",ISNUMBER(SEARCH("lacerat",C441)),"Defective Device",ISNUMBER(SEARCH("cut",C441)),"Defective Device",ISNUMBER(SEARCH("leak",C441)),"Fluid/Blood Leak",ISNUMBER(SEARCH("missing",C441)),"Component Missing",ISNUMBER(SEARCH("power",C441)),"Complete Loss of Power",ISNUMBER(SEARCH("will not turn on",C441)),"Complete Loss of Power",ISNUMBER(SEARCH("won't turn on",C441)),"Complete Loss of Power",ISNUMBER(SEARCH("does not turn on",C441)),"Complete Loss of Power",ISNUMBER(SEARCH("electrical",C441)),"Electrical Power Problem",ISNUMBER(SEARCH("pressure",C441)),"Detachment of Device or Device Component",ISNUMBER(SEARCH("slip",C441)),"Detachment of Device or Device Component",ISNUMBER(SEARCH("detach",C441)),"Detachment of Device or Device Component",ISNUMBER(SEARCH("stick",C441)),"Mechanical Jam",ISNUMBER(SEARCH("jam",C441)),"Mechanical Jam",ISNUMBER(SEARCH("rigid",C441)),"Mechanical Jam",ISNUMBER(SEARCH("rust",C441)),"Corroded",ISNUMBER(SEARCH("corrod",C441)),"Corroded",ISNUMBER(SEARCH("corrosion",C441)),"Corroded",ISNUMBER(SEARCH("alignment",C441)),"Defective Device",ISNUMBER(SEARCH("adjust",C441)),"Defective Device",ISNUMBER(SEARCH("perform",C441)),"Defective Device",ISNUMBER(SEARCH("malfunction",C441)),"Defective Device",ISNUMBER(SEARCH("defect",C441)),"Defective Device",ISNUMBER(SEARCH("fail",C441)),"Defective Device",ISNUMBER(SEARCH("not work",C441)),"Defective Device",ISNUMBER(SEARCH("doesn't work",C441)),"Defective Device",TRUE,"UNKNOWN"),"UNKNOWN")))</f>
        <v/>
      </c>
      <c r="F441" s="4" t="str">
        <f t="shared" si="6"/>
        <v/>
      </c>
      <c r="G441" s="363" t="str">
        <f>IF(E441="","",IFERROR(VLOOKUP(E441,Codes!$L$2:$N$409,3,FALSE),"—"))</f>
        <v/>
      </c>
      <c r="H441" s="88"/>
      <c r="I441" s="88"/>
    </row>
    <row r="442" spans="1:9" ht="13.15" x14ac:dyDescent="0.35">
      <c r="A442" s="435"/>
      <c r="B442" s="436"/>
      <c r="C442" s="438"/>
      <c r="D442" s="435"/>
      <c r="E442" s="93" t="str" cm="1">
        <f t="array" ref="E442">IF(D442&lt;&gt;"",IFERROR(VLOOKUP(D442,Codes!$K$2:$L$409,2,FALSE),"UNKNOWN - "&amp;D442),IF(C442="","",IFERROR(_xlfn.IFS(ISNUMBER(SEARCH("broken button",C442)),"Break",ISNUMBER(SEARCH("broken handle",C442)),"Break",ISNUMBER(SEARCH("shipping damage",C442)),"Break",ISNUMBER(SEARCH("broken",C442)),"Break",ISNUMBER(SEARCH("crack",C442)),"Break",ISNUMBER(SEARCH("snap",C442)),"Break",ISNUMBER(SEARCH("fracture",C442)),"Break",ISNUMBER(SEARCH("bent",C442)),"Material Twisted/Bent",ISNUMBER(SEARCH("twisted",C442)),"Material Twisted/Bent",ISNUMBER(SEARCH("component separat",C442)),"Material Separation",ISNUMBER(SEARCH("separat",C442)),"Material Separation",ISNUMBER(SEARCH("connection",C442)),"Loose or Intermittent Connection",ISNUMBER(SEARCH("loose",C442)),"Loose or Intermittent Connection",ISNUMBER(SEARCH("damaged packaging",C442)),"Packaging Problem",ISNUMBER(SEARCH("packaging",C442)),"Packaging Problem",ISNUMBER(SEARCH("discoloration",C442)),"Contamination",ISNUMBER(SEARCH("tarnish",C442)),"Contamination",ISNUMBER(SEARCH("stain",C442)),"Contamination",ISNUMBER(SEARCH("foreign material",C442)),"Contamination",ISNUMBER(SEARCH("contamina",C442)),"Contamination",ISNUMBER(SEARCH("overheat",C442)),"Overheating of Device",ISNUMBER(SEARCH("excessive heat",C442)),"Overheating of Device",ISNUMBER(SEARCH("hot",C442)),"Overheating of Device",ISNUMBER(SEARCH("noise",C442)),"Noise, Audible",ISNUMBER(SEARCH("sound",C442)),"Noise, Audible",ISNUMBER(SEARCH("loud",C442)),"Noise, Audible",ISNUMBER(SEARCH("fray",C442)),"Material Frayed",ISNUMBER(SEARCH("hole",C442)),"Material Frayed",ISNUMBER(SEARCH("tear",C442)),"Material Frayed",ISNUMBER(SEARCH("worn",C442)),"Material Frayed",ISNUMBER(SEARCH("intermittent",C442)),"Difficult or Delayed Activation",ISNUMBER(SEARCH("delay",C442)),"Difficult or Delayed Activation",ISNUMBER(SEARCH("label",C442)),"Device Markings/Labelling Problem",ISNUMBER(SEARCH("marking",C442)),"Device Markings/Labelling Problem",ISNUMBER(SEARCH("lacerat",C442)),"Defective Device",ISNUMBER(SEARCH("cut",C442)),"Defective Device",ISNUMBER(SEARCH("leak",C442)),"Fluid/Blood Leak",ISNUMBER(SEARCH("missing",C442)),"Component Missing",ISNUMBER(SEARCH("power",C442)),"Complete Loss of Power",ISNUMBER(SEARCH("will not turn on",C442)),"Complete Loss of Power",ISNUMBER(SEARCH("won't turn on",C442)),"Complete Loss of Power",ISNUMBER(SEARCH("does not turn on",C442)),"Complete Loss of Power",ISNUMBER(SEARCH("electrical",C442)),"Electrical Power Problem",ISNUMBER(SEARCH("pressure",C442)),"Detachment of Device or Device Component",ISNUMBER(SEARCH("slip",C442)),"Detachment of Device or Device Component",ISNUMBER(SEARCH("detach",C442)),"Detachment of Device or Device Component",ISNUMBER(SEARCH("stick",C442)),"Mechanical Jam",ISNUMBER(SEARCH("jam",C442)),"Mechanical Jam",ISNUMBER(SEARCH("rigid",C442)),"Mechanical Jam",ISNUMBER(SEARCH("rust",C442)),"Corroded",ISNUMBER(SEARCH("corrod",C442)),"Corroded",ISNUMBER(SEARCH("corrosion",C442)),"Corroded",ISNUMBER(SEARCH("alignment",C442)),"Defective Device",ISNUMBER(SEARCH("adjust",C442)),"Defective Device",ISNUMBER(SEARCH("perform",C442)),"Defective Device",ISNUMBER(SEARCH("malfunction",C442)),"Defective Device",ISNUMBER(SEARCH("defect",C442)),"Defective Device",ISNUMBER(SEARCH("fail",C442)),"Defective Device",ISNUMBER(SEARCH("not work",C442)),"Defective Device",ISNUMBER(SEARCH("doesn't work",C442)),"Defective Device",TRUE,"UNKNOWN"),"UNKNOWN")))</f>
        <v/>
      </c>
      <c r="F442" s="4" t="str">
        <f t="shared" si="6"/>
        <v/>
      </c>
      <c r="G442" s="363" t="str">
        <f>IF(E442="","",IFERROR(VLOOKUP(E442,Codes!$L$2:$N$409,3,FALSE),"—"))</f>
        <v/>
      </c>
      <c r="H442" s="88"/>
      <c r="I442" s="88"/>
    </row>
    <row r="443" spans="1:9" ht="13.15" x14ac:dyDescent="0.35">
      <c r="A443" s="434"/>
      <c r="B443" s="436"/>
      <c r="C443" s="437"/>
      <c r="D443" s="434"/>
      <c r="E443" s="93" t="str" cm="1">
        <f t="array" ref="E443">IF(D443&lt;&gt;"",IFERROR(VLOOKUP(D443,Codes!$K$2:$L$409,2,FALSE),"UNKNOWN - "&amp;D443),IF(C443="","",IFERROR(_xlfn.IFS(ISNUMBER(SEARCH("broken button",C443)),"Break",ISNUMBER(SEARCH("broken handle",C443)),"Break",ISNUMBER(SEARCH("shipping damage",C443)),"Break",ISNUMBER(SEARCH("broken",C443)),"Break",ISNUMBER(SEARCH("crack",C443)),"Break",ISNUMBER(SEARCH("snap",C443)),"Break",ISNUMBER(SEARCH("fracture",C443)),"Break",ISNUMBER(SEARCH("bent",C443)),"Material Twisted/Bent",ISNUMBER(SEARCH("twisted",C443)),"Material Twisted/Bent",ISNUMBER(SEARCH("component separat",C443)),"Material Separation",ISNUMBER(SEARCH("separat",C443)),"Material Separation",ISNUMBER(SEARCH("connection",C443)),"Loose or Intermittent Connection",ISNUMBER(SEARCH("loose",C443)),"Loose or Intermittent Connection",ISNUMBER(SEARCH("damaged packaging",C443)),"Packaging Problem",ISNUMBER(SEARCH("packaging",C443)),"Packaging Problem",ISNUMBER(SEARCH("discoloration",C443)),"Contamination",ISNUMBER(SEARCH("tarnish",C443)),"Contamination",ISNUMBER(SEARCH("stain",C443)),"Contamination",ISNUMBER(SEARCH("foreign material",C443)),"Contamination",ISNUMBER(SEARCH("contamina",C443)),"Contamination",ISNUMBER(SEARCH("overheat",C443)),"Overheating of Device",ISNUMBER(SEARCH("excessive heat",C443)),"Overheating of Device",ISNUMBER(SEARCH("hot",C443)),"Overheating of Device",ISNUMBER(SEARCH("noise",C443)),"Noise, Audible",ISNUMBER(SEARCH("sound",C443)),"Noise, Audible",ISNUMBER(SEARCH("loud",C443)),"Noise, Audible",ISNUMBER(SEARCH("fray",C443)),"Material Frayed",ISNUMBER(SEARCH("hole",C443)),"Material Frayed",ISNUMBER(SEARCH("tear",C443)),"Material Frayed",ISNUMBER(SEARCH("worn",C443)),"Material Frayed",ISNUMBER(SEARCH("intermittent",C443)),"Difficult or Delayed Activation",ISNUMBER(SEARCH("delay",C443)),"Difficult or Delayed Activation",ISNUMBER(SEARCH("label",C443)),"Device Markings/Labelling Problem",ISNUMBER(SEARCH("marking",C443)),"Device Markings/Labelling Problem",ISNUMBER(SEARCH("lacerat",C443)),"Defective Device",ISNUMBER(SEARCH("cut",C443)),"Defective Device",ISNUMBER(SEARCH("leak",C443)),"Fluid/Blood Leak",ISNUMBER(SEARCH("missing",C443)),"Component Missing",ISNUMBER(SEARCH("power",C443)),"Complete Loss of Power",ISNUMBER(SEARCH("will not turn on",C443)),"Complete Loss of Power",ISNUMBER(SEARCH("won't turn on",C443)),"Complete Loss of Power",ISNUMBER(SEARCH("does not turn on",C443)),"Complete Loss of Power",ISNUMBER(SEARCH("electrical",C443)),"Electrical Power Problem",ISNUMBER(SEARCH("pressure",C443)),"Detachment of Device or Device Component",ISNUMBER(SEARCH("slip",C443)),"Detachment of Device or Device Component",ISNUMBER(SEARCH("detach",C443)),"Detachment of Device or Device Component",ISNUMBER(SEARCH("stick",C443)),"Mechanical Jam",ISNUMBER(SEARCH("jam",C443)),"Mechanical Jam",ISNUMBER(SEARCH("rigid",C443)),"Mechanical Jam",ISNUMBER(SEARCH("rust",C443)),"Corroded",ISNUMBER(SEARCH("corrod",C443)),"Corroded",ISNUMBER(SEARCH("corrosion",C443)),"Corroded",ISNUMBER(SEARCH("alignment",C443)),"Defective Device",ISNUMBER(SEARCH("adjust",C443)),"Defective Device",ISNUMBER(SEARCH("perform",C443)),"Defective Device",ISNUMBER(SEARCH("malfunction",C443)),"Defective Device",ISNUMBER(SEARCH("defect",C443)),"Defective Device",ISNUMBER(SEARCH("fail",C443)),"Defective Device",ISNUMBER(SEARCH("not work",C443)),"Defective Device",ISNUMBER(SEARCH("doesn't work",C443)),"Defective Device",TRUE,"UNKNOWN"),"UNKNOWN")))</f>
        <v/>
      </c>
      <c r="F443" s="4" t="str">
        <f t="shared" si="6"/>
        <v/>
      </c>
      <c r="G443" s="363" t="str">
        <f>IF(E443="","",IFERROR(VLOOKUP(E443,Codes!$L$2:$N$409,3,FALSE),"—"))</f>
        <v/>
      </c>
      <c r="H443" s="88"/>
      <c r="I443" s="88"/>
    </row>
    <row r="444" spans="1:9" ht="13.15" x14ac:dyDescent="0.35">
      <c r="A444" s="435"/>
      <c r="B444" s="436"/>
      <c r="C444" s="438"/>
      <c r="D444" s="435"/>
      <c r="E444" s="93" t="str" cm="1">
        <f t="array" ref="E444">IF(D444&lt;&gt;"",IFERROR(VLOOKUP(D444,Codes!$K$2:$L$409,2,FALSE),"UNKNOWN - "&amp;D444),IF(C444="","",IFERROR(_xlfn.IFS(ISNUMBER(SEARCH("broken button",C444)),"Break",ISNUMBER(SEARCH("broken handle",C444)),"Break",ISNUMBER(SEARCH("shipping damage",C444)),"Break",ISNUMBER(SEARCH("broken",C444)),"Break",ISNUMBER(SEARCH("crack",C444)),"Break",ISNUMBER(SEARCH("snap",C444)),"Break",ISNUMBER(SEARCH("fracture",C444)),"Break",ISNUMBER(SEARCH("bent",C444)),"Material Twisted/Bent",ISNUMBER(SEARCH("twisted",C444)),"Material Twisted/Bent",ISNUMBER(SEARCH("component separat",C444)),"Material Separation",ISNUMBER(SEARCH("separat",C444)),"Material Separation",ISNUMBER(SEARCH("connection",C444)),"Loose or Intermittent Connection",ISNUMBER(SEARCH("loose",C444)),"Loose or Intermittent Connection",ISNUMBER(SEARCH("damaged packaging",C444)),"Packaging Problem",ISNUMBER(SEARCH("packaging",C444)),"Packaging Problem",ISNUMBER(SEARCH("discoloration",C444)),"Contamination",ISNUMBER(SEARCH("tarnish",C444)),"Contamination",ISNUMBER(SEARCH("stain",C444)),"Contamination",ISNUMBER(SEARCH("foreign material",C444)),"Contamination",ISNUMBER(SEARCH("contamina",C444)),"Contamination",ISNUMBER(SEARCH("overheat",C444)),"Overheating of Device",ISNUMBER(SEARCH("excessive heat",C444)),"Overheating of Device",ISNUMBER(SEARCH("hot",C444)),"Overheating of Device",ISNUMBER(SEARCH("noise",C444)),"Noise, Audible",ISNUMBER(SEARCH("sound",C444)),"Noise, Audible",ISNUMBER(SEARCH("loud",C444)),"Noise, Audible",ISNUMBER(SEARCH("fray",C444)),"Material Frayed",ISNUMBER(SEARCH("hole",C444)),"Material Frayed",ISNUMBER(SEARCH("tear",C444)),"Material Frayed",ISNUMBER(SEARCH("worn",C444)),"Material Frayed",ISNUMBER(SEARCH("intermittent",C444)),"Difficult or Delayed Activation",ISNUMBER(SEARCH("delay",C444)),"Difficult or Delayed Activation",ISNUMBER(SEARCH("label",C444)),"Device Markings/Labelling Problem",ISNUMBER(SEARCH("marking",C444)),"Device Markings/Labelling Problem",ISNUMBER(SEARCH("lacerat",C444)),"Defective Device",ISNUMBER(SEARCH("cut",C444)),"Defective Device",ISNUMBER(SEARCH("leak",C444)),"Fluid/Blood Leak",ISNUMBER(SEARCH("missing",C444)),"Component Missing",ISNUMBER(SEARCH("power",C444)),"Complete Loss of Power",ISNUMBER(SEARCH("will not turn on",C444)),"Complete Loss of Power",ISNUMBER(SEARCH("won't turn on",C444)),"Complete Loss of Power",ISNUMBER(SEARCH("does not turn on",C444)),"Complete Loss of Power",ISNUMBER(SEARCH("electrical",C444)),"Electrical Power Problem",ISNUMBER(SEARCH("pressure",C444)),"Detachment of Device or Device Component",ISNUMBER(SEARCH("slip",C444)),"Detachment of Device or Device Component",ISNUMBER(SEARCH("detach",C444)),"Detachment of Device or Device Component",ISNUMBER(SEARCH("stick",C444)),"Mechanical Jam",ISNUMBER(SEARCH("jam",C444)),"Mechanical Jam",ISNUMBER(SEARCH("rigid",C444)),"Mechanical Jam",ISNUMBER(SEARCH("rust",C444)),"Corroded",ISNUMBER(SEARCH("corrod",C444)),"Corroded",ISNUMBER(SEARCH("corrosion",C444)),"Corroded",ISNUMBER(SEARCH("alignment",C444)),"Defective Device",ISNUMBER(SEARCH("adjust",C444)),"Defective Device",ISNUMBER(SEARCH("perform",C444)),"Defective Device",ISNUMBER(SEARCH("malfunction",C444)),"Defective Device",ISNUMBER(SEARCH("defect",C444)),"Defective Device",ISNUMBER(SEARCH("fail",C444)),"Defective Device",ISNUMBER(SEARCH("not work",C444)),"Defective Device",ISNUMBER(SEARCH("doesn't work",C444)),"Defective Device",TRUE,"UNKNOWN"),"UNKNOWN")))</f>
        <v/>
      </c>
      <c r="F444" s="4" t="str">
        <f t="shared" si="6"/>
        <v/>
      </c>
      <c r="G444" s="363" t="str">
        <f>IF(E444="","",IFERROR(VLOOKUP(E444,Codes!$L$2:$N$409,3,FALSE),"—"))</f>
        <v/>
      </c>
      <c r="H444" s="88"/>
      <c r="I444" s="88"/>
    </row>
    <row r="445" spans="1:9" ht="13.15" x14ac:dyDescent="0.35">
      <c r="A445" s="435"/>
      <c r="B445" s="436"/>
      <c r="C445" s="440"/>
      <c r="D445" s="435"/>
      <c r="E445" s="93" t="str" cm="1">
        <f t="array" ref="E445">IF(D445&lt;&gt;"",IFERROR(VLOOKUP(D445,Codes!$K$2:$L$409,2,FALSE),"UNKNOWN - "&amp;D445),IF(C445="","",IFERROR(_xlfn.IFS(ISNUMBER(SEARCH("broken button",C445)),"Break",ISNUMBER(SEARCH("broken handle",C445)),"Break",ISNUMBER(SEARCH("shipping damage",C445)),"Break",ISNUMBER(SEARCH("broken",C445)),"Break",ISNUMBER(SEARCH("crack",C445)),"Break",ISNUMBER(SEARCH("snap",C445)),"Break",ISNUMBER(SEARCH("fracture",C445)),"Break",ISNUMBER(SEARCH("bent",C445)),"Material Twisted/Bent",ISNUMBER(SEARCH("twisted",C445)),"Material Twisted/Bent",ISNUMBER(SEARCH("component separat",C445)),"Material Separation",ISNUMBER(SEARCH("separat",C445)),"Material Separation",ISNUMBER(SEARCH("connection",C445)),"Loose or Intermittent Connection",ISNUMBER(SEARCH("loose",C445)),"Loose or Intermittent Connection",ISNUMBER(SEARCH("damaged packaging",C445)),"Packaging Problem",ISNUMBER(SEARCH("packaging",C445)),"Packaging Problem",ISNUMBER(SEARCH("discoloration",C445)),"Contamination",ISNUMBER(SEARCH("tarnish",C445)),"Contamination",ISNUMBER(SEARCH("stain",C445)),"Contamination",ISNUMBER(SEARCH("foreign material",C445)),"Contamination",ISNUMBER(SEARCH("contamina",C445)),"Contamination",ISNUMBER(SEARCH("overheat",C445)),"Overheating of Device",ISNUMBER(SEARCH("excessive heat",C445)),"Overheating of Device",ISNUMBER(SEARCH("hot",C445)),"Overheating of Device",ISNUMBER(SEARCH("noise",C445)),"Noise, Audible",ISNUMBER(SEARCH("sound",C445)),"Noise, Audible",ISNUMBER(SEARCH("loud",C445)),"Noise, Audible",ISNUMBER(SEARCH("fray",C445)),"Material Frayed",ISNUMBER(SEARCH("hole",C445)),"Material Frayed",ISNUMBER(SEARCH("tear",C445)),"Material Frayed",ISNUMBER(SEARCH("worn",C445)),"Material Frayed",ISNUMBER(SEARCH("intermittent",C445)),"Difficult or Delayed Activation",ISNUMBER(SEARCH("delay",C445)),"Difficult or Delayed Activation",ISNUMBER(SEARCH("label",C445)),"Device Markings/Labelling Problem",ISNUMBER(SEARCH("marking",C445)),"Device Markings/Labelling Problem",ISNUMBER(SEARCH("lacerat",C445)),"Defective Device",ISNUMBER(SEARCH("cut",C445)),"Defective Device",ISNUMBER(SEARCH("leak",C445)),"Fluid/Blood Leak",ISNUMBER(SEARCH("missing",C445)),"Component Missing",ISNUMBER(SEARCH("power",C445)),"Complete Loss of Power",ISNUMBER(SEARCH("will not turn on",C445)),"Complete Loss of Power",ISNUMBER(SEARCH("won't turn on",C445)),"Complete Loss of Power",ISNUMBER(SEARCH("does not turn on",C445)),"Complete Loss of Power",ISNUMBER(SEARCH("electrical",C445)),"Electrical Power Problem",ISNUMBER(SEARCH("pressure",C445)),"Detachment of Device or Device Component",ISNUMBER(SEARCH("slip",C445)),"Detachment of Device or Device Component",ISNUMBER(SEARCH("detach",C445)),"Detachment of Device or Device Component",ISNUMBER(SEARCH("stick",C445)),"Mechanical Jam",ISNUMBER(SEARCH("jam",C445)),"Mechanical Jam",ISNUMBER(SEARCH("rigid",C445)),"Mechanical Jam",ISNUMBER(SEARCH("rust",C445)),"Corroded",ISNUMBER(SEARCH("corrod",C445)),"Corroded",ISNUMBER(SEARCH("corrosion",C445)),"Corroded",ISNUMBER(SEARCH("alignment",C445)),"Defective Device",ISNUMBER(SEARCH("adjust",C445)),"Defective Device",ISNUMBER(SEARCH("perform",C445)),"Defective Device",ISNUMBER(SEARCH("malfunction",C445)),"Defective Device",ISNUMBER(SEARCH("defect",C445)),"Defective Device",ISNUMBER(SEARCH("fail",C445)),"Defective Device",ISNUMBER(SEARCH("not work",C445)),"Defective Device",ISNUMBER(SEARCH("doesn't work",C445)),"Defective Device",TRUE,"UNKNOWN"),"UNKNOWN")))</f>
        <v/>
      </c>
      <c r="F445" s="4" t="str">
        <f t="shared" si="6"/>
        <v/>
      </c>
      <c r="G445" s="363" t="str">
        <f>IF(E445="","",IFERROR(VLOOKUP(E445,Codes!$L$2:$N$409,3,FALSE),"—"))</f>
        <v/>
      </c>
      <c r="H445" s="88"/>
      <c r="I445" s="88"/>
    </row>
    <row r="446" spans="1:9" ht="13.15" x14ac:dyDescent="0.35">
      <c r="A446" s="434"/>
      <c r="B446" s="436"/>
      <c r="C446" s="437"/>
      <c r="D446" s="434"/>
      <c r="E446" s="93" t="str" cm="1">
        <f t="array" ref="E446">IF(D446&lt;&gt;"",IFERROR(VLOOKUP(D446,Codes!$K$2:$L$409,2,FALSE),"UNKNOWN - "&amp;D446),IF(C446="","",IFERROR(_xlfn.IFS(ISNUMBER(SEARCH("broken button",C446)),"Break",ISNUMBER(SEARCH("broken handle",C446)),"Break",ISNUMBER(SEARCH("shipping damage",C446)),"Break",ISNUMBER(SEARCH("broken",C446)),"Break",ISNUMBER(SEARCH("crack",C446)),"Break",ISNUMBER(SEARCH("snap",C446)),"Break",ISNUMBER(SEARCH("fracture",C446)),"Break",ISNUMBER(SEARCH("bent",C446)),"Material Twisted/Bent",ISNUMBER(SEARCH("twisted",C446)),"Material Twisted/Bent",ISNUMBER(SEARCH("component separat",C446)),"Material Separation",ISNUMBER(SEARCH("separat",C446)),"Material Separation",ISNUMBER(SEARCH("connection",C446)),"Loose or Intermittent Connection",ISNUMBER(SEARCH("loose",C446)),"Loose or Intermittent Connection",ISNUMBER(SEARCH("damaged packaging",C446)),"Packaging Problem",ISNUMBER(SEARCH("packaging",C446)),"Packaging Problem",ISNUMBER(SEARCH("discoloration",C446)),"Contamination",ISNUMBER(SEARCH("tarnish",C446)),"Contamination",ISNUMBER(SEARCH("stain",C446)),"Contamination",ISNUMBER(SEARCH("foreign material",C446)),"Contamination",ISNUMBER(SEARCH("contamina",C446)),"Contamination",ISNUMBER(SEARCH("overheat",C446)),"Overheating of Device",ISNUMBER(SEARCH("excessive heat",C446)),"Overheating of Device",ISNUMBER(SEARCH("hot",C446)),"Overheating of Device",ISNUMBER(SEARCH("noise",C446)),"Noise, Audible",ISNUMBER(SEARCH("sound",C446)),"Noise, Audible",ISNUMBER(SEARCH("loud",C446)),"Noise, Audible",ISNUMBER(SEARCH("fray",C446)),"Material Frayed",ISNUMBER(SEARCH("hole",C446)),"Material Frayed",ISNUMBER(SEARCH("tear",C446)),"Material Frayed",ISNUMBER(SEARCH("worn",C446)),"Material Frayed",ISNUMBER(SEARCH("intermittent",C446)),"Difficult or Delayed Activation",ISNUMBER(SEARCH("delay",C446)),"Difficult or Delayed Activation",ISNUMBER(SEARCH("label",C446)),"Device Markings/Labelling Problem",ISNUMBER(SEARCH("marking",C446)),"Device Markings/Labelling Problem",ISNUMBER(SEARCH("lacerat",C446)),"Defective Device",ISNUMBER(SEARCH("cut",C446)),"Defective Device",ISNUMBER(SEARCH("leak",C446)),"Fluid/Blood Leak",ISNUMBER(SEARCH("missing",C446)),"Component Missing",ISNUMBER(SEARCH("power",C446)),"Complete Loss of Power",ISNUMBER(SEARCH("will not turn on",C446)),"Complete Loss of Power",ISNUMBER(SEARCH("won't turn on",C446)),"Complete Loss of Power",ISNUMBER(SEARCH("does not turn on",C446)),"Complete Loss of Power",ISNUMBER(SEARCH("electrical",C446)),"Electrical Power Problem",ISNUMBER(SEARCH("pressure",C446)),"Detachment of Device or Device Component",ISNUMBER(SEARCH("slip",C446)),"Detachment of Device or Device Component",ISNUMBER(SEARCH("detach",C446)),"Detachment of Device or Device Component",ISNUMBER(SEARCH("stick",C446)),"Mechanical Jam",ISNUMBER(SEARCH("jam",C446)),"Mechanical Jam",ISNUMBER(SEARCH("rigid",C446)),"Mechanical Jam",ISNUMBER(SEARCH("rust",C446)),"Corroded",ISNUMBER(SEARCH("corrod",C446)),"Corroded",ISNUMBER(SEARCH("corrosion",C446)),"Corroded",ISNUMBER(SEARCH("alignment",C446)),"Defective Device",ISNUMBER(SEARCH("adjust",C446)),"Defective Device",ISNUMBER(SEARCH("perform",C446)),"Defective Device",ISNUMBER(SEARCH("malfunction",C446)),"Defective Device",ISNUMBER(SEARCH("defect",C446)),"Defective Device",ISNUMBER(SEARCH("fail",C446)),"Defective Device",ISNUMBER(SEARCH("not work",C446)),"Defective Device",ISNUMBER(SEARCH("doesn't work",C446)),"Defective Device",TRUE,"UNKNOWN"),"UNKNOWN")))</f>
        <v/>
      </c>
      <c r="F446" s="4" t="str">
        <f t="shared" si="6"/>
        <v/>
      </c>
      <c r="G446" s="363" t="str">
        <f>IF(E446="","",IFERROR(VLOOKUP(E446,Codes!$L$2:$N$409,3,FALSE),"—"))</f>
        <v/>
      </c>
      <c r="H446" s="88"/>
      <c r="I446" s="88"/>
    </row>
    <row r="447" spans="1:9" ht="13.15" x14ac:dyDescent="0.35">
      <c r="A447" s="435"/>
      <c r="B447" s="436"/>
      <c r="C447" s="438"/>
      <c r="D447" s="435"/>
      <c r="E447" s="93" t="str" cm="1">
        <f t="array" ref="E447">IF(D447&lt;&gt;"",IFERROR(VLOOKUP(D447,Codes!$K$2:$L$409,2,FALSE),"UNKNOWN - "&amp;D447),IF(C447="","",IFERROR(_xlfn.IFS(ISNUMBER(SEARCH("broken button",C447)),"Break",ISNUMBER(SEARCH("broken handle",C447)),"Break",ISNUMBER(SEARCH("shipping damage",C447)),"Break",ISNUMBER(SEARCH("broken",C447)),"Break",ISNUMBER(SEARCH("crack",C447)),"Break",ISNUMBER(SEARCH("snap",C447)),"Break",ISNUMBER(SEARCH("fracture",C447)),"Break",ISNUMBER(SEARCH("bent",C447)),"Material Twisted/Bent",ISNUMBER(SEARCH("twisted",C447)),"Material Twisted/Bent",ISNUMBER(SEARCH("component separat",C447)),"Material Separation",ISNUMBER(SEARCH("separat",C447)),"Material Separation",ISNUMBER(SEARCH("connection",C447)),"Loose or Intermittent Connection",ISNUMBER(SEARCH("loose",C447)),"Loose or Intermittent Connection",ISNUMBER(SEARCH("damaged packaging",C447)),"Packaging Problem",ISNUMBER(SEARCH("packaging",C447)),"Packaging Problem",ISNUMBER(SEARCH("discoloration",C447)),"Contamination",ISNUMBER(SEARCH("tarnish",C447)),"Contamination",ISNUMBER(SEARCH("stain",C447)),"Contamination",ISNUMBER(SEARCH("foreign material",C447)),"Contamination",ISNUMBER(SEARCH("contamina",C447)),"Contamination",ISNUMBER(SEARCH("overheat",C447)),"Overheating of Device",ISNUMBER(SEARCH("excessive heat",C447)),"Overheating of Device",ISNUMBER(SEARCH("hot",C447)),"Overheating of Device",ISNUMBER(SEARCH("noise",C447)),"Noise, Audible",ISNUMBER(SEARCH("sound",C447)),"Noise, Audible",ISNUMBER(SEARCH("loud",C447)),"Noise, Audible",ISNUMBER(SEARCH("fray",C447)),"Material Frayed",ISNUMBER(SEARCH("hole",C447)),"Material Frayed",ISNUMBER(SEARCH("tear",C447)),"Material Frayed",ISNUMBER(SEARCH("worn",C447)),"Material Frayed",ISNUMBER(SEARCH("intermittent",C447)),"Difficult or Delayed Activation",ISNUMBER(SEARCH("delay",C447)),"Difficult or Delayed Activation",ISNUMBER(SEARCH("label",C447)),"Device Markings/Labelling Problem",ISNUMBER(SEARCH("marking",C447)),"Device Markings/Labelling Problem",ISNUMBER(SEARCH("lacerat",C447)),"Defective Device",ISNUMBER(SEARCH("cut",C447)),"Defective Device",ISNUMBER(SEARCH("leak",C447)),"Fluid/Blood Leak",ISNUMBER(SEARCH("missing",C447)),"Component Missing",ISNUMBER(SEARCH("power",C447)),"Complete Loss of Power",ISNUMBER(SEARCH("will not turn on",C447)),"Complete Loss of Power",ISNUMBER(SEARCH("won't turn on",C447)),"Complete Loss of Power",ISNUMBER(SEARCH("does not turn on",C447)),"Complete Loss of Power",ISNUMBER(SEARCH("electrical",C447)),"Electrical Power Problem",ISNUMBER(SEARCH("pressure",C447)),"Detachment of Device or Device Component",ISNUMBER(SEARCH("slip",C447)),"Detachment of Device or Device Component",ISNUMBER(SEARCH("detach",C447)),"Detachment of Device or Device Component",ISNUMBER(SEARCH("stick",C447)),"Mechanical Jam",ISNUMBER(SEARCH("jam",C447)),"Mechanical Jam",ISNUMBER(SEARCH("rigid",C447)),"Mechanical Jam",ISNUMBER(SEARCH("rust",C447)),"Corroded",ISNUMBER(SEARCH("corrod",C447)),"Corroded",ISNUMBER(SEARCH("corrosion",C447)),"Corroded",ISNUMBER(SEARCH("alignment",C447)),"Defective Device",ISNUMBER(SEARCH("adjust",C447)),"Defective Device",ISNUMBER(SEARCH("perform",C447)),"Defective Device",ISNUMBER(SEARCH("malfunction",C447)),"Defective Device",ISNUMBER(SEARCH("defect",C447)),"Defective Device",ISNUMBER(SEARCH("fail",C447)),"Defective Device",ISNUMBER(SEARCH("not work",C447)),"Defective Device",ISNUMBER(SEARCH("doesn't work",C447)),"Defective Device",TRUE,"UNKNOWN"),"UNKNOWN")))</f>
        <v/>
      </c>
      <c r="F447" s="4" t="str">
        <f t="shared" si="6"/>
        <v/>
      </c>
      <c r="G447" s="363" t="str">
        <f>IF(E447="","",IFERROR(VLOOKUP(E447,Codes!$L$2:$N$409,3,FALSE),"—"))</f>
        <v/>
      </c>
      <c r="H447" s="88"/>
      <c r="I447" s="88"/>
    </row>
    <row r="448" spans="1:9" ht="13.15" x14ac:dyDescent="0.35">
      <c r="A448" s="434"/>
      <c r="B448" s="436"/>
      <c r="C448" s="437"/>
      <c r="D448" s="434"/>
      <c r="E448" s="93" t="str" cm="1">
        <f t="array" ref="E448">IF(D448&lt;&gt;"",IFERROR(VLOOKUP(D448,Codes!$K$2:$L$409,2,FALSE),"UNKNOWN - "&amp;D448),IF(C448="","",IFERROR(_xlfn.IFS(ISNUMBER(SEARCH("broken button",C448)),"Break",ISNUMBER(SEARCH("broken handle",C448)),"Break",ISNUMBER(SEARCH("shipping damage",C448)),"Break",ISNUMBER(SEARCH("broken",C448)),"Break",ISNUMBER(SEARCH("crack",C448)),"Break",ISNUMBER(SEARCH("snap",C448)),"Break",ISNUMBER(SEARCH("fracture",C448)),"Break",ISNUMBER(SEARCH("bent",C448)),"Material Twisted/Bent",ISNUMBER(SEARCH("twisted",C448)),"Material Twisted/Bent",ISNUMBER(SEARCH("component separat",C448)),"Material Separation",ISNUMBER(SEARCH("separat",C448)),"Material Separation",ISNUMBER(SEARCH("connection",C448)),"Loose or Intermittent Connection",ISNUMBER(SEARCH("loose",C448)),"Loose or Intermittent Connection",ISNUMBER(SEARCH("damaged packaging",C448)),"Packaging Problem",ISNUMBER(SEARCH("packaging",C448)),"Packaging Problem",ISNUMBER(SEARCH("discoloration",C448)),"Contamination",ISNUMBER(SEARCH("tarnish",C448)),"Contamination",ISNUMBER(SEARCH("stain",C448)),"Contamination",ISNUMBER(SEARCH("foreign material",C448)),"Contamination",ISNUMBER(SEARCH("contamina",C448)),"Contamination",ISNUMBER(SEARCH("overheat",C448)),"Overheating of Device",ISNUMBER(SEARCH("excessive heat",C448)),"Overheating of Device",ISNUMBER(SEARCH("hot",C448)),"Overheating of Device",ISNUMBER(SEARCH("noise",C448)),"Noise, Audible",ISNUMBER(SEARCH("sound",C448)),"Noise, Audible",ISNUMBER(SEARCH("loud",C448)),"Noise, Audible",ISNUMBER(SEARCH("fray",C448)),"Material Frayed",ISNUMBER(SEARCH("hole",C448)),"Material Frayed",ISNUMBER(SEARCH("tear",C448)),"Material Frayed",ISNUMBER(SEARCH("worn",C448)),"Material Frayed",ISNUMBER(SEARCH("intermittent",C448)),"Difficult or Delayed Activation",ISNUMBER(SEARCH("delay",C448)),"Difficult or Delayed Activation",ISNUMBER(SEARCH("label",C448)),"Device Markings/Labelling Problem",ISNUMBER(SEARCH("marking",C448)),"Device Markings/Labelling Problem",ISNUMBER(SEARCH("lacerat",C448)),"Defective Device",ISNUMBER(SEARCH("cut",C448)),"Defective Device",ISNUMBER(SEARCH("leak",C448)),"Fluid/Blood Leak",ISNUMBER(SEARCH("missing",C448)),"Component Missing",ISNUMBER(SEARCH("power",C448)),"Complete Loss of Power",ISNUMBER(SEARCH("will not turn on",C448)),"Complete Loss of Power",ISNUMBER(SEARCH("won't turn on",C448)),"Complete Loss of Power",ISNUMBER(SEARCH("does not turn on",C448)),"Complete Loss of Power",ISNUMBER(SEARCH("electrical",C448)),"Electrical Power Problem",ISNUMBER(SEARCH("pressure",C448)),"Detachment of Device or Device Component",ISNUMBER(SEARCH("slip",C448)),"Detachment of Device or Device Component",ISNUMBER(SEARCH("detach",C448)),"Detachment of Device or Device Component",ISNUMBER(SEARCH("stick",C448)),"Mechanical Jam",ISNUMBER(SEARCH("jam",C448)),"Mechanical Jam",ISNUMBER(SEARCH("rigid",C448)),"Mechanical Jam",ISNUMBER(SEARCH("rust",C448)),"Corroded",ISNUMBER(SEARCH("corrod",C448)),"Corroded",ISNUMBER(SEARCH("corrosion",C448)),"Corroded",ISNUMBER(SEARCH("alignment",C448)),"Defective Device",ISNUMBER(SEARCH("adjust",C448)),"Defective Device",ISNUMBER(SEARCH("perform",C448)),"Defective Device",ISNUMBER(SEARCH("malfunction",C448)),"Defective Device",ISNUMBER(SEARCH("defect",C448)),"Defective Device",ISNUMBER(SEARCH("fail",C448)),"Defective Device",ISNUMBER(SEARCH("not work",C448)),"Defective Device",ISNUMBER(SEARCH("doesn't work",C448)),"Defective Device",TRUE,"UNKNOWN"),"UNKNOWN")))</f>
        <v/>
      </c>
      <c r="F448" s="4" t="str">
        <f t="shared" si="6"/>
        <v/>
      </c>
      <c r="G448" s="363" t="str">
        <f>IF(E448="","",IFERROR(VLOOKUP(E448,Codes!$L$2:$N$409,3,FALSE),"—"))</f>
        <v/>
      </c>
      <c r="H448" s="88"/>
      <c r="I448" s="88"/>
    </row>
    <row r="449" spans="1:9" ht="13.15" x14ac:dyDescent="0.35">
      <c r="A449" s="434"/>
      <c r="B449" s="436"/>
      <c r="C449" s="437"/>
      <c r="D449" s="434"/>
      <c r="E449" s="93" t="str" cm="1">
        <f t="array" ref="E449">IF(D449&lt;&gt;"",IFERROR(VLOOKUP(D449,Codes!$K$2:$L$409,2,FALSE),"UNKNOWN - "&amp;D449),IF(C449="","",IFERROR(_xlfn.IFS(ISNUMBER(SEARCH("broken button",C449)),"Break",ISNUMBER(SEARCH("broken handle",C449)),"Break",ISNUMBER(SEARCH("shipping damage",C449)),"Break",ISNUMBER(SEARCH("broken",C449)),"Break",ISNUMBER(SEARCH("crack",C449)),"Break",ISNUMBER(SEARCH("snap",C449)),"Break",ISNUMBER(SEARCH("fracture",C449)),"Break",ISNUMBER(SEARCH("bent",C449)),"Material Twisted/Bent",ISNUMBER(SEARCH("twisted",C449)),"Material Twisted/Bent",ISNUMBER(SEARCH("component separat",C449)),"Material Separation",ISNUMBER(SEARCH("separat",C449)),"Material Separation",ISNUMBER(SEARCH("connection",C449)),"Loose or Intermittent Connection",ISNUMBER(SEARCH("loose",C449)),"Loose or Intermittent Connection",ISNUMBER(SEARCH("damaged packaging",C449)),"Packaging Problem",ISNUMBER(SEARCH("packaging",C449)),"Packaging Problem",ISNUMBER(SEARCH("discoloration",C449)),"Contamination",ISNUMBER(SEARCH("tarnish",C449)),"Contamination",ISNUMBER(SEARCH("stain",C449)),"Contamination",ISNUMBER(SEARCH("foreign material",C449)),"Contamination",ISNUMBER(SEARCH("contamina",C449)),"Contamination",ISNUMBER(SEARCH("overheat",C449)),"Overheating of Device",ISNUMBER(SEARCH("excessive heat",C449)),"Overheating of Device",ISNUMBER(SEARCH("hot",C449)),"Overheating of Device",ISNUMBER(SEARCH("noise",C449)),"Noise, Audible",ISNUMBER(SEARCH("sound",C449)),"Noise, Audible",ISNUMBER(SEARCH("loud",C449)),"Noise, Audible",ISNUMBER(SEARCH("fray",C449)),"Material Frayed",ISNUMBER(SEARCH("hole",C449)),"Material Frayed",ISNUMBER(SEARCH("tear",C449)),"Material Frayed",ISNUMBER(SEARCH("worn",C449)),"Material Frayed",ISNUMBER(SEARCH("intermittent",C449)),"Difficult or Delayed Activation",ISNUMBER(SEARCH("delay",C449)),"Difficult or Delayed Activation",ISNUMBER(SEARCH("label",C449)),"Device Markings/Labelling Problem",ISNUMBER(SEARCH("marking",C449)),"Device Markings/Labelling Problem",ISNUMBER(SEARCH("lacerat",C449)),"Defective Device",ISNUMBER(SEARCH("cut",C449)),"Defective Device",ISNUMBER(SEARCH("leak",C449)),"Fluid/Blood Leak",ISNUMBER(SEARCH("missing",C449)),"Component Missing",ISNUMBER(SEARCH("power",C449)),"Complete Loss of Power",ISNUMBER(SEARCH("will not turn on",C449)),"Complete Loss of Power",ISNUMBER(SEARCH("won't turn on",C449)),"Complete Loss of Power",ISNUMBER(SEARCH("does not turn on",C449)),"Complete Loss of Power",ISNUMBER(SEARCH("electrical",C449)),"Electrical Power Problem",ISNUMBER(SEARCH("pressure",C449)),"Detachment of Device or Device Component",ISNUMBER(SEARCH("slip",C449)),"Detachment of Device or Device Component",ISNUMBER(SEARCH("detach",C449)),"Detachment of Device or Device Component",ISNUMBER(SEARCH("stick",C449)),"Mechanical Jam",ISNUMBER(SEARCH("jam",C449)),"Mechanical Jam",ISNUMBER(SEARCH("rigid",C449)),"Mechanical Jam",ISNUMBER(SEARCH("rust",C449)),"Corroded",ISNUMBER(SEARCH("corrod",C449)),"Corroded",ISNUMBER(SEARCH("corrosion",C449)),"Corroded",ISNUMBER(SEARCH("alignment",C449)),"Defective Device",ISNUMBER(SEARCH("adjust",C449)),"Defective Device",ISNUMBER(SEARCH("perform",C449)),"Defective Device",ISNUMBER(SEARCH("malfunction",C449)),"Defective Device",ISNUMBER(SEARCH("defect",C449)),"Defective Device",ISNUMBER(SEARCH("fail",C449)),"Defective Device",ISNUMBER(SEARCH("not work",C449)),"Defective Device",ISNUMBER(SEARCH("doesn't work",C449)),"Defective Device",TRUE,"UNKNOWN"),"UNKNOWN")))</f>
        <v/>
      </c>
      <c r="F449" s="4" t="str">
        <f t="shared" si="6"/>
        <v/>
      </c>
      <c r="G449" s="363" t="str">
        <f>IF(E449="","",IFERROR(VLOOKUP(E449,Codes!$L$2:$N$409,3,FALSE),"—"))</f>
        <v/>
      </c>
      <c r="H449" s="88"/>
      <c r="I449" s="88"/>
    </row>
    <row r="450" spans="1:9" ht="13.15" x14ac:dyDescent="0.35">
      <c r="A450" s="435"/>
      <c r="B450" s="436"/>
      <c r="C450" s="440"/>
      <c r="D450" s="435"/>
      <c r="E450" s="93" t="str" cm="1">
        <f t="array" ref="E450">IF(D450&lt;&gt;"",IFERROR(VLOOKUP(D450,Codes!$K$2:$L$409,2,FALSE),"UNKNOWN - "&amp;D450),IF(C450="","",IFERROR(_xlfn.IFS(ISNUMBER(SEARCH("broken button",C450)),"Break",ISNUMBER(SEARCH("broken handle",C450)),"Break",ISNUMBER(SEARCH("shipping damage",C450)),"Break",ISNUMBER(SEARCH("broken",C450)),"Break",ISNUMBER(SEARCH("crack",C450)),"Break",ISNUMBER(SEARCH("snap",C450)),"Break",ISNUMBER(SEARCH("fracture",C450)),"Break",ISNUMBER(SEARCH("bent",C450)),"Material Twisted/Bent",ISNUMBER(SEARCH("twisted",C450)),"Material Twisted/Bent",ISNUMBER(SEARCH("component separat",C450)),"Material Separation",ISNUMBER(SEARCH("separat",C450)),"Material Separation",ISNUMBER(SEARCH("connection",C450)),"Loose or Intermittent Connection",ISNUMBER(SEARCH("loose",C450)),"Loose or Intermittent Connection",ISNUMBER(SEARCH("damaged packaging",C450)),"Packaging Problem",ISNUMBER(SEARCH("packaging",C450)),"Packaging Problem",ISNUMBER(SEARCH("discoloration",C450)),"Contamination",ISNUMBER(SEARCH("tarnish",C450)),"Contamination",ISNUMBER(SEARCH("stain",C450)),"Contamination",ISNUMBER(SEARCH("foreign material",C450)),"Contamination",ISNUMBER(SEARCH("contamina",C450)),"Contamination",ISNUMBER(SEARCH("overheat",C450)),"Overheating of Device",ISNUMBER(SEARCH("excessive heat",C450)),"Overheating of Device",ISNUMBER(SEARCH("hot",C450)),"Overheating of Device",ISNUMBER(SEARCH("noise",C450)),"Noise, Audible",ISNUMBER(SEARCH("sound",C450)),"Noise, Audible",ISNUMBER(SEARCH("loud",C450)),"Noise, Audible",ISNUMBER(SEARCH("fray",C450)),"Material Frayed",ISNUMBER(SEARCH("hole",C450)),"Material Frayed",ISNUMBER(SEARCH("tear",C450)),"Material Frayed",ISNUMBER(SEARCH("worn",C450)),"Material Frayed",ISNUMBER(SEARCH("intermittent",C450)),"Difficult or Delayed Activation",ISNUMBER(SEARCH("delay",C450)),"Difficult or Delayed Activation",ISNUMBER(SEARCH("label",C450)),"Device Markings/Labelling Problem",ISNUMBER(SEARCH("marking",C450)),"Device Markings/Labelling Problem",ISNUMBER(SEARCH("lacerat",C450)),"Defective Device",ISNUMBER(SEARCH("cut",C450)),"Defective Device",ISNUMBER(SEARCH("leak",C450)),"Fluid/Blood Leak",ISNUMBER(SEARCH("missing",C450)),"Component Missing",ISNUMBER(SEARCH("power",C450)),"Complete Loss of Power",ISNUMBER(SEARCH("will not turn on",C450)),"Complete Loss of Power",ISNUMBER(SEARCH("won't turn on",C450)),"Complete Loss of Power",ISNUMBER(SEARCH("does not turn on",C450)),"Complete Loss of Power",ISNUMBER(SEARCH("electrical",C450)),"Electrical Power Problem",ISNUMBER(SEARCH("pressure",C450)),"Detachment of Device or Device Component",ISNUMBER(SEARCH("slip",C450)),"Detachment of Device or Device Component",ISNUMBER(SEARCH("detach",C450)),"Detachment of Device or Device Component",ISNUMBER(SEARCH("stick",C450)),"Mechanical Jam",ISNUMBER(SEARCH("jam",C450)),"Mechanical Jam",ISNUMBER(SEARCH("rigid",C450)),"Mechanical Jam",ISNUMBER(SEARCH("rust",C450)),"Corroded",ISNUMBER(SEARCH("corrod",C450)),"Corroded",ISNUMBER(SEARCH("corrosion",C450)),"Corroded",ISNUMBER(SEARCH("alignment",C450)),"Defective Device",ISNUMBER(SEARCH("adjust",C450)),"Defective Device",ISNUMBER(SEARCH("perform",C450)),"Defective Device",ISNUMBER(SEARCH("malfunction",C450)),"Defective Device",ISNUMBER(SEARCH("defect",C450)),"Defective Device",ISNUMBER(SEARCH("fail",C450)),"Defective Device",ISNUMBER(SEARCH("not work",C450)),"Defective Device",ISNUMBER(SEARCH("doesn't work",C450)),"Defective Device",TRUE,"UNKNOWN"),"UNKNOWN")))</f>
        <v/>
      </c>
      <c r="F450" s="4" t="str">
        <f t="shared" si="6"/>
        <v/>
      </c>
      <c r="G450" s="363" t="str">
        <f>IF(E450="","",IFERROR(VLOOKUP(E450,Codes!$L$2:$N$409,3,FALSE),"—"))</f>
        <v/>
      </c>
      <c r="H450" s="88"/>
      <c r="I450" s="88"/>
    </row>
    <row r="451" spans="1:9" ht="13.15" x14ac:dyDescent="0.35">
      <c r="A451" s="435"/>
      <c r="B451" s="436"/>
      <c r="C451" s="438"/>
      <c r="D451" s="435"/>
      <c r="E451" s="93" t="str" cm="1">
        <f t="array" ref="E451">IF(D451&lt;&gt;"",IFERROR(VLOOKUP(D451,Codes!$K$2:$L$409,2,FALSE),"UNKNOWN - "&amp;D451),IF(C451="","",IFERROR(_xlfn.IFS(ISNUMBER(SEARCH("broken button",C451)),"Break",ISNUMBER(SEARCH("broken handle",C451)),"Break",ISNUMBER(SEARCH("shipping damage",C451)),"Break",ISNUMBER(SEARCH("broken",C451)),"Break",ISNUMBER(SEARCH("crack",C451)),"Break",ISNUMBER(SEARCH("snap",C451)),"Break",ISNUMBER(SEARCH("fracture",C451)),"Break",ISNUMBER(SEARCH("bent",C451)),"Material Twisted/Bent",ISNUMBER(SEARCH("twisted",C451)),"Material Twisted/Bent",ISNUMBER(SEARCH("component separat",C451)),"Material Separation",ISNUMBER(SEARCH("separat",C451)),"Material Separation",ISNUMBER(SEARCH("connection",C451)),"Loose or Intermittent Connection",ISNUMBER(SEARCH("loose",C451)),"Loose or Intermittent Connection",ISNUMBER(SEARCH("damaged packaging",C451)),"Packaging Problem",ISNUMBER(SEARCH("packaging",C451)),"Packaging Problem",ISNUMBER(SEARCH("discoloration",C451)),"Contamination",ISNUMBER(SEARCH("tarnish",C451)),"Contamination",ISNUMBER(SEARCH("stain",C451)),"Contamination",ISNUMBER(SEARCH("foreign material",C451)),"Contamination",ISNUMBER(SEARCH("contamina",C451)),"Contamination",ISNUMBER(SEARCH("overheat",C451)),"Overheating of Device",ISNUMBER(SEARCH("excessive heat",C451)),"Overheating of Device",ISNUMBER(SEARCH("hot",C451)),"Overheating of Device",ISNUMBER(SEARCH("noise",C451)),"Noise, Audible",ISNUMBER(SEARCH("sound",C451)),"Noise, Audible",ISNUMBER(SEARCH("loud",C451)),"Noise, Audible",ISNUMBER(SEARCH("fray",C451)),"Material Frayed",ISNUMBER(SEARCH("hole",C451)),"Material Frayed",ISNUMBER(SEARCH("tear",C451)),"Material Frayed",ISNUMBER(SEARCH("worn",C451)),"Material Frayed",ISNUMBER(SEARCH("intermittent",C451)),"Difficult or Delayed Activation",ISNUMBER(SEARCH("delay",C451)),"Difficult or Delayed Activation",ISNUMBER(SEARCH("label",C451)),"Device Markings/Labelling Problem",ISNUMBER(SEARCH("marking",C451)),"Device Markings/Labelling Problem",ISNUMBER(SEARCH("lacerat",C451)),"Defective Device",ISNUMBER(SEARCH("cut",C451)),"Defective Device",ISNUMBER(SEARCH("leak",C451)),"Fluid/Blood Leak",ISNUMBER(SEARCH("missing",C451)),"Component Missing",ISNUMBER(SEARCH("power",C451)),"Complete Loss of Power",ISNUMBER(SEARCH("will not turn on",C451)),"Complete Loss of Power",ISNUMBER(SEARCH("won't turn on",C451)),"Complete Loss of Power",ISNUMBER(SEARCH("does not turn on",C451)),"Complete Loss of Power",ISNUMBER(SEARCH("electrical",C451)),"Electrical Power Problem",ISNUMBER(SEARCH("pressure",C451)),"Detachment of Device or Device Component",ISNUMBER(SEARCH("slip",C451)),"Detachment of Device or Device Component",ISNUMBER(SEARCH("detach",C451)),"Detachment of Device or Device Component",ISNUMBER(SEARCH("stick",C451)),"Mechanical Jam",ISNUMBER(SEARCH("jam",C451)),"Mechanical Jam",ISNUMBER(SEARCH("rigid",C451)),"Mechanical Jam",ISNUMBER(SEARCH("rust",C451)),"Corroded",ISNUMBER(SEARCH("corrod",C451)),"Corroded",ISNUMBER(SEARCH("corrosion",C451)),"Corroded",ISNUMBER(SEARCH("alignment",C451)),"Defective Device",ISNUMBER(SEARCH("adjust",C451)),"Defective Device",ISNUMBER(SEARCH("perform",C451)),"Defective Device",ISNUMBER(SEARCH("malfunction",C451)),"Defective Device",ISNUMBER(SEARCH("defect",C451)),"Defective Device",ISNUMBER(SEARCH("fail",C451)),"Defective Device",ISNUMBER(SEARCH("not work",C451)),"Defective Device",ISNUMBER(SEARCH("doesn't work",C451)),"Defective Device",TRUE,"UNKNOWN"),"UNKNOWN")))</f>
        <v/>
      </c>
      <c r="F451" s="4" t="str">
        <f t="shared" ref="F451:F514" si="7">IF(E451="","","No Clinical Signs, Symptoms or Conditions")</f>
        <v/>
      </c>
      <c r="G451" s="363" t="str">
        <f>IF(E451="","",IFERROR(VLOOKUP(E451,Codes!$L$2:$N$409,3,FALSE),"—"))</f>
        <v/>
      </c>
      <c r="H451" s="88"/>
      <c r="I451" s="88"/>
    </row>
    <row r="452" spans="1:9" ht="13.15" x14ac:dyDescent="0.35">
      <c r="A452" s="434"/>
      <c r="B452" s="436"/>
      <c r="C452" s="437"/>
      <c r="D452" s="434"/>
      <c r="E452" s="93" t="str" cm="1">
        <f t="array" ref="E452">IF(D452&lt;&gt;"",IFERROR(VLOOKUP(D452,Codes!$K$2:$L$409,2,FALSE),"UNKNOWN - "&amp;D452),IF(C452="","",IFERROR(_xlfn.IFS(ISNUMBER(SEARCH("broken button",C452)),"Break",ISNUMBER(SEARCH("broken handle",C452)),"Break",ISNUMBER(SEARCH("shipping damage",C452)),"Break",ISNUMBER(SEARCH("broken",C452)),"Break",ISNUMBER(SEARCH("crack",C452)),"Break",ISNUMBER(SEARCH("snap",C452)),"Break",ISNUMBER(SEARCH("fracture",C452)),"Break",ISNUMBER(SEARCH("bent",C452)),"Material Twisted/Bent",ISNUMBER(SEARCH("twisted",C452)),"Material Twisted/Bent",ISNUMBER(SEARCH("component separat",C452)),"Material Separation",ISNUMBER(SEARCH("separat",C452)),"Material Separation",ISNUMBER(SEARCH("connection",C452)),"Loose or Intermittent Connection",ISNUMBER(SEARCH("loose",C452)),"Loose or Intermittent Connection",ISNUMBER(SEARCH("damaged packaging",C452)),"Packaging Problem",ISNUMBER(SEARCH("packaging",C452)),"Packaging Problem",ISNUMBER(SEARCH("discoloration",C452)),"Contamination",ISNUMBER(SEARCH("tarnish",C452)),"Contamination",ISNUMBER(SEARCH("stain",C452)),"Contamination",ISNUMBER(SEARCH("foreign material",C452)),"Contamination",ISNUMBER(SEARCH("contamina",C452)),"Contamination",ISNUMBER(SEARCH("overheat",C452)),"Overheating of Device",ISNUMBER(SEARCH("excessive heat",C452)),"Overheating of Device",ISNUMBER(SEARCH("hot",C452)),"Overheating of Device",ISNUMBER(SEARCH("noise",C452)),"Noise, Audible",ISNUMBER(SEARCH("sound",C452)),"Noise, Audible",ISNUMBER(SEARCH("loud",C452)),"Noise, Audible",ISNUMBER(SEARCH("fray",C452)),"Material Frayed",ISNUMBER(SEARCH("hole",C452)),"Material Frayed",ISNUMBER(SEARCH("tear",C452)),"Material Frayed",ISNUMBER(SEARCH("worn",C452)),"Material Frayed",ISNUMBER(SEARCH("intermittent",C452)),"Difficult or Delayed Activation",ISNUMBER(SEARCH("delay",C452)),"Difficult or Delayed Activation",ISNUMBER(SEARCH("label",C452)),"Device Markings/Labelling Problem",ISNUMBER(SEARCH("marking",C452)),"Device Markings/Labelling Problem",ISNUMBER(SEARCH("lacerat",C452)),"Defective Device",ISNUMBER(SEARCH("cut",C452)),"Defective Device",ISNUMBER(SEARCH("leak",C452)),"Fluid/Blood Leak",ISNUMBER(SEARCH("missing",C452)),"Component Missing",ISNUMBER(SEARCH("power",C452)),"Complete Loss of Power",ISNUMBER(SEARCH("will not turn on",C452)),"Complete Loss of Power",ISNUMBER(SEARCH("won't turn on",C452)),"Complete Loss of Power",ISNUMBER(SEARCH("does not turn on",C452)),"Complete Loss of Power",ISNUMBER(SEARCH("electrical",C452)),"Electrical Power Problem",ISNUMBER(SEARCH("pressure",C452)),"Detachment of Device or Device Component",ISNUMBER(SEARCH("slip",C452)),"Detachment of Device or Device Component",ISNUMBER(SEARCH("detach",C452)),"Detachment of Device or Device Component",ISNUMBER(SEARCH("stick",C452)),"Mechanical Jam",ISNUMBER(SEARCH("jam",C452)),"Mechanical Jam",ISNUMBER(SEARCH("rigid",C452)),"Mechanical Jam",ISNUMBER(SEARCH("rust",C452)),"Corroded",ISNUMBER(SEARCH("corrod",C452)),"Corroded",ISNUMBER(SEARCH("corrosion",C452)),"Corroded",ISNUMBER(SEARCH("alignment",C452)),"Defective Device",ISNUMBER(SEARCH("adjust",C452)),"Defective Device",ISNUMBER(SEARCH("perform",C452)),"Defective Device",ISNUMBER(SEARCH("malfunction",C452)),"Defective Device",ISNUMBER(SEARCH("defect",C452)),"Defective Device",ISNUMBER(SEARCH("fail",C452)),"Defective Device",ISNUMBER(SEARCH("not work",C452)),"Defective Device",ISNUMBER(SEARCH("doesn't work",C452)),"Defective Device",TRUE,"UNKNOWN"),"UNKNOWN")))</f>
        <v/>
      </c>
      <c r="F452" s="4" t="str">
        <f t="shared" si="7"/>
        <v/>
      </c>
      <c r="G452" s="363" t="str">
        <f>IF(E452="","",IFERROR(VLOOKUP(E452,Codes!$L$2:$N$409,3,FALSE),"—"))</f>
        <v/>
      </c>
      <c r="H452" s="88"/>
      <c r="I452" s="88"/>
    </row>
    <row r="453" spans="1:9" ht="13.15" x14ac:dyDescent="0.35">
      <c r="A453" s="435"/>
      <c r="B453" s="436"/>
      <c r="C453" s="438"/>
      <c r="D453" s="435"/>
      <c r="E453" s="93" t="str" cm="1">
        <f t="array" ref="E453">IF(D453&lt;&gt;"",IFERROR(VLOOKUP(D453,Codes!$K$2:$L$409,2,FALSE),"UNKNOWN - "&amp;D453),IF(C453="","",IFERROR(_xlfn.IFS(ISNUMBER(SEARCH("broken button",C453)),"Break",ISNUMBER(SEARCH("broken handle",C453)),"Break",ISNUMBER(SEARCH("shipping damage",C453)),"Break",ISNUMBER(SEARCH("broken",C453)),"Break",ISNUMBER(SEARCH("crack",C453)),"Break",ISNUMBER(SEARCH("snap",C453)),"Break",ISNUMBER(SEARCH("fracture",C453)),"Break",ISNUMBER(SEARCH("bent",C453)),"Material Twisted/Bent",ISNUMBER(SEARCH("twisted",C453)),"Material Twisted/Bent",ISNUMBER(SEARCH("component separat",C453)),"Material Separation",ISNUMBER(SEARCH("separat",C453)),"Material Separation",ISNUMBER(SEARCH("connection",C453)),"Loose or Intermittent Connection",ISNUMBER(SEARCH("loose",C453)),"Loose or Intermittent Connection",ISNUMBER(SEARCH("damaged packaging",C453)),"Packaging Problem",ISNUMBER(SEARCH("packaging",C453)),"Packaging Problem",ISNUMBER(SEARCH("discoloration",C453)),"Contamination",ISNUMBER(SEARCH("tarnish",C453)),"Contamination",ISNUMBER(SEARCH("stain",C453)),"Contamination",ISNUMBER(SEARCH("foreign material",C453)),"Contamination",ISNUMBER(SEARCH("contamina",C453)),"Contamination",ISNUMBER(SEARCH("overheat",C453)),"Overheating of Device",ISNUMBER(SEARCH("excessive heat",C453)),"Overheating of Device",ISNUMBER(SEARCH("hot",C453)),"Overheating of Device",ISNUMBER(SEARCH("noise",C453)),"Noise, Audible",ISNUMBER(SEARCH("sound",C453)),"Noise, Audible",ISNUMBER(SEARCH("loud",C453)),"Noise, Audible",ISNUMBER(SEARCH("fray",C453)),"Material Frayed",ISNUMBER(SEARCH("hole",C453)),"Material Frayed",ISNUMBER(SEARCH("tear",C453)),"Material Frayed",ISNUMBER(SEARCH("worn",C453)),"Material Frayed",ISNUMBER(SEARCH("intermittent",C453)),"Difficult or Delayed Activation",ISNUMBER(SEARCH("delay",C453)),"Difficult or Delayed Activation",ISNUMBER(SEARCH("label",C453)),"Device Markings/Labelling Problem",ISNUMBER(SEARCH("marking",C453)),"Device Markings/Labelling Problem",ISNUMBER(SEARCH("lacerat",C453)),"Defective Device",ISNUMBER(SEARCH("cut",C453)),"Defective Device",ISNUMBER(SEARCH("leak",C453)),"Fluid/Blood Leak",ISNUMBER(SEARCH("missing",C453)),"Component Missing",ISNUMBER(SEARCH("power",C453)),"Complete Loss of Power",ISNUMBER(SEARCH("will not turn on",C453)),"Complete Loss of Power",ISNUMBER(SEARCH("won't turn on",C453)),"Complete Loss of Power",ISNUMBER(SEARCH("does not turn on",C453)),"Complete Loss of Power",ISNUMBER(SEARCH("electrical",C453)),"Electrical Power Problem",ISNUMBER(SEARCH("pressure",C453)),"Detachment of Device or Device Component",ISNUMBER(SEARCH("slip",C453)),"Detachment of Device or Device Component",ISNUMBER(SEARCH("detach",C453)),"Detachment of Device or Device Component",ISNUMBER(SEARCH("stick",C453)),"Mechanical Jam",ISNUMBER(SEARCH("jam",C453)),"Mechanical Jam",ISNUMBER(SEARCH("rigid",C453)),"Mechanical Jam",ISNUMBER(SEARCH("rust",C453)),"Corroded",ISNUMBER(SEARCH("corrod",C453)),"Corroded",ISNUMBER(SEARCH("corrosion",C453)),"Corroded",ISNUMBER(SEARCH("alignment",C453)),"Defective Device",ISNUMBER(SEARCH("adjust",C453)),"Defective Device",ISNUMBER(SEARCH("perform",C453)),"Defective Device",ISNUMBER(SEARCH("malfunction",C453)),"Defective Device",ISNUMBER(SEARCH("defect",C453)),"Defective Device",ISNUMBER(SEARCH("fail",C453)),"Defective Device",ISNUMBER(SEARCH("not work",C453)),"Defective Device",ISNUMBER(SEARCH("doesn't work",C453)),"Defective Device",TRUE,"UNKNOWN"),"UNKNOWN")))</f>
        <v/>
      </c>
      <c r="F453" s="4" t="str">
        <f t="shared" si="7"/>
        <v/>
      </c>
      <c r="G453" s="363" t="str">
        <f>IF(E453="","",IFERROR(VLOOKUP(E453,Codes!$L$2:$N$409,3,FALSE),"—"))</f>
        <v/>
      </c>
      <c r="H453" s="88"/>
      <c r="I453" s="88"/>
    </row>
    <row r="454" spans="1:9" ht="13.15" x14ac:dyDescent="0.35">
      <c r="A454" s="435"/>
      <c r="B454" s="436"/>
      <c r="C454" s="438"/>
      <c r="D454" s="435"/>
      <c r="E454" s="93" t="str" cm="1">
        <f t="array" ref="E454">IF(D454&lt;&gt;"",IFERROR(VLOOKUP(D454,Codes!$K$2:$L$409,2,FALSE),"UNKNOWN - "&amp;D454),IF(C454="","",IFERROR(_xlfn.IFS(ISNUMBER(SEARCH("broken button",C454)),"Break",ISNUMBER(SEARCH("broken handle",C454)),"Break",ISNUMBER(SEARCH("shipping damage",C454)),"Break",ISNUMBER(SEARCH("broken",C454)),"Break",ISNUMBER(SEARCH("crack",C454)),"Break",ISNUMBER(SEARCH("snap",C454)),"Break",ISNUMBER(SEARCH("fracture",C454)),"Break",ISNUMBER(SEARCH("bent",C454)),"Material Twisted/Bent",ISNUMBER(SEARCH("twisted",C454)),"Material Twisted/Bent",ISNUMBER(SEARCH("component separat",C454)),"Material Separation",ISNUMBER(SEARCH("separat",C454)),"Material Separation",ISNUMBER(SEARCH("connection",C454)),"Loose or Intermittent Connection",ISNUMBER(SEARCH("loose",C454)),"Loose or Intermittent Connection",ISNUMBER(SEARCH("damaged packaging",C454)),"Packaging Problem",ISNUMBER(SEARCH("packaging",C454)),"Packaging Problem",ISNUMBER(SEARCH("discoloration",C454)),"Contamination",ISNUMBER(SEARCH("tarnish",C454)),"Contamination",ISNUMBER(SEARCH("stain",C454)),"Contamination",ISNUMBER(SEARCH("foreign material",C454)),"Contamination",ISNUMBER(SEARCH("contamina",C454)),"Contamination",ISNUMBER(SEARCH("overheat",C454)),"Overheating of Device",ISNUMBER(SEARCH("excessive heat",C454)),"Overheating of Device",ISNUMBER(SEARCH("hot",C454)),"Overheating of Device",ISNUMBER(SEARCH("noise",C454)),"Noise, Audible",ISNUMBER(SEARCH("sound",C454)),"Noise, Audible",ISNUMBER(SEARCH("loud",C454)),"Noise, Audible",ISNUMBER(SEARCH("fray",C454)),"Material Frayed",ISNUMBER(SEARCH("hole",C454)),"Material Frayed",ISNUMBER(SEARCH("tear",C454)),"Material Frayed",ISNUMBER(SEARCH("worn",C454)),"Material Frayed",ISNUMBER(SEARCH("intermittent",C454)),"Difficult or Delayed Activation",ISNUMBER(SEARCH("delay",C454)),"Difficult or Delayed Activation",ISNUMBER(SEARCH("label",C454)),"Device Markings/Labelling Problem",ISNUMBER(SEARCH("marking",C454)),"Device Markings/Labelling Problem",ISNUMBER(SEARCH("lacerat",C454)),"Defective Device",ISNUMBER(SEARCH("cut",C454)),"Defective Device",ISNUMBER(SEARCH("leak",C454)),"Fluid/Blood Leak",ISNUMBER(SEARCH("missing",C454)),"Component Missing",ISNUMBER(SEARCH("power",C454)),"Complete Loss of Power",ISNUMBER(SEARCH("will not turn on",C454)),"Complete Loss of Power",ISNUMBER(SEARCH("won't turn on",C454)),"Complete Loss of Power",ISNUMBER(SEARCH("does not turn on",C454)),"Complete Loss of Power",ISNUMBER(SEARCH("electrical",C454)),"Electrical Power Problem",ISNUMBER(SEARCH("pressure",C454)),"Detachment of Device or Device Component",ISNUMBER(SEARCH("slip",C454)),"Detachment of Device or Device Component",ISNUMBER(SEARCH("detach",C454)),"Detachment of Device or Device Component",ISNUMBER(SEARCH("stick",C454)),"Mechanical Jam",ISNUMBER(SEARCH("jam",C454)),"Mechanical Jam",ISNUMBER(SEARCH("rigid",C454)),"Mechanical Jam",ISNUMBER(SEARCH("rust",C454)),"Corroded",ISNUMBER(SEARCH("corrod",C454)),"Corroded",ISNUMBER(SEARCH("corrosion",C454)),"Corroded",ISNUMBER(SEARCH("alignment",C454)),"Defective Device",ISNUMBER(SEARCH("adjust",C454)),"Defective Device",ISNUMBER(SEARCH("perform",C454)),"Defective Device",ISNUMBER(SEARCH("malfunction",C454)),"Defective Device",ISNUMBER(SEARCH("defect",C454)),"Defective Device",ISNUMBER(SEARCH("fail",C454)),"Defective Device",ISNUMBER(SEARCH("not work",C454)),"Defective Device",ISNUMBER(SEARCH("doesn't work",C454)),"Defective Device",TRUE,"UNKNOWN"),"UNKNOWN")))</f>
        <v/>
      </c>
      <c r="F454" s="4" t="str">
        <f t="shared" si="7"/>
        <v/>
      </c>
      <c r="G454" s="363" t="str">
        <f>IF(E454="","",IFERROR(VLOOKUP(E454,Codes!$L$2:$N$409,3,FALSE),"—"))</f>
        <v/>
      </c>
      <c r="H454" s="88"/>
      <c r="I454" s="88"/>
    </row>
    <row r="455" spans="1:9" ht="13.15" x14ac:dyDescent="0.35">
      <c r="A455" s="434"/>
      <c r="B455" s="436"/>
      <c r="C455" s="437"/>
      <c r="D455" s="434"/>
      <c r="E455" s="93" t="str" cm="1">
        <f t="array" ref="E455">IF(D455&lt;&gt;"",IFERROR(VLOOKUP(D455,Codes!$K$2:$L$409,2,FALSE),"UNKNOWN - "&amp;D455),IF(C455="","",IFERROR(_xlfn.IFS(ISNUMBER(SEARCH("broken button",C455)),"Break",ISNUMBER(SEARCH("broken handle",C455)),"Break",ISNUMBER(SEARCH("shipping damage",C455)),"Break",ISNUMBER(SEARCH("broken",C455)),"Break",ISNUMBER(SEARCH("crack",C455)),"Break",ISNUMBER(SEARCH("snap",C455)),"Break",ISNUMBER(SEARCH("fracture",C455)),"Break",ISNUMBER(SEARCH("bent",C455)),"Material Twisted/Bent",ISNUMBER(SEARCH("twisted",C455)),"Material Twisted/Bent",ISNUMBER(SEARCH("component separat",C455)),"Material Separation",ISNUMBER(SEARCH("separat",C455)),"Material Separation",ISNUMBER(SEARCH("connection",C455)),"Loose or Intermittent Connection",ISNUMBER(SEARCH("loose",C455)),"Loose or Intermittent Connection",ISNUMBER(SEARCH("damaged packaging",C455)),"Packaging Problem",ISNUMBER(SEARCH("packaging",C455)),"Packaging Problem",ISNUMBER(SEARCH("discoloration",C455)),"Contamination",ISNUMBER(SEARCH("tarnish",C455)),"Contamination",ISNUMBER(SEARCH("stain",C455)),"Contamination",ISNUMBER(SEARCH("foreign material",C455)),"Contamination",ISNUMBER(SEARCH("contamina",C455)),"Contamination",ISNUMBER(SEARCH("overheat",C455)),"Overheating of Device",ISNUMBER(SEARCH("excessive heat",C455)),"Overheating of Device",ISNUMBER(SEARCH("hot",C455)),"Overheating of Device",ISNUMBER(SEARCH("noise",C455)),"Noise, Audible",ISNUMBER(SEARCH("sound",C455)),"Noise, Audible",ISNUMBER(SEARCH("loud",C455)),"Noise, Audible",ISNUMBER(SEARCH("fray",C455)),"Material Frayed",ISNUMBER(SEARCH("hole",C455)),"Material Frayed",ISNUMBER(SEARCH("tear",C455)),"Material Frayed",ISNUMBER(SEARCH("worn",C455)),"Material Frayed",ISNUMBER(SEARCH("intermittent",C455)),"Difficult or Delayed Activation",ISNUMBER(SEARCH("delay",C455)),"Difficult or Delayed Activation",ISNUMBER(SEARCH("label",C455)),"Device Markings/Labelling Problem",ISNUMBER(SEARCH("marking",C455)),"Device Markings/Labelling Problem",ISNUMBER(SEARCH("lacerat",C455)),"Defective Device",ISNUMBER(SEARCH("cut",C455)),"Defective Device",ISNUMBER(SEARCH("leak",C455)),"Fluid/Blood Leak",ISNUMBER(SEARCH("missing",C455)),"Component Missing",ISNUMBER(SEARCH("power",C455)),"Complete Loss of Power",ISNUMBER(SEARCH("will not turn on",C455)),"Complete Loss of Power",ISNUMBER(SEARCH("won't turn on",C455)),"Complete Loss of Power",ISNUMBER(SEARCH("does not turn on",C455)),"Complete Loss of Power",ISNUMBER(SEARCH("electrical",C455)),"Electrical Power Problem",ISNUMBER(SEARCH("pressure",C455)),"Detachment of Device or Device Component",ISNUMBER(SEARCH("slip",C455)),"Detachment of Device or Device Component",ISNUMBER(SEARCH("detach",C455)),"Detachment of Device or Device Component",ISNUMBER(SEARCH("stick",C455)),"Mechanical Jam",ISNUMBER(SEARCH("jam",C455)),"Mechanical Jam",ISNUMBER(SEARCH("rigid",C455)),"Mechanical Jam",ISNUMBER(SEARCH("rust",C455)),"Corroded",ISNUMBER(SEARCH("corrod",C455)),"Corroded",ISNUMBER(SEARCH("corrosion",C455)),"Corroded",ISNUMBER(SEARCH("alignment",C455)),"Defective Device",ISNUMBER(SEARCH("adjust",C455)),"Defective Device",ISNUMBER(SEARCH("perform",C455)),"Defective Device",ISNUMBER(SEARCH("malfunction",C455)),"Defective Device",ISNUMBER(SEARCH("defect",C455)),"Defective Device",ISNUMBER(SEARCH("fail",C455)),"Defective Device",ISNUMBER(SEARCH("not work",C455)),"Defective Device",ISNUMBER(SEARCH("doesn't work",C455)),"Defective Device",TRUE,"UNKNOWN"),"UNKNOWN")))</f>
        <v/>
      </c>
      <c r="F455" s="4" t="str">
        <f t="shared" si="7"/>
        <v/>
      </c>
      <c r="G455" s="363" t="str">
        <f>IF(E455="","",IFERROR(VLOOKUP(E455,Codes!$L$2:$N$409,3,FALSE),"—"))</f>
        <v/>
      </c>
      <c r="H455" s="88"/>
      <c r="I455" s="88"/>
    </row>
    <row r="456" spans="1:9" ht="13.15" x14ac:dyDescent="0.35">
      <c r="A456" s="434"/>
      <c r="B456" s="436"/>
      <c r="C456" s="437"/>
      <c r="D456" s="434"/>
      <c r="E456" s="93" t="str" cm="1">
        <f t="array" ref="E456">IF(D456&lt;&gt;"",IFERROR(VLOOKUP(D456,Codes!$K$2:$L$409,2,FALSE),"UNKNOWN - "&amp;D456),IF(C456="","",IFERROR(_xlfn.IFS(ISNUMBER(SEARCH("broken button",C456)),"Break",ISNUMBER(SEARCH("broken handle",C456)),"Break",ISNUMBER(SEARCH("shipping damage",C456)),"Break",ISNUMBER(SEARCH("broken",C456)),"Break",ISNUMBER(SEARCH("crack",C456)),"Break",ISNUMBER(SEARCH("snap",C456)),"Break",ISNUMBER(SEARCH("fracture",C456)),"Break",ISNUMBER(SEARCH("bent",C456)),"Material Twisted/Bent",ISNUMBER(SEARCH("twisted",C456)),"Material Twisted/Bent",ISNUMBER(SEARCH("component separat",C456)),"Material Separation",ISNUMBER(SEARCH("separat",C456)),"Material Separation",ISNUMBER(SEARCH("connection",C456)),"Loose or Intermittent Connection",ISNUMBER(SEARCH("loose",C456)),"Loose or Intermittent Connection",ISNUMBER(SEARCH("damaged packaging",C456)),"Packaging Problem",ISNUMBER(SEARCH("packaging",C456)),"Packaging Problem",ISNUMBER(SEARCH("discoloration",C456)),"Contamination",ISNUMBER(SEARCH("tarnish",C456)),"Contamination",ISNUMBER(SEARCH("stain",C456)),"Contamination",ISNUMBER(SEARCH("foreign material",C456)),"Contamination",ISNUMBER(SEARCH("contamina",C456)),"Contamination",ISNUMBER(SEARCH("overheat",C456)),"Overheating of Device",ISNUMBER(SEARCH("excessive heat",C456)),"Overheating of Device",ISNUMBER(SEARCH("hot",C456)),"Overheating of Device",ISNUMBER(SEARCH("noise",C456)),"Noise, Audible",ISNUMBER(SEARCH("sound",C456)),"Noise, Audible",ISNUMBER(SEARCH("loud",C456)),"Noise, Audible",ISNUMBER(SEARCH("fray",C456)),"Material Frayed",ISNUMBER(SEARCH("hole",C456)),"Material Frayed",ISNUMBER(SEARCH("tear",C456)),"Material Frayed",ISNUMBER(SEARCH("worn",C456)),"Material Frayed",ISNUMBER(SEARCH("intermittent",C456)),"Difficult or Delayed Activation",ISNUMBER(SEARCH("delay",C456)),"Difficult or Delayed Activation",ISNUMBER(SEARCH("label",C456)),"Device Markings/Labelling Problem",ISNUMBER(SEARCH("marking",C456)),"Device Markings/Labelling Problem",ISNUMBER(SEARCH("lacerat",C456)),"Defective Device",ISNUMBER(SEARCH("cut",C456)),"Defective Device",ISNUMBER(SEARCH("leak",C456)),"Fluid/Blood Leak",ISNUMBER(SEARCH("missing",C456)),"Component Missing",ISNUMBER(SEARCH("power",C456)),"Complete Loss of Power",ISNUMBER(SEARCH("will not turn on",C456)),"Complete Loss of Power",ISNUMBER(SEARCH("won't turn on",C456)),"Complete Loss of Power",ISNUMBER(SEARCH("does not turn on",C456)),"Complete Loss of Power",ISNUMBER(SEARCH("electrical",C456)),"Electrical Power Problem",ISNUMBER(SEARCH("pressure",C456)),"Detachment of Device or Device Component",ISNUMBER(SEARCH("slip",C456)),"Detachment of Device or Device Component",ISNUMBER(SEARCH("detach",C456)),"Detachment of Device or Device Component",ISNUMBER(SEARCH("stick",C456)),"Mechanical Jam",ISNUMBER(SEARCH("jam",C456)),"Mechanical Jam",ISNUMBER(SEARCH("rigid",C456)),"Mechanical Jam",ISNUMBER(SEARCH("rust",C456)),"Corroded",ISNUMBER(SEARCH("corrod",C456)),"Corroded",ISNUMBER(SEARCH("corrosion",C456)),"Corroded",ISNUMBER(SEARCH("alignment",C456)),"Defective Device",ISNUMBER(SEARCH("adjust",C456)),"Defective Device",ISNUMBER(SEARCH("perform",C456)),"Defective Device",ISNUMBER(SEARCH("malfunction",C456)),"Defective Device",ISNUMBER(SEARCH("defect",C456)),"Defective Device",ISNUMBER(SEARCH("fail",C456)),"Defective Device",ISNUMBER(SEARCH("not work",C456)),"Defective Device",ISNUMBER(SEARCH("doesn't work",C456)),"Defective Device",TRUE,"UNKNOWN"),"UNKNOWN")))</f>
        <v/>
      </c>
      <c r="F456" s="4" t="str">
        <f t="shared" si="7"/>
        <v/>
      </c>
      <c r="G456" s="363" t="str">
        <f>IF(E456="","",IFERROR(VLOOKUP(E456,Codes!$L$2:$N$409,3,FALSE),"—"))</f>
        <v/>
      </c>
      <c r="H456" s="88"/>
      <c r="I456" s="88"/>
    </row>
    <row r="457" spans="1:9" ht="13.15" x14ac:dyDescent="0.35">
      <c r="A457" s="435"/>
      <c r="B457" s="436"/>
      <c r="C457" s="440"/>
      <c r="D457" s="435"/>
      <c r="E457" s="93" t="str" cm="1">
        <f t="array" ref="E457">IF(D457&lt;&gt;"",IFERROR(VLOOKUP(D457,Codes!$K$2:$L$409,2,FALSE),"UNKNOWN - "&amp;D457),IF(C457="","",IFERROR(_xlfn.IFS(ISNUMBER(SEARCH("broken button",C457)),"Break",ISNUMBER(SEARCH("broken handle",C457)),"Break",ISNUMBER(SEARCH("shipping damage",C457)),"Break",ISNUMBER(SEARCH("broken",C457)),"Break",ISNUMBER(SEARCH("crack",C457)),"Break",ISNUMBER(SEARCH("snap",C457)),"Break",ISNUMBER(SEARCH("fracture",C457)),"Break",ISNUMBER(SEARCH("bent",C457)),"Material Twisted/Bent",ISNUMBER(SEARCH("twisted",C457)),"Material Twisted/Bent",ISNUMBER(SEARCH("component separat",C457)),"Material Separation",ISNUMBER(SEARCH("separat",C457)),"Material Separation",ISNUMBER(SEARCH("connection",C457)),"Loose or Intermittent Connection",ISNUMBER(SEARCH("loose",C457)),"Loose or Intermittent Connection",ISNUMBER(SEARCH("damaged packaging",C457)),"Packaging Problem",ISNUMBER(SEARCH("packaging",C457)),"Packaging Problem",ISNUMBER(SEARCH("discoloration",C457)),"Contamination",ISNUMBER(SEARCH("tarnish",C457)),"Contamination",ISNUMBER(SEARCH("stain",C457)),"Contamination",ISNUMBER(SEARCH("foreign material",C457)),"Contamination",ISNUMBER(SEARCH("contamina",C457)),"Contamination",ISNUMBER(SEARCH("overheat",C457)),"Overheating of Device",ISNUMBER(SEARCH("excessive heat",C457)),"Overheating of Device",ISNUMBER(SEARCH("hot",C457)),"Overheating of Device",ISNUMBER(SEARCH("noise",C457)),"Noise, Audible",ISNUMBER(SEARCH("sound",C457)),"Noise, Audible",ISNUMBER(SEARCH("loud",C457)),"Noise, Audible",ISNUMBER(SEARCH("fray",C457)),"Material Frayed",ISNUMBER(SEARCH("hole",C457)),"Material Frayed",ISNUMBER(SEARCH("tear",C457)),"Material Frayed",ISNUMBER(SEARCH("worn",C457)),"Material Frayed",ISNUMBER(SEARCH("intermittent",C457)),"Difficult or Delayed Activation",ISNUMBER(SEARCH("delay",C457)),"Difficult or Delayed Activation",ISNUMBER(SEARCH("label",C457)),"Device Markings/Labelling Problem",ISNUMBER(SEARCH("marking",C457)),"Device Markings/Labelling Problem",ISNUMBER(SEARCH("lacerat",C457)),"Defective Device",ISNUMBER(SEARCH("cut",C457)),"Defective Device",ISNUMBER(SEARCH("leak",C457)),"Fluid/Blood Leak",ISNUMBER(SEARCH("missing",C457)),"Component Missing",ISNUMBER(SEARCH("power",C457)),"Complete Loss of Power",ISNUMBER(SEARCH("will not turn on",C457)),"Complete Loss of Power",ISNUMBER(SEARCH("won't turn on",C457)),"Complete Loss of Power",ISNUMBER(SEARCH("does not turn on",C457)),"Complete Loss of Power",ISNUMBER(SEARCH("electrical",C457)),"Electrical Power Problem",ISNUMBER(SEARCH("pressure",C457)),"Detachment of Device or Device Component",ISNUMBER(SEARCH("slip",C457)),"Detachment of Device or Device Component",ISNUMBER(SEARCH("detach",C457)),"Detachment of Device or Device Component",ISNUMBER(SEARCH("stick",C457)),"Mechanical Jam",ISNUMBER(SEARCH("jam",C457)),"Mechanical Jam",ISNUMBER(SEARCH("rigid",C457)),"Mechanical Jam",ISNUMBER(SEARCH("rust",C457)),"Corroded",ISNUMBER(SEARCH("corrod",C457)),"Corroded",ISNUMBER(SEARCH("corrosion",C457)),"Corroded",ISNUMBER(SEARCH("alignment",C457)),"Defective Device",ISNUMBER(SEARCH("adjust",C457)),"Defective Device",ISNUMBER(SEARCH("perform",C457)),"Defective Device",ISNUMBER(SEARCH("malfunction",C457)),"Defective Device",ISNUMBER(SEARCH("defect",C457)),"Defective Device",ISNUMBER(SEARCH("fail",C457)),"Defective Device",ISNUMBER(SEARCH("not work",C457)),"Defective Device",ISNUMBER(SEARCH("doesn't work",C457)),"Defective Device",TRUE,"UNKNOWN"),"UNKNOWN")))</f>
        <v/>
      </c>
      <c r="F457" s="4" t="str">
        <f t="shared" si="7"/>
        <v/>
      </c>
      <c r="G457" s="363" t="str">
        <f>IF(E457="","",IFERROR(VLOOKUP(E457,Codes!$L$2:$N$409,3,FALSE),"—"))</f>
        <v/>
      </c>
      <c r="H457" s="88"/>
      <c r="I457" s="88"/>
    </row>
    <row r="458" spans="1:9" ht="13.15" x14ac:dyDescent="0.35">
      <c r="A458" s="434"/>
      <c r="B458" s="436"/>
      <c r="C458" s="437"/>
      <c r="D458" s="434"/>
      <c r="E458" s="93" t="str" cm="1">
        <f t="array" ref="E458">IF(D458&lt;&gt;"",IFERROR(VLOOKUP(D458,Codes!$K$2:$L$409,2,FALSE),"UNKNOWN - "&amp;D458),IF(C458="","",IFERROR(_xlfn.IFS(ISNUMBER(SEARCH("broken button",C458)),"Break",ISNUMBER(SEARCH("broken handle",C458)),"Break",ISNUMBER(SEARCH("shipping damage",C458)),"Break",ISNUMBER(SEARCH("broken",C458)),"Break",ISNUMBER(SEARCH("crack",C458)),"Break",ISNUMBER(SEARCH("snap",C458)),"Break",ISNUMBER(SEARCH("fracture",C458)),"Break",ISNUMBER(SEARCH("bent",C458)),"Material Twisted/Bent",ISNUMBER(SEARCH("twisted",C458)),"Material Twisted/Bent",ISNUMBER(SEARCH("component separat",C458)),"Material Separation",ISNUMBER(SEARCH("separat",C458)),"Material Separation",ISNUMBER(SEARCH("connection",C458)),"Loose or Intermittent Connection",ISNUMBER(SEARCH("loose",C458)),"Loose or Intermittent Connection",ISNUMBER(SEARCH("damaged packaging",C458)),"Packaging Problem",ISNUMBER(SEARCH("packaging",C458)),"Packaging Problem",ISNUMBER(SEARCH("discoloration",C458)),"Contamination",ISNUMBER(SEARCH("tarnish",C458)),"Contamination",ISNUMBER(SEARCH("stain",C458)),"Contamination",ISNUMBER(SEARCH("foreign material",C458)),"Contamination",ISNUMBER(SEARCH("contamina",C458)),"Contamination",ISNUMBER(SEARCH("overheat",C458)),"Overheating of Device",ISNUMBER(SEARCH("excessive heat",C458)),"Overheating of Device",ISNUMBER(SEARCH("hot",C458)),"Overheating of Device",ISNUMBER(SEARCH("noise",C458)),"Noise, Audible",ISNUMBER(SEARCH("sound",C458)),"Noise, Audible",ISNUMBER(SEARCH("loud",C458)),"Noise, Audible",ISNUMBER(SEARCH("fray",C458)),"Material Frayed",ISNUMBER(SEARCH("hole",C458)),"Material Frayed",ISNUMBER(SEARCH("tear",C458)),"Material Frayed",ISNUMBER(SEARCH("worn",C458)),"Material Frayed",ISNUMBER(SEARCH("intermittent",C458)),"Difficult or Delayed Activation",ISNUMBER(SEARCH("delay",C458)),"Difficult or Delayed Activation",ISNUMBER(SEARCH("label",C458)),"Device Markings/Labelling Problem",ISNUMBER(SEARCH("marking",C458)),"Device Markings/Labelling Problem",ISNUMBER(SEARCH("lacerat",C458)),"Defective Device",ISNUMBER(SEARCH("cut",C458)),"Defective Device",ISNUMBER(SEARCH("leak",C458)),"Fluid/Blood Leak",ISNUMBER(SEARCH("missing",C458)),"Component Missing",ISNUMBER(SEARCH("power",C458)),"Complete Loss of Power",ISNUMBER(SEARCH("will not turn on",C458)),"Complete Loss of Power",ISNUMBER(SEARCH("won't turn on",C458)),"Complete Loss of Power",ISNUMBER(SEARCH("does not turn on",C458)),"Complete Loss of Power",ISNUMBER(SEARCH("electrical",C458)),"Electrical Power Problem",ISNUMBER(SEARCH("pressure",C458)),"Detachment of Device or Device Component",ISNUMBER(SEARCH("slip",C458)),"Detachment of Device or Device Component",ISNUMBER(SEARCH("detach",C458)),"Detachment of Device or Device Component",ISNUMBER(SEARCH("stick",C458)),"Mechanical Jam",ISNUMBER(SEARCH("jam",C458)),"Mechanical Jam",ISNUMBER(SEARCH("rigid",C458)),"Mechanical Jam",ISNUMBER(SEARCH("rust",C458)),"Corroded",ISNUMBER(SEARCH("corrod",C458)),"Corroded",ISNUMBER(SEARCH("corrosion",C458)),"Corroded",ISNUMBER(SEARCH("alignment",C458)),"Defective Device",ISNUMBER(SEARCH("adjust",C458)),"Defective Device",ISNUMBER(SEARCH("perform",C458)),"Defective Device",ISNUMBER(SEARCH("malfunction",C458)),"Defective Device",ISNUMBER(SEARCH("defect",C458)),"Defective Device",ISNUMBER(SEARCH("fail",C458)),"Defective Device",ISNUMBER(SEARCH("not work",C458)),"Defective Device",ISNUMBER(SEARCH("doesn't work",C458)),"Defective Device",TRUE,"UNKNOWN"),"UNKNOWN")))</f>
        <v/>
      </c>
      <c r="F458" s="4" t="str">
        <f t="shared" si="7"/>
        <v/>
      </c>
      <c r="G458" s="363" t="str">
        <f>IF(E458="","",IFERROR(VLOOKUP(E458,Codes!$L$2:$N$409,3,FALSE),"—"))</f>
        <v/>
      </c>
      <c r="H458" s="88"/>
      <c r="I458" s="88"/>
    </row>
    <row r="459" spans="1:9" ht="13.15" x14ac:dyDescent="0.35">
      <c r="A459" s="434"/>
      <c r="B459" s="436"/>
      <c r="C459" s="437"/>
      <c r="D459" s="434"/>
      <c r="E459" s="93" t="str" cm="1">
        <f t="array" ref="E459">IF(D459&lt;&gt;"",IFERROR(VLOOKUP(D459,Codes!$K$2:$L$409,2,FALSE),"UNKNOWN - "&amp;D459),IF(C459="","",IFERROR(_xlfn.IFS(ISNUMBER(SEARCH("broken button",C459)),"Break",ISNUMBER(SEARCH("broken handle",C459)),"Break",ISNUMBER(SEARCH("shipping damage",C459)),"Break",ISNUMBER(SEARCH("broken",C459)),"Break",ISNUMBER(SEARCH("crack",C459)),"Break",ISNUMBER(SEARCH("snap",C459)),"Break",ISNUMBER(SEARCH("fracture",C459)),"Break",ISNUMBER(SEARCH("bent",C459)),"Material Twisted/Bent",ISNUMBER(SEARCH("twisted",C459)),"Material Twisted/Bent",ISNUMBER(SEARCH("component separat",C459)),"Material Separation",ISNUMBER(SEARCH("separat",C459)),"Material Separation",ISNUMBER(SEARCH("connection",C459)),"Loose or Intermittent Connection",ISNUMBER(SEARCH("loose",C459)),"Loose or Intermittent Connection",ISNUMBER(SEARCH("damaged packaging",C459)),"Packaging Problem",ISNUMBER(SEARCH("packaging",C459)),"Packaging Problem",ISNUMBER(SEARCH("discoloration",C459)),"Contamination",ISNUMBER(SEARCH("tarnish",C459)),"Contamination",ISNUMBER(SEARCH("stain",C459)),"Contamination",ISNUMBER(SEARCH("foreign material",C459)),"Contamination",ISNUMBER(SEARCH("contamina",C459)),"Contamination",ISNUMBER(SEARCH("overheat",C459)),"Overheating of Device",ISNUMBER(SEARCH("excessive heat",C459)),"Overheating of Device",ISNUMBER(SEARCH("hot",C459)),"Overheating of Device",ISNUMBER(SEARCH("noise",C459)),"Noise, Audible",ISNUMBER(SEARCH("sound",C459)),"Noise, Audible",ISNUMBER(SEARCH("loud",C459)),"Noise, Audible",ISNUMBER(SEARCH("fray",C459)),"Material Frayed",ISNUMBER(SEARCH("hole",C459)),"Material Frayed",ISNUMBER(SEARCH("tear",C459)),"Material Frayed",ISNUMBER(SEARCH("worn",C459)),"Material Frayed",ISNUMBER(SEARCH("intermittent",C459)),"Difficult or Delayed Activation",ISNUMBER(SEARCH("delay",C459)),"Difficult or Delayed Activation",ISNUMBER(SEARCH("label",C459)),"Device Markings/Labelling Problem",ISNUMBER(SEARCH("marking",C459)),"Device Markings/Labelling Problem",ISNUMBER(SEARCH("lacerat",C459)),"Defective Device",ISNUMBER(SEARCH("cut",C459)),"Defective Device",ISNUMBER(SEARCH("leak",C459)),"Fluid/Blood Leak",ISNUMBER(SEARCH("missing",C459)),"Component Missing",ISNUMBER(SEARCH("power",C459)),"Complete Loss of Power",ISNUMBER(SEARCH("will not turn on",C459)),"Complete Loss of Power",ISNUMBER(SEARCH("won't turn on",C459)),"Complete Loss of Power",ISNUMBER(SEARCH("does not turn on",C459)),"Complete Loss of Power",ISNUMBER(SEARCH("electrical",C459)),"Electrical Power Problem",ISNUMBER(SEARCH("pressure",C459)),"Detachment of Device or Device Component",ISNUMBER(SEARCH("slip",C459)),"Detachment of Device or Device Component",ISNUMBER(SEARCH("detach",C459)),"Detachment of Device or Device Component",ISNUMBER(SEARCH("stick",C459)),"Mechanical Jam",ISNUMBER(SEARCH("jam",C459)),"Mechanical Jam",ISNUMBER(SEARCH("rigid",C459)),"Mechanical Jam",ISNUMBER(SEARCH("rust",C459)),"Corroded",ISNUMBER(SEARCH("corrod",C459)),"Corroded",ISNUMBER(SEARCH("corrosion",C459)),"Corroded",ISNUMBER(SEARCH("alignment",C459)),"Defective Device",ISNUMBER(SEARCH("adjust",C459)),"Defective Device",ISNUMBER(SEARCH("perform",C459)),"Defective Device",ISNUMBER(SEARCH("malfunction",C459)),"Defective Device",ISNUMBER(SEARCH("defect",C459)),"Defective Device",ISNUMBER(SEARCH("fail",C459)),"Defective Device",ISNUMBER(SEARCH("not work",C459)),"Defective Device",ISNUMBER(SEARCH("doesn't work",C459)),"Defective Device",TRUE,"UNKNOWN"),"UNKNOWN")))</f>
        <v/>
      </c>
      <c r="F459" s="4" t="str">
        <f t="shared" si="7"/>
        <v/>
      </c>
      <c r="G459" s="363" t="str">
        <f>IF(E459="","",IFERROR(VLOOKUP(E459,Codes!$L$2:$N$409,3,FALSE),"—"))</f>
        <v/>
      </c>
      <c r="H459" s="88"/>
      <c r="I459" s="88"/>
    </row>
    <row r="460" spans="1:9" ht="13.15" x14ac:dyDescent="0.35">
      <c r="A460" s="435"/>
      <c r="B460" s="436"/>
      <c r="C460" s="438"/>
      <c r="D460" s="435"/>
      <c r="E460" s="93" t="str" cm="1">
        <f t="array" ref="E460">IF(D460&lt;&gt;"",IFERROR(VLOOKUP(D460,Codes!$K$2:$L$409,2,FALSE),"UNKNOWN - "&amp;D460),IF(C460="","",IFERROR(_xlfn.IFS(ISNUMBER(SEARCH("broken button",C460)),"Break",ISNUMBER(SEARCH("broken handle",C460)),"Break",ISNUMBER(SEARCH("shipping damage",C460)),"Break",ISNUMBER(SEARCH("broken",C460)),"Break",ISNUMBER(SEARCH("crack",C460)),"Break",ISNUMBER(SEARCH("snap",C460)),"Break",ISNUMBER(SEARCH("fracture",C460)),"Break",ISNUMBER(SEARCH("bent",C460)),"Material Twisted/Bent",ISNUMBER(SEARCH("twisted",C460)),"Material Twisted/Bent",ISNUMBER(SEARCH("component separat",C460)),"Material Separation",ISNUMBER(SEARCH("separat",C460)),"Material Separation",ISNUMBER(SEARCH("connection",C460)),"Loose or Intermittent Connection",ISNUMBER(SEARCH("loose",C460)),"Loose or Intermittent Connection",ISNUMBER(SEARCH("damaged packaging",C460)),"Packaging Problem",ISNUMBER(SEARCH("packaging",C460)),"Packaging Problem",ISNUMBER(SEARCH("discoloration",C460)),"Contamination",ISNUMBER(SEARCH("tarnish",C460)),"Contamination",ISNUMBER(SEARCH("stain",C460)),"Contamination",ISNUMBER(SEARCH("foreign material",C460)),"Contamination",ISNUMBER(SEARCH("contamina",C460)),"Contamination",ISNUMBER(SEARCH("overheat",C460)),"Overheating of Device",ISNUMBER(SEARCH("excessive heat",C460)),"Overheating of Device",ISNUMBER(SEARCH("hot",C460)),"Overheating of Device",ISNUMBER(SEARCH("noise",C460)),"Noise, Audible",ISNUMBER(SEARCH("sound",C460)),"Noise, Audible",ISNUMBER(SEARCH("loud",C460)),"Noise, Audible",ISNUMBER(SEARCH("fray",C460)),"Material Frayed",ISNUMBER(SEARCH("hole",C460)),"Material Frayed",ISNUMBER(SEARCH("tear",C460)),"Material Frayed",ISNUMBER(SEARCH("worn",C460)),"Material Frayed",ISNUMBER(SEARCH("intermittent",C460)),"Difficult or Delayed Activation",ISNUMBER(SEARCH("delay",C460)),"Difficult or Delayed Activation",ISNUMBER(SEARCH("label",C460)),"Device Markings/Labelling Problem",ISNUMBER(SEARCH("marking",C460)),"Device Markings/Labelling Problem",ISNUMBER(SEARCH("lacerat",C460)),"Defective Device",ISNUMBER(SEARCH("cut",C460)),"Defective Device",ISNUMBER(SEARCH("leak",C460)),"Fluid/Blood Leak",ISNUMBER(SEARCH("missing",C460)),"Component Missing",ISNUMBER(SEARCH("power",C460)),"Complete Loss of Power",ISNUMBER(SEARCH("will not turn on",C460)),"Complete Loss of Power",ISNUMBER(SEARCH("won't turn on",C460)),"Complete Loss of Power",ISNUMBER(SEARCH("does not turn on",C460)),"Complete Loss of Power",ISNUMBER(SEARCH("electrical",C460)),"Electrical Power Problem",ISNUMBER(SEARCH("pressure",C460)),"Detachment of Device or Device Component",ISNUMBER(SEARCH("slip",C460)),"Detachment of Device or Device Component",ISNUMBER(SEARCH("detach",C460)),"Detachment of Device or Device Component",ISNUMBER(SEARCH("stick",C460)),"Mechanical Jam",ISNUMBER(SEARCH("jam",C460)),"Mechanical Jam",ISNUMBER(SEARCH("rigid",C460)),"Mechanical Jam",ISNUMBER(SEARCH("rust",C460)),"Corroded",ISNUMBER(SEARCH("corrod",C460)),"Corroded",ISNUMBER(SEARCH("corrosion",C460)),"Corroded",ISNUMBER(SEARCH("alignment",C460)),"Defective Device",ISNUMBER(SEARCH("adjust",C460)),"Defective Device",ISNUMBER(SEARCH("perform",C460)),"Defective Device",ISNUMBER(SEARCH("malfunction",C460)),"Defective Device",ISNUMBER(SEARCH("defect",C460)),"Defective Device",ISNUMBER(SEARCH("fail",C460)),"Defective Device",ISNUMBER(SEARCH("not work",C460)),"Defective Device",ISNUMBER(SEARCH("doesn't work",C460)),"Defective Device",TRUE,"UNKNOWN"),"UNKNOWN")))</f>
        <v/>
      </c>
      <c r="F460" s="4" t="str">
        <f t="shared" si="7"/>
        <v/>
      </c>
      <c r="G460" s="363" t="str">
        <f>IF(E460="","",IFERROR(VLOOKUP(E460,Codes!$L$2:$N$409,3,FALSE),"—"))</f>
        <v/>
      </c>
      <c r="H460" s="88"/>
      <c r="I460" s="88"/>
    </row>
    <row r="461" spans="1:9" ht="13.15" x14ac:dyDescent="0.35">
      <c r="A461" s="434"/>
      <c r="B461" s="436"/>
      <c r="C461" s="437"/>
      <c r="D461" s="434"/>
      <c r="E461" s="93" t="str" cm="1">
        <f t="array" ref="E461">IF(D461&lt;&gt;"",IFERROR(VLOOKUP(D461,Codes!$K$2:$L$409,2,FALSE),"UNKNOWN - "&amp;D461),IF(C461="","",IFERROR(_xlfn.IFS(ISNUMBER(SEARCH("broken button",C461)),"Break",ISNUMBER(SEARCH("broken handle",C461)),"Break",ISNUMBER(SEARCH("shipping damage",C461)),"Break",ISNUMBER(SEARCH("broken",C461)),"Break",ISNUMBER(SEARCH("crack",C461)),"Break",ISNUMBER(SEARCH("snap",C461)),"Break",ISNUMBER(SEARCH("fracture",C461)),"Break",ISNUMBER(SEARCH("bent",C461)),"Material Twisted/Bent",ISNUMBER(SEARCH("twisted",C461)),"Material Twisted/Bent",ISNUMBER(SEARCH("component separat",C461)),"Material Separation",ISNUMBER(SEARCH("separat",C461)),"Material Separation",ISNUMBER(SEARCH("connection",C461)),"Loose or Intermittent Connection",ISNUMBER(SEARCH("loose",C461)),"Loose or Intermittent Connection",ISNUMBER(SEARCH("damaged packaging",C461)),"Packaging Problem",ISNUMBER(SEARCH("packaging",C461)),"Packaging Problem",ISNUMBER(SEARCH("discoloration",C461)),"Contamination",ISNUMBER(SEARCH("tarnish",C461)),"Contamination",ISNUMBER(SEARCH("stain",C461)),"Contamination",ISNUMBER(SEARCH("foreign material",C461)),"Contamination",ISNUMBER(SEARCH("contamina",C461)),"Contamination",ISNUMBER(SEARCH("overheat",C461)),"Overheating of Device",ISNUMBER(SEARCH("excessive heat",C461)),"Overheating of Device",ISNUMBER(SEARCH("hot",C461)),"Overheating of Device",ISNUMBER(SEARCH("noise",C461)),"Noise, Audible",ISNUMBER(SEARCH("sound",C461)),"Noise, Audible",ISNUMBER(SEARCH("loud",C461)),"Noise, Audible",ISNUMBER(SEARCH("fray",C461)),"Material Frayed",ISNUMBER(SEARCH("hole",C461)),"Material Frayed",ISNUMBER(SEARCH("tear",C461)),"Material Frayed",ISNUMBER(SEARCH("worn",C461)),"Material Frayed",ISNUMBER(SEARCH("intermittent",C461)),"Difficult or Delayed Activation",ISNUMBER(SEARCH("delay",C461)),"Difficult or Delayed Activation",ISNUMBER(SEARCH("label",C461)),"Device Markings/Labelling Problem",ISNUMBER(SEARCH("marking",C461)),"Device Markings/Labelling Problem",ISNUMBER(SEARCH("lacerat",C461)),"Defective Device",ISNUMBER(SEARCH("cut",C461)),"Defective Device",ISNUMBER(SEARCH("leak",C461)),"Fluid/Blood Leak",ISNUMBER(SEARCH("missing",C461)),"Component Missing",ISNUMBER(SEARCH("power",C461)),"Complete Loss of Power",ISNUMBER(SEARCH("will not turn on",C461)),"Complete Loss of Power",ISNUMBER(SEARCH("won't turn on",C461)),"Complete Loss of Power",ISNUMBER(SEARCH("does not turn on",C461)),"Complete Loss of Power",ISNUMBER(SEARCH("electrical",C461)),"Electrical Power Problem",ISNUMBER(SEARCH("pressure",C461)),"Detachment of Device or Device Component",ISNUMBER(SEARCH("slip",C461)),"Detachment of Device or Device Component",ISNUMBER(SEARCH("detach",C461)),"Detachment of Device or Device Component",ISNUMBER(SEARCH("stick",C461)),"Mechanical Jam",ISNUMBER(SEARCH("jam",C461)),"Mechanical Jam",ISNUMBER(SEARCH("rigid",C461)),"Mechanical Jam",ISNUMBER(SEARCH("rust",C461)),"Corroded",ISNUMBER(SEARCH("corrod",C461)),"Corroded",ISNUMBER(SEARCH("corrosion",C461)),"Corroded",ISNUMBER(SEARCH("alignment",C461)),"Defective Device",ISNUMBER(SEARCH("adjust",C461)),"Defective Device",ISNUMBER(SEARCH("perform",C461)),"Defective Device",ISNUMBER(SEARCH("malfunction",C461)),"Defective Device",ISNUMBER(SEARCH("defect",C461)),"Defective Device",ISNUMBER(SEARCH("fail",C461)),"Defective Device",ISNUMBER(SEARCH("not work",C461)),"Defective Device",ISNUMBER(SEARCH("doesn't work",C461)),"Defective Device",TRUE,"UNKNOWN"),"UNKNOWN")))</f>
        <v/>
      </c>
      <c r="F461" s="4" t="str">
        <f t="shared" si="7"/>
        <v/>
      </c>
      <c r="G461" s="363" t="str">
        <f>IF(E461="","",IFERROR(VLOOKUP(E461,Codes!$L$2:$N$409,3,FALSE),"—"))</f>
        <v/>
      </c>
      <c r="H461" s="88"/>
      <c r="I461" s="88"/>
    </row>
    <row r="462" spans="1:9" ht="13.15" x14ac:dyDescent="0.35">
      <c r="A462" s="435"/>
      <c r="B462" s="436"/>
      <c r="C462" s="438"/>
      <c r="D462" s="435"/>
      <c r="E462" s="93" t="str" cm="1">
        <f t="array" ref="E462">IF(D462&lt;&gt;"",IFERROR(VLOOKUP(D462,Codes!$K$2:$L$409,2,FALSE),"UNKNOWN - "&amp;D462),IF(C462="","",IFERROR(_xlfn.IFS(ISNUMBER(SEARCH("broken button",C462)),"Break",ISNUMBER(SEARCH("broken handle",C462)),"Break",ISNUMBER(SEARCH("shipping damage",C462)),"Break",ISNUMBER(SEARCH("broken",C462)),"Break",ISNUMBER(SEARCH("crack",C462)),"Break",ISNUMBER(SEARCH("snap",C462)),"Break",ISNUMBER(SEARCH("fracture",C462)),"Break",ISNUMBER(SEARCH("bent",C462)),"Material Twisted/Bent",ISNUMBER(SEARCH("twisted",C462)),"Material Twisted/Bent",ISNUMBER(SEARCH("component separat",C462)),"Material Separation",ISNUMBER(SEARCH("separat",C462)),"Material Separation",ISNUMBER(SEARCH("connection",C462)),"Loose or Intermittent Connection",ISNUMBER(SEARCH("loose",C462)),"Loose or Intermittent Connection",ISNUMBER(SEARCH("damaged packaging",C462)),"Packaging Problem",ISNUMBER(SEARCH("packaging",C462)),"Packaging Problem",ISNUMBER(SEARCH("discoloration",C462)),"Contamination",ISNUMBER(SEARCH("tarnish",C462)),"Contamination",ISNUMBER(SEARCH("stain",C462)),"Contamination",ISNUMBER(SEARCH("foreign material",C462)),"Contamination",ISNUMBER(SEARCH("contamina",C462)),"Contamination",ISNUMBER(SEARCH("overheat",C462)),"Overheating of Device",ISNUMBER(SEARCH("excessive heat",C462)),"Overheating of Device",ISNUMBER(SEARCH("hot",C462)),"Overheating of Device",ISNUMBER(SEARCH("noise",C462)),"Noise, Audible",ISNUMBER(SEARCH("sound",C462)),"Noise, Audible",ISNUMBER(SEARCH("loud",C462)),"Noise, Audible",ISNUMBER(SEARCH("fray",C462)),"Material Frayed",ISNUMBER(SEARCH("hole",C462)),"Material Frayed",ISNUMBER(SEARCH("tear",C462)),"Material Frayed",ISNUMBER(SEARCH("worn",C462)),"Material Frayed",ISNUMBER(SEARCH("intermittent",C462)),"Difficult or Delayed Activation",ISNUMBER(SEARCH("delay",C462)),"Difficult or Delayed Activation",ISNUMBER(SEARCH("label",C462)),"Device Markings/Labelling Problem",ISNUMBER(SEARCH("marking",C462)),"Device Markings/Labelling Problem",ISNUMBER(SEARCH("lacerat",C462)),"Defective Device",ISNUMBER(SEARCH("cut",C462)),"Defective Device",ISNUMBER(SEARCH("leak",C462)),"Fluid/Blood Leak",ISNUMBER(SEARCH("missing",C462)),"Component Missing",ISNUMBER(SEARCH("power",C462)),"Complete Loss of Power",ISNUMBER(SEARCH("will not turn on",C462)),"Complete Loss of Power",ISNUMBER(SEARCH("won't turn on",C462)),"Complete Loss of Power",ISNUMBER(SEARCH("does not turn on",C462)),"Complete Loss of Power",ISNUMBER(SEARCH("electrical",C462)),"Electrical Power Problem",ISNUMBER(SEARCH("pressure",C462)),"Detachment of Device or Device Component",ISNUMBER(SEARCH("slip",C462)),"Detachment of Device or Device Component",ISNUMBER(SEARCH("detach",C462)),"Detachment of Device or Device Component",ISNUMBER(SEARCH("stick",C462)),"Mechanical Jam",ISNUMBER(SEARCH("jam",C462)),"Mechanical Jam",ISNUMBER(SEARCH("rigid",C462)),"Mechanical Jam",ISNUMBER(SEARCH("rust",C462)),"Corroded",ISNUMBER(SEARCH("corrod",C462)),"Corroded",ISNUMBER(SEARCH("corrosion",C462)),"Corroded",ISNUMBER(SEARCH("alignment",C462)),"Defective Device",ISNUMBER(SEARCH("adjust",C462)),"Defective Device",ISNUMBER(SEARCH("perform",C462)),"Defective Device",ISNUMBER(SEARCH("malfunction",C462)),"Defective Device",ISNUMBER(SEARCH("defect",C462)),"Defective Device",ISNUMBER(SEARCH("fail",C462)),"Defective Device",ISNUMBER(SEARCH("not work",C462)),"Defective Device",ISNUMBER(SEARCH("doesn't work",C462)),"Defective Device",TRUE,"UNKNOWN"),"UNKNOWN")))</f>
        <v/>
      </c>
      <c r="F462" s="4" t="str">
        <f t="shared" si="7"/>
        <v/>
      </c>
      <c r="G462" s="363" t="str">
        <f>IF(E462="","",IFERROR(VLOOKUP(E462,Codes!$L$2:$N$409,3,FALSE),"—"))</f>
        <v/>
      </c>
      <c r="H462" s="88"/>
      <c r="I462" s="88"/>
    </row>
    <row r="463" spans="1:9" ht="13.15" x14ac:dyDescent="0.35">
      <c r="A463" s="435"/>
      <c r="B463" s="436"/>
      <c r="C463" s="438"/>
      <c r="D463" s="435"/>
      <c r="E463" s="93" t="str" cm="1">
        <f t="array" ref="E463">IF(D463&lt;&gt;"",IFERROR(VLOOKUP(D463,Codes!$K$2:$L$409,2,FALSE),"UNKNOWN - "&amp;D463),IF(C463="","",IFERROR(_xlfn.IFS(ISNUMBER(SEARCH("broken button",C463)),"Break",ISNUMBER(SEARCH("broken handle",C463)),"Break",ISNUMBER(SEARCH("shipping damage",C463)),"Break",ISNUMBER(SEARCH("broken",C463)),"Break",ISNUMBER(SEARCH("crack",C463)),"Break",ISNUMBER(SEARCH("snap",C463)),"Break",ISNUMBER(SEARCH("fracture",C463)),"Break",ISNUMBER(SEARCH("bent",C463)),"Material Twisted/Bent",ISNUMBER(SEARCH("twisted",C463)),"Material Twisted/Bent",ISNUMBER(SEARCH("component separat",C463)),"Material Separation",ISNUMBER(SEARCH("separat",C463)),"Material Separation",ISNUMBER(SEARCH("connection",C463)),"Loose or Intermittent Connection",ISNUMBER(SEARCH("loose",C463)),"Loose or Intermittent Connection",ISNUMBER(SEARCH("damaged packaging",C463)),"Packaging Problem",ISNUMBER(SEARCH("packaging",C463)),"Packaging Problem",ISNUMBER(SEARCH("discoloration",C463)),"Contamination",ISNUMBER(SEARCH("tarnish",C463)),"Contamination",ISNUMBER(SEARCH("stain",C463)),"Contamination",ISNUMBER(SEARCH("foreign material",C463)),"Contamination",ISNUMBER(SEARCH("contamina",C463)),"Contamination",ISNUMBER(SEARCH("overheat",C463)),"Overheating of Device",ISNUMBER(SEARCH("excessive heat",C463)),"Overheating of Device",ISNUMBER(SEARCH("hot",C463)),"Overheating of Device",ISNUMBER(SEARCH("noise",C463)),"Noise, Audible",ISNUMBER(SEARCH("sound",C463)),"Noise, Audible",ISNUMBER(SEARCH("loud",C463)),"Noise, Audible",ISNUMBER(SEARCH("fray",C463)),"Material Frayed",ISNUMBER(SEARCH("hole",C463)),"Material Frayed",ISNUMBER(SEARCH("tear",C463)),"Material Frayed",ISNUMBER(SEARCH("worn",C463)),"Material Frayed",ISNUMBER(SEARCH("intermittent",C463)),"Difficult or Delayed Activation",ISNUMBER(SEARCH("delay",C463)),"Difficult or Delayed Activation",ISNUMBER(SEARCH("label",C463)),"Device Markings/Labelling Problem",ISNUMBER(SEARCH("marking",C463)),"Device Markings/Labelling Problem",ISNUMBER(SEARCH("lacerat",C463)),"Defective Device",ISNUMBER(SEARCH("cut",C463)),"Defective Device",ISNUMBER(SEARCH("leak",C463)),"Fluid/Blood Leak",ISNUMBER(SEARCH("missing",C463)),"Component Missing",ISNUMBER(SEARCH("power",C463)),"Complete Loss of Power",ISNUMBER(SEARCH("will not turn on",C463)),"Complete Loss of Power",ISNUMBER(SEARCH("won't turn on",C463)),"Complete Loss of Power",ISNUMBER(SEARCH("does not turn on",C463)),"Complete Loss of Power",ISNUMBER(SEARCH("electrical",C463)),"Electrical Power Problem",ISNUMBER(SEARCH("pressure",C463)),"Detachment of Device or Device Component",ISNUMBER(SEARCH("slip",C463)),"Detachment of Device or Device Component",ISNUMBER(SEARCH("detach",C463)),"Detachment of Device or Device Component",ISNUMBER(SEARCH("stick",C463)),"Mechanical Jam",ISNUMBER(SEARCH("jam",C463)),"Mechanical Jam",ISNUMBER(SEARCH("rigid",C463)),"Mechanical Jam",ISNUMBER(SEARCH("rust",C463)),"Corroded",ISNUMBER(SEARCH("corrod",C463)),"Corroded",ISNUMBER(SEARCH("corrosion",C463)),"Corroded",ISNUMBER(SEARCH("alignment",C463)),"Defective Device",ISNUMBER(SEARCH("adjust",C463)),"Defective Device",ISNUMBER(SEARCH("perform",C463)),"Defective Device",ISNUMBER(SEARCH("malfunction",C463)),"Defective Device",ISNUMBER(SEARCH("defect",C463)),"Defective Device",ISNUMBER(SEARCH("fail",C463)),"Defective Device",ISNUMBER(SEARCH("not work",C463)),"Defective Device",ISNUMBER(SEARCH("doesn't work",C463)),"Defective Device",TRUE,"UNKNOWN"),"UNKNOWN")))</f>
        <v/>
      </c>
      <c r="F463" s="4" t="str">
        <f t="shared" si="7"/>
        <v/>
      </c>
      <c r="G463" s="363" t="str">
        <f>IF(E463="","",IFERROR(VLOOKUP(E463,Codes!$L$2:$N$409,3,FALSE),"—"))</f>
        <v/>
      </c>
      <c r="H463" s="88"/>
      <c r="I463" s="88"/>
    </row>
    <row r="464" spans="1:9" ht="13.15" x14ac:dyDescent="0.35">
      <c r="A464" s="434"/>
      <c r="B464" s="436"/>
      <c r="C464" s="437"/>
      <c r="D464" s="434"/>
      <c r="E464" s="93" t="str" cm="1">
        <f t="array" ref="E464">IF(D464&lt;&gt;"",IFERROR(VLOOKUP(D464,Codes!$K$2:$L$409,2,FALSE),"UNKNOWN - "&amp;D464),IF(C464="","",IFERROR(_xlfn.IFS(ISNUMBER(SEARCH("broken button",C464)),"Break",ISNUMBER(SEARCH("broken handle",C464)),"Break",ISNUMBER(SEARCH("shipping damage",C464)),"Break",ISNUMBER(SEARCH("broken",C464)),"Break",ISNUMBER(SEARCH("crack",C464)),"Break",ISNUMBER(SEARCH("snap",C464)),"Break",ISNUMBER(SEARCH("fracture",C464)),"Break",ISNUMBER(SEARCH("bent",C464)),"Material Twisted/Bent",ISNUMBER(SEARCH("twisted",C464)),"Material Twisted/Bent",ISNUMBER(SEARCH("component separat",C464)),"Material Separation",ISNUMBER(SEARCH("separat",C464)),"Material Separation",ISNUMBER(SEARCH("connection",C464)),"Loose or Intermittent Connection",ISNUMBER(SEARCH("loose",C464)),"Loose or Intermittent Connection",ISNUMBER(SEARCH("damaged packaging",C464)),"Packaging Problem",ISNUMBER(SEARCH("packaging",C464)),"Packaging Problem",ISNUMBER(SEARCH("discoloration",C464)),"Contamination",ISNUMBER(SEARCH("tarnish",C464)),"Contamination",ISNUMBER(SEARCH("stain",C464)),"Contamination",ISNUMBER(SEARCH("foreign material",C464)),"Contamination",ISNUMBER(SEARCH("contamina",C464)),"Contamination",ISNUMBER(SEARCH("overheat",C464)),"Overheating of Device",ISNUMBER(SEARCH("excessive heat",C464)),"Overheating of Device",ISNUMBER(SEARCH("hot",C464)),"Overheating of Device",ISNUMBER(SEARCH("noise",C464)),"Noise, Audible",ISNUMBER(SEARCH("sound",C464)),"Noise, Audible",ISNUMBER(SEARCH("loud",C464)),"Noise, Audible",ISNUMBER(SEARCH("fray",C464)),"Material Frayed",ISNUMBER(SEARCH("hole",C464)),"Material Frayed",ISNUMBER(SEARCH("tear",C464)),"Material Frayed",ISNUMBER(SEARCH("worn",C464)),"Material Frayed",ISNUMBER(SEARCH("intermittent",C464)),"Difficult or Delayed Activation",ISNUMBER(SEARCH("delay",C464)),"Difficult or Delayed Activation",ISNUMBER(SEARCH("label",C464)),"Device Markings/Labelling Problem",ISNUMBER(SEARCH("marking",C464)),"Device Markings/Labelling Problem",ISNUMBER(SEARCH("lacerat",C464)),"Defective Device",ISNUMBER(SEARCH("cut",C464)),"Defective Device",ISNUMBER(SEARCH("leak",C464)),"Fluid/Blood Leak",ISNUMBER(SEARCH("missing",C464)),"Component Missing",ISNUMBER(SEARCH("power",C464)),"Complete Loss of Power",ISNUMBER(SEARCH("will not turn on",C464)),"Complete Loss of Power",ISNUMBER(SEARCH("won't turn on",C464)),"Complete Loss of Power",ISNUMBER(SEARCH("does not turn on",C464)),"Complete Loss of Power",ISNUMBER(SEARCH("electrical",C464)),"Electrical Power Problem",ISNUMBER(SEARCH("pressure",C464)),"Detachment of Device or Device Component",ISNUMBER(SEARCH("slip",C464)),"Detachment of Device or Device Component",ISNUMBER(SEARCH("detach",C464)),"Detachment of Device or Device Component",ISNUMBER(SEARCH("stick",C464)),"Mechanical Jam",ISNUMBER(SEARCH("jam",C464)),"Mechanical Jam",ISNUMBER(SEARCH("rigid",C464)),"Mechanical Jam",ISNUMBER(SEARCH("rust",C464)),"Corroded",ISNUMBER(SEARCH("corrod",C464)),"Corroded",ISNUMBER(SEARCH("corrosion",C464)),"Corroded",ISNUMBER(SEARCH("alignment",C464)),"Defective Device",ISNUMBER(SEARCH("adjust",C464)),"Defective Device",ISNUMBER(SEARCH("perform",C464)),"Defective Device",ISNUMBER(SEARCH("malfunction",C464)),"Defective Device",ISNUMBER(SEARCH("defect",C464)),"Defective Device",ISNUMBER(SEARCH("fail",C464)),"Defective Device",ISNUMBER(SEARCH("not work",C464)),"Defective Device",ISNUMBER(SEARCH("doesn't work",C464)),"Defective Device",TRUE,"UNKNOWN"),"UNKNOWN")))</f>
        <v/>
      </c>
      <c r="F464" s="4" t="str">
        <f t="shared" si="7"/>
        <v/>
      </c>
      <c r="G464" s="363" t="str">
        <f>IF(E464="","",IFERROR(VLOOKUP(E464,Codes!$L$2:$N$409,3,FALSE),"—"))</f>
        <v/>
      </c>
      <c r="H464" s="88"/>
      <c r="I464" s="88"/>
    </row>
    <row r="465" spans="1:9" ht="13.15" x14ac:dyDescent="0.35">
      <c r="A465" s="434"/>
      <c r="B465" s="436"/>
      <c r="C465" s="437"/>
      <c r="D465" s="434"/>
      <c r="E465" s="93" t="str" cm="1">
        <f t="array" ref="E465">IF(D465&lt;&gt;"",IFERROR(VLOOKUP(D465,Codes!$K$2:$L$409,2,FALSE),"UNKNOWN - "&amp;D465),IF(C465="","",IFERROR(_xlfn.IFS(ISNUMBER(SEARCH("broken button",C465)),"Break",ISNUMBER(SEARCH("broken handle",C465)),"Break",ISNUMBER(SEARCH("shipping damage",C465)),"Break",ISNUMBER(SEARCH("broken",C465)),"Break",ISNUMBER(SEARCH("crack",C465)),"Break",ISNUMBER(SEARCH("snap",C465)),"Break",ISNUMBER(SEARCH("fracture",C465)),"Break",ISNUMBER(SEARCH("bent",C465)),"Material Twisted/Bent",ISNUMBER(SEARCH("twisted",C465)),"Material Twisted/Bent",ISNUMBER(SEARCH("component separat",C465)),"Material Separation",ISNUMBER(SEARCH("separat",C465)),"Material Separation",ISNUMBER(SEARCH("connection",C465)),"Loose or Intermittent Connection",ISNUMBER(SEARCH("loose",C465)),"Loose or Intermittent Connection",ISNUMBER(SEARCH("damaged packaging",C465)),"Packaging Problem",ISNUMBER(SEARCH("packaging",C465)),"Packaging Problem",ISNUMBER(SEARCH("discoloration",C465)),"Contamination",ISNUMBER(SEARCH("tarnish",C465)),"Contamination",ISNUMBER(SEARCH("stain",C465)),"Contamination",ISNUMBER(SEARCH("foreign material",C465)),"Contamination",ISNUMBER(SEARCH("contamina",C465)),"Contamination",ISNUMBER(SEARCH("overheat",C465)),"Overheating of Device",ISNUMBER(SEARCH("excessive heat",C465)),"Overheating of Device",ISNUMBER(SEARCH("hot",C465)),"Overheating of Device",ISNUMBER(SEARCH("noise",C465)),"Noise, Audible",ISNUMBER(SEARCH("sound",C465)),"Noise, Audible",ISNUMBER(SEARCH("loud",C465)),"Noise, Audible",ISNUMBER(SEARCH("fray",C465)),"Material Frayed",ISNUMBER(SEARCH("hole",C465)),"Material Frayed",ISNUMBER(SEARCH("tear",C465)),"Material Frayed",ISNUMBER(SEARCH("worn",C465)),"Material Frayed",ISNUMBER(SEARCH("intermittent",C465)),"Difficult or Delayed Activation",ISNUMBER(SEARCH("delay",C465)),"Difficult or Delayed Activation",ISNUMBER(SEARCH("label",C465)),"Device Markings/Labelling Problem",ISNUMBER(SEARCH("marking",C465)),"Device Markings/Labelling Problem",ISNUMBER(SEARCH("lacerat",C465)),"Defective Device",ISNUMBER(SEARCH("cut",C465)),"Defective Device",ISNUMBER(SEARCH("leak",C465)),"Fluid/Blood Leak",ISNUMBER(SEARCH("missing",C465)),"Component Missing",ISNUMBER(SEARCH("power",C465)),"Complete Loss of Power",ISNUMBER(SEARCH("will not turn on",C465)),"Complete Loss of Power",ISNUMBER(SEARCH("won't turn on",C465)),"Complete Loss of Power",ISNUMBER(SEARCH("does not turn on",C465)),"Complete Loss of Power",ISNUMBER(SEARCH("electrical",C465)),"Electrical Power Problem",ISNUMBER(SEARCH("pressure",C465)),"Detachment of Device or Device Component",ISNUMBER(SEARCH("slip",C465)),"Detachment of Device or Device Component",ISNUMBER(SEARCH("detach",C465)),"Detachment of Device or Device Component",ISNUMBER(SEARCH("stick",C465)),"Mechanical Jam",ISNUMBER(SEARCH("jam",C465)),"Mechanical Jam",ISNUMBER(SEARCH("rigid",C465)),"Mechanical Jam",ISNUMBER(SEARCH("rust",C465)),"Corroded",ISNUMBER(SEARCH("corrod",C465)),"Corroded",ISNUMBER(SEARCH("corrosion",C465)),"Corroded",ISNUMBER(SEARCH("alignment",C465)),"Defective Device",ISNUMBER(SEARCH("adjust",C465)),"Defective Device",ISNUMBER(SEARCH("perform",C465)),"Defective Device",ISNUMBER(SEARCH("malfunction",C465)),"Defective Device",ISNUMBER(SEARCH("defect",C465)),"Defective Device",ISNUMBER(SEARCH("fail",C465)),"Defective Device",ISNUMBER(SEARCH("not work",C465)),"Defective Device",ISNUMBER(SEARCH("doesn't work",C465)),"Defective Device",TRUE,"UNKNOWN"),"UNKNOWN")))</f>
        <v/>
      </c>
      <c r="F465" s="4" t="str">
        <f t="shared" si="7"/>
        <v/>
      </c>
      <c r="G465" s="363" t="str">
        <f>IF(E465="","",IFERROR(VLOOKUP(E465,Codes!$L$2:$N$409,3,FALSE),"—"))</f>
        <v/>
      </c>
      <c r="H465" s="88"/>
      <c r="I465" s="88"/>
    </row>
    <row r="466" spans="1:9" ht="13.15" x14ac:dyDescent="0.35">
      <c r="A466" s="435"/>
      <c r="B466" s="436"/>
      <c r="C466" s="438"/>
      <c r="D466" s="435"/>
      <c r="E466" s="93" t="str" cm="1">
        <f t="array" ref="E466">IF(D466&lt;&gt;"",IFERROR(VLOOKUP(D466,Codes!$K$2:$L$409,2,FALSE),"UNKNOWN - "&amp;D466),IF(C466="","",IFERROR(_xlfn.IFS(ISNUMBER(SEARCH("broken button",C466)),"Break",ISNUMBER(SEARCH("broken handle",C466)),"Break",ISNUMBER(SEARCH("shipping damage",C466)),"Break",ISNUMBER(SEARCH("broken",C466)),"Break",ISNUMBER(SEARCH("crack",C466)),"Break",ISNUMBER(SEARCH("snap",C466)),"Break",ISNUMBER(SEARCH("fracture",C466)),"Break",ISNUMBER(SEARCH("bent",C466)),"Material Twisted/Bent",ISNUMBER(SEARCH("twisted",C466)),"Material Twisted/Bent",ISNUMBER(SEARCH("component separat",C466)),"Material Separation",ISNUMBER(SEARCH("separat",C466)),"Material Separation",ISNUMBER(SEARCH("connection",C466)),"Loose or Intermittent Connection",ISNUMBER(SEARCH("loose",C466)),"Loose or Intermittent Connection",ISNUMBER(SEARCH("damaged packaging",C466)),"Packaging Problem",ISNUMBER(SEARCH("packaging",C466)),"Packaging Problem",ISNUMBER(SEARCH("discoloration",C466)),"Contamination",ISNUMBER(SEARCH("tarnish",C466)),"Contamination",ISNUMBER(SEARCH("stain",C466)),"Contamination",ISNUMBER(SEARCH("foreign material",C466)),"Contamination",ISNUMBER(SEARCH("contamina",C466)),"Contamination",ISNUMBER(SEARCH("overheat",C466)),"Overheating of Device",ISNUMBER(SEARCH("excessive heat",C466)),"Overheating of Device",ISNUMBER(SEARCH("hot",C466)),"Overheating of Device",ISNUMBER(SEARCH("noise",C466)),"Noise, Audible",ISNUMBER(SEARCH("sound",C466)),"Noise, Audible",ISNUMBER(SEARCH("loud",C466)),"Noise, Audible",ISNUMBER(SEARCH("fray",C466)),"Material Frayed",ISNUMBER(SEARCH("hole",C466)),"Material Frayed",ISNUMBER(SEARCH("tear",C466)),"Material Frayed",ISNUMBER(SEARCH("worn",C466)),"Material Frayed",ISNUMBER(SEARCH("intermittent",C466)),"Difficult or Delayed Activation",ISNUMBER(SEARCH("delay",C466)),"Difficult or Delayed Activation",ISNUMBER(SEARCH("label",C466)),"Device Markings/Labelling Problem",ISNUMBER(SEARCH("marking",C466)),"Device Markings/Labelling Problem",ISNUMBER(SEARCH("lacerat",C466)),"Defective Device",ISNUMBER(SEARCH("cut",C466)),"Defective Device",ISNUMBER(SEARCH("leak",C466)),"Fluid/Blood Leak",ISNUMBER(SEARCH("missing",C466)),"Component Missing",ISNUMBER(SEARCH("power",C466)),"Complete Loss of Power",ISNUMBER(SEARCH("will not turn on",C466)),"Complete Loss of Power",ISNUMBER(SEARCH("won't turn on",C466)),"Complete Loss of Power",ISNUMBER(SEARCH("does not turn on",C466)),"Complete Loss of Power",ISNUMBER(SEARCH("electrical",C466)),"Electrical Power Problem",ISNUMBER(SEARCH("pressure",C466)),"Detachment of Device or Device Component",ISNUMBER(SEARCH("slip",C466)),"Detachment of Device or Device Component",ISNUMBER(SEARCH("detach",C466)),"Detachment of Device or Device Component",ISNUMBER(SEARCH("stick",C466)),"Mechanical Jam",ISNUMBER(SEARCH("jam",C466)),"Mechanical Jam",ISNUMBER(SEARCH("rigid",C466)),"Mechanical Jam",ISNUMBER(SEARCH("rust",C466)),"Corroded",ISNUMBER(SEARCH("corrod",C466)),"Corroded",ISNUMBER(SEARCH("corrosion",C466)),"Corroded",ISNUMBER(SEARCH("alignment",C466)),"Defective Device",ISNUMBER(SEARCH("adjust",C466)),"Defective Device",ISNUMBER(SEARCH("perform",C466)),"Defective Device",ISNUMBER(SEARCH("malfunction",C466)),"Defective Device",ISNUMBER(SEARCH("defect",C466)),"Defective Device",ISNUMBER(SEARCH("fail",C466)),"Defective Device",ISNUMBER(SEARCH("not work",C466)),"Defective Device",ISNUMBER(SEARCH("doesn't work",C466)),"Defective Device",TRUE,"UNKNOWN"),"UNKNOWN")))</f>
        <v/>
      </c>
      <c r="F466" s="4" t="str">
        <f t="shared" si="7"/>
        <v/>
      </c>
      <c r="G466" s="363" t="str">
        <f>IF(E466="","",IFERROR(VLOOKUP(E466,Codes!$L$2:$N$409,3,FALSE),"—"))</f>
        <v/>
      </c>
      <c r="H466" s="88"/>
      <c r="I466" s="88"/>
    </row>
    <row r="467" spans="1:9" ht="13.15" x14ac:dyDescent="0.35">
      <c r="A467" s="434"/>
      <c r="B467" s="436"/>
      <c r="C467" s="437"/>
      <c r="D467" s="434"/>
      <c r="E467" s="93" t="str" cm="1">
        <f t="array" ref="E467">IF(D467&lt;&gt;"",IFERROR(VLOOKUP(D467,Codes!$K$2:$L$409,2,FALSE),"UNKNOWN - "&amp;D467),IF(C467="","",IFERROR(_xlfn.IFS(ISNUMBER(SEARCH("broken button",C467)),"Break",ISNUMBER(SEARCH("broken handle",C467)),"Break",ISNUMBER(SEARCH("shipping damage",C467)),"Break",ISNUMBER(SEARCH("broken",C467)),"Break",ISNUMBER(SEARCH("crack",C467)),"Break",ISNUMBER(SEARCH("snap",C467)),"Break",ISNUMBER(SEARCH("fracture",C467)),"Break",ISNUMBER(SEARCH("bent",C467)),"Material Twisted/Bent",ISNUMBER(SEARCH("twisted",C467)),"Material Twisted/Bent",ISNUMBER(SEARCH("component separat",C467)),"Material Separation",ISNUMBER(SEARCH("separat",C467)),"Material Separation",ISNUMBER(SEARCH("connection",C467)),"Loose or Intermittent Connection",ISNUMBER(SEARCH("loose",C467)),"Loose or Intermittent Connection",ISNUMBER(SEARCH("damaged packaging",C467)),"Packaging Problem",ISNUMBER(SEARCH("packaging",C467)),"Packaging Problem",ISNUMBER(SEARCH("discoloration",C467)),"Contamination",ISNUMBER(SEARCH("tarnish",C467)),"Contamination",ISNUMBER(SEARCH("stain",C467)),"Contamination",ISNUMBER(SEARCH("foreign material",C467)),"Contamination",ISNUMBER(SEARCH("contamina",C467)),"Contamination",ISNUMBER(SEARCH("overheat",C467)),"Overheating of Device",ISNUMBER(SEARCH("excessive heat",C467)),"Overheating of Device",ISNUMBER(SEARCH("hot",C467)),"Overheating of Device",ISNUMBER(SEARCH("noise",C467)),"Noise, Audible",ISNUMBER(SEARCH("sound",C467)),"Noise, Audible",ISNUMBER(SEARCH("loud",C467)),"Noise, Audible",ISNUMBER(SEARCH("fray",C467)),"Material Frayed",ISNUMBER(SEARCH("hole",C467)),"Material Frayed",ISNUMBER(SEARCH("tear",C467)),"Material Frayed",ISNUMBER(SEARCH("worn",C467)),"Material Frayed",ISNUMBER(SEARCH("intermittent",C467)),"Difficult or Delayed Activation",ISNUMBER(SEARCH("delay",C467)),"Difficult or Delayed Activation",ISNUMBER(SEARCH("label",C467)),"Device Markings/Labelling Problem",ISNUMBER(SEARCH("marking",C467)),"Device Markings/Labelling Problem",ISNUMBER(SEARCH("lacerat",C467)),"Defective Device",ISNUMBER(SEARCH("cut",C467)),"Defective Device",ISNUMBER(SEARCH("leak",C467)),"Fluid/Blood Leak",ISNUMBER(SEARCH("missing",C467)),"Component Missing",ISNUMBER(SEARCH("power",C467)),"Complete Loss of Power",ISNUMBER(SEARCH("will not turn on",C467)),"Complete Loss of Power",ISNUMBER(SEARCH("won't turn on",C467)),"Complete Loss of Power",ISNUMBER(SEARCH("does not turn on",C467)),"Complete Loss of Power",ISNUMBER(SEARCH("electrical",C467)),"Electrical Power Problem",ISNUMBER(SEARCH("pressure",C467)),"Detachment of Device or Device Component",ISNUMBER(SEARCH("slip",C467)),"Detachment of Device or Device Component",ISNUMBER(SEARCH("detach",C467)),"Detachment of Device or Device Component",ISNUMBER(SEARCH("stick",C467)),"Mechanical Jam",ISNUMBER(SEARCH("jam",C467)),"Mechanical Jam",ISNUMBER(SEARCH("rigid",C467)),"Mechanical Jam",ISNUMBER(SEARCH("rust",C467)),"Corroded",ISNUMBER(SEARCH("corrod",C467)),"Corroded",ISNUMBER(SEARCH("corrosion",C467)),"Corroded",ISNUMBER(SEARCH("alignment",C467)),"Defective Device",ISNUMBER(SEARCH("adjust",C467)),"Defective Device",ISNUMBER(SEARCH("perform",C467)),"Defective Device",ISNUMBER(SEARCH("malfunction",C467)),"Defective Device",ISNUMBER(SEARCH("defect",C467)),"Defective Device",ISNUMBER(SEARCH("fail",C467)),"Defective Device",ISNUMBER(SEARCH("not work",C467)),"Defective Device",ISNUMBER(SEARCH("doesn't work",C467)),"Defective Device",TRUE,"UNKNOWN"),"UNKNOWN")))</f>
        <v/>
      </c>
      <c r="F467" s="4" t="str">
        <f t="shared" si="7"/>
        <v/>
      </c>
      <c r="G467" s="363" t="str">
        <f>IF(E467="","",IFERROR(VLOOKUP(E467,Codes!$L$2:$N$409,3,FALSE),"—"))</f>
        <v/>
      </c>
      <c r="H467" s="88"/>
      <c r="I467" s="88"/>
    </row>
    <row r="468" spans="1:9" ht="13.15" x14ac:dyDescent="0.35">
      <c r="A468" s="435"/>
      <c r="B468" s="436"/>
      <c r="C468" s="440"/>
      <c r="D468" s="435"/>
      <c r="E468" s="93" t="str" cm="1">
        <f t="array" ref="E468">IF(D468&lt;&gt;"",IFERROR(VLOOKUP(D468,Codes!$K$2:$L$409,2,FALSE),"UNKNOWN - "&amp;D468),IF(C468="","",IFERROR(_xlfn.IFS(ISNUMBER(SEARCH("broken button",C468)),"Break",ISNUMBER(SEARCH("broken handle",C468)),"Break",ISNUMBER(SEARCH("shipping damage",C468)),"Break",ISNUMBER(SEARCH("broken",C468)),"Break",ISNUMBER(SEARCH("crack",C468)),"Break",ISNUMBER(SEARCH("snap",C468)),"Break",ISNUMBER(SEARCH("fracture",C468)),"Break",ISNUMBER(SEARCH("bent",C468)),"Material Twisted/Bent",ISNUMBER(SEARCH("twisted",C468)),"Material Twisted/Bent",ISNUMBER(SEARCH("component separat",C468)),"Material Separation",ISNUMBER(SEARCH("separat",C468)),"Material Separation",ISNUMBER(SEARCH("connection",C468)),"Loose or Intermittent Connection",ISNUMBER(SEARCH("loose",C468)),"Loose or Intermittent Connection",ISNUMBER(SEARCH("damaged packaging",C468)),"Packaging Problem",ISNUMBER(SEARCH("packaging",C468)),"Packaging Problem",ISNUMBER(SEARCH("discoloration",C468)),"Contamination",ISNUMBER(SEARCH("tarnish",C468)),"Contamination",ISNUMBER(SEARCH("stain",C468)),"Contamination",ISNUMBER(SEARCH("foreign material",C468)),"Contamination",ISNUMBER(SEARCH("contamina",C468)),"Contamination",ISNUMBER(SEARCH("overheat",C468)),"Overheating of Device",ISNUMBER(SEARCH("excessive heat",C468)),"Overheating of Device",ISNUMBER(SEARCH("hot",C468)),"Overheating of Device",ISNUMBER(SEARCH("noise",C468)),"Noise, Audible",ISNUMBER(SEARCH("sound",C468)),"Noise, Audible",ISNUMBER(SEARCH("loud",C468)),"Noise, Audible",ISNUMBER(SEARCH("fray",C468)),"Material Frayed",ISNUMBER(SEARCH("hole",C468)),"Material Frayed",ISNUMBER(SEARCH("tear",C468)),"Material Frayed",ISNUMBER(SEARCH("worn",C468)),"Material Frayed",ISNUMBER(SEARCH("intermittent",C468)),"Difficult or Delayed Activation",ISNUMBER(SEARCH("delay",C468)),"Difficult or Delayed Activation",ISNUMBER(SEARCH("label",C468)),"Device Markings/Labelling Problem",ISNUMBER(SEARCH("marking",C468)),"Device Markings/Labelling Problem",ISNUMBER(SEARCH("lacerat",C468)),"Defective Device",ISNUMBER(SEARCH("cut",C468)),"Defective Device",ISNUMBER(SEARCH("leak",C468)),"Fluid/Blood Leak",ISNUMBER(SEARCH("missing",C468)),"Component Missing",ISNUMBER(SEARCH("power",C468)),"Complete Loss of Power",ISNUMBER(SEARCH("will not turn on",C468)),"Complete Loss of Power",ISNUMBER(SEARCH("won't turn on",C468)),"Complete Loss of Power",ISNUMBER(SEARCH("does not turn on",C468)),"Complete Loss of Power",ISNUMBER(SEARCH("electrical",C468)),"Electrical Power Problem",ISNUMBER(SEARCH("pressure",C468)),"Detachment of Device or Device Component",ISNUMBER(SEARCH("slip",C468)),"Detachment of Device or Device Component",ISNUMBER(SEARCH("detach",C468)),"Detachment of Device or Device Component",ISNUMBER(SEARCH("stick",C468)),"Mechanical Jam",ISNUMBER(SEARCH("jam",C468)),"Mechanical Jam",ISNUMBER(SEARCH("rigid",C468)),"Mechanical Jam",ISNUMBER(SEARCH("rust",C468)),"Corroded",ISNUMBER(SEARCH("corrod",C468)),"Corroded",ISNUMBER(SEARCH("corrosion",C468)),"Corroded",ISNUMBER(SEARCH("alignment",C468)),"Defective Device",ISNUMBER(SEARCH("adjust",C468)),"Defective Device",ISNUMBER(SEARCH("perform",C468)),"Defective Device",ISNUMBER(SEARCH("malfunction",C468)),"Defective Device",ISNUMBER(SEARCH("defect",C468)),"Defective Device",ISNUMBER(SEARCH("fail",C468)),"Defective Device",ISNUMBER(SEARCH("not work",C468)),"Defective Device",ISNUMBER(SEARCH("doesn't work",C468)),"Defective Device",TRUE,"UNKNOWN"),"UNKNOWN")))</f>
        <v/>
      </c>
      <c r="F468" s="4" t="str">
        <f t="shared" si="7"/>
        <v/>
      </c>
      <c r="G468" s="363" t="str">
        <f>IF(E468="","",IFERROR(VLOOKUP(E468,Codes!$L$2:$N$409,3,FALSE),"—"))</f>
        <v/>
      </c>
      <c r="H468" s="88"/>
      <c r="I468" s="88"/>
    </row>
    <row r="469" spans="1:9" ht="13.15" x14ac:dyDescent="0.35">
      <c r="A469" s="435"/>
      <c r="B469" s="436"/>
      <c r="C469" s="440"/>
      <c r="D469" s="435"/>
      <c r="E469" s="93" t="str" cm="1">
        <f t="array" ref="E469">IF(D469&lt;&gt;"",IFERROR(VLOOKUP(D469,Codes!$K$2:$L$409,2,FALSE),"UNKNOWN - "&amp;D469),IF(C469="","",IFERROR(_xlfn.IFS(ISNUMBER(SEARCH("broken button",C469)),"Break",ISNUMBER(SEARCH("broken handle",C469)),"Break",ISNUMBER(SEARCH("shipping damage",C469)),"Break",ISNUMBER(SEARCH("broken",C469)),"Break",ISNUMBER(SEARCH("crack",C469)),"Break",ISNUMBER(SEARCH("snap",C469)),"Break",ISNUMBER(SEARCH("fracture",C469)),"Break",ISNUMBER(SEARCH("bent",C469)),"Material Twisted/Bent",ISNUMBER(SEARCH("twisted",C469)),"Material Twisted/Bent",ISNUMBER(SEARCH("component separat",C469)),"Material Separation",ISNUMBER(SEARCH("separat",C469)),"Material Separation",ISNUMBER(SEARCH("connection",C469)),"Loose or Intermittent Connection",ISNUMBER(SEARCH("loose",C469)),"Loose or Intermittent Connection",ISNUMBER(SEARCH("damaged packaging",C469)),"Packaging Problem",ISNUMBER(SEARCH("packaging",C469)),"Packaging Problem",ISNUMBER(SEARCH("discoloration",C469)),"Contamination",ISNUMBER(SEARCH("tarnish",C469)),"Contamination",ISNUMBER(SEARCH("stain",C469)),"Contamination",ISNUMBER(SEARCH("foreign material",C469)),"Contamination",ISNUMBER(SEARCH("contamina",C469)),"Contamination",ISNUMBER(SEARCH("overheat",C469)),"Overheating of Device",ISNUMBER(SEARCH("excessive heat",C469)),"Overheating of Device",ISNUMBER(SEARCH("hot",C469)),"Overheating of Device",ISNUMBER(SEARCH("noise",C469)),"Noise, Audible",ISNUMBER(SEARCH("sound",C469)),"Noise, Audible",ISNUMBER(SEARCH("loud",C469)),"Noise, Audible",ISNUMBER(SEARCH("fray",C469)),"Material Frayed",ISNUMBER(SEARCH("hole",C469)),"Material Frayed",ISNUMBER(SEARCH("tear",C469)),"Material Frayed",ISNUMBER(SEARCH("worn",C469)),"Material Frayed",ISNUMBER(SEARCH("intermittent",C469)),"Difficult or Delayed Activation",ISNUMBER(SEARCH("delay",C469)),"Difficult or Delayed Activation",ISNUMBER(SEARCH("label",C469)),"Device Markings/Labelling Problem",ISNUMBER(SEARCH("marking",C469)),"Device Markings/Labelling Problem",ISNUMBER(SEARCH("lacerat",C469)),"Defective Device",ISNUMBER(SEARCH("cut",C469)),"Defective Device",ISNUMBER(SEARCH("leak",C469)),"Fluid/Blood Leak",ISNUMBER(SEARCH("missing",C469)),"Component Missing",ISNUMBER(SEARCH("power",C469)),"Complete Loss of Power",ISNUMBER(SEARCH("will not turn on",C469)),"Complete Loss of Power",ISNUMBER(SEARCH("won't turn on",C469)),"Complete Loss of Power",ISNUMBER(SEARCH("does not turn on",C469)),"Complete Loss of Power",ISNUMBER(SEARCH("electrical",C469)),"Electrical Power Problem",ISNUMBER(SEARCH("pressure",C469)),"Detachment of Device or Device Component",ISNUMBER(SEARCH("slip",C469)),"Detachment of Device or Device Component",ISNUMBER(SEARCH("detach",C469)),"Detachment of Device or Device Component",ISNUMBER(SEARCH("stick",C469)),"Mechanical Jam",ISNUMBER(SEARCH("jam",C469)),"Mechanical Jam",ISNUMBER(SEARCH("rigid",C469)),"Mechanical Jam",ISNUMBER(SEARCH("rust",C469)),"Corroded",ISNUMBER(SEARCH("corrod",C469)),"Corroded",ISNUMBER(SEARCH("corrosion",C469)),"Corroded",ISNUMBER(SEARCH("alignment",C469)),"Defective Device",ISNUMBER(SEARCH("adjust",C469)),"Defective Device",ISNUMBER(SEARCH("perform",C469)),"Defective Device",ISNUMBER(SEARCH("malfunction",C469)),"Defective Device",ISNUMBER(SEARCH("defect",C469)),"Defective Device",ISNUMBER(SEARCH("fail",C469)),"Defective Device",ISNUMBER(SEARCH("not work",C469)),"Defective Device",ISNUMBER(SEARCH("doesn't work",C469)),"Defective Device",TRUE,"UNKNOWN"),"UNKNOWN")))</f>
        <v/>
      </c>
      <c r="F469" s="4" t="str">
        <f t="shared" si="7"/>
        <v/>
      </c>
      <c r="G469" s="363" t="str">
        <f>IF(E469="","",IFERROR(VLOOKUP(E469,Codes!$L$2:$N$409,3,FALSE),"—"))</f>
        <v/>
      </c>
      <c r="H469" s="88"/>
      <c r="I469" s="88"/>
    </row>
    <row r="470" spans="1:9" ht="13.15" x14ac:dyDescent="0.35">
      <c r="A470" s="434"/>
      <c r="B470" s="436"/>
      <c r="C470" s="437"/>
      <c r="D470" s="434"/>
      <c r="E470" s="93" t="str" cm="1">
        <f t="array" ref="E470">IF(D470&lt;&gt;"",IFERROR(VLOOKUP(D470,Codes!$K$2:$L$409,2,FALSE),"UNKNOWN - "&amp;D470),IF(C470="","",IFERROR(_xlfn.IFS(ISNUMBER(SEARCH("broken button",C470)),"Break",ISNUMBER(SEARCH("broken handle",C470)),"Break",ISNUMBER(SEARCH("shipping damage",C470)),"Break",ISNUMBER(SEARCH("broken",C470)),"Break",ISNUMBER(SEARCH("crack",C470)),"Break",ISNUMBER(SEARCH("snap",C470)),"Break",ISNUMBER(SEARCH("fracture",C470)),"Break",ISNUMBER(SEARCH("bent",C470)),"Material Twisted/Bent",ISNUMBER(SEARCH("twisted",C470)),"Material Twisted/Bent",ISNUMBER(SEARCH("component separat",C470)),"Material Separation",ISNUMBER(SEARCH("separat",C470)),"Material Separation",ISNUMBER(SEARCH("connection",C470)),"Loose or Intermittent Connection",ISNUMBER(SEARCH("loose",C470)),"Loose or Intermittent Connection",ISNUMBER(SEARCH("damaged packaging",C470)),"Packaging Problem",ISNUMBER(SEARCH("packaging",C470)),"Packaging Problem",ISNUMBER(SEARCH("discoloration",C470)),"Contamination",ISNUMBER(SEARCH("tarnish",C470)),"Contamination",ISNUMBER(SEARCH("stain",C470)),"Contamination",ISNUMBER(SEARCH("foreign material",C470)),"Contamination",ISNUMBER(SEARCH("contamina",C470)),"Contamination",ISNUMBER(SEARCH("overheat",C470)),"Overheating of Device",ISNUMBER(SEARCH("excessive heat",C470)),"Overheating of Device",ISNUMBER(SEARCH("hot",C470)),"Overheating of Device",ISNUMBER(SEARCH("noise",C470)),"Noise, Audible",ISNUMBER(SEARCH("sound",C470)),"Noise, Audible",ISNUMBER(SEARCH("loud",C470)),"Noise, Audible",ISNUMBER(SEARCH("fray",C470)),"Material Frayed",ISNUMBER(SEARCH("hole",C470)),"Material Frayed",ISNUMBER(SEARCH("tear",C470)),"Material Frayed",ISNUMBER(SEARCH("worn",C470)),"Material Frayed",ISNUMBER(SEARCH("intermittent",C470)),"Difficult or Delayed Activation",ISNUMBER(SEARCH("delay",C470)),"Difficult or Delayed Activation",ISNUMBER(SEARCH("label",C470)),"Device Markings/Labelling Problem",ISNUMBER(SEARCH("marking",C470)),"Device Markings/Labelling Problem",ISNUMBER(SEARCH("lacerat",C470)),"Defective Device",ISNUMBER(SEARCH("cut",C470)),"Defective Device",ISNUMBER(SEARCH("leak",C470)),"Fluid/Blood Leak",ISNUMBER(SEARCH("missing",C470)),"Component Missing",ISNUMBER(SEARCH("power",C470)),"Complete Loss of Power",ISNUMBER(SEARCH("will not turn on",C470)),"Complete Loss of Power",ISNUMBER(SEARCH("won't turn on",C470)),"Complete Loss of Power",ISNUMBER(SEARCH("does not turn on",C470)),"Complete Loss of Power",ISNUMBER(SEARCH("electrical",C470)),"Electrical Power Problem",ISNUMBER(SEARCH("pressure",C470)),"Detachment of Device or Device Component",ISNUMBER(SEARCH("slip",C470)),"Detachment of Device or Device Component",ISNUMBER(SEARCH("detach",C470)),"Detachment of Device or Device Component",ISNUMBER(SEARCH("stick",C470)),"Mechanical Jam",ISNUMBER(SEARCH("jam",C470)),"Mechanical Jam",ISNUMBER(SEARCH("rigid",C470)),"Mechanical Jam",ISNUMBER(SEARCH("rust",C470)),"Corroded",ISNUMBER(SEARCH("corrod",C470)),"Corroded",ISNUMBER(SEARCH("corrosion",C470)),"Corroded",ISNUMBER(SEARCH("alignment",C470)),"Defective Device",ISNUMBER(SEARCH("adjust",C470)),"Defective Device",ISNUMBER(SEARCH("perform",C470)),"Defective Device",ISNUMBER(SEARCH("malfunction",C470)),"Defective Device",ISNUMBER(SEARCH("defect",C470)),"Defective Device",ISNUMBER(SEARCH("fail",C470)),"Defective Device",ISNUMBER(SEARCH("not work",C470)),"Defective Device",ISNUMBER(SEARCH("doesn't work",C470)),"Defective Device",TRUE,"UNKNOWN"),"UNKNOWN")))</f>
        <v/>
      </c>
      <c r="F470" s="4" t="str">
        <f t="shared" si="7"/>
        <v/>
      </c>
      <c r="G470" s="363" t="str">
        <f>IF(E470="","",IFERROR(VLOOKUP(E470,Codes!$L$2:$N$409,3,FALSE),"—"))</f>
        <v/>
      </c>
      <c r="H470" s="88"/>
      <c r="I470" s="88"/>
    </row>
    <row r="471" spans="1:9" ht="13.15" x14ac:dyDescent="0.35">
      <c r="A471" s="434"/>
      <c r="B471" s="436"/>
      <c r="C471" s="437"/>
      <c r="D471" s="434"/>
      <c r="E471" s="93" t="str" cm="1">
        <f t="array" ref="E471">IF(D471&lt;&gt;"",IFERROR(VLOOKUP(D471,Codes!$K$2:$L$409,2,FALSE),"UNKNOWN - "&amp;D471),IF(C471="","",IFERROR(_xlfn.IFS(ISNUMBER(SEARCH("broken button",C471)),"Break",ISNUMBER(SEARCH("broken handle",C471)),"Break",ISNUMBER(SEARCH("shipping damage",C471)),"Break",ISNUMBER(SEARCH("broken",C471)),"Break",ISNUMBER(SEARCH("crack",C471)),"Break",ISNUMBER(SEARCH("snap",C471)),"Break",ISNUMBER(SEARCH("fracture",C471)),"Break",ISNUMBER(SEARCH("bent",C471)),"Material Twisted/Bent",ISNUMBER(SEARCH("twisted",C471)),"Material Twisted/Bent",ISNUMBER(SEARCH("component separat",C471)),"Material Separation",ISNUMBER(SEARCH("separat",C471)),"Material Separation",ISNUMBER(SEARCH("connection",C471)),"Loose or Intermittent Connection",ISNUMBER(SEARCH("loose",C471)),"Loose or Intermittent Connection",ISNUMBER(SEARCH("damaged packaging",C471)),"Packaging Problem",ISNUMBER(SEARCH("packaging",C471)),"Packaging Problem",ISNUMBER(SEARCH("discoloration",C471)),"Contamination",ISNUMBER(SEARCH("tarnish",C471)),"Contamination",ISNUMBER(SEARCH("stain",C471)),"Contamination",ISNUMBER(SEARCH("foreign material",C471)),"Contamination",ISNUMBER(SEARCH("contamina",C471)),"Contamination",ISNUMBER(SEARCH("overheat",C471)),"Overheating of Device",ISNUMBER(SEARCH("excessive heat",C471)),"Overheating of Device",ISNUMBER(SEARCH("hot",C471)),"Overheating of Device",ISNUMBER(SEARCH("noise",C471)),"Noise, Audible",ISNUMBER(SEARCH("sound",C471)),"Noise, Audible",ISNUMBER(SEARCH("loud",C471)),"Noise, Audible",ISNUMBER(SEARCH("fray",C471)),"Material Frayed",ISNUMBER(SEARCH("hole",C471)),"Material Frayed",ISNUMBER(SEARCH("tear",C471)),"Material Frayed",ISNUMBER(SEARCH("worn",C471)),"Material Frayed",ISNUMBER(SEARCH("intermittent",C471)),"Difficult or Delayed Activation",ISNUMBER(SEARCH("delay",C471)),"Difficult or Delayed Activation",ISNUMBER(SEARCH("label",C471)),"Device Markings/Labelling Problem",ISNUMBER(SEARCH("marking",C471)),"Device Markings/Labelling Problem",ISNUMBER(SEARCH("lacerat",C471)),"Defective Device",ISNUMBER(SEARCH("cut",C471)),"Defective Device",ISNUMBER(SEARCH("leak",C471)),"Fluid/Blood Leak",ISNUMBER(SEARCH("missing",C471)),"Component Missing",ISNUMBER(SEARCH("power",C471)),"Complete Loss of Power",ISNUMBER(SEARCH("will not turn on",C471)),"Complete Loss of Power",ISNUMBER(SEARCH("won't turn on",C471)),"Complete Loss of Power",ISNUMBER(SEARCH("does not turn on",C471)),"Complete Loss of Power",ISNUMBER(SEARCH("electrical",C471)),"Electrical Power Problem",ISNUMBER(SEARCH("pressure",C471)),"Detachment of Device or Device Component",ISNUMBER(SEARCH("slip",C471)),"Detachment of Device or Device Component",ISNUMBER(SEARCH("detach",C471)),"Detachment of Device or Device Component",ISNUMBER(SEARCH("stick",C471)),"Mechanical Jam",ISNUMBER(SEARCH("jam",C471)),"Mechanical Jam",ISNUMBER(SEARCH("rigid",C471)),"Mechanical Jam",ISNUMBER(SEARCH("rust",C471)),"Corroded",ISNUMBER(SEARCH("corrod",C471)),"Corroded",ISNUMBER(SEARCH("corrosion",C471)),"Corroded",ISNUMBER(SEARCH("alignment",C471)),"Defective Device",ISNUMBER(SEARCH("adjust",C471)),"Defective Device",ISNUMBER(SEARCH("perform",C471)),"Defective Device",ISNUMBER(SEARCH("malfunction",C471)),"Defective Device",ISNUMBER(SEARCH("defect",C471)),"Defective Device",ISNUMBER(SEARCH("fail",C471)),"Defective Device",ISNUMBER(SEARCH("not work",C471)),"Defective Device",ISNUMBER(SEARCH("doesn't work",C471)),"Defective Device",TRUE,"UNKNOWN"),"UNKNOWN")))</f>
        <v/>
      </c>
      <c r="F471" s="4" t="str">
        <f t="shared" si="7"/>
        <v/>
      </c>
      <c r="G471" s="363" t="str">
        <f>IF(E471="","",IFERROR(VLOOKUP(E471,Codes!$L$2:$N$409,3,FALSE),"—"))</f>
        <v/>
      </c>
      <c r="H471" s="88"/>
      <c r="I471" s="88"/>
    </row>
    <row r="472" spans="1:9" ht="13.15" x14ac:dyDescent="0.35">
      <c r="A472" s="434"/>
      <c r="B472" s="436"/>
      <c r="C472" s="437"/>
      <c r="D472" s="434"/>
      <c r="E472" s="93" t="str" cm="1">
        <f t="array" ref="E472">IF(D472&lt;&gt;"",IFERROR(VLOOKUP(D472,Codes!$K$2:$L$409,2,FALSE),"UNKNOWN - "&amp;D472),IF(C472="","",IFERROR(_xlfn.IFS(ISNUMBER(SEARCH("broken button",C472)),"Break",ISNUMBER(SEARCH("broken handle",C472)),"Break",ISNUMBER(SEARCH("shipping damage",C472)),"Break",ISNUMBER(SEARCH("broken",C472)),"Break",ISNUMBER(SEARCH("crack",C472)),"Break",ISNUMBER(SEARCH("snap",C472)),"Break",ISNUMBER(SEARCH("fracture",C472)),"Break",ISNUMBER(SEARCH("bent",C472)),"Material Twisted/Bent",ISNUMBER(SEARCH("twisted",C472)),"Material Twisted/Bent",ISNUMBER(SEARCH("component separat",C472)),"Material Separation",ISNUMBER(SEARCH("separat",C472)),"Material Separation",ISNUMBER(SEARCH("connection",C472)),"Loose or Intermittent Connection",ISNUMBER(SEARCH("loose",C472)),"Loose or Intermittent Connection",ISNUMBER(SEARCH("damaged packaging",C472)),"Packaging Problem",ISNUMBER(SEARCH("packaging",C472)),"Packaging Problem",ISNUMBER(SEARCH("discoloration",C472)),"Contamination",ISNUMBER(SEARCH("tarnish",C472)),"Contamination",ISNUMBER(SEARCH("stain",C472)),"Contamination",ISNUMBER(SEARCH("foreign material",C472)),"Contamination",ISNUMBER(SEARCH("contamina",C472)),"Contamination",ISNUMBER(SEARCH("overheat",C472)),"Overheating of Device",ISNUMBER(SEARCH("excessive heat",C472)),"Overheating of Device",ISNUMBER(SEARCH("hot",C472)),"Overheating of Device",ISNUMBER(SEARCH("noise",C472)),"Noise, Audible",ISNUMBER(SEARCH("sound",C472)),"Noise, Audible",ISNUMBER(SEARCH("loud",C472)),"Noise, Audible",ISNUMBER(SEARCH("fray",C472)),"Material Frayed",ISNUMBER(SEARCH("hole",C472)),"Material Frayed",ISNUMBER(SEARCH("tear",C472)),"Material Frayed",ISNUMBER(SEARCH("worn",C472)),"Material Frayed",ISNUMBER(SEARCH("intermittent",C472)),"Difficult or Delayed Activation",ISNUMBER(SEARCH("delay",C472)),"Difficult or Delayed Activation",ISNUMBER(SEARCH("label",C472)),"Device Markings/Labelling Problem",ISNUMBER(SEARCH("marking",C472)),"Device Markings/Labelling Problem",ISNUMBER(SEARCH("lacerat",C472)),"Defective Device",ISNUMBER(SEARCH("cut",C472)),"Defective Device",ISNUMBER(SEARCH("leak",C472)),"Fluid/Blood Leak",ISNUMBER(SEARCH("missing",C472)),"Component Missing",ISNUMBER(SEARCH("power",C472)),"Complete Loss of Power",ISNUMBER(SEARCH("will not turn on",C472)),"Complete Loss of Power",ISNUMBER(SEARCH("won't turn on",C472)),"Complete Loss of Power",ISNUMBER(SEARCH("does not turn on",C472)),"Complete Loss of Power",ISNUMBER(SEARCH("electrical",C472)),"Electrical Power Problem",ISNUMBER(SEARCH("pressure",C472)),"Detachment of Device or Device Component",ISNUMBER(SEARCH("slip",C472)),"Detachment of Device or Device Component",ISNUMBER(SEARCH("detach",C472)),"Detachment of Device or Device Component",ISNUMBER(SEARCH("stick",C472)),"Mechanical Jam",ISNUMBER(SEARCH("jam",C472)),"Mechanical Jam",ISNUMBER(SEARCH("rigid",C472)),"Mechanical Jam",ISNUMBER(SEARCH("rust",C472)),"Corroded",ISNUMBER(SEARCH("corrod",C472)),"Corroded",ISNUMBER(SEARCH("corrosion",C472)),"Corroded",ISNUMBER(SEARCH("alignment",C472)),"Defective Device",ISNUMBER(SEARCH("adjust",C472)),"Defective Device",ISNUMBER(SEARCH("perform",C472)),"Defective Device",ISNUMBER(SEARCH("malfunction",C472)),"Defective Device",ISNUMBER(SEARCH("defect",C472)),"Defective Device",ISNUMBER(SEARCH("fail",C472)),"Defective Device",ISNUMBER(SEARCH("not work",C472)),"Defective Device",ISNUMBER(SEARCH("doesn't work",C472)),"Defective Device",TRUE,"UNKNOWN"),"UNKNOWN")))</f>
        <v/>
      </c>
      <c r="F472" s="4" t="str">
        <f t="shared" si="7"/>
        <v/>
      </c>
      <c r="G472" s="363" t="str">
        <f>IF(E472="","",IFERROR(VLOOKUP(E472,Codes!$L$2:$N$409,3,FALSE),"—"))</f>
        <v/>
      </c>
      <c r="H472" s="88"/>
      <c r="I472" s="88"/>
    </row>
    <row r="473" spans="1:9" ht="13.15" x14ac:dyDescent="0.35">
      <c r="A473" s="435"/>
      <c r="B473" s="436"/>
      <c r="C473" s="435"/>
      <c r="D473" s="435"/>
      <c r="E473" s="93" t="str" cm="1">
        <f t="array" ref="E473">IF(D473&lt;&gt;"",IFERROR(VLOOKUP(D473,Codes!$K$2:$L$409,2,FALSE),"UNKNOWN - "&amp;D473),IF(C473="","",IFERROR(_xlfn.IFS(ISNUMBER(SEARCH("broken button",C473)),"Break",ISNUMBER(SEARCH("broken handle",C473)),"Break",ISNUMBER(SEARCH("shipping damage",C473)),"Break",ISNUMBER(SEARCH("broken",C473)),"Break",ISNUMBER(SEARCH("crack",C473)),"Break",ISNUMBER(SEARCH("snap",C473)),"Break",ISNUMBER(SEARCH("fracture",C473)),"Break",ISNUMBER(SEARCH("bent",C473)),"Material Twisted/Bent",ISNUMBER(SEARCH("twisted",C473)),"Material Twisted/Bent",ISNUMBER(SEARCH("component separat",C473)),"Material Separation",ISNUMBER(SEARCH("separat",C473)),"Material Separation",ISNUMBER(SEARCH("connection",C473)),"Loose or Intermittent Connection",ISNUMBER(SEARCH("loose",C473)),"Loose or Intermittent Connection",ISNUMBER(SEARCH("damaged packaging",C473)),"Packaging Problem",ISNUMBER(SEARCH("packaging",C473)),"Packaging Problem",ISNUMBER(SEARCH("discoloration",C473)),"Contamination",ISNUMBER(SEARCH("tarnish",C473)),"Contamination",ISNUMBER(SEARCH("stain",C473)),"Contamination",ISNUMBER(SEARCH("foreign material",C473)),"Contamination",ISNUMBER(SEARCH("contamina",C473)),"Contamination",ISNUMBER(SEARCH("overheat",C473)),"Overheating of Device",ISNUMBER(SEARCH("excessive heat",C473)),"Overheating of Device",ISNUMBER(SEARCH("hot",C473)),"Overheating of Device",ISNUMBER(SEARCH("noise",C473)),"Noise, Audible",ISNUMBER(SEARCH("sound",C473)),"Noise, Audible",ISNUMBER(SEARCH("loud",C473)),"Noise, Audible",ISNUMBER(SEARCH("fray",C473)),"Material Frayed",ISNUMBER(SEARCH("hole",C473)),"Material Frayed",ISNUMBER(SEARCH("tear",C473)),"Material Frayed",ISNUMBER(SEARCH("worn",C473)),"Material Frayed",ISNUMBER(SEARCH("intermittent",C473)),"Difficult or Delayed Activation",ISNUMBER(SEARCH("delay",C473)),"Difficult or Delayed Activation",ISNUMBER(SEARCH("label",C473)),"Device Markings/Labelling Problem",ISNUMBER(SEARCH("marking",C473)),"Device Markings/Labelling Problem",ISNUMBER(SEARCH("lacerat",C473)),"Defective Device",ISNUMBER(SEARCH("cut",C473)),"Defective Device",ISNUMBER(SEARCH("leak",C473)),"Fluid/Blood Leak",ISNUMBER(SEARCH("missing",C473)),"Component Missing",ISNUMBER(SEARCH("power",C473)),"Complete Loss of Power",ISNUMBER(SEARCH("will not turn on",C473)),"Complete Loss of Power",ISNUMBER(SEARCH("won't turn on",C473)),"Complete Loss of Power",ISNUMBER(SEARCH("does not turn on",C473)),"Complete Loss of Power",ISNUMBER(SEARCH("electrical",C473)),"Electrical Power Problem",ISNUMBER(SEARCH("pressure",C473)),"Detachment of Device or Device Component",ISNUMBER(SEARCH("slip",C473)),"Detachment of Device or Device Component",ISNUMBER(SEARCH("detach",C473)),"Detachment of Device or Device Component",ISNUMBER(SEARCH("stick",C473)),"Mechanical Jam",ISNUMBER(SEARCH("jam",C473)),"Mechanical Jam",ISNUMBER(SEARCH("rigid",C473)),"Mechanical Jam",ISNUMBER(SEARCH("rust",C473)),"Corroded",ISNUMBER(SEARCH("corrod",C473)),"Corroded",ISNUMBER(SEARCH("corrosion",C473)),"Corroded",ISNUMBER(SEARCH("alignment",C473)),"Defective Device",ISNUMBER(SEARCH("adjust",C473)),"Defective Device",ISNUMBER(SEARCH("perform",C473)),"Defective Device",ISNUMBER(SEARCH("malfunction",C473)),"Defective Device",ISNUMBER(SEARCH("defect",C473)),"Defective Device",ISNUMBER(SEARCH("fail",C473)),"Defective Device",ISNUMBER(SEARCH("not work",C473)),"Defective Device",ISNUMBER(SEARCH("doesn't work",C473)),"Defective Device",TRUE,"UNKNOWN"),"UNKNOWN")))</f>
        <v/>
      </c>
      <c r="F473" s="4" t="str">
        <f t="shared" si="7"/>
        <v/>
      </c>
      <c r="G473" s="363" t="str">
        <f>IF(E473="","",IFERROR(VLOOKUP(E473,Codes!$L$2:$N$409,3,FALSE),"—"))</f>
        <v/>
      </c>
      <c r="H473" s="88"/>
      <c r="I473" s="88"/>
    </row>
    <row r="474" spans="1:9" ht="13.15" x14ac:dyDescent="0.35">
      <c r="A474" s="435"/>
      <c r="B474" s="436"/>
      <c r="C474" s="438"/>
      <c r="D474" s="435"/>
      <c r="E474" s="93" t="str" cm="1">
        <f t="array" ref="E474">IF(D474&lt;&gt;"",IFERROR(VLOOKUP(D474,Codes!$K$2:$L$409,2,FALSE),"UNKNOWN - "&amp;D474),IF(C474="","",IFERROR(_xlfn.IFS(ISNUMBER(SEARCH("broken button",C474)),"Break",ISNUMBER(SEARCH("broken handle",C474)),"Break",ISNUMBER(SEARCH("shipping damage",C474)),"Break",ISNUMBER(SEARCH("broken",C474)),"Break",ISNUMBER(SEARCH("crack",C474)),"Break",ISNUMBER(SEARCH("snap",C474)),"Break",ISNUMBER(SEARCH("fracture",C474)),"Break",ISNUMBER(SEARCH("bent",C474)),"Material Twisted/Bent",ISNUMBER(SEARCH("twisted",C474)),"Material Twisted/Bent",ISNUMBER(SEARCH("component separat",C474)),"Material Separation",ISNUMBER(SEARCH("separat",C474)),"Material Separation",ISNUMBER(SEARCH("connection",C474)),"Loose or Intermittent Connection",ISNUMBER(SEARCH("loose",C474)),"Loose or Intermittent Connection",ISNUMBER(SEARCH("damaged packaging",C474)),"Packaging Problem",ISNUMBER(SEARCH("packaging",C474)),"Packaging Problem",ISNUMBER(SEARCH("discoloration",C474)),"Contamination",ISNUMBER(SEARCH("tarnish",C474)),"Contamination",ISNUMBER(SEARCH("stain",C474)),"Contamination",ISNUMBER(SEARCH("foreign material",C474)),"Contamination",ISNUMBER(SEARCH("contamina",C474)),"Contamination",ISNUMBER(SEARCH("overheat",C474)),"Overheating of Device",ISNUMBER(SEARCH("excessive heat",C474)),"Overheating of Device",ISNUMBER(SEARCH("hot",C474)),"Overheating of Device",ISNUMBER(SEARCH("noise",C474)),"Noise, Audible",ISNUMBER(SEARCH("sound",C474)),"Noise, Audible",ISNUMBER(SEARCH("loud",C474)),"Noise, Audible",ISNUMBER(SEARCH("fray",C474)),"Material Frayed",ISNUMBER(SEARCH("hole",C474)),"Material Frayed",ISNUMBER(SEARCH("tear",C474)),"Material Frayed",ISNUMBER(SEARCH("worn",C474)),"Material Frayed",ISNUMBER(SEARCH("intermittent",C474)),"Difficult or Delayed Activation",ISNUMBER(SEARCH("delay",C474)),"Difficult or Delayed Activation",ISNUMBER(SEARCH("label",C474)),"Device Markings/Labelling Problem",ISNUMBER(SEARCH("marking",C474)),"Device Markings/Labelling Problem",ISNUMBER(SEARCH("lacerat",C474)),"Defective Device",ISNUMBER(SEARCH("cut",C474)),"Defective Device",ISNUMBER(SEARCH("leak",C474)),"Fluid/Blood Leak",ISNUMBER(SEARCH("missing",C474)),"Component Missing",ISNUMBER(SEARCH("power",C474)),"Complete Loss of Power",ISNUMBER(SEARCH("will not turn on",C474)),"Complete Loss of Power",ISNUMBER(SEARCH("won't turn on",C474)),"Complete Loss of Power",ISNUMBER(SEARCH("does not turn on",C474)),"Complete Loss of Power",ISNUMBER(SEARCH("electrical",C474)),"Electrical Power Problem",ISNUMBER(SEARCH("pressure",C474)),"Detachment of Device or Device Component",ISNUMBER(SEARCH("slip",C474)),"Detachment of Device or Device Component",ISNUMBER(SEARCH("detach",C474)),"Detachment of Device or Device Component",ISNUMBER(SEARCH("stick",C474)),"Mechanical Jam",ISNUMBER(SEARCH("jam",C474)),"Mechanical Jam",ISNUMBER(SEARCH("rigid",C474)),"Mechanical Jam",ISNUMBER(SEARCH("rust",C474)),"Corroded",ISNUMBER(SEARCH("corrod",C474)),"Corroded",ISNUMBER(SEARCH("corrosion",C474)),"Corroded",ISNUMBER(SEARCH("alignment",C474)),"Defective Device",ISNUMBER(SEARCH("adjust",C474)),"Defective Device",ISNUMBER(SEARCH("perform",C474)),"Defective Device",ISNUMBER(SEARCH("malfunction",C474)),"Defective Device",ISNUMBER(SEARCH("defect",C474)),"Defective Device",ISNUMBER(SEARCH("fail",C474)),"Defective Device",ISNUMBER(SEARCH("not work",C474)),"Defective Device",ISNUMBER(SEARCH("doesn't work",C474)),"Defective Device",TRUE,"UNKNOWN"),"UNKNOWN")))</f>
        <v/>
      </c>
      <c r="F474" s="4" t="str">
        <f t="shared" si="7"/>
        <v/>
      </c>
      <c r="G474" s="363" t="str">
        <f>IF(E474="","",IFERROR(VLOOKUP(E474,Codes!$L$2:$N$409,3,FALSE),"—"))</f>
        <v/>
      </c>
      <c r="H474" s="88"/>
      <c r="I474" s="88"/>
    </row>
    <row r="475" spans="1:9" ht="13.15" x14ac:dyDescent="0.35">
      <c r="A475" s="434"/>
      <c r="B475" s="436"/>
      <c r="C475" s="437"/>
      <c r="D475" s="434"/>
      <c r="E475" s="93" t="str" cm="1">
        <f t="array" ref="E475">IF(D475&lt;&gt;"",IFERROR(VLOOKUP(D475,Codes!$K$2:$L$409,2,FALSE),"UNKNOWN - "&amp;D475),IF(C475="","",IFERROR(_xlfn.IFS(ISNUMBER(SEARCH("broken button",C475)),"Break",ISNUMBER(SEARCH("broken handle",C475)),"Break",ISNUMBER(SEARCH("shipping damage",C475)),"Break",ISNUMBER(SEARCH("broken",C475)),"Break",ISNUMBER(SEARCH("crack",C475)),"Break",ISNUMBER(SEARCH("snap",C475)),"Break",ISNUMBER(SEARCH("fracture",C475)),"Break",ISNUMBER(SEARCH("bent",C475)),"Material Twisted/Bent",ISNUMBER(SEARCH("twisted",C475)),"Material Twisted/Bent",ISNUMBER(SEARCH("component separat",C475)),"Material Separation",ISNUMBER(SEARCH("separat",C475)),"Material Separation",ISNUMBER(SEARCH("connection",C475)),"Loose or Intermittent Connection",ISNUMBER(SEARCH("loose",C475)),"Loose or Intermittent Connection",ISNUMBER(SEARCH("damaged packaging",C475)),"Packaging Problem",ISNUMBER(SEARCH("packaging",C475)),"Packaging Problem",ISNUMBER(SEARCH("discoloration",C475)),"Contamination",ISNUMBER(SEARCH("tarnish",C475)),"Contamination",ISNUMBER(SEARCH("stain",C475)),"Contamination",ISNUMBER(SEARCH("foreign material",C475)),"Contamination",ISNUMBER(SEARCH("contamina",C475)),"Contamination",ISNUMBER(SEARCH("overheat",C475)),"Overheating of Device",ISNUMBER(SEARCH("excessive heat",C475)),"Overheating of Device",ISNUMBER(SEARCH("hot",C475)),"Overheating of Device",ISNUMBER(SEARCH("noise",C475)),"Noise, Audible",ISNUMBER(SEARCH("sound",C475)),"Noise, Audible",ISNUMBER(SEARCH("loud",C475)),"Noise, Audible",ISNUMBER(SEARCH("fray",C475)),"Material Frayed",ISNUMBER(SEARCH("hole",C475)),"Material Frayed",ISNUMBER(SEARCH("tear",C475)),"Material Frayed",ISNUMBER(SEARCH("worn",C475)),"Material Frayed",ISNUMBER(SEARCH("intermittent",C475)),"Difficult or Delayed Activation",ISNUMBER(SEARCH("delay",C475)),"Difficult or Delayed Activation",ISNUMBER(SEARCH("label",C475)),"Device Markings/Labelling Problem",ISNUMBER(SEARCH("marking",C475)),"Device Markings/Labelling Problem",ISNUMBER(SEARCH("lacerat",C475)),"Defective Device",ISNUMBER(SEARCH("cut",C475)),"Defective Device",ISNUMBER(SEARCH("leak",C475)),"Fluid/Blood Leak",ISNUMBER(SEARCH("missing",C475)),"Component Missing",ISNUMBER(SEARCH("power",C475)),"Complete Loss of Power",ISNUMBER(SEARCH("will not turn on",C475)),"Complete Loss of Power",ISNUMBER(SEARCH("won't turn on",C475)),"Complete Loss of Power",ISNUMBER(SEARCH("does not turn on",C475)),"Complete Loss of Power",ISNUMBER(SEARCH("electrical",C475)),"Electrical Power Problem",ISNUMBER(SEARCH("pressure",C475)),"Detachment of Device or Device Component",ISNUMBER(SEARCH("slip",C475)),"Detachment of Device or Device Component",ISNUMBER(SEARCH("detach",C475)),"Detachment of Device or Device Component",ISNUMBER(SEARCH("stick",C475)),"Mechanical Jam",ISNUMBER(SEARCH("jam",C475)),"Mechanical Jam",ISNUMBER(SEARCH("rigid",C475)),"Mechanical Jam",ISNUMBER(SEARCH("rust",C475)),"Corroded",ISNUMBER(SEARCH("corrod",C475)),"Corroded",ISNUMBER(SEARCH("corrosion",C475)),"Corroded",ISNUMBER(SEARCH("alignment",C475)),"Defective Device",ISNUMBER(SEARCH("adjust",C475)),"Defective Device",ISNUMBER(SEARCH("perform",C475)),"Defective Device",ISNUMBER(SEARCH("malfunction",C475)),"Defective Device",ISNUMBER(SEARCH("defect",C475)),"Defective Device",ISNUMBER(SEARCH("fail",C475)),"Defective Device",ISNUMBER(SEARCH("not work",C475)),"Defective Device",ISNUMBER(SEARCH("doesn't work",C475)),"Defective Device",TRUE,"UNKNOWN"),"UNKNOWN")))</f>
        <v/>
      </c>
      <c r="F475" s="4" t="str">
        <f t="shared" si="7"/>
        <v/>
      </c>
      <c r="G475" s="363" t="str">
        <f>IF(E475="","",IFERROR(VLOOKUP(E475,Codes!$L$2:$N$409,3,FALSE),"—"))</f>
        <v/>
      </c>
      <c r="H475" s="88"/>
      <c r="I475" s="88"/>
    </row>
    <row r="476" spans="1:9" ht="13.15" x14ac:dyDescent="0.35">
      <c r="A476" s="435"/>
      <c r="B476" s="436"/>
      <c r="C476" s="438"/>
      <c r="D476" s="435"/>
      <c r="E476" s="93" t="str" cm="1">
        <f t="array" ref="E476">IF(D476&lt;&gt;"",IFERROR(VLOOKUP(D476,Codes!$K$2:$L$409,2,FALSE),"UNKNOWN - "&amp;D476),IF(C476="","",IFERROR(_xlfn.IFS(ISNUMBER(SEARCH("broken button",C476)),"Break",ISNUMBER(SEARCH("broken handle",C476)),"Break",ISNUMBER(SEARCH("shipping damage",C476)),"Break",ISNUMBER(SEARCH("broken",C476)),"Break",ISNUMBER(SEARCH("crack",C476)),"Break",ISNUMBER(SEARCH("snap",C476)),"Break",ISNUMBER(SEARCH("fracture",C476)),"Break",ISNUMBER(SEARCH("bent",C476)),"Material Twisted/Bent",ISNUMBER(SEARCH("twisted",C476)),"Material Twisted/Bent",ISNUMBER(SEARCH("component separat",C476)),"Material Separation",ISNUMBER(SEARCH("separat",C476)),"Material Separation",ISNUMBER(SEARCH("connection",C476)),"Loose or Intermittent Connection",ISNUMBER(SEARCH("loose",C476)),"Loose or Intermittent Connection",ISNUMBER(SEARCH("damaged packaging",C476)),"Packaging Problem",ISNUMBER(SEARCH("packaging",C476)),"Packaging Problem",ISNUMBER(SEARCH("discoloration",C476)),"Contamination",ISNUMBER(SEARCH("tarnish",C476)),"Contamination",ISNUMBER(SEARCH("stain",C476)),"Contamination",ISNUMBER(SEARCH("foreign material",C476)),"Contamination",ISNUMBER(SEARCH("contamina",C476)),"Contamination",ISNUMBER(SEARCH("overheat",C476)),"Overheating of Device",ISNUMBER(SEARCH("excessive heat",C476)),"Overheating of Device",ISNUMBER(SEARCH("hot",C476)),"Overheating of Device",ISNUMBER(SEARCH("noise",C476)),"Noise, Audible",ISNUMBER(SEARCH("sound",C476)),"Noise, Audible",ISNUMBER(SEARCH("loud",C476)),"Noise, Audible",ISNUMBER(SEARCH("fray",C476)),"Material Frayed",ISNUMBER(SEARCH("hole",C476)),"Material Frayed",ISNUMBER(SEARCH("tear",C476)),"Material Frayed",ISNUMBER(SEARCH("worn",C476)),"Material Frayed",ISNUMBER(SEARCH("intermittent",C476)),"Difficult or Delayed Activation",ISNUMBER(SEARCH("delay",C476)),"Difficult or Delayed Activation",ISNUMBER(SEARCH("label",C476)),"Device Markings/Labelling Problem",ISNUMBER(SEARCH("marking",C476)),"Device Markings/Labelling Problem",ISNUMBER(SEARCH("lacerat",C476)),"Defective Device",ISNUMBER(SEARCH("cut",C476)),"Defective Device",ISNUMBER(SEARCH("leak",C476)),"Fluid/Blood Leak",ISNUMBER(SEARCH("missing",C476)),"Component Missing",ISNUMBER(SEARCH("power",C476)),"Complete Loss of Power",ISNUMBER(SEARCH("will not turn on",C476)),"Complete Loss of Power",ISNUMBER(SEARCH("won't turn on",C476)),"Complete Loss of Power",ISNUMBER(SEARCH("does not turn on",C476)),"Complete Loss of Power",ISNUMBER(SEARCH("electrical",C476)),"Electrical Power Problem",ISNUMBER(SEARCH("pressure",C476)),"Detachment of Device or Device Component",ISNUMBER(SEARCH("slip",C476)),"Detachment of Device or Device Component",ISNUMBER(SEARCH("detach",C476)),"Detachment of Device or Device Component",ISNUMBER(SEARCH("stick",C476)),"Mechanical Jam",ISNUMBER(SEARCH("jam",C476)),"Mechanical Jam",ISNUMBER(SEARCH("rigid",C476)),"Mechanical Jam",ISNUMBER(SEARCH("rust",C476)),"Corroded",ISNUMBER(SEARCH("corrod",C476)),"Corroded",ISNUMBER(SEARCH("corrosion",C476)),"Corroded",ISNUMBER(SEARCH("alignment",C476)),"Defective Device",ISNUMBER(SEARCH("adjust",C476)),"Defective Device",ISNUMBER(SEARCH("perform",C476)),"Defective Device",ISNUMBER(SEARCH("malfunction",C476)),"Defective Device",ISNUMBER(SEARCH("defect",C476)),"Defective Device",ISNUMBER(SEARCH("fail",C476)),"Defective Device",ISNUMBER(SEARCH("not work",C476)),"Defective Device",ISNUMBER(SEARCH("doesn't work",C476)),"Defective Device",TRUE,"UNKNOWN"),"UNKNOWN")))</f>
        <v/>
      </c>
      <c r="F476" s="4" t="str">
        <f t="shared" si="7"/>
        <v/>
      </c>
      <c r="G476" s="363" t="str">
        <f>IF(E476="","",IFERROR(VLOOKUP(E476,Codes!$L$2:$N$409,3,FALSE),"—"))</f>
        <v/>
      </c>
      <c r="H476" s="88"/>
      <c r="I476" s="88"/>
    </row>
    <row r="477" spans="1:9" ht="13.15" x14ac:dyDescent="0.35">
      <c r="A477" s="434"/>
      <c r="B477" s="436"/>
      <c r="C477" s="434"/>
      <c r="D477" s="434"/>
      <c r="E477" s="93" t="str" cm="1">
        <f t="array" ref="E477">IF(D477&lt;&gt;"",IFERROR(VLOOKUP(D477,Codes!$K$2:$L$409,2,FALSE),"UNKNOWN - "&amp;D477),IF(C477="","",IFERROR(_xlfn.IFS(ISNUMBER(SEARCH("broken button",C477)),"Break",ISNUMBER(SEARCH("broken handle",C477)),"Break",ISNUMBER(SEARCH("shipping damage",C477)),"Break",ISNUMBER(SEARCH("broken",C477)),"Break",ISNUMBER(SEARCH("crack",C477)),"Break",ISNUMBER(SEARCH("snap",C477)),"Break",ISNUMBER(SEARCH("fracture",C477)),"Break",ISNUMBER(SEARCH("bent",C477)),"Material Twisted/Bent",ISNUMBER(SEARCH("twisted",C477)),"Material Twisted/Bent",ISNUMBER(SEARCH("component separat",C477)),"Material Separation",ISNUMBER(SEARCH("separat",C477)),"Material Separation",ISNUMBER(SEARCH("connection",C477)),"Loose or Intermittent Connection",ISNUMBER(SEARCH("loose",C477)),"Loose or Intermittent Connection",ISNUMBER(SEARCH("damaged packaging",C477)),"Packaging Problem",ISNUMBER(SEARCH("packaging",C477)),"Packaging Problem",ISNUMBER(SEARCH("discoloration",C477)),"Contamination",ISNUMBER(SEARCH("tarnish",C477)),"Contamination",ISNUMBER(SEARCH("stain",C477)),"Contamination",ISNUMBER(SEARCH("foreign material",C477)),"Contamination",ISNUMBER(SEARCH("contamina",C477)),"Contamination",ISNUMBER(SEARCH("overheat",C477)),"Overheating of Device",ISNUMBER(SEARCH("excessive heat",C477)),"Overheating of Device",ISNUMBER(SEARCH("hot",C477)),"Overheating of Device",ISNUMBER(SEARCH("noise",C477)),"Noise, Audible",ISNUMBER(SEARCH("sound",C477)),"Noise, Audible",ISNUMBER(SEARCH("loud",C477)),"Noise, Audible",ISNUMBER(SEARCH("fray",C477)),"Material Frayed",ISNUMBER(SEARCH("hole",C477)),"Material Frayed",ISNUMBER(SEARCH("tear",C477)),"Material Frayed",ISNUMBER(SEARCH("worn",C477)),"Material Frayed",ISNUMBER(SEARCH("intermittent",C477)),"Difficult or Delayed Activation",ISNUMBER(SEARCH("delay",C477)),"Difficult or Delayed Activation",ISNUMBER(SEARCH("label",C477)),"Device Markings/Labelling Problem",ISNUMBER(SEARCH("marking",C477)),"Device Markings/Labelling Problem",ISNUMBER(SEARCH("lacerat",C477)),"Defective Device",ISNUMBER(SEARCH("cut",C477)),"Defective Device",ISNUMBER(SEARCH("leak",C477)),"Fluid/Blood Leak",ISNUMBER(SEARCH("missing",C477)),"Component Missing",ISNUMBER(SEARCH("power",C477)),"Complete Loss of Power",ISNUMBER(SEARCH("will not turn on",C477)),"Complete Loss of Power",ISNUMBER(SEARCH("won't turn on",C477)),"Complete Loss of Power",ISNUMBER(SEARCH("does not turn on",C477)),"Complete Loss of Power",ISNUMBER(SEARCH("electrical",C477)),"Electrical Power Problem",ISNUMBER(SEARCH("pressure",C477)),"Detachment of Device or Device Component",ISNUMBER(SEARCH("slip",C477)),"Detachment of Device or Device Component",ISNUMBER(SEARCH("detach",C477)),"Detachment of Device or Device Component",ISNUMBER(SEARCH("stick",C477)),"Mechanical Jam",ISNUMBER(SEARCH("jam",C477)),"Mechanical Jam",ISNUMBER(SEARCH("rigid",C477)),"Mechanical Jam",ISNUMBER(SEARCH("rust",C477)),"Corroded",ISNUMBER(SEARCH("corrod",C477)),"Corroded",ISNUMBER(SEARCH("corrosion",C477)),"Corroded",ISNUMBER(SEARCH("alignment",C477)),"Defective Device",ISNUMBER(SEARCH("adjust",C477)),"Defective Device",ISNUMBER(SEARCH("perform",C477)),"Defective Device",ISNUMBER(SEARCH("malfunction",C477)),"Defective Device",ISNUMBER(SEARCH("defect",C477)),"Defective Device",ISNUMBER(SEARCH("fail",C477)),"Defective Device",ISNUMBER(SEARCH("not work",C477)),"Defective Device",ISNUMBER(SEARCH("doesn't work",C477)),"Defective Device",TRUE,"UNKNOWN"),"UNKNOWN")))</f>
        <v/>
      </c>
      <c r="F477" s="4" t="str">
        <f t="shared" si="7"/>
        <v/>
      </c>
      <c r="G477" s="363" t="str">
        <f>IF(E477="","",IFERROR(VLOOKUP(E477,Codes!$L$2:$N$409,3,FALSE),"—"))</f>
        <v/>
      </c>
      <c r="H477" s="88"/>
      <c r="I477" s="88"/>
    </row>
    <row r="478" spans="1:9" ht="13.15" x14ac:dyDescent="0.35">
      <c r="A478" s="434"/>
      <c r="B478" s="436"/>
      <c r="C478" s="437"/>
      <c r="D478" s="434"/>
      <c r="E478" s="93" t="str" cm="1">
        <f t="array" ref="E478">IF(D478&lt;&gt;"",IFERROR(VLOOKUP(D478,Codes!$K$2:$L$409,2,FALSE),"UNKNOWN - "&amp;D478),IF(C478="","",IFERROR(_xlfn.IFS(ISNUMBER(SEARCH("broken button",C478)),"Break",ISNUMBER(SEARCH("broken handle",C478)),"Break",ISNUMBER(SEARCH("shipping damage",C478)),"Break",ISNUMBER(SEARCH("broken",C478)),"Break",ISNUMBER(SEARCH("crack",C478)),"Break",ISNUMBER(SEARCH("snap",C478)),"Break",ISNUMBER(SEARCH("fracture",C478)),"Break",ISNUMBER(SEARCH("bent",C478)),"Material Twisted/Bent",ISNUMBER(SEARCH("twisted",C478)),"Material Twisted/Bent",ISNUMBER(SEARCH("component separat",C478)),"Material Separation",ISNUMBER(SEARCH("separat",C478)),"Material Separation",ISNUMBER(SEARCH("connection",C478)),"Loose or Intermittent Connection",ISNUMBER(SEARCH("loose",C478)),"Loose or Intermittent Connection",ISNUMBER(SEARCH("damaged packaging",C478)),"Packaging Problem",ISNUMBER(SEARCH("packaging",C478)),"Packaging Problem",ISNUMBER(SEARCH("discoloration",C478)),"Contamination",ISNUMBER(SEARCH("tarnish",C478)),"Contamination",ISNUMBER(SEARCH("stain",C478)),"Contamination",ISNUMBER(SEARCH("foreign material",C478)),"Contamination",ISNUMBER(SEARCH("contamina",C478)),"Contamination",ISNUMBER(SEARCH("overheat",C478)),"Overheating of Device",ISNUMBER(SEARCH("excessive heat",C478)),"Overheating of Device",ISNUMBER(SEARCH("hot",C478)),"Overheating of Device",ISNUMBER(SEARCH("noise",C478)),"Noise, Audible",ISNUMBER(SEARCH("sound",C478)),"Noise, Audible",ISNUMBER(SEARCH("loud",C478)),"Noise, Audible",ISNUMBER(SEARCH("fray",C478)),"Material Frayed",ISNUMBER(SEARCH("hole",C478)),"Material Frayed",ISNUMBER(SEARCH("tear",C478)),"Material Frayed",ISNUMBER(SEARCH("worn",C478)),"Material Frayed",ISNUMBER(SEARCH("intermittent",C478)),"Difficult or Delayed Activation",ISNUMBER(SEARCH("delay",C478)),"Difficult or Delayed Activation",ISNUMBER(SEARCH("label",C478)),"Device Markings/Labelling Problem",ISNUMBER(SEARCH("marking",C478)),"Device Markings/Labelling Problem",ISNUMBER(SEARCH("lacerat",C478)),"Defective Device",ISNUMBER(SEARCH("cut",C478)),"Defective Device",ISNUMBER(SEARCH("leak",C478)),"Fluid/Blood Leak",ISNUMBER(SEARCH("missing",C478)),"Component Missing",ISNUMBER(SEARCH("power",C478)),"Complete Loss of Power",ISNUMBER(SEARCH("will not turn on",C478)),"Complete Loss of Power",ISNUMBER(SEARCH("won't turn on",C478)),"Complete Loss of Power",ISNUMBER(SEARCH("does not turn on",C478)),"Complete Loss of Power",ISNUMBER(SEARCH("electrical",C478)),"Electrical Power Problem",ISNUMBER(SEARCH("pressure",C478)),"Detachment of Device or Device Component",ISNUMBER(SEARCH("slip",C478)),"Detachment of Device or Device Component",ISNUMBER(SEARCH("detach",C478)),"Detachment of Device or Device Component",ISNUMBER(SEARCH("stick",C478)),"Mechanical Jam",ISNUMBER(SEARCH("jam",C478)),"Mechanical Jam",ISNUMBER(SEARCH("rigid",C478)),"Mechanical Jam",ISNUMBER(SEARCH("rust",C478)),"Corroded",ISNUMBER(SEARCH("corrod",C478)),"Corroded",ISNUMBER(SEARCH("corrosion",C478)),"Corroded",ISNUMBER(SEARCH("alignment",C478)),"Defective Device",ISNUMBER(SEARCH("adjust",C478)),"Defective Device",ISNUMBER(SEARCH("perform",C478)),"Defective Device",ISNUMBER(SEARCH("malfunction",C478)),"Defective Device",ISNUMBER(SEARCH("defect",C478)),"Defective Device",ISNUMBER(SEARCH("fail",C478)),"Defective Device",ISNUMBER(SEARCH("not work",C478)),"Defective Device",ISNUMBER(SEARCH("doesn't work",C478)),"Defective Device",TRUE,"UNKNOWN"),"UNKNOWN")))</f>
        <v/>
      </c>
      <c r="F478" s="4" t="str">
        <f t="shared" si="7"/>
        <v/>
      </c>
      <c r="G478" s="363" t="str">
        <f>IF(E478="","",IFERROR(VLOOKUP(E478,Codes!$L$2:$N$409,3,FALSE),"—"))</f>
        <v/>
      </c>
      <c r="H478" s="88"/>
      <c r="I478" s="88"/>
    </row>
    <row r="479" spans="1:9" ht="13.15" x14ac:dyDescent="0.35">
      <c r="A479" s="435"/>
      <c r="B479" s="436"/>
      <c r="C479" s="438"/>
      <c r="D479" s="435"/>
      <c r="E479" s="93" t="str" cm="1">
        <f t="array" ref="E479">IF(D479&lt;&gt;"",IFERROR(VLOOKUP(D479,Codes!$K$2:$L$409,2,FALSE),"UNKNOWN - "&amp;D479),IF(C479="","",IFERROR(_xlfn.IFS(ISNUMBER(SEARCH("broken button",C479)),"Break",ISNUMBER(SEARCH("broken handle",C479)),"Break",ISNUMBER(SEARCH("shipping damage",C479)),"Break",ISNUMBER(SEARCH("broken",C479)),"Break",ISNUMBER(SEARCH("crack",C479)),"Break",ISNUMBER(SEARCH("snap",C479)),"Break",ISNUMBER(SEARCH("fracture",C479)),"Break",ISNUMBER(SEARCH("bent",C479)),"Material Twisted/Bent",ISNUMBER(SEARCH("twisted",C479)),"Material Twisted/Bent",ISNUMBER(SEARCH("component separat",C479)),"Material Separation",ISNUMBER(SEARCH("separat",C479)),"Material Separation",ISNUMBER(SEARCH("connection",C479)),"Loose or Intermittent Connection",ISNUMBER(SEARCH("loose",C479)),"Loose or Intermittent Connection",ISNUMBER(SEARCH("damaged packaging",C479)),"Packaging Problem",ISNUMBER(SEARCH("packaging",C479)),"Packaging Problem",ISNUMBER(SEARCH("discoloration",C479)),"Contamination",ISNUMBER(SEARCH("tarnish",C479)),"Contamination",ISNUMBER(SEARCH("stain",C479)),"Contamination",ISNUMBER(SEARCH("foreign material",C479)),"Contamination",ISNUMBER(SEARCH("contamina",C479)),"Contamination",ISNUMBER(SEARCH("overheat",C479)),"Overheating of Device",ISNUMBER(SEARCH("excessive heat",C479)),"Overheating of Device",ISNUMBER(SEARCH("hot",C479)),"Overheating of Device",ISNUMBER(SEARCH("noise",C479)),"Noise, Audible",ISNUMBER(SEARCH("sound",C479)),"Noise, Audible",ISNUMBER(SEARCH("loud",C479)),"Noise, Audible",ISNUMBER(SEARCH("fray",C479)),"Material Frayed",ISNUMBER(SEARCH("hole",C479)),"Material Frayed",ISNUMBER(SEARCH("tear",C479)),"Material Frayed",ISNUMBER(SEARCH("worn",C479)),"Material Frayed",ISNUMBER(SEARCH("intermittent",C479)),"Difficult or Delayed Activation",ISNUMBER(SEARCH("delay",C479)),"Difficult or Delayed Activation",ISNUMBER(SEARCH("label",C479)),"Device Markings/Labelling Problem",ISNUMBER(SEARCH("marking",C479)),"Device Markings/Labelling Problem",ISNUMBER(SEARCH("lacerat",C479)),"Defective Device",ISNUMBER(SEARCH("cut",C479)),"Defective Device",ISNUMBER(SEARCH("leak",C479)),"Fluid/Blood Leak",ISNUMBER(SEARCH("missing",C479)),"Component Missing",ISNUMBER(SEARCH("power",C479)),"Complete Loss of Power",ISNUMBER(SEARCH("will not turn on",C479)),"Complete Loss of Power",ISNUMBER(SEARCH("won't turn on",C479)),"Complete Loss of Power",ISNUMBER(SEARCH("does not turn on",C479)),"Complete Loss of Power",ISNUMBER(SEARCH("electrical",C479)),"Electrical Power Problem",ISNUMBER(SEARCH("pressure",C479)),"Detachment of Device or Device Component",ISNUMBER(SEARCH("slip",C479)),"Detachment of Device or Device Component",ISNUMBER(SEARCH("detach",C479)),"Detachment of Device or Device Component",ISNUMBER(SEARCH("stick",C479)),"Mechanical Jam",ISNUMBER(SEARCH("jam",C479)),"Mechanical Jam",ISNUMBER(SEARCH("rigid",C479)),"Mechanical Jam",ISNUMBER(SEARCH("rust",C479)),"Corroded",ISNUMBER(SEARCH("corrod",C479)),"Corroded",ISNUMBER(SEARCH("corrosion",C479)),"Corroded",ISNUMBER(SEARCH("alignment",C479)),"Defective Device",ISNUMBER(SEARCH("adjust",C479)),"Defective Device",ISNUMBER(SEARCH("perform",C479)),"Defective Device",ISNUMBER(SEARCH("malfunction",C479)),"Defective Device",ISNUMBER(SEARCH("defect",C479)),"Defective Device",ISNUMBER(SEARCH("fail",C479)),"Defective Device",ISNUMBER(SEARCH("not work",C479)),"Defective Device",ISNUMBER(SEARCH("doesn't work",C479)),"Defective Device",TRUE,"UNKNOWN"),"UNKNOWN")))</f>
        <v/>
      </c>
      <c r="F479" s="4" t="str">
        <f t="shared" si="7"/>
        <v/>
      </c>
      <c r="G479" s="363" t="str">
        <f>IF(E479="","",IFERROR(VLOOKUP(E479,Codes!$L$2:$N$409,3,FALSE),"—"))</f>
        <v/>
      </c>
      <c r="H479" s="88"/>
      <c r="I479" s="88"/>
    </row>
    <row r="480" spans="1:9" ht="13.15" x14ac:dyDescent="0.35">
      <c r="A480" s="435"/>
      <c r="B480" s="436"/>
      <c r="C480" s="438"/>
      <c r="D480" s="435"/>
      <c r="E480" s="93" t="str" cm="1">
        <f t="array" ref="E480">IF(D480&lt;&gt;"",IFERROR(VLOOKUP(D480,Codes!$K$2:$L$409,2,FALSE),"UNKNOWN - "&amp;D480),IF(C480="","",IFERROR(_xlfn.IFS(ISNUMBER(SEARCH("broken button",C480)),"Break",ISNUMBER(SEARCH("broken handle",C480)),"Break",ISNUMBER(SEARCH("shipping damage",C480)),"Break",ISNUMBER(SEARCH("broken",C480)),"Break",ISNUMBER(SEARCH("crack",C480)),"Break",ISNUMBER(SEARCH("snap",C480)),"Break",ISNUMBER(SEARCH("fracture",C480)),"Break",ISNUMBER(SEARCH("bent",C480)),"Material Twisted/Bent",ISNUMBER(SEARCH("twisted",C480)),"Material Twisted/Bent",ISNUMBER(SEARCH("component separat",C480)),"Material Separation",ISNUMBER(SEARCH("separat",C480)),"Material Separation",ISNUMBER(SEARCH("connection",C480)),"Loose or Intermittent Connection",ISNUMBER(SEARCH("loose",C480)),"Loose or Intermittent Connection",ISNUMBER(SEARCH("damaged packaging",C480)),"Packaging Problem",ISNUMBER(SEARCH("packaging",C480)),"Packaging Problem",ISNUMBER(SEARCH("discoloration",C480)),"Contamination",ISNUMBER(SEARCH("tarnish",C480)),"Contamination",ISNUMBER(SEARCH("stain",C480)),"Contamination",ISNUMBER(SEARCH("foreign material",C480)),"Contamination",ISNUMBER(SEARCH("contamina",C480)),"Contamination",ISNUMBER(SEARCH("overheat",C480)),"Overheating of Device",ISNUMBER(SEARCH("excessive heat",C480)),"Overheating of Device",ISNUMBER(SEARCH("hot",C480)),"Overheating of Device",ISNUMBER(SEARCH("noise",C480)),"Noise, Audible",ISNUMBER(SEARCH("sound",C480)),"Noise, Audible",ISNUMBER(SEARCH("loud",C480)),"Noise, Audible",ISNUMBER(SEARCH("fray",C480)),"Material Frayed",ISNUMBER(SEARCH("hole",C480)),"Material Frayed",ISNUMBER(SEARCH("tear",C480)),"Material Frayed",ISNUMBER(SEARCH("worn",C480)),"Material Frayed",ISNUMBER(SEARCH("intermittent",C480)),"Difficult or Delayed Activation",ISNUMBER(SEARCH("delay",C480)),"Difficult or Delayed Activation",ISNUMBER(SEARCH("label",C480)),"Device Markings/Labelling Problem",ISNUMBER(SEARCH("marking",C480)),"Device Markings/Labelling Problem",ISNUMBER(SEARCH("lacerat",C480)),"Defective Device",ISNUMBER(SEARCH("cut",C480)),"Defective Device",ISNUMBER(SEARCH("leak",C480)),"Fluid/Blood Leak",ISNUMBER(SEARCH("missing",C480)),"Component Missing",ISNUMBER(SEARCH("power",C480)),"Complete Loss of Power",ISNUMBER(SEARCH("will not turn on",C480)),"Complete Loss of Power",ISNUMBER(SEARCH("won't turn on",C480)),"Complete Loss of Power",ISNUMBER(SEARCH("does not turn on",C480)),"Complete Loss of Power",ISNUMBER(SEARCH("electrical",C480)),"Electrical Power Problem",ISNUMBER(SEARCH("pressure",C480)),"Detachment of Device or Device Component",ISNUMBER(SEARCH("slip",C480)),"Detachment of Device or Device Component",ISNUMBER(SEARCH("detach",C480)),"Detachment of Device or Device Component",ISNUMBER(SEARCH("stick",C480)),"Mechanical Jam",ISNUMBER(SEARCH("jam",C480)),"Mechanical Jam",ISNUMBER(SEARCH("rigid",C480)),"Mechanical Jam",ISNUMBER(SEARCH("rust",C480)),"Corroded",ISNUMBER(SEARCH("corrod",C480)),"Corroded",ISNUMBER(SEARCH("corrosion",C480)),"Corroded",ISNUMBER(SEARCH("alignment",C480)),"Defective Device",ISNUMBER(SEARCH("adjust",C480)),"Defective Device",ISNUMBER(SEARCH("perform",C480)),"Defective Device",ISNUMBER(SEARCH("malfunction",C480)),"Defective Device",ISNUMBER(SEARCH("defect",C480)),"Defective Device",ISNUMBER(SEARCH("fail",C480)),"Defective Device",ISNUMBER(SEARCH("not work",C480)),"Defective Device",ISNUMBER(SEARCH("doesn't work",C480)),"Defective Device",TRUE,"UNKNOWN"),"UNKNOWN")))</f>
        <v/>
      </c>
      <c r="F480" s="4" t="str">
        <f t="shared" si="7"/>
        <v/>
      </c>
      <c r="G480" s="363" t="str">
        <f>IF(E480="","",IFERROR(VLOOKUP(E480,Codes!$L$2:$N$409,3,FALSE),"—"))</f>
        <v/>
      </c>
      <c r="H480" s="88"/>
      <c r="I480" s="88"/>
    </row>
    <row r="481" spans="1:9" ht="13.15" x14ac:dyDescent="0.35">
      <c r="A481" s="434"/>
      <c r="B481" s="436"/>
      <c r="C481" s="437"/>
      <c r="D481" s="434"/>
      <c r="E481" s="93" t="str" cm="1">
        <f t="array" ref="E481">IF(D481&lt;&gt;"",IFERROR(VLOOKUP(D481,Codes!$K$2:$L$409,2,FALSE),"UNKNOWN - "&amp;D481),IF(C481="","",IFERROR(_xlfn.IFS(ISNUMBER(SEARCH("broken button",C481)),"Break",ISNUMBER(SEARCH("broken handle",C481)),"Break",ISNUMBER(SEARCH("shipping damage",C481)),"Break",ISNUMBER(SEARCH("broken",C481)),"Break",ISNUMBER(SEARCH("crack",C481)),"Break",ISNUMBER(SEARCH("snap",C481)),"Break",ISNUMBER(SEARCH("fracture",C481)),"Break",ISNUMBER(SEARCH("bent",C481)),"Material Twisted/Bent",ISNUMBER(SEARCH("twisted",C481)),"Material Twisted/Bent",ISNUMBER(SEARCH("component separat",C481)),"Material Separation",ISNUMBER(SEARCH("separat",C481)),"Material Separation",ISNUMBER(SEARCH("connection",C481)),"Loose or Intermittent Connection",ISNUMBER(SEARCH("loose",C481)),"Loose or Intermittent Connection",ISNUMBER(SEARCH("damaged packaging",C481)),"Packaging Problem",ISNUMBER(SEARCH("packaging",C481)),"Packaging Problem",ISNUMBER(SEARCH("discoloration",C481)),"Contamination",ISNUMBER(SEARCH("tarnish",C481)),"Contamination",ISNUMBER(SEARCH("stain",C481)),"Contamination",ISNUMBER(SEARCH("foreign material",C481)),"Contamination",ISNUMBER(SEARCH("contamina",C481)),"Contamination",ISNUMBER(SEARCH("overheat",C481)),"Overheating of Device",ISNUMBER(SEARCH("excessive heat",C481)),"Overheating of Device",ISNUMBER(SEARCH("hot",C481)),"Overheating of Device",ISNUMBER(SEARCH("noise",C481)),"Noise, Audible",ISNUMBER(SEARCH("sound",C481)),"Noise, Audible",ISNUMBER(SEARCH("loud",C481)),"Noise, Audible",ISNUMBER(SEARCH("fray",C481)),"Material Frayed",ISNUMBER(SEARCH("hole",C481)),"Material Frayed",ISNUMBER(SEARCH("tear",C481)),"Material Frayed",ISNUMBER(SEARCH("worn",C481)),"Material Frayed",ISNUMBER(SEARCH("intermittent",C481)),"Difficult or Delayed Activation",ISNUMBER(SEARCH("delay",C481)),"Difficult or Delayed Activation",ISNUMBER(SEARCH("label",C481)),"Device Markings/Labelling Problem",ISNUMBER(SEARCH("marking",C481)),"Device Markings/Labelling Problem",ISNUMBER(SEARCH("lacerat",C481)),"Defective Device",ISNUMBER(SEARCH("cut",C481)),"Defective Device",ISNUMBER(SEARCH("leak",C481)),"Fluid/Blood Leak",ISNUMBER(SEARCH("missing",C481)),"Component Missing",ISNUMBER(SEARCH("power",C481)),"Complete Loss of Power",ISNUMBER(SEARCH("will not turn on",C481)),"Complete Loss of Power",ISNUMBER(SEARCH("won't turn on",C481)),"Complete Loss of Power",ISNUMBER(SEARCH("does not turn on",C481)),"Complete Loss of Power",ISNUMBER(SEARCH("electrical",C481)),"Electrical Power Problem",ISNUMBER(SEARCH("pressure",C481)),"Detachment of Device or Device Component",ISNUMBER(SEARCH("slip",C481)),"Detachment of Device or Device Component",ISNUMBER(SEARCH("detach",C481)),"Detachment of Device or Device Component",ISNUMBER(SEARCH("stick",C481)),"Mechanical Jam",ISNUMBER(SEARCH("jam",C481)),"Mechanical Jam",ISNUMBER(SEARCH("rigid",C481)),"Mechanical Jam",ISNUMBER(SEARCH("rust",C481)),"Corroded",ISNUMBER(SEARCH("corrod",C481)),"Corroded",ISNUMBER(SEARCH("corrosion",C481)),"Corroded",ISNUMBER(SEARCH("alignment",C481)),"Defective Device",ISNUMBER(SEARCH("adjust",C481)),"Defective Device",ISNUMBER(SEARCH("perform",C481)),"Defective Device",ISNUMBER(SEARCH("malfunction",C481)),"Defective Device",ISNUMBER(SEARCH("defect",C481)),"Defective Device",ISNUMBER(SEARCH("fail",C481)),"Defective Device",ISNUMBER(SEARCH("not work",C481)),"Defective Device",ISNUMBER(SEARCH("doesn't work",C481)),"Defective Device",TRUE,"UNKNOWN"),"UNKNOWN")))</f>
        <v/>
      </c>
      <c r="F481" s="4" t="str">
        <f t="shared" si="7"/>
        <v/>
      </c>
      <c r="G481" s="363" t="str">
        <f>IF(E481="","",IFERROR(VLOOKUP(E481,Codes!$L$2:$N$409,3,FALSE),"—"))</f>
        <v/>
      </c>
      <c r="H481" s="88"/>
      <c r="I481" s="88"/>
    </row>
    <row r="482" spans="1:9" ht="13.15" x14ac:dyDescent="0.35">
      <c r="A482" s="435"/>
      <c r="B482" s="436"/>
      <c r="C482" s="438"/>
      <c r="D482" s="435"/>
      <c r="E482" s="93" t="str" cm="1">
        <f t="array" ref="E482">IF(D482&lt;&gt;"",IFERROR(VLOOKUP(D482,Codes!$K$2:$L$409,2,FALSE),"UNKNOWN - "&amp;D482),IF(C482="","",IFERROR(_xlfn.IFS(ISNUMBER(SEARCH("broken button",C482)),"Break",ISNUMBER(SEARCH("broken handle",C482)),"Break",ISNUMBER(SEARCH("shipping damage",C482)),"Break",ISNUMBER(SEARCH("broken",C482)),"Break",ISNUMBER(SEARCH("crack",C482)),"Break",ISNUMBER(SEARCH("snap",C482)),"Break",ISNUMBER(SEARCH("fracture",C482)),"Break",ISNUMBER(SEARCH("bent",C482)),"Material Twisted/Bent",ISNUMBER(SEARCH("twisted",C482)),"Material Twisted/Bent",ISNUMBER(SEARCH("component separat",C482)),"Material Separation",ISNUMBER(SEARCH("separat",C482)),"Material Separation",ISNUMBER(SEARCH("connection",C482)),"Loose or Intermittent Connection",ISNUMBER(SEARCH("loose",C482)),"Loose or Intermittent Connection",ISNUMBER(SEARCH("damaged packaging",C482)),"Packaging Problem",ISNUMBER(SEARCH("packaging",C482)),"Packaging Problem",ISNUMBER(SEARCH("discoloration",C482)),"Contamination",ISNUMBER(SEARCH("tarnish",C482)),"Contamination",ISNUMBER(SEARCH("stain",C482)),"Contamination",ISNUMBER(SEARCH("foreign material",C482)),"Contamination",ISNUMBER(SEARCH("contamina",C482)),"Contamination",ISNUMBER(SEARCH("overheat",C482)),"Overheating of Device",ISNUMBER(SEARCH("excessive heat",C482)),"Overheating of Device",ISNUMBER(SEARCH("hot",C482)),"Overheating of Device",ISNUMBER(SEARCH("noise",C482)),"Noise, Audible",ISNUMBER(SEARCH("sound",C482)),"Noise, Audible",ISNUMBER(SEARCH("loud",C482)),"Noise, Audible",ISNUMBER(SEARCH("fray",C482)),"Material Frayed",ISNUMBER(SEARCH("hole",C482)),"Material Frayed",ISNUMBER(SEARCH("tear",C482)),"Material Frayed",ISNUMBER(SEARCH("worn",C482)),"Material Frayed",ISNUMBER(SEARCH("intermittent",C482)),"Difficult or Delayed Activation",ISNUMBER(SEARCH("delay",C482)),"Difficult or Delayed Activation",ISNUMBER(SEARCH("label",C482)),"Device Markings/Labelling Problem",ISNUMBER(SEARCH("marking",C482)),"Device Markings/Labelling Problem",ISNUMBER(SEARCH("lacerat",C482)),"Defective Device",ISNUMBER(SEARCH("cut",C482)),"Defective Device",ISNUMBER(SEARCH("leak",C482)),"Fluid/Blood Leak",ISNUMBER(SEARCH("missing",C482)),"Component Missing",ISNUMBER(SEARCH("power",C482)),"Complete Loss of Power",ISNUMBER(SEARCH("will not turn on",C482)),"Complete Loss of Power",ISNUMBER(SEARCH("won't turn on",C482)),"Complete Loss of Power",ISNUMBER(SEARCH("does not turn on",C482)),"Complete Loss of Power",ISNUMBER(SEARCH("electrical",C482)),"Electrical Power Problem",ISNUMBER(SEARCH("pressure",C482)),"Detachment of Device or Device Component",ISNUMBER(SEARCH("slip",C482)),"Detachment of Device or Device Component",ISNUMBER(SEARCH("detach",C482)),"Detachment of Device or Device Component",ISNUMBER(SEARCH("stick",C482)),"Mechanical Jam",ISNUMBER(SEARCH("jam",C482)),"Mechanical Jam",ISNUMBER(SEARCH("rigid",C482)),"Mechanical Jam",ISNUMBER(SEARCH("rust",C482)),"Corroded",ISNUMBER(SEARCH("corrod",C482)),"Corroded",ISNUMBER(SEARCH("corrosion",C482)),"Corroded",ISNUMBER(SEARCH("alignment",C482)),"Defective Device",ISNUMBER(SEARCH("adjust",C482)),"Defective Device",ISNUMBER(SEARCH("perform",C482)),"Defective Device",ISNUMBER(SEARCH("malfunction",C482)),"Defective Device",ISNUMBER(SEARCH("defect",C482)),"Defective Device",ISNUMBER(SEARCH("fail",C482)),"Defective Device",ISNUMBER(SEARCH("not work",C482)),"Defective Device",ISNUMBER(SEARCH("doesn't work",C482)),"Defective Device",TRUE,"UNKNOWN"),"UNKNOWN")))</f>
        <v/>
      </c>
      <c r="F482" s="4" t="str">
        <f t="shared" si="7"/>
        <v/>
      </c>
      <c r="G482" s="363" t="str">
        <f>IF(E482="","",IFERROR(VLOOKUP(E482,Codes!$L$2:$N$409,3,FALSE),"—"))</f>
        <v/>
      </c>
      <c r="H482" s="88"/>
      <c r="I482" s="88"/>
    </row>
    <row r="483" spans="1:9" ht="13.15" x14ac:dyDescent="0.35">
      <c r="A483" s="434"/>
      <c r="B483" s="436"/>
      <c r="C483" s="437"/>
      <c r="D483" s="434"/>
      <c r="E483" s="93" t="str" cm="1">
        <f t="array" ref="E483">IF(D483&lt;&gt;"",IFERROR(VLOOKUP(D483,Codes!$K$2:$L$409,2,FALSE),"UNKNOWN - "&amp;D483),IF(C483="","",IFERROR(_xlfn.IFS(ISNUMBER(SEARCH("broken button",C483)),"Break",ISNUMBER(SEARCH("broken handle",C483)),"Break",ISNUMBER(SEARCH("shipping damage",C483)),"Break",ISNUMBER(SEARCH("broken",C483)),"Break",ISNUMBER(SEARCH("crack",C483)),"Break",ISNUMBER(SEARCH("snap",C483)),"Break",ISNUMBER(SEARCH("fracture",C483)),"Break",ISNUMBER(SEARCH("bent",C483)),"Material Twisted/Bent",ISNUMBER(SEARCH("twisted",C483)),"Material Twisted/Bent",ISNUMBER(SEARCH("component separat",C483)),"Material Separation",ISNUMBER(SEARCH("separat",C483)),"Material Separation",ISNUMBER(SEARCH("connection",C483)),"Loose or Intermittent Connection",ISNUMBER(SEARCH("loose",C483)),"Loose or Intermittent Connection",ISNUMBER(SEARCH("damaged packaging",C483)),"Packaging Problem",ISNUMBER(SEARCH("packaging",C483)),"Packaging Problem",ISNUMBER(SEARCH("discoloration",C483)),"Contamination",ISNUMBER(SEARCH("tarnish",C483)),"Contamination",ISNUMBER(SEARCH("stain",C483)),"Contamination",ISNUMBER(SEARCH("foreign material",C483)),"Contamination",ISNUMBER(SEARCH("contamina",C483)),"Contamination",ISNUMBER(SEARCH("overheat",C483)),"Overheating of Device",ISNUMBER(SEARCH("excessive heat",C483)),"Overheating of Device",ISNUMBER(SEARCH("hot",C483)),"Overheating of Device",ISNUMBER(SEARCH("noise",C483)),"Noise, Audible",ISNUMBER(SEARCH("sound",C483)),"Noise, Audible",ISNUMBER(SEARCH("loud",C483)),"Noise, Audible",ISNUMBER(SEARCH("fray",C483)),"Material Frayed",ISNUMBER(SEARCH("hole",C483)),"Material Frayed",ISNUMBER(SEARCH("tear",C483)),"Material Frayed",ISNUMBER(SEARCH("worn",C483)),"Material Frayed",ISNUMBER(SEARCH("intermittent",C483)),"Difficult or Delayed Activation",ISNUMBER(SEARCH("delay",C483)),"Difficult or Delayed Activation",ISNUMBER(SEARCH("label",C483)),"Device Markings/Labelling Problem",ISNUMBER(SEARCH("marking",C483)),"Device Markings/Labelling Problem",ISNUMBER(SEARCH("lacerat",C483)),"Defective Device",ISNUMBER(SEARCH("cut",C483)),"Defective Device",ISNUMBER(SEARCH("leak",C483)),"Fluid/Blood Leak",ISNUMBER(SEARCH("missing",C483)),"Component Missing",ISNUMBER(SEARCH("power",C483)),"Complete Loss of Power",ISNUMBER(SEARCH("will not turn on",C483)),"Complete Loss of Power",ISNUMBER(SEARCH("won't turn on",C483)),"Complete Loss of Power",ISNUMBER(SEARCH("does not turn on",C483)),"Complete Loss of Power",ISNUMBER(SEARCH("electrical",C483)),"Electrical Power Problem",ISNUMBER(SEARCH("pressure",C483)),"Detachment of Device or Device Component",ISNUMBER(SEARCH("slip",C483)),"Detachment of Device or Device Component",ISNUMBER(SEARCH("detach",C483)),"Detachment of Device or Device Component",ISNUMBER(SEARCH("stick",C483)),"Mechanical Jam",ISNUMBER(SEARCH("jam",C483)),"Mechanical Jam",ISNUMBER(SEARCH("rigid",C483)),"Mechanical Jam",ISNUMBER(SEARCH("rust",C483)),"Corroded",ISNUMBER(SEARCH("corrod",C483)),"Corroded",ISNUMBER(SEARCH("corrosion",C483)),"Corroded",ISNUMBER(SEARCH("alignment",C483)),"Defective Device",ISNUMBER(SEARCH("adjust",C483)),"Defective Device",ISNUMBER(SEARCH("perform",C483)),"Defective Device",ISNUMBER(SEARCH("malfunction",C483)),"Defective Device",ISNUMBER(SEARCH("defect",C483)),"Defective Device",ISNUMBER(SEARCH("fail",C483)),"Defective Device",ISNUMBER(SEARCH("not work",C483)),"Defective Device",ISNUMBER(SEARCH("doesn't work",C483)),"Defective Device",TRUE,"UNKNOWN"),"UNKNOWN")))</f>
        <v/>
      </c>
      <c r="F483" s="4" t="str">
        <f t="shared" si="7"/>
        <v/>
      </c>
      <c r="G483" s="363" t="str">
        <f>IF(E483="","",IFERROR(VLOOKUP(E483,Codes!$L$2:$N$409,3,FALSE),"—"))</f>
        <v/>
      </c>
      <c r="H483" s="88"/>
      <c r="I483" s="88"/>
    </row>
    <row r="484" spans="1:9" ht="13.15" x14ac:dyDescent="0.35">
      <c r="A484" s="435"/>
      <c r="B484" s="436"/>
      <c r="C484" s="435"/>
      <c r="D484" s="435"/>
      <c r="E484" s="93" t="str" cm="1">
        <f t="array" ref="E484">IF(D484&lt;&gt;"",IFERROR(VLOOKUP(D484,Codes!$K$2:$L$409,2,FALSE),"UNKNOWN - "&amp;D484),IF(C484="","",IFERROR(_xlfn.IFS(ISNUMBER(SEARCH("broken button",C484)),"Break",ISNUMBER(SEARCH("broken handle",C484)),"Break",ISNUMBER(SEARCH("shipping damage",C484)),"Break",ISNUMBER(SEARCH("broken",C484)),"Break",ISNUMBER(SEARCH("crack",C484)),"Break",ISNUMBER(SEARCH("snap",C484)),"Break",ISNUMBER(SEARCH("fracture",C484)),"Break",ISNUMBER(SEARCH("bent",C484)),"Material Twisted/Bent",ISNUMBER(SEARCH("twisted",C484)),"Material Twisted/Bent",ISNUMBER(SEARCH("component separat",C484)),"Material Separation",ISNUMBER(SEARCH("separat",C484)),"Material Separation",ISNUMBER(SEARCH("connection",C484)),"Loose or Intermittent Connection",ISNUMBER(SEARCH("loose",C484)),"Loose or Intermittent Connection",ISNUMBER(SEARCH("damaged packaging",C484)),"Packaging Problem",ISNUMBER(SEARCH("packaging",C484)),"Packaging Problem",ISNUMBER(SEARCH("discoloration",C484)),"Contamination",ISNUMBER(SEARCH("tarnish",C484)),"Contamination",ISNUMBER(SEARCH("stain",C484)),"Contamination",ISNUMBER(SEARCH("foreign material",C484)),"Contamination",ISNUMBER(SEARCH("contamina",C484)),"Contamination",ISNUMBER(SEARCH("overheat",C484)),"Overheating of Device",ISNUMBER(SEARCH("excessive heat",C484)),"Overheating of Device",ISNUMBER(SEARCH("hot",C484)),"Overheating of Device",ISNUMBER(SEARCH("noise",C484)),"Noise, Audible",ISNUMBER(SEARCH("sound",C484)),"Noise, Audible",ISNUMBER(SEARCH("loud",C484)),"Noise, Audible",ISNUMBER(SEARCH("fray",C484)),"Material Frayed",ISNUMBER(SEARCH("hole",C484)),"Material Frayed",ISNUMBER(SEARCH("tear",C484)),"Material Frayed",ISNUMBER(SEARCH("worn",C484)),"Material Frayed",ISNUMBER(SEARCH("intermittent",C484)),"Difficult or Delayed Activation",ISNUMBER(SEARCH("delay",C484)),"Difficult or Delayed Activation",ISNUMBER(SEARCH("label",C484)),"Device Markings/Labelling Problem",ISNUMBER(SEARCH("marking",C484)),"Device Markings/Labelling Problem",ISNUMBER(SEARCH("lacerat",C484)),"Defective Device",ISNUMBER(SEARCH("cut",C484)),"Defective Device",ISNUMBER(SEARCH("leak",C484)),"Fluid/Blood Leak",ISNUMBER(SEARCH("missing",C484)),"Component Missing",ISNUMBER(SEARCH("power",C484)),"Complete Loss of Power",ISNUMBER(SEARCH("will not turn on",C484)),"Complete Loss of Power",ISNUMBER(SEARCH("won't turn on",C484)),"Complete Loss of Power",ISNUMBER(SEARCH("does not turn on",C484)),"Complete Loss of Power",ISNUMBER(SEARCH("electrical",C484)),"Electrical Power Problem",ISNUMBER(SEARCH("pressure",C484)),"Detachment of Device or Device Component",ISNUMBER(SEARCH("slip",C484)),"Detachment of Device or Device Component",ISNUMBER(SEARCH("detach",C484)),"Detachment of Device or Device Component",ISNUMBER(SEARCH("stick",C484)),"Mechanical Jam",ISNUMBER(SEARCH("jam",C484)),"Mechanical Jam",ISNUMBER(SEARCH("rigid",C484)),"Mechanical Jam",ISNUMBER(SEARCH("rust",C484)),"Corroded",ISNUMBER(SEARCH("corrod",C484)),"Corroded",ISNUMBER(SEARCH("corrosion",C484)),"Corroded",ISNUMBER(SEARCH("alignment",C484)),"Defective Device",ISNUMBER(SEARCH("adjust",C484)),"Defective Device",ISNUMBER(SEARCH("perform",C484)),"Defective Device",ISNUMBER(SEARCH("malfunction",C484)),"Defective Device",ISNUMBER(SEARCH("defect",C484)),"Defective Device",ISNUMBER(SEARCH("fail",C484)),"Defective Device",ISNUMBER(SEARCH("not work",C484)),"Defective Device",ISNUMBER(SEARCH("doesn't work",C484)),"Defective Device",TRUE,"UNKNOWN"),"UNKNOWN")))</f>
        <v/>
      </c>
      <c r="F484" s="4" t="str">
        <f t="shared" si="7"/>
        <v/>
      </c>
      <c r="G484" s="363" t="str">
        <f>IF(E484="","",IFERROR(VLOOKUP(E484,Codes!$L$2:$N$409,3,FALSE),"—"))</f>
        <v/>
      </c>
      <c r="H484" s="88"/>
      <c r="I484" s="88"/>
    </row>
    <row r="485" spans="1:9" ht="13.15" x14ac:dyDescent="0.35">
      <c r="A485" s="434"/>
      <c r="B485" s="436"/>
      <c r="C485" s="437"/>
      <c r="D485" s="434"/>
      <c r="E485" s="93" t="str" cm="1">
        <f t="array" ref="E485">IF(D485&lt;&gt;"",IFERROR(VLOOKUP(D485,Codes!$K$2:$L$409,2,FALSE),"UNKNOWN - "&amp;D485),IF(C485="","",IFERROR(_xlfn.IFS(ISNUMBER(SEARCH("broken button",C485)),"Break",ISNUMBER(SEARCH("broken handle",C485)),"Break",ISNUMBER(SEARCH("shipping damage",C485)),"Break",ISNUMBER(SEARCH("broken",C485)),"Break",ISNUMBER(SEARCH("crack",C485)),"Break",ISNUMBER(SEARCH("snap",C485)),"Break",ISNUMBER(SEARCH("fracture",C485)),"Break",ISNUMBER(SEARCH("bent",C485)),"Material Twisted/Bent",ISNUMBER(SEARCH("twisted",C485)),"Material Twisted/Bent",ISNUMBER(SEARCH("component separat",C485)),"Material Separation",ISNUMBER(SEARCH("separat",C485)),"Material Separation",ISNUMBER(SEARCH("connection",C485)),"Loose or Intermittent Connection",ISNUMBER(SEARCH("loose",C485)),"Loose or Intermittent Connection",ISNUMBER(SEARCH("damaged packaging",C485)),"Packaging Problem",ISNUMBER(SEARCH("packaging",C485)),"Packaging Problem",ISNUMBER(SEARCH("discoloration",C485)),"Contamination",ISNUMBER(SEARCH("tarnish",C485)),"Contamination",ISNUMBER(SEARCH("stain",C485)),"Contamination",ISNUMBER(SEARCH("foreign material",C485)),"Contamination",ISNUMBER(SEARCH("contamina",C485)),"Contamination",ISNUMBER(SEARCH("overheat",C485)),"Overheating of Device",ISNUMBER(SEARCH("excessive heat",C485)),"Overheating of Device",ISNUMBER(SEARCH("hot",C485)),"Overheating of Device",ISNUMBER(SEARCH("noise",C485)),"Noise, Audible",ISNUMBER(SEARCH("sound",C485)),"Noise, Audible",ISNUMBER(SEARCH("loud",C485)),"Noise, Audible",ISNUMBER(SEARCH("fray",C485)),"Material Frayed",ISNUMBER(SEARCH("hole",C485)),"Material Frayed",ISNUMBER(SEARCH("tear",C485)),"Material Frayed",ISNUMBER(SEARCH("worn",C485)),"Material Frayed",ISNUMBER(SEARCH("intermittent",C485)),"Difficult or Delayed Activation",ISNUMBER(SEARCH("delay",C485)),"Difficult or Delayed Activation",ISNUMBER(SEARCH("label",C485)),"Device Markings/Labelling Problem",ISNUMBER(SEARCH("marking",C485)),"Device Markings/Labelling Problem",ISNUMBER(SEARCH("lacerat",C485)),"Defective Device",ISNUMBER(SEARCH("cut",C485)),"Defective Device",ISNUMBER(SEARCH("leak",C485)),"Fluid/Blood Leak",ISNUMBER(SEARCH("missing",C485)),"Component Missing",ISNUMBER(SEARCH("power",C485)),"Complete Loss of Power",ISNUMBER(SEARCH("will not turn on",C485)),"Complete Loss of Power",ISNUMBER(SEARCH("won't turn on",C485)),"Complete Loss of Power",ISNUMBER(SEARCH("does not turn on",C485)),"Complete Loss of Power",ISNUMBER(SEARCH("electrical",C485)),"Electrical Power Problem",ISNUMBER(SEARCH("pressure",C485)),"Detachment of Device or Device Component",ISNUMBER(SEARCH("slip",C485)),"Detachment of Device or Device Component",ISNUMBER(SEARCH("detach",C485)),"Detachment of Device or Device Component",ISNUMBER(SEARCH("stick",C485)),"Mechanical Jam",ISNUMBER(SEARCH("jam",C485)),"Mechanical Jam",ISNUMBER(SEARCH("rigid",C485)),"Mechanical Jam",ISNUMBER(SEARCH("rust",C485)),"Corroded",ISNUMBER(SEARCH("corrod",C485)),"Corroded",ISNUMBER(SEARCH("corrosion",C485)),"Corroded",ISNUMBER(SEARCH("alignment",C485)),"Defective Device",ISNUMBER(SEARCH("adjust",C485)),"Defective Device",ISNUMBER(SEARCH("perform",C485)),"Defective Device",ISNUMBER(SEARCH("malfunction",C485)),"Defective Device",ISNUMBER(SEARCH("defect",C485)),"Defective Device",ISNUMBER(SEARCH("fail",C485)),"Defective Device",ISNUMBER(SEARCH("not work",C485)),"Defective Device",ISNUMBER(SEARCH("doesn't work",C485)),"Defective Device",TRUE,"UNKNOWN"),"UNKNOWN")))</f>
        <v/>
      </c>
      <c r="F485" s="4" t="str">
        <f t="shared" si="7"/>
        <v/>
      </c>
      <c r="G485" s="363" t="str">
        <f>IF(E485="","",IFERROR(VLOOKUP(E485,Codes!$L$2:$N$409,3,FALSE),"—"))</f>
        <v/>
      </c>
      <c r="H485" s="88"/>
      <c r="I485" s="88"/>
    </row>
    <row r="486" spans="1:9" ht="13.15" x14ac:dyDescent="0.35">
      <c r="A486" s="435"/>
      <c r="B486" s="436"/>
      <c r="C486" s="438"/>
      <c r="D486" s="435"/>
      <c r="E486" s="93" t="str" cm="1">
        <f t="array" ref="E486">IF(D486&lt;&gt;"",IFERROR(VLOOKUP(D486,Codes!$K$2:$L$409,2,FALSE),"UNKNOWN - "&amp;D486),IF(C486="","",IFERROR(_xlfn.IFS(ISNUMBER(SEARCH("broken button",C486)),"Break",ISNUMBER(SEARCH("broken handle",C486)),"Break",ISNUMBER(SEARCH("shipping damage",C486)),"Break",ISNUMBER(SEARCH("broken",C486)),"Break",ISNUMBER(SEARCH("crack",C486)),"Break",ISNUMBER(SEARCH("snap",C486)),"Break",ISNUMBER(SEARCH("fracture",C486)),"Break",ISNUMBER(SEARCH("bent",C486)),"Material Twisted/Bent",ISNUMBER(SEARCH("twisted",C486)),"Material Twisted/Bent",ISNUMBER(SEARCH("component separat",C486)),"Material Separation",ISNUMBER(SEARCH("separat",C486)),"Material Separation",ISNUMBER(SEARCH("connection",C486)),"Loose or Intermittent Connection",ISNUMBER(SEARCH("loose",C486)),"Loose or Intermittent Connection",ISNUMBER(SEARCH("damaged packaging",C486)),"Packaging Problem",ISNUMBER(SEARCH("packaging",C486)),"Packaging Problem",ISNUMBER(SEARCH("discoloration",C486)),"Contamination",ISNUMBER(SEARCH("tarnish",C486)),"Contamination",ISNUMBER(SEARCH("stain",C486)),"Contamination",ISNUMBER(SEARCH("foreign material",C486)),"Contamination",ISNUMBER(SEARCH("contamina",C486)),"Contamination",ISNUMBER(SEARCH("overheat",C486)),"Overheating of Device",ISNUMBER(SEARCH("excessive heat",C486)),"Overheating of Device",ISNUMBER(SEARCH("hot",C486)),"Overheating of Device",ISNUMBER(SEARCH("noise",C486)),"Noise, Audible",ISNUMBER(SEARCH("sound",C486)),"Noise, Audible",ISNUMBER(SEARCH("loud",C486)),"Noise, Audible",ISNUMBER(SEARCH("fray",C486)),"Material Frayed",ISNUMBER(SEARCH("hole",C486)),"Material Frayed",ISNUMBER(SEARCH("tear",C486)),"Material Frayed",ISNUMBER(SEARCH("worn",C486)),"Material Frayed",ISNUMBER(SEARCH("intermittent",C486)),"Difficult or Delayed Activation",ISNUMBER(SEARCH("delay",C486)),"Difficult or Delayed Activation",ISNUMBER(SEARCH("label",C486)),"Device Markings/Labelling Problem",ISNUMBER(SEARCH("marking",C486)),"Device Markings/Labelling Problem",ISNUMBER(SEARCH("lacerat",C486)),"Defective Device",ISNUMBER(SEARCH("cut",C486)),"Defective Device",ISNUMBER(SEARCH("leak",C486)),"Fluid/Blood Leak",ISNUMBER(SEARCH("missing",C486)),"Component Missing",ISNUMBER(SEARCH("power",C486)),"Complete Loss of Power",ISNUMBER(SEARCH("will not turn on",C486)),"Complete Loss of Power",ISNUMBER(SEARCH("won't turn on",C486)),"Complete Loss of Power",ISNUMBER(SEARCH("does not turn on",C486)),"Complete Loss of Power",ISNUMBER(SEARCH("electrical",C486)),"Electrical Power Problem",ISNUMBER(SEARCH("pressure",C486)),"Detachment of Device or Device Component",ISNUMBER(SEARCH("slip",C486)),"Detachment of Device or Device Component",ISNUMBER(SEARCH("detach",C486)),"Detachment of Device or Device Component",ISNUMBER(SEARCH("stick",C486)),"Mechanical Jam",ISNUMBER(SEARCH("jam",C486)),"Mechanical Jam",ISNUMBER(SEARCH("rigid",C486)),"Mechanical Jam",ISNUMBER(SEARCH("rust",C486)),"Corroded",ISNUMBER(SEARCH("corrod",C486)),"Corroded",ISNUMBER(SEARCH("corrosion",C486)),"Corroded",ISNUMBER(SEARCH("alignment",C486)),"Defective Device",ISNUMBER(SEARCH("adjust",C486)),"Defective Device",ISNUMBER(SEARCH("perform",C486)),"Defective Device",ISNUMBER(SEARCH("malfunction",C486)),"Defective Device",ISNUMBER(SEARCH("defect",C486)),"Defective Device",ISNUMBER(SEARCH("fail",C486)),"Defective Device",ISNUMBER(SEARCH("not work",C486)),"Defective Device",ISNUMBER(SEARCH("doesn't work",C486)),"Defective Device",TRUE,"UNKNOWN"),"UNKNOWN")))</f>
        <v/>
      </c>
      <c r="F486" s="4" t="str">
        <f t="shared" si="7"/>
        <v/>
      </c>
      <c r="G486" s="363" t="str">
        <f>IF(E486="","",IFERROR(VLOOKUP(E486,Codes!$L$2:$N$409,3,FALSE),"—"))</f>
        <v/>
      </c>
      <c r="H486" s="88"/>
      <c r="I486" s="88"/>
    </row>
    <row r="487" spans="1:9" ht="13.15" x14ac:dyDescent="0.35">
      <c r="A487" s="434"/>
      <c r="B487" s="436"/>
      <c r="C487" s="437"/>
      <c r="D487" s="434"/>
      <c r="E487" s="93" t="str" cm="1">
        <f t="array" ref="E487">IF(D487&lt;&gt;"",IFERROR(VLOOKUP(D487,Codes!$K$2:$L$409,2,FALSE),"UNKNOWN - "&amp;D487),IF(C487="","",IFERROR(_xlfn.IFS(ISNUMBER(SEARCH("broken button",C487)),"Break",ISNUMBER(SEARCH("broken handle",C487)),"Break",ISNUMBER(SEARCH("shipping damage",C487)),"Break",ISNUMBER(SEARCH("broken",C487)),"Break",ISNUMBER(SEARCH("crack",C487)),"Break",ISNUMBER(SEARCH("snap",C487)),"Break",ISNUMBER(SEARCH("fracture",C487)),"Break",ISNUMBER(SEARCH("bent",C487)),"Material Twisted/Bent",ISNUMBER(SEARCH("twisted",C487)),"Material Twisted/Bent",ISNUMBER(SEARCH("component separat",C487)),"Material Separation",ISNUMBER(SEARCH("separat",C487)),"Material Separation",ISNUMBER(SEARCH("connection",C487)),"Loose or Intermittent Connection",ISNUMBER(SEARCH("loose",C487)),"Loose or Intermittent Connection",ISNUMBER(SEARCH("damaged packaging",C487)),"Packaging Problem",ISNUMBER(SEARCH("packaging",C487)),"Packaging Problem",ISNUMBER(SEARCH("discoloration",C487)),"Contamination",ISNUMBER(SEARCH("tarnish",C487)),"Contamination",ISNUMBER(SEARCH("stain",C487)),"Contamination",ISNUMBER(SEARCH("foreign material",C487)),"Contamination",ISNUMBER(SEARCH("contamina",C487)),"Contamination",ISNUMBER(SEARCH("overheat",C487)),"Overheating of Device",ISNUMBER(SEARCH("excessive heat",C487)),"Overheating of Device",ISNUMBER(SEARCH("hot",C487)),"Overheating of Device",ISNUMBER(SEARCH("noise",C487)),"Noise, Audible",ISNUMBER(SEARCH("sound",C487)),"Noise, Audible",ISNUMBER(SEARCH("loud",C487)),"Noise, Audible",ISNUMBER(SEARCH("fray",C487)),"Material Frayed",ISNUMBER(SEARCH("hole",C487)),"Material Frayed",ISNUMBER(SEARCH("tear",C487)),"Material Frayed",ISNUMBER(SEARCH("worn",C487)),"Material Frayed",ISNUMBER(SEARCH("intermittent",C487)),"Difficult or Delayed Activation",ISNUMBER(SEARCH("delay",C487)),"Difficult or Delayed Activation",ISNUMBER(SEARCH("label",C487)),"Device Markings/Labelling Problem",ISNUMBER(SEARCH("marking",C487)),"Device Markings/Labelling Problem",ISNUMBER(SEARCH("lacerat",C487)),"Defective Device",ISNUMBER(SEARCH("cut",C487)),"Defective Device",ISNUMBER(SEARCH("leak",C487)),"Fluid/Blood Leak",ISNUMBER(SEARCH("missing",C487)),"Component Missing",ISNUMBER(SEARCH("power",C487)),"Complete Loss of Power",ISNUMBER(SEARCH("will not turn on",C487)),"Complete Loss of Power",ISNUMBER(SEARCH("won't turn on",C487)),"Complete Loss of Power",ISNUMBER(SEARCH("does not turn on",C487)),"Complete Loss of Power",ISNUMBER(SEARCH("electrical",C487)),"Electrical Power Problem",ISNUMBER(SEARCH("pressure",C487)),"Detachment of Device or Device Component",ISNUMBER(SEARCH("slip",C487)),"Detachment of Device or Device Component",ISNUMBER(SEARCH("detach",C487)),"Detachment of Device or Device Component",ISNUMBER(SEARCH("stick",C487)),"Mechanical Jam",ISNUMBER(SEARCH("jam",C487)),"Mechanical Jam",ISNUMBER(SEARCH("rigid",C487)),"Mechanical Jam",ISNUMBER(SEARCH("rust",C487)),"Corroded",ISNUMBER(SEARCH("corrod",C487)),"Corroded",ISNUMBER(SEARCH("corrosion",C487)),"Corroded",ISNUMBER(SEARCH("alignment",C487)),"Defective Device",ISNUMBER(SEARCH("adjust",C487)),"Defective Device",ISNUMBER(SEARCH("perform",C487)),"Defective Device",ISNUMBER(SEARCH("malfunction",C487)),"Defective Device",ISNUMBER(SEARCH("defect",C487)),"Defective Device",ISNUMBER(SEARCH("fail",C487)),"Defective Device",ISNUMBER(SEARCH("not work",C487)),"Defective Device",ISNUMBER(SEARCH("doesn't work",C487)),"Defective Device",TRUE,"UNKNOWN"),"UNKNOWN")))</f>
        <v/>
      </c>
      <c r="F487" s="4" t="str">
        <f t="shared" si="7"/>
        <v/>
      </c>
      <c r="G487" s="363" t="str">
        <f>IF(E487="","",IFERROR(VLOOKUP(E487,Codes!$L$2:$N$409,3,FALSE),"—"))</f>
        <v/>
      </c>
      <c r="H487" s="88"/>
      <c r="I487" s="88"/>
    </row>
    <row r="488" spans="1:9" ht="13.15" x14ac:dyDescent="0.35">
      <c r="A488" s="434"/>
      <c r="B488" s="436"/>
      <c r="C488" s="437"/>
      <c r="D488" s="434"/>
      <c r="E488" s="93" t="str" cm="1">
        <f t="array" ref="E488">IF(D488&lt;&gt;"",IFERROR(VLOOKUP(D488,Codes!$K$2:$L$409,2,FALSE),"UNKNOWN - "&amp;D488),IF(C488="","",IFERROR(_xlfn.IFS(ISNUMBER(SEARCH("broken button",C488)),"Break",ISNUMBER(SEARCH("broken handle",C488)),"Break",ISNUMBER(SEARCH("shipping damage",C488)),"Break",ISNUMBER(SEARCH("broken",C488)),"Break",ISNUMBER(SEARCH("crack",C488)),"Break",ISNUMBER(SEARCH("snap",C488)),"Break",ISNUMBER(SEARCH("fracture",C488)),"Break",ISNUMBER(SEARCH("bent",C488)),"Material Twisted/Bent",ISNUMBER(SEARCH("twisted",C488)),"Material Twisted/Bent",ISNUMBER(SEARCH("component separat",C488)),"Material Separation",ISNUMBER(SEARCH("separat",C488)),"Material Separation",ISNUMBER(SEARCH("connection",C488)),"Loose or Intermittent Connection",ISNUMBER(SEARCH("loose",C488)),"Loose or Intermittent Connection",ISNUMBER(SEARCH("damaged packaging",C488)),"Packaging Problem",ISNUMBER(SEARCH("packaging",C488)),"Packaging Problem",ISNUMBER(SEARCH("discoloration",C488)),"Contamination",ISNUMBER(SEARCH("tarnish",C488)),"Contamination",ISNUMBER(SEARCH("stain",C488)),"Contamination",ISNUMBER(SEARCH("foreign material",C488)),"Contamination",ISNUMBER(SEARCH("contamina",C488)),"Contamination",ISNUMBER(SEARCH("overheat",C488)),"Overheating of Device",ISNUMBER(SEARCH("excessive heat",C488)),"Overheating of Device",ISNUMBER(SEARCH("hot",C488)),"Overheating of Device",ISNUMBER(SEARCH("noise",C488)),"Noise, Audible",ISNUMBER(SEARCH("sound",C488)),"Noise, Audible",ISNUMBER(SEARCH("loud",C488)),"Noise, Audible",ISNUMBER(SEARCH("fray",C488)),"Material Frayed",ISNUMBER(SEARCH("hole",C488)),"Material Frayed",ISNUMBER(SEARCH("tear",C488)),"Material Frayed",ISNUMBER(SEARCH("worn",C488)),"Material Frayed",ISNUMBER(SEARCH("intermittent",C488)),"Difficult or Delayed Activation",ISNUMBER(SEARCH("delay",C488)),"Difficult or Delayed Activation",ISNUMBER(SEARCH("label",C488)),"Device Markings/Labelling Problem",ISNUMBER(SEARCH("marking",C488)),"Device Markings/Labelling Problem",ISNUMBER(SEARCH("lacerat",C488)),"Defective Device",ISNUMBER(SEARCH("cut",C488)),"Defective Device",ISNUMBER(SEARCH("leak",C488)),"Fluid/Blood Leak",ISNUMBER(SEARCH("missing",C488)),"Component Missing",ISNUMBER(SEARCH("power",C488)),"Complete Loss of Power",ISNUMBER(SEARCH("will not turn on",C488)),"Complete Loss of Power",ISNUMBER(SEARCH("won't turn on",C488)),"Complete Loss of Power",ISNUMBER(SEARCH("does not turn on",C488)),"Complete Loss of Power",ISNUMBER(SEARCH("electrical",C488)),"Electrical Power Problem",ISNUMBER(SEARCH("pressure",C488)),"Detachment of Device or Device Component",ISNUMBER(SEARCH("slip",C488)),"Detachment of Device or Device Component",ISNUMBER(SEARCH("detach",C488)),"Detachment of Device or Device Component",ISNUMBER(SEARCH("stick",C488)),"Mechanical Jam",ISNUMBER(SEARCH("jam",C488)),"Mechanical Jam",ISNUMBER(SEARCH("rigid",C488)),"Mechanical Jam",ISNUMBER(SEARCH("rust",C488)),"Corroded",ISNUMBER(SEARCH("corrod",C488)),"Corroded",ISNUMBER(SEARCH("corrosion",C488)),"Corroded",ISNUMBER(SEARCH("alignment",C488)),"Defective Device",ISNUMBER(SEARCH("adjust",C488)),"Defective Device",ISNUMBER(SEARCH("perform",C488)),"Defective Device",ISNUMBER(SEARCH("malfunction",C488)),"Defective Device",ISNUMBER(SEARCH("defect",C488)),"Defective Device",ISNUMBER(SEARCH("fail",C488)),"Defective Device",ISNUMBER(SEARCH("not work",C488)),"Defective Device",ISNUMBER(SEARCH("doesn't work",C488)),"Defective Device",TRUE,"UNKNOWN"),"UNKNOWN")))</f>
        <v/>
      </c>
      <c r="F488" s="4" t="str">
        <f t="shared" si="7"/>
        <v/>
      </c>
      <c r="G488" s="363" t="str">
        <f>IF(E488="","",IFERROR(VLOOKUP(E488,Codes!$L$2:$N$409,3,FALSE),"—"))</f>
        <v/>
      </c>
      <c r="H488" s="88"/>
      <c r="I488" s="88"/>
    </row>
    <row r="489" spans="1:9" ht="13.15" x14ac:dyDescent="0.35">
      <c r="A489" s="435"/>
      <c r="B489" s="436"/>
      <c r="C489" s="438"/>
      <c r="D489" s="435"/>
      <c r="E489" s="93" t="str" cm="1">
        <f t="array" ref="E489">IF(D489&lt;&gt;"",IFERROR(VLOOKUP(D489,Codes!$K$2:$L$409,2,FALSE),"UNKNOWN - "&amp;D489),IF(C489="","",IFERROR(_xlfn.IFS(ISNUMBER(SEARCH("broken button",C489)),"Break",ISNUMBER(SEARCH("broken handle",C489)),"Break",ISNUMBER(SEARCH("shipping damage",C489)),"Break",ISNUMBER(SEARCH("broken",C489)),"Break",ISNUMBER(SEARCH("crack",C489)),"Break",ISNUMBER(SEARCH("snap",C489)),"Break",ISNUMBER(SEARCH("fracture",C489)),"Break",ISNUMBER(SEARCH("bent",C489)),"Material Twisted/Bent",ISNUMBER(SEARCH("twisted",C489)),"Material Twisted/Bent",ISNUMBER(SEARCH("component separat",C489)),"Material Separation",ISNUMBER(SEARCH("separat",C489)),"Material Separation",ISNUMBER(SEARCH("connection",C489)),"Loose or Intermittent Connection",ISNUMBER(SEARCH("loose",C489)),"Loose or Intermittent Connection",ISNUMBER(SEARCH("damaged packaging",C489)),"Packaging Problem",ISNUMBER(SEARCH("packaging",C489)),"Packaging Problem",ISNUMBER(SEARCH("discoloration",C489)),"Contamination",ISNUMBER(SEARCH("tarnish",C489)),"Contamination",ISNUMBER(SEARCH("stain",C489)),"Contamination",ISNUMBER(SEARCH("foreign material",C489)),"Contamination",ISNUMBER(SEARCH("contamina",C489)),"Contamination",ISNUMBER(SEARCH("overheat",C489)),"Overheating of Device",ISNUMBER(SEARCH("excessive heat",C489)),"Overheating of Device",ISNUMBER(SEARCH("hot",C489)),"Overheating of Device",ISNUMBER(SEARCH("noise",C489)),"Noise, Audible",ISNUMBER(SEARCH("sound",C489)),"Noise, Audible",ISNUMBER(SEARCH("loud",C489)),"Noise, Audible",ISNUMBER(SEARCH("fray",C489)),"Material Frayed",ISNUMBER(SEARCH("hole",C489)),"Material Frayed",ISNUMBER(SEARCH("tear",C489)),"Material Frayed",ISNUMBER(SEARCH("worn",C489)),"Material Frayed",ISNUMBER(SEARCH("intermittent",C489)),"Difficult or Delayed Activation",ISNUMBER(SEARCH("delay",C489)),"Difficult or Delayed Activation",ISNUMBER(SEARCH("label",C489)),"Device Markings/Labelling Problem",ISNUMBER(SEARCH("marking",C489)),"Device Markings/Labelling Problem",ISNUMBER(SEARCH("lacerat",C489)),"Defective Device",ISNUMBER(SEARCH("cut",C489)),"Defective Device",ISNUMBER(SEARCH("leak",C489)),"Fluid/Blood Leak",ISNUMBER(SEARCH("missing",C489)),"Component Missing",ISNUMBER(SEARCH("power",C489)),"Complete Loss of Power",ISNUMBER(SEARCH("will not turn on",C489)),"Complete Loss of Power",ISNUMBER(SEARCH("won't turn on",C489)),"Complete Loss of Power",ISNUMBER(SEARCH("does not turn on",C489)),"Complete Loss of Power",ISNUMBER(SEARCH("electrical",C489)),"Electrical Power Problem",ISNUMBER(SEARCH("pressure",C489)),"Detachment of Device or Device Component",ISNUMBER(SEARCH("slip",C489)),"Detachment of Device or Device Component",ISNUMBER(SEARCH("detach",C489)),"Detachment of Device or Device Component",ISNUMBER(SEARCH("stick",C489)),"Mechanical Jam",ISNUMBER(SEARCH("jam",C489)),"Mechanical Jam",ISNUMBER(SEARCH("rigid",C489)),"Mechanical Jam",ISNUMBER(SEARCH("rust",C489)),"Corroded",ISNUMBER(SEARCH("corrod",C489)),"Corroded",ISNUMBER(SEARCH("corrosion",C489)),"Corroded",ISNUMBER(SEARCH("alignment",C489)),"Defective Device",ISNUMBER(SEARCH("adjust",C489)),"Defective Device",ISNUMBER(SEARCH("perform",C489)),"Defective Device",ISNUMBER(SEARCH("malfunction",C489)),"Defective Device",ISNUMBER(SEARCH("defect",C489)),"Defective Device",ISNUMBER(SEARCH("fail",C489)),"Defective Device",ISNUMBER(SEARCH("not work",C489)),"Defective Device",ISNUMBER(SEARCH("doesn't work",C489)),"Defective Device",TRUE,"UNKNOWN"),"UNKNOWN")))</f>
        <v/>
      </c>
      <c r="F489" s="4" t="str">
        <f t="shared" si="7"/>
        <v/>
      </c>
      <c r="G489" s="363" t="str">
        <f>IF(E489="","",IFERROR(VLOOKUP(E489,Codes!$L$2:$N$409,3,FALSE),"—"))</f>
        <v/>
      </c>
      <c r="H489" s="88"/>
      <c r="I489" s="88"/>
    </row>
    <row r="490" spans="1:9" ht="13.15" x14ac:dyDescent="0.35">
      <c r="A490" s="434"/>
      <c r="B490" s="436"/>
      <c r="C490" s="437"/>
      <c r="D490" s="434"/>
      <c r="E490" s="93" t="str" cm="1">
        <f t="array" ref="E490">IF(D490&lt;&gt;"",IFERROR(VLOOKUP(D490,Codes!$K$2:$L$409,2,FALSE),"UNKNOWN - "&amp;D490),IF(C490="","",IFERROR(_xlfn.IFS(ISNUMBER(SEARCH("broken button",C490)),"Break",ISNUMBER(SEARCH("broken handle",C490)),"Break",ISNUMBER(SEARCH("shipping damage",C490)),"Break",ISNUMBER(SEARCH("broken",C490)),"Break",ISNUMBER(SEARCH("crack",C490)),"Break",ISNUMBER(SEARCH("snap",C490)),"Break",ISNUMBER(SEARCH("fracture",C490)),"Break",ISNUMBER(SEARCH("bent",C490)),"Material Twisted/Bent",ISNUMBER(SEARCH("twisted",C490)),"Material Twisted/Bent",ISNUMBER(SEARCH("component separat",C490)),"Material Separation",ISNUMBER(SEARCH("separat",C490)),"Material Separation",ISNUMBER(SEARCH("connection",C490)),"Loose or Intermittent Connection",ISNUMBER(SEARCH("loose",C490)),"Loose or Intermittent Connection",ISNUMBER(SEARCH("damaged packaging",C490)),"Packaging Problem",ISNUMBER(SEARCH("packaging",C490)),"Packaging Problem",ISNUMBER(SEARCH("discoloration",C490)),"Contamination",ISNUMBER(SEARCH("tarnish",C490)),"Contamination",ISNUMBER(SEARCH("stain",C490)),"Contamination",ISNUMBER(SEARCH("foreign material",C490)),"Contamination",ISNUMBER(SEARCH("contamina",C490)),"Contamination",ISNUMBER(SEARCH("overheat",C490)),"Overheating of Device",ISNUMBER(SEARCH("excessive heat",C490)),"Overheating of Device",ISNUMBER(SEARCH("hot",C490)),"Overheating of Device",ISNUMBER(SEARCH("noise",C490)),"Noise, Audible",ISNUMBER(SEARCH("sound",C490)),"Noise, Audible",ISNUMBER(SEARCH("loud",C490)),"Noise, Audible",ISNUMBER(SEARCH("fray",C490)),"Material Frayed",ISNUMBER(SEARCH("hole",C490)),"Material Frayed",ISNUMBER(SEARCH("tear",C490)),"Material Frayed",ISNUMBER(SEARCH("worn",C490)),"Material Frayed",ISNUMBER(SEARCH("intermittent",C490)),"Difficult or Delayed Activation",ISNUMBER(SEARCH("delay",C490)),"Difficult or Delayed Activation",ISNUMBER(SEARCH("label",C490)),"Device Markings/Labelling Problem",ISNUMBER(SEARCH("marking",C490)),"Device Markings/Labelling Problem",ISNUMBER(SEARCH("lacerat",C490)),"Defective Device",ISNUMBER(SEARCH("cut",C490)),"Defective Device",ISNUMBER(SEARCH("leak",C490)),"Fluid/Blood Leak",ISNUMBER(SEARCH("missing",C490)),"Component Missing",ISNUMBER(SEARCH("power",C490)),"Complete Loss of Power",ISNUMBER(SEARCH("will not turn on",C490)),"Complete Loss of Power",ISNUMBER(SEARCH("won't turn on",C490)),"Complete Loss of Power",ISNUMBER(SEARCH("does not turn on",C490)),"Complete Loss of Power",ISNUMBER(SEARCH("electrical",C490)),"Electrical Power Problem",ISNUMBER(SEARCH("pressure",C490)),"Detachment of Device or Device Component",ISNUMBER(SEARCH("slip",C490)),"Detachment of Device or Device Component",ISNUMBER(SEARCH("detach",C490)),"Detachment of Device or Device Component",ISNUMBER(SEARCH("stick",C490)),"Mechanical Jam",ISNUMBER(SEARCH("jam",C490)),"Mechanical Jam",ISNUMBER(SEARCH("rigid",C490)),"Mechanical Jam",ISNUMBER(SEARCH("rust",C490)),"Corroded",ISNUMBER(SEARCH("corrod",C490)),"Corroded",ISNUMBER(SEARCH("corrosion",C490)),"Corroded",ISNUMBER(SEARCH("alignment",C490)),"Defective Device",ISNUMBER(SEARCH("adjust",C490)),"Defective Device",ISNUMBER(SEARCH("perform",C490)),"Defective Device",ISNUMBER(SEARCH("malfunction",C490)),"Defective Device",ISNUMBER(SEARCH("defect",C490)),"Defective Device",ISNUMBER(SEARCH("fail",C490)),"Defective Device",ISNUMBER(SEARCH("not work",C490)),"Defective Device",ISNUMBER(SEARCH("doesn't work",C490)),"Defective Device",TRUE,"UNKNOWN"),"UNKNOWN")))</f>
        <v/>
      </c>
      <c r="F490" s="4" t="str">
        <f t="shared" si="7"/>
        <v/>
      </c>
      <c r="G490" s="363" t="str">
        <f>IF(E490="","",IFERROR(VLOOKUP(E490,Codes!$L$2:$N$409,3,FALSE),"—"))</f>
        <v/>
      </c>
      <c r="H490" s="88"/>
      <c r="I490" s="88"/>
    </row>
    <row r="491" spans="1:9" ht="13.15" x14ac:dyDescent="0.35">
      <c r="A491" s="435"/>
      <c r="B491" s="436"/>
      <c r="C491" s="438"/>
      <c r="D491" s="435"/>
      <c r="E491" s="93" t="str" cm="1">
        <f t="array" ref="E491">IF(D491&lt;&gt;"",IFERROR(VLOOKUP(D491,Codes!$K$2:$L$409,2,FALSE),"UNKNOWN - "&amp;D491),IF(C491="","",IFERROR(_xlfn.IFS(ISNUMBER(SEARCH("broken button",C491)),"Break",ISNUMBER(SEARCH("broken handle",C491)),"Break",ISNUMBER(SEARCH("shipping damage",C491)),"Break",ISNUMBER(SEARCH("broken",C491)),"Break",ISNUMBER(SEARCH("crack",C491)),"Break",ISNUMBER(SEARCH("snap",C491)),"Break",ISNUMBER(SEARCH("fracture",C491)),"Break",ISNUMBER(SEARCH("bent",C491)),"Material Twisted/Bent",ISNUMBER(SEARCH("twisted",C491)),"Material Twisted/Bent",ISNUMBER(SEARCH("component separat",C491)),"Material Separation",ISNUMBER(SEARCH("separat",C491)),"Material Separation",ISNUMBER(SEARCH("connection",C491)),"Loose or Intermittent Connection",ISNUMBER(SEARCH("loose",C491)),"Loose or Intermittent Connection",ISNUMBER(SEARCH("damaged packaging",C491)),"Packaging Problem",ISNUMBER(SEARCH("packaging",C491)),"Packaging Problem",ISNUMBER(SEARCH("discoloration",C491)),"Contamination",ISNUMBER(SEARCH("tarnish",C491)),"Contamination",ISNUMBER(SEARCH("stain",C491)),"Contamination",ISNUMBER(SEARCH("foreign material",C491)),"Contamination",ISNUMBER(SEARCH("contamina",C491)),"Contamination",ISNUMBER(SEARCH("overheat",C491)),"Overheating of Device",ISNUMBER(SEARCH("excessive heat",C491)),"Overheating of Device",ISNUMBER(SEARCH("hot",C491)),"Overheating of Device",ISNUMBER(SEARCH("noise",C491)),"Noise, Audible",ISNUMBER(SEARCH("sound",C491)),"Noise, Audible",ISNUMBER(SEARCH("loud",C491)),"Noise, Audible",ISNUMBER(SEARCH("fray",C491)),"Material Frayed",ISNUMBER(SEARCH("hole",C491)),"Material Frayed",ISNUMBER(SEARCH("tear",C491)),"Material Frayed",ISNUMBER(SEARCH("worn",C491)),"Material Frayed",ISNUMBER(SEARCH("intermittent",C491)),"Difficult or Delayed Activation",ISNUMBER(SEARCH("delay",C491)),"Difficult or Delayed Activation",ISNUMBER(SEARCH("label",C491)),"Device Markings/Labelling Problem",ISNUMBER(SEARCH("marking",C491)),"Device Markings/Labelling Problem",ISNUMBER(SEARCH("lacerat",C491)),"Defective Device",ISNUMBER(SEARCH("cut",C491)),"Defective Device",ISNUMBER(SEARCH("leak",C491)),"Fluid/Blood Leak",ISNUMBER(SEARCH("missing",C491)),"Component Missing",ISNUMBER(SEARCH("power",C491)),"Complete Loss of Power",ISNUMBER(SEARCH("will not turn on",C491)),"Complete Loss of Power",ISNUMBER(SEARCH("won't turn on",C491)),"Complete Loss of Power",ISNUMBER(SEARCH("does not turn on",C491)),"Complete Loss of Power",ISNUMBER(SEARCH("electrical",C491)),"Electrical Power Problem",ISNUMBER(SEARCH("pressure",C491)),"Detachment of Device or Device Component",ISNUMBER(SEARCH("slip",C491)),"Detachment of Device or Device Component",ISNUMBER(SEARCH("detach",C491)),"Detachment of Device or Device Component",ISNUMBER(SEARCH("stick",C491)),"Mechanical Jam",ISNUMBER(SEARCH("jam",C491)),"Mechanical Jam",ISNUMBER(SEARCH("rigid",C491)),"Mechanical Jam",ISNUMBER(SEARCH("rust",C491)),"Corroded",ISNUMBER(SEARCH("corrod",C491)),"Corroded",ISNUMBER(SEARCH("corrosion",C491)),"Corroded",ISNUMBER(SEARCH("alignment",C491)),"Defective Device",ISNUMBER(SEARCH("adjust",C491)),"Defective Device",ISNUMBER(SEARCH("perform",C491)),"Defective Device",ISNUMBER(SEARCH("malfunction",C491)),"Defective Device",ISNUMBER(SEARCH("defect",C491)),"Defective Device",ISNUMBER(SEARCH("fail",C491)),"Defective Device",ISNUMBER(SEARCH("not work",C491)),"Defective Device",ISNUMBER(SEARCH("doesn't work",C491)),"Defective Device",TRUE,"UNKNOWN"),"UNKNOWN")))</f>
        <v/>
      </c>
      <c r="F491" s="4" t="str">
        <f t="shared" si="7"/>
        <v/>
      </c>
      <c r="G491" s="363" t="str">
        <f>IF(E491="","",IFERROR(VLOOKUP(E491,Codes!$L$2:$N$409,3,FALSE),"—"))</f>
        <v/>
      </c>
      <c r="H491" s="88"/>
      <c r="I491" s="88"/>
    </row>
    <row r="492" spans="1:9" ht="13.15" x14ac:dyDescent="0.35">
      <c r="A492" s="434"/>
      <c r="B492" s="436"/>
      <c r="C492" s="437"/>
      <c r="D492" s="434"/>
      <c r="E492" s="93" t="str" cm="1">
        <f t="array" ref="E492">IF(D492&lt;&gt;"",IFERROR(VLOOKUP(D492,Codes!$K$2:$L$409,2,FALSE),"UNKNOWN - "&amp;D492),IF(C492="","",IFERROR(_xlfn.IFS(ISNUMBER(SEARCH("broken button",C492)),"Break",ISNUMBER(SEARCH("broken handle",C492)),"Break",ISNUMBER(SEARCH("shipping damage",C492)),"Break",ISNUMBER(SEARCH("broken",C492)),"Break",ISNUMBER(SEARCH("crack",C492)),"Break",ISNUMBER(SEARCH("snap",C492)),"Break",ISNUMBER(SEARCH("fracture",C492)),"Break",ISNUMBER(SEARCH("bent",C492)),"Material Twisted/Bent",ISNUMBER(SEARCH("twisted",C492)),"Material Twisted/Bent",ISNUMBER(SEARCH("component separat",C492)),"Material Separation",ISNUMBER(SEARCH("separat",C492)),"Material Separation",ISNUMBER(SEARCH("connection",C492)),"Loose or Intermittent Connection",ISNUMBER(SEARCH("loose",C492)),"Loose or Intermittent Connection",ISNUMBER(SEARCH("damaged packaging",C492)),"Packaging Problem",ISNUMBER(SEARCH("packaging",C492)),"Packaging Problem",ISNUMBER(SEARCH("discoloration",C492)),"Contamination",ISNUMBER(SEARCH("tarnish",C492)),"Contamination",ISNUMBER(SEARCH("stain",C492)),"Contamination",ISNUMBER(SEARCH("foreign material",C492)),"Contamination",ISNUMBER(SEARCH("contamina",C492)),"Contamination",ISNUMBER(SEARCH("overheat",C492)),"Overheating of Device",ISNUMBER(SEARCH("excessive heat",C492)),"Overheating of Device",ISNUMBER(SEARCH("hot",C492)),"Overheating of Device",ISNUMBER(SEARCH("noise",C492)),"Noise, Audible",ISNUMBER(SEARCH("sound",C492)),"Noise, Audible",ISNUMBER(SEARCH("loud",C492)),"Noise, Audible",ISNUMBER(SEARCH("fray",C492)),"Material Frayed",ISNUMBER(SEARCH("hole",C492)),"Material Frayed",ISNUMBER(SEARCH("tear",C492)),"Material Frayed",ISNUMBER(SEARCH("worn",C492)),"Material Frayed",ISNUMBER(SEARCH("intermittent",C492)),"Difficult or Delayed Activation",ISNUMBER(SEARCH("delay",C492)),"Difficult or Delayed Activation",ISNUMBER(SEARCH("label",C492)),"Device Markings/Labelling Problem",ISNUMBER(SEARCH("marking",C492)),"Device Markings/Labelling Problem",ISNUMBER(SEARCH("lacerat",C492)),"Defective Device",ISNUMBER(SEARCH("cut",C492)),"Defective Device",ISNUMBER(SEARCH("leak",C492)),"Fluid/Blood Leak",ISNUMBER(SEARCH("missing",C492)),"Component Missing",ISNUMBER(SEARCH("power",C492)),"Complete Loss of Power",ISNUMBER(SEARCH("will not turn on",C492)),"Complete Loss of Power",ISNUMBER(SEARCH("won't turn on",C492)),"Complete Loss of Power",ISNUMBER(SEARCH("does not turn on",C492)),"Complete Loss of Power",ISNUMBER(SEARCH("electrical",C492)),"Electrical Power Problem",ISNUMBER(SEARCH("pressure",C492)),"Detachment of Device or Device Component",ISNUMBER(SEARCH("slip",C492)),"Detachment of Device or Device Component",ISNUMBER(SEARCH("detach",C492)),"Detachment of Device or Device Component",ISNUMBER(SEARCH("stick",C492)),"Mechanical Jam",ISNUMBER(SEARCH("jam",C492)),"Mechanical Jam",ISNUMBER(SEARCH("rigid",C492)),"Mechanical Jam",ISNUMBER(SEARCH("rust",C492)),"Corroded",ISNUMBER(SEARCH("corrod",C492)),"Corroded",ISNUMBER(SEARCH("corrosion",C492)),"Corroded",ISNUMBER(SEARCH("alignment",C492)),"Defective Device",ISNUMBER(SEARCH("adjust",C492)),"Defective Device",ISNUMBER(SEARCH("perform",C492)),"Defective Device",ISNUMBER(SEARCH("malfunction",C492)),"Defective Device",ISNUMBER(SEARCH("defect",C492)),"Defective Device",ISNUMBER(SEARCH("fail",C492)),"Defective Device",ISNUMBER(SEARCH("not work",C492)),"Defective Device",ISNUMBER(SEARCH("doesn't work",C492)),"Defective Device",TRUE,"UNKNOWN"),"UNKNOWN")))</f>
        <v/>
      </c>
      <c r="F492" s="4" t="str">
        <f t="shared" si="7"/>
        <v/>
      </c>
      <c r="G492" s="363" t="str">
        <f>IF(E492="","",IFERROR(VLOOKUP(E492,Codes!$L$2:$N$409,3,FALSE),"—"))</f>
        <v/>
      </c>
      <c r="H492" s="88"/>
      <c r="I492" s="88"/>
    </row>
    <row r="493" spans="1:9" ht="13.15" x14ac:dyDescent="0.35">
      <c r="A493" s="435"/>
      <c r="B493" s="436"/>
      <c r="C493" s="438"/>
      <c r="D493" s="435"/>
      <c r="E493" s="93" t="str" cm="1">
        <f t="array" ref="E493">IF(D493&lt;&gt;"",IFERROR(VLOOKUP(D493,Codes!$K$2:$L$409,2,FALSE),"UNKNOWN - "&amp;D493),IF(C493="","",IFERROR(_xlfn.IFS(ISNUMBER(SEARCH("broken button",C493)),"Break",ISNUMBER(SEARCH("broken handle",C493)),"Break",ISNUMBER(SEARCH("shipping damage",C493)),"Break",ISNUMBER(SEARCH("broken",C493)),"Break",ISNUMBER(SEARCH("crack",C493)),"Break",ISNUMBER(SEARCH("snap",C493)),"Break",ISNUMBER(SEARCH("fracture",C493)),"Break",ISNUMBER(SEARCH("bent",C493)),"Material Twisted/Bent",ISNUMBER(SEARCH("twisted",C493)),"Material Twisted/Bent",ISNUMBER(SEARCH("component separat",C493)),"Material Separation",ISNUMBER(SEARCH("separat",C493)),"Material Separation",ISNUMBER(SEARCH("connection",C493)),"Loose or Intermittent Connection",ISNUMBER(SEARCH("loose",C493)),"Loose or Intermittent Connection",ISNUMBER(SEARCH("damaged packaging",C493)),"Packaging Problem",ISNUMBER(SEARCH("packaging",C493)),"Packaging Problem",ISNUMBER(SEARCH("discoloration",C493)),"Contamination",ISNUMBER(SEARCH("tarnish",C493)),"Contamination",ISNUMBER(SEARCH("stain",C493)),"Contamination",ISNUMBER(SEARCH("foreign material",C493)),"Contamination",ISNUMBER(SEARCH("contamina",C493)),"Contamination",ISNUMBER(SEARCH("overheat",C493)),"Overheating of Device",ISNUMBER(SEARCH("excessive heat",C493)),"Overheating of Device",ISNUMBER(SEARCH("hot",C493)),"Overheating of Device",ISNUMBER(SEARCH("noise",C493)),"Noise, Audible",ISNUMBER(SEARCH("sound",C493)),"Noise, Audible",ISNUMBER(SEARCH("loud",C493)),"Noise, Audible",ISNUMBER(SEARCH("fray",C493)),"Material Frayed",ISNUMBER(SEARCH("hole",C493)),"Material Frayed",ISNUMBER(SEARCH("tear",C493)),"Material Frayed",ISNUMBER(SEARCH("worn",C493)),"Material Frayed",ISNUMBER(SEARCH("intermittent",C493)),"Difficult or Delayed Activation",ISNUMBER(SEARCH("delay",C493)),"Difficult or Delayed Activation",ISNUMBER(SEARCH("label",C493)),"Device Markings/Labelling Problem",ISNUMBER(SEARCH("marking",C493)),"Device Markings/Labelling Problem",ISNUMBER(SEARCH("lacerat",C493)),"Defective Device",ISNUMBER(SEARCH("cut",C493)),"Defective Device",ISNUMBER(SEARCH("leak",C493)),"Fluid/Blood Leak",ISNUMBER(SEARCH("missing",C493)),"Component Missing",ISNUMBER(SEARCH("power",C493)),"Complete Loss of Power",ISNUMBER(SEARCH("will not turn on",C493)),"Complete Loss of Power",ISNUMBER(SEARCH("won't turn on",C493)),"Complete Loss of Power",ISNUMBER(SEARCH("does not turn on",C493)),"Complete Loss of Power",ISNUMBER(SEARCH("electrical",C493)),"Electrical Power Problem",ISNUMBER(SEARCH("pressure",C493)),"Detachment of Device or Device Component",ISNUMBER(SEARCH("slip",C493)),"Detachment of Device or Device Component",ISNUMBER(SEARCH("detach",C493)),"Detachment of Device or Device Component",ISNUMBER(SEARCH("stick",C493)),"Mechanical Jam",ISNUMBER(SEARCH("jam",C493)),"Mechanical Jam",ISNUMBER(SEARCH("rigid",C493)),"Mechanical Jam",ISNUMBER(SEARCH("rust",C493)),"Corroded",ISNUMBER(SEARCH("corrod",C493)),"Corroded",ISNUMBER(SEARCH("corrosion",C493)),"Corroded",ISNUMBER(SEARCH("alignment",C493)),"Defective Device",ISNUMBER(SEARCH("adjust",C493)),"Defective Device",ISNUMBER(SEARCH("perform",C493)),"Defective Device",ISNUMBER(SEARCH("malfunction",C493)),"Defective Device",ISNUMBER(SEARCH("defect",C493)),"Defective Device",ISNUMBER(SEARCH("fail",C493)),"Defective Device",ISNUMBER(SEARCH("not work",C493)),"Defective Device",ISNUMBER(SEARCH("doesn't work",C493)),"Defective Device",TRUE,"UNKNOWN"),"UNKNOWN")))</f>
        <v/>
      </c>
      <c r="F493" s="4" t="str">
        <f t="shared" si="7"/>
        <v/>
      </c>
      <c r="G493" s="363" t="str">
        <f>IF(E493="","",IFERROR(VLOOKUP(E493,Codes!$L$2:$N$409,3,FALSE),"—"))</f>
        <v/>
      </c>
      <c r="H493" s="88"/>
      <c r="I493" s="88"/>
    </row>
    <row r="494" spans="1:9" ht="13.15" x14ac:dyDescent="0.35">
      <c r="A494" s="434"/>
      <c r="B494" s="436"/>
      <c r="C494" s="437"/>
      <c r="D494" s="434"/>
      <c r="E494" s="93" t="str" cm="1">
        <f t="array" ref="E494">IF(D494&lt;&gt;"",IFERROR(VLOOKUP(D494,Codes!$K$2:$L$409,2,FALSE),"UNKNOWN - "&amp;D494),IF(C494="","",IFERROR(_xlfn.IFS(ISNUMBER(SEARCH("broken button",C494)),"Break",ISNUMBER(SEARCH("broken handle",C494)),"Break",ISNUMBER(SEARCH("shipping damage",C494)),"Break",ISNUMBER(SEARCH("broken",C494)),"Break",ISNUMBER(SEARCH("crack",C494)),"Break",ISNUMBER(SEARCH("snap",C494)),"Break",ISNUMBER(SEARCH("fracture",C494)),"Break",ISNUMBER(SEARCH("bent",C494)),"Material Twisted/Bent",ISNUMBER(SEARCH("twisted",C494)),"Material Twisted/Bent",ISNUMBER(SEARCH("component separat",C494)),"Material Separation",ISNUMBER(SEARCH("separat",C494)),"Material Separation",ISNUMBER(SEARCH("connection",C494)),"Loose or Intermittent Connection",ISNUMBER(SEARCH("loose",C494)),"Loose or Intermittent Connection",ISNUMBER(SEARCH("damaged packaging",C494)),"Packaging Problem",ISNUMBER(SEARCH("packaging",C494)),"Packaging Problem",ISNUMBER(SEARCH("discoloration",C494)),"Contamination",ISNUMBER(SEARCH("tarnish",C494)),"Contamination",ISNUMBER(SEARCH("stain",C494)),"Contamination",ISNUMBER(SEARCH("foreign material",C494)),"Contamination",ISNUMBER(SEARCH("contamina",C494)),"Contamination",ISNUMBER(SEARCH("overheat",C494)),"Overheating of Device",ISNUMBER(SEARCH("excessive heat",C494)),"Overheating of Device",ISNUMBER(SEARCH("hot",C494)),"Overheating of Device",ISNUMBER(SEARCH("noise",C494)),"Noise, Audible",ISNUMBER(SEARCH("sound",C494)),"Noise, Audible",ISNUMBER(SEARCH("loud",C494)),"Noise, Audible",ISNUMBER(SEARCH("fray",C494)),"Material Frayed",ISNUMBER(SEARCH("hole",C494)),"Material Frayed",ISNUMBER(SEARCH("tear",C494)),"Material Frayed",ISNUMBER(SEARCH("worn",C494)),"Material Frayed",ISNUMBER(SEARCH("intermittent",C494)),"Difficult or Delayed Activation",ISNUMBER(SEARCH("delay",C494)),"Difficult or Delayed Activation",ISNUMBER(SEARCH("label",C494)),"Device Markings/Labelling Problem",ISNUMBER(SEARCH("marking",C494)),"Device Markings/Labelling Problem",ISNUMBER(SEARCH("lacerat",C494)),"Defective Device",ISNUMBER(SEARCH("cut",C494)),"Defective Device",ISNUMBER(SEARCH("leak",C494)),"Fluid/Blood Leak",ISNUMBER(SEARCH("missing",C494)),"Component Missing",ISNUMBER(SEARCH("power",C494)),"Complete Loss of Power",ISNUMBER(SEARCH("will not turn on",C494)),"Complete Loss of Power",ISNUMBER(SEARCH("won't turn on",C494)),"Complete Loss of Power",ISNUMBER(SEARCH("does not turn on",C494)),"Complete Loss of Power",ISNUMBER(SEARCH("electrical",C494)),"Electrical Power Problem",ISNUMBER(SEARCH("pressure",C494)),"Detachment of Device or Device Component",ISNUMBER(SEARCH("slip",C494)),"Detachment of Device or Device Component",ISNUMBER(SEARCH("detach",C494)),"Detachment of Device or Device Component",ISNUMBER(SEARCH("stick",C494)),"Mechanical Jam",ISNUMBER(SEARCH("jam",C494)),"Mechanical Jam",ISNUMBER(SEARCH("rigid",C494)),"Mechanical Jam",ISNUMBER(SEARCH("rust",C494)),"Corroded",ISNUMBER(SEARCH("corrod",C494)),"Corroded",ISNUMBER(SEARCH("corrosion",C494)),"Corroded",ISNUMBER(SEARCH("alignment",C494)),"Defective Device",ISNUMBER(SEARCH("adjust",C494)),"Defective Device",ISNUMBER(SEARCH("perform",C494)),"Defective Device",ISNUMBER(SEARCH("malfunction",C494)),"Defective Device",ISNUMBER(SEARCH("defect",C494)),"Defective Device",ISNUMBER(SEARCH("fail",C494)),"Defective Device",ISNUMBER(SEARCH("not work",C494)),"Defective Device",ISNUMBER(SEARCH("doesn't work",C494)),"Defective Device",TRUE,"UNKNOWN"),"UNKNOWN")))</f>
        <v/>
      </c>
      <c r="F494" s="4" t="str">
        <f t="shared" si="7"/>
        <v/>
      </c>
      <c r="G494" s="363" t="str">
        <f>IF(E494="","",IFERROR(VLOOKUP(E494,Codes!$L$2:$N$409,3,FALSE),"—"))</f>
        <v/>
      </c>
      <c r="H494" s="88"/>
      <c r="I494" s="88"/>
    </row>
    <row r="495" spans="1:9" ht="13.15" x14ac:dyDescent="0.35">
      <c r="A495" s="435"/>
      <c r="B495" s="436"/>
      <c r="C495" s="440"/>
      <c r="D495" s="435"/>
      <c r="E495" s="93" t="str" cm="1">
        <f t="array" ref="E495">IF(D495&lt;&gt;"",IFERROR(VLOOKUP(D495,Codes!$K$2:$L$409,2,FALSE),"UNKNOWN - "&amp;D495),IF(C495="","",IFERROR(_xlfn.IFS(ISNUMBER(SEARCH("broken button",C495)),"Break",ISNUMBER(SEARCH("broken handle",C495)),"Break",ISNUMBER(SEARCH("shipping damage",C495)),"Break",ISNUMBER(SEARCH("broken",C495)),"Break",ISNUMBER(SEARCH("crack",C495)),"Break",ISNUMBER(SEARCH("snap",C495)),"Break",ISNUMBER(SEARCH("fracture",C495)),"Break",ISNUMBER(SEARCH("bent",C495)),"Material Twisted/Bent",ISNUMBER(SEARCH("twisted",C495)),"Material Twisted/Bent",ISNUMBER(SEARCH("component separat",C495)),"Material Separation",ISNUMBER(SEARCH("separat",C495)),"Material Separation",ISNUMBER(SEARCH("connection",C495)),"Loose or Intermittent Connection",ISNUMBER(SEARCH("loose",C495)),"Loose or Intermittent Connection",ISNUMBER(SEARCH("damaged packaging",C495)),"Packaging Problem",ISNUMBER(SEARCH("packaging",C495)),"Packaging Problem",ISNUMBER(SEARCH("discoloration",C495)),"Contamination",ISNUMBER(SEARCH("tarnish",C495)),"Contamination",ISNUMBER(SEARCH("stain",C495)),"Contamination",ISNUMBER(SEARCH("foreign material",C495)),"Contamination",ISNUMBER(SEARCH("contamina",C495)),"Contamination",ISNUMBER(SEARCH("overheat",C495)),"Overheating of Device",ISNUMBER(SEARCH("excessive heat",C495)),"Overheating of Device",ISNUMBER(SEARCH("hot",C495)),"Overheating of Device",ISNUMBER(SEARCH("noise",C495)),"Noise, Audible",ISNUMBER(SEARCH("sound",C495)),"Noise, Audible",ISNUMBER(SEARCH("loud",C495)),"Noise, Audible",ISNUMBER(SEARCH("fray",C495)),"Material Frayed",ISNUMBER(SEARCH("hole",C495)),"Material Frayed",ISNUMBER(SEARCH("tear",C495)),"Material Frayed",ISNUMBER(SEARCH("worn",C495)),"Material Frayed",ISNUMBER(SEARCH("intermittent",C495)),"Difficult or Delayed Activation",ISNUMBER(SEARCH("delay",C495)),"Difficult or Delayed Activation",ISNUMBER(SEARCH("label",C495)),"Device Markings/Labelling Problem",ISNUMBER(SEARCH("marking",C495)),"Device Markings/Labelling Problem",ISNUMBER(SEARCH("lacerat",C495)),"Defective Device",ISNUMBER(SEARCH("cut",C495)),"Defective Device",ISNUMBER(SEARCH("leak",C495)),"Fluid/Blood Leak",ISNUMBER(SEARCH("missing",C495)),"Component Missing",ISNUMBER(SEARCH("power",C495)),"Complete Loss of Power",ISNUMBER(SEARCH("will not turn on",C495)),"Complete Loss of Power",ISNUMBER(SEARCH("won't turn on",C495)),"Complete Loss of Power",ISNUMBER(SEARCH("does not turn on",C495)),"Complete Loss of Power",ISNUMBER(SEARCH("electrical",C495)),"Electrical Power Problem",ISNUMBER(SEARCH("pressure",C495)),"Detachment of Device or Device Component",ISNUMBER(SEARCH("slip",C495)),"Detachment of Device or Device Component",ISNUMBER(SEARCH("detach",C495)),"Detachment of Device or Device Component",ISNUMBER(SEARCH("stick",C495)),"Mechanical Jam",ISNUMBER(SEARCH("jam",C495)),"Mechanical Jam",ISNUMBER(SEARCH("rigid",C495)),"Mechanical Jam",ISNUMBER(SEARCH("rust",C495)),"Corroded",ISNUMBER(SEARCH("corrod",C495)),"Corroded",ISNUMBER(SEARCH("corrosion",C495)),"Corroded",ISNUMBER(SEARCH("alignment",C495)),"Defective Device",ISNUMBER(SEARCH("adjust",C495)),"Defective Device",ISNUMBER(SEARCH("perform",C495)),"Defective Device",ISNUMBER(SEARCH("malfunction",C495)),"Defective Device",ISNUMBER(SEARCH("defect",C495)),"Defective Device",ISNUMBER(SEARCH("fail",C495)),"Defective Device",ISNUMBER(SEARCH("not work",C495)),"Defective Device",ISNUMBER(SEARCH("doesn't work",C495)),"Defective Device",TRUE,"UNKNOWN"),"UNKNOWN")))</f>
        <v/>
      </c>
      <c r="F495" s="4" t="str">
        <f t="shared" si="7"/>
        <v/>
      </c>
      <c r="G495" s="363" t="str">
        <f>IF(E495="","",IFERROR(VLOOKUP(E495,Codes!$L$2:$N$409,3,FALSE),"—"))</f>
        <v/>
      </c>
      <c r="H495" s="88"/>
      <c r="I495" s="88"/>
    </row>
    <row r="496" spans="1:9" ht="13.15" x14ac:dyDescent="0.35">
      <c r="A496" s="435"/>
      <c r="B496" s="436"/>
      <c r="C496" s="438"/>
      <c r="D496" s="435"/>
      <c r="E496" s="93" t="str" cm="1">
        <f t="array" ref="E496">IF(D496&lt;&gt;"",IFERROR(VLOOKUP(D496,Codes!$K$2:$L$409,2,FALSE),"UNKNOWN - "&amp;D496),IF(C496="","",IFERROR(_xlfn.IFS(ISNUMBER(SEARCH("broken button",C496)),"Break",ISNUMBER(SEARCH("broken handle",C496)),"Break",ISNUMBER(SEARCH("shipping damage",C496)),"Break",ISNUMBER(SEARCH("broken",C496)),"Break",ISNUMBER(SEARCH("crack",C496)),"Break",ISNUMBER(SEARCH("snap",C496)),"Break",ISNUMBER(SEARCH("fracture",C496)),"Break",ISNUMBER(SEARCH("bent",C496)),"Material Twisted/Bent",ISNUMBER(SEARCH("twisted",C496)),"Material Twisted/Bent",ISNUMBER(SEARCH("component separat",C496)),"Material Separation",ISNUMBER(SEARCH("separat",C496)),"Material Separation",ISNUMBER(SEARCH("connection",C496)),"Loose or Intermittent Connection",ISNUMBER(SEARCH("loose",C496)),"Loose or Intermittent Connection",ISNUMBER(SEARCH("damaged packaging",C496)),"Packaging Problem",ISNUMBER(SEARCH("packaging",C496)),"Packaging Problem",ISNUMBER(SEARCH("discoloration",C496)),"Contamination",ISNUMBER(SEARCH("tarnish",C496)),"Contamination",ISNUMBER(SEARCH("stain",C496)),"Contamination",ISNUMBER(SEARCH("foreign material",C496)),"Contamination",ISNUMBER(SEARCH("contamina",C496)),"Contamination",ISNUMBER(SEARCH("overheat",C496)),"Overheating of Device",ISNUMBER(SEARCH("excessive heat",C496)),"Overheating of Device",ISNUMBER(SEARCH("hot",C496)),"Overheating of Device",ISNUMBER(SEARCH("noise",C496)),"Noise, Audible",ISNUMBER(SEARCH("sound",C496)),"Noise, Audible",ISNUMBER(SEARCH("loud",C496)),"Noise, Audible",ISNUMBER(SEARCH("fray",C496)),"Material Frayed",ISNUMBER(SEARCH("hole",C496)),"Material Frayed",ISNUMBER(SEARCH("tear",C496)),"Material Frayed",ISNUMBER(SEARCH("worn",C496)),"Material Frayed",ISNUMBER(SEARCH("intermittent",C496)),"Difficult or Delayed Activation",ISNUMBER(SEARCH("delay",C496)),"Difficult or Delayed Activation",ISNUMBER(SEARCH("label",C496)),"Device Markings/Labelling Problem",ISNUMBER(SEARCH("marking",C496)),"Device Markings/Labelling Problem",ISNUMBER(SEARCH("lacerat",C496)),"Defective Device",ISNUMBER(SEARCH("cut",C496)),"Defective Device",ISNUMBER(SEARCH("leak",C496)),"Fluid/Blood Leak",ISNUMBER(SEARCH("missing",C496)),"Component Missing",ISNUMBER(SEARCH("power",C496)),"Complete Loss of Power",ISNUMBER(SEARCH("will not turn on",C496)),"Complete Loss of Power",ISNUMBER(SEARCH("won't turn on",C496)),"Complete Loss of Power",ISNUMBER(SEARCH("does not turn on",C496)),"Complete Loss of Power",ISNUMBER(SEARCH("electrical",C496)),"Electrical Power Problem",ISNUMBER(SEARCH("pressure",C496)),"Detachment of Device or Device Component",ISNUMBER(SEARCH("slip",C496)),"Detachment of Device or Device Component",ISNUMBER(SEARCH("detach",C496)),"Detachment of Device or Device Component",ISNUMBER(SEARCH("stick",C496)),"Mechanical Jam",ISNUMBER(SEARCH("jam",C496)),"Mechanical Jam",ISNUMBER(SEARCH("rigid",C496)),"Mechanical Jam",ISNUMBER(SEARCH("rust",C496)),"Corroded",ISNUMBER(SEARCH("corrod",C496)),"Corroded",ISNUMBER(SEARCH("corrosion",C496)),"Corroded",ISNUMBER(SEARCH("alignment",C496)),"Defective Device",ISNUMBER(SEARCH("adjust",C496)),"Defective Device",ISNUMBER(SEARCH("perform",C496)),"Defective Device",ISNUMBER(SEARCH("malfunction",C496)),"Defective Device",ISNUMBER(SEARCH("defect",C496)),"Defective Device",ISNUMBER(SEARCH("fail",C496)),"Defective Device",ISNUMBER(SEARCH("not work",C496)),"Defective Device",ISNUMBER(SEARCH("doesn't work",C496)),"Defective Device",TRUE,"UNKNOWN"),"UNKNOWN")))</f>
        <v/>
      </c>
      <c r="F496" s="4" t="str">
        <f t="shared" si="7"/>
        <v/>
      </c>
      <c r="G496" s="363" t="str">
        <f>IF(E496="","",IFERROR(VLOOKUP(E496,Codes!$L$2:$N$409,3,FALSE),"—"))</f>
        <v/>
      </c>
      <c r="H496" s="88"/>
      <c r="I496" s="88"/>
    </row>
    <row r="497" spans="1:9" ht="13.15" x14ac:dyDescent="0.35">
      <c r="A497" s="434"/>
      <c r="B497" s="436"/>
      <c r="C497" s="437"/>
      <c r="D497" s="434"/>
      <c r="E497" s="93" t="str" cm="1">
        <f t="array" ref="E497">IF(D497&lt;&gt;"",IFERROR(VLOOKUP(D497,Codes!$K$2:$L$409,2,FALSE),"UNKNOWN - "&amp;D497),IF(C497="","",IFERROR(_xlfn.IFS(ISNUMBER(SEARCH("broken button",C497)),"Break",ISNUMBER(SEARCH("broken handle",C497)),"Break",ISNUMBER(SEARCH("shipping damage",C497)),"Break",ISNUMBER(SEARCH("broken",C497)),"Break",ISNUMBER(SEARCH("crack",C497)),"Break",ISNUMBER(SEARCH("snap",C497)),"Break",ISNUMBER(SEARCH("fracture",C497)),"Break",ISNUMBER(SEARCH("bent",C497)),"Material Twisted/Bent",ISNUMBER(SEARCH("twisted",C497)),"Material Twisted/Bent",ISNUMBER(SEARCH("component separat",C497)),"Material Separation",ISNUMBER(SEARCH("separat",C497)),"Material Separation",ISNUMBER(SEARCH("connection",C497)),"Loose or Intermittent Connection",ISNUMBER(SEARCH("loose",C497)),"Loose or Intermittent Connection",ISNUMBER(SEARCH("damaged packaging",C497)),"Packaging Problem",ISNUMBER(SEARCH("packaging",C497)),"Packaging Problem",ISNUMBER(SEARCH("discoloration",C497)),"Contamination",ISNUMBER(SEARCH("tarnish",C497)),"Contamination",ISNUMBER(SEARCH("stain",C497)),"Contamination",ISNUMBER(SEARCH("foreign material",C497)),"Contamination",ISNUMBER(SEARCH("contamina",C497)),"Contamination",ISNUMBER(SEARCH("overheat",C497)),"Overheating of Device",ISNUMBER(SEARCH("excessive heat",C497)),"Overheating of Device",ISNUMBER(SEARCH("hot",C497)),"Overheating of Device",ISNUMBER(SEARCH("noise",C497)),"Noise, Audible",ISNUMBER(SEARCH("sound",C497)),"Noise, Audible",ISNUMBER(SEARCH("loud",C497)),"Noise, Audible",ISNUMBER(SEARCH("fray",C497)),"Material Frayed",ISNUMBER(SEARCH("hole",C497)),"Material Frayed",ISNUMBER(SEARCH("tear",C497)),"Material Frayed",ISNUMBER(SEARCH("worn",C497)),"Material Frayed",ISNUMBER(SEARCH("intermittent",C497)),"Difficult or Delayed Activation",ISNUMBER(SEARCH("delay",C497)),"Difficult or Delayed Activation",ISNUMBER(SEARCH("label",C497)),"Device Markings/Labelling Problem",ISNUMBER(SEARCH("marking",C497)),"Device Markings/Labelling Problem",ISNUMBER(SEARCH("lacerat",C497)),"Defective Device",ISNUMBER(SEARCH("cut",C497)),"Defective Device",ISNUMBER(SEARCH("leak",C497)),"Fluid/Blood Leak",ISNUMBER(SEARCH("missing",C497)),"Component Missing",ISNUMBER(SEARCH("power",C497)),"Complete Loss of Power",ISNUMBER(SEARCH("will not turn on",C497)),"Complete Loss of Power",ISNUMBER(SEARCH("won't turn on",C497)),"Complete Loss of Power",ISNUMBER(SEARCH("does not turn on",C497)),"Complete Loss of Power",ISNUMBER(SEARCH("electrical",C497)),"Electrical Power Problem",ISNUMBER(SEARCH("pressure",C497)),"Detachment of Device or Device Component",ISNUMBER(SEARCH("slip",C497)),"Detachment of Device or Device Component",ISNUMBER(SEARCH("detach",C497)),"Detachment of Device or Device Component",ISNUMBER(SEARCH("stick",C497)),"Mechanical Jam",ISNUMBER(SEARCH("jam",C497)),"Mechanical Jam",ISNUMBER(SEARCH("rigid",C497)),"Mechanical Jam",ISNUMBER(SEARCH("rust",C497)),"Corroded",ISNUMBER(SEARCH("corrod",C497)),"Corroded",ISNUMBER(SEARCH("corrosion",C497)),"Corroded",ISNUMBER(SEARCH("alignment",C497)),"Defective Device",ISNUMBER(SEARCH("adjust",C497)),"Defective Device",ISNUMBER(SEARCH("perform",C497)),"Defective Device",ISNUMBER(SEARCH("malfunction",C497)),"Defective Device",ISNUMBER(SEARCH("defect",C497)),"Defective Device",ISNUMBER(SEARCH("fail",C497)),"Defective Device",ISNUMBER(SEARCH("not work",C497)),"Defective Device",ISNUMBER(SEARCH("doesn't work",C497)),"Defective Device",TRUE,"UNKNOWN"),"UNKNOWN")))</f>
        <v/>
      </c>
      <c r="F497" s="4" t="str">
        <f t="shared" si="7"/>
        <v/>
      </c>
      <c r="G497" s="363" t="str">
        <f>IF(E497="","",IFERROR(VLOOKUP(E497,Codes!$L$2:$N$409,3,FALSE),"—"))</f>
        <v/>
      </c>
      <c r="H497" s="88"/>
      <c r="I497" s="88"/>
    </row>
    <row r="498" spans="1:9" ht="13.15" x14ac:dyDescent="0.35">
      <c r="A498" s="434"/>
      <c r="B498" s="436"/>
      <c r="C498" s="434"/>
      <c r="D498" s="434"/>
      <c r="E498" s="93" t="str" cm="1">
        <f t="array" ref="E498">IF(D498&lt;&gt;"",IFERROR(VLOOKUP(D498,Codes!$K$2:$L$409,2,FALSE),"UNKNOWN - "&amp;D498),IF(C498="","",IFERROR(_xlfn.IFS(ISNUMBER(SEARCH("broken button",C498)),"Break",ISNUMBER(SEARCH("broken handle",C498)),"Break",ISNUMBER(SEARCH("shipping damage",C498)),"Break",ISNUMBER(SEARCH("broken",C498)),"Break",ISNUMBER(SEARCH("crack",C498)),"Break",ISNUMBER(SEARCH("snap",C498)),"Break",ISNUMBER(SEARCH("fracture",C498)),"Break",ISNUMBER(SEARCH("bent",C498)),"Material Twisted/Bent",ISNUMBER(SEARCH("twisted",C498)),"Material Twisted/Bent",ISNUMBER(SEARCH("component separat",C498)),"Material Separation",ISNUMBER(SEARCH("separat",C498)),"Material Separation",ISNUMBER(SEARCH("connection",C498)),"Loose or Intermittent Connection",ISNUMBER(SEARCH("loose",C498)),"Loose or Intermittent Connection",ISNUMBER(SEARCH("damaged packaging",C498)),"Packaging Problem",ISNUMBER(SEARCH("packaging",C498)),"Packaging Problem",ISNUMBER(SEARCH("discoloration",C498)),"Contamination",ISNUMBER(SEARCH("tarnish",C498)),"Contamination",ISNUMBER(SEARCH("stain",C498)),"Contamination",ISNUMBER(SEARCH("foreign material",C498)),"Contamination",ISNUMBER(SEARCH("contamina",C498)),"Contamination",ISNUMBER(SEARCH("overheat",C498)),"Overheating of Device",ISNUMBER(SEARCH("excessive heat",C498)),"Overheating of Device",ISNUMBER(SEARCH("hot",C498)),"Overheating of Device",ISNUMBER(SEARCH("noise",C498)),"Noise, Audible",ISNUMBER(SEARCH("sound",C498)),"Noise, Audible",ISNUMBER(SEARCH("loud",C498)),"Noise, Audible",ISNUMBER(SEARCH("fray",C498)),"Material Frayed",ISNUMBER(SEARCH("hole",C498)),"Material Frayed",ISNUMBER(SEARCH("tear",C498)),"Material Frayed",ISNUMBER(SEARCH("worn",C498)),"Material Frayed",ISNUMBER(SEARCH("intermittent",C498)),"Difficult or Delayed Activation",ISNUMBER(SEARCH("delay",C498)),"Difficult or Delayed Activation",ISNUMBER(SEARCH("label",C498)),"Device Markings/Labelling Problem",ISNUMBER(SEARCH("marking",C498)),"Device Markings/Labelling Problem",ISNUMBER(SEARCH("lacerat",C498)),"Defective Device",ISNUMBER(SEARCH("cut",C498)),"Defective Device",ISNUMBER(SEARCH("leak",C498)),"Fluid/Blood Leak",ISNUMBER(SEARCH("missing",C498)),"Component Missing",ISNUMBER(SEARCH("power",C498)),"Complete Loss of Power",ISNUMBER(SEARCH("will not turn on",C498)),"Complete Loss of Power",ISNUMBER(SEARCH("won't turn on",C498)),"Complete Loss of Power",ISNUMBER(SEARCH("does not turn on",C498)),"Complete Loss of Power",ISNUMBER(SEARCH("electrical",C498)),"Electrical Power Problem",ISNUMBER(SEARCH("pressure",C498)),"Detachment of Device or Device Component",ISNUMBER(SEARCH("slip",C498)),"Detachment of Device or Device Component",ISNUMBER(SEARCH("detach",C498)),"Detachment of Device or Device Component",ISNUMBER(SEARCH("stick",C498)),"Mechanical Jam",ISNUMBER(SEARCH("jam",C498)),"Mechanical Jam",ISNUMBER(SEARCH("rigid",C498)),"Mechanical Jam",ISNUMBER(SEARCH("rust",C498)),"Corroded",ISNUMBER(SEARCH("corrod",C498)),"Corroded",ISNUMBER(SEARCH("corrosion",C498)),"Corroded",ISNUMBER(SEARCH("alignment",C498)),"Defective Device",ISNUMBER(SEARCH("adjust",C498)),"Defective Device",ISNUMBER(SEARCH("perform",C498)),"Defective Device",ISNUMBER(SEARCH("malfunction",C498)),"Defective Device",ISNUMBER(SEARCH("defect",C498)),"Defective Device",ISNUMBER(SEARCH("fail",C498)),"Defective Device",ISNUMBER(SEARCH("not work",C498)),"Defective Device",ISNUMBER(SEARCH("doesn't work",C498)),"Defective Device",TRUE,"UNKNOWN"),"UNKNOWN")))</f>
        <v/>
      </c>
      <c r="F498" s="4" t="str">
        <f t="shared" si="7"/>
        <v/>
      </c>
      <c r="G498" s="363" t="str">
        <f>IF(E498="","",IFERROR(VLOOKUP(E498,Codes!$L$2:$N$409,3,FALSE),"—"))</f>
        <v/>
      </c>
      <c r="H498" s="88"/>
      <c r="I498" s="88"/>
    </row>
    <row r="499" spans="1:9" ht="13.15" x14ac:dyDescent="0.35">
      <c r="A499" s="435"/>
      <c r="B499" s="436"/>
      <c r="C499" s="438"/>
      <c r="D499" s="435"/>
      <c r="E499" s="93" t="str" cm="1">
        <f t="array" ref="E499">IF(D499&lt;&gt;"",IFERROR(VLOOKUP(D499,Codes!$K$2:$L$409,2,FALSE),"UNKNOWN - "&amp;D499),IF(C499="","",IFERROR(_xlfn.IFS(ISNUMBER(SEARCH("broken button",C499)),"Break",ISNUMBER(SEARCH("broken handle",C499)),"Break",ISNUMBER(SEARCH("shipping damage",C499)),"Break",ISNUMBER(SEARCH("broken",C499)),"Break",ISNUMBER(SEARCH("crack",C499)),"Break",ISNUMBER(SEARCH("snap",C499)),"Break",ISNUMBER(SEARCH("fracture",C499)),"Break",ISNUMBER(SEARCH("bent",C499)),"Material Twisted/Bent",ISNUMBER(SEARCH("twisted",C499)),"Material Twisted/Bent",ISNUMBER(SEARCH("component separat",C499)),"Material Separation",ISNUMBER(SEARCH("separat",C499)),"Material Separation",ISNUMBER(SEARCH("connection",C499)),"Loose or Intermittent Connection",ISNUMBER(SEARCH("loose",C499)),"Loose or Intermittent Connection",ISNUMBER(SEARCH("damaged packaging",C499)),"Packaging Problem",ISNUMBER(SEARCH("packaging",C499)),"Packaging Problem",ISNUMBER(SEARCH("discoloration",C499)),"Contamination",ISNUMBER(SEARCH("tarnish",C499)),"Contamination",ISNUMBER(SEARCH("stain",C499)),"Contamination",ISNUMBER(SEARCH("foreign material",C499)),"Contamination",ISNUMBER(SEARCH("contamina",C499)),"Contamination",ISNUMBER(SEARCH("overheat",C499)),"Overheating of Device",ISNUMBER(SEARCH("excessive heat",C499)),"Overheating of Device",ISNUMBER(SEARCH("hot",C499)),"Overheating of Device",ISNUMBER(SEARCH("noise",C499)),"Noise, Audible",ISNUMBER(SEARCH("sound",C499)),"Noise, Audible",ISNUMBER(SEARCH("loud",C499)),"Noise, Audible",ISNUMBER(SEARCH("fray",C499)),"Material Frayed",ISNUMBER(SEARCH("hole",C499)),"Material Frayed",ISNUMBER(SEARCH("tear",C499)),"Material Frayed",ISNUMBER(SEARCH("worn",C499)),"Material Frayed",ISNUMBER(SEARCH("intermittent",C499)),"Difficult or Delayed Activation",ISNUMBER(SEARCH("delay",C499)),"Difficult or Delayed Activation",ISNUMBER(SEARCH("label",C499)),"Device Markings/Labelling Problem",ISNUMBER(SEARCH("marking",C499)),"Device Markings/Labelling Problem",ISNUMBER(SEARCH("lacerat",C499)),"Defective Device",ISNUMBER(SEARCH("cut",C499)),"Defective Device",ISNUMBER(SEARCH("leak",C499)),"Fluid/Blood Leak",ISNUMBER(SEARCH("missing",C499)),"Component Missing",ISNUMBER(SEARCH("power",C499)),"Complete Loss of Power",ISNUMBER(SEARCH("will not turn on",C499)),"Complete Loss of Power",ISNUMBER(SEARCH("won't turn on",C499)),"Complete Loss of Power",ISNUMBER(SEARCH("does not turn on",C499)),"Complete Loss of Power",ISNUMBER(SEARCH("electrical",C499)),"Electrical Power Problem",ISNUMBER(SEARCH("pressure",C499)),"Detachment of Device or Device Component",ISNUMBER(SEARCH("slip",C499)),"Detachment of Device or Device Component",ISNUMBER(SEARCH("detach",C499)),"Detachment of Device or Device Component",ISNUMBER(SEARCH("stick",C499)),"Mechanical Jam",ISNUMBER(SEARCH("jam",C499)),"Mechanical Jam",ISNUMBER(SEARCH("rigid",C499)),"Mechanical Jam",ISNUMBER(SEARCH("rust",C499)),"Corroded",ISNUMBER(SEARCH("corrod",C499)),"Corroded",ISNUMBER(SEARCH("corrosion",C499)),"Corroded",ISNUMBER(SEARCH("alignment",C499)),"Defective Device",ISNUMBER(SEARCH("adjust",C499)),"Defective Device",ISNUMBER(SEARCH("perform",C499)),"Defective Device",ISNUMBER(SEARCH("malfunction",C499)),"Defective Device",ISNUMBER(SEARCH("defect",C499)),"Defective Device",ISNUMBER(SEARCH("fail",C499)),"Defective Device",ISNUMBER(SEARCH("not work",C499)),"Defective Device",ISNUMBER(SEARCH("doesn't work",C499)),"Defective Device",TRUE,"UNKNOWN"),"UNKNOWN")))</f>
        <v/>
      </c>
      <c r="F499" s="4" t="str">
        <f t="shared" si="7"/>
        <v/>
      </c>
      <c r="G499" s="363" t="str">
        <f>IF(E499="","",IFERROR(VLOOKUP(E499,Codes!$L$2:$N$409,3,FALSE),"—"))</f>
        <v/>
      </c>
      <c r="H499" s="88"/>
      <c r="I499" s="88"/>
    </row>
    <row r="500" spans="1:9" ht="13.15" x14ac:dyDescent="0.35">
      <c r="A500" s="434"/>
      <c r="B500" s="436"/>
      <c r="C500" s="437"/>
      <c r="D500" s="434"/>
      <c r="E500" s="93" t="str" cm="1">
        <f t="array" ref="E500">IF(D500&lt;&gt;"",IFERROR(VLOOKUP(D500,Codes!$K$2:$L$409,2,FALSE),"UNKNOWN - "&amp;D500),IF(C500="","",IFERROR(_xlfn.IFS(ISNUMBER(SEARCH("broken button",C500)),"Break",ISNUMBER(SEARCH("broken handle",C500)),"Break",ISNUMBER(SEARCH("shipping damage",C500)),"Break",ISNUMBER(SEARCH("broken",C500)),"Break",ISNUMBER(SEARCH("crack",C500)),"Break",ISNUMBER(SEARCH("snap",C500)),"Break",ISNUMBER(SEARCH("fracture",C500)),"Break",ISNUMBER(SEARCH("bent",C500)),"Material Twisted/Bent",ISNUMBER(SEARCH("twisted",C500)),"Material Twisted/Bent",ISNUMBER(SEARCH("component separat",C500)),"Material Separation",ISNUMBER(SEARCH("separat",C500)),"Material Separation",ISNUMBER(SEARCH("connection",C500)),"Loose or Intermittent Connection",ISNUMBER(SEARCH("loose",C500)),"Loose or Intermittent Connection",ISNUMBER(SEARCH("damaged packaging",C500)),"Packaging Problem",ISNUMBER(SEARCH("packaging",C500)),"Packaging Problem",ISNUMBER(SEARCH("discoloration",C500)),"Contamination",ISNUMBER(SEARCH("tarnish",C500)),"Contamination",ISNUMBER(SEARCH("stain",C500)),"Contamination",ISNUMBER(SEARCH("foreign material",C500)),"Contamination",ISNUMBER(SEARCH("contamina",C500)),"Contamination",ISNUMBER(SEARCH("overheat",C500)),"Overheating of Device",ISNUMBER(SEARCH("excessive heat",C500)),"Overheating of Device",ISNUMBER(SEARCH("hot",C500)),"Overheating of Device",ISNUMBER(SEARCH("noise",C500)),"Noise, Audible",ISNUMBER(SEARCH("sound",C500)),"Noise, Audible",ISNUMBER(SEARCH("loud",C500)),"Noise, Audible",ISNUMBER(SEARCH("fray",C500)),"Material Frayed",ISNUMBER(SEARCH("hole",C500)),"Material Frayed",ISNUMBER(SEARCH("tear",C500)),"Material Frayed",ISNUMBER(SEARCH("worn",C500)),"Material Frayed",ISNUMBER(SEARCH("intermittent",C500)),"Difficult or Delayed Activation",ISNUMBER(SEARCH("delay",C500)),"Difficult or Delayed Activation",ISNUMBER(SEARCH("label",C500)),"Device Markings/Labelling Problem",ISNUMBER(SEARCH("marking",C500)),"Device Markings/Labelling Problem",ISNUMBER(SEARCH("lacerat",C500)),"Defective Device",ISNUMBER(SEARCH("cut",C500)),"Defective Device",ISNUMBER(SEARCH("leak",C500)),"Fluid/Blood Leak",ISNUMBER(SEARCH("missing",C500)),"Component Missing",ISNUMBER(SEARCH("power",C500)),"Complete Loss of Power",ISNUMBER(SEARCH("will not turn on",C500)),"Complete Loss of Power",ISNUMBER(SEARCH("won't turn on",C500)),"Complete Loss of Power",ISNUMBER(SEARCH("does not turn on",C500)),"Complete Loss of Power",ISNUMBER(SEARCH("electrical",C500)),"Electrical Power Problem",ISNUMBER(SEARCH("pressure",C500)),"Detachment of Device or Device Component",ISNUMBER(SEARCH("slip",C500)),"Detachment of Device or Device Component",ISNUMBER(SEARCH("detach",C500)),"Detachment of Device or Device Component",ISNUMBER(SEARCH("stick",C500)),"Mechanical Jam",ISNUMBER(SEARCH("jam",C500)),"Mechanical Jam",ISNUMBER(SEARCH("rigid",C500)),"Mechanical Jam",ISNUMBER(SEARCH("rust",C500)),"Corroded",ISNUMBER(SEARCH("corrod",C500)),"Corroded",ISNUMBER(SEARCH("corrosion",C500)),"Corroded",ISNUMBER(SEARCH("alignment",C500)),"Defective Device",ISNUMBER(SEARCH("adjust",C500)),"Defective Device",ISNUMBER(SEARCH("perform",C500)),"Defective Device",ISNUMBER(SEARCH("malfunction",C500)),"Defective Device",ISNUMBER(SEARCH("defect",C500)),"Defective Device",ISNUMBER(SEARCH("fail",C500)),"Defective Device",ISNUMBER(SEARCH("not work",C500)),"Defective Device",ISNUMBER(SEARCH("doesn't work",C500)),"Defective Device",TRUE,"UNKNOWN"),"UNKNOWN")))</f>
        <v/>
      </c>
      <c r="F500" s="4" t="str">
        <f t="shared" si="7"/>
        <v/>
      </c>
      <c r="G500" s="363" t="str">
        <f>IF(E500="","",IFERROR(VLOOKUP(E500,Codes!$L$2:$N$409,3,FALSE),"—"))</f>
        <v/>
      </c>
      <c r="H500" s="88"/>
      <c r="I500" s="88"/>
    </row>
    <row r="501" spans="1:9" ht="13.15" x14ac:dyDescent="0.35">
      <c r="A501" s="435"/>
      <c r="B501" s="436"/>
      <c r="C501" s="438"/>
      <c r="D501" s="435"/>
      <c r="E501" s="93" t="str" cm="1">
        <f t="array" ref="E501">IF(D501&lt;&gt;"",IFERROR(VLOOKUP(D501,Codes!$K$2:$L$409,2,FALSE),"UNKNOWN - "&amp;D501),IF(C501="","",IFERROR(_xlfn.IFS(ISNUMBER(SEARCH("broken button",C501)),"Break",ISNUMBER(SEARCH("broken handle",C501)),"Break",ISNUMBER(SEARCH("shipping damage",C501)),"Break",ISNUMBER(SEARCH("broken",C501)),"Break",ISNUMBER(SEARCH("crack",C501)),"Break",ISNUMBER(SEARCH("snap",C501)),"Break",ISNUMBER(SEARCH("fracture",C501)),"Break",ISNUMBER(SEARCH("bent",C501)),"Material Twisted/Bent",ISNUMBER(SEARCH("twisted",C501)),"Material Twisted/Bent",ISNUMBER(SEARCH("component separat",C501)),"Material Separation",ISNUMBER(SEARCH("separat",C501)),"Material Separation",ISNUMBER(SEARCH("connection",C501)),"Loose or Intermittent Connection",ISNUMBER(SEARCH("loose",C501)),"Loose or Intermittent Connection",ISNUMBER(SEARCH("damaged packaging",C501)),"Packaging Problem",ISNUMBER(SEARCH("packaging",C501)),"Packaging Problem",ISNUMBER(SEARCH("discoloration",C501)),"Contamination",ISNUMBER(SEARCH("tarnish",C501)),"Contamination",ISNUMBER(SEARCH("stain",C501)),"Contamination",ISNUMBER(SEARCH("foreign material",C501)),"Contamination",ISNUMBER(SEARCH("contamina",C501)),"Contamination",ISNUMBER(SEARCH("overheat",C501)),"Overheating of Device",ISNUMBER(SEARCH("excessive heat",C501)),"Overheating of Device",ISNUMBER(SEARCH("hot",C501)),"Overheating of Device",ISNUMBER(SEARCH("noise",C501)),"Noise, Audible",ISNUMBER(SEARCH("sound",C501)),"Noise, Audible",ISNUMBER(SEARCH("loud",C501)),"Noise, Audible",ISNUMBER(SEARCH("fray",C501)),"Material Frayed",ISNUMBER(SEARCH("hole",C501)),"Material Frayed",ISNUMBER(SEARCH("tear",C501)),"Material Frayed",ISNUMBER(SEARCH("worn",C501)),"Material Frayed",ISNUMBER(SEARCH("intermittent",C501)),"Difficult or Delayed Activation",ISNUMBER(SEARCH("delay",C501)),"Difficult or Delayed Activation",ISNUMBER(SEARCH("label",C501)),"Device Markings/Labelling Problem",ISNUMBER(SEARCH("marking",C501)),"Device Markings/Labelling Problem",ISNUMBER(SEARCH("lacerat",C501)),"Defective Device",ISNUMBER(SEARCH("cut",C501)),"Defective Device",ISNUMBER(SEARCH("leak",C501)),"Fluid/Blood Leak",ISNUMBER(SEARCH("missing",C501)),"Component Missing",ISNUMBER(SEARCH("power",C501)),"Complete Loss of Power",ISNUMBER(SEARCH("will not turn on",C501)),"Complete Loss of Power",ISNUMBER(SEARCH("won't turn on",C501)),"Complete Loss of Power",ISNUMBER(SEARCH("does not turn on",C501)),"Complete Loss of Power",ISNUMBER(SEARCH("electrical",C501)),"Electrical Power Problem",ISNUMBER(SEARCH("pressure",C501)),"Detachment of Device or Device Component",ISNUMBER(SEARCH("slip",C501)),"Detachment of Device or Device Component",ISNUMBER(SEARCH("detach",C501)),"Detachment of Device or Device Component",ISNUMBER(SEARCH("stick",C501)),"Mechanical Jam",ISNUMBER(SEARCH("jam",C501)),"Mechanical Jam",ISNUMBER(SEARCH("rigid",C501)),"Mechanical Jam",ISNUMBER(SEARCH("rust",C501)),"Corroded",ISNUMBER(SEARCH("corrod",C501)),"Corroded",ISNUMBER(SEARCH("corrosion",C501)),"Corroded",ISNUMBER(SEARCH("alignment",C501)),"Defective Device",ISNUMBER(SEARCH("adjust",C501)),"Defective Device",ISNUMBER(SEARCH("perform",C501)),"Defective Device",ISNUMBER(SEARCH("malfunction",C501)),"Defective Device",ISNUMBER(SEARCH("defect",C501)),"Defective Device",ISNUMBER(SEARCH("fail",C501)),"Defective Device",ISNUMBER(SEARCH("not work",C501)),"Defective Device",ISNUMBER(SEARCH("doesn't work",C501)),"Defective Device",TRUE,"UNKNOWN"),"UNKNOWN")))</f>
        <v/>
      </c>
      <c r="F501" s="4" t="str">
        <f t="shared" si="7"/>
        <v/>
      </c>
      <c r="G501" s="363" t="str">
        <f>IF(E501="","",IFERROR(VLOOKUP(E501,Codes!$L$2:$N$409,3,FALSE),"—"))</f>
        <v/>
      </c>
      <c r="H501" s="88"/>
      <c r="I501" s="88"/>
    </row>
    <row r="502" spans="1:9" ht="13.15" x14ac:dyDescent="0.35">
      <c r="A502" s="434"/>
      <c r="B502" s="436"/>
      <c r="C502" s="437"/>
      <c r="D502" s="434"/>
      <c r="E502" s="93" t="str" cm="1">
        <f t="array" ref="E502">IF(D502&lt;&gt;"",IFERROR(VLOOKUP(D502,Codes!$K$2:$L$409,2,FALSE),"UNKNOWN - "&amp;D502),IF(C502="","",IFERROR(_xlfn.IFS(ISNUMBER(SEARCH("broken button",C502)),"Break",ISNUMBER(SEARCH("broken handle",C502)),"Break",ISNUMBER(SEARCH("shipping damage",C502)),"Break",ISNUMBER(SEARCH("broken",C502)),"Break",ISNUMBER(SEARCH("crack",C502)),"Break",ISNUMBER(SEARCH("snap",C502)),"Break",ISNUMBER(SEARCH("fracture",C502)),"Break",ISNUMBER(SEARCH("bent",C502)),"Material Twisted/Bent",ISNUMBER(SEARCH("twisted",C502)),"Material Twisted/Bent",ISNUMBER(SEARCH("component separat",C502)),"Material Separation",ISNUMBER(SEARCH("separat",C502)),"Material Separation",ISNUMBER(SEARCH("connection",C502)),"Loose or Intermittent Connection",ISNUMBER(SEARCH("loose",C502)),"Loose or Intermittent Connection",ISNUMBER(SEARCH("damaged packaging",C502)),"Packaging Problem",ISNUMBER(SEARCH("packaging",C502)),"Packaging Problem",ISNUMBER(SEARCH("discoloration",C502)),"Contamination",ISNUMBER(SEARCH("tarnish",C502)),"Contamination",ISNUMBER(SEARCH("stain",C502)),"Contamination",ISNUMBER(SEARCH("foreign material",C502)),"Contamination",ISNUMBER(SEARCH("contamina",C502)),"Contamination",ISNUMBER(SEARCH("overheat",C502)),"Overheating of Device",ISNUMBER(SEARCH("excessive heat",C502)),"Overheating of Device",ISNUMBER(SEARCH("hot",C502)),"Overheating of Device",ISNUMBER(SEARCH("noise",C502)),"Noise, Audible",ISNUMBER(SEARCH("sound",C502)),"Noise, Audible",ISNUMBER(SEARCH("loud",C502)),"Noise, Audible",ISNUMBER(SEARCH("fray",C502)),"Material Frayed",ISNUMBER(SEARCH("hole",C502)),"Material Frayed",ISNUMBER(SEARCH("tear",C502)),"Material Frayed",ISNUMBER(SEARCH("worn",C502)),"Material Frayed",ISNUMBER(SEARCH("intermittent",C502)),"Difficult or Delayed Activation",ISNUMBER(SEARCH("delay",C502)),"Difficult or Delayed Activation",ISNUMBER(SEARCH("label",C502)),"Device Markings/Labelling Problem",ISNUMBER(SEARCH("marking",C502)),"Device Markings/Labelling Problem",ISNUMBER(SEARCH("lacerat",C502)),"Defective Device",ISNUMBER(SEARCH("cut",C502)),"Defective Device",ISNUMBER(SEARCH("leak",C502)),"Fluid/Blood Leak",ISNUMBER(SEARCH("missing",C502)),"Component Missing",ISNUMBER(SEARCH("power",C502)),"Complete Loss of Power",ISNUMBER(SEARCH("will not turn on",C502)),"Complete Loss of Power",ISNUMBER(SEARCH("won't turn on",C502)),"Complete Loss of Power",ISNUMBER(SEARCH("does not turn on",C502)),"Complete Loss of Power",ISNUMBER(SEARCH("electrical",C502)),"Electrical Power Problem",ISNUMBER(SEARCH("pressure",C502)),"Detachment of Device or Device Component",ISNUMBER(SEARCH("slip",C502)),"Detachment of Device or Device Component",ISNUMBER(SEARCH("detach",C502)),"Detachment of Device or Device Component",ISNUMBER(SEARCH("stick",C502)),"Mechanical Jam",ISNUMBER(SEARCH("jam",C502)),"Mechanical Jam",ISNUMBER(SEARCH("rigid",C502)),"Mechanical Jam",ISNUMBER(SEARCH("rust",C502)),"Corroded",ISNUMBER(SEARCH("corrod",C502)),"Corroded",ISNUMBER(SEARCH("corrosion",C502)),"Corroded",ISNUMBER(SEARCH("alignment",C502)),"Defective Device",ISNUMBER(SEARCH("adjust",C502)),"Defective Device",ISNUMBER(SEARCH("perform",C502)),"Defective Device",ISNUMBER(SEARCH("malfunction",C502)),"Defective Device",ISNUMBER(SEARCH("defect",C502)),"Defective Device",ISNUMBER(SEARCH("fail",C502)),"Defective Device",ISNUMBER(SEARCH("not work",C502)),"Defective Device",ISNUMBER(SEARCH("doesn't work",C502)),"Defective Device",TRUE,"UNKNOWN"),"UNKNOWN")))</f>
        <v/>
      </c>
      <c r="F502" s="4" t="str">
        <f t="shared" si="7"/>
        <v/>
      </c>
      <c r="G502" s="363" t="str">
        <f>IF(E502="","",IFERROR(VLOOKUP(E502,Codes!$L$2:$N$409,3,FALSE),"—"))</f>
        <v/>
      </c>
      <c r="H502" s="88"/>
      <c r="I502" s="88"/>
    </row>
    <row r="503" spans="1:9" ht="13.15" x14ac:dyDescent="0.35">
      <c r="A503" s="435"/>
      <c r="B503" s="436"/>
      <c r="C503" s="438"/>
      <c r="D503" s="435"/>
      <c r="E503" s="93" t="str" cm="1">
        <f t="array" ref="E503">IF(D503&lt;&gt;"",IFERROR(VLOOKUP(D503,Codes!$K$2:$L$409,2,FALSE),"UNKNOWN - "&amp;D503),IF(C503="","",IFERROR(_xlfn.IFS(ISNUMBER(SEARCH("broken button",C503)),"Break",ISNUMBER(SEARCH("broken handle",C503)),"Break",ISNUMBER(SEARCH("shipping damage",C503)),"Break",ISNUMBER(SEARCH("broken",C503)),"Break",ISNUMBER(SEARCH("crack",C503)),"Break",ISNUMBER(SEARCH("snap",C503)),"Break",ISNUMBER(SEARCH("fracture",C503)),"Break",ISNUMBER(SEARCH("bent",C503)),"Material Twisted/Bent",ISNUMBER(SEARCH("twisted",C503)),"Material Twisted/Bent",ISNUMBER(SEARCH("component separat",C503)),"Material Separation",ISNUMBER(SEARCH("separat",C503)),"Material Separation",ISNUMBER(SEARCH("connection",C503)),"Loose or Intermittent Connection",ISNUMBER(SEARCH("loose",C503)),"Loose or Intermittent Connection",ISNUMBER(SEARCH("damaged packaging",C503)),"Packaging Problem",ISNUMBER(SEARCH("packaging",C503)),"Packaging Problem",ISNUMBER(SEARCH("discoloration",C503)),"Contamination",ISNUMBER(SEARCH("tarnish",C503)),"Contamination",ISNUMBER(SEARCH("stain",C503)),"Contamination",ISNUMBER(SEARCH("foreign material",C503)),"Contamination",ISNUMBER(SEARCH("contamina",C503)),"Contamination",ISNUMBER(SEARCH("overheat",C503)),"Overheating of Device",ISNUMBER(SEARCH("excessive heat",C503)),"Overheating of Device",ISNUMBER(SEARCH("hot",C503)),"Overheating of Device",ISNUMBER(SEARCH("noise",C503)),"Noise, Audible",ISNUMBER(SEARCH("sound",C503)),"Noise, Audible",ISNUMBER(SEARCH("loud",C503)),"Noise, Audible",ISNUMBER(SEARCH("fray",C503)),"Material Frayed",ISNUMBER(SEARCH("hole",C503)),"Material Frayed",ISNUMBER(SEARCH("tear",C503)),"Material Frayed",ISNUMBER(SEARCH("worn",C503)),"Material Frayed",ISNUMBER(SEARCH("intermittent",C503)),"Difficult or Delayed Activation",ISNUMBER(SEARCH("delay",C503)),"Difficult or Delayed Activation",ISNUMBER(SEARCH("label",C503)),"Device Markings/Labelling Problem",ISNUMBER(SEARCH("marking",C503)),"Device Markings/Labelling Problem",ISNUMBER(SEARCH("lacerat",C503)),"Defective Device",ISNUMBER(SEARCH("cut",C503)),"Defective Device",ISNUMBER(SEARCH("leak",C503)),"Fluid/Blood Leak",ISNUMBER(SEARCH("missing",C503)),"Component Missing",ISNUMBER(SEARCH("power",C503)),"Complete Loss of Power",ISNUMBER(SEARCH("will not turn on",C503)),"Complete Loss of Power",ISNUMBER(SEARCH("won't turn on",C503)),"Complete Loss of Power",ISNUMBER(SEARCH("does not turn on",C503)),"Complete Loss of Power",ISNUMBER(SEARCH("electrical",C503)),"Electrical Power Problem",ISNUMBER(SEARCH("pressure",C503)),"Detachment of Device or Device Component",ISNUMBER(SEARCH("slip",C503)),"Detachment of Device or Device Component",ISNUMBER(SEARCH("detach",C503)),"Detachment of Device or Device Component",ISNUMBER(SEARCH("stick",C503)),"Mechanical Jam",ISNUMBER(SEARCH("jam",C503)),"Mechanical Jam",ISNUMBER(SEARCH("rigid",C503)),"Mechanical Jam",ISNUMBER(SEARCH("rust",C503)),"Corroded",ISNUMBER(SEARCH("corrod",C503)),"Corroded",ISNUMBER(SEARCH("corrosion",C503)),"Corroded",ISNUMBER(SEARCH("alignment",C503)),"Defective Device",ISNUMBER(SEARCH("adjust",C503)),"Defective Device",ISNUMBER(SEARCH("perform",C503)),"Defective Device",ISNUMBER(SEARCH("malfunction",C503)),"Defective Device",ISNUMBER(SEARCH("defect",C503)),"Defective Device",ISNUMBER(SEARCH("fail",C503)),"Defective Device",ISNUMBER(SEARCH("not work",C503)),"Defective Device",ISNUMBER(SEARCH("doesn't work",C503)),"Defective Device",TRUE,"UNKNOWN"),"UNKNOWN")))</f>
        <v/>
      </c>
      <c r="F503" s="4" t="str">
        <f t="shared" si="7"/>
        <v/>
      </c>
      <c r="G503" s="363" t="str">
        <f>IF(E503="","",IFERROR(VLOOKUP(E503,Codes!$L$2:$N$409,3,FALSE),"—"))</f>
        <v/>
      </c>
      <c r="H503" s="88"/>
      <c r="I503" s="88"/>
    </row>
    <row r="504" spans="1:9" ht="13.15" x14ac:dyDescent="0.35">
      <c r="A504" s="434"/>
      <c r="B504" s="436"/>
      <c r="C504" s="437"/>
      <c r="D504" s="434"/>
      <c r="E504" s="93" t="str" cm="1">
        <f t="array" ref="E504">IF(D504&lt;&gt;"",IFERROR(VLOOKUP(D504,Codes!$K$2:$L$409,2,FALSE),"UNKNOWN - "&amp;D504),IF(C504="","",IFERROR(_xlfn.IFS(ISNUMBER(SEARCH("broken button",C504)),"Break",ISNUMBER(SEARCH("broken handle",C504)),"Break",ISNUMBER(SEARCH("shipping damage",C504)),"Break",ISNUMBER(SEARCH("broken",C504)),"Break",ISNUMBER(SEARCH("crack",C504)),"Break",ISNUMBER(SEARCH("snap",C504)),"Break",ISNUMBER(SEARCH("fracture",C504)),"Break",ISNUMBER(SEARCH("bent",C504)),"Material Twisted/Bent",ISNUMBER(SEARCH("twisted",C504)),"Material Twisted/Bent",ISNUMBER(SEARCH("component separat",C504)),"Material Separation",ISNUMBER(SEARCH("separat",C504)),"Material Separation",ISNUMBER(SEARCH("connection",C504)),"Loose or Intermittent Connection",ISNUMBER(SEARCH("loose",C504)),"Loose or Intermittent Connection",ISNUMBER(SEARCH("damaged packaging",C504)),"Packaging Problem",ISNUMBER(SEARCH("packaging",C504)),"Packaging Problem",ISNUMBER(SEARCH("discoloration",C504)),"Contamination",ISNUMBER(SEARCH("tarnish",C504)),"Contamination",ISNUMBER(SEARCH("stain",C504)),"Contamination",ISNUMBER(SEARCH("foreign material",C504)),"Contamination",ISNUMBER(SEARCH("contamina",C504)),"Contamination",ISNUMBER(SEARCH("overheat",C504)),"Overheating of Device",ISNUMBER(SEARCH("excessive heat",C504)),"Overheating of Device",ISNUMBER(SEARCH("hot",C504)),"Overheating of Device",ISNUMBER(SEARCH("noise",C504)),"Noise, Audible",ISNUMBER(SEARCH("sound",C504)),"Noise, Audible",ISNUMBER(SEARCH("loud",C504)),"Noise, Audible",ISNUMBER(SEARCH("fray",C504)),"Material Frayed",ISNUMBER(SEARCH("hole",C504)),"Material Frayed",ISNUMBER(SEARCH("tear",C504)),"Material Frayed",ISNUMBER(SEARCH("worn",C504)),"Material Frayed",ISNUMBER(SEARCH("intermittent",C504)),"Difficult or Delayed Activation",ISNUMBER(SEARCH("delay",C504)),"Difficult or Delayed Activation",ISNUMBER(SEARCH("label",C504)),"Device Markings/Labelling Problem",ISNUMBER(SEARCH("marking",C504)),"Device Markings/Labelling Problem",ISNUMBER(SEARCH("lacerat",C504)),"Defective Device",ISNUMBER(SEARCH("cut",C504)),"Defective Device",ISNUMBER(SEARCH("leak",C504)),"Fluid/Blood Leak",ISNUMBER(SEARCH("missing",C504)),"Component Missing",ISNUMBER(SEARCH("power",C504)),"Complete Loss of Power",ISNUMBER(SEARCH("will not turn on",C504)),"Complete Loss of Power",ISNUMBER(SEARCH("won't turn on",C504)),"Complete Loss of Power",ISNUMBER(SEARCH("does not turn on",C504)),"Complete Loss of Power",ISNUMBER(SEARCH("electrical",C504)),"Electrical Power Problem",ISNUMBER(SEARCH("pressure",C504)),"Detachment of Device or Device Component",ISNUMBER(SEARCH("slip",C504)),"Detachment of Device or Device Component",ISNUMBER(SEARCH("detach",C504)),"Detachment of Device or Device Component",ISNUMBER(SEARCH("stick",C504)),"Mechanical Jam",ISNUMBER(SEARCH("jam",C504)),"Mechanical Jam",ISNUMBER(SEARCH("rigid",C504)),"Mechanical Jam",ISNUMBER(SEARCH("rust",C504)),"Corroded",ISNUMBER(SEARCH("corrod",C504)),"Corroded",ISNUMBER(SEARCH("corrosion",C504)),"Corroded",ISNUMBER(SEARCH("alignment",C504)),"Defective Device",ISNUMBER(SEARCH("adjust",C504)),"Defective Device",ISNUMBER(SEARCH("perform",C504)),"Defective Device",ISNUMBER(SEARCH("malfunction",C504)),"Defective Device",ISNUMBER(SEARCH("defect",C504)),"Defective Device",ISNUMBER(SEARCH("fail",C504)),"Defective Device",ISNUMBER(SEARCH("not work",C504)),"Defective Device",ISNUMBER(SEARCH("doesn't work",C504)),"Defective Device",TRUE,"UNKNOWN"),"UNKNOWN")))</f>
        <v/>
      </c>
      <c r="F504" s="4" t="str">
        <f t="shared" si="7"/>
        <v/>
      </c>
      <c r="G504" s="363" t="str">
        <f>IF(E504="","",IFERROR(VLOOKUP(E504,Codes!$L$2:$N$409,3,FALSE),"—"))</f>
        <v/>
      </c>
      <c r="H504" s="88"/>
      <c r="I504" s="88"/>
    </row>
    <row r="505" spans="1:9" ht="13.15" x14ac:dyDescent="0.35">
      <c r="A505" s="434"/>
      <c r="B505" s="436"/>
      <c r="C505" s="439"/>
      <c r="D505" s="434"/>
      <c r="E505" s="93" t="str" cm="1">
        <f t="array" ref="E505">IF(D505&lt;&gt;"",IFERROR(VLOOKUP(D505,Codes!$K$2:$L$409,2,FALSE),"UNKNOWN - "&amp;D505),IF(C505="","",IFERROR(_xlfn.IFS(ISNUMBER(SEARCH("broken button",C505)),"Break",ISNUMBER(SEARCH("broken handle",C505)),"Break",ISNUMBER(SEARCH("shipping damage",C505)),"Break",ISNUMBER(SEARCH("broken",C505)),"Break",ISNUMBER(SEARCH("crack",C505)),"Break",ISNUMBER(SEARCH("snap",C505)),"Break",ISNUMBER(SEARCH("fracture",C505)),"Break",ISNUMBER(SEARCH("bent",C505)),"Material Twisted/Bent",ISNUMBER(SEARCH("twisted",C505)),"Material Twisted/Bent",ISNUMBER(SEARCH("component separat",C505)),"Material Separation",ISNUMBER(SEARCH("separat",C505)),"Material Separation",ISNUMBER(SEARCH("connection",C505)),"Loose or Intermittent Connection",ISNUMBER(SEARCH("loose",C505)),"Loose or Intermittent Connection",ISNUMBER(SEARCH("damaged packaging",C505)),"Packaging Problem",ISNUMBER(SEARCH("packaging",C505)),"Packaging Problem",ISNUMBER(SEARCH("discoloration",C505)),"Contamination",ISNUMBER(SEARCH("tarnish",C505)),"Contamination",ISNUMBER(SEARCH("stain",C505)),"Contamination",ISNUMBER(SEARCH("foreign material",C505)),"Contamination",ISNUMBER(SEARCH("contamina",C505)),"Contamination",ISNUMBER(SEARCH("overheat",C505)),"Overheating of Device",ISNUMBER(SEARCH("excessive heat",C505)),"Overheating of Device",ISNUMBER(SEARCH("hot",C505)),"Overheating of Device",ISNUMBER(SEARCH("noise",C505)),"Noise, Audible",ISNUMBER(SEARCH("sound",C505)),"Noise, Audible",ISNUMBER(SEARCH("loud",C505)),"Noise, Audible",ISNUMBER(SEARCH("fray",C505)),"Material Frayed",ISNUMBER(SEARCH("hole",C505)),"Material Frayed",ISNUMBER(SEARCH("tear",C505)),"Material Frayed",ISNUMBER(SEARCH("worn",C505)),"Material Frayed",ISNUMBER(SEARCH("intermittent",C505)),"Difficult or Delayed Activation",ISNUMBER(SEARCH("delay",C505)),"Difficult or Delayed Activation",ISNUMBER(SEARCH("label",C505)),"Device Markings/Labelling Problem",ISNUMBER(SEARCH("marking",C505)),"Device Markings/Labelling Problem",ISNUMBER(SEARCH("lacerat",C505)),"Defective Device",ISNUMBER(SEARCH("cut",C505)),"Defective Device",ISNUMBER(SEARCH("leak",C505)),"Fluid/Blood Leak",ISNUMBER(SEARCH("missing",C505)),"Component Missing",ISNUMBER(SEARCH("power",C505)),"Complete Loss of Power",ISNUMBER(SEARCH("will not turn on",C505)),"Complete Loss of Power",ISNUMBER(SEARCH("won't turn on",C505)),"Complete Loss of Power",ISNUMBER(SEARCH("does not turn on",C505)),"Complete Loss of Power",ISNUMBER(SEARCH("electrical",C505)),"Electrical Power Problem",ISNUMBER(SEARCH("pressure",C505)),"Detachment of Device or Device Component",ISNUMBER(SEARCH("slip",C505)),"Detachment of Device or Device Component",ISNUMBER(SEARCH("detach",C505)),"Detachment of Device or Device Component",ISNUMBER(SEARCH("stick",C505)),"Mechanical Jam",ISNUMBER(SEARCH("jam",C505)),"Mechanical Jam",ISNUMBER(SEARCH("rigid",C505)),"Mechanical Jam",ISNUMBER(SEARCH("rust",C505)),"Corroded",ISNUMBER(SEARCH("corrod",C505)),"Corroded",ISNUMBER(SEARCH("corrosion",C505)),"Corroded",ISNUMBER(SEARCH("alignment",C505)),"Defective Device",ISNUMBER(SEARCH("adjust",C505)),"Defective Device",ISNUMBER(SEARCH("perform",C505)),"Defective Device",ISNUMBER(SEARCH("malfunction",C505)),"Defective Device",ISNUMBER(SEARCH("defect",C505)),"Defective Device",ISNUMBER(SEARCH("fail",C505)),"Defective Device",ISNUMBER(SEARCH("not work",C505)),"Defective Device",ISNUMBER(SEARCH("doesn't work",C505)),"Defective Device",TRUE,"UNKNOWN"),"UNKNOWN")))</f>
        <v/>
      </c>
      <c r="F505" s="4" t="str">
        <f t="shared" si="7"/>
        <v/>
      </c>
      <c r="G505" s="363" t="str">
        <f>IF(E505="","",IFERROR(VLOOKUP(E505,Codes!$L$2:$N$409,3,FALSE),"—"))</f>
        <v/>
      </c>
      <c r="H505" s="88"/>
      <c r="I505" s="88"/>
    </row>
    <row r="506" spans="1:9" ht="13.15" x14ac:dyDescent="0.35">
      <c r="A506" s="435"/>
      <c r="B506" s="436"/>
      <c r="C506" s="438"/>
      <c r="D506" s="435"/>
      <c r="E506" s="93" t="str" cm="1">
        <f t="array" ref="E506">IF(D506&lt;&gt;"",IFERROR(VLOOKUP(D506,Codes!$K$2:$L$409,2,FALSE),"UNKNOWN - "&amp;D506),IF(C506="","",IFERROR(_xlfn.IFS(ISNUMBER(SEARCH("broken button",C506)),"Break",ISNUMBER(SEARCH("broken handle",C506)),"Break",ISNUMBER(SEARCH("shipping damage",C506)),"Break",ISNUMBER(SEARCH("broken",C506)),"Break",ISNUMBER(SEARCH("crack",C506)),"Break",ISNUMBER(SEARCH("snap",C506)),"Break",ISNUMBER(SEARCH("fracture",C506)),"Break",ISNUMBER(SEARCH("bent",C506)),"Material Twisted/Bent",ISNUMBER(SEARCH("twisted",C506)),"Material Twisted/Bent",ISNUMBER(SEARCH("component separat",C506)),"Material Separation",ISNUMBER(SEARCH("separat",C506)),"Material Separation",ISNUMBER(SEARCH("connection",C506)),"Loose or Intermittent Connection",ISNUMBER(SEARCH("loose",C506)),"Loose or Intermittent Connection",ISNUMBER(SEARCH("damaged packaging",C506)),"Packaging Problem",ISNUMBER(SEARCH("packaging",C506)),"Packaging Problem",ISNUMBER(SEARCH("discoloration",C506)),"Contamination",ISNUMBER(SEARCH("tarnish",C506)),"Contamination",ISNUMBER(SEARCH("stain",C506)),"Contamination",ISNUMBER(SEARCH("foreign material",C506)),"Contamination",ISNUMBER(SEARCH("contamina",C506)),"Contamination",ISNUMBER(SEARCH("overheat",C506)),"Overheating of Device",ISNUMBER(SEARCH("excessive heat",C506)),"Overheating of Device",ISNUMBER(SEARCH("hot",C506)),"Overheating of Device",ISNUMBER(SEARCH("noise",C506)),"Noise, Audible",ISNUMBER(SEARCH("sound",C506)),"Noise, Audible",ISNUMBER(SEARCH("loud",C506)),"Noise, Audible",ISNUMBER(SEARCH("fray",C506)),"Material Frayed",ISNUMBER(SEARCH("hole",C506)),"Material Frayed",ISNUMBER(SEARCH("tear",C506)),"Material Frayed",ISNUMBER(SEARCH("worn",C506)),"Material Frayed",ISNUMBER(SEARCH("intermittent",C506)),"Difficult or Delayed Activation",ISNUMBER(SEARCH("delay",C506)),"Difficult or Delayed Activation",ISNUMBER(SEARCH("label",C506)),"Device Markings/Labelling Problem",ISNUMBER(SEARCH("marking",C506)),"Device Markings/Labelling Problem",ISNUMBER(SEARCH("lacerat",C506)),"Defective Device",ISNUMBER(SEARCH("cut",C506)),"Defective Device",ISNUMBER(SEARCH("leak",C506)),"Fluid/Blood Leak",ISNUMBER(SEARCH("missing",C506)),"Component Missing",ISNUMBER(SEARCH("power",C506)),"Complete Loss of Power",ISNUMBER(SEARCH("will not turn on",C506)),"Complete Loss of Power",ISNUMBER(SEARCH("won't turn on",C506)),"Complete Loss of Power",ISNUMBER(SEARCH("does not turn on",C506)),"Complete Loss of Power",ISNUMBER(SEARCH("electrical",C506)),"Electrical Power Problem",ISNUMBER(SEARCH("pressure",C506)),"Detachment of Device or Device Component",ISNUMBER(SEARCH("slip",C506)),"Detachment of Device or Device Component",ISNUMBER(SEARCH("detach",C506)),"Detachment of Device or Device Component",ISNUMBER(SEARCH("stick",C506)),"Mechanical Jam",ISNUMBER(SEARCH("jam",C506)),"Mechanical Jam",ISNUMBER(SEARCH("rigid",C506)),"Mechanical Jam",ISNUMBER(SEARCH("rust",C506)),"Corroded",ISNUMBER(SEARCH("corrod",C506)),"Corroded",ISNUMBER(SEARCH("corrosion",C506)),"Corroded",ISNUMBER(SEARCH("alignment",C506)),"Defective Device",ISNUMBER(SEARCH("adjust",C506)),"Defective Device",ISNUMBER(SEARCH("perform",C506)),"Defective Device",ISNUMBER(SEARCH("malfunction",C506)),"Defective Device",ISNUMBER(SEARCH("defect",C506)),"Defective Device",ISNUMBER(SEARCH("fail",C506)),"Defective Device",ISNUMBER(SEARCH("not work",C506)),"Defective Device",ISNUMBER(SEARCH("doesn't work",C506)),"Defective Device",TRUE,"UNKNOWN"),"UNKNOWN")))</f>
        <v/>
      </c>
      <c r="F506" s="4" t="str">
        <f t="shared" si="7"/>
        <v/>
      </c>
      <c r="G506" s="363" t="str">
        <f>IF(E506="","",IFERROR(VLOOKUP(E506,Codes!$L$2:$N$409,3,FALSE),"—"))</f>
        <v/>
      </c>
      <c r="H506" s="88"/>
      <c r="I506" s="88"/>
    </row>
    <row r="507" spans="1:9" ht="13.15" x14ac:dyDescent="0.35">
      <c r="A507" s="435"/>
      <c r="B507" s="436"/>
      <c r="C507" s="438"/>
      <c r="D507" s="435"/>
      <c r="E507" s="93" t="str" cm="1">
        <f t="array" ref="E507">IF(D507&lt;&gt;"",IFERROR(VLOOKUP(D507,Codes!$K$2:$L$409,2,FALSE),"UNKNOWN - "&amp;D507),IF(C507="","",IFERROR(_xlfn.IFS(ISNUMBER(SEARCH("broken button",C507)),"Break",ISNUMBER(SEARCH("broken handle",C507)),"Break",ISNUMBER(SEARCH("shipping damage",C507)),"Break",ISNUMBER(SEARCH("broken",C507)),"Break",ISNUMBER(SEARCH("crack",C507)),"Break",ISNUMBER(SEARCH("snap",C507)),"Break",ISNUMBER(SEARCH("fracture",C507)),"Break",ISNUMBER(SEARCH("bent",C507)),"Material Twisted/Bent",ISNUMBER(SEARCH("twisted",C507)),"Material Twisted/Bent",ISNUMBER(SEARCH("component separat",C507)),"Material Separation",ISNUMBER(SEARCH("separat",C507)),"Material Separation",ISNUMBER(SEARCH("connection",C507)),"Loose or Intermittent Connection",ISNUMBER(SEARCH("loose",C507)),"Loose or Intermittent Connection",ISNUMBER(SEARCH("damaged packaging",C507)),"Packaging Problem",ISNUMBER(SEARCH("packaging",C507)),"Packaging Problem",ISNUMBER(SEARCH("discoloration",C507)),"Contamination",ISNUMBER(SEARCH("tarnish",C507)),"Contamination",ISNUMBER(SEARCH("stain",C507)),"Contamination",ISNUMBER(SEARCH("foreign material",C507)),"Contamination",ISNUMBER(SEARCH("contamina",C507)),"Contamination",ISNUMBER(SEARCH("overheat",C507)),"Overheating of Device",ISNUMBER(SEARCH("excessive heat",C507)),"Overheating of Device",ISNUMBER(SEARCH("hot",C507)),"Overheating of Device",ISNUMBER(SEARCH("noise",C507)),"Noise, Audible",ISNUMBER(SEARCH("sound",C507)),"Noise, Audible",ISNUMBER(SEARCH("loud",C507)),"Noise, Audible",ISNUMBER(SEARCH("fray",C507)),"Material Frayed",ISNUMBER(SEARCH("hole",C507)),"Material Frayed",ISNUMBER(SEARCH("tear",C507)),"Material Frayed",ISNUMBER(SEARCH("worn",C507)),"Material Frayed",ISNUMBER(SEARCH("intermittent",C507)),"Difficult or Delayed Activation",ISNUMBER(SEARCH("delay",C507)),"Difficult or Delayed Activation",ISNUMBER(SEARCH("label",C507)),"Device Markings/Labelling Problem",ISNUMBER(SEARCH("marking",C507)),"Device Markings/Labelling Problem",ISNUMBER(SEARCH("lacerat",C507)),"Defective Device",ISNUMBER(SEARCH("cut",C507)),"Defective Device",ISNUMBER(SEARCH("leak",C507)),"Fluid/Blood Leak",ISNUMBER(SEARCH("missing",C507)),"Component Missing",ISNUMBER(SEARCH("power",C507)),"Complete Loss of Power",ISNUMBER(SEARCH("will not turn on",C507)),"Complete Loss of Power",ISNUMBER(SEARCH("won't turn on",C507)),"Complete Loss of Power",ISNUMBER(SEARCH("does not turn on",C507)),"Complete Loss of Power",ISNUMBER(SEARCH("electrical",C507)),"Electrical Power Problem",ISNUMBER(SEARCH("pressure",C507)),"Detachment of Device or Device Component",ISNUMBER(SEARCH("slip",C507)),"Detachment of Device or Device Component",ISNUMBER(SEARCH("detach",C507)),"Detachment of Device or Device Component",ISNUMBER(SEARCH("stick",C507)),"Mechanical Jam",ISNUMBER(SEARCH("jam",C507)),"Mechanical Jam",ISNUMBER(SEARCH("rigid",C507)),"Mechanical Jam",ISNUMBER(SEARCH("rust",C507)),"Corroded",ISNUMBER(SEARCH("corrod",C507)),"Corroded",ISNUMBER(SEARCH("corrosion",C507)),"Corroded",ISNUMBER(SEARCH("alignment",C507)),"Defective Device",ISNUMBER(SEARCH("adjust",C507)),"Defective Device",ISNUMBER(SEARCH("perform",C507)),"Defective Device",ISNUMBER(SEARCH("malfunction",C507)),"Defective Device",ISNUMBER(SEARCH("defect",C507)),"Defective Device",ISNUMBER(SEARCH("fail",C507)),"Defective Device",ISNUMBER(SEARCH("not work",C507)),"Defective Device",ISNUMBER(SEARCH("doesn't work",C507)),"Defective Device",TRUE,"UNKNOWN"),"UNKNOWN")))</f>
        <v/>
      </c>
      <c r="F507" s="4" t="str">
        <f t="shared" si="7"/>
        <v/>
      </c>
      <c r="G507" s="363" t="str">
        <f>IF(E507="","",IFERROR(VLOOKUP(E507,Codes!$L$2:$N$409,3,FALSE),"—"))</f>
        <v/>
      </c>
      <c r="H507" s="88"/>
      <c r="I507" s="88"/>
    </row>
    <row r="508" spans="1:9" ht="13.15" x14ac:dyDescent="0.35">
      <c r="A508" s="435"/>
      <c r="B508" s="436"/>
      <c r="C508" s="438"/>
      <c r="D508" s="435"/>
      <c r="E508" s="93" t="str" cm="1">
        <f t="array" ref="E508">IF(D508&lt;&gt;"",IFERROR(VLOOKUP(D508,Codes!$K$2:$L$409,2,FALSE),"UNKNOWN - "&amp;D508),IF(C508="","",IFERROR(_xlfn.IFS(ISNUMBER(SEARCH("broken button",C508)),"Break",ISNUMBER(SEARCH("broken handle",C508)),"Break",ISNUMBER(SEARCH("shipping damage",C508)),"Break",ISNUMBER(SEARCH("broken",C508)),"Break",ISNUMBER(SEARCH("crack",C508)),"Break",ISNUMBER(SEARCH("snap",C508)),"Break",ISNUMBER(SEARCH("fracture",C508)),"Break",ISNUMBER(SEARCH("bent",C508)),"Material Twisted/Bent",ISNUMBER(SEARCH("twisted",C508)),"Material Twisted/Bent",ISNUMBER(SEARCH("component separat",C508)),"Material Separation",ISNUMBER(SEARCH("separat",C508)),"Material Separation",ISNUMBER(SEARCH("connection",C508)),"Loose or Intermittent Connection",ISNUMBER(SEARCH("loose",C508)),"Loose or Intermittent Connection",ISNUMBER(SEARCH("damaged packaging",C508)),"Packaging Problem",ISNUMBER(SEARCH("packaging",C508)),"Packaging Problem",ISNUMBER(SEARCH("discoloration",C508)),"Contamination",ISNUMBER(SEARCH("tarnish",C508)),"Contamination",ISNUMBER(SEARCH("stain",C508)),"Contamination",ISNUMBER(SEARCH("foreign material",C508)),"Contamination",ISNUMBER(SEARCH("contamina",C508)),"Contamination",ISNUMBER(SEARCH("overheat",C508)),"Overheating of Device",ISNUMBER(SEARCH("excessive heat",C508)),"Overheating of Device",ISNUMBER(SEARCH("hot",C508)),"Overheating of Device",ISNUMBER(SEARCH("noise",C508)),"Noise, Audible",ISNUMBER(SEARCH("sound",C508)),"Noise, Audible",ISNUMBER(SEARCH("loud",C508)),"Noise, Audible",ISNUMBER(SEARCH("fray",C508)),"Material Frayed",ISNUMBER(SEARCH("hole",C508)),"Material Frayed",ISNUMBER(SEARCH("tear",C508)),"Material Frayed",ISNUMBER(SEARCH("worn",C508)),"Material Frayed",ISNUMBER(SEARCH("intermittent",C508)),"Difficult or Delayed Activation",ISNUMBER(SEARCH("delay",C508)),"Difficult or Delayed Activation",ISNUMBER(SEARCH("label",C508)),"Device Markings/Labelling Problem",ISNUMBER(SEARCH("marking",C508)),"Device Markings/Labelling Problem",ISNUMBER(SEARCH("lacerat",C508)),"Defective Device",ISNUMBER(SEARCH("cut",C508)),"Defective Device",ISNUMBER(SEARCH("leak",C508)),"Fluid/Blood Leak",ISNUMBER(SEARCH("missing",C508)),"Component Missing",ISNUMBER(SEARCH("power",C508)),"Complete Loss of Power",ISNUMBER(SEARCH("will not turn on",C508)),"Complete Loss of Power",ISNUMBER(SEARCH("won't turn on",C508)),"Complete Loss of Power",ISNUMBER(SEARCH("does not turn on",C508)),"Complete Loss of Power",ISNUMBER(SEARCH("electrical",C508)),"Electrical Power Problem",ISNUMBER(SEARCH("pressure",C508)),"Detachment of Device or Device Component",ISNUMBER(SEARCH("slip",C508)),"Detachment of Device or Device Component",ISNUMBER(SEARCH("detach",C508)),"Detachment of Device or Device Component",ISNUMBER(SEARCH("stick",C508)),"Mechanical Jam",ISNUMBER(SEARCH("jam",C508)),"Mechanical Jam",ISNUMBER(SEARCH("rigid",C508)),"Mechanical Jam",ISNUMBER(SEARCH("rust",C508)),"Corroded",ISNUMBER(SEARCH("corrod",C508)),"Corroded",ISNUMBER(SEARCH("corrosion",C508)),"Corroded",ISNUMBER(SEARCH("alignment",C508)),"Defective Device",ISNUMBER(SEARCH("adjust",C508)),"Defective Device",ISNUMBER(SEARCH("perform",C508)),"Defective Device",ISNUMBER(SEARCH("malfunction",C508)),"Defective Device",ISNUMBER(SEARCH("defect",C508)),"Defective Device",ISNUMBER(SEARCH("fail",C508)),"Defective Device",ISNUMBER(SEARCH("not work",C508)),"Defective Device",ISNUMBER(SEARCH("doesn't work",C508)),"Defective Device",TRUE,"UNKNOWN"),"UNKNOWN")))</f>
        <v/>
      </c>
      <c r="F508" s="4" t="str">
        <f t="shared" si="7"/>
        <v/>
      </c>
      <c r="G508" s="363" t="str">
        <f>IF(E508="","",IFERROR(VLOOKUP(E508,Codes!$L$2:$N$409,3,FALSE),"—"))</f>
        <v/>
      </c>
      <c r="H508" s="88"/>
      <c r="I508" s="88"/>
    </row>
    <row r="509" spans="1:9" ht="13.15" x14ac:dyDescent="0.35">
      <c r="A509" s="434"/>
      <c r="B509" s="436"/>
      <c r="C509" s="437"/>
      <c r="D509" s="434"/>
      <c r="E509" s="93" t="str" cm="1">
        <f t="array" ref="E509">IF(D509&lt;&gt;"",IFERROR(VLOOKUP(D509,Codes!$K$2:$L$409,2,FALSE),"UNKNOWN - "&amp;D509),IF(C509="","",IFERROR(_xlfn.IFS(ISNUMBER(SEARCH("broken button",C509)),"Break",ISNUMBER(SEARCH("broken handle",C509)),"Break",ISNUMBER(SEARCH("shipping damage",C509)),"Break",ISNUMBER(SEARCH("broken",C509)),"Break",ISNUMBER(SEARCH("crack",C509)),"Break",ISNUMBER(SEARCH("snap",C509)),"Break",ISNUMBER(SEARCH("fracture",C509)),"Break",ISNUMBER(SEARCH("bent",C509)),"Material Twisted/Bent",ISNUMBER(SEARCH("twisted",C509)),"Material Twisted/Bent",ISNUMBER(SEARCH("component separat",C509)),"Material Separation",ISNUMBER(SEARCH("separat",C509)),"Material Separation",ISNUMBER(SEARCH("connection",C509)),"Loose or Intermittent Connection",ISNUMBER(SEARCH("loose",C509)),"Loose or Intermittent Connection",ISNUMBER(SEARCH("damaged packaging",C509)),"Packaging Problem",ISNUMBER(SEARCH("packaging",C509)),"Packaging Problem",ISNUMBER(SEARCH("discoloration",C509)),"Contamination",ISNUMBER(SEARCH("tarnish",C509)),"Contamination",ISNUMBER(SEARCH("stain",C509)),"Contamination",ISNUMBER(SEARCH("foreign material",C509)),"Contamination",ISNUMBER(SEARCH("contamina",C509)),"Contamination",ISNUMBER(SEARCH("overheat",C509)),"Overheating of Device",ISNUMBER(SEARCH("excessive heat",C509)),"Overheating of Device",ISNUMBER(SEARCH("hot",C509)),"Overheating of Device",ISNUMBER(SEARCH("noise",C509)),"Noise, Audible",ISNUMBER(SEARCH("sound",C509)),"Noise, Audible",ISNUMBER(SEARCH("loud",C509)),"Noise, Audible",ISNUMBER(SEARCH("fray",C509)),"Material Frayed",ISNUMBER(SEARCH("hole",C509)),"Material Frayed",ISNUMBER(SEARCH("tear",C509)),"Material Frayed",ISNUMBER(SEARCH("worn",C509)),"Material Frayed",ISNUMBER(SEARCH("intermittent",C509)),"Difficult or Delayed Activation",ISNUMBER(SEARCH("delay",C509)),"Difficult or Delayed Activation",ISNUMBER(SEARCH("label",C509)),"Device Markings/Labelling Problem",ISNUMBER(SEARCH("marking",C509)),"Device Markings/Labelling Problem",ISNUMBER(SEARCH("lacerat",C509)),"Defective Device",ISNUMBER(SEARCH("cut",C509)),"Defective Device",ISNUMBER(SEARCH("leak",C509)),"Fluid/Blood Leak",ISNUMBER(SEARCH("missing",C509)),"Component Missing",ISNUMBER(SEARCH("power",C509)),"Complete Loss of Power",ISNUMBER(SEARCH("will not turn on",C509)),"Complete Loss of Power",ISNUMBER(SEARCH("won't turn on",C509)),"Complete Loss of Power",ISNUMBER(SEARCH("does not turn on",C509)),"Complete Loss of Power",ISNUMBER(SEARCH("electrical",C509)),"Electrical Power Problem",ISNUMBER(SEARCH("pressure",C509)),"Detachment of Device or Device Component",ISNUMBER(SEARCH("slip",C509)),"Detachment of Device or Device Component",ISNUMBER(SEARCH("detach",C509)),"Detachment of Device or Device Component",ISNUMBER(SEARCH("stick",C509)),"Mechanical Jam",ISNUMBER(SEARCH("jam",C509)),"Mechanical Jam",ISNUMBER(SEARCH("rigid",C509)),"Mechanical Jam",ISNUMBER(SEARCH("rust",C509)),"Corroded",ISNUMBER(SEARCH("corrod",C509)),"Corroded",ISNUMBER(SEARCH("corrosion",C509)),"Corroded",ISNUMBER(SEARCH("alignment",C509)),"Defective Device",ISNUMBER(SEARCH("adjust",C509)),"Defective Device",ISNUMBER(SEARCH("perform",C509)),"Defective Device",ISNUMBER(SEARCH("malfunction",C509)),"Defective Device",ISNUMBER(SEARCH("defect",C509)),"Defective Device",ISNUMBER(SEARCH("fail",C509)),"Defective Device",ISNUMBER(SEARCH("not work",C509)),"Defective Device",ISNUMBER(SEARCH("doesn't work",C509)),"Defective Device",TRUE,"UNKNOWN"),"UNKNOWN")))</f>
        <v/>
      </c>
      <c r="F509" s="4" t="str">
        <f t="shared" si="7"/>
        <v/>
      </c>
      <c r="G509" s="363" t="str">
        <f>IF(E509="","",IFERROR(VLOOKUP(E509,Codes!$L$2:$N$409,3,FALSE),"—"))</f>
        <v/>
      </c>
      <c r="H509" s="88"/>
      <c r="I509" s="88"/>
    </row>
    <row r="510" spans="1:9" ht="13.15" x14ac:dyDescent="0.35">
      <c r="A510" s="434"/>
      <c r="B510" s="436"/>
      <c r="C510" s="437"/>
      <c r="D510" s="434"/>
      <c r="E510" s="93" t="str" cm="1">
        <f t="array" ref="E510">IF(D510&lt;&gt;"",IFERROR(VLOOKUP(D510,Codes!$K$2:$L$409,2,FALSE),"UNKNOWN - "&amp;D510),IF(C510="","",IFERROR(_xlfn.IFS(ISNUMBER(SEARCH("broken button",C510)),"Break",ISNUMBER(SEARCH("broken handle",C510)),"Break",ISNUMBER(SEARCH("shipping damage",C510)),"Break",ISNUMBER(SEARCH("broken",C510)),"Break",ISNUMBER(SEARCH("crack",C510)),"Break",ISNUMBER(SEARCH("snap",C510)),"Break",ISNUMBER(SEARCH("fracture",C510)),"Break",ISNUMBER(SEARCH("bent",C510)),"Material Twisted/Bent",ISNUMBER(SEARCH("twisted",C510)),"Material Twisted/Bent",ISNUMBER(SEARCH("component separat",C510)),"Material Separation",ISNUMBER(SEARCH("separat",C510)),"Material Separation",ISNUMBER(SEARCH("connection",C510)),"Loose or Intermittent Connection",ISNUMBER(SEARCH("loose",C510)),"Loose or Intermittent Connection",ISNUMBER(SEARCH("damaged packaging",C510)),"Packaging Problem",ISNUMBER(SEARCH("packaging",C510)),"Packaging Problem",ISNUMBER(SEARCH("discoloration",C510)),"Contamination",ISNUMBER(SEARCH("tarnish",C510)),"Contamination",ISNUMBER(SEARCH("stain",C510)),"Contamination",ISNUMBER(SEARCH("foreign material",C510)),"Contamination",ISNUMBER(SEARCH("contamina",C510)),"Contamination",ISNUMBER(SEARCH("overheat",C510)),"Overheating of Device",ISNUMBER(SEARCH("excessive heat",C510)),"Overheating of Device",ISNUMBER(SEARCH("hot",C510)),"Overheating of Device",ISNUMBER(SEARCH("noise",C510)),"Noise, Audible",ISNUMBER(SEARCH("sound",C510)),"Noise, Audible",ISNUMBER(SEARCH("loud",C510)),"Noise, Audible",ISNUMBER(SEARCH("fray",C510)),"Material Frayed",ISNUMBER(SEARCH("hole",C510)),"Material Frayed",ISNUMBER(SEARCH("tear",C510)),"Material Frayed",ISNUMBER(SEARCH("worn",C510)),"Material Frayed",ISNUMBER(SEARCH("intermittent",C510)),"Difficult or Delayed Activation",ISNUMBER(SEARCH("delay",C510)),"Difficult or Delayed Activation",ISNUMBER(SEARCH("label",C510)),"Device Markings/Labelling Problem",ISNUMBER(SEARCH("marking",C510)),"Device Markings/Labelling Problem",ISNUMBER(SEARCH("lacerat",C510)),"Defective Device",ISNUMBER(SEARCH("cut",C510)),"Defective Device",ISNUMBER(SEARCH("leak",C510)),"Fluid/Blood Leak",ISNUMBER(SEARCH("missing",C510)),"Component Missing",ISNUMBER(SEARCH("power",C510)),"Complete Loss of Power",ISNUMBER(SEARCH("will not turn on",C510)),"Complete Loss of Power",ISNUMBER(SEARCH("won't turn on",C510)),"Complete Loss of Power",ISNUMBER(SEARCH("does not turn on",C510)),"Complete Loss of Power",ISNUMBER(SEARCH("electrical",C510)),"Electrical Power Problem",ISNUMBER(SEARCH("pressure",C510)),"Detachment of Device or Device Component",ISNUMBER(SEARCH("slip",C510)),"Detachment of Device or Device Component",ISNUMBER(SEARCH("detach",C510)),"Detachment of Device or Device Component",ISNUMBER(SEARCH("stick",C510)),"Mechanical Jam",ISNUMBER(SEARCH("jam",C510)),"Mechanical Jam",ISNUMBER(SEARCH("rigid",C510)),"Mechanical Jam",ISNUMBER(SEARCH("rust",C510)),"Corroded",ISNUMBER(SEARCH("corrod",C510)),"Corroded",ISNUMBER(SEARCH("corrosion",C510)),"Corroded",ISNUMBER(SEARCH("alignment",C510)),"Defective Device",ISNUMBER(SEARCH("adjust",C510)),"Defective Device",ISNUMBER(SEARCH("perform",C510)),"Defective Device",ISNUMBER(SEARCH("malfunction",C510)),"Defective Device",ISNUMBER(SEARCH("defect",C510)),"Defective Device",ISNUMBER(SEARCH("fail",C510)),"Defective Device",ISNUMBER(SEARCH("not work",C510)),"Defective Device",ISNUMBER(SEARCH("doesn't work",C510)),"Defective Device",TRUE,"UNKNOWN"),"UNKNOWN")))</f>
        <v/>
      </c>
      <c r="F510" s="4" t="str">
        <f t="shared" si="7"/>
        <v/>
      </c>
      <c r="G510" s="363" t="str">
        <f>IF(E510="","",IFERROR(VLOOKUP(E510,Codes!$L$2:$N$409,3,FALSE),"—"))</f>
        <v/>
      </c>
      <c r="H510" s="88"/>
      <c r="I510" s="88"/>
    </row>
    <row r="511" spans="1:9" ht="13.15" x14ac:dyDescent="0.35">
      <c r="A511" s="435"/>
      <c r="B511" s="436"/>
      <c r="C511" s="438"/>
      <c r="D511" s="435"/>
      <c r="E511" s="93" t="str" cm="1">
        <f t="array" ref="E511">IF(D511&lt;&gt;"",IFERROR(VLOOKUP(D511,Codes!$K$2:$L$409,2,FALSE),"UNKNOWN - "&amp;D511),IF(C511="","",IFERROR(_xlfn.IFS(ISNUMBER(SEARCH("broken button",C511)),"Break",ISNUMBER(SEARCH("broken handle",C511)),"Break",ISNUMBER(SEARCH("shipping damage",C511)),"Break",ISNUMBER(SEARCH("broken",C511)),"Break",ISNUMBER(SEARCH("crack",C511)),"Break",ISNUMBER(SEARCH("snap",C511)),"Break",ISNUMBER(SEARCH("fracture",C511)),"Break",ISNUMBER(SEARCH("bent",C511)),"Material Twisted/Bent",ISNUMBER(SEARCH("twisted",C511)),"Material Twisted/Bent",ISNUMBER(SEARCH("component separat",C511)),"Material Separation",ISNUMBER(SEARCH("separat",C511)),"Material Separation",ISNUMBER(SEARCH("connection",C511)),"Loose or Intermittent Connection",ISNUMBER(SEARCH("loose",C511)),"Loose or Intermittent Connection",ISNUMBER(SEARCH("damaged packaging",C511)),"Packaging Problem",ISNUMBER(SEARCH("packaging",C511)),"Packaging Problem",ISNUMBER(SEARCH("discoloration",C511)),"Contamination",ISNUMBER(SEARCH("tarnish",C511)),"Contamination",ISNUMBER(SEARCH("stain",C511)),"Contamination",ISNUMBER(SEARCH("foreign material",C511)),"Contamination",ISNUMBER(SEARCH("contamina",C511)),"Contamination",ISNUMBER(SEARCH("overheat",C511)),"Overheating of Device",ISNUMBER(SEARCH("excessive heat",C511)),"Overheating of Device",ISNUMBER(SEARCH("hot",C511)),"Overheating of Device",ISNUMBER(SEARCH("noise",C511)),"Noise, Audible",ISNUMBER(SEARCH("sound",C511)),"Noise, Audible",ISNUMBER(SEARCH("loud",C511)),"Noise, Audible",ISNUMBER(SEARCH("fray",C511)),"Material Frayed",ISNUMBER(SEARCH("hole",C511)),"Material Frayed",ISNUMBER(SEARCH("tear",C511)),"Material Frayed",ISNUMBER(SEARCH("worn",C511)),"Material Frayed",ISNUMBER(SEARCH("intermittent",C511)),"Difficult or Delayed Activation",ISNUMBER(SEARCH("delay",C511)),"Difficult or Delayed Activation",ISNUMBER(SEARCH("label",C511)),"Device Markings/Labelling Problem",ISNUMBER(SEARCH("marking",C511)),"Device Markings/Labelling Problem",ISNUMBER(SEARCH("lacerat",C511)),"Defective Device",ISNUMBER(SEARCH("cut",C511)),"Defective Device",ISNUMBER(SEARCH("leak",C511)),"Fluid/Blood Leak",ISNUMBER(SEARCH("missing",C511)),"Component Missing",ISNUMBER(SEARCH("power",C511)),"Complete Loss of Power",ISNUMBER(SEARCH("will not turn on",C511)),"Complete Loss of Power",ISNUMBER(SEARCH("won't turn on",C511)),"Complete Loss of Power",ISNUMBER(SEARCH("does not turn on",C511)),"Complete Loss of Power",ISNUMBER(SEARCH("electrical",C511)),"Electrical Power Problem",ISNUMBER(SEARCH("pressure",C511)),"Detachment of Device or Device Component",ISNUMBER(SEARCH("slip",C511)),"Detachment of Device or Device Component",ISNUMBER(SEARCH("detach",C511)),"Detachment of Device or Device Component",ISNUMBER(SEARCH("stick",C511)),"Mechanical Jam",ISNUMBER(SEARCH("jam",C511)),"Mechanical Jam",ISNUMBER(SEARCH("rigid",C511)),"Mechanical Jam",ISNUMBER(SEARCH("rust",C511)),"Corroded",ISNUMBER(SEARCH("corrod",C511)),"Corroded",ISNUMBER(SEARCH("corrosion",C511)),"Corroded",ISNUMBER(SEARCH("alignment",C511)),"Defective Device",ISNUMBER(SEARCH("adjust",C511)),"Defective Device",ISNUMBER(SEARCH("perform",C511)),"Defective Device",ISNUMBER(SEARCH("malfunction",C511)),"Defective Device",ISNUMBER(SEARCH("defect",C511)),"Defective Device",ISNUMBER(SEARCH("fail",C511)),"Defective Device",ISNUMBER(SEARCH("not work",C511)),"Defective Device",ISNUMBER(SEARCH("doesn't work",C511)),"Defective Device",TRUE,"UNKNOWN"),"UNKNOWN")))</f>
        <v/>
      </c>
      <c r="F511" s="4" t="str">
        <f t="shared" si="7"/>
        <v/>
      </c>
      <c r="G511" s="363" t="str">
        <f>IF(E511="","",IFERROR(VLOOKUP(E511,Codes!$L$2:$N$409,3,FALSE),"—"))</f>
        <v/>
      </c>
      <c r="H511" s="88"/>
      <c r="I511" s="88"/>
    </row>
    <row r="512" spans="1:9" ht="13.15" x14ac:dyDescent="0.35">
      <c r="A512" s="434"/>
      <c r="B512" s="436"/>
      <c r="C512" s="437"/>
      <c r="D512" s="434"/>
      <c r="E512" s="93" t="str" cm="1">
        <f t="array" ref="E512">IF(D512&lt;&gt;"",IFERROR(VLOOKUP(D512,Codes!$K$2:$L$409,2,FALSE),"UNKNOWN - "&amp;D512),IF(C512="","",IFERROR(_xlfn.IFS(ISNUMBER(SEARCH("broken button",C512)),"Break",ISNUMBER(SEARCH("broken handle",C512)),"Break",ISNUMBER(SEARCH("shipping damage",C512)),"Break",ISNUMBER(SEARCH("broken",C512)),"Break",ISNUMBER(SEARCH("crack",C512)),"Break",ISNUMBER(SEARCH("snap",C512)),"Break",ISNUMBER(SEARCH("fracture",C512)),"Break",ISNUMBER(SEARCH("bent",C512)),"Material Twisted/Bent",ISNUMBER(SEARCH("twisted",C512)),"Material Twisted/Bent",ISNUMBER(SEARCH("component separat",C512)),"Material Separation",ISNUMBER(SEARCH("separat",C512)),"Material Separation",ISNUMBER(SEARCH("connection",C512)),"Loose or Intermittent Connection",ISNUMBER(SEARCH("loose",C512)),"Loose or Intermittent Connection",ISNUMBER(SEARCH("damaged packaging",C512)),"Packaging Problem",ISNUMBER(SEARCH("packaging",C512)),"Packaging Problem",ISNUMBER(SEARCH("discoloration",C512)),"Contamination",ISNUMBER(SEARCH("tarnish",C512)),"Contamination",ISNUMBER(SEARCH("stain",C512)),"Contamination",ISNUMBER(SEARCH("foreign material",C512)),"Contamination",ISNUMBER(SEARCH("contamina",C512)),"Contamination",ISNUMBER(SEARCH("overheat",C512)),"Overheating of Device",ISNUMBER(SEARCH("excessive heat",C512)),"Overheating of Device",ISNUMBER(SEARCH("hot",C512)),"Overheating of Device",ISNUMBER(SEARCH("noise",C512)),"Noise, Audible",ISNUMBER(SEARCH("sound",C512)),"Noise, Audible",ISNUMBER(SEARCH("loud",C512)),"Noise, Audible",ISNUMBER(SEARCH("fray",C512)),"Material Frayed",ISNUMBER(SEARCH("hole",C512)),"Material Frayed",ISNUMBER(SEARCH("tear",C512)),"Material Frayed",ISNUMBER(SEARCH("worn",C512)),"Material Frayed",ISNUMBER(SEARCH("intermittent",C512)),"Difficult or Delayed Activation",ISNUMBER(SEARCH("delay",C512)),"Difficult or Delayed Activation",ISNUMBER(SEARCH("label",C512)),"Device Markings/Labelling Problem",ISNUMBER(SEARCH("marking",C512)),"Device Markings/Labelling Problem",ISNUMBER(SEARCH("lacerat",C512)),"Defective Device",ISNUMBER(SEARCH("cut",C512)),"Defective Device",ISNUMBER(SEARCH("leak",C512)),"Fluid/Blood Leak",ISNUMBER(SEARCH("missing",C512)),"Component Missing",ISNUMBER(SEARCH("power",C512)),"Complete Loss of Power",ISNUMBER(SEARCH("will not turn on",C512)),"Complete Loss of Power",ISNUMBER(SEARCH("won't turn on",C512)),"Complete Loss of Power",ISNUMBER(SEARCH("does not turn on",C512)),"Complete Loss of Power",ISNUMBER(SEARCH("electrical",C512)),"Electrical Power Problem",ISNUMBER(SEARCH("pressure",C512)),"Detachment of Device or Device Component",ISNUMBER(SEARCH("slip",C512)),"Detachment of Device or Device Component",ISNUMBER(SEARCH("detach",C512)),"Detachment of Device or Device Component",ISNUMBER(SEARCH("stick",C512)),"Mechanical Jam",ISNUMBER(SEARCH("jam",C512)),"Mechanical Jam",ISNUMBER(SEARCH("rigid",C512)),"Mechanical Jam",ISNUMBER(SEARCH("rust",C512)),"Corroded",ISNUMBER(SEARCH("corrod",C512)),"Corroded",ISNUMBER(SEARCH("corrosion",C512)),"Corroded",ISNUMBER(SEARCH("alignment",C512)),"Defective Device",ISNUMBER(SEARCH("adjust",C512)),"Defective Device",ISNUMBER(SEARCH("perform",C512)),"Defective Device",ISNUMBER(SEARCH("malfunction",C512)),"Defective Device",ISNUMBER(SEARCH("defect",C512)),"Defective Device",ISNUMBER(SEARCH("fail",C512)),"Defective Device",ISNUMBER(SEARCH("not work",C512)),"Defective Device",ISNUMBER(SEARCH("doesn't work",C512)),"Defective Device",TRUE,"UNKNOWN"),"UNKNOWN")))</f>
        <v/>
      </c>
      <c r="F512" s="4" t="str">
        <f t="shared" si="7"/>
        <v/>
      </c>
      <c r="G512" s="363" t="str">
        <f>IF(E512="","",IFERROR(VLOOKUP(E512,Codes!$L$2:$N$409,3,FALSE),"—"))</f>
        <v/>
      </c>
      <c r="H512" s="88"/>
      <c r="I512" s="88"/>
    </row>
    <row r="513" spans="1:9" ht="13.15" x14ac:dyDescent="0.35">
      <c r="A513" s="434"/>
      <c r="B513" s="436"/>
      <c r="C513" s="437"/>
      <c r="D513" s="434"/>
      <c r="E513" s="93" t="str" cm="1">
        <f t="array" ref="E513">IF(D513&lt;&gt;"",IFERROR(VLOOKUP(D513,Codes!$K$2:$L$409,2,FALSE),"UNKNOWN - "&amp;D513),IF(C513="","",IFERROR(_xlfn.IFS(ISNUMBER(SEARCH("broken button",C513)),"Break",ISNUMBER(SEARCH("broken handle",C513)),"Break",ISNUMBER(SEARCH("shipping damage",C513)),"Break",ISNUMBER(SEARCH("broken",C513)),"Break",ISNUMBER(SEARCH("crack",C513)),"Break",ISNUMBER(SEARCH("snap",C513)),"Break",ISNUMBER(SEARCH("fracture",C513)),"Break",ISNUMBER(SEARCH("bent",C513)),"Material Twisted/Bent",ISNUMBER(SEARCH("twisted",C513)),"Material Twisted/Bent",ISNUMBER(SEARCH("component separat",C513)),"Material Separation",ISNUMBER(SEARCH("separat",C513)),"Material Separation",ISNUMBER(SEARCH("connection",C513)),"Loose or Intermittent Connection",ISNUMBER(SEARCH("loose",C513)),"Loose or Intermittent Connection",ISNUMBER(SEARCH("damaged packaging",C513)),"Packaging Problem",ISNUMBER(SEARCH("packaging",C513)),"Packaging Problem",ISNUMBER(SEARCH("discoloration",C513)),"Contamination",ISNUMBER(SEARCH("tarnish",C513)),"Contamination",ISNUMBER(SEARCH("stain",C513)),"Contamination",ISNUMBER(SEARCH("foreign material",C513)),"Contamination",ISNUMBER(SEARCH("contamina",C513)),"Contamination",ISNUMBER(SEARCH("overheat",C513)),"Overheating of Device",ISNUMBER(SEARCH("excessive heat",C513)),"Overheating of Device",ISNUMBER(SEARCH("hot",C513)),"Overheating of Device",ISNUMBER(SEARCH("noise",C513)),"Noise, Audible",ISNUMBER(SEARCH("sound",C513)),"Noise, Audible",ISNUMBER(SEARCH("loud",C513)),"Noise, Audible",ISNUMBER(SEARCH("fray",C513)),"Material Frayed",ISNUMBER(SEARCH("hole",C513)),"Material Frayed",ISNUMBER(SEARCH("tear",C513)),"Material Frayed",ISNUMBER(SEARCH("worn",C513)),"Material Frayed",ISNUMBER(SEARCH("intermittent",C513)),"Difficult or Delayed Activation",ISNUMBER(SEARCH("delay",C513)),"Difficult or Delayed Activation",ISNUMBER(SEARCH("label",C513)),"Device Markings/Labelling Problem",ISNUMBER(SEARCH("marking",C513)),"Device Markings/Labelling Problem",ISNUMBER(SEARCH("lacerat",C513)),"Defective Device",ISNUMBER(SEARCH("cut",C513)),"Defective Device",ISNUMBER(SEARCH("leak",C513)),"Fluid/Blood Leak",ISNUMBER(SEARCH("missing",C513)),"Component Missing",ISNUMBER(SEARCH("power",C513)),"Complete Loss of Power",ISNUMBER(SEARCH("will not turn on",C513)),"Complete Loss of Power",ISNUMBER(SEARCH("won't turn on",C513)),"Complete Loss of Power",ISNUMBER(SEARCH("does not turn on",C513)),"Complete Loss of Power",ISNUMBER(SEARCH("electrical",C513)),"Electrical Power Problem",ISNUMBER(SEARCH("pressure",C513)),"Detachment of Device or Device Component",ISNUMBER(SEARCH("slip",C513)),"Detachment of Device or Device Component",ISNUMBER(SEARCH("detach",C513)),"Detachment of Device or Device Component",ISNUMBER(SEARCH("stick",C513)),"Mechanical Jam",ISNUMBER(SEARCH("jam",C513)),"Mechanical Jam",ISNUMBER(SEARCH("rigid",C513)),"Mechanical Jam",ISNUMBER(SEARCH("rust",C513)),"Corroded",ISNUMBER(SEARCH("corrod",C513)),"Corroded",ISNUMBER(SEARCH("corrosion",C513)),"Corroded",ISNUMBER(SEARCH("alignment",C513)),"Defective Device",ISNUMBER(SEARCH("adjust",C513)),"Defective Device",ISNUMBER(SEARCH("perform",C513)),"Defective Device",ISNUMBER(SEARCH("malfunction",C513)),"Defective Device",ISNUMBER(SEARCH("defect",C513)),"Defective Device",ISNUMBER(SEARCH("fail",C513)),"Defective Device",ISNUMBER(SEARCH("not work",C513)),"Defective Device",ISNUMBER(SEARCH("doesn't work",C513)),"Defective Device",TRUE,"UNKNOWN"),"UNKNOWN")))</f>
        <v/>
      </c>
      <c r="F513" s="4" t="str">
        <f t="shared" si="7"/>
        <v/>
      </c>
      <c r="G513" s="363" t="str">
        <f>IF(E513="","",IFERROR(VLOOKUP(E513,Codes!$L$2:$N$409,3,FALSE),"—"))</f>
        <v/>
      </c>
      <c r="H513" s="88"/>
      <c r="I513" s="88"/>
    </row>
    <row r="514" spans="1:9" ht="13.15" x14ac:dyDescent="0.35">
      <c r="A514" s="435"/>
      <c r="B514" s="436"/>
      <c r="C514" s="438"/>
      <c r="D514" s="435"/>
      <c r="E514" s="93" t="str" cm="1">
        <f t="array" ref="E514">IF(D514&lt;&gt;"",IFERROR(VLOOKUP(D514,Codes!$K$2:$L$409,2,FALSE),"UNKNOWN - "&amp;D514),IF(C514="","",IFERROR(_xlfn.IFS(ISNUMBER(SEARCH("broken button",C514)),"Break",ISNUMBER(SEARCH("broken handle",C514)),"Break",ISNUMBER(SEARCH("shipping damage",C514)),"Break",ISNUMBER(SEARCH("broken",C514)),"Break",ISNUMBER(SEARCH("crack",C514)),"Break",ISNUMBER(SEARCH("snap",C514)),"Break",ISNUMBER(SEARCH("fracture",C514)),"Break",ISNUMBER(SEARCH("bent",C514)),"Material Twisted/Bent",ISNUMBER(SEARCH("twisted",C514)),"Material Twisted/Bent",ISNUMBER(SEARCH("component separat",C514)),"Material Separation",ISNUMBER(SEARCH("separat",C514)),"Material Separation",ISNUMBER(SEARCH("connection",C514)),"Loose or Intermittent Connection",ISNUMBER(SEARCH("loose",C514)),"Loose or Intermittent Connection",ISNUMBER(SEARCH("damaged packaging",C514)),"Packaging Problem",ISNUMBER(SEARCH("packaging",C514)),"Packaging Problem",ISNUMBER(SEARCH("discoloration",C514)),"Contamination",ISNUMBER(SEARCH("tarnish",C514)),"Contamination",ISNUMBER(SEARCH("stain",C514)),"Contamination",ISNUMBER(SEARCH("foreign material",C514)),"Contamination",ISNUMBER(SEARCH("contamina",C514)),"Contamination",ISNUMBER(SEARCH("overheat",C514)),"Overheating of Device",ISNUMBER(SEARCH("excessive heat",C514)),"Overheating of Device",ISNUMBER(SEARCH("hot",C514)),"Overheating of Device",ISNUMBER(SEARCH("noise",C514)),"Noise, Audible",ISNUMBER(SEARCH("sound",C514)),"Noise, Audible",ISNUMBER(SEARCH("loud",C514)),"Noise, Audible",ISNUMBER(SEARCH("fray",C514)),"Material Frayed",ISNUMBER(SEARCH("hole",C514)),"Material Frayed",ISNUMBER(SEARCH("tear",C514)),"Material Frayed",ISNUMBER(SEARCH("worn",C514)),"Material Frayed",ISNUMBER(SEARCH("intermittent",C514)),"Difficult or Delayed Activation",ISNUMBER(SEARCH("delay",C514)),"Difficult or Delayed Activation",ISNUMBER(SEARCH("label",C514)),"Device Markings/Labelling Problem",ISNUMBER(SEARCH("marking",C514)),"Device Markings/Labelling Problem",ISNUMBER(SEARCH("lacerat",C514)),"Defective Device",ISNUMBER(SEARCH("cut",C514)),"Defective Device",ISNUMBER(SEARCH("leak",C514)),"Fluid/Blood Leak",ISNUMBER(SEARCH("missing",C514)),"Component Missing",ISNUMBER(SEARCH("power",C514)),"Complete Loss of Power",ISNUMBER(SEARCH("will not turn on",C514)),"Complete Loss of Power",ISNUMBER(SEARCH("won't turn on",C514)),"Complete Loss of Power",ISNUMBER(SEARCH("does not turn on",C514)),"Complete Loss of Power",ISNUMBER(SEARCH("electrical",C514)),"Electrical Power Problem",ISNUMBER(SEARCH("pressure",C514)),"Detachment of Device or Device Component",ISNUMBER(SEARCH("slip",C514)),"Detachment of Device or Device Component",ISNUMBER(SEARCH("detach",C514)),"Detachment of Device or Device Component",ISNUMBER(SEARCH("stick",C514)),"Mechanical Jam",ISNUMBER(SEARCH("jam",C514)),"Mechanical Jam",ISNUMBER(SEARCH("rigid",C514)),"Mechanical Jam",ISNUMBER(SEARCH("rust",C514)),"Corroded",ISNUMBER(SEARCH("corrod",C514)),"Corroded",ISNUMBER(SEARCH("corrosion",C514)),"Corroded",ISNUMBER(SEARCH("alignment",C514)),"Defective Device",ISNUMBER(SEARCH("adjust",C514)),"Defective Device",ISNUMBER(SEARCH("perform",C514)),"Defective Device",ISNUMBER(SEARCH("malfunction",C514)),"Defective Device",ISNUMBER(SEARCH("defect",C514)),"Defective Device",ISNUMBER(SEARCH("fail",C514)),"Defective Device",ISNUMBER(SEARCH("not work",C514)),"Defective Device",ISNUMBER(SEARCH("doesn't work",C514)),"Defective Device",TRUE,"UNKNOWN"),"UNKNOWN")))</f>
        <v/>
      </c>
      <c r="F514" s="4" t="str">
        <f t="shared" si="7"/>
        <v/>
      </c>
      <c r="G514" s="363" t="str">
        <f>IF(E514="","",IFERROR(VLOOKUP(E514,Codes!$L$2:$N$409,3,FALSE),"—"))</f>
        <v/>
      </c>
      <c r="H514" s="88"/>
      <c r="I514" s="88"/>
    </row>
    <row r="515" spans="1:9" ht="13.15" x14ac:dyDescent="0.35">
      <c r="A515" s="435"/>
      <c r="B515" s="436"/>
      <c r="C515" s="438"/>
      <c r="D515" s="435"/>
      <c r="E515" s="93" t="str" cm="1">
        <f t="array" ref="E515">IF(D515&lt;&gt;"",IFERROR(VLOOKUP(D515,Codes!$K$2:$L$409,2,FALSE),"UNKNOWN - "&amp;D515),IF(C515="","",IFERROR(_xlfn.IFS(ISNUMBER(SEARCH("broken button",C515)),"Break",ISNUMBER(SEARCH("broken handle",C515)),"Break",ISNUMBER(SEARCH("shipping damage",C515)),"Break",ISNUMBER(SEARCH("broken",C515)),"Break",ISNUMBER(SEARCH("crack",C515)),"Break",ISNUMBER(SEARCH("snap",C515)),"Break",ISNUMBER(SEARCH("fracture",C515)),"Break",ISNUMBER(SEARCH("bent",C515)),"Material Twisted/Bent",ISNUMBER(SEARCH("twisted",C515)),"Material Twisted/Bent",ISNUMBER(SEARCH("component separat",C515)),"Material Separation",ISNUMBER(SEARCH("separat",C515)),"Material Separation",ISNUMBER(SEARCH("connection",C515)),"Loose or Intermittent Connection",ISNUMBER(SEARCH("loose",C515)),"Loose or Intermittent Connection",ISNUMBER(SEARCH("damaged packaging",C515)),"Packaging Problem",ISNUMBER(SEARCH("packaging",C515)),"Packaging Problem",ISNUMBER(SEARCH("discoloration",C515)),"Contamination",ISNUMBER(SEARCH("tarnish",C515)),"Contamination",ISNUMBER(SEARCH("stain",C515)),"Contamination",ISNUMBER(SEARCH("foreign material",C515)),"Contamination",ISNUMBER(SEARCH("contamina",C515)),"Contamination",ISNUMBER(SEARCH("overheat",C515)),"Overheating of Device",ISNUMBER(SEARCH("excessive heat",C515)),"Overheating of Device",ISNUMBER(SEARCH("hot",C515)),"Overheating of Device",ISNUMBER(SEARCH("noise",C515)),"Noise, Audible",ISNUMBER(SEARCH("sound",C515)),"Noise, Audible",ISNUMBER(SEARCH("loud",C515)),"Noise, Audible",ISNUMBER(SEARCH("fray",C515)),"Material Frayed",ISNUMBER(SEARCH("hole",C515)),"Material Frayed",ISNUMBER(SEARCH("tear",C515)),"Material Frayed",ISNUMBER(SEARCH("worn",C515)),"Material Frayed",ISNUMBER(SEARCH("intermittent",C515)),"Difficult or Delayed Activation",ISNUMBER(SEARCH("delay",C515)),"Difficult or Delayed Activation",ISNUMBER(SEARCH("label",C515)),"Device Markings/Labelling Problem",ISNUMBER(SEARCH("marking",C515)),"Device Markings/Labelling Problem",ISNUMBER(SEARCH("lacerat",C515)),"Defective Device",ISNUMBER(SEARCH("cut",C515)),"Defective Device",ISNUMBER(SEARCH("leak",C515)),"Fluid/Blood Leak",ISNUMBER(SEARCH("missing",C515)),"Component Missing",ISNUMBER(SEARCH("power",C515)),"Complete Loss of Power",ISNUMBER(SEARCH("will not turn on",C515)),"Complete Loss of Power",ISNUMBER(SEARCH("won't turn on",C515)),"Complete Loss of Power",ISNUMBER(SEARCH("does not turn on",C515)),"Complete Loss of Power",ISNUMBER(SEARCH("electrical",C515)),"Electrical Power Problem",ISNUMBER(SEARCH("pressure",C515)),"Detachment of Device or Device Component",ISNUMBER(SEARCH("slip",C515)),"Detachment of Device or Device Component",ISNUMBER(SEARCH("detach",C515)),"Detachment of Device or Device Component",ISNUMBER(SEARCH("stick",C515)),"Mechanical Jam",ISNUMBER(SEARCH("jam",C515)),"Mechanical Jam",ISNUMBER(SEARCH("rigid",C515)),"Mechanical Jam",ISNUMBER(SEARCH("rust",C515)),"Corroded",ISNUMBER(SEARCH("corrod",C515)),"Corroded",ISNUMBER(SEARCH("corrosion",C515)),"Corroded",ISNUMBER(SEARCH("alignment",C515)),"Defective Device",ISNUMBER(SEARCH("adjust",C515)),"Defective Device",ISNUMBER(SEARCH("perform",C515)),"Defective Device",ISNUMBER(SEARCH("malfunction",C515)),"Defective Device",ISNUMBER(SEARCH("defect",C515)),"Defective Device",ISNUMBER(SEARCH("fail",C515)),"Defective Device",ISNUMBER(SEARCH("not work",C515)),"Defective Device",ISNUMBER(SEARCH("doesn't work",C515)),"Defective Device",TRUE,"UNKNOWN"),"UNKNOWN")))</f>
        <v/>
      </c>
      <c r="F515" s="4" t="str">
        <f t="shared" ref="F515:F578" si="8">IF(E515="","","No Clinical Signs, Symptoms or Conditions")</f>
        <v/>
      </c>
      <c r="G515" s="363" t="str">
        <f>IF(E515="","",IFERROR(VLOOKUP(E515,Codes!$L$2:$N$409,3,FALSE),"—"))</f>
        <v/>
      </c>
      <c r="H515" s="88"/>
      <c r="I515" s="88"/>
    </row>
    <row r="516" spans="1:9" ht="13.15" x14ac:dyDescent="0.35">
      <c r="A516" s="435"/>
      <c r="B516" s="436"/>
      <c r="C516" s="438"/>
      <c r="D516" s="435"/>
      <c r="E516" s="93" t="str" cm="1">
        <f t="array" ref="E516">IF(D516&lt;&gt;"",IFERROR(VLOOKUP(D516,Codes!$K$2:$L$409,2,FALSE),"UNKNOWN - "&amp;D516),IF(C516="","",IFERROR(_xlfn.IFS(ISNUMBER(SEARCH("broken button",C516)),"Break",ISNUMBER(SEARCH("broken handle",C516)),"Break",ISNUMBER(SEARCH("shipping damage",C516)),"Break",ISNUMBER(SEARCH("broken",C516)),"Break",ISNUMBER(SEARCH("crack",C516)),"Break",ISNUMBER(SEARCH("snap",C516)),"Break",ISNUMBER(SEARCH("fracture",C516)),"Break",ISNUMBER(SEARCH("bent",C516)),"Material Twisted/Bent",ISNUMBER(SEARCH("twisted",C516)),"Material Twisted/Bent",ISNUMBER(SEARCH("component separat",C516)),"Material Separation",ISNUMBER(SEARCH("separat",C516)),"Material Separation",ISNUMBER(SEARCH("connection",C516)),"Loose or Intermittent Connection",ISNUMBER(SEARCH("loose",C516)),"Loose or Intermittent Connection",ISNUMBER(SEARCH("damaged packaging",C516)),"Packaging Problem",ISNUMBER(SEARCH("packaging",C516)),"Packaging Problem",ISNUMBER(SEARCH("discoloration",C516)),"Contamination",ISNUMBER(SEARCH("tarnish",C516)),"Contamination",ISNUMBER(SEARCH("stain",C516)),"Contamination",ISNUMBER(SEARCH("foreign material",C516)),"Contamination",ISNUMBER(SEARCH("contamina",C516)),"Contamination",ISNUMBER(SEARCH("overheat",C516)),"Overheating of Device",ISNUMBER(SEARCH("excessive heat",C516)),"Overheating of Device",ISNUMBER(SEARCH("hot",C516)),"Overheating of Device",ISNUMBER(SEARCH("noise",C516)),"Noise, Audible",ISNUMBER(SEARCH("sound",C516)),"Noise, Audible",ISNUMBER(SEARCH("loud",C516)),"Noise, Audible",ISNUMBER(SEARCH("fray",C516)),"Material Frayed",ISNUMBER(SEARCH("hole",C516)),"Material Frayed",ISNUMBER(SEARCH("tear",C516)),"Material Frayed",ISNUMBER(SEARCH("worn",C516)),"Material Frayed",ISNUMBER(SEARCH("intermittent",C516)),"Difficult or Delayed Activation",ISNUMBER(SEARCH("delay",C516)),"Difficult or Delayed Activation",ISNUMBER(SEARCH("label",C516)),"Device Markings/Labelling Problem",ISNUMBER(SEARCH("marking",C516)),"Device Markings/Labelling Problem",ISNUMBER(SEARCH("lacerat",C516)),"Defective Device",ISNUMBER(SEARCH("cut",C516)),"Defective Device",ISNUMBER(SEARCH("leak",C516)),"Fluid/Blood Leak",ISNUMBER(SEARCH("missing",C516)),"Component Missing",ISNUMBER(SEARCH("power",C516)),"Complete Loss of Power",ISNUMBER(SEARCH("will not turn on",C516)),"Complete Loss of Power",ISNUMBER(SEARCH("won't turn on",C516)),"Complete Loss of Power",ISNUMBER(SEARCH("does not turn on",C516)),"Complete Loss of Power",ISNUMBER(SEARCH("electrical",C516)),"Electrical Power Problem",ISNUMBER(SEARCH("pressure",C516)),"Detachment of Device or Device Component",ISNUMBER(SEARCH("slip",C516)),"Detachment of Device or Device Component",ISNUMBER(SEARCH("detach",C516)),"Detachment of Device or Device Component",ISNUMBER(SEARCH("stick",C516)),"Mechanical Jam",ISNUMBER(SEARCH("jam",C516)),"Mechanical Jam",ISNUMBER(SEARCH("rigid",C516)),"Mechanical Jam",ISNUMBER(SEARCH("rust",C516)),"Corroded",ISNUMBER(SEARCH("corrod",C516)),"Corroded",ISNUMBER(SEARCH("corrosion",C516)),"Corroded",ISNUMBER(SEARCH("alignment",C516)),"Defective Device",ISNUMBER(SEARCH("adjust",C516)),"Defective Device",ISNUMBER(SEARCH("perform",C516)),"Defective Device",ISNUMBER(SEARCH("malfunction",C516)),"Defective Device",ISNUMBER(SEARCH("defect",C516)),"Defective Device",ISNUMBER(SEARCH("fail",C516)),"Defective Device",ISNUMBER(SEARCH("not work",C516)),"Defective Device",ISNUMBER(SEARCH("doesn't work",C516)),"Defective Device",TRUE,"UNKNOWN"),"UNKNOWN")))</f>
        <v/>
      </c>
      <c r="F516" s="4" t="str">
        <f t="shared" si="8"/>
        <v/>
      </c>
      <c r="G516" s="363" t="str">
        <f>IF(E516="","",IFERROR(VLOOKUP(E516,Codes!$L$2:$N$409,3,FALSE),"—"))</f>
        <v/>
      </c>
      <c r="H516" s="88"/>
      <c r="I516" s="88"/>
    </row>
    <row r="517" spans="1:9" ht="13.15" x14ac:dyDescent="0.35">
      <c r="A517" s="434"/>
      <c r="B517" s="436"/>
      <c r="C517" s="437"/>
      <c r="D517" s="434"/>
      <c r="E517" s="93" t="str" cm="1">
        <f t="array" ref="E517">IF(D517&lt;&gt;"",IFERROR(VLOOKUP(D517,Codes!$K$2:$L$409,2,FALSE),"UNKNOWN - "&amp;D517),IF(C517="","",IFERROR(_xlfn.IFS(ISNUMBER(SEARCH("broken button",C517)),"Break",ISNUMBER(SEARCH("broken handle",C517)),"Break",ISNUMBER(SEARCH("shipping damage",C517)),"Break",ISNUMBER(SEARCH("broken",C517)),"Break",ISNUMBER(SEARCH("crack",C517)),"Break",ISNUMBER(SEARCH("snap",C517)),"Break",ISNUMBER(SEARCH("fracture",C517)),"Break",ISNUMBER(SEARCH("bent",C517)),"Material Twisted/Bent",ISNUMBER(SEARCH("twisted",C517)),"Material Twisted/Bent",ISNUMBER(SEARCH("component separat",C517)),"Material Separation",ISNUMBER(SEARCH("separat",C517)),"Material Separation",ISNUMBER(SEARCH("connection",C517)),"Loose or Intermittent Connection",ISNUMBER(SEARCH("loose",C517)),"Loose or Intermittent Connection",ISNUMBER(SEARCH("damaged packaging",C517)),"Packaging Problem",ISNUMBER(SEARCH("packaging",C517)),"Packaging Problem",ISNUMBER(SEARCH("discoloration",C517)),"Contamination",ISNUMBER(SEARCH("tarnish",C517)),"Contamination",ISNUMBER(SEARCH("stain",C517)),"Contamination",ISNUMBER(SEARCH("foreign material",C517)),"Contamination",ISNUMBER(SEARCH("contamina",C517)),"Contamination",ISNUMBER(SEARCH("overheat",C517)),"Overheating of Device",ISNUMBER(SEARCH("excessive heat",C517)),"Overheating of Device",ISNUMBER(SEARCH("hot",C517)),"Overheating of Device",ISNUMBER(SEARCH("noise",C517)),"Noise, Audible",ISNUMBER(SEARCH("sound",C517)),"Noise, Audible",ISNUMBER(SEARCH("loud",C517)),"Noise, Audible",ISNUMBER(SEARCH("fray",C517)),"Material Frayed",ISNUMBER(SEARCH("hole",C517)),"Material Frayed",ISNUMBER(SEARCH("tear",C517)),"Material Frayed",ISNUMBER(SEARCH("worn",C517)),"Material Frayed",ISNUMBER(SEARCH("intermittent",C517)),"Difficult or Delayed Activation",ISNUMBER(SEARCH("delay",C517)),"Difficult or Delayed Activation",ISNUMBER(SEARCH("label",C517)),"Device Markings/Labelling Problem",ISNUMBER(SEARCH("marking",C517)),"Device Markings/Labelling Problem",ISNUMBER(SEARCH("lacerat",C517)),"Defective Device",ISNUMBER(SEARCH("cut",C517)),"Defective Device",ISNUMBER(SEARCH("leak",C517)),"Fluid/Blood Leak",ISNUMBER(SEARCH("missing",C517)),"Component Missing",ISNUMBER(SEARCH("power",C517)),"Complete Loss of Power",ISNUMBER(SEARCH("will not turn on",C517)),"Complete Loss of Power",ISNUMBER(SEARCH("won't turn on",C517)),"Complete Loss of Power",ISNUMBER(SEARCH("does not turn on",C517)),"Complete Loss of Power",ISNUMBER(SEARCH("electrical",C517)),"Electrical Power Problem",ISNUMBER(SEARCH("pressure",C517)),"Detachment of Device or Device Component",ISNUMBER(SEARCH("slip",C517)),"Detachment of Device or Device Component",ISNUMBER(SEARCH("detach",C517)),"Detachment of Device or Device Component",ISNUMBER(SEARCH("stick",C517)),"Mechanical Jam",ISNUMBER(SEARCH("jam",C517)),"Mechanical Jam",ISNUMBER(SEARCH("rigid",C517)),"Mechanical Jam",ISNUMBER(SEARCH("rust",C517)),"Corroded",ISNUMBER(SEARCH("corrod",C517)),"Corroded",ISNUMBER(SEARCH("corrosion",C517)),"Corroded",ISNUMBER(SEARCH("alignment",C517)),"Defective Device",ISNUMBER(SEARCH("adjust",C517)),"Defective Device",ISNUMBER(SEARCH("perform",C517)),"Defective Device",ISNUMBER(SEARCH("malfunction",C517)),"Defective Device",ISNUMBER(SEARCH("defect",C517)),"Defective Device",ISNUMBER(SEARCH("fail",C517)),"Defective Device",ISNUMBER(SEARCH("not work",C517)),"Defective Device",ISNUMBER(SEARCH("doesn't work",C517)),"Defective Device",TRUE,"UNKNOWN"),"UNKNOWN")))</f>
        <v/>
      </c>
      <c r="F517" s="4" t="str">
        <f t="shared" si="8"/>
        <v/>
      </c>
      <c r="G517" s="363" t="str">
        <f>IF(E517="","",IFERROR(VLOOKUP(E517,Codes!$L$2:$N$409,3,FALSE),"—"))</f>
        <v/>
      </c>
      <c r="H517" s="88"/>
      <c r="I517" s="88"/>
    </row>
    <row r="518" spans="1:9" ht="13.15" x14ac:dyDescent="0.35">
      <c r="A518" s="434"/>
      <c r="B518" s="436"/>
      <c r="C518" s="437"/>
      <c r="D518" s="434"/>
      <c r="E518" s="93" t="str" cm="1">
        <f t="array" ref="E518">IF(D518&lt;&gt;"",IFERROR(VLOOKUP(D518,Codes!$K$2:$L$409,2,FALSE),"UNKNOWN - "&amp;D518),IF(C518="","",IFERROR(_xlfn.IFS(ISNUMBER(SEARCH("broken button",C518)),"Break",ISNUMBER(SEARCH("broken handle",C518)),"Break",ISNUMBER(SEARCH("shipping damage",C518)),"Break",ISNUMBER(SEARCH("broken",C518)),"Break",ISNUMBER(SEARCH("crack",C518)),"Break",ISNUMBER(SEARCH("snap",C518)),"Break",ISNUMBER(SEARCH("fracture",C518)),"Break",ISNUMBER(SEARCH("bent",C518)),"Material Twisted/Bent",ISNUMBER(SEARCH("twisted",C518)),"Material Twisted/Bent",ISNUMBER(SEARCH("component separat",C518)),"Material Separation",ISNUMBER(SEARCH("separat",C518)),"Material Separation",ISNUMBER(SEARCH("connection",C518)),"Loose or Intermittent Connection",ISNUMBER(SEARCH("loose",C518)),"Loose or Intermittent Connection",ISNUMBER(SEARCH("damaged packaging",C518)),"Packaging Problem",ISNUMBER(SEARCH("packaging",C518)),"Packaging Problem",ISNUMBER(SEARCH("discoloration",C518)),"Contamination",ISNUMBER(SEARCH("tarnish",C518)),"Contamination",ISNUMBER(SEARCH("stain",C518)),"Contamination",ISNUMBER(SEARCH("foreign material",C518)),"Contamination",ISNUMBER(SEARCH("contamina",C518)),"Contamination",ISNUMBER(SEARCH("overheat",C518)),"Overheating of Device",ISNUMBER(SEARCH("excessive heat",C518)),"Overheating of Device",ISNUMBER(SEARCH("hot",C518)),"Overheating of Device",ISNUMBER(SEARCH("noise",C518)),"Noise, Audible",ISNUMBER(SEARCH("sound",C518)),"Noise, Audible",ISNUMBER(SEARCH("loud",C518)),"Noise, Audible",ISNUMBER(SEARCH("fray",C518)),"Material Frayed",ISNUMBER(SEARCH("hole",C518)),"Material Frayed",ISNUMBER(SEARCH("tear",C518)),"Material Frayed",ISNUMBER(SEARCH("worn",C518)),"Material Frayed",ISNUMBER(SEARCH("intermittent",C518)),"Difficult or Delayed Activation",ISNUMBER(SEARCH("delay",C518)),"Difficult or Delayed Activation",ISNUMBER(SEARCH("label",C518)),"Device Markings/Labelling Problem",ISNUMBER(SEARCH("marking",C518)),"Device Markings/Labelling Problem",ISNUMBER(SEARCH("lacerat",C518)),"Defective Device",ISNUMBER(SEARCH("cut",C518)),"Defective Device",ISNUMBER(SEARCH("leak",C518)),"Fluid/Blood Leak",ISNUMBER(SEARCH("missing",C518)),"Component Missing",ISNUMBER(SEARCH("power",C518)),"Complete Loss of Power",ISNUMBER(SEARCH("will not turn on",C518)),"Complete Loss of Power",ISNUMBER(SEARCH("won't turn on",C518)),"Complete Loss of Power",ISNUMBER(SEARCH("does not turn on",C518)),"Complete Loss of Power",ISNUMBER(SEARCH("electrical",C518)),"Electrical Power Problem",ISNUMBER(SEARCH("pressure",C518)),"Detachment of Device or Device Component",ISNUMBER(SEARCH("slip",C518)),"Detachment of Device or Device Component",ISNUMBER(SEARCH("detach",C518)),"Detachment of Device or Device Component",ISNUMBER(SEARCH("stick",C518)),"Mechanical Jam",ISNUMBER(SEARCH("jam",C518)),"Mechanical Jam",ISNUMBER(SEARCH("rigid",C518)),"Mechanical Jam",ISNUMBER(SEARCH("rust",C518)),"Corroded",ISNUMBER(SEARCH("corrod",C518)),"Corroded",ISNUMBER(SEARCH("corrosion",C518)),"Corroded",ISNUMBER(SEARCH("alignment",C518)),"Defective Device",ISNUMBER(SEARCH("adjust",C518)),"Defective Device",ISNUMBER(SEARCH("perform",C518)),"Defective Device",ISNUMBER(SEARCH("malfunction",C518)),"Defective Device",ISNUMBER(SEARCH("defect",C518)),"Defective Device",ISNUMBER(SEARCH("fail",C518)),"Defective Device",ISNUMBER(SEARCH("not work",C518)),"Defective Device",ISNUMBER(SEARCH("doesn't work",C518)),"Defective Device",TRUE,"UNKNOWN"),"UNKNOWN")))</f>
        <v/>
      </c>
      <c r="F518" s="4" t="str">
        <f t="shared" si="8"/>
        <v/>
      </c>
      <c r="G518" s="363" t="str">
        <f>IF(E518="","",IFERROR(VLOOKUP(E518,Codes!$L$2:$N$409,3,FALSE),"—"))</f>
        <v/>
      </c>
      <c r="H518" s="88"/>
      <c r="I518" s="88"/>
    </row>
    <row r="519" spans="1:9" ht="13.15" x14ac:dyDescent="0.35">
      <c r="A519" s="435"/>
      <c r="B519" s="436"/>
      <c r="C519" s="438"/>
      <c r="D519" s="435"/>
      <c r="E519" s="93" t="str" cm="1">
        <f t="array" ref="E519">IF(D519&lt;&gt;"",IFERROR(VLOOKUP(D519,Codes!$K$2:$L$409,2,FALSE),"UNKNOWN - "&amp;D519),IF(C519="","",IFERROR(_xlfn.IFS(ISNUMBER(SEARCH("broken button",C519)),"Break",ISNUMBER(SEARCH("broken handle",C519)),"Break",ISNUMBER(SEARCH("shipping damage",C519)),"Break",ISNUMBER(SEARCH("broken",C519)),"Break",ISNUMBER(SEARCH("crack",C519)),"Break",ISNUMBER(SEARCH("snap",C519)),"Break",ISNUMBER(SEARCH("fracture",C519)),"Break",ISNUMBER(SEARCH("bent",C519)),"Material Twisted/Bent",ISNUMBER(SEARCH("twisted",C519)),"Material Twisted/Bent",ISNUMBER(SEARCH("component separat",C519)),"Material Separation",ISNUMBER(SEARCH("separat",C519)),"Material Separation",ISNUMBER(SEARCH("connection",C519)),"Loose or Intermittent Connection",ISNUMBER(SEARCH("loose",C519)),"Loose or Intermittent Connection",ISNUMBER(SEARCH("damaged packaging",C519)),"Packaging Problem",ISNUMBER(SEARCH("packaging",C519)),"Packaging Problem",ISNUMBER(SEARCH("discoloration",C519)),"Contamination",ISNUMBER(SEARCH("tarnish",C519)),"Contamination",ISNUMBER(SEARCH("stain",C519)),"Contamination",ISNUMBER(SEARCH("foreign material",C519)),"Contamination",ISNUMBER(SEARCH("contamina",C519)),"Contamination",ISNUMBER(SEARCH("overheat",C519)),"Overheating of Device",ISNUMBER(SEARCH("excessive heat",C519)),"Overheating of Device",ISNUMBER(SEARCH("hot",C519)),"Overheating of Device",ISNUMBER(SEARCH("noise",C519)),"Noise, Audible",ISNUMBER(SEARCH("sound",C519)),"Noise, Audible",ISNUMBER(SEARCH("loud",C519)),"Noise, Audible",ISNUMBER(SEARCH("fray",C519)),"Material Frayed",ISNUMBER(SEARCH("hole",C519)),"Material Frayed",ISNUMBER(SEARCH("tear",C519)),"Material Frayed",ISNUMBER(SEARCH("worn",C519)),"Material Frayed",ISNUMBER(SEARCH("intermittent",C519)),"Difficult or Delayed Activation",ISNUMBER(SEARCH("delay",C519)),"Difficult or Delayed Activation",ISNUMBER(SEARCH("label",C519)),"Device Markings/Labelling Problem",ISNUMBER(SEARCH("marking",C519)),"Device Markings/Labelling Problem",ISNUMBER(SEARCH("lacerat",C519)),"Defective Device",ISNUMBER(SEARCH("cut",C519)),"Defective Device",ISNUMBER(SEARCH("leak",C519)),"Fluid/Blood Leak",ISNUMBER(SEARCH("missing",C519)),"Component Missing",ISNUMBER(SEARCH("power",C519)),"Complete Loss of Power",ISNUMBER(SEARCH("will not turn on",C519)),"Complete Loss of Power",ISNUMBER(SEARCH("won't turn on",C519)),"Complete Loss of Power",ISNUMBER(SEARCH("does not turn on",C519)),"Complete Loss of Power",ISNUMBER(SEARCH("electrical",C519)),"Electrical Power Problem",ISNUMBER(SEARCH("pressure",C519)),"Detachment of Device or Device Component",ISNUMBER(SEARCH("slip",C519)),"Detachment of Device or Device Component",ISNUMBER(SEARCH("detach",C519)),"Detachment of Device or Device Component",ISNUMBER(SEARCH("stick",C519)),"Mechanical Jam",ISNUMBER(SEARCH("jam",C519)),"Mechanical Jam",ISNUMBER(SEARCH("rigid",C519)),"Mechanical Jam",ISNUMBER(SEARCH("rust",C519)),"Corroded",ISNUMBER(SEARCH("corrod",C519)),"Corroded",ISNUMBER(SEARCH("corrosion",C519)),"Corroded",ISNUMBER(SEARCH("alignment",C519)),"Defective Device",ISNUMBER(SEARCH("adjust",C519)),"Defective Device",ISNUMBER(SEARCH("perform",C519)),"Defective Device",ISNUMBER(SEARCH("malfunction",C519)),"Defective Device",ISNUMBER(SEARCH("defect",C519)),"Defective Device",ISNUMBER(SEARCH("fail",C519)),"Defective Device",ISNUMBER(SEARCH("not work",C519)),"Defective Device",ISNUMBER(SEARCH("doesn't work",C519)),"Defective Device",TRUE,"UNKNOWN"),"UNKNOWN")))</f>
        <v/>
      </c>
      <c r="F519" s="4" t="str">
        <f t="shared" si="8"/>
        <v/>
      </c>
      <c r="G519" s="363" t="str">
        <f>IF(E519="","",IFERROR(VLOOKUP(E519,Codes!$L$2:$N$409,3,FALSE),"—"))</f>
        <v/>
      </c>
      <c r="H519" s="88"/>
      <c r="I519" s="88"/>
    </row>
    <row r="520" spans="1:9" ht="13.15" x14ac:dyDescent="0.35">
      <c r="A520" s="435"/>
      <c r="B520" s="436"/>
      <c r="C520" s="438"/>
      <c r="D520" s="435"/>
      <c r="E520" s="93" t="str" cm="1">
        <f t="array" ref="E520">IF(D520&lt;&gt;"",IFERROR(VLOOKUP(D520,Codes!$K$2:$L$409,2,FALSE),"UNKNOWN - "&amp;D520),IF(C520="","",IFERROR(_xlfn.IFS(ISNUMBER(SEARCH("broken button",C520)),"Break",ISNUMBER(SEARCH("broken handle",C520)),"Break",ISNUMBER(SEARCH("shipping damage",C520)),"Break",ISNUMBER(SEARCH("broken",C520)),"Break",ISNUMBER(SEARCH("crack",C520)),"Break",ISNUMBER(SEARCH("snap",C520)),"Break",ISNUMBER(SEARCH("fracture",C520)),"Break",ISNUMBER(SEARCH("bent",C520)),"Material Twisted/Bent",ISNUMBER(SEARCH("twisted",C520)),"Material Twisted/Bent",ISNUMBER(SEARCH("component separat",C520)),"Material Separation",ISNUMBER(SEARCH("separat",C520)),"Material Separation",ISNUMBER(SEARCH("connection",C520)),"Loose or Intermittent Connection",ISNUMBER(SEARCH("loose",C520)),"Loose or Intermittent Connection",ISNUMBER(SEARCH("damaged packaging",C520)),"Packaging Problem",ISNUMBER(SEARCH("packaging",C520)),"Packaging Problem",ISNUMBER(SEARCH("discoloration",C520)),"Contamination",ISNUMBER(SEARCH("tarnish",C520)),"Contamination",ISNUMBER(SEARCH("stain",C520)),"Contamination",ISNUMBER(SEARCH("foreign material",C520)),"Contamination",ISNUMBER(SEARCH("contamina",C520)),"Contamination",ISNUMBER(SEARCH("overheat",C520)),"Overheating of Device",ISNUMBER(SEARCH("excessive heat",C520)),"Overheating of Device",ISNUMBER(SEARCH("hot",C520)),"Overheating of Device",ISNUMBER(SEARCH("noise",C520)),"Noise, Audible",ISNUMBER(SEARCH("sound",C520)),"Noise, Audible",ISNUMBER(SEARCH("loud",C520)),"Noise, Audible",ISNUMBER(SEARCH("fray",C520)),"Material Frayed",ISNUMBER(SEARCH("hole",C520)),"Material Frayed",ISNUMBER(SEARCH("tear",C520)),"Material Frayed",ISNUMBER(SEARCH("worn",C520)),"Material Frayed",ISNUMBER(SEARCH("intermittent",C520)),"Difficult or Delayed Activation",ISNUMBER(SEARCH("delay",C520)),"Difficult or Delayed Activation",ISNUMBER(SEARCH("label",C520)),"Device Markings/Labelling Problem",ISNUMBER(SEARCH("marking",C520)),"Device Markings/Labelling Problem",ISNUMBER(SEARCH("lacerat",C520)),"Defective Device",ISNUMBER(SEARCH("cut",C520)),"Defective Device",ISNUMBER(SEARCH("leak",C520)),"Fluid/Blood Leak",ISNUMBER(SEARCH("missing",C520)),"Component Missing",ISNUMBER(SEARCH("power",C520)),"Complete Loss of Power",ISNUMBER(SEARCH("will not turn on",C520)),"Complete Loss of Power",ISNUMBER(SEARCH("won't turn on",C520)),"Complete Loss of Power",ISNUMBER(SEARCH("does not turn on",C520)),"Complete Loss of Power",ISNUMBER(SEARCH("electrical",C520)),"Electrical Power Problem",ISNUMBER(SEARCH("pressure",C520)),"Detachment of Device or Device Component",ISNUMBER(SEARCH("slip",C520)),"Detachment of Device or Device Component",ISNUMBER(SEARCH("detach",C520)),"Detachment of Device or Device Component",ISNUMBER(SEARCH("stick",C520)),"Mechanical Jam",ISNUMBER(SEARCH("jam",C520)),"Mechanical Jam",ISNUMBER(SEARCH("rigid",C520)),"Mechanical Jam",ISNUMBER(SEARCH("rust",C520)),"Corroded",ISNUMBER(SEARCH("corrod",C520)),"Corroded",ISNUMBER(SEARCH("corrosion",C520)),"Corroded",ISNUMBER(SEARCH("alignment",C520)),"Defective Device",ISNUMBER(SEARCH("adjust",C520)),"Defective Device",ISNUMBER(SEARCH("perform",C520)),"Defective Device",ISNUMBER(SEARCH("malfunction",C520)),"Defective Device",ISNUMBER(SEARCH("defect",C520)),"Defective Device",ISNUMBER(SEARCH("fail",C520)),"Defective Device",ISNUMBER(SEARCH("not work",C520)),"Defective Device",ISNUMBER(SEARCH("doesn't work",C520)),"Defective Device",TRUE,"UNKNOWN"),"UNKNOWN")))</f>
        <v/>
      </c>
      <c r="F520" s="4" t="str">
        <f t="shared" si="8"/>
        <v/>
      </c>
      <c r="G520" s="363" t="str">
        <f>IF(E520="","",IFERROR(VLOOKUP(E520,Codes!$L$2:$N$409,3,FALSE),"—"))</f>
        <v/>
      </c>
      <c r="H520" s="88"/>
      <c r="I520" s="88"/>
    </row>
    <row r="521" spans="1:9" ht="13.15" x14ac:dyDescent="0.35">
      <c r="A521" s="434"/>
      <c r="B521" s="436"/>
      <c r="C521" s="437"/>
      <c r="D521" s="434"/>
      <c r="E521" s="93" t="str" cm="1">
        <f t="array" ref="E521">IF(D521&lt;&gt;"",IFERROR(VLOOKUP(D521,Codes!$K$2:$L$409,2,FALSE),"UNKNOWN - "&amp;D521),IF(C521="","",IFERROR(_xlfn.IFS(ISNUMBER(SEARCH("broken button",C521)),"Break",ISNUMBER(SEARCH("broken handle",C521)),"Break",ISNUMBER(SEARCH("shipping damage",C521)),"Break",ISNUMBER(SEARCH("broken",C521)),"Break",ISNUMBER(SEARCH("crack",C521)),"Break",ISNUMBER(SEARCH("snap",C521)),"Break",ISNUMBER(SEARCH("fracture",C521)),"Break",ISNUMBER(SEARCH("bent",C521)),"Material Twisted/Bent",ISNUMBER(SEARCH("twisted",C521)),"Material Twisted/Bent",ISNUMBER(SEARCH("component separat",C521)),"Material Separation",ISNUMBER(SEARCH("separat",C521)),"Material Separation",ISNUMBER(SEARCH("connection",C521)),"Loose or Intermittent Connection",ISNUMBER(SEARCH("loose",C521)),"Loose or Intermittent Connection",ISNUMBER(SEARCH("damaged packaging",C521)),"Packaging Problem",ISNUMBER(SEARCH("packaging",C521)),"Packaging Problem",ISNUMBER(SEARCH("discoloration",C521)),"Contamination",ISNUMBER(SEARCH("tarnish",C521)),"Contamination",ISNUMBER(SEARCH("stain",C521)),"Contamination",ISNUMBER(SEARCH("foreign material",C521)),"Contamination",ISNUMBER(SEARCH("contamina",C521)),"Contamination",ISNUMBER(SEARCH("overheat",C521)),"Overheating of Device",ISNUMBER(SEARCH("excessive heat",C521)),"Overheating of Device",ISNUMBER(SEARCH("hot",C521)),"Overheating of Device",ISNUMBER(SEARCH("noise",C521)),"Noise, Audible",ISNUMBER(SEARCH("sound",C521)),"Noise, Audible",ISNUMBER(SEARCH("loud",C521)),"Noise, Audible",ISNUMBER(SEARCH("fray",C521)),"Material Frayed",ISNUMBER(SEARCH("hole",C521)),"Material Frayed",ISNUMBER(SEARCH("tear",C521)),"Material Frayed",ISNUMBER(SEARCH("worn",C521)),"Material Frayed",ISNUMBER(SEARCH("intermittent",C521)),"Difficult or Delayed Activation",ISNUMBER(SEARCH("delay",C521)),"Difficult or Delayed Activation",ISNUMBER(SEARCH("label",C521)),"Device Markings/Labelling Problem",ISNUMBER(SEARCH("marking",C521)),"Device Markings/Labelling Problem",ISNUMBER(SEARCH("lacerat",C521)),"Defective Device",ISNUMBER(SEARCH("cut",C521)),"Defective Device",ISNUMBER(SEARCH("leak",C521)),"Fluid/Blood Leak",ISNUMBER(SEARCH("missing",C521)),"Component Missing",ISNUMBER(SEARCH("power",C521)),"Complete Loss of Power",ISNUMBER(SEARCH("will not turn on",C521)),"Complete Loss of Power",ISNUMBER(SEARCH("won't turn on",C521)),"Complete Loss of Power",ISNUMBER(SEARCH("does not turn on",C521)),"Complete Loss of Power",ISNUMBER(SEARCH("electrical",C521)),"Electrical Power Problem",ISNUMBER(SEARCH("pressure",C521)),"Detachment of Device or Device Component",ISNUMBER(SEARCH("slip",C521)),"Detachment of Device or Device Component",ISNUMBER(SEARCH("detach",C521)),"Detachment of Device or Device Component",ISNUMBER(SEARCH("stick",C521)),"Mechanical Jam",ISNUMBER(SEARCH("jam",C521)),"Mechanical Jam",ISNUMBER(SEARCH("rigid",C521)),"Mechanical Jam",ISNUMBER(SEARCH("rust",C521)),"Corroded",ISNUMBER(SEARCH("corrod",C521)),"Corroded",ISNUMBER(SEARCH("corrosion",C521)),"Corroded",ISNUMBER(SEARCH("alignment",C521)),"Defective Device",ISNUMBER(SEARCH("adjust",C521)),"Defective Device",ISNUMBER(SEARCH("perform",C521)),"Defective Device",ISNUMBER(SEARCH("malfunction",C521)),"Defective Device",ISNUMBER(SEARCH("defect",C521)),"Defective Device",ISNUMBER(SEARCH("fail",C521)),"Defective Device",ISNUMBER(SEARCH("not work",C521)),"Defective Device",ISNUMBER(SEARCH("doesn't work",C521)),"Defective Device",TRUE,"UNKNOWN"),"UNKNOWN")))</f>
        <v/>
      </c>
      <c r="F521" s="4" t="str">
        <f t="shared" si="8"/>
        <v/>
      </c>
      <c r="G521" s="363" t="str">
        <f>IF(E521="","",IFERROR(VLOOKUP(E521,Codes!$L$2:$N$409,3,FALSE),"—"))</f>
        <v/>
      </c>
      <c r="H521" s="88"/>
      <c r="I521" s="88"/>
    </row>
    <row r="522" spans="1:9" ht="13.15" x14ac:dyDescent="0.35">
      <c r="A522" s="434"/>
      <c r="B522" s="436"/>
      <c r="C522" s="437"/>
      <c r="D522" s="434"/>
      <c r="E522" s="93" t="str" cm="1">
        <f t="array" ref="E522">IF(D522&lt;&gt;"",IFERROR(VLOOKUP(D522,Codes!$K$2:$L$409,2,FALSE),"UNKNOWN - "&amp;D522),IF(C522="","",IFERROR(_xlfn.IFS(ISNUMBER(SEARCH("broken button",C522)),"Break",ISNUMBER(SEARCH("broken handle",C522)),"Break",ISNUMBER(SEARCH("shipping damage",C522)),"Break",ISNUMBER(SEARCH("broken",C522)),"Break",ISNUMBER(SEARCH("crack",C522)),"Break",ISNUMBER(SEARCH("snap",C522)),"Break",ISNUMBER(SEARCH("fracture",C522)),"Break",ISNUMBER(SEARCH("bent",C522)),"Material Twisted/Bent",ISNUMBER(SEARCH("twisted",C522)),"Material Twisted/Bent",ISNUMBER(SEARCH("component separat",C522)),"Material Separation",ISNUMBER(SEARCH("separat",C522)),"Material Separation",ISNUMBER(SEARCH("connection",C522)),"Loose or Intermittent Connection",ISNUMBER(SEARCH("loose",C522)),"Loose or Intermittent Connection",ISNUMBER(SEARCH("damaged packaging",C522)),"Packaging Problem",ISNUMBER(SEARCH("packaging",C522)),"Packaging Problem",ISNUMBER(SEARCH("discoloration",C522)),"Contamination",ISNUMBER(SEARCH("tarnish",C522)),"Contamination",ISNUMBER(SEARCH("stain",C522)),"Contamination",ISNUMBER(SEARCH("foreign material",C522)),"Contamination",ISNUMBER(SEARCH("contamina",C522)),"Contamination",ISNUMBER(SEARCH("overheat",C522)),"Overheating of Device",ISNUMBER(SEARCH("excessive heat",C522)),"Overheating of Device",ISNUMBER(SEARCH("hot",C522)),"Overheating of Device",ISNUMBER(SEARCH("noise",C522)),"Noise, Audible",ISNUMBER(SEARCH("sound",C522)),"Noise, Audible",ISNUMBER(SEARCH("loud",C522)),"Noise, Audible",ISNUMBER(SEARCH("fray",C522)),"Material Frayed",ISNUMBER(SEARCH("hole",C522)),"Material Frayed",ISNUMBER(SEARCH("tear",C522)),"Material Frayed",ISNUMBER(SEARCH("worn",C522)),"Material Frayed",ISNUMBER(SEARCH("intermittent",C522)),"Difficult or Delayed Activation",ISNUMBER(SEARCH("delay",C522)),"Difficult or Delayed Activation",ISNUMBER(SEARCH("label",C522)),"Device Markings/Labelling Problem",ISNUMBER(SEARCH("marking",C522)),"Device Markings/Labelling Problem",ISNUMBER(SEARCH("lacerat",C522)),"Defective Device",ISNUMBER(SEARCH("cut",C522)),"Defective Device",ISNUMBER(SEARCH("leak",C522)),"Fluid/Blood Leak",ISNUMBER(SEARCH("missing",C522)),"Component Missing",ISNUMBER(SEARCH("power",C522)),"Complete Loss of Power",ISNUMBER(SEARCH("will not turn on",C522)),"Complete Loss of Power",ISNUMBER(SEARCH("won't turn on",C522)),"Complete Loss of Power",ISNUMBER(SEARCH("does not turn on",C522)),"Complete Loss of Power",ISNUMBER(SEARCH("electrical",C522)),"Electrical Power Problem",ISNUMBER(SEARCH("pressure",C522)),"Detachment of Device or Device Component",ISNUMBER(SEARCH("slip",C522)),"Detachment of Device or Device Component",ISNUMBER(SEARCH("detach",C522)),"Detachment of Device or Device Component",ISNUMBER(SEARCH("stick",C522)),"Mechanical Jam",ISNUMBER(SEARCH("jam",C522)),"Mechanical Jam",ISNUMBER(SEARCH("rigid",C522)),"Mechanical Jam",ISNUMBER(SEARCH("rust",C522)),"Corroded",ISNUMBER(SEARCH("corrod",C522)),"Corroded",ISNUMBER(SEARCH("corrosion",C522)),"Corroded",ISNUMBER(SEARCH("alignment",C522)),"Defective Device",ISNUMBER(SEARCH("adjust",C522)),"Defective Device",ISNUMBER(SEARCH("perform",C522)),"Defective Device",ISNUMBER(SEARCH("malfunction",C522)),"Defective Device",ISNUMBER(SEARCH("defect",C522)),"Defective Device",ISNUMBER(SEARCH("fail",C522)),"Defective Device",ISNUMBER(SEARCH("not work",C522)),"Defective Device",ISNUMBER(SEARCH("doesn't work",C522)),"Defective Device",TRUE,"UNKNOWN"),"UNKNOWN")))</f>
        <v/>
      </c>
      <c r="F522" s="4" t="str">
        <f t="shared" si="8"/>
        <v/>
      </c>
      <c r="G522" s="363" t="str">
        <f>IF(E522="","",IFERROR(VLOOKUP(E522,Codes!$L$2:$N$409,3,FALSE),"—"))</f>
        <v/>
      </c>
      <c r="H522" s="88"/>
      <c r="I522" s="88"/>
    </row>
    <row r="523" spans="1:9" ht="13.15" x14ac:dyDescent="0.35">
      <c r="A523" s="435"/>
      <c r="B523" s="436"/>
      <c r="C523" s="438"/>
      <c r="D523" s="435"/>
      <c r="E523" s="93" t="str" cm="1">
        <f t="array" ref="E523">IF(D523&lt;&gt;"",IFERROR(VLOOKUP(D523,Codes!$K$2:$L$409,2,FALSE),"UNKNOWN - "&amp;D523),IF(C523="","",IFERROR(_xlfn.IFS(ISNUMBER(SEARCH("broken button",C523)),"Break",ISNUMBER(SEARCH("broken handle",C523)),"Break",ISNUMBER(SEARCH("shipping damage",C523)),"Break",ISNUMBER(SEARCH("broken",C523)),"Break",ISNUMBER(SEARCH("crack",C523)),"Break",ISNUMBER(SEARCH("snap",C523)),"Break",ISNUMBER(SEARCH("fracture",C523)),"Break",ISNUMBER(SEARCH("bent",C523)),"Material Twisted/Bent",ISNUMBER(SEARCH("twisted",C523)),"Material Twisted/Bent",ISNUMBER(SEARCH("component separat",C523)),"Material Separation",ISNUMBER(SEARCH("separat",C523)),"Material Separation",ISNUMBER(SEARCH("connection",C523)),"Loose or Intermittent Connection",ISNUMBER(SEARCH("loose",C523)),"Loose or Intermittent Connection",ISNUMBER(SEARCH("damaged packaging",C523)),"Packaging Problem",ISNUMBER(SEARCH("packaging",C523)),"Packaging Problem",ISNUMBER(SEARCH("discoloration",C523)),"Contamination",ISNUMBER(SEARCH("tarnish",C523)),"Contamination",ISNUMBER(SEARCH("stain",C523)),"Contamination",ISNUMBER(SEARCH("foreign material",C523)),"Contamination",ISNUMBER(SEARCH("contamina",C523)),"Contamination",ISNUMBER(SEARCH("overheat",C523)),"Overheating of Device",ISNUMBER(SEARCH("excessive heat",C523)),"Overheating of Device",ISNUMBER(SEARCH("hot",C523)),"Overheating of Device",ISNUMBER(SEARCH("noise",C523)),"Noise, Audible",ISNUMBER(SEARCH("sound",C523)),"Noise, Audible",ISNUMBER(SEARCH("loud",C523)),"Noise, Audible",ISNUMBER(SEARCH("fray",C523)),"Material Frayed",ISNUMBER(SEARCH("hole",C523)),"Material Frayed",ISNUMBER(SEARCH("tear",C523)),"Material Frayed",ISNUMBER(SEARCH("worn",C523)),"Material Frayed",ISNUMBER(SEARCH("intermittent",C523)),"Difficult or Delayed Activation",ISNUMBER(SEARCH("delay",C523)),"Difficult or Delayed Activation",ISNUMBER(SEARCH("label",C523)),"Device Markings/Labelling Problem",ISNUMBER(SEARCH("marking",C523)),"Device Markings/Labelling Problem",ISNUMBER(SEARCH("lacerat",C523)),"Defective Device",ISNUMBER(SEARCH("cut",C523)),"Defective Device",ISNUMBER(SEARCH("leak",C523)),"Fluid/Blood Leak",ISNUMBER(SEARCH("missing",C523)),"Component Missing",ISNUMBER(SEARCH("power",C523)),"Complete Loss of Power",ISNUMBER(SEARCH("will not turn on",C523)),"Complete Loss of Power",ISNUMBER(SEARCH("won't turn on",C523)),"Complete Loss of Power",ISNUMBER(SEARCH("does not turn on",C523)),"Complete Loss of Power",ISNUMBER(SEARCH("electrical",C523)),"Electrical Power Problem",ISNUMBER(SEARCH("pressure",C523)),"Detachment of Device or Device Component",ISNUMBER(SEARCH("slip",C523)),"Detachment of Device or Device Component",ISNUMBER(SEARCH("detach",C523)),"Detachment of Device or Device Component",ISNUMBER(SEARCH("stick",C523)),"Mechanical Jam",ISNUMBER(SEARCH("jam",C523)),"Mechanical Jam",ISNUMBER(SEARCH("rigid",C523)),"Mechanical Jam",ISNUMBER(SEARCH("rust",C523)),"Corroded",ISNUMBER(SEARCH("corrod",C523)),"Corroded",ISNUMBER(SEARCH("corrosion",C523)),"Corroded",ISNUMBER(SEARCH("alignment",C523)),"Defective Device",ISNUMBER(SEARCH("adjust",C523)),"Defective Device",ISNUMBER(SEARCH("perform",C523)),"Defective Device",ISNUMBER(SEARCH("malfunction",C523)),"Defective Device",ISNUMBER(SEARCH("defect",C523)),"Defective Device",ISNUMBER(SEARCH("fail",C523)),"Defective Device",ISNUMBER(SEARCH("not work",C523)),"Defective Device",ISNUMBER(SEARCH("doesn't work",C523)),"Defective Device",TRUE,"UNKNOWN"),"UNKNOWN")))</f>
        <v/>
      </c>
      <c r="F523" s="4" t="str">
        <f t="shared" si="8"/>
        <v/>
      </c>
      <c r="G523" s="363" t="str">
        <f>IF(E523="","",IFERROR(VLOOKUP(E523,Codes!$L$2:$N$409,3,FALSE),"—"))</f>
        <v/>
      </c>
      <c r="H523" s="88"/>
      <c r="I523" s="88"/>
    </row>
    <row r="524" spans="1:9" ht="13.15" x14ac:dyDescent="0.35">
      <c r="A524" s="434"/>
      <c r="B524" s="436"/>
      <c r="C524" s="437"/>
      <c r="D524" s="434"/>
      <c r="E524" s="93" t="str" cm="1">
        <f t="array" ref="E524">IF(D524&lt;&gt;"",IFERROR(VLOOKUP(D524,Codes!$K$2:$L$409,2,FALSE),"UNKNOWN - "&amp;D524),IF(C524="","",IFERROR(_xlfn.IFS(ISNUMBER(SEARCH("broken button",C524)),"Break",ISNUMBER(SEARCH("broken handle",C524)),"Break",ISNUMBER(SEARCH("shipping damage",C524)),"Break",ISNUMBER(SEARCH("broken",C524)),"Break",ISNUMBER(SEARCH("crack",C524)),"Break",ISNUMBER(SEARCH("snap",C524)),"Break",ISNUMBER(SEARCH("fracture",C524)),"Break",ISNUMBER(SEARCH("bent",C524)),"Material Twisted/Bent",ISNUMBER(SEARCH("twisted",C524)),"Material Twisted/Bent",ISNUMBER(SEARCH("component separat",C524)),"Material Separation",ISNUMBER(SEARCH("separat",C524)),"Material Separation",ISNUMBER(SEARCH("connection",C524)),"Loose or Intermittent Connection",ISNUMBER(SEARCH("loose",C524)),"Loose or Intermittent Connection",ISNUMBER(SEARCH("damaged packaging",C524)),"Packaging Problem",ISNUMBER(SEARCH("packaging",C524)),"Packaging Problem",ISNUMBER(SEARCH("discoloration",C524)),"Contamination",ISNUMBER(SEARCH("tarnish",C524)),"Contamination",ISNUMBER(SEARCH("stain",C524)),"Contamination",ISNUMBER(SEARCH("foreign material",C524)),"Contamination",ISNUMBER(SEARCH("contamina",C524)),"Contamination",ISNUMBER(SEARCH("overheat",C524)),"Overheating of Device",ISNUMBER(SEARCH("excessive heat",C524)),"Overheating of Device",ISNUMBER(SEARCH("hot",C524)),"Overheating of Device",ISNUMBER(SEARCH("noise",C524)),"Noise, Audible",ISNUMBER(SEARCH("sound",C524)),"Noise, Audible",ISNUMBER(SEARCH("loud",C524)),"Noise, Audible",ISNUMBER(SEARCH("fray",C524)),"Material Frayed",ISNUMBER(SEARCH("hole",C524)),"Material Frayed",ISNUMBER(SEARCH("tear",C524)),"Material Frayed",ISNUMBER(SEARCH("worn",C524)),"Material Frayed",ISNUMBER(SEARCH("intermittent",C524)),"Difficult or Delayed Activation",ISNUMBER(SEARCH("delay",C524)),"Difficult or Delayed Activation",ISNUMBER(SEARCH("label",C524)),"Device Markings/Labelling Problem",ISNUMBER(SEARCH("marking",C524)),"Device Markings/Labelling Problem",ISNUMBER(SEARCH("lacerat",C524)),"Defective Device",ISNUMBER(SEARCH("cut",C524)),"Defective Device",ISNUMBER(SEARCH("leak",C524)),"Fluid/Blood Leak",ISNUMBER(SEARCH("missing",C524)),"Component Missing",ISNUMBER(SEARCH("power",C524)),"Complete Loss of Power",ISNUMBER(SEARCH("will not turn on",C524)),"Complete Loss of Power",ISNUMBER(SEARCH("won't turn on",C524)),"Complete Loss of Power",ISNUMBER(SEARCH("does not turn on",C524)),"Complete Loss of Power",ISNUMBER(SEARCH("electrical",C524)),"Electrical Power Problem",ISNUMBER(SEARCH("pressure",C524)),"Detachment of Device or Device Component",ISNUMBER(SEARCH("slip",C524)),"Detachment of Device or Device Component",ISNUMBER(SEARCH("detach",C524)),"Detachment of Device or Device Component",ISNUMBER(SEARCH("stick",C524)),"Mechanical Jam",ISNUMBER(SEARCH("jam",C524)),"Mechanical Jam",ISNUMBER(SEARCH("rigid",C524)),"Mechanical Jam",ISNUMBER(SEARCH("rust",C524)),"Corroded",ISNUMBER(SEARCH("corrod",C524)),"Corroded",ISNUMBER(SEARCH("corrosion",C524)),"Corroded",ISNUMBER(SEARCH("alignment",C524)),"Defective Device",ISNUMBER(SEARCH("adjust",C524)),"Defective Device",ISNUMBER(SEARCH("perform",C524)),"Defective Device",ISNUMBER(SEARCH("malfunction",C524)),"Defective Device",ISNUMBER(SEARCH("defect",C524)),"Defective Device",ISNUMBER(SEARCH("fail",C524)),"Defective Device",ISNUMBER(SEARCH("not work",C524)),"Defective Device",ISNUMBER(SEARCH("doesn't work",C524)),"Defective Device",TRUE,"UNKNOWN"),"UNKNOWN")))</f>
        <v/>
      </c>
      <c r="F524" s="4" t="str">
        <f t="shared" si="8"/>
        <v/>
      </c>
      <c r="G524" s="363" t="str">
        <f>IF(E524="","",IFERROR(VLOOKUP(E524,Codes!$L$2:$N$409,3,FALSE),"—"))</f>
        <v/>
      </c>
      <c r="H524" s="88"/>
      <c r="I524" s="88"/>
    </row>
    <row r="525" spans="1:9" ht="13.15" x14ac:dyDescent="0.35">
      <c r="A525" s="434"/>
      <c r="B525" s="436"/>
      <c r="C525" s="439"/>
      <c r="D525" s="434"/>
      <c r="E525" s="93" t="str" cm="1">
        <f t="array" ref="E525">IF(D525&lt;&gt;"",IFERROR(VLOOKUP(D525,Codes!$K$2:$L$409,2,FALSE),"UNKNOWN - "&amp;D525),IF(C525="","",IFERROR(_xlfn.IFS(ISNUMBER(SEARCH("broken button",C525)),"Break",ISNUMBER(SEARCH("broken handle",C525)),"Break",ISNUMBER(SEARCH("shipping damage",C525)),"Break",ISNUMBER(SEARCH("broken",C525)),"Break",ISNUMBER(SEARCH("crack",C525)),"Break",ISNUMBER(SEARCH("snap",C525)),"Break",ISNUMBER(SEARCH("fracture",C525)),"Break",ISNUMBER(SEARCH("bent",C525)),"Material Twisted/Bent",ISNUMBER(SEARCH("twisted",C525)),"Material Twisted/Bent",ISNUMBER(SEARCH("component separat",C525)),"Material Separation",ISNUMBER(SEARCH("separat",C525)),"Material Separation",ISNUMBER(SEARCH("connection",C525)),"Loose or Intermittent Connection",ISNUMBER(SEARCH("loose",C525)),"Loose or Intermittent Connection",ISNUMBER(SEARCH("damaged packaging",C525)),"Packaging Problem",ISNUMBER(SEARCH("packaging",C525)),"Packaging Problem",ISNUMBER(SEARCH("discoloration",C525)),"Contamination",ISNUMBER(SEARCH("tarnish",C525)),"Contamination",ISNUMBER(SEARCH("stain",C525)),"Contamination",ISNUMBER(SEARCH("foreign material",C525)),"Contamination",ISNUMBER(SEARCH("contamina",C525)),"Contamination",ISNUMBER(SEARCH("overheat",C525)),"Overheating of Device",ISNUMBER(SEARCH("excessive heat",C525)),"Overheating of Device",ISNUMBER(SEARCH("hot",C525)),"Overheating of Device",ISNUMBER(SEARCH("noise",C525)),"Noise, Audible",ISNUMBER(SEARCH("sound",C525)),"Noise, Audible",ISNUMBER(SEARCH("loud",C525)),"Noise, Audible",ISNUMBER(SEARCH("fray",C525)),"Material Frayed",ISNUMBER(SEARCH("hole",C525)),"Material Frayed",ISNUMBER(SEARCH("tear",C525)),"Material Frayed",ISNUMBER(SEARCH("worn",C525)),"Material Frayed",ISNUMBER(SEARCH("intermittent",C525)),"Difficult or Delayed Activation",ISNUMBER(SEARCH("delay",C525)),"Difficult or Delayed Activation",ISNUMBER(SEARCH("label",C525)),"Device Markings/Labelling Problem",ISNUMBER(SEARCH("marking",C525)),"Device Markings/Labelling Problem",ISNUMBER(SEARCH("lacerat",C525)),"Defective Device",ISNUMBER(SEARCH("cut",C525)),"Defective Device",ISNUMBER(SEARCH("leak",C525)),"Fluid/Blood Leak",ISNUMBER(SEARCH("missing",C525)),"Component Missing",ISNUMBER(SEARCH("power",C525)),"Complete Loss of Power",ISNUMBER(SEARCH("will not turn on",C525)),"Complete Loss of Power",ISNUMBER(SEARCH("won't turn on",C525)),"Complete Loss of Power",ISNUMBER(SEARCH("does not turn on",C525)),"Complete Loss of Power",ISNUMBER(SEARCH("electrical",C525)),"Electrical Power Problem",ISNUMBER(SEARCH("pressure",C525)),"Detachment of Device or Device Component",ISNUMBER(SEARCH("slip",C525)),"Detachment of Device or Device Component",ISNUMBER(SEARCH("detach",C525)),"Detachment of Device or Device Component",ISNUMBER(SEARCH("stick",C525)),"Mechanical Jam",ISNUMBER(SEARCH("jam",C525)),"Mechanical Jam",ISNUMBER(SEARCH("rigid",C525)),"Mechanical Jam",ISNUMBER(SEARCH("rust",C525)),"Corroded",ISNUMBER(SEARCH("corrod",C525)),"Corroded",ISNUMBER(SEARCH("corrosion",C525)),"Corroded",ISNUMBER(SEARCH("alignment",C525)),"Defective Device",ISNUMBER(SEARCH("adjust",C525)),"Defective Device",ISNUMBER(SEARCH("perform",C525)),"Defective Device",ISNUMBER(SEARCH("malfunction",C525)),"Defective Device",ISNUMBER(SEARCH("defect",C525)),"Defective Device",ISNUMBER(SEARCH("fail",C525)),"Defective Device",ISNUMBER(SEARCH("not work",C525)),"Defective Device",ISNUMBER(SEARCH("doesn't work",C525)),"Defective Device",TRUE,"UNKNOWN"),"UNKNOWN")))</f>
        <v/>
      </c>
      <c r="F525" s="4" t="str">
        <f t="shared" si="8"/>
        <v/>
      </c>
      <c r="G525" s="363" t="str">
        <f>IF(E525="","",IFERROR(VLOOKUP(E525,Codes!$L$2:$N$409,3,FALSE),"—"))</f>
        <v/>
      </c>
      <c r="H525" s="88"/>
      <c r="I525" s="88"/>
    </row>
    <row r="526" spans="1:9" ht="13.15" x14ac:dyDescent="0.35">
      <c r="A526" s="434"/>
      <c r="B526" s="436"/>
      <c r="C526" s="437"/>
      <c r="D526" s="434"/>
      <c r="E526" s="93" t="str" cm="1">
        <f t="array" ref="E526">IF(D526&lt;&gt;"",IFERROR(VLOOKUP(D526,Codes!$K$2:$L$409,2,FALSE),"UNKNOWN - "&amp;D526),IF(C526="","",IFERROR(_xlfn.IFS(ISNUMBER(SEARCH("broken button",C526)),"Break",ISNUMBER(SEARCH("broken handle",C526)),"Break",ISNUMBER(SEARCH("shipping damage",C526)),"Break",ISNUMBER(SEARCH("broken",C526)),"Break",ISNUMBER(SEARCH("crack",C526)),"Break",ISNUMBER(SEARCH("snap",C526)),"Break",ISNUMBER(SEARCH("fracture",C526)),"Break",ISNUMBER(SEARCH("bent",C526)),"Material Twisted/Bent",ISNUMBER(SEARCH("twisted",C526)),"Material Twisted/Bent",ISNUMBER(SEARCH("component separat",C526)),"Material Separation",ISNUMBER(SEARCH("separat",C526)),"Material Separation",ISNUMBER(SEARCH("connection",C526)),"Loose or Intermittent Connection",ISNUMBER(SEARCH("loose",C526)),"Loose or Intermittent Connection",ISNUMBER(SEARCH("damaged packaging",C526)),"Packaging Problem",ISNUMBER(SEARCH("packaging",C526)),"Packaging Problem",ISNUMBER(SEARCH("discoloration",C526)),"Contamination",ISNUMBER(SEARCH("tarnish",C526)),"Contamination",ISNUMBER(SEARCH("stain",C526)),"Contamination",ISNUMBER(SEARCH("foreign material",C526)),"Contamination",ISNUMBER(SEARCH("contamina",C526)),"Contamination",ISNUMBER(SEARCH("overheat",C526)),"Overheating of Device",ISNUMBER(SEARCH("excessive heat",C526)),"Overheating of Device",ISNUMBER(SEARCH("hot",C526)),"Overheating of Device",ISNUMBER(SEARCH("noise",C526)),"Noise, Audible",ISNUMBER(SEARCH("sound",C526)),"Noise, Audible",ISNUMBER(SEARCH("loud",C526)),"Noise, Audible",ISNUMBER(SEARCH("fray",C526)),"Material Frayed",ISNUMBER(SEARCH("hole",C526)),"Material Frayed",ISNUMBER(SEARCH("tear",C526)),"Material Frayed",ISNUMBER(SEARCH("worn",C526)),"Material Frayed",ISNUMBER(SEARCH("intermittent",C526)),"Difficult or Delayed Activation",ISNUMBER(SEARCH("delay",C526)),"Difficult or Delayed Activation",ISNUMBER(SEARCH("label",C526)),"Device Markings/Labelling Problem",ISNUMBER(SEARCH("marking",C526)),"Device Markings/Labelling Problem",ISNUMBER(SEARCH("lacerat",C526)),"Defective Device",ISNUMBER(SEARCH("cut",C526)),"Defective Device",ISNUMBER(SEARCH("leak",C526)),"Fluid/Blood Leak",ISNUMBER(SEARCH("missing",C526)),"Component Missing",ISNUMBER(SEARCH("power",C526)),"Complete Loss of Power",ISNUMBER(SEARCH("will not turn on",C526)),"Complete Loss of Power",ISNUMBER(SEARCH("won't turn on",C526)),"Complete Loss of Power",ISNUMBER(SEARCH("does not turn on",C526)),"Complete Loss of Power",ISNUMBER(SEARCH("electrical",C526)),"Electrical Power Problem",ISNUMBER(SEARCH("pressure",C526)),"Detachment of Device or Device Component",ISNUMBER(SEARCH("slip",C526)),"Detachment of Device or Device Component",ISNUMBER(SEARCH("detach",C526)),"Detachment of Device or Device Component",ISNUMBER(SEARCH("stick",C526)),"Mechanical Jam",ISNUMBER(SEARCH("jam",C526)),"Mechanical Jam",ISNUMBER(SEARCH("rigid",C526)),"Mechanical Jam",ISNUMBER(SEARCH("rust",C526)),"Corroded",ISNUMBER(SEARCH("corrod",C526)),"Corroded",ISNUMBER(SEARCH("corrosion",C526)),"Corroded",ISNUMBER(SEARCH("alignment",C526)),"Defective Device",ISNUMBER(SEARCH("adjust",C526)),"Defective Device",ISNUMBER(SEARCH("perform",C526)),"Defective Device",ISNUMBER(SEARCH("malfunction",C526)),"Defective Device",ISNUMBER(SEARCH("defect",C526)),"Defective Device",ISNUMBER(SEARCH("fail",C526)),"Defective Device",ISNUMBER(SEARCH("not work",C526)),"Defective Device",ISNUMBER(SEARCH("doesn't work",C526)),"Defective Device",TRUE,"UNKNOWN"),"UNKNOWN")))</f>
        <v/>
      </c>
      <c r="F526" s="4" t="str">
        <f t="shared" si="8"/>
        <v/>
      </c>
      <c r="G526" s="363" t="str">
        <f>IF(E526="","",IFERROR(VLOOKUP(E526,Codes!$L$2:$N$409,3,FALSE),"—"))</f>
        <v/>
      </c>
      <c r="H526" s="88"/>
      <c r="I526" s="88"/>
    </row>
    <row r="527" spans="1:9" ht="13.15" x14ac:dyDescent="0.35">
      <c r="A527" s="434"/>
      <c r="B527" s="436"/>
      <c r="C527" s="437"/>
      <c r="D527" s="434"/>
      <c r="E527" s="93" t="str" cm="1">
        <f t="array" ref="E527">IF(D527&lt;&gt;"",IFERROR(VLOOKUP(D527,Codes!$K$2:$L$409,2,FALSE),"UNKNOWN - "&amp;D527),IF(C527="","",IFERROR(_xlfn.IFS(ISNUMBER(SEARCH("broken button",C527)),"Break",ISNUMBER(SEARCH("broken handle",C527)),"Break",ISNUMBER(SEARCH("shipping damage",C527)),"Break",ISNUMBER(SEARCH("broken",C527)),"Break",ISNUMBER(SEARCH("crack",C527)),"Break",ISNUMBER(SEARCH("snap",C527)),"Break",ISNUMBER(SEARCH("fracture",C527)),"Break",ISNUMBER(SEARCH("bent",C527)),"Material Twisted/Bent",ISNUMBER(SEARCH("twisted",C527)),"Material Twisted/Bent",ISNUMBER(SEARCH("component separat",C527)),"Material Separation",ISNUMBER(SEARCH("separat",C527)),"Material Separation",ISNUMBER(SEARCH("connection",C527)),"Loose or Intermittent Connection",ISNUMBER(SEARCH("loose",C527)),"Loose or Intermittent Connection",ISNUMBER(SEARCH("damaged packaging",C527)),"Packaging Problem",ISNUMBER(SEARCH("packaging",C527)),"Packaging Problem",ISNUMBER(SEARCH("discoloration",C527)),"Contamination",ISNUMBER(SEARCH("tarnish",C527)),"Contamination",ISNUMBER(SEARCH("stain",C527)),"Contamination",ISNUMBER(SEARCH("foreign material",C527)),"Contamination",ISNUMBER(SEARCH("contamina",C527)),"Contamination",ISNUMBER(SEARCH("overheat",C527)),"Overheating of Device",ISNUMBER(SEARCH("excessive heat",C527)),"Overheating of Device",ISNUMBER(SEARCH("hot",C527)),"Overheating of Device",ISNUMBER(SEARCH("noise",C527)),"Noise, Audible",ISNUMBER(SEARCH("sound",C527)),"Noise, Audible",ISNUMBER(SEARCH("loud",C527)),"Noise, Audible",ISNUMBER(SEARCH("fray",C527)),"Material Frayed",ISNUMBER(SEARCH("hole",C527)),"Material Frayed",ISNUMBER(SEARCH("tear",C527)),"Material Frayed",ISNUMBER(SEARCH("worn",C527)),"Material Frayed",ISNUMBER(SEARCH("intermittent",C527)),"Difficult or Delayed Activation",ISNUMBER(SEARCH("delay",C527)),"Difficult or Delayed Activation",ISNUMBER(SEARCH("label",C527)),"Device Markings/Labelling Problem",ISNUMBER(SEARCH("marking",C527)),"Device Markings/Labelling Problem",ISNUMBER(SEARCH("lacerat",C527)),"Defective Device",ISNUMBER(SEARCH("cut",C527)),"Defective Device",ISNUMBER(SEARCH("leak",C527)),"Fluid/Blood Leak",ISNUMBER(SEARCH("missing",C527)),"Component Missing",ISNUMBER(SEARCH("power",C527)),"Complete Loss of Power",ISNUMBER(SEARCH("will not turn on",C527)),"Complete Loss of Power",ISNUMBER(SEARCH("won't turn on",C527)),"Complete Loss of Power",ISNUMBER(SEARCH("does not turn on",C527)),"Complete Loss of Power",ISNUMBER(SEARCH("electrical",C527)),"Electrical Power Problem",ISNUMBER(SEARCH("pressure",C527)),"Detachment of Device or Device Component",ISNUMBER(SEARCH("slip",C527)),"Detachment of Device or Device Component",ISNUMBER(SEARCH("detach",C527)),"Detachment of Device or Device Component",ISNUMBER(SEARCH("stick",C527)),"Mechanical Jam",ISNUMBER(SEARCH("jam",C527)),"Mechanical Jam",ISNUMBER(SEARCH("rigid",C527)),"Mechanical Jam",ISNUMBER(SEARCH("rust",C527)),"Corroded",ISNUMBER(SEARCH("corrod",C527)),"Corroded",ISNUMBER(SEARCH("corrosion",C527)),"Corroded",ISNUMBER(SEARCH("alignment",C527)),"Defective Device",ISNUMBER(SEARCH("adjust",C527)),"Defective Device",ISNUMBER(SEARCH("perform",C527)),"Defective Device",ISNUMBER(SEARCH("malfunction",C527)),"Defective Device",ISNUMBER(SEARCH("defect",C527)),"Defective Device",ISNUMBER(SEARCH("fail",C527)),"Defective Device",ISNUMBER(SEARCH("not work",C527)),"Defective Device",ISNUMBER(SEARCH("doesn't work",C527)),"Defective Device",TRUE,"UNKNOWN"),"UNKNOWN")))</f>
        <v/>
      </c>
      <c r="F527" s="4" t="str">
        <f t="shared" si="8"/>
        <v/>
      </c>
      <c r="G527" s="363" t="str">
        <f>IF(E527="","",IFERROR(VLOOKUP(E527,Codes!$L$2:$N$409,3,FALSE),"—"))</f>
        <v/>
      </c>
      <c r="H527" s="88"/>
      <c r="I527" s="88"/>
    </row>
    <row r="528" spans="1:9" ht="13.15" x14ac:dyDescent="0.35">
      <c r="A528" s="434"/>
      <c r="B528" s="436"/>
      <c r="C528" s="437"/>
      <c r="D528" s="434"/>
      <c r="E528" s="93" t="str" cm="1">
        <f t="array" ref="E528">IF(D528&lt;&gt;"",IFERROR(VLOOKUP(D528,Codes!$K$2:$L$409,2,FALSE),"UNKNOWN - "&amp;D528),IF(C528="","",IFERROR(_xlfn.IFS(ISNUMBER(SEARCH("broken button",C528)),"Break",ISNUMBER(SEARCH("broken handle",C528)),"Break",ISNUMBER(SEARCH("shipping damage",C528)),"Break",ISNUMBER(SEARCH("broken",C528)),"Break",ISNUMBER(SEARCH("crack",C528)),"Break",ISNUMBER(SEARCH("snap",C528)),"Break",ISNUMBER(SEARCH("fracture",C528)),"Break",ISNUMBER(SEARCH("bent",C528)),"Material Twisted/Bent",ISNUMBER(SEARCH("twisted",C528)),"Material Twisted/Bent",ISNUMBER(SEARCH("component separat",C528)),"Material Separation",ISNUMBER(SEARCH("separat",C528)),"Material Separation",ISNUMBER(SEARCH("connection",C528)),"Loose or Intermittent Connection",ISNUMBER(SEARCH("loose",C528)),"Loose or Intermittent Connection",ISNUMBER(SEARCH("damaged packaging",C528)),"Packaging Problem",ISNUMBER(SEARCH("packaging",C528)),"Packaging Problem",ISNUMBER(SEARCH("discoloration",C528)),"Contamination",ISNUMBER(SEARCH("tarnish",C528)),"Contamination",ISNUMBER(SEARCH("stain",C528)),"Contamination",ISNUMBER(SEARCH("foreign material",C528)),"Contamination",ISNUMBER(SEARCH("contamina",C528)),"Contamination",ISNUMBER(SEARCH("overheat",C528)),"Overheating of Device",ISNUMBER(SEARCH("excessive heat",C528)),"Overheating of Device",ISNUMBER(SEARCH("hot",C528)),"Overheating of Device",ISNUMBER(SEARCH("noise",C528)),"Noise, Audible",ISNUMBER(SEARCH("sound",C528)),"Noise, Audible",ISNUMBER(SEARCH("loud",C528)),"Noise, Audible",ISNUMBER(SEARCH("fray",C528)),"Material Frayed",ISNUMBER(SEARCH("hole",C528)),"Material Frayed",ISNUMBER(SEARCH("tear",C528)),"Material Frayed",ISNUMBER(SEARCH("worn",C528)),"Material Frayed",ISNUMBER(SEARCH("intermittent",C528)),"Difficult or Delayed Activation",ISNUMBER(SEARCH("delay",C528)),"Difficult or Delayed Activation",ISNUMBER(SEARCH("label",C528)),"Device Markings/Labelling Problem",ISNUMBER(SEARCH("marking",C528)),"Device Markings/Labelling Problem",ISNUMBER(SEARCH("lacerat",C528)),"Defective Device",ISNUMBER(SEARCH("cut",C528)),"Defective Device",ISNUMBER(SEARCH("leak",C528)),"Fluid/Blood Leak",ISNUMBER(SEARCH("missing",C528)),"Component Missing",ISNUMBER(SEARCH("power",C528)),"Complete Loss of Power",ISNUMBER(SEARCH("will not turn on",C528)),"Complete Loss of Power",ISNUMBER(SEARCH("won't turn on",C528)),"Complete Loss of Power",ISNUMBER(SEARCH("does not turn on",C528)),"Complete Loss of Power",ISNUMBER(SEARCH("electrical",C528)),"Electrical Power Problem",ISNUMBER(SEARCH("pressure",C528)),"Detachment of Device or Device Component",ISNUMBER(SEARCH("slip",C528)),"Detachment of Device or Device Component",ISNUMBER(SEARCH("detach",C528)),"Detachment of Device or Device Component",ISNUMBER(SEARCH("stick",C528)),"Mechanical Jam",ISNUMBER(SEARCH("jam",C528)),"Mechanical Jam",ISNUMBER(SEARCH("rigid",C528)),"Mechanical Jam",ISNUMBER(SEARCH("rust",C528)),"Corroded",ISNUMBER(SEARCH("corrod",C528)),"Corroded",ISNUMBER(SEARCH("corrosion",C528)),"Corroded",ISNUMBER(SEARCH("alignment",C528)),"Defective Device",ISNUMBER(SEARCH("adjust",C528)),"Defective Device",ISNUMBER(SEARCH("perform",C528)),"Defective Device",ISNUMBER(SEARCH("malfunction",C528)),"Defective Device",ISNUMBER(SEARCH("defect",C528)),"Defective Device",ISNUMBER(SEARCH("fail",C528)),"Defective Device",ISNUMBER(SEARCH("not work",C528)),"Defective Device",ISNUMBER(SEARCH("doesn't work",C528)),"Defective Device",TRUE,"UNKNOWN"),"UNKNOWN")))</f>
        <v/>
      </c>
      <c r="F528" s="4" t="str">
        <f t="shared" si="8"/>
        <v/>
      </c>
      <c r="G528" s="363" t="str">
        <f>IF(E528="","",IFERROR(VLOOKUP(E528,Codes!$L$2:$N$409,3,FALSE),"—"))</f>
        <v/>
      </c>
      <c r="H528" s="88"/>
      <c r="I528" s="88"/>
    </row>
    <row r="529" spans="1:9" ht="13.15" x14ac:dyDescent="0.35">
      <c r="A529" s="434"/>
      <c r="B529" s="436"/>
      <c r="C529" s="437"/>
      <c r="D529" s="434"/>
      <c r="E529" s="93" t="str" cm="1">
        <f t="array" ref="E529">IF(D529&lt;&gt;"",IFERROR(VLOOKUP(D529,Codes!$K$2:$L$409,2,FALSE),"UNKNOWN - "&amp;D529),IF(C529="","",IFERROR(_xlfn.IFS(ISNUMBER(SEARCH("broken button",C529)),"Break",ISNUMBER(SEARCH("broken handle",C529)),"Break",ISNUMBER(SEARCH("shipping damage",C529)),"Break",ISNUMBER(SEARCH("broken",C529)),"Break",ISNUMBER(SEARCH("crack",C529)),"Break",ISNUMBER(SEARCH("snap",C529)),"Break",ISNUMBER(SEARCH("fracture",C529)),"Break",ISNUMBER(SEARCH("bent",C529)),"Material Twisted/Bent",ISNUMBER(SEARCH("twisted",C529)),"Material Twisted/Bent",ISNUMBER(SEARCH("component separat",C529)),"Material Separation",ISNUMBER(SEARCH("separat",C529)),"Material Separation",ISNUMBER(SEARCH("connection",C529)),"Loose or Intermittent Connection",ISNUMBER(SEARCH("loose",C529)),"Loose or Intermittent Connection",ISNUMBER(SEARCH("damaged packaging",C529)),"Packaging Problem",ISNUMBER(SEARCH("packaging",C529)),"Packaging Problem",ISNUMBER(SEARCH("discoloration",C529)),"Contamination",ISNUMBER(SEARCH("tarnish",C529)),"Contamination",ISNUMBER(SEARCH("stain",C529)),"Contamination",ISNUMBER(SEARCH("foreign material",C529)),"Contamination",ISNUMBER(SEARCH("contamina",C529)),"Contamination",ISNUMBER(SEARCH("overheat",C529)),"Overheating of Device",ISNUMBER(SEARCH("excessive heat",C529)),"Overheating of Device",ISNUMBER(SEARCH("hot",C529)),"Overheating of Device",ISNUMBER(SEARCH("noise",C529)),"Noise, Audible",ISNUMBER(SEARCH("sound",C529)),"Noise, Audible",ISNUMBER(SEARCH("loud",C529)),"Noise, Audible",ISNUMBER(SEARCH("fray",C529)),"Material Frayed",ISNUMBER(SEARCH("hole",C529)),"Material Frayed",ISNUMBER(SEARCH("tear",C529)),"Material Frayed",ISNUMBER(SEARCH("worn",C529)),"Material Frayed",ISNUMBER(SEARCH("intermittent",C529)),"Difficult or Delayed Activation",ISNUMBER(SEARCH("delay",C529)),"Difficult or Delayed Activation",ISNUMBER(SEARCH("label",C529)),"Device Markings/Labelling Problem",ISNUMBER(SEARCH("marking",C529)),"Device Markings/Labelling Problem",ISNUMBER(SEARCH("lacerat",C529)),"Defective Device",ISNUMBER(SEARCH("cut",C529)),"Defective Device",ISNUMBER(SEARCH("leak",C529)),"Fluid/Blood Leak",ISNUMBER(SEARCH("missing",C529)),"Component Missing",ISNUMBER(SEARCH("power",C529)),"Complete Loss of Power",ISNUMBER(SEARCH("will not turn on",C529)),"Complete Loss of Power",ISNUMBER(SEARCH("won't turn on",C529)),"Complete Loss of Power",ISNUMBER(SEARCH("does not turn on",C529)),"Complete Loss of Power",ISNUMBER(SEARCH("electrical",C529)),"Electrical Power Problem",ISNUMBER(SEARCH("pressure",C529)),"Detachment of Device or Device Component",ISNUMBER(SEARCH("slip",C529)),"Detachment of Device or Device Component",ISNUMBER(SEARCH("detach",C529)),"Detachment of Device or Device Component",ISNUMBER(SEARCH("stick",C529)),"Mechanical Jam",ISNUMBER(SEARCH("jam",C529)),"Mechanical Jam",ISNUMBER(SEARCH("rigid",C529)),"Mechanical Jam",ISNUMBER(SEARCH("rust",C529)),"Corroded",ISNUMBER(SEARCH("corrod",C529)),"Corroded",ISNUMBER(SEARCH("corrosion",C529)),"Corroded",ISNUMBER(SEARCH("alignment",C529)),"Defective Device",ISNUMBER(SEARCH("adjust",C529)),"Defective Device",ISNUMBER(SEARCH("perform",C529)),"Defective Device",ISNUMBER(SEARCH("malfunction",C529)),"Defective Device",ISNUMBER(SEARCH("defect",C529)),"Defective Device",ISNUMBER(SEARCH("fail",C529)),"Defective Device",ISNUMBER(SEARCH("not work",C529)),"Defective Device",ISNUMBER(SEARCH("doesn't work",C529)),"Defective Device",TRUE,"UNKNOWN"),"UNKNOWN")))</f>
        <v/>
      </c>
      <c r="F529" s="4" t="str">
        <f t="shared" si="8"/>
        <v/>
      </c>
      <c r="G529" s="363" t="str">
        <f>IF(E529="","",IFERROR(VLOOKUP(E529,Codes!$L$2:$N$409,3,FALSE),"—"))</f>
        <v/>
      </c>
      <c r="H529" s="88"/>
      <c r="I529" s="88"/>
    </row>
    <row r="530" spans="1:9" ht="13.15" x14ac:dyDescent="0.35">
      <c r="A530" s="434"/>
      <c r="B530" s="436"/>
      <c r="C530" s="437"/>
      <c r="D530" s="434"/>
      <c r="E530" s="93" t="str" cm="1">
        <f t="array" ref="E530">IF(D530&lt;&gt;"",IFERROR(VLOOKUP(D530,Codes!$K$2:$L$409,2,FALSE),"UNKNOWN - "&amp;D530),IF(C530="","",IFERROR(_xlfn.IFS(ISNUMBER(SEARCH("broken button",C530)),"Break",ISNUMBER(SEARCH("broken handle",C530)),"Break",ISNUMBER(SEARCH("shipping damage",C530)),"Break",ISNUMBER(SEARCH("broken",C530)),"Break",ISNUMBER(SEARCH("crack",C530)),"Break",ISNUMBER(SEARCH("snap",C530)),"Break",ISNUMBER(SEARCH("fracture",C530)),"Break",ISNUMBER(SEARCH("bent",C530)),"Material Twisted/Bent",ISNUMBER(SEARCH("twisted",C530)),"Material Twisted/Bent",ISNUMBER(SEARCH("component separat",C530)),"Material Separation",ISNUMBER(SEARCH("separat",C530)),"Material Separation",ISNUMBER(SEARCH("connection",C530)),"Loose or Intermittent Connection",ISNUMBER(SEARCH("loose",C530)),"Loose or Intermittent Connection",ISNUMBER(SEARCH("damaged packaging",C530)),"Packaging Problem",ISNUMBER(SEARCH("packaging",C530)),"Packaging Problem",ISNUMBER(SEARCH("discoloration",C530)),"Contamination",ISNUMBER(SEARCH("tarnish",C530)),"Contamination",ISNUMBER(SEARCH("stain",C530)),"Contamination",ISNUMBER(SEARCH("foreign material",C530)),"Contamination",ISNUMBER(SEARCH("contamina",C530)),"Contamination",ISNUMBER(SEARCH("overheat",C530)),"Overheating of Device",ISNUMBER(SEARCH("excessive heat",C530)),"Overheating of Device",ISNUMBER(SEARCH("hot",C530)),"Overheating of Device",ISNUMBER(SEARCH("noise",C530)),"Noise, Audible",ISNUMBER(SEARCH("sound",C530)),"Noise, Audible",ISNUMBER(SEARCH("loud",C530)),"Noise, Audible",ISNUMBER(SEARCH("fray",C530)),"Material Frayed",ISNUMBER(SEARCH("hole",C530)),"Material Frayed",ISNUMBER(SEARCH("tear",C530)),"Material Frayed",ISNUMBER(SEARCH("worn",C530)),"Material Frayed",ISNUMBER(SEARCH("intermittent",C530)),"Difficult or Delayed Activation",ISNUMBER(SEARCH("delay",C530)),"Difficult or Delayed Activation",ISNUMBER(SEARCH("label",C530)),"Device Markings/Labelling Problem",ISNUMBER(SEARCH("marking",C530)),"Device Markings/Labelling Problem",ISNUMBER(SEARCH("lacerat",C530)),"Defective Device",ISNUMBER(SEARCH("cut",C530)),"Defective Device",ISNUMBER(SEARCH("leak",C530)),"Fluid/Blood Leak",ISNUMBER(SEARCH("missing",C530)),"Component Missing",ISNUMBER(SEARCH("power",C530)),"Complete Loss of Power",ISNUMBER(SEARCH("will not turn on",C530)),"Complete Loss of Power",ISNUMBER(SEARCH("won't turn on",C530)),"Complete Loss of Power",ISNUMBER(SEARCH("does not turn on",C530)),"Complete Loss of Power",ISNUMBER(SEARCH("electrical",C530)),"Electrical Power Problem",ISNUMBER(SEARCH("pressure",C530)),"Detachment of Device or Device Component",ISNUMBER(SEARCH("slip",C530)),"Detachment of Device or Device Component",ISNUMBER(SEARCH("detach",C530)),"Detachment of Device or Device Component",ISNUMBER(SEARCH("stick",C530)),"Mechanical Jam",ISNUMBER(SEARCH("jam",C530)),"Mechanical Jam",ISNUMBER(SEARCH("rigid",C530)),"Mechanical Jam",ISNUMBER(SEARCH("rust",C530)),"Corroded",ISNUMBER(SEARCH("corrod",C530)),"Corroded",ISNUMBER(SEARCH("corrosion",C530)),"Corroded",ISNUMBER(SEARCH("alignment",C530)),"Defective Device",ISNUMBER(SEARCH("adjust",C530)),"Defective Device",ISNUMBER(SEARCH("perform",C530)),"Defective Device",ISNUMBER(SEARCH("malfunction",C530)),"Defective Device",ISNUMBER(SEARCH("defect",C530)),"Defective Device",ISNUMBER(SEARCH("fail",C530)),"Defective Device",ISNUMBER(SEARCH("not work",C530)),"Defective Device",ISNUMBER(SEARCH("doesn't work",C530)),"Defective Device",TRUE,"UNKNOWN"),"UNKNOWN")))</f>
        <v/>
      </c>
      <c r="F530" s="4" t="str">
        <f t="shared" si="8"/>
        <v/>
      </c>
      <c r="G530" s="363" t="str">
        <f>IF(E530="","",IFERROR(VLOOKUP(E530,Codes!$L$2:$N$409,3,FALSE),"—"))</f>
        <v/>
      </c>
      <c r="H530" s="88"/>
      <c r="I530" s="88"/>
    </row>
    <row r="531" spans="1:9" ht="13.15" x14ac:dyDescent="0.35">
      <c r="A531" s="435"/>
      <c r="B531" s="436"/>
      <c r="C531" s="438"/>
      <c r="D531" s="435"/>
      <c r="E531" s="93" t="str" cm="1">
        <f t="array" ref="E531">IF(D531&lt;&gt;"",IFERROR(VLOOKUP(D531,Codes!$K$2:$L$409,2,FALSE),"UNKNOWN - "&amp;D531),IF(C531="","",IFERROR(_xlfn.IFS(ISNUMBER(SEARCH("broken button",C531)),"Break",ISNUMBER(SEARCH("broken handle",C531)),"Break",ISNUMBER(SEARCH("shipping damage",C531)),"Break",ISNUMBER(SEARCH("broken",C531)),"Break",ISNUMBER(SEARCH("crack",C531)),"Break",ISNUMBER(SEARCH("snap",C531)),"Break",ISNUMBER(SEARCH("fracture",C531)),"Break",ISNUMBER(SEARCH("bent",C531)),"Material Twisted/Bent",ISNUMBER(SEARCH("twisted",C531)),"Material Twisted/Bent",ISNUMBER(SEARCH("component separat",C531)),"Material Separation",ISNUMBER(SEARCH("separat",C531)),"Material Separation",ISNUMBER(SEARCH("connection",C531)),"Loose or Intermittent Connection",ISNUMBER(SEARCH("loose",C531)),"Loose or Intermittent Connection",ISNUMBER(SEARCH("damaged packaging",C531)),"Packaging Problem",ISNUMBER(SEARCH("packaging",C531)),"Packaging Problem",ISNUMBER(SEARCH("discoloration",C531)),"Contamination",ISNUMBER(SEARCH("tarnish",C531)),"Contamination",ISNUMBER(SEARCH("stain",C531)),"Contamination",ISNUMBER(SEARCH("foreign material",C531)),"Contamination",ISNUMBER(SEARCH("contamina",C531)),"Contamination",ISNUMBER(SEARCH("overheat",C531)),"Overheating of Device",ISNUMBER(SEARCH("excessive heat",C531)),"Overheating of Device",ISNUMBER(SEARCH("hot",C531)),"Overheating of Device",ISNUMBER(SEARCH("noise",C531)),"Noise, Audible",ISNUMBER(SEARCH("sound",C531)),"Noise, Audible",ISNUMBER(SEARCH("loud",C531)),"Noise, Audible",ISNUMBER(SEARCH("fray",C531)),"Material Frayed",ISNUMBER(SEARCH("hole",C531)),"Material Frayed",ISNUMBER(SEARCH("tear",C531)),"Material Frayed",ISNUMBER(SEARCH("worn",C531)),"Material Frayed",ISNUMBER(SEARCH("intermittent",C531)),"Difficult or Delayed Activation",ISNUMBER(SEARCH("delay",C531)),"Difficult or Delayed Activation",ISNUMBER(SEARCH("label",C531)),"Device Markings/Labelling Problem",ISNUMBER(SEARCH("marking",C531)),"Device Markings/Labelling Problem",ISNUMBER(SEARCH("lacerat",C531)),"Defective Device",ISNUMBER(SEARCH("cut",C531)),"Defective Device",ISNUMBER(SEARCH("leak",C531)),"Fluid/Blood Leak",ISNUMBER(SEARCH("missing",C531)),"Component Missing",ISNUMBER(SEARCH("power",C531)),"Complete Loss of Power",ISNUMBER(SEARCH("will not turn on",C531)),"Complete Loss of Power",ISNUMBER(SEARCH("won't turn on",C531)),"Complete Loss of Power",ISNUMBER(SEARCH("does not turn on",C531)),"Complete Loss of Power",ISNUMBER(SEARCH("electrical",C531)),"Electrical Power Problem",ISNUMBER(SEARCH("pressure",C531)),"Detachment of Device or Device Component",ISNUMBER(SEARCH("slip",C531)),"Detachment of Device or Device Component",ISNUMBER(SEARCH("detach",C531)),"Detachment of Device or Device Component",ISNUMBER(SEARCH("stick",C531)),"Mechanical Jam",ISNUMBER(SEARCH("jam",C531)),"Mechanical Jam",ISNUMBER(SEARCH("rigid",C531)),"Mechanical Jam",ISNUMBER(SEARCH("rust",C531)),"Corroded",ISNUMBER(SEARCH("corrod",C531)),"Corroded",ISNUMBER(SEARCH("corrosion",C531)),"Corroded",ISNUMBER(SEARCH("alignment",C531)),"Defective Device",ISNUMBER(SEARCH("adjust",C531)),"Defective Device",ISNUMBER(SEARCH("perform",C531)),"Defective Device",ISNUMBER(SEARCH("malfunction",C531)),"Defective Device",ISNUMBER(SEARCH("defect",C531)),"Defective Device",ISNUMBER(SEARCH("fail",C531)),"Defective Device",ISNUMBER(SEARCH("not work",C531)),"Defective Device",ISNUMBER(SEARCH("doesn't work",C531)),"Defective Device",TRUE,"UNKNOWN"),"UNKNOWN")))</f>
        <v/>
      </c>
      <c r="F531" s="4" t="str">
        <f t="shared" si="8"/>
        <v/>
      </c>
      <c r="G531" s="363" t="str">
        <f>IF(E531="","",IFERROR(VLOOKUP(E531,Codes!$L$2:$N$409,3,FALSE),"—"))</f>
        <v/>
      </c>
      <c r="H531" s="88"/>
      <c r="I531" s="88"/>
    </row>
    <row r="532" spans="1:9" ht="13.15" x14ac:dyDescent="0.35">
      <c r="A532" s="434"/>
      <c r="B532" s="436"/>
      <c r="C532" s="439"/>
      <c r="D532" s="434"/>
      <c r="E532" s="93" t="str" cm="1">
        <f t="array" ref="E532">IF(D532&lt;&gt;"",IFERROR(VLOOKUP(D532,Codes!$K$2:$L$409,2,FALSE),"UNKNOWN - "&amp;D532),IF(C532="","",IFERROR(_xlfn.IFS(ISNUMBER(SEARCH("broken button",C532)),"Break",ISNUMBER(SEARCH("broken handle",C532)),"Break",ISNUMBER(SEARCH("shipping damage",C532)),"Break",ISNUMBER(SEARCH("broken",C532)),"Break",ISNUMBER(SEARCH("crack",C532)),"Break",ISNUMBER(SEARCH("snap",C532)),"Break",ISNUMBER(SEARCH("fracture",C532)),"Break",ISNUMBER(SEARCH("bent",C532)),"Material Twisted/Bent",ISNUMBER(SEARCH("twisted",C532)),"Material Twisted/Bent",ISNUMBER(SEARCH("component separat",C532)),"Material Separation",ISNUMBER(SEARCH("separat",C532)),"Material Separation",ISNUMBER(SEARCH("connection",C532)),"Loose or Intermittent Connection",ISNUMBER(SEARCH("loose",C532)),"Loose or Intermittent Connection",ISNUMBER(SEARCH("damaged packaging",C532)),"Packaging Problem",ISNUMBER(SEARCH("packaging",C532)),"Packaging Problem",ISNUMBER(SEARCH("discoloration",C532)),"Contamination",ISNUMBER(SEARCH("tarnish",C532)),"Contamination",ISNUMBER(SEARCH("stain",C532)),"Contamination",ISNUMBER(SEARCH("foreign material",C532)),"Contamination",ISNUMBER(SEARCH("contamina",C532)),"Contamination",ISNUMBER(SEARCH("overheat",C532)),"Overheating of Device",ISNUMBER(SEARCH("excessive heat",C532)),"Overheating of Device",ISNUMBER(SEARCH("hot",C532)),"Overheating of Device",ISNUMBER(SEARCH("noise",C532)),"Noise, Audible",ISNUMBER(SEARCH("sound",C532)),"Noise, Audible",ISNUMBER(SEARCH("loud",C532)),"Noise, Audible",ISNUMBER(SEARCH("fray",C532)),"Material Frayed",ISNUMBER(SEARCH("hole",C532)),"Material Frayed",ISNUMBER(SEARCH("tear",C532)),"Material Frayed",ISNUMBER(SEARCH("worn",C532)),"Material Frayed",ISNUMBER(SEARCH("intermittent",C532)),"Difficult or Delayed Activation",ISNUMBER(SEARCH("delay",C532)),"Difficult or Delayed Activation",ISNUMBER(SEARCH("label",C532)),"Device Markings/Labelling Problem",ISNUMBER(SEARCH("marking",C532)),"Device Markings/Labelling Problem",ISNUMBER(SEARCH("lacerat",C532)),"Defective Device",ISNUMBER(SEARCH("cut",C532)),"Defective Device",ISNUMBER(SEARCH("leak",C532)),"Fluid/Blood Leak",ISNUMBER(SEARCH("missing",C532)),"Component Missing",ISNUMBER(SEARCH("power",C532)),"Complete Loss of Power",ISNUMBER(SEARCH("will not turn on",C532)),"Complete Loss of Power",ISNUMBER(SEARCH("won't turn on",C532)),"Complete Loss of Power",ISNUMBER(SEARCH("does not turn on",C532)),"Complete Loss of Power",ISNUMBER(SEARCH("electrical",C532)),"Electrical Power Problem",ISNUMBER(SEARCH("pressure",C532)),"Detachment of Device or Device Component",ISNUMBER(SEARCH("slip",C532)),"Detachment of Device or Device Component",ISNUMBER(SEARCH("detach",C532)),"Detachment of Device or Device Component",ISNUMBER(SEARCH("stick",C532)),"Mechanical Jam",ISNUMBER(SEARCH("jam",C532)),"Mechanical Jam",ISNUMBER(SEARCH("rigid",C532)),"Mechanical Jam",ISNUMBER(SEARCH("rust",C532)),"Corroded",ISNUMBER(SEARCH("corrod",C532)),"Corroded",ISNUMBER(SEARCH("corrosion",C532)),"Corroded",ISNUMBER(SEARCH("alignment",C532)),"Defective Device",ISNUMBER(SEARCH("adjust",C532)),"Defective Device",ISNUMBER(SEARCH("perform",C532)),"Defective Device",ISNUMBER(SEARCH("malfunction",C532)),"Defective Device",ISNUMBER(SEARCH("defect",C532)),"Defective Device",ISNUMBER(SEARCH("fail",C532)),"Defective Device",ISNUMBER(SEARCH("not work",C532)),"Defective Device",ISNUMBER(SEARCH("doesn't work",C532)),"Defective Device",TRUE,"UNKNOWN"),"UNKNOWN")))</f>
        <v/>
      </c>
      <c r="F532" s="4" t="str">
        <f t="shared" si="8"/>
        <v/>
      </c>
      <c r="G532" s="363" t="str">
        <f>IF(E532="","",IFERROR(VLOOKUP(E532,Codes!$L$2:$N$409,3,FALSE),"—"))</f>
        <v/>
      </c>
      <c r="H532" s="88"/>
      <c r="I532" s="88"/>
    </row>
    <row r="533" spans="1:9" ht="13.15" x14ac:dyDescent="0.35">
      <c r="A533" s="435"/>
      <c r="B533" s="436"/>
      <c r="C533" s="438"/>
      <c r="D533" s="435"/>
      <c r="E533" s="93" t="str" cm="1">
        <f t="array" ref="E533">IF(D533&lt;&gt;"",IFERROR(VLOOKUP(D533,Codes!$K$2:$L$409,2,FALSE),"UNKNOWN - "&amp;D533),IF(C533="","",IFERROR(_xlfn.IFS(ISNUMBER(SEARCH("broken button",C533)),"Break",ISNUMBER(SEARCH("broken handle",C533)),"Break",ISNUMBER(SEARCH("shipping damage",C533)),"Break",ISNUMBER(SEARCH("broken",C533)),"Break",ISNUMBER(SEARCH("crack",C533)),"Break",ISNUMBER(SEARCH("snap",C533)),"Break",ISNUMBER(SEARCH("fracture",C533)),"Break",ISNUMBER(SEARCH("bent",C533)),"Material Twisted/Bent",ISNUMBER(SEARCH("twisted",C533)),"Material Twisted/Bent",ISNUMBER(SEARCH("component separat",C533)),"Material Separation",ISNUMBER(SEARCH("separat",C533)),"Material Separation",ISNUMBER(SEARCH("connection",C533)),"Loose or Intermittent Connection",ISNUMBER(SEARCH("loose",C533)),"Loose or Intermittent Connection",ISNUMBER(SEARCH("damaged packaging",C533)),"Packaging Problem",ISNUMBER(SEARCH("packaging",C533)),"Packaging Problem",ISNUMBER(SEARCH("discoloration",C533)),"Contamination",ISNUMBER(SEARCH("tarnish",C533)),"Contamination",ISNUMBER(SEARCH("stain",C533)),"Contamination",ISNUMBER(SEARCH("foreign material",C533)),"Contamination",ISNUMBER(SEARCH("contamina",C533)),"Contamination",ISNUMBER(SEARCH("overheat",C533)),"Overheating of Device",ISNUMBER(SEARCH("excessive heat",C533)),"Overheating of Device",ISNUMBER(SEARCH("hot",C533)),"Overheating of Device",ISNUMBER(SEARCH("noise",C533)),"Noise, Audible",ISNUMBER(SEARCH("sound",C533)),"Noise, Audible",ISNUMBER(SEARCH("loud",C533)),"Noise, Audible",ISNUMBER(SEARCH("fray",C533)),"Material Frayed",ISNUMBER(SEARCH("hole",C533)),"Material Frayed",ISNUMBER(SEARCH("tear",C533)),"Material Frayed",ISNUMBER(SEARCH("worn",C533)),"Material Frayed",ISNUMBER(SEARCH("intermittent",C533)),"Difficult or Delayed Activation",ISNUMBER(SEARCH("delay",C533)),"Difficult or Delayed Activation",ISNUMBER(SEARCH("label",C533)),"Device Markings/Labelling Problem",ISNUMBER(SEARCH("marking",C533)),"Device Markings/Labelling Problem",ISNUMBER(SEARCH("lacerat",C533)),"Defective Device",ISNUMBER(SEARCH("cut",C533)),"Defective Device",ISNUMBER(SEARCH("leak",C533)),"Fluid/Blood Leak",ISNUMBER(SEARCH("missing",C533)),"Component Missing",ISNUMBER(SEARCH("power",C533)),"Complete Loss of Power",ISNUMBER(SEARCH("will not turn on",C533)),"Complete Loss of Power",ISNUMBER(SEARCH("won't turn on",C533)),"Complete Loss of Power",ISNUMBER(SEARCH("does not turn on",C533)),"Complete Loss of Power",ISNUMBER(SEARCH("electrical",C533)),"Electrical Power Problem",ISNUMBER(SEARCH("pressure",C533)),"Detachment of Device or Device Component",ISNUMBER(SEARCH("slip",C533)),"Detachment of Device or Device Component",ISNUMBER(SEARCH("detach",C533)),"Detachment of Device or Device Component",ISNUMBER(SEARCH("stick",C533)),"Mechanical Jam",ISNUMBER(SEARCH("jam",C533)),"Mechanical Jam",ISNUMBER(SEARCH("rigid",C533)),"Mechanical Jam",ISNUMBER(SEARCH("rust",C533)),"Corroded",ISNUMBER(SEARCH("corrod",C533)),"Corroded",ISNUMBER(SEARCH("corrosion",C533)),"Corroded",ISNUMBER(SEARCH("alignment",C533)),"Defective Device",ISNUMBER(SEARCH("adjust",C533)),"Defective Device",ISNUMBER(SEARCH("perform",C533)),"Defective Device",ISNUMBER(SEARCH("malfunction",C533)),"Defective Device",ISNUMBER(SEARCH("defect",C533)),"Defective Device",ISNUMBER(SEARCH("fail",C533)),"Defective Device",ISNUMBER(SEARCH("not work",C533)),"Defective Device",ISNUMBER(SEARCH("doesn't work",C533)),"Defective Device",TRUE,"UNKNOWN"),"UNKNOWN")))</f>
        <v/>
      </c>
      <c r="F533" s="4" t="str">
        <f t="shared" si="8"/>
        <v/>
      </c>
      <c r="G533" s="363" t="str">
        <f>IF(E533="","",IFERROR(VLOOKUP(E533,Codes!$L$2:$N$409,3,FALSE),"—"))</f>
        <v/>
      </c>
      <c r="H533" s="88"/>
      <c r="I533" s="88"/>
    </row>
    <row r="534" spans="1:9" ht="13.15" x14ac:dyDescent="0.35">
      <c r="A534" s="434"/>
      <c r="B534" s="436"/>
      <c r="C534" s="437"/>
      <c r="D534" s="434"/>
      <c r="E534" s="93" t="str" cm="1">
        <f t="array" ref="E534">IF(D534&lt;&gt;"",IFERROR(VLOOKUP(D534,Codes!$K$2:$L$409,2,FALSE),"UNKNOWN - "&amp;D534),IF(C534="","",IFERROR(_xlfn.IFS(ISNUMBER(SEARCH("broken button",C534)),"Break",ISNUMBER(SEARCH("broken handle",C534)),"Break",ISNUMBER(SEARCH("shipping damage",C534)),"Break",ISNUMBER(SEARCH("broken",C534)),"Break",ISNUMBER(SEARCH("crack",C534)),"Break",ISNUMBER(SEARCH("snap",C534)),"Break",ISNUMBER(SEARCH("fracture",C534)),"Break",ISNUMBER(SEARCH("bent",C534)),"Material Twisted/Bent",ISNUMBER(SEARCH("twisted",C534)),"Material Twisted/Bent",ISNUMBER(SEARCH("component separat",C534)),"Material Separation",ISNUMBER(SEARCH("separat",C534)),"Material Separation",ISNUMBER(SEARCH("connection",C534)),"Loose or Intermittent Connection",ISNUMBER(SEARCH("loose",C534)),"Loose or Intermittent Connection",ISNUMBER(SEARCH("damaged packaging",C534)),"Packaging Problem",ISNUMBER(SEARCH("packaging",C534)),"Packaging Problem",ISNUMBER(SEARCH("discoloration",C534)),"Contamination",ISNUMBER(SEARCH("tarnish",C534)),"Contamination",ISNUMBER(SEARCH("stain",C534)),"Contamination",ISNUMBER(SEARCH("foreign material",C534)),"Contamination",ISNUMBER(SEARCH("contamina",C534)),"Contamination",ISNUMBER(SEARCH("overheat",C534)),"Overheating of Device",ISNUMBER(SEARCH("excessive heat",C534)),"Overheating of Device",ISNUMBER(SEARCH("hot",C534)),"Overheating of Device",ISNUMBER(SEARCH("noise",C534)),"Noise, Audible",ISNUMBER(SEARCH("sound",C534)),"Noise, Audible",ISNUMBER(SEARCH("loud",C534)),"Noise, Audible",ISNUMBER(SEARCH("fray",C534)),"Material Frayed",ISNUMBER(SEARCH("hole",C534)),"Material Frayed",ISNUMBER(SEARCH("tear",C534)),"Material Frayed",ISNUMBER(SEARCH("worn",C534)),"Material Frayed",ISNUMBER(SEARCH("intermittent",C534)),"Difficult or Delayed Activation",ISNUMBER(SEARCH("delay",C534)),"Difficult or Delayed Activation",ISNUMBER(SEARCH("label",C534)),"Device Markings/Labelling Problem",ISNUMBER(SEARCH("marking",C534)),"Device Markings/Labelling Problem",ISNUMBER(SEARCH("lacerat",C534)),"Defective Device",ISNUMBER(SEARCH("cut",C534)),"Defective Device",ISNUMBER(SEARCH("leak",C534)),"Fluid/Blood Leak",ISNUMBER(SEARCH("missing",C534)),"Component Missing",ISNUMBER(SEARCH("power",C534)),"Complete Loss of Power",ISNUMBER(SEARCH("will not turn on",C534)),"Complete Loss of Power",ISNUMBER(SEARCH("won't turn on",C534)),"Complete Loss of Power",ISNUMBER(SEARCH("does not turn on",C534)),"Complete Loss of Power",ISNUMBER(SEARCH("electrical",C534)),"Electrical Power Problem",ISNUMBER(SEARCH("pressure",C534)),"Detachment of Device or Device Component",ISNUMBER(SEARCH("slip",C534)),"Detachment of Device or Device Component",ISNUMBER(SEARCH("detach",C534)),"Detachment of Device or Device Component",ISNUMBER(SEARCH("stick",C534)),"Mechanical Jam",ISNUMBER(SEARCH("jam",C534)),"Mechanical Jam",ISNUMBER(SEARCH("rigid",C534)),"Mechanical Jam",ISNUMBER(SEARCH("rust",C534)),"Corroded",ISNUMBER(SEARCH("corrod",C534)),"Corroded",ISNUMBER(SEARCH("corrosion",C534)),"Corroded",ISNUMBER(SEARCH("alignment",C534)),"Defective Device",ISNUMBER(SEARCH("adjust",C534)),"Defective Device",ISNUMBER(SEARCH("perform",C534)),"Defective Device",ISNUMBER(SEARCH("malfunction",C534)),"Defective Device",ISNUMBER(SEARCH("defect",C534)),"Defective Device",ISNUMBER(SEARCH("fail",C534)),"Defective Device",ISNUMBER(SEARCH("not work",C534)),"Defective Device",ISNUMBER(SEARCH("doesn't work",C534)),"Defective Device",TRUE,"UNKNOWN"),"UNKNOWN")))</f>
        <v/>
      </c>
      <c r="F534" s="4" t="str">
        <f t="shared" si="8"/>
        <v/>
      </c>
      <c r="G534" s="363" t="str">
        <f>IF(E534="","",IFERROR(VLOOKUP(E534,Codes!$L$2:$N$409,3,FALSE),"—"))</f>
        <v/>
      </c>
      <c r="H534" s="88"/>
      <c r="I534" s="88"/>
    </row>
    <row r="535" spans="1:9" ht="13.15" x14ac:dyDescent="0.35">
      <c r="A535" s="434"/>
      <c r="B535" s="436"/>
      <c r="C535" s="439"/>
      <c r="D535" s="434"/>
      <c r="E535" s="93" t="str" cm="1">
        <f t="array" ref="E535">IF(D535&lt;&gt;"",IFERROR(VLOOKUP(D535,Codes!$K$2:$L$409,2,FALSE),"UNKNOWN - "&amp;D535),IF(C535="","",IFERROR(_xlfn.IFS(ISNUMBER(SEARCH("broken button",C535)),"Break",ISNUMBER(SEARCH("broken handle",C535)),"Break",ISNUMBER(SEARCH("shipping damage",C535)),"Break",ISNUMBER(SEARCH("broken",C535)),"Break",ISNUMBER(SEARCH("crack",C535)),"Break",ISNUMBER(SEARCH("snap",C535)),"Break",ISNUMBER(SEARCH("fracture",C535)),"Break",ISNUMBER(SEARCH("bent",C535)),"Material Twisted/Bent",ISNUMBER(SEARCH("twisted",C535)),"Material Twisted/Bent",ISNUMBER(SEARCH("component separat",C535)),"Material Separation",ISNUMBER(SEARCH("separat",C535)),"Material Separation",ISNUMBER(SEARCH("connection",C535)),"Loose or Intermittent Connection",ISNUMBER(SEARCH("loose",C535)),"Loose or Intermittent Connection",ISNUMBER(SEARCH("damaged packaging",C535)),"Packaging Problem",ISNUMBER(SEARCH("packaging",C535)),"Packaging Problem",ISNUMBER(SEARCH("discoloration",C535)),"Contamination",ISNUMBER(SEARCH("tarnish",C535)),"Contamination",ISNUMBER(SEARCH("stain",C535)),"Contamination",ISNUMBER(SEARCH("foreign material",C535)),"Contamination",ISNUMBER(SEARCH("contamina",C535)),"Contamination",ISNUMBER(SEARCH("overheat",C535)),"Overheating of Device",ISNUMBER(SEARCH("excessive heat",C535)),"Overheating of Device",ISNUMBER(SEARCH("hot",C535)),"Overheating of Device",ISNUMBER(SEARCH("noise",C535)),"Noise, Audible",ISNUMBER(SEARCH("sound",C535)),"Noise, Audible",ISNUMBER(SEARCH("loud",C535)),"Noise, Audible",ISNUMBER(SEARCH("fray",C535)),"Material Frayed",ISNUMBER(SEARCH("hole",C535)),"Material Frayed",ISNUMBER(SEARCH("tear",C535)),"Material Frayed",ISNUMBER(SEARCH("worn",C535)),"Material Frayed",ISNUMBER(SEARCH("intermittent",C535)),"Difficult or Delayed Activation",ISNUMBER(SEARCH("delay",C535)),"Difficult or Delayed Activation",ISNUMBER(SEARCH("label",C535)),"Device Markings/Labelling Problem",ISNUMBER(SEARCH("marking",C535)),"Device Markings/Labelling Problem",ISNUMBER(SEARCH("lacerat",C535)),"Defective Device",ISNUMBER(SEARCH("cut",C535)),"Defective Device",ISNUMBER(SEARCH("leak",C535)),"Fluid/Blood Leak",ISNUMBER(SEARCH("missing",C535)),"Component Missing",ISNUMBER(SEARCH("power",C535)),"Complete Loss of Power",ISNUMBER(SEARCH("will not turn on",C535)),"Complete Loss of Power",ISNUMBER(SEARCH("won't turn on",C535)),"Complete Loss of Power",ISNUMBER(SEARCH("does not turn on",C535)),"Complete Loss of Power",ISNUMBER(SEARCH("electrical",C535)),"Electrical Power Problem",ISNUMBER(SEARCH("pressure",C535)),"Detachment of Device or Device Component",ISNUMBER(SEARCH("slip",C535)),"Detachment of Device or Device Component",ISNUMBER(SEARCH("detach",C535)),"Detachment of Device or Device Component",ISNUMBER(SEARCH("stick",C535)),"Mechanical Jam",ISNUMBER(SEARCH("jam",C535)),"Mechanical Jam",ISNUMBER(SEARCH("rigid",C535)),"Mechanical Jam",ISNUMBER(SEARCH("rust",C535)),"Corroded",ISNUMBER(SEARCH("corrod",C535)),"Corroded",ISNUMBER(SEARCH("corrosion",C535)),"Corroded",ISNUMBER(SEARCH("alignment",C535)),"Defective Device",ISNUMBER(SEARCH("adjust",C535)),"Defective Device",ISNUMBER(SEARCH("perform",C535)),"Defective Device",ISNUMBER(SEARCH("malfunction",C535)),"Defective Device",ISNUMBER(SEARCH("defect",C535)),"Defective Device",ISNUMBER(SEARCH("fail",C535)),"Defective Device",ISNUMBER(SEARCH("not work",C535)),"Defective Device",ISNUMBER(SEARCH("doesn't work",C535)),"Defective Device",TRUE,"UNKNOWN"),"UNKNOWN")))</f>
        <v/>
      </c>
      <c r="F535" s="4" t="str">
        <f t="shared" si="8"/>
        <v/>
      </c>
      <c r="G535" s="363" t="str">
        <f>IF(E535="","",IFERROR(VLOOKUP(E535,Codes!$L$2:$N$409,3,FALSE),"—"))</f>
        <v/>
      </c>
      <c r="H535" s="88"/>
      <c r="I535" s="88"/>
    </row>
    <row r="536" spans="1:9" ht="13.15" x14ac:dyDescent="0.35">
      <c r="A536" s="435"/>
      <c r="B536" s="436"/>
      <c r="C536" s="438"/>
      <c r="D536" s="435"/>
      <c r="E536" s="93" t="str" cm="1">
        <f t="array" ref="E536">IF(D536&lt;&gt;"",IFERROR(VLOOKUP(D536,Codes!$K$2:$L$409,2,FALSE),"UNKNOWN - "&amp;D536),IF(C536="","",IFERROR(_xlfn.IFS(ISNUMBER(SEARCH("broken button",C536)),"Break",ISNUMBER(SEARCH("broken handle",C536)),"Break",ISNUMBER(SEARCH("shipping damage",C536)),"Break",ISNUMBER(SEARCH("broken",C536)),"Break",ISNUMBER(SEARCH("crack",C536)),"Break",ISNUMBER(SEARCH("snap",C536)),"Break",ISNUMBER(SEARCH("fracture",C536)),"Break",ISNUMBER(SEARCH("bent",C536)),"Material Twisted/Bent",ISNUMBER(SEARCH("twisted",C536)),"Material Twisted/Bent",ISNUMBER(SEARCH("component separat",C536)),"Material Separation",ISNUMBER(SEARCH("separat",C536)),"Material Separation",ISNUMBER(SEARCH("connection",C536)),"Loose or Intermittent Connection",ISNUMBER(SEARCH("loose",C536)),"Loose or Intermittent Connection",ISNUMBER(SEARCH("damaged packaging",C536)),"Packaging Problem",ISNUMBER(SEARCH("packaging",C536)),"Packaging Problem",ISNUMBER(SEARCH("discoloration",C536)),"Contamination",ISNUMBER(SEARCH("tarnish",C536)),"Contamination",ISNUMBER(SEARCH("stain",C536)),"Contamination",ISNUMBER(SEARCH("foreign material",C536)),"Contamination",ISNUMBER(SEARCH("contamina",C536)),"Contamination",ISNUMBER(SEARCH("overheat",C536)),"Overheating of Device",ISNUMBER(SEARCH("excessive heat",C536)),"Overheating of Device",ISNUMBER(SEARCH("hot",C536)),"Overheating of Device",ISNUMBER(SEARCH("noise",C536)),"Noise, Audible",ISNUMBER(SEARCH("sound",C536)),"Noise, Audible",ISNUMBER(SEARCH("loud",C536)),"Noise, Audible",ISNUMBER(SEARCH("fray",C536)),"Material Frayed",ISNUMBER(SEARCH("hole",C536)),"Material Frayed",ISNUMBER(SEARCH("tear",C536)),"Material Frayed",ISNUMBER(SEARCH("worn",C536)),"Material Frayed",ISNUMBER(SEARCH("intermittent",C536)),"Difficult or Delayed Activation",ISNUMBER(SEARCH("delay",C536)),"Difficult or Delayed Activation",ISNUMBER(SEARCH("label",C536)),"Device Markings/Labelling Problem",ISNUMBER(SEARCH("marking",C536)),"Device Markings/Labelling Problem",ISNUMBER(SEARCH("lacerat",C536)),"Defective Device",ISNUMBER(SEARCH("cut",C536)),"Defective Device",ISNUMBER(SEARCH("leak",C536)),"Fluid/Blood Leak",ISNUMBER(SEARCH("missing",C536)),"Component Missing",ISNUMBER(SEARCH("power",C536)),"Complete Loss of Power",ISNUMBER(SEARCH("will not turn on",C536)),"Complete Loss of Power",ISNUMBER(SEARCH("won't turn on",C536)),"Complete Loss of Power",ISNUMBER(SEARCH("does not turn on",C536)),"Complete Loss of Power",ISNUMBER(SEARCH("electrical",C536)),"Electrical Power Problem",ISNUMBER(SEARCH("pressure",C536)),"Detachment of Device or Device Component",ISNUMBER(SEARCH("slip",C536)),"Detachment of Device or Device Component",ISNUMBER(SEARCH("detach",C536)),"Detachment of Device or Device Component",ISNUMBER(SEARCH("stick",C536)),"Mechanical Jam",ISNUMBER(SEARCH("jam",C536)),"Mechanical Jam",ISNUMBER(SEARCH("rigid",C536)),"Mechanical Jam",ISNUMBER(SEARCH("rust",C536)),"Corroded",ISNUMBER(SEARCH("corrod",C536)),"Corroded",ISNUMBER(SEARCH("corrosion",C536)),"Corroded",ISNUMBER(SEARCH("alignment",C536)),"Defective Device",ISNUMBER(SEARCH("adjust",C536)),"Defective Device",ISNUMBER(SEARCH("perform",C536)),"Defective Device",ISNUMBER(SEARCH("malfunction",C536)),"Defective Device",ISNUMBER(SEARCH("defect",C536)),"Defective Device",ISNUMBER(SEARCH("fail",C536)),"Defective Device",ISNUMBER(SEARCH("not work",C536)),"Defective Device",ISNUMBER(SEARCH("doesn't work",C536)),"Defective Device",TRUE,"UNKNOWN"),"UNKNOWN")))</f>
        <v/>
      </c>
      <c r="F536" s="4" t="str">
        <f t="shared" si="8"/>
        <v/>
      </c>
      <c r="G536" s="363" t="str">
        <f>IF(E536="","",IFERROR(VLOOKUP(E536,Codes!$L$2:$N$409,3,FALSE),"—"))</f>
        <v/>
      </c>
      <c r="H536" s="88"/>
      <c r="I536" s="88"/>
    </row>
    <row r="537" spans="1:9" ht="13.15" x14ac:dyDescent="0.35">
      <c r="A537" s="434"/>
      <c r="B537" s="436"/>
      <c r="C537" s="434"/>
      <c r="D537" s="434"/>
      <c r="E537" s="93" t="str" cm="1">
        <f t="array" ref="E537">IF(D537&lt;&gt;"",IFERROR(VLOOKUP(D537,Codes!$K$2:$L$409,2,FALSE),"UNKNOWN - "&amp;D537),IF(C537="","",IFERROR(_xlfn.IFS(ISNUMBER(SEARCH("broken button",C537)),"Break",ISNUMBER(SEARCH("broken handle",C537)),"Break",ISNUMBER(SEARCH("shipping damage",C537)),"Break",ISNUMBER(SEARCH("broken",C537)),"Break",ISNUMBER(SEARCH("crack",C537)),"Break",ISNUMBER(SEARCH("snap",C537)),"Break",ISNUMBER(SEARCH("fracture",C537)),"Break",ISNUMBER(SEARCH("bent",C537)),"Material Twisted/Bent",ISNUMBER(SEARCH("twisted",C537)),"Material Twisted/Bent",ISNUMBER(SEARCH("component separat",C537)),"Material Separation",ISNUMBER(SEARCH("separat",C537)),"Material Separation",ISNUMBER(SEARCH("connection",C537)),"Loose or Intermittent Connection",ISNUMBER(SEARCH("loose",C537)),"Loose or Intermittent Connection",ISNUMBER(SEARCH("damaged packaging",C537)),"Packaging Problem",ISNUMBER(SEARCH("packaging",C537)),"Packaging Problem",ISNUMBER(SEARCH("discoloration",C537)),"Contamination",ISNUMBER(SEARCH("tarnish",C537)),"Contamination",ISNUMBER(SEARCH("stain",C537)),"Contamination",ISNUMBER(SEARCH("foreign material",C537)),"Contamination",ISNUMBER(SEARCH("contamina",C537)),"Contamination",ISNUMBER(SEARCH("overheat",C537)),"Overheating of Device",ISNUMBER(SEARCH("excessive heat",C537)),"Overheating of Device",ISNUMBER(SEARCH("hot",C537)),"Overheating of Device",ISNUMBER(SEARCH("noise",C537)),"Noise, Audible",ISNUMBER(SEARCH("sound",C537)),"Noise, Audible",ISNUMBER(SEARCH("loud",C537)),"Noise, Audible",ISNUMBER(SEARCH("fray",C537)),"Material Frayed",ISNUMBER(SEARCH("hole",C537)),"Material Frayed",ISNUMBER(SEARCH("tear",C537)),"Material Frayed",ISNUMBER(SEARCH("worn",C537)),"Material Frayed",ISNUMBER(SEARCH("intermittent",C537)),"Difficult or Delayed Activation",ISNUMBER(SEARCH("delay",C537)),"Difficult or Delayed Activation",ISNUMBER(SEARCH("label",C537)),"Device Markings/Labelling Problem",ISNUMBER(SEARCH("marking",C537)),"Device Markings/Labelling Problem",ISNUMBER(SEARCH("lacerat",C537)),"Defective Device",ISNUMBER(SEARCH("cut",C537)),"Defective Device",ISNUMBER(SEARCH("leak",C537)),"Fluid/Blood Leak",ISNUMBER(SEARCH("missing",C537)),"Component Missing",ISNUMBER(SEARCH("power",C537)),"Complete Loss of Power",ISNUMBER(SEARCH("will not turn on",C537)),"Complete Loss of Power",ISNUMBER(SEARCH("won't turn on",C537)),"Complete Loss of Power",ISNUMBER(SEARCH("does not turn on",C537)),"Complete Loss of Power",ISNUMBER(SEARCH("electrical",C537)),"Electrical Power Problem",ISNUMBER(SEARCH("pressure",C537)),"Detachment of Device or Device Component",ISNUMBER(SEARCH("slip",C537)),"Detachment of Device or Device Component",ISNUMBER(SEARCH("detach",C537)),"Detachment of Device or Device Component",ISNUMBER(SEARCH("stick",C537)),"Mechanical Jam",ISNUMBER(SEARCH("jam",C537)),"Mechanical Jam",ISNUMBER(SEARCH("rigid",C537)),"Mechanical Jam",ISNUMBER(SEARCH("rust",C537)),"Corroded",ISNUMBER(SEARCH("corrod",C537)),"Corroded",ISNUMBER(SEARCH("corrosion",C537)),"Corroded",ISNUMBER(SEARCH("alignment",C537)),"Defective Device",ISNUMBER(SEARCH("adjust",C537)),"Defective Device",ISNUMBER(SEARCH("perform",C537)),"Defective Device",ISNUMBER(SEARCH("malfunction",C537)),"Defective Device",ISNUMBER(SEARCH("defect",C537)),"Defective Device",ISNUMBER(SEARCH("fail",C537)),"Defective Device",ISNUMBER(SEARCH("not work",C537)),"Defective Device",ISNUMBER(SEARCH("doesn't work",C537)),"Defective Device",TRUE,"UNKNOWN"),"UNKNOWN")))</f>
        <v/>
      </c>
      <c r="F537" s="4" t="str">
        <f t="shared" si="8"/>
        <v/>
      </c>
      <c r="G537" s="363" t="str">
        <f>IF(E537="","",IFERROR(VLOOKUP(E537,Codes!$L$2:$N$409,3,FALSE),"—"))</f>
        <v/>
      </c>
      <c r="H537" s="88"/>
      <c r="I537" s="88"/>
    </row>
    <row r="538" spans="1:9" ht="13.15" x14ac:dyDescent="0.35">
      <c r="A538" s="435"/>
      <c r="B538" s="436"/>
      <c r="C538" s="438"/>
      <c r="D538" s="435"/>
      <c r="E538" s="93" t="str" cm="1">
        <f t="array" ref="E538">IF(D538&lt;&gt;"",IFERROR(VLOOKUP(D538,Codes!$K$2:$L$409,2,FALSE),"UNKNOWN - "&amp;D538),IF(C538="","",IFERROR(_xlfn.IFS(ISNUMBER(SEARCH("broken button",C538)),"Break",ISNUMBER(SEARCH("broken handle",C538)),"Break",ISNUMBER(SEARCH("shipping damage",C538)),"Break",ISNUMBER(SEARCH("broken",C538)),"Break",ISNUMBER(SEARCH("crack",C538)),"Break",ISNUMBER(SEARCH("snap",C538)),"Break",ISNUMBER(SEARCH("fracture",C538)),"Break",ISNUMBER(SEARCH("bent",C538)),"Material Twisted/Bent",ISNUMBER(SEARCH("twisted",C538)),"Material Twisted/Bent",ISNUMBER(SEARCH("component separat",C538)),"Material Separation",ISNUMBER(SEARCH("separat",C538)),"Material Separation",ISNUMBER(SEARCH("connection",C538)),"Loose or Intermittent Connection",ISNUMBER(SEARCH("loose",C538)),"Loose or Intermittent Connection",ISNUMBER(SEARCH("damaged packaging",C538)),"Packaging Problem",ISNUMBER(SEARCH("packaging",C538)),"Packaging Problem",ISNUMBER(SEARCH("discoloration",C538)),"Contamination",ISNUMBER(SEARCH("tarnish",C538)),"Contamination",ISNUMBER(SEARCH("stain",C538)),"Contamination",ISNUMBER(SEARCH("foreign material",C538)),"Contamination",ISNUMBER(SEARCH("contamina",C538)),"Contamination",ISNUMBER(SEARCH("overheat",C538)),"Overheating of Device",ISNUMBER(SEARCH("excessive heat",C538)),"Overheating of Device",ISNUMBER(SEARCH("hot",C538)),"Overheating of Device",ISNUMBER(SEARCH("noise",C538)),"Noise, Audible",ISNUMBER(SEARCH("sound",C538)),"Noise, Audible",ISNUMBER(SEARCH("loud",C538)),"Noise, Audible",ISNUMBER(SEARCH("fray",C538)),"Material Frayed",ISNUMBER(SEARCH("hole",C538)),"Material Frayed",ISNUMBER(SEARCH("tear",C538)),"Material Frayed",ISNUMBER(SEARCH("worn",C538)),"Material Frayed",ISNUMBER(SEARCH("intermittent",C538)),"Difficult or Delayed Activation",ISNUMBER(SEARCH("delay",C538)),"Difficult or Delayed Activation",ISNUMBER(SEARCH("label",C538)),"Device Markings/Labelling Problem",ISNUMBER(SEARCH("marking",C538)),"Device Markings/Labelling Problem",ISNUMBER(SEARCH("lacerat",C538)),"Defective Device",ISNUMBER(SEARCH("cut",C538)),"Defective Device",ISNUMBER(SEARCH("leak",C538)),"Fluid/Blood Leak",ISNUMBER(SEARCH("missing",C538)),"Component Missing",ISNUMBER(SEARCH("power",C538)),"Complete Loss of Power",ISNUMBER(SEARCH("will not turn on",C538)),"Complete Loss of Power",ISNUMBER(SEARCH("won't turn on",C538)),"Complete Loss of Power",ISNUMBER(SEARCH("does not turn on",C538)),"Complete Loss of Power",ISNUMBER(SEARCH("electrical",C538)),"Electrical Power Problem",ISNUMBER(SEARCH("pressure",C538)),"Detachment of Device or Device Component",ISNUMBER(SEARCH("slip",C538)),"Detachment of Device or Device Component",ISNUMBER(SEARCH("detach",C538)),"Detachment of Device or Device Component",ISNUMBER(SEARCH("stick",C538)),"Mechanical Jam",ISNUMBER(SEARCH("jam",C538)),"Mechanical Jam",ISNUMBER(SEARCH("rigid",C538)),"Mechanical Jam",ISNUMBER(SEARCH("rust",C538)),"Corroded",ISNUMBER(SEARCH("corrod",C538)),"Corroded",ISNUMBER(SEARCH("corrosion",C538)),"Corroded",ISNUMBER(SEARCH("alignment",C538)),"Defective Device",ISNUMBER(SEARCH("adjust",C538)),"Defective Device",ISNUMBER(SEARCH("perform",C538)),"Defective Device",ISNUMBER(SEARCH("malfunction",C538)),"Defective Device",ISNUMBER(SEARCH("defect",C538)),"Defective Device",ISNUMBER(SEARCH("fail",C538)),"Defective Device",ISNUMBER(SEARCH("not work",C538)),"Defective Device",ISNUMBER(SEARCH("doesn't work",C538)),"Defective Device",TRUE,"UNKNOWN"),"UNKNOWN")))</f>
        <v/>
      </c>
      <c r="F538" s="4" t="str">
        <f t="shared" si="8"/>
        <v/>
      </c>
      <c r="G538" s="363" t="str">
        <f>IF(E538="","",IFERROR(VLOOKUP(E538,Codes!$L$2:$N$409,3,FALSE),"—"))</f>
        <v/>
      </c>
      <c r="H538" s="88"/>
      <c r="I538" s="88"/>
    </row>
    <row r="539" spans="1:9" ht="13.15" x14ac:dyDescent="0.35">
      <c r="A539" s="434"/>
      <c r="B539" s="436"/>
      <c r="C539" s="437"/>
      <c r="D539" s="434"/>
      <c r="E539" s="93" t="str" cm="1">
        <f t="array" ref="E539">IF(D539&lt;&gt;"",IFERROR(VLOOKUP(D539,Codes!$K$2:$L$409,2,FALSE),"UNKNOWN - "&amp;D539),IF(C539="","",IFERROR(_xlfn.IFS(ISNUMBER(SEARCH("broken button",C539)),"Break",ISNUMBER(SEARCH("broken handle",C539)),"Break",ISNUMBER(SEARCH("shipping damage",C539)),"Break",ISNUMBER(SEARCH("broken",C539)),"Break",ISNUMBER(SEARCH("crack",C539)),"Break",ISNUMBER(SEARCH("snap",C539)),"Break",ISNUMBER(SEARCH("fracture",C539)),"Break",ISNUMBER(SEARCH("bent",C539)),"Material Twisted/Bent",ISNUMBER(SEARCH("twisted",C539)),"Material Twisted/Bent",ISNUMBER(SEARCH("component separat",C539)),"Material Separation",ISNUMBER(SEARCH("separat",C539)),"Material Separation",ISNUMBER(SEARCH("connection",C539)),"Loose or Intermittent Connection",ISNUMBER(SEARCH("loose",C539)),"Loose or Intermittent Connection",ISNUMBER(SEARCH("damaged packaging",C539)),"Packaging Problem",ISNUMBER(SEARCH("packaging",C539)),"Packaging Problem",ISNUMBER(SEARCH("discoloration",C539)),"Contamination",ISNUMBER(SEARCH("tarnish",C539)),"Contamination",ISNUMBER(SEARCH("stain",C539)),"Contamination",ISNUMBER(SEARCH("foreign material",C539)),"Contamination",ISNUMBER(SEARCH("contamina",C539)),"Contamination",ISNUMBER(SEARCH("overheat",C539)),"Overheating of Device",ISNUMBER(SEARCH("excessive heat",C539)),"Overheating of Device",ISNUMBER(SEARCH("hot",C539)),"Overheating of Device",ISNUMBER(SEARCH("noise",C539)),"Noise, Audible",ISNUMBER(SEARCH("sound",C539)),"Noise, Audible",ISNUMBER(SEARCH("loud",C539)),"Noise, Audible",ISNUMBER(SEARCH("fray",C539)),"Material Frayed",ISNUMBER(SEARCH("hole",C539)),"Material Frayed",ISNUMBER(SEARCH("tear",C539)),"Material Frayed",ISNUMBER(SEARCH("worn",C539)),"Material Frayed",ISNUMBER(SEARCH("intermittent",C539)),"Difficult or Delayed Activation",ISNUMBER(SEARCH("delay",C539)),"Difficult or Delayed Activation",ISNUMBER(SEARCH("label",C539)),"Device Markings/Labelling Problem",ISNUMBER(SEARCH("marking",C539)),"Device Markings/Labelling Problem",ISNUMBER(SEARCH("lacerat",C539)),"Defective Device",ISNUMBER(SEARCH("cut",C539)),"Defective Device",ISNUMBER(SEARCH("leak",C539)),"Fluid/Blood Leak",ISNUMBER(SEARCH("missing",C539)),"Component Missing",ISNUMBER(SEARCH("power",C539)),"Complete Loss of Power",ISNUMBER(SEARCH("will not turn on",C539)),"Complete Loss of Power",ISNUMBER(SEARCH("won't turn on",C539)),"Complete Loss of Power",ISNUMBER(SEARCH("does not turn on",C539)),"Complete Loss of Power",ISNUMBER(SEARCH("electrical",C539)),"Electrical Power Problem",ISNUMBER(SEARCH("pressure",C539)),"Detachment of Device or Device Component",ISNUMBER(SEARCH("slip",C539)),"Detachment of Device or Device Component",ISNUMBER(SEARCH("detach",C539)),"Detachment of Device or Device Component",ISNUMBER(SEARCH("stick",C539)),"Mechanical Jam",ISNUMBER(SEARCH("jam",C539)),"Mechanical Jam",ISNUMBER(SEARCH("rigid",C539)),"Mechanical Jam",ISNUMBER(SEARCH("rust",C539)),"Corroded",ISNUMBER(SEARCH("corrod",C539)),"Corroded",ISNUMBER(SEARCH("corrosion",C539)),"Corroded",ISNUMBER(SEARCH("alignment",C539)),"Defective Device",ISNUMBER(SEARCH("adjust",C539)),"Defective Device",ISNUMBER(SEARCH("perform",C539)),"Defective Device",ISNUMBER(SEARCH("malfunction",C539)),"Defective Device",ISNUMBER(SEARCH("defect",C539)),"Defective Device",ISNUMBER(SEARCH("fail",C539)),"Defective Device",ISNUMBER(SEARCH("not work",C539)),"Defective Device",ISNUMBER(SEARCH("doesn't work",C539)),"Defective Device",TRUE,"UNKNOWN"),"UNKNOWN")))</f>
        <v/>
      </c>
      <c r="F539" s="4" t="str">
        <f t="shared" si="8"/>
        <v/>
      </c>
      <c r="G539" s="363" t="str">
        <f>IF(E539="","",IFERROR(VLOOKUP(E539,Codes!$L$2:$N$409,3,FALSE),"—"))</f>
        <v/>
      </c>
      <c r="H539" s="88"/>
      <c r="I539" s="88"/>
    </row>
    <row r="540" spans="1:9" ht="13.15" x14ac:dyDescent="0.35">
      <c r="A540" s="435"/>
      <c r="B540" s="436"/>
      <c r="C540" s="438"/>
      <c r="D540" s="435"/>
      <c r="E540" s="93" t="str" cm="1">
        <f t="array" ref="E540">IF(D540&lt;&gt;"",IFERROR(VLOOKUP(D540,Codes!$K$2:$L$409,2,FALSE),"UNKNOWN - "&amp;D540),IF(C540="","",IFERROR(_xlfn.IFS(ISNUMBER(SEARCH("broken button",C540)),"Break",ISNUMBER(SEARCH("broken handle",C540)),"Break",ISNUMBER(SEARCH("shipping damage",C540)),"Break",ISNUMBER(SEARCH("broken",C540)),"Break",ISNUMBER(SEARCH("crack",C540)),"Break",ISNUMBER(SEARCH("snap",C540)),"Break",ISNUMBER(SEARCH("fracture",C540)),"Break",ISNUMBER(SEARCH("bent",C540)),"Material Twisted/Bent",ISNUMBER(SEARCH("twisted",C540)),"Material Twisted/Bent",ISNUMBER(SEARCH("component separat",C540)),"Material Separation",ISNUMBER(SEARCH("separat",C540)),"Material Separation",ISNUMBER(SEARCH("connection",C540)),"Loose or Intermittent Connection",ISNUMBER(SEARCH("loose",C540)),"Loose or Intermittent Connection",ISNUMBER(SEARCH("damaged packaging",C540)),"Packaging Problem",ISNUMBER(SEARCH("packaging",C540)),"Packaging Problem",ISNUMBER(SEARCH("discoloration",C540)),"Contamination",ISNUMBER(SEARCH("tarnish",C540)),"Contamination",ISNUMBER(SEARCH("stain",C540)),"Contamination",ISNUMBER(SEARCH("foreign material",C540)),"Contamination",ISNUMBER(SEARCH("contamina",C540)),"Contamination",ISNUMBER(SEARCH("overheat",C540)),"Overheating of Device",ISNUMBER(SEARCH("excessive heat",C540)),"Overheating of Device",ISNUMBER(SEARCH("hot",C540)),"Overheating of Device",ISNUMBER(SEARCH("noise",C540)),"Noise, Audible",ISNUMBER(SEARCH("sound",C540)),"Noise, Audible",ISNUMBER(SEARCH("loud",C540)),"Noise, Audible",ISNUMBER(SEARCH("fray",C540)),"Material Frayed",ISNUMBER(SEARCH("hole",C540)),"Material Frayed",ISNUMBER(SEARCH("tear",C540)),"Material Frayed",ISNUMBER(SEARCH("worn",C540)),"Material Frayed",ISNUMBER(SEARCH("intermittent",C540)),"Difficult or Delayed Activation",ISNUMBER(SEARCH("delay",C540)),"Difficult or Delayed Activation",ISNUMBER(SEARCH("label",C540)),"Device Markings/Labelling Problem",ISNUMBER(SEARCH("marking",C540)),"Device Markings/Labelling Problem",ISNUMBER(SEARCH("lacerat",C540)),"Defective Device",ISNUMBER(SEARCH("cut",C540)),"Defective Device",ISNUMBER(SEARCH("leak",C540)),"Fluid/Blood Leak",ISNUMBER(SEARCH("missing",C540)),"Component Missing",ISNUMBER(SEARCH("power",C540)),"Complete Loss of Power",ISNUMBER(SEARCH("will not turn on",C540)),"Complete Loss of Power",ISNUMBER(SEARCH("won't turn on",C540)),"Complete Loss of Power",ISNUMBER(SEARCH("does not turn on",C540)),"Complete Loss of Power",ISNUMBER(SEARCH("electrical",C540)),"Electrical Power Problem",ISNUMBER(SEARCH("pressure",C540)),"Detachment of Device or Device Component",ISNUMBER(SEARCH("slip",C540)),"Detachment of Device or Device Component",ISNUMBER(SEARCH("detach",C540)),"Detachment of Device or Device Component",ISNUMBER(SEARCH("stick",C540)),"Mechanical Jam",ISNUMBER(SEARCH("jam",C540)),"Mechanical Jam",ISNUMBER(SEARCH("rigid",C540)),"Mechanical Jam",ISNUMBER(SEARCH("rust",C540)),"Corroded",ISNUMBER(SEARCH("corrod",C540)),"Corroded",ISNUMBER(SEARCH("corrosion",C540)),"Corroded",ISNUMBER(SEARCH("alignment",C540)),"Defective Device",ISNUMBER(SEARCH("adjust",C540)),"Defective Device",ISNUMBER(SEARCH("perform",C540)),"Defective Device",ISNUMBER(SEARCH("malfunction",C540)),"Defective Device",ISNUMBER(SEARCH("defect",C540)),"Defective Device",ISNUMBER(SEARCH("fail",C540)),"Defective Device",ISNUMBER(SEARCH("not work",C540)),"Defective Device",ISNUMBER(SEARCH("doesn't work",C540)),"Defective Device",TRUE,"UNKNOWN"),"UNKNOWN")))</f>
        <v/>
      </c>
      <c r="F540" s="4" t="str">
        <f t="shared" si="8"/>
        <v/>
      </c>
      <c r="G540" s="363" t="str">
        <f>IF(E540="","",IFERROR(VLOOKUP(E540,Codes!$L$2:$N$409,3,FALSE),"—"))</f>
        <v/>
      </c>
      <c r="H540" s="88"/>
      <c r="I540" s="88"/>
    </row>
    <row r="541" spans="1:9" ht="13.15" x14ac:dyDescent="0.35">
      <c r="A541" s="435"/>
      <c r="B541" s="436"/>
      <c r="C541" s="438"/>
      <c r="D541" s="435"/>
      <c r="E541" s="93" t="str" cm="1">
        <f t="array" ref="E541">IF(D541&lt;&gt;"",IFERROR(VLOOKUP(D541,Codes!$K$2:$L$409,2,FALSE),"UNKNOWN - "&amp;D541),IF(C541="","",IFERROR(_xlfn.IFS(ISNUMBER(SEARCH("broken button",C541)),"Break",ISNUMBER(SEARCH("broken handle",C541)),"Break",ISNUMBER(SEARCH("shipping damage",C541)),"Break",ISNUMBER(SEARCH("broken",C541)),"Break",ISNUMBER(SEARCH("crack",C541)),"Break",ISNUMBER(SEARCH("snap",C541)),"Break",ISNUMBER(SEARCH("fracture",C541)),"Break",ISNUMBER(SEARCH("bent",C541)),"Material Twisted/Bent",ISNUMBER(SEARCH("twisted",C541)),"Material Twisted/Bent",ISNUMBER(SEARCH("component separat",C541)),"Material Separation",ISNUMBER(SEARCH("separat",C541)),"Material Separation",ISNUMBER(SEARCH("connection",C541)),"Loose or Intermittent Connection",ISNUMBER(SEARCH("loose",C541)),"Loose or Intermittent Connection",ISNUMBER(SEARCH("damaged packaging",C541)),"Packaging Problem",ISNUMBER(SEARCH("packaging",C541)),"Packaging Problem",ISNUMBER(SEARCH("discoloration",C541)),"Contamination",ISNUMBER(SEARCH("tarnish",C541)),"Contamination",ISNUMBER(SEARCH("stain",C541)),"Contamination",ISNUMBER(SEARCH("foreign material",C541)),"Contamination",ISNUMBER(SEARCH("contamina",C541)),"Contamination",ISNUMBER(SEARCH("overheat",C541)),"Overheating of Device",ISNUMBER(SEARCH("excessive heat",C541)),"Overheating of Device",ISNUMBER(SEARCH("hot",C541)),"Overheating of Device",ISNUMBER(SEARCH("noise",C541)),"Noise, Audible",ISNUMBER(SEARCH("sound",C541)),"Noise, Audible",ISNUMBER(SEARCH("loud",C541)),"Noise, Audible",ISNUMBER(SEARCH("fray",C541)),"Material Frayed",ISNUMBER(SEARCH("hole",C541)),"Material Frayed",ISNUMBER(SEARCH("tear",C541)),"Material Frayed",ISNUMBER(SEARCH("worn",C541)),"Material Frayed",ISNUMBER(SEARCH("intermittent",C541)),"Difficult or Delayed Activation",ISNUMBER(SEARCH("delay",C541)),"Difficult or Delayed Activation",ISNUMBER(SEARCH("label",C541)),"Device Markings/Labelling Problem",ISNUMBER(SEARCH("marking",C541)),"Device Markings/Labelling Problem",ISNUMBER(SEARCH("lacerat",C541)),"Defective Device",ISNUMBER(SEARCH("cut",C541)),"Defective Device",ISNUMBER(SEARCH("leak",C541)),"Fluid/Blood Leak",ISNUMBER(SEARCH("missing",C541)),"Component Missing",ISNUMBER(SEARCH("power",C541)),"Complete Loss of Power",ISNUMBER(SEARCH("will not turn on",C541)),"Complete Loss of Power",ISNUMBER(SEARCH("won't turn on",C541)),"Complete Loss of Power",ISNUMBER(SEARCH("does not turn on",C541)),"Complete Loss of Power",ISNUMBER(SEARCH("electrical",C541)),"Electrical Power Problem",ISNUMBER(SEARCH("pressure",C541)),"Detachment of Device or Device Component",ISNUMBER(SEARCH("slip",C541)),"Detachment of Device or Device Component",ISNUMBER(SEARCH("detach",C541)),"Detachment of Device or Device Component",ISNUMBER(SEARCH("stick",C541)),"Mechanical Jam",ISNUMBER(SEARCH("jam",C541)),"Mechanical Jam",ISNUMBER(SEARCH("rigid",C541)),"Mechanical Jam",ISNUMBER(SEARCH("rust",C541)),"Corroded",ISNUMBER(SEARCH("corrod",C541)),"Corroded",ISNUMBER(SEARCH("corrosion",C541)),"Corroded",ISNUMBER(SEARCH("alignment",C541)),"Defective Device",ISNUMBER(SEARCH("adjust",C541)),"Defective Device",ISNUMBER(SEARCH("perform",C541)),"Defective Device",ISNUMBER(SEARCH("malfunction",C541)),"Defective Device",ISNUMBER(SEARCH("defect",C541)),"Defective Device",ISNUMBER(SEARCH("fail",C541)),"Defective Device",ISNUMBER(SEARCH("not work",C541)),"Defective Device",ISNUMBER(SEARCH("doesn't work",C541)),"Defective Device",TRUE,"UNKNOWN"),"UNKNOWN")))</f>
        <v/>
      </c>
      <c r="F541" s="4" t="str">
        <f t="shared" si="8"/>
        <v/>
      </c>
      <c r="G541" s="363" t="str">
        <f>IF(E541="","",IFERROR(VLOOKUP(E541,Codes!$L$2:$N$409,3,FALSE),"—"))</f>
        <v/>
      </c>
      <c r="H541" s="88"/>
      <c r="I541" s="88"/>
    </row>
    <row r="542" spans="1:9" ht="13.15" x14ac:dyDescent="0.35">
      <c r="A542" s="434"/>
      <c r="B542" s="436"/>
      <c r="C542" s="439"/>
      <c r="D542" s="434"/>
      <c r="E542" s="93" t="str" cm="1">
        <f t="array" ref="E542">IF(D542&lt;&gt;"",IFERROR(VLOOKUP(D542,Codes!$K$2:$L$409,2,FALSE),"UNKNOWN - "&amp;D542),IF(C542="","",IFERROR(_xlfn.IFS(ISNUMBER(SEARCH("broken button",C542)),"Break",ISNUMBER(SEARCH("broken handle",C542)),"Break",ISNUMBER(SEARCH("shipping damage",C542)),"Break",ISNUMBER(SEARCH("broken",C542)),"Break",ISNUMBER(SEARCH("crack",C542)),"Break",ISNUMBER(SEARCH("snap",C542)),"Break",ISNUMBER(SEARCH("fracture",C542)),"Break",ISNUMBER(SEARCH("bent",C542)),"Material Twisted/Bent",ISNUMBER(SEARCH("twisted",C542)),"Material Twisted/Bent",ISNUMBER(SEARCH("component separat",C542)),"Material Separation",ISNUMBER(SEARCH("separat",C542)),"Material Separation",ISNUMBER(SEARCH("connection",C542)),"Loose or Intermittent Connection",ISNUMBER(SEARCH("loose",C542)),"Loose or Intermittent Connection",ISNUMBER(SEARCH("damaged packaging",C542)),"Packaging Problem",ISNUMBER(SEARCH("packaging",C542)),"Packaging Problem",ISNUMBER(SEARCH("discoloration",C542)),"Contamination",ISNUMBER(SEARCH("tarnish",C542)),"Contamination",ISNUMBER(SEARCH("stain",C542)),"Contamination",ISNUMBER(SEARCH("foreign material",C542)),"Contamination",ISNUMBER(SEARCH("contamina",C542)),"Contamination",ISNUMBER(SEARCH("overheat",C542)),"Overheating of Device",ISNUMBER(SEARCH("excessive heat",C542)),"Overheating of Device",ISNUMBER(SEARCH("hot",C542)),"Overheating of Device",ISNUMBER(SEARCH("noise",C542)),"Noise, Audible",ISNUMBER(SEARCH("sound",C542)),"Noise, Audible",ISNUMBER(SEARCH("loud",C542)),"Noise, Audible",ISNUMBER(SEARCH("fray",C542)),"Material Frayed",ISNUMBER(SEARCH("hole",C542)),"Material Frayed",ISNUMBER(SEARCH("tear",C542)),"Material Frayed",ISNUMBER(SEARCH("worn",C542)),"Material Frayed",ISNUMBER(SEARCH("intermittent",C542)),"Difficult or Delayed Activation",ISNUMBER(SEARCH("delay",C542)),"Difficult or Delayed Activation",ISNUMBER(SEARCH("label",C542)),"Device Markings/Labelling Problem",ISNUMBER(SEARCH("marking",C542)),"Device Markings/Labelling Problem",ISNUMBER(SEARCH("lacerat",C542)),"Defective Device",ISNUMBER(SEARCH("cut",C542)),"Defective Device",ISNUMBER(SEARCH("leak",C542)),"Fluid/Blood Leak",ISNUMBER(SEARCH("missing",C542)),"Component Missing",ISNUMBER(SEARCH("power",C542)),"Complete Loss of Power",ISNUMBER(SEARCH("will not turn on",C542)),"Complete Loss of Power",ISNUMBER(SEARCH("won't turn on",C542)),"Complete Loss of Power",ISNUMBER(SEARCH("does not turn on",C542)),"Complete Loss of Power",ISNUMBER(SEARCH("electrical",C542)),"Electrical Power Problem",ISNUMBER(SEARCH("pressure",C542)),"Detachment of Device or Device Component",ISNUMBER(SEARCH("slip",C542)),"Detachment of Device or Device Component",ISNUMBER(SEARCH("detach",C542)),"Detachment of Device or Device Component",ISNUMBER(SEARCH("stick",C542)),"Mechanical Jam",ISNUMBER(SEARCH("jam",C542)),"Mechanical Jam",ISNUMBER(SEARCH("rigid",C542)),"Mechanical Jam",ISNUMBER(SEARCH("rust",C542)),"Corroded",ISNUMBER(SEARCH("corrod",C542)),"Corroded",ISNUMBER(SEARCH("corrosion",C542)),"Corroded",ISNUMBER(SEARCH("alignment",C542)),"Defective Device",ISNUMBER(SEARCH("adjust",C542)),"Defective Device",ISNUMBER(SEARCH("perform",C542)),"Defective Device",ISNUMBER(SEARCH("malfunction",C542)),"Defective Device",ISNUMBER(SEARCH("defect",C542)),"Defective Device",ISNUMBER(SEARCH("fail",C542)),"Defective Device",ISNUMBER(SEARCH("not work",C542)),"Defective Device",ISNUMBER(SEARCH("doesn't work",C542)),"Defective Device",TRUE,"UNKNOWN"),"UNKNOWN")))</f>
        <v/>
      </c>
      <c r="F542" s="4" t="str">
        <f t="shared" si="8"/>
        <v/>
      </c>
      <c r="G542" s="363" t="str">
        <f>IF(E542="","",IFERROR(VLOOKUP(E542,Codes!$L$2:$N$409,3,FALSE),"—"))</f>
        <v/>
      </c>
      <c r="H542" s="88"/>
      <c r="I542" s="88"/>
    </row>
    <row r="543" spans="1:9" ht="13.15" x14ac:dyDescent="0.35">
      <c r="A543" s="434"/>
      <c r="B543" s="436"/>
      <c r="C543" s="437"/>
      <c r="D543" s="434"/>
      <c r="E543" s="93" t="str" cm="1">
        <f t="array" ref="E543">IF(D543&lt;&gt;"",IFERROR(VLOOKUP(D543,Codes!$K$2:$L$409,2,FALSE),"UNKNOWN - "&amp;D543),IF(C543="","",IFERROR(_xlfn.IFS(ISNUMBER(SEARCH("broken button",C543)),"Break",ISNUMBER(SEARCH("broken handle",C543)),"Break",ISNUMBER(SEARCH("shipping damage",C543)),"Break",ISNUMBER(SEARCH("broken",C543)),"Break",ISNUMBER(SEARCH("crack",C543)),"Break",ISNUMBER(SEARCH("snap",C543)),"Break",ISNUMBER(SEARCH("fracture",C543)),"Break",ISNUMBER(SEARCH("bent",C543)),"Material Twisted/Bent",ISNUMBER(SEARCH("twisted",C543)),"Material Twisted/Bent",ISNUMBER(SEARCH("component separat",C543)),"Material Separation",ISNUMBER(SEARCH("separat",C543)),"Material Separation",ISNUMBER(SEARCH("connection",C543)),"Loose or Intermittent Connection",ISNUMBER(SEARCH("loose",C543)),"Loose or Intermittent Connection",ISNUMBER(SEARCH("damaged packaging",C543)),"Packaging Problem",ISNUMBER(SEARCH("packaging",C543)),"Packaging Problem",ISNUMBER(SEARCH("discoloration",C543)),"Contamination",ISNUMBER(SEARCH("tarnish",C543)),"Contamination",ISNUMBER(SEARCH("stain",C543)),"Contamination",ISNUMBER(SEARCH("foreign material",C543)),"Contamination",ISNUMBER(SEARCH("contamina",C543)),"Contamination",ISNUMBER(SEARCH("overheat",C543)),"Overheating of Device",ISNUMBER(SEARCH("excessive heat",C543)),"Overheating of Device",ISNUMBER(SEARCH("hot",C543)),"Overheating of Device",ISNUMBER(SEARCH("noise",C543)),"Noise, Audible",ISNUMBER(SEARCH("sound",C543)),"Noise, Audible",ISNUMBER(SEARCH("loud",C543)),"Noise, Audible",ISNUMBER(SEARCH("fray",C543)),"Material Frayed",ISNUMBER(SEARCH("hole",C543)),"Material Frayed",ISNUMBER(SEARCH("tear",C543)),"Material Frayed",ISNUMBER(SEARCH("worn",C543)),"Material Frayed",ISNUMBER(SEARCH("intermittent",C543)),"Difficult or Delayed Activation",ISNUMBER(SEARCH("delay",C543)),"Difficult or Delayed Activation",ISNUMBER(SEARCH("label",C543)),"Device Markings/Labelling Problem",ISNUMBER(SEARCH("marking",C543)),"Device Markings/Labelling Problem",ISNUMBER(SEARCH("lacerat",C543)),"Defective Device",ISNUMBER(SEARCH("cut",C543)),"Defective Device",ISNUMBER(SEARCH("leak",C543)),"Fluid/Blood Leak",ISNUMBER(SEARCH("missing",C543)),"Component Missing",ISNUMBER(SEARCH("power",C543)),"Complete Loss of Power",ISNUMBER(SEARCH("will not turn on",C543)),"Complete Loss of Power",ISNUMBER(SEARCH("won't turn on",C543)),"Complete Loss of Power",ISNUMBER(SEARCH("does not turn on",C543)),"Complete Loss of Power",ISNUMBER(SEARCH("electrical",C543)),"Electrical Power Problem",ISNUMBER(SEARCH("pressure",C543)),"Detachment of Device or Device Component",ISNUMBER(SEARCH("slip",C543)),"Detachment of Device or Device Component",ISNUMBER(SEARCH("detach",C543)),"Detachment of Device or Device Component",ISNUMBER(SEARCH("stick",C543)),"Mechanical Jam",ISNUMBER(SEARCH("jam",C543)),"Mechanical Jam",ISNUMBER(SEARCH("rigid",C543)),"Mechanical Jam",ISNUMBER(SEARCH("rust",C543)),"Corroded",ISNUMBER(SEARCH("corrod",C543)),"Corroded",ISNUMBER(SEARCH("corrosion",C543)),"Corroded",ISNUMBER(SEARCH("alignment",C543)),"Defective Device",ISNUMBER(SEARCH("adjust",C543)),"Defective Device",ISNUMBER(SEARCH("perform",C543)),"Defective Device",ISNUMBER(SEARCH("malfunction",C543)),"Defective Device",ISNUMBER(SEARCH("defect",C543)),"Defective Device",ISNUMBER(SEARCH("fail",C543)),"Defective Device",ISNUMBER(SEARCH("not work",C543)),"Defective Device",ISNUMBER(SEARCH("doesn't work",C543)),"Defective Device",TRUE,"UNKNOWN"),"UNKNOWN")))</f>
        <v/>
      </c>
      <c r="F543" s="4" t="str">
        <f t="shared" si="8"/>
        <v/>
      </c>
      <c r="G543" s="363" t="str">
        <f>IF(E543="","",IFERROR(VLOOKUP(E543,Codes!$L$2:$N$409,3,FALSE),"—"))</f>
        <v/>
      </c>
      <c r="H543" s="88"/>
      <c r="I543" s="88"/>
    </row>
    <row r="544" spans="1:9" ht="13.15" x14ac:dyDescent="0.35">
      <c r="A544" s="434"/>
      <c r="B544" s="436"/>
      <c r="C544" s="437"/>
      <c r="D544" s="434"/>
      <c r="E544" s="93" t="str" cm="1">
        <f t="array" ref="E544">IF(D544&lt;&gt;"",IFERROR(VLOOKUP(D544,Codes!$K$2:$L$409,2,FALSE),"UNKNOWN - "&amp;D544),IF(C544="","",IFERROR(_xlfn.IFS(ISNUMBER(SEARCH("broken button",C544)),"Break",ISNUMBER(SEARCH("broken handle",C544)),"Break",ISNUMBER(SEARCH("shipping damage",C544)),"Break",ISNUMBER(SEARCH("broken",C544)),"Break",ISNUMBER(SEARCH("crack",C544)),"Break",ISNUMBER(SEARCH("snap",C544)),"Break",ISNUMBER(SEARCH("fracture",C544)),"Break",ISNUMBER(SEARCH("bent",C544)),"Material Twisted/Bent",ISNUMBER(SEARCH("twisted",C544)),"Material Twisted/Bent",ISNUMBER(SEARCH("component separat",C544)),"Material Separation",ISNUMBER(SEARCH("separat",C544)),"Material Separation",ISNUMBER(SEARCH("connection",C544)),"Loose or Intermittent Connection",ISNUMBER(SEARCH("loose",C544)),"Loose or Intermittent Connection",ISNUMBER(SEARCH("damaged packaging",C544)),"Packaging Problem",ISNUMBER(SEARCH("packaging",C544)),"Packaging Problem",ISNUMBER(SEARCH("discoloration",C544)),"Contamination",ISNUMBER(SEARCH("tarnish",C544)),"Contamination",ISNUMBER(SEARCH("stain",C544)),"Contamination",ISNUMBER(SEARCH("foreign material",C544)),"Contamination",ISNUMBER(SEARCH("contamina",C544)),"Contamination",ISNUMBER(SEARCH("overheat",C544)),"Overheating of Device",ISNUMBER(SEARCH("excessive heat",C544)),"Overheating of Device",ISNUMBER(SEARCH("hot",C544)),"Overheating of Device",ISNUMBER(SEARCH("noise",C544)),"Noise, Audible",ISNUMBER(SEARCH("sound",C544)),"Noise, Audible",ISNUMBER(SEARCH("loud",C544)),"Noise, Audible",ISNUMBER(SEARCH("fray",C544)),"Material Frayed",ISNUMBER(SEARCH("hole",C544)),"Material Frayed",ISNUMBER(SEARCH("tear",C544)),"Material Frayed",ISNUMBER(SEARCH("worn",C544)),"Material Frayed",ISNUMBER(SEARCH("intermittent",C544)),"Difficult or Delayed Activation",ISNUMBER(SEARCH("delay",C544)),"Difficult or Delayed Activation",ISNUMBER(SEARCH("label",C544)),"Device Markings/Labelling Problem",ISNUMBER(SEARCH("marking",C544)),"Device Markings/Labelling Problem",ISNUMBER(SEARCH("lacerat",C544)),"Defective Device",ISNUMBER(SEARCH("cut",C544)),"Defective Device",ISNUMBER(SEARCH("leak",C544)),"Fluid/Blood Leak",ISNUMBER(SEARCH("missing",C544)),"Component Missing",ISNUMBER(SEARCH("power",C544)),"Complete Loss of Power",ISNUMBER(SEARCH("will not turn on",C544)),"Complete Loss of Power",ISNUMBER(SEARCH("won't turn on",C544)),"Complete Loss of Power",ISNUMBER(SEARCH("does not turn on",C544)),"Complete Loss of Power",ISNUMBER(SEARCH("electrical",C544)),"Electrical Power Problem",ISNUMBER(SEARCH("pressure",C544)),"Detachment of Device or Device Component",ISNUMBER(SEARCH("slip",C544)),"Detachment of Device or Device Component",ISNUMBER(SEARCH("detach",C544)),"Detachment of Device or Device Component",ISNUMBER(SEARCH("stick",C544)),"Mechanical Jam",ISNUMBER(SEARCH("jam",C544)),"Mechanical Jam",ISNUMBER(SEARCH("rigid",C544)),"Mechanical Jam",ISNUMBER(SEARCH("rust",C544)),"Corroded",ISNUMBER(SEARCH("corrod",C544)),"Corroded",ISNUMBER(SEARCH("corrosion",C544)),"Corroded",ISNUMBER(SEARCH("alignment",C544)),"Defective Device",ISNUMBER(SEARCH("adjust",C544)),"Defective Device",ISNUMBER(SEARCH("perform",C544)),"Defective Device",ISNUMBER(SEARCH("malfunction",C544)),"Defective Device",ISNUMBER(SEARCH("defect",C544)),"Defective Device",ISNUMBER(SEARCH("fail",C544)),"Defective Device",ISNUMBER(SEARCH("not work",C544)),"Defective Device",ISNUMBER(SEARCH("doesn't work",C544)),"Defective Device",TRUE,"UNKNOWN"),"UNKNOWN")))</f>
        <v/>
      </c>
      <c r="F544" s="4" t="str">
        <f t="shared" si="8"/>
        <v/>
      </c>
      <c r="G544" s="363" t="str">
        <f>IF(E544="","",IFERROR(VLOOKUP(E544,Codes!$L$2:$N$409,3,FALSE),"—"))</f>
        <v/>
      </c>
      <c r="H544" s="88"/>
      <c r="I544" s="88"/>
    </row>
    <row r="545" spans="1:9" ht="13.15" x14ac:dyDescent="0.35">
      <c r="A545" s="434"/>
      <c r="B545" s="436"/>
      <c r="C545" s="437"/>
      <c r="D545" s="434"/>
      <c r="E545" s="93" t="str" cm="1">
        <f t="array" ref="E545">IF(D545&lt;&gt;"",IFERROR(VLOOKUP(D545,Codes!$K$2:$L$409,2,FALSE),"UNKNOWN - "&amp;D545),IF(C545="","",IFERROR(_xlfn.IFS(ISNUMBER(SEARCH("broken button",C545)),"Break",ISNUMBER(SEARCH("broken handle",C545)),"Break",ISNUMBER(SEARCH("shipping damage",C545)),"Break",ISNUMBER(SEARCH("broken",C545)),"Break",ISNUMBER(SEARCH("crack",C545)),"Break",ISNUMBER(SEARCH("snap",C545)),"Break",ISNUMBER(SEARCH("fracture",C545)),"Break",ISNUMBER(SEARCH("bent",C545)),"Material Twisted/Bent",ISNUMBER(SEARCH("twisted",C545)),"Material Twisted/Bent",ISNUMBER(SEARCH("component separat",C545)),"Material Separation",ISNUMBER(SEARCH("separat",C545)),"Material Separation",ISNUMBER(SEARCH("connection",C545)),"Loose or Intermittent Connection",ISNUMBER(SEARCH("loose",C545)),"Loose or Intermittent Connection",ISNUMBER(SEARCH("damaged packaging",C545)),"Packaging Problem",ISNUMBER(SEARCH("packaging",C545)),"Packaging Problem",ISNUMBER(SEARCH("discoloration",C545)),"Contamination",ISNUMBER(SEARCH("tarnish",C545)),"Contamination",ISNUMBER(SEARCH("stain",C545)),"Contamination",ISNUMBER(SEARCH("foreign material",C545)),"Contamination",ISNUMBER(SEARCH("contamina",C545)),"Contamination",ISNUMBER(SEARCH("overheat",C545)),"Overheating of Device",ISNUMBER(SEARCH("excessive heat",C545)),"Overheating of Device",ISNUMBER(SEARCH("hot",C545)),"Overheating of Device",ISNUMBER(SEARCH("noise",C545)),"Noise, Audible",ISNUMBER(SEARCH("sound",C545)),"Noise, Audible",ISNUMBER(SEARCH("loud",C545)),"Noise, Audible",ISNUMBER(SEARCH("fray",C545)),"Material Frayed",ISNUMBER(SEARCH("hole",C545)),"Material Frayed",ISNUMBER(SEARCH("tear",C545)),"Material Frayed",ISNUMBER(SEARCH("worn",C545)),"Material Frayed",ISNUMBER(SEARCH("intermittent",C545)),"Difficult or Delayed Activation",ISNUMBER(SEARCH("delay",C545)),"Difficult or Delayed Activation",ISNUMBER(SEARCH("label",C545)),"Device Markings/Labelling Problem",ISNUMBER(SEARCH("marking",C545)),"Device Markings/Labelling Problem",ISNUMBER(SEARCH("lacerat",C545)),"Defective Device",ISNUMBER(SEARCH("cut",C545)),"Defective Device",ISNUMBER(SEARCH("leak",C545)),"Fluid/Blood Leak",ISNUMBER(SEARCH("missing",C545)),"Component Missing",ISNUMBER(SEARCH("power",C545)),"Complete Loss of Power",ISNUMBER(SEARCH("will not turn on",C545)),"Complete Loss of Power",ISNUMBER(SEARCH("won't turn on",C545)),"Complete Loss of Power",ISNUMBER(SEARCH("does not turn on",C545)),"Complete Loss of Power",ISNUMBER(SEARCH("electrical",C545)),"Electrical Power Problem",ISNUMBER(SEARCH("pressure",C545)),"Detachment of Device or Device Component",ISNUMBER(SEARCH("slip",C545)),"Detachment of Device or Device Component",ISNUMBER(SEARCH("detach",C545)),"Detachment of Device or Device Component",ISNUMBER(SEARCH("stick",C545)),"Mechanical Jam",ISNUMBER(SEARCH("jam",C545)),"Mechanical Jam",ISNUMBER(SEARCH("rigid",C545)),"Mechanical Jam",ISNUMBER(SEARCH("rust",C545)),"Corroded",ISNUMBER(SEARCH("corrod",C545)),"Corroded",ISNUMBER(SEARCH("corrosion",C545)),"Corroded",ISNUMBER(SEARCH("alignment",C545)),"Defective Device",ISNUMBER(SEARCH("adjust",C545)),"Defective Device",ISNUMBER(SEARCH("perform",C545)),"Defective Device",ISNUMBER(SEARCH("malfunction",C545)),"Defective Device",ISNUMBER(SEARCH("defect",C545)),"Defective Device",ISNUMBER(SEARCH("fail",C545)),"Defective Device",ISNUMBER(SEARCH("not work",C545)),"Defective Device",ISNUMBER(SEARCH("doesn't work",C545)),"Defective Device",TRUE,"UNKNOWN"),"UNKNOWN")))</f>
        <v/>
      </c>
      <c r="F545" s="4" t="str">
        <f t="shared" si="8"/>
        <v/>
      </c>
      <c r="G545" s="363" t="str">
        <f>IF(E545="","",IFERROR(VLOOKUP(E545,Codes!$L$2:$N$409,3,FALSE),"—"))</f>
        <v/>
      </c>
      <c r="H545" s="88"/>
      <c r="I545" s="88"/>
    </row>
    <row r="546" spans="1:9" ht="13.15" x14ac:dyDescent="0.35">
      <c r="A546" s="435"/>
      <c r="B546" s="436"/>
      <c r="C546" s="438"/>
      <c r="D546" s="435"/>
      <c r="E546" s="93" t="str" cm="1">
        <f t="array" ref="E546">IF(D546&lt;&gt;"",IFERROR(VLOOKUP(D546,Codes!$K$2:$L$409,2,FALSE),"UNKNOWN - "&amp;D546),IF(C546="","",IFERROR(_xlfn.IFS(ISNUMBER(SEARCH("broken button",C546)),"Break",ISNUMBER(SEARCH("broken handle",C546)),"Break",ISNUMBER(SEARCH("shipping damage",C546)),"Break",ISNUMBER(SEARCH("broken",C546)),"Break",ISNUMBER(SEARCH("crack",C546)),"Break",ISNUMBER(SEARCH("snap",C546)),"Break",ISNUMBER(SEARCH("fracture",C546)),"Break",ISNUMBER(SEARCH("bent",C546)),"Material Twisted/Bent",ISNUMBER(SEARCH("twisted",C546)),"Material Twisted/Bent",ISNUMBER(SEARCH("component separat",C546)),"Material Separation",ISNUMBER(SEARCH("separat",C546)),"Material Separation",ISNUMBER(SEARCH("connection",C546)),"Loose or Intermittent Connection",ISNUMBER(SEARCH("loose",C546)),"Loose or Intermittent Connection",ISNUMBER(SEARCH("damaged packaging",C546)),"Packaging Problem",ISNUMBER(SEARCH("packaging",C546)),"Packaging Problem",ISNUMBER(SEARCH("discoloration",C546)),"Contamination",ISNUMBER(SEARCH("tarnish",C546)),"Contamination",ISNUMBER(SEARCH("stain",C546)),"Contamination",ISNUMBER(SEARCH("foreign material",C546)),"Contamination",ISNUMBER(SEARCH("contamina",C546)),"Contamination",ISNUMBER(SEARCH("overheat",C546)),"Overheating of Device",ISNUMBER(SEARCH("excessive heat",C546)),"Overheating of Device",ISNUMBER(SEARCH("hot",C546)),"Overheating of Device",ISNUMBER(SEARCH("noise",C546)),"Noise, Audible",ISNUMBER(SEARCH("sound",C546)),"Noise, Audible",ISNUMBER(SEARCH("loud",C546)),"Noise, Audible",ISNUMBER(SEARCH("fray",C546)),"Material Frayed",ISNUMBER(SEARCH("hole",C546)),"Material Frayed",ISNUMBER(SEARCH("tear",C546)),"Material Frayed",ISNUMBER(SEARCH("worn",C546)),"Material Frayed",ISNUMBER(SEARCH("intermittent",C546)),"Difficult or Delayed Activation",ISNUMBER(SEARCH("delay",C546)),"Difficult or Delayed Activation",ISNUMBER(SEARCH("label",C546)),"Device Markings/Labelling Problem",ISNUMBER(SEARCH("marking",C546)),"Device Markings/Labelling Problem",ISNUMBER(SEARCH("lacerat",C546)),"Defective Device",ISNUMBER(SEARCH("cut",C546)),"Defective Device",ISNUMBER(SEARCH("leak",C546)),"Fluid/Blood Leak",ISNUMBER(SEARCH("missing",C546)),"Component Missing",ISNUMBER(SEARCH("power",C546)),"Complete Loss of Power",ISNUMBER(SEARCH("will not turn on",C546)),"Complete Loss of Power",ISNUMBER(SEARCH("won't turn on",C546)),"Complete Loss of Power",ISNUMBER(SEARCH("does not turn on",C546)),"Complete Loss of Power",ISNUMBER(SEARCH("electrical",C546)),"Electrical Power Problem",ISNUMBER(SEARCH("pressure",C546)),"Detachment of Device or Device Component",ISNUMBER(SEARCH("slip",C546)),"Detachment of Device or Device Component",ISNUMBER(SEARCH("detach",C546)),"Detachment of Device or Device Component",ISNUMBER(SEARCH("stick",C546)),"Mechanical Jam",ISNUMBER(SEARCH("jam",C546)),"Mechanical Jam",ISNUMBER(SEARCH("rigid",C546)),"Mechanical Jam",ISNUMBER(SEARCH("rust",C546)),"Corroded",ISNUMBER(SEARCH("corrod",C546)),"Corroded",ISNUMBER(SEARCH("corrosion",C546)),"Corroded",ISNUMBER(SEARCH("alignment",C546)),"Defective Device",ISNUMBER(SEARCH("adjust",C546)),"Defective Device",ISNUMBER(SEARCH("perform",C546)),"Defective Device",ISNUMBER(SEARCH("malfunction",C546)),"Defective Device",ISNUMBER(SEARCH("defect",C546)),"Defective Device",ISNUMBER(SEARCH("fail",C546)),"Defective Device",ISNUMBER(SEARCH("not work",C546)),"Defective Device",ISNUMBER(SEARCH("doesn't work",C546)),"Defective Device",TRUE,"UNKNOWN"),"UNKNOWN")))</f>
        <v/>
      </c>
      <c r="F546" s="4" t="str">
        <f t="shared" si="8"/>
        <v/>
      </c>
      <c r="G546" s="363" t="str">
        <f>IF(E546="","",IFERROR(VLOOKUP(E546,Codes!$L$2:$N$409,3,FALSE),"—"))</f>
        <v/>
      </c>
      <c r="H546" s="88"/>
      <c r="I546" s="88"/>
    </row>
    <row r="547" spans="1:9" ht="13.15" x14ac:dyDescent="0.35">
      <c r="A547" s="434"/>
      <c r="B547" s="436"/>
      <c r="C547" s="437"/>
      <c r="D547" s="434"/>
      <c r="E547" s="93" t="str" cm="1">
        <f t="array" ref="E547">IF(D547&lt;&gt;"",IFERROR(VLOOKUP(D547,Codes!$K$2:$L$409,2,FALSE),"UNKNOWN - "&amp;D547),IF(C547="","",IFERROR(_xlfn.IFS(ISNUMBER(SEARCH("broken button",C547)),"Break",ISNUMBER(SEARCH("broken handle",C547)),"Break",ISNUMBER(SEARCH("shipping damage",C547)),"Break",ISNUMBER(SEARCH("broken",C547)),"Break",ISNUMBER(SEARCH("crack",C547)),"Break",ISNUMBER(SEARCH("snap",C547)),"Break",ISNUMBER(SEARCH("fracture",C547)),"Break",ISNUMBER(SEARCH("bent",C547)),"Material Twisted/Bent",ISNUMBER(SEARCH("twisted",C547)),"Material Twisted/Bent",ISNUMBER(SEARCH("component separat",C547)),"Material Separation",ISNUMBER(SEARCH("separat",C547)),"Material Separation",ISNUMBER(SEARCH("connection",C547)),"Loose or Intermittent Connection",ISNUMBER(SEARCH("loose",C547)),"Loose or Intermittent Connection",ISNUMBER(SEARCH("damaged packaging",C547)),"Packaging Problem",ISNUMBER(SEARCH("packaging",C547)),"Packaging Problem",ISNUMBER(SEARCH("discoloration",C547)),"Contamination",ISNUMBER(SEARCH("tarnish",C547)),"Contamination",ISNUMBER(SEARCH("stain",C547)),"Contamination",ISNUMBER(SEARCH("foreign material",C547)),"Contamination",ISNUMBER(SEARCH("contamina",C547)),"Contamination",ISNUMBER(SEARCH("overheat",C547)),"Overheating of Device",ISNUMBER(SEARCH("excessive heat",C547)),"Overheating of Device",ISNUMBER(SEARCH("hot",C547)),"Overheating of Device",ISNUMBER(SEARCH("noise",C547)),"Noise, Audible",ISNUMBER(SEARCH("sound",C547)),"Noise, Audible",ISNUMBER(SEARCH("loud",C547)),"Noise, Audible",ISNUMBER(SEARCH("fray",C547)),"Material Frayed",ISNUMBER(SEARCH("hole",C547)),"Material Frayed",ISNUMBER(SEARCH("tear",C547)),"Material Frayed",ISNUMBER(SEARCH("worn",C547)),"Material Frayed",ISNUMBER(SEARCH("intermittent",C547)),"Difficult or Delayed Activation",ISNUMBER(SEARCH("delay",C547)),"Difficult or Delayed Activation",ISNUMBER(SEARCH("label",C547)),"Device Markings/Labelling Problem",ISNUMBER(SEARCH("marking",C547)),"Device Markings/Labelling Problem",ISNUMBER(SEARCH("lacerat",C547)),"Defective Device",ISNUMBER(SEARCH("cut",C547)),"Defective Device",ISNUMBER(SEARCH("leak",C547)),"Fluid/Blood Leak",ISNUMBER(SEARCH("missing",C547)),"Component Missing",ISNUMBER(SEARCH("power",C547)),"Complete Loss of Power",ISNUMBER(SEARCH("will not turn on",C547)),"Complete Loss of Power",ISNUMBER(SEARCH("won't turn on",C547)),"Complete Loss of Power",ISNUMBER(SEARCH("does not turn on",C547)),"Complete Loss of Power",ISNUMBER(SEARCH("electrical",C547)),"Electrical Power Problem",ISNUMBER(SEARCH("pressure",C547)),"Detachment of Device or Device Component",ISNUMBER(SEARCH("slip",C547)),"Detachment of Device or Device Component",ISNUMBER(SEARCH("detach",C547)),"Detachment of Device or Device Component",ISNUMBER(SEARCH("stick",C547)),"Mechanical Jam",ISNUMBER(SEARCH("jam",C547)),"Mechanical Jam",ISNUMBER(SEARCH("rigid",C547)),"Mechanical Jam",ISNUMBER(SEARCH("rust",C547)),"Corroded",ISNUMBER(SEARCH("corrod",C547)),"Corroded",ISNUMBER(SEARCH("corrosion",C547)),"Corroded",ISNUMBER(SEARCH("alignment",C547)),"Defective Device",ISNUMBER(SEARCH("adjust",C547)),"Defective Device",ISNUMBER(SEARCH("perform",C547)),"Defective Device",ISNUMBER(SEARCH("malfunction",C547)),"Defective Device",ISNUMBER(SEARCH("defect",C547)),"Defective Device",ISNUMBER(SEARCH("fail",C547)),"Defective Device",ISNUMBER(SEARCH("not work",C547)),"Defective Device",ISNUMBER(SEARCH("doesn't work",C547)),"Defective Device",TRUE,"UNKNOWN"),"UNKNOWN")))</f>
        <v/>
      </c>
      <c r="F547" s="4" t="str">
        <f t="shared" si="8"/>
        <v/>
      </c>
      <c r="G547" s="363" t="str">
        <f>IF(E547="","",IFERROR(VLOOKUP(E547,Codes!$L$2:$N$409,3,FALSE),"—"))</f>
        <v/>
      </c>
      <c r="H547" s="88"/>
      <c r="I547" s="88"/>
    </row>
    <row r="548" spans="1:9" ht="13.15" x14ac:dyDescent="0.35">
      <c r="A548" s="435"/>
      <c r="B548" s="436"/>
      <c r="C548" s="438"/>
      <c r="D548" s="435"/>
      <c r="E548" s="93" t="str" cm="1">
        <f t="array" ref="E548">IF(D548&lt;&gt;"",IFERROR(VLOOKUP(D548,Codes!$K$2:$L$409,2,FALSE),"UNKNOWN - "&amp;D548),IF(C548="","",IFERROR(_xlfn.IFS(ISNUMBER(SEARCH("broken button",C548)),"Break",ISNUMBER(SEARCH("broken handle",C548)),"Break",ISNUMBER(SEARCH("shipping damage",C548)),"Break",ISNUMBER(SEARCH("broken",C548)),"Break",ISNUMBER(SEARCH("crack",C548)),"Break",ISNUMBER(SEARCH("snap",C548)),"Break",ISNUMBER(SEARCH("fracture",C548)),"Break",ISNUMBER(SEARCH("bent",C548)),"Material Twisted/Bent",ISNUMBER(SEARCH("twisted",C548)),"Material Twisted/Bent",ISNUMBER(SEARCH("component separat",C548)),"Material Separation",ISNUMBER(SEARCH("separat",C548)),"Material Separation",ISNUMBER(SEARCH("connection",C548)),"Loose or Intermittent Connection",ISNUMBER(SEARCH("loose",C548)),"Loose or Intermittent Connection",ISNUMBER(SEARCH("damaged packaging",C548)),"Packaging Problem",ISNUMBER(SEARCH("packaging",C548)),"Packaging Problem",ISNUMBER(SEARCH("discoloration",C548)),"Contamination",ISNUMBER(SEARCH("tarnish",C548)),"Contamination",ISNUMBER(SEARCH("stain",C548)),"Contamination",ISNUMBER(SEARCH("foreign material",C548)),"Contamination",ISNUMBER(SEARCH("contamina",C548)),"Contamination",ISNUMBER(SEARCH("overheat",C548)),"Overheating of Device",ISNUMBER(SEARCH("excessive heat",C548)),"Overheating of Device",ISNUMBER(SEARCH("hot",C548)),"Overheating of Device",ISNUMBER(SEARCH("noise",C548)),"Noise, Audible",ISNUMBER(SEARCH("sound",C548)),"Noise, Audible",ISNUMBER(SEARCH("loud",C548)),"Noise, Audible",ISNUMBER(SEARCH("fray",C548)),"Material Frayed",ISNUMBER(SEARCH("hole",C548)),"Material Frayed",ISNUMBER(SEARCH("tear",C548)),"Material Frayed",ISNUMBER(SEARCH("worn",C548)),"Material Frayed",ISNUMBER(SEARCH("intermittent",C548)),"Difficult or Delayed Activation",ISNUMBER(SEARCH("delay",C548)),"Difficult or Delayed Activation",ISNUMBER(SEARCH("label",C548)),"Device Markings/Labelling Problem",ISNUMBER(SEARCH("marking",C548)),"Device Markings/Labelling Problem",ISNUMBER(SEARCH("lacerat",C548)),"Defective Device",ISNUMBER(SEARCH("cut",C548)),"Defective Device",ISNUMBER(SEARCH("leak",C548)),"Fluid/Blood Leak",ISNUMBER(SEARCH("missing",C548)),"Component Missing",ISNUMBER(SEARCH("power",C548)),"Complete Loss of Power",ISNUMBER(SEARCH("will not turn on",C548)),"Complete Loss of Power",ISNUMBER(SEARCH("won't turn on",C548)),"Complete Loss of Power",ISNUMBER(SEARCH("does not turn on",C548)),"Complete Loss of Power",ISNUMBER(SEARCH("electrical",C548)),"Electrical Power Problem",ISNUMBER(SEARCH("pressure",C548)),"Detachment of Device or Device Component",ISNUMBER(SEARCH("slip",C548)),"Detachment of Device or Device Component",ISNUMBER(SEARCH("detach",C548)),"Detachment of Device or Device Component",ISNUMBER(SEARCH("stick",C548)),"Mechanical Jam",ISNUMBER(SEARCH("jam",C548)),"Mechanical Jam",ISNUMBER(SEARCH("rigid",C548)),"Mechanical Jam",ISNUMBER(SEARCH("rust",C548)),"Corroded",ISNUMBER(SEARCH("corrod",C548)),"Corroded",ISNUMBER(SEARCH("corrosion",C548)),"Corroded",ISNUMBER(SEARCH("alignment",C548)),"Defective Device",ISNUMBER(SEARCH("adjust",C548)),"Defective Device",ISNUMBER(SEARCH("perform",C548)),"Defective Device",ISNUMBER(SEARCH("malfunction",C548)),"Defective Device",ISNUMBER(SEARCH("defect",C548)),"Defective Device",ISNUMBER(SEARCH("fail",C548)),"Defective Device",ISNUMBER(SEARCH("not work",C548)),"Defective Device",ISNUMBER(SEARCH("doesn't work",C548)),"Defective Device",TRUE,"UNKNOWN"),"UNKNOWN")))</f>
        <v/>
      </c>
      <c r="F548" s="4" t="str">
        <f t="shared" si="8"/>
        <v/>
      </c>
      <c r="G548" s="363" t="str">
        <f>IF(E548="","",IFERROR(VLOOKUP(E548,Codes!$L$2:$N$409,3,FALSE),"—"))</f>
        <v/>
      </c>
      <c r="H548" s="88"/>
      <c r="I548" s="88"/>
    </row>
    <row r="549" spans="1:9" ht="13.15" x14ac:dyDescent="0.35">
      <c r="A549" s="434"/>
      <c r="B549" s="436"/>
      <c r="C549" s="437"/>
      <c r="D549" s="434"/>
      <c r="E549" s="93" t="str" cm="1">
        <f t="array" ref="E549">IF(D549&lt;&gt;"",IFERROR(VLOOKUP(D549,Codes!$K$2:$L$409,2,FALSE),"UNKNOWN - "&amp;D549),IF(C549="","",IFERROR(_xlfn.IFS(ISNUMBER(SEARCH("broken button",C549)),"Break",ISNUMBER(SEARCH("broken handle",C549)),"Break",ISNUMBER(SEARCH("shipping damage",C549)),"Break",ISNUMBER(SEARCH("broken",C549)),"Break",ISNUMBER(SEARCH("crack",C549)),"Break",ISNUMBER(SEARCH("snap",C549)),"Break",ISNUMBER(SEARCH("fracture",C549)),"Break",ISNUMBER(SEARCH("bent",C549)),"Material Twisted/Bent",ISNUMBER(SEARCH("twisted",C549)),"Material Twisted/Bent",ISNUMBER(SEARCH("component separat",C549)),"Material Separation",ISNUMBER(SEARCH("separat",C549)),"Material Separation",ISNUMBER(SEARCH("connection",C549)),"Loose or Intermittent Connection",ISNUMBER(SEARCH("loose",C549)),"Loose or Intermittent Connection",ISNUMBER(SEARCH("damaged packaging",C549)),"Packaging Problem",ISNUMBER(SEARCH("packaging",C549)),"Packaging Problem",ISNUMBER(SEARCH("discoloration",C549)),"Contamination",ISNUMBER(SEARCH("tarnish",C549)),"Contamination",ISNUMBER(SEARCH("stain",C549)),"Contamination",ISNUMBER(SEARCH("foreign material",C549)),"Contamination",ISNUMBER(SEARCH("contamina",C549)),"Contamination",ISNUMBER(SEARCH("overheat",C549)),"Overheating of Device",ISNUMBER(SEARCH("excessive heat",C549)),"Overheating of Device",ISNUMBER(SEARCH("hot",C549)),"Overheating of Device",ISNUMBER(SEARCH("noise",C549)),"Noise, Audible",ISNUMBER(SEARCH("sound",C549)),"Noise, Audible",ISNUMBER(SEARCH("loud",C549)),"Noise, Audible",ISNUMBER(SEARCH("fray",C549)),"Material Frayed",ISNUMBER(SEARCH("hole",C549)),"Material Frayed",ISNUMBER(SEARCH("tear",C549)),"Material Frayed",ISNUMBER(SEARCH("worn",C549)),"Material Frayed",ISNUMBER(SEARCH("intermittent",C549)),"Difficult or Delayed Activation",ISNUMBER(SEARCH("delay",C549)),"Difficult or Delayed Activation",ISNUMBER(SEARCH("label",C549)),"Device Markings/Labelling Problem",ISNUMBER(SEARCH("marking",C549)),"Device Markings/Labelling Problem",ISNUMBER(SEARCH("lacerat",C549)),"Defective Device",ISNUMBER(SEARCH("cut",C549)),"Defective Device",ISNUMBER(SEARCH("leak",C549)),"Fluid/Blood Leak",ISNUMBER(SEARCH("missing",C549)),"Component Missing",ISNUMBER(SEARCH("power",C549)),"Complete Loss of Power",ISNUMBER(SEARCH("will not turn on",C549)),"Complete Loss of Power",ISNUMBER(SEARCH("won't turn on",C549)),"Complete Loss of Power",ISNUMBER(SEARCH("does not turn on",C549)),"Complete Loss of Power",ISNUMBER(SEARCH("electrical",C549)),"Electrical Power Problem",ISNUMBER(SEARCH("pressure",C549)),"Detachment of Device or Device Component",ISNUMBER(SEARCH("slip",C549)),"Detachment of Device or Device Component",ISNUMBER(SEARCH("detach",C549)),"Detachment of Device or Device Component",ISNUMBER(SEARCH("stick",C549)),"Mechanical Jam",ISNUMBER(SEARCH("jam",C549)),"Mechanical Jam",ISNUMBER(SEARCH("rigid",C549)),"Mechanical Jam",ISNUMBER(SEARCH("rust",C549)),"Corroded",ISNUMBER(SEARCH("corrod",C549)),"Corroded",ISNUMBER(SEARCH("corrosion",C549)),"Corroded",ISNUMBER(SEARCH("alignment",C549)),"Defective Device",ISNUMBER(SEARCH("adjust",C549)),"Defective Device",ISNUMBER(SEARCH("perform",C549)),"Defective Device",ISNUMBER(SEARCH("malfunction",C549)),"Defective Device",ISNUMBER(SEARCH("defect",C549)),"Defective Device",ISNUMBER(SEARCH("fail",C549)),"Defective Device",ISNUMBER(SEARCH("not work",C549)),"Defective Device",ISNUMBER(SEARCH("doesn't work",C549)),"Defective Device",TRUE,"UNKNOWN"),"UNKNOWN")))</f>
        <v/>
      </c>
      <c r="F549" s="4" t="str">
        <f t="shared" si="8"/>
        <v/>
      </c>
      <c r="G549" s="363" t="str">
        <f>IF(E549="","",IFERROR(VLOOKUP(E549,Codes!$L$2:$N$409,3,FALSE),"—"))</f>
        <v/>
      </c>
      <c r="H549" s="88"/>
      <c r="I549" s="88"/>
    </row>
    <row r="550" spans="1:9" ht="13.15" x14ac:dyDescent="0.35">
      <c r="A550" s="435"/>
      <c r="B550" s="436"/>
      <c r="C550" s="438"/>
      <c r="D550" s="435"/>
      <c r="E550" s="93" t="str" cm="1">
        <f t="array" ref="E550">IF(D550&lt;&gt;"",IFERROR(VLOOKUP(D550,Codes!$K$2:$L$409,2,FALSE),"UNKNOWN - "&amp;D550),IF(C550="","",IFERROR(_xlfn.IFS(ISNUMBER(SEARCH("broken button",C550)),"Break",ISNUMBER(SEARCH("broken handle",C550)),"Break",ISNUMBER(SEARCH("shipping damage",C550)),"Break",ISNUMBER(SEARCH("broken",C550)),"Break",ISNUMBER(SEARCH("crack",C550)),"Break",ISNUMBER(SEARCH("snap",C550)),"Break",ISNUMBER(SEARCH("fracture",C550)),"Break",ISNUMBER(SEARCH("bent",C550)),"Material Twisted/Bent",ISNUMBER(SEARCH("twisted",C550)),"Material Twisted/Bent",ISNUMBER(SEARCH("component separat",C550)),"Material Separation",ISNUMBER(SEARCH("separat",C550)),"Material Separation",ISNUMBER(SEARCH("connection",C550)),"Loose or Intermittent Connection",ISNUMBER(SEARCH("loose",C550)),"Loose or Intermittent Connection",ISNUMBER(SEARCH("damaged packaging",C550)),"Packaging Problem",ISNUMBER(SEARCH("packaging",C550)),"Packaging Problem",ISNUMBER(SEARCH("discoloration",C550)),"Contamination",ISNUMBER(SEARCH("tarnish",C550)),"Contamination",ISNUMBER(SEARCH("stain",C550)),"Contamination",ISNUMBER(SEARCH("foreign material",C550)),"Contamination",ISNUMBER(SEARCH("contamina",C550)),"Contamination",ISNUMBER(SEARCH("overheat",C550)),"Overheating of Device",ISNUMBER(SEARCH("excessive heat",C550)),"Overheating of Device",ISNUMBER(SEARCH("hot",C550)),"Overheating of Device",ISNUMBER(SEARCH("noise",C550)),"Noise, Audible",ISNUMBER(SEARCH("sound",C550)),"Noise, Audible",ISNUMBER(SEARCH("loud",C550)),"Noise, Audible",ISNUMBER(SEARCH("fray",C550)),"Material Frayed",ISNUMBER(SEARCH("hole",C550)),"Material Frayed",ISNUMBER(SEARCH("tear",C550)),"Material Frayed",ISNUMBER(SEARCH("worn",C550)),"Material Frayed",ISNUMBER(SEARCH("intermittent",C550)),"Difficult or Delayed Activation",ISNUMBER(SEARCH("delay",C550)),"Difficult or Delayed Activation",ISNUMBER(SEARCH("label",C550)),"Device Markings/Labelling Problem",ISNUMBER(SEARCH("marking",C550)),"Device Markings/Labelling Problem",ISNUMBER(SEARCH("lacerat",C550)),"Defective Device",ISNUMBER(SEARCH("cut",C550)),"Defective Device",ISNUMBER(SEARCH("leak",C550)),"Fluid/Blood Leak",ISNUMBER(SEARCH("missing",C550)),"Component Missing",ISNUMBER(SEARCH("power",C550)),"Complete Loss of Power",ISNUMBER(SEARCH("will not turn on",C550)),"Complete Loss of Power",ISNUMBER(SEARCH("won't turn on",C550)),"Complete Loss of Power",ISNUMBER(SEARCH("does not turn on",C550)),"Complete Loss of Power",ISNUMBER(SEARCH("electrical",C550)),"Electrical Power Problem",ISNUMBER(SEARCH("pressure",C550)),"Detachment of Device or Device Component",ISNUMBER(SEARCH("slip",C550)),"Detachment of Device or Device Component",ISNUMBER(SEARCH("detach",C550)),"Detachment of Device or Device Component",ISNUMBER(SEARCH("stick",C550)),"Mechanical Jam",ISNUMBER(SEARCH("jam",C550)),"Mechanical Jam",ISNUMBER(SEARCH("rigid",C550)),"Mechanical Jam",ISNUMBER(SEARCH("rust",C550)),"Corroded",ISNUMBER(SEARCH("corrod",C550)),"Corroded",ISNUMBER(SEARCH("corrosion",C550)),"Corroded",ISNUMBER(SEARCH("alignment",C550)),"Defective Device",ISNUMBER(SEARCH("adjust",C550)),"Defective Device",ISNUMBER(SEARCH("perform",C550)),"Defective Device",ISNUMBER(SEARCH("malfunction",C550)),"Defective Device",ISNUMBER(SEARCH("defect",C550)),"Defective Device",ISNUMBER(SEARCH("fail",C550)),"Defective Device",ISNUMBER(SEARCH("not work",C550)),"Defective Device",ISNUMBER(SEARCH("doesn't work",C550)),"Defective Device",TRUE,"UNKNOWN"),"UNKNOWN")))</f>
        <v/>
      </c>
      <c r="F550" s="4" t="str">
        <f t="shared" si="8"/>
        <v/>
      </c>
      <c r="G550" s="363" t="str">
        <f>IF(E550="","",IFERROR(VLOOKUP(E550,Codes!$L$2:$N$409,3,FALSE),"—"))</f>
        <v/>
      </c>
      <c r="H550" s="88"/>
      <c r="I550" s="88"/>
    </row>
    <row r="551" spans="1:9" ht="13.15" x14ac:dyDescent="0.35">
      <c r="A551" s="434"/>
      <c r="B551" s="436"/>
      <c r="C551" s="437"/>
      <c r="D551" s="434"/>
      <c r="E551" s="93" t="str" cm="1">
        <f t="array" ref="E551">IF(D551&lt;&gt;"",IFERROR(VLOOKUP(D551,Codes!$K$2:$L$409,2,FALSE),"UNKNOWN - "&amp;D551),IF(C551="","",IFERROR(_xlfn.IFS(ISNUMBER(SEARCH("broken button",C551)),"Break",ISNUMBER(SEARCH("broken handle",C551)),"Break",ISNUMBER(SEARCH("shipping damage",C551)),"Break",ISNUMBER(SEARCH("broken",C551)),"Break",ISNUMBER(SEARCH("crack",C551)),"Break",ISNUMBER(SEARCH("snap",C551)),"Break",ISNUMBER(SEARCH("fracture",C551)),"Break",ISNUMBER(SEARCH("bent",C551)),"Material Twisted/Bent",ISNUMBER(SEARCH("twisted",C551)),"Material Twisted/Bent",ISNUMBER(SEARCH("component separat",C551)),"Material Separation",ISNUMBER(SEARCH("separat",C551)),"Material Separation",ISNUMBER(SEARCH("connection",C551)),"Loose or Intermittent Connection",ISNUMBER(SEARCH("loose",C551)),"Loose or Intermittent Connection",ISNUMBER(SEARCH("damaged packaging",C551)),"Packaging Problem",ISNUMBER(SEARCH("packaging",C551)),"Packaging Problem",ISNUMBER(SEARCH("discoloration",C551)),"Contamination",ISNUMBER(SEARCH("tarnish",C551)),"Contamination",ISNUMBER(SEARCH("stain",C551)),"Contamination",ISNUMBER(SEARCH("foreign material",C551)),"Contamination",ISNUMBER(SEARCH("contamina",C551)),"Contamination",ISNUMBER(SEARCH("overheat",C551)),"Overheating of Device",ISNUMBER(SEARCH("excessive heat",C551)),"Overheating of Device",ISNUMBER(SEARCH("hot",C551)),"Overheating of Device",ISNUMBER(SEARCH("noise",C551)),"Noise, Audible",ISNUMBER(SEARCH("sound",C551)),"Noise, Audible",ISNUMBER(SEARCH("loud",C551)),"Noise, Audible",ISNUMBER(SEARCH("fray",C551)),"Material Frayed",ISNUMBER(SEARCH("hole",C551)),"Material Frayed",ISNUMBER(SEARCH("tear",C551)),"Material Frayed",ISNUMBER(SEARCH("worn",C551)),"Material Frayed",ISNUMBER(SEARCH("intermittent",C551)),"Difficult or Delayed Activation",ISNUMBER(SEARCH("delay",C551)),"Difficult or Delayed Activation",ISNUMBER(SEARCH("label",C551)),"Device Markings/Labelling Problem",ISNUMBER(SEARCH("marking",C551)),"Device Markings/Labelling Problem",ISNUMBER(SEARCH("lacerat",C551)),"Defective Device",ISNUMBER(SEARCH("cut",C551)),"Defective Device",ISNUMBER(SEARCH("leak",C551)),"Fluid/Blood Leak",ISNUMBER(SEARCH("missing",C551)),"Component Missing",ISNUMBER(SEARCH("power",C551)),"Complete Loss of Power",ISNUMBER(SEARCH("will not turn on",C551)),"Complete Loss of Power",ISNUMBER(SEARCH("won't turn on",C551)),"Complete Loss of Power",ISNUMBER(SEARCH("does not turn on",C551)),"Complete Loss of Power",ISNUMBER(SEARCH("electrical",C551)),"Electrical Power Problem",ISNUMBER(SEARCH("pressure",C551)),"Detachment of Device or Device Component",ISNUMBER(SEARCH("slip",C551)),"Detachment of Device or Device Component",ISNUMBER(SEARCH("detach",C551)),"Detachment of Device or Device Component",ISNUMBER(SEARCH("stick",C551)),"Mechanical Jam",ISNUMBER(SEARCH("jam",C551)),"Mechanical Jam",ISNUMBER(SEARCH("rigid",C551)),"Mechanical Jam",ISNUMBER(SEARCH("rust",C551)),"Corroded",ISNUMBER(SEARCH("corrod",C551)),"Corroded",ISNUMBER(SEARCH("corrosion",C551)),"Corroded",ISNUMBER(SEARCH("alignment",C551)),"Defective Device",ISNUMBER(SEARCH("adjust",C551)),"Defective Device",ISNUMBER(SEARCH("perform",C551)),"Defective Device",ISNUMBER(SEARCH("malfunction",C551)),"Defective Device",ISNUMBER(SEARCH("defect",C551)),"Defective Device",ISNUMBER(SEARCH("fail",C551)),"Defective Device",ISNUMBER(SEARCH("not work",C551)),"Defective Device",ISNUMBER(SEARCH("doesn't work",C551)),"Defective Device",TRUE,"UNKNOWN"),"UNKNOWN")))</f>
        <v/>
      </c>
      <c r="F551" s="4" t="str">
        <f t="shared" si="8"/>
        <v/>
      </c>
      <c r="G551" s="363" t="str">
        <f>IF(E551="","",IFERROR(VLOOKUP(E551,Codes!$L$2:$N$409,3,FALSE),"—"))</f>
        <v/>
      </c>
      <c r="H551" s="88"/>
      <c r="I551" s="88"/>
    </row>
    <row r="552" spans="1:9" ht="13.15" x14ac:dyDescent="0.35">
      <c r="A552" s="435"/>
      <c r="B552" s="436"/>
      <c r="C552" s="438"/>
      <c r="D552" s="435"/>
      <c r="E552" s="93" t="str" cm="1">
        <f t="array" ref="E552">IF(D552&lt;&gt;"",IFERROR(VLOOKUP(D552,Codes!$K$2:$L$409,2,FALSE),"UNKNOWN - "&amp;D552),IF(C552="","",IFERROR(_xlfn.IFS(ISNUMBER(SEARCH("broken button",C552)),"Break",ISNUMBER(SEARCH("broken handle",C552)),"Break",ISNUMBER(SEARCH("shipping damage",C552)),"Break",ISNUMBER(SEARCH("broken",C552)),"Break",ISNUMBER(SEARCH("crack",C552)),"Break",ISNUMBER(SEARCH("snap",C552)),"Break",ISNUMBER(SEARCH("fracture",C552)),"Break",ISNUMBER(SEARCH("bent",C552)),"Material Twisted/Bent",ISNUMBER(SEARCH("twisted",C552)),"Material Twisted/Bent",ISNUMBER(SEARCH("component separat",C552)),"Material Separation",ISNUMBER(SEARCH("separat",C552)),"Material Separation",ISNUMBER(SEARCH("connection",C552)),"Loose or Intermittent Connection",ISNUMBER(SEARCH("loose",C552)),"Loose or Intermittent Connection",ISNUMBER(SEARCH("damaged packaging",C552)),"Packaging Problem",ISNUMBER(SEARCH("packaging",C552)),"Packaging Problem",ISNUMBER(SEARCH("discoloration",C552)),"Contamination",ISNUMBER(SEARCH("tarnish",C552)),"Contamination",ISNUMBER(SEARCH("stain",C552)),"Contamination",ISNUMBER(SEARCH("foreign material",C552)),"Contamination",ISNUMBER(SEARCH("contamina",C552)),"Contamination",ISNUMBER(SEARCH("overheat",C552)),"Overheating of Device",ISNUMBER(SEARCH("excessive heat",C552)),"Overheating of Device",ISNUMBER(SEARCH("hot",C552)),"Overheating of Device",ISNUMBER(SEARCH("noise",C552)),"Noise, Audible",ISNUMBER(SEARCH("sound",C552)),"Noise, Audible",ISNUMBER(SEARCH("loud",C552)),"Noise, Audible",ISNUMBER(SEARCH("fray",C552)),"Material Frayed",ISNUMBER(SEARCH("hole",C552)),"Material Frayed",ISNUMBER(SEARCH("tear",C552)),"Material Frayed",ISNUMBER(SEARCH("worn",C552)),"Material Frayed",ISNUMBER(SEARCH("intermittent",C552)),"Difficult or Delayed Activation",ISNUMBER(SEARCH("delay",C552)),"Difficult or Delayed Activation",ISNUMBER(SEARCH("label",C552)),"Device Markings/Labelling Problem",ISNUMBER(SEARCH("marking",C552)),"Device Markings/Labelling Problem",ISNUMBER(SEARCH("lacerat",C552)),"Defective Device",ISNUMBER(SEARCH("cut",C552)),"Defective Device",ISNUMBER(SEARCH("leak",C552)),"Fluid/Blood Leak",ISNUMBER(SEARCH("missing",C552)),"Component Missing",ISNUMBER(SEARCH("power",C552)),"Complete Loss of Power",ISNUMBER(SEARCH("will not turn on",C552)),"Complete Loss of Power",ISNUMBER(SEARCH("won't turn on",C552)),"Complete Loss of Power",ISNUMBER(SEARCH("does not turn on",C552)),"Complete Loss of Power",ISNUMBER(SEARCH("electrical",C552)),"Electrical Power Problem",ISNUMBER(SEARCH("pressure",C552)),"Detachment of Device or Device Component",ISNUMBER(SEARCH("slip",C552)),"Detachment of Device or Device Component",ISNUMBER(SEARCH("detach",C552)),"Detachment of Device or Device Component",ISNUMBER(SEARCH("stick",C552)),"Mechanical Jam",ISNUMBER(SEARCH("jam",C552)),"Mechanical Jam",ISNUMBER(SEARCH("rigid",C552)),"Mechanical Jam",ISNUMBER(SEARCH("rust",C552)),"Corroded",ISNUMBER(SEARCH("corrod",C552)),"Corroded",ISNUMBER(SEARCH("corrosion",C552)),"Corroded",ISNUMBER(SEARCH("alignment",C552)),"Defective Device",ISNUMBER(SEARCH("adjust",C552)),"Defective Device",ISNUMBER(SEARCH("perform",C552)),"Defective Device",ISNUMBER(SEARCH("malfunction",C552)),"Defective Device",ISNUMBER(SEARCH("defect",C552)),"Defective Device",ISNUMBER(SEARCH("fail",C552)),"Defective Device",ISNUMBER(SEARCH("not work",C552)),"Defective Device",ISNUMBER(SEARCH("doesn't work",C552)),"Defective Device",TRUE,"UNKNOWN"),"UNKNOWN")))</f>
        <v/>
      </c>
      <c r="F552" s="4" t="str">
        <f t="shared" si="8"/>
        <v/>
      </c>
      <c r="G552" s="363" t="str">
        <f>IF(E552="","",IFERROR(VLOOKUP(E552,Codes!$L$2:$N$409,3,FALSE),"—"))</f>
        <v/>
      </c>
      <c r="H552" s="88"/>
      <c r="I552" s="88"/>
    </row>
    <row r="553" spans="1:9" ht="13.15" x14ac:dyDescent="0.35">
      <c r="A553" s="435"/>
      <c r="B553" s="436"/>
      <c r="C553" s="438"/>
      <c r="D553" s="435"/>
      <c r="E553" s="93" t="str" cm="1">
        <f t="array" ref="E553">IF(D553&lt;&gt;"",IFERROR(VLOOKUP(D553,Codes!$K$2:$L$409,2,FALSE),"UNKNOWN - "&amp;D553),IF(C553="","",IFERROR(_xlfn.IFS(ISNUMBER(SEARCH("broken button",C553)),"Break",ISNUMBER(SEARCH("broken handle",C553)),"Break",ISNUMBER(SEARCH("shipping damage",C553)),"Break",ISNUMBER(SEARCH("broken",C553)),"Break",ISNUMBER(SEARCH("crack",C553)),"Break",ISNUMBER(SEARCH("snap",C553)),"Break",ISNUMBER(SEARCH("fracture",C553)),"Break",ISNUMBER(SEARCH("bent",C553)),"Material Twisted/Bent",ISNUMBER(SEARCH("twisted",C553)),"Material Twisted/Bent",ISNUMBER(SEARCH("component separat",C553)),"Material Separation",ISNUMBER(SEARCH("separat",C553)),"Material Separation",ISNUMBER(SEARCH("connection",C553)),"Loose or Intermittent Connection",ISNUMBER(SEARCH("loose",C553)),"Loose or Intermittent Connection",ISNUMBER(SEARCH("damaged packaging",C553)),"Packaging Problem",ISNUMBER(SEARCH("packaging",C553)),"Packaging Problem",ISNUMBER(SEARCH("discoloration",C553)),"Contamination",ISNUMBER(SEARCH("tarnish",C553)),"Contamination",ISNUMBER(SEARCH("stain",C553)),"Contamination",ISNUMBER(SEARCH("foreign material",C553)),"Contamination",ISNUMBER(SEARCH("contamina",C553)),"Contamination",ISNUMBER(SEARCH("overheat",C553)),"Overheating of Device",ISNUMBER(SEARCH("excessive heat",C553)),"Overheating of Device",ISNUMBER(SEARCH("hot",C553)),"Overheating of Device",ISNUMBER(SEARCH("noise",C553)),"Noise, Audible",ISNUMBER(SEARCH("sound",C553)),"Noise, Audible",ISNUMBER(SEARCH("loud",C553)),"Noise, Audible",ISNUMBER(SEARCH("fray",C553)),"Material Frayed",ISNUMBER(SEARCH("hole",C553)),"Material Frayed",ISNUMBER(SEARCH("tear",C553)),"Material Frayed",ISNUMBER(SEARCH("worn",C553)),"Material Frayed",ISNUMBER(SEARCH("intermittent",C553)),"Difficult or Delayed Activation",ISNUMBER(SEARCH("delay",C553)),"Difficult or Delayed Activation",ISNUMBER(SEARCH("label",C553)),"Device Markings/Labelling Problem",ISNUMBER(SEARCH("marking",C553)),"Device Markings/Labelling Problem",ISNUMBER(SEARCH("lacerat",C553)),"Defective Device",ISNUMBER(SEARCH("cut",C553)),"Defective Device",ISNUMBER(SEARCH("leak",C553)),"Fluid/Blood Leak",ISNUMBER(SEARCH("missing",C553)),"Component Missing",ISNUMBER(SEARCH("power",C553)),"Complete Loss of Power",ISNUMBER(SEARCH("will not turn on",C553)),"Complete Loss of Power",ISNUMBER(SEARCH("won't turn on",C553)),"Complete Loss of Power",ISNUMBER(SEARCH("does not turn on",C553)),"Complete Loss of Power",ISNUMBER(SEARCH("electrical",C553)),"Electrical Power Problem",ISNUMBER(SEARCH("pressure",C553)),"Detachment of Device or Device Component",ISNUMBER(SEARCH("slip",C553)),"Detachment of Device or Device Component",ISNUMBER(SEARCH("detach",C553)),"Detachment of Device or Device Component",ISNUMBER(SEARCH("stick",C553)),"Mechanical Jam",ISNUMBER(SEARCH("jam",C553)),"Mechanical Jam",ISNUMBER(SEARCH("rigid",C553)),"Mechanical Jam",ISNUMBER(SEARCH("rust",C553)),"Corroded",ISNUMBER(SEARCH("corrod",C553)),"Corroded",ISNUMBER(SEARCH("corrosion",C553)),"Corroded",ISNUMBER(SEARCH("alignment",C553)),"Defective Device",ISNUMBER(SEARCH("adjust",C553)),"Defective Device",ISNUMBER(SEARCH("perform",C553)),"Defective Device",ISNUMBER(SEARCH("malfunction",C553)),"Defective Device",ISNUMBER(SEARCH("defect",C553)),"Defective Device",ISNUMBER(SEARCH("fail",C553)),"Defective Device",ISNUMBER(SEARCH("not work",C553)),"Defective Device",ISNUMBER(SEARCH("doesn't work",C553)),"Defective Device",TRUE,"UNKNOWN"),"UNKNOWN")))</f>
        <v/>
      </c>
      <c r="F553" s="4" t="str">
        <f t="shared" si="8"/>
        <v/>
      </c>
      <c r="G553" s="363" t="str">
        <f>IF(E553="","",IFERROR(VLOOKUP(E553,Codes!$L$2:$N$409,3,FALSE),"—"))</f>
        <v/>
      </c>
      <c r="H553" s="88"/>
      <c r="I553" s="88"/>
    </row>
    <row r="554" spans="1:9" ht="13.15" x14ac:dyDescent="0.35">
      <c r="A554" s="434"/>
      <c r="B554" s="436"/>
      <c r="C554" s="439"/>
      <c r="D554" s="434"/>
      <c r="E554" s="93" t="str" cm="1">
        <f t="array" ref="E554">IF(D554&lt;&gt;"",IFERROR(VLOOKUP(D554,Codes!$K$2:$L$409,2,FALSE),"UNKNOWN - "&amp;D554),IF(C554="","",IFERROR(_xlfn.IFS(ISNUMBER(SEARCH("broken button",C554)),"Break",ISNUMBER(SEARCH("broken handle",C554)),"Break",ISNUMBER(SEARCH("shipping damage",C554)),"Break",ISNUMBER(SEARCH("broken",C554)),"Break",ISNUMBER(SEARCH("crack",C554)),"Break",ISNUMBER(SEARCH("snap",C554)),"Break",ISNUMBER(SEARCH("fracture",C554)),"Break",ISNUMBER(SEARCH("bent",C554)),"Material Twisted/Bent",ISNUMBER(SEARCH("twisted",C554)),"Material Twisted/Bent",ISNUMBER(SEARCH("component separat",C554)),"Material Separation",ISNUMBER(SEARCH("separat",C554)),"Material Separation",ISNUMBER(SEARCH("connection",C554)),"Loose or Intermittent Connection",ISNUMBER(SEARCH("loose",C554)),"Loose or Intermittent Connection",ISNUMBER(SEARCH("damaged packaging",C554)),"Packaging Problem",ISNUMBER(SEARCH("packaging",C554)),"Packaging Problem",ISNUMBER(SEARCH("discoloration",C554)),"Contamination",ISNUMBER(SEARCH("tarnish",C554)),"Contamination",ISNUMBER(SEARCH("stain",C554)),"Contamination",ISNUMBER(SEARCH("foreign material",C554)),"Contamination",ISNUMBER(SEARCH("contamina",C554)),"Contamination",ISNUMBER(SEARCH("overheat",C554)),"Overheating of Device",ISNUMBER(SEARCH("excessive heat",C554)),"Overheating of Device",ISNUMBER(SEARCH("hot",C554)),"Overheating of Device",ISNUMBER(SEARCH("noise",C554)),"Noise, Audible",ISNUMBER(SEARCH("sound",C554)),"Noise, Audible",ISNUMBER(SEARCH("loud",C554)),"Noise, Audible",ISNUMBER(SEARCH("fray",C554)),"Material Frayed",ISNUMBER(SEARCH("hole",C554)),"Material Frayed",ISNUMBER(SEARCH("tear",C554)),"Material Frayed",ISNUMBER(SEARCH("worn",C554)),"Material Frayed",ISNUMBER(SEARCH("intermittent",C554)),"Difficult or Delayed Activation",ISNUMBER(SEARCH("delay",C554)),"Difficult or Delayed Activation",ISNUMBER(SEARCH("label",C554)),"Device Markings/Labelling Problem",ISNUMBER(SEARCH("marking",C554)),"Device Markings/Labelling Problem",ISNUMBER(SEARCH("lacerat",C554)),"Defective Device",ISNUMBER(SEARCH("cut",C554)),"Defective Device",ISNUMBER(SEARCH("leak",C554)),"Fluid/Blood Leak",ISNUMBER(SEARCH("missing",C554)),"Component Missing",ISNUMBER(SEARCH("power",C554)),"Complete Loss of Power",ISNUMBER(SEARCH("will not turn on",C554)),"Complete Loss of Power",ISNUMBER(SEARCH("won't turn on",C554)),"Complete Loss of Power",ISNUMBER(SEARCH("does not turn on",C554)),"Complete Loss of Power",ISNUMBER(SEARCH("electrical",C554)),"Electrical Power Problem",ISNUMBER(SEARCH("pressure",C554)),"Detachment of Device or Device Component",ISNUMBER(SEARCH("slip",C554)),"Detachment of Device or Device Component",ISNUMBER(SEARCH("detach",C554)),"Detachment of Device or Device Component",ISNUMBER(SEARCH("stick",C554)),"Mechanical Jam",ISNUMBER(SEARCH("jam",C554)),"Mechanical Jam",ISNUMBER(SEARCH("rigid",C554)),"Mechanical Jam",ISNUMBER(SEARCH("rust",C554)),"Corroded",ISNUMBER(SEARCH("corrod",C554)),"Corroded",ISNUMBER(SEARCH("corrosion",C554)),"Corroded",ISNUMBER(SEARCH("alignment",C554)),"Defective Device",ISNUMBER(SEARCH("adjust",C554)),"Defective Device",ISNUMBER(SEARCH("perform",C554)),"Defective Device",ISNUMBER(SEARCH("malfunction",C554)),"Defective Device",ISNUMBER(SEARCH("defect",C554)),"Defective Device",ISNUMBER(SEARCH("fail",C554)),"Defective Device",ISNUMBER(SEARCH("not work",C554)),"Defective Device",ISNUMBER(SEARCH("doesn't work",C554)),"Defective Device",TRUE,"UNKNOWN"),"UNKNOWN")))</f>
        <v/>
      </c>
      <c r="F554" s="4" t="str">
        <f t="shared" si="8"/>
        <v/>
      </c>
      <c r="G554" s="363" t="str">
        <f>IF(E554="","",IFERROR(VLOOKUP(E554,Codes!$L$2:$N$409,3,FALSE),"—"))</f>
        <v/>
      </c>
      <c r="H554" s="88"/>
      <c r="I554" s="88"/>
    </row>
    <row r="555" spans="1:9" ht="13.15" x14ac:dyDescent="0.35">
      <c r="A555" s="435"/>
      <c r="B555" s="436"/>
      <c r="C555" s="438"/>
      <c r="D555" s="435"/>
      <c r="E555" s="93" t="str" cm="1">
        <f t="array" ref="E555">IF(D555&lt;&gt;"",IFERROR(VLOOKUP(D555,Codes!$K$2:$L$409,2,FALSE),"UNKNOWN - "&amp;D555),IF(C555="","",IFERROR(_xlfn.IFS(ISNUMBER(SEARCH("broken button",C555)),"Break",ISNUMBER(SEARCH("broken handle",C555)),"Break",ISNUMBER(SEARCH("shipping damage",C555)),"Break",ISNUMBER(SEARCH("broken",C555)),"Break",ISNUMBER(SEARCH("crack",C555)),"Break",ISNUMBER(SEARCH("snap",C555)),"Break",ISNUMBER(SEARCH("fracture",C555)),"Break",ISNUMBER(SEARCH("bent",C555)),"Material Twisted/Bent",ISNUMBER(SEARCH("twisted",C555)),"Material Twisted/Bent",ISNUMBER(SEARCH("component separat",C555)),"Material Separation",ISNUMBER(SEARCH("separat",C555)),"Material Separation",ISNUMBER(SEARCH("connection",C555)),"Loose or Intermittent Connection",ISNUMBER(SEARCH("loose",C555)),"Loose or Intermittent Connection",ISNUMBER(SEARCH("damaged packaging",C555)),"Packaging Problem",ISNUMBER(SEARCH("packaging",C555)),"Packaging Problem",ISNUMBER(SEARCH("discoloration",C555)),"Contamination",ISNUMBER(SEARCH("tarnish",C555)),"Contamination",ISNUMBER(SEARCH("stain",C555)),"Contamination",ISNUMBER(SEARCH("foreign material",C555)),"Contamination",ISNUMBER(SEARCH("contamina",C555)),"Contamination",ISNUMBER(SEARCH("overheat",C555)),"Overheating of Device",ISNUMBER(SEARCH("excessive heat",C555)),"Overheating of Device",ISNUMBER(SEARCH("hot",C555)),"Overheating of Device",ISNUMBER(SEARCH("noise",C555)),"Noise, Audible",ISNUMBER(SEARCH("sound",C555)),"Noise, Audible",ISNUMBER(SEARCH("loud",C555)),"Noise, Audible",ISNUMBER(SEARCH("fray",C555)),"Material Frayed",ISNUMBER(SEARCH("hole",C555)),"Material Frayed",ISNUMBER(SEARCH("tear",C555)),"Material Frayed",ISNUMBER(SEARCH("worn",C555)),"Material Frayed",ISNUMBER(SEARCH("intermittent",C555)),"Difficult or Delayed Activation",ISNUMBER(SEARCH("delay",C555)),"Difficult or Delayed Activation",ISNUMBER(SEARCH("label",C555)),"Device Markings/Labelling Problem",ISNUMBER(SEARCH("marking",C555)),"Device Markings/Labelling Problem",ISNUMBER(SEARCH("lacerat",C555)),"Defective Device",ISNUMBER(SEARCH("cut",C555)),"Defective Device",ISNUMBER(SEARCH("leak",C555)),"Fluid/Blood Leak",ISNUMBER(SEARCH("missing",C555)),"Component Missing",ISNUMBER(SEARCH("power",C555)),"Complete Loss of Power",ISNUMBER(SEARCH("will not turn on",C555)),"Complete Loss of Power",ISNUMBER(SEARCH("won't turn on",C555)),"Complete Loss of Power",ISNUMBER(SEARCH("does not turn on",C555)),"Complete Loss of Power",ISNUMBER(SEARCH("electrical",C555)),"Electrical Power Problem",ISNUMBER(SEARCH("pressure",C555)),"Detachment of Device or Device Component",ISNUMBER(SEARCH("slip",C555)),"Detachment of Device or Device Component",ISNUMBER(SEARCH("detach",C555)),"Detachment of Device or Device Component",ISNUMBER(SEARCH("stick",C555)),"Mechanical Jam",ISNUMBER(SEARCH("jam",C555)),"Mechanical Jam",ISNUMBER(SEARCH("rigid",C555)),"Mechanical Jam",ISNUMBER(SEARCH("rust",C555)),"Corroded",ISNUMBER(SEARCH("corrod",C555)),"Corroded",ISNUMBER(SEARCH("corrosion",C555)),"Corroded",ISNUMBER(SEARCH("alignment",C555)),"Defective Device",ISNUMBER(SEARCH("adjust",C555)),"Defective Device",ISNUMBER(SEARCH("perform",C555)),"Defective Device",ISNUMBER(SEARCH("malfunction",C555)),"Defective Device",ISNUMBER(SEARCH("defect",C555)),"Defective Device",ISNUMBER(SEARCH("fail",C555)),"Defective Device",ISNUMBER(SEARCH("not work",C555)),"Defective Device",ISNUMBER(SEARCH("doesn't work",C555)),"Defective Device",TRUE,"UNKNOWN"),"UNKNOWN")))</f>
        <v/>
      </c>
      <c r="F555" s="4" t="str">
        <f t="shared" si="8"/>
        <v/>
      </c>
      <c r="G555" s="363" t="str">
        <f>IF(E555="","",IFERROR(VLOOKUP(E555,Codes!$L$2:$N$409,3,FALSE),"—"))</f>
        <v/>
      </c>
      <c r="H555" s="88"/>
      <c r="I555" s="88"/>
    </row>
    <row r="556" spans="1:9" ht="13.15" x14ac:dyDescent="0.35">
      <c r="A556" s="434"/>
      <c r="B556" s="436"/>
      <c r="C556" s="437"/>
      <c r="D556" s="434"/>
      <c r="E556" s="93" t="str" cm="1">
        <f t="array" ref="E556">IF(D556&lt;&gt;"",IFERROR(VLOOKUP(D556,Codes!$K$2:$L$409,2,FALSE),"UNKNOWN - "&amp;D556),IF(C556="","",IFERROR(_xlfn.IFS(ISNUMBER(SEARCH("broken button",C556)),"Break",ISNUMBER(SEARCH("broken handle",C556)),"Break",ISNUMBER(SEARCH("shipping damage",C556)),"Break",ISNUMBER(SEARCH("broken",C556)),"Break",ISNUMBER(SEARCH("crack",C556)),"Break",ISNUMBER(SEARCH("snap",C556)),"Break",ISNUMBER(SEARCH("fracture",C556)),"Break",ISNUMBER(SEARCH("bent",C556)),"Material Twisted/Bent",ISNUMBER(SEARCH("twisted",C556)),"Material Twisted/Bent",ISNUMBER(SEARCH("component separat",C556)),"Material Separation",ISNUMBER(SEARCH("separat",C556)),"Material Separation",ISNUMBER(SEARCH("connection",C556)),"Loose or Intermittent Connection",ISNUMBER(SEARCH("loose",C556)),"Loose or Intermittent Connection",ISNUMBER(SEARCH("damaged packaging",C556)),"Packaging Problem",ISNUMBER(SEARCH("packaging",C556)),"Packaging Problem",ISNUMBER(SEARCH("discoloration",C556)),"Contamination",ISNUMBER(SEARCH("tarnish",C556)),"Contamination",ISNUMBER(SEARCH("stain",C556)),"Contamination",ISNUMBER(SEARCH("foreign material",C556)),"Contamination",ISNUMBER(SEARCH("contamina",C556)),"Contamination",ISNUMBER(SEARCH("overheat",C556)),"Overheating of Device",ISNUMBER(SEARCH("excessive heat",C556)),"Overheating of Device",ISNUMBER(SEARCH("hot",C556)),"Overheating of Device",ISNUMBER(SEARCH("noise",C556)),"Noise, Audible",ISNUMBER(SEARCH("sound",C556)),"Noise, Audible",ISNUMBER(SEARCH("loud",C556)),"Noise, Audible",ISNUMBER(SEARCH("fray",C556)),"Material Frayed",ISNUMBER(SEARCH("hole",C556)),"Material Frayed",ISNUMBER(SEARCH("tear",C556)),"Material Frayed",ISNUMBER(SEARCH("worn",C556)),"Material Frayed",ISNUMBER(SEARCH("intermittent",C556)),"Difficult or Delayed Activation",ISNUMBER(SEARCH("delay",C556)),"Difficult or Delayed Activation",ISNUMBER(SEARCH("label",C556)),"Device Markings/Labelling Problem",ISNUMBER(SEARCH("marking",C556)),"Device Markings/Labelling Problem",ISNUMBER(SEARCH("lacerat",C556)),"Defective Device",ISNUMBER(SEARCH("cut",C556)),"Defective Device",ISNUMBER(SEARCH("leak",C556)),"Fluid/Blood Leak",ISNUMBER(SEARCH("missing",C556)),"Component Missing",ISNUMBER(SEARCH("power",C556)),"Complete Loss of Power",ISNUMBER(SEARCH("will not turn on",C556)),"Complete Loss of Power",ISNUMBER(SEARCH("won't turn on",C556)),"Complete Loss of Power",ISNUMBER(SEARCH("does not turn on",C556)),"Complete Loss of Power",ISNUMBER(SEARCH("electrical",C556)),"Electrical Power Problem",ISNUMBER(SEARCH("pressure",C556)),"Detachment of Device or Device Component",ISNUMBER(SEARCH("slip",C556)),"Detachment of Device or Device Component",ISNUMBER(SEARCH("detach",C556)),"Detachment of Device or Device Component",ISNUMBER(SEARCH("stick",C556)),"Mechanical Jam",ISNUMBER(SEARCH("jam",C556)),"Mechanical Jam",ISNUMBER(SEARCH("rigid",C556)),"Mechanical Jam",ISNUMBER(SEARCH("rust",C556)),"Corroded",ISNUMBER(SEARCH("corrod",C556)),"Corroded",ISNUMBER(SEARCH("corrosion",C556)),"Corroded",ISNUMBER(SEARCH("alignment",C556)),"Defective Device",ISNUMBER(SEARCH("adjust",C556)),"Defective Device",ISNUMBER(SEARCH("perform",C556)),"Defective Device",ISNUMBER(SEARCH("malfunction",C556)),"Defective Device",ISNUMBER(SEARCH("defect",C556)),"Defective Device",ISNUMBER(SEARCH("fail",C556)),"Defective Device",ISNUMBER(SEARCH("not work",C556)),"Defective Device",ISNUMBER(SEARCH("doesn't work",C556)),"Defective Device",TRUE,"UNKNOWN"),"UNKNOWN")))</f>
        <v/>
      </c>
      <c r="F556" s="4" t="str">
        <f t="shared" si="8"/>
        <v/>
      </c>
      <c r="G556" s="363" t="str">
        <f>IF(E556="","",IFERROR(VLOOKUP(E556,Codes!$L$2:$N$409,3,FALSE),"—"))</f>
        <v/>
      </c>
      <c r="H556" s="88"/>
      <c r="I556" s="88"/>
    </row>
    <row r="557" spans="1:9" ht="13.15" x14ac:dyDescent="0.35">
      <c r="A557" s="435"/>
      <c r="B557" s="436"/>
      <c r="C557" s="438"/>
      <c r="D557" s="435"/>
      <c r="E557" s="93" t="str" cm="1">
        <f t="array" ref="E557">IF(D557&lt;&gt;"",IFERROR(VLOOKUP(D557,Codes!$K$2:$L$409,2,FALSE),"UNKNOWN - "&amp;D557),IF(C557="","",IFERROR(_xlfn.IFS(ISNUMBER(SEARCH("broken button",C557)),"Break",ISNUMBER(SEARCH("broken handle",C557)),"Break",ISNUMBER(SEARCH("shipping damage",C557)),"Break",ISNUMBER(SEARCH("broken",C557)),"Break",ISNUMBER(SEARCH("crack",C557)),"Break",ISNUMBER(SEARCH("snap",C557)),"Break",ISNUMBER(SEARCH("fracture",C557)),"Break",ISNUMBER(SEARCH("bent",C557)),"Material Twisted/Bent",ISNUMBER(SEARCH("twisted",C557)),"Material Twisted/Bent",ISNUMBER(SEARCH("component separat",C557)),"Material Separation",ISNUMBER(SEARCH("separat",C557)),"Material Separation",ISNUMBER(SEARCH("connection",C557)),"Loose or Intermittent Connection",ISNUMBER(SEARCH("loose",C557)),"Loose or Intermittent Connection",ISNUMBER(SEARCH("damaged packaging",C557)),"Packaging Problem",ISNUMBER(SEARCH("packaging",C557)),"Packaging Problem",ISNUMBER(SEARCH("discoloration",C557)),"Contamination",ISNUMBER(SEARCH("tarnish",C557)),"Contamination",ISNUMBER(SEARCH("stain",C557)),"Contamination",ISNUMBER(SEARCH("foreign material",C557)),"Contamination",ISNUMBER(SEARCH("contamina",C557)),"Contamination",ISNUMBER(SEARCH("overheat",C557)),"Overheating of Device",ISNUMBER(SEARCH("excessive heat",C557)),"Overheating of Device",ISNUMBER(SEARCH("hot",C557)),"Overheating of Device",ISNUMBER(SEARCH("noise",C557)),"Noise, Audible",ISNUMBER(SEARCH("sound",C557)),"Noise, Audible",ISNUMBER(SEARCH("loud",C557)),"Noise, Audible",ISNUMBER(SEARCH("fray",C557)),"Material Frayed",ISNUMBER(SEARCH("hole",C557)),"Material Frayed",ISNUMBER(SEARCH("tear",C557)),"Material Frayed",ISNUMBER(SEARCH("worn",C557)),"Material Frayed",ISNUMBER(SEARCH("intermittent",C557)),"Difficult or Delayed Activation",ISNUMBER(SEARCH("delay",C557)),"Difficult or Delayed Activation",ISNUMBER(SEARCH("label",C557)),"Device Markings/Labelling Problem",ISNUMBER(SEARCH("marking",C557)),"Device Markings/Labelling Problem",ISNUMBER(SEARCH("lacerat",C557)),"Defective Device",ISNUMBER(SEARCH("cut",C557)),"Defective Device",ISNUMBER(SEARCH("leak",C557)),"Fluid/Blood Leak",ISNUMBER(SEARCH("missing",C557)),"Component Missing",ISNUMBER(SEARCH("power",C557)),"Complete Loss of Power",ISNUMBER(SEARCH("will not turn on",C557)),"Complete Loss of Power",ISNUMBER(SEARCH("won't turn on",C557)),"Complete Loss of Power",ISNUMBER(SEARCH("does not turn on",C557)),"Complete Loss of Power",ISNUMBER(SEARCH("electrical",C557)),"Electrical Power Problem",ISNUMBER(SEARCH("pressure",C557)),"Detachment of Device or Device Component",ISNUMBER(SEARCH("slip",C557)),"Detachment of Device or Device Component",ISNUMBER(SEARCH("detach",C557)),"Detachment of Device or Device Component",ISNUMBER(SEARCH("stick",C557)),"Mechanical Jam",ISNUMBER(SEARCH("jam",C557)),"Mechanical Jam",ISNUMBER(SEARCH("rigid",C557)),"Mechanical Jam",ISNUMBER(SEARCH("rust",C557)),"Corroded",ISNUMBER(SEARCH("corrod",C557)),"Corroded",ISNUMBER(SEARCH("corrosion",C557)),"Corroded",ISNUMBER(SEARCH("alignment",C557)),"Defective Device",ISNUMBER(SEARCH("adjust",C557)),"Defective Device",ISNUMBER(SEARCH("perform",C557)),"Defective Device",ISNUMBER(SEARCH("malfunction",C557)),"Defective Device",ISNUMBER(SEARCH("defect",C557)),"Defective Device",ISNUMBER(SEARCH("fail",C557)),"Defective Device",ISNUMBER(SEARCH("not work",C557)),"Defective Device",ISNUMBER(SEARCH("doesn't work",C557)),"Defective Device",TRUE,"UNKNOWN"),"UNKNOWN")))</f>
        <v/>
      </c>
      <c r="F557" s="4" t="str">
        <f t="shared" si="8"/>
        <v/>
      </c>
      <c r="G557" s="363" t="str">
        <f>IF(E557="","",IFERROR(VLOOKUP(E557,Codes!$L$2:$N$409,3,FALSE),"—"))</f>
        <v/>
      </c>
      <c r="H557" s="88"/>
      <c r="I557" s="88"/>
    </row>
    <row r="558" spans="1:9" ht="13.15" x14ac:dyDescent="0.35">
      <c r="A558" s="434"/>
      <c r="B558" s="436"/>
      <c r="C558" s="437"/>
      <c r="D558" s="434"/>
      <c r="E558" s="93" t="str" cm="1">
        <f t="array" ref="E558">IF(D558&lt;&gt;"",IFERROR(VLOOKUP(D558,Codes!$K$2:$L$409,2,FALSE),"UNKNOWN - "&amp;D558),IF(C558="","",IFERROR(_xlfn.IFS(ISNUMBER(SEARCH("broken button",C558)),"Break",ISNUMBER(SEARCH("broken handle",C558)),"Break",ISNUMBER(SEARCH("shipping damage",C558)),"Break",ISNUMBER(SEARCH("broken",C558)),"Break",ISNUMBER(SEARCH("crack",C558)),"Break",ISNUMBER(SEARCH("snap",C558)),"Break",ISNUMBER(SEARCH("fracture",C558)),"Break",ISNUMBER(SEARCH("bent",C558)),"Material Twisted/Bent",ISNUMBER(SEARCH("twisted",C558)),"Material Twisted/Bent",ISNUMBER(SEARCH("component separat",C558)),"Material Separation",ISNUMBER(SEARCH("separat",C558)),"Material Separation",ISNUMBER(SEARCH("connection",C558)),"Loose or Intermittent Connection",ISNUMBER(SEARCH("loose",C558)),"Loose or Intermittent Connection",ISNUMBER(SEARCH("damaged packaging",C558)),"Packaging Problem",ISNUMBER(SEARCH("packaging",C558)),"Packaging Problem",ISNUMBER(SEARCH("discoloration",C558)),"Contamination",ISNUMBER(SEARCH("tarnish",C558)),"Contamination",ISNUMBER(SEARCH("stain",C558)),"Contamination",ISNUMBER(SEARCH("foreign material",C558)),"Contamination",ISNUMBER(SEARCH("contamina",C558)),"Contamination",ISNUMBER(SEARCH("overheat",C558)),"Overheating of Device",ISNUMBER(SEARCH("excessive heat",C558)),"Overheating of Device",ISNUMBER(SEARCH("hot",C558)),"Overheating of Device",ISNUMBER(SEARCH("noise",C558)),"Noise, Audible",ISNUMBER(SEARCH("sound",C558)),"Noise, Audible",ISNUMBER(SEARCH("loud",C558)),"Noise, Audible",ISNUMBER(SEARCH("fray",C558)),"Material Frayed",ISNUMBER(SEARCH("hole",C558)),"Material Frayed",ISNUMBER(SEARCH("tear",C558)),"Material Frayed",ISNUMBER(SEARCH("worn",C558)),"Material Frayed",ISNUMBER(SEARCH("intermittent",C558)),"Difficult or Delayed Activation",ISNUMBER(SEARCH("delay",C558)),"Difficult or Delayed Activation",ISNUMBER(SEARCH("label",C558)),"Device Markings/Labelling Problem",ISNUMBER(SEARCH("marking",C558)),"Device Markings/Labelling Problem",ISNUMBER(SEARCH("lacerat",C558)),"Defective Device",ISNUMBER(SEARCH("cut",C558)),"Defective Device",ISNUMBER(SEARCH("leak",C558)),"Fluid/Blood Leak",ISNUMBER(SEARCH("missing",C558)),"Component Missing",ISNUMBER(SEARCH("power",C558)),"Complete Loss of Power",ISNUMBER(SEARCH("will not turn on",C558)),"Complete Loss of Power",ISNUMBER(SEARCH("won't turn on",C558)),"Complete Loss of Power",ISNUMBER(SEARCH("does not turn on",C558)),"Complete Loss of Power",ISNUMBER(SEARCH("electrical",C558)),"Electrical Power Problem",ISNUMBER(SEARCH("pressure",C558)),"Detachment of Device or Device Component",ISNUMBER(SEARCH("slip",C558)),"Detachment of Device or Device Component",ISNUMBER(SEARCH("detach",C558)),"Detachment of Device or Device Component",ISNUMBER(SEARCH("stick",C558)),"Mechanical Jam",ISNUMBER(SEARCH("jam",C558)),"Mechanical Jam",ISNUMBER(SEARCH("rigid",C558)),"Mechanical Jam",ISNUMBER(SEARCH("rust",C558)),"Corroded",ISNUMBER(SEARCH("corrod",C558)),"Corroded",ISNUMBER(SEARCH("corrosion",C558)),"Corroded",ISNUMBER(SEARCH("alignment",C558)),"Defective Device",ISNUMBER(SEARCH("adjust",C558)),"Defective Device",ISNUMBER(SEARCH("perform",C558)),"Defective Device",ISNUMBER(SEARCH("malfunction",C558)),"Defective Device",ISNUMBER(SEARCH("defect",C558)),"Defective Device",ISNUMBER(SEARCH("fail",C558)),"Defective Device",ISNUMBER(SEARCH("not work",C558)),"Defective Device",ISNUMBER(SEARCH("doesn't work",C558)),"Defective Device",TRUE,"UNKNOWN"),"UNKNOWN")))</f>
        <v/>
      </c>
      <c r="F558" s="4" t="str">
        <f t="shared" si="8"/>
        <v/>
      </c>
      <c r="G558" s="363" t="str">
        <f>IF(E558="","",IFERROR(VLOOKUP(E558,Codes!$L$2:$N$409,3,FALSE),"—"))</f>
        <v/>
      </c>
      <c r="H558" s="88"/>
      <c r="I558" s="88"/>
    </row>
    <row r="559" spans="1:9" ht="13.15" x14ac:dyDescent="0.35">
      <c r="A559" s="435"/>
      <c r="B559" s="436"/>
      <c r="C559" s="438"/>
      <c r="D559" s="435"/>
      <c r="E559" s="93" t="str" cm="1">
        <f t="array" ref="E559">IF(D559&lt;&gt;"",IFERROR(VLOOKUP(D559,Codes!$K$2:$L$409,2,FALSE),"UNKNOWN - "&amp;D559),IF(C559="","",IFERROR(_xlfn.IFS(ISNUMBER(SEARCH("broken button",C559)),"Break",ISNUMBER(SEARCH("broken handle",C559)),"Break",ISNUMBER(SEARCH("shipping damage",C559)),"Break",ISNUMBER(SEARCH("broken",C559)),"Break",ISNUMBER(SEARCH("crack",C559)),"Break",ISNUMBER(SEARCH("snap",C559)),"Break",ISNUMBER(SEARCH("fracture",C559)),"Break",ISNUMBER(SEARCH("bent",C559)),"Material Twisted/Bent",ISNUMBER(SEARCH("twisted",C559)),"Material Twisted/Bent",ISNUMBER(SEARCH("component separat",C559)),"Material Separation",ISNUMBER(SEARCH("separat",C559)),"Material Separation",ISNUMBER(SEARCH("connection",C559)),"Loose or Intermittent Connection",ISNUMBER(SEARCH("loose",C559)),"Loose or Intermittent Connection",ISNUMBER(SEARCH("damaged packaging",C559)),"Packaging Problem",ISNUMBER(SEARCH("packaging",C559)),"Packaging Problem",ISNUMBER(SEARCH("discoloration",C559)),"Contamination",ISNUMBER(SEARCH("tarnish",C559)),"Contamination",ISNUMBER(SEARCH("stain",C559)),"Contamination",ISNUMBER(SEARCH("foreign material",C559)),"Contamination",ISNUMBER(SEARCH("contamina",C559)),"Contamination",ISNUMBER(SEARCH("overheat",C559)),"Overheating of Device",ISNUMBER(SEARCH("excessive heat",C559)),"Overheating of Device",ISNUMBER(SEARCH("hot",C559)),"Overheating of Device",ISNUMBER(SEARCH("noise",C559)),"Noise, Audible",ISNUMBER(SEARCH("sound",C559)),"Noise, Audible",ISNUMBER(SEARCH("loud",C559)),"Noise, Audible",ISNUMBER(SEARCH("fray",C559)),"Material Frayed",ISNUMBER(SEARCH("hole",C559)),"Material Frayed",ISNUMBER(SEARCH("tear",C559)),"Material Frayed",ISNUMBER(SEARCH("worn",C559)),"Material Frayed",ISNUMBER(SEARCH("intermittent",C559)),"Difficult or Delayed Activation",ISNUMBER(SEARCH("delay",C559)),"Difficult or Delayed Activation",ISNUMBER(SEARCH("label",C559)),"Device Markings/Labelling Problem",ISNUMBER(SEARCH("marking",C559)),"Device Markings/Labelling Problem",ISNUMBER(SEARCH("lacerat",C559)),"Defective Device",ISNUMBER(SEARCH("cut",C559)),"Defective Device",ISNUMBER(SEARCH("leak",C559)),"Fluid/Blood Leak",ISNUMBER(SEARCH("missing",C559)),"Component Missing",ISNUMBER(SEARCH("power",C559)),"Complete Loss of Power",ISNUMBER(SEARCH("will not turn on",C559)),"Complete Loss of Power",ISNUMBER(SEARCH("won't turn on",C559)),"Complete Loss of Power",ISNUMBER(SEARCH("does not turn on",C559)),"Complete Loss of Power",ISNUMBER(SEARCH("electrical",C559)),"Electrical Power Problem",ISNUMBER(SEARCH("pressure",C559)),"Detachment of Device or Device Component",ISNUMBER(SEARCH("slip",C559)),"Detachment of Device or Device Component",ISNUMBER(SEARCH("detach",C559)),"Detachment of Device or Device Component",ISNUMBER(SEARCH("stick",C559)),"Mechanical Jam",ISNUMBER(SEARCH("jam",C559)),"Mechanical Jam",ISNUMBER(SEARCH("rigid",C559)),"Mechanical Jam",ISNUMBER(SEARCH("rust",C559)),"Corroded",ISNUMBER(SEARCH("corrod",C559)),"Corroded",ISNUMBER(SEARCH("corrosion",C559)),"Corroded",ISNUMBER(SEARCH("alignment",C559)),"Defective Device",ISNUMBER(SEARCH("adjust",C559)),"Defective Device",ISNUMBER(SEARCH("perform",C559)),"Defective Device",ISNUMBER(SEARCH("malfunction",C559)),"Defective Device",ISNUMBER(SEARCH("defect",C559)),"Defective Device",ISNUMBER(SEARCH("fail",C559)),"Defective Device",ISNUMBER(SEARCH("not work",C559)),"Defective Device",ISNUMBER(SEARCH("doesn't work",C559)),"Defective Device",TRUE,"UNKNOWN"),"UNKNOWN")))</f>
        <v/>
      </c>
      <c r="F559" s="4" t="str">
        <f t="shared" si="8"/>
        <v/>
      </c>
      <c r="G559" s="363" t="str">
        <f>IF(E559="","",IFERROR(VLOOKUP(E559,Codes!$L$2:$N$409,3,FALSE),"—"))</f>
        <v/>
      </c>
      <c r="H559" s="88"/>
      <c r="I559" s="88"/>
    </row>
    <row r="560" spans="1:9" ht="13.15" x14ac:dyDescent="0.35">
      <c r="A560" s="435"/>
      <c r="B560" s="436"/>
      <c r="C560" s="438"/>
      <c r="D560" s="435"/>
      <c r="E560" s="93" t="str" cm="1">
        <f t="array" ref="E560">IF(D560&lt;&gt;"",IFERROR(VLOOKUP(D560,Codes!$K$2:$L$409,2,FALSE),"UNKNOWN - "&amp;D560),IF(C560="","",IFERROR(_xlfn.IFS(ISNUMBER(SEARCH("broken button",C560)),"Break",ISNUMBER(SEARCH("broken handle",C560)),"Break",ISNUMBER(SEARCH("shipping damage",C560)),"Break",ISNUMBER(SEARCH("broken",C560)),"Break",ISNUMBER(SEARCH("crack",C560)),"Break",ISNUMBER(SEARCH("snap",C560)),"Break",ISNUMBER(SEARCH("fracture",C560)),"Break",ISNUMBER(SEARCH("bent",C560)),"Material Twisted/Bent",ISNUMBER(SEARCH("twisted",C560)),"Material Twisted/Bent",ISNUMBER(SEARCH("component separat",C560)),"Material Separation",ISNUMBER(SEARCH("separat",C560)),"Material Separation",ISNUMBER(SEARCH("connection",C560)),"Loose or Intermittent Connection",ISNUMBER(SEARCH("loose",C560)),"Loose or Intermittent Connection",ISNUMBER(SEARCH("damaged packaging",C560)),"Packaging Problem",ISNUMBER(SEARCH("packaging",C560)),"Packaging Problem",ISNUMBER(SEARCH("discoloration",C560)),"Contamination",ISNUMBER(SEARCH("tarnish",C560)),"Contamination",ISNUMBER(SEARCH("stain",C560)),"Contamination",ISNUMBER(SEARCH("foreign material",C560)),"Contamination",ISNUMBER(SEARCH("contamina",C560)),"Contamination",ISNUMBER(SEARCH("overheat",C560)),"Overheating of Device",ISNUMBER(SEARCH("excessive heat",C560)),"Overheating of Device",ISNUMBER(SEARCH("hot",C560)),"Overheating of Device",ISNUMBER(SEARCH("noise",C560)),"Noise, Audible",ISNUMBER(SEARCH("sound",C560)),"Noise, Audible",ISNUMBER(SEARCH("loud",C560)),"Noise, Audible",ISNUMBER(SEARCH("fray",C560)),"Material Frayed",ISNUMBER(SEARCH("hole",C560)),"Material Frayed",ISNUMBER(SEARCH("tear",C560)),"Material Frayed",ISNUMBER(SEARCH("worn",C560)),"Material Frayed",ISNUMBER(SEARCH("intermittent",C560)),"Difficult or Delayed Activation",ISNUMBER(SEARCH("delay",C560)),"Difficult or Delayed Activation",ISNUMBER(SEARCH("label",C560)),"Device Markings/Labelling Problem",ISNUMBER(SEARCH("marking",C560)),"Device Markings/Labelling Problem",ISNUMBER(SEARCH("lacerat",C560)),"Defective Device",ISNUMBER(SEARCH("cut",C560)),"Defective Device",ISNUMBER(SEARCH("leak",C560)),"Fluid/Blood Leak",ISNUMBER(SEARCH("missing",C560)),"Component Missing",ISNUMBER(SEARCH("power",C560)),"Complete Loss of Power",ISNUMBER(SEARCH("will not turn on",C560)),"Complete Loss of Power",ISNUMBER(SEARCH("won't turn on",C560)),"Complete Loss of Power",ISNUMBER(SEARCH("does not turn on",C560)),"Complete Loss of Power",ISNUMBER(SEARCH("electrical",C560)),"Electrical Power Problem",ISNUMBER(SEARCH("pressure",C560)),"Detachment of Device or Device Component",ISNUMBER(SEARCH("slip",C560)),"Detachment of Device or Device Component",ISNUMBER(SEARCH("detach",C560)),"Detachment of Device or Device Component",ISNUMBER(SEARCH("stick",C560)),"Mechanical Jam",ISNUMBER(SEARCH("jam",C560)),"Mechanical Jam",ISNUMBER(SEARCH("rigid",C560)),"Mechanical Jam",ISNUMBER(SEARCH("rust",C560)),"Corroded",ISNUMBER(SEARCH("corrod",C560)),"Corroded",ISNUMBER(SEARCH("corrosion",C560)),"Corroded",ISNUMBER(SEARCH("alignment",C560)),"Defective Device",ISNUMBER(SEARCH("adjust",C560)),"Defective Device",ISNUMBER(SEARCH("perform",C560)),"Defective Device",ISNUMBER(SEARCH("malfunction",C560)),"Defective Device",ISNUMBER(SEARCH("defect",C560)),"Defective Device",ISNUMBER(SEARCH("fail",C560)),"Defective Device",ISNUMBER(SEARCH("not work",C560)),"Defective Device",ISNUMBER(SEARCH("doesn't work",C560)),"Defective Device",TRUE,"UNKNOWN"),"UNKNOWN")))</f>
        <v/>
      </c>
      <c r="F560" s="4" t="str">
        <f t="shared" si="8"/>
        <v/>
      </c>
      <c r="G560" s="363" t="str">
        <f>IF(E560="","",IFERROR(VLOOKUP(E560,Codes!$L$2:$N$409,3,FALSE),"—"))</f>
        <v/>
      </c>
      <c r="H560" s="88"/>
      <c r="I560" s="88"/>
    </row>
    <row r="561" spans="1:9" ht="13.15" x14ac:dyDescent="0.35">
      <c r="A561" s="435"/>
      <c r="B561" s="436"/>
      <c r="C561" s="438"/>
      <c r="D561" s="435"/>
      <c r="E561" s="93" t="str" cm="1">
        <f t="array" ref="E561">IF(D561&lt;&gt;"",IFERROR(VLOOKUP(D561,Codes!$K$2:$L$409,2,FALSE),"UNKNOWN - "&amp;D561),IF(C561="","",IFERROR(_xlfn.IFS(ISNUMBER(SEARCH("broken button",C561)),"Break",ISNUMBER(SEARCH("broken handle",C561)),"Break",ISNUMBER(SEARCH("shipping damage",C561)),"Break",ISNUMBER(SEARCH("broken",C561)),"Break",ISNUMBER(SEARCH("crack",C561)),"Break",ISNUMBER(SEARCH("snap",C561)),"Break",ISNUMBER(SEARCH("fracture",C561)),"Break",ISNUMBER(SEARCH("bent",C561)),"Material Twisted/Bent",ISNUMBER(SEARCH("twisted",C561)),"Material Twisted/Bent",ISNUMBER(SEARCH("component separat",C561)),"Material Separation",ISNUMBER(SEARCH("separat",C561)),"Material Separation",ISNUMBER(SEARCH("connection",C561)),"Loose or Intermittent Connection",ISNUMBER(SEARCH("loose",C561)),"Loose or Intermittent Connection",ISNUMBER(SEARCH("damaged packaging",C561)),"Packaging Problem",ISNUMBER(SEARCH("packaging",C561)),"Packaging Problem",ISNUMBER(SEARCH("discoloration",C561)),"Contamination",ISNUMBER(SEARCH("tarnish",C561)),"Contamination",ISNUMBER(SEARCH("stain",C561)),"Contamination",ISNUMBER(SEARCH("foreign material",C561)),"Contamination",ISNUMBER(SEARCH("contamina",C561)),"Contamination",ISNUMBER(SEARCH("overheat",C561)),"Overheating of Device",ISNUMBER(SEARCH("excessive heat",C561)),"Overheating of Device",ISNUMBER(SEARCH("hot",C561)),"Overheating of Device",ISNUMBER(SEARCH("noise",C561)),"Noise, Audible",ISNUMBER(SEARCH("sound",C561)),"Noise, Audible",ISNUMBER(SEARCH("loud",C561)),"Noise, Audible",ISNUMBER(SEARCH("fray",C561)),"Material Frayed",ISNUMBER(SEARCH("hole",C561)),"Material Frayed",ISNUMBER(SEARCH("tear",C561)),"Material Frayed",ISNUMBER(SEARCH("worn",C561)),"Material Frayed",ISNUMBER(SEARCH("intermittent",C561)),"Difficult or Delayed Activation",ISNUMBER(SEARCH("delay",C561)),"Difficult or Delayed Activation",ISNUMBER(SEARCH("label",C561)),"Device Markings/Labelling Problem",ISNUMBER(SEARCH("marking",C561)),"Device Markings/Labelling Problem",ISNUMBER(SEARCH("lacerat",C561)),"Defective Device",ISNUMBER(SEARCH("cut",C561)),"Defective Device",ISNUMBER(SEARCH("leak",C561)),"Fluid/Blood Leak",ISNUMBER(SEARCH("missing",C561)),"Component Missing",ISNUMBER(SEARCH("power",C561)),"Complete Loss of Power",ISNUMBER(SEARCH("will not turn on",C561)),"Complete Loss of Power",ISNUMBER(SEARCH("won't turn on",C561)),"Complete Loss of Power",ISNUMBER(SEARCH("does not turn on",C561)),"Complete Loss of Power",ISNUMBER(SEARCH("electrical",C561)),"Electrical Power Problem",ISNUMBER(SEARCH("pressure",C561)),"Detachment of Device or Device Component",ISNUMBER(SEARCH("slip",C561)),"Detachment of Device or Device Component",ISNUMBER(SEARCH("detach",C561)),"Detachment of Device or Device Component",ISNUMBER(SEARCH("stick",C561)),"Mechanical Jam",ISNUMBER(SEARCH("jam",C561)),"Mechanical Jam",ISNUMBER(SEARCH("rigid",C561)),"Mechanical Jam",ISNUMBER(SEARCH("rust",C561)),"Corroded",ISNUMBER(SEARCH("corrod",C561)),"Corroded",ISNUMBER(SEARCH("corrosion",C561)),"Corroded",ISNUMBER(SEARCH("alignment",C561)),"Defective Device",ISNUMBER(SEARCH("adjust",C561)),"Defective Device",ISNUMBER(SEARCH("perform",C561)),"Defective Device",ISNUMBER(SEARCH("malfunction",C561)),"Defective Device",ISNUMBER(SEARCH("defect",C561)),"Defective Device",ISNUMBER(SEARCH("fail",C561)),"Defective Device",ISNUMBER(SEARCH("not work",C561)),"Defective Device",ISNUMBER(SEARCH("doesn't work",C561)),"Defective Device",TRUE,"UNKNOWN"),"UNKNOWN")))</f>
        <v/>
      </c>
      <c r="F561" s="4" t="str">
        <f t="shared" si="8"/>
        <v/>
      </c>
      <c r="G561" s="363" t="str">
        <f>IF(E561="","",IFERROR(VLOOKUP(E561,Codes!$L$2:$N$409,3,FALSE),"—"))</f>
        <v/>
      </c>
      <c r="H561" s="88"/>
      <c r="I561" s="88"/>
    </row>
    <row r="562" spans="1:9" ht="13.15" x14ac:dyDescent="0.35">
      <c r="A562" s="434"/>
      <c r="B562" s="436"/>
      <c r="C562" s="437"/>
      <c r="D562" s="434"/>
      <c r="E562" s="93" t="str" cm="1">
        <f t="array" ref="E562">IF(D562&lt;&gt;"",IFERROR(VLOOKUP(D562,Codes!$K$2:$L$409,2,FALSE),"UNKNOWN - "&amp;D562),IF(C562="","",IFERROR(_xlfn.IFS(ISNUMBER(SEARCH("broken button",C562)),"Break",ISNUMBER(SEARCH("broken handle",C562)),"Break",ISNUMBER(SEARCH("shipping damage",C562)),"Break",ISNUMBER(SEARCH("broken",C562)),"Break",ISNUMBER(SEARCH("crack",C562)),"Break",ISNUMBER(SEARCH("snap",C562)),"Break",ISNUMBER(SEARCH("fracture",C562)),"Break",ISNUMBER(SEARCH("bent",C562)),"Material Twisted/Bent",ISNUMBER(SEARCH("twisted",C562)),"Material Twisted/Bent",ISNUMBER(SEARCH("component separat",C562)),"Material Separation",ISNUMBER(SEARCH("separat",C562)),"Material Separation",ISNUMBER(SEARCH("connection",C562)),"Loose or Intermittent Connection",ISNUMBER(SEARCH("loose",C562)),"Loose or Intermittent Connection",ISNUMBER(SEARCH("damaged packaging",C562)),"Packaging Problem",ISNUMBER(SEARCH("packaging",C562)),"Packaging Problem",ISNUMBER(SEARCH("discoloration",C562)),"Contamination",ISNUMBER(SEARCH("tarnish",C562)),"Contamination",ISNUMBER(SEARCH("stain",C562)),"Contamination",ISNUMBER(SEARCH("foreign material",C562)),"Contamination",ISNUMBER(SEARCH("contamina",C562)),"Contamination",ISNUMBER(SEARCH("overheat",C562)),"Overheating of Device",ISNUMBER(SEARCH("excessive heat",C562)),"Overheating of Device",ISNUMBER(SEARCH("hot",C562)),"Overheating of Device",ISNUMBER(SEARCH("noise",C562)),"Noise, Audible",ISNUMBER(SEARCH("sound",C562)),"Noise, Audible",ISNUMBER(SEARCH("loud",C562)),"Noise, Audible",ISNUMBER(SEARCH("fray",C562)),"Material Frayed",ISNUMBER(SEARCH("hole",C562)),"Material Frayed",ISNUMBER(SEARCH("tear",C562)),"Material Frayed",ISNUMBER(SEARCH("worn",C562)),"Material Frayed",ISNUMBER(SEARCH("intermittent",C562)),"Difficult or Delayed Activation",ISNUMBER(SEARCH("delay",C562)),"Difficult or Delayed Activation",ISNUMBER(SEARCH("label",C562)),"Device Markings/Labelling Problem",ISNUMBER(SEARCH("marking",C562)),"Device Markings/Labelling Problem",ISNUMBER(SEARCH("lacerat",C562)),"Defective Device",ISNUMBER(SEARCH("cut",C562)),"Defective Device",ISNUMBER(SEARCH("leak",C562)),"Fluid/Blood Leak",ISNUMBER(SEARCH("missing",C562)),"Component Missing",ISNUMBER(SEARCH("power",C562)),"Complete Loss of Power",ISNUMBER(SEARCH("will not turn on",C562)),"Complete Loss of Power",ISNUMBER(SEARCH("won't turn on",C562)),"Complete Loss of Power",ISNUMBER(SEARCH("does not turn on",C562)),"Complete Loss of Power",ISNUMBER(SEARCH("electrical",C562)),"Electrical Power Problem",ISNUMBER(SEARCH("pressure",C562)),"Detachment of Device or Device Component",ISNUMBER(SEARCH("slip",C562)),"Detachment of Device or Device Component",ISNUMBER(SEARCH("detach",C562)),"Detachment of Device or Device Component",ISNUMBER(SEARCH("stick",C562)),"Mechanical Jam",ISNUMBER(SEARCH("jam",C562)),"Mechanical Jam",ISNUMBER(SEARCH("rigid",C562)),"Mechanical Jam",ISNUMBER(SEARCH("rust",C562)),"Corroded",ISNUMBER(SEARCH("corrod",C562)),"Corroded",ISNUMBER(SEARCH("corrosion",C562)),"Corroded",ISNUMBER(SEARCH("alignment",C562)),"Defective Device",ISNUMBER(SEARCH("adjust",C562)),"Defective Device",ISNUMBER(SEARCH("perform",C562)),"Defective Device",ISNUMBER(SEARCH("malfunction",C562)),"Defective Device",ISNUMBER(SEARCH("defect",C562)),"Defective Device",ISNUMBER(SEARCH("fail",C562)),"Defective Device",ISNUMBER(SEARCH("not work",C562)),"Defective Device",ISNUMBER(SEARCH("doesn't work",C562)),"Defective Device",TRUE,"UNKNOWN"),"UNKNOWN")))</f>
        <v/>
      </c>
      <c r="F562" s="4" t="str">
        <f t="shared" si="8"/>
        <v/>
      </c>
      <c r="G562" s="363" t="str">
        <f>IF(E562="","",IFERROR(VLOOKUP(E562,Codes!$L$2:$N$409,3,FALSE),"—"))</f>
        <v/>
      </c>
      <c r="H562" s="88"/>
      <c r="I562" s="88"/>
    </row>
    <row r="563" spans="1:9" ht="13.15" x14ac:dyDescent="0.35">
      <c r="A563" s="434"/>
      <c r="B563" s="436"/>
      <c r="C563" s="437"/>
      <c r="D563" s="434"/>
      <c r="E563" s="93" t="str" cm="1">
        <f t="array" ref="E563">IF(D563&lt;&gt;"",IFERROR(VLOOKUP(D563,Codes!$K$2:$L$409,2,FALSE),"UNKNOWN - "&amp;D563),IF(C563="","",IFERROR(_xlfn.IFS(ISNUMBER(SEARCH("broken button",C563)),"Break",ISNUMBER(SEARCH("broken handle",C563)),"Break",ISNUMBER(SEARCH("shipping damage",C563)),"Break",ISNUMBER(SEARCH("broken",C563)),"Break",ISNUMBER(SEARCH("crack",C563)),"Break",ISNUMBER(SEARCH("snap",C563)),"Break",ISNUMBER(SEARCH("fracture",C563)),"Break",ISNUMBER(SEARCH("bent",C563)),"Material Twisted/Bent",ISNUMBER(SEARCH("twisted",C563)),"Material Twisted/Bent",ISNUMBER(SEARCH("component separat",C563)),"Material Separation",ISNUMBER(SEARCH("separat",C563)),"Material Separation",ISNUMBER(SEARCH("connection",C563)),"Loose or Intermittent Connection",ISNUMBER(SEARCH("loose",C563)),"Loose or Intermittent Connection",ISNUMBER(SEARCH("damaged packaging",C563)),"Packaging Problem",ISNUMBER(SEARCH("packaging",C563)),"Packaging Problem",ISNUMBER(SEARCH("discoloration",C563)),"Contamination",ISNUMBER(SEARCH("tarnish",C563)),"Contamination",ISNUMBER(SEARCH("stain",C563)),"Contamination",ISNUMBER(SEARCH("foreign material",C563)),"Contamination",ISNUMBER(SEARCH("contamina",C563)),"Contamination",ISNUMBER(SEARCH("overheat",C563)),"Overheating of Device",ISNUMBER(SEARCH("excessive heat",C563)),"Overheating of Device",ISNUMBER(SEARCH("hot",C563)),"Overheating of Device",ISNUMBER(SEARCH("noise",C563)),"Noise, Audible",ISNUMBER(SEARCH("sound",C563)),"Noise, Audible",ISNUMBER(SEARCH("loud",C563)),"Noise, Audible",ISNUMBER(SEARCH("fray",C563)),"Material Frayed",ISNUMBER(SEARCH("hole",C563)),"Material Frayed",ISNUMBER(SEARCH("tear",C563)),"Material Frayed",ISNUMBER(SEARCH("worn",C563)),"Material Frayed",ISNUMBER(SEARCH("intermittent",C563)),"Difficult or Delayed Activation",ISNUMBER(SEARCH("delay",C563)),"Difficult or Delayed Activation",ISNUMBER(SEARCH("label",C563)),"Device Markings/Labelling Problem",ISNUMBER(SEARCH("marking",C563)),"Device Markings/Labelling Problem",ISNUMBER(SEARCH("lacerat",C563)),"Defective Device",ISNUMBER(SEARCH("cut",C563)),"Defective Device",ISNUMBER(SEARCH("leak",C563)),"Fluid/Blood Leak",ISNUMBER(SEARCH("missing",C563)),"Component Missing",ISNUMBER(SEARCH("power",C563)),"Complete Loss of Power",ISNUMBER(SEARCH("will not turn on",C563)),"Complete Loss of Power",ISNUMBER(SEARCH("won't turn on",C563)),"Complete Loss of Power",ISNUMBER(SEARCH("does not turn on",C563)),"Complete Loss of Power",ISNUMBER(SEARCH("electrical",C563)),"Electrical Power Problem",ISNUMBER(SEARCH("pressure",C563)),"Detachment of Device or Device Component",ISNUMBER(SEARCH("slip",C563)),"Detachment of Device or Device Component",ISNUMBER(SEARCH("detach",C563)),"Detachment of Device or Device Component",ISNUMBER(SEARCH("stick",C563)),"Mechanical Jam",ISNUMBER(SEARCH("jam",C563)),"Mechanical Jam",ISNUMBER(SEARCH("rigid",C563)),"Mechanical Jam",ISNUMBER(SEARCH("rust",C563)),"Corroded",ISNUMBER(SEARCH("corrod",C563)),"Corroded",ISNUMBER(SEARCH("corrosion",C563)),"Corroded",ISNUMBER(SEARCH("alignment",C563)),"Defective Device",ISNUMBER(SEARCH("adjust",C563)),"Defective Device",ISNUMBER(SEARCH("perform",C563)),"Defective Device",ISNUMBER(SEARCH("malfunction",C563)),"Defective Device",ISNUMBER(SEARCH("defect",C563)),"Defective Device",ISNUMBER(SEARCH("fail",C563)),"Defective Device",ISNUMBER(SEARCH("not work",C563)),"Defective Device",ISNUMBER(SEARCH("doesn't work",C563)),"Defective Device",TRUE,"UNKNOWN"),"UNKNOWN")))</f>
        <v/>
      </c>
      <c r="F563" s="4" t="str">
        <f t="shared" si="8"/>
        <v/>
      </c>
      <c r="G563" s="363" t="str">
        <f>IF(E563="","",IFERROR(VLOOKUP(E563,Codes!$L$2:$N$409,3,FALSE),"—"))</f>
        <v/>
      </c>
      <c r="H563" s="88"/>
      <c r="I563" s="88"/>
    </row>
    <row r="564" spans="1:9" ht="13.15" x14ac:dyDescent="0.35">
      <c r="A564" s="435"/>
      <c r="B564" s="436"/>
      <c r="C564" s="438"/>
      <c r="D564" s="435"/>
      <c r="E564" s="93" t="str" cm="1">
        <f t="array" ref="E564">IF(D564&lt;&gt;"",IFERROR(VLOOKUP(D564,Codes!$K$2:$L$409,2,FALSE),"UNKNOWN - "&amp;D564),IF(C564="","",IFERROR(_xlfn.IFS(ISNUMBER(SEARCH("broken button",C564)),"Break",ISNUMBER(SEARCH("broken handle",C564)),"Break",ISNUMBER(SEARCH("shipping damage",C564)),"Break",ISNUMBER(SEARCH("broken",C564)),"Break",ISNUMBER(SEARCH("crack",C564)),"Break",ISNUMBER(SEARCH("snap",C564)),"Break",ISNUMBER(SEARCH("fracture",C564)),"Break",ISNUMBER(SEARCH("bent",C564)),"Material Twisted/Bent",ISNUMBER(SEARCH("twisted",C564)),"Material Twisted/Bent",ISNUMBER(SEARCH("component separat",C564)),"Material Separation",ISNUMBER(SEARCH("separat",C564)),"Material Separation",ISNUMBER(SEARCH("connection",C564)),"Loose or Intermittent Connection",ISNUMBER(SEARCH("loose",C564)),"Loose or Intermittent Connection",ISNUMBER(SEARCH("damaged packaging",C564)),"Packaging Problem",ISNUMBER(SEARCH("packaging",C564)),"Packaging Problem",ISNUMBER(SEARCH("discoloration",C564)),"Contamination",ISNUMBER(SEARCH("tarnish",C564)),"Contamination",ISNUMBER(SEARCH("stain",C564)),"Contamination",ISNUMBER(SEARCH("foreign material",C564)),"Contamination",ISNUMBER(SEARCH("contamina",C564)),"Contamination",ISNUMBER(SEARCH("overheat",C564)),"Overheating of Device",ISNUMBER(SEARCH("excessive heat",C564)),"Overheating of Device",ISNUMBER(SEARCH("hot",C564)),"Overheating of Device",ISNUMBER(SEARCH("noise",C564)),"Noise, Audible",ISNUMBER(SEARCH("sound",C564)),"Noise, Audible",ISNUMBER(SEARCH("loud",C564)),"Noise, Audible",ISNUMBER(SEARCH("fray",C564)),"Material Frayed",ISNUMBER(SEARCH("hole",C564)),"Material Frayed",ISNUMBER(SEARCH("tear",C564)),"Material Frayed",ISNUMBER(SEARCH("worn",C564)),"Material Frayed",ISNUMBER(SEARCH("intermittent",C564)),"Difficult or Delayed Activation",ISNUMBER(SEARCH("delay",C564)),"Difficult or Delayed Activation",ISNUMBER(SEARCH("label",C564)),"Device Markings/Labelling Problem",ISNUMBER(SEARCH("marking",C564)),"Device Markings/Labelling Problem",ISNUMBER(SEARCH("lacerat",C564)),"Defective Device",ISNUMBER(SEARCH("cut",C564)),"Defective Device",ISNUMBER(SEARCH("leak",C564)),"Fluid/Blood Leak",ISNUMBER(SEARCH("missing",C564)),"Component Missing",ISNUMBER(SEARCH("power",C564)),"Complete Loss of Power",ISNUMBER(SEARCH("will not turn on",C564)),"Complete Loss of Power",ISNUMBER(SEARCH("won't turn on",C564)),"Complete Loss of Power",ISNUMBER(SEARCH("does not turn on",C564)),"Complete Loss of Power",ISNUMBER(SEARCH("electrical",C564)),"Electrical Power Problem",ISNUMBER(SEARCH("pressure",C564)),"Detachment of Device or Device Component",ISNUMBER(SEARCH("slip",C564)),"Detachment of Device or Device Component",ISNUMBER(SEARCH("detach",C564)),"Detachment of Device or Device Component",ISNUMBER(SEARCH("stick",C564)),"Mechanical Jam",ISNUMBER(SEARCH("jam",C564)),"Mechanical Jam",ISNUMBER(SEARCH("rigid",C564)),"Mechanical Jam",ISNUMBER(SEARCH("rust",C564)),"Corroded",ISNUMBER(SEARCH("corrod",C564)),"Corroded",ISNUMBER(SEARCH("corrosion",C564)),"Corroded",ISNUMBER(SEARCH("alignment",C564)),"Defective Device",ISNUMBER(SEARCH("adjust",C564)),"Defective Device",ISNUMBER(SEARCH("perform",C564)),"Defective Device",ISNUMBER(SEARCH("malfunction",C564)),"Defective Device",ISNUMBER(SEARCH("defect",C564)),"Defective Device",ISNUMBER(SEARCH("fail",C564)),"Defective Device",ISNUMBER(SEARCH("not work",C564)),"Defective Device",ISNUMBER(SEARCH("doesn't work",C564)),"Defective Device",TRUE,"UNKNOWN"),"UNKNOWN")))</f>
        <v/>
      </c>
      <c r="F564" s="4" t="str">
        <f t="shared" si="8"/>
        <v/>
      </c>
      <c r="G564" s="363" t="str">
        <f>IF(E564="","",IFERROR(VLOOKUP(E564,Codes!$L$2:$N$409,3,FALSE),"—"))</f>
        <v/>
      </c>
      <c r="H564" s="88"/>
      <c r="I564" s="88"/>
    </row>
    <row r="565" spans="1:9" ht="13.15" x14ac:dyDescent="0.35">
      <c r="A565" s="434"/>
      <c r="B565" s="436"/>
      <c r="C565" s="437"/>
      <c r="D565" s="434"/>
      <c r="E565" s="93" t="str" cm="1">
        <f t="array" ref="E565">IF(D565&lt;&gt;"",IFERROR(VLOOKUP(D565,Codes!$K$2:$L$409,2,FALSE),"UNKNOWN - "&amp;D565),IF(C565="","",IFERROR(_xlfn.IFS(ISNUMBER(SEARCH("broken button",C565)),"Break",ISNUMBER(SEARCH("broken handle",C565)),"Break",ISNUMBER(SEARCH("shipping damage",C565)),"Break",ISNUMBER(SEARCH("broken",C565)),"Break",ISNUMBER(SEARCH("crack",C565)),"Break",ISNUMBER(SEARCH("snap",C565)),"Break",ISNUMBER(SEARCH("fracture",C565)),"Break",ISNUMBER(SEARCH("bent",C565)),"Material Twisted/Bent",ISNUMBER(SEARCH("twisted",C565)),"Material Twisted/Bent",ISNUMBER(SEARCH("component separat",C565)),"Material Separation",ISNUMBER(SEARCH("separat",C565)),"Material Separation",ISNUMBER(SEARCH("connection",C565)),"Loose or Intermittent Connection",ISNUMBER(SEARCH("loose",C565)),"Loose or Intermittent Connection",ISNUMBER(SEARCH("damaged packaging",C565)),"Packaging Problem",ISNUMBER(SEARCH("packaging",C565)),"Packaging Problem",ISNUMBER(SEARCH("discoloration",C565)),"Contamination",ISNUMBER(SEARCH("tarnish",C565)),"Contamination",ISNUMBER(SEARCH("stain",C565)),"Contamination",ISNUMBER(SEARCH("foreign material",C565)),"Contamination",ISNUMBER(SEARCH("contamina",C565)),"Contamination",ISNUMBER(SEARCH("overheat",C565)),"Overheating of Device",ISNUMBER(SEARCH("excessive heat",C565)),"Overheating of Device",ISNUMBER(SEARCH("hot",C565)),"Overheating of Device",ISNUMBER(SEARCH("noise",C565)),"Noise, Audible",ISNUMBER(SEARCH("sound",C565)),"Noise, Audible",ISNUMBER(SEARCH("loud",C565)),"Noise, Audible",ISNUMBER(SEARCH("fray",C565)),"Material Frayed",ISNUMBER(SEARCH("hole",C565)),"Material Frayed",ISNUMBER(SEARCH("tear",C565)),"Material Frayed",ISNUMBER(SEARCH("worn",C565)),"Material Frayed",ISNUMBER(SEARCH("intermittent",C565)),"Difficult or Delayed Activation",ISNUMBER(SEARCH("delay",C565)),"Difficult or Delayed Activation",ISNUMBER(SEARCH("label",C565)),"Device Markings/Labelling Problem",ISNUMBER(SEARCH("marking",C565)),"Device Markings/Labelling Problem",ISNUMBER(SEARCH("lacerat",C565)),"Defective Device",ISNUMBER(SEARCH("cut",C565)),"Defective Device",ISNUMBER(SEARCH("leak",C565)),"Fluid/Blood Leak",ISNUMBER(SEARCH("missing",C565)),"Component Missing",ISNUMBER(SEARCH("power",C565)),"Complete Loss of Power",ISNUMBER(SEARCH("will not turn on",C565)),"Complete Loss of Power",ISNUMBER(SEARCH("won't turn on",C565)),"Complete Loss of Power",ISNUMBER(SEARCH("does not turn on",C565)),"Complete Loss of Power",ISNUMBER(SEARCH("electrical",C565)),"Electrical Power Problem",ISNUMBER(SEARCH("pressure",C565)),"Detachment of Device or Device Component",ISNUMBER(SEARCH("slip",C565)),"Detachment of Device or Device Component",ISNUMBER(SEARCH("detach",C565)),"Detachment of Device or Device Component",ISNUMBER(SEARCH("stick",C565)),"Mechanical Jam",ISNUMBER(SEARCH("jam",C565)),"Mechanical Jam",ISNUMBER(SEARCH("rigid",C565)),"Mechanical Jam",ISNUMBER(SEARCH("rust",C565)),"Corroded",ISNUMBER(SEARCH("corrod",C565)),"Corroded",ISNUMBER(SEARCH("corrosion",C565)),"Corroded",ISNUMBER(SEARCH("alignment",C565)),"Defective Device",ISNUMBER(SEARCH("adjust",C565)),"Defective Device",ISNUMBER(SEARCH("perform",C565)),"Defective Device",ISNUMBER(SEARCH("malfunction",C565)),"Defective Device",ISNUMBER(SEARCH("defect",C565)),"Defective Device",ISNUMBER(SEARCH("fail",C565)),"Defective Device",ISNUMBER(SEARCH("not work",C565)),"Defective Device",ISNUMBER(SEARCH("doesn't work",C565)),"Defective Device",TRUE,"UNKNOWN"),"UNKNOWN")))</f>
        <v/>
      </c>
      <c r="F565" s="4" t="str">
        <f t="shared" si="8"/>
        <v/>
      </c>
      <c r="G565" s="363" t="str">
        <f>IF(E565="","",IFERROR(VLOOKUP(E565,Codes!$L$2:$N$409,3,FALSE),"—"))</f>
        <v/>
      </c>
      <c r="H565" s="88"/>
      <c r="I565" s="88"/>
    </row>
    <row r="566" spans="1:9" ht="13.15" x14ac:dyDescent="0.35">
      <c r="A566" s="435"/>
      <c r="B566" s="436"/>
      <c r="C566" s="440"/>
      <c r="D566" s="435"/>
      <c r="E566" s="93" t="str" cm="1">
        <f t="array" ref="E566">IF(D566&lt;&gt;"",IFERROR(VLOOKUP(D566,Codes!$K$2:$L$409,2,FALSE),"UNKNOWN - "&amp;D566),IF(C566="","",IFERROR(_xlfn.IFS(ISNUMBER(SEARCH("broken button",C566)),"Break",ISNUMBER(SEARCH("broken handle",C566)),"Break",ISNUMBER(SEARCH("shipping damage",C566)),"Break",ISNUMBER(SEARCH("broken",C566)),"Break",ISNUMBER(SEARCH("crack",C566)),"Break",ISNUMBER(SEARCH("snap",C566)),"Break",ISNUMBER(SEARCH("fracture",C566)),"Break",ISNUMBER(SEARCH("bent",C566)),"Material Twisted/Bent",ISNUMBER(SEARCH("twisted",C566)),"Material Twisted/Bent",ISNUMBER(SEARCH("component separat",C566)),"Material Separation",ISNUMBER(SEARCH("separat",C566)),"Material Separation",ISNUMBER(SEARCH("connection",C566)),"Loose or Intermittent Connection",ISNUMBER(SEARCH("loose",C566)),"Loose or Intermittent Connection",ISNUMBER(SEARCH("damaged packaging",C566)),"Packaging Problem",ISNUMBER(SEARCH("packaging",C566)),"Packaging Problem",ISNUMBER(SEARCH("discoloration",C566)),"Contamination",ISNUMBER(SEARCH("tarnish",C566)),"Contamination",ISNUMBER(SEARCH("stain",C566)),"Contamination",ISNUMBER(SEARCH("foreign material",C566)),"Contamination",ISNUMBER(SEARCH("contamina",C566)),"Contamination",ISNUMBER(SEARCH("overheat",C566)),"Overheating of Device",ISNUMBER(SEARCH("excessive heat",C566)),"Overheating of Device",ISNUMBER(SEARCH("hot",C566)),"Overheating of Device",ISNUMBER(SEARCH("noise",C566)),"Noise, Audible",ISNUMBER(SEARCH("sound",C566)),"Noise, Audible",ISNUMBER(SEARCH("loud",C566)),"Noise, Audible",ISNUMBER(SEARCH("fray",C566)),"Material Frayed",ISNUMBER(SEARCH("hole",C566)),"Material Frayed",ISNUMBER(SEARCH("tear",C566)),"Material Frayed",ISNUMBER(SEARCH("worn",C566)),"Material Frayed",ISNUMBER(SEARCH("intermittent",C566)),"Difficult or Delayed Activation",ISNUMBER(SEARCH("delay",C566)),"Difficult or Delayed Activation",ISNUMBER(SEARCH("label",C566)),"Device Markings/Labelling Problem",ISNUMBER(SEARCH("marking",C566)),"Device Markings/Labelling Problem",ISNUMBER(SEARCH("lacerat",C566)),"Defective Device",ISNUMBER(SEARCH("cut",C566)),"Defective Device",ISNUMBER(SEARCH("leak",C566)),"Fluid/Blood Leak",ISNUMBER(SEARCH("missing",C566)),"Component Missing",ISNUMBER(SEARCH("power",C566)),"Complete Loss of Power",ISNUMBER(SEARCH("will not turn on",C566)),"Complete Loss of Power",ISNUMBER(SEARCH("won't turn on",C566)),"Complete Loss of Power",ISNUMBER(SEARCH("does not turn on",C566)),"Complete Loss of Power",ISNUMBER(SEARCH("electrical",C566)),"Electrical Power Problem",ISNUMBER(SEARCH("pressure",C566)),"Detachment of Device or Device Component",ISNUMBER(SEARCH("slip",C566)),"Detachment of Device or Device Component",ISNUMBER(SEARCH("detach",C566)),"Detachment of Device or Device Component",ISNUMBER(SEARCH("stick",C566)),"Mechanical Jam",ISNUMBER(SEARCH("jam",C566)),"Mechanical Jam",ISNUMBER(SEARCH("rigid",C566)),"Mechanical Jam",ISNUMBER(SEARCH("rust",C566)),"Corroded",ISNUMBER(SEARCH("corrod",C566)),"Corroded",ISNUMBER(SEARCH("corrosion",C566)),"Corroded",ISNUMBER(SEARCH("alignment",C566)),"Defective Device",ISNUMBER(SEARCH("adjust",C566)),"Defective Device",ISNUMBER(SEARCH("perform",C566)),"Defective Device",ISNUMBER(SEARCH("malfunction",C566)),"Defective Device",ISNUMBER(SEARCH("defect",C566)),"Defective Device",ISNUMBER(SEARCH("fail",C566)),"Defective Device",ISNUMBER(SEARCH("not work",C566)),"Defective Device",ISNUMBER(SEARCH("doesn't work",C566)),"Defective Device",TRUE,"UNKNOWN"),"UNKNOWN")))</f>
        <v/>
      </c>
      <c r="F566" s="4" t="str">
        <f t="shared" si="8"/>
        <v/>
      </c>
      <c r="G566" s="363" t="str">
        <f>IF(E566="","",IFERROR(VLOOKUP(E566,Codes!$L$2:$N$409,3,FALSE),"—"))</f>
        <v/>
      </c>
      <c r="H566" s="88"/>
      <c r="I566" s="88"/>
    </row>
    <row r="567" spans="1:9" ht="13.15" x14ac:dyDescent="0.35">
      <c r="A567" s="434"/>
      <c r="B567" s="436"/>
      <c r="C567" s="437"/>
      <c r="D567" s="434"/>
      <c r="E567" s="93" t="str" cm="1">
        <f t="array" ref="E567">IF(D567&lt;&gt;"",IFERROR(VLOOKUP(D567,Codes!$K$2:$L$409,2,FALSE),"UNKNOWN - "&amp;D567),IF(C567="","",IFERROR(_xlfn.IFS(ISNUMBER(SEARCH("broken button",C567)),"Break",ISNUMBER(SEARCH("broken handle",C567)),"Break",ISNUMBER(SEARCH("shipping damage",C567)),"Break",ISNUMBER(SEARCH("broken",C567)),"Break",ISNUMBER(SEARCH("crack",C567)),"Break",ISNUMBER(SEARCH("snap",C567)),"Break",ISNUMBER(SEARCH("fracture",C567)),"Break",ISNUMBER(SEARCH("bent",C567)),"Material Twisted/Bent",ISNUMBER(SEARCH("twisted",C567)),"Material Twisted/Bent",ISNUMBER(SEARCH("component separat",C567)),"Material Separation",ISNUMBER(SEARCH("separat",C567)),"Material Separation",ISNUMBER(SEARCH("connection",C567)),"Loose or Intermittent Connection",ISNUMBER(SEARCH("loose",C567)),"Loose or Intermittent Connection",ISNUMBER(SEARCH("damaged packaging",C567)),"Packaging Problem",ISNUMBER(SEARCH("packaging",C567)),"Packaging Problem",ISNUMBER(SEARCH("discoloration",C567)),"Contamination",ISNUMBER(SEARCH("tarnish",C567)),"Contamination",ISNUMBER(SEARCH("stain",C567)),"Contamination",ISNUMBER(SEARCH("foreign material",C567)),"Contamination",ISNUMBER(SEARCH("contamina",C567)),"Contamination",ISNUMBER(SEARCH("overheat",C567)),"Overheating of Device",ISNUMBER(SEARCH("excessive heat",C567)),"Overheating of Device",ISNUMBER(SEARCH("hot",C567)),"Overheating of Device",ISNUMBER(SEARCH("noise",C567)),"Noise, Audible",ISNUMBER(SEARCH("sound",C567)),"Noise, Audible",ISNUMBER(SEARCH("loud",C567)),"Noise, Audible",ISNUMBER(SEARCH("fray",C567)),"Material Frayed",ISNUMBER(SEARCH("hole",C567)),"Material Frayed",ISNUMBER(SEARCH("tear",C567)),"Material Frayed",ISNUMBER(SEARCH("worn",C567)),"Material Frayed",ISNUMBER(SEARCH("intermittent",C567)),"Difficult or Delayed Activation",ISNUMBER(SEARCH("delay",C567)),"Difficult or Delayed Activation",ISNUMBER(SEARCH("label",C567)),"Device Markings/Labelling Problem",ISNUMBER(SEARCH("marking",C567)),"Device Markings/Labelling Problem",ISNUMBER(SEARCH("lacerat",C567)),"Defective Device",ISNUMBER(SEARCH("cut",C567)),"Defective Device",ISNUMBER(SEARCH("leak",C567)),"Fluid/Blood Leak",ISNUMBER(SEARCH("missing",C567)),"Component Missing",ISNUMBER(SEARCH("power",C567)),"Complete Loss of Power",ISNUMBER(SEARCH("will not turn on",C567)),"Complete Loss of Power",ISNUMBER(SEARCH("won't turn on",C567)),"Complete Loss of Power",ISNUMBER(SEARCH("does not turn on",C567)),"Complete Loss of Power",ISNUMBER(SEARCH("electrical",C567)),"Electrical Power Problem",ISNUMBER(SEARCH("pressure",C567)),"Detachment of Device or Device Component",ISNUMBER(SEARCH("slip",C567)),"Detachment of Device or Device Component",ISNUMBER(SEARCH("detach",C567)),"Detachment of Device or Device Component",ISNUMBER(SEARCH("stick",C567)),"Mechanical Jam",ISNUMBER(SEARCH("jam",C567)),"Mechanical Jam",ISNUMBER(SEARCH("rigid",C567)),"Mechanical Jam",ISNUMBER(SEARCH("rust",C567)),"Corroded",ISNUMBER(SEARCH("corrod",C567)),"Corroded",ISNUMBER(SEARCH("corrosion",C567)),"Corroded",ISNUMBER(SEARCH("alignment",C567)),"Defective Device",ISNUMBER(SEARCH("adjust",C567)),"Defective Device",ISNUMBER(SEARCH("perform",C567)),"Defective Device",ISNUMBER(SEARCH("malfunction",C567)),"Defective Device",ISNUMBER(SEARCH("defect",C567)),"Defective Device",ISNUMBER(SEARCH("fail",C567)),"Defective Device",ISNUMBER(SEARCH("not work",C567)),"Defective Device",ISNUMBER(SEARCH("doesn't work",C567)),"Defective Device",TRUE,"UNKNOWN"),"UNKNOWN")))</f>
        <v/>
      </c>
      <c r="F567" s="4" t="str">
        <f t="shared" si="8"/>
        <v/>
      </c>
      <c r="G567" s="363" t="str">
        <f>IF(E567="","",IFERROR(VLOOKUP(E567,Codes!$L$2:$N$409,3,FALSE),"—"))</f>
        <v/>
      </c>
      <c r="H567" s="88"/>
      <c r="I567" s="88"/>
    </row>
    <row r="568" spans="1:9" ht="13.15" x14ac:dyDescent="0.35">
      <c r="A568" s="435"/>
      <c r="B568" s="436"/>
      <c r="C568" s="438"/>
      <c r="D568" s="435"/>
      <c r="E568" s="93" t="str" cm="1">
        <f t="array" ref="E568">IF(D568&lt;&gt;"",IFERROR(VLOOKUP(D568,Codes!$K$2:$L$409,2,FALSE),"UNKNOWN - "&amp;D568),IF(C568="","",IFERROR(_xlfn.IFS(ISNUMBER(SEARCH("broken button",C568)),"Break",ISNUMBER(SEARCH("broken handle",C568)),"Break",ISNUMBER(SEARCH("shipping damage",C568)),"Break",ISNUMBER(SEARCH("broken",C568)),"Break",ISNUMBER(SEARCH("crack",C568)),"Break",ISNUMBER(SEARCH("snap",C568)),"Break",ISNUMBER(SEARCH("fracture",C568)),"Break",ISNUMBER(SEARCH("bent",C568)),"Material Twisted/Bent",ISNUMBER(SEARCH("twisted",C568)),"Material Twisted/Bent",ISNUMBER(SEARCH("component separat",C568)),"Material Separation",ISNUMBER(SEARCH("separat",C568)),"Material Separation",ISNUMBER(SEARCH("connection",C568)),"Loose or Intermittent Connection",ISNUMBER(SEARCH("loose",C568)),"Loose or Intermittent Connection",ISNUMBER(SEARCH("damaged packaging",C568)),"Packaging Problem",ISNUMBER(SEARCH("packaging",C568)),"Packaging Problem",ISNUMBER(SEARCH("discoloration",C568)),"Contamination",ISNUMBER(SEARCH("tarnish",C568)),"Contamination",ISNUMBER(SEARCH("stain",C568)),"Contamination",ISNUMBER(SEARCH("foreign material",C568)),"Contamination",ISNUMBER(SEARCH("contamina",C568)),"Contamination",ISNUMBER(SEARCH("overheat",C568)),"Overheating of Device",ISNUMBER(SEARCH("excessive heat",C568)),"Overheating of Device",ISNUMBER(SEARCH("hot",C568)),"Overheating of Device",ISNUMBER(SEARCH("noise",C568)),"Noise, Audible",ISNUMBER(SEARCH("sound",C568)),"Noise, Audible",ISNUMBER(SEARCH("loud",C568)),"Noise, Audible",ISNUMBER(SEARCH("fray",C568)),"Material Frayed",ISNUMBER(SEARCH("hole",C568)),"Material Frayed",ISNUMBER(SEARCH("tear",C568)),"Material Frayed",ISNUMBER(SEARCH("worn",C568)),"Material Frayed",ISNUMBER(SEARCH("intermittent",C568)),"Difficult or Delayed Activation",ISNUMBER(SEARCH("delay",C568)),"Difficult or Delayed Activation",ISNUMBER(SEARCH("label",C568)),"Device Markings/Labelling Problem",ISNUMBER(SEARCH("marking",C568)),"Device Markings/Labelling Problem",ISNUMBER(SEARCH("lacerat",C568)),"Defective Device",ISNUMBER(SEARCH("cut",C568)),"Defective Device",ISNUMBER(SEARCH("leak",C568)),"Fluid/Blood Leak",ISNUMBER(SEARCH("missing",C568)),"Component Missing",ISNUMBER(SEARCH("power",C568)),"Complete Loss of Power",ISNUMBER(SEARCH("will not turn on",C568)),"Complete Loss of Power",ISNUMBER(SEARCH("won't turn on",C568)),"Complete Loss of Power",ISNUMBER(SEARCH("does not turn on",C568)),"Complete Loss of Power",ISNUMBER(SEARCH("electrical",C568)),"Electrical Power Problem",ISNUMBER(SEARCH("pressure",C568)),"Detachment of Device or Device Component",ISNUMBER(SEARCH("slip",C568)),"Detachment of Device or Device Component",ISNUMBER(SEARCH("detach",C568)),"Detachment of Device or Device Component",ISNUMBER(SEARCH("stick",C568)),"Mechanical Jam",ISNUMBER(SEARCH("jam",C568)),"Mechanical Jam",ISNUMBER(SEARCH("rigid",C568)),"Mechanical Jam",ISNUMBER(SEARCH("rust",C568)),"Corroded",ISNUMBER(SEARCH("corrod",C568)),"Corroded",ISNUMBER(SEARCH("corrosion",C568)),"Corroded",ISNUMBER(SEARCH("alignment",C568)),"Defective Device",ISNUMBER(SEARCH("adjust",C568)),"Defective Device",ISNUMBER(SEARCH("perform",C568)),"Defective Device",ISNUMBER(SEARCH("malfunction",C568)),"Defective Device",ISNUMBER(SEARCH("defect",C568)),"Defective Device",ISNUMBER(SEARCH("fail",C568)),"Defective Device",ISNUMBER(SEARCH("not work",C568)),"Defective Device",ISNUMBER(SEARCH("doesn't work",C568)),"Defective Device",TRUE,"UNKNOWN"),"UNKNOWN")))</f>
        <v/>
      </c>
      <c r="F568" s="4" t="str">
        <f t="shared" si="8"/>
        <v/>
      </c>
      <c r="G568" s="363" t="str">
        <f>IF(E568="","",IFERROR(VLOOKUP(E568,Codes!$L$2:$N$409,3,FALSE),"—"))</f>
        <v/>
      </c>
      <c r="H568" s="88"/>
      <c r="I568" s="88"/>
    </row>
    <row r="569" spans="1:9" ht="13.15" x14ac:dyDescent="0.35">
      <c r="A569" s="434"/>
      <c r="B569" s="436"/>
      <c r="C569" s="437"/>
      <c r="D569" s="434"/>
      <c r="E569" s="93" t="str" cm="1">
        <f t="array" ref="E569">IF(D569&lt;&gt;"",IFERROR(VLOOKUP(D569,Codes!$K$2:$L$409,2,FALSE),"UNKNOWN - "&amp;D569),IF(C569="","",IFERROR(_xlfn.IFS(ISNUMBER(SEARCH("broken button",C569)),"Break",ISNUMBER(SEARCH("broken handle",C569)),"Break",ISNUMBER(SEARCH("shipping damage",C569)),"Break",ISNUMBER(SEARCH("broken",C569)),"Break",ISNUMBER(SEARCH("crack",C569)),"Break",ISNUMBER(SEARCH("snap",C569)),"Break",ISNUMBER(SEARCH("fracture",C569)),"Break",ISNUMBER(SEARCH("bent",C569)),"Material Twisted/Bent",ISNUMBER(SEARCH("twisted",C569)),"Material Twisted/Bent",ISNUMBER(SEARCH("component separat",C569)),"Material Separation",ISNUMBER(SEARCH("separat",C569)),"Material Separation",ISNUMBER(SEARCH("connection",C569)),"Loose or Intermittent Connection",ISNUMBER(SEARCH("loose",C569)),"Loose or Intermittent Connection",ISNUMBER(SEARCH("damaged packaging",C569)),"Packaging Problem",ISNUMBER(SEARCH("packaging",C569)),"Packaging Problem",ISNUMBER(SEARCH("discoloration",C569)),"Contamination",ISNUMBER(SEARCH("tarnish",C569)),"Contamination",ISNUMBER(SEARCH("stain",C569)),"Contamination",ISNUMBER(SEARCH("foreign material",C569)),"Contamination",ISNUMBER(SEARCH("contamina",C569)),"Contamination",ISNUMBER(SEARCH("overheat",C569)),"Overheating of Device",ISNUMBER(SEARCH("excessive heat",C569)),"Overheating of Device",ISNUMBER(SEARCH("hot",C569)),"Overheating of Device",ISNUMBER(SEARCH("noise",C569)),"Noise, Audible",ISNUMBER(SEARCH("sound",C569)),"Noise, Audible",ISNUMBER(SEARCH("loud",C569)),"Noise, Audible",ISNUMBER(SEARCH("fray",C569)),"Material Frayed",ISNUMBER(SEARCH("hole",C569)),"Material Frayed",ISNUMBER(SEARCH("tear",C569)),"Material Frayed",ISNUMBER(SEARCH("worn",C569)),"Material Frayed",ISNUMBER(SEARCH("intermittent",C569)),"Difficult or Delayed Activation",ISNUMBER(SEARCH("delay",C569)),"Difficult or Delayed Activation",ISNUMBER(SEARCH("label",C569)),"Device Markings/Labelling Problem",ISNUMBER(SEARCH("marking",C569)),"Device Markings/Labelling Problem",ISNUMBER(SEARCH("lacerat",C569)),"Defective Device",ISNUMBER(SEARCH("cut",C569)),"Defective Device",ISNUMBER(SEARCH("leak",C569)),"Fluid/Blood Leak",ISNUMBER(SEARCH("missing",C569)),"Component Missing",ISNUMBER(SEARCH("power",C569)),"Complete Loss of Power",ISNUMBER(SEARCH("will not turn on",C569)),"Complete Loss of Power",ISNUMBER(SEARCH("won't turn on",C569)),"Complete Loss of Power",ISNUMBER(SEARCH("does not turn on",C569)),"Complete Loss of Power",ISNUMBER(SEARCH("electrical",C569)),"Electrical Power Problem",ISNUMBER(SEARCH("pressure",C569)),"Detachment of Device or Device Component",ISNUMBER(SEARCH("slip",C569)),"Detachment of Device or Device Component",ISNUMBER(SEARCH("detach",C569)),"Detachment of Device or Device Component",ISNUMBER(SEARCH("stick",C569)),"Mechanical Jam",ISNUMBER(SEARCH("jam",C569)),"Mechanical Jam",ISNUMBER(SEARCH("rigid",C569)),"Mechanical Jam",ISNUMBER(SEARCH("rust",C569)),"Corroded",ISNUMBER(SEARCH("corrod",C569)),"Corroded",ISNUMBER(SEARCH("corrosion",C569)),"Corroded",ISNUMBER(SEARCH("alignment",C569)),"Defective Device",ISNUMBER(SEARCH("adjust",C569)),"Defective Device",ISNUMBER(SEARCH("perform",C569)),"Defective Device",ISNUMBER(SEARCH("malfunction",C569)),"Defective Device",ISNUMBER(SEARCH("defect",C569)),"Defective Device",ISNUMBER(SEARCH("fail",C569)),"Defective Device",ISNUMBER(SEARCH("not work",C569)),"Defective Device",ISNUMBER(SEARCH("doesn't work",C569)),"Defective Device",TRUE,"UNKNOWN"),"UNKNOWN")))</f>
        <v/>
      </c>
      <c r="F569" s="4" t="str">
        <f t="shared" si="8"/>
        <v/>
      </c>
      <c r="G569" s="363" t="str">
        <f>IF(E569="","",IFERROR(VLOOKUP(E569,Codes!$L$2:$N$409,3,FALSE),"—"))</f>
        <v/>
      </c>
      <c r="H569" s="88"/>
      <c r="I569" s="88"/>
    </row>
    <row r="570" spans="1:9" ht="13.15" x14ac:dyDescent="0.35">
      <c r="A570" s="435"/>
      <c r="B570" s="436"/>
      <c r="C570" s="438"/>
      <c r="D570" s="435"/>
      <c r="E570" s="93" t="str" cm="1">
        <f t="array" ref="E570">IF(D570&lt;&gt;"",IFERROR(VLOOKUP(D570,Codes!$K$2:$L$409,2,FALSE),"UNKNOWN - "&amp;D570),IF(C570="","",IFERROR(_xlfn.IFS(ISNUMBER(SEARCH("broken button",C570)),"Break",ISNUMBER(SEARCH("broken handle",C570)),"Break",ISNUMBER(SEARCH("shipping damage",C570)),"Break",ISNUMBER(SEARCH("broken",C570)),"Break",ISNUMBER(SEARCH("crack",C570)),"Break",ISNUMBER(SEARCH("snap",C570)),"Break",ISNUMBER(SEARCH("fracture",C570)),"Break",ISNUMBER(SEARCH("bent",C570)),"Material Twisted/Bent",ISNUMBER(SEARCH("twisted",C570)),"Material Twisted/Bent",ISNUMBER(SEARCH("component separat",C570)),"Material Separation",ISNUMBER(SEARCH("separat",C570)),"Material Separation",ISNUMBER(SEARCH("connection",C570)),"Loose or Intermittent Connection",ISNUMBER(SEARCH("loose",C570)),"Loose or Intermittent Connection",ISNUMBER(SEARCH("damaged packaging",C570)),"Packaging Problem",ISNUMBER(SEARCH("packaging",C570)),"Packaging Problem",ISNUMBER(SEARCH("discoloration",C570)),"Contamination",ISNUMBER(SEARCH("tarnish",C570)),"Contamination",ISNUMBER(SEARCH("stain",C570)),"Contamination",ISNUMBER(SEARCH("foreign material",C570)),"Contamination",ISNUMBER(SEARCH("contamina",C570)),"Contamination",ISNUMBER(SEARCH("overheat",C570)),"Overheating of Device",ISNUMBER(SEARCH("excessive heat",C570)),"Overheating of Device",ISNUMBER(SEARCH("hot",C570)),"Overheating of Device",ISNUMBER(SEARCH("noise",C570)),"Noise, Audible",ISNUMBER(SEARCH("sound",C570)),"Noise, Audible",ISNUMBER(SEARCH("loud",C570)),"Noise, Audible",ISNUMBER(SEARCH("fray",C570)),"Material Frayed",ISNUMBER(SEARCH("hole",C570)),"Material Frayed",ISNUMBER(SEARCH("tear",C570)),"Material Frayed",ISNUMBER(SEARCH("worn",C570)),"Material Frayed",ISNUMBER(SEARCH("intermittent",C570)),"Difficult or Delayed Activation",ISNUMBER(SEARCH("delay",C570)),"Difficult or Delayed Activation",ISNUMBER(SEARCH("label",C570)),"Device Markings/Labelling Problem",ISNUMBER(SEARCH("marking",C570)),"Device Markings/Labelling Problem",ISNUMBER(SEARCH("lacerat",C570)),"Defective Device",ISNUMBER(SEARCH("cut",C570)),"Defective Device",ISNUMBER(SEARCH("leak",C570)),"Fluid/Blood Leak",ISNUMBER(SEARCH("missing",C570)),"Component Missing",ISNUMBER(SEARCH("power",C570)),"Complete Loss of Power",ISNUMBER(SEARCH("will not turn on",C570)),"Complete Loss of Power",ISNUMBER(SEARCH("won't turn on",C570)),"Complete Loss of Power",ISNUMBER(SEARCH("does not turn on",C570)),"Complete Loss of Power",ISNUMBER(SEARCH("electrical",C570)),"Electrical Power Problem",ISNUMBER(SEARCH("pressure",C570)),"Detachment of Device or Device Component",ISNUMBER(SEARCH("slip",C570)),"Detachment of Device or Device Component",ISNUMBER(SEARCH("detach",C570)),"Detachment of Device or Device Component",ISNUMBER(SEARCH("stick",C570)),"Mechanical Jam",ISNUMBER(SEARCH("jam",C570)),"Mechanical Jam",ISNUMBER(SEARCH("rigid",C570)),"Mechanical Jam",ISNUMBER(SEARCH("rust",C570)),"Corroded",ISNUMBER(SEARCH("corrod",C570)),"Corroded",ISNUMBER(SEARCH("corrosion",C570)),"Corroded",ISNUMBER(SEARCH("alignment",C570)),"Defective Device",ISNUMBER(SEARCH("adjust",C570)),"Defective Device",ISNUMBER(SEARCH("perform",C570)),"Defective Device",ISNUMBER(SEARCH("malfunction",C570)),"Defective Device",ISNUMBER(SEARCH("defect",C570)),"Defective Device",ISNUMBER(SEARCH("fail",C570)),"Defective Device",ISNUMBER(SEARCH("not work",C570)),"Defective Device",ISNUMBER(SEARCH("doesn't work",C570)),"Defective Device",TRUE,"UNKNOWN"),"UNKNOWN")))</f>
        <v/>
      </c>
      <c r="F570" s="4" t="str">
        <f t="shared" si="8"/>
        <v/>
      </c>
      <c r="G570" s="363" t="str">
        <f>IF(E570="","",IFERROR(VLOOKUP(E570,Codes!$L$2:$N$409,3,FALSE),"—"))</f>
        <v/>
      </c>
      <c r="H570" s="88"/>
      <c r="I570" s="88"/>
    </row>
    <row r="571" spans="1:9" ht="13.15" x14ac:dyDescent="0.35">
      <c r="A571" s="434"/>
      <c r="B571" s="436"/>
      <c r="C571" s="437"/>
      <c r="D571" s="434"/>
      <c r="E571" s="93" t="str" cm="1">
        <f t="array" ref="E571">IF(D571&lt;&gt;"",IFERROR(VLOOKUP(D571,Codes!$K$2:$L$409,2,FALSE),"UNKNOWN - "&amp;D571),IF(C571="","",IFERROR(_xlfn.IFS(ISNUMBER(SEARCH("broken button",C571)),"Break",ISNUMBER(SEARCH("broken handle",C571)),"Break",ISNUMBER(SEARCH("shipping damage",C571)),"Break",ISNUMBER(SEARCH("broken",C571)),"Break",ISNUMBER(SEARCH("crack",C571)),"Break",ISNUMBER(SEARCH("snap",C571)),"Break",ISNUMBER(SEARCH("fracture",C571)),"Break",ISNUMBER(SEARCH("bent",C571)),"Material Twisted/Bent",ISNUMBER(SEARCH("twisted",C571)),"Material Twisted/Bent",ISNUMBER(SEARCH("component separat",C571)),"Material Separation",ISNUMBER(SEARCH("separat",C571)),"Material Separation",ISNUMBER(SEARCH("connection",C571)),"Loose or Intermittent Connection",ISNUMBER(SEARCH("loose",C571)),"Loose or Intermittent Connection",ISNUMBER(SEARCH("damaged packaging",C571)),"Packaging Problem",ISNUMBER(SEARCH("packaging",C571)),"Packaging Problem",ISNUMBER(SEARCH("discoloration",C571)),"Contamination",ISNUMBER(SEARCH("tarnish",C571)),"Contamination",ISNUMBER(SEARCH("stain",C571)),"Contamination",ISNUMBER(SEARCH("foreign material",C571)),"Contamination",ISNUMBER(SEARCH("contamina",C571)),"Contamination",ISNUMBER(SEARCH("overheat",C571)),"Overheating of Device",ISNUMBER(SEARCH("excessive heat",C571)),"Overheating of Device",ISNUMBER(SEARCH("hot",C571)),"Overheating of Device",ISNUMBER(SEARCH("noise",C571)),"Noise, Audible",ISNUMBER(SEARCH("sound",C571)),"Noise, Audible",ISNUMBER(SEARCH("loud",C571)),"Noise, Audible",ISNUMBER(SEARCH("fray",C571)),"Material Frayed",ISNUMBER(SEARCH("hole",C571)),"Material Frayed",ISNUMBER(SEARCH("tear",C571)),"Material Frayed",ISNUMBER(SEARCH("worn",C571)),"Material Frayed",ISNUMBER(SEARCH("intermittent",C571)),"Difficult or Delayed Activation",ISNUMBER(SEARCH("delay",C571)),"Difficult or Delayed Activation",ISNUMBER(SEARCH("label",C571)),"Device Markings/Labelling Problem",ISNUMBER(SEARCH("marking",C571)),"Device Markings/Labelling Problem",ISNUMBER(SEARCH("lacerat",C571)),"Defective Device",ISNUMBER(SEARCH("cut",C571)),"Defective Device",ISNUMBER(SEARCH("leak",C571)),"Fluid/Blood Leak",ISNUMBER(SEARCH("missing",C571)),"Component Missing",ISNUMBER(SEARCH("power",C571)),"Complete Loss of Power",ISNUMBER(SEARCH("will not turn on",C571)),"Complete Loss of Power",ISNUMBER(SEARCH("won't turn on",C571)),"Complete Loss of Power",ISNUMBER(SEARCH("does not turn on",C571)),"Complete Loss of Power",ISNUMBER(SEARCH("electrical",C571)),"Electrical Power Problem",ISNUMBER(SEARCH("pressure",C571)),"Detachment of Device or Device Component",ISNUMBER(SEARCH("slip",C571)),"Detachment of Device or Device Component",ISNUMBER(SEARCH("detach",C571)),"Detachment of Device or Device Component",ISNUMBER(SEARCH("stick",C571)),"Mechanical Jam",ISNUMBER(SEARCH("jam",C571)),"Mechanical Jam",ISNUMBER(SEARCH("rigid",C571)),"Mechanical Jam",ISNUMBER(SEARCH("rust",C571)),"Corroded",ISNUMBER(SEARCH("corrod",C571)),"Corroded",ISNUMBER(SEARCH("corrosion",C571)),"Corroded",ISNUMBER(SEARCH("alignment",C571)),"Defective Device",ISNUMBER(SEARCH("adjust",C571)),"Defective Device",ISNUMBER(SEARCH("perform",C571)),"Defective Device",ISNUMBER(SEARCH("malfunction",C571)),"Defective Device",ISNUMBER(SEARCH("defect",C571)),"Defective Device",ISNUMBER(SEARCH("fail",C571)),"Defective Device",ISNUMBER(SEARCH("not work",C571)),"Defective Device",ISNUMBER(SEARCH("doesn't work",C571)),"Defective Device",TRUE,"UNKNOWN"),"UNKNOWN")))</f>
        <v/>
      </c>
      <c r="F571" s="4" t="str">
        <f t="shared" si="8"/>
        <v/>
      </c>
      <c r="G571" s="363" t="str">
        <f>IF(E571="","",IFERROR(VLOOKUP(E571,Codes!$L$2:$N$409,3,FALSE),"—"))</f>
        <v/>
      </c>
      <c r="H571" s="88"/>
      <c r="I571" s="88"/>
    </row>
    <row r="572" spans="1:9" ht="13.15" x14ac:dyDescent="0.35">
      <c r="A572" s="434"/>
      <c r="B572" s="436"/>
      <c r="C572" s="437"/>
      <c r="D572" s="434"/>
      <c r="E572" s="93" t="str" cm="1">
        <f t="array" ref="E572">IF(D572&lt;&gt;"",IFERROR(VLOOKUP(D572,Codes!$K$2:$L$409,2,FALSE),"UNKNOWN - "&amp;D572),IF(C572="","",IFERROR(_xlfn.IFS(ISNUMBER(SEARCH("broken button",C572)),"Break",ISNUMBER(SEARCH("broken handle",C572)),"Break",ISNUMBER(SEARCH("shipping damage",C572)),"Break",ISNUMBER(SEARCH("broken",C572)),"Break",ISNUMBER(SEARCH("crack",C572)),"Break",ISNUMBER(SEARCH("snap",C572)),"Break",ISNUMBER(SEARCH("fracture",C572)),"Break",ISNUMBER(SEARCH("bent",C572)),"Material Twisted/Bent",ISNUMBER(SEARCH("twisted",C572)),"Material Twisted/Bent",ISNUMBER(SEARCH("component separat",C572)),"Material Separation",ISNUMBER(SEARCH("separat",C572)),"Material Separation",ISNUMBER(SEARCH("connection",C572)),"Loose or Intermittent Connection",ISNUMBER(SEARCH("loose",C572)),"Loose or Intermittent Connection",ISNUMBER(SEARCH("damaged packaging",C572)),"Packaging Problem",ISNUMBER(SEARCH("packaging",C572)),"Packaging Problem",ISNUMBER(SEARCH("discoloration",C572)),"Contamination",ISNUMBER(SEARCH("tarnish",C572)),"Contamination",ISNUMBER(SEARCH("stain",C572)),"Contamination",ISNUMBER(SEARCH("foreign material",C572)),"Contamination",ISNUMBER(SEARCH("contamina",C572)),"Contamination",ISNUMBER(SEARCH("overheat",C572)),"Overheating of Device",ISNUMBER(SEARCH("excessive heat",C572)),"Overheating of Device",ISNUMBER(SEARCH("hot",C572)),"Overheating of Device",ISNUMBER(SEARCH("noise",C572)),"Noise, Audible",ISNUMBER(SEARCH("sound",C572)),"Noise, Audible",ISNUMBER(SEARCH("loud",C572)),"Noise, Audible",ISNUMBER(SEARCH("fray",C572)),"Material Frayed",ISNUMBER(SEARCH("hole",C572)),"Material Frayed",ISNUMBER(SEARCH("tear",C572)),"Material Frayed",ISNUMBER(SEARCH("worn",C572)),"Material Frayed",ISNUMBER(SEARCH("intermittent",C572)),"Difficult or Delayed Activation",ISNUMBER(SEARCH("delay",C572)),"Difficult or Delayed Activation",ISNUMBER(SEARCH("label",C572)),"Device Markings/Labelling Problem",ISNUMBER(SEARCH("marking",C572)),"Device Markings/Labelling Problem",ISNUMBER(SEARCH("lacerat",C572)),"Defective Device",ISNUMBER(SEARCH("cut",C572)),"Defective Device",ISNUMBER(SEARCH("leak",C572)),"Fluid/Blood Leak",ISNUMBER(SEARCH("missing",C572)),"Component Missing",ISNUMBER(SEARCH("power",C572)),"Complete Loss of Power",ISNUMBER(SEARCH("will not turn on",C572)),"Complete Loss of Power",ISNUMBER(SEARCH("won't turn on",C572)),"Complete Loss of Power",ISNUMBER(SEARCH("does not turn on",C572)),"Complete Loss of Power",ISNUMBER(SEARCH("electrical",C572)),"Electrical Power Problem",ISNUMBER(SEARCH("pressure",C572)),"Detachment of Device or Device Component",ISNUMBER(SEARCH("slip",C572)),"Detachment of Device or Device Component",ISNUMBER(SEARCH("detach",C572)),"Detachment of Device or Device Component",ISNUMBER(SEARCH("stick",C572)),"Mechanical Jam",ISNUMBER(SEARCH("jam",C572)),"Mechanical Jam",ISNUMBER(SEARCH("rigid",C572)),"Mechanical Jam",ISNUMBER(SEARCH("rust",C572)),"Corroded",ISNUMBER(SEARCH("corrod",C572)),"Corroded",ISNUMBER(SEARCH("corrosion",C572)),"Corroded",ISNUMBER(SEARCH("alignment",C572)),"Defective Device",ISNUMBER(SEARCH("adjust",C572)),"Defective Device",ISNUMBER(SEARCH("perform",C572)),"Defective Device",ISNUMBER(SEARCH("malfunction",C572)),"Defective Device",ISNUMBER(SEARCH("defect",C572)),"Defective Device",ISNUMBER(SEARCH("fail",C572)),"Defective Device",ISNUMBER(SEARCH("not work",C572)),"Defective Device",ISNUMBER(SEARCH("doesn't work",C572)),"Defective Device",TRUE,"UNKNOWN"),"UNKNOWN")))</f>
        <v/>
      </c>
      <c r="F572" s="4" t="str">
        <f t="shared" si="8"/>
        <v/>
      </c>
      <c r="G572" s="363" t="str">
        <f>IF(E572="","",IFERROR(VLOOKUP(E572,Codes!$L$2:$N$409,3,FALSE),"—"))</f>
        <v/>
      </c>
      <c r="H572" s="88"/>
      <c r="I572" s="88"/>
    </row>
    <row r="573" spans="1:9" ht="13.15" x14ac:dyDescent="0.35">
      <c r="A573" s="435"/>
      <c r="B573" s="436"/>
      <c r="C573" s="438"/>
      <c r="D573" s="435"/>
      <c r="E573" s="93" t="str" cm="1">
        <f t="array" ref="E573">IF(D573&lt;&gt;"",IFERROR(VLOOKUP(D573,Codes!$K$2:$L$409,2,FALSE),"UNKNOWN - "&amp;D573),IF(C573="","",IFERROR(_xlfn.IFS(ISNUMBER(SEARCH("broken button",C573)),"Break",ISNUMBER(SEARCH("broken handle",C573)),"Break",ISNUMBER(SEARCH("shipping damage",C573)),"Break",ISNUMBER(SEARCH("broken",C573)),"Break",ISNUMBER(SEARCH("crack",C573)),"Break",ISNUMBER(SEARCH("snap",C573)),"Break",ISNUMBER(SEARCH("fracture",C573)),"Break",ISNUMBER(SEARCH("bent",C573)),"Material Twisted/Bent",ISNUMBER(SEARCH("twisted",C573)),"Material Twisted/Bent",ISNUMBER(SEARCH("component separat",C573)),"Material Separation",ISNUMBER(SEARCH("separat",C573)),"Material Separation",ISNUMBER(SEARCH("connection",C573)),"Loose or Intermittent Connection",ISNUMBER(SEARCH("loose",C573)),"Loose or Intermittent Connection",ISNUMBER(SEARCH("damaged packaging",C573)),"Packaging Problem",ISNUMBER(SEARCH("packaging",C573)),"Packaging Problem",ISNUMBER(SEARCH("discoloration",C573)),"Contamination",ISNUMBER(SEARCH("tarnish",C573)),"Contamination",ISNUMBER(SEARCH("stain",C573)),"Contamination",ISNUMBER(SEARCH("foreign material",C573)),"Contamination",ISNUMBER(SEARCH("contamina",C573)),"Contamination",ISNUMBER(SEARCH("overheat",C573)),"Overheating of Device",ISNUMBER(SEARCH("excessive heat",C573)),"Overheating of Device",ISNUMBER(SEARCH("hot",C573)),"Overheating of Device",ISNUMBER(SEARCH("noise",C573)),"Noise, Audible",ISNUMBER(SEARCH("sound",C573)),"Noise, Audible",ISNUMBER(SEARCH("loud",C573)),"Noise, Audible",ISNUMBER(SEARCH("fray",C573)),"Material Frayed",ISNUMBER(SEARCH("hole",C573)),"Material Frayed",ISNUMBER(SEARCH("tear",C573)),"Material Frayed",ISNUMBER(SEARCH("worn",C573)),"Material Frayed",ISNUMBER(SEARCH("intermittent",C573)),"Difficult or Delayed Activation",ISNUMBER(SEARCH("delay",C573)),"Difficult or Delayed Activation",ISNUMBER(SEARCH("label",C573)),"Device Markings/Labelling Problem",ISNUMBER(SEARCH("marking",C573)),"Device Markings/Labelling Problem",ISNUMBER(SEARCH("lacerat",C573)),"Defective Device",ISNUMBER(SEARCH("cut",C573)),"Defective Device",ISNUMBER(SEARCH("leak",C573)),"Fluid/Blood Leak",ISNUMBER(SEARCH("missing",C573)),"Component Missing",ISNUMBER(SEARCH("power",C573)),"Complete Loss of Power",ISNUMBER(SEARCH("will not turn on",C573)),"Complete Loss of Power",ISNUMBER(SEARCH("won't turn on",C573)),"Complete Loss of Power",ISNUMBER(SEARCH("does not turn on",C573)),"Complete Loss of Power",ISNUMBER(SEARCH("electrical",C573)),"Electrical Power Problem",ISNUMBER(SEARCH("pressure",C573)),"Detachment of Device or Device Component",ISNUMBER(SEARCH("slip",C573)),"Detachment of Device or Device Component",ISNUMBER(SEARCH("detach",C573)),"Detachment of Device or Device Component",ISNUMBER(SEARCH("stick",C573)),"Mechanical Jam",ISNUMBER(SEARCH("jam",C573)),"Mechanical Jam",ISNUMBER(SEARCH("rigid",C573)),"Mechanical Jam",ISNUMBER(SEARCH("rust",C573)),"Corroded",ISNUMBER(SEARCH("corrod",C573)),"Corroded",ISNUMBER(SEARCH("corrosion",C573)),"Corroded",ISNUMBER(SEARCH("alignment",C573)),"Defective Device",ISNUMBER(SEARCH("adjust",C573)),"Defective Device",ISNUMBER(SEARCH("perform",C573)),"Defective Device",ISNUMBER(SEARCH("malfunction",C573)),"Defective Device",ISNUMBER(SEARCH("defect",C573)),"Defective Device",ISNUMBER(SEARCH("fail",C573)),"Defective Device",ISNUMBER(SEARCH("not work",C573)),"Defective Device",ISNUMBER(SEARCH("doesn't work",C573)),"Defective Device",TRUE,"UNKNOWN"),"UNKNOWN")))</f>
        <v/>
      </c>
      <c r="F573" s="4" t="str">
        <f t="shared" si="8"/>
        <v/>
      </c>
      <c r="G573" s="363" t="str">
        <f>IF(E573="","",IFERROR(VLOOKUP(E573,Codes!$L$2:$N$409,3,FALSE),"—"))</f>
        <v/>
      </c>
      <c r="H573" s="88"/>
      <c r="I573" s="88"/>
    </row>
    <row r="574" spans="1:9" ht="13.15" x14ac:dyDescent="0.35">
      <c r="A574" s="434"/>
      <c r="B574" s="436"/>
      <c r="C574" s="437"/>
      <c r="D574" s="434"/>
      <c r="E574" s="93" t="str" cm="1">
        <f t="array" ref="E574">IF(D574&lt;&gt;"",IFERROR(VLOOKUP(D574,Codes!$K$2:$L$409,2,FALSE),"UNKNOWN - "&amp;D574),IF(C574="","",IFERROR(_xlfn.IFS(ISNUMBER(SEARCH("broken button",C574)),"Break",ISNUMBER(SEARCH("broken handle",C574)),"Break",ISNUMBER(SEARCH("shipping damage",C574)),"Break",ISNUMBER(SEARCH("broken",C574)),"Break",ISNUMBER(SEARCH("crack",C574)),"Break",ISNUMBER(SEARCH("snap",C574)),"Break",ISNUMBER(SEARCH("fracture",C574)),"Break",ISNUMBER(SEARCH("bent",C574)),"Material Twisted/Bent",ISNUMBER(SEARCH("twisted",C574)),"Material Twisted/Bent",ISNUMBER(SEARCH("component separat",C574)),"Material Separation",ISNUMBER(SEARCH("separat",C574)),"Material Separation",ISNUMBER(SEARCH("connection",C574)),"Loose or Intermittent Connection",ISNUMBER(SEARCH("loose",C574)),"Loose or Intermittent Connection",ISNUMBER(SEARCH("damaged packaging",C574)),"Packaging Problem",ISNUMBER(SEARCH("packaging",C574)),"Packaging Problem",ISNUMBER(SEARCH("discoloration",C574)),"Contamination",ISNUMBER(SEARCH("tarnish",C574)),"Contamination",ISNUMBER(SEARCH("stain",C574)),"Contamination",ISNUMBER(SEARCH("foreign material",C574)),"Contamination",ISNUMBER(SEARCH("contamina",C574)),"Contamination",ISNUMBER(SEARCH("overheat",C574)),"Overheating of Device",ISNUMBER(SEARCH("excessive heat",C574)),"Overheating of Device",ISNUMBER(SEARCH("hot",C574)),"Overheating of Device",ISNUMBER(SEARCH("noise",C574)),"Noise, Audible",ISNUMBER(SEARCH("sound",C574)),"Noise, Audible",ISNUMBER(SEARCH("loud",C574)),"Noise, Audible",ISNUMBER(SEARCH("fray",C574)),"Material Frayed",ISNUMBER(SEARCH("hole",C574)),"Material Frayed",ISNUMBER(SEARCH("tear",C574)),"Material Frayed",ISNUMBER(SEARCH("worn",C574)),"Material Frayed",ISNUMBER(SEARCH("intermittent",C574)),"Difficult or Delayed Activation",ISNUMBER(SEARCH("delay",C574)),"Difficult or Delayed Activation",ISNUMBER(SEARCH("label",C574)),"Device Markings/Labelling Problem",ISNUMBER(SEARCH("marking",C574)),"Device Markings/Labelling Problem",ISNUMBER(SEARCH("lacerat",C574)),"Defective Device",ISNUMBER(SEARCH("cut",C574)),"Defective Device",ISNUMBER(SEARCH("leak",C574)),"Fluid/Blood Leak",ISNUMBER(SEARCH("missing",C574)),"Component Missing",ISNUMBER(SEARCH("power",C574)),"Complete Loss of Power",ISNUMBER(SEARCH("will not turn on",C574)),"Complete Loss of Power",ISNUMBER(SEARCH("won't turn on",C574)),"Complete Loss of Power",ISNUMBER(SEARCH("does not turn on",C574)),"Complete Loss of Power",ISNUMBER(SEARCH("electrical",C574)),"Electrical Power Problem",ISNUMBER(SEARCH("pressure",C574)),"Detachment of Device or Device Component",ISNUMBER(SEARCH("slip",C574)),"Detachment of Device or Device Component",ISNUMBER(SEARCH("detach",C574)),"Detachment of Device or Device Component",ISNUMBER(SEARCH("stick",C574)),"Mechanical Jam",ISNUMBER(SEARCH("jam",C574)),"Mechanical Jam",ISNUMBER(SEARCH("rigid",C574)),"Mechanical Jam",ISNUMBER(SEARCH("rust",C574)),"Corroded",ISNUMBER(SEARCH("corrod",C574)),"Corroded",ISNUMBER(SEARCH("corrosion",C574)),"Corroded",ISNUMBER(SEARCH("alignment",C574)),"Defective Device",ISNUMBER(SEARCH("adjust",C574)),"Defective Device",ISNUMBER(SEARCH("perform",C574)),"Defective Device",ISNUMBER(SEARCH("malfunction",C574)),"Defective Device",ISNUMBER(SEARCH("defect",C574)),"Defective Device",ISNUMBER(SEARCH("fail",C574)),"Defective Device",ISNUMBER(SEARCH("not work",C574)),"Defective Device",ISNUMBER(SEARCH("doesn't work",C574)),"Defective Device",TRUE,"UNKNOWN"),"UNKNOWN")))</f>
        <v/>
      </c>
      <c r="F574" s="4" t="str">
        <f t="shared" si="8"/>
        <v/>
      </c>
      <c r="G574" s="363" t="str">
        <f>IF(E574="","",IFERROR(VLOOKUP(E574,Codes!$L$2:$N$409,3,FALSE),"—"))</f>
        <v/>
      </c>
      <c r="H574" s="88"/>
      <c r="I574" s="88"/>
    </row>
    <row r="575" spans="1:9" ht="13.15" x14ac:dyDescent="0.35">
      <c r="A575" s="434"/>
      <c r="B575" s="436"/>
      <c r="C575" s="437"/>
      <c r="D575" s="434"/>
      <c r="E575" s="93" t="str" cm="1">
        <f t="array" ref="E575">IF(D575&lt;&gt;"",IFERROR(VLOOKUP(D575,Codes!$K$2:$L$409,2,FALSE),"UNKNOWN - "&amp;D575),IF(C575="","",IFERROR(_xlfn.IFS(ISNUMBER(SEARCH("broken button",C575)),"Break",ISNUMBER(SEARCH("broken handle",C575)),"Break",ISNUMBER(SEARCH("shipping damage",C575)),"Break",ISNUMBER(SEARCH("broken",C575)),"Break",ISNUMBER(SEARCH("crack",C575)),"Break",ISNUMBER(SEARCH("snap",C575)),"Break",ISNUMBER(SEARCH("fracture",C575)),"Break",ISNUMBER(SEARCH("bent",C575)),"Material Twisted/Bent",ISNUMBER(SEARCH("twisted",C575)),"Material Twisted/Bent",ISNUMBER(SEARCH("component separat",C575)),"Material Separation",ISNUMBER(SEARCH("separat",C575)),"Material Separation",ISNUMBER(SEARCH("connection",C575)),"Loose or Intermittent Connection",ISNUMBER(SEARCH("loose",C575)),"Loose or Intermittent Connection",ISNUMBER(SEARCH("damaged packaging",C575)),"Packaging Problem",ISNUMBER(SEARCH("packaging",C575)),"Packaging Problem",ISNUMBER(SEARCH("discoloration",C575)),"Contamination",ISNUMBER(SEARCH("tarnish",C575)),"Contamination",ISNUMBER(SEARCH("stain",C575)),"Contamination",ISNUMBER(SEARCH("foreign material",C575)),"Contamination",ISNUMBER(SEARCH("contamina",C575)),"Contamination",ISNUMBER(SEARCH("overheat",C575)),"Overheating of Device",ISNUMBER(SEARCH("excessive heat",C575)),"Overheating of Device",ISNUMBER(SEARCH("hot",C575)),"Overheating of Device",ISNUMBER(SEARCH("noise",C575)),"Noise, Audible",ISNUMBER(SEARCH("sound",C575)),"Noise, Audible",ISNUMBER(SEARCH("loud",C575)),"Noise, Audible",ISNUMBER(SEARCH("fray",C575)),"Material Frayed",ISNUMBER(SEARCH("hole",C575)),"Material Frayed",ISNUMBER(SEARCH("tear",C575)),"Material Frayed",ISNUMBER(SEARCH("worn",C575)),"Material Frayed",ISNUMBER(SEARCH("intermittent",C575)),"Difficult or Delayed Activation",ISNUMBER(SEARCH("delay",C575)),"Difficult or Delayed Activation",ISNUMBER(SEARCH("label",C575)),"Device Markings/Labelling Problem",ISNUMBER(SEARCH("marking",C575)),"Device Markings/Labelling Problem",ISNUMBER(SEARCH("lacerat",C575)),"Defective Device",ISNUMBER(SEARCH("cut",C575)),"Defective Device",ISNUMBER(SEARCH("leak",C575)),"Fluid/Blood Leak",ISNUMBER(SEARCH("missing",C575)),"Component Missing",ISNUMBER(SEARCH("power",C575)),"Complete Loss of Power",ISNUMBER(SEARCH("will not turn on",C575)),"Complete Loss of Power",ISNUMBER(SEARCH("won't turn on",C575)),"Complete Loss of Power",ISNUMBER(SEARCH("does not turn on",C575)),"Complete Loss of Power",ISNUMBER(SEARCH("electrical",C575)),"Electrical Power Problem",ISNUMBER(SEARCH("pressure",C575)),"Detachment of Device or Device Component",ISNUMBER(SEARCH("slip",C575)),"Detachment of Device or Device Component",ISNUMBER(SEARCH("detach",C575)),"Detachment of Device or Device Component",ISNUMBER(SEARCH("stick",C575)),"Mechanical Jam",ISNUMBER(SEARCH("jam",C575)),"Mechanical Jam",ISNUMBER(SEARCH("rigid",C575)),"Mechanical Jam",ISNUMBER(SEARCH("rust",C575)),"Corroded",ISNUMBER(SEARCH("corrod",C575)),"Corroded",ISNUMBER(SEARCH("corrosion",C575)),"Corroded",ISNUMBER(SEARCH("alignment",C575)),"Defective Device",ISNUMBER(SEARCH("adjust",C575)),"Defective Device",ISNUMBER(SEARCH("perform",C575)),"Defective Device",ISNUMBER(SEARCH("malfunction",C575)),"Defective Device",ISNUMBER(SEARCH("defect",C575)),"Defective Device",ISNUMBER(SEARCH("fail",C575)),"Defective Device",ISNUMBER(SEARCH("not work",C575)),"Defective Device",ISNUMBER(SEARCH("doesn't work",C575)),"Defective Device",TRUE,"UNKNOWN"),"UNKNOWN")))</f>
        <v/>
      </c>
      <c r="F575" s="4" t="str">
        <f t="shared" si="8"/>
        <v/>
      </c>
      <c r="G575" s="363" t="str">
        <f>IF(E575="","",IFERROR(VLOOKUP(E575,Codes!$L$2:$N$409,3,FALSE),"—"))</f>
        <v/>
      </c>
      <c r="H575" s="88"/>
      <c r="I575" s="88"/>
    </row>
    <row r="576" spans="1:9" ht="13.15" x14ac:dyDescent="0.35">
      <c r="A576" s="435"/>
      <c r="B576" s="436"/>
      <c r="C576" s="438"/>
      <c r="D576" s="435"/>
      <c r="E576" s="93" t="str" cm="1">
        <f t="array" ref="E576">IF(D576&lt;&gt;"",IFERROR(VLOOKUP(D576,Codes!$K$2:$L$409,2,FALSE),"UNKNOWN - "&amp;D576),IF(C576="","",IFERROR(_xlfn.IFS(ISNUMBER(SEARCH("broken button",C576)),"Break",ISNUMBER(SEARCH("broken handle",C576)),"Break",ISNUMBER(SEARCH("shipping damage",C576)),"Break",ISNUMBER(SEARCH("broken",C576)),"Break",ISNUMBER(SEARCH("crack",C576)),"Break",ISNUMBER(SEARCH("snap",C576)),"Break",ISNUMBER(SEARCH("fracture",C576)),"Break",ISNUMBER(SEARCH("bent",C576)),"Material Twisted/Bent",ISNUMBER(SEARCH("twisted",C576)),"Material Twisted/Bent",ISNUMBER(SEARCH("component separat",C576)),"Material Separation",ISNUMBER(SEARCH("separat",C576)),"Material Separation",ISNUMBER(SEARCH("connection",C576)),"Loose or Intermittent Connection",ISNUMBER(SEARCH("loose",C576)),"Loose or Intermittent Connection",ISNUMBER(SEARCH("damaged packaging",C576)),"Packaging Problem",ISNUMBER(SEARCH("packaging",C576)),"Packaging Problem",ISNUMBER(SEARCH("discoloration",C576)),"Contamination",ISNUMBER(SEARCH("tarnish",C576)),"Contamination",ISNUMBER(SEARCH("stain",C576)),"Contamination",ISNUMBER(SEARCH("foreign material",C576)),"Contamination",ISNUMBER(SEARCH("contamina",C576)),"Contamination",ISNUMBER(SEARCH("overheat",C576)),"Overheating of Device",ISNUMBER(SEARCH("excessive heat",C576)),"Overheating of Device",ISNUMBER(SEARCH("hot",C576)),"Overheating of Device",ISNUMBER(SEARCH("noise",C576)),"Noise, Audible",ISNUMBER(SEARCH("sound",C576)),"Noise, Audible",ISNUMBER(SEARCH("loud",C576)),"Noise, Audible",ISNUMBER(SEARCH("fray",C576)),"Material Frayed",ISNUMBER(SEARCH("hole",C576)),"Material Frayed",ISNUMBER(SEARCH("tear",C576)),"Material Frayed",ISNUMBER(SEARCH("worn",C576)),"Material Frayed",ISNUMBER(SEARCH("intermittent",C576)),"Difficult or Delayed Activation",ISNUMBER(SEARCH("delay",C576)),"Difficult or Delayed Activation",ISNUMBER(SEARCH("label",C576)),"Device Markings/Labelling Problem",ISNUMBER(SEARCH("marking",C576)),"Device Markings/Labelling Problem",ISNUMBER(SEARCH("lacerat",C576)),"Defective Device",ISNUMBER(SEARCH("cut",C576)),"Defective Device",ISNUMBER(SEARCH("leak",C576)),"Fluid/Blood Leak",ISNUMBER(SEARCH("missing",C576)),"Component Missing",ISNUMBER(SEARCH("power",C576)),"Complete Loss of Power",ISNUMBER(SEARCH("will not turn on",C576)),"Complete Loss of Power",ISNUMBER(SEARCH("won't turn on",C576)),"Complete Loss of Power",ISNUMBER(SEARCH("does not turn on",C576)),"Complete Loss of Power",ISNUMBER(SEARCH("electrical",C576)),"Electrical Power Problem",ISNUMBER(SEARCH("pressure",C576)),"Detachment of Device or Device Component",ISNUMBER(SEARCH("slip",C576)),"Detachment of Device or Device Component",ISNUMBER(SEARCH("detach",C576)),"Detachment of Device or Device Component",ISNUMBER(SEARCH("stick",C576)),"Mechanical Jam",ISNUMBER(SEARCH("jam",C576)),"Mechanical Jam",ISNUMBER(SEARCH("rigid",C576)),"Mechanical Jam",ISNUMBER(SEARCH("rust",C576)),"Corroded",ISNUMBER(SEARCH("corrod",C576)),"Corroded",ISNUMBER(SEARCH("corrosion",C576)),"Corroded",ISNUMBER(SEARCH("alignment",C576)),"Defective Device",ISNUMBER(SEARCH("adjust",C576)),"Defective Device",ISNUMBER(SEARCH("perform",C576)),"Defective Device",ISNUMBER(SEARCH("malfunction",C576)),"Defective Device",ISNUMBER(SEARCH("defect",C576)),"Defective Device",ISNUMBER(SEARCH("fail",C576)),"Defective Device",ISNUMBER(SEARCH("not work",C576)),"Defective Device",ISNUMBER(SEARCH("doesn't work",C576)),"Defective Device",TRUE,"UNKNOWN"),"UNKNOWN")))</f>
        <v/>
      </c>
      <c r="F576" s="4" t="str">
        <f t="shared" si="8"/>
        <v/>
      </c>
      <c r="G576" s="363" t="str">
        <f>IF(E576="","",IFERROR(VLOOKUP(E576,Codes!$L$2:$N$409,3,FALSE),"—"))</f>
        <v/>
      </c>
      <c r="H576" s="88"/>
      <c r="I576" s="88"/>
    </row>
    <row r="577" spans="1:9" ht="13.15" x14ac:dyDescent="0.35">
      <c r="A577" s="435"/>
      <c r="B577" s="436"/>
      <c r="C577" s="438"/>
      <c r="D577" s="435"/>
      <c r="E577" s="93" t="str" cm="1">
        <f t="array" ref="E577">IF(D577&lt;&gt;"",IFERROR(VLOOKUP(D577,Codes!$K$2:$L$409,2,FALSE),"UNKNOWN - "&amp;D577),IF(C577="","",IFERROR(_xlfn.IFS(ISNUMBER(SEARCH("broken button",C577)),"Break",ISNUMBER(SEARCH("broken handle",C577)),"Break",ISNUMBER(SEARCH("shipping damage",C577)),"Break",ISNUMBER(SEARCH("broken",C577)),"Break",ISNUMBER(SEARCH("crack",C577)),"Break",ISNUMBER(SEARCH("snap",C577)),"Break",ISNUMBER(SEARCH("fracture",C577)),"Break",ISNUMBER(SEARCH("bent",C577)),"Material Twisted/Bent",ISNUMBER(SEARCH("twisted",C577)),"Material Twisted/Bent",ISNUMBER(SEARCH("component separat",C577)),"Material Separation",ISNUMBER(SEARCH("separat",C577)),"Material Separation",ISNUMBER(SEARCH("connection",C577)),"Loose or Intermittent Connection",ISNUMBER(SEARCH("loose",C577)),"Loose or Intermittent Connection",ISNUMBER(SEARCH("damaged packaging",C577)),"Packaging Problem",ISNUMBER(SEARCH("packaging",C577)),"Packaging Problem",ISNUMBER(SEARCH("discoloration",C577)),"Contamination",ISNUMBER(SEARCH("tarnish",C577)),"Contamination",ISNUMBER(SEARCH("stain",C577)),"Contamination",ISNUMBER(SEARCH("foreign material",C577)),"Contamination",ISNUMBER(SEARCH("contamina",C577)),"Contamination",ISNUMBER(SEARCH("overheat",C577)),"Overheating of Device",ISNUMBER(SEARCH("excessive heat",C577)),"Overheating of Device",ISNUMBER(SEARCH("hot",C577)),"Overheating of Device",ISNUMBER(SEARCH("noise",C577)),"Noise, Audible",ISNUMBER(SEARCH("sound",C577)),"Noise, Audible",ISNUMBER(SEARCH("loud",C577)),"Noise, Audible",ISNUMBER(SEARCH("fray",C577)),"Material Frayed",ISNUMBER(SEARCH("hole",C577)),"Material Frayed",ISNUMBER(SEARCH("tear",C577)),"Material Frayed",ISNUMBER(SEARCH("worn",C577)),"Material Frayed",ISNUMBER(SEARCH("intermittent",C577)),"Difficult or Delayed Activation",ISNUMBER(SEARCH("delay",C577)),"Difficult or Delayed Activation",ISNUMBER(SEARCH("label",C577)),"Device Markings/Labelling Problem",ISNUMBER(SEARCH("marking",C577)),"Device Markings/Labelling Problem",ISNUMBER(SEARCH("lacerat",C577)),"Defective Device",ISNUMBER(SEARCH("cut",C577)),"Defective Device",ISNUMBER(SEARCH("leak",C577)),"Fluid/Blood Leak",ISNUMBER(SEARCH("missing",C577)),"Component Missing",ISNUMBER(SEARCH("power",C577)),"Complete Loss of Power",ISNUMBER(SEARCH("will not turn on",C577)),"Complete Loss of Power",ISNUMBER(SEARCH("won't turn on",C577)),"Complete Loss of Power",ISNUMBER(SEARCH("does not turn on",C577)),"Complete Loss of Power",ISNUMBER(SEARCH("electrical",C577)),"Electrical Power Problem",ISNUMBER(SEARCH("pressure",C577)),"Detachment of Device or Device Component",ISNUMBER(SEARCH("slip",C577)),"Detachment of Device or Device Component",ISNUMBER(SEARCH("detach",C577)),"Detachment of Device or Device Component",ISNUMBER(SEARCH("stick",C577)),"Mechanical Jam",ISNUMBER(SEARCH("jam",C577)),"Mechanical Jam",ISNUMBER(SEARCH("rigid",C577)),"Mechanical Jam",ISNUMBER(SEARCH("rust",C577)),"Corroded",ISNUMBER(SEARCH("corrod",C577)),"Corroded",ISNUMBER(SEARCH("corrosion",C577)),"Corroded",ISNUMBER(SEARCH("alignment",C577)),"Defective Device",ISNUMBER(SEARCH("adjust",C577)),"Defective Device",ISNUMBER(SEARCH("perform",C577)),"Defective Device",ISNUMBER(SEARCH("malfunction",C577)),"Defective Device",ISNUMBER(SEARCH("defect",C577)),"Defective Device",ISNUMBER(SEARCH("fail",C577)),"Defective Device",ISNUMBER(SEARCH("not work",C577)),"Defective Device",ISNUMBER(SEARCH("doesn't work",C577)),"Defective Device",TRUE,"UNKNOWN"),"UNKNOWN")))</f>
        <v/>
      </c>
      <c r="F577" s="4" t="str">
        <f t="shared" si="8"/>
        <v/>
      </c>
      <c r="G577" s="363" t="str">
        <f>IF(E577="","",IFERROR(VLOOKUP(E577,Codes!$L$2:$N$409,3,FALSE),"—"))</f>
        <v/>
      </c>
      <c r="H577" s="88"/>
      <c r="I577" s="88"/>
    </row>
    <row r="578" spans="1:9" ht="13.15" x14ac:dyDescent="0.35">
      <c r="A578" s="434"/>
      <c r="B578" s="436"/>
      <c r="C578" s="437"/>
      <c r="D578" s="434"/>
      <c r="E578" s="93" t="str" cm="1">
        <f t="array" ref="E578">IF(D578&lt;&gt;"",IFERROR(VLOOKUP(D578,Codes!$K$2:$L$409,2,FALSE),"UNKNOWN - "&amp;D578),IF(C578="","",IFERROR(_xlfn.IFS(ISNUMBER(SEARCH("broken button",C578)),"Break",ISNUMBER(SEARCH("broken handle",C578)),"Break",ISNUMBER(SEARCH("shipping damage",C578)),"Break",ISNUMBER(SEARCH("broken",C578)),"Break",ISNUMBER(SEARCH("crack",C578)),"Break",ISNUMBER(SEARCH("snap",C578)),"Break",ISNUMBER(SEARCH("fracture",C578)),"Break",ISNUMBER(SEARCH("bent",C578)),"Material Twisted/Bent",ISNUMBER(SEARCH("twisted",C578)),"Material Twisted/Bent",ISNUMBER(SEARCH("component separat",C578)),"Material Separation",ISNUMBER(SEARCH("separat",C578)),"Material Separation",ISNUMBER(SEARCH("connection",C578)),"Loose or Intermittent Connection",ISNUMBER(SEARCH("loose",C578)),"Loose or Intermittent Connection",ISNUMBER(SEARCH("damaged packaging",C578)),"Packaging Problem",ISNUMBER(SEARCH("packaging",C578)),"Packaging Problem",ISNUMBER(SEARCH("discoloration",C578)),"Contamination",ISNUMBER(SEARCH("tarnish",C578)),"Contamination",ISNUMBER(SEARCH("stain",C578)),"Contamination",ISNUMBER(SEARCH("foreign material",C578)),"Contamination",ISNUMBER(SEARCH("contamina",C578)),"Contamination",ISNUMBER(SEARCH("overheat",C578)),"Overheating of Device",ISNUMBER(SEARCH("excessive heat",C578)),"Overheating of Device",ISNUMBER(SEARCH("hot",C578)),"Overheating of Device",ISNUMBER(SEARCH("noise",C578)),"Noise, Audible",ISNUMBER(SEARCH("sound",C578)),"Noise, Audible",ISNUMBER(SEARCH("loud",C578)),"Noise, Audible",ISNUMBER(SEARCH("fray",C578)),"Material Frayed",ISNUMBER(SEARCH("hole",C578)),"Material Frayed",ISNUMBER(SEARCH("tear",C578)),"Material Frayed",ISNUMBER(SEARCH("worn",C578)),"Material Frayed",ISNUMBER(SEARCH("intermittent",C578)),"Difficult or Delayed Activation",ISNUMBER(SEARCH("delay",C578)),"Difficult or Delayed Activation",ISNUMBER(SEARCH("label",C578)),"Device Markings/Labelling Problem",ISNUMBER(SEARCH("marking",C578)),"Device Markings/Labelling Problem",ISNUMBER(SEARCH("lacerat",C578)),"Defective Device",ISNUMBER(SEARCH("cut",C578)),"Defective Device",ISNUMBER(SEARCH("leak",C578)),"Fluid/Blood Leak",ISNUMBER(SEARCH("missing",C578)),"Component Missing",ISNUMBER(SEARCH("power",C578)),"Complete Loss of Power",ISNUMBER(SEARCH("will not turn on",C578)),"Complete Loss of Power",ISNUMBER(SEARCH("won't turn on",C578)),"Complete Loss of Power",ISNUMBER(SEARCH("does not turn on",C578)),"Complete Loss of Power",ISNUMBER(SEARCH("electrical",C578)),"Electrical Power Problem",ISNUMBER(SEARCH("pressure",C578)),"Detachment of Device or Device Component",ISNUMBER(SEARCH("slip",C578)),"Detachment of Device or Device Component",ISNUMBER(SEARCH("detach",C578)),"Detachment of Device or Device Component",ISNUMBER(SEARCH("stick",C578)),"Mechanical Jam",ISNUMBER(SEARCH("jam",C578)),"Mechanical Jam",ISNUMBER(SEARCH("rigid",C578)),"Mechanical Jam",ISNUMBER(SEARCH("rust",C578)),"Corroded",ISNUMBER(SEARCH("corrod",C578)),"Corroded",ISNUMBER(SEARCH("corrosion",C578)),"Corroded",ISNUMBER(SEARCH("alignment",C578)),"Defective Device",ISNUMBER(SEARCH("adjust",C578)),"Defective Device",ISNUMBER(SEARCH("perform",C578)),"Defective Device",ISNUMBER(SEARCH("malfunction",C578)),"Defective Device",ISNUMBER(SEARCH("defect",C578)),"Defective Device",ISNUMBER(SEARCH("fail",C578)),"Defective Device",ISNUMBER(SEARCH("not work",C578)),"Defective Device",ISNUMBER(SEARCH("doesn't work",C578)),"Defective Device",TRUE,"UNKNOWN"),"UNKNOWN")))</f>
        <v/>
      </c>
      <c r="F578" s="4" t="str">
        <f t="shared" si="8"/>
        <v/>
      </c>
      <c r="G578" s="363" t="str">
        <f>IF(E578="","",IFERROR(VLOOKUP(E578,Codes!$L$2:$N$409,3,FALSE),"—"))</f>
        <v/>
      </c>
      <c r="H578" s="88"/>
      <c r="I578" s="88"/>
    </row>
    <row r="579" spans="1:9" ht="13.15" x14ac:dyDescent="0.35">
      <c r="A579" s="435"/>
      <c r="B579" s="436"/>
      <c r="C579" s="438"/>
      <c r="D579" s="435"/>
      <c r="E579" s="93" t="str" cm="1">
        <f t="array" ref="E579">IF(D579&lt;&gt;"",IFERROR(VLOOKUP(D579,Codes!$K$2:$L$409,2,FALSE),"UNKNOWN - "&amp;D579),IF(C579="","",IFERROR(_xlfn.IFS(ISNUMBER(SEARCH("broken button",C579)),"Break",ISNUMBER(SEARCH("broken handle",C579)),"Break",ISNUMBER(SEARCH("shipping damage",C579)),"Break",ISNUMBER(SEARCH("broken",C579)),"Break",ISNUMBER(SEARCH("crack",C579)),"Break",ISNUMBER(SEARCH("snap",C579)),"Break",ISNUMBER(SEARCH("fracture",C579)),"Break",ISNUMBER(SEARCH("bent",C579)),"Material Twisted/Bent",ISNUMBER(SEARCH("twisted",C579)),"Material Twisted/Bent",ISNUMBER(SEARCH("component separat",C579)),"Material Separation",ISNUMBER(SEARCH("separat",C579)),"Material Separation",ISNUMBER(SEARCH("connection",C579)),"Loose or Intermittent Connection",ISNUMBER(SEARCH("loose",C579)),"Loose or Intermittent Connection",ISNUMBER(SEARCH("damaged packaging",C579)),"Packaging Problem",ISNUMBER(SEARCH("packaging",C579)),"Packaging Problem",ISNUMBER(SEARCH("discoloration",C579)),"Contamination",ISNUMBER(SEARCH("tarnish",C579)),"Contamination",ISNUMBER(SEARCH("stain",C579)),"Contamination",ISNUMBER(SEARCH("foreign material",C579)),"Contamination",ISNUMBER(SEARCH("contamina",C579)),"Contamination",ISNUMBER(SEARCH("overheat",C579)),"Overheating of Device",ISNUMBER(SEARCH("excessive heat",C579)),"Overheating of Device",ISNUMBER(SEARCH("hot",C579)),"Overheating of Device",ISNUMBER(SEARCH("noise",C579)),"Noise, Audible",ISNUMBER(SEARCH("sound",C579)),"Noise, Audible",ISNUMBER(SEARCH("loud",C579)),"Noise, Audible",ISNUMBER(SEARCH("fray",C579)),"Material Frayed",ISNUMBER(SEARCH("hole",C579)),"Material Frayed",ISNUMBER(SEARCH("tear",C579)),"Material Frayed",ISNUMBER(SEARCH("worn",C579)),"Material Frayed",ISNUMBER(SEARCH("intermittent",C579)),"Difficult or Delayed Activation",ISNUMBER(SEARCH("delay",C579)),"Difficult or Delayed Activation",ISNUMBER(SEARCH("label",C579)),"Device Markings/Labelling Problem",ISNUMBER(SEARCH("marking",C579)),"Device Markings/Labelling Problem",ISNUMBER(SEARCH("lacerat",C579)),"Defective Device",ISNUMBER(SEARCH("cut",C579)),"Defective Device",ISNUMBER(SEARCH("leak",C579)),"Fluid/Blood Leak",ISNUMBER(SEARCH("missing",C579)),"Component Missing",ISNUMBER(SEARCH("power",C579)),"Complete Loss of Power",ISNUMBER(SEARCH("will not turn on",C579)),"Complete Loss of Power",ISNUMBER(SEARCH("won't turn on",C579)),"Complete Loss of Power",ISNUMBER(SEARCH("does not turn on",C579)),"Complete Loss of Power",ISNUMBER(SEARCH("electrical",C579)),"Electrical Power Problem",ISNUMBER(SEARCH("pressure",C579)),"Detachment of Device or Device Component",ISNUMBER(SEARCH("slip",C579)),"Detachment of Device or Device Component",ISNUMBER(SEARCH("detach",C579)),"Detachment of Device or Device Component",ISNUMBER(SEARCH("stick",C579)),"Mechanical Jam",ISNUMBER(SEARCH("jam",C579)),"Mechanical Jam",ISNUMBER(SEARCH("rigid",C579)),"Mechanical Jam",ISNUMBER(SEARCH("rust",C579)),"Corroded",ISNUMBER(SEARCH("corrod",C579)),"Corroded",ISNUMBER(SEARCH("corrosion",C579)),"Corroded",ISNUMBER(SEARCH("alignment",C579)),"Defective Device",ISNUMBER(SEARCH("adjust",C579)),"Defective Device",ISNUMBER(SEARCH("perform",C579)),"Defective Device",ISNUMBER(SEARCH("malfunction",C579)),"Defective Device",ISNUMBER(SEARCH("defect",C579)),"Defective Device",ISNUMBER(SEARCH("fail",C579)),"Defective Device",ISNUMBER(SEARCH("not work",C579)),"Defective Device",ISNUMBER(SEARCH("doesn't work",C579)),"Defective Device",TRUE,"UNKNOWN"),"UNKNOWN")))</f>
        <v/>
      </c>
      <c r="F579" s="4" t="str">
        <f t="shared" ref="F579:F631" si="9">IF(E579="","","No Clinical Signs, Symptoms or Conditions")</f>
        <v/>
      </c>
      <c r="G579" s="363" t="str">
        <f>IF(E579="","",IFERROR(VLOOKUP(E579,Codes!$L$2:$N$409,3,FALSE),"—"))</f>
        <v/>
      </c>
      <c r="H579" s="88"/>
      <c r="I579" s="88"/>
    </row>
    <row r="580" spans="1:9" ht="13.15" x14ac:dyDescent="0.35">
      <c r="A580" s="434"/>
      <c r="B580" s="436"/>
      <c r="C580" s="437"/>
      <c r="D580" s="434"/>
      <c r="E580" s="93" t="str" cm="1">
        <f t="array" ref="E580">IF(D580&lt;&gt;"",IFERROR(VLOOKUP(D580,Codes!$K$2:$L$409,2,FALSE),"UNKNOWN - "&amp;D580),IF(C580="","",IFERROR(_xlfn.IFS(ISNUMBER(SEARCH("broken button",C580)),"Break",ISNUMBER(SEARCH("broken handle",C580)),"Break",ISNUMBER(SEARCH("shipping damage",C580)),"Break",ISNUMBER(SEARCH("broken",C580)),"Break",ISNUMBER(SEARCH("crack",C580)),"Break",ISNUMBER(SEARCH("snap",C580)),"Break",ISNUMBER(SEARCH("fracture",C580)),"Break",ISNUMBER(SEARCH("bent",C580)),"Material Twisted/Bent",ISNUMBER(SEARCH("twisted",C580)),"Material Twisted/Bent",ISNUMBER(SEARCH("component separat",C580)),"Material Separation",ISNUMBER(SEARCH("separat",C580)),"Material Separation",ISNUMBER(SEARCH("connection",C580)),"Loose or Intermittent Connection",ISNUMBER(SEARCH("loose",C580)),"Loose or Intermittent Connection",ISNUMBER(SEARCH("damaged packaging",C580)),"Packaging Problem",ISNUMBER(SEARCH("packaging",C580)),"Packaging Problem",ISNUMBER(SEARCH("discoloration",C580)),"Contamination",ISNUMBER(SEARCH("tarnish",C580)),"Contamination",ISNUMBER(SEARCH("stain",C580)),"Contamination",ISNUMBER(SEARCH("foreign material",C580)),"Contamination",ISNUMBER(SEARCH("contamina",C580)),"Contamination",ISNUMBER(SEARCH("overheat",C580)),"Overheating of Device",ISNUMBER(SEARCH("excessive heat",C580)),"Overheating of Device",ISNUMBER(SEARCH("hot",C580)),"Overheating of Device",ISNUMBER(SEARCH("noise",C580)),"Noise, Audible",ISNUMBER(SEARCH("sound",C580)),"Noise, Audible",ISNUMBER(SEARCH("loud",C580)),"Noise, Audible",ISNUMBER(SEARCH("fray",C580)),"Material Frayed",ISNUMBER(SEARCH("hole",C580)),"Material Frayed",ISNUMBER(SEARCH("tear",C580)),"Material Frayed",ISNUMBER(SEARCH("worn",C580)),"Material Frayed",ISNUMBER(SEARCH("intermittent",C580)),"Difficult or Delayed Activation",ISNUMBER(SEARCH("delay",C580)),"Difficult or Delayed Activation",ISNUMBER(SEARCH("label",C580)),"Device Markings/Labelling Problem",ISNUMBER(SEARCH("marking",C580)),"Device Markings/Labelling Problem",ISNUMBER(SEARCH("lacerat",C580)),"Defective Device",ISNUMBER(SEARCH("cut",C580)),"Defective Device",ISNUMBER(SEARCH("leak",C580)),"Fluid/Blood Leak",ISNUMBER(SEARCH("missing",C580)),"Component Missing",ISNUMBER(SEARCH("power",C580)),"Complete Loss of Power",ISNUMBER(SEARCH("will not turn on",C580)),"Complete Loss of Power",ISNUMBER(SEARCH("won't turn on",C580)),"Complete Loss of Power",ISNUMBER(SEARCH("does not turn on",C580)),"Complete Loss of Power",ISNUMBER(SEARCH("electrical",C580)),"Electrical Power Problem",ISNUMBER(SEARCH("pressure",C580)),"Detachment of Device or Device Component",ISNUMBER(SEARCH("slip",C580)),"Detachment of Device or Device Component",ISNUMBER(SEARCH("detach",C580)),"Detachment of Device or Device Component",ISNUMBER(SEARCH("stick",C580)),"Mechanical Jam",ISNUMBER(SEARCH("jam",C580)),"Mechanical Jam",ISNUMBER(SEARCH("rigid",C580)),"Mechanical Jam",ISNUMBER(SEARCH("rust",C580)),"Corroded",ISNUMBER(SEARCH("corrod",C580)),"Corroded",ISNUMBER(SEARCH("corrosion",C580)),"Corroded",ISNUMBER(SEARCH("alignment",C580)),"Defective Device",ISNUMBER(SEARCH("adjust",C580)),"Defective Device",ISNUMBER(SEARCH("perform",C580)),"Defective Device",ISNUMBER(SEARCH("malfunction",C580)),"Defective Device",ISNUMBER(SEARCH("defect",C580)),"Defective Device",ISNUMBER(SEARCH("fail",C580)),"Defective Device",ISNUMBER(SEARCH("not work",C580)),"Defective Device",ISNUMBER(SEARCH("doesn't work",C580)),"Defective Device",TRUE,"UNKNOWN"),"UNKNOWN")))</f>
        <v/>
      </c>
      <c r="F580" s="4" t="str">
        <f t="shared" si="9"/>
        <v/>
      </c>
      <c r="G580" s="363" t="str">
        <f>IF(E580="","",IFERROR(VLOOKUP(E580,Codes!$L$2:$N$409,3,FALSE),"—"))</f>
        <v/>
      </c>
      <c r="H580" s="88"/>
      <c r="I580" s="88"/>
    </row>
    <row r="581" spans="1:9" ht="13.15" x14ac:dyDescent="0.35">
      <c r="A581" s="435"/>
      <c r="B581" s="436"/>
      <c r="C581" s="438"/>
      <c r="D581" s="435"/>
      <c r="E581" s="93" t="str" cm="1">
        <f t="array" ref="E581">IF(D581&lt;&gt;"",IFERROR(VLOOKUP(D581,Codes!$K$2:$L$409,2,FALSE),"UNKNOWN - "&amp;D581),IF(C581="","",IFERROR(_xlfn.IFS(ISNUMBER(SEARCH("broken button",C581)),"Break",ISNUMBER(SEARCH("broken handle",C581)),"Break",ISNUMBER(SEARCH("shipping damage",C581)),"Break",ISNUMBER(SEARCH("broken",C581)),"Break",ISNUMBER(SEARCH("crack",C581)),"Break",ISNUMBER(SEARCH("snap",C581)),"Break",ISNUMBER(SEARCH("fracture",C581)),"Break",ISNUMBER(SEARCH("bent",C581)),"Material Twisted/Bent",ISNUMBER(SEARCH("twisted",C581)),"Material Twisted/Bent",ISNUMBER(SEARCH("component separat",C581)),"Material Separation",ISNUMBER(SEARCH("separat",C581)),"Material Separation",ISNUMBER(SEARCH("connection",C581)),"Loose or Intermittent Connection",ISNUMBER(SEARCH("loose",C581)),"Loose or Intermittent Connection",ISNUMBER(SEARCH("damaged packaging",C581)),"Packaging Problem",ISNUMBER(SEARCH("packaging",C581)),"Packaging Problem",ISNUMBER(SEARCH("discoloration",C581)),"Contamination",ISNUMBER(SEARCH("tarnish",C581)),"Contamination",ISNUMBER(SEARCH("stain",C581)),"Contamination",ISNUMBER(SEARCH("foreign material",C581)),"Contamination",ISNUMBER(SEARCH("contamina",C581)),"Contamination",ISNUMBER(SEARCH("overheat",C581)),"Overheating of Device",ISNUMBER(SEARCH("excessive heat",C581)),"Overheating of Device",ISNUMBER(SEARCH("hot",C581)),"Overheating of Device",ISNUMBER(SEARCH("noise",C581)),"Noise, Audible",ISNUMBER(SEARCH("sound",C581)),"Noise, Audible",ISNUMBER(SEARCH("loud",C581)),"Noise, Audible",ISNUMBER(SEARCH("fray",C581)),"Material Frayed",ISNUMBER(SEARCH("hole",C581)),"Material Frayed",ISNUMBER(SEARCH("tear",C581)),"Material Frayed",ISNUMBER(SEARCH("worn",C581)),"Material Frayed",ISNUMBER(SEARCH("intermittent",C581)),"Difficult or Delayed Activation",ISNUMBER(SEARCH("delay",C581)),"Difficult or Delayed Activation",ISNUMBER(SEARCH("label",C581)),"Device Markings/Labelling Problem",ISNUMBER(SEARCH("marking",C581)),"Device Markings/Labelling Problem",ISNUMBER(SEARCH("lacerat",C581)),"Defective Device",ISNUMBER(SEARCH("cut",C581)),"Defective Device",ISNUMBER(SEARCH("leak",C581)),"Fluid/Blood Leak",ISNUMBER(SEARCH("missing",C581)),"Component Missing",ISNUMBER(SEARCH("power",C581)),"Complete Loss of Power",ISNUMBER(SEARCH("will not turn on",C581)),"Complete Loss of Power",ISNUMBER(SEARCH("won't turn on",C581)),"Complete Loss of Power",ISNUMBER(SEARCH("does not turn on",C581)),"Complete Loss of Power",ISNUMBER(SEARCH("electrical",C581)),"Electrical Power Problem",ISNUMBER(SEARCH("pressure",C581)),"Detachment of Device or Device Component",ISNUMBER(SEARCH("slip",C581)),"Detachment of Device or Device Component",ISNUMBER(SEARCH("detach",C581)),"Detachment of Device or Device Component",ISNUMBER(SEARCH("stick",C581)),"Mechanical Jam",ISNUMBER(SEARCH("jam",C581)),"Mechanical Jam",ISNUMBER(SEARCH("rigid",C581)),"Mechanical Jam",ISNUMBER(SEARCH("rust",C581)),"Corroded",ISNUMBER(SEARCH("corrod",C581)),"Corroded",ISNUMBER(SEARCH("corrosion",C581)),"Corroded",ISNUMBER(SEARCH("alignment",C581)),"Defective Device",ISNUMBER(SEARCH("adjust",C581)),"Defective Device",ISNUMBER(SEARCH("perform",C581)),"Defective Device",ISNUMBER(SEARCH("malfunction",C581)),"Defective Device",ISNUMBER(SEARCH("defect",C581)),"Defective Device",ISNUMBER(SEARCH("fail",C581)),"Defective Device",ISNUMBER(SEARCH("not work",C581)),"Defective Device",ISNUMBER(SEARCH("doesn't work",C581)),"Defective Device",TRUE,"UNKNOWN"),"UNKNOWN")))</f>
        <v/>
      </c>
      <c r="F581" s="4" t="str">
        <f t="shared" si="9"/>
        <v/>
      </c>
      <c r="G581" s="363" t="str">
        <f>IF(E581="","",IFERROR(VLOOKUP(E581,Codes!$L$2:$N$409,3,FALSE),"—"))</f>
        <v/>
      </c>
      <c r="H581" s="88"/>
      <c r="I581" s="88"/>
    </row>
    <row r="582" spans="1:9" ht="13.15" x14ac:dyDescent="0.35">
      <c r="A582" s="435"/>
      <c r="B582" s="436"/>
      <c r="C582" s="438"/>
      <c r="D582" s="435"/>
      <c r="E582" s="93" t="str" cm="1">
        <f t="array" ref="E582">IF(D582&lt;&gt;"",IFERROR(VLOOKUP(D582,Codes!$K$2:$L$409,2,FALSE),"UNKNOWN - "&amp;D582),IF(C582="","",IFERROR(_xlfn.IFS(ISNUMBER(SEARCH("broken button",C582)),"Break",ISNUMBER(SEARCH("broken handle",C582)),"Break",ISNUMBER(SEARCH("shipping damage",C582)),"Break",ISNUMBER(SEARCH("broken",C582)),"Break",ISNUMBER(SEARCH("crack",C582)),"Break",ISNUMBER(SEARCH("snap",C582)),"Break",ISNUMBER(SEARCH("fracture",C582)),"Break",ISNUMBER(SEARCH("bent",C582)),"Material Twisted/Bent",ISNUMBER(SEARCH("twisted",C582)),"Material Twisted/Bent",ISNUMBER(SEARCH("component separat",C582)),"Material Separation",ISNUMBER(SEARCH("separat",C582)),"Material Separation",ISNUMBER(SEARCH("connection",C582)),"Loose or Intermittent Connection",ISNUMBER(SEARCH("loose",C582)),"Loose or Intermittent Connection",ISNUMBER(SEARCH("damaged packaging",C582)),"Packaging Problem",ISNUMBER(SEARCH("packaging",C582)),"Packaging Problem",ISNUMBER(SEARCH("discoloration",C582)),"Contamination",ISNUMBER(SEARCH("tarnish",C582)),"Contamination",ISNUMBER(SEARCH("stain",C582)),"Contamination",ISNUMBER(SEARCH("foreign material",C582)),"Contamination",ISNUMBER(SEARCH("contamina",C582)),"Contamination",ISNUMBER(SEARCH("overheat",C582)),"Overheating of Device",ISNUMBER(SEARCH("excessive heat",C582)),"Overheating of Device",ISNUMBER(SEARCH("hot",C582)),"Overheating of Device",ISNUMBER(SEARCH("noise",C582)),"Noise, Audible",ISNUMBER(SEARCH("sound",C582)),"Noise, Audible",ISNUMBER(SEARCH("loud",C582)),"Noise, Audible",ISNUMBER(SEARCH("fray",C582)),"Material Frayed",ISNUMBER(SEARCH("hole",C582)),"Material Frayed",ISNUMBER(SEARCH("tear",C582)),"Material Frayed",ISNUMBER(SEARCH("worn",C582)),"Material Frayed",ISNUMBER(SEARCH("intermittent",C582)),"Difficult or Delayed Activation",ISNUMBER(SEARCH("delay",C582)),"Difficult or Delayed Activation",ISNUMBER(SEARCH("label",C582)),"Device Markings/Labelling Problem",ISNUMBER(SEARCH("marking",C582)),"Device Markings/Labelling Problem",ISNUMBER(SEARCH("lacerat",C582)),"Defective Device",ISNUMBER(SEARCH("cut",C582)),"Defective Device",ISNUMBER(SEARCH("leak",C582)),"Fluid/Blood Leak",ISNUMBER(SEARCH("missing",C582)),"Component Missing",ISNUMBER(SEARCH("power",C582)),"Complete Loss of Power",ISNUMBER(SEARCH("will not turn on",C582)),"Complete Loss of Power",ISNUMBER(SEARCH("won't turn on",C582)),"Complete Loss of Power",ISNUMBER(SEARCH("does not turn on",C582)),"Complete Loss of Power",ISNUMBER(SEARCH("electrical",C582)),"Electrical Power Problem",ISNUMBER(SEARCH("pressure",C582)),"Detachment of Device or Device Component",ISNUMBER(SEARCH("slip",C582)),"Detachment of Device or Device Component",ISNUMBER(SEARCH("detach",C582)),"Detachment of Device or Device Component",ISNUMBER(SEARCH("stick",C582)),"Mechanical Jam",ISNUMBER(SEARCH("jam",C582)),"Mechanical Jam",ISNUMBER(SEARCH("rigid",C582)),"Mechanical Jam",ISNUMBER(SEARCH("rust",C582)),"Corroded",ISNUMBER(SEARCH("corrod",C582)),"Corroded",ISNUMBER(SEARCH("corrosion",C582)),"Corroded",ISNUMBER(SEARCH("alignment",C582)),"Defective Device",ISNUMBER(SEARCH("adjust",C582)),"Defective Device",ISNUMBER(SEARCH("perform",C582)),"Defective Device",ISNUMBER(SEARCH("malfunction",C582)),"Defective Device",ISNUMBER(SEARCH("defect",C582)),"Defective Device",ISNUMBER(SEARCH("fail",C582)),"Defective Device",ISNUMBER(SEARCH("not work",C582)),"Defective Device",ISNUMBER(SEARCH("doesn't work",C582)),"Defective Device",TRUE,"UNKNOWN"),"UNKNOWN")))</f>
        <v/>
      </c>
      <c r="F582" s="4" t="str">
        <f t="shared" si="9"/>
        <v/>
      </c>
      <c r="G582" s="363" t="str">
        <f>IF(E582="","",IFERROR(VLOOKUP(E582,Codes!$L$2:$N$409,3,FALSE),"—"))</f>
        <v/>
      </c>
      <c r="H582" s="88"/>
      <c r="I582" s="88"/>
    </row>
    <row r="583" spans="1:9" ht="13.15" x14ac:dyDescent="0.35">
      <c r="A583" s="434"/>
      <c r="B583" s="436"/>
      <c r="C583" s="437"/>
      <c r="D583" s="434"/>
      <c r="E583" s="93" t="str" cm="1">
        <f t="array" ref="E583">IF(D583&lt;&gt;"",IFERROR(VLOOKUP(D583,Codes!$K$2:$L$409,2,FALSE),"UNKNOWN - "&amp;D583),IF(C583="","",IFERROR(_xlfn.IFS(ISNUMBER(SEARCH("broken button",C583)),"Break",ISNUMBER(SEARCH("broken handle",C583)),"Break",ISNUMBER(SEARCH("shipping damage",C583)),"Break",ISNUMBER(SEARCH("broken",C583)),"Break",ISNUMBER(SEARCH("crack",C583)),"Break",ISNUMBER(SEARCH("snap",C583)),"Break",ISNUMBER(SEARCH("fracture",C583)),"Break",ISNUMBER(SEARCH("bent",C583)),"Material Twisted/Bent",ISNUMBER(SEARCH("twisted",C583)),"Material Twisted/Bent",ISNUMBER(SEARCH("component separat",C583)),"Material Separation",ISNUMBER(SEARCH("separat",C583)),"Material Separation",ISNUMBER(SEARCH("connection",C583)),"Loose or Intermittent Connection",ISNUMBER(SEARCH("loose",C583)),"Loose or Intermittent Connection",ISNUMBER(SEARCH("damaged packaging",C583)),"Packaging Problem",ISNUMBER(SEARCH("packaging",C583)),"Packaging Problem",ISNUMBER(SEARCH("discoloration",C583)),"Contamination",ISNUMBER(SEARCH("tarnish",C583)),"Contamination",ISNUMBER(SEARCH("stain",C583)),"Contamination",ISNUMBER(SEARCH("foreign material",C583)),"Contamination",ISNUMBER(SEARCH("contamina",C583)),"Contamination",ISNUMBER(SEARCH("overheat",C583)),"Overheating of Device",ISNUMBER(SEARCH("excessive heat",C583)),"Overheating of Device",ISNUMBER(SEARCH("hot",C583)),"Overheating of Device",ISNUMBER(SEARCH("noise",C583)),"Noise, Audible",ISNUMBER(SEARCH("sound",C583)),"Noise, Audible",ISNUMBER(SEARCH("loud",C583)),"Noise, Audible",ISNUMBER(SEARCH("fray",C583)),"Material Frayed",ISNUMBER(SEARCH("hole",C583)),"Material Frayed",ISNUMBER(SEARCH("tear",C583)),"Material Frayed",ISNUMBER(SEARCH("worn",C583)),"Material Frayed",ISNUMBER(SEARCH("intermittent",C583)),"Difficult or Delayed Activation",ISNUMBER(SEARCH("delay",C583)),"Difficult or Delayed Activation",ISNUMBER(SEARCH("label",C583)),"Device Markings/Labelling Problem",ISNUMBER(SEARCH("marking",C583)),"Device Markings/Labelling Problem",ISNUMBER(SEARCH("lacerat",C583)),"Defective Device",ISNUMBER(SEARCH("cut",C583)),"Defective Device",ISNUMBER(SEARCH("leak",C583)),"Fluid/Blood Leak",ISNUMBER(SEARCH("missing",C583)),"Component Missing",ISNUMBER(SEARCH("power",C583)),"Complete Loss of Power",ISNUMBER(SEARCH("will not turn on",C583)),"Complete Loss of Power",ISNUMBER(SEARCH("won't turn on",C583)),"Complete Loss of Power",ISNUMBER(SEARCH("does not turn on",C583)),"Complete Loss of Power",ISNUMBER(SEARCH("electrical",C583)),"Electrical Power Problem",ISNUMBER(SEARCH("pressure",C583)),"Detachment of Device or Device Component",ISNUMBER(SEARCH("slip",C583)),"Detachment of Device or Device Component",ISNUMBER(SEARCH("detach",C583)),"Detachment of Device or Device Component",ISNUMBER(SEARCH("stick",C583)),"Mechanical Jam",ISNUMBER(SEARCH("jam",C583)),"Mechanical Jam",ISNUMBER(SEARCH("rigid",C583)),"Mechanical Jam",ISNUMBER(SEARCH("rust",C583)),"Corroded",ISNUMBER(SEARCH("corrod",C583)),"Corroded",ISNUMBER(SEARCH("corrosion",C583)),"Corroded",ISNUMBER(SEARCH("alignment",C583)),"Defective Device",ISNUMBER(SEARCH("adjust",C583)),"Defective Device",ISNUMBER(SEARCH("perform",C583)),"Defective Device",ISNUMBER(SEARCH("malfunction",C583)),"Defective Device",ISNUMBER(SEARCH("defect",C583)),"Defective Device",ISNUMBER(SEARCH("fail",C583)),"Defective Device",ISNUMBER(SEARCH("not work",C583)),"Defective Device",ISNUMBER(SEARCH("doesn't work",C583)),"Defective Device",TRUE,"UNKNOWN"),"UNKNOWN")))</f>
        <v/>
      </c>
      <c r="F583" s="4" t="str">
        <f t="shared" si="9"/>
        <v/>
      </c>
      <c r="G583" s="363" t="str">
        <f>IF(E583="","",IFERROR(VLOOKUP(E583,Codes!$L$2:$N$409,3,FALSE),"—"))</f>
        <v/>
      </c>
      <c r="H583" s="88"/>
      <c r="I583" s="88"/>
    </row>
    <row r="584" spans="1:9" ht="13.15" x14ac:dyDescent="0.35">
      <c r="A584" s="435"/>
      <c r="B584" s="436"/>
      <c r="C584" s="438"/>
      <c r="D584" s="435"/>
      <c r="E584" s="93" t="str" cm="1">
        <f t="array" ref="E584">IF(D584&lt;&gt;"",IFERROR(VLOOKUP(D584,Codes!$K$2:$L$409,2,FALSE),"UNKNOWN - "&amp;D584),IF(C584="","",IFERROR(_xlfn.IFS(ISNUMBER(SEARCH("broken button",C584)),"Break",ISNUMBER(SEARCH("broken handle",C584)),"Break",ISNUMBER(SEARCH("shipping damage",C584)),"Break",ISNUMBER(SEARCH("broken",C584)),"Break",ISNUMBER(SEARCH("crack",C584)),"Break",ISNUMBER(SEARCH("snap",C584)),"Break",ISNUMBER(SEARCH("fracture",C584)),"Break",ISNUMBER(SEARCH("bent",C584)),"Material Twisted/Bent",ISNUMBER(SEARCH("twisted",C584)),"Material Twisted/Bent",ISNUMBER(SEARCH("component separat",C584)),"Material Separation",ISNUMBER(SEARCH("separat",C584)),"Material Separation",ISNUMBER(SEARCH("connection",C584)),"Loose or Intermittent Connection",ISNUMBER(SEARCH("loose",C584)),"Loose or Intermittent Connection",ISNUMBER(SEARCH("damaged packaging",C584)),"Packaging Problem",ISNUMBER(SEARCH("packaging",C584)),"Packaging Problem",ISNUMBER(SEARCH("discoloration",C584)),"Contamination",ISNUMBER(SEARCH("tarnish",C584)),"Contamination",ISNUMBER(SEARCH("stain",C584)),"Contamination",ISNUMBER(SEARCH("foreign material",C584)),"Contamination",ISNUMBER(SEARCH("contamina",C584)),"Contamination",ISNUMBER(SEARCH("overheat",C584)),"Overheating of Device",ISNUMBER(SEARCH("excessive heat",C584)),"Overheating of Device",ISNUMBER(SEARCH("hot",C584)),"Overheating of Device",ISNUMBER(SEARCH("noise",C584)),"Noise, Audible",ISNUMBER(SEARCH("sound",C584)),"Noise, Audible",ISNUMBER(SEARCH("loud",C584)),"Noise, Audible",ISNUMBER(SEARCH("fray",C584)),"Material Frayed",ISNUMBER(SEARCH("hole",C584)),"Material Frayed",ISNUMBER(SEARCH("tear",C584)),"Material Frayed",ISNUMBER(SEARCH("worn",C584)),"Material Frayed",ISNUMBER(SEARCH("intermittent",C584)),"Difficult or Delayed Activation",ISNUMBER(SEARCH("delay",C584)),"Difficult or Delayed Activation",ISNUMBER(SEARCH("label",C584)),"Device Markings/Labelling Problem",ISNUMBER(SEARCH("marking",C584)),"Device Markings/Labelling Problem",ISNUMBER(SEARCH("lacerat",C584)),"Defective Device",ISNUMBER(SEARCH("cut",C584)),"Defective Device",ISNUMBER(SEARCH("leak",C584)),"Fluid/Blood Leak",ISNUMBER(SEARCH("missing",C584)),"Component Missing",ISNUMBER(SEARCH("power",C584)),"Complete Loss of Power",ISNUMBER(SEARCH("will not turn on",C584)),"Complete Loss of Power",ISNUMBER(SEARCH("won't turn on",C584)),"Complete Loss of Power",ISNUMBER(SEARCH("does not turn on",C584)),"Complete Loss of Power",ISNUMBER(SEARCH("electrical",C584)),"Electrical Power Problem",ISNUMBER(SEARCH("pressure",C584)),"Detachment of Device or Device Component",ISNUMBER(SEARCH("slip",C584)),"Detachment of Device or Device Component",ISNUMBER(SEARCH("detach",C584)),"Detachment of Device or Device Component",ISNUMBER(SEARCH("stick",C584)),"Mechanical Jam",ISNUMBER(SEARCH("jam",C584)),"Mechanical Jam",ISNUMBER(SEARCH("rigid",C584)),"Mechanical Jam",ISNUMBER(SEARCH("rust",C584)),"Corroded",ISNUMBER(SEARCH("corrod",C584)),"Corroded",ISNUMBER(SEARCH("corrosion",C584)),"Corroded",ISNUMBER(SEARCH("alignment",C584)),"Defective Device",ISNUMBER(SEARCH("adjust",C584)),"Defective Device",ISNUMBER(SEARCH("perform",C584)),"Defective Device",ISNUMBER(SEARCH("malfunction",C584)),"Defective Device",ISNUMBER(SEARCH("defect",C584)),"Defective Device",ISNUMBER(SEARCH("fail",C584)),"Defective Device",ISNUMBER(SEARCH("not work",C584)),"Defective Device",ISNUMBER(SEARCH("doesn't work",C584)),"Defective Device",TRUE,"UNKNOWN"),"UNKNOWN")))</f>
        <v/>
      </c>
      <c r="F584" s="4" t="str">
        <f t="shared" si="9"/>
        <v/>
      </c>
      <c r="G584" s="363" t="str">
        <f>IF(E584="","",IFERROR(VLOOKUP(E584,Codes!$L$2:$N$409,3,FALSE),"—"))</f>
        <v/>
      </c>
      <c r="H584" s="88"/>
      <c r="I584" s="88"/>
    </row>
    <row r="585" spans="1:9" ht="13.15" x14ac:dyDescent="0.35">
      <c r="A585" s="434"/>
      <c r="B585" s="436"/>
      <c r="C585" s="437"/>
      <c r="D585" s="434"/>
      <c r="E585" s="93" t="str" cm="1">
        <f t="array" ref="E585">IF(D585&lt;&gt;"",IFERROR(VLOOKUP(D585,Codes!$K$2:$L$409,2,FALSE),"UNKNOWN - "&amp;D585),IF(C585="","",IFERROR(_xlfn.IFS(ISNUMBER(SEARCH("broken button",C585)),"Break",ISNUMBER(SEARCH("broken handle",C585)),"Break",ISNUMBER(SEARCH("shipping damage",C585)),"Break",ISNUMBER(SEARCH("broken",C585)),"Break",ISNUMBER(SEARCH("crack",C585)),"Break",ISNUMBER(SEARCH("snap",C585)),"Break",ISNUMBER(SEARCH("fracture",C585)),"Break",ISNUMBER(SEARCH("bent",C585)),"Material Twisted/Bent",ISNUMBER(SEARCH("twisted",C585)),"Material Twisted/Bent",ISNUMBER(SEARCH("component separat",C585)),"Material Separation",ISNUMBER(SEARCH("separat",C585)),"Material Separation",ISNUMBER(SEARCH("connection",C585)),"Loose or Intermittent Connection",ISNUMBER(SEARCH("loose",C585)),"Loose or Intermittent Connection",ISNUMBER(SEARCH("damaged packaging",C585)),"Packaging Problem",ISNUMBER(SEARCH("packaging",C585)),"Packaging Problem",ISNUMBER(SEARCH("discoloration",C585)),"Contamination",ISNUMBER(SEARCH("tarnish",C585)),"Contamination",ISNUMBER(SEARCH("stain",C585)),"Contamination",ISNUMBER(SEARCH("foreign material",C585)),"Contamination",ISNUMBER(SEARCH("contamina",C585)),"Contamination",ISNUMBER(SEARCH("overheat",C585)),"Overheating of Device",ISNUMBER(SEARCH("excessive heat",C585)),"Overheating of Device",ISNUMBER(SEARCH("hot",C585)),"Overheating of Device",ISNUMBER(SEARCH("noise",C585)),"Noise, Audible",ISNUMBER(SEARCH("sound",C585)),"Noise, Audible",ISNUMBER(SEARCH("loud",C585)),"Noise, Audible",ISNUMBER(SEARCH("fray",C585)),"Material Frayed",ISNUMBER(SEARCH("hole",C585)),"Material Frayed",ISNUMBER(SEARCH("tear",C585)),"Material Frayed",ISNUMBER(SEARCH("worn",C585)),"Material Frayed",ISNUMBER(SEARCH("intermittent",C585)),"Difficult or Delayed Activation",ISNUMBER(SEARCH("delay",C585)),"Difficult or Delayed Activation",ISNUMBER(SEARCH("label",C585)),"Device Markings/Labelling Problem",ISNUMBER(SEARCH("marking",C585)),"Device Markings/Labelling Problem",ISNUMBER(SEARCH("lacerat",C585)),"Defective Device",ISNUMBER(SEARCH("cut",C585)),"Defective Device",ISNUMBER(SEARCH("leak",C585)),"Fluid/Blood Leak",ISNUMBER(SEARCH("missing",C585)),"Component Missing",ISNUMBER(SEARCH("power",C585)),"Complete Loss of Power",ISNUMBER(SEARCH("will not turn on",C585)),"Complete Loss of Power",ISNUMBER(SEARCH("won't turn on",C585)),"Complete Loss of Power",ISNUMBER(SEARCH("does not turn on",C585)),"Complete Loss of Power",ISNUMBER(SEARCH("electrical",C585)),"Electrical Power Problem",ISNUMBER(SEARCH("pressure",C585)),"Detachment of Device or Device Component",ISNUMBER(SEARCH("slip",C585)),"Detachment of Device or Device Component",ISNUMBER(SEARCH("detach",C585)),"Detachment of Device or Device Component",ISNUMBER(SEARCH("stick",C585)),"Mechanical Jam",ISNUMBER(SEARCH("jam",C585)),"Mechanical Jam",ISNUMBER(SEARCH("rigid",C585)),"Mechanical Jam",ISNUMBER(SEARCH("rust",C585)),"Corroded",ISNUMBER(SEARCH("corrod",C585)),"Corroded",ISNUMBER(SEARCH("corrosion",C585)),"Corroded",ISNUMBER(SEARCH("alignment",C585)),"Defective Device",ISNUMBER(SEARCH("adjust",C585)),"Defective Device",ISNUMBER(SEARCH("perform",C585)),"Defective Device",ISNUMBER(SEARCH("malfunction",C585)),"Defective Device",ISNUMBER(SEARCH("defect",C585)),"Defective Device",ISNUMBER(SEARCH("fail",C585)),"Defective Device",ISNUMBER(SEARCH("not work",C585)),"Defective Device",ISNUMBER(SEARCH("doesn't work",C585)),"Defective Device",TRUE,"UNKNOWN"),"UNKNOWN")))</f>
        <v/>
      </c>
      <c r="F585" s="4" t="str">
        <f t="shared" si="9"/>
        <v/>
      </c>
      <c r="G585" s="363" t="str">
        <f>IF(E585="","",IFERROR(VLOOKUP(E585,Codes!$L$2:$N$409,3,FALSE),"—"))</f>
        <v/>
      </c>
      <c r="H585" s="88"/>
      <c r="I585" s="88"/>
    </row>
    <row r="586" spans="1:9" ht="13.15" x14ac:dyDescent="0.35">
      <c r="A586" s="435"/>
      <c r="B586" s="436"/>
      <c r="C586" s="438"/>
      <c r="D586" s="435"/>
      <c r="E586" s="93" t="str" cm="1">
        <f t="array" ref="E586">IF(D586&lt;&gt;"",IFERROR(VLOOKUP(D586,Codes!$K$2:$L$409,2,FALSE),"UNKNOWN - "&amp;D586),IF(C586="","",IFERROR(_xlfn.IFS(ISNUMBER(SEARCH("broken button",C586)),"Break",ISNUMBER(SEARCH("broken handle",C586)),"Break",ISNUMBER(SEARCH("shipping damage",C586)),"Break",ISNUMBER(SEARCH("broken",C586)),"Break",ISNUMBER(SEARCH("crack",C586)),"Break",ISNUMBER(SEARCH("snap",C586)),"Break",ISNUMBER(SEARCH("fracture",C586)),"Break",ISNUMBER(SEARCH("bent",C586)),"Material Twisted/Bent",ISNUMBER(SEARCH("twisted",C586)),"Material Twisted/Bent",ISNUMBER(SEARCH("component separat",C586)),"Material Separation",ISNUMBER(SEARCH("separat",C586)),"Material Separation",ISNUMBER(SEARCH("connection",C586)),"Loose or Intermittent Connection",ISNUMBER(SEARCH("loose",C586)),"Loose or Intermittent Connection",ISNUMBER(SEARCH("damaged packaging",C586)),"Packaging Problem",ISNUMBER(SEARCH("packaging",C586)),"Packaging Problem",ISNUMBER(SEARCH("discoloration",C586)),"Contamination",ISNUMBER(SEARCH("tarnish",C586)),"Contamination",ISNUMBER(SEARCH("stain",C586)),"Contamination",ISNUMBER(SEARCH("foreign material",C586)),"Contamination",ISNUMBER(SEARCH("contamina",C586)),"Contamination",ISNUMBER(SEARCH("overheat",C586)),"Overheating of Device",ISNUMBER(SEARCH("excessive heat",C586)),"Overheating of Device",ISNUMBER(SEARCH("hot",C586)),"Overheating of Device",ISNUMBER(SEARCH("noise",C586)),"Noise, Audible",ISNUMBER(SEARCH("sound",C586)),"Noise, Audible",ISNUMBER(SEARCH("loud",C586)),"Noise, Audible",ISNUMBER(SEARCH("fray",C586)),"Material Frayed",ISNUMBER(SEARCH("hole",C586)),"Material Frayed",ISNUMBER(SEARCH("tear",C586)),"Material Frayed",ISNUMBER(SEARCH("worn",C586)),"Material Frayed",ISNUMBER(SEARCH("intermittent",C586)),"Difficult or Delayed Activation",ISNUMBER(SEARCH("delay",C586)),"Difficult or Delayed Activation",ISNUMBER(SEARCH("label",C586)),"Device Markings/Labelling Problem",ISNUMBER(SEARCH("marking",C586)),"Device Markings/Labelling Problem",ISNUMBER(SEARCH("lacerat",C586)),"Defective Device",ISNUMBER(SEARCH("cut",C586)),"Defective Device",ISNUMBER(SEARCH("leak",C586)),"Fluid/Blood Leak",ISNUMBER(SEARCH("missing",C586)),"Component Missing",ISNUMBER(SEARCH("power",C586)),"Complete Loss of Power",ISNUMBER(SEARCH("will not turn on",C586)),"Complete Loss of Power",ISNUMBER(SEARCH("won't turn on",C586)),"Complete Loss of Power",ISNUMBER(SEARCH("does not turn on",C586)),"Complete Loss of Power",ISNUMBER(SEARCH("electrical",C586)),"Electrical Power Problem",ISNUMBER(SEARCH("pressure",C586)),"Detachment of Device or Device Component",ISNUMBER(SEARCH("slip",C586)),"Detachment of Device or Device Component",ISNUMBER(SEARCH("detach",C586)),"Detachment of Device or Device Component",ISNUMBER(SEARCH("stick",C586)),"Mechanical Jam",ISNUMBER(SEARCH("jam",C586)),"Mechanical Jam",ISNUMBER(SEARCH("rigid",C586)),"Mechanical Jam",ISNUMBER(SEARCH("rust",C586)),"Corroded",ISNUMBER(SEARCH("corrod",C586)),"Corroded",ISNUMBER(SEARCH("corrosion",C586)),"Corroded",ISNUMBER(SEARCH("alignment",C586)),"Defective Device",ISNUMBER(SEARCH("adjust",C586)),"Defective Device",ISNUMBER(SEARCH("perform",C586)),"Defective Device",ISNUMBER(SEARCH("malfunction",C586)),"Defective Device",ISNUMBER(SEARCH("defect",C586)),"Defective Device",ISNUMBER(SEARCH("fail",C586)),"Defective Device",ISNUMBER(SEARCH("not work",C586)),"Defective Device",ISNUMBER(SEARCH("doesn't work",C586)),"Defective Device",TRUE,"UNKNOWN"),"UNKNOWN")))</f>
        <v/>
      </c>
      <c r="F586" s="4" t="str">
        <f t="shared" si="9"/>
        <v/>
      </c>
      <c r="G586" s="363" t="str">
        <f>IF(E586="","",IFERROR(VLOOKUP(E586,Codes!$L$2:$N$409,3,FALSE),"—"))</f>
        <v/>
      </c>
      <c r="H586" s="88"/>
      <c r="I586" s="88"/>
    </row>
    <row r="587" spans="1:9" ht="13.15" x14ac:dyDescent="0.35">
      <c r="A587" s="434"/>
      <c r="B587" s="436"/>
      <c r="C587" s="437"/>
      <c r="D587" s="434"/>
      <c r="E587" s="93" t="str" cm="1">
        <f t="array" ref="E587">IF(D587&lt;&gt;"",IFERROR(VLOOKUP(D587,Codes!$K$2:$L$409,2,FALSE),"UNKNOWN - "&amp;D587),IF(C587="","",IFERROR(_xlfn.IFS(ISNUMBER(SEARCH("broken button",C587)),"Break",ISNUMBER(SEARCH("broken handle",C587)),"Break",ISNUMBER(SEARCH("shipping damage",C587)),"Break",ISNUMBER(SEARCH("broken",C587)),"Break",ISNUMBER(SEARCH("crack",C587)),"Break",ISNUMBER(SEARCH("snap",C587)),"Break",ISNUMBER(SEARCH("fracture",C587)),"Break",ISNUMBER(SEARCH("bent",C587)),"Material Twisted/Bent",ISNUMBER(SEARCH("twisted",C587)),"Material Twisted/Bent",ISNUMBER(SEARCH("component separat",C587)),"Material Separation",ISNUMBER(SEARCH("separat",C587)),"Material Separation",ISNUMBER(SEARCH("connection",C587)),"Loose or Intermittent Connection",ISNUMBER(SEARCH("loose",C587)),"Loose or Intermittent Connection",ISNUMBER(SEARCH("damaged packaging",C587)),"Packaging Problem",ISNUMBER(SEARCH("packaging",C587)),"Packaging Problem",ISNUMBER(SEARCH("discoloration",C587)),"Contamination",ISNUMBER(SEARCH("tarnish",C587)),"Contamination",ISNUMBER(SEARCH("stain",C587)),"Contamination",ISNUMBER(SEARCH("foreign material",C587)),"Contamination",ISNUMBER(SEARCH("contamina",C587)),"Contamination",ISNUMBER(SEARCH("overheat",C587)),"Overheating of Device",ISNUMBER(SEARCH("excessive heat",C587)),"Overheating of Device",ISNUMBER(SEARCH("hot",C587)),"Overheating of Device",ISNUMBER(SEARCH("noise",C587)),"Noise, Audible",ISNUMBER(SEARCH("sound",C587)),"Noise, Audible",ISNUMBER(SEARCH("loud",C587)),"Noise, Audible",ISNUMBER(SEARCH("fray",C587)),"Material Frayed",ISNUMBER(SEARCH("hole",C587)),"Material Frayed",ISNUMBER(SEARCH("tear",C587)),"Material Frayed",ISNUMBER(SEARCH("worn",C587)),"Material Frayed",ISNUMBER(SEARCH("intermittent",C587)),"Difficult or Delayed Activation",ISNUMBER(SEARCH("delay",C587)),"Difficult or Delayed Activation",ISNUMBER(SEARCH("label",C587)),"Device Markings/Labelling Problem",ISNUMBER(SEARCH("marking",C587)),"Device Markings/Labelling Problem",ISNUMBER(SEARCH("lacerat",C587)),"Defective Device",ISNUMBER(SEARCH("cut",C587)),"Defective Device",ISNUMBER(SEARCH("leak",C587)),"Fluid/Blood Leak",ISNUMBER(SEARCH("missing",C587)),"Component Missing",ISNUMBER(SEARCH("power",C587)),"Complete Loss of Power",ISNUMBER(SEARCH("will not turn on",C587)),"Complete Loss of Power",ISNUMBER(SEARCH("won't turn on",C587)),"Complete Loss of Power",ISNUMBER(SEARCH("does not turn on",C587)),"Complete Loss of Power",ISNUMBER(SEARCH("electrical",C587)),"Electrical Power Problem",ISNUMBER(SEARCH("pressure",C587)),"Detachment of Device or Device Component",ISNUMBER(SEARCH("slip",C587)),"Detachment of Device or Device Component",ISNUMBER(SEARCH("detach",C587)),"Detachment of Device or Device Component",ISNUMBER(SEARCH("stick",C587)),"Mechanical Jam",ISNUMBER(SEARCH("jam",C587)),"Mechanical Jam",ISNUMBER(SEARCH("rigid",C587)),"Mechanical Jam",ISNUMBER(SEARCH("rust",C587)),"Corroded",ISNUMBER(SEARCH("corrod",C587)),"Corroded",ISNUMBER(SEARCH("corrosion",C587)),"Corroded",ISNUMBER(SEARCH("alignment",C587)),"Defective Device",ISNUMBER(SEARCH("adjust",C587)),"Defective Device",ISNUMBER(SEARCH("perform",C587)),"Defective Device",ISNUMBER(SEARCH("malfunction",C587)),"Defective Device",ISNUMBER(SEARCH("defect",C587)),"Defective Device",ISNUMBER(SEARCH("fail",C587)),"Defective Device",ISNUMBER(SEARCH("not work",C587)),"Defective Device",ISNUMBER(SEARCH("doesn't work",C587)),"Defective Device",TRUE,"UNKNOWN"),"UNKNOWN")))</f>
        <v/>
      </c>
      <c r="F587" s="4" t="str">
        <f t="shared" si="9"/>
        <v/>
      </c>
      <c r="G587" s="363" t="str">
        <f>IF(E587="","",IFERROR(VLOOKUP(E587,Codes!$L$2:$N$409,3,FALSE),"—"))</f>
        <v/>
      </c>
      <c r="H587" s="88"/>
      <c r="I587" s="88"/>
    </row>
    <row r="588" spans="1:9" ht="13.15" x14ac:dyDescent="0.35">
      <c r="A588" s="435"/>
      <c r="B588" s="436"/>
      <c r="C588" s="438"/>
      <c r="D588" s="435"/>
      <c r="E588" s="93" t="str" cm="1">
        <f t="array" ref="E588">IF(D588&lt;&gt;"",IFERROR(VLOOKUP(D588,Codes!$K$2:$L$409,2,FALSE),"UNKNOWN - "&amp;D588),IF(C588="","",IFERROR(_xlfn.IFS(ISNUMBER(SEARCH("broken button",C588)),"Break",ISNUMBER(SEARCH("broken handle",C588)),"Break",ISNUMBER(SEARCH("shipping damage",C588)),"Break",ISNUMBER(SEARCH("broken",C588)),"Break",ISNUMBER(SEARCH("crack",C588)),"Break",ISNUMBER(SEARCH("snap",C588)),"Break",ISNUMBER(SEARCH("fracture",C588)),"Break",ISNUMBER(SEARCH("bent",C588)),"Material Twisted/Bent",ISNUMBER(SEARCH("twisted",C588)),"Material Twisted/Bent",ISNUMBER(SEARCH("component separat",C588)),"Material Separation",ISNUMBER(SEARCH("separat",C588)),"Material Separation",ISNUMBER(SEARCH("connection",C588)),"Loose or Intermittent Connection",ISNUMBER(SEARCH("loose",C588)),"Loose or Intermittent Connection",ISNUMBER(SEARCH("damaged packaging",C588)),"Packaging Problem",ISNUMBER(SEARCH("packaging",C588)),"Packaging Problem",ISNUMBER(SEARCH("discoloration",C588)),"Contamination",ISNUMBER(SEARCH("tarnish",C588)),"Contamination",ISNUMBER(SEARCH("stain",C588)),"Contamination",ISNUMBER(SEARCH("foreign material",C588)),"Contamination",ISNUMBER(SEARCH("contamina",C588)),"Contamination",ISNUMBER(SEARCH("overheat",C588)),"Overheating of Device",ISNUMBER(SEARCH("excessive heat",C588)),"Overheating of Device",ISNUMBER(SEARCH("hot",C588)),"Overheating of Device",ISNUMBER(SEARCH("noise",C588)),"Noise, Audible",ISNUMBER(SEARCH("sound",C588)),"Noise, Audible",ISNUMBER(SEARCH("loud",C588)),"Noise, Audible",ISNUMBER(SEARCH("fray",C588)),"Material Frayed",ISNUMBER(SEARCH("hole",C588)),"Material Frayed",ISNUMBER(SEARCH("tear",C588)),"Material Frayed",ISNUMBER(SEARCH("worn",C588)),"Material Frayed",ISNUMBER(SEARCH("intermittent",C588)),"Difficult or Delayed Activation",ISNUMBER(SEARCH("delay",C588)),"Difficult or Delayed Activation",ISNUMBER(SEARCH("label",C588)),"Device Markings/Labelling Problem",ISNUMBER(SEARCH("marking",C588)),"Device Markings/Labelling Problem",ISNUMBER(SEARCH("lacerat",C588)),"Defective Device",ISNUMBER(SEARCH("cut",C588)),"Defective Device",ISNUMBER(SEARCH("leak",C588)),"Fluid/Blood Leak",ISNUMBER(SEARCH("missing",C588)),"Component Missing",ISNUMBER(SEARCH("power",C588)),"Complete Loss of Power",ISNUMBER(SEARCH("will not turn on",C588)),"Complete Loss of Power",ISNUMBER(SEARCH("won't turn on",C588)),"Complete Loss of Power",ISNUMBER(SEARCH("does not turn on",C588)),"Complete Loss of Power",ISNUMBER(SEARCH("electrical",C588)),"Electrical Power Problem",ISNUMBER(SEARCH("pressure",C588)),"Detachment of Device or Device Component",ISNUMBER(SEARCH("slip",C588)),"Detachment of Device or Device Component",ISNUMBER(SEARCH("detach",C588)),"Detachment of Device or Device Component",ISNUMBER(SEARCH("stick",C588)),"Mechanical Jam",ISNUMBER(SEARCH("jam",C588)),"Mechanical Jam",ISNUMBER(SEARCH("rigid",C588)),"Mechanical Jam",ISNUMBER(SEARCH("rust",C588)),"Corroded",ISNUMBER(SEARCH("corrod",C588)),"Corroded",ISNUMBER(SEARCH("corrosion",C588)),"Corroded",ISNUMBER(SEARCH("alignment",C588)),"Defective Device",ISNUMBER(SEARCH("adjust",C588)),"Defective Device",ISNUMBER(SEARCH("perform",C588)),"Defective Device",ISNUMBER(SEARCH("malfunction",C588)),"Defective Device",ISNUMBER(SEARCH("defect",C588)),"Defective Device",ISNUMBER(SEARCH("fail",C588)),"Defective Device",ISNUMBER(SEARCH("not work",C588)),"Defective Device",ISNUMBER(SEARCH("doesn't work",C588)),"Defective Device",TRUE,"UNKNOWN"),"UNKNOWN")))</f>
        <v/>
      </c>
      <c r="F588" s="4" t="str">
        <f t="shared" si="9"/>
        <v/>
      </c>
      <c r="G588" s="363" t="str">
        <f>IF(E588="","",IFERROR(VLOOKUP(E588,Codes!$L$2:$N$409,3,FALSE),"—"))</f>
        <v/>
      </c>
      <c r="H588" s="88"/>
      <c r="I588" s="88"/>
    </row>
    <row r="589" spans="1:9" ht="13.15" x14ac:dyDescent="0.35">
      <c r="A589" s="434"/>
      <c r="B589" s="436"/>
      <c r="C589" s="437"/>
      <c r="D589" s="434"/>
      <c r="E589" s="93" t="str" cm="1">
        <f t="array" ref="E589">IF(D589&lt;&gt;"",IFERROR(VLOOKUP(D589,Codes!$K$2:$L$409,2,FALSE),"UNKNOWN - "&amp;D589),IF(C589="","",IFERROR(_xlfn.IFS(ISNUMBER(SEARCH("broken button",C589)),"Break",ISNUMBER(SEARCH("broken handle",C589)),"Break",ISNUMBER(SEARCH("shipping damage",C589)),"Break",ISNUMBER(SEARCH("broken",C589)),"Break",ISNUMBER(SEARCH("crack",C589)),"Break",ISNUMBER(SEARCH("snap",C589)),"Break",ISNUMBER(SEARCH("fracture",C589)),"Break",ISNUMBER(SEARCH("bent",C589)),"Material Twisted/Bent",ISNUMBER(SEARCH("twisted",C589)),"Material Twisted/Bent",ISNUMBER(SEARCH("component separat",C589)),"Material Separation",ISNUMBER(SEARCH("separat",C589)),"Material Separation",ISNUMBER(SEARCH("connection",C589)),"Loose or Intermittent Connection",ISNUMBER(SEARCH("loose",C589)),"Loose or Intermittent Connection",ISNUMBER(SEARCH("damaged packaging",C589)),"Packaging Problem",ISNUMBER(SEARCH("packaging",C589)),"Packaging Problem",ISNUMBER(SEARCH("discoloration",C589)),"Contamination",ISNUMBER(SEARCH("tarnish",C589)),"Contamination",ISNUMBER(SEARCH("stain",C589)),"Contamination",ISNUMBER(SEARCH("foreign material",C589)),"Contamination",ISNUMBER(SEARCH("contamina",C589)),"Contamination",ISNUMBER(SEARCH("overheat",C589)),"Overheating of Device",ISNUMBER(SEARCH("excessive heat",C589)),"Overheating of Device",ISNUMBER(SEARCH("hot",C589)),"Overheating of Device",ISNUMBER(SEARCH("noise",C589)),"Noise, Audible",ISNUMBER(SEARCH("sound",C589)),"Noise, Audible",ISNUMBER(SEARCH("loud",C589)),"Noise, Audible",ISNUMBER(SEARCH("fray",C589)),"Material Frayed",ISNUMBER(SEARCH("hole",C589)),"Material Frayed",ISNUMBER(SEARCH("tear",C589)),"Material Frayed",ISNUMBER(SEARCH("worn",C589)),"Material Frayed",ISNUMBER(SEARCH("intermittent",C589)),"Difficult or Delayed Activation",ISNUMBER(SEARCH("delay",C589)),"Difficult or Delayed Activation",ISNUMBER(SEARCH("label",C589)),"Device Markings/Labelling Problem",ISNUMBER(SEARCH("marking",C589)),"Device Markings/Labelling Problem",ISNUMBER(SEARCH("lacerat",C589)),"Defective Device",ISNUMBER(SEARCH("cut",C589)),"Defective Device",ISNUMBER(SEARCH("leak",C589)),"Fluid/Blood Leak",ISNUMBER(SEARCH("missing",C589)),"Component Missing",ISNUMBER(SEARCH("power",C589)),"Complete Loss of Power",ISNUMBER(SEARCH("will not turn on",C589)),"Complete Loss of Power",ISNUMBER(SEARCH("won't turn on",C589)),"Complete Loss of Power",ISNUMBER(SEARCH("does not turn on",C589)),"Complete Loss of Power",ISNUMBER(SEARCH("electrical",C589)),"Electrical Power Problem",ISNUMBER(SEARCH("pressure",C589)),"Detachment of Device or Device Component",ISNUMBER(SEARCH("slip",C589)),"Detachment of Device or Device Component",ISNUMBER(SEARCH("detach",C589)),"Detachment of Device or Device Component",ISNUMBER(SEARCH("stick",C589)),"Mechanical Jam",ISNUMBER(SEARCH("jam",C589)),"Mechanical Jam",ISNUMBER(SEARCH("rigid",C589)),"Mechanical Jam",ISNUMBER(SEARCH("rust",C589)),"Corroded",ISNUMBER(SEARCH("corrod",C589)),"Corroded",ISNUMBER(SEARCH("corrosion",C589)),"Corroded",ISNUMBER(SEARCH("alignment",C589)),"Defective Device",ISNUMBER(SEARCH("adjust",C589)),"Defective Device",ISNUMBER(SEARCH("perform",C589)),"Defective Device",ISNUMBER(SEARCH("malfunction",C589)),"Defective Device",ISNUMBER(SEARCH("defect",C589)),"Defective Device",ISNUMBER(SEARCH("fail",C589)),"Defective Device",ISNUMBER(SEARCH("not work",C589)),"Defective Device",ISNUMBER(SEARCH("doesn't work",C589)),"Defective Device",TRUE,"UNKNOWN"),"UNKNOWN")))</f>
        <v/>
      </c>
      <c r="F589" s="4" t="str">
        <f t="shared" si="9"/>
        <v/>
      </c>
      <c r="G589" s="363" t="str">
        <f>IF(E589="","",IFERROR(VLOOKUP(E589,Codes!$L$2:$N$409,3,FALSE),"—"))</f>
        <v/>
      </c>
      <c r="H589" s="88"/>
      <c r="I589" s="88"/>
    </row>
    <row r="590" spans="1:9" ht="13.15" x14ac:dyDescent="0.35">
      <c r="A590" s="435"/>
      <c r="B590" s="436"/>
      <c r="C590" s="435"/>
      <c r="D590" s="435"/>
      <c r="E590" s="93" t="str" cm="1">
        <f t="array" ref="E590">IF(D590&lt;&gt;"",IFERROR(VLOOKUP(D590,Codes!$K$2:$L$409,2,FALSE),"UNKNOWN - "&amp;D590),IF(C590="","",IFERROR(_xlfn.IFS(ISNUMBER(SEARCH("broken button",C590)),"Break",ISNUMBER(SEARCH("broken handle",C590)),"Break",ISNUMBER(SEARCH("shipping damage",C590)),"Break",ISNUMBER(SEARCH("broken",C590)),"Break",ISNUMBER(SEARCH("crack",C590)),"Break",ISNUMBER(SEARCH("snap",C590)),"Break",ISNUMBER(SEARCH("fracture",C590)),"Break",ISNUMBER(SEARCH("bent",C590)),"Material Twisted/Bent",ISNUMBER(SEARCH("twisted",C590)),"Material Twisted/Bent",ISNUMBER(SEARCH("component separat",C590)),"Material Separation",ISNUMBER(SEARCH("separat",C590)),"Material Separation",ISNUMBER(SEARCH("connection",C590)),"Loose or Intermittent Connection",ISNUMBER(SEARCH("loose",C590)),"Loose or Intermittent Connection",ISNUMBER(SEARCH("damaged packaging",C590)),"Packaging Problem",ISNUMBER(SEARCH("packaging",C590)),"Packaging Problem",ISNUMBER(SEARCH("discoloration",C590)),"Contamination",ISNUMBER(SEARCH("tarnish",C590)),"Contamination",ISNUMBER(SEARCH("stain",C590)),"Contamination",ISNUMBER(SEARCH("foreign material",C590)),"Contamination",ISNUMBER(SEARCH("contamina",C590)),"Contamination",ISNUMBER(SEARCH("overheat",C590)),"Overheating of Device",ISNUMBER(SEARCH("excessive heat",C590)),"Overheating of Device",ISNUMBER(SEARCH("hot",C590)),"Overheating of Device",ISNUMBER(SEARCH("noise",C590)),"Noise, Audible",ISNUMBER(SEARCH("sound",C590)),"Noise, Audible",ISNUMBER(SEARCH("loud",C590)),"Noise, Audible",ISNUMBER(SEARCH("fray",C590)),"Material Frayed",ISNUMBER(SEARCH("hole",C590)),"Material Frayed",ISNUMBER(SEARCH("tear",C590)),"Material Frayed",ISNUMBER(SEARCH("worn",C590)),"Material Frayed",ISNUMBER(SEARCH("intermittent",C590)),"Difficult or Delayed Activation",ISNUMBER(SEARCH("delay",C590)),"Difficult or Delayed Activation",ISNUMBER(SEARCH("label",C590)),"Device Markings/Labelling Problem",ISNUMBER(SEARCH("marking",C590)),"Device Markings/Labelling Problem",ISNUMBER(SEARCH("lacerat",C590)),"Defective Device",ISNUMBER(SEARCH("cut",C590)),"Defective Device",ISNUMBER(SEARCH("leak",C590)),"Fluid/Blood Leak",ISNUMBER(SEARCH("missing",C590)),"Component Missing",ISNUMBER(SEARCH("power",C590)),"Complete Loss of Power",ISNUMBER(SEARCH("will not turn on",C590)),"Complete Loss of Power",ISNUMBER(SEARCH("won't turn on",C590)),"Complete Loss of Power",ISNUMBER(SEARCH("does not turn on",C590)),"Complete Loss of Power",ISNUMBER(SEARCH("electrical",C590)),"Electrical Power Problem",ISNUMBER(SEARCH("pressure",C590)),"Detachment of Device or Device Component",ISNUMBER(SEARCH("slip",C590)),"Detachment of Device or Device Component",ISNUMBER(SEARCH("detach",C590)),"Detachment of Device or Device Component",ISNUMBER(SEARCH("stick",C590)),"Mechanical Jam",ISNUMBER(SEARCH("jam",C590)),"Mechanical Jam",ISNUMBER(SEARCH("rigid",C590)),"Mechanical Jam",ISNUMBER(SEARCH("rust",C590)),"Corroded",ISNUMBER(SEARCH("corrod",C590)),"Corroded",ISNUMBER(SEARCH("corrosion",C590)),"Corroded",ISNUMBER(SEARCH("alignment",C590)),"Defective Device",ISNUMBER(SEARCH("adjust",C590)),"Defective Device",ISNUMBER(SEARCH("perform",C590)),"Defective Device",ISNUMBER(SEARCH("malfunction",C590)),"Defective Device",ISNUMBER(SEARCH("defect",C590)),"Defective Device",ISNUMBER(SEARCH("fail",C590)),"Defective Device",ISNUMBER(SEARCH("not work",C590)),"Defective Device",ISNUMBER(SEARCH("doesn't work",C590)),"Defective Device",TRUE,"UNKNOWN"),"UNKNOWN")))</f>
        <v/>
      </c>
      <c r="F590" s="4" t="str">
        <f t="shared" si="9"/>
        <v/>
      </c>
      <c r="G590" s="363" t="str">
        <f>IF(E590="","",IFERROR(VLOOKUP(E590,Codes!$L$2:$N$409,3,FALSE),"—"))</f>
        <v/>
      </c>
      <c r="H590" s="88"/>
      <c r="I590" s="88"/>
    </row>
    <row r="591" spans="1:9" ht="13.15" x14ac:dyDescent="0.35">
      <c r="A591" s="434"/>
      <c r="B591" s="436"/>
      <c r="C591" s="437"/>
      <c r="D591" s="434"/>
      <c r="E591" s="93" t="str" cm="1">
        <f t="array" ref="E591">IF(D591&lt;&gt;"",IFERROR(VLOOKUP(D591,Codes!$K$2:$L$409,2,FALSE),"UNKNOWN - "&amp;D591),IF(C591="","",IFERROR(_xlfn.IFS(ISNUMBER(SEARCH("broken button",C591)),"Break",ISNUMBER(SEARCH("broken handle",C591)),"Break",ISNUMBER(SEARCH("shipping damage",C591)),"Break",ISNUMBER(SEARCH("broken",C591)),"Break",ISNUMBER(SEARCH("crack",C591)),"Break",ISNUMBER(SEARCH("snap",C591)),"Break",ISNUMBER(SEARCH("fracture",C591)),"Break",ISNUMBER(SEARCH("bent",C591)),"Material Twisted/Bent",ISNUMBER(SEARCH("twisted",C591)),"Material Twisted/Bent",ISNUMBER(SEARCH("component separat",C591)),"Material Separation",ISNUMBER(SEARCH("separat",C591)),"Material Separation",ISNUMBER(SEARCH("connection",C591)),"Loose or Intermittent Connection",ISNUMBER(SEARCH("loose",C591)),"Loose or Intermittent Connection",ISNUMBER(SEARCH("damaged packaging",C591)),"Packaging Problem",ISNUMBER(SEARCH("packaging",C591)),"Packaging Problem",ISNUMBER(SEARCH("discoloration",C591)),"Contamination",ISNUMBER(SEARCH("tarnish",C591)),"Contamination",ISNUMBER(SEARCH("stain",C591)),"Contamination",ISNUMBER(SEARCH("foreign material",C591)),"Contamination",ISNUMBER(SEARCH("contamina",C591)),"Contamination",ISNUMBER(SEARCH("overheat",C591)),"Overheating of Device",ISNUMBER(SEARCH("excessive heat",C591)),"Overheating of Device",ISNUMBER(SEARCH("hot",C591)),"Overheating of Device",ISNUMBER(SEARCH("noise",C591)),"Noise, Audible",ISNUMBER(SEARCH("sound",C591)),"Noise, Audible",ISNUMBER(SEARCH("loud",C591)),"Noise, Audible",ISNUMBER(SEARCH("fray",C591)),"Material Frayed",ISNUMBER(SEARCH("hole",C591)),"Material Frayed",ISNUMBER(SEARCH("tear",C591)),"Material Frayed",ISNUMBER(SEARCH("worn",C591)),"Material Frayed",ISNUMBER(SEARCH("intermittent",C591)),"Difficult or Delayed Activation",ISNUMBER(SEARCH("delay",C591)),"Difficult or Delayed Activation",ISNUMBER(SEARCH("label",C591)),"Device Markings/Labelling Problem",ISNUMBER(SEARCH("marking",C591)),"Device Markings/Labelling Problem",ISNUMBER(SEARCH("lacerat",C591)),"Defective Device",ISNUMBER(SEARCH("cut",C591)),"Defective Device",ISNUMBER(SEARCH("leak",C591)),"Fluid/Blood Leak",ISNUMBER(SEARCH("missing",C591)),"Component Missing",ISNUMBER(SEARCH("power",C591)),"Complete Loss of Power",ISNUMBER(SEARCH("will not turn on",C591)),"Complete Loss of Power",ISNUMBER(SEARCH("won't turn on",C591)),"Complete Loss of Power",ISNUMBER(SEARCH("does not turn on",C591)),"Complete Loss of Power",ISNUMBER(SEARCH("electrical",C591)),"Electrical Power Problem",ISNUMBER(SEARCH("pressure",C591)),"Detachment of Device or Device Component",ISNUMBER(SEARCH("slip",C591)),"Detachment of Device or Device Component",ISNUMBER(SEARCH("detach",C591)),"Detachment of Device or Device Component",ISNUMBER(SEARCH("stick",C591)),"Mechanical Jam",ISNUMBER(SEARCH("jam",C591)),"Mechanical Jam",ISNUMBER(SEARCH("rigid",C591)),"Mechanical Jam",ISNUMBER(SEARCH("rust",C591)),"Corroded",ISNUMBER(SEARCH("corrod",C591)),"Corroded",ISNUMBER(SEARCH("corrosion",C591)),"Corroded",ISNUMBER(SEARCH("alignment",C591)),"Defective Device",ISNUMBER(SEARCH("adjust",C591)),"Defective Device",ISNUMBER(SEARCH("perform",C591)),"Defective Device",ISNUMBER(SEARCH("malfunction",C591)),"Defective Device",ISNUMBER(SEARCH("defect",C591)),"Defective Device",ISNUMBER(SEARCH("fail",C591)),"Defective Device",ISNUMBER(SEARCH("not work",C591)),"Defective Device",ISNUMBER(SEARCH("doesn't work",C591)),"Defective Device",TRUE,"UNKNOWN"),"UNKNOWN")))</f>
        <v/>
      </c>
      <c r="F591" s="4" t="str">
        <f t="shared" si="9"/>
        <v/>
      </c>
      <c r="G591" s="363" t="str">
        <f>IF(E591="","",IFERROR(VLOOKUP(E591,Codes!$L$2:$N$409,3,FALSE),"—"))</f>
        <v/>
      </c>
      <c r="H591" s="88"/>
      <c r="I591" s="88"/>
    </row>
    <row r="592" spans="1:9" ht="13.15" x14ac:dyDescent="0.35">
      <c r="A592" s="434"/>
      <c r="B592" s="436"/>
      <c r="C592" s="437"/>
      <c r="D592" s="434"/>
      <c r="E592" s="93" t="str" cm="1">
        <f t="array" ref="E592">IF(D592&lt;&gt;"",IFERROR(VLOOKUP(D592,Codes!$K$2:$L$409,2,FALSE),"UNKNOWN - "&amp;D592),IF(C592="","",IFERROR(_xlfn.IFS(ISNUMBER(SEARCH("broken button",C592)),"Break",ISNUMBER(SEARCH("broken handle",C592)),"Break",ISNUMBER(SEARCH("shipping damage",C592)),"Break",ISNUMBER(SEARCH("broken",C592)),"Break",ISNUMBER(SEARCH("crack",C592)),"Break",ISNUMBER(SEARCH("snap",C592)),"Break",ISNUMBER(SEARCH("fracture",C592)),"Break",ISNUMBER(SEARCH("bent",C592)),"Material Twisted/Bent",ISNUMBER(SEARCH("twisted",C592)),"Material Twisted/Bent",ISNUMBER(SEARCH("component separat",C592)),"Material Separation",ISNUMBER(SEARCH("separat",C592)),"Material Separation",ISNUMBER(SEARCH("connection",C592)),"Loose or Intermittent Connection",ISNUMBER(SEARCH("loose",C592)),"Loose or Intermittent Connection",ISNUMBER(SEARCH("damaged packaging",C592)),"Packaging Problem",ISNUMBER(SEARCH("packaging",C592)),"Packaging Problem",ISNUMBER(SEARCH("discoloration",C592)),"Contamination",ISNUMBER(SEARCH("tarnish",C592)),"Contamination",ISNUMBER(SEARCH("stain",C592)),"Contamination",ISNUMBER(SEARCH("foreign material",C592)),"Contamination",ISNUMBER(SEARCH("contamina",C592)),"Contamination",ISNUMBER(SEARCH("overheat",C592)),"Overheating of Device",ISNUMBER(SEARCH("excessive heat",C592)),"Overheating of Device",ISNUMBER(SEARCH("hot",C592)),"Overheating of Device",ISNUMBER(SEARCH("noise",C592)),"Noise, Audible",ISNUMBER(SEARCH("sound",C592)),"Noise, Audible",ISNUMBER(SEARCH("loud",C592)),"Noise, Audible",ISNUMBER(SEARCH("fray",C592)),"Material Frayed",ISNUMBER(SEARCH("hole",C592)),"Material Frayed",ISNUMBER(SEARCH("tear",C592)),"Material Frayed",ISNUMBER(SEARCH("worn",C592)),"Material Frayed",ISNUMBER(SEARCH("intermittent",C592)),"Difficult or Delayed Activation",ISNUMBER(SEARCH("delay",C592)),"Difficult or Delayed Activation",ISNUMBER(SEARCH("label",C592)),"Device Markings/Labelling Problem",ISNUMBER(SEARCH("marking",C592)),"Device Markings/Labelling Problem",ISNUMBER(SEARCH("lacerat",C592)),"Defective Device",ISNUMBER(SEARCH("cut",C592)),"Defective Device",ISNUMBER(SEARCH("leak",C592)),"Fluid/Blood Leak",ISNUMBER(SEARCH("missing",C592)),"Component Missing",ISNUMBER(SEARCH("power",C592)),"Complete Loss of Power",ISNUMBER(SEARCH("will not turn on",C592)),"Complete Loss of Power",ISNUMBER(SEARCH("won't turn on",C592)),"Complete Loss of Power",ISNUMBER(SEARCH("does not turn on",C592)),"Complete Loss of Power",ISNUMBER(SEARCH("electrical",C592)),"Electrical Power Problem",ISNUMBER(SEARCH("pressure",C592)),"Detachment of Device or Device Component",ISNUMBER(SEARCH("slip",C592)),"Detachment of Device or Device Component",ISNUMBER(SEARCH("detach",C592)),"Detachment of Device or Device Component",ISNUMBER(SEARCH("stick",C592)),"Mechanical Jam",ISNUMBER(SEARCH("jam",C592)),"Mechanical Jam",ISNUMBER(SEARCH("rigid",C592)),"Mechanical Jam",ISNUMBER(SEARCH("rust",C592)),"Corroded",ISNUMBER(SEARCH("corrod",C592)),"Corroded",ISNUMBER(SEARCH("corrosion",C592)),"Corroded",ISNUMBER(SEARCH("alignment",C592)),"Defective Device",ISNUMBER(SEARCH("adjust",C592)),"Defective Device",ISNUMBER(SEARCH("perform",C592)),"Defective Device",ISNUMBER(SEARCH("malfunction",C592)),"Defective Device",ISNUMBER(SEARCH("defect",C592)),"Defective Device",ISNUMBER(SEARCH("fail",C592)),"Defective Device",ISNUMBER(SEARCH("not work",C592)),"Defective Device",ISNUMBER(SEARCH("doesn't work",C592)),"Defective Device",TRUE,"UNKNOWN"),"UNKNOWN")))</f>
        <v/>
      </c>
      <c r="F592" s="4" t="str">
        <f t="shared" si="9"/>
        <v/>
      </c>
      <c r="G592" s="363" t="str">
        <f>IF(E592="","",IFERROR(VLOOKUP(E592,Codes!$L$2:$N$409,3,FALSE),"—"))</f>
        <v/>
      </c>
      <c r="H592" s="88"/>
      <c r="I592" s="88"/>
    </row>
    <row r="593" spans="1:9" ht="13.15" x14ac:dyDescent="0.35">
      <c r="A593" s="435"/>
      <c r="B593" s="436"/>
      <c r="C593" s="438"/>
      <c r="D593" s="435"/>
      <c r="E593" s="93" t="str" cm="1">
        <f t="array" ref="E593">IF(D593&lt;&gt;"",IFERROR(VLOOKUP(D593,Codes!$K$2:$L$409,2,FALSE),"UNKNOWN - "&amp;D593),IF(C593="","",IFERROR(_xlfn.IFS(ISNUMBER(SEARCH("broken button",C593)),"Break",ISNUMBER(SEARCH("broken handle",C593)),"Break",ISNUMBER(SEARCH("shipping damage",C593)),"Break",ISNUMBER(SEARCH("broken",C593)),"Break",ISNUMBER(SEARCH("crack",C593)),"Break",ISNUMBER(SEARCH("snap",C593)),"Break",ISNUMBER(SEARCH("fracture",C593)),"Break",ISNUMBER(SEARCH("bent",C593)),"Material Twisted/Bent",ISNUMBER(SEARCH("twisted",C593)),"Material Twisted/Bent",ISNUMBER(SEARCH("component separat",C593)),"Material Separation",ISNUMBER(SEARCH("separat",C593)),"Material Separation",ISNUMBER(SEARCH("connection",C593)),"Loose or Intermittent Connection",ISNUMBER(SEARCH("loose",C593)),"Loose or Intermittent Connection",ISNUMBER(SEARCH("damaged packaging",C593)),"Packaging Problem",ISNUMBER(SEARCH("packaging",C593)),"Packaging Problem",ISNUMBER(SEARCH("discoloration",C593)),"Contamination",ISNUMBER(SEARCH("tarnish",C593)),"Contamination",ISNUMBER(SEARCH("stain",C593)),"Contamination",ISNUMBER(SEARCH("foreign material",C593)),"Contamination",ISNUMBER(SEARCH("contamina",C593)),"Contamination",ISNUMBER(SEARCH("overheat",C593)),"Overheating of Device",ISNUMBER(SEARCH("excessive heat",C593)),"Overheating of Device",ISNUMBER(SEARCH("hot",C593)),"Overheating of Device",ISNUMBER(SEARCH("noise",C593)),"Noise, Audible",ISNUMBER(SEARCH("sound",C593)),"Noise, Audible",ISNUMBER(SEARCH("loud",C593)),"Noise, Audible",ISNUMBER(SEARCH("fray",C593)),"Material Frayed",ISNUMBER(SEARCH("hole",C593)),"Material Frayed",ISNUMBER(SEARCH("tear",C593)),"Material Frayed",ISNUMBER(SEARCH("worn",C593)),"Material Frayed",ISNUMBER(SEARCH("intermittent",C593)),"Difficult or Delayed Activation",ISNUMBER(SEARCH("delay",C593)),"Difficult or Delayed Activation",ISNUMBER(SEARCH("label",C593)),"Device Markings/Labelling Problem",ISNUMBER(SEARCH("marking",C593)),"Device Markings/Labelling Problem",ISNUMBER(SEARCH("lacerat",C593)),"Defective Device",ISNUMBER(SEARCH("cut",C593)),"Defective Device",ISNUMBER(SEARCH("leak",C593)),"Fluid/Blood Leak",ISNUMBER(SEARCH("missing",C593)),"Component Missing",ISNUMBER(SEARCH("power",C593)),"Complete Loss of Power",ISNUMBER(SEARCH("will not turn on",C593)),"Complete Loss of Power",ISNUMBER(SEARCH("won't turn on",C593)),"Complete Loss of Power",ISNUMBER(SEARCH("does not turn on",C593)),"Complete Loss of Power",ISNUMBER(SEARCH("electrical",C593)),"Electrical Power Problem",ISNUMBER(SEARCH("pressure",C593)),"Detachment of Device or Device Component",ISNUMBER(SEARCH("slip",C593)),"Detachment of Device or Device Component",ISNUMBER(SEARCH("detach",C593)),"Detachment of Device or Device Component",ISNUMBER(SEARCH("stick",C593)),"Mechanical Jam",ISNUMBER(SEARCH("jam",C593)),"Mechanical Jam",ISNUMBER(SEARCH("rigid",C593)),"Mechanical Jam",ISNUMBER(SEARCH("rust",C593)),"Corroded",ISNUMBER(SEARCH("corrod",C593)),"Corroded",ISNUMBER(SEARCH("corrosion",C593)),"Corroded",ISNUMBER(SEARCH("alignment",C593)),"Defective Device",ISNUMBER(SEARCH("adjust",C593)),"Defective Device",ISNUMBER(SEARCH("perform",C593)),"Defective Device",ISNUMBER(SEARCH("malfunction",C593)),"Defective Device",ISNUMBER(SEARCH("defect",C593)),"Defective Device",ISNUMBER(SEARCH("fail",C593)),"Defective Device",ISNUMBER(SEARCH("not work",C593)),"Defective Device",ISNUMBER(SEARCH("doesn't work",C593)),"Defective Device",TRUE,"UNKNOWN"),"UNKNOWN")))</f>
        <v/>
      </c>
      <c r="F593" s="4" t="str">
        <f t="shared" si="9"/>
        <v/>
      </c>
      <c r="G593" s="363" t="str">
        <f>IF(E593="","",IFERROR(VLOOKUP(E593,Codes!$L$2:$N$409,3,FALSE),"—"))</f>
        <v/>
      </c>
      <c r="H593" s="88"/>
      <c r="I593" s="88"/>
    </row>
    <row r="594" spans="1:9" ht="13.15" x14ac:dyDescent="0.35">
      <c r="A594" s="434"/>
      <c r="B594" s="436"/>
      <c r="C594" s="439"/>
      <c r="D594" s="434"/>
      <c r="E594" s="93" t="str" cm="1">
        <f t="array" ref="E594">IF(D594&lt;&gt;"",IFERROR(VLOOKUP(D594,Codes!$K$2:$L$409,2,FALSE),"UNKNOWN - "&amp;D594),IF(C594="","",IFERROR(_xlfn.IFS(ISNUMBER(SEARCH("broken button",C594)),"Break",ISNUMBER(SEARCH("broken handle",C594)),"Break",ISNUMBER(SEARCH("shipping damage",C594)),"Break",ISNUMBER(SEARCH("broken",C594)),"Break",ISNUMBER(SEARCH("crack",C594)),"Break",ISNUMBER(SEARCH("snap",C594)),"Break",ISNUMBER(SEARCH("fracture",C594)),"Break",ISNUMBER(SEARCH("bent",C594)),"Material Twisted/Bent",ISNUMBER(SEARCH("twisted",C594)),"Material Twisted/Bent",ISNUMBER(SEARCH("component separat",C594)),"Material Separation",ISNUMBER(SEARCH("separat",C594)),"Material Separation",ISNUMBER(SEARCH("connection",C594)),"Loose or Intermittent Connection",ISNUMBER(SEARCH("loose",C594)),"Loose or Intermittent Connection",ISNUMBER(SEARCH("damaged packaging",C594)),"Packaging Problem",ISNUMBER(SEARCH("packaging",C594)),"Packaging Problem",ISNUMBER(SEARCH("discoloration",C594)),"Contamination",ISNUMBER(SEARCH("tarnish",C594)),"Contamination",ISNUMBER(SEARCH("stain",C594)),"Contamination",ISNUMBER(SEARCH("foreign material",C594)),"Contamination",ISNUMBER(SEARCH("contamina",C594)),"Contamination",ISNUMBER(SEARCH("overheat",C594)),"Overheating of Device",ISNUMBER(SEARCH("excessive heat",C594)),"Overheating of Device",ISNUMBER(SEARCH("hot",C594)),"Overheating of Device",ISNUMBER(SEARCH("noise",C594)),"Noise, Audible",ISNUMBER(SEARCH("sound",C594)),"Noise, Audible",ISNUMBER(SEARCH("loud",C594)),"Noise, Audible",ISNUMBER(SEARCH("fray",C594)),"Material Frayed",ISNUMBER(SEARCH("hole",C594)),"Material Frayed",ISNUMBER(SEARCH("tear",C594)),"Material Frayed",ISNUMBER(SEARCH("worn",C594)),"Material Frayed",ISNUMBER(SEARCH("intermittent",C594)),"Difficult or Delayed Activation",ISNUMBER(SEARCH("delay",C594)),"Difficult or Delayed Activation",ISNUMBER(SEARCH("label",C594)),"Device Markings/Labelling Problem",ISNUMBER(SEARCH("marking",C594)),"Device Markings/Labelling Problem",ISNUMBER(SEARCH("lacerat",C594)),"Defective Device",ISNUMBER(SEARCH("cut",C594)),"Defective Device",ISNUMBER(SEARCH("leak",C594)),"Fluid/Blood Leak",ISNUMBER(SEARCH("missing",C594)),"Component Missing",ISNUMBER(SEARCH("power",C594)),"Complete Loss of Power",ISNUMBER(SEARCH("will not turn on",C594)),"Complete Loss of Power",ISNUMBER(SEARCH("won't turn on",C594)),"Complete Loss of Power",ISNUMBER(SEARCH("does not turn on",C594)),"Complete Loss of Power",ISNUMBER(SEARCH("electrical",C594)),"Electrical Power Problem",ISNUMBER(SEARCH("pressure",C594)),"Detachment of Device or Device Component",ISNUMBER(SEARCH("slip",C594)),"Detachment of Device or Device Component",ISNUMBER(SEARCH("detach",C594)),"Detachment of Device or Device Component",ISNUMBER(SEARCH("stick",C594)),"Mechanical Jam",ISNUMBER(SEARCH("jam",C594)),"Mechanical Jam",ISNUMBER(SEARCH("rigid",C594)),"Mechanical Jam",ISNUMBER(SEARCH("rust",C594)),"Corroded",ISNUMBER(SEARCH("corrod",C594)),"Corroded",ISNUMBER(SEARCH("corrosion",C594)),"Corroded",ISNUMBER(SEARCH("alignment",C594)),"Defective Device",ISNUMBER(SEARCH("adjust",C594)),"Defective Device",ISNUMBER(SEARCH("perform",C594)),"Defective Device",ISNUMBER(SEARCH("malfunction",C594)),"Defective Device",ISNUMBER(SEARCH("defect",C594)),"Defective Device",ISNUMBER(SEARCH("fail",C594)),"Defective Device",ISNUMBER(SEARCH("not work",C594)),"Defective Device",ISNUMBER(SEARCH("doesn't work",C594)),"Defective Device",TRUE,"UNKNOWN"),"UNKNOWN")))</f>
        <v/>
      </c>
      <c r="F594" s="4" t="str">
        <f t="shared" si="9"/>
        <v/>
      </c>
      <c r="G594" s="363" t="str">
        <f>IF(E594="","",IFERROR(VLOOKUP(E594,Codes!$L$2:$N$409,3,FALSE),"—"))</f>
        <v/>
      </c>
      <c r="H594" s="88"/>
      <c r="I594" s="88"/>
    </row>
    <row r="595" spans="1:9" ht="13.15" x14ac:dyDescent="0.35">
      <c r="A595" s="434"/>
      <c r="B595" s="436"/>
      <c r="C595" s="437"/>
      <c r="D595" s="434"/>
      <c r="E595" s="93" t="str" cm="1">
        <f t="array" ref="E595">IF(D595&lt;&gt;"",IFERROR(VLOOKUP(D595,Codes!$K$2:$L$409,2,FALSE),"UNKNOWN - "&amp;D595),IF(C595="","",IFERROR(_xlfn.IFS(ISNUMBER(SEARCH("broken button",C595)),"Break",ISNUMBER(SEARCH("broken handle",C595)),"Break",ISNUMBER(SEARCH("shipping damage",C595)),"Break",ISNUMBER(SEARCH("broken",C595)),"Break",ISNUMBER(SEARCH("crack",C595)),"Break",ISNUMBER(SEARCH("snap",C595)),"Break",ISNUMBER(SEARCH("fracture",C595)),"Break",ISNUMBER(SEARCH("bent",C595)),"Material Twisted/Bent",ISNUMBER(SEARCH("twisted",C595)),"Material Twisted/Bent",ISNUMBER(SEARCH("component separat",C595)),"Material Separation",ISNUMBER(SEARCH("separat",C595)),"Material Separation",ISNUMBER(SEARCH("connection",C595)),"Loose or Intermittent Connection",ISNUMBER(SEARCH("loose",C595)),"Loose or Intermittent Connection",ISNUMBER(SEARCH("damaged packaging",C595)),"Packaging Problem",ISNUMBER(SEARCH("packaging",C595)),"Packaging Problem",ISNUMBER(SEARCH("discoloration",C595)),"Contamination",ISNUMBER(SEARCH("tarnish",C595)),"Contamination",ISNUMBER(SEARCH("stain",C595)),"Contamination",ISNUMBER(SEARCH("foreign material",C595)),"Contamination",ISNUMBER(SEARCH("contamina",C595)),"Contamination",ISNUMBER(SEARCH("overheat",C595)),"Overheating of Device",ISNUMBER(SEARCH("excessive heat",C595)),"Overheating of Device",ISNUMBER(SEARCH("hot",C595)),"Overheating of Device",ISNUMBER(SEARCH("noise",C595)),"Noise, Audible",ISNUMBER(SEARCH("sound",C595)),"Noise, Audible",ISNUMBER(SEARCH("loud",C595)),"Noise, Audible",ISNUMBER(SEARCH("fray",C595)),"Material Frayed",ISNUMBER(SEARCH("hole",C595)),"Material Frayed",ISNUMBER(SEARCH("tear",C595)),"Material Frayed",ISNUMBER(SEARCH("worn",C595)),"Material Frayed",ISNUMBER(SEARCH("intermittent",C595)),"Difficult or Delayed Activation",ISNUMBER(SEARCH("delay",C595)),"Difficult or Delayed Activation",ISNUMBER(SEARCH("label",C595)),"Device Markings/Labelling Problem",ISNUMBER(SEARCH("marking",C595)),"Device Markings/Labelling Problem",ISNUMBER(SEARCH("lacerat",C595)),"Defective Device",ISNUMBER(SEARCH("cut",C595)),"Defective Device",ISNUMBER(SEARCH("leak",C595)),"Fluid/Blood Leak",ISNUMBER(SEARCH("missing",C595)),"Component Missing",ISNUMBER(SEARCH("power",C595)),"Complete Loss of Power",ISNUMBER(SEARCH("will not turn on",C595)),"Complete Loss of Power",ISNUMBER(SEARCH("won't turn on",C595)),"Complete Loss of Power",ISNUMBER(SEARCH("does not turn on",C595)),"Complete Loss of Power",ISNUMBER(SEARCH("electrical",C595)),"Electrical Power Problem",ISNUMBER(SEARCH("pressure",C595)),"Detachment of Device or Device Component",ISNUMBER(SEARCH("slip",C595)),"Detachment of Device or Device Component",ISNUMBER(SEARCH("detach",C595)),"Detachment of Device or Device Component",ISNUMBER(SEARCH("stick",C595)),"Mechanical Jam",ISNUMBER(SEARCH("jam",C595)),"Mechanical Jam",ISNUMBER(SEARCH("rigid",C595)),"Mechanical Jam",ISNUMBER(SEARCH("rust",C595)),"Corroded",ISNUMBER(SEARCH("corrod",C595)),"Corroded",ISNUMBER(SEARCH("corrosion",C595)),"Corroded",ISNUMBER(SEARCH("alignment",C595)),"Defective Device",ISNUMBER(SEARCH("adjust",C595)),"Defective Device",ISNUMBER(SEARCH("perform",C595)),"Defective Device",ISNUMBER(SEARCH("malfunction",C595)),"Defective Device",ISNUMBER(SEARCH("defect",C595)),"Defective Device",ISNUMBER(SEARCH("fail",C595)),"Defective Device",ISNUMBER(SEARCH("not work",C595)),"Defective Device",ISNUMBER(SEARCH("doesn't work",C595)),"Defective Device",TRUE,"UNKNOWN"),"UNKNOWN")))</f>
        <v/>
      </c>
      <c r="F595" s="4" t="str">
        <f t="shared" si="9"/>
        <v/>
      </c>
      <c r="G595" s="363" t="str">
        <f>IF(E595="","",IFERROR(VLOOKUP(E595,Codes!$L$2:$N$409,3,FALSE),"—"))</f>
        <v/>
      </c>
      <c r="H595" s="88"/>
      <c r="I595" s="88"/>
    </row>
    <row r="596" spans="1:9" ht="13.15" x14ac:dyDescent="0.35">
      <c r="A596" s="435"/>
      <c r="B596" s="436"/>
      <c r="C596" s="438"/>
      <c r="D596" s="435"/>
      <c r="E596" s="93" t="str" cm="1">
        <f t="array" ref="E596">IF(D596&lt;&gt;"",IFERROR(VLOOKUP(D596,Codes!$K$2:$L$409,2,FALSE),"UNKNOWN - "&amp;D596),IF(C596="","",IFERROR(_xlfn.IFS(ISNUMBER(SEARCH("broken button",C596)),"Break",ISNUMBER(SEARCH("broken handle",C596)),"Break",ISNUMBER(SEARCH("shipping damage",C596)),"Break",ISNUMBER(SEARCH("broken",C596)),"Break",ISNUMBER(SEARCH("crack",C596)),"Break",ISNUMBER(SEARCH("snap",C596)),"Break",ISNUMBER(SEARCH("fracture",C596)),"Break",ISNUMBER(SEARCH("bent",C596)),"Material Twisted/Bent",ISNUMBER(SEARCH("twisted",C596)),"Material Twisted/Bent",ISNUMBER(SEARCH("component separat",C596)),"Material Separation",ISNUMBER(SEARCH("separat",C596)),"Material Separation",ISNUMBER(SEARCH("connection",C596)),"Loose or Intermittent Connection",ISNUMBER(SEARCH("loose",C596)),"Loose or Intermittent Connection",ISNUMBER(SEARCH("damaged packaging",C596)),"Packaging Problem",ISNUMBER(SEARCH("packaging",C596)),"Packaging Problem",ISNUMBER(SEARCH("discoloration",C596)),"Contamination",ISNUMBER(SEARCH("tarnish",C596)),"Contamination",ISNUMBER(SEARCH("stain",C596)),"Contamination",ISNUMBER(SEARCH("foreign material",C596)),"Contamination",ISNUMBER(SEARCH("contamina",C596)),"Contamination",ISNUMBER(SEARCH("overheat",C596)),"Overheating of Device",ISNUMBER(SEARCH("excessive heat",C596)),"Overheating of Device",ISNUMBER(SEARCH("hot",C596)),"Overheating of Device",ISNUMBER(SEARCH("noise",C596)),"Noise, Audible",ISNUMBER(SEARCH("sound",C596)),"Noise, Audible",ISNUMBER(SEARCH("loud",C596)),"Noise, Audible",ISNUMBER(SEARCH("fray",C596)),"Material Frayed",ISNUMBER(SEARCH("hole",C596)),"Material Frayed",ISNUMBER(SEARCH("tear",C596)),"Material Frayed",ISNUMBER(SEARCH("worn",C596)),"Material Frayed",ISNUMBER(SEARCH("intermittent",C596)),"Difficult or Delayed Activation",ISNUMBER(SEARCH("delay",C596)),"Difficult or Delayed Activation",ISNUMBER(SEARCH("label",C596)),"Device Markings/Labelling Problem",ISNUMBER(SEARCH("marking",C596)),"Device Markings/Labelling Problem",ISNUMBER(SEARCH("lacerat",C596)),"Defective Device",ISNUMBER(SEARCH("cut",C596)),"Defective Device",ISNUMBER(SEARCH("leak",C596)),"Fluid/Blood Leak",ISNUMBER(SEARCH("missing",C596)),"Component Missing",ISNUMBER(SEARCH("power",C596)),"Complete Loss of Power",ISNUMBER(SEARCH("will not turn on",C596)),"Complete Loss of Power",ISNUMBER(SEARCH("won't turn on",C596)),"Complete Loss of Power",ISNUMBER(SEARCH("does not turn on",C596)),"Complete Loss of Power",ISNUMBER(SEARCH("electrical",C596)),"Electrical Power Problem",ISNUMBER(SEARCH("pressure",C596)),"Detachment of Device or Device Component",ISNUMBER(SEARCH("slip",C596)),"Detachment of Device or Device Component",ISNUMBER(SEARCH("detach",C596)),"Detachment of Device or Device Component",ISNUMBER(SEARCH("stick",C596)),"Mechanical Jam",ISNUMBER(SEARCH("jam",C596)),"Mechanical Jam",ISNUMBER(SEARCH("rigid",C596)),"Mechanical Jam",ISNUMBER(SEARCH("rust",C596)),"Corroded",ISNUMBER(SEARCH("corrod",C596)),"Corroded",ISNUMBER(SEARCH("corrosion",C596)),"Corroded",ISNUMBER(SEARCH("alignment",C596)),"Defective Device",ISNUMBER(SEARCH("adjust",C596)),"Defective Device",ISNUMBER(SEARCH("perform",C596)),"Defective Device",ISNUMBER(SEARCH("malfunction",C596)),"Defective Device",ISNUMBER(SEARCH("defect",C596)),"Defective Device",ISNUMBER(SEARCH("fail",C596)),"Defective Device",ISNUMBER(SEARCH("not work",C596)),"Defective Device",ISNUMBER(SEARCH("doesn't work",C596)),"Defective Device",TRUE,"UNKNOWN"),"UNKNOWN")))</f>
        <v/>
      </c>
      <c r="F596" s="4" t="str">
        <f t="shared" si="9"/>
        <v/>
      </c>
      <c r="G596" s="363" t="str">
        <f>IF(E596="","",IFERROR(VLOOKUP(E596,Codes!$L$2:$N$409,3,FALSE),"—"))</f>
        <v/>
      </c>
      <c r="H596" s="88"/>
      <c r="I596" s="88"/>
    </row>
    <row r="597" spans="1:9" ht="13.15" x14ac:dyDescent="0.35">
      <c r="A597" s="434"/>
      <c r="B597" s="436"/>
      <c r="C597" s="437"/>
      <c r="D597" s="434"/>
      <c r="E597" s="93" t="str" cm="1">
        <f t="array" ref="E597">IF(D597&lt;&gt;"",IFERROR(VLOOKUP(D597,Codes!$K$2:$L$409,2,FALSE),"UNKNOWN - "&amp;D597),IF(C597="","",IFERROR(_xlfn.IFS(ISNUMBER(SEARCH("broken button",C597)),"Break",ISNUMBER(SEARCH("broken handle",C597)),"Break",ISNUMBER(SEARCH("shipping damage",C597)),"Break",ISNUMBER(SEARCH("broken",C597)),"Break",ISNUMBER(SEARCH("crack",C597)),"Break",ISNUMBER(SEARCH("snap",C597)),"Break",ISNUMBER(SEARCH("fracture",C597)),"Break",ISNUMBER(SEARCH("bent",C597)),"Material Twisted/Bent",ISNUMBER(SEARCH("twisted",C597)),"Material Twisted/Bent",ISNUMBER(SEARCH("component separat",C597)),"Material Separation",ISNUMBER(SEARCH("separat",C597)),"Material Separation",ISNUMBER(SEARCH("connection",C597)),"Loose or Intermittent Connection",ISNUMBER(SEARCH("loose",C597)),"Loose or Intermittent Connection",ISNUMBER(SEARCH("damaged packaging",C597)),"Packaging Problem",ISNUMBER(SEARCH("packaging",C597)),"Packaging Problem",ISNUMBER(SEARCH("discoloration",C597)),"Contamination",ISNUMBER(SEARCH("tarnish",C597)),"Contamination",ISNUMBER(SEARCH("stain",C597)),"Contamination",ISNUMBER(SEARCH("foreign material",C597)),"Contamination",ISNUMBER(SEARCH("contamina",C597)),"Contamination",ISNUMBER(SEARCH("overheat",C597)),"Overheating of Device",ISNUMBER(SEARCH("excessive heat",C597)),"Overheating of Device",ISNUMBER(SEARCH("hot",C597)),"Overheating of Device",ISNUMBER(SEARCH("noise",C597)),"Noise, Audible",ISNUMBER(SEARCH("sound",C597)),"Noise, Audible",ISNUMBER(SEARCH("loud",C597)),"Noise, Audible",ISNUMBER(SEARCH("fray",C597)),"Material Frayed",ISNUMBER(SEARCH("hole",C597)),"Material Frayed",ISNUMBER(SEARCH("tear",C597)),"Material Frayed",ISNUMBER(SEARCH("worn",C597)),"Material Frayed",ISNUMBER(SEARCH("intermittent",C597)),"Difficult or Delayed Activation",ISNUMBER(SEARCH("delay",C597)),"Difficult or Delayed Activation",ISNUMBER(SEARCH("label",C597)),"Device Markings/Labelling Problem",ISNUMBER(SEARCH("marking",C597)),"Device Markings/Labelling Problem",ISNUMBER(SEARCH("lacerat",C597)),"Defective Device",ISNUMBER(SEARCH("cut",C597)),"Defective Device",ISNUMBER(SEARCH("leak",C597)),"Fluid/Blood Leak",ISNUMBER(SEARCH("missing",C597)),"Component Missing",ISNUMBER(SEARCH("power",C597)),"Complete Loss of Power",ISNUMBER(SEARCH("will not turn on",C597)),"Complete Loss of Power",ISNUMBER(SEARCH("won't turn on",C597)),"Complete Loss of Power",ISNUMBER(SEARCH("does not turn on",C597)),"Complete Loss of Power",ISNUMBER(SEARCH("electrical",C597)),"Electrical Power Problem",ISNUMBER(SEARCH("pressure",C597)),"Detachment of Device or Device Component",ISNUMBER(SEARCH("slip",C597)),"Detachment of Device or Device Component",ISNUMBER(SEARCH("detach",C597)),"Detachment of Device or Device Component",ISNUMBER(SEARCH("stick",C597)),"Mechanical Jam",ISNUMBER(SEARCH("jam",C597)),"Mechanical Jam",ISNUMBER(SEARCH("rigid",C597)),"Mechanical Jam",ISNUMBER(SEARCH("rust",C597)),"Corroded",ISNUMBER(SEARCH("corrod",C597)),"Corroded",ISNUMBER(SEARCH("corrosion",C597)),"Corroded",ISNUMBER(SEARCH("alignment",C597)),"Defective Device",ISNUMBER(SEARCH("adjust",C597)),"Defective Device",ISNUMBER(SEARCH("perform",C597)),"Defective Device",ISNUMBER(SEARCH("malfunction",C597)),"Defective Device",ISNUMBER(SEARCH("defect",C597)),"Defective Device",ISNUMBER(SEARCH("fail",C597)),"Defective Device",ISNUMBER(SEARCH("not work",C597)),"Defective Device",ISNUMBER(SEARCH("doesn't work",C597)),"Defective Device",TRUE,"UNKNOWN"),"UNKNOWN")))</f>
        <v/>
      </c>
      <c r="F597" s="4" t="str">
        <f t="shared" si="9"/>
        <v/>
      </c>
      <c r="G597" s="363" t="str">
        <f>IF(E597="","",IFERROR(VLOOKUP(E597,Codes!$L$2:$N$409,3,FALSE),"—"))</f>
        <v/>
      </c>
      <c r="H597" s="88"/>
      <c r="I597" s="88"/>
    </row>
    <row r="598" spans="1:9" ht="13.15" x14ac:dyDescent="0.35">
      <c r="A598" s="435"/>
      <c r="B598" s="436"/>
      <c r="C598" s="438"/>
      <c r="D598" s="435"/>
      <c r="E598" s="93" t="str" cm="1">
        <f t="array" ref="E598">IF(D598&lt;&gt;"",IFERROR(VLOOKUP(D598,Codes!$K$2:$L$409,2,FALSE),"UNKNOWN - "&amp;D598),IF(C598="","",IFERROR(_xlfn.IFS(ISNUMBER(SEARCH("broken button",C598)),"Break",ISNUMBER(SEARCH("broken handle",C598)),"Break",ISNUMBER(SEARCH("shipping damage",C598)),"Break",ISNUMBER(SEARCH("broken",C598)),"Break",ISNUMBER(SEARCH("crack",C598)),"Break",ISNUMBER(SEARCH("snap",C598)),"Break",ISNUMBER(SEARCH("fracture",C598)),"Break",ISNUMBER(SEARCH("bent",C598)),"Material Twisted/Bent",ISNUMBER(SEARCH("twisted",C598)),"Material Twisted/Bent",ISNUMBER(SEARCH("component separat",C598)),"Material Separation",ISNUMBER(SEARCH("separat",C598)),"Material Separation",ISNUMBER(SEARCH("connection",C598)),"Loose or Intermittent Connection",ISNUMBER(SEARCH("loose",C598)),"Loose or Intermittent Connection",ISNUMBER(SEARCH("damaged packaging",C598)),"Packaging Problem",ISNUMBER(SEARCH("packaging",C598)),"Packaging Problem",ISNUMBER(SEARCH("discoloration",C598)),"Contamination",ISNUMBER(SEARCH("tarnish",C598)),"Contamination",ISNUMBER(SEARCH("stain",C598)),"Contamination",ISNUMBER(SEARCH("foreign material",C598)),"Contamination",ISNUMBER(SEARCH("contamina",C598)),"Contamination",ISNUMBER(SEARCH("overheat",C598)),"Overheating of Device",ISNUMBER(SEARCH("excessive heat",C598)),"Overheating of Device",ISNUMBER(SEARCH("hot",C598)),"Overheating of Device",ISNUMBER(SEARCH("noise",C598)),"Noise, Audible",ISNUMBER(SEARCH("sound",C598)),"Noise, Audible",ISNUMBER(SEARCH("loud",C598)),"Noise, Audible",ISNUMBER(SEARCH("fray",C598)),"Material Frayed",ISNUMBER(SEARCH("hole",C598)),"Material Frayed",ISNUMBER(SEARCH("tear",C598)),"Material Frayed",ISNUMBER(SEARCH("worn",C598)),"Material Frayed",ISNUMBER(SEARCH("intermittent",C598)),"Difficult or Delayed Activation",ISNUMBER(SEARCH("delay",C598)),"Difficult or Delayed Activation",ISNUMBER(SEARCH("label",C598)),"Device Markings/Labelling Problem",ISNUMBER(SEARCH("marking",C598)),"Device Markings/Labelling Problem",ISNUMBER(SEARCH("lacerat",C598)),"Defective Device",ISNUMBER(SEARCH("cut",C598)),"Defective Device",ISNUMBER(SEARCH("leak",C598)),"Fluid/Blood Leak",ISNUMBER(SEARCH("missing",C598)),"Component Missing",ISNUMBER(SEARCH("power",C598)),"Complete Loss of Power",ISNUMBER(SEARCH("will not turn on",C598)),"Complete Loss of Power",ISNUMBER(SEARCH("won't turn on",C598)),"Complete Loss of Power",ISNUMBER(SEARCH("does not turn on",C598)),"Complete Loss of Power",ISNUMBER(SEARCH("electrical",C598)),"Electrical Power Problem",ISNUMBER(SEARCH("pressure",C598)),"Detachment of Device or Device Component",ISNUMBER(SEARCH("slip",C598)),"Detachment of Device or Device Component",ISNUMBER(SEARCH("detach",C598)),"Detachment of Device or Device Component",ISNUMBER(SEARCH("stick",C598)),"Mechanical Jam",ISNUMBER(SEARCH("jam",C598)),"Mechanical Jam",ISNUMBER(SEARCH("rigid",C598)),"Mechanical Jam",ISNUMBER(SEARCH("rust",C598)),"Corroded",ISNUMBER(SEARCH("corrod",C598)),"Corroded",ISNUMBER(SEARCH("corrosion",C598)),"Corroded",ISNUMBER(SEARCH("alignment",C598)),"Defective Device",ISNUMBER(SEARCH("adjust",C598)),"Defective Device",ISNUMBER(SEARCH("perform",C598)),"Defective Device",ISNUMBER(SEARCH("malfunction",C598)),"Defective Device",ISNUMBER(SEARCH("defect",C598)),"Defective Device",ISNUMBER(SEARCH("fail",C598)),"Defective Device",ISNUMBER(SEARCH("not work",C598)),"Defective Device",ISNUMBER(SEARCH("doesn't work",C598)),"Defective Device",TRUE,"UNKNOWN"),"UNKNOWN")))</f>
        <v/>
      </c>
      <c r="F598" s="4" t="str">
        <f t="shared" si="9"/>
        <v/>
      </c>
      <c r="G598" s="363" t="str">
        <f>IF(E598="","",IFERROR(VLOOKUP(E598,Codes!$L$2:$N$409,3,FALSE),"—"))</f>
        <v/>
      </c>
      <c r="H598" s="88"/>
      <c r="I598" s="88"/>
    </row>
    <row r="599" spans="1:9" ht="13.15" x14ac:dyDescent="0.35">
      <c r="A599" s="435"/>
      <c r="B599" s="436"/>
      <c r="C599" s="438"/>
      <c r="D599" s="435"/>
      <c r="E599" s="93" t="str" cm="1">
        <f t="array" ref="E599">IF(D599&lt;&gt;"",IFERROR(VLOOKUP(D599,Codes!$K$2:$L$409,2,FALSE),"UNKNOWN - "&amp;D599),IF(C599="","",IFERROR(_xlfn.IFS(ISNUMBER(SEARCH("broken button",C599)),"Break",ISNUMBER(SEARCH("broken handle",C599)),"Break",ISNUMBER(SEARCH("shipping damage",C599)),"Break",ISNUMBER(SEARCH("broken",C599)),"Break",ISNUMBER(SEARCH("crack",C599)),"Break",ISNUMBER(SEARCH("snap",C599)),"Break",ISNUMBER(SEARCH("fracture",C599)),"Break",ISNUMBER(SEARCH("bent",C599)),"Material Twisted/Bent",ISNUMBER(SEARCH("twisted",C599)),"Material Twisted/Bent",ISNUMBER(SEARCH("component separat",C599)),"Material Separation",ISNUMBER(SEARCH("separat",C599)),"Material Separation",ISNUMBER(SEARCH("connection",C599)),"Loose or Intermittent Connection",ISNUMBER(SEARCH("loose",C599)),"Loose or Intermittent Connection",ISNUMBER(SEARCH("damaged packaging",C599)),"Packaging Problem",ISNUMBER(SEARCH("packaging",C599)),"Packaging Problem",ISNUMBER(SEARCH("discoloration",C599)),"Contamination",ISNUMBER(SEARCH("tarnish",C599)),"Contamination",ISNUMBER(SEARCH("stain",C599)),"Contamination",ISNUMBER(SEARCH("foreign material",C599)),"Contamination",ISNUMBER(SEARCH("contamina",C599)),"Contamination",ISNUMBER(SEARCH("overheat",C599)),"Overheating of Device",ISNUMBER(SEARCH("excessive heat",C599)),"Overheating of Device",ISNUMBER(SEARCH("hot",C599)),"Overheating of Device",ISNUMBER(SEARCH("noise",C599)),"Noise, Audible",ISNUMBER(SEARCH("sound",C599)),"Noise, Audible",ISNUMBER(SEARCH("loud",C599)),"Noise, Audible",ISNUMBER(SEARCH("fray",C599)),"Material Frayed",ISNUMBER(SEARCH("hole",C599)),"Material Frayed",ISNUMBER(SEARCH("tear",C599)),"Material Frayed",ISNUMBER(SEARCH("worn",C599)),"Material Frayed",ISNUMBER(SEARCH("intermittent",C599)),"Difficult or Delayed Activation",ISNUMBER(SEARCH("delay",C599)),"Difficult or Delayed Activation",ISNUMBER(SEARCH("label",C599)),"Device Markings/Labelling Problem",ISNUMBER(SEARCH("marking",C599)),"Device Markings/Labelling Problem",ISNUMBER(SEARCH("lacerat",C599)),"Defective Device",ISNUMBER(SEARCH("cut",C599)),"Defective Device",ISNUMBER(SEARCH("leak",C599)),"Fluid/Blood Leak",ISNUMBER(SEARCH("missing",C599)),"Component Missing",ISNUMBER(SEARCH("power",C599)),"Complete Loss of Power",ISNUMBER(SEARCH("will not turn on",C599)),"Complete Loss of Power",ISNUMBER(SEARCH("won't turn on",C599)),"Complete Loss of Power",ISNUMBER(SEARCH("does not turn on",C599)),"Complete Loss of Power",ISNUMBER(SEARCH("electrical",C599)),"Electrical Power Problem",ISNUMBER(SEARCH("pressure",C599)),"Detachment of Device or Device Component",ISNUMBER(SEARCH("slip",C599)),"Detachment of Device or Device Component",ISNUMBER(SEARCH("detach",C599)),"Detachment of Device or Device Component",ISNUMBER(SEARCH("stick",C599)),"Mechanical Jam",ISNUMBER(SEARCH("jam",C599)),"Mechanical Jam",ISNUMBER(SEARCH("rigid",C599)),"Mechanical Jam",ISNUMBER(SEARCH("rust",C599)),"Corroded",ISNUMBER(SEARCH("corrod",C599)),"Corroded",ISNUMBER(SEARCH("corrosion",C599)),"Corroded",ISNUMBER(SEARCH("alignment",C599)),"Defective Device",ISNUMBER(SEARCH("adjust",C599)),"Defective Device",ISNUMBER(SEARCH("perform",C599)),"Defective Device",ISNUMBER(SEARCH("malfunction",C599)),"Defective Device",ISNUMBER(SEARCH("defect",C599)),"Defective Device",ISNUMBER(SEARCH("fail",C599)),"Defective Device",ISNUMBER(SEARCH("not work",C599)),"Defective Device",ISNUMBER(SEARCH("doesn't work",C599)),"Defective Device",TRUE,"UNKNOWN"),"UNKNOWN")))</f>
        <v/>
      </c>
      <c r="F599" s="4" t="str">
        <f t="shared" si="9"/>
        <v/>
      </c>
      <c r="G599" s="363" t="str">
        <f>IF(E599="","",IFERROR(VLOOKUP(E599,Codes!$L$2:$N$409,3,FALSE),"—"))</f>
        <v/>
      </c>
      <c r="H599" s="88"/>
      <c r="I599" s="88"/>
    </row>
    <row r="600" spans="1:9" ht="13.15" x14ac:dyDescent="0.35">
      <c r="A600" s="434"/>
      <c r="B600" s="436"/>
      <c r="C600" s="437"/>
      <c r="D600" s="434"/>
      <c r="E600" s="93" t="str" cm="1">
        <f t="array" ref="E600">IF(D600&lt;&gt;"",IFERROR(VLOOKUP(D600,Codes!$K$2:$L$409,2,FALSE),"UNKNOWN - "&amp;D600),IF(C600="","",IFERROR(_xlfn.IFS(ISNUMBER(SEARCH("broken button",C600)),"Break",ISNUMBER(SEARCH("broken handle",C600)),"Break",ISNUMBER(SEARCH("shipping damage",C600)),"Break",ISNUMBER(SEARCH("broken",C600)),"Break",ISNUMBER(SEARCH("crack",C600)),"Break",ISNUMBER(SEARCH("snap",C600)),"Break",ISNUMBER(SEARCH("fracture",C600)),"Break",ISNUMBER(SEARCH("bent",C600)),"Material Twisted/Bent",ISNUMBER(SEARCH("twisted",C600)),"Material Twisted/Bent",ISNUMBER(SEARCH("component separat",C600)),"Material Separation",ISNUMBER(SEARCH("separat",C600)),"Material Separation",ISNUMBER(SEARCH("connection",C600)),"Loose or Intermittent Connection",ISNUMBER(SEARCH("loose",C600)),"Loose or Intermittent Connection",ISNUMBER(SEARCH("damaged packaging",C600)),"Packaging Problem",ISNUMBER(SEARCH("packaging",C600)),"Packaging Problem",ISNUMBER(SEARCH("discoloration",C600)),"Contamination",ISNUMBER(SEARCH("tarnish",C600)),"Contamination",ISNUMBER(SEARCH("stain",C600)),"Contamination",ISNUMBER(SEARCH("foreign material",C600)),"Contamination",ISNUMBER(SEARCH("contamina",C600)),"Contamination",ISNUMBER(SEARCH("overheat",C600)),"Overheating of Device",ISNUMBER(SEARCH("excessive heat",C600)),"Overheating of Device",ISNUMBER(SEARCH("hot",C600)),"Overheating of Device",ISNUMBER(SEARCH("noise",C600)),"Noise, Audible",ISNUMBER(SEARCH("sound",C600)),"Noise, Audible",ISNUMBER(SEARCH("loud",C600)),"Noise, Audible",ISNUMBER(SEARCH("fray",C600)),"Material Frayed",ISNUMBER(SEARCH("hole",C600)),"Material Frayed",ISNUMBER(SEARCH("tear",C600)),"Material Frayed",ISNUMBER(SEARCH("worn",C600)),"Material Frayed",ISNUMBER(SEARCH("intermittent",C600)),"Difficult or Delayed Activation",ISNUMBER(SEARCH("delay",C600)),"Difficult or Delayed Activation",ISNUMBER(SEARCH("label",C600)),"Device Markings/Labelling Problem",ISNUMBER(SEARCH("marking",C600)),"Device Markings/Labelling Problem",ISNUMBER(SEARCH("lacerat",C600)),"Defective Device",ISNUMBER(SEARCH("cut",C600)),"Defective Device",ISNUMBER(SEARCH("leak",C600)),"Fluid/Blood Leak",ISNUMBER(SEARCH("missing",C600)),"Component Missing",ISNUMBER(SEARCH("power",C600)),"Complete Loss of Power",ISNUMBER(SEARCH("will not turn on",C600)),"Complete Loss of Power",ISNUMBER(SEARCH("won't turn on",C600)),"Complete Loss of Power",ISNUMBER(SEARCH("does not turn on",C600)),"Complete Loss of Power",ISNUMBER(SEARCH("electrical",C600)),"Electrical Power Problem",ISNUMBER(SEARCH("pressure",C600)),"Detachment of Device or Device Component",ISNUMBER(SEARCH("slip",C600)),"Detachment of Device or Device Component",ISNUMBER(SEARCH("detach",C600)),"Detachment of Device or Device Component",ISNUMBER(SEARCH("stick",C600)),"Mechanical Jam",ISNUMBER(SEARCH("jam",C600)),"Mechanical Jam",ISNUMBER(SEARCH("rigid",C600)),"Mechanical Jam",ISNUMBER(SEARCH("rust",C600)),"Corroded",ISNUMBER(SEARCH("corrod",C600)),"Corroded",ISNUMBER(SEARCH("corrosion",C600)),"Corroded",ISNUMBER(SEARCH("alignment",C600)),"Defective Device",ISNUMBER(SEARCH("adjust",C600)),"Defective Device",ISNUMBER(SEARCH("perform",C600)),"Defective Device",ISNUMBER(SEARCH("malfunction",C600)),"Defective Device",ISNUMBER(SEARCH("defect",C600)),"Defective Device",ISNUMBER(SEARCH("fail",C600)),"Defective Device",ISNUMBER(SEARCH("not work",C600)),"Defective Device",ISNUMBER(SEARCH("doesn't work",C600)),"Defective Device",TRUE,"UNKNOWN"),"UNKNOWN")))</f>
        <v/>
      </c>
      <c r="F600" s="4" t="str">
        <f t="shared" si="9"/>
        <v/>
      </c>
      <c r="G600" s="363" t="str">
        <f>IF(E600="","",IFERROR(VLOOKUP(E600,Codes!$L$2:$N$409,3,FALSE),"—"))</f>
        <v/>
      </c>
      <c r="H600" s="88"/>
      <c r="I600" s="88"/>
    </row>
    <row r="601" spans="1:9" ht="13.15" x14ac:dyDescent="0.35">
      <c r="A601" s="435"/>
      <c r="B601" s="436"/>
      <c r="C601" s="438"/>
      <c r="D601" s="435"/>
      <c r="E601" s="93" t="str" cm="1">
        <f t="array" ref="E601">IF(D601&lt;&gt;"",IFERROR(VLOOKUP(D601,Codes!$K$2:$L$409,2,FALSE),"UNKNOWN - "&amp;D601),IF(C601="","",IFERROR(_xlfn.IFS(ISNUMBER(SEARCH("broken button",C601)),"Break",ISNUMBER(SEARCH("broken handle",C601)),"Break",ISNUMBER(SEARCH("shipping damage",C601)),"Break",ISNUMBER(SEARCH("broken",C601)),"Break",ISNUMBER(SEARCH("crack",C601)),"Break",ISNUMBER(SEARCH("snap",C601)),"Break",ISNUMBER(SEARCH("fracture",C601)),"Break",ISNUMBER(SEARCH("bent",C601)),"Material Twisted/Bent",ISNUMBER(SEARCH("twisted",C601)),"Material Twisted/Bent",ISNUMBER(SEARCH("component separat",C601)),"Material Separation",ISNUMBER(SEARCH("separat",C601)),"Material Separation",ISNUMBER(SEARCH("connection",C601)),"Loose or Intermittent Connection",ISNUMBER(SEARCH("loose",C601)),"Loose or Intermittent Connection",ISNUMBER(SEARCH("damaged packaging",C601)),"Packaging Problem",ISNUMBER(SEARCH("packaging",C601)),"Packaging Problem",ISNUMBER(SEARCH("discoloration",C601)),"Contamination",ISNUMBER(SEARCH("tarnish",C601)),"Contamination",ISNUMBER(SEARCH("stain",C601)),"Contamination",ISNUMBER(SEARCH("foreign material",C601)),"Contamination",ISNUMBER(SEARCH("contamina",C601)),"Contamination",ISNUMBER(SEARCH("overheat",C601)),"Overheating of Device",ISNUMBER(SEARCH("excessive heat",C601)),"Overheating of Device",ISNUMBER(SEARCH("hot",C601)),"Overheating of Device",ISNUMBER(SEARCH("noise",C601)),"Noise, Audible",ISNUMBER(SEARCH("sound",C601)),"Noise, Audible",ISNUMBER(SEARCH("loud",C601)),"Noise, Audible",ISNUMBER(SEARCH("fray",C601)),"Material Frayed",ISNUMBER(SEARCH("hole",C601)),"Material Frayed",ISNUMBER(SEARCH("tear",C601)),"Material Frayed",ISNUMBER(SEARCH("worn",C601)),"Material Frayed",ISNUMBER(SEARCH("intermittent",C601)),"Difficult or Delayed Activation",ISNUMBER(SEARCH("delay",C601)),"Difficult or Delayed Activation",ISNUMBER(SEARCH("label",C601)),"Device Markings/Labelling Problem",ISNUMBER(SEARCH("marking",C601)),"Device Markings/Labelling Problem",ISNUMBER(SEARCH("lacerat",C601)),"Defective Device",ISNUMBER(SEARCH("cut",C601)),"Defective Device",ISNUMBER(SEARCH("leak",C601)),"Fluid/Blood Leak",ISNUMBER(SEARCH("missing",C601)),"Component Missing",ISNUMBER(SEARCH("power",C601)),"Complete Loss of Power",ISNUMBER(SEARCH("will not turn on",C601)),"Complete Loss of Power",ISNUMBER(SEARCH("won't turn on",C601)),"Complete Loss of Power",ISNUMBER(SEARCH("does not turn on",C601)),"Complete Loss of Power",ISNUMBER(SEARCH("electrical",C601)),"Electrical Power Problem",ISNUMBER(SEARCH("pressure",C601)),"Detachment of Device or Device Component",ISNUMBER(SEARCH("slip",C601)),"Detachment of Device or Device Component",ISNUMBER(SEARCH("detach",C601)),"Detachment of Device or Device Component",ISNUMBER(SEARCH("stick",C601)),"Mechanical Jam",ISNUMBER(SEARCH("jam",C601)),"Mechanical Jam",ISNUMBER(SEARCH("rigid",C601)),"Mechanical Jam",ISNUMBER(SEARCH("rust",C601)),"Corroded",ISNUMBER(SEARCH("corrod",C601)),"Corroded",ISNUMBER(SEARCH("corrosion",C601)),"Corroded",ISNUMBER(SEARCH("alignment",C601)),"Defective Device",ISNUMBER(SEARCH("adjust",C601)),"Defective Device",ISNUMBER(SEARCH("perform",C601)),"Defective Device",ISNUMBER(SEARCH("malfunction",C601)),"Defective Device",ISNUMBER(SEARCH("defect",C601)),"Defective Device",ISNUMBER(SEARCH("fail",C601)),"Defective Device",ISNUMBER(SEARCH("not work",C601)),"Defective Device",ISNUMBER(SEARCH("doesn't work",C601)),"Defective Device",TRUE,"UNKNOWN"),"UNKNOWN")))</f>
        <v/>
      </c>
      <c r="F601" s="4" t="str">
        <f t="shared" si="9"/>
        <v/>
      </c>
      <c r="G601" s="363" t="str">
        <f>IF(E601="","",IFERROR(VLOOKUP(E601,Codes!$L$2:$N$409,3,FALSE),"—"))</f>
        <v/>
      </c>
      <c r="H601" s="88"/>
      <c r="I601" s="88"/>
    </row>
    <row r="602" spans="1:9" ht="13.15" x14ac:dyDescent="0.35">
      <c r="A602" s="435"/>
      <c r="B602" s="436"/>
      <c r="C602" s="438"/>
      <c r="D602" s="435"/>
      <c r="E602" s="93" t="str" cm="1">
        <f t="array" ref="E602">IF(D602&lt;&gt;"",IFERROR(VLOOKUP(D602,Codes!$K$2:$L$409,2,FALSE),"UNKNOWN - "&amp;D602),IF(C602="","",IFERROR(_xlfn.IFS(ISNUMBER(SEARCH("broken button",C602)),"Break",ISNUMBER(SEARCH("broken handle",C602)),"Break",ISNUMBER(SEARCH("shipping damage",C602)),"Break",ISNUMBER(SEARCH("broken",C602)),"Break",ISNUMBER(SEARCH("crack",C602)),"Break",ISNUMBER(SEARCH("snap",C602)),"Break",ISNUMBER(SEARCH("fracture",C602)),"Break",ISNUMBER(SEARCH("bent",C602)),"Material Twisted/Bent",ISNUMBER(SEARCH("twisted",C602)),"Material Twisted/Bent",ISNUMBER(SEARCH("component separat",C602)),"Material Separation",ISNUMBER(SEARCH("separat",C602)),"Material Separation",ISNUMBER(SEARCH("connection",C602)),"Loose or Intermittent Connection",ISNUMBER(SEARCH("loose",C602)),"Loose or Intermittent Connection",ISNUMBER(SEARCH("damaged packaging",C602)),"Packaging Problem",ISNUMBER(SEARCH("packaging",C602)),"Packaging Problem",ISNUMBER(SEARCH("discoloration",C602)),"Contamination",ISNUMBER(SEARCH("tarnish",C602)),"Contamination",ISNUMBER(SEARCH("stain",C602)),"Contamination",ISNUMBER(SEARCH("foreign material",C602)),"Contamination",ISNUMBER(SEARCH("contamina",C602)),"Contamination",ISNUMBER(SEARCH("overheat",C602)),"Overheating of Device",ISNUMBER(SEARCH("excessive heat",C602)),"Overheating of Device",ISNUMBER(SEARCH("hot",C602)),"Overheating of Device",ISNUMBER(SEARCH("noise",C602)),"Noise, Audible",ISNUMBER(SEARCH("sound",C602)),"Noise, Audible",ISNUMBER(SEARCH("loud",C602)),"Noise, Audible",ISNUMBER(SEARCH("fray",C602)),"Material Frayed",ISNUMBER(SEARCH("hole",C602)),"Material Frayed",ISNUMBER(SEARCH("tear",C602)),"Material Frayed",ISNUMBER(SEARCH("worn",C602)),"Material Frayed",ISNUMBER(SEARCH("intermittent",C602)),"Difficult or Delayed Activation",ISNUMBER(SEARCH("delay",C602)),"Difficult or Delayed Activation",ISNUMBER(SEARCH("label",C602)),"Device Markings/Labelling Problem",ISNUMBER(SEARCH("marking",C602)),"Device Markings/Labelling Problem",ISNUMBER(SEARCH("lacerat",C602)),"Defective Device",ISNUMBER(SEARCH("cut",C602)),"Defective Device",ISNUMBER(SEARCH("leak",C602)),"Fluid/Blood Leak",ISNUMBER(SEARCH("missing",C602)),"Component Missing",ISNUMBER(SEARCH("power",C602)),"Complete Loss of Power",ISNUMBER(SEARCH("will not turn on",C602)),"Complete Loss of Power",ISNUMBER(SEARCH("won't turn on",C602)),"Complete Loss of Power",ISNUMBER(SEARCH("does not turn on",C602)),"Complete Loss of Power",ISNUMBER(SEARCH("electrical",C602)),"Electrical Power Problem",ISNUMBER(SEARCH("pressure",C602)),"Detachment of Device or Device Component",ISNUMBER(SEARCH("slip",C602)),"Detachment of Device or Device Component",ISNUMBER(SEARCH("detach",C602)),"Detachment of Device or Device Component",ISNUMBER(SEARCH("stick",C602)),"Mechanical Jam",ISNUMBER(SEARCH("jam",C602)),"Mechanical Jam",ISNUMBER(SEARCH("rigid",C602)),"Mechanical Jam",ISNUMBER(SEARCH("rust",C602)),"Corroded",ISNUMBER(SEARCH("corrod",C602)),"Corroded",ISNUMBER(SEARCH("corrosion",C602)),"Corroded",ISNUMBER(SEARCH("alignment",C602)),"Defective Device",ISNUMBER(SEARCH("adjust",C602)),"Defective Device",ISNUMBER(SEARCH("perform",C602)),"Defective Device",ISNUMBER(SEARCH("malfunction",C602)),"Defective Device",ISNUMBER(SEARCH("defect",C602)),"Defective Device",ISNUMBER(SEARCH("fail",C602)),"Defective Device",ISNUMBER(SEARCH("not work",C602)),"Defective Device",ISNUMBER(SEARCH("doesn't work",C602)),"Defective Device",TRUE,"UNKNOWN"),"UNKNOWN")))</f>
        <v/>
      </c>
      <c r="F602" s="4" t="str">
        <f t="shared" si="9"/>
        <v/>
      </c>
      <c r="G602" s="363" t="str">
        <f>IF(E602="","",IFERROR(VLOOKUP(E602,Codes!$L$2:$N$409,3,FALSE),"—"))</f>
        <v/>
      </c>
      <c r="H602" s="88"/>
      <c r="I602" s="88"/>
    </row>
    <row r="603" spans="1:9" ht="13.15" x14ac:dyDescent="0.35">
      <c r="A603" s="435"/>
      <c r="B603" s="436"/>
      <c r="C603" s="438"/>
      <c r="D603" s="435"/>
      <c r="E603" s="93" t="str" cm="1">
        <f t="array" ref="E603">IF(D603&lt;&gt;"",IFERROR(VLOOKUP(D603,Codes!$K$2:$L$409,2,FALSE),"UNKNOWN - "&amp;D603),IF(C603="","",IFERROR(_xlfn.IFS(ISNUMBER(SEARCH("broken button",C603)),"Break",ISNUMBER(SEARCH("broken handle",C603)),"Break",ISNUMBER(SEARCH("shipping damage",C603)),"Break",ISNUMBER(SEARCH("broken",C603)),"Break",ISNUMBER(SEARCH("crack",C603)),"Break",ISNUMBER(SEARCH("snap",C603)),"Break",ISNUMBER(SEARCH("fracture",C603)),"Break",ISNUMBER(SEARCH("bent",C603)),"Material Twisted/Bent",ISNUMBER(SEARCH("twisted",C603)),"Material Twisted/Bent",ISNUMBER(SEARCH("component separat",C603)),"Material Separation",ISNUMBER(SEARCH("separat",C603)),"Material Separation",ISNUMBER(SEARCH("connection",C603)),"Loose or Intermittent Connection",ISNUMBER(SEARCH("loose",C603)),"Loose or Intermittent Connection",ISNUMBER(SEARCH("damaged packaging",C603)),"Packaging Problem",ISNUMBER(SEARCH("packaging",C603)),"Packaging Problem",ISNUMBER(SEARCH("discoloration",C603)),"Contamination",ISNUMBER(SEARCH("tarnish",C603)),"Contamination",ISNUMBER(SEARCH("stain",C603)),"Contamination",ISNUMBER(SEARCH("foreign material",C603)),"Contamination",ISNUMBER(SEARCH("contamina",C603)),"Contamination",ISNUMBER(SEARCH("overheat",C603)),"Overheating of Device",ISNUMBER(SEARCH("excessive heat",C603)),"Overheating of Device",ISNUMBER(SEARCH("hot",C603)),"Overheating of Device",ISNUMBER(SEARCH("noise",C603)),"Noise, Audible",ISNUMBER(SEARCH("sound",C603)),"Noise, Audible",ISNUMBER(SEARCH("loud",C603)),"Noise, Audible",ISNUMBER(SEARCH("fray",C603)),"Material Frayed",ISNUMBER(SEARCH("hole",C603)),"Material Frayed",ISNUMBER(SEARCH("tear",C603)),"Material Frayed",ISNUMBER(SEARCH("worn",C603)),"Material Frayed",ISNUMBER(SEARCH("intermittent",C603)),"Difficult or Delayed Activation",ISNUMBER(SEARCH("delay",C603)),"Difficult or Delayed Activation",ISNUMBER(SEARCH("label",C603)),"Device Markings/Labelling Problem",ISNUMBER(SEARCH("marking",C603)),"Device Markings/Labelling Problem",ISNUMBER(SEARCH("lacerat",C603)),"Defective Device",ISNUMBER(SEARCH("cut",C603)),"Defective Device",ISNUMBER(SEARCH("leak",C603)),"Fluid/Blood Leak",ISNUMBER(SEARCH("missing",C603)),"Component Missing",ISNUMBER(SEARCH("power",C603)),"Complete Loss of Power",ISNUMBER(SEARCH("will not turn on",C603)),"Complete Loss of Power",ISNUMBER(SEARCH("won't turn on",C603)),"Complete Loss of Power",ISNUMBER(SEARCH("does not turn on",C603)),"Complete Loss of Power",ISNUMBER(SEARCH("electrical",C603)),"Electrical Power Problem",ISNUMBER(SEARCH("pressure",C603)),"Detachment of Device or Device Component",ISNUMBER(SEARCH("slip",C603)),"Detachment of Device or Device Component",ISNUMBER(SEARCH("detach",C603)),"Detachment of Device or Device Component",ISNUMBER(SEARCH("stick",C603)),"Mechanical Jam",ISNUMBER(SEARCH("jam",C603)),"Mechanical Jam",ISNUMBER(SEARCH("rigid",C603)),"Mechanical Jam",ISNUMBER(SEARCH("rust",C603)),"Corroded",ISNUMBER(SEARCH("corrod",C603)),"Corroded",ISNUMBER(SEARCH("corrosion",C603)),"Corroded",ISNUMBER(SEARCH("alignment",C603)),"Defective Device",ISNUMBER(SEARCH("adjust",C603)),"Defective Device",ISNUMBER(SEARCH("perform",C603)),"Defective Device",ISNUMBER(SEARCH("malfunction",C603)),"Defective Device",ISNUMBER(SEARCH("defect",C603)),"Defective Device",ISNUMBER(SEARCH("fail",C603)),"Defective Device",ISNUMBER(SEARCH("not work",C603)),"Defective Device",ISNUMBER(SEARCH("doesn't work",C603)),"Defective Device",TRUE,"UNKNOWN"),"UNKNOWN")))</f>
        <v/>
      </c>
      <c r="F603" s="4" t="str">
        <f t="shared" si="9"/>
        <v/>
      </c>
      <c r="G603" s="363" t="str">
        <f>IF(E603="","",IFERROR(VLOOKUP(E603,Codes!$L$2:$N$409,3,FALSE),"—"))</f>
        <v/>
      </c>
      <c r="H603" s="88"/>
      <c r="I603" s="88"/>
    </row>
    <row r="604" spans="1:9" ht="13.15" x14ac:dyDescent="0.35">
      <c r="A604" s="434"/>
      <c r="B604" s="436"/>
      <c r="C604" s="437"/>
      <c r="D604" s="434"/>
      <c r="E604" s="93" t="str" cm="1">
        <f t="array" ref="E604">IF(D604&lt;&gt;"",IFERROR(VLOOKUP(D604,Codes!$K$2:$L$409,2,FALSE),"UNKNOWN - "&amp;D604),IF(C604="","",IFERROR(_xlfn.IFS(ISNUMBER(SEARCH("broken button",C604)),"Break",ISNUMBER(SEARCH("broken handle",C604)),"Break",ISNUMBER(SEARCH("shipping damage",C604)),"Break",ISNUMBER(SEARCH("broken",C604)),"Break",ISNUMBER(SEARCH("crack",C604)),"Break",ISNUMBER(SEARCH("snap",C604)),"Break",ISNUMBER(SEARCH("fracture",C604)),"Break",ISNUMBER(SEARCH("bent",C604)),"Material Twisted/Bent",ISNUMBER(SEARCH("twisted",C604)),"Material Twisted/Bent",ISNUMBER(SEARCH("component separat",C604)),"Material Separation",ISNUMBER(SEARCH("separat",C604)),"Material Separation",ISNUMBER(SEARCH("connection",C604)),"Loose or Intermittent Connection",ISNUMBER(SEARCH("loose",C604)),"Loose or Intermittent Connection",ISNUMBER(SEARCH("damaged packaging",C604)),"Packaging Problem",ISNUMBER(SEARCH("packaging",C604)),"Packaging Problem",ISNUMBER(SEARCH("discoloration",C604)),"Contamination",ISNUMBER(SEARCH("tarnish",C604)),"Contamination",ISNUMBER(SEARCH("stain",C604)),"Contamination",ISNUMBER(SEARCH("foreign material",C604)),"Contamination",ISNUMBER(SEARCH("contamina",C604)),"Contamination",ISNUMBER(SEARCH("overheat",C604)),"Overheating of Device",ISNUMBER(SEARCH("excessive heat",C604)),"Overheating of Device",ISNUMBER(SEARCH("hot",C604)),"Overheating of Device",ISNUMBER(SEARCH("noise",C604)),"Noise, Audible",ISNUMBER(SEARCH("sound",C604)),"Noise, Audible",ISNUMBER(SEARCH("loud",C604)),"Noise, Audible",ISNUMBER(SEARCH("fray",C604)),"Material Frayed",ISNUMBER(SEARCH("hole",C604)),"Material Frayed",ISNUMBER(SEARCH("tear",C604)),"Material Frayed",ISNUMBER(SEARCH("worn",C604)),"Material Frayed",ISNUMBER(SEARCH("intermittent",C604)),"Difficult or Delayed Activation",ISNUMBER(SEARCH("delay",C604)),"Difficult or Delayed Activation",ISNUMBER(SEARCH("label",C604)),"Device Markings/Labelling Problem",ISNUMBER(SEARCH("marking",C604)),"Device Markings/Labelling Problem",ISNUMBER(SEARCH("lacerat",C604)),"Defective Device",ISNUMBER(SEARCH("cut",C604)),"Defective Device",ISNUMBER(SEARCH("leak",C604)),"Fluid/Blood Leak",ISNUMBER(SEARCH("missing",C604)),"Component Missing",ISNUMBER(SEARCH("power",C604)),"Complete Loss of Power",ISNUMBER(SEARCH("will not turn on",C604)),"Complete Loss of Power",ISNUMBER(SEARCH("won't turn on",C604)),"Complete Loss of Power",ISNUMBER(SEARCH("does not turn on",C604)),"Complete Loss of Power",ISNUMBER(SEARCH("electrical",C604)),"Electrical Power Problem",ISNUMBER(SEARCH("pressure",C604)),"Detachment of Device or Device Component",ISNUMBER(SEARCH("slip",C604)),"Detachment of Device or Device Component",ISNUMBER(SEARCH("detach",C604)),"Detachment of Device or Device Component",ISNUMBER(SEARCH("stick",C604)),"Mechanical Jam",ISNUMBER(SEARCH("jam",C604)),"Mechanical Jam",ISNUMBER(SEARCH("rigid",C604)),"Mechanical Jam",ISNUMBER(SEARCH("rust",C604)),"Corroded",ISNUMBER(SEARCH("corrod",C604)),"Corroded",ISNUMBER(SEARCH("corrosion",C604)),"Corroded",ISNUMBER(SEARCH("alignment",C604)),"Defective Device",ISNUMBER(SEARCH("adjust",C604)),"Defective Device",ISNUMBER(SEARCH("perform",C604)),"Defective Device",ISNUMBER(SEARCH("malfunction",C604)),"Defective Device",ISNUMBER(SEARCH("defect",C604)),"Defective Device",ISNUMBER(SEARCH("fail",C604)),"Defective Device",ISNUMBER(SEARCH("not work",C604)),"Defective Device",ISNUMBER(SEARCH("doesn't work",C604)),"Defective Device",TRUE,"UNKNOWN"),"UNKNOWN")))</f>
        <v/>
      </c>
      <c r="F604" s="4" t="str">
        <f t="shared" si="9"/>
        <v/>
      </c>
      <c r="G604" s="363" t="str">
        <f>IF(E604="","",IFERROR(VLOOKUP(E604,Codes!$L$2:$N$409,3,FALSE),"—"))</f>
        <v/>
      </c>
      <c r="H604" s="88"/>
      <c r="I604" s="88"/>
    </row>
    <row r="605" spans="1:9" ht="13.15" x14ac:dyDescent="0.35">
      <c r="A605" s="435"/>
      <c r="B605" s="436"/>
      <c r="C605" s="435"/>
      <c r="D605" s="435"/>
      <c r="E605" s="93" t="str" cm="1">
        <f t="array" ref="E605">IF(D605&lt;&gt;"",IFERROR(VLOOKUP(D605,Codes!$K$2:$L$409,2,FALSE),"UNKNOWN - "&amp;D605),IF(C605="","",IFERROR(_xlfn.IFS(ISNUMBER(SEARCH("broken button",C605)),"Break",ISNUMBER(SEARCH("broken handle",C605)),"Break",ISNUMBER(SEARCH("shipping damage",C605)),"Break",ISNUMBER(SEARCH("broken",C605)),"Break",ISNUMBER(SEARCH("crack",C605)),"Break",ISNUMBER(SEARCH("snap",C605)),"Break",ISNUMBER(SEARCH("fracture",C605)),"Break",ISNUMBER(SEARCH("bent",C605)),"Material Twisted/Bent",ISNUMBER(SEARCH("twisted",C605)),"Material Twisted/Bent",ISNUMBER(SEARCH("component separat",C605)),"Material Separation",ISNUMBER(SEARCH("separat",C605)),"Material Separation",ISNUMBER(SEARCH("connection",C605)),"Loose or Intermittent Connection",ISNUMBER(SEARCH("loose",C605)),"Loose or Intermittent Connection",ISNUMBER(SEARCH("damaged packaging",C605)),"Packaging Problem",ISNUMBER(SEARCH("packaging",C605)),"Packaging Problem",ISNUMBER(SEARCH("discoloration",C605)),"Contamination",ISNUMBER(SEARCH("tarnish",C605)),"Contamination",ISNUMBER(SEARCH("stain",C605)),"Contamination",ISNUMBER(SEARCH("foreign material",C605)),"Contamination",ISNUMBER(SEARCH("contamina",C605)),"Contamination",ISNUMBER(SEARCH("overheat",C605)),"Overheating of Device",ISNUMBER(SEARCH("excessive heat",C605)),"Overheating of Device",ISNUMBER(SEARCH("hot",C605)),"Overheating of Device",ISNUMBER(SEARCH("noise",C605)),"Noise, Audible",ISNUMBER(SEARCH("sound",C605)),"Noise, Audible",ISNUMBER(SEARCH("loud",C605)),"Noise, Audible",ISNUMBER(SEARCH("fray",C605)),"Material Frayed",ISNUMBER(SEARCH("hole",C605)),"Material Frayed",ISNUMBER(SEARCH("tear",C605)),"Material Frayed",ISNUMBER(SEARCH("worn",C605)),"Material Frayed",ISNUMBER(SEARCH("intermittent",C605)),"Difficult or Delayed Activation",ISNUMBER(SEARCH("delay",C605)),"Difficult or Delayed Activation",ISNUMBER(SEARCH("label",C605)),"Device Markings/Labelling Problem",ISNUMBER(SEARCH("marking",C605)),"Device Markings/Labelling Problem",ISNUMBER(SEARCH("lacerat",C605)),"Defective Device",ISNUMBER(SEARCH("cut",C605)),"Defective Device",ISNUMBER(SEARCH("leak",C605)),"Fluid/Blood Leak",ISNUMBER(SEARCH("missing",C605)),"Component Missing",ISNUMBER(SEARCH("power",C605)),"Complete Loss of Power",ISNUMBER(SEARCH("will not turn on",C605)),"Complete Loss of Power",ISNUMBER(SEARCH("won't turn on",C605)),"Complete Loss of Power",ISNUMBER(SEARCH("does not turn on",C605)),"Complete Loss of Power",ISNUMBER(SEARCH("electrical",C605)),"Electrical Power Problem",ISNUMBER(SEARCH("pressure",C605)),"Detachment of Device or Device Component",ISNUMBER(SEARCH("slip",C605)),"Detachment of Device or Device Component",ISNUMBER(SEARCH("detach",C605)),"Detachment of Device or Device Component",ISNUMBER(SEARCH("stick",C605)),"Mechanical Jam",ISNUMBER(SEARCH("jam",C605)),"Mechanical Jam",ISNUMBER(SEARCH("rigid",C605)),"Mechanical Jam",ISNUMBER(SEARCH("rust",C605)),"Corroded",ISNUMBER(SEARCH("corrod",C605)),"Corroded",ISNUMBER(SEARCH("corrosion",C605)),"Corroded",ISNUMBER(SEARCH("alignment",C605)),"Defective Device",ISNUMBER(SEARCH("adjust",C605)),"Defective Device",ISNUMBER(SEARCH("perform",C605)),"Defective Device",ISNUMBER(SEARCH("malfunction",C605)),"Defective Device",ISNUMBER(SEARCH("defect",C605)),"Defective Device",ISNUMBER(SEARCH("fail",C605)),"Defective Device",ISNUMBER(SEARCH("not work",C605)),"Defective Device",ISNUMBER(SEARCH("doesn't work",C605)),"Defective Device",TRUE,"UNKNOWN"),"UNKNOWN")))</f>
        <v/>
      </c>
      <c r="F605" s="4" t="str">
        <f t="shared" si="9"/>
        <v/>
      </c>
      <c r="G605" s="363" t="str">
        <f>IF(E605="","",IFERROR(VLOOKUP(E605,Codes!$L$2:$N$409,3,FALSE),"—"))</f>
        <v/>
      </c>
      <c r="H605" s="88"/>
      <c r="I605" s="88"/>
    </row>
    <row r="606" spans="1:9" ht="13.15" x14ac:dyDescent="0.35">
      <c r="A606" s="435"/>
      <c r="B606" s="436"/>
      <c r="C606" s="438"/>
      <c r="D606" s="435"/>
      <c r="E606" s="93" t="str" cm="1">
        <f t="array" ref="E606">IF(D606&lt;&gt;"",IFERROR(VLOOKUP(D606,Codes!$K$2:$L$409,2,FALSE),"UNKNOWN - "&amp;D606),IF(C606="","",IFERROR(_xlfn.IFS(ISNUMBER(SEARCH("broken button",C606)),"Break",ISNUMBER(SEARCH("broken handle",C606)),"Break",ISNUMBER(SEARCH("shipping damage",C606)),"Break",ISNUMBER(SEARCH("broken",C606)),"Break",ISNUMBER(SEARCH("crack",C606)),"Break",ISNUMBER(SEARCH("snap",C606)),"Break",ISNUMBER(SEARCH("fracture",C606)),"Break",ISNUMBER(SEARCH("bent",C606)),"Material Twisted/Bent",ISNUMBER(SEARCH("twisted",C606)),"Material Twisted/Bent",ISNUMBER(SEARCH("component separat",C606)),"Material Separation",ISNUMBER(SEARCH("separat",C606)),"Material Separation",ISNUMBER(SEARCH("connection",C606)),"Loose or Intermittent Connection",ISNUMBER(SEARCH("loose",C606)),"Loose or Intermittent Connection",ISNUMBER(SEARCH("damaged packaging",C606)),"Packaging Problem",ISNUMBER(SEARCH("packaging",C606)),"Packaging Problem",ISNUMBER(SEARCH("discoloration",C606)),"Contamination",ISNUMBER(SEARCH("tarnish",C606)),"Contamination",ISNUMBER(SEARCH("stain",C606)),"Contamination",ISNUMBER(SEARCH("foreign material",C606)),"Contamination",ISNUMBER(SEARCH("contamina",C606)),"Contamination",ISNUMBER(SEARCH("overheat",C606)),"Overheating of Device",ISNUMBER(SEARCH("excessive heat",C606)),"Overheating of Device",ISNUMBER(SEARCH("hot",C606)),"Overheating of Device",ISNUMBER(SEARCH("noise",C606)),"Noise, Audible",ISNUMBER(SEARCH("sound",C606)),"Noise, Audible",ISNUMBER(SEARCH("loud",C606)),"Noise, Audible",ISNUMBER(SEARCH("fray",C606)),"Material Frayed",ISNUMBER(SEARCH("hole",C606)),"Material Frayed",ISNUMBER(SEARCH("tear",C606)),"Material Frayed",ISNUMBER(SEARCH("worn",C606)),"Material Frayed",ISNUMBER(SEARCH("intermittent",C606)),"Difficult or Delayed Activation",ISNUMBER(SEARCH("delay",C606)),"Difficult or Delayed Activation",ISNUMBER(SEARCH("label",C606)),"Device Markings/Labelling Problem",ISNUMBER(SEARCH("marking",C606)),"Device Markings/Labelling Problem",ISNUMBER(SEARCH("lacerat",C606)),"Defective Device",ISNUMBER(SEARCH("cut",C606)),"Defective Device",ISNUMBER(SEARCH("leak",C606)),"Fluid/Blood Leak",ISNUMBER(SEARCH("missing",C606)),"Component Missing",ISNUMBER(SEARCH("power",C606)),"Complete Loss of Power",ISNUMBER(SEARCH("will not turn on",C606)),"Complete Loss of Power",ISNUMBER(SEARCH("won't turn on",C606)),"Complete Loss of Power",ISNUMBER(SEARCH("does not turn on",C606)),"Complete Loss of Power",ISNUMBER(SEARCH("electrical",C606)),"Electrical Power Problem",ISNUMBER(SEARCH("pressure",C606)),"Detachment of Device or Device Component",ISNUMBER(SEARCH("slip",C606)),"Detachment of Device or Device Component",ISNUMBER(SEARCH("detach",C606)),"Detachment of Device or Device Component",ISNUMBER(SEARCH("stick",C606)),"Mechanical Jam",ISNUMBER(SEARCH("jam",C606)),"Mechanical Jam",ISNUMBER(SEARCH("rigid",C606)),"Mechanical Jam",ISNUMBER(SEARCH("rust",C606)),"Corroded",ISNUMBER(SEARCH("corrod",C606)),"Corroded",ISNUMBER(SEARCH("corrosion",C606)),"Corroded",ISNUMBER(SEARCH("alignment",C606)),"Defective Device",ISNUMBER(SEARCH("adjust",C606)),"Defective Device",ISNUMBER(SEARCH("perform",C606)),"Defective Device",ISNUMBER(SEARCH("malfunction",C606)),"Defective Device",ISNUMBER(SEARCH("defect",C606)),"Defective Device",ISNUMBER(SEARCH("fail",C606)),"Defective Device",ISNUMBER(SEARCH("not work",C606)),"Defective Device",ISNUMBER(SEARCH("doesn't work",C606)),"Defective Device",TRUE,"UNKNOWN"),"UNKNOWN")))</f>
        <v/>
      </c>
      <c r="F606" s="4" t="str">
        <f t="shared" si="9"/>
        <v/>
      </c>
      <c r="G606" s="363" t="str">
        <f>IF(E606="","",IFERROR(VLOOKUP(E606,Codes!$L$2:$N$409,3,FALSE),"—"))</f>
        <v/>
      </c>
      <c r="H606" s="88"/>
      <c r="I606" s="88"/>
    </row>
    <row r="607" spans="1:9" ht="13.15" x14ac:dyDescent="0.35">
      <c r="A607" s="434"/>
      <c r="B607" s="436"/>
      <c r="C607" s="437"/>
      <c r="D607" s="434"/>
      <c r="E607" s="93" t="str" cm="1">
        <f t="array" ref="E607">IF(D607&lt;&gt;"",IFERROR(VLOOKUP(D607,Codes!$K$2:$L$409,2,FALSE),"UNKNOWN - "&amp;D607),IF(C607="","",IFERROR(_xlfn.IFS(ISNUMBER(SEARCH("broken button",C607)),"Break",ISNUMBER(SEARCH("broken handle",C607)),"Break",ISNUMBER(SEARCH("shipping damage",C607)),"Break",ISNUMBER(SEARCH("broken",C607)),"Break",ISNUMBER(SEARCH("crack",C607)),"Break",ISNUMBER(SEARCH("snap",C607)),"Break",ISNUMBER(SEARCH("fracture",C607)),"Break",ISNUMBER(SEARCH("bent",C607)),"Material Twisted/Bent",ISNUMBER(SEARCH("twisted",C607)),"Material Twisted/Bent",ISNUMBER(SEARCH("component separat",C607)),"Material Separation",ISNUMBER(SEARCH("separat",C607)),"Material Separation",ISNUMBER(SEARCH("connection",C607)),"Loose or Intermittent Connection",ISNUMBER(SEARCH("loose",C607)),"Loose or Intermittent Connection",ISNUMBER(SEARCH("damaged packaging",C607)),"Packaging Problem",ISNUMBER(SEARCH("packaging",C607)),"Packaging Problem",ISNUMBER(SEARCH("discoloration",C607)),"Contamination",ISNUMBER(SEARCH("tarnish",C607)),"Contamination",ISNUMBER(SEARCH("stain",C607)),"Contamination",ISNUMBER(SEARCH("foreign material",C607)),"Contamination",ISNUMBER(SEARCH("contamina",C607)),"Contamination",ISNUMBER(SEARCH("overheat",C607)),"Overheating of Device",ISNUMBER(SEARCH("excessive heat",C607)),"Overheating of Device",ISNUMBER(SEARCH("hot",C607)),"Overheating of Device",ISNUMBER(SEARCH("noise",C607)),"Noise, Audible",ISNUMBER(SEARCH("sound",C607)),"Noise, Audible",ISNUMBER(SEARCH("loud",C607)),"Noise, Audible",ISNUMBER(SEARCH("fray",C607)),"Material Frayed",ISNUMBER(SEARCH("hole",C607)),"Material Frayed",ISNUMBER(SEARCH("tear",C607)),"Material Frayed",ISNUMBER(SEARCH("worn",C607)),"Material Frayed",ISNUMBER(SEARCH("intermittent",C607)),"Difficult or Delayed Activation",ISNUMBER(SEARCH("delay",C607)),"Difficult or Delayed Activation",ISNUMBER(SEARCH("label",C607)),"Device Markings/Labelling Problem",ISNUMBER(SEARCH("marking",C607)),"Device Markings/Labelling Problem",ISNUMBER(SEARCH("lacerat",C607)),"Defective Device",ISNUMBER(SEARCH("cut",C607)),"Defective Device",ISNUMBER(SEARCH("leak",C607)),"Fluid/Blood Leak",ISNUMBER(SEARCH("missing",C607)),"Component Missing",ISNUMBER(SEARCH("power",C607)),"Complete Loss of Power",ISNUMBER(SEARCH("will not turn on",C607)),"Complete Loss of Power",ISNUMBER(SEARCH("won't turn on",C607)),"Complete Loss of Power",ISNUMBER(SEARCH("does not turn on",C607)),"Complete Loss of Power",ISNUMBER(SEARCH("electrical",C607)),"Electrical Power Problem",ISNUMBER(SEARCH("pressure",C607)),"Detachment of Device or Device Component",ISNUMBER(SEARCH("slip",C607)),"Detachment of Device or Device Component",ISNUMBER(SEARCH("detach",C607)),"Detachment of Device or Device Component",ISNUMBER(SEARCH("stick",C607)),"Mechanical Jam",ISNUMBER(SEARCH("jam",C607)),"Mechanical Jam",ISNUMBER(SEARCH("rigid",C607)),"Mechanical Jam",ISNUMBER(SEARCH("rust",C607)),"Corroded",ISNUMBER(SEARCH("corrod",C607)),"Corroded",ISNUMBER(SEARCH("corrosion",C607)),"Corroded",ISNUMBER(SEARCH("alignment",C607)),"Defective Device",ISNUMBER(SEARCH("adjust",C607)),"Defective Device",ISNUMBER(SEARCH("perform",C607)),"Defective Device",ISNUMBER(SEARCH("malfunction",C607)),"Defective Device",ISNUMBER(SEARCH("defect",C607)),"Defective Device",ISNUMBER(SEARCH("fail",C607)),"Defective Device",ISNUMBER(SEARCH("not work",C607)),"Defective Device",ISNUMBER(SEARCH("doesn't work",C607)),"Defective Device",TRUE,"UNKNOWN"),"UNKNOWN")))</f>
        <v/>
      </c>
      <c r="F607" s="4" t="str">
        <f t="shared" si="9"/>
        <v/>
      </c>
      <c r="G607" s="363" t="str">
        <f>IF(E607="","",IFERROR(VLOOKUP(E607,Codes!$L$2:$N$409,3,FALSE),"—"))</f>
        <v/>
      </c>
      <c r="H607" s="88"/>
      <c r="I607" s="88"/>
    </row>
    <row r="608" spans="1:9" ht="13.15" x14ac:dyDescent="0.35">
      <c r="A608" s="434"/>
      <c r="B608" s="436"/>
      <c r="C608" s="437"/>
      <c r="D608" s="434"/>
      <c r="E608" s="93" t="str" cm="1">
        <f t="array" ref="E608">IF(D608&lt;&gt;"",IFERROR(VLOOKUP(D608,Codes!$K$2:$L$409,2,FALSE),"UNKNOWN - "&amp;D608),IF(C608="","",IFERROR(_xlfn.IFS(ISNUMBER(SEARCH("broken button",C608)),"Break",ISNUMBER(SEARCH("broken handle",C608)),"Break",ISNUMBER(SEARCH("shipping damage",C608)),"Break",ISNUMBER(SEARCH("broken",C608)),"Break",ISNUMBER(SEARCH("crack",C608)),"Break",ISNUMBER(SEARCH("snap",C608)),"Break",ISNUMBER(SEARCH("fracture",C608)),"Break",ISNUMBER(SEARCH("bent",C608)),"Material Twisted/Bent",ISNUMBER(SEARCH("twisted",C608)),"Material Twisted/Bent",ISNUMBER(SEARCH("component separat",C608)),"Material Separation",ISNUMBER(SEARCH("separat",C608)),"Material Separation",ISNUMBER(SEARCH("connection",C608)),"Loose or Intermittent Connection",ISNUMBER(SEARCH("loose",C608)),"Loose or Intermittent Connection",ISNUMBER(SEARCH("damaged packaging",C608)),"Packaging Problem",ISNUMBER(SEARCH("packaging",C608)),"Packaging Problem",ISNUMBER(SEARCH("discoloration",C608)),"Contamination",ISNUMBER(SEARCH("tarnish",C608)),"Contamination",ISNUMBER(SEARCH("stain",C608)),"Contamination",ISNUMBER(SEARCH("foreign material",C608)),"Contamination",ISNUMBER(SEARCH("contamina",C608)),"Contamination",ISNUMBER(SEARCH("overheat",C608)),"Overheating of Device",ISNUMBER(SEARCH("excessive heat",C608)),"Overheating of Device",ISNUMBER(SEARCH("hot",C608)),"Overheating of Device",ISNUMBER(SEARCH("noise",C608)),"Noise, Audible",ISNUMBER(SEARCH("sound",C608)),"Noise, Audible",ISNUMBER(SEARCH("loud",C608)),"Noise, Audible",ISNUMBER(SEARCH("fray",C608)),"Material Frayed",ISNUMBER(SEARCH("hole",C608)),"Material Frayed",ISNUMBER(SEARCH("tear",C608)),"Material Frayed",ISNUMBER(SEARCH("worn",C608)),"Material Frayed",ISNUMBER(SEARCH("intermittent",C608)),"Difficult or Delayed Activation",ISNUMBER(SEARCH("delay",C608)),"Difficult or Delayed Activation",ISNUMBER(SEARCH("label",C608)),"Device Markings/Labelling Problem",ISNUMBER(SEARCH("marking",C608)),"Device Markings/Labelling Problem",ISNUMBER(SEARCH("lacerat",C608)),"Defective Device",ISNUMBER(SEARCH("cut",C608)),"Defective Device",ISNUMBER(SEARCH("leak",C608)),"Fluid/Blood Leak",ISNUMBER(SEARCH("missing",C608)),"Component Missing",ISNUMBER(SEARCH("power",C608)),"Complete Loss of Power",ISNUMBER(SEARCH("will not turn on",C608)),"Complete Loss of Power",ISNUMBER(SEARCH("won't turn on",C608)),"Complete Loss of Power",ISNUMBER(SEARCH("does not turn on",C608)),"Complete Loss of Power",ISNUMBER(SEARCH("electrical",C608)),"Electrical Power Problem",ISNUMBER(SEARCH("pressure",C608)),"Detachment of Device or Device Component",ISNUMBER(SEARCH("slip",C608)),"Detachment of Device or Device Component",ISNUMBER(SEARCH("detach",C608)),"Detachment of Device or Device Component",ISNUMBER(SEARCH("stick",C608)),"Mechanical Jam",ISNUMBER(SEARCH("jam",C608)),"Mechanical Jam",ISNUMBER(SEARCH("rigid",C608)),"Mechanical Jam",ISNUMBER(SEARCH("rust",C608)),"Corroded",ISNUMBER(SEARCH("corrod",C608)),"Corroded",ISNUMBER(SEARCH("corrosion",C608)),"Corroded",ISNUMBER(SEARCH("alignment",C608)),"Defective Device",ISNUMBER(SEARCH("adjust",C608)),"Defective Device",ISNUMBER(SEARCH("perform",C608)),"Defective Device",ISNUMBER(SEARCH("malfunction",C608)),"Defective Device",ISNUMBER(SEARCH("defect",C608)),"Defective Device",ISNUMBER(SEARCH("fail",C608)),"Defective Device",ISNUMBER(SEARCH("not work",C608)),"Defective Device",ISNUMBER(SEARCH("doesn't work",C608)),"Defective Device",TRUE,"UNKNOWN"),"UNKNOWN")))</f>
        <v/>
      </c>
      <c r="F608" s="4" t="str">
        <f t="shared" si="9"/>
        <v/>
      </c>
      <c r="G608" s="363" t="str">
        <f>IF(E608="","",IFERROR(VLOOKUP(E608,Codes!$L$2:$N$409,3,FALSE),"—"))</f>
        <v/>
      </c>
      <c r="H608" s="88"/>
      <c r="I608" s="88"/>
    </row>
    <row r="609" spans="1:9" ht="13.15" x14ac:dyDescent="0.35">
      <c r="A609" s="434"/>
      <c r="B609" s="436"/>
      <c r="C609" s="437"/>
      <c r="D609" s="434"/>
      <c r="E609" s="93" t="str" cm="1">
        <f t="array" ref="E609">IF(D609&lt;&gt;"",IFERROR(VLOOKUP(D609,Codes!$K$2:$L$409,2,FALSE),"UNKNOWN - "&amp;D609),IF(C609="","",IFERROR(_xlfn.IFS(ISNUMBER(SEARCH("broken button",C609)),"Break",ISNUMBER(SEARCH("broken handle",C609)),"Break",ISNUMBER(SEARCH("shipping damage",C609)),"Break",ISNUMBER(SEARCH("broken",C609)),"Break",ISNUMBER(SEARCH("crack",C609)),"Break",ISNUMBER(SEARCH("snap",C609)),"Break",ISNUMBER(SEARCH("fracture",C609)),"Break",ISNUMBER(SEARCH("bent",C609)),"Material Twisted/Bent",ISNUMBER(SEARCH("twisted",C609)),"Material Twisted/Bent",ISNUMBER(SEARCH("component separat",C609)),"Material Separation",ISNUMBER(SEARCH("separat",C609)),"Material Separation",ISNUMBER(SEARCH("connection",C609)),"Loose or Intermittent Connection",ISNUMBER(SEARCH("loose",C609)),"Loose or Intermittent Connection",ISNUMBER(SEARCH("damaged packaging",C609)),"Packaging Problem",ISNUMBER(SEARCH("packaging",C609)),"Packaging Problem",ISNUMBER(SEARCH("discoloration",C609)),"Contamination",ISNUMBER(SEARCH("tarnish",C609)),"Contamination",ISNUMBER(SEARCH("stain",C609)),"Contamination",ISNUMBER(SEARCH("foreign material",C609)),"Contamination",ISNUMBER(SEARCH("contamina",C609)),"Contamination",ISNUMBER(SEARCH("overheat",C609)),"Overheating of Device",ISNUMBER(SEARCH("excessive heat",C609)),"Overheating of Device",ISNUMBER(SEARCH("hot",C609)),"Overheating of Device",ISNUMBER(SEARCH("noise",C609)),"Noise, Audible",ISNUMBER(SEARCH("sound",C609)),"Noise, Audible",ISNUMBER(SEARCH("loud",C609)),"Noise, Audible",ISNUMBER(SEARCH("fray",C609)),"Material Frayed",ISNUMBER(SEARCH("hole",C609)),"Material Frayed",ISNUMBER(SEARCH("tear",C609)),"Material Frayed",ISNUMBER(SEARCH("worn",C609)),"Material Frayed",ISNUMBER(SEARCH("intermittent",C609)),"Difficult or Delayed Activation",ISNUMBER(SEARCH("delay",C609)),"Difficult or Delayed Activation",ISNUMBER(SEARCH("label",C609)),"Device Markings/Labelling Problem",ISNUMBER(SEARCH("marking",C609)),"Device Markings/Labelling Problem",ISNUMBER(SEARCH("lacerat",C609)),"Defective Device",ISNUMBER(SEARCH("cut",C609)),"Defective Device",ISNUMBER(SEARCH("leak",C609)),"Fluid/Blood Leak",ISNUMBER(SEARCH("missing",C609)),"Component Missing",ISNUMBER(SEARCH("power",C609)),"Complete Loss of Power",ISNUMBER(SEARCH("will not turn on",C609)),"Complete Loss of Power",ISNUMBER(SEARCH("won't turn on",C609)),"Complete Loss of Power",ISNUMBER(SEARCH("does not turn on",C609)),"Complete Loss of Power",ISNUMBER(SEARCH("electrical",C609)),"Electrical Power Problem",ISNUMBER(SEARCH("pressure",C609)),"Detachment of Device or Device Component",ISNUMBER(SEARCH("slip",C609)),"Detachment of Device or Device Component",ISNUMBER(SEARCH("detach",C609)),"Detachment of Device or Device Component",ISNUMBER(SEARCH("stick",C609)),"Mechanical Jam",ISNUMBER(SEARCH("jam",C609)),"Mechanical Jam",ISNUMBER(SEARCH("rigid",C609)),"Mechanical Jam",ISNUMBER(SEARCH("rust",C609)),"Corroded",ISNUMBER(SEARCH("corrod",C609)),"Corroded",ISNUMBER(SEARCH("corrosion",C609)),"Corroded",ISNUMBER(SEARCH("alignment",C609)),"Defective Device",ISNUMBER(SEARCH("adjust",C609)),"Defective Device",ISNUMBER(SEARCH("perform",C609)),"Defective Device",ISNUMBER(SEARCH("malfunction",C609)),"Defective Device",ISNUMBER(SEARCH("defect",C609)),"Defective Device",ISNUMBER(SEARCH("fail",C609)),"Defective Device",ISNUMBER(SEARCH("not work",C609)),"Defective Device",ISNUMBER(SEARCH("doesn't work",C609)),"Defective Device",TRUE,"UNKNOWN"),"UNKNOWN")))</f>
        <v/>
      </c>
      <c r="F609" s="4" t="str">
        <f t="shared" si="9"/>
        <v/>
      </c>
      <c r="G609" s="363" t="str">
        <f>IF(E609="","",IFERROR(VLOOKUP(E609,Codes!$L$2:$N$409,3,FALSE),"—"))</f>
        <v/>
      </c>
      <c r="H609" s="88"/>
      <c r="I609" s="88"/>
    </row>
    <row r="610" spans="1:9" ht="13.15" x14ac:dyDescent="0.35">
      <c r="A610" s="435"/>
      <c r="B610" s="436"/>
      <c r="C610" s="438"/>
      <c r="D610" s="435"/>
      <c r="E610" s="93" t="str" cm="1">
        <f t="array" ref="E610">IF(D610&lt;&gt;"",IFERROR(VLOOKUP(D610,Codes!$K$2:$L$409,2,FALSE),"UNKNOWN - "&amp;D610),IF(C610="","",IFERROR(_xlfn.IFS(ISNUMBER(SEARCH("broken button",C610)),"Break",ISNUMBER(SEARCH("broken handle",C610)),"Break",ISNUMBER(SEARCH("shipping damage",C610)),"Break",ISNUMBER(SEARCH("broken",C610)),"Break",ISNUMBER(SEARCH("crack",C610)),"Break",ISNUMBER(SEARCH("snap",C610)),"Break",ISNUMBER(SEARCH("fracture",C610)),"Break",ISNUMBER(SEARCH("bent",C610)),"Material Twisted/Bent",ISNUMBER(SEARCH("twisted",C610)),"Material Twisted/Bent",ISNUMBER(SEARCH("component separat",C610)),"Material Separation",ISNUMBER(SEARCH("separat",C610)),"Material Separation",ISNUMBER(SEARCH("connection",C610)),"Loose or Intermittent Connection",ISNUMBER(SEARCH("loose",C610)),"Loose or Intermittent Connection",ISNUMBER(SEARCH("damaged packaging",C610)),"Packaging Problem",ISNUMBER(SEARCH("packaging",C610)),"Packaging Problem",ISNUMBER(SEARCH("discoloration",C610)),"Contamination",ISNUMBER(SEARCH("tarnish",C610)),"Contamination",ISNUMBER(SEARCH("stain",C610)),"Contamination",ISNUMBER(SEARCH("foreign material",C610)),"Contamination",ISNUMBER(SEARCH("contamina",C610)),"Contamination",ISNUMBER(SEARCH("overheat",C610)),"Overheating of Device",ISNUMBER(SEARCH("excessive heat",C610)),"Overheating of Device",ISNUMBER(SEARCH("hot",C610)),"Overheating of Device",ISNUMBER(SEARCH("noise",C610)),"Noise, Audible",ISNUMBER(SEARCH("sound",C610)),"Noise, Audible",ISNUMBER(SEARCH("loud",C610)),"Noise, Audible",ISNUMBER(SEARCH("fray",C610)),"Material Frayed",ISNUMBER(SEARCH("hole",C610)),"Material Frayed",ISNUMBER(SEARCH("tear",C610)),"Material Frayed",ISNUMBER(SEARCH("worn",C610)),"Material Frayed",ISNUMBER(SEARCH("intermittent",C610)),"Difficult or Delayed Activation",ISNUMBER(SEARCH("delay",C610)),"Difficult or Delayed Activation",ISNUMBER(SEARCH("label",C610)),"Device Markings/Labelling Problem",ISNUMBER(SEARCH("marking",C610)),"Device Markings/Labelling Problem",ISNUMBER(SEARCH("lacerat",C610)),"Defective Device",ISNUMBER(SEARCH("cut",C610)),"Defective Device",ISNUMBER(SEARCH("leak",C610)),"Fluid/Blood Leak",ISNUMBER(SEARCH("missing",C610)),"Component Missing",ISNUMBER(SEARCH("power",C610)),"Complete Loss of Power",ISNUMBER(SEARCH("will not turn on",C610)),"Complete Loss of Power",ISNUMBER(SEARCH("won't turn on",C610)),"Complete Loss of Power",ISNUMBER(SEARCH("does not turn on",C610)),"Complete Loss of Power",ISNUMBER(SEARCH("electrical",C610)),"Electrical Power Problem",ISNUMBER(SEARCH("pressure",C610)),"Detachment of Device or Device Component",ISNUMBER(SEARCH("slip",C610)),"Detachment of Device or Device Component",ISNUMBER(SEARCH("detach",C610)),"Detachment of Device or Device Component",ISNUMBER(SEARCH("stick",C610)),"Mechanical Jam",ISNUMBER(SEARCH("jam",C610)),"Mechanical Jam",ISNUMBER(SEARCH("rigid",C610)),"Mechanical Jam",ISNUMBER(SEARCH("rust",C610)),"Corroded",ISNUMBER(SEARCH("corrod",C610)),"Corroded",ISNUMBER(SEARCH("corrosion",C610)),"Corroded",ISNUMBER(SEARCH("alignment",C610)),"Defective Device",ISNUMBER(SEARCH("adjust",C610)),"Defective Device",ISNUMBER(SEARCH("perform",C610)),"Defective Device",ISNUMBER(SEARCH("malfunction",C610)),"Defective Device",ISNUMBER(SEARCH("defect",C610)),"Defective Device",ISNUMBER(SEARCH("fail",C610)),"Defective Device",ISNUMBER(SEARCH("not work",C610)),"Defective Device",ISNUMBER(SEARCH("doesn't work",C610)),"Defective Device",TRUE,"UNKNOWN"),"UNKNOWN")))</f>
        <v/>
      </c>
      <c r="F610" s="4" t="str">
        <f t="shared" si="9"/>
        <v/>
      </c>
      <c r="G610" s="363" t="str">
        <f>IF(E610="","",IFERROR(VLOOKUP(E610,Codes!$L$2:$N$409,3,FALSE),"—"))</f>
        <v/>
      </c>
      <c r="H610" s="88"/>
      <c r="I610" s="88"/>
    </row>
    <row r="611" spans="1:9" ht="13.15" x14ac:dyDescent="0.35">
      <c r="A611" s="435"/>
      <c r="B611" s="436"/>
      <c r="C611" s="438"/>
      <c r="D611" s="435"/>
      <c r="E611" s="93" t="str" cm="1">
        <f t="array" ref="E611">IF(D611&lt;&gt;"",IFERROR(VLOOKUP(D611,Codes!$K$2:$L$409,2,FALSE),"UNKNOWN - "&amp;D611),IF(C611="","",IFERROR(_xlfn.IFS(ISNUMBER(SEARCH("broken button",C611)),"Break",ISNUMBER(SEARCH("broken handle",C611)),"Break",ISNUMBER(SEARCH("shipping damage",C611)),"Break",ISNUMBER(SEARCH("broken",C611)),"Break",ISNUMBER(SEARCH("crack",C611)),"Break",ISNUMBER(SEARCH("snap",C611)),"Break",ISNUMBER(SEARCH("fracture",C611)),"Break",ISNUMBER(SEARCH("bent",C611)),"Material Twisted/Bent",ISNUMBER(SEARCH("twisted",C611)),"Material Twisted/Bent",ISNUMBER(SEARCH("component separat",C611)),"Material Separation",ISNUMBER(SEARCH("separat",C611)),"Material Separation",ISNUMBER(SEARCH("connection",C611)),"Loose or Intermittent Connection",ISNUMBER(SEARCH("loose",C611)),"Loose or Intermittent Connection",ISNUMBER(SEARCH("damaged packaging",C611)),"Packaging Problem",ISNUMBER(SEARCH("packaging",C611)),"Packaging Problem",ISNUMBER(SEARCH("discoloration",C611)),"Contamination",ISNUMBER(SEARCH("tarnish",C611)),"Contamination",ISNUMBER(SEARCH("stain",C611)),"Contamination",ISNUMBER(SEARCH("foreign material",C611)),"Contamination",ISNUMBER(SEARCH("contamina",C611)),"Contamination",ISNUMBER(SEARCH("overheat",C611)),"Overheating of Device",ISNUMBER(SEARCH("excessive heat",C611)),"Overheating of Device",ISNUMBER(SEARCH("hot",C611)),"Overheating of Device",ISNUMBER(SEARCH("noise",C611)),"Noise, Audible",ISNUMBER(SEARCH("sound",C611)),"Noise, Audible",ISNUMBER(SEARCH("loud",C611)),"Noise, Audible",ISNUMBER(SEARCH("fray",C611)),"Material Frayed",ISNUMBER(SEARCH("hole",C611)),"Material Frayed",ISNUMBER(SEARCH("tear",C611)),"Material Frayed",ISNUMBER(SEARCH("worn",C611)),"Material Frayed",ISNUMBER(SEARCH("intermittent",C611)),"Difficult or Delayed Activation",ISNUMBER(SEARCH("delay",C611)),"Difficult or Delayed Activation",ISNUMBER(SEARCH("label",C611)),"Device Markings/Labelling Problem",ISNUMBER(SEARCH("marking",C611)),"Device Markings/Labelling Problem",ISNUMBER(SEARCH("lacerat",C611)),"Defective Device",ISNUMBER(SEARCH("cut",C611)),"Defective Device",ISNUMBER(SEARCH("leak",C611)),"Fluid/Blood Leak",ISNUMBER(SEARCH("missing",C611)),"Component Missing",ISNUMBER(SEARCH("power",C611)),"Complete Loss of Power",ISNUMBER(SEARCH("will not turn on",C611)),"Complete Loss of Power",ISNUMBER(SEARCH("won't turn on",C611)),"Complete Loss of Power",ISNUMBER(SEARCH("does not turn on",C611)),"Complete Loss of Power",ISNUMBER(SEARCH("electrical",C611)),"Electrical Power Problem",ISNUMBER(SEARCH("pressure",C611)),"Detachment of Device or Device Component",ISNUMBER(SEARCH("slip",C611)),"Detachment of Device or Device Component",ISNUMBER(SEARCH("detach",C611)),"Detachment of Device or Device Component",ISNUMBER(SEARCH("stick",C611)),"Mechanical Jam",ISNUMBER(SEARCH("jam",C611)),"Mechanical Jam",ISNUMBER(SEARCH("rigid",C611)),"Mechanical Jam",ISNUMBER(SEARCH("rust",C611)),"Corroded",ISNUMBER(SEARCH("corrod",C611)),"Corroded",ISNUMBER(SEARCH("corrosion",C611)),"Corroded",ISNUMBER(SEARCH("alignment",C611)),"Defective Device",ISNUMBER(SEARCH("adjust",C611)),"Defective Device",ISNUMBER(SEARCH("perform",C611)),"Defective Device",ISNUMBER(SEARCH("malfunction",C611)),"Defective Device",ISNUMBER(SEARCH("defect",C611)),"Defective Device",ISNUMBER(SEARCH("fail",C611)),"Defective Device",ISNUMBER(SEARCH("not work",C611)),"Defective Device",ISNUMBER(SEARCH("doesn't work",C611)),"Defective Device",TRUE,"UNKNOWN"),"UNKNOWN")))</f>
        <v/>
      </c>
      <c r="F611" s="4" t="str">
        <f t="shared" si="9"/>
        <v/>
      </c>
      <c r="G611" s="363" t="str">
        <f>IF(E611="","",IFERROR(VLOOKUP(E611,Codes!$L$2:$N$409,3,FALSE),"—"))</f>
        <v/>
      </c>
      <c r="H611" s="88"/>
      <c r="I611" s="88"/>
    </row>
    <row r="612" spans="1:9" ht="13.15" x14ac:dyDescent="0.35">
      <c r="A612" s="434"/>
      <c r="B612" s="436"/>
      <c r="C612" s="437"/>
      <c r="D612" s="434"/>
      <c r="E612" s="93" t="str" cm="1">
        <f t="array" ref="E612">IF(D612&lt;&gt;"",IFERROR(VLOOKUP(D612,Codes!$K$2:$L$409,2,FALSE),"UNKNOWN - "&amp;D612),IF(C612="","",IFERROR(_xlfn.IFS(ISNUMBER(SEARCH("broken button",C612)),"Break",ISNUMBER(SEARCH("broken handle",C612)),"Break",ISNUMBER(SEARCH("shipping damage",C612)),"Break",ISNUMBER(SEARCH("broken",C612)),"Break",ISNUMBER(SEARCH("crack",C612)),"Break",ISNUMBER(SEARCH("snap",C612)),"Break",ISNUMBER(SEARCH("fracture",C612)),"Break",ISNUMBER(SEARCH("bent",C612)),"Material Twisted/Bent",ISNUMBER(SEARCH("twisted",C612)),"Material Twisted/Bent",ISNUMBER(SEARCH("component separat",C612)),"Material Separation",ISNUMBER(SEARCH("separat",C612)),"Material Separation",ISNUMBER(SEARCH("connection",C612)),"Loose or Intermittent Connection",ISNUMBER(SEARCH("loose",C612)),"Loose or Intermittent Connection",ISNUMBER(SEARCH("damaged packaging",C612)),"Packaging Problem",ISNUMBER(SEARCH("packaging",C612)),"Packaging Problem",ISNUMBER(SEARCH("discoloration",C612)),"Contamination",ISNUMBER(SEARCH("tarnish",C612)),"Contamination",ISNUMBER(SEARCH("stain",C612)),"Contamination",ISNUMBER(SEARCH("foreign material",C612)),"Contamination",ISNUMBER(SEARCH("contamina",C612)),"Contamination",ISNUMBER(SEARCH("overheat",C612)),"Overheating of Device",ISNUMBER(SEARCH("excessive heat",C612)),"Overheating of Device",ISNUMBER(SEARCH("hot",C612)),"Overheating of Device",ISNUMBER(SEARCH("noise",C612)),"Noise, Audible",ISNUMBER(SEARCH("sound",C612)),"Noise, Audible",ISNUMBER(SEARCH("loud",C612)),"Noise, Audible",ISNUMBER(SEARCH("fray",C612)),"Material Frayed",ISNUMBER(SEARCH("hole",C612)),"Material Frayed",ISNUMBER(SEARCH("tear",C612)),"Material Frayed",ISNUMBER(SEARCH("worn",C612)),"Material Frayed",ISNUMBER(SEARCH("intermittent",C612)),"Difficult or Delayed Activation",ISNUMBER(SEARCH("delay",C612)),"Difficult or Delayed Activation",ISNUMBER(SEARCH("label",C612)),"Device Markings/Labelling Problem",ISNUMBER(SEARCH("marking",C612)),"Device Markings/Labelling Problem",ISNUMBER(SEARCH("lacerat",C612)),"Defective Device",ISNUMBER(SEARCH("cut",C612)),"Defective Device",ISNUMBER(SEARCH("leak",C612)),"Fluid/Blood Leak",ISNUMBER(SEARCH("missing",C612)),"Component Missing",ISNUMBER(SEARCH("power",C612)),"Complete Loss of Power",ISNUMBER(SEARCH("will not turn on",C612)),"Complete Loss of Power",ISNUMBER(SEARCH("won't turn on",C612)),"Complete Loss of Power",ISNUMBER(SEARCH("does not turn on",C612)),"Complete Loss of Power",ISNUMBER(SEARCH("electrical",C612)),"Electrical Power Problem",ISNUMBER(SEARCH("pressure",C612)),"Detachment of Device or Device Component",ISNUMBER(SEARCH("slip",C612)),"Detachment of Device or Device Component",ISNUMBER(SEARCH("detach",C612)),"Detachment of Device or Device Component",ISNUMBER(SEARCH("stick",C612)),"Mechanical Jam",ISNUMBER(SEARCH("jam",C612)),"Mechanical Jam",ISNUMBER(SEARCH("rigid",C612)),"Mechanical Jam",ISNUMBER(SEARCH("rust",C612)),"Corroded",ISNUMBER(SEARCH("corrod",C612)),"Corroded",ISNUMBER(SEARCH("corrosion",C612)),"Corroded",ISNUMBER(SEARCH("alignment",C612)),"Defective Device",ISNUMBER(SEARCH("adjust",C612)),"Defective Device",ISNUMBER(SEARCH("perform",C612)),"Defective Device",ISNUMBER(SEARCH("malfunction",C612)),"Defective Device",ISNUMBER(SEARCH("defect",C612)),"Defective Device",ISNUMBER(SEARCH("fail",C612)),"Defective Device",ISNUMBER(SEARCH("not work",C612)),"Defective Device",ISNUMBER(SEARCH("doesn't work",C612)),"Defective Device",TRUE,"UNKNOWN"),"UNKNOWN")))</f>
        <v/>
      </c>
      <c r="F612" s="4" t="str">
        <f t="shared" si="9"/>
        <v/>
      </c>
      <c r="G612" s="363" t="str">
        <f>IF(E612="","",IFERROR(VLOOKUP(E612,Codes!$L$2:$N$409,3,FALSE),"—"))</f>
        <v/>
      </c>
      <c r="H612" s="88"/>
      <c r="I612" s="88"/>
    </row>
    <row r="613" spans="1:9" ht="13.15" x14ac:dyDescent="0.35">
      <c r="A613" s="435"/>
      <c r="B613" s="436"/>
      <c r="C613" s="438"/>
      <c r="D613" s="435"/>
      <c r="E613" s="93" t="str" cm="1">
        <f t="array" ref="E613">IF(D613&lt;&gt;"",IFERROR(VLOOKUP(D613,Codes!$K$2:$L$409,2,FALSE),"UNKNOWN - "&amp;D613),IF(C613="","",IFERROR(_xlfn.IFS(ISNUMBER(SEARCH("broken button",C613)),"Break",ISNUMBER(SEARCH("broken handle",C613)),"Break",ISNUMBER(SEARCH("shipping damage",C613)),"Break",ISNUMBER(SEARCH("broken",C613)),"Break",ISNUMBER(SEARCH("crack",C613)),"Break",ISNUMBER(SEARCH("snap",C613)),"Break",ISNUMBER(SEARCH("fracture",C613)),"Break",ISNUMBER(SEARCH("bent",C613)),"Material Twisted/Bent",ISNUMBER(SEARCH("twisted",C613)),"Material Twisted/Bent",ISNUMBER(SEARCH("component separat",C613)),"Material Separation",ISNUMBER(SEARCH("separat",C613)),"Material Separation",ISNUMBER(SEARCH("connection",C613)),"Loose or Intermittent Connection",ISNUMBER(SEARCH("loose",C613)),"Loose or Intermittent Connection",ISNUMBER(SEARCH("damaged packaging",C613)),"Packaging Problem",ISNUMBER(SEARCH("packaging",C613)),"Packaging Problem",ISNUMBER(SEARCH("discoloration",C613)),"Contamination",ISNUMBER(SEARCH("tarnish",C613)),"Contamination",ISNUMBER(SEARCH("stain",C613)),"Contamination",ISNUMBER(SEARCH("foreign material",C613)),"Contamination",ISNUMBER(SEARCH("contamina",C613)),"Contamination",ISNUMBER(SEARCH("overheat",C613)),"Overheating of Device",ISNUMBER(SEARCH("excessive heat",C613)),"Overheating of Device",ISNUMBER(SEARCH("hot",C613)),"Overheating of Device",ISNUMBER(SEARCH("noise",C613)),"Noise, Audible",ISNUMBER(SEARCH("sound",C613)),"Noise, Audible",ISNUMBER(SEARCH("loud",C613)),"Noise, Audible",ISNUMBER(SEARCH("fray",C613)),"Material Frayed",ISNUMBER(SEARCH("hole",C613)),"Material Frayed",ISNUMBER(SEARCH("tear",C613)),"Material Frayed",ISNUMBER(SEARCH("worn",C613)),"Material Frayed",ISNUMBER(SEARCH("intermittent",C613)),"Difficult or Delayed Activation",ISNUMBER(SEARCH("delay",C613)),"Difficult or Delayed Activation",ISNUMBER(SEARCH("label",C613)),"Device Markings/Labelling Problem",ISNUMBER(SEARCH("marking",C613)),"Device Markings/Labelling Problem",ISNUMBER(SEARCH("lacerat",C613)),"Defective Device",ISNUMBER(SEARCH("cut",C613)),"Defective Device",ISNUMBER(SEARCH("leak",C613)),"Fluid/Blood Leak",ISNUMBER(SEARCH("missing",C613)),"Component Missing",ISNUMBER(SEARCH("power",C613)),"Complete Loss of Power",ISNUMBER(SEARCH("will not turn on",C613)),"Complete Loss of Power",ISNUMBER(SEARCH("won't turn on",C613)),"Complete Loss of Power",ISNUMBER(SEARCH("does not turn on",C613)),"Complete Loss of Power",ISNUMBER(SEARCH("electrical",C613)),"Electrical Power Problem",ISNUMBER(SEARCH("pressure",C613)),"Detachment of Device or Device Component",ISNUMBER(SEARCH("slip",C613)),"Detachment of Device or Device Component",ISNUMBER(SEARCH("detach",C613)),"Detachment of Device or Device Component",ISNUMBER(SEARCH("stick",C613)),"Mechanical Jam",ISNUMBER(SEARCH("jam",C613)),"Mechanical Jam",ISNUMBER(SEARCH("rigid",C613)),"Mechanical Jam",ISNUMBER(SEARCH("rust",C613)),"Corroded",ISNUMBER(SEARCH("corrod",C613)),"Corroded",ISNUMBER(SEARCH("corrosion",C613)),"Corroded",ISNUMBER(SEARCH("alignment",C613)),"Defective Device",ISNUMBER(SEARCH("adjust",C613)),"Defective Device",ISNUMBER(SEARCH("perform",C613)),"Defective Device",ISNUMBER(SEARCH("malfunction",C613)),"Defective Device",ISNUMBER(SEARCH("defect",C613)),"Defective Device",ISNUMBER(SEARCH("fail",C613)),"Defective Device",ISNUMBER(SEARCH("not work",C613)),"Defective Device",ISNUMBER(SEARCH("doesn't work",C613)),"Defective Device",TRUE,"UNKNOWN"),"UNKNOWN")))</f>
        <v/>
      </c>
      <c r="F613" s="4" t="str">
        <f t="shared" si="9"/>
        <v/>
      </c>
      <c r="G613" s="363" t="str">
        <f>IF(E613="","",IFERROR(VLOOKUP(E613,Codes!$L$2:$N$409,3,FALSE),"—"))</f>
        <v/>
      </c>
      <c r="H613" s="88"/>
      <c r="I613" s="88"/>
    </row>
    <row r="614" spans="1:9" ht="13.15" x14ac:dyDescent="0.35">
      <c r="A614" s="435"/>
      <c r="B614" s="436"/>
      <c r="C614" s="438"/>
      <c r="D614" s="435"/>
      <c r="E614" s="93" t="str" cm="1">
        <f t="array" ref="E614">IF(D614&lt;&gt;"",IFERROR(VLOOKUP(D614,Codes!$K$2:$L$409,2,FALSE),"UNKNOWN - "&amp;D614),IF(C614="","",IFERROR(_xlfn.IFS(ISNUMBER(SEARCH("broken button",C614)),"Break",ISNUMBER(SEARCH("broken handle",C614)),"Break",ISNUMBER(SEARCH("shipping damage",C614)),"Break",ISNUMBER(SEARCH("broken",C614)),"Break",ISNUMBER(SEARCH("crack",C614)),"Break",ISNUMBER(SEARCH("snap",C614)),"Break",ISNUMBER(SEARCH("fracture",C614)),"Break",ISNUMBER(SEARCH("bent",C614)),"Material Twisted/Bent",ISNUMBER(SEARCH("twisted",C614)),"Material Twisted/Bent",ISNUMBER(SEARCH("component separat",C614)),"Material Separation",ISNUMBER(SEARCH("separat",C614)),"Material Separation",ISNUMBER(SEARCH("connection",C614)),"Loose or Intermittent Connection",ISNUMBER(SEARCH("loose",C614)),"Loose or Intermittent Connection",ISNUMBER(SEARCH("damaged packaging",C614)),"Packaging Problem",ISNUMBER(SEARCH("packaging",C614)),"Packaging Problem",ISNUMBER(SEARCH("discoloration",C614)),"Contamination",ISNUMBER(SEARCH("tarnish",C614)),"Contamination",ISNUMBER(SEARCH("stain",C614)),"Contamination",ISNUMBER(SEARCH("foreign material",C614)),"Contamination",ISNUMBER(SEARCH("contamina",C614)),"Contamination",ISNUMBER(SEARCH("overheat",C614)),"Overheating of Device",ISNUMBER(SEARCH("excessive heat",C614)),"Overheating of Device",ISNUMBER(SEARCH("hot",C614)),"Overheating of Device",ISNUMBER(SEARCH("noise",C614)),"Noise, Audible",ISNUMBER(SEARCH("sound",C614)),"Noise, Audible",ISNUMBER(SEARCH("loud",C614)),"Noise, Audible",ISNUMBER(SEARCH("fray",C614)),"Material Frayed",ISNUMBER(SEARCH("hole",C614)),"Material Frayed",ISNUMBER(SEARCH("tear",C614)),"Material Frayed",ISNUMBER(SEARCH("worn",C614)),"Material Frayed",ISNUMBER(SEARCH("intermittent",C614)),"Difficult or Delayed Activation",ISNUMBER(SEARCH("delay",C614)),"Difficult or Delayed Activation",ISNUMBER(SEARCH("label",C614)),"Device Markings/Labelling Problem",ISNUMBER(SEARCH("marking",C614)),"Device Markings/Labelling Problem",ISNUMBER(SEARCH("lacerat",C614)),"Defective Device",ISNUMBER(SEARCH("cut",C614)),"Defective Device",ISNUMBER(SEARCH("leak",C614)),"Fluid/Blood Leak",ISNUMBER(SEARCH("missing",C614)),"Component Missing",ISNUMBER(SEARCH("power",C614)),"Complete Loss of Power",ISNUMBER(SEARCH("will not turn on",C614)),"Complete Loss of Power",ISNUMBER(SEARCH("won't turn on",C614)),"Complete Loss of Power",ISNUMBER(SEARCH("does not turn on",C614)),"Complete Loss of Power",ISNUMBER(SEARCH("electrical",C614)),"Electrical Power Problem",ISNUMBER(SEARCH("pressure",C614)),"Detachment of Device or Device Component",ISNUMBER(SEARCH("slip",C614)),"Detachment of Device or Device Component",ISNUMBER(SEARCH("detach",C614)),"Detachment of Device or Device Component",ISNUMBER(SEARCH("stick",C614)),"Mechanical Jam",ISNUMBER(SEARCH("jam",C614)),"Mechanical Jam",ISNUMBER(SEARCH("rigid",C614)),"Mechanical Jam",ISNUMBER(SEARCH("rust",C614)),"Corroded",ISNUMBER(SEARCH("corrod",C614)),"Corroded",ISNUMBER(SEARCH("corrosion",C614)),"Corroded",ISNUMBER(SEARCH("alignment",C614)),"Defective Device",ISNUMBER(SEARCH("adjust",C614)),"Defective Device",ISNUMBER(SEARCH("perform",C614)),"Defective Device",ISNUMBER(SEARCH("malfunction",C614)),"Defective Device",ISNUMBER(SEARCH("defect",C614)),"Defective Device",ISNUMBER(SEARCH("fail",C614)),"Defective Device",ISNUMBER(SEARCH("not work",C614)),"Defective Device",ISNUMBER(SEARCH("doesn't work",C614)),"Defective Device",TRUE,"UNKNOWN"),"UNKNOWN")))</f>
        <v/>
      </c>
      <c r="F614" s="4" t="str">
        <f t="shared" si="9"/>
        <v/>
      </c>
      <c r="G614" s="363" t="str">
        <f>IF(E614="","",IFERROR(VLOOKUP(E614,Codes!$L$2:$N$409,3,FALSE),"—"))</f>
        <v/>
      </c>
      <c r="H614" s="88"/>
      <c r="I614" s="88"/>
    </row>
    <row r="615" spans="1:9" ht="13.15" x14ac:dyDescent="0.35">
      <c r="A615" s="434"/>
      <c r="B615" s="436"/>
      <c r="C615" s="437"/>
      <c r="D615" s="434"/>
      <c r="E615" s="93" t="str" cm="1">
        <f t="array" ref="E615">IF(D615&lt;&gt;"",IFERROR(VLOOKUP(D615,Codes!$K$2:$L$409,2,FALSE),"UNKNOWN - "&amp;D615),IF(C615="","",IFERROR(_xlfn.IFS(ISNUMBER(SEARCH("broken button",C615)),"Break",ISNUMBER(SEARCH("broken handle",C615)),"Break",ISNUMBER(SEARCH("shipping damage",C615)),"Break",ISNUMBER(SEARCH("broken",C615)),"Break",ISNUMBER(SEARCH("crack",C615)),"Break",ISNUMBER(SEARCH("snap",C615)),"Break",ISNUMBER(SEARCH("fracture",C615)),"Break",ISNUMBER(SEARCH("bent",C615)),"Material Twisted/Bent",ISNUMBER(SEARCH("twisted",C615)),"Material Twisted/Bent",ISNUMBER(SEARCH("component separat",C615)),"Material Separation",ISNUMBER(SEARCH("separat",C615)),"Material Separation",ISNUMBER(SEARCH("connection",C615)),"Loose or Intermittent Connection",ISNUMBER(SEARCH("loose",C615)),"Loose or Intermittent Connection",ISNUMBER(SEARCH("damaged packaging",C615)),"Packaging Problem",ISNUMBER(SEARCH("packaging",C615)),"Packaging Problem",ISNUMBER(SEARCH("discoloration",C615)),"Contamination",ISNUMBER(SEARCH("tarnish",C615)),"Contamination",ISNUMBER(SEARCH("stain",C615)),"Contamination",ISNUMBER(SEARCH("foreign material",C615)),"Contamination",ISNUMBER(SEARCH("contamina",C615)),"Contamination",ISNUMBER(SEARCH("overheat",C615)),"Overheating of Device",ISNUMBER(SEARCH("excessive heat",C615)),"Overheating of Device",ISNUMBER(SEARCH("hot",C615)),"Overheating of Device",ISNUMBER(SEARCH("noise",C615)),"Noise, Audible",ISNUMBER(SEARCH("sound",C615)),"Noise, Audible",ISNUMBER(SEARCH("loud",C615)),"Noise, Audible",ISNUMBER(SEARCH("fray",C615)),"Material Frayed",ISNUMBER(SEARCH("hole",C615)),"Material Frayed",ISNUMBER(SEARCH("tear",C615)),"Material Frayed",ISNUMBER(SEARCH("worn",C615)),"Material Frayed",ISNUMBER(SEARCH("intermittent",C615)),"Difficult or Delayed Activation",ISNUMBER(SEARCH("delay",C615)),"Difficult or Delayed Activation",ISNUMBER(SEARCH("label",C615)),"Device Markings/Labelling Problem",ISNUMBER(SEARCH("marking",C615)),"Device Markings/Labelling Problem",ISNUMBER(SEARCH("lacerat",C615)),"Defective Device",ISNUMBER(SEARCH("cut",C615)),"Defective Device",ISNUMBER(SEARCH("leak",C615)),"Fluid/Blood Leak",ISNUMBER(SEARCH("missing",C615)),"Component Missing",ISNUMBER(SEARCH("power",C615)),"Complete Loss of Power",ISNUMBER(SEARCH("will not turn on",C615)),"Complete Loss of Power",ISNUMBER(SEARCH("won't turn on",C615)),"Complete Loss of Power",ISNUMBER(SEARCH("does not turn on",C615)),"Complete Loss of Power",ISNUMBER(SEARCH("electrical",C615)),"Electrical Power Problem",ISNUMBER(SEARCH("pressure",C615)),"Detachment of Device or Device Component",ISNUMBER(SEARCH("slip",C615)),"Detachment of Device or Device Component",ISNUMBER(SEARCH("detach",C615)),"Detachment of Device or Device Component",ISNUMBER(SEARCH("stick",C615)),"Mechanical Jam",ISNUMBER(SEARCH("jam",C615)),"Mechanical Jam",ISNUMBER(SEARCH("rigid",C615)),"Mechanical Jam",ISNUMBER(SEARCH("rust",C615)),"Corroded",ISNUMBER(SEARCH("corrod",C615)),"Corroded",ISNUMBER(SEARCH("corrosion",C615)),"Corroded",ISNUMBER(SEARCH("alignment",C615)),"Defective Device",ISNUMBER(SEARCH("adjust",C615)),"Defective Device",ISNUMBER(SEARCH("perform",C615)),"Defective Device",ISNUMBER(SEARCH("malfunction",C615)),"Defective Device",ISNUMBER(SEARCH("defect",C615)),"Defective Device",ISNUMBER(SEARCH("fail",C615)),"Defective Device",ISNUMBER(SEARCH("not work",C615)),"Defective Device",ISNUMBER(SEARCH("doesn't work",C615)),"Defective Device",TRUE,"UNKNOWN"),"UNKNOWN")))</f>
        <v/>
      </c>
      <c r="F615" s="4" t="str">
        <f t="shared" si="9"/>
        <v/>
      </c>
      <c r="G615" s="363" t="str">
        <f>IF(E615="","",IFERROR(VLOOKUP(E615,Codes!$L$2:$N$409,3,FALSE),"—"))</f>
        <v/>
      </c>
      <c r="H615" s="88"/>
      <c r="I615" s="88"/>
    </row>
    <row r="616" spans="1:9" ht="13.15" x14ac:dyDescent="0.35">
      <c r="A616" s="434"/>
      <c r="B616" s="436"/>
      <c r="C616" s="437"/>
      <c r="D616" s="434"/>
      <c r="E616" s="93" t="str" cm="1">
        <f t="array" ref="E616">IF(D616&lt;&gt;"",IFERROR(VLOOKUP(D616,Codes!$K$2:$L$409,2,FALSE),"UNKNOWN - "&amp;D616),IF(C616="","",IFERROR(_xlfn.IFS(ISNUMBER(SEARCH("broken button",C616)),"Break",ISNUMBER(SEARCH("broken handle",C616)),"Break",ISNUMBER(SEARCH("shipping damage",C616)),"Break",ISNUMBER(SEARCH("broken",C616)),"Break",ISNUMBER(SEARCH("crack",C616)),"Break",ISNUMBER(SEARCH("snap",C616)),"Break",ISNUMBER(SEARCH("fracture",C616)),"Break",ISNUMBER(SEARCH("bent",C616)),"Material Twisted/Bent",ISNUMBER(SEARCH("twisted",C616)),"Material Twisted/Bent",ISNUMBER(SEARCH("component separat",C616)),"Material Separation",ISNUMBER(SEARCH("separat",C616)),"Material Separation",ISNUMBER(SEARCH("connection",C616)),"Loose or Intermittent Connection",ISNUMBER(SEARCH("loose",C616)),"Loose or Intermittent Connection",ISNUMBER(SEARCH("damaged packaging",C616)),"Packaging Problem",ISNUMBER(SEARCH("packaging",C616)),"Packaging Problem",ISNUMBER(SEARCH("discoloration",C616)),"Contamination",ISNUMBER(SEARCH("tarnish",C616)),"Contamination",ISNUMBER(SEARCH("stain",C616)),"Contamination",ISNUMBER(SEARCH("foreign material",C616)),"Contamination",ISNUMBER(SEARCH("contamina",C616)),"Contamination",ISNUMBER(SEARCH("overheat",C616)),"Overheating of Device",ISNUMBER(SEARCH("excessive heat",C616)),"Overheating of Device",ISNUMBER(SEARCH("hot",C616)),"Overheating of Device",ISNUMBER(SEARCH("noise",C616)),"Noise, Audible",ISNUMBER(SEARCH("sound",C616)),"Noise, Audible",ISNUMBER(SEARCH("loud",C616)),"Noise, Audible",ISNUMBER(SEARCH("fray",C616)),"Material Frayed",ISNUMBER(SEARCH("hole",C616)),"Material Frayed",ISNUMBER(SEARCH("tear",C616)),"Material Frayed",ISNUMBER(SEARCH("worn",C616)),"Material Frayed",ISNUMBER(SEARCH("intermittent",C616)),"Difficult or Delayed Activation",ISNUMBER(SEARCH("delay",C616)),"Difficult or Delayed Activation",ISNUMBER(SEARCH("label",C616)),"Device Markings/Labelling Problem",ISNUMBER(SEARCH("marking",C616)),"Device Markings/Labelling Problem",ISNUMBER(SEARCH("lacerat",C616)),"Defective Device",ISNUMBER(SEARCH("cut",C616)),"Defective Device",ISNUMBER(SEARCH("leak",C616)),"Fluid/Blood Leak",ISNUMBER(SEARCH("missing",C616)),"Component Missing",ISNUMBER(SEARCH("power",C616)),"Complete Loss of Power",ISNUMBER(SEARCH("will not turn on",C616)),"Complete Loss of Power",ISNUMBER(SEARCH("won't turn on",C616)),"Complete Loss of Power",ISNUMBER(SEARCH("does not turn on",C616)),"Complete Loss of Power",ISNUMBER(SEARCH("electrical",C616)),"Electrical Power Problem",ISNUMBER(SEARCH("pressure",C616)),"Detachment of Device or Device Component",ISNUMBER(SEARCH("slip",C616)),"Detachment of Device or Device Component",ISNUMBER(SEARCH("detach",C616)),"Detachment of Device or Device Component",ISNUMBER(SEARCH("stick",C616)),"Mechanical Jam",ISNUMBER(SEARCH("jam",C616)),"Mechanical Jam",ISNUMBER(SEARCH("rigid",C616)),"Mechanical Jam",ISNUMBER(SEARCH("rust",C616)),"Corroded",ISNUMBER(SEARCH("corrod",C616)),"Corroded",ISNUMBER(SEARCH("corrosion",C616)),"Corroded",ISNUMBER(SEARCH("alignment",C616)),"Defective Device",ISNUMBER(SEARCH("adjust",C616)),"Defective Device",ISNUMBER(SEARCH("perform",C616)),"Defective Device",ISNUMBER(SEARCH("malfunction",C616)),"Defective Device",ISNUMBER(SEARCH("defect",C616)),"Defective Device",ISNUMBER(SEARCH("fail",C616)),"Defective Device",ISNUMBER(SEARCH("not work",C616)),"Defective Device",ISNUMBER(SEARCH("doesn't work",C616)),"Defective Device",TRUE,"UNKNOWN"),"UNKNOWN")))</f>
        <v/>
      </c>
      <c r="F616" s="4" t="str">
        <f t="shared" si="9"/>
        <v/>
      </c>
      <c r="G616" s="363" t="str">
        <f>IF(E616="","",IFERROR(VLOOKUP(E616,Codes!$L$2:$N$409,3,FALSE),"—"))</f>
        <v/>
      </c>
      <c r="H616" s="88"/>
      <c r="I616" s="88"/>
    </row>
    <row r="617" spans="1:9" ht="13.15" x14ac:dyDescent="0.35">
      <c r="A617" s="435"/>
      <c r="B617" s="436"/>
      <c r="C617" s="438"/>
      <c r="D617" s="435"/>
      <c r="E617" s="93" t="str" cm="1">
        <f t="array" ref="E617">IF(D617&lt;&gt;"",IFERROR(VLOOKUP(D617,Codes!$K$2:$L$409,2,FALSE),"UNKNOWN - "&amp;D617),IF(C617="","",IFERROR(_xlfn.IFS(ISNUMBER(SEARCH("broken button",C617)),"Break",ISNUMBER(SEARCH("broken handle",C617)),"Break",ISNUMBER(SEARCH("shipping damage",C617)),"Break",ISNUMBER(SEARCH("broken",C617)),"Break",ISNUMBER(SEARCH("crack",C617)),"Break",ISNUMBER(SEARCH("snap",C617)),"Break",ISNUMBER(SEARCH("fracture",C617)),"Break",ISNUMBER(SEARCH("bent",C617)),"Material Twisted/Bent",ISNUMBER(SEARCH("twisted",C617)),"Material Twisted/Bent",ISNUMBER(SEARCH("component separat",C617)),"Material Separation",ISNUMBER(SEARCH("separat",C617)),"Material Separation",ISNUMBER(SEARCH("connection",C617)),"Loose or Intermittent Connection",ISNUMBER(SEARCH("loose",C617)),"Loose or Intermittent Connection",ISNUMBER(SEARCH("damaged packaging",C617)),"Packaging Problem",ISNUMBER(SEARCH("packaging",C617)),"Packaging Problem",ISNUMBER(SEARCH("discoloration",C617)),"Contamination",ISNUMBER(SEARCH("tarnish",C617)),"Contamination",ISNUMBER(SEARCH("stain",C617)),"Contamination",ISNUMBER(SEARCH("foreign material",C617)),"Contamination",ISNUMBER(SEARCH("contamina",C617)),"Contamination",ISNUMBER(SEARCH("overheat",C617)),"Overheating of Device",ISNUMBER(SEARCH("excessive heat",C617)),"Overheating of Device",ISNUMBER(SEARCH("hot",C617)),"Overheating of Device",ISNUMBER(SEARCH("noise",C617)),"Noise, Audible",ISNUMBER(SEARCH("sound",C617)),"Noise, Audible",ISNUMBER(SEARCH("loud",C617)),"Noise, Audible",ISNUMBER(SEARCH("fray",C617)),"Material Frayed",ISNUMBER(SEARCH("hole",C617)),"Material Frayed",ISNUMBER(SEARCH("tear",C617)),"Material Frayed",ISNUMBER(SEARCH("worn",C617)),"Material Frayed",ISNUMBER(SEARCH("intermittent",C617)),"Difficult or Delayed Activation",ISNUMBER(SEARCH("delay",C617)),"Difficult or Delayed Activation",ISNUMBER(SEARCH("label",C617)),"Device Markings/Labelling Problem",ISNUMBER(SEARCH("marking",C617)),"Device Markings/Labelling Problem",ISNUMBER(SEARCH("lacerat",C617)),"Defective Device",ISNUMBER(SEARCH("cut",C617)),"Defective Device",ISNUMBER(SEARCH("leak",C617)),"Fluid/Blood Leak",ISNUMBER(SEARCH("missing",C617)),"Component Missing",ISNUMBER(SEARCH("power",C617)),"Complete Loss of Power",ISNUMBER(SEARCH("will not turn on",C617)),"Complete Loss of Power",ISNUMBER(SEARCH("won't turn on",C617)),"Complete Loss of Power",ISNUMBER(SEARCH("does not turn on",C617)),"Complete Loss of Power",ISNUMBER(SEARCH("electrical",C617)),"Electrical Power Problem",ISNUMBER(SEARCH("pressure",C617)),"Detachment of Device or Device Component",ISNUMBER(SEARCH("slip",C617)),"Detachment of Device or Device Component",ISNUMBER(SEARCH("detach",C617)),"Detachment of Device or Device Component",ISNUMBER(SEARCH("stick",C617)),"Mechanical Jam",ISNUMBER(SEARCH("jam",C617)),"Mechanical Jam",ISNUMBER(SEARCH("rigid",C617)),"Mechanical Jam",ISNUMBER(SEARCH("rust",C617)),"Corroded",ISNUMBER(SEARCH("corrod",C617)),"Corroded",ISNUMBER(SEARCH("corrosion",C617)),"Corroded",ISNUMBER(SEARCH("alignment",C617)),"Defective Device",ISNUMBER(SEARCH("adjust",C617)),"Defective Device",ISNUMBER(SEARCH("perform",C617)),"Defective Device",ISNUMBER(SEARCH("malfunction",C617)),"Defective Device",ISNUMBER(SEARCH("defect",C617)),"Defective Device",ISNUMBER(SEARCH("fail",C617)),"Defective Device",ISNUMBER(SEARCH("not work",C617)),"Defective Device",ISNUMBER(SEARCH("doesn't work",C617)),"Defective Device",TRUE,"UNKNOWN"),"UNKNOWN")))</f>
        <v/>
      </c>
      <c r="F617" s="4" t="str">
        <f t="shared" si="9"/>
        <v/>
      </c>
      <c r="G617" s="363" t="str">
        <f>IF(E617="","",IFERROR(VLOOKUP(E617,Codes!$L$2:$N$409,3,FALSE),"—"))</f>
        <v/>
      </c>
      <c r="H617" s="88"/>
      <c r="I617" s="88"/>
    </row>
    <row r="618" spans="1:9" ht="13.15" x14ac:dyDescent="0.35">
      <c r="A618" s="434"/>
      <c r="B618" s="436"/>
      <c r="C618" s="437"/>
      <c r="D618" s="434"/>
      <c r="E618" s="93" t="str" cm="1">
        <f t="array" ref="E618">IF(D618&lt;&gt;"",IFERROR(VLOOKUP(D618,Codes!$K$2:$L$409,2,FALSE),"UNKNOWN - "&amp;D618),IF(C618="","",IFERROR(_xlfn.IFS(ISNUMBER(SEARCH("broken button",C618)),"Break",ISNUMBER(SEARCH("broken handle",C618)),"Break",ISNUMBER(SEARCH("shipping damage",C618)),"Break",ISNUMBER(SEARCH("broken",C618)),"Break",ISNUMBER(SEARCH("crack",C618)),"Break",ISNUMBER(SEARCH("snap",C618)),"Break",ISNUMBER(SEARCH("fracture",C618)),"Break",ISNUMBER(SEARCH("bent",C618)),"Material Twisted/Bent",ISNUMBER(SEARCH("twisted",C618)),"Material Twisted/Bent",ISNUMBER(SEARCH("component separat",C618)),"Material Separation",ISNUMBER(SEARCH("separat",C618)),"Material Separation",ISNUMBER(SEARCH("connection",C618)),"Loose or Intermittent Connection",ISNUMBER(SEARCH("loose",C618)),"Loose or Intermittent Connection",ISNUMBER(SEARCH("damaged packaging",C618)),"Packaging Problem",ISNUMBER(SEARCH("packaging",C618)),"Packaging Problem",ISNUMBER(SEARCH("discoloration",C618)),"Contamination",ISNUMBER(SEARCH("tarnish",C618)),"Contamination",ISNUMBER(SEARCH("stain",C618)),"Contamination",ISNUMBER(SEARCH("foreign material",C618)),"Contamination",ISNUMBER(SEARCH("contamina",C618)),"Contamination",ISNUMBER(SEARCH("overheat",C618)),"Overheating of Device",ISNUMBER(SEARCH("excessive heat",C618)),"Overheating of Device",ISNUMBER(SEARCH("hot",C618)),"Overheating of Device",ISNUMBER(SEARCH("noise",C618)),"Noise, Audible",ISNUMBER(SEARCH("sound",C618)),"Noise, Audible",ISNUMBER(SEARCH("loud",C618)),"Noise, Audible",ISNUMBER(SEARCH("fray",C618)),"Material Frayed",ISNUMBER(SEARCH("hole",C618)),"Material Frayed",ISNUMBER(SEARCH("tear",C618)),"Material Frayed",ISNUMBER(SEARCH("worn",C618)),"Material Frayed",ISNUMBER(SEARCH("intermittent",C618)),"Difficult or Delayed Activation",ISNUMBER(SEARCH("delay",C618)),"Difficult or Delayed Activation",ISNUMBER(SEARCH("label",C618)),"Device Markings/Labelling Problem",ISNUMBER(SEARCH("marking",C618)),"Device Markings/Labelling Problem",ISNUMBER(SEARCH("lacerat",C618)),"Defective Device",ISNUMBER(SEARCH("cut",C618)),"Defective Device",ISNUMBER(SEARCH("leak",C618)),"Fluid/Blood Leak",ISNUMBER(SEARCH("missing",C618)),"Component Missing",ISNUMBER(SEARCH("power",C618)),"Complete Loss of Power",ISNUMBER(SEARCH("will not turn on",C618)),"Complete Loss of Power",ISNUMBER(SEARCH("won't turn on",C618)),"Complete Loss of Power",ISNUMBER(SEARCH("does not turn on",C618)),"Complete Loss of Power",ISNUMBER(SEARCH("electrical",C618)),"Electrical Power Problem",ISNUMBER(SEARCH("pressure",C618)),"Detachment of Device or Device Component",ISNUMBER(SEARCH("slip",C618)),"Detachment of Device or Device Component",ISNUMBER(SEARCH("detach",C618)),"Detachment of Device or Device Component",ISNUMBER(SEARCH("stick",C618)),"Mechanical Jam",ISNUMBER(SEARCH("jam",C618)),"Mechanical Jam",ISNUMBER(SEARCH("rigid",C618)),"Mechanical Jam",ISNUMBER(SEARCH("rust",C618)),"Corroded",ISNUMBER(SEARCH("corrod",C618)),"Corroded",ISNUMBER(SEARCH("corrosion",C618)),"Corroded",ISNUMBER(SEARCH("alignment",C618)),"Defective Device",ISNUMBER(SEARCH("adjust",C618)),"Defective Device",ISNUMBER(SEARCH("perform",C618)),"Defective Device",ISNUMBER(SEARCH("malfunction",C618)),"Defective Device",ISNUMBER(SEARCH("defect",C618)),"Defective Device",ISNUMBER(SEARCH("fail",C618)),"Defective Device",ISNUMBER(SEARCH("not work",C618)),"Defective Device",ISNUMBER(SEARCH("doesn't work",C618)),"Defective Device",TRUE,"UNKNOWN"),"UNKNOWN")))</f>
        <v/>
      </c>
      <c r="F618" s="4" t="str">
        <f t="shared" si="9"/>
        <v/>
      </c>
      <c r="G618" s="363" t="str">
        <f>IF(E618="","",IFERROR(VLOOKUP(E618,Codes!$L$2:$N$409,3,FALSE),"—"))</f>
        <v/>
      </c>
      <c r="H618" s="88"/>
      <c r="I618" s="88"/>
    </row>
    <row r="619" spans="1:9" ht="13.15" x14ac:dyDescent="0.35">
      <c r="A619" s="435"/>
      <c r="B619" s="436"/>
      <c r="C619" s="438"/>
      <c r="D619" s="435"/>
      <c r="E619" s="93" t="str" cm="1">
        <f t="array" ref="E619">IF(D619&lt;&gt;"",IFERROR(VLOOKUP(D619,Codes!$K$2:$L$409,2,FALSE),"UNKNOWN - "&amp;D619),IF(C619="","",IFERROR(_xlfn.IFS(ISNUMBER(SEARCH("broken button",C619)),"Break",ISNUMBER(SEARCH("broken handle",C619)),"Break",ISNUMBER(SEARCH("shipping damage",C619)),"Break",ISNUMBER(SEARCH("broken",C619)),"Break",ISNUMBER(SEARCH("crack",C619)),"Break",ISNUMBER(SEARCH("snap",C619)),"Break",ISNUMBER(SEARCH("fracture",C619)),"Break",ISNUMBER(SEARCH("bent",C619)),"Material Twisted/Bent",ISNUMBER(SEARCH("twisted",C619)),"Material Twisted/Bent",ISNUMBER(SEARCH("component separat",C619)),"Material Separation",ISNUMBER(SEARCH("separat",C619)),"Material Separation",ISNUMBER(SEARCH("connection",C619)),"Loose or Intermittent Connection",ISNUMBER(SEARCH("loose",C619)),"Loose or Intermittent Connection",ISNUMBER(SEARCH("damaged packaging",C619)),"Packaging Problem",ISNUMBER(SEARCH("packaging",C619)),"Packaging Problem",ISNUMBER(SEARCH("discoloration",C619)),"Contamination",ISNUMBER(SEARCH("tarnish",C619)),"Contamination",ISNUMBER(SEARCH("stain",C619)),"Contamination",ISNUMBER(SEARCH("foreign material",C619)),"Contamination",ISNUMBER(SEARCH("contamina",C619)),"Contamination",ISNUMBER(SEARCH("overheat",C619)),"Overheating of Device",ISNUMBER(SEARCH("excessive heat",C619)),"Overheating of Device",ISNUMBER(SEARCH("hot",C619)),"Overheating of Device",ISNUMBER(SEARCH("noise",C619)),"Noise, Audible",ISNUMBER(SEARCH("sound",C619)),"Noise, Audible",ISNUMBER(SEARCH("loud",C619)),"Noise, Audible",ISNUMBER(SEARCH("fray",C619)),"Material Frayed",ISNUMBER(SEARCH("hole",C619)),"Material Frayed",ISNUMBER(SEARCH("tear",C619)),"Material Frayed",ISNUMBER(SEARCH("worn",C619)),"Material Frayed",ISNUMBER(SEARCH("intermittent",C619)),"Difficult or Delayed Activation",ISNUMBER(SEARCH("delay",C619)),"Difficult or Delayed Activation",ISNUMBER(SEARCH("label",C619)),"Device Markings/Labelling Problem",ISNUMBER(SEARCH("marking",C619)),"Device Markings/Labelling Problem",ISNUMBER(SEARCH("lacerat",C619)),"Defective Device",ISNUMBER(SEARCH("cut",C619)),"Defective Device",ISNUMBER(SEARCH("leak",C619)),"Fluid/Blood Leak",ISNUMBER(SEARCH("missing",C619)),"Component Missing",ISNUMBER(SEARCH("power",C619)),"Complete Loss of Power",ISNUMBER(SEARCH("will not turn on",C619)),"Complete Loss of Power",ISNUMBER(SEARCH("won't turn on",C619)),"Complete Loss of Power",ISNUMBER(SEARCH("does not turn on",C619)),"Complete Loss of Power",ISNUMBER(SEARCH("electrical",C619)),"Electrical Power Problem",ISNUMBER(SEARCH("pressure",C619)),"Detachment of Device or Device Component",ISNUMBER(SEARCH("slip",C619)),"Detachment of Device or Device Component",ISNUMBER(SEARCH("detach",C619)),"Detachment of Device or Device Component",ISNUMBER(SEARCH("stick",C619)),"Mechanical Jam",ISNUMBER(SEARCH("jam",C619)),"Mechanical Jam",ISNUMBER(SEARCH("rigid",C619)),"Mechanical Jam",ISNUMBER(SEARCH("rust",C619)),"Corroded",ISNUMBER(SEARCH("corrod",C619)),"Corroded",ISNUMBER(SEARCH("corrosion",C619)),"Corroded",ISNUMBER(SEARCH("alignment",C619)),"Defective Device",ISNUMBER(SEARCH("adjust",C619)),"Defective Device",ISNUMBER(SEARCH("perform",C619)),"Defective Device",ISNUMBER(SEARCH("malfunction",C619)),"Defective Device",ISNUMBER(SEARCH("defect",C619)),"Defective Device",ISNUMBER(SEARCH("fail",C619)),"Defective Device",ISNUMBER(SEARCH("not work",C619)),"Defective Device",ISNUMBER(SEARCH("doesn't work",C619)),"Defective Device",TRUE,"UNKNOWN"),"UNKNOWN")))</f>
        <v/>
      </c>
      <c r="F619" s="4" t="str">
        <f t="shared" si="9"/>
        <v/>
      </c>
      <c r="G619" s="363" t="str">
        <f>IF(E619="","",IFERROR(VLOOKUP(E619,Codes!$L$2:$N$409,3,FALSE),"—"))</f>
        <v/>
      </c>
      <c r="H619" s="88"/>
      <c r="I619" s="88"/>
    </row>
    <row r="620" spans="1:9" ht="13.15" x14ac:dyDescent="0.35">
      <c r="A620" s="435"/>
      <c r="B620" s="436"/>
      <c r="C620" s="438"/>
      <c r="D620" s="435"/>
      <c r="E620" s="93" t="str" cm="1">
        <f t="array" ref="E620">IF(D620&lt;&gt;"",IFERROR(VLOOKUP(D620,Codes!$K$2:$L$409,2,FALSE),"UNKNOWN - "&amp;D620),IF(C620="","",IFERROR(_xlfn.IFS(ISNUMBER(SEARCH("broken button",C620)),"Break",ISNUMBER(SEARCH("broken handle",C620)),"Break",ISNUMBER(SEARCH("shipping damage",C620)),"Break",ISNUMBER(SEARCH("broken",C620)),"Break",ISNUMBER(SEARCH("crack",C620)),"Break",ISNUMBER(SEARCH("snap",C620)),"Break",ISNUMBER(SEARCH("fracture",C620)),"Break",ISNUMBER(SEARCH("bent",C620)),"Material Twisted/Bent",ISNUMBER(SEARCH("twisted",C620)),"Material Twisted/Bent",ISNUMBER(SEARCH("component separat",C620)),"Material Separation",ISNUMBER(SEARCH("separat",C620)),"Material Separation",ISNUMBER(SEARCH("connection",C620)),"Loose or Intermittent Connection",ISNUMBER(SEARCH("loose",C620)),"Loose or Intermittent Connection",ISNUMBER(SEARCH("damaged packaging",C620)),"Packaging Problem",ISNUMBER(SEARCH("packaging",C620)),"Packaging Problem",ISNUMBER(SEARCH("discoloration",C620)),"Contamination",ISNUMBER(SEARCH("tarnish",C620)),"Contamination",ISNUMBER(SEARCH("stain",C620)),"Contamination",ISNUMBER(SEARCH("foreign material",C620)),"Contamination",ISNUMBER(SEARCH("contamina",C620)),"Contamination",ISNUMBER(SEARCH("overheat",C620)),"Overheating of Device",ISNUMBER(SEARCH("excessive heat",C620)),"Overheating of Device",ISNUMBER(SEARCH("hot",C620)),"Overheating of Device",ISNUMBER(SEARCH("noise",C620)),"Noise, Audible",ISNUMBER(SEARCH("sound",C620)),"Noise, Audible",ISNUMBER(SEARCH("loud",C620)),"Noise, Audible",ISNUMBER(SEARCH("fray",C620)),"Material Frayed",ISNUMBER(SEARCH("hole",C620)),"Material Frayed",ISNUMBER(SEARCH("tear",C620)),"Material Frayed",ISNUMBER(SEARCH("worn",C620)),"Material Frayed",ISNUMBER(SEARCH("intermittent",C620)),"Difficult or Delayed Activation",ISNUMBER(SEARCH("delay",C620)),"Difficult or Delayed Activation",ISNUMBER(SEARCH("label",C620)),"Device Markings/Labelling Problem",ISNUMBER(SEARCH("marking",C620)),"Device Markings/Labelling Problem",ISNUMBER(SEARCH("lacerat",C620)),"Defective Device",ISNUMBER(SEARCH("cut",C620)),"Defective Device",ISNUMBER(SEARCH("leak",C620)),"Fluid/Blood Leak",ISNUMBER(SEARCH("missing",C620)),"Component Missing",ISNUMBER(SEARCH("power",C620)),"Complete Loss of Power",ISNUMBER(SEARCH("will not turn on",C620)),"Complete Loss of Power",ISNUMBER(SEARCH("won't turn on",C620)),"Complete Loss of Power",ISNUMBER(SEARCH("does not turn on",C620)),"Complete Loss of Power",ISNUMBER(SEARCH("electrical",C620)),"Electrical Power Problem",ISNUMBER(SEARCH("pressure",C620)),"Detachment of Device or Device Component",ISNUMBER(SEARCH("slip",C620)),"Detachment of Device or Device Component",ISNUMBER(SEARCH("detach",C620)),"Detachment of Device or Device Component",ISNUMBER(SEARCH("stick",C620)),"Mechanical Jam",ISNUMBER(SEARCH("jam",C620)),"Mechanical Jam",ISNUMBER(SEARCH("rigid",C620)),"Mechanical Jam",ISNUMBER(SEARCH("rust",C620)),"Corroded",ISNUMBER(SEARCH("corrod",C620)),"Corroded",ISNUMBER(SEARCH("corrosion",C620)),"Corroded",ISNUMBER(SEARCH("alignment",C620)),"Defective Device",ISNUMBER(SEARCH("adjust",C620)),"Defective Device",ISNUMBER(SEARCH("perform",C620)),"Defective Device",ISNUMBER(SEARCH("malfunction",C620)),"Defective Device",ISNUMBER(SEARCH("defect",C620)),"Defective Device",ISNUMBER(SEARCH("fail",C620)),"Defective Device",ISNUMBER(SEARCH("not work",C620)),"Defective Device",ISNUMBER(SEARCH("doesn't work",C620)),"Defective Device",TRUE,"UNKNOWN"),"UNKNOWN")))</f>
        <v/>
      </c>
      <c r="F620" s="4" t="str">
        <f t="shared" si="9"/>
        <v/>
      </c>
      <c r="G620" s="363" t="str">
        <f>IF(E620="","",IFERROR(VLOOKUP(E620,Codes!$L$2:$N$409,3,FALSE),"—"))</f>
        <v/>
      </c>
      <c r="H620" s="88"/>
      <c r="I620" s="88"/>
    </row>
    <row r="621" spans="1:9" ht="13.15" x14ac:dyDescent="0.35">
      <c r="A621" s="435"/>
      <c r="B621" s="436"/>
      <c r="C621" s="438"/>
      <c r="D621" s="435"/>
      <c r="E621" s="93" t="str" cm="1">
        <f t="array" ref="E621">IF(D621&lt;&gt;"",IFERROR(VLOOKUP(D621,Codes!$K$2:$L$409,2,FALSE),"UNKNOWN - "&amp;D621),IF(C621="","",IFERROR(_xlfn.IFS(ISNUMBER(SEARCH("broken button",C621)),"Break",ISNUMBER(SEARCH("broken handle",C621)),"Break",ISNUMBER(SEARCH("shipping damage",C621)),"Break",ISNUMBER(SEARCH("broken",C621)),"Break",ISNUMBER(SEARCH("crack",C621)),"Break",ISNUMBER(SEARCH("snap",C621)),"Break",ISNUMBER(SEARCH("fracture",C621)),"Break",ISNUMBER(SEARCH("bent",C621)),"Material Twisted/Bent",ISNUMBER(SEARCH("twisted",C621)),"Material Twisted/Bent",ISNUMBER(SEARCH("component separat",C621)),"Material Separation",ISNUMBER(SEARCH("separat",C621)),"Material Separation",ISNUMBER(SEARCH("connection",C621)),"Loose or Intermittent Connection",ISNUMBER(SEARCH("loose",C621)),"Loose or Intermittent Connection",ISNUMBER(SEARCH("damaged packaging",C621)),"Packaging Problem",ISNUMBER(SEARCH("packaging",C621)),"Packaging Problem",ISNUMBER(SEARCH("discoloration",C621)),"Contamination",ISNUMBER(SEARCH("tarnish",C621)),"Contamination",ISNUMBER(SEARCH("stain",C621)),"Contamination",ISNUMBER(SEARCH("foreign material",C621)),"Contamination",ISNUMBER(SEARCH("contamina",C621)),"Contamination",ISNUMBER(SEARCH("overheat",C621)),"Overheating of Device",ISNUMBER(SEARCH("excessive heat",C621)),"Overheating of Device",ISNUMBER(SEARCH("hot",C621)),"Overheating of Device",ISNUMBER(SEARCH("noise",C621)),"Noise, Audible",ISNUMBER(SEARCH("sound",C621)),"Noise, Audible",ISNUMBER(SEARCH("loud",C621)),"Noise, Audible",ISNUMBER(SEARCH("fray",C621)),"Material Frayed",ISNUMBER(SEARCH("hole",C621)),"Material Frayed",ISNUMBER(SEARCH("tear",C621)),"Material Frayed",ISNUMBER(SEARCH("worn",C621)),"Material Frayed",ISNUMBER(SEARCH("intermittent",C621)),"Difficult or Delayed Activation",ISNUMBER(SEARCH("delay",C621)),"Difficult or Delayed Activation",ISNUMBER(SEARCH("label",C621)),"Device Markings/Labelling Problem",ISNUMBER(SEARCH("marking",C621)),"Device Markings/Labelling Problem",ISNUMBER(SEARCH("lacerat",C621)),"Defective Device",ISNUMBER(SEARCH("cut",C621)),"Defective Device",ISNUMBER(SEARCH("leak",C621)),"Fluid/Blood Leak",ISNUMBER(SEARCH("missing",C621)),"Component Missing",ISNUMBER(SEARCH("power",C621)),"Complete Loss of Power",ISNUMBER(SEARCH("will not turn on",C621)),"Complete Loss of Power",ISNUMBER(SEARCH("won't turn on",C621)),"Complete Loss of Power",ISNUMBER(SEARCH("does not turn on",C621)),"Complete Loss of Power",ISNUMBER(SEARCH("electrical",C621)),"Electrical Power Problem",ISNUMBER(SEARCH("pressure",C621)),"Detachment of Device or Device Component",ISNUMBER(SEARCH("slip",C621)),"Detachment of Device or Device Component",ISNUMBER(SEARCH("detach",C621)),"Detachment of Device or Device Component",ISNUMBER(SEARCH("stick",C621)),"Mechanical Jam",ISNUMBER(SEARCH("jam",C621)),"Mechanical Jam",ISNUMBER(SEARCH("rigid",C621)),"Mechanical Jam",ISNUMBER(SEARCH("rust",C621)),"Corroded",ISNUMBER(SEARCH("corrod",C621)),"Corroded",ISNUMBER(SEARCH("corrosion",C621)),"Corroded",ISNUMBER(SEARCH("alignment",C621)),"Defective Device",ISNUMBER(SEARCH("adjust",C621)),"Defective Device",ISNUMBER(SEARCH("perform",C621)),"Defective Device",ISNUMBER(SEARCH("malfunction",C621)),"Defective Device",ISNUMBER(SEARCH("defect",C621)),"Defective Device",ISNUMBER(SEARCH("fail",C621)),"Defective Device",ISNUMBER(SEARCH("not work",C621)),"Defective Device",ISNUMBER(SEARCH("doesn't work",C621)),"Defective Device",TRUE,"UNKNOWN"),"UNKNOWN")))</f>
        <v/>
      </c>
      <c r="F621" s="4" t="str">
        <f t="shared" si="9"/>
        <v/>
      </c>
      <c r="G621" s="363" t="str">
        <f>IF(E621="","",IFERROR(VLOOKUP(E621,Codes!$L$2:$N$409,3,FALSE),"—"))</f>
        <v/>
      </c>
      <c r="H621" s="88"/>
      <c r="I621" s="88"/>
    </row>
    <row r="622" spans="1:9" ht="13.15" x14ac:dyDescent="0.35">
      <c r="A622" s="435"/>
      <c r="B622" s="436"/>
      <c r="C622" s="438"/>
      <c r="D622" s="435"/>
      <c r="E622" s="93" t="str" cm="1">
        <f t="array" ref="E622">IF(D622&lt;&gt;"",IFERROR(VLOOKUP(D622,Codes!$K$2:$L$409,2,FALSE),"UNKNOWN - "&amp;D622),IF(C622="","",IFERROR(_xlfn.IFS(ISNUMBER(SEARCH("broken button",C622)),"Break",ISNUMBER(SEARCH("broken handle",C622)),"Break",ISNUMBER(SEARCH("shipping damage",C622)),"Break",ISNUMBER(SEARCH("broken",C622)),"Break",ISNUMBER(SEARCH("crack",C622)),"Break",ISNUMBER(SEARCH("snap",C622)),"Break",ISNUMBER(SEARCH("fracture",C622)),"Break",ISNUMBER(SEARCH("bent",C622)),"Material Twisted/Bent",ISNUMBER(SEARCH("twisted",C622)),"Material Twisted/Bent",ISNUMBER(SEARCH("component separat",C622)),"Material Separation",ISNUMBER(SEARCH("separat",C622)),"Material Separation",ISNUMBER(SEARCH("connection",C622)),"Loose or Intermittent Connection",ISNUMBER(SEARCH("loose",C622)),"Loose or Intermittent Connection",ISNUMBER(SEARCH("damaged packaging",C622)),"Packaging Problem",ISNUMBER(SEARCH("packaging",C622)),"Packaging Problem",ISNUMBER(SEARCH("discoloration",C622)),"Contamination",ISNUMBER(SEARCH("tarnish",C622)),"Contamination",ISNUMBER(SEARCH("stain",C622)),"Contamination",ISNUMBER(SEARCH("foreign material",C622)),"Contamination",ISNUMBER(SEARCH("contamina",C622)),"Contamination",ISNUMBER(SEARCH("overheat",C622)),"Overheating of Device",ISNUMBER(SEARCH("excessive heat",C622)),"Overheating of Device",ISNUMBER(SEARCH("hot",C622)),"Overheating of Device",ISNUMBER(SEARCH("noise",C622)),"Noise, Audible",ISNUMBER(SEARCH("sound",C622)),"Noise, Audible",ISNUMBER(SEARCH("loud",C622)),"Noise, Audible",ISNUMBER(SEARCH("fray",C622)),"Material Frayed",ISNUMBER(SEARCH("hole",C622)),"Material Frayed",ISNUMBER(SEARCH("tear",C622)),"Material Frayed",ISNUMBER(SEARCH("worn",C622)),"Material Frayed",ISNUMBER(SEARCH("intermittent",C622)),"Difficult or Delayed Activation",ISNUMBER(SEARCH("delay",C622)),"Difficult or Delayed Activation",ISNUMBER(SEARCH("label",C622)),"Device Markings/Labelling Problem",ISNUMBER(SEARCH("marking",C622)),"Device Markings/Labelling Problem",ISNUMBER(SEARCH("lacerat",C622)),"Defective Device",ISNUMBER(SEARCH("cut",C622)),"Defective Device",ISNUMBER(SEARCH("leak",C622)),"Fluid/Blood Leak",ISNUMBER(SEARCH("missing",C622)),"Component Missing",ISNUMBER(SEARCH("power",C622)),"Complete Loss of Power",ISNUMBER(SEARCH("will not turn on",C622)),"Complete Loss of Power",ISNUMBER(SEARCH("won't turn on",C622)),"Complete Loss of Power",ISNUMBER(SEARCH("does not turn on",C622)),"Complete Loss of Power",ISNUMBER(SEARCH("electrical",C622)),"Electrical Power Problem",ISNUMBER(SEARCH("pressure",C622)),"Detachment of Device or Device Component",ISNUMBER(SEARCH("slip",C622)),"Detachment of Device or Device Component",ISNUMBER(SEARCH("detach",C622)),"Detachment of Device or Device Component",ISNUMBER(SEARCH("stick",C622)),"Mechanical Jam",ISNUMBER(SEARCH("jam",C622)),"Mechanical Jam",ISNUMBER(SEARCH("rigid",C622)),"Mechanical Jam",ISNUMBER(SEARCH("rust",C622)),"Corroded",ISNUMBER(SEARCH("corrod",C622)),"Corroded",ISNUMBER(SEARCH("corrosion",C622)),"Corroded",ISNUMBER(SEARCH("alignment",C622)),"Defective Device",ISNUMBER(SEARCH("adjust",C622)),"Defective Device",ISNUMBER(SEARCH("perform",C622)),"Defective Device",ISNUMBER(SEARCH("malfunction",C622)),"Defective Device",ISNUMBER(SEARCH("defect",C622)),"Defective Device",ISNUMBER(SEARCH("fail",C622)),"Defective Device",ISNUMBER(SEARCH("not work",C622)),"Defective Device",ISNUMBER(SEARCH("doesn't work",C622)),"Defective Device",TRUE,"UNKNOWN"),"UNKNOWN")))</f>
        <v/>
      </c>
      <c r="F622" s="4" t="str">
        <f t="shared" si="9"/>
        <v/>
      </c>
      <c r="G622" s="363" t="str">
        <f>IF(E622="","",IFERROR(VLOOKUP(E622,Codes!$L$2:$N$409,3,FALSE),"—"))</f>
        <v/>
      </c>
      <c r="H622" s="88"/>
      <c r="I622" s="88"/>
    </row>
    <row r="623" spans="1:9" ht="13.15" x14ac:dyDescent="0.35">
      <c r="A623" s="435"/>
      <c r="B623" s="436"/>
      <c r="C623" s="438"/>
      <c r="D623" s="435"/>
      <c r="E623" s="93" t="str" cm="1">
        <f t="array" ref="E623">IF(D623&lt;&gt;"",IFERROR(VLOOKUP(D623,Codes!$K$2:$L$409,2,FALSE),"UNKNOWN - "&amp;D623),IF(C623="","",IFERROR(_xlfn.IFS(ISNUMBER(SEARCH("broken button",C623)),"Break",ISNUMBER(SEARCH("broken handle",C623)),"Break",ISNUMBER(SEARCH("shipping damage",C623)),"Break",ISNUMBER(SEARCH("broken",C623)),"Break",ISNUMBER(SEARCH("crack",C623)),"Break",ISNUMBER(SEARCH("snap",C623)),"Break",ISNUMBER(SEARCH("fracture",C623)),"Break",ISNUMBER(SEARCH("bent",C623)),"Material Twisted/Bent",ISNUMBER(SEARCH("twisted",C623)),"Material Twisted/Bent",ISNUMBER(SEARCH("component separat",C623)),"Material Separation",ISNUMBER(SEARCH("separat",C623)),"Material Separation",ISNUMBER(SEARCH("connection",C623)),"Loose or Intermittent Connection",ISNUMBER(SEARCH("loose",C623)),"Loose or Intermittent Connection",ISNUMBER(SEARCH("damaged packaging",C623)),"Packaging Problem",ISNUMBER(SEARCH("packaging",C623)),"Packaging Problem",ISNUMBER(SEARCH("discoloration",C623)),"Contamination",ISNUMBER(SEARCH("tarnish",C623)),"Contamination",ISNUMBER(SEARCH("stain",C623)),"Contamination",ISNUMBER(SEARCH("foreign material",C623)),"Contamination",ISNUMBER(SEARCH("contamina",C623)),"Contamination",ISNUMBER(SEARCH("overheat",C623)),"Overheating of Device",ISNUMBER(SEARCH("excessive heat",C623)),"Overheating of Device",ISNUMBER(SEARCH("hot",C623)),"Overheating of Device",ISNUMBER(SEARCH("noise",C623)),"Noise, Audible",ISNUMBER(SEARCH("sound",C623)),"Noise, Audible",ISNUMBER(SEARCH("loud",C623)),"Noise, Audible",ISNUMBER(SEARCH("fray",C623)),"Material Frayed",ISNUMBER(SEARCH("hole",C623)),"Material Frayed",ISNUMBER(SEARCH("tear",C623)),"Material Frayed",ISNUMBER(SEARCH("worn",C623)),"Material Frayed",ISNUMBER(SEARCH("intermittent",C623)),"Difficult or Delayed Activation",ISNUMBER(SEARCH("delay",C623)),"Difficult or Delayed Activation",ISNUMBER(SEARCH("label",C623)),"Device Markings/Labelling Problem",ISNUMBER(SEARCH("marking",C623)),"Device Markings/Labelling Problem",ISNUMBER(SEARCH("lacerat",C623)),"Defective Device",ISNUMBER(SEARCH("cut",C623)),"Defective Device",ISNUMBER(SEARCH("leak",C623)),"Fluid/Blood Leak",ISNUMBER(SEARCH("missing",C623)),"Component Missing",ISNUMBER(SEARCH("power",C623)),"Complete Loss of Power",ISNUMBER(SEARCH("will not turn on",C623)),"Complete Loss of Power",ISNUMBER(SEARCH("won't turn on",C623)),"Complete Loss of Power",ISNUMBER(SEARCH("does not turn on",C623)),"Complete Loss of Power",ISNUMBER(SEARCH("electrical",C623)),"Electrical Power Problem",ISNUMBER(SEARCH("pressure",C623)),"Detachment of Device or Device Component",ISNUMBER(SEARCH("slip",C623)),"Detachment of Device or Device Component",ISNUMBER(SEARCH("detach",C623)),"Detachment of Device or Device Component",ISNUMBER(SEARCH("stick",C623)),"Mechanical Jam",ISNUMBER(SEARCH("jam",C623)),"Mechanical Jam",ISNUMBER(SEARCH("rigid",C623)),"Mechanical Jam",ISNUMBER(SEARCH("rust",C623)),"Corroded",ISNUMBER(SEARCH("corrod",C623)),"Corroded",ISNUMBER(SEARCH("corrosion",C623)),"Corroded",ISNUMBER(SEARCH("alignment",C623)),"Defective Device",ISNUMBER(SEARCH("adjust",C623)),"Defective Device",ISNUMBER(SEARCH("perform",C623)),"Defective Device",ISNUMBER(SEARCH("malfunction",C623)),"Defective Device",ISNUMBER(SEARCH("defect",C623)),"Defective Device",ISNUMBER(SEARCH("fail",C623)),"Defective Device",ISNUMBER(SEARCH("not work",C623)),"Defective Device",ISNUMBER(SEARCH("doesn't work",C623)),"Defective Device",TRUE,"UNKNOWN"),"UNKNOWN")))</f>
        <v/>
      </c>
      <c r="F623" s="4" t="str">
        <f t="shared" si="9"/>
        <v/>
      </c>
      <c r="G623" s="363" t="str">
        <f>IF(E623="","",IFERROR(VLOOKUP(E623,Codes!$L$2:$N$409,3,FALSE),"—"))</f>
        <v/>
      </c>
      <c r="H623" s="88"/>
      <c r="I623" s="88"/>
    </row>
    <row r="624" spans="1:9" ht="13.15" x14ac:dyDescent="0.35">
      <c r="A624" s="434"/>
      <c r="B624" s="436"/>
      <c r="C624" s="437"/>
      <c r="D624" s="434"/>
      <c r="E624" s="93" t="str" cm="1">
        <f t="array" ref="E624">IF(D624&lt;&gt;"",IFERROR(VLOOKUP(D624,Codes!$K$2:$L$409,2,FALSE),"UNKNOWN - "&amp;D624),IF(C624="","",IFERROR(_xlfn.IFS(ISNUMBER(SEARCH("broken button",C624)),"Break",ISNUMBER(SEARCH("broken handle",C624)),"Break",ISNUMBER(SEARCH("shipping damage",C624)),"Break",ISNUMBER(SEARCH("broken",C624)),"Break",ISNUMBER(SEARCH("crack",C624)),"Break",ISNUMBER(SEARCH("snap",C624)),"Break",ISNUMBER(SEARCH("fracture",C624)),"Break",ISNUMBER(SEARCH("bent",C624)),"Material Twisted/Bent",ISNUMBER(SEARCH("twisted",C624)),"Material Twisted/Bent",ISNUMBER(SEARCH("component separat",C624)),"Material Separation",ISNUMBER(SEARCH("separat",C624)),"Material Separation",ISNUMBER(SEARCH("connection",C624)),"Loose or Intermittent Connection",ISNUMBER(SEARCH("loose",C624)),"Loose or Intermittent Connection",ISNUMBER(SEARCH("damaged packaging",C624)),"Packaging Problem",ISNUMBER(SEARCH("packaging",C624)),"Packaging Problem",ISNUMBER(SEARCH("discoloration",C624)),"Contamination",ISNUMBER(SEARCH("tarnish",C624)),"Contamination",ISNUMBER(SEARCH("stain",C624)),"Contamination",ISNUMBER(SEARCH("foreign material",C624)),"Contamination",ISNUMBER(SEARCH("contamina",C624)),"Contamination",ISNUMBER(SEARCH("overheat",C624)),"Overheating of Device",ISNUMBER(SEARCH("excessive heat",C624)),"Overheating of Device",ISNUMBER(SEARCH("hot",C624)),"Overheating of Device",ISNUMBER(SEARCH("noise",C624)),"Noise, Audible",ISNUMBER(SEARCH("sound",C624)),"Noise, Audible",ISNUMBER(SEARCH("loud",C624)),"Noise, Audible",ISNUMBER(SEARCH("fray",C624)),"Material Frayed",ISNUMBER(SEARCH("hole",C624)),"Material Frayed",ISNUMBER(SEARCH("tear",C624)),"Material Frayed",ISNUMBER(SEARCH("worn",C624)),"Material Frayed",ISNUMBER(SEARCH("intermittent",C624)),"Difficult or Delayed Activation",ISNUMBER(SEARCH("delay",C624)),"Difficult or Delayed Activation",ISNUMBER(SEARCH("label",C624)),"Device Markings/Labelling Problem",ISNUMBER(SEARCH("marking",C624)),"Device Markings/Labelling Problem",ISNUMBER(SEARCH("lacerat",C624)),"Defective Device",ISNUMBER(SEARCH("cut",C624)),"Defective Device",ISNUMBER(SEARCH("leak",C624)),"Fluid/Blood Leak",ISNUMBER(SEARCH("missing",C624)),"Component Missing",ISNUMBER(SEARCH("power",C624)),"Complete Loss of Power",ISNUMBER(SEARCH("will not turn on",C624)),"Complete Loss of Power",ISNUMBER(SEARCH("won't turn on",C624)),"Complete Loss of Power",ISNUMBER(SEARCH("does not turn on",C624)),"Complete Loss of Power",ISNUMBER(SEARCH("electrical",C624)),"Electrical Power Problem",ISNUMBER(SEARCH("pressure",C624)),"Detachment of Device or Device Component",ISNUMBER(SEARCH("slip",C624)),"Detachment of Device or Device Component",ISNUMBER(SEARCH("detach",C624)),"Detachment of Device or Device Component",ISNUMBER(SEARCH("stick",C624)),"Mechanical Jam",ISNUMBER(SEARCH("jam",C624)),"Mechanical Jam",ISNUMBER(SEARCH("rigid",C624)),"Mechanical Jam",ISNUMBER(SEARCH("rust",C624)),"Corroded",ISNUMBER(SEARCH("corrod",C624)),"Corroded",ISNUMBER(SEARCH("corrosion",C624)),"Corroded",ISNUMBER(SEARCH("alignment",C624)),"Defective Device",ISNUMBER(SEARCH("adjust",C624)),"Defective Device",ISNUMBER(SEARCH("perform",C624)),"Defective Device",ISNUMBER(SEARCH("malfunction",C624)),"Defective Device",ISNUMBER(SEARCH("defect",C624)),"Defective Device",ISNUMBER(SEARCH("fail",C624)),"Defective Device",ISNUMBER(SEARCH("not work",C624)),"Defective Device",ISNUMBER(SEARCH("doesn't work",C624)),"Defective Device",TRUE,"UNKNOWN"),"UNKNOWN")))</f>
        <v/>
      </c>
      <c r="F624" s="4" t="str">
        <f t="shared" si="9"/>
        <v/>
      </c>
      <c r="G624" s="363" t="str">
        <f>IF(E624="","",IFERROR(VLOOKUP(E624,Codes!$L$2:$N$409,3,FALSE),"—"))</f>
        <v/>
      </c>
      <c r="H624" s="88"/>
      <c r="I624" s="88"/>
    </row>
    <row r="625" spans="1:9" ht="13.15" x14ac:dyDescent="0.35">
      <c r="A625" s="435"/>
      <c r="B625" s="436"/>
      <c r="C625" s="438"/>
      <c r="D625" s="435"/>
      <c r="E625" s="93" t="str" cm="1">
        <f t="array" ref="E625">IF(D625&lt;&gt;"",IFERROR(VLOOKUP(D625,Codes!$K$2:$L$409,2,FALSE),"UNKNOWN - "&amp;D625),IF(C625="","",IFERROR(_xlfn.IFS(ISNUMBER(SEARCH("broken button",C625)),"Break",ISNUMBER(SEARCH("broken handle",C625)),"Break",ISNUMBER(SEARCH("shipping damage",C625)),"Break",ISNUMBER(SEARCH("broken",C625)),"Break",ISNUMBER(SEARCH("crack",C625)),"Break",ISNUMBER(SEARCH("snap",C625)),"Break",ISNUMBER(SEARCH("fracture",C625)),"Break",ISNUMBER(SEARCH("bent",C625)),"Material Twisted/Bent",ISNUMBER(SEARCH("twisted",C625)),"Material Twisted/Bent",ISNUMBER(SEARCH("component separat",C625)),"Material Separation",ISNUMBER(SEARCH("separat",C625)),"Material Separation",ISNUMBER(SEARCH("connection",C625)),"Loose or Intermittent Connection",ISNUMBER(SEARCH("loose",C625)),"Loose or Intermittent Connection",ISNUMBER(SEARCH("damaged packaging",C625)),"Packaging Problem",ISNUMBER(SEARCH("packaging",C625)),"Packaging Problem",ISNUMBER(SEARCH("discoloration",C625)),"Contamination",ISNUMBER(SEARCH("tarnish",C625)),"Contamination",ISNUMBER(SEARCH("stain",C625)),"Contamination",ISNUMBER(SEARCH("foreign material",C625)),"Contamination",ISNUMBER(SEARCH("contamina",C625)),"Contamination",ISNUMBER(SEARCH("overheat",C625)),"Overheating of Device",ISNUMBER(SEARCH("excessive heat",C625)),"Overheating of Device",ISNUMBER(SEARCH("hot",C625)),"Overheating of Device",ISNUMBER(SEARCH("noise",C625)),"Noise, Audible",ISNUMBER(SEARCH("sound",C625)),"Noise, Audible",ISNUMBER(SEARCH("loud",C625)),"Noise, Audible",ISNUMBER(SEARCH("fray",C625)),"Material Frayed",ISNUMBER(SEARCH("hole",C625)),"Material Frayed",ISNUMBER(SEARCH("tear",C625)),"Material Frayed",ISNUMBER(SEARCH("worn",C625)),"Material Frayed",ISNUMBER(SEARCH("intermittent",C625)),"Difficult or Delayed Activation",ISNUMBER(SEARCH("delay",C625)),"Difficult or Delayed Activation",ISNUMBER(SEARCH("label",C625)),"Device Markings/Labelling Problem",ISNUMBER(SEARCH("marking",C625)),"Device Markings/Labelling Problem",ISNUMBER(SEARCH("lacerat",C625)),"Defective Device",ISNUMBER(SEARCH("cut",C625)),"Defective Device",ISNUMBER(SEARCH("leak",C625)),"Fluid/Blood Leak",ISNUMBER(SEARCH("missing",C625)),"Component Missing",ISNUMBER(SEARCH("power",C625)),"Complete Loss of Power",ISNUMBER(SEARCH("will not turn on",C625)),"Complete Loss of Power",ISNUMBER(SEARCH("won't turn on",C625)),"Complete Loss of Power",ISNUMBER(SEARCH("does not turn on",C625)),"Complete Loss of Power",ISNUMBER(SEARCH("electrical",C625)),"Electrical Power Problem",ISNUMBER(SEARCH("pressure",C625)),"Detachment of Device or Device Component",ISNUMBER(SEARCH("slip",C625)),"Detachment of Device or Device Component",ISNUMBER(SEARCH("detach",C625)),"Detachment of Device or Device Component",ISNUMBER(SEARCH("stick",C625)),"Mechanical Jam",ISNUMBER(SEARCH("jam",C625)),"Mechanical Jam",ISNUMBER(SEARCH("rigid",C625)),"Mechanical Jam",ISNUMBER(SEARCH("rust",C625)),"Corroded",ISNUMBER(SEARCH("corrod",C625)),"Corroded",ISNUMBER(SEARCH("corrosion",C625)),"Corroded",ISNUMBER(SEARCH("alignment",C625)),"Defective Device",ISNUMBER(SEARCH("adjust",C625)),"Defective Device",ISNUMBER(SEARCH("perform",C625)),"Defective Device",ISNUMBER(SEARCH("malfunction",C625)),"Defective Device",ISNUMBER(SEARCH("defect",C625)),"Defective Device",ISNUMBER(SEARCH("fail",C625)),"Defective Device",ISNUMBER(SEARCH("not work",C625)),"Defective Device",ISNUMBER(SEARCH("doesn't work",C625)),"Defective Device",TRUE,"UNKNOWN"),"UNKNOWN")))</f>
        <v/>
      </c>
      <c r="F625" s="4" t="str">
        <f t="shared" si="9"/>
        <v/>
      </c>
      <c r="G625" s="363" t="str">
        <f>IF(E625="","",IFERROR(VLOOKUP(E625,Codes!$L$2:$N$409,3,FALSE),"—"))</f>
        <v/>
      </c>
      <c r="H625" s="88"/>
      <c r="I625" s="88"/>
    </row>
    <row r="626" spans="1:9" ht="13.15" x14ac:dyDescent="0.35">
      <c r="A626" s="434"/>
      <c r="B626" s="436"/>
      <c r="C626" s="437"/>
      <c r="D626" s="434"/>
      <c r="E626" s="93" t="str" cm="1">
        <f t="array" ref="E626">IF(D626&lt;&gt;"",IFERROR(VLOOKUP(D626,Codes!$K$2:$L$409,2,FALSE),"UNKNOWN - "&amp;D626),IF(C626="","",IFERROR(_xlfn.IFS(ISNUMBER(SEARCH("broken button",C626)),"Break",ISNUMBER(SEARCH("broken handle",C626)),"Break",ISNUMBER(SEARCH("shipping damage",C626)),"Break",ISNUMBER(SEARCH("broken",C626)),"Break",ISNUMBER(SEARCH("crack",C626)),"Break",ISNUMBER(SEARCH("snap",C626)),"Break",ISNUMBER(SEARCH("fracture",C626)),"Break",ISNUMBER(SEARCH("bent",C626)),"Material Twisted/Bent",ISNUMBER(SEARCH("twisted",C626)),"Material Twisted/Bent",ISNUMBER(SEARCH("component separat",C626)),"Material Separation",ISNUMBER(SEARCH("separat",C626)),"Material Separation",ISNUMBER(SEARCH("connection",C626)),"Loose or Intermittent Connection",ISNUMBER(SEARCH("loose",C626)),"Loose or Intermittent Connection",ISNUMBER(SEARCH("damaged packaging",C626)),"Packaging Problem",ISNUMBER(SEARCH("packaging",C626)),"Packaging Problem",ISNUMBER(SEARCH("discoloration",C626)),"Contamination",ISNUMBER(SEARCH("tarnish",C626)),"Contamination",ISNUMBER(SEARCH("stain",C626)),"Contamination",ISNUMBER(SEARCH("foreign material",C626)),"Contamination",ISNUMBER(SEARCH("contamina",C626)),"Contamination",ISNUMBER(SEARCH("overheat",C626)),"Overheating of Device",ISNUMBER(SEARCH("excessive heat",C626)),"Overheating of Device",ISNUMBER(SEARCH("hot",C626)),"Overheating of Device",ISNUMBER(SEARCH("noise",C626)),"Noise, Audible",ISNUMBER(SEARCH("sound",C626)),"Noise, Audible",ISNUMBER(SEARCH("loud",C626)),"Noise, Audible",ISNUMBER(SEARCH("fray",C626)),"Material Frayed",ISNUMBER(SEARCH("hole",C626)),"Material Frayed",ISNUMBER(SEARCH("tear",C626)),"Material Frayed",ISNUMBER(SEARCH("worn",C626)),"Material Frayed",ISNUMBER(SEARCH("intermittent",C626)),"Difficult or Delayed Activation",ISNUMBER(SEARCH("delay",C626)),"Difficult or Delayed Activation",ISNUMBER(SEARCH("label",C626)),"Device Markings/Labelling Problem",ISNUMBER(SEARCH("marking",C626)),"Device Markings/Labelling Problem",ISNUMBER(SEARCH("lacerat",C626)),"Defective Device",ISNUMBER(SEARCH("cut",C626)),"Defective Device",ISNUMBER(SEARCH("leak",C626)),"Fluid/Blood Leak",ISNUMBER(SEARCH("missing",C626)),"Component Missing",ISNUMBER(SEARCH("power",C626)),"Complete Loss of Power",ISNUMBER(SEARCH("will not turn on",C626)),"Complete Loss of Power",ISNUMBER(SEARCH("won't turn on",C626)),"Complete Loss of Power",ISNUMBER(SEARCH("does not turn on",C626)),"Complete Loss of Power",ISNUMBER(SEARCH("electrical",C626)),"Electrical Power Problem",ISNUMBER(SEARCH("pressure",C626)),"Detachment of Device or Device Component",ISNUMBER(SEARCH("slip",C626)),"Detachment of Device or Device Component",ISNUMBER(SEARCH("detach",C626)),"Detachment of Device or Device Component",ISNUMBER(SEARCH("stick",C626)),"Mechanical Jam",ISNUMBER(SEARCH("jam",C626)),"Mechanical Jam",ISNUMBER(SEARCH("rigid",C626)),"Mechanical Jam",ISNUMBER(SEARCH("rust",C626)),"Corroded",ISNUMBER(SEARCH("corrod",C626)),"Corroded",ISNUMBER(SEARCH("corrosion",C626)),"Corroded",ISNUMBER(SEARCH("alignment",C626)),"Defective Device",ISNUMBER(SEARCH("adjust",C626)),"Defective Device",ISNUMBER(SEARCH("perform",C626)),"Defective Device",ISNUMBER(SEARCH("malfunction",C626)),"Defective Device",ISNUMBER(SEARCH("defect",C626)),"Defective Device",ISNUMBER(SEARCH("fail",C626)),"Defective Device",ISNUMBER(SEARCH("not work",C626)),"Defective Device",ISNUMBER(SEARCH("doesn't work",C626)),"Defective Device",TRUE,"UNKNOWN"),"UNKNOWN")))</f>
        <v/>
      </c>
      <c r="F626" s="4" t="str">
        <f t="shared" si="9"/>
        <v/>
      </c>
      <c r="G626" s="363" t="str">
        <f>IF(E626="","",IFERROR(VLOOKUP(E626,Codes!$L$2:$N$409,3,FALSE),"—"))</f>
        <v/>
      </c>
      <c r="H626" s="88"/>
      <c r="I626" s="88"/>
    </row>
    <row r="627" spans="1:9" ht="13.15" x14ac:dyDescent="0.35">
      <c r="A627" s="92"/>
      <c r="B627" s="89"/>
      <c r="C627" s="90"/>
      <c r="D627" s="88"/>
      <c r="E627" s="93" t="str" cm="1">
        <f t="array" ref="E627">IF(D627&lt;&gt;"",IFERROR(VLOOKUP(D627,Codes!$K$2:$L$409,2,FALSE),"UNKNOWN - "&amp;D627),IF(C627="","",IFERROR(_xlfn.IFS(ISNUMBER(SEARCH("broken button",C627)),"Break",ISNUMBER(SEARCH("broken handle",C627)),"Break",ISNUMBER(SEARCH("shipping damage",C627)),"Break",ISNUMBER(SEARCH("broken",C627)),"Break",ISNUMBER(SEARCH("crack",C627)),"Break",ISNUMBER(SEARCH("snap",C627)),"Break",ISNUMBER(SEARCH("fracture",C627)),"Break",ISNUMBER(SEARCH("bent",C627)),"Material Twisted/Bent",ISNUMBER(SEARCH("twisted",C627)),"Material Twisted/Bent",ISNUMBER(SEARCH("component separat",C627)),"Material Separation",ISNUMBER(SEARCH("separat",C627)),"Material Separation",ISNUMBER(SEARCH("connection",C627)),"Loose or Intermittent Connection",ISNUMBER(SEARCH("loose",C627)),"Loose or Intermittent Connection",ISNUMBER(SEARCH("damaged packaging",C627)),"Packaging Problem",ISNUMBER(SEARCH("packaging",C627)),"Packaging Problem",ISNUMBER(SEARCH("discoloration",C627)),"Contamination",ISNUMBER(SEARCH("tarnish",C627)),"Contamination",ISNUMBER(SEARCH("stain",C627)),"Contamination",ISNUMBER(SEARCH("foreign material",C627)),"Contamination",ISNUMBER(SEARCH("contamina",C627)),"Contamination",ISNUMBER(SEARCH("overheat",C627)),"Overheating of Device",ISNUMBER(SEARCH("excessive heat",C627)),"Overheating of Device",ISNUMBER(SEARCH("hot",C627)),"Overheating of Device",ISNUMBER(SEARCH("noise",C627)),"Noise, Audible",ISNUMBER(SEARCH("sound",C627)),"Noise, Audible",ISNUMBER(SEARCH("loud",C627)),"Noise, Audible",ISNUMBER(SEARCH("fray",C627)),"Material Frayed",ISNUMBER(SEARCH("hole",C627)),"Material Frayed",ISNUMBER(SEARCH("tear",C627)),"Material Frayed",ISNUMBER(SEARCH("worn",C627)),"Material Frayed",ISNUMBER(SEARCH("intermittent",C627)),"Difficult or Delayed Activation",ISNUMBER(SEARCH("delay",C627)),"Difficult or Delayed Activation",ISNUMBER(SEARCH("label",C627)),"Device Markings/Labelling Problem",ISNUMBER(SEARCH("marking",C627)),"Device Markings/Labelling Problem",ISNUMBER(SEARCH("lacerat",C627)),"Defective Device",ISNUMBER(SEARCH("cut",C627)),"Defective Device",ISNUMBER(SEARCH("leak",C627)),"Fluid/Blood Leak",ISNUMBER(SEARCH("missing",C627)),"Component Missing",ISNUMBER(SEARCH("power",C627)),"Complete Loss of Power",ISNUMBER(SEARCH("will not turn on",C627)),"Complete Loss of Power",ISNUMBER(SEARCH("won't turn on",C627)),"Complete Loss of Power",ISNUMBER(SEARCH("does not turn on",C627)),"Complete Loss of Power",ISNUMBER(SEARCH("electrical",C627)),"Electrical Power Problem",ISNUMBER(SEARCH("pressure",C627)),"Detachment of Device or Device Component",ISNUMBER(SEARCH("slip",C627)),"Detachment of Device or Device Component",ISNUMBER(SEARCH("detach",C627)),"Detachment of Device or Device Component",ISNUMBER(SEARCH("stick",C627)),"Mechanical Jam",ISNUMBER(SEARCH("jam",C627)),"Mechanical Jam",ISNUMBER(SEARCH("rigid",C627)),"Mechanical Jam",ISNUMBER(SEARCH("rust",C627)),"Corroded",ISNUMBER(SEARCH("corrod",C627)),"Corroded",ISNUMBER(SEARCH("corrosion",C627)),"Corroded",ISNUMBER(SEARCH("alignment",C627)),"Defective Device",ISNUMBER(SEARCH("adjust",C627)),"Defective Device",ISNUMBER(SEARCH("perform",C627)),"Defective Device",ISNUMBER(SEARCH("malfunction",C627)),"Defective Device",ISNUMBER(SEARCH("defect",C627)),"Defective Device",ISNUMBER(SEARCH("fail",C627)),"Defective Device",ISNUMBER(SEARCH("not work",C627)),"Defective Device",ISNUMBER(SEARCH("doesn't work",C627)),"Defective Device",TRUE,"UNKNOWN"),"UNKNOWN")))</f>
        <v/>
      </c>
      <c r="F627" s="4" t="str">
        <f t="shared" si="9"/>
        <v/>
      </c>
      <c r="G627" s="363" t="str">
        <f>IF(E627="","",IFERROR(VLOOKUP(E627,Codes!$L$2:$N$409,3,FALSE),"—"))</f>
        <v/>
      </c>
      <c r="H627" s="88"/>
      <c r="I627" s="88"/>
    </row>
    <row r="628" spans="1:9" ht="13.15" x14ac:dyDescent="0.35">
      <c r="A628" s="92"/>
      <c r="B628" s="89"/>
      <c r="C628" s="90"/>
      <c r="D628" s="88"/>
      <c r="E628" s="93" t="str" cm="1">
        <f t="array" ref="E628">IF(D628&lt;&gt;"",IFERROR(VLOOKUP(D628,Codes!$K$2:$L$409,2,FALSE),"UNKNOWN - "&amp;D628),IF(C628="","",IFERROR(_xlfn.IFS(ISNUMBER(SEARCH("broken button",C628)),"Break",ISNUMBER(SEARCH("broken handle",C628)),"Break",ISNUMBER(SEARCH("shipping damage",C628)),"Break",ISNUMBER(SEARCH("broken",C628)),"Break",ISNUMBER(SEARCH("crack",C628)),"Break",ISNUMBER(SEARCH("snap",C628)),"Break",ISNUMBER(SEARCH("fracture",C628)),"Break",ISNUMBER(SEARCH("bent",C628)),"Material Twisted/Bent",ISNUMBER(SEARCH("twisted",C628)),"Material Twisted/Bent",ISNUMBER(SEARCH("component separat",C628)),"Material Separation",ISNUMBER(SEARCH("separat",C628)),"Material Separation",ISNUMBER(SEARCH("connection",C628)),"Loose or Intermittent Connection",ISNUMBER(SEARCH("loose",C628)),"Loose or Intermittent Connection",ISNUMBER(SEARCH("damaged packaging",C628)),"Packaging Problem",ISNUMBER(SEARCH("packaging",C628)),"Packaging Problem",ISNUMBER(SEARCH("discoloration",C628)),"Contamination",ISNUMBER(SEARCH("tarnish",C628)),"Contamination",ISNUMBER(SEARCH("stain",C628)),"Contamination",ISNUMBER(SEARCH("foreign material",C628)),"Contamination",ISNUMBER(SEARCH("contamina",C628)),"Contamination",ISNUMBER(SEARCH("overheat",C628)),"Overheating of Device",ISNUMBER(SEARCH("excessive heat",C628)),"Overheating of Device",ISNUMBER(SEARCH("hot",C628)),"Overheating of Device",ISNUMBER(SEARCH("noise",C628)),"Noise, Audible",ISNUMBER(SEARCH("sound",C628)),"Noise, Audible",ISNUMBER(SEARCH("loud",C628)),"Noise, Audible",ISNUMBER(SEARCH("fray",C628)),"Material Frayed",ISNUMBER(SEARCH("hole",C628)),"Material Frayed",ISNUMBER(SEARCH("tear",C628)),"Material Frayed",ISNUMBER(SEARCH("worn",C628)),"Material Frayed",ISNUMBER(SEARCH("intermittent",C628)),"Difficult or Delayed Activation",ISNUMBER(SEARCH("delay",C628)),"Difficult or Delayed Activation",ISNUMBER(SEARCH("label",C628)),"Device Markings/Labelling Problem",ISNUMBER(SEARCH("marking",C628)),"Device Markings/Labelling Problem",ISNUMBER(SEARCH("lacerat",C628)),"Defective Device",ISNUMBER(SEARCH("cut",C628)),"Defective Device",ISNUMBER(SEARCH("leak",C628)),"Fluid/Blood Leak",ISNUMBER(SEARCH("missing",C628)),"Component Missing",ISNUMBER(SEARCH("power",C628)),"Complete Loss of Power",ISNUMBER(SEARCH("will not turn on",C628)),"Complete Loss of Power",ISNUMBER(SEARCH("won't turn on",C628)),"Complete Loss of Power",ISNUMBER(SEARCH("does not turn on",C628)),"Complete Loss of Power",ISNUMBER(SEARCH("electrical",C628)),"Electrical Power Problem",ISNUMBER(SEARCH("pressure",C628)),"Detachment of Device or Device Component",ISNUMBER(SEARCH("slip",C628)),"Detachment of Device or Device Component",ISNUMBER(SEARCH("detach",C628)),"Detachment of Device or Device Component",ISNUMBER(SEARCH("stick",C628)),"Mechanical Jam",ISNUMBER(SEARCH("jam",C628)),"Mechanical Jam",ISNUMBER(SEARCH("rigid",C628)),"Mechanical Jam",ISNUMBER(SEARCH("rust",C628)),"Corroded",ISNUMBER(SEARCH("corrod",C628)),"Corroded",ISNUMBER(SEARCH("corrosion",C628)),"Corroded",ISNUMBER(SEARCH("alignment",C628)),"Defective Device",ISNUMBER(SEARCH("adjust",C628)),"Defective Device",ISNUMBER(SEARCH("perform",C628)),"Defective Device",ISNUMBER(SEARCH("malfunction",C628)),"Defective Device",ISNUMBER(SEARCH("defect",C628)),"Defective Device",ISNUMBER(SEARCH("fail",C628)),"Defective Device",ISNUMBER(SEARCH("not work",C628)),"Defective Device",ISNUMBER(SEARCH("doesn't work",C628)),"Defective Device",TRUE,"UNKNOWN"),"UNKNOWN")))</f>
        <v/>
      </c>
      <c r="F628" s="4" t="str">
        <f t="shared" si="9"/>
        <v/>
      </c>
      <c r="G628" s="363" t="str">
        <f>IF(E628="","",IFERROR(VLOOKUP(E628,Codes!$L$2:$N$409,3,FALSE),"—"))</f>
        <v/>
      </c>
      <c r="H628" s="88"/>
      <c r="I628" s="88"/>
    </row>
    <row r="629" spans="1:9" ht="13.15" x14ac:dyDescent="0.35">
      <c r="A629" s="92"/>
      <c r="B629" s="89"/>
      <c r="C629" s="90"/>
      <c r="D629" s="88"/>
      <c r="E629" s="93" t="str" cm="1">
        <f t="array" ref="E629">IF(D629&lt;&gt;"",IFERROR(VLOOKUP(D629,Codes!$K$2:$L$409,2,FALSE),"UNKNOWN - "&amp;D629),IF(C629="","",IFERROR(_xlfn.IFS(ISNUMBER(SEARCH("broken button",C629)),"Break",ISNUMBER(SEARCH("broken handle",C629)),"Break",ISNUMBER(SEARCH("shipping damage",C629)),"Break",ISNUMBER(SEARCH("broken",C629)),"Break",ISNUMBER(SEARCH("crack",C629)),"Break",ISNUMBER(SEARCH("snap",C629)),"Break",ISNUMBER(SEARCH("fracture",C629)),"Break",ISNUMBER(SEARCH("bent",C629)),"Material Twisted/Bent",ISNUMBER(SEARCH("twisted",C629)),"Material Twisted/Bent",ISNUMBER(SEARCH("component separat",C629)),"Material Separation",ISNUMBER(SEARCH("separat",C629)),"Material Separation",ISNUMBER(SEARCH("connection",C629)),"Loose or Intermittent Connection",ISNUMBER(SEARCH("loose",C629)),"Loose or Intermittent Connection",ISNUMBER(SEARCH("damaged packaging",C629)),"Packaging Problem",ISNUMBER(SEARCH("packaging",C629)),"Packaging Problem",ISNUMBER(SEARCH("discoloration",C629)),"Contamination",ISNUMBER(SEARCH("tarnish",C629)),"Contamination",ISNUMBER(SEARCH("stain",C629)),"Contamination",ISNUMBER(SEARCH("foreign material",C629)),"Contamination",ISNUMBER(SEARCH("contamina",C629)),"Contamination",ISNUMBER(SEARCH("overheat",C629)),"Overheating of Device",ISNUMBER(SEARCH("excessive heat",C629)),"Overheating of Device",ISNUMBER(SEARCH("hot",C629)),"Overheating of Device",ISNUMBER(SEARCH("noise",C629)),"Noise, Audible",ISNUMBER(SEARCH("sound",C629)),"Noise, Audible",ISNUMBER(SEARCH("loud",C629)),"Noise, Audible",ISNUMBER(SEARCH("fray",C629)),"Material Frayed",ISNUMBER(SEARCH("hole",C629)),"Material Frayed",ISNUMBER(SEARCH("tear",C629)),"Material Frayed",ISNUMBER(SEARCH("worn",C629)),"Material Frayed",ISNUMBER(SEARCH("intermittent",C629)),"Difficult or Delayed Activation",ISNUMBER(SEARCH("delay",C629)),"Difficult or Delayed Activation",ISNUMBER(SEARCH("label",C629)),"Device Markings/Labelling Problem",ISNUMBER(SEARCH("marking",C629)),"Device Markings/Labelling Problem",ISNUMBER(SEARCH("lacerat",C629)),"Defective Device",ISNUMBER(SEARCH("cut",C629)),"Defective Device",ISNUMBER(SEARCH("leak",C629)),"Fluid/Blood Leak",ISNUMBER(SEARCH("missing",C629)),"Component Missing",ISNUMBER(SEARCH("power",C629)),"Complete Loss of Power",ISNUMBER(SEARCH("will not turn on",C629)),"Complete Loss of Power",ISNUMBER(SEARCH("won't turn on",C629)),"Complete Loss of Power",ISNUMBER(SEARCH("does not turn on",C629)),"Complete Loss of Power",ISNUMBER(SEARCH("electrical",C629)),"Electrical Power Problem",ISNUMBER(SEARCH("pressure",C629)),"Detachment of Device or Device Component",ISNUMBER(SEARCH("slip",C629)),"Detachment of Device or Device Component",ISNUMBER(SEARCH("detach",C629)),"Detachment of Device or Device Component",ISNUMBER(SEARCH("stick",C629)),"Mechanical Jam",ISNUMBER(SEARCH("jam",C629)),"Mechanical Jam",ISNUMBER(SEARCH("rigid",C629)),"Mechanical Jam",ISNUMBER(SEARCH("rust",C629)),"Corroded",ISNUMBER(SEARCH("corrod",C629)),"Corroded",ISNUMBER(SEARCH("corrosion",C629)),"Corroded",ISNUMBER(SEARCH("alignment",C629)),"Defective Device",ISNUMBER(SEARCH("adjust",C629)),"Defective Device",ISNUMBER(SEARCH("perform",C629)),"Defective Device",ISNUMBER(SEARCH("malfunction",C629)),"Defective Device",ISNUMBER(SEARCH("defect",C629)),"Defective Device",ISNUMBER(SEARCH("fail",C629)),"Defective Device",ISNUMBER(SEARCH("not work",C629)),"Defective Device",ISNUMBER(SEARCH("doesn't work",C629)),"Defective Device",TRUE,"UNKNOWN"),"UNKNOWN")))</f>
        <v/>
      </c>
      <c r="F629" s="4" t="str">
        <f t="shared" si="9"/>
        <v/>
      </c>
      <c r="G629" s="363" t="str">
        <f>IF(E629="","",IFERROR(VLOOKUP(E629,Codes!$L$2:$N$409,3,FALSE),"—"))</f>
        <v/>
      </c>
      <c r="H629" s="88"/>
      <c r="I629" s="88"/>
    </row>
    <row r="630" spans="1:9" ht="13.15" x14ac:dyDescent="0.35">
      <c r="A630" s="92"/>
      <c r="B630" s="89"/>
      <c r="C630" s="90"/>
      <c r="D630" s="88"/>
      <c r="E630" s="93" t="str" cm="1">
        <f t="array" ref="E630">IF(D630&lt;&gt;"",IFERROR(VLOOKUP(D630,Codes!$K$2:$L$409,2,FALSE),"UNKNOWN - "&amp;D630),IF(C630="","",IFERROR(_xlfn.IFS(ISNUMBER(SEARCH("broken button",C630)),"Break",ISNUMBER(SEARCH("broken handle",C630)),"Break",ISNUMBER(SEARCH("shipping damage",C630)),"Break",ISNUMBER(SEARCH("broken",C630)),"Break",ISNUMBER(SEARCH("crack",C630)),"Break",ISNUMBER(SEARCH("snap",C630)),"Break",ISNUMBER(SEARCH("fracture",C630)),"Break",ISNUMBER(SEARCH("bent",C630)),"Material Twisted/Bent",ISNUMBER(SEARCH("twisted",C630)),"Material Twisted/Bent",ISNUMBER(SEARCH("component separat",C630)),"Material Separation",ISNUMBER(SEARCH("separat",C630)),"Material Separation",ISNUMBER(SEARCH("connection",C630)),"Loose or Intermittent Connection",ISNUMBER(SEARCH("loose",C630)),"Loose or Intermittent Connection",ISNUMBER(SEARCH("damaged packaging",C630)),"Packaging Problem",ISNUMBER(SEARCH("packaging",C630)),"Packaging Problem",ISNUMBER(SEARCH("discoloration",C630)),"Contamination",ISNUMBER(SEARCH("tarnish",C630)),"Contamination",ISNUMBER(SEARCH("stain",C630)),"Contamination",ISNUMBER(SEARCH("foreign material",C630)),"Contamination",ISNUMBER(SEARCH("contamina",C630)),"Contamination",ISNUMBER(SEARCH("overheat",C630)),"Overheating of Device",ISNUMBER(SEARCH("excessive heat",C630)),"Overheating of Device",ISNUMBER(SEARCH("hot",C630)),"Overheating of Device",ISNUMBER(SEARCH("noise",C630)),"Noise, Audible",ISNUMBER(SEARCH("sound",C630)),"Noise, Audible",ISNUMBER(SEARCH("loud",C630)),"Noise, Audible",ISNUMBER(SEARCH("fray",C630)),"Material Frayed",ISNUMBER(SEARCH("hole",C630)),"Material Frayed",ISNUMBER(SEARCH("tear",C630)),"Material Frayed",ISNUMBER(SEARCH("worn",C630)),"Material Frayed",ISNUMBER(SEARCH("intermittent",C630)),"Difficult or Delayed Activation",ISNUMBER(SEARCH("delay",C630)),"Difficult or Delayed Activation",ISNUMBER(SEARCH("label",C630)),"Device Markings/Labelling Problem",ISNUMBER(SEARCH("marking",C630)),"Device Markings/Labelling Problem",ISNUMBER(SEARCH("lacerat",C630)),"Defective Device",ISNUMBER(SEARCH("cut",C630)),"Defective Device",ISNUMBER(SEARCH("leak",C630)),"Fluid/Blood Leak",ISNUMBER(SEARCH("missing",C630)),"Component Missing",ISNUMBER(SEARCH("power",C630)),"Complete Loss of Power",ISNUMBER(SEARCH("will not turn on",C630)),"Complete Loss of Power",ISNUMBER(SEARCH("won't turn on",C630)),"Complete Loss of Power",ISNUMBER(SEARCH("does not turn on",C630)),"Complete Loss of Power",ISNUMBER(SEARCH("electrical",C630)),"Electrical Power Problem",ISNUMBER(SEARCH("pressure",C630)),"Detachment of Device or Device Component",ISNUMBER(SEARCH("slip",C630)),"Detachment of Device or Device Component",ISNUMBER(SEARCH("detach",C630)),"Detachment of Device or Device Component",ISNUMBER(SEARCH("stick",C630)),"Mechanical Jam",ISNUMBER(SEARCH("jam",C630)),"Mechanical Jam",ISNUMBER(SEARCH("rigid",C630)),"Mechanical Jam",ISNUMBER(SEARCH("rust",C630)),"Corroded",ISNUMBER(SEARCH("corrod",C630)),"Corroded",ISNUMBER(SEARCH("corrosion",C630)),"Corroded",ISNUMBER(SEARCH("alignment",C630)),"Defective Device",ISNUMBER(SEARCH("adjust",C630)),"Defective Device",ISNUMBER(SEARCH("perform",C630)),"Defective Device",ISNUMBER(SEARCH("malfunction",C630)),"Defective Device",ISNUMBER(SEARCH("defect",C630)),"Defective Device",ISNUMBER(SEARCH("fail",C630)),"Defective Device",ISNUMBER(SEARCH("not work",C630)),"Defective Device",ISNUMBER(SEARCH("doesn't work",C630)),"Defective Device",TRUE,"UNKNOWN"),"UNKNOWN")))</f>
        <v/>
      </c>
      <c r="F630" s="4" t="str">
        <f t="shared" si="9"/>
        <v/>
      </c>
      <c r="G630" s="363" t="str">
        <f>IF(E630="","",IFERROR(VLOOKUP(E630,Codes!$L$2:$N$409,3,FALSE),"—"))</f>
        <v/>
      </c>
      <c r="H630" s="88"/>
      <c r="I630" s="88"/>
    </row>
    <row r="631" spans="1:9" ht="13.15" x14ac:dyDescent="0.35">
      <c r="A631" s="92"/>
      <c r="B631" s="89"/>
      <c r="C631" s="91"/>
      <c r="D631" s="88"/>
      <c r="E631" s="93" t="str" cm="1">
        <f t="array" ref="E631">IF(D631&lt;&gt;"",IFERROR(VLOOKUP(D631,Codes!$K$2:$L$409,2,FALSE),"UNKNOWN - "&amp;D631),IF(C631="","",IFERROR(_xlfn.IFS(ISNUMBER(SEARCH("broken button",C631)),"Break",ISNUMBER(SEARCH("broken handle",C631)),"Break",ISNUMBER(SEARCH("shipping damage",C631)),"Break",ISNUMBER(SEARCH("broken",C631)),"Break",ISNUMBER(SEARCH("crack",C631)),"Break",ISNUMBER(SEARCH("snap",C631)),"Break",ISNUMBER(SEARCH("fracture",C631)),"Break",ISNUMBER(SEARCH("bent",C631)),"Material Twisted/Bent",ISNUMBER(SEARCH("twisted",C631)),"Material Twisted/Bent",ISNUMBER(SEARCH("component separat",C631)),"Material Separation",ISNUMBER(SEARCH("separat",C631)),"Material Separation",ISNUMBER(SEARCH("connection",C631)),"Loose or Intermittent Connection",ISNUMBER(SEARCH("loose",C631)),"Loose or Intermittent Connection",ISNUMBER(SEARCH("damaged packaging",C631)),"Packaging Problem",ISNUMBER(SEARCH("packaging",C631)),"Packaging Problem",ISNUMBER(SEARCH("discoloration",C631)),"Contamination",ISNUMBER(SEARCH("tarnish",C631)),"Contamination",ISNUMBER(SEARCH("stain",C631)),"Contamination",ISNUMBER(SEARCH("foreign material",C631)),"Contamination",ISNUMBER(SEARCH("contamina",C631)),"Contamination",ISNUMBER(SEARCH("overheat",C631)),"Overheating of Device",ISNUMBER(SEARCH("excessive heat",C631)),"Overheating of Device",ISNUMBER(SEARCH("hot",C631)),"Overheating of Device",ISNUMBER(SEARCH("noise",C631)),"Noise, Audible",ISNUMBER(SEARCH("sound",C631)),"Noise, Audible",ISNUMBER(SEARCH("loud",C631)),"Noise, Audible",ISNUMBER(SEARCH("fray",C631)),"Material Frayed",ISNUMBER(SEARCH("hole",C631)),"Material Frayed",ISNUMBER(SEARCH("tear",C631)),"Material Frayed",ISNUMBER(SEARCH("worn",C631)),"Material Frayed",ISNUMBER(SEARCH("intermittent",C631)),"Difficult or Delayed Activation",ISNUMBER(SEARCH("delay",C631)),"Difficult or Delayed Activation",ISNUMBER(SEARCH("label",C631)),"Device Markings/Labelling Problem",ISNUMBER(SEARCH("marking",C631)),"Device Markings/Labelling Problem",ISNUMBER(SEARCH("lacerat",C631)),"Defective Device",ISNUMBER(SEARCH("cut",C631)),"Defective Device",ISNUMBER(SEARCH("leak",C631)),"Fluid/Blood Leak",ISNUMBER(SEARCH("missing",C631)),"Component Missing",ISNUMBER(SEARCH("power",C631)),"Complete Loss of Power",ISNUMBER(SEARCH("will not turn on",C631)),"Complete Loss of Power",ISNUMBER(SEARCH("won't turn on",C631)),"Complete Loss of Power",ISNUMBER(SEARCH("does not turn on",C631)),"Complete Loss of Power",ISNUMBER(SEARCH("electrical",C631)),"Electrical Power Problem",ISNUMBER(SEARCH("pressure",C631)),"Detachment of Device or Device Component",ISNUMBER(SEARCH("slip",C631)),"Detachment of Device or Device Component",ISNUMBER(SEARCH("detach",C631)),"Detachment of Device or Device Component",ISNUMBER(SEARCH("stick",C631)),"Mechanical Jam",ISNUMBER(SEARCH("jam",C631)),"Mechanical Jam",ISNUMBER(SEARCH("rigid",C631)),"Mechanical Jam",ISNUMBER(SEARCH("rust",C631)),"Corroded",ISNUMBER(SEARCH("corrod",C631)),"Corroded",ISNUMBER(SEARCH("corrosion",C631)),"Corroded",ISNUMBER(SEARCH("alignment",C631)),"Defective Device",ISNUMBER(SEARCH("adjust",C631)),"Defective Device",ISNUMBER(SEARCH("perform",C631)),"Defective Device",ISNUMBER(SEARCH("malfunction",C631)),"Defective Device",ISNUMBER(SEARCH("defect",C631)),"Defective Device",ISNUMBER(SEARCH("fail",C631)),"Defective Device",ISNUMBER(SEARCH("not work",C631)),"Defective Device",ISNUMBER(SEARCH("doesn't work",C631)),"Defective Device",TRUE,"UNKNOWN"),"UNKNOWN")))</f>
        <v/>
      </c>
      <c r="F631" s="4" t="str">
        <f t="shared" si="9"/>
        <v/>
      </c>
      <c r="G631" s="363" t="str">
        <f>IF(E631="","",IFERROR(VLOOKUP(E631,Codes!$L$2:$N$409,3,FALSE),"—"))</f>
        <v/>
      </c>
      <c r="H631" s="88"/>
      <c r="I631" s="88"/>
    </row>
    <row r="632" spans="1:9" ht="13.15" x14ac:dyDescent="0.35">
      <c r="A632" s="92"/>
      <c r="B632" s="89"/>
      <c r="C632" s="90"/>
      <c r="D632" s="88"/>
      <c r="E632" s="93" t="str" cm="1">
        <f t="array" ref="E632">IF(D632&lt;&gt;"",IFERROR(VLOOKUP(D632,Codes!$K$2:$L$409,2,FALSE),"UNKNOWN - "&amp;D632),IF(C632="","",IFERROR(_xlfn.IFS(ISNUMBER(SEARCH("broken button",C632)),"Break",ISNUMBER(SEARCH("broken handle",C632)),"Break",ISNUMBER(SEARCH("shipping damage",C632)),"Break",ISNUMBER(SEARCH("broken",C632)),"Break",ISNUMBER(SEARCH("crack",C632)),"Break",ISNUMBER(SEARCH("snap",C632)),"Break",ISNUMBER(SEARCH("fracture",C632)),"Break",ISNUMBER(SEARCH("bent",C632)),"Material Twisted/Bent",ISNUMBER(SEARCH("twisted",C632)),"Material Twisted/Bent",ISNUMBER(SEARCH("component separat",C632)),"Material Separation",ISNUMBER(SEARCH("separat",C632)),"Material Separation",ISNUMBER(SEARCH("connection",C632)),"Loose or Intermittent Connection",ISNUMBER(SEARCH("loose",C632)),"Loose or Intermittent Connection",ISNUMBER(SEARCH("damaged packaging",C632)),"Packaging Problem",ISNUMBER(SEARCH("packaging",C632)),"Packaging Problem",ISNUMBER(SEARCH("discoloration",C632)),"Contamination",ISNUMBER(SEARCH("tarnish",C632)),"Contamination",ISNUMBER(SEARCH("stain",C632)),"Contamination",ISNUMBER(SEARCH("foreign material",C632)),"Contamination",ISNUMBER(SEARCH("contamina",C632)),"Contamination",ISNUMBER(SEARCH("overheat",C632)),"Overheating of Device",ISNUMBER(SEARCH("excessive heat",C632)),"Overheating of Device",ISNUMBER(SEARCH("hot",C632)),"Overheating of Device",ISNUMBER(SEARCH("noise",C632)),"Noise, Audible",ISNUMBER(SEARCH("sound",C632)),"Noise, Audible",ISNUMBER(SEARCH("loud",C632)),"Noise, Audible",ISNUMBER(SEARCH("fray",C632)),"Material Frayed",ISNUMBER(SEARCH("hole",C632)),"Material Frayed",ISNUMBER(SEARCH("tear",C632)),"Material Frayed",ISNUMBER(SEARCH("worn",C632)),"Material Frayed",ISNUMBER(SEARCH("intermittent",C632)),"Difficult or Delayed Activation",ISNUMBER(SEARCH("delay",C632)),"Difficult or Delayed Activation",ISNUMBER(SEARCH("label",C632)),"Device Markings/Labelling Problem",ISNUMBER(SEARCH("marking",C632)),"Device Markings/Labelling Problem",ISNUMBER(SEARCH("lacerat",C632)),"Defective Device",ISNUMBER(SEARCH("cut",C632)),"Defective Device",ISNUMBER(SEARCH("leak",C632)),"Fluid/Blood Leak",ISNUMBER(SEARCH("missing",C632)),"Component Missing",ISNUMBER(SEARCH("power",C632)),"Complete Loss of Power",ISNUMBER(SEARCH("will not turn on",C632)),"Complete Loss of Power",ISNUMBER(SEARCH("won't turn on",C632)),"Complete Loss of Power",ISNUMBER(SEARCH("does not turn on",C632)),"Complete Loss of Power",ISNUMBER(SEARCH("electrical",C632)),"Electrical Power Problem",ISNUMBER(SEARCH("pressure",C632)),"Detachment of Device or Device Component",ISNUMBER(SEARCH("slip",C632)),"Detachment of Device or Device Component",ISNUMBER(SEARCH("detach",C632)),"Detachment of Device or Device Component",ISNUMBER(SEARCH("stick",C632)),"Mechanical Jam",ISNUMBER(SEARCH("jam",C632)),"Mechanical Jam",ISNUMBER(SEARCH("rigid",C632)),"Mechanical Jam",ISNUMBER(SEARCH("rust",C632)),"Corroded",ISNUMBER(SEARCH("corrod",C632)),"Corroded",ISNUMBER(SEARCH("corrosion",C632)),"Corroded",ISNUMBER(SEARCH("alignment",C632)),"Defective Device",ISNUMBER(SEARCH("adjust",C632)),"Defective Device",ISNUMBER(SEARCH("perform",C632)),"Defective Device",ISNUMBER(SEARCH("malfunction",C632)),"Defective Device",ISNUMBER(SEARCH("defect",C632)),"Defective Device",ISNUMBER(SEARCH("fail",C632)),"Defective Device",ISNUMBER(SEARCH("not work",C632)),"Defective Device",ISNUMBER(SEARCH("doesn't work",C632)),"Defective Device",TRUE,"UNKNOWN"),"UNKNOWN")))</f>
        <v/>
      </c>
      <c r="F632" s="4" t="str">
        <f t="shared" ref="F632:F683" si="10">IF(E632="","","No Clinical Signs, Symptoms or Conditions")</f>
        <v/>
      </c>
      <c r="G632" s="363" t="str">
        <f>IF(E632="","",IFERROR(VLOOKUP(E632,Codes!$L$2:$N$409,3,FALSE),"—"))</f>
        <v/>
      </c>
      <c r="H632" s="88"/>
      <c r="I632" s="88"/>
    </row>
    <row r="633" spans="1:9" ht="13.15" x14ac:dyDescent="0.35">
      <c r="A633" s="92"/>
      <c r="B633" s="89"/>
      <c r="C633" s="91"/>
      <c r="D633" s="88"/>
      <c r="E633" s="93" t="str" cm="1">
        <f t="array" ref="E633">IF(D633&lt;&gt;"",IFERROR(VLOOKUP(D633,Codes!$K$2:$L$409,2,FALSE),"UNKNOWN - "&amp;D633),IF(C633="","",IFERROR(_xlfn.IFS(ISNUMBER(SEARCH("broken button",C633)),"Break",ISNUMBER(SEARCH("broken handle",C633)),"Break",ISNUMBER(SEARCH("shipping damage",C633)),"Break",ISNUMBER(SEARCH("broken",C633)),"Break",ISNUMBER(SEARCH("crack",C633)),"Break",ISNUMBER(SEARCH("snap",C633)),"Break",ISNUMBER(SEARCH("fracture",C633)),"Break",ISNUMBER(SEARCH("bent",C633)),"Material Twisted/Bent",ISNUMBER(SEARCH("twisted",C633)),"Material Twisted/Bent",ISNUMBER(SEARCH("component separat",C633)),"Material Separation",ISNUMBER(SEARCH("separat",C633)),"Material Separation",ISNUMBER(SEARCH("connection",C633)),"Loose or Intermittent Connection",ISNUMBER(SEARCH("loose",C633)),"Loose or Intermittent Connection",ISNUMBER(SEARCH("damaged packaging",C633)),"Packaging Problem",ISNUMBER(SEARCH("packaging",C633)),"Packaging Problem",ISNUMBER(SEARCH("discoloration",C633)),"Contamination",ISNUMBER(SEARCH("tarnish",C633)),"Contamination",ISNUMBER(SEARCH("stain",C633)),"Contamination",ISNUMBER(SEARCH("foreign material",C633)),"Contamination",ISNUMBER(SEARCH("contamina",C633)),"Contamination",ISNUMBER(SEARCH("overheat",C633)),"Overheating of Device",ISNUMBER(SEARCH("excessive heat",C633)),"Overheating of Device",ISNUMBER(SEARCH("hot",C633)),"Overheating of Device",ISNUMBER(SEARCH("noise",C633)),"Noise, Audible",ISNUMBER(SEARCH("sound",C633)),"Noise, Audible",ISNUMBER(SEARCH("loud",C633)),"Noise, Audible",ISNUMBER(SEARCH("fray",C633)),"Material Frayed",ISNUMBER(SEARCH("hole",C633)),"Material Frayed",ISNUMBER(SEARCH("tear",C633)),"Material Frayed",ISNUMBER(SEARCH("worn",C633)),"Material Frayed",ISNUMBER(SEARCH("intermittent",C633)),"Difficult or Delayed Activation",ISNUMBER(SEARCH("delay",C633)),"Difficult or Delayed Activation",ISNUMBER(SEARCH("label",C633)),"Device Markings/Labelling Problem",ISNUMBER(SEARCH("marking",C633)),"Device Markings/Labelling Problem",ISNUMBER(SEARCH("lacerat",C633)),"Defective Device",ISNUMBER(SEARCH("cut",C633)),"Defective Device",ISNUMBER(SEARCH("leak",C633)),"Fluid/Blood Leak",ISNUMBER(SEARCH("missing",C633)),"Component Missing",ISNUMBER(SEARCH("power",C633)),"Complete Loss of Power",ISNUMBER(SEARCH("will not turn on",C633)),"Complete Loss of Power",ISNUMBER(SEARCH("won't turn on",C633)),"Complete Loss of Power",ISNUMBER(SEARCH("does not turn on",C633)),"Complete Loss of Power",ISNUMBER(SEARCH("electrical",C633)),"Electrical Power Problem",ISNUMBER(SEARCH("pressure",C633)),"Detachment of Device or Device Component",ISNUMBER(SEARCH("slip",C633)),"Detachment of Device or Device Component",ISNUMBER(SEARCH("detach",C633)),"Detachment of Device or Device Component",ISNUMBER(SEARCH("stick",C633)),"Mechanical Jam",ISNUMBER(SEARCH("jam",C633)),"Mechanical Jam",ISNUMBER(SEARCH("rigid",C633)),"Mechanical Jam",ISNUMBER(SEARCH("rust",C633)),"Corroded",ISNUMBER(SEARCH("corrod",C633)),"Corroded",ISNUMBER(SEARCH("corrosion",C633)),"Corroded",ISNUMBER(SEARCH("alignment",C633)),"Defective Device",ISNUMBER(SEARCH("adjust",C633)),"Defective Device",ISNUMBER(SEARCH("perform",C633)),"Defective Device",ISNUMBER(SEARCH("malfunction",C633)),"Defective Device",ISNUMBER(SEARCH("defect",C633)),"Defective Device",ISNUMBER(SEARCH("fail",C633)),"Defective Device",ISNUMBER(SEARCH("not work",C633)),"Defective Device",ISNUMBER(SEARCH("doesn't work",C633)),"Defective Device",TRUE,"UNKNOWN"),"UNKNOWN")))</f>
        <v/>
      </c>
      <c r="F633" s="4" t="str">
        <f t="shared" si="10"/>
        <v/>
      </c>
      <c r="G633" s="363" t="str">
        <f>IF(E633="","",IFERROR(VLOOKUP(E633,Codes!$L$2:$N$409,3,FALSE),"—"))</f>
        <v/>
      </c>
      <c r="H633" s="88"/>
      <c r="I633" s="88"/>
    </row>
    <row r="634" spans="1:9" ht="13.15" x14ac:dyDescent="0.35">
      <c r="A634" s="92"/>
      <c r="B634" s="89"/>
      <c r="C634" s="91"/>
      <c r="D634" s="88"/>
      <c r="E634" s="93" t="str" cm="1">
        <f t="array" ref="E634">IF(D634&lt;&gt;"",IFERROR(VLOOKUP(D634,Codes!$K$2:$L$409,2,FALSE),"UNKNOWN - "&amp;D634),IF(C634="","",IFERROR(_xlfn.IFS(ISNUMBER(SEARCH("broken button",C634)),"Break",ISNUMBER(SEARCH("broken handle",C634)),"Break",ISNUMBER(SEARCH("shipping damage",C634)),"Break",ISNUMBER(SEARCH("broken",C634)),"Break",ISNUMBER(SEARCH("crack",C634)),"Break",ISNUMBER(SEARCH("snap",C634)),"Break",ISNUMBER(SEARCH("fracture",C634)),"Break",ISNUMBER(SEARCH("bent",C634)),"Material Twisted/Bent",ISNUMBER(SEARCH("twisted",C634)),"Material Twisted/Bent",ISNUMBER(SEARCH("component separat",C634)),"Material Separation",ISNUMBER(SEARCH("separat",C634)),"Material Separation",ISNUMBER(SEARCH("connection",C634)),"Loose or Intermittent Connection",ISNUMBER(SEARCH("loose",C634)),"Loose or Intermittent Connection",ISNUMBER(SEARCH("damaged packaging",C634)),"Packaging Problem",ISNUMBER(SEARCH("packaging",C634)),"Packaging Problem",ISNUMBER(SEARCH("discoloration",C634)),"Contamination",ISNUMBER(SEARCH("tarnish",C634)),"Contamination",ISNUMBER(SEARCH("stain",C634)),"Contamination",ISNUMBER(SEARCH("foreign material",C634)),"Contamination",ISNUMBER(SEARCH("contamina",C634)),"Contamination",ISNUMBER(SEARCH("overheat",C634)),"Overheating of Device",ISNUMBER(SEARCH("excessive heat",C634)),"Overheating of Device",ISNUMBER(SEARCH("hot",C634)),"Overheating of Device",ISNUMBER(SEARCH("noise",C634)),"Noise, Audible",ISNUMBER(SEARCH("sound",C634)),"Noise, Audible",ISNUMBER(SEARCH("loud",C634)),"Noise, Audible",ISNUMBER(SEARCH("fray",C634)),"Material Frayed",ISNUMBER(SEARCH("hole",C634)),"Material Frayed",ISNUMBER(SEARCH("tear",C634)),"Material Frayed",ISNUMBER(SEARCH("worn",C634)),"Material Frayed",ISNUMBER(SEARCH("intermittent",C634)),"Difficult or Delayed Activation",ISNUMBER(SEARCH("delay",C634)),"Difficult or Delayed Activation",ISNUMBER(SEARCH("label",C634)),"Device Markings/Labelling Problem",ISNUMBER(SEARCH("marking",C634)),"Device Markings/Labelling Problem",ISNUMBER(SEARCH("lacerat",C634)),"Defective Device",ISNUMBER(SEARCH("cut",C634)),"Defective Device",ISNUMBER(SEARCH("leak",C634)),"Fluid/Blood Leak",ISNUMBER(SEARCH("missing",C634)),"Component Missing",ISNUMBER(SEARCH("power",C634)),"Complete Loss of Power",ISNUMBER(SEARCH("will not turn on",C634)),"Complete Loss of Power",ISNUMBER(SEARCH("won't turn on",C634)),"Complete Loss of Power",ISNUMBER(SEARCH("does not turn on",C634)),"Complete Loss of Power",ISNUMBER(SEARCH("electrical",C634)),"Electrical Power Problem",ISNUMBER(SEARCH("pressure",C634)),"Detachment of Device or Device Component",ISNUMBER(SEARCH("slip",C634)),"Detachment of Device or Device Component",ISNUMBER(SEARCH("detach",C634)),"Detachment of Device or Device Component",ISNUMBER(SEARCH("stick",C634)),"Mechanical Jam",ISNUMBER(SEARCH("jam",C634)),"Mechanical Jam",ISNUMBER(SEARCH("rigid",C634)),"Mechanical Jam",ISNUMBER(SEARCH("rust",C634)),"Corroded",ISNUMBER(SEARCH("corrod",C634)),"Corroded",ISNUMBER(SEARCH("corrosion",C634)),"Corroded",ISNUMBER(SEARCH("alignment",C634)),"Defective Device",ISNUMBER(SEARCH("adjust",C634)),"Defective Device",ISNUMBER(SEARCH("perform",C634)),"Defective Device",ISNUMBER(SEARCH("malfunction",C634)),"Defective Device",ISNUMBER(SEARCH("defect",C634)),"Defective Device",ISNUMBER(SEARCH("fail",C634)),"Defective Device",ISNUMBER(SEARCH("not work",C634)),"Defective Device",ISNUMBER(SEARCH("doesn't work",C634)),"Defective Device",TRUE,"UNKNOWN"),"UNKNOWN")))</f>
        <v/>
      </c>
      <c r="F634" s="4" t="str">
        <f t="shared" si="10"/>
        <v/>
      </c>
      <c r="G634" s="363" t="str">
        <f>IF(E634="","",IFERROR(VLOOKUP(E634,Codes!$L$2:$N$409,3,FALSE),"—"))</f>
        <v/>
      </c>
      <c r="H634" s="88"/>
      <c r="I634" s="88"/>
    </row>
    <row r="635" spans="1:9" ht="13.15" x14ac:dyDescent="0.35">
      <c r="A635" s="92"/>
      <c r="B635" s="89"/>
      <c r="C635" s="90"/>
      <c r="D635" s="88"/>
      <c r="E635" s="93" t="str" cm="1">
        <f t="array" ref="E635">IF(D635&lt;&gt;"",IFERROR(VLOOKUP(D635,Codes!$K$2:$L$409,2,FALSE),"UNKNOWN - "&amp;D635),IF(C635="","",IFERROR(_xlfn.IFS(ISNUMBER(SEARCH("broken button",C635)),"Break",ISNUMBER(SEARCH("broken handle",C635)),"Break",ISNUMBER(SEARCH("shipping damage",C635)),"Break",ISNUMBER(SEARCH("broken",C635)),"Break",ISNUMBER(SEARCH("crack",C635)),"Break",ISNUMBER(SEARCH("snap",C635)),"Break",ISNUMBER(SEARCH("fracture",C635)),"Break",ISNUMBER(SEARCH("bent",C635)),"Material Twisted/Bent",ISNUMBER(SEARCH("twisted",C635)),"Material Twisted/Bent",ISNUMBER(SEARCH("component separat",C635)),"Material Separation",ISNUMBER(SEARCH("separat",C635)),"Material Separation",ISNUMBER(SEARCH("connection",C635)),"Loose or Intermittent Connection",ISNUMBER(SEARCH("loose",C635)),"Loose or Intermittent Connection",ISNUMBER(SEARCH("damaged packaging",C635)),"Packaging Problem",ISNUMBER(SEARCH("packaging",C635)),"Packaging Problem",ISNUMBER(SEARCH("discoloration",C635)),"Contamination",ISNUMBER(SEARCH("tarnish",C635)),"Contamination",ISNUMBER(SEARCH("stain",C635)),"Contamination",ISNUMBER(SEARCH("foreign material",C635)),"Contamination",ISNUMBER(SEARCH("contamina",C635)),"Contamination",ISNUMBER(SEARCH("overheat",C635)),"Overheating of Device",ISNUMBER(SEARCH("excessive heat",C635)),"Overheating of Device",ISNUMBER(SEARCH("hot",C635)),"Overheating of Device",ISNUMBER(SEARCH("noise",C635)),"Noise, Audible",ISNUMBER(SEARCH("sound",C635)),"Noise, Audible",ISNUMBER(SEARCH("loud",C635)),"Noise, Audible",ISNUMBER(SEARCH("fray",C635)),"Material Frayed",ISNUMBER(SEARCH("hole",C635)),"Material Frayed",ISNUMBER(SEARCH("tear",C635)),"Material Frayed",ISNUMBER(SEARCH("worn",C635)),"Material Frayed",ISNUMBER(SEARCH("intermittent",C635)),"Difficult or Delayed Activation",ISNUMBER(SEARCH("delay",C635)),"Difficult or Delayed Activation",ISNUMBER(SEARCH("label",C635)),"Device Markings/Labelling Problem",ISNUMBER(SEARCH("marking",C635)),"Device Markings/Labelling Problem",ISNUMBER(SEARCH("lacerat",C635)),"Defective Device",ISNUMBER(SEARCH("cut",C635)),"Defective Device",ISNUMBER(SEARCH("leak",C635)),"Fluid/Blood Leak",ISNUMBER(SEARCH("missing",C635)),"Component Missing",ISNUMBER(SEARCH("power",C635)),"Complete Loss of Power",ISNUMBER(SEARCH("will not turn on",C635)),"Complete Loss of Power",ISNUMBER(SEARCH("won't turn on",C635)),"Complete Loss of Power",ISNUMBER(SEARCH("does not turn on",C635)),"Complete Loss of Power",ISNUMBER(SEARCH("electrical",C635)),"Electrical Power Problem",ISNUMBER(SEARCH("pressure",C635)),"Detachment of Device or Device Component",ISNUMBER(SEARCH("slip",C635)),"Detachment of Device or Device Component",ISNUMBER(SEARCH("detach",C635)),"Detachment of Device or Device Component",ISNUMBER(SEARCH("stick",C635)),"Mechanical Jam",ISNUMBER(SEARCH("jam",C635)),"Mechanical Jam",ISNUMBER(SEARCH("rigid",C635)),"Mechanical Jam",ISNUMBER(SEARCH("rust",C635)),"Corroded",ISNUMBER(SEARCH("corrod",C635)),"Corroded",ISNUMBER(SEARCH("corrosion",C635)),"Corroded",ISNUMBER(SEARCH("alignment",C635)),"Defective Device",ISNUMBER(SEARCH("adjust",C635)),"Defective Device",ISNUMBER(SEARCH("perform",C635)),"Defective Device",ISNUMBER(SEARCH("malfunction",C635)),"Defective Device",ISNUMBER(SEARCH("defect",C635)),"Defective Device",ISNUMBER(SEARCH("fail",C635)),"Defective Device",ISNUMBER(SEARCH("not work",C635)),"Defective Device",ISNUMBER(SEARCH("doesn't work",C635)),"Defective Device",TRUE,"UNKNOWN"),"UNKNOWN")))</f>
        <v/>
      </c>
      <c r="F635" s="4" t="str">
        <f t="shared" si="10"/>
        <v/>
      </c>
      <c r="G635" s="363" t="str">
        <f>IF(E635="","",IFERROR(VLOOKUP(E635,Codes!$L$2:$N$409,3,FALSE),"—"))</f>
        <v/>
      </c>
      <c r="H635" s="88"/>
      <c r="I635" s="88"/>
    </row>
    <row r="636" spans="1:9" ht="13.15" x14ac:dyDescent="0.35">
      <c r="A636" s="92"/>
      <c r="B636" s="89"/>
      <c r="C636" s="90"/>
      <c r="D636" s="88"/>
      <c r="E636" s="93" t="str" cm="1">
        <f t="array" ref="E636">IF(D636&lt;&gt;"",IFERROR(VLOOKUP(D636,Codes!$K$2:$L$409,2,FALSE),"UNKNOWN - "&amp;D636),IF(C636="","",IFERROR(_xlfn.IFS(ISNUMBER(SEARCH("broken button",C636)),"Break",ISNUMBER(SEARCH("broken handle",C636)),"Break",ISNUMBER(SEARCH("shipping damage",C636)),"Break",ISNUMBER(SEARCH("broken",C636)),"Break",ISNUMBER(SEARCH("crack",C636)),"Break",ISNUMBER(SEARCH("snap",C636)),"Break",ISNUMBER(SEARCH("fracture",C636)),"Break",ISNUMBER(SEARCH("bent",C636)),"Material Twisted/Bent",ISNUMBER(SEARCH("twisted",C636)),"Material Twisted/Bent",ISNUMBER(SEARCH("component separat",C636)),"Material Separation",ISNUMBER(SEARCH("separat",C636)),"Material Separation",ISNUMBER(SEARCH("connection",C636)),"Loose or Intermittent Connection",ISNUMBER(SEARCH("loose",C636)),"Loose or Intermittent Connection",ISNUMBER(SEARCH("damaged packaging",C636)),"Packaging Problem",ISNUMBER(SEARCH("packaging",C636)),"Packaging Problem",ISNUMBER(SEARCH("discoloration",C636)),"Contamination",ISNUMBER(SEARCH("tarnish",C636)),"Contamination",ISNUMBER(SEARCH("stain",C636)),"Contamination",ISNUMBER(SEARCH("foreign material",C636)),"Contamination",ISNUMBER(SEARCH("contamina",C636)),"Contamination",ISNUMBER(SEARCH("overheat",C636)),"Overheating of Device",ISNUMBER(SEARCH("excessive heat",C636)),"Overheating of Device",ISNUMBER(SEARCH("hot",C636)),"Overheating of Device",ISNUMBER(SEARCH("noise",C636)),"Noise, Audible",ISNUMBER(SEARCH("sound",C636)),"Noise, Audible",ISNUMBER(SEARCH("loud",C636)),"Noise, Audible",ISNUMBER(SEARCH("fray",C636)),"Material Frayed",ISNUMBER(SEARCH("hole",C636)),"Material Frayed",ISNUMBER(SEARCH("tear",C636)),"Material Frayed",ISNUMBER(SEARCH("worn",C636)),"Material Frayed",ISNUMBER(SEARCH("intermittent",C636)),"Difficult or Delayed Activation",ISNUMBER(SEARCH("delay",C636)),"Difficult or Delayed Activation",ISNUMBER(SEARCH("label",C636)),"Device Markings/Labelling Problem",ISNUMBER(SEARCH("marking",C636)),"Device Markings/Labelling Problem",ISNUMBER(SEARCH("lacerat",C636)),"Defective Device",ISNUMBER(SEARCH("cut",C636)),"Defective Device",ISNUMBER(SEARCH("leak",C636)),"Fluid/Blood Leak",ISNUMBER(SEARCH("missing",C636)),"Component Missing",ISNUMBER(SEARCH("power",C636)),"Complete Loss of Power",ISNUMBER(SEARCH("will not turn on",C636)),"Complete Loss of Power",ISNUMBER(SEARCH("won't turn on",C636)),"Complete Loss of Power",ISNUMBER(SEARCH("does not turn on",C636)),"Complete Loss of Power",ISNUMBER(SEARCH("electrical",C636)),"Electrical Power Problem",ISNUMBER(SEARCH("pressure",C636)),"Detachment of Device or Device Component",ISNUMBER(SEARCH("slip",C636)),"Detachment of Device or Device Component",ISNUMBER(SEARCH("detach",C636)),"Detachment of Device or Device Component",ISNUMBER(SEARCH("stick",C636)),"Mechanical Jam",ISNUMBER(SEARCH("jam",C636)),"Mechanical Jam",ISNUMBER(SEARCH("rigid",C636)),"Mechanical Jam",ISNUMBER(SEARCH("rust",C636)),"Corroded",ISNUMBER(SEARCH("corrod",C636)),"Corroded",ISNUMBER(SEARCH("corrosion",C636)),"Corroded",ISNUMBER(SEARCH("alignment",C636)),"Defective Device",ISNUMBER(SEARCH("adjust",C636)),"Defective Device",ISNUMBER(SEARCH("perform",C636)),"Defective Device",ISNUMBER(SEARCH("malfunction",C636)),"Defective Device",ISNUMBER(SEARCH("defect",C636)),"Defective Device",ISNUMBER(SEARCH("fail",C636)),"Defective Device",ISNUMBER(SEARCH("not work",C636)),"Defective Device",ISNUMBER(SEARCH("doesn't work",C636)),"Defective Device",TRUE,"UNKNOWN"),"UNKNOWN")))</f>
        <v/>
      </c>
      <c r="F636" s="4" t="str">
        <f t="shared" si="10"/>
        <v/>
      </c>
      <c r="G636" s="363" t="str">
        <f>IF(E636="","",IFERROR(VLOOKUP(E636,Codes!$L$2:$N$409,3,FALSE),"—"))</f>
        <v/>
      </c>
      <c r="H636" s="88"/>
      <c r="I636" s="88"/>
    </row>
    <row r="637" spans="1:9" ht="13.15" x14ac:dyDescent="0.35">
      <c r="A637" s="92"/>
      <c r="B637" s="89"/>
      <c r="C637" s="90"/>
      <c r="D637" s="88"/>
      <c r="E637" s="93" t="str" cm="1">
        <f t="array" ref="E637">IF(D637&lt;&gt;"",IFERROR(VLOOKUP(D637,Codes!$K$2:$L$409,2,FALSE),"UNKNOWN - "&amp;D637),IF(C637="","",IFERROR(_xlfn.IFS(ISNUMBER(SEARCH("broken button",C637)),"Break",ISNUMBER(SEARCH("broken handle",C637)),"Break",ISNUMBER(SEARCH("shipping damage",C637)),"Break",ISNUMBER(SEARCH("broken",C637)),"Break",ISNUMBER(SEARCH("crack",C637)),"Break",ISNUMBER(SEARCH("snap",C637)),"Break",ISNUMBER(SEARCH("fracture",C637)),"Break",ISNUMBER(SEARCH("bent",C637)),"Material Twisted/Bent",ISNUMBER(SEARCH("twisted",C637)),"Material Twisted/Bent",ISNUMBER(SEARCH("component separat",C637)),"Material Separation",ISNUMBER(SEARCH("separat",C637)),"Material Separation",ISNUMBER(SEARCH("connection",C637)),"Loose or Intermittent Connection",ISNUMBER(SEARCH("loose",C637)),"Loose or Intermittent Connection",ISNUMBER(SEARCH("damaged packaging",C637)),"Packaging Problem",ISNUMBER(SEARCH("packaging",C637)),"Packaging Problem",ISNUMBER(SEARCH("discoloration",C637)),"Contamination",ISNUMBER(SEARCH("tarnish",C637)),"Contamination",ISNUMBER(SEARCH("stain",C637)),"Contamination",ISNUMBER(SEARCH("foreign material",C637)),"Contamination",ISNUMBER(SEARCH("contamina",C637)),"Contamination",ISNUMBER(SEARCH("overheat",C637)),"Overheating of Device",ISNUMBER(SEARCH("excessive heat",C637)),"Overheating of Device",ISNUMBER(SEARCH("hot",C637)),"Overheating of Device",ISNUMBER(SEARCH("noise",C637)),"Noise, Audible",ISNUMBER(SEARCH("sound",C637)),"Noise, Audible",ISNUMBER(SEARCH("loud",C637)),"Noise, Audible",ISNUMBER(SEARCH("fray",C637)),"Material Frayed",ISNUMBER(SEARCH("hole",C637)),"Material Frayed",ISNUMBER(SEARCH("tear",C637)),"Material Frayed",ISNUMBER(SEARCH("worn",C637)),"Material Frayed",ISNUMBER(SEARCH("intermittent",C637)),"Difficult or Delayed Activation",ISNUMBER(SEARCH("delay",C637)),"Difficult or Delayed Activation",ISNUMBER(SEARCH("label",C637)),"Device Markings/Labelling Problem",ISNUMBER(SEARCH("marking",C637)),"Device Markings/Labelling Problem",ISNUMBER(SEARCH("lacerat",C637)),"Defective Device",ISNUMBER(SEARCH("cut",C637)),"Defective Device",ISNUMBER(SEARCH("leak",C637)),"Fluid/Blood Leak",ISNUMBER(SEARCH("missing",C637)),"Component Missing",ISNUMBER(SEARCH("power",C637)),"Complete Loss of Power",ISNUMBER(SEARCH("will not turn on",C637)),"Complete Loss of Power",ISNUMBER(SEARCH("won't turn on",C637)),"Complete Loss of Power",ISNUMBER(SEARCH("does not turn on",C637)),"Complete Loss of Power",ISNUMBER(SEARCH("electrical",C637)),"Electrical Power Problem",ISNUMBER(SEARCH("pressure",C637)),"Detachment of Device or Device Component",ISNUMBER(SEARCH("slip",C637)),"Detachment of Device or Device Component",ISNUMBER(SEARCH("detach",C637)),"Detachment of Device or Device Component",ISNUMBER(SEARCH("stick",C637)),"Mechanical Jam",ISNUMBER(SEARCH("jam",C637)),"Mechanical Jam",ISNUMBER(SEARCH("rigid",C637)),"Mechanical Jam",ISNUMBER(SEARCH("rust",C637)),"Corroded",ISNUMBER(SEARCH("corrod",C637)),"Corroded",ISNUMBER(SEARCH("corrosion",C637)),"Corroded",ISNUMBER(SEARCH("alignment",C637)),"Defective Device",ISNUMBER(SEARCH("adjust",C637)),"Defective Device",ISNUMBER(SEARCH("perform",C637)),"Defective Device",ISNUMBER(SEARCH("malfunction",C637)),"Defective Device",ISNUMBER(SEARCH("defect",C637)),"Defective Device",ISNUMBER(SEARCH("fail",C637)),"Defective Device",ISNUMBER(SEARCH("not work",C637)),"Defective Device",ISNUMBER(SEARCH("doesn't work",C637)),"Defective Device",TRUE,"UNKNOWN"),"UNKNOWN")))</f>
        <v/>
      </c>
      <c r="F637" s="4" t="str">
        <f t="shared" si="10"/>
        <v/>
      </c>
      <c r="G637" s="363" t="str">
        <f>IF(E637="","",IFERROR(VLOOKUP(E637,Codes!$L$2:$N$409,3,FALSE),"—"))</f>
        <v/>
      </c>
      <c r="H637" s="88"/>
      <c r="I637" s="88"/>
    </row>
    <row r="638" spans="1:9" ht="13.15" x14ac:dyDescent="0.35">
      <c r="A638" s="92"/>
      <c r="B638" s="89"/>
      <c r="C638" s="90"/>
      <c r="D638" s="88"/>
      <c r="E638" s="93" t="str" cm="1">
        <f t="array" ref="E638">IF(D638&lt;&gt;"",IFERROR(VLOOKUP(D638,Codes!$K$2:$L$409,2,FALSE),"UNKNOWN - "&amp;D638),IF(C638="","",IFERROR(_xlfn.IFS(ISNUMBER(SEARCH("broken button",C638)),"Break",ISNUMBER(SEARCH("broken handle",C638)),"Break",ISNUMBER(SEARCH("shipping damage",C638)),"Break",ISNUMBER(SEARCH("broken",C638)),"Break",ISNUMBER(SEARCH("crack",C638)),"Break",ISNUMBER(SEARCH("snap",C638)),"Break",ISNUMBER(SEARCH("fracture",C638)),"Break",ISNUMBER(SEARCH("bent",C638)),"Material Twisted/Bent",ISNUMBER(SEARCH("twisted",C638)),"Material Twisted/Bent",ISNUMBER(SEARCH("component separat",C638)),"Material Separation",ISNUMBER(SEARCH("separat",C638)),"Material Separation",ISNUMBER(SEARCH("connection",C638)),"Loose or Intermittent Connection",ISNUMBER(SEARCH("loose",C638)),"Loose or Intermittent Connection",ISNUMBER(SEARCH("damaged packaging",C638)),"Packaging Problem",ISNUMBER(SEARCH("packaging",C638)),"Packaging Problem",ISNUMBER(SEARCH("discoloration",C638)),"Contamination",ISNUMBER(SEARCH("tarnish",C638)),"Contamination",ISNUMBER(SEARCH("stain",C638)),"Contamination",ISNUMBER(SEARCH("foreign material",C638)),"Contamination",ISNUMBER(SEARCH("contamina",C638)),"Contamination",ISNUMBER(SEARCH("overheat",C638)),"Overheating of Device",ISNUMBER(SEARCH("excessive heat",C638)),"Overheating of Device",ISNUMBER(SEARCH("hot",C638)),"Overheating of Device",ISNUMBER(SEARCH("noise",C638)),"Noise, Audible",ISNUMBER(SEARCH("sound",C638)),"Noise, Audible",ISNUMBER(SEARCH("loud",C638)),"Noise, Audible",ISNUMBER(SEARCH("fray",C638)),"Material Frayed",ISNUMBER(SEARCH("hole",C638)),"Material Frayed",ISNUMBER(SEARCH("tear",C638)),"Material Frayed",ISNUMBER(SEARCH("worn",C638)),"Material Frayed",ISNUMBER(SEARCH("intermittent",C638)),"Difficult or Delayed Activation",ISNUMBER(SEARCH("delay",C638)),"Difficult or Delayed Activation",ISNUMBER(SEARCH("label",C638)),"Device Markings/Labelling Problem",ISNUMBER(SEARCH("marking",C638)),"Device Markings/Labelling Problem",ISNUMBER(SEARCH("lacerat",C638)),"Defective Device",ISNUMBER(SEARCH("cut",C638)),"Defective Device",ISNUMBER(SEARCH("leak",C638)),"Fluid/Blood Leak",ISNUMBER(SEARCH("missing",C638)),"Component Missing",ISNUMBER(SEARCH("power",C638)),"Complete Loss of Power",ISNUMBER(SEARCH("will not turn on",C638)),"Complete Loss of Power",ISNUMBER(SEARCH("won't turn on",C638)),"Complete Loss of Power",ISNUMBER(SEARCH("does not turn on",C638)),"Complete Loss of Power",ISNUMBER(SEARCH("electrical",C638)),"Electrical Power Problem",ISNUMBER(SEARCH("pressure",C638)),"Detachment of Device or Device Component",ISNUMBER(SEARCH("slip",C638)),"Detachment of Device or Device Component",ISNUMBER(SEARCH("detach",C638)),"Detachment of Device or Device Component",ISNUMBER(SEARCH("stick",C638)),"Mechanical Jam",ISNUMBER(SEARCH("jam",C638)),"Mechanical Jam",ISNUMBER(SEARCH("rigid",C638)),"Mechanical Jam",ISNUMBER(SEARCH("rust",C638)),"Corroded",ISNUMBER(SEARCH("corrod",C638)),"Corroded",ISNUMBER(SEARCH("corrosion",C638)),"Corroded",ISNUMBER(SEARCH("alignment",C638)),"Defective Device",ISNUMBER(SEARCH("adjust",C638)),"Defective Device",ISNUMBER(SEARCH("perform",C638)),"Defective Device",ISNUMBER(SEARCH("malfunction",C638)),"Defective Device",ISNUMBER(SEARCH("defect",C638)),"Defective Device",ISNUMBER(SEARCH("fail",C638)),"Defective Device",ISNUMBER(SEARCH("not work",C638)),"Defective Device",ISNUMBER(SEARCH("doesn't work",C638)),"Defective Device",TRUE,"UNKNOWN"),"UNKNOWN")))</f>
        <v/>
      </c>
      <c r="F638" s="4" t="str">
        <f t="shared" si="10"/>
        <v/>
      </c>
      <c r="G638" s="363" t="str">
        <f>IF(E638="","",IFERROR(VLOOKUP(E638,Codes!$L$2:$N$409,3,FALSE),"—"))</f>
        <v/>
      </c>
      <c r="H638" s="88"/>
      <c r="I638" s="88"/>
    </row>
    <row r="639" spans="1:9" ht="13.15" x14ac:dyDescent="0.35">
      <c r="A639" s="92"/>
      <c r="B639" s="89"/>
      <c r="C639" s="91"/>
      <c r="D639" s="88"/>
      <c r="E639" s="93" t="str" cm="1">
        <f t="array" ref="E639">IF(D639&lt;&gt;"",IFERROR(VLOOKUP(D639,Codes!$K$2:$L$409,2,FALSE),"UNKNOWN - "&amp;D639),IF(C639="","",IFERROR(_xlfn.IFS(ISNUMBER(SEARCH("broken button",C639)),"Break",ISNUMBER(SEARCH("broken handle",C639)),"Break",ISNUMBER(SEARCH("shipping damage",C639)),"Break",ISNUMBER(SEARCH("broken",C639)),"Break",ISNUMBER(SEARCH("crack",C639)),"Break",ISNUMBER(SEARCH("snap",C639)),"Break",ISNUMBER(SEARCH("fracture",C639)),"Break",ISNUMBER(SEARCH("bent",C639)),"Material Twisted/Bent",ISNUMBER(SEARCH("twisted",C639)),"Material Twisted/Bent",ISNUMBER(SEARCH("component separat",C639)),"Material Separation",ISNUMBER(SEARCH("separat",C639)),"Material Separation",ISNUMBER(SEARCH("connection",C639)),"Loose or Intermittent Connection",ISNUMBER(SEARCH("loose",C639)),"Loose or Intermittent Connection",ISNUMBER(SEARCH("damaged packaging",C639)),"Packaging Problem",ISNUMBER(SEARCH("packaging",C639)),"Packaging Problem",ISNUMBER(SEARCH("discoloration",C639)),"Contamination",ISNUMBER(SEARCH("tarnish",C639)),"Contamination",ISNUMBER(SEARCH("stain",C639)),"Contamination",ISNUMBER(SEARCH("foreign material",C639)),"Contamination",ISNUMBER(SEARCH("contamina",C639)),"Contamination",ISNUMBER(SEARCH("overheat",C639)),"Overheating of Device",ISNUMBER(SEARCH("excessive heat",C639)),"Overheating of Device",ISNUMBER(SEARCH("hot",C639)),"Overheating of Device",ISNUMBER(SEARCH("noise",C639)),"Noise, Audible",ISNUMBER(SEARCH("sound",C639)),"Noise, Audible",ISNUMBER(SEARCH("loud",C639)),"Noise, Audible",ISNUMBER(SEARCH("fray",C639)),"Material Frayed",ISNUMBER(SEARCH("hole",C639)),"Material Frayed",ISNUMBER(SEARCH("tear",C639)),"Material Frayed",ISNUMBER(SEARCH("worn",C639)),"Material Frayed",ISNUMBER(SEARCH("intermittent",C639)),"Difficult or Delayed Activation",ISNUMBER(SEARCH("delay",C639)),"Difficult or Delayed Activation",ISNUMBER(SEARCH("label",C639)),"Device Markings/Labelling Problem",ISNUMBER(SEARCH("marking",C639)),"Device Markings/Labelling Problem",ISNUMBER(SEARCH("lacerat",C639)),"Defective Device",ISNUMBER(SEARCH("cut",C639)),"Defective Device",ISNUMBER(SEARCH("leak",C639)),"Fluid/Blood Leak",ISNUMBER(SEARCH("missing",C639)),"Component Missing",ISNUMBER(SEARCH("power",C639)),"Complete Loss of Power",ISNUMBER(SEARCH("will not turn on",C639)),"Complete Loss of Power",ISNUMBER(SEARCH("won't turn on",C639)),"Complete Loss of Power",ISNUMBER(SEARCH("does not turn on",C639)),"Complete Loss of Power",ISNUMBER(SEARCH("electrical",C639)),"Electrical Power Problem",ISNUMBER(SEARCH("pressure",C639)),"Detachment of Device or Device Component",ISNUMBER(SEARCH("slip",C639)),"Detachment of Device or Device Component",ISNUMBER(SEARCH("detach",C639)),"Detachment of Device or Device Component",ISNUMBER(SEARCH("stick",C639)),"Mechanical Jam",ISNUMBER(SEARCH("jam",C639)),"Mechanical Jam",ISNUMBER(SEARCH("rigid",C639)),"Mechanical Jam",ISNUMBER(SEARCH("rust",C639)),"Corroded",ISNUMBER(SEARCH("corrod",C639)),"Corroded",ISNUMBER(SEARCH("corrosion",C639)),"Corroded",ISNUMBER(SEARCH("alignment",C639)),"Defective Device",ISNUMBER(SEARCH("adjust",C639)),"Defective Device",ISNUMBER(SEARCH("perform",C639)),"Defective Device",ISNUMBER(SEARCH("malfunction",C639)),"Defective Device",ISNUMBER(SEARCH("defect",C639)),"Defective Device",ISNUMBER(SEARCH("fail",C639)),"Defective Device",ISNUMBER(SEARCH("not work",C639)),"Defective Device",ISNUMBER(SEARCH("doesn't work",C639)),"Defective Device",TRUE,"UNKNOWN"),"UNKNOWN")))</f>
        <v/>
      </c>
      <c r="F639" s="4" t="str">
        <f t="shared" si="10"/>
        <v/>
      </c>
      <c r="G639" s="363" t="str">
        <f>IF(E639="","",IFERROR(VLOOKUP(E639,Codes!$L$2:$N$409,3,FALSE),"—"))</f>
        <v/>
      </c>
      <c r="H639" s="88"/>
      <c r="I639" s="88"/>
    </row>
    <row r="640" spans="1:9" ht="13.15" x14ac:dyDescent="0.35">
      <c r="A640" s="92"/>
      <c r="B640" s="89"/>
      <c r="C640" s="90"/>
      <c r="D640" s="88"/>
      <c r="E640" s="93" t="str" cm="1">
        <f t="array" ref="E640">IF(D640&lt;&gt;"",IFERROR(VLOOKUP(D640,Codes!$K$2:$L$409,2,FALSE),"UNKNOWN - "&amp;D640),IF(C640="","",IFERROR(_xlfn.IFS(ISNUMBER(SEARCH("broken button",C640)),"Break",ISNUMBER(SEARCH("broken handle",C640)),"Break",ISNUMBER(SEARCH("shipping damage",C640)),"Break",ISNUMBER(SEARCH("broken",C640)),"Break",ISNUMBER(SEARCH("crack",C640)),"Break",ISNUMBER(SEARCH("snap",C640)),"Break",ISNUMBER(SEARCH("fracture",C640)),"Break",ISNUMBER(SEARCH("bent",C640)),"Material Twisted/Bent",ISNUMBER(SEARCH("twisted",C640)),"Material Twisted/Bent",ISNUMBER(SEARCH("component separat",C640)),"Material Separation",ISNUMBER(SEARCH("separat",C640)),"Material Separation",ISNUMBER(SEARCH("connection",C640)),"Loose or Intermittent Connection",ISNUMBER(SEARCH("loose",C640)),"Loose or Intermittent Connection",ISNUMBER(SEARCH("damaged packaging",C640)),"Packaging Problem",ISNUMBER(SEARCH("packaging",C640)),"Packaging Problem",ISNUMBER(SEARCH("discoloration",C640)),"Contamination",ISNUMBER(SEARCH("tarnish",C640)),"Contamination",ISNUMBER(SEARCH("stain",C640)),"Contamination",ISNUMBER(SEARCH("foreign material",C640)),"Contamination",ISNUMBER(SEARCH("contamina",C640)),"Contamination",ISNUMBER(SEARCH("overheat",C640)),"Overheating of Device",ISNUMBER(SEARCH("excessive heat",C640)),"Overheating of Device",ISNUMBER(SEARCH("hot",C640)),"Overheating of Device",ISNUMBER(SEARCH("noise",C640)),"Noise, Audible",ISNUMBER(SEARCH("sound",C640)),"Noise, Audible",ISNUMBER(SEARCH("loud",C640)),"Noise, Audible",ISNUMBER(SEARCH("fray",C640)),"Material Frayed",ISNUMBER(SEARCH("hole",C640)),"Material Frayed",ISNUMBER(SEARCH("tear",C640)),"Material Frayed",ISNUMBER(SEARCH("worn",C640)),"Material Frayed",ISNUMBER(SEARCH("intermittent",C640)),"Difficult or Delayed Activation",ISNUMBER(SEARCH("delay",C640)),"Difficult or Delayed Activation",ISNUMBER(SEARCH("label",C640)),"Device Markings/Labelling Problem",ISNUMBER(SEARCH("marking",C640)),"Device Markings/Labelling Problem",ISNUMBER(SEARCH("lacerat",C640)),"Defective Device",ISNUMBER(SEARCH("cut",C640)),"Defective Device",ISNUMBER(SEARCH("leak",C640)),"Fluid/Blood Leak",ISNUMBER(SEARCH("missing",C640)),"Component Missing",ISNUMBER(SEARCH("power",C640)),"Complete Loss of Power",ISNUMBER(SEARCH("will not turn on",C640)),"Complete Loss of Power",ISNUMBER(SEARCH("won't turn on",C640)),"Complete Loss of Power",ISNUMBER(SEARCH("does not turn on",C640)),"Complete Loss of Power",ISNUMBER(SEARCH("electrical",C640)),"Electrical Power Problem",ISNUMBER(SEARCH("pressure",C640)),"Detachment of Device or Device Component",ISNUMBER(SEARCH("slip",C640)),"Detachment of Device or Device Component",ISNUMBER(SEARCH("detach",C640)),"Detachment of Device or Device Component",ISNUMBER(SEARCH("stick",C640)),"Mechanical Jam",ISNUMBER(SEARCH("jam",C640)),"Mechanical Jam",ISNUMBER(SEARCH("rigid",C640)),"Mechanical Jam",ISNUMBER(SEARCH("rust",C640)),"Corroded",ISNUMBER(SEARCH("corrod",C640)),"Corroded",ISNUMBER(SEARCH("corrosion",C640)),"Corroded",ISNUMBER(SEARCH("alignment",C640)),"Defective Device",ISNUMBER(SEARCH("adjust",C640)),"Defective Device",ISNUMBER(SEARCH("perform",C640)),"Defective Device",ISNUMBER(SEARCH("malfunction",C640)),"Defective Device",ISNUMBER(SEARCH("defect",C640)),"Defective Device",ISNUMBER(SEARCH("fail",C640)),"Defective Device",ISNUMBER(SEARCH("not work",C640)),"Defective Device",ISNUMBER(SEARCH("doesn't work",C640)),"Defective Device",TRUE,"UNKNOWN"),"UNKNOWN")))</f>
        <v/>
      </c>
      <c r="F640" s="4" t="str">
        <f t="shared" si="10"/>
        <v/>
      </c>
      <c r="G640" s="363" t="str">
        <f>IF(E640="","",IFERROR(VLOOKUP(E640,Codes!$L$2:$N$409,3,FALSE),"—"))</f>
        <v/>
      </c>
      <c r="H640" s="88"/>
      <c r="I640" s="88"/>
    </row>
    <row r="641" spans="1:9" ht="13.15" x14ac:dyDescent="0.35">
      <c r="A641" s="92"/>
      <c r="B641" s="89"/>
      <c r="C641" s="90"/>
      <c r="D641" s="88"/>
      <c r="E641" s="93" t="str" cm="1">
        <f t="array" ref="E641">IF(D641&lt;&gt;"",IFERROR(VLOOKUP(D641,Codes!$K$2:$L$409,2,FALSE),"UNKNOWN - "&amp;D641),IF(C641="","",IFERROR(_xlfn.IFS(ISNUMBER(SEARCH("broken button",C641)),"Break",ISNUMBER(SEARCH("broken handle",C641)),"Break",ISNUMBER(SEARCH("shipping damage",C641)),"Break",ISNUMBER(SEARCH("broken",C641)),"Break",ISNUMBER(SEARCH("crack",C641)),"Break",ISNUMBER(SEARCH("snap",C641)),"Break",ISNUMBER(SEARCH("fracture",C641)),"Break",ISNUMBER(SEARCH("bent",C641)),"Material Twisted/Bent",ISNUMBER(SEARCH("twisted",C641)),"Material Twisted/Bent",ISNUMBER(SEARCH("component separat",C641)),"Material Separation",ISNUMBER(SEARCH("separat",C641)),"Material Separation",ISNUMBER(SEARCH("connection",C641)),"Loose or Intermittent Connection",ISNUMBER(SEARCH("loose",C641)),"Loose or Intermittent Connection",ISNUMBER(SEARCH("damaged packaging",C641)),"Packaging Problem",ISNUMBER(SEARCH("packaging",C641)),"Packaging Problem",ISNUMBER(SEARCH("discoloration",C641)),"Contamination",ISNUMBER(SEARCH("tarnish",C641)),"Contamination",ISNUMBER(SEARCH("stain",C641)),"Contamination",ISNUMBER(SEARCH("foreign material",C641)),"Contamination",ISNUMBER(SEARCH("contamina",C641)),"Contamination",ISNUMBER(SEARCH("overheat",C641)),"Overheating of Device",ISNUMBER(SEARCH("excessive heat",C641)),"Overheating of Device",ISNUMBER(SEARCH("hot",C641)),"Overheating of Device",ISNUMBER(SEARCH("noise",C641)),"Noise, Audible",ISNUMBER(SEARCH("sound",C641)),"Noise, Audible",ISNUMBER(SEARCH("loud",C641)),"Noise, Audible",ISNUMBER(SEARCH("fray",C641)),"Material Frayed",ISNUMBER(SEARCH("hole",C641)),"Material Frayed",ISNUMBER(SEARCH("tear",C641)),"Material Frayed",ISNUMBER(SEARCH("worn",C641)),"Material Frayed",ISNUMBER(SEARCH("intermittent",C641)),"Difficult or Delayed Activation",ISNUMBER(SEARCH("delay",C641)),"Difficult or Delayed Activation",ISNUMBER(SEARCH("label",C641)),"Device Markings/Labelling Problem",ISNUMBER(SEARCH("marking",C641)),"Device Markings/Labelling Problem",ISNUMBER(SEARCH("lacerat",C641)),"Defective Device",ISNUMBER(SEARCH("cut",C641)),"Defective Device",ISNUMBER(SEARCH("leak",C641)),"Fluid/Blood Leak",ISNUMBER(SEARCH("missing",C641)),"Component Missing",ISNUMBER(SEARCH("power",C641)),"Complete Loss of Power",ISNUMBER(SEARCH("will not turn on",C641)),"Complete Loss of Power",ISNUMBER(SEARCH("won't turn on",C641)),"Complete Loss of Power",ISNUMBER(SEARCH("does not turn on",C641)),"Complete Loss of Power",ISNUMBER(SEARCH("electrical",C641)),"Electrical Power Problem",ISNUMBER(SEARCH("pressure",C641)),"Detachment of Device or Device Component",ISNUMBER(SEARCH("slip",C641)),"Detachment of Device or Device Component",ISNUMBER(SEARCH("detach",C641)),"Detachment of Device or Device Component",ISNUMBER(SEARCH("stick",C641)),"Mechanical Jam",ISNUMBER(SEARCH("jam",C641)),"Mechanical Jam",ISNUMBER(SEARCH("rigid",C641)),"Mechanical Jam",ISNUMBER(SEARCH("rust",C641)),"Corroded",ISNUMBER(SEARCH("corrod",C641)),"Corroded",ISNUMBER(SEARCH("corrosion",C641)),"Corroded",ISNUMBER(SEARCH("alignment",C641)),"Defective Device",ISNUMBER(SEARCH("adjust",C641)),"Defective Device",ISNUMBER(SEARCH("perform",C641)),"Defective Device",ISNUMBER(SEARCH("malfunction",C641)),"Defective Device",ISNUMBER(SEARCH("defect",C641)),"Defective Device",ISNUMBER(SEARCH("fail",C641)),"Defective Device",ISNUMBER(SEARCH("not work",C641)),"Defective Device",ISNUMBER(SEARCH("doesn't work",C641)),"Defective Device",TRUE,"UNKNOWN"),"UNKNOWN")))</f>
        <v/>
      </c>
      <c r="F641" s="4" t="str">
        <f t="shared" si="10"/>
        <v/>
      </c>
      <c r="G641" s="363" t="str">
        <f>IF(E641="","",IFERROR(VLOOKUP(E641,Codes!$L$2:$N$409,3,FALSE),"—"))</f>
        <v/>
      </c>
      <c r="H641" s="88"/>
      <c r="I641" s="88"/>
    </row>
    <row r="642" spans="1:9" ht="13.15" x14ac:dyDescent="0.35">
      <c r="A642" s="92"/>
      <c r="B642" s="89"/>
      <c r="C642" s="90"/>
      <c r="D642" s="88"/>
      <c r="E642" s="93" t="str" cm="1">
        <f t="array" ref="E642">IF(D642&lt;&gt;"",IFERROR(VLOOKUP(D642,Codes!$K$2:$L$409,2,FALSE),"UNKNOWN - "&amp;D642),IF(C642="","",IFERROR(_xlfn.IFS(ISNUMBER(SEARCH("broken button",C642)),"Break",ISNUMBER(SEARCH("broken handle",C642)),"Break",ISNUMBER(SEARCH("shipping damage",C642)),"Break",ISNUMBER(SEARCH("broken",C642)),"Break",ISNUMBER(SEARCH("crack",C642)),"Break",ISNUMBER(SEARCH("snap",C642)),"Break",ISNUMBER(SEARCH("fracture",C642)),"Break",ISNUMBER(SEARCH("bent",C642)),"Material Twisted/Bent",ISNUMBER(SEARCH("twisted",C642)),"Material Twisted/Bent",ISNUMBER(SEARCH("component separat",C642)),"Material Separation",ISNUMBER(SEARCH("separat",C642)),"Material Separation",ISNUMBER(SEARCH("connection",C642)),"Loose or Intermittent Connection",ISNUMBER(SEARCH("loose",C642)),"Loose or Intermittent Connection",ISNUMBER(SEARCH("damaged packaging",C642)),"Packaging Problem",ISNUMBER(SEARCH("packaging",C642)),"Packaging Problem",ISNUMBER(SEARCH("discoloration",C642)),"Contamination",ISNUMBER(SEARCH("tarnish",C642)),"Contamination",ISNUMBER(SEARCH("stain",C642)),"Contamination",ISNUMBER(SEARCH("foreign material",C642)),"Contamination",ISNUMBER(SEARCH("contamina",C642)),"Contamination",ISNUMBER(SEARCH("overheat",C642)),"Overheating of Device",ISNUMBER(SEARCH("excessive heat",C642)),"Overheating of Device",ISNUMBER(SEARCH("hot",C642)),"Overheating of Device",ISNUMBER(SEARCH("noise",C642)),"Noise, Audible",ISNUMBER(SEARCH("sound",C642)),"Noise, Audible",ISNUMBER(SEARCH("loud",C642)),"Noise, Audible",ISNUMBER(SEARCH("fray",C642)),"Material Frayed",ISNUMBER(SEARCH("hole",C642)),"Material Frayed",ISNUMBER(SEARCH("tear",C642)),"Material Frayed",ISNUMBER(SEARCH("worn",C642)),"Material Frayed",ISNUMBER(SEARCH("intermittent",C642)),"Difficult or Delayed Activation",ISNUMBER(SEARCH("delay",C642)),"Difficult or Delayed Activation",ISNUMBER(SEARCH("label",C642)),"Device Markings/Labelling Problem",ISNUMBER(SEARCH("marking",C642)),"Device Markings/Labelling Problem",ISNUMBER(SEARCH("lacerat",C642)),"Defective Device",ISNUMBER(SEARCH("cut",C642)),"Defective Device",ISNUMBER(SEARCH("leak",C642)),"Fluid/Blood Leak",ISNUMBER(SEARCH("missing",C642)),"Component Missing",ISNUMBER(SEARCH("power",C642)),"Complete Loss of Power",ISNUMBER(SEARCH("will not turn on",C642)),"Complete Loss of Power",ISNUMBER(SEARCH("won't turn on",C642)),"Complete Loss of Power",ISNUMBER(SEARCH("does not turn on",C642)),"Complete Loss of Power",ISNUMBER(SEARCH("electrical",C642)),"Electrical Power Problem",ISNUMBER(SEARCH("pressure",C642)),"Detachment of Device or Device Component",ISNUMBER(SEARCH("slip",C642)),"Detachment of Device or Device Component",ISNUMBER(SEARCH("detach",C642)),"Detachment of Device or Device Component",ISNUMBER(SEARCH("stick",C642)),"Mechanical Jam",ISNUMBER(SEARCH("jam",C642)),"Mechanical Jam",ISNUMBER(SEARCH("rigid",C642)),"Mechanical Jam",ISNUMBER(SEARCH("rust",C642)),"Corroded",ISNUMBER(SEARCH("corrod",C642)),"Corroded",ISNUMBER(SEARCH("corrosion",C642)),"Corroded",ISNUMBER(SEARCH("alignment",C642)),"Defective Device",ISNUMBER(SEARCH("adjust",C642)),"Defective Device",ISNUMBER(SEARCH("perform",C642)),"Defective Device",ISNUMBER(SEARCH("malfunction",C642)),"Defective Device",ISNUMBER(SEARCH("defect",C642)),"Defective Device",ISNUMBER(SEARCH("fail",C642)),"Defective Device",ISNUMBER(SEARCH("not work",C642)),"Defective Device",ISNUMBER(SEARCH("doesn't work",C642)),"Defective Device",TRUE,"UNKNOWN"),"UNKNOWN")))</f>
        <v/>
      </c>
      <c r="F642" s="4" t="str">
        <f t="shared" si="10"/>
        <v/>
      </c>
      <c r="G642" s="363" t="str">
        <f>IF(E642="","",IFERROR(VLOOKUP(E642,Codes!$L$2:$N$409,3,FALSE),"—"))</f>
        <v/>
      </c>
      <c r="H642" s="88"/>
      <c r="I642" s="88"/>
    </row>
    <row r="643" spans="1:9" ht="13.15" x14ac:dyDescent="0.35">
      <c r="A643" s="92"/>
      <c r="B643" s="89"/>
      <c r="C643" s="91"/>
      <c r="D643" s="88"/>
      <c r="E643" s="93" t="str" cm="1">
        <f t="array" ref="E643">IF(D643&lt;&gt;"",IFERROR(VLOOKUP(D643,Codes!$K$2:$L$409,2,FALSE),"UNKNOWN - "&amp;D643),IF(C643="","",IFERROR(_xlfn.IFS(ISNUMBER(SEARCH("broken button",C643)),"Break",ISNUMBER(SEARCH("broken handle",C643)),"Break",ISNUMBER(SEARCH("shipping damage",C643)),"Break",ISNUMBER(SEARCH("broken",C643)),"Break",ISNUMBER(SEARCH("crack",C643)),"Break",ISNUMBER(SEARCH("snap",C643)),"Break",ISNUMBER(SEARCH("fracture",C643)),"Break",ISNUMBER(SEARCH("bent",C643)),"Material Twisted/Bent",ISNUMBER(SEARCH("twisted",C643)),"Material Twisted/Bent",ISNUMBER(SEARCH("component separat",C643)),"Material Separation",ISNUMBER(SEARCH("separat",C643)),"Material Separation",ISNUMBER(SEARCH("connection",C643)),"Loose or Intermittent Connection",ISNUMBER(SEARCH("loose",C643)),"Loose or Intermittent Connection",ISNUMBER(SEARCH("damaged packaging",C643)),"Packaging Problem",ISNUMBER(SEARCH("packaging",C643)),"Packaging Problem",ISNUMBER(SEARCH("discoloration",C643)),"Contamination",ISNUMBER(SEARCH("tarnish",C643)),"Contamination",ISNUMBER(SEARCH("stain",C643)),"Contamination",ISNUMBER(SEARCH("foreign material",C643)),"Contamination",ISNUMBER(SEARCH("contamina",C643)),"Contamination",ISNUMBER(SEARCH("overheat",C643)),"Overheating of Device",ISNUMBER(SEARCH("excessive heat",C643)),"Overheating of Device",ISNUMBER(SEARCH("hot",C643)),"Overheating of Device",ISNUMBER(SEARCH("noise",C643)),"Noise, Audible",ISNUMBER(SEARCH("sound",C643)),"Noise, Audible",ISNUMBER(SEARCH("loud",C643)),"Noise, Audible",ISNUMBER(SEARCH("fray",C643)),"Material Frayed",ISNUMBER(SEARCH("hole",C643)),"Material Frayed",ISNUMBER(SEARCH("tear",C643)),"Material Frayed",ISNUMBER(SEARCH("worn",C643)),"Material Frayed",ISNUMBER(SEARCH("intermittent",C643)),"Difficult or Delayed Activation",ISNUMBER(SEARCH("delay",C643)),"Difficult or Delayed Activation",ISNUMBER(SEARCH("label",C643)),"Device Markings/Labelling Problem",ISNUMBER(SEARCH("marking",C643)),"Device Markings/Labelling Problem",ISNUMBER(SEARCH("lacerat",C643)),"Defective Device",ISNUMBER(SEARCH("cut",C643)),"Defective Device",ISNUMBER(SEARCH("leak",C643)),"Fluid/Blood Leak",ISNUMBER(SEARCH("missing",C643)),"Component Missing",ISNUMBER(SEARCH("power",C643)),"Complete Loss of Power",ISNUMBER(SEARCH("will not turn on",C643)),"Complete Loss of Power",ISNUMBER(SEARCH("won't turn on",C643)),"Complete Loss of Power",ISNUMBER(SEARCH("does not turn on",C643)),"Complete Loss of Power",ISNUMBER(SEARCH("electrical",C643)),"Electrical Power Problem",ISNUMBER(SEARCH("pressure",C643)),"Detachment of Device or Device Component",ISNUMBER(SEARCH("slip",C643)),"Detachment of Device or Device Component",ISNUMBER(SEARCH("detach",C643)),"Detachment of Device or Device Component",ISNUMBER(SEARCH("stick",C643)),"Mechanical Jam",ISNUMBER(SEARCH("jam",C643)),"Mechanical Jam",ISNUMBER(SEARCH("rigid",C643)),"Mechanical Jam",ISNUMBER(SEARCH("rust",C643)),"Corroded",ISNUMBER(SEARCH("corrod",C643)),"Corroded",ISNUMBER(SEARCH("corrosion",C643)),"Corroded",ISNUMBER(SEARCH("alignment",C643)),"Defective Device",ISNUMBER(SEARCH("adjust",C643)),"Defective Device",ISNUMBER(SEARCH("perform",C643)),"Defective Device",ISNUMBER(SEARCH("malfunction",C643)),"Defective Device",ISNUMBER(SEARCH("defect",C643)),"Defective Device",ISNUMBER(SEARCH("fail",C643)),"Defective Device",ISNUMBER(SEARCH("not work",C643)),"Defective Device",ISNUMBER(SEARCH("doesn't work",C643)),"Defective Device",TRUE,"UNKNOWN"),"UNKNOWN")))</f>
        <v/>
      </c>
      <c r="F643" s="4" t="str">
        <f t="shared" si="10"/>
        <v/>
      </c>
      <c r="G643" s="363" t="str">
        <f>IF(E643="","",IFERROR(VLOOKUP(E643,Codes!$L$2:$N$409,3,FALSE),"—"))</f>
        <v/>
      </c>
      <c r="H643" s="88"/>
      <c r="I643" s="88"/>
    </row>
    <row r="644" spans="1:9" ht="13.15" x14ac:dyDescent="0.35">
      <c r="A644" s="92"/>
      <c r="B644" s="89"/>
      <c r="C644" s="90"/>
      <c r="D644" s="88"/>
      <c r="E644" s="93" t="str" cm="1">
        <f t="array" ref="E644">IF(D644&lt;&gt;"",IFERROR(VLOOKUP(D644,Codes!$K$2:$L$409,2,FALSE),"UNKNOWN - "&amp;D644),IF(C644="","",IFERROR(_xlfn.IFS(ISNUMBER(SEARCH("broken button",C644)),"Break",ISNUMBER(SEARCH("broken handle",C644)),"Break",ISNUMBER(SEARCH("shipping damage",C644)),"Break",ISNUMBER(SEARCH("broken",C644)),"Break",ISNUMBER(SEARCH("crack",C644)),"Break",ISNUMBER(SEARCH("snap",C644)),"Break",ISNUMBER(SEARCH("fracture",C644)),"Break",ISNUMBER(SEARCH("bent",C644)),"Material Twisted/Bent",ISNUMBER(SEARCH("twisted",C644)),"Material Twisted/Bent",ISNUMBER(SEARCH("component separat",C644)),"Material Separation",ISNUMBER(SEARCH("separat",C644)),"Material Separation",ISNUMBER(SEARCH("connection",C644)),"Loose or Intermittent Connection",ISNUMBER(SEARCH("loose",C644)),"Loose or Intermittent Connection",ISNUMBER(SEARCH("damaged packaging",C644)),"Packaging Problem",ISNUMBER(SEARCH("packaging",C644)),"Packaging Problem",ISNUMBER(SEARCH("discoloration",C644)),"Contamination",ISNUMBER(SEARCH("tarnish",C644)),"Contamination",ISNUMBER(SEARCH("stain",C644)),"Contamination",ISNUMBER(SEARCH("foreign material",C644)),"Contamination",ISNUMBER(SEARCH("contamina",C644)),"Contamination",ISNUMBER(SEARCH("overheat",C644)),"Overheating of Device",ISNUMBER(SEARCH("excessive heat",C644)),"Overheating of Device",ISNUMBER(SEARCH("hot",C644)),"Overheating of Device",ISNUMBER(SEARCH("noise",C644)),"Noise, Audible",ISNUMBER(SEARCH("sound",C644)),"Noise, Audible",ISNUMBER(SEARCH("loud",C644)),"Noise, Audible",ISNUMBER(SEARCH("fray",C644)),"Material Frayed",ISNUMBER(SEARCH("hole",C644)),"Material Frayed",ISNUMBER(SEARCH("tear",C644)),"Material Frayed",ISNUMBER(SEARCH("worn",C644)),"Material Frayed",ISNUMBER(SEARCH("intermittent",C644)),"Difficult or Delayed Activation",ISNUMBER(SEARCH("delay",C644)),"Difficult or Delayed Activation",ISNUMBER(SEARCH("label",C644)),"Device Markings/Labelling Problem",ISNUMBER(SEARCH("marking",C644)),"Device Markings/Labelling Problem",ISNUMBER(SEARCH("lacerat",C644)),"Defective Device",ISNUMBER(SEARCH("cut",C644)),"Defective Device",ISNUMBER(SEARCH("leak",C644)),"Fluid/Blood Leak",ISNUMBER(SEARCH("missing",C644)),"Component Missing",ISNUMBER(SEARCH("power",C644)),"Complete Loss of Power",ISNUMBER(SEARCH("will not turn on",C644)),"Complete Loss of Power",ISNUMBER(SEARCH("won't turn on",C644)),"Complete Loss of Power",ISNUMBER(SEARCH("does not turn on",C644)),"Complete Loss of Power",ISNUMBER(SEARCH("electrical",C644)),"Electrical Power Problem",ISNUMBER(SEARCH("pressure",C644)),"Detachment of Device or Device Component",ISNUMBER(SEARCH("slip",C644)),"Detachment of Device or Device Component",ISNUMBER(SEARCH("detach",C644)),"Detachment of Device or Device Component",ISNUMBER(SEARCH("stick",C644)),"Mechanical Jam",ISNUMBER(SEARCH("jam",C644)),"Mechanical Jam",ISNUMBER(SEARCH("rigid",C644)),"Mechanical Jam",ISNUMBER(SEARCH("rust",C644)),"Corroded",ISNUMBER(SEARCH("corrod",C644)),"Corroded",ISNUMBER(SEARCH("corrosion",C644)),"Corroded",ISNUMBER(SEARCH("alignment",C644)),"Defective Device",ISNUMBER(SEARCH("adjust",C644)),"Defective Device",ISNUMBER(SEARCH("perform",C644)),"Defective Device",ISNUMBER(SEARCH("malfunction",C644)),"Defective Device",ISNUMBER(SEARCH("defect",C644)),"Defective Device",ISNUMBER(SEARCH("fail",C644)),"Defective Device",ISNUMBER(SEARCH("not work",C644)),"Defective Device",ISNUMBER(SEARCH("doesn't work",C644)),"Defective Device",TRUE,"UNKNOWN"),"UNKNOWN")))</f>
        <v/>
      </c>
      <c r="F644" s="4" t="str">
        <f t="shared" si="10"/>
        <v/>
      </c>
      <c r="G644" s="363" t="str">
        <f>IF(E644="","",IFERROR(VLOOKUP(E644,Codes!$L$2:$N$409,3,FALSE),"—"))</f>
        <v/>
      </c>
      <c r="H644" s="88"/>
      <c r="I644" s="88"/>
    </row>
    <row r="645" spans="1:9" ht="13.15" x14ac:dyDescent="0.35">
      <c r="A645" s="92"/>
      <c r="B645" s="89"/>
      <c r="C645" s="90"/>
      <c r="D645" s="88"/>
      <c r="E645" s="93" t="str" cm="1">
        <f t="array" ref="E645">IF(D645&lt;&gt;"",IFERROR(VLOOKUP(D645,Codes!$K$2:$L$409,2,FALSE),"UNKNOWN - "&amp;D645),IF(C645="","",IFERROR(_xlfn.IFS(ISNUMBER(SEARCH("broken button",C645)),"Break",ISNUMBER(SEARCH("broken handle",C645)),"Break",ISNUMBER(SEARCH("shipping damage",C645)),"Break",ISNUMBER(SEARCH("broken",C645)),"Break",ISNUMBER(SEARCH("crack",C645)),"Break",ISNUMBER(SEARCH("snap",C645)),"Break",ISNUMBER(SEARCH("fracture",C645)),"Break",ISNUMBER(SEARCH("bent",C645)),"Material Twisted/Bent",ISNUMBER(SEARCH("twisted",C645)),"Material Twisted/Bent",ISNUMBER(SEARCH("component separat",C645)),"Material Separation",ISNUMBER(SEARCH("separat",C645)),"Material Separation",ISNUMBER(SEARCH("connection",C645)),"Loose or Intermittent Connection",ISNUMBER(SEARCH("loose",C645)),"Loose or Intermittent Connection",ISNUMBER(SEARCH("damaged packaging",C645)),"Packaging Problem",ISNUMBER(SEARCH("packaging",C645)),"Packaging Problem",ISNUMBER(SEARCH("discoloration",C645)),"Contamination",ISNUMBER(SEARCH("tarnish",C645)),"Contamination",ISNUMBER(SEARCH("stain",C645)),"Contamination",ISNUMBER(SEARCH("foreign material",C645)),"Contamination",ISNUMBER(SEARCH("contamina",C645)),"Contamination",ISNUMBER(SEARCH("overheat",C645)),"Overheating of Device",ISNUMBER(SEARCH("excessive heat",C645)),"Overheating of Device",ISNUMBER(SEARCH("hot",C645)),"Overheating of Device",ISNUMBER(SEARCH("noise",C645)),"Noise, Audible",ISNUMBER(SEARCH("sound",C645)),"Noise, Audible",ISNUMBER(SEARCH("loud",C645)),"Noise, Audible",ISNUMBER(SEARCH("fray",C645)),"Material Frayed",ISNUMBER(SEARCH("hole",C645)),"Material Frayed",ISNUMBER(SEARCH("tear",C645)),"Material Frayed",ISNUMBER(SEARCH("worn",C645)),"Material Frayed",ISNUMBER(SEARCH("intermittent",C645)),"Difficult or Delayed Activation",ISNUMBER(SEARCH("delay",C645)),"Difficult or Delayed Activation",ISNUMBER(SEARCH("label",C645)),"Device Markings/Labelling Problem",ISNUMBER(SEARCH("marking",C645)),"Device Markings/Labelling Problem",ISNUMBER(SEARCH("lacerat",C645)),"Defective Device",ISNUMBER(SEARCH("cut",C645)),"Defective Device",ISNUMBER(SEARCH("leak",C645)),"Fluid/Blood Leak",ISNUMBER(SEARCH("missing",C645)),"Component Missing",ISNUMBER(SEARCH("power",C645)),"Complete Loss of Power",ISNUMBER(SEARCH("will not turn on",C645)),"Complete Loss of Power",ISNUMBER(SEARCH("won't turn on",C645)),"Complete Loss of Power",ISNUMBER(SEARCH("does not turn on",C645)),"Complete Loss of Power",ISNUMBER(SEARCH("electrical",C645)),"Electrical Power Problem",ISNUMBER(SEARCH("pressure",C645)),"Detachment of Device or Device Component",ISNUMBER(SEARCH("slip",C645)),"Detachment of Device or Device Component",ISNUMBER(SEARCH("detach",C645)),"Detachment of Device or Device Component",ISNUMBER(SEARCH("stick",C645)),"Mechanical Jam",ISNUMBER(SEARCH("jam",C645)),"Mechanical Jam",ISNUMBER(SEARCH("rigid",C645)),"Mechanical Jam",ISNUMBER(SEARCH("rust",C645)),"Corroded",ISNUMBER(SEARCH("corrod",C645)),"Corroded",ISNUMBER(SEARCH("corrosion",C645)),"Corroded",ISNUMBER(SEARCH("alignment",C645)),"Defective Device",ISNUMBER(SEARCH("adjust",C645)),"Defective Device",ISNUMBER(SEARCH("perform",C645)),"Defective Device",ISNUMBER(SEARCH("malfunction",C645)),"Defective Device",ISNUMBER(SEARCH("defect",C645)),"Defective Device",ISNUMBER(SEARCH("fail",C645)),"Defective Device",ISNUMBER(SEARCH("not work",C645)),"Defective Device",ISNUMBER(SEARCH("doesn't work",C645)),"Defective Device",TRUE,"UNKNOWN"),"UNKNOWN")))</f>
        <v/>
      </c>
      <c r="F645" s="4" t="str">
        <f t="shared" si="10"/>
        <v/>
      </c>
      <c r="G645" s="363" t="str">
        <f>IF(E645="","",IFERROR(VLOOKUP(E645,Codes!$L$2:$N$409,3,FALSE),"—"))</f>
        <v/>
      </c>
      <c r="H645" s="88"/>
      <c r="I645" s="88"/>
    </row>
    <row r="646" spans="1:9" ht="13.15" x14ac:dyDescent="0.35">
      <c r="A646" s="92"/>
      <c r="B646" s="89"/>
      <c r="C646" s="90"/>
      <c r="D646" s="88"/>
      <c r="E646" s="93" t="str" cm="1">
        <f t="array" ref="E646">IF(D646&lt;&gt;"",IFERROR(VLOOKUP(D646,Codes!$K$2:$L$409,2,FALSE),"UNKNOWN - "&amp;D646),IF(C646="","",IFERROR(_xlfn.IFS(ISNUMBER(SEARCH("broken button",C646)),"Break",ISNUMBER(SEARCH("broken handle",C646)),"Break",ISNUMBER(SEARCH("shipping damage",C646)),"Break",ISNUMBER(SEARCH("broken",C646)),"Break",ISNUMBER(SEARCH("crack",C646)),"Break",ISNUMBER(SEARCH("snap",C646)),"Break",ISNUMBER(SEARCH("fracture",C646)),"Break",ISNUMBER(SEARCH("bent",C646)),"Material Twisted/Bent",ISNUMBER(SEARCH("twisted",C646)),"Material Twisted/Bent",ISNUMBER(SEARCH("component separat",C646)),"Material Separation",ISNUMBER(SEARCH("separat",C646)),"Material Separation",ISNUMBER(SEARCH("connection",C646)),"Loose or Intermittent Connection",ISNUMBER(SEARCH("loose",C646)),"Loose or Intermittent Connection",ISNUMBER(SEARCH("damaged packaging",C646)),"Packaging Problem",ISNUMBER(SEARCH("packaging",C646)),"Packaging Problem",ISNUMBER(SEARCH("discoloration",C646)),"Contamination",ISNUMBER(SEARCH("tarnish",C646)),"Contamination",ISNUMBER(SEARCH("stain",C646)),"Contamination",ISNUMBER(SEARCH("foreign material",C646)),"Contamination",ISNUMBER(SEARCH("contamina",C646)),"Contamination",ISNUMBER(SEARCH("overheat",C646)),"Overheating of Device",ISNUMBER(SEARCH("excessive heat",C646)),"Overheating of Device",ISNUMBER(SEARCH("hot",C646)),"Overheating of Device",ISNUMBER(SEARCH("noise",C646)),"Noise, Audible",ISNUMBER(SEARCH("sound",C646)),"Noise, Audible",ISNUMBER(SEARCH("loud",C646)),"Noise, Audible",ISNUMBER(SEARCH("fray",C646)),"Material Frayed",ISNUMBER(SEARCH("hole",C646)),"Material Frayed",ISNUMBER(SEARCH("tear",C646)),"Material Frayed",ISNUMBER(SEARCH("worn",C646)),"Material Frayed",ISNUMBER(SEARCH("intermittent",C646)),"Difficult or Delayed Activation",ISNUMBER(SEARCH("delay",C646)),"Difficult or Delayed Activation",ISNUMBER(SEARCH("label",C646)),"Device Markings/Labelling Problem",ISNUMBER(SEARCH("marking",C646)),"Device Markings/Labelling Problem",ISNUMBER(SEARCH("lacerat",C646)),"Defective Device",ISNUMBER(SEARCH("cut",C646)),"Defective Device",ISNUMBER(SEARCH("leak",C646)),"Fluid/Blood Leak",ISNUMBER(SEARCH("missing",C646)),"Component Missing",ISNUMBER(SEARCH("power",C646)),"Complete Loss of Power",ISNUMBER(SEARCH("will not turn on",C646)),"Complete Loss of Power",ISNUMBER(SEARCH("won't turn on",C646)),"Complete Loss of Power",ISNUMBER(SEARCH("does not turn on",C646)),"Complete Loss of Power",ISNUMBER(SEARCH("electrical",C646)),"Electrical Power Problem",ISNUMBER(SEARCH("pressure",C646)),"Detachment of Device or Device Component",ISNUMBER(SEARCH("slip",C646)),"Detachment of Device or Device Component",ISNUMBER(SEARCH("detach",C646)),"Detachment of Device or Device Component",ISNUMBER(SEARCH("stick",C646)),"Mechanical Jam",ISNUMBER(SEARCH("jam",C646)),"Mechanical Jam",ISNUMBER(SEARCH("rigid",C646)),"Mechanical Jam",ISNUMBER(SEARCH("rust",C646)),"Corroded",ISNUMBER(SEARCH("corrod",C646)),"Corroded",ISNUMBER(SEARCH("corrosion",C646)),"Corroded",ISNUMBER(SEARCH("alignment",C646)),"Defective Device",ISNUMBER(SEARCH("adjust",C646)),"Defective Device",ISNUMBER(SEARCH("perform",C646)),"Defective Device",ISNUMBER(SEARCH("malfunction",C646)),"Defective Device",ISNUMBER(SEARCH("defect",C646)),"Defective Device",ISNUMBER(SEARCH("fail",C646)),"Defective Device",ISNUMBER(SEARCH("not work",C646)),"Defective Device",ISNUMBER(SEARCH("doesn't work",C646)),"Defective Device",TRUE,"UNKNOWN"),"UNKNOWN")))</f>
        <v/>
      </c>
      <c r="F646" s="4" t="str">
        <f t="shared" si="10"/>
        <v/>
      </c>
      <c r="G646" s="363" t="str">
        <f>IF(E646="","",IFERROR(VLOOKUP(E646,Codes!$L$2:$N$409,3,FALSE),"—"))</f>
        <v/>
      </c>
      <c r="H646" s="88"/>
      <c r="I646" s="88"/>
    </row>
    <row r="647" spans="1:9" ht="13.15" x14ac:dyDescent="0.35">
      <c r="A647" s="92"/>
      <c r="B647" s="89"/>
      <c r="C647" s="90"/>
      <c r="D647" s="88"/>
      <c r="E647" s="93" t="str" cm="1">
        <f t="array" ref="E647">IF(D647&lt;&gt;"",IFERROR(VLOOKUP(D647,Codes!$K$2:$L$409,2,FALSE),"UNKNOWN - "&amp;D647),IF(C647="","",IFERROR(_xlfn.IFS(ISNUMBER(SEARCH("broken button",C647)),"Break",ISNUMBER(SEARCH("broken handle",C647)),"Break",ISNUMBER(SEARCH("shipping damage",C647)),"Break",ISNUMBER(SEARCH("broken",C647)),"Break",ISNUMBER(SEARCH("crack",C647)),"Break",ISNUMBER(SEARCH("snap",C647)),"Break",ISNUMBER(SEARCH("fracture",C647)),"Break",ISNUMBER(SEARCH("bent",C647)),"Material Twisted/Bent",ISNUMBER(SEARCH("twisted",C647)),"Material Twisted/Bent",ISNUMBER(SEARCH("component separat",C647)),"Material Separation",ISNUMBER(SEARCH("separat",C647)),"Material Separation",ISNUMBER(SEARCH("connection",C647)),"Loose or Intermittent Connection",ISNUMBER(SEARCH("loose",C647)),"Loose or Intermittent Connection",ISNUMBER(SEARCH("damaged packaging",C647)),"Packaging Problem",ISNUMBER(SEARCH("packaging",C647)),"Packaging Problem",ISNUMBER(SEARCH("discoloration",C647)),"Contamination",ISNUMBER(SEARCH("tarnish",C647)),"Contamination",ISNUMBER(SEARCH("stain",C647)),"Contamination",ISNUMBER(SEARCH("foreign material",C647)),"Contamination",ISNUMBER(SEARCH("contamina",C647)),"Contamination",ISNUMBER(SEARCH("overheat",C647)),"Overheating of Device",ISNUMBER(SEARCH("excessive heat",C647)),"Overheating of Device",ISNUMBER(SEARCH("hot",C647)),"Overheating of Device",ISNUMBER(SEARCH("noise",C647)),"Noise, Audible",ISNUMBER(SEARCH("sound",C647)),"Noise, Audible",ISNUMBER(SEARCH("loud",C647)),"Noise, Audible",ISNUMBER(SEARCH("fray",C647)),"Material Frayed",ISNUMBER(SEARCH("hole",C647)),"Material Frayed",ISNUMBER(SEARCH("tear",C647)),"Material Frayed",ISNUMBER(SEARCH("worn",C647)),"Material Frayed",ISNUMBER(SEARCH("intermittent",C647)),"Difficult or Delayed Activation",ISNUMBER(SEARCH("delay",C647)),"Difficult or Delayed Activation",ISNUMBER(SEARCH("label",C647)),"Device Markings/Labelling Problem",ISNUMBER(SEARCH("marking",C647)),"Device Markings/Labelling Problem",ISNUMBER(SEARCH("lacerat",C647)),"Defective Device",ISNUMBER(SEARCH("cut",C647)),"Defective Device",ISNUMBER(SEARCH("leak",C647)),"Fluid/Blood Leak",ISNUMBER(SEARCH("missing",C647)),"Component Missing",ISNUMBER(SEARCH("power",C647)),"Complete Loss of Power",ISNUMBER(SEARCH("will not turn on",C647)),"Complete Loss of Power",ISNUMBER(SEARCH("won't turn on",C647)),"Complete Loss of Power",ISNUMBER(SEARCH("does not turn on",C647)),"Complete Loss of Power",ISNUMBER(SEARCH("electrical",C647)),"Electrical Power Problem",ISNUMBER(SEARCH("pressure",C647)),"Detachment of Device or Device Component",ISNUMBER(SEARCH("slip",C647)),"Detachment of Device or Device Component",ISNUMBER(SEARCH("detach",C647)),"Detachment of Device or Device Component",ISNUMBER(SEARCH("stick",C647)),"Mechanical Jam",ISNUMBER(SEARCH("jam",C647)),"Mechanical Jam",ISNUMBER(SEARCH("rigid",C647)),"Mechanical Jam",ISNUMBER(SEARCH("rust",C647)),"Corroded",ISNUMBER(SEARCH("corrod",C647)),"Corroded",ISNUMBER(SEARCH("corrosion",C647)),"Corroded",ISNUMBER(SEARCH("alignment",C647)),"Defective Device",ISNUMBER(SEARCH("adjust",C647)),"Defective Device",ISNUMBER(SEARCH("perform",C647)),"Defective Device",ISNUMBER(SEARCH("malfunction",C647)),"Defective Device",ISNUMBER(SEARCH("defect",C647)),"Defective Device",ISNUMBER(SEARCH("fail",C647)),"Defective Device",ISNUMBER(SEARCH("not work",C647)),"Defective Device",ISNUMBER(SEARCH("doesn't work",C647)),"Defective Device",TRUE,"UNKNOWN"),"UNKNOWN")))</f>
        <v/>
      </c>
      <c r="F647" s="4" t="str">
        <f t="shared" si="10"/>
        <v/>
      </c>
      <c r="G647" s="363" t="str">
        <f>IF(E647="","",IFERROR(VLOOKUP(E647,Codes!$L$2:$N$409,3,FALSE),"—"))</f>
        <v/>
      </c>
      <c r="H647" s="88"/>
      <c r="I647" s="88"/>
    </row>
    <row r="648" spans="1:9" ht="13.15" x14ac:dyDescent="0.35">
      <c r="A648" s="92"/>
      <c r="B648" s="89"/>
      <c r="C648" s="90"/>
      <c r="D648" s="88"/>
      <c r="E648" s="93" t="str" cm="1">
        <f t="array" ref="E648">IF(D648&lt;&gt;"",IFERROR(VLOOKUP(D648,Codes!$K$2:$L$409,2,FALSE),"UNKNOWN - "&amp;D648),IF(C648="","",IFERROR(_xlfn.IFS(ISNUMBER(SEARCH("broken button",C648)),"Break",ISNUMBER(SEARCH("broken handle",C648)),"Break",ISNUMBER(SEARCH("shipping damage",C648)),"Break",ISNUMBER(SEARCH("broken",C648)),"Break",ISNUMBER(SEARCH("crack",C648)),"Break",ISNUMBER(SEARCH("snap",C648)),"Break",ISNUMBER(SEARCH("fracture",C648)),"Break",ISNUMBER(SEARCH("bent",C648)),"Material Twisted/Bent",ISNUMBER(SEARCH("twisted",C648)),"Material Twisted/Bent",ISNUMBER(SEARCH("component separat",C648)),"Material Separation",ISNUMBER(SEARCH("separat",C648)),"Material Separation",ISNUMBER(SEARCH("connection",C648)),"Loose or Intermittent Connection",ISNUMBER(SEARCH("loose",C648)),"Loose or Intermittent Connection",ISNUMBER(SEARCH("damaged packaging",C648)),"Packaging Problem",ISNUMBER(SEARCH("packaging",C648)),"Packaging Problem",ISNUMBER(SEARCH("discoloration",C648)),"Contamination",ISNUMBER(SEARCH("tarnish",C648)),"Contamination",ISNUMBER(SEARCH("stain",C648)),"Contamination",ISNUMBER(SEARCH("foreign material",C648)),"Contamination",ISNUMBER(SEARCH("contamina",C648)),"Contamination",ISNUMBER(SEARCH("overheat",C648)),"Overheating of Device",ISNUMBER(SEARCH("excessive heat",C648)),"Overheating of Device",ISNUMBER(SEARCH("hot",C648)),"Overheating of Device",ISNUMBER(SEARCH("noise",C648)),"Noise, Audible",ISNUMBER(SEARCH("sound",C648)),"Noise, Audible",ISNUMBER(SEARCH("loud",C648)),"Noise, Audible",ISNUMBER(SEARCH("fray",C648)),"Material Frayed",ISNUMBER(SEARCH("hole",C648)),"Material Frayed",ISNUMBER(SEARCH("tear",C648)),"Material Frayed",ISNUMBER(SEARCH("worn",C648)),"Material Frayed",ISNUMBER(SEARCH("intermittent",C648)),"Difficult or Delayed Activation",ISNUMBER(SEARCH("delay",C648)),"Difficult or Delayed Activation",ISNUMBER(SEARCH("label",C648)),"Device Markings/Labelling Problem",ISNUMBER(SEARCH("marking",C648)),"Device Markings/Labelling Problem",ISNUMBER(SEARCH("lacerat",C648)),"Defective Device",ISNUMBER(SEARCH("cut",C648)),"Defective Device",ISNUMBER(SEARCH("leak",C648)),"Fluid/Blood Leak",ISNUMBER(SEARCH("missing",C648)),"Component Missing",ISNUMBER(SEARCH("power",C648)),"Complete Loss of Power",ISNUMBER(SEARCH("will not turn on",C648)),"Complete Loss of Power",ISNUMBER(SEARCH("won't turn on",C648)),"Complete Loss of Power",ISNUMBER(SEARCH("does not turn on",C648)),"Complete Loss of Power",ISNUMBER(SEARCH("electrical",C648)),"Electrical Power Problem",ISNUMBER(SEARCH("pressure",C648)),"Detachment of Device or Device Component",ISNUMBER(SEARCH("slip",C648)),"Detachment of Device or Device Component",ISNUMBER(SEARCH("detach",C648)),"Detachment of Device or Device Component",ISNUMBER(SEARCH("stick",C648)),"Mechanical Jam",ISNUMBER(SEARCH("jam",C648)),"Mechanical Jam",ISNUMBER(SEARCH("rigid",C648)),"Mechanical Jam",ISNUMBER(SEARCH("rust",C648)),"Corroded",ISNUMBER(SEARCH("corrod",C648)),"Corroded",ISNUMBER(SEARCH("corrosion",C648)),"Corroded",ISNUMBER(SEARCH("alignment",C648)),"Defective Device",ISNUMBER(SEARCH("adjust",C648)),"Defective Device",ISNUMBER(SEARCH("perform",C648)),"Defective Device",ISNUMBER(SEARCH("malfunction",C648)),"Defective Device",ISNUMBER(SEARCH("defect",C648)),"Defective Device",ISNUMBER(SEARCH("fail",C648)),"Defective Device",ISNUMBER(SEARCH("not work",C648)),"Defective Device",ISNUMBER(SEARCH("doesn't work",C648)),"Defective Device",TRUE,"UNKNOWN"),"UNKNOWN")))</f>
        <v/>
      </c>
      <c r="F648" s="4" t="str">
        <f t="shared" si="10"/>
        <v/>
      </c>
      <c r="G648" s="363" t="str">
        <f>IF(E648="","",IFERROR(VLOOKUP(E648,Codes!$L$2:$N$409,3,FALSE),"—"))</f>
        <v/>
      </c>
      <c r="H648" s="88"/>
      <c r="I648" s="88"/>
    </row>
    <row r="649" spans="1:9" ht="13.15" x14ac:dyDescent="0.35">
      <c r="A649" s="92"/>
      <c r="B649" s="89"/>
      <c r="C649" s="90"/>
      <c r="D649" s="88"/>
      <c r="E649" s="93" t="str" cm="1">
        <f t="array" ref="E649">IF(D649&lt;&gt;"",IFERROR(VLOOKUP(D649,Codes!$K$2:$L$409,2,FALSE),"UNKNOWN - "&amp;D649),IF(C649="","",IFERROR(_xlfn.IFS(ISNUMBER(SEARCH("broken button",C649)),"Break",ISNUMBER(SEARCH("broken handle",C649)),"Break",ISNUMBER(SEARCH("shipping damage",C649)),"Break",ISNUMBER(SEARCH("broken",C649)),"Break",ISNUMBER(SEARCH("crack",C649)),"Break",ISNUMBER(SEARCH("snap",C649)),"Break",ISNUMBER(SEARCH("fracture",C649)),"Break",ISNUMBER(SEARCH("bent",C649)),"Material Twisted/Bent",ISNUMBER(SEARCH("twisted",C649)),"Material Twisted/Bent",ISNUMBER(SEARCH("component separat",C649)),"Material Separation",ISNUMBER(SEARCH("separat",C649)),"Material Separation",ISNUMBER(SEARCH("connection",C649)),"Loose or Intermittent Connection",ISNUMBER(SEARCH("loose",C649)),"Loose or Intermittent Connection",ISNUMBER(SEARCH("damaged packaging",C649)),"Packaging Problem",ISNUMBER(SEARCH("packaging",C649)),"Packaging Problem",ISNUMBER(SEARCH("discoloration",C649)),"Contamination",ISNUMBER(SEARCH("tarnish",C649)),"Contamination",ISNUMBER(SEARCH("stain",C649)),"Contamination",ISNUMBER(SEARCH("foreign material",C649)),"Contamination",ISNUMBER(SEARCH("contamina",C649)),"Contamination",ISNUMBER(SEARCH("overheat",C649)),"Overheating of Device",ISNUMBER(SEARCH("excessive heat",C649)),"Overheating of Device",ISNUMBER(SEARCH("hot",C649)),"Overheating of Device",ISNUMBER(SEARCH("noise",C649)),"Noise, Audible",ISNUMBER(SEARCH("sound",C649)),"Noise, Audible",ISNUMBER(SEARCH("loud",C649)),"Noise, Audible",ISNUMBER(SEARCH("fray",C649)),"Material Frayed",ISNUMBER(SEARCH("hole",C649)),"Material Frayed",ISNUMBER(SEARCH("tear",C649)),"Material Frayed",ISNUMBER(SEARCH("worn",C649)),"Material Frayed",ISNUMBER(SEARCH("intermittent",C649)),"Difficult or Delayed Activation",ISNUMBER(SEARCH("delay",C649)),"Difficult or Delayed Activation",ISNUMBER(SEARCH("label",C649)),"Device Markings/Labelling Problem",ISNUMBER(SEARCH("marking",C649)),"Device Markings/Labelling Problem",ISNUMBER(SEARCH("lacerat",C649)),"Defective Device",ISNUMBER(SEARCH("cut",C649)),"Defective Device",ISNUMBER(SEARCH("leak",C649)),"Fluid/Blood Leak",ISNUMBER(SEARCH("missing",C649)),"Component Missing",ISNUMBER(SEARCH("power",C649)),"Complete Loss of Power",ISNUMBER(SEARCH("will not turn on",C649)),"Complete Loss of Power",ISNUMBER(SEARCH("won't turn on",C649)),"Complete Loss of Power",ISNUMBER(SEARCH("does not turn on",C649)),"Complete Loss of Power",ISNUMBER(SEARCH("electrical",C649)),"Electrical Power Problem",ISNUMBER(SEARCH("pressure",C649)),"Detachment of Device or Device Component",ISNUMBER(SEARCH("slip",C649)),"Detachment of Device or Device Component",ISNUMBER(SEARCH("detach",C649)),"Detachment of Device or Device Component",ISNUMBER(SEARCH("stick",C649)),"Mechanical Jam",ISNUMBER(SEARCH("jam",C649)),"Mechanical Jam",ISNUMBER(SEARCH("rigid",C649)),"Mechanical Jam",ISNUMBER(SEARCH("rust",C649)),"Corroded",ISNUMBER(SEARCH("corrod",C649)),"Corroded",ISNUMBER(SEARCH("corrosion",C649)),"Corroded",ISNUMBER(SEARCH("alignment",C649)),"Defective Device",ISNUMBER(SEARCH("adjust",C649)),"Defective Device",ISNUMBER(SEARCH("perform",C649)),"Defective Device",ISNUMBER(SEARCH("malfunction",C649)),"Defective Device",ISNUMBER(SEARCH("defect",C649)),"Defective Device",ISNUMBER(SEARCH("fail",C649)),"Defective Device",ISNUMBER(SEARCH("not work",C649)),"Defective Device",ISNUMBER(SEARCH("doesn't work",C649)),"Defective Device",TRUE,"UNKNOWN"),"UNKNOWN")))</f>
        <v/>
      </c>
      <c r="F649" s="4" t="str">
        <f t="shared" si="10"/>
        <v/>
      </c>
      <c r="G649" s="363" t="str">
        <f>IF(E649="","",IFERROR(VLOOKUP(E649,Codes!$L$2:$N$409,3,FALSE),"—"))</f>
        <v/>
      </c>
      <c r="H649" s="88"/>
      <c r="I649" s="88"/>
    </row>
    <row r="650" spans="1:9" ht="13.15" x14ac:dyDescent="0.35">
      <c r="A650" s="92"/>
      <c r="B650" s="89"/>
      <c r="C650" s="90"/>
      <c r="D650" s="88"/>
      <c r="E650" s="93" t="str" cm="1">
        <f t="array" ref="E650">IF(D650&lt;&gt;"",IFERROR(VLOOKUP(D650,Codes!$K$2:$L$409,2,FALSE),"UNKNOWN - "&amp;D650),IF(C650="","",IFERROR(_xlfn.IFS(ISNUMBER(SEARCH("broken button",C650)),"Break",ISNUMBER(SEARCH("broken handle",C650)),"Break",ISNUMBER(SEARCH("shipping damage",C650)),"Break",ISNUMBER(SEARCH("broken",C650)),"Break",ISNUMBER(SEARCH("crack",C650)),"Break",ISNUMBER(SEARCH("snap",C650)),"Break",ISNUMBER(SEARCH("fracture",C650)),"Break",ISNUMBER(SEARCH("bent",C650)),"Material Twisted/Bent",ISNUMBER(SEARCH("twisted",C650)),"Material Twisted/Bent",ISNUMBER(SEARCH("component separat",C650)),"Material Separation",ISNUMBER(SEARCH("separat",C650)),"Material Separation",ISNUMBER(SEARCH("connection",C650)),"Loose or Intermittent Connection",ISNUMBER(SEARCH("loose",C650)),"Loose or Intermittent Connection",ISNUMBER(SEARCH("damaged packaging",C650)),"Packaging Problem",ISNUMBER(SEARCH("packaging",C650)),"Packaging Problem",ISNUMBER(SEARCH("discoloration",C650)),"Contamination",ISNUMBER(SEARCH("tarnish",C650)),"Contamination",ISNUMBER(SEARCH("stain",C650)),"Contamination",ISNUMBER(SEARCH("foreign material",C650)),"Contamination",ISNUMBER(SEARCH("contamina",C650)),"Contamination",ISNUMBER(SEARCH("overheat",C650)),"Overheating of Device",ISNUMBER(SEARCH("excessive heat",C650)),"Overheating of Device",ISNUMBER(SEARCH("hot",C650)),"Overheating of Device",ISNUMBER(SEARCH("noise",C650)),"Noise, Audible",ISNUMBER(SEARCH("sound",C650)),"Noise, Audible",ISNUMBER(SEARCH("loud",C650)),"Noise, Audible",ISNUMBER(SEARCH("fray",C650)),"Material Frayed",ISNUMBER(SEARCH("hole",C650)),"Material Frayed",ISNUMBER(SEARCH("tear",C650)),"Material Frayed",ISNUMBER(SEARCH("worn",C650)),"Material Frayed",ISNUMBER(SEARCH("intermittent",C650)),"Difficult or Delayed Activation",ISNUMBER(SEARCH("delay",C650)),"Difficult or Delayed Activation",ISNUMBER(SEARCH("label",C650)),"Device Markings/Labelling Problem",ISNUMBER(SEARCH("marking",C650)),"Device Markings/Labelling Problem",ISNUMBER(SEARCH("lacerat",C650)),"Defective Device",ISNUMBER(SEARCH("cut",C650)),"Defective Device",ISNUMBER(SEARCH("leak",C650)),"Fluid/Blood Leak",ISNUMBER(SEARCH("missing",C650)),"Component Missing",ISNUMBER(SEARCH("power",C650)),"Complete Loss of Power",ISNUMBER(SEARCH("will not turn on",C650)),"Complete Loss of Power",ISNUMBER(SEARCH("won't turn on",C650)),"Complete Loss of Power",ISNUMBER(SEARCH("does not turn on",C650)),"Complete Loss of Power",ISNUMBER(SEARCH("electrical",C650)),"Electrical Power Problem",ISNUMBER(SEARCH("pressure",C650)),"Detachment of Device or Device Component",ISNUMBER(SEARCH("slip",C650)),"Detachment of Device or Device Component",ISNUMBER(SEARCH("detach",C650)),"Detachment of Device or Device Component",ISNUMBER(SEARCH("stick",C650)),"Mechanical Jam",ISNUMBER(SEARCH("jam",C650)),"Mechanical Jam",ISNUMBER(SEARCH("rigid",C650)),"Mechanical Jam",ISNUMBER(SEARCH("rust",C650)),"Corroded",ISNUMBER(SEARCH("corrod",C650)),"Corroded",ISNUMBER(SEARCH("corrosion",C650)),"Corroded",ISNUMBER(SEARCH("alignment",C650)),"Defective Device",ISNUMBER(SEARCH("adjust",C650)),"Defective Device",ISNUMBER(SEARCH("perform",C650)),"Defective Device",ISNUMBER(SEARCH("malfunction",C650)),"Defective Device",ISNUMBER(SEARCH("defect",C650)),"Defective Device",ISNUMBER(SEARCH("fail",C650)),"Defective Device",ISNUMBER(SEARCH("not work",C650)),"Defective Device",ISNUMBER(SEARCH("doesn't work",C650)),"Defective Device",TRUE,"UNKNOWN"),"UNKNOWN")))</f>
        <v/>
      </c>
      <c r="F650" s="4" t="str">
        <f t="shared" si="10"/>
        <v/>
      </c>
      <c r="G650" s="363" t="str">
        <f>IF(E650="","",IFERROR(VLOOKUP(E650,Codes!$L$2:$N$409,3,FALSE),"—"))</f>
        <v/>
      </c>
      <c r="H650" s="88"/>
      <c r="I650" s="88"/>
    </row>
    <row r="651" spans="1:9" ht="13.15" x14ac:dyDescent="0.35">
      <c r="A651" s="92"/>
      <c r="B651" s="89"/>
      <c r="C651" s="90"/>
      <c r="D651" s="88"/>
      <c r="E651" s="93" t="str" cm="1">
        <f t="array" ref="E651">IF(D651&lt;&gt;"",IFERROR(VLOOKUP(D651,Codes!$K$2:$L$409,2,FALSE),"UNKNOWN - "&amp;D651),IF(C651="","",IFERROR(_xlfn.IFS(ISNUMBER(SEARCH("broken button",C651)),"Break",ISNUMBER(SEARCH("broken handle",C651)),"Break",ISNUMBER(SEARCH("shipping damage",C651)),"Break",ISNUMBER(SEARCH("broken",C651)),"Break",ISNUMBER(SEARCH("crack",C651)),"Break",ISNUMBER(SEARCH("snap",C651)),"Break",ISNUMBER(SEARCH("fracture",C651)),"Break",ISNUMBER(SEARCH("bent",C651)),"Material Twisted/Bent",ISNUMBER(SEARCH("twisted",C651)),"Material Twisted/Bent",ISNUMBER(SEARCH("component separat",C651)),"Material Separation",ISNUMBER(SEARCH("separat",C651)),"Material Separation",ISNUMBER(SEARCH("connection",C651)),"Loose or Intermittent Connection",ISNUMBER(SEARCH("loose",C651)),"Loose or Intermittent Connection",ISNUMBER(SEARCH("damaged packaging",C651)),"Packaging Problem",ISNUMBER(SEARCH("packaging",C651)),"Packaging Problem",ISNUMBER(SEARCH("discoloration",C651)),"Contamination",ISNUMBER(SEARCH("tarnish",C651)),"Contamination",ISNUMBER(SEARCH("stain",C651)),"Contamination",ISNUMBER(SEARCH("foreign material",C651)),"Contamination",ISNUMBER(SEARCH("contamina",C651)),"Contamination",ISNUMBER(SEARCH("overheat",C651)),"Overheating of Device",ISNUMBER(SEARCH("excessive heat",C651)),"Overheating of Device",ISNUMBER(SEARCH("hot",C651)),"Overheating of Device",ISNUMBER(SEARCH("noise",C651)),"Noise, Audible",ISNUMBER(SEARCH("sound",C651)),"Noise, Audible",ISNUMBER(SEARCH("loud",C651)),"Noise, Audible",ISNUMBER(SEARCH("fray",C651)),"Material Frayed",ISNUMBER(SEARCH("hole",C651)),"Material Frayed",ISNUMBER(SEARCH("tear",C651)),"Material Frayed",ISNUMBER(SEARCH("worn",C651)),"Material Frayed",ISNUMBER(SEARCH("intermittent",C651)),"Difficult or Delayed Activation",ISNUMBER(SEARCH("delay",C651)),"Difficult or Delayed Activation",ISNUMBER(SEARCH("label",C651)),"Device Markings/Labelling Problem",ISNUMBER(SEARCH("marking",C651)),"Device Markings/Labelling Problem",ISNUMBER(SEARCH("lacerat",C651)),"Defective Device",ISNUMBER(SEARCH("cut",C651)),"Defective Device",ISNUMBER(SEARCH("leak",C651)),"Fluid/Blood Leak",ISNUMBER(SEARCH("missing",C651)),"Component Missing",ISNUMBER(SEARCH("power",C651)),"Complete Loss of Power",ISNUMBER(SEARCH("will not turn on",C651)),"Complete Loss of Power",ISNUMBER(SEARCH("won't turn on",C651)),"Complete Loss of Power",ISNUMBER(SEARCH("does not turn on",C651)),"Complete Loss of Power",ISNUMBER(SEARCH("electrical",C651)),"Electrical Power Problem",ISNUMBER(SEARCH("pressure",C651)),"Detachment of Device or Device Component",ISNUMBER(SEARCH("slip",C651)),"Detachment of Device or Device Component",ISNUMBER(SEARCH("detach",C651)),"Detachment of Device or Device Component",ISNUMBER(SEARCH("stick",C651)),"Mechanical Jam",ISNUMBER(SEARCH("jam",C651)),"Mechanical Jam",ISNUMBER(SEARCH("rigid",C651)),"Mechanical Jam",ISNUMBER(SEARCH("rust",C651)),"Corroded",ISNUMBER(SEARCH("corrod",C651)),"Corroded",ISNUMBER(SEARCH("corrosion",C651)),"Corroded",ISNUMBER(SEARCH("alignment",C651)),"Defective Device",ISNUMBER(SEARCH("adjust",C651)),"Defective Device",ISNUMBER(SEARCH("perform",C651)),"Defective Device",ISNUMBER(SEARCH("malfunction",C651)),"Defective Device",ISNUMBER(SEARCH("defect",C651)),"Defective Device",ISNUMBER(SEARCH("fail",C651)),"Defective Device",ISNUMBER(SEARCH("not work",C651)),"Defective Device",ISNUMBER(SEARCH("doesn't work",C651)),"Defective Device",TRUE,"UNKNOWN"),"UNKNOWN")))</f>
        <v/>
      </c>
      <c r="F651" s="4" t="str">
        <f t="shared" si="10"/>
        <v/>
      </c>
      <c r="G651" s="363" t="str">
        <f>IF(E651="","",IFERROR(VLOOKUP(E651,Codes!$L$2:$N$409,3,FALSE),"—"))</f>
        <v/>
      </c>
      <c r="H651" s="88"/>
      <c r="I651" s="88"/>
    </row>
    <row r="652" spans="1:9" ht="13.15" x14ac:dyDescent="0.35">
      <c r="A652" s="92"/>
      <c r="B652" s="89"/>
      <c r="C652" s="90"/>
      <c r="D652" s="88"/>
      <c r="E652" s="93" t="str" cm="1">
        <f t="array" ref="E652">IF(D652&lt;&gt;"",IFERROR(VLOOKUP(D652,Codes!$K$2:$L$409,2,FALSE),"UNKNOWN - "&amp;D652),IF(C652="","",IFERROR(_xlfn.IFS(ISNUMBER(SEARCH("broken button",C652)),"Break",ISNUMBER(SEARCH("broken handle",C652)),"Break",ISNUMBER(SEARCH("shipping damage",C652)),"Break",ISNUMBER(SEARCH("broken",C652)),"Break",ISNUMBER(SEARCH("crack",C652)),"Break",ISNUMBER(SEARCH("snap",C652)),"Break",ISNUMBER(SEARCH("fracture",C652)),"Break",ISNUMBER(SEARCH("bent",C652)),"Material Twisted/Bent",ISNUMBER(SEARCH("twisted",C652)),"Material Twisted/Bent",ISNUMBER(SEARCH("component separat",C652)),"Material Separation",ISNUMBER(SEARCH("separat",C652)),"Material Separation",ISNUMBER(SEARCH("connection",C652)),"Loose or Intermittent Connection",ISNUMBER(SEARCH("loose",C652)),"Loose or Intermittent Connection",ISNUMBER(SEARCH("damaged packaging",C652)),"Packaging Problem",ISNUMBER(SEARCH("packaging",C652)),"Packaging Problem",ISNUMBER(SEARCH("discoloration",C652)),"Contamination",ISNUMBER(SEARCH("tarnish",C652)),"Contamination",ISNUMBER(SEARCH("stain",C652)),"Contamination",ISNUMBER(SEARCH("foreign material",C652)),"Contamination",ISNUMBER(SEARCH("contamina",C652)),"Contamination",ISNUMBER(SEARCH("overheat",C652)),"Overheating of Device",ISNUMBER(SEARCH("excessive heat",C652)),"Overheating of Device",ISNUMBER(SEARCH("hot",C652)),"Overheating of Device",ISNUMBER(SEARCH("noise",C652)),"Noise, Audible",ISNUMBER(SEARCH("sound",C652)),"Noise, Audible",ISNUMBER(SEARCH("loud",C652)),"Noise, Audible",ISNUMBER(SEARCH("fray",C652)),"Material Frayed",ISNUMBER(SEARCH("hole",C652)),"Material Frayed",ISNUMBER(SEARCH("tear",C652)),"Material Frayed",ISNUMBER(SEARCH("worn",C652)),"Material Frayed",ISNUMBER(SEARCH("intermittent",C652)),"Difficult or Delayed Activation",ISNUMBER(SEARCH("delay",C652)),"Difficult or Delayed Activation",ISNUMBER(SEARCH("label",C652)),"Device Markings/Labelling Problem",ISNUMBER(SEARCH("marking",C652)),"Device Markings/Labelling Problem",ISNUMBER(SEARCH("lacerat",C652)),"Defective Device",ISNUMBER(SEARCH("cut",C652)),"Defective Device",ISNUMBER(SEARCH("leak",C652)),"Fluid/Blood Leak",ISNUMBER(SEARCH("missing",C652)),"Component Missing",ISNUMBER(SEARCH("power",C652)),"Complete Loss of Power",ISNUMBER(SEARCH("will not turn on",C652)),"Complete Loss of Power",ISNUMBER(SEARCH("won't turn on",C652)),"Complete Loss of Power",ISNUMBER(SEARCH("does not turn on",C652)),"Complete Loss of Power",ISNUMBER(SEARCH("electrical",C652)),"Electrical Power Problem",ISNUMBER(SEARCH("pressure",C652)),"Detachment of Device or Device Component",ISNUMBER(SEARCH("slip",C652)),"Detachment of Device or Device Component",ISNUMBER(SEARCH("detach",C652)),"Detachment of Device or Device Component",ISNUMBER(SEARCH("stick",C652)),"Mechanical Jam",ISNUMBER(SEARCH("jam",C652)),"Mechanical Jam",ISNUMBER(SEARCH("rigid",C652)),"Mechanical Jam",ISNUMBER(SEARCH("rust",C652)),"Corroded",ISNUMBER(SEARCH("corrod",C652)),"Corroded",ISNUMBER(SEARCH("corrosion",C652)),"Corroded",ISNUMBER(SEARCH("alignment",C652)),"Defective Device",ISNUMBER(SEARCH("adjust",C652)),"Defective Device",ISNUMBER(SEARCH("perform",C652)),"Defective Device",ISNUMBER(SEARCH("malfunction",C652)),"Defective Device",ISNUMBER(SEARCH("defect",C652)),"Defective Device",ISNUMBER(SEARCH("fail",C652)),"Defective Device",ISNUMBER(SEARCH("not work",C652)),"Defective Device",ISNUMBER(SEARCH("doesn't work",C652)),"Defective Device",TRUE,"UNKNOWN"),"UNKNOWN")))</f>
        <v/>
      </c>
      <c r="F652" s="4" t="str">
        <f t="shared" si="10"/>
        <v/>
      </c>
      <c r="G652" s="363" t="str">
        <f>IF(E652="","",IFERROR(VLOOKUP(E652,Codes!$L$2:$N$409,3,FALSE),"—"))</f>
        <v/>
      </c>
      <c r="H652" s="88"/>
      <c r="I652" s="88"/>
    </row>
    <row r="653" spans="1:9" ht="13.15" x14ac:dyDescent="0.35">
      <c r="A653" s="92"/>
      <c r="B653" s="89"/>
      <c r="C653" s="90"/>
      <c r="D653" s="88"/>
      <c r="E653" s="93" t="str" cm="1">
        <f t="array" ref="E653">IF(D653&lt;&gt;"",IFERROR(VLOOKUP(D653,Codes!$K$2:$L$409,2,FALSE),"UNKNOWN - "&amp;D653),IF(C653="","",IFERROR(_xlfn.IFS(ISNUMBER(SEARCH("broken button",C653)),"Break",ISNUMBER(SEARCH("broken handle",C653)),"Break",ISNUMBER(SEARCH("shipping damage",C653)),"Break",ISNUMBER(SEARCH("broken",C653)),"Break",ISNUMBER(SEARCH("crack",C653)),"Break",ISNUMBER(SEARCH("snap",C653)),"Break",ISNUMBER(SEARCH("fracture",C653)),"Break",ISNUMBER(SEARCH("bent",C653)),"Material Twisted/Bent",ISNUMBER(SEARCH("twisted",C653)),"Material Twisted/Bent",ISNUMBER(SEARCH("component separat",C653)),"Material Separation",ISNUMBER(SEARCH("separat",C653)),"Material Separation",ISNUMBER(SEARCH("connection",C653)),"Loose or Intermittent Connection",ISNUMBER(SEARCH("loose",C653)),"Loose or Intermittent Connection",ISNUMBER(SEARCH("damaged packaging",C653)),"Packaging Problem",ISNUMBER(SEARCH("packaging",C653)),"Packaging Problem",ISNUMBER(SEARCH("discoloration",C653)),"Contamination",ISNUMBER(SEARCH("tarnish",C653)),"Contamination",ISNUMBER(SEARCH("stain",C653)),"Contamination",ISNUMBER(SEARCH("foreign material",C653)),"Contamination",ISNUMBER(SEARCH("contamina",C653)),"Contamination",ISNUMBER(SEARCH("overheat",C653)),"Overheating of Device",ISNUMBER(SEARCH("excessive heat",C653)),"Overheating of Device",ISNUMBER(SEARCH("hot",C653)),"Overheating of Device",ISNUMBER(SEARCH("noise",C653)),"Noise, Audible",ISNUMBER(SEARCH("sound",C653)),"Noise, Audible",ISNUMBER(SEARCH("loud",C653)),"Noise, Audible",ISNUMBER(SEARCH("fray",C653)),"Material Frayed",ISNUMBER(SEARCH("hole",C653)),"Material Frayed",ISNUMBER(SEARCH("tear",C653)),"Material Frayed",ISNUMBER(SEARCH("worn",C653)),"Material Frayed",ISNUMBER(SEARCH("intermittent",C653)),"Difficult or Delayed Activation",ISNUMBER(SEARCH("delay",C653)),"Difficult or Delayed Activation",ISNUMBER(SEARCH("label",C653)),"Device Markings/Labelling Problem",ISNUMBER(SEARCH("marking",C653)),"Device Markings/Labelling Problem",ISNUMBER(SEARCH("lacerat",C653)),"Defective Device",ISNUMBER(SEARCH("cut",C653)),"Defective Device",ISNUMBER(SEARCH("leak",C653)),"Fluid/Blood Leak",ISNUMBER(SEARCH("missing",C653)),"Component Missing",ISNUMBER(SEARCH("power",C653)),"Complete Loss of Power",ISNUMBER(SEARCH("will not turn on",C653)),"Complete Loss of Power",ISNUMBER(SEARCH("won't turn on",C653)),"Complete Loss of Power",ISNUMBER(SEARCH("does not turn on",C653)),"Complete Loss of Power",ISNUMBER(SEARCH("electrical",C653)),"Electrical Power Problem",ISNUMBER(SEARCH("pressure",C653)),"Detachment of Device or Device Component",ISNUMBER(SEARCH("slip",C653)),"Detachment of Device or Device Component",ISNUMBER(SEARCH("detach",C653)),"Detachment of Device or Device Component",ISNUMBER(SEARCH("stick",C653)),"Mechanical Jam",ISNUMBER(SEARCH("jam",C653)),"Mechanical Jam",ISNUMBER(SEARCH("rigid",C653)),"Mechanical Jam",ISNUMBER(SEARCH("rust",C653)),"Corroded",ISNUMBER(SEARCH("corrod",C653)),"Corroded",ISNUMBER(SEARCH("corrosion",C653)),"Corroded",ISNUMBER(SEARCH("alignment",C653)),"Defective Device",ISNUMBER(SEARCH("adjust",C653)),"Defective Device",ISNUMBER(SEARCH("perform",C653)),"Defective Device",ISNUMBER(SEARCH("malfunction",C653)),"Defective Device",ISNUMBER(SEARCH("defect",C653)),"Defective Device",ISNUMBER(SEARCH("fail",C653)),"Defective Device",ISNUMBER(SEARCH("not work",C653)),"Defective Device",ISNUMBER(SEARCH("doesn't work",C653)),"Defective Device",TRUE,"UNKNOWN"),"UNKNOWN")))</f>
        <v/>
      </c>
      <c r="F653" s="4" t="str">
        <f t="shared" si="10"/>
        <v/>
      </c>
      <c r="G653" s="363" t="str">
        <f>IF(E653="","",IFERROR(VLOOKUP(E653,Codes!$L$2:$N$409,3,FALSE),"—"))</f>
        <v/>
      </c>
      <c r="H653" s="88"/>
      <c r="I653" s="88"/>
    </row>
    <row r="654" spans="1:9" ht="13.15" x14ac:dyDescent="0.35">
      <c r="A654" s="92"/>
      <c r="B654" s="89"/>
      <c r="C654" s="90"/>
      <c r="D654" s="88"/>
      <c r="E654" s="93" t="str" cm="1">
        <f t="array" ref="E654">IF(D654&lt;&gt;"",IFERROR(VLOOKUP(D654,Codes!$K$2:$L$409,2,FALSE),"UNKNOWN - "&amp;D654),IF(C654="","",IFERROR(_xlfn.IFS(ISNUMBER(SEARCH("broken button",C654)),"Break",ISNUMBER(SEARCH("broken handle",C654)),"Break",ISNUMBER(SEARCH("shipping damage",C654)),"Break",ISNUMBER(SEARCH("broken",C654)),"Break",ISNUMBER(SEARCH("crack",C654)),"Break",ISNUMBER(SEARCH("snap",C654)),"Break",ISNUMBER(SEARCH("fracture",C654)),"Break",ISNUMBER(SEARCH("bent",C654)),"Material Twisted/Bent",ISNUMBER(SEARCH("twisted",C654)),"Material Twisted/Bent",ISNUMBER(SEARCH("component separat",C654)),"Material Separation",ISNUMBER(SEARCH("separat",C654)),"Material Separation",ISNUMBER(SEARCH("connection",C654)),"Loose or Intermittent Connection",ISNUMBER(SEARCH("loose",C654)),"Loose or Intermittent Connection",ISNUMBER(SEARCH("damaged packaging",C654)),"Packaging Problem",ISNUMBER(SEARCH("packaging",C654)),"Packaging Problem",ISNUMBER(SEARCH("discoloration",C654)),"Contamination",ISNUMBER(SEARCH("tarnish",C654)),"Contamination",ISNUMBER(SEARCH("stain",C654)),"Contamination",ISNUMBER(SEARCH("foreign material",C654)),"Contamination",ISNUMBER(SEARCH("contamina",C654)),"Contamination",ISNUMBER(SEARCH("overheat",C654)),"Overheating of Device",ISNUMBER(SEARCH("excessive heat",C654)),"Overheating of Device",ISNUMBER(SEARCH("hot",C654)),"Overheating of Device",ISNUMBER(SEARCH("noise",C654)),"Noise, Audible",ISNUMBER(SEARCH("sound",C654)),"Noise, Audible",ISNUMBER(SEARCH("loud",C654)),"Noise, Audible",ISNUMBER(SEARCH("fray",C654)),"Material Frayed",ISNUMBER(SEARCH("hole",C654)),"Material Frayed",ISNUMBER(SEARCH("tear",C654)),"Material Frayed",ISNUMBER(SEARCH("worn",C654)),"Material Frayed",ISNUMBER(SEARCH("intermittent",C654)),"Difficult or Delayed Activation",ISNUMBER(SEARCH("delay",C654)),"Difficult or Delayed Activation",ISNUMBER(SEARCH("label",C654)),"Device Markings/Labelling Problem",ISNUMBER(SEARCH("marking",C654)),"Device Markings/Labelling Problem",ISNUMBER(SEARCH("lacerat",C654)),"Defective Device",ISNUMBER(SEARCH("cut",C654)),"Defective Device",ISNUMBER(SEARCH("leak",C654)),"Fluid/Blood Leak",ISNUMBER(SEARCH("missing",C654)),"Component Missing",ISNUMBER(SEARCH("power",C654)),"Complete Loss of Power",ISNUMBER(SEARCH("will not turn on",C654)),"Complete Loss of Power",ISNUMBER(SEARCH("won't turn on",C654)),"Complete Loss of Power",ISNUMBER(SEARCH("does not turn on",C654)),"Complete Loss of Power",ISNUMBER(SEARCH("electrical",C654)),"Electrical Power Problem",ISNUMBER(SEARCH("pressure",C654)),"Detachment of Device or Device Component",ISNUMBER(SEARCH("slip",C654)),"Detachment of Device or Device Component",ISNUMBER(SEARCH("detach",C654)),"Detachment of Device or Device Component",ISNUMBER(SEARCH("stick",C654)),"Mechanical Jam",ISNUMBER(SEARCH("jam",C654)),"Mechanical Jam",ISNUMBER(SEARCH("rigid",C654)),"Mechanical Jam",ISNUMBER(SEARCH("rust",C654)),"Corroded",ISNUMBER(SEARCH("corrod",C654)),"Corroded",ISNUMBER(SEARCH("corrosion",C654)),"Corroded",ISNUMBER(SEARCH("alignment",C654)),"Defective Device",ISNUMBER(SEARCH("adjust",C654)),"Defective Device",ISNUMBER(SEARCH("perform",C654)),"Defective Device",ISNUMBER(SEARCH("malfunction",C654)),"Defective Device",ISNUMBER(SEARCH("defect",C654)),"Defective Device",ISNUMBER(SEARCH("fail",C654)),"Defective Device",ISNUMBER(SEARCH("not work",C654)),"Defective Device",ISNUMBER(SEARCH("doesn't work",C654)),"Defective Device",TRUE,"UNKNOWN"),"UNKNOWN")))</f>
        <v/>
      </c>
      <c r="F654" s="4" t="str">
        <f t="shared" si="10"/>
        <v/>
      </c>
      <c r="G654" s="363" t="str">
        <f>IF(E654="","",IFERROR(VLOOKUP(E654,Codes!$L$2:$N$409,3,FALSE),"—"))</f>
        <v/>
      </c>
      <c r="H654" s="88"/>
      <c r="I654" s="88"/>
    </row>
    <row r="655" spans="1:9" ht="13.15" x14ac:dyDescent="0.35">
      <c r="A655" s="92"/>
      <c r="B655" s="89"/>
      <c r="C655" s="90"/>
      <c r="D655" s="88"/>
      <c r="E655" s="93" t="str" cm="1">
        <f t="array" ref="E655">IF(D655&lt;&gt;"",IFERROR(VLOOKUP(D655,Codes!$K$2:$L$409,2,FALSE),"UNKNOWN - "&amp;D655),IF(C655="","",IFERROR(_xlfn.IFS(ISNUMBER(SEARCH("broken button",C655)),"Break",ISNUMBER(SEARCH("broken handle",C655)),"Break",ISNUMBER(SEARCH("shipping damage",C655)),"Break",ISNUMBER(SEARCH("broken",C655)),"Break",ISNUMBER(SEARCH("crack",C655)),"Break",ISNUMBER(SEARCH("snap",C655)),"Break",ISNUMBER(SEARCH("fracture",C655)),"Break",ISNUMBER(SEARCH("bent",C655)),"Material Twisted/Bent",ISNUMBER(SEARCH("twisted",C655)),"Material Twisted/Bent",ISNUMBER(SEARCH("component separat",C655)),"Material Separation",ISNUMBER(SEARCH("separat",C655)),"Material Separation",ISNUMBER(SEARCH("connection",C655)),"Loose or Intermittent Connection",ISNUMBER(SEARCH("loose",C655)),"Loose or Intermittent Connection",ISNUMBER(SEARCH("damaged packaging",C655)),"Packaging Problem",ISNUMBER(SEARCH("packaging",C655)),"Packaging Problem",ISNUMBER(SEARCH("discoloration",C655)),"Contamination",ISNUMBER(SEARCH("tarnish",C655)),"Contamination",ISNUMBER(SEARCH("stain",C655)),"Contamination",ISNUMBER(SEARCH("foreign material",C655)),"Contamination",ISNUMBER(SEARCH("contamina",C655)),"Contamination",ISNUMBER(SEARCH("overheat",C655)),"Overheating of Device",ISNUMBER(SEARCH("excessive heat",C655)),"Overheating of Device",ISNUMBER(SEARCH("hot",C655)),"Overheating of Device",ISNUMBER(SEARCH("noise",C655)),"Noise, Audible",ISNUMBER(SEARCH("sound",C655)),"Noise, Audible",ISNUMBER(SEARCH("loud",C655)),"Noise, Audible",ISNUMBER(SEARCH("fray",C655)),"Material Frayed",ISNUMBER(SEARCH("hole",C655)),"Material Frayed",ISNUMBER(SEARCH("tear",C655)),"Material Frayed",ISNUMBER(SEARCH("worn",C655)),"Material Frayed",ISNUMBER(SEARCH("intermittent",C655)),"Difficult or Delayed Activation",ISNUMBER(SEARCH("delay",C655)),"Difficult or Delayed Activation",ISNUMBER(SEARCH("label",C655)),"Device Markings/Labelling Problem",ISNUMBER(SEARCH("marking",C655)),"Device Markings/Labelling Problem",ISNUMBER(SEARCH("lacerat",C655)),"Defective Device",ISNUMBER(SEARCH("cut",C655)),"Defective Device",ISNUMBER(SEARCH("leak",C655)),"Fluid/Blood Leak",ISNUMBER(SEARCH("missing",C655)),"Component Missing",ISNUMBER(SEARCH("power",C655)),"Complete Loss of Power",ISNUMBER(SEARCH("will not turn on",C655)),"Complete Loss of Power",ISNUMBER(SEARCH("won't turn on",C655)),"Complete Loss of Power",ISNUMBER(SEARCH("does not turn on",C655)),"Complete Loss of Power",ISNUMBER(SEARCH("electrical",C655)),"Electrical Power Problem",ISNUMBER(SEARCH("pressure",C655)),"Detachment of Device or Device Component",ISNUMBER(SEARCH("slip",C655)),"Detachment of Device or Device Component",ISNUMBER(SEARCH("detach",C655)),"Detachment of Device or Device Component",ISNUMBER(SEARCH("stick",C655)),"Mechanical Jam",ISNUMBER(SEARCH("jam",C655)),"Mechanical Jam",ISNUMBER(SEARCH("rigid",C655)),"Mechanical Jam",ISNUMBER(SEARCH("rust",C655)),"Corroded",ISNUMBER(SEARCH("corrod",C655)),"Corroded",ISNUMBER(SEARCH("corrosion",C655)),"Corroded",ISNUMBER(SEARCH("alignment",C655)),"Defective Device",ISNUMBER(SEARCH("adjust",C655)),"Defective Device",ISNUMBER(SEARCH("perform",C655)),"Defective Device",ISNUMBER(SEARCH("malfunction",C655)),"Defective Device",ISNUMBER(SEARCH("defect",C655)),"Defective Device",ISNUMBER(SEARCH("fail",C655)),"Defective Device",ISNUMBER(SEARCH("not work",C655)),"Defective Device",ISNUMBER(SEARCH("doesn't work",C655)),"Defective Device",TRUE,"UNKNOWN"),"UNKNOWN")))</f>
        <v/>
      </c>
      <c r="F655" s="4" t="str">
        <f t="shared" si="10"/>
        <v/>
      </c>
      <c r="G655" s="363" t="str">
        <f>IF(E655="","",IFERROR(VLOOKUP(E655,Codes!$L$2:$N$409,3,FALSE),"—"))</f>
        <v/>
      </c>
      <c r="H655" s="88"/>
      <c r="I655" s="88"/>
    </row>
    <row r="656" spans="1:9" ht="13.15" x14ac:dyDescent="0.35">
      <c r="A656" s="92"/>
      <c r="B656" s="89"/>
      <c r="C656" s="90"/>
      <c r="D656" s="88"/>
      <c r="E656" s="93" t="str" cm="1">
        <f t="array" ref="E656">IF(D656&lt;&gt;"",IFERROR(VLOOKUP(D656,Codes!$K$2:$L$409,2,FALSE),"UNKNOWN - "&amp;D656),IF(C656="","",IFERROR(_xlfn.IFS(ISNUMBER(SEARCH("broken button",C656)),"Break",ISNUMBER(SEARCH("broken handle",C656)),"Break",ISNUMBER(SEARCH("shipping damage",C656)),"Break",ISNUMBER(SEARCH("broken",C656)),"Break",ISNUMBER(SEARCH("crack",C656)),"Break",ISNUMBER(SEARCH("snap",C656)),"Break",ISNUMBER(SEARCH("fracture",C656)),"Break",ISNUMBER(SEARCH("bent",C656)),"Material Twisted/Bent",ISNUMBER(SEARCH("twisted",C656)),"Material Twisted/Bent",ISNUMBER(SEARCH("component separat",C656)),"Material Separation",ISNUMBER(SEARCH("separat",C656)),"Material Separation",ISNUMBER(SEARCH("connection",C656)),"Loose or Intermittent Connection",ISNUMBER(SEARCH("loose",C656)),"Loose or Intermittent Connection",ISNUMBER(SEARCH("damaged packaging",C656)),"Packaging Problem",ISNUMBER(SEARCH("packaging",C656)),"Packaging Problem",ISNUMBER(SEARCH("discoloration",C656)),"Contamination",ISNUMBER(SEARCH("tarnish",C656)),"Contamination",ISNUMBER(SEARCH("stain",C656)),"Contamination",ISNUMBER(SEARCH("foreign material",C656)),"Contamination",ISNUMBER(SEARCH("contamina",C656)),"Contamination",ISNUMBER(SEARCH("overheat",C656)),"Overheating of Device",ISNUMBER(SEARCH("excessive heat",C656)),"Overheating of Device",ISNUMBER(SEARCH("hot",C656)),"Overheating of Device",ISNUMBER(SEARCH("noise",C656)),"Noise, Audible",ISNUMBER(SEARCH("sound",C656)),"Noise, Audible",ISNUMBER(SEARCH("loud",C656)),"Noise, Audible",ISNUMBER(SEARCH("fray",C656)),"Material Frayed",ISNUMBER(SEARCH("hole",C656)),"Material Frayed",ISNUMBER(SEARCH("tear",C656)),"Material Frayed",ISNUMBER(SEARCH("worn",C656)),"Material Frayed",ISNUMBER(SEARCH("intermittent",C656)),"Difficult or Delayed Activation",ISNUMBER(SEARCH("delay",C656)),"Difficult or Delayed Activation",ISNUMBER(SEARCH("label",C656)),"Device Markings/Labelling Problem",ISNUMBER(SEARCH("marking",C656)),"Device Markings/Labelling Problem",ISNUMBER(SEARCH("lacerat",C656)),"Defective Device",ISNUMBER(SEARCH("cut",C656)),"Defective Device",ISNUMBER(SEARCH("leak",C656)),"Fluid/Blood Leak",ISNUMBER(SEARCH("missing",C656)),"Component Missing",ISNUMBER(SEARCH("power",C656)),"Complete Loss of Power",ISNUMBER(SEARCH("will not turn on",C656)),"Complete Loss of Power",ISNUMBER(SEARCH("won't turn on",C656)),"Complete Loss of Power",ISNUMBER(SEARCH("does not turn on",C656)),"Complete Loss of Power",ISNUMBER(SEARCH("electrical",C656)),"Electrical Power Problem",ISNUMBER(SEARCH("pressure",C656)),"Detachment of Device or Device Component",ISNUMBER(SEARCH("slip",C656)),"Detachment of Device or Device Component",ISNUMBER(SEARCH("detach",C656)),"Detachment of Device or Device Component",ISNUMBER(SEARCH("stick",C656)),"Mechanical Jam",ISNUMBER(SEARCH("jam",C656)),"Mechanical Jam",ISNUMBER(SEARCH("rigid",C656)),"Mechanical Jam",ISNUMBER(SEARCH("rust",C656)),"Corroded",ISNUMBER(SEARCH("corrod",C656)),"Corroded",ISNUMBER(SEARCH("corrosion",C656)),"Corroded",ISNUMBER(SEARCH("alignment",C656)),"Defective Device",ISNUMBER(SEARCH("adjust",C656)),"Defective Device",ISNUMBER(SEARCH("perform",C656)),"Defective Device",ISNUMBER(SEARCH("malfunction",C656)),"Defective Device",ISNUMBER(SEARCH("defect",C656)),"Defective Device",ISNUMBER(SEARCH("fail",C656)),"Defective Device",ISNUMBER(SEARCH("not work",C656)),"Defective Device",ISNUMBER(SEARCH("doesn't work",C656)),"Defective Device",TRUE,"UNKNOWN"),"UNKNOWN")))</f>
        <v/>
      </c>
      <c r="F656" s="4" t="str">
        <f t="shared" si="10"/>
        <v/>
      </c>
      <c r="G656" s="363" t="str">
        <f>IF(E656="","",IFERROR(VLOOKUP(E656,Codes!$L$2:$N$409,3,FALSE),"—"))</f>
        <v/>
      </c>
      <c r="H656" s="88"/>
      <c r="I656" s="88"/>
    </row>
    <row r="657" spans="1:9" ht="13.15" x14ac:dyDescent="0.35">
      <c r="A657" s="92"/>
      <c r="B657" s="89"/>
      <c r="C657" s="90"/>
      <c r="D657" s="88"/>
      <c r="E657" s="93" t="str" cm="1">
        <f t="array" ref="E657">IF(D657&lt;&gt;"",IFERROR(VLOOKUP(D657,Codes!$K$2:$L$409,2,FALSE),"UNKNOWN - "&amp;D657),IF(C657="","",IFERROR(_xlfn.IFS(ISNUMBER(SEARCH("broken button",C657)),"Break",ISNUMBER(SEARCH("broken handle",C657)),"Break",ISNUMBER(SEARCH("shipping damage",C657)),"Break",ISNUMBER(SEARCH("broken",C657)),"Break",ISNUMBER(SEARCH("crack",C657)),"Break",ISNUMBER(SEARCH("snap",C657)),"Break",ISNUMBER(SEARCH("fracture",C657)),"Break",ISNUMBER(SEARCH("bent",C657)),"Material Twisted/Bent",ISNUMBER(SEARCH("twisted",C657)),"Material Twisted/Bent",ISNUMBER(SEARCH("component separat",C657)),"Material Separation",ISNUMBER(SEARCH("separat",C657)),"Material Separation",ISNUMBER(SEARCH("connection",C657)),"Loose or Intermittent Connection",ISNUMBER(SEARCH("loose",C657)),"Loose or Intermittent Connection",ISNUMBER(SEARCH("damaged packaging",C657)),"Packaging Problem",ISNUMBER(SEARCH("packaging",C657)),"Packaging Problem",ISNUMBER(SEARCH("discoloration",C657)),"Contamination",ISNUMBER(SEARCH("tarnish",C657)),"Contamination",ISNUMBER(SEARCH("stain",C657)),"Contamination",ISNUMBER(SEARCH("foreign material",C657)),"Contamination",ISNUMBER(SEARCH("contamina",C657)),"Contamination",ISNUMBER(SEARCH("overheat",C657)),"Overheating of Device",ISNUMBER(SEARCH("excessive heat",C657)),"Overheating of Device",ISNUMBER(SEARCH("hot",C657)),"Overheating of Device",ISNUMBER(SEARCH("noise",C657)),"Noise, Audible",ISNUMBER(SEARCH("sound",C657)),"Noise, Audible",ISNUMBER(SEARCH("loud",C657)),"Noise, Audible",ISNUMBER(SEARCH("fray",C657)),"Material Frayed",ISNUMBER(SEARCH("hole",C657)),"Material Frayed",ISNUMBER(SEARCH("tear",C657)),"Material Frayed",ISNUMBER(SEARCH("worn",C657)),"Material Frayed",ISNUMBER(SEARCH("intermittent",C657)),"Difficult or Delayed Activation",ISNUMBER(SEARCH("delay",C657)),"Difficult or Delayed Activation",ISNUMBER(SEARCH("label",C657)),"Device Markings/Labelling Problem",ISNUMBER(SEARCH("marking",C657)),"Device Markings/Labelling Problem",ISNUMBER(SEARCH("lacerat",C657)),"Defective Device",ISNUMBER(SEARCH("cut",C657)),"Defective Device",ISNUMBER(SEARCH("leak",C657)),"Fluid/Blood Leak",ISNUMBER(SEARCH("missing",C657)),"Component Missing",ISNUMBER(SEARCH("power",C657)),"Complete Loss of Power",ISNUMBER(SEARCH("will not turn on",C657)),"Complete Loss of Power",ISNUMBER(SEARCH("won't turn on",C657)),"Complete Loss of Power",ISNUMBER(SEARCH("does not turn on",C657)),"Complete Loss of Power",ISNUMBER(SEARCH("electrical",C657)),"Electrical Power Problem",ISNUMBER(SEARCH("pressure",C657)),"Detachment of Device or Device Component",ISNUMBER(SEARCH("slip",C657)),"Detachment of Device or Device Component",ISNUMBER(SEARCH("detach",C657)),"Detachment of Device or Device Component",ISNUMBER(SEARCH("stick",C657)),"Mechanical Jam",ISNUMBER(SEARCH("jam",C657)),"Mechanical Jam",ISNUMBER(SEARCH("rigid",C657)),"Mechanical Jam",ISNUMBER(SEARCH("rust",C657)),"Corroded",ISNUMBER(SEARCH("corrod",C657)),"Corroded",ISNUMBER(SEARCH("corrosion",C657)),"Corroded",ISNUMBER(SEARCH("alignment",C657)),"Defective Device",ISNUMBER(SEARCH("adjust",C657)),"Defective Device",ISNUMBER(SEARCH("perform",C657)),"Defective Device",ISNUMBER(SEARCH("malfunction",C657)),"Defective Device",ISNUMBER(SEARCH("defect",C657)),"Defective Device",ISNUMBER(SEARCH("fail",C657)),"Defective Device",ISNUMBER(SEARCH("not work",C657)),"Defective Device",ISNUMBER(SEARCH("doesn't work",C657)),"Defective Device",TRUE,"UNKNOWN"),"UNKNOWN")))</f>
        <v/>
      </c>
      <c r="F657" s="4" t="str">
        <f t="shared" si="10"/>
        <v/>
      </c>
      <c r="G657" s="363" t="str">
        <f>IF(E657="","",IFERROR(VLOOKUP(E657,Codes!$L$2:$N$409,3,FALSE),"—"))</f>
        <v/>
      </c>
      <c r="H657" s="88"/>
      <c r="I657" s="88"/>
    </row>
    <row r="658" spans="1:9" ht="13.15" x14ac:dyDescent="0.35">
      <c r="A658" s="92"/>
      <c r="B658" s="89"/>
      <c r="C658" s="90"/>
      <c r="D658" s="88"/>
      <c r="E658" s="93" t="str" cm="1">
        <f t="array" ref="E658">IF(D658&lt;&gt;"",IFERROR(VLOOKUP(D658,Codes!$K$2:$L$409,2,FALSE),"UNKNOWN - "&amp;D658),IF(C658="","",IFERROR(_xlfn.IFS(ISNUMBER(SEARCH("broken button",C658)),"Break",ISNUMBER(SEARCH("broken handle",C658)),"Break",ISNUMBER(SEARCH("shipping damage",C658)),"Break",ISNUMBER(SEARCH("broken",C658)),"Break",ISNUMBER(SEARCH("crack",C658)),"Break",ISNUMBER(SEARCH("snap",C658)),"Break",ISNUMBER(SEARCH("fracture",C658)),"Break",ISNUMBER(SEARCH("bent",C658)),"Material Twisted/Bent",ISNUMBER(SEARCH("twisted",C658)),"Material Twisted/Bent",ISNUMBER(SEARCH("component separat",C658)),"Material Separation",ISNUMBER(SEARCH("separat",C658)),"Material Separation",ISNUMBER(SEARCH("connection",C658)),"Loose or Intermittent Connection",ISNUMBER(SEARCH("loose",C658)),"Loose or Intermittent Connection",ISNUMBER(SEARCH("damaged packaging",C658)),"Packaging Problem",ISNUMBER(SEARCH("packaging",C658)),"Packaging Problem",ISNUMBER(SEARCH("discoloration",C658)),"Contamination",ISNUMBER(SEARCH("tarnish",C658)),"Contamination",ISNUMBER(SEARCH("stain",C658)),"Contamination",ISNUMBER(SEARCH("foreign material",C658)),"Contamination",ISNUMBER(SEARCH("contamina",C658)),"Contamination",ISNUMBER(SEARCH("overheat",C658)),"Overheating of Device",ISNUMBER(SEARCH("excessive heat",C658)),"Overheating of Device",ISNUMBER(SEARCH("hot",C658)),"Overheating of Device",ISNUMBER(SEARCH("noise",C658)),"Noise, Audible",ISNUMBER(SEARCH("sound",C658)),"Noise, Audible",ISNUMBER(SEARCH("loud",C658)),"Noise, Audible",ISNUMBER(SEARCH("fray",C658)),"Material Frayed",ISNUMBER(SEARCH("hole",C658)),"Material Frayed",ISNUMBER(SEARCH("tear",C658)),"Material Frayed",ISNUMBER(SEARCH("worn",C658)),"Material Frayed",ISNUMBER(SEARCH("intermittent",C658)),"Difficult or Delayed Activation",ISNUMBER(SEARCH("delay",C658)),"Difficult or Delayed Activation",ISNUMBER(SEARCH("label",C658)),"Device Markings/Labelling Problem",ISNUMBER(SEARCH("marking",C658)),"Device Markings/Labelling Problem",ISNUMBER(SEARCH("lacerat",C658)),"Defective Device",ISNUMBER(SEARCH("cut",C658)),"Defective Device",ISNUMBER(SEARCH("leak",C658)),"Fluid/Blood Leak",ISNUMBER(SEARCH("missing",C658)),"Component Missing",ISNUMBER(SEARCH("power",C658)),"Complete Loss of Power",ISNUMBER(SEARCH("will not turn on",C658)),"Complete Loss of Power",ISNUMBER(SEARCH("won't turn on",C658)),"Complete Loss of Power",ISNUMBER(SEARCH("does not turn on",C658)),"Complete Loss of Power",ISNUMBER(SEARCH("electrical",C658)),"Electrical Power Problem",ISNUMBER(SEARCH("pressure",C658)),"Detachment of Device or Device Component",ISNUMBER(SEARCH("slip",C658)),"Detachment of Device or Device Component",ISNUMBER(SEARCH("detach",C658)),"Detachment of Device or Device Component",ISNUMBER(SEARCH("stick",C658)),"Mechanical Jam",ISNUMBER(SEARCH("jam",C658)),"Mechanical Jam",ISNUMBER(SEARCH("rigid",C658)),"Mechanical Jam",ISNUMBER(SEARCH("rust",C658)),"Corroded",ISNUMBER(SEARCH("corrod",C658)),"Corroded",ISNUMBER(SEARCH("corrosion",C658)),"Corroded",ISNUMBER(SEARCH("alignment",C658)),"Defective Device",ISNUMBER(SEARCH("adjust",C658)),"Defective Device",ISNUMBER(SEARCH("perform",C658)),"Defective Device",ISNUMBER(SEARCH("malfunction",C658)),"Defective Device",ISNUMBER(SEARCH("defect",C658)),"Defective Device",ISNUMBER(SEARCH("fail",C658)),"Defective Device",ISNUMBER(SEARCH("not work",C658)),"Defective Device",ISNUMBER(SEARCH("doesn't work",C658)),"Defective Device",TRUE,"UNKNOWN"),"UNKNOWN")))</f>
        <v/>
      </c>
      <c r="F658" s="4" t="str">
        <f t="shared" si="10"/>
        <v/>
      </c>
      <c r="G658" s="363" t="str">
        <f>IF(E658="","",IFERROR(VLOOKUP(E658,Codes!$L$2:$N$409,3,FALSE),"—"))</f>
        <v/>
      </c>
      <c r="H658" s="88"/>
      <c r="I658" s="88"/>
    </row>
    <row r="659" spans="1:9" ht="13.15" x14ac:dyDescent="0.35">
      <c r="A659" s="92"/>
      <c r="B659" s="89"/>
      <c r="C659" s="90"/>
      <c r="D659" s="88"/>
      <c r="E659" s="93" t="str" cm="1">
        <f t="array" ref="E659">IF(D659&lt;&gt;"",IFERROR(VLOOKUP(D659,Codes!$K$2:$L$409,2,FALSE),"UNKNOWN - "&amp;D659),IF(C659="","",IFERROR(_xlfn.IFS(ISNUMBER(SEARCH("broken button",C659)),"Break",ISNUMBER(SEARCH("broken handle",C659)),"Break",ISNUMBER(SEARCH("shipping damage",C659)),"Break",ISNUMBER(SEARCH("broken",C659)),"Break",ISNUMBER(SEARCH("crack",C659)),"Break",ISNUMBER(SEARCH("snap",C659)),"Break",ISNUMBER(SEARCH("fracture",C659)),"Break",ISNUMBER(SEARCH("bent",C659)),"Material Twisted/Bent",ISNUMBER(SEARCH("twisted",C659)),"Material Twisted/Bent",ISNUMBER(SEARCH("component separat",C659)),"Material Separation",ISNUMBER(SEARCH("separat",C659)),"Material Separation",ISNUMBER(SEARCH("connection",C659)),"Loose or Intermittent Connection",ISNUMBER(SEARCH("loose",C659)),"Loose or Intermittent Connection",ISNUMBER(SEARCH("damaged packaging",C659)),"Packaging Problem",ISNUMBER(SEARCH("packaging",C659)),"Packaging Problem",ISNUMBER(SEARCH("discoloration",C659)),"Contamination",ISNUMBER(SEARCH("tarnish",C659)),"Contamination",ISNUMBER(SEARCH("stain",C659)),"Contamination",ISNUMBER(SEARCH("foreign material",C659)),"Contamination",ISNUMBER(SEARCH("contamina",C659)),"Contamination",ISNUMBER(SEARCH("overheat",C659)),"Overheating of Device",ISNUMBER(SEARCH("excessive heat",C659)),"Overheating of Device",ISNUMBER(SEARCH("hot",C659)),"Overheating of Device",ISNUMBER(SEARCH("noise",C659)),"Noise, Audible",ISNUMBER(SEARCH("sound",C659)),"Noise, Audible",ISNUMBER(SEARCH("loud",C659)),"Noise, Audible",ISNUMBER(SEARCH("fray",C659)),"Material Frayed",ISNUMBER(SEARCH("hole",C659)),"Material Frayed",ISNUMBER(SEARCH("tear",C659)),"Material Frayed",ISNUMBER(SEARCH("worn",C659)),"Material Frayed",ISNUMBER(SEARCH("intermittent",C659)),"Difficult or Delayed Activation",ISNUMBER(SEARCH("delay",C659)),"Difficult or Delayed Activation",ISNUMBER(SEARCH("label",C659)),"Device Markings/Labelling Problem",ISNUMBER(SEARCH("marking",C659)),"Device Markings/Labelling Problem",ISNUMBER(SEARCH("lacerat",C659)),"Defective Device",ISNUMBER(SEARCH("cut",C659)),"Defective Device",ISNUMBER(SEARCH("leak",C659)),"Fluid/Blood Leak",ISNUMBER(SEARCH("missing",C659)),"Component Missing",ISNUMBER(SEARCH("power",C659)),"Complete Loss of Power",ISNUMBER(SEARCH("will not turn on",C659)),"Complete Loss of Power",ISNUMBER(SEARCH("won't turn on",C659)),"Complete Loss of Power",ISNUMBER(SEARCH("does not turn on",C659)),"Complete Loss of Power",ISNUMBER(SEARCH("electrical",C659)),"Electrical Power Problem",ISNUMBER(SEARCH("pressure",C659)),"Detachment of Device or Device Component",ISNUMBER(SEARCH("slip",C659)),"Detachment of Device or Device Component",ISNUMBER(SEARCH("detach",C659)),"Detachment of Device or Device Component",ISNUMBER(SEARCH("stick",C659)),"Mechanical Jam",ISNUMBER(SEARCH("jam",C659)),"Mechanical Jam",ISNUMBER(SEARCH("rigid",C659)),"Mechanical Jam",ISNUMBER(SEARCH("rust",C659)),"Corroded",ISNUMBER(SEARCH("corrod",C659)),"Corroded",ISNUMBER(SEARCH("corrosion",C659)),"Corroded",ISNUMBER(SEARCH("alignment",C659)),"Defective Device",ISNUMBER(SEARCH("adjust",C659)),"Defective Device",ISNUMBER(SEARCH("perform",C659)),"Defective Device",ISNUMBER(SEARCH("malfunction",C659)),"Defective Device",ISNUMBER(SEARCH("defect",C659)),"Defective Device",ISNUMBER(SEARCH("fail",C659)),"Defective Device",ISNUMBER(SEARCH("not work",C659)),"Defective Device",ISNUMBER(SEARCH("doesn't work",C659)),"Defective Device",TRUE,"UNKNOWN"),"UNKNOWN")))</f>
        <v/>
      </c>
      <c r="F659" s="4" t="str">
        <f t="shared" si="10"/>
        <v/>
      </c>
      <c r="G659" s="363" t="str">
        <f>IF(E659="","",IFERROR(VLOOKUP(E659,Codes!$L$2:$N$409,3,FALSE),"—"))</f>
        <v/>
      </c>
      <c r="H659" s="88"/>
      <c r="I659" s="88"/>
    </row>
    <row r="660" spans="1:9" ht="13.15" x14ac:dyDescent="0.35">
      <c r="A660" s="92"/>
      <c r="B660" s="89"/>
      <c r="C660" s="90"/>
      <c r="D660" s="88"/>
      <c r="E660" s="93" t="str" cm="1">
        <f t="array" ref="E660">IF(D660&lt;&gt;"",IFERROR(VLOOKUP(D660,Codes!$K$2:$L$409,2,FALSE),"UNKNOWN - "&amp;D660),IF(C660="","",IFERROR(_xlfn.IFS(ISNUMBER(SEARCH("broken button",C660)),"Break",ISNUMBER(SEARCH("broken handle",C660)),"Break",ISNUMBER(SEARCH("shipping damage",C660)),"Break",ISNUMBER(SEARCH("broken",C660)),"Break",ISNUMBER(SEARCH("crack",C660)),"Break",ISNUMBER(SEARCH("snap",C660)),"Break",ISNUMBER(SEARCH("fracture",C660)),"Break",ISNUMBER(SEARCH("bent",C660)),"Material Twisted/Bent",ISNUMBER(SEARCH("twisted",C660)),"Material Twisted/Bent",ISNUMBER(SEARCH("component separat",C660)),"Material Separation",ISNUMBER(SEARCH("separat",C660)),"Material Separation",ISNUMBER(SEARCH("connection",C660)),"Loose or Intermittent Connection",ISNUMBER(SEARCH("loose",C660)),"Loose or Intermittent Connection",ISNUMBER(SEARCH("damaged packaging",C660)),"Packaging Problem",ISNUMBER(SEARCH("packaging",C660)),"Packaging Problem",ISNUMBER(SEARCH("discoloration",C660)),"Contamination",ISNUMBER(SEARCH("tarnish",C660)),"Contamination",ISNUMBER(SEARCH("stain",C660)),"Contamination",ISNUMBER(SEARCH("foreign material",C660)),"Contamination",ISNUMBER(SEARCH("contamina",C660)),"Contamination",ISNUMBER(SEARCH("overheat",C660)),"Overheating of Device",ISNUMBER(SEARCH("excessive heat",C660)),"Overheating of Device",ISNUMBER(SEARCH("hot",C660)),"Overheating of Device",ISNUMBER(SEARCH("noise",C660)),"Noise, Audible",ISNUMBER(SEARCH("sound",C660)),"Noise, Audible",ISNUMBER(SEARCH("loud",C660)),"Noise, Audible",ISNUMBER(SEARCH("fray",C660)),"Material Frayed",ISNUMBER(SEARCH("hole",C660)),"Material Frayed",ISNUMBER(SEARCH("tear",C660)),"Material Frayed",ISNUMBER(SEARCH("worn",C660)),"Material Frayed",ISNUMBER(SEARCH("intermittent",C660)),"Difficult or Delayed Activation",ISNUMBER(SEARCH("delay",C660)),"Difficult or Delayed Activation",ISNUMBER(SEARCH("label",C660)),"Device Markings/Labelling Problem",ISNUMBER(SEARCH("marking",C660)),"Device Markings/Labelling Problem",ISNUMBER(SEARCH("lacerat",C660)),"Defective Device",ISNUMBER(SEARCH("cut",C660)),"Defective Device",ISNUMBER(SEARCH("leak",C660)),"Fluid/Blood Leak",ISNUMBER(SEARCH("missing",C660)),"Component Missing",ISNUMBER(SEARCH("power",C660)),"Complete Loss of Power",ISNUMBER(SEARCH("will not turn on",C660)),"Complete Loss of Power",ISNUMBER(SEARCH("won't turn on",C660)),"Complete Loss of Power",ISNUMBER(SEARCH("does not turn on",C660)),"Complete Loss of Power",ISNUMBER(SEARCH("electrical",C660)),"Electrical Power Problem",ISNUMBER(SEARCH("pressure",C660)),"Detachment of Device or Device Component",ISNUMBER(SEARCH("slip",C660)),"Detachment of Device or Device Component",ISNUMBER(SEARCH("detach",C660)),"Detachment of Device or Device Component",ISNUMBER(SEARCH("stick",C660)),"Mechanical Jam",ISNUMBER(SEARCH("jam",C660)),"Mechanical Jam",ISNUMBER(SEARCH("rigid",C660)),"Mechanical Jam",ISNUMBER(SEARCH("rust",C660)),"Corroded",ISNUMBER(SEARCH("corrod",C660)),"Corroded",ISNUMBER(SEARCH("corrosion",C660)),"Corroded",ISNUMBER(SEARCH("alignment",C660)),"Defective Device",ISNUMBER(SEARCH("adjust",C660)),"Defective Device",ISNUMBER(SEARCH("perform",C660)),"Defective Device",ISNUMBER(SEARCH("malfunction",C660)),"Defective Device",ISNUMBER(SEARCH("defect",C660)),"Defective Device",ISNUMBER(SEARCH("fail",C660)),"Defective Device",ISNUMBER(SEARCH("not work",C660)),"Defective Device",ISNUMBER(SEARCH("doesn't work",C660)),"Defective Device",TRUE,"UNKNOWN"),"UNKNOWN")))</f>
        <v/>
      </c>
      <c r="F660" s="4" t="str">
        <f t="shared" si="10"/>
        <v/>
      </c>
      <c r="G660" s="363" t="str">
        <f>IF(E660="","",IFERROR(VLOOKUP(E660,Codes!$L$2:$N$409,3,FALSE),"—"))</f>
        <v/>
      </c>
      <c r="H660" s="88"/>
      <c r="I660" s="88"/>
    </row>
    <row r="661" spans="1:9" ht="13.15" x14ac:dyDescent="0.35">
      <c r="A661" s="92"/>
      <c r="B661" s="89"/>
      <c r="C661" s="90"/>
      <c r="D661" s="88"/>
      <c r="E661" s="93" t="str" cm="1">
        <f t="array" ref="E661">IF(D661&lt;&gt;"",IFERROR(VLOOKUP(D661,Codes!$K$2:$L$409,2,FALSE),"UNKNOWN - "&amp;D661),IF(C661="","",IFERROR(_xlfn.IFS(ISNUMBER(SEARCH("broken button",C661)),"Break",ISNUMBER(SEARCH("broken handle",C661)),"Break",ISNUMBER(SEARCH("shipping damage",C661)),"Break",ISNUMBER(SEARCH("broken",C661)),"Break",ISNUMBER(SEARCH("crack",C661)),"Break",ISNUMBER(SEARCH("snap",C661)),"Break",ISNUMBER(SEARCH("fracture",C661)),"Break",ISNUMBER(SEARCH("bent",C661)),"Material Twisted/Bent",ISNUMBER(SEARCH("twisted",C661)),"Material Twisted/Bent",ISNUMBER(SEARCH("component separat",C661)),"Material Separation",ISNUMBER(SEARCH("separat",C661)),"Material Separation",ISNUMBER(SEARCH("connection",C661)),"Loose or Intermittent Connection",ISNUMBER(SEARCH("loose",C661)),"Loose or Intermittent Connection",ISNUMBER(SEARCH("damaged packaging",C661)),"Packaging Problem",ISNUMBER(SEARCH("packaging",C661)),"Packaging Problem",ISNUMBER(SEARCH("discoloration",C661)),"Contamination",ISNUMBER(SEARCH("tarnish",C661)),"Contamination",ISNUMBER(SEARCH("stain",C661)),"Contamination",ISNUMBER(SEARCH("foreign material",C661)),"Contamination",ISNUMBER(SEARCH("contamina",C661)),"Contamination",ISNUMBER(SEARCH("overheat",C661)),"Overheating of Device",ISNUMBER(SEARCH("excessive heat",C661)),"Overheating of Device",ISNUMBER(SEARCH("hot",C661)),"Overheating of Device",ISNUMBER(SEARCH("noise",C661)),"Noise, Audible",ISNUMBER(SEARCH("sound",C661)),"Noise, Audible",ISNUMBER(SEARCH("loud",C661)),"Noise, Audible",ISNUMBER(SEARCH("fray",C661)),"Material Frayed",ISNUMBER(SEARCH("hole",C661)),"Material Frayed",ISNUMBER(SEARCH("tear",C661)),"Material Frayed",ISNUMBER(SEARCH("worn",C661)),"Material Frayed",ISNUMBER(SEARCH("intermittent",C661)),"Difficult or Delayed Activation",ISNUMBER(SEARCH("delay",C661)),"Difficult or Delayed Activation",ISNUMBER(SEARCH("label",C661)),"Device Markings/Labelling Problem",ISNUMBER(SEARCH("marking",C661)),"Device Markings/Labelling Problem",ISNUMBER(SEARCH("lacerat",C661)),"Defective Device",ISNUMBER(SEARCH("cut",C661)),"Defective Device",ISNUMBER(SEARCH("leak",C661)),"Fluid/Blood Leak",ISNUMBER(SEARCH("missing",C661)),"Component Missing",ISNUMBER(SEARCH("power",C661)),"Complete Loss of Power",ISNUMBER(SEARCH("will not turn on",C661)),"Complete Loss of Power",ISNUMBER(SEARCH("won't turn on",C661)),"Complete Loss of Power",ISNUMBER(SEARCH("does not turn on",C661)),"Complete Loss of Power",ISNUMBER(SEARCH("electrical",C661)),"Electrical Power Problem",ISNUMBER(SEARCH("pressure",C661)),"Detachment of Device or Device Component",ISNUMBER(SEARCH("slip",C661)),"Detachment of Device or Device Component",ISNUMBER(SEARCH("detach",C661)),"Detachment of Device or Device Component",ISNUMBER(SEARCH("stick",C661)),"Mechanical Jam",ISNUMBER(SEARCH("jam",C661)),"Mechanical Jam",ISNUMBER(SEARCH("rigid",C661)),"Mechanical Jam",ISNUMBER(SEARCH("rust",C661)),"Corroded",ISNUMBER(SEARCH("corrod",C661)),"Corroded",ISNUMBER(SEARCH("corrosion",C661)),"Corroded",ISNUMBER(SEARCH("alignment",C661)),"Defective Device",ISNUMBER(SEARCH("adjust",C661)),"Defective Device",ISNUMBER(SEARCH("perform",C661)),"Defective Device",ISNUMBER(SEARCH("malfunction",C661)),"Defective Device",ISNUMBER(SEARCH("defect",C661)),"Defective Device",ISNUMBER(SEARCH("fail",C661)),"Defective Device",ISNUMBER(SEARCH("not work",C661)),"Defective Device",ISNUMBER(SEARCH("doesn't work",C661)),"Defective Device",TRUE,"UNKNOWN"),"UNKNOWN")))</f>
        <v/>
      </c>
      <c r="F661" s="4" t="str">
        <f t="shared" si="10"/>
        <v/>
      </c>
      <c r="G661" s="363" t="str">
        <f>IF(E661="","",IFERROR(VLOOKUP(E661,Codes!$L$2:$N$409,3,FALSE),"—"))</f>
        <v/>
      </c>
      <c r="H661" s="88"/>
      <c r="I661" s="88"/>
    </row>
    <row r="662" spans="1:9" ht="13.15" x14ac:dyDescent="0.35">
      <c r="A662" s="92"/>
      <c r="B662" s="89"/>
      <c r="C662" s="90"/>
      <c r="D662" s="88"/>
      <c r="E662" s="93" t="str" cm="1">
        <f t="array" ref="E662">IF(D662&lt;&gt;"",IFERROR(VLOOKUP(D662,Codes!$K$2:$L$409,2,FALSE),"UNKNOWN - "&amp;D662),IF(C662="","",IFERROR(_xlfn.IFS(ISNUMBER(SEARCH("broken button",C662)),"Break",ISNUMBER(SEARCH("broken handle",C662)),"Break",ISNUMBER(SEARCH("shipping damage",C662)),"Break",ISNUMBER(SEARCH("broken",C662)),"Break",ISNUMBER(SEARCH("crack",C662)),"Break",ISNUMBER(SEARCH("snap",C662)),"Break",ISNUMBER(SEARCH("fracture",C662)),"Break",ISNUMBER(SEARCH("bent",C662)),"Material Twisted/Bent",ISNUMBER(SEARCH("twisted",C662)),"Material Twisted/Bent",ISNUMBER(SEARCH("component separat",C662)),"Material Separation",ISNUMBER(SEARCH("separat",C662)),"Material Separation",ISNUMBER(SEARCH("connection",C662)),"Loose or Intermittent Connection",ISNUMBER(SEARCH("loose",C662)),"Loose or Intermittent Connection",ISNUMBER(SEARCH("damaged packaging",C662)),"Packaging Problem",ISNUMBER(SEARCH("packaging",C662)),"Packaging Problem",ISNUMBER(SEARCH("discoloration",C662)),"Contamination",ISNUMBER(SEARCH("tarnish",C662)),"Contamination",ISNUMBER(SEARCH("stain",C662)),"Contamination",ISNUMBER(SEARCH("foreign material",C662)),"Contamination",ISNUMBER(SEARCH("contamina",C662)),"Contamination",ISNUMBER(SEARCH("overheat",C662)),"Overheating of Device",ISNUMBER(SEARCH("excessive heat",C662)),"Overheating of Device",ISNUMBER(SEARCH("hot",C662)),"Overheating of Device",ISNUMBER(SEARCH("noise",C662)),"Noise, Audible",ISNUMBER(SEARCH("sound",C662)),"Noise, Audible",ISNUMBER(SEARCH("loud",C662)),"Noise, Audible",ISNUMBER(SEARCH("fray",C662)),"Material Frayed",ISNUMBER(SEARCH("hole",C662)),"Material Frayed",ISNUMBER(SEARCH("tear",C662)),"Material Frayed",ISNUMBER(SEARCH("worn",C662)),"Material Frayed",ISNUMBER(SEARCH("intermittent",C662)),"Difficult or Delayed Activation",ISNUMBER(SEARCH("delay",C662)),"Difficult or Delayed Activation",ISNUMBER(SEARCH("label",C662)),"Device Markings/Labelling Problem",ISNUMBER(SEARCH("marking",C662)),"Device Markings/Labelling Problem",ISNUMBER(SEARCH("lacerat",C662)),"Defective Device",ISNUMBER(SEARCH("cut",C662)),"Defective Device",ISNUMBER(SEARCH("leak",C662)),"Fluid/Blood Leak",ISNUMBER(SEARCH("missing",C662)),"Component Missing",ISNUMBER(SEARCH("power",C662)),"Complete Loss of Power",ISNUMBER(SEARCH("will not turn on",C662)),"Complete Loss of Power",ISNUMBER(SEARCH("won't turn on",C662)),"Complete Loss of Power",ISNUMBER(SEARCH("does not turn on",C662)),"Complete Loss of Power",ISNUMBER(SEARCH("electrical",C662)),"Electrical Power Problem",ISNUMBER(SEARCH("pressure",C662)),"Detachment of Device or Device Component",ISNUMBER(SEARCH("slip",C662)),"Detachment of Device or Device Component",ISNUMBER(SEARCH("detach",C662)),"Detachment of Device or Device Component",ISNUMBER(SEARCH("stick",C662)),"Mechanical Jam",ISNUMBER(SEARCH("jam",C662)),"Mechanical Jam",ISNUMBER(SEARCH("rigid",C662)),"Mechanical Jam",ISNUMBER(SEARCH("rust",C662)),"Corroded",ISNUMBER(SEARCH("corrod",C662)),"Corroded",ISNUMBER(SEARCH("corrosion",C662)),"Corroded",ISNUMBER(SEARCH("alignment",C662)),"Defective Device",ISNUMBER(SEARCH("adjust",C662)),"Defective Device",ISNUMBER(SEARCH("perform",C662)),"Defective Device",ISNUMBER(SEARCH("malfunction",C662)),"Defective Device",ISNUMBER(SEARCH("defect",C662)),"Defective Device",ISNUMBER(SEARCH("fail",C662)),"Defective Device",ISNUMBER(SEARCH("not work",C662)),"Defective Device",ISNUMBER(SEARCH("doesn't work",C662)),"Defective Device",TRUE,"UNKNOWN"),"UNKNOWN")))</f>
        <v/>
      </c>
      <c r="F662" s="4" t="str">
        <f t="shared" si="10"/>
        <v/>
      </c>
      <c r="G662" s="363" t="str">
        <f>IF(E662="","",IFERROR(VLOOKUP(E662,Codes!$L$2:$N$409,3,FALSE),"—"))</f>
        <v/>
      </c>
      <c r="H662" s="88"/>
      <c r="I662" s="88"/>
    </row>
    <row r="663" spans="1:9" ht="13.15" x14ac:dyDescent="0.35">
      <c r="A663" s="92"/>
      <c r="B663" s="89"/>
      <c r="C663" s="91"/>
      <c r="D663" s="88"/>
      <c r="E663" s="93" t="str" cm="1">
        <f t="array" ref="E663">IF(D663&lt;&gt;"",IFERROR(VLOOKUP(D663,Codes!$K$2:$L$409,2,FALSE),"UNKNOWN - "&amp;D663),IF(C663="","",IFERROR(_xlfn.IFS(ISNUMBER(SEARCH("broken button",C663)),"Break",ISNUMBER(SEARCH("broken handle",C663)),"Break",ISNUMBER(SEARCH("shipping damage",C663)),"Break",ISNUMBER(SEARCH("broken",C663)),"Break",ISNUMBER(SEARCH("crack",C663)),"Break",ISNUMBER(SEARCH("snap",C663)),"Break",ISNUMBER(SEARCH("fracture",C663)),"Break",ISNUMBER(SEARCH("bent",C663)),"Material Twisted/Bent",ISNUMBER(SEARCH("twisted",C663)),"Material Twisted/Bent",ISNUMBER(SEARCH("component separat",C663)),"Material Separation",ISNUMBER(SEARCH("separat",C663)),"Material Separation",ISNUMBER(SEARCH("connection",C663)),"Loose or Intermittent Connection",ISNUMBER(SEARCH("loose",C663)),"Loose or Intermittent Connection",ISNUMBER(SEARCH("damaged packaging",C663)),"Packaging Problem",ISNUMBER(SEARCH("packaging",C663)),"Packaging Problem",ISNUMBER(SEARCH("discoloration",C663)),"Contamination",ISNUMBER(SEARCH("tarnish",C663)),"Contamination",ISNUMBER(SEARCH("stain",C663)),"Contamination",ISNUMBER(SEARCH("foreign material",C663)),"Contamination",ISNUMBER(SEARCH("contamina",C663)),"Contamination",ISNUMBER(SEARCH("overheat",C663)),"Overheating of Device",ISNUMBER(SEARCH("excessive heat",C663)),"Overheating of Device",ISNUMBER(SEARCH("hot",C663)),"Overheating of Device",ISNUMBER(SEARCH("noise",C663)),"Noise, Audible",ISNUMBER(SEARCH("sound",C663)),"Noise, Audible",ISNUMBER(SEARCH("loud",C663)),"Noise, Audible",ISNUMBER(SEARCH("fray",C663)),"Material Frayed",ISNUMBER(SEARCH("hole",C663)),"Material Frayed",ISNUMBER(SEARCH("tear",C663)),"Material Frayed",ISNUMBER(SEARCH("worn",C663)),"Material Frayed",ISNUMBER(SEARCH("intermittent",C663)),"Difficult or Delayed Activation",ISNUMBER(SEARCH("delay",C663)),"Difficult or Delayed Activation",ISNUMBER(SEARCH("label",C663)),"Device Markings/Labelling Problem",ISNUMBER(SEARCH("marking",C663)),"Device Markings/Labelling Problem",ISNUMBER(SEARCH("lacerat",C663)),"Defective Device",ISNUMBER(SEARCH("cut",C663)),"Defective Device",ISNUMBER(SEARCH("leak",C663)),"Fluid/Blood Leak",ISNUMBER(SEARCH("missing",C663)),"Component Missing",ISNUMBER(SEARCH("power",C663)),"Complete Loss of Power",ISNUMBER(SEARCH("will not turn on",C663)),"Complete Loss of Power",ISNUMBER(SEARCH("won't turn on",C663)),"Complete Loss of Power",ISNUMBER(SEARCH("does not turn on",C663)),"Complete Loss of Power",ISNUMBER(SEARCH("electrical",C663)),"Electrical Power Problem",ISNUMBER(SEARCH("pressure",C663)),"Detachment of Device or Device Component",ISNUMBER(SEARCH("slip",C663)),"Detachment of Device or Device Component",ISNUMBER(SEARCH("detach",C663)),"Detachment of Device or Device Component",ISNUMBER(SEARCH("stick",C663)),"Mechanical Jam",ISNUMBER(SEARCH("jam",C663)),"Mechanical Jam",ISNUMBER(SEARCH("rigid",C663)),"Mechanical Jam",ISNUMBER(SEARCH("rust",C663)),"Corroded",ISNUMBER(SEARCH("corrod",C663)),"Corroded",ISNUMBER(SEARCH("corrosion",C663)),"Corroded",ISNUMBER(SEARCH("alignment",C663)),"Defective Device",ISNUMBER(SEARCH("adjust",C663)),"Defective Device",ISNUMBER(SEARCH("perform",C663)),"Defective Device",ISNUMBER(SEARCH("malfunction",C663)),"Defective Device",ISNUMBER(SEARCH("defect",C663)),"Defective Device",ISNUMBER(SEARCH("fail",C663)),"Defective Device",ISNUMBER(SEARCH("not work",C663)),"Defective Device",ISNUMBER(SEARCH("doesn't work",C663)),"Defective Device",TRUE,"UNKNOWN"),"UNKNOWN")))</f>
        <v/>
      </c>
      <c r="F663" s="4" t="str">
        <f t="shared" si="10"/>
        <v/>
      </c>
      <c r="G663" s="363" t="str">
        <f>IF(E663="","",IFERROR(VLOOKUP(E663,Codes!$L$2:$N$409,3,FALSE),"—"))</f>
        <v/>
      </c>
      <c r="H663" s="88"/>
      <c r="I663" s="88"/>
    </row>
    <row r="664" spans="1:9" ht="13.15" x14ac:dyDescent="0.35">
      <c r="A664" s="92"/>
      <c r="B664" s="89"/>
      <c r="C664" s="90"/>
      <c r="D664" s="88"/>
      <c r="E664" s="93" t="str" cm="1">
        <f t="array" ref="E664">IF(D664&lt;&gt;"",IFERROR(VLOOKUP(D664,Codes!$K$2:$L$409,2,FALSE),"UNKNOWN - "&amp;D664),IF(C664="","",IFERROR(_xlfn.IFS(ISNUMBER(SEARCH("broken button",C664)),"Break",ISNUMBER(SEARCH("broken handle",C664)),"Break",ISNUMBER(SEARCH("shipping damage",C664)),"Break",ISNUMBER(SEARCH("broken",C664)),"Break",ISNUMBER(SEARCH("crack",C664)),"Break",ISNUMBER(SEARCH("snap",C664)),"Break",ISNUMBER(SEARCH("fracture",C664)),"Break",ISNUMBER(SEARCH("bent",C664)),"Material Twisted/Bent",ISNUMBER(SEARCH("twisted",C664)),"Material Twisted/Bent",ISNUMBER(SEARCH("component separat",C664)),"Material Separation",ISNUMBER(SEARCH("separat",C664)),"Material Separation",ISNUMBER(SEARCH("connection",C664)),"Loose or Intermittent Connection",ISNUMBER(SEARCH("loose",C664)),"Loose or Intermittent Connection",ISNUMBER(SEARCH("damaged packaging",C664)),"Packaging Problem",ISNUMBER(SEARCH("packaging",C664)),"Packaging Problem",ISNUMBER(SEARCH("discoloration",C664)),"Contamination",ISNUMBER(SEARCH("tarnish",C664)),"Contamination",ISNUMBER(SEARCH("stain",C664)),"Contamination",ISNUMBER(SEARCH("foreign material",C664)),"Contamination",ISNUMBER(SEARCH("contamina",C664)),"Contamination",ISNUMBER(SEARCH("overheat",C664)),"Overheating of Device",ISNUMBER(SEARCH("excessive heat",C664)),"Overheating of Device",ISNUMBER(SEARCH("hot",C664)),"Overheating of Device",ISNUMBER(SEARCH("noise",C664)),"Noise, Audible",ISNUMBER(SEARCH("sound",C664)),"Noise, Audible",ISNUMBER(SEARCH("loud",C664)),"Noise, Audible",ISNUMBER(SEARCH("fray",C664)),"Material Frayed",ISNUMBER(SEARCH("hole",C664)),"Material Frayed",ISNUMBER(SEARCH("tear",C664)),"Material Frayed",ISNUMBER(SEARCH("worn",C664)),"Material Frayed",ISNUMBER(SEARCH("intermittent",C664)),"Difficult or Delayed Activation",ISNUMBER(SEARCH("delay",C664)),"Difficult or Delayed Activation",ISNUMBER(SEARCH("label",C664)),"Device Markings/Labelling Problem",ISNUMBER(SEARCH("marking",C664)),"Device Markings/Labelling Problem",ISNUMBER(SEARCH("lacerat",C664)),"Defective Device",ISNUMBER(SEARCH("cut",C664)),"Defective Device",ISNUMBER(SEARCH("leak",C664)),"Fluid/Blood Leak",ISNUMBER(SEARCH("missing",C664)),"Component Missing",ISNUMBER(SEARCH("power",C664)),"Complete Loss of Power",ISNUMBER(SEARCH("will not turn on",C664)),"Complete Loss of Power",ISNUMBER(SEARCH("won't turn on",C664)),"Complete Loss of Power",ISNUMBER(SEARCH("does not turn on",C664)),"Complete Loss of Power",ISNUMBER(SEARCH("electrical",C664)),"Electrical Power Problem",ISNUMBER(SEARCH("pressure",C664)),"Detachment of Device or Device Component",ISNUMBER(SEARCH("slip",C664)),"Detachment of Device or Device Component",ISNUMBER(SEARCH("detach",C664)),"Detachment of Device or Device Component",ISNUMBER(SEARCH("stick",C664)),"Mechanical Jam",ISNUMBER(SEARCH("jam",C664)),"Mechanical Jam",ISNUMBER(SEARCH("rigid",C664)),"Mechanical Jam",ISNUMBER(SEARCH("rust",C664)),"Corroded",ISNUMBER(SEARCH("corrod",C664)),"Corroded",ISNUMBER(SEARCH("corrosion",C664)),"Corroded",ISNUMBER(SEARCH("alignment",C664)),"Defective Device",ISNUMBER(SEARCH("adjust",C664)),"Defective Device",ISNUMBER(SEARCH("perform",C664)),"Defective Device",ISNUMBER(SEARCH("malfunction",C664)),"Defective Device",ISNUMBER(SEARCH("defect",C664)),"Defective Device",ISNUMBER(SEARCH("fail",C664)),"Defective Device",ISNUMBER(SEARCH("not work",C664)),"Defective Device",ISNUMBER(SEARCH("doesn't work",C664)),"Defective Device",TRUE,"UNKNOWN"),"UNKNOWN")))</f>
        <v/>
      </c>
      <c r="F664" s="4" t="str">
        <f t="shared" si="10"/>
        <v/>
      </c>
      <c r="G664" s="363" t="str">
        <f>IF(E664="","",IFERROR(VLOOKUP(E664,Codes!$L$2:$N$409,3,FALSE),"—"))</f>
        <v/>
      </c>
      <c r="H664" s="88"/>
      <c r="I664" s="88"/>
    </row>
    <row r="665" spans="1:9" ht="13.15" x14ac:dyDescent="0.35">
      <c r="A665" s="92"/>
      <c r="B665" s="89"/>
      <c r="C665" s="90"/>
      <c r="D665" s="88"/>
      <c r="E665" s="93" t="str" cm="1">
        <f t="array" ref="E665">IF(D665&lt;&gt;"",IFERROR(VLOOKUP(D665,Codes!$K$2:$L$409,2,FALSE),"UNKNOWN - "&amp;D665),IF(C665="","",IFERROR(_xlfn.IFS(ISNUMBER(SEARCH("broken button",C665)),"Break",ISNUMBER(SEARCH("broken handle",C665)),"Break",ISNUMBER(SEARCH("shipping damage",C665)),"Break",ISNUMBER(SEARCH("broken",C665)),"Break",ISNUMBER(SEARCH("crack",C665)),"Break",ISNUMBER(SEARCH("snap",C665)),"Break",ISNUMBER(SEARCH("fracture",C665)),"Break",ISNUMBER(SEARCH("bent",C665)),"Material Twisted/Bent",ISNUMBER(SEARCH("twisted",C665)),"Material Twisted/Bent",ISNUMBER(SEARCH("component separat",C665)),"Material Separation",ISNUMBER(SEARCH("separat",C665)),"Material Separation",ISNUMBER(SEARCH("connection",C665)),"Loose or Intermittent Connection",ISNUMBER(SEARCH("loose",C665)),"Loose or Intermittent Connection",ISNUMBER(SEARCH("damaged packaging",C665)),"Packaging Problem",ISNUMBER(SEARCH("packaging",C665)),"Packaging Problem",ISNUMBER(SEARCH("discoloration",C665)),"Contamination",ISNUMBER(SEARCH("tarnish",C665)),"Contamination",ISNUMBER(SEARCH("stain",C665)),"Contamination",ISNUMBER(SEARCH("foreign material",C665)),"Contamination",ISNUMBER(SEARCH("contamina",C665)),"Contamination",ISNUMBER(SEARCH("overheat",C665)),"Overheating of Device",ISNUMBER(SEARCH("excessive heat",C665)),"Overheating of Device",ISNUMBER(SEARCH("hot",C665)),"Overheating of Device",ISNUMBER(SEARCH("noise",C665)),"Noise, Audible",ISNUMBER(SEARCH("sound",C665)),"Noise, Audible",ISNUMBER(SEARCH("loud",C665)),"Noise, Audible",ISNUMBER(SEARCH("fray",C665)),"Material Frayed",ISNUMBER(SEARCH("hole",C665)),"Material Frayed",ISNUMBER(SEARCH("tear",C665)),"Material Frayed",ISNUMBER(SEARCH("worn",C665)),"Material Frayed",ISNUMBER(SEARCH("intermittent",C665)),"Difficult or Delayed Activation",ISNUMBER(SEARCH("delay",C665)),"Difficult or Delayed Activation",ISNUMBER(SEARCH("label",C665)),"Device Markings/Labelling Problem",ISNUMBER(SEARCH("marking",C665)),"Device Markings/Labelling Problem",ISNUMBER(SEARCH("lacerat",C665)),"Defective Device",ISNUMBER(SEARCH("cut",C665)),"Defective Device",ISNUMBER(SEARCH("leak",C665)),"Fluid/Blood Leak",ISNUMBER(SEARCH("missing",C665)),"Component Missing",ISNUMBER(SEARCH("power",C665)),"Complete Loss of Power",ISNUMBER(SEARCH("will not turn on",C665)),"Complete Loss of Power",ISNUMBER(SEARCH("won't turn on",C665)),"Complete Loss of Power",ISNUMBER(SEARCH("does not turn on",C665)),"Complete Loss of Power",ISNUMBER(SEARCH("electrical",C665)),"Electrical Power Problem",ISNUMBER(SEARCH("pressure",C665)),"Detachment of Device or Device Component",ISNUMBER(SEARCH("slip",C665)),"Detachment of Device or Device Component",ISNUMBER(SEARCH("detach",C665)),"Detachment of Device or Device Component",ISNUMBER(SEARCH("stick",C665)),"Mechanical Jam",ISNUMBER(SEARCH("jam",C665)),"Mechanical Jam",ISNUMBER(SEARCH("rigid",C665)),"Mechanical Jam",ISNUMBER(SEARCH("rust",C665)),"Corroded",ISNUMBER(SEARCH("corrod",C665)),"Corroded",ISNUMBER(SEARCH("corrosion",C665)),"Corroded",ISNUMBER(SEARCH("alignment",C665)),"Defective Device",ISNUMBER(SEARCH("adjust",C665)),"Defective Device",ISNUMBER(SEARCH("perform",C665)),"Defective Device",ISNUMBER(SEARCH("malfunction",C665)),"Defective Device",ISNUMBER(SEARCH("defect",C665)),"Defective Device",ISNUMBER(SEARCH("fail",C665)),"Defective Device",ISNUMBER(SEARCH("not work",C665)),"Defective Device",ISNUMBER(SEARCH("doesn't work",C665)),"Defective Device",TRUE,"UNKNOWN"),"UNKNOWN")))</f>
        <v/>
      </c>
      <c r="F665" s="4" t="str">
        <f t="shared" si="10"/>
        <v/>
      </c>
      <c r="G665" s="363" t="str">
        <f>IF(E665="","",IFERROR(VLOOKUP(E665,Codes!$L$2:$N$409,3,FALSE),"—"))</f>
        <v/>
      </c>
      <c r="H665" s="88"/>
      <c r="I665" s="88"/>
    </row>
    <row r="666" spans="1:9" ht="13.15" x14ac:dyDescent="0.35">
      <c r="A666" s="92"/>
      <c r="B666" s="89"/>
      <c r="C666" s="90"/>
      <c r="D666" s="88"/>
      <c r="E666" s="93" t="str" cm="1">
        <f t="array" ref="E666">IF(D666&lt;&gt;"",IFERROR(VLOOKUP(D666,Codes!$K$2:$L$409,2,FALSE),"UNKNOWN - "&amp;D666),IF(C666="","",IFERROR(_xlfn.IFS(ISNUMBER(SEARCH("broken button",C666)),"Break",ISNUMBER(SEARCH("broken handle",C666)),"Break",ISNUMBER(SEARCH("shipping damage",C666)),"Break",ISNUMBER(SEARCH("broken",C666)),"Break",ISNUMBER(SEARCH("crack",C666)),"Break",ISNUMBER(SEARCH("snap",C666)),"Break",ISNUMBER(SEARCH("fracture",C666)),"Break",ISNUMBER(SEARCH("bent",C666)),"Material Twisted/Bent",ISNUMBER(SEARCH("twisted",C666)),"Material Twisted/Bent",ISNUMBER(SEARCH("component separat",C666)),"Material Separation",ISNUMBER(SEARCH("separat",C666)),"Material Separation",ISNUMBER(SEARCH("connection",C666)),"Loose or Intermittent Connection",ISNUMBER(SEARCH("loose",C666)),"Loose or Intermittent Connection",ISNUMBER(SEARCH("damaged packaging",C666)),"Packaging Problem",ISNUMBER(SEARCH("packaging",C666)),"Packaging Problem",ISNUMBER(SEARCH("discoloration",C666)),"Contamination",ISNUMBER(SEARCH("tarnish",C666)),"Contamination",ISNUMBER(SEARCH("stain",C666)),"Contamination",ISNUMBER(SEARCH("foreign material",C666)),"Contamination",ISNUMBER(SEARCH("contamina",C666)),"Contamination",ISNUMBER(SEARCH("overheat",C666)),"Overheating of Device",ISNUMBER(SEARCH("excessive heat",C666)),"Overheating of Device",ISNUMBER(SEARCH("hot",C666)),"Overheating of Device",ISNUMBER(SEARCH("noise",C666)),"Noise, Audible",ISNUMBER(SEARCH("sound",C666)),"Noise, Audible",ISNUMBER(SEARCH("loud",C666)),"Noise, Audible",ISNUMBER(SEARCH("fray",C666)),"Material Frayed",ISNUMBER(SEARCH("hole",C666)),"Material Frayed",ISNUMBER(SEARCH("tear",C666)),"Material Frayed",ISNUMBER(SEARCH("worn",C666)),"Material Frayed",ISNUMBER(SEARCH("intermittent",C666)),"Difficult or Delayed Activation",ISNUMBER(SEARCH("delay",C666)),"Difficult or Delayed Activation",ISNUMBER(SEARCH("label",C666)),"Device Markings/Labelling Problem",ISNUMBER(SEARCH("marking",C666)),"Device Markings/Labelling Problem",ISNUMBER(SEARCH("lacerat",C666)),"Defective Device",ISNUMBER(SEARCH("cut",C666)),"Defective Device",ISNUMBER(SEARCH("leak",C666)),"Fluid/Blood Leak",ISNUMBER(SEARCH("missing",C666)),"Component Missing",ISNUMBER(SEARCH("power",C666)),"Complete Loss of Power",ISNUMBER(SEARCH("will not turn on",C666)),"Complete Loss of Power",ISNUMBER(SEARCH("won't turn on",C666)),"Complete Loss of Power",ISNUMBER(SEARCH("does not turn on",C666)),"Complete Loss of Power",ISNUMBER(SEARCH("electrical",C666)),"Electrical Power Problem",ISNUMBER(SEARCH("pressure",C666)),"Detachment of Device or Device Component",ISNUMBER(SEARCH("slip",C666)),"Detachment of Device or Device Component",ISNUMBER(SEARCH("detach",C666)),"Detachment of Device or Device Component",ISNUMBER(SEARCH("stick",C666)),"Mechanical Jam",ISNUMBER(SEARCH("jam",C666)),"Mechanical Jam",ISNUMBER(SEARCH("rigid",C666)),"Mechanical Jam",ISNUMBER(SEARCH("rust",C666)),"Corroded",ISNUMBER(SEARCH("corrod",C666)),"Corroded",ISNUMBER(SEARCH("corrosion",C666)),"Corroded",ISNUMBER(SEARCH("alignment",C666)),"Defective Device",ISNUMBER(SEARCH("adjust",C666)),"Defective Device",ISNUMBER(SEARCH("perform",C666)),"Defective Device",ISNUMBER(SEARCH("malfunction",C666)),"Defective Device",ISNUMBER(SEARCH("defect",C666)),"Defective Device",ISNUMBER(SEARCH("fail",C666)),"Defective Device",ISNUMBER(SEARCH("not work",C666)),"Defective Device",ISNUMBER(SEARCH("doesn't work",C666)),"Defective Device",TRUE,"UNKNOWN"),"UNKNOWN")))</f>
        <v/>
      </c>
      <c r="F666" s="4" t="str">
        <f t="shared" si="10"/>
        <v/>
      </c>
      <c r="G666" s="363" t="str">
        <f>IF(E666="","",IFERROR(VLOOKUP(E666,Codes!$L$2:$N$409,3,FALSE),"—"))</f>
        <v/>
      </c>
      <c r="H666" s="88"/>
      <c r="I666" s="88"/>
    </row>
    <row r="667" spans="1:9" ht="13.15" x14ac:dyDescent="0.35">
      <c r="A667" s="92"/>
      <c r="B667" s="89"/>
      <c r="C667" s="90"/>
      <c r="D667" s="88"/>
      <c r="E667" s="93" t="str" cm="1">
        <f t="array" ref="E667">IF(D667&lt;&gt;"",IFERROR(VLOOKUP(D667,Codes!$K$2:$L$409,2,FALSE),"UNKNOWN - "&amp;D667),IF(C667="","",IFERROR(_xlfn.IFS(ISNUMBER(SEARCH("broken button",C667)),"Break",ISNUMBER(SEARCH("broken handle",C667)),"Break",ISNUMBER(SEARCH("shipping damage",C667)),"Break",ISNUMBER(SEARCH("broken",C667)),"Break",ISNUMBER(SEARCH("crack",C667)),"Break",ISNUMBER(SEARCH("snap",C667)),"Break",ISNUMBER(SEARCH("fracture",C667)),"Break",ISNUMBER(SEARCH("bent",C667)),"Material Twisted/Bent",ISNUMBER(SEARCH("twisted",C667)),"Material Twisted/Bent",ISNUMBER(SEARCH("component separat",C667)),"Material Separation",ISNUMBER(SEARCH("separat",C667)),"Material Separation",ISNUMBER(SEARCH("connection",C667)),"Loose or Intermittent Connection",ISNUMBER(SEARCH("loose",C667)),"Loose or Intermittent Connection",ISNUMBER(SEARCH("damaged packaging",C667)),"Packaging Problem",ISNUMBER(SEARCH("packaging",C667)),"Packaging Problem",ISNUMBER(SEARCH("discoloration",C667)),"Contamination",ISNUMBER(SEARCH("tarnish",C667)),"Contamination",ISNUMBER(SEARCH("stain",C667)),"Contamination",ISNUMBER(SEARCH("foreign material",C667)),"Contamination",ISNUMBER(SEARCH("contamina",C667)),"Contamination",ISNUMBER(SEARCH("overheat",C667)),"Overheating of Device",ISNUMBER(SEARCH("excessive heat",C667)),"Overheating of Device",ISNUMBER(SEARCH("hot",C667)),"Overheating of Device",ISNUMBER(SEARCH("noise",C667)),"Noise, Audible",ISNUMBER(SEARCH("sound",C667)),"Noise, Audible",ISNUMBER(SEARCH("loud",C667)),"Noise, Audible",ISNUMBER(SEARCH("fray",C667)),"Material Frayed",ISNUMBER(SEARCH("hole",C667)),"Material Frayed",ISNUMBER(SEARCH("tear",C667)),"Material Frayed",ISNUMBER(SEARCH("worn",C667)),"Material Frayed",ISNUMBER(SEARCH("intermittent",C667)),"Difficult or Delayed Activation",ISNUMBER(SEARCH("delay",C667)),"Difficult or Delayed Activation",ISNUMBER(SEARCH("label",C667)),"Device Markings/Labelling Problem",ISNUMBER(SEARCH("marking",C667)),"Device Markings/Labelling Problem",ISNUMBER(SEARCH("lacerat",C667)),"Defective Device",ISNUMBER(SEARCH("cut",C667)),"Defective Device",ISNUMBER(SEARCH("leak",C667)),"Fluid/Blood Leak",ISNUMBER(SEARCH("missing",C667)),"Component Missing",ISNUMBER(SEARCH("power",C667)),"Complete Loss of Power",ISNUMBER(SEARCH("will not turn on",C667)),"Complete Loss of Power",ISNUMBER(SEARCH("won't turn on",C667)),"Complete Loss of Power",ISNUMBER(SEARCH("does not turn on",C667)),"Complete Loss of Power",ISNUMBER(SEARCH("electrical",C667)),"Electrical Power Problem",ISNUMBER(SEARCH("pressure",C667)),"Detachment of Device or Device Component",ISNUMBER(SEARCH("slip",C667)),"Detachment of Device or Device Component",ISNUMBER(SEARCH("detach",C667)),"Detachment of Device or Device Component",ISNUMBER(SEARCH("stick",C667)),"Mechanical Jam",ISNUMBER(SEARCH("jam",C667)),"Mechanical Jam",ISNUMBER(SEARCH("rigid",C667)),"Mechanical Jam",ISNUMBER(SEARCH("rust",C667)),"Corroded",ISNUMBER(SEARCH("corrod",C667)),"Corroded",ISNUMBER(SEARCH("corrosion",C667)),"Corroded",ISNUMBER(SEARCH("alignment",C667)),"Defective Device",ISNUMBER(SEARCH("adjust",C667)),"Defective Device",ISNUMBER(SEARCH("perform",C667)),"Defective Device",ISNUMBER(SEARCH("malfunction",C667)),"Defective Device",ISNUMBER(SEARCH("defect",C667)),"Defective Device",ISNUMBER(SEARCH("fail",C667)),"Defective Device",ISNUMBER(SEARCH("not work",C667)),"Defective Device",ISNUMBER(SEARCH("doesn't work",C667)),"Defective Device",TRUE,"UNKNOWN"),"UNKNOWN")))</f>
        <v/>
      </c>
      <c r="F667" s="4" t="str">
        <f t="shared" si="10"/>
        <v/>
      </c>
      <c r="G667" s="363" t="str">
        <f>IF(E667="","",IFERROR(VLOOKUP(E667,Codes!$L$2:$N$409,3,FALSE),"—"))</f>
        <v/>
      </c>
      <c r="H667" s="88"/>
      <c r="I667" s="88"/>
    </row>
    <row r="668" spans="1:9" ht="13.15" x14ac:dyDescent="0.35">
      <c r="A668" s="92"/>
      <c r="B668" s="89"/>
      <c r="C668" s="90"/>
      <c r="D668" s="88"/>
      <c r="E668" s="93" t="str" cm="1">
        <f t="array" ref="E668">IF(D668&lt;&gt;"",IFERROR(VLOOKUP(D668,Codes!$K$2:$L$409,2,FALSE),"UNKNOWN - "&amp;D668),IF(C668="","",IFERROR(_xlfn.IFS(ISNUMBER(SEARCH("broken button",C668)),"Break",ISNUMBER(SEARCH("broken handle",C668)),"Break",ISNUMBER(SEARCH("shipping damage",C668)),"Break",ISNUMBER(SEARCH("broken",C668)),"Break",ISNUMBER(SEARCH("crack",C668)),"Break",ISNUMBER(SEARCH("snap",C668)),"Break",ISNUMBER(SEARCH("fracture",C668)),"Break",ISNUMBER(SEARCH("bent",C668)),"Material Twisted/Bent",ISNUMBER(SEARCH("twisted",C668)),"Material Twisted/Bent",ISNUMBER(SEARCH("component separat",C668)),"Material Separation",ISNUMBER(SEARCH("separat",C668)),"Material Separation",ISNUMBER(SEARCH("connection",C668)),"Loose or Intermittent Connection",ISNUMBER(SEARCH("loose",C668)),"Loose or Intermittent Connection",ISNUMBER(SEARCH("damaged packaging",C668)),"Packaging Problem",ISNUMBER(SEARCH("packaging",C668)),"Packaging Problem",ISNUMBER(SEARCH("discoloration",C668)),"Contamination",ISNUMBER(SEARCH("tarnish",C668)),"Contamination",ISNUMBER(SEARCH("stain",C668)),"Contamination",ISNUMBER(SEARCH("foreign material",C668)),"Contamination",ISNUMBER(SEARCH("contamina",C668)),"Contamination",ISNUMBER(SEARCH("overheat",C668)),"Overheating of Device",ISNUMBER(SEARCH("excessive heat",C668)),"Overheating of Device",ISNUMBER(SEARCH("hot",C668)),"Overheating of Device",ISNUMBER(SEARCH("noise",C668)),"Noise, Audible",ISNUMBER(SEARCH("sound",C668)),"Noise, Audible",ISNUMBER(SEARCH("loud",C668)),"Noise, Audible",ISNUMBER(SEARCH("fray",C668)),"Material Frayed",ISNUMBER(SEARCH("hole",C668)),"Material Frayed",ISNUMBER(SEARCH("tear",C668)),"Material Frayed",ISNUMBER(SEARCH("worn",C668)),"Material Frayed",ISNUMBER(SEARCH("intermittent",C668)),"Difficult or Delayed Activation",ISNUMBER(SEARCH("delay",C668)),"Difficult or Delayed Activation",ISNUMBER(SEARCH("label",C668)),"Device Markings/Labelling Problem",ISNUMBER(SEARCH("marking",C668)),"Device Markings/Labelling Problem",ISNUMBER(SEARCH("lacerat",C668)),"Defective Device",ISNUMBER(SEARCH("cut",C668)),"Defective Device",ISNUMBER(SEARCH("leak",C668)),"Fluid/Blood Leak",ISNUMBER(SEARCH("missing",C668)),"Component Missing",ISNUMBER(SEARCH("power",C668)),"Complete Loss of Power",ISNUMBER(SEARCH("will not turn on",C668)),"Complete Loss of Power",ISNUMBER(SEARCH("won't turn on",C668)),"Complete Loss of Power",ISNUMBER(SEARCH("does not turn on",C668)),"Complete Loss of Power",ISNUMBER(SEARCH("electrical",C668)),"Electrical Power Problem",ISNUMBER(SEARCH("pressure",C668)),"Detachment of Device or Device Component",ISNUMBER(SEARCH("slip",C668)),"Detachment of Device or Device Component",ISNUMBER(SEARCH("detach",C668)),"Detachment of Device or Device Component",ISNUMBER(SEARCH("stick",C668)),"Mechanical Jam",ISNUMBER(SEARCH("jam",C668)),"Mechanical Jam",ISNUMBER(SEARCH("rigid",C668)),"Mechanical Jam",ISNUMBER(SEARCH("rust",C668)),"Corroded",ISNUMBER(SEARCH("corrod",C668)),"Corroded",ISNUMBER(SEARCH("corrosion",C668)),"Corroded",ISNUMBER(SEARCH("alignment",C668)),"Defective Device",ISNUMBER(SEARCH("adjust",C668)),"Defective Device",ISNUMBER(SEARCH("perform",C668)),"Defective Device",ISNUMBER(SEARCH("malfunction",C668)),"Defective Device",ISNUMBER(SEARCH("defect",C668)),"Defective Device",ISNUMBER(SEARCH("fail",C668)),"Defective Device",ISNUMBER(SEARCH("not work",C668)),"Defective Device",ISNUMBER(SEARCH("doesn't work",C668)),"Defective Device",TRUE,"UNKNOWN"),"UNKNOWN")))</f>
        <v/>
      </c>
      <c r="F668" s="4" t="str">
        <f t="shared" si="10"/>
        <v/>
      </c>
      <c r="G668" s="363" t="str">
        <f>IF(E668="","",IFERROR(VLOOKUP(E668,Codes!$L$2:$N$409,3,FALSE),"—"))</f>
        <v/>
      </c>
      <c r="H668" s="88"/>
      <c r="I668" s="88"/>
    </row>
    <row r="669" spans="1:9" ht="13.15" x14ac:dyDescent="0.35">
      <c r="A669" s="92"/>
      <c r="B669" s="89"/>
      <c r="C669" s="91"/>
      <c r="D669" s="88"/>
      <c r="E669" s="93" t="str" cm="1">
        <f t="array" ref="E669">IF(D669&lt;&gt;"",IFERROR(VLOOKUP(D669,Codes!$K$2:$L$409,2,FALSE),"UNKNOWN - "&amp;D669),IF(C669="","",IFERROR(_xlfn.IFS(ISNUMBER(SEARCH("broken button",C669)),"Break",ISNUMBER(SEARCH("broken handle",C669)),"Break",ISNUMBER(SEARCH("shipping damage",C669)),"Break",ISNUMBER(SEARCH("broken",C669)),"Break",ISNUMBER(SEARCH("crack",C669)),"Break",ISNUMBER(SEARCH("snap",C669)),"Break",ISNUMBER(SEARCH("fracture",C669)),"Break",ISNUMBER(SEARCH("bent",C669)),"Material Twisted/Bent",ISNUMBER(SEARCH("twisted",C669)),"Material Twisted/Bent",ISNUMBER(SEARCH("component separat",C669)),"Material Separation",ISNUMBER(SEARCH("separat",C669)),"Material Separation",ISNUMBER(SEARCH("connection",C669)),"Loose or Intermittent Connection",ISNUMBER(SEARCH("loose",C669)),"Loose or Intermittent Connection",ISNUMBER(SEARCH("damaged packaging",C669)),"Packaging Problem",ISNUMBER(SEARCH("packaging",C669)),"Packaging Problem",ISNUMBER(SEARCH("discoloration",C669)),"Contamination",ISNUMBER(SEARCH("tarnish",C669)),"Contamination",ISNUMBER(SEARCH("stain",C669)),"Contamination",ISNUMBER(SEARCH("foreign material",C669)),"Contamination",ISNUMBER(SEARCH("contamina",C669)),"Contamination",ISNUMBER(SEARCH("overheat",C669)),"Overheating of Device",ISNUMBER(SEARCH("excessive heat",C669)),"Overheating of Device",ISNUMBER(SEARCH("hot",C669)),"Overheating of Device",ISNUMBER(SEARCH("noise",C669)),"Noise, Audible",ISNUMBER(SEARCH("sound",C669)),"Noise, Audible",ISNUMBER(SEARCH("loud",C669)),"Noise, Audible",ISNUMBER(SEARCH("fray",C669)),"Material Frayed",ISNUMBER(SEARCH("hole",C669)),"Material Frayed",ISNUMBER(SEARCH("tear",C669)),"Material Frayed",ISNUMBER(SEARCH("worn",C669)),"Material Frayed",ISNUMBER(SEARCH("intermittent",C669)),"Difficult or Delayed Activation",ISNUMBER(SEARCH("delay",C669)),"Difficult or Delayed Activation",ISNUMBER(SEARCH("label",C669)),"Device Markings/Labelling Problem",ISNUMBER(SEARCH("marking",C669)),"Device Markings/Labelling Problem",ISNUMBER(SEARCH("lacerat",C669)),"Defective Device",ISNUMBER(SEARCH("cut",C669)),"Defective Device",ISNUMBER(SEARCH("leak",C669)),"Fluid/Blood Leak",ISNUMBER(SEARCH("missing",C669)),"Component Missing",ISNUMBER(SEARCH("power",C669)),"Complete Loss of Power",ISNUMBER(SEARCH("will not turn on",C669)),"Complete Loss of Power",ISNUMBER(SEARCH("won't turn on",C669)),"Complete Loss of Power",ISNUMBER(SEARCH("does not turn on",C669)),"Complete Loss of Power",ISNUMBER(SEARCH("electrical",C669)),"Electrical Power Problem",ISNUMBER(SEARCH("pressure",C669)),"Detachment of Device or Device Component",ISNUMBER(SEARCH("slip",C669)),"Detachment of Device or Device Component",ISNUMBER(SEARCH("detach",C669)),"Detachment of Device or Device Component",ISNUMBER(SEARCH("stick",C669)),"Mechanical Jam",ISNUMBER(SEARCH("jam",C669)),"Mechanical Jam",ISNUMBER(SEARCH("rigid",C669)),"Mechanical Jam",ISNUMBER(SEARCH("rust",C669)),"Corroded",ISNUMBER(SEARCH("corrod",C669)),"Corroded",ISNUMBER(SEARCH("corrosion",C669)),"Corroded",ISNUMBER(SEARCH("alignment",C669)),"Defective Device",ISNUMBER(SEARCH("adjust",C669)),"Defective Device",ISNUMBER(SEARCH("perform",C669)),"Defective Device",ISNUMBER(SEARCH("malfunction",C669)),"Defective Device",ISNUMBER(SEARCH("defect",C669)),"Defective Device",ISNUMBER(SEARCH("fail",C669)),"Defective Device",ISNUMBER(SEARCH("not work",C669)),"Defective Device",ISNUMBER(SEARCH("doesn't work",C669)),"Defective Device",TRUE,"UNKNOWN"),"UNKNOWN")))</f>
        <v/>
      </c>
      <c r="F669" s="4" t="str">
        <f t="shared" si="10"/>
        <v/>
      </c>
      <c r="G669" s="363" t="str">
        <f>IF(E669="","",IFERROR(VLOOKUP(E669,Codes!$L$2:$N$409,3,FALSE),"—"))</f>
        <v/>
      </c>
      <c r="H669" s="88"/>
      <c r="I669" s="88"/>
    </row>
    <row r="670" spans="1:9" ht="13.15" x14ac:dyDescent="0.35">
      <c r="A670" s="92"/>
      <c r="B670" s="89"/>
      <c r="C670" s="91"/>
      <c r="D670" s="88"/>
      <c r="E670" s="93" t="str" cm="1">
        <f t="array" ref="E670">IF(D670&lt;&gt;"",IFERROR(VLOOKUP(D670,Codes!$K$2:$L$409,2,FALSE),"UNKNOWN - "&amp;D670),IF(C670="","",IFERROR(_xlfn.IFS(ISNUMBER(SEARCH("broken button",C670)),"Break",ISNUMBER(SEARCH("broken handle",C670)),"Break",ISNUMBER(SEARCH("shipping damage",C670)),"Break",ISNUMBER(SEARCH("broken",C670)),"Break",ISNUMBER(SEARCH("crack",C670)),"Break",ISNUMBER(SEARCH("snap",C670)),"Break",ISNUMBER(SEARCH("fracture",C670)),"Break",ISNUMBER(SEARCH("bent",C670)),"Material Twisted/Bent",ISNUMBER(SEARCH("twisted",C670)),"Material Twisted/Bent",ISNUMBER(SEARCH("component separat",C670)),"Material Separation",ISNUMBER(SEARCH("separat",C670)),"Material Separation",ISNUMBER(SEARCH("connection",C670)),"Loose or Intermittent Connection",ISNUMBER(SEARCH("loose",C670)),"Loose or Intermittent Connection",ISNUMBER(SEARCH("damaged packaging",C670)),"Packaging Problem",ISNUMBER(SEARCH("packaging",C670)),"Packaging Problem",ISNUMBER(SEARCH("discoloration",C670)),"Contamination",ISNUMBER(SEARCH("tarnish",C670)),"Contamination",ISNUMBER(SEARCH("stain",C670)),"Contamination",ISNUMBER(SEARCH("foreign material",C670)),"Contamination",ISNUMBER(SEARCH("contamina",C670)),"Contamination",ISNUMBER(SEARCH("overheat",C670)),"Overheating of Device",ISNUMBER(SEARCH("excessive heat",C670)),"Overheating of Device",ISNUMBER(SEARCH("hot",C670)),"Overheating of Device",ISNUMBER(SEARCH("noise",C670)),"Noise, Audible",ISNUMBER(SEARCH("sound",C670)),"Noise, Audible",ISNUMBER(SEARCH("loud",C670)),"Noise, Audible",ISNUMBER(SEARCH("fray",C670)),"Material Frayed",ISNUMBER(SEARCH("hole",C670)),"Material Frayed",ISNUMBER(SEARCH("tear",C670)),"Material Frayed",ISNUMBER(SEARCH("worn",C670)),"Material Frayed",ISNUMBER(SEARCH("intermittent",C670)),"Difficult or Delayed Activation",ISNUMBER(SEARCH("delay",C670)),"Difficult or Delayed Activation",ISNUMBER(SEARCH("label",C670)),"Device Markings/Labelling Problem",ISNUMBER(SEARCH("marking",C670)),"Device Markings/Labelling Problem",ISNUMBER(SEARCH("lacerat",C670)),"Defective Device",ISNUMBER(SEARCH("cut",C670)),"Defective Device",ISNUMBER(SEARCH("leak",C670)),"Fluid/Blood Leak",ISNUMBER(SEARCH("missing",C670)),"Component Missing",ISNUMBER(SEARCH("power",C670)),"Complete Loss of Power",ISNUMBER(SEARCH("will not turn on",C670)),"Complete Loss of Power",ISNUMBER(SEARCH("won't turn on",C670)),"Complete Loss of Power",ISNUMBER(SEARCH("does not turn on",C670)),"Complete Loss of Power",ISNUMBER(SEARCH("electrical",C670)),"Electrical Power Problem",ISNUMBER(SEARCH("pressure",C670)),"Detachment of Device or Device Component",ISNUMBER(SEARCH("slip",C670)),"Detachment of Device or Device Component",ISNUMBER(SEARCH("detach",C670)),"Detachment of Device or Device Component",ISNUMBER(SEARCH("stick",C670)),"Mechanical Jam",ISNUMBER(SEARCH("jam",C670)),"Mechanical Jam",ISNUMBER(SEARCH("rigid",C670)),"Mechanical Jam",ISNUMBER(SEARCH("rust",C670)),"Corroded",ISNUMBER(SEARCH("corrod",C670)),"Corroded",ISNUMBER(SEARCH("corrosion",C670)),"Corroded",ISNUMBER(SEARCH("alignment",C670)),"Defective Device",ISNUMBER(SEARCH("adjust",C670)),"Defective Device",ISNUMBER(SEARCH("perform",C670)),"Defective Device",ISNUMBER(SEARCH("malfunction",C670)),"Defective Device",ISNUMBER(SEARCH("defect",C670)),"Defective Device",ISNUMBER(SEARCH("fail",C670)),"Defective Device",ISNUMBER(SEARCH("not work",C670)),"Defective Device",ISNUMBER(SEARCH("doesn't work",C670)),"Defective Device",TRUE,"UNKNOWN"),"UNKNOWN")))</f>
        <v/>
      </c>
      <c r="F670" s="4" t="str">
        <f t="shared" si="10"/>
        <v/>
      </c>
      <c r="G670" s="363" t="str">
        <f>IF(E670="","",IFERROR(VLOOKUP(E670,Codes!$L$2:$N$409,3,FALSE),"—"))</f>
        <v/>
      </c>
      <c r="H670" s="88"/>
      <c r="I670" s="88"/>
    </row>
    <row r="671" spans="1:9" ht="13.15" x14ac:dyDescent="0.35">
      <c r="A671" s="92"/>
      <c r="B671" s="89"/>
      <c r="C671" s="90"/>
      <c r="D671" s="88"/>
      <c r="E671" s="93" t="str" cm="1">
        <f t="array" ref="E671">IF(D671&lt;&gt;"",IFERROR(VLOOKUP(D671,Codes!$K$2:$L$409,2,FALSE),"UNKNOWN - "&amp;D671),IF(C671="","",IFERROR(_xlfn.IFS(ISNUMBER(SEARCH("broken button",C671)),"Break",ISNUMBER(SEARCH("broken handle",C671)),"Break",ISNUMBER(SEARCH("shipping damage",C671)),"Break",ISNUMBER(SEARCH("broken",C671)),"Break",ISNUMBER(SEARCH("crack",C671)),"Break",ISNUMBER(SEARCH("snap",C671)),"Break",ISNUMBER(SEARCH("fracture",C671)),"Break",ISNUMBER(SEARCH("bent",C671)),"Material Twisted/Bent",ISNUMBER(SEARCH("twisted",C671)),"Material Twisted/Bent",ISNUMBER(SEARCH("component separat",C671)),"Material Separation",ISNUMBER(SEARCH("separat",C671)),"Material Separation",ISNUMBER(SEARCH("connection",C671)),"Loose or Intermittent Connection",ISNUMBER(SEARCH("loose",C671)),"Loose or Intermittent Connection",ISNUMBER(SEARCH("damaged packaging",C671)),"Packaging Problem",ISNUMBER(SEARCH("packaging",C671)),"Packaging Problem",ISNUMBER(SEARCH("discoloration",C671)),"Contamination",ISNUMBER(SEARCH("tarnish",C671)),"Contamination",ISNUMBER(SEARCH("stain",C671)),"Contamination",ISNUMBER(SEARCH("foreign material",C671)),"Contamination",ISNUMBER(SEARCH("contamina",C671)),"Contamination",ISNUMBER(SEARCH("overheat",C671)),"Overheating of Device",ISNUMBER(SEARCH("excessive heat",C671)),"Overheating of Device",ISNUMBER(SEARCH("hot",C671)),"Overheating of Device",ISNUMBER(SEARCH("noise",C671)),"Noise, Audible",ISNUMBER(SEARCH("sound",C671)),"Noise, Audible",ISNUMBER(SEARCH("loud",C671)),"Noise, Audible",ISNUMBER(SEARCH("fray",C671)),"Material Frayed",ISNUMBER(SEARCH("hole",C671)),"Material Frayed",ISNUMBER(SEARCH("tear",C671)),"Material Frayed",ISNUMBER(SEARCH("worn",C671)),"Material Frayed",ISNUMBER(SEARCH("intermittent",C671)),"Difficult or Delayed Activation",ISNUMBER(SEARCH("delay",C671)),"Difficult or Delayed Activation",ISNUMBER(SEARCH("label",C671)),"Device Markings/Labelling Problem",ISNUMBER(SEARCH("marking",C671)),"Device Markings/Labelling Problem",ISNUMBER(SEARCH("lacerat",C671)),"Defective Device",ISNUMBER(SEARCH("cut",C671)),"Defective Device",ISNUMBER(SEARCH("leak",C671)),"Fluid/Blood Leak",ISNUMBER(SEARCH("missing",C671)),"Component Missing",ISNUMBER(SEARCH("power",C671)),"Complete Loss of Power",ISNUMBER(SEARCH("will not turn on",C671)),"Complete Loss of Power",ISNUMBER(SEARCH("won't turn on",C671)),"Complete Loss of Power",ISNUMBER(SEARCH("does not turn on",C671)),"Complete Loss of Power",ISNUMBER(SEARCH("electrical",C671)),"Electrical Power Problem",ISNUMBER(SEARCH("pressure",C671)),"Detachment of Device or Device Component",ISNUMBER(SEARCH("slip",C671)),"Detachment of Device or Device Component",ISNUMBER(SEARCH("detach",C671)),"Detachment of Device or Device Component",ISNUMBER(SEARCH("stick",C671)),"Mechanical Jam",ISNUMBER(SEARCH("jam",C671)),"Mechanical Jam",ISNUMBER(SEARCH("rigid",C671)),"Mechanical Jam",ISNUMBER(SEARCH("rust",C671)),"Corroded",ISNUMBER(SEARCH("corrod",C671)),"Corroded",ISNUMBER(SEARCH("corrosion",C671)),"Corroded",ISNUMBER(SEARCH("alignment",C671)),"Defective Device",ISNUMBER(SEARCH("adjust",C671)),"Defective Device",ISNUMBER(SEARCH("perform",C671)),"Defective Device",ISNUMBER(SEARCH("malfunction",C671)),"Defective Device",ISNUMBER(SEARCH("defect",C671)),"Defective Device",ISNUMBER(SEARCH("fail",C671)),"Defective Device",ISNUMBER(SEARCH("not work",C671)),"Defective Device",ISNUMBER(SEARCH("doesn't work",C671)),"Defective Device",TRUE,"UNKNOWN"),"UNKNOWN")))</f>
        <v/>
      </c>
      <c r="F671" s="4" t="str">
        <f t="shared" si="10"/>
        <v/>
      </c>
      <c r="G671" s="363" t="str">
        <f>IF(E671="","",IFERROR(VLOOKUP(E671,Codes!$L$2:$N$409,3,FALSE),"—"))</f>
        <v/>
      </c>
      <c r="H671" s="88"/>
      <c r="I671" s="88"/>
    </row>
    <row r="672" spans="1:9" ht="13.15" x14ac:dyDescent="0.35">
      <c r="A672" s="92"/>
      <c r="B672" s="89"/>
      <c r="C672" s="90"/>
      <c r="D672" s="88"/>
      <c r="E672" s="93" t="str" cm="1">
        <f t="array" ref="E672">IF(D672&lt;&gt;"",IFERROR(VLOOKUP(D672,Codes!$K$2:$L$409,2,FALSE),"UNKNOWN - "&amp;D672),IF(C672="","",IFERROR(_xlfn.IFS(ISNUMBER(SEARCH("broken button",C672)),"Break",ISNUMBER(SEARCH("broken handle",C672)),"Break",ISNUMBER(SEARCH("shipping damage",C672)),"Break",ISNUMBER(SEARCH("broken",C672)),"Break",ISNUMBER(SEARCH("crack",C672)),"Break",ISNUMBER(SEARCH("snap",C672)),"Break",ISNUMBER(SEARCH("fracture",C672)),"Break",ISNUMBER(SEARCH("bent",C672)),"Material Twisted/Bent",ISNUMBER(SEARCH("twisted",C672)),"Material Twisted/Bent",ISNUMBER(SEARCH("component separat",C672)),"Material Separation",ISNUMBER(SEARCH("separat",C672)),"Material Separation",ISNUMBER(SEARCH("connection",C672)),"Loose or Intermittent Connection",ISNUMBER(SEARCH("loose",C672)),"Loose or Intermittent Connection",ISNUMBER(SEARCH("damaged packaging",C672)),"Packaging Problem",ISNUMBER(SEARCH("packaging",C672)),"Packaging Problem",ISNUMBER(SEARCH("discoloration",C672)),"Contamination",ISNUMBER(SEARCH("tarnish",C672)),"Contamination",ISNUMBER(SEARCH("stain",C672)),"Contamination",ISNUMBER(SEARCH("foreign material",C672)),"Contamination",ISNUMBER(SEARCH("contamina",C672)),"Contamination",ISNUMBER(SEARCH("overheat",C672)),"Overheating of Device",ISNUMBER(SEARCH("excessive heat",C672)),"Overheating of Device",ISNUMBER(SEARCH("hot",C672)),"Overheating of Device",ISNUMBER(SEARCH("noise",C672)),"Noise, Audible",ISNUMBER(SEARCH("sound",C672)),"Noise, Audible",ISNUMBER(SEARCH("loud",C672)),"Noise, Audible",ISNUMBER(SEARCH("fray",C672)),"Material Frayed",ISNUMBER(SEARCH("hole",C672)),"Material Frayed",ISNUMBER(SEARCH("tear",C672)),"Material Frayed",ISNUMBER(SEARCH("worn",C672)),"Material Frayed",ISNUMBER(SEARCH("intermittent",C672)),"Difficult or Delayed Activation",ISNUMBER(SEARCH("delay",C672)),"Difficult or Delayed Activation",ISNUMBER(SEARCH("label",C672)),"Device Markings/Labelling Problem",ISNUMBER(SEARCH("marking",C672)),"Device Markings/Labelling Problem",ISNUMBER(SEARCH("lacerat",C672)),"Defective Device",ISNUMBER(SEARCH("cut",C672)),"Defective Device",ISNUMBER(SEARCH("leak",C672)),"Fluid/Blood Leak",ISNUMBER(SEARCH("missing",C672)),"Component Missing",ISNUMBER(SEARCH("power",C672)),"Complete Loss of Power",ISNUMBER(SEARCH("will not turn on",C672)),"Complete Loss of Power",ISNUMBER(SEARCH("won't turn on",C672)),"Complete Loss of Power",ISNUMBER(SEARCH("does not turn on",C672)),"Complete Loss of Power",ISNUMBER(SEARCH("electrical",C672)),"Electrical Power Problem",ISNUMBER(SEARCH("pressure",C672)),"Detachment of Device or Device Component",ISNUMBER(SEARCH("slip",C672)),"Detachment of Device or Device Component",ISNUMBER(SEARCH("detach",C672)),"Detachment of Device or Device Component",ISNUMBER(SEARCH("stick",C672)),"Mechanical Jam",ISNUMBER(SEARCH("jam",C672)),"Mechanical Jam",ISNUMBER(SEARCH("rigid",C672)),"Mechanical Jam",ISNUMBER(SEARCH("rust",C672)),"Corroded",ISNUMBER(SEARCH("corrod",C672)),"Corroded",ISNUMBER(SEARCH("corrosion",C672)),"Corroded",ISNUMBER(SEARCH("alignment",C672)),"Defective Device",ISNUMBER(SEARCH("adjust",C672)),"Defective Device",ISNUMBER(SEARCH("perform",C672)),"Defective Device",ISNUMBER(SEARCH("malfunction",C672)),"Defective Device",ISNUMBER(SEARCH("defect",C672)),"Defective Device",ISNUMBER(SEARCH("fail",C672)),"Defective Device",ISNUMBER(SEARCH("not work",C672)),"Defective Device",ISNUMBER(SEARCH("doesn't work",C672)),"Defective Device",TRUE,"UNKNOWN"),"UNKNOWN")))</f>
        <v/>
      </c>
      <c r="F672" s="4" t="str">
        <f t="shared" si="10"/>
        <v/>
      </c>
      <c r="G672" s="363" t="str">
        <f>IF(E672="","",IFERROR(VLOOKUP(E672,Codes!$L$2:$N$409,3,FALSE),"—"))</f>
        <v/>
      </c>
      <c r="H672" s="88"/>
      <c r="I672" s="88"/>
    </row>
    <row r="673" spans="1:9" ht="13.15" x14ac:dyDescent="0.35">
      <c r="A673" s="92"/>
      <c r="B673" s="89"/>
      <c r="C673" s="90"/>
      <c r="D673" s="88"/>
      <c r="E673" s="93" t="str" cm="1">
        <f t="array" ref="E673">IF(D673&lt;&gt;"",IFERROR(VLOOKUP(D673,Codes!$K$2:$L$409,2,FALSE),"UNKNOWN - "&amp;D673),IF(C673="","",IFERROR(_xlfn.IFS(ISNUMBER(SEARCH("broken button",C673)),"Break",ISNUMBER(SEARCH("broken handle",C673)),"Break",ISNUMBER(SEARCH("shipping damage",C673)),"Break",ISNUMBER(SEARCH("broken",C673)),"Break",ISNUMBER(SEARCH("crack",C673)),"Break",ISNUMBER(SEARCH("snap",C673)),"Break",ISNUMBER(SEARCH("fracture",C673)),"Break",ISNUMBER(SEARCH("bent",C673)),"Material Twisted/Bent",ISNUMBER(SEARCH("twisted",C673)),"Material Twisted/Bent",ISNUMBER(SEARCH("component separat",C673)),"Material Separation",ISNUMBER(SEARCH("separat",C673)),"Material Separation",ISNUMBER(SEARCH("connection",C673)),"Loose or Intermittent Connection",ISNUMBER(SEARCH("loose",C673)),"Loose or Intermittent Connection",ISNUMBER(SEARCH("damaged packaging",C673)),"Packaging Problem",ISNUMBER(SEARCH("packaging",C673)),"Packaging Problem",ISNUMBER(SEARCH("discoloration",C673)),"Contamination",ISNUMBER(SEARCH("tarnish",C673)),"Contamination",ISNUMBER(SEARCH("stain",C673)),"Contamination",ISNUMBER(SEARCH("foreign material",C673)),"Contamination",ISNUMBER(SEARCH("contamina",C673)),"Contamination",ISNUMBER(SEARCH("overheat",C673)),"Overheating of Device",ISNUMBER(SEARCH("excessive heat",C673)),"Overheating of Device",ISNUMBER(SEARCH("hot",C673)),"Overheating of Device",ISNUMBER(SEARCH("noise",C673)),"Noise, Audible",ISNUMBER(SEARCH("sound",C673)),"Noise, Audible",ISNUMBER(SEARCH("loud",C673)),"Noise, Audible",ISNUMBER(SEARCH("fray",C673)),"Material Frayed",ISNUMBER(SEARCH("hole",C673)),"Material Frayed",ISNUMBER(SEARCH("tear",C673)),"Material Frayed",ISNUMBER(SEARCH("worn",C673)),"Material Frayed",ISNUMBER(SEARCH("intermittent",C673)),"Difficult or Delayed Activation",ISNUMBER(SEARCH("delay",C673)),"Difficult or Delayed Activation",ISNUMBER(SEARCH("label",C673)),"Device Markings/Labelling Problem",ISNUMBER(SEARCH("marking",C673)),"Device Markings/Labelling Problem",ISNUMBER(SEARCH("lacerat",C673)),"Defective Device",ISNUMBER(SEARCH("cut",C673)),"Defective Device",ISNUMBER(SEARCH("leak",C673)),"Fluid/Blood Leak",ISNUMBER(SEARCH("missing",C673)),"Component Missing",ISNUMBER(SEARCH("power",C673)),"Complete Loss of Power",ISNUMBER(SEARCH("will not turn on",C673)),"Complete Loss of Power",ISNUMBER(SEARCH("won't turn on",C673)),"Complete Loss of Power",ISNUMBER(SEARCH("does not turn on",C673)),"Complete Loss of Power",ISNUMBER(SEARCH("electrical",C673)),"Electrical Power Problem",ISNUMBER(SEARCH("pressure",C673)),"Detachment of Device or Device Component",ISNUMBER(SEARCH("slip",C673)),"Detachment of Device or Device Component",ISNUMBER(SEARCH("detach",C673)),"Detachment of Device or Device Component",ISNUMBER(SEARCH("stick",C673)),"Mechanical Jam",ISNUMBER(SEARCH("jam",C673)),"Mechanical Jam",ISNUMBER(SEARCH("rigid",C673)),"Mechanical Jam",ISNUMBER(SEARCH("rust",C673)),"Corroded",ISNUMBER(SEARCH("corrod",C673)),"Corroded",ISNUMBER(SEARCH("corrosion",C673)),"Corroded",ISNUMBER(SEARCH("alignment",C673)),"Defective Device",ISNUMBER(SEARCH("adjust",C673)),"Defective Device",ISNUMBER(SEARCH("perform",C673)),"Defective Device",ISNUMBER(SEARCH("malfunction",C673)),"Defective Device",ISNUMBER(SEARCH("defect",C673)),"Defective Device",ISNUMBER(SEARCH("fail",C673)),"Defective Device",ISNUMBER(SEARCH("not work",C673)),"Defective Device",ISNUMBER(SEARCH("doesn't work",C673)),"Defective Device",TRUE,"UNKNOWN"),"UNKNOWN")))</f>
        <v/>
      </c>
      <c r="F673" s="4" t="str">
        <f t="shared" si="10"/>
        <v/>
      </c>
      <c r="G673" s="363" t="str">
        <f>IF(E673="","",IFERROR(VLOOKUP(E673,Codes!$L$2:$N$409,3,FALSE),"—"))</f>
        <v/>
      </c>
      <c r="H673" s="88"/>
      <c r="I673" s="88"/>
    </row>
    <row r="674" spans="1:9" ht="13.15" x14ac:dyDescent="0.35">
      <c r="A674" s="92"/>
      <c r="B674" s="89"/>
      <c r="C674" s="90"/>
      <c r="D674" s="88"/>
      <c r="E674" s="93" t="str" cm="1">
        <f t="array" ref="E674">IF(D674&lt;&gt;"",IFERROR(VLOOKUP(D674,Codes!$K$2:$L$409,2,FALSE),"UNKNOWN - "&amp;D674),IF(C674="","",IFERROR(_xlfn.IFS(ISNUMBER(SEARCH("broken button",C674)),"Break",ISNUMBER(SEARCH("broken handle",C674)),"Break",ISNUMBER(SEARCH("shipping damage",C674)),"Break",ISNUMBER(SEARCH("broken",C674)),"Break",ISNUMBER(SEARCH("crack",C674)),"Break",ISNUMBER(SEARCH("snap",C674)),"Break",ISNUMBER(SEARCH("fracture",C674)),"Break",ISNUMBER(SEARCH("bent",C674)),"Material Twisted/Bent",ISNUMBER(SEARCH("twisted",C674)),"Material Twisted/Bent",ISNUMBER(SEARCH("component separat",C674)),"Material Separation",ISNUMBER(SEARCH("separat",C674)),"Material Separation",ISNUMBER(SEARCH("connection",C674)),"Loose or Intermittent Connection",ISNUMBER(SEARCH("loose",C674)),"Loose or Intermittent Connection",ISNUMBER(SEARCH("damaged packaging",C674)),"Packaging Problem",ISNUMBER(SEARCH("packaging",C674)),"Packaging Problem",ISNUMBER(SEARCH("discoloration",C674)),"Contamination",ISNUMBER(SEARCH("tarnish",C674)),"Contamination",ISNUMBER(SEARCH("stain",C674)),"Contamination",ISNUMBER(SEARCH("foreign material",C674)),"Contamination",ISNUMBER(SEARCH("contamina",C674)),"Contamination",ISNUMBER(SEARCH("overheat",C674)),"Overheating of Device",ISNUMBER(SEARCH("excessive heat",C674)),"Overheating of Device",ISNUMBER(SEARCH("hot",C674)),"Overheating of Device",ISNUMBER(SEARCH("noise",C674)),"Noise, Audible",ISNUMBER(SEARCH("sound",C674)),"Noise, Audible",ISNUMBER(SEARCH("loud",C674)),"Noise, Audible",ISNUMBER(SEARCH("fray",C674)),"Material Frayed",ISNUMBER(SEARCH("hole",C674)),"Material Frayed",ISNUMBER(SEARCH("tear",C674)),"Material Frayed",ISNUMBER(SEARCH("worn",C674)),"Material Frayed",ISNUMBER(SEARCH("intermittent",C674)),"Difficult or Delayed Activation",ISNUMBER(SEARCH("delay",C674)),"Difficult or Delayed Activation",ISNUMBER(SEARCH("label",C674)),"Device Markings/Labelling Problem",ISNUMBER(SEARCH("marking",C674)),"Device Markings/Labelling Problem",ISNUMBER(SEARCH("lacerat",C674)),"Defective Device",ISNUMBER(SEARCH("cut",C674)),"Defective Device",ISNUMBER(SEARCH("leak",C674)),"Fluid/Blood Leak",ISNUMBER(SEARCH("missing",C674)),"Component Missing",ISNUMBER(SEARCH("power",C674)),"Complete Loss of Power",ISNUMBER(SEARCH("will not turn on",C674)),"Complete Loss of Power",ISNUMBER(SEARCH("won't turn on",C674)),"Complete Loss of Power",ISNUMBER(SEARCH("does not turn on",C674)),"Complete Loss of Power",ISNUMBER(SEARCH("electrical",C674)),"Electrical Power Problem",ISNUMBER(SEARCH("pressure",C674)),"Detachment of Device or Device Component",ISNUMBER(SEARCH("slip",C674)),"Detachment of Device or Device Component",ISNUMBER(SEARCH("detach",C674)),"Detachment of Device or Device Component",ISNUMBER(SEARCH("stick",C674)),"Mechanical Jam",ISNUMBER(SEARCH("jam",C674)),"Mechanical Jam",ISNUMBER(SEARCH("rigid",C674)),"Mechanical Jam",ISNUMBER(SEARCH("rust",C674)),"Corroded",ISNUMBER(SEARCH("corrod",C674)),"Corroded",ISNUMBER(SEARCH("corrosion",C674)),"Corroded",ISNUMBER(SEARCH("alignment",C674)),"Defective Device",ISNUMBER(SEARCH("adjust",C674)),"Defective Device",ISNUMBER(SEARCH("perform",C674)),"Defective Device",ISNUMBER(SEARCH("malfunction",C674)),"Defective Device",ISNUMBER(SEARCH("defect",C674)),"Defective Device",ISNUMBER(SEARCH("fail",C674)),"Defective Device",ISNUMBER(SEARCH("not work",C674)),"Defective Device",ISNUMBER(SEARCH("doesn't work",C674)),"Defective Device",TRUE,"UNKNOWN"),"UNKNOWN")))</f>
        <v/>
      </c>
      <c r="F674" s="4" t="str">
        <f t="shared" si="10"/>
        <v/>
      </c>
      <c r="G674" s="363" t="str">
        <f>IF(E674="","",IFERROR(VLOOKUP(E674,Codes!$L$2:$N$409,3,FALSE),"—"))</f>
        <v/>
      </c>
      <c r="H674" s="88"/>
      <c r="I674" s="88"/>
    </row>
    <row r="675" spans="1:9" ht="13.15" x14ac:dyDescent="0.35">
      <c r="A675" s="92"/>
      <c r="B675" s="89"/>
      <c r="C675" s="91"/>
      <c r="D675" s="88"/>
      <c r="E675" s="93" t="str" cm="1">
        <f t="array" ref="E675">IF(D675&lt;&gt;"",IFERROR(VLOOKUP(D675,Codes!$K$2:$L$409,2,FALSE),"UNKNOWN - "&amp;D675),IF(C675="","",IFERROR(_xlfn.IFS(ISNUMBER(SEARCH("broken button",C675)),"Break",ISNUMBER(SEARCH("broken handle",C675)),"Break",ISNUMBER(SEARCH("shipping damage",C675)),"Break",ISNUMBER(SEARCH("broken",C675)),"Break",ISNUMBER(SEARCH("crack",C675)),"Break",ISNUMBER(SEARCH("snap",C675)),"Break",ISNUMBER(SEARCH("fracture",C675)),"Break",ISNUMBER(SEARCH("bent",C675)),"Material Twisted/Bent",ISNUMBER(SEARCH("twisted",C675)),"Material Twisted/Bent",ISNUMBER(SEARCH("component separat",C675)),"Material Separation",ISNUMBER(SEARCH("separat",C675)),"Material Separation",ISNUMBER(SEARCH("connection",C675)),"Loose or Intermittent Connection",ISNUMBER(SEARCH("loose",C675)),"Loose or Intermittent Connection",ISNUMBER(SEARCH("damaged packaging",C675)),"Packaging Problem",ISNUMBER(SEARCH("packaging",C675)),"Packaging Problem",ISNUMBER(SEARCH("discoloration",C675)),"Contamination",ISNUMBER(SEARCH("tarnish",C675)),"Contamination",ISNUMBER(SEARCH("stain",C675)),"Contamination",ISNUMBER(SEARCH("foreign material",C675)),"Contamination",ISNUMBER(SEARCH("contamina",C675)),"Contamination",ISNUMBER(SEARCH("overheat",C675)),"Overheating of Device",ISNUMBER(SEARCH("excessive heat",C675)),"Overheating of Device",ISNUMBER(SEARCH("hot",C675)),"Overheating of Device",ISNUMBER(SEARCH("noise",C675)),"Noise, Audible",ISNUMBER(SEARCH("sound",C675)),"Noise, Audible",ISNUMBER(SEARCH("loud",C675)),"Noise, Audible",ISNUMBER(SEARCH("fray",C675)),"Material Frayed",ISNUMBER(SEARCH("hole",C675)),"Material Frayed",ISNUMBER(SEARCH("tear",C675)),"Material Frayed",ISNUMBER(SEARCH("worn",C675)),"Material Frayed",ISNUMBER(SEARCH("intermittent",C675)),"Difficult or Delayed Activation",ISNUMBER(SEARCH("delay",C675)),"Difficult or Delayed Activation",ISNUMBER(SEARCH("label",C675)),"Device Markings/Labelling Problem",ISNUMBER(SEARCH("marking",C675)),"Device Markings/Labelling Problem",ISNUMBER(SEARCH("lacerat",C675)),"Defective Device",ISNUMBER(SEARCH("cut",C675)),"Defective Device",ISNUMBER(SEARCH("leak",C675)),"Fluid/Blood Leak",ISNUMBER(SEARCH("missing",C675)),"Component Missing",ISNUMBER(SEARCH("power",C675)),"Complete Loss of Power",ISNUMBER(SEARCH("will not turn on",C675)),"Complete Loss of Power",ISNUMBER(SEARCH("won't turn on",C675)),"Complete Loss of Power",ISNUMBER(SEARCH("does not turn on",C675)),"Complete Loss of Power",ISNUMBER(SEARCH("electrical",C675)),"Electrical Power Problem",ISNUMBER(SEARCH("pressure",C675)),"Detachment of Device or Device Component",ISNUMBER(SEARCH("slip",C675)),"Detachment of Device or Device Component",ISNUMBER(SEARCH("detach",C675)),"Detachment of Device or Device Component",ISNUMBER(SEARCH("stick",C675)),"Mechanical Jam",ISNUMBER(SEARCH("jam",C675)),"Mechanical Jam",ISNUMBER(SEARCH("rigid",C675)),"Mechanical Jam",ISNUMBER(SEARCH("rust",C675)),"Corroded",ISNUMBER(SEARCH("corrod",C675)),"Corroded",ISNUMBER(SEARCH("corrosion",C675)),"Corroded",ISNUMBER(SEARCH("alignment",C675)),"Defective Device",ISNUMBER(SEARCH("adjust",C675)),"Defective Device",ISNUMBER(SEARCH("perform",C675)),"Defective Device",ISNUMBER(SEARCH("malfunction",C675)),"Defective Device",ISNUMBER(SEARCH("defect",C675)),"Defective Device",ISNUMBER(SEARCH("fail",C675)),"Defective Device",ISNUMBER(SEARCH("not work",C675)),"Defective Device",ISNUMBER(SEARCH("doesn't work",C675)),"Defective Device",TRUE,"UNKNOWN"),"UNKNOWN")))</f>
        <v/>
      </c>
      <c r="F675" s="4" t="str">
        <f t="shared" si="10"/>
        <v/>
      </c>
      <c r="G675" s="363" t="str">
        <f>IF(E675="","",IFERROR(VLOOKUP(E675,Codes!$L$2:$N$409,3,FALSE),"—"))</f>
        <v/>
      </c>
      <c r="H675" s="88"/>
      <c r="I675" s="88"/>
    </row>
    <row r="676" spans="1:9" ht="13.15" x14ac:dyDescent="0.35">
      <c r="A676" s="92"/>
      <c r="B676" s="89"/>
      <c r="C676" s="91"/>
      <c r="D676" s="88"/>
      <c r="E676" s="93" t="str" cm="1">
        <f t="array" ref="E676">IF(D676&lt;&gt;"",IFERROR(VLOOKUP(D676,Codes!$K$2:$L$409,2,FALSE),"UNKNOWN - "&amp;D676),IF(C676="","",IFERROR(_xlfn.IFS(ISNUMBER(SEARCH("broken button",C676)),"Break",ISNUMBER(SEARCH("broken handle",C676)),"Break",ISNUMBER(SEARCH("shipping damage",C676)),"Break",ISNUMBER(SEARCH("broken",C676)),"Break",ISNUMBER(SEARCH("crack",C676)),"Break",ISNUMBER(SEARCH("snap",C676)),"Break",ISNUMBER(SEARCH("fracture",C676)),"Break",ISNUMBER(SEARCH("bent",C676)),"Material Twisted/Bent",ISNUMBER(SEARCH("twisted",C676)),"Material Twisted/Bent",ISNUMBER(SEARCH("component separat",C676)),"Material Separation",ISNUMBER(SEARCH("separat",C676)),"Material Separation",ISNUMBER(SEARCH("connection",C676)),"Loose or Intermittent Connection",ISNUMBER(SEARCH("loose",C676)),"Loose or Intermittent Connection",ISNUMBER(SEARCH("damaged packaging",C676)),"Packaging Problem",ISNUMBER(SEARCH("packaging",C676)),"Packaging Problem",ISNUMBER(SEARCH("discoloration",C676)),"Contamination",ISNUMBER(SEARCH("tarnish",C676)),"Contamination",ISNUMBER(SEARCH("stain",C676)),"Contamination",ISNUMBER(SEARCH("foreign material",C676)),"Contamination",ISNUMBER(SEARCH("contamina",C676)),"Contamination",ISNUMBER(SEARCH("overheat",C676)),"Overheating of Device",ISNUMBER(SEARCH("excessive heat",C676)),"Overheating of Device",ISNUMBER(SEARCH("hot",C676)),"Overheating of Device",ISNUMBER(SEARCH("noise",C676)),"Noise, Audible",ISNUMBER(SEARCH("sound",C676)),"Noise, Audible",ISNUMBER(SEARCH("loud",C676)),"Noise, Audible",ISNUMBER(SEARCH("fray",C676)),"Material Frayed",ISNUMBER(SEARCH("hole",C676)),"Material Frayed",ISNUMBER(SEARCH("tear",C676)),"Material Frayed",ISNUMBER(SEARCH("worn",C676)),"Material Frayed",ISNUMBER(SEARCH("intermittent",C676)),"Difficult or Delayed Activation",ISNUMBER(SEARCH("delay",C676)),"Difficult or Delayed Activation",ISNUMBER(SEARCH("label",C676)),"Device Markings/Labelling Problem",ISNUMBER(SEARCH("marking",C676)),"Device Markings/Labelling Problem",ISNUMBER(SEARCH("lacerat",C676)),"Defective Device",ISNUMBER(SEARCH("cut",C676)),"Defective Device",ISNUMBER(SEARCH("leak",C676)),"Fluid/Blood Leak",ISNUMBER(SEARCH("missing",C676)),"Component Missing",ISNUMBER(SEARCH("power",C676)),"Complete Loss of Power",ISNUMBER(SEARCH("will not turn on",C676)),"Complete Loss of Power",ISNUMBER(SEARCH("won't turn on",C676)),"Complete Loss of Power",ISNUMBER(SEARCH("does not turn on",C676)),"Complete Loss of Power",ISNUMBER(SEARCH("electrical",C676)),"Electrical Power Problem",ISNUMBER(SEARCH("pressure",C676)),"Detachment of Device or Device Component",ISNUMBER(SEARCH("slip",C676)),"Detachment of Device or Device Component",ISNUMBER(SEARCH("detach",C676)),"Detachment of Device or Device Component",ISNUMBER(SEARCH("stick",C676)),"Mechanical Jam",ISNUMBER(SEARCH("jam",C676)),"Mechanical Jam",ISNUMBER(SEARCH("rigid",C676)),"Mechanical Jam",ISNUMBER(SEARCH("rust",C676)),"Corroded",ISNUMBER(SEARCH("corrod",C676)),"Corroded",ISNUMBER(SEARCH("corrosion",C676)),"Corroded",ISNUMBER(SEARCH("alignment",C676)),"Defective Device",ISNUMBER(SEARCH("adjust",C676)),"Defective Device",ISNUMBER(SEARCH("perform",C676)),"Defective Device",ISNUMBER(SEARCH("malfunction",C676)),"Defective Device",ISNUMBER(SEARCH("defect",C676)),"Defective Device",ISNUMBER(SEARCH("fail",C676)),"Defective Device",ISNUMBER(SEARCH("not work",C676)),"Defective Device",ISNUMBER(SEARCH("doesn't work",C676)),"Defective Device",TRUE,"UNKNOWN"),"UNKNOWN")))</f>
        <v/>
      </c>
      <c r="F676" s="4" t="str">
        <f t="shared" si="10"/>
        <v/>
      </c>
      <c r="G676" s="363" t="str">
        <f>IF(E676="","",IFERROR(VLOOKUP(E676,Codes!$L$2:$N$409,3,FALSE),"—"))</f>
        <v/>
      </c>
      <c r="H676" s="88"/>
      <c r="I676" s="88"/>
    </row>
    <row r="677" spans="1:9" ht="13.15" x14ac:dyDescent="0.35">
      <c r="A677" s="92"/>
      <c r="B677" s="89"/>
      <c r="C677" s="91"/>
      <c r="D677" s="88"/>
      <c r="E677" s="93" t="str" cm="1">
        <f t="array" ref="E677">IF(D677&lt;&gt;"",IFERROR(VLOOKUP(D677,Codes!$K$2:$L$409,2,FALSE),"UNKNOWN - "&amp;D677),IF(C677="","",IFERROR(_xlfn.IFS(ISNUMBER(SEARCH("broken button",C677)),"Break",ISNUMBER(SEARCH("broken handle",C677)),"Break",ISNUMBER(SEARCH("shipping damage",C677)),"Break",ISNUMBER(SEARCH("broken",C677)),"Break",ISNUMBER(SEARCH("crack",C677)),"Break",ISNUMBER(SEARCH("snap",C677)),"Break",ISNUMBER(SEARCH("fracture",C677)),"Break",ISNUMBER(SEARCH("bent",C677)),"Material Twisted/Bent",ISNUMBER(SEARCH("twisted",C677)),"Material Twisted/Bent",ISNUMBER(SEARCH("component separat",C677)),"Material Separation",ISNUMBER(SEARCH("separat",C677)),"Material Separation",ISNUMBER(SEARCH("connection",C677)),"Loose or Intermittent Connection",ISNUMBER(SEARCH("loose",C677)),"Loose or Intermittent Connection",ISNUMBER(SEARCH("damaged packaging",C677)),"Packaging Problem",ISNUMBER(SEARCH("packaging",C677)),"Packaging Problem",ISNUMBER(SEARCH("discoloration",C677)),"Contamination",ISNUMBER(SEARCH("tarnish",C677)),"Contamination",ISNUMBER(SEARCH("stain",C677)),"Contamination",ISNUMBER(SEARCH("foreign material",C677)),"Contamination",ISNUMBER(SEARCH("contamina",C677)),"Contamination",ISNUMBER(SEARCH("overheat",C677)),"Overheating of Device",ISNUMBER(SEARCH("excessive heat",C677)),"Overheating of Device",ISNUMBER(SEARCH("hot",C677)),"Overheating of Device",ISNUMBER(SEARCH("noise",C677)),"Noise, Audible",ISNUMBER(SEARCH("sound",C677)),"Noise, Audible",ISNUMBER(SEARCH("loud",C677)),"Noise, Audible",ISNUMBER(SEARCH("fray",C677)),"Material Frayed",ISNUMBER(SEARCH("hole",C677)),"Material Frayed",ISNUMBER(SEARCH("tear",C677)),"Material Frayed",ISNUMBER(SEARCH("worn",C677)),"Material Frayed",ISNUMBER(SEARCH("intermittent",C677)),"Difficult or Delayed Activation",ISNUMBER(SEARCH("delay",C677)),"Difficult or Delayed Activation",ISNUMBER(SEARCH("label",C677)),"Device Markings/Labelling Problem",ISNUMBER(SEARCH("marking",C677)),"Device Markings/Labelling Problem",ISNUMBER(SEARCH("lacerat",C677)),"Defective Device",ISNUMBER(SEARCH("cut",C677)),"Defective Device",ISNUMBER(SEARCH("leak",C677)),"Fluid/Blood Leak",ISNUMBER(SEARCH("missing",C677)),"Component Missing",ISNUMBER(SEARCH("power",C677)),"Complete Loss of Power",ISNUMBER(SEARCH("will not turn on",C677)),"Complete Loss of Power",ISNUMBER(SEARCH("won't turn on",C677)),"Complete Loss of Power",ISNUMBER(SEARCH("does not turn on",C677)),"Complete Loss of Power",ISNUMBER(SEARCH("electrical",C677)),"Electrical Power Problem",ISNUMBER(SEARCH("pressure",C677)),"Detachment of Device or Device Component",ISNUMBER(SEARCH("slip",C677)),"Detachment of Device or Device Component",ISNUMBER(SEARCH("detach",C677)),"Detachment of Device or Device Component",ISNUMBER(SEARCH("stick",C677)),"Mechanical Jam",ISNUMBER(SEARCH("jam",C677)),"Mechanical Jam",ISNUMBER(SEARCH("rigid",C677)),"Mechanical Jam",ISNUMBER(SEARCH("rust",C677)),"Corroded",ISNUMBER(SEARCH("corrod",C677)),"Corroded",ISNUMBER(SEARCH("corrosion",C677)),"Corroded",ISNUMBER(SEARCH("alignment",C677)),"Defective Device",ISNUMBER(SEARCH("adjust",C677)),"Defective Device",ISNUMBER(SEARCH("perform",C677)),"Defective Device",ISNUMBER(SEARCH("malfunction",C677)),"Defective Device",ISNUMBER(SEARCH("defect",C677)),"Defective Device",ISNUMBER(SEARCH("fail",C677)),"Defective Device",ISNUMBER(SEARCH("not work",C677)),"Defective Device",ISNUMBER(SEARCH("doesn't work",C677)),"Defective Device",TRUE,"UNKNOWN"),"UNKNOWN")))</f>
        <v/>
      </c>
      <c r="F677" s="4" t="str">
        <f t="shared" si="10"/>
        <v/>
      </c>
      <c r="G677" s="363" t="str">
        <f>IF(E677="","",IFERROR(VLOOKUP(E677,Codes!$L$2:$N$409,3,FALSE),"—"))</f>
        <v/>
      </c>
      <c r="H677" s="88"/>
      <c r="I677" s="88"/>
    </row>
    <row r="678" spans="1:9" ht="13.15" x14ac:dyDescent="0.35">
      <c r="A678" s="92"/>
      <c r="B678" s="89"/>
      <c r="C678" s="90"/>
      <c r="D678" s="88"/>
      <c r="E678" s="93" t="str" cm="1">
        <f t="array" ref="E678">IF(D678&lt;&gt;"",IFERROR(VLOOKUP(D678,Codes!$K$2:$L$409,2,FALSE),"UNKNOWN - "&amp;D678),IF(C678="","",IFERROR(_xlfn.IFS(ISNUMBER(SEARCH("broken button",C678)),"Break",ISNUMBER(SEARCH("broken handle",C678)),"Break",ISNUMBER(SEARCH("shipping damage",C678)),"Break",ISNUMBER(SEARCH("broken",C678)),"Break",ISNUMBER(SEARCH("crack",C678)),"Break",ISNUMBER(SEARCH("snap",C678)),"Break",ISNUMBER(SEARCH("fracture",C678)),"Break",ISNUMBER(SEARCH("bent",C678)),"Material Twisted/Bent",ISNUMBER(SEARCH("twisted",C678)),"Material Twisted/Bent",ISNUMBER(SEARCH("component separat",C678)),"Material Separation",ISNUMBER(SEARCH("separat",C678)),"Material Separation",ISNUMBER(SEARCH("connection",C678)),"Loose or Intermittent Connection",ISNUMBER(SEARCH("loose",C678)),"Loose or Intermittent Connection",ISNUMBER(SEARCH("damaged packaging",C678)),"Packaging Problem",ISNUMBER(SEARCH("packaging",C678)),"Packaging Problem",ISNUMBER(SEARCH("discoloration",C678)),"Contamination",ISNUMBER(SEARCH("tarnish",C678)),"Contamination",ISNUMBER(SEARCH("stain",C678)),"Contamination",ISNUMBER(SEARCH("foreign material",C678)),"Contamination",ISNUMBER(SEARCH("contamina",C678)),"Contamination",ISNUMBER(SEARCH("overheat",C678)),"Overheating of Device",ISNUMBER(SEARCH("excessive heat",C678)),"Overheating of Device",ISNUMBER(SEARCH("hot",C678)),"Overheating of Device",ISNUMBER(SEARCH("noise",C678)),"Noise, Audible",ISNUMBER(SEARCH("sound",C678)),"Noise, Audible",ISNUMBER(SEARCH("loud",C678)),"Noise, Audible",ISNUMBER(SEARCH("fray",C678)),"Material Frayed",ISNUMBER(SEARCH("hole",C678)),"Material Frayed",ISNUMBER(SEARCH("tear",C678)),"Material Frayed",ISNUMBER(SEARCH("worn",C678)),"Material Frayed",ISNUMBER(SEARCH("intermittent",C678)),"Difficult or Delayed Activation",ISNUMBER(SEARCH("delay",C678)),"Difficult or Delayed Activation",ISNUMBER(SEARCH("label",C678)),"Device Markings/Labelling Problem",ISNUMBER(SEARCH("marking",C678)),"Device Markings/Labelling Problem",ISNUMBER(SEARCH("lacerat",C678)),"Defective Device",ISNUMBER(SEARCH("cut",C678)),"Defective Device",ISNUMBER(SEARCH("leak",C678)),"Fluid/Blood Leak",ISNUMBER(SEARCH("missing",C678)),"Component Missing",ISNUMBER(SEARCH("power",C678)),"Complete Loss of Power",ISNUMBER(SEARCH("will not turn on",C678)),"Complete Loss of Power",ISNUMBER(SEARCH("won't turn on",C678)),"Complete Loss of Power",ISNUMBER(SEARCH("does not turn on",C678)),"Complete Loss of Power",ISNUMBER(SEARCH("electrical",C678)),"Electrical Power Problem",ISNUMBER(SEARCH("pressure",C678)),"Detachment of Device or Device Component",ISNUMBER(SEARCH("slip",C678)),"Detachment of Device or Device Component",ISNUMBER(SEARCH("detach",C678)),"Detachment of Device or Device Component",ISNUMBER(SEARCH("stick",C678)),"Mechanical Jam",ISNUMBER(SEARCH("jam",C678)),"Mechanical Jam",ISNUMBER(SEARCH("rigid",C678)),"Mechanical Jam",ISNUMBER(SEARCH("rust",C678)),"Corroded",ISNUMBER(SEARCH("corrod",C678)),"Corroded",ISNUMBER(SEARCH("corrosion",C678)),"Corroded",ISNUMBER(SEARCH("alignment",C678)),"Defective Device",ISNUMBER(SEARCH("adjust",C678)),"Defective Device",ISNUMBER(SEARCH("perform",C678)),"Defective Device",ISNUMBER(SEARCH("malfunction",C678)),"Defective Device",ISNUMBER(SEARCH("defect",C678)),"Defective Device",ISNUMBER(SEARCH("fail",C678)),"Defective Device",ISNUMBER(SEARCH("not work",C678)),"Defective Device",ISNUMBER(SEARCH("doesn't work",C678)),"Defective Device",TRUE,"UNKNOWN"),"UNKNOWN")))</f>
        <v/>
      </c>
      <c r="F678" s="4" t="str">
        <f t="shared" si="10"/>
        <v/>
      </c>
      <c r="G678" s="363" t="str">
        <f>IF(E678="","",IFERROR(VLOOKUP(E678,Codes!$L$2:$N$409,3,FALSE),"—"))</f>
        <v/>
      </c>
      <c r="H678" s="88"/>
      <c r="I678" s="88"/>
    </row>
    <row r="679" spans="1:9" ht="13.15" x14ac:dyDescent="0.35">
      <c r="A679" s="92"/>
      <c r="B679" s="89"/>
      <c r="C679" s="90"/>
      <c r="D679" s="88"/>
      <c r="E679" s="93" t="str" cm="1">
        <f t="array" ref="E679">IF(D679&lt;&gt;"",IFERROR(VLOOKUP(D679,Codes!$K$2:$L$409,2,FALSE),"UNKNOWN - "&amp;D679),IF(C679="","",IFERROR(_xlfn.IFS(ISNUMBER(SEARCH("broken button",C679)),"Break",ISNUMBER(SEARCH("broken handle",C679)),"Break",ISNUMBER(SEARCH("shipping damage",C679)),"Break",ISNUMBER(SEARCH("broken",C679)),"Break",ISNUMBER(SEARCH("crack",C679)),"Break",ISNUMBER(SEARCH("snap",C679)),"Break",ISNUMBER(SEARCH("fracture",C679)),"Break",ISNUMBER(SEARCH("bent",C679)),"Material Twisted/Bent",ISNUMBER(SEARCH("twisted",C679)),"Material Twisted/Bent",ISNUMBER(SEARCH("component separat",C679)),"Material Separation",ISNUMBER(SEARCH("separat",C679)),"Material Separation",ISNUMBER(SEARCH("connection",C679)),"Loose or Intermittent Connection",ISNUMBER(SEARCH("loose",C679)),"Loose or Intermittent Connection",ISNUMBER(SEARCH("damaged packaging",C679)),"Packaging Problem",ISNUMBER(SEARCH("packaging",C679)),"Packaging Problem",ISNUMBER(SEARCH("discoloration",C679)),"Contamination",ISNUMBER(SEARCH("tarnish",C679)),"Contamination",ISNUMBER(SEARCH("stain",C679)),"Contamination",ISNUMBER(SEARCH("foreign material",C679)),"Contamination",ISNUMBER(SEARCH("contamina",C679)),"Contamination",ISNUMBER(SEARCH("overheat",C679)),"Overheating of Device",ISNUMBER(SEARCH("excessive heat",C679)),"Overheating of Device",ISNUMBER(SEARCH("hot",C679)),"Overheating of Device",ISNUMBER(SEARCH("noise",C679)),"Noise, Audible",ISNUMBER(SEARCH("sound",C679)),"Noise, Audible",ISNUMBER(SEARCH("loud",C679)),"Noise, Audible",ISNUMBER(SEARCH("fray",C679)),"Material Frayed",ISNUMBER(SEARCH("hole",C679)),"Material Frayed",ISNUMBER(SEARCH("tear",C679)),"Material Frayed",ISNUMBER(SEARCH("worn",C679)),"Material Frayed",ISNUMBER(SEARCH("intermittent",C679)),"Difficult or Delayed Activation",ISNUMBER(SEARCH("delay",C679)),"Difficult or Delayed Activation",ISNUMBER(SEARCH("label",C679)),"Device Markings/Labelling Problem",ISNUMBER(SEARCH("marking",C679)),"Device Markings/Labelling Problem",ISNUMBER(SEARCH("lacerat",C679)),"Defective Device",ISNUMBER(SEARCH("cut",C679)),"Defective Device",ISNUMBER(SEARCH("leak",C679)),"Fluid/Blood Leak",ISNUMBER(SEARCH("missing",C679)),"Component Missing",ISNUMBER(SEARCH("power",C679)),"Complete Loss of Power",ISNUMBER(SEARCH("will not turn on",C679)),"Complete Loss of Power",ISNUMBER(SEARCH("won't turn on",C679)),"Complete Loss of Power",ISNUMBER(SEARCH("does not turn on",C679)),"Complete Loss of Power",ISNUMBER(SEARCH("electrical",C679)),"Electrical Power Problem",ISNUMBER(SEARCH("pressure",C679)),"Detachment of Device or Device Component",ISNUMBER(SEARCH("slip",C679)),"Detachment of Device or Device Component",ISNUMBER(SEARCH("detach",C679)),"Detachment of Device or Device Component",ISNUMBER(SEARCH("stick",C679)),"Mechanical Jam",ISNUMBER(SEARCH("jam",C679)),"Mechanical Jam",ISNUMBER(SEARCH("rigid",C679)),"Mechanical Jam",ISNUMBER(SEARCH("rust",C679)),"Corroded",ISNUMBER(SEARCH("corrod",C679)),"Corroded",ISNUMBER(SEARCH("corrosion",C679)),"Corroded",ISNUMBER(SEARCH("alignment",C679)),"Defective Device",ISNUMBER(SEARCH("adjust",C679)),"Defective Device",ISNUMBER(SEARCH("perform",C679)),"Defective Device",ISNUMBER(SEARCH("malfunction",C679)),"Defective Device",ISNUMBER(SEARCH("defect",C679)),"Defective Device",ISNUMBER(SEARCH("fail",C679)),"Defective Device",ISNUMBER(SEARCH("not work",C679)),"Defective Device",ISNUMBER(SEARCH("doesn't work",C679)),"Defective Device",TRUE,"UNKNOWN"),"UNKNOWN")))</f>
        <v/>
      </c>
      <c r="F679" s="4" t="str">
        <f t="shared" si="10"/>
        <v/>
      </c>
      <c r="G679" s="363" t="str">
        <f>IF(E679="","",IFERROR(VLOOKUP(E679,Codes!$L$2:$N$409,3,FALSE),"—"))</f>
        <v/>
      </c>
      <c r="H679" s="88"/>
      <c r="I679" s="88"/>
    </row>
    <row r="680" spans="1:9" ht="13.15" x14ac:dyDescent="0.35">
      <c r="A680" s="92"/>
      <c r="B680" s="89"/>
      <c r="C680" s="90"/>
      <c r="D680" s="88"/>
      <c r="E680" s="93" t="str" cm="1">
        <f t="array" ref="E680">IF(D680&lt;&gt;"",IFERROR(VLOOKUP(D680,Codes!$K$2:$L$409,2,FALSE),"UNKNOWN - "&amp;D680),IF(C680="","",IFERROR(_xlfn.IFS(ISNUMBER(SEARCH("broken button",C680)),"Break",ISNUMBER(SEARCH("broken handle",C680)),"Break",ISNUMBER(SEARCH("shipping damage",C680)),"Break",ISNUMBER(SEARCH("broken",C680)),"Break",ISNUMBER(SEARCH("crack",C680)),"Break",ISNUMBER(SEARCH("snap",C680)),"Break",ISNUMBER(SEARCH("fracture",C680)),"Break",ISNUMBER(SEARCH("bent",C680)),"Material Twisted/Bent",ISNUMBER(SEARCH("twisted",C680)),"Material Twisted/Bent",ISNUMBER(SEARCH("component separat",C680)),"Material Separation",ISNUMBER(SEARCH("separat",C680)),"Material Separation",ISNUMBER(SEARCH("connection",C680)),"Loose or Intermittent Connection",ISNUMBER(SEARCH("loose",C680)),"Loose or Intermittent Connection",ISNUMBER(SEARCH("damaged packaging",C680)),"Packaging Problem",ISNUMBER(SEARCH("packaging",C680)),"Packaging Problem",ISNUMBER(SEARCH("discoloration",C680)),"Contamination",ISNUMBER(SEARCH("tarnish",C680)),"Contamination",ISNUMBER(SEARCH("stain",C680)),"Contamination",ISNUMBER(SEARCH("foreign material",C680)),"Contamination",ISNUMBER(SEARCH("contamina",C680)),"Contamination",ISNUMBER(SEARCH("overheat",C680)),"Overheating of Device",ISNUMBER(SEARCH("excessive heat",C680)),"Overheating of Device",ISNUMBER(SEARCH("hot",C680)),"Overheating of Device",ISNUMBER(SEARCH("noise",C680)),"Noise, Audible",ISNUMBER(SEARCH("sound",C680)),"Noise, Audible",ISNUMBER(SEARCH("loud",C680)),"Noise, Audible",ISNUMBER(SEARCH("fray",C680)),"Material Frayed",ISNUMBER(SEARCH("hole",C680)),"Material Frayed",ISNUMBER(SEARCH("tear",C680)),"Material Frayed",ISNUMBER(SEARCH("worn",C680)),"Material Frayed",ISNUMBER(SEARCH("intermittent",C680)),"Difficult or Delayed Activation",ISNUMBER(SEARCH("delay",C680)),"Difficult or Delayed Activation",ISNUMBER(SEARCH("label",C680)),"Device Markings/Labelling Problem",ISNUMBER(SEARCH("marking",C680)),"Device Markings/Labelling Problem",ISNUMBER(SEARCH("lacerat",C680)),"Defective Device",ISNUMBER(SEARCH("cut",C680)),"Defective Device",ISNUMBER(SEARCH("leak",C680)),"Fluid/Blood Leak",ISNUMBER(SEARCH("missing",C680)),"Component Missing",ISNUMBER(SEARCH("power",C680)),"Complete Loss of Power",ISNUMBER(SEARCH("will not turn on",C680)),"Complete Loss of Power",ISNUMBER(SEARCH("won't turn on",C680)),"Complete Loss of Power",ISNUMBER(SEARCH("does not turn on",C680)),"Complete Loss of Power",ISNUMBER(SEARCH("electrical",C680)),"Electrical Power Problem",ISNUMBER(SEARCH("pressure",C680)),"Detachment of Device or Device Component",ISNUMBER(SEARCH("slip",C680)),"Detachment of Device or Device Component",ISNUMBER(SEARCH("detach",C680)),"Detachment of Device or Device Component",ISNUMBER(SEARCH("stick",C680)),"Mechanical Jam",ISNUMBER(SEARCH("jam",C680)),"Mechanical Jam",ISNUMBER(SEARCH("rigid",C680)),"Mechanical Jam",ISNUMBER(SEARCH("rust",C680)),"Corroded",ISNUMBER(SEARCH("corrod",C680)),"Corroded",ISNUMBER(SEARCH("corrosion",C680)),"Corroded",ISNUMBER(SEARCH("alignment",C680)),"Defective Device",ISNUMBER(SEARCH("adjust",C680)),"Defective Device",ISNUMBER(SEARCH("perform",C680)),"Defective Device",ISNUMBER(SEARCH("malfunction",C680)),"Defective Device",ISNUMBER(SEARCH("defect",C680)),"Defective Device",ISNUMBER(SEARCH("fail",C680)),"Defective Device",ISNUMBER(SEARCH("not work",C680)),"Defective Device",ISNUMBER(SEARCH("doesn't work",C680)),"Defective Device",TRUE,"UNKNOWN"),"UNKNOWN")))</f>
        <v/>
      </c>
      <c r="F680" s="4" t="str">
        <f t="shared" si="10"/>
        <v/>
      </c>
      <c r="G680" s="363" t="str">
        <f>IF(E680="","",IFERROR(VLOOKUP(E680,Codes!$L$2:$N$409,3,FALSE),"—"))</f>
        <v/>
      </c>
      <c r="H680" s="88"/>
      <c r="I680" s="88"/>
    </row>
    <row r="681" spans="1:9" ht="13.15" x14ac:dyDescent="0.35">
      <c r="A681" s="92"/>
      <c r="B681" s="89"/>
      <c r="C681" s="90"/>
      <c r="D681" s="88"/>
      <c r="E681" s="93" t="str" cm="1">
        <f t="array" ref="E681">IF(D681&lt;&gt;"",IFERROR(VLOOKUP(D681,Codes!$K$2:$L$409,2,FALSE),"UNKNOWN - "&amp;D681),IF(C681="","",IFERROR(_xlfn.IFS(ISNUMBER(SEARCH("broken button",C681)),"Break",ISNUMBER(SEARCH("broken handle",C681)),"Break",ISNUMBER(SEARCH("shipping damage",C681)),"Break",ISNUMBER(SEARCH("broken",C681)),"Break",ISNUMBER(SEARCH("crack",C681)),"Break",ISNUMBER(SEARCH("snap",C681)),"Break",ISNUMBER(SEARCH("fracture",C681)),"Break",ISNUMBER(SEARCH("bent",C681)),"Material Twisted/Bent",ISNUMBER(SEARCH("twisted",C681)),"Material Twisted/Bent",ISNUMBER(SEARCH("component separat",C681)),"Material Separation",ISNUMBER(SEARCH("separat",C681)),"Material Separation",ISNUMBER(SEARCH("connection",C681)),"Loose or Intermittent Connection",ISNUMBER(SEARCH("loose",C681)),"Loose or Intermittent Connection",ISNUMBER(SEARCH("damaged packaging",C681)),"Packaging Problem",ISNUMBER(SEARCH("packaging",C681)),"Packaging Problem",ISNUMBER(SEARCH("discoloration",C681)),"Contamination",ISNUMBER(SEARCH("tarnish",C681)),"Contamination",ISNUMBER(SEARCH("stain",C681)),"Contamination",ISNUMBER(SEARCH("foreign material",C681)),"Contamination",ISNUMBER(SEARCH("contamina",C681)),"Contamination",ISNUMBER(SEARCH("overheat",C681)),"Overheating of Device",ISNUMBER(SEARCH("excessive heat",C681)),"Overheating of Device",ISNUMBER(SEARCH("hot",C681)),"Overheating of Device",ISNUMBER(SEARCH("noise",C681)),"Noise, Audible",ISNUMBER(SEARCH("sound",C681)),"Noise, Audible",ISNUMBER(SEARCH("loud",C681)),"Noise, Audible",ISNUMBER(SEARCH("fray",C681)),"Material Frayed",ISNUMBER(SEARCH("hole",C681)),"Material Frayed",ISNUMBER(SEARCH("tear",C681)),"Material Frayed",ISNUMBER(SEARCH("worn",C681)),"Material Frayed",ISNUMBER(SEARCH("intermittent",C681)),"Difficult or Delayed Activation",ISNUMBER(SEARCH("delay",C681)),"Difficult or Delayed Activation",ISNUMBER(SEARCH("label",C681)),"Device Markings/Labelling Problem",ISNUMBER(SEARCH("marking",C681)),"Device Markings/Labelling Problem",ISNUMBER(SEARCH("lacerat",C681)),"Defective Device",ISNUMBER(SEARCH("cut",C681)),"Defective Device",ISNUMBER(SEARCH("leak",C681)),"Fluid/Blood Leak",ISNUMBER(SEARCH("missing",C681)),"Component Missing",ISNUMBER(SEARCH("power",C681)),"Complete Loss of Power",ISNUMBER(SEARCH("will not turn on",C681)),"Complete Loss of Power",ISNUMBER(SEARCH("won't turn on",C681)),"Complete Loss of Power",ISNUMBER(SEARCH("does not turn on",C681)),"Complete Loss of Power",ISNUMBER(SEARCH("electrical",C681)),"Electrical Power Problem",ISNUMBER(SEARCH("pressure",C681)),"Detachment of Device or Device Component",ISNUMBER(SEARCH("slip",C681)),"Detachment of Device or Device Component",ISNUMBER(SEARCH("detach",C681)),"Detachment of Device or Device Component",ISNUMBER(SEARCH("stick",C681)),"Mechanical Jam",ISNUMBER(SEARCH("jam",C681)),"Mechanical Jam",ISNUMBER(SEARCH("rigid",C681)),"Mechanical Jam",ISNUMBER(SEARCH("rust",C681)),"Corroded",ISNUMBER(SEARCH("corrod",C681)),"Corroded",ISNUMBER(SEARCH("corrosion",C681)),"Corroded",ISNUMBER(SEARCH("alignment",C681)),"Defective Device",ISNUMBER(SEARCH("adjust",C681)),"Defective Device",ISNUMBER(SEARCH("perform",C681)),"Defective Device",ISNUMBER(SEARCH("malfunction",C681)),"Defective Device",ISNUMBER(SEARCH("defect",C681)),"Defective Device",ISNUMBER(SEARCH("fail",C681)),"Defective Device",ISNUMBER(SEARCH("not work",C681)),"Defective Device",ISNUMBER(SEARCH("doesn't work",C681)),"Defective Device",TRUE,"UNKNOWN"),"UNKNOWN")))</f>
        <v/>
      </c>
      <c r="F681" s="4" t="str">
        <f t="shared" si="10"/>
        <v/>
      </c>
      <c r="G681" s="363" t="str">
        <f>IF(E681="","",IFERROR(VLOOKUP(E681,Codes!$L$2:$N$409,3,FALSE),"—"))</f>
        <v/>
      </c>
      <c r="H681" s="88"/>
      <c r="I681" s="88"/>
    </row>
    <row r="682" spans="1:9" ht="13.15" x14ac:dyDescent="0.35">
      <c r="A682" s="92"/>
      <c r="B682" s="89"/>
      <c r="C682" s="90"/>
      <c r="D682" s="88"/>
      <c r="E682" s="93" t="str" cm="1">
        <f t="array" ref="E682">IF(D682&lt;&gt;"",IFERROR(VLOOKUP(D682,Codes!$K$2:$L$409,2,FALSE),"UNKNOWN - "&amp;D682),IF(C682="","",IFERROR(_xlfn.IFS(ISNUMBER(SEARCH("broken button",C682)),"Break",ISNUMBER(SEARCH("broken handle",C682)),"Break",ISNUMBER(SEARCH("shipping damage",C682)),"Break",ISNUMBER(SEARCH("broken",C682)),"Break",ISNUMBER(SEARCH("crack",C682)),"Break",ISNUMBER(SEARCH("snap",C682)),"Break",ISNUMBER(SEARCH("fracture",C682)),"Break",ISNUMBER(SEARCH("bent",C682)),"Material Twisted/Bent",ISNUMBER(SEARCH("twisted",C682)),"Material Twisted/Bent",ISNUMBER(SEARCH("component separat",C682)),"Material Separation",ISNUMBER(SEARCH("separat",C682)),"Material Separation",ISNUMBER(SEARCH("connection",C682)),"Loose or Intermittent Connection",ISNUMBER(SEARCH("loose",C682)),"Loose or Intermittent Connection",ISNUMBER(SEARCH("damaged packaging",C682)),"Packaging Problem",ISNUMBER(SEARCH("packaging",C682)),"Packaging Problem",ISNUMBER(SEARCH("discoloration",C682)),"Contamination",ISNUMBER(SEARCH("tarnish",C682)),"Contamination",ISNUMBER(SEARCH("stain",C682)),"Contamination",ISNUMBER(SEARCH("foreign material",C682)),"Contamination",ISNUMBER(SEARCH("contamina",C682)),"Contamination",ISNUMBER(SEARCH("overheat",C682)),"Overheating of Device",ISNUMBER(SEARCH("excessive heat",C682)),"Overheating of Device",ISNUMBER(SEARCH("hot",C682)),"Overheating of Device",ISNUMBER(SEARCH("noise",C682)),"Noise, Audible",ISNUMBER(SEARCH("sound",C682)),"Noise, Audible",ISNUMBER(SEARCH("loud",C682)),"Noise, Audible",ISNUMBER(SEARCH("fray",C682)),"Material Frayed",ISNUMBER(SEARCH("hole",C682)),"Material Frayed",ISNUMBER(SEARCH("tear",C682)),"Material Frayed",ISNUMBER(SEARCH("worn",C682)),"Material Frayed",ISNUMBER(SEARCH("intermittent",C682)),"Difficult or Delayed Activation",ISNUMBER(SEARCH("delay",C682)),"Difficult or Delayed Activation",ISNUMBER(SEARCH("label",C682)),"Device Markings/Labelling Problem",ISNUMBER(SEARCH("marking",C682)),"Device Markings/Labelling Problem",ISNUMBER(SEARCH("lacerat",C682)),"Defective Device",ISNUMBER(SEARCH("cut",C682)),"Defective Device",ISNUMBER(SEARCH("leak",C682)),"Fluid/Blood Leak",ISNUMBER(SEARCH("missing",C682)),"Component Missing",ISNUMBER(SEARCH("power",C682)),"Complete Loss of Power",ISNUMBER(SEARCH("will not turn on",C682)),"Complete Loss of Power",ISNUMBER(SEARCH("won't turn on",C682)),"Complete Loss of Power",ISNUMBER(SEARCH("does not turn on",C682)),"Complete Loss of Power",ISNUMBER(SEARCH("electrical",C682)),"Electrical Power Problem",ISNUMBER(SEARCH("pressure",C682)),"Detachment of Device or Device Component",ISNUMBER(SEARCH("slip",C682)),"Detachment of Device or Device Component",ISNUMBER(SEARCH("detach",C682)),"Detachment of Device or Device Component",ISNUMBER(SEARCH("stick",C682)),"Mechanical Jam",ISNUMBER(SEARCH("jam",C682)),"Mechanical Jam",ISNUMBER(SEARCH("rigid",C682)),"Mechanical Jam",ISNUMBER(SEARCH("rust",C682)),"Corroded",ISNUMBER(SEARCH("corrod",C682)),"Corroded",ISNUMBER(SEARCH("corrosion",C682)),"Corroded",ISNUMBER(SEARCH("alignment",C682)),"Defective Device",ISNUMBER(SEARCH("adjust",C682)),"Defective Device",ISNUMBER(SEARCH("perform",C682)),"Defective Device",ISNUMBER(SEARCH("malfunction",C682)),"Defective Device",ISNUMBER(SEARCH("defect",C682)),"Defective Device",ISNUMBER(SEARCH("fail",C682)),"Defective Device",ISNUMBER(SEARCH("not work",C682)),"Defective Device",ISNUMBER(SEARCH("doesn't work",C682)),"Defective Device",TRUE,"UNKNOWN"),"UNKNOWN")))</f>
        <v/>
      </c>
      <c r="F682" s="4" t="str">
        <f t="shared" si="10"/>
        <v/>
      </c>
      <c r="G682" s="363" t="str">
        <f>IF(E682="","",IFERROR(VLOOKUP(E682,Codes!$L$2:$N$409,3,FALSE),"—"))</f>
        <v/>
      </c>
      <c r="H682" s="88"/>
      <c r="I682" s="88"/>
    </row>
    <row r="683" spans="1:9" ht="13.15" x14ac:dyDescent="0.35">
      <c r="A683" s="92"/>
      <c r="B683" s="89"/>
      <c r="C683" s="90"/>
      <c r="D683" s="88"/>
      <c r="E683" s="93" t="str" cm="1">
        <f t="array" ref="E683">IF(D683&lt;&gt;"",IFERROR(VLOOKUP(D683,Codes!$K$2:$L$409,2,FALSE),"UNKNOWN - "&amp;D683),IF(C683="","",IFERROR(_xlfn.IFS(ISNUMBER(SEARCH("broken button",C683)),"Break",ISNUMBER(SEARCH("broken handle",C683)),"Break",ISNUMBER(SEARCH("shipping damage",C683)),"Break",ISNUMBER(SEARCH("broken",C683)),"Break",ISNUMBER(SEARCH("crack",C683)),"Break",ISNUMBER(SEARCH("snap",C683)),"Break",ISNUMBER(SEARCH("fracture",C683)),"Break",ISNUMBER(SEARCH("bent",C683)),"Material Twisted/Bent",ISNUMBER(SEARCH("twisted",C683)),"Material Twisted/Bent",ISNUMBER(SEARCH("component separat",C683)),"Material Separation",ISNUMBER(SEARCH("separat",C683)),"Material Separation",ISNUMBER(SEARCH("connection",C683)),"Loose or Intermittent Connection",ISNUMBER(SEARCH("loose",C683)),"Loose or Intermittent Connection",ISNUMBER(SEARCH("damaged packaging",C683)),"Packaging Problem",ISNUMBER(SEARCH("packaging",C683)),"Packaging Problem",ISNUMBER(SEARCH("discoloration",C683)),"Contamination",ISNUMBER(SEARCH("tarnish",C683)),"Contamination",ISNUMBER(SEARCH("stain",C683)),"Contamination",ISNUMBER(SEARCH("foreign material",C683)),"Contamination",ISNUMBER(SEARCH("contamina",C683)),"Contamination",ISNUMBER(SEARCH("overheat",C683)),"Overheating of Device",ISNUMBER(SEARCH("excessive heat",C683)),"Overheating of Device",ISNUMBER(SEARCH("hot",C683)),"Overheating of Device",ISNUMBER(SEARCH("noise",C683)),"Noise, Audible",ISNUMBER(SEARCH("sound",C683)),"Noise, Audible",ISNUMBER(SEARCH("loud",C683)),"Noise, Audible",ISNUMBER(SEARCH("fray",C683)),"Material Frayed",ISNUMBER(SEARCH("hole",C683)),"Material Frayed",ISNUMBER(SEARCH("tear",C683)),"Material Frayed",ISNUMBER(SEARCH("worn",C683)),"Material Frayed",ISNUMBER(SEARCH("intermittent",C683)),"Difficult or Delayed Activation",ISNUMBER(SEARCH("delay",C683)),"Difficult or Delayed Activation",ISNUMBER(SEARCH("label",C683)),"Device Markings/Labelling Problem",ISNUMBER(SEARCH("marking",C683)),"Device Markings/Labelling Problem",ISNUMBER(SEARCH("lacerat",C683)),"Defective Device",ISNUMBER(SEARCH("cut",C683)),"Defective Device",ISNUMBER(SEARCH("leak",C683)),"Fluid/Blood Leak",ISNUMBER(SEARCH("missing",C683)),"Component Missing",ISNUMBER(SEARCH("power",C683)),"Complete Loss of Power",ISNUMBER(SEARCH("will not turn on",C683)),"Complete Loss of Power",ISNUMBER(SEARCH("won't turn on",C683)),"Complete Loss of Power",ISNUMBER(SEARCH("does not turn on",C683)),"Complete Loss of Power",ISNUMBER(SEARCH("electrical",C683)),"Electrical Power Problem",ISNUMBER(SEARCH("pressure",C683)),"Detachment of Device or Device Component",ISNUMBER(SEARCH("slip",C683)),"Detachment of Device or Device Component",ISNUMBER(SEARCH("detach",C683)),"Detachment of Device or Device Component",ISNUMBER(SEARCH("stick",C683)),"Mechanical Jam",ISNUMBER(SEARCH("jam",C683)),"Mechanical Jam",ISNUMBER(SEARCH("rigid",C683)),"Mechanical Jam",ISNUMBER(SEARCH("rust",C683)),"Corroded",ISNUMBER(SEARCH("corrod",C683)),"Corroded",ISNUMBER(SEARCH("corrosion",C683)),"Corroded",ISNUMBER(SEARCH("alignment",C683)),"Defective Device",ISNUMBER(SEARCH("adjust",C683)),"Defective Device",ISNUMBER(SEARCH("perform",C683)),"Defective Device",ISNUMBER(SEARCH("malfunction",C683)),"Defective Device",ISNUMBER(SEARCH("defect",C683)),"Defective Device",ISNUMBER(SEARCH("fail",C683)),"Defective Device",ISNUMBER(SEARCH("not work",C683)),"Defective Device",ISNUMBER(SEARCH("doesn't work",C683)),"Defective Device",TRUE,"UNKNOWN"),"UNKNOWN")))</f>
        <v/>
      </c>
      <c r="F683" s="4" t="str">
        <f t="shared" si="10"/>
        <v/>
      </c>
      <c r="G683" s="363" t="str">
        <f>IF(E683="","",IFERROR(VLOOKUP(E683,Codes!$L$2:$N$409,3,FALSE),"—"))</f>
        <v/>
      </c>
      <c r="H683" s="88"/>
      <c r="I683" s="88"/>
    </row>
    <row r="684" spans="1:9" ht="13.15" x14ac:dyDescent="0.35">
      <c r="A684" s="92"/>
      <c r="B684" s="89"/>
      <c r="C684" s="90"/>
      <c r="D684" s="88"/>
      <c r="E684" s="93" t="str" cm="1">
        <f t="array" ref="E684">IF(D684&lt;&gt;"",IFERROR(VLOOKUP(D684,Codes!$K$2:$L$409,2,FALSE),"UNKNOWN - "&amp;D684),IF(C684="","",IFERROR(_xlfn.IFS(ISNUMBER(SEARCH("broken button",C684)),"Break",ISNUMBER(SEARCH("broken handle",C684)),"Break",ISNUMBER(SEARCH("shipping damage",C684)),"Break",ISNUMBER(SEARCH("broken",C684)),"Break",ISNUMBER(SEARCH("crack",C684)),"Break",ISNUMBER(SEARCH("snap",C684)),"Break",ISNUMBER(SEARCH("fracture",C684)),"Break",ISNUMBER(SEARCH("bent",C684)),"Material Twisted/Bent",ISNUMBER(SEARCH("twisted",C684)),"Material Twisted/Bent",ISNUMBER(SEARCH("component separat",C684)),"Material Separation",ISNUMBER(SEARCH("separat",C684)),"Material Separation",ISNUMBER(SEARCH("connection",C684)),"Loose or Intermittent Connection",ISNUMBER(SEARCH("loose",C684)),"Loose or Intermittent Connection",ISNUMBER(SEARCH("damaged packaging",C684)),"Packaging Problem",ISNUMBER(SEARCH("packaging",C684)),"Packaging Problem",ISNUMBER(SEARCH("discoloration",C684)),"Contamination",ISNUMBER(SEARCH("tarnish",C684)),"Contamination",ISNUMBER(SEARCH("stain",C684)),"Contamination",ISNUMBER(SEARCH("foreign material",C684)),"Contamination",ISNUMBER(SEARCH("contamina",C684)),"Contamination",ISNUMBER(SEARCH("overheat",C684)),"Overheating of Device",ISNUMBER(SEARCH("excessive heat",C684)),"Overheating of Device",ISNUMBER(SEARCH("hot",C684)),"Overheating of Device",ISNUMBER(SEARCH("noise",C684)),"Noise, Audible",ISNUMBER(SEARCH("sound",C684)),"Noise, Audible",ISNUMBER(SEARCH("loud",C684)),"Noise, Audible",ISNUMBER(SEARCH("fray",C684)),"Material Frayed",ISNUMBER(SEARCH("hole",C684)),"Material Frayed",ISNUMBER(SEARCH("tear",C684)),"Material Frayed",ISNUMBER(SEARCH("worn",C684)),"Material Frayed",ISNUMBER(SEARCH("intermittent",C684)),"Difficult or Delayed Activation",ISNUMBER(SEARCH("delay",C684)),"Difficult or Delayed Activation",ISNUMBER(SEARCH("label",C684)),"Device Markings/Labelling Problem",ISNUMBER(SEARCH("marking",C684)),"Device Markings/Labelling Problem",ISNUMBER(SEARCH("lacerat",C684)),"Defective Device",ISNUMBER(SEARCH("cut",C684)),"Defective Device",ISNUMBER(SEARCH("leak",C684)),"Fluid/Blood Leak",ISNUMBER(SEARCH("missing",C684)),"Component Missing",ISNUMBER(SEARCH("power",C684)),"Complete Loss of Power",ISNUMBER(SEARCH("will not turn on",C684)),"Complete Loss of Power",ISNUMBER(SEARCH("won't turn on",C684)),"Complete Loss of Power",ISNUMBER(SEARCH("does not turn on",C684)),"Complete Loss of Power",ISNUMBER(SEARCH("electrical",C684)),"Electrical Power Problem",ISNUMBER(SEARCH("pressure",C684)),"Detachment of Device or Device Component",ISNUMBER(SEARCH("slip",C684)),"Detachment of Device or Device Component",ISNUMBER(SEARCH("detach",C684)),"Detachment of Device or Device Component",ISNUMBER(SEARCH("stick",C684)),"Mechanical Jam",ISNUMBER(SEARCH("jam",C684)),"Mechanical Jam",ISNUMBER(SEARCH("rigid",C684)),"Mechanical Jam",ISNUMBER(SEARCH("rust",C684)),"Corroded",ISNUMBER(SEARCH("corrod",C684)),"Corroded",ISNUMBER(SEARCH("corrosion",C684)),"Corroded",ISNUMBER(SEARCH("alignment",C684)),"Defective Device",ISNUMBER(SEARCH("adjust",C684)),"Defective Device",ISNUMBER(SEARCH("perform",C684)),"Defective Device",ISNUMBER(SEARCH("malfunction",C684)),"Defective Device",ISNUMBER(SEARCH("defect",C684)),"Defective Device",ISNUMBER(SEARCH("fail",C684)),"Defective Device",ISNUMBER(SEARCH("not work",C684)),"Defective Device",ISNUMBER(SEARCH("doesn't work",C684)),"Defective Device",TRUE,"UNKNOWN"),"UNKNOWN")))</f>
        <v/>
      </c>
      <c r="F684" s="4" t="str">
        <f t="shared" ref="F684:F698" si="11">IF(E684="","","No Clinical Signs, Symptoms or Conditions")</f>
        <v/>
      </c>
      <c r="G684" s="363" t="str">
        <f>IF(E684="","",IFERROR(VLOOKUP(E684,Codes!$L$2:$N$409,3,FALSE),"—"))</f>
        <v/>
      </c>
      <c r="H684" s="88"/>
      <c r="I684" s="88"/>
    </row>
    <row r="685" spans="1:9" ht="13.15" x14ac:dyDescent="0.35">
      <c r="A685" s="92"/>
      <c r="B685" s="89"/>
      <c r="C685" s="91"/>
      <c r="D685" s="88"/>
      <c r="E685" s="93" t="str" cm="1">
        <f t="array" ref="E685">IF(D685&lt;&gt;"",IFERROR(VLOOKUP(D685,Codes!$K$2:$L$409,2,FALSE),"UNKNOWN - "&amp;D685),IF(C685="","",IFERROR(_xlfn.IFS(ISNUMBER(SEARCH("broken button",C685)),"Break",ISNUMBER(SEARCH("broken handle",C685)),"Break",ISNUMBER(SEARCH("shipping damage",C685)),"Break",ISNUMBER(SEARCH("broken",C685)),"Break",ISNUMBER(SEARCH("crack",C685)),"Break",ISNUMBER(SEARCH("snap",C685)),"Break",ISNUMBER(SEARCH("fracture",C685)),"Break",ISNUMBER(SEARCH("bent",C685)),"Material Twisted/Bent",ISNUMBER(SEARCH("twisted",C685)),"Material Twisted/Bent",ISNUMBER(SEARCH("component separat",C685)),"Material Separation",ISNUMBER(SEARCH("separat",C685)),"Material Separation",ISNUMBER(SEARCH("connection",C685)),"Loose or Intermittent Connection",ISNUMBER(SEARCH("loose",C685)),"Loose or Intermittent Connection",ISNUMBER(SEARCH("damaged packaging",C685)),"Packaging Problem",ISNUMBER(SEARCH("packaging",C685)),"Packaging Problem",ISNUMBER(SEARCH("discoloration",C685)),"Contamination",ISNUMBER(SEARCH("tarnish",C685)),"Contamination",ISNUMBER(SEARCH("stain",C685)),"Contamination",ISNUMBER(SEARCH("foreign material",C685)),"Contamination",ISNUMBER(SEARCH("contamina",C685)),"Contamination",ISNUMBER(SEARCH("overheat",C685)),"Overheating of Device",ISNUMBER(SEARCH("excessive heat",C685)),"Overheating of Device",ISNUMBER(SEARCH("hot",C685)),"Overheating of Device",ISNUMBER(SEARCH("noise",C685)),"Noise, Audible",ISNUMBER(SEARCH("sound",C685)),"Noise, Audible",ISNUMBER(SEARCH("loud",C685)),"Noise, Audible",ISNUMBER(SEARCH("fray",C685)),"Material Frayed",ISNUMBER(SEARCH("hole",C685)),"Material Frayed",ISNUMBER(SEARCH("tear",C685)),"Material Frayed",ISNUMBER(SEARCH("worn",C685)),"Material Frayed",ISNUMBER(SEARCH("intermittent",C685)),"Difficult or Delayed Activation",ISNUMBER(SEARCH("delay",C685)),"Difficult or Delayed Activation",ISNUMBER(SEARCH("label",C685)),"Device Markings/Labelling Problem",ISNUMBER(SEARCH("marking",C685)),"Device Markings/Labelling Problem",ISNUMBER(SEARCH("lacerat",C685)),"Defective Device",ISNUMBER(SEARCH("cut",C685)),"Defective Device",ISNUMBER(SEARCH("leak",C685)),"Fluid/Blood Leak",ISNUMBER(SEARCH("missing",C685)),"Component Missing",ISNUMBER(SEARCH("power",C685)),"Complete Loss of Power",ISNUMBER(SEARCH("will not turn on",C685)),"Complete Loss of Power",ISNUMBER(SEARCH("won't turn on",C685)),"Complete Loss of Power",ISNUMBER(SEARCH("does not turn on",C685)),"Complete Loss of Power",ISNUMBER(SEARCH("electrical",C685)),"Electrical Power Problem",ISNUMBER(SEARCH("pressure",C685)),"Detachment of Device or Device Component",ISNUMBER(SEARCH("slip",C685)),"Detachment of Device or Device Component",ISNUMBER(SEARCH("detach",C685)),"Detachment of Device or Device Component",ISNUMBER(SEARCH("stick",C685)),"Mechanical Jam",ISNUMBER(SEARCH("jam",C685)),"Mechanical Jam",ISNUMBER(SEARCH("rigid",C685)),"Mechanical Jam",ISNUMBER(SEARCH("rust",C685)),"Corroded",ISNUMBER(SEARCH("corrod",C685)),"Corroded",ISNUMBER(SEARCH("corrosion",C685)),"Corroded",ISNUMBER(SEARCH("alignment",C685)),"Defective Device",ISNUMBER(SEARCH("adjust",C685)),"Defective Device",ISNUMBER(SEARCH("perform",C685)),"Defective Device",ISNUMBER(SEARCH("malfunction",C685)),"Defective Device",ISNUMBER(SEARCH("defect",C685)),"Defective Device",ISNUMBER(SEARCH("fail",C685)),"Defective Device",ISNUMBER(SEARCH("not work",C685)),"Defective Device",ISNUMBER(SEARCH("doesn't work",C685)),"Defective Device",TRUE,"UNKNOWN"),"UNKNOWN")))</f>
        <v/>
      </c>
      <c r="F685" s="4" t="str">
        <f t="shared" si="11"/>
        <v/>
      </c>
      <c r="G685" s="363" t="str">
        <f>IF(E685="","",IFERROR(VLOOKUP(E685,Codes!$L$2:$N$409,3,FALSE),"—"))</f>
        <v/>
      </c>
      <c r="H685" s="88"/>
      <c r="I685" s="88"/>
    </row>
    <row r="686" spans="1:9" ht="13.15" x14ac:dyDescent="0.35">
      <c r="A686" s="92"/>
      <c r="B686" s="89"/>
      <c r="C686" s="91"/>
      <c r="D686" s="88"/>
      <c r="E686" s="93" t="str" cm="1">
        <f t="array" ref="E686">IF(D686&lt;&gt;"",IFERROR(VLOOKUP(D686,Codes!$K$2:$L$409,2,FALSE),"UNKNOWN - "&amp;D686),IF(C686="","",IFERROR(_xlfn.IFS(ISNUMBER(SEARCH("broken button",C686)),"Break",ISNUMBER(SEARCH("broken handle",C686)),"Break",ISNUMBER(SEARCH("shipping damage",C686)),"Break",ISNUMBER(SEARCH("broken",C686)),"Break",ISNUMBER(SEARCH("crack",C686)),"Break",ISNUMBER(SEARCH("snap",C686)),"Break",ISNUMBER(SEARCH("fracture",C686)),"Break",ISNUMBER(SEARCH("bent",C686)),"Material Twisted/Bent",ISNUMBER(SEARCH("twisted",C686)),"Material Twisted/Bent",ISNUMBER(SEARCH("component separat",C686)),"Material Separation",ISNUMBER(SEARCH("separat",C686)),"Material Separation",ISNUMBER(SEARCH("connection",C686)),"Loose or Intermittent Connection",ISNUMBER(SEARCH("loose",C686)),"Loose or Intermittent Connection",ISNUMBER(SEARCH("damaged packaging",C686)),"Packaging Problem",ISNUMBER(SEARCH("packaging",C686)),"Packaging Problem",ISNUMBER(SEARCH("discoloration",C686)),"Contamination",ISNUMBER(SEARCH("tarnish",C686)),"Contamination",ISNUMBER(SEARCH("stain",C686)),"Contamination",ISNUMBER(SEARCH("foreign material",C686)),"Contamination",ISNUMBER(SEARCH("contamina",C686)),"Contamination",ISNUMBER(SEARCH("overheat",C686)),"Overheating of Device",ISNUMBER(SEARCH("excessive heat",C686)),"Overheating of Device",ISNUMBER(SEARCH("hot",C686)),"Overheating of Device",ISNUMBER(SEARCH("noise",C686)),"Noise, Audible",ISNUMBER(SEARCH("sound",C686)),"Noise, Audible",ISNUMBER(SEARCH("loud",C686)),"Noise, Audible",ISNUMBER(SEARCH("fray",C686)),"Material Frayed",ISNUMBER(SEARCH("hole",C686)),"Material Frayed",ISNUMBER(SEARCH("tear",C686)),"Material Frayed",ISNUMBER(SEARCH("worn",C686)),"Material Frayed",ISNUMBER(SEARCH("intermittent",C686)),"Difficult or Delayed Activation",ISNUMBER(SEARCH("delay",C686)),"Difficult or Delayed Activation",ISNUMBER(SEARCH("label",C686)),"Device Markings/Labelling Problem",ISNUMBER(SEARCH("marking",C686)),"Device Markings/Labelling Problem",ISNUMBER(SEARCH("lacerat",C686)),"Defective Device",ISNUMBER(SEARCH("cut",C686)),"Defective Device",ISNUMBER(SEARCH("leak",C686)),"Fluid/Blood Leak",ISNUMBER(SEARCH("missing",C686)),"Component Missing",ISNUMBER(SEARCH("power",C686)),"Complete Loss of Power",ISNUMBER(SEARCH("will not turn on",C686)),"Complete Loss of Power",ISNUMBER(SEARCH("won't turn on",C686)),"Complete Loss of Power",ISNUMBER(SEARCH("does not turn on",C686)),"Complete Loss of Power",ISNUMBER(SEARCH("electrical",C686)),"Electrical Power Problem",ISNUMBER(SEARCH("pressure",C686)),"Detachment of Device or Device Component",ISNUMBER(SEARCH("slip",C686)),"Detachment of Device or Device Component",ISNUMBER(SEARCH("detach",C686)),"Detachment of Device or Device Component",ISNUMBER(SEARCH("stick",C686)),"Mechanical Jam",ISNUMBER(SEARCH("jam",C686)),"Mechanical Jam",ISNUMBER(SEARCH("rigid",C686)),"Mechanical Jam",ISNUMBER(SEARCH("rust",C686)),"Corroded",ISNUMBER(SEARCH("corrod",C686)),"Corroded",ISNUMBER(SEARCH("corrosion",C686)),"Corroded",ISNUMBER(SEARCH("alignment",C686)),"Defective Device",ISNUMBER(SEARCH("adjust",C686)),"Defective Device",ISNUMBER(SEARCH("perform",C686)),"Defective Device",ISNUMBER(SEARCH("malfunction",C686)),"Defective Device",ISNUMBER(SEARCH("defect",C686)),"Defective Device",ISNUMBER(SEARCH("fail",C686)),"Defective Device",ISNUMBER(SEARCH("not work",C686)),"Defective Device",ISNUMBER(SEARCH("doesn't work",C686)),"Defective Device",TRUE,"UNKNOWN"),"UNKNOWN")))</f>
        <v/>
      </c>
      <c r="F686" s="4" t="str">
        <f t="shared" si="11"/>
        <v/>
      </c>
      <c r="G686" s="363" t="str">
        <f>IF(E686="","",IFERROR(VLOOKUP(E686,Codes!$L$2:$N$409,3,FALSE),"—"))</f>
        <v/>
      </c>
      <c r="H686" s="88"/>
      <c r="I686" s="88"/>
    </row>
    <row r="687" spans="1:9" ht="13.15" x14ac:dyDescent="0.35">
      <c r="A687" s="92"/>
      <c r="B687" s="89"/>
      <c r="C687" s="91"/>
      <c r="D687" s="88"/>
      <c r="E687" s="93" t="str" cm="1">
        <f t="array" ref="E687">IF(D687&lt;&gt;"",IFERROR(VLOOKUP(D687,Codes!$K$2:$L$409,2,FALSE),"UNKNOWN - "&amp;D687),IF(C687="","",IFERROR(_xlfn.IFS(ISNUMBER(SEARCH("broken button",C687)),"Break",ISNUMBER(SEARCH("broken handle",C687)),"Break",ISNUMBER(SEARCH("shipping damage",C687)),"Break",ISNUMBER(SEARCH("broken",C687)),"Break",ISNUMBER(SEARCH("crack",C687)),"Break",ISNUMBER(SEARCH("snap",C687)),"Break",ISNUMBER(SEARCH("fracture",C687)),"Break",ISNUMBER(SEARCH("bent",C687)),"Material Twisted/Bent",ISNUMBER(SEARCH("twisted",C687)),"Material Twisted/Bent",ISNUMBER(SEARCH("component separat",C687)),"Material Separation",ISNUMBER(SEARCH("separat",C687)),"Material Separation",ISNUMBER(SEARCH("connection",C687)),"Loose or Intermittent Connection",ISNUMBER(SEARCH("loose",C687)),"Loose or Intermittent Connection",ISNUMBER(SEARCH("damaged packaging",C687)),"Packaging Problem",ISNUMBER(SEARCH("packaging",C687)),"Packaging Problem",ISNUMBER(SEARCH("discoloration",C687)),"Contamination",ISNUMBER(SEARCH("tarnish",C687)),"Contamination",ISNUMBER(SEARCH("stain",C687)),"Contamination",ISNUMBER(SEARCH("foreign material",C687)),"Contamination",ISNUMBER(SEARCH("contamina",C687)),"Contamination",ISNUMBER(SEARCH("overheat",C687)),"Overheating of Device",ISNUMBER(SEARCH("excessive heat",C687)),"Overheating of Device",ISNUMBER(SEARCH("hot",C687)),"Overheating of Device",ISNUMBER(SEARCH("noise",C687)),"Noise, Audible",ISNUMBER(SEARCH("sound",C687)),"Noise, Audible",ISNUMBER(SEARCH("loud",C687)),"Noise, Audible",ISNUMBER(SEARCH("fray",C687)),"Material Frayed",ISNUMBER(SEARCH("hole",C687)),"Material Frayed",ISNUMBER(SEARCH("tear",C687)),"Material Frayed",ISNUMBER(SEARCH("worn",C687)),"Material Frayed",ISNUMBER(SEARCH("intermittent",C687)),"Difficult or Delayed Activation",ISNUMBER(SEARCH("delay",C687)),"Difficult or Delayed Activation",ISNUMBER(SEARCH("label",C687)),"Device Markings/Labelling Problem",ISNUMBER(SEARCH("marking",C687)),"Device Markings/Labelling Problem",ISNUMBER(SEARCH("lacerat",C687)),"Defective Device",ISNUMBER(SEARCH("cut",C687)),"Defective Device",ISNUMBER(SEARCH("leak",C687)),"Fluid/Blood Leak",ISNUMBER(SEARCH("missing",C687)),"Component Missing",ISNUMBER(SEARCH("power",C687)),"Complete Loss of Power",ISNUMBER(SEARCH("will not turn on",C687)),"Complete Loss of Power",ISNUMBER(SEARCH("won't turn on",C687)),"Complete Loss of Power",ISNUMBER(SEARCH("does not turn on",C687)),"Complete Loss of Power",ISNUMBER(SEARCH("electrical",C687)),"Electrical Power Problem",ISNUMBER(SEARCH("pressure",C687)),"Detachment of Device or Device Component",ISNUMBER(SEARCH("slip",C687)),"Detachment of Device or Device Component",ISNUMBER(SEARCH("detach",C687)),"Detachment of Device or Device Component",ISNUMBER(SEARCH("stick",C687)),"Mechanical Jam",ISNUMBER(SEARCH("jam",C687)),"Mechanical Jam",ISNUMBER(SEARCH("rigid",C687)),"Mechanical Jam",ISNUMBER(SEARCH("rust",C687)),"Corroded",ISNUMBER(SEARCH("corrod",C687)),"Corroded",ISNUMBER(SEARCH("corrosion",C687)),"Corroded",ISNUMBER(SEARCH("alignment",C687)),"Defective Device",ISNUMBER(SEARCH("adjust",C687)),"Defective Device",ISNUMBER(SEARCH("perform",C687)),"Defective Device",ISNUMBER(SEARCH("malfunction",C687)),"Defective Device",ISNUMBER(SEARCH("defect",C687)),"Defective Device",ISNUMBER(SEARCH("fail",C687)),"Defective Device",ISNUMBER(SEARCH("not work",C687)),"Defective Device",ISNUMBER(SEARCH("doesn't work",C687)),"Defective Device",TRUE,"UNKNOWN"),"UNKNOWN")))</f>
        <v/>
      </c>
      <c r="F687" s="4" t="str">
        <f t="shared" si="11"/>
        <v/>
      </c>
      <c r="G687" s="363" t="str">
        <f>IF(E687="","",IFERROR(VLOOKUP(E687,Codes!$L$2:$N$409,3,FALSE),"—"))</f>
        <v/>
      </c>
      <c r="H687" s="88"/>
      <c r="I687" s="88"/>
    </row>
    <row r="688" spans="1:9" ht="13.15" x14ac:dyDescent="0.35">
      <c r="A688" s="92"/>
      <c r="B688" s="89"/>
      <c r="C688" s="91"/>
      <c r="D688" s="88"/>
      <c r="E688" s="93" t="str" cm="1">
        <f t="array" ref="E688">IF(D688&lt;&gt;"",IFERROR(VLOOKUP(D688,Codes!$K$2:$L$409,2,FALSE),"UNKNOWN - "&amp;D688),IF(C688="","",IFERROR(_xlfn.IFS(ISNUMBER(SEARCH("broken button",C688)),"Break",ISNUMBER(SEARCH("broken handle",C688)),"Break",ISNUMBER(SEARCH("shipping damage",C688)),"Break",ISNUMBER(SEARCH("broken",C688)),"Break",ISNUMBER(SEARCH("crack",C688)),"Break",ISNUMBER(SEARCH("snap",C688)),"Break",ISNUMBER(SEARCH("fracture",C688)),"Break",ISNUMBER(SEARCH("bent",C688)),"Material Twisted/Bent",ISNUMBER(SEARCH("twisted",C688)),"Material Twisted/Bent",ISNUMBER(SEARCH("component separat",C688)),"Material Separation",ISNUMBER(SEARCH("separat",C688)),"Material Separation",ISNUMBER(SEARCH("connection",C688)),"Loose or Intermittent Connection",ISNUMBER(SEARCH("loose",C688)),"Loose or Intermittent Connection",ISNUMBER(SEARCH("damaged packaging",C688)),"Packaging Problem",ISNUMBER(SEARCH("packaging",C688)),"Packaging Problem",ISNUMBER(SEARCH("discoloration",C688)),"Contamination",ISNUMBER(SEARCH("tarnish",C688)),"Contamination",ISNUMBER(SEARCH("stain",C688)),"Contamination",ISNUMBER(SEARCH("foreign material",C688)),"Contamination",ISNUMBER(SEARCH("contamina",C688)),"Contamination",ISNUMBER(SEARCH("overheat",C688)),"Overheating of Device",ISNUMBER(SEARCH("excessive heat",C688)),"Overheating of Device",ISNUMBER(SEARCH("hot",C688)),"Overheating of Device",ISNUMBER(SEARCH("noise",C688)),"Noise, Audible",ISNUMBER(SEARCH("sound",C688)),"Noise, Audible",ISNUMBER(SEARCH("loud",C688)),"Noise, Audible",ISNUMBER(SEARCH("fray",C688)),"Material Frayed",ISNUMBER(SEARCH("hole",C688)),"Material Frayed",ISNUMBER(SEARCH("tear",C688)),"Material Frayed",ISNUMBER(SEARCH("worn",C688)),"Material Frayed",ISNUMBER(SEARCH("intermittent",C688)),"Difficult or Delayed Activation",ISNUMBER(SEARCH("delay",C688)),"Difficult or Delayed Activation",ISNUMBER(SEARCH("label",C688)),"Device Markings/Labelling Problem",ISNUMBER(SEARCH("marking",C688)),"Device Markings/Labelling Problem",ISNUMBER(SEARCH("lacerat",C688)),"Defective Device",ISNUMBER(SEARCH("cut",C688)),"Defective Device",ISNUMBER(SEARCH("leak",C688)),"Fluid/Blood Leak",ISNUMBER(SEARCH("missing",C688)),"Component Missing",ISNUMBER(SEARCH("power",C688)),"Complete Loss of Power",ISNUMBER(SEARCH("will not turn on",C688)),"Complete Loss of Power",ISNUMBER(SEARCH("won't turn on",C688)),"Complete Loss of Power",ISNUMBER(SEARCH("does not turn on",C688)),"Complete Loss of Power",ISNUMBER(SEARCH("electrical",C688)),"Electrical Power Problem",ISNUMBER(SEARCH("pressure",C688)),"Detachment of Device or Device Component",ISNUMBER(SEARCH("slip",C688)),"Detachment of Device or Device Component",ISNUMBER(SEARCH("detach",C688)),"Detachment of Device or Device Component",ISNUMBER(SEARCH("stick",C688)),"Mechanical Jam",ISNUMBER(SEARCH("jam",C688)),"Mechanical Jam",ISNUMBER(SEARCH("rigid",C688)),"Mechanical Jam",ISNUMBER(SEARCH("rust",C688)),"Corroded",ISNUMBER(SEARCH("corrod",C688)),"Corroded",ISNUMBER(SEARCH("corrosion",C688)),"Corroded",ISNUMBER(SEARCH("alignment",C688)),"Defective Device",ISNUMBER(SEARCH("adjust",C688)),"Defective Device",ISNUMBER(SEARCH("perform",C688)),"Defective Device",ISNUMBER(SEARCH("malfunction",C688)),"Defective Device",ISNUMBER(SEARCH("defect",C688)),"Defective Device",ISNUMBER(SEARCH("fail",C688)),"Defective Device",ISNUMBER(SEARCH("not work",C688)),"Defective Device",ISNUMBER(SEARCH("doesn't work",C688)),"Defective Device",TRUE,"UNKNOWN"),"UNKNOWN")))</f>
        <v/>
      </c>
      <c r="F688" s="4" t="str">
        <f t="shared" si="11"/>
        <v/>
      </c>
      <c r="G688" s="363" t="str">
        <f>IF(E688="","",IFERROR(VLOOKUP(E688,Codes!$L$2:$N$409,3,FALSE),"—"))</f>
        <v/>
      </c>
      <c r="H688" s="88"/>
      <c r="I688" s="88"/>
    </row>
    <row r="689" spans="1:9" ht="13.15" x14ac:dyDescent="0.35">
      <c r="A689" s="92"/>
      <c r="B689" s="89"/>
      <c r="C689" s="90"/>
      <c r="D689" s="88"/>
      <c r="E689" s="93" t="str" cm="1">
        <f t="array" ref="E689">IF(D689&lt;&gt;"",IFERROR(VLOOKUP(D689,Codes!$K$2:$L$409,2,FALSE),"UNKNOWN - "&amp;D689),IF(C689="","",IFERROR(_xlfn.IFS(ISNUMBER(SEARCH("broken button",C689)),"Break",ISNUMBER(SEARCH("broken handle",C689)),"Break",ISNUMBER(SEARCH("shipping damage",C689)),"Break",ISNUMBER(SEARCH("broken",C689)),"Break",ISNUMBER(SEARCH("crack",C689)),"Break",ISNUMBER(SEARCH("snap",C689)),"Break",ISNUMBER(SEARCH("fracture",C689)),"Break",ISNUMBER(SEARCH("bent",C689)),"Material Twisted/Bent",ISNUMBER(SEARCH("twisted",C689)),"Material Twisted/Bent",ISNUMBER(SEARCH("component separat",C689)),"Material Separation",ISNUMBER(SEARCH("separat",C689)),"Material Separation",ISNUMBER(SEARCH("connection",C689)),"Loose or Intermittent Connection",ISNUMBER(SEARCH("loose",C689)),"Loose or Intermittent Connection",ISNUMBER(SEARCH("damaged packaging",C689)),"Packaging Problem",ISNUMBER(SEARCH("packaging",C689)),"Packaging Problem",ISNUMBER(SEARCH("discoloration",C689)),"Contamination",ISNUMBER(SEARCH("tarnish",C689)),"Contamination",ISNUMBER(SEARCH("stain",C689)),"Contamination",ISNUMBER(SEARCH("foreign material",C689)),"Contamination",ISNUMBER(SEARCH("contamina",C689)),"Contamination",ISNUMBER(SEARCH("overheat",C689)),"Overheating of Device",ISNUMBER(SEARCH("excessive heat",C689)),"Overheating of Device",ISNUMBER(SEARCH("hot",C689)),"Overheating of Device",ISNUMBER(SEARCH("noise",C689)),"Noise, Audible",ISNUMBER(SEARCH("sound",C689)),"Noise, Audible",ISNUMBER(SEARCH("loud",C689)),"Noise, Audible",ISNUMBER(SEARCH("fray",C689)),"Material Frayed",ISNUMBER(SEARCH("hole",C689)),"Material Frayed",ISNUMBER(SEARCH("tear",C689)),"Material Frayed",ISNUMBER(SEARCH("worn",C689)),"Material Frayed",ISNUMBER(SEARCH("intermittent",C689)),"Difficult or Delayed Activation",ISNUMBER(SEARCH("delay",C689)),"Difficult or Delayed Activation",ISNUMBER(SEARCH("label",C689)),"Device Markings/Labelling Problem",ISNUMBER(SEARCH("marking",C689)),"Device Markings/Labelling Problem",ISNUMBER(SEARCH("lacerat",C689)),"Defective Device",ISNUMBER(SEARCH("cut",C689)),"Defective Device",ISNUMBER(SEARCH("leak",C689)),"Fluid/Blood Leak",ISNUMBER(SEARCH("missing",C689)),"Component Missing",ISNUMBER(SEARCH("power",C689)),"Complete Loss of Power",ISNUMBER(SEARCH("will not turn on",C689)),"Complete Loss of Power",ISNUMBER(SEARCH("won't turn on",C689)),"Complete Loss of Power",ISNUMBER(SEARCH("does not turn on",C689)),"Complete Loss of Power",ISNUMBER(SEARCH("electrical",C689)),"Electrical Power Problem",ISNUMBER(SEARCH("pressure",C689)),"Detachment of Device or Device Component",ISNUMBER(SEARCH("slip",C689)),"Detachment of Device or Device Component",ISNUMBER(SEARCH("detach",C689)),"Detachment of Device or Device Component",ISNUMBER(SEARCH("stick",C689)),"Mechanical Jam",ISNUMBER(SEARCH("jam",C689)),"Mechanical Jam",ISNUMBER(SEARCH("rigid",C689)),"Mechanical Jam",ISNUMBER(SEARCH("rust",C689)),"Corroded",ISNUMBER(SEARCH("corrod",C689)),"Corroded",ISNUMBER(SEARCH("corrosion",C689)),"Corroded",ISNUMBER(SEARCH("alignment",C689)),"Defective Device",ISNUMBER(SEARCH("adjust",C689)),"Defective Device",ISNUMBER(SEARCH("perform",C689)),"Defective Device",ISNUMBER(SEARCH("malfunction",C689)),"Defective Device",ISNUMBER(SEARCH("defect",C689)),"Defective Device",ISNUMBER(SEARCH("fail",C689)),"Defective Device",ISNUMBER(SEARCH("not work",C689)),"Defective Device",ISNUMBER(SEARCH("doesn't work",C689)),"Defective Device",TRUE,"UNKNOWN"),"UNKNOWN")))</f>
        <v/>
      </c>
      <c r="F689" s="4" t="str">
        <f t="shared" si="11"/>
        <v/>
      </c>
      <c r="G689" s="363" t="str">
        <f>IF(E689="","",IFERROR(VLOOKUP(E689,Codes!$L$2:$N$409,3,FALSE),"—"))</f>
        <v/>
      </c>
      <c r="H689" s="88"/>
      <c r="I689" s="88"/>
    </row>
    <row r="690" spans="1:9" ht="13.15" x14ac:dyDescent="0.35">
      <c r="A690" s="92"/>
      <c r="B690" s="89"/>
      <c r="C690" s="90"/>
      <c r="D690" s="88"/>
      <c r="E690" s="93" t="str" cm="1">
        <f t="array" ref="E690">IF(D690&lt;&gt;"",IFERROR(VLOOKUP(D690,Codes!$K$2:$L$409,2,FALSE),"UNKNOWN - "&amp;D690),IF(C690="","",IFERROR(_xlfn.IFS(ISNUMBER(SEARCH("broken button",C690)),"Break",ISNUMBER(SEARCH("broken handle",C690)),"Break",ISNUMBER(SEARCH("shipping damage",C690)),"Break",ISNUMBER(SEARCH("broken",C690)),"Break",ISNUMBER(SEARCH("crack",C690)),"Break",ISNUMBER(SEARCH("snap",C690)),"Break",ISNUMBER(SEARCH("fracture",C690)),"Break",ISNUMBER(SEARCH("bent",C690)),"Material Twisted/Bent",ISNUMBER(SEARCH("twisted",C690)),"Material Twisted/Bent",ISNUMBER(SEARCH("component separat",C690)),"Material Separation",ISNUMBER(SEARCH("separat",C690)),"Material Separation",ISNUMBER(SEARCH("connection",C690)),"Loose or Intermittent Connection",ISNUMBER(SEARCH("loose",C690)),"Loose or Intermittent Connection",ISNUMBER(SEARCH("damaged packaging",C690)),"Packaging Problem",ISNUMBER(SEARCH("packaging",C690)),"Packaging Problem",ISNUMBER(SEARCH("discoloration",C690)),"Contamination",ISNUMBER(SEARCH("tarnish",C690)),"Contamination",ISNUMBER(SEARCH("stain",C690)),"Contamination",ISNUMBER(SEARCH("foreign material",C690)),"Contamination",ISNUMBER(SEARCH("contamina",C690)),"Contamination",ISNUMBER(SEARCH("overheat",C690)),"Overheating of Device",ISNUMBER(SEARCH("excessive heat",C690)),"Overheating of Device",ISNUMBER(SEARCH("hot",C690)),"Overheating of Device",ISNUMBER(SEARCH("noise",C690)),"Noise, Audible",ISNUMBER(SEARCH("sound",C690)),"Noise, Audible",ISNUMBER(SEARCH("loud",C690)),"Noise, Audible",ISNUMBER(SEARCH("fray",C690)),"Material Frayed",ISNUMBER(SEARCH("hole",C690)),"Material Frayed",ISNUMBER(SEARCH("tear",C690)),"Material Frayed",ISNUMBER(SEARCH("worn",C690)),"Material Frayed",ISNUMBER(SEARCH("intermittent",C690)),"Difficult or Delayed Activation",ISNUMBER(SEARCH("delay",C690)),"Difficult or Delayed Activation",ISNUMBER(SEARCH("label",C690)),"Device Markings/Labelling Problem",ISNUMBER(SEARCH("marking",C690)),"Device Markings/Labelling Problem",ISNUMBER(SEARCH("lacerat",C690)),"Defective Device",ISNUMBER(SEARCH("cut",C690)),"Defective Device",ISNUMBER(SEARCH("leak",C690)),"Fluid/Blood Leak",ISNUMBER(SEARCH("missing",C690)),"Component Missing",ISNUMBER(SEARCH("power",C690)),"Complete Loss of Power",ISNUMBER(SEARCH("will not turn on",C690)),"Complete Loss of Power",ISNUMBER(SEARCH("won't turn on",C690)),"Complete Loss of Power",ISNUMBER(SEARCH("does not turn on",C690)),"Complete Loss of Power",ISNUMBER(SEARCH("electrical",C690)),"Electrical Power Problem",ISNUMBER(SEARCH("pressure",C690)),"Detachment of Device or Device Component",ISNUMBER(SEARCH("slip",C690)),"Detachment of Device or Device Component",ISNUMBER(SEARCH("detach",C690)),"Detachment of Device or Device Component",ISNUMBER(SEARCH("stick",C690)),"Mechanical Jam",ISNUMBER(SEARCH("jam",C690)),"Mechanical Jam",ISNUMBER(SEARCH("rigid",C690)),"Mechanical Jam",ISNUMBER(SEARCH("rust",C690)),"Corroded",ISNUMBER(SEARCH("corrod",C690)),"Corroded",ISNUMBER(SEARCH("corrosion",C690)),"Corroded",ISNUMBER(SEARCH("alignment",C690)),"Defective Device",ISNUMBER(SEARCH("adjust",C690)),"Defective Device",ISNUMBER(SEARCH("perform",C690)),"Defective Device",ISNUMBER(SEARCH("malfunction",C690)),"Defective Device",ISNUMBER(SEARCH("defect",C690)),"Defective Device",ISNUMBER(SEARCH("fail",C690)),"Defective Device",ISNUMBER(SEARCH("not work",C690)),"Defective Device",ISNUMBER(SEARCH("doesn't work",C690)),"Defective Device",TRUE,"UNKNOWN"),"UNKNOWN")))</f>
        <v/>
      </c>
      <c r="F690" s="4" t="str">
        <f t="shared" si="11"/>
        <v/>
      </c>
      <c r="G690" s="363" t="str">
        <f>IF(E690="","",IFERROR(VLOOKUP(E690,Codes!$L$2:$N$409,3,FALSE),"—"))</f>
        <v/>
      </c>
      <c r="H690" s="88"/>
      <c r="I690" s="88"/>
    </row>
    <row r="691" spans="1:9" ht="13.15" x14ac:dyDescent="0.35">
      <c r="A691" s="92"/>
      <c r="B691" s="89"/>
      <c r="C691" s="91"/>
      <c r="D691" s="88"/>
      <c r="E691" s="93" t="str" cm="1">
        <f t="array" ref="E691">IF(D691&lt;&gt;"",IFERROR(VLOOKUP(D691,Codes!$K$2:$L$409,2,FALSE),"UNKNOWN - "&amp;D691),IF(C691="","",IFERROR(_xlfn.IFS(ISNUMBER(SEARCH("broken button",C691)),"Break",ISNUMBER(SEARCH("broken handle",C691)),"Break",ISNUMBER(SEARCH("shipping damage",C691)),"Break",ISNUMBER(SEARCH("broken",C691)),"Break",ISNUMBER(SEARCH("crack",C691)),"Break",ISNUMBER(SEARCH("snap",C691)),"Break",ISNUMBER(SEARCH("fracture",C691)),"Break",ISNUMBER(SEARCH("bent",C691)),"Material Twisted/Bent",ISNUMBER(SEARCH("twisted",C691)),"Material Twisted/Bent",ISNUMBER(SEARCH("component separat",C691)),"Material Separation",ISNUMBER(SEARCH("separat",C691)),"Material Separation",ISNUMBER(SEARCH("connection",C691)),"Loose or Intermittent Connection",ISNUMBER(SEARCH("loose",C691)),"Loose or Intermittent Connection",ISNUMBER(SEARCH("damaged packaging",C691)),"Packaging Problem",ISNUMBER(SEARCH("packaging",C691)),"Packaging Problem",ISNUMBER(SEARCH("discoloration",C691)),"Contamination",ISNUMBER(SEARCH("tarnish",C691)),"Contamination",ISNUMBER(SEARCH("stain",C691)),"Contamination",ISNUMBER(SEARCH("foreign material",C691)),"Contamination",ISNUMBER(SEARCH("contamina",C691)),"Contamination",ISNUMBER(SEARCH("overheat",C691)),"Overheating of Device",ISNUMBER(SEARCH("excessive heat",C691)),"Overheating of Device",ISNUMBER(SEARCH("hot",C691)),"Overheating of Device",ISNUMBER(SEARCH("noise",C691)),"Noise, Audible",ISNUMBER(SEARCH("sound",C691)),"Noise, Audible",ISNUMBER(SEARCH("loud",C691)),"Noise, Audible",ISNUMBER(SEARCH("fray",C691)),"Material Frayed",ISNUMBER(SEARCH("hole",C691)),"Material Frayed",ISNUMBER(SEARCH("tear",C691)),"Material Frayed",ISNUMBER(SEARCH("worn",C691)),"Material Frayed",ISNUMBER(SEARCH("intermittent",C691)),"Difficult or Delayed Activation",ISNUMBER(SEARCH("delay",C691)),"Difficult or Delayed Activation",ISNUMBER(SEARCH("label",C691)),"Device Markings/Labelling Problem",ISNUMBER(SEARCH("marking",C691)),"Device Markings/Labelling Problem",ISNUMBER(SEARCH("lacerat",C691)),"Defective Device",ISNUMBER(SEARCH("cut",C691)),"Defective Device",ISNUMBER(SEARCH("leak",C691)),"Fluid/Blood Leak",ISNUMBER(SEARCH("missing",C691)),"Component Missing",ISNUMBER(SEARCH("power",C691)),"Complete Loss of Power",ISNUMBER(SEARCH("will not turn on",C691)),"Complete Loss of Power",ISNUMBER(SEARCH("won't turn on",C691)),"Complete Loss of Power",ISNUMBER(SEARCH("does not turn on",C691)),"Complete Loss of Power",ISNUMBER(SEARCH("electrical",C691)),"Electrical Power Problem",ISNUMBER(SEARCH("pressure",C691)),"Detachment of Device or Device Component",ISNUMBER(SEARCH("slip",C691)),"Detachment of Device or Device Component",ISNUMBER(SEARCH("detach",C691)),"Detachment of Device or Device Component",ISNUMBER(SEARCH("stick",C691)),"Mechanical Jam",ISNUMBER(SEARCH("jam",C691)),"Mechanical Jam",ISNUMBER(SEARCH("rigid",C691)),"Mechanical Jam",ISNUMBER(SEARCH("rust",C691)),"Corroded",ISNUMBER(SEARCH("corrod",C691)),"Corroded",ISNUMBER(SEARCH("corrosion",C691)),"Corroded",ISNUMBER(SEARCH("alignment",C691)),"Defective Device",ISNUMBER(SEARCH("adjust",C691)),"Defective Device",ISNUMBER(SEARCH("perform",C691)),"Defective Device",ISNUMBER(SEARCH("malfunction",C691)),"Defective Device",ISNUMBER(SEARCH("defect",C691)),"Defective Device",ISNUMBER(SEARCH("fail",C691)),"Defective Device",ISNUMBER(SEARCH("not work",C691)),"Defective Device",ISNUMBER(SEARCH("doesn't work",C691)),"Defective Device",TRUE,"UNKNOWN"),"UNKNOWN")))</f>
        <v/>
      </c>
      <c r="F691" s="4" t="str">
        <f t="shared" si="11"/>
        <v/>
      </c>
      <c r="G691" s="363" t="str">
        <f>IF(E691="","",IFERROR(VLOOKUP(E691,Codes!$L$2:$N$409,3,FALSE),"—"))</f>
        <v/>
      </c>
      <c r="H691" s="88"/>
      <c r="I691" s="88"/>
    </row>
    <row r="692" spans="1:9" ht="13.15" x14ac:dyDescent="0.35">
      <c r="A692" s="92"/>
      <c r="B692" s="89"/>
      <c r="C692" s="91"/>
      <c r="D692" s="88"/>
      <c r="E692" s="93" t="str" cm="1">
        <f t="array" ref="E692">IF(D692&lt;&gt;"",IFERROR(VLOOKUP(D692,Codes!$K$2:$L$409,2,FALSE),"UNKNOWN - "&amp;D692),IF(C692="","",IFERROR(_xlfn.IFS(ISNUMBER(SEARCH("broken button",C692)),"Break",ISNUMBER(SEARCH("broken handle",C692)),"Break",ISNUMBER(SEARCH("shipping damage",C692)),"Break",ISNUMBER(SEARCH("broken",C692)),"Break",ISNUMBER(SEARCH("crack",C692)),"Break",ISNUMBER(SEARCH("snap",C692)),"Break",ISNUMBER(SEARCH("fracture",C692)),"Break",ISNUMBER(SEARCH("bent",C692)),"Material Twisted/Bent",ISNUMBER(SEARCH("twisted",C692)),"Material Twisted/Bent",ISNUMBER(SEARCH("component separat",C692)),"Material Separation",ISNUMBER(SEARCH("separat",C692)),"Material Separation",ISNUMBER(SEARCH("connection",C692)),"Loose or Intermittent Connection",ISNUMBER(SEARCH("loose",C692)),"Loose or Intermittent Connection",ISNUMBER(SEARCH("damaged packaging",C692)),"Packaging Problem",ISNUMBER(SEARCH("packaging",C692)),"Packaging Problem",ISNUMBER(SEARCH("discoloration",C692)),"Contamination",ISNUMBER(SEARCH("tarnish",C692)),"Contamination",ISNUMBER(SEARCH("stain",C692)),"Contamination",ISNUMBER(SEARCH("foreign material",C692)),"Contamination",ISNUMBER(SEARCH("contamina",C692)),"Contamination",ISNUMBER(SEARCH("overheat",C692)),"Overheating of Device",ISNUMBER(SEARCH("excessive heat",C692)),"Overheating of Device",ISNUMBER(SEARCH("hot",C692)),"Overheating of Device",ISNUMBER(SEARCH("noise",C692)),"Noise, Audible",ISNUMBER(SEARCH("sound",C692)),"Noise, Audible",ISNUMBER(SEARCH("loud",C692)),"Noise, Audible",ISNUMBER(SEARCH("fray",C692)),"Material Frayed",ISNUMBER(SEARCH("hole",C692)),"Material Frayed",ISNUMBER(SEARCH("tear",C692)),"Material Frayed",ISNUMBER(SEARCH("worn",C692)),"Material Frayed",ISNUMBER(SEARCH("intermittent",C692)),"Difficult or Delayed Activation",ISNUMBER(SEARCH("delay",C692)),"Difficult or Delayed Activation",ISNUMBER(SEARCH("label",C692)),"Device Markings/Labelling Problem",ISNUMBER(SEARCH("marking",C692)),"Device Markings/Labelling Problem",ISNUMBER(SEARCH("lacerat",C692)),"Defective Device",ISNUMBER(SEARCH("cut",C692)),"Defective Device",ISNUMBER(SEARCH("leak",C692)),"Fluid/Blood Leak",ISNUMBER(SEARCH("missing",C692)),"Component Missing",ISNUMBER(SEARCH("power",C692)),"Complete Loss of Power",ISNUMBER(SEARCH("will not turn on",C692)),"Complete Loss of Power",ISNUMBER(SEARCH("won't turn on",C692)),"Complete Loss of Power",ISNUMBER(SEARCH("does not turn on",C692)),"Complete Loss of Power",ISNUMBER(SEARCH("electrical",C692)),"Electrical Power Problem",ISNUMBER(SEARCH("pressure",C692)),"Detachment of Device or Device Component",ISNUMBER(SEARCH("slip",C692)),"Detachment of Device or Device Component",ISNUMBER(SEARCH("detach",C692)),"Detachment of Device or Device Component",ISNUMBER(SEARCH("stick",C692)),"Mechanical Jam",ISNUMBER(SEARCH("jam",C692)),"Mechanical Jam",ISNUMBER(SEARCH("rigid",C692)),"Mechanical Jam",ISNUMBER(SEARCH("rust",C692)),"Corroded",ISNUMBER(SEARCH("corrod",C692)),"Corroded",ISNUMBER(SEARCH("corrosion",C692)),"Corroded",ISNUMBER(SEARCH("alignment",C692)),"Defective Device",ISNUMBER(SEARCH("adjust",C692)),"Defective Device",ISNUMBER(SEARCH("perform",C692)),"Defective Device",ISNUMBER(SEARCH("malfunction",C692)),"Defective Device",ISNUMBER(SEARCH("defect",C692)),"Defective Device",ISNUMBER(SEARCH("fail",C692)),"Defective Device",ISNUMBER(SEARCH("not work",C692)),"Defective Device",ISNUMBER(SEARCH("doesn't work",C692)),"Defective Device",TRUE,"UNKNOWN"),"UNKNOWN")))</f>
        <v/>
      </c>
      <c r="F692" s="4" t="str">
        <f t="shared" si="11"/>
        <v/>
      </c>
      <c r="G692" s="363" t="str">
        <f>IF(E692="","",IFERROR(VLOOKUP(E692,Codes!$L$2:$N$409,3,FALSE),"—"))</f>
        <v/>
      </c>
      <c r="H692" s="88"/>
      <c r="I692" s="88"/>
    </row>
    <row r="693" spans="1:9" ht="13.15" x14ac:dyDescent="0.35">
      <c r="A693" s="92"/>
      <c r="B693" s="89"/>
      <c r="C693" s="90"/>
      <c r="D693" s="88"/>
      <c r="E693" s="93" t="str" cm="1">
        <f t="array" ref="E693">IF(D693&lt;&gt;"",IFERROR(VLOOKUP(D693,Codes!$K$2:$L$409,2,FALSE),"UNKNOWN - "&amp;D693),IF(C693="","",IFERROR(_xlfn.IFS(ISNUMBER(SEARCH("broken button",C693)),"Break",ISNUMBER(SEARCH("broken handle",C693)),"Break",ISNUMBER(SEARCH("shipping damage",C693)),"Break",ISNUMBER(SEARCH("broken",C693)),"Break",ISNUMBER(SEARCH("crack",C693)),"Break",ISNUMBER(SEARCH("snap",C693)),"Break",ISNUMBER(SEARCH("fracture",C693)),"Break",ISNUMBER(SEARCH("bent",C693)),"Material Twisted/Bent",ISNUMBER(SEARCH("twisted",C693)),"Material Twisted/Bent",ISNUMBER(SEARCH("component separat",C693)),"Material Separation",ISNUMBER(SEARCH("separat",C693)),"Material Separation",ISNUMBER(SEARCH("connection",C693)),"Loose or Intermittent Connection",ISNUMBER(SEARCH("loose",C693)),"Loose or Intermittent Connection",ISNUMBER(SEARCH("damaged packaging",C693)),"Packaging Problem",ISNUMBER(SEARCH("packaging",C693)),"Packaging Problem",ISNUMBER(SEARCH("discoloration",C693)),"Contamination",ISNUMBER(SEARCH("tarnish",C693)),"Contamination",ISNUMBER(SEARCH("stain",C693)),"Contamination",ISNUMBER(SEARCH("foreign material",C693)),"Contamination",ISNUMBER(SEARCH("contamina",C693)),"Contamination",ISNUMBER(SEARCH("overheat",C693)),"Overheating of Device",ISNUMBER(SEARCH("excessive heat",C693)),"Overheating of Device",ISNUMBER(SEARCH("hot",C693)),"Overheating of Device",ISNUMBER(SEARCH("noise",C693)),"Noise, Audible",ISNUMBER(SEARCH("sound",C693)),"Noise, Audible",ISNUMBER(SEARCH("loud",C693)),"Noise, Audible",ISNUMBER(SEARCH("fray",C693)),"Material Frayed",ISNUMBER(SEARCH("hole",C693)),"Material Frayed",ISNUMBER(SEARCH("tear",C693)),"Material Frayed",ISNUMBER(SEARCH("worn",C693)),"Material Frayed",ISNUMBER(SEARCH("intermittent",C693)),"Difficult or Delayed Activation",ISNUMBER(SEARCH("delay",C693)),"Difficult or Delayed Activation",ISNUMBER(SEARCH("label",C693)),"Device Markings/Labelling Problem",ISNUMBER(SEARCH("marking",C693)),"Device Markings/Labelling Problem",ISNUMBER(SEARCH("lacerat",C693)),"Defective Device",ISNUMBER(SEARCH("cut",C693)),"Defective Device",ISNUMBER(SEARCH("leak",C693)),"Fluid/Blood Leak",ISNUMBER(SEARCH("missing",C693)),"Component Missing",ISNUMBER(SEARCH("power",C693)),"Complete Loss of Power",ISNUMBER(SEARCH("will not turn on",C693)),"Complete Loss of Power",ISNUMBER(SEARCH("won't turn on",C693)),"Complete Loss of Power",ISNUMBER(SEARCH("does not turn on",C693)),"Complete Loss of Power",ISNUMBER(SEARCH("electrical",C693)),"Electrical Power Problem",ISNUMBER(SEARCH("pressure",C693)),"Detachment of Device or Device Component",ISNUMBER(SEARCH("slip",C693)),"Detachment of Device or Device Component",ISNUMBER(SEARCH("detach",C693)),"Detachment of Device or Device Component",ISNUMBER(SEARCH("stick",C693)),"Mechanical Jam",ISNUMBER(SEARCH("jam",C693)),"Mechanical Jam",ISNUMBER(SEARCH("rigid",C693)),"Mechanical Jam",ISNUMBER(SEARCH("rust",C693)),"Corroded",ISNUMBER(SEARCH("corrod",C693)),"Corroded",ISNUMBER(SEARCH("corrosion",C693)),"Corroded",ISNUMBER(SEARCH("alignment",C693)),"Defective Device",ISNUMBER(SEARCH("adjust",C693)),"Defective Device",ISNUMBER(SEARCH("perform",C693)),"Defective Device",ISNUMBER(SEARCH("malfunction",C693)),"Defective Device",ISNUMBER(SEARCH("defect",C693)),"Defective Device",ISNUMBER(SEARCH("fail",C693)),"Defective Device",ISNUMBER(SEARCH("not work",C693)),"Defective Device",ISNUMBER(SEARCH("doesn't work",C693)),"Defective Device",TRUE,"UNKNOWN"),"UNKNOWN")))</f>
        <v/>
      </c>
      <c r="F693" s="4" t="str">
        <f t="shared" si="11"/>
        <v/>
      </c>
      <c r="G693" s="363" t="str">
        <f>IF(E693="","",IFERROR(VLOOKUP(E693,Codes!$L$2:$N$409,3,FALSE),"—"))</f>
        <v/>
      </c>
      <c r="H693" s="88"/>
      <c r="I693" s="88"/>
    </row>
    <row r="694" spans="1:9" ht="13.15" x14ac:dyDescent="0.35">
      <c r="A694" s="92"/>
      <c r="B694" s="89"/>
      <c r="C694" s="90"/>
      <c r="D694" s="88"/>
      <c r="E694" s="93" t="str" cm="1">
        <f t="array" ref="E694">IF(D694&lt;&gt;"",IFERROR(VLOOKUP(D694,Codes!$K$2:$L$409,2,FALSE),"UNKNOWN - "&amp;D694),IF(C694="","",IFERROR(_xlfn.IFS(ISNUMBER(SEARCH("broken button",C694)),"Break",ISNUMBER(SEARCH("broken handle",C694)),"Break",ISNUMBER(SEARCH("shipping damage",C694)),"Break",ISNUMBER(SEARCH("broken",C694)),"Break",ISNUMBER(SEARCH("crack",C694)),"Break",ISNUMBER(SEARCH("snap",C694)),"Break",ISNUMBER(SEARCH("fracture",C694)),"Break",ISNUMBER(SEARCH("bent",C694)),"Material Twisted/Bent",ISNUMBER(SEARCH("twisted",C694)),"Material Twisted/Bent",ISNUMBER(SEARCH("component separat",C694)),"Material Separation",ISNUMBER(SEARCH("separat",C694)),"Material Separation",ISNUMBER(SEARCH("connection",C694)),"Loose or Intermittent Connection",ISNUMBER(SEARCH("loose",C694)),"Loose or Intermittent Connection",ISNUMBER(SEARCH("damaged packaging",C694)),"Packaging Problem",ISNUMBER(SEARCH("packaging",C694)),"Packaging Problem",ISNUMBER(SEARCH("discoloration",C694)),"Contamination",ISNUMBER(SEARCH("tarnish",C694)),"Contamination",ISNUMBER(SEARCH("stain",C694)),"Contamination",ISNUMBER(SEARCH("foreign material",C694)),"Contamination",ISNUMBER(SEARCH("contamina",C694)),"Contamination",ISNUMBER(SEARCH("overheat",C694)),"Overheating of Device",ISNUMBER(SEARCH("excessive heat",C694)),"Overheating of Device",ISNUMBER(SEARCH("hot",C694)),"Overheating of Device",ISNUMBER(SEARCH("noise",C694)),"Noise, Audible",ISNUMBER(SEARCH("sound",C694)),"Noise, Audible",ISNUMBER(SEARCH("loud",C694)),"Noise, Audible",ISNUMBER(SEARCH("fray",C694)),"Material Frayed",ISNUMBER(SEARCH("hole",C694)),"Material Frayed",ISNUMBER(SEARCH("tear",C694)),"Material Frayed",ISNUMBER(SEARCH("worn",C694)),"Material Frayed",ISNUMBER(SEARCH("intermittent",C694)),"Difficult or Delayed Activation",ISNUMBER(SEARCH("delay",C694)),"Difficult or Delayed Activation",ISNUMBER(SEARCH("label",C694)),"Device Markings/Labelling Problem",ISNUMBER(SEARCH("marking",C694)),"Device Markings/Labelling Problem",ISNUMBER(SEARCH("lacerat",C694)),"Defective Device",ISNUMBER(SEARCH("cut",C694)),"Defective Device",ISNUMBER(SEARCH("leak",C694)),"Fluid/Blood Leak",ISNUMBER(SEARCH("missing",C694)),"Component Missing",ISNUMBER(SEARCH("power",C694)),"Complete Loss of Power",ISNUMBER(SEARCH("will not turn on",C694)),"Complete Loss of Power",ISNUMBER(SEARCH("won't turn on",C694)),"Complete Loss of Power",ISNUMBER(SEARCH("does not turn on",C694)),"Complete Loss of Power",ISNUMBER(SEARCH("electrical",C694)),"Electrical Power Problem",ISNUMBER(SEARCH("pressure",C694)),"Detachment of Device or Device Component",ISNUMBER(SEARCH("slip",C694)),"Detachment of Device or Device Component",ISNUMBER(SEARCH("detach",C694)),"Detachment of Device or Device Component",ISNUMBER(SEARCH("stick",C694)),"Mechanical Jam",ISNUMBER(SEARCH("jam",C694)),"Mechanical Jam",ISNUMBER(SEARCH("rigid",C694)),"Mechanical Jam",ISNUMBER(SEARCH("rust",C694)),"Corroded",ISNUMBER(SEARCH("corrod",C694)),"Corroded",ISNUMBER(SEARCH("corrosion",C694)),"Corroded",ISNUMBER(SEARCH("alignment",C694)),"Defective Device",ISNUMBER(SEARCH("adjust",C694)),"Defective Device",ISNUMBER(SEARCH("perform",C694)),"Defective Device",ISNUMBER(SEARCH("malfunction",C694)),"Defective Device",ISNUMBER(SEARCH("defect",C694)),"Defective Device",ISNUMBER(SEARCH("fail",C694)),"Defective Device",ISNUMBER(SEARCH("not work",C694)),"Defective Device",ISNUMBER(SEARCH("doesn't work",C694)),"Defective Device",TRUE,"UNKNOWN"),"UNKNOWN")))</f>
        <v/>
      </c>
      <c r="F694" s="4" t="str">
        <f t="shared" si="11"/>
        <v/>
      </c>
      <c r="G694" s="363" t="str">
        <f>IF(E694="","",IFERROR(VLOOKUP(E694,Codes!$L$2:$N$409,3,FALSE),"—"))</f>
        <v/>
      </c>
      <c r="H694" s="88"/>
      <c r="I694" s="88"/>
    </row>
    <row r="695" spans="1:9" ht="13.15" x14ac:dyDescent="0.35">
      <c r="A695" s="92"/>
      <c r="B695" s="89"/>
      <c r="C695" s="88"/>
      <c r="D695" s="88"/>
      <c r="E695" s="93" t="str" cm="1">
        <f t="array" ref="E695">IF(D695&lt;&gt;"",IFERROR(VLOOKUP(D695,Codes!$K$2:$L$409,2,FALSE),"UNKNOWN - "&amp;D695),IF(C695="","",IFERROR(_xlfn.IFS(ISNUMBER(SEARCH("broken button",C695)),"Break",ISNUMBER(SEARCH("broken handle",C695)),"Break",ISNUMBER(SEARCH("shipping damage",C695)),"Break",ISNUMBER(SEARCH("broken",C695)),"Break",ISNUMBER(SEARCH("crack",C695)),"Break",ISNUMBER(SEARCH("snap",C695)),"Break",ISNUMBER(SEARCH("fracture",C695)),"Break",ISNUMBER(SEARCH("bent",C695)),"Material Twisted/Bent",ISNUMBER(SEARCH("twisted",C695)),"Material Twisted/Bent",ISNUMBER(SEARCH("component separat",C695)),"Material Separation",ISNUMBER(SEARCH("separat",C695)),"Material Separation",ISNUMBER(SEARCH("connection",C695)),"Loose or Intermittent Connection",ISNUMBER(SEARCH("loose",C695)),"Loose or Intermittent Connection",ISNUMBER(SEARCH("damaged packaging",C695)),"Packaging Problem",ISNUMBER(SEARCH("packaging",C695)),"Packaging Problem",ISNUMBER(SEARCH("discoloration",C695)),"Contamination",ISNUMBER(SEARCH("tarnish",C695)),"Contamination",ISNUMBER(SEARCH("stain",C695)),"Contamination",ISNUMBER(SEARCH("foreign material",C695)),"Contamination",ISNUMBER(SEARCH("contamina",C695)),"Contamination",ISNUMBER(SEARCH("overheat",C695)),"Overheating of Device",ISNUMBER(SEARCH("excessive heat",C695)),"Overheating of Device",ISNUMBER(SEARCH("hot",C695)),"Overheating of Device",ISNUMBER(SEARCH("noise",C695)),"Noise, Audible",ISNUMBER(SEARCH("sound",C695)),"Noise, Audible",ISNUMBER(SEARCH("loud",C695)),"Noise, Audible",ISNUMBER(SEARCH("fray",C695)),"Material Frayed",ISNUMBER(SEARCH("hole",C695)),"Material Frayed",ISNUMBER(SEARCH("tear",C695)),"Material Frayed",ISNUMBER(SEARCH("worn",C695)),"Material Frayed",ISNUMBER(SEARCH("intermittent",C695)),"Difficult or Delayed Activation",ISNUMBER(SEARCH("delay",C695)),"Difficult or Delayed Activation",ISNUMBER(SEARCH("label",C695)),"Device Markings/Labelling Problem",ISNUMBER(SEARCH("marking",C695)),"Device Markings/Labelling Problem",ISNUMBER(SEARCH("lacerat",C695)),"Defective Device",ISNUMBER(SEARCH("cut",C695)),"Defective Device",ISNUMBER(SEARCH("leak",C695)),"Fluid/Blood Leak",ISNUMBER(SEARCH("missing",C695)),"Component Missing",ISNUMBER(SEARCH("power",C695)),"Complete Loss of Power",ISNUMBER(SEARCH("will not turn on",C695)),"Complete Loss of Power",ISNUMBER(SEARCH("won't turn on",C695)),"Complete Loss of Power",ISNUMBER(SEARCH("does not turn on",C695)),"Complete Loss of Power",ISNUMBER(SEARCH("electrical",C695)),"Electrical Power Problem",ISNUMBER(SEARCH("pressure",C695)),"Detachment of Device or Device Component",ISNUMBER(SEARCH("slip",C695)),"Detachment of Device or Device Component",ISNUMBER(SEARCH("detach",C695)),"Detachment of Device or Device Component",ISNUMBER(SEARCH("stick",C695)),"Mechanical Jam",ISNUMBER(SEARCH("jam",C695)),"Mechanical Jam",ISNUMBER(SEARCH("rigid",C695)),"Mechanical Jam",ISNUMBER(SEARCH("rust",C695)),"Corroded",ISNUMBER(SEARCH("corrod",C695)),"Corroded",ISNUMBER(SEARCH("corrosion",C695)),"Corroded",ISNUMBER(SEARCH("alignment",C695)),"Defective Device",ISNUMBER(SEARCH("adjust",C695)),"Defective Device",ISNUMBER(SEARCH("perform",C695)),"Defective Device",ISNUMBER(SEARCH("malfunction",C695)),"Defective Device",ISNUMBER(SEARCH("defect",C695)),"Defective Device",ISNUMBER(SEARCH("fail",C695)),"Defective Device",ISNUMBER(SEARCH("not work",C695)),"Defective Device",ISNUMBER(SEARCH("doesn't work",C695)),"Defective Device",TRUE,"UNKNOWN"),"UNKNOWN")))</f>
        <v/>
      </c>
      <c r="F695" s="4" t="str">
        <f t="shared" si="11"/>
        <v/>
      </c>
      <c r="G695" s="363" t="str">
        <f>IF(E695="","",IFERROR(VLOOKUP(E695,Codes!$L$2:$N$409,3,FALSE),"—"))</f>
        <v/>
      </c>
      <c r="H695" s="88"/>
      <c r="I695" s="88"/>
    </row>
    <row r="696" spans="1:9" ht="13.15" x14ac:dyDescent="0.35">
      <c r="A696" s="92"/>
      <c r="B696" s="89"/>
      <c r="C696" s="88"/>
      <c r="D696" s="88"/>
      <c r="E696" s="93" t="str" cm="1">
        <f t="array" ref="E696">IF(D696&lt;&gt;"",IFERROR(VLOOKUP(D696,Codes!$K$2:$L$409,2,FALSE),"UNKNOWN - "&amp;D696),IF(C696="","",IFERROR(_xlfn.IFS(ISNUMBER(SEARCH("broken button",C696)),"Break",ISNUMBER(SEARCH("broken handle",C696)),"Break",ISNUMBER(SEARCH("shipping damage",C696)),"Break",ISNUMBER(SEARCH("broken",C696)),"Break",ISNUMBER(SEARCH("crack",C696)),"Break",ISNUMBER(SEARCH("snap",C696)),"Break",ISNUMBER(SEARCH("fracture",C696)),"Break",ISNUMBER(SEARCH("bent",C696)),"Material Twisted/Bent",ISNUMBER(SEARCH("twisted",C696)),"Material Twisted/Bent",ISNUMBER(SEARCH("component separat",C696)),"Material Separation",ISNUMBER(SEARCH("separat",C696)),"Material Separation",ISNUMBER(SEARCH("connection",C696)),"Loose or Intermittent Connection",ISNUMBER(SEARCH("loose",C696)),"Loose or Intermittent Connection",ISNUMBER(SEARCH("damaged packaging",C696)),"Packaging Problem",ISNUMBER(SEARCH("packaging",C696)),"Packaging Problem",ISNUMBER(SEARCH("discoloration",C696)),"Contamination",ISNUMBER(SEARCH("tarnish",C696)),"Contamination",ISNUMBER(SEARCH("stain",C696)),"Contamination",ISNUMBER(SEARCH("foreign material",C696)),"Contamination",ISNUMBER(SEARCH("contamina",C696)),"Contamination",ISNUMBER(SEARCH("overheat",C696)),"Overheating of Device",ISNUMBER(SEARCH("excessive heat",C696)),"Overheating of Device",ISNUMBER(SEARCH("hot",C696)),"Overheating of Device",ISNUMBER(SEARCH("noise",C696)),"Noise, Audible",ISNUMBER(SEARCH("sound",C696)),"Noise, Audible",ISNUMBER(SEARCH("loud",C696)),"Noise, Audible",ISNUMBER(SEARCH("fray",C696)),"Material Frayed",ISNUMBER(SEARCH("hole",C696)),"Material Frayed",ISNUMBER(SEARCH("tear",C696)),"Material Frayed",ISNUMBER(SEARCH("worn",C696)),"Material Frayed",ISNUMBER(SEARCH("intermittent",C696)),"Difficult or Delayed Activation",ISNUMBER(SEARCH("delay",C696)),"Difficult or Delayed Activation",ISNUMBER(SEARCH("label",C696)),"Device Markings/Labelling Problem",ISNUMBER(SEARCH("marking",C696)),"Device Markings/Labelling Problem",ISNUMBER(SEARCH("lacerat",C696)),"Defective Device",ISNUMBER(SEARCH("cut",C696)),"Defective Device",ISNUMBER(SEARCH("leak",C696)),"Fluid/Blood Leak",ISNUMBER(SEARCH("missing",C696)),"Component Missing",ISNUMBER(SEARCH("power",C696)),"Complete Loss of Power",ISNUMBER(SEARCH("will not turn on",C696)),"Complete Loss of Power",ISNUMBER(SEARCH("won't turn on",C696)),"Complete Loss of Power",ISNUMBER(SEARCH("does not turn on",C696)),"Complete Loss of Power",ISNUMBER(SEARCH("electrical",C696)),"Electrical Power Problem",ISNUMBER(SEARCH("pressure",C696)),"Detachment of Device or Device Component",ISNUMBER(SEARCH("slip",C696)),"Detachment of Device or Device Component",ISNUMBER(SEARCH("detach",C696)),"Detachment of Device or Device Component",ISNUMBER(SEARCH("stick",C696)),"Mechanical Jam",ISNUMBER(SEARCH("jam",C696)),"Mechanical Jam",ISNUMBER(SEARCH("rigid",C696)),"Mechanical Jam",ISNUMBER(SEARCH("rust",C696)),"Corroded",ISNUMBER(SEARCH("corrod",C696)),"Corroded",ISNUMBER(SEARCH("corrosion",C696)),"Corroded",ISNUMBER(SEARCH("alignment",C696)),"Defective Device",ISNUMBER(SEARCH("adjust",C696)),"Defective Device",ISNUMBER(SEARCH("perform",C696)),"Defective Device",ISNUMBER(SEARCH("malfunction",C696)),"Defective Device",ISNUMBER(SEARCH("defect",C696)),"Defective Device",ISNUMBER(SEARCH("fail",C696)),"Defective Device",ISNUMBER(SEARCH("not work",C696)),"Defective Device",ISNUMBER(SEARCH("doesn't work",C696)),"Defective Device",TRUE,"UNKNOWN"),"UNKNOWN")))</f>
        <v/>
      </c>
      <c r="F696" s="4" t="str">
        <f t="shared" si="11"/>
        <v/>
      </c>
      <c r="G696" s="363" t="str">
        <f>IF(E696="","",IFERROR(VLOOKUP(E696,Codes!$L$2:$N$409,3,FALSE),"—"))</f>
        <v/>
      </c>
      <c r="H696" s="88"/>
      <c r="I696" s="88"/>
    </row>
    <row r="697" spans="1:9" ht="13.15" x14ac:dyDescent="0.35">
      <c r="A697" s="92"/>
      <c r="B697" s="89"/>
      <c r="C697" s="88"/>
      <c r="D697" s="88"/>
      <c r="E697" s="93" t="str" cm="1">
        <f t="array" ref="E697">IF(D697&lt;&gt;"",IFERROR(VLOOKUP(D697,Codes!$K$2:$L$409,2,FALSE),"UNKNOWN - "&amp;D697),IF(C697="","",IFERROR(_xlfn.IFS(ISNUMBER(SEARCH("broken button",C697)),"Break",ISNUMBER(SEARCH("broken handle",C697)),"Break",ISNUMBER(SEARCH("shipping damage",C697)),"Break",ISNUMBER(SEARCH("broken",C697)),"Break",ISNUMBER(SEARCH("crack",C697)),"Break",ISNUMBER(SEARCH("snap",C697)),"Break",ISNUMBER(SEARCH("fracture",C697)),"Break",ISNUMBER(SEARCH("bent",C697)),"Material Twisted/Bent",ISNUMBER(SEARCH("twisted",C697)),"Material Twisted/Bent",ISNUMBER(SEARCH("component separat",C697)),"Material Separation",ISNUMBER(SEARCH("separat",C697)),"Material Separation",ISNUMBER(SEARCH("connection",C697)),"Loose or Intermittent Connection",ISNUMBER(SEARCH("loose",C697)),"Loose or Intermittent Connection",ISNUMBER(SEARCH("damaged packaging",C697)),"Packaging Problem",ISNUMBER(SEARCH("packaging",C697)),"Packaging Problem",ISNUMBER(SEARCH("discoloration",C697)),"Contamination",ISNUMBER(SEARCH("tarnish",C697)),"Contamination",ISNUMBER(SEARCH("stain",C697)),"Contamination",ISNUMBER(SEARCH("foreign material",C697)),"Contamination",ISNUMBER(SEARCH("contamina",C697)),"Contamination",ISNUMBER(SEARCH("overheat",C697)),"Overheating of Device",ISNUMBER(SEARCH("excessive heat",C697)),"Overheating of Device",ISNUMBER(SEARCH("hot",C697)),"Overheating of Device",ISNUMBER(SEARCH("noise",C697)),"Noise, Audible",ISNUMBER(SEARCH("sound",C697)),"Noise, Audible",ISNUMBER(SEARCH("loud",C697)),"Noise, Audible",ISNUMBER(SEARCH("fray",C697)),"Material Frayed",ISNUMBER(SEARCH("hole",C697)),"Material Frayed",ISNUMBER(SEARCH("tear",C697)),"Material Frayed",ISNUMBER(SEARCH("worn",C697)),"Material Frayed",ISNUMBER(SEARCH("intermittent",C697)),"Difficult or Delayed Activation",ISNUMBER(SEARCH("delay",C697)),"Difficult or Delayed Activation",ISNUMBER(SEARCH("label",C697)),"Device Markings/Labelling Problem",ISNUMBER(SEARCH("marking",C697)),"Device Markings/Labelling Problem",ISNUMBER(SEARCH("lacerat",C697)),"Defective Device",ISNUMBER(SEARCH("cut",C697)),"Defective Device",ISNUMBER(SEARCH("leak",C697)),"Fluid/Blood Leak",ISNUMBER(SEARCH("missing",C697)),"Component Missing",ISNUMBER(SEARCH("power",C697)),"Complete Loss of Power",ISNUMBER(SEARCH("will not turn on",C697)),"Complete Loss of Power",ISNUMBER(SEARCH("won't turn on",C697)),"Complete Loss of Power",ISNUMBER(SEARCH("does not turn on",C697)),"Complete Loss of Power",ISNUMBER(SEARCH("electrical",C697)),"Electrical Power Problem",ISNUMBER(SEARCH("pressure",C697)),"Detachment of Device or Device Component",ISNUMBER(SEARCH("slip",C697)),"Detachment of Device or Device Component",ISNUMBER(SEARCH("detach",C697)),"Detachment of Device or Device Component",ISNUMBER(SEARCH("stick",C697)),"Mechanical Jam",ISNUMBER(SEARCH("jam",C697)),"Mechanical Jam",ISNUMBER(SEARCH("rigid",C697)),"Mechanical Jam",ISNUMBER(SEARCH("rust",C697)),"Corroded",ISNUMBER(SEARCH("corrod",C697)),"Corroded",ISNUMBER(SEARCH("corrosion",C697)),"Corroded",ISNUMBER(SEARCH("alignment",C697)),"Defective Device",ISNUMBER(SEARCH("adjust",C697)),"Defective Device",ISNUMBER(SEARCH("perform",C697)),"Defective Device",ISNUMBER(SEARCH("malfunction",C697)),"Defective Device",ISNUMBER(SEARCH("defect",C697)),"Defective Device",ISNUMBER(SEARCH("fail",C697)),"Defective Device",ISNUMBER(SEARCH("not work",C697)),"Defective Device",ISNUMBER(SEARCH("doesn't work",C697)),"Defective Device",TRUE,"UNKNOWN"),"UNKNOWN")))</f>
        <v/>
      </c>
      <c r="F697" s="4" t="str">
        <f t="shared" si="11"/>
        <v/>
      </c>
      <c r="G697" s="363" t="str">
        <f>IF(E697="","",IFERROR(VLOOKUP(E697,Codes!$L$2:$N$409,3,FALSE),"—"))</f>
        <v/>
      </c>
      <c r="H697" s="88"/>
      <c r="I697" s="88"/>
    </row>
    <row r="698" spans="1:9" ht="13.15" x14ac:dyDescent="0.35">
      <c r="A698" s="92"/>
      <c r="B698" s="89"/>
      <c r="C698" s="88"/>
      <c r="D698" s="88"/>
      <c r="E698" s="93" t="str" cm="1">
        <f t="array" ref="E698">IF(D698&lt;&gt;"",IFERROR(VLOOKUP(D698,Codes!$K$2:$L$409,2,FALSE),"UNKNOWN - "&amp;D698),IF(C698="","",IFERROR(_xlfn.IFS(ISNUMBER(SEARCH("broken button",C698)),"Break",ISNUMBER(SEARCH("broken handle",C698)),"Break",ISNUMBER(SEARCH("shipping damage",C698)),"Break",ISNUMBER(SEARCH("broken",C698)),"Break",ISNUMBER(SEARCH("crack",C698)),"Break",ISNUMBER(SEARCH("snap",C698)),"Break",ISNUMBER(SEARCH("fracture",C698)),"Break",ISNUMBER(SEARCH("bent",C698)),"Material Twisted/Bent",ISNUMBER(SEARCH("twisted",C698)),"Material Twisted/Bent",ISNUMBER(SEARCH("component separat",C698)),"Material Separation",ISNUMBER(SEARCH("separat",C698)),"Material Separation",ISNUMBER(SEARCH("connection",C698)),"Loose or Intermittent Connection",ISNUMBER(SEARCH("loose",C698)),"Loose or Intermittent Connection",ISNUMBER(SEARCH("damaged packaging",C698)),"Packaging Problem",ISNUMBER(SEARCH("packaging",C698)),"Packaging Problem",ISNUMBER(SEARCH("discoloration",C698)),"Contamination",ISNUMBER(SEARCH("tarnish",C698)),"Contamination",ISNUMBER(SEARCH("stain",C698)),"Contamination",ISNUMBER(SEARCH("foreign material",C698)),"Contamination",ISNUMBER(SEARCH("contamina",C698)),"Contamination",ISNUMBER(SEARCH("overheat",C698)),"Overheating of Device",ISNUMBER(SEARCH("excessive heat",C698)),"Overheating of Device",ISNUMBER(SEARCH("hot",C698)),"Overheating of Device",ISNUMBER(SEARCH("noise",C698)),"Noise, Audible",ISNUMBER(SEARCH("sound",C698)),"Noise, Audible",ISNUMBER(SEARCH("loud",C698)),"Noise, Audible",ISNUMBER(SEARCH("fray",C698)),"Material Frayed",ISNUMBER(SEARCH("hole",C698)),"Material Frayed",ISNUMBER(SEARCH("tear",C698)),"Material Frayed",ISNUMBER(SEARCH("worn",C698)),"Material Frayed",ISNUMBER(SEARCH("intermittent",C698)),"Difficult or Delayed Activation",ISNUMBER(SEARCH("delay",C698)),"Difficult or Delayed Activation",ISNUMBER(SEARCH("label",C698)),"Device Markings/Labelling Problem",ISNUMBER(SEARCH("marking",C698)),"Device Markings/Labelling Problem",ISNUMBER(SEARCH("lacerat",C698)),"Defective Device",ISNUMBER(SEARCH("cut",C698)),"Defective Device",ISNUMBER(SEARCH("leak",C698)),"Fluid/Blood Leak",ISNUMBER(SEARCH("missing",C698)),"Component Missing",ISNUMBER(SEARCH("power",C698)),"Complete Loss of Power",ISNUMBER(SEARCH("will not turn on",C698)),"Complete Loss of Power",ISNUMBER(SEARCH("won't turn on",C698)),"Complete Loss of Power",ISNUMBER(SEARCH("does not turn on",C698)),"Complete Loss of Power",ISNUMBER(SEARCH("electrical",C698)),"Electrical Power Problem",ISNUMBER(SEARCH("pressure",C698)),"Detachment of Device or Device Component",ISNUMBER(SEARCH("slip",C698)),"Detachment of Device or Device Component",ISNUMBER(SEARCH("detach",C698)),"Detachment of Device or Device Component",ISNUMBER(SEARCH("stick",C698)),"Mechanical Jam",ISNUMBER(SEARCH("jam",C698)),"Mechanical Jam",ISNUMBER(SEARCH("rigid",C698)),"Mechanical Jam",ISNUMBER(SEARCH("rust",C698)),"Corroded",ISNUMBER(SEARCH("corrod",C698)),"Corroded",ISNUMBER(SEARCH("corrosion",C698)),"Corroded",ISNUMBER(SEARCH("alignment",C698)),"Defective Device",ISNUMBER(SEARCH("adjust",C698)),"Defective Device",ISNUMBER(SEARCH("perform",C698)),"Defective Device",ISNUMBER(SEARCH("malfunction",C698)),"Defective Device",ISNUMBER(SEARCH("defect",C698)),"Defective Device",ISNUMBER(SEARCH("fail",C698)),"Defective Device",ISNUMBER(SEARCH("not work",C698)),"Defective Device",ISNUMBER(SEARCH("doesn't work",C698)),"Defective Device",TRUE,"UNKNOWN"),"UNKNOWN")))</f>
        <v/>
      </c>
      <c r="F698" s="4" t="str">
        <f t="shared" si="11"/>
        <v/>
      </c>
      <c r="G698" s="363" t="str">
        <f>IF(E698="","",IFERROR(VLOOKUP(E698,Codes!$L$2:$N$409,3,FALSE),"—"))</f>
        <v/>
      </c>
      <c r="H698" s="88"/>
      <c r="I698" s="88"/>
    </row>
    <row r="699" spans="1:9" ht="13.15" x14ac:dyDescent="0.35">
      <c r="A699" s="92"/>
      <c r="B699" s="89"/>
      <c r="C699" s="88"/>
      <c r="D699" s="88"/>
      <c r="E699" s="93" t="str" cm="1">
        <f t="array" ref="E699">IF(D699&lt;&gt;"",IFERROR(VLOOKUP(D699,Codes!$K$2:$L$409,2,FALSE),"UNKNOWN - "&amp;D699),IF(C699="","",IFERROR(_xlfn.IFS(ISNUMBER(SEARCH("broken button",C699)),"Break",ISNUMBER(SEARCH("broken handle",C699)),"Break",ISNUMBER(SEARCH("shipping damage",C699)),"Break",ISNUMBER(SEARCH("broken",C699)),"Break",ISNUMBER(SEARCH("crack",C699)),"Break",ISNUMBER(SEARCH("snap",C699)),"Break",ISNUMBER(SEARCH("fracture",C699)),"Break",ISNUMBER(SEARCH("bent",C699)),"Material Twisted/Bent",ISNUMBER(SEARCH("twisted",C699)),"Material Twisted/Bent",ISNUMBER(SEARCH("component separat",C699)),"Material Separation",ISNUMBER(SEARCH("separat",C699)),"Material Separation",ISNUMBER(SEARCH("connection",C699)),"Loose or Intermittent Connection",ISNUMBER(SEARCH("loose",C699)),"Loose or Intermittent Connection",ISNUMBER(SEARCH("damaged packaging",C699)),"Packaging Problem",ISNUMBER(SEARCH("packaging",C699)),"Packaging Problem",ISNUMBER(SEARCH("discoloration",C699)),"Contamination",ISNUMBER(SEARCH("tarnish",C699)),"Contamination",ISNUMBER(SEARCH("stain",C699)),"Contamination",ISNUMBER(SEARCH("foreign material",C699)),"Contamination",ISNUMBER(SEARCH("contamina",C699)),"Contamination",ISNUMBER(SEARCH("overheat",C699)),"Overheating of Device",ISNUMBER(SEARCH("excessive heat",C699)),"Overheating of Device",ISNUMBER(SEARCH("hot",C699)),"Overheating of Device",ISNUMBER(SEARCH("noise",C699)),"Noise, Audible",ISNUMBER(SEARCH("sound",C699)),"Noise, Audible",ISNUMBER(SEARCH("loud",C699)),"Noise, Audible",ISNUMBER(SEARCH("fray",C699)),"Material Frayed",ISNUMBER(SEARCH("hole",C699)),"Material Frayed",ISNUMBER(SEARCH("tear",C699)),"Material Frayed",ISNUMBER(SEARCH("worn",C699)),"Material Frayed",ISNUMBER(SEARCH("intermittent",C699)),"Difficult or Delayed Activation",ISNUMBER(SEARCH("delay",C699)),"Difficult or Delayed Activation",ISNUMBER(SEARCH("label",C699)),"Device Markings/Labelling Problem",ISNUMBER(SEARCH("marking",C699)),"Device Markings/Labelling Problem",ISNUMBER(SEARCH("lacerat",C699)),"Defective Device",ISNUMBER(SEARCH("cut",C699)),"Defective Device",ISNUMBER(SEARCH("leak",C699)),"Fluid/Blood Leak",ISNUMBER(SEARCH("missing",C699)),"Component Missing",ISNUMBER(SEARCH("power",C699)),"Complete Loss of Power",ISNUMBER(SEARCH("will not turn on",C699)),"Complete Loss of Power",ISNUMBER(SEARCH("won't turn on",C699)),"Complete Loss of Power",ISNUMBER(SEARCH("does not turn on",C699)),"Complete Loss of Power",ISNUMBER(SEARCH("electrical",C699)),"Electrical Power Problem",ISNUMBER(SEARCH("pressure",C699)),"Detachment of Device or Device Component",ISNUMBER(SEARCH("slip",C699)),"Detachment of Device or Device Component",ISNUMBER(SEARCH("detach",C699)),"Detachment of Device or Device Component",ISNUMBER(SEARCH("stick",C699)),"Mechanical Jam",ISNUMBER(SEARCH("jam",C699)),"Mechanical Jam",ISNUMBER(SEARCH("rigid",C699)),"Mechanical Jam",ISNUMBER(SEARCH("rust",C699)),"Corroded",ISNUMBER(SEARCH("corrod",C699)),"Corroded",ISNUMBER(SEARCH("corrosion",C699)),"Corroded",ISNUMBER(SEARCH("alignment",C699)),"Defective Device",ISNUMBER(SEARCH("adjust",C699)),"Defective Device",ISNUMBER(SEARCH("perform",C699)),"Defective Device",ISNUMBER(SEARCH("malfunction",C699)),"Defective Device",ISNUMBER(SEARCH("defect",C699)),"Defective Device",ISNUMBER(SEARCH("fail",C699)),"Defective Device",ISNUMBER(SEARCH("not work",C699)),"Defective Device",ISNUMBER(SEARCH("doesn't work",C699)),"Defective Device",TRUE,"UNKNOWN"),"UNKNOWN")))</f>
        <v/>
      </c>
      <c r="F699" s="4" t="str">
        <f t="shared" ref="F699:F762" si="12">IF(E699="","","No Clinical Signs, Symptoms or Conditions")</f>
        <v/>
      </c>
      <c r="G699" s="363" t="str">
        <f>IF(E699="","",IFERROR(VLOOKUP(E699,Codes!$L$2:$N$409,3,FALSE),"—"))</f>
        <v/>
      </c>
      <c r="H699" s="88"/>
      <c r="I699" s="88"/>
    </row>
    <row r="700" spans="1:9" ht="13.15" x14ac:dyDescent="0.35">
      <c r="A700" s="92"/>
      <c r="B700" s="89"/>
      <c r="C700" s="88"/>
      <c r="D700" s="88"/>
      <c r="E700" s="93" t="str" cm="1">
        <f t="array" ref="E700">IF(D700&lt;&gt;"",IFERROR(VLOOKUP(D700,Codes!$K$2:$L$409,2,FALSE),"UNKNOWN - "&amp;D700),IF(C700="","",IFERROR(_xlfn.IFS(ISNUMBER(SEARCH("broken button",C700)),"Break",ISNUMBER(SEARCH("broken handle",C700)),"Break",ISNUMBER(SEARCH("shipping damage",C700)),"Break",ISNUMBER(SEARCH("broken",C700)),"Break",ISNUMBER(SEARCH("crack",C700)),"Break",ISNUMBER(SEARCH("snap",C700)),"Break",ISNUMBER(SEARCH("fracture",C700)),"Break",ISNUMBER(SEARCH("bent",C700)),"Material Twisted/Bent",ISNUMBER(SEARCH("twisted",C700)),"Material Twisted/Bent",ISNUMBER(SEARCH("component separat",C700)),"Material Separation",ISNUMBER(SEARCH("separat",C700)),"Material Separation",ISNUMBER(SEARCH("connection",C700)),"Loose or Intermittent Connection",ISNUMBER(SEARCH("loose",C700)),"Loose or Intermittent Connection",ISNUMBER(SEARCH("damaged packaging",C700)),"Packaging Problem",ISNUMBER(SEARCH("packaging",C700)),"Packaging Problem",ISNUMBER(SEARCH("discoloration",C700)),"Contamination",ISNUMBER(SEARCH("tarnish",C700)),"Contamination",ISNUMBER(SEARCH("stain",C700)),"Contamination",ISNUMBER(SEARCH("foreign material",C700)),"Contamination",ISNUMBER(SEARCH("contamina",C700)),"Contamination",ISNUMBER(SEARCH("overheat",C700)),"Overheating of Device",ISNUMBER(SEARCH("excessive heat",C700)),"Overheating of Device",ISNUMBER(SEARCH("hot",C700)),"Overheating of Device",ISNUMBER(SEARCH("noise",C700)),"Noise, Audible",ISNUMBER(SEARCH("sound",C700)),"Noise, Audible",ISNUMBER(SEARCH("loud",C700)),"Noise, Audible",ISNUMBER(SEARCH("fray",C700)),"Material Frayed",ISNUMBER(SEARCH("hole",C700)),"Material Frayed",ISNUMBER(SEARCH("tear",C700)),"Material Frayed",ISNUMBER(SEARCH("worn",C700)),"Material Frayed",ISNUMBER(SEARCH("intermittent",C700)),"Difficult or Delayed Activation",ISNUMBER(SEARCH("delay",C700)),"Difficult or Delayed Activation",ISNUMBER(SEARCH("label",C700)),"Device Markings/Labelling Problem",ISNUMBER(SEARCH("marking",C700)),"Device Markings/Labelling Problem",ISNUMBER(SEARCH("lacerat",C700)),"Defective Device",ISNUMBER(SEARCH("cut",C700)),"Defective Device",ISNUMBER(SEARCH("leak",C700)),"Fluid/Blood Leak",ISNUMBER(SEARCH("missing",C700)),"Component Missing",ISNUMBER(SEARCH("power",C700)),"Complete Loss of Power",ISNUMBER(SEARCH("will not turn on",C700)),"Complete Loss of Power",ISNUMBER(SEARCH("won't turn on",C700)),"Complete Loss of Power",ISNUMBER(SEARCH("does not turn on",C700)),"Complete Loss of Power",ISNUMBER(SEARCH("electrical",C700)),"Electrical Power Problem",ISNUMBER(SEARCH("pressure",C700)),"Detachment of Device or Device Component",ISNUMBER(SEARCH("slip",C700)),"Detachment of Device or Device Component",ISNUMBER(SEARCH("detach",C700)),"Detachment of Device or Device Component",ISNUMBER(SEARCH("stick",C700)),"Mechanical Jam",ISNUMBER(SEARCH("jam",C700)),"Mechanical Jam",ISNUMBER(SEARCH("rigid",C700)),"Mechanical Jam",ISNUMBER(SEARCH("rust",C700)),"Corroded",ISNUMBER(SEARCH("corrod",C700)),"Corroded",ISNUMBER(SEARCH("corrosion",C700)),"Corroded",ISNUMBER(SEARCH("alignment",C700)),"Defective Device",ISNUMBER(SEARCH("adjust",C700)),"Defective Device",ISNUMBER(SEARCH("perform",C700)),"Defective Device",ISNUMBER(SEARCH("malfunction",C700)),"Defective Device",ISNUMBER(SEARCH("defect",C700)),"Defective Device",ISNUMBER(SEARCH("fail",C700)),"Defective Device",ISNUMBER(SEARCH("not work",C700)),"Defective Device",ISNUMBER(SEARCH("doesn't work",C700)),"Defective Device",TRUE,"UNKNOWN"),"UNKNOWN")))</f>
        <v/>
      </c>
      <c r="F700" s="4" t="str">
        <f t="shared" si="12"/>
        <v/>
      </c>
      <c r="G700" s="363" t="str">
        <f>IF(E700="","",IFERROR(VLOOKUP(E700,Codes!$L$2:$N$409,3,FALSE),"—"))</f>
        <v/>
      </c>
      <c r="H700" s="88"/>
      <c r="I700" s="88"/>
    </row>
    <row r="701" spans="1:9" ht="13.15" x14ac:dyDescent="0.35">
      <c r="A701" s="92"/>
      <c r="B701" s="89"/>
      <c r="C701" s="88"/>
      <c r="D701" s="88"/>
      <c r="E701" s="93" t="str" cm="1">
        <f t="array" ref="E701">IF(D701&lt;&gt;"",IFERROR(VLOOKUP(D701,Codes!$K$2:$L$409,2,FALSE),"UNKNOWN - "&amp;D701),IF(C701="","",IFERROR(_xlfn.IFS(ISNUMBER(SEARCH("broken button",C701)),"Break",ISNUMBER(SEARCH("broken handle",C701)),"Break",ISNUMBER(SEARCH("shipping damage",C701)),"Break",ISNUMBER(SEARCH("broken",C701)),"Break",ISNUMBER(SEARCH("crack",C701)),"Break",ISNUMBER(SEARCH("snap",C701)),"Break",ISNUMBER(SEARCH("fracture",C701)),"Break",ISNUMBER(SEARCH("bent",C701)),"Material Twisted/Bent",ISNUMBER(SEARCH("twisted",C701)),"Material Twisted/Bent",ISNUMBER(SEARCH("component separat",C701)),"Material Separation",ISNUMBER(SEARCH("separat",C701)),"Material Separation",ISNUMBER(SEARCH("connection",C701)),"Loose or Intermittent Connection",ISNUMBER(SEARCH("loose",C701)),"Loose or Intermittent Connection",ISNUMBER(SEARCH("damaged packaging",C701)),"Packaging Problem",ISNUMBER(SEARCH("packaging",C701)),"Packaging Problem",ISNUMBER(SEARCH("discoloration",C701)),"Contamination",ISNUMBER(SEARCH("tarnish",C701)),"Contamination",ISNUMBER(SEARCH("stain",C701)),"Contamination",ISNUMBER(SEARCH("foreign material",C701)),"Contamination",ISNUMBER(SEARCH("contamina",C701)),"Contamination",ISNUMBER(SEARCH("overheat",C701)),"Overheating of Device",ISNUMBER(SEARCH("excessive heat",C701)),"Overheating of Device",ISNUMBER(SEARCH("hot",C701)),"Overheating of Device",ISNUMBER(SEARCH("noise",C701)),"Noise, Audible",ISNUMBER(SEARCH("sound",C701)),"Noise, Audible",ISNUMBER(SEARCH("loud",C701)),"Noise, Audible",ISNUMBER(SEARCH("fray",C701)),"Material Frayed",ISNUMBER(SEARCH("hole",C701)),"Material Frayed",ISNUMBER(SEARCH("tear",C701)),"Material Frayed",ISNUMBER(SEARCH("worn",C701)),"Material Frayed",ISNUMBER(SEARCH("intermittent",C701)),"Difficult or Delayed Activation",ISNUMBER(SEARCH("delay",C701)),"Difficult or Delayed Activation",ISNUMBER(SEARCH("label",C701)),"Device Markings/Labelling Problem",ISNUMBER(SEARCH("marking",C701)),"Device Markings/Labelling Problem",ISNUMBER(SEARCH("lacerat",C701)),"Defective Device",ISNUMBER(SEARCH("cut",C701)),"Defective Device",ISNUMBER(SEARCH("leak",C701)),"Fluid/Blood Leak",ISNUMBER(SEARCH("missing",C701)),"Component Missing",ISNUMBER(SEARCH("power",C701)),"Complete Loss of Power",ISNUMBER(SEARCH("will not turn on",C701)),"Complete Loss of Power",ISNUMBER(SEARCH("won't turn on",C701)),"Complete Loss of Power",ISNUMBER(SEARCH("does not turn on",C701)),"Complete Loss of Power",ISNUMBER(SEARCH("electrical",C701)),"Electrical Power Problem",ISNUMBER(SEARCH("pressure",C701)),"Detachment of Device or Device Component",ISNUMBER(SEARCH("slip",C701)),"Detachment of Device or Device Component",ISNUMBER(SEARCH("detach",C701)),"Detachment of Device or Device Component",ISNUMBER(SEARCH("stick",C701)),"Mechanical Jam",ISNUMBER(SEARCH("jam",C701)),"Mechanical Jam",ISNUMBER(SEARCH("rigid",C701)),"Mechanical Jam",ISNUMBER(SEARCH("rust",C701)),"Corroded",ISNUMBER(SEARCH("corrod",C701)),"Corroded",ISNUMBER(SEARCH("corrosion",C701)),"Corroded",ISNUMBER(SEARCH("alignment",C701)),"Defective Device",ISNUMBER(SEARCH("adjust",C701)),"Defective Device",ISNUMBER(SEARCH("perform",C701)),"Defective Device",ISNUMBER(SEARCH("malfunction",C701)),"Defective Device",ISNUMBER(SEARCH("defect",C701)),"Defective Device",ISNUMBER(SEARCH("fail",C701)),"Defective Device",ISNUMBER(SEARCH("not work",C701)),"Defective Device",ISNUMBER(SEARCH("doesn't work",C701)),"Defective Device",TRUE,"UNKNOWN"),"UNKNOWN")))</f>
        <v/>
      </c>
      <c r="F701" s="4" t="str">
        <f t="shared" si="12"/>
        <v/>
      </c>
      <c r="G701" s="363" t="str">
        <f>IF(E701="","",IFERROR(VLOOKUP(E701,Codes!$L$2:$N$409,3,FALSE),"—"))</f>
        <v/>
      </c>
      <c r="H701" s="88"/>
      <c r="I701" s="88"/>
    </row>
    <row r="702" spans="1:9" ht="13.15" x14ac:dyDescent="0.35">
      <c r="A702" s="92"/>
      <c r="B702" s="89"/>
      <c r="C702" s="88"/>
      <c r="D702" s="88"/>
      <c r="E702" s="93" t="str" cm="1">
        <f t="array" ref="E702">IF(D702&lt;&gt;"",IFERROR(VLOOKUP(D702,Codes!$K$2:$L$409,2,FALSE),"UNKNOWN - "&amp;D702),IF(C702="","",IFERROR(_xlfn.IFS(ISNUMBER(SEARCH("broken button",C702)),"Break",ISNUMBER(SEARCH("broken handle",C702)),"Break",ISNUMBER(SEARCH("shipping damage",C702)),"Break",ISNUMBER(SEARCH("broken",C702)),"Break",ISNUMBER(SEARCH("crack",C702)),"Break",ISNUMBER(SEARCH("snap",C702)),"Break",ISNUMBER(SEARCH("fracture",C702)),"Break",ISNUMBER(SEARCH("bent",C702)),"Material Twisted/Bent",ISNUMBER(SEARCH("twisted",C702)),"Material Twisted/Bent",ISNUMBER(SEARCH("component separat",C702)),"Material Separation",ISNUMBER(SEARCH("separat",C702)),"Material Separation",ISNUMBER(SEARCH("connection",C702)),"Loose or Intermittent Connection",ISNUMBER(SEARCH("loose",C702)),"Loose or Intermittent Connection",ISNUMBER(SEARCH("damaged packaging",C702)),"Packaging Problem",ISNUMBER(SEARCH("packaging",C702)),"Packaging Problem",ISNUMBER(SEARCH("discoloration",C702)),"Contamination",ISNUMBER(SEARCH("tarnish",C702)),"Contamination",ISNUMBER(SEARCH("stain",C702)),"Contamination",ISNUMBER(SEARCH("foreign material",C702)),"Contamination",ISNUMBER(SEARCH("contamina",C702)),"Contamination",ISNUMBER(SEARCH("overheat",C702)),"Overheating of Device",ISNUMBER(SEARCH("excessive heat",C702)),"Overheating of Device",ISNUMBER(SEARCH("hot",C702)),"Overheating of Device",ISNUMBER(SEARCH("noise",C702)),"Noise, Audible",ISNUMBER(SEARCH("sound",C702)),"Noise, Audible",ISNUMBER(SEARCH("loud",C702)),"Noise, Audible",ISNUMBER(SEARCH("fray",C702)),"Material Frayed",ISNUMBER(SEARCH("hole",C702)),"Material Frayed",ISNUMBER(SEARCH("tear",C702)),"Material Frayed",ISNUMBER(SEARCH("worn",C702)),"Material Frayed",ISNUMBER(SEARCH("intermittent",C702)),"Difficult or Delayed Activation",ISNUMBER(SEARCH("delay",C702)),"Difficult or Delayed Activation",ISNUMBER(SEARCH("label",C702)),"Device Markings/Labelling Problem",ISNUMBER(SEARCH("marking",C702)),"Device Markings/Labelling Problem",ISNUMBER(SEARCH("lacerat",C702)),"Defective Device",ISNUMBER(SEARCH("cut",C702)),"Defective Device",ISNUMBER(SEARCH("leak",C702)),"Fluid/Blood Leak",ISNUMBER(SEARCH("missing",C702)),"Component Missing",ISNUMBER(SEARCH("power",C702)),"Complete Loss of Power",ISNUMBER(SEARCH("will not turn on",C702)),"Complete Loss of Power",ISNUMBER(SEARCH("won't turn on",C702)),"Complete Loss of Power",ISNUMBER(SEARCH("does not turn on",C702)),"Complete Loss of Power",ISNUMBER(SEARCH("electrical",C702)),"Electrical Power Problem",ISNUMBER(SEARCH("pressure",C702)),"Detachment of Device or Device Component",ISNUMBER(SEARCH("slip",C702)),"Detachment of Device or Device Component",ISNUMBER(SEARCH("detach",C702)),"Detachment of Device or Device Component",ISNUMBER(SEARCH("stick",C702)),"Mechanical Jam",ISNUMBER(SEARCH("jam",C702)),"Mechanical Jam",ISNUMBER(SEARCH("rigid",C702)),"Mechanical Jam",ISNUMBER(SEARCH("rust",C702)),"Corroded",ISNUMBER(SEARCH("corrod",C702)),"Corroded",ISNUMBER(SEARCH("corrosion",C702)),"Corroded",ISNUMBER(SEARCH("alignment",C702)),"Defective Device",ISNUMBER(SEARCH("adjust",C702)),"Defective Device",ISNUMBER(SEARCH("perform",C702)),"Defective Device",ISNUMBER(SEARCH("malfunction",C702)),"Defective Device",ISNUMBER(SEARCH("defect",C702)),"Defective Device",ISNUMBER(SEARCH("fail",C702)),"Defective Device",ISNUMBER(SEARCH("not work",C702)),"Defective Device",ISNUMBER(SEARCH("doesn't work",C702)),"Defective Device",TRUE,"UNKNOWN"),"UNKNOWN")))</f>
        <v/>
      </c>
      <c r="F702" s="4" t="str">
        <f t="shared" si="12"/>
        <v/>
      </c>
      <c r="G702" s="363" t="str">
        <f>IF(E702="","",IFERROR(VLOOKUP(E702,Codes!$L$2:$N$409,3,FALSE),"—"))</f>
        <v/>
      </c>
      <c r="H702" s="88"/>
      <c r="I702" s="88"/>
    </row>
    <row r="703" spans="1:9" ht="13.15" x14ac:dyDescent="0.35">
      <c r="A703" s="92"/>
      <c r="B703" s="89"/>
      <c r="C703" s="88"/>
      <c r="D703" s="88"/>
      <c r="E703" s="93" t="str" cm="1">
        <f t="array" ref="E703">IF(D703&lt;&gt;"",IFERROR(VLOOKUP(D703,Codes!$K$2:$L$409,2,FALSE),"UNKNOWN - "&amp;D703),IF(C703="","",IFERROR(_xlfn.IFS(ISNUMBER(SEARCH("broken button",C703)),"Break",ISNUMBER(SEARCH("broken handle",C703)),"Break",ISNUMBER(SEARCH("shipping damage",C703)),"Break",ISNUMBER(SEARCH("broken",C703)),"Break",ISNUMBER(SEARCH("crack",C703)),"Break",ISNUMBER(SEARCH("snap",C703)),"Break",ISNUMBER(SEARCH("fracture",C703)),"Break",ISNUMBER(SEARCH("bent",C703)),"Material Twisted/Bent",ISNUMBER(SEARCH("twisted",C703)),"Material Twisted/Bent",ISNUMBER(SEARCH("component separat",C703)),"Material Separation",ISNUMBER(SEARCH("separat",C703)),"Material Separation",ISNUMBER(SEARCH("connection",C703)),"Loose or Intermittent Connection",ISNUMBER(SEARCH("loose",C703)),"Loose or Intermittent Connection",ISNUMBER(SEARCH("damaged packaging",C703)),"Packaging Problem",ISNUMBER(SEARCH("packaging",C703)),"Packaging Problem",ISNUMBER(SEARCH("discoloration",C703)),"Contamination",ISNUMBER(SEARCH("tarnish",C703)),"Contamination",ISNUMBER(SEARCH("stain",C703)),"Contamination",ISNUMBER(SEARCH("foreign material",C703)),"Contamination",ISNUMBER(SEARCH("contamina",C703)),"Contamination",ISNUMBER(SEARCH("overheat",C703)),"Overheating of Device",ISNUMBER(SEARCH("excessive heat",C703)),"Overheating of Device",ISNUMBER(SEARCH("hot",C703)),"Overheating of Device",ISNUMBER(SEARCH("noise",C703)),"Noise, Audible",ISNUMBER(SEARCH("sound",C703)),"Noise, Audible",ISNUMBER(SEARCH("loud",C703)),"Noise, Audible",ISNUMBER(SEARCH("fray",C703)),"Material Frayed",ISNUMBER(SEARCH("hole",C703)),"Material Frayed",ISNUMBER(SEARCH("tear",C703)),"Material Frayed",ISNUMBER(SEARCH("worn",C703)),"Material Frayed",ISNUMBER(SEARCH("intermittent",C703)),"Difficult or Delayed Activation",ISNUMBER(SEARCH("delay",C703)),"Difficult or Delayed Activation",ISNUMBER(SEARCH("label",C703)),"Device Markings/Labelling Problem",ISNUMBER(SEARCH("marking",C703)),"Device Markings/Labelling Problem",ISNUMBER(SEARCH("lacerat",C703)),"Defective Device",ISNUMBER(SEARCH("cut",C703)),"Defective Device",ISNUMBER(SEARCH("leak",C703)),"Fluid/Blood Leak",ISNUMBER(SEARCH("missing",C703)),"Component Missing",ISNUMBER(SEARCH("power",C703)),"Complete Loss of Power",ISNUMBER(SEARCH("will not turn on",C703)),"Complete Loss of Power",ISNUMBER(SEARCH("won't turn on",C703)),"Complete Loss of Power",ISNUMBER(SEARCH("does not turn on",C703)),"Complete Loss of Power",ISNUMBER(SEARCH("electrical",C703)),"Electrical Power Problem",ISNUMBER(SEARCH("pressure",C703)),"Detachment of Device or Device Component",ISNUMBER(SEARCH("slip",C703)),"Detachment of Device or Device Component",ISNUMBER(SEARCH("detach",C703)),"Detachment of Device or Device Component",ISNUMBER(SEARCH("stick",C703)),"Mechanical Jam",ISNUMBER(SEARCH("jam",C703)),"Mechanical Jam",ISNUMBER(SEARCH("rigid",C703)),"Mechanical Jam",ISNUMBER(SEARCH("rust",C703)),"Corroded",ISNUMBER(SEARCH("corrod",C703)),"Corroded",ISNUMBER(SEARCH("corrosion",C703)),"Corroded",ISNUMBER(SEARCH("alignment",C703)),"Defective Device",ISNUMBER(SEARCH("adjust",C703)),"Defective Device",ISNUMBER(SEARCH("perform",C703)),"Defective Device",ISNUMBER(SEARCH("malfunction",C703)),"Defective Device",ISNUMBER(SEARCH("defect",C703)),"Defective Device",ISNUMBER(SEARCH("fail",C703)),"Defective Device",ISNUMBER(SEARCH("not work",C703)),"Defective Device",ISNUMBER(SEARCH("doesn't work",C703)),"Defective Device",TRUE,"UNKNOWN"),"UNKNOWN")))</f>
        <v/>
      </c>
      <c r="F703" s="4" t="str">
        <f t="shared" si="12"/>
        <v/>
      </c>
      <c r="G703" s="363" t="str">
        <f>IF(E703="","",IFERROR(VLOOKUP(E703,Codes!$L$2:$N$409,3,FALSE),"—"))</f>
        <v/>
      </c>
      <c r="H703" s="88"/>
      <c r="I703" s="88"/>
    </row>
    <row r="704" spans="1:9" ht="13.15" x14ac:dyDescent="0.35">
      <c r="A704" s="92"/>
      <c r="B704" s="89"/>
      <c r="C704" s="88"/>
      <c r="D704" s="88"/>
      <c r="E704" s="93" t="str" cm="1">
        <f t="array" ref="E704">IF(D704&lt;&gt;"",IFERROR(VLOOKUP(D704,Codes!$K$2:$L$409,2,FALSE),"UNKNOWN - "&amp;D704),IF(C704="","",IFERROR(_xlfn.IFS(ISNUMBER(SEARCH("broken button",C704)),"Break",ISNUMBER(SEARCH("broken handle",C704)),"Break",ISNUMBER(SEARCH("shipping damage",C704)),"Break",ISNUMBER(SEARCH("broken",C704)),"Break",ISNUMBER(SEARCH("crack",C704)),"Break",ISNUMBER(SEARCH("snap",C704)),"Break",ISNUMBER(SEARCH("fracture",C704)),"Break",ISNUMBER(SEARCH("bent",C704)),"Material Twisted/Bent",ISNUMBER(SEARCH("twisted",C704)),"Material Twisted/Bent",ISNUMBER(SEARCH("component separat",C704)),"Material Separation",ISNUMBER(SEARCH("separat",C704)),"Material Separation",ISNUMBER(SEARCH("connection",C704)),"Loose or Intermittent Connection",ISNUMBER(SEARCH("loose",C704)),"Loose or Intermittent Connection",ISNUMBER(SEARCH("damaged packaging",C704)),"Packaging Problem",ISNUMBER(SEARCH("packaging",C704)),"Packaging Problem",ISNUMBER(SEARCH("discoloration",C704)),"Contamination",ISNUMBER(SEARCH("tarnish",C704)),"Contamination",ISNUMBER(SEARCH("stain",C704)),"Contamination",ISNUMBER(SEARCH("foreign material",C704)),"Contamination",ISNUMBER(SEARCH("contamina",C704)),"Contamination",ISNUMBER(SEARCH("overheat",C704)),"Overheating of Device",ISNUMBER(SEARCH("excessive heat",C704)),"Overheating of Device",ISNUMBER(SEARCH("hot",C704)),"Overheating of Device",ISNUMBER(SEARCH("noise",C704)),"Noise, Audible",ISNUMBER(SEARCH("sound",C704)),"Noise, Audible",ISNUMBER(SEARCH("loud",C704)),"Noise, Audible",ISNUMBER(SEARCH("fray",C704)),"Material Frayed",ISNUMBER(SEARCH("hole",C704)),"Material Frayed",ISNUMBER(SEARCH("tear",C704)),"Material Frayed",ISNUMBER(SEARCH("worn",C704)),"Material Frayed",ISNUMBER(SEARCH("intermittent",C704)),"Difficult or Delayed Activation",ISNUMBER(SEARCH("delay",C704)),"Difficult or Delayed Activation",ISNUMBER(SEARCH("label",C704)),"Device Markings/Labelling Problem",ISNUMBER(SEARCH("marking",C704)),"Device Markings/Labelling Problem",ISNUMBER(SEARCH("lacerat",C704)),"Defective Device",ISNUMBER(SEARCH("cut",C704)),"Defective Device",ISNUMBER(SEARCH("leak",C704)),"Fluid/Blood Leak",ISNUMBER(SEARCH("missing",C704)),"Component Missing",ISNUMBER(SEARCH("power",C704)),"Complete Loss of Power",ISNUMBER(SEARCH("will not turn on",C704)),"Complete Loss of Power",ISNUMBER(SEARCH("won't turn on",C704)),"Complete Loss of Power",ISNUMBER(SEARCH("does not turn on",C704)),"Complete Loss of Power",ISNUMBER(SEARCH("electrical",C704)),"Electrical Power Problem",ISNUMBER(SEARCH("pressure",C704)),"Detachment of Device or Device Component",ISNUMBER(SEARCH("slip",C704)),"Detachment of Device or Device Component",ISNUMBER(SEARCH("detach",C704)),"Detachment of Device or Device Component",ISNUMBER(SEARCH("stick",C704)),"Mechanical Jam",ISNUMBER(SEARCH("jam",C704)),"Mechanical Jam",ISNUMBER(SEARCH("rigid",C704)),"Mechanical Jam",ISNUMBER(SEARCH("rust",C704)),"Corroded",ISNUMBER(SEARCH("corrod",C704)),"Corroded",ISNUMBER(SEARCH("corrosion",C704)),"Corroded",ISNUMBER(SEARCH("alignment",C704)),"Defective Device",ISNUMBER(SEARCH("adjust",C704)),"Defective Device",ISNUMBER(SEARCH("perform",C704)),"Defective Device",ISNUMBER(SEARCH("malfunction",C704)),"Defective Device",ISNUMBER(SEARCH("defect",C704)),"Defective Device",ISNUMBER(SEARCH("fail",C704)),"Defective Device",ISNUMBER(SEARCH("not work",C704)),"Defective Device",ISNUMBER(SEARCH("doesn't work",C704)),"Defective Device",TRUE,"UNKNOWN"),"UNKNOWN")))</f>
        <v/>
      </c>
      <c r="F704" s="4" t="str">
        <f t="shared" si="12"/>
        <v/>
      </c>
      <c r="G704" s="363" t="str">
        <f>IF(E704="","",IFERROR(VLOOKUP(E704,Codes!$L$2:$N$409,3,FALSE),"—"))</f>
        <v/>
      </c>
      <c r="H704" s="88"/>
      <c r="I704" s="88"/>
    </row>
    <row r="705" spans="1:9" ht="13.15" x14ac:dyDescent="0.35">
      <c r="A705" s="92"/>
      <c r="B705" s="89"/>
      <c r="C705" s="88"/>
      <c r="D705" s="88"/>
      <c r="E705" s="93" t="str" cm="1">
        <f t="array" ref="E705">IF(D705&lt;&gt;"",IFERROR(VLOOKUP(D705,Codes!$K$2:$L$409,2,FALSE),"UNKNOWN - "&amp;D705),IF(C705="","",IFERROR(_xlfn.IFS(ISNUMBER(SEARCH("broken button",C705)),"Break",ISNUMBER(SEARCH("broken handle",C705)),"Break",ISNUMBER(SEARCH("shipping damage",C705)),"Break",ISNUMBER(SEARCH("broken",C705)),"Break",ISNUMBER(SEARCH("crack",C705)),"Break",ISNUMBER(SEARCH("snap",C705)),"Break",ISNUMBER(SEARCH("fracture",C705)),"Break",ISNUMBER(SEARCH("bent",C705)),"Material Twisted/Bent",ISNUMBER(SEARCH("twisted",C705)),"Material Twisted/Bent",ISNUMBER(SEARCH("component separat",C705)),"Material Separation",ISNUMBER(SEARCH("separat",C705)),"Material Separation",ISNUMBER(SEARCH("connection",C705)),"Loose or Intermittent Connection",ISNUMBER(SEARCH("loose",C705)),"Loose or Intermittent Connection",ISNUMBER(SEARCH("damaged packaging",C705)),"Packaging Problem",ISNUMBER(SEARCH("packaging",C705)),"Packaging Problem",ISNUMBER(SEARCH("discoloration",C705)),"Contamination",ISNUMBER(SEARCH("tarnish",C705)),"Contamination",ISNUMBER(SEARCH("stain",C705)),"Contamination",ISNUMBER(SEARCH("foreign material",C705)),"Contamination",ISNUMBER(SEARCH("contamina",C705)),"Contamination",ISNUMBER(SEARCH("overheat",C705)),"Overheating of Device",ISNUMBER(SEARCH("excessive heat",C705)),"Overheating of Device",ISNUMBER(SEARCH("hot",C705)),"Overheating of Device",ISNUMBER(SEARCH("noise",C705)),"Noise, Audible",ISNUMBER(SEARCH("sound",C705)),"Noise, Audible",ISNUMBER(SEARCH("loud",C705)),"Noise, Audible",ISNUMBER(SEARCH("fray",C705)),"Material Frayed",ISNUMBER(SEARCH("hole",C705)),"Material Frayed",ISNUMBER(SEARCH("tear",C705)),"Material Frayed",ISNUMBER(SEARCH("worn",C705)),"Material Frayed",ISNUMBER(SEARCH("intermittent",C705)),"Difficult or Delayed Activation",ISNUMBER(SEARCH("delay",C705)),"Difficult or Delayed Activation",ISNUMBER(SEARCH("label",C705)),"Device Markings/Labelling Problem",ISNUMBER(SEARCH("marking",C705)),"Device Markings/Labelling Problem",ISNUMBER(SEARCH("lacerat",C705)),"Defective Device",ISNUMBER(SEARCH("cut",C705)),"Defective Device",ISNUMBER(SEARCH("leak",C705)),"Fluid/Blood Leak",ISNUMBER(SEARCH("missing",C705)),"Component Missing",ISNUMBER(SEARCH("power",C705)),"Complete Loss of Power",ISNUMBER(SEARCH("will not turn on",C705)),"Complete Loss of Power",ISNUMBER(SEARCH("won't turn on",C705)),"Complete Loss of Power",ISNUMBER(SEARCH("does not turn on",C705)),"Complete Loss of Power",ISNUMBER(SEARCH("electrical",C705)),"Electrical Power Problem",ISNUMBER(SEARCH("pressure",C705)),"Detachment of Device or Device Component",ISNUMBER(SEARCH("slip",C705)),"Detachment of Device or Device Component",ISNUMBER(SEARCH("detach",C705)),"Detachment of Device or Device Component",ISNUMBER(SEARCH("stick",C705)),"Mechanical Jam",ISNUMBER(SEARCH("jam",C705)),"Mechanical Jam",ISNUMBER(SEARCH("rigid",C705)),"Mechanical Jam",ISNUMBER(SEARCH("rust",C705)),"Corroded",ISNUMBER(SEARCH("corrod",C705)),"Corroded",ISNUMBER(SEARCH("corrosion",C705)),"Corroded",ISNUMBER(SEARCH("alignment",C705)),"Defective Device",ISNUMBER(SEARCH("adjust",C705)),"Defective Device",ISNUMBER(SEARCH("perform",C705)),"Defective Device",ISNUMBER(SEARCH("malfunction",C705)),"Defective Device",ISNUMBER(SEARCH("defect",C705)),"Defective Device",ISNUMBER(SEARCH("fail",C705)),"Defective Device",ISNUMBER(SEARCH("not work",C705)),"Defective Device",ISNUMBER(SEARCH("doesn't work",C705)),"Defective Device",TRUE,"UNKNOWN"),"UNKNOWN")))</f>
        <v/>
      </c>
      <c r="F705" s="4" t="str">
        <f t="shared" si="12"/>
        <v/>
      </c>
      <c r="G705" s="363" t="str">
        <f>IF(E705="","",IFERROR(VLOOKUP(E705,Codes!$L$2:$N$409,3,FALSE),"—"))</f>
        <v/>
      </c>
      <c r="H705" s="88"/>
      <c r="I705" s="88"/>
    </row>
    <row r="706" spans="1:9" ht="13.15" x14ac:dyDescent="0.35">
      <c r="A706" s="92"/>
      <c r="B706" s="89"/>
      <c r="C706" s="88"/>
      <c r="D706" s="88"/>
      <c r="E706" s="93" t="str" cm="1">
        <f t="array" ref="E706">IF(D706&lt;&gt;"",IFERROR(VLOOKUP(D706,Codes!$K$2:$L$409,2,FALSE),"UNKNOWN - "&amp;D706),IF(C706="","",IFERROR(_xlfn.IFS(ISNUMBER(SEARCH("broken button",C706)),"Break",ISNUMBER(SEARCH("broken handle",C706)),"Break",ISNUMBER(SEARCH("shipping damage",C706)),"Break",ISNUMBER(SEARCH("broken",C706)),"Break",ISNUMBER(SEARCH("crack",C706)),"Break",ISNUMBER(SEARCH("snap",C706)),"Break",ISNUMBER(SEARCH("fracture",C706)),"Break",ISNUMBER(SEARCH("bent",C706)),"Material Twisted/Bent",ISNUMBER(SEARCH("twisted",C706)),"Material Twisted/Bent",ISNUMBER(SEARCH("component separat",C706)),"Material Separation",ISNUMBER(SEARCH("separat",C706)),"Material Separation",ISNUMBER(SEARCH("connection",C706)),"Loose or Intermittent Connection",ISNUMBER(SEARCH("loose",C706)),"Loose or Intermittent Connection",ISNUMBER(SEARCH("damaged packaging",C706)),"Packaging Problem",ISNUMBER(SEARCH("packaging",C706)),"Packaging Problem",ISNUMBER(SEARCH("discoloration",C706)),"Contamination",ISNUMBER(SEARCH("tarnish",C706)),"Contamination",ISNUMBER(SEARCH("stain",C706)),"Contamination",ISNUMBER(SEARCH("foreign material",C706)),"Contamination",ISNUMBER(SEARCH("contamina",C706)),"Contamination",ISNUMBER(SEARCH("overheat",C706)),"Overheating of Device",ISNUMBER(SEARCH("excessive heat",C706)),"Overheating of Device",ISNUMBER(SEARCH("hot",C706)),"Overheating of Device",ISNUMBER(SEARCH("noise",C706)),"Noise, Audible",ISNUMBER(SEARCH("sound",C706)),"Noise, Audible",ISNUMBER(SEARCH("loud",C706)),"Noise, Audible",ISNUMBER(SEARCH("fray",C706)),"Material Frayed",ISNUMBER(SEARCH("hole",C706)),"Material Frayed",ISNUMBER(SEARCH("tear",C706)),"Material Frayed",ISNUMBER(SEARCH("worn",C706)),"Material Frayed",ISNUMBER(SEARCH("intermittent",C706)),"Difficult or Delayed Activation",ISNUMBER(SEARCH("delay",C706)),"Difficult or Delayed Activation",ISNUMBER(SEARCH("label",C706)),"Device Markings/Labelling Problem",ISNUMBER(SEARCH("marking",C706)),"Device Markings/Labelling Problem",ISNUMBER(SEARCH("lacerat",C706)),"Defective Device",ISNUMBER(SEARCH("cut",C706)),"Defective Device",ISNUMBER(SEARCH("leak",C706)),"Fluid/Blood Leak",ISNUMBER(SEARCH("missing",C706)),"Component Missing",ISNUMBER(SEARCH("power",C706)),"Complete Loss of Power",ISNUMBER(SEARCH("will not turn on",C706)),"Complete Loss of Power",ISNUMBER(SEARCH("won't turn on",C706)),"Complete Loss of Power",ISNUMBER(SEARCH("does not turn on",C706)),"Complete Loss of Power",ISNUMBER(SEARCH("electrical",C706)),"Electrical Power Problem",ISNUMBER(SEARCH("pressure",C706)),"Detachment of Device or Device Component",ISNUMBER(SEARCH("slip",C706)),"Detachment of Device or Device Component",ISNUMBER(SEARCH("detach",C706)),"Detachment of Device or Device Component",ISNUMBER(SEARCH("stick",C706)),"Mechanical Jam",ISNUMBER(SEARCH("jam",C706)),"Mechanical Jam",ISNUMBER(SEARCH("rigid",C706)),"Mechanical Jam",ISNUMBER(SEARCH("rust",C706)),"Corroded",ISNUMBER(SEARCH("corrod",C706)),"Corroded",ISNUMBER(SEARCH("corrosion",C706)),"Corroded",ISNUMBER(SEARCH("alignment",C706)),"Defective Device",ISNUMBER(SEARCH("adjust",C706)),"Defective Device",ISNUMBER(SEARCH("perform",C706)),"Defective Device",ISNUMBER(SEARCH("malfunction",C706)),"Defective Device",ISNUMBER(SEARCH("defect",C706)),"Defective Device",ISNUMBER(SEARCH("fail",C706)),"Defective Device",ISNUMBER(SEARCH("not work",C706)),"Defective Device",ISNUMBER(SEARCH("doesn't work",C706)),"Defective Device",TRUE,"UNKNOWN"),"UNKNOWN")))</f>
        <v/>
      </c>
      <c r="F706" s="4" t="str">
        <f t="shared" si="12"/>
        <v/>
      </c>
      <c r="G706" s="363" t="str">
        <f>IF(E706="","",IFERROR(VLOOKUP(E706,Codes!$L$2:$N$409,3,FALSE),"—"))</f>
        <v/>
      </c>
      <c r="H706" s="88"/>
      <c r="I706" s="88"/>
    </row>
    <row r="707" spans="1:9" ht="13.15" x14ac:dyDescent="0.35">
      <c r="A707" s="92"/>
      <c r="B707" s="89"/>
      <c r="C707" s="88"/>
      <c r="D707" s="88"/>
      <c r="E707" s="93" t="str" cm="1">
        <f t="array" ref="E707">IF(D707&lt;&gt;"",IFERROR(VLOOKUP(D707,Codes!$K$2:$L$409,2,FALSE),"UNKNOWN - "&amp;D707),IF(C707="","",IFERROR(_xlfn.IFS(ISNUMBER(SEARCH("broken button",C707)),"Break",ISNUMBER(SEARCH("broken handle",C707)),"Break",ISNUMBER(SEARCH("shipping damage",C707)),"Break",ISNUMBER(SEARCH("broken",C707)),"Break",ISNUMBER(SEARCH("crack",C707)),"Break",ISNUMBER(SEARCH("snap",C707)),"Break",ISNUMBER(SEARCH("fracture",C707)),"Break",ISNUMBER(SEARCH("bent",C707)),"Material Twisted/Bent",ISNUMBER(SEARCH("twisted",C707)),"Material Twisted/Bent",ISNUMBER(SEARCH("component separat",C707)),"Material Separation",ISNUMBER(SEARCH("separat",C707)),"Material Separation",ISNUMBER(SEARCH("connection",C707)),"Loose or Intermittent Connection",ISNUMBER(SEARCH("loose",C707)),"Loose or Intermittent Connection",ISNUMBER(SEARCH("damaged packaging",C707)),"Packaging Problem",ISNUMBER(SEARCH("packaging",C707)),"Packaging Problem",ISNUMBER(SEARCH("discoloration",C707)),"Contamination",ISNUMBER(SEARCH("tarnish",C707)),"Contamination",ISNUMBER(SEARCH("stain",C707)),"Contamination",ISNUMBER(SEARCH("foreign material",C707)),"Contamination",ISNUMBER(SEARCH("contamina",C707)),"Contamination",ISNUMBER(SEARCH("overheat",C707)),"Overheating of Device",ISNUMBER(SEARCH("excessive heat",C707)),"Overheating of Device",ISNUMBER(SEARCH("hot",C707)),"Overheating of Device",ISNUMBER(SEARCH("noise",C707)),"Noise, Audible",ISNUMBER(SEARCH("sound",C707)),"Noise, Audible",ISNUMBER(SEARCH("loud",C707)),"Noise, Audible",ISNUMBER(SEARCH("fray",C707)),"Material Frayed",ISNUMBER(SEARCH("hole",C707)),"Material Frayed",ISNUMBER(SEARCH("tear",C707)),"Material Frayed",ISNUMBER(SEARCH("worn",C707)),"Material Frayed",ISNUMBER(SEARCH("intermittent",C707)),"Difficult or Delayed Activation",ISNUMBER(SEARCH("delay",C707)),"Difficult or Delayed Activation",ISNUMBER(SEARCH("label",C707)),"Device Markings/Labelling Problem",ISNUMBER(SEARCH("marking",C707)),"Device Markings/Labelling Problem",ISNUMBER(SEARCH("lacerat",C707)),"Defective Device",ISNUMBER(SEARCH("cut",C707)),"Defective Device",ISNUMBER(SEARCH("leak",C707)),"Fluid/Blood Leak",ISNUMBER(SEARCH("missing",C707)),"Component Missing",ISNUMBER(SEARCH("power",C707)),"Complete Loss of Power",ISNUMBER(SEARCH("will not turn on",C707)),"Complete Loss of Power",ISNUMBER(SEARCH("won't turn on",C707)),"Complete Loss of Power",ISNUMBER(SEARCH("does not turn on",C707)),"Complete Loss of Power",ISNUMBER(SEARCH("electrical",C707)),"Electrical Power Problem",ISNUMBER(SEARCH("pressure",C707)),"Detachment of Device or Device Component",ISNUMBER(SEARCH("slip",C707)),"Detachment of Device or Device Component",ISNUMBER(SEARCH("detach",C707)),"Detachment of Device or Device Component",ISNUMBER(SEARCH("stick",C707)),"Mechanical Jam",ISNUMBER(SEARCH("jam",C707)),"Mechanical Jam",ISNUMBER(SEARCH("rigid",C707)),"Mechanical Jam",ISNUMBER(SEARCH("rust",C707)),"Corroded",ISNUMBER(SEARCH("corrod",C707)),"Corroded",ISNUMBER(SEARCH("corrosion",C707)),"Corroded",ISNUMBER(SEARCH("alignment",C707)),"Defective Device",ISNUMBER(SEARCH("adjust",C707)),"Defective Device",ISNUMBER(SEARCH("perform",C707)),"Defective Device",ISNUMBER(SEARCH("malfunction",C707)),"Defective Device",ISNUMBER(SEARCH("defect",C707)),"Defective Device",ISNUMBER(SEARCH("fail",C707)),"Defective Device",ISNUMBER(SEARCH("not work",C707)),"Defective Device",ISNUMBER(SEARCH("doesn't work",C707)),"Defective Device",TRUE,"UNKNOWN"),"UNKNOWN")))</f>
        <v/>
      </c>
      <c r="F707" s="4" t="str">
        <f t="shared" si="12"/>
        <v/>
      </c>
      <c r="G707" s="363" t="str">
        <f>IF(E707="","",IFERROR(VLOOKUP(E707,Codes!$L$2:$N$409,3,FALSE),"—"))</f>
        <v/>
      </c>
      <c r="H707" s="88"/>
      <c r="I707" s="88"/>
    </row>
    <row r="708" spans="1:9" ht="13.15" x14ac:dyDescent="0.35">
      <c r="A708" s="92"/>
      <c r="B708" s="89"/>
      <c r="C708" s="88"/>
      <c r="D708" s="88"/>
      <c r="E708" s="93" t="str" cm="1">
        <f t="array" ref="E708">IF(D708&lt;&gt;"",IFERROR(VLOOKUP(D708,Codes!$K$2:$L$409,2,FALSE),"UNKNOWN - "&amp;D708),IF(C708="","",IFERROR(_xlfn.IFS(ISNUMBER(SEARCH("broken button",C708)),"Break",ISNUMBER(SEARCH("broken handle",C708)),"Break",ISNUMBER(SEARCH("shipping damage",C708)),"Break",ISNUMBER(SEARCH("broken",C708)),"Break",ISNUMBER(SEARCH("crack",C708)),"Break",ISNUMBER(SEARCH("snap",C708)),"Break",ISNUMBER(SEARCH("fracture",C708)),"Break",ISNUMBER(SEARCH("bent",C708)),"Material Twisted/Bent",ISNUMBER(SEARCH("twisted",C708)),"Material Twisted/Bent",ISNUMBER(SEARCH("component separat",C708)),"Material Separation",ISNUMBER(SEARCH("separat",C708)),"Material Separation",ISNUMBER(SEARCH("connection",C708)),"Loose or Intermittent Connection",ISNUMBER(SEARCH("loose",C708)),"Loose or Intermittent Connection",ISNUMBER(SEARCH("damaged packaging",C708)),"Packaging Problem",ISNUMBER(SEARCH("packaging",C708)),"Packaging Problem",ISNUMBER(SEARCH("discoloration",C708)),"Contamination",ISNUMBER(SEARCH("tarnish",C708)),"Contamination",ISNUMBER(SEARCH("stain",C708)),"Contamination",ISNUMBER(SEARCH("foreign material",C708)),"Contamination",ISNUMBER(SEARCH("contamina",C708)),"Contamination",ISNUMBER(SEARCH("overheat",C708)),"Overheating of Device",ISNUMBER(SEARCH("excessive heat",C708)),"Overheating of Device",ISNUMBER(SEARCH("hot",C708)),"Overheating of Device",ISNUMBER(SEARCH("noise",C708)),"Noise, Audible",ISNUMBER(SEARCH("sound",C708)),"Noise, Audible",ISNUMBER(SEARCH("loud",C708)),"Noise, Audible",ISNUMBER(SEARCH("fray",C708)),"Material Frayed",ISNUMBER(SEARCH("hole",C708)),"Material Frayed",ISNUMBER(SEARCH("tear",C708)),"Material Frayed",ISNUMBER(SEARCH("worn",C708)),"Material Frayed",ISNUMBER(SEARCH("intermittent",C708)),"Difficult or Delayed Activation",ISNUMBER(SEARCH("delay",C708)),"Difficult or Delayed Activation",ISNUMBER(SEARCH("label",C708)),"Device Markings/Labelling Problem",ISNUMBER(SEARCH("marking",C708)),"Device Markings/Labelling Problem",ISNUMBER(SEARCH("lacerat",C708)),"Defective Device",ISNUMBER(SEARCH("cut",C708)),"Defective Device",ISNUMBER(SEARCH("leak",C708)),"Fluid/Blood Leak",ISNUMBER(SEARCH("missing",C708)),"Component Missing",ISNUMBER(SEARCH("power",C708)),"Complete Loss of Power",ISNUMBER(SEARCH("will not turn on",C708)),"Complete Loss of Power",ISNUMBER(SEARCH("won't turn on",C708)),"Complete Loss of Power",ISNUMBER(SEARCH("does not turn on",C708)),"Complete Loss of Power",ISNUMBER(SEARCH("electrical",C708)),"Electrical Power Problem",ISNUMBER(SEARCH("pressure",C708)),"Detachment of Device or Device Component",ISNUMBER(SEARCH("slip",C708)),"Detachment of Device or Device Component",ISNUMBER(SEARCH("detach",C708)),"Detachment of Device or Device Component",ISNUMBER(SEARCH("stick",C708)),"Mechanical Jam",ISNUMBER(SEARCH("jam",C708)),"Mechanical Jam",ISNUMBER(SEARCH("rigid",C708)),"Mechanical Jam",ISNUMBER(SEARCH("rust",C708)),"Corroded",ISNUMBER(SEARCH("corrod",C708)),"Corroded",ISNUMBER(SEARCH("corrosion",C708)),"Corroded",ISNUMBER(SEARCH("alignment",C708)),"Defective Device",ISNUMBER(SEARCH("adjust",C708)),"Defective Device",ISNUMBER(SEARCH("perform",C708)),"Defective Device",ISNUMBER(SEARCH("malfunction",C708)),"Defective Device",ISNUMBER(SEARCH("defect",C708)),"Defective Device",ISNUMBER(SEARCH("fail",C708)),"Defective Device",ISNUMBER(SEARCH("not work",C708)),"Defective Device",ISNUMBER(SEARCH("doesn't work",C708)),"Defective Device",TRUE,"UNKNOWN"),"UNKNOWN")))</f>
        <v/>
      </c>
      <c r="F708" s="4" t="str">
        <f t="shared" si="12"/>
        <v/>
      </c>
      <c r="G708" s="363" t="str">
        <f>IF(E708="","",IFERROR(VLOOKUP(E708,Codes!$L$2:$N$409,3,FALSE),"—"))</f>
        <v/>
      </c>
      <c r="H708" s="88"/>
      <c r="I708" s="88"/>
    </row>
    <row r="709" spans="1:9" ht="13.15" x14ac:dyDescent="0.35">
      <c r="A709" s="92"/>
      <c r="B709" s="89"/>
      <c r="C709" s="88"/>
      <c r="D709" s="88"/>
      <c r="E709" s="93" t="str" cm="1">
        <f t="array" ref="E709">IF(D709&lt;&gt;"",IFERROR(VLOOKUP(D709,Codes!$K$2:$L$409,2,FALSE),"UNKNOWN - "&amp;D709),IF(C709="","",IFERROR(_xlfn.IFS(ISNUMBER(SEARCH("broken button",C709)),"Break",ISNUMBER(SEARCH("broken handle",C709)),"Break",ISNUMBER(SEARCH("shipping damage",C709)),"Break",ISNUMBER(SEARCH("broken",C709)),"Break",ISNUMBER(SEARCH("crack",C709)),"Break",ISNUMBER(SEARCH("snap",C709)),"Break",ISNUMBER(SEARCH("fracture",C709)),"Break",ISNUMBER(SEARCH("bent",C709)),"Material Twisted/Bent",ISNUMBER(SEARCH("twisted",C709)),"Material Twisted/Bent",ISNUMBER(SEARCH("component separat",C709)),"Material Separation",ISNUMBER(SEARCH("separat",C709)),"Material Separation",ISNUMBER(SEARCH("connection",C709)),"Loose or Intermittent Connection",ISNUMBER(SEARCH("loose",C709)),"Loose or Intermittent Connection",ISNUMBER(SEARCH("damaged packaging",C709)),"Packaging Problem",ISNUMBER(SEARCH("packaging",C709)),"Packaging Problem",ISNUMBER(SEARCH("discoloration",C709)),"Contamination",ISNUMBER(SEARCH("tarnish",C709)),"Contamination",ISNUMBER(SEARCH("stain",C709)),"Contamination",ISNUMBER(SEARCH("foreign material",C709)),"Contamination",ISNUMBER(SEARCH("contamina",C709)),"Contamination",ISNUMBER(SEARCH("overheat",C709)),"Overheating of Device",ISNUMBER(SEARCH("excessive heat",C709)),"Overheating of Device",ISNUMBER(SEARCH("hot",C709)),"Overheating of Device",ISNUMBER(SEARCH("noise",C709)),"Noise, Audible",ISNUMBER(SEARCH("sound",C709)),"Noise, Audible",ISNUMBER(SEARCH("loud",C709)),"Noise, Audible",ISNUMBER(SEARCH("fray",C709)),"Material Frayed",ISNUMBER(SEARCH("hole",C709)),"Material Frayed",ISNUMBER(SEARCH("tear",C709)),"Material Frayed",ISNUMBER(SEARCH("worn",C709)),"Material Frayed",ISNUMBER(SEARCH("intermittent",C709)),"Difficult or Delayed Activation",ISNUMBER(SEARCH("delay",C709)),"Difficult or Delayed Activation",ISNUMBER(SEARCH("label",C709)),"Device Markings/Labelling Problem",ISNUMBER(SEARCH("marking",C709)),"Device Markings/Labelling Problem",ISNUMBER(SEARCH("lacerat",C709)),"Defective Device",ISNUMBER(SEARCH("cut",C709)),"Defective Device",ISNUMBER(SEARCH("leak",C709)),"Fluid/Blood Leak",ISNUMBER(SEARCH("missing",C709)),"Component Missing",ISNUMBER(SEARCH("power",C709)),"Complete Loss of Power",ISNUMBER(SEARCH("will not turn on",C709)),"Complete Loss of Power",ISNUMBER(SEARCH("won't turn on",C709)),"Complete Loss of Power",ISNUMBER(SEARCH("does not turn on",C709)),"Complete Loss of Power",ISNUMBER(SEARCH("electrical",C709)),"Electrical Power Problem",ISNUMBER(SEARCH("pressure",C709)),"Detachment of Device or Device Component",ISNUMBER(SEARCH("slip",C709)),"Detachment of Device or Device Component",ISNUMBER(SEARCH("detach",C709)),"Detachment of Device or Device Component",ISNUMBER(SEARCH("stick",C709)),"Mechanical Jam",ISNUMBER(SEARCH("jam",C709)),"Mechanical Jam",ISNUMBER(SEARCH("rigid",C709)),"Mechanical Jam",ISNUMBER(SEARCH("rust",C709)),"Corroded",ISNUMBER(SEARCH("corrod",C709)),"Corroded",ISNUMBER(SEARCH("corrosion",C709)),"Corroded",ISNUMBER(SEARCH("alignment",C709)),"Defective Device",ISNUMBER(SEARCH("adjust",C709)),"Defective Device",ISNUMBER(SEARCH("perform",C709)),"Defective Device",ISNUMBER(SEARCH("malfunction",C709)),"Defective Device",ISNUMBER(SEARCH("defect",C709)),"Defective Device",ISNUMBER(SEARCH("fail",C709)),"Defective Device",ISNUMBER(SEARCH("not work",C709)),"Defective Device",ISNUMBER(SEARCH("doesn't work",C709)),"Defective Device",TRUE,"UNKNOWN"),"UNKNOWN")))</f>
        <v/>
      </c>
      <c r="F709" s="4" t="str">
        <f t="shared" si="12"/>
        <v/>
      </c>
      <c r="G709" s="363" t="str">
        <f>IF(E709="","",IFERROR(VLOOKUP(E709,Codes!$L$2:$N$409,3,FALSE),"—"))</f>
        <v/>
      </c>
      <c r="H709" s="88"/>
      <c r="I709" s="88"/>
    </row>
    <row r="710" spans="1:9" ht="13.15" x14ac:dyDescent="0.35">
      <c r="A710" s="92"/>
      <c r="B710" s="89"/>
      <c r="C710" s="88"/>
      <c r="D710" s="88"/>
      <c r="E710" s="93" t="str" cm="1">
        <f t="array" ref="E710">IF(D710&lt;&gt;"",IFERROR(VLOOKUP(D710,Codes!$K$2:$L$409,2,FALSE),"UNKNOWN - "&amp;D710),IF(C710="","",IFERROR(_xlfn.IFS(ISNUMBER(SEARCH("broken button",C710)),"Break",ISNUMBER(SEARCH("broken handle",C710)),"Break",ISNUMBER(SEARCH("shipping damage",C710)),"Break",ISNUMBER(SEARCH("broken",C710)),"Break",ISNUMBER(SEARCH("crack",C710)),"Break",ISNUMBER(SEARCH("snap",C710)),"Break",ISNUMBER(SEARCH("fracture",C710)),"Break",ISNUMBER(SEARCH("bent",C710)),"Material Twisted/Bent",ISNUMBER(SEARCH("twisted",C710)),"Material Twisted/Bent",ISNUMBER(SEARCH("component separat",C710)),"Material Separation",ISNUMBER(SEARCH("separat",C710)),"Material Separation",ISNUMBER(SEARCH("connection",C710)),"Loose or Intermittent Connection",ISNUMBER(SEARCH("loose",C710)),"Loose or Intermittent Connection",ISNUMBER(SEARCH("damaged packaging",C710)),"Packaging Problem",ISNUMBER(SEARCH("packaging",C710)),"Packaging Problem",ISNUMBER(SEARCH("discoloration",C710)),"Contamination",ISNUMBER(SEARCH("tarnish",C710)),"Contamination",ISNUMBER(SEARCH("stain",C710)),"Contamination",ISNUMBER(SEARCH("foreign material",C710)),"Contamination",ISNUMBER(SEARCH("contamina",C710)),"Contamination",ISNUMBER(SEARCH("overheat",C710)),"Overheating of Device",ISNUMBER(SEARCH("excessive heat",C710)),"Overheating of Device",ISNUMBER(SEARCH("hot",C710)),"Overheating of Device",ISNUMBER(SEARCH("noise",C710)),"Noise, Audible",ISNUMBER(SEARCH("sound",C710)),"Noise, Audible",ISNUMBER(SEARCH("loud",C710)),"Noise, Audible",ISNUMBER(SEARCH("fray",C710)),"Material Frayed",ISNUMBER(SEARCH("hole",C710)),"Material Frayed",ISNUMBER(SEARCH("tear",C710)),"Material Frayed",ISNUMBER(SEARCH("worn",C710)),"Material Frayed",ISNUMBER(SEARCH("intermittent",C710)),"Difficult or Delayed Activation",ISNUMBER(SEARCH("delay",C710)),"Difficult or Delayed Activation",ISNUMBER(SEARCH("label",C710)),"Device Markings/Labelling Problem",ISNUMBER(SEARCH("marking",C710)),"Device Markings/Labelling Problem",ISNUMBER(SEARCH("lacerat",C710)),"Defective Device",ISNUMBER(SEARCH("cut",C710)),"Defective Device",ISNUMBER(SEARCH("leak",C710)),"Fluid/Blood Leak",ISNUMBER(SEARCH("missing",C710)),"Component Missing",ISNUMBER(SEARCH("power",C710)),"Complete Loss of Power",ISNUMBER(SEARCH("will not turn on",C710)),"Complete Loss of Power",ISNUMBER(SEARCH("won't turn on",C710)),"Complete Loss of Power",ISNUMBER(SEARCH("does not turn on",C710)),"Complete Loss of Power",ISNUMBER(SEARCH("electrical",C710)),"Electrical Power Problem",ISNUMBER(SEARCH("pressure",C710)),"Detachment of Device or Device Component",ISNUMBER(SEARCH("slip",C710)),"Detachment of Device or Device Component",ISNUMBER(SEARCH("detach",C710)),"Detachment of Device or Device Component",ISNUMBER(SEARCH("stick",C710)),"Mechanical Jam",ISNUMBER(SEARCH("jam",C710)),"Mechanical Jam",ISNUMBER(SEARCH("rigid",C710)),"Mechanical Jam",ISNUMBER(SEARCH("rust",C710)),"Corroded",ISNUMBER(SEARCH("corrod",C710)),"Corroded",ISNUMBER(SEARCH("corrosion",C710)),"Corroded",ISNUMBER(SEARCH("alignment",C710)),"Defective Device",ISNUMBER(SEARCH("adjust",C710)),"Defective Device",ISNUMBER(SEARCH("perform",C710)),"Defective Device",ISNUMBER(SEARCH("malfunction",C710)),"Defective Device",ISNUMBER(SEARCH("defect",C710)),"Defective Device",ISNUMBER(SEARCH("fail",C710)),"Defective Device",ISNUMBER(SEARCH("not work",C710)),"Defective Device",ISNUMBER(SEARCH("doesn't work",C710)),"Defective Device",TRUE,"UNKNOWN"),"UNKNOWN")))</f>
        <v/>
      </c>
      <c r="F710" s="4" t="str">
        <f t="shared" si="12"/>
        <v/>
      </c>
      <c r="G710" s="363" t="str">
        <f>IF(E710="","",IFERROR(VLOOKUP(E710,Codes!$L$2:$N$409,3,FALSE),"—"))</f>
        <v/>
      </c>
      <c r="H710" s="88"/>
      <c r="I710" s="88"/>
    </row>
    <row r="711" spans="1:9" ht="13.15" x14ac:dyDescent="0.35">
      <c r="A711" s="92"/>
      <c r="B711" s="89"/>
      <c r="C711" s="88"/>
      <c r="D711" s="88"/>
      <c r="E711" s="93" t="str" cm="1">
        <f t="array" ref="E711">IF(D711&lt;&gt;"",IFERROR(VLOOKUP(D711,Codes!$K$2:$L$409,2,FALSE),"UNKNOWN - "&amp;D711),IF(C711="","",IFERROR(_xlfn.IFS(ISNUMBER(SEARCH("broken button",C711)),"Break",ISNUMBER(SEARCH("broken handle",C711)),"Break",ISNUMBER(SEARCH("shipping damage",C711)),"Break",ISNUMBER(SEARCH("broken",C711)),"Break",ISNUMBER(SEARCH("crack",C711)),"Break",ISNUMBER(SEARCH("snap",C711)),"Break",ISNUMBER(SEARCH("fracture",C711)),"Break",ISNUMBER(SEARCH("bent",C711)),"Material Twisted/Bent",ISNUMBER(SEARCH("twisted",C711)),"Material Twisted/Bent",ISNUMBER(SEARCH("component separat",C711)),"Material Separation",ISNUMBER(SEARCH("separat",C711)),"Material Separation",ISNUMBER(SEARCH("connection",C711)),"Loose or Intermittent Connection",ISNUMBER(SEARCH("loose",C711)),"Loose or Intermittent Connection",ISNUMBER(SEARCH("damaged packaging",C711)),"Packaging Problem",ISNUMBER(SEARCH("packaging",C711)),"Packaging Problem",ISNUMBER(SEARCH("discoloration",C711)),"Contamination",ISNUMBER(SEARCH("tarnish",C711)),"Contamination",ISNUMBER(SEARCH("stain",C711)),"Contamination",ISNUMBER(SEARCH("foreign material",C711)),"Contamination",ISNUMBER(SEARCH("contamina",C711)),"Contamination",ISNUMBER(SEARCH("overheat",C711)),"Overheating of Device",ISNUMBER(SEARCH("excessive heat",C711)),"Overheating of Device",ISNUMBER(SEARCH("hot",C711)),"Overheating of Device",ISNUMBER(SEARCH("noise",C711)),"Noise, Audible",ISNUMBER(SEARCH("sound",C711)),"Noise, Audible",ISNUMBER(SEARCH("loud",C711)),"Noise, Audible",ISNUMBER(SEARCH("fray",C711)),"Material Frayed",ISNUMBER(SEARCH("hole",C711)),"Material Frayed",ISNUMBER(SEARCH("tear",C711)),"Material Frayed",ISNUMBER(SEARCH("worn",C711)),"Material Frayed",ISNUMBER(SEARCH("intermittent",C711)),"Difficult or Delayed Activation",ISNUMBER(SEARCH("delay",C711)),"Difficult or Delayed Activation",ISNUMBER(SEARCH("label",C711)),"Device Markings/Labelling Problem",ISNUMBER(SEARCH("marking",C711)),"Device Markings/Labelling Problem",ISNUMBER(SEARCH("lacerat",C711)),"Defective Device",ISNUMBER(SEARCH("cut",C711)),"Defective Device",ISNUMBER(SEARCH("leak",C711)),"Fluid/Blood Leak",ISNUMBER(SEARCH("missing",C711)),"Component Missing",ISNUMBER(SEARCH("power",C711)),"Complete Loss of Power",ISNUMBER(SEARCH("will not turn on",C711)),"Complete Loss of Power",ISNUMBER(SEARCH("won't turn on",C711)),"Complete Loss of Power",ISNUMBER(SEARCH("does not turn on",C711)),"Complete Loss of Power",ISNUMBER(SEARCH("electrical",C711)),"Electrical Power Problem",ISNUMBER(SEARCH("pressure",C711)),"Detachment of Device or Device Component",ISNUMBER(SEARCH("slip",C711)),"Detachment of Device or Device Component",ISNUMBER(SEARCH("detach",C711)),"Detachment of Device or Device Component",ISNUMBER(SEARCH("stick",C711)),"Mechanical Jam",ISNUMBER(SEARCH("jam",C711)),"Mechanical Jam",ISNUMBER(SEARCH("rigid",C711)),"Mechanical Jam",ISNUMBER(SEARCH("rust",C711)),"Corroded",ISNUMBER(SEARCH("corrod",C711)),"Corroded",ISNUMBER(SEARCH("corrosion",C711)),"Corroded",ISNUMBER(SEARCH("alignment",C711)),"Defective Device",ISNUMBER(SEARCH("adjust",C711)),"Defective Device",ISNUMBER(SEARCH("perform",C711)),"Defective Device",ISNUMBER(SEARCH("malfunction",C711)),"Defective Device",ISNUMBER(SEARCH("defect",C711)),"Defective Device",ISNUMBER(SEARCH("fail",C711)),"Defective Device",ISNUMBER(SEARCH("not work",C711)),"Defective Device",ISNUMBER(SEARCH("doesn't work",C711)),"Defective Device",TRUE,"UNKNOWN"),"UNKNOWN")))</f>
        <v/>
      </c>
      <c r="F711" s="4" t="str">
        <f t="shared" si="12"/>
        <v/>
      </c>
      <c r="G711" s="363" t="str">
        <f>IF(E711="","",IFERROR(VLOOKUP(E711,Codes!$L$2:$N$409,3,FALSE),"—"))</f>
        <v/>
      </c>
      <c r="H711" s="88"/>
      <c r="I711" s="88"/>
    </row>
    <row r="712" spans="1:9" ht="13.15" x14ac:dyDescent="0.35">
      <c r="A712" s="92"/>
      <c r="B712" s="89"/>
      <c r="C712" s="88"/>
      <c r="D712" s="88"/>
      <c r="E712" s="93" t="str" cm="1">
        <f t="array" ref="E712">IF(D712&lt;&gt;"",IFERROR(VLOOKUP(D712,Codes!$K$2:$L$409,2,FALSE),"UNKNOWN - "&amp;D712),IF(C712="","",IFERROR(_xlfn.IFS(ISNUMBER(SEARCH("broken button",C712)),"Break",ISNUMBER(SEARCH("broken handle",C712)),"Break",ISNUMBER(SEARCH("shipping damage",C712)),"Break",ISNUMBER(SEARCH("broken",C712)),"Break",ISNUMBER(SEARCH("crack",C712)),"Break",ISNUMBER(SEARCH("snap",C712)),"Break",ISNUMBER(SEARCH("fracture",C712)),"Break",ISNUMBER(SEARCH("bent",C712)),"Material Twisted/Bent",ISNUMBER(SEARCH("twisted",C712)),"Material Twisted/Bent",ISNUMBER(SEARCH("component separat",C712)),"Material Separation",ISNUMBER(SEARCH("separat",C712)),"Material Separation",ISNUMBER(SEARCH("connection",C712)),"Loose or Intermittent Connection",ISNUMBER(SEARCH("loose",C712)),"Loose or Intermittent Connection",ISNUMBER(SEARCH("damaged packaging",C712)),"Packaging Problem",ISNUMBER(SEARCH("packaging",C712)),"Packaging Problem",ISNUMBER(SEARCH("discoloration",C712)),"Contamination",ISNUMBER(SEARCH("tarnish",C712)),"Contamination",ISNUMBER(SEARCH("stain",C712)),"Contamination",ISNUMBER(SEARCH("foreign material",C712)),"Contamination",ISNUMBER(SEARCH("contamina",C712)),"Contamination",ISNUMBER(SEARCH("overheat",C712)),"Overheating of Device",ISNUMBER(SEARCH("excessive heat",C712)),"Overheating of Device",ISNUMBER(SEARCH("hot",C712)),"Overheating of Device",ISNUMBER(SEARCH("noise",C712)),"Noise, Audible",ISNUMBER(SEARCH("sound",C712)),"Noise, Audible",ISNUMBER(SEARCH("loud",C712)),"Noise, Audible",ISNUMBER(SEARCH("fray",C712)),"Material Frayed",ISNUMBER(SEARCH("hole",C712)),"Material Frayed",ISNUMBER(SEARCH("tear",C712)),"Material Frayed",ISNUMBER(SEARCH("worn",C712)),"Material Frayed",ISNUMBER(SEARCH("intermittent",C712)),"Difficult or Delayed Activation",ISNUMBER(SEARCH("delay",C712)),"Difficult or Delayed Activation",ISNUMBER(SEARCH("label",C712)),"Device Markings/Labelling Problem",ISNUMBER(SEARCH("marking",C712)),"Device Markings/Labelling Problem",ISNUMBER(SEARCH("lacerat",C712)),"Defective Device",ISNUMBER(SEARCH("cut",C712)),"Defective Device",ISNUMBER(SEARCH("leak",C712)),"Fluid/Blood Leak",ISNUMBER(SEARCH("missing",C712)),"Component Missing",ISNUMBER(SEARCH("power",C712)),"Complete Loss of Power",ISNUMBER(SEARCH("will not turn on",C712)),"Complete Loss of Power",ISNUMBER(SEARCH("won't turn on",C712)),"Complete Loss of Power",ISNUMBER(SEARCH("does not turn on",C712)),"Complete Loss of Power",ISNUMBER(SEARCH("electrical",C712)),"Electrical Power Problem",ISNUMBER(SEARCH("pressure",C712)),"Detachment of Device or Device Component",ISNUMBER(SEARCH("slip",C712)),"Detachment of Device or Device Component",ISNUMBER(SEARCH("detach",C712)),"Detachment of Device or Device Component",ISNUMBER(SEARCH("stick",C712)),"Mechanical Jam",ISNUMBER(SEARCH("jam",C712)),"Mechanical Jam",ISNUMBER(SEARCH("rigid",C712)),"Mechanical Jam",ISNUMBER(SEARCH("rust",C712)),"Corroded",ISNUMBER(SEARCH("corrod",C712)),"Corroded",ISNUMBER(SEARCH("corrosion",C712)),"Corroded",ISNUMBER(SEARCH("alignment",C712)),"Defective Device",ISNUMBER(SEARCH("adjust",C712)),"Defective Device",ISNUMBER(SEARCH("perform",C712)),"Defective Device",ISNUMBER(SEARCH("malfunction",C712)),"Defective Device",ISNUMBER(SEARCH("defect",C712)),"Defective Device",ISNUMBER(SEARCH("fail",C712)),"Defective Device",ISNUMBER(SEARCH("not work",C712)),"Defective Device",ISNUMBER(SEARCH("doesn't work",C712)),"Defective Device",TRUE,"UNKNOWN"),"UNKNOWN")))</f>
        <v/>
      </c>
      <c r="F712" s="4" t="str">
        <f t="shared" si="12"/>
        <v/>
      </c>
      <c r="G712" s="363" t="str">
        <f>IF(E712="","",IFERROR(VLOOKUP(E712,Codes!$L$2:$N$409,3,FALSE),"—"))</f>
        <v/>
      </c>
      <c r="H712" s="88"/>
      <c r="I712" s="88"/>
    </row>
    <row r="713" spans="1:9" ht="13.15" x14ac:dyDescent="0.35">
      <c r="A713" s="92"/>
      <c r="B713" s="89"/>
      <c r="C713" s="88"/>
      <c r="D713" s="88"/>
      <c r="E713" s="93" t="str" cm="1">
        <f t="array" ref="E713">IF(D713&lt;&gt;"",IFERROR(VLOOKUP(D713,Codes!$K$2:$L$409,2,FALSE),"UNKNOWN - "&amp;D713),IF(C713="","",IFERROR(_xlfn.IFS(ISNUMBER(SEARCH("broken button",C713)),"Break",ISNUMBER(SEARCH("broken handle",C713)),"Break",ISNUMBER(SEARCH("shipping damage",C713)),"Break",ISNUMBER(SEARCH("broken",C713)),"Break",ISNUMBER(SEARCH("crack",C713)),"Break",ISNUMBER(SEARCH("snap",C713)),"Break",ISNUMBER(SEARCH("fracture",C713)),"Break",ISNUMBER(SEARCH("bent",C713)),"Material Twisted/Bent",ISNUMBER(SEARCH("twisted",C713)),"Material Twisted/Bent",ISNUMBER(SEARCH("component separat",C713)),"Material Separation",ISNUMBER(SEARCH("separat",C713)),"Material Separation",ISNUMBER(SEARCH("connection",C713)),"Loose or Intermittent Connection",ISNUMBER(SEARCH("loose",C713)),"Loose or Intermittent Connection",ISNUMBER(SEARCH("damaged packaging",C713)),"Packaging Problem",ISNUMBER(SEARCH("packaging",C713)),"Packaging Problem",ISNUMBER(SEARCH("discoloration",C713)),"Contamination",ISNUMBER(SEARCH("tarnish",C713)),"Contamination",ISNUMBER(SEARCH("stain",C713)),"Contamination",ISNUMBER(SEARCH("foreign material",C713)),"Contamination",ISNUMBER(SEARCH("contamina",C713)),"Contamination",ISNUMBER(SEARCH("overheat",C713)),"Overheating of Device",ISNUMBER(SEARCH("excessive heat",C713)),"Overheating of Device",ISNUMBER(SEARCH("hot",C713)),"Overheating of Device",ISNUMBER(SEARCH("noise",C713)),"Noise, Audible",ISNUMBER(SEARCH("sound",C713)),"Noise, Audible",ISNUMBER(SEARCH("loud",C713)),"Noise, Audible",ISNUMBER(SEARCH("fray",C713)),"Material Frayed",ISNUMBER(SEARCH("hole",C713)),"Material Frayed",ISNUMBER(SEARCH("tear",C713)),"Material Frayed",ISNUMBER(SEARCH("worn",C713)),"Material Frayed",ISNUMBER(SEARCH("intermittent",C713)),"Difficult or Delayed Activation",ISNUMBER(SEARCH("delay",C713)),"Difficult or Delayed Activation",ISNUMBER(SEARCH("label",C713)),"Device Markings/Labelling Problem",ISNUMBER(SEARCH("marking",C713)),"Device Markings/Labelling Problem",ISNUMBER(SEARCH("lacerat",C713)),"Defective Device",ISNUMBER(SEARCH("cut",C713)),"Defective Device",ISNUMBER(SEARCH("leak",C713)),"Fluid/Blood Leak",ISNUMBER(SEARCH("missing",C713)),"Component Missing",ISNUMBER(SEARCH("power",C713)),"Complete Loss of Power",ISNUMBER(SEARCH("will not turn on",C713)),"Complete Loss of Power",ISNUMBER(SEARCH("won't turn on",C713)),"Complete Loss of Power",ISNUMBER(SEARCH("does not turn on",C713)),"Complete Loss of Power",ISNUMBER(SEARCH("electrical",C713)),"Electrical Power Problem",ISNUMBER(SEARCH("pressure",C713)),"Detachment of Device or Device Component",ISNUMBER(SEARCH("slip",C713)),"Detachment of Device or Device Component",ISNUMBER(SEARCH("detach",C713)),"Detachment of Device or Device Component",ISNUMBER(SEARCH("stick",C713)),"Mechanical Jam",ISNUMBER(SEARCH("jam",C713)),"Mechanical Jam",ISNUMBER(SEARCH("rigid",C713)),"Mechanical Jam",ISNUMBER(SEARCH("rust",C713)),"Corroded",ISNUMBER(SEARCH("corrod",C713)),"Corroded",ISNUMBER(SEARCH("corrosion",C713)),"Corroded",ISNUMBER(SEARCH("alignment",C713)),"Defective Device",ISNUMBER(SEARCH("adjust",C713)),"Defective Device",ISNUMBER(SEARCH("perform",C713)),"Defective Device",ISNUMBER(SEARCH("malfunction",C713)),"Defective Device",ISNUMBER(SEARCH("defect",C713)),"Defective Device",ISNUMBER(SEARCH("fail",C713)),"Defective Device",ISNUMBER(SEARCH("not work",C713)),"Defective Device",ISNUMBER(SEARCH("doesn't work",C713)),"Defective Device",TRUE,"UNKNOWN"),"UNKNOWN")))</f>
        <v/>
      </c>
      <c r="F713" s="4" t="str">
        <f t="shared" si="12"/>
        <v/>
      </c>
      <c r="G713" s="363" t="str">
        <f>IF(E713="","",IFERROR(VLOOKUP(E713,Codes!$L$2:$N$409,3,FALSE),"—"))</f>
        <v/>
      </c>
      <c r="H713" s="88"/>
      <c r="I713" s="88"/>
    </row>
    <row r="714" spans="1:9" ht="13.15" x14ac:dyDescent="0.35">
      <c r="A714" s="92"/>
      <c r="B714" s="89"/>
      <c r="C714" s="88"/>
      <c r="D714" s="88"/>
      <c r="E714" s="93" t="str" cm="1">
        <f t="array" ref="E714">IF(D714&lt;&gt;"",IFERROR(VLOOKUP(D714,Codes!$K$2:$L$409,2,FALSE),"UNKNOWN - "&amp;D714),IF(C714="","",IFERROR(_xlfn.IFS(ISNUMBER(SEARCH("broken button",C714)),"Break",ISNUMBER(SEARCH("broken handle",C714)),"Break",ISNUMBER(SEARCH("shipping damage",C714)),"Break",ISNUMBER(SEARCH("broken",C714)),"Break",ISNUMBER(SEARCH("crack",C714)),"Break",ISNUMBER(SEARCH("snap",C714)),"Break",ISNUMBER(SEARCH("fracture",C714)),"Break",ISNUMBER(SEARCH("bent",C714)),"Material Twisted/Bent",ISNUMBER(SEARCH("twisted",C714)),"Material Twisted/Bent",ISNUMBER(SEARCH("component separat",C714)),"Material Separation",ISNUMBER(SEARCH("separat",C714)),"Material Separation",ISNUMBER(SEARCH("connection",C714)),"Loose or Intermittent Connection",ISNUMBER(SEARCH("loose",C714)),"Loose or Intermittent Connection",ISNUMBER(SEARCH("damaged packaging",C714)),"Packaging Problem",ISNUMBER(SEARCH("packaging",C714)),"Packaging Problem",ISNUMBER(SEARCH("discoloration",C714)),"Contamination",ISNUMBER(SEARCH("tarnish",C714)),"Contamination",ISNUMBER(SEARCH("stain",C714)),"Contamination",ISNUMBER(SEARCH("foreign material",C714)),"Contamination",ISNUMBER(SEARCH("contamina",C714)),"Contamination",ISNUMBER(SEARCH("overheat",C714)),"Overheating of Device",ISNUMBER(SEARCH("excessive heat",C714)),"Overheating of Device",ISNUMBER(SEARCH("hot",C714)),"Overheating of Device",ISNUMBER(SEARCH("noise",C714)),"Noise, Audible",ISNUMBER(SEARCH("sound",C714)),"Noise, Audible",ISNUMBER(SEARCH("loud",C714)),"Noise, Audible",ISNUMBER(SEARCH("fray",C714)),"Material Frayed",ISNUMBER(SEARCH("hole",C714)),"Material Frayed",ISNUMBER(SEARCH("tear",C714)),"Material Frayed",ISNUMBER(SEARCH("worn",C714)),"Material Frayed",ISNUMBER(SEARCH("intermittent",C714)),"Difficult or Delayed Activation",ISNUMBER(SEARCH("delay",C714)),"Difficult or Delayed Activation",ISNUMBER(SEARCH("label",C714)),"Device Markings/Labelling Problem",ISNUMBER(SEARCH("marking",C714)),"Device Markings/Labelling Problem",ISNUMBER(SEARCH("lacerat",C714)),"Defective Device",ISNUMBER(SEARCH("cut",C714)),"Defective Device",ISNUMBER(SEARCH("leak",C714)),"Fluid/Blood Leak",ISNUMBER(SEARCH("missing",C714)),"Component Missing",ISNUMBER(SEARCH("power",C714)),"Complete Loss of Power",ISNUMBER(SEARCH("will not turn on",C714)),"Complete Loss of Power",ISNUMBER(SEARCH("won't turn on",C714)),"Complete Loss of Power",ISNUMBER(SEARCH("does not turn on",C714)),"Complete Loss of Power",ISNUMBER(SEARCH("electrical",C714)),"Electrical Power Problem",ISNUMBER(SEARCH("pressure",C714)),"Detachment of Device or Device Component",ISNUMBER(SEARCH("slip",C714)),"Detachment of Device or Device Component",ISNUMBER(SEARCH("detach",C714)),"Detachment of Device or Device Component",ISNUMBER(SEARCH("stick",C714)),"Mechanical Jam",ISNUMBER(SEARCH("jam",C714)),"Mechanical Jam",ISNUMBER(SEARCH("rigid",C714)),"Mechanical Jam",ISNUMBER(SEARCH("rust",C714)),"Corroded",ISNUMBER(SEARCH("corrod",C714)),"Corroded",ISNUMBER(SEARCH("corrosion",C714)),"Corroded",ISNUMBER(SEARCH("alignment",C714)),"Defective Device",ISNUMBER(SEARCH("adjust",C714)),"Defective Device",ISNUMBER(SEARCH("perform",C714)),"Defective Device",ISNUMBER(SEARCH("malfunction",C714)),"Defective Device",ISNUMBER(SEARCH("defect",C714)),"Defective Device",ISNUMBER(SEARCH("fail",C714)),"Defective Device",ISNUMBER(SEARCH("not work",C714)),"Defective Device",ISNUMBER(SEARCH("doesn't work",C714)),"Defective Device",TRUE,"UNKNOWN"),"UNKNOWN")))</f>
        <v/>
      </c>
      <c r="F714" s="4" t="str">
        <f t="shared" si="12"/>
        <v/>
      </c>
      <c r="G714" s="363" t="str">
        <f>IF(E714="","",IFERROR(VLOOKUP(E714,Codes!$L$2:$N$409,3,FALSE),"—"))</f>
        <v/>
      </c>
      <c r="H714" s="88"/>
      <c r="I714" s="88"/>
    </row>
    <row r="715" spans="1:9" ht="13.15" x14ac:dyDescent="0.35">
      <c r="A715" s="92"/>
      <c r="B715" s="89"/>
      <c r="C715" s="88"/>
      <c r="D715" s="88"/>
      <c r="E715" s="93" t="str" cm="1">
        <f t="array" ref="E715">IF(D715&lt;&gt;"",IFERROR(VLOOKUP(D715,Codes!$K$2:$L$409,2,FALSE),"UNKNOWN - "&amp;D715),IF(C715="","",IFERROR(_xlfn.IFS(ISNUMBER(SEARCH("broken button",C715)),"Break",ISNUMBER(SEARCH("broken handle",C715)),"Break",ISNUMBER(SEARCH("shipping damage",C715)),"Break",ISNUMBER(SEARCH("broken",C715)),"Break",ISNUMBER(SEARCH("crack",C715)),"Break",ISNUMBER(SEARCH("snap",C715)),"Break",ISNUMBER(SEARCH("fracture",C715)),"Break",ISNUMBER(SEARCH("bent",C715)),"Material Twisted/Bent",ISNUMBER(SEARCH("twisted",C715)),"Material Twisted/Bent",ISNUMBER(SEARCH("component separat",C715)),"Material Separation",ISNUMBER(SEARCH("separat",C715)),"Material Separation",ISNUMBER(SEARCH("connection",C715)),"Loose or Intermittent Connection",ISNUMBER(SEARCH("loose",C715)),"Loose or Intermittent Connection",ISNUMBER(SEARCH("damaged packaging",C715)),"Packaging Problem",ISNUMBER(SEARCH("packaging",C715)),"Packaging Problem",ISNUMBER(SEARCH("discoloration",C715)),"Contamination",ISNUMBER(SEARCH("tarnish",C715)),"Contamination",ISNUMBER(SEARCH("stain",C715)),"Contamination",ISNUMBER(SEARCH("foreign material",C715)),"Contamination",ISNUMBER(SEARCH("contamina",C715)),"Contamination",ISNUMBER(SEARCH("overheat",C715)),"Overheating of Device",ISNUMBER(SEARCH("excessive heat",C715)),"Overheating of Device",ISNUMBER(SEARCH("hot",C715)),"Overheating of Device",ISNUMBER(SEARCH("noise",C715)),"Noise, Audible",ISNUMBER(SEARCH("sound",C715)),"Noise, Audible",ISNUMBER(SEARCH("loud",C715)),"Noise, Audible",ISNUMBER(SEARCH("fray",C715)),"Material Frayed",ISNUMBER(SEARCH("hole",C715)),"Material Frayed",ISNUMBER(SEARCH("tear",C715)),"Material Frayed",ISNUMBER(SEARCH("worn",C715)),"Material Frayed",ISNUMBER(SEARCH("intermittent",C715)),"Difficult or Delayed Activation",ISNUMBER(SEARCH("delay",C715)),"Difficult or Delayed Activation",ISNUMBER(SEARCH("label",C715)),"Device Markings/Labelling Problem",ISNUMBER(SEARCH("marking",C715)),"Device Markings/Labelling Problem",ISNUMBER(SEARCH("lacerat",C715)),"Defective Device",ISNUMBER(SEARCH("cut",C715)),"Defective Device",ISNUMBER(SEARCH("leak",C715)),"Fluid/Blood Leak",ISNUMBER(SEARCH("missing",C715)),"Component Missing",ISNUMBER(SEARCH("power",C715)),"Complete Loss of Power",ISNUMBER(SEARCH("will not turn on",C715)),"Complete Loss of Power",ISNUMBER(SEARCH("won't turn on",C715)),"Complete Loss of Power",ISNUMBER(SEARCH("does not turn on",C715)),"Complete Loss of Power",ISNUMBER(SEARCH("electrical",C715)),"Electrical Power Problem",ISNUMBER(SEARCH("pressure",C715)),"Detachment of Device or Device Component",ISNUMBER(SEARCH("slip",C715)),"Detachment of Device or Device Component",ISNUMBER(SEARCH("detach",C715)),"Detachment of Device or Device Component",ISNUMBER(SEARCH("stick",C715)),"Mechanical Jam",ISNUMBER(SEARCH("jam",C715)),"Mechanical Jam",ISNUMBER(SEARCH("rigid",C715)),"Mechanical Jam",ISNUMBER(SEARCH("rust",C715)),"Corroded",ISNUMBER(SEARCH("corrod",C715)),"Corroded",ISNUMBER(SEARCH("corrosion",C715)),"Corroded",ISNUMBER(SEARCH("alignment",C715)),"Defective Device",ISNUMBER(SEARCH("adjust",C715)),"Defective Device",ISNUMBER(SEARCH("perform",C715)),"Defective Device",ISNUMBER(SEARCH("malfunction",C715)),"Defective Device",ISNUMBER(SEARCH("defect",C715)),"Defective Device",ISNUMBER(SEARCH("fail",C715)),"Defective Device",ISNUMBER(SEARCH("not work",C715)),"Defective Device",ISNUMBER(SEARCH("doesn't work",C715)),"Defective Device",TRUE,"UNKNOWN"),"UNKNOWN")))</f>
        <v/>
      </c>
      <c r="F715" s="4" t="str">
        <f t="shared" si="12"/>
        <v/>
      </c>
      <c r="G715" s="363" t="str">
        <f>IF(E715="","",IFERROR(VLOOKUP(E715,Codes!$L$2:$N$409,3,FALSE),"—"))</f>
        <v/>
      </c>
      <c r="H715" s="88"/>
      <c r="I715" s="88"/>
    </row>
    <row r="716" spans="1:9" ht="13.15" x14ac:dyDescent="0.35">
      <c r="A716" s="92"/>
      <c r="B716" s="89"/>
      <c r="C716" s="88"/>
      <c r="D716" s="88"/>
      <c r="E716" s="93" t="str" cm="1">
        <f t="array" ref="E716">IF(D716&lt;&gt;"",IFERROR(VLOOKUP(D716,Codes!$K$2:$L$409,2,FALSE),"UNKNOWN - "&amp;D716),IF(C716="","",IFERROR(_xlfn.IFS(ISNUMBER(SEARCH("broken button",C716)),"Break",ISNUMBER(SEARCH("broken handle",C716)),"Break",ISNUMBER(SEARCH("shipping damage",C716)),"Break",ISNUMBER(SEARCH("broken",C716)),"Break",ISNUMBER(SEARCH("crack",C716)),"Break",ISNUMBER(SEARCH("snap",C716)),"Break",ISNUMBER(SEARCH("fracture",C716)),"Break",ISNUMBER(SEARCH("bent",C716)),"Material Twisted/Bent",ISNUMBER(SEARCH("twisted",C716)),"Material Twisted/Bent",ISNUMBER(SEARCH("component separat",C716)),"Material Separation",ISNUMBER(SEARCH("separat",C716)),"Material Separation",ISNUMBER(SEARCH("connection",C716)),"Loose or Intermittent Connection",ISNUMBER(SEARCH("loose",C716)),"Loose or Intermittent Connection",ISNUMBER(SEARCH("damaged packaging",C716)),"Packaging Problem",ISNUMBER(SEARCH("packaging",C716)),"Packaging Problem",ISNUMBER(SEARCH("discoloration",C716)),"Contamination",ISNUMBER(SEARCH("tarnish",C716)),"Contamination",ISNUMBER(SEARCH("stain",C716)),"Contamination",ISNUMBER(SEARCH("foreign material",C716)),"Contamination",ISNUMBER(SEARCH("contamina",C716)),"Contamination",ISNUMBER(SEARCH("overheat",C716)),"Overheating of Device",ISNUMBER(SEARCH("excessive heat",C716)),"Overheating of Device",ISNUMBER(SEARCH("hot",C716)),"Overheating of Device",ISNUMBER(SEARCH("noise",C716)),"Noise, Audible",ISNUMBER(SEARCH("sound",C716)),"Noise, Audible",ISNUMBER(SEARCH("loud",C716)),"Noise, Audible",ISNUMBER(SEARCH("fray",C716)),"Material Frayed",ISNUMBER(SEARCH("hole",C716)),"Material Frayed",ISNUMBER(SEARCH("tear",C716)),"Material Frayed",ISNUMBER(SEARCH("worn",C716)),"Material Frayed",ISNUMBER(SEARCH("intermittent",C716)),"Difficult or Delayed Activation",ISNUMBER(SEARCH("delay",C716)),"Difficult or Delayed Activation",ISNUMBER(SEARCH("label",C716)),"Device Markings/Labelling Problem",ISNUMBER(SEARCH("marking",C716)),"Device Markings/Labelling Problem",ISNUMBER(SEARCH("lacerat",C716)),"Defective Device",ISNUMBER(SEARCH("cut",C716)),"Defective Device",ISNUMBER(SEARCH("leak",C716)),"Fluid/Blood Leak",ISNUMBER(SEARCH("missing",C716)),"Component Missing",ISNUMBER(SEARCH("power",C716)),"Complete Loss of Power",ISNUMBER(SEARCH("will not turn on",C716)),"Complete Loss of Power",ISNUMBER(SEARCH("won't turn on",C716)),"Complete Loss of Power",ISNUMBER(SEARCH("does not turn on",C716)),"Complete Loss of Power",ISNUMBER(SEARCH("electrical",C716)),"Electrical Power Problem",ISNUMBER(SEARCH("pressure",C716)),"Detachment of Device or Device Component",ISNUMBER(SEARCH("slip",C716)),"Detachment of Device or Device Component",ISNUMBER(SEARCH("detach",C716)),"Detachment of Device or Device Component",ISNUMBER(SEARCH("stick",C716)),"Mechanical Jam",ISNUMBER(SEARCH("jam",C716)),"Mechanical Jam",ISNUMBER(SEARCH("rigid",C716)),"Mechanical Jam",ISNUMBER(SEARCH("rust",C716)),"Corroded",ISNUMBER(SEARCH("corrod",C716)),"Corroded",ISNUMBER(SEARCH("corrosion",C716)),"Corroded",ISNUMBER(SEARCH("alignment",C716)),"Defective Device",ISNUMBER(SEARCH("adjust",C716)),"Defective Device",ISNUMBER(SEARCH("perform",C716)),"Defective Device",ISNUMBER(SEARCH("malfunction",C716)),"Defective Device",ISNUMBER(SEARCH("defect",C716)),"Defective Device",ISNUMBER(SEARCH("fail",C716)),"Defective Device",ISNUMBER(SEARCH("not work",C716)),"Defective Device",ISNUMBER(SEARCH("doesn't work",C716)),"Defective Device",TRUE,"UNKNOWN"),"UNKNOWN")))</f>
        <v/>
      </c>
      <c r="F716" s="4" t="str">
        <f t="shared" si="12"/>
        <v/>
      </c>
      <c r="G716" s="363" t="str">
        <f>IF(E716="","",IFERROR(VLOOKUP(E716,Codes!$L$2:$N$409,3,FALSE),"—"))</f>
        <v/>
      </c>
      <c r="H716" s="88"/>
      <c r="I716" s="88"/>
    </row>
    <row r="717" spans="1:9" ht="13.15" x14ac:dyDescent="0.35">
      <c r="A717" s="92"/>
      <c r="B717" s="89"/>
      <c r="C717" s="88"/>
      <c r="D717" s="88"/>
      <c r="E717" s="93" t="str" cm="1">
        <f t="array" ref="E717">IF(D717&lt;&gt;"",IFERROR(VLOOKUP(D717,Codes!$K$2:$L$409,2,FALSE),"UNKNOWN - "&amp;D717),IF(C717="","",IFERROR(_xlfn.IFS(ISNUMBER(SEARCH("broken button",C717)),"Break",ISNUMBER(SEARCH("broken handle",C717)),"Break",ISNUMBER(SEARCH("shipping damage",C717)),"Break",ISNUMBER(SEARCH("broken",C717)),"Break",ISNUMBER(SEARCH("crack",C717)),"Break",ISNUMBER(SEARCH("snap",C717)),"Break",ISNUMBER(SEARCH("fracture",C717)),"Break",ISNUMBER(SEARCH("bent",C717)),"Material Twisted/Bent",ISNUMBER(SEARCH("twisted",C717)),"Material Twisted/Bent",ISNUMBER(SEARCH("component separat",C717)),"Material Separation",ISNUMBER(SEARCH("separat",C717)),"Material Separation",ISNUMBER(SEARCH("connection",C717)),"Loose or Intermittent Connection",ISNUMBER(SEARCH("loose",C717)),"Loose or Intermittent Connection",ISNUMBER(SEARCH("damaged packaging",C717)),"Packaging Problem",ISNUMBER(SEARCH("packaging",C717)),"Packaging Problem",ISNUMBER(SEARCH("discoloration",C717)),"Contamination",ISNUMBER(SEARCH("tarnish",C717)),"Contamination",ISNUMBER(SEARCH("stain",C717)),"Contamination",ISNUMBER(SEARCH("foreign material",C717)),"Contamination",ISNUMBER(SEARCH("contamina",C717)),"Contamination",ISNUMBER(SEARCH("overheat",C717)),"Overheating of Device",ISNUMBER(SEARCH("excessive heat",C717)),"Overheating of Device",ISNUMBER(SEARCH("hot",C717)),"Overheating of Device",ISNUMBER(SEARCH("noise",C717)),"Noise, Audible",ISNUMBER(SEARCH("sound",C717)),"Noise, Audible",ISNUMBER(SEARCH("loud",C717)),"Noise, Audible",ISNUMBER(SEARCH("fray",C717)),"Material Frayed",ISNUMBER(SEARCH("hole",C717)),"Material Frayed",ISNUMBER(SEARCH("tear",C717)),"Material Frayed",ISNUMBER(SEARCH("worn",C717)),"Material Frayed",ISNUMBER(SEARCH("intermittent",C717)),"Difficult or Delayed Activation",ISNUMBER(SEARCH("delay",C717)),"Difficult or Delayed Activation",ISNUMBER(SEARCH("label",C717)),"Device Markings/Labelling Problem",ISNUMBER(SEARCH("marking",C717)),"Device Markings/Labelling Problem",ISNUMBER(SEARCH("lacerat",C717)),"Defective Device",ISNUMBER(SEARCH("cut",C717)),"Defective Device",ISNUMBER(SEARCH("leak",C717)),"Fluid/Blood Leak",ISNUMBER(SEARCH("missing",C717)),"Component Missing",ISNUMBER(SEARCH("power",C717)),"Complete Loss of Power",ISNUMBER(SEARCH("will not turn on",C717)),"Complete Loss of Power",ISNUMBER(SEARCH("won't turn on",C717)),"Complete Loss of Power",ISNUMBER(SEARCH("does not turn on",C717)),"Complete Loss of Power",ISNUMBER(SEARCH("electrical",C717)),"Electrical Power Problem",ISNUMBER(SEARCH("pressure",C717)),"Detachment of Device or Device Component",ISNUMBER(SEARCH("slip",C717)),"Detachment of Device or Device Component",ISNUMBER(SEARCH("detach",C717)),"Detachment of Device or Device Component",ISNUMBER(SEARCH("stick",C717)),"Mechanical Jam",ISNUMBER(SEARCH("jam",C717)),"Mechanical Jam",ISNUMBER(SEARCH("rigid",C717)),"Mechanical Jam",ISNUMBER(SEARCH("rust",C717)),"Corroded",ISNUMBER(SEARCH("corrod",C717)),"Corroded",ISNUMBER(SEARCH("corrosion",C717)),"Corroded",ISNUMBER(SEARCH("alignment",C717)),"Defective Device",ISNUMBER(SEARCH("adjust",C717)),"Defective Device",ISNUMBER(SEARCH("perform",C717)),"Defective Device",ISNUMBER(SEARCH("malfunction",C717)),"Defective Device",ISNUMBER(SEARCH("defect",C717)),"Defective Device",ISNUMBER(SEARCH("fail",C717)),"Defective Device",ISNUMBER(SEARCH("not work",C717)),"Defective Device",ISNUMBER(SEARCH("doesn't work",C717)),"Defective Device",TRUE,"UNKNOWN"),"UNKNOWN")))</f>
        <v/>
      </c>
      <c r="F717" s="4" t="str">
        <f t="shared" si="12"/>
        <v/>
      </c>
      <c r="G717" s="363" t="str">
        <f>IF(E717="","",IFERROR(VLOOKUP(E717,Codes!$L$2:$N$409,3,FALSE),"—"))</f>
        <v/>
      </c>
      <c r="H717" s="88"/>
      <c r="I717" s="88"/>
    </row>
    <row r="718" spans="1:9" ht="13.15" x14ac:dyDescent="0.35">
      <c r="A718" s="92"/>
      <c r="B718" s="89"/>
      <c r="C718" s="88"/>
      <c r="D718" s="88"/>
      <c r="E718" s="93" t="str" cm="1">
        <f t="array" ref="E718">IF(D718&lt;&gt;"",IFERROR(VLOOKUP(D718,Codes!$K$2:$L$409,2,FALSE),"UNKNOWN - "&amp;D718),IF(C718="","",IFERROR(_xlfn.IFS(ISNUMBER(SEARCH("broken button",C718)),"Break",ISNUMBER(SEARCH("broken handle",C718)),"Break",ISNUMBER(SEARCH("shipping damage",C718)),"Break",ISNUMBER(SEARCH("broken",C718)),"Break",ISNUMBER(SEARCH("crack",C718)),"Break",ISNUMBER(SEARCH("snap",C718)),"Break",ISNUMBER(SEARCH("fracture",C718)),"Break",ISNUMBER(SEARCH("bent",C718)),"Material Twisted/Bent",ISNUMBER(SEARCH("twisted",C718)),"Material Twisted/Bent",ISNUMBER(SEARCH("component separat",C718)),"Material Separation",ISNUMBER(SEARCH("separat",C718)),"Material Separation",ISNUMBER(SEARCH("connection",C718)),"Loose or Intermittent Connection",ISNUMBER(SEARCH("loose",C718)),"Loose or Intermittent Connection",ISNUMBER(SEARCH("damaged packaging",C718)),"Packaging Problem",ISNUMBER(SEARCH("packaging",C718)),"Packaging Problem",ISNUMBER(SEARCH("discoloration",C718)),"Contamination",ISNUMBER(SEARCH("tarnish",C718)),"Contamination",ISNUMBER(SEARCH("stain",C718)),"Contamination",ISNUMBER(SEARCH("foreign material",C718)),"Contamination",ISNUMBER(SEARCH("contamina",C718)),"Contamination",ISNUMBER(SEARCH("overheat",C718)),"Overheating of Device",ISNUMBER(SEARCH("excessive heat",C718)),"Overheating of Device",ISNUMBER(SEARCH("hot",C718)),"Overheating of Device",ISNUMBER(SEARCH("noise",C718)),"Noise, Audible",ISNUMBER(SEARCH("sound",C718)),"Noise, Audible",ISNUMBER(SEARCH("loud",C718)),"Noise, Audible",ISNUMBER(SEARCH("fray",C718)),"Material Frayed",ISNUMBER(SEARCH("hole",C718)),"Material Frayed",ISNUMBER(SEARCH("tear",C718)),"Material Frayed",ISNUMBER(SEARCH("worn",C718)),"Material Frayed",ISNUMBER(SEARCH("intermittent",C718)),"Difficult or Delayed Activation",ISNUMBER(SEARCH("delay",C718)),"Difficult or Delayed Activation",ISNUMBER(SEARCH("label",C718)),"Device Markings/Labelling Problem",ISNUMBER(SEARCH("marking",C718)),"Device Markings/Labelling Problem",ISNUMBER(SEARCH("lacerat",C718)),"Defective Device",ISNUMBER(SEARCH("cut",C718)),"Defective Device",ISNUMBER(SEARCH("leak",C718)),"Fluid/Blood Leak",ISNUMBER(SEARCH("missing",C718)),"Component Missing",ISNUMBER(SEARCH("power",C718)),"Complete Loss of Power",ISNUMBER(SEARCH("will not turn on",C718)),"Complete Loss of Power",ISNUMBER(SEARCH("won't turn on",C718)),"Complete Loss of Power",ISNUMBER(SEARCH("does not turn on",C718)),"Complete Loss of Power",ISNUMBER(SEARCH("electrical",C718)),"Electrical Power Problem",ISNUMBER(SEARCH("pressure",C718)),"Detachment of Device or Device Component",ISNUMBER(SEARCH("slip",C718)),"Detachment of Device or Device Component",ISNUMBER(SEARCH("detach",C718)),"Detachment of Device or Device Component",ISNUMBER(SEARCH("stick",C718)),"Mechanical Jam",ISNUMBER(SEARCH("jam",C718)),"Mechanical Jam",ISNUMBER(SEARCH("rigid",C718)),"Mechanical Jam",ISNUMBER(SEARCH("rust",C718)),"Corroded",ISNUMBER(SEARCH("corrod",C718)),"Corroded",ISNUMBER(SEARCH("corrosion",C718)),"Corroded",ISNUMBER(SEARCH("alignment",C718)),"Defective Device",ISNUMBER(SEARCH("adjust",C718)),"Defective Device",ISNUMBER(SEARCH("perform",C718)),"Defective Device",ISNUMBER(SEARCH("malfunction",C718)),"Defective Device",ISNUMBER(SEARCH("defect",C718)),"Defective Device",ISNUMBER(SEARCH("fail",C718)),"Defective Device",ISNUMBER(SEARCH("not work",C718)),"Defective Device",ISNUMBER(SEARCH("doesn't work",C718)),"Defective Device",TRUE,"UNKNOWN"),"UNKNOWN")))</f>
        <v/>
      </c>
      <c r="F718" s="4" t="str">
        <f t="shared" si="12"/>
        <v/>
      </c>
      <c r="G718" s="363" t="str">
        <f>IF(E718="","",IFERROR(VLOOKUP(E718,Codes!$L$2:$N$409,3,FALSE),"—"))</f>
        <v/>
      </c>
      <c r="H718" s="88"/>
      <c r="I718" s="88"/>
    </row>
    <row r="719" spans="1:9" ht="13.15" x14ac:dyDescent="0.35">
      <c r="A719" s="92"/>
      <c r="B719" s="89"/>
      <c r="C719" s="88"/>
      <c r="D719" s="88"/>
      <c r="E719" s="93" t="str" cm="1">
        <f t="array" ref="E719">IF(D719&lt;&gt;"",IFERROR(VLOOKUP(D719,Codes!$K$2:$L$409,2,FALSE),"UNKNOWN - "&amp;D719),IF(C719="","",IFERROR(_xlfn.IFS(ISNUMBER(SEARCH("broken button",C719)),"Break",ISNUMBER(SEARCH("broken handle",C719)),"Break",ISNUMBER(SEARCH("shipping damage",C719)),"Break",ISNUMBER(SEARCH("broken",C719)),"Break",ISNUMBER(SEARCH("crack",C719)),"Break",ISNUMBER(SEARCH("snap",C719)),"Break",ISNUMBER(SEARCH("fracture",C719)),"Break",ISNUMBER(SEARCH("bent",C719)),"Material Twisted/Bent",ISNUMBER(SEARCH("twisted",C719)),"Material Twisted/Bent",ISNUMBER(SEARCH("component separat",C719)),"Material Separation",ISNUMBER(SEARCH("separat",C719)),"Material Separation",ISNUMBER(SEARCH("connection",C719)),"Loose or Intermittent Connection",ISNUMBER(SEARCH("loose",C719)),"Loose or Intermittent Connection",ISNUMBER(SEARCH("damaged packaging",C719)),"Packaging Problem",ISNUMBER(SEARCH("packaging",C719)),"Packaging Problem",ISNUMBER(SEARCH("discoloration",C719)),"Contamination",ISNUMBER(SEARCH("tarnish",C719)),"Contamination",ISNUMBER(SEARCH("stain",C719)),"Contamination",ISNUMBER(SEARCH("foreign material",C719)),"Contamination",ISNUMBER(SEARCH("contamina",C719)),"Contamination",ISNUMBER(SEARCH("overheat",C719)),"Overheating of Device",ISNUMBER(SEARCH("excessive heat",C719)),"Overheating of Device",ISNUMBER(SEARCH("hot",C719)),"Overheating of Device",ISNUMBER(SEARCH("noise",C719)),"Noise, Audible",ISNUMBER(SEARCH("sound",C719)),"Noise, Audible",ISNUMBER(SEARCH("loud",C719)),"Noise, Audible",ISNUMBER(SEARCH("fray",C719)),"Material Frayed",ISNUMBER(SEARCH("hole",C719)),"Material Frayed",ISNUMBER(SEARCH("tear",C719)),"Material Frayed",ISNUMBER(SEARCH("worn",C719)),"Material Frayed",ISNUMBER(SEARCH("intermittent",C719)),"Difficult or Delayed Activation",ISNUMBER(SEARCH("delay",C719)),"Difficult or Delayed Activation",ISNUMBER(SEARCH("label",C719)),"Device Markings/Labelling Problem",ISNUMBER(SEARCH("marking",C719)),"Device Markings/Labelling Problem",ISNUMBER(SEARCH("lacerat",C719)),"Defective Device",ISNUMBER(SEARCH("cut",C719)),"Defective Device",ISNUMBER(SEARCH("leak",C719)),"Fluid/Blood Leak",ISNUMBER(SEARCH("missing",C719)),"Component Missing",ISNUMBER(SEARCH("power",C719)),"Complete Loss of Power",ISNUMBER(SEARCH("will not turn on",C719)),"Complete Loss of Power",ISNUMBER(SEARCH("won't turn on",C719)),"Complete Loss of Power",ISNUMBER(SEARCH("does not turn on",C719)),"Complete Loss of Power",ISNUMBER(SEARCH("electrical",C719)),"Electrical Power Problem",ISNUMBER(SEARCH("pressure",C719)),"Detachment of Device or Device Component",ISNUMBER(SEARCH("slip",C719)),"Detachment of Device or Device Component",ISNUMBER(SEARCH("detach",C719)),"Detachment of Device or Device Component",ISNUMBER(SEARCH("stick",C719)),"Mechanical Jam",ISNUMBER(SEARCH("jam",C719)),"Mechanical Jam",ISNUMBER(SEARCH("rigid",C719)),"Mechanical Jam",ISNUMBER(SEARCH("rust",C719)),"Corroded",ISNUMBER(SEARCH("corrod",C719)),"Corroded",ISNUMBER(SEARCH("corrosion",C719)),"Corroded",ISNUMBER(SEARCH("alignment",C719)),"Defective Device",ISNUMBER(SEARCH("adjust",C719)),"Defective Device",ISNUMBER(SEARCH("perform",C719)),"Defective Device",ISNUMBER(SEARCH("malfunction",C719)),"Defective Device",ISNUMBER(SEARCH("defect",C719)),"Defective Device",ISNUMBER(SEARCH("fail",C719)),"Defective Device",ISNUMBER(SEARCH("not work",C719)),"Defective Device",ISNUMBER(SEARCH("doesn't work",C719)),"Defective Device",TRUE,"UNKNOWN"),"UNKNOWN")))</f>
        <v/>
      </c>
      <c r="F719" s="4" t="str">
        <f t="shared" si="12"/>
        <v/>
      </c>
      <c r="G719" s="363" t="str">
        <f>IF(E719="","",IFERROR(VLOOKUP(E719,Codes!$L$2:$N$409,3,FALSE),"—"))</f>
        <v/>
      </c>
      <c r="H719" s="88"/>
      <c r="I719" s="88"/>
    </row>
    <row r="720" spans="1:9" ht="13.15" x14ac:dyDescent="0.35">
      <c r="A720" s="92"/>
      <c r="B720" s="89"/>
      <c r="C720" s="88"/>
      <c r="D720" s="88"/>
      <c r="E720" s="93" t="str" cm="1">
        <f t="array" ref="E720">IF(D720&lt;&gt;"",IFERROR(VLOOKUP(D720,Codes!$K$2:$L$409,2,FALSE),"UNKNOWN - "&amp;D720),IF(C720="","",IFERROR(_xlfn.IFS(ISNUMBER(SEARCH("broken button",C720)),"Break",ISNUMBER(SEARCH("broken handle",C720)),"Break",ISNUMBER(SEARCH("shipping damage",C720)),"Break",ISNUMBER(SEARCH("broken",C720)),"Break",ISNUMBER(SEARCH("crack",C720)),"Break",ISNUMBER(SEARCH("snap",C720)),"Break",ISNUMBER(SEARCH("fracture",C720)),"Break",ISNUMBER(SEARCH("bent",C720)),"Material Twisted/Bent",ISNUMBER(SEARCH("twisted",C720)),"Material Twisted/Bent",ISNUMBER(SEARCH("component separat",C720)),"Material Separation",ISNUMBER(SEARCH("separat",C720)),"Material Separation",ISNUMBER(SEARCH("connection",C720)),"Loose or Intermittent Connection",ISNUMBER(SEARCH("loose",C720)),"Loose or Intermittent Connection",ISNUMBER(SEARCH("damaged packaging",C720)),"Packaging Problem",ISNUMBER(SEARCH("packaging",C720)),"Packaging Problem",ISNUMBER(SEARCH("discoloration",C720)),"Contamination",ISNUMBER(SEARCH("tarnish",C720)),"Contamination",ISNUMBER(SEARCH("stain",C720)),"Contamination",ISNUMBER(SEARCH("foreign material",C720)),"Contamination",ISNUMBER(SEARCH("contamina",C720)),"Contamination",ISNUMBER(SEARCH("overheat",C720)),"Overheating of Device",ISNUMBER(SEARCH("excessive heat",C720)),"Overheating of Device",ISNUMBER(SEARCH("hot",C720)),"Overheating of Device",ISNUMBER(SEARCH("noise",C720)),"Noise, Audible",ISNUMBER(SEARCH("sound",C720)),"Noise, Audible",ISNUMBER(SEARCH("loud",C720)),"Noise, Audible",ISNUMBER(SEARCH("fray",C720)),"Material Frayed",ISNUMBER(SEARCH("hole",C720)),"Material Frayed",ISNUMBER(SEARCH("tear",C720)),"Material Frayed",ISNUMBER(SEARCH("worn",C720)),"Material Frayed",ISNUMBER(SEARCH("intermittent",C720)),"Difficult or Delayed Activation",ISNUMBER(SEARCH("delay",C720)),"Difficult or Delayed Activation",ISNUMBER(SEARCH("label",C720)),"Device Markings/Labelling Problem",ISNUMBER(SEARCH("marking",C720)),"Device Markings/Labelling Problem",ISNUMBER(SEARCH("lacerat",C720)),"Defective Device",ISNUMBER(SEARCH("cut",C720)),"Defective Device",ISNUMBER(SEARCH("leak",C720)),"Fluid/Blood Leak",ISNUMBER(SEARCH("missing",C720)),"Component Missing",ISNUMBER(SEARCH("power",C720)),"Complete Loss of Power",ISNUMBER(SEARCH("will not turn on",C720)),"Complete Loss of Power",ISNUMBER(SEARCH("won't turn on",C720)),"Complete Loss of Power",ISNUMBER(SEARCH("does not turn on",C720)),"Complete Loss of Power",ISNUMBER(SEARCH("electrical",C720)),"Electrical Power Problem",ISNUMBER(SEARCH("pressure",C720)),"Detachment of Device or Device Component",ISNUMBER(SEARCH("slip",C720)),"Detachment of Device or Device Component",ISNUMBER(SEARCH("detach",C720)),"Detachment of Device or Device Component",ISNUMBER(SEARCH("stick",C720)),"Mechanical Jam",ISNUMBER(SEARCH("jam",C720)),"Mechanical Jam",ISNUMBER(SEARCH("rigid",C720)),"Mechanical Jam",ISNUMBER(SEARCH("rust",C720)),"Corroded",ISNUMBER(SEARCH("corrod",C720)),"Corroded",ISNUMBER(SEARCH("corrosion",C720)),"Corroded",ISNUMBER(SEARCH("alignment",C720)),"Defective Device",ISNUMBER(SEARCH("adjust",C720)),"Defective Device",ISNUMBER(SEARCH("perform",C720)),"Defective Device",ISNUMBER(SEARCH("malfunction",C720)),"Defective Device",ISNUMBER(SEARCH("defect",C720)),"Defective Device",ISNUMBER(SEARCH("fail",C720)),"Defective Device",ISNUMBER(SEARCH("not work",C720)),"Defective Device",ISNUMBER(SEARCH("doesn't work",C720)),"Defective Device",TRUE,"UNKNOWN"),"UNKNOWN")))</f>
        <v/>
      </c>
      <c r="F720" s="4" t="str">
        <f t="shared" si="12"/>
        <v/>
      </c>
      <c r="G720" s="363" t="str">
        <f>IF(E720="","",IFERROR(VLOOKUP(E720,Codes!$L$2:$N$409,3,FALSE),"—"))</f>
        <v/>
      </c>
      <c r="H720" s="88"/>
      <c r="I720" s="88"/>
    </row>
    <row r="721" spans="1:9" ht="13.15" x14ac:dyDescent="0.35">
      <c r="A721" s="92"/>
      <c r="B721" s="89"/>
      <c r="C721" s="88"/>
      <c r="D721" s="88"/>
      <c r="E721" s="93" t="str" cm="1">
        <f t="array" ref="E721">IF(D721&lt;&gt;"",IFERROR(VLOOKUP(D721,Codes!$K$2:$L$409,2,FALSE),"UNKNOWN - "&amp;D721),IF(C721="","",IFERROR(_xlfn.IFS(ISNUMBER(SEARCH("broken button",C721)),"Break",ISNUMBER(SEARCH("broken handle",C721)),"Break",ISNUMBER(SEARCH("shipping damage",C721)),"Break",ISNUMBER(SEARCH("broken",C721)),"Break",ISNUMBER(SEARCH("crack",C721)),"Break",ISNUMBER(SEARCH("snap",C721)),"Break",ISNUMBER(SEARCH("fracture",C721)),"Break",ISNUMBER(SEARCH("bent",C721)),"Material Twisted/Bent",ISNUMBER(SEARCH("twisted",C721)),"Material Twisted/Bent",ISNUMBER(SEARCH("component separat",C721)),"Material Separation",ISNUMBER(SEARCH("separat",C721)),"Material Separation",ISNUMBER(SEARCH("connection",C721)),"Loose or Intermittent Connection",ISNUMBER(SEARCH("loose",C721)),"Loose or Intermittent Connection",ISNUMBER(SEARCH("damaged packaging",C721)),"Packaging Problem",ISNUMBER(SEARCH("packaging",C721)),"Packaging Problem",ISNUMBER(SEARCH("discoloration",C721)),"Contamination",ISNUMBER(SEARCH("tarnish",C721)),"Contamination",ISNUMBER(SEARCH("stain",C721)),"Contamination",ISNUMBER(SEARCH("foreign material",C721)),"Contamination",ISNUMBER(SEARCH("contamina",C721)),"Contamination",ISNUMBER(SEARCH("overheat",C721)),"Overheating of Device",ISNUMBER(SEARCH("excessive heat",C721)),"Overheating of Device",ISNUMBER(SEARCH("hot",C721)),"Overheating of Device",ISNUMBER(SEARCH("noise",C721)),"Noise, Audible",ISNUMBER(SEARCH("sound",C721)),"Noise, Audible",ISNUMBER(SEARCH("loud",C721)),"Noise, Audible",ISNUMBER(SEARCH("fray",C721)),"Material Frayed",ISNUMBER(SEARCH("hole",C721)),"Material Frayed",ISNUMBER(SEARCH("tear",C721)),"Material Frayed",ISNUMBER(SEARCH("worn",C721)),"Material Frayed",ISNUMBER(SEARCH("intermittent",C721)),"Difficult or Delayed Activation",ISNUMBER(SEARCH("delay",C721)),"Difficult or Delayed Activation",ISNUMBER(SEARCH("label",C721)),"Device Markings/Labelling Problem",ISNUMBER(SEARCH("marking",C721)),"Device Markings/Labelling Problem",ISNUMBER(SEARCH("lacerat",C721)),"Defective Device",ISNUMBER(SEARCH("cut",C721)),"Defective Device",ISNUMBER(SEARCH("leak",C721)),"Fluid/Blood Leak",ISNUMBER(SEARCH("missing",C721)),"Component Missing",ISNUMBER(SEARCH("power",C721)),"Complete Loss of Power",ISNUMBER(SEARCH("will not turn on",C721)),"Complete Loss of Power",ISNUMBER(SEARCH("won't turn on",C721)),"Complete Loss of Power",ISNUMBER(SEARCH("does not turn on",C721)),"Complete Loss of Power",ISNUMBER(SEARCH("electrical",C721)),"Electrical Power Problem",ISNUMBER(SEARCH("pressure",C721)),"Detachment of Device or Device Component",ISNUMBER(SEARCH("slip",C721)),"Detachment of Device or Device Component",ISNUMBER(SEARCH("detach",C721)),"Detachment of Device or Device Component",ISNUMBER(SEARCH("stick",C721)),"Mechanical Jam",ISNUMBER(SEARCH("jam",C721)),"Mechanical Jam",ISNUMBER(SEARCH("rigid",C721)),"Mechanical Jam",ISNUMBER(SEARCH("rust",C721)),"Corroded",ISNUMBER(SEARCH("corrod",C721)),"Corroded",ISNUMBER(SEARCH("corrosion",C721)),"Corroded",ISNUMBER(SEARCH("alignment",C721)),"Defective Device",ISNUMBER(SEARCH("adjust",C721)),"Defective Device",ISNUMBER(SEARCH("perform",C721)),"Defective Device",ISNUMBER(SEARCH("malfunction",C721)),"Defective Device",ISNUMBER(SEARCH("defect",C721)),"Defective Device",ISNUMBER(SEARCH("fail",C721)),"Defective Device",ISNUMBER(SEARCH("not work",C721)),"Defective Device",ISNUMBER(SEARCH("doesn't work",C721)),"Defective Device",TRUE,"UNKNOWN"),"UNKNOWN")))</f>
        <v/>
      </c>
      <c r="F721" s="4" t="str">
        <f t="shared" si="12"/>
        <v/>
      </c>
      <c r="G721" s="363" t="str">
        <f>IF(E721="","",IFERROR(VLOOKUP(E721,Codes!$L$2:$N$409,3,FALSE),"—"))</f>
        <v/>
      </c>
      <c r="H721" s="88"/>
      <c r="I721" s="88"/>
    </row>
    <row r="722" spans="1:9" ht="13.15" x14ac:dyDescent="0.35">
      <c r="A722" s="92"/>
      <c r="B722" s="89"/>
      <c r="C722" s="88"/>
      <c r="D722" s="88"/>
      <c r="E722" s="93" t="str" cm="1">
        <f t="array" ref="E722">IF(D722&lt;&gt;"",IFERROR(VLOOKUP(D722,Codes!$K$2:$L$409,2,FALSE),"UNKNOWN - "&amp;D722),IF(C722="","",IFERROR(_xlfn.IFS(ISNUMBER(SEARCH("broken button",C722)),"Break",ISNUMBER(SEARCH("broken handle",C722)),"Break",ISNUMBER(SEARCH("shipping damage",C722)),"Break",ISNUMBER(SEARCH("broken",C722)),"Break",ISNUMBER(SEARCH("crack",C722)),"Break",ISNUMBER(SEARCH("snap",C722)),"Break",ISNUMBER(SEARCH("fracture",C722)),"Break",ISNUMBER(SEARCH("bent",C722)),"Material Twisted/Bent",ISNUMBER(SEARCH("twisted",C722)),"Material Twisted/Bent",ISNUMBER(SEARCH("component separat",C722)),"Material Separation",ISNUMBER(SEARCH("separat",C722)),"Material Separation",ISNUMBER(SEARCH("connection",C722)),"Loose or Intermittent Connection",ISNUMBER(SEARCH("loose",C722)),"Loose or Intermittent Connection",ISNUMBER(SEARCH("damaged packaging",C722)),"Packaging Problem",ISNUMBER(SEARCH("packaging",C722)),"Packaging Problem",ISNUMBER(SEARCH("discoloration",C722)),"Contamination",ISNUMBER(SEARCH("tarnish",C722)),"Contamination",ISNUMBER(SEARCH("stain",C722)),"Contamination",ISNUMBER(SEARCH("foreign material",C722)),"Contamination",ISNUMBER(SEARCH("contamina",C722)),"Contamination",ISNUMBER(SEARCH("overheat",C722)),"Overheating of Device",ISNUMBER(SEARCH("excessive heat",C722)),"Overheating of Device",ISNUMBER(SEARCH("hot",C722)),"Overheating of Device",ISNUMBER(SEARCH("noise",C722)),"Noise, Audible",ISNUMBER(SEARCH("sound",C722)),"Noise, Audible",ISNUMBER(SEARCH("loud",C722)),"Noise, Audible",ISNUMBER(SEARCH("fray",C722)),"Material Frayed",ISNUMBER(SEARCH("hole",C722)),"Material Frayed",ISNUMBER(SEARCH("tear",C722)),"Material Frayed",ISNUMBER(SEARCH("worn",C722)),"Material Frayed",ISNUMBER(SEARCH("intermittent",C722)),"Difficult or Delayed Activation",ISNUMBER(SEARCH("delay",C722)),"Difficult or Delayed Activation",ISNUMBER(SEARCH("label",C722)),"Device Markings/Labelling Problem",ISNUMBER(SEARCH("marking",C722)),"Device Markings/Labelling Problem",ISNUMBER(SEARCH("lacerat",C722)),"Defective Device",ISNUMBER(SEARCH("cut",C722)),"Defective Device",ISNUMBER(SEARCH("leak",C722)),"Fluid/Blood Leak",ISNUMBER(SEARCH("missing",C722)),"Component Missing",ISNUMBER(SEARCH("power",C722)),"Complete Loss of Power",ISNUMBER(SEARCH("will not turn on",C722)),"Complete Loss of Power",ISNUMBER(SEARCH("won't turn on",C722)),"Complete Loss of Power",ISNUMBER(SEARCH("does not turn on",C722)),"Complete Loss of Power",ISNUMBER(SEARCH("electrical",C722)),"Electrical Power Problem",ISNUMBER(SEARCH("pressure",C722)),"Detachment of Device or Device Component",ISNUMBER(SEARCH("slip",C722)),"Detachment of Device or Device Component",ISNUMBER(SEARCH("detach",C722)),"Detachment of Device or Device Component",ISNUMBER(SEARCH("stick",C722)),"Mechanical Jam",ISNUMBER(SEARCH("jam",C722)),"Mechanical Jam",ISNUMBER(SEARCH("rigid",C722)),"Mechanical Jam",ISNUMBER(SEARCH("rust",C722)),"Corroded",ISNUMBER(SEARCH("corrod",C722)),"Corroded",ISNUMBER(SEARCH("corrosion",C722)),"Corroded",ISNUMBER(SEARCH("alignment",C722)),"Defective Device",ISNUMBER(SEARCH("adjust",C722)),"Defective Device",ISNUMBER(SEARCH("perform",C722)),"Defective Device",ISNUMBER(SEARCH("malfunction",C722)),"Defective Device",ISNUMBER(SEARCH("defect",C722)),"Defective Device",ISNUMBER(SEARCH("fail",C722)),"Defective Device",ISNUMBER(SEARCH("not work",C722)),"Defective Device",ISNUMBER(SEARCH("doesn't work",C722)),"Defective Device",TRUE,"UNKNOWN"),"UNKNOWN")))</f>
        <v/>
      </c>
      <c r="F722" s="4" t="str">
        <f t="shared" si="12"/>
        <v/>
      </c>
      <c r="G722" s="363" t="str">
        <f>IF(E722="","",IFERROR(VLOOKUP(E722,Codes!$L$2:$N$409,3,FALSE),"—"))</f>
        <v/>
      </c>
      <c r="H722" s="88"/>
      <c r="I722" s="88"/>
    </row>
    <row r="723" spans="1:9" ht="13.15" x14ac:dyDescent="0.35">
      <c r="A723" s="92"/>
      <c r="B723" s="89"/>
      <c r="C723" s="88"/>
      <c r="D723" s="88"/>
      <c r="E723" s="93" t="str" cm="1">
        <f t="array" ref="E723">IF(D723&lt;&gt;"",IFERROR(VLOOKUP(D723,Codes!$K$2:$L$409,2,FALSE),"UNKNOWN - "&amp;D723),IF(C723="","",IFERROR(_xlfn.IFS(ISNUMBER(SEARCH("broken button",C723)),"Break",ISNUMBER(SEARCH("broken handle",C723)),"Break",ISNUMBER(SEARCH("shipping damage",C723)),"Break",ISNUMBER(SEARCH("broken",C723)),"Break",ISNUMBER(SEARCH("crack",C723)),"Break",ISNUMBER(SEARCH("snap",C723)),"Break",ISNUMBER(SEARCH("fracture",C723)),"Break",ISNUMBER(SEARCH("bent",C723)),"Material Twisted/Bent",ISNUMBER(SEARCH("twisted",C723)),"Material Twisted/Bent",ISNUMBER(SEARCH("component separat",C723)),"Material Separation",ISNUMBER(SEARCH("separat",C723)),"Material Separation",ISNUMBER(SEARCH("connection",C723)),"Loose or Intermittent Connection",ISNUMBER(SEARCH("loose",C723)),"Loose or Intermittent Connection",ISNUMBER(SEARCH("damaged packaging",C723)),"Packaging Problem",ISNUMBER(SEARCH("packaging",C723)),"Packaging Problem",ISNUMBER(SEARCH("discoloration",C723)),"Contamination",ISNUMBER(SEARCH("tarnish",C723)),"Contamination",ISNUMBER(SEARCH("stain",C723)),"Contamination",ISNUMBER(SEARCH("foreign material",C723)),"Contamination",ISNUMBER(SEARCH("contamina",C723)),"Contamination",ISNUMBER(SEARCH("overheat",C723)),"Overheating of Device",ISNUMBER(SEARCH("excessive heat",C723)),"Overheating of Device",ISNUMBER(SEARCH("hot",C723)),"Overheating of Device",ISNUMBER(SEARCH("noise",C723)),"Noise, Audible",ISNUMBER(SEARCH("sound",C723)),"Noise, Audible",ISNUMBER(SEARCH("loud",C723)),"Noise, Audible",ISNUMBER(SEARCH("fray",C723)),"Material Frayed",ISNUMBER(SEARCH("hole",C723)),"Material Frayed",ISNUMBER(SEARCH("tear",C723)),"Material Frayed",ISNUMBER(SEARCH("worn",C723)),"Material Frayed",ISNUMBER(SEARCH("intermittent",C723)),"Difficult or Delayed Activation",ISNUMBER(SEARCH("delay",C723)),"Difficult or Delayed Activation",ISNUMBER(SEARCH("label",C723)),"Device Markings/Labelling Problem",ISNUMBER(SEARCH("marking",C723)),"Device Markings/Labelling Problem",ISNUMBER(SEARCH("lacerat",C723)),"Defective Device",ISNUMBER(SEARCH("cut",C723)),"Defective Device",ISNUMBER(SEARCH("leak",C723)),"Fluid/Blood Leak",ISNUMBER(SEARCH("missing",C723)),"Component Missing",ISNUMBER(SEARCH("power",C723)),"Complete Loss of Power",ISNUMBER(SEARCH("will not turn on",C723)),"Complete Loss of Power",ISNUMBER(SEARCH("won't turn on",C723)),"Complete Loss of Power",ISNUMBER(SEARCH("does not turn on",C723)),"Complete Loss of Power",ISNUMBER(SEARCH("electrical",C723)),"Electrical Power Problem",ISNUMBER(SEARCH("pressure",C723)),"Detachment of Device or Device Component",ISNUMBER(SEARCH("slip",C723)),"Detachment of Device or Device Component",ISNUMBER(SEARCH("detach",C723)),"Detachment of Device or Device Component",ISNUMBER(SEARCH("stick",C723)),"Mechanical Jam",ISNUMBER(SEARCH("jam",C723)),"Mechanical Jam",ISNUMBER(SEARCH("rigid",C723)),"Mechanical Jam",ISNUMBER(SEARCH("rust",C723)),"Corroded",ISNUMBER(SEARCH("corrod",C723)),"Corroded",ISNUMBER(SEARCH("corrosion",C723)),"Corroded",ISNUMBER(SEARCH("alignment",C723)),"Defective Device",ISNUMBER(SEARCH("adjust",C723)),"Defective Device",ISNUMBER(SEARCH("perform",C723)),"Defective Device",ISNUMBER(SEARCH("malfunction",C723)),"Defective Device",ISNUMBER(SEARCH("defect",C723)),"Defective Device",ISNUMBER(SEARCH("fail",C723)),"Defective Device",ISNUMBER(SEARCH("not work",C723)),"Defective Device",ISNUMBER(SEARCH("doesn't work",C723)),"Defective Device",TRUE,"UNKNOWN"),"UNKNOWN")))</f>
        <v/>
      </c>
      <c r="F723" s="4" t="str">
        <f t="shared" si="12"/>
        <v/>
      </c>
      <c r="G723" s="363" t="str">
        <f>IF(E723="","",IFERROR(VLOOKUP(E723,Codes!$L$2:$N$409,3,FALSE),"—"))</f>
        <v/>
      </c>
      <c r="H723" s="88"/>
      <c r="I723" s="88"/>
    </row>
    <row r="724" spans="1:9" ht="13.15" x14ac:dyDescent="0.35">
      <c r="A724" s="92"/>
      <c r="B724" s="89"/>
      <c r="C724" s="88"/>
      <c r="D724" s="88"/>
      <c r="E724" s="93" t="str" cm="1">
        <f t="array" ref="E724">IF(D724&lt;&gt;"",IFERROR(VLOOKUP(D724,Codes!$K$2:$L$409,2,FALSE),"UNKNOWN - "&amp;D724),IF(C724="","",IFERROR(_xlfn.IFS(ISNUMBER(SEARCH("broken button",C724)),"Break",ISNUMBER(SEARCH("broken handle",C724)),"Break",ISNUMBER(SEARCH("shipping damage",C724)),"Break",ISNUMBER(SEARCH("broken",C724)),"Break",ISNUMBER(SEARCH("crack",C724)),"Break",ISNUMBER(SEARCH("snap",C724)),"Break",ISNUMBER(SEARCH("fracture",C724)),"Break",ISNUMBER(SEARCH("bent",C724)),"Material Twisted/Bent",ISNUMBER(SEARCH("twisted",C724)),"Material Twisted/Bent",ISNUMBER(SEARCH("component separat",C724)),"Material Separation",ISNUMBER(SEARCH("separat",C724)),"Material Separation",ISNUMBER(SEARCH("connection",C724)),"Loose or Intermittent Connection",ISNUMBER(SEARCH("loose",C724)),"Loose or Intermittent Connection",ISNUMBER(SEARCH("damaged packaging",C724)),"Packaging Problem",ISNUMBER(SEARCH("packaging",C724)),"Packaging Problem",ISNUMBER(SEARCH("discoloration",C724)),"Contamination",ISNUMBER(SEARCH("tarnish",C724)),"Contamination",ISNUMBER(SEARCH("stain",C724)),"Contamination",ISNUMBER(SEARCH("foreign material",C724)),"Contamination",ISNUMBER(SEARCH("contamina",C724)),"Contamination",ISNUMBER(SEARCH("overheat",C724)),"Overheating of Device",ISNUMBER(SEARCH("excessive heat",C724)),"Overheating of Device",ISNUMBER(SEARCH("hot",C724)),"Overheating of Device",ISNUMBER(SEARCH("noise",C724)),"Noise, Audible",ISNUMBER(SEARCH("sound",C724)),"Noise, Audible",ISNUMBER(SEARCH("loud",C724)),"Noise, Audible",ISNUMBER(SEARCH("fray",C724)),"Material Frayed",ISNUMBER(SEARCH("hole",C724)),"Material Frayed",ISNUMBER(SEARCH("tear",C724)),"Material Frayed",ISNUMBER(SEARCH("worn",C724)),"Material Frayed",ISNUMBER(SEARCH("intermittent",C724)),"Difficult or Delayed Activation",ISNUMBER(SEARCH("delay",C724)),"Difficult or Delayed Activation",ISNUMBER(SEARCH("label",C724)),"Device Markings/Labelling Problem",ISNUMBER(SEARCH("marking",C724)),"Device Markings/Labelling Problem",ISNUMBER(SEARCH("lacerat",C724)),"Defective Device",ISNUMBER(SEARCH("cut",C724)),"Defective Device",ISNUMBER(SEARCH("leak",C724)),"Fluid/Blood Leak",ISNUMBER(SEARCH("missing",C724)),"Component Missing",ISNUMBER(SEARCH("power",C724)),"Complete Loss of Power",ISNUMBER(SEARCH("will not turn on",C724)),"Complete Loss of Power",ISNUMBER(SEARCH("won't turn on",C724)),"Complete Loss of Power",ISNUMBER(SEARCH("does not turn on",C724)),"Complete Loss of Power",ISNUMBER(SEARCH("electrical",C724)),"Electrical Power Problem",ISNUMBER(SEARCH("pressure",C724)),"Detachment of Device or Device Component",ISNUMBER(SEARCH("slip",C724)),"Detachment of Device or Device Component",ISNUMBER(SEARCH("detach",C724)),"Detachment of Device or Device Component",ISNUMBER(SEARCH("stick",C724)),"Mechanical Jam",ISNUMBER(SEARCH("jam",C724)),"Mechanical Jam",ISNUMBER(SEARCH("rigid",C724)),"Mechanical Jam",ISNUMBER(SEARCH("rust",C724)),"Corroded",ISNUMBER(SEARCH("corrod",C724)),"Corroded",ISNUMBER(SEARCH("corrosion",C724)),"Corroded",ISNUMBER(SEARCH("alignment",C724)),"Defective Device",ISNUMBER(SEARCH("adjust",C724)),"Defective Device",ISNUMBER(SEARCH("perform",C724)),"Defective Device",ISNUMBER(SEARCH("malfunction",C724)),"Defective Device",ISNUMBER(SEARCH("defect",C724)),"Defective Device",ISNUMBER(SEARCH("fail",C724)),"Defective Device",ISNUMBER(SEARCH("not work",C724)),"Defective Device",ISNUMBER(SEARCH("doesn't work",C724)),"Defective Device",TRUE,"UNKNOWN"),"UNKNOWN")))</f>
        <v/>
      </c>
      <c r="F724" s="4" t="str">
        <f t="shared" si="12"/>
        <v/>
      </c>
      <c r="G724" s="363" t="str">
        <f>IF(E724="","",IFERROR(VLOOKUP(E724,Codes!$L$2:$N$409,3,FALSE),"—"))</f>
        <v/>
      </c>
      <c r="H724" s="88"/>
      <c r="I724" s="88"/>
    </row>
    <row r="725" spans="1:9" ht="13.15" x14ac:dyDescent="0.35">
      <c r="A725" s="92"/>
      <c r="B725" s="89"/>
      <c r="C725" s="88"/>
      <c r="D725" s="88"/>
      <c r="E725" s="93" t="str" cm="1">
        <f t="array" ref="E725">IF(D725&lt;&gt;"",IFERROR(VLOOKUP(D725,Codes!$K$2:$L$409,2,FALSE),"UNKNOWN - "&amp;D725),IF(C725="","",IFERROR(_xlfn.IFS(ISNUMBER(SEARCH("broken button",C725)),"Break",ISNUMBER(SEARCH("broken handle",C725)),"Break",ISNUMBER(SEARCH("shipping damage",C725)),"Break",ISNUMBER(SEARCH("broken",C725)),"Break",ISNUMBER(SEARCH("crack",C725)),"Break",ISNUMBER(SEARCH("snap",C725)),"Break",ISNUMBER(SEARCH("fracture",C725)),"Break",ISNUMBER(SEARCH("bent",C725)),"Material Twisted/Bent",ISNUMBER(SEARCH("twisted",C725)),"Material Twisted/Bent",ISNUMBER(SEARCH("component separat",C725)),"Material Separation",ISNUMBER(SEARCH("separat",C725)),"Material Separation",ISNUMBER(SEARCH("connection",C725)),"Loose or Intermittent Connection",ISNUMBER(SEARCH("loose",C725)),"Loose or Intermittent Connection",ISNUMBER(SEARCH("damaged packaging",C725)),"Packaging Problem",ISNUMBER(SEARCH("packaging",C725)),"Packaging Problem",ISNUMBER(SEARCH("discoloration",C725)),"Contamination",ISNUMBER(SEARCH("tarnish",C725)),"Contamination",ISNUMBER(SEARCH("stain",C725)),"Contamination",ISNUMBER(SEARCH("foreign material",C725)),"Contamination",ISNUMBER(SEARCH("contamina",C725)),"Contamination",ISNUMBER(SEARCH("overheat",C725)),"Overheating of Device",ISNUMBER(SEARCH("excessive heat",C725)),"Overheating of Device",ISNUMBER(SEARCH("hot",C725)),"Overheating of Device",ISNUMBER(SEARCH("noise",C725)),"Noise, Audible",ISNUMBER(SEARCH("sound",C725)),"Noise, Audible",ISNUMBER(SEARCH("loud",C725)),"Noise, Audible",ISNUMBER(SEARCH("fray",C725)),"Material Frayed",ISNUMBER(SEARCH("hole",C725)),"Material Frayed",ISNUMBER(SEARCH("tear",C725)),"Material Frayed",ISNUMBER(SEARCH("worn",C725)),"Material Frayed",ISNUMBER(SEARCH("intermittent",C725)),"Difficult or Delayed Activation",ISNUMBER(SEARCH("delay",C725)),"Difficult or Delayed Activation",ISNUMBER(SEARCH("label",C725)),"Device Markings/Labelling Problem",ISNUMBER(SEARCH("marking",C725)),"Device Markings/Labelling Problem",ISNUMBER(SEARCH("lacerat",C725)),"Defective Device",ISNUMBER(SEARCH("cut",C725)),"Defective Device",ISNUMBER(SEARCH("leak",C725)),"Fluid/Blood Leak",ISNUMBER(SEARCH("missing",C725)),"Component Missing",ISNUMBER(SEARCH("power",C725)),"Complete Loss of Power",ISNUMBER(SEARCH("will not turn on",C725)),"Complete Loss of Power",ISNUMBER(SEARCH("won't turn on",C725)),"Complete Loss of Power",ISNUMBER(SEARCH("does not turn on",C725)),"Complete Loss of Power",ISNUMBER(SEARCH("electrical",C725)),"Electrical Power Problem",ISNUMBER(SEARCH("pressure",C725)),"Detachment of Device or Device Component",ISNUMBER(SEARCH("slip",C725)),"Detachment of Device or Device Component",ISNUMBER(SEARCH("detach",C725)),"Detachment of Device or Device Component",ISNUMBER(SEARCH("stick",C725)),"Mechanical Jam",ISNUMBER(SEARCH("jam",C725)),"Mechanical Jam",ISNUMBER(SEARCH("rigid",C725)),"Mechanical Jam",ISNUMBER(SEARCH("rust",C725)),"Corroded",ISNUMBER(SEARCH("corrod",C725)),"Corroded",ISNUMBER(SEARCH("corrosion",C725)),"Corroded",ISNUMBER(SEARCH("alignment",C725)),"Defective Device",ISNUMBER(SEARCH("adjust",C725)),"Defective Device",ISNUMBER(SEARCH("perform",C725)),"Defective Device",ISNUMBER(SEARCH("malfunction",C725)),"Defective Device",ISNUMBER(SEARCH("defect",C725)),"Defective Device",ISNUMBER(SEARCH("fail",C725)),"Defective Device",ISNUMBER(SEARCH("not work",C725)),"Defective Device",ISNUMBER(SEARCH("doesn't work",C725)),"Defective Device",TRUE,"UNKNOWN"),"UNKNOWN")))</f>
        <v/>
      </c>
      <c r="F725" s="4" t="str">
        <f t="shared" si="12"/>
        <v/>
      </c>
      <c r="G725" s="363" t="str">
        <f>IF(E725="","",IFERROR(VLOOKUP(E725,Codes!$L$2:$N$409,3,FALSE),"—"))</f>
        <v/>
      </c>
      <c r="H725" s="88"/>
      <c r="I725" s="88"/>
    </row>
    <row r="726" spans="1:9" ht="13.15" x14ac:dyDescent="0.35">
      <c r="A726" s="92"/>
      <c r="B726" s="89"/>
      <c r="C726" s="88"/>
      <c r="D726" s="88"/>
      <c r="E726" s="93" t="str" cm="1">
        <f t="array" ref="E726">IF(D726&lt;&gt;"",IFERROR(VLOOKUP(D726,Codes!$K$2:$L$409,2,FALSE),"UNKNOWN - "&amp;D726),IF(C726="","",IFERROR(_xlfn.IFS(ISNUMBER(SEARCH("broken button",C726)),"Break",ISNUMBER(SEARCH("broken handle",C726)),"Break",ISNUMBER(SEARCH("shipping damage",C726)),"Break",ISNUMBER(SEARCH("broken",C726)),"Break",ISNUMBER(SEARCH("crack",C726)),"Break",ISNUMBER(SEARCH("snap",C726)),"Break",ISNUMBER(SEARCH("fracture",C726)),"Break",ISNUMBER(SEARCH("bent",C726)),"Material Twisted/Bent",ISNUMBER(SEARCH("twisted",C726)),"Material Twisted/Bent",ISNUMBER(SEARCH("component separat",C726)),"Material Separation",ISNUMBER(SEARCH("separat",C726)),"Material Separation",ISNUMBER(SEARCH("connection",C726)),"Loose or Intermittent Connection",ISNUMBER(SEARCH("loose",C726)),"Loose or Intermittent Connection",ISNUMBER(SEARCH("damaged packaging",C726)),"Packaging Problem",ISNUMBER(SEARCH("packaging",C726)),"Packaging Problem",ISNUMBER(SEARCH("discoloration",C726)),"Contamination",ISNUMBER(SEARCH("tarnish",C726)),"Contamination",ISNUMBER(SEARCH("stain",C726)),"Contamination",ISNUMBER(SEARCH("foreign material",C726)),"Contamination",ISNUMBER(SEARCH("contamina",C726)),"Contamination",ISNUMBER(SEARCH("overheat",C726)),"Overheating of Device",ISNUMBER(SEARCH("excessive heat",C726)),"Overheating of Device",ISNUMBER(SEARCH("hot",C726)),"Overheating of Device",ISNUMBER(SEARCH("noise",C726)),"Noise, Audible",ISNUMBER(SEARCH("sound",C726)),"Noise, Audible",ISNUMBER(SEARCH("loud",C726)),"Noise, Audible",ISNUMBER(SEARCH("fray",C726)),"Material Frayed",ISNUMBER(SEARCH("hole",C726)),"Material Frayed",ISNUMBER(SEARCH("tear",C726)),"Material Frayed",ISNUMBER(SEARCH("worn",C726)),"Material Frayed",ISNUMBER(SEARCH("intermittent",C726)),"Difficult or Delayed Activation",ISNUMBER(SEARCH("delay",C726)),"Difficult or Delayed Activation",ISNUMBER(SEARCH("label",C726)),"Device Markings/Labelling Problem",ISNUMBER(SEARCH("marking",C726)),"Device Markings/Labelling Problem",ISNUMBER(SEARCH("lacerat",C726)),"Defective Device",ISNUMBER(SEARCH("cut",C726)),"Defective Device",ISNUMBER(SEARCH("leak",C726)),"Fluid/Blood Leak",ISNUMBER(SEARCH("missing",C726)),"Component Missing",ISNUMBER(SEARCH("power",C726)),"Complete Loss of Power",ISNUMBER(SEARCH("will not turn on",C726)),"Complete Loss of Power",ISNUMBER(SEARCH("won't turn on",C726)),"Complete Loss of Power",ISNUMBER(SEARCH("does not turn on",C726)),"Complete Loss of Power",ISNUMBER(SEARCH("electrical",C726)),"Electrical Power Problem",ISNUMBER(SEARCH("pressure",C726)),"Detachment of Device or Device Component",ISNUMBER(SEARCH("slip",C726)),"Detachment of Device or Device Component",ISNUMBER(SEARCH("detach",C726)),"Detachment of Device or Device Component",ISNUMBER(SEARCH("stick",C726)),"Mechanical Jam",ISNUMBER(SEARCH("jam",C726)),"Mechanical Jam",ISNUMBER(SEARCH("rigid",C726)),"Mechanical Jam",ISNUMBER(SEARCH("rust",C726)),"Corroded",ISNUMBER(SEARCH("corrod",C726)),"Corroded",ISNUMBER(SEARCH("corrosion",C726)),"Corroded",ISNUMBER(SEARCH("alignment",C726)),"Defective Device",ISNUMBER(SEARCH("adjust",C726)),"Defective Device",ISNUMBER(SEARCH("perform",C726)),"Defective Device",ISNUMBER(SEARCH("malfunction",C726)),"Defective Device",ISNUMBER(SEARCH("defect",C726)),"Defective Device",ISNUMBER(SEARCH("fail",C726)),"Defective Device",ISNUMBER(SEARCH("not work",C726)),"Defective Device",ISNUMBER(SEARCH("doesn't work",C726)),"Defective Device",TRUE,"UNKNOWN"),"UNKNOWN")))</f>
        <v/>
      </c>
      <c r="F726" s="4" t="str">
        <f t="shared" si="12"/>
        <v/>
      </c>
      <c r="G726" s="363" t="str">
        <f>IF(E726="","",IFERROR(VLOOKUP(E726,Codes!$L$2:$N$409,3,FALSE),"—"))</f>
        <v/>
      </c>
      <c r="H726" s="88"/>
      <c r="I726" s="88"/>
    </row>
    <row r="727" spans="1:9" ht="13.15" x14ac:dyDescent="0.35">
      <c r="A727" s="92"/>
      <c r="B727" s="89"/>
      <c r="C727" s="88"/>
      <c r="D727" s="88"/>
      <c r="E727" s="93" t="str" cm="1">
        <f t="array" ref="E727">IF(D727&lt;&gt;"",IFERROR(VLOOKUP(D727,Codes!$K$2:$L$409,2,FALSE),"UNKNOWN - "&amp;D727),IF(C727="","",IFERROR(_xlfn.IFS(ISNUMBER(SEARCH("broken button",C727)),"Break",ISNUMBER(SEARCH("broken handle",C727)),"Break",ISNUMBER(SEARCH("shipping damage",C727)),"Break",ISNUMBER(SEARCH("broken",C727)),"Break",ISNUMBER(SEARCH("crack",C727)),"Break",ISNUMBER(SEARCH("snap",C727)),"Break",ISNUMBER(SEARCH("fracture",C727)),"Break",ISNUMBER(SEARCH("bent",C727)),"Material Twisted/Bent",ISNUMBER(SEARCH("twisted",C727)),"Material Twisted/Bent",ISNUMBER(SEARCH("component separat",C727)),"Material Separation",ISNUMBER(SEARCH("separat",C727)),"Material Separation",ISNUMBER(SEARCH("connection",C727)),"Loose or Intermittent Connection",ISNUMBER(SEARCH("loose",C727)),"Loose or Intermittent Connection",ISNUMBER(SEARCH("damaged packaging",C727)),"Packaging Problem",ISNUMBER(SEARCH("packaging",C727)),"Packaging Problem",ISNUMBER(SEARCH("discoloration",C727)),"Contamination",ISNUMBER(SEARCH("tarnish",C727)),"Contamination",ISNUMBER(SEARCH("stain",C727)),"Contamination",ISNUMBER(SEARCH("foreign material",C727)),"Contamination",ISNUMBER(SEARCH("contamina",C727)),"Contamination",ISNUMBER(SEARCH("overheat",C727)),"Overheating of Device",ISNUMBER(SEARCH("excessive heat",C727)),"Overheating of Device",ISNUMBER(SEARCH("hot",C727)),"Overheating of Device",ISNUMBER(SEARCH("noise",C727)),"Noise, Audible",ISNUMBER(SEARCH("sound",C727)),"Noise, Audible",ISNUMBER(SEARCH("loud",C727)),"Noise, Audible",ISNUMBER(SEARCH("fray",C727)),"Material Frayed",ISNUMBER(SEARCH("hole",C727)),"Material Frayed",ISNUMBER(SEARCH("tear",C727)),"Material Frayed",ISNUMBER(SEARCH("worn",C727)),"Material Frayed",ISNUMBER(SEARCH("intermittent",C727)),"Difficult or Delayed Activation",ISNUMBER(SEARCH("delay",C727)),"Difficult or Delayed Activation",ISNUMBER(SEARCH("label",C727)),"Device Markings/Labelling Problem",ISNUMBER(SEARCH("marking",C727)),"Device Markings/Labelling Problem",ISNUMBER(SEARCH("lacerat",C727)),"Defective Device",ISNUMBER(SEARCH("cut",C727)),"Defective Device",ISNUMBER(SEARCH("leak",C727)),"Fluid/Blood Leak",ISNUMBER(SEARCH("missing",C727)),"Component Missing",ISNUMBER(SEARCH("power",C727)),"Complete Loss of Power",ISNUMBER(SEARCH("will not turn on",C727)),"Complete Loss of Power",ISNUMBER(SEARCH("won't turn on",C727)),"Complete Loss of Power",ISNUMBER(SEARCH("does not turn on",C727)),"Complete Loss of Power",ISNUMBER(SEARCH("electrical",C727)),"Electrical Power Problem",ISNUMBER(SEARCH("pressure",C727)),"Detachment of Device or Device Component",ISNUMBER(SEARCH("slip",C727)),"Detachment of Device or Device Component",ISNUMBER(SEARCH("detach",C727)),"Detachment of Device or Device Component",ISNUMBER(SEARCH("stick",C727)),"Mechanical Jam",ISNUMBER(SEARCH("jam",C727)),"Mechanical Jam",ISNUMBER(SEARCH("rigid",C727)),"Mechanical Jam",ISNUMBER(SEARCH("rust",C727)),"Corroded",ISNUMBER(SEARCH("corrod",C727)),"Corroded",ISNUMBER(SEARCH("corrosion",C727)),"Corroded",ISNUMBER(SEARCH("alignment",C727)),"Defective Device",ISNUMBER(SEARCH("adjust",C727)),"Defective Device",ISNUMBER(SEARCH("perform",C727)),"Defective Device",ISNUMBER(SEARCH("malfunction",C727)),"Defective Device",ISNUMBER(SEARCH("defect",C727)),"Defective Device",ISNUMBER(SEARCH("fail",C727)),"Defective Device",ISNUMBER(SEARCH("not work",C727)),"Defective Device",ISNUMBER(SEARCH("doesn't work",C727)),"Defective Device",TRUE,"UNKNOWN"),"UNKNOWN")))</f>
        <v/>
      </c>
      <c r="F727" s="4" t="str">
        <f t="shared" si="12"/>
        <v/>
      </c>
      <c r="G727" s="363" t="str">
        <f>IF(E727="","",IFERROR(VLOOKUP(E727,Codes!$L$2:$N$409,3,FALSE),"—"))</f>
        <v/>
      </c>
      <c r="H727" s="88"/>
      <c r="I727" s="88"/>
    </row>
    <row r="728" spans="1:9" ht="13.15" x14ac:dyDescent="0.35">
      <c r="A728" s="92"/>
      <c r="B728" s="89"/>
      <c r="C728" s="88"/>
      <c r="D728" s="88"/>
      <c r="E728" s="93" t="str" cm="1">
        <f t="array" ref="E728">IF(D728&lt;&gt;"",IFERROR(VLOOKUP(D728,Codes!$K$2:$L$409,2,FALSE),"UNKNOWN - "&amp;D728),IF(C728="","",IFERROR(_xlfn.IFS(ISNUMBER(SEARCH("broken button",C728)),"Break",ISNUMBER(SEARCH("broken handle",C728)),"Break",ISNUMBER(SEARCH("shipping damage",C728)),"Break",ISNUMBER(SEARCH("broken",C728)),"Break",ISNUMBER(SEARCH("crack",C728)),"Break",ISNUMBER(SEARCH("snap",C728)),"Break",ISNUMBER(SEARCH("fracture",C728)),"Break",ISNUMBER(SEARCH("bent",C728)),"Material Twisted/Bent",ISNUMBER(SEARCH("twisted",C728)),"Material Twisted/Bent",ISNUMBER(SEARCH("component separat",C728)),"Material Separation",ISNUMBER(SEARCH("separat",C728)),"Material Separation",ISNUMBER(SEARCH("connection",C728)),"Loose or Intermittent Connection",ISNUMBER(SEARCH("loose",C728)),"Loose or Intermittent Connection",ISNUMBER(SEARCH("damaged packaging",C728)),"Packaging Problem",ISNUMBER(SEARCH("packaging",C728)),"Packaging Problem",ISNUMBER(SEARCH("discoloration",C728)),"Contamination",ISNUMBER(SEARCH("tarnish",C728)),"Contamination",ISNUMBER(SEARCH("stain",C728)),"Contamination",ISNUMBER(SEARCH("foreign material",C728)),"Contamination",ISNUMBER(SEARCH("contamina",C728)),"Contamination",ISNUMBER(SEARCH("overheat",C728)),"Overheating of Device",ISNUMBER(SEARCH("excessive heat",C728)),"Overheating of Device",ISNUMBER(SEARCH("hot",C728)),"Overheating of Device",ISNUMBER(SEARCH("noise",C728)),"Noise, Audible",ISNUMBER(SEARCH("sound",C728)),"Noise, Audible",ISNUMBER(SEARCH("loud",C728)),"Noise, Audible",ISNUMBER(SEARCH("fray",C728)),"Material Frayed",ISNUMBER(SEARCH("hole",C728)),"Material Frayed",ISNUMBER(SEARCH("tear",C728)),"Material Frayed",ISNUMBER(SEARCH("worn",C728)),"Material Frayed",ISNUMBER(SEARCH("intermittent",C728)),"Difficult or Delayed Activation",ISNUMBER(SEARCH("delay",C728)),"Difficult or Delayed Activation",ISNUMBER(SEARCH("label",C728)),"Device Markings/Labelling Problem",ISNUMBER(SEARCH("marking",C728)),"Device Markings/Labelling Problem",ISNUMBER(SEARCH("lacerat",C728)),"Defective Device",ISNUMBER(SEARCH("cut",C728)),"Defective Device",ISNUMBER(SEARCH("leak",C728)),"Fluid/Blood Leak",ISNUMBER(SEARCH("missing",C728)),"Component Missing",ISNUMBER(SEARCH("power",C728)),"Complete Loss of Power",ISNUMBER(SEARCH("will not turn on",C728)),"Complete Loss of Power",ISNUMBER(SEARCH("won't turn on",C728)),"Complete Loss of Power",ISNUMBER(SEARCH("does not turn on",C728)),"Complete Loss of Power",ISNUMBER(SEARCH("electrical",C728)),"Electrical Power Problem",ISNUMBER(SEARCH("pressure",C728)),"Detachment of Device or Device Component",ISNUMBER(SEARCH("slip",C728)),"Detachment of Device or Device Component",ISNUMBER(SEARCH("detach",C728)),"Detachment of Device or Device Component",ISNUMBER(SEARCH("stick",C728)),"Mechanical Jam",ISNUMBER(SEARCH("jam",C728)),"Mechanical Jam",ISNUMBER(SEARCH("rigid",C728)),"Mechanical Jam",ISNUMBER(SEARCH("rust",C728)),"Corroded",ISNUMBER(SEARCH("corrod",C728)),"Corroded",ISNUMBER(SEARCH("corrosion",C728)),"Corroded",ISNUMBER(SEARCH("alignment",C728)),"Defective Device",ISNUMBER(SEARCH("adjust",C728)),"Defective Device",ISNUMBER(SEARCH("perform",C728)),"Defective Device",ISNUMBER(SEARCH("malfunction",C728)),"Defective Device",ISNUMBER(SEARCH("defect",C728)),"Defective Device",ISNUMBER(SEARCH("fail",C728)),"Defective Device",ISNUMBER(SEARCH("not work",C728)),"Defective Device",ISNUMBER(SEARCH("doesn't work",C728)),"Defective Device",TRUE,"UNKNOWN"),"UNKNOWN")))</f>
        <v/>
      </c>
      <c r="F728" s="4" t="str">
        <f t="shared" si="12"/>
        <v/>
      </c>
      <c r="G728" s="363" t="str">
        <f>IF(E728="","",IFERROR(VLOOKUP(E728,Codes!$L$2:$N$409,3,FALSE),"—"))</f>
        <v/>
      </c>
      <c r="H728" s="88"/>
      <c r="I728" s="88"/>
    </row>
    <row r="729" spans="1:9" ht="13.15" x14ac:dyDescent="0.35">
      <c r="A729" s="92"/>
      <c r="B729" s="89"/>
      <c r="C729" s="88"/>
      <c r="D729" s="88"/>
      <c r="E729" s="93" t="str" cm="1">
        <f t="array" ref="E729">IF(D729&lt;&gt;"",IFERROR(VLOOKUP(D729,Codes!$K$2:$L$409,2,FALSE),"UNKNOWN - "&amp;D729),IF(C729="","",IFERROR(_xlfn.IFS(ISNUMBER(SEARCH("broken button",C729)),"Break",ISNUMBER(SEARCH("broken handle",C729)),"Break",ISNUMBER(SEARCH("shipping damage",C729)),"Break",ISNUMBER(SEARCH("broken",C729)),"Break",ISNUMBER(SEARCH("crack",C729)),"Break",ISNUMBER(SEARCH("snap",C729)),"Break",ISNUMBER(SEARCH("fracture",C729)),"Break",ISNUMBER(SEARCH("bent",C729)),"Material Twisted/Bent",ISNUMBER(SEARCH("twisted",C729)),"Material Twisted/Bent",ISNUMBER(SEARCH("component separat",C729)),"Material Separation",ISNUMBER(SEARCH("separat",C729)),"Material Separation",ISNUMBER(SEARCH("connection",C729)),"Loose or Intermittent Connection",ISNUMBER(SEARCH("loose",C729)),"Loose or Intermittent Connection",ISNUMBER(SEARCH("damaged packaging",C729)),"Packaging Problem",ISNUMBER(SEARCH("packaging",C729)),"Packaging Problem",ISNUMBER(SEARCH("discoloration",C729)),"Contamination",ISNUMBER(SEARCH("tarnish",C729)),"Contamination",ISNUMBER(SEARCH("stain",C729)),"Contamination",ISNUMBER(SEARCH("foreign material",C729)),"Contamination",ISNUMBER(SEARCH("contamina",C729)),"Contamination",ISNUMBER(SEARCH("overheat",C729)),"Overheating of Device",ISNUMBER(SEARCH("excessive heat",C729)),"Overheating of Device",ISNUMBER(SEARCH("hot",C729)),"Overheating of Device",ISNUMBER(SEARCH("noise",C729)),"Noise, Audible",ISNUMBER(SEARCH("sound",C729)),"Noise, Audible",ISNUMBER(SEARCH("loud",C729)),"Noise, Audible",ISNUMBER(SEARCH("fray",C729)),"Material Frayed",ISNUMBER(SEARCH("hole",C729)),"Material Frayed",ISNUMBER(SEARCH("tear",C729)),"Material Frayed",ISNUMBER(SEARCH("worn",C729)),"Material Frayed",ISNUMBER(SEARCH("intermittent",C729)),"Difficult or Delayed Activation",ISNUMBER(SEARCH("delay",C729)),"Difficult or Delayed Activation",ISNUMBER(SEARCH("label",C729)),"Device Markings/Labelling Problem",ISNUMBER(SEARCH("marking",C729)),"Device Markings/Labelling Problem",ISNUMBER(SEARCH("lacerat",C729)),"Defective Device",ISNUMBER(SEARCH("cut",C729)),"Defective Device",ISNUMBER(SEARCH("leak",C729)),"Fluid/Blood Leak",ISNUMBER(SEARCH("missing",C729)),"Component Missing",ISNUMBER(SEARCH("power",C729)),"Complete Loss of Power",ISNUMBER(SEARCH("will not turn on",C729)),"Complete Loss of Power",ISNUMBER(SEARCH("won't turn on",C729)),"Complete Loss of Power",ISNUMBER(SEARCH("does not turn on",C729)),"Complete Loss of Power",ISNUMBER(SEARCH("electrical",C729)),"Electrical Power Problem",ISNUMBER(SEARCH("pressure",C729)),"Detachment of Device or Device Component",ISNUMBER(SEARCH("slip",C729)),"Detachment of Device or Device Component",ISNUMBER(SEARCH("detach",C729)),"Detachment of Device or Device Component",ISNUMBER(SEARCH("stick",C729)),"Mechanical Jam",ISNUMBER(SEARCH("jam",C729)),"Mechanical Jam",ISNUMBER(SEARCH("rigid",C729)),"Mechanical Jam",ISNUMBER(SEARCH("rust",C729)),"Corroded",ISNUMBER(SEARCH("corrod",C729)),"Corroded",ISNUMBER(SEARCH("corrosion",C729)),"Corroded",ISNUMBER(SEARCH("alignment",C729)),"Defective Device",ISNUMBER(SEARCH("adjust",C729)),"Defective Device",ISNUMBER(SEARCH("perform",C729)),"Defective Device",ISNUMBER(SEARCH("malfunction",C729)),"Defective Device",ISNUMBER(SEARCH("defect",C729)),"Defective Device",ISNUMBER(SEARCH("fail",C729)),"Defective Device",ISNUMBER(SEARCH("not work",C729)),"Defective Device",ISNUMBER(SEARCH("doesn't work",C729)),"Defective Device",TRUE,"UNKNOWN"),"UNKNOWN")))</f>
        <v/>
      </c>
      <c r="F729" s="4" t="str">
        <f t="shared" si="12"/>
        <v/>
      </c>
      <c r="G729" s="363" t="str">
        <f>IF(E729="","",IFERROR(VLOOKUP(E729,Codes!$L$2:$N$409,3,FALSE),"—"))</f>
        <v/>
      </c>
      <c r="H729" s="88"/>
      <c r="I729" s="88"/>
    </row>
    <row r="730" spans="1:9" ht="13.15" x14ac:dyDescent="0.35">
      <c r="A730" s="92"/>
      <c r="B730" s="89"/>
      <c r="C730" s="88"/>
      <c r="D730" s="88"/>
      <c r="E730" s="93" t="str" cm="1">
        <f t="array" ref="E730">IF(D730&lt;&gt;"",IFERROR(VLOOKUP(D730,Codes!$K$2:$L$409,2,FALSE),"UNKNOWN - "&amp;D730),IF(C730="","",IFERROR(_xlfn.IFS(ISNUMBER(SEARCH("broken button",C730)),"Break",ISNUMBER(SEARCH("broken handle",C730)),"Break",ISNUMBER(SEARCH("shipping damage",C730)),"Break",ISNUMBER(SEARCH("broken",C730)),"Break",ISNUMBER(SEARCH("crack",C730)),"Break",ISNUMBER(SEARCH("snap",C730)),"Break",ISNUMBER(SEARCH("fracture",C730)),"Break",ISNUMBER(SEARCH("bent",C730)),"Material Twisted/Bent",ISNUMBER(SEARCH("twisted",C730)),"Material Twisted/Bent",ISNUMBER(SEARCH("component separat",C730)),"Material Separation",ISNUMBER(SEARCH("separat",C730)),"Material Separation",ISNUMBER(SEARCH("connection",C730)),"Loose or Intermittent Connection",ISNUMBER(SEARCH("loose",C730)),"Loose or Intermittent Connection",ISNUMBER(SEARCH("damaged packaging",C730)),"Packaging Problem",ISNUMBER(SEARCH("packaging",C730)),"Packaging Problem",ISNUMBER(SEARCH("discoloration",C730)),"Contamination",ISNUMBER(SEARCH("tarnish",C730)),"Contamination",ISNUMBER(SEARCH("stain",C730)),"Contamination",ISNUMBER(SEARCH("foreign material",C730)),"Contamination",ISNUMBER(SEARCH("contamina",C730)),"Contamination",ISNUMBER(SEARCH("overheat",C730)),"Overheating of Device",ISNUMBER(SEARCH("excessive heat",C730)),"Overheating of Device",ISNUMBER(SEARCH("hot",C730)),"Overheating of Device",ISNUMBER(SEARCH("noise",C730)),"Noise, Audible",ISNUMBER(SEARCH("sound",C730)),"Noise, Audible",ISNUMBER(SEARCH("loud",C730)),"Noise, Audible",ISNUMBER(SEARCH("fray",C730)),"Material Frayed",ISNUMBER(SEARCH("hole",C730)),"Material Frayed",ISNUMBER(SEARCH("tear",C730)),"Material Frayed",ISNUMBER(SEARCH("worn",C730)),"Material Frayed",ISNUMBER(SEARCH("intermittent",C730)),"Difficult or Delayed Activation",ISNUMBER(SEARCH("delay",C730)),"Difficult or Delayed Activation",ISNUMBER(SEARCH("label",C730)),"Device Markings/Labelling Problem",ISNUMBER(SEARCH("marking",C730)),"Device Markings/Labelling Problem",ISNUMBER(SEARCH("lacerat",C730)),"Defective Device",ISNUMBER(SEARCH("cut",C730)),"Defective Device",ISNUMBER(SEARCH("leak",C730)),"Fluid/Blood Leak",ISNUMBER(SEARCH("missing",C730)),"Component Missing",ISNUMBER(SEARCH("power",C730)),"Complete Loss of Power",ISNUMBER(SEARCH("will not turn on",C730)),"Complete Loss of Power",ISNUMBER(SEARCH("won't turn on",C730)),"Complete Loss of Power",ISNUMBER(SEARCH("does not turn on",C730)),"Complete Loss of Power",ISNUMBER(SEARCH("electrical",C730)),"Electrical Power Problem",ISNUMBER(SEARCH("pressure",C730)),"Detachment of Device or Device Component",ISNUMBER(SEARCH("slip",C730)),"Detachment of Device or Device Component",ISNUMBER(SEARCH("detach",C730)),"Detachment of Device or Device Component",ISNUMBER(SEARCH("stick",C730)),"Mechanical Jam",ISNUMBER(SEARCH("jam",C730)),"Mechanical Jam",ISNUMBER(SEARCH("rigid",C730)),"Mechanical Jam",ISNUMBER(SEARCH("rust",C730)),"Corroded",ISNUMBER(SEARCH("corrod",C730)),"Corroded",ISNUMBER(SEARCH("corrosion",C730)),"Corroded",ISNUMBER(SEARCH("alignment",C730)),"Defective Device",ISNUMBER(SEARCH("adjust",C730)),"Defective Device",ISNUMBER(SEARCH("perform",C730)),"Defective Device",ISNUMBER(SEARCH("malfunction",C730)),"Defective Device",ISNUMBER(SEARCH("defect",C730)),"Defective Device",ISNUMBER(SEARCH("fail",C730)),"Defective Device",ISNUMBER(SEARCH("not work",C730)),"Defective Device",ISNUMBER(SEARCH("doesn't work",C730)),"Defective Device",TRUE,"UNKNOWN"),"UNKNOWN")))</f>
        <v/>
      </c>
      <c r="F730" s="4" t="str">
        <f t="shared" si="12"/>
        <v/>
      </c>
      <c r="G730" s="363" t="str">
        <f>IF(E730="","",IFERROR(VLOOKUP(E730,Codes!$L$2:$N$409,3,FALSE),"—"))</f>
        <v/>
      </c>
      <c r="H730" s="88"/>
      <c r="I730" s="88"/>
    </row>
    <row r="731" spans="1:9" ht="13.15" x14ac:dyDescent="0.35">
      <c r="A731" s="92"/>
      <c r="B731" s="89"/>
      <c r="C731" s="88"/>
      <c r="D731" s="88"/>
      <c r="E731" s="93" t="str" cm="1">
        <f t="array" ref="E731">IF(D731&lt;&gt;"",IFERROR(VLOOKUP(D731,Codes!$K$2:$L$409,2,FALSE),"UNKNOWN - "&amp;D731),IF(C731="","",IFERROR(_xlfn.IFS(ISNUMBER(SEARCH("broken button",C731)),"Break",ISNUMBER(SEARCH("broken handle",C731)),"Break",ISNUMBER(SEARCH("shipping damage",C731)),"Break",ISNUMBER(SEARCH("broken",C731)),"Break",ISNUMBER(SEARCH("crack",C731)),"Break",ISNUMBER(SEARCH("snap",C731)),"Break",ISNUMBER(SEARCH("fracture",C731)),"Break",ISNUMBER(SEARCH("bent",C731)),"Material Twisted/Bent",ISNUMBER(SEARCH("twisted",C731)),"Material Twisted/Bent",ISNUMBER(SEARCH("component separat",C731)),"Material Separation",ISNUMBER(SEARCH("separat",C731)),"Material Separation",ISNUMBER(SEARCH("connection",C731)),"Loose or Intermittent Connection",ISNUMBER(SEARCH("loose",C731)),"Loose or Intermittent Connection",ISNUMBER(SEARCH("damaged packaging",C731)),"Packaging Problem",ISNUMBER(SEARCH("packaging",C731)),"Packaging Problem",ISNUMBER(SEARCH("discoloration",C731)),"Contamination",ISNUMBER(SEARCH("tarnish",C731)),"Contamination",ISNUMBER(SEARCH("stain",C731)),"Contamination",ISNUMBER(SEARCH("foreign material",C731)),"Contamination",ISNUMBER(SEARCH("contamina",C731)),"Contamination",ISNUMBER(SEARCH("overheat",C731)),"Overheating of Device",ISNUMBER(SEARCH("excessive heat",C731)),"Overheating of Device",ISNUMBER(SEARCH("hot",C731)),"Overheating of Device",ISNUMBER(SEARCH("noise",C731)),"Noise, Audible",ISNUMBER(SEARCH("sound",C731)),"Noise, Audible",ISNUMBER(SEARCH("loud",C731)),"Noise, Audible",ISNUMBER(SEARCH("fray",C731)),"Material Frayed",ISNUMBER(SEARCH("hole",C731)),"Material Frayed",ISNUMBER(SEARCH("tear",C731)),"Material Frayed",ISNUMBER(SEARCH("worn",C731)),"Material Frayed",ISNUMBER(SEARCH("intermittent",C731)),"Difficult or Delayed Activation",ISNUMBER(SEARCH("delay",C731)),"Difficult or Delayed Activation",ISNUMBER(SEARCH("label",C731)),"Device Markings/Labelling Problem",ISNUMBER(SEARCH("marking",C731)),"Device Markings/Labelling Problem",ISNUMBER(SEARCH("lacerat",C731)),"Defective Device",ISNUMBER(SEARCH("cut",C731)),"Defective Device",ISNUMBER(SEARCH("leak",C731)),"Fluid/Blood Leak",ISNUMBER(SEARCH("missing",C731)),"Component Missing",ISNUMBER(SEARCH("power",C731)),"Complete Loss of Power",ISNUMBER(SEARCH("will not turn on",C731)),"Complete Loss of Power",ISNUMBER(SEARCH("won't turn on",C731)),"Complete Loss of Power",ISNUMBER(SEARCH("does not turn on",C731)),"Complete Loss of Power",ISNUMBER(SEARCH("electrical",C731)),"Electrical Power Problem",ISNUMBER(SEARCH("pressure",C731)),"Detachment of Device or Device Component",ISNUMBER(SEARCH("slip",C731)),"Detachment of Device or Device Component",ISNUMBER(SEARCH("detach",C731)),"Detachment of Device or Device Component",ISNUMBER(SEARCH("stick",C731)),"Mechanical Jam",ISNUMBER(SEARCH("jam",C731)),"Mechanical Jam",ISNUMBER(SEARCH("rigid",C731)),"Mechanical Jam",ISNUMBER(SEARCH("rust",C731)),"Corroded",ISNUMBER(SEARCH("corrod",C731)),"Corroded",ISNUMBER(SEARCH("corrosion",C731)),"Corroded",ISNUMBER(SEARCH("alignment",C731)),"Defective Device",ISNUMBER(SEARCH("adjust",C731)),"Defective Device",ISNUMBER(SEARCH("perform",C731)),"Defective Device",ISNUMBER(SEARCH("malfunction",C731)),"Defective Device",ISNUMBER(SEARCH("defect",C731)),"Defective Device",ISNUMBER(SEARCH("fail",C731)),"Defective Device",ISNUMBER(SEARCH("not work",C731)),"Defective Device",ISNUMBER(SEARCH("doesn't work",C731)),"Defective Device",TRUE,"UNKNOWN"),"UNKNOWN")))</f>
        <v/>
      </c>
      <c r="F731" s="4" t="str">
        <f t="shared" si="12"/>
        <v/>
      </c>
      <c r="G731" s="363" t="str">
        <f>IF(E731="","",IFERROR(VLOOKUP(E731,Codes!$L$2:$N$409,3,FALSE),"—"))</f>
        <v/>
      </c>
      <c r="H731" s="88"/>
      <c r="I731" s="88"/>
    </row>
    <row r="732" spans="1:9" ht="13.15" x14ac:dyDescent="0.35">
      <c r="A732" s="92"/>
      <c r="B732" s="89"/>
      <c r="C732" s="88"/>
      <c r="D732" s="88"/>
      <c r="E732" s="93" t="str" cm="1">
        <f t="array" ref="E732">IF(D732&lt;&gt;"",IFERROR(VLOOKUP(D732,Codes!$K$2:$L$409,2,FALSE),"UNKNOWN - "&amp;D732),IF(C732="","",IFERROR(_xlfn.IFS(ISNUMBER(SEARCH("broken button",C732)),"Break",ISNUMBER(SEARCH("broken handle",C732)),"Break",ISNUMBER(SEARCH("shipping damage",C732)),"Break",ISNUMBER(SEARCH("broken",C732)),"Break",ISNUMBER(SEARCH("crack",C732)),"Break",ISNUMBER(SEARCH("snap",C732)),"Break",ISNUMBER(SEARCH("fracture",C732)),"Break",ISNUMBER(SEARCH("bent",C732)),"Material Twisted/Bent",ISNUMBER(SEARCH("twisted",C732)),"Material Twisted/Bent",ISNUMBER(SEARCH("component separat",C732)),"Material Separation",ISNUMBER(SEARCH("separat",C732)),"Material Separation",ISNUMBER(SEARCH("connection",C732)),"Loose or Intermittent Connection",ISNUMBER(SEARCH("loose",C732)),"Loose or Intermittent Connection",ISNUMBER(SEARCH("damaged packaging",C732)),"Packaging Problem",ISNUMBER(SEARCH("packaging",C732)),"Packaging Problem",ISNUMBER(SEARCH("discoloration",C732)),"Contamination",ISNUMBER(SEARCH("tarnish",C732)),"Contamination",ISNUMBER(SEARCH("stain",C732)),"Contamination",ISNUMBER(SEARCH("foreign material",C732)),"Contamination",ISNUMBER(SEARCH("contamina",C732)),"Contamination",ISNUMBER(SEARCH("overheat",C732)),"Overheating of Device",ISNUMBER(SEARCH("excessive heat",C732)),"Overheating of Device",ISNUMBER(SEARCH("hot",C732)),"Overheating of Device",ISNUMBER(SEARCH("noise",C732)),"Noise, Audible",ISNUMBER(SEARCH("sound",C732)),"Noise, Audible",ISNUMBER(SEARCH("loud",C732)),"Noise, Audible",ISNUMBER(SEARCH("fray",C732)),"Material Frayed",ISNUMBER(SEARCH("hole",C732)),"Material Frayed",ISNUMBER(SEARCH("tear",C732)),"Material Frayed",ISNUMBER(SEARCH("worn",C732)),"Material Frayed",ISNUMBER(SEARCH("intermittent",C732)),"Difficult or Delayed Activation",ISNUMBER(SEARCH("delay",C732)),"Difficult or Delayed Activation",ISNUMBER(SEARCH("label",C732)),"Device Markings/Labelling Problem",ISNUMBER(SEARCH("marking",C732)),"Device Markings/Labelling Problem",ISNUMBER(SEARCH("lacerat",C732)),"Defective Device",ISNUMBER(SEARCH("cut",C732)),"Defective Device",ISNUMBER(SEARCH("leak",C732)),"Fluid/Blood Leak",ISNUMBER(SEARCH("missing",C732)),"Component Missing",ISNUMBER(SEARCH("power",C732)),"Complete Loss of Power",ISNUMBER(SEARCH("will not turn on",C732)),"Complete Loss of Power",ISNUMBER(SEARCH("won't turn on",C732)),"Complete Loss of Power",ISNUMBER(SEARCH("does not turn on",C732)),"Complete Loss of Power",ISNUMBER(SEARCH("electrical",C732)),"Electrical Power Problem",ISNUMBER(SEARCH("pressure",C732)),"Detachment of Device or Device Component",ISNUMBER(SEARCH("slip",C732)),"Detachment of Device or Device Component",ISNUMBER(SEARCH("detach",C732)),"Detachment of Device or Device Component",ISNUMBER(SEARCH("stick",C732)),"Mechanical Jam",ISNUMBER(SEARCH("jam",C732)),"Mechanical Jam",ISNUMBER(SEARCH("rigid",C732)),"Mechanical Jam",ISNUMBER(SEARCH("rust",C732)),"Corroded",ISNUMBER(SEARCH("corrod",C732)),"Corroded",ISNUMBER(SEARCH("corrosion",C732)),"Corroded",ISNUMBER(SEARCH("alignment",C732)),"Defective Device",ISNUMBER(SEARCH("adjust",C732)),"Defective Device",ISNUMBER(SEARCH("perform",C732)),"Defective Device",ISNUMBER(SEARCH("malfunction",C732)),"Defective Device",ISNUMBER(SEARCH("defect",C732)),"Defective Device",ISNUMBER(SEARCH("fail",C732)),"Defective Device",ISNUMBER(SEARCH("not work",C732)),"Defective Device",ISNUMBER(SEARCH("doesn't work",C732)),"Defective Device",TRUE,"UNKNOWN"),"UNKNOWN")))</f>
        <v/>
      </c>
      <c r="F732" s="4" t="str">
        <f t="shared" si="12"/>
        <v/>
      </c>
      <c r="G732" s="363" t="str">
        <f>IF(E732="","",IFERROR(VLOOKUP(E732,Codes!$L$2:$N$409,3,FALSE),"—"))</f>
        <v/>
      </c>
      <c r="H732" s="88"/>
      <c r="I732" s="88"/>
    </row>
    <row r="733" spans="1:9" ht="13.15" x14ac:dyDescent="0.35">
      <c r="A733" s="92"/>
      <c r="B733" s="89"/>
      <c r="C733" s="88"/>
      <c r="D733" s="88"/>
      <c r="E733" s="93" t="str" cm="1">
        <f t="array" ref="E733">IF(D733&lt;&gt;"",IFERROR(VLOOKUP(D733,Codes!$K$2:$L$409,2,FALSE),"UNKNOWN - "&amp;D733),IF(C733="","",IFERROR(_xlfn.IFS(ISNUMBER(SEARCH("broken button",C733)),"Break",ISNUMBER(SEARCH("broken handle",C733)),"Break",ISNUMBER(SEARCH("shipping damage",C733)),"Break",ISNUMBER(SEARCH("broken",C733)),"Break",ISNUMBER(SEARCH("crack",C733)),"Break",ISNUMBER(SEARCH("snap",C733)),"Break",ISNUMBER(SEARCH("fracture",C733)),"Break",ISNUMBER(SEARCH("bent",C733)),"Material Twisted/Bent",ISNUMBER(SEARCH("twisted",C733)),"Material Twisted/Bent",ISNUMBER(SEARCH("component separat",C733)),"Material Separation",ISNUMBER(SEARCH("separat",C733)),"Material Separation",ISNUMBER(SEARCH("connection",C733)),"Loose or Intermittent Connection",ISNUMBER(SEARCH("loose",C733)),"Loose or Intermittent Connection",ISNUMBER(SEARCH("damaged packaging",C733)),"Packaging Problem",ISNUMBER(SEARCH("packaging",C733)),"Packaging Problem",ISNUMBER(SEARCH("discoloration",C733)),"Contamination",ISNUMBER(SEARCH("tarnish",C733)),"Contamination",ISNUMBER(SEARCH("stain",C733)),"Contamination",ISNUMBER(SEARCH("foreign material",C733)),"Contamination",ISNUMBER(SEARCH("contamina",C733)),"Contamination",ISNUMBER(SEARCH("overheat",C733)),"Overheating of Device",ISNUMBER(SEARCH("excessive heat",C733)),"Overheating of Device",ISNUMBER(SEARCH("hot",C733)),"Overheating of Device",ISNUMBER(SEARCH("noise",C733)),"Noise, Audible",ISNUMBER(SEARCH("sound",C733)),"Noise, Audible",ISNUMBER(SEARCH("loud",C733)),"Noise, Audible",ISNUMBER(SEARCH("fray",C733)),"Material Frayed",ISNUMBER(SEARCH("hole",C733)),"Material Frayed",ISNUMBER(SEARCH("tear",C733)),"Material Frayed",ISNUMBER(SEARCH("worn",C733)),"Material Frayed",ISNUMBER(SEARCH("intermittent",C733)),"Difficult or Delayed Activation",ISNUMBER(SEARCH("delay",C733)),"Difficult or Delayed Activation",ISNUMBER(SEARCH("label",C733)),"Device Markings/Labelling Problem",ISNUMBER(SEARCH("marking",C733)),"Device Markings/Labelling Problem",ISNUMBER(SEARCH("lacerat",C733)),"Defective Device",ISNUMBER(SEARCH("cut",C733)),"Defective Device",ISNUMBER(SEARCH("leak",C733)),"Fluid/Blood Leak",ISNUMBER(SEARCH("missing",C733)),"Component Missing",ISNUMBER(SEARCH("power",C733)),"Complete Loss of Power",ISNUMBER(SEARCH("will not turn on",C733)),"Complete Loss of Power",ISNUMBER(SEARCH("won't turn on",C733)),"Complete Loss of Power",ISNUMBER(SEARCH("does not turn on",C733)),"Complete Loss of Power",ISNUMBER(SEARCH("electrical",C733)),"Electrical Power Problem",ISNUMBER(SEARCH("pressure",C733)),"Detachment of Device or Device Component",ISNUMBER(SEARCH("slip",C733)),"Detachment of Device or Device Component",ISNUMBER(SEARCH("detach",C733)),"Detachment of Device or Device Component",ISNUMBER(SEARCH("stick",C733)),"Mechanical Jam",ISNUMBER(SEARCH("jam",C733)),"Mechanical Jam",ISNUMBER(SEARCH("rigid",C733)),"Mechanical Jam",ISNUMBER(SEARCH("rust",C733)),"Corroded",ISNUMBER(SEARCH("corrod",C733)),"Corroded",ISNUMBER(SEARCH("corrosion",C733)),"Corroded",ISNUMBER(SEARCH("alignment",C733)),"Defective Device",ISNUMBER(SEARCH("adjust",C733)),"Defective Device",ISNUMBER(SEARCH("perform",C733)),"Defective Device",ISNUMBER(SEARCH("malfunction",C733)),"Defective Device",ISNUMBER(SEARCH("defect",C733)),"Defective Device",ISNUMBER(SEARCH("fail",C733)),"Defective Device",ISNUMBER(SEARCH("not work",C733)),"Defective Device",ISNUMBER(SEARCH("doesn't work",C733)),"Defective Device",TRUE,"UNKNOWN"),"UNKNOWN")))</f>
        <v/>
      </c>
      <c r="F733" s="4" t="str">
        <f t="shared" si="12"/>
        <v/>
      </c>
      <c r="G733" s="363" t="str">
        <f>IF(E733="","",IFERROR(VLOOKUP(E733,Codes!$L$2:$N$409,3,FALSE),"—"))</f>
        <v/>
      </c>
      <c r="H733" s="88"/>
      <c r="I733" s="88"/>
    </row>
    <row r="734" spans="1:9" ht="13.15" x14ac:dyDescent="0.35">
      <c r="A734" s="92"/>
      <c r="B734" s="89"/>
      <c r="C734" s="88"/>
      <c r="D734" s="88"/>
      <c r="E734" s="93" t="str" cm="1">
        <f t="array" ref="E734">IF(D734&lt;&gt;"",IFERROR(VLOOKUP(D734,Codes!$K$2:$L$409,2,FALSE),"UNKNOWN - "&amp;D734),IF(C734="","",IFERROR(_xlfn.IFS(ISNUMBER(SEARCH("broken button",C734)),"Break",ISNUMBER(SEARCH("broken handle",C734)),"Break",ISNUMBER(SEARCH("shipping damage",C734)),"Break",ISNUMBER(SEARCH("broken",C734)),"Break",ISNUMBER(SEARCH("crack",C734)),"Break",ISNUMBER(SEARCH("snap",C734)),"Break",ISNUMBER(SEARCH("fracture",C734)),"Break",ISNUMBER(SEARCH("bent",C734)),"Material Twisted/Bent",ISNUMBER(SEARCH("twisted",C734)),"Material Twisted/Bent",ISNUMBER(SEARCH("component separat",C734)),"Material Separation",ISNUMBER(SEARCH("separat",C734)),"Material Separation",ISNUMBER(SEARCH("connection",C734)),"Loose or Intermittent Connection",ISNUMBER(SEARCH("loose",C734)),"Loose or Intermittent Connection",ISNUMBER(SEARCH("damaged packaging",C734)),"Packaging Problem",ISNUMBER(SEARCH("packaging",C734)),"Packaging Problem",ISNUMBER(SEARCH("discoloration",C734)),"Contamination",ISNUMBER(SEARCH("tarnish",C734)),"Contamination",ISNUMBER(SEARCH("stain",C734)),"Contamination",ISNUMBER(SEARCH("foreign material",C734)),"Contamination",ISNUMBER(SEARCH("contamina",C734)),"Contamination",ISNUMBER(SEARCH("overheat",C734)),"Overheating of Device",ISNUMBER(SEARCH("excessive heat",C734)),"Overheating of Device",ISNUMBER(SEARCH("hot",C734)),"Overheating of Device",ISNUMBER(SEARCH("noise",C734)),"Noise, Audible",ISNUMBER(SEARCH("sound",C734)),"Noise, Audible",ISNUMBER(SEARCH("loud",C734)),"Noise, Audible",ISNUMBER(SEARCH("fray",C734)),"Material Frayed",ISNUMBER(SEARCH("hole",C734)),"Material Frayed",ISNUMBER(SEARCH("tear",C734)),"Material Frayed",ISNUMBER(SEARCH("worn",C734)),"Material Frayed",ISNUMBER(SEARCH("intermittent",C734)),"Difficult or Delayed Activation",ISNUMBER(SEARCH("delay",C734)),"Difficult or Delayed Activation",ISNUMBER(SEARCH("label",C734)),"Device Markings/Labelling Problem",ISNUMBER(SEARCH("marking",C734)),"Device Markings/Labelling Problem",ISNUMBER(SEARCH("lacerat",C734)),"Defective Device",ISNUMBER(SEARCH("cut",C734)),"Defective Device",ISNUMBER(SEARCH("leak",C734)),"Fluid/Blood Leak",ISNUMBER(SEARCH("missing",C734)),"Component Missing",ISNUMBER(SEARCH("power",C734)),"Complete Loss of Power",ISNUMBER(SEARCH("will not turn on",C734)),"Complete Loss of Power",ISNUMBER(SEARCH("won't turn on",C734)),"Complete Loss of Power",ISNUMBER(SEARCH("does not turn on",C734)),"Complete Loss of Power",ISNUMBER(SEARCH("electrical",C734)),"Electrical Power Problem",ISNUMBER(SEARCH("pressure",C734)),"Detachment of Device or Device Component",ISNUMBER(SEARCH("slip",C734)),"Detachment of Device or Device Component",ISNUMBER(SEARCH("detach",C734)),"Detachment of Device or Device Component",ISNUMBER(SEARCH("stick",C734)),"Mechanical Jam",ISNUMBER(SEARCH("jam",C734)),"Mechanical Jam",ISNUMBER(SEARCH("rigid",C734)),"Mechanical Jam",ISNUMBER(SEARCH("rust",C734)),"Corroded",ISNUMBER(SEARCH("corrod",C734)),"Corroded",ISNUMBER(SEARCH("corrosion",C734)),"Corroded",ISNUMBER(SEARCH("alignment",C734)),"Defective Device",ISNUMBER(SEARCH("adjust",C734)),"Defective Device",ISNUMBER(SEARCH("perform",C734)),"Defective Device",ISNUMBER(SEARCH("malfunction",C734)),"Defective Device",ISNUMBER(SEARCH("defect",C734)),"Defective Device",ISNUMBER(SEARCH("fail",C734)),"Defective Device",ISNUMBER(SEARCH("not work",C734)),"Defective Device",ISNUMBER(SEARCH("doesn't work",C734)),"Defective Device",TRUE,"UNKNOWN"),"UNKNOWN")))</f>
        <v/>
      </c>
      <c r="F734" s="4" t="str">
        <f t="shared" si="12"/>
        <v/>
      </c>
      <c r="G734" s="363" t="str">
        <f>IF(E734="","",IFERROR(VLOOKUP(E734,Codes!$L$2:$N$409,3,FALSE),"—"))</f>
        <v/>
      </c>
      <c r="H734" s="88"/>
      <c r="I734" s="88"/>
    </row>
    <row r="735" spans="1:9" ht="13.15" x14ac:dyDescent="0.35">
      <c r="A735" s="92"/>
      <c r="B735" s="89"/>
      <c r="C735" s="88"/>
      <c r="D735" s="88"/>
      <c r="E735" s="93" t="str" cm="1">
        <f t="array" ref="E735">IF(D735&lt;&gt;"",IFERROR(VLOOKUP(D735,Codes!$K$2:$L$409,2,FALSE),"UNKNOWN - "&amp;D735),IF(C735="","",IFERROR(_xlfn.IFS(ISNUMBER(SEARCH("broken button",C735)),"Break",ISNUMBER(SEARCH("broken handle",C735)),"Break",ISNUMBER(SEARCH("shipping damage",C735)),"Break",ISNUMBER(SEARCH("broken",C735)),"Break",ISNUMBER(SEARCH("crack",C735)),"Break",ISNUMBER(SEARCH("snap",C735)),"Break",ISNUMBER(SEARCH("fracture",C735)),"Break",ISNUMBER(SEARCH("bent",C735)),"Material Twisted/Bent",ISNUMBER(SEARCH("twisted",C735)),"Material Twisted/Bent",ISNUMBER(SEARCH("component separat",C735)),"Material Separation",ISNUMBER(SEARCH("separat",C735)),"Material Separation",ISNUMBER(SEARCH("connection",C735)),"Loose or Intermittent Connection",ISNUMBER(SEARCH("loose",C735)),"Loose or Intermittent Connection",ISNUMBER(SEARCH("damaged packaging",C735)),"Packaging Problem",ISNUMBER(SEARCH("packaging",C735)),"Packaging Problem",ISNUMBER(SEARCH("discoloration",C735)),"Contamination",ISNUMBER(SEARCH("tarnish",C735)),"Contamination",ISNUMBER(SEARCH("stain",C735)),"Contamination",ISNUMBER(SEARCH("foreign material",C735)),"Contamination",ISNUMBER(SEARCH("contamina",C735)),"Contamination",ISNUMBER(SEARCH("overheat",C735)),"Overheating of Device",ISNUMBER(SEARCH("excessive heat",C735)),"Overheating of Device",ISNUMBER(SEARCH("hot",C735)),"Overheating of Device",ISNUMBER(SEARCH("noise",C735)),"Noise, Audible",ISNUMBER(SEARCH("sound",C735)),"Noise, Audible",ISNUMBER(SEARCH("loud",C735)),"Noise, Audible",ISNUMBER(SEARCH("fray",C735)),"Material Frayed",ISNUMBER(SEARCH("hole",C735)),"Material Frayed",ISNUMBER(SEARCH("tear",C735)),"Material Frayed",ISNUMBER(SEARCH("worn",C735)),"Material Frayed",ISNUMBER(SEARCH("intermittent",C735)),"Difficult or Delayed Activation",ISNUMBER(SEARCH("delay",C735)),"Difficult or Delayed Activation",ISNUMBER(SEARCH("label",C735)),"Device Markings/Labelling Problem",ISNUMBER(SEARCH("marking",C735)),"Device Markings/Labelling Problem",ISNUMBER(SEARCH("lacerat",C735)),"Defective Device",ISNUMBER(SEARCH("cut",C735)),"Defective Device",ISNUMBER(SEARCH("leak",C735)),"Fluid/Blood Leak",ISNUMBER(SEARCH("missing",C735)),"Component Missing",ISNUMBER(SEARCH("power",C735)),"Complete Loss of Power",ISNUMBER(SEARCH("will not turn on",C735)),"Complete Loss of Power",ISNUMBER(SEARCH("won't turn on",C735)),"Complete Loss of Power",ISNUMBER(SEARCH("does not turn on",C735)),"Complete Loss of Power",ISNUMBER(SEARCH("electrical",C735)),"Electrical Power Problem",ISNUMBER(SEARCH("pressure",C735)),"Detachment of Device or Device Component",ISNUMBER(SEARCH("slip",C735)),"Detachment of Device or Device Component",ISNUMBER(SEARCH("detach",C735)),"Detachment of Device or Device Component",ISNUMBER(SEARCH("stick",C735)),"Mechanical Jam",ISNUMBER(SEARCH("jam",C735)),"Mechanical Jam",ISNUMBER(SEARCH("rigid",C735)),"Mechanical Jam",ISNUMBER(SEARCH("rust",C735)),"Corroded",ISNUMBER(SEARCH("corrod",C735)),"Corroded",ISNUMBER(SEARCH("corrosion",C735)),"Corroded",ISNUMBER(SEARCH("alignment",C735)),"Defective Device",ISNUMBER(SEARCH("adjust",C735)),"Defective Device",ISNUMBER(SEARCH("perform",C735)),"Defective Device",ISNUMBER(SEARCH("malfunction",C735)),"Defective Device",ISNUMBER(SEARCH("defect",C735)),"Defective Device",ISNUMBER(SEARCH("fail",C735)),"Defective Device",ISNUMBER(SEARCH("not work",C735)),"Defective Device",ISNUMBER(SEARCH("doesn't work",C735)),"Defective Device",TRUE,"UNKNOWN"),"UNKNOWN")))</f>
        <v/>
      </c>
      <c r="F735" s="4" t="str">
        <f t="shared" si="12"/>
        <v/>
      </c>
      <c r="G735" s="363" t="str">
        <f>IF(E735="","",IFERROR(VLOOKUP(E735,Codes!$L$2:$N$409,3,FALSE),"—"))</f>
        <v/>
      </c>
      <c r="H735" s="88"/>
      <c r="I735" s="88"/>
    </row>
    <row r="736" spans="1:9" ht="13.15" x14ac:dyDescent="0.35">
      <c r="A736" s="92"/>
      <c r="B736" s="89"/>
      <c r="C736" s="88"/>
      <c r="D736" s="88"/>
      <c r="E736" s="93" t="str" cm="1">
        <f t="array" ref="E736">IF(D736&lt;&gt;"",IFERROR(VLOOKUP(D736,Codes!$K$2:$L$409,2,FALSE),"UNKNOWN - "&amp;D736),IF(C736="","",IFERROR(_xlfn.IFS(ISNUMBER(SEARCH("broken button",C736)),"Break",ISNUMBER(SEARCH("broken handle",C736)),"Break",ISNUMBER(SEARCH("shipping damage",C736)),"Break",ISNUMBER(SEARCH("broken",C736)),"Break",ISNUMBER(SEARCH("crack",C736)),"Break",ISNUMBER(SEARCH("snap",C736)),"Break",ISNUMBER(SEARCH("fracture",C736)),"Break",ISNUMBER(SEARCH("bent",C736)),"Material Twisted/Bent",ISNUMBER(SEARCH("twisted",C736)),"Material Twisted/Bent",ISNUMBER(SEARCH("component separat",C736)),"Material Separation",ISNUMBER(SEARCH("separat",C736)),"Material Separation",ISNUMBER(SEARCH("connection",C736)),"Loose or Intermittent Connection",ISNUMBER(SEARCH("loose",C736)),"Loose or Intermittent Connection",ISNUMBER(SEARCH("damaged packaging",C736)),"Packaging Problem",ISNUMBER(SEARCH("packaging",C736)),"Packaging Problem",ISNUMBER(SEARCH("discoloration",C736)),"Contamination",ISNUMBER(SEARCH("tarnish",C736)),"Contamination",ISNUMBER(SEARCH("stain",C736)),"Contamination",ISNUMBER(SEARCH("foreign material",C736)),"Contamination",ISNUMBER(SEARCH("contamina",C736)),"Contamination",ISNUMBER(SEARCH("overheat",C736)),"Overheating of Device",ISNUMBER(SEARCH("excessive heat",C736)),"Overheating of Device",ISNUMBER(SEARCH("hot",C736)),"Overheating of Device",ISNUMBER(SEARCH("noise",C736)),"Noise, Audible",ISNUMBER(SEARCH("sound",C736)),"Noise, Audible",ISNUMBER(SEARCH("loud",C736)),"Noise, Audible",ISNUMBER(SEARCH("fray",C736)),"Material Frayed",ISNUMBER(SEARCH("hole",C736)),"Material Frayed",ISNUMBER(SEARCH("tear",C736)),"Material Frayed",ISNUMBER(SEARCH("worn",C736)),"Material Frayed",ISNUMBER(SEARCH("intermittent",C736)),"Difficult or Delayed Activation",ISNUMBER(SEARCH("delay",C736)),"Difficult or Delayed Activation",ISNUMBER(SEARCH("label",C736)),"Device Markings/Labelling Problem",ISNUMBER(SEARCH("marking",C736)),"Device Markings/Labelling Problem",ISNUMBER(SEARCH("lacerat",C736)),"Defective Device",ISNUMBER(SEARCH("cut",C736)),"Defective Device",ISNUMBER(SEARCH("leak",C736)),"Fluid/Blood Leak",ISNUMBER(SEARCH("missing",C736)),"Component Missing",ISNUMBER(SEARCH("power",C736)),"Complete Loss of Power",ISNUMBER(SEARCH("will not turn on",C736)),"Complete Loss of Power",ISNUMBER(SEARCH("won't turn on",C736)),"Complete Loss of Power",ISNUMBER(SEARCH("does not turn on",C736)),"Complete Loss of Power",ISNUMBER(SEARCH("electrical",C736)),"Electrical Power Problem",ISNUMBER(SEARCH("pressure",C736)),"Detachment of Device or Device Component",ISNUMBER(SEARCH("slip",C736)),"Detachment of Device or Device Component",ISNUMBER(SEARCH("detach",C736)),"Detachment of Device or Device Component",ISNUMBER(SEARCH("stick",C736)),"Mechanical Jam",ISNUMBER(SEARCH("jam",C736)),"Mechanical Jam",ISNUMBER(SEARCH("rigid",C736)),"Mechanical Jam",ISNUMBER(SEARCH("rust",C736)),"Corroded",ISNUMBER(SEARCH("corrod",C736)),"Corroded",ISNUMBER(SEARCH("corrosion",C736)),"Corroded",ISNUMBER(SEARCH("alignment",C736)),"Defective Device",ISNUMBER(SEARCH("adjust",C736)),"Defective Device",ISNUMBER(SEARCH("perform",C736)),"Defective Device",ISNUMBER(SEARCH("malfunction",C736)),"Defective Device",ISNUMBER(SEARCH("defect",C736)),"Defective Device",ISNUMBER(SEARCH("fail",C736)),"Defective Device",ISNUMBER(SEARCH("not work",C736)),"Defective Device",ISNUMBER(SEARCH("doesn't work",C736)),"Defective Device",TRUE,"UNKNOWN"),"UNKNOWN")))</f>
        <v/>
      </c>
      <c r="F736" s="4" t="str">
        <f t="shared" si="12"/>
        <v/>
      </c>
      <c r="G736" s="363" t="str">
        <f>IF(E736="","",IFERROR(VLOOKUP(E736,Codes!$L$2:$N$409,3,FALSE),"—"))</f>
        <v/>
      </c>
      <c r="H736" s="88"/>
      <c r="I736" s="88"/>
    </row>
    <row r="737" spans="1:9" ht="13.15" x14ac:dyDescent="0.35">
      <c r="A737" s="92"/>
      <c r="B737" s="89"/>
      <c r="C737" s="88"/>
      <c r="D737" s="88"/>
      <c r="E737" s="93" t="str" cm="1">
        <f t="array" ref="E737">IF(D737&lt;&gt;"",IFERROR(VLOOKUP(D737,Codes!$K$2:$L$409,2,FALSE),"UNKNOWN - "&amp;D737),IF(C737="","",IFERROR(_xlfn.IFS(ISNUMBER(SEARCH("broken button",C737)),"Break",ISNUMBER(SEARCH("broken handle",C737)),"Break",ISNUMBER(SEARCH("shipping damage",C737)),"Break",ISNUMBER(SEARCH("broken",C737)),"Break",ISNUMBER(SEARCH("crack",C737)),"Break",ISNUMBER(SEARCH("snap",C737)),"Break",ISNUMBER(SEARCH("fracture",C737)),"Break",ISNUMBER(SEARCH("bent",C737)),"Material Twisted/Bent",ISNUMBER(SEARCH("twisted",C737)),"Material Twisted/Bent",ISNUMBER(SEARCH("component separat",C737)),"Material Separation",ISNUMBER(SEARCH("separat",C737)),"Material Separation",ISNUMBER(SEARCH("connection",C737)),"Loose or Intermittent Connection",ISNUMBER(SEARCH("loose",C737)),"Loose or Intermittent Connection",ISNUMBER(SEARCH("damaged packaging",C737)),"Packaging Problem",ISNUMBER(SEARCH("packaging",C737)),"Packaging Problem",ISNUMBER(SEARCH("discoloration",C737)),"Contamination",ISNUMBER(SEARCH("tarnish",C737)),"Contamination",ISNUMBER(SEARCH("stain",C737)),"Contamination",ISNUMBER(SEARCH("foreign material",C737)),"Contamination",ISNUMBER(SEARCH("contamina",C737)),"Contamination",ISNUMBER(SEARCH("overheat",C737)),"Overheating of Device",ISNUMBER(SEARCH("excessive heat",C737)),"Overheating of Device",ISNUMBER(SEARCH("hot",C737)),"Overheating of Device",ISNUMBER(SEARCH("noise",C737)),"Noise, Audible",ISNUMBER(SEARCH("sound",C737)),"Noise, Audible",ISNUMBER(SEARCH("loud",C737)),"Noise, Audible",ISNUMBER(SEARCH("fray",C737)),"Material Frayed",ISNUMBER(SEARCH("hole",C737)),"Material Frayed",ISNUMBER(SEARCH("tear",C737)),"Material Frayed",ISNUMBER(SEARCH("worn",C737)),"Material Frayed",ISNUMBER(SEARCH("intermittent",C737)),"Difficult or Delayed Activation",ISNUMBER(SEARCH("delay",C737)),"Difficult or Delayed Activation",ISNUMBER(SEARCH("label",C737)),"Device Markings/Labelling Problem",ISNUMBER(SEARCH("marking",C737)),"Device Markings/Labelling Problem",ISNUMBER(SEARCH("lacerat",C737)),"Defective Device",ISNUMBER(SEARCH("cut",C737)),"Defective Device",ISNUMBER(SEARCH("leak",C737)),"Fluid/Blood Leak",ISNUMBER(SEARCH("missing",C737)),"Component Missing",ISNUMBER(SEARCH("power",C737)),"Complete Loss of Power",ISNUMBER(SEARCH("will not turn on",C737)),"Complete Loss of Power",ISNUMBER(SEARCH("won't turn on",C737)),"Complete Loss of Power",ISNUMBER(SEARCH("does not turn on",C737)),"Complete Loss of Power",ISNUMBER(SEARCH("electrical",C737)),"Electrical Power Problem",ISNUMBER(SEARCH("pressure",C737)),"Detachment of Device or Device Component",ISNUMBER(SEARCH("slip",C737)),"Detachment of Device or Device Component",ISNUMBER(SEARCH("detach",C737)),"Detachment of Device or Device Component",ISNUMBER(SEARCH("stick",C737)),"Mechanical Jam",ISNUMBER(SEARCH("jam",C737)),"Mechanical Jam",ISNUMBER(SEARCH("rigid",C737)),"Mechanical Jam",ISNUMBER(SEARCH("rust",C737)),"Corroded",ISNUMBER(SEARCH("corrod",C737)),"Corroded",ISNUMBER(SEARCH("corrosion",C737)),"Corroded",ISNUMBER(SEARCH("alignment",C737)),"Defective Device",ISNUMBER(SEARCH("adjust",C737)),"Defective Device",ISNUMBER(SEARCH("perform",C737)),"Defective Device",ISNUMBER(SEARCH("malfunction",C737)),"Defective Device",ISNUMBER(SEARCH("defect",C737)),"Defective Device",ISNUMBER(SEARCH("fail",C737)),"Defective Device",ISNUMBER(SEARCH("not work",C737)),"Defective Device",ISNUMBER(SEARCH("doesn't work",C737)),"Defective Device",TRUE,"UNKNOWN"),"UNKNOWN")))</f>
        <v/>
      </c>
      <c r="F737" s="4" t="str">
        <f t="shared" si="12"/>
        <v/>
      </c>
      <c r="G737" s="363" t="str">
        <f>IF(E737="","",IFERROR(VLOOKUP(E737,Codes!$L$2:$N$409,3,FALSE),"—"))</f>
        <v/>
      </c>
      <c r="H737" s="88"/>
      <c r="I737" s="88"/>
    </row>
    <row r="738" spans="1:9" ht="13.15" x14ac:dyDescent="0.35">
      <c r="A738" s="92"/>
      <c r="B738" s="89"/>
      <c r="C738" s="88"/>
      <c r="D738" s="88"/>
      <c r="E738" s="93" t="str" cm="1">
        <f t="array" ref="E738">IF(D738&lt;&gt;"",IFERROR(VLOOKUP(D738,Codes!$K$2:$L$409,2,FALSE),"UNKNOWN - "&amp;D738),IF(C738="","",IFERROR(_xlfn.IFS(ISNUMBER(SEARCH("broken button",C738)),"Break",ISNUMBER(SEARCH("broken handle",C738)),"Break",ISNUMBER(SEARCH("shipping damage",C738)),"Break",ISNUMBER(SEARCH("broken",C738)),"Break",ISNUMBER(SEARCH("crack",C738)),"Break",ISNUMBER(SEARCH("snap",C738)),"Break",ISNUMBER(SEARCH("fracture",C738)),"Break",ISNUMBER(SEARCH("bent",C738)),"Material Twisted/Bent",ISNUMBER(SEARCH("twisted",C738)),"Material Twisted/Bent",ISNUMBER(SEARCH("component separat",C738)),"Material Separation",ISNUMBER(SEARCH("separat",C738)),"Material Separation",ISNUMBER(SEARCH("connection",C738)),"Loose or Intermittent Connection",ISNUMBER(SEARCH("loose",C738)),"Loose or Intermittent Connection",ISNUMBER(SEARCH("damaged packaging",C738)),"Packaging Problem",ISNUMBER(SEARCH("packaging",C738)),"Packaging Problem",ISNUMBER(SEARCH("discoloration",C738)),"Contamination",ISNUMBER(SEARCH("tarnish",C738)),"Contamination",ISNUMBER(SEARCH("stain",C738)),"Contamination",ISNUMBER(SEARCH("foreign material",C738)),"Contamination",ISNUMBER(SEARCH("contamina",C738)),"Contamination",ISNUMBER(SEARCH("overheat",C738)),"Overheating of Device",ISNUMBER(SEARCH("excessive heat",C738)),"Overheating of Device",ISNUMBER(SEARCH("hot",C738)),"Overheating of Device",ISNUMBER(SEARCH("noise",C738)),"Noise, Audible",ISNUMBER(SEARCH("sound",C738)),"Noise, Audible",ISNUMBER(SEARCH("loud",C738)),"Noise, Audible",ISNUMBER(SEARCH("fray",C738)),"Material Frayed",ISNUMBER(SEARCH("hole",C738)),"Material Frayed",ISNUMBER(SEARCH("tear",C738)),"Material Frayed",ISNUMBER(SEARCH("worn",C738)),"Material Frayed",ISNUMBER(SEARCH("intermittent",C738)),"Difficult or Delayed Activation",ISNUMBER(SEARCH("delay",C738)),"Difficult or Delayed Activation",ISNUMBER(SEARCH("label",C738)),"Device Markings/Labelling Problem",ISNUMBER(SEARCH("marking",C738)),"Device Markings/Labelling Problem",ISNUMBER(SEARCH("lacerat",C738)),"Defective Device",ISNUMBER(SEARCH("cut",C738)),"Defective Device",ISNUMBER(SEARCH("leak",C738)),"Fluid/Blood Leak",ISNUMBER(SEARCH("missing",C738)),"Component Missing",ISNUMBER(SEARCH("power",C738)),"Complete Loss of Power",ISNUMBER(SEARCH("will not turn on",C738)),"Complete Loss of Power",ISNUMBER(SEARCH("won't turn on",C738)),"Complete Loss of Power",ISNUMBER(SEARCH("does not turn on",C738)),"Complete Loss of Power",ISNUMBER(SEARCH("electrical",C738)),"Electrical Power Problem",ISNUMBER(SEARCH("pressure",C738)),"Detachment of Device or Device Component",ISNUMBER(SEARCH("slip",C738)),"Detachment of Device or Device Component",ISNUMBER(SEARCH("detach",C738)),"Detachment of Device or Device Component",ISNUMBER(SEARCH("stick",C738)),"Mechanical Jam",ISNUMBER(SEARCH("jam",C738)),"Mechanical Jam",ISNUMBER(SEARCH("rigid",C738)),"Mechanical Jam",ISNUMBER(SEARCH("rust",C738)),"Corroded",ISNUMBER(SEARCH("corrod",C738)),"Corroded",ISNUMBER(SEARCH("corrosion",C738)),"Corroded",ISNUMBER(SEARCH("alignment",C738)),"Defective Device",ISNUMBER(SEARCH("adjust",C738)),"Defective Device",ISNUMBER(SEARCH("perform",C738)),"Defective Device",ISNUMBER(SEARCH("malfunction",C738)),"Defective Device",ISNUMBER(SEARCH("defect",C738)),"Defective Device",ISNUMBER(SEARCH("fail",C738)),"Defective Device",ISNUMBER(SEARCH("not work",C738)),"Defective Device",ISNUMBER(SEARCH("doesn't work",C738)),"Defective Device",TRUE,"UNKNOWN"),"UNKNOWN")))</f>
        <v/>
      </c>
      <c r="F738" s="4" t="str">
        <f t="shared" si="12"/>
        <v/>
      </c>
      <c r="G738" s="363" t="str">
        <f>IF(E738="","",IFERROR(VLOOKUP(E738,Codes!$L$2:$N$409,3,FALSE),"—"))</f>
        <v/>
      </c>
      <c r="H738" s="88"/>
      <c r="I738" s="88"/>
    </row>
    <row r="739" spans="1:9" ht="13.15" x14ac:dyDescent="0.35">
      <c r="A739" s="92"/>
      <c r="B739" s="89"/>
      <c r="C739" s="88"/>
      <c r="D739" s="88"/>
      <c r="E739" s="93" t="str" cm="1">
        <f t="array" ref="E739">IF(D739&lt;&gt;"",IFERROR(VLOOKUP(D739,Codes!$K$2:$L$409,2,FALSE),"UNKNOWN - "&amp;D739),IF(C739="","",IFERROR(_xlfn.IFS(ISNUMBER(SEARCH("broken button",C739)),"Break",ISNUMBER(SEARCH("broken handle",C739)),"Break",ISNUMBER(SEARCH("shipping damage",C739)),"Break",ISNUMBER(SEARCH("broken",C739)),"Break",ISNUMBER(SEARCH("crack",C739)),"Break",ISNUMBER(SEARCH("snap",C739)),"Break",ISNUMBER(SEARCH("fracture",C739)),"Break",ISNUMBER(SEARCH("bent",C739)),"Material Twisted/Bent",ISNUMBER(SEARCH("twisted",C739)),"Material Twisted/Bent",ISNUMBER(SEARCH("component separat",C739)),"Material Separation",ISNUMBER(SEARCH("separat",C739)),"Material Separation",ISNUMBER(SEARCH("connection",C739)),"Loose or Intermittent Connection",ISNUMBER(SEARCH("loose",C739)),"Loose or Intermittent Connection",ISNUMBER(SEARCH("damaged packaging",C739)),"Packaging Problem",ISNUMBER(SEARCH("packaging",C739)),"Packaging Problem",ISNUMBER(SEARCH("discoloration",C739)),"Contamination",ISNUMBER(SEARCH("tarnish",C739)),"Contamination",ISNUMBER(SEARCH("stain",C739)),"Contamination",ISNUMBER(SEARCH("foreign material",C739)),"Contamination",ISNUMBER(SEARCH("contamina",C739)),"Contamination",ISNUMBER(SEARCH("overheat",C739)),"Overheating of Device",ISNUMBER(SEARCH("excessive heat",C739)),"Overheating of Device",ISNUMBER(SEARCH("hot",C739)),"Overheating of Device",ISNUMBER(SEARCH("noise",C739)),"Noise, Audible",ISNUMBER(SEARCH("sound",C739)),"Noise, Audible",ISNUMBER(SEARCH("loud",C739)),"Noise, Audible",ISNUMBER(SEARCH("fray",C739)),"Material Frayed",ISNUMBER(SEARCH("hole",C739)),"Material Frayed",ISNUMBER(SEARCH("tear",C739)),"Material Frayed",ISNUMBER(SEARCH("worn",C739)),"Material Frayed",ISNUMBER(SEARCH("intermittent",C739)),"Difficult or Delayed Activation",ISNUMBER(SEARCH("delay",C739)),"Difficult or Delayed Activation",ISNUMBER(SEARCH("label",C739)),"Device Markings/Labelling Problem",ISNUMBER(SEARCH("marking",C739)),"Device Markings/Labelling Problem",ISNUMBER(SEARCH("lacerat",C739)),"Defective Device",ISNUMBER(SEARCH("cut",C739)),"Defective Device",ISNUMBER(SEARCH("leak",C739)),"Fluid/Blood Leak",ISNUMBER(SEARCH("missing",C739)),"Component Missing",ISNUMBER(SEARCH("power",C739)),"Complete Loss of Power",ISNUMBER(SEARCH("will not turn on",C739)),"Complete Loss of Power",ISNUMBER(SEARCH("won't turn on",C739)),"Complete Loss of Power",ISNUMBER(SEARCH("does not turn on",C739)),"Complete Loss of Power",ISNUMBER(SEARCH("electrical",C739)),"Electrical Power Problem",ISNUMBER(SEARCH("pressure",C739)),"Detachment of Device or Device Component",ISNUMBER(SEARCH("slip",C739)),"Detachment of Device or Device Component",ISNUMBER(SEARCH("detach",C739)),"Detachment of Device or Device Component",ISNUMBER(SEARCH("stick",C739)),"Mechanical Jam",ISNUMBER(SEARCH("jam",C739)),"Mechanical Jam",ISNUMBER(SEARCH("rigid",C739)),"Mechanical Jam",ISNUMBER(SEARCH("rust",C739)),"Corroded",ISNUMBER(SEARCH("corrod",C739)),"Corroded",ISNUMBER(SEARCH("corrosion",C739)),"Corroded",ISNUMBER(SEARCH("alignment",C739)),"Defective Device",ISNUMBER(SEARCH("adjust",C739)),"Defective Device",ISNUMBER(SEARCH("perform",C739)),"Defective Device",ISNUMBER(SEARCH("malfunction",C739)),"Defective Device",ISNUMBER(SEARCH("defect",C739)),"Defective Device",ISNUMBER(SEARCH("fail",C739)),"Defective Device",ISNUMBER(SEARCH("not work",C739)),"Defective Device",ISNUMBER(SEARCH("doesn't work",C739)),"Defective Device",TRUE,"UNKNOWN"),"UNKNOWN")))</f>
        <v/>
      </c>
      <c r="F739" s="4" t="str">
        <f t="shared" si="12"/>
        <v/>
      </c>
      <c r="G739" s="363" t="str">
        <f>IF(E739="","",IFERROR(VLOOKUP(E739,Codes!$L$2:$N$409,3,FALSE),"—"))</f>
        <v/>
      </c>
      <c r="H739" s="88"/>
      <c r="I739" s="88"/>
    </row>
    <row r="740" spans="1:9" ht="13.15" x14ac:dyDescent="0.35">
      <c r="A740" s="92"/>
      <c r="B740" s="89"/>
      <c r="C740" s="88"/>
      <c r="D740" s="88"/>
      <c r="E740" s="93" t="str" cm="1">
        <f t="array" ref="E740">IF(D740&lt;&gt;"",IFERROR(VLOOKUP(D740,Codes!$K$2:$L$409,2,FALSE),"UNKNOWN - "&amp;D740),IF(C740="","",IFERROR(_xlfn.IFS(ISNUMBER(SEARCH("broken button",C740)),"Break",ISNUMBER(SEARCH("broken handle",C740)),"Break",ISNUMBER(SEARCH("shipping damage",C740)),"Break",ISNUMBER(SEARCH("broken",C740)),"Break",ISNUMBER(SEARCH("crack",C740)),"Break",ISNUMBER(SEARCH("snap",C740)),"Break",ISNUMBER(SEARCH("fracture",C740)),"Break",ISNUMBER(SEARCH("bent",C740)),"Material Twisted/Bent",ISNUMBER(SEARCH("twisted",C740)),"Material Twisted/Bent",ISNUMBER(SEARCH("component separat",C740)),"Material Separation",ISNUMBER(SEARCH("separat",C740)),"Material Separation",ISNUMBER(SEARCH("connection",C740)),"Loose or Intermittent Connection",ISNUMBER(SEARCH("loose",C740)),"Loose or Intermittent Connection",ISNUMBER(SEARCH("damaged packaging",C740)),"Packaging Problem",ISNUMBER(SEARCH("packaging",C740)),"Packaging Problem",ISNUMBER(SEARCH("discoloration",C740)),"Contamination",ISNUMBER(SEARCH("tarnish",C740)),"Contamination",ISNUMBER(SEARCH("stain",C740)),"Contamination",ISNUMBER(SEARCH("foreign material",C740)),"Contamination",ISNUMBER(SEARCH("contamina",C740)),"Contamination",ISNUMBER(SEARCH("overheat",C740)),"Overheating of Device",ISNUMBER(SEARCH("excessive heat",C740)),"Overheating of Device",ISNUMBER(SEARCH("hot",C740)),"Overheating of Device",ISNUMBER(SEARCH("noise",C740)),"Noise, Audible",ISNUMBER(SEARCH("sound",C740)),"Noise, Audible",ISNUMBER(SEARCH("loud",C740)),"Noise, Audible",ISNUMBER(SEARCH("fray",C740)),"Material Frayed",ISNUMBER(SEARCH("hole",C740)),"Material Frayed",ISNUMBER(SEARCH("tear",C740)),"Material Frayed",ISNUMBER(SEARCH("worn",C740)),"Material Frayed",ISNUMBER(SEARCH("intermittent",C740)),"Difficult or Delayed Activation",ISNUMBER(SEARCH("delay",C740)),"Difficult or Delayed Activation",ISNUMBER(SEARCH("label",C740)),"Device Markings/Labelling Problem",ISNUMBER(SEARCH("marking",C740)),"Device Markings/Labelling Problem",ISNUMBER(SEARCH("lacerat",C740)),"Defective Device",ISNUMBER(SEARCH("cut",C740)),"Defective Device",ISNUMBER(SEARCH("leak",C740)),"Fluid/Blood Leak",ISNUMBER(SEARCH("missing",C740)),"Component Missing",ISNUMBER(SEARCH("power",C740)),"Complete Loss of Power",ISNUMBER(SEARCH("will not turn on",C740)),"Complete Loss of Power",ISNUMBER(SEARCH("won't turn on",C740)),"Complete Loss of Power",ISNUMBER(SEARCH("does not turn on",C740)),"Complete Loss of Power",ISNUMBER(SEARCH("electrical",C740)),"Electrical Power Problem",ISNUMBER(SEARCH("pressure",C740)),"Detachment of Device or Device Component",ISNUMBER(SEARCH("slip",C740)),"Detachment of Device or Device Component",ISNUMBER(SEARCH("detach",C740)),"Detachment of Device or Device Component",ISNUMBER(SEARCH("stick",C740)),"Mechanical Jam",ISNUMBER(SEARCH("jam",C740)),"Mechanical Jam",ISNUMBER(SEARCH("rigid",C740)),"Mechanical Jam",ISNUMBER(SEARCH("rust",C740)),"Corroded",ISNUMBER(SEARCH("corrod",C740)),"Corroded",ISNUMBER(SEARCH("corrosion",C740)),"Corroded",ISNUMBER(SEARCH("alignment",C740)),"Defective Device",ISNUMBER(SEARCH("adjust",C740)),"Defective Device",ISNUMBER(SEARCH("perform",C740)),"Defective Device",ISNUMBER(SEARCH("malfunction",C740)),"Defective Device",ISNUMBER(SEARCH("defect",C740)),"Defective Device",ISNUMBER(SEARCH("fail",C740)),"Defective Device",ISNUMBER(SEARCH("not work",C740)),"Defective Device",ISNUMBER(SEARCH("doesn't work",C740)),"Defective Device",TRUE,"UNKNOWN"),"UNKNOWN")))</f>
        <v/>
      </c>
      <c r="F740" s="4" t="str">
        <f t="shared" si="12"/>
        <v/>
      </c>
      <c r="G740" s="363" t="str">
        <f>IF(E740="","",IFERROR(VLOOKUP(E740,Codes!$L$2:$N$409,3,FALSE),"—"))</f>
        <v/>
      </c>
      <c r="H740" s="88"/>
      <c r="I740" s="88"/>
    </row>
    <row r="741" spans="1:9" ht="13.15" x14ac:dyDescent="0.35">
      <c r="A741" s="92"/>
      <c r="B741" s="89"/>
      <c r="C741" s="88"/>
      <c r="D741" s="88"/>
      <c r="E741" s="93" t="str" cm="1">
        <f t="array" ref="E741">IF(D741&lt;&gt;"",IFERROR(VLOOKUP(D741,Codes!$K$2:$L$409,2,FALSE),"UNKNOWN - "&amp;D741),IF(C741="","",IFERROR(_xlfn.IFS(ISNUMBER(SEARCH("broken button",C741)),"Break",ISNUMBER(SEARCH("broken handle",C741)),"Break",ISNUMBER(SEARCH("shipping damage",C741)),"Break",ISNUMBER(SEARCH("broken",C741)),"Break",ISNUMBER(SEARCH("crack",C741)),"Break",ISNUMBER(SEARCH("snap",C741)),"Break",ISNUMBER(SEARCH("fracture",C741)),"Break",ISNUMBER(SEARCH("bent",C741)),"Material Twisted/Bent",ISNUMBER(SEARCH("twisted",C741)),"Material Twisted/Bent",ISNUMBER(SEARCH("component separat",C741)),"Material Separation",ISNUMBER(SEARCH("separat",C741)),"Material Separation",ISNUMBER(SEARCH("connection",C741)),"Loose or Intermittent Connection",ISNUMBER(SEARCH("loose",C741)),"Loose or Intermittent Connection",ISNUMBER(SEARCH("damaged packaging",C741)),"Packaging Problem",ISNUMBER(SEARCH("packaging",C741)),"Packaging Problem",ISNUMBER(SEARCH("discoloration",C741)),"Contamination",ISNUMBER(SEARCH("tarnish",C741)),"Contamination",ISNUMBER(SEARCH("stain",C741)),"Contamination",ISNUMBER(SEARCH("foreign material",C741)),"Contamination",ISNUMBER(SEARCH("contamina",C741)),"Contamination",ISNUMBER(SEARCH("overheat",C741)),"Overheating of Device",ISNUMBER(SEARCH("excessive heat",C741)),"Overheating of Device",ISNUMBER(SEARCH("hot",C741)),"Overheating of Device",ISNUMBER(SEARCH("noise",C741)),"Noise, Audible",ISNUMBER(SEARCH("sound",C741)),"Noise, Audible",ISNUMBER(SEARCH("loud",C741)),"Noise, Audible",ISNUMBER(SEARCH("fray",C741)),"Material Frayed",ISNUMBER(SEARCH("hole",C741)),"Material Frayed",ISNUMBER(SEARCH("tear",C741)),"Material Frayed",ISNUMBER(SEARCH("worn",C741)),"Material Frayed",ISNUMBER(SEARCH("intermittent",C741)),"Difficult or Delayed Activation",ISNUMBER(SEARCH("delay",C741)),"Difficult or Delayed Activation",ISNUMBER(SEARCH("label",C741)),"Device Markings/Labelling Problem",ISNUMBER(SEARCH("marking",C741)),"Device Markings/Labelling Problem",ISNUMBER(SEARCH("lacerat",C741)),"Defective Device",ISNUMBER(SEARCH("cut",C741)),"Defective Device",ISNUMBER(SEARCH("leak",C741)),"Fluid/Blood Leak",ISNUMBER(SEARCH("missing",C741)),"Component Missing",ISNUMBER(SEARCH("power",C741)),"Complete Loss of Power",ISNUMBER(SEARCH("will not turn on",C741)),"Complete Loss of Power",ISNUMBER(SEARCH("won't turn on",C741)),"Complete Loss of Power",ISNUMBER(SEARCH("does not turn on",C741)),"Complete Loss of Power",ISNUMBER(SEARCH("electrical",C741)),"Electrical Power Problem",ISNUMBER(SEARCH("pressure",C741)),"Detachment of Device or Device Component",ISNUMBER(SEARCH("slip",C741)),"Detachment of Device or Device Component",ISNUMBER(SEARCH("detach",C741)),"Detachment of Device or Device Component",ISNUMBER(SEARCH("stick",C741)),"Mechanical Jam",ISNUMBER(SEARCH("jam",C741)),"Mechanical Jam",ISNUMBER(SEARCH("rigid",C741)),"Mechanical Jam",ISNUMBER(SEARCH("rust",C741)),"Corroded",ISNUMBER(SEARCH("corrod",C741)),"Corroded",ISNUMBER(SEARCH("corrosion",C741)),"Corroded",ISNUMBER(SEARCH("alignment",C741)),"Defective Device",ISNUMBER(SEARCH("adjust",C741)),"Defective Device",ISNUMBER(SEARCH("perform",C741)),"Defective Device",ISNUMBER(SEARCH("malfunction",C741)),"Defective Device",ISNUMBER(SEARCH("defect",C741)),"Defective Device",ISNUMBER(SEARCH("fail",C741)),"Defective Device",ISNUMBER(SEARCH("not work",C741)),"Defective Device",ISNUMBER(SEARCH("doesn't work",C741)),"Defective Device",TRUE,"UNKNOWN"),"UNKNOWN")))</f>
        <v/>
      </c>
      <c r="F741" s="4" t="str">
        <f t="shared" si="12"/>
        <v/>
      </c>
      <c r="G741" s="363" t="str">
        <f>IF(E741="","",IFERROR(VLOOKUP(E741,Codes!$L$2:$N$409,3,FALSE),"—"))</f>
        <v/>
      </c>
      <c r="H741" s="88"/>
      <c r="I741" s="88"/>
    </row>
    <row r="742" spans="1:9" ht="13.15" x14ac:dyDescent="0.35">
      <c r="A742" s="92"/>
      <c r="B742" s="89"/>
      <c r="C742" s="88"/>
      <c r="D742" s="88"/>
      <c r="E742" s="93" t="str" cm="1">
        <f t="array" ref="E742">IF(D742&lt;&gt;"",IFERROR(VLOOKUP(D742,Codes!$K$2:$L$409,2,FALSE),"UNKNOWN - "&amp;D742),IF(C742="","",IFERROR(_xlfn.IFS(ISNUMBER(SEARCH("broken button",C742)),"Break",ISNUMBER(SEARCH("broken handle",C742)),"Break",ISNUMBER(SEARCH("shipping damage",C742)),"Break",ISNUMBER(SEARCH("broken",C742)),"Break",ISNUMBER(SEARCH("crack",C742)),"Break",ISNUMBER(SEARCH("snap",C742)),"Break",ISNUMBER(SEARCH("fracture",C742)),"Break",ISNUMBER(SEARCH("bent",C742)),"Material Twisted/Bent",ISNUMBER(SEARCH("twisted",C742)),"Material Twisted/Bent",ISNUMBER(SEARCH("component separat",C742)),"Material Separation",ISNUMBER(SEARCH("separat",C742)),"Material Separation",ISNUMBER(SEARCH("connection",C742)),"Loose or Intermittent Connection",ISNUMBER(SEARCH("loose",C742)),"Loose or Intermittent Connection",ISNUMBER(SEARCH("damaged packaging",C742)),"Packaging Problem",ISNUMBER(SEARCH("packaging",C742)),"Packaging Problem",ISNUMBER(SEARCH("discoloration",C742)),"Contamination",ISNUMBER(SEARCH("tarnish",C742)),"Contamination",ISNUMBER(SEARCH("stain",C742)),"Contamination",ISNUMBER(SEARCH("foreign material",C742)),"Contamination",ISNUMBER(SEARCH("contamina",C742)),"Contamination",ISNUMBER(SEARCH("overheat",C742)),"Overheating of Device",ISNUMBER(SEARCH("excessive heat",C742)),"Overheating of Device",ISNUMBER(SEARCH("hot",C742)),"Overheating of Device",ISNUMBER(SEARCH("noise",C742)),"Noise, Audible",ISNUMBER(SEARCH("sound",C742)),"Noise, Audible",ISNUMBER(SEARCH("loud",C742)),"Noise, Audible",ISNUMBER(SEARCH("fray",C742)),"Material Frayed",ISNUMBER(SEARCH("hole",C742)),"Material Frayed",ISNUMBER(SEARCH("tear",C742)),"Material Frayed",ISNUMBER(SEARCH("worn",C742)),"Material Frayed",ISNUMBER(SEARCH("intermittent",C742)),"Difficult or Delayed Activation",ISNUMBER(SEARCH("delay",C742)),"Difficult or Delayed Activation",ISNUMBER(SEARCH("label",C742)),"Device Markings/Labelling Problem",ISNUMBER(SEARCH("marking",C742)),"Device Markings/Labelling Problem",ISNUMBER(SEARCH("lacerat",C742)),"Defective Device",ISNUMBER(SEARCH("cut",C742)),"Defective Device",ISNUMBER(SEARCH("leak",C742)),"Fluid/Blood Leak",ISNUMBER(SEARCH("missing",C742)),"Component Missing",ISNUMBER(SEARCH("power",C742)),"Complete Loss of Power",ISNUMBER(SEARCH("will not turn on",C742)),"Complete Loss of Power",ISNUMBER(SEARCH("won't turn on",C742)),"Complete Loss of Power",ISNUMBER(SEARCH("does not turn on",C742)),"Complete Loss of Power",ISNUMBER(SEARCH("electrical",C742)),"Electrical Power Problem",ISNUMBER(SEARCH("pressure",C742)),"Detachment of Device or Device Component",ISNUMBER(SEARCH("slip",C742)),"Detachment of Device or Device Component",ISNUMBER(SEARCH("detach",C742)),"Detachment of Device or Device Component",ISNUMBER(SEARCH("stick",C742)),"Mechanical Jam",ISNUMBER(SEARCH("jam",C742)),"Mechanical Jam",ISNUMBER(SEARCH("rigid",C742)),"Mechanical Jam",ISNUMBER(SEARCH("rust",C742)),"Corroded",ISNUMBER(SEARCH("corrod",C742)),"Corroded",ISNUMBER(SEARCH("corrosion",C742)),"Corroded",ISNUMBER(SEARCH("alignment",C742)),"Defective Device",ISNUMBER(SEARCH("adjust",C742)),"Defective Device",ISNUMBER(SEARCH("perform",C742)),"Defective Device",ISNUMBER(SEARCH("malfunction",C742)),"Defective Device",ISNUMBER(SEARCH("defect",C742)),"Defective Device",ISNUMBER(SEARCH("fail",C742)),"Defective Device",ISNUMBER(SEARCH("not work",C742)),"Defective Device",ISNUMBER(SEARCH("doesn't work",C742)),"Defective Device",TRUE,"UNKNOWN"),"UNKNOWN")))</f>
        <v/>
      </c>
      <c r="F742" s="4" t="str">
        <f t="shared" si="12"/>
        <v/>
      </c>
      <c r="G742" s="363" t="str">
        <f>IF(E742="","",IFERROR(VLOOKUP(E742,Codes!$L$2:$N$409,3,FALSE),"—"))</f>
        <v/>
      </c>
      <c r="H742" s="88"/>
      <c r="I742" s="88"/>
    </row>
    <row r="743" spans="1:9" ht="13.15" x14ac:dyDescent="0.35">
      <c r="A743" s="92"/>
      <c r="B743" s="89"/>
      <c r="C743" s="88"/>
      <c r="D743" s="88"/>
      <c r="E743" s="93" t="str" cm="1">
        <f t="array" ref="E743">IF(D743&lt;&gt;"",IFERROR(VLOOKUP(D743,Codes!$K$2:$L$409,2,FALSE),"UNKNOWN - "&amp;D743),IF(C743="","",IFERROR(_xlfn.IFS(ISNUMBER(SEARCH("broken button",C743)),"Break",ISNUMBER(SEARCH("broken handle",C743)),"Break",ISNUMBER(SEARCH("shipping damage",C743)),"Break",ISNUMBER(SEARCH("broken",C743)),"Break",ISNUMBER(SEARCH("crack",C743)),"Break",ISNUMBER(SEARCH("snap",C743)),"Break",ISNUMBER(SEARCH("fracture",C743)),"Break",ISNUMBER(SEARCH("bent",C743)),"Material Twisted/Bent",ISNUMBER(SEARCH("twisted",C743)),"Material Twisted/Bent",ISNUMBER(SEARCH("component separat",C743)),"Material Separation",ISNUMBER(SEARCH("separat",C743)),"Material Separation",ISNUMBER(SEARCH("connection",C743)),"Loose or Intermittent Connection",ISNUMBER(SEARCH("loose",C743)),"Loose or Intermittent Connection",ISNUMBER(SEARCH("damaged packaging",C743)),"Packaging Problem",ISNUMBER(SEARCH("packaging",C743)),"Packaging Problem",ISNUMBER(SEARCH("discoloration",C743)),"Contamination",ISNUMBER(SEARCH("tarnish",C743)),"Contamination",ISNUMBER(SEARCH("stain",C743)),"Contamination",ISNUMBER(SEARCH("foreign material",C743)),"Contamination",ISNUMBER(SEARCH("contamina",C743)),"Contamination",ISNUMBER(SEARCH("overheat",C743)),"Overheating of Device",ISNUMBER(SEARCH("excessive heat",C743)),"Overheating of Device",ISNUMBER(SEARCH("hot",C743)),"Overheating of Device",ISNUMBER(SEARCH("noise",C743)),"Noise, Audible",ISNUMBER(SEARCH("sound",C743)),"Noise, Audible",ISNUMBER(SEARCH("loud",C743)),"Noise, Audible",ISNUMBER(SEARCH("fray",C743)),"Material Frayed",ISNUMBER(SEARCH("hole",C743)),"Material Frayed",ISNUMBER(SEARCH("tear",C743)),"Material Frayed",ISNUMBER(SEARCH("worn",C743)),"Material Frayed",ISNUMBER(SEARCH("intermittent",C743)),"Difficult or Delayed Activation",ISNUMBER(SEARCH("delay",C743)),"Difficult or Delayed Activation",ISNUMBER(SEARCH("label",C743)),"Device Markings/Labelling Problem",ISNUMBER(SEARCH("marking",C743)),"Device Markings/Labelling Problem",ISNUMBER(SEARCH("lacerat",C743)),"Defective Device",ISNUMBER(SEARCH("cut",C743)),"Defective Device",ISNUMBER(SEARCH("leak",C743)),"Fluid/Blood Leak",ISNUMBER(SEARCH("missing",C743)),"Component Missing",ISNUMBER(SEARCH("power",C743)),"Complete Loss of Power",ISNUMBER(SEARCH("will not turn on",C743)),"Complete Loss of Power",ISNUMBER(SEARCH("won't turn on",C743)),"Complete Loss of Power",ISNUMBER(SEARCH("does not turn on",C743)),"Complete Loss of Power",ISNUMBER(SEARCH("electrical",C743)),"Electrical Power Problem",ISNUMBER(SEARCH("pressure",C743)),"Detachment of Device or Device Component",ISNUMBER(SEARCH("slip",C743)),"Detachment of Device or Device Component",ISNUMBER(SEARCH("detach",C743)),"Detachment of Device or Device Component",ISNUMBER(SEARCH("stick",C743)),"Mechanical Jam",ISNUMBER(SEARCH("jam",C743)),"Mechanical Jam",ISNUMBER(SEARCH("rigid",C743)),"Mechanical Jam",ISNUMBER(SEARCH("rust",C743)),"Corroded",ISNUMBER(SEARCH("corrod",C743)),"Corroded",ISNUMBER(SEARCH("corrosion",C743)),"Corroded",ISNUMBER(SEARCH("alignment",C743)),"Defective Device",ISNUMBER(SEARCH("adjust",C743)),"Defective Device",ISNUMBER(SEARCH("perform",C743)),"Defective Device",ISNUMBER(SEARCH("malfunction",C743)),"Defective Device",ISNUMBER(SEARCH("defect",C743)),"Defective Device",ISNUMBER(SEARCH("fail",C743)),"Defective Device",ISNUMBER(SEARCH("not work",C743)),"Defective Device",ISNUMBER(SEARCH("doesn't work",C743)),"Defective Device",TRUE,"UNKNOWN"),"UNKNOWN")))</f>
        <v/>
      </c>
      <c r="F743" s="4" t="str">
        <f t="shared" si="12"/>
        <v/>
      </c>
      <c r="G743" s="363" t="str">
        <f>IF(E743="","",IFERROR(VLOOKUP(E743,Codes!$L$2:$N$409,3,FALSE),"—"))</f>
        <v/>
      </c>
      <c r="H743" s="88"/>
      <c r="I743" s="88"/>
    </row>
    <row r="744" spans="1:9" ht="13.15" x14ac:dyDescent="0.35">
      <c r="A744" s="92"/>
      <c r="B744" s="89"/>
      <c r="C744" s="88"/>
      <c r="D744" s="88"/>
      <c r="E744" s="93" t="str" cm="1">
        <f t="array" ref="E744">IF(D744&lt;&gt;"",IFERROR(VLOOKUP(D744,Codes!$K$2:$L$409,2,FALSE),"UNKNOWN - "&amp;D744),IF(C744="","",IFERROR(_xlfn.IFS(ISNUMBER(SEARCH("broken button",C744)),"Break",ISNUMBER(SEARCH("broken handle",C744)),"Break",ISNUMBER(SEARCH("shipping damage",C744)),"Break",ISNUMBER(SEARCH("broken",C744)),"Break",ISNUMBER(SEARCH("crack",C744)),"Break",ISNUMBER(SEARCH("snap",C744)),"Break",ISNUMBER(SEARCH("fracture",C744)),"Break",ISNUMBER(SEARCH("bent",C744)),"Material Twisted/Bent",ISNUMBER(SEARCH("twisted",C744)),"Material Twisted/Bent",ISNUMBER(SEARCH("component separat",C744)),"Material Separation",ISNUMBER(SEARCH("separat",C744)),"Material Separation",ISNUMBER(SEARCH("connection",C744)),"Loose or Intermittent Connection",ISNUMBER(SEARCH("loose",C744)),"Loose or Intermittent Connection",ISNUMBER(SEARCH("damaged packaging",C744)),"Packaging Problem",ISNUMBER(SEARCH("packaging",C744)),"Packaging Problem",ISNUMBER(SEARCH("discoloration",C744)),"Contamination",ISNUMBER(SEARCH("tarnish",C744)),"Contamination",ISNUMBER(SEARCH("stain",C744)),"Contamination",ISNUMBER(SEARCH("foreign material",C744)),"Contamination",ISNUMBER(SEARCH("contamina",C744)),"Contamination",ISNUMBER(SEARCH("overheat",C744)),"Overheating of Device",ISNUMBER(SEARCH("excessive heat",C744)),"Overheating of Device",ISNUMBER(SEARCH("hot",C744)),"Overheating of Device",ISNUMBER(SEARCH("noise",C744)),"Noise, Audible",ISNUMBER(SEARCH("sound",C744)),"Noise, Audible",ISNUMBER(SEARCH("loud",C744)),"Noise, Audible",ISNUMBER(SEARCH("fray",C744)),"Material Frayed",ISNUMBER(SEARCH("hole",C744)),"Material Frayed",ISNUMBER(SEARCH("tear",C744)),"Material Frayed",ISNUMBER(SEARCH("worn",C744)),"Material Frayed",ISNUMBER(SEARCH("intermittent",C744)),"Difficult or Delayed Activation",ISNUMBER(SEARCH("delay",C744)),"Difficult or Delayed Activation",ISNUMBER(SEARCH("label",C744)),"Device Markings/Labelling Problem",ISNUMBER(SEARCH("marking",C744)),"Device Markings/Labelling Problem",ISNUMBER(SEARCH("lacerat",C744)),"Defective Device",ISNUMBER(SEARCH("cut",C744)),"Defective Device",ISNUMBER(SEARCH("leak",C744)),"Fluid/Blood Leak",ISNUMBER(SEARCH("missing",C744)),"Component Missing",ISNUMBER(SEARCH("power",C744)),"Complete Loss of Power",ISNUMBER(SEARCH("will not turn on",C744)),"Complete Loss of Power",ISNUMBER(SEARCH("won't turn on",C744)),"Complete Loss of Power",ISNUMBER(SEARCH("does not turn on",C744)),"Complete Loss of Power",ISNUMBER(SEARCH("electrical",C744)),"Electrical Power Problem",ISNUMBER(SEARCH("pressure",C744)),"Detachment of Device or Device Component",ISNUMBER(SEARCH("slip",C744)),"Detachment of Device or Device Component",ISNUMBER(SEARCH("detach",C744)),"Detachment of Device or Device Component",ISNUMBER(SEARCH("stick",C744)),"Mechanical Jam",ISNUMBER(SEARCH("jam",C744)),"Mechanical Jam",ISNUMBER(SEARCH("rigid",C744)),"Mechanical Jam",ISNUMBER(SEARCH("rust",C744)),"Corroded",ISNUMBER(SEARCH("corrod",C744)),"Corroded",ISNUMBER(SEARCH("corrosion",C744)),"Corroded",ISNUMBER(SEARCH("alignment",C744)),"Defective Device",ISNUMBER(SEARCH("adjust",C744)),"Defective Device",ISNUMBER(SEARCH("perform",C744)),"Defective Device",ISNUMBER(SEARCH("malfunction",C744)),"Defective Device",ISNUMBER(SEARCH("defect",C744)),"Defective Device",ISNUMBER(SEARCH("fail",C744)),"Defective Device",ISNUMBER(SEARCH("not work",C744)),"Defective Device",ISNUMBER(SEARCH("doesn't work",C744)),"Defective Device",TRUE,"UNKNOWN"),"UNKNOWN")))</f>
        <v/>
      </c>
      <c r="F744" s="4" t="str">
        <f t="shared" si="12"/>
        <v/>
      </c>
      <c r="G744" s="363" t="str">
        <f>IF(E744="","",IFERROR(VLOOKUP(E744,Codes!$L$2:$N$409,3,FALSE),"—"))</f>
        <v/>
      </c>
      <c r="H744" s="88"/>
      <c r="I744" s="88"/>
    </row>
    <row r="745" spans="1:9" ht="13.15" x14ac:dyDescent="0.35">
      <c r="A745" s="92"/>
      <c r="B745" s="89"/>
      <c r="C745" s="88"/>
      <c r="D745" s="88"/>
      <c r="E745" s="93" t="str" cm="1">
        <f t="array" ref="E745">IF(D745&lt;&gt;"",IFERROR(VLOOKUP(D745,Codes!$K$2:$L$409,2,FALSE),"UNKNOWN - "&amp;D745),IF(C745="","",IFERROR(_xlfn.IFS(ISNUMBER(SEARCH("broken button",C745)),"Break",ISNUMBER(SEARCH("broken handle",C745)),"Break",ISNUMBER(SEARCH("shipping damage",C745)),"Break",ISNUMBER(SEARCH("broken",C745)),"Break",ISNUMBER(SEARCH("crack",C745)),"Break",ISNUMBER(SEARCH("snap",C745)),"Break",ISNUMBER(SEARCH("fracture",C745)),"Break",ISNUMBER(SEARCH("bent",C745)),"Material Twisted/Bent",ISNUMBER(SEARCH("twisted",C745)),"Material Twisted/Bent",ISNUMBER(SEARCH("component separat",C745)),"Material Separation",ISNUMBER(SEARCH("separat",C745)),"Material Separation",ISNUMBER(SEARCH("connection",C745)),"Loose or Intermittent Connection",ISNUMBER(SEARCH("loose",C745)),"Loose or Intermittent Connection",ISNUMBER(SEARCH("damaged packaging",C745)),"Packaging Problem",ISNUMBER(SEARCH("packaging",C745)),"Packaging Problem",ISNUMBER(SEARCH("discoloration",C745)),"Contamination",ISNUMBER(SEARCH("tarnish",C745)),"Contamination",ISNUMBER(SEARCH("stain",C745)),"Contamination",ISNUMBER(SEARCH("foreign material",C745)),"Contamination",ISNUMBER(SEARCH("contamina",C745)),"Contamination",ISNUMBER(SEARCH("overheat",C745)),"Overheating of Device",ISNUMBER(SEARCH("excessive heat",C745)),"Overheating of Device",ISNUMBER(SEARCH("hot",C745)),"Overheating of Device",ISNUMBER(SEARCH("noise",C745)),"Noise, Audible",ISNUMBER(SEARCH("sound",C745)),"Noise, Audible",ISNUMBER(SEARCH("loud",C745)),"Noise, Audible",ISNUMBER(SEARCH("fray",C745)),"Material Frayed",ISNUMBER(SEARCH("hole",C745)),"Material Frayed",ISNUMBER(SEARCH("tear",C745)),"Material Frayed",ISNUMBER(SEARCH("worn",C745)),"Material Frayed",ISNUMBER(SEARCH("intermittent",C745)),"Difficult or Delayed Activation",ISNUMBER(SEARCH("delay",C745)),"Difficult or Delayed Activation",ISNUMBER(SEARCH("label",C745)),"Device Markings/Labelling Problem",ISNUMBER(SEARCH("marking",C745)),"Device Markings/Labelling Problem",ISNUMBER(SEARCH("lacerat",C745)),"Defective Device",ISNUMBER(SEARCH("cut",C745)),"Defective Device",ISNUMBER(SEARCH("leak",C745)),"Fluid/Blood Leak",ISNUMBER(SEARCH("missing",C745)),"Component Missing",ISNUMBER(SEARCH("power",C745)),"Complete Loss of Power",ISNUMBER(SEARCH("will not turn on",C745)),"Complete Loss of Power",ISNUMBER(SEARCH("won't turn on",C745)),"Complete Loss of Power",ISNUMBER(SEARCH("does not turn on",C745)),"Complete Loss of Power",ISNUMBER(SEARCH("electrical",C745)),"Electrical Power Problem",ISNUMBER(SEARCH("pressure",C745)),"Detachment of Device or Device Component",ISNUMBER(SEARCH("slip",C745)),"Detachment of Device or Device Component",ISNUMBER(SEARCH("detach",C745)),"Detachment of Device or Device Component",ISNUMBER(SEARCH("stick",C745)),"Mechanical Jam",ISNUMBER(SEARCH("jam",C745)),"Mechanical Jam",ISNUMBER(SEARCH("rigid",C745)),"Mechanical Jam",ISNUMBER(SEARCH("rust",C745)),"Corroded",ISNUMBER(SEARCH("corrod",C745)),"Corroded",ISNUMBER(SEARCH("corrosion",C745)),"Corroded",ISNUMBER(SEARCH("alignment",C745)),"Defective Device",ISNUMBER(SEARCH("adjust",C745)),"Defective Device",ISNUMBER(SEARCH("perform",C745)),"Defective Device",ISNUMBER(SEARCH("malfunction",C745)),"Defective Device",ISNUMBER(SEARCH("defect",C745)),"Defective Device",ISNUMBER(SEARCH("fail",C745)),"Defective Device",ISNUMBER(SEARCH("not work",C745)),"Defective Device",ISNUMBER(SEARCH("doesn't work",C745)),"Defective Device",TRUE,"UNKNOWN"),"UNKNOWN")))</f>
        <v/>
      </c>
      <c r="F745" s="4" t="str">
        <f t="shared" si="12"/>
        <v/>
      </c>
      <c r="G745" s="363" t="str">
        <f>IF(E745="","",IFERROR(VLOOKUP(E745,Codes!$L$2:$N$409,3,FALSE),"—"))</f>
        <v/>
      </c>
      <c r="H745" s="88"/>
      <c r="I745" s="88"/>
    </row>
    <row r="746" spans="1:9" ht="13.15" x14ac:dyDescent="0.35">
      <c r="A746" s="92"/>
      <c r="B746" s="89"/>
      <c r="C746" s="88"/>
      <c r="D746" s="88"/>
      <c r="E746" s="93" t="str" cm="1">
        <f t="array" ref="E746">IF(D746&lt;&gt;"",IFERROR(VLOOKUP(D746,Codes!$K$2:$L$409,2,FALSE),"UNKNOWN - "&amp;D746),IF(C746="","",IFERROR(_xlfn.IFS(ISNUMBER(SEARCH("broken button",C746)),"Break",ISNUMBER(SEARCH("broken handle",C746)),"Break",ISNUMBER(SEARCH("shipping damage",C746)),"Break",ISNUMBER(SEARCH("broken",C746)),"Break",ISNUMBER(SEARCH("crack",C746)),"Break",ISNUMBER(SEARCH("snap",C746)),"Break",ISNUMBER(SEARCH("fracture",C746)),"Break",ISNUMBER(SEARCH("bent",C746)),"Material Twisted/Bent",ISNUMBER(SEARCH("twisted",C746)),"Material Twisted/Bent",ISNUMBER(SEARCH("component separat",C746)),"Material Separation",ISNUMBER(SEARCH("separat",C746)),"Material Separation",ISNUMBER(SEARCH("connection",C746)),"Loose or Intermittent Connection",ISNUMBER(SEARCH("loose",C746)),"Loose or Intermittent Connection",ISNUMBER(SEARCH("damaged packaging",C746)),"Packaging Problem",ISNUMBER(SEARCH("packaging",C746)),"Packaging Problem",ISNUMBER(SEARCH("discoloration",C746)),"Contamination",ISNUMBER(SEARCH("tarnish",C746)),"Contamination",ISNUMBER(SEARCH("stain",C746)),"Contamination",ISNUMBER(SEARCH("foreign material",C746)),"Contamination",ISNUMBER(SEARCH("contamina",C746)),"Contamination",ISNUMBER(SEARCH("overheat",C746)),"Overheating of Device",ISNUMBER(SEARCH("excessive heat",C746)),"Overheating of Device",ISNUMBER(SEARCH("hot",C746)),"Overheating of Device",ISNUMBER(SEARCH("noise",C746)),"Noise, Audible",ISNUMBER(SEARCH("sound",C746)),"Noise, Audible",ISNUMBER(SEARCH("loud",C746)),"Noise, Audible",ISNUMBER(SEARCH("fray",C746)),"Material Frayed",ISNUMBER(SEARCH("hole",C746)),"Material Frayed",ISNUMBER(SEARCH("tear",C746)),"Material Frayed",ISNUMBER(SEARCH("worn",C746)),"Material Frayed",ISNUMBER(SEARCH("intermittent",C746)),"Difficult or Delayed Activation",ISNUMBER(SEARCH("delay",C746)),"Difficult or Delayed Activation",ISNUMBER(SEARCH("label",C746)),"Device Markings/Labelling Problem",ISNUMBER(SEARCH("marking",C746)),"Device Markings/Labelling Problem",ISNUMBER(SEARCH("lacerat",C746)),"Defective Device",ISNUMBER(SEARCH("cut",C746)),"Defective Device",ISNUMBER(SEARCH("leak",C746)),"Fluid/Blood Leak",ISNUMBER(SEARCH("missing",C746)),"Component Missing",ISNUMBER(SEARCH("power",C746)),"Complete Loss of Power",ISNUMBER(SEARCH("will not turn on",C746)),"Complete Loss of Power",ISNUMBER(SEARCH("won't turn on",C746)),"Complete Loss of Power",ISNUMBER(SEARCH("does not turn on",C746)),"Complete Loss of Power",ISNUMBER(SEARCH("electrical",C746)),"Electrical Power Problem",ISNUMBER(SEARCH("pressure",C746)),"Detachment of Device or Device Component",ISNUMBER(SEARCH("slip",C746)),"Detachment of Device or Device Component",ISNUMBER(SEARCH("detach",C746)),"Detachment of Device or Device Component",ISNUMBER(SEARCH("stick",C746)),"Mechanical Jam",ISNUMBER(SEARCH("jam",C746)),"Mechanical Jam",ISNUMBER(SEARCH("rigid",C746)),"Mechanical Jam",ISNUMBER(SEARCH("rust",C746)),"Corroded",ISNUMBER(SEARCH("corrod",C746)),"Corroded",ISNUMBER(SEARCH("corrosion",C746)),"Corroded",ISNUMBER(SEARCH("alignment",C746)),"Defective Device",ISNUMBER(SEARCH("adjust",C746)),"Defective Device",ISNUMBER(SEARCH("perform",C746)),"Defective Device",ISNUMBER(SEARCH("malfunction",C746)),"Defective Device",ISNUMBER(SEARCH("defect",C746)),"Defective Device",ISNUMBER(SEARCH("fail",C746)),"Defective Device",ISNUMBER(SEARCH("not work",C746)),"Defective Device",ISNUMBER(SEARCH("doesn't work",C746)),"Defective Device",TRUE,"UNKNOWN"),"UNKNOWN")))</f>
        <v/>
      </c>
      <c r="F746" s="4" t="str">
        <f t="shared" si="12"/>
        <v/>
      </c>
      <c r="G746" s="363" t="str">
        <f>IF(E746="","",IFERROR(VLOOKUP(E746,Codes!$L$2:$N$409,3,FALSE),"—"))</f>
        <v/>
      </c>
      <c r="H746" s="88"/>
      <c r="I746" s="88"/>
    </row>
    <row r="747" spans="1:9" ht="13.15" x14ac:dyDescent="0.35">
      <c r="A747" s="92"/>
      <c r="B747" s="89"/>
      <c r="C747" s="88"/>
      <c r="D747" s="88"/>
      <c r="E747" s="93" t="str" cm="1">
        <f t="array" ref="E747">IF(D747&lt;&gt;"",IFERROR(VLOOKUP(D747,Codes!$K$2:$L$409,2,FALSE),"UNKNOWN - "&amp;D747),IF(C747="","",IFERROR(_xlfn.IFS(ISNUMBER(SEARCH("broken button",C747)),"Break",ISNUMBER(SEARCH("broken handle",C747)),"Break",ISNUMBER(SEARCH("shipping damage",C747)),"Break",ISNUMBER(SEARCH("broken",C747)),"Break",ISNUMBER(SEARCH("crack",C747)),"Break",ISNUMBER(SEARCH("snap",C747)),"Break",ISNUMBER(SEARCH("fracture",C747)),"Break",ISNUMBER(SEARCH("bent",C747)),"Material Twisted/Bent",ISNUMBER(SEARCH("twisted",C747)),"Material Twisted/Bent",ISNUMBER(SEARCH("component separat",C747)),"Material Separation",ISNUMBER(SEARCH("separat",C747)),"Material Separation",ISNUMBER(SEARCH("connection",C747)),"Loose or Intermittent Connection",ISNUMBER(SEARCH("loose",C747)),"Loose or Intermittent Connection",ISNUMBER(SEARCH("damaged packaging",C747)),"Packaging Problem",ISNUMBER(SEARCH("packaging",C747)),"Packaging Problem",ISNUMBER(SEARCH("discoloration",C747)),"Contamination",ISNUMBER(SEARCH("tarnish",C747)),"Contamination",ISNUMBER(SEARCH("stain",C747)),"Contamination",ISNUMBER(SEARCH("foreign material",C747)),"Contamination",ISNUMBER(SEARCH("contamina",C747)),"Contamination",ISNUMBER(SEARCH("overheat",C747)),"Overheating of Device",ISNUMBER(SEARCH("excessive heat",C747)),"Overheating of Device",ISNUMBER(SEARCH("hot",C747)),"Overheating of Device",ISNUMBER(SEARCH("noise",C747)),"Noise, Audible",ISNUMBER(SEARCH("sound",C747)),"Noise, Audible",ISNUMBER(SEARCH("loud",C747)),"Noise, Audible",ISNUMBER(SEARCH("fray",C747)),"Material Frayed",ISNUMBER(SEARCH("hole",C747)),"Material Frayed",ISNUMBER(SEARCH("tear",C747)),"Material Frayed",ISNUMBER(SEARCH("worn",C747)),"Material Frayed",ISNUMBER(SEARCH("intermittent",C747)),"Difficult or Delayed Activation",ISNUMBER(SEARCH("delay",C747)),"Difficult or Delayed Activation",ISNUMBER(SEARCH("label",C747)),"Device Markings/Labelling Problem",ISNUMBER(SEARCH("marking",C747)),"Device Markings/Labelling Problem",ISNUMBER(SEARCH("lacerat",C747)),"Defective Device",ISNUMBER(SEARCH("cut",C747)),"Defective Device",ISNUMBER(SEARCH("leak",C747)),"Fluid/Blood Leak",ISNUMBER(SEARCH("missing",C747)),"Component Missing",ISNUMBER(SEARCH("power",C747)),"Complete Loss of Power",ISNUMBER(SEARCH("will not turn on",C747)),"Complete Loss of Power",ISNUMBER(SEARCH("won't turn on",C747)),"Complete Loss of Power",ISNUMBER(SEARCH("does not turn on",C747)),"Complete Loss of Power",ISNUMBER(SEARCH("electrical",C747)),"Electrical Power Problem",ISNUMBER(SEARCH("pressure",C747)),"Detachment of Device or Device Component",ISNUMBER(SEARCH("slip",C747)),"Detachment of Device or Device Component",ISNUMBER(SEARCH("detach",C747)),"Detachment of Device or Device Component",ISNUMBER(SEARCH("stick",C747)),"Mechanical Jam",ISNUMBER(SEARCH("jam",C747)),"Mechanical Jam",ISNUMBER(SEARCH("rigid",C747)),"Mechanical Jam",ISNUMBER(SEARCH("rust",C747)),"Corroded",ISNUMBER(SEARCH("corrod",C747)),"Corroded",ISNUMBER(SEARCH("corrosion",C747)),"Corroded",ISNUMBER(SEARCH("alignment",C747)),"Defective Device",ISNUMBER(SEARCH("adjust",C747)),"Defective Device",ISNUMBER(SEARCH("perform",C747)),"Defective Device",ISNUMBER(SEARCH("malfunction",C747)),"Defective Device",ISNUMBER(SEARCH("defect",C747)),"Defective Device",ISNUMBER(SEARCH("fail",C747)),"Defective Device",ISNUMBER(SEARCH("not work",C747)),"Defective Device",ISNUMBER(SEARCH("doesn't work",C747)),"Defective Device",TRUE,"UNKNOWN"),"UNKNOWN")))</f>
        <v/>
      </c>
      <c r="F747" s="4" t="str">
        <f t="shared" si="12"/>
        <v/>
      </c>
      <c r="G747" s="363" t="str">
        <f>IF(E747="","",IFERROR(VLOOKUP(E747,Codes!$L$2:$N$409,3,FALSE),"—"))</f>
        <v/>
      </c>
      <c r="H747" s="88"/>
      <c r="I747" s="88"/>
    </row>
    <row r="748" spans="1:9" ht="13.15" x14ac:dyDescent="0.35">
      <c r="A748" s="92"/>
      <c r="B748" s="89"/>
      <c r="C748" s="88"/>
      <c r="D748" s="88"/>
      <c r="E748" s="93" t="str" cm="1">
        <f t="array" ref="E748">IF(D748&lt;&gt;"",IFERROR(VLOOKUP(D748,Codes!$K$2:$L$409,2,FALSE),"UNKNOWN - "&amp;D748),IF(C748="","",IFERROR(_xlfn.IFS(ISNUMBER(SEARCH("broken button",C748)),"Break",ISNUMBER(SEARCH("broken handle",C748)),"Break",ISNUMBER(SEARCH("shipping damage",C748)),"Break",ISNUMBER(SEARCH("broken",C748)),"Break",ISNUMBER(SEARCH("crack",C748)),"Break",ISNUMBER(SEARCH("snap",C748)),"Break",ISNUMBER(SEARCH("fracture",C748)),"Break",ISNUMBER(SEARCH("bent",C748)),"Material Twisted/Bent",ISNUMBER(SEARCH("twisted",C748)),"Material Twisted/Bent",ISNUMBER(SEARCH("component separat",C748)),"Material Separation",ISNUMBER(SEARCH("separat",C748)),"Material Separation",ISNUMBER(SEARCH("connection",C748)),"Loose or Intermittent Connection",ISNUMBER(SEARCH("loose",C748)),"Loose or Intermittent Connection",ISNUMBER(SEARCH("damaged packaging",C748)),"Packaging Problem",ISNUMBER(SEARCH("packaging",C748)),"Packaging Problem",ISNUMBER(SEARCH("discoloration",C748)),"Contamination",ISNUMBER(SEARCH("tarnish",C748)),"Contamination",ISNUMBER(SEARCH("stain",C748)),"Contamination",ISNUMBER(SEARCH("foreign material",C748)),"Contamination",ISNUMBER(SEARCH("contamina",C748)),"Contamination",ISNUMBER(SEARCH("overheat",C748)),"Overheating of Device",ISNUMBER(SEARCH("excessive heat",C748)),"Overheating of Device",ISNUMBER(SEARCH("hot",C748)),"Overheating of Device",ISNUMBER(SEARCH("noise",C748)),"Noise, Audible",ISNUMBER(SEARCH("sound",C748)),"Noise, Audible",ISNUMBER(SEARCH("loud",C748)),"Noise, Audible",ISNUMBER(SEARCH("fray",C748)),"Material Frayed",ISNUMBER(SEARCH("hole",C748)),"Material Frayed",ISNUMBER(SEARCH("tear",C748)),"Material Frayed",ISNUMBER(SEARCH("worn",C748)),"Material Frayed",ISNUMBER(SEARCH("intermittent",C748)),"Difficult or Delayed Activation",ISNUMBER(SEARCH("delay",C748)),"Difficult or Delayed Activation",ISNUMBER(SEARCH("label",C748)),"Device Markings/Labelling Problem",ISNUMBER(SEARCH("marking",C748)),"Device Markings/Labelling Problem",ISNUMBER(SEARCH("lacerat",C748)),"Defective Device",ISNUMBER(SEARCH("cut",C748)),"Defective Device",ISNUMBER(SEARCH("leak",C748)),"Fluid/Blood Leak",ISNUMBER(SEARCH("missing",C748)),"Component Missing",ISNUMBER(SEARCH("power",C748)),"Complete Loss of Power",ISNUMBER(SEARCH("will not turn on",C748)),"Complete Loss of Power",ISNUMBER(SEARCH("won't turn on",C748)),"Complete Loss of Power",ISNUMBER(SEARCH("does not turn on",C748)),"Complete Loss of Power",ISNUMBER(SEARCH("electrical",C748)),"Electrical Power Problem",ISNUMBER(SEARCH("pressure",C748)),"Detachment of Device or Device Component",ISNUMBER(SEARCH("slip",C748)),"Detachment of Device or Device Component",ISNUMBER(SEARCH("detach",C748)),"Detachment of Device or Device Component",ISNUMBER(SEARCH("stick",C748)),"Mechanical Jam",ISNUMBER(SEARCH("jam",C748)),"Mechanical Jam",ISNUMBER(SEARCH("rigid",C748)),"Mechanical Jam",ISNUMBER(SEARCH("rust",C748)),"Corroded",ISNUMBER(SEARCH("corrod",C748)),"Corroded",ISNUMBER(SEARCH("corrosion",C748)),"Corroded",ISNUMBER(SEARCH("alignment",C748)),"Defective Device",ISNUMBER(SEARCH("adjust",C748)),"Defective Device",ISNUMBER(SEARCH("perform",C748)),"Defective Device",ISNUMBER(SEARCH("malfunction",C748)),"Defective Device",ISNUMBER(SEARCH("defect",C748)),"Defective Device",ISNUMBER(SEARCH("fail",C748)),"Defective Device",ISNUMBER(SEARCH("not work",C748)),"Defective Device",ISNUMBER(SEARCH("doesn't work",C748)),"Defective Device",TRUE,"UNKNOWN"),"UNKNOWN")))</f>
        <v/>
      </c>
      <c r="F748" s="4" t="str">
        <f t="shared" si="12"/>
        <v/>
      </c>
      <c r="G748" s="363" t="str">
        <f>IF(E748="","",IFERROR(VLOOKUP(E748,Codes!$L$2:$N$409,3,FALSE),"—"))</f>
        <v/>
      </c>
      <c r="H748" s="88"/>
      <c r="I748" s="88"/>
    </row>
    <row r="749" spans="1:9" ht="13.15" x14ac:dyDescent="0.35">
      <c r="A749" s="92"/>
      <c r="B749" s="89"/>
      <c r="C749" s="88"/>
      <c r="D749" s="88"/>
      <c r="E749" s="93" t="str" cm="1">
        <f t="array" ref="E749">IF(D749&lt;&gt;"",IFERROR(VLOOKUP(D749,Codes!$K$2:$L$409,2,FALSE),"UNKNOWN - "&amp;D749),IF(C749="","",IFERROR(_xlfn.IFS(ISNUMBER(SEARCH("broken button",C749)),"Break",ISNUMBER(SEARCH("broken handle",C749)),"Break",ISNUMBER(SEARCH("shipping damage",C749)),"Break",ISNUMBER(SEARCH("broken",C749)),"Break",ISNUMBER(SEARCH("crack",C749)),"Break",ISNUMBER(SEARCH("snap",C749)),"Break",ISNUMBER(SEARCH("fracture",C749)),"Break",ISNUMBER(SEARCH("bent",C749)),"Material Twisted/Bent",ISNUMBER(SEARCH("twisted",C749)),"Material Twisted/Bent",ISNUMBER(SEARCH("component separat",C749)),"Material Separation",ISNUMBER(SEARCH("separat",C749)),"Material Separation",ISNUMBER(SEARCH("connection",C749)),"Loose or Intermittent Connection",ISNUMBER(SEARCH("loose",C749)),"Loose or Intermittent Connection",ISNUMBER(SEARCH("damaged packaging",C749)),"Packaging Problem",ISNUMBER(SEARCH("packaging",C749)),"Packaging Problem",ISNUMBER(SEARCH("discoloration",C749)),"Contamination",ISNUMBER(SEARCH("tarnish",C749)),"Contamination",ISNUMBER(SEARCH("stain",C749)),"Contamination",ISNUMBER(SEARCH("foreign material",C749)),"Contamination",ISNUMBER(SEARCH("contamina",C749)),"Contamination",ISNUMBER(SEARCH("overheat",C749)),"Overheating of Device",ISNUMBER(SEARCH("excessive heat",C749)),"Overheating of Device",ISNUMBER(SEARCH("hot",C749)),"Overheating of Device",ISNUMBER(SEARCH("noise",C749)),"Noise, Audible",ISNUMBER(SEARCH("sound",C749)),"Noise, Audible",ISNUMBER(SEARCH("loud",C749)),"Noise, Audible",ISNUMBER(SEARCH("fray",C749)),"Material Frayed",ISNUMBER(SEARCH("hole",C749)),"Material Frayed",ISNUMBER(SEARCH("tear",C749)),"Material Frayed",ISNUMBER(SEARCH("worn",C749)),"Material Frayed",ISNUMBER(SEARCH("intermittent",C749)),"Difficult or Delayed Activation",ISNUMBER(SEARCH("delay",C749)),"Difficult or Delayed Activation",ISNUMBER(SEARCH("label",C749)),"Device Markings/Labelling Problem",ISNUMBER(SEARCH("marking",C749)),"Device Markings/Labelling Problem",ISNUMBER(SEARCH("lacerat",C749)),"Defective Device",ISNUMBER(SEARCH("cut",C749)),"Defective Device",ISNUMBER(SEARCH("leak",C749)),"Fluid/Blood Leak",ISNUMBER(SEARCH("missing",C749)),"Component Missing",ISNUMBER(SEARCH("power",C749)),"Complete Loss of Power",ISNUMBER(SEARCH("will not turn on",C749)),"Complete Loss of Power",ISNUMBER(SEARCH("won't turn on",C749)),"Complete Loss of Power",ISNUMBER(SEARCH("does not turn on",C749)),"Complete Loss of Power",ISNUMBER(SEARCH("electrical",C749)),"Electrical Power Problem",ISNUMBER(SEARCH("pressure",C749)),"Detachment of Device or Device Component",ISNUMBER(SEARCH("slip",C749)),"Detachment of Device or Device Component",ISNUMBER(SEARCH("detach",C749)),"Detachment of Device or Device Component",ISNUMBER(SEARCH("stick",C749)),"Mechanical Jam",ISNUMBER(SEARCH("jam",C749)),"Mechanical Jam",ISNUMBER(SEARCH("rigid",C749)),"Mechanical Jam",ISNUMBER(SEARCH("rust",C749)),"Corroded",ISNUMBER(SEARCH("corrod",C749)),"Corroded",ISNUMBER(SEARCH("corrosion",C749)),"Corroded",ISNUMBER(SEARCH("alignment",C749)),"Defective Device",ISNUMBER(SEARCH("adjust",C749)),"Defective Device",ISNUMBER(SEARCH("perform",C749)),"Defective Device",ISNUMBER(SEARCH("malfunction",C749)),"Defective Device",ISNUMBER(SEARCH("defect",C749)),"Defective Device",ISNUMBER(SEARCH("fail",C749)),"Defective Device",ISNUMBER(SEARCH("not work",C749)),"Defective Device",ISNUMBER(SEARCH("doesn't work",C749)),"Defective Device",TRUE,"UNKNOWN"),"UNKNOWN")))</f>
        <v/>
      </c>
      <c r="F749" s="4" t="str">
        <f t="shared" si="12"/>
        <v/>
      </c>
      <c r="G749" s="363" t="str">
        <f>IF(E749="","",IFERROR(VLOOKUP(E749,Codes!$L$2:$N$409,3,FALSE),"—"))</f>
        <v/>
      </c>
      <c r="H749" s="88"/>
      <c r="I749" s="88"/>
    </row>
    <row r="750" spans="1:9" ht="13.15" x14ac:dyDescent="0.35">
      <c r="A750" s="92"/>
      <c r="B750" s="89"/>
      <c r="C750" s="88"/>
      <c r="D750" s="88"/>
      <c r="E750" s="93" t="str" cm="1">
        <f t="array" ref="E750">IF(D750&lt;&gt;"",IFERROR(VLOOKUP(D750,Codes!$K$2:$L$409,2,FALSE),"UNKNOWN - "&amp;D750),IF(C750="","",IFERROR(_xlfn.IFS(ISNUMBER(SEARCH("broken button",C750)),"Break",ISNUMBER(SEARCH("broken handle",C750)),"Break",ISNUMBER(SEARCH("shipping damage",C750)),"Break",ISNUMBER(SEARCH("broken",C750)),"Break",ISNUMBER(SEARCH("crack",C750)),"Break",ISNUMBER(SEARCH("snap",C750)),"Break",ISNUMBER(SEARCH("fracture",C750)),"Break",ISNUMBER(SEARCH("bent",C750)),"Material Twisted/Bent",ISNUMBER(SEARCH("twisted",C750)),"Material Twisted/Bent",ISNUMBER(SEARCH("component separat",C750)),"Material Separation",ISNUMBER(SEARCH("separat",C750)),"Material Separation",ISNUMBER(SEARCH("connection",C750)),"Loose or Intermittent Connection",ISNUMBER(SEARCH("loose",C750)),"Loose or Intermittent Connection",ISNUMBER(SEARCH("damaged packaging",C750)),"Packaging Problem",ISNUMBER(SEARCH("packaging",C750)),"Packaging Problem",ISNUMBER(SEARCH("discoloration",C750)),"Contamination",ISNUMBER(SEARCH("tarnish",C750)),"Contamination",ISNUMBER(SEARCH("stain",C750)),"Contamination",ISNUMBER(SEARCH("foreign material",C750)),"Contamination",ISNUMBER(SEARCH("contamina",C750)),"Contamination",ISNUMBER(SEARCH("overheat",C750)),"Overheating of Device",ISNUMBER(SEARCH("excessive heat",C750)),"Overheating of Device",ISNUMBER(SEARCH("hot",C750)),"Overheating of Device",ISNUMBER(SEARCH("noise",C750)),"Noise, Audible",ISNUMBER(SEARCH("sound",C750)),"Noise, Audible",ISNUMBER(SEARCH("loud",C750)),"Noise, Audible",ISNUMBER(SEARCH("fray",C750)),"Material Frayed",ISNUMBER(SEARCH("hole",C750)),"Material Frayed",ISNUMBER(SEARCH("tear",C750)),"Material Frayed",ISNUMBER(SEARCH("worn",C750)),"Material Frayed",ISNUMBER(SEARCH("intermittent",C750)),"Difficult or Delayed Activation",ISNUMBER(SEARCH("delay",C750)),"Difficult or Delayed Activation",ISNUMBER(SEARCH("label",C750)),"Device Markings/Labelling Problem",ISNUMBER(SEARCH("marking",C750)),"Device Markings/Labelling Problem",ISNUMBER(SEARCH("lacerat",C750)),"Defective Device",ISNUMBER(SEARCH("cut",C750)),"Defective Device",ISNUMBER(SEARCH("leak",C750)),"Fluid/Blood Leak",ISNUMBER(SEARCH("missing",C750)),"Component Missing",ISNUMBER(SEARCH("power",C750)),"Complete Loss of Power",ISNUMBER(SEARCH("will not turn on",C750)),"Complete Loss of Power",ISNUMBER(SEARCH("won't turn on",C750)),"Complete Loss of Power",ISNUMBER(SEARCH("does not turn on",C750)),"Complete Loss of Power",ISNUMBER(SEARCH("electrical",C750)),"Electrical Power Problem",ISNUMBER(SEARCH("pressure",C750)),"Detachment of Device or Device Component",ISNUMBER(SEARCH("slip",C750)),"Detachment of Device or Device Component",ISNUMBER(SEARCH("detach",C750)),"Detachment of Device or Device Component",ISNUMBER(SEARCH("stick",C750)),"Mechanical Jam",ISNUMBER(SEARCH("jam",C750)),"Mechanical Jam",ISNUMBER(SEARCH("rigid",C750)),"Mechanical Jam",ISNUMBER(SEARCH("rust",C750)),"Corroded",ISNUMBER(SEARCH("corrod",C750)),"Corroded",ISNUMBER(SEARCH("corrosion",C750)),"Corroded",ISNUMBER(SEARCH("alignment",C750)),"Defective Device",ISNUMBER(SEARCH("adjust",C750)),"Defective Device",ISNUMBER(SEARCH("perform",C750)),"Defective Device",ISNUMBER(SEARCH("malfunction",C750)),"Defective Device",ISNUMBER(SEARCH("defect",C750)),"Defective Device",ISNUMBER(SEARCH("fail",C750)),"Defective Device",ISNUMBER(SEARCH("not work",C750)),"Defective Device",ISNUMBER(SEARCH("doesn't work",C750)),"Defective Device",TRUE,"UNKNOWN"),"UNKNOWN")))</f>
        <v/>
      </c>
      <c r="F750" s="4" t="str">
        <f t="shared" si="12"/>
        <v/>
      </c>
      <c r="G750" s="363" t="str">
        <f>IF(E750="","",IFERROR(VLOOKUP(E750,Codes!$L$2:$N$409,3,FALSE),"—"))</f>
        <v/>
      </c>
      <c r="H750" s="88"/>
      <c r="I750" s="88"/>
    </row>
    <row r="751" spans="1:9" ht="13.15" x14ac:dyDescent="0.35">
      <c r="A751" s="92"/>
      <c r="B751" s="89"/>
      <c r="C751" s="88"/>
      <c r="D751" s="88"/>
      <c r="E751" s="93" t="str" cm="1">
        <f t="array" ref="E751">IF(D751&lt;&gt;"",IFERROR(VLOOKUP(D751,Codes!$K$2:$L$409,2,FALSE),"UNKNOWN - "&amp;D751),IF(C751="","",IFERROR(_xlfn.IFS(ISNUMBER(SEARCH("broken button",C751)),"Break",ISNUMBER(SEARCH("broken handle",C751)),"Break",ISNUMBER(SEARCH("shipping damage",C751)),"Break",ISNUMBER(SEARCH("broken",C751)),"Break",ISNUMBER(SEARCH("crack",C751)),"Break",ISNUMBER(SEARCH("snap",C751)),"Break",ISNUMBER(SEARCH("fracture",C751)),"Break",ISNUMBER(SEARCH("bent",C751)),"Material Twisted/Bent",ISNUMBER(SEARCH("twisted",C751)),"Material Twisted/Bent",ISNUMBER(SEARCH("component separat",C751)),"Material Separation",ISNUMBER(SEARCH("separat",C751)),"Material Separation",ISNUMBER(SEARCH("connection",C751)),"Loose or Intermittent Connection",ISNUMBER(SEARCH("loose",C751)),"Loose or Intermittent Connection",ISNUMBER(SEARCH("damaged packaging",C751)),"Packaging Problem",ISNUMBER(SEARCH("packaging",C751)),"Packaging Problem",ISNUMBER(SEARCH("discoloration",C751)),"Contamination",ISNUMBER(SEARCH("tarnish",C751)),"Contamination",ISNUMBER(SEARCH("stain",C751)),"Contamination",ISNUMBER(SEARCH("foreign material",C751)),"Contamination",ISNUMBER(SEARCH("contamina",C751)),"Contamination",ISNUMBER(SEARCH("overheat",C751)),"Overheating of Device",ISNUMBER(SEARCH("excessive heat",C751)),"Overheating of Device",ISNUMBER(SEARCH("hot",C751)),"Overheating of Device",ISNUMBER(SEARCH("noise",C751)),"Noise, Audible",ISNUMBER(SEARCH("sound",C751)),"Noise, Audible",ISNUMBER(SEARCH("loud",C751)),"Noise, Audible",ISNUMBER(SEARCH("fray",C751)),"Material Frayed",ISNUMBER(SEARCH("hole",C751)),"Material Frayed",ISNUMBER(SEARCH("tear",C751)),"Material Frayed",ISNUMBER(SEARCH("worn",C751)),"Material Frayed",ISNUMBER(SEARCH("intermittent",C751)),"Difficult or Delayed Activation",ISNUMBER(SEARCH("delay",C751)),"Difficult or Delayed Activation",ISNUMBER(SEARCH("label",C751)),"Device Markings/Labelling Problem",ISNUMBER(SEARCH("marking",C751)),"Device Markings/Labelling Problem",ISNUMBER(SEARCH("lacerat",C751)),"Defective Device",ISNUMBER(SEARCH("cut",C751)),"Defective Device",ISNUMBER(SEARCH("leak",C751)),"Fluid/Blood Leak",ISNUMBER(SEARCH("missing",C751)),"Component Missing",ISNUMBER(SEARCH("power",C751)),"Complete Loss of Power",ISNUMBER(SEARCH("will not turn on",C751)),"Complete Loss of Power",ISNUMBER(SEARCH("won't turn on",C751)),"Complete Loss of Power",ISNUMBER(SEARCH("does not turn on",C751)),"Complete Loss of Power",ISNUMBER(SEARCH("electrical",C751)),"Electrical Power Problem",ISNUMBER(SEARCH("pressure",C751)),"Detachment of Device or Device Component",ISNUMBER(SEARCH("slip",C751)),"Detachment of Device or Device Component",ISNUMBER(SEARCH("detach",C751)),"Detachment of Device or Device Component",ISNUMBER(SEARCH("stick",C751)),"Mechanical Jam",ISNUMBER(SEARCH("jam",C751)),"Mechanical Jam",ISNUMBER(SEARCH("rigid",C751)),"Mechanical Jam",ISNUMBER(SEARCH("rust",C751)),"Corroded",ISNUMBER(SEARCH("corrod",C751)),"Corroded",ISNUMBER(SEARCH("corrosion",C751)),"Corroded",ISNUMBER(SEARCH("alignment",C751)),"Defective Device",ISNUMBER(SEARCH("adjust",C751)),"Defective Device",ISNUMBER(SEARCH("perform",C751)),"Defective Device",ISNUMBER(SEARCH("malfunction",C751)),"Defective Device",ISNUMBER(SEARCH("defect",C751)),"Defective Device",ISNUMBER(SEARCH("fail",C751)),"Defective Device",ISNUMBER(SEARCH("not work",C751)),"Defective Device",ISNUMBER(SEARCH("doesn't work",C751)),"Defective Device",TRUE,"UNKNOWN"),"UNKNOWN")))</f>
        <v/>
      </c>
      <c r="F751" s="4" t="str">
        <f t="shared" si="12"/>
        <v/>
      </c>
      <c r="G751" s="363" t="str">
        <f>IF(E751="","",IFERROR(VLOOKUP(E751,Codes!$L$2:$N$409,3,FALSE),"—"))</f>
        <v/>
      </c>
      <c r="H751" s="88"/>
      <c r="I751" s="88"/>
    </row>
    <row r="752" spans="1:9" ht="13.15" x14ac:dyDescent="0.35">
      <c r="A752" s="92"/>
      <c r="B752" s="89"/>
      <c r="C752" s="88"/>
      <c r="D752" s="88"/>
      <c r="E752" s="93" t="str" cm="1">
        <f t="array" ref="E752">IF(D752&lt;&gt;"",IFERROR(VLOOKUP(D752,Codes!$K$2:$L$409,2,FALSE),"UNKNOWN - "&amp;D752),IF(C752="","",IFERROR(_xlfn.IFS(ISNUMBER(SEARCH("broken button",C752)),"Break",ISNUMBER(SEARCH("broken handle",C752)),"Break",ISNUMBER(SEARCH("shipping damage",C752)),"Break",ISNUMBER(SEARCH("broken",C752)),"Break",ISNUMBER(SEARCH("crack",C752)),"Break",ISNUMBER(SEARCH("snap",C752)),"Break",ISNUMBER(SEARCH("fracture",C752)),"Break",ISNUMBER(SEARCH("bent",C752)),"Material Twisted/Bent",ISNUMBER(SEARCH("twisted",C752)),"Material Twisted/Bent",ISNUMBER(SEARCH("component separat",C752)),"Material Separation",ISNUMBER(SEARCH("separat",C752)),"Material Separation",ISNUMBER(SEARCH("connection",C752)),"Loose or Intermittent Connection",ISNUMBER(SEARCH("loose",C752)),"Loose or Intermittent Connection",ISNUMBER(SEARCH("damaged packaging",C752)),"Packaging Problem",ISNUMBER(SEARCH("packaging",C752)),"Packaging Problem",ISNUMBER(SEARCH("discoloration",C752)),"Contamination",ISNUMBER(SEARCH("tarnish",C752)),"Contamination",ISNUMBER(SEARCH("stain",C752)),"Contamination",ISNUMBER(SEARCH("foreign material",C752)),"Contamination",ISNUMBER(SEARCH("contamina",C752)),"Contamination",ISNUMBER(SEARCH("overheat",C752)),"Overheating of Device",ISNUMBER(SEARCH("excessive heat",C752)),"Overheating of Device",ISNUMBER(SEARCH("hot",C752)),"Overheating of Device",ISNUMBER(SEARCH("noise",C752)),"Noise, Audible",ISNUMBER(SEARCH("sound",C752)),"Noise, Audible",ISNUMBER(SEARCH("loud",C752)),"Noise, Audible",ISNUMBER(SEARCH("fray",C752)),"Material Frayed",ISNUMBER(SEARCH("hole",C752)),"Material Frayed",ISNUMBER(SEARCH("tear",C752)),"Material Frayed",ISNUMBER(SEARCH("worn",C752)),"Material Frayed",ISNUMBER(SEARCH("intermittent",C752)),"Difficult or Delayed Activation",ISNUMBER(SEARCH("delay",C752)),"Difficult or Delayed Activation",ISNUMBER(SEARCH("label",C752)),"Device Markings/Labelling Problem",ISNUMBER(SEARCH("marking",C752)),"Device Markings/Labelling Problem",ISNUMBER(SEARCH("lacerat",C752)),"Defective Device",ISNUMBER(SEARCH("cut",C752)),"Defective Device",ISNUMBER(SEARCH("leak",C752)),"Fluid/Blood Leak",ISNUMBER(SEARCH("missing",C752)),"Component Missing",ISNUMBER(SEARCH("power",C752)),"Complete Loss of Power",ISNUMBER(SEARCH("will not turn on",C752)),"Complete Loss of Power",ISNUMBER(SEARCH("won't turn on",C752)),"Complete Loss of Power",ISNUMBER(SEARCH("does not turn on",C752)),"Complete Loss of Power",ISNUMBER(SEARCH("electrical",C752)),"Electrical Power Problem",ISNUMBER(SEARCH("pressure",C752)),"Detachment of Device or Device Component",ISNUMBER(SEARCH("slip",C752)),"Detachment of Device or Device Component",ISNUMBER(SEARCH("detach",C752)),"Detachment of Device or Device Component",ISNUMBER(SEARCH("stick",C752)),"Mechanical Jam",ISNUMBER(SEARCH("jam",C752)),"Mechanical Jam",ISNUMBER(SEARCH("rigid",C752)),"Mechanical Jam",ISNUMBER(SEARCH("rust",C752)),"Corroded",ISNUMBER(SEARCH("corrod",C752)),"Corroded",ISNUMBER(SEARCH("corrosion",C752)),"Corroded",ISNUMBER(SEARCH("alignment",C752)),"Defective Device",ISNUMBER(SEARCH("adjust",C752)),"Defective Device",ISNUMBER(SEARCH("perform",C752)),"Defective Device",ISNUMBER(SEARCH("malfunction",C752)),"Defective Device",ISNUMBER(SEARCH("defect",C752)),"Defective Device",ISNUMBER(SEARCH("fail",C752)),"Defective Device",ISNUMBER(SEARCH("not work",C752)),"Defective Device",ISNUMBER(SEARCH("doesn't work",C752)),"Defective Device",TRUE,"UNKNOWN"),"UNKNOWN")))</f>
        <v/>
      </c>
      <c r="F752" s="4" t="str">
        <f t="shared" si="12"/>
        <v/>
      </c>
      <c r="G752" s="363" t="str">
        <f>IF(E752="","",IFERROR(VLOOKUP(E752,Codes!$L$2:$N$409,3,FALSE),"—"))</f>
        <v/>
      </c>
      <c r="H752" s="88"/>
      <c r="I752" s="88"/>
    </row>
    <row r="753" spans="1:9" ht="13.15" x14ac:dyDescent="0.35">
      <c r="A753" s="92"/>
      <c r="B753" s="89"/>
      <c r="C753" s="88"/>
      <c r="D753" s="88"/>
      <c r="E753" s="93" t="str" cm="1">
        <f t="array" ref="E753">IF(D753&lt;&gt;"",IFERROR(VLOOKUP(D753,Codes!$K$2:$L$409,2,FALSE),"UNKNOWN - "&amp;D753),IF(C753="","",IFERROR(_xlfn.IFS(ISNUMBER(SEARCH("broken button",C753)),"Break",ISNUMBER(SEARCH("broken handle",C753)),"Break",ISNUMBER(SEARCH("shipping damage",C753)),"Break",ISNUMBER(SEARCH("broken",C753)),"Break",ISNUMBER(SEARCH("crack",C753)),"Break",ISNUMBER(SEARCH("snap",C753)),"Break",ISNUMBER(SEARCH("fracture",C753)),"Break",ISNUMBER(SEARCH("bent",C753)),"Material Twisted/Bent",ISNUMBER(SEARCH("twisted",C753)),"Material Twisted/Bent",ISNUMBER(SEARCH("component separat",C753)),"Material Separation",ISNUMBER(SEARCH("separat",C753)),"Material Separation",ISNUMBER(SEARCH("connection",C753)),"Loose or Intermittent Connection",ISNUMBER(SEARCH("loose",C753)),"Loose or Intermittent Connection",ISNUMBER(SEARCH("damaged packaging",C753)),"Packaging Problem",ISNUMBER(SEARCH("packaging",C753)),"Packaging Problem",ISNUMBER(SEARCH("discoloration",C753)),"Contamination",ISNUMBER(SEARCH("tarnish",C753)),"Contamination",ISNUMBER(SEARCH("stain",C753)),"Contamination",ISNUMBER(SEARCH("foreign material",C753)),"Contamination",ISNUMBER(SEARCH("contamina",C753)),"Contamination",ISNUMBER(SEARCH("overheat",C753)),"Overheating of Device",ISNUMBER(SEARCH("excessive heat",C753)),"Overheating of Device",ISNUMBER(SEARCH("hot",C753)),"Overheating of Device",ISNUMBER(SEARCH("noise",C753)),"Noise, Audible",ISNUMBER(SEARCH("sound",C753)),"Noise, Audible",ISNUMBER(SEARCH("loud",C753)),"Noise, Audible",ISNUMBER(SEARCH("fray",C753)),"Material Frayed",ISNUMBER(SEARCH("hole",C753)),"Material Frayed",ISNUMBER(SEARCH("tear",C753)),"Material Frayed",ISNUMBER(SEARCH("worn",C753)),"Material Frayed",ISNUMBER(SEARCH("intermittent",C753)),"Difficult or Delayed Activation",ISNUMBER(SEARCH("delay",C753)),"Difficult or Delayed Activation",ISNUMBER(SEARCH("label",C753)),"Device Markings/Labelling Problem",ISNUMBER(SEARCH("marking",C753)),"Device Markings/Labelling Problem",ISNUMBER(SEARCH("lacerat",C753)),"Defective Device",ISNUMBER(SEARCH("cut",C753)),"Defective Device",ISNUMBER(SEARCH("leak",C753)),"Fluid/Blood Leak",ISNUMBER(SEARCH("missing",C753)),"Component Missing",ISNUMBER(SEARCH("power",C753)),"Complete Loss of Power",ISNUMBER(SEARCH("will not turn on",C753)),"Complete Loss of Power",ISNUMBER(SEARCH("won't turn on",C753)),"Complete Loss of Power",ISNUMBER(SEARCH("does not turn on",C753)),"Complete Loss of Power",ISNUMBER(SEARCH("electrical",C753)),"Electrical Power Problem",ISNUMBER(SEARCH("pressure",C753)),"Detachment of Device or Device Component",ISNUMBER(SEARCH("slip",C753)),"Detachment of Device or Device Component",ISNUMBER(SEARCH("detach",C753)),"Detachment of Device or Device Component",ISNUMBER(SEARCH("stick",C753)),"Mechanical Jam",ISNUMBER(SEARCH("jam",C753)),"Mechanical Jam",ISNUMBER(SEARCH("rigid",C753)),"Mechanical Jam",ISNUMBER(SEARCH("rust",C753)),"Corroded",ISNUMBER(SEARCH("corrod",C753)),"Corroded",ISNUMBER(SEARCH("corrosion",C753)),"Corroded",ISNUMBER(SEARCH("alignment",C753)),"Defective Device",ISNUMBER(SEARCH("adjust",C753)),"Defective Device",ISNUMBER(SEARCH("perform",C753)),"Defective Device",ISNUMBER(SEARCH("malfunction",C753)),"Defective Device",ISNUMBER(SEARCH("defect",C753)),"Defective Device",ISNUMBER(SEARCH("fail",C753)),"Defective Device",ISNUMBER(SEARCH("not work",C753)),"Defective Device",ISNUMBER(SEARCH("doesn't work",C753)),"Defective Device",TRUE,"UNKNOWN"),"UNKNOWN")))</f>
        <v/>
      </c>
      <c r="F753" s="4" t="str">
        <f t="shared" si="12"/>
        <v/>
      </c>
      <c r="G753" s="363" t="str">
        <f>IF(E753="","",IFERROR(VLOOKUP(E753,Codes!$L$2:$N$409,3,FALSE),"—"))</f>
        <v/>
      </c>
      <c r="H753" s="88"/>
      <c r="I753" s="88"/>
    </row>
    <row r="754" spans="1:9" ht="13.15" x14ac:dyDescent="0.35">
      <c r="A754" s="92"/>
      <c r="B754" s="89"/>
      <c r="C754" s="88"/>
      <c r="D754" s="88"/>
      <c r="E754" s="93" t="str" cm="1">
        <f t="array" ref="E754">IF(D754&lt;&gt;"",IFERROR(VLOOKUP(D754,Codes!$K$2:$L$409,2,FALSE),"UNKNOWN - "&amp;D754),IF(C754="","",IFERROR(_xlfn.IFS(ISNUMBER(SEARCH("broken button",C754)),"Break",ISNUMBER(SEARCH("broken handle",C754)),"Break",ISNUMBER(SEARCH("shipping damage",C754)),"Break",ISNUMBER(SEARCH("broken",C754)),"Break",ISNUMBER(SEARCH("crack",C754)),"Break",ISNUMBER(SEARCH("snap",C754)),"Break",ISNUMBER(SEARCH("fracture",C754)),"Break",ISNUMBER(SEARCH("bent",C754)),"Material Twisted/Bent",ISNUMBER(SEARCH("twisted",C754)),"Material Twisted/Bent",ISNUMBER(SEARCH("component separat",C754)),"Material Separation",ISNUMBER(SEARCH("separat",C754)),"Material Separation",ISNUMBER(SEARCH("connection",C754)),"Loose or Intermittent Connection",ISNUMBER(SEARCH("loose",C754)),"Loose or Intermittent Connection",ISNUMBER(SEARCH("damaged packaging",C754)),"Packaging Problem",ISNUMBER(SEARCH("packaging",C754)),"Packaging Problem",ISNUMBER(SEARCH("discoloration",C754)),"Contamination",ISNUMBER(SEARCH("tarnish",C754)),"Contamination",ISNUMBER(SEARCH("stain",C754)),"Contamination",ISNUMBER(SEARCH("foreign material",C754)),"Contamination",ISNUMBER(SEARCH("contamina",C754)),"Contamination",ISNUMBER(SEARCH("overheat",C754)),"Overheating of Device",ISNUMBER(SEARCH("excessive heat",C754)),"Overheating of Device",ISNUMBER(SEARCH("hot",C754)),"Overheating of Device",ISNUMBER(SEARCH("noise",C754)),"Noise, Audible",ISNUMBER(SEARCH("sound",C754)),"Noise, Audible",ISNUMBER(SEARCH("loud",C754)),"Noise, Audible",ISNUMBER(SEARCH("fray",C754)),"Material Frayed",ISNUMBER(SEARCH("hole",C754)),"Material Frayed",ISNUMBER(SEARCH("tear",C754)),"Material Frayed",ISNUMBER(SEARCH("worn",C754)),"Material Frayed",ISNUMBER(SEARCH("intermittent",C754)),"Difficult or Delayed Activation",ISNUMBER(SEARCH("delay",C754)),"Difficult or Delayed Activation",ISNUMBER(SEARCH("label",C754)),"Device Markings/Labelling Problem",ISNUMBER(SEARCH("marking",C754)),"Device Markings/Labelling Problem",ISNUMBER(SEARCH("lacerat",C754)),"Defective Device",ISNUMBER(SEARCH("cut",C754)),"Defective Device",ISNUMBER(SEARCH("leak",C754)),"Fluid/Blood Leak",ISNUMBER(SEARCH("missing",C754)),"Component Missing",ISNUMBER(SEARCH("power",C754)),"Complete Loss of Power",ISNUMBER(SEARCH("will not turn on",C754)),"Complete Loss of Power",ISNUMBER(SEARCH("won't turn on",C754)),"Complete Loss of Power",ISNUMBER(SEARCH("does not turn on",C754)),"Complete Loss of Power",ISNUMBER(SEARCH("electrical",C754)),"Electrical Power Problem",ISNUMBER(SEARCH("pressure",C754)),"Detachment of Device or Device Component",ISNUMBER(SEARCH("slip",C754)),"Detachment of Device or Device Component",ISNUMBER(SEARCH("detach",C754)),"Detachment of Device or Device Component",ISNUMBER(SEARCH("stick",C754)),"Mechanical Jam",ISNUMBER(SEARCH("jam",C754)),"Mechanical Jam",ISNUMBER(SEARCH("rigid",C754)),"Mechanical Jam",ISNUMBER(SEARCH("rust",C754)),"Corroded",ISNUMBER(SEARCH("corrod",C754)),"Corroded",ISNUMBER(SEARCH("corrosion",C754)),"Corroded",ISNUMBER(SEARCH("alignment",C754)),"Defective Device",ISNUMBER(SEARCH("adjust",C754)),"Defective Device",ISNUMBER(SEARCH("perform",C754)),"Defective Device",ISNUMBER(SEARCH("malfunction",C754)),"Defective Device",ISNUMBER(SEARCH("defect",C754)),"Defective Device",ISNUMBER(SEARCH("fail",C754)),"Defective Device",ISNUMBER(SEARCH("not work",C754)),"Defective Device",ISNUMBER(SEARCH("doesn't work",C754)),"Defective Device",TRUE,"UNKNOWN"),"UNKNOWN")))</f>
        <v/>
      </c>
      <c r="F754" s="4" t="str">
        <f t="shared" si="12"/>
        <v/>
      </c>
      <c r="G754" s="363" t="str">
        <f>IF(E754="","",IFERROR(VLOOKUP(E754,Codes!$L$2:$N$409,3,FALSE),"—"))</f>
        <v/>
      </c>
      <c r="H754" s="88"/>
      <c r="I754" s="88"/>
    </row>
    <row r="755" spans="1:9" ht="13.15" x14ac:dyDescent="0.35">
      <c r="A755" s="92"/>
      <c r="B755" s="89"/>
      <c r="C755" s="88"/>
      <c r="D755" s="88"/>
      <c r="E755" s="93" t="str" cm="1">
        <f t="array" ref="E755">IF(D755&lt;&gt;"",IFERROR(VLOOKUP(D755,Codes!$K$2:$L$409,2,FALSE),"UNKNOWN - "&amp;D755),IF(C755="","",IFERROR(_xlfn.IFS(ISNUMBER(SEARCH("broken button",C755)),"Break",ISNUMBER(SEARCH("broken handle",C755)),"Break",ISNUMBER(SEARCH("shipping damage",C755)),"Break",ISNUMBER(SEARCH("broken",C755)),"Break",ISNUMBER(SEARCH("crack",C755)),"Break",ISNUMBER(SEARCH("snap",C755)),"Break",ISNUMBER(SEARCH("fracture",C755)),"Break",ISNUMBER(SEARCH("bent",C755)),"Material Twisted/Bent",ISNUMBER(SEARCH("twisted",C755)),"Material Twisted/Bent",ISNUMBER(SEARCH("component separat",C755)),"Material Separation",ISNUMBER(SEARCH("separat",C755)),"Material Separation",ISNUMBER(SEARCH("connection",C755)),"Loose or Intermittent Connection",ISNUMBER(SEARCH("loose",C755)),"Loose or Intermittent Connection",ISNUMBER(SEARCH("damaged packaging",C755)),"Packaging Problem",ISNUMBER(SEARCH("packaging",C755)),"Packaging Problem",ISNUMBER(SEARCH("discoloration",C755)),"Contamination",ISNUMBER(SEARCH("tarnish",C755)),"Contamination",ISNUMBER(SEARCH("stain",C755)),"Contamination",ISNUMBER(SEARCH("foreign material",C755)),"Contamination",ISNUMBER(SEARCH("contamina",C755)),"Contamination",ISNUMBER(SEARCH("overheat",C755)),"Overheating of Device",ISNUMBER(SEARCH("excessive heat",C755)),"Overheating of Device",ISNUMBER(SEARCH("hot",C755)),"Overheating of Device",ISNUMBER(SEARCH("noise",C755)),"Noise, Audible",ISNUMBER(SEARCH("sound",C755)),"Noise, Audible",ISNUMBER(SEARCH("loud",C755)),"Noise, Audible",ISNUMBER(SEARCH("fray",C755)),"Material Frayed",ISNUMBER(SEARCH("hole",C755)),"Material Frayed",ISNUMBER(SEARCH("tear",C755)),"Material Frayed",ISNUMBER(SEARCH("worn",C755)),"Material Frayed",ISNUMBER(SEARCH("intermittent",C755)),"Difficult or Delayed Activation",ISNUMBER(SEARCH("delay",C755)),"Difficult or Delayed Activation",ISNUMBER(SEARCH("label",C755)),"Device Markings/Labelling Problem",ISNUMBER(SEARCH("marking",C755)),"Device Markings/Labelling Problem",ISNUMBER(SEARCH("lacerat",C755)),"Defective Device",ISNUMBER(SEARCH("cut",C755)),"Defective Device",ISNUMBER(SEARCH("leak",C755)),"Fluid/Blood Leak",ISNUMBER(SEARCH("missing",C755)),"Component Missing",ISNUMBER(SEARCH("power",C755)),"Complete Loss of Power",ISNUMBER(SEARCH("will not turn on",C755)),"Complete Loss of Power",ISNUMBER(SEARCH("won't turn on",C755)),"Complete Loss of Power",ISNUMBER(SEARCH("does not turn on",C755)),"Complete Loss of Power",ISNUMBER(SEARCH("electrical",C755)),"Electrical Power Problem",ISNUMBER(SEARCH("pressure",C755)),"Detachment of Device or Device Component",ISNUMBER(SEARCH("slip",C755)),"Detachment of Device or Device Component",ISNUMBER(SEARCH("detach",C755)),"Detachment of Device or Device Component",ISNUMBER(SEARCH("stick",C755)),"Mechanical Jam",ISNUMBER(SEARCH("jam",C755)),"Mechanical Jam",ISNUMBER(SEARCH("rigid",C755)),"Mechanical Jam",ISNUMBER(SEARCH("rust",C755)),"Corroded",ISNUMBER(SEARCH("corrod",C755)),"Corroded",ISNUMBER(SEARCH("corrosion",C755)),"Corroded",ISNUMBER(SEARCH("alignment",C755)),"Defective Device",ISNUMBER(SEARCH("adjust",C755)),"Defective Device",ISNUMBER(SEARCH("perform",C755)),"Defective Device",ISNUMBER(SEARCH("malfunction",C755)),"Defective Device",ISNUMBER(SEARCH("defect",C755)),"Defective Device",ISNUMBER(SEARCH("fail",C755)),"Defective Device",ISNUMBER(SEARCH("not work",C755)),"Defective Device",ISNUMBER(SEARCH("doesn't work",C755)),"Defective Device",TRUE,"UNKNOWN"),"UNKNOWN")))</f>
        <v/>
      </c>
      <c r="F755" s="4" t="str">
        <f t="shared" si="12"/>
        <v/>
      </c>
      <c r="G755" s="363" t="str">
        <f>IF(E755="","",IFERROR(VLOOKUP(E755,Codes!$L$2:$N$409,3,FALSE),"—"))</f>
        <v/>
      </c>
      <c r="H755" s="88"/>
      <c r="I755" s="88"/>
    </row>
    <row r="756" spans="1:9" ht="13.15" x14ac:dyDescent="0.35">
      <c r="A756" s="92"/>
      <c r="B756" s="89"/>
      <c r="C756" s="88"/>
      <c r="D756" s="88"/>
      <c r="E756" s="93" t="str" cm="1">
        <f t="array" ref="E756">IF(D756&lt;&gt;"",IFERROR(VLOOKUP(D756,Codes!$K$2:$L$409,2,FALSE),"UNKNOWN - "&amp;D756),IF(C756="","",IFERROR(_xlfn.IFS(ISNUMBER(SEARCH("broken button",C756)),"Break",ISNUMBER(SEARCH("broken handle",C756)),"Break",ISNUMBER(SEARCH("shipping damage",C756)),"Break",ISNUMBER(SEARCH("broken",C756)),"Break",ISNUMBER(SEARCH("crack",C756)),"Break",ISNUMBER(SEARCH("snap",C756)),"Break",ISNUMBER(SEARCH("fracture",C756)),"Break",ISNUMBER(SEARCH("bent",C756)),"Material Twisted/Bent",ISNUMBER(SEARCH("twisted",C756)),"Material Twisted/Bent",ISNUMBER(SEARCH("component separat",C756)),"Material Separation",ISNUMBER(SEARCH("separat",C756)),"Material Separation",ISNUMBER(SEARCH("connection",C756)),"Loose or Intermittent Connection",ISNUMBER(SEARCH("loose",C756)),"Loose or Intermittent Connection",ISNUMBER(SEARCH("damaged packaging",C756)),"Packaging Problem",ISNUMBER(SEARCH("packaging",C756)),"Packaging Problem",ISNUMBER(SEARCH("discoloration",C756)),"Contamination",ISNUMBER(SEARCH("tarnish",C756)),"Contamination",ISNUMBER(SEARCH("stain",C756)),"Contamination",ISNUMBER(SEARCH("foreign material",C756)),"Contamination",ISNUMBER(SEARCH("contamina",C756)),"Contamination",ISNUMBER(SEARCH("overheat",C756)),"Overheating of Device",ISNUMBER(SEARCH("excessive heat",C756)),"Overheating of Device",ISNUMBER(SEARCH("hot",C756)),"Overheating of Device",ISNUMBER(SEARCH("noise",C756)),"Noise, Audible",ISNUMBER(SEARCH("sound",C756)),"Noise, Audible",ISNUMBER(SEARCH("loud",C756)),"Noise, Audible",ISNUMBER(SEARCH("fray",C756)),"Material Frayed",ISNUMBER(SEARCH("hole",C756)),"Material Frayed",ISNUMBER(SEARCH("tear",C756)),"Material Frayed",ISNUMBER(SEARCH("worn",C756)),"Material Frayed",ISNUMBER(SEARCH("intermittent",C756)),"Difficult or Delayed Activation",ISNUMBER(SEARCH("delay",C756)),"Difficult or Delayed Activation",ISNUMBER(SEARCH("label",C756)),"Device Markings/Labelling Problem",ISNUMBER(SEARCH("marking",C756)),"Device Markings/Labelling Problem",ISNUMBER(SEARCH("lacerat",C756)),"Defective Device",ISNUMBER(SEARCH("cut",C756)),"Defective Device",ISNUMBER(SEARCH("leak",C756)),"Fluid/Blood Leak",ISNUMBER(SEARCH("missing",C756)),"Component Missing",ISNUMBER(SEARCH("power",C756)),"Complete Loss of Power",ISNUMBER(SEARCH("will not turn on",C756)),"Complete Loss of Power",ISNUMBER(SEARCH("won't turn on",C756)),"Complete Loss of Power",ISNUMBER(SEARCH("does not turn on",C756)),"Complete Loss of Power",ISNUMBER(SEARCH("electrical",C756)),"Electrical Power Problem",ISNUMBER(SEARCH("pressure",C756)),"Detachment of Device or Device Component",ISNUMBER(SEARCH("slip",C756)),"Detachment of Device or Device Component",ISNUMBER(SEARCH("detach",C756)),"Detachment of Device or Device Component",ISNUMBER(SEARCH("stick",C756)),"Mechanical Jam",ISNUMBER(SEARCH("jam",C756)),"Mechanical Jam",ISNUMBER(SEARCH("rigid",C756)),"Mechanical Jam",ISNUMBER(SEARCH("rust",C756)),"Corroded",ISNUMBER(SEARCH("corrod",C756)),"Corroded",ISNUMBER(SEARCH("corrosion",C756)),"Corroded",ISNUMBER(SEARCH("alignment",C756)),"Defective Device",ISNUMBER(SEARCH("adjust",C756)),"Defective Device",ISNUMBER(SEARCH("perform",C756)),"Defective Device",ISNUMBER(SEARCH("malfunction",C756)),"Defective Device",ISNUMBER(SEARCH("defect",C756)),"Defective Device",ISNUMBER(SEARCH("fail",C756)),"Defective Device",ISNUMBER(SEARCH("not work",C756)),"Defective Device",ISNUMBER(SEARCH("doesn't work",C756)),"Defective Device",TRUE,"UNKNOWN"),"UNKNOWN")))</f>
        <v/>
      </c>
      <c r="F756" s="4" t="str">
        <f t="shared" si="12"/>
        <v/>
      </c>
      <c r="G756" s="363" t="str">
        <f>IF(E756="","",IFERROR(VLOOKUP(E756,Codes!$L$2:$N$409,3,FALSE),"—"))</f>
        <v/>
      </c>
      <c r="H756" s="88"/>
      <c r="I756" s="88"/>
    </row>
    <row r="757" spans="1:9" ht="13.15" x14ac:dyDescent="0.35">
      <c r="A757" s="92"/>
      <c r="B757" s="89"/>
      <c r="C757" s="88"/>
      <c r="D757" s="88"/>
      <c r="E757" s="93" t="str" cm="1">
        <f t="array" ref="E757">IF(D757&lt;&gt;"",IFERROR(VLOOKUP(D757,Codes!$K$2:$L$409,2,FALSE),"UNKNOWN - "&amp;D757),IF(C757="","",IFERROR(_xlfn.IFS(ISNUMBER(SEARCH("broken button",C757)),"Break",ISNUMBER(SEARCH("broken handle",C757)),"Break",ISNUMBER(SEARCH("shipping damage",C757)),"Break",ISNUMBER(SEARCH("broken",C757)),"Break",ISNUMBER(SEARCH("crack",C757)),"Break",ISNUMBER(SEARCH("snap",C757)),"Break",ISNUMBER(SEARCH("fracture",C757)),"Break",ISNUMBER(SEARCH("bent",C757)),"Material Twisted/Bent",ISNUMBER(SEARCH("twisted",C757)),"Material Twisted/Bent",ISNUMBER(SEARCH("component separat",C757)),"Material Separation",ISNUMBER(SEARCH("separat",C757)),"Material Separation",ISNUMBER(SEARCH("connection",C757)),"Loose or Intermittent Connection",ISNUMBER(SEARCH("loose",C757)),"Loose or Intermittent Connection",ISNUMBER(SEARCH("damaged packaging",C757)),"Packaging Problem",ISNUMBER(SEARCH("packaging",C757)),"Packaging Problem",ISNUMBER(SEARCH("discoloration",C757)),"Contamination",ISNUMBER(SEARCH("tarnish",C757)),"Contamination",ISNUMBER(SEARCH("stain",C757)),"Contamination",ISNUMBER(SEARCH("foreign material",C757)),"Contamination",ISNUMBER(SEARCH("contamina",C757)),"Contamination",ISNUMBER(SEARCH("overheat",C757)),"Overheating of Device",ISNUMBER(SEARCH("excessive heat",C757)),"Overheating of Device",ISNUMBER(SEARCH("hot",C757)),"Overheating of Device",ISNUMBER(SEARCH("noise",C757)),"Noise, Audible",ISNUMBER(SEARCH("sound",C757)),"Noise, Audible",ISNUMBER(SEARCH("loud",C757)),"Noise, Audible",ISNUMBER(SEARCH("fray",C757)),"Material Frayed",ISNUMBER(SEARCH("hole",C757)),"Material Frayed",ISNUMBER(SEARCH("tear",C757)),"Material Frayed",ISNUMBER(SEARCH("worn",C757)),"Material Frayed",ISNUMBER(SEARCH("intermittent",C757)),"Difficult or Delayed Activation",ISNUMBER(SEARCH("delay",C757)),"Difficult or Delayed Activation",ISNUMBER(SEARCH("label",C757)),"Device Markings/Labelling Problem",ISNUMBER(SEARCH("marking",C757)),"Device Markings/Labelling Problem",ISNUMBER(SEARCH("lacerat",C757)),"Defective Device",ISNUMBER(SEARCH("cut",C757)),"Defective Device",ISNUMBER(SEARCH("leak",C757)),"Fluid/Blood Leak",ISNUMBER(SEARCH("missing",C757)),"Component Missing",ISNUMBER(SEARCH("power",C757)),"Complete Loss of Power",ISNUMBER(SEARCH("will not turn on",C757)),"Complete Loss of Power",ISNUMBER(SEARCH("won't turn on",C757)),"Complete Loss of Power",ISNUMBER(SEARCH("does not turn on",C757)),"Complete Loss of Power",ISNUMBER(SEARCH("electrical",C757)),"Electrical Power Problem",ISNUMBER(SEARCH("pressure",C757)),"Detachment of Device or Device Component",ISNUMBER(SEARCH("slip",C757)),"Detachment of Device or Device Component",ISNUMBER(SEARCH("detach",C757)),"Detachment of Device or Device Component",ISNUMBER(SEARCH("stick",C757)),"Mechanical Jam",ISNUMBER(SEARCH("jam",C757)),"Mechanical Jam",ISNUMBER(SEARCH("rigid",C757)),"Mechanical Jam",ISNUMBER(SEARCH("rust",C757)),"Corroded",ISNUMBER(SEARCH("corrod",C757)),"Corroded",ISNUMBER(SEARCH("corrosion",C757)),"Corroded",ISNUMBER(SEARCH("alignment",C757)),"Defective Device",ISNUMBER(SEARCH("adjust",C757)),"Defective Device",ISNUMBER(SEARCH("perform",C757)),"Defective Device",ISNUMBER(SEARCH("malfunction",C757)),"Defective Device",ISNUMBER(SEARCH("defect",C757)),"Defective Device",ISNUMBER(SEARCH("fail",C757)),"Defective Device",ISNUMBER(SEARCH("not work",C757)),"Defective Device",ISNUMBER(SEARCH("doesn't work",C757)),"Defective Device",TRUE,"UNKNOWN"),"UNKNOWN")))</f>
        <v/>
      </c>
      <c r="F757" s="4" t="str">
        <f t="shared" si="12"/>
        <v/>
      </c>
      <c r="G757" s="363" t="str">
        <f>IF(E757="","",IFERROR(VLOOKUP(E757,Codes!$L$2:$N$409,3,FALSE),"—"))</f>
        <v/>
      </c>
      <c r="H757" s="88"/>
      <c r="I757" s="88"/>
    </row>
    <row r="758" spans="1:9" ht="13.15" x14ac:dyDescent="0.35">
      <c r="A758" s="92"/>
      <c r="B758" s="89"/>
      <c r="C758" s="88"/>
      <c r="D758" s="88"/>
      <c r="E758" s="93" t="str" cm="1">
        <f t="array" ref="E758">IF(D758&lt;&gt;"",IFERROR(VLOOKUP(D758,Codes!$K$2:$L$409,2,FALSE),"UNKNOWN - "&amp;D758),IF(C758="","",IFERROR(_xlfn.IFS(ISNUMBER(SEARCH("broken button",C758)),"Break",ISNUMBER(SEARCH("broken handle",C758)),"Break",ISNUMBER(SEARCH("shipping damage",C758)),"Break",ISNUMBER(SEARCH("broken",C758)),"Break",ISNUMBER(SEARCH("crack",C758)),"Break",ISNUMBER(SEARCH("snap",C758)),"Break",ISNUMBER(SEARCH("fracture",C758)),"Break",ISNUMBER(SEARCH("bent",C758)),"Material Twisted/Bent",ISNUMBER(SEARCH("twisted",C758)),"Material Twisted/Bent",ISNUMBER(SEARCH("component separat",C758)),"Material Separation",ISNUMBER(SEARCH("separat",C758)),"Material Separation",ISNUMBER(SEARCH("connection",C758)),"Loose or Intermittent Connection",ISNUMBER(SEARCH("loose",C758)),"Loose or Intermittent Connection",ISNUMBER(SEARCH("damaged packaging",C758)),"Packaging Problem",ISNUMBER(SEARCH("packaging",C758)),"Packaging Problem",ISNUMBER(SEARCH("discoloration",C758)),"Contamination",ISNUMBER(SEARCH("tarnish",C758)),"Contamination",ISNUMBER(SEARCH("stain",C758)),"Contamination",ISNUMBER(SEARCH("foreign material",C758)),"Contamination",ISNUMBER(SEARCH("contamina",C758)),"Contamination",ISNUMBER(SEARCH("overheat",C758)),"Overheating of Device",ISNUMBER(SEARCH("excessive heat",C758)),"Overheating of Device",ISNUMBER(SEARCH("hot",C758)),"Overheating of Device",ISNUMBER(SEARCH("noise",C758)),"Noise, Audible",ISNUMBER(SEARCH("sound",C758)),"Noise, Audible",ISNUMBER(SEARCH("loud",C758)),"Noise, Audible",ISNUMBER(SEARCH("fray",C758)),"Material Frayed",ISNUMBER(SEARCH("hole",C758)),"Material Frayed",ISNUMBER(SEARCH("tear",C758)),"Material Frayed",ISNUMBER(SEARCH("worn",C758)),"Material Frayed",ISNUMBER(SEARCH("intermittent",C758)),"Difficult or Delayed Activation",ISNUMBER(SEARCH("delay",C758)),"Difficult or Delayed Activation",ISNUMBER(SEARCH("label",C758)),"Device Markings/Labelling Problem",ISNUMBER(SEARCH("marking",C758)),"Device Markings/Labelling Problem",ISNUMBER(SEARCH("lacerat",C758)),"Defective Device",ISNUMBER(SEARCH("cut",C758)),"Defective Device",ISNUMBER(SEARCH("leak",C758)),"Fluid/Blood Leak",ISNUMBER(SEARCH("missing",C758)),"Component Missing",ISNUMBER(SEARCH("power",C758)),"Complete Loss of Power",ISNUMBER(SEARCH("will not turn on",C758)),"Complete Loss of Power",ISNUMBER(SEARCH("won't turn on",C758)),"Complete Loss of Power",ISNUMBER(SEARCH("does not turn on",C758)),"Complete Loss of Power",ISNUMBER(SEARCH("electrical",C758)),"Electrical Power Problem",ISNUMBER(SEARCH("pressure",C758)),"Detachment of Device or Device Component",ISNUMBER(SEARCH("slip",C758)),"Detachment of Device or Device Component",ISNUMBER(SEARCH("detach",C758)),"Detachment of Device or Device Component",ISNUMBER(SEARCH("stick",C758)),"Mechanical Jam",ISNUMBER(SEARCH("jam",C758)),"Mechanical Jam",ISNUMBER(SEARCH("rigid",C758)),"Mechanical Jam",ISNUMBER(SEARCH("rust",C758)),"Corroded",ISNUMBER(SEARCH("corrod",C758)),"Corroded",ISNUMBER(SEARCH("corrosion",C758)),"Corroded",ISNUMBER(SEARCH("alignment",C758)),"Defective Device",ISNUMBER(SEARCH("adjust",C758)),"Defective Device",ISNUMBER(SEARCH("perform",C758)),"Defective Device",ISNUMBER(SEARCH("malfunction",C758)),"Defective Device",ISNUMBER(SEARCH("defect",C758)),"Defective Device",ISNUMBER(SEARCH("fail",C758)),"Defective Device",ISNUMBER(SEARCH("not work",C758)),"Defective Device",ISNUMBER(SEARCH("doesn't work",C758)),"Defective Device",TRUE,"UNKNOWN"),"UNKNOWN")))</f>
        <v/>
      </c>
      <c r="F758" s="4" t="str">
        <f t="shared" si="12"/>
        <v/>
      </c>
      <c r="G758" s="363" t="str">
        <f>IF(E758="","",IFERROR(VLOOKUP(E758,Codes!$L$2:$N$409,3,FALSE),"—"))</f>
        <v/>
      </c>
      <c r="H758" s="88"/>
      <c r="I758" s="88"/>
    </row>
    <row r="759" spans="1:9" ht="13.15" x14ac:dyDescent="0.35">
      <c r="A759" s="92"/>
      <c r="B759" s="89"/>
      <c r="C759" s="88"/>
      <c r="D759" s="88"/>
      <c r="E759" s="93" t="str" cm="1">
        <f t="array" ref="E759">IF(D759&lt;&gt;"",IFERROR(VLOOKUP(D759,Codes!$K$2:$L$409,2,FALSE),"UNKNOWN - "&amp;D759),IF(C759="","",IFERROR(_xlfn.IFS(ISNUMBER(SEARCH("broken button",C759)),"Break",ISNUMBER(SEARCH("broken handle",C759)),"Break",ISNUMBER(SEARCH("shipping damage",C759)),"Break",ISNUMBER(SEARCH("broken",C759)),"Break",ISNUMBER(SEARCH("crack",C759)),"Break",ISNUMBER(SEARCH("snap",C759)),"Break",ISNUMBER(SEARCH("fracture",C759)),"Break",ISNUMBER(SEARCH("bent",C759)),"Material Twisted/Bent",ISNUMBER(SEARCH("twisted",C759)),"Material Twisted/Bent",ISNUMBER(SEARCH("component separat",C759)),"Material Separation",ISNUMBER(SEARCH("separat",C759)),"Material Separation",ISNUMBER(SEARCH("connection",C759)),"Loose or Intermittent Connection",ISNUMBER(SEARCH("loose",C759)),"Loose or Intermittent Connection",ISNUMBER(SEARCH("damaged packaging",C759)),"Packaging Problem",ISNUMBER(SEARCH("packaging",C759)),"Packaging Problem",ISNUMBER(SEARCH("discoloration",C759)),"Contamination",ISNUMBER(SEARCH("tarnish",C759)),"Contamination",ISNUMBER(SEARCH("stain",C759)),"Contamination",ISNUMBER(SEARCH("foreign material",C759)),"Contamination",ISNUMBER(SEARCH("contamina",C759)),"Contamination",ISNUMBER(SEARCH("overheat",C759)),"Overheating of Device",ISNUMBER(SEARCH("excessive heat",C759)),"Overheating of Device",ISNUMBER(SEARCH("hot",C759)),"Overheating of Device",ISNUMBER(SEARCH("noise",C759)),"Noise, Audible",ISNUMBER(SEARCH("sound",C759)),"Noise, Audible",ISNUMBER(SEARCH("loud",C759)),"Noise, Audible",ISNUMBER(SEARCH("fray",C759)),"Material Frayed",ISNUMBER(SEARCH("hole",C759)),"Material Frayed",ISNUMBER(SEARCH("tear",C759)),"Material Frayed",ISNUMBER(SEARCH("worn",C759)),"Material Frayed",ISNUMBER(SEARCH("intermittent",C759)),"Difficult or Delayed Activation",ISNUMBER(SEARCH("delay",C759)),"Difficult or Delayed Activation",ISNUMBER(SEARCH("label",C759)),"Device Markings/Labelling Problem",ISNUMBER(SEARCH("marking",C759)),"Device Markings/Labelling Problem",ISNUMBER(SEARCH("lacerat",C759)),"Defective Device",ISNUMBER(SEARCH("cut",C759)),"Defective Device",ISNUMBER(SEARCH("leak",C759)),"Fluid/Blood Leak",ISNUMBER(SEARCH("missing",C759)),"Component Missing",ISNUMBER(SEARCH("power",C759)),"Complete Loss of Power",ISNUMBER(SEARCH("will not turn on",C759)),"Complete Loss of Power",ISNUMBER(SEARCH("won't turn on",C759)),"Complete Loss of Power",ISNUMBER(SEARCH("does not turn on",C759)),"Complete Loss of Power",ISNUMBER(SEARCH("electrical",C759)),"Electrical Power Problem",ISNUMBER(SEARCH("pressure",C759)),"Detachment of Device or Device Component",ISNUMBER(SEARCH("slip",C759)),"Detachment of Device or Device Component",ISNUMBER(SEARCH("detach",C759)),"Detachment of Device or Device Component",ISNUMBER(SEARCH("stick",C759)),"Mechanical Jam",ISNUMBER(SEARCH("jam",C759)),"Mechanical Jam",ISNUMBER(SEARCH("rigid",C759)),"Mechanical Jam",ISNUMBER(SEARCH("rust",C759)),"Corroded",ISNUMBER(SEARCH("corrod",C759)),"Corroded",ISNUMBER(SEARCH("corrosion",C759)),"Corroded",ISNUMBER(SEARCH("alignment",C759)),"Defective Device",ISNUMBER(SEARCH("adjust",C759)),"Defective Device",ISNUMBER(SEARCH("perform",C759)),"Defective Device",ISNUMBER(SEARCH("malfunction",C759)),"Defective Device",ISNUMBER(SEARCH("defect",C759)),"Defective Device",ISNUMBER(SEARCH("fail",C759)),"Defective Device",ISNUMBER(SEARCH("not work",C759)),"Defective Device",ISNUMBER(SEARCH("doesn't work",C759)),"Defective Device",TRUE,"UNKNOWN"),"UNKNOWN")))</f>
        <v/>
      </c>
      <c r="F759" s="4" t="str">
        <f t="shared" si="12"/>
        <v/>
      </c>
      <c r="G759" s="363" t="str">
        <f>IF(E759="","",IFERROR(VLOOKUP(E759,Codes!$L$2:$N$409,3,FALSE),"—"))</f>
        <v/>
      </c>
      <c r="H759" s="88"/>
      <c r="I759" s="88"/>
    </row>
    <row r="760" spans="1:9" ht="13.15" x14ac:dyDescent="0.35">
      <c r="A760" s="92"/>
      <c r="B760" s="89"/>
      <c r="C760" s="88"/>
      <c r="D760" s="88"/>
      <c r="E760" s="93" t="str" cm="1">
        <f t="array" ref="E760">IF(D760&lt;&gt;"",IFERROR(VLOOKUP(D760,Codes!$K$2:$L$409,2,FALSE),"UNKNOWN - "&amp;D760),IF(C760="","",IFERROR(_xlfn.IFS(ISNUMBER(SEARCH("broken button",C760)),"Break",ISNUMBER(SEARCH("broken handle",C760)),"Break",ISNUMBER(SEARCH("shipping damage",C760)),"Break",ISNUMBER(SEARCH("broken",C760)),"Break",ISNUMBER(SEARCH("crack",C760)),"Break",ISNUMBER(SEARCH("snap",C760)),"Break",ISNUMBER(SEARCH("fracture",C760)),"Break",ISNUMBER(SEARCH("bent",C760)),"Material Twisted/Bent",ISNUMBER(SEARCH("twisted",C760)),"Material Twisted/Bent",ISNUMBER(SEARCH("component separat",C760)),"Material Separation",ISNUMBER(SEARCH("separat",C760)),"Material Separation",ISNUMBER(SEARCH("connection",C760)),"Loose or Intermittent Connection",ISNUMBER(SEARCH("loose",C760)),"Loose or Intermittent Connection",ISNUMBER(SEARCH("damaged packaging",C760)),"Packaging Problem",ISNUMBER(SEARCH("packaging",C760)),"Packaging Problem",ISNUMBER(SEARCH("discoloration",C760)),"Contamination",ISNUMBER(SEARCH("tarnish",C760)),"Contamination",ISNUMBER(SEARCH("stain",C760)),"Contamination",ISNUMBER(SEARCH("foreign material",C760)),"Contamination",ISNUMBER(SEARCH("contamina",C760)),"Contamination",ISNUMBER(SEARCH("overheat",C760)),"Overheating of Device",ISNUMBER(SEARCH("excessive heat",C760)),"Overheating of Device",ISNUMBER(SEARCH("hot",C760)),"Overheating of Device",ISNUMBER(SEARCH("noise",C760)),"Noise, Audible",ISNUMBER(SEARCH("sound",C760)),"Noise, Audible",ISNUMBER(SEARCH("loud",C760)),"Noise, Audible",ISNUMBER(SEARCH("fray",C760)),"Material Frayed",ISNUMBER(SEARCH("hole",C760)),"Material Frayed",ISNUMBER(SEARCH("tear",C760)),"Material Frayed",ISNUMBER(SEARCH("worn",C760)),"Material Frayed",ISNUMBER(SEARCH("intermittent",C760)),"Difficult or Delayed Activation",ISNUMBER(SEARCH("delay",C760)),"Difficult or Delayed Activation",ISNUMBER(SEARCH("label",C760)),"Device Markings/Labelling Problem",ISNUMBER(SEARCH("marking",C760)),"Device Markings/Labelling Problem",ISNUMBER(SEARCH("lacerat",C760)),"Defective Device",ISNUMBER(SEARCH("cut",C760)),"Defective Device",ISNUMBER(SEARCH("leak",C760)),"Fluid/Blood Leak",ISNUMBER(SEARCH("missing",C760)),"Component Missing",ISNUMBER(SEARCH("power",C760)),"Complete Loss of Power",ISNUMBER(SEARCH("will not turn on",C760)),"Complete Loss of Power",ISNUMBER(SEARCH("won't turn on",C760)),"Complete Loss of Power",ISNUMBER(SEARCH("does not turn on",C760)),"Complete Loss of Power",ISNUMBER(SEARCH("electrical",C760)),"Electrical Power Problem",ISNUMBER(SEARCH("pressure",C760)),"Detachment of Device or Device Component",ISNUMBER(SEARCH("slip",C760)),"Detachment of Device or Device Component",ISNUMBER(SEARCH("detach",C760)),"Detachment of Device or Device Component",ISNUMBER(SEARCH("stick",C760)),"Mechanical Jam",ISNUMBER(SEARCH("jam",C760)),"Mechanical Jam",ISNUMBER(SEARCH("rigid",C760)),"Mechanical Jam",ISNUMBER(SEARCH("rust",C760)),"Corroded",ISNUMBER(SEARCH("corrod",C760)),"Corroded",ISNUMBER(SEARCH("corrosion",C760)),"Corroded",ISNUMBER(SEARCH("alignment",C760)),"Defective Device",ISNUMBER(SEARCH("adjust",C760)),"Defective Device",ISNUMBER(SEARCH("perform",C760)),"Defective Device",ISNUMBER(SEARCH("malfunction",C760)),"Defective Device",ISNUMBER(SEARCH("defect",C760)),"Defective Device",ISNUMBER(SEARCH("fail",C760)),"Defective Device",ISNUMBER(SEARCH("not work",C760)),"Defective Device",ISNUMBER(SEARCH("doesn't work",C760)),"Defective Device",TRUE,"UNKNOWN"),"UNKNOWN")))</f>
        <v/>
      </c>
      <c r="F760" s="4" t="str">
        <f t="shared" si="12"/>
        <v/>
      </c>
      <c r="G760" s="363" t="str">
        <f>IF(E760="","",IFERROR(VLOOKUP(E760,Codes!$L$2:$N$409,3,FALSE),"—"))</f>
        <v/>
      </c>
      <c r="H760" s="88"/>
      <c r="I760" s="88"/>
    </row>
    <row r="761" spans="1:9" ht="13.15" x14ac:dyDescent="0.35">
      <c r="A761" s="92"/>
      <c r="B761" s="89"/>
      <c r="C761" s="88"/>
      <c r="D761" s="88"/>
      <c r="E761" s="93" t="str" cm="1">
        <f t="array" ref="E761">IF(D761&lt;&gt;"",IFERROR(VLOOKUP(D761,Codes!$K$2:$L$409,2,FALSE),"UNKNOWN - "&amp;D761),IF(C761="","",IFERROR(_xlfn.IFS(ISNUMBER(SEARCH("broken button",C761)),"Break",ISNUMBER(SEARCH("broken handle",C761)),"Break",ISNUMBER(SEARCH("shipping damage",C761)),"Break",ISNUMBER(SEARCH("broken",C761)),"Break",ISNUMBER(SEARCH("crack",C761)),"Break",ISNUMBER(SEARCH("snap",C761)),"Break",ISNUMBER(SEARCH("fracture",C761)),"Break",ISNUMBER(SEARCH("bent",C761)),"Material Twisted/Bent",ISNUMBER(SEARCH("twisted",C761)),"Material Twisted/Bent",ISNUMBER(SEARCH("component separat",C761)),"Material Separation",ISNUMBER(SEARCH("separat",C761)),"Material Separation",ISNUMBER(SEARCH("connection",C761)),"Loose or Intermittent Connection",ISNUMBER(SEARCH("loose",C761)),"Loose or Intermittent Connection",ISNUMBER(SEARCH("damaged packaging",C761)),"Packaging Problem",ISNUMBER(SEARCH("packaging",C761)),"Packaging Problem",ISNUMBER(SEARCH("discoloration",C761)),"Contamination",ISNUMBER(SEARCH("tarnish",C761)),"Contamination",ISNUMBER(SEARCH("stain",C761)),"Contamination",ISNUMBER(SEARCH("foreign material",C761)),"Contamination",ISNUMBER(SEARCH("contamina",C761)),"Contamination",ISNUMBER(SEARCH("overheat",C761)),"Overheating of Device",ISNUMBER(SEARCH("excessive heat",C761)),"Overheating of Device",ISNUMBER(SEARCH("hot",C761)),"Overheating of Device",ISNUMBER(SEARCH("noise",C761)),"Noise, Audible",ISNUMBER(SEARCH("sound",C761)),"Noise, Audible",ISNUMBER(SEARCH("loud",C761)),"Noise, Audible",ISNUMBER(SEARCH("fray",C761)),"Material Frayed",ISNUMBER(SEARCH("hole",C761)),"Material Frayed",ISNUMBER(SEARCH("tear",C761)),"Material Frayed",ISNUMBER(SEARCH("worn",C761)),"Material Frayed",ISNUMBER(SEARCH("intermittent",C761)),"Difficult or Delayed Activation",ISNUMBER(SEARCH("delay",C761)),"Difficult or Delayed Activation",ISNUMBER(SEARCH("label",C761)),"Device Markings/Labelling Problem",ISNUMBER(SEARCH("marking",C761)),"Device Markings/Labelling Problem",ISNUMBER(SEARCH("lacerat",C761)),"Defective Device",ISNUMBER(SEARCH("cut",C761)),"Defective Device",ISNUMBER(SEARCH("leak",C761)),"Fluid/Blood Leak",ISNUMBER(SEARCH("missing",C761)),"Component Missing",ISNUMBER(SEARCH("power",C761)),"Complete Loss of Power",ISNUMBER(SEARCH("will not turn on",C761)),"Complete Loss of Power",ISNUMBER(SEARCH("won't turn on",C761)),"Complete Loss of Power",ISNUMBER(SEARCH("does not turn on",C761)),"Complete Loss of Power",ISNUMBER(SEARCH("electrical",C761)),"Electrical Power Problem",ISNUMBER(SEARCH("pressure",C761)),"Detachment of Device or Device Component",ISNUMBER(SEARCH("slip",C761)),"Detachment of Device or Device Component",ISNUMBER(SEARCH("detach",C761)),"Detachment of Device or Device Component",ISNUMBER(SEARCH("stick",C761)),"Mechanical Jam",ISNUMBER(SEARCH("jam",C761)),"Mechanical Jam",ISNUMBER(SEARCH("rigid",C761)),"Mechanical Jam",ISNUMBER(SEARCH("rust",C761)),"Corroded",ISNUMBER(SEARCH("corrod",C761)),"Corroded",ISNUMBER(SEARCH("corrosion",C761)),"Corroded",ISNUMBER(SEARCH("alignment",C761)),"Defective Device",ISNUMBER(SEARCH("adjust",C761)),"Defective Device",ISNUMBER(SEARCH("perform",C761)),"Defective Device",ISNUMBER(SEARCH("malfunction",C761)),"Defective Device",ISNUMBER(SEARCH("defect",C761)),"Defective Device",ISNUMBER(SEARCH("fail",C761)),"Defective Device",ISNUMBER(SEARCH("not work",C761)),"Defective Device",ISNUMBER(SEARCH("doesn't work",C761)),"Defective Device",TRUE,"UNKNOWN"),"UNKNOWN")))</f>
        <v/>
      </c>
      <c r="F761" s="4" t="str">
        <f t="shared" si="12"/>
        <v/>
      </c>
      <c r="G761" s="363" t="str">
        <f>IF(E761="","",IFERROR(VLOOKUP(E761,Codes!$L$2:$N$409,3,FALSE),"—"))</f>
        <v/>
      </c>
      <c r="H761" s="88"/>
      <c r="I761" s="88"/>
    </row>
    <row r="762" spans="1:9" ht="13.15" x14ac:dyDescent="0.35">
      <c r="A762" s="92"/>
      <c r="B762" s="89"/>
      <c r="C762" s="88"/>
      <c r="D762" s="88"/>
      <c r="E762" s="93" t="str" cm="1">
        <f t="array" ref="E762">IF(D762&lt;&gt;"",IFERROR(VLOOKUP(D762,Codes!$K$2:$L$409,2,FALSE),"UNKNOWN - "&amp;D762),IF(C762="","",IFERROR(_xlfn.IFS(ISNUMBER(SEARCH("broken button",C762)),"Break",ISNUMBER(SEARCH("broken handle",C762)),"Break",ISNUMBER(SEARCH("shipping damage",C762)),"Break",ISNUMBER(SEARCH("broken",C762)),"Break",ISNUMBER(SEARCH("crack",C762)),"Break",ISNUMBER(SEARCH("snap",C762)),"Break",ISNUMBER(SEARCH("fracture",C762)),"Break",ISNUMBER(SEARCH("bent",C762)),"Material Twisted/Bent",ISNUMBER(SEARCH("twisted",C762)),"Material Twisted/Bent",ISNUMBER(SEARCH("component separat",C762)),"Material Separation",ISNUMBER(SEARCH("separat",C762)),"Material Separation",ISNUMBER(SEARCH("connection",C762)),"Loose or Intermittent Connection",ISNUMBER(SEARCH("loose",C762)),"Loose or Intermittent Connection",ISNUMBER(SEARCH("damaged packaging",C762)),"Packaging Problem",ISNUMBER(SEARCH("packaging",C762)),"Packaging Problem",ISNUMBER(SEARCH("discoloration",C762)),"Contamination",ISNUMBER(SEARCH("tarnish",C762)),"Contamination",ISNUMBER(SEARCH("stain",C762)),"Contamination",ISNUMBER(SEARCH("foreign material",C762)),"Contamination",ISNUMBER(SEARCH("contamina",C762)),"Contamination",ISNUMBER(SEARCH("overheat",C762)),"Overheating of Device",ISNUMBER(SEARCH("excessive heat",C762)),"Overheating of Device",ISNUMBER(SEARCH("hot",C762)),"Overheating of Device",ISNUMBER(SEARCH("noise",C762)),"Noise, Audible",ISNUMBER(SEARCH("sound",C762)),"Noise, Audible",ISNUMBER(SEARCH("loud",C762)),"Noise, Audible",ISNUMBER(SEARCH("fray",C762)),"Material Frayed",ISNUMBER(SEARCH("hole",C762)),"Material Frayed",ISNUMBER(SEARCH("tear",C762)),"Material Frayed",ISNUMBER(SEARCH("worn",C762)),"Material Frayed",ISNUMBER(SEARCH("intermittent",C762)),"Difficult or Delayed Activation",ISNUMBER(SEARCH("delay",C762)),"Difficult or Delayed Activation",ISNUMBER(SEARCH("label",C762)),"Device Markings/Labelling Problem",ISNUMBER(SEARCH("marking",C762)),"Device Markings/Labelling Problem",ISNUMBER(SEARCH("lacerat",C762)),"Defective Device",ISNUMBER(SEARCH("cut",C762)),"Defective Device",ISNUMBER(SEARCH("leak",C762)),"Fluid/Blood Leak",ISNUMBER(SEARCH("missing",C762)),"Component Missing",ISNUMBER(SEARCH("power",C762)),"Complete Loss of Power",ISNUMBER(SEARCH("will not turn on",C762)),"Complete Loss of Power",ISNUMBER(SEARCH("won't turn on",C762)),"Complete Loss of Power",ISNUMBER(SEARCH("does not turn on",C762)),"Complete Loss of Power",ISNUMBER(SEARCH("electrical",C762)),"Electrical Power Problem",ISNUMBER(SEARCH("pressure",C762)),"Detachment of Device or Device Component",ISNUMBER(SEARCH("slip",C762)),"Detachment of Device or Device Component",ISNUMBER(SEARCH("detach",C762)),"Detachment of Device or Device Component",ISNUMBER(SEARCH("stick",C762)),"Mechanical Jam",ISNUMBER(SEARCH("jam",C762)),"Mechanical Jam",ISNUMBER(SEARCH("rigid",C762)),"Mechanical Jam",ISNUMBER(SEARCH("rust",C762)),"Corroded",ISNUMBER(SEARCH("corrod",C762)),"Corroded",ISNUMBER(SEARCH("corrosion",C762)),"Corroded",ISNUMBER(SEARCH("alignment",C762)),"Defective Device",ISNUMBER(SEARCH("adjust",C762)),"Defective Device",ISNUMBER(SEARCH("perform",C762)),"Defective Device",ISNUMBER(SEARCH("malfunction",C762)),"Defective Device",ISNUMBER(SEARCH("defect",C762)),"Defective Device",ISNUMBER(SEARCH("fail",C762)),"Defective Device",ISNUMBER(SEARCH("not work",C762)),"Defective Device",ISNUMBER(SEARCH("doesn't work",C762)),"Defective Device",TRUE,"UNKNOWN"),"UNKNOWN")))</f>
        <v/>
      </c>
      <c r="F762" s="4" t="str">
        <f t="shared" si="12"/>
        <v/>
      </c>
      <c r="G762" s="363" t="str">
        <f>IF(E762="","",IFERROR(VLOOKUP(E762,Codes!$L$2:$N$409,3,FALSE),"—"))</f>
        <v/>
      </c>
      <c r="H762" s="88"/>
      <c r="I762" s="88"/>
    </row>
    <row r="763" spans="1:9" ht="13.15" x14ac:dyDescent="0.35">
      <c r="A763" s="92"/>
      <c r="B763" s="89"/>
      <c r="C763" s="88"/>
      <c r="D763" s="88"/>
      <c r="E763" s="93" t="str" cm="1">
        <f t="array" ref="E763">IF(D763&lt;&gt;"",IFERROR(VLOOKUP(D763,Codes!$K$2:$L$409,2,FALSE),"UNKNOWN - "&amp;D763),IF(C763="","",IFERROR(_xlfn.IFS(ISNUMBER(SEARCH("broken button",C763)),"Break",ISNUMBER(SEARCH("broken handle",C763)),"Break",ISNUMBER(SEARCH("shipping damage",C763)),"Break",ISNUMBER(SEARCH("broken",C763)),"Break",ISNUMBER(SEARCH("crack",C763)),"Break",ISNUMBER(SEARCH("snap",C763)),"Break",ISNUMBER(SEARCH("fracture",C763)),"Break",ISNUMBER(SEARCH("bent",C763)),"Material Twisted/Bent",ISNUMBER(SEARCH("twisted",C763)),"Material Twisted/Bent",ISNUMBER(SEARCH("component separat",C763)),"Material Separation",ISNUMBER(SEARCH("separat",C763)),"Material Separation",ISNUMBER(SEARCH("connection",C763)),"Loose or Intermittent Connection",ISNUMBER(SEARCH("loose",C763)),"Loose or Intermittent Connection",ISNUMBER(SEARCH("damaged packaging",C763)),"Packaging Problem",ISNUMBER(SEARCH("packaging",C763)),"Packaging Problem",ISNUMBER(SEARCH("discoloration",C763)),"Contamination",ISNUMBER(SEARCH("tarnish",C763)),"Contamination",ISNUMBER(SEARCH("stain",C763)),"Contamination",ISNUMBER(SEARCH("foreign material",C763)),"Contamination",ISNUMBER(SEARCH("contamina",C763)),"Contamination",ISNUMBER(SEARCH("overheat",C763)),"Overheating of Device",ISNUMBER(SEARCH("excessive heat",C763)),"Overheating of Device",ISNUMBER(SEARCH("hot",C763)),"Overheating of Device",ISNUMBER(SEARCH("noise",C763)),"Noise, Audible",ISNUMBER(SEARCH("sound",C763)),"Noise, Audible",ISNUMBER(SEARCH("loud",C763)),"Noise, Audible",ISNUMBER(SEARCH("fray",C763)),"Material Frayed",ISNUMBER(SEARCH("hole",C763)),"Material Frayed",ISNUMBER(SEARCH("tear",C763)),"Material Frayed",ISNUMBER(SEARCH("worn",C763)),"Material Frayed",ISNUMBER(SEARCH("intermittent",C763)),"Difficult or Delayed Activation",ISNUMBER(SEARCH("delay",C763)),"Difficult or Delayed Activation",ISNUMBER(SEARCH("label",C763)),"Device Markings/Labelling Problem",ISNUMBER(SEARCH("marking",C763)),"Device Markings/Labelling Problem",ISNUMBER(SEARCH("lacerat",C763)),"Defective Device",ISNUMBER(SEARCH("cut",C763)),"Defective Device",ISNUMBER(SEARCH("leak",C763)),"Fluid/Blood Leak",ISNUMBER(SEARCH("missing",C763)),"Component Missing",ISNUMBER(SEARCH("power",C763)),"Complete Loss of Power",ISNUMBER(SEARCH("will not turn on",C763)),"Complete Loss of Power",ISNUMBER(SEARCH("won't turn on",C763)),"Complete Loss of Power",ISNUMBER(SEARCH("does not turn on",C763)),"Complete Loss of Power",ISNUMBER(SEARCH("electrical",C763)),"Electrical Power Problem",ISNUMBER(SEARCH("pressure",C763)),"Detachment of Device or Device Component",ISNUMBER(SEARCH("slip",C763)),"Detachment of Device or Device Component",ISNUMBER(SEARCH("detach",C763)),"Detachment of Device or Device Component",ISNUMBER(SEARCH("stick",C763)),"Mechanical Jam",ISNUMBER(SEARCH("jam",C763)),"Mechanical Jam",ISNUMBER(SEARCH("rigid",C763)),"Mechanical Jam",ISNUMBER(SEARCH("rust",C763)),"Corroded",ISNUMBER(SEARCH("corrod",C763)),"Corroded",ISNUMBER(SEARCH("corrosion",C763)),"Corroded",ISNUMBER(SEARCH("alignment",C763)),"Defective Device",ISNUMBER(SEARCH("adjust",C763)),"Defective Device",ISNUMBER(SEARCH("perform",C763)),"Defective Device",ISNUMBER(SEARCH("malfunction",C763)),"Defective Device",ISNUMBER(SEARCH("defect",C763)),"Defective Device",ISNUMBER(SEARCH("fail",C763)),"Defective Device",ISNUMBER(SEARCH("not work",C763)),"Defective Device",ISNUMBER(SEARCH("doesn't work",C763)),"Defective Device",TRUE,"UNKNOWN"),"UNKNOWN")))</f>
        <v/>
      </c>
      <c r="F763" s="4" t="str">
        <f t="shared" ref="F763:F826" si="13">IF(E763="","","No Clinical Signs, Symptoms or Conditions")</f>
        <v/>
      </c>
      <c r="G763" s="363" t="str">
        <f>IF(E763="","",IFERROR(VLOOKUP(E763,Codes!$L$2:$N$409,3,FALSE),"—"))</f>
        <v/>
      </c>
      <c r="H763" s="88"/>
      <c r="I763" s="88"/>
    </row>
    <row r="764" spans="1:9" ht="13.15" x14ac:dyDescent="0.35">
      <c r="A764" s="92"/>
      <c r="B764" s="89"/>
      <c r="C764" s="88"/>
      <c r="D764" s="88"/>
      <c r="E764" s="93" t="str" cm="1">
        <f t="array" ref="E764">IF(D764&lt;&gt;"",IFERROR(VLOOKUP(D764,Codes!$K$2:$L$409,2,FALSE),"UNKNOWN - "&amp;D764),IF(C764="","",IFERROR(_xlfn.IFS(ISNUMBER(SEARCH("broken button",C764)),"Break",ISNUMBER(SEARCH("broken handle",C764)),"Break",ISNUMBER(SEARCH("shipping damage",C764)),"Break",ISNUMBER(SEARCH("broken",C764)),"Break",ISNUMBER(SEARCH("crack",C764)),"Break",ISNUMBER(SEARCH("snap",C764)),"Break",ISNUMBER(SEARCH("fracture",C764)),"Break",ISNUMBER(SEARCH("bent",C764)),"Material Twisted/Bent",ISNUMBER(SEARCH("twisted",C764)),"Material Twisted/Bent",ISNUMBER(SEARCH("component separat",C764)),"Material Separation",ISNUMBER(SEARCH("separat",C764)),"Material Separation",ISNUMBER(SEARCH("connection",C764)),"Loose or Intermittent Connection",ISNUMBER(SEARCH("loose",C764)),"Loose or Intermittent Connection",ISNUMBER(SEARCH("damaged packaging",C764)),"Packaging Problem",ISNUMBER(SEARCH("packaging",C764)),"Packaging Problem",ISNUMBER(SEARCH("discoloration",C764)),"Contamination",ISNUMBER(SEARCH("tarnish",C764)),"Contamination",ISNUMBER(SEARCH("stain",C764)),"Contamination",ISNUMBER(SEARCH("foreign material",C764)),"Contamination",ISNUMBER(SEARCH("contamina",C764)),"Contamination",ISNUMBER(SEARCH("overheat",C764)),"Overheating of Device",ISNUMBER(SEARCH("excessive heat",C764)),"Overheating of Device",ISNUMBER(SEARCH("hot",C764)),"Overheating of Device",ISNUMBER(SEARCH("noise",C764)),"Noise, Audible",ISNUMBER(SEARCH("sound",C764)),"Noise, Audible",ISNUMBER(SEARCH("loud",C764)),"Noise, Audible",ISNUMBER(SEARCH("fray",C764)),"Material Frayed",ISNUMBER(SEARCH("hole",C764)),"Material Frayed",ISNUMBER(SEARCH("tear",C764)),"Material Frayed",ISNUMBER(SEARCH("worn",C764)),"Material Frayed",ISNUMBER(SEARCH("intermittent",C764)),"Difficult or Delayed Activation",ISNUMBER(SEARCH("delay",C764)),"Difficult or Delayed Activation",ISNUMBER(SEARCH("label",C764)),"Device Markings/Labelling Problem",ISNUMBER(SEARCH("marking",C764)),"Device Markings/Labelling Problem",ISNUMBER(SEARCH("lacerat",C764)),"Defective Device",ISNUMBER(SEARCH("cut",C764)),"Defective Device",ISNUMBER(SEARCH("leak",C764)),"Fluid/Blood Leak",ISNUMBER(SEARCH("missing",C764)),"Component Missing",ISNUMBER(SEARCH("power",C764)),"Complete Loss of Power",ISNUMBER(SEARCH("will not turn on",C764)),"Complete Loss of Power",ISNUMBER(SEARCH("won't turn on",C764)),"Complete Loss of Power",ISNUMBER(SEARCH("does not turn on",C764)),"Complete Loss of Power",ISNUMBER(SEARCH("electrical",C764)),"Electrical Power Problem",ISNUMBER(SEARCH("pressure",C764)),"Detachment of Device or Device Component",ISNUMBER(SEARCH("slip",C764)),"Detachment of Device or Device Component",ISNUMBER(SEARCH("detach",C764)),"Detachment of Device or Device Component",ISNUMBER(SEARCH("stick",C764)),"Mechanical Jam",ISNUMBER(SEARCH("jam",C764)),"Mechanical Jam",ISNUMBER(SEARCH("rigid",C764)),"Mechanical Jam",ISNUMBER(SEARCH("rust",C764)),"Corroded",ISNUMBER(SEARCH("corrod",C764)),"Corroded",ISNUMBER(SEARCH("corrosion",C764)),"Corroded",ISNUMBER(SEARCH("alignment",C764)),"Defective Device",ISNUMBER(SEARCH("adjust",C764)),"Defective Device",ISNUMBER(SEARCH("perform",C764)),"Defective Device",ISNUMBER(SEARCH("malfunction",C764)),"Defective Device",ISNUMBER(SEARCH("defect",C764)),"Defective Device",ISNUMBER(SEARCH("fail",C764)),"Defective Device",ISNUMBER(SEARCH("not work",C764)),"Defective Device",ISNUMBER(SEARCH("doesn't work",C764)),"Defective Device",TRUE,"UNKNOWN"),"UNKNOWN")))</f>
        <v/>
      </c>
      <c r="F764" s="4" t="str">
        <f t="shared" si="13"/>
        <v/>
      </c>
      <c r="G764" s="363" t="str">
        <f>IF(E764="","",IFERROR(VLOOKUP(E764,Codes!$L$2:$N$409,3,FALSE),"—"))</f>
        <v/>
      </c>
      <c r="H764" s="88"/>
      <c r="I764" s="88"/>
    </row>
    <row r="765" spans="1:9" ht="13.15" x14ac:dyDescent="0.35">
      <c r="A765" s="92"/>
      <c r="B765" s="89"/>
      <c r="C765" s="88"/>
      <c r="D765" s="88"/>
      <c r="E765" s="93" t="str" cm="1">
        <f t="array" ref="E765">IF(D765&lt;&gt;"",IFERROR(VLOOKUP(D765,Codes!$K$2:$L$409,2,FALSE),"UNKNOWN - "&amp;D765),IF(C765="","",IFERROR(_xlfn.IFS(ISNUMBER(SEARCH("broken button",C765)),"Break",ISNUMBER(SEARCH("broken handle",C765)),"Break",ISNUMBER(SEARCH("shipping damage",C765)),"Break",ISNUMBER(SEARCH("broken",C765)),"Break",ISNUMBER(SEARCH("crack",C765)),"Break",ISNUMBER(SEARCH("snap",C765)),"Break",ISNUMBER(SEARCH("fracture",C765)),"Break",ISNUMBER(SEARCH("bent",C765)),"Material Twisted/Bent",ISNUMBER(SEARCH("twisted",C765)),"Material Twisted/Bent",ISNUMBER(SEARCH("component separat",C765)),"Material Separation",ISNUMBER(SEARCH("separat",C765)),"Material Separation",ISNUMBER(SEARCH("connection",C765)),"Loose or Intermittent Connection",ISNUMBER(SEARCH("loose",C765)),"Loose or Intermittent Connection",ISNUMBER(SEARCH("damaged packaging",C765)),"Packaging Problem",ISNUMBER(SEARCH("packaging",C765)),"Packaging Problem",ISNUMBER(SEARCH("discoloration",C765)),"Contamination",ISNUMBER(SEARCH("tarnish",C765)),"Contamination",ISNUMBER(SEARCH("stain",C765)),"Contamination",ISNUMBER(SEARCH("foreign material",C765)),"Contamination",ISNUMBER(SEARCH("contamina",C765)),"Contamination",ISNUMBER(SEARCH("overheat",C765)),"Overheating of Device",ISNUMBER(SEARCH("excessive heat",C765)),"Overheating of Device",ISNUMBER(SEARCH("hot",C765)),"Overheating of Device",ISNUMBER(SEARCH("noise",C765)),"Noise, Audible",ISNUMBER(SEARCH("sound",C765)),"Noise, Audible",ISNUMBER(SEARCH("loud",C765)),"Noise, Audible",ISNUMBER(SEARCH("fray",C765)),"Material Frayed",ISNUMBER(SEARCH("hole",C765)),"Material Frayed",ISNUMBER(SEARCH("tear",C765)),"Material Frayed",ISNUMBER(SEARCH("worn",C765)),"Material Frayed",ISNUMBER(SEARCH("intermittent",C765)),"Difficult or Delayed Activation",ISNUMBER(SEARCH("delay",C765)),"Difficult or Delayed Activation",ISNUMBER(SEARCH("label",C765)),"Device Markings/Labelling Problem",ISNUMBER(SEARCH("marking",C765)),"Device Markings/Labelling Problem",ISNUMBER(SEARCH("lacerat",C765)),"Defective Device",ISNUMBER(SEARCH("cut",C765)),"Defective Device",ISNUMBER(SEARCH("leak",C765)),"Fluid/Blood Leak",ISNUMBER(SEARCH("missing",C765)),"Component Missing",ISNUMBER(SEARCH("power",C765)),"Complete Loss of Power",ISNUMBER(SEARCH("will not turn on",C765)),"Complete Loss of Power",ISNUMBER(SEARCH("won't turn on",C765)),"Complete Loss of Power",ISNUMBER(SEARCH("does not turn on",C765)),"Complete Loss of Power",ISNUMBER(SEARCH("electrical",C765)),"Electrical Power Problem",ISNUMBER(SEARCH("pressure",C765)),"Detachment of Device or Device Component",ISNUMBER(SEARCH("slip",C765)),"Detachment of Device or Device Component",ISNUMBER(SEARCH("detach",C765)),"Detachment of Device or Device Component",ISNUMBER(SEARCH("stick",C765)),"Mechanical Jam",ISNUMBER(SEARCH("jam",C765)),"Mechanical Jam",ISNUMBER(SEARCH("rigid",C765)),"Mechanical Jam",ISNUMBER(SEARCH("rust",C765)),"Corroded",ISNUMBER(SEARCH("corrod",C765)),"Corroded",ISNUMBER(SEARCH("corrosion",C765)),"Corroded",ISNUMBER(SEARCH("alignment",C765)),"Defective Device",ISNUMBER(SEARCH("adjust",C765)),"Defective Device",ISNUMBER(SEARCH("perform",C765)),"Defective Device",ISNUMBER(SEARCH("malfunction",C765)),"Defective Device",ISNUMBER(SEARCH("defect",C765)),"Defective Device",ISNUMBER(SEARCH("fail",C765)),"Defective Device",ISNUMBER(SEARCH("not work",C765)),"Defective Device",ISNUMBER(SEARCH("doesn't work",C765)),"Defective Device",TRUE,"UNKNOWN"),"UNKNOWN")))</f>
        <v/>
      </c>
      <c r="F765" s="4" t="str">
        <f t="shared" si="13"/>
        <v/>
      </c>
      <c r="G765" s="363" t="str">
        <f>IF(E765="","",IFERROR(VLOOKUP(E765,Codes!$L$2:$N$409,3,FALSE),"—"))</f>
        <v/>
      </c>
      <c r="H765" s="88"/>
      <c r="I765" s="88"/>
    </row>
    <row r="766" spans="1:9" ht="13.15" x14ac:dyDescent="0.35">
      <c r="A766" s="92"/>
      <c r="B766" s="89"/>
      <c r="C766" s="88"/>
      <c r="D766" s="88"/>
      <c r="E766" s="93" t="str" cm="1">
        <f t="array" ref="E766">IF(D766&lt;&gt;"",IFERROR(VLOOKUP(D766,Codes!$K$2:$L$409,2,FALSE),"UNKNOWN - "&amp;D766),IF(C766="","",IFERROR(_xlfn.IFS(ISNUMBER(SEARCH("broken button",C766)),"Break",ISNUMBER(SEARCH("broken handle",C766)),"Break",ISNUMBER(SEARCH("shipping damage",C766)),"Break",ISNUMBER(SEARCH("broken",C766)),"Break",ISNUMBER(SEARCH("crack",C766)),"Break",ISNUMBER(SEARCH("snap",C766)),"Break",ISNUMBER(SEARCH("fracture",C766)),"Break",ISNUMBER(SEARCH("bent",C766)),"Material Twisted/Bent",ISNUMBER(SEARCH("twisted",C766)),"Material Twisted/Bent",ISNUMBER(SEARCH("component separat",C766)),"Material Separation",ISNUMBER(SEARCH("separat",C766)),"Material Separation",ISNUMBER(SEARCH("connection",C766)),"Loose or Intermittent Connection",ISNUMBER(SEARCH("loose",C766)),"Loose or Intermittent Connection",ISNUMBER(SEARCH("damaged packaging",C766)),"Packaging Problem",ISNUMBER(SEARCH("packaging",C766)),"Packaging Problem",ISNUMBER(SEARCH("discoloration",C766)),"Contamination",ISNUMBER(SEARCH("tarnish",C766)),"Contamination",ISNUMBER(SEARCH("stain",C766)),"Contamination",ISNUMBER(SEARCH("foreign material",C766)),"Contamination",ISNUMBER(SEARCH("contamina",C766)),"Contamination",ISNUMBER(SEARCH("overheat",C766)),"Overheating of Device",ISNUMBER(SEARCH("excessive heat",C766)),"Overheating of Device",ISNUMBER(SEARCH("hot",C766)),"Overheating of Device",ISNUMBER(SEARCH("noise",C766)),"Noise, Audible",ISNUMBER(SEARCH("sound",C766)),"Noise, Audible",ISNUMBER(SEARCH("loud",C766)),"Noise, Audible",ISNUMBER(SEARCH("fray",C766)),"Material Frayed",ISNUMBER(SEARCH("hole",C766)),"Material Frayed",ISNUMBER(SEARCH("tear",C766)),"Material Frayed",ISNUMBER(SEARCH("worn",C766)),"Material Frayed",ISNUMBER(SEARCH("intermittent",C766)),"Difficult or Delayed Activation",ISNUMBER(SEARCH("delay",C766)),"Difficult or Delayed Activation",ISNUMBER(SEARCH("label",C766)),"Device Markings/Labelling Problem",ISNUMBER(SEARCH("marking",C766)),"Device Markings/Labelling Problem",ISNUMBER(SEARCH("lacerat",C766)),"Defective Device",ISNUMBER(SEARCH("cut",C766)),"Defective Device",ISNUMBER(SEARCH("leak",C766)),"Fluid/Blood Leak",ISNUMBER(SEARCH("missing",C766)),"Component Missing",ISNUMBER(SEARCH("power",C766)),"Complete Loss of Power",ISNUMBER(SEARCH("will not turn on",C766)),"Complete Loss of Power",ISNUMBER(SEARCH("won't turn on",C766)),"Complete Loss of Power",ISNUMBER(SEARCH("does not turn on",C766)),"Complete Loss of Power",ISNUMBER(SEARCH("electrical",C766)),"Electrical Power Problem",ISNUMBER(SEARCH("pressure",C766)),"Detachment of Device or Device Component",ISNUMBER(SEARCH("slip",C766)),"Detachment of Device or Device Component",ISNUMBER(SEARCH("detach",C766)),"Detachment of Device or Device Component",ISNUMBER(SEARCH("stick",C766)),"Mechanical Jam",ISNUMBER(SEARCH("jam",C766)),"Mechanical Jam",ISNUMBER(SEARCH("rigid",C766)),"Mechanical Jam",ISNUMBER(SEARCH("rust",C766)),"Corroded",ISNUMBER(SEARCH("corrod",C766)),"Corroded",ISNUMBER(SEARCH("corrosion",C766)),"Corroded",ISNUMBER(SEARCH("alignment",C766)),"Defective Device",ISNUMBER(SEARCH("adjust",C766)),"Defective Device",ISNUMBER(SEARCH("perform",C766)),"Defective Device",ISNUMBER(SEARCH("malfunction",C766)),"Defective Device",ISNUMBER(SEARCH("defect",C766)),"Defective Device",ISNUMBER(SEARCH("fail",C766)),"Defective Device",ISNUMBER(SEARCH("not work",C766)),"Defective Device",ISNUMBER(SEARCH("doesn't work",C766)),"Defective Device",TRUE,"UNKNOWN"),"UNKNOWN")))</f>
        <v/>
      </c>
      <c r="F766" s="4" t="str">
        <f t="shared" si="13"/>
        <v/>
      </c>
      <c r="G766" s="363" t="str">
        <f>IF(E766="","",IFERROR(VLOOKUP(E766,Codes!$L$2:$N$409,3,FALSE),"—"))</f>
        <v/>
      </c>
      <c r="H766" s="88"/>
      <c r="I766" s="88"/>
    </row>
    <row r="767" spans="1:9" ht="13.15" x14ac:dyDescent="0.35">
      <c r="A767" s="92"/>
      <c r="B767" s="89"/>
      <c r="C767" s="88"/>
      <c r="D767" s="88"/>
      <c r="E767" s="93" t="str" cm="1">
        <f t="array" ref="E767">IF(D767&lt;&gt;"",IFERROR(VLOOKUP(D767,Codes!$K$2:$L$409,2,FALSE),"UNKNOWN - "&amp;D767),IF(C767="","",IFERROR(_xlfn.IFS(ISNUMBER(SEARCH("broken button",C767)),"Break",ISNUMBER(SEARCH("broken handle",C767)),"Break",ISNUMBER(SEARCH("shipping damage",C767)),"Break",ISNUMBER(SEARCH("broken",C767)),"Break",ISNUMBER(SEARCH("crack",C767)),"Break",ISNUMBER(SEARCH("snap",C767)),"Break",ISNUMBER(SEARCH("fracture",C767)),"Break",ISNUMBER(SEARCH("bent",C767)),"Material Twisted/Bent",ISNUMBER(SEARCH("twisted",C767)),"Material Twisted/Bent",ISNUMBER(SEARCH("component separat",C767)),"Material Separation",ISNUMBER(SEARCH("separat",C767)),"Material Separation",ISNUMBER(SEARCH("connection",C767)),"Loose or Intermittent Connection",ISNUMBER(SEARCH("loose",C767)),"Loose or Intermittent Connection",ISNUMBER(SEARCH("damaged packaging",C767)),"Packaging Problem",ISNUMBER(SEARCH("packaging",C767)),"Packaging Problem",ISNUMBER(SEARCH("discoloration",C767)),"Contamination",ISNUMBER(SEARCH("tarnish",C767)),"Contamination",ISNUMBER(SEARCH("stain",C767)),"Contamination",ISNUMBER(SEARCH("foreign material",C767)),"Contamination",ISNUMBER(SEARCH("contamina",C767)),"Contamination",ISNUMBER(SEARCH("overheat",C767)),"Overheating of Device",ISNUMBER(SEARCH("excessive heat",C767)),"Overheating of Device",ISNUMBER(SEARCH("hot",C767)),"Overheating of Device",ISNUMBER(SEARCH("noise",C767)),"Noise, Audible",ISNUMBER(SEARCH("sound",C767)),"Noise, Audible",ISNUMBER(SEARCH("loud",C767)),"Noise, Audible",ISNUMBER(SEARCH("fray",C767)),"Material Frayed",ISNUMBER(SEARCH("hole",C767)),"Material Frayed",ISNUMBER(SEARCH("tear",C767)),"Material Frayed",ISNUMBER(SEARCH("worn",C767)),"Material Frayed",ISNUMBER(SEARCH("intermittent",C767)),"Difficult or Delayed Activation",ISNUMBER(SEARCH("delay",C767)),"Difficult or Delayed Activation",ISNUMBER(SEARCH("label",C767)),"Device Markings/Labelling Problem",ISNUMBER(SEARCH("marking",C767)),"Device Markings/Labelling Problem",ISNUMBER(SEARCH("lacerat",C767)),"Defective Device",ISNUMBER(SEARCH("cut",C767)),"Defective Device",ISNUMBER(SEARCH("leak",C767)),"Fluid/Blood Leak",ISNUMBER(SEARCH("missing",C767)),"Component Missing",ISNUMBER(SEARCH("power",C767)),"Complete Loss of Power",ISNUMBER(SEARCH("will not turn on",C767)),"Complete Loss of Power",ISNUMBER(SEARCH("won't turn on",C767)),"Complete Loss of Power",ISNUMBER(SEARCH("does not turn on",C767)),"Complete Loss of Power",ISNUMBER(SEARCH("electrical",C767)),"Electrical Power Problem",ISNUMBER(SEARCH("pressure",C767)),"Detachment of Device or Device Component",ISNUMBER(SEARCH("slip",C767)),"Detachment of Device or Device Component",ISNUMBER(SEARCH("detach",C767)),"Detachment of Device or Device Component",ISNUMBER(SEARCH("stick",C767)),"Mechanical Jam",ISNUMBER(SEARCH("jam",C767)),"Mechanical Jam",ISNUMBER(SEARCH("rigid",C767)),"Mechanical Jam",ISNUMBER(SEARCH("rust",C767)),"Corroded",ISNUMBER(SEARCH("corrod",C767)),"Corroded",ISNUMBER(SEARCH("corrosion",C767)),"Corroded",ISNUMBER(SEARCH("alignment",C767)),"Defective Device",ISNUMBER(SEARCH("adjust",C767)),"Defective Device",ISNUMBER(SEARCH("perform",C767)),"Defective Device",ISNUMBER(SEARCH("malfunction",C767)),"Defective Device",ISNUMBER(SEARCH("defect",C767)),"Defective Device",ISNUMBER(SEARCH("fail",C767)),"Defective Device",ISNUMBER(SEARCH("not work",C767)),"Defective Device",ISNUMBER(SEARCH("doesn't work",C767)),"Defective Device",TRUE,"UNKNOWN"),"UNKNOWN")))</f>
        <v/>
      </c>
      <c r="F767" s="4" t="str">
        <f t="shared" si="13"/>
        <v/>
      </c>
      <c r="G767" s="363" t="str">
        <f>IF(E767="","",IFERROR(VLOOKUP(E767,Codes!$L$2:$N$409,3,FALSE),"—"))</f>
        <v/>
      </c>
      <c r="H767" s="88"/>
      <c r="I767" s="88"/>
    </row>
    <row r="768" spans="1:9" ht="13.15" x14ac:dyDescent="0.35">
      <c r="A768" s="92"/>
      <c r="B768" s="89"/>
      <c r="C768" s="88"/>
      <c r="D768" s="88"/>
      <c r="E768" s="93" t="str" cm="1">
        <f t="array" ref="E768">IF(D768&lt;&gt;"",IFERROR(VLOOKUP(D768,Codes!$K$2:$L$409,2,FALSE),"UNKNOWN - "&amp;D768),IF(C768="","",IFERROR(_xlfn.IFS(ISNUMBER(SEARCH("broken button",C768)),"Break",ISNUMBER(SEARCH("broken handle",C768)),"Break",ISNUMBER(SEARCH("shipping damage",C768)),"Break",ISNUMBER(SEARCH("broken",C768)),"Break",ISNUMBER(SEARCH("crack",C768)),"Break",ISNUMBER(SEARCH("snap",C768)),"Break",ISNUMBER(SEARCH("fracture",C768)),"Break",ISNUMBER(SEARCH("bent",C768)),"Material Twisted/Bent",ISNUMBER(SEARCH("twisted",C768)),"Material Twisted/Bent",ISNUMBER(SEARCH("component separat",C768)),"Material Separation",ISNUMBER(SEARCH("separat",C768)),"Material Separation",ISNUMBER(SEARCH("connection",C768)),"Loose or Intermittent Connection",ISNUMBER(SEARCH("loose",C768)),"Loose or Intermittent Connection",ISNUMBER(SEARCH("damaged packaging",C768)),"Packaging Problem",ISNUMBER(SEARCH("packaging",C768)),"Packaging Problem",ISNUMBER(SEARCH("discoloration",C768)),"Contamination",ISNUMBER(SEARCH("tarnish",C768)),"Contamination",ISNUMBER(SEARCH("stain",C768)),"Contamination",ISNUMBER(SEARCH("foreign material",C768)),"Contamination",ISNUMBER(SEARCH("contamina",C768)),"Contamination",ISNUMBER(SEARCH("overheat",C768)),"Overheating of Device",ISNUMBER(SEARCH("excessive heat",C768)),"Overheating of Device",ISNUMBER(SEARCH("hot",C768)),"Overheating of Device",ISNUMBER(SEARCH("noise",C768)),"Noise, Audible",ISNUMBER(SEARCH("sound",C768)),"Noise, Audible",ISNUMBER(SEARCH("loud",C768)),"Noise, Audible",ISNUMBER(SEARCH("fray",C768)),"Material Frayed",ISNUMBER(SEARCH("hole",C768)),"Material Frayed",ISNUMBER(SEARCH("tear",C768)),"Material Frayed",ISNUMBER(SEARCH("worn",C768)),"Material Frayed",ISNUMBER(SEARCH("intermittent",C768)),"Difficult or Delayed Activation",ISNUMBER(SEARCH("delay",C768)),"Difficult or Delayed Activation",ISNUMBER(SEARCH("label",C768)),"Device Markings/Labelling Problem",ISNUMBER(SEARCH("marking",C768)),"Device Markings/Labelling Problem",ISNUMBER(SEARCH("lacerat",C768)),"Defective Device",ISNUMBER(SEARCH("cut",C768)),"Defective Device",ISNUMBER(SEARCH("leak",C768)),"Fluid/Blood Leak",ISNUMBER(SEARCH("missing",C768)),"Component Missing",ISNUMBER(SEARCH("power",C768)),"Complete Loss of Power",ISNUMBER(SEARCH("will not turn on",C768)),"Complete Loss of Power",ISNUMBER(SEARCH("won't turn on",C768)),"Complete Loss of Power",ISNUMBER(SEARCH("does not turn on",C768)),"Complete Loss of Power",ISNUMBER(SEARCH("electrical",C768)),"Electrical Power Problem",ISNUMBER(SEARCH("pressure",C768)),"Detachment of Device or Device Component",ISNUMBER(SEARCH("slip",C768)),"Detachment of Device or Device Component",ISNUMBER(SEARCH("detach",C768)),"Detachment of Device or Device Component",ISNUMBER(SEARCH("stick",C768)),"Mechanical Jam",ISNUMBER(SEARCH("jam",C768)),"Mechanical Jam",ISNUMBER(SEARCH("rigid",C768)),"Mechanical Jam",ISNUMBER(SEARCH("rust",C768)),"Corroded",ISNUMBER(SEARCH("corrod",C768)),"Corroded",ISNUMBER(SEARCH("corrosion",C768)),"Corroded",ISNUMBER(SEARCH("alignment",C768)),"Defective Device",ISNUMBER(SEARCH("adjust",C768)),"Defective Device",ISNUMBER(SEARCH("perform",C768)),"Defective Device",ISNUMBER(SEARCH("malfunction",C768)),"Defective Device",ISNUMBER(SEARCH("defect",C768)),"Defective Device",ISNUMBER(SEARCH("fail",C768)),"Defective Device",ISNUMBER(SEARCH("not work",C768)),"Defective Device",ISNUMBER(SEARCH("doesn't work",C768)),"Defective Device",TRUE,"UNKNOWN"),"UNKNOWN")))</f>
        <v/>
      </c>
      <c r="F768" s="4" t="str">
        <f t="shared" si="13"/>
        <v/>
      </c>
      <c r="G768" s="363" t="str">
        <f>IF(E768="","",IFERROR(VLOOKUP(E768,Codes!$L$2:$N$409,3,FALSE),"—"))</f>
        <v/>
      </c>
      <c r="H768" s="88"/>
      <c r="I768" s="88"/>
    </row>
    <row r="769" spans="1:9" ht="13.15" x14ac:dyDescent="0.35">
      <c r="A769" s="92"/>
      <c r="B769" s="89"/>
      <c r="C769" s="88"/>
      <c r="D769" s="88"/>
      <c r="E769" s="93" t="str" cm="1">
        <f t="array" ref="E769">IF(D769&lt;&gt;"",IFERROR(VLOOKUP(D769,Codes!$K$2:$L$409,2,FALSE),"UNKNOWN - "&amp;D769),IF(C769="","",IFERROR(_xlfn.IFS(ISNUMBER(SEARCH("broken button",C769)),"Break",ISNUMBER(SEARCH("broken handle",C769)),"Break",ISNUMBER(SEARCH("shipping damage",C769)),"Break",ISNUMBER(SEARCH("broken",C769)),"Break",ISNUMBER(SEARCH("crack",C769)),"Break",ISNUMBER(SEARCH("snap",C769)),"Break",ISNUMBER(SEARCH("fracture",C769)),"Break",ISNUMBER(SEARCH("bent",C769)),"Material Twisted/Bent",ISNUMBER(SEARCH("twisted",C769)),"Material Twisted/Bent",ISNUMBER(SEARCH("component separat",C769)),"Material Separation",ISNUMBER(SEARCH("separat",C769)),"Material Separation",ISNUMBER(SEARCH("connection",C769)),"Loose or Intermittent Connection",ISNUMBER(SEARCH("loose",C769)),"Loose or Intermittent Connection",ISNUMBER(SEARCH("damaged packaging",C769)),"Packaging Problem",ISNUMBER(SEARCH("packaging",C769)),"Packaging Problem",ISNUMBER(SEARCH("discoloration",C769)),"Contamination",ISNUMBER(SEARCH("tarnish",C769)),"Contamination",ISNUMBER(SEARCH("stain",C769)),"Contamination",ISNUMBER(SEARCH("foreign material",C769)),"Contamination",ISNUMBER(SEARCH("contamina",C769)),"Contamination",ISNUMBER(SEARCH("overheat",C769)),"Overheating of Device",ISNUMBER(SEARCH("excessive heat",C769)),"Overheating of Device",ISNUMBER(SEARCH("hot",C769)),"Overheating of Device",ISNUMBER(SEARCH("noise",C769)),"Noise, Audible",ISNUMBER(SEARCH("sound",C769)),"Noise, Audible",ISNUMBER(SEARCH("loud",C769)),"Noise, Audible",ISNUMBER(SEARCH("fray",C769)),"Material Frayed",ISNUMBER(SEARCH("hole",C769)),"Material Frayed",ISNUMBER(SEARCH("tear",C769)),"Material Frayed",ISNUMBER(SEARCH("worn",C769)),"Material Frayed",ISNUMBER(SEARCH("intermittent",C769)),"Difficult or Delayed Activation",ISNUMBER(SEARCH("delay",C769)),"Difficult or Delayed Activation",ISNUMBER(SEARCH("label",C769)),"Device Markings/Labelling Problem",ISNUMBER(SEARCH("marking",C769)),"Device Markings/Labelling Problem",ISNUMBER(SEARCH("lacerat",C769)),"Defective Device",ISNUMBER(SEARCH("cut",C769)),"Defective Device",ISNUMBER(SEARCH("leak",C769)),"Fluid/Blood Leak",ISNUMBER(SEARCH("missing",C769)),"Component Missing",ISNUMBER(SEARCH("power",C769)),"Complete Loss of Power",ISNUMBER(SEARCH("will not turn on",C769)),"Complete Loss of Power",ISNUMBER(SEARCH("won't turn on",C769)),"Complete Loss of Power",ISNUMBER(SEARCH("does not turn on",C769)),"Complete Loss of Power",ISNUMBER(SEARCH("electrical",C769)),"Electrical Power Problem",ISNUMBER(SEARCH("pressure",C769)),"Detachment of Device or Device Component",ISNUMBER(SEARCH("slip",C769)),"Detachment of Device or Device Component",ISNUMBER(SEARCH("detach",C769)),"Detachment of Device or Device Component",ISNUMBER(SEARCH("stick",C769)),"Mechanical Jam",ISNUMBER(SEARCH("jam",C769)),"Mechanical Jam",ISNUMBER(SEARCH("rigid",C769)),"Mechanical Jam",ISNUMBER(SEARCH("rust",C769)),"Corroded",ISNUMBER(SEARCH("corrod",C769)),"Corroded",ISNUMBER(SEARCH("corrosion",C769)),"Corroded",ISNUMBER(SEARCH("alignment",C769)),"Defective Device",ISNUMBER(SEARCH("adjust",C769)),"Defective Device",ISNUMBER(SEARCH("perform",C769)),"Defective Device",ISNUMBER(SEARCH("malfunction",C769)),"Defective Device",ISNUMBER(SEARCH("defect",C769)),"Defective Device",ISNUMBER(SEARCH("fail",C769)),"Defective Device",ISNUMBER(SEARCH("not work",C769)),"Defective Device",ISNUMBER(SEARCH("doesn't work",C769)),"Defective Device",TRUE,"UNKNOWN"),"UNKNOWN")))</f>
        <v/>
      </c>
      <c r="F769" s="4" t="str">
        <f t="shared" si="13"/>
        <v/>
      </c>
      <c r="G769" s="363" t="str">
        <f>IF(E769="","",IFERROR(VLOOKUP(E769,Codes!$L$2:$N$409,3,FALSE),"—"))</f>
        <v/>
      </c>
      <c r="H769" s="88"/>
      <c r="I769" s="88"/>
    </row>
    <row r="770" spans="1:9" ht="13.15" x14ac:dyDescent="0.35">
      <c r="A770" s="92"/>
      <c r="B770" s="89"/>
      <c r="C770" s="88"/>
      <c r="D770" s="88"/>
      <c r="E770" s="93" t="str" cm="1">
        <f t="array" ref="E770">IF(D770&lt;&gt;"",IFERROR(VLOOKUP(D770,Codes!$K$2:$L$409,2,FALSE),"UNKNOWN - "&amp;D770),IF(C770="","",IFERROR(_xlfn.IFS(ISNUMBER(SEARCH("broken button",C770)),"Break",ISNUMBER(SEARCH("broken handle",C770)),"Break",ISNUMBER(SEARCH("shipping damage",C770)),"Break",ISNUMBER(SEARCH("broken",C770)),"Break",ISNUMBER(SEARCH("crack",C770)),"Break",ISNUMBER(SEARCH("snap",C770)),"Break",ISNUMBER(SEARCH("fracture",C770)),"Break",ISNUMBER(SEARCH("bent",C770)),"Material Twisted/Bent",ISNUMBER(SEARCH("twisted",C770)),"Material Twisted/Bent",ISNUMBER(SEARCH("component separat",C770)),"Material Separation",ISNUMBER(SEARCH("separat",C770)),"Material Separation",ISNUMBER(SEARCH("connection",C770)),"Loose or Intermittent Connection",ISNUMBER(SEARCH("loose",C770)),"Loose or Intermittent Connection",ISNUMBER(SEARCH("damaged packaging",C770)),"Packaging Problem",ISNUMBER(SEARCH("packaging",C770)),"Packaging Problem",ISNUMBER(SEARCH("discoloration",C770)),"Contamination",ISNUMBER(SEARCH("tarnish",C770)),"Contamination",ISNUMBER(SEARCH("stain",C770)),"Contamination",ISNUMBER(SEARCH("foreign material",C770)),"Contamination",ISNUMBER(SEARCH("contamina",C770)),"Contamination",ISNUMBER(SEARCH("overheat",C770)),"Overheating of Device",ISNUMBER(SEARCH("excessive heat",C770)),"Overheating of Device",ISNUMBER(SEARCH("hot",C770)),"Overheating of Device",ISNUMBER(SEARCH("noise",C770)),"Noise, Audible",ISNUMBER(SEARCH("sound",C770)),"Noise, Audible",ISNUMBER(SEARCH("loud",C770)),"Noise, Audible",ISNUMBER(SEARCH("fray",C770)),"Material Frayed",ISNUMBER(SEARCH("hole",C770)),"Material Frayed",ISNUMBER(SEARCH("tear",C770)),"Material Frayed",ISNUMBER(SEARCH("worn",C770)),"Material Frayed",ISNUMBER(SEARCH("intermittent",C770)),"Difficult or Delayed Activation",ISNUMBER(SEARCH("delay",C770)),"Difficult or Delayed Activation",ISNUMBER(SEARCH("label",C770)),"Device Markings/Labelling Problem",ISNUMBER(SEARCH("marking",C770)),"Device Markings/Labelling Problem",ISNUMBER(SEARCH("lacerat",C770)),"Defective Device",ISNUMBER(SEARCH("cut",C770)),"Defective Device",ISNUMBER(SEARCH("leak",C770)),"Fluid/Blood Leak",ISNUMBER(SEARCH("missing",C770)),"Component Missing",ISNUMBER(SEARCH("power",C770)),"Complete Loss of Power",ISNUMBER(SEARCH("will not turn on",C770)),"Complete Loss of Power",ISNUMBER(SEARCH("won't turn on",C770)),"Complete Loss of Power",ISNUMBER(SEARCH("does not turn on",C770)),"Complete Loss of Power",ISNUMBER(SEARCH("electrical",C770)),"Electrical Power Problem",ISNUMBER(SEARCH("pressure",C770)),"Detachment of Device or Device Component",ISNUMBER(SEARCH("slip",C770)),"Detachment of Device or Device Component",ISNUMBER(SEARCH("detach",C770)),"Detachment of Device or Device Component",ISNUMBER(SEARCH("stick",C770)),"Mechanical Jam",ISNUMBER(SEARCH("jam",C770)),"Mechanical Jam",ISNUMBER(SEARCH("rigid",C770)),"Mechanical Jam",ISNUMBER(SEARCH("rust",C770)),"Corroded",ISNUMBER(SEARCH("corrod",C770)),"Corroded",ISNUMBER(SEARCH("corrosion",C770)),"Corroded",ISNUMBER(SEARCH("alignment",C770)),"Defective Device",ISNUMBER(SEARCH("adjust",C770)),"Defective Device",ISNUMBER(SEARCH("perform",C770)),"Defective Device",ISNUMBER(SEARCH("malfunction",C770)),"Defective Device",ISNUMBER(SEARCH("defect",C770)),"Defective Device",ISNUMBER(SEARCH("fail",C770)),"Defective Device",ISNUMBER(SEARCH("not work",C770)),"Defective Device",ISNUMBER(SEARCH("doesn't work",C770)),"Defective Device",TRUE,"UNKNOWN"),"UNKNOWN")))</f>
        <v/>
      </c>
      <c r="F770" s="4" t="str">
        <f t="shared" si="13"/>
        <v/>
      </c>
      <c r="G770" s="363" t="str">
        <f>IF(E770="","",IFERROR(VLOOKUP(E770,Codes!$L$2:$N$409,3,FALSE),"—"))</f>
        <v/>
      </c>
      <c r="H770" s="88"/>
      <c r="I770" s="88"/>
    </row>
    <row r="771" spans="1:9" ht="13.15" x14ac:dyDescent="0.35">
      <c r="A771" s="92"/>
      <c r="B771" s="89"/>
      <c r="C771" s="88"/>
      <c r="D771" s="88"/>
      <c r="E771" s="93" t="str" cm="1">
        <f t="array" ref="E771">IF(D771&lt;&gt;"",IFERROR(VLOOKUP(D771,Codes!$K$2:$L$409,2,FALSE),"UNKNOWN - "&amp;D771),IF(C771="","",IFERROR(_xlfn.IFS(ISNUMBER(SEARCH("broken button",C771)),"Break",ISNUMBER(SEARCH("broken handle",C771)),"Break",ISNUMBER(SEARCH("shipping damage",C771)),"Break",ISNUMBER(SEARCH("broken",C771)),"Break",ISNUMBER(SEARCH("crack",C771)),"Break",ISNUMBER(SEARCH("snap",C771)),"Break",ISNUMBER(SEARCH("fracture",C771)),"Break",ISNUMBER(SEARCH("bent",C771)),"Material Twisted/Bent",ISNUMBER(SEARCH("twisted",C771)),"Material Twisted/Bent",ISNUMBER(SEARCH("component separat",C771)),"Material Separation",ISNUMBER(SEARCH("separat",C771)),"Material Separation",ISNUMBER(SEARCH("connection",C771)),"Loose or Intermittent Connection",ISNUMBER(SEARCH("loose",C771)),"Loose or Intermittent Connection",ISNUMBER(SEARCH("damaged packaging",C771)),"Packaging Problem",ISNUMBER(SEARCH("packaging",C771)),"Packaging Problem",ISNUMBER(SEARCH("discoloration",C771)),"Contamination",ISNUMBER(SEARCH("tarnish",C771)),"Contamination",ISNUMBER(SEARCH("stain",C771)),"Contamination",ISNUMBER(SEARCH("foreign material",C771)),"Contamination",ISNUMBER(SEARCH("contamina",C771)),"Contamination",ISNUMBER(SEARCH("overheat",C771)),"Overheating of Device",ISNUMBER(SEARCH("excessive heat",C771)),"Overheating of Device",ISNUMBER(SEARCH("hot",C771)),"Overheating of Device",ISNUMBER(SEARCH("noise",C771)),"Noise, Audible",ISNUMBER(SEARCH("sound",C771)),"Noise, Audible",ISNUMBER(SEARCH("loud",C771)),"Noise, Audible",ISNUMBER(SEARCH("fray",C771)),"Material Frayed",ISNUMBER(SEARCH("hole",C771)),"Material Frayed",ISNUMBER(SEARCH("tear",C771)),"Material Frayed",ISNUMBER(SEARCH("worn",C771)),"Material Frayed",ISNUMBER(SEARCH("intermittent",C771)),"Difficult or Delayed Activation",ISNUMBER(SEARCH("delay",C771)),"Difficult or Delayed Activation",ISNUMBER(SEARCH("label",C771)),"Device Markings/Labelling Problem",ISNUMBER(SEARCH("marking",C771)),"Device Markings/Labelling Problem",ISNUMBER(SEARCH("lacerat",C771)),"Defective Device",ISNUMBER(SEARCH("cut",C771)),"Defective Device",ISNUMBER(SEARCH("leak",C771)),"Fluid/Blood Leak",ISNUMBER(SEARCH("missing",C771)),"Component Missing",ISNUMBER(SEARCH("power",C771)),"Complete Loss of Power",ISNUMBER(SEARCH("will not turn on",C771)),"Complete Loss of Power",ISNUMBER(SEARCH("won't turn on",C771)),"Complete Loss of Power",ISNUMBER(SEARCH("does not turn on",C771)),"Complete Loss of Power",ISNUMBER(SEARCH("electrical",C771)),"Electrical Power Problem",ISNUMBER(SEARCH("pressure",C771)),"Detachment of Device or Device Component",ISNUMBER(SEARCH("slip",C771)),"Detachment of Device or Device Component",ISNUMBER(SEARCH("detach",C771)),"Detachment of Device or Device Component",ISNUMBER(SEARCH("stick",C771)),"Mechanical Jam",ISNUMBER(SEARCH("jam",C771)),"Mechanical Jam",ISNUMBER(SEARCH("rigid",C771)),"Mechanical Jam",ISNUMBER(SEARCH("rust",C771)),"Corroded",ISNUMBER(SEARCH("corrod",C771)),"Corroded",ISNUMBER(SEARCH("corrosion",C771)),"Corroded",ISNUMBER(SEARCH("alignment",C771)),"Defective Device",ISNUMBER(SEARCH("adjust",C771)),"Defective Device",ISNUMBER(SEARCH("perform",C771)),"Defective Device",ISNUMBER(SEARCH("malfunction",C771)),"Defective Device",ISNUMBER(SEARCH("defect",C771)),"Defective Device",ISNUMBER(SEARCH("fail",C771)),"Defective Device",ISNUMBER(SEARCH("not work",C771)),"Defective Device",ISNUMBER(SEARCH("doesn't work",C771)),"Defective Device",TRUE,"UNKNOWN"),"UNKNOWN")))</f>
        <v/>
      </c>
      <c r="F771" s="4" t="str">
        <f t="shared" si="13"/>
        <v/>
      </c>
      <c r="G771" s="363" t="str">
        <f>IF(E771="","",IFERROR(VLOOKUP(E771,Codes!$L$2:$N$409,3,FALSE),"—"))</f>
        <v/>
      </c>
      <c r="H771" s="88"/>
      <c r="I771" s="88"/>
    </row>
    <row r="772" spans="1:9" ht="13.15" x14ac:dyDescent="0.35">
      <c r="A772" s="92"/>
      <c r="B772" s="89"/>
      <c r="C772" s="88"/>
      <c r="D772" s="88"/>
      <c r="E772" s="93" t="str" cm="1">
        <f t="array" ref="E772">IF(D772&lt;&gt;"",IFERROR(VLOOKUP(D772,Codes!$K$2:$L$409,2,FALSE),"UNKNOWN - "&amp;D772),IF(C772="","",IFERROR(_xlfn.IFS(ISNUMBER(SEARCH("broken button",C772)),"Break",ISNUMBER(SEARCH("broken handle",C772)),"Break",ISNUMBER(SEARCH("shipping damage",C772)),"Break",ISNUMBER(SEARCH("broken",C772)),"Break",ISNUMBER(SEARCH("crack",C772)),"Break",ISNUMBER(SEARCH("snap",C772)),"Break",ISNUMBER(SEARCH("fracture",C772)),"Break",ISNUMBER(SEARCH("bent",C772)),"Material Twisted/Bent",ISNUMBER(SEARCH("twisted",C772)),"Material Twisted/Bent",ISNUMBER(SEARCH("component separat",C772)),"Material Separation",ISNUMBER(SEARCH("separat",C772)),"Material Separation",ISNUMBER(SEARCH("connection",C772)),"Loose or Intermittent Connection",ISNUMBER(SEARCH("loose",C772)),"Loose or Intermittent Connection",ISNUMBER(SEARCH("damaged packaging",C772)),"Packaging Problem",ISNUMBER(SEARCH("packaging",C772)),"Packaging Problem",ISNUMBER(SEARCH("discoloration",C772)),"Contamination",ISNUMBER(SEARCH("tarnish",C772)),"Contamination",ISNUMBER(SEARCH("stain",C772)),"Contamination",ISNUMBER(SEARCH("foreign material",C772)),"Contamination",ISNUMBER(SEARCH("contamina",C772)),"Contamination",ISNUMBER(SEARCH("overheat",C772)),"Overheating of Device",ISNUMBER(SEARCH("excessive heat",C772)),"Overheating of Device",ISNUMBER(SEARCH("hot",C772)),"Overheating of Device",ISNUMBER(SEARCH("noise",C772)),"Noise, Audible",ISNUMBER(SEARCH("sound",C772)),"Noise, Audible",ISNUMBER(SEARCH("loud",C772)),"Noise, Audible",ISNUMBER(SEARCH("fray",C772)),"Material Frayed",ISNUMBER(SEARCH("hole",C772)),"Material Frayed",ISNUMBER(SEARCH("tear",C772)),"Material Frayed",ISNUMBER(SEARCH("worn",C772)),"Material Frayed",ISNUMBER(SEARCH("intermittent",C772)),"Difficult or Delayed Activation",ISNUMBER(SEARCH("delay",C772)),"Difficult or Delayed Activation",ISNUMBER(SEARCH("label",C772)),"Device Markings/Labelling Problem",ISNUMBER(SEARCH("marking",C772)),"Device Markings/Labelling Problem",ISNUMBER(SEARCH("lacerat",C772)),"Defective Device",ISNUMBER(SEARCH("cut",C772)),"Defective Device",ISNUMBER(SEARCH("leak",C772)),"Fluid/Blood Leak",ISNUMBER(SEARCH("missing",C772)),"Component Missing",ISNUMBER(SEARCH("power",C772)),"Complete Loss of Power",ISNUMBER(SEARCH("will not turn on",C772)),"Complete Loss of Power",ISNUMBER(SEARCH("won't turn on",C772)),"Complete Loss of Power",ISNUMBER(SEARCH("does not turn on",C772)),"Complete Loss of Power",ISNUMBER(SEARCH("electrical",C772)),"Electrical Power Problem",ISNUMBER(SEARCH("pressure",C772)),"Detachment of Device or Device Component",ISNUMBER(SEARCH("slip",C772)),"Detachment of Device or Device Component",ISNUMBER(SEARCH("detach",C772)),"Detachment of Device or Device Component",ISNUMBER(SEARCH("stick",C772)),"Mechanical Jam",ISNUMBER(SEARCH("jam",C772)),"Mechanical Jam",ISNUMBER(SEARCH("rigid",C772)),"Mechanical Jam",ISNUMBER(SEARCH("rust",C772)),"Corroded",ISNUMBER(SEARCH("corrod",C772)),"Corroded",ISNUMBER(SEARCH("corrosion",C772)),"Corroded",ISNUMBER(SEARCH("alignment",C772)),"Defective Device",ISNUMBER(SEARCH("adjust",C772)),"Defective Device",ISNUMBER(SEARCH("perform",C772)),"Defective Device",ISNUMBER(SEARCH("malfunction",C772)),"Defective Device",ISNUMBER(SEARCH("defect",C772)),"Defective Device",ISNUMBER(SEARCH("fail",C772)),"Defective Device",ISNUMBER(SEARCH("not work",C772)),"Defective Device",ISNUMBER(SEARCH("doesn't work",C772)),"Defective Device",TRUE,"UNKNOWN"),"UNKNOWN")))</f>
        <v/>
      </c>
      <c r="F772" s="4" t="str">
        <f t="shared" si="13"/>
        <v/>
      </c>
      <c r="G772" s="363" t="str">
        <f>IF(E772="","",IFERROR(VLOOKUP(E772,Codes!$L$2:$N$409,3,FALSE),"—"))</f>
        <v/>
      </c>
      <c r="H772" s="88"/>
      <c r="I772" s="88"/>
    </row>
    <row r="773" spans="1:9" ht="13.15" x14ac:dyDescent="0.35">
      <c r="A773" s="92"/>
      <c r="B773" s="89"/>
      <c r="C773" s="88"/>
      <c r="D773" s="88"/>
      <c r="E773" s="93" t="str" cm="1">
        <f t="array" ref="E773">IF(D773&lt;&gt;"",IFERROR(VLOOKUP(D773,Codes!$K$2:$L$409,2,FALSE),"UNKNOWN - "&amp;D773),IF(C773="","",IFERROR(_xlfn.IFS(ISNUMBER(SEARCH("broken button",C773)),"Break",ISNUMBER(SEARCH("broken handle",C773)),"Break",ISNUMBER(SEARCH("shipping damage",C773)),"Break",ISNUMBER(SEARCH("broken",C773)),"Break",ISNUMBER(SEARCH("crack",C773)),"Break",ISNUMBER(SEARCH("snap",C773)),"Break",ISNUMBER(SEARCH("fracture",C773)),"Break",ISNUMBER(SEARCH("bent",C773)),"Material Twisted/Bent",ISNUMBER(SEARCH("twisted",C773)),"Material Twisted/Bent",ISNUMBER(SEARCH("component separat",C773)),"Material Separation",ISNUMBER(SEARCH("separat",C773)),"Material Separation",ISNUMBER(SEARCH("connection",C773)),"Loose or Intermittent Connection",ISNUMBER(SEARCH("loose",C773)),"Loose or Intermittent Connection",ISNUMBER(SEARCH("damaged packaging",C773)),"Packaging Problem",ISNUMBER(SEARCH("packaging",C773)),"Packaging Problem",ISNUMBER(SEARCH("discoloration",C773)),"Contamination",ISNUMBER(SEARCH("tarnish",C773)),"Contamination",ISNUMBER(SEARCH("stain",C773)),"Contamination",ISNUMBER(SEARCH("foreign material",C773)),"Contamination",ISNUMBER(SEARCH("contamina",C773)),"Contamination",ISNUMBER(SEARCH("overheat",C773)),"Overheating of Device",ISNUMBER(SEARCH("excessive heat",C773)),"Overheating of Device",ISNUMBER(SEARCH("hot",C773)),"Overheating of Device",ISNUMBER(SEARCH("noise",C773)),"Noise, Audible",ISNUMBER(SEARCH("sound",C773)),"Noise, Audible",ISNUMBER(SEARCH("loud",C773)),"Noise, Audible",ISNUMBER(SEARCH("fray",C773)),"Material Frayed",ISNUMBER(SEARCH("hole",C773)),"Material Frayed",ISNUMBER(SEARCH("tear",C773)),"Material Frayed",ISNUMBER(SEARCH("worn",C773)),"Material Frayed",ISNUMBER(SEARCH("intermittent",C773)),"Difficult or Delayed Activation",ISNUMBER(SEARCH("delay",C773)),"Difficult or Delayed Activation",ISNUMBER(SEARCH("label",C773)),"Device Markings/Labelling Problem",ISNUMBER(SEARCH("marking",C773)),"Device Markings/Labelling Problem",ISNUMBER(SEARCH("lacerat",C773)),"Defective Device",ISNUMBER(SEARCH("cut",C773)),"Defective Device",ISNUMBER(SEARCH("leak",C773)),"Fluid/Blood Leak",ISNUMBER(SEARCH("missing",C773)),"Component Missing",ISNUMBER(SEARCH("power",C773)),"Complete Loss of Power",ISNUMBER(SEARCH("will not turn on",C773)),"Complete Loss of Power",ISNUMBER(SEARCH("won't turn on",C773)),"Complete Loss of Power",ISNUMBER(SEARCH("does not turn on",C773)),"Complete Loss of Power",ISNUMBER(SEARCH("electrical",C773)),"Electrical Power Problem",ISNUMBER(SEARCH("pressure",C773)),"Detachment of Device or Device Component",ISNUMBER(SEARCH("slip",C773)),"Detachment of Device or Device Component",ISNUMBER(SEARCH("detach",C773)),"Detachment of Device or Device Component",ISNUMBER(SEARCH("stick",C773)),"Mechanical Jam",ISNUMBER(SEARCH("jam",C773)),"Mechanical Jam",ISNUMBER(SEARCH("rigid",C773)),"Mechanical Jam",ISNUMBER(SEARCH("rust",C773)),"Corroded",ISNUMBER(SEARCH("corrod",C773)),"Corroded",ISNUMBER(SEARCH("corrosion",C773)),"Corroded",ISNUMBER(SEARCH("alignment",C773)),"Defective Device",ISNUMBER(SEARCH("adjust",C773)),"Defective Device",ISNUMBER(SEARCH("perform",C773)),"Defective Device",ISNUMBER(SEARCH("malfunction",C773)),"Defective Device",ISNUMBER(SEARCH("defect",C773)),"Defective Device",ISNUMBER(SEARCH("fail",C773)),"Defective Device",ISNUMBER(SEARCH("not work",C773)),"Defective Device",ISNUMBER(SEARCH("doesn't work",C773)),"Defective Device",TRUE,"UNKNOWN"),"UNKNOWN")))</f>
        <v/>
      </c>
      <c r="F773" s="4" t="str">
        <f t="shared" si="13"/>
        <v/>
      </c>
      <c r="G773" s="363" t="str">
        <f>IF(E773="","",IFERROR(VLOOKUP(E773,Codes!$L$2:$N$409,3,FALSE),"—"))</f>
        <v/>
      </c>
      <c r="H773" s="88"/>
      <c r="I773" s="88"/>
    </row>
    <row r="774" spans="1:9" ht="13.15" x14ac:dyDescent="0.35">
      <c r="A774" s="92"/>
      <c r="B774" s="89"/>
      <c r="C774" s="88"/>
      <c r="D774" s="88"/>
      <c r="E774" s="93" t="str" cm="1">
        <f t="array" ref="E774">IF(D774&lt;&gt;"",IFERROR(VLOOKUP(D774,Codes!$K$2:$L$409,2,FALSE),"UNKNOWN - "&amp;D774),IF(C774="","",IFERROR(_xlfn.IFS(ISNUMBER(SEARCH("broken button",C774)),"Break",ISNUMBER(SEARCH("broken handle",C774)),"Break",ISNUMBER(SEARCH("shipping damage",C774)),"Break",ISNUMBER(SEARCH("broken",C774)),"Break",ISNUMBER(SEARCH("crack",C774)),"Break",ISNUMBER(SEARCH("snap",C774)),"Break",ISNUMBER(SEARCH("fracture",C774)),"Break",ISNUMBER(SEARCH("bent",C774)),"Material Twisted/Bent",ISNUMBER(SEARCH("twisted",C774)),"Material Twisted/Bent",ISNUMBER(SEARCH("component separat",C774)),"Material Separation",ISNUMBER(SEARCH("separat",C774)),"Material Separation",ISNUMBER(SEARCH("connection",C774)),"Loose or Intermittent Connection",ISNUMBER(SEARCH("loose",C774)),"Loose or Intermittent Connection",ISNUMBER(SEARCH("damaged packaging",C774)),"Packaging Problem",ISNUMBER(SEARCH("packaging",C774)),"Packaging Problem",ISNUMBER(SEARCH("discoloration",C774)),"Contamination",ISNUMBER(SEARCH("tarnish",C774)),"Contamination",ISNUMBER(SEARCH("stain",C774)),"Contamination",ISNUMBER(SEARCH("foreign material",C774)),"Contamination",ISNUMBER(SEARCH("contamina",C774)),"Contamination",ISNUMBER(SEARCH("overheat",C774)),"Overheating of Device",ISNUMBER(SEARCH("excessive heat",C774)),"Overheating of Device",ISNUMBER(SEARCH("hot",C774)),"Overheating of Device",ISNUMBER(SEARCH("noise",C774)),"Noise, Audible",ISNUMBER(SEARCH("sound",C774)),"Noise, Audible",ISNUMBER(SEARCH("loud",C774)),"Noise, Audible",ISNUMBER(SEARCH("fray",C774)),"Material Frayed",ISNUMBER(SEARCH("hole",C774)),"Material Frayed",ISNUMBER(SEARCH("tear",C774)),"Material Frayed",ISNUMBER(SEARCH("worn",C774)),"Material Frayed",ISNUMBER(SEARCH("intermittent",C774)),"Difficult or Delayed Activation",ISNUMBER(SEARCH("delay",C774)),"Difficult or Delayed Activation",ISNUMBER(SEARCH("label",C774)),"Device Markings/Labelling Problem",ISNUMBER(SEARCH("marking",C774)),"Device Markings/Labelling Problem",ISNUMBER(SEARCH("lacerat",C774)),"Defective Device",ISNUMBER(SEARCH("cut",C774)),"Defective Device",ISNUMBER(SEARCH("leak",C774)),"Fluid/Blood Leak",ISNUMBER(SEARCH("missing",C774)),"Component Missing",ISNUMBER(SEARCH("power",C774)),"Complete Loss of Power",ISNUMBER(SEARCH("will not turn on",C774)),"Complete Loss of Power",ISNUMBER(SEARCH("won't turn on",C774)),"Complete Loss of Power",ISNUMBER(SEARCH("does not turn on",C774)),"Complete Loss of Power",ISNUMBER(SEARCH("electrical",C774)),"Electrical Power Problem",ISNUMBER(SEARCH("pressure",C774)),"Detachment of Device or Device Component",ISNUMBER(SEARCH("slip",C774)),"Detachment of Device or Device Component",ISNUMBER(SEARCH("detach",C774)),"Detachment of Device or Device Component",ISNUMBER(SEARCH("stick",C774)),"Mechanical Jam",ISNUMBER(SEARCH("jam",C774)),"Mechanical Jam",ISNUMBER(SEARCH("rigid",C774)),"Mechanical Jam",ISNUMBER(SEARCH("rust",C774)),"Corroded",ISNUMBER(SEARCH("corrod",C774)),"Corroded",ISNUMBER(SEARCH("corrosion",C774)),"Corroded",ISNUMBER(SEARCH("alignment",C774)),"Defective Device",ISNUMBER(SEARCH("adjust",C774)),"Defective Device",ISNUMBER(SEARCH("perform",C774)),"Defective Device",ISNUMBER(SEARCH("malfunction",C774)),"Defective Device",ISNUMBER(SEARCH("defect",C774)),"Defective Device",ISNUMBER(SEARCH("fail",C774)),"Defective Device",ISNUMBER(SEARCH("not work",C774)),"Defective Device",ISNUMBER(SEARCH("doesn't work",C774)),"Defective Device",TRUE,"UNKNOWN"),"UNKNOWN")))</f>
        <v/>
      </c>
      <c r="F774" s="4" t="str">
        <f t="shared" si="13"/>
        <v/>
      </c>
      <c r="G774" s="363" t="str">
        <f>IF(E774="","",IFERROR(VLOOKUP(E774,Codes!$L$2:$N$409,3,FALSE),"—"))</f>
        <v/>
      </c>
      <c r="H774" s="88"/>
      <c r="I774" s="88"/>
    </row>
    <row r="775" spans="1:9" ht="13.15" x14ac:dyDescent="0.35">
      <c r="A775" s="92"/>
      <c r="B775" s="89"/>
      <c r="C775" s="88"/>
      <c r="D775" s="88"/>
      <c r="E775" s="93" t="str" cm="1">
        <f t="array" ref="E775">IF(D775&lt;&gt;"",IFERROR(VLOOKUP(D775,Codes!$K$2:$L$409,2,FALSE),"UNKNOWN - "&amp;D775),IF(C775="","",IFERROR(_xlfn.IFS(ISNUMBER(SEARCH("broken button",C775)),"Break",ISNUMBER(SEARCH("broken handle",C775)),"Break",ISNUMBER(SEARCH("shipping damage",C775)),"Break",ISNUMBER(SEARCH("broken",C775)),"Break",ISNUMBER(SEARCH("crack",C775)),"Break",ISNUMBER(SEARCH("snap",C775)),"Break",ISNUMBER(SEARCH("fracture",C775)),"Break",ISNUMBER(SEARCH("bent",C775)),"Material Twisted/Bent",ISNUMBER(SEARCH("twisted",C775)),"Material Twisted/Bent",ISNUMBER(SEARCH("component separat",C775)),"Material Separation",ISNUMBER(SEARCH("separat",C775)),"Material Separation",ISNUMBER(SEARCH("connection",C775)),"Loose or Intermittent Connection",ISNUMBER(SEARCH("loose",C775)),"Loose or Intermittent Connection",ISNUMBER(SEARCH("damaged packaging",C775)),"Packaging Problem",ISNUMBER(SEARCH("packaging",C775)),"Packaging Problem",ISNUMBER(SEARCH("discoloration",C775)),"Contamination",ISNUMBER(SEARCH("tarnish",C775)),"Contamination",ISNUMBER(SEARCH("stain",C775)),"Contamination",ISNUMBER(SEARCH("foreign material",C775)),"Contamination",ISNUMBER(SEARCH("contamina",C775)),"Contamination",ISNUMBER(SEARCH("overheat",C775)),"Overheating of Device",ISNUMBER(SEARCH("excessive heat",C775)),"Overheating of Device",ISNUMBER(SEARCH("hot",C775)),"Overheating of Device",ISNUMBER(SEARCH("noise",C775)),"Noise, Audible",ISNUMBER(SEARCH("sound",C775)),"Noise, Audible",ISNUMBER(SEARCH("loud",C775)),"Noise, Audible",ISNUMBER(SEARCH("fray",C775)),"Material Frayed",ISNUMBER(SEARCH("hole",C775)),"Material Frayed",ISNUMBER(SEARCH("tear",C775)),"Material Frayed",ISNUMBER(SEARCH("worn",C775)),"Material Frayed",ISNUMBER(SEARCH("intermittent",C775)),"Difficult or Delayed Activation",ISNUMBER(SEARCH("delay",C775)),"Difficult or Delayed Activation",ISNUMBER(SEARCH("label",C775)),"Device Markings/Labelling Problem",ISNUMBER(SEARCH("marking",C775)),"Device Markings/Labelling Problem",ISNUMBER(SEARCH("lacerat",C775)),"Defective Device",ISNUMBER(SEARCH("cut",C775)),"Defective Device",ISNUMBER(SEARCH("leak",C775)),"Fluid/Blood Leak",ISNUMBER(SEARCH("missing",C775)),"Component Missing",ISNUMBER(SEARCH("power",C775)),"Complete Loss of Power",ISNUMBER(SEARCH("will not turn on",C775)),"Complete Loss of Power",ISNUMBER(SEARCH("won't turn on",C775)),"Complete Loss of Power",ISNUMBER(SEARCH("does not turn on",C775)),"Complete Loss of Power",ISNUMBER(SEARCH("electrical",C775)),"Electrical Power Problem",ISNUMBER(SEARCH("pressure",C775)),"Detachment of Device or Device Component",ISNUMBER(SEARCH("slip",C775)),"Detachment of Device or Device Component",ISNUMBER(SEARCH("detach",C775)),"Detachment of Device or Device Component",ISNUMBER(SEARCH("stick",C775)),"Mechanical Jam",ISNUMBER(SEARCH("jam",C775)),"Mechanical Jam",ISNUMBER(SEARCH("rigid",C775)),"Mechanical Jam",ISNUMBER(SEARCH("rust",C775)),"Corroded",ISNUMBER(SEARCH("corrod",C775)),"Corroded",ISNUMBER(SEARCH("corrosion",C775)),"Corroded",ISNUMBER(SEARCH("alignment",C775)),"Defective Device",ISNUMBER(SEARCH("adjust",C775)),"Defective Device",ISNUMBER(SEARCH("perform",C775)),"Defective Device",ISNUMBER(SEARCH("malfunction",C775)),"Defective Device",ISNUMBER(SEARCH("defect",C775)),"Defective Device",ISNUMBER(SEARCH("fail",C775)),"Defective Device",ISNUMBER(SEARCH("not work",C775)),"Defective Device",ISNUMBER(SEARCH("doesn't work",C775)),"Defective Device",TRUE,"UNKNOWN"),"UNKNOWN")))</f>
        <v/>
      </c>
      <c r="F775" s="4" t="str">
        <f t="shared" si="13"/>
        <v/>
      </c>
      <c r="G775" s="363" t="str">
        <f>IF(E775="","",IFERROR(VLOOKUP(E775,Codes!$L$2:$N$409,3,FALSE),"—"))</f>
        <v/>
      </c>
      <c r="H775" s="88"/>
      <c r="I775" s="88"/>
    </row>
    <row r="776" spans="1:9" ht="13.15" x14ac:dyDescent="0.35">
      <c r="A776" s="92"/>
      <c r="B776" s="89"/>
      <c r="C776" s="88"/>
      <c r="D776" s="88"/>
      <c r="E776" s="93" t="str" cm="1">
        <f t="array" ref="E776">IF(D776&lt;&gt;"",IFERROR(VLOOKUP(D776,Codes!$K$2:$L$409,2,FALSE),"UNKNOWN - "&amp;D776),IF(C776="","",IFERROR(_xlfn.IFS(ISNUMBER(SEARCH("broken button",C776)),"Break",ISNUMBER(SEARCH("broken handle",C776)),"Break",ISNUMBER(SEARCH("shipping damage",C776)),"Break",ISNUMBER(SEARCH("broken",C776)),"Break",ISNUMBER(SEARCH("crack",C776)),"Break",ISNUMBER(SEARCH("snap",C776)),"Break",ISNUMBER(SEARCH("fracture",C776)),"Break",ISNUMBER(SEARCH("bent",C776)),"Material Twisted/Bent",ISNUMBER(SEARCH("twisted",C776)),"Material Twisted/Bent",ISNUMBER(SEARCH("component separat",C776)),"Material Separation",ISNUMBER(SEARCH("separat",C776)),"Material Separation",ISNUMBER(SEARCH("connection",C776)),"Loose or Intermittent Connection",ISNUMBER(SEARCH("loose",C776)),"Loose or Intermittent Connection",ISNUMBER(SEARCH("damaged packaging",C776)),"Packaging Problem",ISNUMBER(SEARCH("packaging",C776)),"Packaging Problem",ISNUMBER(SEARCH("discoloration",C776)),"Contamination",ISNUMBER(SEARCH("tarnish",C776)),"Contamination",ISNUMBER(SEARCH("stain",C776)),"Contamination",ISNUMBER(SEARCH("foreign material",C776)),"Contamination",ISNUMBER(SEARCH("contamina",C776)),"Contamination",ISNUMBER(SEARCH("overheat",C776)),"Overheating of Device",ISNUMBER(SEARCH("excessive heat",C776)),"Overheating of Device",ISNUMBER(SEARCH("hot",C776)),"Overheating of Device",ISNUMBER(SEARCH("noise",C776)),"Noise, Audible",ISNUMBER(SEARCH("sound",C776)),"Noise, Audible",ISNUMBER(SEARCH("loud",C776)),"Noise, Audible",ISNUMBER(SEARCH("fray",C776)),"Material Frayed",ISNUMBER(SEARCH("hole",C776)),"Material Frayed",ISNUMBER(SEARCH("tear",C776)),"Material Frayed",ISNUMBER(SEARCH("worn",C776)),"Material Frayed",ISNUMBER(SEARCH("intermittent",C776)),"Difficult or Delayed Activation",ISNUMBER(SEARCH("delay",C776)),"Difficult or Delayed Activation",ISNUMBER(SEARCH("label",C776)),"Device Markings/Labelling Problem",ISNUMBER(SEARCH("marking",C776)),"Device Markings/Labelling Problem",ISNUMBER(SEARCH("lacerat",C776)),"Defective Device",ISNUMBER(SEARCH("cut",C776)),"Defective Device",ISNUMBER(SEARCH("leak",C776)),"Fluid/Blood Leak",ISNUMBER(SEARCH("missing",C776)),"Component Missing",ISNUMBER(SEARCH("power",C776)),"Complete Loss of Power",ISNUMBER(SEARCH("will not turn on",C776)),"Complete Loss of Power",ISNUMBER(SEARCH("won't turn on",C776)),"Complete Loss of Power",ISNUMBER(SEARCH("does not turn on",C776)),"Complete Loss of Power",ISNUMBER(SEARCH("electrical",C776)),"Electrical Power Problem",ISNUMBER(SEARCH("pressure",C776)),"Detachment of Device or Device Component",ISNUMBER(SEARCH("slip",C776)),"Detachment of Device or Device Component",ISNUMBER(SEARCH("detach",C776)),"Detachment of Device or Device Component",ISNUMBER(SEARCH("stick",C776)),"Mechanical Jam",ISNUMBER(SEARCH("jam",C776)),"Mechanical Jam",ISNUMBER(SEARCH("rigid",C776)),"Mechanical Jam",ISNUMBER(SEARCH("rust",C776)),"Corroded",ISNUMBER(SEARCH("corrod",C776)),"Corroded",ISNUMBER(SEARCH("corrosion",C776)),"Corroded",ISNUMBER(SEARCH("alignment",C776)),"Defective Device",ISNUMBER(SEARCH("adjust",C776)),"Defective Device",ISNUMBER(SEARCH("perform",C776)),"Defective Device",ISNUMBER(SEARCH("malfunction",C776)),"Defective Device",ISNUMBER(SEARCH("defect",C776)),"Defective Device",ISNUMBER(SEARCH("fail",C776)),"Defective Device",ISNUMBER(SEARCH("not work",C776)),"Defective Device",ISNUMBER(SEARCH("doesn't work",C776)),"Defective Device",TRUE,"UNKNOWN"),"UNKNOWN")))</f>
        <v/>
      </c>
      <c r="F776" s="4" t="str">
        <f t="shared" si="13"/>
        <v/>
      </c>
      <c r="G776" s="363" t="str">
        <f>IF(E776="","",IFERROR(VLOOKUP(E776,Codes!$L$2:$N$409,3,FALSE),"—"))</f>
        <v/>
      </c>
      <c r="H776" s="88"/>
      <c r="I776" s="88"/>
    </row>
    <row r="777" spans="1:9" ht="13.15" x14ac:dyDescent="0.35">
      <c r="A777" s="92"/>
      <c r="B777" s="89"/>
      <c r="C777" s="88"/>
      <c r="D777" s="88"/>
      <c r="E777" s="93" t="str" cm="1">
        <f t="array" ref="E777">IF(D777&lt;&gt;"",IFERROR(VLOOKUP(D777,Codes!$K$2:$L$409,2,FALSE),"UNKNOWN - "&amp;D777),IF(C777="","",IFERROR(_xlfn.IFS(ISNUMBER(SEARCH("broken button",C777)),"Break",ISNUMBER(SEARCH("broken handle",C777)),"Break",ISNUMBER(SEARCH("shipping damage",C777)),"Break",ISNUMBER(SEARCH("broken",C777)),"Break",ISNUMBER(SEARCH("crack",C777)),"Break",ISNUMBER(SEARCH("snap",C777)),"Break",ISNUMBER(SEARCH("fracture",C777)),"Break",ISNUMBER(SEARCH("bent",C777)),"Material Twisted/Bent",ISNUMBER(SEARCH("twisted",C777)),"Material Twisted/Bent",ISNUMBER(SEARCH("component separat",C777)),"Material Separation",ISNUMBER(SEARCH("separat",C777)),"Material Separation",ISNUMBER(SEARCH("connection",C777)),"Loose or Intermittent Connection",ISNUMBER(SEARCH("loose",C777)),"Loose or Intermittent Connection",ISNUMBER(SEARCH("damaged packaging",C777)),"Packaging Problem",ISNUMBER(SEARCH("packaging",C777)),"Packaging Problem",ISNUMBER(SEARCH("discoloration",C777)),"Contamination",ISNUMBER(SEARCH("tarnish",C777)),"Contamination",ISNUMBER(SEARCH("stain",C777)),"Contamination",ISNUMBER(SEARCH("foreign material",C777)),"Contamination",ISNUMBER(SEARCH("contamina",C777)),"Contamination",ISNUMBER(SEARCH("overheat",C777)),"Overheating of Device",ISNUMBER(SEARCH("excessive heat",C777)),"Overheating of Device",ISNUMBER(SEARCH("hot",C777)),"Overheating of Device",ISNUMBER(SEARCH("noise",C777)),"Noise, Audible",ISNUMBER(SEARCH("sound",C777)),"Noise, Audible",ISNUMBER(SEARCH("loud",C777)),"Noise, Audible",ISNUMBER(SEARCH("fray",C777)),"Material Frayed",ISNUMBER(SEARCH("hole",C777)),"Material Frayed",ISNUMBER(SEARCH("tear",C777)),"Material Frayed",ISNUMBER(SEARCH("worn",C777)),"Material Frayed",ISNUMBER(SEARCH("intermittent",C777)),"Difficult or Delayed Activation",ISNUMBER(SEARCH("delay",C777)),"Difficult or Delayed Activation",ISNUMBER(SEARCH("label",C777)),"Device Markings/Labelling Problem",ISNUMBER(SEARCH("marking",C777)),"Device Markings/Labelling Problem",ISNUMBER(SEARCH("lacerat",C777)),"Defective Device",ISNUMBER(SEARCH("cut",C777)),"Defective Device",ISNUMBER(SEARCH("leak",C777)),"Fluid/Blood Leak",ISNUMBER(SEARCH("missing",C777)),"Component Missing",ISNUMBER(SEARCH("power",C777)),"Complete Loss of Power",ISNUMBER(SEARCH("will not turn on",C777)),"Complete Loss of Power",ISNUMBER(SEARCH("won't turn on",C777)),"Complete Loss of Power",ISNUMBER(SEARCH("does not turn on",C777)),"Complete Loss of Power",ISNUMBER(SEARCH("electrical",C777)),"Electrical Power Problem",ISNUMBER(SEARCH("pressure",C777)),"Detachment of Device or Device Component",ISNUMBER(SEARCH("slip",C777)),"Detachment of Device or Device Component",ISNUMBER(SEARCH("detach",C777)),"Detachment of Device or Device Component",ISNUMBER(SEARCH("stick",C777)),"Mechanical Jam",ISNUMBER(SEARCH("jam",C777)),"Mechanical Jam",ISNUMBER(SEARCH("rigid",C777)),"Mechanical Jam",ISNUMBER(SEARCH("rust",C777)),"Corroded",ISNUMBER(SEARCH("corrod",C777)),"Corroded",ISNUMBER(SEARCH("corrosion",C777)),"Corroded",ISNUMBER(SEARCH("alignment",C777)),"Defective Device",ISNUMBER(SEARCH("adjust",C777)),"Defective Device",ISNUMBER(SEARCH("perform",C777)),"Defective Device",ISNUMBER(SEARCH("malfunction",C777)),"Defective Device",ISNUMBER(SEARCH("defect",C777)),"Defective Device",ISNUMBER(SEARCH("fail",C777)),"Defective Device",ISNUMBER(SEARCH("not work",C777)),"Defective Device",ISNUMBER(SEARCH("doesn't work",C777)),"Defective Device",TRUE,"UNKNOWN"),"UNKNOWN")))</f>
        <v/>
      </c>
      <c r="F777" s="4" t="str">
        <f t="shared" si="13"/>
        <v/>
      </c>
      <c r="G777" s="363" t="str">
        <f>IF(E777="","",IFERROR(VLOOKUP(E777,Codes!$L$2:$N$409,3,FALSE),"—"))</f>
        <v/>
      </c>
      <c r="H777" s="88"/>
      <c r="I777" s="88"/>
    </row>
    <row r="778" spans="1:9" ht="13.15" x14ac:dyDescent="0.35">
      <c r="A778" s="92"/>
      <c r="B778" s="89"/>
      <c r="C778" s="88"/>
      <c r="D778" s="88"/>
      <c r="E778" s="93" t="str" cm="1">
        <f t="array" ref="E778">IF(D778&lt;&gt;"",IFERROR(VLOOKUP(D778,Codes!$K$2:$L$409,2,FALSE),"UNKNOWN - "&amp;D778),IF(C778="","",IFERROR(_xlfn.IFS(ISNUMBER(SEARCH("broken button",C778)),"Break",ISNUMBER(SEARCH("broken handle",C778)),"Break",ISNUMBER(SEARCH("shipping damage",C778)),"Break",ISNUMBER(SEARCH("broken",C778)),"Break",ISNUMBER(SEARCH("crack",C778)),"Break",ISNUMBER(SEARCH("snap",C778)),"Break",ISNUMBER(SEARCH("fracture",C778)),"Break",ISNUMBER(SEARCH("bent",C778)),"Material Twisted/Bent",ISNUMBER(SEARCH("twisted",C778)),"Material Twisted/Bent",ISNUMBER(SEARCH("component separat",C778)),"Material Separation",ISNUMBER(SEARCH("separat",C778)),"Material Separation",ISNUMBER(SEARCH("connection",C778)),"Loose or Intermittent Connection",ISNUMBER(SEARCH("loose",C778)),"Loose or Intermittent Connection",ISNUMBER(SEARCH("damaged packaging",C778)),"Packaging Problem",ISNUMBER(SEARCH("packaging",C778)),"Packaging Problem",ISNUMBER(SEARCH("discoloration",C778)),"Contamination",ISNUMBER(SEARCH("tarnish",C778)),"Contamination",ISNUMBER(SEARCH("stain",C778)),"Contamination",ISNUMBER(SEARCH("foreign material",C778)),"Contamination",ISNUMBER(SEARCH("contamina",C778)),"Contamination",ISNUMBER(SEARCH("overheat",C778)),"Overheating of Device",ISNUMBER(SEARCH("excessive heat",C778)),"Overheating of Device",ISNUMBER(SEARCH("hot",C778)),"Overheating of Device",ISNUMBER(SEARCH("noise",C778)),"Noise, Audible",ISNUMBER(SEARCH("sound",C778)),"Noise, Audible",ISNUMBER(SEARCH("loud",C778)),"Noise, Audible",ISNUMBER(SEARCH("fray",C778)),"Material Frayed",ISNUMBER(SEARCH("hole",C778)),"Material Frayed",ISNUMBER(SEARCH("tear",C778)),"Material Frayed",ISNUMBER(SEARCH("worn",C778)),"Material Frayed",ISNUMBER(SEARCH("intermittent",C778)),"Difficult or Delayed Activation",ISNUMBER(SEARCH("delay",C778)),"Difficult or Delayed Activation",ISNUMBER(SEARCH("label",C778)),"Device Markings/Labelling Problem",ISNUMBER(SEARCH("marking",C778)),"Device Markings/Labelling Problem",ISNUMBER(SEARCH("lacerat",C778)),"Defective Device",ISNUMBER(SEARCH("cut",C778)),"Defective Device",ISNUMBER(SEARCH("leak",C778)),"Fluid/Blood Leak",ISNUMBER(SEARCH("missing",C778)),"Component Missing",ISNUMBER(SEARCH("power",C778)),"Complete Loss of Power",ISNUMBER(SEARCH("will not turn on",C778)),"Complete Loss of Power",ISNUMBER(SEARCH("won't turn on",C778)),"Complete Loss of Power",ISNUMBER(SEARCH("does not turn on",C778)),"Complete Loss of Power",ISNUMBER(SEARCH("electrical",C778)),"Electrical Power Problem",ISNUMBER(SEARCH("pressure",C778)),"Detachment of Device or Device Component",ISNUMBER(SEARCH("slip",C778)),"Detachment of Device or Device Component",ISNUMBER(SEARCH("detach",C778)),"Detachment of Device or Device Component",ISNUMBER(SEARCH("stick",C778)),"Mechanical Jam",ISNUMBER(SEARCH("jam",C778)),"Mechanical Jam",ISNUMBER(SEARCH("rigid",C778)),"Mechanical Jam",ISNUMBER(SEARCH("rust",C778)),"Corroded",ISNUMBER(SEARCH("corrod",C778)),"Corroded",ISNUMBER(SEARCH("corrosion",C778)),"Corroded",ISNUMBER(SEARCH("alignment",C778)),"Defective Device",ISNUMBER(SEARCH("adjust",C778)),"Defective Device",ISNUMBER(SEARCH("perform",C778)),"Defective Device",ISNUMBER(SEARCH("malfunction",C778)),"Defective Device",ISNUMBER(SEARCH("defect",C778)),"Defective Device",ISNUMBER(SEARCH("fail",C778)),"Defective Device",ISNUMBER(SEARCH("not work",C778)),"Defective Device",ISNUMBER(SEARCH("doesn't work",C778)),"Defective Device",TRUE,"UNKNOWN"),"UNKNOWN")))</f>
        <v/>
      </c>
      <c r="F778" s="4" t="str">
        <f t="shared" si="13"/>
        <v/>
      </c>
      <c r="G778" s="363" t="str">
        <f>IF(E778="","",IFERROR(VLOOKUP(E778,Codes!$L$2:$N$409,3,FALSE),"—"))</f>
        <v/>
      </c>
      <c r="H778" s="88"/>
      <c r="I778" s="88"/>
    </row>
    <row r="779" spans="1:9" ht="13.15" x14ac:dyDescent="0.35">
      <c r="A779" s="92"/>
      <c r="B779" s="89"/>
      <c r="C779" s="88"/>
      <c r="D779" s="88"/>
      <c r="E779" s="93" t="str" cm="1">
        <f t="array" ref="E779">IF(D779&lt;&gt;"",IFERROR(VLOOKUP(D779,Codes!$K$2:$L$409,2,FALSE),"UNKNOWN - "&amp;D779),IF(C779="","",IFERROR(_xlfn.IFS(ISNUMBER(SEARCH("broken button",C779)),"Break",ISNUMBER(SEARCH("broken handle",C779)),"Break",ISNUMBER(SEARCH("shipping damage",C779)),"Break",ISNUMBER(SEARCH("broken",C779)),"Break",ISNUMBER(SEARCH("crack",C779)),"Break",ISNUMBER(SEARCH("snap",C779)),"Break",ISNUMBER(SEARCH("fracture",C779)),"Break",ISNUMBER(SEARCH("bent",C779)),"Material Twisted/Bent",ISNUMBER(SEARCH("twisted",C779)),"Material Twisted/Bent",ISNUMBER(SEARCH("component separat",C779)),"Material Separation",ISNUMBER(SEARCH("separat",C779)),"Material Separation",ISNUMBER(SEARCH("connection",C779)),"Loose or Intermittent Connection",ISNUMBER(SEARCH("loose",C779)),"Loose or Intermittent Connection",ISNUMBER(SEARCH("damaged packaging",C779)),"Packaging Problem",ISNUMBER(SEARCH("packaging",C779)),"Packaging Problem",ISNUMBER(SEARCH("discoloration",C779)),"Contamination",ISNUMBER(SEARCH("tarnish",C779)),"Contamination",ISNUMBER(SEARCH("stain",C779)),"Contamination",ISNUMBER(SEARCH("foreign material",C779)),"Contamination",ISNUMBER(SEARCH("contamina",C779)),"Contamination",ISNUMBER(SEARCH("overheat",C779)),"Overheating of Device",ISNUMBER(SEARCH("excessive heat",C779)),"Overheating of Device",ISNUMBER(SEARCH("hot",C779)),"Overheating of Device",ISNUMBER(SEARCH("noise",C779)),"Noise, Audible",ISNUMBER(SEARCH("sound",C779)),"Noise, Audible",ISNUMBER(SEARCH("loud",C779)),"Noise, Audible",ISNUMBER(SEARCH("fray",C779)),"Material Frayed",ISNUMBER(SEARCH("hole",C779)),"Material Frayed",ISNUMBER(SEARCH("tear",C779)),"Material Frayed",ISNUMBER(SEARCH("worn",C779)),"Material Frayed",ISNUMBER(SEARCH("intermittent",C779)),"Difficult or Delayed Activation",ISNUMBER(SEARCH("delay",C779)),"Difficult or Delayed Activation",ISNUMBER(SEARCH("label",C779)),"Device Markings/Labelling Problem",ISNUMBER(SEARCH("marking",C779)),"Device Markings/Labelling Problem",ISNUMBER(SEARCH("lacerat",C779)),"Defective Device",ISNUMBER(SEARCH("cut",C779)),"Defective Device",ISNUMBER(SEARCH("leak",C779)),"Fluid/Blood Leak",ISNUMBER(SEARCH("missing",C779)),"Component Missing",ISNUMBER(SEARCH("power",C779)),"Complete Loss of Power",ISNUMBER(SEARCH("will not turn on",C779)),"Complete Loss of Power",ISNUMBER(SEARCH("won't turn on",C779)),"Complete Loss of Power",ISNUMBER(SEARCH("does not turn on",C779)),"Complete Loss of Power",ISNUMBER(SEARCH("electrical",C779)),"Electrical Power Problem",ISNUMBER(SEARCH("pressure",C779)),"Detachment of Device or Device Component",ISNUMBER(SEARCH("slip",C779)),"Detachment of Device or Device Component",ISNUMBER(SEARCH("detach",C779)),"Detachment of Device or Device Component",ISNUMBER(SEARCH("stick",C779)),"Mechanical Jam",ISNUMBER(SEARCH("jam",C779)),"Mechanical Jam",ISNUMBER(SEARCH("rigid",C779)),"Mechanical Jam",ISNUMBER(SEARCH("rust",C779)),"Corroded",ISNUMBER(SEARCH("corrod",C779)),"Corroded",ISNUMBER(SEARCH("corrosion",C779)),"Corroded",ISNUMBER(SEARCH("alignment",C779)),"Defective Device",ISNUMBER(SEARCH("adjust",C779)),"Defective Device",ISNUMBER(SEARCH("perform",C779)),"Defective Device",ISNUMBER(SEARCH("malfunction",C779)),"Defective Device",ISNUMBER(SEARCH("defect",C779)),"Defective Device",ISNUMBER(SEARCH("fail",C779)),"Defective Device",ISNUMBER(SEARCH("not work",C779)),"Defective Device",ISNUMBER(SEARCH("doesn't work",C779)),"Defective Device",TRUE,"UNKNOWN"),"UNKNOWN")))</f>
        <v/>
      </c>
      <c r="F779" s="4" t="str">
        <f t="shared" si="13"/>
        <v/>
      </c>
      <c r="G779" s="363" t="str">
        <f>IF(E779="","",IFERROR(VLOOKUP(E779,Codes!$L$2:$N$409,3,FALSE),"—"))</f>
        <v/>
      </c>
      <c r="H779" s="88"/>
      <c r="I779" s="88"/>
    </row>
    <row r="780" spans="1:9" ht="13.15" x14ac:dyDescent="0.35">
      <c r="A780" s="92"/>
      <c r="B780" s="89"/>
      <c r="C780" s="88"/>
      <c r="D780" s="88"/>
      <c r="E780" s="93" t="str" cm="1">
        <f t="array" ref="E780">IF(D780&lt;&gt;"",IFERROR(VLOOKUP(D780,Codes!$K$2:$L$409,2,FALSE),"UNKNOWN - "&amp;D780),IF(C780="","",IFERROR(_xlfn.IFS(ISNUMBER(SEARCH("broken button",C780)),"Break",ISNUMBER(SEARCH("broken handle",C780)),"Break",ISNUMBER(SEARCH("shipping damage",C780)),"Break",ISNUMBER(SEARCH("broken",C780)),"Break",ISNUMBER(SEARCH("crack",C780)),"Break",ISNUMBER(SEARCH("snap",C780)),"Break",ISNUMBER(SEARCH("fracture",C780)),"Break",ISNUMBER(SEARCH("bent",C780)),"Material Twisted/Bent",ISNUMBER(SEARCH("twisted",C780)),"Material Twisted/Bent",ISNUMBER(SEARCH("component separat",C780)),"Material Separation",ISNUMBER(SEARCH("separat",C780)),"Material Separation",ISNUMBER(SEARCH("connection",C780)),"Loose or Intermittent Connection",ISNUMBER(SEARCH("loose",C780)),"Loose or Intermittent Connection",ISNUMBER(SEARCH("damaged packaging",C780)),"Packaging Problem",ISNUMBER(SEARCH("packaging",C780)),"Packaging Problem",ISNUMBER(SEARCH("discoloration",C780)),"Contamination",ISNUMBER(SEARCH("tarnish",C780)),"Contamination",ISNUMBER(SEARCH("stain",C780)),"Contamination",ISNUMBER(SEARCH("foreign material",C780)),"Contamination",ISNUMBER(SEARCH("contamina",C780)),"Contamination",ISNUMBER(SEARCH("overheat",C780)),"Overheating of Device",ISNUMBER(SEARCH("excessive heat",C780)),"Overheating of Device",ISNUMBER(SEARCH("hot",C780)),"Overheating of Device",ISNUMBER(SEARCH("noise",C780)),"Noise, Audible",ISNUMBER(SEARCH("sound",C780)),"Noise, Audible",ISNUMBER(SEARCH("loud",C780)),"Noise, Audible",ISNUMBER(SEARCH("fray",C780)),"Material Frayed",ISNUMBER(SEARCH("hole",C780)),"Material Frayed",ISNUMBER(SEARCH("tear",C780)),"Material Frayed",ISNUMBER(SEARCH("worn",C780)),"Material Frayed",ISNUMBER(SEARCH("intermittent",C780)),"Difficult or Delayed Activation",ISNUMBER(SEARCH("delay",C780)),"Difficult or Delayed Activation",ISNUMBER(SEARCH("label",C780)),"Device Markings/Labelling Problem",ISNUMBER(SEARCH("marking",C780)),"Device Markings/Labelling Problem",ISNUMBER(SEARCH("lacerat",C780)),"Defective Device",ISNUMBER(SEARCH("cut",C780)),"Defective Device",ISNUMBER(SEARCH("leak",C780)),"Fluid/Blood Leak",ISNUMBER(SEARCH("missing",C780)),"Component Missing",ISNUMBER(SEARCH("power",C780)),"Complete Loss of Power",ISNUMBER(SEARCH("will not turn on",C780)),"Complete Loss of Power",ISNUMBER(SEARCH("won't turn on",C780)),"Complete Loss of Power",ISNUMBER(SEARCH("does not turn on",C780)),"Complete Loss of Power",ISNUMBER(SEARCH("electrical",C780)),"Electrical Power Problem",ISNUMBER(SEARCH("pressure",C780)),"Detachment of Device or Device Component",ISNUMBER(SEARCH("slip",C780)),"Detachment of Device or Device Component",ISNUMBER(SEARCH("detach",C780)),"Detachment of Device or Device Component",ISNUMBER(SEARCH("stick",C780)),"Mechanical Jam",ISNUMBER(SEARCH("jam",C780)),"Mechanical Jam",ISNUMBER(SEARCH("rigid",C780)),"Mechanical Jam",ISNUMBER(SEARCH("rust",C780)),"Corroded",ISNUMBER(SEARCH("corrod",C780)),"Corroded",ISNUMBER(SEARCH("corrosion",C780)),"Corroded",ISNUMBER(SEARCH("alignment",C780)),"Defective Device",ISNUMBER(SEARCH("adjust",C780)),"Defective Device",ISNUMBER(SEARCH("perform",C780)),"Defective Device",ISNUMBER(SEARCH("malfunction",C780)),"Defective Device",ISNUMBER(SEARCH("defect",C780)),"Defective Device",ISNUMBER(SEARCH("fail",C780)),"Defective Device",ISNUMBER(SEARCH("not work",C780)),"Defective Device",ISNUMBER(SEARCH("doesn't work",C780)),"Defective Device",TRUE,"UNKNOWN"),"UNKNOWN")))</f>
        <v/>
      </c>
      <c r="F780" s="4" t="str">
        <f t="shared" si="13"/>
        <v/>
      </c>
      <c r="G780" s="363" t="str">
        <f>IF(E780="","",IFERROR(VLOOKUP(E780,Codes!$L$2:$N$409,3,FALSE),"—"))</f>
        <v/>
      </c>
      <c r="H780" s="88"/>
      <c r="I780" s="88"/>
    </row>
    <row r="781" spans="1:9" ht="13.15" x14ac:dyDescent="0.35">
      <c r="A781" s="92"/>
      <c r="B781" s="89"/>
      <c r="C781" s="88"/>
      <c r="D781" s="88"/>
      <c r="E781" s="93" t="str" cm="1">
        <f t="array" ref="E781">IF(D781&lt;&gt;"",IFERROR(VLOOKUP(D781,Codes!$K$2:$L$409,2,FALSE),"UNKNOWN - "&amp;D781),IF(C781="","",IFERROR(_xlfn.IFS(ISNUMBER(SEARCH("broken button",C781)),"Break",ISNUMBER(SEARCH("broken handle",C781)),"Break",ISNUMBER(SEARCH("shipping damage",C781)),"Break",ISNUMBER(SEARCH("broken",C781)),"Break",ISNUMBER(SEARCH("crack",C781)),"Break",ISNUMBER(SEARCH("snap",C781)),"Break",ISNUMBER(SEARCH("fracture",C781)),"Break",ISNUMBER(SEARCH("bent",C781)),"Material Twisted/Bent",ISNUMBER(SEARCH("twisted",C781)),"Material Twisted/Bent",ISNUMBER(SEARCH("component separat",C781)),"Material Separation",ISNUMBER(SEARCH("separat",C781)),"Material Separation",ISNUMBER(SEARCH("connection",C781)),"Loose or Intermittent Connection",ISNUMBER(SEARCH("loose",C781)),"Loose or Intermittent Connection",ISNUMBER(SEARCH("damaged packaging",C781)),"Packaging Problem",ISNUMBER(SEARCH("packaging",C781)),"Packaging Problem",ISNUMBER(SEARCH("discoloration",C781)),"Contamination",ISNUMBER(SEARCH("tarnish",C781)),"Contamination",ISNUMBER(SEARCH("stain",C781)),"Contamination",ISNUMBER(SEARCH("foreign material",C781)),"Contamination",ISNUMBER(SEARCH("contamina",C781)),"Contamination",ISNUMBER(SEARCH("overheat",C781)),"Overheating of Device",ISNUMBER(SEARCH("excessive heat",C781)),"Overheating of Device",ISNUMBER(SEARCH("hot",C781)),"Overheating of Device",ISNUMBER(SEARCH("noise",C781)),"Noise, Audible",ISNUMBER(SEARCH("sound",C781)),"Noise, Audible",ISNUMBER(SEARCH("loud",C781)),"Noise, Audible",ISNUMBER(SEARCH("fray",C781)),"Material Frayed",ISNUMBER(SEARCH("hole",C781)),"Material Frayed",ISNUMBER(SEARCH("tear",C781)),"Material Frayed",ISNUMBER(SEARCH("worn",C781)),"Material Frayed",ISNUMBER(SEARCH("intermittent",C781)),"Difficult or Delayed Activation",ISNUMBER(SEARCH("delay",C781)),"Difficult or Delayed Activation",ISNUMBER(SEARCH("label",C781)),"Device Markings/Labelling Problem",ISNUMBER(SEARCH("marking",C781)),"Device Markings/Labelling Problem",ISNUMBER(SEARCH("lacerat",C781)),"Defective Device",ISNUMBER(SEARCH("cut",C781)),"Defective Device",ISNUMBER(SEARCH("leak",C781)),"Fluid/Blood Leak",ISNUMBER(SEARCH("missing",C781)),"Component Missing",ISNUMBER(SEARCH("power",C781)),"Complete Loss of Power",ISNUMBER(SEARCH("will not turn on",C781)),"Complete Loss of Power",ISNUMBER(SEARCH("won't turn on",C781)),"Complete Loss of Power",ISNUMBER(SEARCH("does not turn on",C781)),"Complete Loss of Power",ISNUMBER(SEARCH("electrical",C781)),"Electrical Power Problem",ISNUMBER(SEARCH("pressure",C781)),"Detachment of Device or Device Component",ISNUMBER(SEARCH("slip",C781)),"Detachment of Device or Device Component",ISNUMBER(SEARCH("detach",C781)),"Detachment of Device or Device Component",ISNUMBER(SEARCH("stick",C781)),"Mechanical Jam",ISNUMBER(SEARCH("jam",C781)),"Mechanical Jam",ISNUMBER(SEARCH("rigid",C781)),"Mechanical Jam",ISNUMBER(SEARCH("rust",C781)),"Corroded",ISNUMBER(SEARCH("corrod",C781)),"Corroded",ISNUMBER(SEARCH("corrosion",C781)),"Corroded",ISNUMBER(SEARCH("alignment",C781)),"Defective Device",ISNUMBER(SEARCH("adjust",C781)),"Defective Device",ISNUMBER(SEARCH("perform",C781)),"Defective Device",ISNUMBER(SEARCH("malfunction",C781)),"Defective Device",ISNUMBER(SEARCH("defect",C781)),"Defective Device",ISNUMBER(SEARCH("fail",C781)),"Defective Device",ISNUMBER(SEARCH("not work",C781)),"Defective Device",ISNUMBER(SEARCH("doesn't work",C781)),"Defective Device",TRUE,"UNKNOWN"),"UNKNOWN")))</f>
        <v/>
      </c>
      <c r="F781" s="4" t="str">
        <f t="shared" si="13"/>
        <v/>
      </c>
      <c r="G781" s="363" t="str">
        <f>IF(E781="","",IFERROR(VLOOKUP(E781,Codes!$L$2:$N$409,3,FALSE),"—"))</f>
        <v/>
      </c>
      <c r="H781" s="88"/>
      <c r="I781" s="88"/>
    </row>
    <row r="782" spans="1:9" ht="13.15" x14ac:dyDescent="0.35">
      <c r="A782" s="92"/>
      <c r="B782" s="89"/>
      <c r="C782" s="88"/>
      <c r="D782" s="88"/>
      <c r="E782" s="93" t="str" cm="1">
        <f t="array" ref="E782">IF(D782&lt;&gt;"",IFERROR(VLOOKUP(D782,Codes!$K$2:$L$409,2,FALSE),"UNKNOWN - "&amp;D782),IF(C782="","",IFERROR(_xlfn.IFS(ISNUMBER(SEARCH("broken button",C782)),"Break",ISNUMBER(SEARCH("broken handle",C782)),"Break",ISNUMBER(SEARCH("shipping damage",C782)),"Break",ISNUMBER(SEARCH("broken",C782)),"Break",ISNUMBER(SEARCH("crack",C782)),"Break",ISNUMBER(SEARCH("snap",C782)),"Break",ISNUMBER(SEARCH("fracture",C782)),"Break",ISNUMBER(SEARCH("bent",C782)),"Material Twisted/Bent",ISNUMBER(SEARCH("twisted",C782)),"Material Twisted/Bent",ISNUMBER(SEARCH("component separat",C782)),"Material Separation",ISNUMBER(SEARCH("separat",C782)),"Material Separation",ISNUMBER(SEARCH("connection",C782)),"Loose or Intermittent Connection",ISNUMBER(SEARCH("loose",C782)),"Loose or Intermittent Connection",ISNUMBER(SEARCH("damaged packaging",C782)),"Packaging Problem",ISNUMBER(SEARCH("packaging",C782)),"Packaging Problem",ISNUMBER(SEARCH("discoloration",C782)),"Contamination",ISNUMBER(SEARCH("tarnish",C782)),"Contamination",ISNUMBER(SEARCH("stain",C782)),"Contamination",ISNUMBER(SEARCH("foreign material",C782)),"Contamination",ISNUMBER(SEARCH("contamina",C782)),"Contamination",ISNUMBER(SEARCH("overheat",C782)),"Overheating of Device",ISNUMBER(SEARCH("excessive heat",C782)),"Overheating of Device",ISNUMBER(SEARCH("hot",C782)),"Overheating of Device",ISNUMBER(SEARCH("noise",C782)),"Noise, Audible",ISNUMBER(SEARCH("sound",C782)),"Noise, Audible",ISNUMBER(SEARCH("loud",C782)),"Noise, Audible",ISNUMBER(SEARCH("fray",C782)),"Material Frayed",ISNUMBER(SEARCH("hole",C782)),"Material Frayed",ISNUMBER(SEARCH("tear",C782)),"Material Frayed",ISNUMBER(SEARCH("worn",C782)),"Material Frayed",ISNUMBER(SEARCH("intermittent",C782)),"Difficult or Delayed Activation",ISNUMBER(SEARCH("delay",C782)),"Difficult or Delayed Activation",ISNUMBER(SEARCH("label",C782)),"Device Markings/Labelling Problem",ISNUMBER(SEARCH("marking",C782)),"Device Markings/Labelling Problem",ISNUMBER(SEARCH("lacerat",C782)),"Defective Device",ISNUMBER(SEARCH("cut",C782)),"Defective Device",ISNUMBER(SEARCH("leak",C782)),"Fluid/Blood Leak",ISNUMBER(SEARCH("missing",C782)),"Component Missing",ISNUMBER(SEARCH("power",C782)),"Complete Loss of Power",ISNUMBER(SEARCH("will not turn on",C782)),"Complete Loss of Power",ISNUMBER(SEARCH("won't turn on",C782)),"Complete Loss of Power",ISNUMBER(SEARCH("does not turn on",C782)),"Complete Loss of Power",ISNUMBER(SEARCH("electrical",C782)),"Electrical Power Problem",ISNUMBER(SEARCH("pressure",C782)),"Detachment of Device or Device Component",ISNUMBER(SEARCH("slip",C782)),"Detachment of Device or Device Component",ISNUMBER(SEARCH("detach",C782)),"Detachment of Device or Device Component",ISNUMBER(SEARCH("stick",C782)),"Mechanical Jam",ISNUMBER(SEARCH("jam",C782)),"Mechanical Jam",ISNUMBER(SEARCH("rigid",C782)),"Mechanical Jam",ISNUMBER(SEARCH("rust",C782)),"Corroded",ISNUMBER(SEARCH("corrod",C782)),"Corroded",ISNUMBER(SEARCH("corrosion",C782)),"Corroded",ISNUMBER(SEARCH("alignment",C782)),"Defective Device",ISNUMBER(SEARCH("adjust",C782)),"Defective Device",ISNUMBER(SEARCH("perform",C782)),"Defective Device",ISNUMBER(SEARCH("malfunction",C782)),"Defective Device",ISNUMBER(SEARCH("defect",C782)),"Defective Device",ISNUMBER(SEARCH("fail",C782)),"Defective Device",ISNUMBER(SEARCH("not work",C782)),"Defective Device",ISNUMBER(SEARCH("doesn't work",C782)),"Defective Device",TRUE,"UNKNOWN"),"UNKNOWN")))</f>
        <v/>
      </c>
      <c r="F782" s="4" t="str">
        <f t="shared" si="13"/>
        <v/>
      </c>
      <c r="G782" s="363" t="str">
        <f>IF(E782="","",IFERROR(VLOOKUP(E782,Codes!$L$2:$N$409,3,FALSE),"—"))</f>
        <v/>
      </c>
      <c r="H782" s="88"/>
      <c r="I782" s="88"/>
    </row>
    <row r="783" spans="1:9" ht="13.15" x14ac:dyDescent="0.35">
      <c r="A783" s="92"/>
      <c r="B783" s="89"/>
      <c r="C783" s="88"/>
      <c r="D783" s="88"/>
      <c r="E783" s="93" t="str" cm="1">
        <f t="array" ref="E783">IF(D783&lt;&gt;"",IFERROR(VLOOKUP(D783,Codes!$K$2:$L$409,2,FALSE),"UNKNOWN - "&amp;D783),IF(C783="","",IFERROR(_xlfn.IFS(ISNUMBER(SEARCH("broken button",C783)),"Break",ISNUMBER(SEARCH("broken handle",C783)),"Break",ISNUMBER(SEARCH("shipping damage",C783)),"Break",ISNUMBER(SEARCH("broken",C783)),"Break",ISNUMBER(SEARCH("crack",C783)),"Break",ISNUMBER(SEARCH("snap",C783)),"Break",ISNUMBER(SEARCH("fracture",C783)),"Break",ISNUMBER(SEARCH("bent",C783)),"Material Twisted/Bent",ISNUMBER(SEARCH("twisted",C783)),"Material Twisted/Bent",ISNUMBER(SEARCH("component separat",C783)),"Material Separation",ISNUMBER(SEARCH("separat",C783)),"Material Separation",ISNUMBER(SEARCH("connection",C783)),"Loose or Intermittent Connection",ISNUMBER(SEARCH("loose",C783)),"Loose or Intermittent Connection",ISNUMBER(SEARCH("damaged packaging",C783)),"Packaging Problem",ISNUMBER(SEARCH("packaging",C783)),"Packaging Problem",ISNUMBER(SEARCH("discoloration",C783)),"Contamination",ISNUMBER(SEARCH("tarnish",C783)),"Contamination",ISNUMBER(SEARCH("stain",C783)),"Contamination",ISNUMBER(SEARCH("foreign material",C783)),"Contamination",ISNUMBER(SEARCH("contamina",C783)),"Contamination",ISNUMBER(SEARCH("overheat",C783)),"Overheating of Device",ISNUMBER(SEARCH("excessive heat",C783)),"Overheating of Device",ISNUMBER(SEARCH("hot",C783)),"Overheating of Device",ISNUMBER(SEARCH("noise",C783)),"Noise, Audible",ISNUMBER(SEARCH("sound",C783)),"Noise, Audible",ISNUMBER(SEARCH("loud",C783)),"Noise, Audible",ISNUMBER(SEARCH("fray",C783)),"Material Frayed",ISNUMBER(SEARCH("hole",C783)),"Material Frayed",ISNUMBER(SEARCH("tear",C783)),"Material Frayed",ISNUMBER(SEARCH("worn",C783)),"Material Frayed",ISNUMBER(SEARCH("intermittent",C783)),"Difficult or Delayed Activation",ISNUMBER(SEARCH("delay",C783)),"Difficult or Delayed Activation",ISNUMBER(SEARCH("label",C783)),"Device Markings/Labelling Problem",ISNUMBER(SEARCH("marking",C783)),"Device Markings/Labelling Problem",ISNUMBER(SEARCH("lacerat",C783)),"Defective Device",ISNUMBER(SEARCH("cut",C783)),"Defective Device",ISNUMBER(SEARCH("leak",C783)),"Fluid/Blood Leak",ISNUMBER(SEARCH("missing",C783)),"Component Missing",ISNUMBER(SEARCH("power",C783)),"Complete Loss of Power",ISNUMBER(SEARCH("will not turn on",C783)),"Complete Loss of Power",ISNUMBER(SEARCH("won't turn on",C783)),"Complete Loss of Power",ISNUMBER(SEARCH("does not turn on",C783)),"Complete Loss of Power",ISNUMBER(SEARCH("electrical",C783)),"Electrical Power Problem",ISNUMBER(SEARCH("pressure",C783)),"Detachment of Device or Device Component",ISNUMBER(SEARCH("slip",C783)),"Detachment of Device or Device Component",ISNUMBER(SEARCH("detach",C783)),"Detachment of Device or Device Component",ISNUMBER(SEARCH("stick",C783)),"Mechanical Jam",ISNUMBER(SEARCH("jam",C783)),"Mechanical Jam",ISNUMBER(SEARCH("rigid",C783)),"Mechanical Jam",ISNUMBER(SEARCH("rust",C783)),"Corroded",ISNUMBER(SEARCH("corrod",C783)),"Corroded",ISNUMBER(SEARCH("corrosion",C783)),"Corroded",ISNUMBER(SEARCH("alignment",C783)),"Defective Device",ISNUMBER(SEARCH("adjust",C783)),"Defective Device",ISNUMBER(SEARCH("perform",C783)),"Defective Device",ISNUMBER(SEARCH("malfunction",C783)),"Defective Device",ISNUMBER(SEARCH("defect",C783)),"Defective Device",ISNUMBER(SEARCH("fail",C783)),"Defective Device",ISNUMBER(SEARCH("not work",C783)),"Defective Device",ISNUMBER(SEARCH("doesn't work",C783)),"Defective Device",TRUE,"UNKNOWN"),"UNKNOWN")))</f>
        <v/>
      </c>
      <c r="F783" s="4" t="str">
        <f t="shared" si="13"/>
        <v/>
      </c>
      <c r="G783" s="363" t="str">
        <f>IF(E783="","",IFERROR(VLOOKUP(E783,Codes!$L$2:$N$409,3,FALSE),"—"))</f>
        <v/>
      </c>
      <c r="H783" s="88"/>
      <c r="I783" s="88"/>
    </row>
    <row r="784" spans="1:9" ht="13.15" x14ac:dyDescent="0.35">
      <c r="A784" s="92"/>
      <c r="B784" s="89"/>
      <c r="C784" s="88"/>
      <c r="D784" s="88"/>
      <c r="E784" s="93" t="str" cm="1">
        <f t="array" ref="E784">IF(D784&lt;&gt;"",IFERROR(VLOOKUP(D784,Codes!$K$2:$L$409,2,FALSE),"UNKNOWN - "&amp;D784),IF(C784="","",IFERROR(_xlfn.IFS(ISNUMBER(SEARCH("broken button",C784)),"Break",ISNUMBER(SEARCH("broken handle",C784)),"Break",ISNUMBER(SEARCH("shipping damage",C784)),"Break",ISNUMBER(SEARCH("broken",C784)),"Break",ISNUMBER(SEARCH("crack",C784)),"Break",ISNUMBER(SEARCH("snap",C784)),"Break",ISNUMBER(SEARCH("fracture",C784)),"Break",ISNUMBER(SEARCH("bent",C784)),"Material Twisted/Bent",ISNUMBER(SEARCH("twisted",C784)),"Material Twisted/Bent",ISNUMBER(SEARCH("component separat",C784)),"Material Separation",ISNUMBER(SEARCH("separat",C784)),"Material Separation",ISNUMBER(SEARCH("connection",C784)),"Loose or Intermittent Connection",ISNUMBER(SEARCH("loose",C784)),"Loose or Intermittent Connection",ISNUMBER(SEARCH("damaged packaging",C784)),"Packaging Problem",ISNUMBER(SEARCH("packaging",C784)),"Packaging Problem",ISNUMBER(SEARCH("discoloration",C784)),"Contamination",ISNUMBER(SEARCH("tarnish",C784)),"Contamination",ISNUMBER(SEARCH("stain",C784)),"Contamination",ISNUMBER(SEARCH("foreign material",C784)),"Contamination",ISNUMBER(SEARCH("contamina",C784)),"Contamination",ISNUMBER(SEARCH("overheat",C784)),"Overheating of Device",ISNUMBER(SEARCH("excessive heat",C784)),"Overheating of Device",ISNUMBER(SEARCH("hot",C784)),"Overheating of Device",ISNUMBER(SEARCH("noise",C784)),"Noise, Audible",ISNUMBER(SEARCH("sound",C784)),"Noise, Audible",ISNUMBER(SEARCH("loud",C784)),"Noise, Audible",ISNUMBER(SEARCH("fray",C784)),"Material Frayed",ISNUMBER(SEARCH("hole",C784)),"Material Frayed",ISNUMBER(SEARCH("tear",C784)),"Material Frayed",ISNUMBER(SEARCH("worn",C784)),"Material Frayed",ISNUMBER(SEARCH("intermittent",C784)),"Difficult or Delayed Activation",ISNUMBER(SEARCH("delay",C784)),"Difficult or Delayed Activation",ISNUMBER(SEARCH("label",C784)),"Device Markings/Labelling Problem",ISNUMBER(SEARCH("marking",C784)),"Device Markings/Labelling Problem",ISNUMBER(SEARCH("lacerat",C784)),"Defective Device",ISNUMBER(SEARCH("cut",C784)),"Defective Device",ISNUMBER(SEARCH("leak",C784)),"Fluid/Blood Leak",ISNUMBER(SEARCH("missing",C784)),"Component Missing",ISNUMBER(SEARCH("power",C784)),"Complete Loss of Power",ISNUMBER(SEARCH("will not turn on",C784)),"Complete Loss of Power",ISNUMBER(SEARCH("won't turn on",C784)),"Complete Loss of Power",ISNUMBER(SEARCH("does not turn on",C784)),"Complete Loss of Power",ISNUMBER(SEARCH("electrical",C784)),"Electrical Power Problem",ISNUMBER(SEARCH("pressure",C784)),"Detachment of Device or Device Component",ISNUMBER(SEARCH("slip",C784)),"Detachment of Device or Device Component",ISNUMBER(SEARCH("detach",C784)),"Detachment of Device or Device Component",ISNUMBER(SEARCH("stick",C784)),"Mechanical Jam",ISNUMBER(SEARCH("jam",C784)),"Mechanical Jam",ISNUMBER(SEARCH("rigid",C784)),"Mechanical Jam",ISNUMBER(SEARCH("rust",C784)),"Corroded",ISNUMBER(SEARCH("corrod",C784)),"Corroded",ISNUMBER(SEARCH("corrosion",C784)),"Corroded",ISNUMBER(SEARCH("alignment",C784)),"Defective Device",ISNUMBER(SEARCH("adjust",C784)),"Defective Device",ISNUMBER(SEARCH("perform",C784)),"Defective Device",ISNUMBER(SEARCH("malfunction",C784)),"Defective Device",ISNUMBER(SEARCH("defect",C784)),"Defective Device",ISNUMBER(SEARCH("fail",C784)),"Defective Device",ISNUMBER(SEARCH("not work",C784)),"Defective Device",ISNUMBER(SEARCH("doesn't work",C784)),"Defective Device",TRUE,"UNKNOWN"),"UNKNOWN")))</f>
        <v/>
      </c>
      <c r="F784" s="4" t="str">
        <f t="shared" si="13"/>
        <v/>
      </c>
      <c r="G784" s="363" t="str">
        <f>IF(E784="","",IFERROR(VLOOKUP(E784,Codes!$L$2:$N$409,3,FALSE),"—"))</f>
        <v/>
      </c>
      <c r="H784" s="88"/>
      <c r="I784" s="88"/>
    </row>
    <row r="785" spans="1:9" ht="13.15" x14ac:dyDescent="0.35">
      <c r="A785" s="92"/>
      <c r="B785" s="89"/>
      <c r="C785" s="88"/>
      <c r="D785" s="88"/>
      <c r="E785" s="93" t="str" cm="1">
        <f t="array" ref="E785">IF(D785&lt;&gt;"",IFERROR(VLOOKUP(D785,Codes!$K$2:$L$409,2,FALSE),"UNKNOWN - "&amp;D785),IF(C785="","",IFERROR(_xlfn.IFS(ISNUMBER(SEARCH("broken button",C785)),"Break",ISNUMBER(SEARCH("broken handle",C785)),"Break",ISNUMBER(SEARCH("shipping damage",C785)),"Break",ISNUMBER(SEARCH("broken",C785)),"Break",ISNUMBER(SEARCH("crack",C785)),"Break",ISNUMBER(SEARCH("snap",C785)),"Break",ISNUMBER(SEARCH("fracture",C785)),"Break",ISNUMBER(SEARCH("bent",C785)),"Material Twisted/Bent",ISNUMBER(SEARCH("twisted",C785)),"Material Twisted/Bent",ISNUMBER(SEARCH("component separat",C785)),"Material Separation",ISNUMBER(SEARCH("separat",C785)),"Material Separation",ISNUMBER(SEARCH("connection",C785)),"Loose or Intermittent Connection",ISNUMBER(SEARCH("loose",C785)),"Loose or Intermittent Connection",ISNUMBER(SEARCH("damaged packaging",C785)),"Packaging Problem",ISNUMBER(SEARCH("packaging",C785)),"Packaging Problem",ISNUMBER(SEARCH("discoloration",C785)),"Contamination",ISNUMBER(SEARCH("tarnish",C785)),"Contamination",ISNUMBER(SEARCH("stain",C785)),"Contamination",ISNUMBER(SEARCH("foreign material",C785)),"Contamination",ISNUMBER(SEARCH("contamina",C785)),"Contamination",ISNUMBER(SEARCH("overheat",C785)),"Overheating of Device",ISNUMBER(SEARCH("excessive heat",C785)),"Overheating of Device",ISNUMBER(SEARCH("hot",C785)),"Overheating of Device",ISNUMBER(SEARCH("noise",C785)),"Noise, Audible",ISNUMBER(SEARCH("sound",C785)),"Noise, Audible",ISNUMBER(SEARCH("loud",C785)),"Noise, Audible",ISNUMBER(SEARCH("fray",C785)),"Material Frayed",ISNUMBER(SEARCH("hole",C785)),"Material Frayed",ISNUMBER(SEARCH("tear",C785)),"Material Frayed",ISNUMBER(SEARCH("worn",C785)),"Material Frayed",ISNUMBER(SEARCH("intermittent",C785)),"Difficult or Delayed Activation",ISNUMBER(SEARCH("delay",C785)),"Difficult or Delayed Activation",ISNUMBER(SEARCH("label",C785)),"Device Markings/Labelling Problem",ISNUMBER(SEARCH("marking",C785)),"Device Markings/Labelling Problem",ISNUMBER(SEARCH("lacerat",C785)),"Defective Device",ISNUMBER(SEARCH("cut",C785)),"Defective Device",ISNUMBER(SEARCH("leak",C785)),"Fluid/Blood Leak",ISNUMBER(SEARCH("missing",C785)),"Component Missing",ISNUMBER(SEARCH("power",C785)),"Complete Loss of Power",ISNUMBER(SEARCH("will not turn on",C785)),"Complete Loss of Power",ISNUMBER(SEARCH("won't turn on",C785)),"Complete Loss of Power",ISNUMBER(SEARCH("does not turn on",C785)),"Complete Loss of Power",ISNUMBER(SEARCH("electrical",C785)),"Electrical Power Problem",ISNUMBER(SEARCH("pressure",C785)),"Detachment of Device or Device Component",ISNUMBER(SEARCH("slip",C785)),"Detachment of Device or Device Component",ISNUMBER(SEARCH("detach",C785)),"Detachment of Device or Device Component",ISNUMBER(SEARCH("stick",C785)),"Mechanical Jam",ISNUMBER(SEARCH("jam",C785)),"Mechanical Jam",ISNUMBER(SEARCH("rigid",C785)),"Mechanical Jam",ISNUMBER(SEARCH("rust",C785)),"Corroded",ISNUMBER(SEARCH("corrod",C785)),"Corroded",ISNUMBER(SEARCH("corrosion",C785)),"Corroded",ISNUMBER(SEARCH("alignment",C785)),"Defective Device",ISNUMBER(SEARCH("adjust",C785)),"Defective Device",ISNUMBER(SEARCH("perform",C785)),"Defective Device",ISNUMBER(SEARCH("malfunction",C785)),"Defective Device",ISNUMBER(SEARCH("defect",C785)),"Defective Device",ISNUMBER(SEARCH("fail",C785)),"Defective Device",ISNUMBER(SEARCH("not work",C785)),"Defective Device",ISNUMBER(SEARCH("doesn't work",C785)),"Defective Device",TRUE,"UNKNOWN"),"UNKNOWN")))</f>
        <v/>
      </c>
      <c r="F785" s="4" t="str">
        <f t="shared" si="13"/>
        <v/>
      </c>
      <c r="G785" s="363" t="str">
        <f>IF(E785="","",IFERROR(VLOOKUP(E785,Codes!$L$2:$N$409,3,FALSE),"—"))</f>
        <v/>
      </c>
      <c r="H785" s="88"/>
      <c r="I785" s="88"/>
    </row>
    <row r="786" spans="1:9" ht="13.15" x14ac:dyDescent="0.35">
      <c r="A786" s="92"/>
      <c r="B786" s="89"/>
      <c r="C786" s="88"/>
      <c r="D786" s="88"/>
      <c r="E786" s="93" t="str" cm="1">
        <f t="array" ref="E786">IF(D786&lt;&gt;"",IFERROR(VLOOKUP(D786,Codes!$K$2:$L$409,2,FALSE),"UNKNOWN - "&amp;D786),IF(C786="","",IFERROR(_xlfn.IFS(ISNUMBER(SEARCH("broken button",C786)),"Break",ISNUMBER(SEARCH("broken handle",C786)),"Break",ISNUMBER(SEARCH("shipping damage",C786)),"Break",ISNUMBER(SEARCH("broken",C786)),"Break",ISNUMBER(SEARCH("crack",C786)),"Break",ISNUMBER(SEARCH("snap",C786)),"Break",ISNUMBER(SEARCH("fracture",C786)),"Break",ISNUMBER(SEARCH("bent",C786)),"Material Twisted/Bent",ISNUMBER(SEARCH("twisted",C786)),"Material Twisted/Bent",ISNUMBER(SEARCH("component separat",C786)),"Material Separation",ISNUMBER(SEARCH("separat",C786)),"Material Separation",ISNUMBER(SEARCH("connection",C786)),"Loose or Intermittent Connection",ISNUMBER(SEARCH("loose",C786)),"Loose or Intermittent Connection",ISNUMBER(SEARCH("damaged packaging",C786)),"Packaging Problem",ISNUMBER(SEARCH("packaging",C786)),"Packaging Problem",ISNUMBER(SEARCH("discoloration",C786)),"Contamination",ISNUMBER(SEARCH("tarnish",C786)),"Contamination",ISNUMBER(SEARCH("stain",C786)),"Contamination",ISNUMBER(SEARCH("foreign material",C786)),"Contamination",ISNUMBER(SEARCH("contamina",C786)),"Contamination",ISNUMBER(SEARCH("overheat",C786)),"Overheating of Device",ISNUMBER(SEARCH("excessive heat",C786)),"Overheating of Device",ISNUMBER(SEARCH("hot",C786)),"Overheating of Device",ISNUMBER(SEARCH("noise",C786)),"Noise, Audible",ISNUMBER(SEARCH("sound",C786)),"Noise, Audible",ISNUMBER(SEARCH("loud",C786)),"Noise, Audible",ISNUMBER(SEARCH("fray",C786)),"Material Frayed",ISNUMBER(SEARCH("hole",C786)),"Material Frayed",ISNUMBER(SEARCH("tear",C786)),"Material Frayed",ISNUMBER(SEARCH("worn",C786)),"Material Frayed",ISNUMBER(SEARCH("intermittent",C786)),"Difficult or Delayed Activation",ISNUMBER(SEARCH("delay",C786)),"Difficult or Delayed Activation",ISNUMBER(SEARCH("label",C786)),"Device Markings/Labelling Problem",ISNUMBER(SEARCH("marking",C786)),"Device Markings/Labelling Problem",ISNUMBER(SEARCH("lacerat",C786)),"Defective Device",ISNUMBER(SEARCH("cut",C786)),"Defective Device",ISNUMBER(SEARCH("leak",C786)),"Fluid/Blood Leak",ISNUMBER(SEARCH("missing",C786)),"Component Missing",ISNUMBER(SEARCH("power",C786)),"Complete Loss of Power",ISNUMBER(SEARCH("will not turn on",C786)),"Complete Loss of Power",ISNUMBER(SEARCH("won't turn on",C786)),"Complete Loss of Power",ISNUMBER(SEARCH("does not turn on",C786)),"Complete Loss of Power",ISNUMBER(SEARCH("electrical",C786)),"Electrical Power Problem",ISNUMBER(SEARCH("pressure",C786)),"Detachment of Device or Device Component",ISNUMBER(SEARCH("slip",C786)),"Detachment of Device or Device Component",ISNUMBER(SEARCH("detach",C786)),"Detachment of Device or Device Component",ISNUMBER(SEARCH("stick",C786)),"Mechanical Jam",ISNUMBER(SEARCH("jam",C786)),"Mechanical Jam",ISNUMBER(SEARCH("rigid",C786)),"Mechanical Jam",ISNUMBER(SEARCH("rust",C786)),"Corroded",ISNUMBER(SEARCH("corrod",C786)),"Corroded",ISNUMBER(SEARCH("corrosion",C786)),"Corroded",ISNUMBER(SEARCH("alignment",C786)),"Defective Device",ISNUMBER(SEARCH("adjust",C786)),"Defective Device",ISNUMBER(SEARCH("perform",C786)),"Defective Device",ISNUMBER(SEARCH("malfunction",C786)),"Defective Device",ISNUMBER(SEARCH("defect",C786)),"Defective Device",ISNUMBER(SEARCH("fail",C786)),"Defective Device",ISNUMBER(SEARCH("not work",C786)),"Defective Device",ISNUMBER(SEARCH("doesn't work",C786)),"Defective Device",TRUE,"UNKNOWN"),"UNKNOWN")))</f>
        <v/>
      </c>
      <c r="F786" s="4" t="str">
        <f t="shared" si="13"/>
        <v/>
      </c>
      <c r="G786" s="363" t="str">
        <f>IF(E786="","",IFERROR(VLOOKUP(E786,Codes!$L$2:$N$409,3,FALSE),"—"))</f>
        <v/>
      </c>
      <c r="H786" s="88"/>
      <c r="I786" s="88"/>
    </row>
    <row r="787" spans="1:9" ht="13.15" x14ac:dyDescent="0.35">
      <c r="A787" s="92"/>
      <c r="B787" s="89"/>
      <c r="C787" s="88"/>
      <c r="D787" s="88"/>
      <c r="E787" s="93" t="str" cm="1">
        <f t="array" ref="E787">IF(D787&lt;&gt;"",IFERROR(VLOOKUP(D787,Codes!$K$2:$L$409,2,FALSE),"UNKNOWN - "&amp;D787),IF(C787="","",IFERROR(_xlfn.IFS(ISNUMBER(SEARCH("broken button",C787)),"Break",ISNUMBER(SEARCH("broken handle",C787)),"Break",ISNUMBER(SEARCH("shipping damage",C787)),"Break",ISNUMBER(SEARCH("broken",C787)),"Break",ISNUMBER(SEARCH("crack",C787)),"Break",ISNUMBER(SEARCH("snap",C787)),"Break",ISNUMBER(SEARCH("fracture",C787)),"Break",ISNUMBER(SEARCH("bent",C787)),"Material Twisted/Bent",ISNUMBER(SEARCH("twisted",C787)),"Material Twisted/Bent",ISNUMBER(SEARCH("component separat",C787)),"Material Separation",ISNUMBER(SEARCH("separat",C787)),"Material Separation",ISNUMBER(SEARCH("connection",C787)),"Loose or Intermittent Connection",ISNUMBER(SEARCH("loose",C787)),"Loose or Intermittent Connection",ISNUMBER(SEARCH("damaged packaging",C787)),"Packaging Problem",ISNUMBER(SEARCH("packaging",C787)),"Packaging Problem",ISNUMBER(SEARCH("discoloration",C787)),"Contamination",ISNUMBER(SEARCH("tarnish",C787)),"Contamination",ISNUMBER(SEARCH("stain",C787)),"Contamination",ISNUMBER(SEARCH("foreign material",C787)),"Contamination",ISNUMBER(SEARCH("contamina",C787)),"Contamination",ISNUMBER(SEARCH("overheat",C787)),"Overheating of Device",ISNUMBER(SEARCH("excessive heat",C787)),"Overheating of Device",ISNUMBER(SEARCH("hot",C787)),"Overheating of Device",ISNUMBER(SEARCH("noise",C787)),"Noise, Audible",ISNUMBER(SEARCH("sound",C787)),"Noise, Audible",ISNUMBER(SEARCH("loud",C787)),"Noise, Audible",ISNUMBER(SEARCH("fray",C787)),"Material Frayed",ISNUMBER(SEARCH("hole",C787)),"Material Frayed",ISNUMBER(SEARCH("tear",C787)),"Material Frayed",ISNUMBER(SEARCH("worn",C787)),"Material Frayed",ISNUMBER(SEARCH("intermittent",C787)),"Difficult or Delayed Activation",ISNUMBER(SEARCH("delay",C787)),"Difficult or Delayed Activation",ISNUMBER(SEARCH("label",C787)),"Device Markings/Labelling Problem",ISNUMBER(SEARCH("marking",C787)),"Device Markings/Labelling Problem",ISNUMBER(SEARCH("lacerat",C787)),"Defective Device",ISNUMBER(SEARCH("cut",C787)),"Defective Device",ISNUMBER(SEARCH("leak",C787)),"Fluid/Blood Leak",ISNUMBER(SEARCH("missing",C787)),"Component Missing",ISNUMBER(SEARCH("power",C787)),"Complete Loss of Power",ISNUMBER(SEARCH("will not turn on",C787)),"Complete Loss of Power",ISNUMBER(SEARCH("won't turn on",C787)),"Complete Loss of Power",ISNUMBER(SEARCH("does not turn on",C787)),"Complete Loss of Power",ISNUMBER(SEARCH("electrical",C787)),"Electrical Power Problem",ISNUMBER(SEARCH("pressure",C787)),"Detachment of Device or Device Component",ISNUMBER(SEARCH("slip",C787)),"Detachment of Device or Device Component",ISNUMBER(SEARCH("detach",C787)),"Detachment of Device or Device Component",ISNUMBER(SEARCH("stick",C787)),"Mechanical Jam",ISNUMBER(SEARCH("jam",C787)),"Mechanical Jam",ISNUMBER(SEARCH("rigid",C787)),"Mechanical Jam",ISNUMBER(SEARCH("rust",C787)),"Corroded",ISNUMBER(SEARCH("corrod",C787)),"Corroded",ISNUMBER(SEARCH("corrosion",C787)),"Corroded",ISNUMBER(SEARCH("alignment",C787)),"Defective Device",ISNUMBER(SEARCH("adjust",C787)),"Defective Device",ISNUMBER(SEARCH("perform",C787)),"Defective Device",ISNUMBER(SEARCH("malfunction",C787)),"Defective Device",ISNUMBER(SEARCH("defect",C787)),"Defective Device",ISNUMBER(SEARCH("fail",C787)),"Defective Device",ISNUMBER(SEARCH("not work",C787)),"Defective Device",ISNUMBER(SEARCH("doesn't work",C787)),"Defective Device",TRUE,"UNKNOWN"),"UNKNOWN")))</f>
        <v/>
      </c>
      <c r="F787" s="4" t="str">
        <f t="shared" si="13"/>
        <v/>
      </c>
      <c r="G787" s="363" t="str">
        <f>IF(E787="","",IFERROR(VLOOKUP(E787,Codes!$L$2:$N$409,3,FALSE),"—"))</f>
        <v/>
      </c>
      <c r="H787" s="88"/>
      <c r="I787" s="88"/>
    </row>
    <row r="788" spans="1:9" ht="13.15" x14ac:dyDescent="0.35">
      <c r="A788" s="92"/>
      <c r="B788" s="89"/>
      <c r="C788" s="88"/>
      <c r="D788" s="88"/>
      <c r="E788" s="93" t="str" cm="1">
        <f t="array" ref="E788">IF(D788&lt;&gt;"",IFERROR(VLOOKUP(D788,Codes!$K$2:$L$409,2,FALSE),"UNKNOWN - "&amp;D788),IF(C788="","",IFERROR(_xlfn.IFS(ISNUMBER(SEARCH("broken button",C788)),"Break",ISNUMBER(SEARCH("broken handle",C788)),"Break",ISNUMBER(SEARCH("shipping damage",C788)),"Break",ISNUMBER(SEARCH("broken",C788)),"Break",ISNUMBER(SEARCH("crack",C788)),"Break",ISNUMBER(SEARCH("snap",C788)),"Break",ISNUMBER(SEARCH("fracture",C788)),"Break",ISNUMBER(SEARCH("bent",C788)),"Material Twisted/Bent",ISNUMBER(SEARCH("twisted",C788)),"Material Twisted/Bent",ISNUMBER(SEARCH("component separat",C788)),"Material Separation",ISNUMBER(SEARCH("separat",C788)),"Material Separation",ISNUMBER(SEARCH("connection",C788)),"Loose or Intermittent Connection",ISNUMBER(SEARCH("loose",C788)),"Loose or Intermittent Connection",ISNUMBER(SEARCH("damaged packaging",C788)),"Packaging Problem",ISNUMBER(SEARCH("packaging",C788)),"Packaging Problem",ISNUMBER(SEARCH("discoloration",C788)),"Contamination",ISNUMBER(SEARCH("tarnish",C788)),"Contamination",ISNUMBER(SEARCH("stain",C788)),"Contamination",ISNUMBER(SEARCH("foreign material",C788)),"Contamination",ISNUMBER(SEARCH("contamina",C788)),"Contamination",ISNUMBER(SEARCH("overheat",C788)),"Overheating of Device",ISNUMBER(SEARCH("excessive heat",C788)),"Overheating of Device",ISNUMBER(SEARCH("hot",C788)),"Overheating of Device",ISNUMBER(SEARCH("noise",C788)),"Noise, Audible",ISNUMBER(SEARCH("sound",C788)),"Noise, Audible",ISNUMBER(SEARCH("loud",C788)),"Noise, Audible",ISNUMBER(SEARCH("fray",C788)),"Material Frayed",ISNUMBER(SEARCH("hole",C788)),"Material Frayed",ISNUMBER(SEARCH("tear",C788)),"Material Frayed",ISNUMBER(SEARCH("worn",C788)),"Material Frayed",ISNUMBER(SEARCH("intermittent",C788)),"Difficult or Delayed Activation",ISNUMBER(SEARCH("delay",C788)),"Difficult or Delayed Activation",ISNUMBER(SEARCH("label",C788)),"Device Markings/Labelling Problem",ISNUMBER(SEARCH("marking",C788)),"Device Markings/Labelling Problem",ISNUMBER(SEARCH("lacerat",C788)),"Defective Device",ISNUMBER(SEARCH("cut",C788)),"Defective Device",ISNUMBER(SEARCH("leak",C788)),"Fluid/Blood Leak",ISNUMBER(SEARCH("missing",C788)),"Component Missing",ISNUMBER(SEARCH("power",C788)),"Complete Loss of Power",ISNUMBER(SEARCH("will not turn on",C788)),"Complete Loss of Power",ISNUMBER(SEARCH("won't turn on",C788)),"Complete Loss of Power",ISNUMBER(SEARCH("does not turn on",C788)),"Complete Loss of Power",ISNUMBER(SEARCH("electrical",C788)),"Electrical Power Problem",ISNUMBER(SEARCH("pressure",C788)),"Detachment of Device or Device Component",ISNUMBER(SEARCH("slip",C788)),"Detachment of Device or Device Component",ISNUMBER(SEARCH("detach",C788)),"Detachment of Device or Device Component",ISNUMBER(SEARCH("stick",C788)),"Mechanical Jam",ISNUMBER(SEARCH("jam",C788)),"Mechanical Jam",ISNUMBER(SEARCH("rigid",C788)),"Mechanical Jam",ISNUMBER(SEARCH("rust",C788)),"Corroded",ISNUMBER(SEARCH("corrod",C788)),"Corroded",ISNUMBER(SEARCH("corrosion",C788)),"Corroded",ISNUMBER(SEARCH("alignment",C788)),"Defective Device",ISNUMBER(SEARCH("adjust",C788)),"Defective Device",ISNUMBER(SEARCH("perform",C788)),"Defective Device",ISNUMBER(SEARCH("malfunction",C788)),"Defective Device",ISNUMBER(SEARCH("defect",C788)),"Defective Device",ISNUMBER(SEARCH("fail",C788)),"Defective Device",ISNUMBER(SEARCH("not work",C788)),"Defective Device",ISNUMBER(SEARCH("doesn't work",C788)),"Defective Device",TRUE,"UNKNOWN"),"UNKNOWN")))</f>
        <v/>
      </c>
      <c r="F788" s="4" t="str">
        <f t="shared" si="13"/>
        <v/>
      </c>
      <c r="G788" s="363" t="str">
        <f>IF(E788="","",IFERROR(VLOOKUP(E788,Codes!$L$2:$N$409,3,FALSE),"—"))</f>
        <v/>
      </c>
      <c r="H788" s="88"/>
      <c r="I788" s="88"/>
    </row>
    <row r="789" spans="1:9" ht="13.15" x14ac:dyDescent="0.35">
      <c r="A789" s="92"/>
      <c r="B789" s="89"/>
      <c r="C789" s="88"/>
      <c r="D789" s="88"/>
      <c r="E789" s="93" t="str" cm="1">
        <f t="array" ref="E789">IF(D789&lt;&gt;"",IFERROR(VLOOKUP(D789,Codes!$K$2:$L$409,2,FALSE),"UNKNOWN - "&amp;D789),IF(C789="","",IFERROR(_xlfn.IFS(ISNUMBER(SEARCH("broken button",C789)),"Break",ISNUMBER(SEARCH("broken handle",C789)),"Break",ISNUMBER(SEARCH("shipping damage",C789)),"Break",ISNUMBER(SEARCH("broken",C789)),"Break",ISNUMBER(SEARCH("crack",C789)),"Break",ISNUMBER(SEARCH("snap",C789)),"Break",ISNUMBER(SEARCH("fracture",C789)),"Break",ISNUMBER(SEARCH("bent",C789)),"Material Twisted/Bent",ISNUMBER(SEARCH("twisted",C789)),"Material Twisted/Bent",ISNUMBER(SEARCH("component separat",C789)),"Material Separation",ISNUMBER(SEARCH("separat",C789)),"Material Separation",ISNUMBER(SEARCH("connection",C789)),"Loose or Intermittent Connection",ISNUMBER(SEARCH("loose",C789)),"Loose or Intermittent Connection",ISNUMBER(SEARCH("damaged packaging",C789)),"Packaging Problem",ISNUMBER(SEARCH("packaging",C789)),"Packaging Problem",ISNUMBER(SEARCH("discoloration",C789)),"Contamination",ISNUMBER(SEARCH("tarnish",C789)),"Contamination",ISNUMBER(SEARCH("stain",C789)),"Contamination",ISNUMBER(SEARCH("foreign material",C789)),"Contamination",ISNUMBER(SEARCH("contamina",C789)),"Contamination",ISNUMBER(SEARCH("overheat",C789)),"Overheating of Device",ISNUMBER(SEARCH("excessive heat",C789)),"Overheating of Device",ISNUMBER(SEARCH("hot",C789)),"Overheating of Device",ISNUMBER(SEARCH("noise",C789)),"Noise, Audible",ISNUMBER(SEARCH("sound",C789)),"Noise, Audible",ISNUMBER(SEARCH("loud",C789)),"Noise, Audible",ISNUMBER(SEARCH("fray",C789)),"Material Frayed",ISNUMBER(SEARCH("hole",C789)),"Material Frayed",ISNUMBER(SEARCH("tear",C789)),"Material Frayed",ISNUMBER(SEARCH("worn",C789)),"Material Frayed",ISNUMBER(SEARCH("intermittent",C789)),"Difficult or Delayed Activation",ISNUMBER(SEARCH("delay",C789)),"Difficult or Delayed Activation",ISNUMBER(SEARCH("label",C789)),"Device Markings/Labelling Problem",ISNUMBER(SEARCH("marking",C789)),"Device Markings/Labelling Problem",ISNUMBER(SEARCH("lacerat",C789)),"Defective Device",ISNUMBER(SEARCH("cut",C789)),"Defective Device",ISNUMBER(SEARCH("leak",C789)),"Fluid/Blood Leak",ISNUMBER(SEARCH("missing",C789)),"Component Missing",ISNUMBER(SEARCH("power",C789)),"Complete Loss of Power",ISNUMBER(SEARCH("will not turn on",C789)),"Complete Loss of Power",ISNUMBER(SEARCH("won't turn on",C789)),"Complete Loss of Power",ISNUMBER(SEARCH("does not turn on",C789)),"Complete Loss of Power",ISNUMBER(SEARCH("electrical",C789)),"Electrical Power Problem",ISNUMBER(SEARCH("pressure",C789)),"Detachment of Device or Device Component",ISNUMBER(SEARCH("slip",C789)),"Detachment of Device or Device Component",ISNUMBER(SEARCH("detach",C789)),"Detachment of Device or Device Component",ISNUMBER(SEARCH("stick",C789)),"Mechanical Jam",ISNUMBER(SEARCH("jam",C789)),"Mechanical Jam",ISNUMBER(SEARCH("rigid",C789)),"Mechanical Jam",ISNUMBER(SEARCH("rust",C789)),"Corroded",ISNUMBER(SEARCH("corrod",C789)),"Corroded",ISNUMBER(SEARCH("corrosion",C789)),"Corroded",ISNUMBER(SEARCH("alignment",C789)),"Defective Device",ISNUMBER(SEARCH("adjust",C789)),"Defective Device",ISNUMBER(SEARCH("perform",C789)),"Defective Device",ISNUMBER(SEARCH("malfunction",C789)),"Defective Device",ISNUMBER(SEARCH("defect",C789)),"Defective Device",ISNUMBER(SEARCH("fail",C789)),"Defective Device",ISNUMBER(SEARCH("not work",C789)),"Defective Device",ISNUMBER(SEARCH("doesn't work",C789)),"Defective Device",TRUE,"UNKNOWN"),"UNKNOWN")))</f>
        <v/>
      </c>
      <c r="F789" s="4" t="str">
        <f t="shared" si="13"/>
        <v/>
      </c>
      <c r="G789" s="363" t="str">
        <f>IF(E789="","",IFERROR(VLOOKUP(E789,Codes!$L$2:$N$409,3,FALSE),"—"))</f>
        <v/>
      </c>
      <c r="H789" s="88"/>
      <c r="I789" s="88"/>
    </row>
    <row r="790" spans="1:9" ht="13.15" x14ac:dyDescent="0.35">
      <c r="A790" s="92"/>
      <c r="B790" s="89"/>
      <c r="C790" s="88"/>
      <c r="D790" s="88"/>
      <c r="E790" s="93" t="str" cm="1">
        <f t="array" ref="E790">IF(D790&lt;&gt;"",IFERROR(VLOOKUP(D790,Codes!$K$2:$L$409,2,FALSE),"UNKNOWN - "&amp;D790),IF(C790="","",IFERROR(_xlfn.IFS(ISNUMBER(SEARCH("broken button",C790)),"Break",ISNUMBER(SEARCH("broken handle",C790)),"Break",ISNUMBER(SEARCH("shipping damage",C790)),"Break",ISNUMBER(SEARCH("broken",C790)),"Break",ISNUMBER(SEARCH("crack",C790)),"Break",ISNUMBER(SEARCH("snap",C790)),"Break",ISNUMBER(SEARCH("fracture",C790)),"Break",ISNUMBER(SEARCH("bent",C790)),"Material Twisted/Bent",ISNUMBER(SEARCH("twisted",C790)),"Material Twisted/Bent",ISNUMBER(SEARCH("component separat",C790)),"Material Separation",ISNUMBER(SEARCH("separat",C790)),"Material Separation",ISNUMBER(SEARCH("connection",C790)),"Loose or Intermittent Connection",ISNUMBER(SEARCH("loose",C790)),"Loose or Intermittent Connection",ISNUMBER(SEARCH("damaged packaging",C790)),"Packaging Problem",ISNUMBER(SEARCH("packaging",C790)),"Packaging Problem",ISNUMBER(SEARCH("discoloration",C790)),"Contamination",ISNUMBER(SEARCH("tarnish",C790)),"Contamination",ISNUMBER(SEARCH("stain",C790)),"Contamination",ISNUMBER(SEARCH("foreign material",C790)),"Contamination",ISNUMBER(SEARCH("contamina",C790)),"Contamination",ISNUMBER(SEARCH("overheat",C790)),"Overheating of Device",ISNUMBER(SEARCH("excessive heat",C790)),"Overheating of Device",ISNUMBER(SEARCH("hot",C790)),"Overheating of Device",ISNUMBER(SEARCH("noise",C790)),"Noise, Audible",ISNUMBER(SEARCH("sound",C790)),"Noise, Audible",ISNUMBER(SEARCH("loud",C790)),"Noise, Audible",ISNUMBER(SEARCH("fray",C790)),"Material Frayed",ISNUMBER(SEARCH("hole",C790)),"Material Frayed",ISNUMBER(SEARCH("tear",C790)),"Material Frayed",ISNUMBER(SEARCH("worn",C790)),"Material Frayed",ISNUMBER(SEARCH("intermittent",C790)),"Difficult or Delayed Activation",ISNUMBER(SEARCH("delay",C790)),"Difficult or Delayed Activation",ISNUMBER(SEARCH("label",C790)),"Device Markings/Labelling Problem",ISNUMBER(SEARCH("marking",C790)),"Device Markings/Labelling Problem",ISNUMBER(SEARCH("lacerat",C790)),"Defective Device",ISNUMBER(SEARCH("cut",C790)),"Defective Device",ISNUMBER(SEARCH("leak",C790)),"Fluid/Blood Leak",ISNUMBER(SEARCH("missing",C790)),"Component Missing",ISNUMBER(SEARCH("power",C790)),"Complete Loss of Power",ISNUMBER(SEARCH("will not turn on",C790)),"Complete Loss of Power",ISNUMBER(SEARCH("won't turn on",C790)),"Complete Loss of Power",ISNUMBER(SEARCH("does not turn on",C790)),"Complete Loss of Power",ISNUMBER(SEARCH("electrical",C790)),"Electrical Power Problem",ISNUMBER(SEARCH("pressure",C790)),"Detachment of Device or Device Component",ISNUMBER(SEARCH("slip",C790)),"Detachment of Device or Device Component",ISNUMBER(SEARCH("detach",C790)),"Detachment of Device or Device Component",ISNUMBER(SEARCH("stick",C790)),"Mechanical Jam",ISNUMBER(SEARCH("jam",C790)),"Mechanical Jam",ISNUMBER(SEARCH("rigid",C790)),"Mechanical Jam",ISNUMBER(SEARCH("rust",C790)),"Corroded",ISNUMBER(SEARCH("corrod",C790)),"Corroded",ISNUMBER(SEARCH("corrosion",C790)),"Corroded",ISNUMBER(SEARCH("alignment",C790)),"Defective Device",ISNUMBER(SEARCH("adjust",C790)),"Defective Device",ISNUMBER(SEARCH("perform",C790)),"Defective Device",ISNUMBER(SEARCH("malfunction",C790)),"Defective Device",ISNUMBER(SEARCH("defect",C790)),"Defective Device",ISNUMBER(SEARCH("fail",C790)),"Defective Device",ISNUMBER(SEARCH("not work",C790)),"Defective Device",ISNUMBER(SEARCH("doesn't work",C790)),"Defective Device",TRUE,"UNKNOWN"),"UNKNOWN")))</f>
        <v/>
      </c>
      <c r="F790" s="4" t="str">
        <f t="shared" si="13"/>
        <v/>
      </c>
      <c r="G790" s="363" t="str">
        <f>IF(E790="","",IFERROR(VLOOKUP(E790,Codes!$L$2:$N$409,3,FALSE),"—"))</f>
        <v/>
      </c>
      <c r="H790" s="88"/>
      <c r="I790" s="88"/>
    </row>
    <row r="791" spans="1:9" ht="13.15" x14ac:dyDescent="0.35">
      <c r="A791" s="92"/>
      <c r="B791" s="89"/>
      <c r="C791" s="88"/>
      <c r="D791" s="88"/>
      <c r="E791" s="93" t="str" cm="1">
        <f t="array" ref="E791">IF(D791&lt;&gt;"",IFERROR(VLOOKUP(D791,Codes!$K$2:$L$409,2,FALSE),"UNKNOWN - "&amp;D791),IF(C791="","",IFERROR(_xlfn.IFS(ISNUMBER(SEARCH("broken button",C791)),"Break",ISNUMBER(SEARCH("broken handle",C791)),"Break",ISNUMBER(SEARCH("shipping damage",C791)),"Break",ISNUMBER(SEARCH("broken",C791)),"Break",ISNUMBER(SEARCH("crack",C791)),"Break",ISNUMBER(SEARCH("snap",C791)),"Break",ISNUMBER(SEARCH("fracture",C791)),"Break",ISNUMBER(SEARCH("bent",C791)),"Material Twisted/Bent",ISNUMBER(SEARCH("twisted",C791)),"Material Twisted/Bent",ISNUMBER(SEARCH("component separat",C791)),"Material Separation",ISNUMBER(SEARCH("separat",C791)),"Material Separation",ISNUMBER(SEARCH("connection",C791)),"Loose or Intermittent Connection",ISNUMBER(SEARCH("loose",C791)),"Loose or Intermittent Connection",ISNUMBER(SEARCH("damaged packaging",C791)),"Packaging Problem",ISNUMBER(SEARCH("packaging",C791)),"Packaging Problem",ISNUMBER(SEARCH("discoloration",C791)),"Contamination",ISNUMBER(SEARCH("tarnish",C791)),"Contamination",ISNUMBER(SEARCH("stain",C791)),"Contamination",ISNUMBER(SEARCH("foreign material",C791)),"Contamination",ISNUMBER(SEARCH("contamina",C791)),"Contamination",ISNUMBER(SEARCH("overheat",C791)),"Overheating of Device",ISNUMBER(SEARCH("excessive heat",C791)),"Overheating of Device",ISNUMBER(SEARCH("hot",C791)),"Overheating of Device",ISNUMBER(SEARCH("noise",C791)),"Noise, Audible",ISNUMBER(SEARCH("sound",C791)),"Noise, Audible",ISNUMBER(SEARCH("loud",C791)),"Noise, Audible",ISNUMBER(SEARCH("fray",C791)),"Material Frayed",ISNUMBER(SEARCH("hole",C791)),"Material Frayed",ISNUMBER(SEARCH("tear",C791)),"Material Frayed",ISNUMBER(SEARCH("worn",C791)),"Material Frayed",ISNUMBER(SEARCH("intermittent",C791)),"Difficult or Delayed Activation",ISNUMBER(SEARCH("delay",C791)),"Difficult or Delayed Activation",ISNUMBER(SEARCH("label",C791)),"Device Markings/Labelling Problem",ISNUMBER(SEARCH("marking",C791)),"Device Markings/Labelling Problem",ISNUMBER(SEARCH("lacerat",C791)),"Defective Device",ISNUMBER(SEARCH("cut",C791)),"Defective Device",ISNUMBER(SEARCH("leak",C791)),"Fluid/Blood Leak",ISNUMBER(SEARCH("missing",C791)),"Component Missing",ISNUMBER(SEARCH("power",C791)),"Complete Loss of Power",ISNUMBER(SEARCH("will not turn on",C791)),"Complete Loss of Power",ISNUMBER(SEARCH("won't turn on",C791)),"Complete Loss of Power",ISNUMBER(SEARCH("does not turn on",C791)),"Complete Loss of Power",ISNUMBER(SEARCH("electrical",C791)),"Electrical Power Problem",ISNUMBER(SEARCH("pressure",C791)),"Detachment of Device or Device Component",ISNUMBER(SEARCH("slip",C791)),"Detachment of Device or Device Component",ISNUMBER(SEARCH("detach",C791)),"Detachment of Device or Device Component",ISNUMBER(SEARCH("stick",C791)),"Mechanical Jam",ISNUMBER(SEARCH("jam",C791)),"Mechanical Jam",ISNUMBER(SEARCH("rigid",C791)),"Mechanical Jam",ISNUMBER(SEARCH("rust",C791)),"Corroded",ISNUMBER(SEARCH("corrod",C791)),"Corroded",ISNUMBER(SEARCH("corrosion",C791)),"Corroded",ISNUMBER(SEARCH("alignment",C791)),"Defective Device",ISNUMBER(SEARCH("adjust",C791)),"Defective Device",ISNUMBER(SEARCH("perform",C791)),"Defective Device",ISNUMBER(SEARCH("malfunction",C791)),"Defective Device",ISNUMBER(SEARCH("defect",C791)),"Defective Device",ISNUMBER(SEARCH("fail",C791)),"Defective Device",ISNUMBER(SEARCH("not work",C791)),"Defective Device",ISNUMBER(SEARCH("doesn't work",C791)),"Defective Device",TRUE,"UNKNOWN"),"UNKNOWN")))</f>
        <v/>
      </c>
      <c r="F791" s="4" t="str">
        <f t="shared" si="13"/>
        <v/>
      </c>
      <c r="G791" s="363" t="str">
        <f>IF(E791="","",IFERROR(VLOOKUP(E791,Codes!$L$2:$N$409,3,FALSE),"—"))</f>
        <v/>
      </c>
      <c r="H791" s="88"/>
      <c r="I791" s="88"/>
    </row>
    <row r="792" spans="1:9" ht="13.15" x14ac:dyDescent="0.35">
      <c r="A792" s="92"/>
      <c r="B792" s="89"/>
      <c r="C792" s="88"/>
      <c r="D792" s="88"/>
      <c r="E792" s="93" t="str" cm="1">
        <f t="array" ref="E792">IF(D792&lt;&gt;"",IFERROR(VLOOKUP(D792,Codes!$K$2:$L$409,2,FALSE),"UNKNOWN - "&amp;D792),IF(C792="","",IFERROR(_xlfn.IFS(ISNUMBER(SEARCH("broken button",C792)),"Break",ISNUMBER(SEARCH("broken handle",C792)),"Break",ISNUMBER(SEARCH("shipping damage",C792)),"Break",ISNUMBER(SEARCH("broken",C792)),"Break",ISNUMBER(SEARCH("crack",C792)),"Break",ISNUMBER(SEARCH("snap",C792)),"Break",ISNUMBER(SEARCH("fracture",C792)),"Break",ISNUMBER(SEARCH("bent",C792)),"Material Twisted/Bent",ISNUMBER(SEARCH("twisted",C792)),"Material Twisted/Bent",ISNUMBER(SEARCH("component separat",C792)),"Material Separation",ISNUMBER(SEARCH("separat",C792)),"Material Separation",ISNUMBER(SEARCH("connection",C792)),"Loose or Intermittent Connection",ISNUMBER(SEARCH("loose",C792)),"Loose or Intermittent Connection",ISNUMBER(SEARCH("damaged packaging",C792)),"Packaging Problem",ISNUMBER(SEARCH("packaging",C792)),"Packaging Problem",ISNUMBER(SEARCH("discoloration",C792)),"Contamination",ISNUMBER(SEARCH("tarnish",C792)),"Contamination",ISNUMBER(SEARCH("stain",C792)),"Contamination",ISNUMBER(SEARCH("foreign material",C792)),"Contamination",ISNUMBER(SEARCH("contamina",C792)),"Contamination",ISNUMBER(SEARCH("overheat",C792)),"Overheating of Device",ISNUMBER(SEARCH("excessive heat",C792)),"Overheating of Device",ISNUMBER(SEARCH("hot",C792)),"Overheating of Device",ISNUMBER(SEARCH("noise",C792)),"Noise, Audible",ISNUMBER(SEARCH("sound",C792)),"Noise, Audible",ISNUMBER(SEARCH("loud",C792)),"Noise, Audible",ISNUMBER(SEARCH("fray",C792)),"Material Frayed",ISNUMBER(SEARCH("hole",C792)),"Material Frayed",ISNUMBER(SEARCH("tear",C792)),"Material Frayed",ISNUMBER(SEARCH("worn",C792)),"Material Frayed",ISNUMBER(SEARCH("intermittent",C792)),"Difficult or Delayed Activation",ISNUMBER(SEARCH("delay",C792)),"Difficult or Delayed Activation",ISNUMBER(SEARCH("label",C792)),"Device Markings/Labelling Problem",ISNUMBER(SEARCH("marking",C792)),"Device Markings/Labelling Problem",ISNUMBER(SEARCH("lacerat",C792)),"Defective Device",ISNUMBER(SEARCH("cut",C792)),"Defective Device",ISNUMBER(SEARCH("leak",C792)),"Fluid/Blood Leak",ISNUMBER(SEARCH("missing",C792)),"Component Missing",ISNUMBER(SEARCH("power",C792)),"Complete Loss of Power",ISNUMBER(SEARCH("will not turn on",C792)),"Complete Loss of Power",ISNUMBER(SEARCH("won't turn on",C792)),"Complete Loss of Power",ISNUMBER(SEARCH("does not turn on",C792)),"Complete Loss of Power",ISNUMBER(SEARCH("electrical",C792)),"Electrical Power Problem",ISNUMBER(SEARCH("pressure",C792)),"Detachment of Device or Device Component",ISNUMBER(SEARCH("slip",C792)),"Detachment of Device or Device Component",ISNUMBER(SEARCH("detach",C792)),"Detachment of Device or Device Component",ISNUMBER(SEARCH("stick",C792)),"Mechanical Jam",ISNUMBER(SEARCH("jam",C792)),"Mechanical Jam",ISNUMBER(SEARCH("rigid",C792)),"Mechanical Jam",ISNUMBER(SEARCH("rust",C792)),"Corroded",ISNUMBER(SEARCH("corrod",C792)),"Corroded",ISNUMBER(SEARCH("corrosion",C792)),"Corroded",ISNUMBER(SEARCH("alignment",C792)),"Defective Device",ISNUMBER(SEARCH("adjust",C792)),"Defective Device",ISNUMBER(SEARCH("perform",C792)),"Defective Device",ISNUMBER(SEARCH("malfunction",C792)),"Defective Device",ISNUMBER(SEARCH("defect",C792)),"Defective Device",ISNUMBER(SEARCH("fail",C792)),"Defective Device",ISNUMBER(SEARCH("not work",C792)),"Defective Device",ISNUMBER(SEARCH("doesn't work",C792)),"Defective Device",TRUE,"UNKNOWN"),"UNKNOWN")))</f>
        <v/>
      </c>
      <c r="F792" s="4" t="str">
        <f t="shared" si="13"/>
        <v/>
      </c>
      <c r="G792" s="363" t="str">
        <f>IF(E792="","",IFERROR(VLOOKUP(E792,Codes!$L$2:$N$409,3,FALSE),"—"))</f>
        <v/>
      </c>
      <c r="H792" s="88"/>
      <c r="I792" s="88"/>
    </row>
    <row r="793" spans="1:9" ht="13.15" x14ac:dyDescent="0.35">
      <c r="A793" s="92"/>
      <c r="B793" s="89"/>
      <c r="C793" s="88"/>
      <c r="D793" s="88"/>
      <c r="E793" s="93" t="str" cm="1">
        <f t="array" ref="E793">IF(D793&lt;&gt;"",IFERROR(VLOOKUP(D793,Codes!$K$2:$L$409,2,FALSE),"UNKNOWN - "&amp;D793),IF(C793="","",IFERROR(_xlfn.IFS(ISNUMBER(SEARCH("broken button",C793)),"Break",ISNUMBER(SEARCH("broken handle",C793)),"Break",ISNUMBER(SEARCH("shipping damage",C793)),"Break",ISNUMBER(SEARCH("broken",C793)),"Break",ISNUMBER(SEARCH("crack",C793)),"Break",ISNUMBER(SEARCH("snap",C793)),"Break",ISNUMBER(SEARCH("fracture",C793)),"Break",ISNUMBER(SEARCH("bent",C793)),"Material Twisted/Bent",ISNUMBER(SEARCH("twisted",C793)),"Material Twisted/Bent",ISNUMBER(SEARCH("component separat",C793)),"Material Separation",ISNUMBER(SEARCH("separat",C793)),"Material Separation",ISNUMBER(SEARCH("connection",C793)),"Loose or Intermittent Connection",ISNUMBER(SEARCH("loose",C793)),"Loose or Intermittent Connection",ISNUMBER(SEARCH("damaged packaging",C793)),"Packaging Problem",ISNUMBER(SEARCH("packaging",C793)),"Packaging Problem",ISNUMBER(SEARCH("discoloration",C793)),"Contamination",ISNUMBER(SEARCH("tarnish",C793)),"Contamination",ISNUMBER(SEARCH("stain",C793)),"Contamination",ISNUMBER(SEARCH("foreign material",C793)),"Contamination",ISNUMBER(SEARCH("contamina",C793)),"Contamination",ISNUMBER(SEARCH("overheat",C793)),"Overheating of Device",ISNUMBER(SEARCH("excessive heat",C793)),"Overheating of Device",ISNUMBER(SEARCH("hot",C793)),"Overheating of Device",ISNUMBER(SEARCH("noise",C793)),"Noise, Audible",ISNUMBER(SEARCH("sound",C793)),"Noise, Audible",ISNUMBER(SEARCH("loud",C793)),"Noise, Audible",ISNUMBER(SEARCH("fray",C793)),"Material Frayed",ISNUMBER(SEARCH("hole",C793)),"Material Frayed",ISNUMBER(SEARCH("tear",C793)),"Material Frayed",ISNUMBER(SEARCH("worn",C793)),"Material Frayed",ISNUMBER(SEARCH("intermittent",C793)),"Difficult or Delayed Activation",ISNUMBER(SEARCH("delay",C793)),"Difficult or Delayed Activation",ISNUMBER(SEARCH("label",C793)),"Device Markings/Labelling Problem",ISNUMBER(SEARCH("marking",C793)),"Device Markings/Labelling Problem",ISNUMBER(SEARCH("lacerat",C793)),"Defective Device",ISNUMBER(SEARCH("cut",C793)),"Defective Device",ISNUMBER(SEARCH("leak",C793)),"Fluid/Blood Leak",ISNUMBER(SEARCH("missing",C793)),"Component Missing",ISNUMBER(SEARCH("power",C793)),"Complete Loss of Power",ISNUMBER(SEARCH("will not turn on",C793)),"Complete Loss of Power",ISNUMBER(SEARCH("won't turn on",C793)),"Complete Loss of Power",ISNUMBER(SEARCH("does not turn on",C793)),"Complete Loss of Power",ISNUMBER(SEARCH("electrical",C793)),"Electrical Power Problem",ISNUMBER(SEARCH("pressure",C793)),"Detachment of Device or Device Component",ISNUMBER(SEARCH("slip",C793)),"Detachment of Device or Device Component",ISNUMBER(SEARCH("detach",C793)),"Detachment of Device or Device Component",ISNUMBER(SEARCH("stick",C793)),"Mechanical Jam",ISNUMBER(SEARCH("jam",C793)),"Mechanical Jam",ISNUMBER(SEARCH("rigid",C793)),"Mechanical Jam",ISNUMBER(SEARCH("rust",C793)),"Corroded",ISNUMBER(SEARCH("corrod",C793)),"Corroded",ISNUMBER(SEARCH("corrosion",C793)),"Corroded",ISNUMBER(SEARCH("alignment",C793)),"Defective Device",ISNUMBER(SEARCH("adjust",C793)),"Defective Device",ISNUMBER(SEARCH("perform",C793)),"Defective Device",ISNUMBER(SEARCH("malfunction",C793)),"Defective Device",ISNUMBER(SEARCH("defect",C793)),"Defective Device",ISNUMBER(SEARCH("fail",C793)),"Defective Device",ISNUMBER(SEARCH("not work",C793)),"Defective Device",ISNUMBER(SEARCH("doesn't work",C793)),"Defective Device",TRUE,"UNKNOWN"),"UNKNOWN")))</f>
        <v/>
      </c>
      <c r="F793" s="4" t="str">
        <f t="shared" si="13"/>
        <v/>
      </c>
      <c r="G793" s="363" t="str">
        <f>IF(E793="","",IFERROR(VLOOKUP(E793,Codes!$L$2:$N$409,3,FALSE),"—"))</f>
        <v/>
      </c>
      <c r="H793" s="88"/>
      <c r="I793" s="88"/>
    </row>
    <row r="794" spans="1:9" ht="13.15" x14ac:dyDescent="0.35">
      <c r="A794" s="92"/>
      <c r="B794" s="89"/>
      <c r="C794" s="88"/>
      <c r="D794" s="88"/>
      <c r="E794" s="93" t="str" cm="1">
        <f t="array" ref="E794">IF(D794&lt;&gt;"",IFERROR(VLOOKUP(D794,Codes!$K$2:$L$409,2,FALSE),"UNKNOWN - "&amp;D794),IF(C794="","",IFERROR(_xlfn.IFS(ISNUMBER(SEARCH("broken button",C794)),"Break",ISNUMBER(SEARCH("broken handle",C794)),"Break",ISNUMBER(SEARCH("shipping damage",C794)),"Break",ISNUMBER(SEARCH("broken",C794)),"Break",ISNUMBER(SEARCH("crack",C794)),"Break",ISNUMBER(SEARCH("snap",C794)),"Break",ISNUMBER(SEARCH("fracture",C794)),"Break",ISNUMBER(SEARCH("bent",C794)),"Material Twisted/Bent",ISNUMBER(SEARCH("twisted",C794)),"Material Twisted/Bent",ISNUMBER(SEARCH("component separat",C794)),"Material Separation",ISNUMBER(SEARCH("separat",C794)),"Material Separation",ISNUMBER(SEARCH("connection",C794)),"Loose or Intermittent Connection",ISNUMBER(SEARCH("loose",C794)),"Loose or Intermittent Connection",ISNUMBER(SEARCH("damaged packaging",C794)),"Packaging Problem",ISNUMBER(SEARCH("packaging",C794)),"Packaging Problem",ISNUMBER(SEARCH("discoloration",C794)),"Contamination",ISNUMBER(SEARCH("tarnish",C794)),"Contamination",ISNUMBER(SEARCH("stain",C794)),"Contamination",ISNUMBER(SEARCH("foreign material",C794)),"Contamination",ISNUMBER(SEARCH("contamina",C794)),"Contamination",ISNUMBER(SEARCH("overheat",C794)),"Overheating of Device",ISNUMBER(SEARCH("excessive heat",C794)),"Overheating of Device",ISNUMBER(SEARCH("hot",C794)),"Overheating of Device",ISNUMBER(SEARCH("noise",C794)),"Noise, Audible",ISNUMBER(SEARCH("sound",C794)),"Noise, Audible",ISNUMBER(SEARCH("loud",C794)),"Noise, Audible",ISNUMBER(SEARCH("fray",C794)),"Material Frayed",ISNUMBER(SEARCH("hole",C794)),"Material Frayed",ISNUMBER(SEARCH("tear",C794)),"Material Frayed",ISNUMBER(SEARCH("worn",C794)),"Material Frayed",ISNUMBER(SEARCH("intermittent",C794)),"Difficult or Delayed Activation",ISNUMBER(SEARCH("delay",C794)),"Difficult or Delayed Activation",ISNUMBER(SEARCH("label",C794)),"Device Markings/Labelling Problem",ISNUMBER(SEARCH("marking",C794)),"Device Markings/Labelling Problem",ISNUMBER(SEARCH("lacerat",C794)),"Defective Device",ISNUMBER(SEARCH("cut",C794)),"Defective Device",ISNUMBER(SEARCH("leak",C794)),"Fluid/Blood Leak",ISNUMBER(SEARCH("missing",C794)),"Component Missing",ISNUMBER(SEARCH("power",C794)),"Complete Loss of Power",ISNUMBER(SEARCH("will not turn on",C794)),"Complete Loss of Power",ISNUMBER(SEARCH("won't turn on",C794)),"Complete Loss of Power",ISNUMBER(SEARCH("does not turn on",C794)),"Complete Loss of Power",ISNUMBER(SEARCH("electrical",C794)),"Electrical Power Problem",ISNUMBER(SEARCH("pressure",C794)),"Detachment of Device or Device Component",ISNUMBER(SEARCH("slip",C794)),"Detachment of Device or Device Component",ISNUMBER(SEARCH("detach",C794)),"Detachment of Device or Device Component",ISNUMBER(SEARCH("stick",C794)),"Mechanical Jam",ISNUMBER(SEARCH("jam",C794)),"Mechanical Jam",ISNUMBER(SEARCH("rigid",C794)),"Mechanical Jam",ISNUMBER(SEARCH("rust",C794)),"Corroded",ISNUMBER(SEARCH("corrod",C794)),"Corroded",ISNUMBER(SEARCH("corrosion",C794)),"Corroded",ISNUMBER(SEARCH("alignment",C794)),"Defective Device",ISNUMBER(SEARCH("adjust",C794)),"Defective Device",ISNUMBER(SEARCH("perform",C794)),"Defective Device",ISNUMBER(SEARCH("malfunction",C794)),"Defective Device",ISNUMBER(SEARCH("defect",C794)),"Defective Device",ISNUMBER(SEARCH("fail",C794)),"Defective Device",ISNUMBER(SEARCH("not work",C794)),"Defective Device",ISNUMBER(SEARCH("doesn't work",C794)),"Defective Device",TRUE,"UNKNOWN"),"UNKNOWN")))</f>
        <v/>
      </c>
      <c r="F794" s="4" t="str">
        <f t="shared" si="13"/>
        <v/>
      </c>
      <c r="G794" s="363" t="str">
        <f>IF(E794="","",IFERROR(VLOOKUP(E794,Codes!$L$2:$N$409,3,FALSE),"—"))</f>
        <v/>
      </c>
      <c r="H794" s="88"/>
      <c r="I794" s="88"/>
    </row>
    <row r="795" spans="1:9" ht="13.15" x14ac:dyDescent="0.35">
      <c r="A795" s="92"/>
      <c r="B795" s="89"/>
      <c r="C795" s="88"/>
      <c r="D795" s="88"/>
      <c r="E795" s="93" t="str" cm="1">
        <f t="array" ref="E795">IF(D795&lt;&gt;"",IFERROR(VLOOKUP(D795,Codes!$K$2:$L$409,2,FALSE),"UNKNOWN - "&amp;D795),IF(C795="","",IFERROR(_xlfn.IFS(ISNUMBER(SEARCH("broken button",C795)),"Break",ISNUMBER(SEARCH("broken handle",C795)),"Break",ISNUMBER(SEARCH("shipping damage",C795)),"Break",ISNUMBER(SEARCH("broken",C795)),"Break",ISNUMBER(SEARCH("crack",C795)),"Break",ISNUMBER(SEARCH("snap",C795)),"Break",ISNUMBER(SEARCH("fracture",C795)),"Break",ISNUMBER(SEARCH("bent",C795)),"Material Twisted/Bent",ISNUMBER(SEARCH("twisted",C795)),"Material Twisted/Bent",ISNUMBER(SEARCH("component separat",C795)),"Material Separation",ISNUMBER(SEARCH("separat",C795)),"Material Separation",ISNUMBER(SEARCH("connection",C795)),"Loose or Intermittent Connection",ISNUMBER(SEARCH("loose",C795)),"Loose or Intermittent Connection",ISNUMBER(SEARCH("damaged packaging",C795)),"Packaging Problem",ISNUMBER(SEARCH("packaging",C795)),"Packaging Problem",ISNUMBER(SEARCH("discoloration",C795)),"Contamination",ISNUMBER(SEARCH("tarnish",C795)),"Contamination",ISNUMBER(SEARCH("stain",C795)),"Contamination",ISNUMBER(SEARCH("foreign material",C795)),"Contamination",ISNUMBER(SEARCH("contamina",C795)),"Contamination",ISNUMBER(SEARCH("overheat",C795)),"Overheating of Device",ISNUMBER(SEARCH("excessive heat",C795)),"Overheating of Device",ISNUMBER(SEARCH("hot",C795)),"Overheating of Device",ISNUMBER(SEARCH("noise",C795)),"Noise, Audible",ISNUMBER(SEARCH("sound",C795)),"Noise, Audible",ISNUMBER(SEARCH("loud",C795)),"Noise, Audible",ISNUMBER(SEARCH("fray",C795)),"Material Frayed",ISNUMBER(SEARCH("hole",C795)),"Material Frayed",ISNUMBER(SEARCH("tear",C795)),"Material Frayed",ISNUMBER(SEARCH("worn",C795)),"Material Frayed",ISNUMBER(SEARCH("intermittent",C795)),"Difficult or Delayed Activation",ISNUMBER(SEARCH("delay",C795)),"Difficult or Delayed Activation",ISNUMBER(SEARCH("label",C795)),"Device Markings/Labelling Problem",ISNUMBER(SEARCH("marking",C795)),"Device Markings/Labelling Problem",ISNUMBER(SEARCH("lacerat",C795)),"Defective Device",ISNUMBER(SEARCH("cut",C795)),"Defective Device",ISNUMBER(SEARCH("leak",C795)),"Fluid/Blood Leak",ISNUMBER(SEARCH("missing",C795)),"Component Missing",ISNUMBER(SEARCH("power",C795)),"Complete Loss of Power",ISNUMBER(SEARCH("will not turn on",C795)),"Complete Loss of Power",ISNUMBER(SEARCH("won't turn on",C795)),"Complete Loss of Power",ISNUMBER(SEARCH("does not turn on",C795)),"Complete Loss of Power",ISNUMBER(SEARCH("electrical",C795)),"Electrical Power Problem",ISNUMBER(SEARCH("pressure",C795)),"Detachment of Device or Device Component",ISNUMBER(SEARCH("slip",C795)),"Detachment of Device or Device Component",ISNUMBER(SEARCH("detach",C795)),"Detachment of Device or Device Component",ISNUMBER(SEARCH("stick",C795)),"Mechanical Jam",ISNUMBER(SEARCH("jam",C795)),"Mechanical Jam",ISNUMBER(SEARCH("rigid",C795)),"Mechanical Jam",ISNUMBER(SEARCH("rust",C795)),"Corroded",ISNUMBER(SEARCH("corrod",C795)),"Corroded",ISNUMBER(SEARCH("corrosion",C795)),"Corroded",ISNUMBER(SEARCH("alignment",C795)),"Defective Device",ISNUMBER(SEARCH("adjust",C795)),"Defective Device",ISNUMBER(SEARCH("perform",C795)),"Defective Device",ISNUMBER(SEARCH("malfunction",C795)),"Defective Device",ISNUMBER(SEARCH("defect",C795)),"Defective Device",ISNUMBER(SEARCH("fail",C795)),"Defective Device",ISNUMBER(SEARCH("not work",C795)),"Defective Device",ISNUMBER(SEARCH("doesn't work",C795)),"Defective Device",TRUE,"UNKNOWN"),"UNKNOWN")))</f>
        <v/>
      </c>
      <c r="F795" s="4" t="str">
        <f t="shared" si="13"/>
        <v/>
      </c>
      <c r="G795" s="363" t="str">
        <f>IF(E795="","",IFERROR(VLOOKUP(E795,Codes!$L$2:$N$409,3,FALSE),"—"))</f>
        <v/>
      </c>
      <c r="H795" s="88"/>
      <c r="I795" s="88"/>
    </row>
    <row r="796" spans="1:9" ht="13.15" x14ac:dyDescent="0.35">
      <c r="A796" s="92"/>
      <c r="B796" s="89"/>
      <c r="C796" s="88"/>
      <c r="D796" s="88"/>
      <c r="E796" s="93" t="str" cm="1">
        <f t="array" ref="E796">IF(D796&lt;&gt;"",IFERROR(VLOOKUP(D796,Codes!$K$2:$L$409,2,FALSE),"UNKNOWN - "&amp;D796),IF(C796="","",IFERROR(_xlfn.IFS(ISNUMBER(SEARCH("broken button",C796)),"Break",ISNUMBER(SEARCH("broken handle",C796)),"Break",ISNUMBER(SEARCH("shipping damage",C796)),"Break",ISNUMBER(SEARCH("broken",C796)),"Break",ISNUMBER(SEARCH("crack",C796)),"Break",ISNUMBER(SEARCH("snap",C796)),"Break",ISNUMBER(SEARCH("fracture",C796)),"Break",ISNUMBER(SEARCH("bent",C796)),"Material Twisted/Bent",ISNUMBER(SEARCH("twisted",C796)),"Material Twisted/Bent",ISNUMBER(SEARCH("component separat",C796)),"Material Separation",ISNUMBER(SEARCH("separat",C796)),"Material Separation",ISNUMBER(SEARCH("connection",C796)),"Loose or Intermittent Connection",ISNUMBER(SEARCH("loose",C796)),"Loose or Intermittent Connection",ISNUMBER(SEARCH("damaged packaging",C796)),"Packaging Problem",ISNUMBER(SEARCH("packaging",C796)),"Packaging Problem",ISNUMBER(SEARCH("discoloration",C796)),"Contamination",ISNUMBER(SEARCH("tarnish",C796)),"Contamination",ISNUMBER(SEARCH("stain",C796)),"Contamination",ISNUMBER(SEARCH("foreign material",C796)),"Contamination",ISNUMBER(SEARCH("contamina",C796)),"Contamination",ISNUMBER(SEARCH("overheat",C796)),"Overheating of Device",ISNUMBER(SEARCH("excessive heat",C796)),"Overheating of Device",ISNUMBER(SEARCH("hot",C796)),"Overheating of Device",ISNUMBER(SEARCH("noise",C796)),"Noise, Audible",ISNUMBER(SEARCH("sound",C796)),"Noise, Audible",ISNUMBER(SEARCH("loud",C796)),"Noise, Audible",ISNUMBER(SEARCH("fray",C796)),"Material Frayed",ISNUMBER(SEARCH("hole",C796)),"Material Frayed",ISNUMBER(SEARCH("tear",C796)),"Material Frayed",ISNUMBER(SEARCH("worn",C796)),"Material Frayed",ISNUMBER(SEARCH("intermittent",C796)),"Difficult or Delayed Activation",ISNUMBER(SEARCH("delay",C796)),"Difficult or Delayed Activation",ISNUMBER(SEARCH("label",C796)),"Device Markings/Labelling Problem",ISNUMBER(SEARCH("marking",C796)),"Device Markings/Labelling Problem",ISNUMBER(SEARCH("lacerat",C796)),"Defective Device",ISNUMBER(SEARCH("cut",C796)),"Defective Device",ISNUMBER(SEARCH("leak",C796)),"Fluid/Blood Leak",ISNUMBER(SEARCH("missing",C796)),"Component Missing",ISNUMBER(SEARCH("power",C796)),"Complete Loss of Power",ISNUMBER(SEARCH("will not turn on",C796)),"Complete Loss of Power",ISNUMBER(SEARCH("won't turn on",C796)),"Complete Loss of Power",ISNUMBER(SEARCH("does not turn on",C796)),"Complete Loss of Power",ISNUMBER(SEARCH("electrical",C796)),"Electrical Power Problem",ISNUMBER(SEARCH("pressure",C796)),"Detachment of Device or Device Component",ISNUMBER(SEARCH("slip",C796)),"Detachment of Device or Device Component",ISNUMBER(SEARCH("detach",C796)),"Detachment of Device or Device Component",ISNUMBER(SEARCH("stick",C796)),"Mechanical Jam",ISNUMBER(SEARCH("jam",C796)),"Mechanical Jam",ISNUMBER(SEARCH("rigid",C796)),"Mechanical Jam",ISNUMBER(SEARCH("rust",C796)),"Corroded",ISNUMBER(SEARCH("corrod",C796)),"Corroded",ISNUMBER(SEARCH("corrosion",C796)),"Corroded",ISNUMBER(SEARCH("alignment",C796)),"Defective Device",ISNUMBER(SEARCH("adjust",C796)),"Defective Device",ISNUMBER(SEARCH("perform",C796)),"Defective Device",ISNUMBER(SEARCH("malfunction",C796)),"Defective Device",ISNUMBER(SEARCH("defect",C796)),"Defective Device",ISNUMBER(SEARCH("fail",C796)),"Defective Device",ISNUMBER(SEARCH("not work",C796)),"Defective Device",ISNUMBER(SEARCH("doesn't work",C796)),"Defective Device",TRUE,"UNKNOWN"),"UNKNOWN")))</f>
        <v/>
      </c>
      <c r="F796" s="4" t="str">
        <f t="shared" si="13"/>
        <v/>
      </c>
      <c r="G796" s="363" t="str">
        <f>IF(E796="","",IFERROR(VLOOKUP(E796,Codes!$L$2:$N$409,3,FALSE),"—"))</f>
        <v/>
      </c>
      <c r="H796" s="88"/>
      <c r="I796" s="88"/>
    </row>
    <row r="797" spans="1:9" ht="13.15" x14ac:dyDescent="0.35">
      <c r="A797" s="92"/>
      <c r="B797" s="89"/>
      <c r="C797" s="88"/>
      <c r="D797" s="88"/>
      <c r="E797" s="93" t="str" cm="1">
        <f t="array" ref="E797">IF(D797&lt;&gt;"",IFERROR(VLOOKUP(D797,Codes!$K$2:$L$409,2,FALSE),"UNKNOWN - "&amp;D797),IF(C797="","",IFERROR(_xlfn.IFS(ISNUMBER(SEARCH("broken button",C797)),"Break",ISNUMBER(SEARCH("broken handle",C797)),"Break",ISNUMBER(SEARCH("shipping damage",C797)),"Break",ISNUMBER(SEARCH("broken",C797)),"Break",ISNUMBER(SEARCH("crack",C797)),"Break",ISNUMBER(SEARCH("snap",C797)),"Break",ISNUMBER(SEARCH("fracture",C797)),"Break",ISNUMBER(SEARCH("bent",C797)),"Material Twisted/Bent",ISNUMBER(SEARCH("twisted",C797)),"Material Twisted/Bent",ISNUMBER(SEARCH("component separat",C797)),"Material Separation",ISNUMBER(SEARCH("separat",C797)),"Material Separation",ISNUMBER(SEARCH("connection",C797)),"Loose or Intermittent Connection",ISNUMBER(SEARCH("loose",C797)),"Loose or Intermittent Connection",ISNUMBER(SEARCH("damaged packaging",C797)),"Packaging Problem",ISNUMBER(SEARCH("packaging",C797)),"Packaging Problem",ISNUMBER(SEARCH("discoloration",C797)),"Contamination",ISNUMBER(SEARCH("tarnish",C797)),"Contamination",ISNUMBER(SEARCH("stain",C797)),"Contamination",ISNUMBER(SEARCH("foreign material",C797)),"Contamination",ISNUMBER(SEARCH("contamina",C797)),"Contamination",ISNUMBER(SEARCH("overheat",C797)),"Overheating of Device",ISNUMBER(SEARCH("excessive heat",C797)),"Overheating of Device",ISNUMBER(SEARCH("hot",C797)),"Overheating of Device",ISNUMBER(SEARCH("noise",C797)),"Noise, Audible",ISNUMBER(SEARCH("sound",C797)),"Noise, Audible",ISNUMBER(SEARCH("loud",C797)),"Noise, Audible",ISNUMBER(SEARCH("fray",C797)),"Material Frayed",ISNUMBER(SEARCH("hole",C797)),"Material Frayed",ISNUMBER(SEARCH("tear",C797)),"Material Frayed",ISNUMBER(SEARCH("worn",C797)),"Material Frayed",ISNUMBER(SEARCH("intermittent",C797)),"Difficult or Delayed Activation",ISNUMBER(SEARCH("delay",C797)),"Difficult or Delayed Activation",ISNUMBER(SEARCH("label",C797)),"Device Markings/Labelling Problem",ISNUMBER(SEARCH("marking",C797)),"Device Markings/Labelling Problem",ISNUMBER(SEARCH("lacerat",C797)),"Defective Device",ISNUMBER(SEARCH("cut",C797)),"Defective Device",ISNUMBER(SEARCH("leak",C797)),"Fluid/Blood Leak",ISNUMBER(SEARCH("missing",C797)),"Component Missing",ISNUMBER(SEARCH("power",C797)),"Complete Loss of Power",ISNUMBER(SEARCH("will not turn on",C797)),"Complete Loss of Power",ISNUMBER(SEARCH("won't turn on",C797)),"Complete Loss of Power",ISNUMBER(SEARCH("does not turn on",C797)),"Complete Loss of Power",ISNUMBER(SEARCH("electrical",C797)),"Electrical Power Problem",ISNUMBER(SEARCH("pressure",C797)),"Detachment of Device or Device Component",ISNUMBER(SEARCH("slip",C797)),"Detachment of Device or Device Component",ISNUMBER(SEARCH("detach",C797)),"Detachment of Device or Device Component",ISNUMBER(SEARCH("stick",C797)),"Mechanical Jam",ISNUMBER(SEARCH("jam",C797)),"Mechanical Jam",ISNUMBER(SEARCH("rigid",C797)),"Mechanical Jam",ISNUMBER(SEARCH("rust",C797)),"Corroded",ISNUMBER(SEARCH("corrod",C797)),"Corroded",ISNUMBER(SEARCH("corrosion",C797)),"Corroded",ISNUMBER(SEARCH("alignment",C797)),"Defective Device",ISNUMBER(SEARCH("adjust",C797)),"Defective Device",ISNUMBER(SEARCH("perform",C797)),"Defective Device",ISNUMBER(SEARCH("malfunction",C797)),"Defective Device",ISNUMBER(SEARCH("defect",C797)),"Defective Device",ISNUMBER(SEARCH("fail",C797)),"Defective Device",ISNUMBER(SEARCH("not work",C797)),"Defective Device",ISNUMBER(SEARCH("doesn't work",C797)),"Defective Device",TRUE,"UNKNOWN"),"UNKNOWN")))</f>
        <v/>
      </c>
      <c r="F797" s="4" t="str">
        <f t="shared" si="13"/>
        <v/>
      </c>
      <c r="G797" s="363" t="str">
        <f>IF(E797="","",IFERROR(VLOOKUP(E797,Codes!$L$2:$N$409,3,FALSE),"—"))</f>
        <v/>
      </c>
      <c r="H797" s="88"/>
      <c r="I797" s="88"/>
    </row>
    <row r="798" spans="1:9" ht="13.15" x14ac:dyDescent="0.35">
      <c r="A798" s="92"/>
      <c r="B798" s="89"/>
      <c r="C798" s="88"/>
      <c r="D798" s="88"/>
      <c r="E798" s="93" t="str" cm="1">
        <f t="array" ref="E798">IF(D798&lt;&gt;"",IFERROR(VLOOKUP(D798,Codes!$K$2:$L$409,2,FALSE),"UNKNOWN - "&amp;D798),IF(C798="","",IFERROR(_xlfn.IFS(ISNUMBER(SEARCH("broken button",C798)),"Break",ISNUMBER(SEARCH("broken handle",C798)),"Break",ISNUMBER(SEARCH("shipping damage",C798)),"Break",ISNUMBER(SEARCH("broken",C798)),"Break",ISNUMBER(SEARCH("crack",C798)),"Break",ISNUMBER(SEARCH("snap",C798)),"Break",ISNUMBER(SEARCH("fracture",C798)),"Break",ISNUMBER(SEARCH("bent",C798)),"Material Twisted/Bent",ISNUMBER(SEARCH("twisted",C798)),"Material Twisted/Bent",ISNUMBER(SEARCH("component separat",C798)),"Material Separation",ISNUMBER(SEARCH("separat",C798)),"Material Separation",ISNUMBER(SEARCH("connection",C798)),"Loose or Intermittent Connection",ISNUMBER(SEARCH("loose",C798)),"Loose or Intermittent Connection",ISNUMBER(SEARCH("damaged packaging",C798)),"Packaging Problem",ISNUMBER(SEARCH("packaging",C798)),"Packaging Problem",ISNUMBER(SEARCH("discoloration",C798)),"Contamination",ISNUMBER(SEARCH("tarnish",C798)),"Contamination",ISNUMBER(SEARCH("stain",C798)),"Contamination",ISNUMBER(SEARCH("foreign material",C798)),"Contamination",ISNUMBER(SEARCH("contamina",C798)),"Contamination",ISNUMBER(SEARCH("overheat",C798)),"Overheating of Device",ISNUMBER(SEARCH("excessive heat",C798)),"Overheating of Device",ISNUMBER(SEARCH("hot",C798)),"Overheating of Device",ISNUMBER(SEARCH("noise",C798)),"Noise, Audible",ISNUMBER(SEARCH("sound",C798)),"Noise, Audible",ISNUMBER(SEARCH("loud",C798)),"Noise, Audible",ISNUMBER(SEARCH("fray",C798)),"Material Frayed",ISNUMBER(SEARCH("hole",C798)),"Material Frayed",ISNUMBER(SEARCH("tear",C798)),"Material Frayed",ISNUMBER(SEARCH("worn",C798)),"Material Frayed",ISNUMBER(SEARCH("intermittent",C798)),"Difficult or Delayed Activation",ISNUMBER(SEARCH("delay",C798)),"Difficult or Delayed Activation",ISNUMBER(SEARCH("label",C798)),"Device Markings/Labelling Problem",ISNUMBER(SEARCH("marking",C798)),"Device Markings/Labelling Problem",ISNUMBER(SEARCH("lacerat",C798)),"Defective Device",ISNUMBER(SEARCH("cut",C798)),"Defective Device",ISNUMBER(SEARCH("leak",C798)),"Fluid/Blood Leak",ISNUMBER(SEARCH("missing",C798)),"Component Missing",ISNUMBER(SEARCH("power",C798)),"Complete Loss of Power",ISNUMBER(SEARCH("will not turn on",C798)),"Complete Loss of Power",ISNUMBER(SEARCH("won't turn on",C798)),"Complete Loss of Power",ISNUMBER(SEARCH("does not turn on",C798)),"Complete Loss of Power",ISNUMBER(SEARCH("electrical",C798)),"Electrical Power Problem",ISNUMBER(SEARCH("pressure",C798)),"Detachment of Device or Device Component",ISNUMBER(SEARCH("slip",C798)),"Detachment of Device or Device Component",ISNUMBER(SEARCH("detach",C798)),"Detachment of Device or Device Component",ISNUMBER(SEARCH("stick",C798)),"Mechanical Jam",ISNUMBER(SEARCH("jam",C798)),"Mechanical Jam",ISNUMBER(SEARCH("rigid",C798)),"Mechanical Jam",ISNUMBER(SEARCH("rust",C798)),"Corroded",ISNUMBER(SEARCH("corrod",C798)),"Corroded",ISNUMBER(SEARCH("corrosion",C798)),"Corroded",ISNUMBER(SEARCH("alignment",C798)),"Defective Device",ISNUMBER(SEARCH("adjust",C798)),"Defective Device",ISNUMBER(SEARCH("perform",C798)),"Defective Device",ISNUMBER(SEARCH("malfunction",C798)),"Defective Device",ISNUMBER(SEARCH("defect",C798)),"Defective Device",ISNUMBER(SEARCH("fail",C798)),"Defective Device",ISNUMBER(SEARCH("not work",C798)),"Defective Device",ISNUMBER(SEARCH("doesn't work",C798)),"Defective Device",TRUE,"UNKNOWN"),"UNKNOWN")))</f>
        <v/>
      </c>
      <c r="F798" s="4" t="str">
        <f t="shared" si="13"/>
        <v/>
      </c>
      <c r="G798" s="363" t="str">
        <f>IF(E798="","",IFERROR(VLOOKUP(E798,Codes!$L$2:$N$409,3,FALSE),"—"))</f>
        <v/>
      </c>
      <c r="H798" s="88"/>
      <c r="I798" s="88"/>
    </row>
    <row r="799" spans="1:9" ht="13.15" x14ac:dyDescent="0.35">
      <c r="A799" s="92"/>
      <c r="B799" s="89"/>
      <c r="C799" s="88"/>
      <c r="D799" s="88"/>
      <c r="E799" s="93" t="str" cm="1">
        <f t="array" ref="E799">IF(D799&lt;&gt;"",IFERROR(VLOOKUP(D799,Codes!$K$2:$L$409,2,FALSE),"UNKNOWN - "&amp;D799),IF(C799="","",IFERROR(_xlfn.IFS(ISNUMBER(SEARCH("broken button",C799)),"Break",ISNUMBER(SEARCH("broken handle",C799)),"Break",ISNUMBER(SEARCH("shipping damage",C799)),"Break",ISNUMBER(SEARCH("broken",C799)),"Break",ISNUMBER(SEARCH("crack",C799)),"Break",ISNUMBER(SEARCH("snap",C799)),"Break",ISNUMBER(SEARCH("fracture",C799)),"Break",ISNUMBER(SEARCH("bent",C799)),"Material Twisted/Bent",ISNUMBER(SEARCH("twisted",C799)),"Material Twisted/Bent",ISNUMBER(SEARCH("component separat",C799)),"Material Separation",ISNUMBER(SEARCH("separat",C799)),"Material Separation",ISNUMBER(SEARCH("connection",C799)),"Loose or Intermittent Connection",ISNUMBER(SEARCH("loose",C799)),"Loose or Intermittent Connection",ISNUMBER(SEARCH("damaged packaging",C799)),"Packaging Problem",ISNUMBER(SEARCH("packaging",C799)),"Packaging Problem",ISNUMBER(SEARCH("discoloration",C799)),"Contamination",ISNUMBER(SEARCH("tarnish",C799)),"Contamination",ISNUMBER(SEARCH("stain",C799)),"Contamination",ISNUMBER(SEARCH("foreign material",C799)),"Contamination",ISNUMBER(SEARCH("contamina",C799)),"Contamination",ISNUMBER(SEARCH("overheat",C799)),"Overheating of Device",ISNUMBER(SEARCH("excessive heat",C799)),"Overheating of Device",ISNUMBER(SEARCH("hot",C799)),"Overheating of Device",ISNUMBER(SEARCH("noise",C799)),"Noise, Audible",ISNUMBER(SEARCH("sound",C799)),"Noise, Audible",ISNUMBER(SEARCH("loud",C799)),"Noise, Audible",ISNUMBER(SEARCH("fray",C799)),"Material Frayed",ISNUMBER(SEARCH("hole",C799)),"Material Frayed",ISNUMBER(SEARCH("tear",C799)),"Material Frayed",ISNUMBER(SEARCH("worn",C799)),"Material Frayed",ISNUMBER(SEARCH("intermittent",C799)),"Difficult or Delayed Activation",ISNUMBER(SEARCH("delay",C799)),"Difficult or Delayed Activation",ISNUMBER(SEARCH("label",C799)),"Device Markings/Labelling Problem",ISNUMBER(SEARCH("marking",C799)),"Device Markings/Labelling Problem",ISNUMBER(SEARCH("lacerat",C799)),"Defective Device",ISNUMBER(SEARCH("cut",C799)),"Defective Device",ISNUMBER(SEARCH("leak",C799)),"Fluid/Blood Leak",ISNUMBER(SEARCH("missing",C799)),"Component Missing",ISNUMBER(SEARCH("power",C799)),"Complete Loss of Power",ISNUMBER(SEARCH("will not turn on",C799)),"Complete Loss of Power",ISNUMBER(SEARCH("won't turn on",C799)),"Complete Loss of Power",ISNUMBER(SEARCH("does not turn on",C799)),"Complete Loss of Power",ISNUMBER(SEARCH("electrical",C799)),"Electrical Power Problem",ISNUMBER(SEARCH("pressure",C799)),"Detachment of Device or Device Component",ISNUMBER(SEARCH("slip",C799)),"Detachment of Device or Device Component",ISNUMBER(SEARCH("detach",C799)),"Detachment of Device or Device Component",ISNUMBER(SEARCH("stick",C799)),"Mechanical Jam",ISNUMBER(SEARCH("jam",C799)),"Mechanical Jam",ISNUMBER(SEARCH("rigid",C799)),"Mechanical Jam",ISNUMBER(SEARCH("rust",C799)),"Corroded",ISNUMBER(SEARCH("corrod",C799)),"Corroded",ISNUMBER(SEARCH("corrosion",C799)),"Corroded",ISNUMBER(SEARCH("alignment",C799)),"Defective Device",ISNUMBER(SEARCH("adjust",C799)),"Defective Device",ISNUMBER(SEARCH("perform",C799)),"Defective Device",ISNUMBER(SEARCH("malfunction",C799)),"Defective Device",ISNUMBER(SEARCH("defect",C799)),"Defective Device",ISNUMBER(SEARCH("fail",C799)),"Defective Device",ISNUMBER(SEARCH("not work",C799)),"Defective Device",ISNUMBER(SEARCH("doesn't work",C799)),"Defective Device",TRUE,"UNKNOWN"),"UNKNOWN")))</f>
        <v/>
      </c>
      <c r="F799" s="4" t="str">
        <f t="shared" si="13"/>
        <v/>
      </c>
      <c r="G799" s="363" t="str">
        <f>IF(E799="","",IFERROR(VLOOKUP(E799,Codes!$L$2:$N$409,3,FALSE),"—"))</f>
        <v/>
      </c>
      <c r="H799" s="88"/>
      <c r="I799" s="88"/>
    </row>
    <row r="800" spans="1:9" ht="13.15" x14ac:dyDescent="0.35">
      <c r="A800" s="92"/>
      <c r="B800" s="89"/>
      <c r="C800" s="88"/>
      <c r="D800" s="88"/>
      <c r="E800" s="93" t="str" cm="1">
        <f t="array" ref="E800">IF(D800&lt;&gt;"",IFERROR(VLOOKUP(D800,Codes!$K$2:$L$409,2,FALSE),"UNKNOWN - "&amp;D800),IF(C800="","",IFERROR(_xlfn.IFS(ISNUMBER(SEARCH("broken button",C800)),"Break",ISNUMBER(SEARCH("broken handle",C800)),"Break",ISNUMBER(SEARCH("shipping damage",C800)),"Break",ISNUMBER(SEARCH("broken",C800)),"Break",ISNUMBER(SEARCH("crack",C800)),"Break",ISNUMBER(SEARCH("snap",C800)),"Break",ISNUMBER(SEARCH("fracture",C800)),"Break",ISNUMBER(SEARCH("bent",C800)),"Material Twisted/Bent",ISNUMBER(SEARCH("twisted",C800)),"Material Twisted/Bent",ISNUMBER(SEARCH("component separat",C800)),"Material Separation",ISNUMBER(SEARCH("separat",C800)),"Material Separation",ISNUMBER(SEARCH("connection",C800)),"Loose or Intermittent Connection",ISNUMBER(SEARCH("loose",C800)),"Loose or Intermittent Connection",ISNUMBER(SEARCH("damaged packaging",C800)),"Packaging Problem",ISNUMBER(SEARCH("packaging",C800)),"Packaging Problem",ISNUMBER(SEARCH("discoloration",C800)),"Contamination",ISNUMBER(SEARCH("tarnish",C800)),"Contamination",ISNUMBER(SEARCH("stain",C800)),"Contamination",ISNUMBER(SEARCH("foreign material",C800)),"Contamination",ISNUMBER(SEARCH("contamina",C800)),"Contamination",ISNUMBER(SEARCH("overheat",C800)),"Overheating of Device",ISNUMBER(SEARCH("excessive heat",C800)),"Overheating of Device",ISNUMBER(SEARCH("hot",C800)),"Overheating of Device",ISNUMBER(SEARCH("noise",C800)),"Noise, Audible",ISNUMBER(SEARCH("sound",C800)),"Noise, Audible",ISNUMBER(SEARCH("loud",C800)),"Noise, Audible",ISNUMBER(SEARCH("fray",C800)),"Material Frayed",ISNUMBER(SEARCH("hole",C800)),"Material Frayed",ISNUMBER(SEARCH("tear",C800)),"Material Frayed",ISNUMBER(SEARCH("worn",C800)),"Material Frayed",ISNUMBER(SEARCH("intermittent",C800)),"Difficult or Delayed Activation",ISNUMBER(SEARCH("delay",C800)),"Difficult or Delayed Activation",ISNUMBER(SEARCH("label",C800)),"Device Markings/Labelling Problem",ISNUMBER(SEARCH("marking",C800)),"Device Markings/Labelling Problem",ISNUMBER(SEARCH("lacerat",C800)),"Defective Device",ISNUMBER(SEARCH("cut",C800)),"Defective Device",ISNUMBER(SEARCH("leak",C800)),"Fluid/Blood Leak",ISNUMBER(SEARCH("missing",C800)),"Component Missing",ISNUMBER(SEARCH("power",C800)),"Complete Loss of Power",ISNUMBER(SEARCH("will not turn on",C800)),"Complete Loss of Power",ISNUMBER(SEARCH("won't turn on",C800)),"Complete Loss of Power",ISNUMBER(SEARCH("does not turn on",C800)),"Complete Loss of Power",ISNUMBER(SEARCH("electrical",C800)),"Electrical Power Problem",ISNUMBER(SEARCH("pressure",C800)),"Detachment of Device or Device Component",ISNUMBER(SEARCH("slip",C800)),"Detachment of Device or Device Component",ISNUMBER(SEARCH("detach",C800)),"Detachment of Device or Device Component",ISNUMBER(SEARCH("stick",C800)),"Mechanical Jam",ISNUMBER(SEARCH("jam",C800)),"Mechanical Jam",ISNUMBER(SEARCH("rigid",C800)),"Mechanical Jam",ISNUMBER(SEARCH("rust",C800)),"Corroded",ISNUMBER(SEARCH("corrod",C800)),"Corroded",ISNUMBER(SEARCH("corrosion",C800)),"Corroded",ISNUMBER(SEARCH("alignment",C800)),"Defective Device",ISNUMBER(SEARCH("adjust",C800)),"Defective Device",ISNUMBER(SEARCH("perform",C800)),"Defective Device",ISNUMBER(SEARCH("malfunction",C800)),"Defective Device",ISNUMBER(SEARCH("defect",C800)),"Defective Device",ISNUMBER(SEARCH("fail",C800)),"Defective Device",ISNUMBER(SEARCH("not work",C800)),"Defective Device",ISNUMBER(SEARCH("doesn't work",C800)),"Defective Device",TRUE,"UNKNOWN"),"UNKNOWN")))</f>
        <v/>
      </c>
      <c r="F800" s="4" t="str">
        <f t="shared" si="13"/>
        <v/>
      </c>
      <c r="G800" s="363" t="str">
        <f>IF(E800="","",IFERROR(VLOOKUP(E800,Codes!$L$2:$N$409,3,FALSE),"—"))</f>
        <v/>
      </c>
      <c r="H800" s="88"/>
      <c r="I800" s="88"/>
    </row>
    <row r="801" spans="1:9" ht="13.15" x14ac:dyDescent="0.35">
      <c r="A801" s="92"/>
      <c r="B801" s="89"/>
      <c r="C801" s="88"/>
      <c r="D801" s="88"/>
      <c r="E801" s="93" t="str" cm="1">
        <f t="array" ref="E801">IF(D801&lt;&gt;"",IFERROR(VLOOKUP(D801,Codes!$K$2:$L$409,2,FALSE),"UNKNOWN - "&amp;D801),IF(C801="","",IFERROR(_xlfn.IFS(ISNUMBER(SEARCH("broken button",C801)),"Break",ISNUMBER(SEARCH("broken handle",C801)),"Break",ISNUMBER(SEARCH("shipping damage",C801)),"Break",ISNUMBER(SEARCH("broken",C801)),"Break",ISNUMBER(SEARCH("crack",C801)),"Break",ISNUMBER(SEARCH("snap",C801)),"Break",ISNUMBER(SEARCH("fracture",C801)),"Break",ISNUMBER(SEARCH("bent",C801)),"Material Twisted/Bent",ISNUMBER(SEARCH("twisted",C801)),"Material Twisted/Bent",ISNUMBER(SEARCH("component separat",C801)),"Material Separation",ISNUMBER(SEARCH("separat",C801)),"Material Separation",ISNUMBER(SEARCH("connection",C801)),"Loose or Intermittent Connection",ISNUMBER(SEARCH("loose",C801)),"Loose or Intermittent Connection",ISNUMBER(SEARCH("damaged packaging",C801)),"Packaging Problem",ISNUMBER(SEARCH("packaging",C801)),"Packaging Problem",ISNUMBER(SEARCH("discoloration",C801)),"Contamination",ISNUMBER(SEARCH("tarnish",C801)),"Contamination",ISNUMBER(SEARCH("stain",C801)),"Contamination",ISNUMBER(SEARCH("foreign material",C801)),"Contamination",ISNUMBER(SEARCH("contamina",C801)),"Contamination",ISNUMBER(SEARCH("overheat",C801)),"Overheating of Device",ISNUMBER(SEARCH("excessive heat",C801)),"Overheating of Device",ISNUMBER(SEARCH("hot",C801)),"Overheating of Device",ISNUMBER(SEARCH("noise",C801)),"Noise, Audible",ISNUMBER(SEARCH("sound",C801)),"Noise, Audible",ISNUMBER(SEARCH("loud",C801)),"Noise, Audible",ISNUMBER(SEARCH("fray",C801)),"Material Frayed",ISNUMBER(SEARCH("hole",C801)),"Material Frayed",ISNUMBER(SEARCH("tear",C801)),"Material Frayed",ISNUMBER(SEARCH("worn",C801)),"Material Frayed",ISNUMBER(SEARCH("intermittent",C801)),"Difficult or Delayed Activation",ISNUMBER(SEARCH("delay",C801)),"Difficult or Delayed Activation",ISNUMBER(SEARCH("label",C801)),"Device Markings/Labelling Problem",ISNUMBER(SEARCH("marking",C801)),"Device Markings/Labelling Problem",ISNUMBER(SEARCH("lacerat",C801)),"Defective Device",ISNUMBER(SEARCH("cut",C801)),"Defective Device",ISNUMBER(SEARCH("leak",C801)),"Fluid/Blood Leak",ISNUMBER(SEARCH("missing",C801)),"Component Missing",ISNUMBER(SEARCH("power",C801)),"Complete Loss of Power",ISNUMBER(SEARCH("will not turn on",C801)),"Complete Loss of Power",ISNUMBER(SEARCH("won't turn on",C801)),"Complete Loss of Power",ISNUMBER(SEARCH("does not turn on",C801)),"Complete Loss of Power",ISNUMBER(SEARCH("electrical",C801)),"Electrical Power Problem",ISNUMBER(SEARCH("pressure",C801)),"Detachment of Device or Device Component",ISNUMBER(SEARCH("slip",C801)),"Detachment of Device or Device Component",ISNUMBER(SEARCH("detach",C801)),"Detachment of Device or Device Component",ISNUMBER(SEARCH("stick",C801)),"Mechanical Jam",ISNUMBER(SEARCH("jam",C801)),"Mechanical Jam",ISNUMBER(SEARCH("rigid",C801)),"Mechanical Jam",ISNUMBER(SEARCH("rust",C801)),"Corroded",ISNUMBER(SEARCH("corrod",C801)),"Corroded",ISNUMBER(SEARCH("corrosion",C801)),"Corroded",ISNUMBER(SEARCH("alignment",C801)),"Defective Device",ISNUMBER(SEARCH("adjust",C801)),"Defective Device",ISNUMBER(SEARCH("perform",C801)),"Defective Device",ISNUMBER(SEARCH("malfunction",C801)),"Defective Device",ISNUMBER(SEARCH("defect",C801)),"Defective Device",ISNUMBER(SEARCH("fail",C801)),"Defective Device",ISNUMBER(SEARCH("not work",C801)),"Defective Device",ISNUMBER(SEARCH("doesn't work",C801)),"Defective Device",TRUE,"UNKNOWN"),"UNKNOWN")))</f>
        <v/>
      </c>
      <c r="F801" s="4" t="str">
        <f t="shared" si="13"/>
        <v/>
      </c>
      <c r="G801" s="363" t="str">
        <f>IF(E801="","",IFERROR(VLOOKUP(E801,Codes!$L$2:$N$409,3,FALSE),"—"))</f>
        <v/>
      </c>
      <c r="H801" s="88"/>
      <c r="I801" s="88"/>
    </row>
    <row r="802" spans="1:9" ht="13.15" x14ac:dyDescent="0.35">
      <c r="A802" s="92"/>
      <c r="B802" s="89"/>
      <c r="C802" s="88"/>
      <c r="D802" s="88"/>
      <c r="E802" s="93" t="str" cm="1">
        <f t="array" ref="E802">IF(D802&lt;&gt;"",IFERROR(VLOOKUP(D802,Codes!$K$2:$L$409,2,FALSE),"UNKNOWN - "&amp;D802),IF(C802="","",IFERROR(_xlfn.IFS(ISNUMBER(SEARCH("broken button",C802)),"Break",ISNUMBER(SEARCH("broken handle",C802)),"Break",ISNUMBER(SEARCH("shipping damage",C802)),"Break",ISNUMBER(SEARCH("broken",C802)),"Break",ISNUMBER(SEARCH("crack",C802)),"Break",ISNUMBER(SEARCH("snap",C802)),"Break",ISNUMBER(SEARCH("fracture",C802)),"Break",ISNUMBER(SEARCH("bent",C802)),"Material Twisted/Bent",ISNUMBER(SEARCH("twisted",C802)),"Material Twisted/Bent",ISNUMBER(SEARCH("component separat",C802)),"Material Separation",ISNUMBER(SEARCH("separat",C802)),"Material Separation",ISNUMBER(SEARCH("connection",C802)),"Loose or Intermittent Connection",ISNUMBER(SEARCH("loose",C802)),"Loose or Intermittent Connection",ISNUMBER(SEARCH("damaged packaging",C802)),"Packaging Problem",ISNUMBER(SEARCH("packaging",C802)),"Packaging Problem",ISNUMBER(SEARCH("discoloration",C802)),"Contamination",ISNUMBER(SEARCH("tarnish",C802)),"Contamination",ISNUMBER(SEARCH("stain",C802)),"Contamination",ISNUMBER(SEARCH("foreign material",C802)),"Contamination",ISNUMBER(SEARCH("contamina",C802)),"Contamination",ISNUMBER(SEARCH("overheat",C802)),"Overheating of Device",ISNUMBER(SEARCH("excessive heat",C802)),"Overheating of Device",ISNUMBER(SEARCH("hot",C802)),"Overheating of Device",ISNUMBER(SEARCH("noise",C802)),"Noise, Audible",ISNUMBER(SEARCH("sound",C802)),"Noise, Audible",ISNUMBER(SEARCH("loud",C802)),"Noise, Audible",ISNUMBER(SEARCH("fray",C802)),"Material Frayed",ISNUMBER(SEARCH("hole",C802)),"Material Frayed",ISNUMBER(SEARCH("tear",C802)),"Material Frayed",ISNUMBER(SEARCH("worn",C802)),"Material Frayed",ISNUMBER(SEARCH("intermittent",C802)),"Difficult or Delayed Activation",ISNUMBER(SEARCH("delay",C802)),"Difficult or Delayed Activation",ISNUMBER(SEARCH("label",C802)),"Device Markings/Labelling Problem",ISNUMBER(SEARCH("marking",C802)),"Device Markings/Labelling Problem",ISNUMBER(SEARCH("lacerat",C802)),"Defective Device",ISNUMBER(SEARCH("cut",C802)),"Defective Device",ISNUMBER(SEARCH("leak",C802)),"Fluid/Blood Leak",ISNUMBER(SEARCH("missing",C802)),"Component Missing",ISNUMBER(SEARCH("power",C802)),"Complete Loss of Power",ISNUMBER(SEARCH("will not turn on",C802)),"Complete Loss of Power",ISNUMBER(SEARCH("won't turn on",C802)),"Complete Loss of Power",ISNUMBER(SEARCH("does not turn on",C802)),"Complete Loss of Power",ISNUMBER(SEARCH("electrical",C802)),"Electrical Power Problem",ISNUMBER(SEARCH("pressure",C802)),"Detachment of Device or Device Component",ISNUMBER(SEARCH("slip",C802)),"Detachment of Device or Device Component",ISNUMBER(SEARCH("detach",C802)),"Detachment of Device or Device Component",ISNUMBER(SEARCH("stick",C802)),"Mechanical Jam",ISNUMBER(SEARCH("jam",C802)),"Mechanical Jam",ISNUMBER(SEARCH("rigid",C802)),"Mechanical Jam",ISNUMBER(SEARCH("rust",C802)),"Corroded",ISNUMBER(SEARCH("corrod",C802)),"Corroded",ISNUMBER(SEARCH("corrosion",C802)),"Corroded",ISNUMBER(SEARCH("alignment",C802)),"Defective Device",ISNUMBER(SEARCH("adjust",C802)),"Defective Device",ISNUMBER(SEARCH("perform",C802)),"Defective Device",ISNUMBER(SEARCH("malfunction",C802)),"Defective Device",ISNUMBER(SEARCH("defect",C802)),"Defective Device",ISNUMBER(SEARCH("fail",C802)),"Defective Device",ISNUMBER(SEARCH("not work",C802)),"Defective Device",ISNUMBER(SEARCH("doesn't work",C802)),"Defective Device",TRUE,"UNKNOWN"),"UNKNOWN")))</f>
        <v/>
      </c>
      <c r="F802" s="4" t="str">
        <f t="shared" si="13"/>
        <v/>
      </c>
      <c r="G802" s="363" t="str">
        <f>IF(E802="","",IFERROR(VLOOKUP(E802,Codes!$L$2:$N$409,3,FALSE),"—"))</f>
        <v/>
      </c>
      <c r="H802" s="88"/>
      <c r="I802" s="88"/>
    </row>
    <row r="803" spans="1:9" ht="13.15" x14ac:dyDescent="0.35">
      <c r="A803" s="92"/>
      <c r="B803" s="89"/>
      <c r="C803" s="88"/>
      <c r="D803" s="88"/>
      <c r="E803" s="93" t="str" cm="1">
        <f t="array" ref="E803">IF(D803&lt;&gt;"",IFERROR(VLOOKUP(D803,Codes!$K$2:$L$409,2,FALSE),"UNKNOWN - "&amp;D803),IF(C803="","",IFERROR(_xlfn.IFS(ISNUMBER(SEARCH("broken button",C803)),"Break",ISNUMBER(SEARCH("broken handle",C803)),"Break",ISNUMBER(SEARCH("shipping damage",C803)),"Break",ISNUMBER(SEARCH("broken",C803)),"Break",ISNUMBER(SEARCH("crack",C803)),"Break",ISNUMBER(SEARCH("snap",C803)),"Break",ISNUMBER(SEARCH("fracture",C803)),"Break",ISNUMBER(SEARCH("bent",C803)),"Material Twisted/Bent",ISNUMBER(SEARCH("twisted",C803)),"Material Twisted/Bent",ISNUMBER(SEARCH("component separat",C803)),"Material Separation",ISNUMBER(SEARCH("separat",C803)),"Material Separation",ISNUMBER(SEARCH("connection",C803)),"Loose or Intermittent Connection",ISNUMBER(SEARCH("loose",C803)),"Loose or Intermittent Connection",ISNUMBER(SEARCH("damaged packaging",C803)),"Packaging Problem",ISNUMBER(SEARCH("packaging",C803)),"Packaging Problem",ISNUMBER(SEARCH("discoloration",C803)),"Contamination",ISNUMBER(SEARCH("tarnish",C803)),"Contamination",ISNUMBER(SEARCH("stain",C803)),"Contamination",ISNUMBER(SEARCH("foreign material",C803)),"Contamination",ISNUMBER(SEARCH("contamina",C803)),"Contamination",ISNUMBER(SEARCH("overheat",C803)),"Overheating of Device",ISNUMBER(SEARCH("excessive heat",C803)),"Overheating of Device",ISNUMBER(SEARCH("hot",C803)),"Overheating of Device",ISNUMBER(SEARCH("noise",C803)),"Noise, Audible",ISNUMBER(SEARCH("sound",C803)),"Noise, Audible",ISNUMBER(SEARCH("loud",C803)),"Noise, Audible",ISNUMBER(SEARCH("fray",C803)),"Material Frayed",ISNUMBER(SEARCH("hole",C803)),"Material Frayed",ISNUMBER(SEARCH("tear",C803)),"Material Frayed",ISNUMBER(SEARCH("worn",C803)),"Material Frayed",ISNUMBER(SEARCH("intermittent",C803)),"Difficult or Delayed Activation",ISNUMBER(SEARCH("delay",C803)),"Difficult or Delayed Activation",ISNUMBER(SEARCH("label",C803)),"Device Markings/Labelling Problem",ISNUMBER(SEARCH("marking",C803)),"Device Markings/Labelling Problem",ISNUMBER(SEARCH("lacerat",C803)),"Defective Device",ISNUMBER(SEARCH("cut",C803)),"Defective Device",ISNUMBER(SEARCH("leak",C803)),"Fluid/Blood Leak",ISNUMBER(SEARCH("missing",C803)),"Component Missing",ISNUMBER(SEARCH("power",C803)),"Complete Loss of Power",ISNUMBER(SEARCH("will not turn on",C803)),"Complete Loss of Power",ISNUMBER(SEARCH("won't turn on",C803)),"Complete Loss of Power",ISNUMBER(SEARCH("does not turn on",C803)),"Complete Loss of Power",ISNUMBER(SEARCH("electrical",C803)),"Electrical Power Problem",ISNUMBER(SEARCH("pressure",C803)),"Detachment of Device or Device Component",ISNUMBER(SEARCH("slip",C803)),"Detachment of Device or Device Component",ISNUMBER(SEARCH("detach",C803)),"Detachment of Device or Device Component",ISNUMBER(SEARCH("stick",C803)),"Mechanical Jam",ISNUMBER(SEARCH("jam",C803)),"Mechanical Jam",ISNUMBER(SEARCH("rigid",C803)),"Mechanical Jam",ISNUMBER(SEARCH("rust",C803)),"Corroded",ISNUMBER(SEARCH("corrod",C803)),"Corroded",ISNUMBER(SEARCH("corrosion",C803)),"Corroded",ISNUMBER(SEARCH("alignment",C803)),"Defective Device",ISNUMBER(SEARCH("adjust",C803)),"Defective Device",ISNUMBER(SEARCH("perform",C803)),"Defective Device",ISNUMBER(SEARCH("malfunction",C803)),"Defective Device",ISNUMBER(SEARCH("defect",C803)),"Defective Device",ISNUMBER(SEARCH("fail",C803)),"Defective Device",ISNUMBER(SEARCH("not work",C803)),"Defective Device",ISNUMBER(SEARCH("doesn't work",C803)),"Defective Device",TRUE,"UNKNOWN"),"UNKNOWN")))</f>
        <v/>
      </c>
      <c r="F803" s="4" t="str">
        <f t="shared" si="13"/>
        <v/>
      </c>
      <c r="G803" s="363" t="str">
        <f>IF(E803="","",IFERROR(VLOOKUP(E803,Codes!$L$2:$N$409,3,FALSE),"—"))</f>
        <v/>
      </c>
      <c r="H803" s="88"/>
      <c r="I803" s="88"/>
    </row>
    <row r="804" spans="1:9" ht="13.15" x14ac:dyDescent="0.35">
      <c r="A804" s="92"/>
      <c r="B804" s="89"/>
      <c r="C804" s="88"/>
      <c r="D804" s="88"/>
      <c r="E804" s="93" t="str" cm="1">
        <f t="array" ref="E804">IF(D804&lt;&gt;"",IFERROR(VLOOKUP(D804,Codes!$K$2:$L$409,2,FALSE),"UNKNOWN - "&amp;D804),IF(C804="","",IFERROR(_xlfn.IFS(ISNUMBER(SEARCH("broken button",C804)),"Break",ISNUMBER(SEARCH("broken handle",C804)),"Break",ISNUMBER(SEARCH("shipping damage",C804)),"Break",ISNUMBER(SEARCH("broken",C804)),"Break",ISNUMBER(SEARCH("crack",C804)),"Break",ISNUMBER(SEARCH("snap",C804)),"Break",ISNUMBER(SEARCH("fracture",C804)),"Break",ISNUMBER(SEARCH("bent",C804)),"Material Twisted/Bent",ISNUMBER(SEARCH("twisted",C804)),"Material Twisted/Bent",ISNUMBER(SEARCH("component separat",C804)),"Material Separation",ISNUMBER(SEARCH("separat",C804)),"Material Separation",ISNUMBER(SEARCH("connection",C804)),"Loose or Intermittent Connection",ISNUMBER(SEARCH("loose",C804)),"Loose or Intermittent Connection",ISNUMBER(SEARCH("damaged packaging",C804)),"Packaging Problem",ISNUMBER(SEARCH("packaging",C804)),"Packaging Problem",ISNUMBER(SEARCH("discoloration",C804)),"Contamination",ISNUMBER(SEARCH("tarnish",C804)),"Contamination",ISNUMBER(SEARCH("stain",C804)),"Contamination",ISNUMBER(SEARCH("foreign material",C804)),"Contamination",ISNUMBER(SEARCH("contamina",C804)),"Contamination",ISNUMBER(SEARCH("overheat",C804)),"Overheating of Device",ISNUMBER(SEARCH("excessive heat",C804)),"Overheating of Device",ISNUMBER(SEARCH("hot",C804)),"Overheating of Device",ISNUMBER(SEARCH("noise",C804)),"Noise, Audible",ISNUMBER(SEARCH("sound",C804)),"Noise, Audible",ISNUMBER(SEARCH("loud",C804)),"Noise, Audible",ISNUMBER(SEARCH("fray",C804)),"Material Frayed",ISNUMBER(SEARCH("hole",C804)),"Material Frayed",ISNUMBER(SEARCH("tear",C804)),"Material Frayed",ISNUMBER(SEARCH("worn",C804)),"Material Frayed",ISNUMBER(SEARCH("intermittent",C804)),"Difficult or Delayed Activation",ISNUMBER(SEARCH("delay",C804)),"Difficult or Delayed Activation",ISNUMBER(SEARCH("label",C804)),"Device Markings/Labelling Problem",ISNUMBER(SEARCH("marking",C804)),"Device Markings/Labelling Problem",ISNUMBER(SEARCH("lacerat",C804)),"Defective Device",ISNUMBER(SEARCH("cut",C804)),"Defective Device",ISNUMBER(SEARCH("leak",C804)),"Fluid/Blood Leak",ISNUMBER(SEARCH("missing",C804)),"Component Missing",ISNUMBER(SEARCH("power",C804)),"Complete Loss of Power",ISNUMBER(SEARCH("will not turn on",C804)),"Complete Loss of Power",ISNUMBER(SEARCH("won't turn on",C804)),"Complete Loss of Power",ISNUMBER(SEARCH("does not turn on",C804)),"Complete Loss of Power",ISNUMBER(SEARCH("electrical",C804)),"Electrical Power Problem",ISNUMBER(SEARCH("pressure",C804)),"Detachment of Device or Device Component",ISNUMBER(SEARCH("slip",C804)),"Detachment of Device or Device Component",ISNUMBER(SEARCH("detach",C804)),"Detachment of Device or Device Component",ISNUMBER(SEARCH("stick",C804)),"Mechanical Jam",ISNUMBER(SEARCH("jam",C804)),"Mechanical Jam",ISNUMBER(SEARCH("rigid",C804)),"Mechanical Jam",ISNUMBER(SEARCH("rust",C804)),"Corroded",ISNUMBER(SEARCH("corrod",C804)),"Corroded",ISNUMBER(SEARCH("corrosion",C804)),"Corroded",ISNUMBER(SEARCH("alignment",C804)),"Defective Device",ISNUMBER(SEARCH("adjust",C804)),"Defective Device",ISNUMBER(SEARCH("perform",C804)),"Defective Device",ISNUMBER(SEARCH("malfunction",C804)),"Defective Device",ISNUMBER(SEARCH("defect",C804)),"Defective Device",ISNUMBER(SEARCH("fail",C804)),"Defective Device",ISNUMBER(SEARCH("not work",C804)),"Defective Device",ISNUMBER(SEARCH("doesn't work",C804)),"Defective Device",TRUE,"UNKNOWN"),"UNKNOWN")))</f>
        <v/>
      </c>
      <c r="F804" s="4" t="str">
        <f t="shared" si="13"/>
        <v/>
      </c>
      <c r="G804" s="363" t="str">
        <f>IF(E804="","",IFERROR(VLOOKUP(E804,Codes!$L$2:$N$409,3,FALSE),"—"))</f>
        <v/>
      </c>
      <c r="H804" s="88"/>
      <c r="I804" s="88"/>
    </row>
    <row r="805" spans="1:9" ht="13.15" x14ac:dyDescent="0.35">
      <c r="A805" s="92"/>
      <c r="B805" s="89"/>
      <c r="C805" s="88"/>
      <c r="D805" s="88"/>
      <c r="E805" s="93" t="str" cm="1">
        <f t="array" ref="E805">IF(D805&lt;&gt;"",IFERROR(VLOOKUP(D805,Codes!$K$2:$L$409,2,FALSE),"UNKNOWN - "&amp;D805),IF(C805="","",IFERROR(_xlfn.IFS(ISNUMBER(SEARCH("broken button",C805)),"Break",ISNUMBER(SEARCH("broken handle",C805)),"Break",ISNUMBER(SEARCH("shipping damage",C805)),"Break",ISNUMBER(SEARCH("broken",C805)),"Break",ISNUMBER(SEARCH("crack",C805)),"Break",ISNUMBER(SEARCH("snap",C805)),"Break",ISNUMBER(SEARCH("fracture",C805)),"Break",ISNUMBER(SEARCH("bent",C805)),"Material Twisted/Bent",ISNUMBER(SEARCH("twisted",C805)),"Material Twisted/Bent",ISNUMBER(SEARCH("component separat",C805)),"Material Separation",ISNUMBER(SEARCH("separat",C805)),"Material Separation",ISNUMBER(SEARCH("connection",C805)),"Loose or Intermittent Connection",ISNUMBER(SEARCH("loose",C805)),"Loose or Intermittent Connection",ISNUMBER(SEARCH("damaged packaging",C805)),"Packaging Problem",ISNUMBER(SEARCH("packaging",C805)),"Packaging Problem",ISNUMBER(SEARCH("discoloration",C805)),"Contamination",ISNUMBER(SEARCH("tarnish",C805)),"Contamination",ISNUMBER(SEARCH("stain",C805)),"Contamination",ISNUMBER(SEARCH("foreign material",C805)),"Contamination",ISNUMBER(SEARCH("contamina",C805)),"Contamination",ISNUMBER(SEARCH("overheat",C805)),"Overheating of Device",ISNUMBER(SEARCH("excessive heat",C805)),"Overheating of Device",ISNUMBER(SEARCH("hot",C805)),"Overheating of Device",ISNUMBER(SEARCH("noise",C805)),"Noise, Audible",ISNUMBER(SEARCH("sound",C805)),"Noise, Audible",ISNUMBER(SEARCH("loud",C805)),"Noise, Audible",ISNUMBER(SEARCH("fray",C805)),"Material Frayed",ISNUMBER(SEARCH("hole",C805)),"Material Frayed",ISNUMBER(SEARCH("tear",C805)),"Material Frayed",ISNUMBER(SEARCH("worn",C805)),"Material Frayed",ISNUMBER(SEARCH("intermittent",C805)),"Difficult or Delayed Activation",ISNUMBER(SEARCH("delay",C805)),"Difficult or Delayed Activation",ISNUMBER(SEARCH("label",C805)),"Device Markings/Labelling Problem",ISNUMBER(SEARCH("marking",C805)),"Device Markings/Labelling Problem",ISNUMBER(SEARCH("lacerat",C805)),"Defective Device",ISNUMBER(SEARCH("cut",C805)),"Defective Device",ISNUMBER(SEARCH("leak",C805)),"Fluid/Blood Leak",ISNUMBER(SEARCH("missing",C805)),"Component Missing",ISNUMBER(SEARCH("power",C805)),"Complete Loss of Power",ISNUMBER(SEARCH("will not turn on",C805)),"Complete Loss of Power",ISNUMBER(SEARCH("won't turn on",C805)),"Complete Loss of Power",ISNUMBER(SEARCH("does not turn on",C805)),"Complete Loss of Power",ISNUMBER(SEARCH("electrical",C805)),"Electrical Power Problem",ISNUMBER(SEARCH("pressure",C805)),"Detachment of Device or Device Component",ISNUMBER(SEARCH("slip",C805)),"Detachment of Device or Device Component",ISNUMBER(SEARCH("detach",C805)),"Detachment of Device or Device Component",ISNUMBER(SEARCH("stick",C805)),"Mechanical Jam",ISNUMBER(SEARCH("jam",C805)),"Mechanical Jam",ISNUMBER(SEARCH("rigid",C805)),"Mechanical Jam",ISNUMBER(SEARCH("rust",C805)),"Corroded",ISNUMBER(SEARCH("corrod",C805)),"Corroded",ISNUMBER(SEARCH("corrosion",C805)),"Corroded",ISNUMBER(SEARCH("alignment",C805)),"Defective Device",ISNUMBER(SEARCH("adjust",C805)),"Defective Device",ISNUMBER(SEARCH("perform",C805)),"Defective Device",ISNUMBER(SEARCH("malfunction",C805)),"Defective Device",ISNUMBER(SEARCH("defect",C805)),"Defective Device",ISNUMBER(SEARCH("fail",C805)),"Defective Device",ISNUMBER(SEARCH("not work",C805)),"Defective Device",ISNUMBER(SEARCH("doesn't work",C805)),"Defective Device",TRUE,"UNKNOWN"),"UNKNOWN")))</f>
        <v/>
      </c>
      <c r="F805" s="4" t="str">
        <f t="shared" si="13"/>
        <v/>
      </c>
      <c r="G805" s="363" t="str">
        <f>IF(E805="","",IFERROR(VLOOKUP(E805,Codes!$L$2:$N$409,3,FALSE),"—"))</f>
        <v/>
      </c>
      <c r="H805" s="88"/>
      <c r="I805" s="88"/>
    </row>
    <row r="806" spans="1:9" ht="13.15" x14ac:dyDescent="0.35">
      <c r="A806" s="92"/>
      <c r="B806" s="89"/>
      <c r="C806" s="88"/>
      <c r="D806" s="88"/>
      <c r="E806" s="93" t="str" cm="1">
        <f t="array" ref="E806">IF(D806&lt;&gt;"",IFERROR(VLOOKUP(D806,Codes!$K$2:$L$409,2,FALSE),"UNKNOWN - "&amp;D806),IF(C806="","",IFERROR(_xlfn.IFS(ISNUMBER(SEARCH("broken button",C806)),"Break",ISNUMBER(SEARCH("broken handle",C806)),"Break",ISNUMBER(SEARCH("shipping damage",C806)),"Break",ISNUMBER(SEARCH("broken",C806)),"Break",ISNUMBER(SEARCH("crack",C806)),"Break",ISNUMBER(SEARCH("snap",C806)),"Break",ISNUMBER(SEARCH("fracture",C806)),"Break",ISNUMBER(SEARCH("bent",C806)),"Material Twisted/Bent",ISNUMBER(SEARCH("twisted",C806)),"Material Twisted/Bent",ISNUMBER(SEARCH("component separat",C806)),"Material Separation",ISNUMBER(SEARCH("separat",C806)),"Material Separation",ISNUMBER(SEARCH("connection",C806)),"Loose or Intermittent Connection",ISNUMBER(SEARCH("loose",C806)),"Loose or Intermittent Connection",ISNUMBER(SEARCH("damaged packaging",C806)),"Packaging Problem",ISNUMBER(SEARCH("packaging",C806)),"Packaging Problem",ISNUMBER(SEARCH("discoloration",C806)),"Contamination",ISNUMBER(SEARCH("tarnish",C806)),"Contamination",ISNUMBER(SEARCH("stain",C806)),"Contamination",ISNUMBER(SEARCH("foreign material",C806)),"Contamination",ISNUMBER(SEARCH("contamina",C806)),"Contamination",ISNUMBER(SEARCH("overheat",C806)),"Overheating of Device",ISNUMBER(SEARCH("excessive heat",C806)),"Overheating of Device",ISNUMBER(SEARCH("hot",C806)),"Overheating of Device",ISNUMBER(SEARCH("noise",C806)),"Noise, Audible",ISNUMBER(SEARCH("sound",C806)),"Noise, Audible",ISNUMBER(SEARCH("loud",C806)),"Noise, Audible",ISNUMBER(SEARCH("fray",C806)),"Material Frayed",ISNUMBER(SEARCH("hole",C806)),"Material Frayed",ISNUMBER(SEARCH("tear",C806)),"Material Frayed",ISNUMBER(SEARCH("worn",C806)),"Material Frayed",ISNUMBER(SEARCH("intermittent",C806)),"Difficult or Delayed Activation",ISNUMBER(SEARCH("delay",C806)),"Difficult or Delayed Activation",ISNUMBER(SEARCH("label",C806)),"Device Markings/Labelling Problem",ISNUMBER(SEARCH("marking",C806)),"Device Markings/Labelling Problem",ISNUMBER(SEARCH("lacerat",C806)),"Defective Device",ISNUMBER(SEARCH("cut",C806)),"Defective Device",ISNUMBER(SEARCH("leak",C806)),"Fluid/Blood Leak",ISNUMBER(SEARCH("missing",C806)),"Component Missing",ISNUMBER(SEARCH("power",C806)),"Complete Loss of Power",ISNUMBER(SEARCH("will not turn on",C806)),"Complete Loss of Power",ISNUMBER(SEARCH("won't turn on",C806)),"Complete Loss of Power",ISNUMBER(SEARCH("does not turn on",C806)),"Complete Loss of Power",ISNUMBER(SEARCH("electrical",C806)),"Electrical Power Problem",ISNUMBER(SEARCH("pressure",C806)),"Detachment of Device or Device Component",ISNUMBER(SEARCH("slip",C806)),"Detachment of Device or Device Component",ISNUMBER(SEARCH("detach",C806)),"Detachment of Device or Device Component",ISNUMBER(SEARCH("stick",C806)),"Mechanical Jam",ISNUMBER(SEARCH("jam",C806)),"Mechanical Jam",ISNUMBER(SEARCH("rigid",C806)),"Mechanical Jam",ISNUMBER(SEARCH("rust",C806)),"Corroded",ISNUMBER(SEARCH("corrod",C806)),"Corroded",ISNUMBER(SEARCH("corrosion",C806)),"Corroded",ISNUMBER(SEARCH("alignment",C806)),"Defective Device",ISNUMBER(SEARCH("adjust",C806)),"Defective Device",ISNUMBER(SEARCH("perform",C806)),"Defective Device",ISNUMBER(SEARCH("malfunction",C806)),"Defective Device",ISNUMBER(SEARCH("defect",C806)),"Defective Device",ISNUMBER(SEARCH("fail",C806)),"Defective Device",ISNUMBER(SEARCH("not work",C806)),"Defective Device",ISNUMBER(SEARCH("doesn't work",C806)),"Defective Device",TRUE,"UNKNOWN"),"UNKNOWN")))</f>
        <v/>
      </c>
      <c r="F806" s="4" t="str">
        <f t="shared" si="13"/>
        <v/>
      </c>
      <c r="G806" s="363" t="str">
        <f>IF(E806="","",IFERROR(VLOOKUP(E806,Codes!$L$2:$N$409,3,FALSE),"—"))</f>
        <v/>
      </c>
      <c r="H806" s="88"/>
      <c r="I806" s="88"/>
    </row>
    <row r="807" spans="1:9" ht="13.15" x14ac:dyDescent="0.35">
      <c r="A807" s="92"/>
      <c r="B807" s="89"/>
      <c r="C807" s="88"/>
      <c r="D807" s="88"/>
      <c r="E807" s="93" t="str" cm="1">
        <f t="array" ref="E807">IF(D807&lt;&gt;"",IFERROR(VLOOKUP(D807,Codes!$K$2:$L$409,2,FALSE),"UNKNOWN - "&amp;D807),IF(C807="","",IFERROR(_xlfn.IFS(ISNUMBER(SEARCH("broken button",C807)),"Break",ISNUMBER(SEARCH("broken handle",C807)),"Break",ISNUMBER(SEARCH("shipping damage",C807)),"Break",ISNUMBER(SEARCH("broken",C807)),"Break",ISNUMBER(SEARCH("crack",C807)),"Break",ISNUMBER(SEARCH("snap",C807)),"Break",ISNUMBER(SEARCH("fracture",C807)),"Break",ISNUMBER(SEARCH("bent",C807)),"Material Twisted/Bent",ISNUMBER(SEARCH("twisted",C807)),"Material Twisted/Bent",ISNUMBER(SEARCH("component separat",C807)),"Material Separation",ISNUMBER(SEARCH("separat",C807)),"Material Separation",ISNUMBER(SEARCH("connection",C807)),"Loose or Intermittent Connection",ISNUMBER(SEARCH("loose",C807)),"Loose or Intermittent Connection",ISNUMBER(SEARCH("damaged packaging",C807)),"Packaging Problem",ISNUMBER(SEARCH("packaging",C807)),"Packaging Problem",ISNUMBER(SEARCH("discoloration",C807)),"Contamination",ISNUMBER(SEARCH("tarnish",C807)),"Contamination",ISNUMBER(SEARCH("stain",C807)),"Contamination",ISNUMBER(SEARCH("foreign material",C807)),"Contamination",ISNUMBER(SEARCH("contamina",C807)),"Contamination",ISNUMBER(SEARCH("overheat",C807)),"Overheating of Device",ISNUMBER(SEARCH("excessive heat",C807)),"Overheating of Device",ISNUMBER(SEARCH("hot",C807)),"Overheating of Device",ISNUMBER(SEARCH("noise",C807)),"Noise, Audible",ISNUMBER(SEARCH("sound",C807)),"Noise, Audible",ISNUMBER(SEARCH("loud",C807)),"Noise, Audible",ISNUMBER(SEARCH("fray",C807)),"Material Frayed",ISNUMBER(SEARCH("hole",C807)),"Material Frayed",ISNUMBER(SEARCH("tear",C807)),"Material Frayed",ISNUMBER(SEARCH("worn",C807)),"Material Frayed",ISNUMBER(SEARCH("intermittent",C807)),"Difficult or Delayed Activation",ISNUMBER(SEARCH("delay",C807)),"Difficult or Delayed Activation",ISNUMBER(SEARCH("label",C807)),"Device Markings/Labelling Problem",ISNUMBER(SEARCH("marking",C807)),"Device Markings/Labelling Problem",ISNUMBER(SEARCH("lacerat",C807)),"Defective Device",ISNUMBER(SEARCH("cut",C807)),"Defective Device",ISNUMBER(SEARCH("leak",C807)),"Fluid/Blood Leak",ISNUMBER(SEARCH("missing",C807)),"Component Missing",ISNUMBER(SEARCH("power",C807)),"Complete Loss of Power",ISNUMBER(SEARCH("will not turn on",C807)),"Complete Loss of Power",ISNUMBER(SEARCH("won't turn on",C807)),"Complete Loss of Power",ISNUMBER(SEARCH("does not turn on",C807)),"Complete Loss of Power",ISNUMBER(SEARCH("electrical",C807)),"Electrical Power Problem",ISNUMBER(SEARCH("pressure",C807)),"Detachment of Device or Device Component",ISNUMBER(SEARCH("slip",C807)),"Detachment of Device or Device Component",ISNUMBER(SEARCH("detach",C807)),"Detachment of Device or Device Component",ISNUMBER(SEARCH("stick",C807)),"Mechanical Jam",ISNUMBER(SEARCH("jam",C807)),"Mechanical Jam",ISNUMBER(SEARCH("rigid",C807)),"Mechanical Jam",ISNUMBER(SEARCH("rust",C807)),"Corroded",ISNUMBER(SEARCH("corrod",C807)),"Corroded",ISNUMBER(SEARCH("corrosion",C807)),"Corroded",ISNUMBER(SEARCH("alignment",C807)),"Defective Device",ISNUMBER(SEARCH("adjust",C807)),"Defective Device",ISNUMBER(SEARCH("perform",C807)),"Defective Device",ISNUMBER(SEARCH("malfunction",C807)),"Defective Device",ISNUMBER(SEARCH("defect",C807)),"Defective Device",ISNUMBER(SEARCH("fail",C807)),"Defective Device",ISNUMBER(SEARCH("not work",C807)),"Defective Device",ISNUMBER(SEARCH("doesn't work",C807)),"Defective Device",TRUE,"UNKNOWN"),"UNKNOWN")))</f>
        <v/>
      </c>
      <c r="F807" s="4" t="str">
        <f t="shared" si="13"/>
        <v/>
      </c>
      <c r="G807" s="363" t="str">
        <f>IF(E807="","",IFERROR(VLOOKUP(E807,Codes!$L$2:$N$409,3,FALSE),"—"))</f>
        <v/>
      </c>
      <c r="H807" s="88"/>
      <c r="I807" s="88"/>
    </row>
    <row r="808" spans="1:9" ht="13.15" x14ac:dyDescent="0.35">
      <c r="A808" s="92"/>
      <c r="B808" s="89"/>
      <c r="C808" s="88"/>
      <c r="D808" s="88"/>
      <c r="E808" s="93" t="str" cm="1">
        <f t="array" ref="E808">IF(D808&lt;&gt;"",IFERROR(VLOOKUP(D808,Codes!$K$2:$L$409,2,FALSE),"UNKNOWN - "&amp;D808),IF(C808="","",IFERROR(_xlfn.IFS(ISNUMBER(SEARCH("broken button",C808)),"Break",ISNUMBER(SEARCH("broken handle",C808)),"Break",ISNUMBER(SEARCH("shipping damage",C808)),"Break",ISNUMBER(SEARCH("broken",C808)),"Break",ISNUMBER(SEARCH("crack",C808)),"Break",ISNUMBER(SEARCH("snap",C808)),"Break",ISNUMBER(SEARCH("fracture",C808)),"Break",ISNUMBER(SEARCH("bent",C808)),"Material Twisted/Bent",ISNUMBER(SEARCH("twisted",C808)),"Material Twisted/Bent",ISNUMBER(SEARCH("component separat",C808)),"Material Separation",ISNUMBER(SEARCH("separat",C808)),"Material Separation",ISNUMBER(SEARCH("connection",C808)),"Loose or Intermittent Connection",ISNUMBER(SEARCH("loose",C808)),"Loose or Intermittent Connection",ISNUMBER(SEARCH("damaged packaging",C808)),"Packaging Problem",ISNUMBER(SEARCH("packaging",C808)),"Packaging Problem",ISNUMBER(SEARCH("discoloration",C808)),"Contamination",ISNUMBER(SEARCH("tarnish",C808)),"Contamination",ISNUMBER(SEARCH("stain",C808)),"Contamination",ISNUMBER(SEARCH("foreign material",C808)),"Contamination",ISNUMBER(SEARCH("contamina",C808)),"Contamination",ISNUMBER(SEARCH("overheat",C808)),"Overheating of Device",ISNUMBER(SEARCH("excessive heat",C808)),"Overheating of Device",ISNUMBER(SEARCH("hot",C808)),"Overheating of Device",ISNUMBER(SEARCH("noise",C808)),"Noise, Audible",ISNUMBER(SEARCH("sound",C808)),"Noise, Audible",ISNUMBER(SEARCH("loud",C808)),"Noise, Audible",ISNUMBER(SEARCH("fray",C808)),"Material Frayed",ISNUMBER(SEARCH("hole",C808)),"Material Frayed",ISNUMBER(SEARCH("tear",C808)),"Material Frayed",ISNUMBER(SEARCH("worn",C808)),"Material Frayed",ISNUMBER(SEARCH("intermittent",C808)),"Difficult or Delayed Activation",ISNUMBER(SEARCH("delay",C808)),"Difficult or Delayed Activation",ISNUMBER(SEARCH("label",C808)),"Device Markings/Labelling Problem",ISNUMBER(SEARCH("marking",C808)),"Device Markings/Labelling Problem",ISNUMBER(SEARCH("lacerat",C808)),"Defective Device",ISNUMBER(SEARCH("cut",C808)),"Defective Device",ISNUMBER(SEARCH("leak",C808)),"Fluid/Blood Leak",ISNUMBER(SEARCH("missing",C808)),"Component Missing",ISNUMBER(SEARCH("power",C808)),"Complete Loss of Power",ISNUMBER(SEARCH("will not turn on",C808)),"Complete Loss of Power",ISNUMBER(SEARCH("won't turn on",C808)),"Complete Loss of Power",ISNUMBER(SEARCH("does not turn on",C808)),"Complete Loss of Power",ISNUMBER(SEARCH("electrical",C808)),"Electrical Power Problem",ISNUMBER(SEARCH("pressure",C808)),"Detachment of Device or Device Component",ISNUMBER(SEARCH("slip",C808)),"Detachment of Device or Device Component",ISNUMBER(SEARCH("detach",C808)),"Detachment of Device or Device Component",ISNUMBER(SEARCH("stick",C808)),"Mechanical Jam",ISNUMBER(SEARCH("jam",C808)),"Mechanical Jam",ISNUMBER(SEARCH("rigid",C808)),"Mechanical Jam",ISNUMBER(SEARCH("rust",C808)),"Corroded",ISNUMBER(SEARCH("corrod",C808)),"Corroded",ISNUMBER(SEARCH("corrosion",C808)),"Corroded",ISNUMBER(SEARCH("alignment",C808)),"Defective Device",ISNUMBER(SEARCH("adjust",C808)),"Defective Device",ISNUMBER(SEARCH("perform",C808)),"Defective Device",ISNUMBER(SEARCH("malfunction",C808)),"Defective Device",ISNUMBER(SEARCH("defect",C808)),"Defective Device",ISNUMBER(SEARCH("fail",C808)),"Defective Device",ISNUMBER(SEARCH("not work",C808)),"Defective Device",ISNUMBER(SEARCH("doesn't work",C808)),"Defective Device",TRUE,"UNKNOWN"),"UNKNOWN")))</f>
        <v/>
      </c>
      <c r="F808" s="4" t="str">
        <f t="shared" si="13"/>
        <v/>
      </c>
      <c r="G808" s="363" t="str">
        <f>IF(E808="","",IFERROR(VLOOKUP(E808,Codes!$L$2:$N$409,3,FALSE),"—"))</f>
        <v/>
      </c>
      <c r="H808" s="88"/>
      <c r="I808" s="88"/>
    </row>
    <row r="809" spans="1:9" ht="13.15" x14ac:dyDescent="0.35">
      <c r="A809" s="92"/>
      <c r="B809" s="89"/>
      <c r="C809" s="88"/>
      <c r="D809" s="88"/>
      <c r="E809" s="93" t="str" cm="1">
        <f t="array" ref="E809">IF(D809&lt;&gt;"",IFERROR(VLOOKUP(D809,Codes!$K$2:$L$409,2,FALSE),"UNKNOWN - "&amp;D809),IF(C809="","",IFERROR(_xlfn.IFS(ISNUMBER(SEARCH("broken button",C809)),"Break",ISNUMBER(SEARCH("broken handle",C809)),"Break",ISNUMBER(SEARCH("shipping damage",C809)),"Break",ISNUMBER(SEARCH("broken",C809)),"Break",ISNUMBER(SEARCH("crack",C809)),"Break",ISNUMBER(SEARCH("snap",C809)),"Break",ISNUMBER(SEARCH("fracture",C809)),"Break",ISNUMBER(SEARCH("bent",C809)),"Material Twisted/Bent",ISNUMBER(SEARCH("twisted",C809)),"Material Twisted/Bent",ISNUMBER(SEARCH("component separat",C809)),"Material Separation",ISNUMBER(SEARCH("separat",C809)),"Material Separation",ISNUMBER(SEARCH("connection",C809)),"Loose or Intermittent Connection",ISNUMBER(SEARCH("loose",C809)),"Loose or Intermittent Connection",ISNUMBER(SEARCH("damaged packaging",C809)),"Packaging Problem",ISNUMBER(SEARCH("packaging",C809)),"Packaging Problem",ISNUMBER(SEARCH("discoloration",C809)),"Contamination",ISNUMBER(SEARCH("tarnish",C809)),"Contamination",ISNUMBER(SEARCH("stain",C809)),"Contamination",ISNUMBER(SEARCH("foreign material",C809)),"Contamination",ISNUMBER(SEARCH("contamina",C809)),"Contamination",ISNUMBER(SEARCH("overheat",C809)),"Overheating of Device",ISNUMBER(SEARCH("excessive heat",C809)),"Overheating of Device",ISNUMBER(SEARCH("hot",C809)),"Overheating of Device",ISNUMBER(SEARCH("noise",C809)),"Noise, Audible",ISNUMBER(SEARCH("sound",C809)),"Noise, Audible",ISNUMBER(SEARCH("loud",C809)),"Noise, Audible",ISNUMBER(SEARCH("fray",C809)),"Material Frayed",ISNUMBER(SEARCH("hole",C809)),"Material Frayed",ISNUMBER(SEARCH("tear",C809)),"Material Frayed",ISNUMBER(SEARCH("worn",C809)),"Material Frayed",ISNUMBER(SEARCH("intermittent",C809)),"Difficult or Delayed Activation",ISNUMBER(SEARCH("delay",C809)),"Difficult or Delayed Activation",ISNUMBER(SEARCH("label",C809)),"Device Markings/Labelling Problem",ISNUMBER(SEARCH("marking",C809)),"Device Markings/Labelling Problem",ISNUMBER(SEARCH("lacerat",C809)),"Defective Device",ISNUMBER(SEARCH("cut",C809)),"Defective Device",ISNUMBER(SEARCH("leak",C809)),"Fluid/Blood Leak",ISNUMBER(SEARCH("missing",C809)),"Component Missing",ISNUMBER(SEARCH("power",C809)),"Complete Loss of Power",ISNUMBER(SEARCH("will not turn on",C809)),"Complete Loss of Power",ISNUMBER(SEARCH("won't turn on",C809)),"Complete Loss of Power",ISNUMBER(SEARCH("does not turn on",C809)),"Complete Loss of Power",ISNUMBER(SEARCH("electrical",C809)),"Electrical Power Problem",ISNUMBER(SEARCH("pressure",C809)),"Detachment of Device or Device Component",ISNUMBER(SEARCH("slip",C809)),"Detachment of Device or Device Component",ISNUMBER(SEARCH("detach",C809)),"Detachment of Device or Device Component",ISNUMBER(SEARCH("stick",C809)),"Mechanical Jam",ISNUMBER(SEARCH("jam",C809)),"Mechanical Jam",ISNUMBER(SEARCH("rigid",C809)),"Mechanical Jam",ISNUMBER(SEARCH("rust",C809)),"Corroded",ISNUMBER(SEARCH("corrod",C809)),"Corroded",ISNUMBER(SEARCH("corrosion",C809)),"Corroded",ISNUMBER(SEARCH("alignment",C809)),"Defective Device",ISNUMBER(SEARCH("adjust",C809)),"Defective Device",ISNUMBER(SEARCH("perform",C809)),"Defective Device",ISNUMBER(SEARCH("malfunction",C809)),"Defective Device",ISNUMBER(SEARCH("defect",C809)),"Defective Device",ISNUMBER(SEARCH("fail",C809)),"Defective Device",ISNUMBER(SEARCH("not work",C809)),"Defective Device",ISNUMBER(SEARCH("doesn't work",C809)),"Defective Device",TRUE,"UNKNOWN"),"UNKNOWN")))</f>
        <v/>
      </c>
      <c r="F809" s="4" t="str">
        <f t="shared" si="13"/>
        <v/>
      </c>
      <c r="G809" s="363" t="str">
        <f>IF(E809="","",IFERROR(VLOOKUP(E809,Codes!$L$2:$N$409,3,FALSE),"—"))</f>
        <v/>
      </c>
      <c r="H809" s="88"/>
      <c r="I809" s="88"/>
    </row>
    <row r="810" spans="1:9" ht="13.15" x14ac:dyDescent="0.35">
      <c r="A810" s="92"/>
      <c r="B810" s="89"/>
      <c r="C810" s="88"/>
      <c r="D810" s="88"/>
      <c r="E810" s="93" t="str" cm="1">
        <f t="array" ref="E810">IF(D810&lt;&gt;"",IFERROR(VLOOKUP(D810,Codes!$K$2:$L$409,2,FALSE),"UNKNOWN - "&amp;D810),IF(C810="","",IFERROR(_xlfn.IFS(ISNUMBER(SEARCH("broken button",C810)),"Break",ISNUMBER(SEARCH("broken handle",C810)),"Break",ISNUMBER(SEARCH("shipping damage",C810)),"Break",ISNUMBER(SEARCH("broken",C810)),"Break",ISNUMBER(SEARCH("crack",C810)),"Break",ISNUMBER(SEARCH("snap",C810)),"Break",ISNUMBER(SEARCH("fracture",C810)),"Break",ISNUMBER(SEARCH("bent",C810)),"Material Twisted/Bent",ISNUMBER(SEARCH("twisted",C810)),"Material Twisted/Bent",ISNUMBER(SEARCH("component separat",C810)),"Material Separation",ISNUMBER(SEARCH("separat",C810)),"Material Separation",ISNUMBER(SEARCH("connection",C810)),"Loose or Intermittent Connection",ISNUMBER(SEARCH("loose",C810)),"Loose or Intermittent Connection",ISNUMBER(SEARCH("damaged packaging",C810)),"Packaging Problem",ISNUMBER(SEARCH("packaging",C810)),"Packaging Problem",ISNUMBER(SEARCH("discoloration",C810)),"Contamination",ISNUMBER(SEARCH("tarnish",C810)),"Contamination",ISNUMBER(SEARCH("stain",C810)),"Contamination",ISNUMBER(SEARCH("foreign material",C810)),"Contamination",ISNUMBER(SEARCH("contamina",C810)),"Contamination",ISNUMBER(SEARCH("overheat",C810)),"Overheating of Device",ISNUMBER(SEARCH("excessive heat",C810)),"Overheating of Device",ISNUMBER(SEARCH("hot",C810)),"Overheating of Device",ISNUMBER(SEARCH("noise",C810)),"Noise, Audible",ISNUMBER(SEARCH("sound",C810)),"Noise, Audible",ISNUMBER(SEARCH("loud",C810)),"Noise, Audible",ISNUMBER(SEARCH("fray",C810)),"Material Frayed",ISNUMBER(SEARCH("hole",C810)),"Material Frayed",ISNUMBER(SEARCH("tear",C810)),"Material Frayed",ISNUMBER(SEARCH("worn",C810)),"Material Frayed",ISNUMBER(SEARCH("intermittent",C810)),"Difficult or Delayed Activation",ISNUMBER(SEARCH("delay",C810)),"Difficult or Delayed Activation",ISNUMBER(SEARCH("label",C810)),"Device Markings/Labelling Problem",ISNUMBER(SEARCH("marking",C810)),"Device Markings/Labelling Problem",ISNUMBER(SEARCH("lacerat",C810)),"Defective Device",ISNUMBER(SEARCH("cut",C810)),"Defective Device",ISNUMBER(SEARCH("leak",C810)),"Fluid/Blood Leak",ISNUMBER(SEARCH("missing",C810)),"Component Missing",ISNUMBER(SEARCH("power",C810)),"Complete Loss of Power",ISNUMBER(SEARCH("will not turn on",C810)),"Complete Loss of Power",ISNUMBER(SEARCH("won't turn on",C810)),"Complete Loss of Power",ISNUMBER(SEARCH("does not turn on",C810)),"Complete Loss of Power",ISNUMBER(SEARCH("electrical",C810)),"Electrical Power Problem",ISNUMBER(SEARCH("pressure",C810)),"Detachment of Device or Device Component",ISNUMBER(SEARCH("slip",C810)),"Detachment of Device or Device Component",ISNUMBER(SEARCH("detach",C810)),"Detachment of Device or Device Component",ISNUMBER(SEARCH("stick",C810)),"Mechanical Jam",ISNUMBER(SEARCH("jam",C810)),"Mechanical Jam",ISNUMBER(SEARCH("rigid",C810)),"Mechanical Jam",ISNUMBER(SEARCH("rust",C810)),"Corroded",ISNUMBER(SEARCH("corrod",C810)),"Corroded",ISNUMBER(SEARCH("corrosion",C810)),"Corroded",ISNUMBER(SEARCH("alignment",C810)),"Defective Device",ISNUMBER(SEARCH("adjust",C810)),"Defective Device",ISNUMBER(SEARCH("perform",C810)),"Defective Device",ISNUMBER(SEARCH("malfunction",C810)),"Defective Device",ISNUMBER(SEARCH("defect",C810)),"Defective Device",ISNUMBER(SEARCH("fail",C810)),"Defective Device",ISNUMBER(SEARCH("not work",C810)),"Defective Device",ISNUMBER(SEARCH("doesn't work",C810)),"Defective Device",TRUE,"UNKNOWN"),"UNKNOWN")))</f>
        <v/>
      </c>
      <c r="F810" s="4" t="str">
        <f t="shared" si="13"/>
        <v/>
      </c>
      <c r="G810" s="363" t="str">
        <f>IF(E810="","",IFERROR(VLOOKUP(E810,Codes!$L$2:$N$409,3,FALSE),"—"))</f>
        <v/>
      </c>
      <c r="H810" s="88"/>
      <c r="I810" s="88"/>
    </row>
    <row r="811" spans="1:9" ht="13.15" x14ac:dyDescent="0.35">
      <c r="A811" s="92"/>
      <c r="B811" s="89"/>
      <c r="C811" s="88"/>
      <c r="D811" s="88"/>
      <c r="E811" s="93" t="str" cm="1">
        <f t="array" ref="E811">IF(D811&lt;&gt;"",IFERROR(VLOOKUP(D811,Codes!$K$2:$L$409,2,FALSE),"UNKNOWN - "&amp;D811),IF(C811="","",IFERROR(_xlfn.IFS(ISNUMBER(SEARCH("broken button",C811)),"Break",ISNUMBER(SEARCH("broken handle",C811)),"Break",ISNUMBER(SEARCH("shipping damage",C811)),"Break",ISNUMBER(SEARCH("broken",C811)),"Break",ISNUMBER(SEARCH("crack",C811)),"Break",ISNUMBER(SEARCH("snap",C811)),"Break",ISNUMBER(SEARCH("fracture",C811)),"Break",ISNUMBER(SEARCH("bent",C811)),"Material Twisted/Bent",ISNUMBER(SEARCH("twisted",C811)),"Material Twisted/Bent",ISNUMBER(SEARCH("component separat",C811)),"Material Separation",ISNUMBER(SEARCH("separat",C811)),"Material Separation",ISNUMBER(SEARCH("connection",C811)),"Loose or Intermittent Connection",ISNUMBER(SEARCH("loose",C811)),"Loose or Intermittent Connection",ISNUMBER(SEARCH("damaged packaging",C811)),"Packaging Problem",ISNUMBER(SEARCH("packaging",C811)),"Packaging Problem",ISNUMBER(SEARCH("discoloration",C811)),"Contamination",ISNUMBER(SEARCH("tarnish",C811)),"Contamination",ISNUMBER(SEARCH("stain",C811)),"Contamination",ISNUMBER(SEARCH("foreign material",C811)),"Contamination",ISNUMBER(SEARCH("contamina",C811)),"Contamination",ISNUMBER(SEARCH("overheat",C811)),"Overheating of Device",ISNUMBER(SEARCH("excessive heat",C811)),"Overheating of Device",ISNUMBER(SEARCH("hot",C811)),"Overheating of Device",ISNUMBER(SEARCH("noise",C811)),"Noise, Audible",ISNUMBER(SEARCH("sound",C811)),"Noise, Audible",ISNUMBER(SEARCH("loud",C811)),"Noise, Audible",ISNUMBER(SEARCH("fray",C811)),"Material Frayed",ISNUMBER(SEARCH("hole",C811)),"Material Frayed",ISNUMBER(SEARCH("tear",C811)),"Material Frayed",ISNUMBER(SEARCH("worn",C811)),"Material Frayed",ISNUMBER(SEARCH("intermittent",C811)),"Difficult or Delayed Activation",ISNUMBER(SEARCH("delay",C811)),"Difficult or Delayed Activation",ISNUMBER(SEARCH("label",C811)),"Device Markings/Labelling Problem",ISNUMBER(SEARCH("marking",C811)),"Device Markings/Labelling Problem",ISNUMBER(SEARCH("lacerat",C811)),"Defective Device",ISNUMBER(SEARCH("cut",C811)),"Defective Device",ISNUMBER(SEARCH("leak",C811)),"Fluid/Blood Leak",ISNUMBER(SEARCH("missing",C811)),"Component Missing",ISNUMBER(SEARCH("power",C811)),"Complete Loss of Power",ISNUMBER(SEARCH("will not turn on",C811)),"Complete Loss of Power",ISNUMBER(SEARCH("won't turn on",C811)),"Complete Loss of Power",ISNUMBER(SEARCH("does not turn on",C811)),"Complete Loss of Power",ISNUMBER(SEARCH("electrical",C811)),"Electrical Power Problem",ISNUMBER(SEARCH("pressure",C811)),"Detachment of Device or Device Component",ISNUMBER(SEARCH("slip",C811)),"Detachment of Device or Device Component",ISNUMBER(SEARCH("detach",C811)),"Detachment of Device or Device Component",ISNUMBER(SEARCH("stick",C811)),"Mechanical Jam",ISNUMBER(SEARCH("jam",C811)),"Mechanical Jam",ISNUMBER(SEARCH("rigid",C811)),"Mechanical Jam",ISNUMBER(SEARCH("rust",C811)),"Corroded",ISNUMBER(SEARCH("corrod",C811)),"Corroded",ISNUMBER(SEARCH("corrosion",C811)),"Corroded",ISNUMBER(SEARCH("alignment",C811)),"Defective Device",ISNUMBER(SEARCH("adjust",C811)),"Defective Device",ISNUMBER(SEARCH("perform",C811)),"Defective Device",ISNUMBER(SEARCH("malfunction",C811)),"Defective Device",ISNUMBER(SEARCH("defect",C811)),"Defective Device",ISNUMBER(SEARCH("fail",C811)),"Defective Device",ISNUMBER(SEARCH("not work",C811)),"Defective Device",ISNUMBER(SEARCH("doesn't work",C811)),"Defective Device",TRUE,"UNKNOWN"),"UNKNOWN")))</f>
        <v/>
      </c>
      <c r="F811" s="4" t="str">
        <f t="shared" si="13"/>
        <v/>
      </c>
      <c r="G811" s="363" t="str">
        <f>IF(E811="","",IFERROR(VLOOKUP(E811,Codes!$L$2:$N$409,3,FALSE),"—"))</f>
        <v/>
      </c>
      <c r="H811" s="88"/>
      <c r="I811" s="88"/>
    </row>
    <row r="812" spans="1:9" ht="13.15" x14ac:dyDescent="0.35">
      <c r="A812" s="92"/>
      <c r="B812" s="89"/>
      <c r="C812" s="88"/>
      <c r="D812" s="88"/>
      <c r="E812" s="93" t="str" cm="1">
        <f t="array" ref="E812">IF(D812&lt;&gt;"",IFERROR(VLOOKUP(D812,Codes!$K$2:$L$409,2,FALSE),"UNKNOWN - "&amp;D812),IF(C812="","",IFERROR(_xlfn.IFS(ISNUMBER(SEARCH("broken button",C812)),"Break",ISNUMBER(SEARCH("broken handle",C812)),"Break",ISNUMBER(SEARCH("shipping damage",C812)),"Break",ISNUMBER(SEARCH("broken",C812)),"Break",ISNUMBER(SEARCH("crack",C812)),"Break",ISNUMBER(SEARCH("snap",C812)),"Break",ISNUMBER(SEARCH("fracture",C812)),"Break",ISNUMBER(SEARCH("bent",C812)),"Material Twisted/Bent",ISNUMBER(SEARCH("twisted",C812)),"Material Twisted/Bent",ISNUMBER(SEARCH("component separat",C812)),"Material Separation",ISNUMBER(SEARCH("separat",C812)),"Material Separation",ISNUMBER(SEARCH("connection",C812)),"Loose or Intermittent Connection",ISNUMBER(SEARCH("loose",C812)),"Loose or Intermittent Connection",ISNUMBER(SEARCH("damaged packaging",C812)),"Packaging Problem",ISNUMBER(SEARCH("packaging",C812)),"Packaging Problem",ISNUMBER(SEARCH("discoloration",C812)),"Contamination",ISNUMBER(SEARCH("tarnish",C812)),"Contamination",ISNUMBER(SEARCH("stain",C812)),"Contamination",ISNUMBER(SEARCH("foreign material",C812)),"Contamination",ISNUMBER(SEARCH("contamina",C812)),"Contamination",ISNUMBER(SEARCH("overheat",C812)),"Overheating of Device",ISNUMBER(SEARCH("excessive heat",C812)),"Overheating of Device",ISNUMBER(SEARCH("hot",C812)),"Overheating of Device",ISNUMBER(SEARCH("noise",C812)),"Noise, Audible",ISNUMBER(SEARCH("sound",C812)),"Noise, Audible",ISNUMBER(SEARCH("loud",C812)),"Noise, Audible",ISNUMBER(SEARCH("fray",C812)),"Material Frayed",ISNUMBER(SEARCH("hole",C812)),"Material Frayed",ISNUMBER(SEARCH("tear",C812)),"Material Frayed",ISNUMBER(SEARCH("worn",C812)),"Material Frayed",ISNUMBER(SEARCH("intermittent",C812)),"Difficult or Delayed Activation",ISNUMBER(SEARCH("delay",C812)),"Difficult or Delayed Activation",ISNUMBER(SEARCH("label",C812)),"Device Markings/Labelling Problem",ISNUMBER(SEARCH("marking",C812)),"Device Markings/Labelling Problem",ISNUMBER(SEARCH("lacerat",C812)),"Defective Device",ISNUMBER(SEARCH("cut",C812)),"Defective Device",ISNUMBER(SEARCH("leak",C812)),"Fluid/Blood Leak",ISNUMBER(SEARCH("missing",C812)),"Component Missing",ISNUMBER(SEARCH("power",C812)),"Complete Loss of Power",ISNUMBER(SEARCH("will not turn on",C812)),"Complete Loss of Power",ISNUMBER(SEARCH("won't turn on",C812)),"Complete Loss of Power",ISNUMBER(SEARCH("does not turn on",C812)),"Complete Loss of Power",ISNUMBER(SEARCH("electrical",C812)),"Electrical Power Problem",ISNUMBER(SEARCH("pressure",C812)),"Detachment of Device or Device Component",ISNUMBER(SEARCH("slip",C812)),"Detachment of Device or Device Component",ISNUMBER(SEARCH("detach",C812)),"Detachment of Device or Device Component",ISNUMBER(SEARCH("stick",C812)),"Mechanical Jam",ISNUMBER(SEARCH("jam",C812)),"Mechanical Jam",ISNUMBER(SEARCH("rigid",C812)),"Mechanical Jam",ISNUMBER(SEARCH("rust",C812)),"Corroded",ISNUMBER(SEARCH("corrod",C812)),"Corroded",ISNUMBER(SEARCH("corrosion",C812)),"Corroded",ISNUMBER(SEARCH("alignment",C812)),"Defective Device",ISNUMBER(SEARCH("adjust",C812)),"Defective Device",ISNUMBER(SEARCH("perform",C812)),"Defective Device",ISNUMBER(SEARCH("malfunction",C812)),"Defective Device",ISNUMBER(SEARCH("defect",C812)),"Defective Device",ISNUMBER(SEARCH("fail",C812)),"Defective Device",ISNUMBER(SEARCH("not work",C812)),"Defective Device",ISNUMBER(SEARCH("doesn't work",C812)),"Defective Device",TRUE,"UNKNOWN"),"UNKNOWN")))</f>
        <v/>
      </c>
      <c r="F812" s="4" t="str">
        <f t="shared" si="13"/>
        <v/>
      </c>
      <c r="G812" s="363" t="str">
        <f>IF(E812="","",IFERROR(VLOOKUP(E812,Codes!$L$2:$N$409,3,FALSE),"—"))</f>
        <v/>
      </c>
      <c r="H812" s="88"/>
      <c r="I812" s="88"/>
    </row>
    <row r="813" spans="1:9" ht="13.15" x14ac:dyDescent="0.35">
      <c r="A813" s="92"/>
      <c r="B813" s="89"/>
      <c r="C813" s="88"/>
      <c r="D813" s="88"/>
      <c r="E813" s="93" t="str" cm="1">
        <f t="array" ref="E813">IF(D813&lt;&gt;"",IFERROR(VLOOKUP(D813,Codes!$K$2:$L$409,2,FALSE),"UNKNOWN - "&amp;D813),IF(C813="","",IFERROR(_xlfn.IFS(ISNUMBER(SEARCH("broken button",C813)),"Break",ISNUMBER(SEARCH("broken handle",C813)),"Break",ISNUMBER(SEARCH("shipping damage",C813)),"Break",ISNUMBER(SEARCH("broken",C813)),"Break",ISNUMBER(SEARCH("crack",C813)),"Break",ISNUMBER(SEARCH("snap",C813)),"Break",ISNUMBER(SEARCH("fracture",C813)),"Break",ISNUMBER(SEARCH("bent",C813)),"Material Twisted/Bent",ISNUMBER(SEARCH("twisted",C813)),"Material Twisted/Bent",ISNUMBER(SEARCH("component separat",C813)),"Material Separation",ISNUMBER(SEARCH("separat",C813)),"Material Separation",ISNUMBER(SEARCH("connection",C813)),"Loose or Intermittent Connection",ISNUMBER(SEARCH("loose",C813)),"Loose or Intermittent Connection",ISNUMBER(SEARCH("damaged packaging",C813)),"Packaging Problem",ISNUMBER(SEARCH("packaging",C813)),"Packaging Problem",ISNUMBER(SEARCH("discoloration",C813)),"Contamination",ISNUMBER(SEARCH("tarnish",C813)),"Contamination",ISNUMBER(SEARCH("stain",C813)),"Contamination",ISNUMBER(SEARCH("foreign material",C813)),"Contamination",ISNUMBER(SEARCH("contamina",C813)),"Contamination",ISNUMBER(SEARCH("overheat",C813)),"Overheating of Device",ISNUMBER(SEARCH("excessive heat",C813)),"Overheating of Device",ISNUMBER(SEARCH("hot",C813)),"Overheating of Device",ISNUMBER(SEARCH("noise",C813)),"Noise, Audible",ISNUMBER(SEARCH("sound",C813)),"Noise, Audible",ISNUMBER(SEARCH("loud",C813)),"Noise, Audible",ISNUMBER(SEARCH("fray",C813)),"Material Frayed",ISNUMBER(SEARCH("hole",C813)),"Material Frayed",ISNUMBER(SEARCH("tear",C813)),"Material Frayed",ISNUMBER(SEARCH("worn",C813)),"Material Frayed",ISNUMBER(SEARCH("intermittent",C813)),"Difficult or Delayed Activation",ISNUMBER(SEARCH("delay",C813)),"Difficult or Delayed Activation",ISNUMBER(SEARCH("label",C813)),"Device Markings/Labelling Problem",ISNUMBER(SEARCH("marking",C813)),"Device Markings/Labelling Problem",ISNUMBER(SEARCH("lacerat",C813)),"Defective Device",ISNUMBER(SEARCH("cut",C813)),"Defective Device",ISNUMBER(SEARCH("leak",C813)),"Fluid/Blood Leak",ISNUMBER(SEARCH("missing",C813)),"Component Missing",ISNUMBER(SEARCH("power",C813)),"Complete Loss of Power",ISNUMBER(SEARCH("will not turn on",C813)),"Complete Loss of Power",ISNUMBER(SEARCH("won't turn on",C813)),"Complete Loss of Power",ISNUMBER(SEARCH("does not turn on",C813)),"Complete Loss of Power",ISNUMBER(SEARCH("electrical",C813)),"Electrical Power Problem",ISNUMBER(SEARCH("pressure",C813)),"Detachment of Device or Device Component",ISNUMBER(SEARCH("slip",C813)),"Detachment of Device or Device Component",ISNUMBER(SEARCH("detach",C813)),"Detachment of Device or Device Component",ISNUMBER(SEARCH("stick",C813)),"Mechanical Jam",ISNUMBER(SEARCH("jam",C813)),"Mechanical Jam",ISNUMBER(SEARCH("rigid",C813)),"Mechanical Jam",ISNUMBER(SEARCH("rust",C813)),"Corroded",ISNUMBER(SEARCH("corrod",C813)),"Corroded",ISNUMBER(SEARCH("corrosion",C813)),"Corroded",ISNUMBER(SEARCH("alignment",C813)),"Defective Device",ISNUMBER(SEARCH("adjust",C813)),"Defective Device",ISNUMBER(SEARCH("perform",C813)),"Defective Device",ISNUMBER(SEARCH("malfunction",C813)),"Defective Device",ISNUMBER(SEARCH("defect",C813)),"Defective Device",ISNUMBER(SEARCH("fail",C813)),"Defective Device",ISNUMBER(SEARCH("not work",C813)),"Defective Device",ISNUMBER(SEARCH("doesn't work",C813)),"Defective Device",TRUE,"UNKNOWN"),"UNKNOWN")))</f>
        <v/>
      </c>
      <c r="F813" s="4" t="str">
        <f t="shared" si="13"/>
        <v/>
      </c>
      <c r="G813" s="363" t="str">
        <f>IF(E813="","",IFERROR(VLOOKUP(E813,Codes!$L$2:$N$409,3,FALSE),"—"))</f>
        <v/>
      </c>
      <c r="H813" s="88"/>
      <c r="I813" s="88"/>
    </row>
    <row r="814" spans="1:9" ht="13.15" x14ac:dyDescent="0.35">
      <c r="A814" s="92"/>
      <c r="B814" s="89"/>
      <c r="C814" s="88"/>
      <c r="D814" s="88"/>
      <c r="E814" s="93" t="str" cm="1">
        <f t="array" ref="E814">IF(D814&lt;&gt;"",IFERROR(VLOOKUP(D814,Codes!$K$2:$L$409,2,FALSE),"UNKNOWN - "&amp;D814),IF(C814="","",IFERROR(_xlfn.IFS(ISNUMBER(SEARCH("broken button",C814)),"Break",ISNUMBER(SEARCH("broken handle",C814)),"Break",ISNUMBER(SEARCH("shipping damage",C814)),"Break",ISNUMBER(SEARCH("broken",C814)),"Break",ISNUMBER(SEARCH("crack",C814)),"Break",ISNUMBER(SEARCH("snap",C814)),"Break",ISNUMBER(SEARCH("fracture",C814)),"Break",ISNUMBER(SEARCH("bent",C814)),"Material Twisted/Bent",ISNUMBER(SEARCH("twisted",C814)),"Material Twisted/Bent",ISNUMBER(SEARCH("component separat",C814)),"Material Separation",ISNUMBER(SEARCH("separat",C814)),"Material Separation",ISNUMBER(SEARCH("connection",C814)),"Loose or Intermittent Connection",ISNUMBER(SEARCH("loose",C814)),"Loose or Intermittent Connection",ISNUMBER(SEARCH("damaged packaging",C814)),"Packaging Problem",ISNUMBER(SEARCH("packaging",C814)),"Packaging Problem",ISNUMBER(SEARCH("discoloration",C814)),"Contamination",ISNUMBER(SEARCH("tarnish",C814)),"Contamination",ISNUMBER(SEARCH("stain",C814)),"Contamination",ISNUMBER(SEARCH("foreign material",C814)),"Contamination",ISNUMBER(SEARCH("contamina",C814)),"Contamination",ISNUMBER(SEARCH("overheat",C814)),"Overheating of Device",ISNUMBER(SEARCH("excessive heat",C814)),"Overheating of Device",ISNUMBER(SEARCH("hot",C814)),"Overheating of Device",ISNUMBER(SEARCH("noise",C814)),"Noise, Audible",ISNUMBER(SEARCH("sound",C814)),"Noise, Audible",ISNUMBER(SEARCH("loud",C814)),"Noise, Audible",ISNUMBER(SEARCH("fray",C814)),"Material Frayed",ISNUMBER(SEARCH("hole",C814)),"Material Frayed",ISNUMBER(SEARCH("tear",C814)),"Material Frayed",ISNUMBER(SEARCH("worn",C814)),"Material Frayed",ISNUMBER(SEARCH("intermittent",C814)),"Difficult or Delayed Activation",ISNUMBER(SEARCH("delay",C814)),"Difficult or Delayed Activation",ISNUMBER(SEARCH("label",C814)),"Device Markings/Labelling Problem",ISNUMBER(SEARCH("marking",C814)),"Device Markings/Labelling Problem",ISNUMBER(SEARCH("lacerat",C814)),"Defective Device",ISNUMBER(SEARCH("cut",C814)),"Defective Device",ISNUMBER(SEARCH("leak",C814)),"Fluid/Blood Leak",ISNUMBER(SEARCH("missing",C814)),"Component Missing",ISNUMBER(SEARCH("power",C814)),"Complete Loss of Power",ISNUMBER(SEARCH("will not turn on",C814)),"Complete Loss of Power",ISNUMBER(SEARCH("won't turn on",C814)),"Complete Loss of Power",ISNUMBER(SEARCH("does not turn on",C814)),"Complete Loss of Power",ISNUMBER(SEARCH("electrical",C814)),"Electrical Power Problem",ISNUMBER(SEARCH("pressure",C814)),"Detachment of Device or Device Component",ISNUMBER(SEARCH("slip",C814)),"Detachment of Device or Device Component",ISNUMBER(SEARCH("detach",C814)),"Detachment of Device or Device Component",ISNUMBER(SEARCH("stick",C814)),"Mechanical Jam",ISNUMBER(SEARCH("jam",C814)),"Mechanical Jam",ISNUMBER(SEARCH("rigid",C814)),"Mechanical Jam",ISNUMBER(SEARCH("rust",C814)),"Corroded",ISNUMBER(SEARCH("corrod",C814)),"Corroded",ISNUMBER(SEARCH("corrosion",C814)),"Corroded",ISNUMBER(SEARCH("alignment",C814)),"Defective Device",ISNUMBER(SEARCH("adjust",C814)),"Defective Device",ISNUMBER(SEARCH("perform",C814)),"Defective Device",ISNUMBER(SEARCH("malfunction",C814)),"Defective Device",ISNUMBER(SEARCH("defect",C814)),"Defective Device",ISNUMBER(SEARCH("fail",C814)),"Defective Device",ISNUMBER(SEARCH("not work",C814)),"Defective Device",ISNUMBER(SEARCH("doesn't work",C814)),"Defective Device",TRUE,"UNKNOWN"),"UNKNOWN")))</f>
        <v/>
      </c>
      <c r="F814" s="4" t="str">
        <f t="shared" si="13"/>
        <v/>
      </c>
      <c r="G814" s="363" t="str">
        <f>IF(E814="","",IFERROR(VLOOKUP(E814,Codes!$L$2:$N$409,3,FALSE),"—"))</f>
        <v/>
      </c>
      <c r="H814" s="88"/>
      <c r="I814" s="88"/>
    </row>
    <row r="815" spans="1:9" ht="13.15" x14ac:dyDescent="0.35">
      <c r="A815" s="92"/>
      <c r="B815" s="89"/>
      <c r="C815" s="88"/>
      <c r="D815" s="88"/>
      <c r="E815" s="93" t="str" cm="1">
        <f t="array" ref="E815">IF(D815&lt;&gt;"",IFERROR(VLOOKUP(D815,Codes!$K$2:$L$409,2,FALSE),"UNKNOWN - "&amp;D815),IF(C815="","",IFERROR(_xlfn.IFS(ISNUMBER(SEARCH("broken button",C815)),"Break",ISNUMBER(SEARCH("broken handle",C815)),"Break",ISNUMBER(SEARCH("shipping damage",C815)),"Break",ISNUMBER(SEARCH("broken",C815)),"Break",ISNUMBER(SEARCH("crack",C815)),"Break",ISNUMBER(SEARCH("snap",C815)),"Break",ISNUMBER(SEARCH("fracture",C815)),"Break",ISNUMBER(SEARCH("bent",C815)),"Material Twisted/Bent",ISNUMBER(SEARCH("twisted",C815)),"Material Twisted/Bent",ISNUMBER(SEARCH("component separat",C815)),"Material Separation",ISNUMBER(SEARCH("separat",C815)),"Material Separation",ISNUMBER(SEARCH("connection",C815)),"Loose or Intermittent Connection",ISNUMBER(SEARCH("loose",C815)),"Loose or Intermittent Connection",ISNUMBER(SEARCH("damaged packaging",C815)),"Packaging Problem",ISNUMBER(SEARCH("packaging",C815)),"Packaging Problem",ISNUMBER(SEARCH("discoloration",C815)),"Contamination",ISNUMBER(SEARCH("tarnish",C815)),"Contamination",ISNUMBER(SEARCH("stain",C815)),"Contamination",ISNUMBER(SEARCH("foreign material",C815)),"Contamination",ISNUMBER(SEARCH("contamina",C815)),"Contamination",ISNUMBER(SEARCH("overheat",C815)),"Overheating of Device",ISNUMBER(SEARCH("excessive heat",C815)),"Overheating of Device",ISNUMBER(SEARCH("hot",C815)),"Overheating of Device",ISNUMBER(SEARCH("noise",C815)),"Noise, Audible",ISNUMBER(SEARCH("sound",C815)),"Noise, Audible",ISNUMBER(SEARCH("loud",C815)),"Noise, Audible",ISNUMBER(SEARCH("fray",C815)),"Material Frayed",ISNUMBER(SEARCH("hole",C815)),"Material Frayed",ISNUMBER(SEARCH("tear",C815)),"Material Frayed",ISNUMBER(SEARCH("worn",C815)),"Material Frayed",ISNUMBER(SEARCH("intermittent",C815)),"Difficult or Delayed Activation",ISNUMBER(SEARCH("delay",C815)),"Difficult or Delayed Activation",ISNUMBER(SEARCH("label",C815)),"Device Markings/Labelling Problem",ISNUMBER(SEARCH("marking",C815)),"Device Markings/Labelling Problem",ISNUMBER(SEARCH("lacerat",C815)),"Defective Device",ISNUMBER(SEARCH("cut",C815)),"Defective Device",ISNUMBER(SEARCH("leak",C815)),"Fluid/Blood Leak",ISNUMBER(SEARCH("missing",C815)),"Component Missing",ISNUMBER(SEARCH("power",C815)),"Complete Loss of Power",ISNUMBER(SEARCH("will not turn on",C815)),"Complete Loss of Power",ISNUMBER(SEARCH("won't turn on",C815)),"Complete Loss of Power",ISNUMBER(SEARCH("does not turn on",C815)),"Complete Loss of Power",ISNUMBER(SEARCH("electrical",C815)),"Electrical Power Problem",ISNUMBER(SEARCH("pressure",C815)),"Detachment of Device or Device Component",ISNUMBER(SEARCH("slip",C815)),"Detachment of Device or Device Component",ISNUMBER(SEARCH("detach",C815)),"Detachment of Device or Device Component",ISNUMBER(SEARCH("stick",C815)),"Mechanical Jam",ISNUMBER(SEARCH("jam",C815)),"Mechanical Jam",ISNUMBER(SEARCH("rigid",C815)),"Mechanical Jam",ISNUMBER(SEARCH("rust",C815)),"Corroded",ISNUMBER(SEARCH("corrod",C815)),"Corroded",ISNUMBER(SEARCH("corrosion",C815)),"Corroded",ISNUMBER(SEARCH("alignment",C815)),"Defective Device",ISNUMBER(SEARCH("adjust",C815)),"Defective Device",ISNUMBER(SEARCH("perform",C815)),"Defective Device",ISNUMBER(SEARCH("malfunction",C815)),"Defective Device",ISNUMBER(SEARCH("defect",C815)),"Defective Device",ISNUMBER(SEARCH("fail",C815)),"Defective Device",ISNUMBER(SEARCH("not work",C815)),"Defective Device",ISNUMBER(SEARCH("doesn't work",C815)),"Defective Device",TRUE,"UNKNOWN"),"UNKNOWN")))</f>
        <v/>
      </c>
      <c r="F815" s="4" t="str">
        <f t="shared" si="13"/>
        <v/>
      </c>
      <c r="G815" s="363" t="str">
        <f>IF(E815="","",IFERROR(VLOOKUP(E815,Codes!$L$2:$N$409,3,FALSE),"—"))</f>
        <v/>
      </c>
      <c r="H815" s="88"/>
      <c r="I815" s="88"/>
    </row>
    <row r="816" spans="1:9" ht="13.15" x14ac:dyDescent="0.35">
      <c r="A816" s="92"/>
      <c r="B816" s="89"/>
      <c r="C816" s="88"/>
      <c r="D816" s="88"/>
      <c r="E816" s="93" t="str" cm="1">
        <f t="array" ref="E816">IF(D816&lt;&gt;"",IFERROR(VLOOKUP(D816,Codes!$K$2:$L$409,2,FALSE),"UNKNOWN - "&amp;D816),IF(C816="","",IFERROR(_xlfn.IFS(ISNUMBER(SEARCH("broken button",C816)),"Break",ISNUMBER(SEARCH("broken handle",C816)),"Break",ISNUMBER(SEARCH("shipping damage",C816)),"Break",ISNUMBER(SEARCH("broken",C816)),"Break",ISNUMBER(SEARCH("crack",C816)),"Break",ISNUMBER(SEARCH("snap",C816)),"Break",ISNUMBER(SEARCH("fracture",C816)),"Break",ISNUMBER(SEARCH("bent",C816)),"Material Twisted/Bent",ISNUMBER(SEARCH("twisted",C816)),"Material Twisted/Bent",ISNUMBER(SEARCH("component separat",C816)),"Material Separation",ISNUMBER(SEARCH("separat",C816)),"Material Separation",ISNUMBER(SEARCH("connection",C816)),"Loose or Intermittent Connection",ISNUMBER(SEARCH("loose",C816)),"Loose or Intermittent Connection",ISNUMBER(SEARCH("damaged packaging",C816)),"Packaging Problem",ISNUMBER(SEARCH("packaging",C816)),"Packaging Problem",ISNUMBER(SEARCH("discoloration",C816)),"Contamination",ISNUMBER(SEARCH("tarnish",C816)),"Contamination",ISNUMBER(SEARCH("stain",C816)),"Contamination",ISNUMBER(SEARCH("foreign material",C816)),"Contamination",ISNUMBER(SEARCH("contamina",C816)),"Contamination",ISNUMBER(SEARCH("overheat",C816)),"Overheating of Device",ISNUMBER(SEARCH("excessive heat",C816)),"Overheating of Device",ISNUMBER(SEARCH("hot",C816)),"Overheating of Device",ISNUMBER(SEARCH("noise",C816)),"Noise, Audible",ISNUMBER(SEARCH("sound",C816)),"Noise, Audible",ISNUMBER(SEARCH("loud",C816)),"Noise, Audible",ISNUMBER(SEARCH("fray",C816)),"Material Frayed",ISNUMBER(SEARCH("hole",C816)),"Material Frayed",ISNUMBER(SEARCH("tear",C816)),"Material Frayed",ISNUMBER(SEARCH("worn",C816)),"Material Frayed",ISNUMBER(SEARCH("intermittent",C816)),"Difficult or Delayed Activation",ISNUMBER(SEARCH("delay",C816)),"Difficult or Delayed Activation",ISNUMBER(SEARCH("label",C816)),"Device Markings/Labelling Problem",ISNUMBER(SEARCH("marking",C816)),"Device Markings/Labelling Problem",ISNUMBER(SEARCH("lacerat",C816)),"Defective Device",ISNUMBER(SEARCH("cut",C816)),"Defective Device",ISNUMBER(SEARCH("leak",C816)),"Fluid/Blood Leak",ISNUMBER(SEARCH("missing",C816)),"Component Missing",ISNUMBER(SEARCH("power",C816)),"Complete Loss of Power",ISNUMBER(SEARCH("will not turn on",C816)),"Complete Loss of Power",ISNUMBER(SEARCH("won't turn on",C816)),"Complete Loss of Power",ISNUMBER(SEARCH("does not turn on",C816)),"Complete Loss of Power",ISNUMBER(SEARCH("electrical",C816)),"Electrical Power Problem",ISNUMBER(SEARCH("pressure",C816)),"Detachment of Device or Device Component",ISNUMBER(SEARCH("slip",C816)),"Detachment of Device or Device Component",ISNUMBER(SEARCH("detach",C816)),"Detachment of Device or Device Component",ISNUMBER(SEARCH("stick",C816)),"Mechanical Jam",ISNUMBER(SEARCH("jam",C816)),"Mechanical Jam",ISNUMBER(SEARCH("rigid",C816)),"Mechanical Jam",ISNUMBER(SEARCH("rust",C816)),"Corroded",ISNUMBER(SEARCH("corrod",C816)),"Corroded",ISNUMBER(SEARCH("corrosion",C816)),"Corroded",ISNUMBER(SEARCH("alignment",C816)),"Defective Device",ISNUMBER(SEARCH("adjust",C816)),"Defective Device",ISNUMBER(SEARCH("perform",C816)),"Defective Device",ISNUMBER(SEARCH("malfunction",C816)),"Defective Device",ISNUMBER(SEARCH("defect",C816)),"Defective Device",ISNUMBER(SEARCH("fail",C816)),"Defective Device",ISNUMBER(SEARCH("not work",C816)),"Defective Device",ISNUMBER(SEARCH("doesn't work",C816)),"Defective Device",TRUE,"UNKNOWN"),"UNKNOWN")))</f>
        <v/>
      </c>
      <c r="F816" s="4" t="str">
        <f t="shared" si="13"/>
        <v/>
      </c>
      <c r="G816" s="363" t="str">
        <f>IF(E816="","",IFERROR(VLOOKUP(E816,Codes!$L$2:$N$409,3,FALSE),"—"))</f>
        <v/>
      </c>
      <c r="H816" s="88"/>
      <c r="I816" s="88"/>
    </row>
    <row r="817" spans="1:9" ht="13.15" x14ac:dyDescent="0.35">
      <c r="A817" s="92"/>
      <c r="B817" s="89"/>
      <c r="C817" s="88"/>
      <c r="D817" s="88"/>
      <c r="E817" s="93" t="str" cm="1">
        <f t="array" ref="E817">IF(D817&lt;&gt;"",IFERROR(VLOOKUP(D817,Codes!$K$2:$L$409,2,FALSE),"UNKNOWN - "&amp;D817),IF(C817="","",IFERROR(_xlfn.IFS(ISNUMBER(SEARCH("broken button",C817)),"Break",ISNUMBER(SEARCH("broken handle",C817)),"Break",ISNUMBER(SEARCH("shipping damage",C817)),"Break",ISNUMBER(SEARCH("broken",C817)),"Break",ISNUMBER(SEARCH("crack",C817)),"Break",ISNUMBER(SEARCH("snap",C817)),"Break",ISNUMBER(SEARCH("fracture",C817)),"Break",ISNUMBER(SEARCH("bent",C817)),"Material Twisted/Bent",ISNUMBER(SEARCH("twisted",C817)),"Material Twisted/Bent",ISNUMBER(SEARCH("component separat",C817)),"Material Separation",ISNUMBER(SEARCH("separat",C817)),"Material Separation",ISNUMBER(SEARCH("connection",C817)),"Loose or Intermittent Connection",ISNUMBER(SEARCH("loose",C817)),"Loose or Intermittent Connection",ISNUMBER(SEARCH("damaged packaging",C817)),"Packaging Problem",ISNUMBER(SEARCH("packaging",C817)),"Packaging Problem",ISNUMBER(SEARCH("discoloration",C817)),"Contamination",ISNUMBER(SEARCH("tarnish",C817)),"Contamination",ISNUMBER(SEARCH("stain",C817)),"Contamination",ISNUMBER(SEARCH("foreign material",C817)),"Contamination",ISNUMBER(SEARCH("contamina",C817)),"Contamination",ISNUMBER(SEARCH("overheat",C817)),"Overheating of Device",ISNUMBER(SEARCH("excessive heat",C817)),"Overheating of Device",ISNUMBER(SEARCH("hot",C817)),"Overheating of Device",ISNUMBER(SEARCH("noise",C817)),"Noise, Audible",ISNUMBER(SEARCH("sound",C817)),"Noise, Audible",ISNUMBER(SEARCH("loud",C817)),"Noise, Audible",ISNUMBER(SEARCH("fray",C817)),"Material Frayed",ISNUMBER(SEARCH("hole",C817)),"Material Frayed",ISNUMBER(SEARCH("tear",C817)),"Material Frayed",ISNUMBER(SEARCH("worn",C817)),"Material Frayed",ISNUMBER(SEARCH("intermittent",C817)),"Difficult or Delayed Activation",ISNUMBER(SEARCH("delay",C817)),"Difficult or Delayed Activation",ISNUMBER(SEARCH("label",C817)),"Device Markings/Labelling Problem",ISNUMBER(SEARCH("marking",C817)),"Device Markings/Labelling Problem",ISNUMBER(SEARCH("lacerat",C817)),"Defective Device",ISNUMBER(SEARCH("cut",C817)),"Defective Device",ISNUMBER(SEARCH("leak",C817)),"Fluid/Blood Leak",ISNUMBER(SEARCH("missing",C817)),"Component Missing",ISNUMBER(SEARCH("power",C817)),"Complete Loss of Power",ISNUMBER(SEARCH("will not turn on",C817)),"Complete Loss of Power",ISNUMBER(SEARCH("won't turn on",C817)),"Complete Loss of Power",ISNUMBER(SEARCH("does not turn on",C817)),"Complete Loss of Power",ISNUMBER(SEARCH("electrical",C817)),"Electrical Power Problem",ISNUMBER(SEARCH("pressure",C817)),"Detachment of Device or Device Component",ISNUMBER(SEARCH("slip",C817)),"Detachment of Device or Device Component",ISNUMBER(SEARCH("detach",C817)),"Detachment of Device or Device Component",ISNUMBER(SEARCH("stick",C817)),"Mechanical Jam",ISNUMBER(SEARCH("jam",C817)),"Mechanical Jam",ISNUMBER(SEARCH("rigid",C817)),"Mechanical Jam",ISNUMBER(SEARCH("rust",C817)),"Corroded",ISNUMBER(SEARCH("corrod",C817)),"Corroded",ISNUMBER(SEARCH("corrosion",C817)),"Corroded",ISNUMBER(SEARCH("alignment",C817)),"Defective Device",ISNUMBER(SEARCH("adjust",C817)),"Defective Device",ISNUMBER(SEARCH("perform",C817)),"Defective Device",ISNUMBER(SEARCH("malfunction",C817)),"Defective Device",ISNUMBER(SEARCH("defect",C817)),"Defective Device",ISNUMBER(SEARCH("fail",C817)),"Defective Device",ISNUMBER(SEARCH("not work",C817)),"Defective Device",ISNUMBER(SEARCH("doesn't work",C817)),"Defective Device",TRUE,"UNKNOWN"),"UNKNOWN")))</f>
        <v/>
      </c>
      <c r="F817" s="4" t="str">
        <f t="shared" si="13"/>
        <v/>
      </c>
      <c r="G817" s="363" t="str">
        <f>IF(E817="","",IFERROR(VLOOKUP(E817,Codes!$L$2:$N$409,3,FALSE),"—"))</f>
        <v/>
      </c>
      <c r="H817" s="88"/>
      <c r="I817" s="88"/>
    </row>
    <row r="818" spans="1:9" ht="13.15" x14ac:dyDescent="0.35">
      <c r="A818" s="92"/>
      <c r="B818" s="89"/>
      <c r="C818" s="88"/>
      <c r="D818" s="88"/>
      <c r="E818" s="93" t="str" cm="1">
        <f t="array" ref="E818">IF(D818&lt;&gt;"",IFERROR(VLOOKUP(D818,Codes!$K$2:$L$409,2,FALSE),"UNKNOWN - "&amp;D818),IF(C818="","",IFERROR(_xlfn.IFS(ISNUMBER(SEARCH("broken button",C818)),"Break",ISNUMBER(SEARCH("broken handle",C818)),"Break",ISNUMBER(SEARCH("shipping damage",C818)),"Break",ISNUMBER(SEARCH("broken",C818)),"Break",ISNUMBER(SEARCH("crack",C818)),"Break",ISNUMBER(SEARCH("snap",C818)),"Break",ISNUMBER(SEARCH("fracture",C818)),"Break",ISNUMBER(SEARCH("bent",C818)),"Material Twisted/Bent",ISNUMBER(SEARCH("twisted",C818)),"Material Twisted/Bent",ISNUMBER(SEARCH("component separat",C818)),"Material Separation",ISNUMBER(SEARCH("separat",C818)),"Material Separation",ISNUMBER(SEARCH("connection",C818)),"Loose or Intermittent Connection",ISNUMBER(SEARCH("loose",C818)),"Loose or Intermittent Connection",ISNUMBER(SEARCH("damaged packaging",C818)),"Packaging Problem",ISNUMBER(SEARCH("packaging",C818)),"Packaging Problem",ISNUMBER(SEARCH("discoloration",C818)),"Contamination",ISNUMBER(SEARCH("tarnish",C818)),"Contamination",ISNUMBER(SEARCH("stain",C818)),"Contamination",ISNUMBER(SEARCH("foreign material",C818)),"Contamination",ISNUMBER(SEARCH("contamina",C818)),"Contamination",ISNUMBER(SEARCH("overheat",C818)),"Overheating of Device",ISNUMBER(SEARCH("excessive heat",C818)),"Overheating of Device",ISNUMBER(SEARCH("hot",C818)),"Overheating of Device",ISNUMBER(SEARCH("noise",C818)),"Noise, Audible",ISNUMBER(SEARCH("sound",C818)),"Noise, Audible",ISNUMBER(SEARCH("loud",C818)),"Noise, Audible",ISNUMBER(SEARCH("fray",C818)),"Material Frayed",ISNUMBER(SEARCH("hole",C818)),"Material Frayed",ISNUMBER(SEARCH("tear",C818)),"Material Frayed",ISNUMBER(SEARCH("worn",C818)),"Material Frayed",ISNUMBER(SEARCH("intermittent",C818)),"Difficult or Delayed Activation",ISNUMBER(SEARCH("delay",C818)),"Difficult or Delayed Activation",ISNUMBER(SEARCH("label",C818)),"Device Markings/Labelling Problem",ISNUMBER(SEARCH("marking",C818)),"Device Markings/Labelling Problem",ISNUMBER(SEARCH("lacerat",C818)),"Defective Device",ISNUMBER(SEARCH("cut",C818)),"Defective Device",ISNUMBER(SEARCH("leak",C818)),"Fluid/Blood Leak",ISNUMBER(SEARCH("missing",C818)),"Component Missing",ISNUMBER(SEARCH("power",C818)),"Complete Loss of Power",ISNUMBER(SEARCH("will not turn on",C818)),"Complete Loss of Power",ISNUMBER(SEARCH("won't turn on",C818)),"Complete Loss of Power",ISNUMBER(SEARCH("does not turn on",C818)),"Complete Loss of Power",ISNUMBER(SEARCH("electrical",C818)),"Electrical Power Problem",ISNUMBER(SEARCH("pressure",C818)),"Detachment of Device or Device Component",ISNUMBER(SEARCH("slip",C818)),"Detachment of Device or Device Component",ISNUMBER(SEARCH("detach",C818)),"Detachment of Device or Device Component",ISNUMBER(SEARCH("stick",C818)),"Mechanical Jam",ISNUMBER(SEARCH("jam",C818)),"Mechanical Jam",ISNUMBER(SEARCH("rigid",C818)),"Mechanical Jam",ISNUMBER(SEARCH("rust",C818)),"Corroded",ISNUMBER(SEARCH("corrod",C818)),"Corroded",ISNUMBER(SEARCH("corrosion",C818)),"Corroded",ISNUMBER(SEARCH("alignment",C818)),"Defective Device",ISNUMBER(SEARCH("adjust",C818)),"Defective Device",ISNUMBER(SEARCH("perform",C818)),"Defective Device",ISNUMBER(SEARCH("malfunction",C818)),"Defective Device",ISNUMBER(SEARCH("defect",C818)),"Defective Device",ISNUMBER(SEARCH("fail",C818)),"Defective Device",ISNUMBER(SEARCH("not work",C818)),"Defective Device",ISNUMBER(SEARCH("doesn't work",C818)),"Defective Device",TRUE,"UNKNOWN"),"UNKNOWN")))</f>
        <v/>
      </c>
      <c r="F818" s="4" t="str">
        <f t="shared" si="13"/>
        <v/>
      </c>
      <c r="G818" s="363" t="str">
        <f>IF(E818="","",IFERROR(VLOOKUP(E818,Codes!$L$2:$N$409,3,FALSE),"—"))</f>
        <v/>
      </c>
      <c r="H818" s="88"/>
      <c r="I818" s="88"/>
    </row>
    <row r="819" spans="1:9" ht="13.15" x14ac:dyDescent="0.35">
      <c r="A819" s="92"/>
      <c r="B819" s="89"/>
      <c r="C819" s="88"/>
      <c r="D819" s="88"/>
      <c r="E819" s="93" t="str" cm="1">
        <f t="array" ref="E819">IF(D819&lt;&gt;"",IFERROR(VLOOKUP(D819,Codes!$K$2:$L$409,2,FALSE),"UNKNOWN - "&amp;D819),IF(C819="","",IFERROR(_xlfn.IFS(ISNUMBER(SEARCH("broken button",C819)),"Break",ISNUMBER(SEARCH("broken handle",C819)),"Break",ISNUMBER(SEARCH("shipping damage",C819)),"Break",ISNUMBER(SEARCH("broken",C819)),"Break",ISNUMBER(SEARCH("crack",C819)),"Break",ISNUMBER(SEARCH("snap",C819)),"Break",ISNUMBER(SEARCH("fracture",C819)),"Break",ISNUMBER(SEARCH("bent",C819)),"Material Twisted/Bent",ISNUMBER(SEARCH("twisted",C819)),"Material Twisted/Bent",ISNUMBER(SEARCH("component separat",C819)),"Material Separation",ISNUMBER(SEARCH("separat",C819)),"Material Separation",ISNUMBER(SEARCH("connection",C819)),"Loose or Intermittent Connection",ISNUMBER(SEARCH("loose",C819)),"Loose or Intermittent Connection",ISNUMBER(SEARCH("damaged packaging",C819)),"Packaging Problem",ISNUMBER(SEARCH("packaging",C819)),"Packaging Problem",ISNUMBER(SEARCH("discoloration",C819)),"Contamination",ISNUMBER(SEARCH("tarnish",C819)),"Contamination",ISNUMBER(SEARCH("stain",C819)),"Contamination",ISNUMBER(SEARCH("foreign material",C819)),"Contamination",ISNUMBER(SEARCH("contamina",C819)),"Contamination",ISNUMBER(SEARCH("overheat",C819)),"Overheating of Device",ISNUMBER(SEARCH("excessive heat",C819)),"Overheating of Device",ISNUMBER(SEARCH("hot",C819)),"Overheating of Device",ISNUMBER(SEARCH("noise",C819)),"Noise, Audible",ISNUMBER(SEARCH("sound",C819)),"Noise, Audible",ISNUMBER(SEARCH("loud",C819)),"Noise, Audible",ISNUMBER(SEARCH("fray",C819)),"Material Frayed",ISNUMBER(SEARCH("hole",C819)),"Material Frayed",ISNUMBER(SEARCH("tear",C819)),"Material Frayed",ISNUMBER(SEARCH("worn",C819)),"Material Frayed",ISNUMBER(SEARCH("intermittent",C819)),"Difficult or Delayed Activation",ISNUMBER(SEARCH("delay",C819)),"Difficult or Delayed Activation",ISNUMBER(SEARCH("label",C819)),"Device Markings/Labelling Problem",ISNUMBER(SEARCH("marking",C819)),"Device Markings/Labelling Problem",ISNUMBER(SEARCH("lacerat",C819)),"Defective Device",ISNUMBER(SEARCH("cut",C819)),"Defective Device",ISNUMBER(SEARCH("leak",C819)),"Fluid/Blood Leak",ISNUMBER(SEARCH("missing",C819)),"Component Missing",ISNUMBER(SEARCH("power",C819)),"Complete Loss of Power",ISNUMBER(SEARCH("will not turn on",C819)),"Complete Loss of Power",ISNUMBER(SEARCH("won't turn on",C819)),"Complete Loss of Power",ISNUMBER(SEARCH("does not turn on",C819)),"Complete Loss of Power",ISNUMBER(SEARCH("electrical",C819)),"Electrical Power Problem",ISNUMBER(SEARCH("pressure",C819)),"Detachment of Device or Device Component",ISNUMBER(SEARCH("slip",C819)),"Detachment of Device or Device Component",ISNUMBER(SEARCH("detach",C819)),"Detachment of Device or Device Component",ISNUMBER(SEARCH("stick",C819)),"Mechanical Jam",ISNUMBER(SEARCH("jam",C819)),"Mechanical Jam",ISNUMBER(SEARCH("rigid",C819)),"Mechanical Jam",ISNUMBER(SEARCH("rust",C819)),"Corroded",ISNUMBER(SEARCH("corrod",C819)),"Corroded",ISNUMBER(SEARCH("corrosion",C819)),"Corroded",ISNUMBER(SEARCH("alignment",C819)),"Defective Device",ISNUMBER(SEARCH("adjust",C819)),"Defective Device",ISNUMBER(SEARCH("perform",C819)),"Defective Device",ISNUMBER(SEARCH("malfunction",C819)),"Defective Device",ISNUMBER(SEARCH("defect",C819)),"Defective Device",ISNUMBER(SEARCH("fail",C819)),"Defective Device",ISNUMBER(SEARCH("not work",C819)),"Defective Device",ISNUMBER(SEARCH("doesn't work",C819)),"Defective Device",TRUE,"UNKNOWN"),"UNKNOWN")))</f>
        <v/>
      </c>
      <c r="F819" s="4" t="str">
        <f t="shared" si="13"/>
        <v/>
      </c>
      <c r="G819" s="363" t="str">
        <f>IF(E819="","",IFERROR(VLOOKUP(E819,Codes!$L$2:$N$409,3,FALSE),"—"))</f>
        <v/>
      </c>
      <c r="H819" s="88"/>
      <c r="I819" s="88"/>
    </row>
    <row r="820" spans="1:9" ht="13.15" x14ac:dyDescent="0.35">
      <c r="A820" s="92"/>
      <c r="B820" s="89"/>
      <c r="C820" s="88"/>
      <c r="D820" s="88"/>
      <c r="E820" s="93" t="str" cm="1">
        <f t="array" ref="E820">IF(D820&lt;&gt;"",IFERROR(VLOOKUP(D820,Codes!$K$2:$L$409,2,FALSE),"UNKNOWN - "&amp;D820),IF(C820="","",IFERROR(_xlfn.IFS(ISNUMBER(SEARCH("broken button",C820)),"Break",ISNUMBER(SEARCH("broken handle",C820)),"Break",ISNUMBER(SEARCH("shipping damage",C820)),"Break",ISNUMBER(SEARCH("broken",C820)),"Break",ISNUMBER(SEARCH("crack",C820)),"Break",ISNUMBER(SEARCH("snap",C820)),"Break",ISNUMBER(SEARCH("fracture",C820)),"Break",ISNUMBER(SEARCH("bent",C820)),"Material Twisted/Bent",ISNUMBER(SEARCH("twisted",C820)),"Material Twisted/Bent",ISNUMBER(SEARCH("component separat",C820)),"Material Separation",ISNUMBER(SEARCH("separat",C820)),"Material Separation",ISNUMBER(SEARCH("connection",C820)),"Loose or Intermittent Connection",ISNUMBER(SEARCH("loose",C820)),"Loose or Intermittent Connection",ISNUMBER(SEARCH("damaged packaging",C820)),"Packaging Problem",ISNUMBER(SEARCH("packaging",C820)),"Packaging Problem",ISNUMBER(SEARCH("discoloration",C820)),"Contamination",ISNUMBER(SEARCH("tarnish",C820)),"Contamination",ISNUMBER(SEARCH("stain",C820)),"Contamination",ISNUMBER(SEARCH("foreign material",C820)),"Contamination",ISNUMBER(SEARCH("contamina",C820)),"Contamination",ISNUMBER(SEARCH("overheat",C820)),"Overheating of Device",ISNUMBER(SEARCH("excessive heat",C820)),"Overheating of Device",ISNUMBER(SEARCH("hot",C820)),"Overheating of Device",ISNUMBER(SEARCH("noise",C820)),"Noise, Audible",ISNUMBER(SEARCH("sound",C820)),"Noise, Audible",ISNUMBER(SEARCH("loud",C820)),"Noise, Audible",ISNUMBER(SEARCH("fray",C820)),"Material Frayed",ISNUMBER(SEARCH("hole",C820)),"Material Frayed",ISNUMBER(SEARCH("tear",C820)),"Material Frayed",ISNUMBER(SEARCH("worn",C820)),"Material Frayed",ISNUMBER(SEARCH("intermittent",C820)),"Difficult or Delayed Activation",ISNUMBER(SEARCH("delay",C820)),"Difficult or Delayed Activation",ISNUMBER(SEARCH("label",C820)),"Device Markings/Labelling Problem",ISNUMBER(SEARCH("marking",C820)),"Device Markings/Labelling Problem",ISNUMBER(SEARCH("lacerat",C820)),"Defective Device",ISNUMBER(SEARCH("cut",C820)),"Defective Device",ISNUMBER(SEARCH("leak",C820)),"Fluid/Blood Leak",ISNUMBER(SEARCH("missing",C820)),"Component Missing",ISNUMBER(SEARCH("power",C820)),"Complete Loss of Power",ISNUMBER(SEARCH("will not turn on",C820)),"Complete Loss of Power",ISNUMBER(SEARCH("won't turn on",C820)),"Complete Loss of Power",ISNUMBER(SEARCH("does not turn on",C820)),"Complete Loss of Power",ISNUMBER(SEARCH("electrical",C820)),"Electrical Power Problem",ISNUMBER(SEARCH("pressure",C820)),"Detachment of Device or Device Component",ISNUMBER(SEARCH("slip",C820)),"Detachment of Device or Device Component",ISNUMBER(SEARCH("detach",C820)),"Detachment of Device or Device Component",ISNUMBER(SEARCH("stick",C820)),"Mechanical Jam",ISNUMBER(SEARCH("jam",C820)),"Mechanical Jam",ISNUMBER(SEARCH("rigid",C820)),"Mechanical Jam",ISNUMBER(SEARCH("rust",C820)),"Corroded",ISNUMBER(SEARCH("corrod",C820)),"Corroded",ISNUMBER(SEARCH("corrosion",C820)),"Corroded",ISNUMBER(SEARCH("alignment",C820)),"Defective Device",ISNUMBER(SEARCH("adjust",C820)),"Defective Device",ISNUMBER(SEARCH("perform",C820)),"Defective Device",ISNUMBER(SEARCH("malfunction",C820)),"Defective Device",ISNUMBER(SEARCH("defect",C820)),"Defective Device",ISNUMBER(SEARCH("fail",C820)),"Defective Device",ISNUMBER(SEARCH("not work",C820)),"Defective Device",ISNUMBER(SEARCH("doesn't work",C820)),"Defective Device",TRUE,"UNKNOWN"),"UNKNOWN")))</f>
        <v/>
      </c>
      <c r="F820" s="4" t="str">
        <f t="shared" si="13"/>
        <v/>
      </c>
      <c r="G820" s="363" t="str">
        <f>IF(E820="","",IFERROR(VLOOKUP(E820,Codes!$L$2:$N$409,3,FALSE),"—"))</f>
        <v/>
      </c>
      <c r="H820" s="88"/>
      <c r="I820" s="88"/>
    </row>
    <row r="821" spans="1:9" ht="13.15" x14ac:dyDescent="0.35">
      <c r="A821" s="92"/>
      <c r="B821" s="89"/>
      <c r="C821" s="88"/>
      <c r="D821" s="88"/>
      <c r="E821" s="93" t="str" cm="1">
        <f t="array" ref="E821">IF(D821&lt;&gt;"",IFERROR(VLOOKUP(D821,Codes!$K$2:$L$409,2,FALSE),"UNKNOWN - "&amp;D821),IF(C821="","",IFERROR(_xlfn.IFS(ISNUMBER(SEARCH("broken button",C821)),"Break",ISNUMBER(SEARCH("broken handle",C821)),"Break",ISNUMBER(SEARCH("shipping damage",C821)),"Break",ISNUMBER(SEARCH("broken",C821)),"Break",ISNUMBER(SEARCH("crack",C821)),"Break",ISNUMBER(SEARCH("snap",C821)),"Break",ISNUMBER(SEARCH("fracture",C821)),"Break",ISNUMBER(SEARCH("bent",C821)),"Material Twisted/Bent",ISNUMBER(SEARCH("twisted",C821)),"Material Twisted/Bent",ISNUMBER(SEARCH("component separat",C821)),"Material Separation",ISNUMBER(SEARCH("separat",C821)),"Material Separation",ISNUMBER(SEARCH("connection",C821)),"Loose or Intermittent Connection",ISNUMBER(SEARCH("loose",C821)),"Loose or Intermittent Connection",ISNUMBER(SEARCH("damaged packaging",C821)),"Packaging Problem",ISNUMBER(SEARCH("packaging",C821)),"Packaging Problem",ISNUMBER(SEARCH("discoloration",C821)),"Contamination",ISNUMBER(SEARCH("tarnish",C821)),"Contamination",ISNUMBER(SEARCH("stain",C821)),"Contamination",ISNUMBER(SEARCH("foreign material",C821)),"Contamination",ISNUMBER(SEARCH("contamina",C821)),"Contamination",ISNUMBER(SEARCH("overheat",C821)),"Overheating of Device",ISNUMBER(SEARCH("excessive heat",C821)),"Overheating of Device",ISNUMBER(SEARCH("hot",C821)),"Overheating of Device",ISNUMBER(SEARCH("noise",C821)),"Noise, Audible",ISNUMBER(SEARCH("sound",C821)),"Noise, Audible",ISNUMBER(SEARCH("loud",C821)),"Noise, Audible",ISNUMBER(SEARCH("fray",C821)),"Material Frayed",ISNUMBER(SEARCH("hole",C821)),"Material Frayed",ISNUMBER(SEARCH("tear",C821)),"Material Frayed",ISNUMBER(SEARCH("worn",C821)),"Material Frayed",ISNUMBER(SEARCH("intermittent",C821)),"Difficult or Delayed Activation",ISNUMBER(SEARCH("delay",C821)),"Difficult or Delayed Activation",ISNUMBER(SEARCH("label",C821)),"Device Markings/Labelling Problem",ISNUMBER(SEARCH("marking",C821)),"Device Markings/Labelling Problem",ISNUMBER(SEARCH("lacerat",C821)),"Defective Device",ISNUMBER(SEARCH("cut",C821)),"Defective Device",ISNUMBER(SEARCH("leak",C821)),"Fluid/Blood Leak",ISNUMBER(SEARCH("missing",C821)),"Component Missing",ISNUMBER(SEARCH("power",C821)),"Complete Loss of Power",ISNUMBER(SEARCH("will not turn on",C821)),"Complete Loss of Power",ISNUMBER(SEARCH("won't turn on",C821)),"Complete Loss of Power",ISNUMBER(SEARCH("does not turn on",C821)),"Complete Loss of Power",ISNUMBER(SEARCH("electrical",C821)),"Electrical Power Problem",ISNUMBER(SEARCH("pressure",C821)),"Detachment of Device or Device Component",ISNUMBER(SEARCH("slip",C821)),"Detachment of Device or Device Component",ISNUMBER(SEARCH("detach",C821)),"Detachment of Device or Device Component",ISNUMBER(SEARCH("stick",C821)),"Mechanical Jam",ISNUMBER(SEARCH("jam",C821)),"Mechanical Jam",ISNUMBER(SEARCH("rigid",C821)),"Mechanical Jam",ISNUMBER(SEARCH("rust",C821)),"Corroded",ISNUMBER(SEARCH("corrod",C821)),"Corroded",ISNUMBER(SEARCH("corrosion",C821)),"Corroded",ISNUMBER(SEARCH("alignment",C821)),"Defective Device",ISNUMBER(SEARCH("adjust",C821)),"Defective Device",ISNUMBER(SEARCH("perform",C821)),"Defective Device",ISNUMBER(SEARCH("malfunction",C821)),"Defective Device",ISNUMBER(SEARCH("defect",C821)),"Defective Device",ISNUMBER(SEARCH("fail",C821)),"Defective Device",ISNUMBER(SEARCH("not work",C821)),"Defective Device",ISNUMBER(SEARCH("doesn't work",C821)),"Defective Device",TRUE,"UNKNOWN"),"UNKNOWN")))</f>
        <v/>
      </c>
      <c r="F821" s="4" t="str">
        <f t="shared" si="13"/>
        <v/>
      </c>
      <c r="G821" s="363" t="str">
        <f>IF(E821="","",IFERROR(VLOOKUP(E821,Codes!$L$2:$N$409,3,FALSE),"—"))</f>
        <v/>
      </c>
      <c r="H821" s="88"/>
      <c r="I821" s="88"/>
    </row>
    <row r="822" spans="1:9" ht="13.15" x14ac:dyDescent="0.35">
      <c r="A822" s="92"/>
      <c r="B822" s="89"/>
      <c r="C822" s="88"/>
      <c r="D822" s="88"/>
      <c r="E822" s="93" t="str" cm="1">
        <f t="array" ref="E822">IF(D822&lt;&gt;"",IFERROR(VLOOKUP(D822,Codes!$K$2:$L$409,2,FALSE),"UNKNOWN - "&amp;D822),IF(C822="","",IFERROR(_xlfn.IFS(ISNUMBER(SEARCH("broken button",C822)),"Break",ISNUMBER(SEARCH("broken handle",C822)),"Break",ISNUMBER(SEARCH("shipping damage",C822)),"Break",ISNUMBER(SEARCH("broken",C822)),"Break",ISNUMBER(SEARCH("crack",C822)),"Break",ISNUMBER(SEARCH("snap",C822)),"Break",ISNUMBER(SEARCH("fracture",C822)),"Break",ISNUMBER(SEARCH("bent",C822)),"Material Twisted/Bent",ISNUMBER(SEARCH("twisted",C822)),"Material Twisted/Bent",ISNUMBER(SEARCH("component separat",C822)),"Material Separation",ISNUMBER(SEARCH("separat",C822)),"Material Separation",ISNUMBER(SEARCH("connection",C822)),"Loose or Intermittent Connection",ISNUMBER(SEARCH("loose",C822)),"Loose or Intermittent Connection",ISNUMBER(SEARCH("damaged packaging",C822)),"Packaging Problem",ISNUMBER(SEARCH("packaging",C822)),"Packaging Problem",ISNUMBER(SEARCH("discoloration",C822)),"Contamination",ISNUMBER(SEARCH("tarnish",C822)),"Contamination",ISNUMBER(SEARCH("stain",C822)),"Contamination",ISNUMBER(SEARCH("foreign material",C822)),"Contamination",ISNUMBER(SEARCH("contamina",C822)),"Contamination",ISNUMBER(SEARCH("overheat",C822)),"Overheating of Device",ISNUMBER(SEARCH("excessive heat",C822)),"Overheating of Device",ISNUMBER(SEARCH("hot",C822)),"Overheating of Device",ISNUMBER(SEARCH("noise",C822)),"Noise, Audible",ISNUMBER(SEARCH("sound",C822)),"Noise, Audible",ISNUMBER(SEARCH("loud",C822)),"Noise, Audible",ISNUMBER(SEARCH("fray",C822)),"Material Frayed",ISNUMBER(SEARCH("hole",C822)),"Material Frayed",ISNUMBER(SEARCH("tear",C822)),"Material Frayed",ISNUMBER(SEARCH("worn",C822)),"Material Frayed",ISNUMBER(SEARCH("intermittent",C822)),"Difficult or Delayed Activation",ISNUMBER(SEARCH("delay",C822)),"Difficult or Delayed Activation",ISNUMBER(SEARCH("label",C822)),"Device Markings/Labelling Problem",ISNUMBER(SEARCH("marking",C822)),"Device Markings/Labelling Problem",ISNUMBER(SEARCH("lacerat",C822)),"Defective Device",ISNUMBER(SEARCH("cut",C822)),"Defective Device",ISNUMBER(SEARCH("leak",C822)),"Fluid/Blood Leak",ISNUMBER(SEARCH("missing",C822)),"Component Missing",ISNUMBER(SEARCH("power",C822)),"Complete Loss of Power",ISNUMBER(SEARCH("will not turn on",C822)),"Complete Loss of Power",ISNUMBER(SEARCH("won't turn on",C822)),"Complete Loss of Power",ISNUMBER(SEARCH("does not turn on",C822)),"Complete Loss of Power",ISNUMBER(SEARCH("electrical",C822)),"Electrical Power Problem",ISNUMBER(SEARCH("pressure",C822)),"Detachment of Device or Device Component",ISNUMBER(SEARCH("slip",C822)),"Detachment of Device or Device Component",ISNUMBER(SEARCH("detach",C822)),"Detachment of Device or Device Component",ISNUMBER(SEARCH("stick",C822)),"Mechanical Jam",ISNUMBER(SEARCH("jam",C822)),"Mechanical Jam",ISNUMBER(SEARCH("rigid",C822)),"Mechanical Jam",ISNUMBER(SEARCH("rust",C822)),"Corroded",ISNUMBER(SEARCH("corrod",C822)),"Corroded",ISNUMBER(SEARCH("corrosion",C822)),"Corroded",ISNUMBER(SEARCH("alignment",C822)),"Defective Device",ISNUMBER(SEARCH("adjust",C822)),"Defective Device",ISNUMBER(SEARCH("perform",C822)),"Defective Device",ISNUMBER(SEARCH("malfunction",C822)),"Defective Device",ISNUMBER(SEARCH("defect",C822)),"Defective Device",ISNUMBER(SEARCH("fail",C822)),"Defective Device",ISNUMBER(SEARCH("not work",C822)),"Defective Device",ISNUMBER(SEARCH("doesn't work",C822)),"Defective Device",TRUE,"UNKNOWN"),"UNKNOWN")))</f>
        <v/>
      </c>
      <c r="F822" s="4" t="str">
        <f t="shared" si="13"/>
        <v/>
      </c>
      <c r="G822" s="363" t="str">
        <f>IF(E822="","",IFERROR(VLOOKUP(E822,Codes!$L$2:$N$409,3,FALSE),"—"))</f>
        <v/>
      </c>
      <c r="H822" s="88"/>
      <c r="I822" s="88"/>
    </row>
    <row r="823" spans="1:9" ht="13.15" x14ac:dyDescent="0.35">
      <c r="A823" s="92"/>
      <c r="B823" s="89"/>
      <c r="C823" s="88"/>
      <c r="D823" s="88"/>
      <c r="E823" s="93" t="str" cm="1">
        <f t="array" ref="E823">IF(D823&lt;&gt;"",IFERROR(VLOOKUP(D823,Codes!$K$2:$L$409,2,FALSE),"UNKNOWN - "&amp;D823),IF(C823="","",IFERROR(_xlfn.IFS(ISNUMBER(SEARCH("broken button",C823)),"Break",ISNUMBER(SEARCH("broken handle",C823)),"Break",ISNUMBER(SEARCH("shipping damage",C823)),"Break",ISNUMBER(SEARCH("broken",C823)),"Break",ISNUMBER(SEARCH("crack",C823)),"Break",ISNUMBER(SEARCH("snap",C823)),"Break",ISNUMBER(SEARCH("fracture",C823)),"Break",ISNUMBER(SEARCH("bent",C823)),"Material Twisted/Bent",ISNUMBER(SEARCH("twisted",C823)),"Material Twisted/Bent",ISNUMBER(SEARCH("component separat",C823)),"Material Separation",ISNUMBER(SEARCH("separat",C823)),"Material Separation",ISNUMBER(SEARCH("connection",C823)),"Loose or Intermittent Connection",ISNUMBER(SEARCH("loose",C823)),"Loose or Intermittent Connection",ISNUMBER(SEARCH("damaged packaging",C823)),"Packaging Problem",ISNUMBER(SEARCH("packaging",C823)),"Packaging Problem",ISNUMBER(SEARCH("discoloration",C823)),"Contamination",ISNUMBER(SEARCH("tarnish",C823)),"Contamination",ISNUMBER(SEARCH("stain",C823)),"Contamination",ISNUMBER(SEARCH("foreign material",C823)),"Contamination",ISNUMBER(SEARCH("contamina",C823)),"Contamination",ISNUMBER(SEARCH("overheat",C823)),"Overheating of Device",ISNUMBER(SEARCH("excessive heat",C823)),"Overheating of Device",ISNUMBER(SEARCH("hot",C823)),"Overheating of Device",ISNUMBER(SEARCH("noise",C823)),"Noise, Audible",ISNUMBER(SEARCH("sound",C823)),"Noise, Audible",ISNUMBER(SEARCH("loud",C823)),"Noise, Audible",ISNUMBER(SEARCH("fray",C823)),"Material Frayed",ISNUMBER(SEARCH("hole",C823)),"Material Frayed",ISNUMBER(SEARCH("tear",C823)),"Material Frayed",ISNUMBER(SEARCH("worn",C823)),"Material Frayed",ISNUMBER(SEARCH("intermittent",C823)),"Difficult or Delayed Activation",ISNUMBER(SEARCH("delay",C823)),"Difficult or Delayed Activation",ISNUMBER(SEARCH("label",C823)),"Device Markings/Labelling Problem",ISNUMBER(SEARCH("marking",C823)),"Device Markings/Labelling Problem",ISNUMBER(SEARCH("lacerat",C823)),"Defective Device",ISNUMBER(SEARCH("cut",C823)),"Defective Device",ISNUMBER(SEARCH("leak",C823)),"Fluid/Blood Leak",ISNUMBER(SEARCH("missing",C823)),"Component Missing",ISNUMBER(SEARCH("power",C823)),"Complete Loss of Power",ISNUMBER(SEARCH("will not turn on",C823)),"Complete Loss of Power",ISNUMBER(SEARCH("won't turn on",C823)),"Complete Loss of Power",ISNUMBER(SEARCH("does not turn on",C823)),"Complete Loss of Power",ISNUMBER(SEARCH("electrical",C823)),"Electrical Power Problem",ISNUMBER(SEARCH("pressure",C823)),"Detachment of Device or Device Component",ISNUMBER(SEARCH("slip",C823)),"Detachment of Device or Device Component",ISNUMBER(SEARCH("detach",C823)),"Detachment of Device or Device Component",ISNUMBER(SEARCH("stick",C823)),"Mechanical Jam",ISNUMBER(SEARCH("jam",C823)),"Mechanical Jam",ISNUMBER(SEARCH("rigid",C823)),"Mechanical Jam",ISNUMBER(SEARCH("rust",C823)),"Corroded",ISNUMBER(SEARCH("corrod",C823)),"Corroded",ISNUMBER(SEARCH("corrosion",C823)),"Corroded",ISNUMBER(SEARCH("alignment",C823)),"Defective Device",ISNUMBER(SEARCH("adjust",C823)),"Defective Device",ISNUMBER(SEARCH("perform",C823)),"Defective Device",ISNUMBER(SEARCH("malfunction",C823)),"Defective Device",ISNUMBER(SEARCH("defect",C823)),"Defective Device",ISNUMBER(SEARCH("fail",C823)),"Defective Device",ISNUMBER(SEARCH("not work",C823)),"Defective Device",ISNUMBER(SEARCH("doesn't work",C823)),"Defective Device",TRUE,"UNKNOWN"),"UNKNOWN")))</f>
        <v/>
      </c>
      <c r="F823" s="4" t="str">
        <f t="shared" si="13"/>
        <v/>
      </c>
      <c r="G823" s="363" t="str">
        <f>IF(E823="","",IFERROR(VLOOKUP(E823,Codes!$L$2:$N$409,3,FALSE),"—"))</f>
        <v/>
      </c>
      <c r="H823" s="88"/>
      <c r="I823" s="88"/>
    </row>
    <row r="824" spans="1:9" ht="13.15" x14ac:dyDescent="0.35">
      <c r="A824" s="92"/>
      <c r="B824" s="89"/>
      <c r="C824" s="88"/>
      <c r="D824" s="88"/>
      <c r="E824" s="93" t="str" cm="1">
        <f t="array" ref="E824">IF(D824&lt;&gt;"",IFERROR(VLOOKUP(D824,Codes!$K$2:$L$409,2,FALSE),"UNKNOWN - "&amp;D824),IF(C824="","",IFERROR(_xlfn.IFS(ISNUMBER(SEARCH("broken button",C824)),"Break",ISNUMBER(SEARCH("broken handle",C824)),"Break",ISNUMBER(SEARCH("shipping damage",C824)),"Break",ISNUMBER(SEARCH("broken",C824)),"Break",ISNUMBER(SEARCH("crack",C824)),"Break",ISNUMBER(SEARCH("snap",C824)),"Break",ISNUMBER(SEARCH("fracture",C824)),"Break",ISNUMBER(SEARCH("bent",C824)),"Material Twisted/Bent",ISNUMBER(SEARCH("twisted",C824)),"Material Twisted/Bent",ISNUMBER(SEARCH("component separat",C824)),"Material Separation",ISNUMBER(SEARCH("separat",C824)),"Material Separation",ISNUMBER(SEARCH("connection",C824)),"Loose or Intermittent Connection",ISNUMBER(SEARCH("loose",C824)),"Loose or Intermittent Connection",ISNUMBER(SEARCH("damaged packaging",C824)),"Packaging Problem",ISNUMBER(SEARCH("packaging",C824)),"Packaging Problem",ISNUMBER(SEARCH("discoloration",C824)),"Contamination",ISNUMBER(SEARCH("tarnish",C824)),"Contamination",ISNUMBER(SEARCH("stain",C824)),"Contamination",ISNUMBER(SEARCH("foreign material",C824)),"Contamination",ISNUMBER(SEARCH("contamina",C824)),"Contamination",ISNUMBER(SEARCH("overheat",C824)),"Overheating of Device",ISNUMBER(SEARCH("excessive heat",C824)),"Overheating of Device",ISNUMBER(SEARCH("hot",C824)),"Overheating of Device",ISNUMBER(SEARCH("noise",C824)),"Noise, Audible",ISNUMBER(SEARCH("sound",C824)),"Noise, Audible",ISNUMBER(SEARCH("loud",C824)),"Noise, Audible",ISNUMBER(SEARCH("fray",C824)),"Material Frayed",ISNUMBER(SEARCH("hole",C824)),"Material Frayed",ISNUMBER(SEARCH("tear",C824)),"Material Frayed",ISNUMBER(SEARCH("worn",C824)),"Material Frayed",ISNUMBER(SEARCH("intermittent",C824)),"Difficult or Delayed Activation",ISNUMBER(SEARCH("delay",C824)),"Difficult or Delayed Activation",ISNUMBER(SEARCH("label",C824)),"Device Markings/Labelling Problem",ISNUMBER(SEARCH("marking",C824)),"Device Markings/Labelling Problem",ISNUMBER(SEARCH("lacerat",C824)),"Defective Device",ISNUMBER(SEARCH("cut",C824)),"Defective Device",ISNUMBER(SEARCH("leak",C824)),"Fluid/Blood Leak",ISNUMBER(SEARCH("missing",C824)),"Component Missing",ISNUMBER(SEARCH("power",C824)),"Complete Loss of Power",ISNUMBER(SEARCH("will not turn on",C824)),"Complete Loss of Power",ISNUMBER(SEARCH("won't turn on",C824)),"Complete Loss of Power",ISNUMBER(SEARCH("does not turn on",C824)),"Complete Loss of Power",ISNUMBER(SEARCH("electrical",C824)),"Electrical Power Problem",ISNUMBER(SEARCH("pressure",C824)),"Detachment of Device or Device Component",ISNUMBER(SEARCH("slip",C824)),"Detachment of Device or Device Component",ISNUMBER(SEARCH("detach",C824)),"Detachment of Device or Device Component",ISNUMBER(SEARCH("stick",C824)),"Mechanical Jam",ISNUMBER(SEARCH("jam",C824)),"Mechanical Jam",ISNUMBER(SEARCH("rigid",C824)),"Mechanical Jam",ISNUMBER(SEARCH("rust",C824)),"Corroded",ISNUMBER(SEARCH("corrod",C824)),"Corroded",ISNUMBER(SEARCH("corrosion",C824)),"Corroded",ISNUMBER(SEARCH("alignment",C824)),"Defective Device",ISNUMBER(SEARCH("adjust",C824)),"Defective Device",ISNUMBER(SEARCH("perform",C824)),"Defective Device",ISNUMBER(SEARCH("malfunction",C824)),"Defective Device",ISNUMBER(SEARCH("defect",C824)),"Defective Device",ISNUMBER(SEARCH("fail",C824)),"Defective Device",ISNUMBER(SEARCH("not work",C824)),"Defective Device",ISNUMBER(SEARCH("doesn't work",C824)),"Defective Device",TRUE,"UNKNOWN"),"UNKNOWN")))</f>
        <v/>
      </c>
      <c r="F824" s="4" t="str">
        <f t="shared" si="13"/>
        <v/>
      </c>
      <c r="G824" s="363" t="str">
        <f>IF(E824="","",IFERROR(VLOOKUP(E824,Codes!$L$2:$N$409,3,FALSE),"—"))</f>
        <v/>
      </c>
      <c r="H824" s="88"/>
      <c r="I824" s="88"/>
    </row>
    <row r="825" spans="1:9" ht="13.15" x14ac:dyDescent="0.35">
      <c r="A825" s="92"/>
      <c r="B825" s="89"/>
      <c r="C825" s="88"/>
      <c r="D825" s="88"/>
      <c r="E825" s="93" t="str" cm="1">
        <f t="array" ref="E825">IF(D825&lt;&gt;"",IFERROR(VLOOKUP(D825,Codes!$K$2:$L$409,2,FALSE),"UNKNOWN - "&amp;D825),IF(C825="","",IFERROR(_xlfn.IFS(ISNUMBER(SEARCH("broken button",C825)),"Break",ISNUMBER(SEARCH("broken handle",C825)),"Break",ISNUMBER(SEARCH("shipping damage",C825)),"Break",ISNUMBER(SEARCH("broken",C825)),"Break",ISNUMBER(SEARCH("crack",C825)),"Break",ISNUMBER(SEARCH("snap",C825)),"Break",ISNUMBER(SEARCH("fracture",C825)),"Break",ISNUMBER(SEARCH("bent",C825)),"Material Twisted/Bent",ISNUMBER(SEARCH("twisted",C825)),"Material Twisted/Bent",ISNUMBER(SEARCH("component separat",C825)),"Material Separation",ISNUMBER(SEARCH("separat",C825)),"Material Separation",ISNUMBER(SEARCH("connection",C825)),"Loose or Intermittent Connection",ISNUMBER(SEARCH("loose",C825)),"Loose or Intermittent Connection",ISNUMBER(SEARCH("damaged packaging",C825)),"Packaging Problem",ISNUMBER(SEARCH("packaging",C825)),"Packaging Problem",ISNUMBER(SEARCH("discoloration",C825)),"Contamination",ISNUMBER(SEARCH("tarnish",C825)),"Contamination",ISNUMBER(SEARCH("stain",C825)),"Contamination",ISNUMBER(SEARCH("foreign material",C825)),"Contamination",ISNUMBER(SEARCH("contamina",C825)),"Contamination",ISNUMBER(SEARCH("overheat",C825)),"Overheating of Device",ISNUMBER(SEARCH("excessive heat",C825)),"Overheating of Device",ISNUMBER(SEARCH("hot",C825)),"Overheating of Device",ISNUMBER(SEARCH("noise",C825)),"Noise, Audible",ISNUMBER(SEARCH("sound",C825)),"Noise, Audible",ISNUMBER(SEARCH("loud",C825)),"Noise, Audible",ISNUMBER(SEARCH("fray",C825)),"Material Frayed",ISNUMBER(SEARCH("hole",C825)),"Material Frayed",ISNUMBER(SEARCH("tear",C825)),"Material Frayed",ISNUMBER(SEARCH("worn",C825)),"Material Frayed",ISNUMBER(SEARCH("intermittent",C825)),"Difficult or Delayed Activation",ISNUMBER(SEARCH("delay",C825)),"Difficult or Delayed Activation",ISNUMBER(SEARCH("label",C825)),"Device Markings/Labelling Problem",ISNUMBER(SEARCH("marking",C825)),"Device Markings/Labelling Problem",ISNUMBER(SEARCH("lacerat",C825)),"Defective Device",ISNUMBER(SEARCH("cut",C825)),"Defective Device",ISNUMBER(SEARCH("leak",C825)),"Fluid/Blood Leak",ISNUMBER(SEARCH("missing",C825)),"Component Missing",ISNUMBER(SEARCH("power",C825)),"Complete Loss of Power",ISNUMBER(SEARCH("will not turn on",C825)),"Complete Loss of Power",ISNUMBER(SEARCH("won't turn on",C825)),"Complete Loss of Power",ISNUMBER(SEARCH("does not turn on",C825)),"Complete Loss of Power",ISNUMBER(SEARCH("electrical",C825)),"Electrical Power Problem",ISNUMBER(SEARCH("pressure",C825)),"Detachment of Device or Device Component",ISNUMBER(SEARCH("slip",C825)),"Detachment of Device or Device Component",ISNUMBER(SEARCH("detach",C825)),"Detachment of Device or Device Component",ISNUMBER(SEARCH("stick",C825)),"Mechanical Jam",ISNUMBER(SEARCH("jam",C825)),"Mechanical Jam",ISNUMBER(SEARCH("rigid",C825)),"Mechanical Jam",ISNUMBER(SEARCH("rust",C825)),"Corroded",ISNUMBER(SEARCH("corrod",C825)),"Corroded",ISNUMBER(SEARCH("corrosion",C825)),"Corroded",ISNUMBER(SEARCH("alignment",C825)),"Defective Device",ISNUMBER(SEARCH("adjust",C825)),"Defective Device",ISNUMBER(SEARCH("perform",C825)),"Defective Device",ISNUMBER(SEARCH("malfunction",C825)),"Defective Device",ISNUMBER(SEARCH("defect",C825)),"Defective Device",ISNUMBER(SEARCH("fail",C825)),"Defective Device",ISNUMBER(SEARCH("not work",C825)),"Defective Device",ISNUMBER(SEARCH("doesn't work",C825)),"Defective Device",TRUE,"UNKNOWN"),"UNKNOWN")))</f>
        <v/>
      </c>
      <c r="F825" s="4" t="str">
        <f t="shared" si="13"/>
        <v/>
      </c>
      <c r="G825" s="363" t="str">
        <f>IF(E825="","",IFERROR(VLOOKUP(E825,Codes!$L$2:$N$409,3,FALSE),"—"))</f>
        <v/>
      </c>
      <c r="H825" s="88"/>
      <c r="I825" s="88"/>
    </row>
    <row r="826" spans="1:9" ht="13.15" x14ac:dyDescent="0.35">
      <c r="A826" s="92"/>
      <c r="B826" s="89"/>
      <c r="C826" s="88"/>
      <c r="D826" s="88"/>
      <c r="E826" s="93" t="str" cm="1">
        <f t="array" ref="E826">IF(D826&lt;&gt;"",IFERROR(VLOOKUP(D826,Codes!$K$2:$L$409,2,FALSE),"UNKNOWN - "&amp;D826),IF(C826="","",IFERROR(_xlfn.IFS(ISNUMBER(SEARCH("broken button",C826)),"Break",ISNUMBER(SEARCH("broken handle",C826)),"Break",ISNUMBER(SEARCH("shipping damage",C826)),"Break",ISNUMBER(SEARCH("broken",C826)),"Break",ISNUMBER(SEARCH("crack",C826)),"Break",ISNUMBER(SEARCH("snap",C826)),"Break",ISNUMBER(SEARCH("fracture",C826)),"Break",ISNUMBER(SEARCH("bent",C826)),"Material Twisted/Bent",ISNUMBER(SEARCH("twisted",C826)),"Material Twisted/Bent",ISNUMBER(SEARCH("component separat",C826)),"Material Separation",ISNUMBER(SEARCH("separat",C826)),"Material Separation",ISNUMBER(SEARCH("connection",C826)),"Loose or Intermittent Connection",ISNUMBER(SEARCH("loose",C826)),"Loose or Intermittent Connection",ISNUMBER(SEARCH("damaged packaging",C826)),"Packaging Problem",ISNUMBER(SEARCH("packaging",C826)),"Packaging Problem",ISNUMBER(SEARCH("discoloration",C826)),"Contamination",ISNUMBER(SEARCH("tarnish",C826)),"Contamination",ISNUMBER(SEARCH("stain",C826)),"Contamination",ISNUMBER(SEARCH("foreign material",C826)),"Contamination",ISNUMBER(SEARCH("contamina",C826)),"Contamination",ISNUMBER(SEARCH("overheat",C826)),"Overheating of Device",ISNUMBER(SEARCH("excessive heat",C826)),"Overheating of Device",ISNUMBER(SEARCH("hot",C826)),"Overheating of Device",ISNUMBER(SEARCH("noise",C826)),"Noise, Audible",ISNUMBER(SEARCH("sound",C826)),"Noise, Audible",ISNUMBER(SEARCH("loud",C826)),"Noise, Audible",ISNUMBER(SEARCH("fray",C826)),"Material Frayed",ISNUMBER(SEARCH("hole",C826)),"Material Frayed",ISNUMBER(SEARCH("tear",C826)),"Material Frayed",ISNUMBER(SEARCH("worn",C826)),"Material Frayed",ISNUMBER(SEARCH("intermittent",C826)),"Difficult or Delayed Activation",ISNUMBER(SEARCH("delay",C826)),"Difficult or Delayed Activation",ISNUMBER(SEARCH("label",C826)),"Device Markings/Labelling Problem",ISNUMBER(SEARCH("marking",C826)),"Device Markings/Labelling Problem",ISNUMBER(SEARCH("lacerat",C826)),"Defective Device",ISNUMBER(SEARCH("cut",C826)),"Defective Device",ISNUMBER(SEARCH("leak",C826)),"Fluid/Blood Leak",ISNUMBER(SEARCH("missing",C826)),"Component Missing",ISNUMBER(SEARCH("power",C826)),"Complete Loss of Power",ISNUMBER(SEARCH("will not turn on",C826)),"Complete Loss of Power",ISNUMBER(SEARCH("won't turn on",C826)),"Complete Loss of Power",ISNUMBER(SEARCH("does not turn on",C826)),"Complete Loss of Power",ISNUMBER(SEARCH("electrical",C826)),"Electrical Power Problem",ISNUMBER(SEARCH("pressure",C826)),"Detachment of Device or Device Component",ISNUMBER(SEARCH("slip",C826)),"Detachment of Device or Device Component",ISNUMBER(SEARCH("detach",C826)),"Detachment of Device or Device Component",ISNUMBER(SEARCH("stick",C826)),"Mechanical Jam",ISNUMBER(SEARCH("jam",C826)),"Mechanical Jam",ISNUMBER(SEARCH("rigid",C826)),"Mechanical Jam",ISNUMBER(SEARCH("rust",C826)),"Corroded",ISNUMBER(SEARCH("corrod",C826)),"Corroded",ISNUMBER(SEARCH("corrosion",C826)),"Corroded",ISNUMBER(SEARCH("alignment",C826)),"Defective Device",ISNUMBER(SEARCH("adjust",C826)),"Defective Device",ISNUMBER(SEARCH("perform",C826)),"Defective Device",ISNUMBER(SEARCH("malfunction",C826)),"Defective Device",ISNUMBER(SEARCH("defect",C826)),"Defective Device",ISNUMBER(SEARCH("fail",C826)),"Defective Device",ISNUMBER(SEARCH("not work",C826)),"Defective Device",ISNUMBER(SEARCH("doesn't work",C826)),"Defective Device",TRUE,"UNKNOWN"),"UNKNOWN")))</f>
        <v/>
      </c>
      <c r="F826" s="4" t="str">
        <f t="shared" si="13"/>
        <v/>
      </c>
      <c r="G826" s="363" t="str">
        <f>IF(E826="","",IFERROR(VLOOKUP(E826,Codes!$L$2:$N$409,3,FALSE),"—"))</f>
        <v/>
      </c>
      <c r="H826" s="88"/>
      <c r="I826" s="88"/>
    </row>
    <row r="827" spans="1:9" ht="13.15" x14ac:dyDescent="0.35">
      <c r="A827" s="92"/>
      <c r="B827" s="89"/>
      <c r="C827" s="88"/>
      <c r="D827" s="88"/>
      <c r="E827" s="93" t="str" cm="1">
        <f t="array" ref="E827">IF(D827&lt;&gt;"",IFERROR(VLOOKUP(D827,Codes!$K$2:$L$409,2,FALSE),"UNKNOWN - "&amp;D827),IF(C827="","",IFERROR(_xlfn.IFS(ISNUMBER(SEARCH("broken button",C827)),"Break",ISNUMBER(SEARCH("broken handle",C827)),"Break",ISNUMBER(SEARCH("shipping damage",C827)),"Break",ISNUMBER(SEARCH("broken",C827)),"Break",ISNUMBER(SEARCH("crack",C827)),"Break",ISNUMBER(SEARCH("snap",C827)),"Break",ISNUMBER(SEARCH("fracture",C827)),"Break",ISNUMBER(SEARCH("bent",C827)),"Material Twisted/Bent",ISNUMBER(SEARCH("twisted",C827)),"Material Twisted/Bent",ISNUMBER(SEARCH("component separat",C827)),"Material Separation",ISNUMBER(SEARCH("separat",C827)),"Material Separation",ISNUMBER(SEARCH("connection",C827)),"Loose or Intermittent Connection",ISNUMBER(SEARCH("loose",C827)),"Loose or Intermittent Connection",ISNUMBER(SEARCH("damaged packaging",C827)),"Packaging Problem",ISNUMBER(SEARCH("packaging",C827)),"Packaging Problem",ISNUMBER(SEARCH("discoloration",C827)),"Contamination",ISNUMBER(SEARCH("tarnish",C827)),"Contamination",ISNUMBER(SEARCH("stain",C827)),"Contamination",ISNUMBER(SEARCH("foreign material",C827)),"Contamination",ISNUMBER(SEARCH("contamina",C827)),"Contamination",ISNUMBER(SEARCH("overheat",C827)),"Overheating of Device",ISNUMBER(SEARCH("excessive heat",C827)),"Overheating of Device",ISNUMBER(SEARCH("hot",C827)),"Overheating of Device",ISNUMBER(SEARCH("noise",C827)),"Noise, Audible",ISNUMBER(SEARCH("sound",C827)),"Noise, Audible",ISNUMBER(SEARCH("loud",C827)),"Noise, Audible",ISNUMBER(SEARCH("fray",C827)),"Material Frayed",ISNUMBER(SEARCH("hole",C827)),"Material Frayed",ISNUMBER(SEARCH("tear",C827)),"Material Frayed",ISNUMBER(SEARCH("worn",C827)),"Material Frayed",ISNUMBER(SEARCH("intermittent",C827)),"Difficult or Delayed Activation",ISNUMBER(SEARCH("delay",C827)),"Difficult or Delayed Activation",ISNUMBER(SEARCH("label",C827)),"Device Markings/Labelling Problem",ISNUMBER(SEARCH("marking",C827)),"Device Markings/Labelling Problem",ISNUMBER(SEARCH("lacerat",C827)),"Defective Device",ISNUMBER(SEARCH("cut",C827)),"Defective Device",ISNUMBER(SEARCH("leak",C827)),"Fluid/Blood Leak",ISNUMBER(SEARCH("missing",C827)),"Component Missing",ISNUMBER(SEARCH("power",C827)),"Complete Loss of Power",ISNUMBER(SEARCH("will not turn on",C827)),"Complete Loss of Power",ISNUMBER(SEARCH("won't turn on",C827)),"Complete Loss of Power",ISNUMBER(SEARCH("does not turn on",C827)),"Complete Loss of Power",ISNUMBER(SEARCH("electrical",C827)),"Electrical Power Problem",ISNUMBER(SEARCH("pressure",C827)),"Detachment of Device or Device Component",ISNUMBER(SEARCH("slip",C827)),"Detachment of Device or Device Component",ISNUMBER(SEARCH("detach",C827)),"Detachment of Device or Device Component",ISNUMBER(SEARCH("stick",C827)),"Mechanical Jam",ISNUMBER(SEARCH("jam",C827)),"Mechanical Jam",ISNUMBER(SEARCH("rigid",C827)),"Mechanical Jam",ISNUMBER(SEARCH("rust",C827)),"Corroded",ISNUMBER(SEARCH("corrod",C827)),"Corroded",ISNUMBER(SEARCH("corrosion",C827)),"Corroded",ISNUMBER(SEARCH("alignment",C827)),"Defective Device",ISNUMBER(SEARCH("adjust",C827)),"Defective Device",ISNUMBER(SEARCH("perform",C827)),"Defective Device",ISNUMBER(SEARCH("malfunction",C827)),"Defective Device",ISNUMBER(SEARCH("defect",C827)),"Defective Device",ISNUMBER(SEARCH("fail",C827)),"Defective Device",ISNUMBER(SEARCH("not work",C827)),"Defective Device",ISNUMBER(SEARCH("doesn't work",C827)),"Defective Device",TRUE,"UNKNOWN"),"UNKNOWN")))</f>
        <v/>
      </c>
      <c r="F827" s="4" t="str">
        <f t="shared" ref="F827:F890" si="14">IF(E827="","","No Clinical Signs, Symptoms or Conditions")</f>
        <v/>
      </c>
      <c r="G827" s="363" t="str">
        <f>IF(E827="","",IFERROR(VLOOKUP(E827,Codes!$L$2:$N$409,3,FALSE),"—"))</f>
        <v/>
      </c>
      <c r="H827" s="88"/>
      <c r="I827" s="88"/>
    </row>
    <row r="828" spans="1:9" ht="13.15" x14ac:dyDescent="0.35">
      <c r="A828" s="92"/>
      <c r="B828" s="89"/>
      <c r="C828" s="88"/>
      <c r="D828" s="88"/>
      <c r="E828" s="93" t="str" cm="1">
        <f t="array" ref="E828">IF(D828&lt;&gt;"",IFERROR(VLOOKUP(D828,Codes!$K$2:$L$409,2,FALSE),"UNKNOWN - "&amp;D828),IF(C828="","",IFERROR(_xlfn.IFS(ISNUMBER(SEARCH("broken button",C828)),"Break",ISNUMBER(SEARCH("broken handle",C828)),"Break",ISNUMBER(SEARCH("shipping damage",C828)),"Break",ISNUMBER(SEARCH("broken",C828)),"Break",ISNUMBER(SEARCH("crack",C828)),"Break",ISNUMBER(SEARCH("snap",C828)),"Break",ISNUMBER(SEARCH("fracture",C828)),"Break",ISNUMBER(SEARCH("bent",C828)),"Material Twisted/Bent",ISNUMBER(SEARCH("twisted",C828)),"Material Twisted/Bent",ISNUMBER(SEARCH("component separat",C828)),"Material Separation",ISNUMBER(SEARCH("separat",C828)),"Material Separation",ISNUMBER(SEARCH("connection",C828)),"Loose or Intermittent Connection",ISNUMBER(SEARCH("loose",C828)),"Loose or Intermittent Connection",ISNUMBER(SEARCH("damaged packaging",C828)),"Packaging Problem",ISNUMBER(SEARCH("packaging",C828)),"Packaging Problem",ISNUMBER(SEARCH("discoloration",C828)),"Contamination",ISNUMBER(SEARCH("tarnish",C828)),"Contamination",ISNUMBER(SEARCH("stain",C828)),"Contamination",ISNUMBER(SEARCH("foreign material",C828)),"Contamination",ISNUMBER(SEARCH("contamina",C828)),"Contamination",ISNUMBER(SEARCH("overheat",C828)),"Overheating of Device",ISNUMBER(SEARCH("excessive heat",C828)),"Overheating of Device",ISNUMBER(SEARCH("hot",C828)),"Overheating of Device",ISNUMBER(SEARCH("noise",C828)),"Noise, Audible",ISNUMBER(SEARCH("sound",C828)),"Noise, Audible",ISNUMBER(SEARCH("loud",C828)),"Noise, Audible",ISNUMBER(SEARCH("fray",C828)),"Material Frayed",ISNUMBER(SEARCH("hole",C828)),"Material Frayed",ISNUMBER(SEARCH("tear",C828)),"Material Frayed",ISNUMBER(SEARCH("worn",C828)),"Material Frayed",ISNUMBER(SEARCH("intermittent",C828)),"Difficult or Delayed Activation",ISNUMBER(SEARCH("delay",C828)),"Difficult or Delayed Activation",ISNUMBER(SEARCH("label",C828)),"Device Markings/Labelling Problem",ISNUMBER(SEARCH("marking",C828)),"Device Markings/Labelling Problem",ISNUMBER(SEARCH("lacerat",C828)),"Defective Device",ISNUMBER(SEARCH("cut",C828)),"Defective Device",ISNUMBER(SEARCH("leak",C828)),"Fluid/Blood Leak",ISNUMBER(SEARCH("missing",C828)),"Component Missing",ISNUMBER(SEARCH("power",C828)),"Complete Loss of Power",ISNUMBER(SEARCH("will not turn on",C828)),"Complete Loss of Power",ISNUMBER(SEARCH("won't turn on",C828)),"Complete Loss of Power",ISNUMBER(SEARCH("does not turn on",C828)),"Complete Loss of Power",ISNUMBER(SEARCH("electrical",C828)),"Electrical Power Problem",ISNUMBER(SEARCH("pressure",C828)),"Detachment of Device or Device Component",ISNUMBER(SEARCH("slip",C828)),"Detachment of Device or Device Component",ISNUMBER(SEARCH("detach",C828)),"Detachment of Device or Device Component",ISNUMBER(SEARCH("stick",C828)),"Mechanical Jam",ISNUMBER(SEARCH("jam",C828)),"Mechanical Jam",ISNUMBER(SEARCH("rigid",C828)),"Mechanical Jam",ISNUMBER(SEARCH("rust",C828)),"Corroded",ISNUMBER(SEARCH("corrod",C828)),"Corroded",ISNUMBER(SEARCH("corrosion",C828)),"Corroded",ISNUMBER(SEARCH("alignment",C828)),"Defective Device",ISNUMBER(SEARCH("adjust",C828)),"Defective Device",ISNUMBER(SEARCH("perform",C828)),"Defective Device",ISNUMBER(SEARCH("malfunction",C828)),"Defective Device",ISNUMBER(SEARCH("defect",C828)),"Defective Device",ISNUMBER(SEARCH("fail",C828)),"Defective Device",ISNUMBER(SEARCH("not work",C828)),"Defective Device",ISNUMBER(SEARCH("doesn't work",C828)),"Defective Device",TRUE,"UNKNOWN"),"UNKNOWN")))</f>
        <v/>
      </c>
      <c r="F828" s="4" t="str">
        <f t="shared" si="14"/>
        <v/>
      </c>
      <c r="G828" s="363" t="str">
        <f>IF(E828="","",IFERROR(VLOOKUP(E828,Codes!$L$2:$N$409,3,FALSE),"—"))</f>
        <v/>
      </c>
      <c r="H828" s="88"/>
      <c r="I828" s="88"/>
    </row>
    <row r="829" spans="1:9" ht="13.15" x14ac:dyDescent="0.35">
      <c r="A829" s="92"/>
      <c r="B829" s="89"/>
      <c r="C829" s="88"/>
      <c r="D829" s="88"/>
      <c r="E829" s="93" t="str" cm="1">
        <f t="array" ref="E829">IF(D829&lt;&gt;"",IFERROR(VLOOKUP(D829,Codes!$K$2:$L$409,2,FALSE),"UNKNOWN - "&amp;D829),IF(C829="","",IFERROR(_xlfn.IFS(ISNUMBER(SEARCH("broken button",C829)),"Break",ISNUMBER(SEARCH("broken handle",C829)),"Break",ISNUMBER(SEARCH("shipping damage",C829)),"Break",ISNUMBER(SEARCH("broken",C829)),"Break",ISNUMBER(SEARCH("crack",C829)),"Break",ISNUMBER(SEARCH("snap",C829)),"Break",ISNUMBER(SEARCH("fracture",C829)),"Break",ISNUMBER(SEARCH("bent",C829)),"Material Twisted/Bent",ISNUMBER(SEARCH("twisted",C829)),"Material Twisted/Bent",ISNUMBER(SEARCH("component separat",C829)),"Material Separation",ISNUMBER(SEARCH("separat",C829)),"Material Separation",ISNUMBER(SEARCH("connection",C829)),"Loose or Intermittent Connection",ISNUMBER(SEARCH("loose",C829)),"Loose or Intermittent Connection",ISNUMBER(SEARCH("damaged packaging",C829)),"Packaging Problem",ISNUMBER(SEARCH("packaging",C829)),"Packaging Problem",ISNUMBER(SEARCH("discoloration",C829)),"Contamination",ISNUMBER(SEARCH("tarnish",C829)),"Contamination",ISNUMBER(SEARCH("stain",C829)),"Contamination",ISNUMBER(SEARCH("foreign material",C829)),"Contamination",ISNUMBER(SEARCH("contamina",C829)),"Contamination",ISNUMBER(SEARCH("overheat",C829)),"Overheating of Device",ISNUMBER(SEARCH("excessive heat",C829)),"Overheating of Device",ISNUMBER(SEARCH("hot",C829)),"Overheating of Device",ISNUMBER(SEARCH("noise",C829)),"Noise, Audible",ISNUMBER(SEARCH("sound",C829)),"Noise, Audible",ISNUMBER(SEARCH("loud",C829)),"Noise, Audible",ISNUMBER(SEARCH("fray",C829)),"Material Frayed",ISNUMBER(SEARCH("hole",C829)),"Material Frayed",ISNUMBER(SEARCH("tear",C829)),"Material Frayed",ISNUMBER(SEARCH("worn",C829)),"Material Frayed",ISNUMBER(SEARCH("intermittent",C829)),"Difficult or Delayed Activation",ISNUMBER(SEARCH("delay",C829)),"Difficult or Delayed Activation",ISNUMBER(SEARCH("label",C829)),"Device Markings/Labelling Problem",ISNUMBER(SEARCH("marking",C829)),"Device Markings/Labelling Problem",ISNUMBER(SEARCH("lacerat",C829)),"Defective Device",ISNUMBER(SEARCH("cut",C829)),"Defective Device",ISNUMBER(SEARCH("leak",C829)),"Fluid/Blood Leak",ISNUMBER(SEARCH("missing",C829)),"Component Missing",ISNUMBER(SEARCH("power",C829)),"Complete Loss of Power",ISNUMBER(SEARCH("will not turn on",C829)),"Complete Loss of Power",ISNUMBER(SEARCH("won't turn on",C829)),"Complete Loss of Power",ISNUMBER(SEARCH("does not turn on",C829)),"Complete Loss of Power",ISNUMBER(SEARCH("electrical",C829)),"Electrical Power Problem",ISNUMBER(SEARCH("pressure",C829)),"Detachment of Device or Device Component",ISNUMBER(SEARCH("slip",C829)),"Detachment of Device or Device Component",ISNUMBER(SEARCH("detach",C829)),"Detachment of Device or Device Component",ISNUMBER(SEARCH("stick",C829)),"Mechanical Jam",ISNUMBER(SEARCH("jam",C829)),"Mechanical Jam",ISNUMBER(SEARCH("rigid",C829)),"Mechanical Jam",ISNUMBER(SEARCH("rust",C829)),"Corroded",ISNUMBER(SEARCH("corrod",C829)),"Corroded",ISNUMBER(SEARCH("corrosion",C829)),"Corroded",ISNUMBER(SEARCH("alignment",C829)),"Defective Device",ISNUMBER(SEARCH("adjust",C829)),"Defective Device",ISNUMBER(SEARCH("perform",C829)),"Defective Device",ISNUMBER(SEARCH("malfunction",C829)),"Defective Device",ISNUMBER(SEARCH("defect",C829)),"Defective Device",ISNUMBER(SEARCH("fail",C829)),"Defective Device",ISNUMBER(SEARCH("not work",C829)),"Defective Device",ISNUMBER(SEARCH("doesn't work",C829)),"Defective Device",TRUE,"UNKNOWN"),"UNKNOWN")))</f>
        <v/>
      </c>
      <c r="F829" s="4" t="str">
        <f t="shared" si="14"/>
        <v/>
      </c>
      <c r="G829" s="363" t="str">
        <f>IF(E829="","",IFERROR(VLOOKUP(E829,Codes!$L$2:$N$409,3,FALSE),"—"))</f>
        <v/>
      </c>
      <c r="H829" s="88"/>
      <c r="I829" s="88"/>
    </row>
    <row r="830" spans="1:9" ht="13.15" x14ac:dyDescent="0.35">
      <c r="A830" s="92"/>
      <c r="B830" s="89"/>
      <c r="C830" s="88"/>
      <c r="D830" s="88"/>
      <c r="E830" s="93" t="str" cm="1">
        <f t="array" ref="E830">IF(D830&lt;&gt;"",IFERROR(VLOOKUP(D830,Codes!$K$2:$L$409,2,FALSE),"UNKNOWN - "&amp;D830),IF(C830="","",IFERROR(_xlfn.IFS(ISNUMBER(SEARCH("broken button",C830)),"Break",ISNUMBER(SEARCH("broken handle",C830)),"Break",ISNUMBER(SEARCH("shipping damage",C830)),"Break",ISNUMBER(SEARCH("broken",C830)),"Break",ISNUMBER(SEARCH("crack",C830)),"Break",ISNUMBER(SEARCH("snap",C830)),"Break",ISNUMBER(SEARCH("fracture",C830)),"Break",ISNUMBER(SEARCH("bent",C830)),"Material Twisted/Bent",ISNUMBER(SEARCH("twisted",C830)),"Material Twisted/Bent",ISNUMBER(SEARCH("component separat",C830)),"Material Separation",ISNUMBER(SEARCH("separat",C830)),"Material Separation",ISNUMBER(SEARCH("connection",C830)),"Loose or Intermittent Connection",ISNUMBER(SEARCH("loose",C830)),"Loose or Intermittent Connection",ISNUMBER(SEARCH("damaged packaging",C830)),"Packaging Problem",ISNUMBER(SEARCH("packaging",C830)),"Packaging Problem",ISNUMBER(SEARCH("discoloration",C830)),"Contamination",ISNUMBER(SEARCH("tarnish",C830)),"Contamination",ISNUMBER(SEARCH("stain",C830)),"Contamination",ISNUMBER(SEARCH("foreign material",C830)),"Contamination",ISNUMBER(SEARCH("contamina",C830)),"Contamination",ISNUMBER(SEARCH("overheat",C830)),"Overheating of Device",ISNUMBER(SEARCH("excessive heat",C830)),"Overheating of Device",ISNUMBER(SEARCH("hot",C830)),"Overheating of Device",ISNUMBER(SEARCH("noise",C830)),"Noise, Audible",ISNUMBER(SEARCH("sound",C830)),"Noise, Audible",ISNUMBER(SEARCH("loud",C830)),"Noise, Audible",ISNUMBER(SEARCH("fray",C830)),"Material Frayed",ISNUMBER(SEARCH("hole",C830)),"Material Frayed",ISNUMBER(SEARCH("tear",C830)),"Material Frayed",ISNUMBER(SEARCH("worn",C830)),"Material Frayed",ISNUMBER(SEARCH("intermittent",C830)),"Difficult or Delayed Activation",ISNUMBER(SEARCH("delay",C830)),"Difficult or Delayed Activation",ISNUMBER(SEARCH("label",C830)),"Device Markings/Labelling Problem",ISNUMBER(SEARCH("marking",C830)),"Device Markings/Labelling Problem",ISNUMBER(SEARCH("lacerat",C830)),"Defective Device",ISNUMBER(SEARCH("cut",C830)),"Defective Device",ISNUMBER(SEARCH("leak",C830)),"Fluid/Blood Leak",ISNUMBER(SEARCH("missing",C830)),"Component Missing",ISNUMBER(SEARCH("power",C830)),"Complete Loss of Power",ISNUMBER(SEARCH("will not turn on",C830)),"Complete Loss of Power",ISNUMBER(SEARCH("won't turn on",C830)),"Complete Loss of Power",ISNUMBER(SEARCH("does not turn on",C830)),"Complete Loss of Power",ISNUMBER(SEARCH("electrical",C830)),"Electrical Power Problem",ISNUMBER(SEARCH("pressure",C830)),"Detachment of Device or Device Component",ISNUMBER(SEARCH("slip",C830)),"Detachment of Device or Device Component",ISNUMBER(SEARCH("detach",C830)),"Detachment of Device or Device Component",ISNUMBER(SEARCH("stick",C830)),"Mechanical Jam",ISNUMBER(SEARCH("jam",C830)),"Mechanical Jam",ISNUMBER(SEARCH("rigid",C830)),"Mechanical Jam",ISNUMBER(SEARCH("rust",C830)),"Corroded",ISNUMBER(SEARCH("corrod",C830)),"Corroded",ISNUMBER(SEARCH("corrosion",C830)),"Corroded",ISNUMBER(SEARCH("alignment",C830)),"Defective Device",ISNUMBER(SEARCH("adjust",C830)),"Defective Device",ISNUMBER(SEARCH("perform",C830)),"Defective Device",ISNUMBER(SEARCH("malfunction",C830)),"Defective Device",ISNUMBER(SEARCH("defect",C830)),"Defective Device",ISNUMBER(SEARCH("fail",C830)),"Defective Device",ISNUMBER(SEARCH("not work",C830)),"Defective Device",ISNUMBER(SEARCH("doesn't work",C830)),"Defective Device",TRUE,"UNKNOWN"),"UNKNOWN")))</f>
        <v/>
      </c>
      <c r="F830" s="4" t="str">
        <f t="shared" si="14"/>
        <v/>
      </c>
      <c r="G830" s="363" t="str">
        <f>IF(E830="","",IFERROR(VLOOKUP(E830,Codes!$L$2:$N$409,3,FALSE),"—"))</f>
        <v/>
      </c>
      <c r="H830" s="88"/>
      <c r="I830" s="88"/>
    </row>
    <row r="831" spans="1:9" ht="13.15" x14ac:dyDescent="0.35">
      <c r="A831" s="92"/>
      <c r="B831" s="89"/>
      <c r="C831" s="88"/>
      <c r="D831" s="88"/>
      <c r="E831" s="93" t="str" cm="1">
        <f t="array" ref="E831">IF(D831&lt;&gt;"",IFERROR(VLOOKUP(D831,Codes!$K$2:$L$409,2,FALSE),"UNKNOWN - "&amp;D831),IF(C831="","",IFERROR(_xlfn.IFS(ISNUMBER(SEARCH("broken button",C831)),"Break",ISNUMBER(SEARCH("broken handle",C831)),"Break",ISNUMBER(SEARCH("shipping damage",C831)),"Break",ISNUMBER(SEARCH("broken",C831)),"Break",ISNUMBER(SEARCH("crack",C831)),"Break",ISNUMBER(SEARCH("snap",C831)),"Break",ISNUMBER(SEARCH("fracture",C831)),"Break",ISNUMBER(SEARCH("bent",C831)),"Material Twisted/Bent",ISNUMBER(SEARCH("twisted",C831)),"Material Twisted/Bent",ISNUMBER(SEARCH("component separat",C831)),"Material Separation",ISNUMBER(SEARCH("separat",C831)),"Material Separation",ISNUMBER(SEARCH("connection",C831)),"Loose or Intermittent Connection",ISNUMBER(SEARCH("loose",C831)),"Loose or Intermittent Connection",ISNUMBER(SEARCH("damaged packaging",C831)),"Packaging Problem",ISNUMBER(SEARCH("packaging",C831)),"Packaging Problem",ISNUMBER(SEARCH("discoloration",C831)),"Contamination",ISNUMBER(SEARCH("tarnish",C831)),"Contamination",ISNUMBER(SEARCH("stain",C831)),"Contamination",ISNUMBER(SEARCH("foreign material",C831)),"Contamination",ISNUMBER(SEARCH("contamina",C831)),"Contamination",ISNUMBER(SEARCH("overheat",C831)),"Overheating of Device",ISNUMBER(SEARCH("excessive heat",C831)),"Overheating of Device",ISNUMBER(SEARCH("hot",C831)),"Overheating of Device",ISNUMBER(SEARCH("noise",C831)),"Noise, Audible",ISNUMBER(SEARCH("sound",C831)),"Noise, Audible",ISNUMBER(SEARCH("loud",C831)),"Noise, Audible",ISNUMBER(SEARCH("fray",C831)),"Material Frayed",ISNUMBER(SEARCH("hole",C831)),"Material Frayed",ISNUMBER(SEARCH("tear",C831)),"Material Frayed",ISNUMBER(SEARCH("worn",C831)),"Material Frayed",ISNUMBER(SEARCH("intermittent",C831)),"Difficult or Delayed Activation",ISNUMBER(SEARCH("delay",C831)),"Difficult or Delayed Activation",ISNUMBER(SEARCH("label",C831)),"Device Markings/Labelling Problem",ISNUMBER(SEARCH("marking",C831)),"Device Markings/Labelling Problem",ISNUMBER(SEARCH("lacerat",C831)),"Defective Device",ISNUMBER(SEARCH("cut",C831)),"Defective Device",ISNUMBER(SEARCH("leak",C831)),"Fluid/Blood Leak",ISNUMBER(SEARCH("missing",C831)),"Component Missing",ISNUMBER(SEARCH("power",C831)),"Complete Loss of Power",ISNUMBER(SEARCH("will not turn on",C831)),"Complete Loss of Power",ISNUMBER(SEARCH("won't turn on",C831)),"Complete Loss of Power",ISNUMBER(SEARCH("does not turn on",C831)),"Complete Loss of Power",ISNUMBER(SEARCH("electrical",C831)),"Electrical Power Problem",ISNUMBER(SEARCH("pressure",C831)),"Detachment of Device or Device Component",ISNUMBER(SEARCH("slip",C831)),"Detachment of Device or Device Component",ISNUMBER(SEARCH("detach",C831)),"Detachment of Device or Device Component",ISNUMBER(SEARCH("stick",C831)),"Mechanical Jam",ISNUMBER(SEARCH("jam",C831)),"Mechanical Jam",ISNUMBER(SEARCH("rigid",C831)),"Mechanical Jam",ISNUMBER(SEARCH("rust",C831)),"Corroded",ISNUMBER(SEARCH("corrod",C831)),"Corroded",ISNUMBER(SEARCH("corrosion",C831)),"Corroded",ISNUMBER(SEARCH("alignment",C831)),"Defective Device",ISNUMBER(SEARCH("adjust",C831)),"Defective Device",ISNUMBER(SEARCH("perform",C831)),"Defective Device",ISNUMBER(SEARCH("malfunction",C831)),"Defective Device",ISNUMBER(SEARCH("defect",C831)),"Defective Device",ISNUMBER(SEARCH("fail",C831)),"Defective Device",ISNUMBER(SEARCH("not work",C831)),"Defective Device",ISNUMBER(SEARCH("doesn't work",C831)),"Defective Device",TRUE,"UNKNOWN"),"UNKNOWN")))</f>
        <v/>
      </c>
      <c r="F831" s="4" t="str">
        <f t="shared" si="14"/>
        <v/>
      </c>
      <c r="G831" s="363" t="str">
        <f>IF(E831="","",IFERROR(VLOOKUP(E831,Codes!$L$2:$N$409,3,FALSE),"—"))</f>
        <v/>
      </c>
      <c r="H831" s="88"/>
      <c r="I831" s="88"/>
    </row>
    <row r="832" spans="1:9" ht="13.15" x14ac:dyDescent="0.35">
      <c r="A832" s="92"/>
      <c r="B832" s="89"/>
      <c r="C832" s="88"/>
      <c r="D832" s="88"/>
      <c r="E832" s="93" t="str" cm="1">
        <f t="array" ref="E832">IF(D832&lt;&gt;"",IFERROR(VLOOKUP(D832,Codes!$K$2:$L$409,2,FALSE),"UNKNOWN - "&amp;D832),IF(C832="","",IFERROR(_xlfn.IFS(ISNUMBER(SEARCH("broken button",C832)),"Break",ISNUMBER(SEARCH("broken handle",C832)),"Break",ISNUMBER(SEARCH("shipping damage",C832)),"Break",ISNUMBER(SEARCH("broken",C832)),"Break",ISNUMBER(SEARCH("crack",C832)),"Break",ISNUMBER(SEARCH("snap",C832)),"Break",ISNUMBER(SEARCH("fracture",C832)),"Break",ISNUMBER(SEARCH("bent",C832)),"Material Twisted/Bent",ISNUMBER(SEARCH("twisted",C832)),"Material Twisted/Bent",ISNUMBER(SEARCH("component separat",C832)),"Material Separation",ISNUMBER(SEARCH("separat",C832)),"Material Separation",ISNUMBER(SEARCH("connection",C832)),"Loose or Intermittent Connection",ISNUMBER(SEARCH("loose",C832)),"Loose or Intermittent Connection",ISNUMBER(SEARCH("damaged packaging",C832)),"Packaging Problem",ISNUMBER(SEARCH("packaging",C832)),"Packaging Problem",ISNUMBER(SEARCH("discoloration",C832)),"Contamination",ISNUMBER(SEARCH("tarnish",C832)),"Contamination",ISNUMBER(SEARCH("stain",C832)),"Contamination",ISNUMBER(SEARCH("foreign material",C832)),"Contamination",ISNUMBER(SEARCH("contamina",C832)),"Contamination",ISNUMBER(SEARCH("overheat",C832)),"Overheating of Device",ISNUMBER(SEARCH("excessive heat",C832)),"Overheating of Device",ISNUMBER(SEARCH("hot",C832)),"Overheating of Device",ISNUMBER(SEARCH("noise",C832)),"Noise, Audible",ISNUMBER(SEARCH("sound",C832)),"Noise, Audible",ISNUMBER(SEARCH("loud",C832)),"Noise, Audible",ISNUMBER(SEARCH("fray",C832)),"Material Frayed",ISNUMBER(SEARCH("hole",C832)),"Material Frayed",ISNUMBER(SEARCH("tear",C832)),"Material Frayed",ISNUMBER(SEARCH("worn",C832)),"Material Frayed",ISNUMBER(SEARCH("intermittent",C832)),"Difficult or Delayed Activation",ISNUMBER(SEARCH("delay",C832)),"Difficult or Delayed Activation",ISNUMBER(SEARCH("label",C832)),"Device Markings/Labelling Problem",ISNUMBER(SEARCH("marking",C832)),"Device Markings/Labelling Problem",ISNUMBER(SEARCH("lacerat",C832)),"Defective Device",ISNUMBER(SEARCH("cut",C832)),"Defective Device",ISNUMBER(SEARCH("leak",C832)),"Fluid/Blood Leak",ISNUMBER(SEARCH("missing",C832)),"Component Missing",ISNUMBER(SEARCH("power",C832)),"Complete Loss of Power",ISNUMBER(SEARCH("will not turn on",C832)),"Complete Loss of Power",ISNUMBER(SEARCH("won't turn on",C832)),"Complete Loss of Power",ISNUMBER(SEARCH("does not turn on",C832)),"Complete Loss of Power",ISNUMBER(SEARCH("electrical",C832)),"Electrical Power Problem",ISNUMBER(SEARCH("pressure",C832)),"Detachment of Device or Device Component",ISNUMBER(SEARCH("slip",C832)),"Detachment of Device or Device Component",ISNUMBER(SEARCH("detach",C832)),"Detachment of Device or Device Component",ISNUMBER(SEARCH("stick",C832)),"Mechanical Jam",ISNUMBER(SEARCH("jam",C832)),"Mechanical Jam",ISNUMBER(SEARCH("rigid",C832)),"Mechanical Jam",ISNUMBER(SEARCH("rust",C832)),"Corroded",ISNUMBER(SEARCH("corrod",C832)),"Corroded",ISNUMBER(SEARCH("corrosion",C832)),"Corroded",ISNUMBER(SEARCH("alignment",C832)),"Defective Device",ISNUMBER(SEARCH("adjust",C832)),"Defective Device",ISNUMBER(SEARCH("perform",C832)),"Defective Device",ISNUMBER(SEARCH("malfunction",C832)),"Defective Device",ISNUMBER(SEARCH("defect",C832)),"Defective Device",ISNUMBER(SEARCH("fail",C832)),"Defective Device",ISNUMBER(SEARCH("not work",C832)),"Defective Device",ISNUMBER(SEARCH("doesn't work",C832)),"Defective Device",TRUE,"UNKNOWN"),"UNKNOWN")))</f>
        <v/>
      </c>
      <c r="F832" s="4" t="str">
        <f t="shared" si="14"/>
        <v/>
      </c>
      <c r="G832" s="363" t="str">
        <f>IF(E832="","",IFERROR(VLOOKUP(E832,Codes!$L$2:$N$409,3,FALSE),"—"))</f>
        <v/>
      </c>
      <c r="H832" s="88"/>
      <c r="I832" s="88"/>
    </row>
    <row r="833" spans="1:9" ht="13.15" x14ac:dyDescent="0.35">
      <c r="A833" s="92"/>
      <c r="B833" s="89"/>
      <c r="C833" s="88"/>
      <c r="D833" s="88"/>
      <c r="E833" s="93" t="str" cm="1">
        <f t="array" ref="E833">IF(D833&lt;&gt;"",IFERROR(VLOOKUP(D833,Codes!$K$2:$L$409,2,FALSE),"UNKNOWN - "&amp;D833),IF(C833="","",IFERROR(_xlfn.IFS(ISNUMBER(SEARCH("broken button",C833)),"Break",ISNUMBER(SEARCH("broken handle",C833)),"Break",ISNUMBER(SEARCH("shipping damage",C833)),"Break",ISNUMBER(SEARCH("broken",C833)),"Break",ISNUMBER(SEARCH("crack",C833)),"Break",ISNUMBER(SEARCH("snap",C833)),"Break",ISNUMBER(SEARCH("fracture",C833)),"Break",ISNUMBER(SEARCH("bent",C833)),"Material Twisted/Bent",ISNUMBER(SEARCH("twisted",C833)),"Material Twisted/Bent",ISNUMBER(SEARCH("component separat",C833)),"Material Separation",ISNUMBER(SEARCH("separat",C833)),"Material Separation",ISNUMBER(SEARCH("connection",C833)),"Loose or Intermittent Connection",ISNUMBER(SEARCH("loose",C833)),"Loose or Intermittent Connection",ISNUMBER(SEARCH("damaged packaging",C833)),"Packaging Problem",ISNUMBER(SEARCH("packaging",C833)),"Packaging Problem",ISNUMBER(SEARCH("discoloration",C833)),"Contamination",ISNUMBER(SEARCH("tarnish",C833)),"Contamination",ISNUMBER(SEARCH("stain",C833)),"Contamination",ISNUMBER(SEARCH("foreign material",C833)),"Contamination",ISNUMBER(SEARCH("contamina",C833)),"Contamination",ISNUMBER(SEARCH("overheat",C833)),"Overheating of Device",ISNUMBER(SEARCH("excessive heat",C833)),"Overheating of Device",ISNUMBER(SEARCH("hot",C833)),"Overheating of Device",ISNUMBER(SEARCH("noise",C833)),"Noise, Audible",ISNUMBER(SEARCH("sound",C833)),"Noise, Audible",ISNUMBER(SEARCH("loud",C833)),"Noise, Audible",ISNUMBER(SEARCH("fray",C833)),"Material Frayed",ISNUMBER(SEARCH("hole",C833)),"Material Frayed",ISNUMBER(SEARCH("tear",C833)),"Material Frayed",ISNUMBER(SEARCH("worn",C833)),"Material Frayed",ISNUMBER(SEARCH("intermittent",C833)),"Difficult or Delayed Activation",ISNUMBER(SEARCH("delay",C833)),"Difficult or Delayed Activation",ISNUMBER(SEARCH("label",C833)),"Device Markings/Labelling Problem",ISNUMBER(SEARCH("marking",C833)),"Device Markings/Labelling Problem",ISNUMBER(SEARCH("lacerat",C833)),"Defective Device",ISNUMBER(SEARCH("cut",C833)),"Defective Device",ISNUMBER(SEARCH("leak",C833)),"Fluid/Blood Leak",ISNUMBER(SEARCH("missing",C833)),"Component Missing",ISNUMBER(SEARCH("power",C833)),"Complete Loss of Power",ISNUMBER(SEARCH("will not turn on",C833)),"Complete Loss of Power",ISNUMBER(SEARCH("won't turn on",C833)),"Complete Loss of Power",ISNUMBER(SEARCH("does not turn on",C833)),"Complete Loss of Power",ISNUMBER(SEARCH("electrical",C833)),"Electrical Power Problem",ISNUMBER(SEARCH("pressure",C833)),"Detachment of Device or Device Component",ISNUMBER(SEARCH("slip",C833)),"Detachment of Device or Device Component",ISNUMBER(SEARCH("detach",C833)),"Detachment of Device or Device Component",ISNUMBER(SEARCH("stick",C833)),"Mechanical Jam",ISNUMBER(SEARCH("jam",C833)),"Mechanical Jam",ISNUMBER(SEARCH("rigid",C833)),"Mechanical Jam",ISNUMBER(SEARCH("rust",C833)),"Corroded",ISNUMBER(SEARCH("corrod",C833)),"Corroded",ISNUMBER(SEARCH("corrosion",C833)),"Corroded",ISNUMBER(SEARCH("alignment",C833)),"Defective Device",ISNUMBER(SEARCH("adjust",C833)),"Defective Device",ISNUMBER(SEARCH("perform",C833)),"Defective Device",ISNUMBER(SEARCH("malfunction",C833)),"Defective Device",ISNUMBER(SEARCH("defect",C833)),"Defective Device",ISNUMBER(SEARCH("fail",C833)),"Defective Device",ISNUMBER(SEARCH("not work",C833)),"Defective Device",ISNUMBER(SEARCH("doesn't work",C833)),"Defective Device",TRUE,"UNKNOWN"),"UNKNOWN")))</f>
        <v/>
      </c>
      <c r="F833" s="4" t="str">
        <f t="shared" si="14"/>
        <v/>
      </c>
      <c r="G833" s="363" t="str">
        <f>IF(E833="","",IFERROR(VLOOKUP(E833,Codes!$L$2:$N$409,3,FALSE),"—"))</f>
        <v/>
      </c>
      <c r="H833" s="88"/>
      <c r="I833" s="88"/>
    </row>
    <row r="834" spans="1:9" ht="13.15" x14ac:dyDescent="0.35">
      <c r="A834" s="92"/>
      <c r="B834" s="89"/>
      <c r="C834" s="88"/>
      <c r="D834" s="88"/>
      <c r="E834" s="93" t="str" cm="1">
        <f t="array" ref="E834">IF(D834&lt;&gt;"",IFERROR(VLOOKUP(D834,Codes!$K$2:$L$409,2,FALSE),"UNKNOWN - "&amp;D834),IF(C834="","",IFERROR(_xlfn.IFS(ISNUMBER(SEARCH("broken button",C834)),"Break",ISNUMBER(SEARCH("broken handle",C834)),"Break",ISNUMBER(SEARCH("shipping damage",C834)),"Break",ISNUMBER(SEARCH("broken",C834)),"Break",ISNUMBER(SEARCH("crack",C834)),"Break",ISNUMBER(SEARCH("snap",C834)),"Break",ISNUMBER(SEARCH("fracture",C834)),"Break",ISNUMBER(SEARCH("bent",C834)),"Material Twisted/Bent",ISNUMBER(SEARCH("twisted",C834)),"Material Twisted/Bent",ISNUMBER(SEARCH("component separat",C834)),"Material Separation",ISNUMBER(SEARCH("separat",C834)),"Material Separation",ISNUMBER(SEARCH("connection",C834)),"Loose or Intermittent Connection",ISNUMBER(SEARCH("loose",C834)),"Loose or Intermittent Connection",ISNUMBER(SEARCH("damaged packaging",C834)),"Packaging Problem",ISNUMBER(SEARCH("packaging",C834)),"Packaging Problem",ISNUMBER(SEARCH("discoloration",C834)),"Contamination",ISNUMBER(SEARCH("tarnish",C834)),"Contamination",ISNUMBER(SEARCH("stain",C834)),"Contamination",ISNUMBER(SEARCH("foreign material",C834)),"Contamination",ISNUMBER(SEARCH("contamina",C834)),"Contamination",ISNUMBER(SEARCH("overheat",C834)),"Overheating of Device",ISNUMBER(SEARCH("excessive heat",C834)),"Overheating of Device",ISNUMBER(SEARCH("hot",C834)),"Overheating of Device",ISNUMBER(SEARCH("noise",C834)),"Noise, Audible",ISNUMBER(SEARCH("sound",C834)),"Noise, Audible",ISNUMBER(SEARCH("loud",C834)),"Noise, Audible",ISNUMBER(SEARCH("fray",C834)),"Material Frayed",ISNUMBER(SEARCH("hole",C834)),"Material Frayed",ISNUMBER(SEARCH("tear",C834)),"Material Frayed",ISNUMBER(SEARCH("worn",C834)),"Material Frayed",ISNUMBER(SEARCH("intermittent",C834)),"Difficult or Delayed Activation",ISNUMBER(SEARCH("delay",C834)),"Difficult or Delayed Activation",ISNUMBER(SEARCH("label",C834)),"Device Markings/Labelling Problem",ISNUMBER(SEARCH("marking",C834)),"Device Markings/Labelling Problem",ISNUMBER(SEARCH("lacerat",C834)),"Defective Device",ISNUMBER(SEARCH("cut",C834)),"Defective Device",ISNUMBER(SEARCH("leak",C834)),"Fluid/Blood Leak",ISNUMBER(SEARCH("missing",C834)),"Component Missing",ISNUMBER(SEARCH("power",C834)),"Complete Loss of Power",ISNUMBER(SEARCH("will not turn on",C834)),"Complete Loss of Power",ISNUMBER(SEARCH("won't turn on",C834)),"Complete Loss of Power",ISNUMBER(SEARCH("does not turn on",C834)),"Complete Loss of Power",ISNUMBER(SEARCH("electrical",C834)),"Electrical Power Problem",ISNUMBER(SEARCH("pressure",C834)),"Detachment of Device or Device Component",ISNUMBER(SEARCH("slip",C834)),"Detachment of Device or Device Component",ISNUMBER(SEARCH("detach",C834)),"Detachment of Device or Device Component",ISNUMBER(SEARCH("stick",C834)),"Mechanical Jam",ISNUMBER(SEARCH("jam",C834)),"Mechanical Jam",ISNUMBER(SEARCH("rigid",C834)),"Mechanical Jam",ISNUMBER(SEARCH("rust",C834)),"Corroded",ISNUMBER(SEARCH("corrod",C834)),"Corroded",ISNUMBER(SEARCH("corrosion",C834)),"Corroded",ISNUMBER(SEARCH("alignment",C834)),"Defective Device",ISNUMBER(SEARCH("adjust",C834)),"Defective Device",ISNUMBER(SEARCH("perform",C834)),"Defective Device",ISNUMBER(SEARCH("malfunction",C834)),"Defective Device",ISNUMBER(SEARCH("defect",C834)),"Defective Device",ISNUMBER(SEARCH("fail",C834)),"Defective Device",ISNUMBER(SEARCH("not work",C834)),"Defective Device",ISNUMBER(SEARCH("doesn't work",C834)),"Defective Device",TRUE,"UNKNOWN"),"UNKNOWN")))</f>
        <v/>
      </c>
      <c r="F834" s="4" t="str">
        <f t="shared" si="14"/>
        <v/>
      </c>
      <c r="G834" s="363" t="str">
        <f>IF(E834="","",IFERROR(VLOOKUP(E834,Codes!$L$2:$N$409,3,FALSE),"—"))</f>
        <v/>
      </c>
      <c r="H834" s="88"/>
      <c r="I834" s="88"/>
    </row>
    <row r="835" spans="1:9" ht="13.15" x14ac:dyDescent="0.35">
      <c r="A835" s="92"/>
      <c r="B835" s="89"/>
      <c r="C835" s="88"/>
      <c r="D835" s="88"/>
      <c r="E835" s="93" t="str" cm="1">
        <f t="array" ref="E835">IF(D835&lt;&gt;"",IFERROR(VLOOKUP(D835,Codes!$K$2:$L$409,2,FALSE),"UNKNOWN - "&amp;D835),IF(C835="","",IFERROR(_xlfn.IFS(ISNUMBER(SEARCH("broken button",C835)),"Break",ISNUMBER(SEARCH("broken handle",C835)),"Break",ISNUMBER(SEARCH("shipping damage",C835)),"Break",ISNUMBER(SEARCH("broken",C835)),"Break",ISNUMBER(SEARCH("crack",C835)),"Break",ISNUMBER(SEARCH("snap",C835)),"Break",ISNUMBER(SEARCH("fracture",C835)),"Break",ISNUMBER(SEARCH("bent",C835)),"Material Twisted/Bent",ISNUMBER(SEARCH("twisted",C835)),"Material Twisted/Bent",ISNUMBER(SEARCH("component separat",C835)),"Material Separation",ISNUMBER(SEARCH("separat",C835)),"Material Separation",ISNUMBER(SEARCH("connection",C835)),"Loose or Intermittent Connection",ISNUMBER(SEARCH("loose",C835)),"Loose or Intermittent Connection",ISNUMBER(SEARCH("damaged packaging",C835)),"Packaging Problem",ISNUMBER(SEARCH("packaging",C835)),"Packaging Problem",ISNUMBER(SEARCH("discoloration",C835)),"Contamination",ISNUMBER(SEARCH("tarnish",C835)),"Contamination",ISNUMBER(SEARCH("stain",C835)),"Contamination",ISNUMBER(SEARCH("foreign material",C835)),"Contamination",ISNUMBER(SEARCH("contamina",C835)),"Contamination",ISNUMBER(SEARCH("overheat",C835)),"Overheating of Device",ISNUMBER(SEARCH("excessive heat",C835)),"Overheating of Device",ISNUMBER(SEARCH("hot",C835)),"Overheating of Device",ISNUMBER(SEARCH("noise",C835)),"Noise, Audible",ISNUMBER(SEARCH("sound",C835)),"Noise, Audible",ISNUMBER(SEARCH("loud",C835)),"Noise, Audible",ISNUMBER(SEARCH("fray",C835)),"Material Frayed",ISNUMBER(SEARCH("hole",C835)),"Material Frayed",ISNUMBER(SEARCH("tear",C835)),"Material Frayed",ISNUMBER(SEARCH("worn",C835)),"Material Frayed",ISNUMBER(SEARCH("intermittent",C835)),"Difficult or Delayed Activation",ISNUMBER(SEARCH("delay",C835)),"Difficult or Delayed Activation",ISNUMBER(SEARCH("label",C835)),"Device Markings/Labelling Problem",ISNUMBER(SEARCH("marking",C835)),"Device Markings/Labelling Problem",ISNUMBER(SEARCH("lacerat",C835)),"Defective Device",ISNUMBER(SEARCH("cut",C835)),"Defective Device",ISNUMBER(SEARCH("leak",C835)),"Fluid/Blood Leak",ISNUMBER(SEARCH("missing",C835)),"Component Missing",ISNUMBER(SEARCH("power",C835)),"Complete Loss of Power",ISNUMBER(SEARCH("will not turn on",C835)),"Complete Loss of Power",ISNUMBER(SEARCH("won't turn on",C835)),"Complete Loss of Power",ISNUMBER(SEARCH("does not turn on",C835)),"Complete Loss of Power",ISNUMBER(SEARCH("electrical",C835)),"Electrical Power Problem",ISNUMBER(SEARCH("pressure",C835)),"Detachment of Device or Device Component",ISNUMBER(SEARCH("slip",C835)),"Detachment of Device or Device Component",ISNUMBER(SEARCH("detach",C835)),"Detachment of Device or Device Component",ISNUMBER(SEARCH("stick",C835)),"Mechanical Jam",ISNUMBER(SEARCH("jam",C835)),"Mechanical Jam",ISNUMBER(SEARCH("rigid",C835)),"Mechanical Jam",ISNUMBER(SEARCH("rust",C835)),"Corroded",ISNUMBER(SEARCH("corrod",C835)),"Corroded",ISNUMBER(SEARCH("corrosion",C835)),"Corroded",ISNUMBER(SEARCH("alignment",C835)),"Defective Device",ISNUMBER(SEARCH("adjust",C835)),"Defective Device",ISNUMBER(SEARCH("perform",C835)),"Defective Device",ISNUMBER(SEARCH("malfunction",C835)),"Defective Device",ISNUMBER(SEARCH("defect",C835)),"Defective Device",ISNUMBER(SEARCH("fail",C835)),"Defective Device",ISNUMBER(SEARCH("not work",C835)),"Defective Device",ISNUMBER(SEARCH("doesn't work",C835)),"Defective Device",TRUE,"UNKNOWN"),"UNKNOWN")))</f>
        <v/>
      </c>
      <c r="F835" s="4" t="str">
        <f t="shared" si="14"/>
        <v/>
      </c>
      <c r="G835" s="363" t="str">
        <f>IF(E835="","",IFERROR(VLOOKUP(E835,Codes!$L$2:$N$409,3,FALSE),"—"))</f>
        <v/>
      </c>
      <c r="H835" s="88"/>
      <c r="I835" s="88"/>
    </row>
    <row r="836" spans="1:9" ht="13.15" x14ac:dyDescent="0.35">
      <c r="A836" s="92"/>
      <c r="B836" s="89"/>
      <c r="C836" s="88"/>
      <c r="D836" s="88"/>
      <c r="E836" s="93" t="str" cm="1">
        <f t="array" ref="E836">IF(D836&lt;&gt;"",IFERROR(VLOOKUP(D836,Codes!$K$2:$L$409,2,FALSE),"UNKNOWN - "&amp;D836),IF(C836="","",IFERROR(_xlfn.IFS(ISNUMBER(SEARCH("broken button",C836)),"Break",ISNUMBER(SEARCH("broken handle",C836)),"Break",ISNUMBER(SEARCH("shipping damage",C836)),"Break",ISNUMBER(SEARCH("broken",C836)),"Break",ISNUMBER(SEARCH("crack",C836)),"Break",ISNUMBER(SEARCH("snap",C836)),"Break",ISNUMBER(SEARCH("fracture",C836)),"Break",ISNUMBER(SEARCH("bent",C836)),"Material Twisted/Bent",ISNUMBER(SEARCH("twisted",C836)),"Material Twisted/Bent",ISNUMBER(SEARCH("component separat",C836)),"Material Separation",ISNUMBER(SEARCH("separat",C836)),"Material Separation",ISNUMBER(SEARCH("connection",C836)),"Loose or Intermittent Connection",ISNUMBER(SEARCH("loose",C836)),"Loose or Intermittent Connection",ISNUMBER(SEARCH("damaged packaging",C836)),"Packaging Problem",ISNUMBER(SEARCH("packaging",C836)),"Packaging Problem",ISNUMBER(SEARCH("discoloration",C836)),"Contamination",ISNUMBER(SEARCH("tarnish",C836)),"Contamination",ISNUMBER(SEARCH("stain",C836)),"Contamination",ISNUMBER(SEARCH("foreign material",C836)),"Contamination",ISNUMBER(SEARCH("contamina",C836)),"Contamination",ISNUMBER(SEARCH("overheat",C836)),"Overheating of Device",ISNUMBER(SEARCH("excessive heat",C836)),"Overheating of Device",ISNUMBER(SEARCH("hot",C836)),"Overheating of Device",ISNUMBER(SEARCH("noise",C836)),"Noise, Audible",ISNUMBER(SEARCH("sound",C836)),"Noise, Audible",ISNUMBER(SEARCH("loud",C836)),"Noise, Audible",ISNUMBER(SEARCH("fray",C836)),"Material Frayed",ISNUMBER(SEARCH("hole",C836)),"Material Frayed",ISNUMBER(SEARCH("tear",C836)),"Material Frayed",ISNUMBER(SEARCH("worn",C836)),"Material Frayed",ISNUMBER(SEARCH("intermittent",C836)),"Difficult or Delayed Activation",ISNUMBER(SEARCH("delay",C836)),"Difficult or Delayed Activation",ISNUMBER(SEARCH("label",C836)),"Device Markings/Labelling Problem",ISNUMBER(SEARCH("marking",C836)),"Device Markings/Labelling Problem",ISNUMBER(SEARCH("lacerat",C836)),"Defective Device",ISNUMBER(SEARCH("cut",C836)),"Defective Device",ISNUMBER(SEARCH("leak",C836)),"Fluid/Blood Leak",ISNUMBER(SEARCH("missing",C836)),"Component Missing",ISNUMBER(SEARCH("power",C836)),"Complete Loss of Power",ISNUMBER(SEARCH("will not turn on",C836)),"Complete Loss of Power",ISNUMBER(SEARCH("won't turn on",C836)),"Complete Loss of Power",ISNUMBER(SEARCH("does not turn on",C836)),"Complete Loss of Power",ISNUMBER(SEARCH("electrical",C836)),"Electrical Power Problem",ISNUMBER(SEARCH("pressure",C836)),"Detachment of Device or Device Component",ISNUMBER(SEARCH("slip",C836)),"Detachment of Device or Device Component",ISNUMBER(SEARCH("detach",C836)),"Detachment of Device or Device Component",ISNUMBER(SEARCH("stick",C836)),"Mechanical Jam",ISNUMBER(SEARCH("jam",C836)),"Mechanical Jam",ISNUMBER(SEARCH("rigid",C836)),"Mechanical Jam",ISNUMBER(SEARCH("rust",C836)),"Corroded",ISNUMBER(SEARCH("corrod",C836)),"Corroded",ISNUMBER(SEARCH("corrosion",C836)),"Corroded",ISNUMBER(SEARCH("alignment",C836)),"Defective Device",ISNUMBER(SEARCH("adjust",C836)),"Defective Device",ISNUMBER(SEARCH("perform",C836)),"Defective Device",ISNUMBER(SEARCH("malfunction",C836)),"Defective Device",ISNUMBER(SEARCH("defect",C836)),"Defective Device",ISNUMBER(SEARCH("fail",C836)),"Defective Device",ISNUMBER(SEARCH("not work",C836)),"Defective Device",ISNUMBER(SEARCH("doesn't work",C836)),"Defective Device",TRUE,"UNKNOWN"),"UNKNOWN")))</f>
        <v/>
      </c>
      <c r="F836" s="4" t="str">
        <f t="shared" si="14"/>
        <v/>
      </c>
      <c r="G836" s="363" t="str">
        <f>IF(E836="","",IFERROR(VLOOKUP(E836,Codes!$L$2:$N$409,3,FALSE),"—"))</f>
        <v/>
      </c>
      <c r="H836" s="88"/>
      <c r="I836" s="88"/>
    </row>
    <row r="837" spans="1:9" ht="13.15" x14ac:dyDescent="0.35">
      <c r="A837" s="92"/>
      <c r="B837" s="89"/>
      <c r="C837" s="88"/>
      <c r="D837" s="88"/>
      <c r="E837" s="93" t="str" cm="1">
        <f t="array" ref="E837">IF(D837&lt;&gt;"",IFERROR(VLOOKUP(D837,Codes!$K$2:$L$409,2,FALSE),"UNKNOWN - "&amp;D837),IF(C837="","",IFERROR(_xlfn.IFS(ISNUMBER(SEARCH("broken button",C837)),"Break",ISNUMBER(SEARCH("broken handle",C837)),"Break",ISNUMBER(SEARCH("shipping damage",C837)),"Break",ISNUMBER(SEARCH("broken",C837)),"Break",ISNUMBER(SEARCH("crack",C837)),"Break",ISNUMBER(SEARCH("snap",C837)),"Break",ISNUMBER(SEARCH("fracture",C837)),"Break",ISNUMBER(SEARCH("bent",C837)),"Material Twisted/Bent",ISNUMBER(SEARCH("twisted",C837)),"Material Twisted/Bent",ISNUMBER(SEARCH("component separat",C837)),"Material Separation",ISNUMBER(SEARCH("separat",C837)),"Material Separation",ISNUMBER(SEARCH("connection",C837)),"Loose or Intermittent Connection",ISNUMBER(SEARCH("loose",C837)),"Loose or Intermittent Connection",ISNUMBER(SEARCH("damaged packaging",C837)),"Packaging Problem",ISNUMBER(SEARCH("packaging",C837)),"Packaging Problem",ISNUMBER(SEARCH("discoloration",C837)),"Contamination",ISNUMBER(SEARCH("tarnish",C837)),"Contamination",ISNUMBER(SEARCH("stain",C837)),"Contamination",ISNUMBER(SEARCH("foreign material",C837)),"Contamination",ISNUMBER(SEARCH("contamina",C837)),"Contamination",ISNUMBER(SEARCH("overheat",C837)),"Overheating of Device",ISNUMBER(SEARCH("excessive heat",C837)),"Overheating of Device",ISNUMBER(SEARCH("hot",C837)),"Overheating of Device",ISNUMBER(SEARCH("noise",C837)),"Noise, Audible",ISNUMBER(SEARCH("sound",C837)),"Noise, Audible",ISNUMBER(SEARCH("loud",C837)),"Noise, Audible",ISNUMBER(SEARCH("fray",C837)),"Material Frayed",ISNUMBER(SEARCH("hole",C837)),"Material Frayed",ISNUMBER(SEARCH("tear",C837)),"Material Frayed",ISNUMBER(SEARCH("worn",C837)),"Material Frayed",ISNUMBER(SEARCH("intermittent",C837)),"Difficult or Delayed Activation",ISNUMBER(SEARCH("delay",C837)),"Difficult or Delayed Activation",ISNUMBER(SEARCH("label",C837)),"Device Markings/Labelling Problem",ISNUMBER(SEARCH("marking",C837)),"Device Markings/Labelling Problem",ISNUMBER(SEARCH("lacerat",C837)),"Defective Device",ISNUMBER(SEARCH("cut",C837)),"Defective Device",ISNUMBER(SEARCH("leak",C837)),"Fluid/Blood Leak",ISNUMBER(SEARCH("missing",C837)),"Component Missing",ISNUMBER(SEARCH("power",C837)),"Complete Loss of Power",ISNUMBER(SEARCH("will not turn on",C837)),"Complete Loss of Power",ISNUMBER(SEARCH("won't turn on",C837)),"Complete Loss of Power",ISNUMBER(SEARCH("does not turn on",C837)),"Complete Loss of Power",ISNUMBER(SEARCH("electrical",C837)),"Electrical Power Problem",ISNUMBER(SEARCH("pressure",C837)),"Detachment of Device or Device Component",ISNUMBER(SEARCH("slip",C837)),"Detachment of Device or Device Component",ISNUMBER(SEARCH("detach",C837)),"Detachment of Device or Device Component",ISNUMBER(SEARCH("stick",C837)),"Mechanical Jam",ISNUMBER(SEARCH("jam",C837)),"Mechanical Jam",ISNUMBER(SEARCH("rigid",C837)),"Mechanical Jam",ISNUMBER(SEARCH("rust",C837)),"Corroded",ISNUMBER(SEARCH("corrod",C837)),"Corroded",ISNUMBER(SEARCH("corrosion",C837)),"Corroded",ISNUMBER(SEARCH("alignment",C837)),"Defective Device",ISNUMBER(SEARCH("adjust",C837)),"Defective Device",ISNUMBER(SEARCH("perform",C837)),"Defective Device",ISNUMBER(SEARCH("malfunction",C837)),"Defective Device",ISNUMBER(SEARCH("defect",C837)),"Defective Device",ISNUMBER(SEARCH("fail",C837)),"Defective Device",ISNUMBER(SEARCH("not work",C837)),"Defective Device",ISNUMBER(SEARCH("doesn't work",C837)),"Defective Device",TRUE,"UNKNOWN"),"UNKNOWN")))</f>
        <v/>
      </c>
      <c r="F837" s="4" t="str">
        <f t="shared" si="14"/>
        <v/>
      </c>
      <c r="G837" s="363" t="str">
        <f>IF(E837="","",IFERROR(VLOOKUP(E837,Codes!$L$2:$N$409,3,FALSE),"—"))</f>
        <v/>
      </c>
      <c r="H837" s="88"/>
      <c r="I837" s="88"/>
    </row>
    <row r="838" spans="1:9" ht="13.15" x14ac:dyDescent="0.35">
      <c r="A838" s="92"/>
      <c r="B838" s="89"/>
      <c r="C838" s="88"/>
      <c r="D838" s="88"/>
      <c r="E838" s="93" t="str" cm="1">
        <f t="array" ref="E838">IF(D838&lt;&gt;"",IFERROR(VLOOKUP(D838,Codes!$K$2:$L$409,2,FALSE),"UNKNOWN - "&amp;D838),IF(C838="","",IFERROR(_xlfn.IFS(ISNUMBER(SEARCH("broken button",C838)),"Break",ISNUMBER(SEARCH("broken handle",C838)),"Break",ISNUMBER(SEARCH("shipping damage",C838)),"Break",ISNUMBER(SEARCH("broken",C838)),"Break",ISNUMBER(SEARCH("crack",C838)),"Break",ISNUMBER(SEARCH("snap",C838)),"Break",ISNUMBER(SEARCH("fracture",C838)),"Break",ISNUMBER(SEARCH("bent",C838)),"Material Twisted/Bent",ISNUMBER(SEARCH("twisted",C838)),"Material Twisted/Bent",ISNUMBER(SEARCH("component separat",C838)),"Material Separation",ISNUMBER(SEARCH("separat",C838)),"Material Separation",ISNUMBER(SEARCH("connection",C838)),"Loose or Intermittent Connection",ISNUMBER(SEARCH("loose",C838)),"Loose or Intermittent Connection",ISNUMBER(SEARCH("damaged packaging",C838)),"Packaging Problem",ISNUMBER(SEARCH("packaging",C838)),"Packaging Problem",ISNUMBER(SEARCH("discoloration",C838)),"Contamination",ISNUMBER(SEARCH("tarnish",C838)),"Contamination",ISNUMBER(SEARCH("stain",C838)),"Contamination",ISNUMBER(SEARCH("foreign material",C838)),"Contamination",ISNUMBER(SEARCH("contamina",C838)),"Contamination",ISNUMBER(SEARCH("overheat",C838)),"Overheating of Device",ISNUMBER(SEARCH("excessive heat",C838)),"Overheating of Device",ISNUMBER(SEARCH("hot",C838)),"Overheating of Device",ISNUMBER(SEARCH("noise",C838)),"Noise, Audible",ISNUMBER(SEARCH("sound",C838)),"Noise, Audible",ISNUMBER(SEARCH("loud",C838)),"Noise, Audible",ISNUMBER(SEARCH("fray",C838)),"Material Frayed",ISNUMBER(SEARCH("hole",C838)),"Material Frayed",ISNUMBER(SEARCH("tear",C838)),"Material Frayed",ISNUMBER(SEARCH("worn",C838)),"Material Frayed",ISNUMBER(SEARCH("intermittent",C838)),"Difficult or Delayed Activation",ISNUMBER(SEARCH("delay",C838)),"Difficult or Delayed Activation",ISNUMBER(SEARCH("label",C838)),"Device Markings/Labelling Problem",ISNUMBER(SEARCH("marking",C838)),"Device Markings/Labelling Problem",ISNUMBER(SEARCH("lacerat",C838)),"Defective Device",ISNUMBER(SEARCH("cut",C838)),"Defective Device",ISNUMBER(SEARCH("leak",C838)),"Fluid/Blood Leak",ISNUMBER(SEARCH("missing",C838)),"Component Missing",ISNUMBER(SEARCH("power",C838)),"Complete Loss of Power",ISNUMBER(SEARCH("will not turn on",C838)),"Complete Loss of Power",ISNUMBER(SEARCH("won't turn on",C838)),"Complete Loss of Power",ISNUMBER(SEARCH("does not turn on",C838)),"Complete Loss of Power",ISNUMBER(SEARCH("electrical",C838)),"Electrical Power Problem",ISNUMBER(SEARCH("pressure",C838)),"Detachment of Device or Device Component",ISNUMBER(SEARCH("slip",C838)),"Detachment of Device or Device Component",ISNUMBER(SEARCH("detach",C838)),"Detachment of Device or Device Component",ISNUMBER(SEARCH("stick",C838)),"Mechanical Jam",ISNUMBER(SEARCH("jam",C838)),"Mechanical Jam",ISNUMBER(SEARCH("rigid",C838)),"Mechanical Jam",ISNUMBER(SEARCH("rust",C838)),"Corroded",ISNUMBER(SEARCH("corrod",C838)),"Corroded",ISNUMBER(SEARCH("corrosion",C838)),"Corroded",ISNUMBER(SEARCH("alignment",C838)),"Defective Device",ISNUMBER(SEARCH("adjust",C838)),"Defective Device",ISNUMBER(SEARCH("perform",C838)),"Defective Device",ISNUMBER(SEARCH("malfunction",C838)),"Defective Device",ISNUMBER(SEARCH("defect",C838)),"Defective Device",ISNUMBER(SEARCH("fail",C838)),"Defective Device",ISNUMBER(SEARCH("not work",C838)),"Defective Device",ISNUMBER(SEARCH("doesn't work",C838)),"Defective Device",TRUE,"UNKNOWN"),"UNKNOWN")))</f>
        <v/>
      </c>
      <c r="F838" s="4" t="str">
        <f t="shared" si="14"/>
        <v/>
      </c>
      <c r="G838" s="363" t="str">
        <f>IF(E838="","",IFERROR(VLOOKUP(E838,Codes!$L$2:$N$409,3,FALSE),"—"))</f>
        <v/>
      </c>
      <c r="H838" s="88"/>
      <c r="I838" s="88"/>
    </row>
    <row r="839" spans="1:9" ht="13.15" x14ac:dyDescent="0.35">
      <c r="A839" s="92"/>
      <c r="B839" s="89"/>
      <c r="C839" s="88"/>
      <c r="D839" s="88"/>
      <c r="E839" s="93" t="str" cm="1">
        <f t="array" ref="E839">IF(D839&lt;&gt;"",IFERROR(VLOOKUP(D839,Codes!$K$2:$L$409,2,FALSE),"UNKNOWN - "&amp;D839),IF(C839="","",IFERROR(_xlfn.IFS(ISNUMBER(SEARCH("broken button",C839)),"Break",ISNUMBER(SEARCH("broken handle",C839)),"Break",ISNUMBER(SEARCH("shipping damage",C839)),"Break",ISNUMBER(SEARCH("broken",C839)),"Break",ISNUMBER(SEARCH("crack",C839)),"Break",ISNUMBER(SEARCH("snap",C839)),"Break",ISNUMBER(SEARCH("fracture",C839)),"Break",ISNUMBER(SEARCH("bent",C839)),"Material Twisted/Bent",ISNUMBER(SEARCH("twisted",C839)),"Material Twisted/Bent",ISNUMBER(SEARCH("component separat",C839)),"Material Separation",ISNUMBER(SEARCH("separat",C839)),"Material Separation",ISNUMBER(SEARCH("connection",C839)),"Loose or Intermittent Connection",ISNUMBER(SEARCH("loose",C839)),"Loose or Intermittent Connection",ISNUMBER(SEARCH("damaged packaging",C839)),"Packaging Problem",ISNUMBER(SEARCH("packaging",C839)),"Packaging Problem",ISNUMBER(SEARCH("discoloration",C839)),"Contamination",ISNUMBER(SEARCH("tarnish",C839)),"Contamination",ISNUMBER(SEARCH("stain",C839)),"Contamination",ISNUMBER(SEARCH("foreign material",C839)),"Contamination",ISNUMBER(SEARCH("contamina",C839)),"Contamination",ISNUMBER(SEARCH("overheat",C839)),"Overheating of Device",ISNUMBER(SEARCH("excessive heat",C839)),"Overheating of Device",ISNUMBER(SEARCH("hot",C839)),"Overheating of Device",ISNUMBER(SEARCH("noise",C839)),"Noise, Audible",ISNUMBER(SEARCH("sound",C839)),"Noise, Audible",ISNUMBER(SEARCH("loud",C839)),"Noise, Audible",ISNUMBER(SEARCH("fray",C839)),"Material Frayed",ISNUMBER(SEARCH("hole",C839)),"Material Frayed",ISNUMBER(SEARCH("tear",C839)),"Material Frayed",ISNUMBER(SEARCH("worn",C839)),"Material Frayed",ISNUMBER(SEARCH("intermittent",C839)),"Difficult or Delayed Activation",ISNUMBER(SEARCH("delay",C839)),"Difficult or Delayed Activation",ISNUMBER(SEARCH("label",C839)),"Device Markings/Labelling Problem",ISNUMBER(SEARCH("marking",C839)),"Device Markings/Labelling Problem",ISNUMBER(SEARCH("lacerat",C839)),"Defective Device",ISNUMBER(SEARCH("cut",C839)),"Defective Device",ISNUMBER(SEARCH("leak",C839)),"Fluid/Blood Leak",ISNUMBER(SEARCH("missing",C839)),"Component Missing",ISNUMBER(SEARCH("power",C839)),"Complete Loss of Power",ISNUMBER(SEARCH("will not turn on",C839)),"Complete Loss of Power",ISNUMBER(SEARCH("won't turn on",C839)),"Complete Loss of Power",ISNUMBER(SEARCH("does not turn on",C839)),"Complete Loss of Power",ISNUMBER(SEARCH("electrical",C839)),"Electrical Power Problem",ISNUMBER(SEARCH("pressure",C839)),"Detachment of Device or Device Component",ISNUMBER(SEARCH("slip",C839)),"Detachment of Device or Device Component",ISNUMBER(SEARCH("detach",C839)),"Detachment of Device or Device Component",ISNUMBER(SEARCH("stick",C839)),"Mechanical Jam",ISNUMBER(SEARCH("jam",C839)),"Mechanical Jam",ISNUMBER(SEARCH("rigid",C839)),"Mechanical Jam",ISNUMBER(SEARCH("rust",C839)),"Corroded",ISNUMBER(SEARCH("corrod",C839)),"Corroded",ISNUMBER(SEARCH("corrosion",C839)),"Corroded",ISNUMBER(SEARCH("alignment",C839)),"Defective Device",ISNUMBER(SEARCH("adjust",C839)),"Defective Device",ISNUMBER(SEARCH("perform",C839)),"Defective Device",ISNUMBER(SEARCH("malfunction",C839)),"Defective Device",ISNUMBER(SEARCH("defect",C839)),"Defective Device",ISNUMBER(SEARCH("fail",C839)),"Defective Device",ISNUMBER(SEARCH("not work",C839)),"Defective Device",ISNUMBER(SEARCH("doesn't work",C839)),"Defective Device",TRUE,"UNKNOWN"),"UNKNOWN")))</f>
        <v/>
      </c>
      <c r="F839" s="4" t="str">
        <f t="shared" si="14"/>
        <v/>
      </c>
      <c r="G839" s="363" t="str">
        <f>IF(E839="","",IFERROR(VLOOKUP(E839,Codes!$L$2:$N$409,3,FALSE),"—"))</f>
        <v/>
      </c>
      <c r="H839" s="88"/>
      <c r="I839" s="88"/>
    </row>
    <row r="840" spans="1:9" ht="13.15" x14ac:dyDescent="0.35">
      <c r="A840" s="92"/>
      <c r="B840" s="89"/>
      <c r="C840" s="88"/>
      <c r="D840" s="88"/>
      <c r="E840" s="93" t="str" cm="1">
        <f t="array" ref="E840">IF(D840&lt;&gt;"",IFERROR(VLOOKUP(D840,Codes!$K$2:$L$409,2,FALSE),"UNKNOWN - "&amp;D840),IF(C840="","",IFERROR(_xlfn.IFS(ISNUMBER(SEARCH("broken button",C840)),"Break",ISNUMBER(SEARCH("broken handle",C840)),"Break",ISNUMBER(SEARCH("shipping damage",C840)),"Break",ISNUMBER(SEARCH("broken",C840)),"Break",ISNUMBER(SEARCH("crack",C840)),"Break",ISNUMBER(SEARCH("snap",C840)),"Break",ISNUMBER(SEARCH("fracture",C840)),"Break",ISNUMBER(SEARCH("bent",C840)),"Material Twisted/Bent",ISNUMBER(SEARCH("twisted",C840)),"Material Twisted/Bent",ISNUMBER(SEARCH("component separat",C840)),"Material Separation",ISNUMBER(SEARCH("separat",C840)),"Material Separation",ISNUMBER(SEARCH("connection",C840)),"Loose or Intermittent Connection",ISNUMBER(SEARCH("loose",C840)),"Loose or Intermittent Connection",ISNUMBER(SEARCH("damaged packaging",C840)),"Packaging Problem",ISNUMBER(SEARCH("packaging",C840)),"Packaging Problem",ISNUMBER(SEARCH("discoloration",C840)),"Contamination",ISNUMBER(SEARCH("tarnish",C840)),"Contamination",ISNUMBER(SEARCH("stain",C840)),"Contamination",ISNUMBER(SEARCH("foreign material",C840)),"Contamination",ISNUMBER(SEARCH("contamina",C840)),"Contamination",ISNUMBER(SEARCH("overheat",C840)),"Overheating of Device",ISNUMBER(SEARCH("excessive heat",C840)),"Overheating of Device",ISNUMBER(SEARCH("hot",C840)),"Overheating of Device",ISNUMBER(SEARCH("noise",C840)),"Noise, Audible",ISNUMBER(SEARCH("sound",C840)),"Noise, Audible",ISNUMBER(SEARCH("loud",C840)),"Noise, Audible",ISNUMBER(SEARCH("fray",C840)),"Material Frayed",ISNUMBER(SEARCH("hole",C840)),"Material Frayed",ISNUMBER(SEARCH("tear",C840)),"Material Frayed",ISNUMBER(SEARCH("worn",C840)),"Material Frayed",ISNUMBER(SEARCH("intermittent",C840)),"Difficult or Delayed Activation",ISNUMBER(SEARCH("delay",C840)),"Difficult or Delayed Activation",ISNUMBER(SEARCH("label",C840)),"Device Markings/Labelling Problem",ISNUMBER(SEARCH("marking",C840)),"Device Markings/Labelling Problem",ISNUMBER(SEARCH("lacerat",C840)),"Defective Device",ISNUMBER(SEARCH("cut",C840)),"Defective Device",ISNUMBER(SEARCH("leak",C840)),"Fluid/Blood Leak",ISNUMBER(SEARCH("missing",C840)),"Component Missing",ISNUMBER(SEARCH("power",C840)),"Complete Loss of Power",ISNUMBER(SEARCH("will not turn on",C840)),"Complete Loss of Power",ISNUMBER(SEARCH("won't turn on",C840)),"Complete Loss of Power",ISNUMBER(SEARCH("does not turn on",C840)),"Complete Loss of Power",ISNUMBER(SEARCH("electrical",C840)),"Electrical Power Problem",ISNUMBER(SEARCH("pressure",C840)),"Detachment of Device or Device Component",ISNUMBER(SEARCH("slip",C840)),"Detachment of Device or Device Component",ISNUMBER(SEARCH("detach",C840)),"Detachment of Device or Device Component",ISNUMBER(SEARCH("stick",C840)),"Mechanical Jam",ISNUMBER(SEARCH("jam",C840)),"Mechanical Jam",ISNUMBER(SEARCH("rigid",C840)),"Mechanical Jam",ISNUMBER(SEARCH("rust",C840)),"Corroded",ISNUMBER(SEARCH("corrod",C840)),"Corroded",ISNUMBER(SEARCH("corrosion",C840)),"Corroded",ISNUMBER(SEARCH("alignment",C840)),"Defective Device",ISNUMBER(SEARCH("adjust",C840)),"Defective Device",ISNUMBER(SEARCH("perform",C840)),"Defective Device",ISNUMBER(SEARCH("malfunction",C840)),"Defective Device",ISNUMBER(SEARCH("defect",C840)),"Defective Device",ISNUMBER(SEARCH("fail",C840)),"Defective Device",ISNUMBER(SEARCH("not work",C840)),"Defective Device",ISNUMBER(SEARCH("doesn't work",C840)),"Defective Device",TRUE,"UNKNOWN"),"UNKNOWN")))</f>
        <v/>
      </c>
      <c r="F840" s="4" t="str">
        <f t="shared" si="14"/>
        <v/>
      </c>
      <c r="G840" s="363" t="str">
        <f>IF(E840="","",IFERROR(VLOOKUP(E840,Codes!$L$2:$N$409,3,FALSE),"—"))</f>
        <v/>
      </c>
      <c r="H840" s="88"/>
      <c r="I840" s="88"/>
    </row>
    <row r="841" spans="1:9" ht="13.15" x14ac:dyDescent="0.35">
      <c r="A841" s="92"/>
      <c r="B841" s="89"/>
      <c r="C841" s="88"/>
      <c r="D841" s="88"/>
      <c r="E841" s="93" t="str" cm="1">
        <f t="array" ref="E841">IF(D841&lt;&gt;"",IFERROR(VLOOKUP(D841,Codes!$K$2:$L$409,2,FALSE),"UNKNOWN - "&amp;D841),IF(C841="","",IFERROR(_xlfn.IFS(ISNUMBER(SEARCH("broken button",C841)),"Break",ISNUMBER(SEARCH("broken handle",C841)),"Break",ISNUMBER(SEARCH("shipping damage",C841)),"Break",ISNUMBER(SEARCH("broken",C841)),"Break",ISNUMBER(SEARCH("crack",C841)),"Break",ISNUMBER(SEARCH("snap",C841)),"Break",ISNUMBER(SEARCH("fracture",C841)),"Break",ISNUMBER(SEARCH("bent",C841)),"Material Twisted/Bent",ISNUMBER(SEARCH("twisted",C841)),"Material Twisted/Bent",ISNUMBER(SEARCH("component separat",C841)),"Material Separation",ISNUMBER(SEARCH("separat",C841)),"Material Separation",ISNUMBER(SEARCH("connection",C841)),"Loose or Intermittent Connection",ISNUMBER(SEARCH("loose",C841)),"Loose or Intermittent Connection",ISNUMBER(SEARCH("damaged packaging",C841)),"Packaging Problem",ISNUMBER(SEARCH("packaging",C841)),"Packaging Problem",ISNUMBER(SEARCH("discoloration",C841)),"Contamination",ISNUMBER(SEARCH("tarnish",C841)),"Contamination",ISNUMBER(SEARCH("stain",C841)),"Contamination",ISNUMBER(SEARCH("foreign material",C841)),"Contamination",ISNUMBER(SEARCH("contamina",C841)),"Contamination",ISNUMBER(SEARCH("overheat",C841)),"Overheating of Device",ISNUMBER(SEARCH("excessive heat",C841)),"Overheating of Device",ISNUMBER(SEARCH("hot",C841)),"Overheating of Device",ISNUMBER(SEARCH("noise",C841)),"Noise, Audible",ISNUMBER(SEARCH("sound",C841)),"Noise, Audible",ISNUMBER(SEARCH("loud",C841)),"Noise, Audible",ISNUMBER(SEARCH("fray",C841)),"Material Frayed",ISNUMBER(SEARCH("hole",C841)),"Material Frayed",ISNUMBER(SEARCH("tear",C841)),"Material Frayed",ISNUMBER(SEARCH("worn",C841)),"Material Frayed",ISNUMBER(SEARCH("intermittent",C841)),"Difficult or Delayed Activation",ISNUMBER(SEARCH("delay",C841)),"Difficult or Delayed Activation",ISNUMBER(SEARCH("label",C841)),"Device Markings/Labelling Problem",ISNUMBER(SEARCH("marking",C841)),"Device Markings/Labelling Problem",ISNUMBER(SEARCH("lacerat",C841)),"Defective Device",ISNUMBER(SEARCH("cut",C841)),"Defective Device",ISNUMBER(SEARCH("leak",C841)),"Fluid/Blood Leak",ISNUMBER(SEARCH("missing",C841)),"Component Missing",ISNUMBER(SEARCH("power",C841)),"Complete Loss of Power",ISNUMBER(SEARCH("will not turn on",C841)),"Complete Loss of Power",ISNUMBER(SEARCH("won't turn on",C841)),"Complete Loss of Power",ISNUMBER(SEARCH("does not turn on",C841)),"Complete Loss of Power",ISNUMBER(SEARCH("electrical",C841)),"Electrical Power Problem",ISNUMBER(SEARCH("pressure",C841)),"Detachment of Device or Device Component",ISNUMBER(SEARCH("slip",C841)),"Detachment of Device or Device Component",ISNUMBER(SEARCH("detach",C841)),"Detachment of Device or Device Component",ISNUMBER(SEARCH("stick",C841)),"Mechanical Jam",ISNUMBER(SEARCH("jam",C841)),"Mechanical Jam",ISNUMBER(SEARCH("rigid",C841)),"Mechanical Jam",ISNUMBER(SEARCH("rust",C841)),"Corroded",ISNUMBER(SEARCH("corrod",C841)),"Corroded",ISNUMBER(SEARCH("corrosion",C841)),"Corroded",ISNUMBER(SEARCH("alignment",C841)),"Defective Device",ISNUMBER(SEARCH("adjust",C841)),"Defective Device",ISNUMBER(SEARCH("perform",C841)),"Defective Device",ISNUMBER(SEARCH("malfunction",C841)),"Defective Device",ISNUMBER(SEARCH("defect",C841)),"Defective Device",ISNUMBER(SEARCH("fail",C841)),"Defective Device",ISNUMBER(SEARCH("not work",C841)),"Defective Device",ISNUMBER(SEARCH("doesn't work",C841)),"Defective Device",TRUE,"UNKNOWN"),"UNKNOWN")))</f>
        <v/>
      </c>
      <c r="F841" s="4" t="str">
        <f t="shared" si="14"/>
        <v/>
      </c>
      <c r="G841" s="363" t="str">
        <f>IF(E841="","",IFERROR(VLOOKUP(E841,Codes!$L$2:$N$409,3,FALSE),"—"))</f>
        <v/>
      </c>
      <c r="H841" s="88"/>
      <c r="I841" s="88"/>
    </row>
    <row r="842" spans="1:9" ht="13.15" x14ac:dyDescent="0.35">
      <c r="A842" s="92"/>
      <c r="B842" s="89"/>
      <c r="C842" s="88"/>
      <c r="D842" s="88"/>
      <c r="E842" s="93" t="str" cm="1">
        <f t="array" ref="E842">IF(D842&lt;&gt;"",IFERROR(VLOOKUP(D842,Codes!$K$2:$L$409,2,FALSE),"UNKNOWN - "&amp;D842),IF(C842="","",IFERROR(_xlfn.IFS(ISNUMBER(SEARCH("broken button",C842)),"Break",ISNUMBER(SEARCH("broken handle",C842)),"Break",ISNUMBER(SEARCH("shipping damage",C842)),"Break",ISNUMBER(SEARCH("broken",C842)),"Break",ISNUMBER(SEARCH("crack",C842)),"Break",ISNUMBER(SEARCH("snap",C842)),"Break",ISNUMBER(SEARCH("fracture",C842)),"Break",ISNUMBER(SEARCH("bent",C842)),"Material Twisted/Bent",ISNUMBER(SEARCH("twisted",C842)),"Material Twisted/Bent",ISNUMBER(SEARCH("component separat",C842)),"Material Separation",ISNUMBER(SEARCH("separat",C842)),"Material Separation",ISNUMBER(SEARCH("connection",C842)),"Loose or Intermittent Connection",ISNUMBER(SEARCH("loose",C842)),"Loose or Intermittent Connection",ISNUMBER(SEARCH("damaged packaging",C842)),"Packaging Problem",ISNUMBER(SEARCH("packaging",C842)),"Packaging Problem",ISNUMBER(SEARCH("discoloration",C842)),"Contamination",ISNUMBER(SEARCH("tarnish",C842)),"Contamination",ISNUMBER(SEARCH("stain",C842)),"Contamination",ISNUMBER(SEARCH("foreign material",C842)),"Contamination",ISNUMBER(SEARCH("contamina",C842)),"Contamination",ISNUMBER(SEARCH("overheat",C842)),"Overheating of Device",ISNUMBER(SEARCH("excessive heat",C842)),"Overheating of Device",ISNUMBER(SEARCH("hot",C842)),"Overheating of Device",ISNUMBER(SEARCH("noise",C842)),"Noise, Audible",ISNUMBER(SEARCH("sound",C842)),"Noise, Audible",ISNUMBER(SEARCH("loud",C842)),"Noise, Audible",ISNUMBER(SEARCH("fray",C842)),"Material Frayed",ISNUMBER(SEARCH("hole",C842)),"Material Frayed",ISNUMBER(SEARCH("tear",C842)),"Material Frayed",ISNUMBER(SEARCH("worn",C842)),"Material Frayed",ISNUMBER(SEARCH("intermittent",C842)),"Difficult or Delayed Activation",ISNUMBER(SEARCH("delay",C842)),"Difficult or Delayed Activation",ISNUMBER(SEARCH("label",C842)),"Device Markings/Labelling Problem",ISNUMBER(SEARCH("marking",C842)),"Device Markings/Labelling Problem",ISNUMBER(SEARCH("lacerat",C842)),"Defective Device",ISNUMBER(SEARCH("cut",C842)),"Defective Device",ISNUMBER(SEARCH("leak",C842)),"Fluid/Blood Leak",ISNUMBER(SEARCH("missing",C842)),"Component Missing",ISNUMBER(SEARCH("power",C842)),"Complete Loss of Power",ISNUMBER(SEARCH("will not turn on",C842)),"Complete Loss of Power",ISNUMBER(SEARCH("won't turn on",C842)),"Complete Loss of Power",ISNUMBER(SEARCH("does not turn on",C842)),"Complete Loss of Power",ISNUMBER(SEARCH("electrical",C842)),"Electrical Power Problem",ISNUMBER(SEARCH("pressure",C842)),"Detachment of Device or Device Component",ISNUMBER(SEARCH("slip",C842)),"Detachment of Device or Device Component",ISNUMBER(SEARCH("detach",C842)),"Detachment of Device or Device Component",ISNUMBER(SEARCH("stick",C842)),"Mechanical Jam",ISNUMBER(SEARCH("jam",C842)),"Mechanical Jam",ISNUMBER(SEARCH("rigid",C842)),"Mechanical Jam",ISNUMBER(SEARCH("rust",C842)),"Corroded",ISNUMBER(SEARCH("corrod",C842)),"Corroded",ISNUMBER(SEARCH("corrosion",C842)),"Corroded",ISNUMBER(SEARCH("alignment",C842)),"Defective Device",ISNUMBER(SEARCH("adjust",C842)),"Defective Device",ISNUMBER(SEARCH("perform",C842)),"Defective Device",ISNUMBER(SEARCH("malfunction",C842)),"Defective Device",ISNUMBER(SEARCH("defect",C842)),"Defective Device",ISNUMBER(SEARCH("fail",C842)),"Defective Device",ISNUMBER(SEARCH("not work",C842)),"Defective Device",ISNUMBER(SEARCH("doesn't work",C842)),"Defective Device",TRUE,"UNKNOWN"),"UNKNOWN")))</f>
        <v/>
      </c>
      <c r="F842" s="4" t="str">
        <f t="shared" si="14"/>
        <v/>
      </c>
      <c r="G842" s="363" t="str">
        <f>IF(E842="","",IFERROR(VLOOKUP(E842,Codes!$L$2:$N$409,3,FALSE),"—"))</f>
        <v/>
      </c>
      <c r="H842" s="88"/>
      <c r="I842" s="88"/>
    </row>
    <row r="843" spans="1:9" ht="13.15" x14ac:dyDescent="0.35">
      <c r="A843" s="92"/>
      <c r="B843" s="89"/>
      <c r="C843" s="88"/>
      <c r="D843" s="88"/>
      <c r="E843" s="93" t="str" cm="1">
        <f t="array" ref="E843">IF(D843&lt;&gt;"",IFERROR(VLOOKUP(D843,Codes!$K$2:$L$409,2,FALSE),"UNKNOWN - "&amp;D843),IF(C843="","",IFERROR(_xlfn.IFS(ISNUMBER(SEARCH("broken button",C843)),"Break",ISNUMBER(SEARCH("broken handle",C843)),"Break",ISNUMBER(SEARCH("shipping damage",C843)),"Break",ISNUMBER(SEARCH("broken",C843)),"Break",ISNUMBER(SEARCH("crack",C843)),"Break",ISNUMBER(SEARCH("snap",C843)),"Break",ISNUMBER(SEARCH("fracture",C843)),"Break",ISNUMBER(SEARCH("bent",C843)),"Material Twisted/Bent",ISNUMBER(SEARCH("twisted",C843)),"Material Twisted/Bent",ISNUMBER(SEARCH("component separat",C843)),"Material Separation",ISNUMBER(SEARCH("separat",C843)),"Material Separation",ISNUMBER(SEARCH("connection",C843)),"Loose or Intermittent Connection",ISNUMBER(SEARCH("loose",C843)),"Loose or Intermittent Connection",ISNUMBER(SEARCH("damaged packaging",C843)),"Packaging Problem",ISNUMBER(SEARCH("packaging",C843)),"Packaging Problem",ISNUMBER(SEARCH("discoloration",C843)),"Contamination",ISNUMBER(SEARCH("tarnish",C843)),"Contamination",ISNUMBER(SEARCH("stain",C843)),"Contamination",ISNUMBER(SEARCH("foreign material",C843)),"Contamination",ISNUMBER(SEARCH("contamina",C843)),"Contamination",ISNUMBER(SEARCH("overheat",C843)),"Overheating of Device",ISNUMBER(SEARCH("excessive heat",C843)),"Overheating of Device",ISNUMBER(SEARCH("hot",C843)),"Overheating of Device",ISNUMBER(SEARCH("noise",C843)),"Noise, Audible",ISNUMBER(SEARCH("sound",C843)),"Noise, Audible",ISNUMBER(SEARCH("loud",C843)),"Noise, Audible",ISNUMBER(SEARCH("fray",C843)),"Material Frayed",ISNUMBER(SEARCH("hole",C843)),"Material Frayed",ISNUMBER(SEARCH("tear",C843)),"Material Frayed",ISNUMBER(SEARCH("worn",C843)),"Material Frayed",ISNUMBER(SEARCH("intermittent",C843)),"Difficult or Delayed Activation",ISNUMBER(SEARCH("delay",C843)),"Difficult or Delayed Activation",ISNUMBER(SEARCH("label",C843)),"Device Markings/Labelling Problem",ISNUMBER(SEARCH("marking",C843)),"Device Markings/Labelling Problem",ISNUMBER(SEARCH("lacerat",C843)),"Defective Device",ISNUMBER(SEARCH("cut",C843)),"Defective Device",ISNUMBER(SEARCH("leak",C843)),"Fluid/Blood Leak",ISNUMBER(SEARCH("missing",C843)),"Component Missing",ISNUMBER(SEARCH("power",C843)),"Complete Loss of Power",ISNUMBER(SEARCH("will not turn on",C843)),"Complete Loss of Power",ISNUMBER(SEARCH("won't turn on",C843)),"Complete Loss of Power",ISNUMBER(SEARCH("does not turn on",C843)),"Complete Loss of Power",ISNUMBER(SEARCH("electrical",C843)),"Electrical Power Problem",ISNUMBER(SEARCH("pressure",C843)),"Detachment of Device or Device Component",ISNUMBER(SEARCH("slip",C843)),"Detachment of Device or Device Component",ISNUMBER(SEARCH("detach",C843)),"Detachment of Device or Device Component",ISNUMBER(SEARCH("stick",C843)),"Mechanical Jam",ISNUMBER(SEARCH("jam",C843)),"Mechanical Jam",ISNUMBER(SEARCH("rigid",C843)),"Mechanical Jam",ISNUMBER(SEARCH("rust",C843)),"Corroded",ISNUMBER(SEARCH("corrod",C843)),"Corroded",ISNUMBER(SEARCH("corrosion",C843)),"Corroded",ISNUMBER(SEARCH("alignment",C843)),"Defective Device",ISNUMBER(SEARCH("adjust",C843)),"Defective Device",ISNUMBER(SEARCH("perform",C843)),"Defective Device",ISNUMBER(SEARCH("malfunction",C843)),"Defective Device",ISNUMBER(SEARCH("defect",C843)),"Defective Device",ISNUMBER(SEARCH("fail",C843)),"Defective Device",ISNUMBER(SEARCH("not work",C843)),"Defective Device",ISNUMBER(SEARCH("doesn't work",C843)),"Defective Device",TRUE,"UNKNOWN"),"UNKNOWN")))</f>
        <v/>
      </c>
      <c r="F843" s="4" t="str">
        <f t="shared" si="14"/>
        <v/>
      </c>
      <c r="G843" s="363" t="str">
        <f>IF(E843="","",IFERROR(VLOOKUP(E843,Codes!$L$2:$N$409,3,FALSE),"—"))</f>
        <v/>
      </c>
      <c r="H843" s="88"/>
      <c r="I843" s="88"/>
    </row>
    <row r="844" spans="1:9" ht="13.15" x14ac:dyDescent="0.35">
      <c r="A844" s="92"/>
      <c r="B844" s="89"/>
      <c r="C844" s="88"/>
      <c r="D844" s="88"/>
      <c r="E844" s="93" t="str" cm="1">
        <f t="array" ref="E844">IF(D844&lt;&gt;"",IFERROR(VLOOKUP(D844,Codes!$K$2:$L$409,2,FALSE),"UNKNOWN - "&amp;D844),IF(C844="","",IFERROR(_xlfn.IFS(ISNUMBER(SEARCH("broken button",C844)),"Break",ISNUMBER(SEARCH("broken handle",C844)),"Break",ISNUMBER(SEARCH("shipping damage",C844)),"Break",ISNUMBER(SEARCH("broken",C844)),"Break",ISNUMBER(SEARCH("crack",C844)),"Break",ISNUMBER(SEARCH("snap",C844)),"Break",ISNUMBER(SEARCH("fracture",C844)),"Break",ISNUMBER(SEARCH("bent",C844)),"Material Twisted/Bent",ISNUMBER(SEARCH("twisted",C844)),"Material Twisted/Bent",ISNUMBER(SEARCH("component separat",C844)),"Material Separation",ISNUMBER(SEARCH("separat",C844)),"Material Separation",ISNUMBER(SEARCH("connection",C844)),"Loose or Intermittent Connection",ISNUMBER(SEARCH("loose",C844)),"Loose or Intermittent Connection",ISNUMBER(SEARCH("damaged packaging",C844)),"Packaging Problem",ISNUMBER(SEARCH("packaging",C844)),"Packaging Problem",ISNUMBER(SEARCH("discoloration",C844)),"Contamination",ISNUMBER(SEARCH("tarnish",C844)),"Contamination",ISNUMBER(SEARCH("stain",C844)),"Contamination",ISNUMBER(SEARCH("foreign material",C844)),"Contamination",ISNUMBER(SEARCH("contamina",C844)),"Contamination",ISNUMBER(SEARCH("overheat",C844)),"Overheating of Device",ISNUMBER(SEARCH("excessive heat",C844)),"Overheating of Device",ISNUMBER(SEARCH("hot",C844)),"Overheating of Device",ISNUMBER(SEARCH("noise",C844)),"Noise, Audible",ISNUMBER(SEARCH("sound",C844)),"Noise, Audible",ISNUMBER(SEARCH("loud",C844)),"Noise, Audible",ISNUMBER(SEARCH("fray",C844)),"Material Frayed",ISNUMBER(SEARCH("hole",C844)),"Material Frayed",ISNUMBER(SEARCH("tear",C844)),"Material Frayed",ISNUMBER(SEARCH("worn",C844)),"Material Frayed",ISNUMBER(SEARCH("intermittent",C844)),"Difficult or Delayed Activation",ISNUMBER(SEARCH("delay",C844)),"Difficult or Delayed Activation",ISNUMBER(SEARCH("label",C844)),"Device Markings/Labelling Problem",ISNUMBER(SEARCH("marking",C844)),"Device Markings/Labelling Problem",ISNUMBER(SEARCH("lacerat",C844)),"Defective Device",ISNUMBER(SEARCH("cut",C844)),"Defective Device",ISNUMBER(SEARCH("leak",C844)),"Fluid/Blood Leak",ISNUMBER(SEARCH("missing",C844)),"Component Missing",ISNUMBER(SEARCH("power",C844)),"Complete Loss of Power",ISNUMBER(SEARCH("will not turn on",C844)),"Complete Loss of Power",ISNUMBER(SEARCH("won't turn on",C844)),"Complete Loss of Power",ISNUMBER(SEARCH("does not turn on",C844)),"Complete Loss of Power",ISNUMBER(SEARCH("electrical",C844)),"Electrical Power Problem",ISNUMBER(SEARCH("pressure",C844)),"Detachment of Device or Device Component",ISNUMBER(SEARCH("slip",C844)),"Detachment of Device or Device Component",ISNUMBER(SEARCH("detach",C844)),"Detachment of Device or Device Component",ISNUMBER(SEARCH("stick",C844)),"Mechanical Jam",ISNUMBER(SEARCH("jam",C844)),"Mechanical Jam",ISNUMBER(SEARCH("rigid",C844)),"Mechanical Jam",ISNUMBER(SEARCH("rust",C844)),"Corroded",ISNUMBER(SEARCH("corrod",C844)),"Corroded",ISNUMBER(SEARCH("corrosion",C844)),"Corroded",ISNUMBER(SEARCH("alignment",C844)),"Defective Device",ISNUMBER(SEARCH("adjust",C844)),"Defective Device",ISNUMBER(SEARCH("perform",C844)),"Defective Device",ISNUMBER(SEARCH("malfunction",C844)),"Defective Device",ISNUMBER(SEARCH("defect",C844)),"Defective Device",ISNUMBER(SEARCH("fail",C844)),"Defective Device",ISNUMBER(SEARCH("not work",C844)),"Defective Device",ISNUMBER(SEARCH("doesn't work",C844)),"Defective Device",TRUE,"UNKNOWN"),"UNKNOWN")))</f>
        <v/>
      </c>
      <c r="F844" s="4" t="str">
        <f t="shared" si="14"/>
        <v/>
      </c>
      <c r="G844" s="363" t="str">
        <f>IF(E844="","",IFERROR(VLOOKUP(E844,Codes!$L$2:$N$409,3,FALSE),"—"))</f>
        <v/>
      </c>
      <c r="H844" s="88"/>
      <c r="I844" s="88"/>
    </row>
    <row r="845" spans="1:9" ht="13.15" x14ac:dyDescent="0.35">
      <c r="A845" s="92"/>
      <c r="B845" s="89"/>
      <c r="C845" s="88"/>
      <c r="D845" s="88"/>
      <c r="E845" s="93" t="str" cm="1">
        <f t="array" ref="E845">IF(D845&lt;&gt;"",IFERROR(VLOOKUP(D845,Codes!$K$2:$L$409,2,FALSE),"UNKNOWN - "&amp;D845),IF(C845="","",IFERROR(_xlfn.IFS(ISNUMBER(SEARCH("broken button",C845)),"Break",ISNUMBER(SEARCH("broken handle",C845)),"Break",ISNUMBER(SEARCH("shipping damage",C845)),"Break",ISNUMBER(SEARCH("broken",C845)),"Break",ISNUMBER(SEARCH("crack",C845)),"Break",ISNUMBER(SEARCH("snap",C845)),"Break",ISNUMBER(SEARCH("fracture",C845)),"Break",ISNUMBER(SEARCH("bent",C845)),"Material Twisted/Bent",ISNUMBER(SEARCH("twisted",C845)),"Material Twisted/Bent",ISNUMBER(SEARCH("component separat",C845)),"Material Separation",ISNUMBER(SEARCH("separat",C845)),"Material Separation",ISNUMBER(SEARCH("connection",C845)),"Loose or Intermittent Connection",ISNUMBER(SEARCH("loose",C845)),"Loose or Intermittent Connection",ISNUMBER(SEARCH("damaged packaging",C845)),"Packaging Problem",ISNUMBER(SEARCH("packaging",C845)),"Packaging Problem",ISNUMBER(SEARCH("discoloration",C845)),"Contamination",ISNUMBER(SEARCH("tarnish",C845)),"Contamination",ISNUMBER(SEARCH("stain",C845)),"Contamination",ISNUMBER(SEARCH("foreign material",C845)),"Contamination",ISNUMBER(SEARCH("contamina",C845)),"Contamination",ISNUMBER(SEARCH("overheat",C845)),"Overheating of Device",ISNUMBER(SEARCH("excessive heat",C845)),"Overheating of Device",ISNUMBER(SEARCH("hot",C845)),"Overheating of Device",ISNUMBER(SEARCH("noise",C845)),"Noise, Audible",ISNUMBER(SEARCH("sound",C845)),"Noise, Audible",ISNUMBER(SEARCH("loud",C845)),"Noise, Audible",ISNUMBER(SEARCH("fray",C845)),"Material Frayed",ISNUMBER(SEARCH("hole",C845)),"Material Frayed",ISNUMBER(SEARCH("tear",C845)),"Material Frayed",ISNUMBER(SEARCH("worn",C845)),"Material Frayed",ISNUMBER(SEARCH("intermittent",C845)),"Difficult or Delayed Activation",ISNUMBER(SEARCH("delay",C845)),"Difficult or Delayed Activation",ISNUMBER(SEARCH("label",C845)),"Device Markings/Labelling Problem",ISNUMBER(SEARCH("marking",C845)),"Device Markings/Labelling Problem",ISNUMBER(SEARCH("lacerat",C845)),"Defective Device",ISNUMBER(SEARCH("cut",C845)),"Defective Device",ISNUMBER(SEARCH("leak",C845)),"Fluid/Blood Leak",ISNUMBER(SEARCH("missing",C845)),"Component Missing",ISNUMBER(SEARCH("power",C845)),"Complete Loss of Power",ISNUMBER(SEARCH("will not turn on",C845)),"Complete Loss of Power",ISNUMBER(SEARCH("won't turn on",C845)),"Complete Loss of Power",ISNUMBER(SEARCH("does not turn on",C845)),"Complete Loss of Power",ISNUMBER(SEARCH("electrical",C845)),"Electrical Power Problem",ISNUMBER(SEARCH("pressure",C845)),"Detachment of Device or Device Component",ISNUMBER(SEARCH("slip",C845)),"Detachment of Device or Device Component",ISNUMBER(SEARCH("detach",C845)),"Detachment of Device or Device Component",ISNUMBER(SEARCH("stick",C845)),"Mechanical Jam",ISNUMBER(SEARCH("jam",C845)),"Mechanical Jam",ISNUMBER(SEARCH("rigid",C845)),"Mechanical Jam",ISNUMBER(SEARCH("rust",C845)),"Corroded",ISNUMBER(SEARCH("corrod",C845)),"Corroded",ISNUMBER(SEARCH("corrosion",C845)),"Corroded",ISNUMBER(SEARCH("alignment",C845)),"Defective Device",ISNUMBER(SEARCH("adjust",C845)),"Defective Device",ISNUMBER(SEARCH("perform",C845)),"Defective Device",ISNUMBER(SEARCH("malfunction",C845)),"Defective Device",ISNUMBER(SEARCH("defect",C845)),"Defective Device",ISNUMBER(SEARCH("fail",C845)),"Defective Device",ISNUMBER(SEARCH("not work",C845)),"Defective Device",ISNUMBER(SEARCH("doesn't work",C845)),"Defective Device",TRUE,"UNKNOWN"),"UNKNOWN")))</f>
        <v/>
      </c>
      <c r="F845" s="4" t="str">
        <f t="shared" si="14"/>
        <v/>
      </c>
      <c r="G845" s="363" t="str">
        <f>IF(E845="","",IFERROR(VLOOKUP(E845,Codes!$L$2:$N$409,3,FALSE),"—"))</f>
        <v/>
      </c>
      <c r="H845" s="88"/>
      <c r="I845" s="88"/>
    </row>
    <row r="846" spans="1:9" ht="13.15" x14ac:dyDescent="0.35">
      <c r="A846" s="92"/>
      <c r="B846" s="89"/>
      <c r="C846" s="88"/>
      <c r="D846" s="88"/>
      <c r="E846" s="93" t="str" cm="1">
        <f t="array" ref="E846">IF(D846&lt;&gt;"",IFERROR(VLOOKUP(D846,Codes!$K$2:$L$409,2,FALSE),"UNKNOWN - "&amp;D846),IF(C846="","",IFERROR(_xlfn.IFS(ISNUMBER(SEARCH("broken button",C846)),"Break",ISNUMBER(SEARCH("broken handle",C846)),"Break",ISNUMBER(SEARCH("shipping damage",C846)),"Break",ISNUMBER(SEARCH("broken",C846)),"Break",ISNUMBER(SEARCH("crack",C846)),"Break",ISNUMBER(SEARCH("snap",C846)),"Break",ISNUMBER(SEARCH("fracture",C846)),"Break",ISNUMBER(SEARCH("bent",C846)),"Material Twisted/Bent",ISNUMBER(SEARCH("twisted",C846)),"Material Twisted/Bent",ISNUMBER(SEARCH("component separat",C846)),"Material Separation",ISNUMBER(SEARCH("separat",C846)),"Material Separation",ISNUMBER(SEARCH("connection",C846)),"Loose or Intermittent Connection",ISNUMBER(SEARCH("loose",C846)),"Loose or Intermittent Connection",ISNUMBER(SEARCH("damaged packaging",C846)),"Packaging Problem",ISNUMBER(SEARCH("packaging",C846)),"Packaging Problem",ISNUMBER(SEARCH("discoloration",C846)),"Contamination",ISNUMBER(SEARCH("tarnish",C846)),"Contamination",ISNUMBER(SEARCH("stain",C846)),"Contamination",ISNUMBER(SEARCH("foreign material",C846)),"Contamination",ISNUMBER(SEARCH("contamina",C846)),"Contamination",ISNUMBER(SEARCH("overheat",C846)),"Overheating of Device",ISNUMBER(SEARCH("excessive heat",C846)),"Overheating of Device",ISNUMBER(SEARCH("hot",C846)),"Overheating of Device",ISNUMBER(SEARCH("noise",C846)),"Noise, Audible",ISNUMBER(SEARCH("sound",C846)),"Noise, Audible",ISNUMBER(SEARCH("loud",C846)),"Noise, Audible",ISNUMBER(SEARCH("fray",C846)),"Material Frayed",ISNUMBER(SEARCH("hole",C846)),"Material Frayed",ISNUMBER(SEARCH("tear",C846)),"Material Frayed",ISNUMBER(SEARCH("worn",C846)),"Material Frayed",ISNUMBER(SEARCH("intermittent",C846)),"Difficult or Delayed Activation",ISNUMBER(SEARCH("delay",C846)),"Difficult or Delayed Activation",ISNUMBER(SEARCH("label",C846)),"Device Markings/Labelling Problem",ISNUMBER(SEARCH("marking",C846)),"Device Markings/Labelling Problem",ISNUMBER(SEARCH("lacerat",C846)),"Defective Device",ISNUMBER(SEARCH("cut",C846)),"Defective Device",ISNUMBER(SEARCH("leak",C846)),"Fluid/Blood Leak",ISNUMBER(SEARCH("missing",C846)),"Component Missing",ISNUMBER(SEARCH("power",C846)),"Complete Loss of Power",ISNUMBER(SEARCH("will not turn on",C846)),"Complete Loss of Power",ISNUMBER(SEARCH("won't turn on",C846)),"Complete Loss of Power",ISNUMBER(SEARCH("does not turn on",C846)),"Complete Loss of Power",ISNUMBER(SEARCH("electrical",C846)),"Electrical Power Problem",ISNUMBER(SEARCH("pressure",C846)),"Detachment of Device or Device Component",ISNUMBER(SEARCH("slip",C846)),"Detachment of Device or Device Component",ISNUMBER(SEARCH("detach",C846)),"Detachment of Device or Device Component",ISNUMBER(SEARCH("stick",C846)),"Mechanical Jam",ISNUMBER(SEARCH("jam",C846)),"Mechanical Jam",ISNUMBER(SEARCH("rigid",C846)),"Mechanical Jam",ISNUMBER(SEARCH("rust",C846)),"Corroded",ISNUMBER(SEARCH("corrod",C846)),"Corroded",ISNUMBER(SEARCH("corrosion",C846)),"Corroded",ISNUMBER(SEARCH("alignment",C846)),"Defective Device",ISNUMBER(SEARCH("adjust",C846)),"Defective Device",ISNUMBER(SEARCH("perform",C846)),"Defective Device",ISNUMBER(SEARCH("malfunction",C846)),"Defective Device",ISNUMBER(SEARCH("defect",C846)),"Defective Device",ISNUMBER(SEARCH("fail",C846)),"Defective Device",ISNUMBER(SEARCH("not work",C846)),"Defective Device",ISNUMBER(SEARCH("doesn't work",C846)),"Defective Device",TRUE,"UNKNOWN"),"UNKNOWN")))</f>
        <v/>
      </c>
      <c r="F846" s="4" t="str">
        <f t="shared" si="14"/>
        <v/>
      </c>
      <c r="G846" s="363" t="str">
        <f>IF(E846="","",IFERROR(VLOOKUP(E846,Codes!$L$2:$N$409,3,FALSE),"—"))</f>
        <v/>
      </c>
      <c r="H846" s="88"/>
      <c r="I846" s="88"/>
    </row>
    <row r="847" spans="1:9" ht="13.15" x14ac:dyDescent="0.35">
      <c r="A847" s="92"/>
      <c r="B847" s="89"/>
      <c r="C847" s="88"/>
      <c r="D847" s="88"/>
      <c r="E847" s="93" t="str" cm="1">
        <f t="array" ref="E847">IF(D847&lt;&gt;"",IFERROR(VLOOKUP(D847,Codes!$K$2:$L$409,2,FALSE),"UNKNOWN - "&amp;D847),IF(C847="","",IFERROR(_xlfn.IFS(ISNUMBER(SEARCH("broken button",C847)),"Break",ISNUMBER(SEARCH("broken handle",C847)),"Break",ISNUMBER(SEARCH("shipping damage",C847)),"Break",ISNUMBER(SEARCH("broken",C847)),"Break",ISNUMBER(SEARCH("crack",C847)),"Break",ISNUMBER(SEARCH("snap",C847)),"Break",ISNUMBER(SEARCH("fracture",C847)),"Break",ISNUMBER(SEARCH("bent",C847)),"Material Twisted/Bent",ISNUMBER(SEARCH("twisted",C847)),"Material Twisted/Bent",ISNUMBER(SEARCH("component separat",C847)),"Material Separation",ISNUMBER(SEARCH("separat",C847)),"Material Separation",ISNUMBER(SEARCH("connection",C847)),"Loose or Intermittent Connection",ISNUMBER(SEARCH("loose",C847)),"Loose or Intermittent Connection",ISNUMBER(SEARCH("damaged packaging",C847)),"Packaging Problem",ISNUMBER(SEARCH("packaging",C847)),"Packaging Problem",ISNUMBER(SEARCH("discoloration",C847)),"Contamination",ISNUMBER(SEARCH("tarnish",C847)),"Contamination",ISNUMBER(SEARCH("stain",C847)),"Contamination",ISNUMBER(SEARCH("foreign material",C847)),"Contamination",ISNUMBER(SEARCH("contamina",C847)),"Contamination",ISNUMBER(SEARCH("overheat",C847)),"Overheating of Device",ISNUMBER(SEARCH("excessive heat",C847)),"Overheating of Device",ISNUMBER(SEARCH("hot",C847)),"Overheating of Device",ISNUMBER(SEARCH("noise",C847)),"Noise, Audible",ISNUMBER(SEARCH("sound",C847)),"Noise, Audible",ISNUMBER(SEARCH("loud",C847)),"Noise, Audible",ISNUMBER(SEARCH("fray",C847)),"Material Frayed",ISNUMBER(SEARCH("hole",C847)),"Material Frayed",ISNUMBER(SEARCH("tear",C847)),"Material Frayed",ISNUMBER(SEARCH("worn",C847)),"Material Frayed",ISNUMBER(SEARCH("intermittent",C847)),"Difficult or Delayed Activation",ISNUMBER(SEARCH("delay",C847)),"Difficult or Delayed Activation",ISNUMBER(SEARCH("label",C847)),"Device Markings/Labelling Problem",ISNUMBER(SEARCH("marking",C847)),"Device Markings/Labelling Problem",ISNUMBER(SEARCH("lacerat",C847)),"Defective Device",ISNUMBER(SEARCH("cut",C847)),"Defective Device",ISNUMBER(SEARCH("leak",C847)),"Fluid/Blood Leak",ISNUMBER(SEARCH("missing",C847)),"Component Missing",ISNUMBER(SEARCH("power",C847)),"Complete Loss of Power",ISNUMBER(SEARCH("will not turn on",C847)),"Complete Loss of Power",ISNUMBER(SEARCH("won't turn on",C847)),"Complete Loss of Power",ISNUMBER(SEARCH("does not turn on",C847)),"Complete Loss of Power",ISNUMBER(SEARCH("electrical",C847)),"Electrical Power Problem",ISNUMBER(SEARCH("pressure",C847)),"Detachment of Device or Device Component",ISNUMBER(SEARCH("slip",C847)),"Detachment of Device or Device Component",ISNUMBER(SEARCH("detach",C847)),"Detachment of Device or Device Component",ISNUMBER(SEARCH("stick",C847)),"Mechanical Jam",ISNUMBER(SEARCH("jam",C847)),"Mechanical Jam",ISNUMBER(SEARCH("rigid",C847)),"Mechanical Jam",ISNUMBER(SEARCH("rust",C847)),"Corroded",ISNUMBER(SEARCH("corrod",C847)),"Corroded",ISNUMBER(SEARCH("corrosion",C847)),"Corroded",ISNUMBER(SEARCH("alignment",C847)),"Defective Device",ISNUMBER(SEARCH("adjust",C847)),"Defective Device",ISNUMBER(SEARCH("perform",C847)),"Defective Device",ISNUMBER(SEARCH("malfunction",C847)),"Defective Device",ISNUMBER(SEARCH("defect",C847)),"Defective Device",ISNUMBER(SEARCH("fail",C847)),"Defective Device",ISNUMBER(SEARCH("not work",C847)),"Defective Device",ISNUMBER(SEARCH("doesn't work",C847)),"Defective Device",TRUE,"UNKNOWN"),"UNKNOWN")))</f>
        <v/>
      </c>
      <c r="F847" s="4" t="str">
        <f t="shared" si="14"/>
        <v/>
      </c>
      <c r="G847" s="363" t="str">
        <f>IF(E847="","",IFERROR(VLOOKUP(E847,Codes!$L$2:$N$409,3,FALSE),"—"))</f>
        <v/>
      </c>
      <c r="H847" s="88"/>
      <c r="I847" s="88"/>
    </row>
    <row r="848" spans="1:9" ht="13.15" x14ac:dyDescent="0.35">
      <c r="A848" s="92"/>
      <c r="B848" s="89"/>
      <c r="C848" s="88"/>
      <c r="D848" s="88"/>
      <c r="E848" s="93" t="str" cm="1">
        <f t="array" ref="E848">IF(D848&lt;&gt;"",IFERROR(VLOOKUP(D848,Codes!$K$2:$L$409,2,FALSE),"UNKNOWN - "&amp;D848),IF(C848="","",IFERROR(_xlfn.IFS(ISNUMBER(SEARCH("broken button",C848)),"Break",ISNUMBER(SEARCH("broken handle",C848)),"Break",ISNUMBER(SEARCH("shipping damage",C848)),"Break",ISNUMBER(SEARCH("broken",C848)),"Break",ISNUMBER(SEARCH("crack",C848)),"Break",ISNUMBER(SEARCH("snap",C848)),"Break",ISNUMBER(SEARCH("fracture",C848)),"Break",ISNUMBER(SEARCH("bent",C848)),"Material Twisted/Bent",ISNUMBER(SEARCH("twisted",C848)),"Material Twisted/Bent",ISNUMBER(SEARCH("component separat",C848)),"Material Separation",ISNUMBER(SEARCH("separat",C848)),"Material Separation",ISNUMBER(SEARCH("connection",C848)),"Loose or Intermittent Connection",ISNUMBER(SEARCH("loose",C848)),"Loose or Intermittent Connection",ISNUMBER(SEARCH("damaged packaging",C848)),"Packaging Problem",ISNUMBER(SEARCH("packaging",C848)),"Packaging Problem",ISNUMBER(SEARCH("discoloration",C848)),"Contamination",ISNUMBER(SEARCH("tarnish",C848)),"Contamination",ISNUMBER(SEARCH("stain",C848)),"Contamination",ISNUMBER(SEARCH("foreign material",C848)),"Contamination",ISNUMBER(SEARCH("contamina",C848)),"Contamination",ISNUMBER(SEARCH("overheat",C848)),"Overheating of Device",ISNUMBER(SEARCH("excessive heat",C848)),"Overheating of Device",ISNUMBER(SEARCH("hot",C848)),"Overheating of Device",ISNUMBER(SEARCH("noise",C848)),"Noise, Audible",ISNUMBER(SEARCH("sound",C848)),"Noise, Audible",ISNUMBER(SEARCH("loud",C848)),"Noise, Audible",ISNUMBER(SEARCH("fray",C848)),"Material Frayed",ISNUMBER(SEARCH("hole",C848)),"Material Frayed",ISNUMBER(SEARCH("tear",C848)),"Material Frayed",ISNUMBER(SEARCH("worn",C848)),"Material Frayed",ISNUMBER(SEARCH("intermittent",C848)),"Difficult or Delayed Activation",ISNUMBER(SEARCH("delay",C848)),"Difficult or Delayed Activation",ISNUMBER(SEARCH("label",C848)),"Device Markings/Labelling Problem",ISNUMBER(SEARCH("marking",C848)),"Device Markings/Labelling Problem",ISNUMBER(SEARCH("lacerat",C848)),"Defective Device",ISNUMBER(SEARCH("cut",C848)),"Defective Device",ISNUMBER(SEARCH("leak",C848)),"Fluid/Blood Leak",ISNUMBER(SEARCH("missing",C848)),"Component Missing",ISNUMBER(SEARCH("power",C848)),"Complete Loss of Power",ISNUMBER(SEARCH("will not turn on",C848)),"Complete Loss of Power",ISNUMBER(SEARCH("won't turn on",C848)),"Complete Loss of Power",ISNUMBER(SEARCH("does not turn on",C848)),"Complete Loss of Power",ISNUMBER(SEARCH("electrical",C848)),"Electrical Power Problem",ISNUMBER(SEARCH("pressure",C848)),"Detachment of Device or Device Component",ISNUMBER(SEARCH("slip",C848)),"Detachment of Device or Device Component",ISNUMBER(SEARCH("detach",C848)),"Detachment of Device or Device Component",ISNUMBER(SEARCH("stick",C848)),"Mechanical Jam",ISNUMBER(SEARCH("jam",C848)),"Mechanical Jam",ISNUMBER(SEARCH("rigid",C848)),"Mechanical Jam",ISNUMBER(SEARCH("rust",C848)),"Corroded",ISNUMBER(SEARCH("corrod",C848)),"Corroded",ISNUMBER(SEARCH("corrosion",C848)),"Corroded",ISNUMBER(SEARCH("alignment",C848)),"Defective Device",ISNUMBER(SEARCH("adjust",C848)),"Defective Device",ISNUMBER(SEARCH("perform",C848)),"Defective Device",ISNUMBER(SEARCH("malfunction",C848)),"Defective Device",ISNUMBER(SEARCH("defect",C848)),"Defective Device",ISNUMBER(SEARCH("fail",C848)),"Defective Device",ISNUMBER(SEARCH("not work",C848)),"Defective Device",ISNUMBER(SEARCH("doesn't work",C848)),"Defective Device",TRUE,"UNKNOWN"),"UNKNOWN")))</f>
        <v/>
      </c>
      <c r="F848" s="4" t="str">
        <f t="shared" si="14"/>
        <v/>
      </c>
      <c r="G848" s="363" t="str">
        <f>IF(E848="","",IFERROR(VLOOKUP(E848,Codes!$L$2:$N$409,3,FALSE),"—"))</f>
        <v/>
      </c>
      <c r="H848" s="88"/>
      <c r="I848" s="88"/>
    </row>
    <row r="849" spans="1:9" ht="13.15" x14ac:dyDescent="0.35">
      <c r="A849" s="92"/>
      <c r="B849" s="89"/>
      <c r="C849" s="88"/>
      <c r="D849" s="88"/>
      <c r="E849" s="93" t="str" cm="1">
        <f t="array" ref="E849">IF(D849&lt;&gt;"",IFERROR(VLOOKUP(D849,Codes!$K$2:$L$409,2,FALSE),"UNKNOWN - "&amp;D849),IF(C849="","",IFERROR(_xlfn.IFS(ISNUMBER(SEARCH("broken button",C849)),"Break",ISNUMBER(SEARCH("broken handle",C849)),"Break",ISNUMBER(SEARCH("shipping damage",C849)),"Break",ISNUMBER(SEARCH("broken",C849)),"Break",ISNUMBER(SEARCH("crack",C849)),"Break",ISNUMBER(SEARCH("snap",C849)),"Break",ISNUMBER(SEARCH("fracture",C849)),"Break",ISNUMBER(SEARCH("bent",C849)),"Material Twisted/Bent",ISNUMBER(SEARCH("twisted",C849)),"Material Twisted/Bent",ISNUMBER(SEARCH("component separat",C849)),"Material Separation",ISNUMBER(SEARCH("separat",C849)),"Material Separation",ISNUMBER(SEARCH("connection",C849)),"Loose or Intermittent Connection",ISNUMBER(SEARCH("loose",C849)),"Loose or Intermittent Connection",ISNUMBER(SEARCH("damaged packaging",C849)),"Packaging Problem",ISNUMBER(SEARCH("packaging",C849)),"Packaging Problem",ISNUMBER(SEARCH("discoloration",C849)),"Contamination",ISNUMBER(SEARCH("tarnish",C849)),"Contamination",ISNUMBER(SEARCH("stain",C849)),"Contamination",ISNUMBER(SEARCH("foreign material",C849)),"Contamination",ISNUMBER(SEARCH("contamina",C849)),"Contamination",ISNUMBER(SEARCH("overheat",C849)),"Overheating of Device",ISNUMBER(SEARCH("excessive heat",C849)),"Overheating of Device",ISNUMBER(SEARCH("hot",C849)),"Overheating of Device",ISNUMBER(SEARCH("noise",C849)),"Noise, Audible",ISNUMBER(SEARCH("sound",C849)),"Noise, Audible",ISNUMBER(SEARCH("loud",C849)),"Noise, Audible",ISNUMBER(SEARCH("fray",C849)),"Material Frayed",ISNUMBER(SEARCH("hole",C849)),"Material Frayed",ISNUMBER(SEARCH("tear",C849)),"Material Frayed",ISNUMBER(SEARCH("worn",C849)),"Material Frayed",ISNUMBER(SEARCH("intermittent",C849)),"Difficult or Delayed Activation",ISNUMBER(SEARCH("delay",C849)),"Difficult or Delayed Activation",ISNUMBER(SEARCH("label",C849)),"Device Markings/Labelling Problem",ISNUMBER(SEARCH("marking",C849)),"Device Markings/Labelling Problem",ISNUMBER(SEARCH("lacerat",C849)),"Defective Device",ISNUMBER(SEARCH("cut",C849)),"Defective Device",ISNUMBER(SEARCH("leak",C849)),"Fluid/Blood Leak",ISNUMBER(SEARCH("missing",C849)),"Component Missing",ISNUMBER(SEARCH("power",C849)),"Complete Loss of Power",ISNUMBER(SEARCH("will not turn on",C849)),"Complete Loss of Power",ISNUMBER(SEARCH("won't turn on",C849)),"Complete Loss of Power",ISNUMBER(SEARCH("does not turn on",C849)),"Complete Loss of Power",ISNUMBER(SEARCH("electrical",C849)),"Electrical Power Problem",ISNUMBER(SEARCH("pressure",C849)),"Detachment of Device or Device Component",ISNUMBER(SEARCH("slip",C849)),"Detachment of Device or Device Component",ISNUMBER(SEARCH("detach",C849)),"Detachment of Device or Device Component",ISNUMBER(SEARCH("stick",C849)),"Mechanical Jam",ISNUMBER(SEARCH("jam",C849)),"Mechanical Jam",ISNUMBER(SEARCH("rigid",C849)),"Mechanical Jam",ISNUMBER(SEARCH("rust",C849)),"Corroded",ISNUMBER(SEARCH("corrod",C849)),"Corroded",ISNUMBER(SEARCH("corrosion",C849)),"Corroded",ISNUMBER(SEARCH("alignment",C849)),"Defective Device",ISNUMBER(SEARCH("adjust",C849)),"Defective Device",ISNUMBER(SEARCH("perform",C849)),"Defective Device",ISNUMBER(SEARCH("malfunction",C849)),"Defective Device",ISNUMBER(SEARCH("defect",C849)),"Defective Device",ISNUMBER(SEARCH("fail",C849)),"Defective Device",ISNUMBER(SEARCH("not work",C849)),"Defective Device",ISNUMBER(SEARCH("doesn't work",C849)),"Defective Device",TRUE,"UNKNOWN"),"UNKNOWN")))</f>
        <v/>
      </c>
      <c r="F849" s="4" t="str">
        <f t="shared" si="14"/>
        <v/>
      </c>
      <c r="G849" s="363" t="str">
        <f>IF(E849="","",IFERROR(VLOOKUP(E849,Codes!$L$2:$N$409,3,FALSE),"—"))</f>
        <v/>
      </c>
      <c r="H849" s="88"/>
      <c r="I849" s="88"/>
    </row>
    <row r="850" spans="1:9" ht="13.15" x14ac:dyDescent="0.35">
      <c r="A850" s="92"/>
      <c r="B850" s="89"/>
      <c r="C850" s="88"/>
      <c r="D850" s="88"/>
      <c r="E850" s="93" t="str" cm="1">
        <f t="array" ref="E850">IF(D850&lt;&gt;"",IFERROR(VLOOKUP(D850,Codes!$K$2:$L$409,2,FALSE),"UNKNOWN - "&amp;D850),IF(C850="","",IFERROR(_xlfn.IFS(ISNUMBER(SEARCH("broken button",C850)),"Break",ISNUMBER(SEARCH("broken handle",C850)),"Break",ISNUMBER(SEARCH("shipping damage",C850)),"Break",ISNUMBER(SEARCH("broken",C850)),"Break",ISNUMBER(SEARCH("crack",C850)),"Break",ISNUMBER(SEARCH("snap",C850)),"Break",ISNUMBER(SEARCH("fracture",C850)),"Break",ISNUMBER(SEARCH("bent",C850)),"Material Twisted/Bent",ISNUMBER(SEARCH("twisted",C850)),"Material Twisted/Bent",ISNUMBER(SEARCH("component separat",C850)),"Material Separation",ISNUMBER(SEARCH("separat",C850)),"Material Separation",ISNUMBER(SEARCH("connection",C850)),"Loose or Intermittent Connection",ISNUMBER(SEARCH("loose",C850)),"Loose or Intermittent Connection",ISNUMBER(SEARCH("damaged packaging",C850)),"Packaging Problem",ISNUMBER(SEARCH("packaging",C850)),"Packaging Problem",ISNUMBER(SEARCH("discoloration",C850)),"Contamination",ISNUMBER(SEARCH("tarnish",C850)),"Contamination",ISNUMBER(SEARCH("stain",C850)),"Contamination",ISNUMBER(SEARCH("foreign material",C850)),"Contamination",ISNUMBER(SEARCH("contamina",C850)),"Contamination",ISNUMBER(SEARCH("overheat",C850)),"Overheating of Device",ISNUMBER(SEARCH("excessive heat",C850)),"Overheating of Device",ISNUMBER(SEARCH("hot",C850)),"Overheating of Device",ISNUMBER(SEARCH("noise",C850)),"Noise, Audible",ISNUMBER(SEARCH("sound",C850)),"Noise, Audible",ISNUMBER(SEARCH("loud",C850)),"Noise, Audible",ISNUMBER(SEARCH("fray",C850)),"Material Frayed",ISNUMBER(SEARCH("hole",C850)),"Material Frayed",ISNUMBER(SEARCH("tear",C850)),"Material Frayed",ISNUMBER(SEARCH("worn",C850)),"Material Frayed",ISNUMBER(SEARCH("intermittent",C850)),"Difficult or Delayed Activation",ISNUMBER(SEARCH("delay",C850)),"Difficult or Delayed Activation",ISNUMBER(SEARCH("label",C850)),"Device Markings/Labelling Problem",ISNUMBER(SEARCH("marking",C850)),"Device Markings/Labelling Problem",ISNUMBER(SEARCH("lacerat",C850)),"Defective Device",ISNUMBER(SEARCH("cut",C850)),"Defective Device",ISNUMBER(SEARCH("leak",C850)),"Fluid/Blood Leak",ISNUMBER(SEARCH("missing",C850)),"Component Missing",ISNUMBER(SEARCH("power",C850)),"Complete Loss of Power",ISNUMBER(SEARCH("will not turn on",C850)),"Complete Loss of Power",ISNUMBER(SEARCH("won't turn on",C850)),"Complete Loss of Power",ISNUMBER(SEARCH("does not turn on",C850)),"Complete Loss of Power",ISNUMBER(SEARCH("electrical",C850)),"Electrical Power Problem",ISNUMBER(SEARCH("pressure",C850)),"Detachment of Device or Device Component",ISNUMBER(SEARCH("slip",C850)),"Detachment of Device or Device Component",ISNUMBER(SEARCH("detach",C850)),"Detachment of Device or Device Component",ISNUMBER(SEARCH("stick",C850)),"Mechanical Jam",ISNUMBER(SEARCH("jam",C850)),"Mechanical Jam",ISNUMBER(SEARCH("rigid",C850)),"Mechanical Jam",ISNUMBER(SEARCH("rust",C850)),"Corroded",ISNUMBER(SEARCH("corrod",C850)),"Corroded",ISNUMBER(SEARCH("corrosion",C850)),"Corroded",ISNUMBER(SEARCH("alignment",C850)),"Defective Device",ISNUMBER(SEARCH("adjust",C850)),"Defective Device",ISNUMBER(SEARCH("perform",C850)),"Defective Device",ISNUMBER(SEARCH("malfunction",C850)),"Defective Device",ISNUMBER(SEARCH("defect",C850)),"Defective Device",ISNUMBER(SEARCH("fail",C850)),"Defective Device",ISNUMBER(SEARCH("not work",C850)),"Defective Device",ISNUMBER(SEARCH("doesn't work",C850)),"Defective Device",TRUE,"UNKNOWN"),"UNKNOWN")))</f>
        <v/>
      </c>
      <c r="F850" s="4" t="str">
        <f t="shared" si="14"/>
        <v/>
      </c>
      <c r="G850" s="363" t="str">
        <f>IF(E850="","",IFERROR(VLOOKUP(E850,Codes!$L$2:$N$409,3,FALSE),"—"))</f>
        <v/>
      </c>
      <c r="H850" s="88"/>
      <c r="I850" s="88"/>
    </row>
    <row r="851" spans="1:9" ht="13.15" x14ac:dyDescent="0.35">
      <c r="A851" s="92"/>
      <c r="B851" s="89"/>
      <c r="C851" s="88"/>
      <c r="D851" s="88"/>
      <c r="E851" s="93" t="str" cm="1">
        <f t="array" ref="E851">IF(D851&lt;&gt;"",IFERROR(VLOOKUP(D851,Codes!$K$2:$L$409,2,FALSE),"UNKNOWN - "&amp;D851),IF(C851="","",IFERROR(_xlfn.IFS(ISNUMBER(SEARCH("broken button",C851)),"Break",ISNUMBER(SEARCH("broken handle",C851)),"Break",ISNUMBER(SEARCH("shipping damage",C851)),"Break",ISNUMBER(SEARCH("broken",C851)),"Break",ISNUMBER(SEARCH("crack",C851)),"Break",ISNUMBER(SEARCH("snap",C851)),"Break",ISNUMBER(SEARCH("fracture",C851)),"Break",ISNUMBER(SEARCH("bent",C851)),"Material Twisted/Bent",ISNUMBER(SEARCH("twisted",C851)),"Material Twisted/Bent",ISNUMBER(SEARCH("component separat",C851)),"Material Separation",ISNUMBER(SEARCH("separat",C851)),"Material Separation",ISNUMBER(SEARCH("connection",C851)),"Loose or Intermittent Connection",ISNUMBER(SEARCH("loose",C851)),"Loose or Intermittent Connection",ISNUMBER(SEARCH("damaged packaging",C851)),"Packaging Problem",ISNUMBER(SEARCH("packaging",C851)),"Packaging Problem",ISNUMBER(SEARCH("discoloration",C851)),"Contamination",ISNUMBER(SEARCH("tarnish",C851)),"Contamination",ISNUMBER(SEARCH("stain",C851)),"Contamination",ISNUMBER(SEARCH("foreign material",C851)),"Contamination",ISNUMBER(SEARCH("contamina",C851)),"Contamination",ISNUMBER(SEARCH("overheat",C851)),"Overheating of Device",ISNUMBER(SEARCH("excessive heat",C851)),"Overheating of Device",ISNUMBER(SEARCH("hot",C851)),"Overheating of Device",ISNUMBER(SEARCH("noise",C851)),"Noise, Audible",ISNUMBER(SEARCH("sound",C851)),"Noise, Audible",ISNUMBER(SEARCH("loud",C851)),"Noise, Audible",ISNUMBER(SEARCH("fray",C851)),"Material Frayed",ISNUMBER(SEARCH("hole",C851)),"Material Frayed",ISNUMBER(SEARCH("tear",C851)),"Material Frayed",ISNUMBER(SEARCH("worn",C851)),"Material Frayed",ISNUMBER(SEARCH("intermittent",C851)),"Difficult or Delayed Activation",ISNUMBER(SEARCH("delay",C851)),"Difficult or Delayed Activation",ISNUMBER(SEARCH("label",C851)),"Device Markings/Labelling Problem",ISNUMBER(SEARCH("marking",C851)),"Device Markings/Labelling Problem",ISNUMBER(SEARCH("lacerat",C851)),"Defective Device",ISNUMBER(SEARCH("cut",C851)),"Defective Device",ISNUMBER(SEARCH("leak",C851)),"Fluid/Blood Leak",ISNUMBER(SEARCH("missing",C851)),"Component Missing",ISNUMBER(SEARCH("power",C851)),"Complete Loss of Power",ISNUMBER(SEARCH("will not turn on",C851)),"Complete Loss of Power",ISNUMBER(SEARCH("won't turn on",C851)),"Complete Loss of Power",ISNUMBER(SEARCH("does not turn on",C851)),"Complete Loss of Power",ISNUMBER(SEARCH("electrical",C851)),"Electrical Power Problem",ISNUMBER(SEARCH("pressure",C851)),"Detachment of Device or Device Component",ISNUMBER(SEARCH("slip",C851)),"Detachment of Device or Device Component",ISNUMBER(SEARCH("detach",C851)),"Detachment of Device or Device Component",ISNUMBER(SEARCH("stick",C851)),"Mechanical Jam",ISNUMBER(SEARCH("jam",C851)),"Mechanical Jam",ISNUMBER(SEARCH("rigid",C851)),"Mechanical Jam",ISNUMBER(SEARCH("rust",C851)),"Corroded",ISNUMBER(SEARCH("corrod",C851)),"Corroded",ISNUMBER(SEARCH("corrosion",C851)),"Corroded",ISNUMBER(SEARCH("alignment",C851)),"Defective Device",ISNUMBER(SEARCH("adjust",C851)),"Defective Device",ISNUMBER(SEARCH("perform",C851)),"Defective Device",ISNUMBER(SEARCH("malfunction",C851)),"Defective Device",ISNUMBER(SEARCH("defect",C851)),"Defective Device",ISNUMBER(SEARCH("fail",C851)),"Defective Device",ISNUMBER(SEARCH("not work",C851)),"Defective Device",ISNUMBER(SEARCH("doesn't work",C851)),"Defective Device",TRUE,"UNKNOWN"),"UNKNOWN")))</f>
        <v/>
      </c>
      <c r="F851" s="4" t="str">
        <f t="shared" si="14"/>
        <v/>
      </c>
      <c r="G851" s="363" t="str">
        <f>IF(E851="","",IFERROR(VLOOKUP(E851,Codes!$L$2:$N$409,3,FALSE),"—"))</f>
        <v/>
      </c>
      <c r="H851" s="88"/>
      <c r="I851" s="88"/>
    </row>
    <row r="852" spans="1:9" ht="13.15" x14ac:dyDescent="0.35">
      <c r="A852" s="92"/>
      <c r="B852" s="89"/>
      <c r="C852" s="88"/>
      <c r="D852" s="88"/>
      <c r="E852" s="93" t="str" cm="1">
        <f t="array" ref="E852">IF(D852&lt;&gt;"",IFERROR(VLOOKUP(D852,Codes!$K$2:$L$409,2,FALSE),"UNKNOWN - "&amp;D852),IF(C852="","",IFERROR(_xlfn.IFS(ISNUMBER(SEARCH("broken button",C852)),"Break",ISNUMBER(SEARCH("broken handle",C852)),"Break",ISNUMBER(SEARCH("shipping damage",C852)),"Break",ISNUMBER(SEARCH("broken",C852)),"Break",ISNUMBER(SEARCH("crack",C852)),"Break",ISNUMBER(SEARCH("snap",C852)),"Break",ISNUMBER(SEARCH("fracture",C852)),"Break",ISNUMBER(SEARCH("bent",C852)),"Material Twisted/Bent",ISNUMBER(SEARCH("twisted",C852)),"Material Twisted/Bent",ISNUMBER(SEARCH("component separat",C852)),"Material Separation",ISNUMBER(SEARCH("separat",C852)),"Material Separation",ISNUMBER(SEARCH("connection",C852)),"Loose or Intermittent Connection",ISNUMBER(SEARCH("loose",C852)),"Loose or Intermittent Connection",ISNUMBER(SEARCH("damaged packaging",C852)),"Packaging Problem",ISNUMBER(SEARCH("packaging",C852)),"Packaging Problem",ISNUMBER(SEARCH("discoloration",C852)),"Contamination",ISNUMBER(SEARCH("tarnish",C852)),"Contamination",ISNUMBER(SEARCH("stain",C852)),"Contamination",ISNUMBER(SEARCH("foreign material",C852)),"Contamination",ISNUMBER(SEARCH("contamina",C852)),"Contamination",ISNUMBER(SEARCH("overheat",C852)),"Overheating of Device",ISNUMBER(SEARCH("excessive heat",C852)),"Overheating of Device",ISNUMBER(SEARCH("hot",C852)),"Overheating of Device",ISNUMBER(SEARCH("noise",C852)),"Noise, Audible",ISNUMBER(SEARCH("sound",C852)),"Noise, Audible",ISNUMBER(SEARCH("loud",C852)),"Noise, Audible",ISNUMBER(SEARCH("fray",C852)),"Material Frayed",ISNUMBER(SEARCH("hole",C852)),"Material Frayed",ISNUMBER(SEARCH("tear",C852)),"Material Frayed",ISNUMBER(SEARCH("worn",C852)),"Material Frayed",ISNUMBER(SEARCH("intermittent",C852)),"Difficult or Delayed Activation",ISNUMBER(SEARCH("delay",C852)),"Difficult or Delayed Activation",ISNUMBER(SEARCH("label",C852)),"Device Markings/Labelling Problem",ISNUMBER(SEARCH("marking",C852)),"Device Markings/Labelling Problem",ISNUMBER(SEARCH("lacerat",C852)),"Defective Device",ISNUMBER(SEARCH("cut",C852)),"Defective Device",ISNUMBER(SEARCH("leak",C852)),"Fluid/Blood Leak",ISNUMBER(SEARCH("missing",C852)),"Component Missing",ISNUMBER(SEARCH("power",C852)),"Complete Loss of Power",ISNUMBER(SEARCH("will not turn on",C852)),"Complete Loss of Power",ISNUMBER(SEARCH("won't turn on",C852)),"Complete Loss of Power",ISNUMBER(SEARCH("does not turn on",C852)),"Complete Loss of Power",ISNUMBER(SEARCH("electrical",C852)),"Electrical Power Problem",ISNUMBER(SEARCH("pressure",C852)),"Detachment of Device or Device Component",ISNUMBER(SEARCH("slip",C852)),"Detachment of Device or Device Component",ISNUMBER(SEARCH("detach",C852)),"Detachment of Device or Device Component",ISNUMBER(SEARCH("stick",C852)),"Mechanical Jam",ISNUMBER(SEARCH("jam",C852)),"Mechanical Jam",ISNUMBER(SEARCH("rigid",C852)),"Mechanical Jam",ISNUMBER(SEARCH("rust",C852)),"Corroded",ISNUMBER(SEARCH("corrod",C852)),"Corroded",ISNUMBER(SEARCH("corrosion",C852)),"Corroded",ISNUMBER(SEARCH("alignment",C852)),"Defective Device",ISNUMBER(SEARCH("adjust",C852)),"Defective Device",ISNUMBER(SEARCH("perform",C852)),"Defective Device",ISNUMBER(SEARCH("malfunction",C852)),"Defective Device",ISNUMBER(SEARCH("defect",C852)),"Defective Device",ISNUMBER(SEARCH("fail",C852)),"Defective Device",ISNUMBER(SEARCH("not work",C852)),"Defective Device",ISNUMBER(SEARCH("doesn't work",C852)),"Defective Device",TRUE,"UNKNOWN"),"UNKNOWN")))</f>
        <v/>
      </c>
      <c r="F852" s="4" t="str">
        <f t="shared" si="14"/>
        <v/>
      </c>
      <c r="G852" s="363" t="str">
        <f>IF(E852="","",IFERROR(VLOOKUP(E852,Codes!$L$2:$N$409,3,FALSE),"—"))</f>
        <v/>
      </c>
      <c r="H852" s="88"/>
      <c r="I852" s="88"/>
    </row>
    <row r="853" spans="1:9" ht="13.15" x14ac:dyDescent="0.35">
      <c r="A853" s="92"/>
      <c r="B853" s="89"/>
      <c r="C853" s="88"/>
      <c r="D853" s="88"/>
      <c r="E853" s="93" t="str" cm="1">
        <f t="array" ref="E853">IF(D853&lt;&gt;"",IFERROR(VLOOKUP(D853,Codes!$K$2:$L$409,2,FALSE),"UNKNOWN - "&amp;D853),IF(C853="","",IFERROR(_xlfn.IFS(ISNUMBER(SEARCH("broken button",C853)),"Break",ISNUMBER(SEARCH("broken handle",C853)),"Break",ISNUMBER(SEARCH("shipping damage",C853)),"Break",ISNUMBER(SEARCH("broken",C853)),"Break",ISNUMBER(SEARCH("crack",C853)),"Break",ISNUMBER(SEARCH("snap",C853)),"Break",ISNUMBER(SEARCH("fracture",C853)),"Break",ISNUMBER(SEARCH("bent",C853)),"Material Twisted/Bent",ISNUMBER(SEARCH("twisted",C853)),"Material Twisted/Bent",ISNUMBER(SEARCH("component separat",C853)),"Material Separation",ISNUMBER(SEARCH("separat",C853)),"Material Separation",ISNUMBER(SEARCH("connection",C853)),"Loose or Intermittent Connection",ISNUMBER(SEARCH("loose",C853)),"Loose or Intermittent Connection",ISNUMBER(SEARCH("damaged packaging",C853)),"Packaging Problem",ISNUMBER(SEARCH("packaging",C853)),"Packaging Problem",ISNUMBER(SEARCH("discoloration",C853)),"Contamination",ISNUMBER(SEARCH("tarnish",C853)),"Contamination",ISNUMBER(SEARCH("stain",C853)),"Contamination",ISNUMBER(SEARCH("foreign material",C853)),"Contamination",ISNUMBER(SEARCH("contamina",C853)),"Contamination",ISNUMBER(SEARCH("overheat",C853)),"Overheating of Device",ISNUMBER(SEARCH("excessive heat",C853)),"Overheating of Device",ISNUMBER(SEARCH("hot",C853)),"Overheating of Device",ISNUMBER(SEARCH("noise",C853)),"Noise, Audible",ISNUMBER(SEARCH("sound",C853)),"Noise, Audible",ISNUMBER(SEARCH("loud",C853)),"Noise, Audible",ISNUMBER(SEARCH("fray",C853)),"Material Frayed",ISNUMBER(SEARCH("hole",C853)),"Material Frayed",ISNUMBER(SEARCH("tear",C853)),"Material Frayed",ISNUMBER(SEARCH("worn",C853)),"Material Frayed",ISNUMBER(SEARCH("intermittent",C853)),"Difficult or Delayed Activation",ISNUMBER(SEARCH("delay",C853)),"Difficult or Delayed Activation",ISNUMBER(SEARCH("label",C853)),"Device Markings/Labelling Problem",ISNUMBER(SEARCH("marking",C853)),"Device Markings/Labelling Problem",ISNUMBER(SEARCH("lacerat",C853)),"Defective Device",ISNUMBER(SEARCH("cut",C853)),"Defective Device",ISNUMBER(SEARCH("leak",C853)),"Fluid/Blood Leak",ISNUMBER(SEARCH("missing",C853)),"Component Missing",ISNUMBER(SEARCH("power",C853)),"Complete Loss of Power",ISNUMBER(SEARCH("will not turn on",C853)),"Complete Loss of Power",ISNUMBER(SEARCH("won't turn on",C853)),"Complete Loss of Power",ISNUMBER(SEARCH("does not turn on",C853)),"Complete Loss of Power",ISNUMBER(SEARCH("electrical",C853)),"Electrical Power Problem",ISNUMBER(SEARCH("pressure",C853)),"Detachment of Device or Device Component",ISNUMBER(SEARCH("slip",C853)),"Detachment of Device or Device Component",ISNUMBER(SEARCH("detach",C853)),"Detachment of Device or Device Component",ISNUMBER(SEARCH("stick",C853)),"Mechanical Jam",ISNUMBER(SEARCH("jam",C853)),"Mechanical Jam",ISNUMBER(SEARCH("rigid",C853)),"Mechanical Jam",ISNUMBER(SEARCH("rust",C853)),"Corroded",ISNUMBER(SEARCH("corrod",C853)),"Corroded",ISNUMBER(SEARCH("corrosion",C853)),"Corroded",ISNUMBER(SEARCH("alignment",C853)),"Defective Device",ISNUMBER(SEARCH("adjust",C853)),"Defective Device",ISNUMBER(SEARCH("perform",C853)),"Defective Device",ISNUMBER(SEARCH("malfunction",C853)),"Defective Device",ISNUMBER(SEARCH("defect",C853)),"Defective Device",ISNUMBER(SEARCH("fail",C853)),"Defective Device",ISNUMBER(SEARCH("not work",C853)),"Defective Device",ISNUMBER(SEARCH("doesn't work",C853)),"Defective Device",TRUE,"UNKNOWN"),"UNKNOWN")))</f>
        <v/>
      </c>
      <c r="F853" s="4" t="str">
        <f t="shared" si="14"/>
        <v/>
      </c>
      <c r="G853" s="363" t="str">
        <f>IF(E853="","",IFERROR(VLOOKUP(E853,Codes!$L$2:$N$409,3,FALSE),"—"))</f>
        <v/>
      </c>
      <c r="H853" s="88"/>
      <c r="I853" s="88"/>
    </row>
    <row r="854" spans="1:9" ht="13.15" x14ac:dyDescent="0.35">
      <c r="A854" s="92"/>
      <c r="B854" s="89"/>
      <c r="C854" s="88"/>
      <c r="D854" s="88"/>
      <c r="E854" s="93" t="str" cm="1">
        <f t="array" ref="E854">IF(D854&lt;&gt;"",IFERROR(VLOOKUP(D854,Codes!$K$2:$L$409,2,FALSE),"UNKNOWN - "&amp;D854),IF(C854="","",IFERROR(_xlfn.IFS(ISNUMBER(SEARCH("broken button",C854)),"Break",ISNUMBER(SEARCH("broken handle",C854)),"Break",ISNUMBER(SEARCH("shipping damage",C854)),"Break",ISNUMBER(SEARCH("broken",C854)),"Break",ISNUMBER(SEARCH("crack",C854)),"Break",ISNUMBER(SEARCH("snap",C854)),"Break",ISNUMBER(SEARCH("fracture",C854)),"Break",ISNUMBER(SEARCH("bent",C854)),"Material Twisted/Bent",ISNUMBER(SEARCH("twisted",C854)),"Material Twisted/Bent",ISNUMBER(SEARCH("component separat",C854)),"Material Separation",ISNUMBER(SEARCH("separat",C854)),"Material Separation",ISNUMBER(SEARCH("connection",C854)),"Loose or Intermittent Connection",ISNUMBER(SEARCH("loose",C854)),"Loose or Intermittent Connection",ISNUMBER(SEARCH("damaged packaging",C854)),"Packaging Problem",ISNUMBER(SEARCH("packaging",C854)),"Packaging Problem",ISNUMBER(SEARCH("discoloration",C854)),"Contamination",ISNUMBER(SEARCH("tarnish",C854)),"Contamination",ISNUMBER(SEARCH("stain",C854)),"Contamination",ISNUMBER(SEARCH("foreign material",C854)),"Contamination",ISNUMBER(SEARCH("contamina",C854)),"Contamination",ISNUMBER(SEARCH("overheat",C854)),"Overheating of Device",ISNUMBER(SEARCH("excessive heat",C854)),"Overheating of Device",ISNUMBER(SEARCH("hot",C854)),"Overheating of Device",ISNUMBER(SEARCH("noise",C854)),"Noise, Audible",ISNUMBER(SEARCH("sound",C854)),"Noise, Audible",ISNUMBER(SEARCH("loud",C854)),"Noise, Audible",ISNUMBER(SEARCH("fray",C854)),"Material Frayed",ISNUMBER(SEARCH("hole",C854)),"Material Frayed",ISNUMBER(SEARCH("tear",C854)),"Material Frayed",ISNUMBER(SEARCH("worn",C854)),"Material Frayed",ISNUMBER(SEARCH("intermittent",C854)),"Difficult or Delayed Activation",ISNUMBER(SEARCH("delay",C854)),"Difficult or Delayed Activation",ISNUMBER(SEARCH("label",C854)),"Device Markings/Labelling Problem",ISNUMBER(SEARCH("marking",C854)),"Device Markings/Labelling Problem",ISNUMBER(SEARCH("lacerat",C854)),"Defective Device",ISNUMBER(SEARCH("cut",C854)),"Defective Device",ISNUMBER(SEARCH("leak",C854)),"Fluid/Blood Leak",ISNUMBER(SEARCH("missing",C854)),"Component Missing",ISNUMBER(SEARCH("power",C854)),"Complete Loss of Power",ISNUMBER(SEARCH("will not turn on",C854)),"Complete Loss of Power",ISNUMBER(SEARCH("won't turn on",C854)),"Complete Loss of Power",ISNUMBER(SEARCH("does not turn on",C854)),"Complete Loss of Power",ISNUMBER(SEARCH("electrical",C854)),"Electrical Power Problem",ISNUMBER(SEARCH("pressure",C854)),"Detachment of Device or Device Component",ISNUMBER(SEARCH("slip",C854)),"Detachment of Device or Device Component",ISNUMBER(SEARCH("detach",C854)),"Detachment of Device or Device Component",ISNUMBER(SEARCH("stick",C854)),"Mechanical Jam",ISNUMBER(SEARCH("jam",C854)),"Mechanical Jam",ISNUMBER(SEARCH("rigid",C854)),"Mechanical Jam",ISNUMBER(SEARCH("rust",C854)),"Corroded",ISNUMBER(SEARCH("corrod",C854)),"Corroded",ISNUMBER(SEARCH("corrosion",C854)),"Corroded",ISNUMBER(SEARCH("alignment",C854)),"Defective Device",ISNUMBER(SEARCH("adjust",C854)),"Defective Device",ISNUMBER(SEARCH("perform",C854)),"Defective Device",ISNUMBER(SEARCH("malfunction",C854)),"Defective Device",ISNUMBER(SEARCH("defect",C854)),"Defective Device",ISNUMBER(SEARCH("fail",C854)),"Defective Device",ISNUMBER(SEARCH("not work",C854)),"Defective Device",ISNUMBER(SEARCH("doesn't work",C854)),"Defective Device",TRUE,"UNKNOWN"),"UNKNOWN")))</f>
        <v/>
      </c>
      <c r="F854" s="4" t="str">
        <f t="shared" si="14"/>
        <v/>
      </c>
      <c r="G854" s="363" t="str">
        <f>IF(E854="","",IFERROR(VLOOKUP(E854,Codes!$L$2:$N$409,3,FALSE),"—"))</f>
        <v/>
      </c>
      <c r="H854" s="88"/>
      <c r="I854" s="88"/>
    </row>
    <row r="855" spans="1:9" ht="13.15" x14ac:dyDescent="0.35">
      <c r="A855" s="92"/>
      <c r="B855" s="89"/>
      <c r="C855" s="88"/>
      <c r="D855" s="88"/>
      <c r="E855" s="93" t="str" cm="1">
        <f t="array" ref="E855">IF(D855&lt;&gt;"",IFERROR(VLOOKUP(D855,Codes!$K$2:$L$409,2,FALSE),"UNKNOWN - "&amp;D855),IF(C855="","",IFERROR(_xlfn.IFS(ISNUMBER(SEARCH("broken button",C855)),"Break",ISNUMBER(SEARCH("broken handle",C855)),"Break",ISNUMBER(SEARCH("shipping damage",C855)),"Break",ISNUMBER(SEARCH("broken",C855)),"Break",ISNUMBER(SEARCH("crack",C855)),"Break",ISNUMBER(SEARCH("snap",C855)),"Break",ISNUMBER(SEARCH("fracture",C855)),"Break",ISNUMBER(SEARCH("bent",C855)),"Material Twisted/Bent",ISNUMBER(SEARCH("twisted",C855)),"Material Twisted/Bent",ISNUMBER(SEARCH("component separat",C855)),"Material Separation",ISNUMBER(SEARCH("separat",C855)),"Material Separation",ISNUMBER(SEARCH("connection",C855)),"Loose or Intermittent Connection",ISNUMBER(SEARCH("loose",C855)),"Loose or Intermittent Connection",ISNUMBER(SEARCH("damaged packaging",C855)),"Packaging Problem",ISNUMBER(SEARCH("packaging",C855)),"Packaging Problem",ISNUMBER(SEARCH("discoloration",C855)),"Contamination",ISNUMBER(SEARCH("tarnish",C855)),"Contamination",ISNUMBER(SEARCH("stain",C855)),"Contamination",ISNUMBER(SEARCH("foreign material",C855)),"Contamination",ISNUMBER(SEARCH("contamina",C855)),"Contamination",ISNUMBER(SEARCH("overheat",C855)),"Overheating of Device",ISNUMBER(SEARCH("excessive heat",C855)),"Overheating of Device",ISNUMBER(SEARCH("hot",C855)),"Overheating of Device",ISNUMBER(SEARCH("noise",C855)),"Noise, Audible",ISNUMBER(SEARCH("sound",C855)),"Noise, Audible",ISNUMBER(SEARCH("loud",C855)),"Noise, Audible",ISNUMBER(SEARCH("fray",C855)),"Material Frayed",ISNUMBER(SEARCH("hole",C855)),"Material Frayed",ISNUMBER(SEARCH("tear",C855)),"Material Frayed",ISNUMBER(SEARCH("worn",C855)),"Material Frayed",ISNUMBER(SEARCH("intermittent",C855)),"Difficult or Delayed Activation",ISNUMBER(SEARCH("delay",C855)),"Difficult or Delayed Activation",ISNUMBER(SEARCH("label",C855)),"Device Markings/Labelling Problem",ISNUMBER(SEARCH("marking",C855)),"Device Markings/Labelling Problem",ISNUMBER(SEARCH("lacerat",C855)),"Defective Device",ISNUMBER(SEARCH("cut",C855)),"Defective Device",ISNUMBER(SEARCH("leak",C855)),"Fluid/Blood Leak",ISNUMBER(SEARCH("missing",C855)),"Component Missing",ISNUMBER(SEARCH("power",C855)),"Complete Loss of Power",ISNUMBER(SEARCH("will not turn on",C855)),"Complete Loss of Power",ISNUMBER(SEARCH("won't turn on",C855)),"Complete Loss of Power",ISNUMBER(SEARCH("does not turn on",C855)),"Complete Loss of Power",ISNUMBER(SEARCH("electrical",C855)),"Electrical Power Problem",ISNUMBER(SEARCH("pressure",C855)),"Detachment of Device or Device Component",ISNUMBER(SEARCH("slip",C855)),"Detachment of Device or Device Component",ISNUMBER(SEARCH("detach",C855)),"Detachment of Device or Device Component",ISNUMBER(SEARCH("stick",C855)),"Mechanical Jam",ISNUMBER(SEARCH("jam",C855)),"Mechanical Jam",ISNUMBER(SEARCH("rigid",C855)),"Mechanical Jam",ISNUMBER(SEARCH("rust",C855)),"Corroded",ISNUMBER(SEARCH("corrod",C855)),"Corroded",ISNUMBER(SEARCH("corrosion",C855)),"Corroded",ISNUMBER(SEARCH("alignment",C855)),"Defective Device",ISNUMBER(SEARCH("adjust",C855)),"Defective Device",ISNUMBER(SEARCH("perform",C855)),"Defective Device",ISNUMBER(SEARCH("malfunction",C855)),"Defective Device",ISNUMBER(SEARCH("defect",C855)),"Defective Device",ISNUMBER(SEARCH("fail",C855)),"Defective Device",ISNUMBER(SEARCH("not work",C855)),"Defective Device",ISNUMBER(SEARCH("doesn't work",C855)),"Defective Device",TRUE,"UNKNOWN"),"UNKNOWN")))</f>
        <v/>
      </c>
      <c r="F855" s="4" t="str">
        <f t="shared" si="14"/>
        <v/>
      </c>
      <c r="G855" s="363" t="str">
        <f>IF(E855="","",IFERROR(VLOOKUP(E855,Codes!$L$2:$N$409,3,FALSE),"—"))</f>
        <v/>
      </c>
      <c r="H855" s="88"/>
      <c r="I855" s="88"/>
    </row>
    <row r="856" spans="1:9" ht="13.15" x14ac:dyDescent="0.35">
      <c r="A856" s="92"/>
      <c r="B856" s="89"/>
      <c r="C856" s="88"/>
      <c r="D856" s="88"/>
      <c r="E856" s="93" t="str" cm="1">
        <f t="array" ref="E856">IF(D856&lt;&gt;"",IFERROR(VLOOKUP(D856,Codes!$K$2:$L$409,2,FALSE),"UNKNOWN - "&amp;D856),IF(C856="","",IFERROR(_xlfn.IFS(ISNUMBER(SEARCH("broken button",C856)),"Break",ISNUMBER(SEARCH("broken handle",C856)),"Break",ISNUMBER(SEARCH("shipping damage",C856)),"Break",ISNUMBER(SEARCH("broken",C856)),"Break",ISNUMBER(SEARCH("crack",C856)),"Break",ISNUMBER(SEARCH("snap",C856)),"Break",ISNUMBER(SEARCH("fracture",C856)),"Break",ISNUMBER(SEARCH("bent",C856)),"Material Twisted/Bent",ISNUMBER(SEARCH("twisted",C856)),"Material Twisted/Bent",ISNUMBER(SEARCH("component separat",C856)),"Material Separation",ISNUMBER(SEARCH("separat",C856)),"Material Separation",ISNUMBER(SEARCH("connection",C856)),"Loose or Intermittent Connection",ISNUMBER(SEARCH("loose",C856)),"Loose or Intermittent Connection",ISNUMBER(SEARCH("damaged packaging",C856)),"Packaging Problem",ISNUMBER(SEARCH("packaging",C856)),"Packaging Problem",ISNUMBER(SEARCH("discoloration",C856)),"Contamination",ISNUMBER(SEARCH("tarnish",C856)),"Contamination",ISNUMBER(SEARCH("stain",C856)),"Contamination",ISNUMBER(SEARCH("foreign material",C856)),"Contamination",ISNUMBER(SEARCH("contamina",C856)),"Contamination",ISNUMBER(SEARCH("overheat",C856)),"Overheating of Device",ISNUMBER(SEARCH("excessive heat",C856)),"Overheating of Device",ISNUMBER(SEARCH("hot",C856)),"Overheating of Device",ISNUMBER(SEARCH("noise",C856)),"Noise, Audible",ISNUMBER(SEARCH("sound",C856)),"Noise, Audible",ISNUMBER(SEARCH("loud",C856)),"Noise, Audible",ISNUMBER(SEARCH("fray",C856)),"Material Frayed",ISNUMBER(SEARCH("hole",C856)),"Material Frayed",ISNUMBER(SEARCH("tear",C856)),"Material Frayed",ISNUMBER(SEARCH("worn",C856)),"Material Frayed",ISNUMBER(SEARCH("intermittent",C856)),"Difficult or Delayed Activation",ISNUMBER(SEARCH("delay",C856)),"Difficult or Delayed Activation",ISNUMBER(SEARCH("label",C856)),"Device Markings/Labelling Problem",ISNUMBER(SEARCH("marking",C856)),"Device Markings/Labelling Problem",ISNUMBER(SEARCH("lacerat",C856)),"Defective Device",ISNUMBER(SEARCH("cut",C856)),"Defective Device",ISNUMBER(SEARCH("leak",C856)),"Fluid/Blood Leak",ISNUMBER(SEARCH("missing",C856)),"Component Missing",ISNUMBER(SEARCH("power",C856)),"Complete Loss of Power",ISNUMBER(SEARCH("will not turn on",C856)),"Complete Loss of Power",ISNUMBER(SEARCH("won't turn on",C856)),"Complete Loss of Power",ISNUMBER(SEARCH("does not turn on",C856)),"Complete Loss of Power",ISNUMBER(SEARCH("electrical",C856)),"Electrical Power Problem",ISNUMBER(SEARCH("pressure",C856)),"Detachment of Device or Device Component",ISNUMBER(SEARCH("slip",C856)),"Detachment of Device or Device Component",ISNUMBER(SEARCH("detach",C856)),"Detachment of Device or Device Component",ISNUMBER(SEARCH("stick",C856)),"Mechanical Jam",ISNUMBER(SEARCH("jam",C856)),"Mechanical Jam",ISNUMBER(SEARCH("rigid",C856)),"Mechanical Jam",ISNUMBER(SEARCH("rust",C856)),"Corroded",ISNUMBER(SEARCH("corrod",C856)),"Corroded",ISNUMBER(SEARCH("corrosion",C856)),"Corroded",ISNUMBER(SEARCH("alignment",C856)),"Defective Device",ISNUMBER(SEARCH("adjust",C856)),"Defective Device",ISNUMBER(SEARCH("perform",C856)),"Defective Device",ISNUMBER(SEARCH("malfunction",C856)),"Defective Device",ISNUMBER(SEARCH("defect",C856)),"Defective Device",ISNUMBER(SEARCH("fail",C856)),"Defective Device",ISNUMBER(SEARCH("not work",C856)),"Defective Device",ISNUMBER(SEARCH("doesn't work",C856)),"Defective Device",TRUE,"UNKNOWN"),"UNKNOWN")))</f>
        <v/>
      </c>
      <c r="F856" s="4" t="str">
        <f t="shared" si="14"/>
        <v/>
      </c>
      <c r="G856" s="363" t="str">
        <f>IF(E856="","",IFERROR(VLOOKUP(E856,Codes!$L$2:$N$409,3,FALSE),"—"))</f>
        <v/>
      </c>
      <c r="H856" s="88"/>
      <c r="I856" s="88"/>
    </row>
    <row r="857" spans="1:9" ht="13.15" x14ac:dyDescent="0.35">
      <c r="A857" s="92"/>
      <c r="B857" s="89"/>
      <c r="C857" s="88"/>
      <c r="D857" s="88"/>
      <c r="E857" s="93" t="str" cm="1">
        <f t="array" ref="E857">IF(D857&lt;&gt;"",IFERROR(VLOOKUP(D857,Codes!$K$2:$L$409,2,FALSE),"UNKNOWN - "&amp;D857),IF(C857="","",IFERROR(_xlfn.IFS(ISNUMBER(SEARCH("broken button",C857)),"Break",ISNUMBER(SEARCH("broken handle",C857)),"Break",ISNUMBER(SEARCH("shipping damage",C857)),"Break",ISNUMBER(SEARCH("broken",C857)),"Break",ISNUMBER(SEARCH("crack",C857)),"Break",ISNUMBER(SEARCH("snap",C857)),"Break",ISNUMBER(SEARCH("fracture",C857)),"Break",ISNUMBER(SEARCH("bent",C857)),"Material Twisted/Bent",ISNUMBER(SEARCH("twisted",C857)),"Material Twisted/Bent",ISNUMBER(SEARCH("component separat",C857)),"Material Separation",ISNUMBER(SEARCH("separat",C857)),"Material Separation",ISNUMBER(SEARCH("connection",C857)),"Loose or Intermittent Connection",ISNUMBER(SEARCH("loose",C857)),"Loose or Intermittent Connection",ISNUMBER(SEARCH("damaged packaging",C857)),"Packaging Problem",ISNUMBER(SEARCH("packaging",C857)),"Packaging Problem",ISNUMBER(SEARCH("discoloration",C857)),"Contamination",ISNUMBER(SEARCH("tarnish",C857)),"Contamination",ISNUMBER(SEARCH("stain",C857)),"Contamination",ISNUMBER(SEARCH("foreign material",C857)),"Contamination",ISNUMBER(SEARCH("contamina",C857)),"Contamination",ISNUMBER(SEARCH("overheat",C857)),"Overheating of Device",ISNUMBER(SEARCH("excessive heat",C857)),"Overheating of Device",ISNUMBER(SEARCH("hot",C857)),"Overheating of Device",ISNUMBER(SEARCH("noise",C857)),"Noise, Audible",ISNUMBER(SEARCH("sound",C857)),"Noise, Audible",ISNUMBER(SEARCH("loud",C857)),"Noise, Audible",ISNUMBER(SEARCH("fray",C857)),"Material Frayed",ISNUMBER(SEARCH("hole",C857)),"Material Frayed",ISNUMBER(SEARCH("tear",C857)),"Material Frayed",ISNUMBER(SEARCH("worn",C857)),"Material Frayed",ISNUMBER(SEARCH("intermittent",C857)),"Difficult or Delayed Activation",ISNUMBER(SEARCH("delay",C857)),"Difficult or Delayed Activation",ISNUMBER(SEARCH("label",C857)),"Device Markings/Labelling Problem",ISNUMBER(SEARCH("marking",C857)),"Device Markings/Labelling Problem",ISNUMBER(SEARCH("lacerat",C857)),"Defective Device",ISNUMBER(SEARCH("cut",C857)),"Defective Device",ISNUMBER(SEARCH("leak",C857)),"Fluid/Blood Leak",ISNUMBER(SEARCH("missing",C857)),"Component Missing",ISNUMBER(SEARCH("power",C857)),"Complete Loss of Power",ISNUMBER(SEARCH("will not turn on",C857)),"Complete Loss of Power",ISNUMBER(SEARCH("won't turn on",C857)),"Complete Loss of Power",ISNUMBER(SEARCH("does not turn on",C857)),"Complete Loss of Power",ISNUMBER(SEARCH("electrical",C857)),"Electrical Power Problem",ISNUMBER(SEARCH("pressure",C857)),"Detachment of Device or Device Component",ISNUMBER(SEARCH("slip",C857)),"Detachment of Device or Device Component",ISNUMBER(SEARCH("detach",C857)),"Detachment of Device or Device Component",ISNUMBER(SEARCH("stick",C857)),"Mechanical Jam",ISNUMBER(SEARCH("jam",C857)),"Mechanical Jam",ISNUMBER(SEARCH("rigid",C857)),"Mechanical Jam",ISNUMBER(SEARCH("rust",C857)),"Corroded",ISNUMBER(SEARCH("corrod",C857)),"Corroded",ISNUMBER(SEARCH("corrosion",C857)),"Corroded",ISNUMBER(SEARCH("alignment",C857)),"Defective Device",ISNUMBER(SEARCH("adjust",C857)),"Defective Device",ISNUMBER(SEARCH("perform",C857)),"Defective Device",ISNUMBER(SEARCH("malfunction",C857)),"Defective Device",ISNUMBER(SEARCH("defect",C857)),"Defective Device",ISNUMBER(SEARCH("fail",C857)),"Defective Device",ISNUMBER(SEARCH("not work",C857)),"Defective Device",ISNUMBER(SEARCH("doesn't work",C857)),"Defective Device",TRUE,"UNKNOWN"),"UNKNOWN")))</f>
        <v/>
      </c>
      <c r="F857" s="4" t="str">
        <f t="shared" si="14"/>
        <v/>
      </c>
      <c r="G857" s="363" t="str">
        <f>IF(E857="","",IFERROR(VLOOKUP(E857,Codes!$L$2:$N$409,3,FALSE),"—"))</f>
        <v/>
      </c>
      <c r="H857" s="88"/>
      <c r="I857" s="88"/>
    </row>
    <row r="858" spans="1:9" ht="13.15" x14ac:dyDescent="0.35">
      <c r="A858" s="92"/>
      <c r="B858" s="89"/>
      <c r="C858" s="88"/>
      <c r="D858" s="88"/>
      <c r="E858" s="93" t="str" cm="1">
        <f t="array" ref="E858">IF(D858&lt;&gt;"",IFERROR(VLOOKUP(D858,Codes!$K$2:$L$409,2,FALSE),"UNKNOWN - "&amp;D858),IF(C858="","",IFERROR(_xlfn.IFS(ISNUMBER(SEARCH("broken button",C858)),"Break",ISNUMBER(SEARCH("broken handle",C858)),"Break",ISNUMBER(SEARCH("shipping damage",C858)),"Break",ISNUMBER(SEARCH("broken",C858)),"Break",ISNUMBER(SEARCH("crack",C858)),"Break",ISNUMBER(SEARCH("snap",C858)),"Break",ISNUMBER(SEARCH("fracture",C858)),"Break",ISNUMBER(SEARCH("bent",C858)),"Material Twisted/Bent",ISNUMBER(SEARCH("twisted",C858)),"Material Twisted/Bent",ISNUMBER(SEARCH("component separat",C858)),"Material Separation",ISNUMBER(SEARCH("separat",C858)),"Material Separation",ISNUMBER(SEARCH("connection",C858)),"Loose or Intermittent Connection",ISNUMBER(SEARCH("loose",C858)),"Loose or Intermittent Connection",ISNUMBER(SEARCH("damaged packaging",C858)),"Packaging Problem",ISNUMBER(SEARCH("packaging",C858)),"Packaging Problem",ISNUMBER(SEARCH("discoloration",C858)),"Contamination",ISNUMBER(SEARCH("tarnish",C858)),"Contamination",ISNUMBER(SEARCH("stain",C858)),"Contamination",ISNUMBER(SEARCH("foreign material",C858)),"Contamination",ISNUMBER(SEARCH("contamina",C858)),"Contamination",ISNUMBER(SEARCH("overheat",C858)),"Overheating of Device",ISNUMBER(SEARCH("excessive heat",C858)),"Overheating of Device",ISNUMBER(SEARCH("hot",C858)),"Overheating of Device",ISNUMBER(SEARCH("noise",C858)),"Noise, Audible",ISNUMBER(SEARCH("sound",C858)),"Noise, Audible",ISNUMBER(SEARCH("loud",C858)),"Noise, Audible",ISNUMBER(SEARCH("fray",C858)),"Material Frayed",ISNUMBER(SEARCH("hole",C858)),"Material Frayed",ISNUMBER(SEARCH("tear",C858)),"Material Frayed",ISNUMBER(SEARCH("worn",C858)),"Material Frayed",ISNUMBER(SEARCH("intermittent",C858)),"Difficult or Delayed Activation",ISNUMBER(SEARCH("delay",C858)),"Difficult or Delayed Activation",ISNUMBER(SEARCH("label",C858)),"Device Markings/Labelling Problem",ISNUMBER(SEARCH("marking",C858)),"Device Markings/Labelling Problem",ISNUMBER(SEARCH("lacerat",C858)),"Defective Device",ISNUMBER(SEARCH("cut",C858)),"Defective Device",ISNUMBER(SEARCH("leak",C858)),"Fluid/Blood Leak",ISNUMBER(SEARCH("missing",C858)),"Component Missing",ISNUMBER(SEARCH("power",C858)),"Complete Loss of Power",ISNUMBER(SEARCH("will not turn on",C858)),"Complete Loss of Power",ISNUMBER(SEARCH("won't turn on",C858)),"Complete Loss of Power",ISNUMBER(SEARCH("does not turn on",C858)),"Complete Loss of Power",ISNUMBER(SEARCH("electrical",C858)),"Electrical Power Problem",ISNUMBER(SEARCH("pressure",C858)),"Detachment of Device or Device Component",ISNUMBER(SEARCH("slip",C858)),"Detachment of Device or Device Component",ISNUMBER(SEARCH("detach",C858)),"Detachment of Device or Device Component",ISNUMBER(SEARCH("stick",C858)),"Mechanical Jam",ISNUMBER(SEARCH("jam",C858)),"Mechanical Jam",ISNUMBER(SEARCH("rigid",C858)),"Mechanical Jam",ISNUMBER(SEARCH("rust",C858)),"Corroded",ISNUMBER(SEARCH("corrod",C858)),"Corroded",ISNUMBER(SEARCH("corrosion",C858)),"Corroded",ISNUMBER(SEARCH("alignment",C858)),"Defective Device",ISNUMBER(SEARCH("adjust",C858)),"Defective Device",ISNUMBER(SEARCH("perform",C858)),"Defective Device",ISNUMBER(SEARCH("malfunction",C858)),"Defective Device",ISNUMBER(SEARCH("defect",C858)),"Defective Device",ISNUMBER(SEARCH("fail",C858)),"Defective Device",ISNUMBER(SEARCH("not work",C858)),"Defective Device",ISNUMBER(SEARCH("doesn't work",C858)),"Defective Device",TRUE,"UNKNOWN"),"UNKNOWN")))</f>
        <v/>
      </c>
      <c r="F858" s="4" t="str">
        <f t="shared" si="14"/>
        <v/>
      </c>
      <c r="G858" s="363" t="str">
        <f>IF(E858="","",IFERROR(VLOOKUP(E858,Codes!$L$2:$N$409,3,FALSE),"—"))</f>
        <v/>
      </c>
      <c r="H858" s="88"/>
      <c r="I858" s="88"/>
    </row>
    <row r="859" spans="1:9" ht="13.15" x14ac:dyDescent="0.35">
      <c r="A859" s="92"/>
      <c r="B859" s="89"/>
      <c r="C859" s="88"/>
      <c r="D859" s="88"/>
      <c r="E859" s="93" t="str" cm="1">
        <f t="array" ref="E859">IF(D859&lt;&gt;"",IFERROR(VLOOKUP(D859,Codes!$K$2:$L$409,2,FALSE),"UNKNOWN - "&amp;D859),IF(C859="","",IFERROR(_xlfn.IFS(ISNUMBER(SEARCH("broken button",C859)),"Break",ISNUMBER(SEARCH("broken handle",C859)),"Break",ISNUMBER(SEARCH("shipping damage",C859)),"Break",ISNUMBER(SEARCH("broken",C859)),"Break",ISNUMBER(SEARCH("crack",C859)),"Break",ISNUMBER(SEARCH("snap",C859)),"Break",ISNUMBER(SEARCH("fracture",C859)),"Break",ISNUMBER(SEARCH("bent",C859)),"Material Twisted/Bent",ISNUMBER(SEARCH("twisted",C859)),"Material Twisted/Bent",ISNUMBER(SEARCH("component separat",C859)),"Material Separation",ISNUMBER(SEARCH("separat",C859)),"Material Separation",ISNUMBER(SEARCH("connection",C859)),"Loose or Intermittent Connection",ISNUMBER(SEARCH("loose",C859)),"Loose or Intermittent Connection",ISNUMBER(SEARCH("damaged packaging",C859)),"Packaging Problem",ISNUMBER(SEARCH("packaging",C859)),"Packaging Problem",ISNUMBER(SEARCH("discoloration",C859)),"Contamination",ISNUMBER(SEARCH("tarnish",C859)),"Contamination",ISNUMBER(SEARCH("stain",C859)),"Contamination",ISNUMBER(SEARCH("foreign material",C859)),"Contamination",ISNUMBER(SEARCH("contamina",C859)),"Contamination",ISNUMBER(SEARCH("overheat",C859)),"Overheating of Device",ISNUMBER(SEARCH("excessive heat",C859)),"Overheating of Device",ISNUMBER(SEARCH("hot",C859)),"Overheating of Device",ISNUMBER(SEARCH("noise",C859)),"Noise, Audible",ISNUMBER(SEARCH("sound",C859)),"Noise, Audible",ISNUMBER(SEARCH("loud",C859)),"Noise, Audible",ISNUMBER(SEARCH("fray",C859)),"Material Frayed",ISNUMBER(SEARCH("hole",C859)),"Material Frayed",ISNUMBER(SEARCH("tear",C859)),"Material Frayed",ISNUMBER(SEARCH("worn",C859)),"Material Frayed",ISNUMBER(SEARCH("intermittent",C859)),"Difficult or Delayed Activation",ISNUMBER(SEARCH("delay",C859)),"Difficult or Delayed Activation",ISNUMBER(SEARCH("label",C859)),"Device Markings/Labelling Problem",ISNUMBER(SEARCH("marking",C859)),"Device Markings/Labelling Problem",ISNUMBER(SEARCH("lacerat",C859)),"Defective Device",ISNUMBER(SEARCH("cut",C859)),"Defective Device",ISNUMBER(SEARCH("leak",C859)),"Fluid/Blood Leak",ISNUMBER(SEARCH("missing",C859)),"Component Missing",ISNUMBER(SEARCH("power",C859)),"Complete Loss of Power",ISNUMBER(SEARCH("will not turn on",C859)),"Complete Loss of Power",ISNUMBER(SEARCH("won't turn on",C859)),"Complete Loss of Power",ISNUMBER(SEARCH("does not turn on",C859)),"Complete Loss of Power",ISNUMBER(SEARCH("electrical",C859)),"Electrical Power Problem",ISNUMBER(SEARCH("pressure",C859)),"Detachment of Device or Device Component",ISNUMBER(SEARCH("slip",C859)),"Detachment of Device or Device Component",ISNUMBER(SEARCH("detach",C859)),"Detachment of Device or Device Component",ISNUMBER(SEARCH("stick",C859)),"Mechanical Jam",ISNUMBER(SEARCH("jam",C859)),"Mechanical Jam",ISNUMBER(SEARCH("rigid",C859)),"Mechanical Jam",ISNUMBER(SEARCH("rust",C859)),"Corroded",ISNUMBER(SEARCH("corrod",C859)),"Corroded",ISNUMBER(SEARCH("corrosion",C859)),"Corroded",ISNUMBER(SEARCH("alignment",C859)),"Defective Device",ISNUMBER(SEARCH("adjust",C859)),"Defective Device",ISNUMBER(SEARCH("perform",C859)),"Defective Device",ISNUMBER(SEARCH("malfunction",C859)),"Defective Device",ISNUMBER(SEARCH("defect",C859)),"Defective Device",ISNUMBER(SEARCH("fail",C859)),"Defective Device",ISNUMBER(SEARCH("not work",C859)),"Defective Device",ISNUMBER(SEARCH("doesn't work",C859)),"Defective Device",TRUE,"UNKNOWN"),"UNKNOWN")))</f>
        <v/>
      </c>
      <c r="F859" s="4" t="str">
        <f t="shared" si="14"/>
        <v/>
      </c>
      <c r="G859" s="363" t="str">
        <f>IF(E859="","",IFERROR(VLOOKUP(E859,Codes!$L$2:$N$409,3,FALSE),"—"))</f>
        <v/>
      </c>
      <c r="H859" s="88"/>
      <c r="I859" s="88"/>
    </row>
    <row r="860" spans="1:9" ht="13.15" x14ac:dyDescent="0.35">
      <c r="A860" s="92"/>
      <c r="B860" s="89"/>
      <c r="C860" s="88"/>
      <c r="D860" s="88"/>
      <c r="E860" s="93" t="str" cm="1">
        <f t="array" ref="E860">IF(D860&lt;&gt;"",IFERROR(VLOOKUP(D860,Codes!$K$2:$L$409,2,FALSE),"UNKNOWN - "&amp;D860),IF(C860="","",IFERROR(_xlfn.IFS(ISNUMBER(SEARCH("broken button",C860)),"Break",ISNUMBER(SEARCH("broken handle",C860)),"Break",ISNUMBER(SEARCH("shipping damage",C860)),"Break",ISNUMBER(SEARCH("broken",C860)),"Break",ISNUMBER(SEARCH("crack",C860)),"Break",ISNUMBER(SEARCH("snap",C860)),"Break",ISNUMBER(SEARCH("fracture",C860)),"Break",ISNUMBER(SEARCH("bent",C860)),"Material Twisted/Bent",ISNUMBER(SEARCH("twisted",C860)),"Material Twisted/Bent",ISNUMBER(SEARCH("component separat",C860)),"Material Separation",ISNUMBER(SEARCH("separat",C860)),"Material Separation",ISNUMBER(SEARCH("connection",C860)),"Loose or Intermittent Connection",ISNUMBER(SEARCH("loose",C860)),"Loose or Intermittent Connection",ISNUMBER(SEARCH("damaged packaging",C860)),"Packaging Problem",ISNUMBER(SEARCH("packaging",C860)),"Packaging Problem",ISNUMBER(SEARCH("discoloration",C860)),"Contamination",ISNUMBER(SEARCH("tarnish",C860)),"Contamination",ISNUMBER(SEARCH("stain",C860)),"Contamination",ISNUMBER(SEARCH("foreign material",C860)),"Contamination",ISNUMBER(SEARCH("contamina",C860)),"Contamination",ISNUMBER(SEARCH("overheat",C860)),"Overheating of Device",ISNUMBER(SEARCH("excessive heat",C860)),"Overheating of Device",ISNUMBER(SEARCH("hot",C860)),"Overheating of Device",ISNUMBER(SEARCH("noise",C860)),"Noise, Audible",ISNUMBER(SEARCH("sound",C860)),"Noise, Audible",ISNUMBER(SEARCH("loud",C860)),"Noise, Audible",ISNUMBER(SEARCH("fray",C860)),"Material Frayed",ISNUMBER(SEARCH("hole",C860)),"Material Frayed",ISNUMBER(SEARCH("tear",C860)),"Material Frayed",ISNUMBER(SEARCH("worn",C860)),"Material Frayed",ISNUMBER(SEARCH("intermittent",C860)),"Difficult or Delayed Activation",ISNUMBER(SEARCH("delay",C860)),"Difficult or Delayed Activation",ISNUMBER(SEARCH("label",C860)),"Device Markings/Labelling Problem",ISNUMBER(SEARCH("marking",C860)),"Device Markings/Labelling Problem",ISNUMBER(SEARCH("lacerat",C860)),"Defective Device",ISNUMBER(SEARCH("cut",C860)),"Defective Device",ISNUMBER(SEARCH("leak",C860)),"Fluid/Blood Leak",ISNUMBER(SEARCH("missing",C860)),"Component Missing",ISNUMBER(SEARCH("power",C860)),"Complete Loss of Power",ISNUMBER(SEARCH("will not turn on",C860)),"Complete Loss of Power",ISNUMBER(SEARCH("won't turn on",C860)),"Complete Loss of Power",ISNUMBER(SEARCH("does not turn on",C860)),"Complete Loss of Power",ISNUMBER(SEARCH("electrical",C860)),"Electrical Power Problem",ISNUMBER(SEARCH("pressure",C860)),"Detachment of Device or Device Component",ISNUMBER(SEARCH("slip",C860)),"Detachment of Device or Device Component",ISNUMBER(SEARCH("detach",C860)),"Detachment of Device or Device Component",ISNUMBER(SEARCH("stick",C860)),"Mechanical Jam",ISNUMBER(SEARCH("jam",C860)),"Mechanical Jam",ISNUMBER(SEARCH("rigid",C860)),"Mechanical Jam",ISNUMBER(SEARCH("rust",C860)),"Corroded",ISNUMBER(SEARCH("corrod",C860)),"Corroded",ISNUMBER(SEARCH("corrosion",C860)),"Corroded",ISNUMBER(SEARCH("alignment",C860)),"Defective Device",ISNUMBER(SEARCH("adjust",C860)),"Defective Device",ISNUMBER(SEARCH("perform",C860)),"Defective Device",ISNUMBER(SEARCH("malfunction",C860)),"Defective Device",ISNUMBER(SEARCH("defect",C860)),"Defective Device",ISNUMBER(SEARCH("fail",C860)),"Defective Device",ISNUMBER(SEARCH("not work",C860)),"Defective Device",ISNUMBER(SEARCH("doesn't work",C860)),"Defective Device",TRUE,"UNKNOWN"),"UNKNOWN")))</f>
        <v/>
      </c>
      <c r="F860" s="4" t="str">
        <f t="shared" si="14"/>
        <v/>
      </c>
      <c r="G860" s="363" t="str">
        <f>IF(E860="","",IFERROR(VLOOKUP(E860,Codes!$L$2:$N$409,3,FALSE),"—"))</f>
        <v/>
      </c>
      <c r="H860" s="88"/>
      <c r="I860" s="88"/>
    </row>
    <row r="861" spans="1:9" ht="13.15" x14ac:dyDescent="0.35">
      <c r="A861" s="92"/>
      <c r="B861" s="89"/>
      <c r="C861" s="88"/>
      <c r="D861" s="88"/>
      <c r="E861" s="93" t="str" cm="1">
        <f t="array" ref="E861">IF(D861&lt;&gt;"",IFERROR(VLOOKUP(D861,Codes!$K$2:$L$409,2,FALSE),"UNKNOWN - "&amp;D861),IF(C861="","",IFERROR(_xlfn.IFS(ISNUMBER(SEARCH("broken button",C861)),"Break",ISNUMBER(SEARCH("broken handle",C861)),"Break",ISNUMBER(SEARCH("shipping damage",C861)),"Break",ISNUMBER(SEARCH("broken",C861)),"Break",ISNUMBER(SEARCH("crack",C861)),"Break",ISNUMBER(SEARCH("snap",C861)),"Break",ISNUMBER(SEARCH("fracture",C861)),"Break",ISNUMBER(SEARCH("bent",C861)),"Material Twisted/Bent",ISNUMBER(SEARCH("twisted",C861)),"Material Twisted/Bent",ISNUMBER(SEARCH("component separat",C861)),"Material Separation",ISNUMBER(SEARCH("separat",C861)),"Material Separation",ISNUMBER(SEARCH("connection",C861)),"Loose or Intermittent Connection",ISNUMBER(SEARCH("loose",C861)),"Loose or Intermittent Connection",ISNUMBER(SEARCH("damaged packaging",C861)),"Packaging Problem",ISNUMBER(SEARCH("packaging",C861)),"Packaging Problem",ISNUMBER(SEARCH("discoloration",C861)),"Contamination",ISNUMBER(SEARCH("tarnish",C861)),"Contamination",ISNUMBER(SEARCH("stain",C861)),"Contamination",ISNUMBER(SEARCH("foreign material",C861)),"Contamination",ISNUMBER(SEARCH("contamina",C861)),"Contamination",ISNUMBER(SEARCH("overheat",C861)),"Overheating of Device",ISNUMBER(SEARCH("excessive heat",C861)),"Overheating of Device",ISNUMBER(SEARCH("hot",C861)),"Overheating of Device",ISNUMBER(SEARCH("noise",C861)),"Noise, Audible",ISNUMBER(SEARCH("sound",C861)),"Noise, Audible",ISNUMBER(SEARCH("loud",C861)),"Noise, Audible",ISNUMBER(SEARCH("fray",C861)),"Material Frayed",ISNUMBER(SEARCH("hole",C861)),"Material Frayed",ISNUMBER(SEARCH("tear",C861)),"Material Frayed",ISNUMBER(SEARCH("worn",C861)),"Material Frayed",ISNUMBER(SEARCH("intermittent",C861)),"Difficult or Delayed Activation",ISNUMBER(SEARCH("delay",C861)),"Difficult or Delayed Activation",ISNUMBER(SEARCH("label",C861)),"Device Markings/Labelling Problem",ISNUMBER(SEARCH("marking",C861)),"Device Markings/Labelling Problem",ISNUMBER(SEARCH("lacerat",C861)),"Defective Device",ISNUMBER(SEARCH("cut",C861)),"Defective Device",ISNUMBER(SEARCH("leak",C861)),"Fluid/Blood Leak",ISNUMBER(SEARCH("missing",C861)),"Component Missing",ISNUMBER(SEARCH("power",C861)),"Complete Loss of Power",ISNUMBER(SEARCH("will not turn on",C861)),"Complete Loss of Power",ISNUMBER(SEARCH("won't turn on",C861)),"Complete Loss of Power",ISNUMBER(SEARCH("does not turn on",C861)),"Complete Loss of Power",ISNUMBER(SEARCH("electrical",C861)),"Electrical Power Problem",ISNUMBER(SEARCH("pressure",C861)),"Detachment of Device or Device Component",ISNUMBER(SEARCH("slip",C861)),"Detachment of Device or Device Component",ISNUMBER(SEARCH("detach",C861)),"Detachment of Device or Device Component",ISNUMBER(SEARCH("stick",C861)),"Mechanical Jam",ISNUMBER(SEARCH("jam",C861)),"Mechanical Jam",ISNUMBER(SEARCH("rigid",C861)),"Mechanical Jam",ISNUMBER(SEARCH("rust",C861)),"Corroded",ISNUMBER(SEARCH("corrod",C861)),"Corroded",ISNUMBER(SEARCH("corrosion",C861)),"Corroded",ISNUMBER(SEARCH("alignment",C861)),"Defective Device",ISNUMBER(SEARCH("adjust",C861)),"Defective Device",ISNUMBER(SEARCH("perform",C861)),"Defective Device",ISNUMBER(SEARCH("malfunction",C861)),"Defective Device",ISNUMBER(SEARCH("defect",C861)),"Defective Device",ISNUMBER(SEARCH("fail",C861)),"Defective Device",ISNUMBER(SEARCH("not work",C861)),"Defective Device",ISNUMBER(SEARCH("doesn't work",C861)),"Defective Device",TRUE,"UNKNOWN"),"UNKNOWN")))</f>
        <v/>
      </c>
      <c r="F861" s="4" t="str">
        <f t="shared" si="14"/>
        <v/>
      </c>
      <c r="G861" s="363" t="str">
        <f>IF(E861="","",IFERROR(VLOOKUP(E861,Codes!$L$2:$N$409,3,FALSE),"—"))</f>
        <v/>
      </c>
      <c r="H861" s="88"/>
      <c r="I861" s="88"/>
    </row>
    <row r="862" spans="1:9" ht="13.15" x14ac:dyDescent="0.35">
      <c r="A862" s="92"/>
      <c r="B862" s="89"/>
      <c r="C862" s="88"/>
      <c r="D862" s="88"/>
      <c r="E862" s="93" t="str" cm="1">
        <f t="array" ref="E862">IF(D862&lt;&gt;"",IFERROR(VLOOKUP(D862,Codes!$K$2:$L$409,2,FALSE),"UNKNOWN - "&amp;D862),IF(C862="","",IFERROR(_xlfn.IFS(ISNUMBER(SEARCH("broken button",C862)),"Break",ISNUMBER(SEARCH("broken handle",C862)),"Break",ISNUMBER(SEARCH("shipping damage",C862)),"Break",ISNUMBER(SEARCH("broken",C862)),"Break",ISNUMBER(SEARCH("crack",C862)),"Break",ISNUMBER(SEARCH("snap",C862)),"Break",ISNUMBER(SEARCH("fracture",C862)),"Break",ISNUMBER(SEARCH("bent",C862)),"Material Twisted/Bent",ISNUMBER(SEARCH("twisted",C862)),"Material Twisted/Bent",ISNUMBER(SEARCH("component separat",C862)),"Material Separation",ISNUMBER(SEARCH("separat",C862)),"Material Separation",ISNUMBER(SEARCH("connection",C862)),"Loose or Intermittent Connection",ISNUMBER(SEARCH("loose",C862)),"Loose or Intermittent Connection",ISNUMBER(SEARCH("damaged packaging",C862)),"Packaging Problem",ISNUMBER(SEARCH("packaging",C862)),"Packaging Problem",ISNUMBER(SEARCH("discoloration",C862)),"Contamination",ISNUMBER(SEARCH("tarnish",C862)),"Contamination",ISNUMBER(SEARCH("stain",C862)),"Contamination",ISNUMBER(SEARCH("foreign material",C862)),"Contamination",ISNUMBER(SEARCH("contamina",C862)),"Contamination",ISNUMBER(SEARCH("overheat",C862)),"Overheating of Device",ISNUMBER(SEARCH("excessive heat",C862)),"Overheating of Device",ISNUMBER(SEARCH("hot",C862)),"Overheating of Device",ISNUMBER(SEARCH("noise",C862)),"Noise, Audible",ISNUMBER(SEARCH("sound",C862)),"Noise, Audible",ISNUMBER(SEARCH("loud",C862)),"Noise, Audible",ISNUMBER(SEARCH("fray",C862)),"Material Frayed",ISNUMBER(SEARCH("hole",C862)),"Material Frayed",ISNUMBER(SEARCH("tear",C862)),"Material Frayed",ISNUMBER(SEARCH("worn",C862)),"Material Frayed",ISNUMBER(SEARCH("intermittent",C862)),"Difficult or Delayed Activation",ISNUMBER(SEARCH("delay",C862)),"Difficult or Delayed Activation",ISNUMBER(SEARCH("label",C862)),"Device Markings/Labelling Problem",ISNUMBER(SEARCH("marking",C862)),"Device Markings/Labelling Problem",ISNUMBER(SEARCH("lacerat",C862)),"Defective Device",ISNUMBER(SEARCH("cut",C862)),"Defective Device",ISNUMBER(SEARCH("leak",C862)),"Fluid/Blood Leak",ISNUMBER(SEARCH("missing",C862)),"Component Missing",ISNUMBER(SEARCH("power",C862)),"Complete Loss of Power",ISNUMBER(SEARCH("will not turn on",C862)),"Complete Loss of Power",ISNUMBER(SEARCH("won't turn on",C862)),"Complete Loss of Power",ISNUMBER(SEARCH("does not turn on",C862)),"Complete Loss of Power",ISNUMBER(SEARCH("electrical",C862)),"Electrical Power Problem",ISNUMBER(SEARCH("pressure",C862)),"Detachment of Device or Device Component",ISNUMBER(SEARCH("slip",C862)),"Detachment of Device or Device Component",ISNUMBER(SEARCH("detach",C862)),"Detachment of Device or Device Component",ISNUMBER(SEARCH("stick",C862)),"Mechanical Jam",ISNUMBER(SEARCH("jam",C862)),"Mechanical Jam",ISNUMBER(SEARCH("rigid",C862)),"Mechanical Jam",ISNUMBER(SEARCH("rust",C862)),"Corroded",ISNUMBER(SEARCH("corrod",C862)),"Corroded",ISNUMBER(SEARCH("corrosion",C862)),"Corroded",ISNUMBER(SEARCH("alignment",C862)),"Defective Device",ISNUMBER(SEARCH("adjust",C862)),"Defective Device",ISNUMBER(SEARCH("perform",C862)),"Defective Device",ISNUMBER(SEARCH("malfunction",C862)),"Defective Device",ISNUMBER(SEARCH("defect",C862)),"Defective Device",ISNUMBER(SEARCH("fail",C862)),"Defective Device",ISNUMBER(SEARCH("not work",C862)),"Defective Device",ISNUMBER(SEARCH("doesn't work",C862)),"Defective Device",TRUE,"UNKNOWN"),"UNKNOWN")))</f>
        <v/>
      </c>
      <c r="F862" s="4" t="str">
        <f t="shared" si="14"/>
        <v/>
      </c>
      <c r="G862" s="363" t="str">
        <f>IF(E862="","",IFERROR(VLOOKUP(E862,Codes!$L$2:$N$409,3,FALSE),"—"))</f>
        <v/>
      </c>
      <c r="H862" s="88"/>
      <c r="I862" s="88"/>
    </row>
    <row r="863" spans="1:9" ht="13.15" x14ac:dyDescent="0.35">
      <c r="A863" s="92"/>
      <c r="B863" s="89"/>
      <c r="C863" s="88"/>
      <c r="D863" s="88"/>
      <c r="E863" s="93" t="str" cm="1">
        <f t="array" ref="E863">IF(D863&lt;&gt;"",IFERROR(VLOOKUP(D863,Codes!$K$2:$L$409,2,FALSE),"UNKNOWN - "&amp;D863),IF(C863="","",IFERROR(_xlfn.IFS(ISNUMBER(SEARCH("broken button",C863)),"Break",ISNUMBER(SEARCH("broken handle",C863)),"Break",ISNUMBER(SEARCH("shipping damage",C863)),"Break",ISNUMBER(SEARCH("broken",C863)),"Break",ISNUMBER(SEARCH("crack",C863)),"Break",ISNUMBER(SEARCH("snap",C863)),"Break",ISNUMBER(SEARCH("fracture",C863)),"Break",ISNUMBER(SEARCH("bent",C863)),"Material Twisted/Bent",ISNUMBER(SEARCH("twisted",C863)),"Material Twisted/Bent",ISNUMBER(SEARCH("component separat",C863)),"Material Separation",ISNUMBER(SEARCH("separat",C863)),"Material Separation",ISNUMBER(SEARCH("connection",C863)),"Loose or Intermittent Connection",ISNUMBER(SEARCH("loose",C863)),"Loose or Intermittent Connection",ISNUMBER(SEARCH("damaged packaging",C863)),"Packaging Problem",ISNUMBER(SEARCH("packaging",C863)),"Packaging Problem",ISNUMBER(SEARCH("discoloration",C863)),"Contamination",ISNUMBER(SEARCH("tarnish",C863)),"Contamination",ISNUMBER(SEARCH("stain",C863)),"Contamination",ISNUMBER(SEARCH("foreign material",C863)),"Contamination",ISNUMBER(SEARCH("contamina",C863)),"Contamination",ISNUMBER(SEARCH("overheat",C863)),"Overheating of Device",ISNUMBER(SEARCH("excessive heat",C863)),"Overheating of Device",ISNUMBER(SEARCH("hot",C863)),"Overheating of Device",ISNUMBER(SEARCH("noise",C863)),"Noise, Audible",ISNUMBER(SEARCH("sound",C863)),"Noise, Audible",ISNUMBER(SEARCH("loud",C863)),"Noise, Audible",ISNUMBER(SEARCH("fray",C863)),"Material Frayed",ISNUMBER(SEARCH("hole",C863)),"Material Frayed",ISNUMBER(SEARCH("tear",C863)),"Material Frayed",ISNUMBER(SEARCH("worn",C863)),"Material Frayed",ISNUMBER(SEARCH("intermittent",C863)),"Difficult or Delayed Activation",ISNUMBER(SEARCH("delay",C863)),"Difficult or Delayed Activation",ISNUMBER(SEARCH("label",C863)),"Device Markings/Labelling Problem",ISNUMBER(SEARCH("marking",C863)),"Device Markings/Labelling Problem",ISNUMBER(SEARCH("lacerat",C863)),"Defective Device",ISNUMBER(SEARCH("cut",C863)),"Defective Device",ISNUMBER(SEARCH("leak",C863)),"Fluid/Blood Leak",ISNUMBER(SEARCH("missing",C863)),"Component Missing",ISNUMBER(SEARCH("power",C863)),"Complete Loss of Power",ISNUMBER(SEARCH("will not turn on",C863)),"Complete Loss of Power",ISNUMBER(SEARCH("won't turn on",C863)),"Complete Loss of Power",ISNUMBER(SEARCH("does not turn on",C863)),"Complete Loss of Power",ISNUMBER(SEARCH("electrical",C863)),"Electrical Power Problem",ISNUMBER(SEARCH("pressure",C863)),"Detachment of Device or Device Component",ISNUMBER(SEARCH("slip",C863)),"Detachment of Device or Device Component",ISNUMBER(SEARCH("detach",C863)),"Detachment of Device or Device Component",ISNUMBER(SEARCH("stick",C863)),"Mechanical Jam",ISNUMBER(SEARCH("jam",C863)),"Mechanical Jam",ISNUMBER(SEARCH("rigid",C863)),"Mechanical Jam",ISNUMBER(SEARCH("rust",C863)),"Corroded",ISNUMBER(SEARCH("corrod",C863)),"Corroded",ISNUMBER(SEARCH("corrosion",C863)),"Corroded",ISNUMBER(SEARCH("alignment",C863)),"Defective Device",ISNUMBER(SEARCH("adjust",C863)),"Defective Device",ISNUMBER(SEARCH("perform",C863)),"Defective Device",ISNUMBER(SEARCH("malfunction",C863)),"Defective Device",ISNUMBER(SEARCH("defect",C863)),"Defective Device",ISNUMBER(SEARCH("fail",C863)),"Defective Device",ISNUMBER(SEARCH("not work",C863)),"Defective Device",ISNUMBER(SEARCH("doesn't work",C863)),"Defective Device",TRUE,"UNKNOWN"),"UNKNOWN")))</f>
        <v/>
      </c>
      <c r="F863" s="4" t="str">
        <f t="shared" si="14"/>
        <v/>
      </c>
      <c r="G863" s="363" t="str">
        <f>IF(E863="","",IFERROR(VLOOKUP(E863,Codes!$L$2:$N$409,3,FALSE),"—"))</f>
        <v/>
      </c>
      <c r="H863" s="88"/>
      <c r="I863" s="88"/>
    </row>
    <row r="864" spans="1:9" ht="13.15" x14ac:dyDescent="0.35">
      <c r="A864" s="92"/>
      <c r="B864" s="89"/>
      <c r="C864" s="88"/>
      <c r="D864" s="88"/>
      <c r="E864" s="93" t="str" cm="1">
        <f t="array" ref="E864">IF(D864&lt;&gt;"",IFERROR(VLOOKUP(D864,Codes!$K$2:$L$409,2,FALSE),"UNKNOWN - "&amp;D864),IF(C864="","",IFERROR(_xlfn.IFS(ISNUMBER(SEARCH("broken button",C864)),"Break",ISNUMBER(SEARCH("broken handle",C864)),"Break",ISNUMBER(SEARCH("shipping damage",C864)),"Break",ISNUMBER(SEARCH("broken",C864)),"Break",ISNUMBER(SEARCH("crack",C864)),"Break",ISNUMBER(SEARCH("snap",C864)),"Break",ISNUMBER(SEARCH("fracture",C864)),"Break",ISNUMBER(SEARCH("bent",C864)),"Material Twisted/Bent",ISNUMBER(SEARCH("twisted",C864)),"Material Twisted/Bent",ISNUMBER(SEARCH("component separat",C864)),"Material Separation",ISNUMBER(SEARCH("separat",C864)),"Material Separation",ISNUMBER(SEARCH("connection",C864)),"Loose or Intermittent Connection",ISNUMBER(SEARCH("loose",C864)),"Loose or Intermittent Connection",ISNUMBER(SEARCH("damaged packaging",C864)),"Packaging Problem",ISNUMBER(SEARCH("packaging",C864)),"Packaging Problem",ISNUMBER(SEARCH("discoloration",C864)),"Contamination",ISNUMBER(SEARCH("tarnish",C864)),"Contamination",ISNUMBER(SEARCH("stain",C864)),"Contamination",ISNUMBER(SEARCH("foreign material",C864)),"Contamination",ISNUMBER(SEARCH("contamina",C864)),"Contamination",ISNUMBER(SEARCH("overheat",C864)),"Overheating of Device",ISNUMBER(SEARCH("excessive heat",C864)),"Overheating of Device",ISNUMBER(SEARCH("hot",C864)),"Overheating of Device",ISNUMBER(SEARCH("noise",C864)),"Noise, Audible",ISNUMBER(SEARCH("sound",C864)),"Noise, Audible",ISNUMBER(SEARCH("loud",C864)),"Noise, Audible",ISNUMBER(SEARCH("fray",C864)),"Material Frayed",ISNUMBER(SEARCH("hole",C864)),"Material Frayed",ISNUMBER(SEARCH("tear",C864)),"Material Frayed",ISNUMBER(SEARCH("worn",C864)),"Material Frayed",ISNUMBER(SEARCH("intermittent",C864)),"Difficult or Delayed Activation",ISNUMBER(SEARCH("delay",C864)),"Difficult or Delayed Activation",ISNUMBER(SEARCH("label",C864)),"Device Markings/Labelling Problem",ISNUMBER(SEARCH("marking",C864)),"Device Markings/Labelling Problem",ISNUMBER(SEARCH("lacerat",C864)),"Defective Device",ISNUMBER(SEARCH("cut",C864)),"Defective Device",ISNUMBER(SEARCH("leak",C864)),"Fluid/Blood Leak",ISNUMBER(SEARCH("missing",C864)),"Component Missing",ISNUMBER(SEARCH("power",C864)),"Complete Loss of Power",ISNUMBER(SEARCH("will not turn on",C864)),"Complete Loss of Power",ISNUMBER(SEARCH("won't turn on",C864)),"Complete Loss of Power",ISNUMBER(SEARCH("does not turn on",C864)),"Complete Loss of Power",ISNUMBER(SEARCH("electrical",C864)),"Electrical Power Problem",ISNUMBER(SEARCH("pressure",C864)),"Detachment of Device or Device Component",ISNUMBER(SEARCH("slip",C864)),"Detachment of Device or Device Component",ISNUMBER(SEARCH("detach",C864)),"Detachment of Device or Device Component",ISNUMBER(SEARCH("stick",C864)),"Mechanical Jam",ISNUMBER(SEARCH("jam",C864)),"Mechanical Jam",ISNUMBER(SEARCH("rigid",C864)),"Mechanical Jam",ISNUMBER(SEARCH("rust",C864)),"Corroded",ISNUMBER(SEARCH("corrod",C864)),"Corroded",ISNUMBER(SEARCH("corrosion",C864)),"Corroded",ISNUMBER(SEARCH("alignment",C864)),"Defective Device",ISNUMBER(SEARCH("adjust",C864)),"Defective Device",ISNUMBER(SEARCH("perform",C864)),"Defective Device",ISNUMBER(SEARCH("malfunction",C864)),"Defective Device",ISNUMBER(SEARCH("defect",C864)),"Defective Device",ISNUMBER(SEARCH("fail",C864)),"Defective Device",ISNUMBER(SEARCH("not work",C864)),"Defective Device",ISNUMBER(SEARCH("doesn't work",C864)),"Defective Device",TRUE,"UNKNOWN"),"UNKNOWN")))</f>
        <v/>
      </c>
      <c r="F864" s="4" t="str">
        <f t="shared" si="14"/>
        <v/>
      </c>
      <c r="G864" s="363" t="str">
        <f>IF(E864="","",IFERROR(VLOOKUP(E864,Codes!$L$2:$N$409,3,FALSE),"—"))</f>
        <v/>
      </c>
      <c r="H864" s="88"/>
      <c r="I864" s="88"/>
    </row>
    <row r="865" spans="1:9" ht="13.15" x14ac:dyDescent="0.35">
      <c r="A865" s="92"/>
      <c r="B865" s="89"/>
      <c r="C865" s="88"/>
      <c r="D865" s="88"/>
      <c r="E865" s="93" t="str" cm="1">
        <f t="array" ref="E865">IF(D865&lt;&gt;"",IFERROR(VLOOKUP(D865,Codes!$K$2:$L$409,2,FALSE),"UNKNOWN - "&amp;D865),IF(C865="","",IFERROR(_xlfn.IFS(ISNUMBER(SEARCH("broken button",C865)),"Break",ISNUMBER(SEARCH("broken handle",C865)),"Break",ISNUMBER(SEARCH("shipping damage",C865)),"Break",ISNUMBER(SEARCH("broken",C865)),"Break",ISNUMBER(SEARCH("crack",C865)),"Break",ISNUMBER(SEARCH("snap",C865)),"Break",ISNUMBER(SEARCH("fracture",C865)),"Break",ISNUMBER(SEARCH("bent",C865)),"Material Twisted/Bent",ISNUMBER(SEARCH("twisted",C865)),"Material Twisted/Bent",ISNUMBER(SEARCH("component separat",C865)),"Material Separation",ISNUMBER(SEARCH("separat",C865)),"Material Separation",ISNUMBER(SEARCH("connection",C865)),"Loose or Intermittent Connection",ISNUMBER(SEARCH("loose",C865)),"Loose or Intermittent Connection",ISNUMBER(SEARCH("damaged packaging",C865)),"Packaging Problem",ISNUMBER(SEARCH("packaging",C865)),"Packaging Problem",ISNUMBER(SEARCH("discoloration",C865)),"Contamination",ISNUMBER(SEARCH("tarnish",C865)),"Contamination",ISNUMBER(SEARCH("stain",C865)),"Contamination",ISNUMBER(SEARCH("foreign material",C865)),"Contamination",ISNUMBER(SEARCH("contamina",C865)),"Contamination",ISNUMBER(SEARCH("overheat",C865)),"Overheating of Device",ISNUMBER(SEARCH("excessive heat",C865)),"Overheating of Device",ISNUMBER(SEARCH("hot",C865)),"Overheating of Device",ISNUMBER(SEARCH("noise",C865)),"Noise, Audible",ISNUMBER(SEARCH("sound",C865)),"Noise, Audible",ISNUMBER(SEARCH("loud",C865)),"Noise, Audible",ISNUMBER(SEARCH("fray",C865)),"Material Frayed",ISNUMBER(SEARCH("hole",C865)),"Material Frayed",ISNUMBER(SEARCH("tear",C865)),"Material Frayed",ISNUMBER(SEARCH("worn",C865)),"Material Frayed",ISNUMBER(SEARCH("intermittent",C865)),"Difficult or Delayed Activation",ISNUMBER(SEARCH("delay",C865)),"Difficult or Delayed Activation",ISNUMBER(SEARCH("label",C865)),"Device Markings/Labelling Problem",ISNUMBER(SEARCH("marking",C865)),"Device Markings/Labelling Problem",ISNUMBER(SEARCH("lacerat",C865)),"Defective Device",ISNUMBER(SEARCH("cut",C865)),"Defective Device",ISNUMBER(SEARCH("leak",C865)),"Fluid/Blood Leak",ISNUMBER(SEARCH("missing",C865)),"Component Missing",ISNUMBER(SEARCH("power",C865)),"Complete Loss of Power",ISNUMBER(SEARCH("will not turn on",C865)),"Complete Loss of Power",ISNUMBER(SEARCH("won't turn on",C865)),"Complete Loss of Power",ISNUMBER(SEARCH("does not turn on",C865)),"Complete Loss of Power",ISNUMBER(SEARCH("electrical",C865)),"Electrical Power Problem",ISNUMBER(SEARCH("pressure",C865)),"Detachment of Device or Device Component",ISNUMBER(SEARCH("slip",C865)),"Detachment of Device or Device Component",ISNUMBER(SEARCH("detach",C865)),"Detachment of Device or Device Component",ISNUMBER(SEARCH("stick",C865)),"Mechanical Jam",ISNUMBER(SEARCH("jam",C865)),"Mechanical Jam",ISNUMBER(SEARCH("rigid",C865)),"Mechanical Jam",ISNUMBER(SEARCH("rust",C865)),"Corroded",ISNUMBER(SEARCH("corrod",C865)),"Corroded",ISNUMBER(SEARCH("corrosion",C865)),"Corroded",ISNUMBER(SEARCH("alignment",C865)),"Defective Device",ISNUMBER(SEARCH("adjust",C865)),"Defective Device",ISNUMBER(SEARCH("perform",C865)),"Defective Device",ISNUMBER(SEARCH("malfunction",C865)),"Defective Device",ISNUMBER(SEARCH("defect",C865)),"Defective Device",ISNUMBER(SEARCH("fail",C865)),"Defective Device",ISNUMBER(SEARCH("not work",C865)),"Defective Device",ISNUMBER(SEARCH("doesn't work",C865)),"Defective Device",TRUE,"UNKNOWN"),"UNKNOWN")))</f>
        <v/>
      </c>
      <c r="F865" s="4" t="str">
        <f t="shared" si="14"/>
        <v/>
      </c>
      <c r="G865" s="363" t="str">
        <f>IF(E865="","",IFERROR(VLOOKUP(E865,Codes!$L$2:$N$409,3,FALSE),"—"))</f>
        <v/>
      </c>
      <c r="H865" s="88"/>
      <c r="I865" s="88"/>
    </row>
    <row r="866" spans="1:9" ht="13.15" x14ac:dyDescent="0.35">
      <c r="A866" s="92"/>
      <c r="B866" s="89"/>
      <c r="C866" s="88"/>
      <c r="D866" s="88"/>
      <c r="E866" s="93" t="str" cm="1">
        <f t="array" ref="E866">IF(D866&lt;&gt;"",IFERROR(VLOOKUP(D866,Codes!$K$2:$L$409,2,FALSE),"UNKNOWN - "&amp;D866),IF(C866="","",IFERROR(_xlfn.IFS(ISNUMBER(SEARCH("broken button",C866)),"Break",ISNUMBER(SEARCH("broken handle",C866)),"Break",ISNUMBER(SEARCH("shipping damage",C866)),"Break",ISNUMBER(SEARCH("broken",C866)),"Break",ISNUMBER(SEARCH("crack",C866)),"Break",ISNUMBER(SEARCH("snap",C866)),"Break",ISNUMBER(SEARCH("fracture",C866)),"Break",ISNUMBER(SEARCH("bent",C866)),"Material Twisted/Bent",ISNUMBER(SEARCH("twisted",C866)),"Material Twisted/Bent",ISNUMBER(SEARCH("component separat",C866)),"Material Separation",ISNUMBER(SEARCH("separat",C866)),"Material Separation",ISNUMBER(SEARCH("connection",C866)),"Loose or Intermittent Connection",ISNUMBER(SEARCH("loose",C866)),"Loose or Intermittent Connection",ISNUMBER(SEARCH("damaged packaging",C866)),"Packaging Problem",ISNUMBER(SEARCH("packaging",C866)),"Packaging Problem",ISNUMBER(SEARCH("discoloration",C866)),"Contamination",ISNUMBER(SEARCH("tarnish",C866)),"Contamination",ISNUMBER(SEARCH("stain",C866)),"Contamination",ISNUMBER(SEARCH("foreign material",C866)),"Contamination",ISNUMBER(SEARCH("contamina",C866)),"Contamination",ISNUMBER(SEARCH("overheat",C866)),"Overheating of Device",ISNUMBER(SEARCH("excessive heat",C866)),"Overheating of Device",ISNUMBER(SEARCH("hot",C866)),"Overheating of Device",ISNUMBER(SEARCH("noise",C866)),"Noise, Audible",ISNUMBER(SEARCH("sound",C866)),"Noise, Audible",ISNUMBER(SEARCH("loud",C866)),"Noise, Audible",ISNUMBER(SEARCH("fray",C866)),"Material Frayed",ISNUMBER(SEARCH("hole",C866)),"Material Frayed",ISNUMBER(SEARCH("tear",C866)),"Material Frayed",ISNUMBER(SEARCH("worn",C866)),"Material Frayed",ISNUMBER(SEARCH("intermittent",C866)),"Difficult or Delayed Activation",ISNUMBER(SEARCH("delay",C866)),"Difficult or Delayed Activation",ISNUMBER(SEARCH("label",C866)),"Device Markings/Labelling Problem",ISNUMBER(SEARCH("marking",C866)),"Device Markings/Labelling Problem",ISNUMBER(SEARCH("lacerat",C866)),"Defective Device",ISNUMBER(SEARCH("cut",C866)),"Defective Device",ISNUMBER(SEARCH("leak",C866)),"Fluid/Blood Leak",ISNUMBER(SEARCH("missing",C866)),"Component Missing",ISNUMBER(SEARCH("power",C866)),"Complete Loss of Power",ISNUMBER(SEARCH("will not turn on",C866)),"Complete Loss of Power",ISNUMBER(SEARCH("won't turn on",C866)),"Complete Loss of Power",ISNUMBER(SEARCH("does not turn on",C866)),"Complete Loss of Power",ISNUMBER(SEARCH("electrical",C866)),"Electrical Power Problem",ISNUMBER(SEARCH("pressure",C866)),"Detachment of Device or Device Component",ISNUMBER(SEARCH("slip",C866)),"Detachment of Device or Device Component",ISNUMBER(SEARCH("detach",C866)),"Detachment of Device or Device Component",ISNUMBER(SEARCH("stick",C866)),"Mechanical Jam",ISNUMBER(SEARCH("jam",C866)),"Mechanical Jam",ISNUMBER(SEARCH("rigid",C866)),"Mechanical Jam",ISNUMBER(SEARCH("rust",C866)),"Corroded",ISNUMBER(SEARCH("corrod",C866)),"Corroded",ISNUMBER(SEARCH("corrosion",C866)),"Corroded",ISNUMBER(SEARCH("alignment",C866)),"Defective Device",ISNUMBER(SEARCH("adjust",C866)),"Defective Device",ISNUMBER(SEARCH("perform",C866)),"Defective Device",ISNUMBER(SEARCH("malfunction",C866)),"Defective Device",ISNUMBER(SEARCH("defect",C866)),"Defective Device",ISNUMBER(SEARCH("fail",C866)),"Defective Device",ISNUMBER(SEARCH("not work",C866)),"Defective Device",ISNUMBER(SEARCH("doesn't work",C866)),"Defective Device",TRUE,"UNKNOWN"),"UNKNOWN")))</f>
        <v/>
      </c>
      <c r="F866" s="4" t="str">
        <f t="shared" si="14"/>
        <v/>
      </c>
      <c r="G866" s="363" t="str">
        <f>IF(E866="","",IFERROR(VLOOKUP(E866,Codes!$L$2:$N$409,3,FALSE),"—"))</f>
        <v/>
      </c>
      <c r="H866" s="88"/>
      <c r="I866" s="88"/>
    </row>
    <row r="867" spans="1:9" ht="13.15" x14ac:dyDescent="0.35">
      <c r="A867" s="92"/>
      <c r="B867" s="89"/>
      <c r="C867" s="88"/>
      <c r="D867" s="88"/>
      <c r="E867" s="93" t="str" cm="1">
        <f t="array" ref="E867">IF(D867&lt;&gt;"",IFERROR(VLOOKUP(D867,Codes!$K$2:$L$409,2,FALSE),"UNKNOWN - "&amp;D867),IF(C867="","",IFERROR(_xlfn.IFS(ISNUMBER(SEARCH("broken button",C867)),"Break",ISNUMBER(SEARCH("broken handle",C867)),"Break",ISNUMBER(SEARCH("shipping damage",C867)),"Break",ISNUMBER(SEARCH("broken",C867)),"Break",ISNUMBER(SEARCH("crack",C867)),"Break",ISNUMBER(SEARCH("snap",C867)),"Break",ISNUMBER(SEARCH("fracture",C867)),"Break",ISNUMBER(SEARCH("bent",C867)),"Material Twisted/Bent",ISNUMBER(SEARCH("twisted",C867)),"Material Twisted/Bent",ISNUMBER(SEARCH("component separat",C867)),"Material Separation",ISNUMBER(SEARCH("separat",C867)),"Material Separation",ISNUMBER(SEARCH("connection",C867)),"Loose or Intermittent Connection",ISNUMBER(SEARCH("loose",C867)),"Loose or Intermittent Connection",ISNUMBER(SEARCH("damaged packaging",C867)),"Packaging Problem",ISNUMBER(SEARCH("packaging",C867)),"Packaging Problem",ISNUMBER(SEARCH("discoloration",C867)),"Contamination",ISNUMBER(SEARCH("tarnish",C867)),"Contamination",ISNUMBER(SEARCH("stain",C867)),"Contamination",ISNUMBER(SEARCH("foreign material",C867)),"Contamination",ISNUMBER(SEARCH("contamina",C867)),"Contamination",ISNUMBER(SEARCH("overheat",C867)),"Overheating of Device",ISNUMBER(SEARCH("excessive heat",C867)),"Overheating of Device",ISNUMBER(SEARCH("hot",C867)),"Overheating of Device",ISNUMBER(SEARCH("noise",C867)),"Noise, Audible",ISNUMBER(SEARCH("sound",C867)),"Noise, Audible",ISNUMBER(SEARCH("loud",C867)),"Noise, Audible",ISNUMBER(SEARCH("fray",C867)),"Material Frayed",ISNUMBER(SEARCH("hole",C867)),"Material Frayed",ISNUMBER(SEARCH("tear",C867)),"Material Frayed",ISNUMBER(SEARCH("worn",C867)),"Material Frayed",ISNUMBER(SEARCH("intermittent",C867)),"Difficult or Delayed Activation",ISNUMBER(SEARCH("delay",C867)),"Difficult or Delayed Activation",ISNUMBER(SEARCH("label",C867)),"Device Markings/Labelling Problem",ISNUMBER(SEARCH("marking",C867)),"Device Markings/Labelling Problem",ISNUMBER(SEARCH("lacerat",C867)),"Defective Device",ISNUMBER(SEARCH("cut",C867)),"Defective Device",ISNUMBER(SEARCH("leak",C867)),"Fluid/Blood Leak",ISNUMBER(SEARCH("missing",C867)),"Component Missing",ISNUMBER(SEARCH("power",C867)),"Complete Loss of Power",ISNUMBER(SEARCH("will not turn on",C867)),"Complete Loss of Power",ISNUMBER(SEARCH("won't turn on",C867)),"Complete Loss of Power",ISNUMBER(SEARCH("does not turn on",C867)),"Complete Loss of Power",ISNUMBER(SEARCH("electrical",C867)),"Electrical Power Problem",ISNUMBER(SEARCH("pressure",C867)),"Detachment of Device or Device Component",ISNUMBER(SEARCH("slip",C867)),"Detachment of Device or Device Component",ISNUMBER(SEARCH("detach",C867)),"Detachment of Device or Device Component",ISNUMBER(SEARCH("stick",C867)),"Mechanical Jam",ISNUMBER(SEARCH("jam",C867)),"Mechanical Jam",ISNUMBER(SEARCH("rigid",C867)),"Mechanical Jam",ISNUMBER(SEARCH("rust",C867)),"Corroded",ISNUMBER(SEARCH("corrod",C867)),"Corroded",ISNUMBER(SEARCH("corrosion",C867)),"Corroded",ISNUMBER(SEARCH("alignment",C867)),"Defective Device",ISNUMBER(SEARCH("adjust",C867)),"Defective Device",ISNUMBER(SEARCH("perform",C867)),"Defective Device",ISNUMBER(SEARCH("malfunction",C867)),"Defective Device",ISNUMBER(SEARCH("defect",C867)),"Defective Device",ISNUMBER(SEARCH("fail",C867)),"Defective Device",ISNUMBER(SEARCH("not work",C867)),"Defective Device",ISNUMBER(SEARCH("doesn't work",C867)),"Defective Device",TRUE,"UNKNOWN"),"UNKNOWN")))</f>
        <v/>
      </c>
      <c r="F867" s="4" t="str">
        <f t="shared" si="14"/>
        <v/>
      </c>
      <c r="G867" s="363" t="str">
        <f>IF(E867="","",IFERROR(VLOOKUP(E867,Codes!$L$2:$N$409,3,FALSE),"—"))</f>
        <v/>
      </c>
      <c r="H867" s="88"/>
      <c r="I867" s="88"/>
    </row>
    <row r="868" spans="1:9" ht="13.15" x14ac:dyDescent="0.35">
      <c r="A868" s="92"/>
      <c r="B868" s="89"/>
      <c r="C868" s="88"/>
      <c r="D868" s="88"/>
      <c r="E868" s="93" t="str" cm="1">
        <f t="array" ref="E868">IF(D868&lt;&gt;"",IFERROR(VLOOKUP(D868,Codes!$K$2:$L$409,2,FALSE),"UNKNOWN - "&amp;D868),IF(C868="","",IFERROR(_xlfn.IFS(ISNUMBER(SEARCH("broken button",C868)),"Break",ISNUMBER(SEARCH("broken handle",C868)),"Break",ISNUMBER(SEARCH("shipping damage",C868)),"Break",ISNUMBER(SEARCH("broken",C868)),"Break",ISNUMBER(SEARCH("crack",C868)),"Break",ISNUMBER(SEARCH("snap",C868)),"Break",ISNUMBER(SEARCH("fracture",C868)),"Break",ISNUMBER(SEARCH("bent",C868)),"Material Twisted/Bent",ISNUMBER(SEARCH("twisted",C868)),"Material Twisted/Bent",ISNUMBER(SEARCH("component separat",C868)),"Material Separation",ISNUMBER(SEARCH("separat",C868)),"Material Separation",ISNUMBER(SEARCH("connection",C868)),"Loose or Intermittent Connection",ISNUMBER(SEARCH("loose",C868)),"Loose or Intermittent Connection",ISNUMBER(SEARCH("damaged packaging",C868)),"Packaging Problem",ISNUMBER(SEARCH("packaging",C868)),"Packaging Problem",ISNUMBER(SEARCH("discoloration",C868)),"Contamination",ISNUMBER(SEARCH("tarnish",C868)),"Contamination",ISNUMBER(SEARCH("stain",C868)),"Contamination",ISNUMBER(SEARCH("foreign material",C868)),"Contamination",ISNUMBER(SEARCH("contamina",C868)),"Contamination",ISNUMBER(SEARCH("overheat",C868)),"Overheating of Device",ISNUMBER(SEARCH("excessive heat",C868)),"Overheating of Device",ISNUMBER(SEARCH("hot",C868)),"Overheating of Device",ISNUMBER(SEARCH("noise",C868)),"Noise, Audible",ISNUMBER(SEARCH("sound",C868)),"Noise, Audible",ISNUMBER(SEARCH("loud",C868)),"Noise, Audible",ISNUMBER(SEARCH("fray",C868)),"Material Frayed",ISNUMBER(SEARCH("hole",C868)),"Material Frayed",ISNUMBER(SEARCH("tear",C868)),"Material Frayed",ISNUMBER(SEARCH("worn",C868)),"Material Frayed",ISNUMBER(SEARCH("intermittent",C868)),"Difficult or Delayed Activation",ISNUMBER(SEARCH("delay",C868)),"Difficult or Delayed Activation",ISNUMBER(SEARCH("label",C868)),"Device Markings/Labelling Problem",ISNUMBER(SEARCH("marking",C868)),"Device Markings/Labelling Problem",ISNUMBER(SEARCH("lacerat",C868)),"Defective Device",ISNUMBER(SEARCH("cut",C868)),"Defective Device",ISNUMBER(SEARCH("leak",C868)),"Fluid/Blood Leak",ISNUMBER(SEARCH("missing",C868)),"Component Missing",ISNUMBER(SEARCH("power",C868)),"Complete Loss of Power",ISNUMBER(SEARCH("will not turn on",C868)),"Complete Loss of Power",ISNUMBER(SEARCH("won't turn on",C868)),"Complete Loss of Power",ISNUMBER(SEARCH("does not turn on",C868)),"Complete Loss of Power",ISNUMBER(SEARCH("electrical",C868)),"Electrical Power Problem",ISNUMBER(SEARCH("pressure",C868)),"Detachment of Device or Device Component",ISNUMBER(SEARCH("slip",C868)),"Detachment of Device or Device Component",ISNUMBER(SEARCH("detach",C868)),"Detachment of Device or Device Component",ISNUMBER(SEARCH("stick",C868)),"Mechanical Jam",ISNUMBER(SEARCH("jam",C868)),"Mechanical Jam",ISNUMBER(SEARCH("rigid",C868)),"Mechanical Jam",ISNUMBER(SEARCH("rust",C868)),"Corroded",ISNUMBER(SEARCH("corrod",C868)),"Corroded",ISNUMBER(SEARCH("corrosion",C868)),"Corroded",ISNUMBER(SEARCH("alignment",C868)),"Defective Device",ISNUMBER(SEARCH("adjust",C868)),"Defective Device",ISNUMBER(SEARCH("perform",C868)),"Defective Device",ISNUMBER(SEARCH("malfunction",C868)),"Defective Device",ISNUMBER(SEARCH("defect",C868)),"Defective Device",ISNUMBER(SEARCH("fail",C868)),"Defective Device",ISNUMBER(SEARCH("not work",C868)),"Defective Device",ISNUMBER(SEARCH("doesn't work",C868)),"Defective Device",TRUE,"UNKNOWN"),"UNKNOWN")))</f>
        <v/>
      </c>
      <c r="F868" s="4" t="str">
        <f t="shared" si="14"/>
        <v/>
      </c>
      <c r="G868" s="363" t="str">
        <f>IF(E868="","",IFERROR(VLOOKUP(E868,Codes!$L$2:$N$409,3,FALSE),"—"))</f>
        <v/>
      </c>
      <c r="H868" s="88"/>
      <c r="I868" s="88"/>
    </row>
    <row r="869" spans="1:9" ht="13.15" x14ac:dyDescent="0.35">
      <c r="A869" s="92"/>
      <c r="B869" s="89"/>
      <c r="C869" s="88"/>
      <c r="D869" s="88"/>
      <c r="E869" s="93" t="str" cm="1">
        <f t="array" ref="E869">IF(D869&lt;&gt;"",IFERROR(VLOOKUP(D869,Codes!$K$2:$L$409,2,FALSE),"UNKNOWN - "&amp;D869),IF(C869="","",IFERROR(_xlfn.IFS(ISNUMBER(SEARCH("broken button",C869)),"Break",ISNUMBER(SEARCH("broken handle",C869)),"Break",ISNUMBER(SEARCH("shipping damage",C869)),"Break",ISNUMBER(SEARCH("broken",C869)),"Break",ISNUMBER(SEARCH("crack",C869)),"Break",ISNUMBER(SEARCH("snap",C869)),"Break",ISNUMBER(SEARCH("fracture",C869)),"Break",ISNUMBER(SEARCH("bent",C869)),"Material Twisted/Bent",ISNUMBER(SEARCH("twisted",C869)),"Material Twisted/Bent",ISNUMBER(SEARCH("component separat",C869)),"Material Separation",ISNUMBER(SEARCH("separat",C869)),"Material Separation",ISNUMBER(SEARCH("connection",C869)),"Loose or Intermittent Connection",ISNUMBER(SEARCH("loose",C869)),"Loose or Intermittent Connection",ISNUMBER(SEARCH("damaged packaging",C869)),"Packaging Problem",ISNUMBER(SEARCH("packaging",C869)),"Packaging Problem",ISNUMBER(SEARCH("discoloration",C869)),"Contamination",ISNUMBER(SEARCH("tarnish",C869)),"Contamination",ISNUMBER(SEARCH("stain",C869)),"Contamination",ISNUMBER(SEARCH("foreign material",C869)),"Contamination",ISNUMBER(SEARCH("contamina",C869)),"Contamination",ISNUMBER(SEARCH("overheat",C869)),"Overheating of Device",ISNUMBER(SEARCH("excessive heat",C869)),"Overheating of Device",ISNUMBER(SEARCH("hot",C869)),"Overheating of Device",ISNUMBER(SEARCH("noise",C869)),"Noise, Audible",ISNUMBER(SEARCH("sound",C869)),"Noise, Audible",ISNUMBER(SEARCH("loud",C869)),"Noise, Audible",ISNUMBER(SEARCH("fray",C869)),"Material Frayed",ISNUMBER(SEARCH("hole",C869)),"Material Frayed",ISNUMBER(SEARCH("tear",C869)),"Material Frayed",ISNUMBER(SEARCH("worn",C869)),"Material Frayed",ISNUMBER(SEARCH("intermittent",C869)),"Difficult or Delayed Activation",ISNUMBER(SEARCH("delay",C869)),"Difficult or Delayed Activation",ISNUMBER(SEARCH("label",C869)),"Device Markings/Labelling Problem",ISNUMBER(SEARCH("marking",C869)),"Device Markings/Labelling Problem",ISNUMBER(SEARCH("lacerat",C869)),"Defective Device",ISNUMBER(SEARCH("cut",C869)),"Defective Device",ISNUMBER(SEARCH("leak",C869)),"Fluid/Blood Leak",ISNUMBER(SEARCH("missing",C869)),"Component Missing",ISNUMBER(SEARCH("power",C869)),"Complete Loss of Power",ISNUMBER(SEARCH("will not turn on",C869)),"Complete Loss of Power",ISNUMBER(SEARCH("won't turn on",C869)),"Complete Loss of Power",ISNUMBER(SEARCH("does not turn on",C869)),"Complete Loss of Power",ISNUMBER(SEARCH("electrical",C869)),"Electrical Power Problem",ISNUMBER(SEARCH("pressure",C869)),"Detachment of Device or Device Component",ISNUMBER(SEARCH("slip",C869)),"Detachment of Device or Device Component",ISNUMBER(SEARCH("detach",C869)),"Detachment of Device or Device Component",ISNUMBER(SEARCH("stick",C869)),"Mechanical Jam",ISNUMBER(SEARCH("jam",C869)),"Mechanical Jam",ISNUMBER(SEARCH("rigid",C869)),"Mechanical Jam",ISNUMBER(SEARCH("rust",C869)),"Corroded",ISNUMBER(SEARCH("corrod",C869)),"Corroded",ISNUMBER(SEARCH("corrosion",C869)),"Corroded",ISNUMBER(SEARCH("alignment",C869)),"Defective Device",ISNUMBER(SEARCH("adjust",C869)),"Defective Device",ISNUMBER(SEARCH("perform",C869)),"Defective Device",ISNUMBER(SEARCH("malfunction",C869)),"Defective Device",ISNUMBER(SEARCH("defect",C869)),"Defective Device",ISNUMBER(SEARCH("fail",C869)),"Defective Device",ISNUMBER(SEARCH("not work",C869)),"Defective Device",ISNUMBER(SEARCH("doesn't work",C869)),"Defective Device",TRUE,"UNKNOWN"),"UNKNOWN")))</f>
        <v/>
      </c>
      <c r="F869" s="4" t="str">
        <f t="shared" si="14"/>
        <v/>
      </c>
      <c r="G869" s="363" t="str">
        <f>IF(E869="","",IFERROR(VLOOKUP(E869,Codes!$L$2:$N$409,3,FALSE),"—"))</f>
        <v/>
      </c>
      <c r="H869" s="88"/>
      <c r="I869" s="88"/>
    </row>
    <row r="870" spans="1:9" ht="13.15" x14ac:dyDescent="0.35">
      <c r="A870" s="92"/>
      <c r="B870" s="89"/>
      <c r="C870" s="88"/>
      <c r="D870" s="88"/>
      <c r="E870" s="93" t="str" cm="1">
        <f t="array" ref="E870">IF(D870&lt;&gt;"",IFERROR(VLOOKUP(D870,Codes!$K$2:$L$409,2,FALSE),"UNKNOWN - "&amp;D870),IF(C870="","",IFERROR(_xlfn.IFS(ISNUMBER(SEARCH("broken button",C870)),"Break",ISNUMBER(SEARCH("broken handle",C870)),"Break",ISNUMBER(SEARCH("shipping damage",C870)),"Break",ISNUMBER(SEARCH("broken",C870)),"Break",ISNUMBER(SEARCH("crack",C870)),"Break",ISNUMBER(SEARCH("snap",C870)),"Break",ISNUMBER(SEARCH("fracture",C870)),"Break",ISNUMBER(SEARCH("bent",C870)),"Material Twisted/Bent",ISNUMBER(SEARCH("twisted",C870)),"Material Twisted/Bent",ISNUMBER(SEARCH("component separat",C870)),"Material Separation",ISNUMBER(SEARCH("separat",C870)),"Material Separation",ISNUMBER(SEARCH("connection",C870)),"Loose or Intermittent Connection",ISNUMBER(SEARCH("loose",C870)),"Loose or Intermittent Connection",ISNUMBER(SEARCH("damaged packaging",C870)),"Packaging Problem",ISNUMBER(SEARCH("packaging",C870)),"Packaging Problem",ISNUMBER(SEARCH("discoloration",C870)),"Contamination",ISNUMBER(SEARCH("tarnish",C870)),"Contamination",ISNUMBER(SEARCH("stain",C870)),"Contamination",ISNUMBER(SEARCH("foreign material",C870)),"Contamination",ISNUMBER(SEARCH("contamina",C870)),"Contamination",ISNUMBER(SEARCH("overheat",C870)),"Overheating of Device",ISNUMBER(SEARCH("excessive heat",C870)),"Overheating of Device",ISNUMBER(SEARCH("hot",C870)),"Overheating of Device",ISNUMBER(SEARCH("noise",C870)),"Noise, Audible",ISNUMBER(SEARCH("sound",C870)),"Noise, Audible",ISNUMBER(SEARCH("loud",C870)),"Noise, Audible",ISNUMBER(SEARCH("fray",C870)),"Material Frayed",ISNUMBER(SEARCH("hole",C870)),"Material Frayed",ISNUMBER(SEARCH("tear",C870)),"Material Frayed",ISNUMBER(SEARCH("worn",C870)),"Material Frayed",ISNUMBER(SEARCH("intermittent",C870)),"Difficult or Delayed Activation",ISNUMBER(SEARCH("delay",C870)),"Difficult or Delayed Activation",ISNUMBER(SEARCH("label",C870)),"Device Markings/Labelling Problem",ISNUMBER(SEARCH("marking",C870)),"Device Markings/Labelling Problem",ISNUMBER(SEARCH("lacerat",C870)),"Defective Device",ISNUMBER(SEARCH("cut",C870)),"Defective Device",ISNUMBER(SEARCH("leak",C870)),"Fluid/Blood Leak",ISNUMBER(SEARCH("missing",C870)),"Component Missing",ISNUMBER(SEARCH("power",C870)),"Complete Loss of Power",ISNUMBER(SEARCH("will not turn on",C870)),"Complete Loss of Power",ISNUMBER(SEARCH("won't turn on",C870)),"Complete Loss of Power",ISNUMBER(SEARCH("does not turn on",C870)),"Complete Loss of Power",ISNUMBER(SEARCH("electrical",C870)),"Electrical Power Problem",ISNUMBER(SEARCH("pressure",C870)),"Detachment of Device or Device Component",ISNUMBER(SEARCH("slip",C870)),"Detachment of Device or Device Component",ISNUMBER(SEARCH("detach",C870)),"Detachment of Device or Device Component",ISNUMBER(SEARCH("stick",C870)),"Mechanical Jam",ISNUMBER(SEARCH("jam",C870)),"Mechanical Jam",ISNUMBER(SEARCH("rigid",C870)),"Mechanical Jam",ISNUMBER(SEARCH("rust",C870)),"Corroded",ISNUMBER(SEARCH("corrod",C870)),"Corroded",ISNUMBER(SEARCH("corrosion",C870)),"Corroded",ISNUMBER(SEARCH("alignment",C870)),"Defective Device",ISNUMBER(SEARCH("adjust",C870)),"Defective Device",ISNUMBER(SEARCH("perform",C870)),"Defective Device",ISNUMBER(SEARCH("malfunction",C870)),"Defective Device",ISNUMBER(SEARCH("defect",C870)),"Defective Device",ISNUMBER(SEARCH("fail",C870)),"Defective Device",ISNUMBER(SEARCH("not work",C870)),"Defective Device",ISNUMBER(SEARCH("doesn't work",C870)),"Defective Device",TRUE,"UNKNOWN"),"UNKNOWN")))</f>
        <v/>
      </c>
      <c r="F870" s="4" t="str">
        <f t="shared" si="14"/>
        <v/>
      </c>
      <c r="G870" s="363" t="str">
        <f>IF(E870="","",IFERROR(VLOOKUP(E870,Codes!$L$2:$N$409,3,FALSE),"—"))</f>
        <v/>
      </c>
      <c r="H870" s="88"/>
      <c r="I870" s="88"/>
    </row>
    <row r="871" spans="1:9" ht="13.15" x14ac:dyDescent="0.35">
      <c r="A871" s="92"/>
      <c r="B871" s="89"/>
      <c r="C871" s="88"/>
      <c r="D871" s="88"/>
      <c r="E871" s="93" t="str" cm="1">
        <f t="array" ref="E871">IF(D871&lt;&gt;"",IFERROR(VLOOKUP(D871,Codes!$K$2:$L$409,2,FALSE),"UNKNOWN - "&amp;D871),IF(C871="","",IFERROR(_xlfn.IFS(ISNUMBER(SEARCH("broken button",C871)),"Break",ISNUMBER(SEARCH("broken handle",C871)),"Break",ISNUMBER(SEARCH("shipping damage",C871)),"Break",ISNUMBER(SEARCH("broken",C871)),"Break",ISNUMBER(SEARCH("crack",C871)),"Break",ISNUMBER(SEARCH("snap",C871)),"Break",ISNUMBER(SEARCH("fracture",C871)),"Break",ISNUMBER(SEARCH("bent",C871)),"Material Twisted/Bent",ISNUMBER(SEARCH("twisted",C871)),"Material Twisted/Bent",ISNUMBER(SEARCH("component separat",C871)),"Material Separation",ISNUMBER(SEARCH("separat",C871)),"Material Separation",ISNUMBER(SEARCH("connection",C871)),"Loose or Intermittent Connection",ISNUMBER(SEARCH("loose",C871)),"Loose or Intermittent Connection",ISNUMBER(SEARCH("damaged packaging",C871)),"Packaging Problem",ISNUMBER(SEARCH("packaging",C871)),"Packaging Problem",ISNUMBER(SEARCH("discoloration",C871)),"Contamination",ISNUMBER(SEARCH("tarnish",C871)),"Contamination",ISNUMBER(SEARCH("stain",C871)),"Contamination",ISNUMBER(SEARCH("foreign material",C871)),"Contamination",ISNUMBER(SEARCH("contamina",C871)),"Contamination",ISNUMBER(SEARCH("overheat",C871)),"Overheating of Device",ISNUMBER(SEARCH("excessive heat",C871)),"Overheating of Device",ISNUMBER(SEARCH("hot",C871)),"Overheating of Device",ISNUMBER(SEARCH("noise",C871)),"Noise, Audible",ISNUMBER(SEARCH("sound",C871)),"Noise, Audible",ISNUMBER(SEARCH("loud",C871)),"Noise, Audible",ISNUMBER(SEARCH("fray",C871)),"Material Frayed",ISNUMBER(SEARCH("hole",C871)),"Material Frayed",ISNUMBER(SEARCH("tear",C871)),"Material Frayed",ISNUMBER(SEARCH("worn",C871)),"Material Frayed",ISNUMBER(SEARCH("intermittent",C871)),"Difficult or Delayed Activation",ISNUMBER(SEARCH("delay",C871)),"Difficult or Delayed Activation",ISNUMBER(SEARCH("label",C871)),"Device Markings/Labelling Problem",ISNUMBER(SEARCH("marking",C871)),"Device Markings/Labelling Problem",ISNUMBER(SEARCH("lacerat",C871)),"Defective Device",ISNUMBER(SEARCH("cut",C871)),"Defective Device",ISNUMBER(SEARCH("leak",C871)),"Fluid/Blood Leak",ISNUMBER(SEARCH("missing",C871)),"Component Missing",ISNUMBER(SEARCH("power",C871)),"Complete Loss of Power",ISNUMBER(SEARCH("will not turn on",C871)),"Complete Loss of Power",ISNUMBER(SEARCH("won't turn on",C871)),"Complete Loss of Power",ISNUMBER(SEARCH("does not turn on",C871)),"Complete Loss of Power",ISNUMBER(SEARCH("electrical",C871)),"Electrical Power Problem",ISNUMBER(SEARCH("pressure",C871)),"Detachment of Device or Device Component",ISNUMBER(SEARCH("slip",C871)),"Detachment of Device or Device Component",ISNUMBER(SEARCH("detach",C871)),"Detachment of Device or Device Component",ISNUMBER(SEARCH("stick",C871)),"Mechanical Jam",ISNUMBER(SEARCH("jam",C871)),"Mechanical Jam",ISNUMBER(SEARCH("rigid",C871)),"Mechanical Jam",ISNUMBER(SEARCH("rust",C871)),"Corroded",ISNUMBER(SEARCH("corrod",C871)),"Corroded",ISNUMBER(SEARCH("corrosion",C871)),"Corroded",ISNUMBER(SEARCH("alignment",C871)),"Defective Device",ISNUMBER(SEARCH("adjust",C871)),"Defective Device",ISNUMBER(SEARCH("perform",C871)),"Defective Device",ISNUMBER(SEARCH("malfunction",C871)),"Defective Device",ISNUMBER(SEARCH("defect",C871)),"Defective Device",ISNUMBER(SEARCH("fail",C871)),"Defective Device",ISNUMBER(SEARCH("not work",C871)),"Defective Device",ISNUMBER(SEARCH("doesn't work",C871)),"Defective Device",TRUE,"UNKNOWN"),"UNKNOWN")))</f>
        <v/>
      </c>
      <c r="F871" s="4" t="str">
        <f t="shared" si="14"/>
        <v/>
      </c>
      <c r="G871" s="363" t="str">
        <f>IF(E871="","",IFERROR(VLOOKUP(E871,Codes!$L$2:$N$409,3,FALSE),"—"))</f>
        <v/>
      </c>
      <c r="H871" s="88"/>
      <c r="I871" s="88"/>
    </row>
    <row r="872" spans="1:9" ht="13.15" x14ac:dyDescent="0.35">
      <c r="A872" s="92"/>
      <c r="B872" s="89"/>
      <c r="C872" s="88"/>
      <c r="D872" s="88"/>
      <c r="E872" s="93" t="str" cm="1">
        <f t="array" ref="E872">IF(D872&lt;&gt;"",IFERROR(VLOOKUP(D872,Codes!$K$2:$L$409,2,FALSE),"UNKNOWN - "&amp;D872),IF(C872="","",IFERROR(_xlfn.IFS(ISNUMBER(SEARCH("broken button",C872)),"Break",ISNUMBER(SEARCH("broken handle",C872)),"Break",ISNUMBER(SEARCH("shipping damage",C872)),"Break",ISNUMBER(SEARCH("broken",C872)),"Break",ISNUMBER(SEARCH("crack",C872)),"Break",ISNUMBER(SEARCH("snap",C872)),"Break",ISNUMBER(SEARCH("fracture",C872)),"Break",ISNUMBER(SEARCH("bent",C872)),"Material Twisted/Bent",ISNUMBER(SEARCH("twisted",C872)),"Material Twisted/Bent",ISNUMBER(SEARCH("component separat",C872)),"Material Separation",ISNUMBER(SEARCH("separat",C872)),"Material Separation",ISNUMBER(SEARCH("connection",C872)),"Loose or Intermittent Connection",ISNUMBER(SEARCH("loose",C872)),"Loose or Intermittent Connection",ISNUMBER(SEARCH("damaged packaging",C872)),"Packaging Problem",ISNUMBER(SEARCH("packaging",C872)),"Packaging Problem",ISNUMBER(SEARCH("discoloration",C872)),"Contamination",ISNUMBER(SEARCH("tarnish",C872)),"Contamination",ISNUMBER(SEARCH("stain",C872)),"Contamination",ISNUMBER(SEARCH("foreign material",C872)),"Contamination",ISNUMBER(SEARCH("contamina",C872)),"Contamination",ISNUMBER(SEARCH("overheat",C872)),"Overheating of Device",ISNUMBER(SEARCH("excessive heat",C872)),"Overheating of Device",ISNUMBER(SEARCH("hot",C872)),"Overheating of Device",ISNUMBER(SEARCH("noise",C872)),"Noise, Audible",ISNUMBER(SEARCH("sound",C872)),"Noise, Audible",ISNUMBER(SEARCH("loud",C872)),"Noise, Audible",ISNUMBER(SEARCH("fray",C872)),"Material Frayed",ISNUMBER(SEARCH("hole",C872)),"Material Frayed",ISNUMBER(SEARCH("tear",C872)),"Material Frayed",ISNUMBER(SEARCH("worn",C872)),"Material Frayed",ISNUMBER(SEARCH("intermittent",C872)),"Difficult or Delayed Activation",ISNUMBER(SEARCH("delay",C872)),"Difficult or Delayed Activation",ISNUMBER(SEARCH("label",C872)),"Device Markings/Labelling Problem",ISNUMBER(SEARCH("marking",C872)),"Device Markings/Labelling Problem",ISNUMBER(SEARCH("lacerat",C872)),"Defective Device",ISNUMBER(SEARCH("cut",C872)),"Defective Device",ISNUMBER(SEARCH("leak",C872)),"Fluid/Blood Leak",ISNUMBER(SEARCH("missing",C872)),"Component Missing",ISNUMBER(SEARCH("power",C872)),"Complete Loss of Power",ISNUMBER(SEARCH("will not turn on",C872)),"Complete Loss of Power",ISNUMBER(SEARCH("won't turn on",C872)),"Complete Loss of Power",ISNUMBER(SEARCH("does not turn on",C872)),"Complete Loss of Power",ISNUMBER(SEARCH("electrical",C872)),"Electrical Power Problem",ISNUMBER(SEARCH("pressure",C872)),"Detachment of Device or Device Component",ISNUMBER(SEARCH("slip",C872)),"Detachment of Device or Device Component",ISNUMBER(SEARCH("detach",C872)),"Detachment of Device or Device Component",ISNUMBER(SEARCH("stick",C872)),"Mechanical Jam",ISNUMBER(SEARCH("jam",C872)),"Mechanical Jam",ISNUMBER(SEARCH("rigid",C872)),"Mechanical Jam",ISNUMBER(SEARCH("rust",C872)),"Corroded",ISNUMBER(SEARCH("corrod",C872)),"Corroded",ISNUMBER(SEARCH("corrosion",C872)),"Corroded",ISNUMBER(SEARCH("alignment",C872)),"Defective Device",ISNUMBER(SEARCH("adjust",C872)),"Defective Device",ISNUMBER(SEARCH("perform",C872)),"Defective Device",ISNUMBER(SEARCH("malfunction",C872)),"Defective Device",ISNUMBER(SEARCH("defect",C872)),"Defective Device",ISNUMBER(SEARCH("fail",C872)),"Defective Device",ISNUMBER(SEARCH("not work",C872)),"Defective Device",ISNUMBER(SEARCH("doesn't work",C872)),"Defective Device",TRUE,"UNKNOWN"),"UNKNOWN")))</f>
        <v/>
      </c>
      <c r="F872" s="4" t="str">
        <f t="shared" si="14"/>
        <v/>
      </c>
      <c r="G872" s="363" t="str">
        <f>IF(E872="","",IFERROR(VLOOKUP(E872,Codes!$L$2:$N$409,3,FALSE),"—"))</f>
        <v/>
      </c>
      <c r="H872" s="88"/>
      <c r="I872" s="88"/>
    </row>
    <row r="873" spans="1:9" ht="13.15" x14ac:dyDescent="0.35">
      <c r="A873" s="92"/>
      <c r="B873" s="89"/>
      <c r="C873" s="88"/>
      <c r="D873" s="88"/>
      <c r="E873" s="93" t="str" cm="1">
        <f t="array" ref="E873">IF(D873&lt;&gt;"",IFERROR(VLOOKUP(D873,Codes!$K$2:$L$409,2,FALSE),"UNKNOWN - "&amp;D873),IF(C873="","",IFERROR(_xlfn.IFS(ISNUMBER(SEARCH("broken button",C873)),"Break",ISNUMBER(SEARCH("broken handle",C873)),"Break",ISNUMBER(SEARCH("shipping damage",C873)),"Break",ISNUMBER(SEARCH("broken",C873)),"Break",ISNUMBER(SEARCH("crack",C873)),"Break",ISNUMBER(SEARCH("snap",C873)),"Break",ISNUMBER(SEARCH("fracture",C873)),"Break",ISNUMBER(SEARCH("bent",C873)),"Material Twisted/Bent",ISNUMBER(SEARCH("twisted",C873)),"Material Twisted/Bent",ISNUMBER(SEARCH("component separat",C873)),"Material Separation",ISNUMBER(SEARCH("separat",C873)),"Material Separation",ISNUMBER(SEARCH("connection",C873)),"Loose or Intermittent Connection",ISNUMBER(SEARCH("loose",C873)),"Loose or Intermittent Connection",ISNUMBER(SEARCH("damaged packaging",C873)),"Packaging Problem",ISNUMBER(SEARCH("packaging",C873)),"Packaging Problem",ISNUMBER(SEARCH("discoloration",C873)),"Contamination",ISNUMBER(SEARCH("tarnish",C873)),"Contamination",ISNUMBER(SEARCH("stain",C873)),"Contamination",ISNUMBER(SEARCH("foreign material",C873)),"Contamination",ISNUMBER(SEARCH("contamina",C873)),"Contamination",ISNUMBER(SEARCH("overheat",C873)),"Overheating of Device",ISNUMBER(SEARCH("excessive heat",C873)),"Overheating of Device",ISNUMBER(SEARCH("hot",C873)),"Overheating of Device",ISNUMBER(SEARCH("noise",C873)),"Noise, Audible",ISNUMBER(SEARCH("sound",C873)),"Noise, Audible",ISNUMBER(SEARCH("loud",C873)),"Noise, Audible",ISNUMBER(SEARCH("fray",C873)),"Material Frayed",ISNUMBER(SEARCH("hole",C873)),"Material Frayed",ISNUMBER(SEARCH("tear",C873)),"Material Frayed",ISNUMBER(SEARCH("worn",C873)),"Material Frayed",ISNUMBER(SEARCH("intermittent",C873)),"Difficult or Delayed Activation",ISNUMBER(SEARCH("delay",C873)),"Difficult or Delayed Activation",ISNUMBER(SEARCH("label",C873)),"Device Markings/Labelling Problem",ISNUMBER(SEARCH("marking",C873)),"Device Markings/Labelling Problem",ISNUMBER(SEARCH("lacerat",C873)),"Defective Device",ISNUMBER(SEARCH("cut",C873)),"Defective Device",ISNUMBER(SEARCH("leak",C873)),"Fluid/Blood Leak",ISNUMBER(SEARCH("missing",C873)),"Component Missing",ISNUMBER(SEARCH("power",C873)),"Complete Loss of Power",ISNUMBER(SEARCH("will not turn on",C873)),"Complete Loss of Power",ISNUMBER(SEARCH("won't turn on",C873)),"Complete Loss of Power",ISNUMBER(SEARCH("does not turn on",C873)),"Complete Loss of Power",ISNUMBER(SEARCH("electrical",C873)),"Electrical Power Problem",ISNUMBER(SEARCH("pressure",C873)),"Detachment of Device or Device Component",ISNUMBER(SEARCH("slip",C873)),"Detachment of Device or Device Component",ISNUMBER(SEARCH("detach",C873)),"Detachment of Device or Device Component",ISNUMBER(SEARCH("stick",C873)),"Mechanical Jam",ISNUMBER(SEARCH("jam",C873)),"Mechanical Jam",ISNUMBER(SEARCH("rigid",C873)),"Mechanical Jam",ISNUMBER(SEARCH("rust",C873)),"Corroded",ISNUMBER(SEARCH("corrod",C873)),"Corroded",ISNUMBER(SEARCH("corrosion",C873)),"Corroded",ISNUMBER(SEARCH("alignment",C873)),"Defective Device",ISNUMBER(SEARCH("adjust",C873)),"Defective Device",ISNUMBER(SEARCH("perform",C873)),"Defective Device",ISNUMBER(SEARCH("malfunction",C873)),"Defective Device",ISNUMBER(SEARCH("defect",C873)),"Defective Device",ISNUMBER(SEARCH("fail",C873)),"Defective Device",ISNUMBER(SEARCH("not work",C873)),"Defective Device",ISNUMBER(SEARCH("doesn't work",C873)),"Defective Device",TRUE,"UNKNOWN"),"UNKNOWN")))</f>
        <v/>
      </c>
      <c r="F873" s="4" t="str">
        <f t="shared" si="14"/>
        <v/>
      </c>
      <c r="G873" s="363" t="str">
        <f>IF(E873="","",IFERROR(VLOOKUP(E873,Codes!$L$2:$N$409,3,FALSE),"—"))</f>
        <v/>
      </c>
      <c r="H873" s="88"/>
      <c r="I873" s="88"/>
    </row>
    <row r="874" spans="1:9" ht="13.15" x14ac:dyDescent="0.35">
      <c r="A874" s="92"/>
      <c r="B874" s="89"/>
      <c r="C874" s="88"/>
      <c r="D874" s="88"/>
      <c r="E874" s="93" t="str" cm="1">
        <f t="array" ref="E874">IF(D874&lt;&gt;"",IFERROR(VLOOKUP(D874,Codes!$K$2:$L$409,2,FALSE),"UNKNOWN - "&amp;D874),IF(C874="","",IFERROR(_xlfn.IFS(ISNUMBER(SEARCH("broken button",C874)),"Break",ISNUMBER(SEARCH("broken handle",C874)),"Break",ISNUMBER(SEARCH("shipping damage",C874)),"Break",ISNUMBER(SEARCH("broken",C874)),"Break",ISNUMBER(SEARCH("crack",C874)),"Break",ISNUMBER(SEARCH("snap",C874)),"Break",ISNUMBER(SEARCH("fracture",C874)),"Break",ISNUMBER(SEARCH("bent",C874)),"Material Twisted/Bent",ISNUMBER(SEARCH("twisted",C874)),"Material Twisted/Bent",ISNUMBER(SEARCH("component separat",C874)),"Material Separation",ISNUMBER(SEARCH("separat",C874)),"Material Separation",ISNUMBER(SEARCH("connection",C874)),"Loose or Intermittent Connection",ISNUMBER(SEARCH("loose",C874)),"Loose or Intermittent Connection",ISNUMBER(SEARCH("damaged packaging",C874)),"Packaging Problem",ISNUMBER(SEARCH("packaging",C874)),"Packaging Problem",ISNUMBER(SEARCH("discoloration",C874)),"Contamination",ISNUMBER(SEARCH("tarnish",C874)),"Contamination",ISNUMBER(SEARCH("stain",C874)),"Contamination",ISNUMBER(SEARCH("foreign material",C874)),"Contamination",ISNUMBER(SEARCH("contamina",C874)),"Contamination",ISNUMBER(SEARCH("overheat",C874)),"Overheating of Device",ISNUMBER(SEARCH("excessive heat",C874)),"Overheating of Device",ISNUMBER(SEARCH("hot",C874)),"Overheating of Device",ISNUMBER(SEARCH("noise",C874)),"Noise, Audible",ISNUMBER(SEARCH("sound",C874)),"Noise, Audible",ISNUMBER(SEARCH("loud",C874)),"Noise, Audible",ISNUMBER(SEARCH("fray",C874)),"Material Frayed",ISNUMBER(SEARCH("hole",C874)),"Material Frayed",ISNUMBER(SEARCH("tear",C874)),"Material Frayed",ISNUMBER(SEARCH("worn",C874)),"Material Frayed",ISNUMBER(SEARCH("intermittent",C874)),"Difficult or Delayed Activation",ISNUMBER(SEARCH("delay",C874)),"Difficult or Delayed Activation",ISNUMBER(SEARCH("label",C874)),"Device Markings/Labelling Problem",ISNUMBER(SEARCH("marking",C874)),"Device Markings/Labelling Problem",ISNUMBER(SEARCH("lacerat",C874)),"Defective Device",ISNUMBER(SEARCH("cut",C874)),"Defective Device",ISNUMBER(SEARCH("leak",C874)),"Fluid/Blood Leak",ISNUMBER(SEARCH("missing",C874)),"Component Missing",ISNUMBER(SEARCH("power",C874)),"Complete Loss of Power",ISNUMBER(SEARCH("will not turn on",C874)),"Complete Loss of Power",ISNUMBER(SEARCH("won't turn on",C874)),"Complete Loss of Power",ISNUMBER(SEARCH("does not turn on",C874)),"Complete Loss of Power",ISNUMBER(SEARCH("electrical",C874)),"Electrical Power Problem",ISNUMBER(SEARCH("pressure",C874)),"Detachment of Device or Device Component",ISNUMBER(SEARCH("slip",C874)),"Detachment of Device or Device Component",ISNUMBER(SEARCH("detach",C874)),"Detachment of Device or Device Component",ISNUMBER(SEARCH("stick",C874)),"Mechanical Jam",ISNUMBER(SEARCH("jam",C874)),"Mechanical Jam",ISNUMBER(SEARCH("rigid",C874)),"Mechanical Jam",ISNUMBER(SEARCH("rust",C874)),"Corroded",ISNUMBER(SEARCH("corrod",C874)),"Corroded",ISNUMBER(SEARCH("corrosion",C874)),"Corroded",ISNUMBER(SEARCH("alignment",C874)),"Defective Device",ISNUMBER(SEARCH("adjust",C874)),"Defective Device",ISNUMBER(SEARCH("perform",C874)),"Defective Device",ISNUMBER(SEARCH("malfunction",C874)),"Defective Device",ISNUMBER(SEARCH("defect",C874)),"Defective Device",ISNUMBER(SEARCH("fail",C874)),"Defective Device",ISNUMBER(SEARCH("not work",C874)),"Defective Device",ISNUMBER(SEARCH("doesn't work",C874)),"Defective Device",TRUE,"UNKNOWN"),"UNKNOWN")))</f>
        <v/>
      </c>
      <c r="F874" s="4" t="str">
        <f t="shared" si="14"/>
        <v/>
      </c>
      <c r="G874" s="363" t="str">
        <f>IF(E874="","",IFERROR(VLOOKUP(E874,Codes!$L$2:$N$409,3,FALSE),"—"))</f>
        <v/>
      </c>
      <c r="H874" s="88"/>
      <c r="I874" s="88"/>
    </row>
    <row r="875" spans="1:9" ht="13.15" x14ac:dyDescent="0.35">
      <c r="A875" s="92"/>
      <c r="B875" s="89"/>
      <c r="C875" s="88"/>
      <c r="D875" s="88"/>
      <c r="E875" s="93" t="str" cm="1">
        <f t="array" ref="E875">IF(D875&lt;&gt;"",IFERROR(VLOOKUP(D875,Codes!$K$2:$L$409,2,FALSE),"UNKNOWN - "&amp;D875),IF(C875="","",IFERROR(_xlfn.IFS(ISNUMBER(SEARCH("broken button",C875)),"Break",ISNUMBER(SEARCH("broken handle",C875)),"Break",ISNUMBER(SEARCH("shipping damage",C875)),"Break",ISNUMBER(SEARCH("broken",C875)),"Break",ISNUMBER(SEARCH("crack",C875)),"Break",ISNUMBER(SEARCH("snap",C875)),"Break",ISNUMBER(SEARCH("fracture",C875)),"Break",ISNUMBER(SEARCH("bent",C875)),"Material Twisted/Bent",ISNUMBER(SEARCH("twisted",C875)),"Material Twisted/Bent",ISNUMBER(SEARCH("component separat",C875)),"Material Separation",ISNUMBER(SEARCH("separat",C875)),"Material Separation",ISNUMBER(SEARCH("connection",C875)),"Loose or Intermittent Connection",ISNUMBER(SEARCH("loose",C875)),"Loose or Intermittent Connection",ISNUMBER(SEARCH("damaged packaging",C875)),"Packaging Problem",ISNUMBER(SEARCH("packaging",C875)),"Packaging Problem",ISNUMBER(SEARCH("discoloration",C875)),"Contamination",ISNUMBER(SEARCH("tarnish",C875)),"Contamination",ISNUMBER(SEARCH("stain",C875)),"Contamination",ISNUMBER(SEARCH("foreign material",C875)),"Contamination",ISNUMBER(SEARCH("contamina",C875)),"Contamination",ISNUMBER(SEARCH("overheat",C875)),"Overheating of Device",ISNUMBER(SEARCH("excessive heat",C875)),"Overheating of Device",ISNUMBER(SEARCH("hot",C875)),"Overheating of Device",ISNUMBER(SEARCH("noise",C875)),"Noise, Audible",ISNUMBER(SEARCH("sound",C875)),"Noise, Audible",ISNUMBER(SEARCH("loud",C875)),"Noise, Audible",ISNUMBER(SEARCH("fray",C875)),"Material Frayed",ISNUMBER(SEARCH("hole",C875)),"Material Frayed",ISNUMBER(SEARCH("tear",C875)),"Material Frayed",ISNUMBER(SEARCH("worn",C875)),"Material Frayed",ISNUMBER(SEARCH("intermittent",C875)),"Difficult or Delayed Activation",ISNUMBER(SEARCH("delay",C875)),"Difficult or Delayed Activation",ISNUMBER(SEARCH("label",C875)),"Device Markings/Labelling Problem",ISNUMBER(SEARCH("marking",C875)),"Device Markings/Labelling Problem",ISNUMBER(SEARCH("lacerat",C875)),"Defective Device",ISNUMBER(SEARCH("cut",C875)),"Defective Device",ISNUMBER(SEARCH("leak",C875)),"Fluid/Blood Leak",ISNUMBER(SEARCH("missing",C875)),"Component Missing",ISNUMBER(SEARCH("power",C875)),"Complete Loss of Power",ISNUMBER(SEARCH("will not turn on",C875)),"Complete Loss of Power",ISNUMBER(SEARCH("won't turn on",C875)),"Complete Loss of Power",ISNUMBER(SEARCH("does not turn on",C875)),"Complete Loss of Power",ISNUMBER(SEARCH("electrical",C875)),"Electrical Power Problem",ISNUMBER(SEARCH("pressure",C875)),"Detachment of Device or Device Component",ISNUMBER(SEARCH("slip",C875)),"Detachment of Device or Device Component",ISNUMBER(SEARCH("detach",C875)),"Detachment of Device or Device Component",ISNUMBER(SEARCH("stick",C875)),"Mechanical Jam",ISNUMBER(SEARCH("jam",C875)),"Mechanical Jam",ISNUMBER(SEARCH("rigid",C875)),"Mechanical Jam",ISNUMBER(SEARCH("rust",C875)),"Corroded",ISNUMBER(SEARCH("corrod",C875)),"Corroded",ISNUMBER(SEARCH("corrosion",C875)),"Corroded",ISNUMBER(SEARCH("alignment",C875)),"Defective Device",ISNUMBER(SEARCH("adjust",C875)),"Defective Device",ISNUMBER(SEARCH("perform",C875)),"Defective Device",ISNUMBER(SEARCH("malfunction",C875)),"Defective Device",ISNUMBER(SEARCH("defect",C875)),"Defective Device",ISNUMBER(SEARCH("fail",C875)),"Defective Device",ISNUMBER(SEARCH("not work",C875)),"Defective Device",ISNUMBER(SEARCH("doesn't work",C875)),"Defective Device",TRUE,"UNKNOWN"),"UNKNOWN")))</f>
        <v/>
      </c>
      <c r="F875" s="4" t="str">
        <f t="shared" si="14"/>
        <v/>
      </c>
      <c r="G875" s="363" t="str">
        <f>IF(E875="","",IFERROR(VLOOKUP(E875,Codes!$L$2:$N$409,3,FALSE),"—"))</f>
        <v/>
      </c>
      <c r="H875" s="88"/>
      <c r="I875" s="88"/>
    </row>
    <row r="876" spans="1:9" ht="13.15" x14ac:dyDescent="0.35">
      <c r="A876" s="92"/>
      <c r="B876" s="89"/>
      <c r="C876" s="88"/>
      <c r="D876" s="88"/>
      <c r="E876" s="93" t="str" cm="1">
        <f t="array" ref="E876">IF(D876&lt;&gt;"",IFERROR(VLOOKUP(D876,Codes!$K$2:$L$409,2,FALSE),"UNKNOWN - "&amp;D876),IF(C876="","",IFERROR(_xlfn.IFS(ISNUMBER(SEARCH("broken button",C876)),"Break",ISNUMBER(SEARCH("broken handle",C876)),"Break",ISNUMBER(SEARCH("shipping damage",C876)),"Break",ISNUMBER(SEARCH("broken",C876)),"Break",ISNUMBER(SEARCH("crack",C876)),"Break",ISNUMBER(SEARCH("snap",C876)),"Break",ISNUMBER(SEARCH("fracture",C876)),"Break",ISNUMBER(SEARCH("bent",C876)),"Material Twisted/Bent",ISNUMBER(SEARCH("twisted",C876)),"Material Twisted/Bent",ISNUMBER(SEARCH("component separat",C876)),"Material Separation",ISNUMBER(SEARCH("separat",C876)),"Material Separation",ISNUMBER(SEARCH("connection",C876)),"Loose or Intermittent Connection",ISNUMBER(SEARCH("loose",C876)),"Loose or Intermittent Connection",ISNUMBER(SEARCH("damaged packaging",C876)),"Packaging Problem",ISNUMBER(SEARCH("packaging",C876)),"Packaging Problem",ISNUMBER(SEARCH("discoloration",C876)),"Contamination",ISNUMBER(SEARCH("tarnish",C876)),"Contamination",ISNUMBER(SEARCH("stain",C876)),"Contamination",ISNUMBER(SEARCH("foreign material",C876)),"Contamination",ISNUMBER(SEARCH("contamina",C876)),"Contamination",ISNUMBER(SEARCH("overheat",C876)),"Overheating of Device",ISNUMBER(SEARCH("excessive heat",C876)),"Overheating of Device",ISNUMBER(SEARCH("hot",C876)),"Overheating of Device",ISNUMBER(SEARCH("noise",C876)),"Noise, Audible",ISNUMBER(SEARCH("sound",C876)),"Noise, Audible",ISNUMBER(SEARCH("loud",C876)),"Noise, Audible",ISNUMBER(SEARCH("fray",C876)),"Material Frayed",ISNUMBER(SEARCH("hole",C876)),"Material Frayed",ISNUMBER(SEARCH("tear",C876)),"Material Frayed",ISNUMBER(SEARCH("worn",C876)),"Material Frayed",ISNUMBER(SEARCH("intermittent",C876)),"Difficult or Delayed Activation",ISNUMBER(SEARCH("delay",C876)),"Difficult or Delayed Activation",ISNUMBER(SEARCH("label",C876)),"Device Markings/Labelling Problem",ISNUMBER(SEARCH("marking",C876)),"Device Markings/Labelling Problem",ISNUMBER(SEARCH("lacerat",C876)),"Defective Device",ISNUMBER(SEARCH("cut",C876)),"Defective Device",ISNUMBER(SEARCH("leak",C876)),"Fluid/Blood Leak",ISNUMBER(SEARCH("missing",C876)),"Component Missing",ISNUMBER(SEARCH("power",C876)),"Complete Loss of Power",ISNUMBER(SEARCH("will not turn on",C876)),"Complete Loss of Power",ISNUMBER(SEARCH("won't turn on",C876)),"Complete Loss of Power",ISNUMBER(SEARCH("does not turn on",C876)),"Complete Loss of Power",ISNUMBER(SEARCH("electrical",C876)),"Electrical Power Problem",ISNUMBER(SEARCH("pressure",C876)),"Detachment of Device or Device Component",ISNUMBER(SEARCH("slip",C876)),"Detachment of Device or Device Component",ISNUMBER(SEARCH("detach",C876)),"Detachment of Device or Device Component",ISNUMBER(SEARCH("stick",C876)),"Mechanical Jam",ISNUMBER(SEARCH("jam",C876)),"Mechanical Jam",ISNUMBER(SEARCH("rigid",C876)),"Mechanical Jam",ISNUMBER(SEARCH("rust",C876)),"Corroded",ISNUMBER(SEARCH("corrod",C876)),"Corroded",ISNUMBER(SEARCH("corrosion",C876)),"Corroded",ISNUMBER(SEARCH("alignment",C876)),"Defective Device",ISNUMBER(SEARCH("adjust",C876)),"Defective Device",ISNUMBER(SEARCH("perform",C876)),"Defective Device",ISNUMBER(SEARCH("malfunction",C876)),"Defective Device",ISNUMBER(SEARCH("defect",C876)),"Defective Device",ISNUMBER(SEARCH("fail",C876)),"Defective Device",ISNUMBER(SEARCH("not work",C876)),"Defective Device",ISNUMBER(SEARCH("doesn't work",C876)),"Defective Device",TRUE,"UNKNOWN"),"UNKNOWN")))</f>
        <v/>
      </c>
      <c r="F876" s="4" t="str">
        <f t="shared" si="14"/>
        <v/>
      </c>
      <c r="G876" s="363" t="str">
        <f>IF(E876="","",IFERROR(VLOOKUP(E876,Codes!$L$2:$N$409,3,FALSE),"—"))</f>
        <v/>
      </c>
      <c r="H876" s="88"/>
      <c r="I876" s="88"/>
    </row>
    <row r="877" spans="1:9" ht="13.15" x14ac:dyDescent="0.35">
      <c r="A877" s="92"/>
      <c r="B877" s="89"/>
      <c r="C877" s="88"/>
      <c r="D877" s="88"/>
      <c r="E877" s="93" t="str" cm="1">
        <f t="array" ref="E877">IF(D877&lt;&gt;"",IFERROR(VLOOKUP(D877,Codes!$K$2:$L$409,2,FALSE),"UNKNOWN - "&amp;D877),IF(C877="","",IFERROR(_xlfn.IFS(ISNUMBER(SEARCH("broken button",C877)),"Break",ISNUMBER(SEARCH("broken handle",C877)),"Break",ISNUMBER(SEARCH("shipping damage",C877)),"Break",ISNUMBER(SEARCH("broken",C877)),"Break",ISNUMBER(SEARCH("crack",C877)),"Break",ISNUMBER(SEARCH("snap",C877)),"Break",ISNUMBER(SEARCH("fracture",C877)),"Break",ISNUMBER(SEARCH("bent",C877)),"Material Twisted/Bent",ISNUMBER(SEARCH("twisted",C877)),"Material Twisted/Bent",ISNUMBER(SEARCH("component separat",C877)),"Material Separation",ISNUMBER(SEARCH("separat",C877)),"Material Separation",ISNUMBER(SEARCH("connection",C877)),"Loose or Intermittent Connection",ISNUMBER(SEARCH("loose",C877)),"Loose or Intermittent Connection",ISNUMBER(SEARCH("damaged packaging",C877)),"Packaging Problem",ISNUMBER(SEARCH("packaging",C877)),"Packaging Problem",ISNUMBER(SEARCH("discoloration",C877)),"Contamination",ISNUMBER(SEARCH("tarnish",C877)),"Contamination",ISNUMBER(SEARCH("stain",C877)),"Contamination",ISNUMBER(SEARCH("foreign material",C877)),"Contamination",ISNUMBER(SEARCH("contamina",C877)),"Contamination",ISNUMBER(SEARCH("overheat",C877)),"Overheating of Device",ISNUMBER(SEARCH("excessive heat",C877)),"Overheating of Device",ISNUMBER(SEARCH("hot",C877)),"Overheating of Device",ISNUMBER(SEARCH("noise",C877)),"Noise, Audible",ISNUMBER(SEARCH("sound",C877)),"Noise, Audible",ISNUMBER(SEARCH("loud",C877)),"Noise, Audible",ISNUMBER(SEARCH("fray",C877)),"Material Frayed",ISNUMBER(SEARCH("hole",C877)),"Material Frayed",ISNUMBER(SEARCH("tear",C877)),"Material Frayed",ISNUMBER(SEARCH("worn",C877)),"Material Frayed",ISNUMBER(SEARCH("intermittent",C877)),"Difficult or Delayed Activation",ISNUMBER(SEARCH("delay",C877)),"Difficult or Delayed Activation",ISNUMBER(SEARCH("label",C877)),"Device Markings/Labelling Problem",ISNUMBER(SEARCH("marking",C877)),"Device Markings/Labelling Problem",ISNUMBER(SEARCH("lacerat",C877)),"Defective Device",ISNUMBER(SEARCH("cut",C877)),"Defective Device",ISNUMBER(SEARCH("leak",C877)),"Fluid/Blood Leak",ISNUMBER(SEARCH("missing",C877)),"Component Missing",ISNUMBER(SEARCH("power",C877)),"Complete Loss of Power",ISNUMBER(SEARCH("will not turn on",C877)),"Complete Loss of Power",ISNUMBER(SEARCH("won't turn on",C877)),"Complete Loss of Power",ISNUMBER(SEARCH("does not turn on",C877)),"Complete Loss of Power",ISNUMBER(SEARCH("electrical",C877)),"Electrical Power Problem",ISNUMBER(SEARCH("pressure",C877)),"Detachment of Device or Device Component",ISNUMBER(SEARCH("slip",C877)),"Detachment of Device or Device Component",ISNUMBER(SEARCH("detach",C877)),"Detachment of Device or Device Component",ISNUMBER(SEARCH("stick",C877)),"Mechanical Jam",ISNUMBER(SEARCH("jam",C877)),"Mechanical Jam",ISNUMBER(SEARCH("rigid",C877)),"Mechanical Jam",ISNUMBER(SEARCH("rust",C877)),"Corroded",ISNUMBER(SEARCH("corrod",C877)),"Corroded",ISNUMBER(SEARCH("corrosion",C877)),"Corroded",ISNUMBER(SEARCH("alignment",C877)),"Defective Device",ISNUMBER(SEARCH("adjust",C877)),"Defective Device",ISNUMBER(SEARCH("perform",C877)),"Defective Device",ISNUMBER(SEARCH("malfunction",C877)),"Defective Device",ISNUMBER(SEARCH("defect",C877)),"Defective Device",ISNUMBER(SEARCH("fail",C877)),"Defective Device",ISNUMBER(SEARCH("not work",C877)),"Defective Device",ISNUMBER(SEARCH("doesn't work",C877)),"Defective Device",TRUE,"UNKNOWN"),"UNKNOWN")))</f>
        <v/>
      </c>
      <c r="F877" s="4" t="str">
        <f t="shared" si="14"/>
        <v/>
      </c>
      <c r="G877" s="363" t="str">
        <f>IF(E877="","",IFERROR(VLOOKUP(E877,Codes!$L$2:$N$409,3,FALSE),"—"))</f>
        <v/>
      </c>
      <c r="H877" s="88"/>
      <c r="I877" s="88"/>
    </row>
    <row r="878" spans="1:9" ht="13.15" x14ac:dyDescent="0.35">
      <c r="A878" s="92"/>
      <c r="B878" s="89"/>
      <c r="C878" s="88"/>
      <c r="D878" s="88"/>
      <c r="E878" s="93" t="str" cm="1">
        <f t="array" ref="E878">IF(D878&lt;&gt;"",IFERROR(VLOOKUP(D878,Codes!$K$2:$L$409,2,FALSE),"UNKNOWN - "&amp;D878),IF(C878="","",IFERROR(_xlfn.IFS(ISNUMBER(SEARCH("broken button",C878)),"Break",ISNUMBER(SEARCH("broken handle",C878)),"Break",ISNUMBER(SEARCH("shipping damage",C878)),"Break",ISNUMBER(SEARCH("broken",C878)),"Break",ISNUMBER(SEARCH("crack",C878)),"Break",ISNUMBER(SEARCH("snap",C878)),"Break",ISNUMBER(SEARCH("fracture",C878)),"Break",ISNUMBER(SEARCH("bent",C878)),"Material Twisted/Bent",ISNUMBER(SEARCH("twisted",C878)),"Material Twisted/Bent",ISNUMBER(SEARCH("component separat",C878)),"Material Separation",ISNUMBER(SEARCH("separat",C878)),"Material Separation",ISNUMBER(SEARCH("connection",C878)),"Loose or Intermittent Connection",ISNUMBER(SEARCH("loose",C878)),"Loose or Intermittent Connection",ISNUMBER(SEARCH("damaged packaging",C878)),"Packaging Problem",ISNUMBER(SEARCH("packaging",C878)),"Packaging Problem",ISNUMBER(SEARCH("discoloration",C878)),"Contamination",ISNUMBER(SEARCH("tarnish",C878)),"Contamination",ISNUMBER(SEARCH("stain",C878)),"Contamination",ISNUMBER(SEARCH("foreign material",C878)),"Contamination",ISNUMBER(SEARCH("contamina",C878)),"Contamination",ISNUMBER(SEARCH("overheat",C878)),"Overheating of Device",ISNUMBER(SEARCH("excessive heat",C878)),"Overheating of Device",ISNUMBER(SEARCH("hot",C878)),"Overheating of Device",ISNUMBER(SEARCH("noise",C878)),"Noise, Audible",ISNUMBER(SEARCH("sound",C878)),"Noise, Audible",ISNUMBER(SEARCH("loud",C878)),"Noise, Audible",ISNUMBER(SEARCH("fray",C878)),"Material Frayed",ISNUMBER(SEARCH("hole",C878)),"Material Frayed",ISNUMBER(SEARCH("tear",C878)),"Material Frayed",ISNUMBER(SEARCH("worn",C878)),"Material Frayed",ISNUMBER(SEARCH("intermittent",C878)),"Difficult or Delayed Activation",ISNUMBER(SEARCH("delay",C878)),"Difficult or Delayed Activation",ISNUMBER(SEARCH("label",C878)),"Device Markings/Labelling Problem",ISNUMBER(SEARCH("marking",C878)),"Device Markings/Labelling Problem",ISNUMBER(SEARCH("lacerat",C878)),"Defective Device",ISNUMBER(SEARCH("cut",C878)),"Defective Device",ISNUMBER(SEARCH("leak",C878)),"Fluid/Blood Leak",ISNUMBER(SEARCH("missing",C878)),"Component Missing",ISNUMBER(SEARCH("power",C878)),"Complete Loss of Power",ISNUMBER(SEARCH("will not turn on",C878)),"Complete Loss of Power",ISNUMBER(SEARCH("won't turn on",C878)),"Complete Loss of Power",ISNUMBER(SEARCH("does not turn on",C878)),"Complete Loss of Power",ISNUMBER(SEARCH("electrical",C878)),"Electrical Power Problem",ISNUMBER(SEARCH("pressure",C878)),"Detachment of Device or Device Component",ISNUMBER(SEARCH("slip",C878)),"Detachment of Device or Device Component",ISNUMBER(SEARCH("detach",C878)),"Detachment of Device or Device Component",ISNUMBER(SEARCH("stick",C878)),"Mechanical Jam",ISNUMBER(SEARCH("jam",C878)),"Mechanical Jam",ISNUMBER(SEARCH("rigid",C878)),"Mechanical Jam",ISNUMBER(SEARCH("rust",C878)),"Corroded",ISNUMBER(SEARCH("corrod",C878)),"Corroded",ISNUMBER(SEARCH("corrosion",C878)),"Corroded",ISNUMBER(SEARCH("alignment",C878)),"Defective Device",ISNUMBER(SEARCH("adjust",C878)),"Defective Device",ISNUMBER(SEARCH("perform",C878)),"Defective Device",ISNUMBER(SEARCH("malfunction",C878)),"Defective Device",ISNUMBER(SEARCH("defect",C878)),"Defective Device",ISNUMBER(SEARCH("fail",C878)),"Defective Device",ISNUMBER(SEARCH("not work",C878)),"Defective Device",ISNUMBER(SEARCH("doesn't work",C878)),"Defective Device",TRUE,"UNKNOWN"),"UNKNOWN")))</f>
        <v/>
      </c>
      <c r="F878" s="4" t="str">
        <f t="shared" si="14"/>
        <v/>
      </c>
      <c r="G878" s="363" t="str">
        <f>IF(E878="","",IFERROR(VLOOKUP(E878,Codes!$L$2:$N$409,3,FALSE),"—"))</f>
        <v/>
      </c>
      <c r="H878" s="88"/>
      <c r="I878" s="88"/>
    </row>
    <row r="879" spans="1:9" ht="13.15" x14ac:dyDescent="0.35">
      <c r="A879" s="92"/>
      <c r="B879" s="89"/>
      <c r="C879" s="88"/>
      <c r="D879" s="88"/>
      <c r="E879" s="93" t="str" cm="1">
        <f t="array" ref="E879">IF(D879&lt;&gt;"",IFERROR(VLOOKUP(D879,Codes!$K$2:$L$409,2,FALSE),"UNKNOWN - "&amp;D879),IF(C879="","",IFERROR(_xlfn.IFS(ISNUMBER(SEARCH("broken button",C879)),"Break",ISNUMBER(SEARCH("broken handle",C879)),"Break",ISNUMBER(SEARCH("shipping damage",C879)),"Break",ISNUMBER(SEARCH("broken",C879)),"Break",ISNUMBER(SEARCH("crack",C879)),"Break",ISNUMBER(SEARCH("snap",C879)),"Break",ISNUMBER(SEARCH("fracture",C879)),"Break",ISNUMBER(SEARCH("bent",C879)),"Material Twisted/Bent",ISNUMBER(SEARCH("twisted",C879)),"Material Twisted/Bent",ISNUMBER(SEARCH("component separat",C879)),"Material Separation",ISNUMBER(SEARCH("separat",C879)),"Material Separation",ISNUMBER(SEARCH("connection",C879)),"Loose or Intermittent Connection",ISNUMBER(SEARCH("loose",C879)),"Loose or Intermittent Connection",ISNUMBER(SEARCH("damaged packaging",C879)),"Packaging Problem",ISNUMBER(SEARCH("packaging",C879)),"Packaging Problem",ISNUMBER(SEARCH("discoloration",C879)),"Contamination",ISNUMBER(SEARCH("tarnish",C879)),"Contamination",ISNUMBER(SEARCH("stain",C879)),"Contamination",ISNUMBER(SEARCH("foreign material",C879)),"Contamination",ISNUMBER(SEARCH("contamina",C879)),"Contamination",ISNUMBER(SEARCH("overheat",C879)),"Overheating of Device",ISNUMBER(SEARCH("excessive heat",C879)),"Overheating of Device",ISNUMBER(SEARCH("hot",C879)),"Overheating of Device",ISNUMBER(SEARCH("noise",C879)),"Noise, Audible",ISNUMBER(SEARCH("sound",C879)),"Noise, Audible",ISNUMBER(SEARCH("loud",C879)),"Noise, Audible",ISNUMBER(SEARCH("fray",C879)),"Material Frayed",ISNUMBER(SEARCH("hole",C879)),"Material Frayed",ISNUMBER(SEARCH("tear",C879)),"Material Frayed",ISNUMBER(SEARCH("worn",C879)),"Material Frayed",ISNUMBER(SEARCH("intermittent",C879)),"Difficult or Delayed Activation",ISNUMBER(SEARCH("delay",C879)),"Difficult or Delayed Activation",ISNUMBER(SEARCH("label",C879)),"Device Markings/Labelling Problem",ISNUMBER(SEARCH("marking",C879)),"Device Markings/Labelling Problem",ISNUMBER(SEARCH("lacerat",C879)),"Defective Device",ISNUMBER(SEARCH("cut",C879)),"Defective Device",ISNUMBER(SEARCH("leak",C879)),"Fluid/Blood Leak",ISNUMBER(SEARCH("missing",C879)),"Component Missing",ISNUMBER(SEARCH("power",C879)),"Complete Loss of Power",ISNUMBER(SEARCH("will not turn on",C879)),"Complete Loss of Power",ISNUMBER(SEARCH("won't turn on",C879)),"Complete Loss of Power",ISNUMBER(SEARCH("does not turn on",C879)),"Complete Loss of Power",ISNUMBER(SEARCH("electrical",C879)),"Electrical Power Problem",ISNUMBER(SEARCH("pressure",C879)),"Detachment of Device or Device Component",ISNUMBER(SEARCH("slip",C879)),"Detachment of Device or Device Component",ISNUMBER(SEARCH("detach",C879)),"Detachment of Device or Device Component",ISNUMBER(SEARCH("stick",C879)),"Mechanical Jam",ISNUMBER(SEARCH("jam",C879)),"Mechanical Jam",ISNUMBER(SEARCH("rigid",C879)),"Mechanical Jam",ISNUMBER(SEARCH("rust",C879)),"Corroded",ISNUMBER(SEARCH("corrod",C879)),"Corroded",ISNUMBER(SEARCH("corrosion",C879)),"Corroded",ISNUMBER(SEARCH("alignment",C879)),"Defective Device",ISNUMBER(SEARCH("adjust",C879)),"Defective Device",ISNUMBER(SEARCH("perform",C879)),"Defective Device",ISNUMBER(SEARCH("malfunction",C879)),"Defective Device",ISNUMBER(SEARCH("defect",C879)),"Defective Device",ISNUMBER(SEARCH("fail",C879)),"Defective Device",ISNUMBER(SEARCH("not work",C879)),"Defective Device",ISNUMBER(SEARCH("doesn't work",C879)),"Defective Device",TRUE,"UNKNOWN"),"UNKNOWN")))</f>
        <v/>
      </c>
      <c r="F879" s="4" t="str">
        <f t="shared" si="14"/>
        <v/>
      </c>
      <c r="G879" s="363" t="str">
        <f>IF(E879="","",IFERROR(VLOOKUP(E879,Codes!$L$2:$N$409,3,FALSE),"—"))</f>
        <v/>
      </c>
      <c r="H879" s="88"/>
      <c r="I879" s="88"/>
    </row>
    <row r="880" spans="1:9" ht="13.15" x14ac:dyDescent="0.35">
      <c r="A880" s="92"/>
      <c r="B880" s="89"/>
      <c r="C880" s="88"/>
      <c r="D880" s="88"/>
      <c r="E880" s="93" t="str" cm="1">
        <f t="array" ref="E880">IF(D880&lt;&gt;"",IFERROR(VLOOKUP(D880,Codes!$K$2:$L$409,2,FALSE),"UNKNOWN - "&amp;D880),IF(C880="","",IFERROR(_xlfn.IFS(ISNUMBER(SEARCH("broken button",C880)),"Break",ISNUMBER(SEARCH("broken handle",C880)),"Break",ISNUMBER(SEARCH("shipping damage",C880)),"Break",ISNUMBER(SEARCH("broken",C880)),"Break",ISNUMBER(SEARCH("crack",C880)),"Break",ISNUMBER(SEARCH("snap",C880)),"Break",ISNUMBER(SEARCH("fracture",C880)),"Break",ISNUMBER(SEARCH("bent",C880)),"Material Twisted/Bent",ISNUMBER(SEARCH("twisted",C880)),"Material Twisted/Bent",ISNUMBER(SEARCH("component separat",C880)),"Material Separation",ISNUMBER(SEARCH("separat",C880)),"Material Separation",ISNUMBER(SEARCH("connection",C880)),"Loose or Intermittent Connection",ISNUMBER(SEARCH("loose",C880)),"Loose or Intermittent Connection",ISNUMBER(SEARCH("damaged packaging",C880)),"Packaging Problem",ISNUMBER(SEARCH("packaging",C880)),"Packaging Problem",ISNUMBER(SEARCH("discoloration",C880)),"Contamination",ISNUMBER(SEARCH("tarnish",C880)),"Contamination",ISNUMBER(SEARCH("stain",C880)),"Contamination",ISNUMBER(SEARCH("foreign material",C880)),"Contamination",ISNUMBER(SEARCH("contamina",C880)),"Contamination",ISNUMBER(SEARCH("overheat",C880)),"Overheating of Device",ISNUMBER(SEARCH("excessive heat",C880)),"Overheating of Device",ISNUMBER(SEARCH("hot",C880)),"Overheating of Device",ISNUMBER(SEARCH("noise",C880)),"Noise, Audible",ISNUMBER(SEARCH("sound",C880)),"Noise, Audible",ISNUMBER(SEARCH("loud",C880)),"Noise, Audible",ISNUMBER(SEARCH("fray",C880)),"Material Frayed",ISNUMBER(SEARCH("hole",C880)),"Material Frayed",ISNUMBER(SEARCH("tear",C880)),"Material Frayed",ISNUMBER(SEARCH("worn",C880)),"Material Frayed",ISNUMBER(SEARCH("intermittent",C880)),"Difficult or Delayed Activation",ISNUMBER(SEARCH("delay",C880)),"Difficult or Delayed Activation",ISNUMBER(SEARCH("label",C880)),"Device Markings/Labelling Problem",ISNUMBER(SEARCH("marking",C880)),"Device Markings/Labelling Problem",ISNUMBER(SEARCH("lacerat",C880)),"Defective Device",ISNUMBER(SEARCH("cut",C880)),"Defective Device",ISNUMBER(SEARCH("leak",C880)),"Fluid/Blood Leak",ISNUMBER(SEARCH("missing",C880)),"Component Missing",ISNUMBER(SEARCH("power",C880)),"Complete Loss of Power",ISNUMBER(SEARCH("will not turn on",C880)),"Complete Loss of Power",ISNUMBER(SEARCH("won't turn on",C880)),"Complete Loss of Power",ISNUMBER(SEARCH("does not turn on",C880)),"Complete Loss of Power",ISNUMBER(SEARCH("electrical",C880)),"Electrical Power Problem",ISNUMBER(SEARCH("pressure",C880)),"Detachment of Device or Device Component",ISNUMBER(SEARCH("slip",C880)),"Detachment of Device or Device Component",ISNUMBER(SEARCH("detach",C880)),"Detachment of Device or Device Component",ISNUMBER(SEARCH("stick",C880)),"Mechanical Jam",ISNUMBER(SEARCH("jam",C880)),"Mechanical Jam",ISNUMBER(SEARCH("rigid",C880)),"Mechanical Jam",ISNUMBER(SEARCH("rust",C880)),"Corroded",ISNUMBER(SEARCH("corrod",C880)),"Corroded",ISNUMBER(SEARCH("corrosion",C880)),"Corroded",ISNUMBER(SEARCH("alignment",C880)),"Defective Device",ISNUMBER(SEARCH("adjust",C880)),"Defective Device",ISNUMBER(SEARCH("perform",C880)),"Defective Device",ISNUMBER(SEARCH("malfunction",C880)),"Defective Device",ISNUMBER(SEARCH("defect",C880)),"Defective Device",ISNUMBER(SEARCH("fail",C880)),"Defective Device",ISNUMBER(SEARCH("not work",C880)),"Defective Device",ISNUMBER(SEARCH("doesn't work",C880)),"Defective Device",TRUE,"UNKNOWN"),"UNKNOWN")))</f>
        <v/>
      </c>
      <c r="F880" s="4" t="str">
        <f t="shared" si="14"/>
        <v/>
      </c>
      <c r="G880" s="363" t="str">
        <f>IF(E880="","",IFERROR(VLOOKUP(E880,Codes!$L$2:$N$409,3,FALSE),"—"))</f>
        <v/>
      </c>
      <c r="H880" s="88"/>
      <c r="I880" s="88"/>
    </row>
    <row r="881" spans="1:9" ht="13.15" x14ac:dyDescent="0.35">
      <c r="A881" s="92"/>
      <c r="B881" s="89"/>
      <c r="C881" s="88"/>
      <c r="D881" s="88"/>
      <c r="E881" s="93" t="str" cm="1">
        <f t="array" ref="E881">IF(D881&lt;&gt;"",IFERROR(VLOOKUP(D881,Codes!$K$2:$L$409,2,FALSE),"UNKNOWN - "&amp;D881),IF(C881="","",IFERROR(_xlfn.IFS(ISNUMBER(SEARCH("broken button",C881)),"Break",ISNUMBER(SEARCH("broken handle",C881)),"Break",ISNUMBER(SEARCH("shipping damage",C881)),"Break",ISNUMBER(SEARCH("broken",C881)),"Break",ISNUMBER(SEARCH("crack",C881)),"Break",ISNUMBER(SEARCH("snap",C881)),"Break",ISNUMBER(SEARCH("fracture",C881)),"Break",ISNUMBER(SEARCH("bent",C881)),"Material Twisted/Bent",ISNUMBER(SEARCH("twisted",C881)),"Material Twisted/Bent",ISNUMBER(SEARCH("component separat",C881)),"Material Separation",ISNUMBER(SEARCH("separat",C881)),"Material Separation",ISNUMBER(SEARCH("connection",C881)),"Loose or Intermittent Connection",ISNUMBER(SEARCH("loose",C881)),"Loose or Intermittent Connection",ISNUMBER(SEARCH("damaged packaging",C881)),"Packaging Problem",ISNUMBER(SEARCH("packaging",C881)),"Packaging Problem",ISNUMBER(SEARCH("discoloration",C881)),"Contamination",ISNUMBER(SEARCH("tarnish",C881)),"Contamination",ISNUMBER(SEARCH("stain",C881)),"Contamination",ISNUMBER(SEARCH("foreign material",C881)),"Contamination",ISNUMBER(SEARCH("contamina",C881)),"Contamination",ISNUMBER(SEARCH("overheat",C881)),"Overheating of Device",ISNUMBER(SEARCH("excessive heat",C881)),"Overheating of Device",ISNUMBER(SEARCH("hot",C881)),"Overheating of Device",ISNUMBER(SEARCH("noise",C881)),"Noise, Audible",ISNUMBER(SEARCH("sound",C881)),"Noise, Audible",ISNUMBER(SEARCH("loud",C881)),"Noise, Audible",ISNUMBER(SEARCH("fray",C881)),"Material Frayed",ISNUMBER(SEARCH("hole",C881)),"Material Frayed",ISNUMBER(SEARCH("tear",C881)),"Material Frayed",ISNUMBER(SEARCH("worn",C881)),"Material Frayed",ISNUMBER(SEARCH("intermittent",C881)),"Difficult or Delayed Activation",ISNUMBER(SEARCH("delay",C881)),"Difficult or Delayed Activation",ISNUMBER(SEARCH("label",C881)),"Device Markings/Labelling Problem",ISNUMBER(SEARCH("marking",C881)),"Device Markings/Labelling Problem",ISNUMBER(SEARCH("lacerat",C881)),"Defective Device",ISNUMBER(SEARCH("cut",C881)),"Defective Device",ISNUMBER(SEARCH("leak",C881)),"Fluid/Blood Leak",ISNUMBER(SEARCH("missing",C881)),"Component Missing",ISNUMBER(SEARCH("power",C881)),"Complete Loss of Power",ISNUMBER(SEARCH("will not turn on",C881)),"Complete Loss of Power",ISNUMBER(SEARCH("won't turn on",C881)),"Complete Loss of Power",ISNUMBER(SEARCH("does not turn on",C881)),"Complete Loss of Power",ISNUMBER(SEARCH("electrical",C881)),"Electrical Power Problem",ISNUMBER(SEARCH("pressure",C881)),"Detachment of Device or Device Component",ISNUMBER(SEARCH("slip",C881)),"Detachment of Device or Device Component",ISNUMBER(SEARCH("detach",C881)),"Detachment of Device or Device Component",ISNUMBER(SEARCH("stick",C881)),"Mechanical Jam",ISNUMBER(SEARCH("jam",C881)),"Mechanical Jam",ISNUMBER(SEARCH("rigid",C881)),"Mechanical Jam",ISNUMBER(SEARCH("rust",C881)),"Corroded",ISNUMBER(SEARCH("corrod",C881)),"Corroded",ISNUMBER(SEARCH("corrosion",C881)),"Corroded",ISNUMBER(SEARCH("alignment",C881)),"Defective Device",ISNUMBER(SEARCH("adjust",C881)),"Defective Device",ISNUMBER(SEARCH("perform",C881)),"Defective Device",ISNUMBER(SEARCH("malfunction",C881)),"Defective Device",ISNUMBER(SEARCH("defect",C881)),"Defective Device",ISNUMBER(SEARCH("fail",C881)),"Defective Device",ISNUMBER(SEARCH("not work",C881)),"Defective Device",ISNUMBER(SEARCH("doesn't work",C881)),"Defective Device",TRUE,"UNKNOWN"),"UNKNOWN")))</f>
        <v/>
      </c>
      <c r="F881" s="4" t="str">
        <f t="shared" si="14"/>
        <v/>
      </c>
      <c r="G881" s="363" t="str">
        <f>IF(E881="","",IFERROR(VLOOKUP(E881,Codes!$L$2:$N$409,3,FALSE),"—"))</f>
        <v/>
      </c>
      <c r="H881" s="88"/>
      <c r="I881" s="88"/>
    </row>
    <row r="882" spans="1:9" ht="13.15" x14ac:dyDescent="0.35">
      <c r="A882" s="92"/>
      <c r="B882" s="89"/>
      <c r="C882" s="88"/>
      <c r="D882" s="88"/>
      <c r="E882" s="93" t="str" cm="1">
        <f t="array" ref="E882">IF(D882&lt;&gt;"",IFERROR(VLOOKUP(D882,Codes!$K$2:$L$409,2,FALSE),"UNKNOWN - "&amp;D882),IF(C882="","",IFERROR(_xlfn.IFS(ISNUMBER(SEARCH("broken button",C882)),"Break",ISNUMBER(SEARCH("broken handle",C882)),"Break",ISNUMBER(SEARCH("shipping damage",C882)),"Break",ISNUMBER(SEARCH("broken",C882)),"Break",ISNUMBER(SEARCH("crack",C882)),"Break",ISNUMBER(SEARCH("snap",C882)),"Break",ISNUMBER(SEARCH("fracture",C882)),"Break",ISNUMBER(SEARCH("bent",C882)),"Material Twisted/Bent",ISNUMBER(SEARCH("twisted",C882)),"Material Twisted/Bent",ISNUMBER(SEARCH("component separat",C882)),"Material Separation",ISNUMBER(SEARCH("separat",C882)),"Material Separation",ISNUMBER(SEARCH("connection",C882)),"Loose or Intermittent Connection",ISNUMBER(SEARCH("loose",C882)),"Loose or Intermittent Connection",ISNUMBER(SEARCH("damaged packaging",C882)),"Packaging Problem",ISNUMBER(SEARCH("packaging",C882)),"Packaging Problem",ISNUMBER(SEARCH("discoloration",C882)),"Contamination",ISNUMBER(SEARCH("tarnish",C882)),"Contamination",ISNUMBER(SEARCH("stain",C882)),"Contamination",ISNUMBER(SEARCH("foreign material",C882)),"Contamination",ISNUMBER(SEARCH("contamina",C882)),"Contamination",ISNUMBER(SEARCH("overheat",C882)),"Overheating of Device",ISNUMBER(SEARCH("excessive heat",C882)),"Overheating of Device",ISNUMBER(SEARCH("hot",C882)),"Overheating of Device",ISNUMBER(SEARCH("noise",C882)),"Noise, Audible",ISNUMBER(SEARCH("sound",C882)),"Noise, Audible",ISNUMBER(SEARCH("loud",C882)),"Noise, Audible",ISNUMBER(SEARCH("fray",C882)),"Material Frayed",ISNUMBER(SEARCH("hole",C882)),"Material Frayed",ISNUMBER(SEARCH("tear",C882)),"Material Frayed",ISNUMBER(SEARCH("worn",C882)),"Material Frayed",ISNUMBER(SEARCH("intermittent",C882)),"Difficult or Delayed Activation",ISNUMBER(SEARCH("delay",C882)),"Difficult or Delayed Activation",ISNUMBER(SEARCH("label",C882)),"Device Markings/Labelling Problem",ISNUMBER(SEARCH("marking",C882)),"Device Markings/Labelling Problem",ISNUMBER(SEARCH("lacerat",C882)),"Defective Device",ISNUMBER(SEARCH("cut",C882)),"Defective Device",ISNUMBER(SEARCH("leak",C882)),"Fluid/Blood Leak",ISNUMBER(SEARCH("missing",C882)),"Component Missing",ISNUMBER(SEARCH("power",C882)),"Complete Loss of Power",ISNUMBER(SEARCH("will not turn on",C882)),"Complete Loss of Power",ISNUMBER(SEARCH("won't turn on",C882)),"Complete Loss of Power",ISNUMBER(SEARCH("does not turn on",C882)),"Complete Loss of Power",ISNUMBER(SEARCH("electrical",C882)),"Electrical Power Problem",ISNUMBER(SEARCH("pressure",C882)),"Detachment of Device or Device Component",ISNUMBER(SEARCH("slip",C882)),"Detachment of Device or Device Component",ISNUMBER(SEARCH("detach",C882)),"Detachment of Device or Device Component",ISNUMBER(SEARCH("stick",C882)),"Mechanical Jam",ISNUMBER(SEARCH("jam",C882)),"Mechanical Jam",ISNUMBER(SEARCH("rigid",C882)),"Mechanical Jam",ISNUMBER(SEARCH("rust",C882)),"Corroded",ISNUMBER(SEARCH("corrod",C882)),"Corroded",ISNUMBER(SEARCH("corrosion",C882)),"Corroded",ISNUMBER(SEARCH("alignment",C882)),"Defective Device",ISNUMBER(SEARCH("adjust",C882)),"Defective Device",ISNUMBER(SEARCH("perform",C882)),"Defective Device",ISNUMBER(SEARCH("malfunction",C882)),"Defective Device",ISNUMBER(SEARCH("defect",C882)),"Defective Device",ISNUMBER(SEARCH("fail",C882)),"Defective Device",ISNUMBER(SEARCH("not work",C882)),"Defective Device",ISNUMBER(SEARCH("doesn't work",C882)),"Defective Device",TRUE,"UNKNOWN"),"UNKNOWN")))</f>
        <v/>
      </c>
      <c r="F882" s="4" t="str">
        <f t="shared" si="14"/>
        <v/>
      </c>
      <c r="G882" s="363" t="str">
        <f>IF(E882="","",IFERROR(VLOOKUP(E882,Codes!$L$2:$N$409,3,FALSE),"—"))</f>
        <v/>
      </c>
      <c r="H882" s="88"/>
      <c r="I882" s="88"/>
    </row>
    <row r="883" spans="1:9" ht="13.15" x14ac:dyDescent="0.35">
      <c r="A883" s="92"/>
      <c r="B883" s="89"/>
      <c r="C883" s="88"/>
      <c r="D883" s="88"/>
      <c r="E883" s="93" t="str" cm="1">
        <f t="array" ref="E883">IF(D883&lt;&gt;"",IFERROR(VLOOKUP(D883,Codes!$K$2:$L$409,2,FALSE),"UNKNOWN - "&amp;D883),IF(C883="","",IFERROR(_xlfn.IFS(ISNUMBER(SEARCH("broken button",C883)),"Break",ISNUMBER(SEARCH("broken handle",C883)),"Break",ISNUMBER(SEARCH("shipping damage",C883)),"Break",ISNUMBER(SEARCH("broken",C883)),"Break",ISNUMBER(SEARCH("crack",C883)),"Break",ISNUMBER(SEARCH("snap",C883)),"Break",ISNUMBER(SEARCH("fracture",C883)),"Break",ISNUMBER(SEARCH("bent",C883)),"Material Twisted/Bent",ISNUMBER(SEARCH("twisted",C883)),"Material Twisted/Bent",ISNUMBER(SEARCH("component separat",C883)),"Material Separation",ISNUMBER(SEARCH("separat",C883)),"Material Separation",ISNUMBER(SEARCH("connection",C883)),"Loose or Intermittent Connection",ISNUMBER(SEARCH("loose",C883)),"Loose or Intermittent Connection",ISNUMBER(SEARCH("damaged packaging",C883)),"Packaging Problem",ISNUMBER(SEARCH("packaging",C883)),"Packaging Problem",ISNUMBER(SEARCH("discoloration",C883)),"Contamination",ISNUMBER(SEARCH("tarnish",C883)),"Contamination",ISNUMBER(SEARCH("stain",C883)),"Contamination",ISNUMBER(SEARCH("foreign material",C883)),"Contamination",ISNUMBER(SEARCH("contamina",C883)),"Contamination",ISNUMBER(SEARCH("overheat",C883)),"Overheating of Device",ISNUMBER(SEARCH("excessive heat",C883)),"Overheating of Device",ISNUMBER(SEARCH("hot",C883)),"Overheating of Device",ISNUMBER(SEARCH("noise",C883)),"Noise, Audible",ISNUMBER(SEARCH("sound",C883)),"Noise, Audible",ISNUMBER(SEARCH("loud",C883)),"Noise, Audible",ISNUMBER(SEARCH("fray",C883)),"Material Frayed",ISNUMBER(SEARCH("hole",C883)),"Material Frayed",ISNUMBER(SEARCH("tear",C883)),"Material Frayed",ISNUMBER(SEARCH("worn",C883)),"Material Frayed",ISNUMBER(SEARCH("intermittent",C883)),"Difficult or Delayed Activation",ISNUMBER(SEARCH("delay",C883)),"Difficult or Delayed Activation",ISNUMBER(SEARCH("label",C883)),"Device Markings/Labelling Problem",ISNUMBER(SEARCH("marking",C883)),"Device Markings/Labelling Problem",ISNUMBER(SEARCH("lacerat",C883)),"Defective Device",ISNUMBER(SEARCH("cut",C883)),"Defective Device",ISNUMBER(SEARCH("leak",C883)),"Fluid/Blood Leak",ISNUMBER(SEARCH("missing",C883)),"Component Missing",ISNUMBER(SEARCH("power",C883)),"Complete Loss of Power",ISNUMBER(SEARCH("will not turn on",C883)),"Complete Loss of Power",ISNUMBER(SEARCH("won't turn on",C883)),"Complete Loss of Power",ISNUMBER(SEARCH("does not turn on",C883)),"Complete Loss of Power",ISNUMBER(SEARCH("electrical",C883)),"Electrical Power Problem",ISNUMBER(SEARCH("pressure",C883)),"Detachment of Device or Device Component",ISNUMBER(SEARCH("slip",C883)),"Detachment of Device or Device Component",ISNUMBER(SEARCH("detach",C883)),"Detachment of Device or Device Component",ISNUMBER(SEARCH("stick",C883)),"Mechanical Jam",ISNUMBER(SEARCH("jam",C883)),"Mechanical Jam",ISNUMBER(SEARCH("rigid",C883)),"Mechanical Jam",ISNUMBER(SEARCH("rust",C883)),"Corroded",ISNUMBER(SEARCH("corrod",C883)),"Corroded",ISNUMBER(SEARCH("corrosion",C883)),"Corroded",ISNUMBER(SEARCH("alignment",C883)),"Defective Device",ISNUMBER(SEARCH("adjust",C883)),"Defective Device",ISNUMBER(SEARCH("perform",C883)),"Defective Device",ISNUMBER(SEARCH("malfunction",C883)),"Defective Device",ISNUMBER(SEARCH("defect",C883)),"Defective Device",ISNUMBER(SEARCH("fail",C883)),"Defective Device",ISNUMBER(SEARCH("not work",C883)),"Defective Device",ISNUMBER(SEARCH("doesn't work",C883)),"Defective Device",TRUE,"UNKNOWN"),"UNKNOWN")))</f>
        <v/>
      </c>
      <c r="F883" s="4" t="str">
        <f t="shared" si="14"/>
        <v/>
      </c>
      <c r="G883" s="363" t="str">
        <f>IF(E883="","",IFERROR(VLOOKUP(E883,Codes!$L$2:$N$409,3,FALSE),"—"))</f>
        <v/>
      </c>
      <c r="H883" s="88"/>
      <c r="I883" s="88"/>
    </row>
    <row r="884" spans="1:9" ht="13.15" x14ac:dyDescent="0.35">
      <c r="A884" s="92"/>
      <c r="B884" s="89"/>
      <c r="C884" s="88"/>
      <c r="D884" s="88"/>
      <c r="E884" s="93" t="str" cm="1">
        <f t="array" ref="E884">IF(D884&lt;&gt;"",IFERROR(VLOOKUP(D884,Codes!$K$2:$L$409,2,FALSE),"UNKNOWN - "&amp;D884),IF(C884="","",IFERROR(_xlfn.IFS(ISNUMBER(SEARCH("broken button",C884)),"Break",ISNUMBER(SEARCH("broken handle",C884)),"Break",ISNUMBER(SEARCH("shipping damage",C884)),"Break",ISNUMBER(SEARCH("broken",C884)),"Break",ISNUMBER(SEARCH("crack",C884)),"Break",ISNUMBER(SEARCH("snap",C884)),"Break",ISNUMBER(SEARCH("fracture",C884)),"Break",ISNUMBER(SEARCH("bent",C884)),"Material Twisted/Bent",ISNUMBER(SEARCH("twisted",C884)),"Material Twisted/Bent",ISNUMBER(SEARCH("component separat",C884)),"Material Separation",ISNUMBER(SEARCH("separat",C884)),"Material Separation",ISNUMBER(SEARCH("connection",C884)),"Loose or Intermittent Connection",ISNUMBER(SEARCH("loose",C884)),"Loose or Intermittent Connection",ISNUMBER(SEARCH("damaged packaging",C884)),"Packaging Problem",ISNUMBER(SEARCH("packaging",C884)),"Packaging Problem",ISNUMBER(SEARCH("discoloration",C884)),"Contamination",ISNUMBER(SEARCH("tarnish",C884)),"Contamination",ISNUMBER(SEARCH("stain",C884)),"Contamination",ISNUMBER(SEARCH("foreign material",C884)),"Contamination",ISNUMBER(SEARCH("contamina",C884)),"Contamination",ISNUMBER(SEARCH("overheat",C884)),"Overheating of Device",ISNUMBER(SEARCH("excessive heat",C884)),"Overheating of Device",ISNUMBER(SEARCH("hot",C884)),"Overheating of Device",ISNUMBER(SEARCH("noise",C884)),"Noise, Audible",ISNUMBER(SEARCH("sound",C884)),"Noise, Audible",ISNUMBER(SEARCH("loud",C884)),"Noise, Audible",ISNUMBER(SEARCH("fray",C884)),"Material Frayed",ISNUMBER(SEARCH("hole",C884)),"Material Frayed",ISNUMBER(SEARCH("tear",C884)),"Material Frayed",ISNUMBER(SEARCH("worn",C884)),"Material Frayed",ISNUMBER(SEARCH("intermittent",C884)),"Difficult or Delayed Activation",ISNUMBER(SEARCH("delay",C884)),"Difficult or Delayed Activation",ISNUMBER(SEARCH("label",C884)),"Device Markings/Labelling Problem",ISNUMBER(SEARCH("marking",C884)),"Device Markings/Labelling Problem",ISNUMBER(SEARCH("lacerat",C884)),"Defective Device",ISNUMBER(SEARCH("cut",C884)),"Defective Device",ISNUMBER(SEARCH("leak",C884)),"Fluid/Blood Leak",ISNUMBER(SEARCH("missing",C884)),"Component Missing",ISNUMBER(SEARCH("power",C884)),"Complete Loss of Power",ISNUMBER(SEARCH("will not turn on",C884)),"Complete Loss of Power",ISNUMBER(SEARCH("won't turn on",C884)),"Complete Loss of Power",ISNUMBER(SEARCH("does not turn on",C884)),"Complete Loss of Power",ISNUMBER(SEARCH("electrical",C884)),"Electrical Power Problem",ISNUMBER(SEARCH("pressure",C884)),"Detachment of Device or Device Component",ISNUMBER(SEARCH("slip",C884)),"Detachment of Device or Device Component",ISNUMBER(SEARCH("detach",C884)),"Detachment of Device or Device Component",ISNUMBER(SEARCH("stick",C884)),"Mechanical Jam",ISNUMBER(SEARCH("jam",C884)),"Mechanical Jam",ISNUMBER(SEARCH("rigid",C884)),"Mechanical Jam",ISNUMBER(SEARCH("rust",C884)),"Corroded",ISNUMBER(SEARCH("corrod",C884)),"Corroded",ISNUMBER(SEARCH("corrosion",C884)),"Corroded",ISNUMBER(SEARCH("alignment",C884)),"Defective Device",ISNUMBER(SEARCH("adjust",C884)),"Defective Device",ISNUMBER(SEARCH("perform",C884)),"Defective Device",ISNUMBER(SEARCH("malfunction",C884)),"Defective Device",ISNUMBER(SEARCH("defect",C884)),"Defective Device",ISNUMBER(SEARCH("fail",C884)),"Defective Device",ISNUMBER(SEARCH("not work",C884)),"Defective Device",ISNUMBER(SEARCH("doesn't work",C884)),"Defective Device",TRUE,"UNKNOWN"),"UNKNOWN")))</f>
        <v/>
      </c>
      <c r="F884" s="4" t="str">
        <f t="shared" si="14"/>
        <v/>
      </c>
      <c r="G884" s="363" t="str">
        <f>IF(E884="","",IFERROR(VLOOKUP(E884,Codes!$L$2:$N$409,3,FALSE),"—"))</f>
        <v/>
      </c>
      <c r="H884" s="88"/>
      <c r="I884" s="88"/>
    </row>
    <row r="885" spans="1:9" ht="13.15" x14ac:dyDescent="0.35">
      <c r="A885" s="92"/>
      <c r="B885" s="89"/>
      <c r="C885" s="88"/>
      <c r="D885" s="88"/>
      <c r="E885" s="93" t="str" cm="1">
        <f t="array" ref="E885">IF(D885&lt;&gt;"",IFERROR(VLOOKUP(D885,Codes!$K$2:$L$409,2,FALSE),"UNKNOWN - "&amp;D885),IF(C885="","",IFERROR(_xlfn.IFS(ISNUMBER(SEARCH("broken button",C885)),"Break",ISNUMBER(SEARCH("broken handle",C885)),"Break",ISNUMBER(SEARCH("shipping damage",C885)),"Break",ISNUMBER(SEARCH("broken",C885)),"Break",ISNUMBER(SEARCH("crack",C885)),"Break",ISNUMBER(SEARCH("snap",C885)),"Break",ISNUMBER(SEARCH("fracture",C885)),"Break",ISNUMBER(SEARCH("bent",C885)),"Material Twisted/Bent",ISNUMBER(SEARCH("twisted",C885)),"Material Twisted/Bent",ISNUMBER(SEARCH("component separat",C885)),"Material Separation",ISNUMBER(SEARCH("separat",C885)),"Material Separation",ISNUMBER(SEARCH("connection",C885)),"Loose or Intermittent Connection",ISNUMBER(SEARCH("loose",C885)),"Loose or Intermittent Connection",ISNUMBER(SEARCH("damaged packaging",C885)),"Packaging Problem",ISNUMBER(SEARCH("packaging",C885)),"Packaging Problem",ISNUMBER(SEARCH("discoloration",C885)),"Contamination",ISNUMBER(SEARCH("tarnish",C885)),"Contamination",ISNUMBER(SEARCH("stain",C885)),"Contamination",ISNUMBER(SEARCH("foreign material",C885)),"Contamination",ISNUMBER(SEARCH("contamina",C885)),"Contamination",ISNUMBER(SEARCH("overheat",C885)),"Overheating of Device",ISNUMBER(SEARCH("excessive heat",C885)),"Overheating of Device",ISNUMBER(SEARCH("hot",C885)),"Overheating of Device",ISNUMBER(SEARCH("noise",C885)),"Noise, Audible",ISNUMBER(SEARCH("sound",C885)),"Noise, Audible",ISNUMBER(SEARCH("loud",C885)),"Noise, Audible",ISNUMBER(SEARCH("fray",C885)),"Material Frayed",ISNUMBER(SEARCH("hole",C885)),"Material Frayed",ISNUMBER(SEARCH("tear",C885)),"Material Frayed",ISNUMBER(SEARCH("worn",C885)),"Material Frayed",ISNUMBER(SEARCH("intermittent",C885)),"Difficult or Delayed Activation",ISNUMBER(SEARCH("delay",C885)),"Difficult or Delayed Activation",ISNUMBER(SEARCH("label",C885)),"Device Markings/Labelling Problem",ISNUMBER(SEARCH("marking",C885)),"Device Markings/Labelling Problem",ISNUMBER(SEARCH("lacerat",C885)),"Defective Device",ISNUMBER(SEARCH("cut",C885)),"Defective Device",ISNUMBER(SEARCH("leak",C885)),"Fluid/Blood Leak",ISNUMBER(SEARCH("missing",C885)),"Component Missing",ISNUMBER(SEARCH("power",C885)),"Complete Loss of Power",ISNUMBER(SEARCH("will not turn on",C885)),"Complete Loss of Power",ISNUMBER(SEARCH("won't turn on",C885)),"Complete Loss of Power",ISNUMBER(SEARCH("does not turn on",C885)),"Complete Loss of Power",ISNUMBER(SEARCH("electrical",C885)),"Electrical Power Problem",ISNUMBER(SEARCH("pressure",C885)),"Detachment of Device or Device Component",ISNUMBER(SEARCH("slip",C885)),"Detachment of Device or Device Component",ISNUMBER(SEARCH("detach",C885)),"Detachment of Device or Device Component",ISNUMBER(SEARCH("stick",C885)),"Mechanical Jam",ISNUMBER(SEARCH("jam",C885)),"Mechanical Jam",ISNUMBER(SEARCH("rigid",C885)),"Mechanical Jam",ISNUMBER(SEARCH("rust",C885)),"Corroded",ISNUMBER(SEARCH("corrod",C885)),"Corroded",ISNUMBER(SEARCH("corrosion",C885)),"Corroded",ISNUMBER(SEARCH("alignment",C885)),"Defective Device",ISNUMBER(SEARCH("adjust",C885)),"Defective Device",ISNUMBER(SEARCH("perform",C885)),"Defective Device",ISNUMBER(SEARCH("malfunction",C885)),"Defective Device",ISNUMBER(SEARCH("defect",C885)),"Defective Device",ISNUMBER(SEARCH("fail",C885)),"Defective Device",ISNUMBER(SEARCH("not work",C885)),"Defective Device",ISNUMBER(SEARCH("doesn't work",C885)),"Defective Device",TRUE,"UNKNOWN"),"UNKNOWN")))</f>
        <v/>
      </c>
      <c r="F885" s="4" t="str">
        <f t="shared" si="14"/>
        <v/>
      </c>
      <c r="G885" s="363" t="str">
        <f>IF(E885="","",IFERROR(VLOOKUP(E885,Codes!$L$2:$N$409,3,FALSE),"—"))</f>
        <v/>
      </c>
      <c r="H885" s="88"/>
      <c r="I885" s="88"/>
    </row>
    <row r="886" spans="1:9" ht="13.15" x14ac:dyDescent="0.35">
      <c r="A886" s="92"/>
      <c r="B886" s="89"/>
      <c r="C886" s="88"/>
      <c r="D886" s="88"/>
      <c r="E886" s="93" t="str" cm="1">
        <f t="array" ref="E886">IF(D886&lt;&gt;"",IFERROR(VLOOKUP(D886,Codes!$K$2:$L$409,2,FALSE),"UNKNOWN - "&amp;D886),IF(C886="","",IFERROR(_xlfn.IFS(ISNUMBER(SEARCH("broken button",C886)),"Break",ISNUMBER(SEARCH("broken handle",C886)),"Break",ISNUMBER(SEARCH("shipping damage",C886)),"Break",ISNUMBER(SEARCH("broken",C886)),"Break",ISNUMBER(SEARCH("crack",C886)),"Break",ISNUMBER(SEARCH("snap",C886)),"Break",ISNUMBER(SEARCH("fracture",C886)),"Break",ISNUMBER(SEARCH("bent",C886)),"Material Twisted/Bent",ISNUMBER(SEARCH("twisted",C886)),"Material Twisted/Bent",ISNUMBER(SEARCH("component separat",C886)),"Material Separation",ISNUMBER(SEARCH("separat",C886)),"Material Separation",ISNUMBER(SEARCH("connection",C886)),"Loose or Intermittent Connection",ISNUMBER(SEARCH("loose",C886)),"Loose or Intermittent Connection",ISNUMBER(SEARCH("damaged packaging",C886)),"Packaging Problem",ISNUMBER(SEARCH("packaging",C886)),"Packaging Problem",ISNUMBER(SEARCH("discoloration",C886)),"Contamination",ISNUMBER(SEARCH("tarnish",C886)),"Contamination",ISNUMBER(SEARCH("stain",C886)),"Contamination",ISNUMBER(SEARCH("foreign material",C886)),"Contamination",ISNUMBER(SEARCH("contamina",C886)),"Contamination",ISNUMBER(SEARCH("overheat",C886)),"Overheating of Device",ISNUMBER(SEARCH("excessive heat",C886)),"Overheating of Device",ISNUMBER(SEARCH("hot",C886)),"Overheating of Device",ISNUMBER(SEARCH("noise",C886)),"Noise, Audible",ISNUMBER(SEARCH("sound",C886)),"Noise, Audible",ISNUMBER(SEARCH("loud",C886)),"Noise, Audible",ISNUMBER(SEARCH("fray",C886)),"Material Frayed",ISNUMBER(SEARCH("hole",C886)),"Material Frayed",ISNUMBER(SEARCH("tear",C886)),"Material Frayed",ISNUMBER(SEARCH("worn",C886)),"Material Frayed",ISNUMBER(SEARCH("intermittent",C886)),"Difficult or Delayed Activation",ISNUMBER(SEARCH("delay",C886)),"Difficult or Delayed Activation",ISNUMBER(SEARCH("label",C886)),"Device Markings/Labelling Problem",ISNUMBER(SEARCH("marking",C886)),"Device Markings/Labelling Problem",ISNUMBER(SEARCH("lacerat",C886)),"Defective Device",ISNUMBER(SEARCH("cut",C886)),"Defective Device",ISNUMBER(SEARCH("leak",C886)),"Fluid/Blood Leak",ISNUMBER(SEARCH("missing",C886)),"Component Missing",ISNUMBER(SEARCH("power",C886)),"Complete Loss of Power",ISNUMBER(SEARCH("will not turn on",C886)),"Complete Loss of Power",ISNUMBER(SEARCH("won't turn on",C886)),"Complete Loss of Power",ISNUMBER(SEARCH("does not turn on",C886)),"Complete Loss of Power",ISNUMBER(SEARCH("electrical",C886)),"Electrical Power Problem",ISNUMBER(SEARCH("pressure",C886)),"Detachment of Device or Device Component",ISNUMBER(SEARCH("slip",C886)),"Detachment of Device or Device Component",ISNUMBER(SEARCH("detach",C886)),"Detachment of Device or Device Component",ISNUMBER(SEARCH("stick",C886)),"Mechanical Jam",ISNUMBER(SEARCH("jam",C886)),"Mechanical Jam",ISNUMBER(SEARCH("rigid",C886)),"Mechanical Jam",ISNUMBER(SEARCH("rust",C886)),"Corroded",ISNUMBER(SEARCH("corrod",C886)),"Corroded",ISNUMBER(SEARCH("corrosion",C886)),"Corroded",ISNUMBER(SEARCH("alignment",C886)),"Defective Device",ISNUMBER(SEARCH("adjust",C886)),"Defective Device",ISNUMBER(SEARCH("perform",C886)),"Defective Device",ISNUMBER(SEARCH("malfunction",C886)),"Defective Device",ISNUMBER(SEARCH("defect",C886)),"Defective Device",ISNUMBER(SEARCH("fail",C886)),"Defective Device",ISNUMBER(SEARCH("not work",C886)),"Defective Device",ISNUMBER(SEARCH("doesn't work",C886)),"Defective Device",TRUE,"UNKNOWN"),"UNKNOWN")))</f>
        <v/>
      </c>
      <c r="F886" s="4" t="str">
        <f t="shared" si="14"/>
        <v/>
      </c>
      <c r="G886" s="363" t="str">
        <f>IF(E886="","",IFERROR(VLOOKUP(E886,Codes!$L$2:$N$409,3,FALSE),"—"))</f>
        <v/>
      </c>
      <c r="H886" s="88"/>
      <c r="I886" s="88"/>
    </row>
    <row r="887" spans="1:9" ht="13.15" x14ac:dyDescent="0.35">
      <c r="A887" s="92"/>
      <c r="B887" s="89"/>
      <c r="C887" s="88"/>
      <c r="D887" s="88"/>
      <c r="E887" s="93" t="str" cm="1">
        <f t="array" ref="E887">IF(D887&lt;&gt;"",IFERROR(VLOOKUP(D887,Codes!$K$2:$L$409,2,FALSE),"UNKNOWN - "&amp;D887),IF(C887="","",IFERROR(_xlfn.IFS(ISNUMBER(SEARCH("broken button",C887)),"Break",ISNUMBER(SEARCH("broken handle",C887)),"Break",ISNUMBER(SEARCH("shipping damage",C887)),"Break",ISNUMBER(SEARCH("broken",C887)),"Break",ISNUMBER(SEARCH("crack",C887)),"Break",ISNUMBER(SEARCH("snap",C887)),"Break",ISNUMBER(SEARCH("fracture",C887)),"Break",ISNUMBER(SEARCH("bent",C887)),"Material Twisted/Bent",ISNUMBER(SEARCH("twisted",C887)),"Material Twisted/Bent",ISNUMBER(SEARCH("component separat",C887)),"Material Separation",ISNUMBER(SEARCH("separat",C887)),"Material Separation",ISNUMBER(SEARCH("connection",C887)),"Loose or Intermittent Connection",ISNUMBER(SEARCH("loose",C887)),"Loose or Intermittent Connection",ISNUMBER(SEARCH("damaged packaging",C887)),"Packaging Problem",ISNUMBER(SEARCH("packaging",C887)),"Packaging Problem",ISNUMBER(SEARCH("discoloration",C887)),"Contamination",ISNUMBER(SEARCH("tarnish",C887)),"Contamination",ISNUMBER(SEARCH("stain",C887)),"Contamination",ISNUMBER(SEARCH("foreign material",C887)),"Contamination",ISNUMBER(SEARCH("contamina",C887)),"Contamination",ISNUMBER(SEARCH("overheat",C887)),"Overheating of Device",ISNUMBER(SEARCH("excessive heat",C887)),"Overheating of Device",ISNUMBER(SEARCH("hot",C887)),"Overheating of Device",ISNUMBER(SEARCH("noise",C887)),"Noise, Audible",ISNUMBER(SEARCH("sound",C887)),"Noise, Audible",ISNUMBER(SEARCH("loud",C887)),"Noise, Audible",ISNUMBER(SEARCH("fray",C887)),"Material Frayed",ISNUMBER(SEARCH("hole",C887)),"Material Frayed",ISNUMBER(SEARCH("tear",C887)),"Material Frayed",ISNUMBER(SEARCH("worn",C887)),"Material Frayed",ISNUMBER(SEARCH("intermittent",C887)),"Difficult or Delayed Activation",ISNUMBER(SEARCH("delay",C887)),"Difficult or Delayed Activation",ISNUMBER(SEARCH("label",C887)),"Device Markings/Labelling Problem",ISNUMBER(SEARCH("marking",C887)),"Device Markings/Labelling Problem",ISNUMBER(SEARCH("lacerat",C887)),"Defective Device",ISNUMBER(SEARCH("cut",C887)),"Defective Device",ISNUMBER(SEARCH("leak",C887)),"Fluid/Blood Leak",ISNUMBER(SEARCH("missing",C887)),"Component Missing",ISNUMBER(SEARCH("power",C887)),"Complete Loss of Power",ISNUMBER(SEARCH("will not turn on",C887)),"Complete Loss of Power",ISNUMBER(SEARCH("won't turn on",C887)),"Complete Loss of Power",ISNUMBER(SEARCH("does not turn on",C887)),"Complete Loss of Power",ISNUMBER(SEARCH("electrical",C887)),"Electrical Power Problem",ISNUMBER(SEARCH("pressure",C887)),"Detachment of Device or Device Component",ISNUMBER(SEARCH("slip",C887)),"Detachment of Device or Device Component",ISNUMBER(SEARCH("detach",C887)),"Detachment of Device or Device Component",ISNUMBER(SEARCH("stick",C887)),"Mechanical Jam",ISNUMBER(SEARCH("jam",C887)),"Mechanical Jam",ISNUMBER(SEARCH("rigid",C887)),"Mechanical Jam",ISNUMBER(SEARCH("rust",C887)),"Corroded",ISNUMBER(SEARCH("corrod",C887)),"Corroded",ISNUMBER(SEARCH("corrosion",C887)),"Corroded",ISNUMBER(SEARCH("alignment",C887)),"Defective Device",ISNUMBER(SEARCH("adjust",C887)),"Defective Device",ISNUMBER(SEARCH("perform",C887)),"Defective Device",ISNUMBER(SEARCH("malfunction",C887)),"Defective Device",ISNUMBER(SEARCH("defect",C887)),"Defective Device",ISNUMBER(SEARCH("fail",C887)),"Defective Device",ISNUMBER(SEARCH("not work",C887)),"Defective Device",ISNUMBER(SEARCH("doesn't work",C887)),"Defective Device",TRUE,"UNKNOWN"),"UNKNOWN")))</f>
        <v/>
      </c>
      <c r="F887" s="4" t="str">
        <f t="shared" si="14"/>
        <v/>
      </c>
      <c r="G887" s="363" t="str">
        <f>IF(E887="","",IFERROR(VLOOKUP(E887,Codes!$L$2:$N$409,3,FALSE),"—"))</f>
        <v/>
      </c>
      <c r="H887" s="88"/>
      <c r="I887" s="88"/>
    </row>
    <row r="888" spans="1:9" ht="13.15" x14ac:dyDescent="0.35">
      <c r="A888" s="92"/>
      <c r="B888" s="89"/>
      <c r="C888" s="88"/>
      <c r="D888" s="88"/>
      <c r="E888" s="93" t="str" cm="1">
        <f t="array" ref="E888">IF(D888&lt;&gt;"",IFERROR(VLOOKUP(D888,Codes!$K$2:$L$409,2,FALSE),"UNKNOWN - "&amp;D888),IF(C888="","",IFERROR(_xlfn.IFS(ISNUMBER(SEARCH("broken button",C888)),"Break",ISNUMBER(SEARCH("broken handle",C888)),"Break",ISNUMBER(SEARCH("shipping damage",C888)),"Break",ISNUMBER(SEARCH("broken",C888)),"Break",ISNUMBER(SEARCH("crack",C888)),"Break",ISNUMBER(SEARCH("snap",C888)),"Break",ISNUMBER(SEARCH("fracture",C888)),"Break",ISNUMBER(SEARCH("bent",C888)),"Material Twisted/Bent",ISNUMBER(SEARCH("twisted",C888)),"Material Twisted/Bent",ISNUMBER(SEARCH("component separat",C888)),"Material Separation",ISNUMBER(SEARCH("separat",C888)),"Material Separation",ISNUMBER(SEARCH("connection",C888)),"Loose or Intermittent Connection",ISNUMBER(SEARCH("loose",C888)),"Loose or Intermittent Connection",ISNUMBER(SEARCH("damaged packaging",C888)),"Packaging Problem",ISNUMBER(SEARCH("packaging",C888)),"Packaging Problem",ISNUMBER(SEARCH("discoloration",C888)),"Contamination",ISNUMBER(SEARCH("tarnish",C888)),"Contamination",ISNUMBER(SEARCH("stain",C888)),"Contamination",ISNUMBER(SEARCH("foreign material",C888)),"Contamination",ISNUMBER(SEARCH("contamina",C888)),"Contamination",ISNUMBER(SEARCH("overheat",C888)),"Overheating of Device",ISNUMBER(SEARCH("excessive heat",C888)),"Overheating of Device",ISNUMBER(SEARCH("hot",C888)),"Overheating of Device",ISNUMBER(SEARCH("noise",C888)),"Noise, Audible",ISNUMBER(SEARCH("sound",C888)),"Noise, Audible",ISNUMBER(SEARCH("loud",C888)),"Noise, Audible",ISNUMBER(SEARCH("fray",C888)),"Material Frayed",ISNUMBER(SEARCH("hole",C888)),"Material Frayed",ISNUMBER(SEARCH("tear",C888)),"Material Frayed",ISNUMBER(SEARCH("worn",C888)),"Material Frayed",ISNUMBER(SEARCH("intermittent",C888)),"Difficult or Delayed Activation",ISNUMBER(SEARCH("delay",C888)),"Difficult or Delayed Activation",ISNUMBER(SEARCH("label",C888)),"Device Markings/Labelling Problem",ISNUMBER(SEARCH("marking",C888)),"Device Markings/Labelling Problem",ISNUMBER(SEARCH("lacerat",C888)),"Defective Device",ISNUMBER(SEARCH("cut",C888)),"Defective Device",ISNUMBER(SEARCH("leak",C888)),"Fluid/Blood Leak",ISNUMBER(SEARCH("missing",C888)),"Component Missing",ISNUMBER(SEARCH("power",C888)),"Complete Loss of Power",ISNUMBER(SEARCH("will not turn on",C888)),"Complete Loss of Power",ISNUMBER(SEARCH("won't turn on",C888)),"Complete Loss of Power",ISNUMBER(SEARCH("does not turn on",C888)),"Complete Loss of Power",ISNUMBER(SEARCH("electrical",C888)),"Electrical Power Problem",ISNUMBER(SEARCH("pressure",C888)),"Detachment of Device or Device Component",ISNUMBER(SEARCH("slip",C888)),"Detachment of Device or Device Component",ISNUMBER(SEARCH("detach",C888)),"Detachment of Device or Device Component",ISNUMBER(SEARCH("stick",C888)),"Mechanical Jam",ISNUMBER(SEARCH("jam",C888)),"Mechanical Jam",ISNUMBER(SEARCH("rigid",C888)),"Mechanical Jam",ISNUMBER(SEARCH("rust",C888)),"Corroded",ISNUMBER(SEARCH("corrod",C888)),"Corroded",ISNUMBER(SEARCH("corrosion",C888)),"Corroded",ISNUMBER(SEARCH("alignment",C888)),"Defective Device",ISNUMBER(SEARCH("adjust",C888)),"Defective Device",ISNUMBER(SEARCH("perform",C888)),"Defective Device",ISNUMBER(SEARCH("malfunction",C888)),"Defective Device",ISNUMBER(SEARCH("defect",C888)),"Defective Device",ISNUMBER(SEARCH("fail",C888)),"Defective Device",ISNUMBER(SEARCH("not work",C888)),"Defective Device",ISNUMBER(SEARCH("doesn't work",C888)),"Defective Device",TRUE,"UNKNOWN"),"UNKNOWN")))</f>
        <v/>
      </c>
      <c r="F888" s="4" t="str">
        <f t="shared" si="14"/>
        <v/>
      </c>
      <c r="G888" s="363" t="str">
        <f>IF(E888="","",IFERROR(VLOOKUP(E888,Codes!$L$2:$N$409,3,FALSE),"—"))</f>
        <v/>
      </c>
      <c r="H888" s="88"/>
      <c r="I888" s="88"/>
    </row>
    <row r="889" spans="1:9" ht="13.15" x14ac:dyDescent="0.35">
      <c r="A889" s="92"/>
      <c r="B889" s="89"/>
      <c r="C889" s="88"/>
      <c r="D889" s="88"/>
      <c r="E889" s="93" t="str" cm="1">
        <f t="array" ref="E889">IF(D889&lt;&gt;"",IFERROR(VLOOKUP(D889,Codes!$K$2:$L$409,2,FALSE),"UNKNOWN - "&amp;D889),IF(C889="","",IFERROR(_xlfn.IFS(ISNUMBER(SEARCH("broken button",C889)),"Break",ISNUMBER(SEARCH("broken handle",C889)),"Break",ISNUMBER(SEARCH("shipping damage",C889)),"Break",ISNUMBER(SEARCH("broken",C889)),"Break",ISNUMBER(SEARCH("crack",C889)),"Break",ISNUMBER(SEARCH("snap",C889)),"Break",ISNUMBER(SEARCH("fracture",C889)),"Break",ISNUMBER(SEARCH("bent",C889)),"Material Twisted/Bent",ISNUMBER(SEARCH("twisted",C889)),"Material Twisted/Bent",ISNUMBER(SEARCH("component separat",C889)),"Material Separation",ISNUMBER(SEARCH("separat",C889)),"Material Separation",ISNUMBER(SEARCH("connection",C889)),"Loose or Intermittent Connection",ISNUMBER(SEARCH("loose",C889)),"Loose or Intermittent Connection",ISNUMBER(SEARCH("damaged packaging",C889)),"Packaging Problem",ISNUMBER(SEARCH("packaging",C889)),"Packaging Problem",ISNUMBER(SEARCH("discoloration",C889)),"Contamination",ISNUMBER(SEARCH("tarnish",C889)),"Contamination",ISNUMBER(SEARCH("stain",C889)),"Contamination",ISNUMBER(SEARCH("foreign material",C889)),"Contamination",ISNUMBER(SEARCH("contamina",C889)),"Contamination",ISNUMBER(SEARCH("overheat",C889)),"Overheating of Device",ISNUMBER(SEARCH("excessive heat",C889)),"Overheating of Device",ISNUMBER(SEARCH("hot",C889)),"Overheating of Device",ISNUMBER(SEARCH("noise",C889)),"Noise, Audible",ISNUMBER(SEARCH("sound",C889)),"Noise, Audible",ISNUMBER(SEARCH("loud",C889)),"Noise, Audible",ISNUMBER(SEARCH("fray",C889)),"Material Frayed",ISNUMBER(SEARCH("hole",C889)),"Material Frayed",ISNUMBER(SEARCH("tear",C889)),"Material Frayed",ISNUMBER(SEARCH("worn",C889)),"Material Frayed",ISNUMBER(SEARCH("intermittent",C889)),"Difficult or Delayed Activation",ISNUMBER(SEARCH("delay",C889)),"Difficult or Delayed Activation",ISNUMBER(SEARCH("label",C889)),"Device Markings/Labelling Problem",ISNUMBER(SEARCH("marking",C889)),"Device Markings/Labelling Problem",ISNUMBER(SEARCH("lacerat",C889)),"Defective Device",ISNUMBER(SEARCH("cut",C889)),"Defective Device",ISNUMBER(SEARCH("leak",C889)),"Fluid/Blood Leak",ISNUMBER(SEARCH("missing",C889)),"Component Missing",ISNUMBER(SEARCH("power",C889)),"Complete Loss of Power",ISNUMBER(SEARCH("will not turn on",C889)),"Complete Loss of Power",ISNUMBER(SEARCH("won't turn on",C889)),"Complete Loss of Power",ISNUMBER(SEARCH("does not turn on",C889)),"Complete Loss of Power",ISNUMBER(SEARCH("electrical",C889)),"Electrical Power Problem",ISNUMBER(SEARCH("pressure",C889)),"Detachment of Device or Device Component",ISNUMBER(SEARCH("slip",C889)),"Detachment of Device or Device Component",ISNUMBER(SEARCH("detach",C889)),"Detachment of Device or Device Component",ISNUMBER(SEARCH("stick",C889)),"Mechanical Jam",ISNUMBER(SEARCH("jam",C889)),"Mechanical Jam",ISNUMBER(SEARCH("rigid",C889)),"Mechanical Jam",ISNUMBER(SEARCH("rust",C889)),"Corroded",ISNUMBER(SEARCH("corrod",C889)),"Corroded",ISNUMBER(SEARCH("corrosion",C889)),"Corroded",ISNUMBER(SEARCH("alignment",C889)),"Defective Device",ISNUMBER(SEARCH("adjust",C889)),"Defective Device",ISNUMBER(SEARCH("perform",C889)),"Defective Device",ISNUMBER(SEARCH("malfunction",C889)),"Defective Device",ISNUMBER(SEARCH("defect",C889)),"Defective Device",ISNUMBER(SEARCH("fail",C889)),"Defective Device",ISNUMBER(SEARCH("not work",C889)),"Defective Device",ISNUMBER(SEARCH("doesn't work",C889)),"Defective Device",TRUE,"UNKNOWN"),"UNKNOWN")))</f>
        <v/>
      </c>
      <c r="F889" s="4" t="str">
        <f t="shared" si="14"/>
        <v/>
      </c>
      <c r="G889" s="363" t="str">
        <f>IF(E889="","",IFERROR(VLOOKUP(E889,Codes!$L$2:$N$409,3,FALSE),"—"))</f>
        <v/>
      </c>
      <c r="H889" s="88"/>
      <c r="I889" s="88"/>
    </row>
    <row r="890" spans="1:9" ht="13.15" x14ac:dyDescent="0.35">
      <c r="A890" s="92"/>
      <c r="B890" s="89"/>
      <c r="C890" s="88"/>
      <c r="D890" s="88"/>
      <c r="E890" s="93" t="str" cm="1">
        <f t="array" ref="E890">IF(D890&lt;&gt;"",IFERROR(VLOOKUP(D890,Codes!$K$2:$L$409,2,FALSE),"UNKNOWN - "&amp;D890),IF(C890="","",IFERROR(_xlfn.IFS(ISNUMBER(SEARCH("broken button",C890)),"Break",ISNUMBER(SEARCH("broken handle",C890)),"Break",ISNUMBER(SEARCH("shipping damage",C890)),"Break",ISNUMBER(SEARCH("broken",C890)),"Break",ISNUMBER(SEARCH("crack",C890)),"Break",ISNUMBER(SEARCH("snap",C890)),"Break",ISNUMBER(SEARCH("fracture",C890)),"Break",ISNUMBER(SEARCH("bent",C890)),"Material Twisted/Bent",ISNUMBER(SEARCH("twisted",C890)),"Material Twisted/Bent",ISNUMBER(SEARCH("component separat",C890)),"Material Separation",ISNUMBER(SEARCH("separat",C890)),"Material Separation",ISNUMBER(SEARCH("connection",C890)),"Loose or Intermittent Connection",ISNUMBER(SEARCH("loose",C890)),"Loose or Intermittent Connection",ISNUMBER(SEARCH("damaged packaging",C890)),"Packaging Problem",ISNUMBER(SEARCH("packaging",C890)),"Packaging Problem",ISNUMBER(SEARCH("discoloration",C890)),"Contamination",ISNUMBER(SEARCH("tarnish",C890)),"Contamination",ISNUMBER(SEARCH("stain",C890)),"Contamination",ISNUMBER(SEARCH("foreign material",C890)),"Contamination",ISNUMBER(SEARCH("contamina",C890)),"Contamination",ISNUMBER(SEARCH("overheat",C890)),"Overheating of Device",ISNUMBER(SEARCH("excessive heat",C890)),"Overheating of Device",ISNUMBER(SEARCH("hot",C890)),"Overheating of Device",ISNUMBER(SEARCH("noise",C890)),"Noise, Audible",ISNUMBER(SEARCH("sound",C890)),"Noise, Audible",ISNUMBER(SEARCH("loud",C890)),"Noise, Audible",ISNUMBER(SEARCH("fray",C890)),"Material Frayed",ISNUMBER(SEARCH("hole",C890)),"Material Frayed",ISNUMBER(SEARCH("tear",C890)),"Material Frayed",ISNUMBER(SEARCH("worn",C890)),"Material Frayed",ISNUMBER(SEARCH("intermittent",C890)),"Difficult or Delayed Activation",ISNUMBER(SEARCH("delay",C890)),"Difficult or Delayed Activation",ISNUMBER(SEARCH("label",C890)),"Device Markings/Labelling Problem",ISNUMBER(SEARCH("marking",C890)),"Device Markings/Labelling Problem",ISNUMBER(SEARCH("lacerat",C890)),"Defective Device",ISNUMBER(SEARCH("cut",C890)),"Defective Device",ISNUMBER(SEARCH("leak",C890)),"Fluid/Blood Leak",ISNUMBER(SEARCH("missing",C890)),"Component Missing",ISNUMBER(SEARCH("power",C890)),"Complete Loss of Power",ISNUMBER(SEARCH("will not turn on",C890)),"Complete Loss of Power",ISNUMBER(SEARCH("won't turn on",C890)),"Complete Loss of Power",ISNUMBER(SEARCH("does not turn on",C890)),"Complete Loss of Power",ISNUMBER(SEARCH("electrical",C890)),"Electrical Power Problem",ISNUMBER(SEARCH("pressure",C890)),"Detachment of Device or Device Component",ISNUMBER(SEARCH("slip",C890)),"Detachment of Device or Device Component",ISNUMBER(SEARCH("detach",C890)),"Detachment of Device or Device Component",ISNUMBER(SEARCH("stick",C890)),"Mechanical Jam",ISNUMBER(SEARCH("jam",C890)),"Mechanical Jam",ISNUMBER(SEARCH("rigid",C890)),"Mechanical Jam",ISNUMBER(SEARCH("rust",C890)),"Corroded",ISNUMBER(SEARCH("corrod",C890)),"Corroded",ISNUMBER(SEARCH("corrosion",C890)),"Corroded",ISNUMBER(SEARCH("alignment",C890)),"Defective Device",ISNUMBER(SEARCH("adjust",C890)),"Defective Device",ISNUMBER(SEARCH("perform",C890)),"Defective Device",ISNUMBER(SEARCH("malfunction",C890)),"Defective Device",ISNUMBER(SEARCH("defect",C890)),"Defective Device",ISNUMBER(SEARCH("fail",C890)),"Defective Device",ISNUMBER(SEARCH("not work",C890)),"Defective Device",ISNUMBER(SEARCH("doesn't work",C890)),"Defective Device",TRUE,"UNKNOWN"),"UNKNOWN")))</f>
        <v/>
      </c>
      <c r="F890" s="4" t="str">
        <f t="shared" si="14"/>
        <v/>
      </c>
      <c r="G890" s="363" t="str">
        <f>IF(E890="","",IFERROR(VLOOKUP(E890,Codes!$L$2:$N$409,3,FALSE),"—"))</f>
        <v/>
      </c>
      <c r="H890" s="88"/>
      <c r="I890" s="88"/>
    </row>
    <row r="891" spans="1:9" ht="13.15" x14ac:dyDescent="0.35">
      <c r="A891" s="92"/>
      <c r="B891" s="89"/>
      <c r="C891" s="88"/>
      <c r="D891" s="88"/>
      <c r="E891" s="93" t="str" cm="1">
        <f t="array" ref="E891">IF(D891&lt;&gt;"",IFERROR(VLOOKUP(D891,Codes!$K$2:$L$409,2,FALSE),"UNKNOWN - "&amp;D891),IF(C891="","",IFERROR(_xlfn.IFS(ISNUMBER(SEARCH("broken button",C891)),"Break",ISNUMBER(SEARCH("broken handle",C891)),"Break",ISNUMBER(SEARCH("shipping damage",C891)),"Break",ISNUMBER(SEARCH("broken",C891)),"Break",ISNUMBER(SEARCH("crack",C891)),"Break",ISNUMBER(SEARCH("snap",C891)),"Break",ISNUMBER(SEARCH("fracture",C891)),"Break",ISNUMBER(SEARCH("bent",C891)),"Material Twisted/Bent",ISNUMBER(SEARCH("twisted",C891)),"Material Twisted/Bent",ISNUMBER(SEARCH("component separat",C891)),"Material Separation",ISNUMBER(SEARCH("separat",C891)),"Material Separation",ISNUMBER(SEARCH("connection",C891)),"Loose or Intermittent Connection",ISNUMBER(SEARCH("loose",C891)),"Loose or Intermittent Connection",ISNUMBER(SEARCH("damaged packaging",C891)),"Packaging Problem",ISNUMBER(SEARCH("packaging",C891)),"Packaging Problem",ISNUMBER(SEARCH("discoloration",C891)),"Contamination",ISNUMBER(SEARCH("tarnish",C891)),"Contamination",ISNUMBER(SEARCH("stain",C891)),"Contamination",ISNUMBER(SEARCH("foreign material",C891)),"Contamination",ISNUMBER(SEARCH("contamina",C891)),"Contamination",ISNUMBER(SEARCH("overheat",C891)),"Overheating of Device",ISNUMBER(SEARCH("excessive heat",C891)),"Overheating of Device",ISNUMBER(SEARCH("hot",C891)),"Overheating of Device",ISNUMBER(SEARCH("noise",C891)),"Noise, Audible",ISNUMBER(SEARCH("sound",C891)),"Noise, Audible",ISNUMBER(SEARCH("loud",C891)),"Noise, Audible",ISNUMBER(SEARCH("fray",C891)),"Material Frayed",ISNUMBER(SEARCH("hole",C891)),"Material Frayed",ISNUMBER(SEARCH("tear",C891)),"Material Frayed",ISNUMBER(SEARCH("worn",C891)),"Material Frayed",ISNUMBER(SEARCH("intermittent",C891)),"Difficult or Delayed Activation",ISNUMBER(SEARCH("delay",C891)),"Difficult or Delayed Activation",ISNUMBER(SEARCH("label",C891)),"Device Markings/Labelling Problem",ISNUMBER(SEARCH("marking",C891)),"Device Markings/Labelling Problem",ISNUMBER(SEARCH("lacerat",C891)),"Defective Device",ISNUMBER(SEARCH("cut",C891)),"Defective Device",ISNUMBER(SEARCH("leak",C891)),"Fluid/Blood Leak",ISNUMBER(SEARCH("missing",C891)),"Component Missing",ISNUMBER(SEARCH("power",C891)),"Complete Loss of Power",ISNUMBER(SEARCH("will not turn on",C891)),"Complete Loss of Power",ISNUMBER(SEARCH("won't turn on",C891)),"Complete Loss of Power",ISNUMBER(SEARCH("does not turn on",C891)),"Complete Loss of Power",ISNUMBER(SEARCH("electrical",C891)),"Electrical Power Problem",ISNUMBER(SEARCH("pressure",C891)),"Detachment of Device or Device Component",ISNUMBER(SEARCH("slip",C891)),"Detachment of Device or Device Component",ISNUMBER(SEARCH("detach",C891)),"Detachment of Device or Device Component",ISNUMBER(SEARCH("stick",C891)),"Mechanical Jam",ISNUMBER(SEARCH("jam",C891)),"Mechanical Jam",ISNUMBER(SEARCH("rigid",C891)),"Mechanical Jam",ISNUMBER(SEARCH("rust",C891)),"Corroded",ISNUMBER(SEARCH("corrod",C891)),"Corroded",ISNUMBER(SEARCH("corrosion",C891)),"Corroded",ISNUMBER(SEARCH("alignment",C891)),"Defective Device",ISNUMBER(SEARCH("adjust",C891)),"Defective Device",ISNUMBER(SEARCH("perform",C891)),"Defective Device",ISNUMBER(SEARCH("malfunction",C891)),"Defective Device",ISNUMBER(SEARCH("defect",C891)),"Defective Device",ISNUMBER(SEARCH("fail",C891)),"Defective Device",ISNUMBER(SEARCH("not work",C891)),"Defective Device",ISNUMBER(SEARCH("doesn't work",C891)),"Defective Device",TRUE,"UNKNOWN"),"UNKNOWN")))</f>
        <v/>
      </c>
      <c r="F891" s="4" t="str">
        <f t="shared" ref="F891:F928" si="15">IF(E891="","","No Clinical Signs, Symptoms or Conditions")</f>
        <v/>
      </c>
      <c r="G891" s="363" t="str">
        <f>IF(E891="","",IFERROR(VLOOKUP(E891,Codes!$L$2:$N$409,3,FALSE),"—"))</f>
        <v/>
      </c>
      <c r="H891" s="88"/>
      <c r="I891" s="88"/>
    </row>
    <row r="892" spans="1:9" ht="13.15" x14ac:dyDescent="0.35">
      <c r="A892" s="92"/>
      <c r="B892" s="89"/>
      <c r="C892" s="88"/>
      <c r="D892" s="88"/>
      <c r="E892" s="93" t="str" cm="1">
        <f t="array" ref="E892">IF(D892&lt;&gt;"",IFERROR(VLOOKUP(D892,Codes!$K$2:$L$409,2,FALSE),"UNKNOWN - "&amp;D892),IF(C892="","",IFERROR(_xlfn.IFS(ISNUMBER(SEARCH("broken button",C892)),"Break",ISNUMBER(SEARCH("broken handle",C892)),"Break",ISNUMBER(SEARCH("shipping damage",C892)),"Break",ISNUMBER(SEARCH("broken",C892)),"Break",ISNUMBER(SEARCH("crack",C892)),"Break",ISNUMBER(SEARCH("snap",C892)),"Break",ISNUMBER(SEARCH("fracture",C892)),"Break",ISNUMBER(SEARCH("bent",C892)),"Material Twisted/Bent",ISNUMBER(SEARCH("twisted",C892)),"Material Twisted/Bent",ISNUMBER(SEARCH("component separat",C892)),"Material Separation",ISNUMBER(SEARCH("separat",C892)),"Material Separation",ISNUMBER(SEARCH("connection",C892)),"Loose or Intermittent Connection",ISNUMBER(SEARCH("loose",C892)),"Loose or Intermittent Connection",ISNUMBER(SEARCH("damaged packaging",C892)),"Packaging Problem",ISNUMBER(SEARCH("packaging",C892)),"Packaging Problem",ISNUMBER(SEARCH("discoloration",C892)),"Contamination",ISNUMBER(SEARCH("tarnish",C892)),"Contamination",ISNUMBER(SEARCH("stain",C892)),"Contamination",ISNUMBER(SEARCH("foreign material",C892)),"Contamination",ISNUMBER(SEARCH("contamina",C892)),"Contamination",ISNUMBER(SEARCH("overheat",C892)),"Overheating of Device",ISNUMBER(SEARCH("excessive heat",C892)),"Overheating of Device",ISNUMBER(SEARCH("hot",C892)),"Overheating of Device",ISNUMBER(SEARCH("noise",C892)),"Noise, Audible",ISNUMBER(SEARCH("sound",C892)),"Noise, Audible",ISNUMBER(SEARCH("loud",C892)),"Noise, Audible",ISNUMBER(SEARCH("fray",C892)),"Material Frayed",ISNUMBER(SEARCH("hole",C892)),"Material Frayed",ISNUMBER(SEARCH("tear",C892)),"Material Frayed",ISNUMBER(SEARCH("worn",C892)),"Material Frayed",ISNUMBER(SEARCH("intermittent",C892)),"Difficult or Delayed Activation",ISNUMBER(SEARCH("delay",C892)),"Difficult or Delayed Activation",ISNUMBER(SEARCH("label",C892)),"Device Markings/Labelling Problem",ISNUMBER(SEARCH("marking",C892)),"Device Markings/Labelling Problem",ISNUMBER(SEARCH("lacerat",C892)),"Defective Device",ISNUMBER(SEARCH("cut",C892)),"Defective Device",ISNUMBER(SEARCH("leak",C892)),"Fluid/Blood Leak",ISNUMBER(SEARCH("missing",C892)),"Component Missing",ISNUMBER(SEARCH("power",C892)),"Complete Loss of Power",ISNUMBER(SEARCH("will not turn on",C892)),"Complete Loss of Power",ISNUMBER(SEARCH("won't turn on",C892)),"Complete Loss of Power",ISNUMBER(SEARCH("does not turn on",C892)),"Complete Loss of Power",ISNUMBER(SEARCH("electrical",C892)),"Electrical Power Problem",ISNUMBER(SEARCH("pressure",C892)),"Detachment of Device or Device Component",ISNUMBER(SEARCH("slip",C892)),"Detachment of Device or Device Component",ISNUMBER(SEARCH("detach",C892)),"Detachment of Device or Device Component",ISNUMBER(SEARCH("stick",C892)),"Mechanical Jam",ISNUMBER(SEARCH("jam",C892)),"Mechanical Jam",ISNUMBER(SEARCH("rigid",C892)),"Mechanical Jam",ISNUMBER(SEARCH("rust",C892)),"Corroded",ISNUMBER(SEARCH("corrod",C892)),"Corroded",ISNUMBER(SEARCH("corrosion",C892)),"Corroded",ISNUMBER(SEARCH("alignment",C892)),"Defective Device",ISNUMBER(SEARCH("adjust",C892)),"Defective Device",ISNUMBER(SEARCH("perform",C892)),"Defective Device",ISNUMBER(SEARCH("malfunction",C892)),"Defective Device",ISNUMBER(SEARCH("defect",C892)),"Defective Device",ISNUMBER(SEARCH("fail",C892)),"Defective Device",ISNUMBER(SEARCH("not work",C892)),"Defective Device",ISNUMBER(SEARCH("doesn't work",C892)),"Defective Device",TRUE,"UNKNOWN"),"UNKNOWN")))</f>
        <v/>
      </c>
      <c r="F892" s="4" t="str">
        <f t="shared" si="15"/>
        <v/>
      </c>
      <c r="G892" s="363" t="str">
        <f>IF(E892="","",IFERROR(VLOOKUP(E892,Codes!$L$2:$N$409,3,FALSE),"—"))</f>
        <v/>
      </c>
      <c r="H892" s="88"/>
      <c r="I892" s="88"/>
    </row>
    <row r="893" spans="1:9" ht="13.15" x14ac:dyDescent="0.35">
      <c r="A893" s="92"/>
      <c r="B893" s="89"/>
      <c r="C893" s="88"/>
      <c r="D893" s="88"/>
      <c r="E893" s="93" t="str" cm="1">
        <f t="array" ref="E893">IF(D893&lt;&gt;"",IFERROR(VLOOKUP(D893,Codes!$K$2:$L$409,2,FALSE),"UNKNOWN - "&amp;D893),IF(C893="","",IFERROR(_xlfn.IFS(ISNUMBER(SEARCH("broken button",C893)),"Break",ISNUMBER(SEARCH("broken handle",C893)),"Break",ISNUMBER(SEARCH("shipping damage",C893)),"Break",ISNUMBER(SEARCH("broken",C893)),"Break",ISNUMBER(SEARCH("crack",C893)),"Break",ISNUMBER(SEARCH("snap",C893)),"Break",ISNUMBER(SEARCH("fracture",C893)),"Break",ISNUMBER(SEARCH("bent",C893)),"Material Twisted/Bent",ISNUMBER(SEARCH("twisted",C893)),"Material Twisted/Bent",ISNUMBER(SEARCH("component separat",C893)),"Material Separation",ISNUMBER(SEARCH("separat",C893)),"Material Separation",ISNUMBER(SEARCH("connection",C893)),"Loose or Intermittent Connection",ISNUMBER(SEARCH("loose",C893)),"Loose or Intermittent Connection",ISNUMBER(SEARCH("damaged packaging",C893)),"Packaging Problem",ISNUMBER(SEARCH("packaging",C893)),"Packaging Problem",ISNUMBER(SEARCH("discoloration",C893)),"Contamination",ISNUMBER(SEARCH("tarnish",C893)),"Contamination",ISNUMBER(SEARCH("stain",C893)),"Contamination",ISNUMBER(SEARCH("foreign material",C893)),"Contamination",ISNUMBER(SEARCH("contamina",C893)),"Contamination",ISNUMBER(SEARCH("overheat",C893)),"Overheating of Device",ISNUMBER(SEARCH("excessive heat",C893)),"Overheating of Device",ISNUMBER(SEARCH("hot",C893)),"Overheating of Device",ISNUMBER(SEARCH("noise",C893)),"Noise, Audible",ISNUMBER(SEARCH("sound",C893)),"Noise, Audible",ISNUMBER(SEARCH("loud",C893)),"Noise, Audible",ISNUMBER(SEARCH("fray",C893)),"Material Frayed",ISNUMBER(SEARCH("hole",C893)),"Material Frayed",ISNUMBER(SEARCH("tear",C893)),"Material Frayed",ISNUMBER(SEARCH("worn",C893)),"Material Frayed",ISNUMBER(SEARCH("intermittent",C893)),"Difficult or Delayed Activation",ISNUMBER(SEARCH("delay",C893)),"Difficult or Delayed Activation",ISNUMBER(SEARCH("label",C893)),"Device Markings/Labelling Problem",ISNUMBER(SEARCH("marking",C893)),"Device Markings/Labelling Problem",ISNUMBER(SEARCH("lacerat",C893)),"Defective Device",ISNUMBER(SEARCH("cut",C893)),"Defective Device",ISNUMBER(SEARCH("leak",C893)),"Fluid/Blood Leak",ISNUMBER(SEARCH("missing",C893)),"Component Missing",ISNUMBER(SEARCH("power",C893)),"Complete Loss of Power",ISNUMBER(SEARCH("will not turn on",C893)),"Complete Loss of Power",ISNUMBER(SEARCH("won't turn on",C893)),"Complete Loss of Power",ISNUMBER(SEARCH("does not turn on",C893)),"Complete Loss of Power",ISNUMBER(SEARCH("electrical",C893)),"Electrical Power Problem",ISNUMBER(SEARCH("pressure",C893)),"Detachment of Device or Device Component",ISNUMBER(SEARCH("slip",C893)),"Detachment of Device or Device Component",ISNUMBER(SEARCH("detach",C893)),"Detachment of Device or Device Component",ISNUMBER(SEARCH("stick",C893)),"Mechanical Jam",ISNUMBER(SEARCH("jam",C893)),"Mechanical Jam",ISNUMBER(SEARCH("rigid",C893)),"Mechanical Jam",ISNUMBER(SEARCH("rust",C893)),"Corroded",ISNUMBER(SEARCH("corrod",C893)),"Corroded",ISNUMBER(SEARCH("corrosion",C893)),"Corroded",ISNUMBER(SEARCH("alignment",C893)),"Defective Device",ISNUMBER(SEARCH("adjust",C893)),"Defective Device",ISNUMBER(SEARCH("perform",C893)),"Defective Device",ISNUMBER(SEARCH("malfunction",C893)),"Defective Device",ISNUMBER(SEARCH("defect",C893)),"Defective Device",ISNUMBER(SEARCH("fail",C893)),"Defective Device",ISNUMBER(SEARCH("not work",C893)),"Defective Device",ISNUMBER(SEARCH("doesn't work",C893)),"Defective Device",TRUE,"UNKNOWN"),"UNKNOWN")))</f>
        <v/>
      </c>
      <c r="F893" s="4" t="str">
        <f t="shared" si="15"/>
        <v/>
      </c>
      <c r="G893" s="363" t="str">
        <f>IF(E893="","",IFERROR(VLOOKUP(E893,Codes!$L$2:$N$409,3,FALSE),"—"))</f>
        <v/>
      </c>
      <c r="H893" s="88"/>
      <c r="I893" s="88"/>
    </row>
    <row r="894" spans="1:9" ht="13.15" x14ac:dyDescent="0.35">
      <c r="A894" s="92"/>
      <c r="B894" s="89"/>
      <c r="C894" s="88"/>
      <c r="D894" s="88"/>
      <c r="E894" s="93" t="str" cm="1">
        <f t="array" ref="E894">IF(D894&lt;&gt;"",IFERROR(VLOOKUP(D894,Codes!$K$2:$L$409,2,FALSE),"UNKNOWN - "&amp;D894),IF(C894="","",IFERROR(_xlfn.IFS(ISNUMBER(SEARCH("broken button",C894)),"Break",ISNUMBER(SEARCH("broken handle",C894)),"Break",ISNUMBER(SEARCH("shipping damage",C894)),"Break",ISNUMBER(SEARCH("broken",C894)),"Break",ISNUMBER(SEARCH("crack",C894)),"Break",ISNUMBER(SEARCH("snap",C894)),"Break",ISNUMBER(SEARCH("fracture",C894)),"Break",ISNUMBER(SEARCH("bent",C894)),"Material Twisted/Bent",ISNUMBER(SEARCH("twisted",C894)),"Material Twisted/Bent",ISNUMBER(SEARCH("component separat",C894)),"Material Separation",ISNUMBER(SEARCH("separat",C894)),"Material Separation",ISNUMBER(SEARCH("connection",C894)),"Loose or Intermittent Connection",ISNUMBER(SEARCH("loose",C894)),"Loose or Intermittent Connection",ISNUMBER(SEARCH("damaged packaging",C894)),"Packaging Problem",ISNUMBER(SEARCH("packaging",C894)),"Packaging Problem",ISNUMBER(SEARCH("discoloration",C894)),"Contamination",ISNUMBER(SEARCH("tarnish",C894)),"Contamination",ISNUMBER(SEARCH("stain",C894)),"Contamination",ISNUMBER(SEARCH("foreign material",C894)),"Contamination",ISNUMBER(SEARCH("contamina",C894)),"Contamination",ISNUMBER(SEARCH("overheat",C894)),"Overheating of Device",ISNUMBER(SEARCH("excessive heat",C894)),"Overheating of Device",ISNUMBER(SEARCH("hot",C894)),"Overheating of Device",ISNUMBER(SEARCH("noise",C894)),"Noise, Audible",ISNUMBER(SEARCH("sound",C894)),"Noise, Audible",ISNUMBER(SEARCH("loud",C894)),"Noise, Audible",ISNUMBER(SEARCH("fray",C894)),"Material Frayed",ISNUMBER(SEARCH("hole",C894)),"Material Frayed",ISNUMBER(SEARCH("tear",C894)),"Material Frayed",ISNUMBER(SEARCH("worn",C894)),"Material Frayed",ISNUMBER(SEARCH("intermittent",C894)),"Difficult or Delayed Activation",ISNUMBER(SEARCH("delay",C894)),"Difficult or Delayed Activation",ISNUMBER(SEARCH("label",C894)),"Device Markings/Labelling Problem",ISNUMBER(SEARCH("marking",C894)),"Device Markings/Labelling Problem",ISNUMBER(SEARCH("lacerat",C894)),"Defective Device",ISNUMBER(SEARCH("cut",C894)),"Defective Device",ISNUMBER(SEARCH("leak",C894)),"Fluid/Blood Leak",ISNUMBER(SEARCH("missing",C894)),"Component Missing",ISNUMBER(SEARCH("power",C894)),"Complete Loss of Power",ISNUMBER(SEARCH("will not turn on",C894)),"Complete Loss of Power",ISNUMBER(SEARCH("won't turn on",C894)),"Complete Loss of Power",ISNUMBER(SEARCH("does not turn on",C894)),"Complete Loss of Power",ISNUMBER(SEARCH("electrical",C894)),"Electrical Power Problem",ISNUMBER(SEARCH("pressure",C894)),"Detachment of Device or Device Component",ISNUMBER(SEARCH("slip",C894)),"Detachment of Device or Device Component",ISNUMBER(SEARCH("detach",C894)),"Detachment of Device or Device Component",ISNUMBER(SEARCH("stick",C894)),"Mechanical Jam",ISNUMBER(SEARCH("jam",C894)),"Mechanical Jam",ISNUMBER(SEARCH("rigid",C894)),"Mechanical Jam",ISNUMBER(SEARCH("rust",C894)),"Corroded",ISNUMBER(SEARCH("corrod",C894)),"Corroded",ISNUMBER(SEARCH("corrosion",C894)),"Corroded",ISNUMBER(SEARCH("alignment",C894)),"Defective Device",ISNUMBER(SEARCH("adjust",C894)),"Defective Device",ISNUMBER(SEARCH("perform",C894)),"Defective Device",ISNUMBER(SEARCH("malfunction",C894)),"Defective Device",ISNUMBER(SEARCH("defect",C894)),"Defective Device",ISNUMBER(SEARCH("fail",C894)),"Defective Device",ISNUMBER(SEARCH("not work",C894)),"Defective Device",ISNUMBER(SEARCH("doesn't work",C894)),"Defective Device",TRUE,"UNKNOWN"),"UNKNOWN")))</f>
        <v/>
      </c>
      <c r="F894" s="4" t="str">
        <f t="shared" si="15"/>
        <v/>
      </c>
      <c r="G894" s="363" t="str">
        <f>IF(E894="","",IFERROR(VLOOKUP(E894,Codes!$L$2:$N$409,3,FALSE),"—"))</f>
        <v/>
      </c>
      <c r="H894" s="88"/>
      <c r="I894" s="88"/>
    </row>
    <row r="895" spans="1:9" ht="13.15" x14ac:dyDescent="0.35">
      <c r="A895" s="92"/>
      <c r="B895" s="89"/>
      <c r="C895" s="88"/>
      <c r="D895" s="88"/>
      <c r="E895" s="93" t="str" cm="1">
        <f t="array" ref="E895">IF(D895&lt;&gt;"",IFERROR(VLOOKUP(D895,Codes!$K$2:$L$409,2,FALSE),"UNKNOWN - "&amp;D895),IF(C895="","",IFERROR(_xlfn.IFS(ISNUMBER(SEARCH("broken button",C895)),"Break",ISNUMBER(SEARCH("broken handle",C895)),"Break",ISNUMBER(SEARCH("shipping damage",C895)),"Break",ISNUMBER(SEARCH("broken",C895)),"Break",ISNUMBER(SEARCH("crack",C895)),"Break",ISNUMBER(SEARCH("snap",C895)),"Break",ISNUMBER(SEARCH("fracture",C895)),"Break",ISNUMBER(SEARCH("bent",C895)),"Material Twisted/Bent",ISNUMBER(SEARCH("twisted",C895)),"Material Twisted/Bent",ISNUMBER(SEARCH("component separat",C895)),"Material Separation",ISNUMBER(SEARCH("separat",C895)),"Material Separation",ISNUMBER(SEARCH("connection",C895)),"Loose or Intermittent Connection",ISNUMBER(SEARCH("loose",C895)),"Loose or Intermittent Connection",ISNUMBER(SEARCH("damaged packaging",C895)),"Packaging Problem",ISNUMBER(SEARCH("packaging",C895)),"Packaging Problem",ISNUMBER(SEARCH("discoloration",C895)),"Contamination",ISNUMBER(SEARCH("tarnish",C895)),"Contamination",ISNUMBER(SEARCH("stain",C895)),"Contamination",ISNUMBER(SEARCH("foreign material",C895)),"Contamination",ISNUMBER(SEARCH("contamina",C895)),"Contamination",ISNUMBER(SEARCH("overheat",C895)),"Overheating of Device",ISNUMBER(SEARCH("excessive heat",C895)),"Overheating of Device",ISNUMBER(SEARCH("hot",C895)),"Overheating of Device",ISNUMBER(SEARCH("noise",C895)),"Noise, Audible",ISNUMBER(SEARCH("sound",C895)),"Noise, Audible",ISNUMBER(SEARCH("loud",C895)),"Noise, Audible",ISNUMBER(SEARCH("fray",C895)),"Material Frayed",ISNUMBER(SEARCH("hole",C895)),"Material Frayed",ISNUMBER(SEARCH("tear",C895)),"Material Frayed",ISNUMBER(SEARCH("worn",C895)),"Material Frayed",ISNUMBER(SEARCH("intermittent",C895)),"Difficult or Delayed Activation",ISNUMBER(SEARCH("delay",C895)),"Difficult or Delayed Activation",ISNUMBER(SEARCH("label",C895)),"Device Markings/Labelling Problem",ISNUMBER(SEARCH("marking",C895)),"Device Markings/Labelling Problem",ISNUMBER(SEARCH("lacerat",C895)),"Defective Device",ISNUMBER(SEARCH("cut",C895)),"Defective Device",ISNUMBER(SEARCH("leak",C895)),"Fluid/Blood Leak",ISNUMBER(SEARCH("missing",C895)),"Component Missing",ISNUMBER(SEARCH("power",C895)),"Complete Loss of Power",ISNUMBER(SEARCH("will not turn on",C895)),"Complete Loss of Power",ISNUMBER(SEARCH("won't turn on",C895)),"Complete Loss of Power",ISNUMBER(SEARCH("does not turn on",C895)),"Complete Loss of Power",ISNUMBER(SEARCH("electrical",C895)),"Electrical Power Problem",ISNUMBER(SEARCH("pressure",C895)),"Detachment of Device or Device Component",ISNUMBER(SEARCH("slip",C895)),"Detachment of Device or Device Component",ISNUMBER(SEARCH("detach",C895)),"Detachment of Device or Device Component",ISNUMBER(SEARCH("stick",C895)),"Mechanical Jam",ISNUMBER(SEARCH("jam",C895)),"Mechanical Jam",ISNUMBER(SEARCH("rigid",C895)),"Mechanical Jam",ISNUMBER(SEARCH("rust",C895)),"Corroded",ISNUMBER(SEARCH("corrod",C895)),"Corroded",ISNUMBER(SEARCH("corrosion",C895)),"Corroded",ISNUMBER(SEARCH("alignment",C895)),"Defective Device",ISNUMBER(SEARCH("adjust",C895)),"Defective Device",ISNUMBER(SEARCH("perform",C895)),"Defective Device",ISNUMBER(SEARCH("malfunction",C895)),"Defective Device",ISNUMBER(SEARCH("defect",C895)),"Defective Device",ISNUMBER(SEARCH("fail",C895)),"Defective Device",ISNUMBER(SEARCH("not work",C895)),"Defective Device",ISNUMBER(SEARCH("doesn't work",C895)),"Defective Device",TRUE,"UNKNOWN"),"UNKNOWN")))</f>
        <v/>
      </c>
      <c r="F895" s="4" t="str">
        <f t="shared" si="15"/>
        <v/>
      </c>
      <c r="G895" s="363" t="str">
        <f>IF(E895="","",IFERROR(VLOOKUP(E895,Codes!$L$2:$N$409,3,FALSE),"—"))</f>
        <v/>
      </c>
      <c r="H895" s="88"/>
      <c r="I895" s="88"/>
    </row>
    <row r="896" spans="1:9" ht="13.15" x14ac:dyDescent="0.35">
      <c r="A896" s="92"/>
      <c r="B896" s="89"/>
      <c r="C896" s="88"/>
      <c r="D896" s="88"/>
      <c r="E896" s="93" t="str" cm="1">
        <f t="array" ref="E896">IF(D896&lt;&gt;"",IFERROR(VLOOKUP(D896,Codes!$K$2:$L$409,2,FALSE),"UNKNOWN - "&amp;D896),IF(C896="","",IFERROR(_xlfn.IFS(ISNUMBER(SEARCH("broken button",C896)),"Break",ISNUMBER(SEARCH("broken handle",C896)),"Break",ISNUMBER(SEARCH("shipping damage",C896)),"Break",ISNUMBER(SEARCH("broken",C896)),"Break",ISNUMBER(SEARCH("crack",C896)),"Break",ISNUMBER(SEARCH("snap",C896)),"Break",ISNUMBER(SEARCH("fracture",C896)),"Break",ISNUMBER(SEARCH("bent",C896)),"Material Twisted/Bent",ISNUMBER(SEARCH("twisted",C896)),"Material Twisted/Bent",ISNUMBER(SEARCH("component separat",C896)),"Material Separation",ISNUMBER(SEARCH("separat",C896)),"Material Separation",ISNUMBER(SEARCH("connection",C896)),"Loose or Intermittent Connection",ISNUMBER(SEARCH("loose",C896)),"Loose or Intermittent Connection",ISNUMBER(SEARCH("damaged packaging",C896)),"Packaging Problem",ISNUMBER(SEARCH("packaging",C896)),"Packaging Problem",ISNUMBER(SEARCH("discoloration",C896)),"Contamination",ISNUMBER(SEARCH("tarnish",C896)),"Contamination",ISNUMBER(SEARCH("stain",C896)),"Contamination",ISNUMBER(SEARCH("foreign material",C896)),"Contamination",ISNUMBER(SEARCH("contamina",C896)),"Contamination",ISNUMBER(SEARCH("overheat",C896)),"Overheating of Device",ISNUMBER(SEARCH("excessive heat",C896)),"Overheating of Device",ISNUMBER(SEARCH("hot",C896)),"Overheating of Device",ISNUMBER(SEARCH("noise",C896)),"Noise, Audible",ISNUMBER(SEARCH("sound",C896)),"Noise, Audible",ISNUMBER(SEARCH("loud",C896)),"Noise, Audible",ISNUMBER(SEARCH("fray",C896)),"Material Frayed",ISNUMBER(SEARCH("hole",C896)),"Material Frayed",ISNUMBER(SEARCH("tear",C896)),"Material Frayed",ISNUMBER(SEARCH("worn",C896)),"Material Frayed",ISNUMBER(SEARCH("intermittent",C896)),"Difficult or Delayed Activation",ISNUMBER(SEARCH("delay",C896)),"Difficult or Delayed Activation",ISNUMBER(SEARCH("label",C896)),"Device Markings/Labelling Problem",ISNUMBER(SEARCH("marking",C896)),"Device Markings/Labelling Problem",ISNUMBER(SEARCH("lacerat",C896)),"Defective Device",ISNUMBER(SEARCH("cut",C896)),"Defective Device",ISNUMBER(SEARCH("leak",C896)),"Fluid/Blood Leak",ISNUMBER(SEARCH("missing",C896)),"Component Missing",ISNUMBER(SEARCH("power",C896)),"Complete Loss of Power",ISNUMBER(SEARCH("will not turn on",C896)),"Complete Loss of Power",ISNUMBER(SEARCH("won't turn on",C896)),"Complete Loss of Power",ISNUMBER(SEARCH("does not turn on",C896)),"Complete Loss of Power",ISNUMBER(SEARCH("electrical",C896)),"Electrical Power Problem",ISNUMBER(SEARCH("pressure",C896)),"Detachment of Device or Device Component",ISNUMBER(SEARCH("slip",C896)),"Detachment of Device or Device Component",ISNUMBER(SEARCH("detach",C896)),"Detachment of Device or Device Component",ISNUMBER(SEARCH("stick",C896)),"Mechanical Jam",ISNUMBER(SEARCH("jam",C896)),"Mechanical Jam",ISNUMBER(SEARCH("rigid",C896)),"Mechanical Jam",ISNUMBER(SEARCH("rust",C896)),"Corroded",ISNUMBER(SEARCH("corrod",C896)),"Corroded",ISNUMBER(SEARCH("corrosion",C896)),"Corroded",ISNUMBER(SEARCH("alignment",C896)),"Defective Device",ISNUMBER(SEARCH("adjust",C896)),"Defective Device",ISNUMBER(SEARCH("perform",C896)),"Defective Device",ISNUMBER(SEARCH("malfunction",C896)),"Defective Device",ISNUMBER(SEARCH("defect",C896)),"Defective Device",ISNUMBER(SEARCH("fail",C896)),"Defective Device",ISNUMBER(SEARCH("not work",C896)),"Defective Device",ISNUMBER(SEARCH("doesn't work",C896)),"Defective Device",TRUE,"UNKNOWN"),"UNKNOWN")))</f>
        <v/>
      </c>
      <c r="F896" s="4" t="str">
        <f t="shared" si="15"/>
        <v/>
      </c>
      <c r="G896" s="363" t="str">
        <f>IF(E896="","",IFERROR(VLOOKUP(E896,Codes!$L$2:$N$409,3,FALSE),"—"))</f>
        <v/>
      </c>
      <c r="H896" s="88"/>
      <c r="I896" s="88"/>
    </row>
    <row r="897" spans="1:9" ht="13.15" x14ac:dyDescent="0.35">
      <c r="A897" s="92"/>
      <c r="B897" s="89"/>
      <c r="C897" s="88"/>
      <c r="D897" s="88"/>
      <c r="E897" s="93" t="str" cm="1">
        <f t="array" ref="E897">IF(D897&lt;&gt;"",IFERROR(VLOOKUP(D897,Codes!$K$2:$L$409,2,FALSE),"UNKNOWN - "&amp;D897),IF(C897="","",IFERROR(_xlfn.IFS(ISNUMBER(SEARCH("broken button",C897)),"Break",ISNUMBER(SEARCH("broken handle",C897)),"Break",ISNUMBER(SEARCH("shipping damage",C897)),"Break",ISNUMBER(SEARCH("broken",C897)),"Break",ISNUMBER(SEARCH("crack",C897)),"Break",ISNUMBER(SEARCH("snap",C897)),"Break",ISNUMBER(SEARCH("fracture",C897)),"Break",ISNUMBER(SEARCH("bent",C897)),"Material Twisted/Bent",ISNUMBER(SEARCH("twisted",C897)),"Material Twisted/Bent",ISNUMBER(SEARCH("component separat",C897)),"Material Separation",ISNUMBER(SEARCH("separat",C897)),"Material Separation",ISNUMBER(SEARCH("connection",C897)),"Loose or Intermittent Connection",ISNUMBER(SEARCH("loose",C897)),"Loose or Intermittent Connection",ISNUMBER(SEARCH("damaged packaging",C897)),"Packaging Problem",ISNUMBER(SEARCH("packaging",C897)),"Packaging Problem",ISNUMBER(SEARCH("discoloration",C897)),"Contamination",ISNUMBER(SEARCH("tarnish",C897)),"Contamination",ISNUMBER(SEARCH("stain",C897)),"Contamination",ISNUMBER(SEARCH("foreign material",C897)),"Contamination",ISNUMBER(SEARCH("contamina",C897)),"Contamination",ISNUMBER(SEARCH("overheat",C897)),"Overheating of Device",ISNUMBER(SEARCH("excessive heat",C897)),"Overheating of Device",ISNUMBER(SEARCH("hot",C897)),"Overheating of Device",ISNUMBER(SEARCH("noise",C897)),"Noise, Audible",ISNUMBER(SEARCH("sound",C897)),"Noise, Audible",ISNUMBER(SEARCH("loud",C897)),"Noise, Audible",ISNUMBER(SEARCH("fray",C897)),"Material Frayed",ISNUMBER(SEARCH("hole",C897)),"Material Frayed",ISNUMBER(SEARCH("tear",C897)),"Material Frayed",ISNUMBER(SEARCH("worn",C897)),"Material Frayed",ISNUMBER(SEARCH("intermittent",C897)),"Difficult or Delayed Activation",ISNUMBER(SEARCH("delay",C897)),"Difficult or Delayed Activation",ISNUMBER(SEARCH("label",C897)),"Device Markings/Labelling Problem",ISNUMBER(SEARCH("marking",C897)),"Device Markings/Labelling Problem",ISNUMBER(SEARCH("lacerat",C897)),"Defective Device",ISNUMBER(SEARCH("cut",C897)),"Defective Device",ISNUMBER(SEARCH("leak",C897)),"Fluid/Blood Leak",ISNUMBER(SEARCH("missing",C897)),"Component Missing",ISNUMBER(SEARCH("power",C897)),"Complete Loss of Power",ISNUMBER(SEARCH("will not turn on",C897)),"Complete Loss of Power",ISNUMBER(SEARCH("won't turn on",C897)),"Complete Loss of Power",ISNUMBER(SEARCH("does not turn on",C897)),"Complete Loss of Power",ISNUMBER(SEARCH("electrical",C897)),"Electrical Power Problem",ISNUMBER(SEARCH("pressure",C897)),"Detachment of Device or Device Component",ISNUMBER(SEARCH("slip",C897)),"Detachment of Device or Device Component",ISNUMBER(SEARCH("detach",C897)),"Detachment of Device or Device Component",ISNUMBER(SEARCH("stick",C897)),"Mechanical Jam",ISNUMBER(SEARCH("jam",C897)),"Mechanical Jam",ISNUMBER(SEARCH("rigid",C897)),"Mechanical Jam",ISNUMBER(SEARCH("rust",C897)),"Corroded",ISNUMBER(SEARCH("corrod",C897)),"Corroded",ISNUMBER(SEARCH("corrosion",C897)),"Corroded",ISNUMBER(SEARCH("alignment",C897)),"Defective Device",ISNUMBER(SEARCH("adjust",C897)),"Defective Device",ISNUMBER(SEARCH("perform",C897)),"Defective Device",ISNUMBER(SEARCH("malfunction",C897)),"Defective Device",ISNUMBER(SEARCH("defect",C897)),"Defective Device",ISNUMBER(SEARCH("fail",C897)),"Defective Device",ISNUMBER(SEARCH("not work",C897)),"Defective Device",ISNUMBER(SEARCH("doesn't work",C897)),"Defective Device",TRUE,"UNKNOWN"),"UNKNOWN")))</f>
        <v/>
      </c>
      <c r="F897" s="4" t="str">
        <f t="shared" si="15"/>
        <v/>
      </c>
      <c r="G897" s="363" t="str">
        <f>IF(E897="","",IFERROR(VLOOKUP(E897,Codes!$L$2:$N$409,3,FALSE),"—"))</f>
        <v/>
      </c>
      <c r="H897" s="88"/>
      <c r="I897" s="88"/>
    </row>
    <row r="898" spans="1:9" ht="13.15" x14ac:dyDescent="0.35">
      <c r="A898" s="92"/>
      <c r="B898" s="89"/>
      <c r="C898" s="88"/>
      <c r="D898" s="88"/>
      <c r="E898" s="93" t="str" cm="1">
        <f t="array" ref="E898">IF(D898&lt;&gt;"",IFERROR(VLOOKUP(D898,Codes!$K$2:$L$409,2,FALSE),"UNKNOWN - "&amp;D898),IF(C898="","",IFERROR(_xlfn.IFS(ISNUMBER(SEARCH("broken button",C898)),"Break",ISNUMBER(SEARCH("broken handle",C898)),"Break",ISNUMBER(SEARCH("shipping damage",C898)),"Break",ISNUMBER(SEARCH("broken",C898)),"Break",ISNUMBER(SEARCH("crack",C898)),"Break",ISNUMBER(SEARCH("snap",C898)),"Break",ISNUMBER(SEARCH("fracture",C898)),"Break",ISNUMBER(SEARCH("bent",C898)),"Material Twisted/Bent",ISNUMBER(SEARCH("twisted",C898)),"Material Twisted/Bent",ISNUMBER(SEARCH("component separat",C898)),"Material Separation",ISNUMBER(SEARCH("separat",C898)),"Material Separation",ISNUMBER(SEARCH("connection",C898)),"Loose or Intermittent Connection",ISNUMBER(SEARCH("loose",C898)),"Loose or Intermittent Connection",ISNUMBER(SEARCH("damaged packaging",C898)),"Packaging Problem",ISNUMBER(SEARCH("packaging",C898)),"Packaging Problem",ISNUMBER(SEARCH("discoloration",C898)),"Contamination",ISNUMBER(SEARCH("tarnish",C898)),"Contamination",ISNUMBER(SEARCH("stain",C898)),"Contamination",ISNUMBER(SEARCH("foreign material",C898)),"Contamination",ISNUMBER(SEARCH("contamina",C898)),"Contamination",ISNUMBER(SEARCH("overheat",C898)),"Overheating of Device",ISNUMBER(SEARCH("excessive heat",C898)),"Overheating of Device",ISNUMBER(SEARCH("hot",C898)),"Overheating of Device",ISNUMBER(SEARCH("noise",C898)),"Noise, Audible",ISNUMBER(SEARCH("sound",C898)),"Noise, Audible",ISNUMBER(SEARCH("loud",C898)),"Noise, Audible",ISNUMBER(SEARCH("fray",C898)),"Material Frayed",ISNUMBER(SEARCH("hole",C898)),"Material Frayed",ISNUMBER(SEARCH("tear",C898)),"Material Frayed",ISNUMBER(SEARCH("worn",C898)),"Material Frayed",ISNUMBER(SEARCH("intermittent",C898)),"Difficult or Delayed Activation",ISNUMBER(SEARCH("delay",C898)),"Difficult or Delayed Activation",ISNUMBER(SEARCH("label",C898)),"Device Markings/Labelling Problem",ISNUMBER(SEARCH("marking",C898)),"Device Markings/Labelling Problem",ISNUMBER(SEARCH("lacerat",C898)),"Defective Device",ISNUMBER(SEARCH("cut",C898)),"Defective Device",ISNUMBER(SEARCH("leak",C898)),"Fluid/Blood Leak",ISNUMBER(SEARCH("missing",C898)),"Component Missing",ISNUMBER(SEARCH("power",C898)),"Complete Loss of Power",ISNUMBER(SEARCH("will not turn on",C898)),"Complete Loss of Power",ISNUMBER(SEARCH("won't turn on",C898)),"Complete Loss of Power",ISNUMBER(SEARCH("does not turn on",C898)),"Complete Loss of Power",ISNUMBER(SEARCH("electrical",C898)),"Electrical Power Problem",ISNUMBER(SEARCH("pressure",C898)),"Detachment of Device or Device Component",ISNUMBER(SEARCH("slip",C898)),"Detachment of Device or Device Component",ISNUMBER(SEARCH("detach",C898)),"Detachment of Device or Device Component",ISNUMBER(SEARCH("stick",C898)),"Mechanical Jam",ISNUMBER(SEARCH("jam",C898)),"Mechanical Jam",ISNUMBER(SEARCH("rigid",C898)),"Mechanical Jam",ISNUMBER(SEARCH("rust",C898)),"Corroded",ISNUMBER(SEARCH("corrod",C898)),"Corroded",ISNUMBER(SEARCH("corrosion",C898)),"Corroded",ISNUMBER(SEARCH("alignment",C898)),"Defective Device",ISNUMBER(SEARCH("adjust",C898)),"Defective Device",ISNUMBER(SEARCH("perform",C898)),"Defective Device",ISNUMBER(SEARCH("malfunction",C898)),"Defective Device",ISNUMBER(SEARCH("defect",C898)),"Defective Device",ISNUMBER(SEARCH("fail",C898)),"Defective Device",ISNUMBER(SEARCH("not work",C898)),"Defective Device",ISNUMBER(SEARCH("doesn't work",C898)),"Defective Device",TRUE,"UNKNOWN"),"UNKNOWN")))</f>
        <v/>
      </c>
      <c r="F898" s="4" t="str">
        <f t="shared" si="15"/>
        <v/>
      </c>
      <c r="G898" s="363" t="str">
        <f>IF(E898="","",IFERROR(VLOOKUP(E898,Codes!$L$2:$N$409,3,FALSE),"—"))</f>
        <v/>
      </c>
      <c r="H898" s="88"/>
      <c r="I898" s="88"/>
    </row>
    <row r="899" spans="1:9" ht="13.15" x14ac:dyDescent="0.35">
      <c r="A899" s="92"/>
      <c r="B899" s="89"/>
      <c r="C899" s="88"/>
      <c r="D899" s="88"/>
      <c r="E899" s="93" t="str" cm="1">
        <f t="array" ref="E899">IF(D899&lt;&gt;"",IFERROR(VLOOKUP(D899,Codes!$K$2:$L$409,2,FALSE),"UNKNOWN - "&amp;D899),IF(C899="","",IFERROR(_xlfn.IFS(ISNUMBER(SEARCH("broken button",C899)),"Break",ISNUMBER(SEARCH("broken handle",C899)),"Break",ISNUMBER(SEARCH("shipping damage",C899)),"Break",ISNUMBER(SEARCH("broken",C899)),"Break",ISNUMBER(SEARCH("crack",C899)),"Break",ISNUMBER(SEARCH("snap",C899)),"Break",ISNUMBER(SEARCH("fracture",C899)),"Break",ISNUMBER(SEARCH("bent",C899)),"Material Twisted/Bent",ISNUMBER(SEARCH("twisted",C899)),"Material Twisted/Bent",ISNUMBER(SEARCH("component separat",C899)),"Material Separation",ISNUMBER(SEARCH("separat",C899)),"Material Separation",ISNUMBER(SEARCH("connection",C899)),"Loose or Intermittent Connection",ISNUMBER(SEARCH("loose",C899)),"Loose or Intermittent Connection",ISNUMBER(SEARCH("damaged packaging",C899)),"Packaging Problem",ISNUMBER(SEARCH("packaging",C899)),"Packaging Problem",ISNUMBER(SEARCH("discoloration",C899)),"Contamination",ISNUMBER(SEARCH("tarnish",C899)),"Contamination",ISNUMBER(SEARCH("stain",C899)),"Contamination",ISNUMBER(SEARCH("foreign material",C899)),"Contamination",ISNUMBER(SEARCH("contamina",C899)),"Contamination",ISNUMBER(SEARCH("overheat",C899)),"Overheating of Device",ISNUMBER(SEARCH("excessive heat",C899)),"Overheating of Device",ISNUMBER(SEARCH("hot",C899)),"Overheating of Device",ISNUMBER(SEARCH("noise",C899)),"Noise, Audible",ISNUMBER(SEARCH("sound",C899)),"Noise, Audible",ISNUMBER(SEARCH("loud",C899)),"Noise, Audible",ISNUMBER(SEARCH("fray",C899)),"Material Frayed",ISNUMBER(SEARCH("hole",C899)),"Material Frayed",ISNUMBER(SEARCH("tear",C899)),"Material Frayed",ISNUMBER(SEARCH("worn",C899)),"Material Frayed",ISNUMBER(SEARCH("intermittent",C899)),"Difficult or Delayed Activation",ISNUMBER(SEARCH("delay",C899)),"Difficult or Delayed Activation",ISNUMBER(SEARCH("label",C899)),"Device Markings/Labelling Problem",ISNUMBER(SEARCH("marking",C899)),"Device Markings/Labelling Problem",ISNUMBER(SEARCH("lacerat",C899)),"Defective Device",ISNUMBER(SEARCH("cut",C899)),"Defective Device",ISNUMBER(SEARCH("leak",C899)),"Fluid/Blood Leak",ISNUMBER(SEARCH("missing",C899)),"Component Missing",ISNUMBER(SEARCH("power",C899)),"Complete Loss of Power",ISNUMBER(SEARCH("will not turn on",C899)),"Complete Loss of Power",ISNUMBER(SEARCH("won't turn on",C899)),"Complete Loss of Power",ISNUMBER(SEARCH("does not turn on",C899)),"Complete Loss of Power",ISNUMBER(SEARCH("electrical",C899)),"Electrical Power Problem",ISNUMBER(SEARCH("pressure",C899)),"Detachment of Device or Device Component",ISNUMBER(SEARCH("slip",C899)),"Detachment of Device or Device Component",ISNUMBER(SEARCH("detach",C899)),"Detachment of Device or Device Component",ISNUMBER(SEARCH("stick",C899)),"Mechanical Jam",ISNUMBER(SEARCH("jam",C899)),"Mechanical Jam",ISNUMBER(SEARCH("rigid",C899)),"Mechanical Jam",ISNUMBER(SEARCH("rust",C899)),"Corroded",ISNUMBER(SEARCH("corrod",C899)),"Corroded",ISNUMBER(SEARCH("corrosion",C899)),"Corroded",ISNUMBER(SEARCH("alignment",C899)),"Defective Device",ISNUMBER(SEARCH("adjust",C899)),"Defective Device",ISNUMBER(SEARCH("perform",C899)),"Defective Device",ISNUMBER(SEARCH("malfunction",C899)),"Defective Device",ISNUMBER(SEARCH("defect",C899)),"Defective Device",ISNUMBER(SEARCH("fail",C899)),"Defective Device",ISNUMBER(SEARCH("not work",C899)),"Defective Device",ISNUMBER(SEARCH("doesn't work",C899)),"Defective Device",TRUE,"UNKNOWN"),"UNKNOWN")))</f>
        <v/>
      </c>
      <c r="F899" s="4" t="str">
        <f t="shared" si="15"/>
        <v/>
      </c>
      <c r="G899" s="363" t="str">
        <f>IF(E899="","",IFERROR(VLOOKUP(E899,Codes!$L$2:$N$409,3,FALSE),"—"))</f>
        <v/>
      </c>
      <c r="H899" s="88"/>
      <c r="I899" s="88"/>
    </row>
    <row r="900" spans="1:9" ht="13.15" x14ac:dyDescent="0.35">
      <c r="A900" s="92"/>
      <c r="B900" s="89"/>
      <c r="C900" s="88"/>
      <c r="D900" s="88"/>
      <c r="E900" s="93" t="str" cm="1">
        <f t="array" ref="E900">IF(D900&lt;&gt;"",IFERROR(VLOOKUP(D900,Codes!$K$2:$L$409,2,FALSE),"UNKNOWN - "&amp;D900),IF(C900="","",IFERROR(_xlfn.IFS(ISNUMBER(SEARCH("broken button",C900)),"Break",ISNUMBER(SEARCH("broken handle",C900)),"Break",ISNUMBER(SEARCH("shipping damage",C900)),"Break",ISNUMBER(SEARCH("broken",C900)),"Break",ISNUMBER(SEARCH("crack",C900)),"Break",ISNUMBER(SEARCH("snap",C900)),"Break",ISNUMBER(SEARCH("fracture",C900)),"Break",ISNUMBER(SEARCH("bent",C900)),"Material Twisted/Bent",ISNUMBER(SEARCH("twisted",C900)),"Material Twisted/Bent",ISNUMBER(SEARCH("component separat",C900)),"Material Separation",ISNUMBER(SEARCH("separat",C900)),"Material Separation",ISNUMBER(SEARCH("connection",C900)),"Loose or Intermittent Connection",ISNUMBER(SEARCH("loose",C900)),"Loose or Intermittent Connection",ISNUMBER(SEARCH("damaged packaging",C900)),"Packaging Problem",ISNUMBER(SEARCH("packaging",C900)),"Packaging Problem",ISNUMBER(SEARCH("discoloration",C900)),"Contamination",ISNUMBER(SEARCH("tarnish",C900)),"Contamination",ISNUMBER(SEARCH("stain",C900)),"Contamination",ISNUMBER(SEARCH("foreign material",C900)),"Contamination",ISNUMBER(SEARCH("contamina",C900)),"Contamination",ISNUMBER(SEARCH("overheat",C900)),"Overheating of Device",ISNUMBER(SEARCH("excessive heat",C900)),"Overheating of Device",ISNUMBER(SEARCH("hot",C900)),"Overheating of Device",ISNUMBER(SEARCH("noise",C900)),"Noise, Audible",ISNUMBER(SEARCH("sound",C900)),"Noise, Audible",ISNUMBER(SEARCH("loud",C900)),"Noise, Audible",ISNUMBER(SEARCH("fray",C900)),"Material Frayed",ISNUMBER(SEARCH("hole",C900)),"Material Frayed",ISNUMBER(SEARCH("tear",C900)),"Material Frayed",ISNUMBER(SEARCH("worn",C900)),"Material Frayed",ISNUMBER(SEARCH("intermittent",C900)),"Difficult or Delayed Activation",ISNUMBER(SEARCH("delay",C900)),"Difficult or Delayed Activation",ISNUMBER(SEARCH("label",C900)),"Device Markings/Labelling Problem",ISNUMBER(SEARCH("marking",C900)),"Device Markings/Labelling Problem",ISNUMBER(SEARCH("lacerat",C900)),"Defective Device",ISNUMBER(SEARCH("cut",C900)),"Defective Device",ISNUMBER(SEARCH("leak",C900)),"Fluid/Blood Leak",ISNUMBER(SEARCH("missing",C900)),"Component Missing",ISNUMBER(SEARCH("power",C900)),"Complete Loss of Power",ISNUMBER(SEARCH("will not turn on",C900)),"Complete Loss of Power",ISNUMBER(SEARCH("won't turn on",C900)),"Complete Loss of Power",ISNUMBER(SEARCH("does not turn on",C900)),"Complete Loss of Power",ISNUMBER(SEARCH("electrical",C900)),"Electrical Power Problem",ISNUMBER(SEARCH("pressure",C900)),"Detachment of Device or Device Component",ISNUMBER(SEARCH("slip",C900)),"Detachment of Device or Device Component",ISNUMBER(SEARCH("detach",C900)),"Detachment of Device or Device Component",ISNUMBER(SEARCH("stick",C900)),"Mechanical Jam",ISNUMBER(SEARCH("jam",C900)),"Mechanical Jam",ISNUMBER(SEARCH("rigid",C900)),"Mechanical Jam",ISNUMBER(SEARCH("rust",C900)),"Corroded",ISNUMBER(SEARCH("corrod",C900)),"Corroded",ISNUMBER(SEARCH("corrosion",C900)),"Corroded",ISNUMBER(SEARCH("alignment",C900)),"Defective Device",ISNUMBER(SEARCH("adjust",C900)),"Defective Device",ISNUMBER(SEARCH("perform",C900)),"Defective Device",ISNUMBER(SEARCH("malfunction",C900)),"Defective Device",ISNUMBER(SEARCH("defect",C900)),"Defective Device",ISNUMBER(SEARCH("fail",C900)),"Defective Device",ISNUMBER(SEARCH("not work",C900)),"Defective Device",ISNUMBER(SEARCH("doesn't work",C900)),"Defective Device",TRUE,"UNKNOWN"),"UNKNOWN")))</f>
        <v/>
      </c>
      <c r="F900" s="4" t="str">
        <f t="shared" si="15"/>
        <v/>
      </c>
      <c r="G900" s="363" t="str">
        <f>IF(E900="","",IFERROR(VLOOKUP(E900,Codes!$L$2:$N$409,3,FALSE),"—"))</f>
        <v/>
      </c>
      <c r="H900" s="88"/>
      <c r="I900" s="88"/>
    </row>
    <row r="901" spans="1:9" ht="13.15" x14ac:dyDescent="0.35">
      <c r="A901" s="92"/>
      <c r="B901" s="89"/>
      <c r="C901" s="88"/>
      <c r="D901" s="88"/>
      <c r="E901" s="93" t="str" cm="1">
        <f t="array" ref="E901">IF(D901&lt;&gt;"",IFERROR(VLOOKUP(D901,Codes!$K$2:$L$409,2,FALSE),"UNKNOWN - "&amp;D901),IF(C901="","",IFERROR(_xlfn.IFS(ISNUMBER(SEARCH("broken button",C901)),"Break",ISNUMBER(SEARCH("broken handle",C901)),"Break",ISNUMBER(SEARCH("shipping damage",C901)),"Break",ISNUMBER(SEARCH("broken",C901)),"Break",ISNUMBER(SEARCH("crack",C901)),"Break",ISNUMBER(SEARCH("snap",C901)),"Break",ISNUMBER(SEARCH("fracture",C901)),"Break",ISNUMBER(SEARCH("bent",C901)),"Material Twisted/Bent",ISNUMBER(SEARCH("twisted",C901)),"Material Twisted/Bent",ISNUMBER(SEARCH("component separat",C901)),"Material Separation",ISNUMBER(SEARCH("separat",C901)),"Material Separation",ISNUMBER(SEARCH("connection",C901)),"Loose or Intermittent Connection",ISNUMBER(SEARCH("loose",C901)),"Loose or Intermittent Connection",ISNUMBER(SEARCH("damaged packaging",C901)),"Packaging Problem",ISNUMBER(SEARCH("packaging",C901)),"Packaging Problem",ISNUMBER(SEARCH("discoloration",C901)),"Contamination",ISNUMBER(SEARCH("tarnish",C901)),"Contamination",ISNUMBER(SEARCH("stain",C901)),"Contamination",ISNUMBER(SEARCH("foreign material",C901)),"Contamination",ISNUMBER(SEARCH("contamina",C901)),"Contamination",ISNUMBER(SEARCH("overheat",C901)),"Overheating of Device",ISNUMBER(SEARCH("excessive heat",C901)),"Overheating of Device",ISNUMBER(SEARCH("hot",C901)),"Overheating of Device",ISNUMBER(SEARCH("noise",C901)),"Noise, Audible",ISNUMBER(SEARCH("sound",C901)),"Noise, Audible",ISNUMBER(SEARCH("loud",C901)),"Noise, Audible",ISNUMBER(SEARCH("fray",C901)),"Material Frayed",ISNUMBER(SEARCH("hole",C901)),"Material Frayed",ISNUMBER(SEARCH("tear",C901)),"Material Frayed",ISNUMBER(SEARCH("worn",C901)),"Material Frayed",ISNUMBER(SEARCH("intermittent",C901)),"Difficult or Delayed Activation",ISNUMBER(SEARCH("delay",C901)),"Difficult or Delayed Activation",ISNUMBER(SEARCH("label",C901)),"Device Markings/Labelling Problem",ISNUMBER(SEARCH("marking",C901)),"Device Markings/Labelling Problem",ISNUMBER(SEARCH("lacerat",C901)),"Defective Device",ISNUMBER(SEARCH("cut",C901)),"Defective Device",ISNUMBER(SEARCH("leak",C901)),"Fluid/Blood Leak",ISNUMBER(SEARCH("missing",C901)),"Component Missing",ISNUMBER(SEARCH("power",C901)),"Complete Loss of Power",ISNUMBER(SEARCH("will not turn on",C901)),"Complete Loss of Power",ISNUMBER(SEARCH("won't turn on",C901)),"Complete Loss of Power",ISNUMBER(SEARCH("does not turn on",C901)),"Complete Loss of Power",ISNUMBER(SEARCH("electrical",C901)),"Electrical Power Problem",ISNUMBER(SEARCH("pressure",C901)),"Detachment of Device or Device Component",ISNUMBER(SEARCH("slip",C901)),"Detachment of Device or Device Component",ISNUMBER(SEARCH("detach",C901)),"Detachment of Device or Device Component",ISNUMBER(SEARCH("stick",C901)),"Mechanical Jam",ISNUMBER(SEARCH("jam",C901)),"Mechanical Jam",ISNUMBER(SEARCH("rigid",C901)),"Mechanical Jam",ISNUMBER(SEARCH("rust",C901)),"Corroded",ISNUMBER(SEARCH("corrod",C901)),"Corroded",ISNUMBER(SEARCH("corrosion",C901)),"Corroded",ISNUMBER(SEARCH("alignment",C901)),"Defective Device",ISNUMBER(SEARCH("adjust",C901)),"Defective Device",ISNUMBER(SEARCH("perform",C901)),"Defective Device",ISNUMBER(SEARCH("malfunction",C901)),"Defective Device",ISNUMBER(SEARCH("defect",C901)),"Defective Device",ISNUMBER(SEARCH("fail",C901)),"Defective Device",ISNUMBER(SEARCH("not work",C901)),"Defective Device",ISNUMBER(SEARCH("doesn't work",C901)),"Defective Device",TRUE,"UNKNOWN"),"UNKNOWN")))</f>
        <v/>
      </c>
      <c r="F901" s="4" t="str">
        <f t="shared" si="15"/>
        <v/>
      </c>
      <c r="G901" s="363" t="str">
        <f>IF(E901="","",IFERROR(VLOOKUP(E901,Codes!$L$2:$N$409,3,FALSE),"—"))</f>
        <v/>
      </c>
      <c r="H901" s="88"/>
      <c r="I901" s="88"/>
    </row>
    <row r="902" spans="1:9" ht="13.15" x14ac:dyDescent="0.35">
      <c r="A902" s="92"/>
      <c r="B902" s="89"/>
      <c r="C902" s="88"/>
      <c r="D902" s="88"/>
      <c r="E902" s="93" t="str" cm="1">
        <f t="array" ref="E902">IF(D902&lt;&gt;"",IFERROR(VLOOKUP(D902,Codes!$K$2:$L$409,2,FALSE),"UNKNOWN - "&amp;D902),IF(C902="","",IFERROR(_xlfn.IFS(ISNUMBER(SEARCH("broken button",C902)),"Break",ISNUMBER(SEARCH("broken handle",C902)),"Break",ISNUMBER(SEARCH("shipping damage",C902)),"Break",ISNUMBER(SEARCH("broken",C902)),"Break",ISNUMBER(SEARCH("crack",C902)),"Break",ISNUMBER(SEARCH("snap",C902)),"Break",ISNUMBER(SEARCH("fracture",C902)),"Break",ISNUMBER(SEARCH("bent",C902)),"Material Twisted/Bent",ISNUMBER(SEARCH("twisted",C902)),"Material Twisted/Bent",ISNUMBER(SEARCH("component separat",C902)),"Material Separation",ISNUMBER(SEARCH("separat",C902)),"Material Separation",ISNUMBER(SEARCH("connection",C902)),"Loose or Intermittent Connection",ISNUMBER(SEARCH("loose",C902)),"Loose or Intermittent Connection",ISNUMBER(SEARCH("damaged packaging",C902)),"Packaging Problem",ISNUMBER(SEARCH("packaging",C902)),"Packaging Problem",ISNUMBER(SEARCH("discoloration",C902)),"Contamination",ISNUMBER(SEARCH("tarnish",C902)),"Contamination",ISNUMBER(SEARCH("stain",C902)),"Contamination",ISNUMBER(SEARCH("foreign material",C902)),"Contamination",ISNUMBER(SEARCH("contamina",C902)),"Contamination",ISNUMBER(SEARCH("overheat",C902)),"Overheating of Device",ISNUMBER(SEARCH("excessive heat",C902)),"Overheating of Device",ISNUMBER(SEARCH("hot",C902)),"Overheating of Device",ISNUMBER(SEARCH("noise",C902)),"Noise, Audible",ISNUMBER(SEARCH("sound",C902)),"Noise, Audible",ISNUMBER(SEARCH("loud",C902)),"Noise, Audible",ISNUMBER(SEARCH("fray",C902)),"Material Frayed",ISNUMBER(SEARCH("hole",C902)),"Material Frayed",ISNUMBER(SEARCH("tear",C902)),"Material Frayed",ISNUMBER(SEARCH("worn",C902)),"Material Frayed",ISNUMBER(SEARCH("intermittent",C902)),"Difficult or Delayed Activation",ISNUMBER(SEARCH("delay",C902)),"Difficult or Delayed Activation",ISNUMBER(SEARCH("label",C902)),"Device Markings/Labelling Problem",ISNUMBER(SEARCH("marking",C902)),"Device Markings/Labelling Problem",ISNUMBER(SEARCH("lacerat",C902)),"Defective Device",ISNUMBER(SEARCH("cut",C902)),"Defective Device",ISNUMBER(SEARCH("leak",C902)),"Fluid/Blood Leak",ISNUMBER(SEARCH("missing",C902)),"Component Missing",ISNUMBER(SEARCH("power",C902)),"Complete Loss of Power",ISNUMBER(SEARCH("will not turn on",C902)),"Complete Loss of Power",ISNUMBER(SEARCH("won't turn on",C902)),"Complete Loss of Power",ISNUMBER(SEARCH("does not turn on",C902)),"Complete Loss of Power",ISNUMBER(SEARCH("electrical",C902)),"Electrical Power Problem",ISNUMBER(SEARCH("pressure",C902)),"Detachment of Device or Device Component",ISNUMBER(SEARCH("slip",C902)),"Detachment of Device or Device Component",ISNUMBER(SEARCH("detach",C902)),"Detachment of Device or Device Component",ISNUMBER(SEARCH("stick",C902)),"Mechanical Jam",ISNUMBER(SEARCH("jam",C902)),"Mechanical Jam",ISNUMBER(SEARCH("rigid",C902)),"Mechanical Jam",ISNUMBER(SEARCH("rust",C902)),"Corroded",ISNUMBER(SEARCH("corrod",C902)),"Corroded",ISNUMBER(SEARCH("corrosion",C902)),"Corroded",ISNUMBER(SEARCH("alignment",C902)),"Defective Device",ISNUMBER(SEARCH("adjust",C902)),"Defective Device",ISNUMBER(SEARCH("perform",C902)),"Defective Device",ISNUMBER(SEARCH("malfunction",C902)),"Defective Device",ISNUMBER(SEARCH("defect",C902)),"Defective Device",ISNUMBER(SEARCH("fail",C902)),"Defective Device",ISNUMBER(SEARCH("not work",C902)),"Defective Device",ISNUMBER(SEARCH("doesn't work",C902)),"Defective Device",TRUE,"UNKNOWN"),"UNKNOWN")))</f>
        <v/>
      </c>
      <c r="F902" s="4" t="str">
        <f t="shared" si="15"/>
        <v/>
      </c>
      <c r="G902" s="363" t="str">
        <f>IF(E902="","",IFERROR(VLOOKUP(E902,Codes!$L$2:$N$409,3,FALSE),"—"))</f>
        <v/>
      </c>
      <c r="H902" s="88"/>
      <c r="I902" s="88"/>
    </row>
    <row r="903" spans="1:9" ht="13.15" x14ac:dyDescent="0.35">
      <c r="A903" s="92"/>
      <c r="B903" s="89"/>
      <c r="C903" s="88"/>
      <c r="D903" s="88"/>
      <c r="E903" s="93" t="str" cm="1">
        <f t="array" ref="E903">IF(D903&lt;&gt;"",IFERROR(VLOOKUP(D903,Codes!$K$2:$L$409,2,FALSE),"UNKNOWN - "&amp;D903),IF(C903="","",IFERROR(_xlfn.IFS(ISNUMBER(SEARCH("broken button",C903)),"Break",ISNUMBER(SEARCH("broken handle",C903)),"Break",ISNUMBER(SEARCH("shipping damage",C903)),"Break",ISNUMBER(SEARCH("broken",C903)),"Break",ISNUMBER(SEARCH("crack",C903)),"Break",ISNUMBER(SEARCH("snap",C903)),"Break",ISNUMBER(SEARCH("fracture",C903)),"Break",ISNUMBER(SEARCH("bent",C903)),"Material Twisted/Bent",ISNUMBER(SEARCH("twisted",C903)),"Material Twisted/Bent",ISNUMBER(SEARCH("component separat",C903)),"Material Separation",ISNUMBER(SEARCH("separat",C903)),"Material Separation",ISNUMBER(SEARCH("connection",C903)),"Loose or Intermittent Connection",ISNUMBER(SEARCH("loose",C903)),"Loose or Intermittent Connection",ISNUMBER(SEARCH("damaged packaging",C903)),"Packaging Problem",ISNUMBER(SEARCH("packaging",C903)),"Packaging Problem",ISNUMBER(SEARCH("discoloration",C903)),"Contamination",ISNUMBER(SEARCH("tarnish",C903)),"Contamination",ISNUMBER(SEARCH("stain",C903)),"Contamination",ISNUMBER(SEARCH("foreign material",C903)),"Contamination",ISNUMBER(SEARCH("contamina",C903)),"Contamination",ISNUMBER(SEARCH("overheat",C903)),"Overheating of Device",ISNUMBER(SEARCH("excessive heat",C903)),"Overheating of Device",ISNUMBER(SEARCH("hot",C903)),"Overheating of Device",ISNUMBER(SEARCH("noise",C903)),"Noise, Audible",ISNUMBER(SEARCH("sound",C903)),"Noise, Audible",ISNUMBER(SEARCH("loud",C903)),"Noise, Audible",ISNUMBER(SEARCH("fray",C903)),"Material Frayed",ISNUMBER(SEARCH("hole",C903)),"Material Frayed",ISNUMBER(SEARCH("tear",C903)),"Material Frayed",ISNUMBER(SEARCH("worn",C903)),"Material Frayed",ISNUMBER(SEARCH("intermittent",C903)),"Difficult or Delayed Activation",ISNUMBER(SEARCH("delay",C903)),"Difficult or Delayed Activation",ISNUMBER(SEARCH("label",C903)),"Device Markings/Labelling Problem",ISNUMBER(SEARCH("marking",C903)),"Device Markings/Labelling Problem",ISNUMBER(SEARCH("lacerat",C903)),"Defective Device",ISNUMBER(SEARCH("cut",C903)),"Defective Device",ISNUMBER(SEARCH("leak",C903)),"Fluid/Blood Leak",ISNUMBER(SEARCH("missing",C903)),"Component Missing",ISNUMBER(SEARCH("power",C903)),"Complete Loss of Power",ISNUMBER(SEARCH("will not turn on",C903)),"Complete Loss of Power",ISNUMBER(SEARCH("won't turn on",C903)),"Complete Loss of Power",ISNUMBER(SEARCH("does not turn on",C903)),"Complete Loss of Power",ISNUMBER(SEARCH("electrical",C903)),"Electrical Power Problem",ISNUMBER(SEARCH("pressure",C903)),"Detachment of Device or Device Component",ISNUMBER(SEARCH("slip",C903)),"Detachment of Device or Device Component",ISNUMBER(SEARCH("detach",C903)),"Detachment of Device or Device Component",ISNUMBER(SEARCH("stick",C903)),"Mechanical Jam",ISNUMBER(SEARCH("jam",C903)),"Mechanical Jam",ISNUMBER(SEARCH("rigid",C903)),"Mechanical Jam",ISNUMBER(SEARCH("rust",C903)),"Corroded",ISNUMBER(SEARCH("corrod",C903)),"Corroded",ISNUMBER(SEARCH("corrosion",C903)),"Corroded",ISNUMBER(SEARCH("alignment",C903)),"Defective Device",ISNUMBER(SEARCH("adjust",C903)),"Defective Device",ISNUMBER(SEARCH("perform",C903)),"Defective Device",ISNUMBER(SEARCH("malfunction",C903)),"Defective Device",ISNUMBER(SEARCH("defect",C903)),"Defective Device",ISNUMBER(SEARCH("fail",C903)),"Defective Device",ISNUMBER(SEARCH("not work",C903)),"Defective Device",ISNUMBER(SEARCH("doesn't work",C903)),"Defective Device",TRUE,"UNKNOWN"),"UNKNOWN")))</f>
        <v/>
      </c>
      <c r="F903" s="4" t="str">
        <f t="shared" si="15"/>
        <v/>
      </c>
      <c r="G903" s="363" t="str">
        <f>IF(E903="","",IFERROR(VLOOKUP(E903,Codes!$L$2:$N$409,3,FALSE),"—"))</f>
        <v/>
      </c>
      <c r="H903" s="88"/>
      <c r="I903" s="88"/>
    </row>
    <row r="904" spans="1:9" ht="13.15" x14ac:dyDescent="0.35">
      <c r="A904" s="92"/>
      <c r="B904" s="89"/>
      <c r="C904" s="88"/>
      <c r="D904" s="88"/>
      <c r="E904" s="93" t="str" cm="1">
        <f t="array" ref="E904">IF(D904&lt;&gt;"",IFERROR(VLOOKUP(D904,Codes!$K$2:$L$409,2,FALSE),"UNKNOWN - "&amp;D904),IF(C904="","",IFERROR(_xlfn.IFS(ISNUMBER(SEARCH("broken button",C904)),"Break",ISNUMBER(SEARCH("broken handle",C904)),"Break",ISNUMBER(SEARCH("shipping damage",C904)),"Break",ISNUMBER(SEARCH("broken",C904)),"Break",ISNUMBER(SEARCH("crack",C904)),"Break",ISNUMBER(SEARCH("snap",C904)),"Break",ISNUMBER(SEARCH("fracture",C904)),"Break",ISNUMBER(SEARCH("bent",C904)),"Material Twisted/Bent",ISNUMBER(SEARCH("twisted",C904)),"Material Twisted/Bent",ISNUMBER(SEARCH("component separat",C904)),"Material Separation",ISNUMBER(SEARCH("separat",C904)),"Material Separation",ISNUMBER(SEARCH("connection",C904)),"Loose or Intermittent Connection",ISNUMBER(SEARCH("loose",C904)),"Loose or Intermittent Connection",ISNUMBER(SEARCH("damaged packaging",C904)),"Packaging Problem",ISNUMBER(SEARCH("packaging",C904)),"Packaging Problem",ISNUMBER(SEARCH("discoloration",C904)),"Contamination",ISNUMBER(SEARCH("tarnish",C904)),"Contamination",ISNUMBER(SEARCH("stain",C904)),"Contamination",ISNUMBER(SEARCH("foreign material",C904)),"Contamination",ISNUMBER(SEARCH("contamina",C904)),"Contamination",ISNUMBER(SEARCH("overheat",C904)),"Overheating of Device",ISNUMBER(SEARCH("excessive heat",C904)),"Overheating of Device",ISNUMBER(SEARCH("hot",C904)),"Overheating of Device",ISNUMBER(SEARCH("noise",C904)),"Noise, Audible",ISNUMBER(SEARCH("sound",C904)),"Noise, Audible",ISNUMBER(SEARCH("loud",C904)),"Noise, Audible",ISNUMBER(SEARCH("fray",C904)),"Material Frayed",ISNUMBER(SEARCH("hole",C904)),"Material Frayed",ISNUMBER(SEARCH("tear",C904)),"Material Frayed",ISNUMBER(SEARCH("worn",C904)),"Material Frayed",ISNUMBER(SEARCH("intermittent",C904)),"Difficult or Delayed Activation",ISNUMBER(SEARCH("delay",C904)),"Difficult or Delayed Activation",ISNUMBER(SEARCH("label",C904)),"Device Markings/Labelling Problem",ISNUMBER(SEARCH("marking",C904)),"Device Markings/Labelling Problem",ISNUMBER(SEARCH("lacerat",C904)),"Defective Device",ISNUMBER(SEARCH("cut",C904)),"Defective Device",ISNUMBER(SEARCH("leak",C904)),"Fluid/Blood Leak",ISNUMBER(SEARCH("missing",C904)),"Component Missing",ISNUMBER(SEARCH("power",C904)),"Complete Loss of Power",ISNUMBER(SEARCH("will not turn on",C904)),"Complete Loss of Power",ISNUMBER(SEARCH("won't turn on",C904)),"Complete Loss of Power",ISNUMBER(SEARCH("does not turn on",C904)),"Complete Loss of Power",ISNUMBER(SEARCH("electrical",C904)),"Electrical Power Problem",ISNUMBER(SEARCH("pressure",C904)),"Detachment of Device or Device Component",ISNUMBER(SEARCH("slip",C904)),"Detachment of Device or Device Component",ISNUMBER(SEARCH("detach",C904)),"Detachment of Device or Device Component",ISNUMBER(SEARCH("stick",C904)),"Mechanical Jam",ISNUMBER(SEARCH("jam",C904)),"Mechanical Jam",ISNUMBER(SEARCH("rigid",C904)),"Mechanical Jam",ISNUMBER(SEARCH("rust",C904)),"Corroded",ISNUMBER(SEARCH("corrod",C904)),"Corroded",ISNUMBER(SEARCH("corrosion",C904)),"Corroded",ISNUMBER(SEARCH("alignment",C904)),"Defective Device",ISNUMBER(SEARCH("adjust",C904)),"Defective Device",ISNUMBER(SEARCH("perform",C904)),"Defective Device",ISNUMBER(SEARCH("malfunction",C904)),"Defective Device",ISNUMBER(SEARCH("defect",C904)),"Defective Device",ISNUMBER(SEARCH("fail",C904)),"Defective Device",ISNUMBER(SEARCH("not work",C904)),"Defective Device",ISNUMBER(SEARCH("doesn't work",C904)),"Defective Device",TRUE,"UNKNOWN"),"UNKNOWN")))</f>
        <v/>
      </c>
      <c r="F904" s="4" t="str">
        <f t="shared" si="15"/>
        <v/>
      </c>
      <c r="G904" s="363" t="str">
        <f>IF(E904="","",IFERROR(VLOOKUP(E904,Codes!$L$2:$N$409,3,FALSE),"—"))</f>
        <v/>
      </c>
      <c r="H904" s="88"/>
      <c r="I904" s="88"/>
    </row>
    <row r="905" spans="1:9" ht="13.15" x14ac:dyDescent="0.35">
      <c r="A905" s="92"/>
      <c r="B905" s="89"/>
      <c r="C905" s="88"/>
      <c r="D905" s="88"/>
      <c r="E905" s="93" t="str" cm="1">
        <f t="array" ref="E905">IF(D905&lt;&gt;"",IFERROR(VLOOKUP(D905,Codes!$K$2:$L$409,2,FALSE),"UNKNOWN - "&amp;D905),IF(C905="","",IFERROR(_xlfn.IFS(ISNUMBER(SEARCH("broken button",C905)),"Break",ISNUMBER(SEARCH("broken handle",C905)),"Break",ISNUMBER(SEARCH("shipping damage",C905)),"Break",ISNUMBER(SEARCH("broken",C905)),"Break",ISNUMBER(SEARCH("crack",C905)),"Break",ISNUMBER(SEARCH("snap",C905)),"Break",ISNUMBER(SEARCH("fracture",C905)),"Break",ISNUMBER(SEARCH("bent",C905)),"Material Twisted/Bent",ISNUMBER(SEARCH("twisted",C905)),"Material Twisted/Bent",ISNUMBER(SEARCH("component separat",C905)),"Material Separation",ISNUMBER(SEARCH("separat",C905)),"Material Separation",ISNUMBER(SEARCH("connection",C905)),"Loose or Intermittent Connection",ISNUMBER(SEARCH("loose",C905)),"Loose or Intermittent Connection",ISNUMBER(SEARCH("damaged packaging",C905)),"Packaging Problem",ISNUMBER(SEARCH("packaging",C905)),"Packaging Problem",ISNUMBER(SEARCH("discoloration",C905)),"Contamination",ISNUMBER(SEARCH("tarnish",C905)),"Contamination",ISNUMBER(SEARCH("stain",C905)),"Contamination",ISNUMBER(SEARCH("foreign material",C905)),"Contamination",ISNUMBER(SEARCH("contamina",C905)),"Contamination",ISNUMBER(SEARCH("overheat",C905)),"Overheating of Device",ISNUMBER(SEARCH("excessive heat",C905)),"Overheating of Device",ISNUMBER(SEARCH("hot",C905)),"Overheating of Device",ISNUMBER(SEARCH("noise",C905)),"Noise, Audible",ISNUMBER(SEARCH("sound",C905)),"Noise, Audible",ISNUMBER(SEARCH("loud",C905)),"Noise, Audible",ISNUMBER(SEARCH("fray",C905)),"Material Frayed",ISNUMBER(SEARCH("hole",C905)),"Material Frayed",ISNUMBER(SEARCH("tear",C905)),"Material Frayed",ISNUMBER(SEARCH("worn",C905)),"Material Frayed",ISNUMBER(SEARCH("intermittent",C905)),"Difficult or Delayed Activation",ISNUMBER(SEARCH("delay",C905)),"Difficult or Delayed Activation",ISNUMBER(SEARCH("label",C905)),"Device Markings/Labelling Problem",ISNUMBER(SEARCH("marking",C905)),"Device Markings/Labelling Problem",ISNUMBER(SEARCH("lacerat",C905)),"Defective Device",ISNUMBER(SEARCH("cut",C905)),"Defective Device",ISNUMBER(SEARCH("leak",C905)),"Fluid/Blood Leak",ISNUMBER(SEARCH("missing",C905)),"Component Missing",ISNUMBER(SEARCH("power",C905)),"Complete Loss of Power",ISNUMBER(SEARCH("will not turn on",C905)),"Complete Loss of Power",ISNUMBER(SEARCH("won't turn on",C905)),"Complete Loss of Power",ISNUMBER(SEARCH("does not turn on",C905)),"Complete Loss of Power",ISNUMBER(SEARCH("electrical",C905)),"Electrical Power Problem",ISNUMBER(SEARCH("pressure",C905)),"Detachment of Device or Device Component",ISNUMBER(SEARCH("slip",C905)),"Detachment of Device or Device Component",ISNUMBER(SEARCH("detach",C905)),"Detachment of Device or Device Component",ISNUMBER(SEARCH("stick",C905)),"Mechanical Jam",ISNUMBER(SEARCH("jam",C905)),"Mechanical Jam",ISNUMBER(SEARCH("rigid",C905)),"Mechanical Jam",ISNUMBER(SEARCH("rust",C905)),"Corroded",ISNUMBER(SEARCH("corrod",C905)),"Corroded",ISNUMBER(SEARCH("corrosion",C905)),"Corroded",ISNUMBER(SEARCH("alignment",C905)),"Defective Device",ISNUMBER(SEARCH("adjust",C905)),"Defective Device",ISNUMBER(SEARCH("perform",C905)),"Defective Device",ISNUMBER(SEARCH("malfunction",C905)),"Defective Device",ISNUMBER(SEARCH("defect",C905)),"Defective Device",ISNUMBER(SEARCH("fail",C905)),"Defective Device",ISNUMBER(SEARCH("not work",C905)),"Defective Device",ISNUMBER(SEARCH("doesn't work",C905)),"Defective Device",TRUE,"UNKNOWN"),"UNKNOWN")))</f>
        <v/>
      </c>
      <c r="F905" s="4" t="str">
        <f t="shared" si="15"/>
        <v/>
      </c>
      <c r="G905" s="363" t="str">
        <f>IF(E905="","",IFERROR(VLOOKUP(E905,Codes!$L$2:$N$409,3,FALSE),"—"))</f>
        <v/>
      </c>
      <c r="H905" s="88"/>
      <c r="I905" s="88"/>
    </row>
    <row r="906" spans="1:9" ht="13.15" x14ac:dyDescent="0.35">
      <c r="A906" s="92"/>
      <c r="B906" s="89"/>
      <c r="C906" s="88"/>
      <c r="D906" s="88"/>
      <c r="E906" s="93" t="str" cm="1">
        <f t="array" ref="E906">IF(D906&lt;&gt;"",IFERROR(VLOOKUP(D906,Codes!$K$2:$L$409,2,FALSE),"UNKNOWN - "&amp;D906),IF(C906="","",IFERROR(_xlfn.IFS(ISNUMBER(SEARCH("broken button",C906)),"Break",ISNUMBER(SEARCH("broken handle",C906)),"Break",ISNUMBER(SEARCH("shipping damage",C906)),"Break",ISNUMBER(SEARCH("broken",C906)),"Break",ISNUMBER(SEARCH("crack",C906)),"Break",ISNUMBER(SEARCH("snap",C906)),"Break",ISNUMBER(SEARCH("fracture",C906)),"Break",ISNUMBER(SEARCH("bent",C906)),"Material Twisted/Bent",ISNUMBER(SEARCH("twisted",C906)),"Material Twisted/Bent",ISNUMBER(SEARCH("component separat",C906)),"Material Separation",ISNUMBER(SEARCH("separat",C906)),"Material Separation",ISNUMBER(SEARCH("connection",C906)),"Loose or Intermittent Connection",ISNUMBER(SEARCH("loose",C906)),"Loose or Intermittent Connection",ISNUMBER(SEARCH("damaged packaging",C906)),"Packaging Problem",ISNUMBER(SEARCH("packaging",C906)),"Packaging Problem",ISNUMBER(SEARCH("discoloration",C906)),"Contamination",ISNUMBER(SEARCH("tarnish",C906)),"Contamination",ISNUMBER(SEARCH("stain",C906)),"Contamination",ISNUMBER(SEARCH("foreign material",C906)),"Contamination",ISNUMBER(SEARCH("contamina",C906)),"Contamination",ISNUMBER(SEARCH("overheat",C906)),"Overheating of Device",ISNUMBER(SEARCH("excessive heat",C906)),"Overheating of Device",ISNUMBER(SEARCH("hot",C906)),"Overheating of Device",ISNUMBER(SEARCH("noise",C906)),"Noise, Audible",ISNUMBER(SEARCH("sound",C906)),"Noise, Audible",ISNUMBER(SEARCH("loud",C906)),"Noise, Audible",ISNUMBER(SEARCH("fray",C906)),"Material Frayed",ISNUMBER(SEARCH("hole",C906)),"Material Frayed",ISNUMBER(SEARCH("tear",C906)),"Material Frayed",ISNUMBER(SEARCH("worn",C906)),"Material Frayed",ISNUMBER(SEARCH("intermittent",C906)),"Difficult or Delayed Activation",ISNUMBER(SEARCH("delay",C906)),"Difficult or Delayed Activation",ISNUMBER(SEARCH("label",C906)),"Device Markings/Labelling Problem",ISNUMBER(SEARCH("marking",C906)),"Device Markings/Labelling Problem",ISNUMBER(SEARCH("lacerat",C906)),"Defective Device",ISNUMBER(SEARCH("cut",C906)),"Defective Device",ISNUMBER(SEARCH("leak",C906)),"Fluid/Blood Leak",ISNUMBER(SEARCH("missing",C906)),"Component Missing",ISNUMBER(SEARCH("power",C906)),"Complete Loss of Power",ISNUMBER(SEARCH("will not turn on",C906)),"Complete Loss of Power",ISNUMBER(SEARCH("won't turn on",C906)),"Complete Loss of Power",ISNUMBER(SEARCH("does not turn on",C906)),"Complete Loss of Power",ISNUMBER(SEARCH("electrical",C906)),"Electrical Power Problem",ISNUMBER(SEARCH("pressure",C906)),"Detachment of Device or Device Component",ISNUMBER(SEARCH("slip",C906)),"Detachment of Device or Device Component",ISNUMBER(SEARCH("detach",C906)),"Detachment of Device or Device Component",ISNUMBER(SEARCH("stick",C906)),"Mechanical Jam",ISNUMBER(SEARCH("jam",C906)),"Mechanical Jam",ISNUMBER(SEARCH("rigid",C906)),"Mechanical Jam",ISNUMBER(SEARCH("rust",C906)),"Corroded",ISNUMBER(SEARCH("corrod",C906)),"Corroded",ISNUMBER(SEARCH("corrosion",C906)),"Corroded",ISNUMBER(SEARCH("alignment",C906)),"Defective Device",ISNUMBER(SEARCH("adjust",C906)),"Defective Device",ISNUMBER(SEARCH("perform",C906)),"Defective Device",ISNUMBER(SEARCH("malfunction",C906)),"Defective Device",ISNUMBER(SEARCH("defect",C906)),"Defective Device",ISNUMBER(SEARCH("fail",C906)),"Defective Device",ISNUMBER(SEARCH("not work",C906)),"Defective Device",ISNUMBER(SEARCH("doesn't work",C906)),"Defective Device",TRUE,"UNKNOWN"),"UNKNOWN")))</f>
        <v/>
      </c>
      <c r="F906" s="4" t="str">
        <f t="shared" si="15"/>
        <v/>
      </c>
      <c r="G906" s="363" t="str">
        <f>IF(E906="","",IFERROR(VLOOKUP(E906,Codes!$L$2:$N$409,3,FALSE),"—"))</f>
        <v/>
      </c>
      <c r="H906" s="88"/>
      <c r="I906" s="88"/>
    </row>
    <row r="907" spans="1:9" ht="13.15" x14ac:dyDescent="0.35">
      <c r="A907" s="92"/>
      <c r="B907" s="89"/>
      <c r="C907" s="88"/>
      <c r="D907" s="88"/>
      <c r="E907" s="93" t="str" cm="1">
        <f t="array" ref="E907">IF(D907&lt;&gt;"",IFERROR(VLOOKUP(D907,Codes!$K$2:$L$409,2,FALSE),"UNKNOWN - "&amp;D907),IF(C907="","",IFERROR(_xlfn.IFS(ISNUMBER(SEARCH("broken button",C907)),"Break",ISNUMBER(SEARCH("broken handle",C907)),"Break",ISNUMBER(SEARCH("shipping damage",C907)),"Break",ISNUMBER(SEARCH("broken",C907)),"Break",ISNUMBER(SEARCH("crack",C907)),"Break",ISNUMBER(SEARCH("snap",C907)),"Break",ISNUMBER(SEARCH("fracture",C907)),"Break",ISNUMBER(SEARCH("bent",C907)),"Material Twisted/Bent",ISNUMBER(SEARCH("twisted",C907)),"Material Twisted/Bent",ISNUMBER(SEARCH("component separat",C907)),"Material Separation",ISNUMBER(SEARCH("separat",C907)),"Material Separation",ISNUMBER(SEARCH("connection",C907)),"Loose or Intermittent Connection",ISNUMBER(SEARCH("loose",C907)),"Loose or Intermittent Connection",ISNUMBER(SEARCH("damaged packaging",C907)),"Packaging Problem",ISNUMBER(SEARCH("packaging",C907)),"Packaging Problem",ISNUMBER(SEARCH("discoloration",C907)),"Contamination",ISNUMBER(SEARCH("tarnish",C907)),"Contamination",ISNUMBER(SEARCH("stain",C907)),"Contamination",ISNUMBER(SEARCH("foreign material",C907)),"Contamination",ISNUMBER(SEARCH("contamina",C907)),"Contamination",ISNUMBER(SEARCH("overheat",C907)),"Overheating of Device",ISNUMBER(SEARCH("excessive heat",C907)),"Overheating of Device",ISNUMBER(SEARCH("hot",C907)),"Overheating of Device",ISNUMBER(SEARCH("noise",C907)),"Noise, Audible",ISNUMBER(SEARCH("sound",C907)),"Noise, Audible",ISNUMBER(SEARCH("loud",C907)),"Noise, Audible",ISNUMBER(SEARCH("fray",C907)),"Material Frayed",ISNUMBER(SEARCH("hole",C907)),"Material Frayed",ISNUMBER(SEARCH("tear",C907)),"Material Frayed",ISNUMBER(SEARCH("worn",C907)),"Material Frayed",ISNUMBER(SEARCH("intermittent",C907)),"Difficult or Delayed Activation",ISNUMBER(SEARCH("delay",C907)),"Difficult or Delayed Activation",ISNUMBER(SEARCH("label",C907)),"Device Markings/Labelling Problem",ISNUMBER(SEARCH("marking",C907)),"Device Markings/Labelling Problem",ISNUMBER(SEARCH("lacerat",C907)),"Defective Device",ISNUMBER(SEARCH("cut",C907)),"Defective Device",ISNUMBER(SEARCH("leak",C907)),"Fluid/Blood Leak",ISNUMBER(SEARCH("missing",C907)),"Component Missing",ISNUMBER(SEARCH("power",C907)),"Complete Loss of Power",ISNUMBER(SEARCH("will not turn on",C907)),"Complete Loss of Power",ISNUMBER(SEARCH("won't turn on",C907)),"Complete Loss of Power",ISNUMBER(SEARCH("does not turn on",C907)),"Complete Loss of Power",ISNUMBER(SEARCH("electrical",C907)),"Electrical Power Problem",ISNUMBER(SEARCH("pressure",C907)),"Detachment of Device or Device Component",ISNUMBER(SEARCH("slip",C907)),"Detachment of Device or Device Component",ISNUMBER(SEARCH("detach",C907)),"Detachment of Device or Device Component",ISNUMBER(SEARCH("stick",C907)),"Mechanical Jam",ISNUMBER(SEARCH("jam",C907)),"Mechanical Jam",ISNUMBER(SEARCH("rigid",C907)),"Mechanical Jam",ISNUMBER(SEARCH("rust",C907)),"Corroded",ISNUMBER(SEARCH("corrod",C907)),"Corroded",ISNUMBER(SEARCH("corrosion",C907)),"Corroded",ISNUMBER(SEARCH("alignment",C907)),"Defective Device",ISNUMBER(SEARCH("adjust",C907)),"Defective Device",ISNUMBER(SEARCH("perform",C907)),"Defective Device",ISNUMBER(SEARCH("malfunction",C907)),"Defective Device",ISNUMBER(SEARCH("defect",C907)),"Defective Device",ISNUMBER(SEARCH("fail",C907)),"Defective Device",ISNUMBER(SEARCH("not work",C907)),"Defective Device",ISNUMBER(SEARCH("doesn't work",C907)),"Defective Device",TRUE,"UNKNOWN"),"UNKNOWN")))</f>
        <v/>
      </c>
      <c r="F907" s="4" t="str">
        <f t="shared" si="15"/>
        <v/>
      </c>
      <c r="G907" s="363" t="str">
        <f>IF(E907="","",IFERROR(VLOOKUP(E907,Codes!$L$2:$N$409,3,FALSE),"—"))</f>
        <v/>
      </c>
      <c r="H907" s="88"/>
      <c r="I907" s="88"/>
    </row>
    <row r="908" spans="1:9" ht="13.15" x14ac:dyDescent="0.35">
      <c r="A908" s="92"/>
      <c r="B908" s="89"/>
      <c r="C908" s="88"/>
      <c r="D908" s="88"/>
      <c r="E908" s="93" t="str" cm="1">
        <f t="array" ref="E908">IF(D908&lt;&gt;"",IFERROR(VLOOKUP(D908,Codes!$K$2:$L$409,2,FALSE),"UNKNOWN - "&amp;D908),IF(C908="","",IFERROR(_xlfn.IFS(ISNUMBER(SEARCH("broken button",C908)),"Break",ISNUMBER(SEARCH("broken handle",C908)),"Break",ISNUMBER(SEARCH("shipping damage",C908)),"Break",ISNUMBER(SEARCH("broken",C908)),"Break",ISNUMBER(SEARCH("crack",C908)),"Break",ISNUMBER(SEARCH("snap",C908)),"Break",ISNUMBER(SEARCH("fracture",C908)),"Break",ISNUMBER(SEARCH("bent",C908)),"Material Twisted/Bent",ISNUMBER(SEARCH("twisted",C908)),"Material Twisted/Bent",ISNUMBER(SEARCH("component separat",C908)),"Material Separation",ISNUMBER(SEARCH("separat",C908)),"Material Separation",ISNUMBER(SEARCH("connection",C908)),"Loose or Intermittent Connection",ISNUMBER(SEARCH("loose",C908)),"Loose or Intermittent Connection",ISNUMBER(SEARCH("damaged packaging",C908)),"Packaging Problem",ISNUMBER(SEARCH("packaging",C908)),"Packaging Problem",ISNUMBER(SEARCH("discoloration",C908)),"Contamination",ISNUMBER(SEARCH("tarnish",C908)),"Contamination",ISNUMBER(SEARCH("stain",C908)),"Contamination",ISNUMBER(SEARCH("foreign material",C908)),"Contamination",ISNUMBER(SEARCH("contamina",C908)),"Contamination",ISNUMBER(SEARCH("overheat",C908)),"Overheating of Device",ISNUMBER(SEARCH("excessive heat",C908)),"Overheating of Device",ISNUMBER(SEARCH("hot",C908)),"Overheating of Device",ISNUMBER(SEARCH("noise",C908)),"Noise, Audible",ISNUMBER(SEARCH("sound",C908)),"Noise, Audible",ISNUMBER(SEARCH("loud",C908)),"Noise, Audible",ISNUMBER(SEARCH("fray",C908)),"Material Frayed",ISNUMBER(SEARCH("hole",C908)),"Material Frayed",ISNUMBER(SEARCH("tear",C908)),"Material Frayed",ISNUMBER(SEARCH("worn",C908)),"Material Frayed",ISNUMBER(SEARCH("intermittent",C908)),"Difficult or Delayed Activation",ISNUMBER(SEARCH("delay",C908)),"Difficult or Delayed Activation",ISNUMBER(SEARCH("label",C908)),"Device Markings/Labelling Problem",ISNUMBER(SEARCH("marking",C908)),"Device Markings/Labelling Problem",ISNUMBER(SEARCH("lacerat",C908)),"Defective Device",ISNUMBER(SEARCH("cut",C908)),"Defective Device",ISNUMBER(SEARCH("leak",C908)),"Fluid/Blood Leak",ISNUMBER(SEARCH("missing",C908)),"Component Missing",ISNUMBER(SEARCH("power",C908)),"Complete Loss of Power",ISNUMBER(SEARCH("will not turn on",C908)),"Complete Loss of Power",ISNUMBER(SEARCH("won't turn on",C908)),"Complete Loss of Power",ISNUMBER(SEARCH("does not turn on",C908)),"Complete Loss of Power",ISNUMBER(SEARCH("electrical",C908)),"Electrical Power Problem",ISNUMBER(SEARCH("pressure",C908)),"Detachment of Device or Device Component",ISNUMBER(SEARCH("slip",C908)),"Detachment of Device or Device Component",ISNUMBER(SEARCH("detach",C908)),"Detachment of Device or Device Component",ISNUMBER(SEARCH("stick",C908)),"Mechanical Jam",ISNUMBER(SEARCH("jam",C908)),"Mechanical Jam",ISNUMBER(SEARCH("rigid",C908)),"Mechanical Jam",ISNUMBER(SEARCH("rust",C908)),"Corroded",ISNUMBER(SEARCH("corrod",C908)),"Corroded",ISNUMBER(SEARCH("corrosion",C908)),"Corroded",ISNUMBER(SEARCH("alignment",C908)),"Defective Device",ISNUMBER(SEARCH("adjust",C908)),"Defective Device",ISNUMBER(SEARCH("perform",C908)),"Defective Device",ISNUMBER(SEARCH("malfunction",C908)),"Defective Device",ISNUMBER(SEARCH("defect",C908)),"Defective Device",ISNUMBER(SEARCH("fail",C908)),"Defective Device",ISNUMBER(SEARCH("not work",C908)),"Defective Device",ISNUMBER(SEARCH("doesn't work",C908)),"Defective Device",TRUE,"UNKNOWN"),"UNKNOWN")))</f>
        <v/>
      </c>
      <c r="F908" s="4" t="str">
        <f t="shared" si="15"/>
        <v/>
      </c>
      <c r="G908" s="363" t="str">
        <f>IF(E908="","",IFERROR(VLOOKUP(E908,Codes!$L$2:$N$409,3,FALSE),"—"))</f>
        <v/>
      </c>
      <c r="H908" s="88"/>
      <c r="I908" s="88"/>
    </row>
    <row r="909" spans="1:9" ht="13.15" x14ac:dyDescent="0.35">
      <c r="A909" s="92"/>
      <c r="B909" s="89"/>
      <c r="C909" s="88"/>
      <c r="D909" s="88"/>
      <c r="E909" s="93" t="str" cm="1">
        <f t="array" ref="E909">IF(D909&lt;&gt;"",IFERROR(VLOOKUP(D909,Codes!$K$2:$L$409,2,FALSE),"UNKNOWN - "&amp;D909),IF(C909="","",IFERROR(_xlfn.IFS(ISNUMBER(SEARCH("broken button",C909)),"Break",ISNUMBER(SEARCH("broken handle",C909)),"Break",ISNUMBER(SEARCH("shipping damage",C909)),"Break",ISNUMBER(SEARCH("broken",C909)),"Break",ISNUMBER(SEARCH("crack",C909)),"Break",ISNUMBER(SEARCH("snap",C909)),"Break",ISNUMBER(SEARCH("fracture",C909)),"Break",ISNUMBER(SEARCH("bent",C909)),"Material Twisted/Bent",ISNUMBER(SEARCH("twisted",C909)),"Material Twisted/Bent",ISNUMBER(SEARCH("component separat",C909)),"Material Separation",ISNUMBER(SEARCH("separat",C909)),"Material Separation",ISNUMBER(SEARCH("connection",C909)),"Loose or Intermittent Connection",ISNUMBER(SEARCH("loose",C909)),"Loose or Intermittent Connection",ISNUMBER(SEARCH("damaged packaging",C909)),"Packaging Problem",ISNUMBER(SEARCH("packaging",C909)),"Packaging Problem",ISNUMBER(SEARCH("discoloration",C909)),"Contamination",ISNUMBER(SEARCH("tarnish",C909)),"Contamination",ISNUMBER(SEARCH("stain",C909)),"Contamination",ISNUMBER(SEARCH("foreign material",C909)),"Contamination",ISNUMBER(SEARCH("contamina",C909)),"Contamination",ISNUMBER(SEARCH("overheat",C909)),"Overheating of Device",ISNUMBER(SEARCH("excessive heat",C909)),"Overheating of Device",ISNUMBER(SEARCH("hot",C909)),"Overheating of Device",ISNUMBER(SEARCH("noise",C909)),"Noise, Audible",ISNUMBER(SEARCH("sound",C909)),"Noise, Audible",ISNUMBER(SEARCH("loud",C909)),"Noise, Audible",ISNUMBER(SEARCH("fray",C909)),"Material Frayed",ISNUMBER(SEARCH("hole",C909)),"Material Frayed",ISNUMBER(SEARCH("tear",C909)),"Material Frayed",ISNUMBER(SEARCH("worn",C909)),"Material Frayed",ISNUMBER(SEARCH("intermittent",C909)),"Difficult or Delayed Activation",ISNUMBER(SEARCH("delay",C909)),"Difficult or Delayed Activation",ISNUMBER(SEARCH("label",C909)),"Device Markings/Labelling Problem",ISNUMBER(SEARCH("marking",C909)),"Device Markings/Labelling Problem",ISNUMBER(SEARCH("lacerat",C909)),"Defective Device",ISNUMBER(SEARCH("cut",C909)),"Defective Device",ISNUMBER(SEARCH("leak",C909)),"Fluid/Blood Leak",ISNUMBER(SEARCH("missing",C909)),"Component Missing",ISNUMBER(SEARCH("power",C909)),"Complete Loss of Power",ISNUMBER(SEARCH("will not turn on",C909)),"Complete Loss of Power",ISNUMBER(SEARCH("won't turn on",C909)),"Complete Loss of Power",ISNUMBER(SEARCH("does not turn on",C909)),"Complete Loss of Power",ISNUMBER(SEARCH("electrical",C909)),"Electrical Power Problem",ISNUMBER(SEARCH("pressure",C909)),"Detachment of Device or Device Component",ISNUMBER(SEARCH("slip",C909)),"Detachment of Device or Device Component",ISNUMBER(SEARCH("detach",C909)),"Detachment of Device or Device Component",ISNUMBER(SEARCH("stick",C909)),"Mechanical Jam",ISNUMBER(SEARCH("jam",C909)),"Mechanical Jam",ISNUMBER(SEARCH("rigid",C909)),"Mechanical Jam",ISNUMBER(SEARCH("rust",C909)),"Corroded",ISNUMBER(SEARCH("corrod",C909)),"Corroded",ISNUMBER(SEARCH("corrosion",C909)),"Corroded",ISNUMBER(SEARCH("alignment",C909)),"Defective Device",ISNUMBER(SEARCH("adjust",C909)),"Defective Device",ISNUMBER(SEARCH("perform",C909)),"Defective Device",ISNUMBER(SEARCH("malfunction",C909)),"Defective Device",ISNUMBER(SEARCH("defect",C909)),"Defective Device",ISNUMBER(SEARCH("fail",C909)),"Defective Device",ISNUMBER(SEARCH("not work",C909)),"Defective Device",ISNUMBER(SEARCH("doesn't work",C909)),"Defective Device",TRUE,"UNKNOWN"),"UNKNOWN")))</f>
        <v/>
      </c>
      <c r="F909" s="4" t="str">
        <f t="shared" si="15"/>
        <v/>
      </c>
      <c r="G909" s="363" t="str">
        <f>IF(E909="","",IFERROR(VLOOKUP(E909,Codes!$L$2:$N$409,3,FALSE),"—"))</f>
        <v/>
      </c>
      <c r="H909" s="88"/>
      <c r="I909" s="88"/>
    </row>
    <row r="910" spans="1:9" ht="13.15" x14ac:dyDescent="0.35">
      <c r="A910" s="92"/>
      <c r="B910" s="89"/>
      <c r="C910" s="88"/>
      <c r="D910" s="88"/>
      <c r="E910" s="93" t="str" cm="1">
        <f t="array" ref="E910">IF(D910&lt;&gt;"",IFERROR(VLOOKUP(D910,Codes!$K$2:$L$409,2,FALSE),"UNKNOWN - "&amp;D910),IF(C910="","",IFERROR(_xlfn.IFS(ISNUMBER(SEARCH("broken button",C910)),"Break",ISNUMBER(SEARCH("broken handle",C910)),"Break",ISNUMBER(SEARCH("shipping damage",C910)),"Break",ISNUMBER(SEARCH("broken",C910)),"Break",ISNUMBER(SEARCH("crack",C910)),"Break",ISNUMBER(SEARCH("snap",C910)),"Break",ISNUMBER(SEARCH("fracture",C910)),"Break",ISNUMBER(SEARCH("bent",C910)),"Material Twisted/Bent",ISNUMBER(SEARCH("twisted",C910)),"Material Twisted/Bent",ISNUMBER(SEARCH("component separat",C910)),"Material Separation",ISNUMBER(SEARCH("separat",C910)),"Material Separation",ISNUMBER(SEARCH("connection",C910)),"Loose or Intermittent Connection",ISNUMBER(SEARCH("loose",C910)),"Loose or Intermittent Connection",ISNUMBER(SEARCH("damaged packaging",C910)),"Packaging Problem",ISNUMBER(SEARCH("packaging",C910)),"Packaging Problem",ISNUMBER(SEARCH("discoloration",C910)),"Contamination",ISNUMBER(SEARCH("tarnish",C910)),"Contamination",ISNUMBER(SEARCH("stain",C910)),"Contamination",ISNUMBER(SEARCH("foreign material",C910)),"Contamination",ISNUMBER(SEARCH("contamina",C910)),"Contamination",ISNUMBER(SEARCH("overheat",C910)),"Overheating of Device",ISNUMBER(SEARCH("excessive heat",C910)),"Overheating of Device",ISNUMBER(SEARCH("hot",C910)),"Overheating of Device",ISNUMBER(SEARCH("noise",C910)),"Noise, Audible",ISNUMBER(SEARCH("sound",C910)),"Noise, Audible",ISNUMBER(SEARCH("loud",C910)),"Noise, Audible",ISNUMBER(SEARCH("fray",C910)),"Material Frayed",ISNUMBER(SEARCH("hole",C910)),"Material Frayed",ISNUMBER(SEARCH("tear",C910)),"Material Frayed",ISNUMBER(SEARCH("worn",C910)),"Material Frayed",ISNUMBER(SEARCH("intermittent",C910)),"Difficult or Delayed Activation",ISNUMBER(SEARCH("delay",C910)),"Difficult or Delayed Activation",ISNUMBER(SEARCH("label",C910)),"Device Markings/Labelling Problem",ISNUMBER(SEARCH("marking",C910)),"Device Markings/Labelling Problem",ISNUMBER(SEARCH("lacerat",C910)),"Defective Device",ISNUMBER(SEARCH("cut",C910)),"Defective Device",ISNUMBER(SEARCH("leak",C910)),"Fluid/Blood Leak",ISNUMBER(SEARCH("missing",C910)),"Component Missing",ISNUMBER(SEARCH("power",C910)),"Complete Loss of Power",ISNUMBER(SEARCH("will not turn on",C910)),"Complete Loss of Power",ISNUMBER(SEARCH("won't turn on",C910)),"Complete Loss of Power",ISNUMBER(SEARCH("does not turn on",C910)),"Complete Loss of Power",ISNUMBER(SEARCH("electrical",C910)),"Electrical Power Problem",ISNUMBER(SEARCH("pressure",C910)),"Detachment of Device or Device Component",ISNUMBER(SEARCH("slip",C910)),"Detachment of Device or Device Component",ISNUMBER(SEARCH("detach",C910)),"Detachment of Device or Device Component",ISNUMBER(SEARCH("stick",C910)),"Mechanical Jam",ISNUMBER(SEARCH("jam",C910)),"Mechanical Jam",ISNUMBER(SEARCH("rigid",C910)),"Mechanical Jam",ISNUMBER(SEARCH("rust",C910)),"Corroded",ISNUMBER(SEARCH("corrod",C910)),"Corroded",ISNUMBER(SEARCH("corrosion",C910)),"Corroded",ISNUMBER(SEARCH("alignment",C910)),"Defective Device",ISNUMBER(SEARCH("adjust",C910)),"Defective Device",ISNUMBER(SEARCH("perform",C910)),"Defective Device",ISNUMBER(SEARCH("malfunction",C910)),"Defective Device",ISNUMBER(SEARCH("defect",C910)),"Defective Device",ISNUMBER(SEARCH("fail",C910)),"Defective Device",ISNUMBER(SEARCH("not work",C910)),"Defective Device",ISNUMBER(SEARCH("doesn't work",C910)),"Defective Device",TRUE,"UNKNOWN"),"UNKNOWN")))</f>
        <v/>
      </c>
      <c r="F910" s="4" t="str">
        <f t="shared" si="15"/>
        <v/>
      </c>
      <c r="G910" s="363" t="str">
        <f>IF(E910="","",IFERROR(VLOOKUP(E910,Codes!$L$2:$N$409,3,FALSE),"—"))</f>
        <v/>
      </c>
      <c r="H910" s="88"/>
      <c r="I910" s="88"/>
    </row>
    <row r="911" spans="1:9" ht="13.15" x14ac:dyDescent="0.35">
      <c r="A911" s="92"/>
      <c r="B911" s="89"/>
      <c r="C911" s="88"/>
      <c r="D911" s="88"/>
      <c r="E911" s="93" t="str" cm="1">
        <f t="array" ref="E911">IF(D911&lt;&gt;"",IFERROR(VLOOKUP(D911,Codes!$K$2:$L$409,2,FALSE),"UNKNOWN - "&amp;D911),IF(C911="","",IFERROR(_xlfn.IFS(ISNUMBER(SEARCH("broken button",C911)),"Break",ISNUMBER(SEARCH("broken handle",C911)),"Break",ISNUMBER(SEARCH("shipping damage",C911)),"Break",ISNUMBER(SEARCH("broken",C911)),"Break",ISNUMBER(SEARCH("crack",C911)),"Break",ISNUMBER(SEARCH("snap",C911)),"Break",ISNUMBER(SEARCH("fracture",C911)),"Break",ISNUMBER(SEARCH("bent",C911)),"Material Twisted/Bent",ISNUMBER(SEARCH("twisted",C911)),"Material Twisted/Bent",ISNUMBER(SEARCH("component separat",C911)),"Material Separation",ISNUMBER(SEARCH("separat",C911)),"Material Separation",ISNUMBER(SEARCH("connection",C911)),"Loose or Intermittent Connection",ISNUMBER(SEARCH("loose",C911)),"Loose or Intermittent Connection",ISNUMBER(SEARCH("damaged packaging",C911)),"Packaging Problem",ISNUMBER(SEARCH("packaging",C911)),"Packaging Problem",ISNUMBER(SEARCH("discoloration",C911)),"Contamination",ISNUMBER(SEARCH("tarnish",C911)),"Contamination",ISNUMBER(SEARCH("stain",C911)),"Contamination",ISNUMBER(SEARCH("foreign material",C911)),"Contamination",ISNUMBER(SEARCH("contamina",C911)),"Contamination",ISNUMBER(SEARCH("overheat",C911)),"Overheating of Device",ISNUMBER(SEARCH("excessive heat",C911)),"Overheating of Device",ISNUMBER(SEARCH("hot",C911)),"Overheating of Device",ISNUMBER(SEARCH("noise",C911)),"Noise, Audible",ISNUMBER(SEARCH("sound",C911)),"Noise, Audible",ISNUMBER(SEARCH("loud",C911)),"Noise, Audible",ISNUMBER(SEARCH("fray",C911)),"Material Frayed",ISNUMBER(SEARCH("hole",C911)),"Material Frayed",ISNUMBER(SEARCH("tear",C911)),"Material Frayed",ISNUMBER(SEARCH("worn",C911)),"Material Frayed",ISNUMBER(SEARCH("intermittent",C911)),"Difficult or Delayed Activation",ISNUMBER(SEARCH("delay",C911)),"Difficult or Delayed Activation",ISNUMBER(SEARCH("label",C911)),"Device Markings/Labelling Problem",ISNUMBER(SEARCH("marking",C911)),"Device Markings/Labelling Problem",ISNUMBER(SEARCH("lacerat",C911)),"Defective Device",ISNUMBER(SEARCH("cut",C911)),"Defective Device",ISNUMBER(SEARCH("leak",C911)),"Fluid/Blood Leak",ISNUMBER(SEARCH("missing",C911)),"Component Missing",ISNUMBER(SEARCH("power",C911)),"Complete Loss of Power",ISNUMBER(SEARCH("will not turn on",C911)),"Complete Loss of Power",ISNUMBER(SEARCH("won't turn on",C911)),"Complete Loss of Power",ISNUMBER(SEARCH("does not turn on",C911)),"Complete Loss of Power",ISNUMBER(SEARCH("electrical",C911)),"Electrical Power Problem",ISNUMBER(SEARCH("pressure",C911)),"Detachment of Device or Device Component",ISNUMBER(SEARCH("slip",C911)),"Detachment of Device or Device Component",ISNUMBER(SEARCH("detach",C911)),"Detachment of Device or Device Component",ISNUMBER(SEARCH("stick",C911)),"Mechanical Jam",ISNUMBER(SEARCH("jam",C911)),"Mechanical Jam",ISNUMBER(SEARCH("rigid",C911)),"Mechanical Jam",ISNUMBER(SEARCH("rust",C911)),"Corroded",ISNUMBER(SEARCH("corrod",C911)),"Corroded",ISNUMBER(SEARCH("corrosion",C911)),"Corroded",ISNUMBER(SEARCH("alignment",C911)),"Defective Device",ISNUMBER(SEARCH("adjust",C911)),"Defective Device",ISNUMBER(SEARCH("perform",C911)),"Defective Device",ISNUMBER(SEARCH("malfunction",C911)),"Defective Device",ISNUMBER(SEARCH("defect",C911)),"Defective Device",ISNUMBER(SEARCH("fail",C911)),"Defective Device",ISNUMBER(SEARCH("not work",C911)),"Defective Device",ISNUMBER(SEARCH("doesn't work",C911)),"Defective Device",TRUE,"UNKNOWN"),"UNKNOWN")))</f>
        <v/>
      </c>
      <c r="F911" s="4" t="str">
        <f t="shared" si="15"/>
        <v/>
      </c>
      <c r="G911" s="363" t="str">
        <f>IF(E911="","",IFERROR(VLOOKUP(E911,Codes!$L$2:$N$409,3,FALSE),"—"))</f>
        <v/>
      </c>
      <c r="H911" s="88"/>
      <c r="I911" s="88"/>
    </row>
    <row r="912" spans="1:9" ht="13.15" x14ac:dyDescent="0.35">
      <c r="A912" s="92"/>
      <c r="B912" s="89"/>
      <c r="C912" s="88"/>
      <c r="D912" s="88"/>
      <c r="E912" s="93" t="str" cm="1">
        <f t="array" ref="E912">IF(D912&lt;&gt;"",IFERROR(VLOOKUP(D912,Codes!$K$2:$L$409,2,FALSE),"UNKNOWN - "&amp;D912),IF(C912="","",IFERROR(_xlfn.IFS(ISNUMBER(SEARCH("broken button",C912)),"Break",ISNUMBER(SEARCH("broken handle",C912)),"Break",ISNUMBER(SEARCH("shipping damage",C912)),"Break",ISNUMBER(SEARCH("broken",C912)),"Break",ISNUMBER(SEARCH("crack",C912)),"Break",ISNUMBER(SEARCH("snap",C912)),"Break",ISNUMBER(SEARCH("fracture",C912)),"Break",ISNUMBER(SEARCH("bent",C912)),"Material Twisted/Bent",ISNUMBER(SEARCH("twisted",C912)),"Material Twisted/Bent",ISNUMBER(SEARCH("component separat",C912)),"Material Separation",ISNUMBER(SEARCH("separat",C912)),"Material Separation",ISNUMBER(SEARCH("connection",C912)),"Loose or Intermittent Connection",ISNUMBER(SEARCH("loose",C912)),"Loose or Intermittent Connection",ISNUMBER(SEARCH("damaged packaging",C912)),"Packaging Problem",ISNUMBER(SEARCH("packaging",C912)),"Packaging Problem",ISNUMBER(SEARCH("discoloration",C912)),"Contamination",ISNUMBER(SEARCH("tarnish",C912)),"Contamination",ISNUMBER(SEARCH("stain",C912)),"Contamination",ISNUMBER(SEARCH("foreign material",C912)),"Contamination",ISNUMBER(SEARCH("contamina",C912)),"Contamination",ISNUMBER(SEARCH("overheat",C912)),"Overheating of Device",ISNUMBER(SEARCH("excessive heat",C912)),"Overheating of Device",ISNUMBER(SEARCH("hot",C912)),"Overheating of Device",ISNUMBER(SEARCH("noise",C912)),"Noise, Audible",ISNUMBER(SEARCH("sound",C912)),"Noise, Audible",ISNUMBER(SEARCH("loud",C912)),"Noise, Audible",ISNUMBER(SEARCH("fray",C912)),"Material Frayed",ISNUMBER(SEARCH("hole",C912)),"Material Frayed",ISNUMBER(SEARCH("tear",C912)),"Material Frayed",ISNUMBER(SEARCH("worn",C912)),"Material Frayed",ISNUMBER(SEARCH("intermittent",C912)),"Difficult or Delayed Activation",ISNUMBER(SEARCH("delay",C912)),"Difficult or Delayed Activation",ISNUMBER(SEARCH("label",C912)),"Device Markings/Labelling Problem",ISNUMBER(SEARCH("marking",C912)),"Device Markings/Labelling Problem",ISNUMBER(SEARCH("lacerat",C912)),"Defective Device",ISNUMBER(SEARCH("cut",C912)),"Defective Device",ISNUMBER(SEARCH("leak",C912)),"Fluid/Blood Leak",ISNUMBER(SEARCH("missing",C912)),"Component Missing",ISNUMBER(SEARCH("power",C912)),"Complete Loss of Power",ISNUMBER(SEARCH("will not turn on",C912)),"Complete Loss of Power",ISNUMBER(SEARCH("won't turn on",C912)),"Complete Loss of Power",ISNUMBER(SEARCH("does not turn on",C912)),"Complete Loss of Power",ISNUMBER(SEARCH("electrical",C912)),"Electrical Power Problem",ISNUMBER(SEARCH("pressure",C912)),"Detachment of Device or Device Component",ISNUMBER(SEARCH("slip",C912)),"Detachment of Device or Device Component",ISNUMBER(SEARCH("detach",C912)),"Detachment of Device or Device Component",ISNUMBER(SEARCH("stick",C912)),"Mechanical Jam",ISNUMBER(SEARCH("jam",C912)),"Mechanical Jam",ISNUMBER(SEARCH("rigid",C912)),"Mechanical Jam",ISNUMBER(SEARCH("rust",C912)),"Corroded",ISNUMBER(SEARCH("corrod",C912)),"Corroded",ISNUMBER(SEARCH("corrosion",C912)),"Corroded",ISNUMBER(SEARCH("alignment",C912)),"Defective Device",ISNUMBER(SEARCH("adjust",C912)),"Defective Device",ISNUMBER(SEARCH("perform",C912)),"Defective Device",ISNUMBER(SEARCH("malfunction",C912)),"Defective Device",ISNUMBER(SEARCH("defect",C912)),"Defective Device",ISNUMBER(SEARCH("fail",C912)),"Defective Device",ISNUMBER(SEARCH("not work",C912)),"Defective Device",ISNUMBER(SEARCH("doesn't work",C912)),"Defective Device",TRUE,"UNKNOWN"),"UNKNOWN")))</f>
        <v/>
      </c>
      <c r="F912" s="4" t="str">
        <f t="shared" si="15"/>
        <v/>
      </c>
      <c r="G912" s="363" t="str">
        <f>IF(E912="","",IFERROR(VLOOKUP(E912,Codes!$L$2:$N$409,3,FALSE),"—"))</f>
        <v/>
      </c>
      <c r="H912" s="88"/>
      <c r="I912" s="88"/>
    </row>
    <row r="913" spans="1:9" ht="13.15" x14ac:dyDescent="0.35">
      <c r="A913" s="92"/>
      <c r="B913" s="89"/>
      <c r="C913" s="88"/>
      <c r="D913" s="88"/>
      <c r="E913" s="93" t="str" cm="1">
        <f t="array" ref="E913">IF(D913&lt;&gt;"",IFERROR(VLOOKUP(D913,Codes!$K$2:$L$409,2,FALSE),"UNKNOWN - "&amp;D913),IF(C913="","",IFERROR(_xlfn.IFS(ISNUMBER(SEARCH("broken button",C913)),"Break",ISNUMBER(SEARCH("broken handle",C913)),"Break",ISNUMBER(SEARCH("shipping damage",C913)),"Break",ISNUMBER(SEARCH("broken",C913)),"Break",ISNUMBER(SEARCH("crack",C913)),"Break",ISNUMBER(SEARCH("snap",C913)),"Break",ISNUMBER(SEARCH("fracture",C913)),"Break",ISNUMBER(SEARCH("bent",C913)),"Material Twisted/Bent",ISNUMBER(SEARCH("twisted",C913)),"Material Twisted/Bent",ISNUMBER(SEARCH("component separat",C913)),"Material Separation",ISNUMBER(SEARCH("separat",C913)),"Material Separation",ISNUMBER(SEARCH("connection",C913)),"Loose or Intermittent Connection",ISNUMBER(SEARCH("loose",C913)),"Loose or Intermittent Connection",ISNUMBER(SEARCH("damaged packaging",C913)),"Packaging Problem",ISNUMBER(SEARCH("packaging",C913)),"Packaging Problem",ISNUMBER(SEARCH("discoloration",C913)),"Contamination",ISNUMBER(SEARCH("tarnish",C913)),"Contamination",ISNUMBER(SEARCH("stain",C913)),"Contamination",ISNUMBER(SEARCH("foreign material",C913)),"Contamination",ISNUMBER(SEARCH("contamina",C913)),"Contamination",ISNUMBER(SEARCH("overheat",C913)),"Overheating of Device",ISNUMBER(SEARCH("excessive heat",C913)),"Overheating of Device",ISNUMBER(SEARCH("hot",C913)),"Overheating of Device",ISNUMBER(SEARCH("noise",C913)),"Noise, Audible",ISNUMBER(SEARCH("sound",C913)),"Noise, Audible",ISNUMBER(SEARCH("loud",C913)),"Noise, Audible",ISNUMBER(SEARCH("fray",C913)),"Material Frayed",ISNUMBER(SEARCH("hole",C913)),"Material Frayed",ISNUMBER(SEARCH("tear",C913)),"Material Frayed",ISNUMBER(SEARCH("worn",C913)),"Material Frayed",ISNUMBER(SEARCH("intermittent",C913)),"Difficult or Delayed Activation",ISNUMBER(SEARCH("delay",C913)),"Difficult or Delayed Activation",ISNUMBER(SEARCH("label",C913)),"Device Markings/Labelling Problem",ISNUMBER(SEARCH("marking",C913)),"Device Markings/Labelling Problem",ISNUMBER(SEARCH("lacerat",C913)),"Defective Device",ISNUMBER(SEARCH("cut",C913)),"Defective Device",ISNUMBER(SEARCH("leak",C913)),"Fluid/Blood Leak",ISNUMBER(SEARCH("missing",C913)),"Component Missing",ISNUMBER(SEARCH("power",C913)),"Complete Loss of Power",ISNUMBER(SEARCH("will not turn on",C913)),"Complete Loss of Power",ISNUMBER(SEARCH("won't turn on",C913)),"Complete Loss of Power",ISNUMBER(SEARCH("does not turn on",C913)),"Complete Loss of Power",ISNUMBER(SEARCH("electrical",C913)),"Electrical Power Problem",ISNUMBER(SEARCH("pressure",C913)),"Detachment of Device or Device Component",ISNUMBER(SEARCH("slip",C913)),"Detachment of Device or Device Component",ISNUMBER(SEARCH("detach",C913)),"Detachment of Device or Device Component",ISNUMBER(SEARCH("stick",C913)),"Mechanical Jam",ISNUMBER(SEARCH("jam",C913)),"Mechanical Jam",ISNUMBER(SEARCH("rigid",C913)),"Mechanical Jam",ISNUMBER(SEARCH("rust",C913)),"Corroded",ISNUMBER(SEARCH("corrod",C913)),"Corroded",ISNUMBER(SEARCH("corrosion",C913)),"Corroded",ISNUMBER(SEARCH("alignment",C913)),"Defective Device",ISNUMBER(SEARCH("adjust",C913)),"Defective Device",ISNUMBER(SEARCH("perform",C913)),"Defective Device",ISNUMBER(SEARCH("malfunction",C913)),"Defective Device",ISNUMBER(SEARCH("defect",C913)),"Defective Device",ISNUMBER(SEARCH("fail",C913)),"Defective Device",ISNUMBER(SEARCH("not work",C913)),"Defective Device",ISNUMBER(SEARCH("doesn't work",C913)),"Defective Device",TRUE,"UNKNOWN"),"UNKNOWN")))</f>
        <v/>
      </c>
      <c r="F913" s="4" t="str">
        <f t="shared" si="15"/>
        <v/>
      </c>
      <c r="G913" s="363" t="str">
        <f>IF(E913="","",IFERROR(VLOOKUP(E913,Codes!$L$2:$N$409,3,FALSE),"—"))</f>
        <v/>
      </c>
      <c r="H913" s="88"/>
      <c r="I913" s="88"/>
    </row>
    <row r="914" spans="1:9" ht="13.15" x14ac:dyDescent="0.35">
      <c r="A914" s="92"/>
      <c r="B914" s="89"/>
      <c r="C914" s="88"/>
      <c r="D914" s="88"/>
      <c r="E914" s="93" t="str" cm="1">
        <f t="array" ref="E914">IF(D914&lt;&gt;"",IFERROR(VLOOKUP(D914,Codes!$K$2:$L$409,2,FALSE),"UNKNOWN - "&amp;D914),IF(C914="","",IFERROR(_xlfn.IFS(ISNUMBER(SEARCH("broken button",C914)),"Break",ISNUMBER(SEARCH("broken handle",C914)),"Break",ISNUMBER(SEARCH("shipping damage",C914)),"Break",ISNUMBER(SEARCH("broken",C914)),"Break",ISNUMBER(SEARCH("crack",C914)),"Break",ISNUMBER(SEARCH("snap",C914)),"Break",ISNUMBER(SEARCH("fracture",C914)),"Break",ISNUMBER(SEARCH("bent",C914)),"Material Twisted/Bent",ISNUMBER(SEARCH("twisted",C914)),"Material Twisted/Bent",ISNUMBER(SEARCH("component separat",C914)),"Material Separation",ISNUMBER(SEARCH("separat",C914)),"Material Separation",ISNUMBER(SEARCH("connection",C914)),"Loose or Intermittent Connection",ISNUMBER(SEARCH("loose",C914)),"Loose or Intermittent Connection",ISNUMBER(SEARCH("damaged packaging",C914)),"Packaging Problem",ISNUMBER(SEARCH("packaging",C914)),"Packaging Problem",ISNUMBER(SEARCH("discoloration",C914)),"Contamination",ISNUMBER(SEARCH("tarnish",C914)),"Contamination",ISNUMBER(SEARCH("stain",C914)),"Contamination",ISNUMBER(SEARCH("foreign material",C914)),"Contamination",ISNUMBER(SEARCH("contamina",C914)),"Contamination",ISNUMBER(SEARCH("overheat",C914)),"Overheating of Device",ISNUMBER(SEARCH("excessive heat",C914)),"Overheating of Device",ISNUMBER(SEARCH("hot",C914)),"Overheating of Device",ISNUMBER(SEARCH("noise",C914)),"Noise, Audible",ISNUMBER(SEARCH("sound",C914)),"Noise, Audible",ISNUMBER(SEARCH("loud",C914)),"Noise, Audible",ISNUMBER(SEARCH("fray",C914)),"Material Frayed",ISNUMBER(SEARCH("hole",C914)),"Material Frayed",ISNUMBER(SEARCH("tear",C914)),"Material Frayed",ISNUMBER(SEARCH("worn",C914)),"Material Frayed",ISNUMBER(SEARCH("intermittent",C914)),"Difficult or Delayed Activation",ISNUMBER(SEARCH("delay",C914)),"Difficult or Delayed Activation",ISNUMBER(SEARCH("label",C914)),"Device Markings/Labelling Problem",ISNUMBER(SEARCH("marking",C914)),"Device Markings/Labelling Problem",ISNUMBER(SEARCH("lacerat",C914)),"Defective Device",ISNUMBER(SEARCH("cut",C914)),"Defective Device",ISNUMBER(SEARCH("leak",C914)),"Fluid/Blood Leak",ISNUMBER(SEARCH("missing",C914)),"Component Missing",ISNUMBER(SEARCH("power",C914)),"Complete Loss of Power",ISNUMBER(SEARCH("will not turn on",C914)),"Complete Loss of Power",ISNUMBER(SEARCH("won't turn on",C914)),"Complete Loss of Power",ISNUMBER(SEARCH("does not turn on",C914)),"Complete Loss of Power",ISNUMBER(SEARCH("electrical",C914)),"Electrical Power Problem",ISNUMBER(SEARCH("pressure",C914)),"Detachment of Device or Device Component",ISNUMBER(SEARCH("slip",C914)),"Detachment of Device or Device Component",ISNUMBER(SEARCH("detach",C914)),"Detachment of Device or Device Component",ISNUMBER(SEARCH("stick",C914)),"Mechanical Jam",ISNUMBER(SEARCH("jam",C914)),"Mechanical Jam",ISNUMBER(SEARCH("rigid",C914)),"Mechanical Jam",ISNUMBER(SEARCH("rust",C914)),"Corroded",ISNUMBER(SEARCH("corrod",C914)),"Corroded",ISNUMBER(SEARCH("corrosion",C914)),"Corroded",ISNUMBER(SEARCH("alignment",C914)),"Defective Device",ISNUMBER(SEARCH("adjust",C914)),"Defective Device",ISNUMBER(SEARCH("perform",C914)),"Defective Device",ISNUMBER(SEARCH("malfunction",C914)),"Defective Device",ISNUMBER(SEARCH("defect",C914)),"Defective Device",ISNUMBER(SEARCH("fail",C914)),"Defective Device",ISNUMBER(SEARCH("not work",C914)),"Defective Device",ISNUMBER(SEARCH("doesn't work",C914)),"Defective Device",TRUE,"UNKNOWN"),"UNKNOWN")))</f>
        <v/>
      </c>
      <c r="F914" s="4" t="str">
        <f t="shared" si="15"/>
        <v/>
      </c>
      <c r="G914" s="363" t="str">
        <f>IF(E914="","",IFERROR(VLOOKUP(E914,Codes!$L$2:$N$409,3,FALSE),"—"))</f>
        <v/>
      </c>
      <c r="H914" s="88"/>
      <c r="I914" s="88"/>
    </row>
    <row r="915" spans="1:9" ht="13.15" x14ac:dyDescent="0.35">
      <c r="A915" s="92"/>
      <c r="B915" s="89"/>
      <c r="C915" s="88"/>
      <c r="D915" s="88"/>
      <c r="E915" s="93" t="str" cm="1">
        <f t="array" ref="E915">IF(D915&lt;&gt;"",IFERROR(VLOOKUP(D915,Codes!$K$2:$L$409,2,FALSE),"UNKNOWN - "&amp;D915),IF(C915="","",IFERROR(_xlfn.IFS(ISNUMBER(SEARCH("broken button",C915)),"Break",ISNUMBER(SEARCH("broken handle",C915)),"Break",ISNUMBER(SEARCH("shipping damage",C915)),"Break",ISNUMBER(SEARCH("broken",C915)),"Break",ISNUMBER(SEARCH("crack",C915)),"Break",ISNUMBER(SEARCH("snap",C915)),"Break",ISNUMBER(SEARCH("fracture",C915)),"Break",ISNUMBER(SEARCH("bent",C915)),"Material Twisted/Bent",ISNUMBER(SEARCH("twisted",C915)),"Material Twisted/Bent",ISNUMBER(SEARCH("component separat",C915)),"Material Separation",ISNUMBER(SEARCH("separat",C915)),"Material Separation",ISNUMBER(SEARCH("connection",C915)),"Loose or Intermittent Connection",ISNUMBER(SEARCH("loose",C915)),"Loose or Intermittent Connection",ISNUMBER(SEARCH("damaged packaging",C915)),"Packaging Problem",ISNUMBER(SEARCH("packaging",C915)),"Packaging Problem",ISNUMBER(SEARCH("discoloration",C915)),"Contamination",ISNUMBER(SEARCH("tarnish",C915)),"Contamination",ISNUMBER(SEARCH("stain",C915)),"Contamination",ISNUMBER(SEARCH("foreign material",C915)),"Contamination",ISNUMBER(SEARCH("contamina",C915)),"Contamination",ISNUMBER(SEARCH("overheat",C915)),"Overheating of Device",ISNUMBER(SEARCH("excessive heat",C915)),"Overheating of Device",ISNUMBER(SEARCH("hot",C915)),"Overheating of Device",ISNUMBER(SEARCH("noise",C915)),"Noise, Audible",ISNUMBER(SEARCH("sound",C915)),"Noise, Audible",ISNUMBER(SEARCH("loud",C915)),"Noise, Audible",ISNUMBER(SEARCH("fray",C915)),"Material Frayed",ISNUMBER(SEARCH("hole",C915)),"Material Frayed",ISNUMBER(SEARCH("tear",C915)),"Material Frayed",ISNUMBER(SEARCH("worn",C915)),"Material Frayed",ISNUMBER(SEARCH("intermittent",C915)),"Difficult or Delayed Activation",ISNUMBER(SEARCH("delay",C915)),"Difficult or Delayed Activation",ISNUMBER(SEARCH("label",C915)),"Device Markings/Labelling Problem",ISNUMBER(SEARCH("marking",C915)),"Device Markings/Labelling Problem",ISNUMBER(SEARCH("lacerat",C915)),"Defective Device",ISNUMBER(SEARCH("cut",C915)),"Defective Device",ISNUMBER(SEARCH("leak",C915)),"Fluid/Blood Leak",ISNUMBER(SEARCH("missing",C915)),"Component Missing",ISNUMBER(SEARCH("power",C915)),"Complete Loss of Power",ISNUMBER(SEARCH("will not turn on",C915)),"Complete Loss of Power",ISNUMBER(SEARCH("won't turn on",C915)),"Complete Loss of Power",ISNUMBER(SEARCH("does not turn on",C915)),"Complete Loss of Power",ISNUMBER(SEARCH("electrical",C915)),"Electrical Power Problem",ISNUMBER(SEARCH("pressure",C915)),"Detachment of Device or Device Component",ISNUMBER(SEARCH("slip",C915)),"Detachment of Device or Device Component",ISNUMBER(SEARCH("detach",C915)),"Detachment of Device or Device Component",ISNUMBER(SEARCH("stick",C915)),"Mechanical Jam",ISNUMBER(SEARCH("jam",C915)),"Mechanical Jam",ISNUMBER(SEARCH("rigid",C915)),"Mechanical Jam",ISNUMBER(SEARCH("rust",C915)),"Corroded",ISNUMBER(SEARCH("corrod",C915)),"Corroded",ISNUMBER(SEARCH("corrosion",C915)),"Corroded",ISNUMBER(SEARCH("alignment",C915)),"Defective Device",ISNUMBER(SEARCH("adjust",C915)),"Defective Device",ISNUMBER(SEARCH("perform",C915)),"Defective Device",ISNUMBER(SEARCH("malfunction",C915)),"Defective Device",ISNUMBER(SEARCH("defect",C915)),"Defective Device",ISNUMBER(SEARCH("fail",C915)),"Defective Device",ISNUMBER(SEARCH("not work",C915)),"Defective Device",ISNUMBER(SEARCH("doesn't work",C915)),"Defective Device",TRUE,"UNKNOWN"),"UNKNOWN")))</f>
        <v/>
      </c>
      <c r="F915" s="4" t="str">
        <f t="shared" si="15"/>
        <v/>
      </c>
      <c r="G915" s="363" t="str">
        <f>IF(E915="","",IFERROR(VLOOKUP(E915,Codes!$L$2:$N$409,3,FALSE),"—"))</f>
        <v/>
      </c>
      <c r="H915" s="88"/>
      <c r="I915" s="88"/>
    </row>
    <row r="916" spans="1:9" ht="13.15" x14ac:dyDescent="0.35">
      <c r="A916" s="92"/>
      <c r="B916" s="89"/>
      <c r="C916" s="88"/>
      <c r="D916" s="88"/>
      <c r="E916" s="93" t="str" cm="1">
        <f t="array" ref="E916">IF(D916&lt;&gt;"",IFERROR(VLOOKUP(D916,Codes!$K$2:$L$409,2,FALSE),"UNKNOWN - "&amp;D916),IF(C916="","",IFERROR(_xlfn.IFS(ISNUMBER(SEARCH("broken button",C916)),"Break",ISNUMBER(SEARCH("broken handle",C916)),"Break",ISNUMBER(SEARCH("shipping damage",C916)),"Break",ISNUMBER(SEARCH("broken",C916)),"Break",ISNUMBER(SEARCH("crack",C916)),"Break",ISNUMBER(SEARCH("snap",C916)),"Break",ISNUMBER(SEARCH("fracture",C916)),"Break",ISNUMBER(SEARCH("bent",C916)),"Material Twisted/Bent",ISNUMBER(SEARCH("twisted",C916)),"Material Twisted/Bent",ISNUMBER(SEARCH("component separat",C916)),"Material Separation",ISNUMBER(SEARCH("separat",C916)),"Material Separation",ISNUMBER(SEARCH("connection",C916)),"Loose or Intermittent Connection",ISNUMBER(SEARCH("loose",C916)),"Loose or Intermittent Connection",ISNUMBER(SEARCH("damaged packaging",C916)),"Packaging Problem",ISNUMBER(SEARCH("packaging",C916)),"Packaging Problem",ISNUMBER(SEARCH("discoloration",C916)),"Contamination",ISNUMBER(SEARCH("tarnish",C916)),"Contamination",ISNUMBER(SEARCH("stain",C916)),"Contamination",ISNUMBER(SEARCH("foreign material",C916)),"Contamination",ISNUMBER(SEARCH("contamina",C916)),"Contamination",ISNUMBER(SEARCH("overheat",C916)),"Overheating of Device",ISNUMBER(SEARCH("excessive heat",C916)),"Overheating of Device",ISNUMBER(SEARCH("hot",C916)),"Overheating of Device",ISNUMBER(SEARCH("noise",C916)),"Noise, Audible",ISNUMBER(SEARCH("sound",C916)),"Noise, Audible",ISNUMBER(SEARCH("loud",C916)),"Noise, Audible",ISNUMBER(SEARCH("fray",C916)),"Material Frayed",ISNUMBER(SEARCH("hole",C916)),"Material Frayed",ISNUMBER(SEARCH("tear",C916)),"Material Frayed",ISNUMBER(SEARCH("worn",C916)),"Material Frayed",ISNUMBER(SEARCH("intermittent",C916)),"Difficult or Delayed Activation",ISNUMBER(SEARCH("delay",C916)),"Difficult or Delayed Activation",ISNUMBER(SEARCH("label",C916)),"Device Markings/Labelling Problem",ISNUMBER(SEARCH("marking",C916)),"Device Markings/Labelling Problem",ISNUMBER(SEARCH("lacerat",C916)),"Defective Device",ISNUMBER(SEARCH("cut",C916)),"Defective Device",ISNUMBER(SEARCH("leak",C916)),"Fluid/Blood Leak",ISNUMBER(SEARCH("missing",C916)),"Component Missing",ISNUMBER(SEARCH("power",C916)),"Complete Loss of Power",ISNUMBER(SEARCH("will not turn on",C916)),"Complete Loss of Power",ISNUMBER(SEARCH("won't turn on",C916)),"Complete Loss of Power",ISNUMBER(SEARCH("does not turn on",C916)),"Complete Loss of Power",ISNUMBER(SEARCH("electrical",C916)),"Electrical Power Problem",ISNUMBER(SEARCH("pressure",C916)),"Detachment of Device or Device Component",ISNUMBER(SEARCH("slip",C916)),"Detachment of Device or Device Component",ISNUMBER(SEARCH("detach",C916)),"Detachment of Device or Device Component",ISNUMBER(SEARCH("stick",C916)),"Mechanical Jam",ISNUMBER(SEARCH("jam",C916)),"Mechanical Jam",ISNUMBER(SEARCH("rigid",C916)),"Mechanical Jam",ISNUMBER(SEARCH("rust",C916)),"Corroded",ISNUMBER(SEARCH("corrod",C916)),"Corroded",ISNUMBER(SEARCH("corrosion",C916)),"Corroded",ISNUMBER(SEARCH("alignment",C916)),"Defective Device",ISNUMBER(SEARCH("adjust",C916)),"Defective Device",ISNUMBER(SEARCH("perform",C916)),"Defective Device",ISNUMBER(SEARCH("malfunction",C916)),"Defective Device",ISNUMBER(SEARCH("defect",C916)),"Defective Device",ISNUMBER(SEARCH("fail",C916)),"Defective Device",ISNUMBER(SEARCH("not work",C916)),"Defective Device",ISNUMBER(SEARCH("doesn't work",C916)),"Defective Device",TRUE,"UNKNOWN"),"UNKNOWN")))</f>
        <v/>
      </c>
      <c r="F916" s="4" t="str">
        <f t="shared" si="15"/>
        <v/>
      </c>
      <c r="G916" s="363" t="str">
        <f>IF(E916="","",IFERROR(VLOOKUP(E916,Codes!$L$2:$N$409,3,FALSE),"—"))</f>
        <v/>
      </c>
      <c r="H916" s="88"/>
      <c r="I916" s="88"/>
    </row>
    <row r="917" spans="1:9" ht="13.15" x14ac:dyDescent="0.35">
      <c r="A917" s="92"/>
      <c r="B917" s="89"/>
      <c r="C917" s="88"/>
      <c r="D917" s="88"/>
      <c r="E917" s="93" t="str" cm="1">
        <f t="array" ref="E917">IF(D917&lt;&gt;"",IFERROR(VLOOKUP(D917,Codes!$K$2:$L$409,2,FALSE),"UNKNOWN - "&amp;D917),IF(C917="","",IFERROR(_xlfn.IFS(ISNUMBER(SEARCH("broken button",C917)),"Break",ISNUMBER(SEARCH("broken handle",C917)),"Break",ISNUMBER(SEARCH("shipping damage",C917)),"Break",ISNUMBER(SEARCH("broken",C917)),"Break",ISNUMBER(SEARCH("crack",C917)),"Break",ISNUMBER(SEARCH("snap",C917)),"Break",ISNUMBER(SEARCH("fracture",C917)),"Break",ISNUMBER(SEARCH("bent",C917)),"Material Twisted/Bent",ISNUMBER(SEARCH("twisted",C917)),"Material Twisted/Bent",ISNUMBER(SEARCH("component separat",C917)),"Material Separation",ISNUMBER(SEARCH("separat",C917)),"Material Separation",ISNUMBER(SEARCH("connection",C917)),"Loose or Intermittent Connection",ISNUMBER(SEARCH("loose",C917)),"Loose or Intermittent Connection",ISNUMBER(SEARCH("damaged packaging",C917)),"Packaging Problem",ISNUMBER(SEARCH("packaging",C917)),"Packaging Problem",ISNUMBER(SEARCH("discoloration",C917)),"Contamination",ISNUMBER(SEARCH("tarnish",C917)),"Contamination",ISNUMBER(SEARCH("stain",C917)),"Contamination",ISNUMBER(SEARCH("foreign material",C917)),"Contamination",ISNUMBER(SEARCH("contamina",C917)),"Contamination",ISNUMBER(SEARCH("overheat",C917)),"Overheating of Device",ISNUMBER(SEARCH("excessive heat",C917)),"Overheating of Device",ISNUMBER(SEARCH("hot",C917)),"Overheating of Device",ISNUMBER(SEARCH("noise",C917)),"Noise, Audible",ISNUMBER(SEARCH("sound",C917)),"Noise, Audible",ISNUMBER(SEARCH("loud",C917)),"Noise, Audible",ISNUMBER(SEARCH("fray",C917)),"Material Frayed",ISNUMBER(SEARCH("hole",C917)),"Material Frayed",ISNUMBER(SEARCH("tear",C917)),"Material Frayed",ISNUMBER(SEARCH("worn",C917)),"Material Frayed",ISNUMBER(SEARCH("intermittent",C917)),"Difficult or Delayed Activation",ISNUMBER(SEARCH("delay",C917)),"Difficult or Delayed Activation",ISNUMBER(SEARCH("label",C917)),"Device Markings/Labelling Problem",ISNUMBER(SEARCH("marking",C917)),"Device Markings/Labelling Problem",ISNUMBER(SEARCH("lacerat",C917)),"Defective Device",ISNUMBER(SEARCH("cut",C917)),"Defective Device",ISNUMBER(SEARCH("leak",C917)),"Fluid/Blood Leak",ISNUMBER(SEARCH("missing",C917)),"Component Missing",ISNUMBER(SEARCH("power",C917)),"Complete Loss of Power",ISNUMBER(SEARCH("will not turn on",C917)),"Complete Loss of Power",ISNUMBER(SEARCH("won't turn on",C917)),"Complete Loss of Power",ISNUMBER(SEARCH("does not turn on",C917)),"Complete Loss of Power",ISNUMBER(SEARCH("electrical",C917)),"Electrical Power Problem",ISNUMBER(SEARCH("pressure",C917)),"Detachment of Device or Device Component",ISNUMBER(SEARCH("slip",C917)),"Detachment of Device or Device Component",ISNUMBER(SEARCH("detach",C917)),"Detachment of Device or Device Component",ISNUMBER(SEARCH("stick",C917)),"Mechanical Jam",ISNUMBER(SEARCH("jam",C917)),"Mechanical Jam",ISNUMBER(SEARCH("rigid",C917)),"Mechanical Jam",ISNUMBER(SEARCH("rust",C917)),"Corroded",ISNUMBER(SEARCH("corrod",C917)),"Corroded",ISNUMBER(SEARCH("corrosion",C917)),"Corroded",ISNUMBER(SEARCH("alignment",C917)),"Defective Device",ISNUMBER(SEARCH("adjust",C917)),"Defective Device",ISNUMBER(SEARCH("perform",C917)),"Defective Device",ISNUMBER(SEARCH("malfunction",C917)),"Defective Device",ISNUMBER(SEARCH("defect",C917)),"Defective Device",ISNUMBER(SEARCH("fail",C917)),"Defective Device",ISNUMBER(SEARCH("not work",C917)),"Defective Device",ISNUMBER(SEARCH("doesn't work",C917)),"Defective Device",TRUE,"UNKNOWN"),"UNKNOWN")))</f>
        <v/>
      </c>
      <c r="F917" s="4" t="str">
        <f t="shared" si="15"/>
        <v/>
      </c>
      <c r="G917" s="363" t="str">
        <f>IF(E917="","",IFERROR(VLOOKUP(E917,Codes!$L$2:$N$409,3,FALSE),"—"))</f>
        <v/>
      </c>
      <c r="H917" s="88"/>
      <c r="I917" s="88"/>
    </row>
    <row r="918" spans="1:9" ht="13.15" x14ac:dyDescent="0.35">
      <c r="A918" s="92"/>
      <c r="B918" s="89"/>
      <c r="C918" s="88"/>
      <c r="D918" s="88"/>
      <c r="E918" s="93" t="str" cm="1">
        <f t="array" ref="E918">IF(D918&lt;&gt;"",IFERROR(VLOOKUP(D918,Codes!$K$2:$L$409,2,FALSE),"UNKNOWN - "&amp;D918),IF(C918="","",IFERROR(_xlfn.IFS(ISNUMBER(SEARCH("broken button",C918)),"Break",ISNUMBER(SEARCH("broken handle",C918)),"Break",ISNUMBER(SEARCH("shipping damage",C918)),"Break",ISNUMBER(SEARCH("broken",C918)),"Break",ISNUMBER(SEARCH("crack",C918)),"Break",ISNUMBER(SEARCH("snap",C918)),"Break",ISNUMBER(SEARCH("fracture",C918)),"Break",ISNUMBER(SEARCH("bent",C918)),"Material Twisted/Bent",ISNUMBER(SEARCH("twisted",C918)),"Material Twisted/Bent",ISNUMBER(SEARCH("component separat",C918)),"Material Separation",ISNUMBER(SEARCH("separat",C918)),"Material Separation",ISNUMBER(SEARCH("connection",C918)),"Loose or Intermittent Connection",ISNUMBER(SEARCH("loose",C918)),"Loose or Intermittent Connection",ISNUMBER(SEARCH("damaged packaging",C918)),"Packaging Problem",ISNUMBER(SEARCH("packaging",C918)),"Packaging Problem",ISNUMBER(SEARCH("discoloration",C918)),"Contamination",ISNUMBER(SEARCH("tarnish",C918)),"Contamination",ISNUMBER(SEARCH("stain",C918)),"Contamination",ISNUMBER(SEARCH("foreign material",C918)),"Contamination",ISNUMBER(SEARCH("contamina",C918)),"Contamination",ISNUMBER(SEARCH("overheat",C918)),"Overheating of Device",ISNUMBER(SEARCH("excessive heat",C918)),"Overheating of Device",ISNUMBER(SEARCH("hot",C918)),"Overheating of Device",ISNUMBER(SEARCH("noise",C918)),"Noise, Audible",ISNUMBER(SEARCH("sound",C918)),"Noise, Audible",ISNUMBER(SEARCH("loud",C918)),"Noise, Audible",ISNUMBER(SEARCH("fray",C918)),"Material Frayed",ISNUMBER(SEARCH("hole",C918)),"Material Frayed",ISNUMBER(SEARCH("tear",C918)),"Material Frayed",ISNUMBER(SEARCH("worn",C918)),"Material Frayed",ISNUMBER(SEARCH("intermittent",C918)),"Difficult or Delayed Activation",ISNUMBER(SEARCH("delay",C918)),"Difficult or Delayed Activation",ISNUMBER(SEARCH("label",C918)),"Device Markings/Labelling Problem",ISNUMBER(SEARCH("marking",C918)),"Device Markings/Labelling Problem",ISNUMBER(SEARCH("lacerat",C918)),"Defective Device",ISNUMBER(SEARCH("cut",C918)),"Defective Device",ISNUMBER(SEARCH("leak",C918)),"Fluid/Blood Leak",ISNUMBER(SEARCH("missing",C918)),"Component Missing",ISNUMBER(SEARCH("power",C918)),"Complete Loss of Power",ISNUMBER(SEARCH("will not turn on",C918)),"Complete Loss of Power",ISNUMBER(SEARCH("won't turn on",C918)),"Complete Loss of Power",ISNUMBER(SEARCH("does not turn on",C918)),"Complete Loss of Power",ISNUMBER(SEARCH("electrical",C918)),"Electrical Power Problem",ISNUMBER(SEARCH("pressure",C918)),"Detachment of Device or Device Component",ISNUMBER(SEARCH("slip",C918)),"Detachment of Device or Device Component",ISNUMBER(SEARCH("detach",C918)),"Detachment of Device or Device Component",ISNUMBER(SEARCH("stick",C918)),"Mechanical Jam",ISNUMBER(SEARCH("jam",C918)),"Mechanical Jam",ISNUMBER(SEARCH("rigid",C918)),"Mechanical Jam",ISNUMBER(SEARCH("rust",C918)),"Corroded",ISNUMBER(SEARCH("corrod",C918)),"Corroded",ISNUMBER(SEARCH("corrosion",C918)),"Corroded",ISNUMBER(SEARCH("alignment",C918)),"Defective Device",ISNUMBER(SEARCH("adjust",C918)),"Defective Device",ISNUMBER(SEARCH("perform",C918)),"Defective Device",ISNUMBER(SEARCH("malfunction",C918)),"Defective Device",ISNUMBER(SEARCH("defect",C918)),"Defective Device",ISNUMBER(SEARCH("fail",C918)),"Defective Device",ISNUMBER(SEARCH("not work",C918)),"Defective Device",ISNUMBER(SEARCH("doesn't work",C918)),"Defective Device",TRUE,"UNKNOWN"),"UNKNOWN")))</f>
        <v/>
      </c>
      <c r="F918" s="4" t="str">
        <f t="shared" si="15"/>
        <v/>
      </c>
      <c r="G918" s="363" t="str">
        <f>IF(E918="","",IFERROR(VLOOKUP(E918,Codes!$L$2:$N$409,3,FALSE),"—"))</f>
        <v/>
      </c>
      <c r="H918" s="88"/>
      <c r="I918" s="88"/>
    </row>
    <row r="919" spans="1:9" ht="13.15" x14ac:dyDescent="0.35">
      <c r="A919" s="92"/>
      <c r="B919" s="89"/>
      <c r="C919" s="88"/>
      <c r="D919" s="88"/>
      <c r="E919" s="93" t="str" cm="1">
        <f t="array" ref="E919">IF(D919&lt;&gt;"",IFERROR(VLOOKUP(D919,Codes!$K$2:$L$409,2,FALSE),"UNKNOWN - "&amp;D919),IF(C919="","",IFERROR(_xlfn.IFS(ISNUMBER(SEARCH("broken button",C919)),"Break",ISNUMBER(SEARCH("broken handle",C919)),"Break",ISNUMBER(SEARCH("shipping damage",C919)),"Break",ISNUMBER(SEARCH("broken",C919)),"Break",ISNUMBER(SEARCH("crack",C919)),"Break",ISNUMBER(SEARCH("snap",C919)),"Break",ISNUMBER(SEARCH("fracture",C919)),"Break",ISNUMBER(SEARCH("bent",C919)),"Material Twisted/Bent",ISNUMBER(SEARCH("twisted",C919)),"Material Twisted/Bent",ISNUMBER(SEARCH("component separat",C919)),"Material Separation",ISNUMBER(SEARCH("separat",C919)),"Material Separation",ISNUMBER(SEARCH("connection",C919)),"Loose or Intermittent Connection",ISNUMBER(SEARCH("loose",C919)),"Loose or Intermittent Connection",ISNUMBER(SEARCH("damaged packaging",C919)),"Packaging Problem",ISNUMBER(SEARCH("packaging",C919)),"Packaging Problem",ISNUMBER(SEARCH("discoloration",C919)),"Contamination",ISNUMBER(SEARCH("tarnish",C919)),"Contamination",ISNUMBER(SEARCH("stain",C919)),"Contamination",ISNUMBER(SEARCH("foreign material",C919)),"Contamination",ISNUMBER(SEARCH("contamina",C919)),"Contamination",ISNUMBER(SEARCH("overheat",C919)),"Overheating of Device",ISNUMBER(SEARCH("excessive heat",C919)),"Overheating of Device",ISNUMBER(SEARCH("hot",C919)),"Overheating of Device",ISNUMBER(SEARCH("noise",C919)),"Noise, Audible",ISNUMBER(SEARCH("sound",C919)),"Noise, Audible",ISNUMBER(SEARCH("loud",C919)),"Noise, Audible",ISNUMBER(SEARCH("fray",C919)),"Material Frayed",ISNUMBER(SEARCH("hole",C919)),"Material Frayed",ISNUMBER(SEARCH("tear",C919)),"Material Frayed",ISNUMBER(SEARCH("worn",C919)),"Material Frayed",ISNUMBER(SEARCH("intermittent",C919)),"Difficult or Delayed Activation",ISNUMBER(SEARCH("delay",C919)),"Difficult or Delayed Activation",ISNUMBER(SEARCH("label",C919)),"Device Markings/Labelling Problem",ISNUMBER(SEARCH("marking",C919)),"Device Markings/Labelling Problem",ISNUMBER(SEARCH("lacerat",C919)),"Defective Device",ISNUMBER(SEARCH("cut",C919)),"Defective Device",ISNUMBER(SEARCH("leak",C919)),"Fluid/Blood Leak",ISNUMBER(SEARCH("missing",C919)),"Component Missing",ISNUMBER(SEARCH("power",C919)),"Complete Loss of Power",ISNUMBER(SEARCH("will not turn on",C919)),"Complete Loss of Power",ISNUMBER(SEARCH("won't turn on",C919)),"Complete Loss of Power",ISNUMBER(SEARCH("does not turn on",C919)),"Complete Loss of Power",ISNUMBER(SEARCH("electrical",C919)),"Electrical Power Problem",ISNUMBER(SEARCH("pressure",C919)),"Detachment of Device or Device Component",ISNUMBER(SEARCH("slip",C919)),"Detachment of Device or Device Component",ISNUMBER(SEARCH("detach",C919)),"Detachment of Device or Device Component",ISNUMBER(SEARCH("stick",C919)),"Mechanical Jam",ISNUMBER(SEARCH("jam",C919)),"Mechanical Jam",ISNUMBER(SEARCH("rigid",C919)),"Mechanical Jam",ISNUMBER(SEARCH("rust",C919)),"Corroded",ISNUMBER(SEARCH("corrod",C919)),"Corroded",ISNUMBER(SEARCH("corrosion",C919)),"Corroded",ISNUMBER(SEARCH("alignment",C919)),"Defective Device",ISNUMBER(SEARCH("adjust",C919)),"Defective Device",ISNUMBER(SEARCH("perform",C919)),"Defective Device",ISNUMBER(SEARCH("malfunction",C919)),"Defective Device",ISNUMBER(SEARCH("defect",C919)),"Defective Device",ISNUMBER(SEARCH("fail",C919)),"Defective Device",ISNUMBER(SEARCH("not work",C919)),"Defective Device",ISNUMBER(SEARCH("doesn't work",C919)),"Defective Device",TRUE,"UNKNOWN"),"UNKNOWN")))</f>
        <v/>
      </c>
      <c r="F919" s="4" t="str">
        <f t="shared" si="15"/>
        <v/>
      </c>
      <c r="G919" s="363" t="str">
        <f>IF(E919="","",IFERROR(VLOOKUP(E919,Codes!$L$2:$N$409,3,FALSE),"—"))</f>
        <v/>
      </c>
      <c r="H919" s="88"/>
      <c r="I919" s="88"/>
    </row>
    <row r="920" spans="1:9" ht="13.15" x14ac:dyDescent="0.35">
      <c r="A920" s="92"/>
      <c r="B920" s="89"/>
      <c r="C920" s="88"/>
      <c r="D920" s="88"/>
      <c r="E920" s="93" t="str" cm="1">
        <f t="array" ref="E920">IF(D920&lt;&gt;"",IFERROR(VLOOKUP(D920,Codes!$K$2:$L$409,2,FALSE),"UNKNOWN - "&amp;D920),IF(C920="","",IFERROR(_xlfn.IFS(ISNUMBER(SEARCH("broken button",C920)),"Break",ISNUMBER(SEARCH("broken handle",C920)),"Break",ISNUMBER(SEARCH("shipping damage",C920)),"Break",ISNUMBER(SEARCH("broken",C920)),"Break",ISNUMBER(SEARCH("crack",C920)),"Break",ISNUMBER(SEARCH("snap",C920)),"Break",ISNUMBER(SEARCH("fracture",C920)),"Break",ISNUMBER(SEARCH("bent",C920)),"Material Twisted/Bent",ISNUMBER(SEARCH("twisted",C920)),"Material Twisted/Bent",ISNUMBER(SEARCH("component separat",C920)),"Material Separation",ISNUMBER(SEARCH("separat",C920)),"Material Separation",ISNUMBER(SEARCH("connection",C920)),"Loose or Intermittent Connection",ISNUMBER(SEARCH("loose",C920)),"Loose or Intermittent Connection",ISNUMBER(SEARCH("damaged packaging",C920)),"Packaging Problem",ISNUMBER(SEARCH("packaging",C920)),"Packaging Problem",ISNUMBER(SEARCH("discoloration",C920)),"Contamination",ISNUMBER(SEARCH("tarnish",C920)),"Contamination",ISNUMBER(SEARCH("stain",C920)),"Contamination",ISNUMBER(SEARCH("foreign material",C920)),"Contamination",ISNUMBER(SEARCH("contamina",C920)),"Contamination",ISNUMBER(SEARCH("overheat",C920)),"Overheating of Device",ISNUMBER(SEARCH("excessive heat",C920)),"Overheating of Device",ISNUMBER(SEARCH("hot",C920)),"Overheating of Device",ISNUMBER(SEARCH("noise",C920)),"Noise, Audible",ISNUMBER(SEARCH("sound",C920)),"Noise, Audible",ISNUMBER(SEARCH("loud",C920)),"Noise, Audible",ISNUMBER(SEARCH("fray",C920)),"Material Frayed",ISNUMBER(SEARCH("hole",C920)),"Material Frayed",ISNUMBER(SEARCH("tear",C920)),"Material Frayed",ISNUMBER(SEARCH("worn",C920)),"Material Frayed",ISNUMBER(SEARCH("intermittent",C920)),"Difficult or Delayed Activation",ISNUMBER(SEARCH("delay",C920)),"Difficult or Delayed Activation",ISNUMBER(SEARCH("label",C920)),"Device Markings/Labelling Problem",ISNUMBER(SEARCH("marking",C920)),"Device Markings/Labelling Problem",ISNUMBER(SEARCH("lacerat",C920)),"Defective Device",ISNUMBER(SEARCH("cut",C920)),"Defective Device",ISNUMBER(SEARCH("leak",C920)),"Fluid/Blood Leak",ISNUMBER(SEARCH("missing",C920)),"Component Missing",ISNUMBER(SEARCH("power",C920)),"Complete Loss of Power",ISNUMBER(SEARCH("will not turn on",C920)),"Complete Loss of Power",ISNUMBER(SEARCH("won't turn on",C920)),"Complete Loss of Power",ISNUMBER(SEARCH("does not turn on",C920)),"Complete Loss of Power",ISNUMBER(SEARCH("electrical",C920)),"Electrical Power Problem",ISNUMBER(SEARCH("pressure",C920)),"Detachment of Device or Device Component",ISNUMBER(SEARCH("slip",C920)),"Detachment of Device or Device Component",ISNUMBER(SEARCH("detach",C920)),"Detachment of Device or Device Component",ISNUMBER(SEARCH("stick",C920)),"Mechanical Jam",ISNUMBER(SEARCH("jam",C920)),"Mechanical Jam",ISNUMBER(SEARCH("rigid",C920)),"Mechanical Jam",ISNUMBER(SEARCH("rust",C920)),"Corroded",ISNUMBER(SEARCH("corrod",C920)),"Corroded",ISNUMBER(SEARCH("corrosion",C920)),"Corroded",ISNUMBER(SEARCH("alignment",C920)),"Defective Device",ISNUMBER(SEARCH("adjust",C920)),"Defective Device",ISNUMBER(SEARCH("perform",C920)),"Defective Device",ISNUMBER(SEARCH("malfunction",C920)),"Defective Device",ISNUMBER(SEARCH("defect",C920)),"Defective Device",ISNUMBER(SEARCH("fail",C920)),"Defective Device",ISNUMBER(SEARCH("not work",C920)),"Defective Device",ISNUMBER(SEARCH("doesn't work",C920)),"Defective Device",TRUE,"UNKNOWN"),"UNKNOWN")))</f>
        <v/>
      </c>
      <c r="F920" s="4" t="str">
        <f t="shared" si="15"/>
        <v/>
      </c>
      <c r="G920" s="363" t="str">
        <f>IF(E920="","",IFERROR(VLOOKUP(E920,Codes!$L$2:$N$409,3,FALSE),"—"))</f>
        <v/>
      </c>
      <c r="H920" s="88"/>
      <c r="I920" s="88"/>
    </row>
    <row r="921" spans="1:9" ht="13.15" x14ac:dyDescent="0.35">
      <c r="A921" s="92"/>
      <c r="B921" s="89"/>
      <c r="C921" s="88"/>
      <c r="D921" s="88"/>
      <c r="E921" s="93" t="str" cm="1">
        <f t="array" ref="E921">IF(D921&lt;&gt;"",IFERROR(VLOOKUP(D921,Codes!$K$2:$L$409,2,FALSE),"UNKNOWN - "&amp;D921),IF(C921="","",IFERROR(_xlfn.IFS(ISNUMBER(SEARCH("broken button",C921)),"Break",ISNUMBER(SEARCH("broken handle",C921)),"Break",ISNUMBER(SEARCH("shipping damage",C921)),"Break",ISNUMBER(SEARCH("broken",C921)),"Break",ISNUMBER(SEARCH("crack",C921)),"Break",ISNUMBER(SEARCH("snap",C921)),"Break",ISNUMBER(SEARCH("fracture",C921)),"Break",ISNUMBER(SEARCH("bent",C921)),"Material Twisted/Bent",ISNUMBER(SEARCH("twisted",C921)),"Material Twisted/Bent",ISNUMBER(SEARCH("component separat",C921)),"Material Separation",ISNUMBER(SEARCH("separat",C921)),"Material Separation",ISNUMBER(SEARCH("connection",C921)),"Loose or Intermittent Connection",ISNUMBER(SEARCH("loose",C921)),"Loose or Intermittent Connection",ISNUMBER(SEARCH("damaged packaging",C921)),"Packaging Problem",ISNUMBER(SEARCH("packaging",C921)),"Packaging Problem",ISNUMBER(SEARCH("discoloration",C921)),"Contamination",ISNUMBER(SEARCH("tarnish",C921)),"Contamination",ISNUMBER(SEARCH("stain",C921)),"Contamination",ISNUMBER(SEARCH("foreign material",C921)),"Contamination",ISNUMBER(SEARCH("contamina",C921)),"Contamination",ISNUMBER(SEARCH("overheat",C921)),"Overheating of Device",ISNUMBER(SEARCH("excessive heat",C921)),"Overheating of Device",ISNUMBER(SEARCH("hot",C921)),"Overheating of Device",ISNUMBER(SEARCH("noise",C921)),"Noise, Audible",ISNUMBER(SEARCH("sound",C921)),"Noise, Audible",ISNUMBER(SEARCH("loud",C921)),"Noise, Audible",ISNUMBER(SEARCH("fray",C921)),"Material Frayed",ISNUMBER(SEARCH("hole",C921)),"Material Frayed",ISNUMBER(SEARCH("tear",C921)),"Material Frayed",ISNUMBER(SEARCH("worn",C921)),"Material Frayed",ISNUMBER(SEARCH("intermittent",C921)),"Difficult or Delayed Activation",ISNUMBER(SEARCH("delay",C921)),"Difficult or Delayed Activation",ISNUMBER(SEARCH("label",C921)),"Device Markings/Labelling Problem",ISNUMBER(SEARCH("marking",C921)),"Device Markings/Labelling Problem",ISNUMBER(SEARCH("lacerat",C921)),"Defective Device",ISNUMBER(SEARCH("cut",C921)),"Defective Device",ISNUMBER(SEARCH("leak",C921)),"Fluid/Blood Leak",ISNUMBER(SEARCH("missing",C921)),"Component Missing",ISNUMBER(SEARCH("power",C921)),"Complete Loss of Power",ISNUMBER(SEARCH("will not turn on",C921)),"Complete Loss of Power",ISNUMBER(SEARCH("won't turn on",C921)),"Complete Loss of Power",ISNUMBER(SEARCH("does not turn on",C921)),"Complete Loss of Power",ISNUMBER(SEARCH("electrical",C921)),"Electrical Power Problem",ISNUMBER(SEARCH("pressure",C921)),"Detachment of Device or Device Component",ISNUMBER(SEARCH("slip",C921)),"Detachment of Device or Device Component",ISNUMBER(SEARCH("detach",C921)),"Detachment of Device or Device Component",ISNUMBER(SEARCH("stick",C921)),"Mechanical Jam",ISNUMBER(SEARCH("jam",C921)),"Mechanical Jam",ISNUMBER(SEARCH("rigid",C921)),"Mechanical Jam",ISNUMBER(SEARCH("rust",C921)),"Corroded",ISNUMBER(SEARCH("corrod",C921)),"Corroded",ISNUMBER(SEARCH("corrosion",C921)),"Corroded",ISNUMBER(SEARCH("alignment",C921)),"Defective Device",ISNUMBER(SEARCH("adjust",C921)),"Defective Device",ISNUMBER(SEARCH("perform",C921)),"Defective Device",ISNUMBER(SEARCH("malfunction",C921)),"Defective Device",ISNUMBER(SEARCH("defect",C921)),"Defective Device",ISNUMBER(SEARCH("fail",C921)),"Defective Device",ISNUMBER(SEARCH("not work",C921)),"Defective Device",ISNUMBER(SEARCH("doesn't work",C921)),"Defective Device",TRUE,"UNKNOWN"),"UNKNOWN")))</f>
        <v/>
      </c>
      <c r="F921" s="4" t="str">
        <f t="shared" si="15"/>
        <v/>
      </c>
      <c r="G921" s="363" t="str">
        <f>IF(E921="","",IFERROR(VLOOKUP(E921,Codes!$L$2:$N$409,3,FALSE),"—"))</f>
        <v/>
      </c>
      <c r="H921" s="88"/>
      <c r="I921" s="88"/>
    </row>
    <row r="922" spans="1:9" ht="13.15" x14ac:dyDescent="0.35">
      <c r="A922" s="92"/>
      <c r="B922" s="89"/>
      <c r="C922" s="88"/>
      <c r="D922" s="88"/>
      <c r="E922" s="93" t="str" cm="1">
        <f t="array" ref="E922">IF(D922&lt;&gt;"",IFERROR(VLOOKUP(D922,Codes!$K$2:$L$409,2,FALSE),"UNKNOWN - "&amp;D922),IF(C922="","",IFERROR(_xlfn.IFS(ISNUMBER(SEARCH("broken button",C922)),"Break",ISNUMBER(SEARCH("broken handle",C922)),"Break",ISNUMBER(SEARCH("shipping damage",C922)),"Break",ISNUMBER(SEARCH("broken",C922)),"Break",ISNUMBER(SEARCH("crack",C922)),"Break",ISNUMBER(SEARCH("snap",C922)),"Break",ISNUMBER(SEARCH("fracture",C922)),"Break",ISNUMBER(SEARCH("bent",C922)),"Material Twisted/Bent",ISNUMBER(SEARCH("twisted",C922)),"Material Twisted/Bent",ISNUMBER(SEARCH("component separat",C922)),"Material Separation",ISNUMBER(SEARCH("separat",C922)),"Material Separation",ISNUMBER(SEARCH("connection",C922)),"Loose or Intermittent Connection",ISNUMBER(SEARCH("loose",C922)),"Loose or Intermittent Connection",ISNUMBER(SEARCH("damaged packaging",C922)),"Packaging Problem",ISNUMBER(SEARCH("packaging",C922)),"Packaging Problem",ISNUMBER(SEARCH("discoloration",C922)),"Contamination",ISNUMBER(SEARCH("tarnish",C922)),"Contamination",ISNUMBER(SEARCH("stain",C922)),"Contamination",ISNUMBER(SEARCH("foreign material",C922)),"Contamination",ISNUMBER(SEARCH("contamina",C922)),"Contamination",ISNUMBER(SEARCH("overheat",C922)),"Overheating of Device",ISNUMBER(SEARCH("excessive heat",C922)),"Overheating of Device",ISNUMBER(SEARCH("hot",C922)),"Overheating of Device",ISNUMBER(SEARCH("noise",C922)),"Noise, Audible",ISNUMBER(SEARCH("sound",C922)),"Noise, Audible",ISNUMBER(SEARCH("loud",C922)),"Noise, Audible",ISNUMBER(SEARCH("fray",C922)),"Material Frayed",ISNUMBER(SEARCH("hole",C922)),"Material Frayed",ISNUMBER(SEARCH("tear",C922)),"Material Frayed",ISNUMBER(SEARCH("worn",C922)),"Material Frayed",ISNUMBER(SEARCH("intermittent",C922)),"Difficult or Delayed Activation",ISNUMBER(SEARCH("delay",C922)),"Difficult or Delayed Activation",ISNUMBER(SEARCH("label",C922)),"Device Markings/Labelling Problem",ISNUMBER(SEARCH("marking",C922)),"Device Markings/Labelling Problem",ISNUMBER(SEARCH("lacerat",C922)),"Defective Device",ISNUMBER(SEARCH("cut",C922)),"Defective Device",ISNUMBER(SEARCH("leak",C922)),"Fluid/Blood Leak",ISNUMBER(SEARCH("missing",C922)),"Component Missing",ISNUMBER(SEARCH("power",C922)),"Complete Loss of Power",ISNUMBER(SEARCH("will not turn on",C922)),"Complete Loss of Power",ISNUMBER(SEARCH("won't turn on",C922)),"Complete Loss of Power",ISNUMBER(SEARCH("does not turn on",C922)),"Complete Loss of Power",ISNUMBER(SEARCH("electrical",C922)),"Electrical Power Problem",ISNUMBER(SEARCH("pressure",C922)),"Detachment of Device or Device Component",ISNUMBER(SEARCH("slip",C922)),"Detachment of Device or Device Component",ISNUMBER(SEARCH("detach",C922)),"Detachment of Device or Device Component",ISNUMBER(SEARCH("stick",C922)),"Mechanical Jam",ISNUMBER(SEARCH("jam",C922)),"Mechanical Jam",ISNUMBER(SEARCH("rigid",C922)),"Mechanical Jam",ISNUMBER(SEARCH("rust",C922)),"Corroded",ISNUMBER(SEARCH("corrod",C922)),"Corroded",ISNUMBER(SEARCH("corrosion",C922)),"Corroded",ISNUMBER(SEARCH("alignment",C922)),"Defective Device",ISNUMBER(SEARCH("adjust",C922)),"Defective Device",ISNUMBER(SEARCH("perform",C922)),"Defective Device",ISNUMBER(SEARCH("malfunction",C922)),"Defective Device",ISNUMBER(SEARCH("defect",C922)),"Defective Device",ISNUMBER(SEARCH("fail",C922)),"Defective Device",ISNUMBER(SEARCH("not work",C922)),"Defective Device",ISNUMBER(SEARCH("doesn't work",C922)),"Defective Device",TRUE,"UNKNOWN"),"UNKNOWN")))</f>
        <v/>
      </c>
      <c r="F922" s="4" t="str">
        <f t="shared" si="15"/>
        <v/>
      </c>
      <c r="G922" s="363" t="str">
        <f>IF(E922="","",IFERROR(VLOOKUP(E922,Codes!$L$2:$N$409,3,FALSE),"—"))</f>
        <v/>
      </c>
      <c r="H922" s="88"/>
      <c r="I922" s="88"/>
    </row>
    <row r="923" spans="1:9" ht="13.15" x14ac:dyDescent="0.35">
      <c r="A923" s="92"/>
      <c r="B923" s="89"/>
      <c r="C923" s="88"/>
      <c r="D923" s="88"/>
      <c r="E923" s="93" t="str" cm="1">
        <f t="array" ref="E923">IF(D923&lt;&gt;"",IFERROR(VLOOKUP(D923,Codes!$K$2:$L$409,2,FALSE),"UNKNOWN - "&amp;D923),IF(C923="","",IFERROR(_xlfn.IFS(ISNUMBER(SEARCH("broken button",C923)),"Break",ISNUMBER(SEARCH("broken handle",C923)),"Break",ISNUMBER(SEARCH("shipping damage",C923)),"Break",ISNUMBER(SEARCH("broken",C923)),"Break",ISNUMBER(SEARCH("crack",C923)),"Break",ISNUMBER(SEARCH("snap",C923)),"Break",ISNUMBER(SEARCH("fracture",C923)),"Break",ISNUMBER(SEARCH("bent",C923)),"Material Twisted/Bent",ISNUMBER(SEARCH("twisted",C923)),"Material Twisted/Bent",ISNUMBER(SEARCH("component separat",C923)),"Material Separation",ISNUMBER(SEARCH("separat",C923)),"Material Separation",ISNUMBER(SEARCH("connection",C923)),"Loose or Intermittent Connection",ISNUMBER(SEARCH("loose",C923)),"Loose or Intermittent Connection",ISNUMBER(SEARCH("damaged packaging",C923)),"Packaging Problem",ISNUMBER(SEARCH("packaging",C923)),"Packaging Problem",ISNUMBER(SEARCH("discoloration",C923)),"Contamination",ISNUMBER(SEARCH("tarnish",C923)),"Contamination",ISNUMBER(SEARCH("stain",C923)),"Contamination",ISNUMBER(SEARCH("foreign material",C923)),"Contamination",ISNUMBER(SEARCH("contamina",C923)),"Contamination",ISNUMBER(SEARCH("overheat",C923)),"Overheating of Device",ISNUMBER(SEARCH("excessive heat",C923)),"Overheating of Device",ISNUMBER(SEARCH("hot",C923)),"Overheating of Device",ISNUMBER(SEARCH("noise",C923)),"Noise, Audible",ISNUMBER(SEARCH("sound",C923)),"Noise, Audible",ISNUMBER(SEARCH("loud",C923)),"Noise, Audible",ISNUMBER(SEARCH("fray",C923)),"Material Frayed",ISNUMBER(SEARCH("hole",C923)),"Material Frayed",ISNUMBER(SEARCH("tear",C923)),"Material Frayed",ISNUMBER(SEARCH("worn",C923)),"Material Frayed",ISNUMBER(SEARCH("intermittent",C923)),"Difficult or Delayed Activation",ISNUMBER(SEARCH("delay",C923)),"Difficult or Delayed Activation",ISNUMBER(SEARCH("label",C923)),"Device Markings/Labelling Problem",ISNUMBER(SEARCH("marking",C923)),"Device Markings/Labelling Problem",ISNUMBER(SEARCH("lacerat",C923)),"Defective Device",ISNUMBER(SEARCH("cut",C923)),"Defective Device",ISNUMBER(SEARCH("leak",C923)),"Fluid/Blood Leak",ISNUMBER(SEARCH("missing",C923)),"Component Missing",ISNUMBER(SEARCH("power",C923)),"Complete Loss of Power",ISNUMBER(SEARCH("will not turn on",C923)),"Complete Loss of Power",ISNUMBER(SEARCH("won't turn on",C923)),"Complete Loss of Power",ISNUMBER(SEARCH("does not turn on",C923)),"Complete Loss of Power",ISNUMBER(SEARCH("electrical",C923)),"Electrical Power Problem",ISNUMBER(SEARCH("pressure",C923)),"Detachment of Device or Device Component",ISNUMBER(SEARCH("slip",C923)),"Detachment of Device or Device Component",ISNUMBER(SEARCH("detach",C923)),"Detachment of Device or Device Component",ISNUMBER(SEARCH("stick",C923)),"Mechanical Jam",ISNUMBER(SEARCH("jam",C923)),"Mechanical Jam",ISNUMBER(SEARCH("rigid",C923)),"Mechanical Jam",ISNUMBER(SEARCH("rust",C923)),"Corroded",ISNUMBER(SEARCH("corrod",C923)),"Corroded",ISNUMBER(SEARCH("corrosion",C923)),"Corroded",ISNUMBER(SEARCH("alignment",C923)),"Defective Device",ISNUMBER(SEARCH("adjust",C923)),"Defective Device",ISNUMBER(SEARCH("perform",C923)),"Defective Device",ISNUMBER(SEARCH("malfunction",C923)),"Defective Device",ISNUMBER(SEARCH("defect",C923)),"Defective Device",ISNUMBER(SEARCH("fail",C923)),"Defective Device",ISNUMBER(SEARCH("not work",C923)),"Defective Device",ISNUMBER(SEARCH("doesn't work",C923)),"Defective Device",TRUE,"UNKNOWN"),"UNKNOWN")))</f>
        <v/>
      </c>
      <c r="F923" s="4" t="str">
        <f t="shared" si="15"/>
        <v/>
      </c>
      <c r="G923" s="363" t="str">
        <f>IF(E923="","",IFERROR(VLOOKUP(E923,Codes!$L$2:$N$409,3,FALSE),"—"))</f>
        <v/>
      </c>
      <c r="H923" s="88"/>
      <c r="I923" s="88"/>
    </row>
    <row r="924" spans="1:9" ht="13.15" x14ac:dyDescent="0.35">
      <c r="A924" s="92"/>
      <c r="B924" s="89"/>
      <c r="C924" s="88"/>
      <c r="D924" s="88"/>
      <c r="E924" s="93" t="str" cm="1">
        <f t="array" ref="E924">IF(D924&lt;&gt;"",IFERROR(VLOOKUP(D924,Codes!$K$2:$L$409,2,FALSE),"UNKNOWN - "&amp;D924),IF(C924="","",IFERROR(_xlfn.IFS(ISNUMBER(SEARCH("broken button",C924)),"Break",ISNUMBER(SEARCH("broken handle",C924)),"Break",ISNUMBER(SEARCH("shipping damage",C924)),"Break",ISNUMBER(SEARCH("broken",C924)),"Break",ISNUMBER(SEARCH("crack",C924)),"Break",ISNUMBER(SEARCH("snap",C924)),"Break",ISNUMBER(SEARCH("fracture",C924)),"Break",ISNUMBER(SEARCH("bent",C924)),"Material Twisted/Bent",ISNUMBER(SEARCH("twisted",C924)),"Material Twisted/Bent",ISNUMBER(SEARCH("component separat",C924)),"Material Separation",ISNUMBER(SEARCH("separat",C924)),"Material Separation",ISNUMBER(SEARCH("connection",C924)),"Loose or Intermittent Connection",ISNUMBER(SEARCH("loose",C924)),"Loose or Intermittent Connection",ISNUMBER(SEARCH("damaged packaging",C924)),"Packaging Problem",ISNUMBER(SEARCH("packaging",C924)),"Packaging Problem",ISNUMBER(SEARCH("discoloration",C924)),"Contamination",ISNUMBER(SEARCH("tarnish",C924)),"Contamination",ISNUMBER(SEARCH("stain",C924)),"Contamination",ISNUMBER(SEARCH("foreign material",C924)),"Contamination",ISNUMBER(SEARCH("contamina",C924)),"Contamination",ISNUMBER(SEARCH("overheat",C924)),"Overheating of Device",ISNUMBER(SEARCH("excessive heat",C924)),"Overheating of Device",ISNUMBER(SEARCH("hot",C924)),"Overheating of Device",ISNUMBER(SEARCH("noise",C924)),"Noise, Audible",ISNUMBER(SEARCH("sound",C924)),"Noise, Audible",ISNUMBER(SEARCH("loud",C924)),"Noise, Audible",ISNUMBER(SEARCH("fray",C924)),"Material Frayed",ISNUMBER(SEARCH("hole",C924)),"Material Frayed",ISNUMBER(SEARCH("tear",C924)),"Material Frayed",ISNUMBER(SEARCH("worn",C924)),"Material Frayed",ISNUMBER(SEARCH("intermittent",C924)),"Difficult or Delayed Activation",ISNUMBER(SEARCH("delay",C924)),"Difficult or Delayed Activation",ISNUMBER(SEARCH("label",C924)),"Device Markings/Labelling Problem",ISNUMBER(SEARCH("marking",C924)),"Device Markings/Labelling Problem",ISNUMBER(SEARCH("lacerat",C924)),"Defective Device",ISNUMBER(SEARCH("cut",C924)),"Defective Device",ISNUMBER(SEARCH("leak",C924)),"Fluid/Blood Leak",ISNUMBER(SEARCH("missing",C924)),"Component Missing",ISNUMBER(SEARCH("power",C924)),"Complete Loss of Power",ISNUMBER(SEARCH("will not turn on",C924)),"Complete Loss of Power",ISNUMBER(SEARCH("won't turn on",C924)),"Complete Loss of Power",ISNUMBER(SEARCH("does not turn on",C924)),"Complete Loss of Power",ISNUMBER(SEARCH("electrical",C924)),"Electrical Power Problem",ISNUMBER(SEARCH("pressure",C924)),"Detachment of Device or Device Component",ISNUMBER(SEARCH("slip",C924)),"Detachment of Device or Device Component",ISNUMBER(SEARCH("detach",C924)),"Detachment of Device or Device Component",ISNUMBER(SEARCH("stick",C924)),"Mechanical Jam",ISNUMBER(SEARCH("jam",C924)),"Mechanical Jam",ISNUMBER(SEARCH("rigid",C924)),"Mechanical Jam",ISNUMBER(SEARCH("rust",C924)),"Corroded",ISNUMBER(SEARCH("corrod",C924)),"Corroded",ISNUMBER(SEARCH("corrosion",C924)),"Corroded",ISNUMBER(SEARCH("alignment",C924)),"Defective Device",ISNUMBER(SEARCH("adjust",C924)),"Defective Device",ISNUMBER(SEARCH("perform",C924)),"Defective Device",ISNUMBER(SEARCH("malfunction",C924)),"Defective Device",ISNUMBER(SEARCH("defect",C924)),"Defective Device",ISNUMBER(SEARCH("fail",C924)),"Defective Device",ISNUMBER(SEARCH("not work",C924)),"Defective Device",ISNUMBER(SEARCH("doesn't work",C924)),"Defective Device",TRUE,"UNKNOWN"),"UNKNOWN")))</f>
        <v/>
      </c>
      <c r="F924" s="4" t="str">
        <f t="shared" si="15"/>
        <v/>
      </c>
      <c r="G924" s="363" t="str">
        <f>IF(E924="","",IFERROR(VLOOKUP(E924,Codes!$L$2:$N$409,3,FALSE),"—"))</f>
        <v/>
      </c>
      <c r="H924" s="88"/>
      <c r="I924" s="88"/>
    </row>
    <row r="925" spans="1:9" ht="13.15" x14ac:dyDescent="0.35">
      <c r="A925" s="92"/>
      <c r="B925" s="89"/>
      <c r="C925" s="88"/>
      <c r="D925" s="88"/>
      <c r="E925" s="93" t="str" cm="1">
        <f t="array" ref="E925">IF(D925&lt;&gt;"",IFERROR(VLOOKUP(D925,Codes!$K$2:$L$409,2,FALSE),"UNKNOWN - "&amp;D925),IF(C925="","",IFERROR(_xlfn.IFS(ISNUMBER(SEARCH("broken button",C925)),"Break",ISNUMBER(SEARCH("broken handle",C925)),"Break",ISNUMBER(SEARCH("shipping damage",C925)),"Break",ISNUMBER(SEARCH("broken",C925)),"Break",ISNUMBER(SEARCH("crack",C925)),"Break",ISNUMBER(SEARCH("snap",C925)),"Break",ISNUMBER(SEARCH("fracture",C925)),"Break",ISNUMBER(SEARCH("bent",C925)),"Material Twisted/Bent",ISNUMBER(SEARCH("twisted",C925)),"Material Twisted/Bent",ISNUMBER(SEARCH("component separat",C925)),"Material Separation",ISNUMBER(SEARCH("separat",C925)),"Material Separation",ISNUMBER(SEARCH("connection",C925)),"Loose or Intermittent Connection",ISNUMBER(SEARCH("loose",C925)),"Loose or Intermittent Connection",ISNUMBER(SEARCH("damaged packaging",C925)),"Packaging Problem",ISNUMBER(SEARCH("packaging",C925)),"Packaging Problem",ISNUMBER(SEARCH("discoloration",C925)),"Contamination",ISNUMBER(SEARCH("tarnish",C925)),"Contamination",ISNUMBER(SEARCH("stain",C925)),"Contamination",ISNUMBER(SEARCH("foreign material",C925)),"Contamination",ISNUMBER(SEARCH("contamina",C925)),"Contamination",ISNUMBER(SEARCH("overheat",C925)),"Overheating of Device",ISNUMBER(SEARCH("excessive heat",C925)),"Overheating of Device",ISNUMBER(SEARCH("hot",C925)),"Overheating of Device",ISNUMBER(SEARCH("noise",C925)),"Noise, Audible",ISNUMBER(SEARCH("sound",C925)),"Noise, Audible",ISNUMBER(SEARCH("loud",C925)),"Noise, Audible",ISNUMBER(SEARCH("fray",C925)),"Material Frayed",ISNUMBER(SEARCH("hole",C925)),"Material Frayed",ISNUMBER(SEARCH("tear",C925)),"Material Frayed",ISNUMBER(SEARCH("worn",C925)),"Material Frayed",ISNUMBER(SEARCH("intermittent",C925)),"Difficult or Delayed Activation",ISNUMBER(SEARCH("delay",C925)),"Difficult or Delayed Activation",ISNUMBER(SEARCH("label",C925)),"Device Markings/Labelling Problem",ISNUMBER(SEARCH("marking",C925)),"Device Markings/Labelling Problem",ISNUMBER(SEARCH("lacerat",C925)),"Defective Device",ISNUMBER(SEARCH("cut",C925)),"Defective Device",ISNUMBER(SEARCH("leak",C925)),"Fluid/Blood Leak",ISNUMBER(SEARCH("missing",C925)),"Component Missing",ISNUMBER(SEARCH("power",C925)),"Complete Loss of Power",ISNUMBER(SEARCH("will not turn on",C925)),"Complete Loss of Power",ISNUMBER(SEARCH("won't turn on",C925)),"Complete Loss of Power",ISNUMBER(SEARCH("does not turn on",C925)),"Complete Loss of Power",ISNUMBER(SEARCH("electrical",C925)),"Electrical Power Problem",ISNUMBER(SEARCH("pressure",C925)),"Detachment of Device or Device Component",ISNUMBER(SEARCH("slip",C925)),"Detachment of Device or Device Component",ISNUMBER(SEARCH("detach",C925)),"Detachment of Device or Device Component",ISNUMBER(SEARCH("stick",C925)),"Mechanical Jam",ISNUMBER(SEARCH("jam",C925)),"Mechanical Jam",ISNUMBER(SEARCH("rigid",C925)),"Mechanical Jam",ISNUMBER(SEARCH("rust",C925)),"Corroded",ISNUMBER(SEARCH("corrod",C925)),"Corroded",ISNUMBER(SEARCH("corrosion",C925)),"Corroded",ISNUMBER(SEARCH("alignment",C925)),"Defective Device",ISNUMBER(SEARCH("adjust",C925)),"Defective Device",ISNUMBER(SEARCH("perform",C925)),"Defective Device",ISNUMBER(SEARCH("malfunction",C925)),"Defective Device",ISNUMBER(SEARCH("defect",C925)),"Defective Device",ISNUMBER(SEARCH("fail",C925)),"Defective Device",ISNUMBER(SEARCH("not work",C925)),"Defective Device",ISNUMBER(SEARCH("doesn't work",C925)),"Defective Device",TRUE,"UNKNOWN"),"UNKNOWN")))</f>
        <v/>
      </c>
      <c r="F925" s="4" t="str">
        <f t="shared" si="15"/>
        <v/>
      </c>
      <c r="G925" s="363" t="str">
        <f>IF(E925="","",IFERROR(VLOOKUP(E925,Codes!$L$2:$N$409,3,FALSE),"—"))</f>
        <v/>
      </c>
      <c r="H925" s="88"/>
      <c r="I925" s="88"/>
    </row>
    <row r="926" spans="1:9" ht="13.15" x14ac:dyDescent="0.35">
      <c r="A926" s="92"/>
      <c r="B926" s="89"/>
      <c r="C926" s="88"/>
      <c r="D926" s="88"/>
      <c r="E926" s="93" t="str" cm="1">
        <f t="array" ref="E926">IF(D926&lt;&gt;"",IFERROR(VLOOKUP(D926,Codes!$K$2:$L$409,2,FALSE),"UNKNOWN - "&amp;D926),IF(C926="","",IFERROR(_xlfn.IFS(ISNUMBER(SEARCH("broken button",C926)),"Break",ISNUMBER(SEARCH("broken handle",C926)),"Break",ISNUMBER(SEARCH("shipping damage",C926)),"Break",ISNUMBER(SEARCH("broken",C926)),"Break",ISNUMBER(SEARCH("crack",C926)),"Break",ISNUMBER(SEARCH("snap",C926)),"Break",ISNUMBER(SEARCH("fracture",C926)),"Break",ISNUMBER(SEARCH("bent",C926)),"Material Twisted/Bent",ISNUMBER(SEARCH("twisted",C926)),"Material Twisted/Bent",ISNUMBER(SEARCH("component separat",C926)),"Material Separation",ISNUMBER(SEARCH("separat",C926)),"Material Separation",ISNUMBER(SEARCH("connection",C926)),"Loose or Intermittent Connection",ISNUMBER(SEARCH("loose",C926)),"Loose or Intermittent Connection",ISNUMBER(SEARCH("damaged packaging",C926)),"Packaging Problem",ISNUMBER(SEARCH("packaging",C926)),"Packaging Problem",ISNUMBER(SEARCH("discoloration",C926)),"Contamination",ISNUMBER(SEARCH("tarnish",C926)),"Contamination",ISNUMBER(SEARCH("stain",C926)),"Contamination",ISNUMBER(SEARCH("foreign material",C926)),"Contamination",ISNUMBER(SEARCH("contamina",C926)),"Contamination",ISNUMBER(SEARCH("overheat",C926)),"Overheating of Device",ISNUMBER(SEARCH("excessive heat",C926)),"Overheating of Device",ISNUMBER(SEARCH("hot",C926)),"Overheating of Device",ISNUMBER(SEARCH("noise",C926)),"Noise, Audible",ISNUMBER(SEARCH("sound",C926)),"Noise, Audible",ISNUMBER(SEARCH("loud",C926)),"Noise, Audible",ISNUMBER(SEARCH("fray",C926)),"Material Frayed",ISNUMBER(SEARCH("hole",C926)),"Material Frayed",ISNUMBER(SEARCH("tear",C926)),"Material Frayed",ISNUMBER(SEARCH("worn",C926)),"Material Frayed",ISNUMBER(SEARCH("intermittent",C926)),"Difficult or Delayed Activation",ISNUMBER(SEARCH("delay",C926)),"Difficult or Delayed Activation",ISNUMBER(SEARCH("label",C926)),"Device Markings/Labelling Problem",ISNUMBER(SEARCH("marking",C926)),"Device Markings/Labelling Problem",ISNUMBER(SEARCH("lacerat",C926)),"Defective Device",ISNUMBER(SEARCH("cut",C926)),"Defective Device",ISNUMBER(SEARCH("leak",C926)),"Fluid/Blood Leak",ISNUMBER(SEARCH("missing",C926)),"Component Missing",ISNUMBER(SEARCH("power",C926)),"Complete Loss of Power",ISNUMBER(SEARCH("will not turn on",C926)),"Complete Loss of Power",ISNUMBER(SEARCH("won't turn on",C926)),"Complete Loss of Power",ISNUMBER(SEARCH("does not turn on",C926)),"Complete Loss of Power",ISNUMBER(SEARCH("electrical",C926)),"Electrical Power Problem",ISNUMBER(SEARCH("pressure",C926)),"Detachment of Device or Device Component",ISNUMBER(SEARCH("slip",C926)),"Detachment of Device or Device Component",ISNUMBER(SEARCH("detach",C926)),"Detachment of Device or Device Component",ISNUMBER(SEARCH("stick",C926)),"Mechanical Jam",ISNUMBER(SEARCH("jam",C926)),"Mechanical Jam",ISNUMBER(SEARCH("rigid",C926)),"Mechanical Jam",ISNUMBER(SEARCH("rust",C926)),"Corroded",ISNUMBER(SEARCH("corrod",C926)),"Corroded",ISNUMBER(SEARCH("corrosion",C926)),"Corroded",ISNUMBER(SEARCH("alignment",C926)),"Defective Device",ISNUMBER(SEARCH("adjust",C926)),"Defective Device",ISNUMBER(SEARCH("perform",C926)),"Defective Device",ISNUMBER(SEARCH("malfunction",C926)),"Defective Device",ISNUMBER(SEARCH("defect",C926)),"Defective Device",ISNUMBER(SEARCH("fail",C926)),"Defective Device",ISNUMBER(SEARCH("not work",C926)),"Defective Device",ISNUMBER(SEARCH("doesn't work",C926)),"Defective Device",TRUE,"UNKNOWN"),"UNKNOWN")))</f>
        <v/>
      </c>
      <c r="F926" s="4" t="str">
        <f t="shared" si="15"/>
        <v/>
      </c>
      <c r="G926" s="363" t="str">
        <f>IF(E926="","",IFERROR(VLOOKUP(E926,Codes!$L$2:$N$409,3,FALSE),"—"))</f>
        <v/>
      </c>
      <c r="H926" s="88"/>
      <c r="I926" s="88"/>
    </row>
    <row r="927" spans="1:9" ht="13.15" x14ac:dyDescent="0.35">
      <c r="A927" s="92"/>
      <c r="B927" s="89"/>
      <c r="C927" s="88"/>
      <c r="D927" s="88"/>
      <c r="E927" s="93" t="str" cm="1">
        <f t="array" ref="E927">IF(D927&lt;&gt;"",IFERROR(VLOOKUP(D927,Codes!$K$2:$L$409,2,FALSE),"UNKNOWN - "&amp;D927),IF(C927="","",IFERROR(_xlfn.IFS(ISNUMBER(SEARCH("broken button",C927)),"Break",ISNUMBER(SEARCH("broken handle",C927)),"Break",ISNUMBER(SEARCH("shipping damage",C927)),"Break",ISNUMBER(SEARCH("broken",C927)),"Break",ISNUMBER(SEARCH("crack",C927)),"Break",ISNUMBER(SEARCH("snap",C927)),"Break",ISNUMBER(SEARCH("fracture",C927)),"Break",ISNUMBER(SEARCH("bent",C927)),"Material Twisted/Bent",ISNUMBER(SEARCH("twisted",C927)),"Material Twisted/Bent",ISNUMBER(SEARCH("component separat",C927)),"Material Separation",ISNUMBER(SEARCH("separat",C927)),"Material Separation",ISNUMBER(SEARCH("connection",C927)),"Loose or Intermittent Connection",ISNUMBER(SEARCH("loose",C927)),"Loose or Intermittent Connection",ISNUMBER(SEARCH("damaged packaging",C927)),"Packaging Problem",ISNUMBER(SEARCH("packaging",C927)),"Packaging Problem",ISNUMBER(SEARCH("discoloration",C927)),"Contamination",ISNUMBER(SEARCH("tarnish",C927)),"Contamination",ISNUMBER(SEARCH("stain",C927)),"Contamination",ISNUMBER(SEARCH("foreign material",C927)),"Contamination",ISNUMBER(SEARCH("contamina",C927)),"Contamination",ISNUMBER(SEARCH("overheat",C927)),"Overheating of Device",ISNUMBER(SEARCH("excessive heat",C927)),"Overheating of Device",ISNUMBER(SEARCH("hot",C927)),"Overheating of Device",ISNUMBER(SEARCH("noise",C927)),"Noise, Audible",ISNUMBER(SEARCH("sound",C927)),"Noise, Audible",ISNUMBER(SEARCH("loud",C927)),"Noise, Audible",ISNUMBER(SEARCH("fray",C927)),"Material Frayed",ISNUMBER(SEARCH("hole",C927)),"Material Frayed",ISNUMBER(SEARCH("tear",C927)),"Material Frayed",ISNUMBER(SEARCH("worn",C927)),"Material Frayed",ISNUMBER(SEARCH("intermittent",C927)),"Difficult or Delayed Activation",ISNUMBER(SEARCH("delay",C927)),"Difficult or Delayed Activation",ISNUMBER(SEARCH("label",C927)),"Device Markings/Labelling Problem",ISNUMBER(SEARCH("marking",C927)),"Device Markings/Labelling Problem",ISNUMBER(SEARCH("lacerat",C927)),"Defective Device",ISNUMBER(SEARCH("cut",C927)),"Defective Device",ISNUMBER(SEARCH("leak",C927)),"Fluid/Blood Leak",ISNUMBER(SEARCH("missing",C927)),"Component Missing",ISNUMBER(SEARCH("power",C927)),"Complete Loss of Power",ISNUMBER(SEARCH("will not turn on",C927)),"Complete Loss of Power",ISNUMBER(SEARCH("won't turn on",C927)),"Complete Loss of Power",ISNUMBER(SEARCH("does not turn on",C927)),"Complete Loss of Power",ISNUMBER(SEARCH("electrical",C927)),"Electrical Power Problem",ISNUMBER(SEARCH("pressure",C927)),"Detachment of Device or Device Component",ISNUMBER(SEARCH("slip",C927)),"Detachment of Device or Device Component",ISNUMBER(SEARCH("detach",C927)),"Detachment of Device or Device Component",ISNUMBER(SEARCH("stick",C927)),"Mechanical Jam",ISNUMBER(SEARCH("jam",C927)),"Mechanical Jam",ISNUMBER(SEARCH("rigid",C927)),"Mechanical Jam",ISNUMBER(SEARCH("rust",C927)),"Corroded",ISNUMBER(SEARCH("corrod",C927)),"Corroded",ISNUMBER(SEARCH("corrosion",C927)),"Corroded",ISNUMBER(SEARCH("alignment",C927)),"Defective Device",ISNUMBER(SEARCH("adjust",C927)),"Defective Device",ISNUMBER(SEARCH("perform",C927)),"Defective Device",ISNUMBER(SEARCH("malfunction",C927)),"Defective Device",ISNUMBER(SEARCH("defect",C927)),"Defective Device",ISNUMBER(SEARCH("fail",C927)),"Defective Device",ISNUMBER(SEARCH("not work",C927)),"Defective Device",ISNUMBER(SEARCH("doesn't work",C927)),"Defective Device",TRUE,"UNKNOWN"),"UNKNOWN")))</f>
        <v/>
      </c>
      <c r="F927" s="4" t="str">
        <f t="shared" si="15"/>
        <v/>
      </c>
      <c r="G927" s="363" t="str">
        <f>IF(E927="","",IFERROR(VLOOKUP(E927,Codes!$L$2:$N$409,3,FALSE),"—"))</f>
        <v/>
      </c>
      <c r="H927" s="88"/>
      <c r="I927" s="88"/>
    </row>
    <row r="928" spans="1:9" ht="13.15" x14ac:dyDescent="0.35">
      <c r="A928" s="92"/>
      <c r="B928" s="89"/>
      <c r="C928" s="88"/>
      <c r="D928" s="88"/>
      <c r="E928" s="93" t="str" cm="1">
        <f t="array" ref="E928">IF(D928&lt;&gt;"",IFERROR(VLOOKUP(D928,Codes!$K$2:$L$409,2,FALSE),"UNKNOWN - "&amp;D928),IF(C928="","",IFERROR(_xlfn.IFS(ISNUMBER(SEARCH("broken button",C928)),"Break",ISNUMBER(SEARCH("broken handle",C928)),"Break",ISNUMBER(SEARCH("shipping damage",C928)),"Break",ISNUMBER(SEARCH("broken",C928)),"Break",ISNUMBER(SEARCH("crack",C928)),"Break",ISNUMBER(SEARCH("snap",C928)),"Break",ISNUMBER(SEARCH("fracture",C928)),"Break",ISNUMBER(SEARCH("bent",C928)),"Material Twisted/Bent",ISNUMBER(SEARCH("twisted",C928)),"Material Twisted/Bent",ISNUMBER(SEARCH("component separat",C928)),"Material Separation",ISNUMBER(SEARCH("separat",C928)),"Material Separation",ISNUMBER(SEARCH("connection",C928)),"Loose or Intermittent Connection",ISNUMBER(SEARCH("loose",C928)),"Loose or Intermittent Connection",ISNUMBER(SEARCH("damaged packaging",C928)),"Packaging Problem",ISNUMBER(SEARCH("packaging",C928)),"Packaging Problem",ISNUMBER(SEARCH("discoloration",C928)),"Contamination",ISNUMBER(SEARCH("tarnish",C928)),"Contamination",ISNUMBER(SEARCH("stain",C928)),"Contamination",ISNUMBER(SEARCH("foreign material",C928)),"Contamination",ISNUMBER(SEARCH("contamina",C928)),"Contamination",ISNUMBER(SEARCH("overheat",C928)),"Overheating of Device",ISNUMBER(SEARCH("excessive heat",C928)),"Overheating of Device",ISNUMBER(SEARCH("hot",C928)),"Overheating of Device",ISNUMBER(SEARCH("noise",C928)),"Noise, Audible",ISNUMBER(SEARCH("sound",C928)),"Noise, Audible",ISNUMBER(SEARCH("loud",C928)),"Noise, Audible",ISNUMBER(SEARCH("fray",C928)),"Material Frayed",ISNUMBER(SEARCH("hole",C928)),"Material Frayed",ISNUMBER(SEARCH("tear",C928)),"Material Frayed",ISNUMBER(SEARCH("worn",C928)),"Material Frayed",ISNUMBER(SEARCH("intermittent",C928)),"Difficult or Delayed Activation",ISNUMBER(SEARCH("delay",C928)),"Difficult or Delayed Activation",ISNUMBER(SEARCH("label",C928)),"Device Markings/Labelling Problem",ISNUMBER(SEARCH("marking",C928)),"Device Markings/Labelling Problem",ISNUMBER(SEARCH("lacerat",C928)),"Defective Device",ISNUMBER(SEARCH("cut",C928)),"Defective Device",ISNUMBER(SEARCH("leak",C928)),"Fluid/Blood Leak",ISNUMBER(SEARCH("missing",C928)),"Component Missing",ISNUMBER(SEARCH("power",C928)),"Complete Loss of Power",ISNUMBER(SEARCH("will not turn on",C928)),"Complete Loss of Power",ISNUMBER(SEARCH("won't turn on",C928)),"Complete Loss of Power",ISNUMBER(SEARCH("does not turn on",C928)),"Complete Loss of Power",ISNUMBER(SEARCH("electrical",C928)),"Electrical Power Problem",ISNUMBER(SEARCH("pressure",C928)),"Detachment of Device or Device Component",ISNUMBER(SEARCH("slip",C928)),"Detachment of Device or Device Component",ISNUMBER(SEARCH("detach",C928)),"Detachment of Device or Device Component",ISNUMBER(SEARCH("stick",C928)),"Mechanical Jam",ISNUMBER(SEARCH("jam",C928)),"Mechanical Jam",ISNUMBER(SEARCH("rigid",C928)),"Mechanical Jam",ISNUMBER(SEARCH("rust",C928)),"Corroded",ISNUMBER(SEARCH("corrod",C928)),"Corroded",ISNUMBER(SEARCH("corrosion",C928)),"Corroded",ISNUMBER(SEARCH("alignment",C928)),"Defective Device",ISNUMBER(SEARCH("adjust",C928)),"Defective Device",ISNUMBER(SEARCH("perform",C928)),"Defective Device",ISNUMBER(SEARCH("malfunction",C928)),"Defective Device",ISNUMBER(SEARCH("defect",C928)),"Defective Device",ISNUMBER(SEARCH("fail",C928)),"Defective Device",ISNUMBER(SEARCH("not work",C928)),"Defective Device",ISNUMBER(SEARCH("doesn't work",C928)),"Defective Device",TRUE,"UNKNOWN"),"UNKNOWN")))</f>
        <v/>
      </c>
      <c r="F928" s="4" t="str">
        <f t="shared" si="15"/>
        <v/>
      </c>
      <c r="G928" s="363" t="str">
        <f>IF(E928="","",IFERROR(VLOOKUP(E928,Codes!$L$2:$N$409,3,FALSE),"—"))</f>
        <v/>
      </c>
      <c r="H928" s="88"/>
      <c r="I928" s="88"/>
    </row>
  </sheetData>
  <sheetProtection sort="0" autoFilter="0"/>
  <autoFilter ref="A1:F1" xr:uid="{ED289CED-0D84-4AAB-8985-E2B215495E69}"/>
  <conditionalFormatting sqref="E2:E928">
    <cfRule type="containsText" priority="3" operator="containsText" text="UNKNOWN">
      <formula>NOT(ISERROR(SEARCH("UNKNOWN",E2)))</formula>
    </cfRule>
    <cfRule type="containsText" dxfId="5" priority="6" operator="containsText" text="Break">
      <formula>NOT(ISERROR(SEARCH("Break",E2)))</formula>
    </cfRule>
    <cfRule type="containsText" dxfId="4" priority="7" operator="containsText" text="burn">
      <formula>NOT(ISERROR(SEARCH("burn",E2)))</formula>
    </cfRule>
    <cfRule type="containsText" dxfId="3" priority="8" operator="containsText" text="Electrical">
      <formula>NOT(ISERROR(SEARCH("Electrical",E2)))</formula>
    </cfRule>
  </conditionalFormatting>
  <dataValidations count="3">
    <dataValidation type="list" allowBlank="1" showInputMessage="1" showErrorMessage="1" sqref="F2:G928" xr:uid="{E181962C-21D1-416F-A274-BEFA285B7EE6}">
      <formula1>"No Clinical Signs, Symptoms or Conditions,No Known Health Consequences or Injury,Injury,Death,Disability,Hospitalization,Pain,Infection"</formula1>
    </dataValidation>
    <dataValidation type="list" allowBlank="1" showInputMessage="1" showErrorMessage="1" sqref="H2:H928" xr:uid="{46A8647D-DE2A-4DC9-8732-8A36AE0C85A5}">
      <formula1>_xlfn._LONGTEXT("C01 - Design Problem,C02 - Manufacturing/Assembly Problem,C03 - Component/Material Problem,C04 - Software Problem,C05 - Packaging/Shipping Problem,C06 - Contamination During Manufacturing,C07 - Labelling/IFU Problem,C08 - User Error,C09 - Maintenance/Serv","ice Problem,C10 - Use Environment Problem,C11 - No Deficiency Found,C12 - Unknown/Unable to Determine,C13 - Other")</formula1>
    </dataValidation>
    <dataValidation type="list" allowBlank="1" showInputMessage="1" showErrorMessage="1" sqref="I2:I928" xr:uid="{51E99DF4-0A5F-4E36-B040-B945A56110D5}">
      <formula1>"D01 - Device Issue,D02 - Non-Device Issue,D03 - Inconclusive,D04 - Under Investigation,D05 - No Conclusion Possible"</formula1>
    </dataValidation>
  </dataValidation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expression" priority="1" id="{B81130E0-F66A-43DC-973C-1E8456D5961E}">
            <xm:f>IFERROR(VLOOKUP(#REF!,Codes!$K$2:$M$37,3,FALSE)="LOW",FALSE)</xm:f>
            <x14:dxf/>
          </x14:cfRule>
          <x14:cfRule type="expression" priority="5" id="{76737601-CFFE-44B8-8F85-7F7617FF0003}">
            <xm:f>IFERROR(VLOOKUP(#REF!,Codes!$K$2:$M$37,3,FALSE)="LOW",FALSE)</xm:f>
            <x14:dxf>
              <font>
                <color rgb="FFCC0000"/>
              </font>
              <fill>
                <patternFill patternType="solid">
                  <fgColor indexed="64"/>
                  <bgColor rgb="FFFFFF00"/>
                </patternFill>
              </fill>
            </x14:dxf>
          </x14:cfRule>
          <xm:sqref>E2:E928</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EADF0-595E-4CAE-8D29-769EC49123B1}">
  <sheetPr>
    <tabColor rgb="FF06D6A0"/>
  </sheetPr>
  <dimension ref="A1:D78142"/>
  <sheetViews>
    <sheetView showGridLines="0" workbookViewId="0">
      <pane ySplit="1" topLeftCell="A2" activePane="bottomLeft" state="frozen"/>
      <selection pane="bottomLeft" activeCell="D2" sqref="D2:D4794"/>
    </sheetView>
  </sheetViews>
  <sheetFormatPr defaultRowHeight="12.75" x14ac:dyDescent="0.35"/>
  <cols>
    <col min="1" max="1" width="30.3984375" style="1" customWidth="1"/>
    <col min="2" max="2" width="19" style="1" customWidth="1"/>
    <col min="3" max="3" width="15.265625" style="1" customWidth="1"/>
    <col min="4" max="4" width="19" style="1" customWidth="1"/>
  </cols>
  <sheetData>
    <row r="1" spans="1:4" ht="35.1" customHeight="1" thickBot="1" x14ac:dyDescent="0.4">
      <c r="A1" s="360" t="s">
        <v>37</v>
      </c>
      <c r="B1" s="360" t="s">
        <v>69</v>
      </c>
      <c r="C1" s="360" t="s">
        <v>70</v>
      </c>
      <c r="D1" s="360" t="s">
        <v>71</v>
      </c>
    </row>
    <row r="2" spans="1:4" ht="13.15" x14ac:dyDescent="0.35">
      <c r="A2" s="448" t="s">
        <v>1643</v>
      </c>
      <c r="B2" s="449" t="s">
        <v>1677</v>
      </c>
      <c r="C2" s="450">
        <v>48</v>
      </c>
      <c r="D2" s="449">
        <v>2024</v>
      </c>
    </row>
    <row r="3" spans="1:4" ht="13.15" x14ac:dyDescent="0.35">
      <c r="A3" s="451" t="s">
        <v>1643</v>
      </c>
      <c r="B3" s="452" t="s">
        <v>1677</v>
      </c>
      <c r="C3" s="453">
        <v>10</v>
      </c>
      <c r="D3" s="452">
        <v>2024</v>
      </c>
    </row>
    <row r="4" spans="1:4" ht="13.15" x14ac:dyDescent="0.35">
      <c r="A4" s="448" t="s">
        <v>1643</v>
      </c>
      <c r="B4" s="449" t="s">
        <v>1677</v>
      </c>
      <c r="C4" s="450">
        <v>25</v>
      </c>
      <c r="D4" s="449">
        <v>2025</v>
      </c>
    </row>
    <row r="5" spans="1:4" ht="13.15" x14ac:dyDescent="0.35">
      <c r="A5" s="451" t="s">
        <v>1643</v>
      </c>
      <c r="B5" s="452" t="s">
        <v>1677</v>
      </c>
      <c r="C5" s="453">
        <v>2</v>
      </c>
      <c r="D5" s="452">
        <v>2025</v>
      </c>
    </row>
    <row r="6" spans="1:4" ht="13.15" x14ac:dyDescent="0.35">
      <c r="A6" s="448" t="s">
        <v>1643</v>
      </c>
      <c r="B6" s="449" t="s">
        <v>1678</v>
      </c>
      <c r="C6" s="450">
        <v>24</v>
      </c>
      <c r="D6" s="449">
        <v>2024</v>
      </c>
    </row>
    <row r="7" spans="1:4" ht="13.15" x14ac:dyDescent="0.35">
      <c r="A7" s="451" t="s">
        <v>1643</v>
      </c>
      <c r="B7" s="452" t="s">
        <v>1678</v>
      </c>
      <c r="C7" s="453">
        <v>3</v>
      </c>
      <c r="D7" s="452">
        <v>2024</v>
      </c>
    </row>
    <row r="8" spans="1:4" ht="13.15" x14ac:dyDescent="0.35">
      <c r="A8" s="448" t="s">
        <v>1643</v>
      </c>
      <c r="B8" s="449" t="s">
        <v>1679</v>
      </c>
      <c r="C8" s="450">
        <v>23</v>
      </c>
      <c r="D8" s="449">
        <v>2024</v>
      </c>
    </row>
    <row r="9" spans="1:4" ht="13.15" x14ac:dyDescent="0.35">
      <c r="A9" s="451" t="s">
        <v>1643</v>
      </c>
      <c r="B9" s="452" t="s">
        <v>1679</v>
      </c>
      <c r="C9" s="453">
        <v>2</v>
      </c>
      <c r="D9" s="452">
        <v>2024</v>
      </c>
    </row>
    <row r="10" spans="1:4" ht="13.15" x14ac:dyDescent="0.35">
      <c r="A10" s="448" t="s">
        <v>1643</v>
      </c>
      <c r="B10" s="449" t="s">
        <v>1680</v>
      </c>
      <c r="C10" s="450">
        <v>25</v>
      </c>
      <c r="D10" s="449">
        <v>2025</v>
      </c>
    </row>
    <row r="11" spans="1:4" ht="13.15" x14ac:dyDescent="0.35">
      <c r="A11" s="451" t="s">
        <v>1643</v>
      </c>
      <c r="B11" s="452" t="s">
        <v>1680</v>
      </c>
      <c r="C11" s="453">
        <v>1</v>
      </c>
      <c r="D11" s="452">
        <v>2025</v>
      </c>
    </row>
    <row r="12" spans="1:4" ht="13.15" x14ac:dyDescent="0.35">
      <c r="A12" s="448" t="s">
        <v>1643</v>
      </c>
      <c r="B12" s="449" t="s">
        <v>1681</v>
      </c>
      <c r="C12" s="450">
        <v>24</v>
      </c>
      <c r="D12" s="449">
        <v>2025</v>
      </c>
    </row>
    <row r="13" spans="1:4" ht="13.15" x14ac:dyDescent="0.35">
      <c r="A13" s="451" t="s">
        <v>1643</v>
      </c>
      <c r="B13" s="452" t="s">
        <v>1681</v>
      </c>
      <c r="C13" s="453">
        <v>1</v>
      </c>
      <c r="D13" s="452">
        <v>2025</v>
      </c>
    </row>
    <row r="14" spans="1:4" ht="13.15" x14ac:dyDescent="0.35">
      <c r="A14" s="448" t="s">
        <v>1643</v>
      </c>
      <c r="B14" s="449" t="s">
        <v>1682</v>
      </c>
      <c r="C14" s="450">
        <v>23</v>
      </c>
      <c r="D14" s="449">
        <v>2024</v>
      </c>
    </row>
    <row r="15" spans="1:4" ht="13.15" x14ac:dyDescent="0.35">
      <c r="A15" s="451" t="s">
        <v>1643</v>
      </c>
      <c r="B15" s="452" t="s">
        <v>1682</v>
      </c>
      <c r="C15" s="453">
        <v>3</v>
      </c>
      <c r="D15" s="452">
        <v>2024</v>
      </c>
    </row>
    <row r="16" spans="1:4" ht="13.15" x14ac:dyDescent="0.35">
      <c r="A16" s="448" t="s">
        <v>1643</v>
      </c>
      <c r="B16" s="449" t="s">
        <v>1683</v>
      </c>
      <c r="C16" s="450">
        <v>22</v>
      </c>
      <c r="D16" s="449">
        <v>2024</v>
      </c>
    </row>
    <row r="17" spans="1:4" ht="13.15" x14ac:dyDescent="0.35">
      <c r="A17" s="451" t="s">
        <v>1643</v>
      </c>
      <c r="B17" s="452" t="s">
        <v>1683</v>
      </c>
      <c r="C17" s="453">
        <v>3</v>
      </c>
      <c r="D17" s="452">
        <v>2024</v>
      </c>
    </row>
    <row r="18" spans="1:4" ht="13.15" x14ac:dyDescent="0.35">
      <c r="A18" s="448" t="s">
        <v>1643</v>
      </c>
      <c r="B18" s="449" t="s">
        <v>1683</v>
      </c>
      <c r="C18" s="450">
        <v>27</v>
      </c>
      <c r="D18" s="449">
        <v>2025</v>
      </c>
    </row>
    <row r="19" spans="1:4" ht="13.15" x14ac:dyDescent="0.35">
      <c r="A19" s="451" t="s">
        <v>1643</v>
      </c>
      <c r="B19" s="452" t="s">
        <v>1683</v>
      </c>
      <c r="C19" s="453">
        <v>2</v>
      </c>
      <c r="D19" s="452">
        <v>2025</v>
      </c>
    </row>
    <row r="20" spans="1:4" ht="13.15" x14ac:dyDescent="0.35">
      <c r="A20" s="448" t="s">
        <v>1643</v>
      </c>
      <c r="B20" s="449" t="s">
        <v>1684</v>
      </c>
      <c r="C20" s="450">
        <v>25</v>
      </c>
      <c r="D20" s="449">
        <v>2025</v>
      </c>
    </row>
    <row r="21" spans="1:4" ht="13.15" x14ac:dyDescent="0.35">
      <c r="A21" s="451" t="s">
        <v>1643</v>
      </c>
      <c r="B21" s="452" t="s">
        <v>1684</v>
      </c>
      <c r="C21" s="453">
        <v>2</v>
      </c>
      <c r="D21" s="452">
        <v>2025</v>
      </c>
    </row>
    <row r="22" spans="1:4" ht="13.15" x14ac:dyDescent="0.35">
      <c r="A22" s="448" t="s">
        <v>1643</v>
      </c>
      <c r="B22" s="449" t="s">
        <v>1684</v>
      </c>
      <c r="C22" s="450">
        <v>29</v>
      </c>
      <c r="D22" s="449">
        <v>2024</v>
      </c>
    </row>
    <row r="23" spans="1:4" ht="13.15" x14ac:dyDescent="0.35">
      <c r="A23" s="451" t="s">
        <v>1643</v>
      </c>
      <c r="B23" s="452" t="s">
        <v>1684</v>
      </c>
      <c r="C23" s="453">
        <v>3</v>
      </c>
      <c r="D23" s="452">
        <v>2024</v>
      </c>
    </row>
    <row r="24" spans="1:4" ht="13.15" x14ac:dyDescent="0.35">
      <c r="A24" s="448" t="s">
        <v>1643</v>
      </c>
      <c r="B24" s="449" t="s">
        <v>1685</v>
      </c>
      <c r="C24" s="450">
        <v>26</v>
      </c>
      <c r="D24" s="449">
        <v>2024</v>
      </c>
    </row>
    <row r="25" spans="1:4" ht="13.15" x14ac:dyDescent="0.35">
      <c r="A25" s="451" t="s">
        <v>1643</v>
      </c>
      <c r="B25" s="452" t="s">
        <v>1685</v>
      </c>
      <c r="C25" s="453">
        <v>3</v>
      </c>
      <c r="D25" s="452">
        <v>2024</v>
      </c>
    </row>
    <row r="26" spans="1:4" ht="13.15" x14ac:dyDescent="0.35">
      <c r="A26" s="448" t="s">
        <v>1643</v>
      </c>
      <c r="B26" s="449" t="s">
        <v>1685</v>
      </c>
      <c r="C26" s="450">
        <v>27</v>
      </c>
      <c r="D26" s="449">
        <v>2025</v>
      </c>
    </row>
    <row r="27" spans="1:4" ht="13.15" x14ac:dyDescent="0.35">
      <c r="A27" s="451" t="s">
        <v>1643</v>
      </c>
      <c r="B27" s="452" t="s">
        <v>1685</v>
      </c>
      <c r="C27" s="453">
        <v>1</v>
      </c>
      <c r="D27" s="452">
        <v>2025</v>
      </c>
    </row>
    <row r="28" spans="1:4" ht="13.15" x14ac:dyDescent="0.35">
      <c r="A28" s="448" t="s">
        <v>1643</v>
      </c>
      <c r="B28" s="449" t="s">
        <v>1686</v>
      </c>
      <c r="C28" s="450">
        <v>50</v>
      </c>
      <c r="D28" s="449">
        <v>2024</v>
      </c>
    </row>
    <row r="29" spans="1:4" ht="13.15" x14ac:dyDescent="0.35">
      <c r="A29" s="451" t="s">
        <v>1643</v>
      </c>
      <c r="B29" s="452" t="s">
        <v>1686</v>
      </c>
      <c r="C29" s="453">
        <v>4</v>
      </c>
      <c r="D29" s="452">
        <v>2024</v>
      </c>
    </row>
    <row r="30" spans="1:4" ht="13.15" x14ac:dyDescent="0.35">
      <c r="A30" s="448" t="s">
        <v>1643</v>
      </c>
      <c r="B30" s="449" t="s">
        <v>1687</v>
      </c>
      <c r="C30" s="450">
        <v>25</v>
      </c>
      <c r="D30" s="449">
        <v>2024</v>
      </c>
    </row>
    <row r="31" spans="1:4" ht="13.15" x14ac:dyDescent="0.35">
      <c r="A31" s="451" t="s">
        <v>1643</v>
      </c>
      <c r="B31" s="452" t="s">
        <v>1687</v>
      </c>
      <c r="C31" s="453">
        <v>3</v>
      </c>
      <c r="D31" s="452">
        <v>2024</v>
      </c>
    </row>
    <row r="32" spans="1:4" ht="13.15" x14ac:dyDescent="0.35">
      <c r="A32" s="448" t="s">
        <v>1644</v>
      </c>
      <c r="B32" s="449" t="s">
        <v>1678</v>
      </c>
      <c r="C32" s="450">
        <v>8</v>
      </c>
      <c r="D32" s="449">
        <v>2024</v>
      </c>
    </row>
    <row r="33" spans="1:4" ht="13.15" x14ac:dyDescent="0.35">
      <c r="A33" s="451" t="s">
        <v>1644</v>
      </c>
      <c r="B33" s="452" t="s">
        <v>1679</v>
      </c>
      <c r="C33" s="453">
        <v>1</v>
      </c>
      <c r="D33" s="452">
        <v>2024</v>
      </c>
    </row>
    <row r="34" spans="1:4" ht="13.15" x14ac:dyDescent="0.35">
      <c r="A34" s="448" t="s">
        <v>1644</v>
      </c>
      <c r="B34" s="449" t="s">
        <v>1681</v>
      </c>
      <c r="C34" s="450">
        <v>1</v>
      </c>
      <c r="D34" s="449">
        <v>2025</v>
      </c>
    </row>
    <row r="35" spans="1:4" ht="13.15" x14ac:dyDescent="0.35">
      <c r="A35" s="451" t="s">
        <v>1644</v>
      </c>
      <c r="B35" s="452" t="s">
        <v>1684</v>
      </c>
      <c r="C35" s="453">
        <v>2</v>
      </c>
      <c r="D35" s="452">
        <v>2025</v>
      </c>
    </row>
    <row r="36" spans="1:4" ht="13.15" x14ac:dyDescent="0.35">
      <c r="A36" s="448" t="s">
        <v>1644</v>
      </c>
      <c r="B36" s="449" t="s">
        <v>1685</v>
      </c>
      <c r="C36" s="450">
        <v>8</v>
      </c>
      <c r="D36" s="449">
        <v>2024</v>
      </c>
    </row>
    <row r="37" spans="1:4" ht="13.15" x14ac:dyDescent="0.35">
      <c r="A37" s="451" t="s">
        <v>1315</v>
      </c>
      <c r="B37" s="452" t="s">
        <v>1677</v>
      </c>
      <c r="C37" s="453">
        <v>25</v>
      </c>
      <c r="D37" s="452">
        <v>2024</v>
      </c>
    </row>
    <row r="38" spans="1:4" ht="13.15" x14ac:dyDescent="0.35">
      <c r="A38" s="448" t="s">
        <v>1315</v>
      </c>
      <c r="B38" s="449" t="s">
        <v>1677</v>
      </c>
      <c r="C38" s="450">
        <v>20</v>
      </c>
      <c r="D38" s="449">
        <v>2025</v>
      </c>
    </row>
    <row r="39" spans="1:4" ht="13.15" x14ac:dyDescent="0.35">
      <c r="A39" s="451" t="s">
        <v>1315</v>
      </c>
      <c r="B39" s="452" t="s">
        <v>1677</v>
      </c>
      <c r="C39" s="453">
        <v>5</v>
      </c>
      <c r="D39" s="452">
        <v>2025</v>
      </c>
    </row>
    <row r="40" spans="1:4" ht="13.15" x14ac:dyDescent="0.35">
      <c r="A40" s="448" t="s">
        <v>1315</v>
      </c>
      <c r="B40" s="449" t="s">
        <v>1678</v>
      </c>
      <c r="C40" s="450">
        <v>13</v>
      </c>
      <c r="D40" s="449">
        <v>2024</v>
      </c>
    </row>
    <row r="41" spans="1:4" ht="13.15" x14ac:dyDescent="0.35">
      <c r="A41" s="451" t="s">
        <v>1315</v>
      </c>
      <c r="B41" s="452" t="s">
        <v>1679</v>
      </c>
      <c r="C41" s="453">
        <v>24</v>
      </c>
      <c r="D41" s="452">
        <v>2024</v>
      </c>
    </row>
    <row r="42" spans="1:4" ht="13.15" x14ac:dyDescent="0.35">
      <c r="A42" s="448" t="s">
        <v>1315</v>
      </c>
      <c r="B42" s="449" t="s">
        <v>1679</v>
      </c>
      <c r="C42" s="450">
        <v>3</v>
      </c>
      <c r="D42" s="449">
        <v>2024</v>
      </c>
    </row>
    <row r="43" spans="1:4" ht="13.15" x14ac:dyDescent="0.35">
      <c r="A43" s="451" t="s">
        <v>1315</v>
      </c>
      <c r="B43" s="452" t="s">
        <v>1680</v>
      </c>
      <c r="C43" s="453">
        <v>10</v>
      </c>
      <c r="D43" s="452">
        <v>2025</v>
      </c>
    </row>
    <row r="44" spans="1:4" ht="13.15" x14ac:dyDescent="0.35">
      <c r="A44" s="448" t="s">
        <v>1315</v>
      </c>
      <c r="B44" s="449" t="s">
        <v>1680</v>
      </c>
      <c r="C44" s="450">
        <v>5</v>
      </c>
      <c r="D44" s="449">
        <v>2025</v>
      </c>
    </row>
    <row r="45" spans="1:4" ht="13.15" x14ac:dyDescent="0.35">
      <c r="A45" s="451" t="s">
        <v>1315</v>
      </c>
      <c r="B45" s="452" t="s">
        <v>1681</v>
      </c>
      <c r="C45" s="453">
        <v>10</v>
      </c>
      <c r="D45" s="452">
        <v>2025</v>
      </c>
    </row>
    <row r="46" spans="1:4" ht="13.15" x14ac:dyDescent="0.35">
      <c r="A46" s="448" t="s">
        <v>1315</v>
      </c>
      <c r="B46" s="449" t="s">
        <v>1681</v>
      </c>
      <c r="C46" s="450">
        <v>3</v>
      </c>
      <c r="D46" s="449">
        <v>2025</v>
      </c>
    </row>
    <row r="47" spans="1:4" ht="13.15" x14ac:dyDescent="0.35">
      <c r="A47" s="451" t="s">
        <v>1315</v>
      </c>
      <c r="B47" s="452" t="s">
        <v>1682</v>
      </c>
      <c r="C47" s="453">
        <v>13</v>
      </c>
      <c r="D47" s="452">
        <v>2024</v>
      </c>
    </row>
    <row r="48" spans="1:4" ht="13.15" x14ac:dyDescent="0.35">
      <c r="A48" s="448" t="s">
        <v>1315</v>
      </c>
      <c r="B48" s="449" t="s">
        <v>1683</v>
      </c>
      <c r="C48" s="450">
        <v>13</v>
      </c>
      <c r="D48" s="449">
        <v>2024</v>
      </c>
    </row>
    <row r="49" spans="1:4" ht="13.15" x14ac:dyDescent="0.35">
      <c r="A49" s="451" t="s">
        <v>1315</v>
      </c>
      <c r="B49" s="452" t="s">
        <v>1684</v>
      </c>
      <c r="C49" s="453">
        <v>12</v>
      </c>
      <c r="D49" s="452">
        <v>2024</v>
      </c>
    </row>
    <row r="50" spans="1:4" ht="13.15" x14ac:dyDescent="0.35">
      <c r="A50" s="448" t="s">
        <v>1315</v>
      </c>
      <c r="B50" s="449" t="s">
        <v>1684</v>
      </c>
      <c r="C50" s="450">
        <v>11</v>
      </c>
      <c r="D50" s="449">
        <v>2025</v>
      </c>
    </row>
    <row r="51" spans="1:4" ht="13.15" x14ac:dyDescent="0.35">
      <c r="A51" s="451" t="s">
        <v>1315</v>
      </c>
      <c r="B51" s="452" t="s">
        <v>1684</v>
      </c>
      <c r="C51" s="453">
        <v>6</v>
      </c>
      <c r="D51" s="452">
        <v>2025</v>
      </c>
    </row>
    <row r="52" spans="1:4" ht="13.15" x14ac:dyDescent="0.35">
      <c r="A52" s="448" t="s">
        <v>1315</v>
      </c>
      <c r="B52" s="449" t="s">
        <v>1685</v>
      </c>
      <c r="C52" s="450">
        <v>13</v>
      </c>
      <c r="D52" s="449">
        <v>2024</v>
      </c>
    </row>
    <row r="53" spans="1:4" ht="13.15" x14ac:dyDescent="0.35">
      <c r="A53" s="451" t="s">
        <v>1315</v>
      </c>
      <c r="B53" s="452" t="s">
        <v>1685</v>
      </c>
      <c r="C53" s="453">
        <v>11</v>
      </c>
      <c r="D53" s="452">
        <v>2025</v>
      </c>
    </row>
    <row r="54" spans="1:4" ht="13.15" x14ac:dyDescent="0.35">
      <c r="A54" s="448" t="s">
        <v>1315</v>
      </c>
      <c r="B54" s="449" t="s">
        <v>1685</v>
      </c>
      <c r="C54" s="450">
        <v>5</v>
      </c>
      <c r="D54" s="449">
        <v>2025</v>
      </c>
    </row>
    <row r="55" spans="1:4" ht="13.15" x14ac:dyDescent="0.35">
      <c r="A55" s="451" t="s">
        <v>1315</v>
      </c>
      <c r="B55" s="452" t="s">
        <v>1686</v>
      </c>
      <c r="C55" s="453">
        <v>26</v>
      </c>
      <c r="D55" s="452">
        <v>2024</v>
      </c>
    </row>
    <row r="56" spans="1:4" ht="13.15" x14ac:dyDescent="0.35">
      <c r="A56" s="448" t="s">
        <v>1315</v>
      </c>
      <c r="B56" s="449" t="s">
        <v>1687</v>
      </c>
      <c r="C56" s="450">
        <v>13</v>
      </c>
      <c r="D56" s="449">
        <v>2024</v>
      </c>
    </row>
    <row r="57" spans="1:4" ht="13.15" x14ac:dyDescent="0.35">
      <c r="A57" s="451" t="s">
        <v>1645</v>
      </c>
      <c r="B57" s="452" t="s">
        <v>1677</v>
      </c>
      <c r="C57" s="453">
        <v>10</v>
      </c>
      <c r="D57" s="452">
        <v>2024</v>
      </c>
    </row>
    <row r="58" spans="1:4" ht="13.15" x14ac:dyDescent="0.35">
      <c r="A58" s="448" t="s">
        <v>1645</v>
      </c>
      <c r="B58" s="449" t="s">
        <v>1677</v>
      </c>
      <c r="C58" s="450">
        <v>11</v>
      </c>
      <c r="D58" s="449">
        <v>2025</v>
      </c>
    </row>
    <row r="59" spans="1:4" ht="13.15" x14ac:dyDescent="0.35">
      <c r="A59" s="451" t="s">
        <v>1645</v>
      </c>
      <c r="B59" s="452" t="s">
        <v>1677</v>
      </c>
      <c r="C59" s="453">
        <v>44</v>
      </c>
      <c r="D59" s="452">
        <v>2024</v>
      </c>
    </row>
    <row r="60" spans="1:4" ht="13.15" x14ac:dyDescent="0.35">
      <c r="A60" s="448" t="s">
        <v>1645</v>
      </c>
      <c r="B60" s="449" t="s">
        <v>1677</v>
      </c>
      <c r="C60" s="450">
        <v>19</v>
      </c>
      <c r="D60" s="449">
        <v>2025</v>
      </c>
    </row>
    <row r="61" spans="1:4" ht="13.15" x14ac:dyDescent="0.35">
      <c r="A61" s="451" t="s">
        <v>1645</v>
      </c>
      <c r="B61" s="452" t="s">
        <v>1678</v>
      </c>
      <c r="C61" s="453">
        <v>7</v>
      </c>
      <c r="D61" s="452">
        <v>2024</v>
      </c>
    </row>
    <row r="62" spans="1:4" ht="13.15" x14ac:dyDescent="0.35">
      <c r="A62" s="448" t="s">
        <v>1645</v>
      </c>
      <c r="B62" s="449" t="s">
        <v>1678</v>
      </c>
      <c r="C62" s="450">
        <v>23</v>
      </c>
      <c r="D62" s="449">
        <v>2024</v>
      </c>
    </row>
    <row r="63" spans="1:4" ht="13.15" x14ac:dyDescent="0.35">
      <c r="A63" s="451" t="s">
        <v>1645</v>
      </c>
      <c r="B63" s="452" t="s">
        <v>1679</v>
      </c>
      <c r="C63" s="453">
        <v>9</v>
      </c>
      <c r="D63" s="452">
        <v>2024</v>
      </c>
    </row>
    <row r="64" spans="1:4" ht="13.15" x14ac:dyDescent="0.35">
      <c r="A64" s="448" t="s">
        <v>1645</v>
      </c>
      <c r="B64" s="449" t="s">
        <v>1679</v>
      </c>
      <c r="C64" s="450">
        <v>19</v>
      </c>
      <c r="D64" s="449">
        <v>2024</v>
      </c>
    </row>
    <row r="65" spans="1:4" ht="13.15" x14ac:dyDescent="0.35">
      <c r="A65" s="451" t="s">
        <v>1645</v>
      </c>
      <c r="B65" s="452" t="s">
        <v>1680</v>
      </c>
      <c r="C65" s="453">
        <v>9</v>
      </c>
      <c r="D65" s="452">
        <v>2025</v>
      </c>
    </row>
    <row r="66" spans="1:4" ht="13.15" x14ac:dyDescent="0.35">
      <c r="A66" s="448" t="s">
        <v>1645</v>
      </c>
      <c r="B66" s="449" t="s">
        <v>1680</v>
      </c>
      <c r="C66" s="450">
        <v>18</v>
      </c>
      <c r="D66" s="449">
        <v>2025</v>
      </c>
    </row>
    <row r="67" spans="1:4" ht="13.15" x14ac:dyDescent="0.35">
      <c r="A67" s="451" t="s">
        <v>1645</v>
      </c>
      <c r="B67" s="452" t="s">
        <v>1681</v>
      </c>
      <c r="C67" s="453">
        <v>14</v>
      </c>
      <c r="D67" s="452">
        <v>2025</v>
      </c>
    </row>
    <row r="68" spans="1:4" ht="13.15" x14ac:dyDescent="0.35">
      <c r="A68" s="448" t="s">
        <v>1645</v>
      </c>
      <c r="B68" s="449" t="s">
        <v>1681</v>
      </c>
      <c r="C68" s="450">
        <v>27</v>
      </c>
      <c r="D68" s="449">
        <v>2025</v>
      </c>
    </row>
    <row r="69" spans="1:4" ht="13.15" x14ac:dyDescent="0.35">
      <c r="A69" s="451" t="s">
        <v>1645</v>
      </c>
      <c r="B69" s="452" t="s">
        <v>1682</v>
      </c>
      <c r="C69" s="453">
        <v>8</v>
      </c>
      <c r="D69" s="452">
        <v>2024</v>
      </c>
    </row>
    <row r="70" spans="1:4" ht="13.15" x14ac:dyDescent="0.35">
      <c r="A70" s="448" t="s">
        <v>1645</v>
      </c>
      <c r="B70" s="449" t="s">
        <v>1682</v>
      </c>
      <c r="C70" s="450">
        <v>22</v>
      </c>
      <c r="D70" s="449">
        <v>2024</v>
      </c>
    </row>
    <row r="71" spans="1:4" ht="13.15" x14ac:dyDescent="0.35">
      <c r="A71" s="451" t="s">
        <v>1645</v>
      </c>
      <c r="B71" s="452" t="s">
        <v>1683</v>
      </c>
      <c r="C71" s="453">
        <v>5</v>
      </c>
      <c r="D71" s="452">
        <v>2024</v>
      </c>
    </row>
    <row r="72" spans="1:4" ht="13.15" x14ac:dyDescent="0.35">
      <c r="A72" s="448" t="s">
        <v>1645</v>
      </c>
      <c r="B72" s="449" t="s">
        <v>1683</v>
      </c>
      <c r="C72" s="450">
        <v>21</v>
      </c>
      <c r="D72" s="449">
        <v>2024</v>
      </c>
    </row>
    <row r="73" spans="1:4" ht="13.15" x14ac:dyDescent="0.35">
      <c r="A73" s="451" t="s">
        <v>1645</v>
      </c>
      <c r="B73" s="452" t="s">
        <v>1683</v>
      </c>
      <c r="C73" s="453">
        <v>7</v>
      </c>
      <c r="D73" s="452">
        <v>2025</v>
      </c>
    </row>
    <row r="74" spans="1:4" ht="13.15" x14ac:dyDescent="0.35">
      <c r="A74" s="448" t="s">
        <v>1645</v>
      </c>
      <c r="B74" s="449" t="s">
        <v>1683</v>
      </c>
      <c r="C74" s="450">
        <v>18</v>
      </c>
      <c r="D74" s="449">
        <v>2025</v>
      </c>
    </row>
    <row r="75" spans="1:4" ht="13.15" x14ac:dyDescent="0.35">
      <c r="A75" s="451" t="s">
        <v>1645</v>
      </c>
      <c r="B75" s="452" t="s">
        <v>1684</v>
      </c>
      <c r="C75" s="453">
        <v>11</v>
      </c>
      <c r="D75" s="452">
        <v>2025</v>
      </c>
    </row>
    <row r="76" spans="1:4" ht="13.15" x14ac:dyDescent="0.35">
      <c r="A76" s="448" t="s">
        <v>1645</v>
      </c>
      <c r="B76" s="449" t="s">
        <v>1684</v>
      </c>
      <c r="C76" s="450">
        <v>19</v>
      </c>
      <c r="D76" s="449">
        <v>2025</v>
      </c>
    </row>
    <row r="77" spans="1:4" ht="13.15" x14ac:dyDescent="0.35">
      <c r="A77" s="451" t="s">
        <v>1645</v>
      </c>
      <c r="B77" s="452" t="s">
        <v>1685</v>
      </c>
      <c r="C77" s="453">
        <v>10</v>
      </c>
      <c r="D77" s="452">
        <v>2024</v>
      </c>
    </row>
    <row r="78" spans="1:4" ht="13.15" x14ac:dyDescent="0.35">
      <c r="A78" s="448" t="s">
        <v>1645</v>
      </c>
      <c r="B78" s="449" t="s">
        <v>1685</v>
      </c>
      <c r="C78" s="450">
        <v>43</v>
      </c>
      <c r="D78" s="449">
        <v>2024</v>
      </c>
    </row>
    <row r="79" spans="1:4" ht="13.15" x14ac:dyDescent="0.35">
      <c r="A79" s="451" t="s">
        <v>1645</v>
      </c>
      <c r="B79" s="452" t="s">
        <v>1685</v>
      </c>
      <c r="C79" s="453">
        <v>8</v>
      </c>
      <c r="D79" s="452">
        <v>2025</v>
      </c>
    </row>
    <row r="80" spans="1:4" ht="13.15" x14ac:dyDescent="0.35">
      <c r="A80" s="448" t="s">
        <v>1645</v>
      </c>
      <c r="B80" s="449" t="s">
        <v>1685</v>
      </c>
      <c r="C80" s="450">
        <v>16</v>
      </c>
      <c r="D80" s="449">
        <v>2025</v>
      </c>
    </row>
    <row r="81" spans="1:4" ht="13.15" x14ac:dyDescent="0.35">
      <c r="A81" s="451" t="s">
        <v>1645</v>
      </c>
      <c r="B81" s="452" t="s">
        <v>1686</v>
      </c>
      <c r="C81" s="453">
        <v>16</v>
      </c>
      <c r="D81" s="452">
        <v>2024</v>
      </c>
    </row>
    <row r="82" spans="1:4" ht="13.15" x14ac:dyDescent="0.35">
      <c r="A82" s="448" t="s">
        <v>1645</v>
      </c>
      <c r="B82" s="449" t="s">
        <v>1686</v>
      </c>
      <c r="C82" s="450">
        <v>40</v>
      </c>
      <c r="D82" s="449">
        <v>2024</v>
      </c>
    </row>
    <row r="83" spans="1:4" ht="13.15" x14ac:dyDescent="0.35">
      <c r="A83" s="451" t="s">
        <v>1645</v>
      </c>
      <c r="B83" s="452" t="s">
        <v>1687</v>
      </c>
      <c r="C83" s="453">
        <v>10</v>
      </c>
      <c r="D83" s="452">
        <v>2024</v>
      </c>
    </row>
    <row r="84" spans="1:4" ht="13.15" x14ac:dyDescent="0.35">
      <c r="A84" s="448" t="s">
        <v>1645</v>
      </c>
      <c r="B84" s="449" t="s">
        <v>1687</v>
      </c>
      <c r="C84" s="450">
        <v>24</v>
      </c>
      <c r="D84" s="449">
        <v>2024</v>
      </c>
    </row>
    <row r="85" spans="1:4" ht="13.15" x14ac:dyDescent="0.35">
      <c r="A85" s="451" t="s">
        <v>1646</v>
      </c>
      <c r="B85" s="452" t="s">
        <v>1677</v>
      </c>
      <c r="C85" s="453">
        <v>17</v>
      </c>
      <c r="D85" s="452">
        <v>2024</v>
      </c>
    </row>
    <row r="86" spans="1:4" ht="13.15" x14ac:dyDescent="0.35">
      <c r="A86" s="448" t="s">
        <v>1646</v>
      </c>
      <c r="B86" s="449" t="s">
        <v>1677</v>
      </c>
      <c r="C86" s="450">
        <v>3</v>
      </c>
      <c r="D86" s="449">
        <v>2024</v>
      </c>
    </row>
    <row r="87" spans="1:4" ht="13.15" x14ac:dyDescent="0.35">
      <c r="A87" s="451" t="s">
        <v>1646</v>
      </c>
      <c r="B87" s="452" t="s">
        <v>1677</v>
      </c>
      <c r="C87" s="453">
        <v>24</v>
      </c>
      <c r="D87" s="452">
        <v>2025</v>
      </c>
    </row>
    <row r="88" spans="1:4" ht="13.15" x14ac:dyDescent="0.35">
      <c r="A88" s="448" t="s">
        <v>1646</v>
      </c>
      <c r="B88" s="449" t="s">
        <v>1677</v>
      </c>
      <c r="C88" s="450">
        <v>3</v>
      </c>
      <c r="D88" s="449">
        <v>2025</v>
      </c>
    </row>
    <row r="89" spans="1:4" ht="13.15" x14ac:dyDescent="0.35">
      <c r="A89" s="451" t="s">
        <v>1646</v>
      </c>
      <c r="B89" s="452" t="s">
        <v>1678</v>
      </c>
      <c r="C89" s="453">
        <v>19</v>
      </c>
      <c r="D89" s="452">
        <v>2024</v>
      </c>
    </row>
    <row r="90" spans="1:4" ht="13.15" x14ac:dyDescent="0.35">
      <c r="A90" s="448" t="s">
        <v>1646</v>
      </c>
      <c r="B90" s="449" t="s">
        <v>1678</v>
      </c>
      <c r="C90" s="450">
        <v>3</v>
      </c>
      <c r="D90" s="449">
        <v>2024</v>
      </c>
    </row>
    <row r="91" spans="1:4" ht="13.15" x14ac:dyDescent="0.35">
      <c r="A91" s="451" t="s">
        <v>1646</v>
      </c>
      <c r="B91" s="452" t="s">
        <v>1679</v>
      </c>
      <c r="C91" s="453">
        <v>38</v>
      </c>
      <c r="D91" s="452">
        <v>2024</v>
      </c>
    </row>
    <row r="92" spans="1:4" ht="13.15" x14ac:dyDescent="0.35">
      <c r="A92" s="448" t="s">
        <v>1646</v>
      </c>
      <c r="B92" s="449" t="s">
        <v>1679</v>
      </c>
      <c r="C92" s="450">
        <v>6</v>
      </c>
      <c r="D92" s="449">
        <v>2024</v>
      </c>
    </row>
    <row r="93" spans="1:4" ht="13.15" x14ac:dyDescent="0.35">
      <c r="A93" s="451" t="s">
        <v>1646</v>
      </c>
      <c r="B93" s="452" t="s">
        <v>1680</v>
      </c>
      <c r="C93" s="453">
        <v>21</v>
      </c>
      <c r="D93" s="452">
        <v>2025</v>
      </c>
    </row>
    <row r="94" spans="1:4" ht="13.15" x14ac:dyDescent="0.35">
      <c r="A94" s="448" t="s">
        <v>1646</v>
      </c>
      <c r="B94" s="449" t="s">
        <v>1680</v>
      </c>
      <c r="C94" s="450">
        <v>3</v>
      </c>
      <c r="D94" s="449">
        <v>2025</v>
      </c>
    </row>
    <row r="95" spans="1:4" ht="13.15" x14ac:dyDescent="0.35">
      <c r="A95" s="451" t="s">
        <v>1646</v>
      </c>
      <c r="B95" s="452" t="s">
        <v>1681</v>
      </c>
      <c r="C95" s="453">
        <v>20</v>
      </c>
      <c r="D95" s="452">
        <v>2025</v>
      </c>
    </row>
    <row r="96" spans="1:4" ht="13.15" x14ac:dyDescent="0.35">
      <c r="A96" s="448" t="s">
        <v>1646</v>
      </c>
      <c r="B96" s="449" t="s">
        <v>1681</v>
      </c>
      <c r="C96" s="450">
        <v>3</v>
      </c>
      <c r="D96" s="449">
        <v>2025</v>
      </c>
    </row>
    <row r="97" spans="1:4" ht="13.15" x14ac:dyDescent="0.35">
      <c r="A97" s="451" t="s">
        <v>1646</v>
      </c>
      <c r="B97" s="452" t="s">
        <v>1682</v>
      </c>
      <c r="C97" s="453">
        <v>21</v>
      </c>
      <c r="D97" s="452">
        <v>2024</v>
      </c>
    </row>
    <row r="98" spans="1:4" ht="13.15" x14ac:dyDescent="0.35">
      <c r="A98" s="448" t="s">
        <v>1646</v>
      </c>
      <c r="B98" s="449" t="s">
        <v>1682</v>
      </c>
      <c r="C98" s="450">
        <v>4</v>
      </c>
      <c r="D98" s="449">
        <v>2024</v>
      </c>
    </row>
    <row r="99" spans="1:4" ht="13.15" x14ac:dyDescent="0.35">
      <c r="A99" s="451" t="s">
        <v>1646</v>
      </c>
      <c r="B99" s="452" t="s">
        <v>1683</v>
      </c>
      <c r="C99" s="453">
        <v>21</v>
      </c>
      <c r="D99" s="452">
        <v>2025</v>
      </c>
    </row>
    <row r="100" spans="1:4" ht="13.15" x14ac:dyDescent="0.35">
      <c r="A100" s="448" t="s">
        <v>1646</v>
      </c>
      <c r="B100" s="449" t="s">
        <v>1683</v>
      </c>
      <c r="C100" s="450">
        <v>3</v>
      </c>
      <c r="D100" s="449">
        <v>2025</v>
      </c>
    </row>
    <row r="101" spans="1:4" ht="13.15" x14ac:dyDescent="0.35">
      <c r="A101" s="451" t="s">
        <v>1646</v>
      </c>
      <c r="B101" s="452" t="s">
        <v>1683</v>
      </c>
      <c r="C101" s="453">
        <v>20</v>
      </c>
      <c r="D101" s="452">
        <v>2024</v>
      </c>
    </row>
    <row r="102" spans="1:4" ht="13.15" x14ac:dyDescent="0.35">
      <c r="A102" s="448" t="s">
        <v>1646</v>
      </c>
      <c r="B102" s="449" t="s">
        <v>1683</v>
      </c>
      <c r="C102" s="450">
        <v>4</v>
      </c>
      <c r="D102" s="449">
        <v>2024</v>
      </c>
    </row>
    <row r="103" spans="1:4" ht="13.15" x14ac:dyDescent="0.35">
      <c r="A103" s="451" t="s">
        <v>1646</v>
      </c>
      <c r="B103" s="452" t="s">
        <v>1684</v>
      </c>
      <c r="C103" s="453">
        <v>18</v>
      </c>
      <c r="D103" s="452">
        <v>2024</v>
      </c>
    </row>
    <row r="104" spans="1:4" ht="13.15" x14ac:dyDescent="0.35">
      <c r="A104" s="448" t="s">
        <v>1646</v>
      </c>
      <c r="B104" s="449" t="s">
        <v>1684</v>
      </c>
      <c r="C104" s="450">
        <v>3</v>
      </c>
      <c r="D104" s="449">
        <v>2024</v>
      </c>
    </row>
    <row r="105" spans="1:4" ht="13.15" x14ac:dyDescent="0.35">
      <c r="A105" s="451" t="s">
        <v>1646</v>
      </c>
      <c r="B105" s="452" t="s">
        <v>1684</v>
      </c>
      <c r="C105" s="453">
        <v>12</v>
      </c>
      <c r="D105" s="452">
        <v>2024</v>
      </c>
    </row>
    <row r="106" spans="1:4" ht="13.15" x14ac:dyDescent="0.35">
      <c r="A106" s="448" t="s">
        <v>1646</v>
      </c>
      <c r="B106" s="449" t="s">
        <v>1684</v>
      </c>
      <c r="C106" s="450">
        <v>4</v>
      </c>
      <c r="D106" s="449">
        <v>2024</v>
      </c>
    </row>
    <row r="107" spans="1:4" ht="13.15" x14ac:dyDescent="0.35">
      <c r="A107" s="451" t="s">
        <v>1646</v>
      </c>
      <c r="B107" s="452" t="s">
        <v>1684</v>
      </c>
      <c r="C107" s="453">
        <v>23</v>
      </c>
      <c r="D107" s="452">
        <v>2025</v>
      </c>
    </row>
    <row r="108" spans="1:4" ht="13.15" x14ac:dyDescent="0.35">
      <c r="A108" s="448" t="s">
        <v>1646</v>
      </c>
      <c r="B108" s="449" t="s">
        <v>1684</v>
      </c>
      <c r="C108" s="450">
        <v>3</v>
      </c>
      <c r="D108" s="449">
        <v>2025</v>
      </c>
    </row>
    <row r="109" spans="1:4" ht="13.15" x14ac:dyDescent="0.35">
      <c r="A109" s="451" t="s">
        <v>1646</v>
      </c>
      <c r="B109" s="452" t="s">
        <v>1685</v>
      </c>
      <c r="C109" s="453">
        <v>23</v>
      </c>
      <c r="D109" s="452">
        <v>2025</v>
      </c>
    </row>
    <row r="110" spans="1:4" ht="13.15" x14ac:dyDescent="0.35">
      <c r="A110" s="448" t="s">
        <v>1646</v>
      </c>
      <c r="B110" s="449" t="s">
        <v>1685</v>
      </c>
      <c r="C110" s="450">
        <v>3</v>
      </c>
      <c r="D110" s="449">
        <v>2025</v>
      </c>
    </row>
    <row r="111" spans="1:4" ht="13.15" x14ac:dyDescent="0.35">
      <c r="A111" s="451" t="s">
        <v>1646</v>
      </c>
      <c r="B111" s="452" t="s">
        <v>1685</v>
      </c>
      <c r="C111" s="453">
        <v>16</v>
      </c>
      <c r="D111" s="452">
        <v>2024</v>
      </c>
    </row>
    <row r="112" spans="1:4" ht="13.15" x14ac:dyDescent="0.35">
      <c r="A112" s="448" t="s">
        <v>1646</v>
      </c>
      <c r="B112" s="449" t="s">
        <v>1685</v>
      </c>
      <c r="C112" s="450">
        <v>4</v>
      </c>
      <c r="D112" s="449">
        <v>2024</v>
      </c>
    </row>
    <row r="113" spans="1:4" ht="13.15" x14ac:dyDescent="0.35">
      <c r="A113" s="451" t="s">
        <v>1646</v>
      </c>
      <c r="B113" s="452" t="s">
        <v>1686</v>
      </c>
      <c r="C113" s="453">
        <v>40</v>
      </c>
      <c r="D113" s="452">
        <v>2024</v>
      </c>
    </row>
    <row r="114" spans="1:4" ht="13.15" x14ac:dyDescent="0.35">
      <c r="A114" s="448" t="s">
        <v>1646</v>
      </c>
      <c r="B114" s="449" t="s">
        <v>1686</v>
      </c>
      <c r="C114" s="450">
        <v>6</v>
      </c>
      <c r="D114" s="449">
        <v>2024</v>
      </c>
    </row>
    <row r="115" spans="1:4" ht="13.15" x14ac:dyDescent="0.35">
      <c r="A115" s="451" t="s">
        <v>1646</v>
      </c>
      <c r="B115" s="452" t="s">
        <v>1687</v>
      </c>
      <c r="C115" s="453">
        <v>21</v>
      </c>
      <c r="D115" s="452">
        <v>2024</v>
      </c>
    </row>
    <row r="116" spans="1:4" ht="13.15" x14ac:dyDescent="0.35">
      <c r="A116" s="448" t="s">
        <v>1646</v>
      </c>
      <c r="B116" s="449" t="s">
        <v>1687</v>
      </c>
      <c r="C116" s="450">
        <v>4</v>
      </c>
      <c r="D116" s="449">
        <v>2024</v>
      </c>
    </row>
    <row r="117" spans="1:4" ht="13.15" x14ac:dyDescent="0.35">
      <c r="A117" s="451" t="s">
        <v>1647</v>
      </c>
      <c r="B117" s="452" t="s">
        <v>1677</v>
      </c>
      <c r="C117" s="453">
        <v>13</v>
      </c>
      <c r="D117" s="452">
        <v>2024</v>
      </c>
    </row>
    <row r="118" spans="1:4" ht="13.15" x14ac:dyDescent="0.35">
      <c r="A118" s="448" t="s">
        <v>1647</v>
      </c>
      <c r="B118" s="449" t="s">
        <v>1677</v>
      </c>
      <c r="C118" s="450">
        <v>9</v>
      </c>
      <c r="D118" s="449">
        <v>2024</v>
      </c>
    </row>
    <row r="119" spans="1:4" ht="13.15" x14ac:dyDescent="0.35">
      <c r="A119" s="451" t="s">
        <v>1647</v>
      </c>
      <c r="B119" s="452" t="s">
        <v>1677</v>
      </c>
      <c r="C119" s="453">
        <v>10</v>
      </c>
      <c r="D119" s="452">
        <v>2025</v>
      </c>
    </row>
    <row r="120" spans="1:4" ht="13.15" x14ac:dyDescent="0.35">
      <c r="A120" s="448" t="s">
        <v>1647</v>
      </c>
      <c r="B120" s="449" t="s">
        <v>1678</v>
      </c>
      <c r="C120" s="450">
        <v>10</v>
      </c>
      <c r="D120" s="449">
        <v>2024</v>
      </c>
    </row>
    <row r="121" spans="1:4" ht="13.15" x14ac:dyDescent="0.35">
      <c r="A121" s="451" t="s">
        <v>1647</v>
      </c>
      <c r="B121" s="452" t="s">
        <v>1679</v>
      </c>
      <c r="C121" s="453">
        <v>9</v>
      </c>
      <c r="D121" s="452">
        <v>2024</v>
      </c>
    </row>
    <row r="122" spans="1:4" ht="13.15" x14ac:dyDescent="0.35">
      <c r="A122" s="448" t="s">
        <v>1647</v>
      </c>
      <c r="B122" s="449" t="s">
        <v>1680</v>
      </c>
      <c r="C122" s="450">
        <v>8</v>
      </c>
      <c r="D122" s="449">
        <v>2025</v>
      </c>
    </row>
    <row r="123" spans="1:4" ht="13.15" x14ac:dyDescent="0.35">
      <c r="A123" s="451" t="s">
        <v>1647</v>
      </c>
      <c r="B123" s="452" t="s">
        <v>1681</v>
      </c>
      <c r="C123" s="453">
        <v>13</v>
      </c>
      <c r="D123" s="452">
        <v>2025</v>
      </c>
    </row>
    <row r="124" spans="1:4" ht="13.15" x14ac:dyDescent="0.35">
      <c r="A124" s="448" t="s">
        <v>1647</v>
      </c>
      <c r="B124" s="449" t="s">
        <v>1682</v>
      </c>
      <c r="C124" s="450">
        <v>3</v>
      </c>
      <c r="D124" s="449">
        <v>2024</v>
      </c>
    </row>
    <row r="125" spans="1:4" ht="13.15" x14ac:dyDescent="0.35">
      <c r="A125" s="451" t="s">
        <v>1647</v>
      </c>
      <c r="B125" s="452" t="s">
        <v>1683</v>
      </c>
      <c r="C125" s="453">
        <v>20</v>
      </c>
      <c r="D125" s="452">
        <v>2024</v>
      </c>
    </row>
    <row r="126" spans="1:4" ht="13.15" x14ac:dyDescent="0.35">
      <c r="A126" s="448" t="s">
        <v>1647</v>
      </c>
      <c r="B126" s="449" t="s">
        <v>1683</v>
      </c>
      <c r="C126" s="450">
        <v>11</v>
      </c>
      <c r="D126" s="449">
        <v>2025</v>
      </c>
    </row>
    <row r="127" spans="1:4" ht="13.15" x14ac:dyDescent="0.35">
      <c r="A127" s="451" t="s">
        <v>1647</v>
      </c>
      <c r="B127" s="452" t="s">
        <v>1683</v>
      </c>
      <c r="C127" s="453">
        <v>2</v>
      </c>
      <c r="D127" s="452">
        <v>2025</v>
      </c>
    </row>
    <row r="128" spans="1:4" ht="13.15" x14ac:dyDescent="0.35">
      <c r="A128" s="448" t="s">
        <v>1647</v>
      </c>
      <c r="B128" s="449" t="s">
        <v>1684</v>
      </c>
      <c r="C128" s="450">
        <v>10</v>
      </c>
      <c r="D128" s="449">
        <v>2025</v>
      </c>
    </row>
    <row r="129" spans="1:4" ht="13.15" x14ac:dyDescent="0.35">
      <c r="A129" s="451" t="s">
        <v>1647</v>
      </c>
      <c r="B129" s="452" t="s">
        <v>1685</v>
      </c>
      <c r="C129" s="453">
        <v>5</v>
      </c>
      <c r="D129" s="452">
        <v>2024</v>
      </c>
    </row>
    <row r="130" spans="1:4" ht="13.15" x14ac:dyDescent="0.35">
      <c r="A130" s="448" t="s">
        <v>1647</v>
      </c>
      <c r="B130" s="449" t="s">
        <v>1685</v>
      </c>
      <c r="C130" s="450">
        <v>5</v>
      </c>
      <c r="D130" s="449">
        <v>2025</v>
      </c>
    </row>
    <row r="131" spans="1:4" ht="13.15" x14ac:dyDescent="0.35">
      <c r="A131" s="451" t="s">
        <v>1647</v>
      </c>
      <c r="B131" s="452" t="s">
        <v>1685</v>
      </c>
      <c r="C131" s="453">
        <v>1</v>
      </c>
      <c r="D131" s="452">
        <v>2025</v>
      </c>
    </row>
    <row r="132" spans="1:4" ht="13.15" x14ac:dyDescent="0.35">
      <c r="A132" s="448" t="s">
        <v>1647</v>
      </c>
      <c r="B132" s="449" t="s">
        <v>1688</v>
      </c>
      <c r="C132" s="450">
        <v>3</v>
      </c>
      <c r="D132" s="449">
        <v>2024</v>
      </c>
    </row>
    <row r="133" spans="1:4" ht="13.15" x14ac:dyDescent="0.35">
      <c r="A133" s="451" t="s">
        <v>1647</v>
      </c>
      <c r="B133" s="452" t="s">
        <v>1686</v>
      </c>
      <c r="C133" s="453">
        <v>14</v>
      </c>
      <c r="D133" s="452">
        <v>2024</v>
      </c>
    </row>
    <row r="134" spans="1:4" ht="13.15" x14ac:dyDescent="0.35">
      <c r="A134" s="448" t="s">
        <v>1647</v>
      </c>
      <c r="B134" s="449" t="s">
        <v>1687</v>
      </c>
      <c r="C134" s="450">
        <v>6</v>
      </c>
      <c r="D134" s="449">
        <v>2024</v>
      </c>
    </row>
    <row r="135" spans="1:4" ht="13.15" x14ac:dyDescent="0.35">
      <c r="A135" s="451" t="s">
        <v>1648</v>
      </c>
      <c r="B135" s="452" t="s">
        <v>1677</v>
      </c>
      <c r="C135" s="453">
        <v>1</v>
      </c>
      <c r="D135" s="452">
        <v>2024</v>
      </c>
    </row>
    <row r="136" spans="1:4" ht="13.15" x14ac:dyDescent="0.35">
      <c r="A136" s="448" t="s">
        <v>1648</v>
      </c>
      <c r="B136" s="449" t="s">
        <v>1677</v>
      </c>
      <c r="C136" s="450">
        <v>2</v>
      </c>
      <c r="D136" s="449">
        <v>2025</v>
      </c>
    </row>
    <row r="137" spans="1:4" ht="13.15" x14ac:dyDescent="0.35">
      <c r="A137" s="451" t="s">
        <v>1648</v>
      </c>
      <c r="B137" s="452" t="s">
        <v>1678</v>
      </c>
      <c r="C137" s="453">
        <v>2</v>
      </c>
      <c r="D137" s="452">
        <v>2024</v>
      </c>
    </row>
    <row r="138" spans="1:4" ht="13.15" x14ac:dyDescent="0.35">
      <c r="A138" s="448" t="s">
        <v>1648</v>
      </c>
      <c r="B138" s="449" t="s">
        <v>1680</v>
      </c>
      <c r="C138" s="450">
        <v>1</v>
      </c>
      <c r="D138" s="449">
        <v>2025</v>
      </c>
    </row>
    <row r="139" spans="1:4" ht="13.15" x14ac:dyDescent="0.35">
      <c r="A139" s="451" t="s">
        <v>1648</v>
      </c>
      <c r="B139" s="452" t="s">
        <v>1680</v>
      </c>
      <c r="C139" s="453">
        <v>1</v>
      </c>
      <c r="D139" s="452">
        <v>2025</v>
      </c>
    </row>
    <row r="140" spans="1:4" ht="13.15" x14ac:dyDescent="0.35">
      <c r="A140" s="448" t="s">
        <v>1648</v>
      </c>
      <c r="B140" s="449" t="s">
        <v>1681</v>
      </c>
      <c r="C140" s="450">
        <v>2</v>
      </c>
      <c r="D140" s="449">
        <v>2025</v>
      </c>
    </row>
    <row r="141" spans="1:4" ht="13.15" x14ac:dyDescent="0.35">
      <c r="A141" s="451" t="s">
        <v>1648</v>
      </c>
      <c r="B141" s="452" t="s">
        <v>1682</v>
      </c>
      <c r="C141" s="453">
        <v>1</v>
      </c>
      <c r="D141" s="452">
        <v>2024</v>
      </c>
    </row>
    <row r="142" spans="1:4" ht="13.15" x14ac:dyDescent="0.35">
      <c r="A142" s="448" t="s">
        <v>1648</v>
      </c>
      <c r="B142" s="449" t="s">
        <v>1683</v>
      </c>
      <c r="C142" s="450">
        <v>1</v>
      </c>
      <c r="D142" s="449">
        <v>2025</v>
      </c>
    </row>
    <row r="143" spans="1:4" ht="13.15" x14ac:dyDescent="0.35">
      <c r="A143" s="451" t="s">
        <v>1648</v>
      </c>
      <c r="B143" s="452" t="s">
        <v>1683</v>
      </c>
      <c r="C143" s="453">
        <v>1</v>
      </c>
      <c r="D143" s="452">
        <v>2024</v>
      </c>
    </row>
    <row r="144" spans="1:4" ht="13.15" x14ac:dyDescent="0.35">
      <c r="A144" s="448" t="s">
        <v>1648</v>
      </c>
      <c r="B144" s="449" t="s">
        <v>1683</v>
      </c>
      <c r="C144" s="450">
        <v>1</v>
      </c>
      <c r="D144" s="449">
        <v>2025</v>
      </c>
    </row>
    <row r="145" spans="1:4" ht="13.15" x14ac:dyDescent="0.35">
      <c r="A145" s="451" t="s">
        <v>1648</v>
      </c>
      <c r="B145" s="452" t="s">
        <v>1684</v>
      </c>
      <c r="C145" s="453">
        <v>1</v>
      </c>
      <c r="D145" s="452">
        <v>2024</v>
      </c>
    </row>
    <row r="146" spans="1:4" ht="13.15" x14ac:dyDescent="0.35">
      <c r="A146" s="448" t="s">
        <v>1648</v>
      </c>
      <c r="B146" s="449" t="s">
        <v>1684</v>
      </c>
      <c r="C146" s="450">
        <v>1</v>
      </c>
      <c r="D146" s="449">
        <v>2025</v>
      </c>
    </row>
    <row r="147" spans="1:4" ht="13.15" x14ac:dyDescent="0.35">
      <c r="A147" s="451" t="s">
        <v>1648</v>
      </c>
      <c r="B147" s="452" t="s">
        <v>1684</v>
      </c>
      <c r="C147" s="453">
        <v>2</v>
      </c>
      <c r="D147" s="452">
        <v>2025</v>
      </c>
    </row>
    <row r="148" spans="1:4" ht="13.15" x14ac:dyDescent="0.35">
      <c r="A148" s="448" t="s">
        <v>1648</v>
      </c>
      <c r="B148" s="449" t="s">
        <v>1685</v>
      </c>
      <c r="C148" s="450">
        <v>1</v>
      </c>
      <c r="D148" s="449">
        <v>2024</v>
      </c>
    </row>
    <row r="149" spans="1:4" ht="13.15" x14ac:dyDescent="0.35">
      <c r="A149" s="451" t="s">
        <v>1648</v>
      </c>
      <c r="B149" s="452" t="s">
        <v>1685</v>
      </c>
      <c r="C149" s="453">
        <v>1</v>
      </c>
      <c r="D149" s="452">
        <v>2025</v>
      </c>
    </row>
    <row r="150" spans="1:4" ht="13.15" x14ac:dyDescent="0.35">
      <c r="A150" s="448" t="s">
        <v>1648</v>
      </c>
      <c r="B150" s="449" t="s">
        <v>1686</v>
      </c>
      <c r="C150" s="450">
        <v>2</v>
      </c>
      <c r="D150" s="449">
        <v>2024</v>
      </c>
    </row>
    <row r="151" spans="1:4" ht="13.15" x14ac:dyDescent="0.35">
      <c r="A151" s="451" t="s">
        <v>1648</v>
      </c>
      <c r="B151" s="452" t="s">
        <v>1687</v>
      </c>
      <c r="C151" s="453">
        <v>1</v>
      </c>
      <c r="D151" s="452">
        <v>2024</v>
      </c>
    </row>
    <row r="152" spans="1:4" ht="13.15" x14ac:dyDescent="0.35">
      <c r="A152" s="448" t="s">
        <v>1649</v>
      </c>
      <c r="B152" s="449" t="s">
        <v>1684</v>
      </c>
      <c r="C152" s="450">
        <v>8</v>
      </c>
      <c r="D152" s="449">
        <v>2024</v>
      </c>
    </row>
    <row r="153" spans="1:4" ht="13.15" x14ac:dyDescent="0.35">
      <c r="A153" s="451" t="s">
        <v>1650</v>
      </c>
      <c r="B153" s="452" t="s">
        <v>1677</v>
      </c>
      <c r="C153" s="453">
        <v>18</v>
      </c>
      <c r="D153" s="452">
        <v>2024</v>
      </c>
    </row>
    <row r="154" spans="1:4" ht="13.15" x14ac:dyDescent="0.35">
      <c r="A154" s="448" t="s">
        <v>1650</v>
      </c>
      <c r="B154" s="449" t="s">
        <v>1677</v>
      </c>
      <c r="C154" s="450">
        <v>72</v>
      </c>
      <c r="D154" s="449">
        <v>2025</v>
      </c>
    </row>
    <row r="155" spans="1:4" ht="13.15" x14ac:dyDescent="0.35">
      <c r="A155" s="451" t="s">
        <v>1650</v>
      </c>
      <c r="B155" s="452" t="s">
        <v>1677</v>
      </c>
      <c r="C155" s="453">
        <v>9</v>
      </c>
      <c r="D155" s="452">
        <v>2024</v>
      </c>
    </row>
    <row r="156" spans="1:4" ht="13.15" x14ac:dyDescent="0.35">
      <c r="A156" s="448" t="s">
        <v>1650</v>
      </c>
      <c r="B156" s="449" t="s">
        <v>1677</v>
      </c>
      <c r="C156" s="450">
        <v>3</v>
      </c>
      <c r="D156" s="449">
        <v>2025</v>
      </c>
    </row>
    <row r="157" spans="1:4" ht="13.15" x14ac:dyDescent="0.35">
      <c r="A157" s="451" t="s">
        <v>1650</v>
      </c>
      <c r="B157" s="452" t="s">
        <v>1678</v>
      </c>
      <c r="C157" s="453">
        <v>21</v>
      </c>
      <c r="D157" s="452">
        <v>2024</v>
      </c>
    </row>
    <row r="158" spans="1:4" ht="13.15" x14ac:dyDescent="0.35">
      <c r="A158" s="448" t="s">
        <v>1650</v>
      </c>
      <c r="B158" s="449" t="s">
        <v>1680</v>
      </c>
      <c r="C158" s="450">
        <v>18</v>
      </c>
      <c r="D158" s="449">
        <v>2025</v>
      </c>
    </row>
    <row r="159" spans="1:4" ht="13.15" x14ac:dyDescent="0.35">
      <c r="A159" s="451" t="s">
        <v>1650</v>
      </c>
      <c r="B159" s="452" t="s">
        <v>1680</v>
      </c>
      <c r="C159" s="453">
        <v>1</v>
      </c>
      <c r="D159" s="452">
        <v>2025</v>
      </c>
    </row>
    <row r="160" spans="1:4" ht="13.15" x14ac:dyDescent="0.35">
      <c r="A160" s="448" t="s">
        <v>1650</v>
      </c>
      <c r="B160" s="449" t="s">
        <v>1681</v>
      </c>
      <c r="C160" s="450">
        <v>33</v>
      </c>
      <c r="D160" s="449">
        <v>2025</v>
      </c>
    </row>
    <row r="161" spans="1:4" ht="13.15" x14ac:dyDescent="0.35">
      <c r="A161" s="451" t="s">
        <v>1650</v>
      </c>
      <c r="B161" s="452" t="s">
        <v>1681</v>
      </c>
      <c r="C161" s="453">
        <v>3</v>
      </c>
      <c r="D161" s="452">
        <v>2025</v>
      </c>
    </row>
    <row r="162" spans="1:4" ht="13.15" x14ac:dyDescent="0.35">
      <c r="A162" s="448" t="s">
        <v>1650</v>
      </c>
      <c r="B162" s="449" t="s">
        <v>1682</v>
      </c>
      <c r="C162" s="450">
        <v>21</v>
      </c>
      <c r="D162" s="449">
        <v>2024</v>
      </c>
    </row>
    <row r="163" spans="1:4" ht="13.15" x14ac:dyDescent="0.35">
      <c r="A163" s="451" t="s">
        <v>1650</v>
      </c>
      <c r="B163" s="452" t="s">
        <v>1682</v>
      </c>
      <c r="C163" s="453">
        <v>1</v>
      </c>
      <c r="D163" s="452">
        <v>2024</v>
      </c>
    </row>
    <row r="164" spans="1:4" ht="13.15" x14ac:dyDescent="0.35">
      <c r="A164" s="448" t="s">
        <v>1650</v>
      </c>
      <c r="B164" s="449" t="s">
        <v>1683</v>
      </c>
      <c r="C164" s="450">
        <v>26</v>
      </c>
      <c r="D164" s="449">
        <v>2024</v>
      </c>
    </row>
    <row r="165" spans="1:4" ht="13.15" x14ac:dyDescent="0.35">
      <c r="A165" s="451" t="s">
        <v>1650</v>
      </c>
      <c r="B165" s="452" t="s">
        <v>1683</v>
      </c>
      <c r="C165" s="453">
        <v>19</v>
      </c>
      <c r="D165" s="452">
        <v>2025</v>
      </c>
    </row>
    <row r="166" spans="1:4" ht="13.15" x14ac:dyDescent="0.35">
      <c r="A166" s="448" t="s">
        <v>1650</v>
      </c>
      <c r="B166" s="449" t="s">
        <v>1684</v>
      </c>
      <c r="C166" s="450">
        <v>1</v>
      </c>
      <c r="D166" s="449">
        <v>2024</v>
      </c>
    </row>
    <row r="167" spans="1:4" ht="13.15" x14ac:dyDescent="0.35">
      <c r="A167" s="451" t="s">
        <v>1650</v>
      </c>
      <c r="B167" s="452" t="s">
        <v>1685</v>
      </c>
      <c r="C167" s="453">
        <v>12</v>
      </c>
      <c r="D167" s="452">
        <v>2024</v>
      </c>
    </row>
    <row r="168" spans="1:4" ht="13.15" x14ac:dyDescent="0.35">
      <c r="A168" s="448" t="s">
        <v>1650</v>
      </c>
      <c r="B168" s="449" t="s">
        <v>1685</v>
      </c>
      <c r="C168" s="450">
        <v>23</v>
      </c>
      <c r="D168" s="449">
        <v>2025</v>
      </c>
    </row>
    <row r="169" spans="1:4" ht="13.15" x14ac:dyDescent="0.35">
      <c r="A169" s="451" t="s">
        <v>1650</v>
      </c>
      <c r="B169" s="452" t="s">
        <v>1685</v>
      </c>
      <c r="C169" s="453">
        <v>1</v>
      </c>
      <c r="D169" s="452">
        <v>2024</v>
      </c>
    </row>
    <row r="170" spans="1:4" ht="13.15" x14ac:dyDescent="0.35">
      <c r="A170" s="448" t="s">
        <v>1650</v>
      </c>
      <c r="B170" s="449" t="s">
        <v>1686</v>
      </c>
      <c r="C170" s="450">
        <v>15</v>
      </c>
      <c r="D170" s="449">
        <v>2024</v>
      </c>
    </row>
    <row r="171" spans="1:4" ht="13.15" x14ac:dyDescent="0.35">
      <c r="A171" s="451" t="s">
        <v>1650</v>
      </c>
      <c r="B171" s="452" t="s">
        <v>1686</v>
      </c>
      <c r="C171" s="453">
        <v>1</v>
      </c>
      <c r="D171" s="452">
        <v>2024</v>
      </c>
    </row>
    <row r="172" spans="1:4" ht="13.15" x14ac:dyDescent="0.35">
      <c r="A172" s="448" t="s">
        <v>1650</v>
      </c>
      <c r="B172" s="449" t="s">
        <v>1687</v>
      </c>
      <c r="C172" s="450">
        <v>21</v>
      </c>
      <c r="D172" s="449">
        <v>2024</v>
      </c>
    </row>
    <row r="173" spans="1:4" ht="13.15" x14ac:dyDescent="0.35">
      <c r="A173" s="451" t="s">
        <v>1650</v>
      </c>
      <c r="B173" s="452" t="s">
        <v>1687</v>
      </c>
      <c r="C173" s="453">
        <v>1</v>
      </c>
      <c r="D173" s="452">
        <v>2024</v>
      </c>
    </row>
    <row r="174" spans="1:4" ht="13.15" x14ac:dyDescent="0.35">
      <c r="A174" s="448" t="s">
        <v>1651</v>
      </c>
      <c r="B174" s="449" t="s">
        <v>1677</v>
      </c>
      <c r="C174" s="450">
        <v>33</v>
      </c>
      <c r="D174" s="449">
        <v>2024</v>
      </c>
    </row>
    <row r="175" spans="1:4" ht="13.15" x14ac:dyDescent="0.35">
      <c r="A175" s="451" t="s">
        <v>1651</v>
      </c>
      <c r="B175" s="452" t="s">
        <v>1677</v>
      </c>
      <c r="C175" s="453">
        <v>1</v>
      </c>
      <c r="D175" s="452">
        <v>2024</v>
      </c>
    </row>
    <row r="176" spans="1:4" ht="13.15" x14ac:dyDescent="0.35">
      <c r="A176" s="448" t="s">
        <v>1651</v>
      </c>
      <c r="B176" s="449" t="s">
        <v>1677</v>
      </c>
      <c r="C176" s="450">
        <v>25</v>
      </c>
      <c r="D176" s="449">
        <v>2025</v>
      </c>
    </row>
    <row r="177" spans="1:4" ht="13.15" x14ac:dyDescent="0.35">
      <c r="A177" s="451" t="s">
        <v>1651</v>
      </c>
      <c r="B177" s="452" t="s">
        <v>1678</v>
      </c>
      <c r="C177" s="453">
        <v>32</v>
      </c>
      <c r="D177" s="452">
        <v>2024</v>
      </c>
    </row>
    <row r="178" spans="1:4" ht="13.15" x14ac:dyDescent="0.35">
      <c r="A178" s="448" t="s">
        <v>1651</v>
      </c>
      <c r="B178" s="449" t="s">
        <v>1678</v>
      </c>
      <c r="C178" s="450">
        <v>1</v>
      </c>
      <c r="D178" s="449">
        <v>2024</v>
      </c>
    </row>
    <row r="179" spans="1:4" ht="13.15" x14ac:dyDescent="0.35">
      <c r="A179" s="451" t="s">
        <v>1651</v>
      </c>
      <c r="B179" s="452" t="s">
        <v>1679</v>
      </c>
      <c r="C179" s="453">
        <v>17</v>
      </c>
      <c r="D179" s="452">
        <v>2024</v>
      </c>
    </row>
    <row r="180" spans="1:4" ht="13.15" x14ac:dyDescent="0.35">
      <c r="A180" s="448" t="s">
        <v>1651</v>
      </c>
      <c r="B180" s="449" t="s">
        <v>1679</v>
      </c>
      <c r="C180" s="450">
        <v>2</v>
      </c>
      <c r="D180" s="449">
        <v>2024</v>
      </c>
    </row>
    <row r="181" spans="1:4" ht="13.15" x14ac:dyDescent="0.35">
      <c r="A181" s="451" t="s">
        <v>1651</v>
      </c>
      <c r="B181" s="452" t="s">
        <v>1680</v>
      </c>
      <c r="C181" s="453">
        <v>32</v>
      </c>
      <c r="D181" s="452">
        <v>2025</v>
      </c>
    </row>
    <row r="182" spans="1:4" ht="13.15" x14ac:dyDescent="0.35">
      <c r="A182" s="448" t="s">
        <v>1651</v>
      </c>
      <c r="B182" s="449" t="s">
        <v>1680</v>
      </c>
      <c r="C182" s="450">
        <v>1</v>
      </c>
      <c r="D182" s="449">
        <v>2025</v>
      </c>
    </row>
    <row r="183" spans="1:4" ht="13.15" x14ac:dyDescent="0.35">
      <c r="A183" s="451" t="s">
        <v>1651</v>
      </c>
      <c r="B183" s="452" t="s">
        <v>1681</v>
      </c>
      <c r="C183" s="453">
        <v>57</v>
      </c>
      <c r="D183" s="452">
        <v>2025</v>
      </c>
    </row>
    <row r="184" spans="1:4" ht="13.15" x14ac:dyDescent="0.35">
      <c r="A184" s="448" t="s">
        <v>1651</v>
      </c>
      <c r="B184" s="449" t="s">
        <v>1681</v>
      </c>
      <c r="C184" s="450">
        <v>2</v>
      </c>
      <c r="D184" s="449">
        <v>2025</v>
      </c>
    </row>
    <row r="185" spans="1:4" ht="13.15" x14ac:dyDescent="0.35">
      <c r="A185" s="451" t="s">
        <v>1651</v>
      </c>
      <c r="B185" s="452" t="s">
        <v>1682</v>
      </c>
      <c r="C185" s="453">
        <v>31</v>
      </c>
      <c r="D185" s="452">
        <v>2024</v>
      </c>
    </row>
    <row r="186" spans="1:4" ht="13.15" x14ac:dyDescent="0.35">
      <c r="A186" s="448" t="s">
        <v>1651</v>
      </c>
      <c r="B186" s="449" t="s">
        <v>1683</v>
      </c>
      <c r="C186" s="450">
        <v>30</v>
      </c>
      <c r="D186" s="449">
        <v>2024</v>
      </c>
    </row>
    <row r="187" spans="1:4" ht="13.15" x14ac:dyDescent="0.35">
      <c r="A187" s="451" t="s">
        <v>1651</v>
      </c>
      <c r="B187" s="452" t="s">
        <v>1683</v>
      </c>
      <c r="C187" s="453">
        <v>1</v>
      </c>
      <c r="D187" s="452">
        <v>2024</v>
      </c>
    </row>
    <row r="188" spans="1:4" ht="13.15" x14ac:dyDescent="0.35">
      <c r="A188" s="448" t="s">
        <v>1651</v>
      </c>
      <c r="B188" s="449" t="s">
        <v>1683</v>
      </c>
      <c r="C188" s="450">
        <v>26</v>
      </c>
      <c r="D188" s="449">
        <v>2025</v>
      </c>
    </row>
    <row r="189" spans="1:4" ht="13.15" x14ac:dyDescent="0.35">
      <c r="A189" s="451" t="s">
        <v>1651</v>
      </c>
      <c r="B189" s="452" t="s">
        <v>1683</v>
      </c>
      <c r="C189" s="453">
        <v>1</v>
      </c>
      <c r="D189" s="452">
        <v>2025</v>
      </c>
    </row>
    <row r="190" spans="1:4" ht="13.15" x14ac:dyDescent="0.35">
      <c r="A190" s="448" t="s">
        <v>1651</v>
      </c>
      <c r="B190" s="449" t="s">
        <v>1684</v>
      </c>
      <c r="C190" s="450">
        <v>43</v>
      </c>
      <c r="D190" s="449">
        <v>2024</v>
      </c>
    </row>
    <row r="191" spans="1:4" ht="13.15" x14ac:dyDescent="0.35">
      <c r="A191" s="451" t="s">
        <v>1651</v>
      </c>
      <c r="B191" s="452" t="s">
        <v>1684</v>
      </c>
      <c r="C191" s="453">
        <v>26</v>
      </c>
      <c r="D191" s="452">
        <v>2025</v>
      </c>
    </row>
    <row r="192" spans="1:4" ht="13.15" x14ac:dyDescent="0.35">
      <c r="A192" s="448" t="s">
        <v>1651</v>
      </c>
      <c r="B192" s="449" t="s">
        <v>1684</v>
      </c>
      <c r="C192" s="450">
        <v>2</v>
      </c>
      <c r="D192" s="449">
        <v>2024</v>
      </c>
    </row>
    <row r="193" spans="1:4" ht="13.15" x14ac:dyDescent="0.35">
      <c r="A193" s="451" t="s">
        <v>1651</v>
      </c>
      <c r="B193" s="452" t="s">
        <v>1685</v>
      </c>
      <c r="C193" s="453">
        <v>50</v>
      </c>
      <c r="D193" s="452">
        <v>2024</v>
      </c>
    </row>
    <row r="194" spans="1:4" ht="13.15" x14ac:dyDescent="0.35">
      <c r="A194" s="448" t="s">
        <v>1651</v>
      </c>
      <c r="B194" s="449" t="s">
        <v>1685</v>
      </c>
      <c r="C194" s="450">
        <v>5</v>
      </c>
      <c r="D194" s="449">
        <v>2024</v>
      </c>
    </row>
    <row r="195" spans="1:4" ht="13.15" x14ac:dyDescent="0.35">
      <c r="A195" s="451" t="s">
        <v>1651</v>
      </c>
      <c r="B195" s="452" t="s">
        <v>1685</v>
      </c>
      <c r="C195" s="453">
        <v>22</v>
      </c>
      <c r="D195" s="452">
        <v>2025</v>
      </c>
    </row>
    <row r="196" spans="1:4" ht="13.15" x14ac:dyDescent="0.35">
      <c r="A196" s="448" t="s">
        <v>1651</v>
      </c>
      <c r="B196" s="449" t="s">
        <v>1686</v>
      </c>
      <c r="C196" s="450">
        <v>44</v>
      </c>
      <c r="D196" s="449">
        <v>2024</v>
      </c>
    </row>
    <row r="197" spans="1:4" ht="13.15" x14ac:dyDescent="0.35">
      <c r="A197" s="451" t="s">
        <v>1651</v>
      </c>
      <c r="B197" s="452" t="s">
        <v>1686</v>
      </c>
      <c r="C197" s="453">
        <v>4</v>
      </c>
      <c r="D197" s="452">
        <v>2024</v>
      </c>
    </row>
    <row r="198" spans="1:4" ht="13.15" x14ac:dyDescent="0.35">
      <c r="A198" s="448" t="s">
        <v>1651</v>
      </c>
      <c r="B198" s="449" t="s">
        <v>1687</v>
      </c>
      <c r="C198" s="450">
        <v>27</v>
      </c>
      <c r="D198" s="449">
        <v>2024</v>
      </c>
    </row>
    <row r="199" spans="1:4" ht="13.15" x14ac:dyDescent="0.35">
      <c r="A199" s="451" t="s">
        <v>1651</v>
      </c>
      <c r="B199" s="452" t="s">
        <v>1687</v>
      </c>
      <c r="C199" s="453">
        <v>1</v>
      </c>
      <c r="D199" s="452">
        <v>2024</v>
      </c>
    </row>
    <row r="200" spans="1:4" ht="13.15" x14ac:dyDescent="0.35">
      <c r="A200" s="448" t="s">
        <v>1652</v>
      </c>
      <c r="B200" s="449" t="s">
        <v>1677</v>
      </c>
      <c r="C200" s="450">
        <v>12</v>
      </c>
      <c r="D200" s="449">
        <v>2024</v>
      </c>
    </row>
    <row r="201" spans="1:4" ht="13.15" x14ac:dyDescent="0.35">
      <c r="A201" s="451" t="s">
        <v>1652</v>
      </c>
      <c r="B201" s="452" t="s">
        <v>1677</v>
      </c>
      <c r="C201" s="453">
        <v>6</v>
      </c>
      <c r="D201" s="452">
        <v>2025</v>
      </c>
    </row>
    <row r="202" spans="1:4" ht="13.15" x14ac:dyDescent="0.35">
      <c r="A202" s="448" t="s">
        <v>1652</v>
      </c>
      <c r="B202" s="449" t="s">
        <v>1678</v>
      </c>
      <c r="C202" s="450">
        <v>5</v>
      </c>
      <c r="D202" s="449">
        <v>2024</v>
      </c>
    </row>
    <row r="203" spans="1:4" ht="13.15" x14ac:dyDescent="0.35">
      <c r="A203" s="451" t="s">
        <v>1652</v>
      </c>
      <c r="B203" s="452" t="s">
        <v>1679</v>
      </c>
      <c r="C203" s="453">
        <v>7</v>
      </c>
      <c r="D203" s="452">
        <v>2024</v>
      </c>
    </row>
    <row r="204" spans="1:4" ht="13.15" x14ac:dyDescent="0.35">
      <c r="A204" s="448" t="s">
        <v>1652</v>
      </c>
      <c r="B204" s="449" t="s">
        <v>1680</v>
      </c>
      <c r="C204" s="450">
        <v>6</v>
      </c>
      <c r="D204" s="449">
        <v>2024</v>
      </c>
    </row>
    <row r="205" spans="1:4" ht="13.15" x14ac:dyDescent="0.35">
      <c r="A205" s="451" t="s">
        <v>1652</v>
      </c>
      <c r="B205" s="452" t="s">
        <v>1680</v>
      </c>
      <c r="C205" s="453">
        <v>5</v>
      </c>
      <c r="D205" s="452">
        <v>2025</v>
      </c>
    </row>
    <row r="206" spans="1:4" ht="13.15" x14ac:dyDescent="0.35">
      <c r="A206" s="448" t="s">
        <v>1652</v>
      </c>
      <c r="B206" s="449" t="s">
        <v>1681</v>
      </c>
      <c r="C206" s="450">
        <v>6</v>
      </c>
      <c r="D206" s="449">
        <v>2025</v>
      </c>
    </row>
    <row r="207" spans="1:4" ht="13.15" x14ac:dyDescent="0.35">
      <c r="A207" s="451" t="s">
        <v>1652</v>
      </c>
      <c r="B207" s="452" t="s">
        <v>1682</v>
      </c>
      <c r="C207" s="453">
        <v>5</v>
      </c>
      <c r="D207" s="452">
        <v>2024</v>
      </c>
    </row>
    <row r="208" spans="1:4" ht="13.15" x14ac:dyDescent="0.35">
      <c r="A208" s="448" t="s">
        <v>1652</v>
      </c>
      <c r="B208" s="449" t="s">
        <v>1683</v>
      </c>
      <c r="C208" s="450">
        <v>5</v>
      </c>
      <c r="D208" s="449">
        <v>2024</v>
      </c>
    </row>
    <row r="209" spans="1:4" ht="13.15" x14ac:dyDescent="0.35">
      <c r="A209" s="451" t="s">
        <v>1652</v>
      </c>
      <c r="B209" s="452" t="s">
        <v>1683</v>
      </c>
      <c r="C209" s="453">
        <v>5</v>
      </c>
      <c r="D209" s="452">
        <v>2025</v>
      </c>
    </row>
    <row r="210" spans="1:4" ht="13.15" x14ac:dyDescent="0.35">
      <c r="A210" s="448" t="s">
        <v>1652</v>
      </c>
      <c r="B210" s="449" t="s">
        <v>1684</v>
      </c>
      <c r="C210" s="450">
        <v>4</v>
      </c>
      <c r="D210" s="449">
        <v>2025</v>
      </c>
    </row>
    <row r="211" spans="1:4" ht="13.15" x14ac:dyDescent="0.35">
      <c r="A211" s="451" t="s">
        <v>1652</v>
      </c>
      <c r="B211" s="452" t="s">
        <v>1685</v>
      </c>
      <c r="C211" s="453">
        <v>7</v>
      </c>
      <c r="D211" s="452">
        <v>2024</v>
      </c>
    </row>
    <row r="212" spans="1:4" ht="13.15" x14ac:dyDescent="0.35">
      <c r="A212" s="448" t="s">
        <v>1652</v>
      </c>
      <c r="B212" s="449" t="s">
        <v>1685</v>
      </c>
      <c r="C212" s="450">
        <v>5</v>
      </c>
      <c r="D212" s="449">
        <v>2025</v>
      </c>
    </row>
    <row r="213" spans="1:4" ht="13.15" x14ac:dyDescent="0.35">
      <c r="A213" s="451" t="s">
        <v>1652</v>
      </c>
      <c r="B213" s="452" t="s">
        <v>1686</v>
      </c>
      <c r="C213" s="453">
        <v>11</v>
      </c>
      <c r="D213" s="452">
        <v>2024</v>
      </c>
    </row>
    <row r="214" spans="1:4" ht="13.15" x14ac:dyDescent="0.35">
      <c r="A214" s="448" t="s">
        <v>1652</v>
      </c>
      <c r="B214" s="449" t="s">
        <v>1687</v>
      </c>
      <c r="C214" s="450">
        <v>6</v>
      </c>
      <c r="D214" s="449">
        <v>2024</v>
      </c>
    </row>
    <row r="215" spans="1:4" ht="13.15" x14ac:dyDescent="0.35">
      <c r="A215" s="451" t="s">
        <v>35</v>
      </c>
      <c r="B215" s="452" t="s">
        <v>1677</v>
      </c>
      <c r="C215" s="453">
        <v>30</v>
      </c>
      <c r="D215" s="452">
        <v>2025</v>
      </c>
    </row>
    <row r="216" spans="1:4" ht="13.15" x14ac:dyDescent="0.35">
      <c r="A216" s="448" t="s">
        <v>35</v>
      </c>
      <c r="B216" s="449" t="s">
        <v>1677</v>
      </c>
      <c r="C216" s="450">
        <v>3</v>
      </c>
      <c r="D216" s="449">
        <v>2024</v>
      </c>
    </row>
    <row r="217" spans="1:4" ht="13.15" x14ac:dyDescent="0.35">
      <c r="A217" s="451" t="s">
        <v>35</v>
      </c>
      <c r="B217" s="452" t="s">
        <v>1677</v>
      </c>
      <c r="C217" s="453">
        <v>10</v>
      </c>
      <c r="D217" s="452">
        <v>2025</v>
      </c>
    </row>
    <row r="218" spans="1:4" ht="13.15" x14ac:dyDescent="0.35">
      <c r="A218" s="448" t="s">
        <v>35</v>
      </c>
      <c r="B218" s="449" t="s">
        <v>1677</v>
      </c>
      <c r="C218" s="450">
        <v>6</v>
      </c>
      <c r="D218" s="449">
        <v>2024</v>
      </c>
    </row>
    <row r="219" spans="1:4" ht="13.15" x14ac:dyDescent="0.35">
      <c r="A219" s="451" t="s">
        <v>35</v>
      </c>
      <c r="B219" s="452" t="s">
        <v>1677</v>
      </c>
      <c r="C219" s="453">
        <v>6</v>
      </c>
      <c r="D219" s="452">
        <v>2025</v>
      </c>
    </row>
    <row r="220" spans="1:4" ht="13.15" x14ac:dyDescent="0.35">
      <c r="A220" s="448" t="s">
        <v>35</v>
      </c>
      <c r="B220" s="449" t="s">
        <v>1677</v>
      </c>
      <c r="C220" s="450">
        <v>25</v>
      </c>
      <c r="D220" s="449">
        <v>2025</v>
      </c>
    </row>
    <row r="221" spans="1:4" ht="13.15" x14ac:dyDescent="0.35">
      <c r="A221" s="451" t="s">
        <v>35</v>
      </c>
      <c r="B221" s="452" t="s">
        <v>1677</v>
      </c>
      <c r="C221" s="453">
        <v>25</v>
      </c>
      <c r="D221" s="452">
        <v>2025</v>
      </c>
    </row>
    <row r="222" spans="1:4" ht="13.15" x14ac:dyDescent="0.35">
      <c r="A222" s="448" t="s">
        <v>35</v>
      </c>
      <c r="B222" s="449" t="s">
        <v>1677</v>
      </c>
      <c r="C222" s="450">
        <v>17</v>
      </c>
      <c r="D222" s="449">
        <v>2025</v>
      </c>
    </row>
    <row r="223" spans="1:4" ht="13.15" x14ac:dyDescent="0.35">
      <c r="A223" s="451" t="s">
        <v>35</v>
      </c>
      <c r="B223" s="452" t="s">
        <v>1677</v>
      </c>
      <c r="C223" s="453">
        <v>18</v>
      </c>
      <c r="D223" s="452">
        <v>2024</v>
      </c>
    </row>
    <row r="224" spans="1:4" ht="13.15" x14ac:dyDescent="0.35">
      <c r="A224" s="448" t="s">
        <v>35</v>
      </c>
      <c r="B224" s="449" t="s">
        <v>1677</v>
      </c>
      <c r="C224" s="450">
        <v>16</v>
      </c>
      <c r="D224" s="449">
        <v>2024</v>
      </c>
    </row>
    <row r="225" spans="1:4" ht="13.15" x14ac:dyDescent="0.35">
      <c r="A225" s="451" t="s">
        <v>35</v>
      </c>
      <c r="B225" s="452" t="s">
        <v>1677</v>
      </c>
      <c r="C225" s="453">
        <v>8</v>
      </c>
      <c r="D225" s="452">
        <v>2025</v>
      </c>
    </row>
    <row r="226" spans="1:4" ht="13.15" x14ac:dyDescent="0.35">
      <c r="A226" s="448" t="s">
        <v>35</v>
      </c>
      <c r="B226" s="449" t="s">
        <v>1677</v>
      </c>
      <c r="C226" s="450">
        <v>8</v>
      </c>
      <c r="D226" s="449">
        <v>2024</v>
      </c>
    </row>
    <row r="227" spans="1:4" ht="13.15" x14ac:dyDescent="0.35">
      <c r="A227" s="451" t="s">
        <v>35</v>
      </c>
      <c r="B227" s="452" t="s">
        <v>1677</v>
      </c>
      <c r="C227" s="453">
        <v>8</v>
      </c>
      <c r="D227" s="452">
        <v>2025</v>
      </c>
    </row>
    <row r="228" spans="1:4" ht="13.15" x14ac:dyDescent="0.35">
      <c r="A228" s="448" t="s">
        <v>35</v>
      </c>
      <c r="B228" s="449" t="s">
        <v>1677</v>
      </c>
      <c r="C228" s="450">
        <v>8</v>
      </c>
      <c r="D228" s="449">
        <v>2024</v>
      </c>
    </row>
    <row r="229" spans="1:4" ht="13.15" x14ac:dyDescent="0.35">
      <c r="A229" s="451" t="s">
        <v>35</v>
      </c>
      <c r="B229" s="452" t="s">
        <v>1677</v>
      </c>
      <c r="C229" s="453">
        <v>12</v>
      </c>
      <c r="D229" s="452">
        <v>2024</v>
      </c>
    </row>
    <row r="230" spans="1:4" ht="13.15" x14ac:dyDescent="0.35">
      <c r="A230" s="448" t="s">
        <v>35</v>
      </c>
      <c r="B230" s="449" t="s">
        <v>1677</v>
      </c>
      <c r="C230" s="450">
        <v>8</v>
      </c>
      <c r="D230" s="449">
        <v>2024</v>
      </c>
    </row>
    <row r="231" spans="1:4" ht="13.15" x14ac:dyDescent="0.35">
      <c r="A231" s="451" t="s">
        <v>35</v>
      </c>
      <c r="B231" s="452" t="s">
        <v>1677</v>
      </c>
      <c r="C231" s="453">
        <v>7</v>
      </c>
      <c r="D231" s="452">
        <v>2024</v>
      </c>
    </row>
    <row r="232" spans="1:4" ht="13.15" x14ac:dyDescent="0.35">
      <c r="A232" s="448" t="s">
        <v>35</v>
      </c>
      <c r="B232" s="449" t="s">
        <v>1677</v>
      </c>
      <c r="C232" s="450">
        <v>9</v>
      </c>
      <c r="D232" s="449">
        <v>2025</v>
      </c>
    </row>
    <row r="233" spans="1:4" ht="13.15" x14ac:dyDescent="0.35">
      <c r="A233" s="451" t="s">
        <v>35</v>
      </c>
      <c r="B233" s="452" t="s">
        <v>1677</v>
      </c>
      <c r="C233" s="453">
        <v>8</v>
      </c>
      <c r="D233" s="452">
        <v>2024</v>
      </c>
    </row>
    <row r="234" spans="1:4" ht="13.15" x14ac:dyDescent="0.35">
      <c r="A234" s="448" t="s">
        <v>35</v>
      </c>
      <c r="B234" s="449" t="s">
        <v>1677</v>
      </c>
      <c r="C234" s="450">
        <v>8</v>
      </c>
      <c r="D234" s="449">
        <v>2024</v>
      </c>
    </row>
    <row r="235" spans="1:4" ht="13.15" x14ac:dyDescent="0.35">
      <c r="A235" s="451" t="s">
        <v>35</v>
      </c>
      <c r="B235" s="452" t="s">
        <v>1677</v>
      </c>
      <c r="C235" s="453">
        <v>70</v>
      </c>
      <c r="D235" s="452">
        <v>2024</v>
      </c>
    </row>
    <row r="236" spans="1:4" ht="13.15" x14ac:dyDescent="0.35">
      <c r="A236" s="448" t="s">
        <v>35</v>
      </c>
      <c r="B236" s="449" t="s">
        <v>1677</v>
      </c>
      <c r="C236" s="450">
        <v>22</v>
      </c>
      <c r="D236" s="449">
        <v>2025</v>
      </c>
    </row>
    <row r="237" spans="1:4" ht="13.15" x14ac:dyDescent="0.35">
      <c r="A237" s="451" t="s">
        <v>35</v>
      </c>
      <c r="B237" s="452" t="s">
        <v>1677</v>
      </c>
      <c r="C237" s="453">
        <v>10</v>
      </c>
      <c r="D237" s="452">
        <v>2024</v>
      </c>
    </row>
    <row r="238" spans="1:4" ht="13.15" x14ac:dyDescent="0.35">
      <c r="A238" s="448" t="s">
        <v>35</v>
      </c>
      <c r="B238" s="449" t="s">
        <v>1677</v>
      </c>
      <c r="C238" s="450">
        <v>15</v>
      </c>
      <c r="D238" s="449">
        <v>2025</v>
      </c>
    </row>
    <row r="239" spans="1:4" ht="13.15" x14ac:dyDescent="0.35">
      <c r="A239" s="451" t="s">
        <v>35</v>
      </c>
      <c r="B239" s="452" t="s">
        <v>1677</v>
      </c>
      <c r="C239" s="453">
        <v>10</v>
      </c>
      <c r="D239" s="452">
        <v>2024</v>
      </c>
    </row>
    <row r="240" spans="1:4" ht="13.15" x14ac:dyDescent="0.35">
      <c r="A240" s="448" t="s">
        <v>35</v>
      </c>
      <c r="B240" s="449" t="s">
        <v>1677</v>
      </c>
      <c r="C240" s="450">
        <v>16</v>
      </c>
      <c r="D240" s="449">
        <v>2024</v>
      </c>
    </row>
    <row r="241" spans="1:4" ht="13.15" x14ac:dyDescent="0.35">
      <c r="A241" s="451" t="s">
        <v>35</v>
      </c>
      <c r="B241" s="452" t="s">
        <v>1677</v>
      </c>
      <c r="C241" s="453">
        <v>8</v>
      </c>
      <c r="D241" s="452">
        <v>2025</v>
      </c>
    </row>
    <row r="242" spans="1:4" ht="13.15" x14ac:dyDescent="0.35">
      <c r="A242" s="448" t="s">
        <v>35</v>
      </c>
      <c r="B242" s="449" t="s">
        <v>1677</v>
      </c>
      <c r="C242" s="450">
        <v>14</v>
      </c>
      <c r="D242" s="449">
        <v>2024</v>
      </c>
    </row>
    <row r="243" spans="1:4" ht="13.15" x14ac:dyDescent="0.35">
      <c r="A243" s="451" t="s">
        <v>35</v>
      </c>
      <c r="B243" s="452" t="s">
        <v>1677</v>
      </c>
      <c r="C243" s="453">
        <v>20</v>
      </c>
      <c r="D243" s="452">
        <v>2024</v>
      </c>
    </row>
    <row r="244" spans="1:4" ht="13.15" x14ac:dyDescent="0.35">
      <c r="A244" s="448" t="s">
        <v>35</v>
      </c>
      <c r="B244" s="449" t="s">
        <v>1677</v>
      </c>
      <c r="C244" s="450">
        <v>15</v>
      </c>
      <c r="D244" s="449">
        <v>2025</v>
      </c>
    </row>
    <row r="245" spans="1:4" ht="13.15" x14ac:dyDescent="0.35">
      <c r="A245" s="451" t="s">
        <v>35</v>
      </c>
      <c r="B245" s="452" t="s">
        <v>1677</v>
      </c>
      <c r="C245" s="453">
        <v>1</v>
      </c>
      <c r="D245" s="452">
        <v>2024</v>
      </c>
    </row>
    <row r="246" spans="1:4" ht="13.15" x14ac:dyDescent="0.35">
      <c r="A246" s="448" t="s">
        <v>35</v>
      </c>
      <c r="B246" s="449" t="s">
        <v>1677</v>
      </c>
      <c r="C246" s="450">
        <v>2</v>
      </c>
      <c r="D246" s="449">
        <v>2025</v>
      </c>
    </row>
    <row r="247" spans="1:4" ht="13.15" x14ac:dyDescent="0.35">
      <c r="A247" s="451" t="s">
        <v>35</v>
      </c>
      <c r="B247" s="452" t="s">
        <v>1677</v>
      </c>
      <c r="C247" s="453">
        <v>1</v>
      </c>
      <c r="D247" s="452">
        <v>2025</v>
      </c>
    </row>
    <row r="248" spans="1:4" ht="13.15" x14ac:dyDescent="0.35">
      <c r="A248" s="448" t="s">
        <v>35</v>
      </c>
      <c r="B248" s="449" t="s">
        <v>1677</v>
      </c>
      <c r="C248" s="450">
        <v>4</v>
      </c>
      <c r="D248" s="449">
        <v>2024</v>
      </c>
    </row>
    <row r="249" spans="1:4" ht="13.15" x14ac:dyDescent="0.35">
      <c r="A249" s="451" t="s">
        <v>35</v>
      </c>
      <c r="B249" s="452" t="s">
        <v>1677</v>
      </c>
      <c r="C249" s="453">
        <v>10</v>
      </c>
      <c r="D249" s="452">
        <v>2025</v>
      </c>
    </row>
    <row r="250" spans="1:4" ht="13.15" x14ac:dyDescent="0.35">
      <c r="A250" s="448" t="s">
        <v>35</v>
      </c>
      <c r="B250" s="449" t="s">
        <v>1678</v>
      </c>
      <c r="C250" s="450">
        <v>8</v>
      </c>
      <c r="D250" s="449">
        <v>2024</v>
      </c>
    </row>
    <row r="251" spans="1:4" ht="13.15" x14ac:dyDescent="0.35">
      <c r="A251" s="451" t="s">
        <v>35</v>
      </c>
      <c r="B251" s="452" t="s">
        <v>1678</v>
      </c>
      <c r="C251" s="453">
        <v>6</v>
      </c>
      <c r="D251" s="452">
        <v>2024</v>
      </c>
    </row>
    <row r="252" spans="1:4" ht="13.15" x14ac:dyDescent="0.35">
      <c r="A252" s="448" t="s">
        <v>35</v>
      </c>
      <c r="B252" s="449" t="s">
        <v>1678</v>
      </c>
      <c r="C252" s="450">
        <v>6</v>
      </c>
      <c r="D252" s="449">
        <v>2024</v>
      </c>
    </row>
    <row r="253" spans="1:4" ht="13.15" x14ac:dyDescent="0.35">
      <c r="A253" s="451" t="s">
        <v>35</v>
      </c>
      <c r="B253" s="452" t="s">
        <v>1678</v>
      </c>
      <c r="C253" s="453">
        <v>25</v>
      </c>
      <c r="D253" s="452">
        <v>2024</v>
      </c>
    </row>
    <row r="254" spans="1:4" ht="13.15" x14ac:dyDescent="0.35">
      <c r="A254" s="448" t="s">
        <v>35</v>
      </c>
      <c r="B254" s="449" t="s">
        <v>1678</v>
      </c>
      <c r="C254" s="450">
        <v>1</v>
      </c>
      <c r="D254" s="449">
        <v>2024</v>
      </c>
    </row>
    <row r="255" spans="1:4" ht="13.15" x14ac:dyDescent="0.35">
      <c r="A255" s="451" t="s">
        <v>35</v>
      </c>
      <c r="B255" s="452" t="s">
        <v>1678</v>
      </c>
      <c r="C255" s="453">
        <v>8</v>
      </c>
      <c r="D255" s="452">
        <v>2024</v>
      </c>
    </row>
    <row r="256" spans="1:4" ht="13.15" x14ac:dyDescent="0.35">
      <c r="A256" s="448" t="s">
        <v>35</v>
      </c>
      <c r="B256" s="449" t="s">
        <v>1678</v>
      </c>
      <c r="C256" s="450">
        <v>8</v>
      </c>
      <c r="D256" s="449">
        <v>2024</v>
      </c>
    </row>
    <row r="257" spans="1:4" ht="13.15" x14ac:dyDescent="0.35">
      <c r="A257" s="451" t="s">
        <v>35</v>
      </c>
      <c r="B257" s="452" t="s">
        <v>1678</v>
      </c>
      <c r="C257" s="453">
        <v>9</v>
      </c>
      <c r="D257" s="452">
        <v>2024</v>
      </c>
    </row>
    <row r="258" spans="1:4" ht="13.15" x14ac:dyDescent="0.35">
      <c r="A258" s="448" t="s">
        <v>35</v>
      </c>
      <c r="B258" s="449" t="s">
        <v>1678</v>
      </c>
      <c r="C258" s="450">
        <v>60</v>
      </c>
      <c r="D258" s="449">
        <v>2024</v>
      </c>
    </row>
    <row r="259" spans="1:4" ht="13.15" x14ac:dyDescent="0.35">
      <c r="A259" s="451" t="s">
        <v>35</v>
      </c>
      <c r="B259" s="452" t="s">
        <v>1678</v>
      </c>
      <c r="C259" s="453">
        <v>8</v>
      </c>
      <c r="D259" s="452">
        <v>2024</v>
      </c>
    </row>
    <row r="260" spans="1:4" ht="13.15" x14ac:dyDescent="0.35">
      <c r="A260" s="448" t="s">
        <v>35</v>
      </c>
      <c r="B260" s="449" t="s">
        <v>1678</v>
      </c>
      <c r="C260" s="450">
        <v>7</v>
      </c>
      <c r="D260" s="449">
        <v>2024</v>
      </c>
    </row>
    <row r="261" spans="1:4" ht="13.15" x14ac:dyDescent="0.35">
      <c r="A261" s="451" t="s">
        <v>35</v>
      </c>
      <c r="B261" s="452" t="s">
        <v>1678</v>
      </c>
      <c r="C261" s="453">
        <v>20</v>
      </c>
      <c r="D261" s="452">
        <v>2024</v>
      </c>
    </row>
    <row r="262" spans="1:4" ht="13.15" x14ac:dyDescent="0.35">
      <c r="A262" s="448" t="s">
        <v>35</v>
      </c>
      <c r="B262" s="449" t="s">
        <v>1678</v>
      </c>
      <c r="C262" s="450">
        <v>1</v>
      </c>
      <c r="D262" s="449">
        <v>2024</v>
      </c>
    </row>
    <row r="263" spans="1:4" ht="13.15" x14ac:dyDescent="0.35">
      <c r="A263" s="451" t="s">
        <v>35</v>
      </c>
      <c r="B263" s="452" t="s">
        <v>1678</v>
      </c>
      <c r="C263" s="453">
        <v>4</v>
      </c>
      <c r="D263" s="452">
        <v>2024</v>
      </c>
    </row>
    <row r="264" spans="1:4" ht="13.15" x14ac:dyDescent="0.35">
      <c r="A264" s="448" t="s">
        <v>35</v>
      </c>
      <c r="B264" s="449" t="s">
        <v>1679</v>
      </c>
      <c r="C264" s="450">
        <v>4</v>
      </c>
      <c r="D264" s="449">
        <v>2024</v>
      </c>
    </row>
    <row r="265" spans="1:4" ht="13.15" x14ac:dyDescent="0.35">
      <c r="A265" s="451" t="s">
        <v>35</v>
      </c>
      <c r="B265" s="452" t="s">
        <v>1679</v>
      </c>
      <c r="C265" s="453">
        <v>6</v>
      </c>
      <c r="D265" s="452">
        <v>2024</v>
      </c>
    </row>
    <row r="266" spans="1:4" ht="13.15" x14ac:dyDescent="0.35">
      <c r="A266" s="448" t="s">
        <v>35</v>
      </c>
      <c r="B266" s="449" t="s">
        <v>1679</v>
      </c>
      <c r="C266" s="450">
        <v>25</v>
      </c>
      <c r="D266" s="449">
        <v>2024</v>
      </c>
    </row>
    <row r="267" spans="1:4" ht="13.15" x14ac:dyDescent="0.35">
      <c r="A267" s="451" t="s">
        <v>35</v>
      </c>
      <c r="B267" s="452" t="s">
        <v>1679</v>
      </c>
      <c r="C267" s="453">
        <v>8</v>
      </c>
      <c r="D267" s="452">
        <v>2024</v>
      </c>
    </row>
    <row r="268" spans="1:4" ht="13.15" x14ac:dyDescent="0.35">
      <c r="A268" s="448" t="s">
        <v>35</v>
      </c>
      <c r="B268" s="449" t="s">
        <v>1679</v>
      </c>
      <c r="C268" s="450">
        <v>10</v>
      </c>
      <c r="D268" s="449">
        <v>2024</v>
      </c>
    </row>
    <row r="269" spans="1:4" ht="13.15" x14ac:dyDescent="0.35">
      <c r="A269" s="451" t="s">
        <v>35</v>
      </c>
      <c r="B269" s="452" t="s">
        <v>1679</v>
      </c>
      <c r="C269" s="453">
        <v>10</v>
      </c>
      <c r="D269" s="452">
        <v>2024</v>
      </c>
    </row>
    <row r="270" spans="1:4" ht="13.15" x14ac:dyDescent="0.35">
      <c r="A270" s="448" t="s">
        <v>35</v>
      </c>
      <c r="B270" s="449" t="s">
        <v>1679</v>
      </c>
      <c r="C270" s="450">
        <v>10</v>
      </c>
      <c r="D270" s="449">
        <v>2024</v>
      </c>
    </row>
    <row r="271" spans="1:4" ht="13.15" x14ac:dyDescent="0.35">
      <c r="A271" s="451" t="s">
        <v>35</v>
      </c>
      <c r="B271" s="452" t="s">
        <v>1679</v>
      </c>
      <c r="C271" s="453">
        <v>9</v>
      </c>
      <c r="D271" s="452">
        <v>2024</v>
      </c>
    </row>
    <row r="272" spans="1:4" ht="13.15" x14ac:dyDescent="0.35">
      <c r="A272" s="448" t="s">
        <v>35</v>
      </c>
      <c r="B272" s="449" t="s">
        <v>1679</v>
      </c>
      <c r="C272" s="450">
        <v>18</v>
      </c>
      <c r="D272" s="449">
        <v>2024</v>
      </c>
    </row>
    <row r="273" spans="1:4" ht="13.15" x14ac:dyDescent="0.35">
      <c r="A273" s="451" t="s">
        <v>35</v>
      </c>
      <c r="B273" s="452" t="s">
        <v>1679</v>
      </c>
      <c r="C273" s="453">
        <v>90</v>
      </c>
      <c r="D273" s="452">
        <v>2024</v>
      </c>
    </row>
    <row r="274" spans="1:4" ht="13.15" x14ac:dyDescent="0.35">
      <c r="A274" s="448" t="s">
        <v>35</v>
      </c>
      <c r="B274" s="449" t="s">
        <v>1679</v>
      </c>
      <c r="C274" s="450">
        <v>35</v>
      </c>
      <c r="D274" s="449">
        <v>2024</v>
      </c>
    </row>
    <row r="275" spans="1:4" ht="13.15" x14ac:dyDescent="0.35">
      <c r="A275" s="451" t="s">
        <v>35</v>
      </c>
      <c r="B275" s="452" t="s">
        <v>1679</v>
      </c>
      <c r="C275" s="453">
        <v>2</v>
      </c>
      <c r="D275" s="452">
        <v>2024</v>
      </c>
    </row>
    <row r="276" spans="1:4" ht="13.15" x14ac:dyDescent="0.35">
      <c r="A276" s="448" t="s">
        <v>35</v>
      </c>
      <c r="B276" s="449" t="s">
        <v>1679</v>
      </c>
      <c r="C276" s="450">
        <v>7</v>
      </c>
      <c r="D276" s="449">
        <v>2024</v>
      </c>
    </row>
    <row r="277" spans="1:4" ht="13.15" x14ac:dyDescent="0.35">
      <c r="A277" s="451" t="s">
        <v>35</v>
      </c>
      <c r="B277" s="452" t="s">
        <v>1679</v>
      </c>
      <c r="C277" s="453">
        <v>20</v>
      </c>
      <c r="D277" s="452">
        <v>2024</v>
      </c>
    </row>
    <row r="278" spans="1:4" ht="13.15" x14ac:dyDescent="0.35">
      <c r="A278" s="448" t="s">
        <v>35</v>
      </c>
      <c r="B278" s="449" t="s">
        <v>1679</v>
      </c>
      <c r="C278" s="450">
        <v>4</v>
      </c>
      <c r="D278" s="449">
        <v>2024</v>
      </c>
    </row>
    <row r="279" spans="1:4" ht="13.15" x14ac:dyDescent="0.35">
      <c r="A279" s="451" t="s">
        <v>35</v>
      </c>
      <c r="B279" s="452" t="s">
        <v>1680</v>
      </c>
      <c r="C279" s="453">
        <v>8</v>
      </c>
      <c r="D279" s="452">
        <v>2025</v>
      </c>
    </row>
    <row r="280" spans="1:4" ht="13.15" x14ac:dyDescent="0.35">
      <c r="A280" s="448" t="s">
        <v>35</v>
      </c>
      <c r="B280" s="449" t="s">
        <v>1680</v>
      </c>
      <c r="C280" s="450">
        <v>6</v>
      </c>
      <c r="D280" s="449">
        <v>2024</v>
      </c>
    </row>
    <row r="281" spans="1:4" ht="13.15" x14ac:dyDescent="0.35">
      <c r="A281" s="451" t="s">
        <v>35</v>
      </c>
      <c r="B281" s="452" t="s">
        <v>1680</v>
      </c>
      <c r="C281" s="453">
        <v>6</v>
      </c>
      <c r="D281" s="452">
        <v>2025</v>
      </c>
    </row>
    <row r="282" spans="1:4" ht="13.15" x14ac:dyDescent="0.35">
      <c r="A282" s="448" t="s">
        <v>35</v>
      </c>
      <c r="B282" s="449" t="s">
        <v>1680</v>
      </c>
      <c r="C282" s="450">
        <v>25</v>
      </c>
      <c r="D282" s="449">
        <v>2025</v>
      </c>
    </row>
    <row r="283" spans="1:4" ht="13.15" x14ac:dyDescent="0.35">
      <c r="A283" s="451" t="s">
        <v>35</v>
      </c>
      <c r="B283" s="452" t="s">
        <v>1680</v>
      </c>
      <c r="C283" s="453">
        <v>25</v>
      </c>
      <c r="D283" s="452">
        <v>2024</v>
      </c>
    </row>
    <row r="284" spans="1:4" ht="13.15" x14ac:dyDescent="0.35">
      <c r="A284" s="448" t="s">
        <v>35</v>
      </c>
      <c r="B284" s="449" t="s">
        <v>1680</v>
      </c>
      <c r="C284" s="450">
        <v>17</v>
      </c>
      <c r="D284" s="449">
        <v>2025</v>
      </c>
    </row>
    <row r="285" spans="1:4" ht="13.15" x14ac:dyDescent="0.35">
      <c r="A285" s="451" t="s">
        <v>35</v>
      </c>
      <c r="B285" s="452" t="s">
        <v>1680</v>
      </c>
      <c r="C285" s="453">
        <v>16</v>
      </c>
      <c r="D285" s="452">
        <v>2025</v>
      </c>
    </row>
    <row r="286" spans="1:4" ht="13.15" x14ac:dyDescent="0.35">
      <c r="A286" s="448" t="s">
        <v>35</v>
      </c>
      <c r="B286" s="449" t="s">
        <v>1680</v>
      </c>
      <c r="C286" s="450">
        <v>8</v>
      </c>
      <c r="D286" s="449">
        <v>2024</v>
      </c>
    </row>
    <row r="287" spans="1:4" ht="13.15" x14ac:dyDescent="0.35">
      <c r="A287" s="451" t="s">
        <v>35</v>
      </c>
      <c r="B287" s="452" t="s">
        <v>1680</v>
      </c>
      <c r="C287" s="453">
        <v>16</v>
      </c>
      <c r="D287" s="452">
        <v>2025</v>
      </c>
    </row>
    <row r="288" spans="1:4" ht="13.15" x14ac:dyDescent="0.35">
      <c r="A288" s="448" t="s">
        <v>35</v>
      </c>
      <c r="B288" s="449" t="s">
        <v>1680</v>
      </c>
      <c r="C288" s="450">
        <v>20</v>
      </c>
      <c r="D288" s="449">
        <v>2024</v>
      </c>
    </row>
    <row r="289" spans="1:4" ht="13.15" x14ac:dyDescent="0.35">
      <c r="A289" s="451" t="s">
        <v>35</v>
      </c>
      <c r="B289" s="452" t="s">
        <v>1680</v>
      </c>
      <c r="C289" s="453">
        <v>0</v>
      </c>
      <c r="D289" s="452">
        <v>2025</v>
      </c>
    </row>
    <row r="290" spans="1:4" ht="13.15" x14ac:dyDescent="0.35">
      <c r="A290" s="448" t="s">
        <v>35</v>
      </c>
      <c r="B290" s="449" t="s">
        <v>1680</v>
      </c>
      <c r="C290" s="450">
        <v>18</v>
      </c>
      <c r="D290" s="449">
        <v>2025</v>
      </c>
    </row>
    <row r="291" spans="1:4" ht="13.15" x14ac:dyDescent="0.35">
      <c r="A291" s="451" t="s">
        <v>35</v>
      </c>
      <c r="B291" s="452" t="s">
        <v>1680</v>
      </c>
      <c r="C291" s="453">
        <v>4</v>
      </c>
      <c r="D291" s="452">
        <v>2024</v>
      </c>
    </row>
    <row r="292" spans="1:4" ht="13.15" x14ac:dyDescent="0.35">
      <c r="A292" s="448" t="s">
        <v>35</v>
      </c>
      <c r="B292" s="449" t="s">
        <v>1680</v>
      </c>
      <c r="C292" s="450">
        <v>52</v>
      </c>
      <c r="D292" s="449">
        <v>2025</v>
      </c>
    </row>
    <row r="293" spans="1:4" ht="13.15" x14ac:dyDescent="0.35">
      <c r="A293" s="451" t="s">
        <v>35</v>
      </c>
      <c r="B293" s="452" t="s">
        <v>1680</v>
      </c>
      <c r="C293" s="453">
        <v>8</v>
      </c>
      <c r="D293" s="452">
        <v>2024</v>
      </c>
    </row>
    <row r="294" spans="1:4" ht="13.15" x14ac:dyDescent="0.35">
      <c r="A294" s="448" t="s">
        <v>35</v>
      </c>
      <c r="B294" s="449" t="s">
        <v>1680</v>
      </c>
      <c r="C294" s="450">
        <v>8</v>
      </c>
      <c r="D294" s="449">
        <v>2025</v>
      </c>
    </row>
    <row r="295" spans="1:4" ht="13.15" x14ac:dyDescent="0.35">
      <c r="A295" s="451" t="s">
        <v>35</v>
      </c>
      <c r="B295" s="452" t="s">
        <v>1680</v>
      </c>
      <c r="C295" s="453">
        <v>10</v>
      </c>
      <c r="D295" s="452">
        <v>2025</v>
      </c>
    </row>
    <row r="296" spans="1:4" ht="13.15" x14ac:dyDescent="0.35">
      <c r="A296" s="448" t="s">
        <v>35</v>
      </c>
      <c r="B296" s="449" t="s">
        <v>1680</v>
      </c>
      <c r="C296" s="450">
        <v>2</v>
      </c>
      <c r="D296" s="449">
        <v>2024</v>
      </c>
    </row>
    <row r="297" spans="1:4" ht="13.15" x14ac:dyDescent="0.35">
      <c r="A297" s="451" t="s">
        <v>35</v>
      </c>
      <c r="B297" s="452" t="s">
        <v>1680</v>
      </c>
      <c r="C297" s="453">
        <v>30</v>
      </c>
      <c r="D297" s="452">
        <v>2025</v>
      </c>
    </row>
    <row r="298" spans="1:4" ht="13.15" x14ac:dyDescent="0.35">
      <c r="A298" s="448" t="s">
        <v>35</v>
      </c>
      <c r="B298" s="449" t="s">
        <v>1680</v>
      </c>
      <c r="C298" s="450">
        <v>1</v>
      </c>
      <c r="D298" s="449">
        <v>2025</v>
      </c>
    </row>
    <row r="299" spans="1:4" ht="13.15" x14ac:dyDescent="0.35">
      <c r="A299" s="451" t="s">
        <v>35</v>
      </c>
      <c r="B299" s="452" t="s">
        <v>1680</v>
      </c>
      <c r="C299" s="453">
        <v>4</v>
      </c>
      <c r="D299" s="452">
        <v>2024</v>
      </c>
    </row>
    <row r="300" spans="1:4" ht="13.15" x14ac:dyDescent="0.35">
      <c r="A300" s="448" t="s">
        <v>35</v>
      </c>
      <c r="B300" s="449" t="s">
        <v>1680</v>
      </c>
      <c r="C300" s="450">
        <v>8</v>
      </c>
      <c r="D300" s="449">
        <v>2025</v>
      </c>
    </row>
    <row r="301" spans="1:4" ht="13.15" x14ac:dyDescent="0.35">
      <c r="A301" s="451" t="s">
        <v>35</v>
      </c>
      <c r="B301" s="452" t="s">
        <v>1681</v>
      </c>
      <c r="C301" s="453">
        <v>16</v>
      </c>
      <c r="D301" s="452">
        <v>2025</v>
      </c>
    </row>
    <row r="302" spans="1:4" ht="13.15" x14ac:dyDescent="0.35">
      <c r="A302" s="448" t="s">
        <v>35</v>
      </c>
      <c r="B302" s="449" t="s">
        <v>1681</v>
      </c>
      <c r="C302" s="450">
        <v>6</v>
      </c>
      <c r="D302" s="449">
        <v>2025</v>
      </c>
    </row>
    <row r="303" spans="1:4" ht="13.15" x14ac:dyDescent="0.35">
      <c r="A303" s="451" t="s">
        <v>35</v>
      </c>
      <c r="B303" s="452" t="s">
        <v>1681</v>
      </c>
      <c r="C303" s="453">
        <v>6</v>
      </c>
      <c r="D303" s="452">
        <v>2025</v>
      </c>
    </row>
    <row r="304" spans="1:4" ht="13.15" x14ac:dyDescent="0.35">
      <c r="A304" s="448" t="s">
        <v>35</v>
      </c>
      <c r="B304" s="449" t="s">
        <v>1681</v>
      </c>
      <c r="C304" s="450">
        <v>25</v>
      </c>
      <c r="D304" s="449">
        <v>2025</v>
      </c>
    </row>
    <row r="305" spans="1:4" ht="13.15" x14ac:dyDescent="0.35">
      <c r="A305" s="451" t="s">
        <v>35</v>
      </c>
      <c r="B305" s="452" t="s">
        <v>1681</v>
      </c>
      <c r="C305" s="453">
        <v>34</v>
      </c>
      <c r="D305" s="452">
        <v>2025</v>
      </c>
    </row>
    <row r="306" spans="1:4" ht="13.15" x14ac:dyDescent="0.35">
      <c r="A306" s="448" t="s">
        <v>35</v>
      </c>
      <c r="B306" s="449" t="s">
        <v>1681</v>
      </c>
      <c r="C306" s="450">
        <v>24</v>
      </c>
      <c r="D306" s="449">
        <v>2025</v>
      </c>
    </row>
    <row r="307" spans="1:4" ht="13.15" x14ac:dyDescent="0.35">
      <c r="A307" s="451" t="s">
        <v>35</v>
      </c>
      <c r="B307" s="452" t="s">
        <v>1681</v>
      </c>
      <c r="C307" s="453">
        <v>32</v>
      </c>
      <c r="D307" s="452">
        <v>2025</v>
      </c>
    </row>
    <row r="308" spans="1:4" ht="13.15" x14ac:dyDescent="0.35">
      <c r="A308" s="448" t="s">
        <v>35</v>
      </c>
      <c r="B308" s="449" t="s">
        <v>1681</v>
      </c>
      <c r="C308" s="450">
        <v>5</v>
      </c>
      <c r="D308" s="449">
        <v>2025</v>
      </c>
    </row>
    <row r="309" spans="1:4" ht="13.15" x14ac:dyDescent="0.35">
      <c r="A309" s="451" t="s">
        <v>35</v>
      </c>
      <c r="B309" s="452" t="s">
        <v>1681</v>
      </c>
      <c r="C309" s="453">
        <v>9</v>
      </c>
      <c r="D309" s="452">
        <v>2025</v>
      </c>
    </row>
    <row r="310" spans="1:4" ht="13.15" x14ac:dyDescent="0.35">
      <c r="A310" s="448" t="s">
        <v>35</v>
      </c>
      <c r="B310" s="449" t="s">
        <v>1681</v>
      </c>
      <c r="C310" s="450">
        <v>30</v>
      </c>
      <c r="D310" s="449">
        <v>2025</v>
      </c>
    </row>
    <row r="311" spans="1:4" ht="13.15" x14ac:dyDescent="0.35">
      <c r="A311" s="451" t="s">
        <v>35</v>
      </c>
      <c r="B311" s="452" t="s">
        <v>1681</v>
      </c>
      <c r="C311" s="453">
        <v>15</v>
      </c>
      <c r="D311" s="452">
        <v>2025</v>
      </c>
    </row>
    <row r="312" spans="1:4" ht="13.15" x14ac:dyDescent="0.35">
      <c r="A312" s="448" t="s">
        <v>35</v>
      </c>
      <c r="B312" s="449" t="s">
        <v>1681</v>
      </c>
      <c r="C312" s="450">
        <v>8</v>
      </c>
      <c r="D312" s="449">
        <v>2025</v>
      </c>
    </row>
    <row r="313" spans="1:4" ht="13.15" x14ac:dyDescent="0.35">
      <c r="A313" s="451" t="s">
        <v>35</v>
      </c>
      <c r="B313" s="452" t="s">
        <v>1681</v>
      </c>
      <c r="C313" s="453">
        <v>8</v>
      </c>
      <c r="D313" s="452">
        <v>2025</v>
      </c>
    </row>
    <row r="314" spans="1:4" ht="13.15" x14ac:dyDescent="0.35">
      <c r="A314" s="448" t="s">
        <v>35</v>
      </c>
      <c r="B314" s="449" t="s">
        <v>1681</v>
      </c>
      <c r="C314" s="450">
        <v>9</v>
      </c>
      <c r="D314" s="449">
        <v>2025</v>
      </c>
    </row>
    <row r="315" spans="1:4" ht="13.15" x14ac:dyDescent="0.35">
      <c r="A315" s="451" t="s">
        <v>35</v>
      </c>
      <c r="B315" s="452" t="s">
        <v>1681</v>
      </c>
      <c r="C315" s="453">
        <v>20</v>
      </c>
      <c r="D315" s="452">
        <v>2025</v>
      </c>
    </row>
    <row r="316" spans="1:4" ht="13.15" x14ac:dyDescent="0.35">
      <c r="A316" s="448" t="s">
        <v>35</v>
      </c>
      <c r="B316" s="449" t="s">
        <v>1681</v>
      </c>
      <c r="C316" s="450">
        <v>2</v>
      </c>
      <c r="D316" s="449">
        <v>2025</v>
      </c>
    </row>
    <row r="317" spans="1:4" ht="13.15" x14ac:dyDescent="0.35">
      <c r="A317" s="451" t="s">
        <v>35</v>
      </c>
      <c r="B317" s="452" t="s">
        <v>1681</v>
      </c>
      <c r="C317" s="453">
        <v>4</v>
      </c>
      <c r="D317" s="452">
        <v>2025</v>
      </c>
    </row>
    <row r="318" spans="1:4" ht="13.15" x14ac:dyDescent="0.35">
      <c r="A318" s="448" t="s">
        <v>35</v>
      </c>
      <c r="B318" s="449" t="s">
        <v>1682</v>
      </c>
      <c r="C318" s="450">
        <v>10</v>
      </c>
      <c r="D318" s="449">
        <v>2024</v>
      </c>
    </row>
    <row r="319" spans="1:4" ht="13.15" x14ac:dyDescent="0.35">
      <c r="A319" s="451" t="s">
        <v>35</v>
      </c>
      <c r="B319" s="452" t="s">
        <v>1682</v>
      </c>
      <c r="C319" s="453">
        <v>6</v>
      </c>
      <c r="D319" s="452">
        <v>2024</v>
      </c>
    </row>
    <row r="320" spans="1:4" ht="13.15" x14ac:dyDescent="0.35">
      <c r="A320" s="448" t="s">
        <v>35</v>
      </c>
      <c r="B320" s="449" t="s">
        <v>1682</v>
      </c>
      <c r="C320" s="450">
        <v>25</v>
      </c>
      <c r="D320" s="449">
        <v>2024</v>
      </c>
    </row>
    <row r="321" spans="1:4" ht="13.15" x14ac:dyDescent="0.35">
      <c r="A321" s="451" t="s">
        <v>35</v>
      </c>
      <c r="B321" s="452" t="s">
        <v>1682</v>
      </c>
      <c r="C321" s="453">
        <v>15</v>
      </c>
      <c r="D321" s="452">
        <v>2024</v>
      </c>
    </row>
    <row r="322" spans="1:4" ht="13.15" x14ac:dyDescent="0.35">
      <c r="A322" s="448" t="s">
        <v>35</v>
      </c>
      <c r="B322" s="449" t="s">
        <v>1682</v>
      </c>
      <c r="C322" s="450">
        <v>8</v>
      </c>
      <c r="D322" s="449">
        <v>2024</v>
      </c>
    </row>
    <row r="323" spans="1:4" ht="13.15" x14ac:dyDescent="0.35">
      <c r="A323" s="451" t="s">
        <v>35</v>
      </c>
      <c r="B323" s="452" t="s">
        <v>1682</v>
      </c>
      <c r="C323" s="453">
        <v>8</v>
      </c>
      <c r="D323" s="452">
        <v>2024</v>
      </c>
    </row>
    <row r="324" spans="1:4" ht="13.15" x14ac:dyDescent="0.35">
      <c r="A324" s="448" t="s">
        <v>35</v>
      </c>
      <c r="B324" s="449" t="s">
        <v>1682</v>
      </c>
      <c r="C324" s="450">
        <v>7</v>
      </c>
      <c r="D324" s="449">
        <v>2024</v>
      </c>
    </row>
    <row r="325" spans="1:4" ht="13.15" x14ac:dyDescent="0.35">
      <c r="A325" s="451" t="s">
        <v>35</v>
      </c>
      <c r="B325" s="452" t="s">
        <v>1682</v>
      </c>
      <c r="C325" s="453">
        <v>60</v>
      </c>
      <c r="D325" s="452">
        <v>2024</v>
      </c>
    </row>
    <row r="326" spans="1:4" ht="13.15" x14ac:dyDescent="0.35">
      <c r="A326" s="448" t="s">
        <v>35</v>
      </c>
      <c r="B326" s="449" t="s">
        <v>1682</v>
      </c>
      <c r="C326" s="450">
        <v>20</v>
      </c>
      <c r="D326" s="449">
        <v>2024</v>
      </c>
    </row>
    <row r="327" spans="1:4" ht="13.15" x14ac:dyDescent="0.35">
      <c r="A327" s="451" t="s">
        <v>35</v>
      </c>
      <c r="B327" s="452" t="s">
        <v>1682</v>
      </c>
      <c r="C327" s="453">
        <v>8</v>
      </c>
      <c r="D327" s="452">
        <v>2024</v>
      </c>
    </row>
    <row r="328" spans="1:4" ht="13.15" x14ac:dyDescent="0.35">
      <c r="A328" s="448" t="s">
        <v>35</v>
      </c>
      <c r="B328" s="449" t="s">
        <v>1682</v>
      </c>
      <c r="C328" s="450">
        <v>10</v>
      </c>
      <c r="D328" s="449">
        <v>2024</v>
      </c>
    </row>
    <row r="329" spans="1:4" ht="13.15" x14ac:dyDescent="0.35">
      <c r="A329" s="451" t="s">
        <v>35</v>
      </c>
      <c r="B329" s="452" t="s">
        <v>1682</v>
      </c>
      <c r="C329" s="453">
        <v>20</v>
      </c>
      <c r="D329" s="452">
        <v>2024</v>
      </c>
    </row>
    <row r="330" spans="1:4" ht="13.15" x14ac:dyDescent="0.35">
      <c r="A330" s="448" t="s">
        <v>35</v>
      </c>
      <c r="B330" s="449" t="s">
        <v>1682</v>
      </c>
      <c r="C330" s="450">
        <v>1</v>
      </c>
      <c r="D330" s="449">
        <v>2024</v>
      </c>
    </row>
    <row r="331" spans="1:4" ht="13.15" x14ac:dyDescent="0.35">
      <c r="A331" s="451" t="s">
        <v>35</v>
      </c>
      <c r="B331" s="452" t="s">
        <v>1682</v>
      </c>
      <c r="C331" s="453">
        <v>4</v>
      </c>
      <c r="D331" s="452">
        <v>2024</v>
      </c>
    </row>
    <row r="332" spans="1:4" ht="13.15" x14ac:dyDescent="0.35">
      <c r="A332" s="448" t="s">
        <v>35</v>
      </c>
      <c r="B332" s="449" t="s">
        <v>1682</v>
      </c>
      <c r="C332" s="450">
        <v>1</v>
      </c>
      <c r="D332" s="449">
        <v>2024</v>
      </c>
    </row>
    <row r="333" spans="1:4" ht="13.15" x14ac:dyDescent="0.35">
      <c r="A333" s="451" t="s">
        <v>35</v>
      </c>
      <c r="B333" s="452" t="s">
        <v>1683</v>
      </c>
      <c r="C333" s="453">
        <v>10</v>
      </c>
      <c r="D333" s="452">
        <v>2025</v>
      </c>
    </row>
    <row r="334" spans="1:4" ht="13.15" x14ac:dyDescent="0.35">
      <c r="A334" s="448" t="s">
        <v>35</v>
      </c>
      <c r="B334" s="449" t="s">
        <v>1683</v>
      </c>
      <c r="C334" s="450">
        <v>6</v>
      </c>
      <c r="D334" s="449">
        <v>2024</v>
      </c>
    </row>
    <row r="335" spans="1:4" ht="13.15" x14ac:dyDescent="0.35">
      <c r="A335" s="451" t="s">
        <v>35</v>
      </c>
      <c r="B335" s="452" t="s">
        <v>1683</v>
      </c>
      <c r="C335" s="453">
        <v>7</v>
      </c>
      <c r="D335" s="452">
        <v>2025</v>
      </c>
    </row>
    <row r="336" spans="1:4" ht="13.15" x14ac:dyDescent="0.35">
      <c r="A336" s="448" t="s">
        <v>35</v>
      </c>
      <c r="B336" s="449" t="s">
        <v>1683</v>
      </c>
      <c r="C336" s="450">
        <v>6</v>
      </c>
      <c r="D336" s="449">
        <v>2025</v>
      </c>
    </row>
    <row r="337" spans="1:4" ht="13.15" x14ac:dyDescent="0.35">
      <c r="A337" s="451" t="s">
        <v>35</v>
      </c>
      <c r="B337" s="452" t="s">
        <v>1683</v>
      </c>
      <c r="C337" s="453">
        <v>18</v>
      </c>
      <c r="D337" s="452">
        <v>2024</v>
      </c>
    </row>
    <row r="338" spans="1:4" ht="13.15" x14ac:dyDescent="0.35">
      <c r="A338" s="448" t="s">
        <v>35</v>
      </c>
      <c r="B338" s="449" t="s">
        <v>1683</v>
      </c>
      <c r="C338" s="450">
        <v>15</v>
      </c>
      <c r="D338" s="449">
        <v>2024</v>
      </c>
    </row>
    <row r="339" spans="1:4" ht="13.15" x14ac:dyDescent="0.35">
      <c r="A339" s="451" t="s">
        <v>35</v>
      </c>
      <c r="B339" s="452" t="s">
        <v>1683</v>
      </c>
      <c r="C339" s="453">
        <v>17</v>
      </c>
      <c r="D339" s="452">
        <v>2025</v>
      </c>
    </row>
    <row r="340" spans="1:4" ht="13.15" x14ac:dyDescent="0.35">
      <c r="A340" s="448" t="s">
        <v>35</v>
      </c>
      <c r="B340" s="449" t="s">
        <v>1683</v>
      </c>
      <c r="C340" s="450">
        <v>8</v>
      </c>
      <c r="D340" s="449">
        <v>2024</v>
      </c>
    </row>
    <row r="341" spans="1:4" ht="13.15" x14ac:dyDescent="0.35">
      <c r="A341" s="451" t="s">
        <v>35</v>
      </c>
      <c r="B341" s="452" t="s">
        <v>1683</v>
      </c>
      <c r="C341" s="453">
        <v>8</v>
      </c>
      <c r="D341" s="452">
        <v>2024</v>
      </c>
    </row>
    <row r="342" spans="1:4" ht="13.15" x14ac:dyDescent="0.35">
      <c r="A342" s="448" t="s">
        <v>35</v>
      </c>
      <c r="B342" s="449" t="s">
        <v>1683</v>
      </c>
      <c r="C342" s="450">
        <v>8</v>
      </c>
      <c r="D342" s="449">
        <v>2025</v>
      </c>
    </row>
    <row r="343" spans="1:4" ht="13.15" x14ac:dyDescent="0.35">
      <c r="A343" s="451" t="s">
        <v>35</v>
      </c>
      <c r="B343" s="452" t="s">
        <v>1683</v>
      </c>
      <c r="C343" s="453">
        <v>16</v>
      </c>
      <c r="D343" s="452">
        <v>2024</v>
      </c>
    </row>
    <row r="344" spans="1:4" ht="13.15" x14ac:dyDescent="0.35">
      <c r="A344" s="448" t="s">
        <v>35</v>
      </c>
      <c r="B344" s="449" t="s">
        <v>1683</v>
      </c>
      <c r="C344" s="450">
        <v>8</v>
      </c>
      <c r="D344" s="449">
        <v>2025</v>
      </c>
    </row>
    <row r="345" spans="1:4" ht="13.15" x14ac:dyDescent="0.35">
      <c r="A345" s="451" t="s">
        <v>35</v>
      </c>
      <c r="B345" s="452" t="s">
        <v>1683</v>
      </c>
      <c r="C345" s="453">
        <v>7</v>
      </c>
      <c r="D345" s="452">
        <v>2024</v>
      </c>
    </row>
    <row r="346" spans="1:4" ht="13.15" x14ac:dyDescent="0.35">
      <c r="A346" s="448" t="s">
        <v>35</v>
      </c>
      <c r="B346" s="449" t="s">
        <v>1683</v>
      </c>
      <c r="C346" s="450">
        <v>9</v>
      </c>
      <c r="D346" s="449">
        <v>2025</v>
      </c>
    </row>
    <row r="347" spans="1:4" ht="13.15" x14ac:dyDescent="0.35">
      <c r="A347" s="451" t="s">
        <v>35</v>
      </c>
      <c r="B347" s="452" t="s">
        <v>1683</v>
      </c>
      <c r="C347" s="453">
        <v>10</v>
      </c>
      <c r="D347" s="452">
        <v>2024</v>
      </c>
    </row>
    <row r="348" spans="1:4" ht="13.15" x14ac:dyDescent="0.35">
      <c r="A348" s="448" t="s">
        <v>35</v>
      </c>
      <c r="B348" s="449" t="s">
        <v>1683</v>
      </c>
      <c r="C348" s="450">
        <v>80</v>
      </c>
      <c r="D348" s="449">
        <v>2024</v>
      </c>
    </row>
    <row r="349" spans="1:4" ht="13.15" x14ac:dyDescent="0.35">
      <c r="A349" s="451" t="s">
        <v>35</v>
      </c>
      <c r="B349" s="452" t="s">
        <v>1683</v>
      </c>
      <c r="C349" s="453">
        <v>45</v>
      </c>
      <c r="D349" s="452">
        <v>2025</v>
      </c>
    </row>
    <row r="350" spans="1:4" ht="13.15" x14ac:dyDescent="0.35">
      <c r="A350" s="448" t="s">
        <v>35</v>
      </c>
      <c r="B350" s="449" t="s">
        <v>1683</v>
      </c>
      <c r="C350" s="450">
        <v>8</v>
      </c>
      <c r="D350" s="449">
        <v>2024</v>
      </c>
    </row>
    <row r="351" spans="1:4" ht="13.15" x14ac:dyDescent="0.35">
      <c r="A351" s="451" t="s">
        <v>35</v>
      </c>
      <c r="B351" s="452" t="s">
        <v>1683</v>
      </c>
      <c r="C351" s="453">
        <v>6</v>
      </c>
      <c r="D351" s="452">
        <v>2025</v>
      </c>
    </row>
    <row r="352" spans="1:4" ht="13.15" x14ac:dyDescent="0.35">
      <c r="A352" s="448" t="s">
        <v>35</v>
      </c>
      <c r="B352" s="449" t="s">
        <v>1683</v>
      </c>
      <c r="C352" s="450">
        <v>12</v>
      </c>
      <c r="D352" s="449">
        <v>2024</v>
      </c>
    </row>
    <row r="353" spans="1:4" ht="13.15" x14ac:dyDescent="0.35">
      <c r="A353" s="451" t="s">
        <v>35</v>
      </c>
      <c r="B353" s="452" t="s">
        <v>1683</v>
      </c>
      <c r="C353" s="453">
        <v>20</v>
      </c>
      <c r="D353" s="452">
        <v>2024</v>
      </c>
    </row>
    <row r="354" spans="1:4" ht="13.15" x14ac:dyDescent="0.35">
      <c r="A354" s="448" t="s">
        <v>35</v>
      </c>
      <c r="B354" s="449" t="s">
        <v>1683</v>
      </c>
      <c r="C354" s="450">
        <v>15</v>
      </c>
      <c r="D354" s="449">
        <v>2025</v>
      </c>
    </row>
    <row r="355" spans="1:4" ht="13.15" x14ac:dyDescent="0.35">
      <c r="A355" s="451" t="s">
        <v>35</v>
      </c>
      <c r="B355" s="452" t="s">
        <v>1683</v>
      </c>
      <c r="C355" s="453">
        <v>1</v>
      </c>
      <c r="D355" s="452">
        <v>2024</v>
      </c>
    </row>
    <row r="356" spans="1:4" ht="13.15" x14ac:dyDescent="0.35">
      <c r="A356" s="448" t="s">
        <v>35</v>
      </c>
      <c r="B356" s="449" t="s">
        <v>1683</v>
      </c>
      <c r="C356" s="450">
        <v>1</v>
      </c>
      <c r="D356" s="449">
        <v>2024</v>
      </c>
    </row>
    <row r="357" spans="1:4" ht="13.15" x14ac:dyDescent="0.35">
      <c r="A357" s="451" t="s">
        <v>35</v>
      </c>
      <c r="B357" s="452" t="s">
        <v>1683</v>
      </c>
      <c r="C357" s="453">
        <v>2</v>
      </c>
      <c r="D357" s="452">
        <v>2025</v>
      </c>
    </row>
    <row r="358" spans="1:4" ht="13.15" x14ac:dyDescent="0.35">
      <c r="A358" s="448" t="s">
        <v>35</v>
      </c>
      <c r="B358" s="449" t="s">
        <v>1683</v>
      </c>
      <c r="C358" s="450">
        <v>6</v>
      </c>
      <c r="D358" s="449">
        <v>2024</v>
      </c>
    </row>
    <row r="359" spans="1:4" ht="13.15" x14ac:dyDescent="0.35">
      <c r="A359" s="451" t="s">
        <v>35</v>
      </c>
      <c r="B359" s="452" t="s">
        <v>1683</v>
      </c>
      <c r="C359" s="453">
        <v>4</v>
      </c>
      <c r="D359" s="452">
        <v>2024</v>
      </c>
    </row>
    <row r="360" spans="1:4" ht="13.15" x14ac:dyDescent="0.35">
      <c r="A360" s="448" t="s">
        <v>35</v>
      </c>
      <c r="B360" s="449" t="s">
        <v>1683</v>
      </c>
      <c r="C360" s="450">
        <v>6</v>
      </c>
      <c r="D360" s="449">
        <v>2025</v>
      </c>
    </row>
    <row r="361" spans="1:4" ht="13.15" x14ac:dyDescent="0.35">
      <c r="A361" s="451" t="s">
        <v>35</v>
      </c>
      <c r="B361" s="452" t="s">
        <v>1684</v>
      </c>
      <c r="C361" s="453">
        <v>6</v>
      </c>
      <c r="D361" s="452">
        <v>2024</v>
      </c>
    </row>
    <row r="362" spans="1:4" ht="13.15" x14ac:dyDescent="0.35">
      <c r="A362" s="448" t="s">
        <v>35</v>
      </c>
      <c r="B362" s="449" t="s">
        <v>1684</v>
      </c>
      <c r="C362" s="450">
        <v>0</v>
      </c>
      <c r="D362" s="449">
        <v>2025</v>
      </c>
    </row>
    <row r="363" spans="1:4" ht="13.15" x14ac:dyDescent="0.35">
      <c r="A363" s="451" t="s">
        <v>35</v>
      </c>
      <c r="B363" s="452" t="s">
        <v>1684</v>
      </c>
      <c r="C363" s="453">
        <v>6</v>
      </c>
      <c r="D363" s="452">
        <v>2024</v>
      </c>
    </row>
    <row r="364" spans="1:4" ht="13.15" x14ac:dyDescent="0.35">
      <c r="A364" s="448" t="s">
        <v>35</v>
      </c>
      <c r="B364" s="449" t="s">
        <v>1684</v>
      </c>
      <c r="C364" s="450">
        <v>12</v>
      </c>
      <c r="D364" s="449">
        <v>2025</v>
      </c>
    </row>
    <row r="365" spans="1:4" ht="13.15" x14ac:dyDescent="0.35">
      <c r="A365" s="451" t="s">
        <v>35</v>
      </c>
      <c r="B365" s="452" t="s">
        <v>1684</v>
      </c>
      <c r="C365" s="453">
        <v>20</v>
      </c>
      <c r="D365" s="452">
        <v>2024</v>
      </c>
    </row>
    <row r="366" spans="1:4" ht="13.15" x14ac:dyDescent="0.35">
      <c r="A366" s="448" t="s">
        <v>35</v>
      </c>
      <c r="B366" s="449" t="s">
        <v>1684</v>
      </c>
      <c r="C366" s="450">
        <v>20</v>
      </c>
      <c r="D366" s="449">
        <v>2024</v>
      </c>
    </row>
    <row r="367" spans="1:4" ht="13.15" x14ac:dyDescent="0.35">
      <c r="A367" s="451" t="s">
        <v>35</v>
      </c>
      <c r="B367" s="452" t="s">
        <v>1684</v>
      </c>
      <c r="C367" s="453">
        <v>15</v>
      </c>
      <c r="D367" s="452">
        <v>2024</v>
      </c>
    </row>
    <row r="368" spans="1:4" ht="13.15" x14ac:dyDescent="0.35">
      <c r="A368" s="448" t="s">
        <v>35</v>
      </c>
      <c r="B368" s="449" t="s">
        <v>1684</v>
      </c>
      <c r="C368" s="450">
        <v>18</v>
      </c>
      <c r="D368" s="449">
        <v>2024</v>
      </c>
    </row>
    <row r="369" spans="1:4" ht="13.15" x14ac:dyDescent="0.35">
      <c r="A369" s="451" t="s">
        <v>35</v>
      </c>
      <c r="B369" s="452" t="s">
        <v>1684</v>
      </c>
      <c r="C369" s="453">
        <v>17</v>
      </c>
      <c r="D369" s="452">
        <v>2025</v>
      </c>
    </row>
    <row r="370" spans="1:4" ht="13.15" x14ac:dyDescent="0.35">
      <c r="A370" s="448" t="s">
        <v>35</v>
      </c>
      <c r="B370" s="449" t="s">
        <v>1684</v>
      </c>
      <c r="C370" s="450">
        <v>8</v>
      </c>
      <c r="D370" s="449">
        <v>2024</v>
      </c>
    </row>
    <row r="371" spans="1:4" ht="13.15" x14ac:dyDescent="0.35">
      <c r="A371" s="451" t="s">
        <v>35</v>
      </c>
      <c r="B371" s="452" t="s">
        <v>1684</v>
      </c>
      <c r="C371" s="453">
        <v>8</v>
      </c>
      <c r="D371" s="452">
        <v>2024</v>
      </c>
    </row>
    <row r="372" spans="1:4" ht="13.15" x14ac:dyDescent="0.35">
      <c r="A372" s="448" t="s">
        <v>35</v>
      </c>
      <c r="B372" s="449" t="s">
        <v>1684</v>
      </c>
      <c r="C372" s="450">
        <v>8</v>
      </c>
      <c r="D372" s="449">
        <v>2025</v>
      </c>
    </row>
    <row r="373" spans="1:4" ht="13.15" x14ac:dyDescent="0.35">
      <c r="A373" s="451" t="s">
        <v>35</v>
      </c>
      <c r="B373" s="452" t="s">
        <v>1684</v>
      </c>
      <c r="C373" s="453">
        <v>8</v>
      </c>
      <c r="D373" s="452">
        <v>2024</v>
      </c>
    </row>
    <row r="374" spans="1:4" ht="13.15" x14ac:dyDescent="0.35">
      <c r="A374" s="448" t="s">
        <v>35</v>
      </c>
      <c r="B374" s="449" t="s">
        <v>1684</v>
      </c>
      <c r="C374" s="450">
        <v>8</v>
      </c>
      <c r="D374" s="449">
        <v>2025</v>
      </c>
    </row>
    <row r="375" spans="1:4" ht="13.15" x14ac:dyDescent="0.35">
      <c r="A375" s="451" t="s">
        <v>35</v>
      </c>
      <c r="B375" s="452" t="s">
        <v>1684</v>
      </c>
      <c r="C375" s="453">
        <v>4</v>
      </c>
      <c r="D375" s="452">
        <v>2024</v>
      </c>
    </row>
    <row r="376" spans="1:4" ht="13.15" x14ac:dyDescent="0.35">
      <c r="A376" s="448" t="s">
        <v>35</v>
      </c>
      <c r="B376" s="449" t="s">
        <v>1684</v>
      </c>
      <c r="C376" s="450">
        <v>14</v>
      </c>
      <c r="D376" s="449">
        <v>2024</v>
      </c>
    </row>
    <row r="377" spans="1:4" ht="13.15" x14ac:dyDescent="0.35">
      <c r="A377" s="451" t="s">
        <v>35</v>
      </c>
      <c r="B377" s="452" t="s">
        <v>1684</v>
      </c>
      <c r="C377" s="453">
        <v>9</v>
      </c>
      <c r="D377" s="452">
        <v>2025</v>
      </c>
    </row>
    <row r="378" spans="1:4" ht="13.15" x14ac:dyDescent="0.35">
      <c r="A378" s="448" t="s">
        <v>35</v>
      </c>
      <c r="B378" s="449" t="s">
        <v>1684</v>
      </c>
      <c r="C378" s="450">
        <v>120</v>
      </c>
      <c r="D378" s="449">
        <v>2024</v>
      </c>
    </row>
    <row r="379" spans="1:4" ht="13.15" x14ac:dyDescent="0.35">
      <c r="A379" s="451" t="s">
        <v>35</v>
      </c>
      <c r="B379" s="452" t="s">
        <v>1684</v>
      </c>
      <c r="C379" s="453">
        <v>22</v>
      </c>
      <c r="D379" s="452">
        <v>2025</v>
      </c>
    </row>
    <row r="380" spans="1:4" ht="13.15" x14ac:dyDescent="0.35">
      <c r="A380" s="448" t="s">
        <v>35</v>
      </c>
      <c r="B380" s="449" t="s">
        <v>1684</v>
      </c>
      <c r="C380" s="450">
        <v>5</v>
      </c>
      <c r="D380" s="449">
        <v>2024</v>
      </c>
    </row>
    <row r="381" spans="1:4" ht="13.15" x14ac:dyDescent="0.35">
      <c r="A381" s="451" t="s">
        <v>35</v>
      </c>
      <c r="B381" s="452" t="s">
        <v>1684</v>
      </c>
      <c r="C381" s="453">
        <v>31</v>
      </c>
      <c r="D381" s="452">
        <v>2025</v>
      </c>
    </row>
    <row r="382" spans="1:4" ht="13.15" x14ac:dyDescent="0.35">
      <c r="A382" s="448" t="s">
        <v>35</v>
      </c>
      <c r="B382" s="449" t="s">
        <v>1684</v>
      </c>
      <c r="C382" s="450">
        <v>8</v>
      </c>
      <c r="D382" s="449">
        <v>2025</v>
      </c>
    </row>
    <row r="383" spans="1:4" ht="13.15" x14ac:dyDescent="0.35">
      <c r="A383" s="451" t="s">
        <v>35</v>
      </c>
      <c r="B383" s="452" t="s">
        <v>1684</v>
      </c>
      <c r="C383" s="453">
        <v>7</v>
      </c>
      <c r="D383" s="452">
        <v>2024</v>
      </c>
    </row>
    <row r="384" spans="1:4" ht="13.15" x14ac:dyDescent="0.35">
      <c r="A384" s="448" t="s">
        <v>35</v>
      </c>
      <c r="B384" s="449" t="s">
        <v>1684</v>
      </c>
      <c r="C384" s="450">
        <v>40</v>
      </c>
      <c r="D384" s="449">
        <v>2024</v>
      </c>
    </row>
    <row r="385" spans="1:4" ht="13.15" x14ac:dyDescent="0.35">
      <c r="A385" s="451" t="s">
        <v>35</v>
      </c>
      <c r="B385" s="452" t="s">
        <v>1684</v>
      </c>
      <c r="C385" s="453">
        <v>15</v>
      </c>
      <c r="D385" s="452">
        <v>2025</v>
      </c>
    </row>
    <row r="386" spans="1:4" ht="13.15" x14ac:dyDescent="0.35">
      <c r="A386" s="448" t="s">
        <v>35</v>
      </c>
      <c r="B386" s="449" t="s">
        <v>1684</v>
      </c>
      <c r="C386" s="450">
        <v>2</v>
      </c>
      <c r="D386" s="449">
        <v>2024</v>
      </c>
    </row>
    <row r="387" spans="1:4" ht="13.15" x14ac:dyDescent="0.35">
      <c r="A387" s="451" t="s">
        <v>35</v>
      </c>
      <c r="B387" s="452" t="s">
        <v>1684</v>
      </c>
      <c r="C387" s="453">
        <v>1</v>
      </c>
      <c r="D387" s="452">
        <v>2025</v>
      </c>
    </row>
    <row r="388" spans="1:4" ht="13.15" x14ac:dyDescent="0.35">
      <c r="A388" s="448" t="s">
        <v>35</v>
      </c>
      <c r="B388" s="449" t="s">
        <v>1684</v>
      </c>
      <c r="C388" s="450">
        <v>1</v>
      </c>
      <c r="D388" s="449">
        <v>2025</v>
      </c>
    </row>
    <row r="389" spans="1:4" ht="13.15" x14ac:dyDescent="0.35">
      <c r="A389" s="451" t="s">
        <v>35</v>
      </c>
      <c r="B389" s="452" t="s">
        <v>1684</v>
      </c>
      <c r="C389" s="453">
        <v>4</v>
      </c>
      <c r="D389" s="452">
        <v>2025</v>
      </c>
    </row>
    <row r="390" spans="1:4" ht="13.15" x14ac:dyDescent="0.35">
      <c r="A390" s="448" t="s">
        <v>35</v>
      </c>
      <c r="B390" s="449" t="s">
        <v>1685</v>
      </c>
      <c r="C390" s="450">
        <v>30</v>
      </c>
      <c r="D390" s="449">
        <v>2025</v>
      </c>
    </row>
    <row r="391" spans="1:4" ht="13.15" x14ac:dyDescent="0.35">
      <c r="A391" s="451" t="s">
        <v>35</v>
      </c>
      <c r="B391" s="452" t="s">
        <v>1685</v>
      </c>
      <c r="C391" s="453">
        <v>10</v>
      </c>
      <c r="D391" s="452">
        <v>2024</v>
      </c>
    </row>
    <row r="392" spans="1:4" ht="13.15" x14ac:dyDescent="0.35">
      <c r="A392" s="448" t="s">
        <v>35</v>
      </c>
      <c r="B392" s="449" t="s">
        <v>1685</v>
      </c>
      <c r="C392" s="450">
        <v>6</v>
      </c>
      <c r="D392" s="449">
        <v>2024</v>
      </c>
    </row>
    <row r="393" spans="1:4" ht="13.15" x14ac:dyDescent="0.35">
      <c r="A393" s="451" t="s">
        <v>35</v>
      </c>
      <c r="B393" s="452" t="s">
        <v>1685</v>
      </c>
      <c r="C393" s="453">
        <v>6</v>
      </c>
      <c r="D393" s="452">
        <v>2025</v>
      </c>
    </row>
    <row r="394" spans="1:4" ht="13.15" x14ac:dyDescent="0.35">
      <c r="A394" s="448" t="s">
        <v>35</v>
      </c>
      <c r="B394" s="449" t="s">
        <v>1685</v>
      </c>
      <c r="C394" s="450">
        <v>50</v>
      </c>
      <c r="D394" s="449">
        <v>2025</v>
      </c>
    </row>
    <row r="395" spans="1:4" ht="13.15" x14ac:dyDescent="0.35">
      <c r="A395" s="451" t="s">
        <v>35</v>
      </c>
      <c r="B395" s="452" t="s">
        <v>1685</v>
      </c>
      <c r="C395" s="453">
        <v>25</v>
      </c>
      <c r="D395" s="452">
        <v>2024</v>
      </c>
    </row>
    <row r="396" spans="1:4" ht="13.15" x14ac:dyDescent="0.35">
      <c r="A396" s="448" t="s">
        <v>35</v>
      </c>
      <c r="B396" s="449" t="s">
        <v>1685</v>
      </c>
      <c r="C396" s="450">
        <v>4</v>
      </c>
      <c r="D396" s="449">
        <v>2025</v>
      </c>
    </row>
    <row r="397" spans="1:4" ht="13.15" x14ac:dyDescent="0.35">
      <c r="A397" s="451" t="s">
        <v>35</v>
      </c>
      <c r="B397" s="452" t="s">
        <v>1685</v>
      </c>
      <c r="C397" s="453">
        <v>1</v>
      </c>
      <c r="D397" s="452">
        <v>2024</v>
      </c>
    </row>
    <row r="398" spans="1:4" ht="13.15" x14ac:dyDescent="0.35">
      <c r="A398" s="448" t="s">
        <v>35</v>
      </c>
      <c r="B398" s="449" t="s">
        <v>1685</v>
      </c>
      <c r="C398" s="450">
        <v>18</v>
      </c>
      <c r="D398" s="449">
        <v>2024</v>
      </c>
    </row>
    <row r="399" spans="1:4" ht="13.15" x14ac:dyDescent="0.35">
      <c r="A399" s="451" t="s">
        <v>35</v>
      </c>
      <c r="B399" s="452" t="s">
        <v>1685</v>
      </c>
      <c r="C399" s="453">
        <v>17</v>
      </c>
      <c r="D399" s="452">
        <v>2025</v>
      </c>
    </row>
    <row r="400" spans="1:4" ht="13.15" x14ac:dyDescent="0.35">
      <c r="A400" s="448" t="s">
        <v>35</v>
      </c>
      <c r="B400" s="449" t="s">
        <v>1685</v>
      </c>
      <c r="C400" s="450">
        <v>8</v>
      </c>
      <c r="D400" s="449">
        <v>2024</v>
      </c>
    </row>
    <row r="401" spans="1:4" ht="13.15" x14ac:dyDescent="0.35">
      <c r="A401" s="451" t="s">
        <v>35</v>
      </c>
      <c r="B401" s="452" t="s">
        <v>1685</v>
      </c>
      <c r="C401" s="453">
        <v>16</v>
      </c>
      <c r="D401" s="452">
        <v>2025</v>
      </c>
    </row>
    <row r="402" spans="1:4" ht="13.15" x14ac:dyDescent="0.35">
      <c r="A402" s="448" t="s">
        <v>35</v>
      </c>
      <c r="B402" s="449" t="s">
        <v>1685</v>
      </c>
      <c r="C402" s="450">
        <v>8</v>
      </c>
      <c r="D402" s="449">
        <v>2024</v>
      </c>
    </row>
    <row r="403" spans="1:4" ht="13.15" x14ac:dyDescent="0.35">
      <c r="A403" s="451" t="s">
        <v>35</v>
      </c>
      <c r="B403" s="452" t="s">
        <v>1685</v>
      </c>
      <c r="C403" s="453">
        <v>16</v>
      </c>
      <c r="D403" s="452">
        <v>2025</v>
      </c>
    </row>
    <row r="404" spans="1:4" ht="13.15" x14ac:dyDescent="0.35">
      <c r="A404" s="448" t="s">
        <v>35</v>
      </c>
      <c r="B404" s="449" t="s">
        <v>1685</v>
      </c>
      <c r="C404" s="450">
        <v>40</v>
      </c>
      <c r="D404" s="449">
        <v>2024</v>
      </c>
    </row>
    <row r="405" spans="1:4" ht="13.15" x14ac:dyDescent="0.35">
      <c r="A405" s="451" t="s">
        <v>35</v>
      </c>
      <c r="B405" s="452" t="s">
        <v>1685</v>
      </c>
      <c r="C405" s="453">
        <v>8</v>
      </c>
      <c r="D405" s="452">
        <v>2025</v>
      </c>
    </row>
    <row r="406" spans="1:4" ht="13.15" x14ac:dyDescent="0.35">
      <c r="A406" s="448" t="s">
        <v>35</v>
      </c>
      <c r="B406" s="449" t="s">
        <v>1685</v>
      </c>
      <c r="C406" s="450">
        <v>32</v>
      </c>
      <c r="D406" s="449">
        <v>2024</v>
      </c>
    </row>
    <row r="407" spans="1:4" ht="13.15" x14ac:dyDescent="0.35">
      <c r="A407" s="451" t="s">
        <v>35</v>
      </c>
      <c r="B407" s="452" t="s">
        <v>1685</v>
      </c>
      <c r="C407" s="453">
        <v>8</v>
      </c>
      <c r="D407" s="452">
        <v>2025</v>
      </c>
    </row>
    <row r="408" spans="1:4" ht="13.15" x14ac:dyDescent="0.35">
      <c r="A408" s="448" t="s">
        <v>35</v>
      </c>
      <c r="B408" s="449" t="s">
        <v>1685</v>
      </c>
      <c r="C408" s="450">
        <v>16</v>
      </c>
      <c r="D408" s="449">
        <v>2024</v>
      </c>
    </row>
    <row r="409" spans="1:4" ht="13.15" x14ac:dyDescent="0.35">
      <c r="A409" s="451" t="s">
        <v>35</v>
      </c>
      <c r="B409" s="452" t="s">
        <v>1685</v>
      </c>
      <c r="C409" s="453">
        <v>9</v>
      </c>
      <c r="D409" s="452">
        <v>2025</v>
      </c>
    </row>
    <row r="410" spans="1:4" ht="13.15" x14ac:dyDescent="0.35">
      <c r="A410" s="448" t="s">
        <v>35</v>
      </c>
      <c r="B410" s="449" t="s">
        <v>1685</v>
      </c>
      <c r="C410" s="450">
        <v>27</v>
      </c>
      <c r="D410" s="449">
        <v>2025</v>
      </c>
    </row>
    <row r="411" spans="1:4" ht="13.15" x14ac:dyDescent="0.35">
      <c r="A411" s="451" t="s">
        <v>35</v>
      </c>
      <c r="B411" s="452" t="s">
        <v>1685</v>
      </c>
      <c r="C411" s="453">
        <v>4</v>
      </c>
      <c r="D411" s="452">
        <v>2024</v>
      </c>
    </row>
    <row r="412" spans="1:4" ht="13.15" x14ac:dyDescent="0.35">
      <c r="A412" s="448" t="s">
        <v>35</v>
      </c>
      <c r="B412" s="449" t="s">
        <v>1685</v>
      </c>
      <c r="C412" s="450">
        <v>40</v>
      </c>
      <c r="D412" s="449">
        <v>2024</v>
      </c>
    </row>
    <row r="413" spans="1:4" ht="13.15" x14ac:dyDescent="0.35">
      <c r="A413" s="451" t="s">
        <v>35</v>
      </c>
      <c r="B413" s="452" t="s">
        <v>1685</v>
      </c>
      <c r="C413" s="453">
        <v>45</v>
      </c>
      <c r="D413" s="452">
        <v>2025</v>
      </c>
    </row>
    <row r="414" spans="1:4" ht="13.15" x14ac:dyDescent="0.35">
      <c r="A414" s="448" t="s">
        <v>35</v>
      </c>
      <c r="B414" s="449" t="s">
        <v>1685</v>
      </c>
      <c r="C414" s="450">
        <v>6</v>
      </c>
      <c r="D414" s="449">
        <v>2025</v>
      </c>
    </row>
    <row r="415" spans="1:4" ht="13.15" x14ac:dyDescent="0.35">
      <c r="A415" s="451" t="s">
        <v>35</v>
      </c>
      <c r="B415" s="452" t="s">
        <v>1685</v>
      </c>
      <c r="C415" s="453">
        <v>8</v>
      </c>
      <c r="D415" s="452">
        <v>2024</v>
      </c>
    </row>
    <row r="416" spans="1:4" ht="13.15" x14ac:dyDescent="0.35">
      <c r="A416" s="448" t="s">
        <v>35</v>
      </c>
      <c r="B416" s="449" t="s">
        <v>1685</v>
      </c>
      <c r="C416" s="450">
        <v>6</v>
      </c>
      <c r="D416" s="449">
        <v>2025</v>
      </c>
    </row>
    <row r="417" spans="1:4" ht="13.15" x14ac:dyDescent="0.35">
      <c r="A417" s="451" t="s">
        <v>35</v>
      </c>
      <c r="B417" s="452" t="s">
        <v>1685</v>
      </c>
      <c r="C417" s="453">
        <v>20</v>
      </c>
      <c r="D417" s="452">
        <v>2024</v>
      </c>
    </row>
    <row r="418" spans="1:4" ht="13.15" x14ac:dyDescent="0.35">
      <c r="A418" s="448" t="s">
        <v>35</v>
      </c>
      <c r="B418" s="449" t="s">
        <v>1685</v>
      </c>
      <c r="C418" s="450">
        <v>45</v>
      </c>
      <c r="D418" s="449">
        <v>2025</v>
      </c>
    </row>
    <row r="419" spans="1:4" ht="13.15" x14ac:dyDescent="0.35">
      <c r="A419" s="451" t="s">
        <v>35</v>
      </c>
      <c r="B419" s="452" t="s">
        <v>1685</v>
      </c>
      <c r="C419" s="453">
        <v>2</v>
      </c>
      <c r="D419" s="452">
        <v>2024</v>
      </c>
    </row>
    <row r="420" spans="1:4" ht="13.15" x14ac:dyDescent="0.35">
      <c r="A420" s="448" t="s">
        <v>35</v>
      </c>
      <c r="B420" s="449" t="s">
        <v>1685</v>
      </c>
      <c r="C420" s="450">
        <v>1</v>
      </c>
      <c r="D420" s="449">
        <v>2025</v>
      </c>
    </row>
    <row r="421" spans="1:4" ht="13.15" x14ac:dyDescent="0.35">
      <c r="A421" s="451" t="s">
        <v>35</v>
      </c>
      <c r="B421" s="452" t="s">
        <v>1685</v>
      </c>
      <c r="C421" s="453">
        <v>6</v>
      </c>
      <c r="D421" s="452">
        <v>2025</v>
      </c>
    </row>
    <row r="422" spans="1:4" ht="13.15" x14ac:dyDescent="0.35">
      <c r="A422" s="448" t="s">
        <v>35</v>
      </c>
      <c r="B422" s="449" t="s">
        <v>1685</v>
      </c>
      <c r="C422" s="450">
        <v>6</v>
      </c>
      <c r="D422" s="449">
        <v>2025</v>
      </c>
    </row>
    <row r="423" spans="1:4" ht="13.15" x14ac:dyDescent="0.35">
      <c r="A423" s="451" t="s">
        <v>35</v>
      </c>
      <c r="B423" s="452" t="s">
        <v>1685</v>
      </c>
      <c r="C423" s="453">
        <v>3</v>
      </c>
      <c r="D423" s="452">
        <v>2024</v>
      </c>
    </row>
    <row r="424" spans="1:4" ht="13.15" x14ac:dyDescent="0.35">
      <c r="A424" s="448" t="s">
        <v>35</v>
      </c>
      <c r="B424" s="449" t="s">
        <v>1688</v>
      </c>
      <c r="C424" s="450">
        <v>5</v>
      </c>
      <c r="D424" s="449">
        <v>2024</v>
      </c>
    </row>
    <row r="425" spans="1:4" ht="13.15" x14ac:dyDescent="0.35">
      <c r="A425" s="451" t="s">
        <v>35</v>
      </c>
      <c r="B425" s="452" t="s">
        <v>1688</v>
      </c>
      <c r="C425" s="453">
        <v>15</v>
      </c>
      <c r="D425" s="452">
        <v>2024</v>
      </c>
    </row>
    <row r="426" spans="1:4" ht="13.15" x14ac:dyDescent="0.35">
      <c r="A426" s="448" t="s">
        <v>35</v>
      </c>
      <c r="B426" s="449" t="s">
        <v>1688</v>
      </c>
      <c r="C426" s="450">
        <v>5</v>
      </c>
      <c r="D426" s="449">
        <v>2024</v>
      </c>
    </row>
    <row r="427" spans="1:4" ht="13.15" x14ac:dyDescent="0.35">
      <c r="A427" s="451" t="s">
        <v>35</v>
      </c>
      <c r="B427" s="452" t="s">
        <v>1688</v>
      </c>
      <c r="C427" s="453">
        <v>30</v>
      </c>
      <c r="D427" s="452">
        <v>2024</v>
      </c>
    </row>
    <row r="428" spans="1:4" ht="13.15" x14ac:dyDescent="0.35">
      <c r="A428" s="448" t="s">
        <v>35</v>
      </c>
      <c r="B428" s="449" t="s">
        <v>1688</v>
      </c>
      <c r="C428" s="450">
        <v>8</v>
      </c>
      <c r="D428" s="449">
        <v>2024</v>
      </c>
    </row>
    <row r="429" spans="1:4" ht="13.15" x14ac:dyDescent="0.35">
      <c r="A429" s="451" t="s">
        <v>35</v>
      </c>
      <c r="B429" s="452" t="s">
        <v>1688</v>
      </c>
      <c r="C429" s="453">
        <v>8</v>
      </c>
      <c r="D429" s="452">
        <v>2024</v>
      </c>
    </row>
    <row r="430" spans="1:4" ht="13.15" x14ac:dyDescent="0.35">
      <c r="A430" s="448" t="s">
        <v>35</v>
      </c>
      <c r="B430" s="449" t="s">
        <v>1688</v>
      </c>
      <c r="C430" s="450">
        <v>0</v>
      </c>
      <c r="D430" s="449">
        <v>2024</v>
      </c>
    </row>
    <row r="431" spans="1:4" ht="13.15" x14ac:dyDescent="0.35">
      <c r="A431" s="451" t="s">
        <v>35</v>
      </c>
      <c r="B431" s="452" t="s">
        <v>1688</v>
      </c>
      <c r="C431" s="453">
        <v>2</v>
      </c>
      <c r="D431" s="452">
        <v>2024</v>
      </c>
    </row>
    <row r="432" spans="1:4" ht="13.15" x14ac:dyDescent="0.35">
      <c r="A432" s="448" t="s">
        <v>35</v>
      </c>
      <c r="B432" s="449" t="s">
        <v>1686</v>
      </c>
      <c r="C432" s="450">
        <v>18</v>
      </c>
      <c r="D432" s="449">
        <v>2024</v>
      </c>
    </row>
    <row r="433" spans="1:4" ht="13.15" x14ac:dyDescent="0.35">
      <c r="A433" s="451" t="s">
        <v>35</v>
      </c>
      <c r="B433" s="452" t="s">
        <v>1686</v>
      </c>
      <c r="C433" s="453">
        <v>12</v>
      </c>
      <c r="D433" s="452">
        <v>2024</v>
      </c>
    </row>
    <row r="434" spans="1:4" ht="13.15" x14ac:dyDescent="0.35">
      <c r="A434" s="448" t="s">
        <v>35</v>
      </c>
      <c r="B434" s="449" t="s">
        <v>1686</v>
      </c>
      <c r="C434" s="450">
        <v>25</v>
      </c>
      <c r="D434" s="449">
        <v>2024</v>
      </c>
    </row>
    <row r="435" spans="1:4" ht="13.15" x14ac:dyDescent="0.35">
      <c r="A435" s="451" t="s">
        <v>35</v>
      </c>
      <c r="B435" s="452" t="s">
        <v>1686</v>
      </c>
      <c r="C435" s="453">
        <v>17</v>
      </c>
      <c r="D435" s="452">
        <v>2024</v>
      </c>
    </row>
    <row r="436" spans="1:4" ht="13.15" x14ac:dyDescent="0.35">
      <c r="A436" s="448" t="s">
        <v>35</v>
      </c>
      <c r="B436" s="449" t="s">
        <v>1686</v>
      </c>
      <c r="C436" s="450">
        <v>17</v>
      </c>
      <c r="D436" s="449">
        <v>2024</v>
      </c>
    </row>
    <row r="437" spans="1:4" ht="13.15" x14ac:dyDescent="0.35">
      <c r="A437" s="451" t="s">
        <v>35</v>
      </c>
      <c r="B437" s="452" t="s">
        <v>1686</v>
      </c>
      <c r="C437" s="453">
        <v>16</v>
      </c>
      <c r="D437" s="452">
        <v>2024</v>
      </c>
    </row>
    <row r="438" spans="1:4" ht="13.15" x14ac:dyDescent="0.35">
      <c r="A438" s="448" t="s">
        <v>35</v>
      </c>
      <c r="B438" s="449" t="s">
        <v>1686</v>
      </c>
      <c r="C438" s="450">
        <v>16</v>
      </c>
      <c r="D438" s="449">
        <v>2024</v>
      </c>
    </row>
    <row r="439" spans="1:4" ht="13.15" x14ac:dyDescent="0.35">
      <c r="A439" s="451" t="s">
        <v>35</v>
      </c>
      <c r="B439" s="452" t="s">
        <v>1686</v>
      </c>
      <c r="C439" s="453">
        <v>15</v>
      </c>
      <c r="D439" s="452">
        <v>2024</v>
      </c>
    </row>
    <row r="440" spans="1:4" ht="13.15" x14ac:dyDescent="0.35">
      <c r="A440" s="448" t="s">
        <v>35</v>
      </c>
      <c r="B440" s="449" t="s">
        <v>1686</v>
      </c>
      <c r="C440" s="450">
        <v>18</v>
      </c>
      <c r="D440" s="449">
        <v>2024</v>
      </c>
    </row>
    <row r="441" spans="1:4" ht="13.15" x14ac:dyDescent="0.35">
      <c r="A441" s="451" t="s">
        <v>35</v>
      </c>
      <c r="B441" s="452" t="s">
        <v>1686</v>
      </c>
      <c r="C441" s="453">
        <v>120</v>
      </c>
      <c r="D441" s="452">
        <v>2024</v>
      </c>
    </row>
    <row r="442" spans="1:4" ht="13.15" x14ac:dyDescent="0.35">
      <c r="A442" s="448" t="s">
        <v>35</v>
      </c>
      <c r="B442" s="449" t="s">
        <v>1686</v>
      </c>
      <c r="C442" s="450">
        <v>40</v>
      </c>
      <c r="D442" s="449">
        <v>2024</v>
      </c>
    </row>
    <row r="443" spans="1:4" ht="13.15" x14ac:dyDescent="0.35">
      <c r="A443" s="451" t="s">
        <v>35</v>
      </c>
      <c r="B443" s="452" t="s">
        <v>1686</v>
      </c>
      <c r="C443" s="453">
        <v>16</v>
      </c>
      <c r="D443" s="452">
        <v>2024</v>
      </c>
    </row>
    <row r="444" spans="1:4" ht="13.15" x14ac:dyDescent="0.35">
      <c r="A444" s="448" t="s">
        <v>35</v>
      </c>
      <c r="B444" s="449" t="s">
        <v>1686</v>
      </c>
      <c r="C444" s="450">
        <v>10</v>
      </c>
      <c r="D444" s="449">
        <v>2024</v>
      </c>
    </row>
    <row r="445" spans="1:4" ht="13.15" x14ac:dyDescent="0.35">
      <c r="A445" s="451" t="s">
        <v>35</v>
      </c>
      <c r="B445" s="452" t="s">
        <v>1686</v>
      </c>
      <c r="C445" s="453">
        <v>40</v>
      </c>
      <c r="D445" s="452">
        <v>2024</v>
      </c>
    </row>
    <row r="446" spans="1:4" ht="13.15" x14ac:dyDescent="0.35">
      <c r="A446" s="448" t="s">
        <v>35</v>
      </c>
      <c r="B446" s="449" t="s">
        <v>1686</v>
      </c>
      <c r="C446" s="450">
        <v>5</v>
      </c>
      <c r="D446" s="449">
        <v>2024</v>
      </c>
    </row>
    <row r="447" spans="1:4" ht="13.15" x14ac:dyDescent="0.35">
      <c r="A447" s="451" t="s">
        <v>35</v>
      </c>
      <c r="B447" s="452" t="s">
        <v>1686</v>
      </c>
      <c r="C447" s="453">
        <v>8</v>
      </c>
      <c r="D447" s="452">
        <v>2024</v>
      </c>
    </row>
    <row r="448" spans="1:4" ht="13.15" x14ac:dyDescent="0.35">
      <c r="A448" s="448" t="s">
        <v>35</v>
      </c>
      <c r="B448" s="449" t="s">
        <v>1687</v>
      </c>
      <c r="C448" s="450">
        <v>10</v>
      </c>
      <c r="D448" s="449">
        <v>2024</v>
      </c>
    </row>
    <row r="449" spans="1:4" ht="13.15" x14ac:dyDescent="0.35">
      <c r="A449" s="451" t="s">
        <v>35</v>
      </c>
      <c r="B449" s="452" t="s">
        <v>1687</v>
      </c>
      <c r="C449" s="453">
        <v>6</v>
      </c>
      <c r="D449" s="452">
        <v>2024</v>
      </c>
    </row>
    <row r="450" spans="1:4" ht="13.15" x14ac:dyDescent="0.35">
      <c r="A450" s="448" t="s">
        <v>35</v>
      </c>
      <c r="B450" s="449" t="s">
        <v>1687</v>
      </c>
      <c r="C450" s="450">
        <v>25</v>
      </c>
      <c r="D450" s="449">
        <v>2024</v>
      </c>
    </row>
    <row r="451" spans="1:4" ht="13.15" x14ac:dyDescent="0.35">
      <c r="A451" s="451" t="s">
        <v>35</v>
      </c>
      <c r="B451" s="452" t="s">
        <v>1687</v>
      </c>
      <c r="C451" s="453">
        <v>1</v>
      </c>
      <c r="D451" s="452">
        <v>2024</v>
      </c>
    </row>
    <row r="452" spans="1:4" ht="13.15" x14ac:dyDescent="0.35">
      <c r="A452" s="448" t="s">
        <v>35</v>
      </c>
      <c r="B452" s="449" t="s">
        <v>1687</v>
      </c>
      <c r="C452" s="450">
        <v>21</v>
      </c>
      <c r="D452" s="449">
        <v>2024</v>
      </c>
    </row>
    <row r="453" spans="1:4" ht="13.15" x14ac:dyDescent="0.35">
      <c r="A453" s="451" t="s">
        <v>35</v>
      </c>
      <c r="B453" s="452" t="s">
        <v>1687</v>
      </c>
      <c r="C453" s="453">
        <v>8</v>
      </c>
      <c r="D453" s="452">
        <v>2024</v>
      </c>
    </row>
    <row r="454" spans="1:4" ht="13.15" x14ac:dyDescent="0.35">
      <c r="A454" s="448" t="s">
        <v>35</v>
      </c>
      <c r="B454" s="449" t="s">
        <v>1687</v>
      </c>
      <c r="C454" s="450">
        <v>8</v>
      </c>
      <c r="D454" s="449">
        <v>2024</v>
      </c>
    </row>
    <row r="455" spans="1:4" ht="13.15" x14ac:dyDescent="0.35">
      <c r="A455" s="451" t="s">
        <v>35</v>
      </c>
      <c r="B455" s="452" t="s">
        <v>1687</v>
      </c>
      <c r="C455" s="453">
        <v>5</v>
      </c>
      <c r="D455" s="452">
        <v>2024</v>
      </c>
    </row>
    <row r="456" spans="1:4" ht="13.15" x14ac:dyDescent="0.35">
      <c r="A456" s="448" t="s">
        <v>35</v>
      </c>
      <c r="B456" s="449" t="s">
        <v>1687</v>
      </c>
      <c r="C456" s="450">
        <v>9</v>
      </c>
      <c r="D456" s="449">
        <v>2024</v>
      </c>
    </row>
    <row r="457" spans="1:4" ht="13.15" x14ac:dyDescent="0.35">
      <c r="A457" s="451" t="s">
        <v>35</v>
      </c>
      <c r="B457" s="452" t="s">
        <v>1687</v>
      </c>
      <c r="C457" s="453">
        <v>30</v>
      </c>
      <c r="D457" s="452">
        <v>2024</v>
      </c>
    </row>
    <row r="458" spans="1:4" ht="13.15" x14ac:dyDescent="0.35">
      <c r="A458" s="448" t="s">
        <v>35</v>
      </c>
      <c r="B458" s="449" t="s">
        <v>1687</v>
      </c>
      <c r="C458" s="450">
        <v>45</v>
      </c>
      <c r="D458" s="449">
        <v>2024</v>
      </c>
    </row>
    <row r="459" spans="1:4" ht="13.15" x14ac:dyDescent="0.35">
      <c r="A459" s="451" t="s">
        <v>35</v>
      </c>
      <c r="B459" s="452" t="s">
        <v>1687</v>
      </c>
      <c r="C459" s="453">
        <v>8</v>
      </c>
      <c r="D459" s="452">
        <v>2024</v>
      </c>
    </row>
    <row r="460" spans="1:4" ht="13.15" x14ac:dyDescent="0.35">
      <c r="A460" s="448" t="s">
        <v>35</v>
      </c>
      <c r="B460" s="449" t="s">
        <v>1687</v>
      </c>
      <c r="C460" s="450">
        <v>12</v>
      </c>
      <c r="D460" s="449">
        <v>2024</v>
      </c>
    </row>
    <row r="461" spans="1:4" ht="13.15" x14ac:dyDescent="0.35">
      <c r="A461" s="451" t="s">
        <v>35</v>
      </c>
      <c r="B461" s="452" t="s">
        <v>1687</v>
      </c>
      <c r="C461" s="453">
        <v>20</v>
      </c>
      <c r="D461" s="452">
        <v>2024</v>
      </c>
    </row>
    <row r="462" spans="1:4" ht="13.15" x14ac:dyDescent="0.35">
      <c r="A462" s="448" t="s">
        <v>35</v>
      </c>
      <c r="B462" s="449" t="s">
        <v>1687</v>
      </c>
      <c r="C462" s="450">
        <v>2</v>
      </c>
      <c r="D462" s="449">
        <v>2024</v>
      </c>
    </row>
    <row r="463" spans="1:4" ht="13.15" x14ac:dyDescent="0.35">
      <c r="A463" s="451" t="s">
        <v>35</v>
      </c>
      <c r="B463" s="452" t="s">
        <v>1687</v>
      </c>
      <c r="C463" s="453">
        <v>4</v>
      </c>
      <c r="D463" s="452">
        <v>2024</v>
      </c>
    </row>
    <row r="464" spans="1:4" ht="13.15" x14ac:dyDescent="0.35">
      <c r="A464" s="448" t="s">
        <v>35</v>
      </c>
      <c r="B464" s="449" t="s">
        <v>1687</v>
      </c>
      <c r="C464" s="450">
        <v>4</v>
      </c>
      <c r="D464" s="449">
        <v>2024</v>
      </c>
    </row>
    <row r="465" spans="1:4" ht="13.15" x14ac:dyDescent="0.35">
      <c r="A465" s="451" t="s">
        <v>72</v>
      </c>
      <c r="B465" s="452" t="s">
        <v>1677</v>
      </c>
      <c r="C465" s="453">
        <v>24</v>
      </c>
      <c r="D465" s="452">
        <v>2025</v>
      </c>
    </row>
    <row r="466" spans="1:4" ht="13.15" x14ac:dyDescent="0.35">
      <c r="A466" s="448" t="s">
        <v>72</v>
      </c>
      <c r="B466" s="449" t="s">
        <v>1677</v>
      </c>
      <c r="C466" s="450">
        <v>24</v>
      </c>
      <c r="D466" s="449">
        <v>2024</v>
      </c>
    </row>
    <row r="467" spans="1:4" ht="13.15" x14ac:dyDescent="0.35">
      <c r="A467" s="451" t="s">
        <v>72</v>
      </c>
      <c r="B467" s="452" t="s">
        <v>1677</v>
      </c>
      <c r="C467" s="453">
        <v>5</v>
      </c>
      <c r="D467" s="452">
        <v>2025</v>
      </c>
    </row>
    <row r="468" spans="1:4" ht="13.15" x14ac:dyDescent="0.35">
      <c r="A468" s="448" t="s">
        <v>72</v>
      </c>
      <c r="B468" s="449" t="s">
        <v>1677</v>
      </c>
      <c r="C468" s="450">
        <v>20</v>
      </c>
      <c r="D468" s="449">
        <v>2025</v>
      </c>
    </row>
    <row r="469" spans="1:4" ht="13.15" x14ac:dyDescent="0.35">
      <c r="A469" s="451" t="s">
        <v>72</v>
      </c>
      <c r="B469" s="452" t="s">
        <v>1677</v>
      </c>
      <c r="C469" s="453">
        <v>4</v>
      </c>
      <c r="D469" s="452">
        <v>2024</v>
      </c>
    </row>
    <row r="470" spans="1:4" ht="13.15" x14ac:dyDescent="0.35">
      <c r="A470" s="448" t="s">
        <v>72</v>
      </c>
      <c r="B470" s="449" t="s">
        <v>1677</v>
      </c>
      <c r="C470" s="450">
        <v>5</v>
      </c>
      <c r="D470" s="449">
        <v>2024</v>
      </c>
    </row>
    <row r="471" spans="1:4" ht="13.15" x14ac:dyDescent="0.35">
      <c r="A471" s="451" t="s">
        <v>72</v>
      </c>
      <c r="B471" s="452" t="s">
        <v>1677</v>
      </c>
      <c r="C471" s="453">
        <v>2</v>
      </c>
      <c r="D471" s="452">
        <v>2025</v>
      </c>
    </row>
    <row r="472" spans="1:4" ht="13.15" x14ac:dyDescent="0.35">
      <c r="A472" s="448" t="s">
        <v>72</v>
      </c>
      <c r="B472" s="449" t="s">
        <v>1677</v>
      </c>
      <c r="C472" s="450">
        <v>8</v>
      </c>
      <c r="D472" s="449">
        <v>2025</v>
      </c>
    </row>
    <row r="473" spans="1:4" ht="13.15" x14ac:dyDescent="0.35">
      <c r="A473" s="451" t="s">
        <v>72</v>
      </c>
      <c r="B473" s="452" t="s">
        <v>1677</v>
      </c>
      <c r="C473" s="453">
        <v>4</v>
      </c>
      <c r="D473" s="452">
        <v>2025</v>
      </c>
    </row>
    <row r="474" spans="1:4" ht="13.15" x14ac:dyDescent="0.35">
      <c r="A474" s="448" t="s">
        <v>72</v>
      </c>
      <c r="B474" s="449" t="s">
        <v>1677</v>
      </c>
      <c r="C474" s="450">
        <v>3</v>
      </c>
      <c r="D474" s="449">
        <v>2024</v>
      </c>
    </row>
    <row r="475" spans="1:4" ht="13.15" x14ac:dyDescent="0.35">
      <c r="A475" s="451" t="s">
        <v>72</v>
      </c>
      <c r="B475" s="452" t="s">
        <v>1677</v>
      </c>
      <c r="C475" s="453">
        <v>3</v>
      </c>
      <c r="D475" s="452">
        <v>2024</v>
      </c>
    </row>
    <row r="476" spans="1:4" ht="13.15" x14ac:dyDescent="0.35">
      <c r="A476" s="448" t="s">
        <v>72</v>
      </c>
      <c r="B476" s="449" t="s">
        <v>1677</v>
      </c>
      <c r="C476" s="450">
        <v>5</v>
      </c>
      <c r="D476" s="449">
        <v>2024</v>
      </c>
    </row>
    <row r="477" spans="1:4" ht="13.15" x14ac:dyDescent="0.35">
      <c r="A477" s="451" t="s">
        <v>72</v>
      </c>
      <c r="B477" s="452" t="s">
        <v>1677</v>
      </c>
      <c r="C477" s="453">
        <v>3</v>
      </c>
      <c r="D477" s="452">
        <v>2025</v>
      </c>
    </row>
    <row r="478" spans="1:4" ht="13.15" x14ac:dyDescent="0.35">
      <c r="A478" s="448" t="s">
        <v>72</v>
      </c>
      <c r="B478" s="449" t="s">
        <v>1677</v>
      </c>
      <c r="C478" s="450">
        <v>7</v>
      </c>
      <c r="D478" s="449">
        <v>2024</v>
      </c>
    </row>
    <row r="479" spans="1:4" ht="13.15" x14ac:dyDescent="0.35">
      <c r="A479" s="451" t="s">
        <v>72</v>
      </c>
      <c r="B479" s="452" t="s">
        <v>1677</v>
      </c>
      <c r="C479" s="453">
        <v>4</v>
      </c>
      <c r="D479" s="452">
        <v>2024</v>
      </c>
    </row>
    <row r="480" spans="1:4" ht="13.15" x14ac:dyDescent="0.35">
      <c r="A480" s="448" t="s">
        <v>72</v>
      </c>
      <c r="B480" s="449" t="s">
        <v>1677</v>
      </c>
      <c r="C480" s="450">
        <v>5</v>
      </c>
      <c r="D480" s="449">
        <v>2025</v>
      </c>
    </row>
    <row r="481" spans="1:4" ht="13.15" x14ac:dyDescent="0.35">
      <c r="A481" s="451" t="s">
        <v>72</v>
      </c>
      <c r="B481" s="452" t="s">
        <v>1677</v>
      </c>
      <c r="C481" s="453">
        <v>25</v>
      </c>
      <c r="D481" s="452">
        <v>2025</v>
      </c>
    </row>
    <row r="482" spans="1:4" ht="13.15" x14ac:dyDescent="0.35">
      <c r="A482" s="448" t="s">
        <v>72</v>
      </c>
      <c r="B482" s="449" t="s">
        <v>1677</v>
      </c>
      <c r="C482" s="450">
        <v>30</v>
      </c>
      <c r="D482" s="449">
        <v>2024</v>
      </c>
    </row>
    <row r="483" spans="1:4" ht="13.15" x14ac:dyDescent="0.35">
      <c r="A483" s="451" t="s">
        <v>72</v>
      </c>
      <c r="B483" s="452" t="s">
        <v>1677</v>
      </c>
      <c r="C483" s="453">
        <v>1</v>
      </c>
      <c r="D483" s="452">
        <v>2025</v>
      </c>
    </row>
    <row r="484" spans="1:4" ht="13.15" x14ac:dyDescent="0.35">
      <c r="A484" s="448" t="s">
        <v>72</v>
      </c>
      <c r="B484" s="449" t="s">
        <v>1677</v>
      </c>
      <c r="C484" s="450">
        <v>8</v>
      </c>
      <c r="D484" s="449">
        <v>2024</v>
      </c>
    </row>
    <row r="485" spans="1:4" ht="13.15" x14ac:dyDescent="0.35">
      <c r="A485" s="451" t="s">
        <v>72</v>
      </c>
      <c r="B485" s="452" t="s">
        <v>1677</v>
      </c>
      <c r="C485" s="453">
        <v>8</v>
      </c>
      <c r="D485" s="452">
        <v>2025</v>
      </c>
    </row>
    <row r="486" spans="1:4" ht="13.15" x14ac:dyDescent="0.35">
      <c r="A486" s="448" t="s">
        <v>72</v>
      </c>
      <c r="B486" s="449" t="s">
        <v>1677</v>
      </c>
      <c r="C486" s="450">
        <v>15</v>
      </c>
      <c r="D486" s="449">
        <v>2025</v>
      </c>
    </row>
    <row r="487" spans="1:4" ht="13.15" x14ac:dyDescent="0.35">
      <c r="A487" s="451" t="s">
        <v>72</v>
      </c>
      <c r="B487" s="452" t="s">
        <v>1677</v>
      </c>
      <c r="C487" s="453">
        <v>15</v>
      </c>
      <c r="D487" s="452">
        <v>2024</v>
      </c>
    </row>
    <row r="488" spans="1:4" ht="13.15" x14ac:dyDescent="0.35">
      <c r="A488" s="448" t="s">
        <v>72</v>
      </c>
      <c r="B488" s="449" t="s">
        <v>1677</v>
      </c>
      <c r="C488" s="450">
        <v>10</v>
      </c>
      <c r="D488" s="449">
        <v>2025</v>
      </c>
    </row>
    <row r="489" spans="1:4" ht="13.15" x14ac:dyDescent="0.35">
      <c r="A489" s="451" t="s">
        <v>72</v>
      </c>
      <c r="B489" s="452" t="s">
        <v>1677</v>
      </c>
      <c r="C489" s="453">
        <v>8</v>
      </c>
      <c r="D489" s="452">
        <v>2025</v>
      </c>
    </row>
    <row r="490" spans="1:4" ht="13.15" x14ac:dyDescent="0.35">
      <c r="A490" s="448" t="s">
        <v>72</v>
      </c>
      <c r="B490" s="449" t="s">
        <v>1677</v>
      </c>
      <c r="C490" s="450">
        <v>8</v>
      </c>
      <c r="D490" s="449">
        <v>2024</v>
      </c>
    </row>
    <row r="491" spans="1:4" ht="13.15" x14ac:dyDescent="0.35">
      <c r="A491" s="451" t="s">
        <v>72</v>
      </c>
      <c r="B491" s="452" t="s">
        <v>1677</v>
      </c>
      <c r="C491" s="453">
        <v>4</v>
      </c>
      <c r="D491" s="452">
        <v>2024</v>
      </c>
    </row>
    <row r="492" spans="1:4" ht="13.15" x14ac:dyDescent="0.35">
      <c r="A492" s="448" t="s">
        <v>72</v>
      </c>
      <c r="B492" s="449" t="s">
        <v>1677</v>
      </c>
      <c r="C492" s="450">
        <v>1</v>
      </c>
      <c r="D492" s="449">
        <v>2024</v>
      </c>
    </row>
    <row r="493" spans="1:4" ht="13.15" x14ac:dyDescent="0.35">
      <c r="A493" s="451" t="s">
        <v>72</v>
      </c>
      <c r="B493" s="452" t="s">
        <v>1677</v>
      </c>
      <c r="C493" s="453">
        <v>1</v>
      </c>
      <c r="D493" s="452">
        <v>2024</v>
      </c>
    </row>
    <row r="494" spans="1:4" ht="13.15" x14ac:dyDescent="0.35">
      <c r="A494" s="448" t="s">
        <v>72</v>
      </c>
      <c r="B494" s="449" t="s">
        <v>1677</v>
      </c>
      <c r="C494" s="450">
        <v>1</v>
      </c>
      <c r="D494" s="449">
        <v>2024</v>
      </c>
    </row>
    <row r="495" spans="1:4" ht="13.15" x14ac:dyDescent="0.35">
      <c r="A495" s="451" t="s">
        <v>72</v>
      </c>
      <c r="B495" s="452" t="s">
        <v>1677</v>
      </c>
      <c r="C495" s="453">
        <v>8</v>
      </c>
      <c r="D495" s="452">
        <v>2024</v>
      </c>
    </row>
    <row r="496" spans="1:4" ht="13.15" x14ac:dyDescent="0.35">
      <c r="A496" s="448" t="s">
        <v>72</v>
      </c>
      <c r="B496" s="449" t="s">
        <v>1677</v>
      </c>
      <c r="C496" s="450">
        <v>20</v>
      </c>
      <c r="D496" s="449">
        <v>2025</v>
      </c>
    </row>
    <row r="497" spans="1:4" ht="13.15" x14ac:dyDescent="0.35">
      <c r="A497" s="451" t="s">
        <v>72</v>
      </c>
      <c r="B497" s="452" t="s">
        <v>1677</v>
      </c>
      <c r="C497" s="453">
        <v>10</v>
      </c>
      <c r="D497" s="452">
        <v>2025</v>
      </c>
    </row>
    <row r="498" spans="1:4" ht="13.15" x14ac:dyDescent="0.35">
      <c r="A498" s="448" t="s">
        <v>72</v>
      </c>
      <c r="B498" s="449" t="s">
        <v>1677</v>
      </c>
      <c r="C498" s="450">
        <v>15</v>
      </c>
      <c r="D498" s="449">
        <v>2024</v>
      </c>
    </row>
    <row r="499" spans="1:4" ht="13.15" x14ac:dyDescent="0.35">
      <c r="A499" s="451" t="s">
        <v>72</v>
      </c>
      <c r="B499" s="452" t="s">
        <v>1677</v>
      </c>
      <c r="C499" s="453">
        <v>3</v>
      </c>
      <c r="D499" s="452">
        <v>2024</v>
      </c>
    </row>
    <row r="500" spans="1:4" ht="13.15" x14ac:dyDescent="0.35">
      <c r="A500" s="448" t="s">
        <v>72</v>
      </c>
      <c r="B500" s="449" t="s">
        <v>1677</v>
      </c>
      <c r="C500" s="450">
        <v>4</v>
      </c>
      <c r="D500" s="449">
        <v>2024</v>
      </c>
    </row>
    <row r="501" spans="1:4" x14ac:dyDescent="0.35">
      <c r="A501" s="454" t="s">
        <v>72</v>
      </c>
      <c r="B501" s="455" t="s">
        <v>1677</v>
      </c>
      <c r="C501" s="456">
        <v>4</v>
      </c>
      <c r="D501" s="455">
        <v>2025</v>
      </c>
    </row>
    <row r="502" spans="1:4" x14ac:dyDescent="0.35">
      <c r="A502" s="457" t="s">
        <v>72</v>
      </c>
      <c r="B502" s="458" t="s">
        <v>1677</v>
      </c>
      <c r="C502" s="459">
        <v>4</v>
      </c>
      <c r="D502" s="458">
        <v>2024</v>
      </c>
    </row>
    <row r="503" spans="1:4" x14ac:dyDescent="0.35">
      <c r="A503" s="457" t="s">
        <v>72</v>
      </c>
      <c r="B503" s="458" t="s">
        <v>1677</v>
      </c>
      <c r="C503" s="459">
        <v>8</v>
      </c>
      <c r="D503" s="458">
        <v>2025</v>
      </c>
    </row>
    <row r="504" spans="1:4" x14ac:dyDescent="0.35">
      <c r="A504" s="457" t="s">
        <v>72</v>
      </c>
      <c r="B504" s="458" t="s">
        <v>1677</v>
      </c>
      <c r="C504" s="459">
        <v>8</v>
      </c>
      <c r="D504" s="458">
        <v>2024</v>
      </c>
    </row>
    <row r="505" spans="1:4" x14ac:dyDescent="0.35">
      <c r="A505" s="457" t="s">
        <v>72</v>
      </c>
      <c r="B505" s="458" t="s">
        <v>1677</v>
      </c>
      <c r="C505" s="459">
        <v>25</v>
      </c>
      <c r="D505" s="458">
        <v>2024</v>
      </c>
    </row>
    <row r="506" spans="1:4" x14ac:dyDescent="0.35">
      <c r="A506" s="457" t="s">
        <v>72</v>
      </c>
      <c r="B506" s="458" t="s">
        <v>1677</v>
      </c>
      <c r="C506" s="459">
        <v>37</v>
      </c>
      <c r="D506" s="458">
        <v>2025</v>
      </c>
    </row>
    <row r="507" spans="1:4" x14ac:dyDescent="0.35">
      <c r="A507" s="457" t="s">
        <v>72</v>
      </c>
      <c r="B507" s="458" t="s">
        <v>1677</v>
      </c>
      <c r="C507" s="459">
        <v>10</v>
      </c>
      <c r="D507" s="458">
        <v>2025</v>
      </c>
    </row>
    <row r="508" spans="1:4" x14ac:dyDescent="0.35">
      <c r="A508" s="457" t="s">
        <v>72</v>
      </c>
      <c r="B508" s="458" t="s">
        <v>1677</v>
      </c>
      <c r="C508" s="459">
        <v>20</v>
      </c>
      <c r="D508" s="458">
        <v>2024</v>
      </c>
    </row>
    <row r="509" spans="1:4" x14ac:dyDescent="0.35">
      <c r="A509" s="457" t="s">
        <v>72</v>
      </c>
      <c r="B509" s="458" t="s">
        <v>1677</v>
      </c>
      <c r="C509" s="459">
        <v>1</v>
      </c>
      <c r="D509" s="458">
        <v>2025</v>
      </c>
    </row>
    <row r="510" spans="1:4" x14ac:dyDescent="0.35">
      <c r="A510" s="457" t="s">
        <v>72</v>
      </c>
      <c r="B510" s="458" t="s">
        <v>1677</v>
      </c>
      <c r="C510" s="459">
        <v>15</v>
      </c>
      <c r="D510" s="458">
        <v>2024</v>
      </c>
    </row>
    <row r="511" spans="1:4" x14ac:dyDescent="0.35">
      <c r="A511" s="457" t="s">
        <v>72</v>
      </c>
      <c r="B511" s="458" t="s">
        <v>1677</v>
      </c>
      <c r="C511" s="459">
        <v>18</v>
      </c>
      <c r="D511" s="458">
        <v>2025</v>
      </c>
    </row>
    <row r="512" spans="1:4" x14ac:dyDescent="0.35">
      <c r="A512" s="457" t="s">
        <v>72</v>
      </c>
      <c r="B512" s="458" t="s">
        <v>1677</v>
      </c>
      <c r="C512" s="459">
        <v>15</v>
      </c>
      <c r="D512" s="458">
        <v>2024</v>
      </c>
    </row>
    <row r="513" spans="1:4" x14ac:dyDescent="0.35">
      <c r="A513" s="457" t="s">
        <v>72</v>
      </c>
      <c r="B513" s="458" t="s">
        <v>1677</v>
      </c>
      <c r="C513" s="459">
        <v>22</v>
      </c>
      <c r="D513" s="458">
        <v>2024</v>
      </c>
    </row>
    <row r="514" spans="1:4" x14ac:dyDescent="0.35">
      <c r="A514" s="457" t="s">
        <v>72</v>
      </c>
      <c r="B514" s="458" t="s">
        <v>1677</v>
      </c>
      <c r="C514" s="459">
        <v>58</v>
      </c>
      <c r="D514" s="458">
        <v>2025</v>
      </c>
    </row>
    <row r="515" spans="1:4" x14ac:dyDescent="0.35">
      <c r="A515" s="457" t="s">
        <v>72</v>
      </c>
      <c r="B515" s="458" t="s">
        <v>1677</v>
      </c>
      <c r="C515" s="459">
        <v>44</v>
      </c>
      <c r="D515" s="458">
        <v>2024</v>
      </c>
    </row>
    <row r="516" spans="1:4" x14ac:dyDescent="0.35">
      <c r="A516" s="457" t="s">
        <v>72</v>
      </c>
      <c r="B516" s="458" t="s">
        <v>1677</v>
      </c>
      <c r="C516" s="459">
        <v>5</v>
      </c>
      <c r="D516" s="458">
        <v>2025</v>
      </c>
    </row>
    <row r="517" spans="1:4" x14ac:dyDescent="0.35">
      <c r="A517" s="457" t="s">
        <v>72</v>
      </c>
      <c r="B517" s="458" t="s">
        <v>1677</v>
      </c>
      <c r="C517" s="459">
        <v>14</v>
      </c>
      <c r="D517" s="458">
        <v>2025</v>
      </c>
    </row>
    <row r="518" spans="1:4" x14ac:dyDescent="0.35">
      <c r="A518" s="457" t="s">
        <v>72</v>
      </c>
      <c r="B518" s="458" t="s">
        <v>1677</v>
      </c>
      <c r="C518" s="459">
        <v>4</v>
      </c>
      <c r="D518" s="458">
        <v>2024</v>
      </c>
    </row>
    <row r="519" spans="1:4" x14ac:dyDescent="0.35">
      <c r="A519" s="457" t="s">
        <v>72</v>
      </c>
      <c r="B519" s="458" t="s">
        <v>1677</v>
      </c>
      <c r="C519" s="459">
        <v>4</v>
      </c>
      <c r="D519" s="458">
        <v>2025</v>
      </c>
    </row>
    <row r="520" spans="1:4" x14ac:dyDescent="0.35">
      <c r="A520" s="457" t="s">
        <v>72</v>
      </c>
      <c r="B520" s="458" t="s">
        <v>1677</v>
      </c>
      <c r="C520" s="459">
        <v>18</v>
      </c>
      <c r="D520" s="458">
        <v>2024</v>
      </c>
    </row>
    <row r="521" spans="1:4" x14ac:dyDescent="0.35">
      <c r="A521" s="457" t="s">
        <v>72</v>
      </c>
      <c r="B521" s="458" t="s">
        <v>1677</v>
      </c>
      <c r="C521" s="459">
        <v>20</v>
      </c>
      <c r="D521" s="458">
        <v>2025</v>
      </c>
    </row>
    <row r="522" spans="1:4" x14ac:dyDescent="0.35">
      <c r="A522" s="457" t="s">
        <v>72</v>
      </c>
      <c r="B522" s="458" t="s">
        <v>1677</v>
      </c>
      <c r="C522" s="459">
        <v>1</v>
      </c>
      <c r="D522" s="458">
        <v>2024</v>
      </c>
    </row>
    <row r="523" spans="1:4" x14ac:dyDescent="0.35">
      <c r="A523" s="457" t="s">
        <v>72</v>
      </c>
      <c r="B523" s="458" t="s">
        <v>1677</v>
      </c>
      <c r="C523" s="459">
        <v>1</v>
      </c>
      <c r="D523" s="458">
        <v>2024</v>
      </c>
    </row>
    <row r="524" spans="1:4" x14ac:dyDescent="0.35">
      <c r="A524" s="457" t="s">
        <v>72</v>
      </c>
      <c r="B524" s="458" t="s">
        <v>1677</v>
      </c>
      <c r="C524" s="459">
        <v>1</v>
      </c>
      <c r="D524" s="458">
        <v>2025</v>
      </c>
    </row>
    <row r="525" spans="1:4" x14ac:dyDescent="0.35">
      <c r="A525" s="457" t="s">
        <v>72</v>
      </c>
      <c r="B525" s="458" t="s">
        <v>1677</v>
      </c>
      <c r="C525" s="459">
        <v>12</v>
      </c>
      <c r="D525" s="458">
        <v>2025</v>
      </c>
    </row>
    <row r="526" spans="1:4" x14ac:dyDescent="0.35">
      <c r="A526" s="457" t="s">
        <v>72</v>
      </c>
      <c r="B526" s="458" t="s">
        <v>1677</v>
      </c>
      <c r="C526" s="459">
        <v>1</v>
      </c>
      <c r="D526" s="458">
        <v>2024</v>
      </c>
    </row>
    <row r="527" spans="1:4" x14ac:dyDescent="0.35">
      <c r="A527" s="457" t="s">
        <v>72</v>
      </c>
      <c r="B527" s="458" t="s">
        <v>1677</v>
      </c>
      <c r="C527" s="459">
        <v>1</v>
      </c>
      <c r="D527" s="458">
        <v>2024</v>
      </c>
    </row>
    <row r="528" spans="1:4" x14ac:dyDescent="0.35">
      <c r="A528" s="457" t="s">
        <v>72</v>
      </c>
      <c r="B528" s="458" t="s">
        <v>1677</v>
      </c>
      <c r="C528" s="459">
        <v>4</v>
      </c>
      <c r="D528" s="458">
        <v>2025</v>
      </c>
    </row>
    <row r="529" spans="1:4" x14ac:dyDescent="0.35">
      <c r="A529" s="457" t="s">
        <v>72</v>
      </c>
      <c r="B529" s="458" t="s">
        <v>1677</v>
      </c>
      <c r="C529" s="459">
        <v>5</v>
      </c>
      <c r="D529" s="458">
        <v>2024</v>
      </c>
    </row>
    <row r="530" spans="1:4" x14ac:dyDescent="0.35">
      <c r="A530" s="457" t="s">
        <v>72</v>
      </c>
      <c r="B530" s="458" t="s">
        <v>1677</v>
      </c>
      <c r="C530" s="459">
        <v>3</v>
      </c>
      <c r="D530" s="458">
        <v>2024</v>
      </c>
    </row>
    <row r="531" spans="1:4" x14ac:dyDescent="0.35">
      <c r="A531" s="457" t="s">
        <v>72</v>
      </c>
      <c r="B531" s="458" t="s">
        <v>1677</v>
      </c>
      <c r="C531" s="459">
        <v>5</v>
      </c>
      <c r="D531" s="458">
        <v>2025</v>
      </c>
    </row>
    <row r="532" spans="1:4" x14ac:dyDescent="0.35">
      <c r="A532" s="457" t="s">
        <v>72</v>
      </c>
      <c r="B532" s="458" t="s">
        <v>1677</v>
      </c>
      <c r="C532" s="459">
        <v>1</v>
      </c>
      <c r="D532" s="458">
        <v>2025</v>
      </c>
    </row>
    <row r="533" spans="1:4" x14ac:dyDescent="0.35">
      <c r="A533" s="457" t="s">
        <v>72</v>
      </c>
      <c r="B533" s="458" t="s">
        <v>1677</v>
      </c>
      <c r="C533" s="459">
        <v>1</v>
      </c>
      <c r="D533" s="458">
        <v>2024</v>
      </c>
    </row>
    <row r="534" spans="1:4" x14ac:dyDescent="0.35">
      <c r="A534" s="457" t="s">
        <v>72</v>
      </c>
      <c r="B534" s="458" t="s">
        <v>1677</v>
      </c>
      <c r="C534" s="459">
        <v>1</v>
      </c>
      <c r="D534" s="458">
        <v>2025</v>
      </c>
    </row>
    <row r="535" spans="1:4" x14ac:dyDescent="0.35">
      <c r="A535" s="457" t="s">
        <v>72</v>
      </c>
      <c r="B535" s="458" t="s">
        <v>1677</v>
      </c>
      <c r="C535" s="459">
        <v>1</v>
      </c>
      <c r="D535" s="458">
        <v>2024</v>
      </c>
    </row>
    <row r="536" spans="1:4" x14ac:dyDescent="0.35">
      <c r="A536" s="457" t="s">
        <v>72</v>
      </c>
      <c r="B536" s="458" t="s">
        <v>1677</v>
      </c>
      <c r="C536" s="459">
        <v>1</v>
      </c>
      <c r="D536" s="458">
        <v>2025</v>
      </c>
    </row>
    <row r="537" spans="1:4" x14ac:dyDescent="0.35">
      <c r="A537" s="457" t="s">
        <v>72</v>
      </c>
      <c r="B537" s="458" t="s">
        <v>1677</v>
      </c>
      <c r="C537" s="459">
        <v>15</v>
      </c>
      <c r="D537" s="458">
        <v>2025</v>
      </c>
    </row>
    <row r="538" spans="1:4" x14ac:dyDescent="0.35">
      <c r="A538" s="457" t="s">
        <v>72</v>
      </c>
      <c r="B538" s="458" t="s">
        <v>1677</v>
      </c>
      <c r="C538" s="459">
        <v>1</v>
      </c>
      <c r="D538" s="458">
        <v>2025</v>
      </c>
    </row>
    <row r="539" spans="1:4" x14ac:dyDescent="0.35">
      <c r="A539" s="457" t="s">
        <v>72</v>
      </c>
      <c r="B539" s="458" t="s">
        <v>1677</v>
      </c>
      <c r="C539" s="459">
        <v>1</v>
      </c>
      <c r="D539" s="458">
        <v>2024</v>
      </c>
    </row>
    <row r="540" spans="1:4" x14ac:dyDescent="0.35">
      <c r="A540" s="457" t="s">
        <v>72</v>
      </c>
      <c r="B540" s="458" t="s">
        <v>1677</v>
      </c>
      <c r="C540" s="459">
        <v>2</v>
      </c>
      <c r="D540" s="458">
        <v>2025</v>
      </c>
    </row>
    <row r="541" spans="1:4" x14ac:dyDescent="0.35">
      <c r="A541" s="457" t="s">
        <v>72</v>
      </c>
      <c r="B541" s="458" t="s">
        <v>1677</v>
      </c>
      <c r="C541" s="459">
        <v>5</v>
      </c>
      <c r="D541" s="458">
        <v>2024</v>
      </c>
    </row>
    <row r="542" spans="1:4" x14ac:dyDescent="0.35">
      <c r="A542" s="457" t="s">
        <v>72</v>
      </c>
      <c r="B542" s="458" t="s">
        <v>1677</v>
      </c>
      <c r="C542" s="459">
        <v>4</v>
      </c>
      <c r="D542" s="458">
        <v>2025</v>
      </c>
    </row>
    <row r="543" spans="1:4" x14ac:dyDescent="0.35">
      <c r="A543" s="457" t="s">
        <v>72</v>
      </c>
      <c r="B543" s="458" t="s">
        <v>1677</v>
      </c>
      <c r="C543" s="459">
        <v>6</v>
      </c>
      <c r="D543" s="458">
        <v>2024</v>
      </c>
    </row>
    <row r="544" spans="1:4" x14ac:dyDescent="0.35">
      <c r="A544" s="457" t="s">
        <v>72</v>
      </c>
      <c r="B544" s="458" t="s">
        <v>1677</v>
      </c>
      <c r="C544" s="459">
        <v>2</v>
      </c>
      <c r="D544" s="458">
        <v>2025</v>
      </c>
    </row>
    <row r="545" spans="1:4" x14ac:dyDescent="0.35">
      <c r="A545" s="457" t="s">
        <v>72</v>
      </c>
      <c r="B545" s="458" t="s">
        <v>1677</v>
      </c>
      <c r="C545" s="459">
        <v>1</v>
      </c>
      <c r="D545" s="458">
        <v>2024</v>
      </c>
    </row>
    <row r="546" spans="1:4" x14ac:dyDescent="0.35">
      <c r="A546" s="457" t="s">
        <v>72</v>
      </c>
      <c r="B546" s="458" t="s">
        <v>1677</v>
      </c>
      <c r="C546" s="459">
        <v>4</v>
      </c>
      <c r="D546" s="458">
        <v>2025</v>
      </c>
    </row>
    <row r="547" spans="1:4" x14ac:dyDescent="0.35">
      <c r="A547" s="457" t="s">
        <v>72</v>
      </c>
      <c r="B547" s="458" t="s">
        <v>1677</v>
      </c>
      <c r="C547" s="459">
        <v>1</v>
      </c>
      <c r="D547" s="458">
        <v>2024</v>
      </c>
    </row>
    <row r="548" spans="1:4" x14ac:dyDescent="0.35">
      <c r="A548" s="457" t="s">
        <v>72</v>
      </c>
      <c r="B548" s="458" t="s">
        <v>1677</v>
      </c>
      <c r="C548" s="459">
        <v>2</v>
      </c>
      <c r="D548" s="458">
        <v>2025</v>
      </c>
    </row>
    <row r="549" spans="1:4" x14ac:dyDescent="0.35">
      <c r="A549" s="457" t="s">
        <v>72</v>
      </c>
      <c r="B549" s="458" t="s">
        <v>1677</v>
      </c>
      <c r="C549" s="459">
        <v>10</v>
      </c>
      <c r="D549" s="458">
        <v>2025</v>
      </c>
    </row>
    <row r="550" spans="1:4" x14ac:dyDescent="0.35">
      <c r="A550" s="457" t="s">
        <v>72</v>
      </c>
      <c r="B550" s="458" t="s">
        <v>1677</v>
      </c>
      <c r="C550" s="459">
        <v>1</v>
      </c>
      <c r="D550" s="458">
        <v>2025</v>
      </c>
    </row>
    <row r="551" spans="1:4" x14ac:dyDescent="0.35">
      <c r="A551" s="457" t="s">
        <v>72</v>
      </c>
      <c r="B551" s="458" t="s">
        <v>1677</v>
      </c>
      <c r="C551" s="459">
        <v>3</v>
      </c>
      <c r="D551" s="458">
        <v>2025</v>
      </c>
    </row>
    <row r="552" spans="1:4" x14ac:dyDescent="0.35">
      <c r="A552" s="457" t="s">
        <v>72</v>
      </c>
      <c r="B552" s="458" t="s">
        <v>1677</v>
      </c>
      <c r="C552" s="459">
        <v>6</v>
      </c>
      <c r="D552" s="458">
        <v>2024</v>
      </c>
    </row>
    <row r="553" spans="1:4" x14ac:dyDescent="0.35">
      <c r="A553" s="457" t="s">
        <v>72</v>
      </c>
      <c r="B553" s="458" t="s">
        <v>1677</v>
      </c>
      <c r="C553" s="459">
        <v>1</v>
      </c>
      <c r="D553" s="458">
        <v>2025</v>
      </c>
    </row>
    <row r="554" spans="1:4" x14ac:dyDescent="0.35">
      <c r="A554" s="457" t="s">
        <v>72</v>
      </c>
      <c r="B554" s="458" t="s">
        <v>1677</v>
      </c>
      <c r="C554" s="459">
        <v>4</v>
      </c>
      <c r="D554" s="458">
        <v>2024</v>
      </c>
    </row>
    <row r="555" spans="1:4" x14ac:dyDescent="0.35">
      <c r="A555" s="457" t="s">
        <v>72</v>
      </c>
      <c r="B555" s="458" t="s">
        <v>1677</v>
      </c>
      <c r="C555" s="459">
        <v>11</v>
      </c>
      <c r="D555" s="458">
        <v>2025</v>
      </c>
    </row>
    <row r="556" spans="1:4" x14ac:dyDescent="0.35">
      <c r="A556" s="457" t="s">
        <v>72</v>
      </c>
      <c r="B556" s="458" t="s">
        <v>1677</v>
      </c>
      <c r="C556" s="459">
        <v>2</v>
      </c>
      <c r="D556" s="458">
        <v>2024</v>
      </c>
    </row>
    <row r="557" spans="1:4" x14ac:dyDescent="0.35">
      <c r="A557" s="457" t="s">
        <v>72</v>
      </c>
      <c r="B557" s="458" t="s">
        <v>1677</v>
      </c>
      <c r="C557" s="459">
        <v>1</v>
      </c>
      <c r="D557" s="458">
        <v>2024</v>
      </c>
    </row>
    <row r="558" spans="1:4" x14ac:dyDescent="0.35">
      <c r="A558" s="457" t="s">
        <v>72</v>
      </c>
      <c r="B558" s="458" t="s">
        <v>1677</v>
      </c>
      <c r="C558" s="459">
        <v>2</v>
      </c>
      <c r="D558" s="458">
        <v>2024</v>
      </c>
    </row>
    <row r="559" spans="1:4" x14ac:dyDescent="0.35">
      <c r="A559" s="457" t="s">
        <v>72</v>
      </c>
      <c r="B559" s="458" t="s">
        <v>1677</v>
      </c>
      <c r="C559" s="459">
        <v>2</v>
      </c>
      <c r="D559" s="458">
        <v>2025</v>
      </c>
    </row>
    <row r="560" spans="1:4" x14ac:dyDescent="0.35">
      <c r="A560" s="457" t="s">
        <v>72</v>
      </c>
      <c r="B560" s="458" t="s">
        <v>1677</v>
      </c>
      <c r="C560" s="459">
        <v>-19</v>
      </c>
      <c r="D560" s="458">
        <v>2025</v>
      </c>
    </row>
    <row r="561" spans="1:4" x14ac:dyDescent="0.35">
      <c r="A561" s="457" t="s">
        <v>72</v>
      </c>
      <c r="B561" s="458" t="s">
        <v>1677</v>
      </c>
      <c r="C561" s="459">
        <v>16</v>
      </c>
      <c r="D561" s="458">
        <v>2024</v>
      </c>
    </row>
    <row r="562" spans="1:4" x14ac:dyDescent="0.35">
      <c r="A562" s="457" t="s">
        <v>72</v>
      </c>
      <c r="B562" s="458" t="s">
        <v>1677</v>
      </c>
      <c r="C562" s="459">
        <v>14</v>
      </c>
      <c r="D562" s="458">
        <v>2024</v>
      </c>
    </row>
    <row r="563" spans="1:4" x14ac:dyDescent="0.35">
      <c r="A563" s="457" t="s">
        <v>72</v>
      </c>
      <c r="B563" s="458" t="s">
        <v>1677</v>
      </c>
      <c r="C563" s="459">
        <v>5</v>
      </c>
      <c r="D563" s="458">
        <v>2025</v>
      </c>
    </row>
    <row r="564" spans="1:4" x14ac:dyDescent="0.35">
      <c r="A564" s="457" t="s">
        <v>72</v>
      </c>
      <c r="B564" s="458" t="s">
        <v>1677</v>
      </c>
      <c r="C564" s="459">
        <v>12</v>
      </c>
      <c r="D564" s="458">
        <v>2025</v>
      </c>
    </row>
    <row r="565" spans="1:4" x14ac:dyDescent="0.35">
      <c r="A565" s="457" t="s">
        <v>72</v>
      </c>
      <c r="B565" s="458" t="s">
        <v>1677</v>
      </c>
      <c r="C565" s="459">
        <v>1</v>
      </c>
      <c r="D565" s="458">
        <v>2024</v>
      </c>
    </row>
    <row r="566" spans="1:4" x14ac:dyDescent="0.35">
      <c r="A566" s="457" t="s">
        <v>72</v>
      </c>
      <c r="B566" s="458" t="s">
        <v>1677</v>
      </c>
      <c r="C566" s="459">
        <v>4</v>
      </c>
      <c r="D566" s="458">
        <v>2025</v>
      </c>
    </row>
    <row r="567" spans="1:4" x14ac:dyDescent="0.35">
      <c r="A567" s="457" t="s">
        <v>72</v>
      </c>
      <c r="B567" s="458" t="s">
        <v>1677</v>
      </c>
      <c r="C567" s="459">
        <v>1</v>
      </c>
      <c r="D567" s="458">
        <v>2025</v>
      </c>
    </row>
    <row r="568" spans="1:4" x14ac:dyDescent="0.35">
      <c r="A568" s="457" t="s">
        <v>72</v>
      </c>
      <c r="B568" s="458" t="s">
        <v>1677</v>
      </c>
      <c r="C568" s="459">
        <v>1</v>
      </c>
      <c r="D568" s="458">
        <v>2024</v>
      </c>
    </row>
    <row r="569" spans="1:4" x14ac:dyDescent="0.35">
      <c r="A569" s="457" t="s">
        <v>72</v>
      </c>
      <c r="B569" s="458" t="s">
        <v>1677</v>
      </c>
      <c r="C569" s="459">
        <v>1</v>
      </c>
      <c r="D569" s="458">
        <v>2024</v>
      </c>
    </row>
    <row r="570" spans="1:4" x14ac:dyDescent="0.35">
      <c r="A570" s="457" t="s">
        <v>72</v>
      </c>
      <c r="B570" s="458" t="s">
        <v>1677</v>
      </c>
      <c r="C570" s="459">
        <v>1</v>
      </c>
      <c r="D570" s="458">
        <v>2024</v>
      </c>
    </row>
    <row r="571" spans="1:4" x14ac:dyDescent="0.35">
      <c r="A571" s="457" t="s">
        <v>72</v>
      </c>
      <c r="B571" s="458" t="s">
        <v>1677</v>
      </c>
      <c r="C571" s="459">
        <v>12</v>
      </c>
      <c r="D571" s="458">
        <v>2024</v>
      </c>
    </row>
    <row r="572" spans="1:4" x14ac:dyDescent="0.35">
      <c r="A572" s="457" t="s">
        <v>72</v>
      </c>
      <c r="B572" s="458" t="s">
        <v>1677</v>
      </c>
      <c r="C572" s="459">
        <v>4</v>
      </c>
      <c r="D572" s="458">
        <v>2025</v>
      </c>
    </row>
    <row r="573" spans="1:4" x14ac:dyDescent="0.35">
      <c r="A573" s="457" t="s">
        <v>72</v>
      </c>
      <c r="B573" s="458" t="s">
        <v>1677</v>
      </c>
      <c r="C573" s="459">
        <v>3</v>
      </c>
      <c r="D573" s="458">
        <v>2024</v>
      </c>
    </row>
    <row r="574" spans="1:4" x14ac:dyDescent="0.35">
      <c r="A574" s="457" t="s">
        <v>72</v>
      </c>
      <c r="B574" s="458" t="s">
        <v>1677</v>
      </c>
      <c r="C574" s="459">
        <v>3</v>
      </c>
      <c r="D574" s="458">
        <v>2025</v>
      </c>
    </row>
    <row r="575" spans="1:4" x14ac:dyDescent="0.35">
      <c r="A575" s="457" t="s">
        <v>72</v>
      </c>
      <c r="B575" s="458" t="s">
        <v>1677</v>
      </c>
      <c r="C575" s="459">
        <v>5</v>
      </c>
      <c r="D575" s="458">
        <v>2024</v>
      </c>
    </row>
    <row r="576" spans="1:4" x14ac:dyDescent="0.35">
      <c r="A576" s="457" t="s">
        <v>72</v>
      </c>
      <c r="B576" s="458" t="s">
        <v>1677</v>
      </c>
      <c r="C576" s="459">
        <v>5</v>
      </c>
      <c r="D576" s="458">
        <v>2025</v>
      </c>
    </row>
    <row r="577" spans="1:4" x14ac:dyDescent="0.35">
      <c r="A577" s="457" t="s">
        <v>72</v>
      </c>
      <c r="B577" s="458" t="s">
        <v>1677</v>
      </c>
      <c r="C577" s="459">
        <v>3</v>
      </c>
      <c r="D577" s="458">
        <v>2024</v>
      </c>
    </row>
    <row r="578" spans="1:4" x14ac:dyDescent="0.35">
      <c r="A578" s="457" t="s">
        <v>72</v>
      </c>
      <c r="B578" s="458" t="s">
        <v>1677</v>
      </c>
      <c r="C578" s="459">
        <v>6</v>
      </c>
      <c r="D578" s="458">
        <v>2025</v>
      </c>
    </row>
    <row r="579" spans="1:4" x14ac:dyDescent="0.35">
      <c r="A579" s="457" t="s">
        <v>72</v>
      </c>
      <c r="B579" s="458" t="s">
        <v>1677</v>
      </c>
      <c r="C579" s="459">
        <v>2</v>
      </c>
      <c r="D579" s="458">
        <v>2024</v>
      </c>
    </row>
    <row r="580" spans="1:4" x14ac:dyDescent="0.35">
      <c r="A580" s="457" t="s">
        <v>72</v>
      </c>
      <c r="B580" s="458" t="s">
        <v>1677</v>
      </c>
      <c r="C580" s="459">
        <v>3</v>
      </c>
      <c r="D580" s="458">
        <v>2024</v>
      </c>
    </row>
    <row r="581" spans="1:4" x14ac:dyDescent="0.35">
      <c r="A581" s="457" t="s">
        <v>72</v>
      </c>
      <c r="B581" s="458" t="s">
        <v>1677</v>
      </c>
      <c r="C581" s="459">
        <v>8</v>
      </c>
      <c r="D581" s="458">
        <v>2025</v>
      </c>
    </row>
    <row r="582" spans="1:4" x14ac:dyDescent="0.35">
      <c r="A582" s="457" t="s">
        <v>72</v>
      </c>
      <c r="B582" s="458" t="s">
        <v>1677</v>
      </c>
      <c r="C582" s="459">
        <v>2</v>
      </c>
      <c r="D582" s="458">
        <v>2025</v>
      </c>
    </row>
    <row r="583" spans="1:4" x14ac:dyDescent="0.35">
      <c r="A583" s="457" t="s">
        <v>72</v>
      </c>
      <c r="B583" s="458" t="s">
        <v>1677</v>
      </c>
      <c r="C583" s="459">
        <v>2</v>
      </c>
      <c r="D583" s="458">
        <v>2024</v>
      </c>
    </row>
    <row r="584" spans="1:4" x14ac:dyDescent="0.35">
      <c r="A584" s="457" t="s">
        <v>72</v>
      </c>
      <c r="B584" s="458" t="s">
        <v>1677</v>
      </c>
      <c r="C584" s="459">
        <v>2</v>
      </c>
      <c r="D584" s="458">
        <v>2025</v>
      </c>
    </row>
    <row r="585" spans="1:4" x14ac:dyDescent="0.35">
      <c r="A585" s="457" t="s">
        <v>72</v>
      </c>
      <c r="B585" s="458" t="s">
        <v>1677</v>
      </c>
      <c r="C585" s="459">
        <v>8</v>
      </c>
      <c r="D585" s="458">
        <v>2025</v>
      </c>
    </row>
    <row r="586" spans="1:4" x14ac:dyDescent="0.35">
      <c r="A586" s="457" t="s">
        <v>72</v>
      </c>
      <c r="B586" s="458" t="s">
        <v>1677</v>
      </c>
      <c r="C586" s="459">
        <v>3</v>
      </c>
      <c r="D586" s="458">
        <v>2024</v>
      </c>
    </row>
    <row r="587" spans="1:4" x14ac:dyDescent="0.35">
      <c r="A587" s="457" t="s">
        <v>72</v>
      </c>
      <c r="B587" s="458" t="s">
        <v>1677</v>
      </c>
      <c r="C587" s="459">
        <v>8</v>
      </c>
      <c r="D587" s="458">
        <v>2024</v>
      </c>
    </row>
    <row r="588" spans="1:4" x14ac:dyDescent="0.35">
      <c r="A588" s="457" t="s">
        <v>72</v>
      </c>
      <c r="B588" s="458" t="s">
        <v>1677</v>
      </c>
      <c r="C588" s="459">
        <v>8</v>
      </c>
      <c r="D588" s="458">
        <v>2025</v>
      </c>
    </row>
    <row r="589" spans="1:4" x14ac:dyDescent="0.35">
      <c r="A589" s="457" t="s">
        <v>72</v>
      </c>
      <c r="B589" s="458" t="s">
        <v>1677</v>
      </c>
      <c r="C589" s="459">
        <v>31</v>
      </c>
      <c r="D589" s="458">
        <v>2024</v>
      </c>
    </row>
    <row r="590" spans="1:4" x14ac:dyDescent="0.35">
      <c r="A590" s="457" t="s">
        <v>72</v>
      </c>
      <c r="B590" s="458" t="s">
        <v>1677</v>
      </c>
      <c r="C590" s="459">
        <v>5</v>
      </c>
      <c r="D590" s="458">
        <v>2025</v>
      </c>
    </row>
    <row r="591" spans="1:4" x14ac:dyDescent="0.35">
      <c r="A591" s="457" t="s">
        <v>72</v>
      </c>
      <c r="B591" s="458" t="s">
        <v>1677</v>
      </c>
      <c r="C591" s="459">
        <v>10</v>
      </c>
      <c r="D591" s="458">
        <v>2025</v>
      </c>
    </row>
    <row r="592" spans="1:4" x14ac:dyDescent="0.35">
      <c r="A592" s="457" t="s">
        <v>72</v>
      </c>
      <c r="B592" s="458" t="s">
        <v>1677</v>
      </c>
      <c r="C592" s="459">
        <v>20</v>
      </c>
      <c r="D592" s="458">
        <v>2024</v>
      </c>
    </row>
    <row r="593" spans="1:4" x14ac:dyDescent="0.35">
      <c r="A593" s="457" t="s">
        <v>72</v>
      </c>
      <c r="B593" s="458" t="s">
        <v>1677</v>
      </c>
      <c r="C593" s="459">
        <v>15</v>
      </c>
      <c r="D593" s="458">
        <v>2025</v>
      </c>
    </row>
    <row r="594" spans="1:4" x14ac:dyDescent="0.35">
      <c r="A594" s="457" t="s">
        <v>72</v>
      </c>
      <c r="B594" s="458" t="s">
        <v>1677</v>
      </c>
      <c r="C594" s="459">
        <v>1</v>
      </c>
      <c r="D594" s="458">
        <v>2024</v>
      </c>
    </row>
    <row r="595" spans="1:4" x14ac:dyDescent="0.35">
      <c r="A595" s="457" t="s">
        <v>72</v>
      </c>
      <c r="B595" s="458" t="s">
        <v>1677</v>
      </c>
      <c r="C595" s="459">
        <v>1</v>
      </c>
      <c r="D595" s="458">
        <v>2024</v>
      </c>
    </row>
    <row r="596" spans="1:4" x14ac:dyDescent="0.35">
      <c r="A596" s="457" t="s">
        <v>72</v>
      </c>
      <c r="B596" s="458" t="s">
        <v>1677</v>
      </c>
      <c r="C596" s="459">
        <v>1</v>
      </c>
      <c r="D596" s="458">
        <v>2025</v>
      </c>
    </row>
    <row r="597" spans="1:4" x14ac:dyDescent="0.35">
      <c r="A597" s="457" t="s">
        <v>72</v>
      </c>
      <c r="B597" s="458" t="s">
        <v>1677</v>
      </c>
      <c r="C597" s="459">
        <v>68</v>
      </c>
      <c r="D597" s="458">
        <v>2025</v>
      </c>
    </row>
    <row r="598" spans="1:4" x14ac:dyDescent="0.35">
      <c r="A598" s="457" t="s">
        <v>72</v>
      </c>
      <c r="B598" s="458" t="s">
        <v>1677</v>
      </c>
      <c r="C598" s="459">
        <v>10</v>
      </c>
      <c r="D598" s="458">
        <v>2024</v>
      </c>
    </row>
    <row r="599" spans="1:4" x14ac:dyDescent="0.35">
      <c r="A599" s="457" t="s">
        <v>72</v>
      </c>
      <c r="B599" s="458" t="s">
        <v>1677</v>
      </c>
      <c r="C599" s="459">
        <v>5</v>
      </c>
      <c r="D599" s="458">
        <v>2024</v>
      </c>
    </row>
    <row r="600" spans="1:4" x14ac:dyDescent="0.35">
      <c r="A600" s="457" t="s">
        <v>72</v>
      </c>
      <c r="B600" s="458" t="s">
        <v>1677</v>
      </c>
      <c r="C600" s="459">
        <v>5</v>
      </c>
      <c r="D600" s="458">
        <v>2025</v>
      </c>
    </row>
    <row r="601" spans="1:4" x14ac:dyDescent="0.35">
      <c r="A601" s="457" t="s">
        <v>72</v>
      </c>
      <c r="B601" s="458" t="s">
        <v>1677</v>
      </c>
      <c r="C601" s="459">
        <v>2</v>
      </c>
      <c r="D601" s="458">
        <v>2025</v>
      </c>
    </row>
    <row r="602" spans="1:4" x14ac:dyDescent="0.35">
      <c r="A602" s="457" t="s">
        <v>72</v>
      </c>
      <c r="B602" s="458" t="s">
        <v>1677</v>
      </c>
      <c r="C602" s="459">
        <v>10</v>
      </c>
      <c r="D602" s="458">
        <v>2024</v>
      </c>
    </row>
    <row r="603" spans="1:4" x14ac:dyDescent="0.35">
      <c r="A603" s="457" t="s">
        <v>72</v>
      </c>
      <c r="B603" s="458" t="s">
        <v>1677</v>
      </c>
      <c r="C603" s="459">
        <v>8</v>
      </c>
      <c r="D603" s="458">
        <v>2025</v>
      </c>
    </row>
    <row r="604" spans="1:4" x14ac:dyDescent="0.35">
      <c r="A604" s="457" t="s">
        <v>72</v>
      </c>
      <c r="B604" s="458" t="s">
        <v>1677</v>
      </c>
      <c r="C604" s="459">
        <v>115</v>
      </c>
      <c r="D604" s="458">
        <v>2025</v>
      </c>
    </row>
    <row r="605" spans="1:4" x14ac:dyDescent="0.35">
      <c r="A605" s="457" t="s">
        <v>72</v>
      </c>
      <c r="B605" s="458" t="s">
        <v>1677</v>
      </c>
      <c r="C605" s="459">
        <v>1</v>
      </c>
      <c r="D605" s="458">
        <v>2024</v>
      </c>
    </row>
    <row r="606" spans="1:4" x14ac:dyDescent="0.35">
      <c r="A606" s="457" t="s">
        <v>72</v>
      </c>
      <c r="B606" s="458" t="s">
        <v>1677</v>
      </c>
      <c r="C606" s="459">
        <v>10</v>
      </c>
      <c r="D606" s="458">
        <v>2025</v>
      </c>
    </row>
    <row r="607" spans="1:4" x14ac:dyDescent="0.35">
      <c r="A607" s="457" t="s">
        <v>72</v>
      </c>
      <c r="B607" s="458" t="s">
        <v>1677</v>
      </c>
      <c r="C607" s="459">
        <v>8</v>
      </c>
      <c r="D607" s="458">
        <v>2025</v>
      </c>
    </row>
    <row r="608" spans="1:4" x14ac:dyDescent="0.35">
      <c r="A608" s="457" t="s">
        <v>72</v>
      </c>
      <c r="B608" s="458" t="s">
        <v>1677</v>
      </c>
      <c r="C608" s="459">
        <v>8</v>
      </c>
      <c r="D608" s="458">
        <v>2024</v>
      </c>
    </row>
    <row r="609" spans="1:4" x14ac:dyDescent="0.35">
      <c r="A609" s="457" t="s">
        <v>72</v>
      </c>
      <c r="B609" s="458" t="s">
        <v>1677</v>
      </c>
      <c r="C609" s="459">
        <v>5</v>
      </c>
      <c r="D609" s="458">
        <v>2024</v>
      </c>
    </row>
    <row r="610" spans="1:4" x14ac:dyDescent="0.35">
      <c r="A610" s="457" t="s">
        <v>72</v>
      </c>
      <c r="B610" s="458" t="s">
        <v>1677</v>
      </c>
      <c r="C610" s="459">
        <v>2</v>
      </c>
      <c r="D610" s="458">
        <v>2025</v>
      </c>
    </row>
    <row r="611" spans="1:4" x14ac:dyDescent="0.35">
      <c r="A611" s="457" t="s">
        <v>72</v>
      </c>
      <c r="B611" s="458" t="s">
        <v>1677</v>
      </c>
      <c r="C611" s="459">
        <v>3</v>
      </c>
      <c r="D611" s="458">
        <v>2025</v>
      </c>
    </row>
    <row r="612" spans="1:4" x14ac:dyDescent="0.35">
      <c r="A612" s="457" t="s">
        <v>72</v>
      </c>
      <c r="B612" s="458" t="s">
        <v>1677</v>
      </c>
      <c r="C612" s="459">
        <v>4</v>
      </c>
      <c r="D612" s="458">
        <v>2024</v>
      </c>
    </row>
    <row r="613" spans="1:4" x14ac:dyDescent="0.35">
      <c r="A613" s="457" t="s">
        <v>72</v>
      </c>
      <c r="B613" s="458" t="s">
        <v>1677</v>
      </c>
      <c r="C613" s="459">
        <v>1</v>
      </c>
      <c r="D613" s="458">
        <v>2025</v>
      </c>
    </row>
    <row r="614" spans="1:4" x14ac:dyDescent="0.35">
      <c r="A614" s="457" t="s">
        <v>72</v>
      </c>
      <c r="B614" s="458" t="s">
        <v>1677</v>
      </c>
      <c r="C614" s="459">
        <v>8</v>
      </c>
      <c r="D614" s="458">
        <v>2025</v>
      </c>
    </row>
    <row r="615" spans="1:4" x14ac:dyDescent="0.35">
      <c r="A615" s="457" t="s">
        <v>72</v>
      </c>
      <c r="B615" s="458" t="s">
        <v>1677</v>
      </c>
      <c r="C615" s="459">
        <v>9</v>
      </c>
      <c r="D615" s="458">
        <v>2024</v>
      </c>
    </row>
    <row r="616" spans="1:4" x14ac:dyDescent="0.35">
      <c r="A616" s="457" t="s">
        <v>72</v>
      </c>
      <c r="B616" s="458" t="s">
        <v>1677</v>
      </c>
      <c r="C616" s="459">
        <v>6</v>
      </c>
      <c r="D616" s="458">
        <v>2024</v>
      </c>
    </row>
    <row r="617" spans="1:4" x14ac:dyDescent="0.35">
      <c r="A617" s="457" t="s">
        <v>72</v>
      </c>
      <c r="B617" s="458" t="s">
        <v>1677</v>
      </c>
      <c r="C617" s="459">
        <v>6</v>
      </c>
      <c r="D617" s="458">
        <v>2024</v>
      </c>
    </row>
    <row r="618" spans="1:4" x14ac:dyDescent="0.35">
      <c r="A618" s="457" t="s">
        <v>72</v>
      </c>
      <c r="B618" s="458" t="s">
        <v>1677</v>
      </c>
      <c r="C618" s="459">
        <v>6</v>
      </c>
      <c r="D618" s="458">
        <v>2025</v>
      </c>
    </row>
    <row r="619" spans="1:4" x14ac:dyDescent="0.35">
      <c r="A619" s="457" t="s">
        <v>72</v>
      </c>
      <c r="B619" s="458" t="s">
        <v>1677</v>
      </c>
      <c r="C619" s="459">
        <v>4</v>
      </c>
      <c r="D619" s="458">
        <v>2024</v>
      </c>
    </row>
    <row r="620" spans="1:4" x14ac:dyDescent="0.35">
      <c r="A620" s="457" t="s">
        <v>72</v>
      </c>
      <c r="B620" s="458" t="s">
        <v>1677</v>
      </c>
      <c r="C620" s="459">
        <v>1</v>
      </c>
      <c r="D620" s="458">
        <v>2024</v>
      </c>
    </row>
    <row r="621" spans="1:4" x14ac:dyDescent="0.35">
      <c r="A621" s="457" t="s">
        <v>72</v>
      </c>
      <c r="B621" s="458" t="s">
        <v>1677</v>
      </c>
      <c r="C621" s="459">
        <v>5</v>
      </c>
      <c r="D621" s="458">
        <v>2025</v>
      </c>
    </row>
    <row r="622" spans="1:4" x14ac:dyDescent="0.35">
      <c r="A622" s="457" t="s">
        <v>72</v>
      </c>
      <c r="B622" s="458" t="s">
        <v>1677</v>
      </c>
      <c r="C622" s="459">
        <v>1</v>
      </c>
      <c r="D622" s="458">
        <v>2024</v>
      </c>
    </row>
    <row r="623" spans="1:4" x14ac:dyDescent="0.35">
      <c r="A623" s="457" t="s">
        <v>72</v>
      </c>
      <c r="B623" s="458" t="s">
        <v>1677</v>
      </c>
      <c r="C623" s="459">
        <v>4</v>
      </c>
      <c r="D623" s="458">
        <v>2025</v>
      </c>
    </row>
    <row r="624" spans="1:4" x14ac:dyDescent="0.35">
      <c r="A624" s="457" t="s">
        <v>72</v>
      </c>
      <c r="B624" s="458" t="s">
        <v>1677</v>
      </c>
      <c r="C624" s="459">
        <v>3</v>
      </c>
      <c r="D624" s="458">
        <v>2024</v>
      </c>
    </row>
    <row r="625" spans="1:4" x14ac:dyDescent="0.35">
      <c r="A625" s="457" t="s">
        <v>72</v>
      </c>
      <c r="B625" s="458" t="s">
        <v>1677</v>
      </c>
      <c r="C625" s="459">
        <v>7</v>
      </c>
      <c r="D625" s="458">
        <v>2024</v>
      </c>
    </row>
    <row r="626" spans="1:4" x14ac:dyDescent="0.35">
      <c r="A626" s="457" t="s">
        <v>72</v>
      </c>
      <c r="B626" s="458" t="s">
        <v>1677</v>
      </c>
      <c r="C626" s="459">
        <v>10</v>
      </c>
      <c r="D626" s="458">
        <v>2024</v>
      </c>
    </row>
    <row r="627" spans="1:4" x14ac:dyDescent="0.35">
      <c r="A627" s="457" t="s">
        <v>72</v>
      </c>
      <c r="B627" s="458" t="s">
        <v>1677</v>
      </c>
      <c r="C627" s="459">
        <v>-44</v>
      </c>
      <c r="D627" s="458">
        <v>2025</v>
      </c>
    </row>
    <row r="628" spans="1:4" x14ac:dyDescent="0.35">
      <c r="A628" s="457" t="s">
        <v>72</v>
      </c>
      <c r="B628" s="458" t="s">
        <v>1677</v>
      </c>
      <c r="C628" s="459">
        <v>-29</v>
      </c>
      <c r="D628" s="458">
        <v>2025</v>
      </c>
    </row>
    <row r="629" spans="1:4" x14ac:dyDescent="0.35">
      <c r="A629" s="457" t="s">
        <v>72</v>
      </c>
      <c r="B629" s="458" t="s">
        <v>1677</v>
      </c>
      <c r="C629" s="459">
        <v>-9</v>
      </c>
      <c r="D629" s="458">
        <v>2025</v>
      </c>
    </row>
    <row r="630" spans="1:4" x14ac:dyDescent="0.35">
      <c r="A630" s="457" t="s">
        <v>72</v>
      </c>
      <c r="B630" s="458" t="s">
        <v>1677</v>
      </c>
      <c r="C630" s="459">
        <v>4</v>
      </c>
      <c r="D630" s="458">
        <v>2024</v>
      </c>
    </row>
    <row r="631" spans="1:4" x14ac:dyDescent="0.35">
      <c r="A631" s="457" t="s">
        <v>72</v>
      </c>
      <c r="B631" s="458" t="s">
        <v>1677</v>
      </c>
      <c r="C631" s="459">
        <v>5</v>
      </c>
      <c r="D631" s="458">
        <v>2025</v>
      </c>
    </row>
    <row r="632" spans="1:4" x14ac:dyDescent="0.35">
      <c r="A632" s="457" t="s">
        <v>72</v>
      </c>
      <c r="B632" s="458" t="s">
        <v>1677</v>
      </c>
      <c r="C632" s="459">
        <v>5</v>
      </c>
      <c r="D632" s="458">
        <v>2024</v>
      </c>
    </row>
    <row r="633" spans="1:4" x14ac:dyDescent="0.35">
      <c r="A633" s="457" t="s">
        <v>72</v>
      </c>
      <c r="B633" s="458" t="s">
        <v>1677</v>
      </c>
      <c r="C633" s="459">
        <v>12</v>
      </c>
      <c r="D633" s="458">
        <v>2024</v>
      </c>
    </row>
    <row r="634" spans="1:4" x14ac:dyDescent="0.35">
      <c r="A634" s="457" t="s">
        <v>72</v>
      </c>
      <c r="B634" s="458" t="s">
        <v>1677</v>
      </c>
      <c r="C634" s="459">
        <v>10</v>
      </c>
      <c r="D634" s="458">
        <v>2024</v>
      </c>
    </row>
    <row r="635" spans="1:4" x14ac:dyDescent="0.35">
      <c r="A635" s="457" t="s">
        <v>72</v>
      </c>
      <c r="B635" s="458" t="s">
        <v>1677</v>
      </c>
      <c r="C635" s="459">
        <v>10</v>
      </c>
      <c r="D635" s="458">
        <v>2025</v>
      </c>
    </row>
    <row r="636" spans="1:4" x14ac:dyDescent="0.35">
      <c r="A636" s="457" t="s">
        <v>72</v>
      </c>
      <c r="B636" s="458" t="s">
        <v>1677</v>
      </c>
      <c r="C636" s="459">
        <v>63</v>
      </c>
      <c r="D636" s="458">
        <v>2024</v>
      </c>
    </row>
    <row r="637" spans="1:4" x14ac:dyDescent="0.35">
      <c r="A637" s="457" t="s">
        <v>72</v>
      </c>
      <c r="B637" s="458" t="s">
        <v>1677</v>
      </c>
      <c r="C637" s="459">
        <v>20</v>
      </c>
      <c r="D637" s="458">
        <v>2025</v>
      </c>
    </row>
    <row r="638" spans="1:4" x14ac:dyDescent="0.35">
      <c r="A638" s="457" t="s">
        <v>72</v>
      </c>
      <c r="B638" s="458" t="s">
        <v>1677</v>
      </c>
      <c r="C638" s="459">
        <v>1</v>
      </c>
      <c r="D638" s="458">
        <v>2024</v>
      </c>
    </row>
    <row r="639" spans="1:4" x14ac:dyDescent="0.35">
      <c r="A639" s="457" t="s">
        <v>72</v>
      </c>
      <c r="B639" s="458" t="s">
        <v>1677</v>
      </c>
      <c r="C639" s="459">
        <v>1</v>
      </c>
      <c r="D639" s="458">
        <v>2025</v>
      </c>
    </row>
    <row r="640" spans="1:4" x14ac:dyDescent="0.35">
      <c r="A640" s="457" t="s">
        <v>72</v>
      </c>
      <c r="B640" s="458" t="s">
        <v>1677</v>
      </c>
      <c r="C640" s="459">
        <v>2</v>
      </c>
      <c r="D640" s="458">
        <v>2024</v>
      </c>
    </row>
    <row r="641" spans="1:4" x14ac:dyDescent="0.35">
      <c r="A641" s="457" t="s">
        <v>72</v>
      </c>
      <c r="B641" s="458" t="s">
        <v>1677</v>
      </c>
      <c r="C641" s="459">
        <v>2</v>
      </c>
      <c r="D641" s="458">
        <v>2025</v>
      </c>
    </row>
    <row r="642" spans="1:4" x14ac:dyDescent="0.35">
      <c r="A642" s="457" t="s">
        <v>72</v>
      </c>
      <c r="B642" s="458" t="s">
        <v>1677</v>
      </c>
      <c r="C642" s="459">
        <v>2</v>
      </c>
      <c r="D642" s="458">
        <v>2024</v>
      </c>
    </row>
    <row r="643" spans="1:4" x14ac:dyDescent="0.35">
      <c r="A643" s="457" t="s">
        <v>72</v>
      </c>
      <c r="B643" s="458" t="s">
        <v>1677</v>
      </c>
      <c r="C643" s="459">
        <v>6</v>
      </c>
      <c r="D643" s="458">
        <v>2024</v>
      </c>
    </row>
    <row r="644" spans="1:4" x14ac:dyDescent="0.35">
      <c r="A644" s="457" t="s">
        <v>72</v>
      </c>
      <c r="B644" s="458" t="s">
        <v>1677</v>
      </c>
      <c r="C644" s="459">
        <v>2</v>
      </c>
      <c r="D644" s="458">
        <v>2024</v>
      </c>
    </row>
    <row r="645" spans="1:4" x14ac:dyDescent="0.35">
      <c r="A645" s="457" t="s">
        <v>72</v>
      </c>
      <c r="B645" s="458" t="s">
        <v>1677</v>
      </c>
      <c r="C645" s="459">
        <v>4</v>
      </c>
      <c r="D645" s="458">
        <v>2025</v>
      </c>
    </row>
    <row r="646" spans="1:4" x14ac:dyDescent="0.35">
      <c r="A646" s="457" t="s">
        <v>72</v>
      </c>
      <c r="B646" s="458" t="s">
        <v>1678</v>
      </c>
      <c r="C646" s="459">
        <v>24</v>
      </c>
      <c r="D646" s="458">
        <v>2024</v>
      </c>
    </row>
    <row r="647" spans="1:4" x14ac:dyDescent="0.35">
      <c r="A647" s="457" t="s">
        <v>72</v>
      </c>
      <c r="B647" s="458" t="s">
        <v>1678</v>
      </c>
      <c r="C647" s="459">
        <v>4</v>
      </c>
      <c r="D647" s="458">
        <v>2024</v>
      </c>
    </row>
    <row r="648" spans="1:4" x14ac:dyDescent="0.35">
      <c r="A648" s="457" t="s">
        <v>72</v>
      </c>
      <c r="B648" s="458" t="s">
        <v>1678</v>
      </c>
      <c r="C648" s="459">
        <v>10</v>
      </c>
      <c r="D648" s="458">
        <v>2024</v>
      </c>
    </row>
    <row r="649" spans="1:4" x14ac:dyDescent="0.35">
      <c r="A649" s="457" t="s">
        <v>72</v>
      </c>
      <c r="B649" s="458" t="s">
        <v>1678</v>
      </c>
      <c r="C649" s="459">
        <v>12</v>
      </c>
      <c r="D649" s="458">
        <v>2024</v>
      </c>
    </row>
    <row r="650" spans="1:4" x14ac:dyDescent="0.35">
      <c r="A650" s="457" t="s">
        <v>72</v>
      </c>
      <c r="B650" s="458" t="s">
        <v>1678</v>
      </c>
      <c r="C650" s="459">
        <v>2</v>
      </c>
      <c r="D650" s="458">
        <v>2024</v>
      </c>
    </row>
    <row r="651" spans="1:4" x14ac:dyDescent="0.35">
      <c r="A651" s="457" t="s">
        <v>72</v>
      </c>
      <c r="B651" s="458" t="s">
        <v>1678</v>
      </c>
      <c r="C651" s="459">
        <v>6</v>
      </c>
      <c r="D651" s="458">
        <v>2024</v>
      </c>
    </row>
    <row r="652" spans="1:4" x14ac:dyDescent="0.35">
      <c r="A652" s="457" t="s">
        <v>72</v>
      </c>
      <c r="B652" s="458" t="s">
        <v>1678</v>
      </c>
      <c r="C652" s="459">
        <v>4</v>
      </c>
      <c r="D652" s="458">
        <v>2024</v>
      </c>
    </row>
    <row r="653" spans="1:4" x14ac:dyDescent="0.35">
      <c r="A653" s="457" t="s">
        <v>72</v>
      </c>
      <c r="B653" s="458" t="s">
        <v>1678</v>
      </c>
      <c r="C653" s="459">
        <v>8</v>
      </c>
      <c r="D653" s="458">
        <v>2024</v>
      </c>
    </row>
    <row r="654" spans="1:4" x14ac:dyDescent="0.35">
      <c r="A654" s="457" t="s">
        <v>72</v>
      </c>
      <c r="B654" s="458" t="s">
        <v>1678</v>
      </c>
      <c r="C654" s="459">
        <v>4</v>
      </c>
      <c r="D654" s="458">
        <v>2024</v>
      </c>
    </row>
    <row r="655" spans="1:4" x14ac:dyDescent="0.35">
      <c r="A655" s="457" t="s">
        <v>72</v>
      </c>
      <c r="B655" s="458" t="s">
        <v>1678</v>
      </c>
      <c r="C655" s="459">
        <v>30</v>
      </c>
      <c r="D655" s="458">
        <v>2024</v>
      </c>
    </row>
    <row r="656" spans="1:4" x14ac:dyDescent="0.35">
      <c r="A656" s="457" t="s">
        <v>72</v>
      </c>
      <c r="B656" s="458" t="s">
        <v>1678</v>
      </c>
      <c r="C656" s="459">
        <v>10</v>
      </c>
      <c r="D656" s="458">
        <v>2024</v>
      </c>
    </row>
    <row r="657" spans="1:4" x14ac:dyDescent="0.35">
      <c r="A657" s="457" t="s">
        <v>72</v>
      </c>
      <c r="B657" s="458" t="s">
        <v>1678</v>
      </c>
      <c r="C657" s="459">
        <v>15</v>
      </c>
      <c r="D657" s="458">
        <v>2024</v>
      </c>
    </row>
    <row r="658" spans="1:4" x14ac:dyDescent="0.35">
      <c r="A658" s="457" t="s">
        <v>72</v>
      </c>
      <c r="B658" s="458" t="s">
        <v>1678</v>
      </c>
      <c r="C658" s="459">
        <v>10</v>
      </c>
      <c r="D658" s="458">
        <v>2024</v>
      </c>
    </row>
    <row r="659" spans="1:4" x14ac:dyDescent="0.35">
      <c r="A659" s="457" t="s">
        <v>72</v>
      </c>
      <c r="B659" s="458" t="s">
        <v>1678</v>
      </c>
      <c r="C659" s="459">
        <v>6</v>
      </c>
      <c r="D659" s="458">
        <v>2024</v>
      </c>
    </row>
    <row r="660" spans="1:4" x14ac:dyDescent="0.35">
      <c r="A660" s="457" t="s">
        <v>72</v>
      </c>
      <c r="B660" s="458" t="s">
        <v>1678</v>
      </c>
      <c r="C660" s="459">
        <v>7</v>
      </c>
      <c r="D660" s="458">
        <v>2024</v>
      </c>
    </row>
    <row r="661" spans="1:4" x14ac:dyDescent="0.35">
      <c r="A661" s="457" t="s">
        <v>72</v>
      </c>
      <c r="B661" s="458" t="s">
        <v>1678</v>
      </c>
      <c r="C661" s="459">
        <v>2</v>
      </c>
      <c r="D661" s="458">
        <v>2024</v>
      </c>
    </row>
    <row r="662" spans="1:4" x14ac:dyDescent="0.35">
      <c r="A662" s="457" t="s">
        <v>72</v>
      </c>
      <c r="B662" s="458" t="s">
        <v>1678</v>
      </c>
      <c r="C662" s="459">
        <v>24</v>
      </c>
      <c r="D662" s="458">
        <v>2024</v>
      </c>
    </row>
    <row r="663" spans="1:4" x14ac:dyDescent="0.35">
      <c r="A663" s="457" t="s">
        <v>72</v>
      </c>
      <c r="B663" s="458" t="s">
        <v>1678</v>
      </c>
      <c r="C663" s="459">
        <v>20</v>
      </c>
      <c r="D663" s="458">
        <v>2024</v>
      </c>
    </row>
    <row r="664" spans="1:4" x14ac:dyDescent="0.35">
      <c r="A664" s="457" t="s">
        <v>72</v>
      </c>
      <c r="B664" s="458" t="s">
        <v>1678</v>
      </c>
      <c r="C664" s="459">
        <v>4</v>
      </c>
      <c r="D664" s="458">
        <v>2024</v>
      </c>
    </row>
    <row r="665" spans="1:4" x14ac:dyDescent="0.35">
      <c r="A665" s="457" t="s">
        <v>72</v>
      </c>
      <c r="B665" s="458" t="s">
        <v>1678</v>
      </c>
      <c r="C665" s="459">
        <v>4</v>
      </c>
      <c r="D665" s="458">
        <v>2024</v>
      </c>
    </row>
    <row r="666" spans="1:4" x14ac:dyDescent="0.35">
      <c r="A666" s="457" t="s">
        <v>72</v>
      </c>
      <c r="B666" s="458" t="s">
        <v>1678</v>
      </c>
      <c r="C666" s="459">
        <v>1</v>
      </c>
      <c r="D666" s="458">
        <v>2024</v>
      </c>
    </row>
    <row r="667" spans="1:4" x14ac:dyDescent="0.35">
      <c r="A667" s="457" t="s">
        <v>72</v>
      </c>
      <c r="B667" s="458" t="s">
        <v>1678</v>
      </c>
      <c r="C667" s="459">
        <v>3</v>
      </c>
      <c r="D667" s="458">
        <v>2024</v>
      </c>
    </row>
    <row r="668" spans="1:4" x14ac:dyDescent="0.35">
      <c r="A668" s="457" t="s">
        <v>72</v>
      </c>
      <c r="B668" s="458" t="s">
        <v>1678</v>
      </c>
      <c r="C668" s="459">
        <v>25</v>
      </c>
      <c r="D668" s="458">
        <v>2024</v>
      </c>
    </row>
    <row r="669" spans="1:4" x14ac:dyDescent="0.35">
      <c r="A669" s="457" t="s">
        <v>72</v>
      </c>
      <c r="B669" s="458" t="s">
        <v>1678</v>
      </c>
      <c r="C669" s="459">
        <v>10</v>
      </c>
      <c r="D669" s="458">
        <v>2024</v>
      </c>
    </row>
    <row r="670" spans="1:4" x14ac:dyDescent="0.35">
      <c r="A670" s="457" t="s">
        <v>72</v>
      </c>
      <c r="B670" s="458" t="s">
        <v>1678</v>
      </c>
      <c r="C670" s="459">
        <v>1</v>
      </c>
      <c r="D670" s="458">
        <v>2024</v>
      </c>
    </row>
    <row r="671" spans="1:4" x14ac:dyDescent="0.35">
      <c r="A671" s="457" t="s">
        <v>72</v>
      </c>
      <c r="B671" s="458" t="s">
        <v>1678</v>
      </c>
      <c r="C671" s="459">
        <v>19</v>
      </c>
      <c r="D671" s="458">
        <v>2024</v>
      </c>
    </row>
    <row r="672" spans="1:4" x14ac:dyDescent="0.35">
      <c r="A672" s="457" t="s">
        <v>72</v>
      </c>
      <c r="B672" s="458" t="s">
        <v>1678</v>
      </c>
      <c r="C672" s="459">
        <v>7</v>
      </c>
      <c r="D672" s="458">
        <v>2024</v>
      </c>
    </row>
    <row r="673" spans="1:4" x14ac:dyDescent="0.35">
      <c r="A673" s="457" t="s">
        <v>72</v>
      </c>
      <c r="B673" s="458" t="s">
        <v>1678</v>
      </c>
      <c r="C673" s="459">
        <v>44</v>
      </c>
      <c r="D673" s="458">
        <v>2024</v>
      </c>
    </row>
    <row r="674" spans="1:4" x14ac:dyDescent="0.35">
      <c r="A674" s="457" t="s">
        <v>72</v>
      </c>
      <c r="B674" s="458" t="s">
        <v>1678</v>
      </c>
      <c r="C674" s="459">
        <v>10</v>
      </c>
      <c r="D674" s="458">
        <v>2024</v>
      </c>
    </row>
    <row r="675" spans="1:4" x14ac:dyDescent="0.35">
      <c r="A675" s="457" t="s">
        <v>72</v>
      </c>
      <c r="B675" s="458" t="s">
        <v>1678</v>
      </c>
      <c r="C675" s="459">
        <v>3</v>
      </c>
      <c r="D675" s="458">
        <v>2024</v>
      </c>
    </row>
    <row r="676" spans="1:4" x14ac:dyDescent="0.35">
      <c r="A676" s="457" t="s">
        <v>72</v>
      </c>
      <c r="B676" s="458" t="s">
        <v>1678</v>
      </c>
      <c r="C676" s="459">
        <v>4</v>
      </c>
      <c r="D676" s="458">
        <v>2024</v>
      </c>
    </row>
    <row r="677" spans="1:4" x14ac:dyDescent="0.35">
      <c r="A677" s="457" t="s">
        <v>72</v>
      </c>
      <c r="B677" s="458" t="s">
        <v>1678</v>
      </c>
      <c r="C677" s="459">
        <v>18</v>
      </c>
      <c r="D677" s="458">
        <v>2024</v>
      </c>
    </row>
    <row r="678" spans="1:4" x14ac:dyDescent="0.35">
      <c r="A678" s="457" t="s">
        <v>72</v>
      </c>
      <c r="B678" s="458" t="s">
        <v>1678</v>
      </c>
      <c r="C678" s="459">
        <v>1</v>
      </c>
      <c r="D678" s="458">
        <v>2024</v>
      </c>
    </row>
    <row r="679" spans="1:4" x14ac:dyDescent="0.35">
      <c r="A679" s="457" t="s">
        <v>72</v>
      </c>
      <c r="B679" s="458" t="s">
        <v>1678</v>
      </c>
      <c r="C679" s="459">
        <v>5</v>
      </c>
      <c r="D679" s="458">
        <v>2024</v>
      </c>
    </row>
    <row r="680" spans="1:4" x14ac:dyDescent="0.35">
      <c r="A680" s="457" t="s">
        <v>72</v>
      </c>
      <c r="B680" s="458" t="s">
        <v>1678</v>
      </c>
      <c r="C680" s="459">
        <v>1</v>
      </c>
      <c r="D680" s="458">
        <v>2024</v>
      </c>
    </row>
    <row r="681" spans="1:4" x14ac:dyDescent="0.35">
      <c r="A681" s="457" t="s">
        <v>72</v>
      </c>
      <c r="B681" s="458" t="s">
        <v>1678</v>
      </c>
      <c r="C681" s="459">
        <v>1</v>
      </c>
      <c r="D681" s="458">
        <v>2024</v>
      </c>
    </row>
    <row r="682" spans="1:4" x14ac:dyDescent="0.35">
      <c r="A682" s="457" t="s">
        <v>72</v>
      </c>
      <c r="B682" s="458" t="s">
        <v>1678</v>
      </c>
      <c r="C682" s="459">
        <v>1</v>
      </c>
      <c r="D682" s="458">
        <v>2024</v>
      </c>
    </row>
    <row r="683" spans="1:4" x14ac:dyDescent="0.35">
      <c r="A683" s="457" t="s">
        <v>72</v>
      </c>
      <c r="B683" s="458" t="s">
        <v>1678</v>
      </c>
      <c r="C683" s="459">
        <v>1</v>
      </c>
      <c r="D683" s="458">
        <v>2024</v>
      </c>
    </row>
    <row r="684" spans="1:4" x14ac:dyDescent="0.35">
      <c r="A684" s="457" t="s">
        <v>72</v>
      </c>
      <c r="B684" s="458" t="s">
        <v>1678</v>
      </c>
      <c r="C684" s="459">
        <v>5</v>
      </c>
      <c r="D684" s="458">
        <v>2024</v>
      </c>
    </row>
    <row r="685" spans="1:4" x14ac:dyDescent="0.35">
      <c r="A685" s="457" t="s">
        <v>72</v>
      </c>
      <c r="B685" s="458" t="s">
        <v>1678</v>
      </c>
      <c r="C685" s="459">
        <v>3</v>
      </c>
      <c r="D685" s="458">
        <v>2024</v>
      </c>
    </row>
    <row r="686" spans="1:4" x14ac:dyDescent="0.35">
      <c r="A686" s="457" t="s">
        <v>72</v>
      </c>
      <c r="B686" s="458" t="s">
        <v>1678</v>
      </c>
      <c r="C686" s="459">
        <v>8</v>
      </c>
      <c r="D686" s="458">
        <v>2024</v>
      </c>
    </row>
    <row r="687" spans="1:4" x14ac:dyDescent="0.35">
      <c r="A687" s="457" t="s">
        <v>72</v>
      </c>
      <c r="B687" s="458" t="s">
        <v>1678</v>
      </c>
      <c r="C687" s="459">
        <v>1</v>
      </c>
      <c r="D687" s="458">
        <v>2024</v>
      </c>
    </row>
    <row r="688" spans="1:4" x14ac:dyDescent="0.35">
      <c r="A688" s="457" t="s">
        <v>72</v>
      </c>
      <c r="B688" s="458" t="s">
        <v>1678</v>
      </c>
      <c r="C688" s="459">
        <v>1</v>
      </c>
      <c r="D688" s="458">
        <v>2024</v>
      </c>
    </row>
    <row r="689" spans="1:4" x14ac:dyDescent="0.35">
      <c r="A689" s="457" t="s">
        <v>72</v>
      </c>
      <c r="B689" s="458" t="s">
        <v>1678</v>
      </c>
      <c r="C689" s="459">
        <v>4</v>
      </c>
      <c r="D689" s="458">
        <v>2024</v>
      </c>
    </row>
    <row r="690" spans="1:4" x14ac:dyDescent="0.35">
      <c r="A690" s="457" t="s">
        <v>72</v>
      </c>
      <c r="B690" s="458" t="s">
        <v>1678</v>
      </c>
      <c r="C690" s="459">
        <v>9</v>
      </c>
      <c r="D690" s="458">
        <v>2024</v>
      </c>
    </row>
    <row r="691" spans="1:4" x14ac:dyDescent="0.35">
      <c r="A691" s="457" t="s">
        <v>72</v>
      </c>
      <c r="B691" s="458" t="s">
        <v>1678</v>
      </c>
      <c r="C691" s="459">
        <v>-60</v>
      </c>
      <c r="D691" s="458">
        <v>2024</v>
      </c>
    </row>
    <row r="692" spans="1:4" x14ac:dyDescent="0.35">
      <c r="A692" s="457" t="s">
        <v>72</v>
      </c>
      <c r="B692" s="458" t="s">
        <v>1678</v>
      </c>
      <c r="C692" s="459">
        <v>-26</v>
      </c>
      <c r="D692" s="458">
        <v>2024</v>
      </c>
    </row>
    <row r="693" spans="1:4" x14ac:dyDescent="0.35">
      <c r="A693" s="457" t="s">
        <v>72</v>
      </c>
      <c r="B693" s="458" t="s">
        <v>1678</v>
      </c>
      <c r="C693" s="459">
        <v>9</v>
      </c>
      <c r="D693" s="458">
        <v>2024</v>
      </c>
    </row>
    <row r="694" spans="1:4" x14ac:dyDescent="0.35">
      <c r="A694" s="457" t="s">
        <v>72</v>
      </c>
      <c r="B694" s="458" t="s">
        <v>1678</v>
      </c>
      <c r="C694" s="459">
        <v>5</v>
      </c>
      <c r="D694" s="458">
        <v>2024</v>
      </c>
    </row>
    <row r="695" spans="1:4" x14ac:dyDescent="0.35">
      <c r="A695" s="457" t="s">
        <v>72</v>
      </c>
      <c r="B695" s="458" t="s">
        <v>1678</v>
      </c>
      <c r="C695" s="459">
        <v>7</v>
      </c>
      <c r="D695" s="458">
        <v>2024</v>
      </c>
    </row>
    <row r="696" spans="1:4" x14ac:dyDescent="0.35">
      <c r="A696" s="457" t="s">
        <v>72</v>
      </c>
      <c r="B696" s="458" t="s">
        <v>1678</v>
      </c>
      <c r="C696" s="459">
        <v>1</v>
      </c>
      <c r="D696" s="458">
        <v>2024</v>
      </c>
    </row>
    <row r="697" spans="1:4" x14ac:dyDescent="0.35">
      <c r="A697" s="457" t="s">
        <v>72</v>
      </c>
      <c r="B697" s="458" t="s">
        <v>1678</v>
      </c>
      <c r="C697" s="459">
        <v>5</v>
      </c>
      <c r="D697" s="458">
        <v>2024</v>
      </c>
    </row>
    <row r="698" spans="1:4" x14ac:dyDescent="0.35">
      <c r="A698" s="457" t="s">
        <v>72</v>
      </c>
      <c r="B698" s="458" t="s">
        <v>1678</v>
      </c>
      <c r="C698" s="459">
        <v>5</v>
      </c>
      <c r="D698" s="458">
        <v>2024</v>
      </c>
    </row>
    <row r="699" spans="1:4" x14ac:dyDescent="0.35">
      <c r="A699" s="457" t="s">
        <v>72</v>
      </c>
      <c r="B699" s="458" t="s">
        <v>1678</v>
      </c>
      <c r="C699" s="459">
        <v>9</v>
      </c>
      <c r="D699" s="458">
        <v>2024</v>
      </c>
    </row>
    <row r="700" spans="1:4" x14ac:dyDescent="0.35">
      <c r="A700" s="457" t="s">
        <v>72</v>
      </c>
      <c r="B700" s="458" t="s">
        <v>1678</v>
      </c>
      <c r="C700" s="459">
        <v>3</v>
      </c>
      <c r="D700" s="458">
        <v>2024</v>
      </c>
    </row>
    <row r="701" spans="1:4" x14ac:dyDescent="0.35">
      <c r="A701" s="457" t="s">
        <v>72</v>
      </c>
      <c r="B701" s="458" t="s">
        <v>1678</v>
      </c>
      <c r="C701" s="459">
        <v>5</v>
      </c>
      <c r="D701" s="458">
        <v>2024</v>
      </c>
    </row>
    <row r="702" spans="1:4" x14ac:dyDescent="0.35">
      <c r="A702" s="457" t="s">
        <v>72</v>
      </c>
      <c r="B702" s="458" t="s">
        <v>1678</v>
      </c>
      <c r="C702" s="459">
        <v>4</v>
      </c>
      <c r="D702" s="458">
        <v>2024</v>
      </c>
    </row>
    <row r="703" spans="1:4" x14ac:dyDescent="0.35">
      <c r="A703" s="457" t="s">
        <v>72</v>
      </c>
      <c r="B703" s="458" t="s">
        <v>1678</v>
      </c>
      <c r="C703" s="459">
        <v>2</v>
      </c>
      <c r="D703" s="458">
        <v>2024</v>
      </c>
    </row>
    <row r="704" spans="1:4" x14ac:dyDescent="0.35">
      <c r="A704" s="457" t="s">
        <v>72</v>
      </c>
      <c r="B704" s="458" t="s">
        <v>1678</v>
      </c>
      <c r="C704" s="459">
        <v>4</v>
      </c>
      <c r="D704" s="458">
        <v>2024</v>
      </c>
    </row>
    <row r="705" spans="1:4" x14ac:dyDescent="0.35">
      <c r="A705" s="457" t="s">
        <v>72</v>
      </c>
      <c r="B705" s="458" t="s">
        <v>1678</v>
      </c>
      <c r="C705" s="459">
        <v>6</v>
      </c>
      <c r="D705" s="458">
        <v>2024</v>
      </c>
    </row>
    <row r="706" spans="1:4" x14ac:dyDescent="0.35">
      <c r="A706" s="457" t="s">
        <v>72</v>
      </c>
      <c r="B706" s="458" t="s">
        <v>1678</v>
      </c>
      <c r="C706" s="459">
        <v>12</v>
      </c>
      <c r="D706" s="458">
        <v>2024</v>
      </c>
    </row>
    <row r="707" spans="1:4" x14ac:dyDescent="0.35">
      <c r="A707" s="457" t="s">
        <v>72</v>
      </c>
      <c r="B707" s="458" t="s">
        <v>1678</v>
      </c>
      <c r="C707" s="459">
        <v>20</v>
      </c>
      <c r="D707" s="458">
        <v>2024</v>
      </c>
    </row>
    <row r="708" spans="1:4" x14ac:dyDescent="0.35">
      <c r="A708" s="457" t="s">
        <v>72</v>
      </c>
      <c r="B708" s="458" t="s">
        <v>1678</v>
      </c>
      <c r="C708" s="459">
        <v>5</v>
      </c>
      <c r="D708" s="458">
        <v>2024</v>
      </c>
    </row>
    <row r="709" spans="1:4" x14ac:dyDescent="0.35">
      <c r="A709" s="457" t="s">
        <v>72</v>
      </c>
      <c r="B709" s="458" t="s">
        <v>1678</v>
      </c>
      <c r="C709" s="459">
        <v>10</v>
      </c>
      <c r="D709" s="458">
        <v>2024</v>
      </c>
    </row>
    <row r="710" spans="1:4" x14ac:dyDescent="0.35">
      <c r="A710" s="457" t="s">
        <v>72</v>
      </c>
      <c r="B710" s="458" t="s">
        <v>1678</v>
      </c>
      <c r="C710" s="459">
        <v>40</v>
      </c>
      <c r="D710" s="458">
        <v>2024</v>
      </c>
    </row>
    <row r="711" spans="1:4" x14ac:dyDescent="0.35">
      <c r="A711" s="457" t="s">
        <v>72</v>
      </c>
      <c r="B711" s="458" t="s">
        <v>1678</v>
      </c>
      <c r="C711" s="459">
        <v>8</v>
      </c>
      <c r="D711" s="458">
        <v>2024</v>
      </c>
    </row>
    <row r="712" spans="1:4" x14ac:dyDescent="0.35">
      <c r="A712" s="457" t="s">
        <v>72</v>
      </c>
      <c r="B712" s="458" t="s">
        <v>1678</v>
      </c>
      <c r="C712" s="459">
        <v>3</v>
      </c>
      <c r="D712" s="458">
        <v>2024</v>
      </c>
    </row>
    <row r="713" spans="1:4" x14ac:dyDescent="0.35">
      <c r="A713" s="457" t="s">
        <v>72</v>
      </c>
      <c r="B713" s="458" t="s">
        <v>1678</v>
      </c>
      <c r="C713" s="459">
        <v>1</v>
      </c>
      <c r="D713" s="458">
        <v>2024</v>
      </c>
    </row>
    <row r="714" spans="1:4" x14ac:dyDescent="0.35">
      <c r="A714" s="457" t="s">
        <v>72</v>
      </c>
      <c r="B714" s="458" t="s">
        <v>1678</v>
      </c>
      <c r="C714" s="459">
        <v>3</v>
      </c>
      <c r="D714" s="458">
        <v>2024</v>
      </c>
    </row>
    <row r="715" spans="1:4" x14ac:dyDescent="0.35">
      <c r="A715" s="457" t="s">
        <v>72</v>
      </c>
      <c r="B715" s="458" t="s">
        <v>1678</v>
      </c>
      <c r="C715" s="459">
        <v>9</v>
      </c>
      <c r="D715" s="458">
        <v>2024</v>
      </c>
    </row>
    <row r="716" spans="1:4" x14ac:dyDescent="0.35">
      <c r="A716" s="457" t="s">
        <v>72</v>
      </c>
      <c r="B716" s="458" t="s">
        <v>1678</v>
      </c>
      <c r="C716" s="459">
        <v>6</v>
      </c>
      <c r="D716" s="458">
        <v>2024</v>
      </c>
    </row>
    <row r="717" spans="1:4" x14ac:dyDescent="0.35">
      <c r="A717" s="457" t="s">
        <v>72</v>
      </c>
      <c r="B717" s="458" t="s">
        <v>1678</v>
      </c>
      <c r="C717" s="459">
        <v>4</v>
      </c>
      <c r="D717" s="458">
        <v>2024</v>
      </c>
    </row>
    <row r="718" spans="1:4" x14ac:dyDescent="0.35">
      <c r="A718" s="457" t="s">
        <v>72</v>
      </c>
      <c r="B718" s="458" t="s">
        <v>1678</v>
      </c>
      <c r="C718" s="459">
        <v>4</v>
      </c>
      <c r="D718" s="458">
        <v>2024</v>
      </c>
    </row>
    <row r="719" spans="1:4" x14ac:dyDescent="0.35">
      <c r="A719" s="457" t="s">
        <v>72</v>
      </c>
      <c r="B719" s="458" t="s">
        <v>1678</v>
      </c>
      <c r="C719" s="459">
        <v>10</v>
      </c>
      <c r="D719" s="458">
        <v>2024</v>
      </c>
    </row>
    <row r="720" spans="1:4" x14ac:dyDescent="0.35">
      <c r="A720" s="457" t="s">
        <v>72</v>
      </c>
      <c r="B720" s="458" t="s">
        <v>1678</v>
      </c>
      <c r="C720" s="459">
        <v>20</v>
      </c>
      <c r="D720" s="458">
        <v>2024</v>
      </c>
    </row>
    <row r="721" spans="1:4" x14ac:dyDescent="0.35">
      <c r="A721" s="457" t="s">
        <v>72</v>
      </c>
      <c r="B721" s="458" t="s">
        <v>1678</v>
      </c>
      <c r="C721" s="459">
        <v>4</v>
      </c>
      <c r="D721" s="458">
        <v>2024</v>
      </c>
    </row>
    <row r="722" spans="1:4" x14ac:dyDescent="0.35">
      <c r="A722" s="457" t="s">
        <v>72</v>
      </c>
      <c r="B722" s="458" t="s">
        <v>1678</v>
      </c>
      <c r="C722" s="459">
        <v>10</v>
      </c>
      <c r="D722" s="458">
        <v>2024</v>
      </c>
    </row>
    <row r="723" spans="1:4" x14ac:dyDescent="0.35">
      <c r="A723" s="457" t="s">
        <v>72</v>
      </c>
      <c r="B723" s="458" t="s">
        <v>1678</v>
      </c>
      <c r="C723" s="459">
        <v>32</v>
      </c>
      <c r="D723" s="458">
        <v>2024</v>
      </c>
    </row>
    <row r="724" spans="1:4" x14ac:dyDescent="0.35">
      <c r="A724" s="457" t="s">
        <v>72</v>
      </c>
      <c r="B724" s="458" t="s">
        <v>1678</v>
      </c>
      <c r="C724" s="459">
        <v>2</v>
      </c>
      <c r="D724" s="458">
        <v>2024</v>
      </c>
    </row>
    <row r="725" spans="1:4" x14ac:dyDescent="0.35">
      <c r="A725" s="457" t="s">
        <v>72</v>
      </c>
      <c r="B725" s="458" t="s">
        <v>1678</v>
      </c>
      <c r="C725" s="459">
        <v>1</v>
      </c>
      <c r="D725" s="458">
        <v>2024</v>
      </c>
    </row>
    <row r="726" spans="1:4" x14ac:dyDescent="0.35">
      <c r="A726" s="457" t="s">
        <v>72</v>
      </c>
      <c r="B726" s="458" t="s">
        <v>1678</v>
      </c>
      <c r="C726" s="459">
        <v>2</v>
      </c>
      <c r="D726" s="458">
        <v>2024</v>
      </c>
    </row>
    <row r="727" spans="1:4" x14ac:dyDescent="0.35">
      <c r="A727" s="457" t="s">
        <v>72</v>
      </c>
      <c r="B727" s="458" t="s">
        <v>1678</v>
      </c>
      <c r="C727" s="459">
        <v>3</v>
      </c>
      <c r="D727" s="458">
        <v>2024</v>
      </c>
    </row>
    <row r="728" spans="1:4" x14ac:dyDescent="0.35">
      <c r="A728" s="457" t="s">
        <v>72</v>
      </c>
      <c r="B728" s="458" t="s">
        <v>1679</v>
      </c>
      <c r="C728" s="459">
        <v>24</v>
      </c>
      <c r="D728" s="458">
        <v>2024</v>
      </c>
    </row>
    <row r="729" spans="1:4" x14ac:dyDescent="0.35">
      <c r="A729" s="457" t="s">
        <v>72</v>
      </c>
      <c r="B729" s="458" t="s">
        <v>1679</v>
      </c>
      <c r="C729" s="459">
        <v>12</v>
      </c>
      <c r="D729" s="458">
        <v>2024</v>
      </c>
    </row>
    <row r="730" spans="1:4" x14ac:dyDescent="0.35">
      <c r="A730" s="457" t="s">
        <v>72</v>
      </c>
      <c r="B730" s="458" t="s">
        <v>1679</v>
      </c>
      <c r="C730" s="459">
        <v>2</v>
      </c>
      <c r="D730" s="458">
        <v>2024</v>
      </c>
    </row>
    <row r="731" spans="1:4" x14ac:dyDescent="0.35">
      <c r="A731" s="457" t="s">
        <v>72</v>
      </c>
      <c r="B731" s="458" t="s">
        <v>1679</v>
      </c>
      <c r="C731" s="459">
        <v>13</v>
      </c>
      <c r="D731" s="458">
        <v>2024</v>
      </c>
    </row>
    <row r="732" spans="1:4" x14ac:dyDescent="0.35">
      <c r="A732" s="457" t="s">
        <v>72</v>
      </c>
      <c r="B732" s="458" t="s">
        <v>1679</v>
      </c>
      <c r="C732" s="459">
        <v>8</v>
      </c>
      <c r="D732" s="458">
        <v>2024</v>
      </c>
    </row>
    <row r="733" spans="1:4" x14ac:dyDescent="0.35">
      <c r="A733" s="457" t="s">
        <v>72</v>
      </c>
      <c r="B733" s="458" t="s">
        <v>1679</v>
      </c>
      <c r="C733" s="459">
        <v>2</v>
      </c>
      <c r="D733" s="458">
        <v>2024</v>
      </c>
    </row>
    <row r="734" spans="1:4" x14ac:dyDescent="0.35">
      <c r="A734" s="457" t="s">
        <v>72</v>
      </c>
      <c r="B734" s="458" t="s">
        <v>1679</v>
      </c>
      <c r="C734" s="459">
        <v>10</v>
      </c>
      <c r="D734" s="458">
        <v>2024</v>
      </c>
    </row>
    <row r="735" spans="1:4" x14ac:dyDescent="0.35">
      <c r="A735" s="457" t="s">
        <v>72</v>
      </c>
      <c r="B735" s="458" t="s">
        <v>1679</v>
      </c>
      <c r="C735" s="459">
        <v>4</v>
      </c>
      <c r="D735" s="458">
        <v>2024</v>
      </c>
    </row>
    <row r="736" spans="1:4" x14ac:dyDescent="0.35">
      <c r="A736" s="457" t="s">
        <v>72</v>
      </c>
      <c r="B736" s="458" t="s">
        <v>1679</v>
      </c>
      <c r="C736" s="459">
        <v>60</v>
      </c>
      <c r="D736" s="458">
        <v>2024</v>
      </c>
    </row>
    <row r="737" spans="1:4" x14ac:dyDescent="0.35">
      <c r="A737" s="457" t="s">
        <v>72</v>
      </c>
      <c r="B737" s="458" t="s">
        <v>1679</v>
      </c>
      <c r="C737" s="459">
        <v>5</v>
      </c>
      <c r="D737" s="458">
        <v>2024</v>
      </c>
    </row>
    <row r="738" spans="1:4" x14ac:dyDescent="0.35">
      <c r="A738" s="457" t="s">
        <v>72</v>
      </c>
      <c r="B738" s="458" t="s">
        <v>1679</v>
      </c>
      <c r="C738" s="459">
        <v>4</v>
      </c>
      <c r="D738" s="458">
        <v>2024</v>
      </c>
    </row>
    <row r="739" spans="1:4" x14ac:dyDescent="0.35">
      <c r="A739" s="457" t="s">
        <v>72</v>
      </c>
      <c r="B739" s="458" t="s">
        <v>1679</v>
      </c>
      <c r="C739" s="459">
        <v>30</v>
      </c>
      <c r="D739" s="458">
        <v>2024</v>
      </c>
    </row>
    <row r="740" spans="1:4" x14ac:dyDescent="0.35">
      <c r="A740" s="457" t="s">
        <v>72</v>
      </c>
      <c r="B740" s="458" t="s">
        <v>1679</v>
      </c>
      <c r="C740" s="459">
        <v>10</v>
      </c>
      <c r="D740" s="458">
        <v>2024</v>
      </c>
    </row>
    <row r="741" spans="1:4" x14ac:dyDescent="0.35">
      <c r="A741" s="457" t="s">
        <v>72</v>
      </c>
      <c r="B741" s="458" t="s">
        <v>1679</v>
      </c>
      <c r="C741" s="459">
        <v>4</v>
      </c>
      <c r="D741" s="458">
        <v>2024</v>
      </c>
    </row>
    <row r="742" spans="1:4" x14ac:dyDescent="0.35">
      <c r="A742" s="457" t="s">
        <v>72</v>
      </c>
      <c r="B742" s="458" t="s">
        <v>1679</v>
      </c>
      <c r="C742" s="459">
        <v>11</v>
      </c>
      <c r="D742" s="458">
        <v>2024</v>
      </c>
    </row>
    <row r="743" spans="1:4" x14ac:dyDescent="0.35">
      <c r="A743" s="457" t="s">
        <v>72</v>
      </c>
      <c r="B743" s="458" t="s">
        <v>1679</v>
      </c>
      <c r="C743" s="459">
        <v>2</v>
      </c>
      <c r="D743" s="458">
        <v>2024</v>
      </c>
    </row>
    <row r="744" spans="1:4" x14ac:dyDescent="0.35">
      <c r="A744" s="457" t="s">
        <v>72</v>
      </c>
      <c r="B744" s="458" t="s">
        <v>1679</v>
      </c>
      <c r="C744" s="459">
        <v>4</v>
      </c>
      <c r="D744" s="458">
        <v>2024</v>
      </c>
    </row>
    <row r="745" spans="1:4" x14ac:dyDescent="0.35">
      <c r="A745" s="457" t="s">
        <v>72</v>
      </c>
      <c r="B745" s="458" t="s">
        <v>1679</v>
      </c>
      <c r="C745" s="459">
        <v>3</v>
      </c>
      <c r="D745" s="458">
        <v>2024</v>
      </c>
    </row>
    <row r="746" spans="1:4" x14ac:dyDescent="0.35">
      <c r="A746" s="457" t="s">
        <v>72</v>
      </c>
      <c r="B746" s="458" t="s">
        <v>1679</v>
      </c>
      <c r="C746" s="459">
        <v>50</v>
      </c>
      <c r="D746" s="458">
        <v>2024</v>
      </c>
    </row>
    <row r="747" spans="1:4" x14ac:dyDescent="0.35">
      <c r="A747" s="457" t="s">
        <v>72</v>
      </c>
      <c r="B747" s="458" t="s">
        <v>1679</v>
      </c>
      <c r="C747" s="459">
        <v>10</v>
      </c>
      <c r="D747" s="458">
        <v>2024</v>
      </c>
    </row>
    <row r="748" spans="1:4" x14ac:dyDescent="0.35">
      <c r="A748" s="457" t="s">
        <v>72</v>
      </c>
      <c r="B748" s="458" t="s">
        <v>1679</v>
      </c>
      <c r="C748" s="459">
        <v>5</v>
      </c>
      <c r="D748" s="458">
        <v>2024</v>
      </c>
    </row>
    <row r="749" spans="1:4" x14ac:dyDescent="0.35">
      <c r="A749" s="457" t="s">
        <v>72</v>
      </c>
      <c r="B749" s="458" t="s">
        <v>1679</v>
      </c>
      <c r="C749" s="459">
        <v>54</v>
      </c>
      <c r="D749" s="458">
        <v>2024</v>
      </c>
    </row>
    <row r="750" spans="1:4" x14ac:dyDescent="0.35">
      <c r="A750" s="457" t="s">
        <v>72</v>
      </c>
      <c r="B750" s="458" t="s">
        <v>1679</v>
      </c>
      <c r="C750" s="459">
        <v>3</v>
      </c>
      <c r="D750" s="458">
        <v>2024</v>
      </c>
    </row>
    <row r="751" spans="1:4" x14ac:dyDescent="0.35">
      <c r="A751" s="457" t="s">
        <v>72</v>
      </c>
      <c r="B751" s="458" t="s">
        <v>1679</v>
      </c>
      <c r="C751" s="459">
        <v>6</v>
      </c>
      <c r="D751" s="458">
        <v>2024</v>
      </c>
    </row>
    <row r="752" spans="1:4" x14ac:dyDescent="0.35">
      <c r="A752" s="457" t="s">
        <v>72</v>
      </c>
      <c r="B752" s="458" t="s">
        <v>1679</v>
      </c>
      <c r="C752" s="459">
        <v>4</v>
      </c>
      <c r="D752" s="458">
        <v>2024</v>
      </c>
    </row>
    <row r="753" spans="1:4" x14ac:dyDescent="0.35">
      <c r="A753" s="457" t="s">
        <v>72</v>
      </c>
      <c r="B753" s="458" t="s">
        <v>1679</v>
      </c>
      <c r="C753" s="459">
        <v>36</v>
      </c>
      <c r="D753" s="458">
        <v>2024</v>
      </c>
    </row>
    <row r="754" spans="1:4" x14ac:dyDescent="0.35">
      <c r="A754" s="457" t="s">
        <v>72</v>
      </c>
      <c r="B754" s="458" t="s">
        <v>1679</v>
      </c>
      <c r="C754" s="459">
        <v>1</v>
      </c>
      <c r="D754" s="458">
        <v>2024</v>
      </c>
    </row>
    <row r="755" spans="1:4" x14ac:dyDescent="0.35">
      <c r="A755" s="457" t="s">
        <v>72</v>
      </c>
      <c r="B755" s="458" t="s">
        <v>1679</v>
      </c>
      <c r="C755" s="459">
        <v>2</v>
      </c>
      <c r="D755" s="458">
        <v>2024</v>
      </c>
    </row>
    <row r="756" spans="1:4" x14ac:dyDescent="0.35">
      <c r="A756" s="457" t="s">
        <v>72</v>
      </c>
      <c r="B756" s="458" t="s">
        <v>1679</v>
      </c>
      <c r="C756" s="459">
        <v>10</v>
      </c>
      <c r="D756" s="458">
        <v>2024</v>
      </c>
    </row>
    <row r="757" spans="1:4" x14ac:dyDescent="0.35">
      <c r="A757" s="457" t="s">
        <v>72</v>
      </c>
      <c r="B757" s="458" t="s">
        <v>1679</v>
      </c>
      <c r="C757" s="459">
        <v>4</v>
      </c>
      <c r="D757" s="458">
        <v>2024</v>
      </c>
    </row>
    <row r="758" spans="1:4" x14ac:dyDescent="0.35">
      <c r="A758" s="457" t="s">
        <v>72</v>
      </c>
      <c r="B758" s="458" t="s">
        <v>1679</v>
      </c>
      <c r="C758" s="459">
        <v>1</v>
      </c>
      <c r="D758" s="458">
        <v>2024</v>
      </c>
    </row>
    <row r="759" spans="1:4" x14ac:dyDescent="0.35">
      <c r="A759" s="457" t="s">
        <v>72</v>
      </c>
      <c r="B759" s="458" t="s">
        <v>1679</v>
      </c>
      <c r="C759" s="459">
        <v>1</v>
      </c>
      <c r="D759" s="458">
        <v>2024</v>
      </c>
    </row>
    <row r="760" spans="1:4" x14ac:dyDescent="0.35">
      <c r="A760" s="457" t="s">
        <v>72</v>
      </c>
      <c r="B760" s="458" t="s">
        <v>1679</v>
      </c>
      <c r="C760" s="459">
        <v>1</v>
      </c>
      <c r="D760" s="458">
        <v>2024</v>
      </c>
    </row>
    <row r="761" spans="1:4" x14ac:dyDescent="0.35">
      <c r="A761" s="457" t="s">
        <v>72</v>
      </c>
      <c r="B761" s="458" t="s">
        <v>1679</v>
      </c>
      <c r="C761" s="459">
        <v>10</v>
      </c>
      <c r="D761" s="458">
        <v>2024</v>
      </c>
    </row>
    <row r="762" spans="1:4" x14ac:dyDescent="0.35">
      <c r="A762" s="457" t="s">
        <v>72</v>
      </c>
      <c r="B762" s="458" t="s">
        <v>1679</v>
      </c>
      <c r="C762" s="459">
        <v>1</v>
      </c>
      <c r="D762" s="458">
        <v>2024</v>
      </c>
    </row>
    <row r="763" spans="1:4" x14ac:dyDescent="0.35">
      <c r="A763" s="457" t="s">
        <v>72</v>
      </c>
      <c r="B763" s="458" t="s">
        <v>1679</v>
      </c>
      <c r="C763" s="459">
        <v>4</v>
      </c>
      <c r="D763" s="458">
        <v>2024</v>
      </c>
    </row>
    <row r="764" spans="1:4" x14ac:dyDescent="0.35">
      <c r="A764" s="457" t="s">
        <v>72</v>
      </c>
      <c r="B764" s="458" t="s">
        <v>1679</v>
      </c>
      <c r="C764" s="459">
        <v>7</v>
      </c>
      <c r="D764" s="458">
        <v>2024</v>
      </c>
    </row>
    <row r="765" spans="1:4" x14ac:dyDescent="0.35">
      <c r="A765" s="457" t="s">
        <v>72</v>
      </c>
      <c r="B765" s="458" t="s">
        <v>1679</v>
      </c>
      <c r="C765" s="459">
        <v>4</v>
      </c>
      <c r="D765" s="458">
        <v>2024</v>
      </c>
    </row>
    <row r="766" spans="1:4" x14ac:dyDescent="0.35">
      <c r="A766" s="457" t="s">
        <v>72</v>
      </c>
      <c r="B766" s="458" t="s">
        <v>1679</v>
      </c>
      <c r="C766" s="459">
        <v>-26</v>
      </c>
      <c r="D766" s="458">
        <v>2024</v>
      </c>
    </row>
    <row r="767" spans="1:4" x14ac:dyDescent="0.35">
      <c r="A767" s="457" t="s">
        <v>72</v>
      </c>
      <c r="B767" s="458" t="s">
        <v>1679</v>
      </c>
      <c r="C767" s="459">
        <v>19</v>
      </c>
      <c r="D767" s="458">
        <v>2024</v>
      </c>
    </row>
    <row r="768" spans="1:4" x14ac:dyDescent="0.35">
      <c r="A768" s="457" t="s">
        <v>72</v>
      </c>
      <c r="B768" s="458" t="s">
        <v>1679</v>
      </c>
      <c r="C768" s="459">
        <v>1</v>
      </c>
      <c r="D768" s="458">
        <v>2024</v>
      </c>
    </row>
    <row r="769" spans="1:4" x14ac:dyDescent="0.35">
      <c r="A769" s="457" t="s">
        <v>72</v>
      </c>
      <c r="B769" s="458" t="s">
        <v>1679</v>
      </c>
      <c r="C769" s="459">
        <v>12</v>
      </c>
      <c r="D769" s="458">
        <v>2024</v>
      </c>
    </row>
    <row r="770" spans="1:4" x14ac:dyDescent="0.35">
      <c r="A770" s="457" t="s">
        <v>72</v>
      </c>
      <c r="B770" s="458" t="s">
        <v>1679</v>
      </c>
      <c r="C770" s="459">
        <v>4</v>
      </c>
      <c r="D770" s="458">
        <v>2024</v>
      </c>
    </row>
    <row r="771" spans="1:4" x14ac:dyDescent="0.35">
      <c r="A771" s="457" t="s">
        <v>72</v>
      </c>
      <c r="B771" s="458" t="s">
        <v>1679</v>
      </c>
      <c r="C771" s="459">
        <v>1</v>
      </c>
      <c r="D771" s="458">
        <v>2024</v>
      </c>
    </row>
    <row r="772" spans="1:4" x14ac:dyDescent="0.35">
      <c r="A772" s="457" t="s">
        <v>72</v>
      </c>
      <c r="B772" s="458" t="s">
        <v>1679</v>
      </c>
      <c r="C772" s="459">
        <v>3</v>
      </c>
      <c r="D772" s="458">
        <v>2024</v>
      </c>
    </row>
    <row r="773" spans="1:4" x14ac:dyDescent="0.35">
      <c r="A773" s="457" t="s">
        <v>72</v>
      </c>
      <c r="B773" s="458" t="s">
        <v>1679</v>
      </c>
      <c r="C773" s="459">
        <v>14</v>
      </c>
      <c r="D773" s="458">
        <v>2024</v>
      </c>
    </row>
    <row r="774" spans="1:4" x14ac:dyDescent="0.35">
      <c r="A774" s="457" t="s">
        <v>72</v>
      </c>
      <c r="B774" s="458" t="s">
        <v>1679</v>
      </c>
      <c r="C774" s="459">
        <v>4</v>
      </c>
      <c r="D774" s="458">
        <v>2024</v>
      </c>
    </row>
    <row r="775" spans="1:4" x14ac:dyDescent="0.35">
      <c r="A775" s="457" t="s">
        <v>72</v>
      </c>
      <c r="B775" s="458" t="s">
        <v>1679</v>
      </c>
      <c r="C775" s="459">
        <v>4</v>
      </c>
      <c r="D775" s="458">
        <v>2024</v>
      </c>
    </row>
    <row r="776" spans="1:4" x14ac:dyDescent="0.35">
      <c r="A776" s="457" t="s">
        <v>72</v>
      </c>
      <c r="B776" s="458" t="s">
        <v>1679</v>
      </c>
      <c r="C776" s="459">
        <v>10</v>
      </c>
      <c r="D776" s="458">
        <v>2024</v>
      </c>
    </row>
    <row r="777" spans="1:4" x14ac:dyDescent="0.35">
      <c r="A777" s="457" t="s">
        <v>72</v>
      </c>
      <c r="B777" s="458" t="s">
        <v>1679</v>
      </c>
      <c r="C777" s="459">
        <v>15</v>
      </c>
      <c r="D777" s="458">
        <v>2024</v>
      </c>
    </row>
    <row r="778" spans="1:4" x14ac:dyDescent="0.35">
      <c r="A778" s="457" t="s">
        <v>72</v>
      </c>
      <c r="B778" s="458" t="s">
        <v>1679</v>
      </c>
      <c r="C778" s="459">
        <v>30</v>
      </c>
      <c r="D778" s="458">
        <v>2024</v>
      </c>
    </row>
    <row r="779" spans="1:4" x14ac:dyDescent="0.35">
      <c r="A779" s="457" t="s">
        <v>72</v>
      </c>
      <c r="B779" s="458" t="s">
        <v>1679</v>
      </c>
      <c r="C779" s="459">
        <v>1</v>
      </c>
      <c r="D779" s="458">
        <v>2024</v>
      </c>
    </row>
    <row r="780" spans="1:4" x14ac:dyDescent="0.35">
      <c r="A780" s="457" t="s">
        <v>72</v>
      </c>
      <c r="B780" s="458" t="s">
        <v>1679</v>
      </c>
      <c r="C780" s="459">
        <v>12</v>
      </c>
      <c r="D780" s="458">
        <v>2024</v>
      </c>
    </row>
    <row r="781" spans="1:4" x14ac:dyDescent="0.35">
      <c r="A781" s="457" t="s">
        <v>72</v>
      </c>
      <c r="B781" s="458" t="s">
        <v>1679</v>
      </c>
      <c r="C781" s="459">
        <v>15</v>
      </c>
      <c r="D781" s="458">
        <v>2024</v>
      </c>
    </row>
    <row r="782" spans="1:4" x14ac:dyDescent="0.35">
      <c r="A782" s="457" t="s">
        <v>72</v>
      </c>
      <c r="B782" s="458" t="s">
        <v>1679</v>
      </c>
      <c r="C782" s="459">
        <v>5</v>
      </c>
      <c r="D782" s="458">
        <v>2024</v>
      </c>
    </row>
    <row r="783" spans="1:4" x14ac:dyDescent="0.35">
      <c r="A783" s="457" t="s">
        <v>72</v>
      </c>
      <c r="B783" s="458" t="s">
        <v>1679</v>
      </c>
      <c r="C783" s="459">
        <v>20</v>
      </c>
      <c r="D783" s="458">
        <v>2024</v>
      </c>
    </row>
    <row r="784" spans="1:4" x14ac:dyDescent="0.35">
      <c r="A784" s="457" t="s">
        <v>72</v>
      </c>
      <c r="B784" s="458" t="s">
        <v>1679</v>
      </c>
      <c r="C784" s="459">
        <v>64</v>
      </c>
      <c r="D784" s="458">
        <v>2024</v>
      </c>
    </row>
    <row r="785" spans="1:4" x14ac:dyDescent="0.35">
      <c r="A785" s="457" t="s">
        <v>72</v>
      </c>
      <c r="B785" s="458" t="s">
        <v>1679</v>
      </c>
      <c r="C785" s="459">
        <v>8</v>
      </c>
      <c r="D785" s="458">
        <v>2024</v>
      </c>
    </row>
    <row r="786" spans="1:4" x14ac:dyDescent="0.35">
      <c r="A786" s="457" t="s">
        <v>72</v>
      </c>
      <c r="B786" s="458" t="s">
        <v>1679</v>
      </c>
      <c r="C786" s="459">
        <v>3</v>
      </c>
      <c r="D786" s="458">
        <v>2024</v>
      </c>
    </row>
    <row r="787" spans="1:4" x14ac:dyDescent="0.35">
      <c r="A787" s="457" t="s">
        <v>72</v>
      </c>
      <c r="B787" s="458" t="s">
        <v>1679</v>
      </c>
      <c r="C787" s="459">
        <v>1</v>
      </c>
      <c r="D787" s="458">
        <v>2024</v>
      </c>
    </row>
    <row r="788" spans="1:4" x14ac:dyDescent="0.35">
      <c r="A788" s="457" t="s">
        <v>72</v>
      </c>
      <c r="B788" s="458" t="s">
        <v>1679</v>
      </c>
      <c r="C788" s="459">
        <v>1</v>
      </c>
      <c r="D788" s="458">
        <v>2024</v>
      </c>
    </row>
    <row r="789" spans="1:4" x14ac:dyDescent="0.35">
      <c r="A789" s="457" t="s">
        <v>72</v>
      </c>
      <c r="B789" s="458" t="s">
        <v>1679</v>
      </c>
      <c r="C789" s="459">
        <v>18</v>
      </c>
      <c r="D789" s="458">
        <v>2024</v>
      </c>
    </row>
    <row r="790" spans="1:4" x14ac:dyDescent="0.35">
      <c r="A790" s="457" t="s">
        <v>72</v>
      </c>
      <c r="B790" s="458" t="s">
        <v>1679</v>
      </c>
      <c r="C790" s="459">
        <v>4</v>
      </c>
      <c r="D790" s="458">
        <v>2024</v>
      </c>
    </row>
    <row r="791" spans="1:4" x14ac:dyDescent="0.35">
      <c r="A791" s="457" t="s">
        <v>72</v>
      </c>
      <c r="B791" s="458" t="s">
        <v>1679</v>
      </c>
      <c r="C791" s="459">
        <v>8</v>
      </c>
      <c r="D791" s="458">
        <v>2024</v>
      </c>
    </row>
    <row r="792" spans="1:4" x14ac:dyDescent="0.35">
      <c r="A792" s="457" t="s">
        <v>72</v>
      </c>
      <c r="B792" s="458" t="s">
        <v>1679</v>
      </c>
      <c r="C792" s="459">
        <v>8</v>
      </c>
      <c r="D792" s="458">
        <v>2024</v>
      </c>
    </row>
    <row r="793" spans="1:4" x14ac:dyDescent="0.35">
      <c r="A793" s="457" t="s">
        <v>72</v>
      </c>
      <c r="B793" s="458" t="s">
        <v>1679</v>
      </c>
      <c r="C793" s="459">
        <v>-7</v>
      </c>
      <c r="D793" s="458">
        <v>2024</v>
      </c>
    </row>
    <row r="794" spans="1:4" x14ac:dyDescent="0.35">
      <c r="A794" s="457" t="s">
        <v>72</v>
      </c>
      <c r="B794" s="458" t="s">
        <v>1679</v>
      </c>
      <c r="C794" s="459">
        <v>20</v>
      </c>
      <c r="D794" s="458">
        <v>2024</v>
      </c>
    </row>
    <row r="795" spans="1:4" x14ac:dyDescent="0.35">
      <c r="A795" s="457" t="s">
        <v>72</v>
      </c>
      <c r="B795" s="458" t="s">
        <v>1679</v>
      </c>
      <c r="C795" s="459">
        <v>3</v>
      </c>
      <c r="D795" s="458">
        <v>2024</v>
      </c>
    </row>
    <row r="796" spans="1:4" x14ac:dyDescent="0.35">
      <c r="A796" s="457" t="s">
        <v>72</v>
      </c>
      <c r="B796" s="458" t="s">
        <v>1679</v>
      </c>
      <c r="C796" s="459">
        <v>20</v>
      </c>
      <c r="D796" s="458">
        <v>2024</v>
      </c>
    </row>
    <row r="797" spans="1:4" x14ac:dyDescent="0.35">
      <c r="A797" s="457" t="s">
        <v>72</v>
      </c>
      <c r="B797" s="458" t="s">
        <v>1679</v>
      </c>
      <c r="C797" s="459">
        <v>18</v>
      </c>
      <c r="D797" s="458">
        <v>2024</v>
      </c>
    </row>
    <row r="798" spans="1:4" x14ac:dyDescent="0.35">
      <c r="A798" s="457" t="s">
        <v>72</v>
      </c>
      <c r="B798" s="458" t="s">
        <v>1679</v>
      </c>
      <c r="C798" s="459">
        <v>12</v>
      </c>
      <c r="D798" s="458">
        <v>2024</v>
      </c>
    </row>
    <row r="799" spans="1:4" x14ac:dyDescent="0.35">
      <c r="A799" s="457" t="s">
        <v>72</v>
      </c>
      <c r="B799" s="458" t="s">
        <v>1679</v>
      </c>
      <c r="C799" s="459">
        <v>3</v>
      </c>
      <c r="D799" s="458">
        <v>2024</v>
      </c>
    </row>
    <row r="800" spans="1:4" x14ac:dyDescent="0.35">
      <c r="A800" s="457" t="s">
        <v>72</v>
      </c>
      <c r="B800" s="458" t="s">
        <v>1679</v>
      </c>
      <c r="C800" s="459">
        <v>2</v>
      </c>
      <c r="D800" s="458">
        <v>2024</v>
      </c>
    </row>
    <row r="801" spans="1:4" x14ac:dyDescent="0.35">
      <c r="A801" s="457" t="s">
        <v>72</v>
      </c>
      <c r="B801" s="458" t="s">
        <v>1679</v>
      </c>
      <c r="C801" s="459">
        <v>1</v>
      </c>
      <c r="D801" s="458">
        <v>2024</v>
      </c>
    </row>
    <row r="802" spans="1:4" x14ac:dyDescent="0.35">
      <c r="A802" s="457" t="s">
        <v>72</v>
      </c>
      <c r="B802" s="458" t="s">
        <v>1680</v>
      </c>
      <c r="C802" s="459">
        <v>5</v>
      </c>
      <c r="D802" s="458">
        <v>2025</v>
      </c>
    </row>
    <row r="803" spans="1:4" x14ac:dyDescent="0.35">
      <c r="A803" s="457" t="s">
        <v>72</v>
      </c>
      <c r="B803" s="458" t="s">
        <v>1680</v>
      </c>
      <c r="C803" s="459">
        <v>10</v>
      </c>
      <c r="D803" s="458">
        <v>2025</v>
      </c>
    </row>
    <row r="804" spans="1:4" x14ac:dyDescent="0.35">
      <c r="A804" s="457" t="s">
        <v>72</v>
      </c>
      <c r="B804" s="458" t="s">
        <v>1680</v>
      </c>
      <c r="C804" s="459">
        <v>20</v>
      </c>
      <c r="D804" s="458">
        <v>2024</v>
      </c>
    </row>
    <row r="805" spans="1:4" x14ac:dyDescent="0.35">
      <c r="A805" s="457" t="s">
        <v>72</v>
      </c>
      <c r="B805" s="458" t="s">
        <v>1680</v>
      </c>
      <c r="C805" s="459">
        <v>12</v>
      </c>
      <c r="D805" s="458">
        <v>2025</v>
      </c>
    </row>
    <row r="806" spans="1:4" x14ac:dyDescent="0.35">
      <c r="A806" s="457" t="s">
        <v>72</v>
      </c>
      <c r="B806" s="458" t="s">
        <v>1680</v>
      </c>
      <c r="C806" s="459">
        <v>6</v>
      </c>
      <c r="D806" s="458">
        <v>2025</v>
      </c>
    </row>
    <row r="807" spans="1:4" x14ac:dyDescent="0.35">
      <c r="A807" s="457" t="s">
        <v>72</v>
      </c>
      <c r="B807" s="458" t="s">
        <v>1680</v>
      </c>
      <c r="C807" s="459">
        <v>8</v>
      </c>
      <c r="D807" s="458">
        <v>2025</v>
      </c>
    </row>
    <row r="808" spans="1:4" x14ac:dyDescent="0.35">
      <c r="A808" s="457" t="s">
        <v>72</v>
      </c>
      <c r="B808" s="458" t="s">
        <v>1680</v>
      </c>
      <c r="C808" s="459">
        <v>3</v>
      </c>
      <c r="D808" s="458">
        <v>2024</v>
      </c>
    </row>
    <row r="809" spans="1:4" x14ac:dyDescent="0.35">
      <c r="A809" s="457" t="s">
        <v>72</v>
      </c>
      <c r="B809" s="458" t="s">
        <v>1680</v>
      </c>
      <c r="C809" s="459">
        <v>2</v>
      </c>
      <c r="D809" s="458">
        <v>2025</v>
      </c>
    </row>
    <row r="810" spans="1:4" x14ac:dyDescent="0.35">
      <c r="A810" s="457" t="s">
        <v>72</v>
      </c>
      <c r="B810" s="458" t="s">
        <v>1680</v>
      </c>
      <c r="C810" s="459">
        <v>15</v>
      </c>
      <c r="D810" s="458">
        <v>2024</v>
      </c>
    </row>
    <row r="811" spans="1:4" x14ac:dyDescent="0.35">
      <c r="A811" s="457" t="s">
        <v>72</v>
      </c>
      <c r="B811" s="458" t="s">
        <v>1680</v>
      </c>
      <c r="C811" s="459">
        <v>4</v>
      </c>
      <c r="D811" s="458">
        <v>2024</v>
      </c>
    </row>
    <row r="812" spans="1:4" x14ac:dyDescent="0.35">
      <c r="A812" s="457" t="s">
        <v>72</v>
      </c>
      <c r="B812" s="458" t="s">
        <v>1680</v>
      </c>
      <c r="C812" s="459">
        <v>4</v>
      </c>
      <c r="D812" s="458">
        <v>2024</v>
      </c>
    </row>
    <row r="813" spans="1:4" x14ac:dyDescent="0.35">
      <c r="A813" s="457" t="s">
        <v>72</v>
      </c>
      <c r="B813" s="458" t="s">
        <v>1680</v>
      </c>
      <c r="C813" s="459">
        <v>1</v>
      </c>
      <c r="D813" s="458">
        <v>2024</v>
      </c>
    </row>
    <row r="814" spans="1:4" x14ac:dyDescent="0.35">
      <c r="A814" s="457" t="s">
        <v>72</v>
      </c>
      <c r="B814" s="458" t="s">
        <v>1680</v>
      </c>
      <c r="C814" s="459">
        <v>7</v>
      </c>
      <c r="D814" s="458">
        <v>2024</v>
      </c>
    </row>
    <row r="815" spans="1:4" x14ac:dyDescent="0.35">
      <c r="A815" s="457" t="s">
        <v>72</v>
      </c>
      <c r="B815" s="458" t="s">
        <v>1680</v>
      </c>
      <c r="C815" s="459">
        <v>25</v>
      </c>
      <c r="D815" s="458">
        <v>2025</v>
      </c>
    </row>
    <row r="816" spans="1:4" x14ac:dyDescent="0.35">
      <c r="A816" s="457" t="s">
        <v>72</v>
      </c>
      <c r="B816" s="458" t="s">
        <v>1680</v>
      </c>
      <c r="C816" s="459">
        <v>4</v>
      </c>
      <c r="D816" s="458">
        <v>2025</v>
      </c>
    </row>
    <row r="817" spans="1:4" x14ac:dyDescent="0.35">
      <c r="A817" s="457" t="s">
        <v>72</v>
      </c>
      <c r="B817" s="458" t="s">
        <v>1680</v>
      </c>
      <c r="C817" s="459">
        <v>9</v>
      </c>
      <c r="D817" s="458">
        <v>2025</v>
      </c>
    </row>
    <row r="818" spans="1:4" x14ac:dyDescent="0.35">
      <c r="A818" s="457" t="s">
        <v>72</v>
      </c>
      <c r="B818" s="458" t="s">
        <v>1680</v>
      </c>
      <c r="C818" s="459">
        <v>10</v>
      </c>
      <c r="D818" s="458">
        <v>2025</v>
      </c>
    </row>
    <row r="819" spans="1:4" x14ac:dyDescent="0.35">
      <c r="A819" s="457" t="s">
        <v>72</v>
      </c>
      <c r="B819" s="458" t="s">
        <v>1680</v>
      </c>
      <c r="C819" s="459">
        <v>15</v>
      </c>
      <c r="D819" s="458">
        <v>2024</v>
      </c>
    </row>
    <row r="820" spans="1:4" x14ac:dyDescent="0.35">
      <c r="A820" s="457" t="s">
        <v>72</v>
      </c>
      <c r="B820" s="458" t="s">
        <v>1680</v>
      </c>
      <c r="C820" s="459">
        <v>15</v>
      </c>
      <c r="D820" s="458">
        <v>2025</v>
      </c>
    </row>
    <row r="821" spans="1:4" x14ac:dyDescent="0.35">
      <c r="A821" s="457" t="s">
        <v>72</v>
      </c>
      <c r="B821" s="458" t="s">
        <v>1680</v>
      </c>
      <c r="C821" s="459">
        <v>20</v>
      </c>
      <c r="D821" s="458">
        <v>2025</v>
      </c>
    </row>
    <row r="822" spans="1:4" x14ac:dyDescent="0.35">
      <c r="A822" s="457" t="s">
        <v>72</v>
      </c>
      <c r="B822" s="458" t="s">
        <v>1680</v>
      </c>
      <c r="C822" s="459">
        <v>7</v>
      </c>
      <c r="D822" s="458">
        <v>2025</v>
      </c>
    </row>
    <row r="823" spans="1:4" x14ac:dyDescent="0.35">
      <c r="A823" s="457" t="s">
        <v>72</v>
      </c>
      <c r="B823" s="458" t="s">
        <v>1680</v>
      </c>
      <c r="C823" s="459">
        <v>7</v>
      </c>
      <c r="D823" s="458">
        <v>2024</v>
      </c>
    </row>
    <row r="824" spans="1:4" x14ac:dyDescent="0.35">
      <c r="A824" s="457" t="s">
        <v>72</v>
      </c>
      <c r="B824" s="458" t="s">
        <v>1680</v>
      </c>
      <c r="C824" s="459">
        <v>3</v>
      </c>
      <c r="D824" s="458">
        <v>2025</v>
      </c>
    </row>
    <row r="825" spans="1:4" x14ac:dyDescent="0.35">
      <c r="A825" s="457" t="s">
        <v>72</v>
      </c>
      <c r="B825" s="458" t="s">
        <v>1680</v>
      </c>
      <c r="C825" s="459">
        <v>6</v>
      </c>
      <c r="D825" s="458">
        <v>2024</v>
      </c>
    </row>
    <row r="826" spans="1:4" x14ac:dyDescent="0.35">
      <c r="A826" s="457" t="s">
        <v>72</v>
      </c>
      <c r="B826" s="458" t="s">
        <v>1680</v>
      </c>
      <c r="C826" s="459">
        <v>24</v>
      </c>
      <c r="D826" s="458">
        <v>2025</v>
      </c>
    </row>
    <row r="827" spans="1:4" x14ac:dyDescent="0.35">
      <c r="A827" s="457" t="s">
        <v>72</v>
      </c>
      <c r="B827" s="458" t="s">
        <v>1680</v>
      </c>
      <c r="C827" s="459">
        <v>10</v>
      </c>
      <c r="D827" s="458">
        <v>2024</v>
      </c>
    </row>
    <row r="828" spans="1:4" x14ac:dyDescent="0.35">
      <c r="A828" s="457" t="s">
        <v>72</v>
      </c>
      <c r="B828" s="458" t="s">
        <v>1680</v>
      </c>
      <c r="C828" s="459">
        <v>15</v>
      </c>
      <c r="D828" s="458">
        <v>2025</v>
      </c>
    </row>
    <row r="829" spans="1:4" x14ac:dyDescent="0.35">
      <c r="A829" s="457" t="s">
        <v>72</v>
      </c>
      <c r="B829" s="458" t="s">
        <v>1680</v>
      </c>
      <c r="C829" s="459">
        <v>8</v>
      </c>
      <c r="D829" s="458">
        <v>2025</v>
      </c>
    </row>
    <row r="830" spans="1:4" x14ac:dyDescent="0.35">
      <c r="A830" s="457" t="s">
        <v>72</v>
      </c>
      <c r="B830" s="458" t="s">
        <v>1680</v>
      </c>
      <c r="C830" s="459">
        <v>15</v>
      </c>
      <c r="D830" s="458">
        <v>2024</v>
      </c>
    </row>
    <row r="831" spans="1:4" x14ac:dyDescent="0.35">
      <c r="A831" s="457" t="s">
        <v>72</v>
      </c>
      <c r="B831" s="458" t="s">
        <v>1680</v>
      </c>
      <c r="C831" s="459">
        <v>10</v>
      </c>
      <c r="D831" s="458">
        <v>2024</v>
      </c>
    </row>
    <row r="832" spans="1:4" x14ac:dyDescent="0.35">
      <c r="A832" s="457" t="s">
        <v>72</v>
      </c>
      <c r="B832" s="458" t="s">
        <v>1680</v>
      </c>
      <c r="C832" s="459">
        <v>1</v>
      </c>
      <c r="D832" s="458">
        <v>2024</v>
      </c>
    </row>
    <row r="833" spans="1:4" x14ac:dyDescent="0.35">
      <c r="A833" s="457" t="s">
        <v>72</v>
      </c>
      <c r="B833" s="458" t="s">
        <v>1680</v>
      </c>
      <c r="C833" s="459">
        <v>4</v>
      </c>
      <c r="D833" s="458">
        <v>2025</v>
      </c>
    </row>
    <row r="834" spans="1:4" x14ac:dyDescent="0.35">
      <c r="A834" s="457" t="s">
        <v>72</v>
      </c>
      <c r="B834" s="458" t="s">
        <v>1680</v>
      </c>
      <c r="C834" s="459">
        <v>25</v>
      </c>
      <c r="D834" s="458">
        <v>2024</v>
      </c>
    </row>
    <row r="835" spans="1:4" x14ac:dyDescent="0.35">
      <c r="A835" s="457" t="s">
        <v>72</v>
      </c>
      <c r="B835" s="458" t="s">
        <v>1680</v>
      </c>
      <c r="C835" s="459">
        <v>25</v>
      </c>
      <c r="D835" s="458">
        <v>2025</v>
      </c>
    </row>
    <row r="836" spans="1:4" x14ac:dyDescent="0.35">
      <c r="A836" s="457" t="s">
        <v>72</v>
      </c>
      <c r="B836" s="458" t="s">
        <v>1680</v>
      </c>
      <c r="C836" s="459">
        <v>2</v>
      </c>
      <c r="D836" s="458">
        <v>2024</v>
      </c>
    </row>
    <row r="837" spans="1:4" x14ac:dyDescent="0.35">
      <c r="A837" s="457" t="s">
        <v>72</v>
      </c>
      <c r="B837" s="458" t="s">
        <v>1680</v>
      </c>
      <c r="C837" s="459">
        <v>16</v>
      </c>
      <c r="D837" s="458">
        <v>2025</v>
      </c>
    </row>
    <row r="838" spans="1:4" x14ac:dyDescent="0.35">
      <c r="A838" s="457" t="s">
        <v>72</v>
      </c>
      <c r="B838" s="458" t="s">
        <v>1680</v>
      </c>
      <c r="C838" s="459">
        <v>1</v>
      </c>
      <c r="D838" s="458">
        <v>2025</v>
      </c>
    </row>
    <row r="839" spans="1:4" x14ac:dyDescent="0.35">
      <c r="A839" s="457" t="s">
        <v>72</v>
      </c>
      <c r="B839" s="458" t="s">
        <v>1680</v>
      </c>
      <c r="C839" s="459">
        <v>5</v>
      </c>
      <c r="D839" s="458">
        <v>2025</v>
      </c>
    </row>
    <row r="840" spans="1:4" x14ac:dyDescent="0.35">
      <c r="A840" s="457" t="s">
        <v>72</v>
      </c>
      <c r="B840" s="458" t="s">
        <v>1680</v>
      </c>
      <c r="C840" s="459">
        <v>3</v>
      </c>
      <c r="D840" s="458">
        <v>2024</v>
      </c>
    </row>
    <row r="841" spans="1:4" x14ac:dyDescent="0.35">
      <c r="A841" s="457" t="s">
        <v>72</v>
      </c>
      <c r="B841" s="458" t="s">
        <v>1680</v>
      </c>
      <c r="C841" s="459">
        <v>4</v>
      </c>
      <c r="D841" s="458">
        <v>2025</v>
      </c>
    </row>
    <row r="842" spans="1:4" x14ac:dyDescent="0.35">
      <c r="A842" s="457" t="s">
        <v>72</v>
      </c>
      <c r="B842" s="458" t="s">
        <v>1680</v>
      </c>
      <c r="C842" s="459">
        <v>36</v>
      </c>
      <c r="D842" s="458">
        <v>2025</v>
      </c>
    </row>
    <row r="843" spans="1:4" x14ac:dyDescent="0.35">
      <c r="A843" s="457" t="s">
        <v>72</v>
      </c>
      <c r="B843" s="458" t="s">
        <v>1680</v>
      </c>
      <c r="C843" s="459">
        <v>22</v>
      </c>
      <c r="D843" s="458">
        <v>2024</v>
      </c>
    </row>
    <row r="844" spans="1:4" x14ac:dyDescent="0.35">
      <c r="A844" s="457" t="s">
        <v>72</v>
      </c>
      <c r="B844" s="458" t="s">
        <v>1680</v>
      </c>
      <c r="C844" s="459">
        <v>6</v>
      </c>
      <c r="D844" s="458">
        <v>2025</v>
      </c>
    </row>
    <row r="845" spans="1:4" x14ac:dyDescent="0.35">
      <c r="A845" s="457" t="s">
        <v>72</v>
      </c>
      <c r="B845" s="458" t="s">
        <v>1680</v>
      </c>
      <c r="C845" s="459">
        <v>4</v>
      </c>
      <c r="D845" s="458">
        <v>2024</v>
      </c>
    </row>
    <row r="846" spans="1:4" x14ac:dyDescent="0.35">
      <c r="A846" s="457" t="s">
        <v>72</v>
      </c>
      <c r="B846" s="458" t="s">
        <v>1680</v>
      </c>
      <c r="C846" s="459">
        <v>4</v>
      </c>
      <c r="D846" s="458">
        <v>2025</v>
      </c>
    </row>
    <row r="847" spans="1:4" x14ac:dyDescent="0.35">
      <c r="A847" s="457" t="s">
        <v>72</v>
      </c>
      <c r="B847" s="458" t="s">
        <v>1680</v>
      </c>
      <c r="C847" s="459">
        <v>18</v>
      </c>
      <c r="D847" s="458">
        <v>2025</v>
      </c>
    </row>
    <row r="848" spans="1:4" x14ac:dyDescent="0.35">
      <c r="A848" s="457" t="s">
        <v>72</v>
      </c>
      <c r="B848" s="458" t="s">
        <v>1680</v>
      </c>
      <c r="C848" s="459">
        <v>6</v>
      </c>
      <c r="D848" s="458">
        <v>2024</v>
      </c>
    </row>
    <row r="849" spans="1:4" x14ac:dyDescent="0.35">
      <c r="A849" s="457" t="s">
        <v>72</v>
      </c>
      <c r="B849" s="458" t="s">
        <v>1680</v>
      </c>
      <c r="C849" s="459">
        <v>1</v>
      </c>
      <c r="D849" s="458">
        <v>2025</v>
      </c>
    </row>
    <row r="850" spans="1:4" x14ac:dyDescent="0.35">
      <c r="A850" s="457" t="s">
        <v>72</v>
      </c>
      <c r="B850" s="458" t="s">
        <v>1680</v>
      </c>
      <c r="C850" s="459">
        <v>12</v>
      </c>
      <c r="D850" s="458">
        <v>2025</v>
      </c>
    </row>
    <row r="851" spans="1:4" x14ac:dyDescent="0.35">
      <c r="A851" s="457" t="s">
        <v>72</v>
      </c>
      <c r="B851" s="458" t="s">
        <v>1680</v>
      </c>
      <c r="C851" s="459">
        <v>4</v>
      </c>
      <c r="D851" s="458">
        <v>2025</v>
      </c>
    </row>
    <row r="852" spans="1:4" x14ac:dyDescent="0.35">
      <c r="A852" s="457" t="s">
        <v>72</v>
      </c>
      <c r="B852" s="458" t="s">
        <v>1680</v>
      </c>
      <c r="C852" s="459">
        <v>5</v>
      </c>
      <c r="D852" s="458">
        <v>2024</v>
      </c>
    </row>
    <row r="853" spans="1:4" x14ac:dyDescent="0.35">
      <c r="A853" s="457" t="s">
        <v>72</v>
      </c>
      <c r="B853" s="458" t="s">
        <v>1680</v>
      </c>
      <c r="C853" s="459">
        <v>5</v>
      </c>
      <c r="D853" s="458">
        <v>2025</v>
      </c>
    </row>
    <row r="854" spans="1:4" x14ac:dyDescent="0.35">
      <c r="A854" s="457" t="s">
        <v>72</v>
      </c>
      <c r="B854" s="458" t="s">
        <v>1680</v>
      </c>
      <c r="C854" s="459">
        <v>1</v>
      </c>
      <c r="D854" s="458">
        <v>2025</v>
      </c>
    </row>
    <row r="855" spans="1:4" x14ac:dyDescent="0.35">
      <c r="A855" s="457" t="s">
        <v>72</v>
      </c>
      <c r="B855" s="458" t="s">
        <v>1680</v>
      </c>
      <c r="C855" s="459">
        <v>1</v>
      </c>
      <c r="D855" s="458">
        <v>2025</v>
      </c>
    </row>
    <row r="856" spans="1:4" x14ac:dyDescent="0.35">
      <c r="A856" s="457" t="s">
        <v>72</v>
      </c>
      <c r="B856" s="458" t="s">
        <v>1680</v>
      </c>
      <c r="C856" s="459">
        <v>1</v>
      </c>
      <c r="D856" s="458">
        <v>2025</v>
      </c>
    </row>
    <row r="857" spans="1:4" x14ac:dyDescent="0.35">
      <c r="A857" s="457" t="s">
        <v>72</v>
      </c>
      <c r="B857" s="458" t="s">
        <v>1680</v>
      </c>
      <c r="C857" s="459">
        <v>1</v>
      </c>
      <c r="D857" s="458">
        <v>2024</v>
      </c>
    </row>
    <row r="858" spans="1:4" x14ac:dyDescent="0.35">
      <c r="A858" s="457" t="s">
        <v>72</v>
      </c>
      <c r="B858" s="458" t="s">
        <v>1680</v>
      </c>
      <c r="C858" s="459">
        <v>10</v>
      </c>
      <c r="D858" s="458">
        <v>2025</v>
      </c>
    </row>
    <row r="859" spans="1:4" x14ac:dyDescent="0.35">
      <c r="A859" s="457" t="s">
        <v>72</v>
      </c>
      <c r="B859" s="458" t="s">
        <v>1680</v>
      </c>
      <c r="C859" s="459">
        <v>1</v>
      </c>
      <c r="D859" s="458">
        <v>2024</v>
      </c>
    </row>
    <row r="860" spans="1:4" x14ac:dyDescent="0.35">
      <c r="A860" s="457" t="s">
        <v>72</v>
      </c>
      <c r="B860" s="458" t="s">
        <v>1680</v>
      </c>
      <c r="C860" s="459">
        <v>5</v>
      </c>
      <c r="D860" s="458">
        <v>2024</v>
      </c>
    </row>
    <row r="861" spans="1:4" x14ac:dyDescent="0.35">
      <c r="A861" s="457" t="s">
        <v>72</v>
      </c>
      <c r="B861" s="458" t="s">
        <v>1680</v>
      </c>
      <c r="C861" s="459">
        <v>9</v>
      </c>
      <c r="D861" s="458">
        <v>2025</v>
      </c>
    </row>
    <row r="862" spans="1:4" x14ac:dyDescent="0.35">
      <c r="A862" s="457" t="s">
        <v>72</v>
      </c>
      <c r="B862" s="458" t="s">
        <v>1680</v>
      </c>
      <c r="C862" s="459">
        <v>4</v>
      </c>
      <c r="D862" s="458">
        <v>2025</v>
      </c>
    </row>
    <row r="863" spans="1:4" x14ac:dyDescent="0.35">
      <c r="A863" s="457" t="s">
        <v>72</v>
      </c>
      <c r="B863" s="458" t="s">
        <v>1680</v>
      </c>
      <c r="C863" s="459">
        <v>1</v>
      </c>
      <c r="D863" s="458">
        <v>2025</v>
      </c>
    </row>
    <row r="864" spans="1:4" x14ac:dyDescent="0.35">
      <c r="A864" s="457" t="s">
        <v>72</v>
      </c>
      <c r="B864" s="458" t="s">
        <v>1680</v>
      </c>
      <c r="C864" s="459">
        <v>1</v>
      </c>
      <c r="D864" s="458">
        <v>2024</v>
      </c>
    </row>
    <row r="865" spans="1:4" x14ac:dyDescent="0.35">
      <c r="A865" s="457" t="s">
        <v>72</v>
      </c>
      <c r="B865" s="458" t="s">
        <v>1680</v>
      </c>
      <c r="C865" s="459">
        <v>6</v>
      </c>
      <c r="D865" s="458">
        <v>2025</v>
      </c>
    </row>
    <row r="866" spans="1:4" x14ac:dyDescent="0.35">
      <c r="A866" s="457" t="s">
        <v>72</v>
      </c>
      <c r="B866" s="458" t="s">
        <v>1680</v>
      </c>
      <c r="C866" s="459">
        <v>5</v>
      </c>
      <c r="D866" s="458">
        <v>2024</v>
      </c>
    </row>
    <row r="867" spans="1:4" x14ac:dyDescent="0.35">
      <c r="A867" s="457" t="s">
        <v>72</v>
      </c>
      <c r="B867" s="458" t="s">
        <v>1680</v>
      </c>
      <c r="C867" s="459">
        <v>6</v>
      </c>
      <c r="D867" s="458">
        <v>2024</v>
      </c>
    </row>
    <row r="868" spans="1:4" x14ac:dyDescent="0.35">
      <c r="A868" s="457" t="s">
        <v>72</v>
      </c>
      <c r="B868" s="458" t="s">
        <v>1680</v>
      </c>
      <c r="C868" s="459">
        <v>11</v>
      </c>
      <c r="D868" s="458">
        <v>2025</v>
      </c>
    </row>
    <row r="869" spans="1:4" x14ac:dyDescent="0.35">
      <c r="A869" s="457" t="s">
        <v>72</v>
      </c>
      <c r="B869" s="458" t="s">
        <v>1680</v>
      </c>
      <c r="C869" s="459">
        <v>2</v>
      </c>
      <c r="D869" s="458">
        <v>2025</v>
      </c>
    </row>
    <row r="870" spans="1:4" x14ac:dyDescent="0.35">
      <c r="A870" s="457" t="s">
        <v>72</v>
      </c>
      <c r="B870" s="458" t="s">
        <v>1680</v>
      </c>
      <c r="C870" s="459">
        <v>-4</v>
      </c>
      <c r="D870" s="458">
        <v>2025</v>
      </c>
    </row>
    <row r="871" spans="1:4" x14ac:dyDescent="0.35">
      <c r="A871" s="457" t="s">
        <v>72</v>
      </c>
      <c r="B871" s="458" t="s">
        <v>1680</v>
      </c>
      <c r="C871" s="459">
        <v>-1</v>
      </c>
      <c r="D871" s="458">
        <v>2025</v>
      </c>
    </row>
    <row r="872" spans="1:4" x14ac:dyDescent="0.35">
      <c r="A872" s="457" t="s">
        <v>72</v>
      </c>
      <c r="B872" s="458" t="s">
        <v>1680</v>
      </c>
      <c r="C872" s="459">
        <v>9</v>
      </c>
      <c r="D872" s="458">
        <v>2024</v>
      </c>
    </row>
    <row r="873" spans="1:4" x14ac:dyDescent="0.35">
      <c r="A873" s="457" t="s">
        <v>72</v>
      </c>
      <c r="B873" s="458" t="s">
        <v>1680</v>
      </c>
      <c r="C873" s="459">
        <v>5</v>
      </c>
      <c r="D873" s="458">
        <v>2025</v>
      </c>
    </row>
    <row r="874" spans="1:4" x14ac:dyDescent="0.35">
      <c r="A874" s="457" t="s">
        <v>72</v>
      </c>
      <c r="B874" s="458" t="s">
        <v>1680</v>
      </c>
      <c r="C874" s="459">
        <v>1</v>
      </c>
      <c r="D874" s="458">
        <v>2024</v>
      </c>
    </row>
    <row r="875" spans="1:4" x14ac:dyDescent="0.35">
      <c r="A875" s="457" t="s">
        <v>72</v>
      </c>
      <c r="B875" s="458" t="s">
        <v>1680</v>
      </c>
      <c r="C875" s="459">
        <v>6</v>
      </c>
      <c r="D875" s="458">
        <v>2025</v>
      </c>
    </row>
    <row r="876" spans="1:4" x14ac:dyDescent="0.35">
      <c r="A876" s="457" t="s">
        <v>72</v>
      </c>
      <c r="B876" s="458" t="s">
        <v>1680</v>
      </c>
      <c r="C876" s="459">
        <v>1</v>
      </c>
      <c r="D876" s="458">
        <v>2025</v>
      </c>
    </row>
    <row r="877" spans="1:4" x14ac:dyDescent="0.35">
      <c r="A877" s="457" t="s">
        <v>72</v>
      </c>
      <c r="B877" s="458" t="s">
        <v>1680</v>
      </c>
      <c r="C877" s="459">
        <v>5</v>
      </c>
      <c r="D877" s="458">
        <v>2024</v>
      </c>
    </row>
    <row r="878" spans="1:4" x14ac:dyDescent="0.35">
      <c r="A878" s="457" t="s">
        <v>72</v>
      </c>
      <c r="B878" s="458" t="s">
        <v>1680</v>
      </c>
      <c r="C878" s="459">
        <v>2</v>
      </c>
      <c r="D878" s="458">
        <v>2025</v>
      </c>
    </row>
    <row r="879" spans="1:4" x14ac:dyDescent="0.35">
      <c r="A879" s="457" t="s">
        <v>72</v>
      </c>
      <c r="B879" s="458" t="s">
        <v>1680</v>
      </c>
      <c r="C879" s="459">
        <v>3</v>
      </c>
      <c r="D879" s="458">
        <v>2025</v>
      </c>
    </row>
    <row r="880" spans="1:4" x14ac:dyDescent="0.35">
      <c r="A880" s="457" t="s">
        <v>72</v>
      </c>
      <c r="B880" s="458" t="s">
        <v>1680</v>
      </c>
      <c r="C880" s="459">
        <v>5</v>
      </c>
      <c r="D880" s="458">
        <v>2024</v>
      </c>
    </row>
    <row r="881" spans="1:4" x14ac:dyDescent="0.35">
      <c r="A881" s="457" t="s">
        <v>72</v>
      </c>
      <c r="B881" s="458" t="s">
        <v>1680</v>
      </c>
      <c r="C881" s="459">
        <v>6</v>
      </c>
      <c r="D881" s="458">
        <v>2025</v>
      </c>
    </row>
    <row r="882" spans="1:4" x14ac:dyDescent="0.35">
      <c r="A882" s="457" t="s">
        <v>72</v>
      </c>
      <c r="B882" s="458" t="s">
        <v>1680</v>
      </c>
      <c r="C882" s="459">
        <v>4</v>
      </c>
      <c r="D882" s="458">
        <v>2024</v>
      </c>
    </row>
    <row r="883" spans="1:4" x14ac:dyDescent="0.35">
      <c r="A883" s="457" t="s">
        <v>72</v>
      </c>
      <c r="B883" s="458" t="s">
        <v>1680</v>
      </c>
      <c r="C883" s="459">
        <v>7</v>
      </c>
      <c r="D883" s="458">
        <v>2025</v>
      </c>
    </row>
    <row r="884" spans="1:4" x14ac:dyDescent="0.35">
      <c r="A884" s="457" t="s">
        <v>72</v>
      </c>
      <c r="B884" s="458" t="s">
        <v>1680</v>
      </c>
      <c r="C884" s="459">
        <v>4</v>
      </c>
      <c r="D884" s="458">
        <v>2025</v>
      </c>
    </row>
    <row r="885" spans="1:4" x14ac:dyDescent="0.35">
      <c r="A885" s="457" t="s">
        <v>72</v>
      </c>
      <c r="B885" s="458" t="s">
        <v>1680</v>
      </c>
      <c r="C885" s="459">
        <v>8</v>
      </c>
      <c r="D885" s="458">
        <v>2025</v>
      </c>
    </row>
    <row r="886" spans="1:4" x14ac:dyDescent="0.35">
      <c r="A886" s="457" t="s">
        <v>72</v>
      </c>
      <c r="B886" s="458" t="s">
        <v>1680</v>
      </c>
      <c r="C886" s="459">
        <v>5</v>
      </c>
      <c r="D886" s="458">
        <v>2024</v>
      </c>
    </row>
    <row r="887" spans="1:4" x14ac:dyDescent="0.35">
      <c r="A887" s="457" t="s">
        <v>72</v>
      </c>
      <c r="B887" s="458" t="s">
        <v>1680</v>
      </c>
      <c r="C887" s="459">
        <v>15</v>
      </c>
      <c r="D887" s="458">
        <v>2024</v>
      </c>
    </row>
    <row r="888" spans="1:4" x14ac:dyDescent="0.35">
      <c r="A888" s="457" t="s">
        <v>72</v>
      </c>
      <c r="B888" s="458" t="s">
        <v>1680</v>
      </c>
      <c r="C888" s="459">
        <v>16</v>
      </c>
      <c r="D888" s="458">
        <v>2025</v>
      </c>
    </row>
    <row r="889" spans="1:4" x14ac:dyDescent="0.35">
      <c r="A889" s="457" t="s">
        <v>72</v>
      </c>
      <c r="B889" s="458" t="s">
        <v>1680</v>
      </c>
      <c r="C889" s="459">
        <v>10</v>
      </c>
      <c r="D889" s="458">
        <v>2025</v>
      </c>
    </row>
    <row r="890" spans="1:4" x14ac:dyDescent="0.35">
      <c r="A890" s="457" t="s">
        <v>72</v>
      </c>
      <c r="B890" s="458" t="s">
        <v>1680</v>
      </c>
      <c r="C890" s="459">
        <v>20</v>
      </c>
      <c r="D890" s="458">
        <v>2025</v>
      </c>
    </row>
    <row r="891" spans="1:4" x14ac:dyDescent="0.35">
      <c r="A891" s="457" t="s">
        <v>72</v>
      </c>
      <c r="B891" s="458" t="s">
        <v>1680</v>
      </c>
      <c r="C891" s="459">
        <v>10</v>
      </c>
      <c r="D891" s="458">
        <v>2024</v>
      </c>
    </row>
    <row r="892" spans="1:4" x14ac:dyDescent="0.35">
      <c r="A892" s="457" t="s">
        <v>72</v>
      </c>
      <c r="B892" s="458" t="s">
        <v>1680</v>
      </c>
      <c r="C892" s="459">
        <v>6</v>
      </c>
      <c r="D892" s="458">
        <v>2025</v>
      </c>
    </row>
    <row r="893" spans="1:4" x14ac:dyDescent="0.35">
      <c r="A893" s="457" t="s">
        <v>72</v>
      </c>
      <c r="B893" s="458" t="s">
        <v>1680</v>
      </c>
      <c r="C893" s="459">
        <v>5</v>
      </c>
      <c r="D893" s="458">
        <v>2024</v>
      </c>
    </row>
    <row r="894" spans="1:4" x14ac:dyDescent="0.35">
      <c r="A894" s="457" t="s">
        <v>72</v>
      </c>
      <c r="B894" s="458" t="s">
        <v>1680</v>
      </c>
      <c r="C894" s="459">
        <v>5</v>
      </c>
      <c r="D894" s="458">
        <v>2025</v>
      </c>
    </row>
    <row r="895" spans="1:4" x14ac:dyDescent="0.35">
      <c r="A895" s="457" t="s">
        <v>72</v>
      </c>
      <c r="B895" s="458" t="s">
        <v>1680</v>
      </c>
      <c r="C895" s="459">
        <v>8</v>
      </c>
      <c r="D895" s="458">
        <v>2024</v>
      </c>
    </row>
    <row r="896" spans="1:4" x14ac:dyDescent="0.35">
      <c r="A896" s="457" t="s">
        <v>72</v>
      </c>
      <c r="B896" s="458" t="s">
        <v>1680</v>
      </c>
      <c r="C896" s="459">
        <v>8</v>
      </c>
      <c r="D896" s="458">
        <v>2025</v>
      </c>
    </row>
    <row r="897" spans="1:4" x14ac:dyDescent="0.35">
      <c r="A897" s="457" t="s">
        <v>72</v>
      </c>
      <c r="B897" s="458" t="s">
        <v>1680</v>
      </c>
      <c r="C897" s="459">
        <v>1</v>
      </c>
      <c r="D897" s="458">
        <v>2025</v>
      </c>
    </row>
    <row r="898" spans="1:4" x14ac:dyDescent="0.35">
      <c r="A898" s="457" t="s">
        <v>72</v>
      </c>
      <c r="B898" s="458" t="s">
        <v>1680</v>
      </c>
      <c r="C898" s="459">
        <v>19</v>
      </c>
      <c r="D898" s="458">
        <v>2024</v>
      </c>
    </row>
    <row r="899" spans="1:4" x14ac:dyDescent="0.35">
      <c r="A899" s="457" t="s">
        <v>72</v>
      </c>
      <c r="B899" s="458" t="s">
        <v>1680</v>
      </c>
      <c r="C899" s="459">
        <v>47</v>
      </c>
      <c r="D899" s="458">
        <v>2025</v>
      </c>
    </row>
    <row r="900" spans="1:4" x14ac:dyDescent="0.35">
      <c r="A900" s="457" t="s">
        <v>72</v>
      </c>
      <c r="B900" s="458" t="s">
        <v>1680</v>
      </c>
      <c r="C900" s="459">
        <v>8</v>
      </c>
      <c r="D900" s="458">
        <v>2025</v>
      </c>
    </row>
    <row r="901" spans="1:4" x14ac:dyDescent="0.35">
      <c r="A901" s="457" t="s">
        <v>72</v>
      </c>
      <c r="B901" s="458" t="s">
        <v>1680</v>
      </c>
      <c r="C901" s="459">
        <v>8</v>
      </c>
      <c r="D901" s="458">
        <v>2024</v>
      </c>
    </row>
    <row r="902" spans="1:4" x14ac:dyDescent="0.35">
      <c r="A902" s="457" t="s">
        <v>72</v>
      </c>
      <c r="B902" s="458" t="s">
        <v>1680</v>
      </c>
      <c r="C902" s="459">
        <v>6</v>
      </c>
      <c r="D902" s="458">
        <v>2024</v>
      </c>
    </row>
    <row r="903" spans="1:4" x14ac:dyDescent="0.35">
      <c r="A903" s="457" t="s">
        <v>72</v>
      </c>
      <c r="B903" s="458" t="s">
        <v>1680</v>
      </c>
      <c r="C903" s="459">
        <v>5</v>
      </c>
      <c r="D903" s="458">
        <v>2025</v>
      </c>
    </row>
    <row r="904" spans="1:4" x14ac:dyDescent="0.35">
      <c r="A904" s="457" t="s">
        <v>72</v>
      </c>
      <c r="B904" s="458" t="s">
        <v>1680</v>
      </c>
      <c r="C904" s="459">
        <v>4</v>
      </c>
      <c r="D904" s="458">
        <v>2025</v>
      </c>
    </row>
    <row r="905" spans="1:4" x14ac:dyDescent="0.35">
      <c r="A905" s="457" t="s">
        <v>72</v>
      </c>
      <c r="B905" s="458" t="s">
        <v>1680</v>
      </c>
      <c r="C905" s="459">
        <v>3</v>
      </c>
      <c r="D905" s="458">
        <v>2024</v>
      </c>
    </row>
    <row r="906" spans="1:4" x14ac:dyDescent="0.35">
      <c r="A906" s="457" t="s">
        <v>72</v>
      </c>
      <c r="B906" s="458" t="s">
        <v>1680</v>
      </c>
      <c r="C906" s="459">
        <v>3</v>
      </c>
      <c r="D906" s="458">
        <v>2025</v>
      </c>
    </row>
    <row r="907" spans="1:4" x14ac:dyDescent="0.35">
      <c r="A907" s="457" t="s">
        <v>72</v>
      </c>
      <c r="B907" s="458" t="s">
        <v>1680</v>
      </c>
      <c r="C907" s="459">
        <v>1</v>
      </c>
      <c r="D907" s="458">
        <v>2025</v>
      </c>
    </row>
    <row r="908" spans="1:4" x14ac:dyDescent="0.35">
      <c r="A908" s="457" t="s">
        <v>72</v>
      </c>
      <c r="B908" s="458" t="s">
        <v>1680</v>
      </c>
      <c r="C908" s="459">
        <v>1</v>
      </c>
      <c r="D908" s="458">
        <v>2025</v>
      </c>
    </row>
    <row r="909" spans="1:4" x14ac:dyDescent="0.35">
      <c r="A909" s="457" t="s">
        <v>72</v>
      </c>
      <c r="B909" s="458" t="s">
        <v>1680</v>
      </c>
      <c r="C909" s="459">
        <v>8</v>
      </c>
      <c r="D909" s="458">
        <v>2025</v>
      </c>
    </row>
    <row r="910" spans="1:4" x14ac:dyDescent="0.35">
      <c r="A910" s="457" t="s">
        <v>72</v>
      </c>
      <c r="B910" s="458" t="s">
        <v>1680</v>
      </c>
      <c r="C910" s="459">
        <v>9</v>
      </c>
      <c r="D910" s="458">
        <v>2024</v>
      </c>
    </row>
    <row r="911" spans="1:4" x14ac:dyDescent="0.35">
      <c r="A911" s="457" t="s">
        <v>72</v>
      </c>
      <c r="B911" s="458" t="s">
        <v>1680</v>
      </c>
      <c r="C911" s="459">
        <v>1</v>
      </c>
      <c r="D911" s="458">
        <v>2024</v>
      </c>
    </row>
    <row r="912" spans="1:4" x14ac:dyDescent="0.35">
      <c r="A912" s="457" t="s">
        <v>72</v>
      </c>
      <c r="B912" s="458" t="s">
        <v>1680</v>
      </c>
      <c r="C912" s="459">
        <v>6</v>
      </c>
      <c r="D912" s="458">
        <v>2024</v>
      </c>
    </row>
    <row r="913" spans="1:4" x14ac:dyDescent="0.35">
      <c r="A913" s="457" t="s">
        <v>72</v>
      </c>
      <c r="B913" s="458" t="s">
        <v>1680</v>
      </c>
      <c r="C913" s="459">
        <v>6</v>
      </c>
      <c r="D913" s="458">
        <v>2024</v>
      </c>
    </row>
    <row r="914" spans="1:4" x14ac:dyDescent="0.35">
      <c r="A914" s="457" t="s">
        <v>72</v>
      </c>
      <c r="B914" s="458" t="s">
        <v>1680</v>
      </c>
      <c r="C914" s="459">
        <v>6</v>
      </c>
      <c r="D914" s="458">
        <v>2025</v>
      </c>
    </row>
    <row r="915" spans="1:4" x14ac:dyDescent="0.35">
      <c r="A915" s="457" t="s">
        <v>72</v>
      </c>
      <c r="B915" s="458" t="s">
        <v>1680</v>
      </c>
      <c r="C915" s="459">
        <v>1</v>
      </c>
      <c r="D915" s="458">
        <v>2025</v>
      </c>
    </row>
    <row r="916" spans="1:4" x14ac:dyDescent="0.35">
      <c r="A916" s="457" t="s">
        <v>72</v>
      </c>
      <c r="B916" s="458" t="s">
        <v>1680</v>
      </c>
      <c r="C916" s="459">
        <v>5</v>
      </c>
      <c r="D916" s="458">
        <v>2025</v>
      </c>
    </row>
    <row r="917" spans="1:4" x14ac:dyDescent="0.35">
      <c r="A917" s="457" t="s">
        <v>72</v>
      </c>
      <c r="B917" s="458" t="s">
        <v>1680</v>
      </c>
      <c r="C917" s="459">
        <v>7</v>
      </c>
      <c r="D917" s="458">
        <v>2025</v>
      </c>
    </row>
    <row r="918" spans="1:4" x14ac:dyDescent="0.35">
      <c r="A918" s="457" t="s">
        <v>72</v>
      </c>
      <c r="B918" s="458" t="s">
        <v>1680</v>
      </c>
      <c r="C918" s="459">
        <v>1</v>
      </c>
      <c r="D918" s="458">
        <v>2025</v>
      </c>
    </row>
    <row r="919" spans="1:4" x14ac:dyDescent="0.35">
      <c r="A919" s="457" t="s">
        <v>72</v>
      </c>
      <c r="B919" s="458" t="s">
        <v>1680</v>
      </c>
      <c r="C919" s="459">
        <v>3</v>
      </c>
      <c r="D919" s="458">
        <v>2024</v>
      </c>
    </row>
    <row r="920" spans="1:4" x14ac:dyDescent="0.35">
      <c r="A920" s="457" t="s">
        <v>72</v>
      </c>
      <c r="B920" s="458" t="s">
        <v>1680</v>
      </c>
      <c r="C920" s="459">
        <v>3</v>
      </c>
      <c r="D920" s="458">
        <v>2024</v>
      </c>
    </row>
    <row r="921" spans="1:4" x14ac:dyDescent="0.35">
      <c r="A921" s="457" t="s">
        <v>72</v>
      </c>
      <c r="B921" s="458" t="s">
        <v>1680</v>
      </c>
      <c r="C921" s="459">
        <v>24</v>
      </c>
      <c r="D921" s="458">
        <v>2025</v>
      </c>
    </row>
    <row r="922" spans="1:4" x14ac:dyDescent="0.35">
      <c r="A922" s="457" t="s">
        <v>72</v>
      </c>
      <c r="B922" s="458" t="s">
        <v>1680</v>
      </c>
      <c r="C922" s="459">
        <v>-8</v>
      </c>
      <c r="D922" s="458">
        <v>2025</v>
      </c>
    </row>
    <row r="923" spans="1:4" x14ac:dyDescent="0.35">
      <c r="A923" s="457" t="s">
        <v>72</v>
      </c>
      <c r="B923" s="458" t="s">
        <v>1680</v>
      </c>
      <c r="C923" s="459">
        <v>-8</v>
      </c>
      <c r="D923" s="458">
        <v>2025</v>
      </c>
    </row>
    <row r="924" spans="1:4" x14ac:dyDescent="0.35">
      <c r="A924" s="457" t="s">
        <v>72</v>
      </c>
      <c r="B924" s="458" t="s">
        <v>1680</v>
      </c>
      <c r="C924" s="459">
        <v>5</v>
      </c>
      <c r="D924" s="458">
        <v>2025</v>
      </c>
    </row>
    <row r="925" spans="1:4" x14ac:dyDescent="0.35">
      <c r="A925" s="457" t="s">
        <v>72</v>
      </c>
      <c r="B925" s="458" t="s">
        <v>1680</v>
      </c>
      <c r="C925" s="459">
        <v>10</v>
      </c>
      <c r="D925" s="458">
        <v>2024</v>
      </c>
    </row>
    <row r="926" spans="1:4" x14ac:dyDescent="0.35">
      <c r="A926" s="457" t="s">
        <v>72</v>
      </c>
      <c r="B926" s="458" t="s">
        <v>1680</v>
      </c>
      <c r="C926" s="459">
        <v>10</v>
      </c>
      <c r="D926" s="458">
        <v>2025</v>
      </c>
    </row>
    <row r="927" spans="1:4" x14ac:dyDescent="0.35">
      <c r="A927" s="457" t="s">
        <v>72</v>
      </c>
      <c r="B927" s="458" t="s">
        <v>1680</v>
      </c>
      <c r="C927" s="459">
        <v>27</v>
      </c>
      <c r="D927" s="458">
        <v>2025</v>
      </c>
    </row>
    <row r="928" spans="1:4" x14ac:dyDescent="0.35">
      <c r="A928" s="457" t="s">
        <v>72</v>
      </c>
      <c r="B928" s="458" t="s">
        <v>1680</v>
      </c>
      <c r="C928" s="459">
        <v>2</v>
      </c>
      <c r="D928" s="458">
        <v>2025</v>
      </c>
    </row>
    <row r="929" spans="1:4" x14ac:dyDescent="0.35">
      <c r="A929" s="457" t="s">
        <v>72</v>
      </c>
      <c r="B929" s="458" t="s">
        <v>1680</v>
      </c>
      <c r="C929" s="459">
        <v>1</v>
      </c>
      <c r="D929" s="458">
        <v>2024</v>
      </c>
    </row>
    <row r="930" spans="1:4" x14ac:dyDescent="0.35">
      <c r="A930" s="457" t="s">
        <v>72</v>
      </c>
      <c r="B930" s="458" t="s">
        <v>1680</v>
      </c>
      <c r="C930" s="459">
        <v>1</v>
      </c>
      <c r="D930" s="458">
        <v>2024</v>
      </c>
    </row>
    <row r="931" spans="1:4" x14ac:dyDescent="0.35">
      <c r="A931" s="457" t="s">
        <v>72</v>
      </c>
      <c r="B931" s="458" t="s">
        <v>1680</v>
      </c>
      <c r="C931" s="459">
        <v>2</v>
      </c>
      <c r="D931" s="458">
        <v>2024</v>
      </c>
    </row>
    <row r="932" spans="1:4" x14ac:dyDescent="0.35">
      <c r="A932" s="457" t="s">
        <v>72</v>
      </c>
      <c r="B932" s="458" t="s">
        <v>1680</v>
      </c>
      <c r="C932" s="459">
        <v>2</v>
      </c>
      <c r="D932" s="458">
        <v>2025</v>
      </c>
    </row>
    <row r="933" spans="1:4" x14ac:dyDescent="0.35">
      <c r="A933" s="457" t="s">
        <v>72</v>
      </c>
      <c r="B933" s="458" t="s">
        <v>1680</v>
      </c>
      <c r="C933" s="459">
        <v>4</v>
      </c>
      <c r="D933" s="458">
        <v>2025</v>
      </c>
    </row>
    <row r="934" spans="1:4" x14ac:dyDescent="0.35">
      <c r="A934" s="457" t="s">
        <v>72</v>
      </c>
      <c r="B934" s="458" t="s">
        <v>1680</v>
      </c>
      <c r="C934" s="459">
        <v>2</v>
      </c>
      <c r="D934" s="458">
        <v>2025</v>
      </c>
    </row>
    <row r="935" spans="1:4" x14ac:dyDescent="0.35">
      <c r="A935" s="457" t="s">
        <v>72</v>
      </c>
      <c r="B935" s="458" t="s">
        <v>1681</v>
      </c>
      <c r="C935" s="459">
        <v>24</v>
      </c>
      <c r="D935" s="458">
        <v>2025</v>
      </c>
    </row>
    <row r="936" spans="1:4" x14ac:dyDescent="0.35">
      <c r="A936" s="457" t="s">
        <v>72</v>
      </c>
      <c r="B936" s="458" t="s">
        <v>1681</v>
      </c>
      <c r="C936" s="459">
        <v>4</v>
      </c>
      <c r="D936" s="458">
        <v>2025</v>
      </c>
    </row>
    <row r="937" spans="1:4" x14ac:dyDescent="0.35">
      <c r="A937" s="457" t="s">
        <v>72</v>
      </c>
      <c r="B937" s="458" t="s">
        <v>1681</v>
      </c>
      <c r="C937" s="459">
        <v>10</v>
      </c>
      <c r="D937" s="458">
        <v>2025</v>
      </c>
    </row>
    <row r="938" spans="1:4" x14ac:dyDescent="0.35">
      <c r="A938" s="457" t="s">
        <v>72</v>
      </c>
      <c r="B938" s="458" t="s">
        <v>1681</v>
      </c>
      <c r="C938" s="459">
        <v>10</v>
      </c>
      <c r="D938" s="458">
        <v>2025</v>
      </c>
    </row>
    <row r="939" spans="1:4" x14ac:dyDescent="0.35">
      <c r="A939" s="457" t="s">
        <v>72</v>
      </c>
      <c r="B939" s="458" t="s">
        <v>1681</v>
      </c>
      <c r="C939" s="459">
        <v>6</v>
      </c>
      <c r="D939" s="458">
        <v>2025</v>
      </c>
    </row>
    <row r="940" spans="1:4" x14ac:dyDescent="0.35">
      <c r="A940" s="457" t="s">
        <v>72</v>
      </c>
      <c r="B940" s="458" t="s">
        <v>1681</v>
      </c>
      <c r="C940" s="459">
        <v>2</v>
      </c>
      <c r="D940" s="458">
        <v>2025</v>
      </c>
    </row>
    <row r="941" spans="1:4" x14ac:dyDescent="0.35">
      <c r="A941" s="457" t="s">
        <v>72</v>
      </c>
      <c r="B941" s="458" t="s">
        <v>1681</v>
      </c>
      <c r="C941" s="459">
        <v>6</v>
      </c>
      <c r="D941" s="458">
        <v>2025</v>
      </c>
    </row>
    <row r="942" spans="1:4" x14ac:dyDescent="0.35">
      <c r="A942" s="457" t="s">
        <v>72</v>
      </c>
      <c r="B942" s="458" t="s">
        <v>1681</v>
      </c>
      <c r="C942" s="459">
        <v>2</v>
      </c>
      <c r="D942" s="458">
        <v>2025</v>
      </c>
    </row>
    <row r="943" spans="1:4" x14ac:dyDescent="0.35">
      <c r="A943" s="457" t="s">
        <v>72</v>
      </c>
      <c r="B943" s="458" t="s">
        <v>1681</v>
      </c>
      <c r="C943" s="459">
        <v>16</v>
      </c>
      <c r="D943" s="458">
        <v>2025</v>
      </c>
    </row>
    <row r="944" spans="1:4" x14ac:dyDescent="0.35">
      <c r="A944" s="457" t="s">
        <v>72</v>
      </c>
      <c r="B944" s="458" t="s">
        <v>1681</v>
      </c>
      <c r="C944" s="459">
        <v>4</v>
      </c>
      <c r="D944" s="458">
        <v>2025</v>
      </c>
    </row>
    <row r="945" spans="1:4" x14ac:dyDescent="0.35">
      <c r="A945" s="457" t="s">
        <v>72</v>
      </c>
      <c r="B945" s="458" t="s">
        <v>1681</v>
      </c>
      <c r="C945" s="459">
        <v>4</v>
      </c>
      <c r="D945" s="458">
        <v>2025</v>
      </c>
    </row>
    <row r="946" spans="1:4" x14ac:dyDescent="0.35">
      <c r="A946" s="457" t="s">
        <v>72</v>
      </c>
      <c r="B946" s="458" t="s">
        <v>1681</v>
      </c>
      <c r="C946" s="459">
        <v>30</v>
      </c>
      <c r="D946" s="458">
        <v>2025</v>
      </c>
    </row>
    <row r="947" spans="1:4" x14ac:dyDescent="0.35">
      <c r="A947" s="457" t="s">
        <v>72</v>
      </c>
      <c r="B947" s="458" t="s">
        <v>1681</v>
      </c>
      <c r="C947" s="459">
        <v>5</v>
      </c>
      <c r="D947" s="458">
        <v>2025</v>
      </c>
    </row>
    <row r="948" spans="1:4" x14ac:dyDescent="0.35">
      <c r="A948" s="457" t="s">
        <v>72</v>
      </c>
      <c r="B948" s="458" t="s">
        <v>1681</v>
      </c>
      <c r="C948" s="459">
        <v>15</v>
      </c>
      <c r="D948" s="458">
        <v>2025</v>
      </c>
    </row>
    <row r="949" spans="1:4" x14ac:dyDescent="0.35">
      <c r="A949" s="457" t="s">
        <v>72</v>
      </c>
      <c r="B949" s="458" t="s">
        <v>1681</v>
      </c>
      <c r="C949" s="459">
        <v>7</v>
      </c>
      <c r="D949" s="458">
        <v>2025</v>
      </c>
    </row>
    <row r="950" spans="1:4" x14ac:dyDescent="0.35">
      <c r="A950" s="457" t="s">
        <v>72</v>
      </c>
      <c r="B950" s="458" t="s">
        <v>1681</v>
      </c>
      <c r="C950" s="459">
        <v>4</v>
      </c>
      <c r="D950" s="458">
        <v>2025</v>
      </c>
    </row>
    <row r="951" spans="1:4" x14ac:dyDescent="0.35">
      <c r="A951" s="457" t="s">
        <v>72</v>
      </c>
      <c r="B951" s="458" t="s">
        <v>1681</v>
      </c>
      <c r="C951" s="459">
        <v>28</v>
      </c>
      <c r="D951" s="458">
        <v>2025</v>
      </c>
    </row>
    <row r="952" spans="1:4" x14ac:dyDescent="0.35">
      <c r="A952" s="457" t="s">
        <v>72</v>
      </c>
      <c r="B952" s="458" t="s">
        <v>1681</v>
      </c>
      <c r="C952" s="459">
        <v>15</v>
      </c>
      <c r="D952" s="458">
        <v>2025</v>
      </c>
    </row>
    <row r="953" spans="1:4" x14ac:dyDescent="0.35">
      <c r="A953" s="457" t="s">
        <v>72</v>
      </c>
      <c r="B953" s="458" t="s">
        <v>1681</v>
      </c>
      <c r="C953" s="459">
        <v>13</v>
      </c>
      <c r="D953" s="458">
        <v>2025</v>
      </c>
    </row>
    <row r="954" spans="1:4" x14ac:dyDescent="0.35">
      <c r="A954" s="457" t="s">
        <v>72</v>
      </c>
      <c r="B954" s="458" t="s">
        <v>1681</v>
      </c>
      <c r="C954" s="459">
        <v>10</v>
      </c>
      <c r="D954" s="458">
        <v>2025</v>
      </c>
    </row>
    <row r="955" spans="1:4" x14ac:dyDescent="0.35">
      <c r="A955" s="457" t="s">
        <v>72</v>
      </c>
      <c r="B955" s="458" t="s">
        <v>1681</v>
      </c>
      <c r="C955" s="459">
        <v>25</v>
      </c>
      <c r="D955" s="458">
        <v>2025</v>
      </c>
    </row>
    <row r="956" spans="1:4" x14ac:dyDescent="0.35">
      <c r="A956" s="457" t="s">
        <v>72</v>
      </c>
      <c r="B956" s="458" t="s">
        <v>1681</v>
      </c>
      <c r="C956" s="459">
        <v>14</v>
      </c>
      <c r="D956" s="458">
        <v>2025</v>
      </c>
    </row>
    <row r="957" spans="1:4" x14ac:dyDescent="0.35">
      <c r="A957" s="457" t="s">
        <v>72</v>
      </c>
      <c r="B957" s="458" t="s">
        <v>1681</v>
      </c>
      <c r="C957" s="459">
        <v>10</v>
      </c>
      <c r="D957" s="458">
        <v>2025</v>
      </c>
    </row>
    <row r="958" spans="1:4" x14ac:dyDescent="0.35">
      <c r="A958" s="457" t="s">
        <v>72</v>
      </c>
      <c r="B958" s="458" t="s">
        <v>1681</v>
      </c>
      <c r="C958" s="459">
        <v>1</v>
      </c>
      <c r="D958" s="458">
        <v>2025</v>
      </c>
    </row>
    <row r="959" spans="1:4" x14ac:dyDescent="0.35">
      <c r="A959" s="457" t="s">
        <v>72</v>
      </c>
      <c r="B959" s="458" t="s">
        <v>1681</v>
      </c>
      <c r="C959" s="459">
        <v>50</v>
      </c>
      <c r="D959" s="458">
        <v>2025</v>
      </c>
    </row>
    <row r="960" spans="1:4" x14ac:dyDescent="0.35">
      <c r="A960" s="457" t="s">
        <v>72</v>
      </c>
      <c r="B960" s="458" t="s">
        <v>1681</v>
      </c>
      <c r="C960" s="459">
        <v>23</v>
      </c>
      <c r="D960" s="458">
        <v>2025</v>
      </c>
    </row>
    <row r="961" spans="1:4" x14ac:dyDescent="0.35">
      <c r="A961" s="457" t="s">
        <v>72</v>
      </c>
      <c r="B961" s="458" t="s">
        <v>1681</v>
      </c>
      <c r="C961" s="459">
        <v>3</v>
      </c>
      <c r="D961" s="458">
        <v>2025</v>
      </c>
    </row>
    <row r="962" spans="1:4" x14ac:dyDescent="0.35">
      <c r="A962" s="457" t="s">
        <v>72</v>
      </c>
      <c r="B962" s="458" t="s">
        <v>1681</v>
      </c>
      <c r="C962" s="459">
        <v>3</v>
      </c>
      <c r="D962" s="458">
        <v>2025</v>
      </c>
    </row>
    <row r="963" spans="1:4" x14ac:dyDescent="0.35">
      <c r="A963" s="457" t="s">
        <v>72</v>
      </c>
      <c r="B963" s="458" t="s">
        <v>1681</v>
      </c>
      <c r="C963" s="459">
        <v>36</v>
      </c>
      <c r="D963" s="458">
        <v>2025</v>
      </c>
    </row>
    <row r="964" spans="1:4" x14ac:dyDescent="0.35">
      <c r="A964" s="457" t="s">
        <v>72</v>
      </c>
      <c r="B964" s="458" t="s">
        <v>1681</v>
      </c>
      <c r="C964" s="459">
        <v>6</v>
      </c>
      <c r="D964" s="458">
        <v>2025</v>
      </c>
    </row>
    <row r="965" spans="1:4" x14ac:dyDescent="0.35">
      <c r="A965" s="457" t="s">
        <v>72</v>
      </c>
      <c r="B965" s="458" t="s">
        <v>1681</v>
      </c>
      <c r="C965" s="459">
        <v>6</v>
      </c>
      <c r="D965" s="458">
        <v>2025</v>
      </c>
    </row>
    <row r="966" spans="1:4" x14ac:dyDescent="0.35">
      <c r="A966" s="457" t="s">
        <v>72</v>
      </c>
      <c r="B966" s="458" t="s">
        <v>1681</v>
      </c>
      <c r="C966" s="459">
        <v>4</v>
      </c>
      <c r="D966" s="458">
        <v>2025</v>
      </c>
    </row>
    <row r="967" spans="1:4" x14ac:dyDescent="0.35">
      <c r="A967" s="457" t="s">
        <v>72</v>
      </c>
      <c r="B967" s="458" t="s">
        <v>1681</v>
      </c>
      <c r="C967" s="459">
        <v>4</v>
      </c>
      <c r="D967" s="458">
        <v>2025</v>
      </c>
    </row>
    <row r="968" spans="1:4" x14ac:dyDescent="0.35">
      <c r="A968" s="457" t="s">
        <v>72</v>
      </c>
      <c r="B968" s="458" t="s">
        <v>1681</v>
      </c>
      <c r="C968" s="459">
        <v>18</v>
      </c>
      <c r="D968" s="458">
        <v>2025</v>
      </c>
    </row>
    <row r="969" spans="1:4" x14ac:dyDescent="0.35">
      <c r="A969" s="457" t="s">
        <v>72</v>
      </c>
      <c r="B969" s="458" t="s">
        <v>1681</v>
      </c>
      <c r="C969" s="459">
        <v>1</v>
      </c>
      <c r="D969" s="458">
        <v>2025</v>
      </c>
    </row>
    <row r="970" spans="1:4" x14ac:dyDescent="0.35">
      <c r="A970" s="457" t="s">
        <v>72</v>
      </c>
      <c r="B970" s="458" t="s">
        <v>1681</v>
      </c>
      <c r="C970" s="459">
        <v>1</v>
      </c>
      <c r="D970" s="458">
        <v>2025</v>
      </c>
    </row>
    <row r="971" spans="1:4" x14ac:dyDescent="0.35">
      <c r="A971" s="457" t="s">
        <v>72</v>
      </c>
      <c r="B971" s="458" t="s">
        <v>1681</v>
      </c>
      <c r="C971" s="459">
        <v>4</v>
      </c>
      <c r="D971" s="458">
        <v>2025</v>
      </c>
    </row>
    <row r="972" spans="1:4" x14ac:dyDescent="0.35">
      <c r="A972" s="457" t="s">
        <v>72</v>
      </c>
      <c r="B972" s="458" t="s">
        <v>1681</v>
      </c>
      <c r="C972" s="459">
        <v>3</v>
      </c>
      <c r="D972" s="458">
        <v>2025</v>
      </c>
    </row>
    <row r="973" spans="1:4" x14ac:dyDescent="0.35">
      <c r="A973" s="457" t="s">
        <v>72</v>
      </c>
      <c r="B973" s="458" t="s">
        <v>1681</v>
      </c>
      <c r="C973" s="459">
        <v>1</v>
      </c>
      <c r="D973" s="458">
        <v>2025</v>
      </c>
    </row>
    <row r="974" spans="1:4" x14ac:dyDescent="0.35">
      <c r="A974" s="457" t="s">
        <v>72</v>
      </c>
      <c r="B974" s="458" t="s">
        <v>1681</v>
      </c>
      <c r="C974" s="459">
        <v>1</v>
      </c>
      <c r="D974" s="458">
        <v>2025</v>
      </c>
    </row>
    <row r="975" spans="1:4" x14ac:dyDescent="0.35">
      <c r="A975" s="457" t="s">
        <v>72</v>
      </c>
      <c r="B975" s="458" t="s">
        <v>1681</v>
      </c>
      <c r="C975" s="459">
        <v>1</v>
      </c>
      <c r="D975" s="458">
        <v>2025</v>
      </c>
    </row>
    <row r="976" spans="1:4" x14ac:dyDescent="0.35">
      <c r="A976" s="457" t="s">
        <v>72</v>
      </c>
      <c r="B976" s="458" t="s">
        <v>1681</v>
      </c>
      <c r="C976" s="459">
        <v>10</v>
      </c>
      <c r="D976" s="458">
        <v>2025</v>
      </c>
    </row>
    <row r="977" spans="1:4" x14ac:dyDescent="0.35">
      <c r="A977" s="457" t="s">
        <v>72</v>
      </c>
      <c r="B977" s="458" t="s">
        <v>1681</v>
      </c>
      <c r="C977" s="459">
        <v>10</v>
      </c>
      <c r="D977" s="458">
        <v>2025</v>
      </c>
    </row>
    <row r="978" spans="1:4" x14ac:dyDescent="0.35">
      <c r="A978" s="457" t="s">
        <v>72</v>
      </c>
      <c r="B978" s="458" t="s">
        <v>1681</v>
      </c>
      <c r="C978" s="459">
        <v>10</v>
      </c>
      <c r="D978" s="458">
        <v>2025</v>
      </c>
    </row>
    <row r="979" spans="1:4" x14ac:dyDescent="0.35">
      <c r="A979" s="457" t="s">
        <v>72</v>
      </c>
      <c r="B979" s="458" t="s">
        <v>1681</v>
      </c>
      <c r="C979" s="459">
        <v>1</v>
      </c>
      <c r="D979" s="458">
        <v>2025</v>
      </c>
    </row>
    <row r="980" spans="1:4" x14ac:dyDescent="0.35">
      <c r="A980" s="457" t="s">
        <v>72</v>
      </c>
      <c r="B980" s="458" t="s">
        <v>1681</v>
      </c>
      <c r="C980" s="459">
        <v>1</v>
      </c>
      <c r="D980" s="458">
        <v>2025</v>
      </c>
    </row>
    <row r="981" spans="1:4" x14ac:dyDescent="0.35">
      <c r="A981" s="457" t="s">
        <v>72</v>
      </c>
      <c r="B981" s="458" t="s">
        <v>1681</v>
      </c>
      <c r="C981" s="459">
        <v>1</v>
      </c>
      <c r="D981" s="458">
        <v>2025</v>
      </c>
    </row>
    <row r="982" spans="1:4" x14ac:dyDescent="0.35">
      <c r="A982" s="457" t="s">
        <v>72</v>
      </c>
      <c r="B982" s="458" t="s">
        <v>1681</v>
      </c>
      <c r="C982" s="459">
        <v>1</v>
      </c>
      <c r="D982" s="458">
        <v>2025</v>
      </c>
    </row>
    <row r="983" spans="1:4" x14ac:dyDescent="0.35">
      <c r="A983" s="457" t="s">
        <v>72</v>
      </c>
      <c r="B983" s="458" t="s">
        <v>1681</v>
      </c>
      <c r="C983" s="459">
        <v>1</v>
      </c>
      <c r="D983" s="458">
        <v>2025</v>
      </c>
    </row>
    <row r="984" spans="1:4" x14ac:dyDescent="0.35">
      <c r="A984" s="457" t="s">
        <v>72</v>
      </c>
      <c r="B984" s="458" t="s">
        <v>1681</v>
      </c>
      <c r="C984" s="459">
        <v>14</v>
      </c>
      <c r="D984" s="458">
        <v>2025</v>
      </c>
    </row>
    <row r="985" spans="1:4" x14ac:dyDescent="0.35">
      <c r="A985" s="457" t="s">
        <v>72</v>
      </c>
      <c r="B985" s="458" t="s">
        <v>1681</v>
      </c>
      <c r="C985" s="459">
        <v>2</v>
      </c>
      <c r="D985" s="458">
        <v>2025</v>
      </c>
    </row>
    <row r="986" spans="1:4" x14ac:dyDescent="0.35">
      <c r="A986" s="457" t="s">
        <v>72</v>
      </c>
      <c r="B986" s="458" t="s">
        <v>1681</v>
      </c>
      <c r="C986" s="459">
        <v>-14</v>
      </c>
      <c r="D986" s="458">
        <v>2025</v>
      </c>
    </row>
    <row r="987" spans="1:4" x14ac:dyDescent="0.35">
      <c r="A987" s="457" t="s">
        <v>72</v>
      </c>
      <c r="B987" s="458" t="s">
        <v>1681</v>
      </c>
      <c r="C987" s="459">
        <v>5</v>
      </c>
      <c r="D987" s="458">
        <v>2025</v>
      </c>
    </row>
    <row r="988" spans="1:4" x14ac:dyDescent="0.35">
      <c r="A988" s="457" t="s">
        <v>72</v>
      </c>
      <c r="B988" s="458" t="s">
        <v>1681</v>
      </c>
      <c r="C988" s="459">
        <v>6</v>
      </c>
      <c r="D988" s="458">
        <v>2025</v>
      </c>
    </row>
    <row r="989" spans="1:4" x14ac:dyDescent="0.35">
      <c r="A989" s="457" t="s">
        <v>72</v>
      </c>
      <c r="B989" s="458" t="s">
        <v>1681</v>
      </c>
      <c r="C989" s="459">
        <v>11</v>
      </c>
      <c r="D989" s="458">
        <v>2025</v>
      </c>
    </row>
    <row r="990" spans="1:4" x14ac:dyDescent="0.35">
      <c r="A990" s="457" t="s">
        <v>72</v>
      </c>
      <c r="B990" s="458" t="s">
        <v>1681</v>
      </c>
      <c r="C990" s="459">
        <v>1</v>
      </c>
      <c r="D990" s="458">
        <v>2025</v>
      </c>
    </row>
    <row r="991" spans="1:4" x14ac:dyDescent="0.35">
      <c r="A991" s="457" t="s">
        <v>72</v>
      </c>
      <c r="B991" s="458" t="s">
        <v>1681</v>
      </c>
      <c r="C991" s="459">
        <v>1</v>
      </c>
      <c r="D991" s="458">
        <v>2025</v>
      </c>
    </row>
    <row r="992" spans="1:4" x14ac:dyDescent="0.35">
      <c r="A992" s="457" t="s">
        <v>72</v>
      </c>
      <c r="B992" s="458" t="s">
        <v>1681</v>
      </c>
      <c r="C992" s="459">
        <v>1</v>
      </c>
      <c r="D992" s="458">
        <v>2025</v>
      </c>
    </row>
    <row r="993" spans="1:4" x14ac:dyDescent="0.35">
      <c r="A993" s="457" t="s">
        <v>72</v>
      </c>
      <c r="B993" s="458" t="s">
        <v>1681</v>
      </c>
      <c r="C993" s="459">
        <v>3</v>
      </c>
      <c r="D993" s="458">
        <v>2025</v>
      </c>
    </row>
    <row r="994" spans="1:4" x14ac:dyDescent="0.35">
      <c r="A994" s="457" t="s">
        <v>72</v>
      </c>
      <c r="B994" s="458" t="s">
        <v>1681</v>
      </c>
      <c r="C994" s="459">
        <v>4</v>
      </c>
      <c r="D994" s="458">
        <v>2025</v>
      </c>
    </row>
    <row r="995" spans="1:4" x14ac:dyDescent="0.35">
      <c r="A995" s="457" t="s">
        <v>72</v>
      </c>
      <c r="B995" s="458" t="s">
        <v>1681</v>
      </c>
      <c r="C995" s="459">
        <v>4</v>
      </c>
      <c r="D995" s="458">
        <v>2025</v>
      </c>
    </row>
    <row r="996" spans="1:4" x14ac:dyDescent="0.35">
      <c r="A996" s="457" t="s">
        <v>72</v>
      </c>
      <c r="B996" s="458" t="s">
        <v>1681</v>
      </c>
      <c r="C996" s="459">
        <v>7</v>
      </c>
      <c r="D996" s="458">
        <v>2025</v>
      </c>
    </row>
    <row r="997" spans="1:4" x14ac:dyDescent="0.35">
      <c r="A997" s="457" t="s">
        <v>72</v>
      </c>
      <c r="B997" s="458" t="s">
        <v>1681</v>
      </c>
      <c r="C997" s="459">
        <v>1</v>
      </c>
      <c r="D997" s="458">
        <v>2025</v>
      </c>
    </row>
    <row r="998" spans="1:4" x14ac:dyDescent="0.35">
      <c r="A998" s="457" t="s">
        <v>72</v>
      </c>
      <c r="B998" s="458" t="s">
        <v>1681</v>
      </c>
      <c r="C998" s="459">
        <v>10</v>
      </c>
      <c r="D998" s="458">
        <v>2025</v>
      </c>
    </row>
    <row r="999" spans="1:4" x14ac:dyDescent="0.35">
      <c r="A999" s="457" t="s">
        <v>72</v>
      </c>
      <c r="B999" s="458" t="s">
        <v>1681</v>
      </c>
      <c r="C999" s="459">
        <v>5</v>
      </c>
      <c r="D999" s="458">
        <v>2025</v>
      </c>
    </row>
    <row r="1000" spans="1:4" x14ac:dyDescent="0.35">
      <c r="A1000" s="457" t="s">
        <v>72</v>
      </c>
      <c r="B1000" s="458" t="s">
        <v>1681</v>
      </c>
      <c r="C1000" s="459">
        <v>30</v>
      </c>
      <c r="D1000" s="458">
        <v>2025</v>
      </c>
    </row>
    <row r="1001" spans="1:4" x14ac:dyDescent="0.35">
      <c r="A1001" s="457" t="s">
        <v>72</v>
      </c>
      <c r="B1001" s="458" t="s">
        <v>1681</v>
      </c>
      <c r="C1001" s="459">
        <v>12</v>
      </c>
      <c r="D1001" s="458">
        <v>2025</v>
      </c>
    </row>
    <row r="1002" spans="1:4" x14ac:dyDescent="0.35">
      <c r="A1002" s="457" t="s">
        <v>72</v>
      </c>
      <c r="B1002" s="458" t="s">
        <v>1681</v>
      </c>
      <c r="C1002" s="459">
        <v>1</v>
      </c>
      <c r="D1002" s="458">
        <v>2025</v>
      </c>
    </row>
    <row r="1003" spans="1:4" x14ac:dyDescent="0.35">
      <c r="A1003" s="457" t="s">
        <v>72</v>
      </c>
      <c r="B1003" s="458" t="s">
        <v>1681</v>
      </c>
      <c r="C1003" s="459">
        <v>18</v>
      </c>
      <c r="D1003" s="458">
        <v>2025</v>
      </c>
    </row>
    <row r="1004" spans="1:4" x14ac:dyDescent="0.35">
      <c r="A1004" s="457" t="s">
        <v>72</v>
      </c>
      <c r="B1004" s="458" t="s">
        <v>1681</v>
      </c>
      <c r="C1004" s="459">
        <v>5</v>
      </c>
      <c r="D1004" s="458">
        <v>2025</v>
      </c>
    </row>
    <row r="1005" spans="1:4" x14ac:dyDescent="0.35">
      <c r="A1005" s="457" t="s">
        <v>72</v>
      </c>
      <c r="B1005" s="458" t="s">
        <v>1681</v>
      </c>
      <c r="C1005" s="459">
        <v>8</v>
      </c>
      <c r="D1005" s="458">
        <v>2025</v>
      </c>
    </row>
    <row r="1006" spans="1:4" x14ac:dyDescent="0.35">
      <c r="A1006" s="457" t="s">
        <v>72</v>
      </c>
      <c r="B1006" s="458" t="s">
        <v>1681</v>
      </c>
      <c r="C1006" s="459">
        <v>3</v>
      </c>
      <c r="D1006" s="458">
        <v>2025</v>
      </c>
    </row>
    <row r="1007" spans="1:4" x14ac:dyDescent="0.35">
      <c r="A1007" s="457" t="s">
        <v>72</v>
      </c>
      <c r="B1007" s="458" t="s">
        <v>1681</v>
      </c>
      <c r="C1007" s="459">
        <v>27</v>
      </c>
      <c r="D1007" s="458">
        <v>2025</v>
      </c>
    </row>
    <row r="1008" spans="1:4" x14ac:dyDescent="0.35">
      <c r="A1008" s="457" t="s">
        <v>72</v>
      </c>
      <c r="B1008" s="458" t="s">
        <v>1681</v>
      </c>
      <c r="C1008" s="459">
        <v>8</v>
      </c>
      <c r="D1008" s="458">
        <v>2025</v>
      </c>
    </row>
    <row r="1009" spans="1:4" x14ac:dyDescent="0.35">
      <c r="A1009" s="457" t="s">
        <v>72</v>
      </c>
      <c r="B1009" s="458" t="s">
        <v>1681</v>
      </c>
      <c r="C1009" s="459">
        <v>8</v>
      </c>
      <c r="D1009" s="458">
        <v>2025</v>
      </c>
    </row>
    <row r="1010" spans="1:4" x14ac:dyDescent="0.35">
      <c r="A1010" s="457" t="s">
        <v>72</v>
      </c>
      <c r="B1010" s="458" t="s">
        <v>1681</v>
      </c>
      <c r="C1010" s="459">
        <v>5</v>
      </c>
      <c r="D1010" s="458">
        <v>2025</v>
      </c>
    </row>
    <row r="1011" spans="1:4" x14ac:dyDescent="0.35">
      <c r="A1011" s="457" t="s">
        <v>72</v>
      </c>
      <c r="B1011" s="458" t="s">
        <v>1681</v>
      </c>
      <c r="C1011" s="459">
        <v>3</v>
      </c>
      <c r="D1011" s="458">
        <v>2025</v>
      </c>
    </row>
    <row r="1012" spans="1:4" x14ac:dyDescent="0.35">
      <c r="A1012" s="457" t="s">
        <v>72</v>
      </c>
      <c r="B1012" s="458" t="s">
        <v>1681</v>
      </c>
      <c r="C1012" s="459">
        <v>1</v>
      </c>
      <c r="D1012" s="458">
        <v>2025</v>
      </c>
    </row>
    <row r="1013" spans="1:4" x14ac:dyDescent="0.35">
      <c r="A1013" s="457" t="s">
        <v>72</v>
      </c>
      <c r="B1013" s="458" t="s">
        <v>1681</v>
      </c>
      <c r="C1013" s="459">
        <v>4</v>
      </c>
      <c r="D1013" s="458">
        <v>2025</v>
      </c>
    </row>
    <row r="1014" spans="1:4" x14ac:dyDescent="0.35">
      <c r="A1014" s="457" t="s">
        <v>72</v>
      </c>
      <c r="B1014" s="458" t="s">
        <v>1681</v>
      </c>
      <c r="C1014" s="459">
        <v>6</v>
      </c>
      <c r="D1014" s="458">
        <v>2025</v>
      </c>
    </row>
    <row r="1015" spans="1:4" x14ac:dyDescent="0.35">
      <c r="A1015" s="457" t="s">
        <v>72</v>
      </c>
      <c r="B1015" s="458" t="s">
        <v>1681</v>
      </c>
      <c r="C1015" s="459">
        <v>6</v>
      </c>
      <c r="D1015" s="458">
        <v>2025</v>
      </c>
    </row>
    <row r="1016" spans="1:4" x14ac:dyDescent="0.35">
      <c r="A1016" s="457" t="s">
        <v>72</v>
      </c>
      <c r="B1016" s="458" t="s">
        <v>1681</v>
      </c>
      <c r="C1016" s="459">
        <v>4</v>
      </c>
      <c r="D1016" s="458">
        <v>2025</v>
      </c>
    </row>
    <row r="1017" spans="1:4" x14ac:dyDescent="0.35">
      <c r="A1017" s="457" t="s">
        <v>72</v>
      </c>
      <c r="B1017" s="458" t="s">
        <v>1681</v>
      </c>
      <c r="C1017" s="459">
        <v>-16</v>
      </c>
      <c r="D1017" s="458">
        <v>2025</v>
      </c>
    </row>
    <row r="1018" spans="1:4" x14ac:dyDescent="0.35">
      <c r="A1018" s="457" t="s">
        <v>72</v>
      </c>
      <c r="B1018" s="458" t="s">
        <v>1681</v>
      </c>
      <c r="C1018" s="459">
        <v>-8</v>
      </c>
      <c r="D1018" s="458">
        <v>2025</v>
      </c>
    </row>
    <row r="1019" spans="1:4" x14ac:dyDescent="0.35">
      <c r="A1019" s="457" t="s">
        <v>72</v>
      </c>
      <c r="B1019" s="458" t="s">
        <v>1681</v>
      </c>
      <c r="C1019" s="459">
        <v>1</v>
      </c>
      <c r="D1019" s="458">
        <v>2025</v>
      </c>
    </row>
    <row r="1020" spans="1:4" x14ac:dyDescent="0.35">
      <c r="A1020" s="457" t="s">
        <v>72</v>
      </c>
      <c r="B1020" s="458" t="s">
        <v>1681</v>
      </c>
      <c r="C1020" s="459">
        <v>2</v>
      </c>
      <c r="D1020" s="458">
        <v>2025</v>
      </c>
    </row>
    <row r="1021" spans="1:4" x14ac:dyDescent="0.35">
      <c r="A1021" s="457" t="s">
        <v>72</v>
      </c>
      <c r="B1021" s="458" t="s">
        <v>1681</v>
      </c>
      <c r="C1021" s="459">
        <v>3</v>
      </c>
      <c r="D1021" s="458">
        <v>2025</v>
      </c>
    </row>
    <row r="1022" spans="1:4" x14ac:dyDescent="0.35">
      <c r="A1022" s="457" t="s">
        <v>72</v>
      </c>
      <c r="B1022" s="458" t="s">
        <v>1681</v>
      </c>
      <c r="C1022" s="459">
        <v>10</v>
      </c>
      <c r="D1022" s="458">
        <v>2025</v>
      </c>
    </row>
    <row r="1023" spans="1:4" x14ac:dyDescent="0.35">
      <c r="A1023" s="457" t="s">
        <v>72</v>
      </c>
      <c r="B1023" s="458" t="s">
        <v>1681</v>
      </c>
      <c r="C1023" s="459">
        <v>18</v>
      </c>
      <c r="D1023" s="458">
        <v>2025</v>
      </c>
    </row>
    <row r="1024" spans="1:4" x14ac:dyDescent="0.35">
      <c r="A1024" s="457" t="s">
        <v>72</v>
      </c>
      <c r="B1024" s="458" t="s">
        <v>1681</v>
      </c>
      <c r="C1024" s="459">
        <v>5</v>
      </c>
      <c r="D1024" s="458">
        <v>2025</v>
      </c>
    </row>
    <row r="1025" spans="1:4" x14ac:dyDescent="0.35">
      <c r="A1025" s="457" t="s">
        <v>72</v>
      </c>
      <c r="B1025" s="458" t="s">
        <v>1681</v>
      </c>
      <c r="C1025" s="459">
        <v>2</v>
      </c>
      <c r="D1025" s="458">
        <v>2025</v>
      </c>
    </row>
    <row r="1026" spans="1:4" x14ac:dyDescent="0.35">
      <c r="A1026" s="457" t="s">
        <v>72</v>
      </c>
      <c r="B1026" s="458" t="s">
        <v>1681</v>
      </c>
      <c r="C1026" s="459">
        <v>2</v>
      </c>
      <c r="D1026" s="458">
        <v>2025</v>
      </c>
    </row>
    <row r="1027" spans="1:4" x14ac:dyDescent="0.35">
      <c r="A1027" s="457" t="s">
        <v>72</v>
      </c>
      <c r="B1027" s="458" t="s">
        <v>1681</v>
      </c>
      <c r="C1027" s="459">
        <v>2</v>
      </c>
      <c r="D1027" s="458">
        <v>2025</v>
      </c>
    </row>
    <row r="1028" spans="1:4" x14ac:dyDescent="0.35">
      <c r="A1028" s="457" t="s">
        <v>72</v>
      </c>
      <c r="B1028" s="458" t="s">
        <v>1681</v>
      </c>
      <c r="C1028" s="459">
        <v>10</v>
      </c>
      <c r="D1028" s="458">
        <v>2025</v>
      </c>
    </row>
    <row r="1029" spans="1:4" x14ac:dyDescent="0.35">
      <c r="A1029" s="457" t="s">
        <v>72</v>
      </c>
      <c r="B1029" s="458" t="s">
        <v>1681</v>
      </c>
      <c r="C1029" s="459">
        <v>4</v>
      </c>
      <c r="D1029" s="458">
        <v>2025</v>
      </c>
    </row>
    <row r="1030" spans="1:4" x14ac:dyDescent="0.35">
      <c r="A1030" s="457" t="s">
        <v>72</v>
      </c>
      <c r="B1030" s="458" t="s">
        <v>1681</v>
      </c>
      <c r="C1030" s="459">
        <v>4</v>
      </c>
      <c r="D1030" s="458">
        <v>2025</v>
      </c>
    </row>
    <row r="1031" spans="1:4" x14ac:dyDescent="0.35">
      <c r="A1031" s="457" t="s">
        <v>72</v>
      </c>
      <c r="B1031" s="458" t="s">
        <v>1681</v>
      </c>
      <c r="C1031" s="459">
        <v>1</v>
      </c>
      <c r="D1031" s="458">
        <v>2025</v>
      </c>
    </row>
    <row r="1032" spans="1:4" x14ac:dyDescent="0.35">
      <c r="A1032" s="457" t="s">
        <v>72</v>
      </c>
      <c r="B1032" s="458" t="s">
        <v>1682</v>
      </c>
      <c r="C1032" s="459">
        <v>24</v>
      </c>
      <c r="D1032" s="458">
        <v>2024</v>
      </c>
    </row>
    <row r="1033" spans="1:4" x14ac:dyDescent="0.35">
      <c r="A1033" s="457" t="s">
        <v>72</v>
      </c>
      <c r="B1033" s="458" t="s">
        <v>1682</v>
      </c>
      <c r="C1033" s="459">
        <v>1</v>
      </c>
      <c r="D1033" s="458">
        <v>2024</v>
      </c>
    </row>
    <row r="1034" spans="1:4" x14ac:dyDescent="0.35">
      <c r="A1034" s="457" t="s">
        <v>72</v>
      </c>
      <c r="B1034" s="458" t="s">
        <v>1682</v>
      </c>
      <c r="C1034" s="459">
        <v>8</v>
      </c>
      <c r="D1034" s="458">
        <v>2024</v>
      </c>
    </row>
    <row r="1035" spans="1:4" x14ac:dyDescent="0.35">
      <c r="A1035" s="457" t="s">
        <v>72</v>
      </c>
      <c r="B1035" s="458" t="s">
        <v>1682</v>
      </c>
      <c r="C1035" s="459">
        <v>13</v>
      </c>
      <c r="D1035" s="458">
        <v>2024</v>
      </c>
    </row>
    <row r="1036" spans="1:4" x14ac:dyDescent="0.35">
      <c r="A1036" s="457" t="s">
        <v>72</v>
      </c>
      <c r="B1036" s="458" t="s">
        <v>1682</v>
      </c>
      <c r="C1036" s="459">
        <v>2</v>
      </c>
      <c r="D1036" s="458">
        <v>2024</v>
      </c>
    </row>
    <row r="1037" spans="1:4" x14ac:dyDescent="0.35">
      <c r="A1037" s="457" t="s">
        <v>72</v>
      </c>
      <c r="B1037" s="458" t="s">
        <v>1682</v>
      </c>
      <c r="C1037" s="459">
        <v>6</v>
      </c>
      <c r="D1037" s="458">
        <v>2024</v>
      </c>
    </row>
    <row r="1038" spans="1:4" x14ac:dyDescent="0.35">
      <c r="A1038" s="457" t="s">
        <v>72</v>
      </c>
      <c r="B1038" s="458" t="s">
        <v>1682</v>
      </c>
      <c r="C1038" s="459">
        <v>2</v>
      </c>
      <c r="D1038" s="458">
        <v>2024</v>
      </c>
    </row>
    <row r="1039" spans="1:4" x14ac:dyDescent="0.35">
      <c r="A1039" s="457" t="s">
        <v>72</v>
      </c>
      <c r="B1039" s="458" t="s">
        <v>1682</v>
      </c>
      <c r="C1039" s="459">
        <v>4</v>
      </c>
      <c r="D1039" s="458">
        <v>2024</v>
      </c>
    </row>
    <row r="1040" spans="1:4" x14ac:dyDescent="0.35">
      <c r="A1040" s="457" t="s">
        <v>72</v>
      </c>
      <c r="B1040" s="458" t="s">
        <v>1682</v>
      </c>
      <c r="C1040" s="459">
        <v>30</v>
      </c>
      <c r="D1040" s="458">
        <v>2024</v>
      </c>
    </row>
    <row r="1041" spans="1:4" x14ac:dyDescent="0.35">
      <c r="A1041" s="457" t="s">
        <v>72</v>
      </c>
      <c r="B1041" s="458" t="s">
        <v>1682</v>
      </c>
      <c r="C1041" s="459">
        <v>5</v>
      </c>
      <c r="D1041" s="458">
        <v>2024</v>
      </c>
    </row>
    <row r="1042" spans="1:4" x14ac:dyDescent="0.35">
      <c r="A1042" s="457" t="s">
        <v>72</v>
      </c>
      <c r="B1042" s="458" t="s">
        <v>1682</v>
      </c>
      <c r="C1042" s="459">
        <v>15</v>
      </c>
      <c r="D1042" s="458">
        <v>2024</v>
      </c>
    </row>
    <row r="1043" spans="1:4" x14ac:dyDescent="0.35">
      <c r="A1043" s="457" t="s">
        <v>72</v>
      </c>
      <c r="B1043" s="458" t="s">
        <v>1682</v>
      </c>
      <c r="C1043" s="459">
        <v>10</v>
      </c>
      <c r="D1043" s="458">
        <v>2024</v>
      </c>
    </row>
    <row r="1044" spans="1:4" x14ac:dyDescent="0.35">
      <c r="A1044" s="457" t="s">
        <v>72</v>
      </c>
      <c r="B1044" s="458" t="s">
        <v>1682</v>
      </c>
      <c r="C1044" s="459">
        <v>7</v>
      </c>
      <c r="D1044" s="458">
        <v>2024</v>
      </c>
    </row>
    <row r="1045" spans="1:4" x14ac:dyDescent="0.35">
      <c r="A1045" s="457" t="s">
        <v>72</v>
      </c>
      <c r="B1045" s="458" t="s">
        <v>1682</v>
      </c>
      <c r="C1045" s="459">
        <v>26</v>
      </c>
      <c r="D1045" s="458">
        <v>2024</v>
      </c>
    </row>
    <row r="1046" spans="1:4" x14ac:dyDescent="0.35">
      <c r="A1046" s="457" t="s">
        <v>72</v>
      </c>
      <c r="B1046" s="458" t="s">
        <v>1682</v>
      </c>
      <c r="C1046" s="459">
        <v>3</v>
      </c>
      <c r="D1046" s="458">
        <v>2024</v>
      </c>
    </row>
    <row r="1047" spans="1:4" x14ac:dyDescent="0.35">
      <c r="A1047" s="457" t="s">
        <v>72</v>
      </c>
      <c r="B1047" s="458" t="s">
        <v>1682</v>
      </c>
      <c r="C1047" s="459">
        <v>15</v>
      </c>
      <c r="D1047" s="458">
        <v>2024</v>
      </c>
    </row>
    <row r="1048" spans="1:4" x14ac:dyDescent="0.35">
      <c r="A1048" s="457" t="s">
        <v>72</v>
      </c>
      <c r="B1048" s="458" t="s">
        <v>1682</v>
      </c>
      <c r="C1048" s="459">
        <v>4</v>
      </c>
      <c r="D1048" s="458">
        <v>2024</v>
      </c>
    </row>
    <row r="1049" spans="1:4" x14ac:dyDescent="0.35">
      <c r="A1049" s="457" t="s">
        <v>72</v>
      </c>
      <c r="B1049" s="458" t="s">
        <v>1682</v>
      </c>
      <c r="C1049" s="459">
        <v>4</v>
      </c>
      <c r="D1049" s="458">
        <v>2024</v>
      </c>
    </row>
    <row r="1050" spans="1:4" x14ac:dyDescent="0.35">
      <c r="A1050" s="457" t="s">
        <v>72</v>
      </c>
      <c r="B1050" s="458" t="s">
        <v>1682</v>
      </c>
      <c r="C1050" s="459">
        <v>4</v>
      </c>
      <c r="D1050" s="458">
        <v>2024</v>
      </c>
    </row>
    <row r="1051" spans="1:4" x14ac:dyDescent="0.35">
      <c r="A1051" s="457" t="s">
        <v>72</v>
      </c>
      <c r="B1051" s="458" t="s">
        <v>1682</v>
      </c>
      <c r="C1051" s="459">
        <v>25</v>
      </c>
      <c r="D1051" s="458">
        <v>2024</v>
      </c>
    </row>
    <row r="1052" spans="1:4" x14ac:dyDescent="0.35">
      <c r="A1052" s="457" t="s">
        <v>72</v>
      </c>
      <c r="B1052" s="458" t="s">
        <v>1682</v>
      </c>
      <c r="C1052" s="459">
        <v>25</v>
      </c>
      <c r="D1052" s="458">
        <v>2024</v>
      </c>
    </row>
    <row r="1053" spans="1:4" x14ac:dyDescent="0.35">
      <c r="A1053" s="457" t="s">
        <v>72</v>
      </c>
      <c r="B1053" s="458" t="s">
        <v>1682</v>
      </c>
      <c r="C1053" s="459">
        <v>15</v>
      </c>
      <c r="D1053" s="458">
        <v>2024</v>
      </c>
    </row>
    <row r="1054" spans="1:4" x14ac:dyDescent="0.35">
      <c r="A1054" s="457" t="s">
        <v>72</v>
      </c>
      <c r="B1054" s="458" t="s">
        <v>1682</v>
      </c>
      <c r="C1054" s="459">
        <v>0</v>
      </c>
      <c r="D1054" s="458">
        <v>2024</v>
      </c>
    </row>
    <row r="1055" spans="1:4" x14ac:dyDescent="0.35">
      <c r="A1055" s="457" t="s">
        <v>72</v>
      </c>
      <c r="B1055" s="458" t="s">
        <v>1682</v>
      </c>
      <c r="C1055" s="459">
        <v>0</v>
      </c>
      <c r="D1055" s="458">
        <v>2024</v>
      </c>
    </row>
    <row r="1056" spans="1:4" x14ac:dyDescent="0.35">
      <c r="A1056" s="457" t="s">
        <v>72</v>
      </c>
      <c r="B1056" s="458" t="s">
        <v>1682</v>
      </c>
      <c r="C1056" s="459">
        <v>66</v>
      </c>
      <c r="D1056" s="458">
        <v>2024</v>
      </c>
    </row>
    <row r="1057" spans="1:4" x14ac:dyDescent="0.35">
      <c r="A1057" s="457" t="s">
        <v>72</v>
      </c>
      <c r="B1057" s="458" t="s">
        <v>1682</v>
      </c>
      <c r="C1057" s="459">
        <v>10</v>
      </c>
      <c r="D1057" s="458">
        <v>2024</v>
      </c>
    </row>
    <row r="1058" spans="1:4" x14ac:dyDescent="0.35">
      <c r="A1058" s="457" t="s">
        <v>72</v>
      </c>
      <c r="B1058" s="458" t="s">
        <v>1682</v>
      </c>
      <c r="C1058" s="459">
        <v>4</v>
      </c>
      <c r="D1058" s="458">
        <v>2024</v>
      </c>
    </row>
    <row r="1059" spans="1:4" x14ac:dyDescent="0.35">
      <c r="A1059" s="457" t="s">
        <v>72</v>
      </c>
      <c r="B1059" s="458" t="s">
        <v>1682</v>
      </c>
      <c r="C1059" s="459">
        <v>18</v>
      </c>
      <c r="D1059" s="458">
        <v>2024</v>
      </c>
    </row>
    <row r="1060" spans="1:4" x14ac:dyDescent="0.35">
      <c r="A1060" s="457" t="s">
        <v>72</v>
      </c>
      <c r="B1060" s="458" t="s">
        <v>1682</v>
      </c>
      <c r="C1060" s="459">
        <v>2</v>
      </c>
      <c r="D1060" s="458">
        <v>2024</v>
      </c>
    </row>
    <row r="1061" spans="1:4" x14ac:dyDescent="0.35">
      <c r="A1061" s="457" t="s">
        <v>72</v>
      </c>
      <c r="B1061" s="458" t="s">
        <v>1682</v>
      </c>
      <c r="C1061" s="459">
        <v>2</v>
      </c>
      <c r="D1061" s="458">
        <v>2024</v>
      </c>
    </row>
    <row r="1062" spans="1:4" x14ac:dyDescent="0.35">
      <c r="A1062" s="457" t="s">
        <v>72</v>
      </c>
      <c r="B1062" s="458" t="s">
        <v>1682</v>
      </c>
      <c r="C1062" s="459">
        <v>5</v>
      </c>
      <c r="D1062" s="458">
        <v>2024</v>
      </c>
    </row>
    <row r="1063" spans="1:4" x14ac:dyDescent="0.35">
      <c r="A1063" s="457" t="s">
        <v>72</v>
      </c>
      <c r="B1063" s="458" t="s">
        <v>1682</v>
      </c>
      <c r="C1063" s="459">
        <v>3</v>
      </c>
      <c r="D1063" s="458">
        <v>2024</v>
      </c>
    </row>
    <row r="1064" spans="1:4" x14ac:dyDescent="0.35">
      <c r="A1064" s="457" t="s">
        <v>72</v>
      </c>
      <c r="B1064" s="458" t="s">
        <v>1682</v>
      </c>
      <c r="C1064" s="459">
        <v>5</v>
      </c>
      <c r="D1064" s="458">
        <v>2024</v>
      </c>
    </row>
    <row r="1065" spans="1:4" x14ac:dyDescent="0.35">
      <c r="A1065" s="457" t="s">
        <v>72</v>
      </c>
      <c r="B1065" s="458" t="s">
        <v>1682</v>
      </c>
      <c r="C1065" s="459">
        <v>1</v>
      </c>
      <c r="D1065" s="458">
        <v>2024</v>
      </c>
    </row>
    <row r="1066" spans="1:4" x14ac:dyDescent="0.35">
      <c r="A1066" s="457" t="s">
        <v>72</v>
      </c>
      <c r="B1066" s="458" t="s">
        <v>1682</v>
      </c>
      <c r="C1066" s="459">
        <v>1</v>
      </c>
      <c r="D1066" s="458">
        <v>2024</v>
      </c>
    </row>
    <row r="1067" spans="1:4" x14ac:dyDescent="0.35">
      <c r="A1067" s="457" t="s">
        <v>72</v>
      </c>
      <c r="B1067" s="458" t="s">
        <v>1682</v>
      </c>
      <c r="C1067" s="459">
        <v>1</v>
      </c>
      <c r="D1067" s="458">
        <v>2024</v>
      </c>
    </row>
    <row r="1068" spans="1:4" x14ac:dyDescent="0.35">
      <c r="A1068" s="457" t="s">
        <v>72</v>
      </c>
      <c r="B1068" s="458" t="s">
        <v>1682</v>
      </c>
      <c r="C1068" s="459">
        <v>6</v>
      </c>
      <c r="D1068" s="458">
        <v>2024</v>
      </c>
    </row>
    <row r="1069" spans="1:4" x14ac:dyDescent="0.35">
      <c r="A1069" s="457" t="s">
        <v>72</v>
      </c>
      <c r="B1069" s="458" t="s">
        <v>1682</v>
      </c>
      <c r="C1069" s="459">
        <v>1</v>
      </c>
      <c r="D1069" s="458">
        <v>2024</v>
      </c>
    </row>
    <row r="1070" spans="1:4" x14ac:dyDescent="0.35">
      <c r="A1070" s="457" t="s">
        <v>72</v>
      </c>
      <c r="B1070" s="458" t="s">
        <v>1682</v>
      </c>
      <c r="C1070" s="459">
        <v>1</v>
      </c>
      <c r="D1070" s="458">
        <v>2024</v>
      </c>
    </row>
    <row r="1071" spans="1:4" x14ac:dyDescent="0.35">
      <c r="A1071" s="457" t="s">
        <v>72</v>
      </c>
      <c r="B1071" s="458" t="s">
        <v>1682</v>
      </c>
      <c r="C1071" s="459">
        <v>3</v>
      </c>
      <c r="D1071" s="458">
        <v>2024</v>
      </c>
    </row>
    <row r="1072" spans="1:4" x14ac:dyDescent="0.35">
      <c r="A1072" s="457" t="s">
        <v>72</v>
      </c>
      <c r="B1072" s="458" t="s">
        <v>1682</v>
      </c>
      <c r="C1072" s="459">
        <v>2</v>
      </c>
      <c r="D1072" s="458">
        <v>2024</v>
      </c>
    </row>
    <row r="1073" spans="1:4" x14ac:dyDescent="0.35">
      <c r="A1073" s="457" t="s">
        <v>72</v>
      </c>
      <c r="B1073" s="458" t="s">
        <v>1682</v>
      </c>
      <c r="C1073" s="459">
        <v>9</v>
      </c>
      <c r="D1073" s="458">
        <v>2024</v>
      </c>
    </row>
    <row r="1074" spans="1:4" x14ac:dyDescent="0.35">
      <c r="A1074" s="457" t="s">
        <v>72</v>
      </c>
      <c r="B1074" s="458" t="s">
        <v>1682</v>
      </c>
      <c r="C1074" s="459">
        <v>2</v>
      </c>
      <c r="D1074" s="458">
        <v>2024</v>
      </c>
    </row>
    <row r="1075" spans="1:4" x14ac:dyDescent="0.35">
      <c r="A1075" s="457" t="s">
        <v>72</v>
      </c>
      <c r="B1075" s="458" t="s">
        <v>1682</v>
      </c>
      <c r="C1075" s="459">
        <v>-13</v>
      </c>
      <c r="D1075" s="458">
        <v>2024</v>
      </c>
    </row>
    <row r="1076" spans="1:4" x14ac:dyDescent="0.35">
      <c r="A1076" s="457" t="s">
        <v>72</v>
      </c>
      <c r="B1076" s="458" t="s">
        <v>1682</v>
      </c>
      <c r="C1076" s="459">
        <v>-14</v>
      </c>
      <c r="D1076" s="458">
        <v>2024</v>
      </c>
    </row>
    <row r="1077" spans="1:4" x14ac:dyDescent="0.35">
      <c r="A1077" s="457" t="s">
        <v>72</v>
      </c>
      <c r="B1077" s="458" t="s">
        <v>1682</v>
      </c>
      <c r="C1077" s="459">
        <v>9</v>
      </c>
      <c r="D1077" s="458">
        <v>2024</v>
      </c>
    </row>
    <row r="1078" spans="1:4" x14ac:dyDescent="0.35">
      <c r="A1078" s="457" t="s">
        <v>72</v>
      </c>
      <c r="B1078" s="458" t="s">
        <v>1682</v>
      </c>
      <c r="C1078" s="459">
        <v>8</v>
      </c>
      <c r="D1078" s="458">
        <v>2024</v>
      </c>
    </row>
    <row r="1079" spans="1:4" x14ac:dyDescent="0.35">
      <c r="A1079" s="457" t="s">
        <v>72</v>
      </c>
      <c r="B1079" s="458" t="s">
        <v>1682</v>
      </c>
      <c r="C1079" s="459">
        <v>3</v>
      </c>
      <c r="D1079" s="458">
        <v>2024</v>
      </c>
    </row>
    <row r="1080" spans="1:4" x14ac:dyDescent="0.35">
      <c r="A1080" s="457" t="s">
        <v>72</v>
      </c>
      <c r="B1080" s="458" t="s">
        <v>1682</v>
      </c>
      <c r="C1080" s="459">
        <v>1</v>
      </c>
      <c r="D1080" s="458">
        <v>2024</v>
      </c>
    </row>
    <row r="1081" spans="1:4" x14ac:dyDescent="0.35">
      <c r="A1081" s="457" t="s">
        <v>72</v>
      </c>
      <c r="B1081" s="458" t="s">
        <v>1682</v>
      </c>
      <c r="C1081" s="459">
        <v>16</v>
      </c>
      <c r="D1081" s="458">
        <v>2024</v>
      </c>
    </row>
    <row r="1082" spans="1:4" x14ac:dyDescent="0.35">
      <c r="A1082" s="457" t="s">
        <v>72</v>
      </c>
      <c r="B1082" s="458" t="s">
        <v>1682</v>
      </c>
      <c r="C1082" s="459">
        <v>8</v>
      </c>
      <c r="D1082" s="458">
        <v>2024</v>
      </c>
    </row>
    <row r="1083" spans="1:4" x14ac:dyDescent="0.35">
      <c r="A1083" s="457" t="s">
        <v>72</v>
      </c>
      <c r="B1083" s="458" t="s">
        <v>1682</v>
      </c>
      <c r="C1083" s="459">
        <v>8</v>
      </c>
      <c r="D1083" s="458">
        <v>2024</v>
      </c>
    </row>
    <row r="1084" spans="1:4" x14ac:dyDescent="0.35">
      <c r="A1084" s="457" t="s">
        <v>72</v>
      </c>
      <c r="B1084" s="458" t="s">
        <v>1682</v>
      </c>
      <c r="C1084" s="459">
        <v>3</v>
      </c>
      <c r="D1084" s="458">
        <v>2024</v>
      </c>
    </row>
    <row r="1085" spans="1:4" x14ac:dyDescent="0.35">
      <c r="A1085" s="457" t="s">
        <v>72</v>
      </c>
      <c r="B1085" s="458" t="s">
        <v>1682</v>
      </c>
      <c r="C1085" s="459">
        <v>2</v>
      </c>
      <c r="D1085" s="458">
        <v>2024</v>
      </c>
    </row>
    <row r="1086" spans="1:4" x14ac:dyDescent="0.35">
      <c r="A1086" s="457" t="s">
        <v>72</v>
      </c>
      <c r="B1086" s="458" t="s">
        <v>1682</v>
      </c>
      <c r="C1086" s="459">
        <v>3</v>
      </c>
      <c r="D1086" s="458">
        <v>2024</v>
      </c>
    </row>
    <row r="1087" spans="1:4" x14ac:dyDescent="0.35">
      <c r="A1087" s="457" t="s">
        <v>72</v>
      </c>
      <c r="B1087" s="458" t="s">
        <v>1682</v>
      </c>
      <c r="C1087" s="459">
        <v>5</v>
      </c>
      <c r="D1087" s="458">
        <v>2024</v>
      </c>
    </row>
    <row r="1088" spans="1:4" x14ac:dyDescent="0.35">
      <c r="A1088" s="457" t="s">
        <v>72</v>
      </c>
      <c r="B1088" s="458" t="s">
        <v>1682</v>
      </c>
      <c r="C1088" s="459">
        <v>5</v>
      </c>
      <c r="D1088" s="458">
        <v>2024</v>
      </c>
    </row>
    <row r="1089" spans="1:4" x14ac:dyDescent="0.35">
      <c r="A1089" s="457" t="s">
        <v>72</v>
      </c>
      <c r="B1089" s="458" t="s">
        <v>1682</v>
      </c>
      <c r="C1089" s="459">
        <v>2</v>
      </c>
      <c r="D1089" s="458">
        <v>2024</v>
      </c>
    </row>
    <row r="1090" spans="1:4" x14ac:dyDescent="0.35">
      <c r="A1090" s="457" t="s">
        <v>72</v>
      </c>
      <c r="B1090" s="458" t="s">
        <v>1682</v>
      </c>
      <c r="C1090" s="459">
        <v>12</v>
      </c>
      <c r="D1090" s="458">
        <v>2024</v>
      </c>
    </row>
    <row r="1091" spans="1:4" x14ac:dyDescent="0.35">
      <c r="A1091" s="457" t="s">
        <v>72</v>
      </c>
      <c r="B1091" s="458" t="s">
        <v>1682</v>
      </c>
      <c r="C1091" s="459">
        <v>6</v>
      </c>
      <c r="D1091" s="458">
        <v>2024</v>
      </c>
    </row>
    <row r="1092" spans="1:4" x14ac:dyDescent="0.35">
      <c r="A1092" s="457" t="s">
        <v>72</v>
      </c>
      <c r="B1092" s="458" t="s">
        <v>1682</v>
      </c>
      <c r="C1092" s="459">
        <v>14</v>
      </c>
      <c r="D1092" s="458">
        <v>2024</v>
      </c>
    </row>
    <row r="1093" spans="1:4" x14ac:dyDescent="0.35">
      <c r="A1093" s="457" t="s">
        <v>72</v>
      </c>
      <c r="B1093" s="458" t="s">
        <v>1682</v>
      </c>
      <c r="C1093" s="459">
        <v>25</v>
      </c>
      <c r="D1093" s="458">
        <v>2024</v>
      </c>
    </row>
    <row r="1094" spans="1:4" x14ac:dyDescent="0.35">
      <c r="A1094" s="457" t="s">
        <v>72</v>
      </c>
      <c r="B1094" s="458" t="s">
        <v>1682</v>
      </c>
      <c r="C1094" s="459">
        <v>5</v>
      </c>
      <c r="D1094" s="458">
        <v>2024</v>
      </c>
    </row>
    <row r="1095" spans="1:4" x14ac:dyDescent="0.35">
      <c r="A1095" s="457" t="s">
        <v>72</v>
      </c>
      <c r="B1095" s="458" t="s">
        <v>1682</v>
      </c>
      <c r="C1095" s="459">
        <v>10</v>
      </c>
      <c r="D1095" s="458">
        <v>2024</v>
      </c>
    </row>
    <row r="1096" spans="1:4" x14ac:dyDescent="0.35">
      <c r="A1096" s="457" t="s">
        <v>72</v>
      </c>
      <c r="B1096" s="458" t="s">
        <v>1682</v>
      </c>
      <c r="C1096" s="459">
        <v>2</v>
      </c>
      <c r="D1096" s="458">
        <v>2024</v>
      </c>
    </row>
    <row r="1097" spans="1:4" x14ac:dyDescent="0.35">
      <c r="A1097" s="457" t="s">
        <v>72</v>
      </c>
      <c r="B1097" s="458" t="s">
        <v>1682</v>
      </c>
      <c r="C1097" s="459">
        <v>25</v>
      </c>
      <c r="D1097" s="458">
        <v>2024</v>
      </c>
    </row>
    <row r="1098" spans="1:4" x14ac:dyDescent="0.35">
      <c r="A1098" s="457" t="s">
        <v>72</v>
      </c>
      <c r="B1098" s="458" t="s">
        <v>1682</v>
      </c>
      <c r="C1098" s="459">
        <v>8</v>
      </c>
      <c r="D1098" s="458">
        <v>2024</v>
      </c>
    </row>
    <row r="1099" spans="1:4" x14ac:dyDescent="0.35">
      <c r="A1099" s="457" t="s">
        <v>72</v>
      </c>
      <c r="B1099" s="458" t="s">
        <v>1682</v>
      </c>
      <c r="C1099" s="459">
        <v>6</v>
      </c>
      <c r="D1099" s="458">
        <v>2024</v>
      </c>
    </row>
    <row r="1100" spans="1:4" x14ac:dyDescent="0.35">
      <c r="A1100" s="457" t="s">
        <v>72</v>
      </c>
      <c r="B1100" s="458" t="s">
        <v>1682</v>
      </c>
      <c r="C1100" s="459">
        <v>3</v>
      </c>
      <c r="D1100" s="458">
        <v>2024</v>
      </c>
    </row>
    <row r="1101" spans="1:4" x14ac:dyDescent="0.35">
      <c r="A1101" s="457" t="s">
        <v>72</v>
      </c>
      <c r="B1101" s="458" t="s">
        <v>1682</v>
      </c>
      <c r="C1101" s="459">
        <v>3</v>
      </c>
      <c r="D1101" s="458">
        <v>2024</v>
      </c>
    </row>
    <row r="1102" spans="1:4" x14ac:dyDescent="0.35">
      <c r="A1102" s="457" t="s">
        <v>72</v>
      </c>
      <c r="B1102" s="458" t="s">
        <v>1682</v>
      </c>
      <c r="C1102" s="459">
        <v>1</v>
      </c>
      <c r="D1102" s="458">
        <v>2024</v>
      </c>
    </row>
    <row r="1103" spans="1:4" x14ac:dyDescent="0.35">
      <c r="A1103" s="457" t="s">
        <v>72</v>
      </c>
      <c r="B1103" s="458" t="s">
        <v>1682</v>
      </c>
      <c r="C1103" s="459">
        <v>1</v>
      </c>
      <c r="D1103" s="458">
        <v>2024</v>
      </c>
    </row>
    <row r="1104" spans="1:4" x14ac:dyDescent="0.35">
      <c r="A1104" s="457" t="s">
        <v>72</v>
      </c>
      <c r="B1104" s="458" t="s">
        <v>1682</v>
      </c>
      <c r="C1104" s="459">
        <v>9</v>
      </c>
      <c r="D1104" s="458">
        <v>2024</v>
      </c>
    </row>
    <row r="1105" spans="1:4" x14ac:dyDescent="0.35">
      <c r="A1105" s="457" t="s">
        <v>72</v>
      </c>
      <c r="B1105" s="458" t="s">
        <v>1682</v>
      </c>
      <c r="C1105" s="459">
        <v>6</v>
      </c>
      <c r="D1105" s="458">
        <v>2024</v>
      </c>
    </row>
    <row r="1106" spans="1:4" x14ac:dyDescent="0.35">
      <c r="A1106" s="457" t="s">
        <v>72</v>
      </c>
      <c r="B1106" s="458" t="s">
        <v>1682</v>
      </c>
      <c r="C1106" s="459">
        <v>4</v>
      </c>
      <c r="D1106" s="458">
        <v>2024</v>
      </c>
    </row>
    <row r="1107" spans="1:4" x14ac:dyDescent="0.35">
      <c r="A1107" s="457" t="s">
        <v>72</v>
      </c>
      <c r="B1107" s="458" t="s">
        <v>1682</v>
      </c>
      <c r="C1107" s="459">
        <v>1</v>
      </c>
      <c r="D1107" s="458">
        <v>2024</v>
      </c>
    </row>
    <row r="1108" spans="1:4" x14ac:dyDescent="0.35">
      <c r="A1108" s="457" t="s">
        <v>72</v>
      </c>
      <c r="B1108" s="458" t="s">
        <v>1682</v>
      </c>
      <c r="C1108" s="459">
        <v>4</v>
      </c>
      <c r="D1108" s="458">
        <v>2024</v>
      </c>
    </row>
    <row r="1109" spans="1:4" x14ac:dyDescent="0.35">
      <c r="A1109" s="457" t="s">
        <v>72</v>
      </c>
      <c r="B1109" s="458" t="s">
        <v>1682</v>
      </c>
      <c r="C1109" s="459">
        <v>7</v>
      </c>
      <c r="D1109" s="458">
        <v>2024</v>
      </c>
    </row>
    <row r="1110" spans="1:4" x14ac:dyDescent="0.35">
      <c r="A1110" s="457" t="s">
        <v>72</v>
      </c>
      <c r="B1110" s="458" t="s">
        <v>1682</v>
      </c>
      <c r="C1110" s="459">
        <v>3</v>
      </c>
      <c r="D1110" s="458">
        <v>2024</v>
      </c>
    </row>
    <row r="1111" spans="1:4" x14ac:dyDescent="0.35">
      <c r="A1111" s="457" t="s">
        <v>72</v>
      </c>
      <c r="B1111" s="458" t="s">
        <v>1682</v>
      </c>
      <c r="C1111" s="459">
        <v>10</v>
      </c>
      <c r="D1111" s="458">
        <v>2024</v>
      </c>
    </row>
    <row r="1112" spans="1:4" x14ac:dyDescent="0.35">
      <c r="A1112" s="457" t="s">
        <v>72</v>
      </c>
      <c r="B1112" s="458" t="s">
        <v>1682</v>
      </c>
      <c r="C1112" s="459">
        <v>20</v>
      </c>
      <c r="D1112" s="458">
        <v>2024</v>
      </c>
    </row>
    <row r="1113" spans="1:4" x14ac:dyDescent="0.35">
      <c r="A1113" s="457" t="s">
        <v>72</v>
      </c>
      <c r="B1113" s="458" t="s">
        <v>1682</v>
      </c>
      <c r="C1113" s="459">
        <v>3</v>
      </c>
      <c r="D1113" s="458">
        <v>2024</v>
      </c>
    </row>
    <row r="1114" spans="1:4" x14ac:dyDescent="0.35">
      <c r="A1114" s="457" t="s">
        <v>72</v>
      </c>
      <c r="B1114" s="458" t="s">
        <v>1682</v>
      </c>
      <c r="C1114" s="459">
        <v>3</v>
      </c>
      <c r="D1114" s="458">
        <v>2024</v>
      </c>
    </row>
    <row r="1115" spans="1:4" x14ac:dyDescent="0.35">
      <c r="A1115" s="457" t="s">
        <v>72</v>
      </c>
      <c r="B1115" s="458" t="s">
        <v>1682</v>
      </c>
      <c r="C1115" s="459">
        <v>1</v>
      </c>
      <c r="D1115" s="458">
        <v>2024</v>
      </c>
    </row>
    <row r="1116" spans="1:4" x14ac:dyDescent="0.35">
      <c r="A1116" s="457" t="s">
        <v>72</v>
      </c>
      <c r="B1116" s="458" t="s">
        <v>1682</v>
      </c>
      <c r="C1116" s="459">
        <v>3</v>
      </c>
      <c r="D1116" s="458">
        <v>2024</v>
      </c>
    </row>
    <row r="1117" spans="1:4" x14ac:dyDescent="0.35">
      <c r="A1117" s="457" t="s">
        <v>72</v>
      </c>
      <c r="B1117" s="458" t="s">
        <v>1682</v>
      </c>
      <c r="C1117" s="459">
        <v>10</v>
      </c>
      <c r="D1117" s="458">
        <v>2024</v>
      </c>
    </row>
    <row r="1118" spans="1:4" x14ac:dyDescent="0.35">
      <c r="A1118" s="457" t="s">
        <v>72</v>
      </c>
      <c r="B1118" s="458" t="s">
        <v>1682</v>
      </c>
      <c r="C1118" s="459">
        <v>6</v>
      </c>
      <c r="D1118" s="458">
        <v>2024</v>
      </c>
    </row>
    <row r="1119" spans="1:4" x14ac:dyDescent="0.35">
      <c r="A1119" s="457" t="s">
        <v>72</v>
      </c>
      <c r="B1119" s="458" t="s">
        <v>1682</v>
      </c>
      <c r="C1119" s="459">
        <v>8</v>
      </c>
      <c r="D1119" s="458">
        <v>2024</v>
      </c>
    </row>
    <row r="1120" spans="1:4" x14ac:dyDescent="0.35">
      <c r="A1120" s="457" t="s">
        <v>72</v>
      </c>
      <c r="B1120" s="458" t="s">
        <v>1682</v>
      </c>
      <c r="C1120" s="459">
        <v>1</v>
      </c>
      <c r="D1120" s="458">
        <v>2024</v>
      </c>
    </row>
    <row r="1121" spans="1:4" x14ac:dyDescent="0.35">
      <c r="A1121" s="457" t="s">
        <v>72</v>
      </c>
      <c r="B1121" s="458" t="s">
        <v>1682</v>
      </c>
      <c r="C1121" s="459">
        <v>2</v>
      </c>
      <c r="D1121" s="458">
        <v>2024</v>
      </c>
    </row>
    <row r="1122" spans="1:4" x14ac:dyDescent="0.35">
      <c r="A1122" s="457" t="s">
        <v>72</v>
      </c>
      <c r="B1122" s="458" t="s">
        <v>1682</v>
      </c>
      <c r="C1122" s="459">
        <v>1</v>
      </c>
      <c r="D1122" s="458">
        <v>2024</v>
      </c>
    </row>
    <row r="1123" spans="1:4" x14ac:dyDescent="0.35">
      <c r="A1123" s="457" t="s">
        <v>72</v>
      </c>
      <c r="B1123" s="458" t="s">
        <v>1682</v>
      </c>
      <c r="C1123" s="459">
        <v>3</v>
      </c>
      <c r="D1123" s="458">
        <v>2024</v>
      </c>
    </row>
    <row r="1124" spans="1:4" x14ac:dyDescent="0.35">
      <c r="A1124" s="457" t="s">
        <v>72</v>
      </c>
      <c r="B1124" s="458" t="s">
        <v>1683</v>
      </c>
      <c r="C1124" s="459">
        <v>48</v>
      </c>
      <c r="D1124" s="458">
        <v>2024</v>
      </c>
    </row>
    <row r="1125" spans="1:4" x14ac:dyDescent="0.35">
      <c r="A1125" s="457" t="s">
        <v>72</v>
      </c>
      <c r="B1125" s="458" t="s">
        <v>1683</v>
      </c>
      <c r="C1125" s="459">
        <v>24</v>
      </c>
      <c r="D1125" s="458">
        <v>2025</v>
      </c>
    </row>
    <row r="1126" spans="1:4" x14ac:dyDescent="0.35">
      <c r="A1126" s="457" t="s">
        <v>72</v>
      </c>
      <c r="B1126" s="458" t="s">
        <v>1683</v>
      </c>
      <c r="C1126" s="459">
        <v>4</v>
      </c>
      <c r="D1126" s="458">
        <v>2025</v>
      </c>
    </row>
    <row r="1127" spans="1:4" x14ac:dyDescent="0.35">
      <c r="A1127" s="457" t="s">
        <v>72</v>
      </c>
      <c r="B1127" s="458" t="s">
        <v>1683</v>
      </c>
      <c r="C1127" s="459">
        <v>1</v>
      </c>
      <c r="D1127" s="458">
        <v>2024</v>
      </c>
    </row>
    <row r="1128" spans="1:4" x14ac:dyDescent="0.35">
      <c r="A1128" s="457" t="s">
        <v>72</v>
      </c>
      <c r="B1128" s="458" t="s">
        <v>1683</v>
      </c>
      <c r="C1128" s="459">
        <v>5</v>
      </c>
      <c r="D1128" s="458">
        <v>2025</v>
      </c>
    </row>
    <row r="1129" spans="1:4" x14ac:dyDescent="0.35">
      <c r="A1129" s="457" t="s">
        <v>72</v>
      </c>
      <c r="B1129" s="458" t="s">
        <v>1683</v>
      </c>
      <c r="C1129" s="459">
        <v>3</v>
      </c>
      <c r="D1129" s="458">
        <v>2024</v>
      </c>
    </row>
    <row r="1130" spans="1:4" x14ac:dyDescent="0.35">
      <c r="A1130" s="457" t="s">
        <v>72</v>
      </c>
      <c r="B1130" s="458" t="s">
        <v>1683</v>
      </c>
      <c r="C1130" s="459">
        <v>20</v>
      </c>
      <c r="D1130" s="458">
        <v>2025</v>
      </c>
    </row>
    <row r="1131" spans="1:4" x14ac:dyDescent="0.35">
      <c r="A1131" s="457" t="s">
        <v>72</v>
      </c>
      <c r="B1131" s="458" t="s">
        <v>1683</v>
      </c>
      <c r="C1131" s="459">
        <v>12</v>
      </c>
      <c r="D1131" s="458">
        <v>2024</v>
      </c>
    </row>
    <row r="1132" spans="1:4" x14ac:dyDescent="0.35">
      <c r="A1132" s="457" t="s">
        <v>72</v>
      </c>
      <c r="B1132" s="458" t="s">
        <v>1683</v>
      </c>
      <c r="C1132" s="459">
        <v>2</v>
      </c>
      <c r="D1132" s="458">
        <v>2025</v>
      </c>
    </row>
    <row r="1133" spans="1:4" x14ac:dyDescent="0.35">
      <c r="A1133" s="457" t="s">
        <v>72</v>
      </c>
      <c r="B1133" s="458" t="s">
        <v>1683</v>
      </c>
      <c r="C1133" s="459">
        <v>2</v>
      </c>
      <c r="D1133" s="458">
        <v>2025</v>
      </c>
    </row>
    <row r="1134" spans="1:4" x14ac:dyDescent="0.35">
      <c r="A1134" s="457" t="s">
        <v>72</v>
      </c>
      <c r="B1134" s="458" t="s">
        <v>1683</v>
      </c>
      <c r="C1134" s="459">
        <v>3</v>
      </c>
      <c r="D1134" s="458">
        <v>2025</v>
      </c>
    </row>
    <row r="1135" spans="1:4" x14ac:dyDescent="0.35">
      <c r="A1135" s="457" t="s">
        <v>72</v>
      </c>
      <c r="B1135" s="458" t="s">
        <v>1683</v>
      </c>
      <c r="C1135" s="459">
        <v>6</v>
      </c>
      <c r="D1135" s="458">
        <v>2024</v>
      </c>
    </row>
    <row r="1136" spans="1:4" x14ac:dyDescent="0.35">
      <c r="A1136" s="457" t="s">
        <v>72</v>
      </c>
      <c r="B1136" s="458" t="s">
        <v>1683</v>
      </c>
      <c r="C1136" s="459">
        <v>4</v>
      </c>
      <c r="D1136" s="458">
        <v>2025</v>
      </c>
    </row>
    <row r="1137" spans="1:4" x14ac:dyDescent="0.35">
      <c r="A1137" s="457" t="s">
        <v>72</v>
      </c>
      <c r="B1137" s="458" t="s">
        <v>1683</v>
      </c>
      <c r="C1137" s="459">
        <v>6</v>
      </c>
      <c r="D1137" s="458">
        <v>2025</v>
      </c>
    </row>
    <row r="1138" spans="1:4" x14ac:dyDescent="0.35">
      <c r="A1138" s="457" t="s">
        <v>72</v>
      </c>
      <c r="B1138" s="458" t="s">
        <v>1683</v>
      </c>
      <c r="C1138" s="459">
        <v>3</v>
      </c>
      <c r="D1138" s="458">
        <v>2025</v>
      </c>
    </row>
    <row r="1139" spans="1:4" x14ac:dyDescent="0.35">
      <c r="A1139" s="457" t="s">
        <v>72</v>
      </c>
      <c r="B1139" s="458" t="s">
        <v>1683</v>
      </c>
      <c r="C1139" s="459">
        <v>3</v>
      </c>
      <c r="D1139" s="458">
        <v>2024</v>
      </c>
    </row>
    <row r="1140" spans="1:4" x14ac:dyDescent="0.35">
      <c r="A1140" s="457" t="s">
        <v>72</v>
      </c>
      <c r="B1140" s="458" t="s">
        <v>1683</v>
      </c>
      <c r="C1140" s="459">
        <v>3</v>
      </c>
      <c r="D1140" s="458">
        <v>2025</v>
      </c>
    </row>
    <row r="1141" spans="1:4" x14ac:dyDescent="0.35">
      <c r="A1141" s="457" t="s">
        <v>72</v>
      </c>
      <c r="B1141" s="458" t="s">
        <v>1683</v>
      </c>
      <c r="C1141" s="459">
        <v>4</v>
      </c>
      <c r="D1141" s="458">
        <v>2024</v>
      </c>
    </row>
    <row r="1142" spans="1:4" x14ac:dyDescent="0.35">
      <c r="A1142" s="457" t="s">
        <v>72</v>
      </c>
      <c r="B1142" s="458" t="s">
        <v>1683</v>
      </c>
      <c r="C1142" s="459">
        <v>30</v>
      </c>
      <c r="D1142" s="458">
        <v>2025</v>
      </c>
    </row>
    <row r="1143" spans="1:4" x14ac:dyDescent="0.35">
      <c r="A1143" s="457" t="s">
        <v>72</v>
      </c>
      <c r="B1143" s="458" t="s">
        <v>1683</v>
      </c>
      <c r="C1143" s="459">
        <v>30</v>
      </c>
      <c r="D1143" s="458">
        <v>2024</v>
      </c>
    </row>
    <row r="1144" spans="1:4" x14ac:dyDescent="0.35">
      <c r="A1144" s="457" t="s">
        <v>72</v>
      </c>
      <c r="B1144" s="458" t="s">
        <v>1683</v>
      </c>
      <c r="C1144" s="459">
        <v>5</v>
      </c>
      <c r="D1144" s="458">
        <v>2024</v>
      </c>
    </row>
    <row r="1145" spans="1:4" x14ac:dyDescent="0.35">
      <c r="A1145" s="457" t="s">
        <v>72</v>
      </c>
      <c r="B1145" s="458" t="s">
        <v>1683</v>
      </c>
      <c r="C1145" s="459">
        <v>4</v>
      </c>
      <c r="D1145" s="458">
        <v>2025</v>
      </c>
    </row>
    <row r="1146" spans="1:4" x14ac:dyDescent="0.35">
      <c r="A1146" s="457" t="s">
        <v>72</v>
      </c>
      <c r="B1146" s="458" t="s">
        <v>1683</v>
      </c>
      <c r="C1146" s="459">
        <v>16</v>
      </c>
      <c r="D1146" s="458">
        <v>2025</v>
      </c>
    </row>
    <row r="1147" spans="1:4" x14ac:dyDescent="0.35">
      <c r="A1147" s="457" t="s">
        <v>72</v>
      </c>
      <c r="B1147" s="458" t="s">
        <v>1683</v>
      </c>
      <c r="C1147" s="459">
        <v>15</v>
      </c>
      <c r="D1147" s="458">
        <v>2025</v>
      </c>
    </row>
    <row r="1148" spans="1:4" x14ac:dyDescent="0.35">
      <c r="A1148" s="457" t="s">
        <v>72</v>
      </c>
      <c r="B1148" s="458" t="s">
        <v>1683</v>
      </c>
      <c r="C1148" s="459">
        <v>16</v>
      </c>
      <c r="D1148" s="458">
        <v>2025</v>
      </c>
    </row>
    <row r="1149" spans="1:4" x14ac:dyDescent="0.35">
      <c r="A1149" s="457" t="s">
        <v>72</v>
      </c>
      <c r="B1149" s="458" t="s">
        <v>1683</v>
      </c>
      <c r="C1149" s="459">
        <v>15</v>
      </c>
      <c r="D1149" s="458">
        <v>2024</v>
      </c>
    </row>
    <row r="1150" spans="1:4" x14ac:dyDescent="0.35">
      <c r="A1150" s="457" t="s">
        <v>72</v>
      </c>
      <c r="B1150" s="458" t="s">
        <v>1683</v>
      </c>
      <c r="C1150" s="459">
        <v>4</v>
      </c>
      <c r="D1150" s="458">
        <v>2025</v>
      </c>
    </row>
    <row r="1151" spans="1:4" x14ac:dyDescent="0.35">
      <c r="A1151" s="457" t="s">
        <v>72</v>
      </c>
      <c r="B1151" s="458" t="s">
        <v>1683</v>
      </c>
      <c r="C1151" s="459">
        <v>10</v>
      </c>
      <c r="D1151" s="458">
        <v>2024</v>
      </c>
    </row>
    <row r="1152" spans="1:4" x14ac:dyDescent="0.35">
      <c r="A1152" s="457" t="s">
        <v>72</v>
      </c>
      <c r="B1152" s="458" t="s">
        <v>1683</v>
      </c>
      <c r="C1152" s="459">
        <v>10</v>
      </c>
      <c r="D1152" s="458">
        <v>2025</v>
      </c>
    </row>
    <row r="1153" spans="1:4" x14ac:dyDescent="0.35">
      <c r="A1153" s="457" t="s">
        <v>72</v>
      </c>
      <c r="B1153" s="458" t="s">
        <v>1683</v>
      </c>
      <c r="C1153" s="459">
        <v>7</v>
      </c>
      <c r="D1153" s="458">
        <v>2024</v>
      </c>
    </row>
    <row r="1154" spans="1:4" x14ac:dyDescent="0.35">
      <c r="A1154" s="457" t="s">
        <v>72</v>
      </c>
      <c r="B1154" s="458" t="s">
        <v>1683</v>
      </c>
      <c r="C1154" s="459">
        <v>7</v>
      </c>
      <c r="D1154" s="458">
        <v>2025</v>
      </c>
    </row>
    <row r="1155" spans="1:4" x14ac:dyDescent="0.35">
      <c r="A1155" s="457" t="s">
        <v>72</v>
      </c>
      <c r="B1155" s="458" t="s">
        <v>1683</v>
      </c>
      <c r="C1155" s="459">
        <v>6</v>
      </c>
      <c r="D1155" s="458">
        <v>2025</v>
      </c>
    </row>
    <row r="1156" spans="1:4" x14ac:dyDescent="0.35">
      <c r="A1156" s="457" t="s">
        <v>72</v>
      </c>
      <c r="B1156" s="458" t="s">
        <v>1683</v>
      </c>
      <c r="C1156" s="459">
        <v>4</v>
      </c>
      <c r="D1156" s="458">
        <v>2024</v>
      </c>
    </row>
    <row r="1157" spans="1:4" x14ac:dyDescent="0.35">
      <c r="A1157" s="457" t="s">
        <v>72</v>
      </c>
      <c r="B1157" s="458" t="s">
        <v>1683</v>
      </c>
      <c r="C1157" s="459">
        <v>2</v>
      </c>
      <c r="D1157" s="458">
        <v>2024</v>
      </c>
    </row>
    <row r="1158" spans="1:4" x14ac:dyDescent="0.35">
      <c r="A1158" s="457" t="s">
        <v>72</v>
      </c>
      <c r="B1158" s="458" t="s">
        <v>1683</v>
      </c>
      <c r="C1158" s="459">
        <v>32</v>
      </c>
      <c r="D1158" s="458">
        <v>2024</v>
      </c>
    </row>
    <row r="1159" spans="1:4" x14ac:dyDescent="0.35">
      <c r="A1159" s="457" t="s">
        <v>72</v>
      </c>
      <c r="B1159" s="458" t="s">
        <v>1683</v>
      </c>
      <c r="C1159" s="459">
        <v>22</v>
      </c>
      <c r="D1159" s="458">
        <v>2025</v>
      </c>
    </row>
    <row r="1160" spans="1:4" x14ac:dyDescent="0.35">
      <c r="A1160" s="457" t="s">
        <v>72</v>
      </c>
      <c r="B1160" s="458" t="s">
        <v>1683</v>
      </c>
      <c r="C1160" s="459">
        <v>10</v>
      </c>
      <c r="D1160" s="458">
        <v>2025</v>
      </c>
    </row>
    <row r="1161" spans="1:4" x14ac:dyDescent="0.35">
      <c r="A1161" s="457" t="s">
        <v>72</v>
      </c>
      <c r="B1161" s="458" t="s">
        <v>1683</v>
      </c>
      <c r="C1161" s="459">
        <v>15</v>
      </c>
      <c r="D1161" s="458">
        <v>2024</v>
      </c>
    </row>
    <row r="1162" spans="1:4" x14ac:dyDescent="0.35">
      <c r="A1162" s="457" t="s">
        <v>72</v>
      </c>
      <c r="B1162" s="458" t="s">
        <v>1683</v>
      </c>
      <c r="C1162" s="459">
        <v>4</v>
      </c>
      <c r="D1162" s="458">
        <v>2025</v>
      </c>
    </row>
    <row r="1163" spans="1:4" x14ac:dyDescent="0.35">
      <c r="A1163" s="457" t="s">
        <v>72</v>
      </c>
      <c r="B1163" s="458" t="s">
        <v>1683</v>
      </c>
      <c r="C1163" s="459">
        <v>4</v>
      </c>
      <c r="D1163" s="458">
        <v>2024</v>
      </c>
    </row>
    <row r="1164" spans="1:4" x14ac:dyDescent="0.35">
      <c r="A1164" s="457" t="s">
        <v>72</v>
      </c>
      <c r="B1164" s="458" t="s">
        <v>1683</v>
      </c>
      <c r="C1164" s="459">
        <v>3</v>
      </c>
      <c r="D1164" s="458">
        <v>2025</v>
      </c>
    </row>
    <row r="1165" spans="1:4" x14ac:dyDescent="0.35">
      <c r="A1165" s="457" t="s">
        <v>72</v>
      </c>
      <c r="B1165" s="458" t="s">
        <v>1683</v>
      </c>
      <c r="C1165" s="459">
        <v>3</v>
      </c>
      <c r="D1165" s="458">
        <v>2024</v>
      </c>
    </row>
    <row r="1166" spans="1:4" x14ac:dyDescent="0.35">
      <c r="A1166" s="457" t="s">
        <v>72</v>
      </c>
      <c r="B1166" s="458" t="s">
        <v>1683</v>
      </c>
      <c r="C1166" s="459">
        <v>25</v>
      </c>
      <c r="D1166" s="458">
        <v>2024</v>
      </c>
    </row>
    <row r="1167" spans="1:4" x14ac:dyDescent="0.35">
      <c r="A1167" s="457" t="s">
        <v>72</v>
      </c>
      <c r="B1167" s="458" t="s">
        <v>1683</v>
      </c>
      <c r="C1167" s="459">
        <v>51</v>
      </c>
      <c r="D1167" s="458">
        <v>2025</v>
      </c>
    </row>
    <row r="1168" spans="1:4" x14ac:dyDescent="0.35">
      <c r="A1168" s="457" t="s">
        <v>72</v>
      </c>
      <c r="B1168" s="458" t="s">
        <v>1683</v>
      </c>
      <c r="C1168" s="459">
        <v>5</v>
      </c>
      <c r="D1168" s="458">
        <v>2024</v>
      </c>
    </row>
    <row r="1169" spans="1:4" x14ac:dyDescent="0.35">
      <c r="A1169" s="457" t="s">
        <v>72</v>
      </c>
      <c r="B1169" s="458" t="s">
        <v>1683</v>
      </c>
      <c r="C1169" s="459">
        <v>10</v>
      </c>
      <c r="D1169" s="458">
        <v>2025</v>
      </c>
    </row>
    <row r="1170" spans="1:4" x14ac:dyDescent="0.35">
      <c r="A1170" s="457" t="s">
        <v>72</v>
      </c>
      <c r="B1170" s="458" t="s">
        <v>1683</v>
      </c>
      <c r="C1170" s="459">
        <v>25</v>
      </c>
      <c r="D1170" s="458">
        <v>2024</v>
      </c>
    </row>
    <row r="1171" spans="1:4" x14ac:dyDescent="0.35">
      <c r="A1171" s="457" t="s">
        <v>72</v>
      </c>
      <c r="B1171" s="458" t="s">
        <v>1683</v>
      </c>
      <c r="C1171" s="459">
        <v>1</v>
      </c>
      <c r="D1171" s="458">
        <v>2025</v>
      </c>
    </row>
    <row r="1172" spans="1:4" x14ac:dyDescent="0.35">
      <c r="A1172" s="457" t="s">
        <v>72</v>
      </c>
      <c r="B1172" s="458" t="s">
        <v>1683</v>
      </c>
      <c r="C1172" s="459">
        <v>12</v>
      </c>
      <c r="D1172" s="458">
        <v>2024</v>
      </c>
    </row>
    <row r="1173" spans="1:4" x14ac:dyDescent="0.35">
      <c r="A1173" s="457" t="s">
        <v>72</v>
      </c>
      <c r="B1173" s="458" t="s">
        <v>1683</v>
      </c>
      <c r="C1173" s="459">
        <v>72</v>
      </c>
      <c r="D1173" s="458">
        <v>2025</v>
      </c>
    </row>
    <row r="1174" spans="1:4" x14ac:dyDescent="0.35">
      <c r="A1174" s="457" t="s">
        <v>72</v>
      </c>
      <c r="B1174" s="458" t="s">
        <v>1683</v>
      </c>
      <c r="C1174" s="459">
        <v>44</v>
      </c>
      <c r="D1174" s="458">
        <v>2024</v>
      </c>
    </row>
    <row r="1175" spans="1:4" x14ac:dyDescent="0.35">
      <c r="A1175" s="457" t="s">
        <v>72</v>
      </c>
      <c r="B1175" s="458" t="s">
        <v>1683</v>
      </c>
      <c r="C1175" s="459">
        <v>7</v>
      </c>
      <c r="D1175" s="458">
        <v>2024</v>
      </c>
    </row>
    <row r="1176" spans="1:4" x14ac:dyDescent="0.35">
      <c r="A1176" s="457" t="s">
        <v>72</v>
      </c>
      <c r="B1176" s="458" t="s">
        <v>1683</v>
      </c>
      <c r="C1176" s="459">
        <v>4</v>
      </c>
      <c r="D1176" s="458">
        <v>2025</v>
      </c>
    </row>
    <row r="1177" spans="1:4" x14ac:dyDescent="0.35">
      <c r="A1177" s="457" t="s">
        <v>72</v>
      </c>
      <c r="B1177" s="458" t="s">
        <v>1683</v>
      </c>
      <c r="C1177" s="459">
        <v>6</v>
      </c>
      <c r="D1177" s="458">
        <v>2025</v>
      </c>
    </row>
    <row r="1178" spans="1:4" x14ac:dyDescent="0.35">
      <c r="A1178" s="457" t="s">
        <v>72</v>
      </c>
      <c r="B1178" s="458" t="s">
        <v>1683</v>
      </c>
      <c r="C1178" s="459">
        <v>10</v>
      </c>
      <c r="D1178" s="458">
        <v>2024</v>
      </c>
    </row>
    <row r="1179" spans="1:4" x14ac:dyDescent="0.35">
      <c r="A1179" s="457" t="s">
        <v>72</v>
      </c>
      <c r="B1179" s="458" t="s">
        <v>1683</v>
      </c>
      <c r="C1179" s="459">
        <v>4</v>
      </c>
      <c r="D1179" s="458">
        <v>2024</v>
      </c>
    </row>
    <row r="1180" spans="1:4" x14ac:dyDescent="0.35">
      <c r="A1180" s="457" t="s">
        <v>72</v>
      </c>
      <c r="B1180" s="458" t="s">
        <v>1683</v>
      </c>
      <c r="C1180" s="459">
        <v>4</v>
      </c>
      <c r="D1180" s="458">
        <v>2025</v>
      </c>
    </row>
    <row r="1181" spans="1:4" x14ac:dyDescent="0.35">
      <c r="A1181" s="457" t="s">
        <v>72</v>
      </c>
      <c r="B1181" s="458" t="s">
        <v>1683</v>
      </c>
      <c r="C1181" s="459">
        <v>18</v>
      </c>
      <c r="D1181" s="458">
        <v>2024</v>
      </c>
    </row>
    <row r="1182" spans="1:4" x14ac:dyDescent="0.35">
      <c r="A1182" s="457" t="s">
        <v>72</v>
      </c>
      <c r="B1182" s="458" t="s">
        <v>1683</v>
      </c>
      <c r="C1182" s="459">
        <v>3</v>
      </c>
      <c r="D1182" s="458">
        <v>2024</v>
      </c>
    </row>
    <row r="1183" spans="1:4" x14ac:dyDescent="0.35">
      <c r="A1183" s="457" t="s">
        <v>72</v>
      </c>
      <c r="B1183" s="458" t="s">
        <v>1683</v>
      </c>
      <c r="C1183" s="459">
        <v>1</v>
      </c>
      <c r="D1183" s="458">
        <v>2025</v>
      </c>
    </row>
    <row r="1184" spans="1:4" x14ac:dyDescent="0.35">
      <c r="A1184" s="457" t="s">
        <v>72</v>
      </c>
      <c r="B1184" s="458" t="s">
        <v>1683</v>
      </c>
      <c r="C1184" s="459">
        <v>1</v>
      </c>
      <c r="D1184" s="458">
        <v>2025</v>
      </c>
    </row>
    <row r="1185" spans="1:4" x14ac:dyDescent="0.35">
      <c r="A1185" s="457" t="s">
        <v>72</v>
      </c>
      <c r="B1185" s="458" t="s">
        <v>1683</v>
      </c>
      <c r="C1185" s="459">
        <v>12</v>
      </c>
      <c r="D1185" s="458">
        <v>2025</v>
      </c>
    </row>
    <row r="1186" spans="1:4" x14ac:dyDescent="0.35">
      <c r="A1186" s="457" t="s">
        <v>72</v>
      </c>
      <c r="B1186" s="458" t="s">
        <v>1683</v>
      </c>
      <c r="C1186" s="459">
        <v>4</v>
      </c>
      <c r="D1186" s="458">
        <v>2025</v>
      </c>
    </row>
    <row r="1187" spans="1:4" x14ac:dyDescent="0.35">
      <c r="A1187" s="457" t="s">
        <v>72</v>
      </c>
      <c r="B1187" s="458" t="s">
        <v>1683</v>
      </c>
      <c r="C1187" s="459">
        <v>5</v>
      </c>
      <c r="D1187" s="458">
        <v>2024</v>
      </c>
    </row>
    <row r="1188" spans="1:4" x14ac:dyDescent="0.35">
      <c r="A1188" s="457" t="s">
        <v>72</v>
      </c>
      <c r="B1188" s="458" t="s">
        <v>1683</v>
      </c>
      <c r="C1188" s="459">
        <v>4</v>
      </c>
      <c r="D1188" s="458">
        <v>2024</v>
      </c>
    </row>
    <row r="1189" spans="1:4" x14ac:dyDescent="0.35">
      <c r="A1189" s="457" t="s">
        <v>72</v>
      </c>
      <c r="B1189" s="458" t="s">
        <v>1683</v>
      </c>
      <c r="C1189" s="459">
        <v>4</v>
      </c>
      <c r="D1189" s="458">
        <v>2025</v>
      </c>
    </row>
    <row r="1190" spans="1:4" x14ac:dyDescent="0.35">
      <c r="A1190" s="457" t="s">
        <v>72</v>
      </c>
      <c r="B1190" s="458" t="s">
        <v>1683</v>
      </c>
      <c r="C1190" s="459">
        <v>1</v>
      </c>
      <c r="D1190" s="458">
        <v>2024</v>
      </c>
    </row>
    <row r="1191" spans="1:4" x14ac:dyDescent="0.35">
      <c r="A1191" s="457" t="s">
        <v>72</v>
      </c>
      <c r="B1191" s="458" t="s">
        <v>1683</v>
      </c>
      <c r="C1191" s="459">
        <v>1</v>
      </c>
      <c r="D1191" s="458">
        <v>2025</v>
      </c>
    </row>
    <row r="1192" spans="1:4" x14ac:dyDescent="0.35">
      <c r="A1192" s="457" t="s">
        <v>72</v>
      </c>
      <c r="B1192" s="458" t="s">
        <v>1683</v>
      </c>
      <c r="C1192" s="459">
        <v>1</v>
      </c>
      <c r="D1192" s="458">
        <v>2025</v>
      </c>
    </row>
    <row r="1193" spans="1:4" x14ac:dyDescent="0.35">
      <c r="A1193" s="457" t="s">
        <v>72</v>
      </c>
      <c r="B1193" s="458" t="s">
        <v>1683</v>
      </c>
      <c r="C1193" s="459">
        <v>15</v>
      </c>
      <c r="D1193" s="458">
        <v>2025</v>
      </c>
    </row>
    <row r="1194" spans="1:4" x14ac:dyDescent="0.35">
      <c r="A1194" s="457" t="s">
        <v>72</v>
      </c>
      <c r="B1194" s="458" t="s">
        <v>1683</v>
      </c>
      <c r="C1194" s="459">
        <v>1</v>
      </c>
      <c r="D1194" s="458">
        <v>2025</v>
      </c>
    </row>
    <row r="1195" spans="1:4" x14ac:dyDescent="0.35">
      <c r="A1195" s="457" t="s">
        <v>72</v>
      </c>
      <c r="B1195" s="458" t="s">
        <v>1683</v>
      </c>
      <c r="C1195" s="459">
        <v>3</v>
      </c>
      <c r="D1195" s="458">
        <v>2024</v>
      </c>
    </row>
    <row r="1196" spans="1:4" x14ac:dyDescent="0.35">
      <c r="A1196" s="457" t="s">
        <v>72</v>
      </c>
      <c r="B1196" s="458" t="s">
        <v>1683</v>
      </c>
      <c r="C1196" s="459">
        <v>5</v>
      </c>
      <c r="D1196" s="458">
        <v>2024</v>
      </c>
    </row>
    <row r="1197" spans="1:4" x14ac:dyDescent="0.35">
      <c r="A1197" s="457" t="s">
        <v>72</v>
      </c>
      <c r="B1197" s="458" t="s">
        <v>1683</v>
      </c>
      <c r="C1197" s="459">
        <v>4</v>
      </c>
      <c r="D1197" s="458">
        <v>2025</v>
      </c>
    </row>
    <row r="1198" spans="1:4" x14ac:dyDescent="0.35">
      <c r="A1198" s="457" t="s">
        <v>72</v>
      </c>
      <c r="B1198" s="458" t="s">
        <v>1683</v>
      </c>
      <c r="C1198" s="459">
        <v>6</v>
      </c>
      <c r="D1198" s="458">
        <v>2024</v>
      </c>
    </row>
    <row r="1199" spans="1:4" x14ac:dyDescent="0.35">
      <c r="A1199" s="457" t="s">
        <v>72</v>
      </c>
      <c r="B1199" s="458" t="s">
        <v>1683</v>
      </c>
      <c r="C1199" s="459">
        <v>2</v>
      </c>
      <c r="D1199" s="458">
        <v>2025</v>
      </c>
    </row>
    <row r="1200" spans="1:4" x14ac:dyDescent="0.35">
      <c r="A1200" s="457" t="s">
        <v>72</v>
      </c>
      <c r="B1200" s="458" t="s">
        <v>1683</v>
      </c>
      <c r="C1200" s="459">
        <v>1</v>
      </c>
      <c r="D1200" s="458">
        <v>2024</v>
      </c>
    </row>
    <row r="1201" spans="1:4" x14ac:dyDescent="0.35">
      <c r="A1201" s="457" t="s">
        <v>72</v>
      </c>
      <c r="B1201" s="458" t="s">
        <v>1683</v>
      </c>
      <c r="C1201" s="459">
        <v>2</v>
      </c>
      <c r="D1201" s="458">
        <v>2025</v>
      </c>
    </row>
    <row r="1202" spans="1:4" x14ac:dyDescent="0.35">
      <c r="A1202" s="457" t="s">
        <v>72</v>
      </c>
      <c r="B1202" s="458" t="s">
        <v>1683</v>
      </c>
      <c r="C1202" s="459">
        <v>2</v>
      </c>
      <c r="D1202" s="458">
        <v>2025</v>
      </c>
    </row>
    <row r="1203" spans="1:4" x14ac:dyDescent="0.35">
      <c r="A1203" s="457" t="s">
        <v>72</v>
      </c>
      <c r="B1203" s="458" t="s">
        <v>1683</v>
      </c>
      <c r="C1203" s="459">
        <v>1</v>
      </c>
      <c r="D1203" s="458">
        <v>2024</v>
      </c>
    </row>
    <row r="1204" spans="1:4" x14ac:dyDescent="0.35">
      <c r="A1204" s="457" t="s">
        <v>72</v>
      </c>
      <c r="B1204" s="458" t="s">
        <v>1683</v>
      </c>
      <c r="C1204" s="459">
        <v>1</v>
      </c>
      <c r="D1204" s="458">
        <v>2025</v>
      </c>
    </row>
    <row r="1205" spans="1:4" x14ac:dyDescent="0.35">
      <c r="A1205" s="457" t="s">
        <v>72</v>
      </c>
      <c r="B1205" s="458" t="s">
        <v>1683</v>
      </c>
      <c r="C1205" s="459">
        <v>4</v>
      </c>
      <c r="D1205" s="458">
        <v>2025</v>
      </c>
    </row>
    <row r="1206" spans="1:4" x14ac:dyDescent="0.35">
      <c r="A1206" s="457" t="s">
        <v>72</v>
      </c>
      <c r="B1206" s="458" t="s">
        <v>1683</v>
      </c>
      <c r="C1206" s="459">
        <v>3</v>
      </c>
      <c r="D1206" s="458">
        <v>2024</v>
      </c>
    </row>
    <row r="1207" spans="1:4" x14ac:dyDescent="0.35">
      <c r="A1207" s="457" t="s">
        <v>72</v>
      </c>
      <c r="B1207" s="458" t="s">
        <v>1683</v>
      </c>
      <c r="C1207" s="459">
        <v>3</v>
      </c>
      <c r="D1207" s="458">
        <v>2024</v>
      </c>
    </row>
    <row r="1208" spans="1:4" x14ac:dyDescent="0.35">
      <c r="A1208" s="457" t="s">
        <v>72</v>
      </c>
      <c r="B1208" s="458" t="s">
        <v>1683</v>
      </c>
      <c r="C1208" s="459">
        <v>9</v>
      </c>
      <c r="D1208" s="458">
        <v>2024</v>
      </c>
    </row>
    <row r="1209" spans="1:4" x14ac:dyDescent="0.35">
      <c r="A1209" s="457" t="s">
        <v>72</v>
      </c>
      <c r="B1209" s="458" t="s">
        <v>1683</v>
      </c>
      <c r="C1209" s="459">
        <v>2</v>
      </c>
      <c r="D1209" s="458">
        <v>2024</v>
      </c>
    </row>
    <row r="1210" spans="1:4" x14ac:dyDescent="0.35">
      <c r="A1210" s="457" t="s">
        <v>72</v>
      </c>
      <c r="B1210" s="458" t="s">
        <v>1683</v>
      </c>
      <c r="C1210" s="459">
        <v>8</v>
      </c>
      <c r="D1210" s="458">
        <v>2025</v>
      </c>
    </row>
    <row r="1211" spans="1:4" x14ac:dyDescent="0.35">
      <c r="A1211" s="457" t="s">
        <v>72</v>
      </c>
      <c r="B1211" s="458" t="s">
        <v>1683</v>
      </c>
      <c r="C1211" s="459">
        <v>4</v>
      </c>
      <c r="D1211" s="458">
        <v>2025</v>
      </c>
    </row>
    <row r="1212" spans="1:4" x14ac:dyDescent="0.35">
      <c r="A1212" s="457" t="s">
        <v>72</v>
      </c>
      <c r="B1212" s="458" t="s">
        <v>1683</v>
      </c>
      <c r="C1212" s="459">
        <v>2</v>
      </c>
      <c r="D1212" s="458">
        <v>2025</v>
      </c>
    </row>
    <row r="1213" spans="1:4" x14ac:dyDescent="0.35">
      <c r="A1213" s="457" t="s">
        <v>72</v>
      </c>
      <c r="B1213" s="458" t="s">
        <v>1683</v>
      </c>
      <c r="C1213" s="459">
        <v>-23</v>
      </c>
      <c r="D1213" s="458">
        <v>2024</v>
      </c>
    </row>
    <row r="1214" spans="1:4" x14ac:dyDescent="0.35">
      <c r="A1214" s="457" t="s">
        <v>72</v>
      </c>
      <c r="B1214" s="458" t="s">
        <v>1683</v>
      </c>
      <c r="C1214" s="459">
        <v>9</v>
      </c>
      <c r="D1214" s="458">
        <v>2024</v>
      </c>
    </row>
    <row r="1215" spans="1:4" x14ac:dyDescent="0.35">
      <c r="A1215" s="457" t="s">
        <v>72</v>
      </c>
      <c r="B1215" s="458" t="s">
        <v>1683</v>
      </c>
      <c r="C1215" s="459">
        <v>5</v>
      </c>
      <c r="D1215" s="458">
        <v>2025</v>
      </c>
    </row>
    <row r="1216" spans="1:4" x14ac:dyDescent="0.35">
      <c r="A1216" s="457" t="s">
        <v>72</v>
      </c>
      <c r="B1216" s="458" t="s">
        <v>1683</v>
      </c>
      <c r="C1216" s="459">
        <v>8</v>
      </c>
      <c r="D1216" s="458">
        <v>2024</v>
      </c>
    </row>
    <row r="1217" spans="1:4" x14ac:dyDescent="0.35">
      <c r="A1217" s="457" t="s">
        <v>72</v>
      </c>
      <c r="B1217" s="458" t="s">
        <v>1683</v>
      </c>
      <c r="C1217" s="459">
        <v>6</v>
      </c>
      <c r="D1217" s="458">
        <v>2025</v>
      </c>
    </row>
    <row r="1218" spans="1:4" x14ac:dyDescent="0.35">
      <c r="A1218" s="457" t="s">
        <v>72</v>
      </c>
      <c r="B1218" s="458" t="s">
        <v>1683</v>
      </c>
      <c r="C1218" s="459">
        <v>8</v>
      </c>
      <c r="D1218" s="458">
        <v>2024</v>
      </c>
    </row>
    <row r="1219" spans="1:4" x14ac:dyDescent="0.35">
      <c r="A1219" s="457" t="s">
        <v>72</v>
      </c>
      <c r="B1219" s="458" t="s">
        <v>1683</v>
      </c>
      <c r="C1219" s="459">
        <v>5</v>
      </c>
      <c r="D1219" s="458">
        <v>2025</v>
      </c>
    </row>
    <row r="1220" spans="1:4" x14ac:dyDescent="0.35">
      <c r="A1220" s="457" t="s">
        <v>72</v>
      </c>
      <c r="B1220" s="458" t="s">
        <v>1683</v>
      </c>
      <c r="C1220" s="459">
        <v>1</v>
      </c>
      <c r="D1220" s="458">
        <v>2025</v>
      </c>
    </row>
    <row r="1221" spans="1:4" x14ac:dyDescent="0.35">
      <c r="A1221" s="457" t="s">
        <v>72</v>
      </c>
      <c r="B1221" s="458" t="s">
        <v>1683</v>
      </c>
      <c r="C1221" s="459">
        <v>15</v>
      </c>
      <c r="D1221" s="458">
        <v>2024</v>
      </c>
    </row>
    <row r="1222" spans="1:4" x14ac:dyDescent="0.35">
      <c r="A1222" s="457" t="s">
        <v>72</v>
      </c>
      <c r="B1222" s="458" t="s">
        <v>1683</v>
      </c>
      <c r="C1222" s="459">
        <v>1</v>
      </c>
      <c r="D1222" s="458">
        <v>2024</v>
      </c>
    </row>
    <row r="1223" spans="1:4" x14ac:dyDescent="0.35">
      <c r="A1223" s="457" t="s">
        <v>72</v>
      </c>
      <c r="B1223" s="458" t="s">
        <v>1683</v>
      </c>
      <c r="C1223" s="459">
        <v>6</v>
      </c>
      <c r="D1223" s="458">
        <v>2024</v>
      </c>
    </row>
    <row r="1224" spans="1:4" x14ac:dyDescent="0.35">
      <c r="A1224" s="457" t="s">
        <v>72</v>
      </c>
      <c r="B1224" s="458" t="s">
        <v>1683</v>
      </c>
      <c r="C1224" s="459">
        <v>1</v>
      </c>
      <c r="D1224" s="458">
        <v>2024</v>
      </c>
    </row>
    <row r="1225" spans="1:4" x14ac:dyDescent="0.35">
      <c r="A1225" s="457" t="s">
        <v>72</v>
      </c>
      <c r="B1225" s="458" t="s">
        <v>1683</v>
      </c>
      <c r="C1225" s="459">
        <v>6</v>
      </c>
      <c r="D1225" s="458">
        <v>2025</v>
      </c>
    </row>
    <row r="1226" spans="1:4" x14ac:dyDescent="0.35">
      <c r="A1226" s="457" t="s">
        <v>72</v>
      </c>
      <c r="B1226" s="458" t="s">
        <v>1683</v>
      </c>
      <c r="C1226" s="459">
        <v>4</v>
      </c>
      <c r="D1226" s="458">
        <v>2025</v>
      </c>
    </row>
    <row r="1227" spans="1:4" x14ac:dyDescent="0.35">
      <c r="A1227" s="457" t="s">
        <v>72</v>
      </c>
      <c r="B1227" s="458" t="s">
        <v>1683</v>
      </c>
      <c r="C1227" s="459">
        <v>6</v>
      </c>
      <c r="D1227" s="458">
        <v>2024</v>
      </c>
    </row>
    <row r="1228" spans="1:4" x14ac:dyDescent="0.35">
      <c r="A1228" s="457" t="s">
        <v>72</v>
      </c>
      <c r="B1228" s="458" t="s">
        <v>1683</v>
      </c>
      <c r="C1228" s="459">
        <v>5</v>
      </c>
      <c r="D1228" s="458">
        <v>2025</v>
      </c>
    </row>
    <row r="1229" spans="1:4" x14ac:dyDescent="0.35">
      <c r="A1229" s="457" t="s">
        <v>72</v>
      </c>
      <c r="B1229" s="458" t="s">
        <v>1683</v>
      </c>
      <c r="C1229" s="459">
        <v>6</v>
      </c>
      <c r="D1229" s="458">
        <v>2025</v>
      </c>
    </row>
    <row r="1230" spans="1:4" x14ac:dyDescent="0.35">
      <c r="A1230" s="457" t="s">
        <v>72</v>
      </c>
      <c r="B1230" s="458" t="s">
        <v>1683</v>
      </c>
      <c r="C1230" s="459">
        <v>6</v>
      </c>
      <c r="D1230" s="458">
        <v>2024</v>
      </c>
    </row>
    <row r="1231" spans="1:4" x14ac:dyDescent="0.35">
      <c r="A1231" s="457" t="s">
        <v>72</v>
      </c>
      <c r="B1231" s="458" t="s">
        <v>1683</v>
      </c>
      <c r="C1231" s="459">
        <v>3</v>
      </c>
      <c r="D1231" s="458">
        <v>2025</v>
      </c>
    </row>
    <row r="1232" spans="1:4" x14ac:dyDescent="0.35">
      <c r="A1232" s="457" t="s">
        <v>72</v>
      </c>
      <c r="B1232" s="458" t="s">
        <v>1683</v>
      </c>
      <c r="C1232" s="459">
        <v>2</v>
      </c>
      <c r="D1232" s="458">
        <v>2024</v>
      </c>
    </row>
    <row r="1233" spans="1:4" x14ac:dyDescent="0.35">
      <c r="A1233" s="457" t="s">
        <v>72</v>
      </c>
      <c r="B1233" s="458" t="s">
        <v>1683</v>
      </c>
      <c r="C1233" s="459">
        <v>2</v>
      </c>
      <c r="D1233" s="458">
        <v>2024</v>
      </c>
    </row>
    <row r="1234" spans="1:4" x14ac:dyDescent="0.35">
      <c r="A1234" s="457" t="s">
        <v>72</v>
      </c>
      <c r="B1234" s="458" t="s">
        <v>1683</v>
      </c>
      <c r="C1234" s="459">
        <v>2</v>
      </c>
      <c r="D1234" s="458">
        <v>2025</v>
      </c>
    </row>
    <row r="1235" spans="1:4" x14ac:dyDescent="0.35">
      <c r="A1235" s="457" t="s">
        <v>72</v>
      </c>
      <c r="B1235" s="458" t="s">
        <v>1683</v>
      </c>
      <c r="C1235" s="459">
        <v>13</v>
      </c>
      <c r="D1235" s="458">
        <v>2025</v>
      </c>
    </row>
    <row r="1236" spans="1:4" x14ac:dyDescent="0.35">
      <c r="A1236" s="457" t="s">
        <v>72</v>
      </c>
      <c r="B1236" s="458" t="s">
        <v>1683</v>
      </c>
      <c r="C1236" s="459">
        <v>17</v>
      </c>
      <c r="D1236" s="458">
        <v>2025</v>
      </c>
    </row>
    <row r="1237" spans="1:4" x14ac:dyDescent="0.35">
      <c r="A1237" s="457" t="s">
        <v>72</v>
      </c>
      <c r="B1237" s="458" t="s">
        <v>1683</v>
      </c>
      <c r="C1237" s="459">
        <v>3</v>
      </c>
      <c r="D1237" s="458">
        <v>2025</v>
      </c>
    </row>
    <row r="1238" spans="1:4" x14ac:dyDescent="0.35">
      <c r="A1238" s="457" t="s">
        <v>72</v>
      </c>
      <c r="B1238" s="458" t="s">
        <v>1683</v>
      </c>
      <c r="C1238" s="459">
        <v>4</v>
      </c>
      <c r="D1238" s="458">
        <v>2025</v>
      </c>
    </row>
    <row r="1239" spans="1:4" x14ac:dyDescent="0.35">
      <c r="A1239" s="457" t="s">
        <v>72</v>
      </c>
      <c r="B1239" s="458" t="s">
        <v>1683</v>
      </c>
      <c r="C1239" s="459">
        <v>16</v>
      </c>
      <c r="D1239" s="458">
        <v>2024</v>
      </c>
    </row>
    <row r="1240" spans="1:4" x14ac:dyDescent="0.35">
      <c r="A1240" s="457" t="s">
        <v>72</v>
      </c>
      <c r="B1240" s="458" t="s">
        <v>1683</v>
      </c>
      <c r="C1240" s="459">
        <v>20</v>
      </c>
      <c r="D1240" s="458">
        <v>2025</v>
      </c>
    </row>
    <row r="1241" spans="1:4" x14ac:dyDescent="0.35">
      <c r="A1241" s="457" t="s">
        <v>72</v>
      </c>
      <c r="B1241" s="458" t="s">
        <v>1683</v>
      </c>
      <c r="C1241" s="459">
        <v>1</v>
      </c>
      <c r="D1241" s="458">
        <v>2025</v>
      </c>
    </row>
    <row r="1242" spans="1:4" x14ac:dyDescent="0.35">
      <c r="A1242" s="457" t="s">
        <v>72</v>
      </c>
      <c r="B1242" s="458" t="s">
        <v>1683</v>
      </c>
      <c r="C1242" s="459">
        <v>24</v>
      </c>
      <c r="D1242" s="458">
        <v>2025</v>
      </c>
    </row>
    <row r="1243" spans="1:4" x14ac:dyDescent="0.35">
      <c r="A1243" s="457" t="s">
        <v>72</v>
      </c>
      <c r="B1243" s="458" t="s">
        <v>1683</v>
      </c>
      <c r="C1243" s="459">
        <v>22</v>
      </c>
      <c r="D1243" s="458">
        <v>2024</v>
      </c>
    </row>
    <row r="1244" spans="1:4" x14ac:dyDescent="0.35">
      <c r="A1244" s="457" t="s">
        <v>72</v>
      </c>
      <c r="B1244" s="458" t="s">
        <v>1683</v>
      </c>
      <c r="C1244" s="459">
        <v>18</v>
      </c>
      <c r="D1244" s="458">
        <v>2025</v>
      </c>
    </row>
    <row r="1245" spans="1:4" x14ac:dyDescent="0.35">
      <c r="A1245" s="457" t="s">
        <v>72</v>
      </c>
      <c r="B1245" s="458" t="s">
        <v>1683</v>
      </c>
      <c r="C1245" s="459">
        <v>5</v>
      </c>
      <c r="D1245" s="458">
        <v>2024</v>
      </c>
    </row>
    <row r="1246" spans="1:4" x14ac:dyDescent="0.35">
      <c r="A1246" s="457" t="s">
        <v>72</v>
      </c>
      <c r="B1246" s="458" t="s">
        <v>1683</v>
      </c>
      <c r="C1246" s="459">
        <v>10</v>
      </c>
      <c r="D1246" s="458">
        <v>2024</v>
      </c>
    </row>
    <row r="1247" spans="1:4" x14ac:dyDescent="0.35">
      <c r="A1247" s="457" t="s">
        <v>72</v>
      </c>
      <c r="B1247" s="458" t="s">
        <v>1683</v>
      </c>
      <c r="C1247" s="459">
        <v>8</v>
      </c>
      <c r="D1247" s="458">
        <v>2025</v>
      </c>
    </row>
    <row r="1248" spans="1:4" x14ac:dyDescent="0.35">
      <c r="A1248" s="457" t="s">
        <v>72</v>
      </c>
      <c r="B1248" s="458" t="s">
        <v>1683</v>
      </c>
      <c r="C1248" s="459">
        <v>1</v>
      </c>
      <c r="D1248" s="458">
        <v>2025</v>
      </c>
    </row>
    <row r="1249" spans="1:4" x14ac:dyDescent="0.35">
      <c r="A1249" s="457" t="s">
        <v>72</v>
      </c>
      <c r="B1249" s="458" t="s">
        <v>1683</v>
      </c>
      <c r="C1249" s="459">
        <v>50</v>
      </c>
      <c r="D1249" s="458">
        <v>2024</v>
      </c>
    </row>
    <row r="1250" spans="1:4" x14ac:dyDescent="0.35">
      <c r="A1250" s="457" t="s">
        <v>72</v>
      </c>
      <c r="B1250" s="458" t="s">
        <v>1683</v>
      </c>
      <c r="C1250" s="459">
        <v>45</v>
      </c>
      <c r="D1250" s="458">
        <v>2025</v>
      </c>
    </row>
    <row r="1251" spans="1:4" x14ac:dyDescent="0.35">
      <c r="A1251" s="457" t="s">
        <v>72</v>
      </c>
      <c r="B1251" s="458" t="s">
        <v>1683</v>
      </c>
      <c r="C1251" s="459">
        <v>8</v>
      </c>
      <c r="D1251" s="458">
        <v>2025</v>
      </c>
    </row>
    <row r="1252" spans="1:4" x14ac:dyDescent="0.35">
      <c r="A1252" s="457" t="s">
        <v>72</v>
      </c>
      <c r="B1252" s="458" t="s">
        <v>1683</v>
      </c>
      <c r="C1252" s="459">
        <v>8</v>
      </c>
      <c r="D1252" s="458">
        <v>2024</v>
      </c>
    </row>
    <row r="1253" spans="1:4" x14ac:dyDescent="0.35">
      <c r="A1253" s="457" t="s">
        <v>72</v>
      </c>
      <c r="B1253" s="458" t="s">
        <v>1683</v>
      </c>
      <c r="C1253" s="459">
        <v>5</v>
      </c>
      <c r="D1253" s="458">
        <v>2025</v>
      </c>
    </row>
    <row r="1254" spans="1:4" x14ac:dyDescent="0.35">
      <c r="A1254" s="457" t="s">
        <v>72</v>
      </c>
      <c r="B1254" s="458" t="s">
        <v>1683</v>
      </c>
      <c r="C1254" s="459">
        <v>4</v>
      </c>
      <c r="D1254" s="458">
        <v>2024</v>
      </c>
    </row>
    <row r="1255" spans="1:4" x14ac:dyDescent="0.35">
      <c r="A1255" s="457" t="s">
        <v>72</v>
      </c>
      <c r="B1255" s="458" t="s">
        <v>1683</v>
      </c>
      <c r="C1255" s="459">
        <v>5</v>
      </c>
      <c r="D1255" s="458">
        <v>2025</v>
      </c>
    </row>
    <row r="1256" spans="1:4" x14ac:dyDescent="0.35">
      <c r="A1256" s="457" t="s">
        <v>72</v>
      </c>
      <c r="B1256" s="458" t="s">
        <v>1683</v>
      </c>
      <c r="C1256" s="459">
        <v>4</v>
      </c>
      <c r="D1256" s="458">
        <v>2025</v>
      </c>
    </row>
    <row r="1257" spans="1:4" x14ac:dyDescent="0.35">
      <c r="A1257" s="457" t="s">
        <v>72</v>
      </c>
      <c r="B1257" s="458" t="s">
        <v>1683</v>
      </c>
      <c r="C1257" s="459">
        <v>3</v>
      </c>
      <c r="D1257" s="458">
        <v>2024</v>
      </c>
    </row>
    <row r="1258" spans="1:4" x14ac:dyDescent="0.35">
      <c r="A1258" s="457" t="s">
        <v>72</v>
      </c>
      <c r="B1258" s="458" t="s">
        <v>1683</v>
      </c>
      <c r="C1258" s="459">
        <v>1</v>
      </c>
      <c r="D1258" s="458">
        <v>2025</v>
      </c>
    </row>
    <row r="1259" spans="1:4" x14ac:dyDescent="0.35">
      <c r="A1259" s="457" t="s">
        <v>72</v>
      </c>
      <c r="B1259" s="458" t="s">
        <v>1683</v>
      </c>
      <c r="C1259" s="459">
        <v>3</v>
      </c>
      <c r="D1259" s="458">
        <v>2025</v>
      </c>
    </row>
    <row r="1260" spans="1:4" x14ac:dyDescent="0.35">
      <c r="A1260" s="457" t="s">
        <v>72</v>
      </c>
      <c r="B1260" s="458" t="s">
        <v>1683</v>
      </c>
      <c r="C1260" s="459">
        <v>3</v>
      </c>
      <c r="D1260" s="458">
        <v>2024</v>
      </c>
    </row>
    <row r="1261" spans="1:4" x14ac:dyDescent="0.35">
      <c r="A1261" s="457" t="s">
        <v>72</v>
      </c>
      <c r="B1261" s="458" t="s">
        <v>1683</v>
      </c>
      <c r="C1261" s="459">
        <v>4</v>
      </c>
      <c r="D1261" s="458">
        <v>2025</v>
      </c>
    </row>
    <row r="1262" spans="1:4" x14ac:dyDescent="0.35">
      <c r="A1262" s="457" t="s">
        <v>72</v>
      </c>
      <c r="B1262" s="458" t="s">
        <v>1683</v>
      </c>
      <c r="C1262" s="459">
        <v>9</v>
      </c>
      <c r="D1262" s="458">
        <v>2024</v>
      </c>
    </row>
    <row r="1263" spans="1:4" x14ac:dyDescent="0.35">
      <c r="A1263" s="457" t="s">
        <v>72</v>
      </c>
      <c r="B1263" s="458" t="s">
        <v>1683</v>
      </c>
      <c r="C1263" s="459">
        <v>6</v>
      </c>
      <c r="D1263" s="458">
        <v>2024</v>
      </c>
    </row>
    <row r="1264" spans="1:4" x14ac:dyDescent="0.35">
      <c r="A1264" s="457" t="s">
        <v>72</v>
      </c>
      <c r="B1264" s="458" t="s">
        <v>1683</v>
      </c>
      <c r="C1264" s="459">
        <v>6</v>
      </c>
      <c r="D1264" s="458">
        <v>2025</v>
      </c>
    </row>
    <row r="1265" spans="1:4" x14ac:dyDescent="0.35">
      <c r="A1265" s="457" t="s">
        <v>72</v>
      </c>
      <c r="B1265" s="458" t="s">
        <v>1683</v>
      </c>
      <c r="C1265" s="459">
        <v>4</v>
      </c>
      <c r="D1265" s="458">
        <v>2024</v>
      </c>
    </row>
    <row r="1266" spans="1:4" x14ac:dyDescent="0.35">
      <c r="A1266" s="457" t="s">
        <v>72</v>
      </c>
      <c r="B1266" s="458" t="s">
        <v>1683</v>
      </c>
      <c r="C1266" s="459">
        <v>1</v>
      </c>
      <c r="D1266" s="458">
        <v>2024</v>
      </c>
    </row>
    <row r="1267" spans="1:4" x14ac:dyDescent="0.35">
      <c r="A1267" s="457" t="s">
        <v>72</v>
      </c>
      <c r="B1267" s="458" t="s">
        <v>1683</v>
      </c>
      <c r="C1267" s="459">
        <v>5</v>
      </c>
      <c r="D1267" s="458">
        <v>2025</v>
      </c>
    </row>
    <row r="1268" spans="1:4" x14ac:dyDescent="0.35">
      <c r="A1268" s="457" t="s">
        <v>72</v>
      </c>
      <c r="B1268" s="458" t="s">
        <v>1683</v>
      </c>
      <c r="C1268" s="459">
        <v>1</v>
      </c>
      <c r="D1268" s="458">
        <v>2025</v>
      </c>
    </row>
    <row r="1269" spans="1:4" x14ac:dyDescent="0.35">
      <c r="A1269" s="457" t="s">
        <v>72</v>
      </c>
      <c r="B1269" s="458" t="s">
        <v>1683</v>
      </c>
      <c r="C1269" s="459">
        <v>4</v>
      </c>
      <c r="D1269" s="458">
        <v>2025</v>
      </c>
    </row>
    <row r="1270" spans="1:4" x14ac:dyDescent="0.35">
      <c r="A1270" s="457" t="s">
        <v>72</v>
      </c>
      <c r="B1270" s="458" t="s">
        <v>1683</v>
      </c>
      <c r="C1270" s="459">
        <v>4</v>
      </c>
      <c r="D1270" s="458">
        <v>2024</v>
      </c>
    </row>
    <row r="1271" spans="1:4" x14ac:dyDescent="0.35">
      <c r="A1271" s="457" t="s">
        <v>72</v>
      </c>
      <c r="B1271" s="458" t="s">
        <v>1683</v>
      </c>
      <c r="C1271" s="459">
        <v>6</v>
      </c>
      <c r="D1271" s="458">
        <v>2024</v>
      </c>
    </row>
    <row r="1272" spans="1:4" x14ac:dyDescent="0.35">
      <c r="A1272" s="457" t="s">
        <v>72</v>
      </c>
      <c r="B1272" s="458" t="s">
        <v>1683</v>
      </c>
      <c r="C1272" s="459">
        <v>3</v>
      </c>
      <c r="D1272" s="458">
        <v>2024</v>
      </c>
    </row>
    <row r="1273" spans="1:4" x14ac:dyDescent="0.35">
      <c r="A1273" s="457" t="s">
        <v>72</v>
      </c>
      <c r="B1273" s="458" t="s">
        <v>1683</v>
      </c>
      <c r="C1273" s="459">
        <v>10</v>
      </c>
      <c r="D1273" s="458">
        <v>2024</v>
      </c>
    </row>
    <row r="1274" spans="1:4" x14ac:dyDescent="0.35">
      <c r="A1274" s="457" t="s">
        <v>72</v>
      </c>
      <c r="B1274" s="458" t="s">
        <v>1683</v>
      </c>
      <c r="C1274" s="459">
        <v>-15</v>
      </c>
      <c r="D1274" s="458">
        <v>2025</v>
      </c>
    </row>
    <row r="1275" spans="1:4" x14ac:dyDescent="0.35">
      <c r="A1275" s="457" t="s">
        <v>72</v>
      </c>
      <c r="B1275" s="458" t="s">
        <v>1683</v>
      </c>
      <c r="C1275" s="459">
        <v>-1</v>
      </c>
      <c r="D1275" s="458">
        <v>2025</v>
      </c>
    </row>
    <row r="1276" spans="1:4" x14ac:dyDescent="0.35">
      <c r="A1276" s="457" t="s">
        <v>72</v>
      </c>
      <c r="B1276" s="458" t="s">
        <v>1683</v>
      </c>
      <c r="C1276" s="459">
        <v>3</v>
      </c>
      <c r="D1276" s="458">
        <v>2024</v>
      </c>
    </row>
    <row r="1277" spans="1:4" x14ac:dyDescent="0.35">
      <c r="A1277" s="457" t="s">
        <v>72</v>
      </c>
      <c r="B1277" s="458" t="s">
        <v>1683</v>
      </c>
      <c r="C1277" s="459">
        <v>3</v>
      </c>
      <c r="D1277" s="458">
        <v>2024</v>
      </c>
    </row>
    <row r="1278" spans="1:4" x14ac:dyDescent="0.35">
      <c r="A1278" s="457" t="s">
        <v>72</v>
      </c>
      <c r="B1278" s="458" t="s">
        <v>1683</v>
      </c>
      <c r="C1278" s="459">
        <v>3</v>
      </c>
      <c r="D1278" s="458">
        <v>2025</v>
      </c>
    </row>
    <row r="1279" spans="1:4" x14ac:dyDescent="0.35">
      <c r="A1279" s="457" t="s">
        <v>72</v>
      </c>
      <c r="B1279" s="458" t="s">
        <v>1683</v>
      </c>
      <c r="C1279" s="459">
        <v>2</v>
      </c>
      <c r="D1279" s="458">
        <v>2025</v>
      </c>
    </row>
    <row r="1280" spans="1:4" x14ac:dyDescent="0.35">
      <c r="A1280" s="457" t="s">
        <v>72</v>
      </c>
      <c r="B1280" s="458" t="s">
        <v>1683</v>
      </c>
      <c r="C1280" s="459">
        <v>1</v>
      </c>
      <c r="D1280" s="458">
        <v>2024</v>
      </c>
    </row>
    <row r="1281" spans="1:4" x14ac:dyDescent="0.35">
      <c r="A1281" s="457" t="s">
        <v>72</v>
      </c>
      <c r="B1281" s="458" t="s">
        <v>1683</v>
      </c>
      <c r="C1281" s="459">
        <v>3</v>
      </c>
      <c r="D1281" s="458">
        <v>2024</v>
      </c>
    </row>
    <row r="1282" spans="1:4" x14ac:dyDescent="0.35">
      <c r="A1282" s="457" t="s">
        <v>72</v>
      </c>
      <c r="B1282" s="458" t="s">
        <v>1683</v>
      </c>
      <c r="C1282" s="459">
        <v>10</v>
      </c>
      <c r="D1282" s="458">
        <v>2024</v>
      </c>
    </row>
    <row r="1283" spans="1:4" x14ac:dyDescent="0.35">
      <c r="A1283" s="457" t="s">
        <v>72</v>
      </c>
      <c r="B1283" s="458" t="s">
        <v>1683</v>
      </c>
      <c r="C1283" s="459">
        <v>10</v>
      </c>
      <c r="D1283" s="458">
        <v>2025</v>
      </c>
    </row>
    <row r="1284" spans="1:4" x14ac:dyDescent="0.35">
      <c r="A1284" s="457" t="s">
        <v>72</v>
      </c>
      <c r="B1284" s="458" t="s">
        <v>1683</v>
      </c>
      <c r="C1284" s="459">
        <v>25</v>
      </c>
      <c r="D1284" s="458">
        <v>2025</v>
      </c>
    </row>
    <row r="1285" spans="1:4" x14ac:dyDescent="0.35">
      <c r="A1285" s="457" t="s">
        <v>72</v>
      </c>
      <c r="B1285" s="458" t="s">
        <v>1683</v>
      </c>
      <c r="C1285" s="459">
        <v>2</v>
      </c>
      <c r="D1285" s="458">
        <v>2024</v>
      </c>
    </row>
    <row r="1286" spans="1:4" x14ac:dyDescent="0.35">
      <c r="A1286" s="457" t="s">
        <v>72</v>
      </c>
      <c r="B1286" s="458" t="s">
        <v>1683</v>
      </c>
      <c r="C1286" s="459">
        <v>2</v>
      </c>
      <c r="D1286" s="458">
        <v>2025</v>
      </c>
    </row>
    <row r="1287" spans="1:4" x14ac:dyDescent="0.35">
      <c r="A1287" s="457" t="s">
        <v>72</v>
      </c>
      <c r="B1287" s="458" t="s">
        <v>1683</v>
      </c>
      <c r="C1287" s="459">
        <v>1</v>
      </c>
      <c r="D1287" s="458">
        <v>2025</v>
      </c>
    </row>
    <row r="1288" spans="1:4" x14ac:dyDescent="0.35">
      <c r="A1288" s="457" t="s">
        <v>72</v>
      </c>
      <c r="B1288" s="458" t="s">
        <v>1683</v>
      </c>
      <c r="C1288" s="459">
        <v>2</v>
      </c>
      <c r="D1288" s="458">
        <v>2024</v>
      </c>
    </row>
    <row r="1289" spans="1:4" x14ac:dyDescent="0.35">
      <c r="A1289" s="457" t="s">
        <v>72</v>
      </c>
      <c r="B1289" s="458" t="s">
        <v>1683</v>
      </c>
      <c r="C1289" s="459">
        <v>2</v>
      </c>
      <c r="D1289" s="458">
        <v>2025</v>
      </c>
    </row>
    <row r="1290" spans="1:4" x14ac:dyDescent="0.35">
      <c r="A1290" s="457" t="s">
        <v>72</v>
      </c>
      <c r="B1290" s="458" t="s">
        <v>1683</v>
      </c>
      <c r="C1290" s="459">
        <v>8</v>
      </c>
      <c r="D1290" s="458">
        <v>2024</v>
      </c>
    </row>
    <row r="1291" spans="1:4" x14ac:dyDescent="0.35">
      <c r="A1291" s="457" t="s">
        <v>72</v>
      </c>
      <c r="B1291" s="458" t="s">
        <v>1683</v>
      </c>
      <c r="C1291" s="459">
        <v>1</v>
      </c>
      <c r="D1291" s="458">
        <v>2024</v>
      </c>
    </row>
    <row r="1292" spans="1:4" x14ac:dyDescent="0.35">
      <c r="A1292" s="457" t="s">
        <v>72</v>
      </c>
      <c r="B1292" s="458" t="s">
        <v>1683</v>
      </c>
      <c r="C1292" s="459">
        <v>3</v>
      </c>
      <c r="D1292" s="458">
        <v>2024</v>
      </c>
    </row>
    <row r="1293" spans="1:4" x14ac:dyDescent="0.35">
      <c r="A1293" s="457" t="s">
        <v>72</v>
      </c>
      <c r="B1293" s="458" t="s">
        <v>1683</v>
      </c>
      <c r="C1293" s="459">
        <v>4</v>
      </c>
      <c r="D1293" s="458">
        <v>2025</v>
      </c>
    </row>
    <row r="1294" spans="1:4" x14ac:dyDescent="0.35">
      <c r="A1294" s="457" t="s">
        <v>72</v>
      </c>
      <c r="B1294" s="458" t="s">
        <v>1684</v>
      </c>
      <c r="C1294" s="459">
        <v>48</v>
      </c>
      <c r="D1294" s="458">
        <v>2025</v>
      </c>
    </row>
    <row r="1295" spans="1:4" x14ac:dyDescent="0.35">
      <c r="A1295" s="457" t="s">
        <v>72</v>
      </c>
      <c r="B1295" s="458" t="s">
        <v>1684</v>
      </c>
      <c r="C1295" s="459">
        <v>24</v>
      </c>
      <c r="D1295" s="458">
        <v>2024</v>
      </c>
    </row>
    <row r="1296" spans="1:4" x14ac:dyDescent="0.35">
      <c r="A1296" s="457" t="s">
        <v>72</v>
      </c>
      <c r="B1296" s="458" t="s">
        <v>1684</v>
      </c>
      <c r="C1296" s="459">
        <v>1</v>
      </c>
      <c r="D1296" s="458">
        <v>2025</v>
      </c>
    </row>
    <row r="1297" spans="1:4" x14ac:dyDescent="0.35">
      <c r="A1297" s="457" t="s">
        <v>72</v>
      </c>
      <c r="B1297" s="458" t="s">
        <v>1684</v>
      </c>
      <c r="C1297" s="459">
        <v>5</v>
      </c>
      <c r="D1297" s="458">
        <v>2025</v>
      </c>
    </row>
    <row r="1298" spans="1:4" x14ac:dyDescent="0.35">
      <c r="A1298" s="457" t="s">
        <v>72</v>
      </c>
      <c r="B1298" s="458" t="s">
        <v>1684</v>
      </c>
      <c r="C1298" s="459">
        <v>20</v>
      </c>
      <c r="D1298" s="458">
        <v>2025</v>
      </c>
    </row>
    <row r="1299" spans="1:4" x14ac:dyDescent="0.35">
      <c r="A1299" s="457" t="s">
        <v>72</v>
      </c>
      <c r="B1299" s="458" t="s">
        <v>1684</v>
      </c>
      <c r="C1299" s="459">
        <v>20</v>
      </c>
      <c r="D1299" s="458">
        <v>2024</v>
      </c>
    </row>
    <row r="1300" spans="1:4" x14ac:dyDescent="0.35">
      <c r="A1300" s="457" t="s">
        <v>72</v>
      </c>
      <c r="B1300" s="458" t="s">
        <v>1684</v>
      </c>
      <c r="C1300" s="459">
        <v>10</v>
      </c>
      <c r="D1300" s="458">
        <v>2025</v>
      </c>
    </row>
    <row r="1301" spans="1:4" x14ac:dyDescent="0.35">
      <c r="A1301" s="457" t="s">
        <v>72</v>
      </c>
      <c r="B1301" s="458" t="s">
        <v>1684</v>
      </c>
      <c r="C1301" s="459">
        <v>10</v>
      </c>
      <c r="D1301" s="458">
        <v>2024</v>
      </c>
    </row>
    <row r="1302" spans="1:4" x14ac:dyDescent="0.35">
      <c r="A1302" s="457" t="s">
        <v>72</v>
      </c>
      <c r="B1302" s="458" t="s">
        <v>1684</v>
      </c>
      <c r="C1302" s="459">
        <v>4</v>
      </c>
      <c r="D1302" s="458">
        <v>2024</v>
      </c>
    </row>
    <row r="1303" spans="1:4" x14ac:dyDescent="0.35">
      <c r="A1303" s="457" t="s">
        <v>72</v>
      </c>
      <c r="B1303" s="458" t="s">
        <v>1684</v>
      </c>
      <c r="C1303" s="459">
        <v>2</v>
      </c>
      <c r="D1303" s="458">
        <v>2025</v>
      </c>
    </row>
    <row r="1304" spans="1:4" x14ac:dyDescent="0.35">
      <c r="A1304" s="457" t="s">
        <v>72</v>
      </c>
      <c r="B1304" s="458" t="s">
        <v>1684</v>
      </c>
      <c r="C1304" s="459">
        <v>2</v>
      </c>
      <c r="D1304" s="458">
        <v>2025</v>
      </c>
    </row>
    <row r="1305" spans="1:4" x14ac:dyDescent="0.35">
      <c r="A1305" s="457" t="s">
        <v>72</v>
      </c>
      <c r="B1305" s="458" t="s">
        <v>1684</v>
      </c>
      <c r="C1305" s="459">
        <v>2</v>
      </c>
      <c r="D1305" s="458">
        <v>2024</v>
      </c>
    </row>
    <row r="1306" spans="1:4" x14ac:dyDescent="0.35">
      <c r="A1306" s="457" t="s">
        <v>72</v>
      </c>
      <c r="B1306" s="458" t="s">
        <v>1684</v>
      </c>
      <c r="C1306" s="459">
        <v>7</v>
      </c>
      <c r="D1306" s="458">
        <v>2025</v>
      </c>
    </row>
    <row r="1307" spans="1:4" x14ac:dyDescent="0.35">
      <c r="A1307" s="457" t="s">
        <v>72</v>
      </c>
      <c r="B1307" s="458" t="s">
        <v>1684</v>
      </c>
      <c r="C1307" s="459">
        <v>8</v>
      </c>
      <c r="D1307" s="458">
        <v>2025</v>
      </c>
    </row>
    <row r="1308" spans="1:4" x14ac:dyDescent="0.35">
      <c r="A1308" s="457" t="s">
        <v>72</v>
      </c>
      <c r="B1308" s="458" t="s">
        <v>1684</v>
      </c>
      <c r="C1308" s="459">
        <v>9</v>
      </c>
      <c r="D1308" s="458">
        <v>2024</v>
      </c>
    </row>
    <row r="1309" spans="1:4" x14ac:dyDescent="0.35">
      <c r="A1309" s="457" t="s">
        <v>72</v>
      </c>
      <c r="B1309" s="458" t="s">
        <v>1684</v>
      </c>
      <c r="C1309" s="459">
        <v>3</v>
      </c>
      <c r="D1309" s="458">
        <v>2025</v>
      </c>
    </row>
    <row r="1310" spans="1:4" x14ac:dyDescent="0.35">
      <c r="A1310" s="457" t="s">
        <v>72</v>
      </c>
      <c r="B1310" s="458" t="s">
        <v>1684</v>
      </c>
      <c r="C1310" s="459">
        <v>4</v>
      </c>
      <c r="D1310" s="458">
        <v>2024</v>
      </c>
    </row>
    <row r="1311" spans="1:4" x14ac:dyDescent="0.35">
      <c r="A1311" s="457" t="s">
        <v>72</v>
      </c>
      <c r="B1311" s="458" t="s">
        <v>1684</v>
      </c>
      <c r="C1311" s="459">
        <v>3</v>
      </c>
      <c r="D1311" s="458">
        <v>2025</v>
      </c>
    </row>
    <row r="1312" spans="1:4" x14ac:dyDescent="0.35">
      <c r="A1312" s="457" t="s">
        <v>72</v>
      </c>
      <c r="B1312" s="458" t="s">
        <v>1684</v>
      </c>
      <c r="C1312" s="459">
        <v>50</v>
      </c>
      <c r="D1312" s="458">
        <v>2024</v>
      </c>
    </row>
    <row r="1313" spans="1:4" x14ac:dyDescent="0.35">
      <c r="A1313" s="457" t="s">
        <v>72</v>
      </c>
      <c r="B1313" s="458" t="s">
        <v>1684</v>
      </c>
      <c r="C1313" s="459">
        <v>4</v>
      </c>
      <c r="D1313" s="458">
        <v>2024</v>
      </c>
    </row>
    <row r="1314" spans="1:4" x14ac:dyDescent="0.35">
      <c r="A1314" s="457" t="s">
        <v>72</v>
      </c>
      <c r="B1314" s="458" t="s">
        <v>1684</v>
      </c>
      <c r="C1314" s="459">
        <v>5</v>
      </c>
      <c r="D1314" s="458">
        <v>2025</v>
      </c>
    </row>
    <row r="1315" spans="1:4" x14ac:dyDescent="0.35">
      <c r="A1315" s="457" t="s">
        <v>72</v>
      </c>
      <c r="B1315" s="458" t="s">
        <v>1684</v>
      </c>
      <c r="C1315" s="459">
        <v>1</v>
      </c>
      <c r="D1315" s="458">
        <v>2024</v>
      </c>
    </row>
    <row r="1316" spans="1:4" x14ac:dyDescent="0.35">
      <c r="A1316" s="457" t="s">
        <v>72</v>
      </c>
      <c r="B1316" s="458" t="s">
        <v>1684</v>
      </c>
      <c r="C1316" s="459">
        <v>7</v>
      </c>
      <c r="D1316" s="458">
        <v>2024</v>
      </c>
    </row>
    <row r="1317" spans="1:4" x14ac:dyDescent="0.35">
      <c r="A1317" s="457" t="s">
        <v>72</v>
      </c>
      <c r="B1317" s="458" t="s">
        <v>1684</v>
      </c>
      <c r="C1317" s="459">
        <v>25</v>
      </c>
      <c r="D1317" s="458">
        <v>2025</v>
      </c>
    </row>
    <row r="1318" spans="1:4" x14ac:dyDescent="0.35">
      <c r="A1318" s="457" t="s">
        <v>72</v>
      </c>
      <c r="B1318" s="458" t="s">
        <v>1684</v>
      </c>
      <c r="C1318" s="459">
        <v>60</v>
      </c>
      <c r="D1318" s="458">
        <v>2024</v>
      </c>
    </row>
    <row r="1319" spans="1:4" x14ac:dyDescent="0.35">
      <c r="A1319" s="457" t="s">
        <v>72</v>
      </c>
      <c r="B1319" s="458" t="s">
        <v>1684</v>
      </c>
      <c r="C1319" s="459">
        <v>19</v>
      </c>
      <c r="D1319" s="458">
        <v>2024</v>
      </c>
    </row>
    <row r="1320" spans="1:4" x14ac:dyDescent="0.35">
      <c r="A1320" s="457" t="s">
        <v>72</v>
      </c>
      <c r="B1320" s="458" t="s">
        <v>1684</v>
      </c>
      <c r="C1320" s="459">
        <v>8</v>
      </c>
      <c r="D1320" s="458">
        <v>2025</v>
      </c>
    </row>
    <row r="1321" spans="1:4" x14ac:dyDescent="0.35">
      <c r="A1321" s="457" t="s">
        <v>72</v>
      </c>
      <c r="B1321" s="458" t="s">
        <v>1684</v>
      </c>
      <c r="C1321" s="459">
        <v>1</v>
      </c>
      <c r="D1321" s="458">
        <v>2025</v>
      </c>
    </row>
    <row r="1322" spans="1:4" x14ac:dyDescent="0.35">
      <c r="A1322" s="457" t="s">
        <v>72</v>
      </c>
      <c r="B1322" s="458" t="s">
        <v>1684</v>
      </c>
      <c r="C1322" s="459">
        <v>10</v>
      </c>
      <c r="D1322" s="458">
        <v>2025</v>
      </c>
    </row>
    <row r="1323" spans="1:4" x14ac:dyDescent="0.35">
      <c r="A1323" s="457" t="s">
        <v>72</v>
      </c>
      <c r="B1323" s="458" t="s">
        <v>1684</v>
      </c>
      <c r="C1323" s="459">
        <v>4</v>
      </c>
      <c r="D1323" s="458">
        <v>2024</v>
      </c>
    </row>
    <row r="1324" spans="1:4" x14ac:dyDescent="0.35">
      <c r="A1324" s="457" t="s">
        <v>72</v>
      </c>
      <c r="B1324" s="458" t="s">
        <v>1684</v>
      </c>
      <c r="C1324" s="459">
        <v>15</v>
      </c>
      <c r="D1324" s="458">
        <v>2025</v>
      </c>
    </row>
    <row r="1325" spans="1:4" x14ac:dyDescent="0.35">
      <c r="A1325" s="457" t="s">
        <v>72</v>
      </c>
      <c r="B1325" s="458" t="s">
        <v>1684</v>
      </c>
      <c r="C1325" s="459">
        <v>15</v>
      </c>
      <c r="D1325" s="458">
        <v>2024</v>
      </c>
    </row>
    <row r="1326" spans="1:4" x14ac:dyDescent="0.35">
      <c r="A1326" s="457" t="s">
        <v>72</v>
      </c>
      <c r="B1326" s="458" t="s">
        <v>1684</v>
      </c>
      <c r="C1326" s="459">
        <v>10</v>
      </c>
      <c r="D1326" s="458">
        <v>2025</v>
      </c>
    </row>
    <row r="1327" spans="1:4" x14ac:dyDescent="0.35">
      <c r="A1327" s="457" t="s">
        <v>72</v>
      </c>
      <c r="B1327" s="458" t="s">
        <v>1684</v>
      </c>
      <c r="C1327" s="459">
        <v>4</v>
      </c>
      <c r="D1327" s="458">
        <v>2024</v>
      </c>
    </row>
    <row r="1328" spans="1:4" x14ac:dyDescent="0.35">
      <c r="A1328" s="457" t="s">
        <v>72</v>
      </c>
      <c r="B1328" s="458" t="s">
        <v>1684</v>
      </c>
      <c r="C1328" s="459">
        <v>10</v>
      </c>
      <c r="D1328" s="458">
        <v>2024</v>
      </c>
    </row>
    <row r="1329" spans="1:4" x14ac:dyDescent="0.35">
      <c r="A1329" s="457" t="s">
        <v>72</v>
      </c>
      <c r="B1329" s="458" t="s">
        <v>1684</v>
      </c>
      <c r="C1329" s="459">
        <v>3</v>
      </c>
      <c r="D1329" s="458">
        <v>2025</v>
      </c>
    </row>
    <row r="1330" spans="1:4" x14ac:dyDescent="0.35">
      <c r="A1330" s="457" t="s">
        <v>72</v>
      </c>
      <c r="B1330" s="458" t="s">
        <v>1684</v>
      </c>
      <c r="C1330" s="459">
        <v>4</v>
      </c>
      <c r="D1330" s="458">
        <v>2024</v>
      </c>
    </row>
    <row r="1331" spans="1:4" x14ac:dyDescent="0.35">
      <c r="A1331" s="457" t="s">
        <v>72</v>
      </c>
      <c r="B1331" s="458" t="s">
        <v>1684</v>
      </c>
      <c r="C1331" s="459">
        <v>1</v>
      </c>
      <c r="D1331" s="458">
        <v>2024</v>
      </c>
    </row>
    <row r="1332" spans="1:4" x14ac:dyDescent="0.35">
      <c r="A1332" s="457" t="s">
        <v>72</v>
      </c>
      <c r="B1332" s="458" t="s">
        <v>1684</v>
      </c>
      <c r="C1332" s="459">
        <v>30</v>
      </c>
      <c r="D1332" s="458">
        <v>2024</v>
      </c>
    </row>
    <row r="1333" spans="1:4" x14ac:dyDescent="0.35">
      <c r="A1333" s="457" t="s">
        <v>72</v>
      </c>
      <c r="B1333" s="458" t="s">
        <v>1684</v>
      </c>
      <c r="C1333" s="459">
        <v>20</v>
      </c>
      <c r="D1333" s="458">
        <v>2025</v>
      </c>
    </row>
    <row r="1334" spans="1:4" x14ac:dyDescent="0.35">
      <c r="A1334" s="457" t="s">
        <v>72</v>
      </c>
      <c r="B1334" s="458" t="s">
        <v>1684</v>
      </c>
      <c r="C1334" s="459">
        <v>10</v>
      </c>
      <c r="D1334" s="458">
        <v>2024</v>
      </c>
    </row>
    <row r="1335" spans="1:4" x14ac:dyDescent="0.35">
      <c r="A1335" s="457" t="s">
        <v>72</v>
      </c>
      <c r="B1335" s="458" t="s">
        <v>1684</v>
      </c>
      <c r="C1335" s="459">
        <v>8</v>
      </c>
      <c r="D1335" s="458">
        <v>2024</v>
      </c>
    </row>
    <row r="1336" spans="1:4" x14ac:dyDescent="0.35">
      <c r="A1336" s="457" t="s">
        <v>72</v>
      </c>
      <c r="B1336" s="458" t="s">
        <v>1684</v>
      </c>
      <c r="C1336" s="459">
        <v>23</v>
      </c>
      <c r="D1336" s="458">
        <v>2025</v>
      </c>
    </row>
    <row r="1337" spans="1:4" x14ac:dyDescent="0.35">
      <c r="A1337" s="457" t="s">
        <v>72</v>
      </c>
      <c r="B1337" s="458" t="s">
        <v>1684</v>
      </c>
      <c r="C1337" s="459">
        <v>10</v>
      </c>
      <c r="D1337" s="458">
        <v>2024</v>
      </c>
    </row>
    <row r="1338" spans="1:4" x14ac:dyDescent="0.35">
      <c r="A1338" s="457" t="s">
        <v>72</v>
      </c>
      <c r="B1338" s="458" t="s">
        <v>1684</v>
      </c>
      <c r="C1338" s="459">
        <v>4</v>
      </c>
      <c r="D1338" s="458">
        <v>2025</v>
      </c>
    </row>
    <row r="1339" spans="1:4" x14ac:dyDescent="0.35">
      <c r="A1339" s="457" t="s">
        <v>72</v>
      </c>
      <c r="B1339" s="458" t="s">
        <v>1684</v>
      </c>
      <c r="C1339" s="459">
        <v>4</v>
      </c>
      <c r="D1339" s="458">
        <v>2024</v>
      </c>
    </row>
    <row r="1340" spans="1:4" x14ac:dyDescent="0.35">
      <c r="A1340" s="457" t="s">
        <v>72</v>
      </c>
      <c r="B1340" s="458" t="s">
        <v>1684</v>
      </c>
      <c r="C1340" s="459">
        <v>10</v>
      </c>
      <c r="D1340" s="458">
        <v>2024</v>
      </c>
    </row>
    <row r="1341" spans="1:4" x14ac:dyDescent="0.35">
      <c r="A1341" s="457" t="s">
        <v>72</v>
      </c>
      <c r="B1341" s="458" t="s">
        <v>1684</v>
      </c>
      <c r="C1341" s="459">
        <v>20</v>
      </c>
      <c r="D1341" s="458">
        <v>2024</v>
      </c>
    </row>
    <row r="1342" spans="1:4" x14ac:dyDescent="0.35">
      <c r="A1342" s="457" t="s">
        <v>72</v>
      </c>
      <c r="B1342" s="458" t="s">
        <v>1684</v>
      </c>
      <c r="C1342" s="459">
        <v>9</v>
      </c>
      <c r="D1342" s="458">
        <v>2025</v>
      </c>
    </row>
    <row r="1343" spans="1:4" x14ac:dyDescent="0.35">
      <c r="A1343" s="457" t="s">
        <v>72</v>
      </c>
      <c r="B1343" s="458" t="s">
        <v>1684</v>
      </c>
      <c r="C1343" s="459">
        <v>4</v>
      </c>
      <c r="D1343" s="458">
        <v>2024</v>
      </c>
    </row>
    <row r="1344" spans="1:4" x14ac:dyDescent="0.35">
      <c r="A1344" s="457" t="s">
        <v>72</v>
      </c>
      <c r="B1344" s="458" t="s">
        <v>1684</v>
      </c>
      <c r="C1344" s="459">
        <v>34</v>
      </c>
      <c r="D1344" s="458">
        <v>2024</v>
      </c>
    </row>
    <row r="1345" spans="1:4" x14ac:dyDescent="0.35">
      <c r="A1345" s="457" t="s">
        <v>72</v>
      </c>
      <c r="B1345" s="458" t="s">
        <v>1684</v>
      </c>
      <c r="C1345" s="459">
        <v>10</v>
      </c>
      <c r="D1345" s="458">
        <v>2025</v>
      </c>
    </row>
    <row r="1346" spans="1:4" x14ac:dyDescent="0.35">
      <c r="A1346" s="457" t="s">
        <v>72</v>
      </c>
      <c r="B1346" s="458" t="s">
        <v>1684</v>
      </c>
      <c r="C1346" s="459">
        <v>25</v>
      </c>
      <c r="D1346" s="458">
        <v>2025</v>
      </c>
    </row>
    <row r="1347" spans="1:4" x14ac:dyDescent="0.35">
      <c r="A1347" s="457" t="s">
        <v>72</v>
      </c>
      <c r="B1347" s="458" t="s">
        <v>1684</v>
      </c>
      <c r="C1347" s="459">
        <v>2</v>
      </c>
      <c r="D1347" s="458">
        <v>2024</v>
      </c>
    </row>
    <row r="1348" spans="1:4" x14ac:dyDescent="0.35">
      <c r="A1348" s="457" t="s">
        <v>72</v>
      </c>
      <c r="B1348" s="458" t="s">
        <v>1684</v>
      </c>
      <c r="C1348" s="459">
        <v>10</v>
      </c>
      <c r="D1348" s="458">
        <v>2025</v>
      </c>
    </row>
    <row r="1349" spans="1:4" x14ac:dyDescent="0.35">
      <c r="A1349" s="457" t="s">
        <v>72</v>
      </c>
      <c r="B1349" s="458" t="s">
        <v>1684</v>
      </c>
      <c r="C1349" s="459">
        <v>40</v>
      </c>
      <c r="D1349" s="458">
        <v>2024</v>
      </c>
    </row>
    <row r="1350" spans="1:4" x14ac:dyDescent="0.35">
      <c r="A1350" s="457" t="s">
        <v>72</v>
      </c>
      <c r="B1350" s="458" t="s">
        <v>1684</v>
      </c>
      <c r="C1350" s="459">
        <v>6</v>
      </c>
      <c r="D1350" s="458">
        <v>2024</v>
      </c>
    </row>
    <row r="1351" spans="1:4" x14ac:dyDescent="0.35">
      <c r="A1351" s="457" t="s">
        <v>72</v>
      </c>
      <c r="B1351" s="458" t="s">
        <v>1684</v>
      </c>
      <c r="C1351" s="459">
        <v>6</v>
      </c>
      <c r="D1351" s="458">
        <v>2024</v>
      </c>
    </row>
    <row r="1352" spans="1:4" x14ac:dyDescent="0.35">
      <c r="A1352" s="457" t="s">
        <v>72</v>
      </c>
      <c r="B1352" s="458" t="s">
        <v>1684</v>
      </c>
      <c r="C1352" s="459">
        <v>36</v>
      </c>
      <c r="D1352" s="458">
        <v>2024</v>
      </c>
    </row>
    <row r="1353" spans="1:4" x14ac:dyDescent="0.35">
      <c r="A1353" s="457" t="s">
        <v>72</v>
      </c>
      <c r="B1353" s="458" t="s">
        <v>1684</v>
      </c>
      <c r="C1353" s="459">
        <v>8</v>
      </c>
      <c r="D1353" s="458">
        <v>2025</v>
      </c>
    </row>
    <row r="1354" spans="1:4" x14ac:dyDescent="0.35">
      <c r="A1354" s="457" t="s">
        <v>72</v>
      </c>
      <c r="B1354" s="458" t="s">
        <v>1684</v>
      </c>
      <c r="C1354" s="459">
        <v>2</v>
      </c>
      <c r="D1354" s="458">
        <v>2024</v>
      </c>
    </row>
    <row r="1355" spans="1:4" x14ac:dyDescent="0.35">
      <c r="A1355" s="457" t="s">
        <v>72</v>
      </c>
      <c r="B1355" s="458" t="s">
        <v>1684</v>
      </c>
      <c r="C1355" s="459">
        <v>32</v>
      </c>
      <c r="D1355" s="458">
        <v>2024</v>
      </c>
    </row>
    <row r="1356" spans="1:4" x14ac:dyDescent="0.35">
      <c r="A1356" s="457" t="s">
        <v>72</v>
      </c>
      <c r="B1356" s="458" t="s">
        <v>1684</v>
      </c>
      <c r="C1356" s="459">
        <v>44</v>
      </c>
      <c r="D1356" s="458">
        <v>2025</v>
      </c>
    </row>
    <row r="1357" spans="1:4" x14ac:dyDescent="0.35">
      <c r="A1357" s="457" t="s">
        <v>72</v>
      </c>
      <c r="B1357" s="458" t="s">
        <v>1684</v>
      </c>
      <c r="C1357" s="459">
        <v>44</v>
      </c>
      <c r="D1357" s="458">
        <v>2024</v>
      </c>
    </row>
    <row r="1358" spans="1:4" x14ac:dyDescent="0.35">
      <c r="A1358" s="457" t="s">
        <v>72</v>
      </c>
      <c r="B1358" s="458" t="s">
        <v>1684</v>
      </c>
      <c r="C1358" s="459">
        <v>6</v>
      </c>
      <c r="D1358" s="458">
        <v>2024</v>
      </c>
    </row>
    <row r="1359" spans="1:4" x14ac:dyDescent="0.35">
      <c r="A1359" s="457" t="s">
        <v>72</v>
      </c>
      <c r="B1359" s="458" t="s">
        <v>1684</v>
      </c>
      <c r="C1359" s="459">
        <v>6</v>
      </c>
      <c r="D1359" s="458">
        <v>2025</v>
      </c>
    </row>
    <row r="1360" spans="1:4" x14ac:dyDescent="0.35">
      <c r="A1360" s="457" t="s">
        <v>72</v>
      </c>
      <c r="B1360" s="458" t="s">
        <v>1684</v>
      </c>
      <c r="C1360" s="459">
        <v>2</v>
      </c>
      <c r="D1360" s="458">
        <v>2024</v>
      </c>
    </row>
    <row r="1361" spans="1:4" x14ac:dyDescent="0.35">
      <c r="A1361" s="457" t="s">
        <v>72</v>
      </c>
      <c r="B1361" s="458" t="s">
        <v>1684</v>
      </c>
      <c r="C1361" s="459">
        <v>2</v>
      </c>
      <c r="D1361" s="458">
        <v>2025</v>
      </c>
    </row>
    <row r="1362" spans="1:4" x14ac:dyDescent="0.35">
      <c r="A1362" s="457" t="s">
        <v>72</v>
      </c>
      <c r="B1362" s="458" t="s">
        <v>1684</v>
      </c>
      <c r="C1362" s="459">
        <v>2</v>
      </c>
      <c r="D1362" s="458">
        <v>2024</v>
      </c>
    </row>
    <row r="1363" spans="1:4" x14ac:dyDescent="0.35">
      <c r="A1363" s="457" t="s">
        <v>72</v>
      </c>
      <c r="B1363" s="458" t="s">
        <v>1684</v>
      </c>
      <c r="C1363" s="459">
        <v>4</v>
      </c>
      <c r="D1363" s="458">
        <v>2024</v>
      </c>
    </row>
    <row r="1364" spans="1:4" x14ac:dyDescent="0.35">
      <c r="A1364" s="457" t="s">
        <v>72</v>
      </c>
      <c r="B1364" s="458" t="s">
        <v>1684</v>
      </c>
      <c r="C1364" s="459">
        <v>4</v>
      </c>
      <c r="D1364" s="458">
        <v>2025</v>
      </c>
    </row>
    <row r="1365" spans="1:4" x14ac:dyDescent="0.35">
      <c r="A1365" s="457" t="s">
        <v>72</v>
      </c>
      <c r="B1365" s="458" t="s">
        <v>1684</v>
      </c>
      <c r="C1365" s="459">
        <v>36</v>
      </c>
      <c r="D1365" s="458">
        <v>2024</v>
      </c>
    </row>
    <row r="1366" spans="1:4" x14ac:dyDescent="0.35">
      <c r="A1366" s="457" t="s">
        <v>72</v>
      </c>
      <c r="B1366" s="458" t="s">
        <v>1684</v>
      </c>
      <c r="C1366" s="459">
        <v>18</v>
      </c>
      <c r="D1366" s="458">
        <v>2025</v>
      </c>
    </row>
    <row r="1367" spans="1:4" x14ac:dyDescent="0.35">
      <c r="A1367" s="457" t="s">
        <v>72</v>
      </c>
      <c r="B1367" s="458" t="s">
        <v>1684</v>
      </c>
      <c r="C1367" s="459">
        <v>1</v>
      </c>
      <c r="D1367" s="458">
        <v>2025</v>
      </c>
    </row>
    <row r="1368" spans="1:4" x14ac:dyDescent="0.35">
      <c r="A1368" s="457" t="s">
        <v>72</v>
      </c>
      <c r="B1368" s="458" t="s">
        <v>1684</v>
      </c>
      <c r="C1368" s="459">
        <v>2</v>
      </c>
      <c r="D1368" s="458">
        <v>2024</v>
      </c>
    </row>
    <row r="1369" spans="1:4" x14ac:dyDescent="0.35">
      <c r="A1369" s="457" t="s">
        <v>72</v>
      </c>
      <c r="B1369" s="458" t="s">
        <v>1684</v>
      </c>
      <c r="C1369" s="459">
        <v>12</v>
      </c>
      <c r="D1369" s="458">
        <v>2025</v>
      </c>
    </row>
    <row r="1370" spans="1:4" x14ac:dyDescent="0.35">
      <c r="A1370" s="457" t="s">
        <v>72</v>
      </c>
      <c r="B1370" s="458" t="s">
        <v>1684</v>
      </c>
      <c r="C1370" s="459">
        <v>4</v>
      </c>
      <c r="D1370" s="458">
        <v>2025</v>
      </c>
    </row>
    <row r="1371" spans="1:4" x14ac:dyDescent="0.35">
      <c r="A1371" s="457" t="s">
        <v>72</v>
      </c>
      <c r="B1371" s="458" t="s">
        <v>1684</v>
      </c>
      <c r="C1371" s="459">
        <v>5</v>
      </c>
      <c r="D1371" s="458">
        <v>2024</v>
      </c>
    </row>
    <row r="1372" spans="1:4" x14ac:dyDescent="0.35">
      <c r="A1372" s="457" t="s">
        <v>72</v>
      </c>
      <c r="B1372" s="458" t="s">
        <v>1684</v>
      </c>
      <c r="C1372" s="459">
        <v>5</v>
      </c>
      <c r="D1372" s="458">
        <v>2025</v>
      </c>
    </row>
    <row r="1373" spans="1:4" x14ac:dyDescent="0.35">
      <c r="A1373" s="457" t="s">
        <v>72</v>
      </c>
      <c r="B1373" s="458" t="s">
        <v>1684</v>
      </c>
      <c r="C1373" s="459">
        <v>6</v>
      </c>
      <c r="D1373" s="458">
        <v>2024</v>
      </c>
    </row>
    <row r="1374" spans="1:4" x14ac:dyDescent="0.35">
      <c r="A1374" s="457" t="s">
        <v>72</v>
      </c>
      <c r="B1374" s="458" t="s">
        <v>1684</v>
      </c>
      <c r="C1374" s="459">
        <v>1</v>
      </c>
      <c r="D1374" s="458">
        <v>2024</v>
      </c>
    </row>
    <row r="1375" spans="1:4" x14ac:dyDescent="0.35">
      <c r="A1375" s="457" t="s">
        <v>72</v>
      </c>
      <c r="B1375" s="458" t="s">
        <v>1684</v>
      </c>
      <c r="C1375" s="459">
        <v>1</v>
      </c>
      <c r="D1375" s="458">
        <v>2025</v>
      </c>
    </row>
    <row r="1376" spans="1:4" x14ac:dyDescent="0.35">
      <c r="A1376" s="457" t="s">
        <v>72</v>
      </c>
      <c r="B1376" s="458" t="s">
        <v>1684</v>
      </c>
      <c r="C1376" s="459">
        <v>1</v>
      </c>
      <c r="D1376" s="458">
        <v>2025</v>
      </c>
    </row>
    <row r="1377" spans="1:4" x14ac:dyDescent="0.35">
      <c r="A1377" s="457" t="s">
        <v>72</v>
      </c>
      <c r="B1377" s="458" t="s">
        <v>1684</v>
      </c>
      <c r="C1377" s="459">
        <v>15</v>
      </c>
      <c r="D1377" s="458">
        <v>2025</v>
      </c>
    </row>
    <row r="1378" spans="1:4" x14ac:dyDescent="0.35">
      <c r="A1378" s="457" t="s">
        <v>72</v>
      </c>
      <c r="B1378" s="458" t="s">
        <v>1684</v>
      </c>
      <c r="C1378" s="459">
        <v>1</v>
      </c>
      <c r="D1378" s="458">
        <v>2025</v>
      </c>
    </row>
    <row r="1379" spans="1:4" x14ac:dyDescent="0.35">
      <c r="A1379" s="457" t="s">
        <v>72</v>
      </c>
      <c r="B1379" s="458" t="s">
        <v>1684</v>
      </c>
      <c r="C1379" s="459">
        <v>30</v>
      </c>
      <c r="D1379" s="458">
        <v>2024</v>
      </c>
    </row>
    <row r="1380" spans="1:4" x14ac:dyDescent="0.35">
      <c r="A1380" s="457" t="s">
        <v>72</v>
      </c>
      <c r="B1380" s="458" t="s">
        <v>1684</v>
      </c>
      <c r="C1380" s="459">
        <v>5</v>
      </c>
      <c r="D1380" s="458">
        <v>2024</v>
      </c>
    </row>
    <row r="1381" spans="1:4" x14ac:dyDescent="0.35">
      <c r="A1381" s="457" t="s">
        <v>72</v>
      </c>
      <c r="B1381" s="458" t="s">
        <v>1684</v>
      </c>
      <c r="C1381" s="459">
        <v>4</v>
      </c>
      <c r="D1381" s="458">
        <v>2025</v>
      </c>
    </row>
    <row r="1382" spans="1:4" x14ac:dyDescent="0.35">
      <c r="A1382" s="457" t="s">
        <v>72</v>
      </c>
      <c r="B1382" s="458" t="s">
        <v>1684</v>
      </c>
      <c r="C1382" s="459">
        <v>4</v>
      </c>
      <c r="D1382" s="458">
        <v>2024</v>
      </c>
    </row>
    <row r="1383" spans="1:4" x14ac:dyDescent="0.35">
      <c r="A1383" s="457" t="s">
        <v>72</v>
      </c>
      <c r="B1383" s="458" t="s">
        <v>1684</v>
      </c>
      <c r="C1383" s="459">
        <v>8</v>
      </c>
      <c r="D1383" s="458">
        <v>2024</v>
      </c>
    </row>
    <row r="1384" spans="1:4" x14ac:dyDescent="0.35">
      <c r="A1384" s="457" t="s">
        <v>72</v>
      </c>
      <c r="B1384" s="458" t="s">
        <v>1684</v>
      </c>
      <c r="C1384" s="459">
        <v>4</v>
      </c>
      <c r="D1384" s="458">
        <v>2025</v>
      </c>
    </row>
    <row r="1385" spans="1:4" x14ac:dyDescent="0.35">
      <c r="A1385" s="457" t="s">
        <v>72</v>
      </c>
      <c r="B1385" s="458" t="s">
        <v>1684</v>
      </c>
      <c r="C1385" s="459">
        <v>1</v>
      </c>
      <c r="D1385" s="458">
        <v>2025</v>
      </c>
    </row>
    <row r="1386" spans="1:4" x14ac:dyDescent="0.35">
      <c r="A1386" s="457" t="s">
        <v>72</v>
      </c>
      <c r="B1386" s="458" t="s">
        <v>1684</v>
      </c>
      <c r="C1386" s="459">
        <v>1</v>
      </c>
      <c r="D1386" s="458">
        <v>2025</v>
      </c>
    </row>
    <row r="1387" spans="1:4" x14ac:dyDescent="0.35">
      <c r="A1387" s="457" t="s">
        <v>72</v>
      </c>
      <c r="B1387" s="458" t="s">
        <v>1684</v>
      </c>
      <c r="C1387" s="459">
        <v>1</v>
      </c>
      <c r="D1387" s="458">
        <v>2024</v>
      </c>
    </row>
    <row r="1388" spans="1:4" x14ac:dyDescent="0.35">
      <c r="A1388" s="457" t="s">
        <v>72</v>
      </c>
      <c r="B1388" s="458" t="s">
        <v>1684</v>
      </c>
      <c r="C1388" s="459">
        <v>2</v>
      </c>
      <c r="D1388" s="458">
        <v>2025</v>
      </c>
    </row>
    <row r="1389" spans="1:4" x14ac:dyDescent="0.35">
      <c r="A1389" s="457" t="s">
        <v>72</v>
      </c>
      <c r="B1389" s="458" t="s">
        <v>1684</v>
      </c>
      <c r="C1389" s="459">
        <v>3</v>
      </c>
      <c r="D1389" s="458">
        <v>2025</v>
      </c>
    </row>
    <row r="1390" spans="1:4" x14ac:dyDescent="0.35">
      <c r="A1390" s="457" t="s">
        <v>72</v>
      </c>
      <c r="B1390" s="458" t="s">
        <v>1684</v>
      </c>
      <c r="C1390" s="459">
        <v>4</v>
      </c>
      <c r="D1390" s="458">
        <v>2024</v>
      </c>
    </row>
    <row r="1391" spans="1:4" x14ac:dyDescent="0.35">
      <c r="A1391" s="457" t="s">
        <v>72</v>
      </c>
      <c r="B1391" s="458" t="s">
        <v>1684</v>
      </c>
      <c r="C1391" s="459">
        <v>6</v>
      </c>
      <c r="D1391" s="458">
        <v>2024</v>
      </c>
    </row>
    <row r="1392" spans="1:4" x14ac:dyDescent="0.35">
      <c r="A1392" s="457" t="s">
        <v>72</v>
      </c>
      <c r="B1392" s="458" t="s">
        <v>1684</v>
      </c>
      <c r="C1392" s="459">
        <v>11</v>
      </c>
      <c r="D1392" s="458">
        <v>2024</v>
      </c>
    </row>
    <row r="1393" spans="1:4" x14ac:dyDescent="0.35">
      <c r="A1393" s="457" t="s">
        <v>72</v>
      </c>
      <c r="B1393" s="458" t="s">
        <v>1684</v>
      </c>
      <c r="C1393" s="459">
        <v>1</v>
      </c>
      <c r="D1393" s="458">
        <v>2025</v>
      </c>
    </row>
    <row r="1394" spans="1:4" x14ac:dyDescent="0.35">
      <c r="A1394" s="457" t="s">
        <v>72</v>
      </c>
      <c r="B1394" s="458" t="s">
        <v>1684</v>
      </c>
      <c r="C1394" s="459">
        <v>8</v>
      </c>
      <c r="D1394" s="458">
        <v>2025</v>
      </c>
    </row>
    <row r="1395" spans="1:4" x14ac:dyDescent="0.35">
      <c r="A1395" s="457" t="s">
        <v>72</v>
      </c>
      <c r="B1395" s="458" t="s">
        <v>1684</v>
      </c>
      <c r="C1395" s="459">
        <v>1</v>
      </c>
      <c r="D1395" s="458">
        <v>2024</v>
      </c>
    </row>
    <row r="1396" spans="1:4" x14ac:dyDescent="0.35">
      <c r="A1396" s="457" t="s">
        <v>72</v>
      </c>
      <c r="B1396" s="458" t="s">
        <v>1684</v>
      </c>
      <c r="C1396" s="459">
        <v>4</v>
      </c>
      <c r="D1396" s="458">
        <v>2024</v>
      </c>
    </row>
    <row r="1397" spans="1:4" x14ac:dyDescent="0.35">
      <c r="A1397" s="457" t="s">
        <v>72</v>
      </c>
      <c r="B1397" s="458" t="s">
        <v>1684</v>
      </c>
      <c r="C1397" s="459">
        <v>2</v>
      </c>
      <c r="D1397" s="458">
        <v>2025</v>
      </c>
    </row>
    <row r="1398" spans="1:4" x14ac:dyDescent="0.35">
      <c r="A1398" s="457" t="s">
        <v>72</v>
      </c>
      <c r="B1398" s="458" t="s">
        <v>1684</v>
      </c>
      <c r="C1398" s="459">
        <v>-30</v>
      </c>
      <c r="D1398" s="458">
        <v>2025</v>
      </c>
    </row>
    <row r="1399" spans="1:4" x14ac:dyDescent="0.35">
      <c r="A1399" s="457" t="s">
        <v>72</v>
      </c>
      <c r="B1399" s="458" t="s">
        <v>1684</v>
      </c>
      <c r="C1399" s="459">
        <v>-15</v>
      </c>
      <c r="D1399" s="458">
        <v>2025</v>
      </c>
    </row>
    <row r="1400" spans="1:4" x14ac:dyDescent="0.35">
      <c r="A1400" s="457" t="s">
        <v>72</v>
      </c>
      <c r="B1400" s="458" t="s">
        <v>1684</v>
      </c>
      <c r="C1400" s="459">
        <v>9</v>
      </c>
      <c r="D1400" s="458">
        <v>2024</v>
      </c>
    </row>
    <row r="1401" spans="1:4" x14ac:dyDescent="0.35">
      <c r="A1401" s="457" t="s">
        <v>72</v>
      </c>
      <c r="B1401" s="458" t="s">
        <v>1684</v>
      </c>
      <c r="C1401" s="459">
        <v>5</v>
      </c>
      <c r="D1401" s="458">
        <v>2025</v>
      </c>
    </row>
    <row r="1402" spans="1:4" x14ac:dyDescent="0.35">
      <c r="A1402" s="457" t="s">
        <v>72</v>
      </c>
      <c r="B1402" s="458" t="s">
        <v>1684</v>
      </c>
      <c r="C1402" s="459">
        <v>6</v>
      </c>
      <c r="D1402" s="458">
        <v>2025</v>
      </c>
    </row>
    <row r="1403" spans="1:4" x14ac:dyDescent="0.35">
      <c r="A1403" s="457" t="s">
        <v>72</v>
      </c>
      <c r="B1403" s="458" t="s">
        <v>1684</v>
      </c>
      <c r="C1403" s="459">
        <v>3</v>
      </c>
      <c r="D1403" s="458">
        <v>2024</v>
      </c>
    </row>
    <row r="1404" spans="1:4" x14ac:dyDescent="0.35">
      <c r="A1404" s="457" t="s">
        <v>72</v>
      </c>
      <c r="B1404" s="458" t="s">
        <v>1684</v>
      </c>
      <c r="C1404" s="459">
        <v>1</v>
      </c>
      <c r="D1404" s="458">
        <v>2025</v>
      </c>
    </row>
    <row r="1405" spans="1:4" x14ac:dyDescent="0.35">
      <c r="A1405" s="457" t="s">
        <v>72</v>
      </c>
      <c r="B1405" s="458" t="s">
        <v>1684</v>
      </c>
      <c r="C1405" s="459">
        <v>1</v>
      </c>
      <c r="D1405" s="458">
        <v>2024</v>
      </c>
    </row>
    <row r="1406" spans="1:4" x14ac:dyDescent="0.35">
      <c r="A1406" s="457" t="s">
        <v>72</v>
      </c>
      <c r="B1406" s="458" t="s">
        <v>1684</v>
      </c>
      <c r="C1406" s="459">
        <v>4</v>
      </c>
      <c r="D1406" s="458">
        <v>2025</v>
      </c>
    </row>
    <row r="1407" spans="1:4" x14ac:dyDescent="0.35">
      <c r="A1407" s="457" t="s">
        <v>72</v>
      </c>
      <c r="B1407" s="458" t="s">
        <v>1684</v>
      </c>
      <c r="C1407" s="459">
        <v>2</v>
      </c>
      <c r="D1407" s="458">
        <v>2024</v>
      </c>
    </row>
    <row r="1408" spans="1:4" x14ac:dyDescent="0.35">
      <c r="A1408" s="457" t="s">
        <v>72</v>
      </c>
      <c r="B1408" s="458" t="s">
        <v>1684</v>
      </c>
      <c r="C1408" s="459">
        <v>1</v>
      </c>
      <c r="D1408" s="458">
        <v>2024</v>
      </c>
    </row>
    <row r="1409" spans="1:4" x14ac:dyDescent="0.35">
      <c r="A1409" s="457" t="s">
        <v>72</v>
      </c>
      <c r="B1409" s="458" t="s">
        <v>1684</v>
      </c>
      <c r="C1409" s="459">
        <v>6</v>
      </c>
      <c r="D1409" s="458">
        <v>2024</v>
      </c>
    </row>
    <row r="1410" spans="1:4" x14ac:dyDescent="0.35">
      <c r="A1410" s="457" t="s">
        <v>72</v>
      </c>
      <c r="B1410" s="458" t="s">
        <v>1684</v>
      </c>
      <c r="C1410" s="459">
        <v>8</v>
      </c>
      <c r="D1410" s="458">
        <v>2024</v>
      </c>
    </row>
    <row r="1411" spans="1:4" x14ac:dyDescent="0.35">
      <c r="A1411" s="457" t="s">
        <v>72</v>
      </c>
      <c r="B1411" s="458" t="s">
        <v>1684</v>
      </c>
      <c r="C1411" s="459">
        <v>3</v>
      </c>
      <c r="D1411" s="458">
        <v>2025</v>
      </c>
    </row>
    <row r="1412" spans="1:4" x14ac:dyDescent="0.35">
      <c r="A1412" s="457" t="s">
        <v>72</v>
      </c>
      <c r="B1412" s="458" t="s">
        <v>1684</v>
      </c>
      <c r="C1412" s="459">
        <v>3</v>
      </c>
      <c r="D1412" s="458">
        <v>2024</v>
      </c>
    </row>
    <row r="1413" spans="1:4" x14ac:dyDescent="0.35">
      <c r="A1413" s="457" t="s">
        <v>72</v>
      </c>
      <c r="B1413" s="458" t="s">
        <v>1684</v>
      </c>
      <c r="C1413" s="459">
        <v>4</v>
      </c>
      <c r="D1413" s="458">
        <v>2025</v>
      </c>
    </row>
    <row r="1414" spans="1:4" x14ac:dyDescent="0.35">
      <c r="A1414" s="457" t="s">
        <v>72</v>
      </c>
      <c r="B1414" s="458" t="s">
        <v>1684</v>
      </c>
      <c r="C1414" s="459">
        <v>5</v>
      </c>
      <c r="D1414" s="458">
        <v>2025</v>
      </c>
    </row>
    <row r="1415" spans="1:4" x14ac:dyDescent="0.35">
      <c r="A1415" s="457" t="s">
        <v>72</v>
      </c>
      <c r="B1415" s="458" t="s">
        <v>1684</v>
      </c>
      <c r="C1415" s="459">
        <v>5</v>
      </c>
      <c r="D1415" s="458">
        <v>2024</v>
      </c>
    </row>
    <row r="1416" spans="1:4" x14ac:dyDescent="0.35">
      <c r="A1416" s="457" t="s">
        <v>72</v>
      </c>
      <c r="B1416" s="458" t="s">
        <v>1684</v>
      </c>
      <c r="C1416" s="459">
        <v>7</v>
      </c>
      <c r="D1416" s="458">
        <v>2025</v>
      </c>
    </row>
    <row r="1417" spans="1:4" x14ac:dyDescent="0.35">
      <c r="A1417" s="457" t="s">
        <v>72</v>
      </c>
      <c r="B1417" s="458" t="s">
        <v>1684</v>
      </c>
      <c r="C1417" s="459">
        <v>3</v>
      </c>
      <c r="D1417" s="458">
        <v>2024</v>
      </c>
    </row>
    <row r="1418" spans="1:4" x14ac:dyDescent="0.35">
      <c r="A1418" s="457" t="s">
        <v>72</v>
      </c>
      <c r="B1418" s="458" t="s">
        <v>1684</v>
      </c>
      <c r="C1418" s="459">
        <v>4</v>
      </c>
      <c r="D1418" s="458">
        <v>2024</v>
      </c>
    </row>
    <row r="1419" spans="1:4" x14ac:dyDescent="0.35">
      <c r="A1419" s="457" t="s">
        <v>72</v>
      </c>
      <c r="B1419" s="458" t="s">
        <v>1684</v>
      </c>
      <c r="C1419" s="459">
        <v>2</v>
      </c>
      <c r="D1419" s="458">
        <v>2024</v>
      </c>
    </row>
    <row r="1420" spans="1:4" x14ac:dyDescent="0.35">
      <c r="A1420" s="457" t="s">
        <v>72</v>
      </c>
      <c r="B1420" s="458" t="s">
        <v>1684</v>
      </c>
      <c r="C1420" s="459">
        <v>7</v>
      </c>
      <c r="D1420" s="458">
        <v>2025</v>
      </c>
    </row>
    <row r="1421" spans="1:4" x14ac:dyDescent="0.35">
      <c r="A1421" s="457" t="s">
        <v>72</v>
      </c>
      <c r="B1421" s="458" t="s">
        <v>1684</v>
      </c>
      <c r="C1421" s="459">
        <v>7</v>
      </c>
      <c r="D1421" s="458">
        <v>2024</v>
      </c>
    </row>
    <row r="1422" spans="1:4" x14ac:dyDescent="0.35">
      <c r="A1422" s="457" t="s">
        <v>72</v>
      </c>
      <c r="B1422" s="458" t="s">
        <v>1684</v>
      </c>
      <c r="C1422" s="459">
        <v>2</v>
      </c>
      <c r="D1422" s="458">
        <v>2025</v>
      </c>
    </row>
    <row r="1423" spans="1:4" x14ac:dyDescent="0.35">
      <c r="A1423" s="457" t="s">
        <v>72</v>
      </c>
      <c r="B1423" s="458" t="s">
        <v>1684</v>
      </c>
      <c r="C1423" s="459">
        <v>11</v>
      </c>
      <c r="D1423" s="458">
        <v>2025</v>
      </c>
    </row>
    <row r="1424" spans="1:4" x14ac:dyDescent="0.35">
      <c r="A1424" s="457" t="s">
        <v>72</v>
      </c>
      <c r="B1424" s="458" t="s">
        <v>1684</v>
      </c>
      <c r="C1424" s="459">
        <v>15</v>
      </c>
      <c r="D1424" s="458">
        <v>2024</v>
      </c>
    </row>
    <row r="1425" spans="1:4" x14ac:dyDescent="0.35">
      <c r="A1425" s="457" t="s">
        <v>72</v>
      </c>
      <c r="B1425" s="458" t="s">
        <v>1684</v>
      </c>
      <c r="C1425" s="459">
        <v>24</v>
      </c>
      <c r="D1425" s="458">
        <v>2024</v>
      </c>
    </row>
    <row r="1426" spans="1:4" x14ac:dyDescent="0.35">
      <c r="A1426" s="457" t="s">
        <v>72</v>
      </c>
      <c r="B1426" s="458" t="s">
        <v>1684</v>
      </c>
      <c r="C1426" s="459">
        <v>8</v>
      </c>
      <c r="D1426" s="458">
        <v>2024</v>
      </c>
    </row>
    <row r="1427" spans="1:4" x14ac:dyDescent="0.35">
      <c r="A1427" s="457" t="s">
        <v>72</v>
      </c>
      <c r="B1427" s="458" t="s">
        <v>1684</v>
      </c>
      <c r="C1427" s="459">
        <v>10</v>
      </c>
      <c r="D1427" s="458">
        <v>2025</v>
      </c>
    </row>
    <row r="1428" spans="1:4" x14ac:dyDescent="0.35">
      <c r="A1428" s="457" t="s">
        <v>72</v>
      </c>
      <c r="B1428" s="458" t="s">
        <v>1684</v>
      </c>
      <c r="C1428" s="459">
        <v>20</v>
      </c>
      <c r="D1428" s="458">
        <v>2024</v>
      </c>
    </row>
    <row r="1429" spans="1:4" x14ac:dyDescent="0.35">
      <c r="A1429" s="457" t="s">
        <v>72</v>
      </c>
      <c r="B1429" s="458" t="s">
        <v>1684</v>
      </c>
      <c r="C1429" s="459">
        <v>10</v>
      </c>
      <c r="D1429" s="458">
        <v>2024</v>
      </c>
    </row>
    <row r="1430" spans="1:4" x14ac:dyDescent="0.35">
      <c r="A1430" s="457" t="s">
        <v>72</v>
      </c>
      <c r="B1430" s="458" t="s">
        <v>1684</v>
      </c>
      <c r="C1430" s="459">
        <v>20</v>
      </c>
      <c r="D1430" s="458">
        <v>2025</v>
      </c>
    </row>
    <row r="1431" spans="1:4" x14ac:dyDescent="0.35">
      <c r="A1431" s="457" t="s">
        <v>72</v>
      </c>
      <c r="B1431" s="458" t="s">
        <v>1684</v>
      </c>
      <c r="C1431" s="459">
        <v>1</v>
      </c>
      <c r="D1431" s="458">
        <v>2024</v>
      </c>
    </row>
    <row r="1432" spans="1:4" x14ac:dyDescent="0.35">
      <c r="A1432" s="457" t="s">
        <v>72</v>
      </c>
      <c r="B1432" s="458" t="s">
        <v>1684</v>
      </c>
      <c r="C1432" s="459">
        <v>1</v>
      </c>
      <c r="D1432" s="458">
        <v>2025</v>
      </c>
    </row>
    <row r="1433" spans="1:4" x14ac:dyDescent="0.35">
      <c r="A1433" s="457" t="s">
        <v>72</v>
      </c>
      <c r="B1433" s="458" t="s">
        <v>1684</v>
      </c>
      <c r="C1433" s="459">
        <v>40</v>
      </c>
      <c r="D1433" s="458">
        <v>2024</v>
      </c>
    </row>
    <row r="1434" spans="1:4" x14ac:dyDescent="0.35">
      <c r="A1434" s="457" t="s">
        <v>72</v>
      </c>
      <c r="B1434" s="458" t="s">
        <v>1684</v>
      </c>
      <c r="C1434" s="459">
        <v>24</v>
      </c>
      <c r="D1434" s="458">
        <v>2025</v>
      </c>
    </row>
    <row r="1435" spans="1:4" x14ac:dyDescent="0.35">
      <c r="A1435" s="457" t="s">
        <v>72</v>
      </c>
      <c r="B1435" s="458" t="s">
        <v>1684</v>
      </c>
      <c r="C1435" s="459">
        <v>5</v>
      </c>
      <c r="D1435" s="458">
        <v>2024</v>
      </c>
    </row>
    <row r="1436" spans="1:4" x14ac:dyDescent="0.35">
      <c r="A1436" s="457" t="s">
        <v>72</v>
      </c>
      <c r="B1436" s="458" t="s">
        <v>1684</v>
      </c>
      <c r="C1436" s="459">
        <v>5</v>
      </c>
      <c r="D1436" s="458">
        <v>2025</v>
      </c>
    </row>
    <row r="1437" spans="1:4" x14ac:dyDescent="0.35">
      <c r="A1437" s="457" t="s">
        <v>72</v>
      </c>
      <c r="B1437" s="458" t="s">
        <v>1684</v>
      </c>
      <c r="C1437" s="459">
        <v>6</v>
      </c>
      <c r="D1437" s="458">
        <v>2025</v>
      </c>
    </row>
    <row r="1438" spans="1:4" x14ac:dyDescent="0.35">
      <c r="A1438" s="457" t="s">
        <v>72</v>
      </c>
      <c r="B1438" s="458" t="s">
        <v>1684</v>
      </c>
      <c r="C1438" s="459">
        <v>12</v>
      </c>
      <c r="D1438" s="458">
        <v>2024</v>
      </c>
    </row>
    <row r="1439" spans="1:4" x14ac:dyDescent="0.35">
      <c r="A1439" s="457" t="s">
        <v>72</v>
      </c>
      <c r="B1439" s="458" t="s">
        <v>1684</v>
      </c>
      <c r="C1439" s="459">
        <v>2</v>
      </c>
      <c r="D1439" s="458">
        <v>2024</v>
      </c>
    </row>
    <row r="1440" spans="1:4" x14ac:dyDescent="0.35">
      <c r="A1440" s="457" t="s">
        <v>72</v>
      </c>
      <c r="B1440" s="458" t="s">
        <v>1684</v>
      </c>
      <c r="C1440" s="459">
        <v>8</v>
      </c>
      <c r="D1440" s="458">
        <v>2025</v>
      </c>
    </row>
    <row r="1441" spans="1:4" x14ac:dyDescent="0.35">
      <c r="A1441" s="457" t="s">
        <v>72</v>
      </c>
      <c r="B1441" s="458" t="s">
        <v>1684</v>
      </c>
      <c r="C1441" s="459">
        <v>40</v>
      </c>
      <c r="D1441" s="458">
        <v>2024</v>
      </c>
    </row>
    <row r="1442" spans="1:4" x14ac:dyDescent="0.35">
      <c r="A1442" s="457" t="s">
        <v>72</v>
      </c>
      <c r="B1442" s="458" t="s">
        <v>1684</v>
      </c>
      <c r="C1442" s="459">
        <v>31</v>
      </c>
      <c r="D1442" s="458">
        <v>2025</v>
      </c>
    </row>
    <row r="1443" spans="1:4" x14ac:dyDescent="0.35">
      <c r="A1443" s="457" t="s">
        <v>72</v>
      </c>
      <c r="B1443" s="458" t="s">
        <v>1684</v>
      </c>
      <c r="C1443" s="459">
        <v>7</v>
      </c>
      <c r="D1443" s="458">
        <v>2024</v>
      </c>
    </row>
    <row r="1444" spans="1:4" x14ac:dyDescent="0.35">
      <c r="A1444" s="457" t="s">
        <v>72</v>
      </c>
      <c r="B1444" s="458" t="s">
        <v>1684</v>
      </c>
      <c r="C1444" s="459">
        <v>8</v>
      </c>
      <c r="D1444" s="458">
        <v>2025</v>
      </c>
    </row>
    <row r="1445" spans="1:4" x14ac:dyDescent="0.35">
      <c r="A1445" s="457" t="s">
        <v>72</v>
      </c>
      <c r="B1445" s="458" t="s">
        <v>1684</v>
      </c>
      <c r="C1445" s="459">
        <v>8</v>
      </c>
      <c r="D1445" s="458">
        <v>2024</v>
      </c>
    </row>
    <row r="1446" spans="1:4" x14ac:dyDescent="0.35">
      <c r="A1446" s="457" t="s">
        <v>72</v>
      </c>
      <c r="B1446" s="458" t="s">
        <v>1684</v>
      </c>
      <c r="C1446" s="459">
        <v>6</v>
      </c>
      <c r="D1446" s="458">
        <v>2024</v>
      </c>
    </row>
    <row r="1447" spans="1:4" x14ac:dyDescent="0.35">
      <c r="A1447" s="457" t="s">
        <v>72</v>
      </c>
      <c r="B1447" s="458" t="s">
        <v>1684</v>
      </c>
      <c r="C1447" s="459">
        <v>3</v>
      </c>
      <c r="D1447" s="458">
        <v>2025</v>
      </c>
    </row>
    <row r="1448" spans="1:4" x14ac:dyDescent="0.35">
      <c r="A1448" s="457" t="s">
        <v>72</v>
      </c>
      <c r="B1448" s="458" t="s">
        <v>1684</v>
      </c>
      <c r="C1448" s="459">
        <v>4</v>
      </c>
      <c r="D1448" s="458">
        <v>2024</v>
      </c>
    </row>
    <row r="1449" spans="1:4" x14ac:dyDescent="0.35">
      <c r="A1449" s="457" t="s">
        <v>72</v>
      </c>
      <c r="B1449" s="458" t="s">
        <v>1684</v>
      </c>
      <c r="C1449" s="459">
        <v>1</v>
      </c>
      <c r="D1449" s="458">
        <v>2025</v>
      </c>
    </row>
    <row r="1450" spans="1:4" x14ac:dyDescent="0.35">
      <c r="A1450" s="457" t="s">
        <v>72</v>
      </c>
      <c r="B1450" s="458" t="s">
        <v>1684</v>
      </c>
      <c r="C1450" s="459">
        <v>3</v>
      </c>
      <c r="D1450" s="458">
        <v>2025</v>
      </c>
    </row>
    <row r="1451" spans="1:4" x14ac:dyDescent="0.35">
      <c r="A1451" s="457" t="s">
        <v>72</v>
      </c>
      <c r="B1451" s="458" t="s">
        <v>1684</v>
      </c>
      <c r="C1451" s="459">
        <v>3</v>
      </c>
      <c r="D1451" s="458">
        <v>2024</v>
      </c>
    </row>
    <row r="1452" spans="1:4" x14ac:dyDescent="0.35">
      <c r="A1452" s="457" t="s">
        <v>72</v>
      </c>
      <c r="B1452" s="458" t="s">
        <v>1684</v>
      </c>
      <c r="C1452" s="459">
        <v>2</v>
      </c>
      <c r="D1452" s="458">
        <v>2025</v>
      </c>
    </row>
    <row r="1453" spans="1:4" x14ac:dyDescent="0.35">
      <c r="A1453" s="457" t="s">
        <v>72</v>
      </c>
      <c r="B1453" s="458" t="s">
        <v>1684</v>
      </c>
      <c r="C1453" s="459">
        <v>8</v>
      </c>
      <c r="D1453" s="458">
        <v>2025</v>
      </c>
    </row>
    <row r="1454" spans="1:4" x14ac:dyDescent="0.35">
      <c r="A1454" s="457" t="s">
        <v>72</v>
      </c>
      <c r="B1454" s="458" t="s">
        <v>1684</v>
      </c>
      <c r="C1454" s="459">
        <v>9</v>
      </c>
      <c r="D1454" s="458">
        <v>2024</v>
      </c>
    </row>
    <row r="1455" spans="1:4" x14ac:dyDescent="0.35">
      <c r="A1455" s="457" t="s">
        <v>72</v>
      </c>
      <c r="B1455" s="458" t="s">
        <v>1684</v>
      </c>
      <c r="C1455" s="459">
        <v>2</v>
      </c>
      <c r="D1455" s="458">
        <v>2024</v>
      </c>
    </row>
    <row r="1456" spans="1:4" x14ac:dyDescent="0.35">
      <c r="A1456" s="457" t="s">
        <v>72</v>
      </c>
      <c r="B1456" s="458" t="s">
        <v>1684</v>
      </c>
      <c r="C1456" s="459">
        <v>6</v>
      </c>
      <c r="D1456" s="458">
        <v>2024</v>
      </c>
    </row>
    <row r="1457" spans="1:4" x14ac:dyDescent="0.35">
      <c r="A1457" s="457" t="s">
        <v>72</v>
      </c>
      <c r="B1457" s="458" t="s">
        <v>1684</v>
      </c>
      <c r="C1457" s="459">
        <v>6</v>
      </c>
      <c r="D1457" s="458">
        <v>2024</v>
      </c>
    </row>
    <row r="1458" spans="1:4" x14ac:dyDescent="0.35">
      <c r="A1458" s="457" t="s">
        <v>72</v>
      </c>
      <c r="B1458" s="458" t="s">
        <v>1684</v>
      </c>
      <c r="C1458" s="459">
        <v>2</v>
      </c>
      <c r="D1458" s="458">
        <v>2024</v>
      </c>
    </row>
    <row r="1459" spans="1:4" x14ac:dyDescent="0.35">
      <c r="A1459" s="457" t="s">
        <v>72</v>
      </c>
      <c r="B1459" s="458" t="s">
        <v>1684</v>
      </c>
      <c r="C1459" s="459">
        <v>6</v>
      </c>
      <c r="D1459" s="458">
        <v>2025</v>
      </c>
    </row>
    <row r="1460" spans="1:4" x14ac:dyDescent="0.35">
      <c r="A1460" s="457" t="s">
        <v>72</v>
      </c>
      <c r="B1460" s="458" t="s">
        <v>1684</v>
      </c>
      <c r="C1460" s="459">
        <v>8</v>
      </c>
      <c r="D1460" s="458">
        <v>2024</v>
      </c>
    </row>
    <row r="1461" spans="1:4" x14ac:dyDescent="0.35">
      <c r="A1461" s="457" t="s">
        <v>72</v>
      </c>
      <c r="B1461" s="458" t="s">
        <v>1684</v>
      </c>
      <c r="C1461" s="459">
        <v>6</v>
      </c>
      <c r="D1461" s="458">
        <v>2025</v>
      </c>
    </row>
    <row r="1462" spans="1:4" x14ac:dyDescent="0.35">
      <c r="A1462" s="457" t="s">
        <v>72</v>
      </c>
      <c r="B1462" s="458" t="s">
        <v>1684</v>
      </c>
      <c r="C1462" s="459">
        <v>4</v>
      </c>
      <c r="D1462" s="458">
        <v>2025</v>
      </c>
    </row>
    <row r="1463" spans="1:4" x14ac:dyDescent="0.35">
      <c r="A1463" s="457" t="s">
        <v>72</v>
      </c>
      <c r="B1463" s="458" t="s">
        <v>1684</v>
      </c>
      <c r="C1463" s="459">
        <v>3</v>
      </c>
      <c r="D1463" s="458">
        <v>2024</v>
      </c>
    </row>
    <row r="1464" spans="1:4" x14ac:dyDescent="0.35">
      <c r="A1464" s="457" t="s">
        <v>72</v>
      </c>
      <c r="B1464" s="458" t="s">
        <v>1684</v>
      </c>
      <c r="C1464" s="459">
        <v>4</v>
      </c>
      <c r="D1464" s="458">
        <v>2024</v>
      </c>
    </row>
    <row r="1465" spans="1:4" x14ac:dyDescent="0.35">
      <c r="A1465" s="457" t="s">
        <v>72</v>
      </c>
      <c r="B1465" s="458" t="s">
        <v>1684</v>
      </c>
      <c r="C1465" s="459">
        <v>10</v>
      </c>
      <c r="D1465" s="458">
        <v>2024</v>
      </c>
    </row>
    <row r="1466" spans="1:4" x14ac:dyDescent="0.35">
      <c r="A1466" s="457" t="s">
        <v>72</v>
      </c>
      <c r="B1466" s="458" t="s">
        <v>1684</v>
      </c>
      <c r="C1466" s="459">
        <v>24</v>
      </c>
      <c r="D1466" s="458">
        <v>2025</v>
      </c>
    </row>
    <row r="1467" spans="1:4" x14ac:dyDescent="0.35">
      <c r="A1467" s="457" t="s">
        <v>72</v>
      </c>
      <c r="B1467" s="458" t="s">
        <v>1684</v>
      </c>
      <c r="C1467" s="459">
        <v>-37</v>
      </c>
      <c r="D1467" s="458">
        <v>2025</v>
      </c>
    </row>
    <row r="1468" spans="1:4" x14ac:dyDescent="0.35">
      <c r="A1468" s="457" t="s">
        <v>72</v>
      </c>
      <c r="B1468" s="458" t="s">
        <v>1684</v>
      </c>
      <c r="C1468" s="459">
        <v>-3</v>
      </c>
      <c r="D1468" s="458">
        <v>2025</v>
      </c>
    </row>
    <row r="1469" spans="1:4" x14ac:dyDescent="0.35">
      <c r="A1469" s="457" t="s">
        <v>72</v>
      </c>
      <c r="B1469" s="458" t="s">
        <v>1684</v>
      </c>
      <c r="C1469" s="459">
        <v>3</v>
      </c>
      <c r="D1469" s="458">
        <v>2024</v>
      </c>
    </row>
    <row r="1470" spans="1:4" x14ac:dyDescent="0.35">
      <c r="A1470" s="457" t="s">
        <v>72</v>
      </c>
      <c r="B1470" s="458" t="s">
        <v>1684</v>
      </c>
      <c r="C1470" s="459">
        <v>24</v>
      </c>
      <c r="D1470" s="458">
        <v>2024</v>
      </c>
    </row>
    <row r="1471" spans="1:4" x14ac:dyDescent="0.35">
      <c r="A1471" s="457" t="s">
        <v>72</v>
      </c>
      <c r="B1471" s="458" t="s">
        <v>1684</v>
      </c>
      <c r="C1471" s="459">
        <v>2</v>
      </c>
      <c r="D1471" s="458">
        <v>2024</v>
      </c>
    </row>
    <row r="1472" spans="1:4" x14ac:dyDescent="0.35">
      <c r="A1472" s="457" t="s">
        <v>72</v>
      </c>
      <c r="B1472" s="458" t="s">
        <v>1684</v>
      </c>
      <c r="C1472" s="459">
        <v>10</v>
      </c>
      <c r="D1472" s="458">
        <v>2024</v>
      </c>
    </row>
    <row r="1473" spans="1:4" x14ac:dyDescent="0.35">
      <c r="A1473" s="457" t="s">
        <v>72</v>
      </c>
      <c r="B1473" s="458" t="s">
        <v>1684</v>
      </c>
      <c r="C1473" s="459">
        <v>10</v>
      </c>
      <c r="D1473" s="458">
        <v>2025</v>
      </c>
    </row>
    <row r="1474" spans="1:4" x14ac:dyDescent="0.35">
      <c r="A1474" s="457" t="s">
        <v>72</v>
      </c>
      <c r="B1474" s="458" t="s">
        <v>1684</v>
      </c>
      <c r="C1474" s="459">
        <v>47</v>
      </c>
      <c r="D1474" s="458">
        <v>2024</v>
      </c>
    </row>
    <row r="1475" spans="1:4" x14ac:dyDescent="0.35">
      <c r="A1475" s="457" t="s">
        <v>72</v>
      </c>
      <c r="B1475" s="458" t="s">
        <v>1684</v>
      </c>
      <c r="C1475" s="459">
        <v>22</v>
      </c>
      <c r="D1475" s="458">
        <v>2025</v>
      </c>
    </row>
    <row r="1476" spans="1:4" x14ac:dyDescent="0.35">
      <c r="A1476" s="457" t="s">
        <v>72</v>
      </c>
      <c r="B1476" s="458" t="s">
        <v>1684</v>
      </c>
      <c r="C1476" s="459">
        <v>2</v>
      </c>
      <c r="D1476" s="458">
        <v>2025</v>
      </c>
    </row>
    <row r="1477" spans="1:4" x14ac:dyDescent="0.35">
      <c r="A1477" s="457" t="s">
        <v>72</v>
      </c>
      <c r="B1477" s="458" t="s">
        <v>1684</v>
      </c>
      <c r="C1477" s="459">
        <v>4</v>
      </c>
      <c r="D1477" s="458">
        <v>2024</v>
      </c>
    </row>
    <row r="1478" spans="1:4" x14ac:dyDescent="0.35">
      <c r="A1478" s="457" t="s">
        <v>72</v>
      </c>
      <c r="B1478" s="458" t="s">
        <v>1684</v>
      </c>
      <c r="C1478" s="459">
        <v>6</v>
      </c>
      <c r="D1478" s="458">
        <v>2025</v>
      </c>
    </row>
    <row r="1479" spans="1:4" x14ac:dyDescent="0.35">
      <c r="A1479" s="457" t="s">
        <v>72</v>
      </c>
      <c r="B1479" s="458" t="s">
        <v>1684</v>
      </c>
      <c r="C1479" s="459">
        <v>2</v>
      </c>
      <c r="D1479" s="458">
        <v>2024</v>
      </c>
    </row>
    <row r="1480" spans="1:4" x14ac:dyDescent="0.35">
      <c r="A1480" s="457" t="s">
        <v>72</v>
      </c>
      <c r="B1480" s="458" t="s">
        <v>1684</v>
      </c>
      <c r="C1480" s="459">
        <v>2</v>
      </c>
      <c r="D1480" s="458">
        <v>2025</v>
      </c>
    </row>
    <row r="1481" spans="1:4" x14ac:dyDescent="0.35">
      <c r="A1481" s="457" t="s">
        <v>72</v>
      </c>
      <c r="B1481" s="458" t="s">
        <v>1684</v>
      </c>
      <c r="C1481" s="459">
        <v>12</v>
      </c>
      <c r="D1481" s="458">
        <v>2024</v>
      </c>
    </row>
    <row r="1482" spans="1:4" x14ac:dyDescent="0.35">
      <c r="A1482" s="457" t="s">
        <v>72</v>
      </c>
      <c r="B1482" s="458" t="s">
        <v>1684</v>
      </c>
      <c r="C1482" s="459">
        <v>7</v>
      </c>
      <c r="D1482" s="458">
        <v>2024</v>
      </c>
    </row>
    <row r="1483" spans="1:4" x14ac:dyDescent="0.35">
      <c r="A1483" s="457" t="s">
        <v>72</v>
      </c>
      <c r="B1483" s="458" t="s">
        <v>1684</v>
      </c>
      <c r="C1483" s="459">
        <v>2</v>
      </c>
      <c r="D1483" s="458">
        <v>2025</v>
      </c>
    </row>
    <row r="1484" spans="1:4" x14ac:dyDescent="0.35">
      <c r="A1484" s="457" t="s">
        <v>72</v>
      </c>
      <c r="B1484" s="458" t="s">
        <v>1684</v>
      </c>
      <c r="C1484" s="459">
        <v>4</v>
      </c>
      <c r="D1484" s="458">
        <v>2025</v>
      </c>
    </row>
    <row r="1485" spans="1:4" x14ac:dyDescent="0.35">
      <c r="A1485" s="457" t="s">
        <v>72</v>
      </c>
      <c r="B1485" s="458" t="s">
        <v>1684</v>
      </c>
      <c r="C1485" s="459">
        <v>2</v>
      </c>
      <c r="D1485" s="458">
        <v>2024</v>
      </c>
    </row>
    <row r="1486" spans="1:4" x14ac:dyDescent="0.35">
      <c r="A1486" s="457" t="s">
        <v>72</v>
      </c>
      <c r="B1486" s="458" t="s">
        <v>1684</v>
      </c>
      <c r="C1486" s="459">
        <v>7</v>
      </c>
      <c r="D1486" s="458">
        <v>2025</v>
      </c>
    </row>
    <row r="1487" spans="1:4" x14ac:dyDescent="0.35">
      <c r="A1487" s="457" t="s">
        <v>72</v>
      </c>
      <c r="B1487" s="458" t="s">
        <v>1685</v>
      </c>
      <c r="C1487" s="459">
        <v>10</v>
      </c>
      <c r="D1487" s="458">
        <v>2024</v>
      </c>
    </row>
    <row r="1488" spans="1:4" x14ac:dyDescent="0.35">
      <c r="A1488" s="457" t="s">
        <v>72</v>
      </c>
      <c r="B1488" s="458" t="s">
        <v>1685</v>
      </c>
      <c r="C1488" s="459">
        <v>24</v>
      </c>
      <c r="D1488" s="458">
        <v>2025</v>
      </c>
    </row>
    <row r="1489" spans="1:4" x14ac:dyDescent="0.35">
      <c r="A1489" s="457" t="s">
        <v>72</v>
      </c>
      <c r="B1489" s="458" t="s">
        <v>1685</v>
      </c>
      <c r="C1489" s="459">
        <v>5</v>
      </c>
      <c r="D1489" s="458">
        <v>2025</v>
      </c>
    </row>
    <row r="1490" spans="1:4" x14ac:dyDescent="0.35">
      <c r="A1490" s="457" t="s">
        <v>72</v>
      </c>
      <c r="B1490" s="458" t="s">
        <v>1685</v>
      </c>
      <c r="C1490" s="459">
        <v>1</v>
      </c>
      <c r="D1490" s="458">
        <v>2024</v>
      </c>
    </row>
    <row r="1491" spans="1:4" x14ac:dyDescent="0.35">
      <c r="A1491" s="457" t="s">
        <v>72</v>
      </c>
      <c r="B1491" s="458" t="s">
        <v>1685</v>
      </c>
      <c r="C1491" s="459">
        <v>20</v>
      </c>
      <c r="D1491" s="458">
        <v>2025</v>
      </c>
    </row>
    <row r="1492" spans="1:4" x14ac:dyDescent="0.35">
      <c r="A1492" s="457" t="s">
        <v>72</v>
      </c>
      <c r="B1492" s="458" t="s">
        <v>1685</v>
      </c>
      <c r="C1492" s="459">
        <v>6</v>
      </c>
      <c r="D1492" s="458">
        <v>2024</v>
      </c>
    </row>
    <row r="1493" spans="1:4" x14ac:dyDescent="0.35">
      <c r="A1493" s="457" t="s">
        <v>72</v>
      </c>
      <c r="B1493" s="458" t="s">
        <v>1685</v>
      </c>
      <c r="C1493" s="459">
        <v>15</v>
      </c>
      <c r="D1493" s="458">
        <v>2025</v>
      </c>
    </row>
    <row r="1494" spans="1:4" x14ac:dyDescent="0.35">
      <c r="A1494" s="457" t="s">
        <v>72</v>
      </c>
      <c r="B1494" s="458" t="s">
        <v>1685</v>
      </c>
      <c r="C1494" s="459">
        <v>18</v>
      </c>
      <c r="D1494" s="458">
        <v>2025</v>
      </c>
    </row>
    <row r="1495" spans="1:4" x14ac:dyDescent="0.35">
      <c r="A1495" s="457" t="s">
        <v>72</v>
      </c>
      <c r="B1495" s="458" t="s">
        <v>1685</v>
      </c>
      <c r="C1495" s="459">
        <v>13</v>
      </c>
      <c r="D1495" s="458">
        <v>2024</v>
      </c>
    </row>
    <row r="1496" spans="1:4" x14ac:dyDescent="0.35">
      <c r="A1496" s="457" t="s">
        <v>72</v>
      </c>
      <c r="B1496" s="458" t="s">
        <v>1685</v>
      </c>
      <c r="C1496" s="459">
        <v>1</v>
      </c>
      <c r="D1496" s="458">
        <v>2025</v>
      </c>
    </row>
    <row r="1497" spans="1:4" x14ac:dyDescent="0.35">
      <c r="A1497" s="457" t="s">
        <v>72</v>
      </c>
      <c r="B1497" s="458" t="s">
        <v>1685</v>
      </c>
      <c r="C1497" s="459">
        <v>3</v>
      </c>
      <c r="D1497" s="458">
        <v>2024</v>
      </c>
    </row>
    <row r="1498" spans="1:4" x14ac:dyDescent="0.35">
      <c r="A1498" s="457" t="s">
        <v>72</v>
      </c>
      <c r="B1498" s="458" t="s">
        <v>1685</v>
      </c>
      <c r="C1498" s="459">
        <v>8</v>
      </c>
      <c r="D1498" s="458">
        <v>2025</v>
      </c>
    </row>
    <row r="1499" spans="1:4" x14ac:dyDescent="0.35">
      <c r="A1499" s="457" t="s">
        <v>72</v>
      </c>
      <c r="B1499" s="458" t="s">
        <v>1685</v>
      </c>
      <c r="C1499" s="459">
        <v>2</v>
      </c>
      <c r="D1499" s="458">
        <v>2024</v>
      </c>
    </row>
    <row r="1500" spans="1:4" x14ac:dyDescent="0.35">
      <c r="A1500" s="457" t="s">
        <v>72</v>
      </c>
      <c r="B1500" s="458" t="s">
        <v>1685</v>
      </c>
      <c r="C1500" s="459">
        <v>3</v>
      </c>
      <c r="D1500" s="458">
        <v>2024</v>
      </c>
    </row>
    <row r="1501" spans="1:4" x14ac:dyDescent="0.35">
      <c r="A1501" s="457" t="s">
        <v>72</v>
      </c>
      <c r="B1501" s="458" t="s">
        <v>1685</v>
      </c>
      <c r="C1501" s="459">
        <v>4</v>
      </c>
      <c r="D1501" s="458">
        <v>2024</v>
      </c>
    </row>
    <row r="1502" spans="1:4" x14ac:dyDescent="0.35">
      <c r="A1502" s="457" t="s">
        <v>72</v>
      </c>
      <c r="B1502" s="458" t="s">
        <v>1685</v>
      </c>
      <c r="C1502" s="459">
        <v>30</v>
      </c>
      <c r="D1502" s="458">
        <v>2025</v>
      </c>
    </row>
    <row r="1503" spans="1:4" x14ac:dyDescent="0.35">
      <c r="A1503" s="457" t="s">
        <v>72</v>
      </c>
      <c r="B1503" s="458" t="s">
        <v>1685</v>
      </c>
      <c r="C1503" s="459">
        <v>30</v>
      </c>
      <c r="D1503" s="458">
        <v>2024</v>
      </c>
    </row>
    <row r="1504" spans="1:4" x14ac:dyDescent="0.35">
      <c r="A1504" s="457" t="s">
        <v>72</v>
      </c>
      <c r="B1504" s="458" t="s">
        <v>1685</v>
      </c>
      <c r="C1504" s="459">
        <v>7</v>
      </c>
      <c r="D1504" s="458">
        <v>2025</v>
      </c>
    </row>
    <row r="1505" spans="1:4" x14ac:dyDescent="0.35">
      <c r="A1505" s="457" t="s">
        <v>72</v>
      </c>
      <c r="B1505" s="458" t="s">
        <v>1685</v>
      </c>
      <c r="C1505" s="459">
        <v>13</v>
      </c>
      <c r="D1505" s="458">
        <v>2024</v>
      </c>
    </row>
    <row r="1506" spans="1:4" x14ac:dyDescent="0.35">
      <c r="A1506" s="457" t="s">
        <v>72</v>
      </c>
      <c r="B1506" s="458" t="s">
        <v>1685</v>
      </c>
      <c r="C1506" s="459">
        <v>4</v>
      </c>
      <c r="D1506" s="458">
        <v>2024</v>
      </c>
    </row>
    <row r="1507" spans="1:4" x14ac:dyDescent="0.35">
      <c r="A1507" s="457" t="s">
        <v>72</v>
      </c>
      <c r="B1507" s="458" t="s">
        <v>1685</v>
      </c>
      <c r="C1507" s="459">
        <v>5</v>
      </c>
      <c r="D1507" s="458">
        <v>2024</v>
      </c>
    </row>
    <row r="1508" spans="1:4" x14ac:dyDescent="0.35">
      <c r="A1508" s="457" t="s">
        <v>72</v>
      </c>
      <c r="B1508" s="458" t="s">
        <v>1685</v>
      </c>
      <c r="C1508" s="459">
        <v>6</v>
      </c>
      <c r="D1508" s="458">
        <v>2025</v>
      </c>
    </row>
    <row r="1509" spans="1:4" x14ac:dyDescent="0.35">
      <c r="A1509" s="457" t="s">
        <v>72</v>
      </c>
      <c r="B1509" s="458" t="s">
        <v>1685</v>
      </c>
      <c r="C1509" s="459">
        <v>10</v>
      </c>
      <c r="D1509" s="458">
        <v>2025</v>
      </c>
    </row>
    <row r="1510" spans="1:4" x14ac:dyDescent="0.35">
      <c r="A1510" s="457" t="s">
        <v>72</v>
      </c>
      <c r="B1510" s="458" t="s">
        <v>1685</v>
      </c>
      <c r="C1510" s="459">
        <v>2</v>
      </c>
      <c r="D1510" s="458">
        <v>2025</v>
      </c>
    </row>
    <row r="1511" spans="1:4" x14ac:dyDescent="0.35">
      <c r="A1511" s="457" t="s">
        <v>72</v>
      </c>
      <c r="B1511" s="458" t="s">
        <v>1685</v>
      </c>
      <c r="C1511" s="459">
        <v>15</v>
      </c>
      <c r="D1511" s="458">
        <v>2025</v>
      </c>
    </row>
    <row r="1512" spans="1:4" x14ac:dyDescent="0.35">
      <c r="A1512" s="457" t="s">
        <v>72</v>
      </c>
      <c r="B1512" s="458" t="s">
        <v>1685</v>
      </c>
      <c r="C1512" s="459">
        <v>15</v>
      </c>
      <c r="D1512" s="458">
        <v>2024</v>
      </c>
    </row>
    <row r="1513" spans="1:4" x14ac:dyDescent="0.35">
      <c r="A1513" s="457" t="s">
        <v>72</v>
      </c>
      <c r="B1513" s="458" t="s">
        <v>1685</v>
      </c>
      <c r="C1513" s="459">
        <v>5</v>
      </c>
      <c r="D1513" s="458">
        <v>2025</v>
      </c>
    </row>
    <row r="1514" spans="1:4" x14ac:dyDescent="0.35">
      <c r="A1514" s="457" t="s">
        <v>72</v>
      </c>
      <c r="B1514" s="458" t="s">
        <v>1685</v>
      </c>
      <c r="C1514" s="459">
        <v>16</v>
      </c>
      <c r="D1514" s="458">
        <v>2024</v>
      </c>
    </row>
    <row r="1515" spans="1:4" x14ac:dyDescent="0.35">
      <c r="A1515" s="457" t="s">
        <v>72</v>
      </c>
      <c r="B1515" s="458" t="s">
        <v>1685</v>
      </c>
      <c r="C1515" s="459">
        <v>5</v>
      </c>
      <c r="D1515" s="458">
        <v>2024</v>
      </c>
    </row>
    <row r="1516" spans="1:4" x14ac:dyDescent="0.35">
      <c r="A1516" s="457" t="s">
        <v>72</v>
      </c>
      <c r="B1516" s="458" t="s">
        <v>1685</v>
      </c>
      <c r="C1516" s="459">
        <v>10</v>
      </c>
      <c r="D1516" s="458">
        <v>2024</v>
      </c>
    </row>
    <row r="1517" spans="1:4" x14ac:dyDescent="0.35">
      <c r="A1517" s="457" t="s">
        <v>72</v>
      </c>
      <c r="B1517" s="458" t="s">
        <v>1685</v>
      </c>
      <c r="C1517" s="459">
        <v>10</v>
      </c>
      <c r="D1517" s="458">
        <v>2025</v>
      </c>
    </row>
    <row r="1518" spans="1:4" x14ac:dyDescent="0.35">
      <c r="A1518" s="457" t="s">
        <v>72</v>
      </c>
      <c r="B1518" s="458" t="s">
        <v>1685</v>
      </c>
      <c r="C1518" s="459">
        <v>4</v>
      </c>
      <c r="D1518" s="458">
        <v>2024</v>
      </c>
    </row>
    <row r="1519" spans="1:4" x14ac:dyDescent="0.35">
      <c r="A1519" s="457" t="s">
        <v>72</v>
      </c>
      <c r="B1519" s="458" t="s">
        <v>1685</v>
      </c>
      <c r="C1519" s="459">
        <v>4</v>
      </c>
      <c r="D1519" s="458">
        <v>2024</v>
      </c>
    </row>
    <row r="1520" spans="1:4" x14ac:dyDescent="0.35">
      <c r="A1520" s="457" t="s">
        <v>72</v>
      </c>
      <c r="B1520" s="458" t="s">
        <v>1685</v>
      </c>
      <c r="C1520" s="459">
        <v>8</v>
      </c>
      <c r="D1520" s="458">
        <v>2024</v>
      </c>
    </row>
    <row r="1521" spans="1:4" x14ac:dyDescent="0.35">
      <c r="A1521" s="457" t="s">
        <v>72</v>
      </c>
      <c r="B1521" s="458" t="s">
        <v>1685</v>
      </c>
      <c r="C1521" s="459">
        <v>36</v>
      </c>
      <c r="D1521" s="458">
        <v>2024</v>
      </c>
    </row>
    <row r="1522" spans="1:4" x14ac:dyDescent="0.35">
      <c r="A1522" s="457" t="s">
        <v>72</v>
      </c>
      <c r="B1522" s="458" t="s">
        <v>1685</v>
      </c>
      <c r="C1522" s="459">
        <v>25</v>
      </c>
      <c r="D1522" s="458">
        <v>2025</v>
      </c>
    </row>
    <row r="1523" spans="1:4" x14ac:dyDescent="0.35">
      <c r="A1523" s="457" t="s">
        <v>72</v>
      </c>
      <c r="B1523" s="458" t="s">
        <v>1685</v>
      </c>
      <c r="C1523" s="459">
        <v>20</v>
      </c>
      <c r="D1523" s="458">
        <v>2025</v>
      </c>
    </row>
    <row r="1524" spans="1:4" x14ac:dyDescent="0.35">
      <c r="A1524" s="457" t="s">
        <v>72</v>
      </c>
      <c r="B1524" s="458" t="s">
        <v>1685</v>
      </c>
      <c r="C1524" s="459">
        <v>15</v>
      </c>
      <c r="D1524" s="458">
        <v>2024</v>
      </c>
    </row>
    <row r="1525" spans="1:4" x14ac:dyDescent="0.35">
      <c r="A1525" s="457" t="s">
        <v>72</v>
      </c>
      <c r="B1525" s="458" t="s">
        <v>1685</v>
      </c>
      <c r="C1525" s="459">
        <v>33</v>
      </c>
      <c r="D1525" s="458">
        <v>2025</v>
      </c>
    </row>
    <row r="1526" spans="1:4" x14ac:dyDescent="0.35">
      <c r="A1526" s="457" t="s">
        <v>72</v>
      </c>
      <c r="B1526" s="458" t="s">
        <v>1685</v>
      </c>
      <c r="C1526" s="459">
        <v>4</v>
      </c>
      <c r="D1526" s="458">
        <v>2025</v>
      </c>
    </row>
    <row r="1527" spans="1:4" x14ac:dyDescent="0.35">
      <c r="A1527" s="457" t="s">
        <v>72</v>
      </c>
      <c r="B1527" s="458" t="s">
        <v>1685</v>
      </c>
      <c r="C1527" s="459">
        <v>4</v>
      </c>
      <c r="D1527" s="458">
        <v>2024</v>
      </c>
    </row>
    <row r="1528" spans="1:4" x14ac:dyDescent="0.35">
      <c r="A1528" s="457" t="s">
        <v>72</v>
      </c>
      <c r="B1528" s="458" t="s">
        <v>1685</v>
      </c>
      <c r="C1528" s="459">
        <v>10</v>
      </c>
      <c r="D1528" s="458">
        <v>2025</v>
      </c>
    </row>
    <row r="1529" spans="1:4" x14ac:dyDescent="0.35">
      <c r="A1529" s="457" t="s">
        <v>72</v>
      </c>
      <c r="B1529" s="458" t="s">
        <v>1685</v>
      </c>
      <c r="C1529" s="459">
        <v>4</v>
      </c>
      <c r="D1529" s="458">
        <v>2024</v>
      </c>
    </row>
    <row r="1530" spans="1:4" x14ac:dyDescent="0.35">
      <c r="A1530" s="457" t="s">
        <v>72</v>
      </c>
      <c r="B1530" s="458" t="s">
        <v>1685</v>
      </c>
      <c r="C1530" s="459">
        <v>25</v>
      </c>
      <c r="D1530" s="458">
        <v>2024</v>
      </c>
    </row>
    <row r="1531" spans="1:4" x14ac:dyDescent="0.35">
      <c r="A1531" s="457" t="s">
        <v>72</v>
      </c>
      <c r="B1531" s="458" t="s">
        <v>1685</v>
      </c>
      <c r="C1531" s="459">
        <v>35</v>
      </c>
      <c r="D1531" s="458">
        <v>2025</v>
      </c>
    </row>
    <row r="1532" spans="1:4" x14ac:dyDescent="0.35">
      <c r="A1532" s="457" t="s">
        <v>72</v>
      </c>
      <c r="B1532" s="458" t="s">
        <v>1685</v>
      </c>
      <c r="C1532" s="459">
        <v>3</v>
      </c>
      <c r="D1532" s="458">
        <v>2024</v>
      </c>
    </row>
    <row r="1533" spans="1:4" x14ac:dyDescent="0.35">
      <c r="A1533" s="457" t="s">
        <v>72</v>
      </c>
      <c r="B1533" s="458" t="s">
        <v>1685</v>
      </c>
      <c r="C1533" s="459">
        <v>10</v>
      </c>
      <c r="D1533" s="458">
        <v>2025</v>
      </c>
    </row>
    <row r="1534" spans="1:4" x14ac:dyDescent="0.35">
      <c r="A1534" s="457" t="s">
        <v>72</v>
      </c>
      <c r="B1534" s="458" t="s">
        <v>1685</v>
      </c>
      <c r="C1534" s="459">
        <v>20</v>
      </c>
      <c r="D1534" s="458">
        <v>2024</v>
      </c>
    </row>
    <row r="1535" spans="1:4" x14ac:dyDescent="0.35">
      <c r="A1535" s="457" t="s">
        <v>72</v>
      </c>
      <c r="B1535" s="458" t="s">
        <v>1685</v>
      </c>
      <c r="C1535" s="459">
        <v>1</v>
      </c>
      <c r="D1535" s="458">
        <v>2024</v>
      </c>
    </row>
    <row r="1536" spans="1:4" x14ac:dyDescent="0.35">
      <c r="A1536" s="457" t="s">
        <v>72</v>
      </c>
      <c r="B1536" s="458" t="s">
        <v>1685</v>
      </c>
      <c r="C1536" s="459">
        <v>1</v>
      </c>
      <c r="D1536" s="458">
        <v>2025</v>
      </c>
    </row>
    <row r="1537" spans="1:4" x14ac:dyDescent="0.35">
      <c r="A1537" s="457" t="s">
        <v>72</v>
      </c>
      <c r="B1537" s="458" t="s">
        <v>1685</v>
      </c>
      <c r="C1537" s="459">
        <v>1</v>
      </c>
      <c r="D1537" s="458">
        <v>2024</v>
      </c>
    </row>
    <row r="1538" spans="1:4" x14ac:dyDescent="0.35">
      <c r="A1538" s="457" t="s">
        <v>72</v>
      </c>
      <c r="B1538" s="458" t="s">
        <v>1685</v>
      </c>
      <c r="C1538" s="459">
        <v>8</v>
      </c>
      <c r="D1538" s="458">
        <v>2025</v>
      </c>
    </row>
    <row r="1539" spans="1:4" x14ac:dyDescent="0.35">
      <c r="A1539" s="457" t="s">
        <v>72</v>
      </c>
      <c r="B1539" s="458" t="s">
        <v>1685</v>
      </c>
      <c r="C1539" s="459">
        <v>10</v>
      </c>
      <c r="D1539" s="458">
        <v>2024</v>
      </c>
    </row>
    <row r="1540" spans="1:4" x14ac:dyDescent="0.35">
      <c r="A1540" s="457" t="s">
        <v>72</v>
      </c>
      <c r="B1540" s="458" t="s">
        <v>1685</v>
      </c>
      <c r="C1540" s="459">
        <v>5</v>
      </c>
      <c r="D1540" s="458">
        <v>2025</v>
      </c>
    </row>
    <row r="1541" spans="1:4" x14ac:dyDescent="0.35">
      <c r="A1541" s="457" t="s">
        <v>72</v>
      </c>
      <c r="B1541" s="458" t="s">
        <v>1685</v>
      </c>
      <c r="C1541" s="459">
        <v>22</v>
      </c>
      <c r="D1541" s="458">
        <v>2024</v>
      </c>
    </row>
    <row r="1542" spans="1:4" x14ac:dyDescent="0.35">
      <c r="A1542" s="457" t="s">
        <v>72</v>
      </c>
      <c r="B1542" s="458" t="s">
        <v>1685</v>
      </c>
      <c r="C1542" s="459">
        <v>48</v>
      </c>
      <c r="D1542" s="458">
        <v>2025</v>
      </c>
    </row>
    <row r="1543" spans="1:4" x14ac:dyDescent="0.35">
      <c r="A1543" s="457" t="s">
        <v>72</v>
      </c>
      <c r="B1543" s="458" t="s">
        <v>1685</v>
      </c>
      <c r="C1543" s="459">
        <v>44</v>
      </c>
      <c r="D1543" s="458">
        <v>2024</v>
      </c>
    </row>
    <row r="1544" spans="1:4" x14ac:dyDescent="0.35">
      <c r="A1544" s="457" t="s">
        <v>72</v>
      </c>
      <c r="B1544" s="458" t="s">
        <v>1685</v>
      </c>
      <c r="C1544" s="459">
        <v>6</v>
      </c>
      <c r="D1544" s="458">
        <v>2025</v>
      </c>
    </row>
    <row r="1545" spans="1:4" x14ac:dyDescent="0.35">
      <c r="A1545" s="457" t="s">
        <v>72</v>
      </c>
      <c r="B1545" s="458" t="s">
        <v>1685</v>
      </c>
      <c r="C1545" s="459">
        <v>1</v>
      </c>
      <c r="D1545" s="458">
        <v>2024</v>
      </c>
    </row>
    <row r="1546" spans="1:4" x14ac:dyDescent="0.35">
      <c r="A1546" s="457" t="s">
        <v>72</v>
      </c>
      <c r="B1546" s="458" t="s">
        <v>1685</v>
      </c>
      <c r="C1546" s="459">
        <v>4</v>
      </c>
      <c r="D1546" s="458">
        <v>2024</v>
      </c>
    </row>
    <row r="1547" spans="1:4" x14ac:dyDescent="0.35">
      <c r="A1547" s="457" t="s">
        <v>72</v>
      </c>
      <c r="B1547" s="458" t="s">
        <v>1685</v>
      </c>
      <c r="C1547" s="459">
        <v>4</v>
      </c>
      <c r="D1547" s="458">
        <v>2025</v>
      </c>
    </row>
    <row r="1548" spans="1:4" x14ac:dyDescent="0.35">
      <c r="A1548" s="457" t="s">
        <v>72</v>
      </c>
      <c r="B1548" s="458" t="s">
        <v>1685</v>
      </c>
      <c r="C1548" s="459">
        <v>18</v>
      </c>
      <c r="D1548" s="458">
        <v>2024</v>
      </c>
    </row>
    <row r="1549" spans="1:4" x14ac:dyDescent="0.35">
      <c r="A1549" s="457" t="s">
        <v>72</v>
      </c>
      <c r="B1549" s="458" t="s">
        <v>1685</v>
      </c>
      <c r="C1549" s="459">
        <v>20</v>
      </c>
      <c r="D1549" s="458">
        <v>2025</v>
      </c>
    </row>
    <row r="1550" spans="1:4" x14ac:dyDescent="0.35">
      <c r="A1550" s="457" t="s">
        <v>72</v>
      </c>
      <c r="B1550" s="458" t="s">
        <v>1685</v>
      </c>
      <c r="C1550" s="459">
        <v>1</v>
      </c>
      <c r="D1550" s="458">
        <v>2024</v>
      </c>
    </row>
    <row r="1551" spans="1:4" x14ac:dyDescent="0.35">
      <c r="A1551" s="457" t="s">
        <v>72</v>
      </c>
      <c r="B1551" s="458" t="s">
        <v>1685</v>
      </c>
      <c r="C1551" s="459">
        <v>12</v>
      </c>
      <c r="D1551" s="458">
        <v>2025</v>
      </c>
    </row>
    <row r="1552" spans="1:4" x14ac:dyDescent="0.35">
      <c r="A1552" s="457" t="s">
        <v>72</v>
      </c>
      <c r="B1552" s="458" t="s">
        <v>1685</v>
      </c>
      <c r="C1552" s="459">
        <v>4</v>
      </c>
      <c r="D1552" s="458">
        <v>2025</v>
      </c>
    </row>
    <row r="1553" spans="1:4" x14ac:dyDescent="0.35">
      <c r="A1553" s="457" t="s">
        <v>72</v>
      </c>
      <c r="B1553" s="458" t="s">
        <v>1685</v>
      </c>
      <c r="C1553" s="459">
        <v>15</v>
      </c>
      <c r="D1553" s="458">
        <v>2024</v>
      </c>
    </row>
    <row r="1554" spans="1:4" x14ac:dyDescent="0.35">
      <c r="A1554" s="457" t="s">
        <v>72</v>
      </c>
      <c r="B1554" s="458" t="s">
        <v>1685</v>
      </c>
      <c r="C1554" s="459">
        <v>2</v>
      </c>
      <c r="D1554" s="458">
        <v>2024</v>
      </c>
    </row>
    <row r="1555" spans="1:4" x14ac:dyDescent="0.35">
      <c r="A1555" s="457" t="s">
        <v>72</v>
      </c>
      <c r="B1555" s="458" t="s">
        <v>1685</v>
      </c>
      <c r="C1555" s="459">
        <v>4</v>
      </c>
      <c r="D1555" s="458">
        <v>2025</v>
      </c>
    </row>
    <row r="1556" spans="1:4" x14ac:dyDescent="0.35">
      <c r="A1556" s="457" t="s">
        <v>72</v>
      </c>
      <c r="B1556" s="458" t="s">
        <v>1685</v>
      </c>
      <c r="C1556" s="459">
        <v>1</v>
      </c>
      <c r="D1556" s="458">
        <v>2024</v>
      </c>
    </row>
    <row r="1557" spans="1:4" x14ac:dyDescent="0.35">
      <c r="A1557" s="457" t="s">
        <v>72</v>
      </c>
      <c r="B1557" s="458" t="s">
        <v>1685</v>
      </c>
      <c r="C1557" s="459">
        <v>1</v>
      </c>
      <c r="D1557" s="458">
        <v>2025</v>
      </c>
    </row>
    <row r="1558" spans="1:4" x14ac:dyDescent="0.35">
      <c r="A1558" s="457" t="s">
        <v>72</v>
      </c>
      <c r="B1558" s="458" t="s">
        <v>1685</v>
      </c>
      <c r="C1558" s="459">
        <v>15</v>
      </c>
      <c r="D1558" s="458">
        <v>2025</v>
      </c>
    </row>
    <row r="1559" spans="1:4" x14ac:dyDescent="0.35">
      <c r="A1559" s="457" t="s">
        <v>72</v>
      </c>
      <c r="B1559" s="458" t="s">
        <v>1685</v>
      </c>
      <c r="C1559" s="459">
        <v>1</v>
      </c>
      <c r="D1559" s="458">
        <v>2025</v>
      </c>
    </row>
    <row r="1560" spans="1:4" x14ac:dyDescent="0.35">
      <c r="A1560" s="457" t="s">
        <v>72</v>
      </c>
      <c r="B1560" s="458" t="s">
        <v>1685</v>
      </c>
      <c r="C1560" s="459">
        <v>5</v>
      </c>
      <c r="D1560" s="458">
        <v>2024</v>
      </c>
    </row>
    <row r="1561" spans="1:4" x14ac:dyDescent="0.35">
      <c r="A1561" s="457" t="s">
        <v>72</v>
      </c>
      <c r="B1561" s="458" t="s">
        <v>1685</v>
      </c>
      <c r="C1561" s="459">
        <v>6</v>
      </c>
      <c r="D1561" s="458">
        <v>2025</v>
      </c>
    </row>
    <row r="1562" spans="1:4" x14ac:dyDescent="0.35">
      <c r="A1562" s="457" t="s">
        <v>72</v>
      </c>
      <c r="B1562" s="458" t="s">
        <v>1685</v>
      </c>
      <c r="C1562" s="459">
        <v>6</v>
      </c>
      <c r="D1562" s="458">
        <v>2025</v>
      </c>
    </row>
    <row r="1563" spans="1:4" x14ac:dyDescent="0.35">
      <c r="A1563" s="457" t="s">
        <v>72</v>
      </c>
      <c r="B1563" s="458" t="s">
        <v>1685</v>
      </c>
      <c r="C1563" s="459">
        <v>6</v>
      </c>
      <c r="D1563" s="458">
        <v>2024</v>
      </c>
    </row>
    <row r="1564" spans="1:4" x14ac:dyDescent="0.35">
      <c r="A1564" s="457" t="s">
        <v>72</v>
      </c>
      <c r="B1564" s="458" t="s">
        <v>1685</v>
      </c>
      <c r="C1564" s="459">
        <v>2</v>
      </c>
      <c r="D1564" s="458">
        <v>2025</v>
      </c>
    </row>
    <row r="1565" spans="1:4" x14ac:dyDescent="0.35">
      <c r="A1565" s="457" t="s">
        <v>72</v>
      </c>
      <c r="B1565" s="458" t="s">
        <v>1685</v>
      </c>
      <c r="C1565" s="459">
        <v>4</v>
      </c>
      <c r="D1565" s="458">
        <v>2025</v>
      </c>
    </row>
    <row r="1566" spans="1:4" x14ac:dyDescent="0.35">
      <c r="A1566" s="457" t="s">
        <v>72</v>
      </c>
      <c r="B1566" s="458" t="s">
        <v>1685</v>
      </c>
      <c r="C1566" s="459">
        <v>4</v>
      </c>
      <c r="D1566" s="458">
        <v>2024</v>
      </c>
    </row>
    <row r="1567" spans="1:4" x14ac:dyDescent="0.35">
      <c r="A1567" s="457" t="s">
        <v>72</v>
      </c>
      <c r="B1567" s="458" t="s">
        <v>1685</v>
      </c>
      <c r="C1567" s="459">
        <v>1</v>
      </c>
      <c r="D1567" s="458">
        <v>2024</v>
      </c>
    </row>
    <row r="1568" spans="1:4" x14ac:dyDescent="0.35">
      <c r="A1568" s="457" t="s">
        <v>72</v>
      </c>
      <c r="B1568" s="458" t="s">
        <v>1685</v>
      </c>
      <c r="C1568" s="459">
        <v>4</v>
      </c>
      <c r="D1568" s="458">
        <v>2024</v>
      </c>
    </row>
    <row r="1569" spans="1:4" x14ac:dyDescent="0.35">
      <c r="A1569" s="457" t="s">
        <v>72</v>
      </c>
      <c r="B1569" s="458" t="s">
        <v>1685</v>
      </c>
      <c r="C1569" s="459">
        <v>11</v>
      </c>
      <c r="D1569" s="458">
        <v>2024</v>
      </c>
    </row>
    <row r="1570" spans="1:4" x14ac:dyDescent="0.35">
      <c r="A1570" s="457" t="s">
        <v>72</v>
      </c>
      <c r="B1570" s="458" t="s">
        <v>1685</v>
      </c>
      <c r="C1570" s="459">
        <v>2</v>
      </c>
      <c r="D1570" s="458">
        <v>2024</v>
      </c>
    </row>
    <row r="1571" spans="1:4" x14ac:dyDescent="0.35">
      <c r="A1571" s="457" t="s">
        <v>72</v>
      </c>
      <c r="B1571" s="458" t="s">
        <v>1685</v>
      </c>
      <c r="C1571" s="459">
        <v>2</v>
      </c>
      <c r="D1571" s="458">
        <v>2025</v>
      </c>
    </row>
    <row r="1572" spans="1:4" x14ac:dyDescent="0.35">
      <c r="A1572" s="457" t="s">
        <v>72</v>
      </c>
      <c r="B1572" s="458" t="s">
        <v>1685</v>
      </c>
      <c r="C1572" s="459">
        <v>9</v>
      </c>
      <c r="D1572" s="458">
        <v>2024</v>
      </c>
    </row>
    <row r="1573" spans="1:4" x14ac:dyDescent="0.35">
      <c r="A1573" s="457" t="s">
        <v>72</v>
      </c>
      <c r="B1573" s="458" t="s">
        <v>1685</v>
      </c>
      <c r="C1573" s="459">
        <v>5</v>
      </c>
      <c r="D1573" s="458">
        <v>2025</v>
      </c>
    </row>
    <row r="1574" spans="1:4" x14ac:dyDescent="0.35">
      <c r="A1574" s="457" t="s">
        <v>72</v>
      </c>
      <c r="B1574" s="458" t="s">
        <v>1685</v>
      </c>
      <c r="C1574" s="459">
        <v>8</v>
      </c>
      <c r="D1574" s="458">
        <v>2024</v>
      </c>
    </row>
    <row r="1575" spans="1:4" x14ac:dyDescent="0.35">
      <c r="A1575" s="457" t="s">
        <v>72</v>
      </c>
      <c r="B1575" s="458" t="s">
        <v>1685</v>
      </c>
      <c r="C1575" s="459">
        <v>6</v>
      </c>
      <c r="D1575" s="458">
        <v>2025</v>
      </c>
    </row>
    <row r="1576" spans="1:4" x14ac:dyDescent="0.35">
      <c r="A1576" s="457" t="s">
        <v>72</v>
      </c>
      <c r="B1576" s="458" t="s">
        <v>1685</v>
      </c>
      <c r="C1576" s="459">
        <v>3</v>
      </c>
      <c r="D1576" s="458">
        <v>2024</v>
      </c>
    </row>
    <row r="1577" spans="1:4" x14ac:dyDescent="0.35">
      <c r="A1577" s="457" t="s">
        <v>72</v>
      </c>
      <c r="B1577" s="458" t="s">
        <v>1685</v>
      </c>
      <c r="C1577" s="459">
        <v>4</v>
      </c>
      <c r="D1577" s="458">
        <v>2025</v>
      </c>
    </row>
    <row r="1578" spans="1:4" x14ac:dyDescent="0.35">
      <c r="A1578" s="457" t="s">
        <v>72</v>
      </c>
      <c r="B1578" s="458" t="s">
        <v>1685</v>
      </c>
      <c r="C1578" s="459">
        <v>21</v>
      </c>
      <c r="D1578" s="458">
        <v>2024</v>
      </c>
    </row>
    <row r="1579" spans="1:4" x14ac:dyDescent="0.35">
      <c r="A1579" s="457" t="s">
        <v>72</v>
      </c>
      <c r="B1579" s="458" t="s">
        <v>1685</v>
      </c>
      <c r="C1579" s="459">
        <v>7</v>
      </c>
      <c r="D1579" s="458">
        <v>2024</v>
      </c>
    </row>
    <row r="1580" spans="1:4" x14ac:dyDescent="0.35">
      <c r="A1580" s="457" t="s">
        <v>72</v>
      </c>
      <c r="B1580" s="458" t="s">
        <v>1685</v>
      </c>
      <c r="C1580" s="459">
        <v>4</v>
      </c>
      <c r="D1580" s="458">
        <v>2025</v>
      </c>
    </row>
    <row r="1581" spans="1:4" x14ac:dyDescent="0.35">
      <c r="A1581" s="457" t="s">
        <v>72</v>
      </c>
      <c r="B1581" s="458" t="s">
        <v>1685</v>
      </c>
      <c r="C1581" s="459">
        <v>2</v>
      </c>
      <c r="D1581" s="458">
        <v>2024</v>
      </c>
    </row>
    <row r="1582" spans="1:4" x14ac:dyDescent="0.35">
      <c r="A1582" s="457" t="s">
        <v>72</v>
      </c>
      <c r="B1582" s="458" t="s">
        <v>1685</v>
      </c>
      <c r="C1582" s="459">
        <v>4</v>
      </c>
      <c r="D1582" s="458">
        <v>2025</v>
      </c>
    </row>
    <row r="1583" spans="1:4" x14ac:dyDescent="0.35">
      <c r="A1583" s="457" t="s">
        <v>72</v>
      </c>
      <c r="B1583" s="458" t="s">
        <v>1685</v>
      </c>
      <c r="C1583" s="459">
        <v>6</v>
      </c>
      <c r="D1583" s="458">
        <v>2024</v>
      </c>
    </row>
    <row r="1584" spans="1:4" x14ac:dyDescent="0.35">
      <c r="A1584" s="457" t="s">
        <v>72</v>
      </c>
      <c r="B1584" s="458" t="s">
        <v>1685</v>
      </c>
      <c r="C1584" s="459">
        <v>5</v>
      </c>
      <c r="D1584" s="458">
        <v>2025</v>
      </c>
    </row>
    <row r="1585" spans="1:4" x14ac:dyDescent="0.35">
      <c r="A1585" s="457" t="s">
        <v>72</v>
      </c>
      <c r="B1585" s="458" t="s">
        <v>1685</v>
      </c>
      <c r="C1585" s="459">
        <v>6</v>
      </c>
      <c r="D1585" s="458">
        <v>2025</v>
      </c>
    </row>
    <row r="1586" spans="1:4" x14ac:dyDescent="0.35">
      <c r="A1586" s="457" t="s">
        <v>72</v>
      </c>
      <c r="B1586" s="458" t="s">
        <v>1685</v>
      </c>
      <c r="C1586" s="459">
        <v>4</v>
      </c>
      <c r="D1586" s="458">
        <v>2024</v>
      </c>
    </row>
    <row r="1587" spans="1:4" x14ac:dyDescent="0.35">
      <c r="A1587" s="457" t="s">
        <v>72</v>
      </c>
      <c r="B1587" s="458" t="s">
        <v>1685</v>
      </c>
      <c r="C1587" s="459">
        <v>2</v>
      </c>
      <c r="D1587" s="458">
        <v>2025</v>
      </c>
    </row>
    <row r="1588" spans="1:4" x14ac:dyDescent="0.35">
      <c r="A1588" s="457" t="s">
        <v>72</v>
      </c>
      <c r="B1588" s="458" t="s">
        <v>1685</v>
      </c>
      <c r="C1588" s="459">
        <v>4</v>
      </c>
      <c r="D1588" s="458">
        <v>2024</v>
      </c>
    </row>
    <row r="1589" spans="1:4" x14ac:dyDescent="0.35">
      <c r="A1589" s="457" t="s">
        <v>72</v>
      </c>
      <c r="B1589" s="458" t="s">
        <v>1685</v>
      </c>
      <c r="C1589" s="459">
        <v>2</v>
      </c>
      <c r="D1589" s="458">
        <v>2025</v>
      </c>
    </row>
    <row r="1590" spans="1:4" x14ac:dyDescent="0.35">
      <c r="A1590" s="457" t="s">
        <v>72</v>
      </c>
      <c r="B1590" s="458" t="s">
        <v>1685</v>
      </c>
      <c r="C1590" s="459">
        <v>3</v>
      </c>
      <c r="D1590" s="458">
        <v>2024</v>
      </c>
    </row>
    <row r="1591" spans="1:4" x14ac:dyDescent="0.35">
      <c r="A1591" s="457" t="s">
        <v>72</v>
      </c>
      <c r="B1591" s="458" t="s">
        <v>1685</v>
      </c>
      <c r="C1591" s="459">
        <v>5</v>
      </c>
      <c r="D1591" s="458">
        <v>2025</v>
      </c>
    </row>
    <row r="1592" spans="1:4" x14ac:dyDescent="0.35">
      <c r="A1592" s="457" t="s">
        <v>72</v>
      </c>
      <c r="B1592" s="458" t="s">
        <v>1685</v>
      </c>
      <c r="C1592" s="459">
        <v>5</v>
      </c>
      <c r="D1592" s="458">
        <v>2024</v>
      </c>
    </row>
    <row r="1593" spans="1:4" x14ac:dyDescent="0.35">
      <c r="A1593" s="457" t="s">
        <v>72</v>
      </c>
      <c r="B1593" s="458" t="s">
        <v>1685</v>
      </c>
      <c r="C1593" s="459">
        <v>5</v>
      </c>
      <c r="D1593" s="458">
        <v>2025</v>
      </c>
    </row>
    <row r="1594" spans="1:4" x14ac:dyDescent="0.35">
      <c r="A1594" s="457" t="s">
        <v>72</v>
      </c>
      <c r="B1594" s="458" t="s">
        <v>1685</v>
      </c>
      <c r="C1594" s="459">
        <v>10</v>
      </c>
      <c r="D1594" s="458">
        <v>2024</v>
      </c>
    </row>
    <row r="1595" spans="1:4" x14ac:dyDescent="0.35">
      <c r="A1595" s="457" t="s">
        <v>72</v>
      </c>
      <c r="B1595" s="458" t="s">
        <v>1685</v>
      </c>
      <c r="C1595" s="459">
        <v>32</v>
      </c>
      <c r="D1595" s="458">
        <v>2024</v>
      </c>
    </row>
    <row r="1596" spans="1:4" x14ac:dyDescent="0.35">
      <c r="A1596" s="457" t="s">
        <v>72</v>
      </c>
      <c r="B1596" s="458" t="s">
        <v>1685</v>
      </c>
      <c r="C1596" s="459">
        <v>5</v>
      </c>
      <c r="D1596" s="458">
        <v>2025</v>
      </c>
    </row>
    <row r="1597" spans="1:4" x14ac:dyDescent="0.35">
      <c r="A1597" s="457" t="s">
        <v>72</v>
      </c>
      <c r="B1597" s="458" t="s">
        <v>1685</v>
      </c>
      <c r="C1597" s="459">
        <v>5</v>
      </c>
      <c r="D1597" s="458">
        <v>2025</v>
      </c>
    </row>
    <row r="1598" spans="1:4" x14ac:dyDescent="0.35">
      <c r="A1598" s="457" t="s">
        <v>72</v>
      </c>
      <c r="B1598" s="458" t="s">
        <v>1685</v>
      </c>
      <c r="C1598" s="459">
        <v>5</v>
      </c>
      <c r="D1598" s="458">
        <v>2025</v>
      </c>
    </row>
    <row r="1599" spans="1:4" x14ac:dyDescent="0.35">
      <c r="A1599" s="457" t="s">
        <v>72</v>
      </c>
      <c r="B1599" s="458" t="s">
        <v>1685</v>
      </c>
      <c r="C1599" s="459">
        <v>15</v>
      </c>
      <c r="D1599" s="458">
        <v>2024</v>
      </c>
    </row>
    <row r="1600" spans="1:4" x14ac:dyDescent="0.35">
      <c r="A1600" s="457" t="s">
        <v>72</v>
      </c>
      <c r="B1600" s="458" t="s">
        <v>1685</v>
      </c>
      <c r="C1600" s="459">
        <v>15</v>
      </c>
      <c r="D1600" s="458">
        <v>2025</v>
      </c>
    </row>
    <row r="1601" spans="1:4" x14ac:dyDescent="0.35">
      <c r="A1601" s="457" t="s">
        <v>72</v>
      </c>
      <c r="B1601" s="458" t="s">
        <v>1685</v>
      </c>
      <c r="C1601" s="459">
        <v>1</v>
      </c>
      <c r="D1601" s="458">
        <v>2024</v>
      </c>
    </row>
    <row r="1602" spans="1:4" x14ac:dyDescent="0.35">
      <c r="A1602" s="457" t="s">
        <v>72</v>
      </c>
      <c r="B1602" s="458" t="s">
        <v>1685</v>
      </c>
      <c r="C1602" s="459">
        <v>20</v>
      </c>
      <c r="D1602" s="458">
        <v>2024</v>
      </c>
    </row>
    <row r="1603" spans="1:4" x14ac:dyDescent="0.35">
      <c r="A1603" s="457" t="s">
        <v>72</v>
      </c>
      <c r="B1603" s="458" t="s">
        <v>1685</v>
      </c>
      <c r="C1603" s="459">
        <v>15</v>
      </c>
      <c r="D1603" s="458">
        <v>2025</v>
      </c>
    </row>
    <row r="1604" spans="1:4" x14ac:dyDescent="0.35">
      <c r="A1604" s="457" t="s">
        <v>72</v>
      </c>
      <c r="B1604" s="458" t="s">
        <v>1685</v>
      </c>
      <c r="C1604" s="459">
        <v>5</v>
      </c>
      <c r="D1604" s="458">
        <v>2024</v>
      </c>
    </row>
    <row r="1605" spans="1:4" x14ac:dyDescent="0.35">
      <c r="A1605" s="457" t="s">
        <v>72</v>
      </c>
      <c r="B1605" s="458" t="s">
        <v>1685</v>
      </c>
      <c r="C1605" s="459">
        <v>2</v>
      </c>
      <c r="D1605" s="458">
        <v>2025</v>
      </c>
    </row>
    <row r="1606" spans="1:4" x14ac:dyDescent="0.35">
      <c r="A1606" s="457" t="s">
        <v>72</v>
      </c>
      <c r="B1606" s="458" t="s">
        <v>1685</v>
      </c>
      <c r="C1606" s="459">
        <v>5</v>
      </c>
      <c r="D1606" s="458">
        <v>2025</v>
      </c>
    </row>
    <row r="1607" spans="1:4" x14ac:dyDescent="0.35">
      <c r="A1607" s="457" t="s">
        <v>72</v>
      </c>
      <c r="B1607" s="458" t="s">
        <v>1685</v>
      </c>
      <c r="C1607" s="459">
        <v>10</v>
      </c>
      <c r="D1607" s="458">
        <v>2024</v>
      </c>
    </row>
    <row r="1608" spans="1:4" x14ac:dyDescent="0.35">
      <c r="A1608" s="457" t="s">
        <v>72</v>
      </c>
      <c r="B1608" s="458" t="s">
        <v>1685</v>
      </c>
      <c r="C1608" s="459">
        <v>2</v>
      </c>
      <c r="D1608" s="458">
        <v>2025</v>
      </c>
    </row>
    <row r="1609" spans="1:4" x14ac:dyDescent="0.35">
      <c r="A1609" s="457" t="s">
        <v>72</v>
      </c>
      <c r="B1609" s="458" t="s">
        <v>1685</v>
      </c>
      <c r="C1609" s="459">
        <v>8</v>
      </c>
      <c r="D1609" s="458">
        <v>2025</v>
      </c>
    </row>
    <row r="1610" spans="1:4" x14ac:dyDescent="0.35">
      <c r="A1610" s="457" t="s">
        <v>72</v>
      </c>
      <c r="B1610" s="458" t="s">
        <v>1685</v>
      </c>
      <c r="C1610" s="459">
        <v>1</v>
      </c>
      <c r="D1610" s="458">
        <v>2024</v>
      </c>
    </row>
    <row r="1611" spans="1:4" x14ac:dyDescent="0.35">
      <c r="A1611" s="457" t="s">
        <v>72</v>
      </c>
      <c r="B1611" s="458" t="s">
        <v>1685</v>
      </c>
      <c r="C1611" s="459">
        <v>1</v>
      </c>
      <c r="D1611" s="458">
        <v>2025</v>
      </c>
    </row>
    <row r="1612" spans="1:4" x14ac:dyDescent="0.35">
      <c r="A1612" s="457" t="s">
        <v>72</v>
      </c>
      <c r="B1612" s="458" t="s">
        <v>1685</v>
      </c>
      <c r="C1612" s="459">
        <v>50</v>
      </c>
      <c r="D1612" s="458">
        <v>2024</v>
      </c>
    </row>
    <row r="1613" spans="1:4" x14ac:dyDescent="0.35">
      <c r="A1613" s="457" t="s">
        <v>72</v>
      </c>
      <c r="B1613" s="458" t="s">
        <v>1685</v>
      </c>
      <c r="C1613" s="459">
        <v>45</v>
      </c>
      <c r="D1613" s="458">
        <v>2025</v>
      </c>
    </row>
    <row r="1614" spans="1:4" x14ac:dyDescent="0.35">
      <c r="A1614" s="457" t="s">
        <v>72</v>
      </c>
      <c r="B1614" s="458" t="s">
        <v>1685</v>
      </c>
      <c r="C1614" s="459">
        <v>8</v>
      </c>
      <c r="D1614" s="458">
        <v>2025</v>
      </c>
    </row>
    <row r="1615" spans="1:4" x14ac:dyDescent="0.35">
      <c r="A1615" s="457" t="s">
        <v>72</v>
      </c>
      <c r="B1615" s="458" t="s">
        <v>1685</v>
      </c>
      <c r="C1615" s="459">
        <v>8</v>
      </c>
      <c r="D1615" s="458">
        <v>2024</v>
      </c>
    </row>
    <row r="1616" spans="1:4" x14ac:dyDescent="0.35">
      <c r="A1616" s="457" t="s">
        <v>72</v>
      </c>
      <c r="B1616" s="458" t="s">
        <v>1685</v>
      </c>
      <c r="C1616" s="459">
        <v>4</v>
      </c>
      <c r="D1616" s="458">
        <v>2025</v>
      </c>
    </row>
    <row r="1617" spans="1:4" x14ac:dyDescent="0.35">
      <c r="A1617" s="457" t="s">
        <v>72</v>
      </c>
      <c r="B1617" s="458" t="s">
        <v>1685</v>
      </c>
      <c r="C1617" s="459">
        <v>3</v>
      </c>
      <c r="D1617" s="458">
        <v>2024</v>
      </c>
    </row>
    <row r="1618" spans="1:4" x14ac:dyDescent="0.35">
      <c r="A1618" s="457" t="s">
        <v>72</v>
      </c>
      <c r="B1618" s="458" t="s">
        <v>1685</v>
      </c>
      <c r="C1618" s="459">
        <v>1</v>
      </c>
      <c r="D1618" s="458">
        <v>2025</v>
      </c>
    </row>
    <row r="1619" spans="1:4" x14ac:dyDescent="0.35">
      <c r="A1619" s="457" t="s">
        <v>72</v>
      </c>
      <c r="B1619" s="458" t="s">
        <v>1685</v>
      </c>
      <c r="C1619" s="459">
        <v>3</v>
      </c>
      <c r="D1619" s="458">
        <v>2024</v>
      </c>
    </row>
    <row r="1620" spans="1:4" x14ac:dyDescent="0.35">
      <c r="A1620" s="457" t="s">
        <v>72</v>
      </c>
      <c r="B1620" s="458" t="s">
        <v>1685</v>
      </c>
      <c r="C1620" s="459">
        <v>1</v>
      </c>
      <c r="D1620" s="458">
        <v>2024</v>
      </c>
    </row>
    <row r="1621" spans="1:4" x14ac:dyDescent="0.35">
      <c r="A1621" s="457" t="s">
        <v>72</v>
      </c>
      <c r="B1621" s="458" t="s">
        <v>1685</v>
      </c>
      <c r="C1621" s="459">
        <v>2</v>
      </c>
      <c r="D1621" s="458">
        <v>2025</v>
      </c>
    </row>
    <row r="1622" spans="1:4" x14ac:dyDescent="0.35">
      <c r="A1622" s="457" t="s">
        <v>72</v>
      </c>
      <c r="B1622" s="458" t="s">
        <v>1685</v>
      </c>
      <c r="C1622" s="459">
        <v>8</v>
      </c>
      <c r="D1622" s="458">
        <v>2025</v>
      </c>
    </row>
    <row r="1623" spans="1:4" x14ac:dyDescent="0.35">
      <c r="A1623" s="457" t="s">
        <v>72</v>
      </c>
      <c r="B1623" s="458" t="s">
        <v>1685</v>
      </c>
      <c r="C1623" s="459">
        <v>9</v>
      </c>
      <c r="D1623" s="458">
        <v>2024</v>
      </c>
    </row>
    <row r="1624" spans="1:4" x14ac:dyDescent="0.35">
      <c r="A1624" s="457" t="s">
        <v>72</v>
      </c>
      <c r="B1624" s="458" t="s">
        <v>1685</v>
      </c>
      <c r="C1624" s="459">
        <v>6</v>
      </c>
      <c r="D1624" s="458">
        <v>2024</v>
      </c>
    </row>
    <row r="1625" spans="1:4" x14ac:dyDescent="0.35">
      <c r="A1625" s="457" t="s">
        <v>72</v>
      </c>
      <c r="B1625" s="458" t="s">
        <v>1685</v>
      </c>
      <c r="C1625" s="459">
        <v>6</v>
      </c>
      <c r="D1625" s="458">
        <v>2025</v>
      </c>
    </row>
    <row r="1626" spans="1:4" x14ac:dyDescent="0.35">
      <c r="A1626" s="457" t="s">
        <v>72</v>
      </c>
      <c r="B1626" s="458" t="s">
        <v>1685</v>
      </c>
      <c r="C1626" s="459">
        <v>4</v>
      </c>
      <c r="D1626" s="458">
        <v>2024</v>
      </c>
    </row>
    <row r="1627" spans="1:4" x14ac:dyDescent="0.35">
      <c r="A1627" s="457" t="s">
        <v>72</v>
      </c>
      <c r="B1627" s="458" t="s">
        <v>1685</v>
      </c>
      <c r="C1627" s="459">
        <v>7</v>
      </c>
      <c r="D1627" s="458">
        <v>2025</v>
      </c>
    </row>
    <row r="1628" spans="1:4" x14ac:dyDescent="0.35">
      <c r="A1628" s="457" t="s">
        <v>72</v>
      </c>
      <c r="B1628" s="458" t="s">
        <v>1685</v>
      </c>
      <c r="C1628" s="459">
        <v>4</v>
      </c>
      <c r="D1628" s="458">
        <v>2025</v>
      </c>
    </row>
    <row r="1629" spans="1:4" x14ac:dyDescent="0.35">
      <c r="A1629" s="457" t="s">
        <v>72</v>
      </c>
      <c r="B1629" s="458" t="s">
        <v>1685</v>
      </c>
      <c r="C1629" s="459">
        <v>3</v>
      </c>
      <c r="D1629" s="458">
        <v>2024</v>
      </c>
    </row>
    <row r="1630" spans="1:4" x14ac:dyDescent="0.35">
      <c r="A1630" s="457" t="s">
        <v>72</v>
      </c>
      <c r="B1630" s="458" t="s">
        <v>1685</v>
      </c>
      <c r="C1630" s="459">
        <v>6</v>
      </c>
      <c r="D1630" s="458">
        <v>2024</v>
      </c>
    </row>
    <row r="1631" spans="1:4" x14ac:dyDescent="0.35">
      <c r="A1631" s="457" t="s">
        <v>72</v>
      </c>
      <c r="B1631" s="458" t="s">
        <v>1685</v>
      </c>
      <c r="C1631" s="459">
        <v>8</v>
      </c>
      <c r="D1631" s="458">
        <v>2024</v>
      </c>
    </row>
    <row r="1632" spans="1:4" x14ac:dyDescent="0.35">
      <c r="A1632" s="457" t="s">
        <v>72</v>
      </c>
      <c r="B1632" s="458" t="s">
        <v>1685</v>
      </c>
      <c r="C1632" s="459">
        <v>-43</v>
      </c>
      <c r="D1632" s="458">
        <v>2025</v>
      </c>
    </row>
    <row r="1633" spans="1:4" x14ac:dyDescent="0.35">
      <c r="A1633" s="457" t="s">
        <v>72</v>
      </c>
      <c r="B1633" s="458" t="s">
        <v>1685</v>
      </c>
      <c r="C1633" s="459">
        <v>-16</v>
      </c>
      <c r="D1633" s="458">
        <v>2025</v>
      </c>
    </row>
    <row r="1634" spans="1:4" x14ac:dyDescent="0.35">
      <c r="A1634" s="457" t="s">
        <v>72</v>
      </c>
      <c r="B1634" s="458" t="s">
        <v>1685</v>
      </c>
      <c r="C1634" s="459">
        <v>3</v>
      </c>
      <c r="D1634" s="458">
        <v>2025</v>
      </c>
    </row>
    <row r="1635" spans="1:4" x14ac:dyDescent="0.35">
      <c r="A1635" s="457" t="s">
        <v>72</v>
      </c>
      <c r="B1635" s="458" t="s">
        <v>1685</v>
      </c>
      <c r="C1635" s="459">
        <v>4</v>
      </c>
      <c r="D1635" s="458">
        <v>2024</v>
      </c>
    </row>
    <row r="1636" spans="1:4" x14ac:dyDescent="0.35">
      <c r="A1636" s="457" t="s">
        <v>72</v>
      </c>
      <c r="B1636" s="458" t="s">
        <v>1685</v>
      </c>
      <c r="C1636" s="459">
        <v>10</v>
      </c>
      <c r="D1636" s="458">
        <v>2024</v>
      </c>
    </row>
    <row r="1637" spans="1:4" x14ac:dyDescent="0.35">
      <c r="A1637" s="457" t="s">
        <v>72</v>
      </c>
      <c r="B1637" s="458" t="s">
        <v>1685</v>
      </c>
      <c r="C1637" s="459">
        <v>10</v>
      </c>
      <c r="D1637" s="458">
        <v>2025</v>
      </c>
    </row>
    <row r="1638" spans="1:4" x14ac:dyDescent="0.35">
      <c r="A1638" s="457" t="s">
        <v>72</v>
      </c>
      <c r="B1638" s="458" t="s">
        <v>1685</v>
      </c>
      <c r="C1638" s="459">
        <v>16</v>
      </c>
      <c r="D1638" s="458">
        <v>2024</v>
      </c>
    </row>
    <row r="1639" spans="1:4" x14ac:dyDescent="0.35">
      <c r="A1639" s="457" t="s">
        <v>72</v>
      </c>
      <c r="B1639" s="458" t="s">
        <v>1685</v>
      </c>
      <c r="C1639" s="459">
        <v>25</v>
      </c>
      <c r="D1639" s="458">
        <v>2025</v>
      </c>
    </row>
    <row r="1640" spans="1:4" x14ac:dyDescent="0.35">
      <c r="A1640" s="457" t="s">
        <v>72</v>
      </c>
      <c r="B1640" s="458" t="s">
        <v>1685</v>
      </c>
      <c r="C1640" s="459">
        <v>2</v>
      </c>
      <c r="D1640" s="458">
        <v>2025</v>
      </c>
    </row>
    <row r="1641" spans="1:4" x14ac:dyDescent="0.35">
      <c r="A1641" s="457" t="s">
        <v>72</v>
      </c>
      <c r="B1641" s="458" t="s">
        <v>1685</v>
      </c>
      <c r="C1641" s="459">
        <v>1</v>
      </c>
      <c r="D1641" s="458">
        <v>2024</v>
      </c>
    </row>
    <row r="1642" spans="1:4" x14ac:dyDescent="0.35">
      <c r="A1642" s="457" t="s">
        <v>72</v>
      </c>
      <c r="B1642" s="458" t="s">
        <v>1685</v>
      </c>
      <c r="C1642" s="459">
        <v>2</v>
      </c>
      <c r="D1642" s="458">
        <v>2025</v>
      </c>
    </row>
    <row r="1643" spans="1:4" x14ac:dyDescent="0.35">
      <c r="A1643" s="457" t="s">
        <v>72</v>
      </c>
      <c r="B1643" s="458" t="s">
        <v>1685</v>
      </c>
      <c r="C1643" s="459">
        <v>2</v>
      </c>
      <c r="D1643" s="458">
        <v>2024</v>
      </c>
    </row>
    <row r="1644" spans="1:4" x14ac:dyDescent="0.35">
      <c r="A1644" s="457" t="s">
        <v>72</v>
      </c>
      <c r="B1644" s="458" t="s">
        <v>1685</v>
      </c>
      <c r="C1644" s="459">
        <v>2</v>
      </c>
      <c r="D1644" s="458">
        <v>2024</v>
      </c>
    </row>
    <row r="1645" spans="1:4" x14ac:dyDescent="0.35">
      <c r="A1645" s="457" t="s">
        <v>72</v>
      </c>
      <c r="B1645" s="458" t="s">
        <v>1685</v>
      </c>
      <c r="C1645" s="459">
        <v>2</v>
      </c>
      <c r="D1645" s="458">
        <v>2025</v>
      </c>
    </row>
    <row r="1646" spans="1:4" x14ac:dyDescent="0.35">
      <c r="A1646" s="457" t="s">
        <v>72</v>
      </c>
      <c r="B1646" s="458" t="s">
        <v>1685</v>
      </c>
      <c r="C1646" s="459">
        <v>10</v>
      </c>
      <c r="D1646" s="458">
        <v>2024</v>
      </c>
    </row>
    <row r="1647" spans="1:4" x14ac:dyDescent="0.35">
      <c r="A1647" s="457" t="s">
        <v>72</v>
      </c>
      <c r="B1647" s="458" t="s">
        <v>1685</v>
      </c>
      <c r="C1647" s="459">
        <v>4</v>
      </c>
      <c r="D1647" s="458">
        <v>2025</v>
      </c>
    </row>
    <row r="1648" spans="1:4" x14ac:dyDescent="0.35">
      <c r="A1648" s="457" t="s">
        <v>72</v>
      </c>
      <c r="B1648" s="458" t="s">
        <v>1688</v>
      </c>
      <c r="C1648" s="459">
        <v>8</v>
      </c>
      <c r="D1648" s="458">
        <v>2024</v>
      </c>
    </row>
    <row r="1649" spans="1:4" x14ac:dyDescent="0.35">
      <c r="A1649" s="457" t="s">
        <v>72</v>
      </c>
      <c r="B1649" s="458" t="s">
        <v>1688</v>
      </c>
      <c r="C1649" s="459">
        <v>4</v>
      </c>
      <c r="D1649" s="458">
        <v>2024</v>
      </c>
    </row>
    <row r="1650" spans="1:4" x14ac:dyDescent="0.35">
      <c r="A1650" s="457" t="s">
        <v>72</v>
      </c>
      <c r="B1650" s="458" t="s">
        <v>1688</v>
      </c>
      <c r="C1650" s="459">
        <v>8</v>
      </c>
      <c r="D1650" s="458">
        <v>2024</v>
      </c>
    </row>
    <row r="1651" spans="1:4" x14ac:dyDescent="0.35">
      <c r="A1651" s="457" t="s">
        <v>72</v>
      </c>
      <c r="B1651" s="458" t="s">
        <v>1688</v>
      </c>
      <c r="C1651" s="459">
        <v>5</v>
      </c>
      <c r="D1651" s="458">
        <v>2024</v>
      </c>
    </row>
    <row r="1652" spans="1:4" x14ac:dyDescent="0.35">
      <c r="A1652" s="457" t="s">
        <v>72</v>
      </c>
      <c r="B1652" s="458" t="s">
        <v>1688</v>
      </c>
      <c r="C1652" s="459">
        <v>2</v>
      </c>
      <c r="D1652" s="458">
        <v>2024</v>
      </c>
    </row>
    <row r="1653" spans="1:4" x14ac:dyDescent="0.35">
      <c r="A1653" s="457" t="s">
        <v>72</v>
      </c>
      <c r="B1653" s="458" t="s">
        <v>1688</v>
      </c>
      <c r="C1653" s="459">
        <v>7</v>
      </c>
      <c r="D1653" s="458">
        <v>2024</v>
      </c>
    </row>
    <row r="1654" spans="1:4" x14ac:dyDescent="0.35">
      <c r="A1654" s="457" t="s">
        <v>72</v>
      </c>
      <c r="B1654" s="458" t="s">
        <v>1688</v>
      </c>
      <c r="C1654" s="459">
        <v>28</v>
      </c>
      <c r="D1654" s="458">
        <v>2024</v>
      </c>
    </row>
    <row r="1655" spans="1:4" x14ac:dyDescent="0.35">
      <c r="A1655" s="457" t="s">
        <v>72</v>
      </c>
      <c r="B1655" s="458" t="s">
        <v>1688</v>
      </c>
      <c r="C1655" s="459">
        <v>3</v>
      </c>
      <c r="D1655" s="458">
        <v>2024</v>
      </c>
    </row>
    <row r="1656" spans="1:4" x14ac:dyDescent="0.35">
      <c r="A1656" s="457" t="s">
        <v>72</v>
      </c>
      <c r="B1656" s="458" t="s">
        <v>1688</v>
      </c>
      <c r="C1656" s="459">
        <v>1</v>
      </c>
      <c r="D1656" s="458">
        <v>2024</v>
      </c>
    </row>
    <row r="1657" spans="1:4" x14ac:dyDescent="0.35">
      <c r="A1657" s="457" t="s">
        <v>72</v>
      </c>
      <c r="B1657" s="458" t="s">
        <v>1688</v>
      </c>
      <c r="C1657" s="459">
        <v>4</v>
      </c>
      <c r="D1657" s="458">
        <v>2024</v>
      </c>
    </row>
    <row r="1658" spans="1:4" x14ac:dyDescent="0.35">
      <c r="A1658" s="457" t="s">
        <v>72</v>
      </c>
      <c r="B1658" s="458" t="s">
        <v>1688</v>
      </c>
      <c r="C1658" s="459">
        <v>6</v>
      </c>
      <c r="D1658" s="458">
        <v>2024</v>
      </c>
    </row>
    <row r="1659" spans="1:4" x14ac:dyDescent="0.35">
      <c r="A1659" s="457" t="s">
        <v>72</v>
      </c>
      <c r="B1659" s="458" t="s">
        <v>1688</v>
      </c>
      <c r="C1659" s="459">
        <v>22</v>
      </c>
      <c r="D1659" s="458">
        <v>2024</v>
      </c>
    </row>
    <row r="1660" spans="1:4" x14ac:dyDescent="0.35">
      <c r="A1660" s="457" t="s">
        <v>72</v>
      </c>
      <c r="B1660" s="458" t="s">
        <v>1688</v>
      </c>
      <c r="C1660" s="459">
        <v>5</v>
      </c>
      <c r="D1660" s="458">
        <v>2024</v>
      </c>
    </row>
    <row r="1661" spans="1:4" x14ac:dyDescent="0.35">
      <c r="A1661" s="457" t="s">
        <v>72</v>
      </c>
      <c r="B1661" s="458" t="s">
        <v>1688</v>
      </c>
      <c r="C1661" s="459">
        <v>4</v>
      </c>
      <c r="D1661" s="458">
        <v>2024</v>
      </c>
    </row>
    <row r="1662" spans="1:4" x14ac:dyDescent="0.35">
      <c r="A1662" s="457" t="s">
        <v>72</v>
      </c>
      <c r="B1662" s="458" t="s">
        <v>1688</v>
      </c>
      <c r="C1662" s="459">
        <v>1</v>
      </c>
      <c r="D1662" s="458">
        <v>2024</v>
      </c>
    </row>
    <row r="1663" spans="1:4" x14ac:dyDescent="0.35">
      <c r="A1663" s="457" t="s">
        <v>72</v>
      </c>
      <c r="B1663" s="458" t="s">
        <v>1688</v>
      </c>
      <c r="C1663" s="459">
        <v>10</v>
      </c>
      <c r="D1663" s="458">
        <v>2024</v>
      </c>
    </row>
    <row r="1664" spans="1:4" x14ac:dyDescent="0.35">
      <c r="A1664" s="457" t="s">
        <v>72</v>
      </c>
      <c r="B1664" s="458" t="s">
        <v>1688</v>
      </c>
      <c r="C1664" s="459">
        <v>6</v>
      </c>
      <c r="D1664" s="458">
        <v>2024</v>
      </c>
    </row>
    <row r="1665" spans="1:4" x14ac:dyDescent="0.35">
      <c r="A1665" s="457" t="s">
        <v>72</v>
      </c>
      <c r="B1665" s="458" t="s">
        <v>1688</v>
      </c>
      <c r="C1665" s="459">
        <v>2</v>
      </c>
      <c r="D1665" s="458">
        <v>2024</v>
      </c>
    </row>
    <row r="1666" spans="1:4" x14ac:dyDescent="0.35">
      <c r="A1666" s="457" t="s">
        <v>72</v>
      </c>
      <c r="B1666" s="458" t="s">
        <v>1688</v>
      </c>
      <c r="C1666" s="459">
        <v>1</v>
      </c>
      <c r="D1666" s="458">
        <v>2024</v>
      </c>
    </row>
    <row r="1667" spans="1:4" x14ac:dyDescent="0.35">
      <c r="A1667" s="457" t="s">
        <v>72</v>
      </c>
      <c r="B1667" s="458" t="s">
        <v>1688</v>
      </c>
      <c r="C1667" s="459">
        <v>1</v>
      </c>
      <c r="D1667" s="458">
        <v>2024</v>
      </c>
    </row>
    <row r="1668" spans="1:4" x14ac:dyDescent="0.35">
      <c r="A1668" s="457" t="s">
        <v>72</v>
      </c>
      <c r="B1668" s="458" t="s">
        <v>1688</v>
      </c>
      <c r="C1668" s="459">
        <v>4</v>
      </c>
      <c r="D1668" s="458">
        <v>2024</v>
      </c>
    </row>
    <row r="1669" spans="1:4" x14ac:dyDescent="0.35">
      <c r="A1669" s="457" t="s">
        <v>72</v>
      </c>
      <c r="B1669" s="458" t="s">
        <v>1688</v>
      </c>
      <c r="C1669" s="459">
        <v>4</v>
      </c>
      <c r="D1669" s="458">
        <v>2024</v>
      </c>
    </row>
    <row r="1670" spans="1:4" x14ac:dyDescent="0.35">
      <c r="A1670" s="457" t="s">
        <v>72</v>
      </c>
      <c r="B1670" s="458" t="s">
        <v>1688</v>
      </c>
      <c r="C1670" s="459">
        <v>-10</v>
      </c>
      <c r="D1670" s="458">
        <v>2024</v>
      </c>
    </row>
    <row r="1671" spans="1:4" x14ac:dyDescent="0.35">
      <c r="A1671" s="457" t="s">
        <v>72</v>
      </c>
      <c r="B1671" s="458" t="s">
        <v>1688</v>
      </c>
      <c r="C1671" s="459">
        <v>8</v>
      </c>
      <c r="D1671" s="458">
        <v>2024</v>
      </c>
    </row>
    <row r="1672" spans="1:4" x14ac:dyDescent="0.35">
      <c r="A1672" s="457" t="s">
        <v>72</v>
      </c>
      <c r="B1672" s="458" t="s">
        <v>1688</v>
      </c>
      <c r="C1672" s="459">
        <v>4</v>
      </c>
      <c r="D1672" s="458">
        <v>2024</v>
      </c>
    </row>
    <row r="1673" spans="1:4" x14ac:dyDescent="0.35">
      <c r="A1673" s="457" t="s">
        <v>72</v>
      </c>
      <c r="B1673" s="458" t="s">
        <v>1688</v>
      </c>
      <c r="C1673" s="459">
        <v>14</v>
      </c>
      <c r="D1673" s="458">
        <v>2024</v>
      </c>
    </row>
    <row r="1674" spans="1:4" x14ac:dyDescent="0.35">
      <c r="A1674" s="457" t="s">
        <v>72</v>
      </c>
      <c r="B1674" s="458" t="s">
        <v>1688</v>
      </c>
      <c r="C1674" s="459">
        <v>1</v>
      </c>
      <c r="D1674" s="458">
        <v>2024</v>
      </c>
    </row>
    <row r="1675" spans="1:4" x14ac:dyDescent="0.35">
      <c r="A1675" s="457" t="s">
        <v>72</v>
      </c>
      <c r="B1675" s="458" t="s">
        <v>1688</v>
      </c>
      <c r="C1675" s="459">
        <v>1</v>
      </c>
      <c r="D1675" s="458">
        <v>2024</v>
      </c>
    </row>
    <row r="1676" spans="1:4" x14ac:dyDescent="0.35">
      <c r="A1676" s="457" t="s">
        <v>72</v>
      </c>
      <c r="B1676" s="458" t="s">
        <v>1688</v>
      </c>
      <c r="C1676" s="459">
        <v>3</v>
      </c>
      <c r="D1676" s="458">
        <v>2024</v>
      </c>
    </row>
    <row r="1677" spans="1:4" x14ac:dyDescent="0.35">
      <c r="A1677" s="457" t="s">
        <v>72</v>
      </c>
      <c r="B1677" s="458" t="s">
        <v>1688</v>
      </c>
      <c r="C1677" s="459">
        <v>6</v>
      </c>
      <c r="D1677" s="458">
        <v>2024</v>
      </c>
    </row>
    <row r="1678" spans="1:4" x14ac:dyDescent="0.35">
      <c r="A1678" s="457" t="s">
        <v>72</v>
      </c>
      <c r="B1678" s="458" t="s">
        <v>1688</v>
      </c>
      <c r="C1678" s="459">
        <v>5</v>
      </c>
      <c r="D1678" s="458">
        <v>2024</v>
      </c>
    </row>
    <row r="1679" spans="1:4" x14ac:dyDescent="0.35">
      <c r="A1679" s="457" t="s">
        <v>72</v>
      </c>
      <c r="B1679" s="458" t="s">
        <v>1688</v>
      </c>
      <c r="C1679" s="459">
        <v>6</v>
      </c>
      <c r="D1679" s="458">
        <v>2024</v>
      </c>
    </row>
    <row r="1680" spans="1:4" x14ac:dyDescent="0.35">
      <c r="A1680" s="457" t="s">
        <v>72</v>
      </c>
      <c r="B1680" s="458" t="s">
        <v>1688</v>
      </c>
      <c r="C1680" s="459">
        <v>5</v>
      </c>
      <c r="D1680" s="458">
        <v>2024</v>
      </c>
    </row>
    <row r="1681" spans="1:4" x14ac:dyDescent="0.35">
      <c r="A1681" s="457" t="s">
        <v>72</v>
      </c>
      <c r="B1681" s="458" t="s">
        <v>1688</v>
      </c>
      <c r="C1681" s="459">
        <v>40</v>
      </c>
      <c r="D1681" s="458">
        <v>2024</v>
      </c>
    </row>
    <row r="1682" spans="1:4" x14ac:dyDescent="0.35">
      <c r="A1682" s="457" t="s">
        <v>72</v>
      </c>
      <c r="B1682" s="458" t="s">
        <v>1688</v>
      </c>
      <c r="C1682" s="459">
        <v>18</v>
      </c>
      <c r="D1682" s="458">
        <v>2024</v>
      </c>
    </row>
    <row r="1683" spans="1:4" x14ac:dyDescent="0.35">
      <c r="A1683" s="457" t="s">
        <v>72</v>
      </c>
      <c r="B1683" s="458" t="s">
        <v>1688</v>
      </c>
      <c r="C1683" s="459">
        <v>16</v>
      </c>
      <c r="D1683" s="458">
        <v>2024</v>
      </c>
    </row>
    <row r="1684" spans="1:4" x14ac:dyDescent="0.35">
      <c r="A1684" s="457" t="s">
        <v>72</v>
      </c>
      <c r="B1684" s="458" t="s">
        <v>1688</v>
      </c>
      <c r="C1684" s="459">
        <v>30</v>
      </c>
      <c r="D1684" s="458">
        <v>2024</v>
      </c>
    </row>
    <row r="1685" spans="1:4" x14ac:dyDescent="0.35">
      <c r="A1685" s="457" t="s">
        <v>72</v>
      </c>
      <c r="B1685" s="458" t="s">
        <v>1688</v>
      </c>
      <c r="C1685" s="459">
        <v>5</v>
      </c>
      <c r="D1685" s="458">
        <v>2024</v>
      </c>
    </row>
    <row r="1686" spans="1:4" x14ac:dyDescent="0.35">
      <c r="A1686" s="457" t="s">
        <v>72</v>
      </c>
      <c r="B1686" s="458" t="s">
        <v>1688</v>
      </c>
      <c r="C1686" s="459">
        <v>1</v>
      </c>
      <c r="D1686" s="458">
        <v>2024</v>
      </c>
    </row>
    <row r="1687" spans="1:4" x14ac:dyDescent="0.35">
      <c r="A1687" s="457" t="s">
        <v>72</v>
      </c>
      <c r="B1687" s="458" t="s">
        <v>1688</v>
      </c>
      <c r="C1687" s="459">
        <v>3</v>
      </c>
      <c r="D1687" s="458">
        <v>2024</v>
      </c>
    </row>
    <row r="1688" spans="1:4" x14ac:dyDescent="0.35">
      <c r="A1688" s="457" t="s">
        <v>72</v>
      </c>
      <c r="B1688" s="458" t="s">
        <v>1688</v>
      </c>
      <c r="C1688" s="459">
        <v>1</v>
      </c>
      <c r="D1688" s="458">
        <v>2024</v>
      </c>
    </row>
    <row r="1689" spans="1:4" x14ac:dyDescent="0.35">
      <c r="A1689" s="457" t="s">
        <v>72</v>
      </c>
      <c r="B1689" s="458" t="s">
        <v>1688</v>
      </c>
      <c r="C1689" s="459">
        <v>1</v>
      </c>
      <c r="D1689" s="458">
        <v>2024</v>
      </c>
    </row>
    <row r="1690" spans="1:4" x14ac:dyDescent="0.35">
      <c r="A1690" s="457" t="s">
        <v>72</v>
      </c>
      <c r="B1690" s="458" t="s">
        <v>1688</v>
      </c>
      <c r="C1690" s="459">
        <v>3</v>
      </c>
      <c r="D1690" s="458">
        <v>2024</v>
      </c>
    </row>
    <row r="1691" spans="1:4" x14ac:dyDescent="0.35">
      <c r="A1691" s="457" t="s">
        <v>72</v>
      </c>
      <c r="B1691" s="458" t="s">
        <v>1688</v>
      </c>
      <c r="C1691" s="459">
        <v>3</v>
      </c>
      <c r="D1691" s="458">
        <v>2024</v>
      </c>
    </row>
    <row r="1692" spans="1:4" x14ac:dyDescent="0.35">
      <c r="A1692" s="457" t="s">
        <v>72</v>
      </c>
      <c r="B1692" s="458" t="s">
        <v>1688</v>
      </c>
      <c r="C1692" s="459">
        <v>5</v>
      </c>
      <c r="D1692" s="458">
        <v>2024</v>
      </c>
    </row>
    <row r="1693" spans="1:4" x14ac:dyDescent="0.35">
      <c r="A1693" s="457" t="s">
        <v>72</v>
      </c>
      <c r="B1693" s="458" t="s">
        <v>1686</v>
      </c>
      <c r="C1693" s="459">
        <v>24</v>
      </c>
      <c r="D1693" s="458">
        <v>2024</v>
      </c>
    </row>
    <row r="1694" spans="1:4" x14ac:dyDescent="0.35">
      <c r="A1694" s="457" t="s">
        <v>72</v>
      </c>
      <c r="B1694" s="458" t="s">
        <v>1686</v>
      </c>
      <c r="C1694" s="459">
        <v>10</v>
      </c>
      <c r="D1694" s="458">
        <v>2024</v>
      </c>
    </row>
    <row r="1695" spans="1:4" x14ac:dyDescent="0.35">
      <c r="A1695" s="457" t="s">
        <v>72</v>
      </c>
      <c r="B1695" s="458" t="s">
        <v>1686</v>
      </c>
      <c r="C1695" s="459">
        <v>3</v>
      </c>
      <c r="D1695" s="458">
        <v>2024</v>
      </c>
    </row>
    <row r="1696" spans="1:4" x14ac:dyDescent="0.35">
      <c r="A1696" s="457" t="s">
        <v>72</v>
      </c>
      <c r="B1696" s="458" t="s">
        <v>1686</v>
      </c>
      <c r="C1696" s="459">
        <v>12</v>
      </c>
      <c r="D1696" s="458">
        <v>2024</v>
      </c>
    </row>
    <row r="1697" spans="1:4" x14ac:dyDescent="0.35">
      <c r="A1697" s="457" t="s">
        <v>72</v>
      </c>
      <c r="B1697" s="458" t="s">
        <v>1686</v>
      </c>
      <c r="C1697" s="459">
        <v>4</v>
      </c>
      <c r="D1697" s="458">
        <v>2024</v>
      </c>
    </row>
    <row r="1698" spans="1:4" x14ac:dyDescent="0.35">
      <c r="A1698" s="457" t="s">
        <v>72</v>
      </c>
      <c r="B1698" s="458" t="s">
        <v>1686</v>
      </c>
      <c r="C1698" s="459">
        <v>21</v>
      </c>
      <c r="D1698" s="458">
        <v>2024</v>
      </c>
    </row>
    <row r="1699" spans="1:4" x14ac:dyDescent="0.35">
      <c r="A1699" s="457" t="s">
        <v>72</v>
      </c>
      <c r="B1699" s="458" t="s">
        <v>1686</v>
      </c>
      <c r="C1699" s="459">
        <v>8</v>
      </c>
      <c r="D1699" s="458">
        <v>2024</v>
      </c>
    </row>
    <row r="1700" spans="1:4" x14ac:dyDescent="0.35">
      <c r="A1700" s="457" t="s">
        <v>72</v>
      </c>
      <c r="B1700" s="458" t="s">
        <v>1686</v>
      </c>
      <c r="C1700" s="459">
        <v>3</v>
      </c>
      <c r="D1700" s="458">
        <v>2024</v>
      </c>
    </row>
    <row r="1701" spans="1:4" x14ac:dyDescent="0.35">
      <c r="A1701" s="457" t="s">
        <v>72</v>
      </c>
      <c r="B1701" s="458" t="s">
        <v>1686</v>
      </c>
      <c r="C1701" s="459">
        <v>8</v>
      </c>
      <c r="D1701" s="458">
        <v>2024</v>
      </c>
    </row>
    <row r="1702" spans="1:4" x14ac:dyDescent="0.35">
      <c r="A1702" s="457" t="s">
        <v>72</v>
      </c>
      <c r="B1702" s="458" t="s">
        <v>1686</v>
      </c>
      <c r="C1702" s="459">
        <v>5</v>
      </c>
      <c r="D1702" s="458">
        <v>2024</v>
      </c>
    </row>
    <row r="1703" spans="1:4" x14ac:dyDescent="0.35">
      <c r="A1703" s="457" t="s">
        <v>72</v>
      </c>
      <c r="B1703" s="458" t="s">
        <v>1686</v>
      </c>
      <c r="C1703" s="459">
        <v>60</v>
      </c>
      <c r="D1703" s="458">
        <v>2024</v>
      </c>
    </row>
    <row r="1704" spans="1:4" x14ac:dyDescent="0.35">
      <c r="A1704" s="457" t="s">
        <v>72</v>
      </c>
      <c r="B1704" s="458" t="s">
        <v>1686</v>
      </c>
      <c r="C1704" s="459">
        <v>11</v>
      </c>
      <c r="D1704" s="458">
        <v>2024</v>
      </c>
    </row>
    <row r="1705" spans="1:4" x14ac:dyDescent="0.35">
      <c r="A1705" s="457" t="s">
        <v>72</v>
      </c>
      <c r="B1705" s="458" t="s">
        <v>1686</v>
      </c>
      <c r="C1705" s="459">
        <v>8</v>
      </c>
      <c r="D1705" s="458">
        <v>2024</v>
      </c>
    </row>
    <row r="1706" spans="1:4" x14ac:dyDescent="0.35">
      <c r="A1706" s="457" t="s">
        <v>72</v>
      </c>
      <c r="B1706" s="458" t="s">
        <v>1686</v>
      </c>
      <c r="C1706" s="459">
        <v>7</v>
      </c>
      <c r="D1706" s="458">
        <v>2024</v>
      </c>
    </row>
    <row r="1707" spans="1:4" x14ac:dyDescent="0.35">
      <c r="A1707" s="457" t="s">
        <v>72</v>
      </c>
      <c r="B1707" s="458" t="s">
        <v>1686</v>
      </c>
      <c r="C1707" s="459">
        <v>30</v>
      </c>
      <c r="D1707" s="458">
        <v>2024</v>
      </c>
    </row>
    <row r="1708" spans="1:4" x14ac:dyDescent="0.35">
      <c r="A1708" s="457" t="s">
        <v>72</v>
      </c>
      <c r="B1708" s="458" t="s">
        <v>1686</v>
      </c>
      <c r="C1708" s="459">
        <v>20</v>
      </c>
      <c r="D1708" s="458">
        <v>2024</v>
      </c>
    </row>
    <row r="1709" spans="1:4" x14ac:dyDescent="0.35">
      <c r="A1709" s="457" t="s">
        <v>72</v>
      </c>
      <c r="B1709" s="458" t="s">
        <v>1686</v>
      </c>
      <c r="C1709" s="459">
        <v>7</v>
      </c>
      <c r="D1709" s="458">
        <v>2024</v>
      </c>
    </row>
    <row r="1710" spans="1:4" x14ac:dyDescent="0.35">
      <c r="A1710" s="457" t="s">
        <v>72</v>
      </c>
      <c r="B1710" s="458" t="s">
        <v>1686</v>
      </c>
      <c r="C1710" s="459">
        <v>2</v>
      </c>
      <c r="D1710" s="458">
        <v>2024</v>
      </c>
    </row>
    <row r="1711" spans="1:4" x14ac:dyDescent="0.35">
      <c r="A1711" s="457" t="s">
        <v>72</v>
      </c>
      <c r="B1711" s="458" t="s">
        <v>1686</v>
      </c>
      <c r="C1711" s="459">
        <v>7</v>
      </c>
      <c r="D1711" s="458">
        <v>2024</v>
      </c>
    </row>
    <row r="1712" spans="1:4" x14ac:dyDescent="0.35">
      <c r="A1712" s="457" t="s">
        <v>72</v>
      </c>
      <c r="B1712" s="458" t="s">
        <v>1686</v>
      </c>
      <c r="C1712" s="459">
        <v>25</v>
      </c>
      <c r="D1712" s="458">
        <v>2024</v>
      </c>
    </row>
    <row r="1713" spans="1:4" x14ac:dyDescent="0.35">
      <c r="A1713" s="457" t="s">
        <v>72</v>
      </c>
      <c r="B1713" s="458" t="s">
        <v>1686</v>
      </c>
      <c r="C1713" s="459">
        <v>30</v>
      </c>
      <c r="D1713" s="458">
        <v>2024</v>
      </c>
    </row>
    <row r="1714" spans="1:4" x14ac:dyDescent="0.35">
      <c r="A1714" s="457" t="s">
        <v>72</v>
      </c>
      <c r="B1714" s="458" t="s">
        <v>1686</v>
      </c>
      <c r="C1714" s="459">
        <v>8</v>
      </c>
      <c r="D1714" s="458">
        <v>2024</v>
      </c>
    </row>
    <row r="1715" spans="1:4" x14ac:dyDescent="0.35">
      <c r="A1715" s="457" t="s">
        <v>72</v>
      </c>
      <c r="B1715" s="458" t="s">
        <v>1686</v>
      </c>
      <c r="C1715" s="459">
        <v>9</v>
      </c>
      <c r="D1715" s="458">
        <v>2024</v>
      </c>
    </row>
    <row r="1716" spans="1:4" x14ac:dyDescent="0.35">
      <c r="A1716" s="457" t="s">
        <v>72</v>
      </c>
      <c r="B1716" s="458" t="s">
        <v>1686</v>
      </c>
      <c r="C1716" s="459">
        <v>41</v>
      </c>
      <c r="D1716" s="458">
        <v>2024</v>
      </c>
    </row>
    <row r="1717" spans="1:4" x14ac:dyDescent="0.35">
      <c r="A1717" s="457" t="s">
        <v>72</v>
      </c>
      <c r="B1717" s="458" t="s">
        <v>1686</v>
      </c>
      <c r="C1717" s="459">
        <v>20</v>
      </c>
      <c r="D1717" s="458">
        <v>2024</v>
      </c>
    </row>
    <row r="1718" spans="1:4" x14ac:dyDescent="0.35">
      <c r="A1718" s="457" t="s">
        <v>72</v>
      </c>
      <c r="B1718" s="458" t="s">
        <v>1686</v>
      </c>
      <c r="C1718" s="459">
        <v>1</v>
      </c>
      <c r="D1718" s="458">
        <v>2024</v>
      </c>
    </row>
    <row r="1719" spans="1:4" x14ac:dyDescent="0.35">
      <c r="A1719" s="457" t="s">
        <v>72</v>
      </c>
      <c r="B1719" s="458" t="s">
        <v>1686</v>
      </c>
      <c r="C1719" s="459">
        <v>14</v>
      </c>
      <c r="D1719" s="458">
        <v>2024</v>
      </c>
    </row>
    <row r="1720" spans="1:4" x14ac:dyDescent="0.35">
      <c r="A1720" s="457" t="s">
        <v>72</v>
      </c>
      <c r="B1720" s="458" t="s">
        <v>1686</v>
      </c>
      <c r="C1720" s="459">
        <v>66</v>
      </c>
      <c r="D1720" s="458">
        <v>2024</v>
      </c>
    </row>
    <row r="1721" spans="1:4" x14ac:dyDescent="0.35">
      <c r="A1721" s="457" t="s">
        <v>72</v>
      </c>
      <c r="B1721" s="458" t="s">
        <v>1686</v>
      </c>
      <c r="C1721" s="459">
        <v>8</v>
      </c>
      <c r="D1721" s="458">
        <v>2024</v>
      </c>
    </row>
    <row r="1722" spans="1:4" x14ac:dyDescent="0.35">
      <c r="A1722" s="457" t="s">
        <v>72</v>
      </c>
      <c r="B1722" s="458" t="s">
        <v>1686</v>
      </c>
      <c r="C1722" s="459">
        <v>16</v>
      </c>
      <c r="D1722" s="458">
        <v>2024</v>
      </c>
    </row>
    <row r="1723" spans="1:4" x14ac:dyDescent="0.35">
      <c r="A1723" s="457" t="s">
        <v>72</v>
      </c>
      <c r="B1723" s="458" t="s">
        <v>1686</v>
      </c>
      <c r="C1723" s="459">
        <v>8</v>
      </c>
      <c r="D1723" s="458">
        <v>2024</v>
      </c>
    </row>
    <row r="1724" spans="1:4" x14ac:dyDescent="0.35">
      <c r="A1724" s="457" t="s">
        <v>72</v>
      </c>
      <c r="B1724" s="458" t="s">
        <v>1686</v>
      </c>
      <c r="C1724" s="459">
        <v>36</v>
      </c>
      <c r="D1724" s="458">
        <v>2024</v>
      </c>
    </row>
    <row r="1725" spans="1:4" x14ac:dyDescent="0.35">
      <c r="A1725" s="457" t="s">
        <v>72</v>
      </c>
      <c r="B1725" s="458" t="s">
        <v>1686</v>
      </c>
      <c r="C1725" s="459">
        <v>4</v>
      </c>
      <c r="D1725" s="458">
        <v>2024</v>
      </c>
    </row>
    <row r="1726" spans="1:4" x14ac:dyDescent="0.35">
      <c r="A1726" s="457" t="s">
        <v>72</v>
      </c>
      <c r="B1726" s="458" t="s">
        <v>1686</v>
      </c>
      <c r="C1726" s="459">
        <v>1</v>
      </c>
      <c r="D1726" s="458">
        <v>2024</v>
      </c>
    </row>
    <row r="1727" spans="1:4" x14ac:dyDescent="0.35">
      <c r="A1727" s="457" t="s">
        <v>72</v>
      </c>
      <c r="B1727" s="458" t="s">
        <v>1686</v>
      </c>
      <c r="C1727" s="459">
        <v>1</v>
      </c>
      <c r="D1727" s="458">
        <v>2024</v>
      </c>
    </row>
    <row r="1728" spans="1:4" x14ac:dyDescent="0.35">
      <c r="A1728" s="457" t="s">
        <v>72</v>
      </c>
      <c r="B1728" s="458" t="s">
        <v>1686</v>
      </c>
      <c r="C1728" s="459">
        <v>10</v>
      </c>
      <c r="D1728" s="458">
        <v>2024</v>
      </c>
    </row>
    <row r="1729" spans="1:4" x14ac:dyDescent="0.35">
      <c r="A1729" s="457" t="s">
        <v>72</v>
      </c>
      <c r="B1729" s="458" t="s">
        <v>1686</v>
      </c>
      <c r="C1729" s="459">
        <v>4</v>
      </c>
      <c r="D1729" s="458">
        <v>2024</v>
      </c>
    </row>
    <row r="1730" spans="1:4" x14ac:dyDescent="0.35">
      <c r="A1730" s="457" t="s">
        <v>72</v>
      </c>
      <c r="B1730" s="458" t="s">
        <v>1686</v>
      </c>
      <c r="C1730" s="459">
        <v>1</v>
      </c>
      <c r="D1730" s="458">
        <v>2024</v>
      </c>
    </row>
    <row r="1731" spans="1:4" x14ac:dyDescent="0.35">
      <c r="A1731" s="457" t="s">
        <v>72</v>
      </c>
      <c r="B1731" s="458" t="s">
        <v>1686</v>
      </c>
      <c r="C1731" s="459">
        <v>2</v>
      </c>
      <c r="D1731" s="458">
        <v>2024</v>
      </c>
    </row>
    <row r="1732" spans="1:4" x14ac:dyDescent="0.35">
      <c r="A1732" s="457" t="s">
        <v>72</v>
      </c>
      <c r="B1732" s="458" t="s">
        <v>1686</v>
      </c>
      <c r="C1732" s="459">
        <v>7</v>
      </c>
      <c r="D1732" s="458">
        <v>2024</v>
      </c>
    </row>
    <row r="1733" spans="1:4" x14ac:dyDescent="0.35">
      <c r="A1733" s="457" t="s">
        <v>72</v>
      </c>
      <c r="B1733" s="458" t="s">
        <v>1686</v>
      </c>
      <c r="C1733" s="459">
        <v>7</v>
      </c>
      <c r="D1733" s="458">
        <v>2024</v>
      </c>
    </row>
    <row r="1734" spans="1:4" x14ac:dyDescent="0.35">
      <c r="A1734" s="457" t="s">
        <v>72</v>
      </c>
      <c r="B1734" s="458" t="s">
        <v>1686</v>
      </c>
      <c r="C1734" s="459">
        <v>1</v>
      </c>
      <c r="D1734" s="458">
        <v>2024</v>
      </c>
    </row>
    <row r="1735" spans="1:4" x14ac:dyDescent="0.35">
      <c r="A1735" s="457" t="s">
        <v>72</v>
      </c>
      <c r="B1735" s="458" t="s">
        <v>1686</v>
      </c>
      <c r="C1735" s="459">
        <v>10</v>
      </c>
      <c r="D1735" s="458">
        <v>2024</v>
      </c>
    </row>
    <row r="1736" spans="1:4" x14ac:dyDescent="0.35">
      <c r="A1736" s="457" t="s">
        <v>72</v>
      </c>
      <c r="B1736" s="458" t="s">
        <v>1686</v>
      </c>
      <c r="C1736" s="459">
        <v>4</v>
      </c>
      <c r="D1736" s="458">
        <v>2024</v>
      </c>
    </row>
    <row r="1737" spans="1:4" x14ac:dyDescent="0.35">
      <c r="A1737" s="457" t="s">
        <v>72</v>
      </c>
      <c r="B1737" s="458" t="s">
        <v>1686</v>
      </c>
      <c r="C1737" s="459">
        <v>1</v>
      </c>
      <c r="D1737" s="458">
        <v>2024</v>
      </c>
    </row>
    <row r="1738" spans="1:4" x14ac:dyDescent="0.35">
      <c r="A1738" s="457" t="s">
        <v>72</v>
      </c>
      <c r="B1738" s="458" t="s">
        <v>1686</v>
      </c>
      <c r="C1738" s="459">
        <v>1</v>
      </c>
      <c r="D1738" s="458">
        <v>2024</v>
      </c>
    </row>
    <row r="1739" spans="1:4" x14ac:dyDescent="0.35">
      <c r="A1739" s="457" t="s">
        <v>72</v>
      </c>
      <c r="B1739" s="458" t="s">
        <v>1686</v>
      </c>
      <c r="C1739" s="459">
        <v>4</v>
      </c>
      <c r="D1739" s="458">
        <v>2024</v>
      </c>
    </row>
    <row r="1740" spans="1:4" x14ac:dyDescent="0.35">
      <c r="A1740" s="457" t="s">
        <v>72</v>
      </c>
      <c r="B1740" s="458" t="s">
        <v>1686</v>
      </c>
      <c r="C1740" s="459">
        <v>4</v>
      </c>
      <c r="D1740" s="458">
        <v>2024</v>
      </c>
    </row>
    <row r="1741" spans="1:4" x14ac:dyDescent="0.35">
      <c r="A1741" s="457" t="s">
        <v>72</v>
      </c>
      <c r="B1741" s="458" t="s">
        <v>1686</v>
      </c>
      <c r="C1741" s="459">
        <v>15</v>
      </c>
      <c r="D1741" s="458">
        <v>2024</v>
      </c>
    </row>
    <row r="1742" spans="1:4" x14ac:dyDescent="0.35">
      <c r="A1742" s="457" t="s">
        <v>72</v>
      </c>
      <c r="B1742" s="458" t="s">
        <v>1686</v>
      </c>
      <c r="C1742" s="459">
        <v>4</v>
      </c>
      <c r="D1742" s="458">
        <v>2024</v>
      </c>
    </row>
    <row r="1743" spans="1:4" x14ac:dyDescent="0.35">
      <c r="A1743" s="457" t="s">
        <v>72</v>
      </c>
      <c r="B1743" s="458" t="s">
        <v>1686</v>
      </c>
      <c r="C1743" s="459">
        <v>0</v>
      </c>
      <c r="D1743" s="458">
        <v>2024</v>
      </c>
    </row>
    <row r="1744" spans="1:4" x14ac:dyDescent="0.35">
      <c r="A1744" s="457" t="s">
        <v>72</v>
      </c>
      <c r="B1744" s="458" t="s">
        <v>1686</v>
      </c>
      <c r="C1744" s="459">
        <v>-211</v>
      </c>
      <c r="D1744" s="458">
        <v>2024</v>
      </c>
    </row>
    <row r="1745" spans="1:4" x14ac:dyDescent="0.35">
      <c r="A1745" s="457" t="s">
        <v>72</v>
      </c>
      <c r="B1745" s="458" t="s">
        <v>1686</v>
      </c>
      <c r="C1745" s="459">
        <v>-12</v>
      </c>
      <c r="D1745" s="458">
        <v>2024</v>
      </c>
    </row>
    <row r="1746" spans="1:4" x14ac:dyDescent="0.35">
      <c r="A1746" s="457" t="s">
        <v>72</v>
      </c>
      <c r="B1746" s="458" t="s">
        <v>1686</v>
      </c>
      <c r="C1746" s="459">
        <v>18</v>
      </c>
      <c r="D1746" s="458">
        <v>2024</v>
      </c>
    </row>
    <row r="1747" spans="1:4" x14ac:dyDescent="0.35">
      <c r="A1747" s="457" t="s">
        <v>72</v>
      </c>
      <c r="B1747" s="458" t="s">
        <v>1686</v>
      </c>
      <c r="C1747" s="459">
        <v>2</v>
      </c>
      <c r="D1747" s="458">
        <v>2024</v>
      </c>
    </row>
    <row r="1748" spans="1:4" x14ac:dyDescent="0.35">
      <c r="A1748" s="457" t="s">
        <v>72</v>
      </c>
      <c r="B1748" s="458" t="s">
        <v>1686</v>
      </c>
      <c r="C1748" s="459">
        <v>14</v>
      </c>
      <c r="D1748" s="458">
        <v>2024</v>
      </c>
    </row>
    <row r="1749" spans="1:4" x14ac:dyDescent="0.35">
      <c r="A1749" s="457" t="s">
        <v>72</v>
      </c>
      <c r="B1749" s="458" t="s">
        <v>1686</v>
      </c>
      <c r="C1749" s="459">
        <v>10</v>
      </c>
      <c r="D1749" s="458">
        <v>2024</v>
      </c>
    </row>
    <row r="1750" spans="1:4" x14ac:dyDescent="0.35">
      <c r="A1750" s="457" t="s">
        <v>72</v>
      </c>
      <c r="B1750" s="458" t="s">
        <v>1686</v>
      </c>
      <c r="C1750" s="459">
        <v>1</v>
      </c>
      <c r="D1750" s="458">
        <v>2024</v>
      </c>
    </row>
    <row r="1751" spans="1:4" x14ac:dyDescent="0.35">
      <c r="A1751" s="457" t="s">
        <v>72</v>
      </c>
      <c r="B1751" s="458" t="s">
        <v>1686</v>
      </c>
      <c r="C1751" s="459">
        <v>10</v>
      </c>
      <c r="D1751" s="458">
        <v>2024</v>
      </c>
    </row>
    <row r="1752" spans="1:4" x14ac:dyDescent="0.35">
      <c r="A1752" s="457" t="s">
        <v>72</v>
      </c>
      <c r="B1752" s="458" t="s">
        <v>1686</v>
      </c>
      <c r="C1752" s="459">
        <v>5</v>
      </c>
      <c r="D1752" s="458">
        <v>2024</v>
      </c>
    </row>
    <row r="1753" spans="1:4" x14ac:dyDescent="0.35">
      <c r="A1753" s="457" t="s">
        <v>72</v>
      </c>
      <c r="B1753" s="458" t="s">
        <v>1686</v>
      </c>
      <c r="C1753" s="459">
        <v>2</v>
      </c>
      <c r="D1753" s="458">
        <v>2024</v>
      </c>
    </row>
    <row r="1754" spans="1:4" x14ac:dyDescent="0.35">
      <c r="A1754" s="457" t="s">
        <v>72</v>
      </c>
      <c r="B1754" s="458" t="s">
        <v>1686</v>
      </c>
      <c r="C1754" s="459">
        <v>3</v>
      </c>
      <c r="D1754" s="458">
        <v>2024</v>
      </c>
    </row>
    <row r="1755" spans="1:4" x14ac:dyDescent="0.35">
      <c r="A1755" s="457" t="s">
        <v>72</v>
      </c>
      <c r="B1755" s="458" t="s">
        <v>1686</v>
      </c>
      <c r="C1755" s="459">
        <v>3</v>
      </c>
      <c r="D1755" s="458">
        <v>2024</v>
      </c>
    </row>
    <row r="1756" spans="1:4" x14ac:dyDescent="0.35">
      <c r="A1756" s="457" t="s">
        <v>72</v>
      </c>
      <c r="B1756" s="458" t="s">
        <v>1686</v>
      </c>
      <c r="C1756" s="459">
        <v>4</v>
      </c>
      <c r="D1756" s="458">
        <v>2024</v>
      </c>
    </row>
    <row r="1757" spans="1:4" x14ac:dyDescent="0.35">
      <c r="A1757" s="457" t="s">
        <v>72</v>
      </c>
      <c r="B1757" s="458" t="s">
        <v>1686</v>
      </c>
      <c r="C1757" s="459">
        <v>5</v>
      </c>
      <c r="D1757" s="458">
        <v>2024</v>
      </c>
    </row>
    <row r="1758" spans="1:4" x14ac:dyDescent="0.35">
      <c r="A1758" s="457" t="s">
        <v>72</v>
      </c>
      <c r="B1758" s="458" t="s">
        <v>1686</v>
      </c>
      <c r="C1758" s="459">
        <v>4</v>
      </c>
      <c r="D1758" s="458">
        <v>2024</v>
      </c>
    </row>
    <row r="1759" spans="1:4" x14ac:dyDescent="0.35">
      <c r="A1759" s="457" t="s">
        <v>72</v>
      </c>
      <c r="B1759" s="458" t="s">
        <v>1686</v>
      </c>
      <c r="C1759" s="459">
        <v>15</v>
      </c>
      <c r="D1759" s="458">
        <v>2024</v>
      </c>
    </row>
    <row r="1760" spans="1:4" x14ac:dyDescent="0.35">
      <c r="A1760" s="457" t="s">
        <v>72</v>
      </c>
      <c r="B1760" s="458" t="s">
        <v>1686</v>
      </c>
      <c r="C1760" s="459">
        <v>16</v>
      </c>
      <c r="D1760" s="458">
        <v>2024</v>
      </c>
    </row>
    <row r="1761" spans="1:4" x14ac:dyDescent="0.35">
      <c r="A1761" s="457" t="s">
        <v>72</v>
      </c>
      <c r="B1761" s="458" t="s">
        <v>1686</v>
      </c>
      <c r="C1761" s="459">
        <v>40</v>
      </c>
      <c r="D1761" s="458">
        <v>2024</v>
      </c>
    </row>
    <row r="1762" spans="1:4" x14ac:dyDescent="0.35">
      <c r="A1762" s="457" t="s">
        <v>72</v>
      </c>
      <c r="B1762" s="458" t="s">
        <v>1686</v>
      </c>
      <c r="C1762" s="459">
        <v>1</v>
      </c>
      <c r="D1762" s="458">
        <v>2024</v>
      </c>
    </row>
    <row r="1763" spans="1:4" x14ac:dyDescent="0.35">
      <c r="A1763" s="457" t="s">
        <v>72</v>
      </c>
      <c r="B1763" s="458" t="s">
        <v>1686</v>
      </c>
      <c r="C1763" s="459">
        <v>20</v>
      </c>
      <c r="D1763" s="458">
        <v>2024</v>
      </c>
    </row>
    <row r="1764" spans="1:4" x14ac:dyDescent="0.35">
      <c r="A1764" s="457" t="s">
        <v>72</v>
      </c>
      <c r="B1764" s="458" t="s">
        <v>1686</v>
      </c>
      <c r="C1764" s="459">
        <v>20</v>
      </c>
      <c r="D1764" s="458">
        <v>2024</v>
      </c>
    </row>
    <row r="1765" spans="1:4" x14ac:dyDescent="0.35">
      <c r="A1765" s="457" t="s">
        <v>72</v>
      </c>
      <c r="B1765" s="458" t="s">
        <v>1686</v>
      </c>
      <c r="C1765" s="459">
        <v>5</v>
      </c>
      <c r="D1765" s="458">
        <v>2024</v>
      </c>
    </row>
    <row r="1766" spans="1:4" x14ac:dyDescent="0.35">
      <c r="A1766" s="457" t="s">
        <v>72</v>
      </c>
      <c r="B1766" s="458" t="s">
        <v>1686</v>
      </c>
      <c r="C1766" s="459">
        <v>20</v>
      </c>
      <c r="D1766" s="458">
        <v>2024</v>
      </c>
    </row>
    <row r="1767" spans="1:4" x14ac:dyDescent="0.35">
      <c r="A1767" s="457" t="s">
        <v>72</v>
      </c>
      <c r="B1767" s="458" t="s">
        <v>1686</v>
      </c>
      <c r="C1767" s="459">
        <v>55</v>
      </c>
      <c r="D1767" s="458">
        <v>2024</v>
      </c>
    </row>
    <row r="1768" spans="1:4" x14ac:dyDescent="0.35">
      <c r="A1768" s="457" t="s">
        <v>72</v>
      </c>
      <c r="B1768" s="458" t="s">
        <v>1686</v>
      </c>
      <c r="C1768" s="459">
        <v>16</v>
      </c>
      <c r="D1768" s="458">
        <v>2024</v>
      </c>
    </row>
    <row r="1769" spans="1:4" x14ac:dyDescent="0.35">
      <c r="A1769" s="457" t="s">
        <v>72</v>
      </c>
      <c r="B1769" s="458" t="s">
        <v>1686</v>
      </c>
      <c r="C1769" s="459">
        <v>3</v>
      </c>
      <c r="D1769" s="458">
        <v>2024</v>
      </c>
    </row>
    <row r="1770" spans="1:4" x14ac:dyDescent="0.35">
      <c r="A1770" s="457" t="s">
        <v>72</v>
      </c>
      <c r="B1770" s="458" t="s">
        <v>1686</v>
      </c>
      <c r="C1770" s="459">
        <v>1</v>
      </c>
      <c r="D1770" s="458">
        <v>2024</v>
      </c>
    </row>
    <row r="1771" spans="1:4" x14ac:dyDescent="0.35">
      <c r="A1771" s="457" t="s">
        <v>72</v>
      </c>
      <c r="B1771" s="458" t="s">
        <v>1686</v>
      </c>
      <c r="C1771" s="459">
        <v>3</v>
      </c>
      <c r="D1771" s="458">
        <v>2024</v>
      </c>
    </row>
    <row r="1772" spans="1:4" x14ac:dyDescent="0.35">
      <c r="A1772" s="457" t="s">
        <v>72</v>
      </c>
      <c r="B1772" s="458" t="s">
        <v>1686</v>
      </c>
      <c r="C1772" s="459">
        <v>18</v>
      </c>
      <c r="D1772" s="458">
        <v>2024</v>
      </c>
    </row>
    <row r="1773" spans="1:4" x14ac:dyDescent="0.35">
      <c r="A1773" s="457" t="s">
        <v>72</v>
      </c>
      <c r="B1773" s="458" t="s">
        <v>1686</v>
      </c>
      <c r="C1773" s="459">
        <v>12</v>
      </c>
      <c r="D1773" s="458">
        <v>2024</v>
      </c>
    </row>
    <row r="1774" spans="1:4" x14ac:dyDescent="0.35">
      <c r="A1774" s="457" t="s">
        <v>72</v>
      </c>
      <c r="B1774" s="458" t="s">
        <v>1686</v>
      </c>
      <c r="C1774" s="459">
        <v>8</v>
      </c>
      <c r="D1774" s="458">
        <v>2024</v>
      </c>
    </row>
    <row r="1775" spans="1:4" x14ac:dyDescent="0.35">
      <c r="A1775" s="457" t="s">
        <v>72</v>
      </c>
      <c r="B1775" s="458" t="s">
        <v>1686</v>
      </c>
      <c r="C1775" s="459">
        <v>2</v>
      </c>
      <c r="D1775" s="458">
        <v>2024</v>
      </c>
    </row>
    <row r="1776" spans="1:4" x14ac:dyDescent="0.35">
      <c r="A1776" s="457" t="s">
        <v>72</v>
      </c>
      <c r="B1776" s="458" t="s">
        <v>1686</v>
      </c>
      <c r="C1776" s="459">
        <v>8</v>
      </c>
      <c r="D1776" s="458">
        <v>2024</v>
      </c>
    </row>
    <row r="1777" spans="1:4" x14ac:dyDescent="0.35">
      <c r="A1777" s="457" t="s">
        <v>72</v>
      </c>
      <c r="B1777" s="458" t="s">
        <v>1686</v>
      </c>
      <c r="C1777" s="459">
        <v>7</v>
      </c>
      <c r="D1777" s="458">
        <v>2024</v>
      </c>
    </row>
    <row r="1778" spans="1:4" x14ac:dyDescent="0.35">
      <c r="A1778" s="457" t="s">
        <v>72</v>
      </c>
      <c r="B1778" s="458" t="s">
        <v>1686</v>
      </c>
      <c r="C1778" s="459">
        <v>20</v>
      </c>
      <c r="D1778" s="458">
        <v>2024</v>
      </c>
    </row>
    <row r="1779" spans="1:4" x14ac:dyDescent="0.35">
      <c r="A1779" s="457" t="s">
        <v>72</v>
      </c>
      <c r="B1779" s="458" t="s">
        <v>1686</v>
      </c>
      <c r="C1779" s="459">
        <v>3</v>
      </c>
      <c r="D1779" s="458">
        <v>2024</v>
      </c>
    </row>
    <row r="1780" spans="1:4" x14ac:dyDescent="0.35">
      <c r="A1780" s="457" t="s">
        <v>72</v>
      </c>
      <c r="B1780" s="458" t="s">
        <v>1686</v>
      </c>
      <c r="C1780" s="459">
        <v>7</v>
      </c>
      <c r="D1780" s="458">
        <v>2024</v>
      </c>
    </row>
    <row r="1781" spans="1:4" x14ac:dyDescent="0.35">
      <c r="A1781" s="457" t="s">
        <v>72</v>
      </c>
      <c r="B1781" s="458" t="s">
        <v>1686</v>
      </c>
      <c r="C1781" s="459">
        <v>20</v>
      </c>
      <c r="D1781" s="458">
        <v>2024</v>
      </c>
    </row>
    <row r="1782" spans="1:4" x14ac:dyDescent="0.35">
      <c r="A1782" s="457" t="s">
        <v>72</v>
      </c>
      <c r="B1782" s="458" t="s">
        <v>1686</v>
      </c>
      <c r="C1782" s="459">
        <v>18</v>
      </c>
      <c r="D1782" s="458">
        <v>2024</v>
      </c>
    </row>
    <row r="1783" spans="1:4" x14ac:dyDescent="0.35">
      <c r="A1783" s="457" t="s">
        <v>72</v>
      </c>
      <c r="B1783" s="458" t="s">
        <v>1686</v>
      </c>
      <c r="C1783" s="459">
        <v>18</v>
      </c>
      <c r="D1783" s="458">
        <v>2024</v>
      </c>
    </row>
    <row r="1784" spans="1:4" x14ac:dyDescent="0.35">
      <c r="A1784" s="457" t="s">
        <v>72</v>
      </c>
      <c r="B1784" s="458" t="s">
        <v>1686</v>
      </c>
      <c r="C1784" s="459">
        <v>18</v>
      </c>
      <c r="D1784" s="458">
        <v>2024</v>
      </c>
    </row>
    <row r="1785" spans="1:4" x14ac:dyDescent="0.35">
      <c r="A1785" s="457" t="s">
        <v>72</v>
      </c>
      <c r="B1785" s="458" t="s">
        <v>1686</v>
      </c>
      <c r="C1785" s="459">
        <v>3</v>
      </c>
      <c r="D1785" s="458">
        <v>2024</v>
      </c>
    </row>
    <row r="1786" spans="1:4" x14ac:dyDescent="0.35">
      <c r="A1786" s="457" t="s">
        <v>72</v>
      </c>
      <c r="B1786" s="458" t="s">
        <v>1686</v>
      </c>
      <c r="C1786" s="459">
        <v>4</v>
      </c>
      <c r="D1786" s="458">
        <v>2024</v>
      </c>
    </row>
    <row r="1787" spans="1:4" x14ac:dyDescent="0.35">
      <c r="A1787" s="457" t="s">
        <v>72</v>
      </c>
      <c r="B1787" s="458" t="s">
        <v>1686</v>
      </c>
      <c r="C1787" s="459">
        <v>5</v>
      </c>
      <c r="D1787" s="458">
        <v>2024</v>
      </c>
    </row>
    <row r="1788" spans="1:4" x14ac:dyDescent="0.35">
      <c r="A1788" s="457" t="s">
        <v>72</v>
      </c>
      <c r="B1788" s="458" t="s">
        <v>1686</v>
      </c>
      <c r="C1788" s="459">
        <v>1</v>
      </c>
      <c r="D1788" s="458">
        <v>2024</v>
      </c>
    </row>
    <row r="1789" spans="1:4" x14ac:dyDescent="0.35">
      <c r="A1789" s="457" t="s">
        <v>72</v>
      </c>
      <c r="B1789" s="458" t="s">
        <v>1686</v>
      </c>
      <c r="C1789" s="459">
        <v>5</v>
      </c>
      <c r="D1789" s="458">
        <v>2024</v>
      </c>
    </row>
    <row r="1790" spans="1:4" x14ac:dyDescent="0.35">
      <c r="A1790" s="457" t="s">
        <v>72</v>
      </c>
      <c r="B1790" s="458" t="s">
        <v>1687</v>
      </c>
      <c r="C1790" s="459">
        <v>24</v>
      </c>
      <c r="D1790" s="458">
        <v>2024</v>
      </c>
    </row>
    <row r="1791" spans="1:4" x14ac:dyDescent="0.35">
      <c r="A1791" s="457" t="s">
        <v>72</v>
      </c>
      <c r="B1791" s="458" t="s">
        <v>1687</v>
      </c>
      <c r="C1791" s="459">
        <v>5</v>
      </c>
      <c r="D1791" s="458">
        <v>2024</v>
      </c>
    </row>
    <row r="1792" spans="1:4" x14ac:dyDescent="0.35">
      <c r="A1792" s="457" t="s">
        <v>72</v>
      </c>
      <c r="B1792" s="458" t="s">
        <v>1687</v>
      </c>
      <c r="C1792" s="459">
        <v>4</v>
      </c>
      <c r="D1792" s="458">
        <v>2024</v>
      </c>
    </row>
    <row r="1793" spans="1:4" x14ac:dyDescent="0.35">
      <c r="A1793" s="457" t="s">
        <v>72</v>
      </c>
      <c r="B1793" s="458" t="s">
        <v>1687</v>
      </c>
      <c r="C1793" s="459">
        <v>2</v>
      </c>
      <c r="D1793" s="458">
        <v>2024</v>
      </c>
    </row>
    <row r="1794" spans="1:4" x14ac:dyDescent="0.35">
      <c r="A1794" s="457" t="s">
        <v>72</v>
      </c>
      <c r="B1794" s="458" t="s">
        <v>1687</v>
      </c>
      <c r="C1794" s="459">
        <v>-4</v>
      </c>
      <c r="D1794" s="458">
        <v>2024</v>
      </c>
    </row>
    <row r="1795" spans="1:4" x14ac:dyDescent="0.35">
      <c r="A1795" s="457" t="s">
        <v>72</v>
      </c>
      <c r="B1795" s="458" t="s">
        <v>1687</v>
      </c>
      <c r="C1795" s="459">
        <v>2</v>
      </c>
      <c r="D1795" s="458">
        <v>2024</v>
      </c>
    </row>
    <row r="1796" spans="1:4" x14ac:dyDescent="0.35">
      <c r="A1796" s="457" t="s">
        <v>72</v>
      </c>
      <c r="B1796" s="458" t="s">
        <v>1687</v>
      </c>
      <c r="C1796" s="459">
        <v>11</v>
      </c>
      <c r="D1796" s="458">
        <v>2024</v>
      </c>
    </row>
    <row r="1797" spans="1:4" x14ac:dyDescent="0.35">
      <c r="A1797" s="457" t="s">
        <v>72</v>
      </c>
      <c r="B1797" s="458" t="s">
        <v>1687</v>
      </c>
      <c r="C1797" s="459">
        <v>2</v>
      </c>
      <c r="D1797" s="458">
        <v>2024</v>
      </c>
    </row>
    <row r="1798" spans="1:4" x14ac:dyDescent="0.35">
      <c r="A1798" s="457" t="s">
        <v>72</v>
      </c>
      <c r="B1798" s="458" t="s">
        <v>1687</v>
      </c>
      <c r="C1798" s="459">
        <v>3</v>
      </c>
      <c r="D1798" s="458">
        <v>2024</v>
      </c>
    </row>
    <row r="1799" spans="1:4" x14ac:dyDescent="0.35">
      <c r="A1799" s="457" t="s">
        <v>72</v>
      </c>
      <c r="B1799" s="458" t="s">
        <v>1687</v>
      </c>
      <c r="C1799" s="459">
        <v>4</v>
      </c>
      <c r="D1799" s="458">
        <v>2024</v>
      </c>
    </row>
    <row r="1800" spans="1:4" x14ac:dyDescent="0.35">
      <c r="A1800" s="457" t="s">
        <v>72</v>
      </c>
      <c r="B1800" s="458" t="s">
        <v>1687</v>
      </c>
      <c r="C1800" s="459">
        <v>187</v>
      </c>
      <c r="D1800" s="458">
        <v>2024</v>
      </c>
    </row>
    <row r="1801" spans="1:4" x14ac:dyDescent="0.35">
      <c r="A1801" s="457" t="s">
        <v>72</v>
      </c>
      <c r="B1801" s="458" t="s">
        <v>1687</v>
      </c>
      <c r="C1801" s="459">
        <v>30</v>
      </c>
      <c r="D1801" s="458">
        <v>2024</v>
      </c>
    </row>
    <row r="1802" spans="1:4" x14ac:dyDescent="0.35">
      <c r="A1802" s="457" t="s">
        <v>72</v>
      </c>
      <c r="B1802" s="458" t="s">
        <v>1687</v>
      </c>
      <c r="C1802" s="459">
        <v>8</v>
      </c>
      <c r="D1802" s="458">
        <v>2024</v>
      </c>
    </row>
    <row r="1803" spans="1:4" x14ac:dyDescent="0.35">
      <c r="A1803" s="457" t="s">
        <v>72</v>
      </c>
      <c r="B1803" s="458" t="s">
        <v>1687</v>
      </c>
      <c r="C1803" s="459">
        <v>8</v>
      </c>
      <c r="D1803" s="458">
        <v>2024</v>
      </c>
    </row>
    <row r="1804" spans="1:4" x14ac:dyDescent="0.35">
      <c r="A1804" s="457" t="s">
        <v>72</v>
      </c>
      <c r="B1804" s="458" t="s">
        <v>1687</v>
      </c>
      <c r="C1804" s="459">
        <v>8</v>
      </c>
      <c r="D1804" s="458">
        <v>2024</v>
      </c>
    </row>
    <row r="1805" spans="1:4" x14ac:dyDescent="0.35">
      <c r="A1805" s="457" t="s">
        <v>72</v>
      </c>
      <c r="B1805" s="458" t="s">
        <v>1687</v>
      </c>
      <c r="C1805" s="459">
        <v>15</v>
      </c>
      <c r="D1805" s="458">
        <v>2024</v>
      </c>
    </row>
    <row r="1806" spans="1:4" x14ac:dyDescent="0.35">
      <c r="A1806" s="457" t="s">
        <v>72</v>
      </c>
      <c r="B1806" s="458" t="s">
        <v>1687</v>
      </c>
      <c r="C1806" s="459">
        <v>10</v>
      </c>
      <c r="D1806" s="458">
        <v>2024</v>
      </c>
    </row>
    <row r="1807" spans="1:4" x14ac:dyDescent="0.35">
      <c r="A1807" s="457" t="s">
        <v>72</v>
      </c>
      <c r="B1807" s="458" t="s">
        <v>1687</v>
      </c>
      <c r="C1807" s="459">
        <v>6</v>
      </c>
      <c r="D1807" s="458">
        <v>2024</v>
      </c>
    </row>
    <row r="1808" spans="1:4" x14ac:dyDescent="0.35">
      <c r="A1808" s="457" t="s">
        <v>72</v>
      </c>
      <c r="B1808" s="458" t="s">
        <v>1687</v>
      </c>
      <c r="C1808" s="459">
        <v>2</v>
      </c>
      <c r="D1808" s="458">
        <v>2024</v>
      </c>
    </row>
    <row r="1809" spans="1:4" x14ac:dyDescent="0.35">
      <c r="A1809" s="457" t="s">
        <v>72</v>
      </c>
      <c r="B1809" s="458" t="s">
        <v>1687</v>
      </c>
      <c r="C1809" s="459">
        <v>0</v>
      </c>
      <c r="D1809" s="458">
        <v>2024</v>
      </c>
    </row>
    <row r="1810" spans="1:4" x14ac:dyDescent="0.35">
      <c r="A1810" s="457" t="s">
        <v>72</v>
      </c>
      <c r="B1810" s="458" t="s">
        <v>1687</v>
      </c>
      <c r="C1810" s="459">
        <v>5</v>
      </c>
      <c r="D1810" s="458">
        <v>2024</v>
      </c>
    </row>
    <row r="1811" spans="1:4" x14ac:dyDescent="0.35">
      <c r="A1811" s="457" t="s">
        <v>72</v>
      </c>
      <c r="B1811" s="458" t="s">
        <v>1687</v>
      </c>
      <c r="C1811" s="459">
        <v>28</v>
      </c>
      <c r="D1811" s="458">
        <v>2024</v>
      </c>
    </row>
    <row r="1812" spans="1:4" x14ac:dyDescent="0.35">
      <c r="A1812" s="457" t="s">
        <v>72</v>
      </c>
      <c r="B1812" s="458" t="s">
        <v>1687</v>
      </c>
      <c r="C1812" s="459">
        <v>15</v>
      </c>
      <c r="D1812" s="458">
        <v>2024</v>
      </c>
    </row>
    <row r="1813" spans="1:4" x14ac:dyDescent="0.35">
      <c r="A1813" s="457" t="s">
        <v>72</v>
      </c>
      <c r="B1813" s="458" t="s">
        <v>1687</v>
      </c>
      <c r="C1813" s="459">
        <v>4</v>
      </c>
      <c r="D1813" s="458">
        <v>2024</v>
      </c>
    </row>
    <row r="1814" spans="1:4" x14ac:dyDescent="0.35">
      <c r="A1814" s="457" t="s">
        <v>72</v>
      </c>
      <c r="B1814" s="458" t="s">
        <v>1687</v>
      </c>
      <c r="C1814" s="459">
        <v>8</v>
      </c>
      <c r="D1814" s="458">
        <v>2024</v>
      </c>
    </row>
    <row r="1815" spans="1:4" x14ac:dyDescent="0.35">
      <c r="A1815" s="457" t="s">
        <v>72</v>
      </c>
      <c r="B1815" s="458" t="s">
        <v>1687</v>
      </c>
      <c r="C1815" s="459">
        <v>1</v>
      </c>
      <c r="D1815" s="458">
        <v>2024</v>
      </c>
    </row>
    <row r="1816" spans="1:4" x14ac:dyDescent="0.35">
      <c r="A1816" s="457" t="s">
        <v>72</v>
      </c>
      <c r="B1816" s="458" t="s">
        <v>1687</v>
      </c>
      <c r="C1816" s="459">
        <v>25</v>
      </c>
      <c r="D1816" s="458">
        <v>2024</v>
      </c>
    </row>
    <row r="1817" spans="1:4" x14ac:dyDescent="0.35">
      <c r="A1817" s="457" t="s">
        <v>72</v>
      </c>
      <c r="B1817" s="458" t="s">
        <v>1687</v>
      </c>
      <c r="C1817" s="459">
        <v>10</v>
      </c>
      <c r="D1817" s="458">
        <v>2024</v>
      </c>
    </row>
    <row r="1818" spans="1:4" x14ac:dyDescent="0.35">
      <c r="A1818" s="457" t="s">
        <v>72</v>
      </c>
      <c r="B1818" s="458" t="s">
        <v>1687</v>
      </c>
      <c r="C1818" s="459">
        <v>1</v>
      </c>
      <c r="D1818" s="458">
        <v>2024</v>
      </c>
    </row>
    <row r="1819" spans="1:4" x14ac:dyDescent="0.35">
      <c r="A1819" s="457" t="s">
        <v>72</v>
      </c>
      <c r="B1819" s="458" t="s">
        <v>1687</v>
      </c>
      <c r="C1819" s="459">
        <v>12</v>
      </c>
      <c r="D1819" s="458">
        <v>2024</v>
      </c>
    </row>
    <row r="1820" spans="1:4" x14ac:dyDescent="0.35">
      <c r="A1820" s="457" t="s">
        <v>72</v>
      </c>
      <c r="B1820" s="458" t="s">
        <v>1687</v>
      </c>
      <c r="C1820" s="459">
        <v>2</v>
      </c>
      <c r="D1820" s="458">
        <v>2024</v>
      </c>
    </row>
    <row r="1821" spans="1:4" x14ac:dyDescent="0.35">
      <c r="A1821" s="457" t="s">
        <v>72</v>
      </c>
      <c r="B1821" s="458" t="s">
        <v>1687</v>
      </c>
      <c r="C1821" s="459">
        <v>6</v>
      </c>
      <c r="D1821" s="458">
        <v>2024</v>
      </c>
    </row>
    <row r="1822" spans="1:4" x14ac:dyDescent="0.35">
      <c r="A1822" s="457" t="s">
        <v>72</v>
      </c>
      <c r="B1822" s="458" t="s">
        <v>1687</v>
      </c>
      <c r="C1822" s="459">
        <v>44</v>
      </c>
      <c r="D1822" s="458">
        <v>2024</v>
      </c>
    </row>
    <row r="1823" spans="1:4" x14ac:dyDescent="0.35">
      <c r="A1823" s="457" t="s">
        <v>72</v>
      </c>
      <c r="B1823" s="458" t="s">
        <v>1687</v>
      </c>
      <c r="C1823" s="459">
        <v>10</v>
      </c>
      <c r="D1823" s="458">
        <v>2024</v>
      </c>
    </row>
    <row r="1824" spans="1:4" x14ac:dyDescent="0.35">
      <c r="A1824" s="457" t="s">
        <v>72</v>
      </c>
      <c r="B1824" s="458" t="s">
        <v>1687</v>
      </c>
      <c r="C1824" s="459">
        <v>-3</v>
      </c>
      <c r="D1824" s="458">
        <v>2024</v>
      </c>
    </row>
    <row r="1825" spans="1:4" x14ac:dyDescent="0.35">
      <c r="A1825" s="457" t="s">
        <v>72</v>
      </c>
      <c r="B1825" s="458" t="s">
        <v>1687</v>
      </c>
      <c r="C1825" s="459">
        <v>4</v>
      </c>
      <c r="D1825" s="458">
        <v>2024</v>
      </c>
    </row>
    <row r="1826" spans="1:4" x14ac:dyDescent="0.35">
      <c r="A1826" s="457" t="s">
        <v>72</v>
      </c>
      <c r="B1826" s="458" t="s">
        <v>1687</v>
      </c>
      <c r="C1826" s="459">
        <v>18</v>
      </c>
      <c r="D1826" s="458">
        <v>2024</v>
      </c>
    </row>
    <row r="1827" spans="1:4" x14ac:dyDescent="0.35">
      <c r="A1827" s="457" t="s">
        <v>72</v>
      </c>
      <c r="B1827" s="458" t="s">
        <v>1687</v>
      </c>
      <c r="C1827" s="459">
        <v>4</v>
      </c>
      <c r="D1827" s="458">
        <v>2024</v>
      </c>
    </row>
    <row r="1828" spans="1:4" x14ac:dyDescent="0.35">
      <c r="A1828" s="457" t="s">
        <v>72</v>
      </c>
      <c r="B1828" s="458" t="s">
        <v>1687</v>
      </c>
      <c r="C1828" s="459">
        <v>1</v>
      </c>
      <c r="D1828" s="458">
        <v>2024</v>
      </c>
    </row>
    <row r="1829" spans="1:4" x14ac:dyDescent="0.35">
      <c r="A1829" s="457" t="s">
        <v>72</v>
      </c>
      <c r="B1829" s="458" t="s">
        <v>1687</v>
      </c>
      <c r="C1829" s="459">
        <v>1</v>
      </c>
      <c r="D1829" s="458">
        <v>2024</v>
      </c>
    </row>
    <row r="1830" spans="1:4" x14ac:dyDescent="0.35">
      <c r="A1830" s="457" t="s">
        <v>72</v>
      </c>
      <c r="B1830" s="458" t="s">
        <v>1687</v>
      </c>
      <c r="C1830" s="459">
        <v>6</v>
      </c>
      <c r="D1830" s="458">
        <v>2024</v>
      </c>
    </row>
    <row r="1831" spans="1:4" x14ac:dyDescent="0.35">
      <c r="A1831" s="457" t="s">
        <v>72</v>
      </c>
      <c r="B1831" s="458" t="s">
        <v>1687</v>
      </c>
      <c r="C1831" s="459">
        <v>1</v>
      </c>
      <c r="D1831" s="458">
        <v>2024</v>
      </c>
    </row>
    <row r="1832" spans="1:4" x14ac:dyDescent="0.35">
      <c r="A1832" s="457" t="s">
        <v>72</v>
      </c>
      <c r="B1832" s="458" t="s">
        <v>1687</v>
      </c>
      <c r="C1832" s="459">
        <v>1</v>
      </c>
      <c r="D1832" s="458">
        <v>2024</v>
      </c>
    </row>
    <row r="1833" spans="1:4" x14ac:dyDescent="0.35">
      <c r="A1833" s="457" t="s">
        <v>72</v>
      </c>
      <c r="B1833" s="458" t="s">
        <v>1687</v>
      </c>
      <c r="C1833" s="459">
        <v>5</v>
      </c>
      <c r="D1833" s="458">
        <v>2024</v>
      </c>
    </row>
    <row r="1834" spans="1:4" x14ac:dyDescent="0.35">
      <c r="A1834" s="457" t="s">
        <v>72</v>
      </c>
      <c r="B1834" s="458" t="s">
        <v>1687</v>
      </c>
      <c r="C1834" s="459">
        <v>1</v>
      </c>
      <c r="D1834" s="458">
        <v>2024</v>
      </c>
    </row>
    <row r="1835" spans="1:4" x14ac:dyDescent="0.35">
      <c r="A1835" s="457" t="s">
        <v>72</v>
      </c>
      <c r="B1835" s="458" t="s">
        <v>1687</v>
      </c>
      <c r="C1835" s="459">
        <v>4</v>
      </c>
      <c r="D1835" s="458">
        <v>2024</v>
      </c>
    </row>
    <row r="1836" spans="1:4" x14ac:dyDescent="0.35">
      <c r="A1836" s="457" t="s">
        <v>72</v>
      </c>
      <c r="B1836" s="458" t="s">
        <v>1687</v>
      </c>
      <c r="C1836" s="459">
        <v>9</v>
      </c>
      <c r="D1836" s="458">
        <v>2024</v>
      </c>
    </row>
    <row r="1837" spans="1:4" x14ac:dyDescent="0.35">
      <c r="A1837" s="457" t="s">
        <v>72</v>
      </c>
      <c r="B1837" s="458" t="s">
        <v>1687</v>
      </c>
      <c r="C1837" s="459">
        <v>4</v>
      </c>
      <c r="D1837" s="458">
        <v>2024</v>
      </c>
    </row>
    <row r="1838" spans="1:4" x14ac:dyDescent="0.35">
      <c r="A1838" s="457" t="s">
        <v>72</v>
      </c>
      <c r="B1838" s="458" t="s">
        <v>1687</v>
      </c>
      <c r="C1838" s="459">
        <v>-27</v>
      </c>
      <c r="D1838" s="458">
        <v>2024</v>
      </c>
    </row>
    <row r="1839" spans="1:4" x14ac:dyDescent="0.35">
      <c r="A1839" s="457" t="s">
        <v>72</v>
      </c>
      <c r="B1839" s="458" t="s">
        <v>1687</v>
      </c>
      <c r="C1839" s="459">
        <v>-16</v>
      </c>
      <c r="D1839" s="458">
        <v>2024</v>
      </c>
    </row>
    <row r="1840" spans="1:4" x14ac:dyDescent="0.35">
      <c r="A1840" s="457" t="s">
        <v>72</v>
      </c>
      <c r="B1840" s="458" t="s">
        <v>1687</v>
      </c>
      <c r="C1840" s="459">
        <v>9</v>
      </c>
      <c r="D1840" s="458">
        <v>2024</v>
      </c>
    </row>
    <row r="1841" spans="1:4" x14ac:dyDescent="0.35">
      <c r="A1841" s="457" t="s">
        <v>72</v>
      </c>
      <c r="B1841" s="458" t="s">
        <v>1687</v>
      </c>
      <c r="C1841" s="459">
        <v>7</v>
      </c>
      <c r="D1841" s="458">
        <v>2024</v>
      </c>
    </row>
    <row r="1842" spans="1:4" x14ac:dyDescent="0.35">
      <c r="A1842" s="457" t="s">
        <v>72</v>
      </c>
      <c r="B1842" s="458" t="s">
        <v>1687</v>
      </c>
      <c r="C1842" s="459">
        <v>2</v>
      </c>
      <c r="D1842" s="458">
        <v>2024</v>
      </c>
    </row>
    <row r="1843" spans="1:4" x14ac:dyDescent="0.35">
      <c r="A1843" s="457" t="s">
        <v>72</v>
      </c>
      <c r="B1843" s="458" t="s">
        <v>1687</v>
      </c>
      <c r="C1843" s="459">
        <v>15</v>
      </c>
      <c r="D1843" s="458">
        <v>2024</v>
      </c>
    </row>
    <row r="1844" spans="1:4" x14ac:dyDescent="0.35">
      <c r="A1844" s="457" t="s">
        <v>72</v>
      </c>
      <c r="B1844" s="458" t="s">
        <v>1687</v>
      </c>
      <c r="C1844" s="459">
        <v>3</v>
      </c>
      <c r="D1844" s="458">
        <v>2024</v>
      </c>
    </row>
    <row r="1845" spans="1:4" x14ac:dyDescent="0.35">
      <c r="A1845" s="457" t="s">
        <v>72</v>
      </c>
      <c r="B1845" s="458" t="s">
        <v>1687</v>
      </c>
      <c r="C1845" s="459">
        <v>2</v>
      </c>
      <c r="D1845" s="458">
        <v>2024</v>
      </c>
    </row>
    <row r="1846" spans="1:4" x14ac:dyDescent="0.35">
      <c r="A1846" s="457" t="s">
        <v>72</v>
      </c>
      <c r="B1846" s="458" t="s">
        <v>1687</v>
      </c>
      <c r="C1846" s="459">
        <v>3</v>
      </c>
      <c r="D1846" s="458">
        <v>2024</v>
      </c>
    </row>
    <row r="1847" spans="1:4" x14ac:dyDescent="0.35">
      <c r="A1847" s="457" t="s">
        <v>72</v>
      </c>
      <c r="B1847" s="458" t="s">
        <v>1687</v>
      </c>
      <c r="C1847" s="459">
        <v>4</v>
      </c>
      <c r="D1847" s="458">
        <v>2024</v>
      </c>
    </row>
    <row r="1848" spans="1:4" x14ac:dyDescent="0.35">
      <c r="A1848" s="457" t="s">
        <v>72</v>
      </c>
      <c r="B1848" s="458" t="s">
        <v>1687</v>
      </c>
      <c r="C1848" s="459">
        <v>4</v>
      </c>
      <c r="D1848" s="458">
        <v>2024</v>
      </c>
    </row>
    <row r="1849" spans="1:4" x14ac:dyDescent="0.35">
      <c r="A1849" s="457" t="s">
        <v>72</v>
      </c>
      <c r="B1849" s="458" t="s">
        <v>1687</v>
      </c>
      <c r="C1849" s="459">
        <v>5</v>
      </c>
      <c r="D1849" s="458">
        <v>2024</v>
      </c>
    </row>
    <row r="1850" spans="1:4" x14ac:dyDescent="0.35">
      <c r="A1850" s="457" t="s">
        <v>72</v>
      </c>
      <c r="B1850" s="458" t="s">
        <v>1687</v>
      </c>
      <c r="C1850" s="459">
        <v>2</v>
      </c>
      <c r="D1850" s="458">
        <v>2024</v>
      </c>
    </row>
    <row r="1851" spans="1:4" x14ac:dyDescent="0.35">
      <c r="A1851" s="457" t="s">
        <v>72</v>
      </c>
      <c r="B1851" s="458" t="s">
        <v>1687</v>
      </c>
      <c r="C1851" s="459">
        <v>13</v>
      </c>
      <c r="D1851" s="458">
        <v>2024</v>
      </c>
    </row>
    <row r="1852" spans="1:4" x14ac:dyDescent="0.35">
      <c r="A1852" s="457" t="s">
        <v>72</v>
      </c>
      <c r="B1852" s="458" t="s">
        <v>1687</v>
      </c>
      <c r="C1852" s="459">
        <v>0</v>
      </c>
      <c r="D1852" s="458">
        <v>2024</v>
      </c>
    </row>
    <row r="1853" spans="1:4" x14ac:dyDescent="0.35">
      <c r="A1853" s="457" t="s">
        <v>72</v>
      </c>
      <c r="B1853" s="458" t="s">
        <v>1687</v>
      </c>
      <c r="C1853" s="459">
        <v>14</v>
      </c>
      <c r="D1853" s="458">
        <v>2024</v>
      </c>
    </row>
    <row r="1854" spans="1:4" x14ac:dyDescent="0.35">
      <c r="A1854" s="457" t="s">
        <v>72</v>
      </c>
      <c r="B1854" s="458" t="s">
        <v>1687</v>
      </c>
      <c r="C1854" s="459">
        <v>4</v>
      </c>
      <c r="D1854" s="458">
        <v>2024</v>
      </c>
    </row>
    <row r="1855" spans="1:4" x14ac:dyDescent="0.35">
      <c r="A1855" s="457" t="s">
        <v>72</v>
      </c>
      <c r="B1855" s="458" t="s">
        <v>1687</v>
      </c>
      <c r="C1855" s="459">
        <v>15</v>
      </c>
      <c r="D1855" s="458">
        <v>2024</v>
      </c>
    </row>
    <row r="1856" spans="1:4" x14ac:dyDescent="0.35">
      <c r="A1856" s="457" t="s">
        <v>72</v>
      </c>
      <c r="B1856" s="458" t="s">
        <v>1687</v>
      </c>
      <c r="C1856" s="459">
        <v>1</v>
      </c>
      <c r="D1856" s="458">
        <v>2024</v>
      </c>
    </row>
    <row r="1857" spans="1:4" x14ac:dyDescent="0.35">
      <c r="A1857" s="457" t="s">
        <v>72</v>
      </c>
      <c r="B1857" s="458" t="s">
        <v>1687</v>
      </c>
      <c r="C1857" s="459">
        <v>10</v>
      </c>
      <c r="D1857" s="458">
        <v>2024</v>
      </c>
    </row>
    <row r="1858" spans="1:4" x14ac:dyDescent="0.35">
      <c r="A1858" s="457" t="s">
        <v>72</v>
      </c>
      <c r="B1858" s="458" t="s">
        <v>1687</v>
      </c>
      <c r="C1858" s="459">
        <v>5</v>
      </c>
      <c r="D1858" s="458">
        <v>2024</v>
      </c>
    </row>
    <row r="1859" spans="1:4" x14ac:dyDescent="0.35">
      <c r="A1859" s="457" t="s">
        <v>72</v>
      </c>
      <c r="B1859" s="458" t="s">
        <v>1687</v>
      </c>
      <c r="C1859" s="459">
        <v>10</v>
      </c>
      <c r="D1859" s="458">
        <v>2024</v>
      </c>
    </row>
    <row r="1860" spans="1:4" x14ac:dyDescent="0.35">
      <c r="A1860" s="457" t="s">
        <v>72</v>
      </c>
      <c r="B1860" s="458" t="s">
        <v>1687</v>
      </c>
      <c r="C1860" s="459">
        <v>25</v>
      </c>
      <c r="D1860" s="458">
        <v>2024</v>
      </c>
    </row>
    <row r="1861" spans="1:4" x14ac:dyDescent="0.35">
      <c r="A1861" s="457" t="s">
        <v>72</v>
      </c>
      <c r="B1861" s="458" t="s">
        <v>1687</v>
      </c>
      <c r="C1861" s="459">
        <v>1</v>
      </c>
      <c r="D1861" s="458">
        <v>2024</v>
      </c>
    </row>
    <row r="1862" spans="1:4" x14ac:dyDescent="0.35">
      <c r="A1862" s="457" t="s">
        <v>72</v>
      </c>
      <c r="B1862" s="458" t="s">
        <v>1687</v>
      </c>
      <c r="C1862" s="459">
        <v>8</v>
      </c>
      <c r="D1862" s="458">
        <v>2024</v>
      </c>
    </row>
    <row r="1863" spans="1:4" x14ac:dyDescent="0.35">
      <c r="A1863" s="457" t="s">
        <v>72</v>
      </c>
      <c r="B1863" s="458" t="s">
        <v>1687</v>
      </c>
      <c r="C1863" s="459">
        <v>5</v>
      </c>
      <c r="D1863" s="458">
        <v>2024</v>
      </c>
    </row>
    <row r="1864" spans="1:4" x14ac:dyDescent="0.35">
      <c r="A1864" s="457" t="s">
        <v>72</v>
      </c>
      <c r="B1864" s="458" t="s">
        <v>1687</v>
      </c>
      <c r="C1864" s="459">
        <v>5</v>
      </c>
      <c r="D1864" s="458">
        <v>2024</v>
      </c>
    </row>
    <row r="1865" spans="1:4" x14ac:dyDescent="0.35">
      <c r="A1865" s="457" t="s">
        <v>72</v>
      </c>
      <c r="B1865" s="458" t="s">
        <v>1687</v>
      </c>
      <c r="C1865" s="459">
        <v>1</v>
      </c>
      <c r="D1865" s="458">
        <v>2024</v>
      </c>
    </row>
    <row r="1866" spans="1:4" x14ac:dyDescent="0.35">
      <c r="A1866" s="457" t="s">
        <v>72</v>
      </c>
      <c r="B1866" s="458" t="s">
        <v>1687</v>
      </c>
      <c r="C1866" s="459">
        <v>1</v>
      </c>
      <c r="D1866" s="458">
        <v>2024</v>
      </c>
    </row>
    <row r="1867" spans="1:4" x14ac:dyDescent="0.35">
      <c r="A1867" s="457" t="s">
        <v>72</v>
      </c>
      <c r="B1867" s="458" t="s">
        <v>1687</v>
      </c>
      <c r="C1867" s="459">
        <v>9</v>
      </c>
      <c r="D1867" s="458">
        <v>2024</v>
      </c>
    </row>
    <row r="1868" spans="1:4" x14ac:dyDescent="0.35">
      <c r="A1868" s="457" t="s">
        <v>72</v>
      </c>
      <c r="B1868" s="458" t="s">
        <v>1687</v>
      </c>
      <c r="C1868" s="459">
        <v>6</v>
      </c>
      <c r="D1868" s="458">
        <v>2024</v>
      </c>
    </row>
    <row r="1869" spans="1:4" x14ac:dyDescent="0.35">
      <c r="A1869" s="457" t="s">
        <v>72</v>
      </c>
      <c r="B1869" s="458" t="s">
        <v>1687</v>
      </c>
      <c r="C1869" s="459">
        <v>4</v>
      </c>
      <c r="D1869" s="458">
        <v>2024</v>
      </c>
    </row>
    <row r="1870" spans="1:4" x14ac:dyDescent="0.35">
      <c r="A1870" s="457" t="s">
        <v>72</v>
      </c>
      <c r="B1870" s="458" t="s">
        <v>1687</v>
      </c>
      <c r="C1870" s="459">
        <v>4</v>
      </c>
      <c r="D1870" s="458">
        <v>2024</v>
      </c>
    </row>
    <row r="1871" spans="1:4" x14ac:dyDescent="0.35">
      <c r="A1871" s="457" t="s">
        <v>72</v>
      </c>
      <c r="B1871" s="458" t="s">
        <v>1687</v>
      </c>
      <c r="C1871" s="459">
        <v>6</v>
      </c>
      <c r="D1871" s="458">
        <v>2024</v>
      </c>
    </row>
    <row r="1872" spans="1:4" x14ac:dyDescent="0.35">
      <c r="A1872" s="457" t="s">
        <v>72</v>
      </c>
      <c r="B1872" s="458" t="s">
        <v>1687</v>
      </c>
      <c r="C1872" s="459">
        <v>3</v>
      </c>
      <c r="D1872" s="458">
        <v>2024</v>
      </c>
    </row>
    <row r="1873" spans="1:4" x14ac:dyDescent="0.35">
      <c r="A1873" s="457" t="s">
        <v>72</v>
      </c>
      <c r="B1873" s="458" t="s">
        <v>1687</v>
      </c>
      <c r="C1873" s="459">
        <v>10</v>
      </c>
      <c r="D1873" s="458">
        <v>2024</v>
      </c>
    </row>
    <row r="1874" spans="1:4" x14ac:dyDescent="0.35">
      <c r="A1874" s="457" t="s">
        <v>72</v>
      </c>
      <c r="B1874" s="458" t="s">
        <v>1687</v>
      </c>
      <c r="C1874" s="459">
        <v>4</v>
      </c>
      <c r="D1874" s="458">
        <v>2024</v>
      </c>
    </row>
    <row r="1875" spans="1:4" x14ac:dyDescent="0.35">
      <c r="A1875" s="457" t="s">
        <v>72</v>
      </c>
      <c r="B1875" s="458" t="s">
        <v>1687</v>
      </c>
      <c r="C1875" s="459">
        <v>10</v>
      </c>
      <c r="D1875" s="458">
        <v>2024</v>
      </c>
    </row>
    <row r="1876" spans="1:4" x14ac:dyDescent="0.35">
      <c r="A1876" s="457" t="s">
        <v>72</v>
      </c>
      <c r="B1876" s="458" t="s">
        <v>1687</v>
      </c>
      <c r="C1876" s="459">
        <v>34</v>
      </c>
      <c r="D1876" s="458">
        <v>2024</v>
      </c>
    </row>
    <row r="1877" spans="1:4" x14ac:dyDescent="0.35">
      <c r="A1877" s="457" t="s">
        <v>72</v>
      </c>
      <c r="B1877" s="458" t="s">
        <v>1687</v>
      </c>
      <c r="C1877" s="459">
        <v>1</v>
      </c>
      <c r="D1877" s="458">
        <v>2024</v>
      </c>
    </row>
    <row r="1878" spans="1:4" x14ac:dyDescent="0.35">
      <c r="A1878" s="457" t="s">
        <v>72</v>
      </c>
      <c r="B1878" s="458" t="s">
        <v>1687</v>
      </c>
      <c r="C1878" s="459">
        <v>2</v>
      </c>
      <c r="D1878" s="458">
        <v>2024</v>
      </c>
    </row>
    <row r="1879" spans="1:4" x14ac:dyDescent="0.35">
      <c r="A1879" s="457" t="s">
        <v>72</v>
      </c>
      <c r="B1879" s="458" t="s">
        <v>1687</v>
      </c>
      <c r="C1879" s="459">
        <v>15</v>
      </c>
      <c r="D1879" s="458">
        <v>2024</v>
      </c>
    </row>
    <row r="1880" spans="1:4" x14ac:dyDescent="0.35">
      <c r="A1880" s="457" t="s">
        <v>72</v>
      </c>
      <c r="B1880" s="458" t="s">
        <v>1687</v>
      </c>
      <c r="C1880" s="459">
        <v>4</v>
      </c>
      <c r="D1880" s="458">
        <v>2024</v>
      </c>
    </row>
    <row r="1881" spans="1:4" x14ac:dyDescent="0.35">
      <c r="A1881" s="457" t="s">
        <v>1643</v>
      </c>
      <c r="B1881" s="458" t="s">
        <v>1677</v>
      </c>
      <c r="C1881" s="459">
        <v>22</v>
      </c>
      <c r="D1881" s="458">
        <v>2023</v>
      </c>
    </row>
    <row r="1882" spans="1:4" x14ac:dyDescent="0.35">
      <c r="A1882" s="457" t="s">
        <v>1643</v>
      </c>
      <c r="B1882" s="458" t="s">
        <v>1677</v>
      </c>
      <c r="C1882" s="459">
        <v>3</v>
      </c>
      <c r="D1882" s="458">
        <v>2023</v>
      </c>
    </row>
    <row r="1883" spans="1:4" x14ac:dyDescent="0.35">
      <c r="A1883" s="457" t="s">
        <v>1643</v>
      </c>
      <c r="B1883" s="458" t="s">
        <v>1678</v>
      </c>
      <c r="C1883" s="459">
        <v>24</v>
      </c>
      <c r="D1883" s="458">
        <v>2022</v>
      </c>
    </row>
    <row r="1884" spans="1:4" x14ac:dyDescent="0.35">
      <c r="A1884" s="457" t="s">
        <v>1643</v>
      </c>
      <c r="B1884" s="458" t="s">
        <v>1678</v>
      </c>
      <c r="C1884" s="459">
        <v>25</v>
      </c>
      <c r="D1884" s="458">
        <v>2023</v>
      </c>
    </row>
    <row r="1885" spans="1:4" x14ac:dyDescent="0.35">
      <c r="A1885" s="457" t="s">
        <v>1643</v>
      </c>
      <c r="B1885" s="458" t="s">
        <v>1678</v>
      </c>
      <c r="C1885" s="459">
        <v>2</v>
      </c>
      <c r="D1885" s="458">
        <v>2022</v>
      </c>
    </row>
    <row r="1886" spans="1:4" x14ac:dyDescent="0.35">
      <c r="A1886" s="457" t="s">
        <v>1643</v>
      </c>
      <c r="B1886" s="458" t="s">
        <v>1678</v>
      </c>
      <c r="C1886" s="459">
        <v>3</v>
      </c>
      <c r="D1886" s="458">
        <v>2023</v>
      </c>
    </row>
    <row r="1887" spans="1:4" x14ac:dyDescent="0.35">
      <c r="A1887" s="457" t="s">
        <v>1643</v>
      </c>
      <c r="B1887" s="458" t="s">
        <v>1679</v>
      </c>
      <c r="C1887" s="459">
        <v>22</v>
      </c>
      <c r="D1887" s="458">
        <v>2022</v>
      </c>
    </row>
    <row r="1888" spans="1:4" x14ac:dyDescent="0.35">
      <c r="A1888" s="457" t="s">
        <v>1643</v>
      </c>
      <c r="B1888" s="458" t="s">
        <v>1679</v>
      </c>
      <c r="C1888" s="459">
        <v>24</v>
      </c>
      <c r="D1888" s="458">
        <v>2023</v>
      </c>
    </row>
    <row r="1889" spans="1:4" x14ac:dyDescent="0.35">
      <c r="A1889" s="457" t="s">
        <v>1643</v>
      </c>
      <c r="B1889" s="458" t="s">
        <v>1679</v>
      </c>
      <c r="C1889" s="459">
        <v>2</v>
      </c>
      <c r="D1889" s="458">
        <v>2022</v>
      </c>
    </row>
    <row r="1890" spans="1:4" x14ac:dyDescent="0.35">
      <c r="A1890" s="457" t="s">
        <v>1643</v>
      </c>
      <c r="B1890" s="458" t="s">
        <v>1679</v>
      </c>
      <c r="C1890" s="459">
        <v>3</v>
      </c>
      <c r="D1890" s="458">
        <v>2023</v>
      </c>
    </row>
    <row r="1891" spans="1:4" x14ac:dyDescent="0.35">
      <c r="A1891" s="457" t="s">
        <v>1643</v>
      </c>
      <c r="B1891" s="458" t="s">
        <v>1681</v>
      </c>
      <c r="C1891" s="459">
        <v>24</v>
      </c>
      <c r="D1891" s="458">
        <v>2023</v>
      </c>
    </row>
    <row r="1892" spans="1:4" x14ac:dyDescent="0.35">
      <c r="A1892" s="457" t="s">
        <v>1643</v>
      </c>
      <c r="B1892" s="458" t="s">
        <v>1681</v>
      </c>
      <c r="C1892" s="459">
        <v>27</v>
      </c>
      <c r="D1892" s="458">
        <v>2023</v>
      </c>
    </row>
    <row r="1893" spans="1:4" x14ac:dyDescent="0.35">
      <c r="A1893" s="457" t="s">
        <v>1643</v>
      </c>
      <c r="B1893" s="458" t="s">
        <v>1682</v>
      </c>
      <c r="C1893" s="459">
        <v>22</v>
      </c>
      <c r="D1893" s="458">
        <v>2022</v>
      </c>
    </row>
    <row r="1894" spans="1:4" x14ac:dyDescent="0.35">
      <c r="A1894" s="457" t="s">
        <v>1643</v>
      </c>
      <c r="B1894" s="458" t="s">
        <v>1682</v>
      </c>
      <c r="C1894" s="459">
        <v>25</v>
      </c>
      <c r="D1894" s="458">
        <v>2023</v>
      </c>
    </row>
    <row r="1895" spans="1:4" x14ac:dyDescent="0.35">
      <c r="A1895" s="457" t="s">
        <v>1643</v>
      </c>
      <c r="B1895" s="458" t="s">
        <v>1682</v>
      </c>
      <c r="C1895" s="459">
        <v>3</v>
      </c>
      <c r="D1895" s="458">
        <v>2022</v>
      </c>
    </row>
    <row r="1896" spans="1:4" x14ac:dyDescent="0.35">
      <c r="A1896" s="457" t="s">
        <v>1643</v>
      </c>
      <c r="B1896" s="458" t="s">
        <v>1682</v>
      </c>
      <c r="C1896" s="459">
        <v>3</v>
      </c>
      <c r="D1896" s="458">
        <v>2023</v>
      </c>
    </row>
    <row r="1897" spans="1:4" x14ac:dyDescent="0.35">
      <c r="A1897" s="457" t="s">
        <v>1643</v>
      </c>
      <c r="B1897" s="458" t="s">
        <v>1683</v>
      </c>
      <c r="C1897" s="459">
        <v>25</v>
      </c>
      <c r="D1897" s="458">
        <v>2023</v>
      </c>
    </row>
    <row r="1898" spans="1:4" x14ac:dyDescent="0.35">
      <c r="A1898" s="457" t="s">
        <v>1643</v>
      </c>
      <c r="B1898" s="458" t="s">
        <v>1683</v>
      </c>
      <c r="C1898" s="459">
        <v>3</v>
      </c>
      <c r="D1898" s="458">
        <v>2023</v>
      </c>
    </row>
    <row r="1899" spans="1:4" x14ac:dyDescent="0.35">
      <c r="A1899" s="457" t="s">
        <v>1643</v>
      </c>
      <c r="B1899" s="458" t="s">
        <v>1684</v>
      </c>
      <c r="C1899" s="459">
        <v>46</v>
      </c>
      <c r="D1899" s="458">
        <v>2023</v>
      </c>
    </row>
    <row r="1900" spans="1:4" x14ac:dyDescent="0.35">
      <c r="A1900" s="457" t="s">
        <v>1643</v>
      </c>
      <c r="B1900" s="458" t="s">
        <v>1684</v>
      </c>
      <c r="C1900" s="459">
        <v>6</v>
      </c>
      <c r="D1900" s="458">
        <v>2023</v>
      </c>
    </row>
    <row r="1901" spans="1:4" x14ac:dyDescent="0.35">
      <c r="A1901" s="457" t="s">
        <v>1643</v>
      </c>
      <c r="B1901" s="458" t="s">
        <v>1685</v>
      </c>
      <c r="C1901" s="459">
        <v>24</v>
      </c>
      <c r="D1901" s="458">
        <v>2023</v>
      </c>
    </row>
    <row r="1902" spans="1:4" x14ac:dyDescent="0.35">
      <c r="A1902" s="457" t="s">
        <v>1643</v>
      </c>
      <c r="B1902" s="458" t="s">
        <v>1685</v>
      </c>
      <c r="C1902" s="459">
        <v>4</v>
      </c>
      <c r="D1902" s="458">
        <v>2023</v>
      </c>
    </row>
    <row r="1903" spans="1:4" x14ac:dyDescent="0.35">
      <c r="A1903" s="457" t="s">
        <v>1643</v>
      </c>
      <c r="B1903" s="458" t="s">
        <v>1688</v>
      </c>
      <c r="C1903" s="459">
        <v>27</v>
      </c>
      <c r="D1903" s="458">
        <v>2022</v>
      </c>
    </row>
    <row r="1904" spans="1:4" x14ac:dyDescent="0.35">
      <c r="A1904" s="457" t="s">
        <v>1643</v>
      </c>
      <c r="B1904" s="458" t="s">
        <v>1688</v>
      </c>
      <c r="C1904" s="459">
        <v>25</v>
      </c>
      <c r="D1904" s="458">
        <v>2023</v>
      </c>
    </row>
    <row r="1905" spans="1:4" x14ac:dyDescent="0.35">
      <c r="A1905" s="457" t="s">
        <v>1643</v>
      </c>
      <c r="B1905" s="458" t="s">
        <v>1688</v>
      </c>
      <c r="C1905" s="459">
        <v>1</v>
      </c>
      <c r="D1905" s="458">
        <v>2022</v>
      </c>
    </row>
    <row r="1906" spans="1:4" x14ac:dyDescent="0.35">
      <c r="A1906" s="457" t="s">
        <v>1643</v>
      </c>
      <c r="B1906" s="458" t="s">
        <v>1688</v>
      </c>
      <c r="C1906" s="459">
        <v>3</v>
      </c>
      <c r="D1906" s="458">
        <v>2023</v>
      </c>
    </row>
    <row r="1907" spans="1:4" x14ac:dyDescent="0.35">
      <c r="A1907" s="457" t="s">
        <v>1643</v>
      </c>
      <c r="B1907" s="458" t="s">
        <v>1686</v>
      </c>
      <c r="C1907" s="459">
        <v>24</v>
      </c>
      <c r="D1907" s="458">
        <v>2022</v>
      </c>
    </row>
    <row r="1908" spans="1:4" x14ac:dyDescent="0.35">
      <c r="A1908" s="457" t="s">
        <v>1643</v>
      </c>
      <c r="B1908" s="458" t="s">
        <v>1686</v>
      </c>
      <c r="C1908" s="459">
        <v>23</v>
      </c>
      <c r="D1908" s="458">
        <v>2023</v>
      </c>
    </row>
    <row r="1909" spans="1:4" x14ac:dyDescent="0.35">
      <c r="A1909" s="457" t="s">
        <v>1643</v>
      </c>
      <c r="B1909" s="458" t="s">
        <v>1686</v>
      </c>
      <c r="C1909" s="459">
        <v>3</v>
      </c>
      <c r="D1909" s="458">
        <v>2022</v>
      </c>
    </row>
    <row r="1910" spans="1:4" x14ac:dyDescent="0.35">
      <c r="A1910" s="457" t="s">
        <v>1643</v>
      </c>
      <c r="B1910" s="458" t="s">
        <v>1686</v>
      </c>
      <c r="C1910" s="459">
        <v>3</v>
      </c>
      <c r="D1910" s="458">
        <v>2023</v>
      </c>
    </row>
    <row r="1911" spans="1:4" x14ac:dyDescent="0.35">
      <c r="A1911" s="457" t="s">
        <v>1643</v>
      </c>
      <c r="B1911" s="458" t="s">
        <v>1687</v>
      </c>
      <c r="C1911" s="459">
        <v>24</v>
      </c>
      <c r="D1911" s="458">
        <v>2022</v>
      </c>
    </row>
    <row r="1912" spans="1:4" x14ac:dyDescent="0.35">
      <c r="A1912" s="457" t="s">
        <v>1643</v>
      </c>
      <c r="B1912" s="458" t="s">
        <v>1687</v>
      </c>
      <c r="C1912" s="459">
        <v>23</v>
      </c>
      <c r="D1912" s="458">
        <v>2023</v>
      </c>
    </row>
    <row r="1913" spans="1:4" x14ac:dyDescent="0.35">
      <c r="A1913" s="457" t="s">
        <v>1643</v>
      </c>
      <c r="B1913" s="458" t="s">
        <v>1687</v>
      </c>
      <c r="C1913" s="459">
        <v>2</v>
      </c>
      <c r="D1913" s="458">
        <v>2022</v>
      </c>
    </row>
    <row r="1914" spans="1:4" x14ac:dyDescent="0.35">
      <c r="A1914" s="457" t="s">
        <v>1643</v>
      </c>
      <c r="B1914" s="458" t="s">
        <v>1687</v>
      </c>
      <c r="C1914" s="459">
        <v>3</v>
      </c>
      <c r="D1914" s="458">
        <v>2023</v>
      </c>
    </row>
    <row r="1915" spans="1:4" x14ac:dyDescent="0.35">
      <c r="A1915" s="457" t="s">
        <v>1653</v>
      </c>
      <c r="B1915" s="458" t="s">
        <v>1678</v>
      </c>
      <c r="C1915" s="459">
        <v>10</v>
      </c>
      <c r="D1915" s="458">
        <v>2023</v>
      </c>
    </row>
    <row r="1916" spans="1:4" x14ac:dyDescent="0.35">
      <c r="A1916" s="457" t="s">
        <v>1653</v>
      </c>
      <c r="B1916" s="458" t="s">
        <v>1679</v>
      </c>
      <c r="C1916" s="459">
        <v>6</v>
      </c>
      <c r="D1916" s="458">
        <v>2023</v>
      </c>
    </row>
    <row r="1917" spans="1:4" x14ac:dyDescent="0.35">
      <c r="A1917" s="457" t="s">
        <v>1653</v>
      </c>
      <c r="B1917" s="458" t="s">
        <v>1682</v>
      </c>
      <c r="C1917" s="459">
        <v>22</v>
      </c>
      <c r="D1917" s="458">
        <v>2023</v>
      </c>
    </row>
    <row r="1918" spans="1:4" x14ac:dyDescent="0.35">
      <c r="A1918" s="457" t="s">
        <v>1653</v>
      </c>
      <c r="B1918" s="458" t="s">
        <v>1683</v>
      </c>
      <c r="C1918" s="459">
        <v>4</v>
      </c>
      <c r="D1918" s="458">
        <v>2023</v>
      </c>
    </row>
    <row r="1919" spans="1:4" x14ac:dyDescent="0.35">
      <c r="A1919" s="457" t="s">
        <v>1653</v>
      </c>
      <c r="B1919" s="458" t="s">
        <v>1685</v>
      </c>
      <c r="C1919" s="459">
        <v>13</v>
      </c>
      <c r="D1919" s="458">
        <v>2023</v>
      </c>
    </row>
    <row r="1920" spans="1:4" x14ac:dyDescent="0.35">
      <c r="A1920" s="457" t="s">
        <v>1653</v>
      </c>
      <c r="B1920" s="458" t="s">
        <v>1688</v>
      </c>
      <c r="C1920" s="459">
        <v>10</v>
      </c>
      <c r="D1920" s="458">
        <v>2023</v>
      </c>
    </row>
    <row r="1921" spans="1:4" x14ac:dyDescent="0.35">
      <c r="A1921" s="457" t="s">
        <v>1653</v>
      </c>
      <c r="B1921" s="458" t="s">
        <v>1686</v>
      </c>
      <c r="C1921" s="459">
        <v>10</v>
      </c>
      <c r="D1921" s="458">
        <v>2023</v>
      </c>
    </row>
    <row r="1922" spans="1:4" x14ac:dyDescent="0.35">
      <c r="A1922" s="457" t="s">
        <v>1653</v>
      </c>
      <c r="B1922" s="458" t="s">
        <v>1687</v>
      </c>
      <c r="C1922" s="459">
        <v>12</v>
      </c>
      <c r="D1922" s="458">
        <v>2023</v>
      </c>
    </row>
    <row r="1923" spans="1:4" x14ac:dyDescent="0.35">
      <c r="A1923" s="457" t="s">
        <v>1644</v>
      </c>
      <c r="B1923" s="458" t="s">
        <v>1678</v>
      </c>
      <c r="C1923" s="459">
        <v>6</v>
      </c>
      <c r="D1923" s="458">
        <v>2023</v>
      </c>
    </row>
    <row r="1924" spans="1:4" x14ac:dyDescent="0.35">
      <c r="A1924" s="457" t="s">
        <v>1644</v>
      </c>
      <c r="B1924" s="458" t="s">
        <v>1680</v>
      </c>
      <c r="C1924" s="459">
        <v>7</v>
      </c>
      <c r="D1924" s="458">
        <v>2023</v>
      </c>
    </row>
    <row r="1925" spans="1:4" x14ac:dyDescent="0.35">
      <c r="A1925" s="457" t="s">
        <v>1644</v>
      </c>
      <c r="B1925" s="458" t="s">
        <v>1681</v>
      </c>
      <c r="C1925" s="459">
        <v>7</v>
      </c>
      <c r="D1925" s="458">
        <v>2024</v>
      </c>
    </row>
    <row r="1926" spans="1:4" x14ac:dyDescent="0.35">
      <c r="A1926" s="457" t="s">
        <v>1644</v>
      </c>
      <c r="B1926" s="458" t="s">
        <v>1685</v>
      </c>
      <c r="C1926" s="459">
        <v>6</v>
      </c>
      <c r="D1926" s="458">
        <v>2023</v>
      </c>
    </row>
    <row r="1927" spans="1:4" x14ac:dyDescent="0.35">
      <c r="A1927" s="457" t="s">
        <v>1644</v>
      </c>
      <c r="B1927" s="458" t="s">
        <v>1688</v>
      </c>
      <c r="C1927" s="459">
        <v>5</v>
      </c>
      <c r="D1927" s="458">
        <v>2022</v>
      </c>
    </row>
    <row r="1928" spans="1:4" x14ac:dyDescent="0.35">
      <c r="A1928" s="457" t="s">
        <v>1644</v>
      </c>
      <c r="B1928" s="458" t="s">
        <v>1688</v>
      </c>
      <c r="C1928" s="459">
        <v>6</v>
      </c>
      <c r="D1928" s="458">
        <v>2023</v>
      </c>
    </row>
    <row r="1929" spans="1:4" x14ac:dyDescent="0.35">
      <c r="A1929" s="457" t="s">
        <v>1644</v>
      </c>
      <c r="B1929" s="458" t="s">
        <v>1687</v>
      </c>
      <c r="C1929" s="459">
        <v>5</v>
      </c>
      <c r="D1929" s="458">
        <v>2022</v>
      </c>
    </row>
    <row r="1930" spans="1:4" x14ac:dyDescent="0.35">
      <c r="A1930" s="457" t="s">
        <v>1315</v>
      </c>
      <c r="B1930" s="458" t="s">
        <v>1677</v>
      </c>
      <c r="C1930" s="459">
        <v>12</v>
      </c>
      <c r="D1930" s="458">
        <v>2023</v>
      </c>
    </row>
    <row r="1931" spans="1:4" x14ac:dyDescent="0.35">
      <c r="A1931" s="457" t="s">
        <v>1315</v>
      </c>
      <c r="B1931" s="458" t="s">
        <v>1677</v>
      </c>
      <c r="C1931" s="459">
        <v>10</v>
      </c>
      <c r="D1931" s="458">
        <v>2023</v>
      </c>
    </row>
    <row r="1932" spans="1:4" x14ac:dyDescent="0.35">
      <c r="A1932" s="457" t="s">
        <v>1315</v>
      </c>
      <c r="B1932" s="458" t="s">
        <v>1678</v>
      </c>
      <c r="C1932" s="459">
        <v>3</v>
      </c>
      <c r="D1932" s="458">
        <v>2022</v>
      </c>
    </row>
    <row r="1933" spans="1:4" x14ac:dyDescent="0.35">
      <c r="A1933" s="457" t="s">
        <v>1315</v>
      </c>
      <c r="B1933" s="458" t="s">
        <v>1678</v>
      </c>
      <c r="C1933" s="459">
        <v>9</v>
      </c>
      <c r="D1933" s="458">
        <v>2023</v>
      </c>
    </row>
    <row r="1934" spans="1:4" x14ac:dyDescent="0.35">
      <c r="A1934" s="457" t="s">
        <v>1315</v>
      </c>
      <c r="B1934" s="458" t="s">
        <v>1678</v>
      </c>
      <c r="C1934" s="459">
        <v>13</v>
      </c>
      <c r="D1934" s="458">
        <v>2022</v>
      </c>
    </row>
    <row r="1935" spans="1:4" x14ac:dyDescent="0.35">
      <c r="A1935" s="457" t="s">
        <v>1315</v>
      </c>
      <c r="B1935" s="458" t="s">
        <v>1678</v>
      </c>
      <c r="C1935" s="459">
        <v>10</v>
      </c>
      <c r="D1935" s="458">
        <v>2023</v>
      </c>
    </row>
    <row r="1936" spans="1:4" x14ac:dyDescent="0.35">
      <c r="A1936" s="457" t="s">
        <v>1315</v>
      </c>
      <c r="B1936" s="458" t="s">
        <v>1679</v>
      </c>
      <c r="C1936" s="459">
        <v>15</v>
      </c>
      <c r="D1936" s="458">
        <v>2022</v>
      </c>
    </row>
    <row r="1937" spans="1:4" x14ac:dyDescent="0.35">
      <c r="A1937" s="457" t="s">
        <v>1315</v>
      </c>
      <c r="B1937" s="458" t="s">
        <v>1679</v>
      </c>
      <c r="C1937" s="459">
        <v>9</v>
      </c>
      <c r="D1937" s="458">
        <v>2023</v>
      </c>
    </row>
    <row r="1938" spans="1:4" x14ac:dyDescent="0.35">
      <c r="A1938" s="457" t="s">
        <v>1315</v>
      </c>
      <c r="B1938" s="458" t="s">
        <v>1679</v>
      </c>
      <c r="C1938" s="459">
        <v>2</v>
      </c>
      <c r="D1938" s="458">
        <v>2022</v>
      </c>
    </row>
    <row r="1939" spans="1:4" x14ac:dyDescent="0.35">
      <c r="A1939" s="457" t="s">
        <v>1315</v>
      </c>
      <c r="B1939" s="458" t="s">
        <v>1679</v>
      </c>
      <c r="C1939" s="459">
        <v>3</v>
      </c>
      <c r="D1939" s="458">
        <v>2023</v>
      </c>
    </row>
    <row r="1940" spans="1:4" x14ac:dyDescent="0.35">
      <c r="A1940" s="457" t="s">
        <v>1315</v>
      </c>
      <c r="B1940" s="458" t="s">
        <v>1680</v>
      </c>
      <c r="C1940" s="459">
        <v>22</v>
      </c>
      <c r="D1940" s="458">
        <v>2023</v>
      </c>
    </row>
    <row r="1941" spans="1:4" x14ac:dyDescent="0.35">
      <c r="A1941" s="457" t="s">
        <v>1315</v>
      </c>
      <c r="B1941" s="458" t="s">
        <v>1680</v>
      </c>
      <c r="C1941" s="459">
        <v>22</v>
      </c>
      <c r="D1941" s="458">
        <v>2023</v>
      </c>
    </row>
    <row r="1942" spans="1:4" x14ac:dyDescent="0.35">
      <c r="A1942" s="457" t="s">
        <v>1315</v>
      </c>
      <c r="B1942" s="458" t="s">
        <v>1681</v>
      </c>
      <c r="C1942" s="459">
        <v>18</v>
      </c>
      <c r="D1942" s="458">
        <v>2024</v>
      </c>
    </row>
    <row r="1943" spans="1:4" x14ac:dyDescent="0.35">
      <c r="A1943" s="457" t="s">
        <v>1315</v>
      </c>
      <c r="B1943" s="458" t="s">
        <v>1681</v>
      </c>
      <c r="C1943" s="459">
        <v>3</v>
      </c>
      <c r="D1943" s="458">
        <v>2024</v>
      </c>
    </row>
    <row r="1944" spans="1:4" x14ac:dyDescent="0.35">
      <c r="A1944" s="457" t="s">
        <v>1315</v>
      </c>
      <c r="B1944" s="458" t="s">
        <v>1682</v>
      </c>
      <c r="C1944" s="459">
        <v>2</v>
      </c>
      <c r="D1944" s="458">
        <v>2022</v>
      </c>
    </row>
    <row r="1945" spans="1:4" x14ac:dyDescent="0.35">
      <c r="A1945" s="457" t="s">
        <v>1315</v>
      </c>
      <c r="B1945" s="458" t="s">
        <v>1682</v>
      </c>
      <c r="C1945" s="459">
        <v>10</v>
      </c>
      <c r="D1945" s="458">
        <v>2023</v>
      </c>
    </row>
    <row r="1946" spans="1:4" x14ac:dyDescent="0.35">
      <c r="A1946" s="457" t="s">
        <v>1315</v>
      </c>
      <c r="B1946" s="458" t="s">
        <v>1682</v>
      </c>
      <c r="C1946" s="459">
        <v>15</v>
      </c>
      <c r="D1946" s="458">
        <v>2022</v>
      </c>
    </row>
    <row r="1947" spans="1:4" x14ac:dyDescent="0.35">
      <c r="A1947" s="457" t="s">
        <v>1315</v>
      </c>
      <c r="B1947" s="458" t="s">
        <v>1682</v>
      </c>
      <c r="C1947" s="459">
        <v>10</v>
      </c>
      <c r="D1947" s="458">
        <v>2023</v>
      </c>
    </row>
    <row r="1948" spans="1:4" x14ac:dyDescent="0.35">
      <c r="A1948" s="457" t="s">
        <v>1315</v>
      </c>
      <c r="B1948" s="458" t="s">
        <v>1683</v>
      </c>
      <c r="C1948" s="459">
        <v>10</v>
      </c>
      <c r="D1948" s="458">
        <v>2023</v>
      </c>
    </row>
    <row r="1949" spans="1:4" x14ac:dyDescent="0.35">
      <c r="A1949" s="457" t="s">
        <v>1315</v>
      </c>
      <c r="B1949" s="458" t="s">
        <v>1683</v>
      </c>
      <c r="C1949" s="459">
        <v>10</v>
      </c>
      <c r="D1949" s="458">
        <v>2023</v>
      </c>
    </row>
    <row r="1950" spans="1:4" x14ac:dyDescent="0.35">
      <c r="A1950" s="457" t="s">
        <v>1315</v>
      </c>
      <c r="B1950" s="458" t="s">
        <v>1684</v>
      </c>
      <c r="C1950" s="459">
        <v>12</v>
      </c>
      <c r="D1950" s="458">
        <v>2023</v>
      </c>
    </row>
    <row r="1951" spans="1:4" x14ac:dyDescent="0.35">
      <c r="A1951" s="457" t="s">
        <v>1315</v>
      </c>
      <c r="B1951" s="458" t="s">
        <v>1684</v>
      </c>
      <c r="C1951" s="459">
        <v>10</v>
      </c>
      <c r="D1951" s="458">
        <v>2023</v>
      </c>
    </row>
    <row r="1952" spans="1:4" x14ac:dyDescent="0.35">
      <c r="A1952" s="457" t="s">
        <v>1315</v>
      </c>
      <c r="B1952" s="458" t="s">
        <v>1685</v>
      </c>
      <c r="C1952" s="459">
        <v>10</v>
      </c>
      <c r="D1952" s="458">
        <v>2023</v>
      </c>
    </row>
    <row r="1953" spans="1:4" x14ac:dyDescent="0.35">
      <c r="A1953" s="457" t="s">
        <v>1315</v>
      </c>
      <c r="B1953" s="458" t="s">
        <v>1685</v>
      </c>
      <c r="C1953" s="459">
        <v>10</v>
      </c>
      <c r="D1953" s="458">
        <v>2023</v>
      </c>
    </row>
    <row r="1954" spans="1:4" x14ac:dyDescent="0.35">
      <c r="A1954" s="457" t="s">
        <v>1315</v>
      </c>
      <c r="B1954" s="458" t="s">
        <v>1688</v>
      </c>
      <c r="C1954" s="459">
        <v>2</v>
      </c>
      <c r="D1954" s="458">
        <v>2022</v>
      </c>
    </row>
    <row r="1955" spans="1:4" x14ac:dyDescent="0.35">
      <c r="A1955" s="457" t="s">
        <v>1315</v>
      </c>
      <c r="B1955" s="458" t="s">
        <v>1688</v>
      </c>
      <c r="C1955" s="459">
        <v>9</v>
      </c>
      <c r="D1955" s="458">
        <v>2023</v>
      </c>
    </row>
    <row r="1956" spans="1:4" x14ac:dyDescent="0.35">
      <c r="A1956" s="457" t="s">
        <v>1315</v>
      </c>
      <c r="B1956" s="458" t="s">
        <v>1688</v>
      </c>
      <c r="C1956" s="459">
        <v>9</v>
      </c>
      <c r="D1956" s="458">
        <v>2022</v>
      </c>
    </row>
    <row r="1957" spans="1:4" x14ac:dyDescent="0.35">
      <c r="A1957" s="457" t="s">
        <v>1315</v>
      </c>
      <c r="B1957" s="458" t="s">
        <v>1688</v>
      </c>
      <c r="C1957" s="459">
        <v>3</v>
      </c>
      <c r="D1957" s="458">
        <v>2023</v>
      </c>
    </row>
    <row r="1958" spans="1:4" x14ac:dyDescent="0.35">
      <c r="A1958" s="457" t="s">
        <v>1315</v>
      </c>
      <c r="B1958" s="458" t="s">
        <v>1686</v>
      </c>
      <c r="C1958" s="459">
        <v>2</v>
      </c>
      <c r="D1958" s="458">
        <v>2022</v>
      </c>
    </row>
    <row r="1959" spans="1:4" x14ac:dyDescent="0.35">
      <c r="A1959" s="457" t="s">
        <v>1315</v>
      </c>
      <c r="B1959" s="458" t="s">
        <v>1686</v>
      </c>
      <c r="C1959" s="459">
        <v>10</v>
      </c>
      <c r="D1959" s="458">
        <v>2023</v>
      </c>
    </row>
    <row r="1960" spans="1:4" x14ac:dyDescent="0.35">
      <c r="A1960" s="457" t="s">
        <v>1315</v>
      </c>
      <c r="B1960" s="458" t="s">
        <v>1686</v>
      </c>
      <c r="C1960" s="459">
        <v>9</v>
      </c>
      <c r="D1960" s="458">
        <v>2022</v>
      </c>
    </row>
    <row r="1961" spans="1:4" x14ac:dyDescent="0.35">
      <c r="A1961" s="457" t="s">
        <v>1315</v>
      </c>
      <c r="B1961" s="458" t="s">
        <v>1686</v>
      </c>
      <c r="C1961" s="459">
        <v>10</v>
      </c>
      <c r="D1961" s="458">
        <v>2023</v>
      </c>
    </row>
    <row r="1962" spans="1:4" x14ac:dyDescent="0.35">
      <c r="A1962" s="457" t="s">
        <v>1315</v>
      </c>
      <c r="B1962" s="458" t="s">
        <v>1687</v>
      </c>
      <c r="C1962" s="459">
        <v>3</v>
      </c>
      <c r="D1962" s="458">
        <v>2022</v>
      </c>
    </row>
    <row r="1963" spans="1:4" x14ac:dyDescent="0.35">
      <c r="A1963" s="457" t="s">
        <v>1315</v>
      </c>
      <c r="B1963" s="458" t="s">
        <v>1687</v>
      </c>
      <c r="C1963" s="459">
        <v>10</v>
      </c>
      <c r="D1963" s="458">
        <v>2023</v>
      </c>
    </row>
    <row r="1964" spans="1:4" x14ac:dyDescent="0.35">
      <c r="A1964" s="457" t="s">
        <v>1315</v>
      </c>
      <c r="B1964" s="458" t="s">
        <v>1687</v>
      </c>
      <c r="C1964" s="459">
        <v>11</v>
      </c>
      <c r="D1964" s="458">
        <v>2022</v>
      </c>
    </row>
    <row r="1965" spans="1:4" x14ac:dyDescent="0.35">
      <c r="A1965" s="457" t="s">
        <v>1315</v>
      </c>
      <c r="B1965" s="458" t="s">
        <v>1687</v>
      </c>
      <c r="C1965" s="459">
        <v>10</v>
      </c>
      <c r="D1965" s="458">
        <v>2023</v>
      </c>
    </row>
    <row r="1966" spans="1:4" x14ac:dyDescent="0.35">
      <c r="A1966" s="457" t="s">
        <v>1645</v>
      </c>
      <c r="B1966" s="458" t="s">
        <v>1677</v>
      </c>
      <c r="C1966" s="459">
        <v>11</v>
      </c>
      <c r="D1966" s="458">
        <v>2023</v>
      </c>
    </row>
    <row r="1967" spans="1:4" x14ac:dyDescent="0.35">
      <c r="A1967" s="457" t="s">
        <v>1645</v>
      </c>
      <c r="B1967" s="458" t="s">
        <v>1677</v>
      </c>
      <c r="C1967" s="459">
        <v>80</v>
      </c>
      <c r="D1967" s="458">
        <v>2023</v>
      </c>
    </row>
    <row r="1968" spans="1:4" x14ac:dyDescent="0.35">
      <c r="A1968" s="457" t="s">
        <v>1645</v>
      </c>
      <c r="B1968" s="458" t="s">
        <v>1678</v>
      </c>
      <c r="C1968" s="459">
        <v>4</v>
      </c>
      <c r="D1968" s="458">
        <v>2022</v>
      </c>
    </row>
    <row r="1969" spans="1:4" x14ac:dyDescent="0.35">
      <c r="A1969" s="457" t="s">
        <v>1645</v>
      </c>
      <c r="B1969" s="458" t="s">
        <v>1678</v>
      </c>
      <c r="C1969" s="459">
        <v>10</v>
      </c>
      <c r="D1969" s="458">
        <v>2023</v>
      </c>
    </row>
    <row r="1970" spans="1:4" x14ac:dyDescent="0.35">
      <c r="A1970" s="457" t="s">
        <v>1645</v>
      </c>
      <c r="B1970" s="458" t="s">
        <v>1678</v>
      </c>
      <c r="C1970" s="459">
        <v>22</v>
      </c>
      <c r="D1970" s="458">
        <v>2023</v>
      </c>
    </row>
    <row r="1971" spans="1:4" x14ac:dyDescent="0.35">
      <c r="A1971" s="457" t="s">
        <v>1645</v>
      </c>
      <c r="B1971" s="458" t="s">
        <v>1679</v>
      </c>
      <c r="C1971" s="459">
        <v>4</v>
      </c>
      <c r="D1971" s="458">
        <v>2022</v>
      </c>
    </row>
    <row r="1972" spans="1:4" x14ac:dyDescent="0.35">
      <c r="A1972" s="457" t="s">
        <v>1645</v>
      </c>
      <c r="B1972" s="458" t="s">
        <v>1679</v>
      </c>
      <c r="C1972" s="459">
        <v>8</v>
      </c>
      <c r="D1972" s="458">
        <v>2023</v>
      </c>
    </row>
    <row r="1973" spans="1:4" x14ac:dyDescent="0.35">
      <c r="A1973" s="457" t="s">
        <v>1645</v>
      </c>
      <c r="B1973" s="458" t="s">
        <v>1679</v>
      </c>
      <c r="C1973" s="459">
        <v>22</v>
      </c>
      <c r="D1973" s="458">
        <v>2023</v>
      </c>
    </row>
    <row r="1974" spans="1:4" x14ac:dyDescent="0.35">
      <c r="A1974" s="457" t="s">
        <v>1645</v>
      </c>
      <c r="B1974" s="458" t="s">
        <v>1680</v>
      </c>
      <c r="C1974" s="459">
        <v>25</v>
      </c>
      <c r="D1974" s="458">
        <v>2023</v>
      </c>
    </row>
    <row r="1975" spans="1:4" x14ac:dyDescent="0.35">
      <c r="A1975" s="457" t="s">
        <v>1645</v>
      </c>
      <c r="B1975" s="458" t="s">
        <v>1680</v>
      </c>
      <c r="C1975" s="459">
        <v>28</v>
      </c>
      <c r="D1975" s="458">
        <v>2023</v>
      </c>
    </row>
    <row r="1976" spans="1:4" x14ac:dyDescent="0.35">
      <c r="A1976" s="457" t="s">
        <v>1645</v>
      </c>
      <c r="B1976" s="458" t="s">
        <v>1681</v>
      </c>
      <c r="C1976" s="459">
        <v>0</v>
      </c>
      <c r="D1976" s="458">
        <v>2023</v>
      </c>
    </row>
    <row r="1977" spans="1:4" x14ac:dyDescent="0.35">
      <c r="A1977" s="457" t="s">
        <v>1645</v>
      </c>
      <c r="B1977" s="458" t="s">
        <v>1681</v>
      </c>
      <c r="C1977" s="459">
        <v>15</v>
      </c>
      <c r="D1977" s="458">
        <v>2024</v>
      </c>
    </row>
    <row r="1978" spans="1:4" x14ac:dyDescent="0.35">
      <c r="A1978" s="457" t="s">
        <v>1645</v>
      </c>
      <c r="B1978" s="458" t="s">
        <v>1681</v>
      </c>
      <c r="C1978" s="459">
        <v>4</v>
      </c>
      <c r="D1978" s="458">
        <v>2023</v>
      </c>
    </row>
    <row r="1979" spans="1:4" x14ac:dyDescent="0.35">
      <c r="A1979" s="457" t="s">
        <v>1645</v>
      </c>
      <c r="B1979" s="458" t="s">
        <v>1681</v>
      </c>
      <c r="C1979" s="459">
        <v>15</v>
      </c>
      <c r="D1979" s="458">
        <v>2024</v>
      </c>
    </row>
    <row r="1980" spans="1:4" x14ac:dyDescent="0.35">
      <c r="A1980" s="457" t="s">
        <v>1645</v>
      </c>
      <c r="B1980" s="458" t="s">
        <v>1682</v>
      </c>
      <c r="C1980" s="459">
        <v>4</v>
      </c>
      <c r="D1980" s="458">
        <v>2022</v>
      </c>
    </row>
    <row r="1981" spans="1:4" x14ac:dyDescent="0.35">
      <c r="A1981" s="457" t="s">
        <v>1645</v>
      </c>
      <c r="B1981" s="458" t="s">
        <v>1682</v>
      </c>
      <c r="C1981" s="459">
        <v>10</v>
      </c>
      <c r="D1981" s="458">
        <v>2023</v>
      </c>
    </row>
    <row r="1982" spans="1:4" x14ac:dyDescent="0.35">
      <c r="A1982" s="457" t="s">
        <v>1645</v>
      </c>
      <c r="B1982" s="458" t="s">
        <v>1682</v>
      </c>
      <c r="C1982" s="459">
        <v>26</v>
      </c>
      <c r="D1982" s="458">
        <v>2023</v>
      </c>
    </row>
    <row r="1983" spans="1:4" x14ac:dyDescent="0.35">
      <c r="A1983" s="457" t="s">
        <v>1645</v>
      </c>
      <c r="B1983" s="458" t="s">
        <v>1683</v>
      </c>
      <c r="C1983" s="459">
        <v>10</v>
      </c>
      <c r="D1983" s="458">
        <v>2023</v>
      </c>
    </row>
    <row r="1984" spans="1:4" x14ac:dyDescent="0.35">
      <c r="A1984" s="457" t="s">
        <v>1645</v>
      </c>
      <c r="B1984" s="458" t="s">
        <v>1683</v>
      </c>
      <c r="C1984" s="459">
        <v>28</v>
      </c>
      <c r="D1984" s="458">
        <v>2023</v>
      </c>
    </row>
    <row r="1985" spans="1:4" x14ac:dyDescent="0.35">
      <c r="A1985" s="457" t="s">
        <v>1645</v>
      </c>
      <c r="B1985" s="458" t="s">
        <v>1684</v>
      </c>
      <c r="C1985" s="459">
        <v>11</v>
      </c>
      <c r="D1985" s="458">
        <v>2023</v>
      </c>
    </row>
    <row r="1986" spans="1:4" x14ac:dyDescent="0.35">
      <c r="A1986" s="457" t="s">
        <v>1645</v>
      </c>
      <c r="B1986" s="458" t="s">
        <v>1685</v>
      </c>
      <c r="C1986" s="459">
        <v>10</v>
      </c>
      <c r="D1986" s="458">
        <v>2023</v>
      </c>
    </row>
    <row r="1987" spans="1:4" x14ac:dyDescent="0.35">
      <c r="A1987" s="457" t="s">
        <v>1645</v>
      </c>
      <c r="B1987" s="458" t="s">
        <v>1685</v>
      </c>
      <c r="C1987" s="459">
        <v>28</v>
      </c>
      <c r="D1987" s="458">
        <v>2023</v>
      </c>
    </row>
    <row r="1988" spans="1:4" x14ac:dyDescent="0.35">
      <c r="A1988" s="457" t="s">
        <v>1645</v>
      </c>
      <c r="B1988" s="458" t="s">
        <v>1688</v>
      </c>
      <c r="C1988" s="459">
        <v>8</v>
      </c>
      <c r="D1988" s="458">
        <v>2023</v>
      </c>
    </row>
    <row r="1989" spans="1:4" x14ac:dyDescent="0.35">
      <c r="A1989" s="457" t="s">
        <v>1645</v>
      </c>
      <c r="B1989" s="458" t="s">
        <v>1688</v>
      </c>
      <c r="C1989" s="459">
        <v>20</v>
      </c>
      <c r="D1989" s="458">
        <v>2023</v>
      </c>
    </row>
    <row r="1990" spans="1:4" x14ac:dyDescent="0.35">
      <c r="A1990" s="457" t="s">
        <v>1645</v>
      </c>
      <c r="B1990" s="458" t="s">
        <v>1686</v>
      </c>
      <c r="C1990" s="459">
        <v>9</v>
      </c>
      <c r="D1990" s="458">
        <v>2023</v>
      </c>
    </row>
    <row r="1991" spans="1:4" x14ac:dyDescent="0.35">
      <c r="A1991" s="457" t="s">
        <v>1645</v>
      </c>
      <c r="B1991" s="458" t="s">
        <v>1686</v>
      </c>
      <c r="C1991" s="459">
        <v>20</v>
      </c>
      <c r="D1991" s="458">
        <v>2023</v>
      </c>
    </row>
    <row r="1992" spans="1:4" x14ac:dyDescent="0.35">
      <c r="A1992" s="457" t="s">
        <v>1645</v>
      </c>
      <c r="B1992" s="458" t="s">
        <v>1687</v>
      </c>
      <c r="C1992" s="459">
        <v>2</v>
      </c>
      <c r="D1992" s="458">
        <v>2022</v>
      </c>
    </row>
    <row r="1993" spans="1:4" x14ac:dyDescent="0.35">
      <c r="A1993" s="457" t="s">
        <v>1645</v>
      </c>
      <c r="B1993" s="458" t="s">
        <v>1687</v>
      </c>
      <c r="C1993" s="459">
        <v>10</v>
      </c>
      <c r="D1993" s="458">
        <v>2023</v>
      </c>
    </row>
    <row r="1994" spans="1:4" x14ac:dyDescent="0.35">
      <c r="A1994" s="457" t="s">
        <v>1645</v>
      </c>
      <c r="B1994" s="458" t="s">
        <v>1687</v>
      </c>
      <c r="C1994" s="459">
        <v>21</v>
      </c>
      <c r="D1994" s="458">
        <v>2023</v>
      </c>
    </row>
    <row r="1995" spans="1:4" x14ac:dyDescent="0.35">
      <c r="A1995" s="457" t="s">
        <v>1646</v>
      </c>
      <c r="B1995" s="458" t="s">
        <v>1677</v>
      </c>
      <c r="C1995" s="459">
        <v>11</v>
      </c>
      <c r="D1995" s="458">
        <v>2023</v>
      </c>
    </row>
    <row r="1996" spans="1:4" x14ac:dyDescent="0.35">
      <c r="A1996" s="457" t="s">
        <v>1646</v>
      </c>
      <c r="B1996" s="458" t="s">
        <v>1677</v>
      </c>
      <c r="C1996" s="459">
        <v>3</v>
      </c>
      <c r="D1996" s="458">
        <v>2023</v>
      </c>
    </row>
    <row r="1997" spans="1:4" x14ac:dyDescent="0.35">
      <c r="A1997" s="457" t="s">
        <v>1646</v>
      </c>
      <c r="B1997" s="458" t="s">
        <v>1678</v>
      </c>
      <c r="C1997" s="459">
        <v>9</v>
      </c>
      <c r="D1997" s="458">
        <v>2022</v>
      </c>
    </row>
    <row r="1998" spans="1:4" x14ac:dyDescent="0.35">
      <c r="A1998" s="457" t="s">
        <v>1646</v>
      </c>
      <c r="B1998" s="458" t="s">
        <v>1678</v>
      </c>
      <c r="C1998" s="459">
        <v>13</v>
      </c>
      <c r="D1998" s="458">
        <v>2023</v>
      </c>
    </row>
    <row r="1999" spans="1:4" x14ac:dyDescent="0.35">
      <c r="A1999" s="457" t="s">
        <v>1646</v>
      </c>
      <c r="B1999" s="458" t="s">
        <v>1678</v>
      </c>
      <c r="C1999" s="459">
        <v>2</v>
      </c>
      <c r="D1999" s="458">
        <v>2022</v>
      </c>
    </row>
    <row r="2000" spans="1:4" x14ac:dyDescent="0.35">
      <c r="A2000" s="457" t="s">
        <v>1646</v>
      </c>
      <c r="B2000" s="458" t="s">
        <v>1678</v>
      </c>
      <c r="C2000" s="459">
        <v>3</v>
      </c>
      <c r="D2000" s="458">
        <v>2023</v>
      </c>
    </row>
    <row r="2001" spans="1:4" x14ac:dyDescent="0.35">
      <c r="A2001" s="457" t="s">
        <v>1646</v>
      </c>
      <c r="B2001" s="458" t="s">
        <v>1679</v>
      </c>
      <c r="C2001" s="459">
        <v>5</v>
      </c>
      <c r="D2001" s="458">
        <v>2022</v>
      </c>
    </row>
    <row r="2002" spans="1:4" x14ac:dyDescent="0.35">
      <c r="A2002" s="457" t="s">
        <v>1646</v>
      </c>
      <c r="B2002" s="458" t="s">
        <v>1679</v>
      </c>
      <c r="C2002" s="459">
        <v>8</v>
      </c>
      <c r="D2002" s="458">
        <v>2023</v>
      </c>
    </row>
    <row r="2003" spans="1:4" x14ac:dyDescent="0.35">
      <c r="A2003" s="457" t="s">
        <v>1646</v>
      </c>
      <c r="B2003" s="458" t="s">
        <v>1679</v>
      </c>
      <c r="C2003" s="459">
        <v>2</v>
      </c>
      <c r="D2003" s="458">
        <v>2022</v>
      </c>
    </row>
    <row r="2004" spans="1:4" x14ac:dyDescent="0.35">
      <c r="A2004" s="457" t="s">
        <v>1646</v>
      </c>
      <c r="B2004" s="458" t="s">
        <v>1679</v>
      </c>
      <c r="C2004" s="459">
        <v>5</v>
      </c>
      <c r="D2004" s="458">
        <v>2023</v>
      </c>
    </row>
    <row r="2005" spans="1:4" x14ac:dyDescent="0.35">
      <c r="A2005" s="457" t="s">
        <v>1646</v>
      </c>
      <c r="B2005" s="458" t="s">
        <v>1680</v>
      </c>
      <c r="C2005" s="459">
        <v>11</v>
      </c>
      <c r="D2005" s="458">
        <v>2023</v>
      </c>
    </row>
    <row r="2006" spans="1:4" x14ac:dyDescent="0.35">
      <c r="A2006" s="457" t="s">
        <v>1646</v>
      </c>
      <c r="B2006" s="458" t="s">
        <v>1680</v>
      </c>
      <c r="C2006" s="459">
        <v>3</v>
      </c>
      <c r="D2006" s="458">
        <v>2023</v>
      </c>
    </row>
    <row r="2007" spans="1:4" x14ac:dyDescent="0.35">
      <c r="A2007" s="457" t="s">
        <v>1646</v>
      </c>
      <c r="B2007" s="458" t="s">
        <v>1681</v>
      </c>
      <c r="C2007" s="459">
        <v>8</v>
      </c>
      <c r="D2007" s="458">
        <v>2023</v>
      </c>
    </row>
    <row r="2008" spans="1:4" x14ac:dyDescent="0.35">
      <c r="A2008" s="457" t="s">
        <v>1646</v>
      </c>
      <c r="B2008" s="458" t="s">
        <v>1681</v>
      </c>
      <c r="C2008" s="459">
        <v>27</v>
      </c>
      <c r="D2008" s="458">
        <v>2024</v>
      </c>
    </row>
    <row r="2009" spans="1:4" x14ac:dyDescent="0.35">
      <c r="A2009" s="457" t="s">
        <v>1646</v>
      </c>
      <c r="B2009" s="458" t="s">
        <v>1681</v>
      </c>
      <c r="C2009" s="459">
        <v>10</v>
      </c>
      <c r="D2009" s="458">
        <v>2023</v>
      </c>
    </row>
    <row r="2010" spans="1:4" x14ac:dyDescent="0.35">
      <c r="A2010" s="457" t="s">
        <v>1646</v>
      </c>
      <c r="B2010" s="458" t="s">
        <v>1681</v>
      </c>
      <c r="C2010" s="459">
        <v>8</v>
      </c>
      <c r="D2010" s="458">
        <v>2024</v>
      </c>
    </row>
    <row r="2011" spans="1:4" x14ac:dyDescent="0.35">
      <c r="A2011" s="457" t="s">
        <v>1646</v>
      </c>
      <c r="B2011" s="458" t="s">
        <v>1682</v>
      </c>
      <c r="C2011" s="459">
        <v>8</v>
      </c>
      <c r="D2011" s="458">
        <v>2022</v>
      </c>
    </row>
    <row r="2012" spans="1:4" x14ac:dyDescent="0.35">
      <c r="A2012" s="457" t="s">
        <v>1646</v>
      </c>
      <c r="B2012" s="458" t="s">
        <v>1682</v>
      </c>
      <c r="C2012" s="459">
        <v>7</v>
      </c>
      <c r="D2012" s="458">
        <v>2023</v>
      </c>
    </row>
    <row r="2013" spans="1:4" x14ac:dyDescent="0.35">
      <c r="A2013" s="457" t="s">
        <v>1646</v>
      </c>
      <c r="B2013" s="458" t="s">
        <v>1682</v>
      </c>
      <c r="C2013" s="459">
        <v>2</v>
      </c>
      <c r="D2013" s="458">
        <v>2022</v>
      </c>
    </row>
    <row r="2014" spans="1:4" x14ac:dyDescent="0.35">
      <c r="A2014" s="457" t="s">
        <v>1646</v>
      </c>
      <c r="B2014" s="458" t="s">
        <v>1682</v>
      </c>
      <c r="C2014" s="459">
        <v>4</v>
      </c>
      <c r="D2014" s="458">
        <v>2023</v>
      </c>
    </row>
    <row r="2015" spans="1:4" x14ac:dyDescent="0.35">
      <c r="A2015" s="457" t="s">
        <v>1646</v>
      </c>
      <c r="B2015" s="458" t="s">
        <v>1683</v>
      </c>
      <c r="C2015" s="459">
        <v>10</v>
      </c>
      <c r="D2015" s="458">
        <v>2023</v>
      </c>
    </row>
    <row r="2016" spans="1:4" x14ac:dyDescent="0.35">
      <c r="A2016" s="457" t="s">
        <v>1646</v>
      </c>
      <c r="B2016" s="458" t="s">
        <v>1683</v>
      </c>
      <c r="C2016" s="459">
        <v>3</v>
      </c>
      <c r="D2016" s="458">
        <v>2023</v>
      </c>
    </row>
    <row r="2017" spans="1:4" x14ac:dyDescent="0.35">
      <c r="A2017" s="457" t="s">
        <v>1646</v>
      </c>
      <c r="B2017" s="458" t="s">
        <v>1684</v>
      </c>
      <c r="C2017" s="459">
        <v>17</v>
      </c>
      <c r="D2017" s="458">
        <v>2023</v>
      </c>
    </row>
    <row r="2018" spans="1:4" x14ac:dyDescent="0.35">
      <c r="A2018" s="457" t="s">
        <v>1646</v>
      </c>
      <c r="B2018" s="458" t="s">
        <v>1684</v>
      </c>
      <c r="C2018" s="459">
        <v>4</v>
      </c>
      <c r="D2018" s="458">
        <v>2023</v>
      </c>
    </row>
    <row r="2019" spans="1:4" x14ac:dyDescent="0.35">
      <c r="A2019" s="457" t="s">
        <v>1646</v>
      </c>
      <c r="B2019" s="458" t="s">
        <v>1685</v>
      </c>
      <c r="C2019" s="459">
        <v>10</v>
      </c>
      <c r="D2019" s="458">
        <v>2023</v>
      </c>
    </row>
    <row r="2020" spans="1:4" x14ac:dyDescent="0.35">
      <c r="A2020" s="457" t="s">
        <v>1646</v>
      </c>
      <c r="B2020" s="458" t="s">
        <v>1685</v>
      </c>
      <c r="C2020" s="459">
        <v>3</v>
      </c>
      <c r="D2020" s="458">
        <v>2023</v>
      </c>
    </row>
    <row r="2021" spans="1:4" x14ac:dyDescent="0.35">
      <c r="A2021" s="457" t="s">
        <v>1646</v>
      </c>
      <c r="B2021" s="458" t="s">
        <v>1688</v>
      </c>
      <c r="C2021" s="459">
        <v>10</v>
      </c>
      <c r="D2021" s="458">
        <v>2022</v>
      </c>
    </row>
    <row r="2022" spans="1:4" x14ac:dyDescent="0.35">
      <c r="A2022" s="457" t="s">
        <v>1646</v>
      </c>
      <c r="B2022" s="458" t="s">
        <v>1688</v>
      </c>
      <c r="C2022" s="459">
        <v>12</v>
      </c>
      <c r="D2022" s="458">
        <v>2023</v>
      </c>
    </row>
    <row r="2023" spans="1:4" x14ac:dyDescent="0.35">
      <c r="A2023" s="457" t="s">
        <v>1646</v>
      </c>
      <c r="B2023" s="458" t="s">
        <v>1688</v>
      </c>
      <c r="C2023" s="459">
        <v>2</v>
      </c>
      <c r="D2023" s="458">
        <v>2022</v>
      </c>
    </row>
    <row r="2024" spans="1:4" x14ac:dyDescent="0.35">
      <c r="A2024" s="457" t="s">
        <v>1646</v>
      </c>
      <c r="B2024" s="458" t="s">
        <v>1688</v>
      </c>
      <c r="C2024" s="459">
        <v>4</v>
      </c>
      <c r="D2024" s="458">
        <v>2023</v>
      </c>
    </row>
    <row r="2025" spans="1:4" x14ac:dyDescent="0.35">
      <c r="A2025" s="457" t="s">
        <v>1646</v>
      </c>
      <c r="B2025" s="458" t="s">
        <v>1686</v>
      </c>
      <c r="C2025" s="459">
        <v>10</v>
      </c>
      <c r="D2025" s="458">
        <v>2022</v>
      </c>
    </row>
    <row r="2026" spans="1:4" x14ac:dyDescent="0.35">
      <c r="A2026" s="457" t="s">
        <v>1646</v>
      </c>
      <c r="B2026" s="458" t="s">
        <v>1686</v>
      </c>
      <c r="C2026" s="459">
        <v>12</v>
      </c>
      <c r="D2026" s="458">
        <v>2023</v>
      </c>
    </row>
    <row r="2027" spans="1:4" x14ac:dyDescent="0.35">
      <c r="A2027" s="457" t="s">
        <v>1646</v>
      </c>
      <c r="B2027" s="458" t="s">
        <v>1686</v>
      </c>
      <c r="C2027" s="459">
        <v>2</v>
      </c>
      <c r="D2027" s="458">
        <v>2022</v>
      </c>
    </row>
    <row r="2028" spans="1:4" x14ac:dyDescent="0.35">
      <c r="A2028" s="457" t="s">
        <v>1646</v>
      </c>
      <c r="B2028" s="458" t="s">
        <v>1686</v>
      </c>
      <c r="C2028" s="459">
        <v>3</v>
      </c>
      <c r="D2028" s="458">
        <v>2023</v>
      </c>
    </row>
    <row r="2029" spans="1:4" x14ac:dyDescent="0.35">
      <c r="A2029" s="457" t="s">
        <v>1646</v>
      </c>
      <c r="B2029" s="458" t="s">
        <v>1687</v>
      </c>
      <c r="C2029" s="459">
        <v>8</v>
      </c>
      <c r="D2029" s="458">
        <v>2022</v>
      </c>
    </row>
    <row r="2030" spans="1:4" x14ac:dyDescent="0.35">
      <c r="A2030" s="457" t="s">
        <v>1646</v>
      </c>
      <c r="B2030" s="458" t="s">
        <v>1687</v>
      </c>
      <c r="C2030" s="459">
        <v>11</v>
      </c>
      <c r="D2030" s="458">
        <v>2023</v>
      </c>
    </row>
    <row r="2031" spans="1:4" x14ac:dyDescent="0.35">
      <c r="A2031" s="457" t="s">
        <v>1646</v>
      </c>
      <c r="B2031" s="458" t="s">
        <v>1687</v>
      </c>
      <c r="C2031" s="459">
        <v>2</v>
      </c>
      <c r="D2031" s="458">
        <v>2022</v>
      </c>
    </row>
    <row r="2032" spans="1:4" x14ac:dyDescent="0.35">
      <c r="A2032" s="457" t="s">
        <v>1646</v>
      </c>
      <c r="B2032" s="458" t="s">
        <v>1687</v>
      </c>
      <c r="C2032" s="459">
        <v>3</v>
      </c>
      <c r="D2032" s="458">
        <v>2023</v>
      </c>
    </row>
    <row r="2033" spans="1:4" x14ac:dyDescent="0.35">
      <c r="A2033" s="457" t="s">
        <v>1647</v>
      </c>
      <c r="B2033" s="458" t="s">
        <v>1677</v>
      </c>
      <c r="C2033" s="459">
        <v>8</v>
      </c>
      <c r="D2033" s="458">
        <v>2023</v>
      </c>
    </row>
    <row r="2034" spans="1:4" x14ac:dyDescent="0.35">
      <c r="A2034" s="457" t="s">
        <v>1647</v>
      </c>
      <c r="B2034" s="458" t="s">
        <v>1678</v>
      </c>
      <c r="C2034" s="459">
        <v>6</v>
      </c>
      <c r="D2034" s="458">
        <v>2022</v>
      </c>
    </row>
    <row r="2035" spans="1:4" x14ac:dyDescent="0.35">
      <c r="A2035" s="457" t="s">
        <v>1647</v>
      </c>
      <c r="B2035" s="458" t="s">
        <v>1678</v>
      </c>
      <c r="C2035" s="459">
        <v>12</v>
      </c>
      <c r="D2035" s="458">
        <v>2023</v>
      </c>
    </row>
    <row r="2036" spans="1:4" x14ac:dyDescent="0.35">
      <c r="A2036" s="457" t="s">
        <v>1647</v>
      </c>
      <c r="B2036" s="458" t="s">
        <v>1679</v>
      </c>
      <c r="C2036" s="459">
        <v>2</v>
      </c>
      <c r="D2036" s="458">
        <v>2022</v>
      </c>
    </row>
    <row r="2037" spans="1:4" x14ac:dyDescent="0.35">
      <c r="A2037" s="457" t="s">
        <v>1647</v>
      </c>
      <c r="B2037" s="458" t="s">
        <v>1679</v>
      </c>
      <c r="C2037" s="459">
        <v>3</v>
      </c>
      <c r="D2037" s="458">
        <v>2023</v>
      </c>
    </row>
    <row r="2038" spans="1:4" x14ac:dyDescent="0.35">
      <c r="A2038" s="457" t="s">
        <v>1647</v>
      </c>
      <c r="B2038" s="458" t="s">
        <v>1680</v>
      </c>
      <c r="C2038" s="459">
        <v>14</v>
      </c>
      <c r="D2038" s="458">
        <v>2023</v>
      </c>
    </row>
    <row r="2039" spans="1:4" x14ac:dyDescent="0.35">
      <c r="A2039" s="457" t="s">
        <v>1647</v>
      </c>
      <c r="B2039" s="458" t="s">
        <v>1681</v>
      </c>
      <c r="C2039" s="459">
        <v>18</v>
      </c>
      <c r="D2039" s="458">
        <v>2024</v>
      </c>
    </row>
    <row r="2040" spans="1:4" x14ac:dyDescent="0.35">
      <c r="A2040" s="457" t="s">
        <v>1647</v>
      </c>
      <c r="B2040" s="458" t="s">
        <v>1681</v>
      </c>
      <c r="C2040" s="459">
        <v>6</v>
      </c>
      <c r="D2040" s="458">
        <v>2023</v>
      </c>
    </row>
    <row r="2041" spans="1:4" x14ac:dyDescent="0.35">
      <c r="A2041" s="457" t="s">
        <v>1647</v>
      </c>
      <c r="B2041" s="458" t="s">
        <v>1682</v>
      </c>
      <c r="C2041" s="459">
        <v>7</v>
      </c>
      <c r="D2041" s="458">
        <v>2022</v>
      </c>
    </row>
    <row r="2042" spans="1:4" x14ac:dyDescent="0.35">
      <c r="A2042" s="457" t="s">
        <v>1647</v>
      </c>
      <c r="B2042" s="458" t="s">
        <v>1682</v>
      </c>
      <c r="C2042" s="459">
        <v>4</v>
      </c>
      <c r="D2042" s="458">
        <v>2023</v>
      </c>
    </row>
    <row r="2043" spans="1:4" x14ac:dyDescent="0.35">
      <c r="A2043" s="457" t="s">
        <v>1647</v>
      </c>
      <c r="B2043" s="458" t="s">
        <v>1683</v>
      </c>
      <c r="C2043" s="459">
        <v>10</v>
      </c>
      <c r="D2043" s="458">
        <v>2023</v>
      </c>
    </row>
    <row r="2044" spans="1:4" x14ac:dyDescent="0.35">
      <c r="A2044" s="457" t="s">
        <v>1647</v>
      </c>
      <c r="B2044" s="458" t="s">
        <v>1684</v>
      </c>
      <c r="C2044" s="459">
        <v>10</v>
      </c>
      <c r="D2044" s="458">
        <v>2023</v>
      </c>
    </row>
    <row r="2045" spans="1:4" x14ac:dyDescent="0.35">
      <c r="A2045" s="457" t="s">
        <v>1647</v>
      </c>
      <c r="B2045" s="458" t="s">
        <v>1685</v>
      </c>
      <c r="C2045" s="459">
        <v>5</v>
      </c>
      <c r="D2045" s="458">
        <v>2023</v>
      </c>
    </row>
    <row r="2046" spans="1:4" x14ac:dyDescent="0.35">
      <c r="A2046" s="457" t="s">
        <v>1647</v>
      </c>
      <c r="B2046" s="458" t="s">
        <v>1688</v>
      </c>
      <c r="C2046" s="459">
        <v>11</v>
      </c>
      <c r="D2046" s="458">
        <v>2022</v>
      </c>
    </row>
    <row r="2047" spans="1:4" x14ac:dyDescent="0.35">
      <c r="A2047" s="457" t="s">
        <v>1647</v>
      </c>
      <c r="B2047" s="458" t="s">
        <v>1688</v>
      </c>
      <c r="C2047" s="459">
        <v>11</v>
      </c>
      <c r="D2047" s="458">
        <v>2023</v>
      </c>
    </row>
    <row r="2048" spans="1:4" x14ac:dyDescent="0.35">
      <c r="A2048" s="457" t="s">
        <v>1647</v>
      </c>
      <c r="B2048" s="458" t="s">
        <v>1688</v>
      </c>
      <c r="C2048" s="459">
        <v>1</v>
      </c>
      <c r="D2048" s="458">
        <v>2022</v>
      </c>
    </row>
    <row r="2049" spans="1:4" x14ac:dyDescent="0.35">
      <c r="A2049" s="457" t="s">
        <v>1647</v>
      </c>
      <c r="B2049" s="458" t="s">
        <v>1686</v>
      </c>
      <c r="C2049" s="459">
        <v>5</v>
      </c>
      <c r="D2049" s="458">
        <v>2022</v>
      </c>
    </row>
    <row r="2050" spans="1:4" x14ac:dyDescent="0.35">
      <c r="A2050" s="457" t="s">
        <v>1647</v>
      </c>
      <c r="B2050" s="458" t="s">
        <v>1686</v>
      </c>
      <c r="C2050" s="459">
        <v>5</v>
      </c>
      <c r="D2050" s="458">
        <v>2023</v>
      </c>
    </row>
    <row r="2051" spans="1:4" x14ac:dyDescent="0.35">
      <c r="A2051" s="457" t="s">
        <v>1647</v>
      </c>
      <c r="B2051" s="458" t="s">
        <v>1687</v>
      </c>
      <c r="C2051" s="459">
        <v>6</v>
      </c>
      <c r="D2051" s="458">
        <v>2022</v>
      </c>
    </row>
    <row r="2052" spans="1:4" x14ac:dyDescent="0.35">
      <c r="A2052" s="457" t="s">
        <v>1647</v>
      </c>
      <c r="B2052" s="458" t="s">
        <v>1687</v>
      </c>
      <c r="C2052" s="459">
        <v>7</v>
      </c>
      <c r="D2052" s="458">
        <v>2023</v>
      </c>
    </row>
    <row r="2053" spans="1:4" x14ac:dyDescent="0.35">
      <c r="A2053" s="457" t="s">
        <v>1647</v>
      </c>
      <c r="B2053" s="458" t="s">
        <v>1687</v>
      </c>
      <c r="C2053" s="459">
        <v>1</v>
      </c>
      <c r="D2053" s="458">
        <v>2022</v>
      </c>
    </row>
    <row r="2054" spans="1:4" x14ac:dyDescent="0.35">
      <c r="A2054" s="457" t="s">
        <v>1648</v>
      </c>
      <c r="B2054" s="458" t="s">
        <v>1677</v>
      </c>
      <c r="C2054" s="459">
        <v>1</v>
      </c>
      <c r="D2054" s="458">
        <v>2023</v>
      </c>
    </row>
    <row r="2055" spans="1:4" x14ac:dyDescent="0.35">
      <c r="A2055" s="457" t="s">
        <v>1648</v>
      </c>
      <c r="B2055" s="458" t="s">
        <v>1678</v>
      </c>
      <c r="C2055" s="459">
        <v>1</v>
      </c>
      <c r="D2055" s="458">
        <v>2022</v>
      </c>
    </row>
    <row r="2056" spans="1:4" x14ac:dyDescent="0.35">
      <c r="A2056" s="457" t="s">
        <v>1648</v>
      </c>
      <c r="B2056" s="458" t="s">
        <v>1678</v>
      </c>
      <c r="C2056" s="459">
        <v>1</v>
      </c>
      <c r="D2056" s="458">
        <v>2023</v>
      </c>
    </row>
    <row r="2057" spans="1:4" x14ac:dyDescent="0.35">
      <c r="A2057" s="457" t="s">
        <v>1648</v>
      </c>
      <c r="B2057" s="458" t="s">
        <v>1681</v>
      </c>
      <c r="C2057" s="459">
        <v>1</v>
      </c>
      <c r="D2057" s="458">
        <v>2023</v>
      </c>
    </row>
    <row r="2058" spans="1:4" x14ac:dyDescent="0.35">
      <c r="A2058" s="457" t="s">
        <v>1648</v>
      </c>
      <c r="B2058" s="458" t="s">
        <v>1681</v>
      </c>
      <c r="C2058" s="459">
        <v>3</v>
      </c>
      <c r="D2058" s="458">
        <v>2024</v>
      </c>
    </row>
    <row r="2059" spans="1:4" x14ac:dyDescent="0.35">
      <c r="A2059" s="457" t="s">
        <v>1648</v>
      </c>
      <c r="B2059" s="458" t="s">
        <v>1682</v>
      </c>
      <c r="C2059" s="459">
        <v>1</v>
      </c>
      <c r="D2059" s="458">
        <v>2022</v>
      </c>
    </row>
    <row r="2060" spans="1:4" x14ac:dyDescent="0.35">
      <c r="A2060" s="457" t="s">
        <v>1648</v>
      </c>
      <c r="B2060" s="458" t="s">
        <v>1682</v>
      </c>
      <c r="C2060" s="459">
        <v>1</v>
      </c>
      <c r="D2060" s="458">
        <v>2023</v>
      </c>
    </row>
    <row r="2061" spans="1:4" x14ac:dyDescent="0.35">
      <c r="A2061" s="457" t="s">
        <v>1648</v>
      </c>
      <c r="B2061" s="458" t="s">
        <v>1683</v>
      </c>
      <c r="C2061" s="459">
        <v>1</v>
      </c>
      <c r="D2061" s="458">
        <v>2023</v>
      </c>
    </row>
    <row r="2062" spans="1:4" x14ac:dyDescent="0.35">
      <c r="A2062" s="457" t="s">
        <v>1648</v>
      </c>
      <c r="B2062" s="458" t="s">
        <v>1684</v>
      </c>
      <c r="C2062" s="459">
        <v>1</v>
      </c>
      <c r="D2062" s="458">
        <v>2023</v>
      </c>
    </row>
    <row r="2063" spans="1:4" x14ac:dyDescent="0.35">
      <c r="A2063" s="457" t="s">
        <v>1648</v>
      </c>
      <c r="B2063" s="458" t="s">
        <v>1685</v>
      </c>
      <c r="C2063" s="459">
        <v>1</v>
      </c>
      <c r="D2063" s="458">
        <v>2023</v>
      </c>
    </row>
    <row r="2064" spans="1:4" x14ac:dyDescent="0.35">
      <c r="A2064" s="457" t="s">
        <v>1648</v>
      </c>
      <c r="B2064" s="458" t="s">
        <v>1688</v>
      </c>
      <c r="C2064" s="459">
        <v>1</v>
      </c>
      <c r="D2064" s="458">
        <v>2023</v>
      </c>
    </row>
    <row r="2065" spans="1:4" x14ac:dyDescent="0.35">
      <c r="A2065" s="457" t="s">
        <v>1648</v>
      </c>
      <c r="B2065" s="458" t="s">
        <v>1686</v>
      </c>
      <c r="C2065" s="459">
        <v>1</v>
      </c>
      <c r="D2065" s="458">
        <v>2023</v>
      </c>
    </row>
    <row r="2066" spans="1:4" x14ac:dyDescent="0.35">
      <c r="A2066" s="457" t="s">
        <v>1648</v>
      </c>
      <c r="B2066" s="458" t="s">
        <v>1687</v>
      </c>
      <c r="C2066" s="459">
        <v>1</v>
      </c>
      <c r="D2066" s="458">
        <v>2022</v>
      </c>
    </row>
    <row r="2067" spans="1:4" x14ac:dyDescent="0.35">
      <c r="A2067" s="457" t="s">
        <v>1648</v>
      </c>
      <c r="B2067" s="458" t="s">
        <v>1687</v>
      </c>
      <c r="C2067" s="459">
        <v>2</v>
      </c>
      <c r="D2067" s="458">
        <v>2023</v>
      </c>
    </row>
    <row r="2068" spans="1:4" x14ac:dyDescent="0.35">
      <c r="A2068" s="457" t="s">
        <v>1654</v>
      </c>
      <c r="B2068" s="458" t="s">
        <v>1682</v>
      </c>
      <c r="C2068" s="459">
        <v>4</v>
      </c>
      <c r="D2068" s="458">
        <v>2022</v>
      </c>
    </row>
    <row r="2069" spans="1:4" x14ac:dyDescent="0.35">
      <c r="A2069" s="457" t="s">
        <v>1649</v>
      </c>
      <c r="B2069" s="458" t="s">
        <v>1677</v>
      </c>
      <c r="C2069" s="459">
        <v>2</v>
      </c>
      <c r="D2069" s="458">
        <v>2023</v>
      </c>
    </row>
    <row r="2070" spans="1:4" x14ac:dyDescent="0.35">
      <c r="A2070" s="457" t="s">
        <v>1649</v>
      </c>
      <c r="B2070" s="458" t="s">
        <v>1681</v>
      </c>
      <c r="C2070" s="459">
        <v>6</v>
      </c>
      <c r="D2070" s="458">
        <v>2024</v>
      </c>
    </row>
    <row r="2071" spans="1:4" x14ac:dyDescent="0.35">
      <c r="A2071" s="457" t="s">
        <v>1649</v>
      </c>
      <c r="B2071" s="458" t="s">
        <v>1686</v>
      </c>
      <c r="C2071" s="459">
        <v>6</v>
      </c>
      <c r="D2071" s="458">
        <v>2023</v>
      </c>
    </row>
    <row r="2072" spans="1:4" x14ac:dyDescent="0.35">
      <c r="A2072" s="457" t="s">
        <v>1649</v>
      </c>
      <c r="B2072" s="458" t="s">
        <v>1687</v>
      </c>
      <c r="C2072" s="459">
        <v>6</v>
      </c>
      <c r="D2072" s="458">
        <v>2023</v>
      </c>
    </row>
    <row r="2073" spans="1:4" x14ac:dyDescent="0.35">
      <c r="A2073" s="457" t="s">
        <v>1650</v>
      </c>
      <c r="B2073" s="458" t="s">
        <v>1677</v>
      </c>
      <c r="C2073" s="459">
        <v>7</v>
      </c>
      <c r="D2073" s="458">
        <v>2023</v>
      </c>
    </row>
    <row r="2074" spans="1:4" x14ac:dyDescent="0.35">
      <c r="A2074" s="457" t="s">
        <v>1650</v>
      </c>
      <c r="B2074" s="458" t="s">
        <v>1677</v>
      </c>
      <c r="C2074" s="459">
        <v>1</v>
      </c>
      <c r="D2074" s="458">
        <v>2023</v>
      </c>
    </row>
    <row r="2075" spans="1:4" x14ac:dyDescent="0.35">
      <c r="A2075" s="457" t="s">
        <v>1650</v>
      </c>
      <c r="B2075" s="458" t="s">
        <v>1678</v>
      </c>
      <c r="C2075" s="459">
        <v>2</v>
      </c>
      <c r="D2075" s="458">
        <v>2022</v>
      </c>
    </row>
    <row r="2076" spans="1:4" x14ac:dyDescent="0.35">
      <c r="A2076" s="457" t="s">
        <v>1650</v>
      </c>
      <c r="B2076" s="458" t="s">
        <v>1678</v>
      </c>
      <c r="C2076" s="459">
        <v>8</v>
      </c>
      <c r="D2076" s="458">
        <v>2023</v>
      </c>
    </row>
    <row r="2077" spans="1:4" x14ac:dyDescent="0.35">
      <c r="A2077" s="457" t="s">
        <v>1650</v>
      </c>
      <c r="B2077" s="458" t="s">
        <v>1678</v>
      </c>
      <c r="C2077" s="459">
        <v>1</v>
      </c>
      <c r="D2077" s="458">
        <v>2022</v>
      </c>
    </row>
    <row r="2078" spans="1:4" x14ac:dyDescent="0.35">
      <c r="A2078" s="457" t="s">
        <v>1650</v>
      </c>
      <c r="B2078" s="458" t="s">
        <v>1678</v>
      </c>
      <c r="C2078" s="459">
        <v>1</v>
      </c>
      <c r="D2078" s="458">
        <v>2023</v>
      </c>
    </row>
    <row r="2079" spans="1:4" x14ac:dyDescent="0.35">
      <c r="A2079" s="457" t="s">
        <v>1650</v>
      </c>
      <c r="B2079" s="458" t="s">
        <v>1679</v>
      </c>
      <c r="C2079" s="459">
        <v>10</v>
      </c>
      <c r="D2079" s="458">
        <v>2023</v>
      </c>
    </row>
    <row r="2080" spans="1:4" x14ac:dyDescent="0.35">
      <c r="A2080" s="457" t="s">
        <v>1650</v>
      </c>
      <c r="B2080" s="458" t="s">
        <v>1679</v>
      </c>
      <c r="C2080" s="459">
        <v>2</v>
      </c>
      <c r="D2080" s="458">
        <v>2023</v>
      </c>
    </row>
    <row r="2081" spans="1:4" x14ac:dyDescent="0.35">
      <c r="A2081" s="457" t="s">
        <v>1650</v>
      </c>
      <c r="B2081" s="458" t="s">
        <v>1680</v>
      </c>
      <c r="C2081" s="459">
        <v>2</v>
      </c>
      <c r="D2081" s="458">
        <v>2023</v>
      </c>
    </row>
    <row r="2082" spans="1:4" x14ac:dyDescent="0.35">
      <c r="A2082" s="457" t="s">
        <v>1650</v>
      </c>
      <c r="B2082" s="458" t="s">
        <v>1681</v>
      </c>
      <c r="C2082" s="459">
        <v>0</v>
      </c>
      <c r="D2082" s="458">
        <v>2023</v>
      </c>
    </row>
    <row r="2083" spans="1:4" x14ac:dyDescent="0.35">
      <c r="A2083" s="457" t="s">
        <v>1650</v>
      </c>
      <c r="B2083" s="458" t="s">
        <v>1681</v>
      </c>
      <c r="C2083" s="459">
        <v>17</v>
      </c>
      <c r="D2083" s="458">
        <v>2024</v>
      </c>
    </row>
    <row r="2084" spans="1:4" x14ac:dyDescent="0.35">
      <c r="A2084" s="457" t="s">
        <v>1650</v>
      </c>
      <c r="B2084" s="458" t="s">
        <v>1681</v>
      </c>
      <c r="C2084" s="459">
        <v>0</v>
      </c>
      <c r="D2084" s="458">
        <v>2023</v>
      </c>
    </row>
    <row r="2085" spans="1:4" x14ac:dyDescent="0.35">
      <c r="A2085" s="457" t="s">
        <v>1650</v>
      </c>
      <c r="B2085" s="458" t="s">
        <v>1681</v>
      </c>
      <c r="C2085" s="459">
        <v>1</v>
      </c>
      <c r="D2085" s="458">
        <v>2024</v>
      </c>
    </row>
    <row r="2086" spans="1:4" x14ac:dyDescent="0.35">
      <c r="A2086" s="457" t="s">
        <v>1650</v>
      </c>
      <c r="B2086" s="458" t="s">
        <v>1682</v>
      </c>
      <c r="C2086" s="459">
        <v>4</v>
      </c>
      <c r="D2086" s="458">
        <v>2022</v>
      </c>
    </row>
    <row r="2087" spans="1:4" x14ac:dyDescent="0.35">
      <c r="A2087" s="457" t="s">
        <v>1650</v>
      </c>
      <c r="B2087" s="458" t="s">
        <v>1682</v>
      </c>
      <c r="C2087" s="459">
        <v>9</v>
      </c>
      <c r="D2087" s="458">
        <v>2023</v>
      </c>
    </row>
    <row r="2088" spans="1:4" x14ac:dyDescent="0.35">
      <c r="A2088" s="457" t="s">
        <v>1650</v>
      </c>
      <c r="B2088" s="458" t="s">
        <v>1682</v>
      </c>
      <c r="C2088" s="459">
        <v>1</v>
      </c>
      <c r="D2088" s="458">
        <v>2022</v>
      </c>
    </row>
    <row r="2089" spans="1:4" x14ac:dyDescent="0.35">
      <c r="A2089" s="457" t="s">
        <v>1650</v>
      </c>
      <c r="B2089" s="458" t="s">
        <v>1683</v>
      </c>
      <c r="C2089" s="459">
        <v>7</v>
      </c>
      <c r="D2089" s="458">
        <v>2023</v>
      </c>
    </row>
    <row r="2090" spans="1:4" x14ac:dyDescent="0.35">
      <c r="A2090" s="457" t="s">
        <v>1650</v>
      </c>
      <c r="B2090" s="458" t="s">
        <v>1684</v>
      </c>
      <c r="C2090" s="459">
        <v>15</v>
      </c>
      <c r="D2090" s="458">
        <v>2023</v>
      </c>
    </row>
    <row r="2091" spans="1:4" x14ac:dyDescent="0.35">
      <c r="A2091" s="457" t="s">
        <v>1650</v>
      </c>
      <c r="B2091" s="458" t="s">
        <v>1684</v>
      </c>
      <c r="C2091" s="459">
        <v>1</v>
      </c>
      <c r="D2091" s="458">
        <v>2023</v>
      </c>
    </row>
    <row r="2092" spans="1:4" x14ac:dyDescent="0.35">
      <c r="A2092" s="457" t="s">
        <v>1650</v>
      </c>
      <c r="B2092" s="458" t="s">
        <v>1685</v>
      </c>
      <c r="C2092" s="459">
        <v>10</v>
      </c>
      <c r="D2092" s="458">
        <v>2023</v>
      </c>
    </row>
    <row r="2093" spans="1:4" x14ac:dyDescent="0.35">
      <c r="A2093" s="457" t="s">
        <v>1650</v>
      </c>
      <c r="B2093" s="458" t="s">
        <v>1685</v>
      </c>
      <c r="C2093" s="459">
        <v>1</v>
      </c>
      <c r="D2093" s="458">
        <v>2023</v>
      </c>
    </row>
    <row r="2094" spans="1:4" x14ac:dyDescent="0.35">
      <c r="A2094" s="457" t="s">
        <v>1650</v>
      </c>
      <c r="B2094" s="458" t="s">
        <v>1688</v>
      </c>
      <c r="C2094" s="459">
        <v>4</v>
      </c>
      <c r="D2094" s="458">
        <v>2022</v>
      </c>
    </row>
    <row r="2095" spans="1:4" x14ac:dyDescent="0.35">
      <c r="A2095" s="457" t="s">
        <v>1650</v>
      </c>
      <c r="B2095" s="458" t="s">
        <v>1688</v>
      </c>
      <c r="C2095" s="459">
        <v>7</v>
      </c>
      <c r="D2095" s="458">
        <v>2023</v>
      </c>
    </row>
    <row r="2096" spans="1:4" x14ac:dyDescent="0.35">
      <c r="A2096" s="457" t="s">
        <v>1650</v>
      </c>
      <c r="B2096" s="458" t="s">
        <v>1688</v>
      </c>
      <c r="C2096" s="459">
        <v>2</v>
      </c>
      <c r="D2096" s="458">
        <v>2022</v>
      </c>
    </row>
    <row r="2097" spans="1:4" x14ac:dyDescent="0.35">
      <c r="A2097" s="457" t="s">
        <v>1650</v>
      </c>
      <c r="B2097" s="458" t="s">
        <v>1688</v>
      </c>
      <c r="C2097" s="459">
        <v>1</v>
      </c>
      <c r="D2097" s="458">
        <v>2023</v>
      </c>
    </row>
    <row r="2098" spans="1:4" x14ac:dyDescent="0.35">
      <c r="A2098" s="457" t="s">
        <v>1650</v>
      </c>
      <c r="B2098" s="458" t="s">
        <v>1686</v>
      </c>
      <c r="C2098" s="459">
        <v>4</v>
      </c>
      <c r="D2098" s="458">
        <v>2022</v>
      </c>
    </row>
    <row r="2099" spans="1:4" x14ac:dyDescent="0.35">
      <c r="A2099" s="457" t="s">
        <v>1650</v>
      </c>
      <c r="B2099" s="458" t="s">
        <v>1686</v>
      </c>
      <c r="C2099" s="459">
        <v>9</v>
      </c>
      <c r="D2099" s="458">
        <v>2023</v>
      </c>
    </row>
    <row r="2100" spans="1:4" x14ac:dyDescent="0.35">
      <c r="A2100" s="457" t="s">
        <v>1650</v>
      </c>
      <c r="B2100" s="458" t="s">
        <v>1686</v>
      </c>
      <c r="C2100" s="459">
        <v>1</v>
      </c>
      <c r="D2100" s="458">
        <v>2023</v>
      </c>
    </row>
    <row r="2101" spans="1:4" x14ac:dyDescent="0.35">
      <c r="A2101" s="457" t="s">
        <v>1650</v>
      </c>
      <c r="B2101" s="458" t="s">
        <v>1687</v>
      </c>
      <c r="C2101" s="459">
        <v>2</v>
      </c>
      <c r="D2101" s="458">
        <v>2022</v>
      </c>
    </row>
    <row r="2102" spans="1:4" x14ac:dyDescent="0.35">
      <c r="A2102" s="457" t="s">
        <v>1650</v>
      </c>
      <c r="B2102" s="458" t="s">
        <v>1687</v>
      </c>
      <c r="C2102" s="459">
        <v>8</v>
      </c>
      <c r="D2102" s="458">
        <v>2023</v>
      </c>
    </row>
    <row r="2103" spans="1:4" x14ac:dyDescent="0.35">
      <c r="A2103" s="457" t="s">
        <v>1651</v>
      </c>
      <c r="B2103" s="458" t="s">
        <v>1677</v>
      </c>
      <c r="C2103" s="459">
        <v>25</v>
      </c>
      <c r="D2103" s="458">
        <v>2023</v>
      </c>
    </row>
    <row r="2104" spans="1:4" x14ac:dyDescent="0.35">
      <c r="A2104" s="457" t="s">
        <v>1651</v>
      </c>
      <c r="B2104" s="458" t="s">
        <v>1677</v>
      </c>
      <c r="C2104" s="459">
        <v>5</v>
      </c>
      <c r="D2104" s="458">
        <v>2023</v>
      </c>
    </row>
    <row r="2105" spans="1:4" x14ac:dyDescent="0.35">
      <c r="A2105" s="457" t="s">
        <v>1651</v>
      </c>
      <c r="B2105" s="458" t="s">
        <v>1678</v>
      </c>
      <c r="C2105" s="459">
        <v>25</v>
      </c>
      <c r="D2105" s="458">
        <v>2022</v>
      </c>
    </row>
    <row r="2106" spans="1:4" x14ac:dyDescent="0.35">
      <c r="A2106" s="457" t="s">
        <v>1651</v>
      </c>
      <c r="B2106" s="458" t="s">
        <v>1678</v>
      </c>
      <c r="C2106" s="459">
        <v>34</v>
      </c>
      <c r="D2106" s="458">
        <v>2023</v>
      </c>
    </row>
    <row r="2107" spans="1:4" x14ac:dyDescent="0.35">
      <c r="A2107" s="457" t="s">
        <v>1651</v>
      </c>
      <c r="B2107" s="458" t="s">
        <v>1678</v>
      </c>
      <c r="C2107" s="459">
        <v>2</v>
      </c>
      <c r="D2107" s="458">
        <v>2022</v>
      </c>
    </row>
    <row r="2108" spans="1:4" x14ac:dyDescent="0.35">
      <c r="A2108" s="457" t="s">
        <v>1651</v>
      </c>
      <c r="B2108" s="458" t="s">
        <v>1678</v>
      </c>
      <c r="C2108" s="459">
        <v>6</v>
      </c>
      <c r="D2108" s="458">
        <v>2023</v>
      </c>
    </row>
    <row r="2109" spans="1:4" x14ac:dyDescent="0.35">
      <c r="A2109" s="457" t="s">
        <v>1651</v>
      </c>
      <c r="B2109" s="458" t="s">
        <v>1679</v>
      </c>
      <c r="C2109" s="459">
        <v>21</v>
      </c>
      <c r="D2109" s="458">
        <v>2022</v>
      </c>
    </row>
    <row r="2110" spans="1:4" x14ac:dyDescent="0.35">
      <c r="A2110" s="457" t="s">
        <v>1651</v>
      </c>
      <c r="B2110" s="458" t="s">
        <v>1679</v>
      </c>
      <c r="C2110" s="459">
        <v>28</v>
      </c>
      <c r="D2110" s="458">
        <v>2023</v>
      </c>
    </row>
    <row r="2111" spans="1:4" x14ac:dyDescent="0.35">
      <c r="A2111" s="457" t="s">
        <v>1651</v>
      </c>
      <c r="B2111" s="458" t="s">
        <v>1679</v>
      </c>
      <c r="C2111" s="459">
        <v>1</v>
      </c>
      <c r="D2111" s="458">
        <v>2022</v>
      </c>
    </row>
    <row r="2112" spans="1:4" x14ac:dyDescent="0.35">
      <c r="A2112" s="457" t="s">
        <v>1651</v>
      </c>
      <c r="B2112" s="458" t="s">
        <v>1679</v>
      </c>
      <c r="C2112" s="459">
        <v>2</v>
      </c>
      <c r="D2112" s="458">
        <v>2023</v>
      </c>
    </row>
    <row r="2113" spans="1:4" x14ac:dyDescent="0.35">
      <c r="A2113" s="457" t="s">
        <v>1651</v>
      </c>
      <c r="B2113" s="458" t="s">
        <v>1680</v>
      </c>
      <c r="C2113" s="459">
        <v>38</v>
      </c>
      <c r="D2113" s="458">
        <v>2023</v>
      </c>
    </row>
    <row r="2114" spans="1:4" x14ac:dyDescent="0.35">
      <c r="A2114" s="457" t="s">
        <v>1651</v>
      </c>
      <c r="B2114" s="458" t="s">
        <v>1680</v>
      </c>
      <c r="C2114" s="459">
        <v>11</v>
      </c>
      <c r="D2114" s="458">
        <v>2023</v>
      </c>
    </row>
    <row r="2115" spans="1:4" x14ac:dyDescent="0.35">
      <c r="A2115" s="457" t="s">
        <v>1651</v>
      </c>
      <c r="B2115" s="458" t="s">
        <v>1681</v>
      </c>
      <c r="C2115" s="459">
        <v>58</v>
      </c>
      <c r="D2115" s="458">
        <v>2024</v>
      </c>
    </row>
    <row r="2116" spans="1:4" x14ac:dyDescent="0.35">
      <c r="A2116" s="457" t="s">
        <v>1651</v>
      </c>
      <c r="B2116" s="458" t="s">
        <v>1681</v>
      </c>
      <c r="C2116" s="459">
        <v>34</v>
      </c>
      <c r="D2116" s="458">
        <v>2023</v>
      </c>
    </row>
    <row r="2117" spans="1:4" x14ac:dyDescent="0.35">
      <c r="A2117" s="457" t="s">
        <v>1651</v>
      </c>
      <c r="B2117" s="458" t="s">
        <v>1681</v>
      </c>
      <c r="C2117" s="459">
        <v>4</v>
      </c>
      <c r="D2117" s="458">
        <v>2024</v>
      </c>
    </row>
    <row r="2118" spans="1:4" x14ac:dyDescent="0.35">
      <c r="A2118" s="457" t="s">
        <v>1651</v>
      </c>
      <c r="B2118" s="458" t="s">
        <v>1682</v>
      </c>
      <c r="C2118" s="459">
        <v>30</v>
      </c>
      <c r="D2118" s="458">
        <v>2022</v>
      </c>
    </row>
    <row r="2119" spans="1:4" x14ac:dyDescent="0.35">
      <c r="A2119" s="457" t="s">
        <v>1651</v>
      </c>
      <c r="B2119" s="458" t="s">
        <v>1682</v>
      </c>
      <c r="C2119" s="459">
        <v>31</v>
      </c>
      <c r="D2119" s="458">
        <v>2023</v>
      </c>
    </row>
    <row r="2120" spans="1:4" x14ac:dyDescent="0.35">
      <c r="A2120" s="457" t="s">
        <v>1651</v>
      </c>
      <c r="B2120" s="458" t="s">
        <v>1682</v>
      </c>
      <c r="C2120" s="459">
        <v>2</v>
      </c>
      <c r="D2120" s="458">
        <v>2022</v>
      </c>
    </row>
    <row r="2121" spans="1:4" x14ac:dyDescent="0.35">
      <c r="A2121" s="457" t="s">
        <v>1651</v>
      </c>
      <c r="B2121" s="458" t="s">
        <v>1682</v>
      </c>
      <c r="C2121" s="459">
        <v>7</v>
      </c>
      <c r="D2121" s="458">
        <v>2023</v>
      </c>
    </row>
    <row r="2122" spans="1:4" x14ac:dyDescent="0.35">
      <c r="A2122" s="457" t="s">
        <v>1651</v>
      </c>
      <c r="B2122" s="458" t="s">
        <v>1683</v>
      </c>
      <c r="C2122" s="459">
        <v>21</v>
      </c>
      <c r="D2122" s="458">
        <v>2023</v>
      </c>
    </row>
    <row r="2123" spans="1:4" x14ac:dyDescent="0.35">
      <c r="A2123" s="457" t="s">
        <v>1651</v>
      </c>
      <c r="B2123" s="458" t="s">
        <v>1683</v>
      </c>
      <c r="C2123" s="459">
        <v>6</v>
      </c>
      <c r="D2123" s="458">
        <v>2023</v>
      </c>
    </row>
    <row r="2124" spans="1:4" x14ac:dyDescent="0.35">
      <c r="A2124" s="457" t="s">
        <v>1651</v>
      </c>
      <c r="B2124" s="458" t="s">
        <v>1684</v>
      </c>
      <c r="C2124" s="459">
        <v>29</v>
      </c>
      <c r="D2124" s="458">
        <v>2023</v>
      </c>
    </row>
    <row r="2125" spans="1:4" x14ac:dyDescent="0.35">
      <c r="A2125" s="457" t="s">
        <v>1651</v>
      </c>
      <c r="B2125" s="458" t="s">
        <v>1684</v>
      </c>
      <c r="C2125" s="459">
        <v>6</v>
      </c>
      <c r="D2125" s="458">
        <v>2023</v>
      </c>
    </row>
    <row r="2126" spans="1:4" x14ac:dyDescent="0.35">
      <c r="A2126" s="457" t="s">
        <v>1651</v>
      </c>
      <c r="B2126" s="458" t="s">
        <v>1685</v>
      </c>
      <c r="C2126" s="459">
        <v>15</v>
      </c>
      <c r="D2126" s="458">
        <v>2023</v>
      </c>
    </row>
    <row r="2127" spans="1:4" x14ac:dyDescent="0.35">
      <c r="A2127" s="457" t="s">
        <v>1651</v>
      </c>
      <c r="B2127" s="458" t="s">
        <v>1685</v>
      </c>
      <c r="C2127" s="459">
        <v>7</v>
      </c>
      <c r="D2127" s="458">
        <v>2023</v>
      </c>
    </row>
    <row r="2128" spans="1:4" x14ac:dyDescent="0.35">
      <c r="A2128" s="457" t="s">
        <v>1651</v>
      </c>
      <c r="B2128" s="458" t="s">
        <v>1688</v>
      </c>
      <c r="C2128" s="459">
        <v>26</v>
      </c>
      <c r="D2128" s="458">
        <v>2022</v>
      </c>
    </row>
    <row r="2129" spans="1:4" x14ac:dyDescent="0.35">
      <c r="A2129" s="457" t="s">
        <v>1651</v>
      </c>
      <c r="B2129" s="458" t="s">
        <v>1688</v>
      </c>
      <c r="C2129" s="459">
        <v>37</v>
      </c>
      <c r="D2129" s="458">
        <v>2023</v>
      </c>
    </row>
    <row r="2130" spans="1:4" x14ac:dyDescent="0.35">
      <c r="A2130" s="457" t="s">
        <v>1651</v>
      </c>
      <c r="B2130" s="458" t="s">
        <v>1688</v>
      </c>
      <c r="C2130" s="459">
        <v>2</v>
      </c>
      <c r="D2130" s="458">
        <v>2022</v>
      </c>
    </row>
    <row r="2131" spans="1:4" x14ac:dyDescent="0.35">
      <c r="A2131" s="457" t="s">
        <v>1651</v>
      </c>
      <c r="B2131" s="458" t="s">
        <v>1688</v>
      </c>
      <c r="C2131" s="459">
        <v>2</v>
      </c>
      <c r="D2131" s="458">
        <v>2023</v>
      </c>
    </row>
    <row r="2132" spans="1:4" x14ac:dyDescent="0.35">
      <c r="A2132" s="457" t="s">
        <v>1651</v>
      </c>
      <c r="B2132" s="458" t="s">
        <v>1686</v>
      </c>
      <c r="C2132" s="459">
        <v>26</v>
      </c>
      <c r="D2132" s="458">
        <v>2022</v>
      </c>
    </row>
    <row r="2133" spans="1:4" x14ac:dyDescent="0.35">
      <c r="A2133" s="457" t="s">
        <v>1651</v>
      </c>
      <c r="B2133" s="458" t="s">
        <v>1686</v>
      </c>
      <c r="C2133" s="459">
        <v>25</v>
      </c>
      <c r="D2133" s="458">
        <v>2023</v>
      </c>
    </row>
    <row r="2134" spans="1:4" x14ac:dyDescent="0.35">
      <c r="A2134" s="457" t="s">
        <v>1651</v>
      </c>
      <c r="B2134" s="458" t="s">
        <v>1686</v>
      </c>
      <c r="C2134" s="459">
        <v>2</v>
      </c>
      <c r="D2134" s="458">
        <v>2022</v>
      </c>
    </row>
    <row r="2135" spans="1:4" x14ac:dyDescent="0.35">
      <c r="A2135" s="457" t="s">
        <v>1651</v>
      </c>
      <c r="B2135" s="458" t="s">
        <v>1686</v>
      </c>
      <c r="C2135" s="459">
        <v>6</v>
      </c>
      <c r="D2135" s="458">
        <v>2023</v>
      </c>
    </row>
    <row r="2136" spans="1:4" x14ac:dyDescent="0.35">
      <c r="A2136" s="457" t="s">
        <v>1651</v>
      </c>
      <c r="B2136" s="458" t="s">
        <v>1687</v>
      </c>
      <c r="C2136" s="459">
        <v>23</v>
      </c>
      <c r="D2136" s="458">
        <v>2022</v>
      </c>
    </row>
    <row r="2137" spans="1:4" x14ac:dyDescent="0.35">
      <c r="A2137" s="457" t="s">
        <v>1651</v>
      </c>
      <c r="B2137" s="458" t="s">
        <v>1687</v>
      </c>
      <c r="C2137" s="459">
        <v>26</v>
      </c>
      <c r="D2137" s="458">
        <v>2023</v>
      </c>
    </row>
    <row r="2138" spans="1:4" x14ac:dyDescent="0.35">
      <c r="A2138" s="457" t="s">
        <v>1651</v>
      </c>
      <c r="B2138" s="458" t="s">
        <v>1687</v>
      </c>
      <c r="C2138" s="459">
        <v>1</v>
      </c>
      <c r="D2138" s="458">
        <v>2022</v>
      </c>
    </row>
    <row r="2139" spans="1:4" x14ac:dyDescent="0.35">
      <c r="A2139" s="457" t="s">
        <v>1651</v>
      </c>
      <c r="B2139" s="458" t="s">
        <v>1687</v>
      </c>
      <c r="C2139" s="459">
        <v>5</v>
      </c>
      <c r="D2139" s="458">
        <v>2023</v>
      </c>
    </row>
    <row r="2140" spans="1:4" x14ac:dyDescent="0.35">
      <c r="A2140" s="457" t="s">
        <v>1655</v>
      </c>
      <c r="B2140" s="458" t="s">
        <v>1677</v>
      </c>
      <c r="C2140" s="459">
        <v>2</v>
      </c>
      <c r="D2140" s="458">
        <v>2023</v>
      </c>
    </row>
    <row r="2141" spans="1:4" x14ac:dyDescent="0.35">
      <c r="A2141" s="457" t="s">
        <v>1655</v>
      </c>
      <c r="B2141" s="458" t="s">
        <v>1678</v>
      </c>
      <c r="C2141" s="459">
        <v>2</v>
      </c>
      <c r="D2141" s="458">
        <v>2022</v>
      </c>
    </row>
    <row r="2142" spans="1:4" x14ac:dyDescent="0.35">
      <c r="A2142" s="457" t="s">
        <v>1655</v>
      </c>
      <c r="B2142" s="458" t="s">
        <v>1678</v>
      </c>
      <c r="C2142" s="459">
        <v>1</v>
      </c>
      <c r="D2142" s="458">
        <v>2023</v>
      </c>
    </row>
    <row r="2143" spans="1:4" x14ac:dyDescent="0.35">
      <c r="A2143" s="457" t="s">
        <v>1655</v>
      </c>
      <c r="B2143" s="458" t="s">
        <v>1680</v>
      </c>
      <c r="C2143" s="459">
        <v>2</v>
      </c>
      <c r="D2143" s="458">
        <v>2023</v>
      </c>
    </row>
    <row r="2144" spans="1:4" x14ac:dyDescent="0.35">
      <c r="A2144" s="457" t="s">
        <v>1655</v>
      </c>
      <c r="B2144" s="458" t="s">
        <v>1681</v>
      </c>
      <c r="C2144" s="459">
        <v>2</v>
      </c>
      <c r="D2144" s="458">
        <v>2023</v>
      </c>
    </row>
    <row r="2145" spans="1:4" x14ac:dyDescent="0.35">
      <c r="A2145" s="457" t="s">
        <v>1655</v>
      </c>
      <c r="B2145" s="458" t="s">
        <v>1681</v>
      </c>
      <c r="C2145" s="459">
        <v>1</v>
      </c>
      <c r="D2145" s="458">
        <v>2024</v>
      </c>
    </row>
    <row r="2146" spans="1:4" x14ac:dyDescent="0.35">
      <c r="A2146" s="457" t="s">
        <v>1655</v>
      </c>
      <c r="B2146" s="458" t="s">
        <v>1682</v>
      </c>
      <c r="C2146" s="459">
        <v>2</v>
      </c>
      <c r="D2146" s="458">
        <v>2022</v>
      </c>
    </row>
    <row r="2147" spans="1:4" x14ac:dyDescent="0.35">
      <c r="A2147" s="457" t="s">
        <v>1655</v>
      </c>
      <c r="B2147" s="458" t="s">
        <v>1682</v>
      </c>
      <c r="C2147" s="459">
        <v>2</v>
      </c>
      <c r="D2147" s="458">
        <v>2023</v>
      </c>
    </row>
    <row r="2148" spans="1:4" x14ac:dyDescent="0.35">
      <c r="A2148" s="457" t="s">
        <v>1655</v>
      </c>
      <c r="B2148" s="458" t="s">
        <v>1683</v>
      </c>
      <c r="C2148" s="459">
        <v>2</v>
      </c>
      <c r="D2148" s="458">
        <v>2023</v>
      </c>
    </row>
    <row r="2149" spans="1:4" x14ac:dyDescent="0.35">
      <c r="A2149" s="457" t="s">
        <v>1655</v>
      </c>
      <c r="B2149" s="458" t="s">
        <v>1684</v>
      </c>
      <c r="C2149" s="459">
        <v>2</v>
      </c>
      <c r="D2149" s="458">
        <v>2023</v>
      </c>
    </row>
    <row r="2150" spans="1:4" x14ac:dyDescent="0.35">
      <c r="A2150" s="457" t="s">
        <v>1655</v>
      </c>
      <c r="B2150" s="458" t="s">
        <v>1685</v>
      </c>
      <c r="C2150" s="459">
        <v>2</v>
      </c>
      <c r="D2150" s="458">
        <v>2023</v>
      </c>
    </row>
    <row r="2151" spans="1:4" x14ac:dyDescent="0.35">
      <c r="A2151" s="457" t="s">
        <v>1655</v>
      </c>
      <c r="B2151" s="458" t="s">
        <v>1688</v>
      </c>
      <c r="C2151" s="459">
        <v>1</v>
      </c>
      <c r="D2151" s="458">
        <v>2023</v>
      </c>
    </row>
    <row r="2152" spans="1:4" x14ac:dyDescent="0.35">
      <c r="A2152" s="457" t="s">
        <v>1655</v>
      </c>
      <c r="B2152" s="458" t="s">
        <v>1686</v>
      </c>
      <c r="C2152" s="459">
        <v>2</v>
      </c>
      <c r="D2152" s="458">
        <v>2022</v>
      </c>
    </row>
    <row r="2153" spans="1:4" x14ac:dyDescent="0.35">
      <c r="A2153" s="457" t="s">
        <v>1655</v>
      </c>
      <c r="B2153" s="458" t="s">
        <v>1686</v>
      </c>
      <c r="C2153" s="459">
        <v>1</v>
      </c>
      <c r="D2153" s="458">
        <v>2023</v>
      </c>
    </row>
    <row r="2154" spans="1:4" x14ac:dyDescent="0.35">
      <c r="A2154" s="457" t="s">
        <v>1655</v>
      </c>
      <c r="B2154" s="458" t="s">
        <v>1687</v>
      </c>
      <c r="C2154" s="459">
        <v>1</v>
      </c>
      <c r="D2154" s="458">
        <v>2023</v>
      </c>
    </row>
    <row r="2155" spans="1:4" x14ac:dyDescent="0.35">
      <c r="A2155" s="457" t="s">
        <v>1652</v>
      </c>
      <c r="B2155" s="458" t="s">
        <v>1677</v>
      </c>
      <c r="C2155" s="459">
        <v>13</v>
      </c>
      <c r="D2155" s="458">
        <v>2023</v>
      </c>
    </row>
    <row r="2156" spans="1:4" x14ac:dyDescent="0.35">
      <c r="A2156" s="457" t="s">
        <v>1652</v>
      </c>
      <c r="B2156" s="458" t="s">
        <v>1678</v>
      </c>
      <c r="C2156" s="459">
        <v>1</v>
      </c>
      <c r="D2156" s="458">
        <v>2022</v>
      </c>
    </row>
    <row r="2157" spans="1:4" x14ac:dyDescent="0.35">
      <c r="A2157" s="457" t="s">
        <v>1652</v>
      </c>
      <c r="B2157" s="458" t="s">
        <v>1678</v>
      </c>
      <c r="C2157" s="459">
        <v>6</v>
      </c>
      <c r="D2157" s="458">
        <v>2022</v>
      </c>
    </row>
    <row r="2158" spans="1:4" x14ac:dyDescent="0.35">
      <c r="A2158" s="457" t="s">
        <v>1652</v>
      </c>
      <c r="B2158" s="458" t="s">
        <v>1678</v>
      </c>
      <c r="C2158" s="459">
        <v>6</v>
      </c>
      <c r="D2158" s="458">
        <v>2023</v>
      </c>
    </row>
    <row r="2159" spans="1:4" x14ac:dyDescent="0.35">
      <c r="A2159" s="457" t="s">
        <v>1652</v>
      </c>
      <c r="B2159" s="458" t="s">
        <v>1679</v>
      </c>
      <c r="C2159" s="459">
        <v>2</v>
      </c>
      <c r="D2159" s="458">
        <v>2023</v>
      </c>
    </row>
    <row r="2160" spans="1:4" x14ac:dyDescent="0.35">
      <c r="A2160" s="457" t="s">
        <v>1652</v>
      </c>
      <c r="B2160" s="458" t="s">
        <v>1680</v>
      </c>
      <c r="C2160" s="459">
        <v>5</v>
      </c>
      <c r="D2160" s="458">
        <v>2023</v>
      </c>
    </row>
    <row r="2161" spans="1:4" x14ac:dyDescent="0.35">
      <c r="A2161" s="457" t="s">
        <v>1652</v>
      </c>
      <c r="B2161" s="458" t="s">
        <v>1681</v>
      </c>
      <c r="C2161" s="459">
        <v>8</v>
      </c>
      <c r="D2161" s="458">
        <v>2023</v>
      </c>
    </row>
    <row r="2162" spans="1:4" x14ac:dyDescent="0.35">
      <c r="A2162" s="457" t="s">
        <v>1652</v>
      </c>
      <c r="B2162" s="458" t="s">
        <v>1681</v>
      </c>
      <c r="C2162" s="459">
        <v>9</v>
      </c>
      <c r="D2162" s="458">
        <v>2024</v>
      </c>
    </row>
    <row r="2163" spans="1:4" x14ac:dyDescent="0.35">
      <c r="A2163" s="457" t="s">
        <v>1652</v>
      </c>
      <c r="B2163" s="458" t="s">
        <v>1682</v>
      </c>
      <c r="C2163" s="459">
        <v>1</v>
      </c>
      <c r="D2163" s="458">
        <v>2022</v>
      </c>
    </row>
    <row r="2164" spans="1:4" x14ac:dyDescent="0.35">
      <c r="A2164" s="457" t="s">
        <v>1652</v>
      </c>
      <c r="B2164" s="458" t="s">
        <v>1682</v>
      </c>
      <c r="C2164" s="459">
        <v>4</v>
      </c>
      <c r="D2164" s="458">
        <v>2022</v>
      </c>
    </row>
    <row r="2165" spans="1:4" x14ac:dyDescent="0.35">
      <c r="A2165" s="457" t="s">
        <v>1652</v>
      </c>
      <c r="B2165" s="458" t="s">
        <v>1682</v>
      </c>
      <c r="C2165" s="459">
        <v>5</v>
      </c>
      <c r="D2165" s="458">
        <v>2023</v>
      </c>
    </row>
    <row r="2166" spans="1:4" x14ac:dyDescent="0.35">
      <c r="A2166" s="457" t="s">
        <v>1652</v>
      </c>
      <c r="B2166" s="458" t="s">
        <v>1683</v>
      </c>
      <c r="C2166" s="459">
        <v>6</v>
      </c>
      <c r="D2166" s="458">
        <v>2023</v>
      </c>
    </row>
    <row r="2167" spans="1:4" x14ac:dyDescent="0.35">
      <c r="A2167" s="457" t="s">
        <v>1652</v>
      </c>
      <c r="B2167" s="458" t="s">
        <v>1685</v>
      </c>
      <c r="C2167" s="459">
        <v>5</v>
      </c>
      <c r="D2167" s="458">
        <v>2023</v>
      </c>
    </row>
    <row r="2168" spans="1:4" x14ac:dyDescent="0.35">
      <c r="A2168" s="457" t="s">
        <v>1652</v>
      </c>
      <c r="B2168" s="458" t="s">
        <v>1688</v>
      </c>
      <c r="C2168" s="459">
        <v>1</v>
      </c>
      <c r="D2168" s="458">
        <v>2022</v>
      </c>
    </row>
    <row r="2169" spans="1:4" x14ac:dyDescent="0.35">
      <c r="A2169" s="457" t="s">
        <v>1652</v>
      </c>
      <c r="B2169" s="458" t="s">
        <v>1688</v>
      </c>
      <c r="C2169" s="459">
        <v>10</v>
      </c>
      <c r="D2169" s="458">
        <v>2022</v>
      </c>
    </row>
    <row r="2170" spans="1:4" x14ac:dyDescent="0.35">
      <c r="A2170" s="457" t="s">
        <v>1652</v>
      </c>
      <c r="B2170" s="458" t="s">
        <v>1688</v>
      </c>
      <c r="C2170" s="459">
        <v>6</v>
      </c>
      <c r="D2170" s="458">
        <v>2023</v>
      </c>
    </row>
    <row r="2171" spans="1:4" x14ac:dyDescent="0.35">
      <c r="A2171" s="457" t="s">
        <v>1652</v>
      </c>
      <c r="B2171" s="458" t="s">
        <v>1686</v>
      </c>
      <c r="C2171" s="459">
        <v>1</v>
      </c>
      <c r="D2171" s="458">
        <v>2022</v>
      </c>
    </row>
    <row r="2172" spans="1:4" x14ac:dyDescent="0.35">
      <c r="A2172" s="457" t="s">
        <v>1652</v>
      </c>
      <c r="B2172" s="458" t="s">
        <v>1686</v>
      </c>
      <c r="C2172" s="459">
        <v>6</v>
      </c>
      <c r="D2172" s="458">
        <v>2022</v>
      </c>
    </row>
    <row r="2173" spans="1:4" x14ac:dyDescent="0.35">
      <c r="A2173" s="457" t="s">
        <v>1652</v>
      </c>
      <c r="B2173" s="458" t="s">
        <v>1686</v>
      </c>
      <c r="C2173" s="459">
        <v>5</v>
      </c>
      <c r="D2173" s="458">
        <v>2023</v>
      </c>
    </row>
    <row r="2174" spans="1:4" x14ac:dyDescent="0.35">
      <c r="A2174" s="457" t="s">
        <v>1652</v>
      </c>
      <c r="B2174" s="458" t="s">
        <v>1687</v>
      </c>
      <c r="C2174" s="459">
        <v>1</v>
      </c>
      <c r="D2174" s="458">
        <v>2022</v>
      </c>
    </row>
    <row r="2175" spans="1:4" x14ac:dyDescent="0.35">
      <c r="A2175" s="457" t="s">
        <v>1652</v>
      </c>
      <c r="B2175" s="458" t="s">
        <v>1687</v>
      </c>
      <c r="C2175" s="459">
        <v>4</v>
      </c>
      <c r="D2175" s="458">
        <v>2022</v>
      </c>
    </row>
    <row r="2176" spans="1:4" x14ac:dyDescent="0.35">
      <c r="A2176" s="457" t="s">
        <v>1652</v>
      </c>
      <c r="B2176" s="458" t="s">
        <v>1687</v>
      </c>
      <c r="C2176" s="459">
        <v>5</v>
      </c>
      <c r="D2176" s="458">
        <v>2023</v>
      </c>
    </row>
    <row r="2177" spans="1:4" x14ac:dyDescent="0.35">
      <c r="A2177" s="457" t="s">
        <v>35</v>
      </c>
      <c r="B2177" s="458" t="s">
        <v>1677</v>
      </c>
      <c r="C2177" s="459">
        <v>16</v>
      </c>
      <c r="D2177" s="458">
        <v>2023</v>
      </c>
    </row>
    <row r="2178" spans="1:4" x14ac:dyDescent="0.35">
      <c r="A2178" s="457" t="s">
        <v>35</v>
      </c>
      <c r="B2178" s="458" t="s">
        <v>1677</v>
      </c>
      <c r="C2178" s="459">
        <v>16</v>
      </c>
      <c r="D2178" s="458">
        <v>2023</v>
      </c>
    </row>
    <row r="2179" spans="1:4" x14ac:dyDescent="0.35">
      <c r="A2179" s="457" t="s">
        <v>35</v>
      </c>
      <c r="B2179" s="458" t="s">
        <v>1678</v>
      </c>
      <c r="C2179" s="459">
        <v>8</v>
      </c>
      <c r="D2179" s="458">
        <v>2022</v>
      </c>
    </row>
    <row r="2180" spans="1:4" x14ac:dyDescent="0.35">
      <c r="A2180" s="457" t="s">
        <v>35</v>
      </c>
      <c r="B2180" s="458" t="s">
        <v>1678</v>
      </c>
      <c r="C2180" s="459">
        <v>8</v>
      </c>
      <c r="D2180" s="458">
        <v>2023</v>
      </c>
    </row>
    <row r="2181" spans="1:4" x14ac:dyDescent="0.35">
      <c r="A2181" s="457" t="s">
        <v>35</v>
      </c>
      <c r="B2181" s="458" t="s">
        <v>1678</v>
      </c>
      <c r="C2181" s="459">
        <v>8</v>
      </c>
      <c r="D2181" s="458">
        <v>2022</v>
      </c>
    </row>
    <row r="2182" spans="1:4" x14ac:dyDescent="0.35">
      <c r="A2182" s="457" t="s">
        <v>35</v>
      </c>
      <c r="B2182" s="458" t="s">
        <v>1678</v>
      </c>
      <c r="C2182" s="459">
        <v>8</v>
      </c>
      <c r="D2182" s="458">
        <v>2023</v>
      </c>
    </row>
    <row r="2183" spans="1:4" x14ac:dyDescent="0.35">
      <c r="A2183" s="457" t="s">
        <v>35</v>
      </c>
      <c r="B2183" s="458" t="s">
        <v>1679</v>
      </c>
      <c r="C2183" s="459">
        <v>4</v>
      </c>
      <c r="D2183" s="458">
        <v>2022</v>
      </c>
    </row>
    <row r="2184" spans="1:4" x14ac:dyDescent="0.35">
      <c r="A2184" s="457" t="s">
        <v>35</v>
      </c>
      <c r="B2184" s="458" t="s">
        <v>1679</v>
      </c>
      <c r="C2184" s="459">
        <v>8</v>
      </c>
      <c r="D2184" s="458">
        <v>2023</v>
      </c>
    </row>
    <row r="2185" spans="1:4" x14ac:dyDescent="0.35">
      <c r="A2185" s="457" t="s">
        <v>35</v>
      </c>
      <c r="B2185" s="458" t="s">
        <v>1679</v>
      </c>
      <c r="C2185" s="459">
        <v>4</v>
      </c>
      <c r="D2185" s="458">
        <v>2022</v>
      </c>
    </row>
    <row r="2186" spans="1:4" x14ac:dyDescent="0.35">
      <c r="A2186" s="457" t="s">
        <v>35</v>
      </c>
      <c r="B2186" s="458" t="s">
        <v>1679</v>
      </c>
      <c r="C2186" s="459">
        <v>8</v>
      </c>
      <c r="D2186" s="458">
        <v>2023</v>
      </c>
    </row>
    <row r="2187" spans="1:4" x14ac:dyDescent="0.35">
      <c r="A2187" s="457" t="s">
        <v>35</v>
      </c>
      <c r="B2187" s="458" t="s">
        <v>1680</v>
      </c>
      <c r="C2187" s="459">
        <v>8</v>
      </c>
      <c r="D2187" s="458">
        <v>2023</v>
      </c>
    </row>
    <row r="2188" spans="1:4" x14ac:dyDescent="0.35">
      <c r="A2188" s="457" t="s">
        <v>35</v>
      </c>
      <c r="B2188" s="458" t="s">
        <v>1680</v>
      </c>
      <c r="C2188" s="459">
        <v>8</v>
      </c>
      <c r="D2188" s="458">
        <v>2023</v>
      </c>
    </row>
    <row r="2189" spans="1:4" x14ac:dyDescent="0.35">
      <c r="A2189" s="457" t="s">
        <v>35</v>
      </c>
      <c r="B2189" s="458" t="s">
        <v>1681</v>
      </c>
      <c r="C2189" s="459">
        <v>32</v>
      </c>
      <c r="D2189" s="458">
        <v>2023</v>
      </c>
    </row>
    <row r="2190" spans="1:4" x14ac:dyDescent="0.35">
      <c r="A2190" s="457" t="s">
        <v>35</v>
      </c>
      <c r="B2190" s="458" t="s">
        <v>1681</v>
      </c>
      <c r="C2190" s="459">
        <v>16</v>
      </c>
      <c r="D2190" s="458">
        <v>2024</v>
      </c>
    </row>
    <row r="2191" spans="1:4" x14ac:dyDescent="0.35">
      <c r="A2191" s="457" t="s">
        <v>35</v>
      </c>
      <c r="B2191" s="458" t="s">
        <v>1681</v>
      </c>
      <c r="C2191" s="459">
        <v>8</v>
      </c>
      <c r="D2191" s="458">
        <v>2023</v>
      </c>
    </row>
    <row r="2192" spans="1:4" x14ac:dyDescent="0.35">
      <c r="A2192" s="457" t="s">
        <v>35</v>
      </c>
      <c r="B2192" s="458" t="s">
        <v>1681</v>
      </c>
      <c r="C2192" s="459">
        <v>16</v>
      </c>
      <c r="D2192" s="458">
        <v>2024</v>
      </c>
    </row>
    <row r="2193" spans="1:4" x14ac:dyDescent="0.35">
      <c r="A2193" s="457" t="s">
        <v>35</v>
      </c>
      <c r="B2193" s="458" t="s">
        <v>1682</v>
      </c>
      <c r="C2193" s="459">
        <v>16</v>
      </c>
      <c r="D2193" s="458">
        <v>2022</v>
      </c>
    </row>
    <row r="2194" spans="1:4" x14ac:dyDescent="0.35">
      <c r="A2194" s="457" t="s">
        <v>35</v>
      </c>
      <c r="B2194" s="458" t="s">
        <v>1682</v>
      </c>
      <c r="C2194" s="459">
        <v>8</v>
      </c>
      <c r="D2194" s="458">
        <v>2023</v>
      </c>
    </row>
    <row r="2195" spans="1:4" x14ac:dyDescent="0.35">
      <c r="A2195" s="457" t="s">
        <v>35</v>
      </c>
      <c r="B2195" s="458" t="s">
        <v>1682</v>
      </c>
      <c r="C2195" s="459">
        <v>16</v>
      </c>
      <c r="D2195" s="458">
        <v>2022</v>
      </c>
    </row>
    <row r="2196" spans="1:4" x14ac:dyDescent="0.35">
      <c r="A2196" s="457" t="s">
        <v>35</v>
      </c>
      <c r="B2196" s="458" t="s">
        <v>1682</v>
      </c>
      <c r="C2196" s="459">
        <v>8</v>
      </c>
      <c r="D2196" s="458">
        <v>2023</v>
      </c>
    </row>
    <row r="2197" spans="1:4" x14ac:dyDescent="0.35">
      <c r="A2197" s="457" t="s">
        <v>35</v>
      </c>
      <c r="B2197" s="458" t="s">
        <v>1683</v>
      </c>
      <c r="C2197" s="459">
        <v>8</v>
      </c>
      <c r="D2197" s="458">
        <v>2023</v>
      </c>
    </row>
    <row r="2198" spans="1:4" x14ac:dyDescent="0.35">
      <c r="A2198" s="457" t="s">
        <v>35</v>
      </c>
      <c r="B2198" s="458" t="s">
        <v>1683</v>
      </c>
      <c r="C2198" s="459">
        <v>8</v>
      </c>
      <c r="D2198" s="458">
        <v>2023</v>
      </c>
    </row>
    <row r="2199" spans="1:4" x14ac:dyDescent="0.35">
      <c r="A2199" s="457" t="s">
        <v>35</v>
      </c>
      <c r="B2199" s="458" t="s">
        <v>1684</v>
      </c>
      <c r="C2199" s="459">
        <v>0</v>
      </c>
      <c r="D2199" s="458">
        <v>2023</v>
      </c>
    </row>
    <row r="2200" spans="1:4" x14ac:dyDescent="0.35">
      <c r="A2200" s="457" t="s">
        <v>35</v>
      </c>
      <c r="B2200" s="458" t="s">
        <v>1684</v>
      </c>
      <c r="C2200" s="459">
        <v>0</v>
      </c>
      <c r="D2200" s="458">
        <v>2023</v>
      </c>
    </row>
    <row r="2201" spans="1:4" x14ac:dyDescent="0.35">
      <c r="A2201" s="457" t="s">
        <v>35</v>
      </c>
      <c r="B2201" s="458" t="s">
        <v>1685</v>
      </c>
      <c r="C2201" s="459">
        <v>8</v>
      </c>
      <c r="D2201" s="458">
        <v>2023</v>
      </c>
    </row>
    <row r="2202" spans="1:4" x14ac:dyDescent="0.35">
      <c r="A2202" s="457" t="s">
        <v>35</v>
      </c>
      <c r="B2202" s="458" t="s">
        <v>1685</v>
      </c>
      <c r="C2202" s="459">
        <v>8</v>
      </c>
      <c r="D2202" s="458">
        <v>2023</v>
      </c>
    </row>
    <row r="2203" spans="1:4" x14ac:dyDescent="0.35">
      <c r="A2203" s="457" t="s">
        <v>35</v>
      </c>
      <c r="B2203" s="458" t="s">
        <v>1688</v>
      </c>
      <c r="C2203" s="459">
        <v>8</v>
      </c>
      <c r="D2203" s="458">
        <v>2022</v>
      </c>
    </row>
    <row r="2204" spans="1:4" x14ac:dyDescent="0.35">
      <c r="A2204" s="457" t="s">
        <v>35</v>
      </c>
      <c r="B2204" s="458" t="s">
        <v>1688</v>
      </c>
      <c r="C2204" s="459">
        <v>10</v>
      </c>
      <c r="D2204" s="458">
        <v>2023</v>
      </c>
    </row>
    <row r="2205" spans="1:4" x14ac:dyDescent="0.35">
      <c r="A2205" s="457" t="s">
        <v>35</v>
      </c>
      <c r="B2205" s="458" t="s">
        <v>1688</v>
      </c>
      <c r="C2205" s="459">
        <v>8</v>
      </c>
      <c r="D2205" s="458">
        <v>2022</v>
      </c>
    </row>
    <row r="2206" spans="1:4" x14ac:dyDescent="0.35">
      <c r="A2206" s="457" t="s">
        <v>35</v>
      </c>
      <c r="B2206" s="458" t="s">
        <v>1688</v>
      </c>
      <c r="C2206" s="459">
        <v>8</v>
      </c>
      <c r="D2206" s="458">
        <v>2023</v>
      </c>
    </row>
    <row r="2207" spans="1:4" x14ac:dyDescent="0.35">
      <c r="A2207" s="457" t="s">
        <v>35</v>
      </c>
      <c r="B2207" s="458" t="s">
        <v>1686</v>
      </c>
      <c r="C2207" s="459">
        <v>8</v>
      </c>
      <c r="D2207" s="458">
        <v>2022</v>
      </c>
    </row>
    <row r="2208" spans="1:4" x14ac:dyDescent="0.35">
      <c r="A2208" s="457" t="s">
        <v>35</v>
      </c>
      <c r="B2208" s="458" t="s">
        <v>1686</v>
      </c>
      <c r="C2208" s="459">
        <v>8</v>
      </c>
      <c r="D2208" s="458">
        <v>2023</v>
      </c>
    </row>
    <row r="2209" spans="1:4" x14ac:dyDescent="0.35">
      <c r="A2209" s="457" t="s">
        <v>35</v>
      </c>
      <c r="B2209" s="458" t="s">
        <v>1686</v>
      </c>
      <c r="C2209" s="459">
        <v>8</v>
      </c>
      <c r="D2209" s="458">
        <v>2022</v>
      </c>
    </row>
    <row r="2210" spans="1:4" x14ac:dyDescent="0.35">
      <c r="A2210" s="457" t="s">
        <v>35</v>
      </c>
      <c r="B2210" s="458" t="s">
        <v>1686</v>
      </c>
      <c r="C2210" s="459">
        <v>8</v>
      </c>
      <c r="D2210" s="458">
        <v>2023</v>
      </c>
    </row>
    <row r="2211" spans="1:4" x14ac:dyDescent="0.35">
      <c r="A2211" s="457" t="s">
        <v>35</v>
      </c>
      <c r="B2211" s="458" t="s">
        <v>1687</v>
      </c>
      <c r="C2211" s="459">
        <v>8</v>
      </c>
      <c r="D2211" s="458">
        <v>2022</v>
      </c>
    </row>
    <row r="2212" spans="1:4" x14ac:dyDescent="0.35">
      <c r="A2212" s="457" t="s">
        <v>35</v>
      </c>
      <c r="B2212" s="458" t="s">
        <v>1687</v>
      </c>
      <c r="C2212" s="459">
        <v>8</v>
      </c>
      <c r="D2212" s="458">
        <v>2023</v>
      </c>
    </row>
    <row r="2213" spans="1:4" x14ac:dyDescent="0.35">
      <c r="A2213" s="457" t="s">
        <v>35</v>
      </c>
      <c r="B2213" s="458" t="s">
        <v>1687</v>
      </c>
      <c r="C2213" s="459">
        <v>8</v>
      </c>
      <c r="D2213" s="458">
        <v>2022</v>
      </c>
    </row>
    <row r="2214" spans="1:4" x14ac:dyDescent="0.35">
      <c r="A2214" s="457" t="s">
        <v>35</v>
      </c>
      <c r="B2214" s="458" t="s">
        <v>1687</v>
      </c>
      <c r="C2214" s="459">
        <v>8</v>
      </c>
      <c r="D2214" s="458">
        <v>2023</v>
      </c>
    </row>
    <row r="2215" spans="1:4" x14ac:dyDescent="0.35">
      <c r="A2215" s="457" t="s">
        <v>35</v>
      </c>
      <c r="B2215" s="458" t="s">
        <v>1677</v>
      </c>
      <c r="C2215" s="459">
        <v>7</v>
      </c>
      <c r="D2215" s="458">
        <v>2023</v>
      </c>
    </row>
    <row r="2216" spans="1:4" x14ac:dyDescent="0.35">
      <c r="A2216" s="457" t="s">
        <v>35</v>
      </c>
      <c r="B2216" s="458" t="s">
        <v>1678</v>
      </c>
      <c r="C2216" s="459">
        <v>8</v>
      </c>
      <c r="D2216" s="458">
        <v>2022</v>
      </c>
    </row>
    <row r="2217" spans="1:4" x14ac:dyDescent="0.35">
      <c r="A2217" s="457" t="s">
        <v>35</v>
      </c>
      <c r="B2217" s="458" t="s">
        <v>1678</v>
      </c>
      <c r="C2217" s="459">
        <v>7</v>
      </c>
      <c r="D2217" s="458">
        <v>2023</v>
      </c>
    </row>
    <row r="2218" spans="1:4" x14ac:dyDescent="0.35">
      <c r="A2218" s="457" t="s">
        <v>35</v>
      </c>
      <c r="B2218" s="458" t="s">
        <v>1679</v>
      </c>
      <c r="C2218" s="459">
        <v>6</v>
      </c>
      <c r="D2218" s="458">
        <v>2023</v>
      </c>
    </row>
    <row r="2219" spans="1:4" x14ac:dyDescent="0.35">
      <c r="A2219" s="457" t="s">
        <v>35</v>
      </c>
      <c r="B2219" s="458" t="s">
        <v>1680</v>
      </c>
      <c r="C2219" s="459">
        <v>7</v>
      </c>
      <c r="D2219" s="458">
        <v>2023</v>
      </c>
    </row>
    <row r="2220" spans="1:4" x14ac:dyDescent="0.35">
      <c r="A2220" s="457" t="s">
        <v>35</v>
      </c>
      <c r="B2220" s="458" t="s">
        <v>1681</v>
      </c>
      <c r="C2220" s="459">
        <v>4</v>
      </c>
      <c r="D2220" s="458">
        <v>2023</v>
      </c>
    </row>
    <row r="2221" spans="1:4" x14ac:dyDescent="0.35">
      <c r="A2221" s="457" t="s">
        <v>35</v>
      </c>
      <c r="B2221" s="458" t="s">
        <v>1681</v>
      </c>
      <c r="C2221" s="459">
        <v>6</v>
      </c>
      <c r="D2221" s="458">
        <v>2024</v>
      </c>
    </row>
    <row r="2222" spans="1:4" x14ac:dyDescent="0.35">
      <c r="A2222" s="457" t="s">
        <v>35</v>
      </c>
      <c r="B2222" s="458" t="s">
        <v>1682</v>
      </c>
      <c r="C2222" s="459">
        <v>3</v>
      </c>
      <c r="D2222" s="458">
        <v>2022</v>
      </c>
    </row>
    <row r="2223" spans="1:4" x14ac:dyDescent="0.35">
      <c r="A2223" s="457" t="s">
        <v>35</v>
      </c>
      <c r="B2223" s="458" t="s">
        <v>1682</v>
      </c>
      <c r="C2223" s="459">
        <v>6</v>
      </c>
      <c r="D2223" s="458">
        <v>2023</v>
      </c>
    </row>
    <row r="2224" spans="1:4" x14ac:dyDescent="0.35">
      <c r="A2224" s="457" t="s">
        <v>35</v>
      </c>
      <c r="B2224" s="458" t="s">
        <v>1683</v>
      </c>
      <c r="C2224" s="459">
        <v>2</v>
      </c>
      <c r="D2224" s="458">
        <v>2023</v>
      </c>
    </row>
    <row r="2225" spans="1:4" x14ac:dyDescent="0.35">
      <c r="A2225" s="457" t="s">
        <v>35</v>
      </c>
      <c r="B2225" s="458" t="s">
        <v>1684</v>
      </c>
      <c r="C2225" s="459">
        <v>10</v>
      </c>
      <c r="D2225" s="458">
        <v>2023</v>
      </c>
    </row>
    <row r="2226" spans="1:4" x14ac:dyDescent="0.35">
      <c r="A2226" s="457" t="s">
        <v>35</v>
      </c>
      <c r="B2226" s="458" t="s">
        <v>1685</v>
      </c>
      <c r="C2226" s="459">
        <v>8</v>
      </c>
      <c r="D2226" s="458">
        <v>2023</v>
      </c>
    </row>
    <row r="2227" spans="1:4" x14ac:dyDescent="0.35">
      <c r="A2227" s="457" t="s">
        <v>35</v>
      </c>
      <c r="B2227" s="458" t="s">
        <v>1688</v>
      </c>
      <c r="C2227" s="459">
        <v>9</v>
      </c>
      <c r="D2227" s="458">
        <v>2022</v>
      </c>
    </row>
    <row r="2228" spans="1:4" x14ac:dyDescent="0.35">
      <c r="A2228" s="457" t="s">
        <v>35</v>
      </c>
      <c r="B2228" s="458" t="s">
        <v>1688</v>
      </c>
      <c r="C2228" s="459">
        <v>3</v>
      </c>
      <c r="D2228" s="458">
        <v>2023</v>
      </c>
    </row>
    <row r="2229" spans="1:4" x14ac:dyDescent="0.35">
      <c r="A2229" s="457" t="s">
        <v>35</v>
      </c>
      <c r="B2229" s="458" t="s">
        <v>1686</v>
      </c>
      <c r="C2229" s="459">
        <v>3</v>
      </c>
      <c r="D2229" s="458">
        <v>2022</v>
      </c>
    </row>
    <row r="2230" spans="1:4" x14ac:dyDescent="0.35">
      <c r="A2230" s="457" t="s">
        <v>35</v>
      </c>
      <c r="B2230" s="458" t="s">
        <v>1686</v>
      </c>
      <c r="C2230" s="459">
        <v>7</v>
      </c>
      <c r="D2230" s="458">
        <v>2023</v>
      </c>
    </row>
    <row r="2231" spans="1:4" x14ac:dyDescent="0.35">
      <c r="A2231" s="457" t="s">
        <v>35</v>
      </c>
      <c r="B2231" s="458" t="s">
        <v>1679</v>
      </c>
      <c r="C2231" s="459">
        <v>5</v>
      </c>
      <c r="D2231" s="458">
        <v>2022</v>
      </c>
    </row>
    <row r="2232" spans="1:4" x14ac:dyDescent="0.35">
      <c r="A2232" s="457" t="s">
        <v>35</v>
      </c>
      <c r="B2232" s="458" t="s">
        <v>1681</v>
      </c>
      <c r="C2232" s="459">
        <v>4</v>
      </c>
      <c r="D2232" s="458">
        <v>2023</v>
      </c>
    </row>
    <row r="2233" spans="1:4" x14ac:dyDescent="0.35">
      <c r="A2233" s="457" t="s">
        <v>35</v>
      </c>
      <c r="B2233" s="458" t="s">
        <v>1681</v>
      </c>
      <c r="C2233" s="459">
        <v>6</v>
      </c>
      <c r="D2233" s="458">
        <v>2024</v>
      </c>
    </row>
    <row r="2234" spans="1:4" x14ac:dyDescent="0.35">
      <c r="A2234" s="457" t="s">
        <v>35</v>
      </c>
      <c r="B2234" s="458" t="s">
        <v>1682</v>
      </c>
      <c r="C2234" s="459">
        <v>6</v>
      </c>
      <c r="D2234" s="458">
        <v>2022</v>
      </c>
    </row>
    <row r="2235" spans="1:4" x14ac:dyDescent="0.35">
      <c r="A2235" s="457" t="s">
        <v>35</v>
      </c>
      <c r="B2235" s="458" t="s">
        <v>1683</v>
      </c>
      <c r="C2235" s="459">
        <v>3</v>
      </c>
      <c r="D2235" s="458">
        <v>2023</v>
      </c>
    </row>
    <row r="2236" spans="1:4" x14ac:dyDescent="0.35">
      <c r="A2236" s="457" t="s">
        <v>35</v>
      </c>
      <c r="B2236" s="458" t="s">
        <v>1684</v>
      </c>
      <c r="C2236" s="459">
        <v>3</v>
      </c>
      <c r="D2236" s="458">
        <v>2023</v>
      </c>
    </row>
    <row r="2237" spans="1:4" x14ac:dyDescent="0.35">
      <c r="A2237" s="457" t="s">
        <v>35</v>
      </c>
      <c r="B2237" s="458" t="s">
        <v>1685</v>
      </c>
      <c r="C2237" s="459">
        <v>3</v>
      </c>
      <c r="D2237" s="458">
        <v>2023</v>
      </c>
    </row>
    <row r="2238" spans="1:4" x14ac:dyDescent="0.35">
      <c r="A2238" s="457" t="s">
        <v>35</v>
      </c>
      <c r="B2238" s="458" t="s">
        <v>1688</v>
      </c>
      <c r="C2238" s="459">
        <v>12</v>
      </c>
      <c r="D2238" s="458">
        <v>2023</v>
      </c>
    </row>
    <row r="2239" spans="1:4" x14ac:dyDescent="0.35">
      <c r="A2239" s="457" t="s">
        <v>35</v>
      </c>
      <c r="B2239" s="458" t="s">
        <v>1686</v>
      </c>
      <c r="C2239" s="459">
        <v>2</v>
      </c>
      <c r="D2239" s="458">
        <v>2022</v>
      </c>
    </row>
    <row r="2240" spans="1:4" x14ac:dyDescent="0.35">
      <c r="A2240" s="457" t="s">
        <v>35</v>
      </c>
      <c r="B2240" s="458" t="s">
        <v>1687</v>
      </c>
      <c r="C2240" s="459">
        <v>14</v>
      </c>
      <c r="D2240" s="458">
        <v>2022</v>
      </c>
    </row>
    <row r="2241" spans="1:4" x14ac:dyDescent="0.35">
      <c r="A2241" s="457" t="s">
        <v>35</v>
      </c>
      <c r="B2241" s="458" t="s">
        <v>1687</v>
      </c>
      <c r="C2241" s="459">
        <v>6</v>
      </c>
      <c r="D2241" s="458">
        <v>2023</v>
      </c>
    </row>
    <row r="2242" spans="1:4" x14ac:dyDescent="0.35">
      <c r="A2242" s="457" t="s">
        <v>35</v>
      </c>
      <c r="B2242" s="458" t="s">
        <v>1677</v>
      </c>
      <c r="C2242" s="459">
        <v>6</v>
      </c>
      <c r="D2242" s="458">
        <v>2023</v>
      </c>
    </row>
    <row r="2243" spans="1:4" x14ac:dyDescent="0.35">
      <c r="A2243" s="457" t="s">
        <v>35</v>
      </c>
      <c r="B2243" s="458" t="s">
        <v>1678</v>
      </c>
      <c r="C2243" s="459">
        <v>6</v>
      </c>
      <c r="D2243" s="458">
        <v>2022</v>
      </c>
    </row>
    <row r="2244" spans="1:4" x14ac:dyDescent="0.35">
      <c r="A2244" s="457" t="s">
        <v>35</v>
      </c>
      <c r="B2244" s="458" t="s">
        <v>1678</v>
      </c>
      <c r="C2244" s="459">
        <v>6</v>
      </c>
      <c r="D2244" s="458">
        <v>2023</v>
      </c>
    </row>
    <row r="2245" spans="1:4" x14ac:dyDescent="0.35">
      <c r="A2245" s="457" t="s">
        <v>35</v>
      </c>
      <c r="B2245" s="458" t="s">
        <v>1679</v>
      </c>
      <c r="C2245" s="459">
        <v>12</v>
      </c>
      <c r="D2245" s="458">
        <v>2022</v>
      </c>
    </row>
    <row r="2246" spans="1:4" x14ac:dyDescent="0.35">
      <c r="A2246" s="457" t="s">
        <v>35</v>
      </c>
      <c r="B2246" s="458" t="s">
        <v>1679</v>
      </c>
      <c r="C2246" s="459">
        <v>6</v>
      </c>
      <c r="D2246" s="458">
        <v>2023</v>
      </c>
    </row>
    <row r="2247" spans="1:4" x14ac:dyDescent="0.35">
      <c r="A2247" s="457" t="s">
        <v>35</v>
      </c>
      <c r="B2247" s="458" t="s">
        <v>1680</v>
      </c>
      <c r="C2247" s="459">
        <v>12</v>
      </c>
      <c r="D2247" s="458">
        <v>2023</v>
      </c>
    </row>
    <row r="2248" spans="1:4" x14ac:dyDescent="0.35">
      <c r="A2248" s="457" t="s">
        <v>35</v>
      </c>
      <c r="B2248" s="458" t="s">
        <v>1681</v>
      </c>
      <c r="C2248" s="459">
        <v>6</v>
      </c>
      <c r="D2248" s="458">
        <v>2023</v>
      </c>
    </row>
    <row r="2249" spans="1:4" x14ac:dyDescent="0.35">
      <c r="A2249" s="457" t="s">
        <v>35</v>
      </c>
      <c r="B2249" s="458" t="s">
        <v>1681</v>
      </c>
      <c r="C2249" s="459">
        <v>18</v>
      </c>
      <c r="D2249" s="458">
        <v>2024</v>
      </c>
    </row>
    <row r="2250" spans="1:4" x14ac:dyDescent="0.35">
      <c r="A2250" s="457" t="s">
        <v>35</v>
      </c>
      <c r="B2250" s="458" t="s">
        <v>1682</v>
      </c>
      <c r="C2250" s="459">
        <v>6</v>
      </c>
      <c r="D2250" s="458">
        <v>2022</v>
      </c>
    </row>
    <row r="2251" spans="1:4" x14ac:dyDescent="0.35">
      <c r="A2251" s="457" t="s">
        <v>35</v>
      </c>
      <c r="B2251" s="458" t="s">
        <v>1682</v>
      </c>
      <c r="C2251" s="459">
        <v>6</v>
      </c>
      <c r="D2251" s="458">
        <v>2023</v>
      </c>
    </row>
    <row r="2252" spans="1:4" x14ac:dyDescent="0.35">
      <c r="A2252" s="457" t="s">
        <v>35</v>
      </c>
      <c r="B2252" s="458" t="s">
        <v>1683</v>
      </c>
      <c r="C2252" s="459">
        <v>6</v>
      </c>
      <c r="D2252" s="458">
        <v>2023</v>
      </c>
    </row>
    <row r="2253" spans="1:4" x14ac:dyDescent="0.35">
      <c r="A2253" s="457" t="s">
        <v>35</v>
      </c>
      <c r="B2253" s="458" t="s">
        <v>1684</v>
      </c>
      <c r="C2253" s="459">
        <v>6</v>
      </c>
      <c r="D2253" s="458">
        <v>2023</v>
      </c>
    </row>
    <row r="2254" spans="1:4" x14ac:dyDescent="0.35">
      <c r="A2254" s="457" t="s">
        <v>35</v>
      </c>
      <c r="B2254" s="458" t="s">
        <v>1685</v>
      </c>
      <c r="C2254" s="459">
        <v>6</v>
      </c>
      <c r="D2254" s="458">
        <v>2023</v>
      </c>
    </row>
    <row r="2255" spans="1:4" x14ac:dyDescent="0.35">
      <c r="A2255" s="457" t="s">
        <v>35</v>
      </c>
      <c r="B2255" s="458" t="s">
        <v>1688</v>
      </c>
      <c r="C2255" s="459">
        <v>6</v>
      </c>
      <c r="D2255" s="458">
        <v>2022</v>
      </c>
    </row>
    <row r="2256" spans="1:4" x14ac:dyDescent="0.35">
      <c r="A2256" s="457" t="s">
        <v>35</v>
      </c>
      <c r="B2256" s="458" t="s">
        <v>1688</v>
      </c>
      <c r="C2256" s="459">
        <v>6</v>
      </c>
      <c r="D2256" s="458">
        <v>2023</v>
      </c>
    </row>
    <row r="2257" spans="1:4" x14ac:dyDescent="0.35">
      <c r="A2257" s="457" t="s">
        <v>35</v>
      </c>
      <c r="B2257" s="458" t="s">
        <v>1686</v>
      </c>
      <c r="C2257" s="459">
        <v>6</v>
      </c>
      <c r="D2257" s="458">
        <v>2022</v>
      </c>
    </row>
    <row r="2258" spans="1:4" x14ac:dyDescent="0.35">
      <c r="A2258" s="457" t="s">
        <v>35</v>
      </c>
      <c r="B2258" s="458" t="s">
        <v>1686</v>
      </c>
      <c r="C2258" s="459">
        <v>6</v>
      </c>
      <c r="D2258" s="458">
        <v>2023</v>
      </c>
    </row>
    <row r="2259" spans="1:4" x14ac:dyDescent="0.35">
      <c r="A2259" s="457" t="s">
        <v>35</v>
      </c>
      <c r="B2259" s="458" t="s">
        <v>1687</v>
      </c>
      <c r="C2259" s="459">
        <v>6</v>
      </c>
      <c r="D2259" s="458">
        <v>2022</v>
      </c>
    </row>
    <row r="2260" spans="1:4" x14ac:dyDescent="0.35">
      <c r="A2260" s="457" t="s">
        <v>35</v>
      </c>
      <c r="B2260" s="458" t="s">
        <v>1687</v>
      </c>
      <c r="C2260" s="459">
        <v>6</v>
      </c>
      <c r="D2260" s="458">
        <v>2023</v>
      </c>
    </row>
    <row r="2261" spans="1:4" x14ac:dyDescent="0.35">
      <c r="A2261" s="457" t="s">
        <v>35</v>
      </c>
      <c r="B2261" s="458" t="s">
        <v>1682</v>
      </c>
      <c r="C2261" s="459">
        <v>2</v>
      </c>
      <c r="D2261" s="458">
        <v>2022</v>
      </c>
    </row>
    <row r="2262" spans="1:4" x14ac:dyDescent="0.35">
      <c r="A2262" s="457" t="s">
        <v>35</v>
      </c>
      <c r="B2262" s="458" t="s">
        <v>1677</v>
      </c>
      <c r="C2262" s="459">
        <v>25</v>
      </c>
      <c r="D2262" s="458">
        <v>2023</v>
      </c>
    </row>
    <row r="2263" spans="1:4" x14ac:dyDescent="0.35">
      <c r="A2263" s="457" t="s">
        <v>35</v>
      </c>
      <c r="B2263" s="458" t="s">
        <v>1678</v>
      </c>
      <c r="C2263" s="459">
        <v>25</v>
      </c>
      <c r="D2263" s="458">
        <v>2022</v>
      </c>
    </row>
    <row r="2264" spans="1:4" x14ac:dyDescent="0.35">
      <c r="A2264" s="457" t="s">
        <v>35</v>
      </c>
      <c r="B2264" s="458" t="s">
        <v>1678</v>
      </c>
      <c r="C2264" s="459">
        <v>25</v>
      </c>
      <c r="D2264" s="458">
        <v>2023</v>
      </c>
    </row>
    <row r="2265" spans="1:4" x14ac:dyDescent="0.35">
      <c r="A2265" s="457" t="s">
        <v>35</v>
      </c>
      <c r="B2265" s="458" t="s">
        <v>1679</v>
      </c>
      <c r="C2265" s="459">
        <v>20</v>
      </c>
      <c r="D2265" s="458">
        <v>2022</v>
      </c>
    </row>
    <row r="2266" spans="1:4" x14ac:dyDescent="0.35">
      <c r="A2266" s="457" t="s">
        <v>35</v>
      </c>
      <c r="B2266" s="458" t="s">
        <v>1681</v>
      </c>
      <c r="C2266" s="459">
        <v>25</v>
      </c>
      <c r="D2266" s="458">
        <v>2023</v>
      </c>
    </row>
    <row r="2267" spans="1:4" x14ac:dyDescent="0.35">
      <c r="A2267" s="457" t="s">
        <v>35</v>
      </c>
      <c r="B2267" s="458" t="s">
        <v>1681</v>
      </c>
      <c r="C2267" s="459">
        <v>35</v>
      </c>
      <c r="D2267" s="458">
        <v>2024</v>
      </c>
    </row>
    <row r="2268" spans="1:4" x14ac:dyDescent="0.35">
      <c r="A2268" s="457" t="s">
        <v>35</v>
      </c>
      <c r="B2268" s="458" t="s">
        <v>1682</v>
      </c>
      <c r="C2268" s="459">
        <v>25</v>
      </c>
      <c r="D2268" s="458">
        <v>2022</v>
      </c>
    </row>
    <row r="2269" spans="1:4" x14ac:dyDescent="0.35">
      <c r="A2269" s="457" t="s">
        <v>35</v>
      </c>
      <c r="B2269" s="458" t="s">
        <v>1683</v>
      </c>
      <c r="C2269" s="459">
        <v>25</v>
      </c>
      <c r="D2269" s="458">
        <v>2023</v>
      </c>
    </row>
    <row r="2270" spans="1:4" x14ac:dyDescent="0.35">
      <c r="A2270" s="457" t="s">
        <v>35</v>
      </c>
      <c r="B2270" s="458" t="s">
        <v>1684</v>
      </c>
      <c r="C2270" s="459">
        <v>25</v>
      </c>
      <c r="D2270" s="458">
        <v>2023</v>
      </c>
    </row>
    <row r="2271" spans="1:4" x14ac:dyDescent="0.35">
      <c r="A2271" s="457" t="s">
        <v>35</v>
      </c>
      <c r="B2271" s="458" t="s">
        <v>1685</v>
      </c>
      <c r="C2271" s="459">
        <v>25</v>
      </c>
      <c r="D2271" s="458">
        <v>2023</v>
      </c>
    </row>
    <row r="2272" spans="1:4" x14ac:dyDescent="0.35">
      <c r="A2272" s="457" t="s">
        <v>35</v>
      </c>
      <c r="B2272" s="458" t="s">
        <v>1688</v>
      </c>
      <c r="C2272" s="459">
        <v>25</v>
      </c>
      <c r="D2272" s="458">
        <v>2022</v>
      </c>
    </row>
    <row r="2273" spans="1:4" x14ac:dyDescent="0.35">
      <c r="A2273" s="457" t="s">
        <v>35</v>
      </c>
      <c r="B2273" s="458" t="s">
        <v>1688</v>
      </c>
      <c r="C2273" s="459">
        <v>25</v>
      </c>
      <c r="D2273" s="458">
        <v>2023</v>
      </c>
    </row>
    <row r="2274" spans="1:4" x14ac:dyDescent="0.35">
      <c r="A2274" s="457" t="s">
        <v>35</v>
      </c>
      <c r="B2274" s="458" t="s">
        <v>1686</v>
      </c>
      <c r="C2274" s="459">
        <v>25</v>
      </c>
      <c r="D2274" s="458">
        <v>2022</v>
      </c>
    </row>
    <row r="2275" spans="1:4" x14ac:dyDescent="0.35">
      <c r="A2275" s="457" t="s">
        <v>35</v>
      </c>
      <c r="B2275" s="458" t="s">
        <v>1686</v>
      </c>
      <c r="C2275" s="459">
        <v>25</v>
      </c>
      <c r="D2275" s="458">
        <v>2023</v>
      </c>
    </row>
    <row r="2276" spans="1:4" x14ac:dyDescent="0.35">
      <c r="A2276" s="457" t="s">
        <v>35</v>
      </c>
      <c r="B2276" s="458" t="s">
        <v>1687</v>
      </c>
      <c r="C2276" s="459">
        <v>25</v>
      </c>
      <c r="D2276" s="458">
        <v>2023</v>
      </c>
    </row>
    <row r="2277" spans="1:4" x14ac:dyDescent="0.35">
      <c r="A2277" s="457" t="s">
        <v>35</v>
      </c>
      <c r="B2277" s="458" t="s">
        <v>1678</v>
      </c>
      <c r="C2277" s="459">
        <v>7</v>
      </c>
      <c r="D2277" s="458">
        <v>2023</v>
      </c>
    </row>
    <row r="2278" spans="1:4" x14ac:dyDescent="0.35">
      <c r="A2278" s="457" t="s">
        <v>35</v>
      </c>
      <c r="B2278" s="458" t="s">
        <v>1679</v>
      </c>
      <c r="C2278" s="459">
        <v>7</v>
      </c>
      <c r="D2278" s="458">
        <v>2023</v>
      </c>
    </row>
    <row r="2279" spans="1:4" x14ac:dyDescent="0.35">
      <c r="A2279" s="457" t="s">
        <v>35</v>
      </c>
      <c r="B2279" s="458" t="s">
        <v>1681</v>
      </c>
      <c r="C2279" s="459">
        <v>14</v>
      </c>
      <c r="D2279" s="458">
        <v>2024</v>
      </c>
    </row>
    <row r="2280" spans="1:4" x14ac:dyDescent="0.35">
      <c r="A2280" s="457" t="s">
        <v>35</v>
      </c>
      <c r="B2280" s="458" t="s">
        <v>1682</v>
      </c>
      <c r="C2280" s="459">
        <v>7</v>
      </c>
      <c r="D2280" s="458">
        <v>2023</v>
      </c>
    </row>
    <row r="2281" spans="1:4" x14ac:dyDescent="0.35">
      <c r="A2281" s="457" t="s">
        <v>35</v>
      </c>
      <c r="B2281" s="458" t="s">
        <v>1685</v>
      </c>
      <c r="C2281" s="459">
        <v>10</v>
      </c>
      <c r="D2281" s="458">
        <v>2023</v>
      </c>
    </row>
    <row r="2282" spans="1:4" x14ac:dyDescent="0.35">
      <c r="A2282" s="457" t="s">
        <v>35</v>
      </c>
      <c r="B2282" s="458" t="s">
        <v>1688</v>
      </c>
      <c r="C2282" s="459">
        <v>7</v>
      </c>
      <c r="D2282" s="458">
        <v>2023</v>
      </c>
    </row>
    <row r="2283" spans="1:4" x14ac:dyDescent="0.35">
      <c r="A2283" s="457" t="s">
        <v>35</v>
      </c>
      <c r="B2283" s="458" t="s">
        <v>1686</v>
      </c>
      <c r="C2283" s="459">
        <v>7</v>
      </c>
      <c r="D2283" s="458">
        <v>2023</v>
      </c>
    </row>
    <row r="2284" spans="1:4" x14ac:dyDescent="0.35">
      <c r="A2284" s="457" t="s">
        <v>35</v>
      </c>
      <c r="B2284" s="458" t="s">
        <v>1687</v>
      </c>
      <c r="C2284" s="459">
        <v>7</v>
      </c>
      <c r="D2284" s="458">
        <v>2023</v>
      </c>
    </row>
    <row r="2285" spans="1:4" x14ac:dyDescent="0.35">
      <c r="A2285" s="457" t="s">
        <v>35</v>
      </c>
      <c r="B2285" s="458" t="s">
        <v>1683</v>
      </c>
      <c r="C2285" s="459">
        <v>3</v>
      </c>
      <c r="D2285" s="458">
        <v>2023</v>
      </c>
    </row>
    <row r="2286" spans="1:4" x14ac:dyDescent="0.35">
      <c r="A2286" s="457" t="s">
        <v>35</v>
      </c>
      <c r="B2286" s="458" t="s">
        <v>1677</v>
      </c>
      <c r="C2286" s="459">
        <v>20</v>
      </c>
      <c r="D2286" s="458">
        <v>2023</v>
      </c>
    </row>
    <row r="2287" spans="1:4" x14ac:dyDescent="0.35">
      <c r="A2287" s="457" t="s">
        <v>35</v>
      </c>
      <c r="B2287" s="458" t="s">
        <v>1678</v>
      </c>
      <c r="C2287" s="459">
        <v>28</v>
      </c>
      <c r="D2287" s="458">
        <v>2023</v>
      </c>
    </row>
    <row r="2288" spans="1:4" x14ac:dyDescent="0.35">
      <c r="A2288" s="457" t="s">
        <v>35</v>
      </c>
      <c r="B2288" s="458" t="s">
        <v>1679</v>
      </c>
      <c r="C2288" s="459">
        <v>1</v>
      </c>
      <c r="D2288" s="458">
        <v>2023</v>
      </c>
    </row>
    <row r="2289" spans="1:4" x14ac:dyDescent="0.35">
      <c r="A2289" s="457" t="s">
        <v>35</v>
      </c>
      <c r="B2289" s="458" t="s">
        <v>1680</v>
      </c>
      <c r="C2289" s="459">
        <v>20</v>
      </c>
      <c r="D2289" s="458">
        <v>2023</v>
      </c>
    </row>
    <row r="2290" spans="1:4" x14ac:dyDescent="0.35">
      <c r="A2290" s="457" t="s">
        <v>35</v>
      </c>
      <c r="B2290" s="458" t="s">
        <v>1681</v>
      </c>
      <c r="C2290" s="459">
        <v>20</v>
      </c>
      <c r="D2290" s="458">
        <v>2023</v>
      </c>
    </row>
    <row r="2291" spans="1:4" x14ac:dyDescent="0.35">
      <c r="A2291" s="457" t="s">
        <v>35</v>
      </c>
      <c r="B2291" s="458" t="s">
        <v>1681</v>
      </c>
      <c r="C2291" s="459">
        <v>40</v>
      </c>
      <c r="D2291" s="458">
        <v>2024</v>
      </c>
    </row>
    <row r="2292" spans="1:4" x14ac:dyDescent="0.35">
      <c r="A2292" s="457" t="s">
        <v>35</v>
      </c>
      <c r="B2292" s="458" t="s">
        <v>1682</v>
      </c>
      <c r="C2292" s="459">
        <v>24</v>
      </c>
      <c r="D2292" s="458">
        <v>2023</v>
      </c>
    </row>
    <row r="2293" spans="1:4" x14ac:dyDescent="0.35">
      <c r="A2293" s="457" t="s">
        <v>35</v>
      </c>
      <c r="B2293" s="458" t="s">
        <v>1684</v>
      </c>
      <c r="C2293" s="459">
        <v>20</v>
      </c>
      <c r="D2293" s="458">
        <v>2023</v>
      </c>
    </row>
    <row r="2294" spans="1:4" x14ac:dyDescent="0.35">
      <c r="A2294" s="457" t="s">
        <v>35</v>
      </c>
      <c r="B2294" s="458" t="s">
        <v>1685</v>
      </c>
      <c r="C2294" s="459">
        <v>20</v>
      </c>
      <c r="D2294" s="458">
        <v>2023</v>
      </c>
    </row>
    <row r="2295" spans="1:4" x14ac:dyDescent="0.35">
      <c r="A2295" s="457" t="s">
        <v>35</v>
      </c>
      <c r="B2295" s="458" t="s">
        <v>1688</v>
      </c>
      <c r="C2295" s="459">
        <v>17</v>
      </c>
      <c r="D2295" s="458">
        <v>2023</v>
      </c>
    </row>
    <row r="2296" spans="1:4" x14ac:dyDescent="0.35">
      <c r="A2296" s="457" t="s">
        <v>35</v>
      </c>
      <c r="B2296" s="458" t="s">
        <v>1686</v>
      </c>
      <c r="C2296" s="459">
        <v>1</v>
      </c>
      <c r="D2296" s="458">
        <v>2022</v>
      </c>
    </row>
    <row r="2297" spans="1:4" x14ac:dyDescent="0.35">
      <c r="A2297" s="457" t="s">
        <v>35</v>
      </c>
      <c r="B2297" s="458" t="s">
        <v>1686</v>
      </c>
      <c r="C2297" s="459">
        <v>17</v>
      </c>
      <c r="D2297" s="458">
        <v>2023</v>
      </c>
    </row>
    <row r="2298" spans="1:4" x14ac:dyDescent="0.35">
      <c r="A2298" s="457" t="s">
        <v>35</v>
      </c>
      <c r="B2298" s="458" t="s">
        <v>1686</v>
      </c>
      <c r="C2298" s="459">
        <v>2</v>
      </c>
      <c r="D2298" s="458">
        <v>2022</v>
      </c>
    </row>
    <row r="2299" spans="1:4" x14ac:dyDescent="0.35">
      <c r="A2299" s="457" t="s">
        <v>35</v>
      </c>
      <c r="B2299" s="458" t="s">
        <v>1687</v>
      </c>
      <c r="C2299" s="459">
        <v>35</v>
      </c>
      <c r="D2299" s="458">
        <v>2023</v>
      </c>
    </row>
    <row r="2300" spans="1:4" x14ac:dyDescent="0.35">
      <c r="A2300" s="457" t="s">
        <v>35</v>
      </c>
      <c r="B2300" s="458" t="s">
        <v>1677</v>
      </c>
      <c r="C2300" s="459">
        <v>15</v>
      </c>
      <c r="D2300" s="458">
        <v>2023</v>
      </c>
    </row>
    <row r="2301" spans="1:4" x14ac:dyDescent="0.35">
      <c r="A2301" s="457" t="s">
        <v>35</v>
      </c>
      <c r="B2301" s="458" t="s">
        <v>1678</v>
      </c>
      <c r="C2301" s="459">
        <v>5</v>
      </c>
      <c r="D2301" s="458">
        <v>2022</v>
      </c>
    </row>
    <row r="2302" spans="1:4" x14ac:dyDescent="0.35">
      <c r="A2302" s="457" t="s">
        <v>35</v>
      </c>
      <c r="B2302" s="458" t="s">
        <v>1678</v>
      </c>
      <c r="C2302" s="459">
        <v>5</v>
      </c>
      <c r="D2302" s="458">
        <v>2023</v>
      </c>
    </row>
    <row r="2303" spans="1:4" x14ac:dyDescent="0.35">
      <c r="A2303" s="457" t="s">
        <v>35</v>
      </c>
      <c r="B2303" s="458" t="s">
        <v>1679</v>
      </c>
      <c r="C2303" s="459">
        <v>5</v>
      </c>
      <c r="D2303" s="458">
        <v>2022</v>
      </c>
    </row>
    <row r="2304" spans="1:4" x14ac:dyDescent="0.35">
      <c r="A2304" s="457" t="s">
        <v>35</v>
      </c>
      <c r="B2304" s="458" t="s">
        <v>1679</v>
      </c>
      <c r="C2304" s="459">
        <v>7</v>
      </c>
      <c r="D2304" s="458">
        <v>2023</v>
      </c>
    </row>
    <row r="2305" spans="1:4" x14ac:dyDescent="0.35">
      <c r="A2305" s="457" t="s">
        <v>35</v>
      </c>
      <c r="B2305" s="458" t="s">
        <v>1680</v>
      </c>
      <c r="C2305" s="459">
        <v>8</v>
      </c>
      <c r="D2305" s="458">
        <v>2023</v>
      </c>
    </row>
    <row r="2306" spans="1:4" x14ac:dyDescent="0.35">
      <c r="A2306" s="457" t="s">
        <v>35</v>
      </c>
      <c r="B2306" s="458" t="s">
        <v>1681</v>
      </c>
      <c r="C2306" s="459">
        <v>15</v>
      </c>
      <c r="D2306" s="458">
        <v>2023</v>
      </c>
    </row>
    <row r="2307" spans="1:4" x14ac:dyDescent="0.35">
      <c r="A2307" s="457" t="s">
        <v>35</v>
      </c>
      <c r="B2307" s="458" t="s">
        <v>1681</v>
      </c>
      <c r="C2307" s="459">
        <v>14</v>
      </c>
      <c r="D2307" s="458">
        <v>2024</v>
      </c>
    </row>
    <row r="2308" spans="1:4" x14ac:dyDescent="0.35">
      <c r="A2308" s="457" t="s">
        <v>35</v>
      </c>
      <c r="B2308" s="458" t="s">
        <v>1682</v>
      </c>
      <c r="C2308" s="459">
        <v>5</v>
      </c>
      <c r="D2308" s="458">
        <v>2023</v>
      </c>
    </row>
    <row r="2309" spans="1:4" x14ac:dyDescent="0.35">
      <c r="A2309" s="457" t="s">
        <v>35</v>
      </c>
      <c r="B2309" s="458" t="s">
        <v>1683</v>
      </c>
      <c r="C2309" s="459">
        <v>0</v>
      </c>
      <c r="D2309" s="458">
        <v>2023</v>
      </c>
    </row>
    <row r="2310" spans="1:4" x14ac:dyDescent="0.35">
      <c r="A2310" s="457" t="s">
        <v>35</v>
      </c>
      <c r="B2310" s="458" t="s">
        <v>1684</v>
      </c>
      <c r="C2310" s="459">
        <v>10</v>
      </c>
      <c r="D2310" s="458">
        <v>2023</v>
      </c>
    </row>
    <row r="2311" spans="1:4" x14ac:dyDescent="0.35">
      <c r="A2311" s="457" t="s">
        <v>35</v>
      </c>
      <c r="B2311" s="458" t="s">
        <v>1685</v>
      </c>
      <c r="C2311" s="459">
        <v>15</v>
      </c>
      <c r="D2311" s="458">
        <v>2023</v>
      </c>
    </row>
    <row r="2312" spans="1:4" x14ac:dyDescent="0.35">
      <c r="A2312" s="457" t="s">
        <v>35</v>
      </c>
      <c r="B2312" s="458" t="s">
        <v>1688</v>
      </c>
      <c r="C2312" s="459">
        <v>5</v>
      </c>
      <c r="D2312" s="458">
        <v>2022</v>
      </c>
    </row>
    <row r="2313" spans="1:4" x14ac:dyDescent="0.35">
      <c r="A2313" s="457" t="s">
        <v>35</v>
      </c>
      <c r="B2313" s="458" t="s">
        <v>1688</v>
      </c>
      <c r="C2313" s="459">
        <v>9</v>
      </c>
      <c r="D2313" s="458">
        <v>2023</v>
      </c>
    </row>
    <row r="2314" spans="1:4" x14ac:dyDescent="0.35">
      <c r="A2314" s="457" t="s">
        <v>35</v>
      </c>
      <c r="B2314" s="458" t="s">
        <v>1686</v>
      </c>
      <c r="C2314" s="459">
        <v>5</v>
      </c>
      <c r="D2314" s="458">
        <v>2022</v>
      </c>
    </row>
    <row r="2315" spans="1:4" x14ac:dyDescent="0.35">
      <c r="A2315" s="457" t="s">
        <v>35</v>
      </c>
      <c r="B2315" s="458" t="s">
        <v>1686</v>
      </c>
      <c r="C2315" s="459">
        <v>11</v>
      </c>
      <c r="D2315" s="458">
        <v>2023</v>
      </c>
    </row>
    <row r="2316" spans="1:4" x14ac:dyDescent="0.35">
      <c r="A2316" s="457" t="s">
        <v>35</v>
      </c>
      <c r="B2316" s="458" t="s">
        <v>1687</v>
      </c>
      <c r="C2316" s="459">
        <v>10</v>
      </c>
      <c r="D2316" s="458">
        <v>2022</v>
      </c>
    </row>
    <row r="2317" spans="1:4" x14ac:dyDescent="0.35">
      <c r="A2317" s="457" t="s">
        <v>35</v>
      </c>
      <c r="B2317" s="458" t="s">
        <v>1687</v>
      </c>
      <c r="C2317" s="459">
        <v>5</v>
      </c>
      <c r="D2317" s="458">
        <v>2023</v>
      </c>
    </row>
    <row r="2318" spans="1:4" x14ac:dyDescent="0.35">
      <c r="A2318" s="457" t="s">
        <v>35</v>
      </c>
      <c r="B2318" s="458" t="s">
        <v>1677</v>
      </c>
      <c r="C2318" s="459">
        <v>8</v>
      </c>
      <c r="D2318" s="458">
        <v>2023</v>
      </c>
    </row>
    <row r="2319" spans="1:4" x14ac:dyDescent="0.35">
      <c r="A2319" s="457" t="s">
        <v>35</v>
      </c>
      <c r="B2319" s="458" t="s">
        <v>1678</v>
      </c>
      <c r="C2319" s="459">
        <v>8</v>
      </c>
      <c r="D2319" s="458">
        <v>2022</v>
      </c>
    </row>
    <row r="2320" spans="1:4" x14ac:dyDescent="0.35">
      <c r="A2320" s="457" t="s">
        <v>35</v>
      </c>
      <c r="B2320" s="458" t="s">
        <v>1678</v>
      </c>
      <c r="C2320" s="459">
        <v>8</v>
      </c>
      <c r="D2320" s="458">
        <v>2023</v>
      </c>
    </row>
    <row r="2321" spans="1:4" x14ac:dyDescent="0.35">
      <c r="A2321" s="457" t="s">
        <v>35</v>
      </c>
      <c r="B2321" s="458" t="s">
        <v>1679</v>
      </c>
      <c r="C2321" s="459">
        <v>4</v>
      </c>
      <c r="D2321" s="458">
        <v>2023</v>
      </c>
    </row>
    <row r="2322" spans="1:4" x14ac:dyDescent="0.35">
      <c r="A2322" s="457" t="s">
        <v>35</v>
      </c>
      <c r="B2322" s="458" t="s">
        <v>1680</v>
      </c>
      <c r="C2322" s="459">
        <v>16</v>
      </c>
      <c r="D2322" s="458">
        <v>2023</v>
      </c>
    </row>
    <row r="2323" spans="1:4" x14ac:dyDescent="0.35">
      <c r="A2323" s="457" t="s">
        <v>35</v>
      </c>
      <c r="B2323" s="458" t="s">
        <v>1681</v>
      </c>
      <c r="C2323" s="459">
        <v>8</v>
      </c>
      <c r="D2323" s="458">
        <v>2023</v>
      </c>
    </row>
    <row r="2324" spans="1:4" x14ac:dyDescent="0.35">
      <c r="A2324" s="457" t="s">
        <v>35</v>
      </c>
      <c r="B2324" s="458" t="s">
        <v>1681</v>
      </c>
      <c r="C2324" s="459">
        <v>16</v>
      </c>
      <c r="D2324" s="458">
        <v>2024</v>
      </c>
    </row>
    <row r="2325" spans="1:4" x14ac:dyDescent="0.35">
      <c r="A2325" s="457" t="s">
        <v>35</v>
      </c>
      <c r="B2325" s="458" t="s">
        <v>1682</v>
      </c>
      <c r="C2325" s="459">
        <v>8</v>
      </c>
      <c r="D2325" s="458">
        <v>2022</v>
      </c>
    </row>
    <row r="2326" spans="1:4" x14ac:dyDescent="0.35">
      <c r="A2326" s="457" t="s">
        <v>35</v>
      </c>
      <c r="B2326" s="458" t="s">
        <v>1682</v>
      </c>
      <c r="C2326" s="459">
        <v>8</v>
      </c>
      <c r="D2326" s="458">
        <v>2023</v>
      </c>
    </row>
    <row r="2327" spans="1:4" x14ac:dyDescent="0.35">
      <c r="A2327" s="457" t="s">
        <v>35</v>
      </c>
      <c r="B2327" s="458" t="s">
        <v>1683</v>
      </c>
      <c r="C2327" s="459">
        <v>8</v>
      </c>
      <c r="D2327" s="458">
        <v>2023</v>
      </c>
    </row>
    <row r="2328" spans="1:4" x14ac:dyDescent="0.35">
      <c r="A2328" s="457" t="s">
        <v>35</v>
      </c>
      <c r="B2328" s="458" t="s">
        <v>1684</v>
      </c>
      <c r="C2328" s="459">
        <v>8</v>
      </c>
      <c r="D2328" s="458">
        <v>2023</v>
      </c>
    </row>
    <row r="2329" spans="1:4" x14ac:dyDescent="0.35">
      <c r="A2329" s="457" t="s">
        <v>35</v>
      </c>
      <c r="B2329" s="458" t="s">
        <v>1685</v>
      </c>
      <c r="C2329" s="459">
        <v>8</v>
      </c>
      <c r="D2329" s="458">
        <v>2023</v>
      </c>
    </row>
    <row r="2330" spans="1:4" x14ac:dyDescent="0.35">
      <c r="A2330" s="457" t="s">
        <v>35</v>
      </c>
      <c r="B2330" s="458" t="s">
        <v>1688</v>
      </c>
      <c r="C2330" s="459">
        <v>8</v>
      </c>
      <c r="D2330" s="458">
        <v>2022</v>
      </c>
    </row>
    <row r="2331" spans="1:4" x14ac:dyDescent="0.35">
      <c r="A2331" s="457" t="s">
        <v>35</v>
      </c>
      <c r="B2331" s="458" t="s">
        <v>1688</v>
      </c>
      <c r="C2331" s="459">
        <v>8</v>
      </c>
      <c r="D2331" s="458">
        <v>2023</v>
      </c>
    </row>
    <row r="2332" spans="1:4" x14ac:dyDescent="0.35">
      <c r="A2332" s="457" t="s">
        <v>35</v>
      </c>
      <c r="B2332" s="458" t="s">
        <v>1686</v>
      </c>
      <c r="C2332" s="459">
        <v>5</v>
      </c>
      <c r="D2332" s="458">
        <v>2022</v>
      </c>
    </row>
    <row r="2333" spans="1:4" x14ac:dyDescent="0.35">
      <c r="A2333" s="457" t="s">
        <v>35</v>
      </c>
      <c r="B2333" s="458" t="s">
        <v>1686</v>
      </c>
      <c r="C2333" s="459">
        <v>8</v>
      </c>
      <c r="D2333" s="458">
        <v>2023</v>
      </c>
    </row>
    <row r="2334" spans="1:4" x14ac:dyDescent="0.35">
      <c r="A2334" s="457" t="s">
        <v>35</v>
      </c>
      <c r="B2334" s="458" t="s">
        <v>1687</v>
      </c>
      <c r="C2334" s="459">
        <v>8</v>
      </c>
      <c r="D2334" s="458">
        <v>2022</v>
      </c>
    </row>
    <row r="2335" spans="1:4" x14ac:dyDescent="0.35">
      <c r="A2335" s="457" t="s">
        <v>35</v>
      </c>
      <c r="B2335" s="458" t="s">
        <v>1687</v>
      </c>
      <c r="C2335" s="459">
        <v>8</v>
      </c>
      <c r="D2335" s="458">
        <v>2023</v>
      </c>
    </row>
    <row r="2336" spans="1:4" x14ac:dyDescent="0.35">
      <c r="A2336" s="457" t="s">
        <v>35</v>
      </c>
      <c r="B2336" s="458" t="s">
        <v>1683</v>
      </c>
      <c r="C2336" s="459">
        <v>2</v>
      </c>
      <c r="D2336" s="458">
        <v>2023</v>
      </c>
    </row>
    <row r="2337" spans="1:4" x14ac:dyDescent="0.35">
      <c r="A2337" s="457" t="s">
        <v>35</v>
      </c>
      <c r="B2337" s="458" t="s">
        <v>1677</v>
      </c>
      <c r="C2337" s="459">
        <v>20</v>
      </c>
      <c r="D2337" s="458">
        <v>2023</v>
      </c>
    </row>
    <row r="2338" spans="1:4" x14ac:dyDescent="0.35">
      <c r="A2338" s="457" t="s">
        <v>35</v>
      </c>
      <c r="B2338" s="458" t="s">
        <v>1678</v>
      </c>
      <c r="C2338" s="459">
        <v>20</v>
      </c>
      <c r="D2338" s="458">
        <v>2022</v>
      </c>
    </row>
    <row r="2339" spans="1:4" x14ac:dyDescent="0.35">
      <c r="A2339" s="457" t="s">
        <v>35</v>
      </c>
      <c r="B2339" s="458" t="s">
        <v>1678</v>
      </c>
      <c r="C2339" s="459">
        <v>20</v>
      </c>
      <c r="D2339" s="458">
        <v>2023</v>
      </c>
    </row>
    <row r="2340" spans="1:4" x14ac:dyDescent="0.35">
      <c r="A2340" s="457" t="s">
        <v>35</v>
      </c>
      <c r="B2340" s="458" t="s">
        <v>1679</v>
      </c>
      <c r="C2340" s="459">
        <v>20</v>
      </c>
      <c r="D2340" s="458">
        <v>2022</v>
      </c>
    </row>
    <row r="2341" spans="1:4" x14ac:dyDescent="0.35">
      <c r="A2341" s="457" t="s">
        <v>35</v>
      </c>
      <c r="B2341" s="458" t="s">
        <v>1679</v>
      </c>
      <c r="C2341" s="459">
        <v>20</v>
      </c>
      <c r="D2341" s="458">
        <v>2023</v>
      </c>
    </row>
    <row r="2342" spans="1:4" x14ac:dyDescent="0.35">
      <c r="A2342" s="457" t="s">
        <v>35</v>
      </c>
      <c r="B2342" s="458" t="s">
        <v>1680</v>
      </c>
      <c r="C2342" s="459">
        <v>20</v>
      </c>
      <c r="D2342" s="458">
        <v>2023</v>
      </c>
    </row>
    <row r="2343" spans="1:4" x14ac:dyDescent="0.35">
      <c r="A2343" s="457" t="s">
        <v>35</v>
      </c>
      <c r="B2343" s="458" t="s">
        <v>1681</v>
      </c>
      <c r="C2343" s="459">
        <v>20</v>
      </c>
      <c r="D2343" s="458">
        <v>2023</v>
      </c>
    </row>
    <row r="2344" spans="1:4" x14ac:dyDescent="0.35">
      <c r="A2344" s="457" t="s">
        <v>35</v>
      </c>
      <c r="B2344" s="458" t="s">
        <v>1681</v>
      </c>
      <c r="C2344" s="459">
        <v>40</v>
      </c>
      <c r="D2344" s="458">
        <v>2024</v>
      </c>
    </row>
    <row r="2345" spans="1:4" x14ac:dyDescent="0.35">
      <c r="A2345" s="457" t="s">
        <v>35</v>
      </c>
      <c r="B2345" s="458" t="s">
        <v>1682</v>
      </c>
      <c r="C2345" s="459">
        <v>20</v>
      </c>
      <c r="D2345" s="458">
        <v>2022</v>
      </c>
    </row>
    <row r="2346" spans="1:4" x14ac:dyDescent="0.35">
      <c r="A2346" s="457" t="s">
        <v>35</v>
      </c>
      <c r="B2346" s="458" t="s">
        <v>1682</v>
      </c>
      <c r="C2346" s="459">
        <v>20</v>
      </c>
      <c r="D2346" s="458">
        <v>2023</v>
      </c>
    </row>
    <row r="2347" spans="1:4" x14ac:dyDescent="0.35">
      <c r="A2347" s="457" t="s">
        <v>35</v>
      </c>
      <c r="B2347" s="458" t="s">
        <v>1683</v>
      </c>
      <c r="C2347" s="459">
        <v>20</v>
      </c>
      <c r="D2347" s="458">
        <v>2023</v>
      </c>
    </row>
    <row r="2348" spans="1:4" x14ac:dyDescent="0.35">
      <c r="A2348" s="457" t="s">
        <v>35</v>
      </c>
      <c r="B2348" s="458" t="s">
        <v>1684</v>
      </c>
      <c r="C2348" s="459">
        <v>22</v>
      </c>
      <c r="D2348" s="458">
        <v>2023</v>
      </c>
    </row>
    <row r="2349" spans="1:4" x14ac:dyDescent="0.35">
      <c r="A2349" s="457" t="s">
        <v>35</v>
      </c>
      <c r="B2349" s="458" t="s">
        <v>1685</v>
      </c>
      <c r="C2349" s="459">
        <v>20</v>
      </c>
      <c r="D2349" s="458">
        <v>2023</v>
      </c>
    </row>
    <row r="2350" spans="1:4" x14ac:dyDescent="0.35">
      <c r="A2350" s="457" t="s">
        <v>35</v>
      </c>
      <c r="B2350" s="458" t="s">
        <v>1688</v>
      </c>
      <c r="C2350" s="459">
        <v>20</v>
      </c>
      <c r="D2350" s="458">
        <v>2022</v>
      </c>
    </row>
    <row r="2351" spans="1:4" x14ac:dyDescent="0.35">
      <c r="A2351" s="457" t="s">
        <v>35</v>
      </c>
      <c r="B2351" s="458" t="s">
        <v>1688</v>
      </c>
      <c r="C2351" s="459">
        <v>20</v>
      </c>
      <c r="D2351" s="458">
        <v>2023</v>
      </c>
    </row>
    <row r="2352" spans="1:4" x14ac:dyDescent="0.35">
      <c r="A2352" s="457" t="s">
        <v>35</v>
      </c>
      <c r="B2352" s="458" t="s">
        <v>1686</v>
      </c>
      <c r="C2352" s="459">
        <v>20</v>
      </c>
      <c r="D2352" s="458">
        <v>2022</v>
      </c>
    </row>
    <row r="2353" spans="1:4" x14ac:dyDescent="0.35">
      <c r="A2353" s="457" t="s">
        <v>35</v>
      </c>
      <c r="B2353" s="458" t="s">
        <v>1686</v>
      </c>
      <c r="C2353" s="459">
        <v>20</v>
      </c>
      <c r="D2353" s="458">
        <v>2023</v>
      </c>
    </row>
    <row r="2354" spans="1:4" x14ac:dyDescent="0.35">
      <c r="A2354" s="457" t="s">
        <v>35</v>
      </c>
      <c r="B2354" s="458" t="s">
        <v>1687</v>
      </c>
      <c r="C2354" s="459">
        <v>20</v>
      </c>
      <c r="D2354" s="458">
        <v>2022</v>
      </c>
    </row>
    <row r="2355" spans="1:4" x14ac:dyDescent="0.35">
      <c r="A2355" s="457" t="s">
        <v>35</v>
      </c>
      <c r="B2355" s="458" t="s">
        <v>1687</v>
      </c>
      <c r="C2355" s="459">
        <v>20</v>
      </c>
      <c r="D2355" s="458">
        <v>2023</v>
      </c>
    </row>
    <row r="2356" spans="1:4" x14ac:dyDescent="0.35">
      <c r="A2356" s="457" t="s">
        <v>35</v>
      </c>
      <c r="B2356" s="458" t="s">
        <v>1677</v>
      </c>
      <c r="C2356" s="459">
        <v>3</v>
      </c>
      <c r="D2356" s="458">
        <v>2023</v>
      </c>
    </row>
    <row r="2357" spans="1:4" x14ac:dyDescent="0.35">
      <c r="A2357" s="457" t="s">
        <v>35</v>
      </c>
      <c r="B2357" s="458" t="s">
        <v>1678</v>
      </c>
      <c r="C2357" s="459">
        <v>3</v>
      </c>
      <c r="D2357" s="458">
        <v>2022</v>
      </c>
    </row>
    <row r="2358" spans="1:4" x14ac:dyDescent="0.35">
      <c r="A2358" s="457" t="s">
        <v>35</v>
      </c>
      <c r="B2358" s="458" t="s">
        <v>1678</v>
      </c>
      <c r="C2358" s="459">
        <v>2</v>
      </c>
      <c r="D2358" s="458">
        <v>2023</v>
      </c>
    </row>
    <row r="2359" spans="1:4" x14ac:dyDescent="0.35">
      <c r="A2359" s="457" t="s">
        <v>35</v>
      </c>
      <c r="B2359" s="458" t="s">
        <v>1679</v>
      </c>
      <c r="C2359" s="459">
        <v>2</v>
      </c>
      <c r="D2359" s="458">
        <v>2022</v>
      </c>
    </row>
    <row r="2360" spans="1:4" x14ac:dyDescent="0.35">
      <c r="A2360" s="457" t="s">
        <v>35</v>
      </c>
      <c r="B2360" s="458" t="s">
        <v>1679</v>
      </c>
      <c r="C2360" s="459">
        <v>1</v>
      </c>
      <c r="D2360" s="458">
        <v>2023</v>
      </c>
    </row>
    <row r="2361" spans="1:4" x14ac:dyDescent="0.35">
      <c r="A2361" s="457" t="s">
        <v>35</v>
      </c>
      <c r="B2361" s="458" t="s">
        <v>1680</v>
      </c>
      <c r="C2361" s="459">
        <v>2</v>
      </c>
      <c r="D2361" s="458">
        <v>2023</v>
      </c>
    </row>
    <row r="2362" spans="1:4" x14ac:dyDescent="0.35">
      <c r="A2362" s="457" t="s">
        <v>35</v>
      </c>
      <c r="B2362" s="458" t="s">
        <v>1681</v>
      </c>
      <c r="C2362" s="459">
        <v>2</v>
      </c>
      <c r="D2362" s="458">
        <v>2023</v>
      </c>
    </row>
    <row r="2363" spans="1:4" x14ac:dyDescent="0.35">
      <c r="A2363" s="457" t="s">
        <v>35</v>
      </c>
      <c r="B2363" s="458" t="s">
        <v>1681</v>
      </c>
      <c r="C2363" s="459">
        <v>2</v>
      </c>
      <c r="D2363" s="458">
        <v>2024</v>
      </c>
    </row>
    <row r="2364" spans="1:4" x14ac:dyDescent="0.35">
      <c r="A2364" s="457" t="s">
        <v>35</v>
      </c>
      <c r="B2364" s="458" t="s">
        <v>1682</v>
      </c>
      <c r="C2364" s="459">
        <v>2</v>
      </c>
      <c r="D2364" s="458">
        <v>2023</v>
      </c>
    </row>
    <row r="2365" spans="1:4" x14ac:dyDescent="0.35">
      <c r="A2365" s="457" t="s">
        <v>35</v>
      </c>
      <c r="B2365" s="458" t="s">
        <v>1684</v>
      </c>
      <c r="C2365" s="459">
        <v>1</v>
      </c>
      <c r="D2365" s="458">
        <v>2023</v>
      </c>
    </row>
    <row r="2366" spans="1:4" x14ac:dyDescent="0.35">
      <c r="A2366" s="457" t="s">
        <v>35</v>
      </c>
      <c r="B2366" s="458" t="s">
        <v>1685</v>
      </c>
      <c r="C2366" s="459">
        <v>4</v>
      </c>
      <c r="D2366" s="458">
        <v>2023</v>
      </c>
    </row>
    <row r="2367" spans="1:4" x14ac:dyDescent="0.35">
      <c r="A2367" s="457" t="s">
        <v>35</v>
      </c>
      <c r="B2367" s="458" t="s">
        <v>1688</v>
      </c>
      <c r="C2367" s="459">
        <v>1</v>
      </c>
      <c r="D2367" s="458">
        <v>2022</v>
      </c>
    </row>
    <row r="2368" spans="1:4" x14ac:dyDescent="0.35">
      <c r="A2368" s="457" t="s">
        <v>35</v>
      </c>
      <c r="B2368" s="458" t="s">
        <v>1688</v>
      </c>
      <c r="C2368" s="459">
        <v>1</v>
      </c>
      <c r="D2368" s="458">
        <v>2023</v>
      </c>
    </row>
    <row r="2369" spans="1:4" x14ac:dyDescent="0.35">
      <c r="A2369" s="457" t="s">
        <v>35</v>
      </c>
      <c r="B2369" s="458" t="s">
        <v>1686</v>
      </c>
      <c r="C2369" s="459">
        <v>4</v>
      </c>
      <c r="D2369" s="458">
        <v>2022</v>
      </c>
    </row>
    <row r="2370" spans="1:4" x14ac:dyDescent="0.35">
      <c r="A2370" s="457" t="s">
        <v>35</v>
      </c>
      <c r="B2370" s="458" t="s">
        <v>1686</v>
      </c>
      <c r="C2370" s="459">
        <v>2</v>
      </c>
      <c r="D2370" s="458">
        <v>2023</v>
      </c>
    </row>
    <row r="2371" spans="1:4" x14ac:dyDescent="0.35">
      <c r="A2371" s="457" t="s">
        <v>35</v>
      </c>
      <c r="B2371" s="458" t="s">
        <v>1687</v>
      </c>
      <c r="C2371" s="459">
        <v>2</v>
      </c>
      <c r="D2371" s="458">
        <v>2022</v>
      </c>
    </row>
    <row r="2372" spans="1:4" x14ac:dyDescent="0.35">
      <c r="A2372" s="457" t="s">
        <v>35</v>
      </c>
      <c r="B2372" s="458" t="s">
        <v>1678</v>
      </c>
      <c r="C2372" s="459">
        <v>5</v>
      </c>
      <c r="D2372" s="458">
        <v>2022</v>
      </c>
    </row>
    <row r="2373" spans="1:4" x14ac:dyDescent="0.35">
      <c r="A2373" s="457" t="s">
        <v>35</v>
      </c>
      <c r="B2373" s="458" t="s">
        <v>1679</v>
      </c>
      <c r="C2373" s="459">
        <v>5</v>
      </c>
      <c r="D2373" s="458">
        <v>2022</v>
      </c>
    </row>
    <row r="2374" spans="1:4" x14ac:dyDescent="0.35">
      <c r="A2374" s="457" t="s">
        <v>35</v>
      </c>
      <c r="B2374" s="458" t="s">
        <v>1680</v>
      </c>
      <c r="C2374" s="459">
        <v>2</v>
      </c>
      <c r="D2374" s="458">
        <v>2023</v>
      </c>
    </row>
    <row r="2375" spans="1:4" x14ac:dyDescent="0.35">
      <c r="A2375" s="457" t="s">
        <v>35</v>
      </c>
      <c r="B2375" s="458" t="s">
        <v>1681</v>
      </c>
      <c r="C2375" s="459">
        <v>6</v>
      </c>
      <c r="D2375" s="458">
        <v>2023</v>
      </c>
    </row>
    <row r="2376" spans="1:4" x14ac:dyDescent="0.35">
      <c r="A2376" s="457" t="s">
        <v>35</v>
      </c>
      <c r="B2376" s="458" t="s">
        <v>1682</v>
      </c>
      <c r="C2376" s="459">
        <v>5</v>
      </c>
      <c r="D2376" s="458">
        <v>2022</v>
      </c>
    </row>
    <row r="2377" spans="1:4" x14ac:dyDescent="0.35">
      <c r="A2377" s="457" t="s">
        <v>35</v>
      </c>
      <c r="B2377" s="458" t="s">
        <v>1688</v>
      </c>
      <c r="C2377" s="459">
        <v>5</v>
      </c>
      <c r="D2377" s="458">
        <v>2022</v>
      </c>
    </row>
    <row r="2378" spans="1:4" x14ac:dyDescent="0.35">
      <c r="A2378" s="457" t="s">
        <v>35</v>
      </c>
      <c r="B2378" s="458" t="s">
        <v>1686</v>
      </c>
      <c r="C2378" s="459">
        <v>5</v>
      </c>
      <c r="D2378" s="458">
        <v>2022</v>
      </c>
    </row>
    <row r="2379" spans="1:4" x14ac:dyDescent="0.35">
      <c r="A2379" s="457" t="s">
        <v>35</v>
      </c>
      <c r="B2379" s="458" t="s">
        <v>1687</v>
      </c>
      <c r="C2379" s="459">
        <v>5</v>
      </c>
      <c r="D2379" s="458">
        <v>2022</v>
      </c>
    </row>
    <row r="2380" spans="1:4" x14ac:dyDescent="0.35">
      <c r="A2380" s="457" t="s">
        <v>35</v>
      </c>
      <c r="B2380" s="458" t="s">
        <v>1681</v>
      </c>
      <c r="C2380" s="459">
        <v>4</v>
      </c>
      <c r="D2380" s="458">
        <v>2024</v>
      </c>
    </row>
    <row r="2381" spans="1:4" x14ac:dyDescent="0.35">
      <c r="A2381" s="457" t="s">
        <v>35</v>
      </c>
      <c r="B2381" s="458" t="s">
        <v>1681</v>
      </c>
      <c r="C2381" s="459">
        <v>4</v>
      </c>
      <c r="D2381" s="458">
        <v>2024</v>
      </c>
    </row>
    <row r="2382" spans="1:4" x14ac:dyDescent="0.35">
      <c r="A2382" s="457" t="s">
        <v>35</v>
      </c>
      <c r="B2382" s="458" t="s">
        <v>1686</v>
      </c>
      <c r="C2382" s="459">
        <v>3</v>
      </c>
      <c r="D2382" s="458">
        <v>2023</v>
      </c>
    </row>
    <row r="2383" spans="1:4" x14ac:dyDescent="0.35">
      <c r="A2383" s="457" t="s">
        <v>35</v>
      </c>
      <c r="B2383" s="458" t="s">
        <v>1677</v>
      </c>
      <c r="C2383" s="459">
        <v>5</v>
      </c>
      <c r="D2383" s="458">
        <v>2023</v>
      </c>
    </row>
    <row r="2384" spans="1:4" x14ac:dyDescent="0.35">
      <c r="A2384" s="457" t="s">
        <v>35</v>
      </c>
      <c r="B2384" s="458" t="s">
        <v>1678</v>
      </c>
      <c r="C2384" s="459">
        <v>3</v>
      </c>
      <c r="D2384" s="458">
        <v>2022</v>
      </c>
    </row>
    <row r="2385" spans="1:4" x14ac:dyDescent="0.35">
      <c r="A2385" s="457" t="s">
        <v>35</v>
      </c>
      <c r="B2385" s="458" t="s">
        <v>1679</v>
      </c>
      <c r="C2385" s="459">
        <v>5</v>
      </c>
      <c r="D2385" s="458">
        <v>2022</v>
      </c>
    </row>
    <row r="2386" spans="1:4" x14ac:dyDescent="0.35">
      <c r="A2386" s="457" t="s">
        <v>35</v>
      </c>
      <c r="B2386" s="458" t="s">
        <v>1680</v>
      </c>
      <c r="C2386" s="459">
        <v>10</v>
      </c>
      <c r="D2386" s="458">
        <v>2023</v>
      </c>
    </row>
    <row r="2387" spans="1:4" x14ac:dyDescent="0.35">
      <c r="A2387" s="457" t="s">
        <v>35</v>
      </c>
      <c r="B2387" s="458" t="s">
        <v>1681</v>
      </c>
      <c r="C2387" s="459">
        <v>5</v>
      </c>
      <c r="D2387" s="458">
        <v>2023</v>
      </c>
    </row>
    <row r="2388" spans="1:4" x14ac:dyDescent="0.35">
      <c r="A2388" s="457" t="s">
        <v>35</v>
      </c>
      <c r="B2388" s="458" t="s">
        <v>1682</v>
      </c>
      <c r="C2388" s="459">
        <v>3</v>
      </c>
      <c r="D2388" s="458">
        <v>2022</v>
      </c>
    </row>
    <row r="2389" spans="1:4" x14ac:dyDescent="0.35">
      <c r="A2389" s="457" t="s">
        <v>35</v>
      </c>
      <c r="B2389" s="458" t="s">
        <v>1683</v>
      </c>
      <c r="C2389" s="459">
        <v>5</v>
      </c>
      <c r="D2389" s="458">
        <v>2023</v>
      </c>
    </row>
    <row r="2390" spans="1:4" x14ac:dyDescent="0.35">
      <c r="A2390" s="457" t="s">
        <v>35</v>
      </c>
      <c r="B2390" s="458" t="s">
        <v>1684</v>
      </c>
      <c r="C2390" s="459">
        <v>5</v>
      </c>
      <c r="D2390" s="458">
        <v>2023</v>
      </c>
    </row>
    <row r="2391" spans="1:4" x14ac:dyDescent="0.35">
      <c r="A2391" s="457" t="s">
        <v>35</v>
      </c>
      <c r="B2391" s="458" t="s">
        <v>1685</v>
      </c>
      <c r="C2391" s="459">
        <v>5</v>
      </c>
      <c r="D2391" s="458">
        <v>2023</v>
      </c>
    </row>
    <row r="2392" spans="1:4" x14ac:dyDescent="0.35">
      <c r="A2392" s="457" t="s">
        <v>35</v>
      </c>
      <c r="B2392" s="458" t="s">
        <v>1688</v>
      </c>
      <c r="C2392" s="459">
        <v>5</v>
      </c>
      <c r="D2392" s="458">
        <v>2022</v>
      </c>
    </row>
    <row r="2393" spans="1:4" x14ac:dyDescent="0.35">
      <c r="A2393" s="457" t="s">
        <v>35</v>
      </c>
      <c r="B2393" s="458" t="s">
        <v>1686</v>
      </c>
      <c r="C2393" s="459">
        <v>5</v>
      </c>
      <c r="D2393" s="458">
        <v>2022</v>
      </c>
    </row>
    <row r="2394" spans="1:4" x14ac:dyDescent="0.35">
      <c r="A2394" s="457" t="s">
        <v>35</v>
      </c>
      <c r="B2394" s="458" t="s">
        <v>1686</v>
      </c>
      <c r="C2394" s="459">
        <v>1</v>
      </c>
      <c r="D2394" s="458">
        <v>2022</v>
      </c>
    </row>
    <row r="2395" spans="1:4" x14ac:dyDescent="0.35">
      <c r="A2395" s="457" t="s">
        <v>35</v>
      </c>
      <c r="B2395" s="458" t="s">
        <v>1687</v>
      </c>
      <c r="C2395" s="459">
        <v>3</v>
      </c>
      <c r="D2395" s="458">
        <v>2022</v>
      </c>
    </row>
    <row r="2396" spans="1:4" x14ac:dyDescent="0.35">
      <c r="A2396" s="457" t="s">
        <v>35</v>
      </c>
      <c r="B2396" s="458" t="s">
        <v>1677</v>
      </c>
      <c r="C2396" s="459">
        <v>54</v>
      </c>
      <c r="D2396" s="458">
        <v>2023</v>
      </c>
    </row>
    <row r="2397" spans="1:4" x14ac:dyDescent="0.35">
      <c r="A2397" s="457" t="s">
        <v>35</v>
      </c>
      <c r="B2397" s="458" t="s">
        <v>1678</v>
      </c>
      <c r="C2397" s="459">
        <v>48</v>
      </c>
      <c r="D2397" s="458">
        <v>2022</v>
      </c>
    </row>
    <row r="2398" spans="1:4" x14ac:dyDescent="0.35">
      <c r="A2398" s="457" t="s">
        <v>35</v>
      </c>
      <c r="B2398" s="458" t="s">
        <v>1678</v>
      </c>
      <c r="C2398" s="459">
        <v>48</v>
      </c>
      <c r="D2398" s="458">
        <v>2023</v>
      </c>
    </row>
    <row r="2399" spans="1:4" x14ac:dyDescent="0.35">
      <c r="A2399" s="457" t="s">
        <v>35</v>
      </c>
      <c r="B2399" s="458" t="s">
        <v>1679</v>
      </c>
      <c r="C2399" s="459">
        <v>36</v>
      </c>
      <c r="D2399" s="458">
        <v>2022</v>
      </c>
    </row>
    <row r="2400" spans="1:4" x14ac:dyDescent="0.35">
      <c r="A2400" s="457" t="s">
        <v>35</v>
      </c>
      <c r="B2400" s="458" t="s">
        <v>1679</v>
      </c>
      <c r="C2400" s="459">
        <v>48</v>
      </c>
      <c r="D2400" s="458">
        <v>2023</v>
      </c>
    </row>
    <row r="2401" spans="1:4" x14ac:dyDescent="0.35">
      <c r="A2401" s="457" t="s">
        <v>35</v>
      </c>
      <c r="B2401" s="458" t="s">
        <v>1680</v>
      </c>
      <c r="C2401" s="459">
        <v>48</v>
      </c>
      <c r="D2401" s="458">
        <v>2023</v>
      </c>
    </row>
    <row r="2402" spans="1:4" x14ac:dyDescent="0.35">
      <c r="A2402" s="457" t="s">
        <v>35</v>
      </c>
      <c r="B2402" s="458" t="s">
        <v>1681</v>
      </c>
      <c r="C2402" s="459">
        <v>48</v>
      </c>
      <c r="D2402" s="458">
        <v>2023</v>
      </c>
    </row>
    <row r="2403" spans="1:4" x14ac:dyDescent="0.35">
      <c r="A2403" s="457" t="s">
        <v>35</v>
      </c>
      <c r="B2403" s="458" t="s">
        <v>1681</v>
      </c>
      <c r="C2403" s="459">
        <v>98</v>
      </c>
      <c r="D2403" s="458">
        <v>2024</v>
      </c>
    </row>
    <row r="2404" spans="1:4" x14ac:dyDescent="0.35">
      <c r="A2404" s="457" t="s">
        <v>35</v>
      </c>
      <c r="B2404" s="458" t="s">
        <v>1681</v>
      </c>
      <c r="C2404" s="459">
        <v>0</v>
      </c>
      <c r="D2404" s="458">
        <v>2023</v>
      </c>
    </row>
    <row r="2405" spans="1:4" x14ac:dyDescent="0.35">
      <c r="A2405" s="457" t="s">
        <v>35</v>
      </c>
      <c r="B2405" s="458" t="s">
        <v>1682</v>
      </c>
      <c r="C2405" s="459">
        <v>72</v>
      </c>
      <c r="D2405" s="458">
        <v>2022</v>
      </c>
    </row>
    <row r="2406" spans="1:4" x14ac:dyDescent="0.35">
      <c r="A2406" s="457" t="s">
        <v>35</v>
      </c>
      <c r="B2406" s="458" t="s">
        <v>1682</v>
      </c>
      <c r="C2406" s="459">
        <v>82</v>
      </c>
      <c r="D2406" s="458">
        <v>2023</v>
      </c>
    </row>
    <row r="2407" spans="1:4" x14ac:dyDescent="0.35">
      <c r="A2407" s="457" t="s">
        <v>35</v>
      </c>
      <c r="B2407" s="458" t="s">
        <v>1683</v>
      </c>
      <c r="C2407" s="459">
        <v>48</v>
      </c>
      <c r="D2407" s="458">
        <v>2023</v>
      </c>
    </row>
    <row r="2408" spans="1:4" x14ac:dyDescent="0.35">
      <c r="A2408" s="457" t="s">
        <v>35</v>
      </c>
      <c r="B2408" s="458" t="s">
        <v>1684</v>
      </c>
      <c r="C2408" s="459">
        <v>64</v>
      </c>
      <c r="D2408" s="458">
        <v>2023</v>
      </c>
    </row>
    <row r="2409" spans="1:4" x14ac:dyDescent="0.35">
      <c r="A2409" s="457" t="s">
        <v>35</v>
      </c>
      <c r="B2409" s="458" t="s">
        <v>1685</v>
      </c>
      <c r="C2409" s="459">
        <v>48</v>
      </c>
      <c r="D2409" s="458">
        <v>2023</v>
      </c>
    </row>
    <row r="2410" spans="1:4" x14ac:dyDescent="0.35">
      <c r="A2410" s="457" t="s">
        <v>35</v>
      </c>
      <c r="B2410" s="458" t="s">
        <v>1688</v>
      </c>
      <c r="C2410" s="459">
        <v>48</v>
      </c>
      <c r="D2410" s="458">
        <v>2022</v>
      </c>
    </row>
    <row r="2411" spans="1:4" x14ac:dyDescent="0.35">
      <c r="A2411" s="457" t="s">
        <v>35</v>
      </c>
      <c r="B2411" s="458" t="s">
        <v>1688</v>
      </c>
      <c r="C2411" s="459">
        <v>48</v>
      </c>
      <c r="D2411" s="458">
        <v>2023</v>
      </c>
    </row>
    <row r="2412" spans="1:4" x14ac:dyDescent="0.35">
      <c r="A2412" s="457" t="s">
        <v>35</v>
      </c>
      <c r="B2412" s="458" t="s">
        <v>1686</v>
      </c>
      <c r="C2412" s="459">
        <v>48</v>
      </c>
      <c r="D2412" s="458">
        <v>2022</v>
      </c>
    </row>
    <row r="2413" spans="1:4" x14ac:dyDescent="0.35">
      <c r="A2413" s="457" t="s">
        <v>35</v>
      </c>
      <c r="B2413" s="458" t="s">
        <v>1686</v>
      </c>
      <c r="C2413" s="459">
        <v>48</v>
      </c>
      <c r="D2413" s="458">
        <v>2023</v>
      </c>
    </row>
    <row r="2414" spans="1:4" x14ac:dyDescent="0.35">
      <c r="A2414" s="457" t="s">
        <v>35</v>
      </c>
      <c r="B2414" s="458" t="s">
        <v>1687</v>
      </c>
      <c r="C2414" s="459">
        <v>48</v>
      </c>
      <c r="D2414" s="458">
        <v>2022</v>
      </c>
    </row>
    <row r="2415" spans="1:4" x14ac:dyDescent="0.35">
      <c r="A2415" s="457" t="s">
        <v>35</v>
      </c>
      <c r="B2415" s="458" t="s">
        <v>1687</v>
      </c>
      <c r="C2415" s="459">
        <v>63</v>
      </c>
      <c r="D2415" s="458">
        <v>2023</v>
      </c>
    </row>
    <row r="2416" spans="1:4" x14ac:dyDescent="0.35">
      <c r="A2416" s="457" t="s">
        <v>35</v>
      </c>
      <c r="B2416" s="458" t="s">
        <v>1678</v>
      </c>
      <c r="C2416" s="459">
        <v>3</v>
      </c>
      <c r="D2416" s="458">
        <v>2022</v>
      </c>
    </row>
    <row r="2417" spans="1:4" x14ac:dyDescent="0.35">
      <c r="A2417" s="457" t="s">
        <v>35</v>
      </c>
      <c r="B2417" s="458" t="s">
        <v>1679</v>
      </c>
      <c r="C2417" s="459">
        <v>1</v>
      </c>
      <c r="D2417" s="458">
        <v>2022</v>
      </c>
    </row>
    <row r="2418" spans="1:4" x14ac:dyDescent="0.35">
      <c r="A2418" s="457" t="s">
        <v>35</v>
      </c>
      <c r="B2418" s="458" t="s">
        <v>1682</v>
      </c>
      <c r="C2418" s="459">
        <v>3</v>
      </c>
      <c r="D2418" s="458">
        <v>2022</v>
      </c>
    </row>
    <row r="2419" spans="1:4" x14ac:dyDescent="0.35">
      <c r="A2419" s="457" t="s">
        <v>35</v>
      </c>
      <c r="B2419" s="458" t="s">
        <v>1688</v>
      </c>
      <c r="C2419" s="459">
        <v>4</v>
      </c>
      <c r="D2419" s="458">
        <v>2022</v>
      </c>
    </row>
    <row r="2420" spans="1:4" x14ac:dyDescent="0.35">
      <c r="A2420" s="457" t="s">
        <v>35</v>
      </c>
      <c r="B2420" s="458" t="s">
        <v>1686</v>
      </c>
      <c r="C2420" s="459">
        <v>4</v>
      </c>
      <c r="D2420" s="458">
        <v>2022</v>
      </c>
    </row>
    <row r="2421" spans="1:4" x14ac:dyDescent="0.35">
      <c r="A2421" s="457" t="s">
        <v>35</v>
      </c>
      <c r="B2421" s="458" t="s">
        <v>1687</v>
      </c>
      <c r="C2421" s="459">
        <v>3</v>
      </c>
      <c r="D2421" s="458">
        <v>2022</v>
      </c>
    </row>
    <row r="2422" spans="1:4" x14ac:dyDescent="0.35">
      <c r="A2422" s="457" t="s">
        <v>72</v>
      </c>
      <c r="B2422" s="458" t="s">
        <v>1677</v>
      </c>
      <c r="C2422" s="459">
        <v>6</v>
      </c>
      <c r="D2422" s="458">
        <v>2023</v>
      </c>
    </row>
    <row r="2423" spans="1:4" x14ac:dyDescent="0.35">
      <c r="A2423" s="457" t="s">
        <v>72</v>
      </c>
      <c r="B2423" s="458" t="s">
        <v>1678</v>
      </c>
      <c r="C2423" s="459">
        <v>3</v>
      </c>
      <c r="D2423" s="458">
        <v>2022</v>
      </c>
    </row>
    <row r="2424" spans="1:4" x14ac:dyDescent="0.35">
      <c r="A2424" s="457" t="s">
        <v>72</v>
      </c>
      <c r="B2424" s="458" t="s">
        <v>1678</v>
      </c>
      <c r="C2424" s="459">
        <v>9</v>
      </c>
      <c r="D2424" s="458">
        <v>2023</v>
      </c>
    </row>
    <row r="2425" spans="1:4" x14ac:dyDescent="0.35">
      <c r="A2425" s="457" t="s">
        <v>72</v>
      </c>
      <c r="B2425" s="458" t="s">
        <v>1679</v>
      </c>
      <c r="C2425" s="459">
        <v>6</v>
      </c>
      <c r="D2425" s="458">
        <v>2022</v>
      </c>
    </row>
    <row r="2426" spans="1:4" x14ac:dyDescent="0.35">
      <c r="A2426" s="457" t="s">
        <v>72</v>
      </c>
      <c r="B2426" s="458" t="s">
        <v>1679</v>
      </c>
      <c r="C2426" s="459">
        <v>3</v>
      </c>
      <c r="D2426" s="458">
        <v>2023</v>
      </c>
    </row>
    <row r="2427" spans="1:4" x14ac:dyDescent="0.35">
      <c r="A2427" s="457" t="s">
        <v>72</v>
      </c>
      <c r="B2427" s="458" t="s">
        <v>1680</v>
      </c>
      <c r="C2427" s="459">
        <v>6</v>
      </c>
      <c r="D2427" s="458">
        <v>2023</v>
      </c>
    </row>
    <row r="2428" spans="1:4" x14ac:dyDescent="0.35">
      <c r="A2428" s="457" t="s">
        <v>72</v>
      </c>
      <c r="B2428" s="458" t="s">
        <v>1681</v>
      </c>
      <c r="C2428" s="459">
        <v>9</v>
      </c>
      <c r="D2428" s="458">
        <v>2023</v>
      </c>
    </row>
    <row r="2429" spans="1:4" x14ac:dyDescent="0.35">
      <c r="A2429" s="457" t="s">
        <v>72</v>
      </c>
      <c r="B2429" s="458" t="s">
        <v>1682</v>
      </c>
      <c r="C2429" s="459">
        <v>9</v>
      </c>
      <c r="D2429" s="458">
        <v>2022</v>
      </c>
    </row>
    <row r="2430" spans="1:4" x14ac:dyDescent="0.35">
      <c r="A2430" s="457" t="s">
        <v>72</v>
      </c>
      <c r="B2430" s="458" t="s">
        <v>1682</v>
      </c>
      <c r="C2430" s="459">
        <v>6</v>
      </c>
      <c r="D2430" s="458">
        <v>2023</v>
      </c>
    </row>
    <row r="2431" spans="1:4" x14ac:dyDescent="0.35">
      <c r="A2431" s="457" t="s">
        <v>72</v>
      </c>
      <c r="B2431" s="458" t="s">
        <v>1683</v>
      </c>
      <c r="C2431" s="459">
        <v>6</v>
      </c>
      <c r="D2431" s="458">
        <v>2023</v>
      </c>
    </row>
    <row r="2432" spans="1:4" x14ac:dyDescent="0.35">
      <c r="A2432" s="457" t="s">
        <v>72</v>
      </c>
      <c r="B2432" s="458" t="s">
        <v>1684</v>
      </c>
      <c r="C2432" s="459">
        <v>6</v>
      </c>
      <c r="D2432" s="458">
        <v>2023</v>
      </c>
    </row>
    <row r="2433" spans="1:4" x14ac:dyDescent="0.35">
      <c r="A2433" s="457" t="s">
        <v>72</v>
      </c>
      <c r="B2433" s="458" t="s">
        <v>1685</v>
      </c>
      <c r="C2433" s="459">
        <v>6</v>
      </c>
      <c r="D2433" s="458">
        <v>2023</v>
      </c>
    </row>
    <row r="2434" spans="1:4" x14ac:dyDescent="0.35">
      <c r="A2434" s="457" t="s">
        <v>72</v>
      </c>
      <c r="B2434" s="458" t="s">
        <v>1688</v>
      </c>
      <c r="C2434" s="459">
        <v>6</v>
      </c>
      <c r="D2434" s="458">
        <v>2022</v>
      </c>
    </row>
    <row r="2435" spans="1:4" x14ac:dyDescent="0.35">
      <c r="A2435" s="457" t="s">
        <v>72</v>
      </c>
      <c r="B2435" s="458" t="s">
        <v>1688</v>
      </c>
      <c r="C2435" s="459">
        <v>6</v>
      </c>
      <c r="D2435" s="458">
        <v>2023</v>
      </c>
    </row>
    <row r="2436" spans="1:4" x14ac:dyDescent="0.35">
      <c r="A2436" s="457" t="s">
        <v>72</v>
      </c>
      <c r="B2436" s="458" t="s">
        <v>1686</v>
      </c>
      <c r="C2436" s="459">
        <v>6</v>
      </c>
      <c r="D2436" s="458">
        <v>2022</v>
      </c>
    </row>
    <row r="2437" spans="1:4" x14ac:dyDescent="0.35">
      <c r="A2437" s="457" t="s">
        <v>72</v>
      </c>
      <c r="B2437" s="458" t="s">
        <v>1686</v>
      </c>
      <c r="C2437" s="459">
        <v>6</v>
      </c>
      <c r="D2437" s="458">
        <v>2023</v>
      </c>
    </row>
    <row r="2438" spans="1:4" x14ac:dyDescent="0.35">
      <c r="A2438" s="457" t="s">
        <v>72</v>
      </c>
      <c r="B2438" s="458" t="s">
        <v>1687</v>
      </c>
      <c r="C2438" s="459">
        <v>6</v>
      </c>
      <c r="D2438" s="458">
        <v>2022</v>
      </c>
    </row>
    <row r="2439" spans="1:4" x14ac:dyDescent="0.35">
      <c r="A2439" s="457" t="s">
        <v>72</v>
      </c>
      <c r="B2439" s="458" t="s">
        <v>1687</v>
      </c>
      <c r="C2439" s="459">
        <v>6</v>
      </c>
      <c r="D2439" s="458">
        <v>2023</v>
      </c>
    </row>
    <row r="2440" spans="1:4" x14ac:dyDescent="0.35">
      <c r="A2440" s="457" t="s">
        <v>72</v>
      </c>
      <c r="B2440" s="458" t="s">
        <v>1677</v>
      </c>
      <c r="C2440" s="459">
        <v>5</v>
      </c>
      <c r="D2440" s="458">
        <v>2023</v>
      </c>
    </row>
    <row r="2441" spans="1:4" x14ac:dyDescent="0.35">
      <c r="A2441" s="457" t="s">
        <v>72</v>
      </c>
      <c r="B2441" s="458" t="s">
        <v>1678</v>
      </c>
      <c r="C2441" s="459">
        <v>5</v>
      </c>
      <c r="D2441" s="458">
        <v>2023</v>
      </c>
    </row>
    <row r="2442" spans="1:4" x14ac:dyDescent="0.35">
      <c r="A2442" s="457" t="s">
        <v>72</v>
      </c>
      <c r="B2442" s="458" t="s">
        <v>1679</v>
      </c>
      <c r="C2442" s="459">
        <v>5</v>
      </c>
      <c r="D2442" s="458">
        <v>2022</v>
      </c>
    </row>
    <row r="2443" spans="1:4" x14ac:dyDescent="0.35">
      <c r="A2443" s="457" t="s">
        <v>72</v>
      </c>
      <c r="B2443" s="458" t="s">
        <v>1679</v>
      </c>
      <c r="C2443" s="459">
        <v>5</v>
      </c>
      <c r="D2443" s="458">
        <v>2023</v>
      </c>
    </row>
    <row r="2444" spans="1:4" x14ac:dyDescent="0.35">
      <c r="A2444" s="457" t="s">
        <v>72</v>
      </c>
      <c r="B2444" s="458" t="s">
        <v>1680</v>
      </c>
      <c r="C2444" s="459">
        <v>5</v>
      </c>
      <c r="D2444" s="458">
        <v>2023</v>
      </c>
    </row>
    <row r="2445" spans="1:4" x14ac:dyDescent="0.35">
      <c r="A2445" s="457" t="s">
        <v>72</v>
      </c>
      <c r="B2445" s="458" t="s">
        <v>1681</v>
      </c>
      <c r="C2445" s="459">
        <v>10</v>
      </c>
      <c r="D2445" s="458">
        <v>2023</v>
      </c>
    </row>
    <row r="2446" spans="1:4" x14ac:dyDescent="0.35">
      <c r="A2446" s="457" t="s">
        <v>72</v>
      </c>
      <c r="B2446" s="458" t="s">
        <v>1681</v>
      </c>
      <c r="C2446" s="459">
        <v>5</v>
      </c>
      <c r="D2446" s="458">
        <v>2024</v>
      </c>
    </row>
    <row r="2447" spans="1:4" x14ac:dyDescent="0.35">
      <c r="A2447" s="457" t="s">
        <v>72</v>
      </c>
      <c r="B2447" s="458" t="s">
        <v>1682</v>
      </c>
      <c r="C2447" s="459">
        <v>9</v>
      </c>
      <c r="D2447" s="458">
        <v>2022</v>
      </c>
    </row>
    <row r="2448" spans="1:4" x14ac:dyDescent="0.35">
      <c r="A2448" s="457" t="s">
        <v>72</v>
      </c>
      <c r="B2448" s="458" t="s">
        <v>1682</v>
      </c>
      <c r="C2448" s="459">
        <v>5</v>
      </c>
      <c r="D2448" s="458">
        <v>2023</v>
      </c>
    </row>
    <row r="2449" spans="1:4" x14ac:dyDescent="0.35">
      <c r="A2449" s="457" t="s">
        <v>72</v>
      </c>
      <c r="B2449" s="458" t="s">
        <v>1683</v>
      </c>
      <c r="C2449" s="459">
        <v>5</v>
      </c>
      <c r="D2449" s="458">
        <v>2023</v>
      </c>
    </row>
    <row r="2450" spans="1:4" x14ac:dyDescent="0.35">
      <c r="A2450" s="457" t="s">
        <v>72</v>
      </c>
      <c r="B2450" s="458" t="s">
        <v>1684</v>
      </c>
      <c r="C2450" s="459">
        <v>5</v>
      </c>
      <c r="D2450" s="458">
        <v>2023</v>
      </c>
    </row>
    <row r="2451" spans="1:4" x14ac:dyDescent="0.35">
      <c r="A2451" s="457" t="s">
        <v>72</v>
      </c>
      <c r="B2451" s="458" t="s">
        <v>1685</v>
      </c>
      <c r="C2451" s="459">
        <v>5</v>
      </c>
      <c r="D2451" s="458">
        <v>2023</v>
      </c>
    </row>
    <row r="2452" spans="1:4" x14ac:dyDescent="0.35">
      <c r="A2452" s="457" t="s">
        <v>72</v>
      </c>
      <c r="B2452" s="458" t="s">
        <v>1688</v>
      </c>
      <c r="C2452" s="459">
        <v>5</v>
      </c>
      <c r="D2452" s="458">
        <v>2022</v>
      </c>
    </row>
    <row r="2453" spans="1:4" x14ac:dyDescent="0.35">
      <c r="A2453" s="457" t="s">
        <v>72</v>
      </c>
      <c r="B2453" s="458" t="s">
        <v>1688</v>
      </c>
      <c r="C2453" s="459">
        <v>5</v>
      </c>
      <c r="D2453" s="458">
        <v>2023</v>
      </c>
    </row>
    <row r="2454" spans="1:4" x14ac:dyDescent="0.35">
      <c r="A2454" s="457" t="s">
        <v>72</v>
      </c>
      <c r="B2454" s="458" t="s">
        <v>1686</v>
      </c>
      <c r="C2454" s="459">
        <v>5</v>
      </c>
      <c r="D2454" s="458">
        <v>2022</v>
      </c>
    </row>
    <row r="2455" spans="1:4" x14ac:dyDescent="0.35">
      <c r="A2455" s="457" t="s">
        <v>72</v>
      </c>
      <c r="B2455" s="458" t="s">
        <v>1686</v>
      </c>
      <c r="C2455" s="459">
        <v>5</v>
      </c>
      <c r="D2455" s="458">
        <v>2023</v>
      </c>
    </row>
    <row r="2456" spans="1:4" x14ac:dyDescent="0.35">
      <c r="A2456" s="457" t="s">
        <v>72</v>
      </c>
      <c r="B2456" s="458" t="s">
        <v>1687</v>
      </c>
      <c r="C2456" s="459">
        <v>5</v>
      </c>
      <c r="D2456" s="458">
        <v>2022</v>
      </c>
    </row>
    <row r="2457" spans="1:4" x14ac:dyDescent="0.35">
      <c r="A2457" s="457" t="s">
        <v>72</v>
      </c>
      <c r="B2457" s="458" t="s">
        <v>1687</v>
      </c>
      <c r="C2457" s="459">
        <v>5</v>
      </c>
      <c r="D2457" s="458">
        <v>2023</v>
      </c>
    </row>
    <row r="2458" spans="1:4" x14ac:dyDescent="0.35">
      <c r="A2458" s="457" t="s">
        <v>72</v>
      </c>
      <c r="B2458" s="458" t="s">
        <v>1677</v>
      </c>
      <c r="C2458" s="459">
        <v>25</v>
      </c>
      <c r="D2458" s="458">
        <v>2023</v>
      </c>
    </row>
    <row r="2459" spans="1:4" x14ac:dyDescent="0.35">
      <c r="A2459" s="457" t="s">
        <v>72</v>
      </c>
      <c r="B2459" s="458" t="s">
        <v>1678</v>
      </c>
      <c r="C2459" s="459">
        <v>25</v>
      </c>
      <c r="D2459" s="458">
        <v>2022</v>
      </c>
    </row>
    <row r="2460" spans="1:4" x14ac:dyDescent="0.35">
      <c r="A2460" s="457" t="s">
        <v>72</v>
      </c>
      <c r="B2460" s="458" t="s">
        <v>1678</v>
      </c>
      <c r="C2460" s="459">
        <v>25</v>
      </c>
      <c r="D2460" s="458">
        <v>2023</v>
      </c>
    </row>
    <row r="2461" spans="1:4" x14ac:dyDescent="0.35">
      <c r="A2461" s="457" t="s">
        <v>72</v>
      </c>
      <c r="B2461" s="458" t="s">
        <v>1679</v>
      </c>
      <c r="C2461" s="459">
        <v>25</v>
      </c>
      <c r="D2461" s="458">
        <v>2022</v>
      </c>
    </row>
    <row r="2462" spans="1:4" x14ac:dyDescent="0.35">
      <c r="A2462" s="457" t="s">
        <v>72</v>
      </c>
      <c r="B2462" s="458" t="s">
        <v>1680</v>
      </c>
      <c r="C2462" s="459">
        <v>25</v>
      </c>
      <c r="D2462" s="458">
        <v>2023</v>
      </c>
    </row>
    <row r="2463" spans="1:4" x14ac:dyDescent="0.35">
      <c r="A2463" s="457" t="s">
        <v>72</v>
      </c>
      <c r="B2463" s="458" t="s">
        <v>1681</v>
      </c>
      <c r="C2463" s="459">
        <v>50</v>
      </c>
      <c r="D2463" s="458">
        <v>2023</v>
      </c>
    </row>
    <row r="2464" spans="1:4" x14ac:dyDescent="0.35">
      <c r="A2464" s="457" t="s">
        <v>72</v>
      </c>
      <c r="B2464" s="458" t="s">
        <v>1682</v>
      </c>
      <c r="C2464" s="459">
        <v>25</v>
      </c>
      <c r="D2464" s="458">
        <v>2022</v>
      </c>
    </row>
    <row r="2465" spans="1:4" x14ac:dyDescent="0.35">
      <c r="A2465" s="457" t="s">
        <v>72</v>
      </c>
      <c r="B2465" s="458" t="s">
        <v>1682</v>
      </c>
      <c r="C2465" s="459">
        <v>25</v>
      </c>
      <c r="D2465" s="458">
        <v>2023</v>
      </c>
    </row>
    <row r="2466" spans="1:4" x14ac:dyDescent="0.35">
      <c r="A2466" s="457" t="s">
        <v>72</v>
      </c>
      <c r="B2466" s="458" t="s">
        <v>1683</v>
      </c>
      <c r="C2466" s="459">
        <v>25</v>
      </c>
      <c r="D2466" s="458">
        <v>2023</v>
      </c>
    </row>
    <row r="2467" spans="1:4" x14ac:dyDescent="0.35">
      <c r="A2467" s="457" t="s">
        <v>72</v>
      </c>
      <c r="B2467" s="458" t="s">
        <v>1684</v>
      </c>
      <c r="C2467" s="459">
        <v>25</v>
      </c>
      <c r="D2467" s="458">
        <v>2023</v>
      </c>
    </row>
    <row r="2468" spans="1:4" x14ac:dyDescent="0.35">
      <c r="A2468" s="457" t="s">
        <v>72</v>
      </c>
      <c r="B2468" s="458" t="s">
        <v>1685</v>
      </c>
      <c r="C2468" s="459">
        <v>25</v>
      </c>
      <c r="D2468" s="458">
        <v>2023</v>
      </c>
    </row>
    <row r="2469" spans="1:4" x14ac:dyDescent="0.35">
      <c r="A2469" s="457" t="s">
        <v>72</v>
      </c>
      <c r="B2469" s="458" t="s">
        <v>1688</v>
      </c>
      <c r="C2469" s="459">
        <v>25</v>
      </c>
      <c r="D2469" s="458">
        <v>2022</v>
      </c>
    </row>
    <row r="2470" spans="1:4" x14ac:dyDescent="0.35">
      <c r="A2470" s="457" t="s">
        <v>72</v>
      </c>
      <c r="B2470" s="458" t="s">
        <v>1686</v>
      </c>
      <c r="C2470" s="459">
        <v>26</v>
      </c>
      <c r="D2470" s="458">
        <v>2022</v>
      </c>
    </row>
    <row r="2471" spans="1:4" x14ac:dyDescent="0.35">
      <c r="A2471" s="457" t="s">
        <v>72</v>
      </c>
      <c r="B2471" s="458" t="s">
        <v>1687</v>
      </c>
      <c r="C2471" s="459">
        <v>25</v>
      </c>
      <c r="D2471" s="458">
        <v>2022</v>
      </c>
    </row>
    <row r="2472" spans="1:4" x14ac:dyDescent="0.35">
      <c r="A2472" s="457" t="s">
        <v>72</v>
      </c>
      <c r="B2472" s="458" t="s">
        <v>1678</v>
      </c>
      <c r="C2472" s="459">
        <v>1</v>
      </c>
      <c r="D2472" s="458">
        <v>2022</v>
      </c>
    </row>
    <row r="2473" spans="1:4" x14ac:dyDescent="0.35">
      <c r="A2473" s="457" t="s">
        <v>72</v>
      </c>
      <c r="B2473" s="458" t="s">
        <v>1677</v>
      </c>
      <c r="C2473" s="459">
        <v>18</v>
      </c>
      <c r="D2473" s="458">
        <v>2023</v>
      </c>
    </row>
    <row r="2474" spans="1:4" x14ac:dyDescent="0.35">
      <c r="A2474" s="457" t="s">
        <v>72</v>
      </c>
      <c r="B2474" s="458" t="s">
        <v>1678</v>
      </c>
      <c r="C2474" s="459">
        <v>17</v>
      </c>
      <c r="D2474" s="458">
        <v>2022</v>
      </c>
    </row>
    <row r="2475" spans="1:4" x14ac:dyDescent="0.35">
      <c r="A2475" s="457" t="s">
        <v>72</v>
      </c>
      <c r="B2475" s="458" t="s">
        <v>1678</v>
      </c>
      <c r="C2475" s="459">
        <v>20</v>
      </c>
      <c r="D2475" s="458">
        <v>2023</v>
      </c>
    </row>
    <row r="2476" spans="1:4" x14ac:dyDescent="0.35">
      <c r="A2476" s="457" t="s">
        <v>72</v>
      </c>
      <c r="B2476" s="458" t="s">
        <v>1679</v>
      </c>
      <c r="C2476" s="459">
        <v>17</v>
      </c>
      <c r="D2476" s="458">
        <v>2022</v>
      </c>
    </row>
    <row r="2477" spans="1:4" x14ac:dyDescent="0.35">
      <c r="A2477" s="457" t="s">
        <v>72</v>
      </c>
      <c r="B2477" s="458" t="s">
        <v>1679</v>
      </c>
      <c r="C2477" s="459">
        <v>18</v>
      </c>
      <c r="D2477" s="458">
        <v>2023</v>
      </c>
    </row>
    <row r="2478" spans="1:4" x14ac:dyDescent="0.35">
      <c r="A2478" s="457" t="s">
        <v>72</v>
      </c>
      <c r="B2478" s="458" t="s">
        <v>1680</v>
      </c>
      <c r="C2478" s="459">
        <v>21</v>
      </c>
      <c r="D2478" s="458">
        <v>2023</v>
      </c>
    </row>
    <row r="2479" spans="1:4" x14ac:dyDescent="0.35">
      <c r="A2479" s="457" t="s">
        <v>72</v>
      </c>
      <c r="B2479" s="458" t="s">
        <v>1681</v>
      </c>
      <c r="C2479" s="459">
        <v>32</v>
      </c>
      <c r="D2479" s="458">
        <v>2023</v>
      </c>
    </row>
    <row r="2480" spans="1:4" x14ac:dyDescent="0.35">
      <c r="A2480" s="457" t="s">
        <v>72</v>
      </c>
      <c r="B2480" s="458" t="s">
        <v>1681</v>
      </c>
      <c r="C2480" s="459">
        <v>36</v>
      </c>
      <c r="D2480" s="458">
        <v>2024</v>
      </c>
    </row>
    <row r="2481" spans="1:4" x14ac:dyDescent="0.35">
      <c r="A2481" s="457" t="s">
        <v>72</v>
      </c>
      <c r="B2481" s="458" t="s">
        <v>1682</v>
      </c>
      <c r="C2481" s="459">
        <v>17</v>
      </c>
      <c r="D2481" s="458">
        <v>2022</v>
      </c>
    </row>
    <row r="2482" spans="1:4" x14ac:dyDescent="0.35">
      <c r="A2482" s="457" t="s">
        <v>72</v>
      </c>
      <c r="B2482" s="458" t="s">
        <v>1682</v>
      </c>
      <c r="C2482" s="459">
        <v>0</v>
      </c>
      <c r="D2482" s="458">
        <v>2023</v>
      </c>
    </row>
    <row r="2483" spans="1:4" x14ac:dyDescent="0.35">
      <c r="A2483" s="457" t="s">
        <v>72</v>
      </c>
      <c r="B2483" s="458" t="s">
        <v>1683</v>
      </c>
      <c r="C2483" s="459">
        <v>18</v>
      </c>
      <c r="D2483" s="458">
        <v>2023</v>
      </c>
    </row>
    <row r="2484" spans="1:4" x14ac:dyDescent="0.35">
      <c r="A2484" s="457" t="s">
        <v>72</v>
      </c>
      <c r="B2484" s="458" t="s">
        <v>1684</v>
      </c>
      <c r="C2484" s="459">
        <v>18</v>
      </c>
      <c r="D2484" s="458">
        <v>2023</v>
      </c>
    </row>
    <row r="2485" spans="1:4" x14ac:dyDescent="0.35">
      <c r="A2485" s="457" t="s">
        <v>72</v>
      </c>
      <c r="B2485" s="458" t="s">
        <v>1685</v>
      </c>
      <c r="C2485" s="459">
        <v>18</v>
      </c>
      <c r="D2485" s="458">
        <v>2023</v>
      </c>
    </row>
    <row r="2486" spans="1:4" x14ac:dyDescent="0.35">
      <c r="A2486" s="457" t="s">
        <v>72</v>
      </c>
      <c r="B2486" s="458" t="s">
        <v>1688</v>
      </c>
      <c r="C2486" s="459">
        <v>17</v>
      </c>
      <c r="D2486" s="458">
        <v>2022</v>
      </c>
    </row>
    <row r="2487" spans="1:4" x14ac:dyDescent="0.35">
      <c r="A2487" s="457" t="s">
        <v>72</v>
      </c>
      <c r="B2487" s="458" t="s">
        <v>1688</v>
      </c>
      <c r="C2487" s="459">
        <v>18</v>
      </c>
      <c r="D2487" s="458">
        <v>2023</v>
      </c>
    </row>
    <row r="2488" spans="1:4" x14ac:dyDescent="0.35">
      <c r="A2488" s="457" t="s">
        <v>72</v>
      </c>
      <c r="B2488" s="458" t="s">
        <v>1686</v>
      </c>
      <c r="C2488" s="459">
        <v>17</v>
      </c>
      <c r="D2488" s="458">
        <v>2022</v>
      </c>
    </row>
    <row r="2489" spans="1:4" x14ac:dyDescent="0.35">
      <c r="A2489" s="457" t="s">
        <v>72</v>
      </c>
      <c r="B2489" s="458" t="s">
        <v>1686</v>
      </c>
      <c r="C2489" s="459">
        <v>18</v>
      </c>
      <c r="D2489" s="458">
        <v>2023</v>
      </c>
    </row>
    <row r="2490" spans="1:4" x14ac:dyDescent="0.35">
      <c r="A2490" s="457" t="s">
        <v>72</v>
      </c>
      <c r="B2490" s="458" t="s">
        <v>1687</v>
      </c>
      <c r="C2490" s="459">
        <v>17</v>
      </c>
      <c r="D2490" s="458">
        <v>2022</v>
      </c>
    </row>
    <row r="2491" spans="1:4" x14ac:dyDescent="0.35">
      <c r="A2491" s="457" t="s">
        <v>72</v>
      </c>
      <c r="B2491" s="458" t="s">
        <v>1687</v>
      </c>
      <c r="C2491" s="459">
        <v>18</v>
      </c>
      <c r="D2491" s="458">
        <v>2023</v>
      </c>
    </row>
    <row r="2492" spans="1:4" x14ac:dyDescent="0.35">
      <c r="A2492" s="457" t="s">
        <v>72</v>
      </c>
      <c r="B2492" s="458" t="s">
        <v>1677</v>
      </c>
      <c r="C2492" s="459">
        <v>10</v>
      </c>
      <c r="D2492" s="458">
        <v>2023</v>
      </c>
    </row>
    <row r="2493" spans="1:4" x14ac:dyDescent="0.35">
      <c r="A2493" s="457" t="s">
        <v>72</v>
      </c>
      <c r="B2493" s="458" t="s">
        <v>1678</v>
      </c>
      <c r="C2493" s="459">
        <v>1</v>
      </c>
      <c r="D2493" s="458">
        <v>2022</v>
      </c>
    </row>
    <row r="2494" spans="1:4" x14ac:dyDescent="0.35">
      <c r="A2494" s="457" t="s">
        <v>72</v>
      </c>
      <c r="B2494" s="458" t="s">
        <v>1678</v>
      </c>
      <c r="C2494" s="459">
        <v>10</v>
      </c>
      <c r="D2494" s="458">
        <v>2023</v>
      </c>
    </row>
    <row r="2495" spans="1:4" x14ac:dyDescent="0.35">
      <c r="A2495" s="457" t="s">
        <v>72</v>
      </c>
      <c r="B2495" s="458" t="s">
        <v>1679</v>
      </c>
      <c r="C2495" s="459">
        <v>10</v>
      </c>
      <c r="D2495" s="458">
        <v>2023</v>
      </c>
    </row>
    <row r="2496" spans="1:4" x14ac:dyDescent="0.35">
      <c r="A2496" s="457" t="s">
        <v>72</v>
      </c>
      <c r="B2496" s="458" t="s">
        <v>1680</v>
      </c>
      <c r="C2496" s="459">
        <v>10</v>
      </c>
      <c r="D2496" s="458">
        <v>2023</v>
      </c>
    </row>
    <row r="2497" spans="1:4" x14ac:dyDescent="0.35">
      <c r="A2497" s="457" t="s">
        <v>72</v>
      </c>
      <c r="B2497" s="458" t="s">
        <v>1681</v>
      </c>
      <c r="C2497" s="459">
        <v>10</v>
      </c>
      <c r="D2497" s="458">
        <v>2023</v>
      </c>
    </row>
    <row r="2498" spans="1:4" x14ac:dyDescent="0.35">
      <c r="A2498" s="457" t="s">
        <v>72</v>
      </c>
      <c r="B2498" s="458" t="s">
        <v>1681</v>
      </c>
      <c r="C2498" s="459">
        <v>8</v>
      </c>
      <c r="D2498" s="458">
        <v>2023</v>
      </c>
    </row>
    <row r="2499" spans="1:4" x14ac:dyDescent="0.35">
      <c r="A2499" s="457" t="s">
        <v>72</v>
      </c>
      <c r="B2499" s="458" t="s">
        <v>1681</v>
      </c>
      <c r="C2499" s="459">
        <v>10</v>
      </c>
      <c r="D2499" s="458">
        <v>2024</v>
      </c>
    </row>
    <row r="2500" spans="1:4" x14ac:dyDescent="0.35">
      <c r="A2500" s="457" t="s">
        <v>72</v>
      </c>
      <c r="B2500" s="458" t="s">
        <v>1681</v>
      </c>
      <c r="C2500" s="459">
        <v>10</v>
      </c>
      <c r="D2500" s="458">
        <v>2023</v>
      </c>
    </row>
    <row r="2501" spans="1:4" x14ac:dyDescent="0.35">
      <c r="A2501" s="457" t="s">
        <v>72</v>
      </c>
      <c r="B2501" s="458" t="s">
        <v>1681</v>
      </c>
      <c r="C2501" s="459">
        <v>10</v>
      </c>
      <c r="D2501" s="458">
        <v>2024</v>
      </c>
    </row>
    <row r="2502" spans="1:4" x14ac:dyDescent="0.35">
      <c r="A2502" s="457" t="s">
        <v>72</v>
      </c>
      <c r="B2502" s="458" t="s">
        <v>1682</v>
      </c>
      <c r="C2502" s="459">
        <v>10</v>
      </c>
      <c r="D2502" s="458">
        <v>2022</v>
      </c>
    </row>
    <row r="2503" spans="1:4" x14ac:dyDescent="0.35">
      <c r="A2503" s="457" t="s">
        <v>72</v>
      </c>
      <c r="B2503" s="458" t="s">
        <v>1682</v>
      </c>
      <c r="C2503" s="459">
        <v>10</v>
      </c>
      <c r="D2503" s="458">
        <v>2023</v>
      </c>
    </row>
    <row r="2504" spans="1:4" x14ac:dyDescent="0.35">
      <c r="A2504" s="457" t="s">
        <v>72</v>
      </c>
      <c r="B2504" s="458" t="s">
        <v>1683</v>
      </c>
      <c r="C2504" s="459">
        <v>10</v>
      </c>
      <c r="D2504" s="458">
        <v>2023</v>
      </c>
    </row>
    <row r="2505" spans="1:4" x14ac:dyDescent="0.35">
      <c r="A2505" s="457" t="s">
        <v>72</v>
      </c>
      <c r="B2505" s="458" t="s">
        <v>1684</v>
      </c>
      <c r="C2505" s="459">
        <v>10</v>
      </c>
      <c r="D2505" s="458">
        <v>2023</v>
      </c>
    </row>
    <row r="2506" spans="1:4" x14ac:dyDescent="0.35">
      <c r="A2506" s="457" t="s">
        <v>72</v>
      </c>
      <c r="B2506" s="458" t="s">
        <v>1685</v>
      </c>
      <c r="C2506" s="459">
        <v>10</v>
      </c>
      <c r="D2506" s="458">
        <v>2023</v>
      </c>
    </row>
    <row r="2507" spans="1:4" x14ac:dyDescent="0.35">
      <c r="A2507" s="457" t="s">
        <v>72</v>
      </c>
      <c r="B2507" s="458" t="s">
        <v>1688</v>
      </c>
      <c r="C2507" s="459">
        <v>8</v>
      </c>
      <c r="D2507" s="458">
        <v>2022</v>
      </c>
    </row>
    <row r="2508" spans="1:4" x14ac:dyDescent="0.35">
      <c r="A2508" s="457" t="s">
        <v>72</v>
      </c>
      <c r="B2508" s="458" t="s">
        <v>1688</v>
      </c>
      <c r="C2508" s="459">
        <v>10</v>
      </c>
      <c r="D2508" s="458">
        <v>2023</v>
      </c>
    </row>
    <row r="2509" spans="1:4" x14ac:dyDescent="0.35">
      <c r="A2509" s="457" t="s">
        <v>72</v>
      </c>
      <c r="B2509" s="458" t="s">
        <v>1686</v>
      </c>
      <c r="C2509" s="459">
        <v>8</v>
      </c>
      <c r="D2509" s="458">
        <v>2022</v>
      </c>
    </row>
    <row r="2510" spans="1:4" x14ac:dyDescent="0.35">
      <c r="A2510" s="457" t="s">
        <v>72</v>
      </c>
      <c r="B2510" s="458" t="s">
        <v>1686</v>
      </c>
      <c r="C2510" s="459">
        <v>10</v>
      </c>
      <c r="D2510" s="458">
        <v>2023</v>
      </c>
    </row>
    <row r="2511" spans="1:4" x14ac:dyDescent="0.35">
      <c r="A2511" s="457" t="s">
        <v>72</v>
      </c>
      <c r="B2511" s="458" t="s">
        <v>1687</v>
      </c>
      <c r="C2511" s="459">
        <v>8</v>
      </c>
      <c r="D2511" s="458">
        <v>2022</v>
      </c>
    </row>
    <row r="2512" spans="1:4" x14ac:dyDescent="0.35">
      <c r="A2512" s="457" t="s">
        <v>72</v>
      </c>
      <c r="B2512" s="458" t="s">
        <v>1687</v>
      </c>
      <c r="C2512" s="459">
        <v>10</v>
      </c>
      <c r="D2512" s="458">
        <v>2023</v>
      </c>
    </row>
    <row r="2513" spans="1:4" x14ac:dyDescent="0.35">
      <c r="A2513" s="457" t="s">
        <v>72</v>
      </c>
      <c r="B2513" s="458" t="s">
        <v>1677</v>
      </c>
      <c r="C2513" s="459">
        <v>24</v>
      </c>
      <c r="D2513" s="458">
        <v>2023</v>
      </c>
    </row>
    <row r="2514" spans="1:4" x14ac:dyDescent="0.35">
      <c r="A2514" s="457" t="s">
        <v>72</v>
      </c>
      <c r="B2514" s="458" t="s">
        <v>1678</v>
      </c>
      <c r="C2514" s="459">
        <v>28</v>
      </c>
      <c r="D2514" s="458">
        <v>2022</v>
      </c>
    </row>
    <row r="2515" spans="1:4" x14ac:dyDescent="0.35">
      <c r="A2515" s="457" t="s">
        <v>72</v>
      </c>
      <c r="B2515" s="458" t="s">
        <v>1678</v>
      </c>
      <c r="C2515" s="459">
        <v>18</v>
      </c>
      <c r="D2515" s="458">
        <v>2023</v>
      </c>
    </row>
    <row r="2516" spans="1:4" x14ac:dyDescent="0.35">
      <c r="A2516" s="457" t="s">
        <v>72</v>
      </c>
      <c r="B2516" s="458" t="s">
        <v>1680</v>
      </c>
      <c r="C2516" s="459">
        <v>22</v>
      </c>
      <c r="D2516" s="458">
        <v>2023</v>
      </c>
    </row>
    <row r="2517" spans="1:4" x14ac:dyDescent="0.35">
      <c r="A2517" s="457" t="s">
        <v>72</v>
      </c>
      <c r="B2517" s="458" t="s">
        <v>1681</v>
      </c>
      <c r="C2517" s="459">
        <v>20</v>
      </c>
      <c r="D2517" s="458">
        <v>2023</v>
      </c>
    </row>
    <row r="2518" spans="1:4" x14ac:dyDescent="0.35">
      <c r="A2518" s="457" t="s">
        <v>72</v>
      </c>
      <c r="B2518" s="458" t="s">
        <v>1681</v>
      </c>
      <c r="C2518" s="459">
        <v>30</v>
      </c>
      <c r="D2518" s="458">
        <v>2024</v>
      </c>
    </row>
    <row r="2519" spans="1:4" x14ac:dyDescent="0.35">
      <c r="A2519" s="457" t="s">
        <v>72</v>
      </c>
      <c r="B2519" s="458" t="s">
        <v>1682</v>
      </c>
      <c r="C2519" s="459">
        <v>34</v>
      </c>
      <c r="D2519" s="458">
        <v>2022</v>
      </c>
    </row>
    <row r="2520" spans="1:4" x14ac:dyDescent="0.35">
      <c r="A2520" s="457" t="s">
        <v>72</v>
      </c>
      <c r="B2520" s="458" t="s">
        <v>1682</v>
      </c>
      <c r="C2520" s="459">
        <v>18</v>
      </c>
      <c r="D2520" s="458">
        <v>2023</v>
      </c>
    </row>
    <row r="2521" spans="1:4" x14ac:dyDescent="0.35">
      <c r="A2521" s="457" t="s">
        <v>72</v>
      </c>
      <c r="B2521" s="458" t="s">
        <v>1683</v>
      </c>
      <c r="C2521" s="459">
        <v>20</v>
      </c>
      <c r="D2521" s="458">
        <v>2023</v>
      </c>
    </row>
    <row r="2522" spans="1:4" x14ac:dyDescent="0.35">
      <c r="A2522" s="457" t="s">
        <v>72</v>
      </c>
      <c r="B2522" s="458" t="s">
        <v>1684</v>
      </c>
      <c r="C2522" s="459">
        <v>10</v>
      </c>
      <c r="D2522" s="458">
        <v>2023</v>
      </c>
    </row>
    <row r="2523" spans="1:4" x14ac:dyDescent="0.35">
      <c r="A2523" s="457" t="s">
        <v>72</v>
      </c>
      <c r="B2523" s="458" t="s">
        <v>1685</v>
      </c>
      <c r="C2523" s="459">
        <v>26</v>
      </c>
      <c r="D2523" s="458">
        <v>2023</v>
      </c>
    </row>
    <row r="2524" spans="1:4" x14ac:dyDescent="0.35">
      <c r="A2524" s="457" t="s">
        <v>72</v>
      </c>
      <c r="B2524" s="458" t="s">
        <v>1688</v>
      </c>
      <c r="C2524" s="459">
        <v>18</v>
      </c>
      <c r="D2524" s="458">
        <v>2022</v>
      </c>
    </row>
    <row r="2525" spans="1:4" x14ac:dyDescent="0.35">
      <c r="A2525" s="457" t="s">
        <v>72</v>
      </c>
      <c r="B2525" s="458" t="s">
        <v>1688</v>
      </c>
      <c r="C2525" s="459">
        <v>25</v>
      </c>
      <c r="D2525" s="458">
        <v>2023</v>
      </c>
    </row>
    <row r="2526" spans="1:4" x14ac:dyDescent="0.35">
      <c r="A2526" s="457" t="s">
        <v>72</v>
      </c>
      <c r="B2526" s="458" t="s">
        <v>1686</v>
      </c>
      <c r="C2526" s="459">
        <v>28</v>
      </c>
      <c r="D2526" s="458">
        <v>2022</v>
      </c>
    </row>
    <row r="2527" spans="1:4" x14ac:dyDescent="0.35">
      <c r="A2527" s="457" t="s">
        <v>72</v>
      </c>
      <c r="B2527" s="458" t="s">
        <v>1686</v>
      </c>
      <c r="C2527" s="459">
        <v>11</v>
      </c>
      <c r="D2527" s="458">
        <v>2023</v>
      </c>
    </row>
    <row r="2528" spans="1:4" x14ac:dyDescent="0.35">
      <c r="A2528" s="457" t="s">
        <v>72</v>
      </c>
      <c r="B2528" s="458" t="s">
        <v>1687</v>
      </c>
      <c r="C2528" s="459">
        <v>28</v>
      </c>
      <c r="D2528" s="458">
        <v>2022</v>
      </c>
    </row>
    <row r="2529" spans="1:4" x14ac:dyDescent="0.35">
      <c r="A2529" s="457" t="s">
        <v>72</v>
      </c>
      <c r="B2529" s="458" t="s">
        <v>1687</v>
      </c>
      <c r="C2529" s="459">
        <v>18</v>
      </c>
      <c r="D2529" s="458">
        <v>2023</v>
      </c>
    </row>
    <row r="2530" spans="1:4" x14ac:dyDescent="0.35">
      <c r="A2530" s="457" t="s">
        <v>72</v>
      </c>
      <c r="B2530" s="458" t="s">
        <v>1677</v>
      </c>
      <c r="C2530" s="459">
        <v>8</v>
      </c>
      <c r="D2530" s="458">
        <v>2023</v>
      </c>
    </row>
    <row r="2531" spans="1:4" x14ac:dyDescent="0.35">
      <c r="A2531" s="457" t="s">
        <v>72</v>
      </c>
      <c r="B2531" s="458" t="s">
        <v>1678</v>
      </c>
      <c r="C2531" s="459">
        <v>8</v>
      </c>
      <c r="D2531" s="458">
        <v>2023</v>
      </c>
    </row>
    <row r="2532" spans="1:4" x14ac:dyDescent="0.35">
      <c r="A2532" s="457" t="s">
        <v>72</v>
      </c>
      <c r="B2532" s="458" t="s">
        <v>1679</v>
      </c>
      <c r="C2532" s="459">
        <v>4</v>
      </c>
      <c r="D2532" s="458">
        <v>2022</v>
      </c>
    </row>
    <row r="2533" spans="1:4" x14ac:dyDescent="0.35">
      <c r="A2533" s="457" t="s">
        <v>72</v>
      </c>
      <c r="B2533" s="458" t="s">
        <v>1679</v>
      </c>
      <c r="C2533" s="459">
        <v>8</v>
      </c>
      <c r="D2533" s="458">
        <v>2023</v>
      </c>
    </row>
    <row r="2534" spans="1:4" x14ac:dyDescent="0.35">
      <c r="A2534" s="457" t="s">
        <v>72</v>
      </c>
      <c r="B2534" s="458" t="s">
        <v>1680</v>
      </c>
      <c r="C2534" s="459">
        <v>12</v>
      </c>
      <c r="D2534" s="458">
        <v>2023</v>
      </c>
    </row>
    <row r="2535" spans="1:4" x14ac:dyDescent="0.35">
      <c r="A2535" s="457" t="s">
        <v>72</v>
      </c>
      <c r="B2535" s="458" t="s">
        <v>1681</v>
      </c>
      <c r="C2535" s="459">
        <v>12</v>
      </c>
      <c r="D2535" s="458">
        <v>2023</v>
      </c>
    </row>
    <row r="2536" spans="1:4" x14ac:dyDescent="0.35">
      <c r="A2536" s="457" t="s">
        <v>72</v>
      </c>
      <c r="B2536" s="458" t="s">
        <v>1681</v>
      </c>
      <c r="C2536" s="459">
        <v>13</v>
      </c>
      <c r="D2536" s="458">
        <v>2024</v>
      </c>
    </row>
    <row r="2537" spans="1:4" x14ac:dyDescent="0.35">
      <c r="A2537" s="457" t="s">
        <v>72</v>
      </c>
      <c r="B2537" s="458" t="s">
        <v>1682</v>
      </c>
      <c r="C2537" s="459">
        <v>11</v>
      </c>
      <c r="D2537" s="458">
        <v>2022</v>
      </c>
    </row>
    <row r="2538" spans="1:4" x14ac:dyDescent="0.35">
      <c r="A2538" s="457" t="s">
        <v>72</v>
      </c>
      <c r="B2538" s="458" t="s">
        <v>1682</v>
      </c>
      <c r="C2538" s="459">
        <v>8</v>
      </c>
      <c r="D2538" s="458">
        <v>2023</v>
      </c>
    </row>
    <row r="2539" spans="1:4" x14ac:dyDescent="0.35">
      <c r="A2539" s="457" t="s">
        <v>72</v>
      </c>
      <c r="B2539" s="458" t="s">
        <v>1683</v>
      </c>
      <c r="C2539" s="459">
        <v>14</v>
      </c>
      <c r="D2539" s="458">
        <v>2023</v>
      </c>
    </row>
    <row r="2540" spans="1:4" x14ac:dyDescent="0.35">
      <c r="A2540" s="457" t="s">
        <v>72</v>
      </c>
      <c r="B2540" s="458" t="s">
        <v>1684</v>
      </c>
      <c r="C2540" s="459">
        <v>8</v>
      </c>
      <c r="D2540" s="458">
        <v>2023</v>
      </c>
    </row>
    <row r="2541" spans="1:4" x14ac:dyDescent="0.35">
      <c r="A2541" s="457" t="s">
        <v>72</v>
      </c>
      <c r="B2541" s="458" t="s">
        <v>1688</v>
      </c>
      <c r="C2541" s="459">
        <v>6</v>
      </c>
      <c r="D2541" s="458">
        <v>2022</v>
      </c>
    </row>
    <row r="2542" spans="1:4" x14ac:dyDescent="0.35">
      <c r="A2542" s="457" t="s">
        <v>72</v>
      </c>
      <c r="B2542" s="458" t="s">
        <v>1688</v>
      </c>
      <c r="C2542" s="459">
        <v>8</v>
      </c>
      <c r="D2542" s="458">
        <v>2023</v>
      </c>
    </row>
    <row r="2543" spans="1:4" x14ac:dyDescent="0.35">
      <c r="A2543" s="457" t="s">
        <v>72</v>
      </c>
      <c r="B2543" s="458" t="s">
        <v>1686</v>
      </c>
      <c r="C2543" s="459">
        <v>12</v>
      </c>
      <c r="D2543" s="458">
        <v>2022</v>
      </c>
    </row>
    <row r="2544" spans="1:4" x14ac:dyDescent="0.35">
      <c r="A2544" s="457" t="s">
        <v>72</v>
      </c>
      <c r="B2544" s="458" t="s">
        <v>1686</v>
      </c>
      <c r="C2544" s="459">
        <v>8</v>
      </c>
      <c r="D2544" s="458">
        <v>2023</v>
      </c>
    </row>
    <row r="2545" spans="1:4" x14ac:dyDescent="0.35">
      <c r="A2545" s="457" t="s">
        <v>72</v>
      </c>
      <c r="B2545" s="458" t="s">
        <v>1687</v>
      </c>
      <c r="C2545" s="459">
        <v>11</v>
      </c>
      <c r="D2545" s="458">
        <v>2022</v>
      </c>
    </row>
    <row r="2546" spans="1:4" x14ac:dyDescent="0.35">
      <c r="A2546" s="457" t="s">
        <v>72</v>
      </c>
      <c r="B2546" s="458" t="s">
        <v>1687</v>
      </c>
      <c r="C2546" s="459">
        <v>8</v>
      </c>
      <c r="D2546" s="458">
        <v>2023</v>
      </c>
    </row>
    <row r="2547" spans="1:4" x14ac:dyDescent="0.35">
      <c r="A2547" s="457" t="s">
        <v>72</v>
      </c>
      <c r="B2547" s="458" t="s">
        <v>1685</v>
      </c>
      <c r="C2547" s="459">
        <v>8</v>
      </c>
      <c r="D2547" s="458">
        <v>2023</v>
      </c>
    </row>
    <row r="2548" spans="1:4" x14ac:dyDescent="0.35">
      <c r="A2548" s="457" t="s">
        <v>72</v>
      </c>
      <c r="B2548" s="458" t="s">
        <v>1677</v>
      </c>
      <c r="C2548" s="459">
        <v>6</v>
      </c>
      <c r="D2548" s="458">
        <v>2023</v>
      </c>
    </row>
    <row r="2549" spans="1:4" x14ac:dyDescent="0.35">
      <c r="A2549" s="457" t="s">
        <v>72</v>
      </c>
      <c r="B2549" s="458" t="s">
        <v>1678</v>
      </c>
      <c r="C2549" s="459">
        <v>5</v>
      </c>
      <c r="D2549" s="458">
        <v>2022</v>
      </c>
    </row>
    <row r="2550" spans="1:4" x14ac:dyDescent="0.35">
      <c r="A2550" s="457" t="s">
        <v>72</v>
      </c>
      <c r="B2550" s="458" t="s">
        <v>1678</v>
      </c>
      <c r="C2550" s="459">
        <v>6</v>
      </c>
      <c r="D2550" s="458">
        <v>2023</v>
      </c>
    </row>
    <row r="2551" spans="1:4" x14ac:dyDescent="0.35">
      <c r="A2551" s="457" t="s">
        <v>72</v>
      </c>
      <c r="B2551" s="458" t="s">
        <v>1679</v>
      </c>
      <c r="C2551" s="459">
        <v>6</v>
      </c>
      <c r="D2551" s="458">
        <v>2022</v>
      </c>
    </row>
    <row r="2552" spans="1:4" x14ac:dyDescent="0.35">
      <c r="A2552" s="457" t="s">
        <v>72</v>
      </c>
      <c r="B2552" s="458" t="s">
        <v>1679</v>
      </c>
      <c r="C2552" s="459">
        <v>6</v>
      </c>
      <c r="D2552" s="458">
        <v>2023</v>
      </c>
    </row>
    <row r="2553" spans="1:4" x14ac:dyDescent="0.35">
      <c r="A2553" s="457" t="s">
        <v>72</v>
      </c>
      <c r="B2553" s="458" t="s">
        <v>1680</v>
      </c>
      <c r="C2553" s="459">
        <v>6</v>
      </c>
      <c r="D2553" s="458">
        <v>2023</v>
      </c>
    </row>
    <row r="2554" spans="1:4" x14ac:dyDescent="0.35">
      <c r="A2554" s="457" t="s">
        <v>72</v>
      </c>
      <c r="B2554" s="458" t="s">
        <v>1681</v>
      </c>
      <c r="C2554" s="459">
        <v>6</v>
      </c>
      <c r="D2554" s="458">
        <v>2023</v>
      </c>
    </row>
    <row r="2555" spans="1:4" x14ac:dyDescent="0.35">
      <c r="A2555" s="457" t="s">
        <v>72</v>
      </c>
      <c r="B2555" s="458" t="s">
        <v>1681</v>
      </c>
      <c r="C2555" s="459">
        <v>6</v>
      </c>
      <c r="D2555" s="458">
        <v>2024</v>
      </c>
    </row>
    <row r="2556" spans="1:4" x14ac:dyDescent="0.35">
      <c r="A2556" s="457" t="s">
        <v>72</v>
      </c>
      <c r="B2556" s="458" t="s">
        <v>1682</v>
      </c>
      <c r="C2556" s="459">
        <v>5</v>
      </c>
      <c r="D2556" s="458">
        <v>2022</v>
      </c>
    </row>
    <row r="2557" spans="1:4" x14ac:dyDescent="0.35">
      <c r="A2557" s="457" t="s">
        <v>72</v>
      </c>
      <c r="B2557" s="458" t="s">
        <v>1682</v>
      </c>
      <c r="C2557" s="459">
        <v>10</v>
      </c>
      <c r="D2557" s="458">
        <v>2023</v>
      </c>
    </row>
    <row r="2558" spans="1:4" x14ac:dyDescent="0.35">
      <c r="A2558" s="457" t="s">
        <v>72</v>
      </c>
      <c r="B2558" s="458" t="s">
        <v>1684</v>
      </c>
      <c r="C2558" s="459">
        <v>6</v>
      </c>
      <c r="D2558" s="458">
        <v>2023</v>
      </c>
    </row>
    <row r="2559" spans="1:4" x14ac:dyDescent="0.35">
      <c r="A2559" s="457" t="s">
        <v>72</v>
      </c>
      <c r="B2559" s="458" t="s">
        <v>1685</v>
      </c>
      <c r="C2559" s="459">
        <v>12</v>
      </c>
      <c r="D2559" s="458">
        <v>2023</v>
      </c>
    </row>
    <row r="2560" spans="1:4" x14ac:dyDescent="0.35">
      <c r="A2560" s="457" t="s">
        <v>72</v>
      </c>
      <c r="B2560" s="458" t="s">
        <v>1688</v>
      </c>
      <c r="C2560" s="459">
        <v>5</v>
      </c>
      <c r="D2560" s="458">
        <v>2022</v>
      </c>
    </row>
    <row r="2561" spans="1:4" x14ac:dyDescent="0.35">
      <c r="A2561" s="457" t="s">
        <v>72</v>
      </c>
      <c r="B2561" s="458" t="s">
        <v>1688</v>
      </c>
      <c r="C2561" s="459">
        <v>6</v>
      </c>
      <c r="D2561" s="458">
        <v>2023</v>
      </c>
    </row>
    <row r="2562" spans="1:4" x14ac:dyDescent="0.35">
      <c r="A2562" s="457" t="s">
        <v>72</v>
      </c>
      <c r="B2562" s="458" t="s">
        <v>1686</v>
      </c>
      <c r="C2562" s="459">
        <v>5</v>
      </c>
      <c r="D2562" s="458">
        <v>2022</v>
      </c>
    </row>
    <row r="2563" spans="1:4" x14ac:dyDescent="0.35">
      <c r="A2563" s="457" t="s">
        <v>72</v>
      </c>
      <c r="B2563" s="458" t="s">
        <v>1686</v>
      </c>
      <c r="C2563" s="459">
        <v>6</v>
      </c>
      <c r="D2563" s="458">
        <v>2023</v>
      </c>
    </row>
    <row r="2564" spans="1:4" x14ac:dyDescent="0.35">
      <c r="A2564" s="457" t="s">
        <v>72</v>
      </c>
      <c r="B2564" s="458" t="s">
        <v>1687</v>
      </c>
      <c r="C2564" s="459">
        <v>5</v>
      </c>
      <c r="D2564" s="458">
        <v>2022</v>
      </c>
    </row>
    <row r="2565" spans="1:4" x14ac:dyDescent="0.35">
      <c r="A2565" s="457" t="s">
        <v>72</v>
      </c>
      <c r="B2565" s="458" t="s">
        <v>1687</v>
      </c>
      <c r="C2565" s="459">
        <v>6</v>
      </c>
      <c r="D2565" s="458">
        <v>2023</v>
      </c>
    </row>
    <row r="2566" spans="1:4" x14ac:dyDescent="0.35">
      <c r="A2566" s="457" t="s">
        <v>72</v>
      </c>
      <c r="B2566" s="458" t="s">
        <v>1679</v>
      </c>
      <c r="C2566" s="459">
        <v>8</v>
      </c>
      <c r="D2566" s="458">
        <v>2023</v>
      </c>
    </row>
    <row r="2567" spans="1:4" x14ac:dyDescent="0.35">
      <c r="A2567" s="457" t="s">
        <v>72</v>
      </c>
      <c r="B2567" s="458" t="s">
        <v>1681</v>
      </c>
      <c r="C2567" s="459">
        <v>16</v>
      </c>
      <c r="D2567" s="458">
        <v>2024</v>
      </c>
    </row>
    <row r="2568" spans="1:4" x14ac:dyDescent="0.35">
      <c r="A2568" s="457" t="s">
        <v>72</v>
      </c>
      <c r="B2568" s="458" t="s">
        <v>1688</v>
      </c>
      <c r="C2568" s="459">
        <v>3</v>
      </c>
      <c r="D2568" s="458">
        <v>2023</v>
      </c>
    </row>
    <row r="2569" spans="1:4" x14ac:dyDescent="0.35">
      <c r="A2569" s="457" t="s">
        <v>72</v>
      </c>
      <c r="B2569" s="458" t="s">
        <v>1681</v>
      </c>
      <c r="C2569" s="459">
        <v>14</v>
      </c>
      <c r="D2569" s="458">
        <v>2024</v>
      </c>
    </row>
    <row r="2570" spans="1:4" x14ac:dyDescent="0.35">
      <c r="A2570" s="457" t="s">
        <v>72</v>
      </c>
      <c r="B2570" s="458" t="s">
        <v>1687</v>
      </c>
      <c r="C2570" s="459">
        <v>5</v>
      </c>
      <c r="D2570" s="458">
        <v>2022</v>
      </c>
    </row>
    <row r="2571" spans="1:4" x14ac:dyDescent="0.35">
      <c r="A2571" s="457" t="s">
        <v>72</v>
      </c>
      <c r="B2571" s="458" t="s">
        <v>1677</v>
      </c>
      <c r="C2571" s="459">
        <v>14</v>
      </c>
      <c r="D2571" s="458">
        <v>2023</v>
      </c>
    </row>
    <row r="2572" spans="1:4" x14ac:dyDescent="0.35">
      <c r="A2572" s="457" t="s">
        <v>72</v>
      </c>
      <c r="B2572" s="458" t="s">
        <v>1678</v>
      </c>
      <c r="C2572" s="459">
        <v>14</v>
      </c>
      <c r="D2572" s="458">
        <v>2022</v>
      </c>
    </row>
    <row r="2573" spans="1:4" x14ac:dyDescent="0.35">
      <c r="A2573" s="457" t="s">
        <v>72</v>
      </c>
      <c r="B2573" s="458" t="s">
        <v>1678</v>
      </c>
      <c r="C2573" s="459">
        <v>14</v>
      </c>
      <c r="D2573" s="458">
        <v>2023</v>
      </c>
    </row>
    <row r="2574" spans="1:4" x14ac:dyDescent="0.35">
      <c r="A2574" s="457" t="s">
        <v>72</v>
      </c>
      <c r="B2574" s="458" t="s">
        <v>1679</v>
      </c>
      <c r="C2574" s="459">
        <v>14</v>
      </c>
      <c r="D2574" s="458">
        <v>2022</v>
      </c>
    </row>
    <row r="2575" spans="1:4" x14ac:dyDescent="0.35">
      <c r="A2575" s="457" t="s">
        <v>72</v>
      </c>
      <c r="B2575" s="458" t="s">
        <v>1679</v>
      </c>
      <c r="C2575" s="459">
        <v>14</v>
      </c>
      <c r="D2575" s="458">
        <v>2023</v>
      </c>
    </row>
    <row r="2576" spans="1:4" x14ac:dyDescent="0.35">
      <c r="A2576" s="457" t="s">
        <v>72</v>
      </c>
      <c r="B2576" s="458" t="s">
        <v>1680</v>
      </c>
      <c r="C2576" s="459">
        <v>14</v>
      </c>
      <c r="D2576" s="458">
        <v>2023</v>
      </c>
    </row>
    <row r="2577" spans="1:4" x14ac:dyDescent="0.35">
      <c r="A2577" s="457" t="s">
        <v>72</v>
      </c>
      <c r="B2577" s="458" t="s">
        <v>1681</v>
      </c>
      <c r="C2577" s="459">
        <v>28</v>
      </c>
      <c r="D2577" s="458">
        <v>2023</v>
      </c>
    </row>
    <row r="2578" spans="1:4" x14ac:dyDescent="0.35">
      <c r="A2578" s="457" t="s">
        <v>72</v>
      </c>
      <c r="B2578" s="458" t="s">
        <v>1681</v>
      </c>
      <c r="C2578" s="459">
        <v>14</v>
      </c>
      <c r="D2578" s="458">
        <v>2024</v>
      </c>
    </row>
    <row r="2579" spans="1:4" x14ac:dyDescent="0.35">
      <c r="A2579" s="457" t="s">
        <v>72</v>
      </c>
      <c r="B2579" s="458" t="s">
        <v>1682</v>
      </c>
      <c r="C2579" s="459">
        <v>14</v>
      </c>
      <c r="D2579" s="458">
        <v>2022</v>
      </c>
    </row>
    <row r="2580" spans="1:4" x14ac:dyDescent="0.35">
      <c r="A2580" s="457" t="s">
        <v>72</v>
      </c>
      <c r="B2580" s="458" t="s">
        <v>1682</v>
      </c>
      <c r="C2580" s="459">
        <v>14</v>
      </c>
      <c r="D2580" s="458">
        <v>2023</v>
      </c>
    </row>
    <row r="2581" spans="1:4" x14ac:dyDescent="0.35">
      <c r="A2581" s="457" t="s">
        <v>72</v>
      </c>
      <c r="B2581" s="458" t="s">
        <v>1683</v>
      </c>
      <c r="C2581" s="459">
        <v>14</v>
      </c>
      <c r="D2581" s="458">
        <v>2023</v>
      </c>
    </row>
    <row r="2582" spans="1:4" x14ac:dyDescent="0.35">
      <c r="A2582" s="457" t="s">
        <v>72</v>
      </c>
      <c r="B2582" s="458" t="s">
        <v>1684</v>
      </c>
      <c r="C2582" s="459">
        <v>14</v>
      </c>
      <c r="D2582" s="458">
        <v>2023</v>
      </c>
    </row>
    <row r="2583" spans="1:4" x14ac:dyDescent="0.35">
      <c r="A2583" s="457" t="s">
        <v>72</v>
      </c>
      <c r="B2583" s="458" t="s">
        <v>1685</v>
      </c>
      <c r="C2583" s="459">
        <v>14</v>
      </c>
      <c r="D2583" s="458">
        <v>2023</v>
      </c>
    </row>
    <row r="2584" spans="1:4" x14ac:dyDescent="0.35">
      <c r="A2584" s="457" t="s">
        <v>72</v>
      </c>
      <c r="B2584" s="458" t="s">
        <v>1688</v>
      </c>
      <c r="C2584" s="459">
        <v>14</v>
      </c>
      <c r="D2584" s="458">
        <v>2022</v>
      </c>
    </row>
    <row r="2585" spans="1:4" x14ac:dyDescent="0.35">
      <c r="A2585" s="457" t="s">
        <v>72</v>
      </c>
      <c r="B2585" s="458" t="s">
        <v>1688</v>
      </c>
      <c r="C2585" s="459">
        <v>14</v>
      </c>
      <c r="D2585" s="458">
        <v>2023</v>
      </c>
    </row>
    <row r="2586" spans="1:4" x14ac:dyDescent="0.35">
      <c r="A2586" s="457" t="s">
        <v>72</v>
      </c>
      <c r="B2586" s="458" t="s">
        <v>1686</v>
      </c>
      <c r="C2586" s="459">
        <v>14</v>
      </c>
      <c r="D2586" s="458">
        <v>2022</v>
      </c>
    </row>
    <row r="2587" spans="1:4" x14ac:dyDescent="0.35">
      <c r="A2587" s="457" t="s">
        <v>72</v>
      </c>
      <c r="B2587" s="458" t="s">
        <v>1686</v>
      </c>
      <c r="C2587" s="459">
        <v>14</v>
      </c>
      <c r="D2587" s="458">
        <v>2023</v>
      </c>
    </row>
    <row r="2588" spans="1:4" x14ac:dyDescent="0.35">
      <c r="A2588" s="457" t="s">
        <v>72</v>
      </c>
      <c r="B2588" s="458" t="s">
        <v>1687</v>
      </c>
      <c r="C2588" s="459">
        <v>14</v>
      </c>
      <c r="D2588" s="458">
        <v>2022</v>
      </c>
    </row>
    <row r="2589" spans="1:4" x14ac:dyDescent="0.35">
      <c r="A2589" s="457" t="s">
        <v>72</v>
      </c>
      <c r="B2589" s="458" t="s">
        <v>1687</v>
      </c>
      <c r="C2589" s="459">
        <v>14</v>
      </c>
      <c r="D2589" s="458">
        <v>2023</v>
      </c>
    </row>
    <row r="2590" spans="1:4" x14ac:dyDescent="0.35">
      <c r="A2590" s="457" t="s">
        <v>72</v>
      </c>
      <c r="B2590" s="458" t="s">
        <v>1679</v>
      </c>
      <c r="C2590" s="459">
        <v>3</v>
      </c>
      <c r="D2590" s="458">
        <v>2023</v>
      </c>
    </row>
    <row r="2591" spans="1:4" x14ac:dyDescent="0.35">
      <c r="A2591" s="457" t="s">
        <v>72</v>
      </c>
      <c r="B2591" s="458" t="s">
        <v>1681</v>
      </c>
      <c r="C2591" s="459">
        <v>7</v>
      </c>
      <c r="D2591" s="458">
        <v>2024</v>
      </c>
    </row>
    <row r="2592" spans="1:4" x14ac:dyDescent="0.35">
      <c r="A2592" s="457" t="s">
        <v>72</v>
      </c>
      <c r="B2592" s="458" t="s">
        <v>1682</v>
      </c>
      <c r="C2592" s="459">
        <v>3</v>
      </c>
      <c r="D2592" s="458">
        <v>2023</v>
      </c>
    </row>
    <row r="2593" spans="1:4" x14ac:dyDescent="0.35">
      <c r="A2593" s="457" t="s">
        <v>72</v>
      </c>
      <c r="B2593" s="458" t="s">
        <v>1684</v>
      </c>
      <c r="C2593" s="459">
        <v>4</v>
      </c>
      <c r="D2593" s="458">
        <v>2023</v>
      </c>
    </row>
    <row r="2594" spans="1:4" x14ac:dyDescent="0.35">
      <c r="A2594" s="457" t="s">
        <v>72</v>
      </c>
      <c r="B2594" s="458" t="s">
        <v>1688</v>
      </c>
      <c r="C2594" s="459">
        <v>2</v>
      </c>
      <c r="D2594" s="458">
        <v>2023</v>
      </c>
    </row>
    <row r="2595" spans="1:4" x14ac:dyDescent="0.35">
      <c r="A2595" s="457" t="s">
        <v>72</v>
      </c>
      <c r="B2595" s="458" t="s">
        <v>1687</v>
      </c>
      <c r="C2595" s="459">
        <v>0</v>
      </c>
      <c r="D2595" s="458">
        <v>2023</v>
      </c>
    </row>
    <row r="2596" spans="1:4" x14ac:dyDescent="0.35">
      <c r="A2596" s="457" t="s">
        <v>72</v>
      </c>
      <c r="B2596" s="458" t="s">
        <v>1677</v>
      </c>
      <c r="C2596" s="459">
        <v>3</v>
      </c>
      <c r="D2596" s="458">
        <v>2023</v>
      </c>
    </row>
    <row r="2597" spans="1:4" x14ac:dyDescent="0.35">
      <c r="A2597" s="457" t="s">
        <v>72</v>
      </c>
      <c r="B2597" s="458" t="s">
        <v>1678</v>
      </c>
      <c r="C2597" s="459">
        <v>8</v>
      </c>
      <c r="D2597" s="458">
        <v>2023</v>
      </c>
    </row>
    <row r="2598" spans="1:4" x14ac:dyDescent="0.35">
      <c r="A2598" s="457" t="s">
        <v>72</v>
      </c>
      <c r="B2598" s="458" t="s">
        <v>1679</v>
      </c>
      <c r="C2598" s="459">
        <v>2</v>
      </c>
      <c r="D2598" s="458">
        <v>2023</v>
      </c>
    </row>
    <row r="2599" spans="1:4" x14ac:dyDescent="0.35">
      <c r="A2599" s="457" t="s">
        <v>72</v>
      </c>
      <c r="B2599" s="458" t="s">
        <v>1680</v>
      </c>
      <c r="C2599" s="459">
        <v>5</v>
      </c>
      <c r="D2599" s="458">
        <v>2023</v>
      </c>
    </row>
    <row r="2600" spans="1:4" x14ac:dyDescent="0.35">
      <c r="A2600" s="457" t="s">
        <v>72</v>
      </c>
      <c r="B2600" s="458" t="s">
        <v>1681</v>
      </c>
      <c r="C2600" s="459">
        <v>5</v>
      </c>
      <c r="D2600" s="458">
        <v>2023</v>
      </c>
    </row>
    <row r="2601" spans="1:4" x14ac:dyDescent="0.35">
      <c r="A2601" s="457" t="s">
        <v>72</v>
      </c>
      <c r="B2601" s="458" t="s">
        <v>1681</v>
      </c>
      <c r="C2601" s="459">
        <v>6</v>
      </c>
      <c r="D2601" s="458">
        <v>2024</v>
      </c>
    </row>
    <row r="2602" spans="1:4" x14ac:dyDescent="0.35">
      <c r="A2602" s="457" t="s">
        <v>72</v>
      </c>
      <c r="B2602" s="458" t="s">
        <v>1683</v>
      </c>
      <c r="C2602" s="459">
        <v>4</v>
      </c>
      <c r="D2602" s="458">
        <v>2023</v>
      </c>
    </row>
    <row r="2603" spans="1:4" x14ac:dyDescent="0.35">
      <c r="A2603" s="457" t="s">
        <v>72</v>
      </c>
      <c r="B2603" s="458" t="s">
        <v>1684</v>
      </c>
      <c r="C2603" s="459">
        <v>3</v>
      </c>
      <c r="D2603" s="458">
        <v>2023</v>
      </c>
    </row>
    <row r="2604" spans="1:4" x14ac:dyDescent="0.35">
      <c r="A2604" s="457" t="s">
        <v>72</v>
      </c>
      <c r="B2604" s="458" t="s">
        <v>1685</v>
      </c>
      <c r="C2604" s="459">
        <v>4</v>
      </c>
      <c r="D2604" s="458">
        <v>2023</v>
      </c>
    </row>
    <row r="2605" spans="1:4" x14ac:dyDescent="0.35">
      <c r="A2605" s="457" t="s">
        <v>72</v>
      </c>
      <c r="B2605" s="458" t="s">
        <v>1686</v>
      </c>
      <c r="C2605" s="459">
        <v>3</v>
      </c>
      <c r="D2605" s="458">
        <v>2023</v>
      </c>
    </row>
    <row r="2606" spans="1:4" x14ac:dyDescent="0.35">
      <c r="A2606" s="457" t="s">
        <v>72</v>
      </c>
      <c r="B2606" s="458" t="s">
        <v>1686</v>
      </c>
      <c r="C2606" s="459">
        <v>2</v>
      </c>
      <c r="D2606" s="458">
        <v>2023</v>
      </c>
    </row>
    <row r="2607" spans="1:4" x14ac:dyDescent="0.35">
      <c r="A2607" s="457" t="s">
        <v>72</v>
      </c>
      <c r="B2607" s="458" t="s">
        <v>1677</v>
      </c>
      <c r="C2607" s="459">
        <v>8</v>
      </c>
      <c r="D2607" s="458">
        <v>2023</v>
      </c>
    </row>
    <row r="2608" spans="1:4" x14ac:dyDescent="0.35">
      <c r="A2608" s="457" t="s">
        <v>72</v>
      </c>
      <c r="B2608" s="458" t="s">
        <v>1678</v>
      </c>
      <c r="C2608" s="459">
        <v>1</v>
      </c>
      <c r="D2608" s="458">
        <v>2023</v>
      </c>
    </row>
    <row r="2609" spans="1:4" x14ac:dyDescent="0.35">
      <c r="A2609" s="457" t="s">
        <v>72</v>
      </c>
      <c r="B2609" s="458" t="s">
        <v>1678</v>
      </c>
      <c r="C2609" s="459">
        <v>7</v>
      </c>
      <c r="D2609" s="458">
        <v>2023</v>
      </c>
    </row>
    <row r="2610" spans="1:4" x14ac:dyDescent="0.35">
      <c r="A2610" s="457" t="s">
        <v>72</v>
      </c>
      <c r="B2610" s="458" t="s">
        <v>1679</v>
      </c>
      <c r="C2610" s="459">
        <v>8</v>
      </c>
      <c r="D2610" s="458">
        <v>2022</v>
      </c>
    </row>
    <row r="2611" spans="1:4" x14ac:dyDescent="0.35">
      <c r="A2611" s="457" t="s">
        <v>72</v>
      </c>
      <c r="B2611" s="458" t="s">
        <v>1679</v>
      </c>
      <c r="C2611" s="459">
        <v>10</v>
      </c>
      <c r="D2611" s="458">
        <v>2023</v>
      </c>
    </row>
    <row r="2612" spans="1:4" x14ac:dyDescent="0.35">
      <c r="A2612" s="457" t="s">
        <v>72</v>
      </c>
      <c r="B2612" s="458" t="s">
        <v>1680</v>
      </c>
      <c r="C2612" s="459">
        <v>2</v>
      </c>
      <c r="D2612" s="458">
        <v>2023</v>
      </c>
    </row>
    <row r="2613" spans="1:4" x14ac:dyDescent="0.35">
      <c r="A2613" s="457" t="s">
        <v>72</v>
      </c>
      <c r="B2613" s="458" t="s">
        <v>1680</v>
      </c>
      <c r="C2613" s="459">
        <v>20</v>
      </c>
      <c r="D2613" s="458">
        <v>2023</v>
      </c>
    </row>
    <row r="2614" spans="1:4" x14ac:dyDescent="0.35">
      <c r="A2614" s="457" t="s">
        <v>72</v>
      </c>
      <c r="B2614" s="458" t="s">
        <v>1681</v>
      </c>
      <c r="C2614" s="459">
        <v>2</v>
      </c>
      <c r="D2614" s="458">
        <v>2023</v>
      </c>
    </row>
    <row r="2615" spans="1:4" x14ac:dyDescent="0.35">
      <c r="A2615" s="457" t="s">
        <v>72</v>
      </c>
      <c r="B2615" s="458" t="s">
        <v>1681</v>
      </c>
      <c r="C2615" s="459">
        <v>6</v>
      </c>
      <c r="D2615" s="458">
        <v>2024</v>
      </c>
    </row>
    <row r="2616" spans="1:4" x14ac:dyDescent="0.35">
      <c r="A2616" s="457" t="s">
        <v>72</v>
      </c>
      <c r="B2616" s="458" t="s">
        <v>1681</v>
      </c>
      <c r="C2616" s="459">
        <v>2</v>
      </c>
      <c r="D2616" s="458">
        <v>2023</v>
      </c>
    </row>
    <row r="2617" spans="1:4" x14ac:dyDescent="0.35">
      <c r="A2617" s="457" t="s">
        <v>72</v>
      </c>
      <c r="B2617" s="458" t="s">
        <v>1681</v>
      </c>
      <c r="C2617" s="459">
        <v>11</v>
      </c>
      <c r="D2617" s="458">
        <v>2024</v>
      </c>
    </row>
    <row r="2618" spans="1:4" x14ac:dyDescent="0.35">
      <c r="A2618" s="457" t="s">
        <v>72</v>
      </c>
      <c r="B2618" s="458" t="s">
        <v>1682</v>
      </c>
      <c r="C2618" s="459">
        <v>3</v>
      </c>
      <c r="D2618" s="458">
        <v>2023</v>
      </c>
    </row>
    <row r="2619" spans="1:4" x14ac:dyDescent="0.35">
      <c r="A2619" s="457" t="s">
        <v>72</v>
      </c>
      <c r="B2619" s="458" t="s">
        <v>1682</v>
      </c>
      <c r="C2619" s="459">
        <v>16</v>
      </c>
      <c r="D2619" s="458">
        <v>2023</v>
      </c>
    </row>
    <row r="2620" spans="1:4" x14ac:dyDescent="0.35">
      <c r="A2620" s="457" t="s">
        <v>72</v>
      </c>
      <c r="B2620" s="458" t="s">
        <v>1683</v>
      </c>
      <c r="C2620" s="459">
        <v>4</v>
      </c>
      <c r="D2620" s="458">
        <v>2023</v>
      </c>
    </row>
    <row r="2621" spans="1:4" x14ac:dyDescent="0.35">
      <c r="A2621" s="457" t="s">
        <v>72</v>
      </c>
      <c r="B2621" s="458" t="s">
        <v>1683</v>
      </c>
      <c r="C2621" s="459">
        <v>6</v>
      </c>
      <c r="D2621" s="458">
        <v>2023</v>
      </c>
    </row>
    <row r="2622" spans="1:4" x14ac:dyDescent="0.35">
      <c r="A2622" s="457" t="s">
        <v>72</v>
      </c>
      <c r="B2622" s="458" t="s">
        <v>1684</v>
      </c>
      <c r="C2622" s="459">
        <v>2</v>
      </c>
      <c r="D2622" s="458">
        <v>2023</v>
      </c>
    </row>
    <row r="2623" spans="1:4" x14ac:dyDescent="0.35">
      <c r="A2623" s="457" t="s">
        <v>72</v>
      </c>
      <c r="B2623" s="458" t="s">
        <v>1684</v>
      </c>
      <c r="C2623" s="459">
        <v>14</v>
      </c>
      <c r="D2623" s="458">
        <v>2023</v>
      </c>
    </row>
    <row r="2624" spans="1:4" x14ac:dyDescent="0.35">
      <c r="A2624" s="457" t="s">
        <v>72</v>
      </c>
      <c r="B2624" s="458" t="s">
        <v>1685</v>
      </c>
      <c r="C2624" s="459">
        <v>5</v>
      </c>
      <c r="D2624" s="458">
        <v>2023</v>
      </c>
    </row>
    <row r="2625" spans="1:4" x14ac:dyDescent="0.35">
      <c r="A2625" s="457" t="s">
        <v>72</v>
      </c>
      <c r="B2625" s="458" t="s">
        <v>1685</v>
      </c>
      <c r="C2625" s="459">
        <v>10</v>
      </c>
      <c r="D2625" s="458">
        <v>2023</v>
      </c>
    </row>
    <row r="2626" spans="1:4" x14ac:dyDescent="0.35">
      <c r="A2626" s="457" t="s">
        <v>72</v>
      </c>
      <c r="B2626" s="458" t="s">
        <v>1688</v>
      </c>
      <c r="C2626" s="459">
        <v>5</v>
      </c>
      <c r="D2626" s="458">
        <v>2023</v>
      </c>
    </row>
    <row r="2627" spans="1:4" x14ac:dyDescent="0.35">
      <c r="A2627" s="457" t="s">
        <v>72</v>
      </c>
      <c r="B2627" s="458" t="s">
        <v>1688</v>
      </c>
      <c r="C2627" s="459">
        <v>1</v>
      </c>
      <c r="D2627" s="458">
        <v>2022</v>
      </c>
    </row>
    <row r="2628" spans="1:4" x14ac:dyDescent="0.35">
      <c r="A2628" s="457" t="s">
        <v>72</v>
      </c>
      <c r="B2628" s="458" t="s">
        <v>1688</v>
      </c>
      <c r="C2628" s="459">
        <v>8</v>
      </c>
      <c r="D2628" s="458">
        <v>2023</v>
      </c>
    </row>
    <row r="2629" spans="1:4" x14ac:dyDescent="0.35">
      <c r="A2629" s="457" t="s">
        <v>72</v>
      </c>
      <c r="B2629" s="458" t="s">
        <v>1686</v>
      </c>
      <c r="C2629" s="459">
        <v>4</v>
      </c>
      <c r="D2629" s="458">
        <v>2023</v>
      </c>
    </row>
    <row r="2630" spans="1:4" x14ac:dyDescent="0.35">
      <c r="A2630" s="457" t="s">
        <v>72</v>
      </c>
      <c r="B2630" s="458" t="s">
        <v>1686</v>
      </c>
      <c r="C2630" s="459">
        <v>1</v>
      </c>
      <c r="D2630" s="458">
        <v>2022</v>
      </c>
    </row>
    <row r="2631" spans="1:4" x14ac:dyDescent="0.35">
      <c r="A2631" s="457" t="s">
        <v>72</v>
      </c>
      <c r="B2631" s="458" t="s">
        <v>1686</v>
      </c>
      <c r="C2631" s="459">
        <v>11</v>
      </c>
      <c r="D2631" s="458">
        <v>2023</v>
      </c>
    </row>
    <row r="2632" spans="1:4" x14ac:dyDescent="0.35">
      <c r="A2632" s="457" t="s">
        <v>72</v>
      </c>
      <c r="B2632" s="458" t="s">
        <v>1687</v>
      </c>
      <c r="C2632" s="459">
        <v>1</v>
      </c>
      <c r="D2632" s="458">
        <v>2022</v>
      </c>
    </row>
    <row r="2633" spans="1:4" x14ac:dyDescent="0.35">
      <c r="A2633" s="457" t="s">
        <v>72</v>
      </c>
      <c r="B2633" s="458" t="s">
        <v>1687</v>
      </c>
      <c r="C2633" s="459">
        <v>2</v>
      </c>
      <c r="D2633" s="458">
        <v>2023</v>
      </c>
    </row>
    <row r="2634" spans="1:4" x14ac:dyDescent="0.35">
      <c r="A2634" s="457" t="s">
        <v>72</v>
      </c>
      <c r="B2634" s="458" t="s">
        <v>1687</v>
      </c>
      <c r="C2634" s="459">
        <v>10</v>
      </c>
      <c r="D2634" s="458">
        <v>2023</v>
      </c>
    </row>
    <row r="2635" spans="1:4" x14ac:dyDescent="0.35">
      <c r="A2635" s="457" t="s">
        <v>72</v>
      </c>
      <c r="B2635" s="458" t="s">
        <v>1677</v>
      </c>
      <c r="C2635" s="459">
        <v>20</v>
      </c>
      <c r="D2635" s="458">
        <v>2023</v>
      </c>
    </row>
    <row r="2636" spans="1:4" x14ac:dyDescent="0.35">
      <c r="A2636" s="457" t="s">
        <v>72</v>
      </c>
      <c r="B2636" s="458" t="s">
        <v>1678</v>
      </c>
      <c r="C2636" s="459">
        <v>28</v>
      </c>
      <c r="D2636" s="458">
        <v>2022</v>
      </c>
    </row>
    <row r="2637" spans="1:4" x14ac:dyDescent="0.35">
      <c r="A2637" s="457" t="s">
        <v>72</v>
      </c>
      <c r="B2637" s="458" t="s">
        <v>1678</v>
      </c>
      <c r="C2637" s="459">
        <v>20</v>
      </c>
      <c r="D2637" s="458">
        <v>2023</v>
      </c>
    </row>
    <row r="2638" spans="1:4" x14ac:dyDescent="0.35">
      <c r="A2638" s="457" t="s">
        <v>72</v>
      </c>
      <c r="B2638" s="458" t="s">
        <v>1679</v>
      </c>
      <c r="C2638" s="459">
        <v>16</v>
      </c>
      <c r="D2638" s="458">
        <v>2022</v>
      </c>
    </row>
    <row r="2639" spans="1:4" x14ac:dyDescent="0.35">
      <c r="A2639" s="457" t="s">
        <v>72</v>
      </c>
      <c r="B2639" s="458" t="s">
        <v>1679</v>
      </c>
      <c r="C2639" s="459">
        <v>20</v>
      </c>
      <c r="D2639" s="458">
        <v>2023</v>
      </c>
    </row>
    <row r="2640" spans="1:4" x14ac:dyDescent="0.35">
      <c r="A2640" s="457" t="s">
        <v>72</v>
      </c>
      <c r="B2640" s="458" t="s">
        <v>1680</v>
      </c>
      <c r="C2640" s="459">
        <v>20</v>
      </c>
      <c r="D2640" s="458">
        <v>2023</v>
      </c>
    </row>
    <row r="2641" spans="1:4" x14ac:dyDescent="0.35">
      <c r="A2641" s="457" t="s">
        <v>72</v>
      </c>
      <c r="B2641" s="458" t="s">
        <v>1681</v>
      </c>
      <c r="C2641" s="459">
        <v>20</v>
      </c>
      <c r="D2641" s="458">
        <v>2023</v>
      </c>
    </row>
    <row r="2642" spans="1:4" x14ac:dyDescent="0.35">
      <c r="A2642" s="457" t="s">
        <v>72</v>
      </c>
      <c r="B2642" s="458" t="s">
        <v>1681</v>
      </c>
      <c r="C2642" s="459">
        <v>30</v>
      </c>
      <c r="D2642" s="458">
        <v>2024</v>
      </c>
    </row>
    <row r="2643" spans="1:4" x14ac:dyDescent="0.35">
      <c r="A2643" s="457" t="s">
        <v>72</v>
      </c>
      <c r="B2643" s="458" t="s">
        <v>1682</v>
      </c>
      <c r="C2643" s="459">
        <v>12</v>
      </c>
      <c r="D2643" s="458">
        <v>2022</v>
      </c>
    </row>
    <row r="2644" spans="1:4" x14ac:dyDescent="0.35">
      <c r="A2644" s="457" t="s">
        <v>72</v>
      </c>
      <c r="B2644" s="458" t="s">
        <v>1682</v>
      </c>
      <c r="C2644" s="459">
        <v>28</v>
      </c>
      <c r="D2644" s="458">
        <v>2023</v>
      </c>
    </row>
    <row r="2645" spans="1:4" x14ac:dyDescent="0.35">
      <c r="A2645" s="457" t="s">
        <v>72</v>
      </c>
      <c r="B2645" s="458" t="s">
        <v>1683</v>
      </c>
      <c r="C2645" s="459">
        <v>40</v>
      </c>
      <c r="D2645" s="458">
        <v>2023</v>
      </c>
    </row>
    <row r="2646" spans="1:4" x14ac:dyDescent="0.35">
      <c r="A2646" s="457" t="s">
        <v>72</v>
      </c>
      <c r="B2646" s="458" t="s">
        <v>1684</v>
      </c>
      <c r="C2646" s="459">
        <v>24</v>
      </c>
      <c r="D2646" s="458">
        <v>2023</v>
      </c>
    </row>
    <row r="2647" spans="1:4" x14ac:dyDescent="0.35">
      <c r="A2647" s="457" t="s">
        <v>72</v>
      </c>
      <c r="B2647" s="458" t="s">
        <v>1685</v>
      </c>
      <c r="C2647" s="459">
        <v>32</v>
      </c>
      <c r="D2647" s="458">
        <v>2023</v>
      </c>
    </row>
    <row r="2648" spans="1:4" x14ac:dyDescent="0.35">
      <c r="A2648" s="457" t="s">
        <v>72</v>
      </c>
      <c r="B2648" s="458" t="s">
        <v>1688</v>
      </c>
      <c r="C2648" s="459">
        <v>33</v>
      </c>
      <c r="D2648" s="458">
        <v>2022</v>
      </c>
    </row>
    <row r="2649" spans="1:4" x14ac:dyDescent="0.35">
      <c r="A2649" s="457" t="s">
        <v>72</v>
      </c>
      <c r="B2649" s="458" t="s">
        <v>1688</v>
      </c>
      <c r="C2649" s="459">
        <v>28</v>
      </c>
      <c r="D2649" s="458">
        <v>2023</v>
      </c>
    </row>
    <row r="2650" spans="1:4" x14ac:dyDescent="0.35">
      <c r="A2650" s="457" t="s">
        <v>72</v>
      </c>
      <c r="B2650" s="458" t="s">
        <v>1686</v>
      </c>
      <c r="C2650" s="459">
        <v>13</v>
      </c>
      <c r="D2650" s="458">
        <v>2022</v>
      </c>
    </row>
    <row r="2651" spans="1:4" x14ac:dyDescent="0.35">
      <c r="A2651" s="457" t="s">
        <v>72</v>
      </c>
      <c r="B2651" s="458" t="s">
        <v>1686</v>
      </c>
      <c r="C2651" s="459">
        <v>28</v>
      </c>
      <c r="D2651" s="458">
        <v>2023</v>
      </c>
    </row>
    <row r="2652" spans="1:4" x14ac:dyDescent="0.35">
      <c r="A2652" s="457" t="s">
        <v>72</v>
      </c>
      <c r="B2652" s="458" t="s">
        <v>1687</v>
      </c>
      <c r="C2652" s="459">
        <v>12</v>
      </c>
      <c r="D2652" s="458">
        <v>2022</v>
      </c>
    </row>
    <row r="2653" spans="1:4" x14ac:dyDescent="0.35">
      <c r="A2653" s="457" t="s">
        <v>72</v>
      </c>
      <c r="B2653" s="458" t="s">
        <v>1687</v>
      </c>
      <c r="C2653" s="459">
        <v>20</v>
      </c>
      <c r="D2653" s="458">
        <v>2023</v>
      </c>
    </row>
    <row r="2654" spans="1:4" x14ac:dyDescent="0.35">
      <c r="A2654" s="457" t="s">
        <v>72</v>
      </c>
      <c r="B2654" s="458" t="s">
        <v>1677</v>
      </c>
      <c r="C2654" s="459">
        <v>2</v>
      </c>
      <c r="D2654" s="458">
        <v>2023</v>
      </c>
    </row>
    <row r="2655" spans="1:4" x14ac:dyDescent="0.35">
      <c r="A2655" s="457" t="s">
        <v>72</v>
      </c>
      <c r="B2655" s="458" t="s">
        <v>1678</v>
      </c>
      <c r="C2655" s="459">
        <v>2</v>
      </c>
      <c r="D2655" s="458">
        <v>2023</v>
      </c>
    </row>
    <row r="2656" spans="1:4" x14ac:dyDescent="0.35">
      <c r="A2656" s="457" t="s">
        <v>72</v>
      </c>
      <c r="B2656" s="458" t="s">
        <v>1679</v>
      </c>
      <c r="C2656" s="459">
        <v>2</v>
      </c>
      <c r="D2656" s="458">
        <v>2023</v>
      </c>
    </row>
    <row r="2657" spans="1:4" x14ac:dyDescent="0.35">
      <c r="A2657" s="457" t="s">
        <v>72</v>
      </c>
      <c r="B2657" s="458" t="s">
        <v>1680</v>
      </c>
      <c r="C2657" s="459">
        <v>2</v>
      </c>
      <c r="D2657" s="458">
        <v>2023</v>
      </c>
    </row>
    <row r="2658" spans="1:4" x14ac:dyDescent="0.35">
      <c r="A2658" s="457" t="s">
        <v>72</v>
      </c>
      <c r="B2658" s="458" t="s">
        <v>1681</v>
      </c>
      <c r="C2658" s="459">
        <v>3</v>
      </c>
      <c r="D2658" s="458">
        <v>2023</v>
      </c>
    </row>
    <row r="2659" spans="1:4" x14ac:dyDescent="0.35">
      <c r="A2659" s="457" t="s">
        <v>72</v>
      </c>
      <c r="B2659" s="458" t="s">
        <v>1681</v>
      </c>
      <c r="C2659" s="459">
        <v>4</v>
      </c>
      <c r="D2659" s="458">
        <v>2024</v>
      </c>
    </row>
    <row r="2660" spans="1:4" x14ac:dyDescent="0.35">
      <c r="A2660" s="457" t="s">
        <v>72</v>
      </c>
      <c r="B2660" s="458" t="s">
        <v>1682</v>
      </c>
      <c r="C2660" s="459">
        <v>2</v>
      </c>
      <c r="D2660" s="458">
        <v>2023</v>
      </c>
    </row>
    <row r="2661" spans="1:4" x14ac:dyDescent="0.35">
      <c r="A2661" s="457" t="s">
        <v>72</v>
      </c>
      <c r="B2661" s="458" t="s">
        <v>1683</v>
      </c>
      <c r="C2661" s="459">
        <v>2</v>
      </c>
      <c r="D2661" s="458">
        <v>2023</v>
      </c>
    </row>
    <row r="2662" spans="1:4" x14ac:dyDescent="0.35">
      <c r="A2662" s="457" t="s">
        <v>72</v>
      </c>
      <c r="B2662" s="458" t="s">
        <v>1684</v>
      </c>
      <c r="C2662" s="459">
        <v>2</v>
      </c>
      <c r="D2662" s="458">
        <v>2023</v>
      </c>
    </row>
    <row r="2663" spans="1:4" x14ac:dyDescent="0.35">
      <c r="A2663" s="457" t="s">
        <v>72</v>
      </c>
      <c r="B2663" s="458" t="s">
        <v>1685</v>
      </c>
      <c r="C2663" s="459">
        <v>2</v>
      </c>
      <c r="D2663" s="458">
        <v>2023</v>
      </c>
    </row>
    <row r="2664" spans="1:4" x14ac:dyDescent="0.35">
      <c r="A2664" s="457" t="s">
        <v>72</v>
      </c>
      <c r="B2664" s="458" t="s">
        <v>1688</v>
      </c>
      <c r="C2664" s="459">
        <v>2</v>
      </c>
      <c r="D2664" s="458">
        <v>2023</v>
      </c>
    </row>
    <row r="2665" spans="1:4" x14ac:dyDescent="0.35">
      <c r="A2665" s="457" t="s">
        <v>72</v>
      </c>
      <c r="B2665" s="458" t="s">
        <v>1686</v>
      </c>
      <c r="C2665" s="459">
        <v>2</v>
      </c>
      <c r="D2665" s="458">
        <v>2023</v>
      </c>
    </row>
    <row r="2666" spans="1:4" x14ac:dyDescent="0.35">
      <c r="A2666" s="457" t="s">
        <v>72</v>
      </c>
      <c r="B2666" s="458" t="s">
        <v>1687</v>
      </c>
      <c r="C2666" s="459">
        <v>2</v>
      </c>
      <c r="D2666" s="458">
        <v>2023</v>
      </c>
    </row>
    <row r="2667" spans="1:4" x14ac:dyDescent="0.35">
      <c r="A2667" s="457" t="s">
        <v>72</v>
      </c>
      <c r="B2667" s="458" t="s">
        <v>1678</v>
      </c>
      <c r="C2667" s="459">
        <v>1</v>
      </c>
      <c r="D2667" s="458">
        <v>2023</v>
      </c>
    </row>
    <row r="2668" spans="1:4" x14ac:dyDescent="0.35">
      <c r="A2668" s="457" t="s">
        <v>72</v>
      </c>
      <c r="B2668" s="458" t="s">
        <v>1678</v>
      </c>
      <c r="C2668" s="459">
        <v>1</v>
      </c>
      <c r="D2668" s="458">
        <v>2022</v>
      </c>
    </row>
    <row r="2669" spans="1:4" x14ac:dyDescent="0.35">
      <c r="A2669" s="457" t="s">
        <v>72</v>
      </c>
      <c r="B2669" s="458" t="s">
        <v>1679</v>
      </c>
      <c r="C2669" s="459">
        <v>1</v>
      </c>
      <c r="D2669" s="458">
        <v>2022</v>
      </c>
    </row>
    <row r="2670" spans="1:4" x14ac:dyDescent="0.35">
      <c r="A2670" s="457" t="s">
        <v>72</v>
      </c>
      <c r="B2670" s="458" t="s">
        <v>1681</v>
      </c>
      <c r="C2670" s="459">
        <v>2</v>
      </c>
      <c r="D2670" s="458">
        <v>2023</v>
      </c>
    </row>
    <row r="2671" spans="1:4" x14ac:dyDescent="0.35">
      <c r="A2671" s="457" t="s">
        <v>72</v>
      </c>
      <c r="B2671" s="458" t="s">
        <v>1681</v>
      </c>
      <c r="C2671" s="459">
        <v>1</v>
      </c>
      <c r="D2671" s="458">
        <v>2024</v>
      </c>
    </row>
    <row r="2672" spans="1:4" x14ac:dyDescent="0.35">
      <c r="A2672" s="457" t="s">
        <v>72</v>
      </c>
      <c r="B2672" s="458" t="s">
        <v>1682</v>
      </c>
      <c r="C2672" s="459">
        <v>1</v>
      </c>
      <c r="D2672" s="458">
        <v>2023</v>
      </c>
    </row>
    <row r="2673" spans="1:4" x14ac:dyDescent="0.35">
      <c r="A2673" s="457" t="s">
        <v>72</v>
      </c>
      <c r="B2673" s="458" t="s">
        <v>1683</v>
      </c>
      <c r="C2673" s="459">
        <v>1</v>
      </c>
      <c r="D2673" s="458">
        <v>2023</v>
      </c>
    </row>
    <row r="2674" spans="1:4" x14ac:dyDescent="0.35">
      <c r="A2674" s="457" t="s">
        <v>72</v>
      </c>
      <c r="B2674" s="458" t="s">
        <v>1684</v>
      </c>
      <c r="C2674" s="459">
        <v>2</v>
      </c>
      <c r="D2674" s="458">
        <v>2023</v>
      </c>
    </row>
    <row r="2675" spans="1:4" x14ac:dyDescent="0.35">
      <c r="A2675" s="457" t="s">
        <v>72</v>
      </c>
      <c r="B2675" s="458" t="s">
        <v>1688</v>
      </c>
      <c r="C2675" s="459">
        <v>1</v>
      </c>
      <c r="D2675" s="458">
        <v>2022</v>
      </c>
    </row>
    <row r="2676" spans="1:4" x14ac:dyDescent="0.35">
      <c r="A2676" s="457" t="s">
        <v>72</v>
      </c>
      <c r="B2676" s="458" t="s">
        <v>1688</v>
      </c>
      <c r="C2676" s="459">
        <v>1</v>
      </c>
      <c r="D2676" s="458">
        <v>2023</v>
      </c>
    </row>
    <row r="2677" spans="1:4" x14ac:dyDescent="0.35">
      <c r="A2677" s="457" t="s">
        <v>72</v>
      </c>
      <c r="B2677" s="458" t="s">
        <v>1686</v>
      </c>
      <c r="C2677" s="459">
        <v>2</v>
      </c>
      <c r="D2677" s="458">
        <v>2022</v>
      </c>
    </row>
    <row r="2678" spans="1:4" x14ac:dyDescent="0.35">
      <c r="A2678" s="457" t="s">
        <v>72</v>
      </c>
      <c r="B2678" s="458" t="s">
        <v>1686</v>
      </c>
      <c r="C2678" s="459">
        <v>2</v>
      </c>
      <c r="D2678" s="458">
        <v>2023</v>
      </c>
    </row>
    <row r="2679" spans="1:4" x14ac:dyDescent="0.35">
      <c r="A2679" s="457" t="s">
        <v>72</v>
      </c>
      <c r="B2679" s="458" t="s">
        <v>1686</v>
      </c>
      <c r="C2679" s="459">
        <v>2</v>
      </c>
      <c r="D2679" s="458">
        <v>2023</v>
      </c>
    </row>
    <row r="2680" spans="1:4" x14ac:dyDescent="0.35">
      <c r="A2680" s="457" t="s">
        <v>72</v>
      </c>
      <c r="B2680" s="458" t="s">
        <v>1687</v>
      </c>
      <c r="C2680" s="459">
        <v>3</v>
      </c>
      <c r="D2680" s="458">
        <v>2022</v>
      </c>
    </row>
    <row r="2681" spans="1:4" x14ac:dyDescent="0.35">
      <c r="A2681" s="457" t="s">
        <v>72</v>
      </c>
      <c r="B2681" s="458" t="s">
        <v>1687</v>
      </c>
      <c r="C2681" s="459">
        <v>2</v>
      </c>
      <c r="D2681" s="458">
        <v>2023</v>
      </c>
    </row>
    <row r="2682" spans="1:4" x14ac:dyDescent="0.35">
      <c r="A2682" s="457" t="s">
        <v>72</v>
      </c>
      <c r="B2682" s="458" t="s">
        <v>1677</v>
      </c>
      <c r="C2682" s="459">
        <v>4</v>
      </c>
      <c r="D2682" s="458">
        <v>2023</v>
      </c>
    </row>
    <row r="2683" spans="1:4" x14ac:dyDescent="0.35">
      <c r="A2683" s="457" t="s">
        <v>72</v>
      </c>
      <c r="B2683" s="458" t="s">
        <v>1678</v>
      </c>
      <c r="C2683" s="459">
        <v>7</v>
      </c>
      <c r="D2683" s="458">
        <v>2023</v>
      </c>
    </row>
    <row r="2684" spans="1:4" x14ac:dyDescent="0.35">
      <c r="A2684" s="457" t="s">
        <v>72</v>
      </c>
      <c r="B2684" s="458" t="s">
        <v>1678</v>
      </c>
      <c r="C2684" s="459">
        <v>3</v>
      </c>
      <c r="D2684" s="458">
        <v>2022</v>
      </c>
    </row>
    <row r="2685" spans="1:4" x14ac:dyDescent="0.35">
      <c r="A2685" s="457" t="s">
        <v>72</v>
      </c>
      <c r="B2685" s="458" t="s">
        <v>1679</v>
      </c>
      <c r="C2685" s="459">
        <v>4</v>
      </c>
      <c r="D2685" s="458">
        <v>2023</v>
      </c>
    </row>
    <row r="2686" spans="1:4" x14ac:dyDescent="0.35">
      <c r="A2686" s="457" t="s">
        <v>72</v>
      </c>
      <c r="B2686" s="458" t="s">
        <v>1679</v>
      </c>
      <c r="C2686" s="459">
        <v>3</v>
      </c>
      <c r="D2686" s="458">
        <v>2022</v>
      </c>
    </row>
    <row r="2687" spans="1:4" x14ac:dyDescent="0.35">
      <c r="A2687" s="457" t="s">
        <v>72</v>
      </c>
      <c r="B2687" s="458" t="s">
        <v>1680</v>
      </c>
      <c r="C2687" s="459">
        <v>4</v>
      </c>
      <c r="D2687" s="458">
        <v>2023</v>
      </c>
    </row>
    <row r="2688" spans="1:4" x14ac:dyDescent="0.35">
      <c r="A2688" s="457" t="s">
        <v>72</v>
      </c>
      <c r="B2688" s="458" t="s">
        <v>1681</v>
      </c>
      <c r="C2688" s="459">
        <v>8</v>
      </c>
      <c r="D2688" s="458">
        <v>2024</v>
      </c>
    </row>
    <row r="2689" spans="1:4" x14ac:dyDescent="0.35">
      <c r="A2689" s="457" t="s">
        <v>72</v>
      </c>
      <c r="B2689" s="458" t="s">
        <v>1681</v>
      </c>
      <c r="C2689" s="459">
        <v>4</v>
      </c>
      <c r="D2689" s="458">
        <v>2023</v>
      </c>
    </row>
    <row r="2690" spans="1:4" x14ac:dyDescent="0.35">
      <c r="A2690" s="457" t="s">
        <v>72</v>
      </c>
      <c r="B2690" s="458" t="s">
        <v>1681</v>
      </c>
      <c r="C2690" s="459">
        <v>7</v>
      </c>
      <c r="D2690" s="458">
        <v>2023</v>
      </c>
    </row>
    <row r="2691" spans="1:4" x14ac:dyDescent="0.35">
      <c r="A2691" s="457" t="s">
        <v>72</v>
      </c>
      <c r="B2691" s="458" t="s">
        <v>1682</v>
      </c>
      <c r="C2691" s="459">
        <v>4</v>
      </c>
      <c r="D2691" s="458">
        <v>2023</v>
      </c>
    </row>
    <row r="2692" spans="1:4" x14ac:dyDescent="0.35">
      <c r="A2692" s="457" t="s">
        <v>72</v>
      </c>
      <c r="B2692" s="458" t="s">
        <v>1682</v>
      </c>
      <c r="C2692" s="459">
        <v>3</v>
      </c>
      <c r="D2692" s="458">
        <v>2022</v>
      </c>
    </row>
    <row r="2693" spans="1:4" x14ac:dyDescent="0.35">
      <c r="A2693" s="457" t="s">
        <v>72</v>
      </c>
      <c r="B2693" s="458" t="s">
        <v>1683</v>
      </c>
      <c r="C2693" s="459">
        <v>3</v>
      </c>
      <c r="D2693" s="458">
        <v>2023</v>
      </c>
    </row>
    <row r="2694" spans="1:4" x14ac:dyDescent="0.35">
      <c r="A2694" s="457" t="s">
        <v>72</v>
      </c>
      <c r="B2694" s="458" t="s">
        <v>1684</v>
      </c>
      <c r="C2694" s="459">
        <v>4</v>
      </c>
      <c r="D2694" s="458">
        <v>2023</v>
      </c>
    </row>
    <row r="2695" spans="1:4" x14ac:dyDescent="0.35">
      <c r="A2695" s="457" t="s">
        <v>72</v>
      </c>
      <c r="B2695" s="458" t="s">
        <v>1685</v>
      </c>
      <c r="C2695" s="459">
        <v>3</v>
      </c>
      <c r="D2695" s="458">
        <v>2023</v>
      </c>
    </row>
    <row r="2696" spans="1:4" x14ac:dyDescent="0.35">
      <c r="A2696" s="457" t="s">
        <v>72</v>
      </c>
      <c r="B2696" s="458" t="s">
        <v>1688</v>
      </c>
      <c r="C2696" s="459">
        <v>4</v>
      </c>
      <c r="D2696" s="458">
        <v>2023</v>
      </c>
    </row>
    <row r="2697" spans="1:4" x14ac:dyDescent="0.35">
      <c r="A2697" s="457" t="s">
        <v>72</v>
      </c>
      <c r="B2697" s="458" t="s">
        <v>1688</v>
      </c>
      <c r="C2697" s="459">
        <v>3</v>
      </c>
      <c r="D2697" s="458">
        <v>2022</v>
      </c>
    </row>
    <row r="2698" spans="1:4" x14ac:dyDescent="0.35">
      <c r="A2698" s="457" t="s">
        <v>72</v>
      </c>
      <c r="B2698" s="458" t="s">
        <v>1686</v>
      </c>
      <c r="C2698" s="459">
        <v>3</v>
      </c>
      <c r="D2698" s="458">
        <v>2023</v>
      </c>
    </row>
    <row r="2699" spans="1:4" x14ac:dyDescent="0.35">
      <c r="A2699" s="457" t="s">
        <v>72</v>
      </c>
      <c r="B2699" s="458" t="s">
        <v>1686</v>
      </c>
      <c r="C2699" s="459">
        <v>3</v>
      </c>
      <c r="D2699" s="458">
        <v>2022</v>
      </c>
    </row>
    <row r="2700" spans="1:4" x14ac:dyDescent="0.35">
      <c r="A2700" s="457" t="s">
        <v>72</v>
      </c>
      <c r="B2700" s="458" t="s">
        <v>1687</v>
      </c>
      <c r="C2700" s="459">
        <v>3</v>
      </c>
      <c r="D2700" s="458">
        <v>2023</v>
      </c>
    </row>
    <row r="2701" spans="1:4" x14ac:dyDescent="0.35">
      <c r="A2701" s="457" t="s">
        <v>72</v>
      </c>
      <c r="B2701" s="458" t="s">
        <v>1687</v>
      </c>
      <c r="C2701" s="459">
        <v>3</v>
      </c>
      <c r="D2701" s="458">
        <v>2022</v>
      </c>
    </row>
    <row r="2702" spans="1:4" x14ac:dyDescent="0.35">
      <c r="A2702" s="457" t="s">
        <v>72</v>
      </c>
      <c r="B2702" s="458" t="s">
        <v>1677</v>
      </c>
      <c r="C2702" s="459">
        <v>3</v>
      </c>
      <c r="D2702" s="458">
        <v>2023</v>
      </c>
    </row>
    <row r="2703" spans="1:4" x14ac:dyDescent="0.35">
      <c r="A2703" s="457" t="s">
        <v>72</v>
      </c>
      <c r="B2703" s="458" t="s">
        <v>1678</v>
      </c>
      <c r="C2703" s="459">
        <v>3</v>
      </c>
      <c r="D2703" s="458">
        <v>2022</v>
      </c>
    </row>
    <row r="2704" spans="1:4" x14ac:dyDescent="0.35">
      <c r="A2704" s="457" t="s">
        <v>72</v>
      </c>
      <c r="B2704" s="458" t="s">
        <v>1678</v>
      </c>
      <c r="C2704" s="459">
        <v>3</v>
      </c>
      <c r="D2704" s="458">
        <v>2023</v>
      </c>
    </row>
    <row r="2705" spans="1:4" x14ac:dyDescent="0.35">
      <c r="A2705" s="457" t="s">
        <v>72</v>
      </c>
      <c r="B2705" s="458" t="s">
        <v>1679</v>
      </c>
      <c r="C2705" s="459">
        <v>3</v>
      </c>
      <c r="D2705" s="458">
        <v>2022</v>
      </c>
    </row>
    <row r="2706" spans="1:4" x14ac:dyDescent="0.35">
      <c r="A2706" s="457" t="s">
        <v>72</v>
      </c>
      <c r="B2706" s="458" t="s">
        <v>1679</v>
      </c>
      <c r="C2706" s="459">
        <v>3</v>
      </c>
      <c r="D2706" s="458">
        <v>2023</v>
      </c>
    </row>
    <row r="2707" spans="1:4" x14ac:dyDescent="0.35">
      <c r="A2707" s="457" t="s">
        <v>72</v>
      </c>
      <c r="B2707" s="458" t="s">
        <v>1680</v>
      </c>
      <c r="C2707" s="459">
        <v>3</v>
      </c>
      <c r="D2707" s="458">
        <v>2023</v>
      </c>
    </row>
    <row r="2708" spans="1:4" x14ac:dyDescent="0.35">
      <c r="A2708" s="457" t="s">
        <v>72</v>
      </c>
      <c r="B2708" s="458" t="s">
        <v>1681</v>
      </c>
      <c r="C2708" s="459">
        <v>6</v>
      </c>
      <c r="D2708" s="458">
        <v>2023</v>
      </c>
    </row>
    <row r="2709" spans="1:4" x14ac:dyDescent="0.35">
      <c r="A2709" s="457" t="s">
        <v>72</v>
      </c>
      <c r="B2709" s="458" t="s">
        <v>1681</v>
      </c>
      <c r="C2709" s="459">
        <v>3</v>
      </c>
      <c r="D2709" s="458">
        <v>2024</v>
      </c>
    </row>
    <row r="2710" spans="1:4" x14ac:dyDescent="0.35">
      <c r="A2710" s="457" t="s">
        <v>72</v>
      </c>
      <c r="B2710" s="458" t="s">
        <v>1682</v>
      </c>
      <c r="C2710" s="459">
        <v>3</v>
      </c>
      <c r="D2710" s="458">
        <v>2022</v>
      </c>
    </row>
    <row r="2711" spans="1:4" x14ac:dyDescent="0.35">
      <c r="A2711" s="457" t="s">
        <v>72</v>
      </c>
      <c r="B2711" s="458" t="s">
        <v>1682</v>
      </c>
      <c r="C2711" s="459">
        <v>3</v>
      </c>
      <c r="D2711" s="458">
        <v>2023</v>
      </c>
    </row>
    <row r="2712" spans="1:4" x14ac:dyDescent="0.35">
      <c r="A2712" s="457" t="s">
        <v>72</v>
      </c>
      <c r="B2712" s="458" t="s">
        <v>1683</v>
      </c>
      <c r="C2712" s="459">
        <v>3</v>
      </c>
      <c r="D2712" s="458">
        <v>2023</v>
      </c>
    </row>
    <row r="2713" spans="1:4" x14ac:dyDescent="0.35">
      <c r="A2713" s="457" t="s">
        <v>72</v>
      </c>
      <c r="B2713" s="458" t="s">
        <v>1684</v>
      </c>
      <c r="C2713" s="459">
        <v>3</v>
      </c>
      <c r="D2713" s="458">
        <v>2023</v>
      </c>
    </row>
    <row r="2714" spans="1:4" x14ac:dyDescent="0.35">
      <c r="A2714" s="457" t="s">
        <v>72</v>
      </c>
      <c r="B2714" s="458" t="s">
        <v>1685</v>
      </c>
      <c r="C2714" s="459">
        <v>3</v>
      </c>
      <c r="D2714" s="458">
        <v>2023</v>
      </c>
    </row>
    <row r="2715" spans="1:4" x14ac:dyDescent="0.35">
      <c r="A2715" s="457" t="s">
        <v>72</v>
      </c>
      <c r="B2715" s="458" t="s">
        <v>1688</v>
      </c>
      <c r="C2715" s="459">
        <v>3</v>
      </c>
      <c r="D2715" s="458">
        <v>2022</v>
      </c>
    </row>
    <row r="2716" spans="1:4" x14ac:dyDescent="0.35">
      <c r="A2716" s="457" t="s">
        <v>72</v>
      </c>
      <c r="B2716" s="458" t="s">
        <v>1688</v>
      </c>
      <c r="C2716" s="459">
        <v>3</v>
      </c>
      <c r="D2716" s="458">
        <v>2023</v>
      </c>
    </row>
    <row r="2717" spans="1:4" x14ac:dyDescent="0.35">
      <c r="A2717" s="457" t="s">
        <v>72</v>
      </c>
      <c r="B2717" s="458" t="s">
        <v>1686</v>
      </c>
      <c r="C2717" s="459">
        <v>3</v>
      </c>
      <c r="D2717" s="458">
        <v>2022</v>
      </c>
    </row>
    <row r="2718" spans="1:4" x14ac:dyDescent="0.35">
      <c r="A2718" s="457" t="s">
        <v>72</v>
      </c>
      <c r="B2718" s="458" t="s">
        <v>1686</v>
      </c>
      <c r="C2718" s="459">
        <v>3</v>
      </c>
      <c r="D2718" s="458">
        <v>2023</v>
      </c>
    </row>
    <row r="2719" spans="1:4" x14ac:dyDescent="0.35">
      <c r="A2719" s="457" t="s">
        <v>72</v>
      </c>
      <c r="B2719" s="458" t="s">
        <v>1687</v>
      </c>
      <c r="C2719" s="459">
        <v>3</v>
      </c>
      <c r="D2719" s="458">
        <v>2022</v>
      </c>
    </row>
    <row r="2720" spans="1:4" x14ac:dyDescent="0.35">
      <c r="A2720" s="457" t="s">
        <v>72</v>
      </c>
      <c r="B2720" s="458" t="s">
        <v>1687</v>
      </c>
      <c r="C2720" s="459">
        <v>3</v>
      </c>
      <c r="D2720" s="458">
        <v>2023</v>
      </c>
    </row>
    <row r="2721" spans="1:4" x14ac:dyDescent="0.35">
      <c r="A2721" s="457" t="s">
        <v>72</v>
      </c>
      <c r="B2721" s="458" t="s">
        <v>1678</v>
      </c>
      <c r="C2721" s="459">
        <v>2</v>
      </c>
      <c r="D2721" s="458">
        <v>2023</v>
      </c>
    </row>
    <row r="2722" spans="1:4" x14ac:dyDescent="0.35">
      <c r="A2722" s="457" t="s">
        <v>72</v>
      </c>
      <c r="B2722" s="458" t="s">
        <v>1682</v>
      </c>
      <c r="C2722" s="459">
        <v>1</v>
      </c>
      <c r="D2722" s="458">
        <v>2022</v>
      </c>
    </row>
    <row r="2723" spans="1:4" x14ac:dyDescent="0.35">
      <c r="A2723" s="457" t="s">
        <v>72</v>
      </c>
      <c r="B2723" s="458" t="s">
        <v>1683</v>
      </c>
      <c r="C2723" s="459">
        <v>2</v>
      </c>
      <c r="D2723" s="458">
        <v>2023</v>
      </c>
    </row>
    <row r="2724" spans="1:4" x14ac:dyDescent="0.35">
      <c r="A2724" s="457" t="s">
        <v>72</v>
      </c>
      <c r="B2724" s="458" t="s">
        <v>1685</v>
      </c>
      <c r="C2724" s="459">
        <v>2</v>
      </c>
      <c r="D2724" s="458">
        <v>2023</v>
      </c>
    </row>
    <row r="2725" spans="1:4" x14ac:dyDescent="0.35">
      <c r="A2725" s="457" t="s">
        <v>72</v>
      </c>
      <c r="B2725" s="458" t="s">
        <v>1686</v>
      </c>
      <c r="C2725" s="459">
        <v>1</v>
      </c>
      <c r="D2725" s="458">
        <v>2022</v>
      </c>
    </row>
    <row r="2726" spans="1:4" x14ac:dyDescent="0.35">
      <c r="A2726" s="457" t="s">
        <v>72</v>
      </c>
      <c r="B2726" s="458" t="s">
        <v>1686</v>
      </c>
      <c r="C2726" s="459">
        <v>1</v>
      </c>
      <c r="D2726" s="458">
        <v>2023</v>
      </c>
    </row>
    <row r="2727" spans="1:4" x14ac:dyDescent="0.35">
      <c r="A2727" s="457" t="s">
        <v>72</v>
      </c>
      <c r="B2727" s="458" t="s">
        <v>1687</v>
      </c>
      <c r="C2727" s="459">
        <v>1</v>
      </c>
      <c r="D2727" s="458">
        <v>2022</v>
      </c>
    </row>
    <row r="2728" spans="1:4" x14ac:dyDescent="0.35">
      <c r="A2728" s="457" t="s">
        <v>72</v>
      </c>
      <c r="B2728" s="458" t="s">
        <v>1687</v>
      </c>
      <c r="C2728" s="459">
        <v>1</v>
      </c>
      <c r="D2728" s="458">
        <v>2023</v>
      </c>
    </row>
    <row r="2729" spans="1:4" x14ac:dyDescent="0.35">
      <c r="A2729" s="457" t="s">
        <v>72</v>
      </c>
      <c r="B2729" s="458" t="s">
        <v>1677</v>
      </c>
      <c r="C2729" s="459">
        <v>18</v>
      </c>
      <c r="D2729" s="458">
        <v>2023</v>
      </c>
    </row>
    <row r="2730" spans="1:4" x14ac:dyDescent="0.35">
      <c r="A2730" s="457" t="s">
        <v>72</v>
      </c>
      <c r="B2730" s="458" t="s">
        <v>1678</v>
      </c>
      <c r="C2730" s="459">
        <v>7</v>
      </c>
      <c r="D2730" s="458">
        <v>2022</v>
      </c>
    </row>
    <row r="2731" spans="1:4" x14ac:dyDescent="0.35">
      <c r="A2731" s="457" t="s">
        <v>72</v>
      </c>
      <c r="B2731" s="458" t="s">
        <v>1678</v>
      </c>
      <c r="C2731" s="459">
        <v>9</v>
      </c>
      <c r="D2731" s="458">
        <v>2023</v>
      </c>
    </row>
    <row r="2732" spans="1:4" x14ac:dyDescent="0.35">
      <c r="A2732" s="457" t="s">
        <v>72</v>
      </c>
      <c r="B2732" s="458" t="s">
        <v>1679</v>
      </c>
      <c r="C2732" s="459">
        <v>11</v>
      </c>
      <c r="D2732" s="458">
        <v>2022</v>
      </c>
    </row>
    <row r="2733" spans="1:4" x14ac:dyDescent="0.35">
      <c r="A2733" s="457" t="s">
        <v>72</v>
      </c>
      <c r="B2733" s="458" t="s">
        <v>1679</v>
      </c>
      <c r="C2733" s="459">
        <v>9</v>
      </c>
      <c r="D2733" s="458">
        <v>2023</v>
      </c>
    </row>
    <row r="2734" spans="1:4" x14ac:dyDescent="0.35">
      <c r="A2734" s="457" t="s">
        <v>72</v>
      </c>
      <c r="B2734" s="458" t="s">
        <v>1680</v>
      </c>
      <c r="C2734" s="459">
        <v>9</v>
      </c>
      <c r="D2734" s="458">
        <v>2023</v>
      </c>
    </row>
    <row r="2735" spans="1:4" x14ac:dyDescent="0.35">
      <c r="A2735" s="457" t="s">
        <v>72</v>
      </c>
      <c r="B2735" s="458" t="s">
        <v>1681</v>
      </c>
      <c r="C2735" s="459">
        <v>16</v>
      </c>
      <c r="D2735" s="458">
        <v>2023</v>
      </c>
    </row>
    <row r="2736" spans="1:4" x14ac:dyDescent="0.35">
      <c r="A2736" s="457" t="s">
        <v>72</v>
      </c>
      <c r="B2736" s="458" t="s">
        <v>1681</v>
      </c>
      <c r="C2736" s="459">
        <v>31</v>
      </c>
      <c r="D2736" s="458">
        <v>2024</v>
      </c>
    </row>
    <row r="2737" spans="1:4" x14ac:dyDescent="0.35">
      <c r="A2737" s="457" t="s">
        <v>72</v>
      </c>
      <c r="B2737" s="458" t="s">
        <v>1681</v>
      </c>
      <c r="C2737" s="459">
        <v>4</v>
      </c>
      <c r="D2737" s="458">
        <v>2023</v>
      </c>
    </row>
    <row r="2738" spans="1:4" x14ac:dyDescent="0.35">
      <c r="A2738" s="457" t="s">
        <v>72</v>
      </c>
      <c r="B2738" s="458" t="s">
        <v>1682</v>
      </c>
      <c r="C2738" s="459">
        <v>7</v>
      </c>
      <c r="D2738" s="458">
        <v>2022</v>
      </c>
    </row>
    <row r="2739" spans="1:4" x14ac:dyDescent="0.35">
      <c r="A2739" s="457" t="s">
        <v>72</v>
      </c>
      <c r="B2739" s="458" t="s">
        <v>1682</v>
      </c>
      <c r="C2739" s="459">
        <v>9</v>
      </c>
      <c r="D2739" s="458">
        <v>2023</v>
      </c>
    </row>
    <row r="2740" spans="1:4" x14ac:dyDescent="0.35">
      <c r="A2740" s="457" t="s">
        <v>72</v>
      </c>
      <c r="B2740" s="458" t="s">
        <v>1683</v>
      </c>
      <c r="C2740" s="459">
        <v>9</v>
      </c>
      <c r="D2740" s="458">
        <v>2023</v>
      </c>
    </row>
    <row r="2741" spans="1:4" x14ac:dyDescent="0.35">
      <c r="A2741" s="457" t="s">
        <v>72</v>
      </c>
      <c r="B2741" s="458" t="s">
        <v>1685</v>
      </c>
      <c r="C2741" s="459">
        <v>9</v>
      </c>
      <c r="D2741" s="458">
        <v>2023</v>
      </c>
    </row>
    <row r="2742" spans="1:4" x14ac:dyDescent="0.35">
      <c r="A2742" s="457" t="s">
        <v>72</v>
      </c>
      <c r="B2742" s="458" t="s">
        <v>1688</v>
      </c>
      <c r="C2742" s="459">
        <v>7</v>
      </c>
      <c r="D2742" s="458">
        <v>2022</v>
      </c>
    </row>
    <row r="2743" spans="1:4" x14ac:dyDescent="0.35">
      <c r="A2743" s="457" t="s">
        <v>72</v>
      </c>
      <c r="B2743" s="458" t="s">
        <v>1688</v>
      </c>
      <c r="C2743" s="459">
        <v>9</v>
      </c>
      <c r="D2743" s="458">
        <v>2023</v>
      </c>
    </row>
    <row r="2744" spans="1:4" x14ac:dyDescent="0.35">
      <c r="A2744" s="457" t="s">
        <v>72</v>
      </c>
      <c r="B2744" s="458" t="s">
        <v>1686</v>
      </c>
      <c r="C2744" s="459">
        <v>7</v>
      </c>
      <c r="D2744" s="458">
        <v>2022</v>
      </c>
    </row>
    <row r="2745" spans="1:4" x14ac:dyDescent="0.35">
      <c r="A2745" s="457" t="s">
        <v>72</v>
      </c>
      <c r="B2745" s="458" t="s">
        <v>1686</v>
      </c>
      <c r="C2745" s="459">
        <v>9</v>
      </c>
      <c r="D2745" s="458">
        <v>2023</v>
      </c>
    </row>
    <row r="2746" spans="1:4" x14ac:dyDescent="0.35">
      <c r="A2746" s="457" t="s">
        <v>72</v>
      </c>
      <c r="B2746" s="458" t="s">
        <v>1686</v>
      </c>
      <c r="C2746" s="459">
        <v>3</v>
      </c>
      <c r="D2746" s="458">
        <v>2023</v>
      </c>
    </row>
    <row r="2747" spans="1:4" x14ac:dyDescent="0.35">
      <c r="A2747" s="457" t="s">
        <v>72</v>
      </c>
      <c r="B2747" s="458" t="s">
        <v>1687</v>
      </c>
      <c r="C2747" s="459">
        <v>10</v>
      </c>
      <c r="D2747" s="458">
        <v>2022</v>
      </c>
    </row>
    <row r="2748" spans="1:4" x14ac:dyDescent="0.35">
      <c r="A2748" s="457" t="s">
        <v>72</v>
      </c>
      <c r="B2748" s="458" t="s">
        <v>1687</v>
      </c>
      <c r="C2748" s="459">
        <v>9</v>
      </c>
      <c r="D2748" s="458">
        <v>2023</v>
      </c>
    </row>
    <row r="2749" spans="1:4" x14ac:dyDescent="0.35">
      <c r="A2749" s="457" t="s">
        <v>72</v>
      </c>
      <c r="B2749" s="458" t="s">
        <v>1678</v>
      </c>
      <c r="C2749" s="459">
        <v>2</v>
      </c>
      <c r="D2749" s="458">
        <v>2023</v>
      </c>
    </row>
    <row r="2750" spans="1:4" x14ac:dyDescent="0.35">
      <c r="A2750" s="457" t="s">
        <v>72</v>
      </c>
      <c r="B2750" s="458" t="s">
        <v>1680</v>
      </c>
      <c r="C2750" s="459">
        <v>1</v>
      </c>
      <c r="D2750" s="458">
        <v>2023</v>
      </c>
    </row>
    <row r="2751" spans="1:4" x14ac:dyDescent="0.35">
      <c r="A2751" s="457" t="s">
        <v>72</v>
      </c>
      <c r="B2751" s="458" t="s">
        <v>1681</v>
      </c>
      <c r="C2751" s="459">
        <v>2</v>
      </c>
      <c r="D2751" s="458">
        <v>2023</v>
      </c>
    </row>
    <row r="2752" spans="1:4" x14ac:dyDescent="0.35">
      <c r="A2752" s="457" t="s">
        <v>72</v>
      </c>
      <c r="B2752" s="458" t="s">
        <v>1684</v>
      </c>
      <c r="C2752" s="459">
        <v>2</v>
      </c>
      <c r="D2752" s="458">
        <v>2023</v>
      </c>
    </row>
    <row r="2753" spans="1:4" x14ac:dyDescent="0.35">
      <c r="A2753" s="457" t="s">
        <v>72</v>
      </c>
      <c r="B2753" s="458" t="s">
        <v>1688</v>
      </c>
      <c r="C2753" s="459">
        <v>1</v>
      </c>
      <c r="D2753" s="458">
        <v>2023</v>
      </c>
    </row>
    <row r="2754" spans="1:4" x14ac:dyDescent="0.35">
      <c r="A2754" s="457" t="s">
        <v>72</v>
      </c>
      <c r="B2754" s="458" t="s">
        <v>1688</v>
      </c>
      <c r="C2754" s="459">
        <v>1</v>
      </c>
      <c r="D2754" s="458">
        <v>2023</v>
      </c>
    </row>
    <row r="2755" spans="1:4" x14ac:dyDescent="0.35">
      <c r="A2755" s="457" t="s">
        <v>72</v>
      </c>
      <c r="B2755" s="458" t="s">
        <v>1686</v>
      </c>
      <c r="C2755" s="459">
        <v>1</v>
      </c>
      <c r="D2755" s="458">
        <v>2022</v>
      </c>
    </row>
    <row r="2756" spans="1:4" x14ac:dyDescent="0.35">
      <c r="A2756" s="457" t="s">
        <v>72</v>
      </c>
      <c r="B2756" s="458" t="s">
        <v>1686</v>
      </c>
      <c r="C2756" s="459">
        <v>1</v>
      </c>
      <c r="D2756" s="458">
        <v>2022</v>
      </c>
    </row>
    <row r="2757" spans="1:4" x14ac:dyDescent="0.35">
      <c r="A2757" s="457" t="s">
        <v>72</v>
      </c>
      <c r="B2757" s="458" t="s">
        <v>1687</v>
      </c>
      <c r="C2757" s="459">
        <v>2</v>
      </c>
      <c r="D2757" s="458">
        <v>2023</v>
      </c>
    </row>
    <row r="2758" spans="1:4" x14ac:dyDescent="0.35">
      <c r="A2758" s="457" t="s">
        <v>72</v>
      </c>
      <c r="B2758" s="458" t="s">
        <v>1677</v>
      </c>
      <c r="C2758" s="459">
        <v>4</v>
      </c>
      <c r="D2758" s="458">
        <v>2023</v>
      </c>
    </row>
    <row r="2759" spans="1:4" x14ac:dyDescent="0.35">
      <c r="A2759" s="457" t="s">
        <v>72</v>
      </c>
      <c r="B2759" s="458" t="s">
        <v>1678</v>
      </c>
      <c r="C2759" s="459">
        <v>8</v>
      </c>
      <c r="D2759" s="458">
        <v>2022</v>
      </c>
    </row>
    <row r="2760" spans="1:4" x14ac:dyDescent="0.35">
      <c r="A2760" s="457" t="s">
        <v>72</v>
      </c>
      <c r="B2760" s="458" t="s">
        <v>1678</v>
      </c>
      <c r="C2760" s="459">
        <v>2</v>
      </c>
      <c r="D2760" s="458">
        <v>2023</v>
      </c>
    </row>
    <row r="2761" spans="1:4" x14ac:dyDescent="0.35">
      <c r="A2761" s="457" t="s">
        <v>72</v>
      </c>
      <c r="B2761" s="458" t="s">
        <v>1679</v>
      </c>
      <c r="C2761" s="459">
        <v>3</v>
      </c>
      <c r="D2761" s="458">
        <v>2022</v>
      </c>
    </row>
    <row r="2762" spans="1:4" x14ac:dyDescent="0.35">
      <c r="A2762" s="457" t="s">
        <v>72</v>
      </c>
      <c r="B2762" s="458" t="s">
        <v>1680</v>
      </c>
      <c r="C2762" s="459">
        <v>4</v>
      </c>
      <c r="D2762" s="458">
        <v>2023</v>
      </c>
    </row>
    <row r="2763" spans="1:4" x14ac:dyDescent="0.35">
      <c r="A2763" s="457" t="s">
        <v>72</v>
      </c>
      <c r="B2763" s="458" t="s">
        <v>1681</v>
      </c>
      <c r="C2763" s="459">
        <v>5</v>
      </c>
      <c r="D2763" s="458">
        <v>2023</v>
      </c>
    </row>
    <row r="2764" spans="1:4" x14ac:dyDescent="0.35">
      <c r="A2764" s="457" t="s">
        <v>72</v>
      </c>
      <c r="B2764" s="458" t="s">
        <v>1682</v>
      </c>
      <c r="C2764" s="459">
        <v>4</v>
      </c>
      <c r="D2764" s="458">
        <v>2022</v>
      </c>
    </row>
    <row r="2765" spans="1:4" x14ac:dyDescent="0.35">
      <c r="A2765" s="457" t="s">
        <v>72</v>
      </c>
      <c r="B2765" s="458" t="s">
        <v>1682</v>
      </c>
      <c r="C2765" s="459">
        <v>4</v>
      </c>
      <c r="D2765" s="458">
        <v>2023</v>
      </c>
    </row>
    <row r="2766" spans="1:4" x14ac:dyDescent="0.35">
      <c r="A2766" s="457" t="s">
        <v>72</v>
      </c>
      <c r="B2766" s="458" t="s">
        <v>1683</v>
      </c>
      <c r="C2766" s="459">
        <v>3</v>
      </c>
      <c r="D2766" s="458">
        <v>2023</v>
      </c>
    </row>
    <row r="2767" spans="1:4" x14ac:dyDescent="0.35">
      <c r="A2767" s="457" t="s">
        <v>72</v>
      </c>
      <c r="B2767" s="458" t="s">
        <v>1684</v>
      </c>
      <c r="C2767" s="459">
        <v>2</v>
      </c>
      <c r="D2767" s="458">
        <v>2023</v>
      </c>
    </row>
    <row r="2768" spans="1:4" x14ac:dyDescent="0.35">
      <c r="A2768" s="457" t="s">
        <v>72</v>
      </c>
      <c r="B2768" s="458" t="s">
        <v>1685</v>
      </c>
      <c r="C2768" s="459">
        <v>3</v>
      </c>
      <c r="D2768" s="458">
        <v>2023</v>
      </c>
    </row>
    <row r="2769" spans="1:4" x14ac:dyDescent="0.35">
      <c r="A2769" s="457" t="s">
        <v>72</v>
      </c>
      <c r="B2769" s="458" t="s">
        <v>1688</v>
      </c>
      <c r="C2769" s="459">
        <v>4</v>
      </c>
      <c r="D2769" s="458">
        <v>2022</v>
      </c>
    </row>
    <row r="2770" spans="1:4" x14ac:dyDescent="0.35">
      <c r="A2770" s="457" t="s">
        <v>72</v>
      </c>
      <c r="B2770" s="458" t="s">
        <v>1688</v>
      </c>
      <c r="C2770" s="459">
        <v>2</v>
      </c>
      <c r="D2770" s="458">
        <v>2023</v>
      </c>
    </row>
    <row r="2771" spans="1:4" x14ac:dyDescent="0.35">
      <c r="A2771" s="457" t="s">
        <v>72</v>
      </c>
      <c r="B2771" s="458" t="s">
        <v>1686</v>
      </c>
      <c r="C2771" s="459">
        <v>4</v>
      </c>
      <c r="D2771" s="458">
        <v>2022</v>
      </c>
    </row>
    <row r="2772" spans="1:4" x14ac:dyDescent="0.35">
      <c r="A2772" s="457" t="s">
        <v>72</v>
      </c>
      <c r="B2772" s="458" t="s">
        <v>1686</v>
      </c>
      <c r="C2772" s="459">
        <v>2</v>
      </c>
      <c r="D2772" s="458">
        <v>2023</v>
      </c>
    </row>
    <row r="2773" spans="1:4" x14ac:dyDescent="0.35">
      <c r="A2773" s="457" t="s">
        <v>72</v>
      </c>
      <c r="B2773" s="458" t="s">
        <v>1687</v>
      </c>
      <c r="C2773" s="459">
        <v>4</v>
      </c>
      <c r="D2773" s="458">
        <v>2022</v>
      </c>
    </row>
    <row r="2774" spans="1:4" x14ac:dyDescent="0.35">
      <c r="A2774" s="457" t="s">
        <v>72</v>
      </c>
      <c r="B2774" s="458" t="s">
        <v>1687</v>
      </c>
      <c r="C2774" s="459">
        <v>2</v>
      </c>
      <c r="D2774" s="458">
        <v>2023</v>
      </c>
    </row>
    <row r="2775" spans="1:4" x14ac:dyDescent="0.35">
      <c r="A2775" s="457" t="s">
        <v>72</v>
      </c>
      <c r="B2775" s="458" t="s">
        <v>1677</v>
      </c>
      <c r="C2775" s="459">
        <v>80</v>
      </c>
      <c r="D2775" s="458">
        <v>2023</v>
      </c>
    </row>
    <row r="2776" spans="1:4" x14ac:dyDescent="0.35">
      <c r="A2776" s="457" t="s">
        <v>72</v>
      </c>
      <c r="B2776" s="458" t="s">
        <v>1678</v>
      </c>
      <c r="C2776" s="459">
        <v>105</v>
      </c>
      <c r="D2776" s="458">
        <v>2022</v>
      </c>
    </row>
    <row r="2777" spans="1:4" x14ac:dyDescent="0.35">
      <c r="A2777" s="457" t="s">
        <v>72</v>
      </c>
      <c r="B2777" s="458" t="s">
        <v>1678</v>
      </c>
      <c r="C2777" s="459">
        <v>100</v>
      </c>
      <c r="D2777" s="458">
        <v>2023</v>
      </c>
    </row>
    <row r="2778" spans="1:4" x14ac:dyDescent="0.35">
      <c r="A2778" s="457" t="s">
        <v>72</v>
      </c>
      <c r="B2778" s="458" t="s">
        <v>1679</v>
      </c>
      <c r="C2778" s="459">
        <v>40</v>
      </c>
      <c r="D2778" s="458">
        <v>2022</v>
      </c>
    </row>
    <row r="2779" spans="1:4" x14ac:dyDescent="0.35">
      <c r="A2779" s="457" t="s">
        <v>72</v>
      </c>
      <c r="B2779" s="458" t="s">
        <v>1679</v>
      </c>
      <c r="C2779" s="459">
        <v>65</v>
      </c>
      <c r="D2779" s="458">
        <v>2023</v>
      </c>
    </row>
    <row r="2780" spans="1:4" x14ac:dyDescent="0.35">
      <c r="A2780" s="457" t="s">
        <v>72</v>
      </c>
      <c r="B2780" s="458" t="s">
        <v>1680</v>
      </c>
      <c r="C2780" s="459">
        <v>80</v>
      </c>
      <c r="D2780" s="458">
        <v>2023</v>
      </c>
    </row>
    <row r="2781" spans="1:4" x14ac:dyDescent="0.35">
      <c r="A2781" s="457" t="s">
        <v>72</v>
      </c>
      <c r="B2781" s="458" t="s">
        <v>1681</v>
      </c>
      <c r="C2781" s="459">
        <v>160</v>
      </c>
      <c r="D2781" s="458">
        <v>2023</v>
      </c>
    </row>
    <row r="2782" spans="1:4" x14ac:dyDescent="0.35">
      <c r="A2782" s="457" t="s">
        <v>72</v>
      </c>
      <c r="B2782" s="458" t="s">
        <v>1681</v>
      </c>
      <c r="C2782" s="459">
        <v>136</v>
      </c>
      <c r="D2782" s="458">
        <v>2024</v>
      </c>
    </row>
    <row r="2783" spans="1:4" x14ac:dyDescent="0.35">
      <c r="A2783" s="457" t="s">
        <v>72</v>
      </c>
      <c r="B2783" s="458" t="s">
        <v>1682</v>
      </c>
      <c r="C2783" s="459">
        <v>70</v>
      </c>
      <c r="D2783" s="458">
        <v>2022</v>
      </c>
    </row>
    <row r="2784" spans="1:4" x14ac:dyDescent="0.35">
      <c r="A2784" s="457" t="s">
        <v>72</v>
      </c>
      <c r="B2784" s="458" t="s">
        <v>1682</v>
      </c>
      <c r="C2784" s="459">
        <v>80</v>
      </c>
      <c r="D2784" s="458">
        <v>2023</v>
      </c>
    </row>
    <row r="2785" spans="1:4" x14ac:dyDescent="0.35">
      <c r="A2785" s="457" t="s">
        <v>72</v>
      </c>
      <c r="B2785" s="458" t="s">
        <v>1683</v>
      </c>
      <c r="C2785" s="459">
        <v>80</v>
      </c>
      <c r="D2785" s="458">
        <v>2023</v>
      </c>
    </row>
    <row r="2786" spans="1:4" x14ac:dyDescent="0.35">
      <c r="A2786" s="457" t="s">
        <v>72</v>
      </c>
      <c r="B2786" s="458" t="s">
        <v>1684</v>
      </c>
      <c r="C2786" s="459">
        <v>80</v>
      </c>
      <c r="D2786" s="458">
        <v>2023</v>
      </c>
    </row>
    <row r="2787" spans="1:4" x14ac:dyDescent="0.35">
      <c r="A2787" s="457" t="s">
        <v>72</v>
      </c>
      <c r="B2787" s="458" t="s">
        <v>1685</v>
      </c>
      <c r="C2787" s="459">
        <v>80</v>
      </c>
      <c r="D2787" s="458">
        <v>2023</v>
      </c>
    </row>
    <row r="2788" spans="1:4" x14ac:dyDescent="0.35">
      <c r="A2788" s="457" t="s">
        <v>72</v>
      </c>
      <c r="B2788" s="458" t="s">
        <v>1688</v>
      </c>
      <c r="C2788" s="459">
        <v>90</v>
      </c>
      <c r="D2788" s="458">
        <v>2022</v>
      </c>
    </row>
    <row r="2789" spans="1:4" x14ac:dyDescent="0.35">
      <c r="A2789" s="457" t="s">
        <v>72</v>
      </c>
      <c r="B2789" s="458" t="s">
        <v>1688</v>
      </c>
      <c r="C2789" s="459">
        <v>85</v>
      </c>
      <c r="D2789" s="458">
        <v>2023</v>
      </c>
    </row>
    <row r="2790" spans="1:4" x14ac:dyDescent="0.35">
      <c r="A2790" s="457" t="s">
        <v>72</v>
      </c>
      <c r="B2790" s="458" t="s">
        <v>1686</v>
      </c>
      <c r="C2790" s="459">
        <v>80</v>
      </c>
      <c r="D2790" s="458">
        <v>2022</v>
      </c>
    </row>
    <row r="2791" spans="1:4" x14ac:dyDescent="0.35">
      <c r="A2791" s="457" t="s">
        <v>72</v>
      </c>
      <c r="B2791" s="458" t="s">
        <v>1686</v>
      </c>
      <c r="C2791" s="459">
        <v>85</v>
      </c>
      <c r="D2791" s="458">
        <v>2023</v>
      </c>
    </row>
    <row r="2792" spans="1:4" x14ac:dyDescent="0.35">
      <c r="A2792" s="457" t="s">
        <v>72</v>
      </c>
      <c r="B2792" s="458" t="s">
        <v>1687</v>
      </c>
      <c r="C2792" s="459">
        <v>100</v>
      </c>
      <c r="D2792" s="458">
        <v>2022</v>
      </c>
    </row>
    <row r="2793" spans="1:4" x14ac:dyDescent="0.35">
      <c r="A2793" s="457" t="s">
        <v>72</v>
      </c>
      <c r="B2793" s="458" t="s">
        <v>1687</v>
      </c>
      <c r="C2793" s="459">
        <v>86</v>
      </c>
      <c r="D2793" s="458">
        <v>2023</v>
      </c>
    </row>
    <row r="2794" spans="1:4" x14ac:dyDescent="0.35">
      <c r="A2794" s="457" t="s">
        <v>72</v>
      </c>
      <c r="B2794" s="458" t="s">
        <v>1677</v>
      </c>
      <c r="C2794" s="459">
        <v>16</v>
      </c>
      <c r="D2794" s="458">
        <v>2023</v>
      </c>
    </row>
    <row r="2795" spans="1:4" x14ac:dyDescent="0.35">
      <c r="A2795" s="457" t="s">
        <v>72</v>
      </c>
      <c r="B2795" s="458" t="s">
        <v>1678</v>
      </c>
      <c r="C2795" s="459">
        <v>4</v>
      </c>
      <c r="D2795" s="458">
        <v>2022</v>
      </c>
    </row>
    <row r="2796" spans="1:4" x14ac:dyDescent="0.35">
      <c r="A2796" s="457" t="s">
        <v>72</v>
      </c>
      <c r="B2796" s="458" t="s">
        <v>1678</v>
      </c>
      <c r="C2796" s="459">
        <v>16</v>
      </c>
      <c r="D2796" s="458">
        <v>2023</v>
      </c>
    </row>
    <row r="2797" spans="1:4" x14ac:dyDescent="0.35">
      <c r="A2797" s="457" t="s">
        <v>72</v>
      </c>
      <c r="B2797" s="458" t="s">
        <v>1679</v>
      </c>
      <c r="C2797" s="459">
        <v>12</v>
      </c>
      <c r="D2797" s="458">
        <v>2022</v>
      </c>
    </row>
    <row r="2798" spans="1:4" x14ac:dyDescent="0.35">
      <c r="A2798" s="457" t="s">
        <v>72</v>
      </c>
      <c r="B2798" s="458" t="s">
        <v>1679</v>
      </c>
      <c r="C2798" s="459">
        <v>16</v>
      </c>
      <c r="D2798" s="458">
        <v>2023</v>
      </c>
    </row>
    <row r="2799" spans="1:4" x14ac:dyDescent="0.35">
      <c r="A2799" s="457" t="s">
        <v>72</v>
      </c>
      <c r="B2799" s="458" t="s">
        <v>1680</v>
      </c>
      <c r="C2799" s="459">
        <v>16</v>
      </c>
      <c r="D2799" s="458">
        <v>2023</v>
      </c>
    </row>
    <row r="2800" spans="1:4" x14ac:dyDescent="0.35">
      <c r="A2800" s="457" t="s">
        <v>72</v>
      </c>
      <c r="B2800" s="458" t="s">
        <v>1681</v>
      </c>
      <c r="C2800" s="459">
        <v>28</v>
      </c>
      <c r="D2800" s="458">
        <v>2023</v>
      </c>
    </row>
    <row r="2801" spans="1:4" x14ac:dyDescent="0.35">
      <c r="A2801" s="457" t="s">
        <v>72</v>
      </c>
      <c r="B2801" s="458" t="s">
        <v>1681</v>
      </c>
      <c r="C2801" s="459">
        <v>32</v>
      </c>
      <c r="D2801" s="458">
        <v>2024</v>
      </c>
    </row>
    <row r="2802" spans="1:4" x14ac:dyDescent="0.35">
      <c r="A2802" s="457" t="s">
        <v>72</v>
      </c>
      <c r="B2802" s="458" t="s">
        <v>1682</v>
      </c>
      <c r="C2802" s="459">
        <v>14</v>
      </c>
      <c r="D2802" s="458">
        <v>2022</v>
      </c>
    </row>
    <row r="2803" spans="1:4" x14ac:dyDescent="0.35">
      <c r="A2803" s="457" t="s">
        <v>72</v>
      </c>
      <c r="B2803" s="458" t="s">
        <v>1682</v>
      </c>
      <c r="C2803" s="459">
        <v>16</v>
      </c>
      <c r="D2803" s="458">
        <v>2023</v>
      </c>
    </row>
    <row r="2804" spans="1:4" x14ac:dyDescent="0.35">
      <c r="A2804" s="457" t="s">
        <v>72</v>
      </c>
      <c r="B2804" s="458" t="s">
        <v>1683</v>
      </c>
      <c r="C2804" s="459">
        <v>5</v>
      </c>
      <c r="D2804" s="458">
        <v>2023</v>
      </c>
    </row>
    <row r="2805" spans="1:4" x14ac:dyDescent="0.35">
      <c r="A2805" s="457" t="s">
        <v>72</v>
      </c>
      <c r="B2805" s="458" t="s">
        <v>1684</v>
      </c>
      <c r="C2805" s="459">
        <v>16</v>
      </c>
      <c r="D2805" s="458">
        <v>2023</v>
      </c>
    </row>
    <row r="2806" spans="1:4" x14ac:dyDescent="0.35">
      <c r="A2806" s="457" t="s">
        <v>72</v>
      </c>
      <c r="B2806" s="458" t="s">
        <v>1685</v>
      </c>
      <c r="C2806" s="459">
        <v>18</v>
      </c>
      <c r="D2806" s="458">
        <v>2023</v>
      </c>
    </row>
    <row r="2807" spans="1:4" x14ac:dyDescent="0.35">
      <c r="A2807" s="457" t="s">
        <v>72</v>
      </c>
      <c r="B2807" s="458" t="s">
        <v>1688</v>
      </c>
      <c r="C2807" s="459">
        <v>10</v>
      </c>
      <c r="D2807" s="458">
        <v>2022</v>
      </c>
    </row>
    <row r="2808" spans="1:4" x14ac:dyDescent="0.35">
      <c r="A2808" s="457" t="s">
        <v>72</v>
      </c>
      <c r="B2808" s="458" t="s">
        <v>1688</v>
      </c>
      <c r="C2808" s="459">
        <v>16</v>
      </c>
      <c r="D2808" s="458">
        <v>2023</v>
      </c>
    </row>
    <row r="2809" spans="1:4" x14ac:dyDescent="0.35">
      <c r="A2809" s="457" t="s">
        <v>72</v>
      </c>
      <c r="B2809" s="458" t="s">
        <v>1686</v>
      </c>
      <c r="C2809" s="459">
        <v>11</v>
      </c>
      <c r="D2809" s="458">
        <v>2022</v>
      </c>
    </row>
    <row r="2810" spans="1:4" x14ac:dyDescent="0.35">
      <c r="A2810" s="457" t="s">
        <v>72</v>
      </c>
      <c r="B2810" s="458" t="s">
        <v>1686</v>
      </c>
      <c r="C2810" s="459">
        <v>16</v>
      </c>
      <c r="D2810" s="458">
        <v>2023</v>
      </c>
    </row>
    <row r="2811" spans="1:4" x14ac:dyDescent="0.35">
      <c r="A2811" s="457" t="s">
        <v>72</v>
      </c>
      <c r="B2811" s="458" t="s">
        <v>1687</v>
      </c>
      <c r="C2811" s="459">
        <v>15</v>
      </c>
      <c r="D2811" s="458">
        <v>2022</v>
      </c>
    </row>
    <row r="2812" spans="1:4" x14ac:dyDescent="0.35">
      <c r="A2812" s="457" t="s">
        <v>72</v>
      </c>
      <c r="B2812" s="458" t="s">
        <v>1687</v>
      </c>
      <c r="C2812" s="459">
        <v>16</v>
      </c>
      <c r="D2812" s="458">
        <v>2023</v>
      </c>
    </row>
    <row r="2813" spans="1:4" x14ac:dyDescent="0.35">
      <c r="A2813" s="457" t="s">
        <v>72</v>
      </c>
      <c r="B2813" s="458" t="s">
        <v>1677</v>
      </c>
      <c r="C2813" s="459">
        <v>10</v>
      </c>
      <c r="D2813" s="458">
        <v>2023</v>
      </c>
    </row>
    <row r="2814" spans="1:4" x14ac:dyDescent="0.35">
      <c r="A2814" s="457" t="s">
        <v>72</v>
      </c>
      <c r="B2814" s="458" t="s">
        <v>1678</v>
      </c>
      <c r="C2814" s="459">
        <v>10</v>
      </c>
      <c r="D2814" s="458">
        <v>2022</v>
      </c>
    </row>
    <row r="2815" spans="1:4" x14ac:dyDescent="0.35">
      <c r="A2815" s="457" t="s">
        <v>72</v>
      </c>
      <c r="B2815" s="458" t="s">
        <v>1678</v>
      </c>
      <c r="C2815" s="459">
        <v>15</v>
      </c>
      <c r="D2815" s="458">
        <v>2023</v>
      </c>
    </row>
    <row r="2816" spans="1:4" x14ac:dyDescent="0.35">
      <c r="A2816" s="457" t="s">
        <v>72</v>
      </c>
      <c r="B2816" s="458" t="s">
        <v>1679</v>
      </c>
      <c r="C2816" s="459">
        <v>10</v>
      </c>
      <c r="D2816" s="458">
        <v>2022</v>
      </c>
    </row>
    <row r="2817" spans="1:4" x14ac:dyDescent="0.35">
      <c r="A2817" s="457" t="s">
        <v>72</v>
      </c>
      <c r="B2817" s="458" t="s">
        <v>1679</v>
      </c>
      <c r="C2817" s="459">
        <v>10</v>
      </c>
      <c r="D2817" s="458">
        <v>2023</v>
      </c>
    </row>
    <row r="2818" spans="1:4" x14ac:dyDescent="0.35">
      <c r="A2818" s="457" t="s">
        <v>72</v>
      </c>
      <c r="B2818" s="458" t="s">
        <v>1680</v>
      </c>
      <c r="C2818" s="459">
        <v>10</v>
      </c>
      <c r="D2818" s="458">
        <v>2023</v>
      </c>
    </row>
    <row r="2819" spans="1:4" x14ac:dyDescent="0.35">
      <c r="A2819" s="457" t="s">
        <v>72</v>
      </c>
      <c r="B2819" s="458" t="s">
        <v>1681</v>
      </c>
      <c r="C2819" s="459">
        <v>20</v>
      </c>
      <c r="D2819" s="458">
        <v>2023</v>
      </c>
    </row>
    <row r="2820" spans="1:4" x14ac:dyDescent="0.35">
      <c r="A2820" s="457" t="s">
        <v>72</v>
      </c>
      <c r="B2820" s="458" t="s">
        <v>1681</v>
      </c>
      <c r="C2820" s="459">
        <v>20</v>
      </c>
      <c r="D2820" s="458">
        <v>2024</v>
      </c>
    </row>
    <row r="2821" spans="1:4" x14ac:dyDescent="0.35">
      <c r="A2821" s="457" t="s">
        <v>72</v>
      </c>
      <c r="B2821" s="458" t="s">
        <v>1682</v>
      </c>
      <c r="C2821" s="459">
        <v>10</v>
      </c>
      <c r="D2821" s="458">
        <v>2022</v>
      </c>
    </row>
    <row r="2822" spans="1:4" x14ac:dyDescent="0.35">
      <c r="A2822" s="457" t="s">
        <v>72</v>
      </c>
      <c r="B2822" s="458" t="s">
        <v>1682</v>
      </c>
      <c r="C2822" s="459">
        <v>10</v>
      </c>
      <c r="D2822" s="458">
        <v>2023</v>
      </c>
    </row>
    <row r="2823" spans="1:4" x14ac:dyDescent="0.35">
      <c r="A2823" s="457" t="s">
        <v>72</v>
      </c>
      <c r="B2823" s="458" t="s">
        <v>1683</v>
      </c>
      <c r="C2823" s="459">
        <v>12</v>
      </c>
      <c r="D2823" s="458">
        <v>2023</v>
      </c>
    </row>
    <row r="2824" spans="1:4" x14ac:dyDescent="0.35">
      <c r="A2824" s="457" t="s">
        <v>72</v>
      </c>
      <c r="B2824" s="458" t="s">
        <v>1683</v>
      </c>
      <c r="C2824" s="459">
        <v>0</v>
      </c>
      <c r="D2824" s="458">
        <v>2023</v>
      </c>
    </row>
    <row r="2825" spans="1:4" x14ac:dyDescent="0.35">
      <c r="A2825" s="457" t="s">
        <v>72</v>
      </c>
      <c r="B2825" s="458" t="s">
        <v>1684</v>
      </c>
      <c r="C2825" s="459">
        <v>10</v>
      </c>
      <c r="D2825" s="458">
        <v>2023</v>
      </c>
    </row>
    <row r="2826" spans="1:4" x14ac:dyDescent="0.35">
      <c r="A2826" s="457" t="s">
        <v>72</v>
      </c>
      <c r="B2826" s="458" t="s">
        <v>1685</v>
      </c>
      <c r="C2826" s="459">
        <v>22</v>
      </c>
      <c r="D2826" s="458">
        <v>2023</v>
      </c>
    </row>
    <row r="2827" spans="1:4" x14ac:dyDescent="0.35">
      <c r="A2827" s="457" t="s">
        <v>72</v>
      </c>
      <c r="B2827" s="458" t="s">
        <v>1688</v>
      </c>
      <c r="C2827" s="459">
        <v>16</v>
      </c>
      <c r="D2827" s="458">
        <v>2022</v>
      </c>
    </row>
    <row r="2828" spans="1:4" x14ac:dyDescent="0.35">
      <c r="A2828" s="457" t="s">
        <v>72</v>
      </c>
      <c r="B2828" s="458" t="s">
        <v>1688</v>
      </c>
      <c r="C2828" s="459">
        <v>10</v>
      </c>
      <c r="D2828" s="458">
        <v>2023</v>
      </c>
    </row>
    <row r="2829" spans="1:4" x14ac:dyDescent="0.35">
      <c r="A2829" s="457" t="s">
        <v>72</v>
      </c>
      <c r="B2829" s="458" t="s">
        <v>1686</v>
      </c>
      <c r="C2829" s="459">
        <v>16</v>
      </c>
      <c r="D2829" s="458">
        <v>2022</v>
      </c>
    </row>
    <row r="2830" spans="1:4" x14ac:dyDescent="0.35">
      <c r="A2830" s="457" t="s">
        <v>72</v>
      </c>
      <c r="B2830" s="458" t="s">
        <v>1686</v>
      </c>
      <c r="C2830" s="459">
        <v>20</v>
      </c>
      <c r="D2830" s="458">
        <v>2023</v>
      </c>
    </row>
    <row r="2831" spans="1:4" x14ac:dyDescent="0.35">
      <c r="A2831" s="457" t="s">
        <v>72</v>
      </c>
      <c r="B2831" s="458" t="s">
        <v>1687</v>
      </c>
      <c r="C2831" s="459">
        <v>10</v>
      </c>
      <c r="D2831" s="458">
        <v>2022</v>
      </c>
    </row>
    <row r="2832" spans="1:4" x14ac:dyDescent="0.35">
      <c r="A2832" s="457" t="s">
        <v>72</v>
      </c>
      <c r="B2832" s="458" t="s">
        <v>1687</v>
      </c>
      <c r="C2832" s="459">
        <v>10</v>
      </c>
      <c r="D2832" s="458">
        <v>2023</v>
      </c>
    </row>
    <row r="2833" spans="1:4" x14ac:dyDescent="0.35">
      <c r="A2833" s="457" t="s">
        <v>72</v>
      </c>
      <c r="B2833" s="458" t="s">
        <v>1679</v>
      </c>
      <c r="C2833" s="459">
        <v>1</v>
      </c>
      <c r="D2833" s="458">
        <v>2023</v>
      </c>
    </row>
    <row r="2834" spans="1:4" x14ac:dyDescent="0.35">
      <c r="A2834" s="457" t="s">
        <v>72</v>
      </c>
      <c r="B2834" s="458" t="s">
        <v>1677</v>
      </c>
      <c r="C2834" s="459">
        <v>3</v>
      </c>
      <c r="D2834" s="458">
        <v>2023</v>
      </c>
    </row>
    <row r="2835" spans="1:4" x14ac:dyDescent="0.35">
      <c r="A2835" s="457" t="s">
        <v>72</v>
      </c>
      <c r="B2835" s="458" t="s">
        <v>1678</v>
      </c>
      <c r="C2835" s="459">
        <v>6</v>
      </c>
      <c r="D2835" s="458">
        <v>2022</v>
      </c>
    </row>
    <row r="2836" spans="1:4" x14ac:dyDescent="0.35">
      <c r="A2836" s="457" t="s">
        <v>72</v>
      </c>
      <c r="B2836" s="458" t="s">
        <v>1678</v>
      </c>
      <c r="C2836" s="459">
        <v>6</v>
      </c>
      <c r="D2836" s="458">
        <v>2023</v>
      </c>
    </row>
    <row r="2837" spans="1:4" x14ac:dyDescent="0.35">
      <c r="A2837" s="457" t="s">
        <v>72</v>
      </c>
      <c r="B2837" s="458" t="s">
        <v>1679</v>
      </c>
      <c r="C2837" s="459">
        <v>1</v>
      </c>
      <c r="D2837" s="458">
        <v>2023</v>
      </c>
    </row>
    <row r="2838" spans="1:4" x14ac:dyDescent="0.35">
      <c r="A2838" s="457" t="s">
        <v>72</v>
      </c>
      <c r="B2838" s="458" t="s">
        <v>1680</v>
      </c>
      <c r="C2838" s="459">
        <v>2</v>
      </c>
      <c r="D2838" s="458">
        <v>2023</v>
      </c>
    </row>
    <row r="2839" spans="1:4" x14ac:dyDescent="0.35">
      <c r="A2839" s="457" t="s">
        <v>72</v>
      </c>
      <c r="B2839" s="458" t="s">
        <v>1681</v>
      </c>
      <c r="C2839" s="459">
        <v>2</v>
      </c>
      <c r="D2839" s="458">
        <v>2023</v>
      </c>
    </row>
    <row r="2840" spans="1:4" x14ac:dyDescent="0.35">
      <c r="A2840" s="457" t="s">
        <v>72</v>
      </c>
      <c r="B2840" s="458" t="s">
        <v>1681</v>
      </c>
      <c r="C2840" s="459">
        <v>4</v>
      </c>
      <c r="D2840" s="458">
        <v>2024</v>
      </c>
    </row>
    <row r="2841" spans="1:4" x14ac:dyDescent="0.35">
      <c r="A2841" s="457" t="s">
        <v>72</v>
      </c>
      <c r="B2841" s="458" t="s">
        <v>1682</v>
      </c>
      <c r="C2841" s="459">
        <v>3</v>
      </c>
      <c r="D2841" s="458">
        <v>2022</v>
      </c>
    </row>
    <row r="2842" spans="1:4" x14ac:dyDescent="0.35">
      <c r="A2842" s="457" t="s">
        <v>72</v>
      </c>
      <c r="B2842" s="458" t="s">
        <v>1682</v>
      </c>
      <c r="C2842" s="459">
        <v>3</v>
      </c>
      <c r="D2842" s="458">
        <v>2023</v>
      </c>
    </row>
    <row r="2843" spans="1:4" x14ac:dyDescent="0.35">
      <c r="A2843" s="457" t="s">
        <v>72</v>
      </c>
      <c r="B2843" s="458" t="s">
        <v>1683</v>
      </c>
      <c r="C2843" s="459">
        <v>3</v>
      </c>
      <c r="D2843" s="458">
        <v>2023</v>
      </c>
    </row>
    <row r="2844" spans="1:4" x14ac:dyDescent="0.35">
      <c r="A2844" s="457" t="s">
        <v>72</v>
      </c>
      <c r="B2844" s="458" t="s">
        <v>1684</v>
      </c>
      <c r="C2844" s="459">
        <v>3</v>
      </c>
      <c r="D2844" s="458">
        <v>2023</v>
      </c>
    </row>
    <row r="2845" spans="1:4" x14ac:dyDescent="0.35">
      <c r="A2845" s="457" t="s">
        <v>72</v>
      </c>
      <c r="B2845" s="458" t="s">
        <v>1685</v>
      </c>
      <c r="C2845" s="459">
        <v>3</v>
      </c>
      <c r="D2845" s="458">
        <v>2023</v>
      </c>
    </row>
    <row r="2846" spans="1:4" x14ac:dyDescent="0.35">
      <c r="A2846" s="457" t="s">
        <v>72</v>
      </c>
      <c r="B2846" s="458" t="s">
        <v>1688</v>
      </c>
      <c r="C2846" s="459">
        <v>3</v>
      </c>
      <c r="D2846" s="458">
        <v>2022</v>
      </c>
    </row>
    <row r="2847" spans="1:4" x14ac:dyDescent="0.35">
      <c r="A2847" s="457" t="s">
        <v>72</v>
      </c>
      <c r="B2847" s="458" t="s">
        <v>1688</v>
      </c>
      <c r="C2847" s="459">
        <v>3</v>
      </c>
      <c r="D2847" s="458">
        <v>2023</v>
      </c>
    </row>
    <row r="2848" spans="1:4" x14ac:dyDescent="0.35">
      <c r="A2848" s="457" t="s">
        <v>72</v>
      </c>
      <c r="B2848" s="458" t="s">
        <v>1686</v>
      </c>
      <c r="C2848" s="459">
        <v>3</v>
      </c>
      <c r="D2848" s="458">
        <v>2022</v>
      </c>
    </row>
    <row r="2849" spans="1:4" x14ac:dyDescent="0.35">
      <c r="A2849" s="457" t="s">
        <v>72</v>
      </c>
      <c r="B2849" s="458" t="s">
        <v>1686</v>
      </c>
      <c r="C2849" s="459">
        <v>2</v>
      </c>
      <c r="D2849" s="458">
        <v>2023</v>
      </c>
    </row>
    <row r="2850" spans="1:4" x14ac:dyDescent="0.35">
      <c r="A2850" s="457" t="s">
        <v>72</v>
      </c>
      <c r="B2850" s="458" t="s">
        <v>1687</v>
      </c>
      <c r="C2850" s="459">
        <v>3</v>
      </c>
      <c r="D2850" s="458">
        <v>2022</v>
      </c>
    </row>
    <row r="2851" spans="1:4" x14ac:dyDescent="0.35">
      <c r="A2851" s="457" t="s">
        <v>72</v>
      </c>
      <c r="B2851" s="458" t="s">
        <v>1687</v>
      </c>
      <c r="C2851" s="459">
        <v>2</v>
      </c>
      <c r="D2851" s="458">
        <v>2023</v>
      </c>
    </row>
    <row r="2852" spans="1:4" x14ac:dyDescent="0.35">
      <c r="A2852" s="457" t="s">
        <v>72</v>
      </c>
      <c r="B2852" s="458" t="s">
        <v>1686</v>
      </c>
      <c r="C2852" s="459">
        <v>4</v>
      </c>
      <c r="D2852" s="458">
        <v>2023</v>
      </c>
    </row>
    <row r="2853" spans="1:4" x14ac:dyDescent="0.35">
      <c r="A2853" s="457" t="s">
        <v>72</v>
      </c>
      <c r="B2853" s="458" t="s">
        <v>1687</v>
      </c>
      <c r="C2853" s="459">
        <v>4</v>
      </c>
      <c r="D2853" s="458">
        <v>2023</v>
      </c>
    </row>
    <row r="2854" spans="1:4" x14ac:dyDescent="0.35">
      <c r="A2854" s="457" t="s">
        <v>72</v>
      </c>
      <c r="B2854" s="458" t="s">
        <v>1677</v>
      </c>
      <c r="C2854" s="459">
        <v>1</v>
      </c>
      <c r="D2854" s="458">
        <v>2023</v>
      </c>
    </row>
    <row r="2855" spans="1:4" x14ac:dyDescent="0.35">
      <c r="A2855" s="457" t="s">
        <v>72</v>
      </c>
      <c r="B2855" s="458" t="s">
        <v>1679</v>
      </c>
      <c r="C2855" s="459">
        <v>12</v>
      </c>
      <c r="D2855" s="458">
        <v>2022</v>
      </c>
    </row>
    <row r="2856" spans="1:4" x14ac:dyDescent="0.35">
      <c r="A2856" s="457" t="s">
        <v>72</v>
      </c>
      <c r="B2856" s="458" t="s">
        <v>1680</v>
      </c>
      <c r="C2856" s="459">
        <v>9</v>
      </c>
      <c r="D2856" s="458">
        <v>2023</v>
      </c>
    </row>
    <row r="2857" spans="1:4" x14ac:dyDescent="0.35">
      <c r="A2857" s="457" t="s">
        <v>72</v>
      </c>
      <c r="B2857" s="458" t="s">
        <v>1681</v>
      </c>
      <c r="C2857" s="459">
        <v>5</v>
      </c>
      <c r="D2857" s="458">
        <v>2023</v>
      </c>
    </row>
    <row r="2858" spans="1:4" x14ac:dyDescent="0.35">
      <c r="A2858" s="457" t="s">
        <v>72</v>
      </c>
      <c r="B2858" s="458" t="s">
        <v>1681</v>
      </c>
      <c r="C2858" s="459">
        <v>15</v>
      </c>
      <c r="D2858" s="458">
        <v>2024</v>
      </c>
    </row>
    <row r="2859" spans="1:4" x14ac:dyDescent="0.35">
      <c r="A2859" s="457" t="s">
        <v>72</v>
      </c>
      <c r="B2859" s="458" t="s">
        <v>1681</v>
      </c>
      <c r="C2859" s="459">
        <v>9</v>
      </c>
      <c r="D2859" s="458">
        <v>2024</v>
      </c>
    </row>
    <row r="2860" spans="1:4" x14ac:dyDescent="0.35">
      <c r="A2860" s="457" t="s">
        <v>72</v>
      </c>
      <c r="B2860" s="458" t="s">
        <v>1682</v>
      </c>
      <c r="C2860" s="459">
        <v>5</v>
      </c>
      <c r="D2860" s="458">
        <v>2022</v>
      </c>
    </row>
    <row r="2861" spans="1:4" x14ac:dyDescent="0.35">
      <c r="A2861" s="457" t="s">
        <v>72</v>
      </c>
      <c r="B2861" s="458" t="s">
        <v>1682</v>
      </c>
      <c r="C2861" s="459">
        <v>2</v>
      </c>
      <c r="D2861" s="458">
        <v>2023</v>
      </c>
    </row>
    <row r="2862" spans="1:4" x14ac:dyDescent="0.35">
      <c r="A2862" s="457" t="s">
        <v>72</v>
      </c>
      <c r="B2862" s="458" t="s">
        <v>1685</v>
      </c>
      <c r="C2862" s="459">
        <v>16</v>
      </c>
      <c r="D2862" s="458">
        <v>2023</v>
      </c>
    </row>
    <row r="2863" spans="1:4" x14ac:dyDescent="0.35">
      <c r="A2863" s="457" t="s">
        <v>72</v>
      </c>
      <c r="B2863" s="458" t="s">
        <v>1688</v>
      </c>
      <c r="C2863" s="459">
        <v>12</v>
      </c>
      <c r="D2863" s="458">
        <v>2022</v>
      </c>
    </row>
    <row r="2864" spans="1:4" x14ac:dyDescent="0.35">
      <c r="A2864" s="457" t="s">
        <v>72</v>
      </c>
      <c r="B2864" s="458" t="s">
        <v>1688</v>
      </c>
      <c r="C2864" s="459">
        <v>1</v>
      </c>
      <c r="D2864" s="458">
        <v>2023</v>
      </c>
    </row>
    <row r="2865" spans="1:4" x14ac:dyDescent="0.35">
      <c r="A2865" s="457" t="s">
        <v>72</v>
      </c>
      <c r="B2865" s="458" t="s">
        <v>1686</v>
      </c>
      <c r="C2865" s="459">
        <v>17</v>
      </c>
      <c r="D2865" s="458">
        <v>2022</v>
      </c>
    </row>
    <row r="2866" spans="1:4" x14ac:dyDescent="0.35">
      <c r="A2866" s="457" t="s">
        <v>72</v>
      </c>
      <c r="B2866" s="458" t="s">
        <v>1686</v>
      </c>
      <c r="C2866" s="459">
        <v>0</v>
      </c>
      <c r="D2866" s="458">
        <v>2023</v>
      </c>
    </row>
    <row r="2867" spans="1:4" x14ac:dyDescent="0.35">
      <c r="A2867" s="457" t="s">
        <v>72</v>
      </c>
      <c r="B2867" s="458" t="s">
        <v>1686</v>
      </c>
      <c r="C2867" s="459">
        <v>6</v>
      </c>
      <c r="D2867" s="458">
        <v>2023</v>
      </c>
    </row>
    <row r="2868" spans="1:4" x14ac:dyDescent="0.35">
      <c r="A2868" s="457" t="s">
        <v>72</v>
      </c>
      <c r="B2868" s="458" t="s">
        <v>1687</v>
      </c>
      <c r="C2868" s="459">
        <v>12</v>
      </c>
      <c r="D2868" s="458">
        <v>2022</v>
      </c>
    </row>
    <row r="2869" spans="1:4" x14ac:dyDescent="0.35">
      <c r="A2869" s="457" t="s">
        <v>72</v>
      </c>
      <c r="B2869" s="458" t="s">
        <v>1687</v>
      </c>
      <c r="C2869" s="459">
        <v>14</v>
      </c>
      <c r="D2869" s="458">
        <v>2023</v>
      </c>
    </row>
    <row r="2870" spans="1:4" x14ac:dyDescent="0.35">
      <c r="A2870" s="457" t="s">
        <v>72</v>
      </c>
      <c r="B2870" s="458" t="s">
        <v>1678</v>
      </c>
      <c r="C2870" s="459">
        <v>6</v>
      </c>
      <c r="D2870" s="458">
        <v>2023</v>
      </c>
    </row>
    <row r="2871" spans="1:4" x14ac:dyDescent="0.35">
      <c r="A2871" s="457" t="s">
        <v>72</v>
      </c>
      <c r="B2871" s="458" t="s">
        <v>1679</v>
      </c>
      <c r="C2871" s="459">
        <v>30</v>
      </c>
      <c r="D2871" s="458">
        <v>2023</v>
      </c>
    </row>
    <row r="2872" spans="1:4" x14ac:dyDescent="0.35">
      <c r="A2872" s="457" t="s">
        <v>72</v>
      </c>
      <c r="B2872" s="458" t="s">
        <v>1681</v>
      </c>
      <c r="C2872" s="459">
        <v>60</v>
      </c>
      <c r="D2872" s="458">
        <v>2024</v>
      </c>
    </row>
    <row r="2873" spans="1:4" x14ac:dyDescent="0.35">
      <c r="A2873" s="457" t="s">
        <v>72</v>
      </c>
      <c r="B2873" s="458" t="s">
        <v>1682</v>
      </c>
      <c r="C2873" s="459">
        <v>60</v>
      </c>
      <c r="D2873" s="458">
        <v>2023</v>
      </c>
    </row>
    <row r="2874" spans="1:4" x14ac:dyDescent="0.35">
      <c r="A2874" s="457" t="s">
        <v>72</v>
      </c>
      <c r="B2874" s="458" t="s">
        <v>1683</v>
      </c>
      <c r="C2874" s="459">
        <v>20</v>
      </c>
      <c r="D2874" s="458">
        <v>2023</v>
      </c>
    </row>
    <row r="2875" spans="1:4" x14ac:dyDescent="0.35">
      <c r="A2875" s="457" t="s">
        <v>72</v>
      </c>
      <c r="B2875" s="458" t="s">
        <v>1685</v>
      </c>
      <c r="C2875" s="459">
        <v>40</v>
      </c>
      <c r="D2875" s="458">
        <v>2023</v>
      </c>
    </row>
    <row r="2876" spans="1:4" x14ac:dyDescent="0.35">
      <c r="A2876" s="457" t="s">
        <v>72</v>
      </c>
      <c r="B2876" s="458" t="s">
        <v>1688</v>
      </c>
      <c r="C2876" s="459">
        <v>30</v>
      </c>
      <c r="D2876" s="458">
        <v>2023</v>
      </c>
    </row>
    <row r="2877" spans="1:4" x14ac:dyDescent="0.35">
      <c r="A2877" s="457" t="s">
        <v>72</v>
      </c>
      <c r="B2877" s="458" t="s">
        <v>1686</v>
      </c>
      <c r="C2877" s="459">
        <v>38</v>
      </c>
      <c r="D2877" s="458">
        <v>2023</v>
      </c>
    </row>
    <row r="2878" spans="1:4" x14ac:dyDescent="0.35">
      <c r="A2878" s="457" t="s">
        <v>72</v>
      </c>
      <c r="B2878" s="458" t="s">
        <v>1687</v>
      </c>
      <c r="C2878" s="459">
        <v>35</v>
      </c>
      <c r="D2878" s="458">
        <v>2023</v>
      </c>
    </row>
    <row r="2879" spans="1:4" x14ac:dyDescent="0.35">
      <c r="A2879" s="457" t="s">
        <v>72</v>
      </c>
      <c r="B2879" s="458" t="s">
        <v>1677</v>
      </c>
      <c r="C2879" s="459">
        <v>5</v>
      </c>
      <c r="D2879" s="458">
        <v>2023</v>
      </c>
    </row>
    <row r="2880" spans="1:4" x14ac:dyDescent="0.35">
      <c r="A2880" s="457" t="s">
        <v>72</v>
      </c>
      <c r="B2880" s="458" t="s">
        <v>1678</v>
      </c>
      <c r="C2880" s="459">
        <v>4</v>
      </c>
      <c r="D2880" s="458">
        <v>2022</v>
      </c>
    </row>
    <row r="2881" spans="1:4" x14ac:dyDescent="0.35">
      <c r="A2881" s="457" t="s">
        <v>72</v>
      </c>
      <c r="B2881" s="458" t="s">
        <v>1678</v>
      </c>
      <c r="C2881" s="459">
        <v>5</v>
      </c>
      <c r="D2881" s="458">
        <v>2023</v>
      </c>
    </row>
    <row r="2882" spans="1:4" x14ac:dyDescent="0.35">
      <c r="A2882" s="457" t="s">
        <v>72</v>
      </c>
      <c r="B2882" s="458" t="s">
        <v>1679</v>
      </c>
      <c r="C2882" s="459">
        <v>4</v>
      </c>
      <c r="D2882" s="458">
        <v>2022</v>
      </c>
    </row>
    <row r="2883" spans="1:4" x14ac:dyDescent="0.35">
      <c r="A2883" s="457" t="s">
        <v>72</v>
      </c>
      <c r="B2883" s="458" t="s">
        <v>1679</v>
      </c>
      <c r="C2883" s="459">
        <v>5</v>
      </c>
      <c r="D2883" s="458">
        <v>2023</v>
      </c>
    </row>
    <row r="2884" spans="1:4" x14ac:dyDescent="0.35">
      <c r="A2884" s="457" t="s">
        <v>72</v>
      </c>
      <c r="B2884" s="458" t="s">
        <v>1680</v>
      </c>
      <c r="C2884" s="459">
        <v>5</v>
      </c>
      <c r="D2884" s="458">
        <v>2023</v>
      </c>
    </row>
    <row r="2885" spans="1:4" x14ac:dyDescent="0.35">
      <c r="A2885" s="457" t="s">
        <v>72</v>
      </c>
      <c r="B2885" s="458" t="s">
        <v>1681</v>
      </c>
      <c r="C2885" s="459">
        <v>10</v>
      </c>
      <c r="D2885" s="458">
        <v>2023</v>
      </c>
    </row>
    <row r="2886" spans="1:4" x14ac:dyDescent="0.35">
      <c r="A2886" s="457" t="s">
        <v>72</v>
      </c>
      <c r="B2886" s="458" t="s">
        <v>1681</v>
      </c>
      <c r="C2886" s="459">
        <v>11</v>
      </c>
      <c r="D2886" s="458">
        <v>2024</v>
      </c>
    </row>
    <row r="2887" spans="1:4" x14ac:dyDescent="0.35">
      <c r="A2887" s="457" t="s">
        <v>72</v>
      </c>
      <c r="B2887" s="458" t="s">
        <v>1682</v>
      </c>
      <c r="C2887" s="459">
        <v>4</v>
      </c>
      <c r="D2887" s="458">
        <v>2022</v>
      </c>
    </row>
    <row r="2888" spans="1:4" x14ac:dyDescent="0.35">
      <c r="A2888" s="457" t="s">
        <v>72</v>
      </c>
      <c r="B2888" s="458" t="s">
        <v>1682</v>
      </c>
      <c r="C2888" s="459">
        <v>6</v>
      </c>
      <c r="D2888" s="458">
        <v>2023</v>
      </c>
    </row>
    <row r="2889" spans="1:4" x14ac:dyDescent="0.35">
      <c r="A2889" s="457" t="s">
        <v>72</v>
      </c>
      <c r="B2889" s="458" t="s">
        <v>1682</v>
      </c>
      <c r="C2889" s="459">
        <v>1</v>
      </c>
      <c r="D2889" s="458">
        <v>2023</v>
      </c>
    </row>
    <row r="2890" spans="1:4" x14ac:dyDescent="0.35">
      <c r="A2890" s="457" t="s">
        <v>72</v>
      </c>
      <c r="B2890" s="458" t="s">
        <v>1683</v>
      </c>
      <c r="C2890" s="459">
        <v>5</v>
      </c>
      <c r="D2890" s="458">
        <v>2023</v>
      </c>
    </row>
    <row r="2891" spans="1:4" x14ac:dyDescent="0.35">
      <c r="A2891" s="457" t="s">
        <v>72</v>
      </c>
      <c r="B2891" s="458" t="s">
        <v>1684</v>
      </c>
      <c r="C2891" s="459">
        <v>5</v>
      </c>
      <c r="D2891" s="458">
        <v>2023</v>
      </c>
    </row>
    <row r="2892" spans="1:4" x14ac:dyDescent="0.35">
      <c r="A2892" s="457" t="s">
        <v>72</v>
      </c>
      <c r="B2892" s="458" t="s">
        <v>1685</v>
      </c>
      <c r="C2892" s="459">
        <v>5</v>
      </c>
      <c r="D2892" s="458">
        <v>2023</v>
      </c>
    </row>
    <row r="2893" spans="1:4" x14ac:dyDescent="0.35">
      <c r="A2893" s="457" t="s">
        <v>72</v>
      </c>
      <c r="B2893" s="458" t="s">
        <v>1688</v>
      </c>
      <c r="C2893" s="459">
        <v>5</v>
      </c>
      <c r="D2893" s="458">
        <v>2022</v>
      </c>
    </row>
    <row r="2894" spans="1:4" x14ac:dyDescent="0.35">
      <c r="A2894" s="457" t="s">
        <v>72</v>
      </c>
      <c r="B2894" s="458" t="s">
        <v>1688</v>
      </c>
      <c r="C2894" s="459">
        <v>6</v>
      </c>
      <c r="D2894" s="458">
        <v>2023</v>
      </c>
    </row>
    <row r="2895" spans="1:4" x14ac:dyDescent="0.35">
      <c r="A2895" s="457" t="s">
        <v>72</v>
      </c>
      <c r="B2895" s="458" t="s">
        <v>1688</v>
      </c>
      <c r="C2895" s="459">
        <v>1</v>
      </c>
      <c r="D2895" s="458">
        <v>2023</v>
      </c>
    </row>
    <row r="2896" spans="1:4" x14ac:dyDescent="0.35">
      <c r="A2896" s="457" t="s">
        <v>72</v>
      </c>
      <c r="B2896" s="458" t="s">
        <v>1686</v>
      </c>
      <c r="C2896" s="459">
        <v>4</v>
      </c>
      <c r="D2896" s="458">
        <v>2022</v>
      </c>
    </row>
    <row r="2897" spans="1:4" x14ac:dyDescent="0.35">
      <c r="A2897" s="457" t="s">
        <v>72</v>
      </c>
      <c r="B2897" s="458" t="s">
        <v>1686</v>
      </c>
      <c r="C2897" s="459">
        <v>7</v>
      </c>
      <c r="D2897" s="458">
        <v>2023</v>
      </c>
    </row>
    <row r="2898" spans="1:4" x14ac:dyDescent="0.35">
      <c r="A2898" s="457" t="s">
        <v>72</v>
      </c>
      <c r="B2898" s="458" t="s">
        <v>1687</v>
      </c>
      <c r="C2898" s="459">
        <v>4</v>
      </c>
      <c r="D2898" s="458">
        <v>2022</v>
      </c>
    </row>
    <row r="2899" spans="1:4" x14ac:dyDescent="0.35">
      <c r="A2899" s="457" t="s">
        <v>72</v>
      </c>
      <c r="B2899" s="458" t="s">
        <v>1687</v>
      </c>
      <c r="C2899" s="459">
        <v>5</v>
      </c>
      <c r="D2899" s="458">
        <v>2023</v>
      </c>
    </row>
    <row r="2900" spans="1:4" x14ac:dyDescent="0.35">
      <c r="A2900" s="457" t="s">
        <v>72</v>
      </c>
      <c r="B2900" s="458" t="s">
        <v>1687</v>
      </c>
      <c r="C2900" s="459">
        <v>1</v>
      </c>
      <c r="D2900" s="458">
        <v>2023</v>
      </c>
    </row>
    <row r="2901" spans="1:4" x14ac:dyDescent="0.35">
      <c r="A2901" s="457" t="s">
        <v>72</v>
      </c>
      <c r="B2901" s="458" t="s">
        <v>1678</v>
      </c>
      <c r="C2901" s="459">
        <v>2</v>
      </c>
      <c r="D2901" s="458">
        <v>2023</v>
      </c>
    </row>
    <row r="2902" spans="1:4" x14ac:dyDescent="0.35">
      <c r="A2902" s="457" t="s">
        <v>72</v>
      </c>
      <c r="B2902" s="458" t="s">
        <v>1677</v>
      </c>
      <c r="C2902" s="459">
        <v>3</v>
      </c>
      <c r="D2902" s="458">
        <v>2023</v>
      </c>
    </row>
    <row r="2903" spans="1:4" x14ac:dyDescent="0.35">
      <c r="A2903" s="457" t="s">
        <v>72</v>
      </c>
      <c r="B2903" s="458" t="s">
        <v>1678</v>
      </c>
      <c r="C2903" s="459">
        <v>3</v>
      </c>
      <c r="D2903" s="458">
        <v>2023</v>
      </c>
    </row>
    <row r="2904" spans="1:4" x14ac:dyDescent="0.35">
      <c r="A2904" s="457" t="s">
        <v>72</v>
      </c>
      <c r="B2904" s="458" t="s">
        <v>1679</v>
      </c>
      <c r="C2904" s="459">
        <v>3</v>
      </c>
      <c r="D2904" s="458">
        <v>2023</v>
      </c>
    </row>
    <row r="2905" spans="1:4" x14ac:dyDescent="0.35">
      <c r="A2905" s="457" t="s">
        <v>72</v>
      </c>
      <c r="B2905" s="458" t="s">
        <v>1680</v>
      </c>
      <c r="C2905" s="459">
        <v>1</v>
      </c>
      <c r="D2905" s="458">
        <v>2023</v>
      </c>
    </row>
    <row r="2906" spans="1:4" x14ac:dyDescent="0.35">
      <c r="A2906" s="457" t="s">
        <v>72</v>
      </c>
      <c r="B2906" s="458" t="s">
        <v>1681</v>
      </c>
      <c r="C2906" s="459">
        <v>2</v>
      </c>
      <c r="D2906" s="458">
        <v>2023</v>
      </c>
    </row>
    <row r="2907" spans="1:4" x14ac:dyDescent="0.35">
      <c r="A2907" s="457" t="s">
        <v>72</v>
      </c>
      <c r="B2907" s="458" t="s">
        <v>1681</v>
      </c>
      <c r="C2907" s="459">
        <v>6</v>
      </c>
      <c r="D2907" s="458">
        <v>2024</v>
      </c>
    </row>
    <row r="2908" spans="1:4" x14ac:dyDescent="0.35">
      <c r="A2908" s="457" t="s">
        <v>72</v>
      </c>
      <c r="B2908" s="458" t="s">
        <v>1682</v>
      </c>
      <c r="C2908" s="459">
        <v>2</v>
      </c>
      <c r="D2908" s="458">
        <v>2023</v>
      </c>
    </row>
    <row r="2909" spans="1:4" x14ac:dyDescent="0.35">
      <c r="A2909" s="457" t="s">
        <v>72</v>
      </c>
      <c r="B2909" s="458" t="s">
        <v>1683</v>
      </c>
      <c r="C2909" s="459">
        <v>3</v>
      </c>
      <c r="D2909" s="458">
        <v>2023</v>
      </c>
    </row>
    <row r="2910" spans="1:4" x14ac:dyDescent="0.35">
      <c r="A2910" s="457" t="s">
        <v>72</v>
      </c>
      <c r="B2910" s="458" t="s">
        <v>1684</v>
      </c>
      <c r="C2910" s="459">
        <v>1</v>
      </c>
      <c r="D2910" s="458">
        <v>2023</v>
      </c>
    </row>
    <row r="2911" spans="1:4" x14ac:dyDescent="0.35">
      <c r="A2911" s="457" t="s">
        <v>72</v>
      </c>
      <c r="B2911" s="458" t="s">
        <v>1685</v>
      </c>
      <c r="C2911" s="459">
        <v>2</v>
      </c>
      <c r="D2911" s="458">
        <v>2023</v>
      </c>
    </row>
    <row r="2912" spans="1:4" x14ac:dyDescent="0.35">
      <c r="A2912" s="457" t="s">
        <v>72</v>
      </c>
      <c r="B2912" s="458" t="s">
        <v>1688</v>
      </c>
      <c r="C2912" s="459">
        <v>3</v>
      </c>
      <c r="D2912" s="458">
        <v>2023</v>
      </c>
    </row>
    <row r="2913" spans="1:4" x14ac:dyDescent="0.35">
      <c r="A2913" s="457" t="s">
        <v>72</v>
      </c>
      <c r="B2913" s="458" t="s">
        <v>1686</v>
      </c>
      <c r="C2913" s="459">
        <v>3</v>
      </c>
      <c r="D2913" s="458">
        <v>2023</v>
      </c>
    </row>
    <row r="2914" spans="1:4" x14ac:dyDescent="0.35">
      <c r="A2914" s="457" t="s">
        <v>72</v>
      </c>
      <c r="B2914" s="458" t="s">
        <v>1687</v>
      </c>
      <c r="C2914" s="459">
        <v>3</v>
      </c>
      <c r="D2914" s="458">
        <v>2023</v>
      </c>
    </row>
    <row r="2915" spans="1:4" x14ac:dyDescent="0.35">
      <c r="A2915" s="457" t="s">
        <v>72</v>
      </c>
      <c r="B2915" s="458" t="s">
        <v>1677</v>
      </c>
      <c r="C2915" s="459">
        <v>1</v>
      </c>
      <c r="D2915" s="458">
        <v>2023</v>
      </c>
    </row>
    <row r="2916" spans="1:4" x14ac:dyDescent="0.35">
      <c r="A2916" s="457" t="s">
        <v>72</v>
      </c>
      <c r="B2916" s="458" t="s">
        <v>1678</v>
      </c>
      <c r="C2916" s="459">
        <v>5</v>
      </c>
      <c r="D2916" s="458">
        <v>2023</v>
      </c>
    </row>
    <row r="2917" spans="1:4" x14ac:dyDescent="0.35">
      <c r="A2917" s="457" t="s">
        <v>72</v>
      </c>
      <c r="B2917" s="458" t="s">
        <v>1679</v>
      </c>
      <c r="C2917" s="459">
        <v>1</v>
      </c>
      <c r="D2917" s="458">
        <v>2023</v>
      </c>
    </row>
    <row r="2918" spans="1:4" x14ac:dyDescent="0.35">
      <c r="A2918" s="457" t="s">
        <v>72</v>
      </c>
      <c r="B2918" s="458" t="s">
        <v>1681</v>
      </c>
      <c r="C2918" s="459">
        <v>2</v>
      </c>
      <c r="D2918" s="458">
        <v>2024</v>
      </c>
    </row>
    <row r="2919" spans="1:4" x14ac:dyDescent="0.35">
      <c r="A2919" s="457" t="s">
        <v>72</v>
      </c>
      <c r="B2919" s="458" t="s">
        <v>1682</v>
      </c>
      <c r="C2919" s="459">
        <v>1</v>
      </c>
      <c r="D2919" s="458">
        <v>2023</v>
      </c>
    </row>
    <row r="2920" spans="1:4" x14ac:dyDescent="0.35">
      <c r="A2920" s="457" t="s">
        <v>72</v>
      </c>
      <c r="B2920" s="458" t="s">
        <v>1683</v>
      </c>
      <c r="C2920" s="459">
        <v>1</v>
      </c>
      <c r="D2920" s="458">
        <v>2023</v>
      </c>
    </row>
    <row r="2921" spans="1:4" x14ac:dyDescent="0.35">
      <c r="A2921" s="457" t="s">
        <v>72</v>
      </c>
      <c r="B2921" s="458" t="s">
        <v>1686</v>
      </c>
      <c r="C2921" s="459">
        <v>2</v>
      </c>
      <c r="D2921" s="458">
        <v>2023</v>
      </c>
    </row>
    <row r="2922" spans="1:4" x14ac:dyDescent="0.35">
      <c r="A2922" s="457" t="s">
        <v>72</v>
      </c>
      <c r="B2922" s="458" t="s">
        <v>1687</v>
      </c>
      <c r="C2922" s="459">
        <v>-2</v>
      </c>
      <c r="D2922" s="458">
        <v>2023</v>
      </c>
    </row>
    <row r="2923" spans="1:4" x14ac:dyDescent="0.35">
      <c r="A2923" s="457" t="s">
        <v>72</v>
      </c>
      <c r="B2923" s="458" t="s">
        <v>1680</v>
      </c>
      <c r="C2923" s="459">
        <v>3</v>
      </c>
      <c r="D2923" s="458">
        <v>2023</v>
      </c>
    </row>
    <row r="2924" spans="1:4" x14ac:dyDescent="0.35">
      <c r="A2924" s="457" t="s">
        <v>72</v>
      </c>
      <c r="B2924" s="458" t="s">
        <v>1681</v>
      </c>
      <c r="C2924" s="459">
        <v>3</v>
      </c>
      <c r="D2924" s="458">
        <v>2023</v>
      </c>
    </row>
    <row r="2925" spans="1:4" x14ac:dyDescent="0.35">
      <c r="A2925" s="457" t="s">
        <v>72</v>
      </c>
      <c r="B2925" s="458" t="s">
        <v>1684</v>
      </c>
      <c r="C2925" s="459">
        <v>1</v>
      </c>
      <c r="D2925" s="458">
        <v>2023</v>
      </c>
    </row>
    <row r="2926" spans="1:4" x14ac:dyDescent="0.35">
      <c r="A2926" s="457" t="s">
        <v>72</v>
      </c>
      <c r="B2926" s="458" t="s">
        <v>1688</v>
      </c>
      <c r="C2926" s="459">
        <v>6</v>
      </c>
      <c r="D2926" s="458">
        <v>2022</v>
      </c>
    </row>
    <row r="2927" spans="1:4" x14ac:dyDescent="0.35">
      <c r="A2927" s="457" t="s">
        <v>72</v>
      </c>
      <c r="B2927" s="458" t="s">
        <v>1687</v>
      </c>
      <c r="C2927" s="459">
        <v>5</v>
      </c>
      <c r="D2927" s="458">
        <v>2022</v>
      </c>
    </row>
    <row r="2928" spans="1:4" x14ac:dyDescent="0.35">
      <c r="A2928" s="457" t="s">
        <v>72</v>
      </c>
      <c r="B2928" s="458" t="s">
        <v>1679</v>
      </c>
      <c r="C2928" s="459">
        <v>2</v>
      </c>
      <c r="D2928" s="458">
        <v>2023</v>
      </c>
    </row>
    <row r="2929" spans="1:4" x14ac:dyDescent="0.35">
      <c r="A2929" s="457" t="s">
        <v>72</v>
      </c>
      <c r="B2929" s="458" t="s">
        <v>1681</v>
      </c>
      <c r="C2929" s="459">
        <v>3</v>
      </c>
      <c r="D2929" s="458">
        <v>2023</v>
      </c>
    </row>
    <row r="2930" spans="1:4" x14ac:dyDescent="0.35">
      <c r="A2930" s="457" t="s">
        <v>72</v>
      </c>
      <c r="B2930" s="458" t="s">
        <v>1677</v>
      </c>
      <c r="C2930" s="459">
        <v>15</v>
      </c>
      <c r="D2930" s="458">
        <v>2023</v>
      </c>
    </row>
    <row r="2931" spans="1:4" x14ac:dyDescent="0.35">
      <c r="A2931" s="457" t="s">
        <v>72</v>
      </c>
      <c r="B2931" s="458" t="s">
        <v>1678</v>
      </c>
      <c r="C2931" s="459">
        <v>15</v>
      </c>
      <c r="D2931" s="458">
        <v>2022</v>
      </c>
    </row>
    <row r="2932" spans="1:4" x14ac:dyDescent="0.35">
      <c r="A2932" s="457" t="s">
        <v>72</v>
      </c>
      <c r="B2932" s="458" t="s">
        <v>1678</v>
      </c>
      <c r="C2932" s="459">
        <v>15</v>
      </c>
      <c r="D2932" s="458">
        <v>2023</v>
      </c>
    </row>
    <row r="2933" spans="1:4" x14ac:dyDescent="0.35">
      <c r="A2933" s="457" t="s">
        <v>72</v>
      </c>
      <c r="B2933" s="458" t="s">
        <v>1679</v>
      </c>
      <c r="C2933" s="459">
        <v>15</v>
      </c>
      <c r="D2933" s="458">
        <v>2022</v>
      </c>
    </row>
    <row r="2934" spans="1:4" x14ac:dyDescent="0.35">
      <c r="A2934" s="457" t="s">
        <v>72</v>
      </c>
      <c r="B2934" s="458" t="s">
        <v>1679</v>
      </c>
      <c r="C2934" s="459">
        <v>15</v>
      </c>
      <c r="D2934" s="458">
        <v>2023</v>
      </c>
    </row>
    <row r="2935" spans="1:4" x14ac:dyDescent="0.35">
      <c r="A2935" s="457" t="s">
        <v>72</v>
      </c>
      <c r="B2935" s="458" t="s">
        <v>1680</v>
      </c>
      <c r="C2935" s="459">
        <v>19</v>
      </c>
      <c r="D2935" s="458">
        <v>2023</v>
      </c>
    </row>
    <row r="2936" spans="1:4" x14ac:dyDescent="0.35">
      <c r="A2936" s="457" t="s">
        <v>72</v>
      </c>
      <c r="B2936" s="458" t="s">
        <v>1681</v>
      </c>
      <c r="C2936" s="459">
        <v>23</v>
      </c>
      <c r="D2936" s="458">
        <v>2023</v>
      </c>
    </row>
    <row r="2937" spans="1:4" x14ac:dyDescent="0.35">
      <c r="A2937" s="457" t="s">
        <v>72</v>
      </c>
      <c r="B2937" s="458" t="s">
        <v>1681</v>
      </c>
      <c r="C2937" s="459">
        <v>30</v>
      </c>
      <c r="D2937" s="458">
        <v>2024</v>
      </c>
    </row>
    <row r="2938" spans="1:4" x14ac:dyDescent="0.35">
      <c r="A2938" s="457" t="s">
        <v>72</v>
      </c>
      <c r="B2938" s="458" t="s">
        <v>1682</v>
      </c>
      <c r="C2938" s="459">
        <v>15</v>
      </c>
      <c r="D2938" s="458">
        <v>2022</v>
      </c>
    </row>
    <row r="2939" spans="1:4" x14ac:dyDescent="0.35">
      <c r="A2939" s="457" t="s">
        <v>72</v>
      </c>
      <c r="B2939" s="458" t="s">
        <v>1682</v>
      </c>
      <c r="C2939" s="459">
        <v>15</v>
      </c>
      <c r="D2939" s="458">
        <v>2023</v>
      </c>
    </row>
    <row r="2940" spans="1:4" x14ac:dyDescent="0.35">
      <c r="A2940" s="457" t="s">
        <v>72</v>
      </c>
      <c r="B2940" s="458" t="s">
        <v>1683</v>
      </c>
      <c r="C2940" s="459">
        <v>20</v>
      </c>
      <c r="D2940" s="458">
        <v>2023</v>
      </c>
    </row>
    <row r="2941" spans="1:4" x14ac:dyDescent="0.35">
      <c r="A2941" s="457" t="s">
        <v>72</v>
      </c>
      <c r="B2941" s="458" t="s">
        <v>1684</v>
      </c>
      <c r="C2941" s="459">
        <v>15</v>
      </c>
      <c r="D2941" s="458">
        <v>2023</v>
      </c>
    </row>
    <row r="2942" spans="1:4" x14ac:dyDescent="0.35">
      <c r="A2942" s="457" t="s">
        <v>72</v>
      </c>
      <c r="B2942" s="458" t="s">
        <v>1685</v>
      </c>
      <c r="C2942" s="459">
        <v>25</v>
      </c>
      <c r="D2942" s="458">
        <v>2023</v>
      </c>
    </row>
    <row r="2943" spans="1:4" x14ac:dyDescent="0.35">
      <c r="A2943" s="457" t="s">
        <v>72</v>
      </c>
      <c r="B2943" s="458" t="s">
        <v>1688</v>
      </c>
      <c r="C2943" s="459">
        <v>15</v>
      </c>
      <c r="D2943" s="458">
        <v>2022</v>
      </c>
    </row>
    <row r="2944" spans="1:4" x14ac:dyDescent="0.35">
      <c r="A2944" s="457" t="s">
        <v>72</v>
      </c>
      <c r="B2944" s="458" t="s">
        <v>1688</v>
      </c>
      <c r="C2944" s="459">
        <v>15</v>
      </c>
      <c r="D2944" s="458">
        <v>2023</v>
      </c>
    </row>
    <row r="2945" spans="1:4" x14ac:dyDescent="0.35">
      <c r="A2945" s="457" t="s">
        <v>72</v>
      </c>
      <c r="B2945" s="458" t="s">
        <v>1686</v>
      </c>
      <c r="C2945" s="459">
        <v>15</v>
      </c>
      <c r="D2945" s="458">
        <v>2022</v>
      </c>
    </row>
    <row r="2946" spans="1:4" x14ac:dyDescent="0.35">
      <c r="A2946" s="457" t="s">
        <v>72</v>
      </c>
      <c r="B2946" s="458" t="s">
        <v>1686</v>
      </c>
      <c r="C2946" s="459">
        <v>15</v>
      </c>
      <c r="D2946" s="458">
        <v>2023</v>
      </c>
    </row>
    <row r="2947" spans="1:4" x14ac:dyDescent="0.35">
      <c r="A2947" s="457" t="s">
        <v>72</v>
      </c>
      <c r="B2947" s="458" t="s">
        <v>1687</v>
      </c>
      <c r="C2947" s="459">
        <v>15</v>
      </c>
      <c r="D2947" s="458">
        <v>2022</v>
      </c>
    </row>
    <row r="2948" spans="1:4" x14ac:dyDescent="0.35">
      <c r="A2948" s="457" t="s">
        <v>72</v>
      </c>
      <c r="B2948" s="458" t="s">
        <v>1687</v>
      </c>
      <c r="C2948" s="459">
        <v>15</v>
      </c>
      <c r="D2948" s="458">
        <v>2023</v>
      </c>
    </row>
    <row r="2949" spans="1:4" x14ac:dyDescent="0.35">
      <c r="A2949" s="457" t="s">
        <v>72</v>
      </c>
      <c r="B2949" s="458" t="s">
        <v>1677</v>
      </c>
      <c r="C2949" s="459">
        <v>2</v>
      </c>
      <c r="D2949" s="458">
        <v>2023</v>
      </c>
    </row>
    <row r="2950" spans="1:4" x14ac:dyDescent="0.35">
      <c r="A2950" s="457" t="s">
        <v>72</v>
      </c>
      <c r="B2950" s="458" t="s">
        <v>1684</v>
      </c>
      <c r="C2950" s="459">
        <v>1</v>
      </c>
      <c r="D2950" s="458">
        <v>2023</v>
      </c>
    </row>
    <row r="2951" spans="1:4" x14ac:dyDescent="0.35">
      <c r="A2951" s="457" t="s">
        <v>72</v>
      </c>
      <c r="B2951" s="458" t="s">
        <v>1685</v>
      </c>
      <c r="C2951" s="459">
        <v>2</v>
      </c>
      <c r="D2951" s="458">
        <v>2023</v>
      </c>
    </row>
    <row r="2952" spans="1:4" x14ac:dyDescent="0.35">
      <c r="A2952" s="457" t="s">
        <v>72</v>
      </c>
      <c r="B2952" s="458" t="s">
        <v>1688</v>
      </c>
      <c r="C2952" s="459">
        <v>1</v>
      </c>
      <c r="D2952" s="458">
        <v>2023</v>
      </c>
    </row>
    <row r="2953" spans="1:4" x14ac:dyDescent="0.35">
      <c r="A2953" s="457" t="s">
        <v>72</v>
      </c>
      <c r="B2953" s="458" t="s">
        <v>1686</v>
      </c>
      <c r="C2953" s="459">
        <v>3</v>
      </c>
      <c r="D2953" s="458">
        <v>2022</v>
      </c>
    </row>
    <row r="2954" spans="1:4" x14ac:dyDescent="0.35">
      <c r="A2954" s="457" t="s">
        <v>72</v>
      </c>
      <c r="B2954" s="458" t="s">
        <v>1681</v>
      </c>
      <c r="C2954" s="459">
        <v>4</v>
      </c>
      <c r="D2954" s="458">
        <v>2024</v>
      </c>
    </row>
    <row r="2955" spans="1:4" x14ac:dyDescent="0.35">
      <c r="A2955" s="457" t="s">
        <v>72</v>
      </c>
      <c r="B2955" s="458" t="s">
        <v>1677</v>
      </c>
      <c r="C2955" s="459">
        <v>1</v>
      </c>
      <c r="D2955" s="458">
        <v>2023</v>
      </c>
    </row>
    <row r="2956" spans="1:4" x14ac:dyDescent="0.35">
      <c r="A2956" s="457" t="s">
        <v>72</v>
      </c>
      <c r="B2956" s="458" t="s">
        <v>1681</v>
      </c>
      <c r="C2956" s="459">
        <v>1</v>
      </c>
      <c r="D2956" s="458">
        <v>2023</v>
      </c>
    </row>
    <row r="2957" spans="1:4" x14ac:dyDescent="0.35">
      <c r="A2957" s="457" t="s">
        <v>72</v>
      </c>
      <c r="B2957" s="458" t="s">
        <v>1681</v>
      </c>
      <c r="C2957" s="459">
        <v>1</v>
      </c>
      <c r="D2957" s="458">
        <v>2024</v>
      </c>
    </row>
    <row r="2958" spans="1:4" x14ac:dyDescent="0.35">
      <c r="A2958" s="457" t="s">
        <v>72</v>
      </c>
      <c r="B2958" s="458" t="s">
        <v>1687</v>
      </c>
      <c r="C2958" s="459">
        <v>1</v>
      </c>
      <c r="D2958" s="458">
        <v>2022</v>
      </c>
    </row>
    <row r="2959" spans="1:4" x14ac:dyDescent="0.35">
      <c r="A2959" s="457" t="s">
        <v>72</v>
      </c>
      <c r="B2959" s="458" t="s">
        <v>1687</v>
      </c>
      <c r="C2959" s="459">
        <v>1</v>
      </c>
      <c r="D2959" s="458">
        <v>2023</v>
      </c>
    </row>
    <row r="2960" spans="1:4" x14ac:dyDescent="0.35">
      <c r="A2960" s="457" t="s">
        <v>72</v>
      </c>
      <c r="B2960" s="458" t="s">
        <v>1679</v>
      </c>
      <c r="C2960" s="459">
        <v>1</v>
      </c>
      <c r="D2960" s="458">
        <v>2023</v>
      </c>
    </row>
    <row r="2961" spans="1:4" x14ac:dyDescent="0.35">
      <c r="A2961" s="457" t="s">
        <v>72</v>
      </c>
      <c r="B2961" s="458" t="s">
        <v>1688</v>
      </c>
      <c r="C2961" s="459">
        <v>1</v>
      </c>
      <c r="D2961" s="458">
        <v>2023</v>
      </c>
    </row>
    <row r="2962" spans="1:4" x14ac:dyDescent="0.35">
      <c r="A2962" s="457" t="s">
        <v>72</v>
      </c>
      <c r="B2962" s="458" t="s">
        <v>1677</v>
      </c>
      <c r="C2962" s="459">
        <v>4</v>
      </c>
      <c r="D2962" s="458">
        <v>2023</v>
      </c>
    </row>
    <row r="2963" spans="1:4" x14ac:dyDescent="0.35">
      <c r="A2963" s="457" t="s">
        <v>72</v>
      </c>
      <c r="B2963" s="458" t="s">
        <v>1678</v>
      </c>
      <c r="C2963" s="459">
        <v>16</v>
      </c>
      <c r="D2963" s="458">
        <v>2022</v>
      </c>
    </row>
    <row r="2964" spans="1:4" x14ac:dyDescent="0.35">
      <c r="A2964" s="457" t="s">
        <v>72</v>
      </c>
      <c r="B2964" s="458" t="s">
        <v>1678</v>
      </c>
      <c r="C2964" s="459">
        <v>4</v>
      </c>
      <c r="D2964" s="458">
        <v>2023</v>
      </c>
    </row>
    <row r="2965" spans="1:4" x14ac:dyDescent="0.35">
      <c r="A2965" s="457" t="s">
        <v>72</v>
      </c>
      <c r="B2965" s="458" t="s">
        <v>1679</v>
      </c>
      <c r="C2965" s="459">
        <v>4</v>
      </c>
      <c r="D2965" s="458">
        <v>2023</v>
      </c>
    </row>
    <row r="2966" spans="1:4" x14ac:dyDescent="0.35">
      <c r="A2966" s="457" t="s">
        <v>72</v>
      </c>
      <c r="B2966" s="458" t="s">
        <v>1680</v>
      </c>
      <c r="C2966" s="459">
        <v>4</v>
      </c>
      <c r="D2966" s="458">
        <v>2023</v>
      </c>
    </row>
    <row r="2967" spans="1:4" x14ac:dyDescent="0.35">
      <c r="A2967" s="457" t="s">
        <v>72</v>
      </c>
      <c r="B2967" s="458" t="s">
        <v>1681</v>
      </c>
      <c r="C2967" s="459">
        <v>4</v>
      </c>
      <c r="D2967" s="458">
        <v>2023</v>
      </c>
    </row>
    <row r="2968" spans="1:4" x14ac:dyDescent="0.35">
      <c r="A2968" s="457" t="s">
        <v>72</v>
      </c>
      <c r="B2968" s="458" t="s">
        <v>1681</v>
      </c>
      <c r="C2968" s="459">
        <v>8</v>
      </c>
      <c r="D2968" s="458">
        <v>2024</v>
      </c>
    </row>
    <row r="2969" spans="1:4" x14ac:dyDescent="0.35">
      <c r="A2969" s="457" t="s">
        <v>72</v>
      </c>
      <c r="B2969" s="458" t="s">
        <v>1682</v>
      </c>
      <c r="C2969" s="459">
        <v>6</v>
      </c>
      <c r="D2969" s="458">
        <v>2022</v>
      </c>
    </row>
    <row r="2970" spans="1:4" x14ac:dyDescent="0.35">
      <c r="A2970" s="457" t="s">
        <v>72</v>
      </c>
      <c r="B2970" s="458" t="s">
        <v>1682</v>
      </c>
      <c r="C2970" s="459">
        <v>4</v>
      </c>
      <c r="D2970" s="458">
        <v>2023</v>
      </c>
    </row>
    <row r="2971" spans="1:4" x14ac:dyDescent="0.35">
      <c r="A2971" s="457" t="s">
        <v>72</v>
      </c>
      <c r="B2971" s="458" t="s">
        <v>1683</v>
      </c>
      <c r="C2971" s="459">
        <v>4</v>
      </c>
      <c r="D2971" s="458">
        <v>2023</v>
      </c>
    </row>
    <row r="2972" spans="1:4" x14ac:dyDescent="0.35">
      <c r="A2972" s="457" t="s">
        <v>72</v>
      </c>
      <c r="B2972" s="458" t="s">
        <v>1684</v>
      </c>
      <c r="C2972" s="459">
        <v>6</v>
      </c>
      <c r="D2972" s="458">
        <v>2023</v>
      </c>
    </row>
    <row r="2973" spans="1:4" x14ac:dyDescent="0.35">
      <c r="A2973" s="457" t="s">
        <v>72</v>
      </c>
      <c r="B2973" s="458" t="s">
        <v>1685</v>
      </c>
      <c r="C2973" s="459">
        <v>4</v>
      </c>
      <c r="D2973" s="458">
        <v>2023</v>
      </c>
    </row>
    <row r="2974" spans="1:4" x14ac:dyDescent="0.35">
      <c r="A2974" s="457" t="s">
        <v>72</v>
      </c>
      <c r="B2974" s="458" t="s">
        <v>1688</v>
      </c>
      <c r="C2974" s="459">
        <v>4</v>
      </c>
      <c r="D2974" s="458">
        <v>2023</v>
      </c>
    </row>
    <row r="2975" spans="1:4" x14ac:dyDescent="0.35">
      <c r="A2975" s="457" t="s">
        <v>72</v>
      </c>
      <c r="B2975" s="458" t="s">
        <v>1686</v>
      </c>
      <c r="C2975" s="459">
        <v>6</v>
      </c>
      <c r="D2975" s="458">
        <v>2022</v>
      </c>
    </row>
    <row r="2976" spans="1:4" x14ac:dyDescent="0.35">
      <c r="A2976" s="457" t="s">
        <v>72</v>
      </c>
      <c r="B2976" s="458" t="s">
        <v>1686</v>
      </c>
      <c r="C2976" s="459">
        <v>4</v>
      </c>
      <c r="D2976" s="458">
        <v>2023</v>
      </c>
    </row>
    <row r="2977" spans="1:4" x14ac:dyDescent="0.35">
      <c r="A2977" s="457" t="s">
        <v>72</v>
      </c>
      <c r="B2977" s="458" t="s">
        <v>1687</v>
      </c>
      <c r="C2977" s="459">
        <v>4</v>
      </c>
      <c r="D2977" s="458">
        <v>2023</v>
      </c>
    </row>
    <row r="2978" spans="1:4" x14ac:dyDescent="0.35">
      <c r="A2978" s="457" t="s">
        <v>72</v>
      </c>
      <c r="B2978" s="458" t="s">
        <v>1688</v>
      </c>
      <c r="C2978" s="459">
        <v>4</v>
      </c>
      <c r="D2978" s="458">
        <v>2022</v>
      </c>
    </row>
    <row r="2979" spans="1:4" x14ac:dyDescent="0.35">
      <c r="A2979" s="457" t="s">
        <v>72</v>
      </c>
      <c r="B2979" s="458" t="s">
        <v>1677</v>
      </c>
      <c r="C2979" s="459">
        <v>1</v>
      </c>
      <c r="D2979" s="458">
        <v>2023</v>
      </c>
    </row>
    <row r="2980" spans="1:4" x14ac:dyDescent="0.35">
      <c r="A2980" s="457" t="s">
        <v>72</v>
      </c>
      <c r="B2980" s="458" t="s">
        <v>1678</v>
      </c>
      <c r="C2980" s="459">
        <v>2</v>
      </c>
      <c r="D2980" s="458">
        <v>2022</v>
      </c>
    </row>
    <row r="2981" spans="1:4" x14ac:dyDescent="0.35">
      <c r="A2981" s="457" t="s">
        <v>72</v>
      </c>
      <c r="B2981" s="458" t="s">
        <v>1678</v>
      </c>
      <c r="C2981" s="459">
        <v>2</v>
      </c>
      <c r="D2981" s="458">
        <v>2023</v>
      </c>
    </row>
    <row r="2982" spans="1:4" x14ac:dyDescent="0.35">
      <c r="A2982" s="457" t="s">
        <v>72</v>
      </c>
      <c r="B2982" s="458" t="s">
        <v>1679</v>
      </c>
      <c r="C2982" s="459">
        <v>2</v>
      </c>
      <c r="D2982" s="458">
        <v>2022</v>
      </c>
    </row>
    <row r="2983" spans="1:4" x14ac:dyDescent="0.35">
      <c r="A2983" s="457" t="s">
        <v>72</v>
      </c>
      <c r="B2983" s="458" t="s">
        <v>1679</v>
      </c>
      <c r="C2983" s="459">
        <v>2</v>
      </c>
      <c r="D2983" s="458">
        <v>2023</v>
      </c>
    </row>
    <row r="2984" spans="1:4" x14ac:dyDescent="0.35">
      <c r="A2984" s="457" t="s">
        <v>72</v>
      </c>
      <c r="B2984" s="458" t="s">
        <v>1680</v>
      </c>
      <c r="C2984" s="459">
        <v>2</v>
      </c>
      <c r="D2984" s="458">
        <v>2023</v>
      </c>
    </row>
    <row r="2985" spans="1:4" x14ac:dyDescent="0.35">
      <c r="A2985" s="457" t="s">
        <v>72</v>
      </c>
      <c r="B2985" s="458" t="s">
        <v>1681</v>
      </c>
      <c r="C2985" s="459">
        <v>1</v>
      </c>
      <c r="D2985" s="458">
        <v>2023</v>
      </c>
    </row>
    <row r="2986" spans="1:4" x14ac:dyDescent="0.35">
      <c r="A2986" s="457" t="s">
        <v>72</v>
      </c>
      <c r="B2986" s="458" t="s">
        <v>1681</v>
      </c>
      <c r="C2986" s="459">
        <v>2</v>
      </c>
      <c r="D2986" s="458">
        <v>2024</v>
      </c>
    </row>
    <row r="2987" spans="1:4" x14ac:dyDescent="0.35">
      <c r="A2987" s="457" t="s">
        <v>72</v>
      </c>
      <c r="B2987" s="458" t="s">
        <v>1682</v>
      </c>
      <c r="C2987" s="459">
        <v>2</v>
      </c>
      <c r="D2987" s="458">
        <v>2022</v>
      </c>
    </row>
    <row r="2988" spans="1:4" x14ac:dyDescent="0.35">
      <c r="A2988" s="457" t="s">
        <v>72</v>
      </c>
      <c r="B2988" s="458" t="s">
        <v>1682</v>
      </c>
      <c r="C2988" s="459">
        <v>2</v>
      </c>
      <c r="D2988" s="458">
        <v>2023</v>
      </c>
    </row>
    <row r="2989" spans="1:4" x14ac:dyDescent="0.35">
      <c r="A2989" s="457" t="s">
        <v>72</v>
      </c>
      <c r="B2989" s="458" t="s">
        <v>1683</v>
      </c>
      <c r="C2989" s="459">
        <v>1</v>
      </c>
      <c r="D2989" s="458">
        <v>2023</v>
      </c>
    </row>
    <row r="2990" spans="1:4" x14ac:dyDescent="0.35">
      <c r="A2990" s="457" t="s">
        <v>72</v>
      </c>
      <c r="B2990" s="458" t="s">
        <v>1685</v>
      </c>
      <c r="C2990" s="459">
        <v>1</v>
      </c>
      <c r="D2990" s="458">
        <v>2023</v>
      </c>
    </row>
    <row r="2991" spans="1:4" x14ac:dyDescent="0.35">
      <c r="A2991" s="457" t="s">
        <v>72</v>
      </c>
      <c r="B2991" s="458" t="s">
        <v>1686</v>
      </c>
      <c r="C2991" s="459">
        <v>1</v>
      </c>
      <c r="D2991" s="458">
        <v>2022</v>
      </c>
    </row>
    <row r="2992" spans="1:4" x14ac:dyDescent="0.35">
      <c r="A2992" s="457" t="s">
        <v>72</v>
      </c>
      <c r="B2992" s="458" t="s">
        <v>1686</v>
      </c>
      <c r="C2992" s="459">
        <v>2</v>
      </c>
      <c r="D2992" s="458">
        <v>2023</v>
      </c>
    </row>
    <row r="2993" spans="1:4" x14ac:dyDescent="0.35">
      <c r="A2993" s="457" t="s">
        <v>72</v>
      </c>
      <c r="B2993" s="458" t="s">
        <v>1687</v>
      </c>
      <c r="C2993" s="459">
        <v>2</v>
      </c>
      <c r="D2993" s="458">
        <v>2022</v>
      </c>
    </row>
    <row r="2994" spans="1:4" x14ac:dyDescent="0.35">
      <c r="A2994" s="457" t="s">
        <v>72</v>
      </c>
      <c r="B2994" s="458" t="s">
        <v>1687</v>
      </c>
      <c r="C2994" s="459">
        <v>1</v>
      </c>
      <c r="D2994" s="458">
        <v>2023</v>
      </c>
    </row>
    <row r="2995" spans="1:4" x14ac:dyDescent="0.35">
      <c r="A2995" s="457" t="s">
        <v>72</v>
      </c>
      <c r="B2995" s="458" t="s">
        <v>1677</v>
      </c>
      <c r="C2995" s="459">
        <v>5</v>
      </c>
      <c r="D2995" s="458">
        <v>2023</v>
      </c>
    </row>
    <row r="2996" spans="1:4" x14ac:dyDescent="0.35">
      <c r="A2996" s="457" t="s">
        <v>72</v>
      </c>
      <c r="B2996" s="458" t="s">
        <v>1678</v>
      </c>
      <c r="C2996" s="459">
        <v>4</v>
      </c>
      <c r="D2996" s="458">
        <v>2022</v>
      </c>
    </row>
    <row r="2997" spans="1:4" x14ac:dyDescent="0.35">
      <c r="A2997" s="457" t="s">
        <v>72</v>
      </c>
      <c r="B2997" s="458" t="s">
        <v>1678</v>
      </c>
      <c r="C2997" s="459">
        <v>8</v>
      </c>
      <c r="D2997" s="458">
        <v>2023</v>
      </c>
    </row>
    <row r="2998" spans="1:4" x14ac:dyDescent="0.35">
      <c r="A2998" s="457" t="s">
        <v>72</v>
      </c>
      <c r="B2998" s="458" t="s">
        <v>1679</v>
      </c>
      <c r="C2998" s="459">
        <v>6</v>
      </c>
      <c r="D2998" s="458">
        <v>2022</v>
      </c>
    </row>
    <row r="2999" spans="1:4" x14ac:dyDescent="0.35">
      <c r="A2999" s="457" t="s">
        <v>72</v>
      </c>
      <c r="B2999" s="458" t="s">
        <v>1679</v>
      </c>
      <c r="C2999" s="459">
        <v>8</v>
      </c>
      <c r="D2999" s="458">
        <v>2023</v>
      </c>
    </row>
    <row r="3000" spans="1:4" x14ac:dyDescent="0.35">
      <c r="A3000" s="457" t="s">
        <v>72</v>
      </c>
      <c r="B3000" s="458" t="s">
        <v>1680</v>
      </c>
      <c r="C3000" s="459">
        <v>5</v>
      </c>
      <c r="D3000" s="458">
        <v>2023</v>
      </c>
    </row>
    <row r="3001" spans="1:4" x14ac:dyDescent="0.35">
      <c r="A3001" s="457" t="s">
        <v>72</v>
      </c>
      <c r="B3001" s="458" t="s">
        <v>1681</v>
      </c>
      <c r="C3001" s="459">
        <v>9</v>
      </c>
      <c r="D3001" s="458">
        <v>2023</v>
      </c>
    </row>
    <row r="3002" spans="1:4" x14ac:dyDescent="0.35">
      <c r="A3002" s="457" t="s">
        <v>72</v>
      </c>
      <c r="B3002" s="458" t="s">
        <v>1681</v>
      </c>
      <c r="C3002" s="459">
        <v>12</v>
      </c>
      <c r="D3002" s="458">
        <v>2024</v>
      </c>
    </row>
    <row r="3003" spans="1:4" x14ac:dyDescent="0.35">
      <c r="A3003" s="457" t="s">
        <v>72</v>
      </c>
      <c r="B3003" s="458" t="s">
        <v>1681</v>
      </c>
      <c r="C3003" s="459">
        <v>4</v>
      </c>
      <c r="D3003" s="458">
        <v>2023</v>
      </c>
    </row>
    <row r="3004" spans="1:4" x14ac:dyDescent="0.35">
      <c r="A3004" s="457" t="s">
        <v>72</v>
      </c>
      <c r="B3004" s="458" t="s">
        <v>1682</v>
      </c>
      <c r="C3004" s="459">
        <v>4</v>
      </c>
      <c r="D3004" s="458">
        <v>2022</v>
      </c>
    </row>
    <row r="3005" spans="1:4" x14ac:dyDescent="0.35">
      <c r="A3005" s="457" t="s">
        <v>72</v>
      </c>
      <c r="B3005" s="458" t="s">
        <v>1682</v>
      </c>
      <c r="C3005" s="459">
        <v>8</v>
      </c>
      <c r="D3005" s="458">
        <v>2023</v>
      </c>
    </row>
    <row r="3006" spans="1:4" x14ac:dyDescent="0.35">
      <c r="A3006" s="457" t="s">
        <v>72</v>
      </c>
      <c r="B3006" s="458" t="s">
        <v>1683</v>
      </c>
      <c r="C3006" s="459">
        <v>10</v>
      </c>
      <c r="D3006" s="458">
        <v>2023</v>
      </c>
    </row>
    <row r="3007" spans="1:4" x14ac:dyDescent="0.35">
      <c r="A3007" s="457" t="s">
        <v>72</v>
      </c>
      <c r="B3007" s="458" t="s">
        <v>1684</v>
      </c>
      <c r="C3007" s="459">
        <v>5</v>
      </c>
      <c r="D3007" s="458">
        <v>2023</v>
      </c>
    </row>
    <row r="3008" spans="1:4" x14ac:dyDescent="0.35">
      <c r="A3008" s="457" t="s">
        <v>72</v>
      </c>
      <c r="B3008" s="458" t="s">
        <v>1685</v>
      </c>
      <c r="C3008" s="459">
        <v>5</v>
      </c>
      <c r="D3008" s="458">
        <v>2023</v>
      </c>
    </row>
    <row r="3009" spans="1:4" x14ac:dyDescent="0.35">
      <c r="A3009" s="457" t="s">
        <v>72</v>
      </c>
      <c r="B3009" s="458" t="s">
        <v>1688</v>
      </c>
      <c r="C3009" s="459">
        <v>4</v>
      </c>
      <c r="D3009" s="458">
        <v>2022</v>
      </c>
    </row>
    <row r="3010" spans="1:4" x14ac:dyDescent="0.35">
      <c r="A3010" s="457" t="s">
        <v>72</v>
      </c>
      <c r="B3010" s="458" t="s">
        <v>1688</v>
      </c>
      <c r="C3010" s="459">
        <v>8</v>
      </c>
      <c r="D3010" s="458">
        <v>2023</v>
      </c>
    </row>
    <row r="3011" spans="1:4" x14ac:dyDescent="0.35">
      <c r="A3011" s="457" t="s">
        <v>72</v>
      </c>
      <c r="B3011" s="458" t="s">
        <v>1686</v>
      </c>
      <c r="C3011" s="459">
        <v>6</v>
      </c>
      <c r="D3011" s="458">
        <v>2022</v>
      </c>
    </row>
    <row r="3012" spans="1:4" x14ac:dyDescent="0.35">
      <c r="A3012" s="457" t="s">
        <v>72</v>
      </c>
      <c r="B3012" s="458" t="s">
        <v>1686</v>
      </c>
      <c r="C3012" s="459">
        <v>8</v>
      </c>
      <c r="D3012" s="458">
        <v>2023</v>
      </c>
    </row>
    <row r="3013" spans="1:4" x14ac:dyDescent="0.35">
      <c r="A3013" s="457" t="s">
        <v>72</v>
      </c>
      <c r="B3013" s="458" t="s">
        <v>1687</v>
      </c>
      <c r="C3013" s="459">
        <v>4</v>
      </c>
      <c r="D3013" s="458">
        <v>2022</v>
      </c>
    </row>
    <row r="3014" spans="1:4" x14ac:dyDescent="0.35">
      <c r="A3014" s="457" t="s">
        <v>72</v>
      </c>
      <c r="B3014" s="458" t="s">
        <v>1687</v>
      </c>
      <c r="C3014" s="459">
        <v>8</v>
      </c>
      <c r="D3014" s="458">
        <v>2023</v>
      </c>
    </row>
    <row r="3015" spans="1:4" x14ac:dyDescent="0.35">
      <c r="A3015" s="457" t="s">
        <v>72</v>
      </c>
      <c r="B3015" s="458" t="s">
        <v>1677</v>
      </c>
      <c r="C3015" s="459">
        <v>1</v>
      </c>
      <c r="D3015" s="458">
        <v>2023</v>
      </c>
    </row>
    <row r="3016" spans="1:4" x14ac:dyDescent="0.35">
      <c r="A3016" s="457" t="s">
        <v>72</v>
      </c>
      <c r="B3016" s="458" t="s">
        <v>1678</v>
      </c>
      <c r="C3016" s="459">
        <v>2</v>
      </c>
      <c r="D3016" s="458">
        <v>2022</v>
      </c>
    </row>
    <row r="3017" spans="1:4" x14ac:dyDescent="0.35">
      <c r="A3017" s="457" t="s">
        <v>72</v>
      </c>
      <c r="B3017" s="458" t="s">
        <v>1678</v>
      </c>
      <c r="C3017" s="459">
        <v>1</v>
      </c>
      <c r="D3017" s="458">
        <v>2023</v>
      </c>
    </row>
    <row r="3018" spans="1:4" x14ac:dyDescent="0.35">
      <c r="A3018" s="457" t="s">
        <v>72</v>
      </c>
      <c r="B3018" s="458" t="s">
        <v>1679</v>
      </c>
      <c r="C3018" s="459">
        <v>1</v>
      </c>
      <c r="D3018" s="458">
        <v>2022</v>
      </c>
    </row>
    <row r="3019" spans="1:4" x14ac:dyDescent="0.35">
      <c r="A3019" s="457" t="s">
        <v>72</v>
      </c>
      <c r="B3019" s="458" t="s">
        <v>1680</v>
      </c>
      <c r="C3019" s="459">
        <v>1</v>
      </c>
      <c r="D3019" s="458">
        <v>2023</v>
      </c>
    </row>
    <row r="3020" spans="1:4" x14ac:dyDescent="0.35">
      <c r="A3020" s="457" t="s">
        <v>72</v>
      </c>
      <c r="B3020" s="458" t="s">
        <v>1681</v>
      </c>
      <c r="C3020" s="459">
        <v>3</v>
      </c>
      <c r="D3020" s="458">
        <v>2023</v>
      </c>
    </row>
    <row r="3021" spans="1:4" x14ac:dyDescent="0.35">
      <c r="A3021" s="457" t="s">
        <v>72</v>
      </c>
      <c r="B3021" s="458" t="s">
        <v>1681</v>
      </c>
      <c r="C3021" s="459">
        <v>2</v>
      </c>
      <c r="D3021" s="458">
        <v>2024</v>
      </c>
    </row>
    <row r="3022" spans="1:4" x14ac:dyDescent="0.35">
      <c r="A3022" s="457" t="s">
        <v>72</v>
      </c>
      <c r="B3022" s="458" t="s">
        <v>1682</v>
      </c>
      <c r="C3022" s="459">
        <v>2</v>
      </c>
      <c r="D3022" s="458">
        <v>2022</v>
      </c>
    </row>
    <row r="3023" spans="1:4" x14ac:dyDescent="0.35">
      <c r="A3023" s="457" t="s">
        <v>72</v>
      </c>
      <c r="B3023" s="458" t="s">
        <v>1682</v>
      </c>
      <c r="C3023" s="459">
        <v>2</v>
      </c>
      <c r="D3023" s="458">
        <v>2023</v>
      </c>
    </row>
    <row r="3024" spans="1:4" x14ac:dyDescent="0.35">
      <c r="A3024" s="457" t="s">
        <v>72</v>
      </c>
      <c r="B3024" s="458" t="s">
        <v>1683</v>
      </c>
      <c r="C3024" s="459">
        <v>2</v>
      </c>
      <c r="D3024" s="458">
        <v>2023</v>
      </c>
    </row>
    <row r="3025" spans="1:4" x14ac:dyDescent="0.35">
      <c r="A3025" s="457" t="s">
        <v>72</v>
      </c>
      <c r="B3025" s="458" t="s">
        <v>1684</v>
      </c>
      <c r="C3025" s="459">
        <v>1</v>
      </c>
      <c r="D3025" s="458">
        <v>2023</v>
      </c>
    </row>
    <row r="3026" spans="1:4" x14ac:dyDescent="0.35">
      <c r="A3026" s="457" t="s">
        <v>72</v>
      </c>
      <c r="B3026" s="458" t="s">
        <v>1685</v>
      </c>
      <c r="C3026" s="459">
        <v>1</v>
      </c>
      <c r="D3026" s="458">
        <v>2023</v>
      </c>
    </row>
    <row r="3027" spans="1:4" x14ac:dyDescent="0.35">
      <c r="A3027" s="457" t="s">
        <v>72</v>
      </c>
      <c r="B3027" s="458" t="s">
        <v>1688</v>
      </c>
      <c r="C3027" s="459">
        <v>2</v>
      </c>
      <c r="D3027" s="458">
        <v>2022</v>
      </c>
    </row>
    <row r="3028" spans="1:4" x14ac:dyDescent="0.35">
      <c r="A3028" s="457" t="s">
        <v>72</v>
      </c>
      <c r="B3028" s="458" t="s">
        <v>1688</v>
      </c>
      <c r="C3028" s="459">
        <v>1</v>
      </c>
      <c r="D3028" s="458">
        <v>2023</v>
      </c>
    </row>
    <row r="3029" spans="1:4" x14ac:dyDescent="0.35">
      <c r="A3029" s="457" t="s">
        <v>72</v>
      </c>
      <c r="B3029" s="458" t="s">
        <v>1686</v>
      </c>
      <c r="C3029" s="459">
        <v>2</v>
      </c>
      <c r="D3029" s="458">
        <v>2022</v>
      </c>
    </row>
    <row r="3030" spans="1:4" x14ac:dyDescent="0.35">
      <c r="A3030" s="457" t="s">
        <v>72</v>
      </c>
      <c r="B3030" s="458" t="s">
        <v>1686</v>
      </c>
      <c r="C3030" s="459">
        <v>1</v>
      </c>
      <c r="D3030" s="458">
        <v>2023</v>
      </c>
    </row>
    <row r="3031" spans="1:4" x14ac:dyDescent="0.35">
      <c r="A3031" s="457" t="s">
        <v>72</v>
      </c>
      <c r="B3031" s="458" t="s">
        <v>1687</v>
      </c>
      <c r="C3031" s="459">
        <v>2</v>
      </c>
      <c r="D3031" s="458">
        <v>2022</v>
      </c>
    </row>
    <row r="3032" spans="1:4" x14ac:dyDescent="0.35">
      <c r="A3032" s="457" t="s">
        <v>72</v>
      </c>
      <c r="B3032" s="458" t="s">
        <v>1687</v>
      </c>
      <c r="C3032" s="459">
        <v>2</v>
      </c>
      <c r="D3032" s="458">
        <v>2023</v>
      </c>
    </row>
    <row r="3033" spans="1:4" x14ac:dyDescent="0.35">
      <c r="A3033" s="457" t="s">
        <v>72</v>
      </c>
      <c r="B3033" s="458" t="s">
        <v>1677</v>
      </c>
      <c r="C3033" s="459">
        <v>2</v>
      </c>
      <c r="D3033" s="458">
        <v>2023</v>
      </c>
    </row>
    <row r="3034" spans="1:4" x14ac:dyDescent="0.35">
      <c r="A3034" s="457" t="s">
        <v>72</v>
      </c>
      <c r="B3034" s="458" t="s">
        <v>1678</v>
      </c>
      <c r="C3034" s="459">
        <v>4</v>
      </c>
      <c r="D3034" s="458">
        <v>2023</v>
      </c>
    </row>
    <row r="3035" spans="1:4" x14ac:dyDescent="0.35">
      <c r="A3035" s="457" t="s">
        <v>72</v>
      </c>
      <c r="B3035" s="458" t="s">
        <v>1679</v>
      </c>
      <c r="C3035" s="459">
        <v>3</v>
      </c>
      <c r="D3035" s="458">
        <v>2022</v>
      </c>
    </row>
    <row r="3036" spans="1:4" x14ac:dyDescent="0.35">
      <c r="A3036" s="457" t="s">
        <v>72</v>
      </c>
      <c r="B3036" s="458" t="s">
        <v>1680</v>
      </c>
      <c r="C3036" s="459">
        <v>2</v>
      </c>
      <c r="D3036" s="458">
        <v>2023</v>
      </c>
    </row>
    <row r="3037" spans="1:4" x14ac:dyDescent="0.35">
      <c r="A3037" s="457" t="s">
        <v>72</v>
      </c>
      <c r="B3037" s="458" t="s">
        <v>1681</v>
      </c>
      <c r="C3037" s="459">
        <v>3</v>
      </c>
      <c r="D3037" s="458">
        <v>2024</v>
      </c>
    </row>
    <row r="3038" spans="1:4" x14ac:dyDescent="0.35">
      <c r="A3038" s="457" t="s">
        <v>72</v>
      </c>
      <c r="B3038" s="458" t="s">
        <v>1682</v>
      </c>
      <c r="C3038" s="459">
        <v>2</v>
      </c>
      <c r="D3038" s="458">
        <v>2022</v>
      </c>
    </row>
    <row r="3039" spans="1:4" x14ac:dyDescent="0.35">
      <c r="A3039" s="457" t="s">
        <v>72</v>
      </c>
      <c r="B3039" s="458" t="s">
        <v>1682</v>
      </c>
      <c r="C3039" s="459">
        <v>2</v>
      </c>
      <c r="D3039" s="458">
        <v>2023</v>
      </c>
    </row>
    <row r="3040" spans="1:4" x14ac:dyDescent="0.35">
      <c r="A3040" s="457" t="s">
        <v>72</v>
      </c>
      <c r="B3040" s="458" t="s">
        <v>1683</v>
      </c>
      <c r="C3040" s="459">
        <v>2</v>
      </c>
      <c r="D3040" s="458">
        <v>2023</v>
      </c>
    </row>
    <row r="3041" spans="1:4" x14ac:dyDescent="0.35">
      <c r="A3041" s="457" t="s">
        <v>72</v>
      </c>
      <c r="B3041" s="458" t="s">
        <v>1684</v>
      </c>
      <c r="C3041" s="459">
        <v>2</v>
      </c>
      <c r="D3041" s="458">
        <v>2023</v>
      </c>
    </row>
    <row r="3042" spans="1:4" x14ac:dyDescent="0.35">
      <c r="A3042" s="457" t="s">
        <v>72</v>
      </c>
      <c r="B3042" s="458" t="s">
        <v>1685</v>
      </c>
      <c r="C3042" s="459">
        <v>2</v>
      </c>
      <c r="D3042" s="458">
        <v>2023</v>
      </c>
    </row>
    <row r="3043" spans="1:4" x14ac:dyDescent="0.35">
      <c r="A3043" s="457" t="s">
        <v>72</v>
      </c>
      <c r="B3043" s="458" t="s">
        <v>1688</v>
      </c>
      <c r="C3043" s="459">
        <v>2</v>
      </c>
      <c r="D3043" s="458">
        <v>2022</v>
      </c>
    </row>
    <row r="3044" spans="1:4" x14ac:dyDescent="0.35">
      <c r="A3044" s="457" t="s">
        <v>72</v>
      </c>
      <c r="B3044" s="458" t="s">
        <v>1688</v>
      </c>
      <c r="C3044" s="459">
        <v>3</v>
      </c>
      <c r="D3044" s="458">
        <v>2023</v>
      </c>
    </row>
    <row r="3045" spans="1:4" x14ac:dyDescent="0.35">
      <c r="A3045" s="457" t="s">
        <v>72</v>
      </c>
      <c r="B3045" s="458" t="s">
        <v>1686</v>
      </c>
      <c r="C3045" s="459">
        <v>3</v>
      </c>
      <c r="D3045" s="458">
        <v>2022</v>
      </c>
    </row>
    <row r="3046" spans="1:4" x14ac:dyDescent="0.35">
      <c r="A3046" s="457" t="s">
        <v>72</v>
      </c>
      <c r="B3046" s="458" t="s">
        <v>1686</v>
      </c>
      <c r="C3046" s="459">
        <v>0</v>
      </c>
      <c r="D3046" s="458">
        <v>2023</v>
      </c>
    </row>
    <row r="3047" spans="1:4" x14ac:dyDescent="0.35">
      <c r="A3047" s="457" t="s">
        <v>72</v>
      </c>
      <c r="B3047" s="458" t="s">
        <v>1687</v>
      </c>
      <c r="C3047" s="459">
        <v>3</v>
      </c>
      <c r="D3047" s="458">
        <v>2022</v>
      </c>
    </row>
    <row r="3048" spans="1:4" x14ac:dyDescent="0.35">
      <c r="A3048" s="457" t="s">
        <v>72</v>
      </c>
      <c r="B3048" s="458" t="s">
        <v>1687</v>
      </c>
      <c r="C3048" s="459">
        <v>2</v>
      </c>
      <c r="D3048" s="458">
        <v>2023</v>
      </c>
    </row>
    <row r="3049" spans="1:4" x14ac:dyDescent="0.35">
      <c r="A3049" s="457" t="s">
        <v>72</v>
      </c>
      <c r="B3049" s="458" t="s">
        <v>1677</v>
      </c>
      <c r="C3049" s="459">
        <v>2</v>
      </c>
      <c r="D3049" s="458">
        <v>2023</v>
      </c>
    </row>
    <row r="3050" spans="1:4" x14ac:dyDescent="0.35">
      <c r="A3050" s="457" t="s">
        <v>72</v>
      </c>
      <c r="B3050" s="458" t="s">
        <v>1678</v>
      </c>
      <c r="C3050" s="459">
        <v>2</v>
      </c>
      <c r="D3050" s="458">
        <v>2022</v>
      </c>
    </row>
    <row r="3051" spans="1:4" x14ac:dyDescent="0.35">
      <c r="A3051" s="457" t="s">
        <v>72</v>
      </c>
      <c r="B3051" s="458" t="s">
        <v>1678</v>
      </c>
      <c r="C3051" s="459">
        <v>7</v>
      </c>
      <c r="D3051" s="458">
        <v>2023</v>
      </c>
    </row>
    <row r="3052" spans="1:4" x14ac:dyDescent="0.35">
      <c r="A3052" s="457" t="s">
        <v>72</v>
      </c>
      <c r="B3052" s="458" t="s">
        <v>1679</v>
      </c>
      <c r="C3052" s="459">
        <v>3</v>
      </c>
      <c r="D3052" s="458">
        <v>2022</v>
      </c>
    </row>
    <row r="3053" spans="1:4" x14ac:dyDescent="0.35">
      <c r="A3053" s="457" t="s">
        <v>72</v>
      </c>
      <c r="B3053" s="458" t="s">
        <v>1679</v>
      </c>
      <c r="C3053" s="459">
        <v>-1</v>
      </c>
      <c r="D3053" s="458">
        <v>2023</v>
      </c>
    </row>
    <row r="3054" spans="1:4" x14ac:dyDescent="0.35">
      <c r="A3054" s="457" t="s">
        <v>72</v>
      </c>
      <c r="B3054" s="458" t="s">
        <v>1680</v>
      </c>
      <c r="C3054" s="459">
        <v>3</v>
      </c>
      <c r="D3054" s="458">
        <v>2023</v>
      </c>
    </row>
    <row r="3055" spans="1:4" x14ac:dyDescent="0.35">
      <c r="A3055" s="457" t="s">
        <v>72</v>
      </c>
      <c r="B3055" s="458" t="s">
        <v>1681</v>
      </c>
      <c r="C3055" s="459">
        <v>0</v>
      </c>
      <c r="D3055" s="458">
        <v>2023</v>
      </c>
    </row>
    <row r="3056" spans="1:4" x14ac:dyDescent="0.35">
      <c r="A3056" s="457" t="s">
        <v>72</v>
      </c>
      <c r="B3056" s="458" t="s">
        <v>1681</v>
      </c>
      <c r="C3056" s="459">
        <v>5</v>
      </c>
      <c r="D3056" s="458">
        <v>2024</v>
      </c>
    </row>
    <row r="3057" spans="1:4" x14ac:dyDescent="0.35">
      <c r="A3057" s="457" t="s">
        <v>72</v>
      </c>
      <c r="B3057" s="458" t="s">
        <v>1682</v>
      </c>
      <c r="C3057" s="459">
        <v>5</v>
      </c>
      <c r="D3057" s="458">
        <v>2022</v>
      </c>
    </row>
    <row r="3058" spans="1:4" x14ac:dyDescent="0.35">
      <c r="A3058" s="457" t="s">
        <v>72</v>
      </c>
      <c r="B3058" s="458" t="s">
        <v>1683</v>
      </c>
      <c r="C3058" s="459">
        <v>6</v>
      </c>
      <c r="D3058" s="458">
        <v>2023</v>
      </c>
    </row>
    <row r="3059" spans="1:4" x14ac:dyDescent="0.35">
      <c r="A3059" s="457" t="s">
        <v>72</v>
      </c>
      <c r="B3059" s="458" t="s">
        <v>1684</v>
      </c>
      <c r="C3059" s="459">
        <v>2</v>
      </c>
      <c r="D3059" s="458">
        <v>2023</v>
      </c>
    </row>
    <row r="3060" spans="1:4" x14ac:dyDescent="0.35">
      <c r="A3060" s="457" t="s">
        <v>72</v>
      </c>
      <c r="B3060" s="458" t="s">
        <v>1685</v>
      </c>
      <c r="C3060" s="459">
        <v>2</v>
      </c>
      <c r="D3060" s="458">
        <v>2023</v>
      </c>
    </row>
    <row r="3061" spans="1:4" x14ac:dyDescent="0.35">
      <c r="A3061" s="457" t="s">
        <v>72</v>
      </c>
      <c r="B3061" s="458" t="s">
        <v>1688</v>
      </c>
      <c r="C3061" s="459">
        <v>4</v>
      </c>
      <c r="D3061" s="458">
        <v>2022</v>
      </c>
    </row>
    <row r="3062" spans="1:4" x14ac:dyDescent="0.35">
      <c r="A3062" s="457" t="s">
        <v>72</v>
      </c>
      <c r="B3062" s="458" t="s">
        <v>1688</v>
      </c>
      <c r="C3062" s="459">
        <v>5</v>
      </c>
      <c r="D3062" s="458">
        <v>2023</v>
      </c>
    </row>
    <row r="3063" spans="1:4" x14ac:dyDescent="0.35">
      <c r="A3063" s="457" t="s">
        <v>72</v>
      </c>
      <c r="B3063" s="458" t="s">
        <v>1688</v>
      </c>
      <c r="C3063" s="459">
        <v>2</v>
      </c>
      <c r="D3063" s="458">
        <v>2023</v>
      </c>
    </row>
    <row r="3064" spans="1:4" x14ac:dyDescent="0.35">
      <c r="A3064" s="457" t="s">
        <v>72</v>
      </c>
      <c r="B3064" s="458" t="s">
        <v>1686</v>
      </c>
      <c r="C3064" s="459">
        <v>3</v>
      </c>
      <c r="D3064" s="458">
        <v>2022</v>
      </c>
    </row>
    <row r="3065" spans="1:4" x14ac:dyDescent="0.35">
      <c r="A3065" s="457" t="s">
        <v>72</v>
      </c>
      <c r="B3065" s="458" t="s">
        <v>1686</v>
      </c>
      <c r="C3065" s="459">
        <v>5</v>
      </c>
      <c r="D3065" s="458">
        <v>2023</v>
      </c>
    </row>
    <row r="3066" spans="1:4" x14ac:dyDescent="0.35">
      <c r="A3066" s="457" t="s">
        <v>72</v>
      </c>
      <c r="B3066" s="458" t="s">
        <v>1687</v>
      </c>
      <c r="C3066" s="459">
        <v>2</v>
      </c>
      <c r="D3066" s="458">
        <v>2022</v>
      </c>
    </row>
    <row r="3067" spans="1:4" x14ac:dyDescent="0.35">
      <c r="A3067" s="457" t="s">
        <v>72</v>
      </c>
      <c r="B3067" s="458" t="s">
        <v>1681</v>
      </c>
      <c r="C3067" s="459">
        <v>4</v>
      </c>
      <c r="D3067" s="458">
        <v>2023</v>
      </c>
    </row>
    <row r="3068" spans="1:4" x14ac:dyDescent="0.35">
      <c r="A3068" s="457" t="s">
        <v>72</v>
      </c>
      <c r="B3068" s="458" t="s">
        <v>1681</v>
      </c>
      <c r="C3068" s="459">
        <v>1</v>
      </c>
      <c r="D3068" s="458">
        <v>2023</v>
      </c>
    </row>
    <row r="3069" spans="1:4" x14ac:dyDescent="0.35">
      <c r="A3069" s="457" t="s">
        <v>72</v>
      </c>
      <c r="B3069" s="458" t="s">
        <v>1681</v>
      </c>
      <c r="C3069" s="459">
        <v>3</v>
      </c>
      <c r="D3069" s="458">
        <v>2024</v>
      </c>
    </row>
    <row r="3070" spans="1:4" x14ac:dyDescent="0.35">
      <c r="A3070" s="457" t="s">
        <v>72</v>
      </c>
      <c r="B3070" s="458" t="s">
        <v>1682</v>
      </c>
      <c r="C3070" s="459">
        <v>3</v>
      </c>
      <c r="D3070" s="458">
        <v>2022</v>
      </c>
    </row>
    <row r="3071" spans="1:4" x14ac:dyDescent="0.35">
      <c r="A3071" s="457" t="s">
        <v>72</v>
      </c>
      <c r="B3071" s="458" t="s">
        <v>1682</v>
      </c>
      <c r="C3071" s="459">
        <v>2</v>
      </c>
      <c r="D3071" s="458">
        <v>2023</v>
      </c>
    </row>
    <row r="3072" spans="1:4" x14ac:dyDescent="0.35">
      <c r="A3072" s="457" t="s">
        <v>72</v>
      </c>
      <c r="B3072" s="458" t="s">
        <v>1684</v>
      </c>
      <c r="C3072" s="459">
        <v>4</v>
      </c>
      <c r="D3072" s="458">
        <v>2023</v>
      </c>
    </row>
    <row r="3073" spans="1:4" x14ac:dyDescent="0.35">
      <c r="A3073" s="457" t="s">
        <v>72</v>
      </c>
      <c r="B3073" s="458" t="s">
        <v>1685</v>
      </c>
      <c r="C3073" s="459">
        <v>2</v>
      </c>
      <c r="D3073" s="458">
        <v>2023</v>
      </c>
    </row>
    <row r="3074" spans="1:4" x14ac:dyDescent="0.35">
      <c r="A3074" s="457" t="s">
        <v>72</v>
      </c>
      <c r="B3074" s="458" t="s">
        <v>1688</v>
      </c>
      <c r="C3074" s="459">
        <v>2</v>
      </c>
      <c r="D3074" s="458">
        <v>2022</v>
      </c>
    </row>
    <row r="3075" spans="1:4" x14ac:dyDescent="0.35">
      <c r="A3075" s="457" t="s">
        <v>72</v>
      </c>
      <c r="B3075" s="458" t="s">
        <v>1688</v>
      </c>
      <c r="C3075" s="459">
        <v>3</v>
      </c>
      <c r="D3075" s="458">
        <v>2023</v>
      </c>
    </row>
    <row r="3076" spans="1:4" x14ac:dyDescent="0.35">
      <c r="A3076" s="457" t="s">
        <v>72</v>
      </c>
      <c r="B3076" s="458" t="s">
        <v>1686</v>
      </c>
      <c r="C3076" s="459">
        <v>2</v>
      </c>
      <c r="D3076" s="458">
        <v>2022</v>
      </c>
    </row>
    <row r="3077" spans="1:4" x14ac:dyDescent="0.35">
      <c r="A3077" s="457" t="s">
        <v>72</v>
      </c>
      <c r="B3077" s="458" t="s">
        <v>1686</v>
      </c>
      <c r="C3077" s="459">
        <v>3</v>
      </c>
      <c r="D3077" s="458">
        <v>2023</v>
      </c>
    </row>
    <row r="3078" spans="1:4" x14ac:dyDescent="0.35">
      <c r="A3078" s="457" t="s">
        <v>72</v>
      </c>
      <c r="B3078" s="458" t="s">
        <v>1687</v>
      </c>
      <c r="C3078" s="459">
        <v>3</v>
      </c>
      <c r="D3078" s="458">
        <v>2022</v>
      </c>
    </row>
    <row r="3079" spans="1:4" x14ac:dyDescent="0.35">
      <c r="A3079" s="457" t="s">
        <v>72</v>
      </c>
      <c r="B3079" s="458" t="s">
        <v>1687</v>
      </c>
      <c r="C3079" s="459">
        <v>2</v>
      </c>
      <c r="D3079" s="458">
        <v>2023</v>
      </c>
    </row>
    <row r="3080" spans="1:4" x14ac:dyDescent="0.35">
      <c r="A3080" s="457" t="s">
        <v>72</v>
      </c>
      <c r="B3080" s="458" t="s">
        <v>1681</v>
      </c>
      <c r="C3080" s="459">
        <v>25</v>
      </c>
      <c r="D3080" s="458">
        <v>2024</v>
      </c>
    </row>
    <row r="3081" spans="1:4" x14ac:dyDescent="0.35">
      <c r="A3081" s="457" t="s">
        <v>72</v>
      </c>
      <c r="B3081" s="458" t="s">
        <v>1677</v>
      </c>
      <c r="C3081" s="459">
        <v>3</v>
      </c>
      <c r="D3081" s="458">
        <v>2023</v>
      </c>
    </row>
    <row r="3082" spans="1:4" x14ac:dyDescent="0.35">
      <c r="A3082" s="457" t="s">
        <v>72</v>
      </c>
      <c r="B3082" s="458" t="s">
        <v>1678</v>
      </c>
      <c r="C3082" s="459">
        <v>2</v>
      </c>
      <c r="D3082" s="458">
        <v>2022</v>
      </c>
    </row>
    <row r="3083" spans="1:4" x14ac:dyDescent="0.35">
      <c r="A3083" s="457" t="s">
        <v>72</v>
      </c>
      <c r="B3083" s="458" t="s">
        <v>1678</v>
      </c>
      <c r="C3083" s="459">
        <v>1</v>
      </c>
      <c r="D3083" s="458">
        <v>2023</v>
      </c>
    </row>
    <row r="3084" spans="1:4" x14ac:dyDescent="0.35">
      <c r="A3084" s="457" t="s">
        <v>72</v>
      </c>
      <c r="B3084" s="458" t="s">
        <v>1679</v>
      </c>
      <c r="C3084" s="459">
        <v>2</v>
      </c>
      <c r="D3084" s="458">
        <v>2023</v>
      </c>
    </row>
    <row r="3085" spans="1:4" x14ac:dyDescent="0.35">
      <c r="A3085" s="457" t="s">
        <v>72</v>
      </c>
      <c r="B3085" s="458" t="s">
        <v>1680</v>
      </c>
      <c r="C3085" s="459">
        <v>6</v>
      </c>
      <c r="D3085" s="458">
        <v>2023</v>
      </c>
    </row>
    <row r="3086" spans="1:4" x14ac:dyDescent="0.35">
      <c r="A3086" s="457" t="s">
        <v>72</v>
      </c>
      <c r="B3086" s="458" t="s">
        <v>1681</v>
      </c>
      <c r="C3086" s="459">
        <v>4</v>
      </c>
      <c r="D3086" s="458">
        <v>2024</v>
      </c>
    </row>
    <row r="3087" spans="1:4" x14ac:dyDescent="0.35">
      <c r="A3087" s="457" t="s">
        <v>72</v>
      </c>
      <c r="B3087" s="458" t="s">
        <v>1681</v>
      </c>
      <c r="C3087" s="459">
        <v>3</v>
      </c>
      <c r="D3087" s="458">
        <v>2023</v>
      </c>
    </row>
    <row r="3088" spans="1:4" x14ac:dyDescent="0.35">
      <c r="A3088" s="457" t="s">
        <v>72</v>
      </c>
      <c r="B3088" s="458" t="s">
        <v>1681</v>
      </c>
      <c r="C3088" s="459">
        <v>3</v>
      </c>
      <c r="D3088" s="458">
        <v>2024</v>
      </c>
    </row>
    <row r="3089" spans="1:4" x14ac:dyDescent="0.35">
      <c r="A3089" s="457" t="s">
        <v>72</v>
      </c>
      <c r="B3089" s="458" t="s">
        <v>1681</v>
      </c>
      <c r="C3089" s="459">
        <v>1</v>
      </c>
      <c r="D3089" s="458">
        <v>2023</v>
      </c>
    </row>
    <row r="3090" spans="1:4" x14ac:dyDescent="0.35">
      <c r="A3090" s="457" t="s">
        <v>72</v>
      </c>
      <c r="B3090" s="458" t="s">
        <v>1682</v>
      </c>
      <c r="C3090" s="459">
        <v>4</v>
      </c>
      <c r="D3090" s="458">
        <v>2022</v>
      </c>
    </row>
    <row r="3091" spans="1:4" x14ac:dyDescent="0.35">
      <c r="A3091" s="457" t="s">
        <v>72</v>
      </c>
      <c r="B3091" s="458" t="s">
        <v>1682</v>
      </c>
      <c r="C3091" s="459">
        <v>8</v>
      </c>
      <c r="D3091" s="458">
        <v>2023</v>
      </c>
    </row>
    <row r="3092" spans="1:4" x14ac:dyDescent="0.35">
      <c r="A3092" s="457" t="s">
        <v>72</v>
      </c>
      <c r="B3092" s="458" t="s">
        <v>1683</v>
      </c>
      <c r="C3092" s="459">
        <v>2</v>
      </c>
      <c r="D3092" s="458">
        <v>2023</v>
      </c>
    </row>
    <row r="3093" spans="1:4" x14ac:dyDescent="0.35">
      <c r="A3093" s="457" t="s">
        <v>72</v>
      </c>
      <c r="B3093" s="458" t="s">
        <v>1684</v>
      </c>
      <c r="C3093" s="459">
        <v>4</v>
      </c>
      <c r="D3093" s="458">
        <v>2023</v>
      </c>
    </row>
    <row r="3094" spans="1:4" x14ac:dyDescent="0.35">
      <c r="A3094" s="457" t="s">
        <v>72</v>
      </c>
      <c r="B3094" s="458" t="s">
        <v>1685</v>
      </c>
      <c r="C3094" s="459">
        <v>5</v>
      </c>
      <c r="D3094" s="458">
        <v>2023</v>
      </c>
    </row>
    <row r="3095" spans="1:4" x14ac:dyDescent="0.35">
      <c r="A3095" s="457" t="s">
        <v>72</v>
      </c>
      <c r="B3095" s="458" t="s">
        <v>1688</v>
      </c>
      <c r="C3095" s="459">
        <v>6</v>
      </c>
      <c r="D3095" s="458">
        <v>2022</v>
      </c>
    </row>
    <row r="3096" spans="1:4" x14ac:dyDescent="0.35">
      <c r="A3096" s="457" t="s">
        <v>72</v>
      </c>
      <c r="B3096" s="458" t="s">
        <v>1688</v>
      </c>
      <c r="C3096" s="459">
        <v>4</v>
      </c>
      <c r="D3096" s="458">
        <v>2023</v>
      </c>
    </row>
    <row r="3097" spans="1:4" x14ac:dyDescent="0.35">
      <c r="A3097" s="457" t="s">
        <v>72</v>
      </c>
      <c r="B3097" s="458" t="s">
        <v>1686</v>
      </c>
      <c r="C3097" s="459">
        <v>4</v>
      </c>
      <c r="D3097" s="458">
        <v>2022</v>
      </c>
    </row>
    <row r="3098" spans="1:4" x14ac:dyDescent="0.35">
      <c r="A3098" s="457" t="s">
        <v>72</v>
      </c>
      <c r="B3098" s="458" t="s">
        <v>1686</v>
      </c>
      <c r="C3098" s="459">
        <v>3</v>
      </c>
      <c r="D3098" s="458">
        <v>2023</v>
      </c>
    </row>
    <row r="3099" spans="1:4" x14ac:dyDescent="0.35">
      <c r="A3099" s="457" t="s">
        <v>72</v>
      </c>
      <c r="B3099" s="458" t="s">
        <v>1686</v>
      </c>
      <c r="C3099" s="459">
        <v>3</v>
      </c>
      <c r="D3099" s="458">
        <v>2023</v>
      </c>
    </row>
    <row r="3100" spans="1:4" x14ac:dyDescent="0.35">
      <c r="A3100" s="457" t="s">
        <v>72</v>
      </c>
      <c r="B3100" s="458" t="s">
        <v>1687</v>
      </c>
      <c r="C3100" s="459">
        <v>4</v>
      </c>
      <c r="D3100" s="458">
        <v>2022</v>
      </c>
    </row>
    <row r="3101" spans="1:4" x14ac:dyDescent="0.35">
      <c r="A3101" s="457" t="s">
        <v>72</v>
      </c>
      <c r="B3101" s="458" t="s">
        <v>1687</v>
      </c>
      <c r="C3101" s="459">
        <v>3</v>
      </c>
      <c r="D3101" s="458">
        <v>2023</v>
      </c>
    </row>
    <row r="3102" spans="1:4" x14ac:dyDescent="0.35">
      <c r="A3102" s="457" t="s">
        <v>72</v>
      </c>
      <c r="B3102" s="458" t="s">
        <v>1677</v>
      </c>
      <c r="C3102" s="459">
        <v>6</v>
      </c>
      <c r="D3102" s="458">
        <v>2023</v>
      </c>
    </row>
    <row r="3103" spans="1:4" x14ac:dyDescent="0.35">
      <c r="A3103" s="457" t="s">
        <v>72</v>
      </c>
      <c r="B3103" s="458" t="s">
        <v>1678</v>
      </c>
      <c r="C3103" s="459">
        <v>5</v>
      </c>
      <c r="D3103" s="458">
        <v>2022</v>
      </c>
    </row>
    <row r="3104" spans="1:4" x14ac:dyDescent="0.35">
      <c r="A3104" s="457" t="s">
        <v>72</v>
      </c>
      <c r="B3104" s="458" t="s">
        <v>1678</v>
      </c>
      <c r="C3104" s="459">
        <v>6</v>
      </c>
      <c r="D3104" s="458">
        <v>2023</v>
      </c>
    </row>
    <row r="3105" spans="1:4" x14ac:dyDescent="0.35">
      <c r="A3105" s="457" t="s">
        <v>72</v>
      </c>
      <c r="B3105" s="458" t="s">
        <v>1679</v>
      </c>
      <c r="C3105" s="459">
        <v>5</v>
      </c>
      <c r="D3105" s="458">
        <v>2022</v>
      </c>
    </row>
    <row r="3106" spans="1:4" x14ac:dyDescent="0.35">
      <c r="A3106" s="457" t="s">
        <v>72</v>
      </c>
      <c r="B3106" s="458" t="s">
        <v>1679</v>
      </c>
      <c r="C3106" s="459">
        <v>6</v>
      </c>
      <c r="D3106" s="458">
        <v>2023</v>
      </c>
    </row>
    <row r="3107" spans="1:4" x14ac:dyDescent="0.35">
      <c r="A3107" s="457" t="s">
        <v>72</v>
      </c>
      <c r="B3107" s="458" t="s">
        <v>1680</v>
      </c>
      <c r="C3107" s="459">
        <v>6</v>
      </c>
      <c r="D3107" s="458">
        <v>2023</v>
      </c>
    </row>
    <row r="3108" spans="1:4" x14ac:dyDescent="0.35">
      <c r="A3108" s="457" t="s">
        <v>72</v>
      </c>
      <c r="B3108" s="458" t="s">
        <v>1681</v>
      </c>
      <c r="C3108" s="459">
        <v>11</v>
      </c>
      <c r="D3108" s="458">
        <v>2023</v>
      </c>
    </row>
    <row r="3109" spans="1:4" x14ac:dyDescent="0.35">
      <c r="A3109" s="457" t="s">
        <v>72</v>
      </c>
      <c r="B3109" s="458" t="s">
        <v>1681</v>
      </c>
      <c r="C3109" s="459">
        <v>12</v>
      </c>
      <c r="D3109" s="458">
        <v>2024</v>
      </c>
    </row>
    <row r="3110" spans="1:4" x14ac:dyDescent="0.35">
      <c r="A3110" s="457" t="s">
        <v>72</v>
      </c>
      <c r="B3110" s="458" t="s">
        <v>1681</v>
      </c>
      <c r="C3110" s="459">
        <v>5</v>
      </c>
      <c r="D3110" s="458">
        <v>2023</v>
      </c>
    </row>
    <row r="3111" spans="1:4" x14ac:dyDescent="0.35">
      <c r="A3111" s="457" t="s">
        <v>72</v>
      </c>
      <c r="B3111" s="458" t="s">
        <v>1682</v>
      </c>
      <c r="C3111" s="459">
        <v>5</v>
      </c>
      <c r="D3111" s="458">
        <v>2022</v>
      </c>
    </row>
    <row r="3112" spans="1:4" x14ac:dyDescent="0.35">
      <c r="A3112" s="457" t="s">
        <v>72</v>
      </c>
      <c r="B3112" s="458" t="s">
        <v>1682</v>
      </c>
      <c r="C3112" s="459">
        <v>6</v>
      </c>
      <c r="D3112" s="458">
        <v>2023</v>
      </c>
    </row>
    <row r="3113" spans="1:4" x14ac:dyDescent="0.35">
      <c r="A3113" s="457" t="s">
        <v>72</v>
      </c>
      <c r="B3113" s="458" t="s">
        <v>1683</v>
      </c>
      <c r="C3113" s="459">
        <v>6</v>
      </c>
      <c r="D3113" s="458">
        <v>2023</v>
      </c>
    </row>
    <row r="3114" spans="1:4" x14ac:dyDescent="0.35">
      <c r="A3114" s="457" t="s">
        <v>72</v>
      </c>
      <c r="B3114" s="458" t="s">
        <v>1684</v>
      </c>
      <c r="C3114" s="459">
        <v>6</v>
      </c>
      <c r="D3114" s="458">
        <v>2023</v>
      </c>
    </row>
    <row r="3115" spans="1:4" x14ac:dyDescent="0.35">
      <c r="A3115" s="457" t="s">
        <v>72</v>
      </c>
      <c r="B3115" s="458" t="s">
        <v>1685</v>
      </c>
      <c r="C3115" s="459">
        <v>6</v>
      </c>
      <c r="D3115" s="458">
        <v>2023</v>
      </c>
    </row>
    <row r="3116" spans="1:4" x14ac:dyDescent="0.35">
      <c r="A3116" s="457" t="s">
        <v>72</v>
      </c>
      <c r="B3116" s="458" t="s">
        <v>1688</v>
      </c>
      <c r="C3116" s="459">
        <v>7</v>
      </c>
      <c r="D3116" s="458">
        <v>2022</v>
      </c>
    </row>
    <row r="3117" spans="1:4" x14ac:dyDescent="0.35">
      <c r="A3117" s="457" t="s">
        <v>72</v>
      </c>
      <c r="B3117" s="458" t="s">
        <v>1688</v>
      </c>
      <c r="C3117" s="459">
        <v>6</v>
      </c>
      <c r="D3117" s="458">
        <v>2023</v>
      </c>
    </row>
    <row r="3118" spans="1:4" x14ac:dyDescent="0.35">
      <c r="A3118" s="457" t="s">
        <v>72</v>
      </c>
      <c r="B3118" s="458" t="s">
        <v>1686</v>
      </c>
      <c r="C3118" s="459">
        <v>5</v>
      </c>
      <c r="D3118" s="458">
        <v>2022</v>
      </c>
    </row>
    <row r="3119" spans="1:4" x14ac:dyDescent="0.35">
      <c r="A3119" s="457" t="s">
        <v>72</v>
      </c>
      <c r="B3119" s="458" t="s">
        <v>1686</v>
      </c>
      <c r="C3119" s="459">
        <v>6</v>
      </c>
      <c r="D3119" s="458">
        <v>2023</v>
      </c>
    </row>
    <row r="3120" spans="1:4" x14ac:dyDescent="0.35">
      <c r="A3120" s="457" t="s">
        <v>72</v>
      </c>
      <c r="B3120" s="458" t="s">
        <v>1687</v>
      </c>
      <c r="C3120" s="459">
        <v>5</v>
      </c>
      <c r="D3120" s="458">
        <v>2022</v>
      </c>
    </row>
    <row r="3121" spans="1:4" x14ac:dyDescent="0.35">
      <c r="A3121" s="457" t="s">
        <v>72</v>
      </c>
      <c r="B3121" s="458" t="s">
        <v>1687</v>
      </c>
      <c r="C3121" s="459">
        <v>6</v>
      </c>
      <c r="D3121" s="458">
        <v>2023</v>
      </c>
    </row>
    <row r="3122" spans="1:4" x14ac:dyDescent="0.35">
      <c r="A3122" s="457" t="s">
        <v>72</v>
      </c>
      <c r="B3122" s="458" t="s">
        <v>1677</v>
      </c>
      <c r="C3122" s="459">
        <v>2</v>
      </c>
      <c r="D3122" s="458">
        <v>2023</v>
      </c>
    </row>
    <row r="3123" spans="1:4" x14ac:dyDescent="0.35">
      <c r="A3123" s="457" t="s">
        <v>72</v>
      </c>
      <c r="B3123" s="458" t="s">
        <v>1677</v>
      </c>
      <c r="C3123" s="459">
        <v>1</v>
      </c>
      <c r="D3123" s="458">
        <v>2023</v>
      </c>
    </row>
    <row r="3124" spans="1:4" x14ac:dyDescent="0.35">
      <c r="A3124" s="457" t="s">
        <v>72</v>
      </c>
      <c r="B3124" s="458" t="s">
        <v>1678</v>
      </c>
      <c r="C3124" s="459">
        <v>1</v>
      </c>
      <c r="D3124" s="458">
        <v>2022</v>
      </c>
    </row>
    <row r="3125" spans="1:4" x14ac:dyDescent="0.35">
      <c r="A3125" s="457" t="s">
        <v>72</v>
      </c>
      <c r="B3125" s="458" t="s">
        <v>1678</v>
      </c>
      <c r="C3125" s="459">
        <v>2</v>
      </c>
      <c r="D3125" s="458">
        <v>2023</v>
      </c>
    </row>
    <row r="3126" spans="1:4" x14ac:dyDescent="0.35">
      <c r="A3126" s="457" t="s">
        <v>72</v>
      </c>
      <c r="B3126" s="458" t="s">
        <v>1678</v>
      </c>
      <c r="C3126" s="459">
        <v>1</v>
      </c>
      <c r="D3126" s="458">
        <v>2022</v>
      </c>
    </row>
    <row r="3127" spans="1:4" x14ac:dyDescent="0.35">
      <c r="A3127" s="457" t="s">
        <v>72</v>
      </c>
      <c r="B3127" s="458" t="s">
        <v>1680</v>
      </c>
      <c r="C3127" s="459">
        <v>1</v>
      </c>
      <c r="D3127" s="458">
        <v>2023</v>
      </c>
    </row>
    <row r="3128" spans="1:4" x14ac:dyDescent="0.35">
      <c r="A3128" s="457" t="s">
        <v>72</v>
      </c>
      <c r="B3128" s="458" t="s">
        <v>1680</v>
      </c>
      <c r="C3128" s="459">
        <v>1</v>
      </c>
      <c r="D3128" s="458">
        <v>2023</v>
      </c>
    </row>
    <row r="3129" spans="1:4" x14ac:dyDescent="0.35">
      <c r="A3129" s="457" t="s">
        <v>72</v>
      </c>
      <c r="B3129" s="458" t="s">
        <v>1681</v>
      </c>
      <c r="C3129" s="459">
        <v>1</v>
      </c>
      <c r="D3129" s="458">
        <v>2023</v>
      </c>
    </row>
    <row r="3130" spans="1:4" x14ac:dyDescent="0.35">
      <c r="A3130" s="457" t="s">
        <v>72</v>
      </c>
      <c r="B3130" s="458" t="s">
        <v>1681</v>
      </c>
      <c r="C3130" s="459">
        <v>1</v>
      </c>
      <c r="D3130" s="458">
        <v>2024</v>
      </c>
    </row>
    <row r="3131" spans="1:4" x14ac:dyDescent="0.35">
      <c r="A3131" s="457" t="s">
        <v>72</v>
      </c>
      <c r="B3131" s="458" t="s">
        <v>1681</v>
      </c>
      <c r="C3131" s="459">
        <v>1</v>
      </c>
      <c r="D3131" s="458">
        <v>2023</v>
      </c>
    </row>
    <row r="3132" spans="1:4" x14ac:dyDescent="0.35">
      <c r="A3132" s="457" t="s">
        <v>72</v>
      </c>
      <c r="B3132" s="458" t="s">
        <v>1681</v>
      </c>
      <c r="C3132" s="459">
        <v>1</v>
      </c>
      <c r="D3132" s="458">
        <v>2024</v>
      </c>
    </row>
    <row r="3133" spans="1:4" x14ac:dyDescent="0.35">
      <c r="A3133" s="457" t="s">
        <v>72</v>
      </c>
      <c r="B3133" s="458" t="s">
        <v>1682</v>
      </c>
      <c r="C3133" s="459">
        <v>1</v>
      </c>
      <c r="D3133" s="458">
        <v>2022</v>
      </c>
    </row>
    <row r="3134" spans="1:4" x14ac:dyDescent="0.35">
      <c r="A3134" s="457" t="s">
        <v>72</v>
      </c>
      <c r="B3134" s="458" t="s">
        <v>1682</v>
      </c>
      <c r="C3134" s="459">
        <v>4</v>
      </c>
      <c r="D3134" s="458">
        <v>2023</v>
      </c>
    </row>
    <row r="3135" spans="1:4" x14ac:dyDescent="0.35">
      <c r="A3135" s="457" t="s">
        <v>72</v>
      </c>
      <c r="B3135" s="458" t="s">
        <v>1682</v>
      </c>
      <c r="C3135" s="459">
        <v>1</v>
      </c>
      <c r="D3135" s="458">
        <v>2022</v>
      </c>
    </row>
    <row r="3136" spans="1:4" x14ac:dyDescent="0.35">
      <c r="A3136" s="457" t="s">
        <v>72</v>
      </c>
      <c r="B3136" s="458" t="s">
        <v>1682</v>
      </c>
      <c r="C3136" s="459">
        <v>1</v>
      </c>
      <c r="D3136" s="458">
        <v>2023</v>
      </c>
    </row>
    <row r="3137" spans="1:4" x14ac:dyDescent="0.35">
      <c r="A3137" s="457" t="s">
        <v>72</v>
      </c>
      <c r="B3137" s="458" t="s">
        <v>1683</v>
      </c>
      <c r="C3137" s="459">
        <v>1</v>
      </c>
      <c r="D3137" s="458">
        <v>2023</v>
      </c>
    </row>
    <row r="3138" spans="1:4" x14ac:dyDescent="0.35">
      <c r="A3138" s="457" t="s">
        <v>72</v>
      </c>
      <c r="B3138" s="458" t="s">
        <v>1683</v>
      </c>
      <c r="C3138" s="459">
        <v>1</v>
      </c>
      <c r="D3138" s="458">
        <v>2023</v>
      </c>
    </row>
    <row r="3139" spans="1:4" x14ac:dyDescent="0.35">
      <c r="A3139" s="457" t="s">
        <v>72</v>
      </c>
      <c r="B3139" s="458" t="s">
        <v>1684</v>
      </c>
      <c r="C3139" s="459">
        <v>2</v>
      </c>
      <c r="D3139" s="458">
        <v>2023</v>
      </c>
    </row>
    <row r="3140" spans="1:4" x14ac:dyDescent="0.35">
      <c r="A3140" s="457" t="s">
        <v>72</v>
      </c>
      <c r="B3140" s="458" t="s">
        <v>1684</v>
      </c>
      <c r="C3140" s="459">
        <v>3</v>
      </c>
      <c r="D3140" s="458">
        <v>2023</v>
      </c>
    </row>
    <row r="3141" spans="1:4" x14ac:dyDescent="0.35">
      <c r="A3141" s="457" t="s">
        <v>72</v>
      </c>
      <c r="B3141" s="458" t="s">
        <v>1685</v>
      </c>
      <c r="C3141" s="459">
        <v>5</v>
      </c>
      <c r="D3141" s="458">
        <v>2023</v>
      </c>
    </row>
    <row r="3142" spans="1:4" x14ac:dyDescent="0.35">
      <c r="A3142" s="457" t="s">
        <v>72</v>
      </c>
      <c r="B3142" s="458" t="s">
        <v>1688</v>
      </c>
      <c r="C3142" s="459">
        <v>1</v>
      </c>
      <c r="D3142" s="458">
        <v>2022</v>
      </c>
    </row>
    <row r="3143" spans="1:4" x14ac:dyDescent="0.35">
      <c r="A3143" s="457" t="s">
        <v>72</v>
      </c>
      <c r="B3143" s="458" t="s">
        <v>1688</v>
      </c>
      <c r="C3143" s="459">
        <v>1</v>
      </c>
      <c r="D3143" s="458">
        <v>2023</v>
      </c>
    </row>
    <row r="3144" spans="1:4" x14ac:dyDescent="0.35">
      <c r="A3144" s="457" t="s">
        <v>72</v>
      </c>
      <c r="B3144" s="458" t="s">
        <v>1688</v>
      </c>
      <c r="C3144" s="459">
        <v>1</v>
      </c>
      <c r="D3144" s="458">
        <v>2022</v>
      </c>
    </row>
    <row r="3145" spans="1:4" x14ac:dyDescent="0.35">
      <c r="A3145" s="457" t="s">
        <v>72</v>
      </c>
      <c r="B3145" s="458" t="s">
        <v>1688</v>
      </c>
      <c r="C3145" s="459">
        <v>1</v>
      </c>
      <c r="D3145" s="458">
        <v>2023</v>
      </c>
    </row>
    <row r="3146" spans="1:4" x14ac:dyDescent="0.35">
      <c r="A3146" s="457" t="s">
        <v>72</v>
      </c>
      <c r="B3146" s="458" t="s">
        <v>1686</v>
      </c>
      <c r="C3146" s="459">
        <v>2</v>
      </c>
      <c r="D3146" s="458">
        <v>2022</v>
      </c>
    </row>
    <row r="3147" spans="1:4" x14ac:dyDescent="0.35">
      <c r="A3147" s="457" t="s">
        <v>72</v>
      </c>
      <c r="B3147" s="458" t="s">
        <v>1686</v>
      </c>
      <c r="C3147" s="459">
        <v>2</v>
      </c>
      <c r="D3147" s="458">
        <v>2023</v>
      </c>
    </row>
    <row r="3148" spans="1:4" x14ac:dyDescent="0.35">
      <c r="A3148" s="457" t="s">
        <v>72</v>
      </c>
      <c r="B3148" s="458" t="s">
        <v>1686</v>
      </c>
      <c r="C3148" s="459">
        <v>1</v>
      </c>
      <c r="D3148" s="458">
        <v>2022</v>
      </c>
    </row>
    <row r="3149" spans="1:4" x14ac:dyDescent="0.35">
      <c r="A3149" s="457" t="s">
        <v>72</v>
      </c>
      <c r="B3149" s="458" t="s">
        <v>1686</v>
      </c>
      <c r="C3149" s="459">
        <v>2</v>
      </c>
      <c r="D3149" s="458">
        <v>2023</v>
      </c>
    </row>
    <row r="3150" spans="1:4" x14ac:dyDescent="0.35">
      <c r="A3150" s="457" t="s">
        <v>72</v>
      </c>
      <c r="B3150" s="458" t="s">
        <v>1687</v>
      </c>
      <c r="C3150" s="459">
        <v>1</v>
      </c>
      <c r="D3150" s="458">
        <v>2023</v>
      </c>
    </row>
    <row r="3151" spans="1:4" x14ac:dyDescent="0.35">
      <c r="A3151" s="457" t="s">
        <v>72</v>
      </c>
      <c r="B3151" s="458" t="s">
        <v>1687</v>
      </c>
      <c r="C3151" s="459">
        <v>1</v>
      </c>
      <c r="D3151" s="458">
        <v>2023</v>
      </c>
    </row>
    <row r="3152" spans="1:4" x14ac:dyDescent="0.35">
      <c r="A3152" s="457" t="s">
        <v>72</v>
      </c>
      <c r="B3152" s="458" t="s">
        <v>1680</v>
      </c>
      <c r="C3152" s="459">
        <v>4</v>
      </c>
      <c r="D3152" s="458">
        <v>2023</v>
      </c>
    </row>
    <row r="3153" spans="1:4" x14ac:dyDescent="0.35">
      <c r="A3153" s="457" t="s">
        <v>72</v>
      </c>
      <c r="B3153" s="458" t="s">
        <v>1681</v>
      </c>
      <c r="C3153" s="459">
        <v>-1</v>
      </c>
      <c r="D3153" s="458">
        <v>2023</v>
      </c>
    </row>
    <row r="3154" spans="1:4" x14ac:dyDescent="0.35">
      <c r="A3154" s="457" t="s">
        <v>72</v>
      </c>
      <c r="B3154" s="458" t="s">
        <v>1682</v>
      </c>
      <c r="C3154" s="459">
        <v>4</v>
      </c>
      <c r="D3154" s="458">
        <v>2022</v>
      </c>
    </row>
    <row r="3155" spans="1:4" x14ac:dyDescent="0.35">
      <c r="A3155" s="457" t="s">
        <v>72</v>
      </c>
      <c r="B3155" s="458" t="s">
        <v>1688</v>
      </c>
      <c r="C3155" s="459">
        <v>6</v>
      </c>
      <c r="D3155" s="458">
        <v>2022</v>
      </c>
    </row>
    <row r="3156" spans="1:4" x14ac:dyDescent="0.35">
      <c r="A3156" s="457" t="s">
        <v>72</v>
      </c>
      <c r="B3156" s="458" t="s">
        <v>1686</v>
      </c>
      <c r="C3156" s="459">
        <v>4</v>
      </c>
      <c r="D3156" s="458">
        <v>2022</v>
      </c>
    </row>
    <row r="3157" spans="1:4" x14ac:dyDescent="0.35">
      <c r="A3157" s="457" t="s">
        <v>72</v>
      </c>
      <c r="B3157" s="458" t="s">
        <v>1677</v>
      </c>
      <c r="C3157" s="459">
        <v>-3</v>
      </c>
      <c r="D3157" s="458">
        <v>2023</v>
      </c>
    </row>
    <row r="3158" spans="1:4" x14ac:dyDescent="0.35">
      <c r="A3158" s="457" t="s">
        <v>72</v>
      </c>
      <c r="B3158" s="458" t="s">
        <v>1678</v>
      </c>
      <c r="C3158" s="459">
        <v>3</v>
      </c>
      <c r="D3158" s="458">
        <v>2023</v>
      </c>
    </row>
    <row r="3159" spans="1:4" x14ac:dyDescent="0.35">
      <c r="A3159" s="457" t="s">
        <v>72</v>
      </c>
      <c r="B3159" s="458" t="s">
        <v>1679</v>
      </c>
      <c r="C3159" s="459">
        <v>1</v>
      </c>
      <c r="D3159" s="458">
        <v>2023</v>
      </c>
    </row>
    <row r="3160" spans="1:4" x14ac:dyDescent="0.35">
      <c r="A3160" s="457" t="s">
        <v>72</v>
      </c>
      <c r="B3160" s="458" t="s">
        <v>1680</v>
      </c>
      <c r="C3160" s="459">
        <v>6</v>
      </c>
      <c r="D3160" s="458">
        <v>2023</v>
      </c>
    </row>
    <row r="3161" spans="1:4" x14ac:dyDescent="0.35">
      <c r="A3161" s="457" t="s">
        <v>72</v>
      </c>
      <c r="B3161" s="458" t="s">
        <v>1681</v>
      </c>
      <c r="C3161" s="459">
        <v>3</v>
      </c>
      <c r="D3161" s="458">
        <v>2024</v>
      </c>
    </row>
    <row r="3162" spans="1:4" x14ac:dyDescent="0.35">
      <c r="A3162" s="457" t="s">
        <v>72</v>
      </c>
      <c r="B3162" s="458" t="s">
        <v>1681</v>
      </c>
      <c r="C3162" s="459">
        <v>0</v>
      </c>
      <c r="D3162" s="458">
        <v>2023</v>
      </c>
    </row>
    <row r="3163" spans="1:4" x14ac:dyDescent="0.35">
      <c r="A3163" s="457" t="s">
        <v>72</v>
      </c>
      <c r="B3163" s="458" t="s">
        <v>1682</v>
      </c>
      <c r="C3163" s="459">
        <v>4</v>
      </c>
      <c r="D3163" s="458">
        <v>2022</v>
      </c>
    </row>
    <row r="3164" spans="1:4" x14ac:dyDescent="0.35">
      <c r="A3164" s="457" t="s">
        <v>72</v>
      </c>
      <c r="B3164" s="458" t="s">
        <v>1682</v>
      </c>
      <c r="C3164" s="459">
        <v>3</v>
      </c>
      <c r="D3164" s="458">
        <v>2023</v>
      </c>
    </row>
    <row r="3165" spans="1:4" x14ac:dyDescent="0.35">
      <c r="A3165" s="457" t="s">
        <v>72</v>
      </c>
      <c r="B3165" s="458" t="s">
        <v>1683</v>
      </c>
      <c r="C3165" s="459">
        <v>1</v>
      </c>
      <c r="D3165" s="458">
        <v>2023</v>
      </c>
    </row>
    <row r="3166" spans="1:4" x14ac:dyDescent="0.35">
      <c r="A3166" s="457" t="s">
        <v>72</v>
      </c>
      <c r="B3166" s="458" t="s">
        <v>1684</v>
      </c>
      <c r="C3166" s="459">
        <v>3</v>
      </c>
      <c r="D3166" s="458">
        <v>2023</v>
      </c>
    </row>
    <row r="3167" spans="1:4" x14ac:dyDescent="0.35">
      <c r="A3167" s="457" t="s">
        <v>72</v>
      </c>
      <c r="B3167" s="458" t="s">
        <v>1685</v>
      </c>
      <c r="C3167" s="459">
        <v>3</v>
      </c>
      <c r="D3167" s="458">
        <v>2023</v>
      </c>
    </row>
    <row r="3168" spans="1:4" x14ac:dyDescent="0.35">
      <c r="A3168" s="457" t="s">
        <v>72</v>
      </c>
      <c r="B3168" s="458" t="s">
        <v>1688</v>
      </c>
      <c r="C3168" s="459">
        <v>3</v>
      </c>
      <c r="D3168" s="458">
        <v>2022</v>
      </c>
    </row>
    <row r="3169" spans="1:4" x14ac:dyDescent="0.35">
      <c r="A3169" s="457" t="s">
        <v>72</v>
      </c>
      <c r="B3169" s="458" t="s">
        <v>1686</v>
      </c>
      <c r="C3169" s="459">
        <v>3</v>
      </c>
      <c r="D3169" s="458">
        <v>2022</v>
      </c>
    </row>
    <row r="3170" spans="1:4" x14ac:dyDescent="0.35">
      <c r="A3170" s="457" t="s">
        <v>72</v>
      </c>
      <c r="B3170" s="458" t="s">
        <v>1686</v>
      </c>
      <c r="C3170" s="459">
        <v>5</v>
      </c>
      <c r="D3170" s="458">
        <v>2023</v>
      </c>
    </row>
    <row r="3171" spans="1:4" x14ac:dyDescent="0.35">
      <c r="A3171" s="457" t="s">
        <v>72</v>
      </c>
      <c r="B3171" s="458" t="s">
        <v>1687</v>
      </c>
      <c r="C3171" s="459">
        <v>2</v>
      </c>
      <c r="D3171" s="458">
        <v>2022</v>
      </c>
    </row>
    <row r="3172" spans="1:4" x14ac:dyDescent="0.35">
      <c r="A3172" s="457" t="s">
        <v>72</v>
      </c>
      <c r="B3172" s="458" t="s">
        <v>1677</v>
      </c>
      <c r="C3172" s="459">
        <v>1</v>
      </c>
      <c r="D3172" s="458">
        <v>2023</v>
      </c>
    </row>
    <row r="3173" spans="1:4" x14ac:dyDescent="0.35">
      <c r="A3173" s="457" t="s">
        <v>72</v>
      </c>
      <c r="B3173" s="458" t="s">
        <v>1678</v>
      </c>
      <c r="C3173" s="459">
        <v>1</v>
      </c>
      <c r="D3173" s="458">
        <v>2023</v>
      </c>
    </row>
    <row r="3174" spans="1:4" x14ac:dyDescent="0.35">
      <c r="A3174" s="457" t="s">
        <v>72</v>
      </c>
      <c r="B3174" s="458" t="s">
        <v>1681</v>
      </c>
      <c r="C3174" s="459">
        <v>2</v>
      </c>
      <c r="D3174" s="458">
        <v>2023</v>
      </c>
    </row>
    <row r="3175" spans="1:4" x14ac:dyDescent="0.35">
      <c r="A3175" s="457" t="s">
        <v>72</v>
      </c>
      <c r="B3175" s="458" t="s">
        <v>1681</v>
      </c>
      <c r="C3175" s="459">
        <v>1</v>
      </c>
      <c r="D3175" s="458">
        <v>2024</v>
      </c>
    </row>
    <row r="3176" spans="1:4" x14ac:dyDescent="0.35">
      <c r="A3176" s="457" t="s">
        <v>72</v>
      </c>
      <c r="B3176" s="458" t="s">
        <v>1682</v>
      </c>
      <c r="C3176" s="459">
        <v>1</v>
      </c>
      <c r="D3176" s="458">
        <v>2022</v>
      </c>
    </row>
    <row r="3177" spans="1:4" x14ac:dyDescent="0.35">
      <c r="A3177" s="457" t="s">
        <v>72</v>
      </c>
      <c r="B3177" s="458" t="s">
        <v>1684</v>
      </c>
      <c r="C3177" s="459">
        <v>2</v>
      </c>
      <c r="D3177" s="458">
        <v>2023</v>
      </c>
    </row>
    <row r="3178" spans="1:4" x14ac:dyDescent="0.35">
      <c r="A3178" s="457" t="s">
        <v>72</v>
      </c>
      <c r="B3178" s="458" t="s">
        <v>1685</v>
      </c>
      <c r="C3178" s="459">
        <v>1</v>
      </c>
      <c r="D3178" s="458">
        <v>2023</v>
      </c>
    </row>
    <row r="3179" spans="1:4" x14ac:dyDescent="0.35">
      <c r="A3179" s="457" t="s">
        <v>72</v>
      </c>
      <c r="B3179" s="458" t="s">
        <v>1688</v>
      </c>
      <c r="C3179" s="459">
        <v>2</v>
      </c>
      <c r="D3179" s="458">
        <v>2022</v>
      </c>
    </row>
    <row r="3180" spans="1:4" x14ac:dyDescent="0.35">
      <c r="A3180" s="457" t="s">
        <v>72</v>
      </c>
      <c r="B3180" s="458" t="s">
        <v>1686</v>
      </c>
      <c r="C3180" s="459">
        <v>1</v>
      </c>
      <c r="D3180" s="458">
        <v>2023</v>
      </c>
    </row>
    <row r="3181" spans="1:4" x14ac:dyDescent="0.35">
      <c r="A3181" s="457" t="s">
        <v>72</v>
      </c>
      <c r="B3181" s="458" t="s">
        <v>1687</v>
      </c>
      <c r="C3181" s="459">
        <v>1</v>
      </c>
      <c r="D3181" s="458">
        <v>2022</v>
      </c>
    </row>
    <row r="3182" spans="1:4" x14ac:dyDescent="0.35">
      <c r="A3182" s="457" t="s">
        <v>72</v>
      </c>
      <c r="B3182" s="458" t="s">
        <v>1687</v>
      </c>
      <c r="C3182" s="459">
        <v>1</v>
      </c>
      <c r="D3182" s="458">
        <v>2023</v>
      </c>
    </row>
    <row r="3183" spans="1:4" x14ac:dyDescent="0.35">
      <c r="A3183" s="457" t="s">
        <v>72</v>
      </c>
      <c r="B3183" s="458" t="s">
        <v>1681</v>
      </c>
      <c r="C3183" s="459">
        <v>2</v>
      </c>
      <c r="D3183" s="458">
        <v>2024</v>
      </c>
    </row>
    <row r="3184" spans="1:4" x14ac:dyDescent="0.35">
      <c r="A3184" s="457" t="s">
        <v>72</v>
      </c>
      <c r="B3184" s="458" t="s">
        <v>1680</v>
      </c>
      <c r="C3184" s="459">
        <v>2</v>
      </c>
      <c r="D3184" s="458">
        <v>2023</v>
      </c>
    </row>
    <row r="3185" spans="1:4" x14ac:dyDescent="0.35">
      <c r="A3185" s="457" t="s">
        <v>72</v>
      </c>
      <c r="B3185" s="458" t="s">
        <v>1686</v>
      </c>
      <c r="C3185" s="459">
        <v>1</v>
      </c>
      <c r="D3185" s="458">
        <v>2023</v>
      </c>
    </row>
    <row r="3186" spans="1:4" x14ac:dyDescent="0.35">
      <c r="A3186" s="457" t="s">
        <v>72</v>
      </c>
      <c r="B3186" s="458" t="s">
        <v>1677</v>
      </c>
      <c r="C3186" s="459">
        <v>34</v>
      </c>
      <c r="D3186" s="458">
        <v>2023</v>
      </c>
    </row>
    <row r="3187" spans="1:4" x14ac:dyDescent="0.35">
      <c r="A3187" s="457" t="s">
        <v>72</v>
      </c>
      <c r="B3187" s="458" t="s">
        <v>1678</v>
      </c>
      <c r="C3187" s="459">
        <v>19</v>
      </c>
      <c r="D3187" s="458">
        <v>2022</v>
      </c>
    </row>
    <row r="3188" spans="1:4" x14ac:dyDescent="0.35">
      <c r="A3188" s="457" t="s">
        <v>72</v>
      </c>
      <c r="B3188" s="458" t="s">
        <v>1678</v>
      </c>
      <c r="C3188" s="459">
        <v>27</v>
      </c>
      <c r="D3188" s="458">
        <v>2023</v>
      </c>
    </row>
    <row r="3189" spans="1:4" x14ac:dyDescent="0.35">
      <c r="A3189" s="457" t="s">
        <v>72</v>
      </c>
      <c r="B3189" s="458" t="s">
        <v>1679</v>
      </c>
      <c r="C3189" s="459">
        <v>15</v>
      </c>
      <c r="D3189" s="458">
        <v>2022</v>
      </c>
    </row>
    <row r="3190" spans="1:4" x14ac:dyDescent="0.35">
      <c r="A3190" s="457" t="s">
        <v>72</v>
      </c>
      <c r="B3190" s="458" t="s">
        <v>1679</v>
      </c>
      <c r="C3190" s="459">
        <v>17</v>
      </c>
      <c r="D3190" s="458">
        <v>2023</v>
      </c>
    </row>
    <row r="3191" spans="1:4" x14ac:dyDescent="0.35">
      <c r="A3191" s="457" t="s">
        <v>72</v>
      </c>
      <c r="B3191" s="458" t="s">
        <v>1680</v>
      </c>
      <c r="C3191" s="459">
        <v>15</v>
      </c>
      <c r="D3191" s="458">
        <v>2023</v>
      </c>
    </row>
    <row r="3192" spans="1:4" x14ac:dyDescent="0.35">
      <c r="A3192" s="457" t="s">
        <v>72</v>
      </c>
      <c r="B3192" s="458" t="s">
        <v>1681</v>
      </c>
      <c r="C3192" s="459">
        <v>34</v>
      </c>
      <c r="D3192" s="458">
        <v>2023</v>
      </c>
    </row>
    <row r="3193" spans="1:4" x14ac:dyDescent="0.35">
      <c r="A3193" s="457" t="s">
        <v>72</v>
      </c>
      <c r="B3193" s="458" t="s">
        <v>1681</v>
      </c>
      <c r="C3193" s="459">
        <v>53</v>
      </c>
      <c r="D3193" s="458">
        <v>2024</v>
      </c>
    </row>
    <row r="3194" spans="1:4" x14ac:dyDescent="0.35">
      <c r="A3194" s="457" t="s">
        <v>72</v>
      </c>
      <c r="B3194" s="458" t="s">
        <v>1681</v>
      </c>
      <c r="C3194" s="459">
        <v>15</v>
      </c>
      <c r="D3194" s="458">
        <v>2023</v>
      </c>
    </row>
    <row r="3195" spans="1:4" x14ac:dyDescent="0.35">
      <c r="A3195" s="457" t="s">
        <v>72</v>
      </c>
      <c r="B3195" s="458" t="s">
        <v>1682</v>
      </c>
      <c r="C3195" s="459">
        <v>21</v>
      </c>
      <c r="D3195" s="458">
        <v>2022</v>
      </c>
    </row>
    <row r="3196" spans="1:4" x14ac:dyDescent="0.35">
      <c r="A3196" s="457" t="s">
        <v>72</v>
      </c>
      <c r="B3196" s="458" t="s">
        <v>1682</v>
      </c>
      <c r="C3196" s="459">
        <v>27</v>
      </c>
      <c r="D3196" s="458">
        <v>2023</v>
      </c>
    </row>
    <row r="3197" spans="1:4" x14ac:dyDescent="0.35">
      <c r="A3197" s="457" t="s">
        <v>72</v>
      </c>
      <c r="B3197" s="458" t="s">
        <v>1683</v>
      </c>
      <c r="C3197" s="459">
        <v>31</v>
      </c>
      <c r="D3197" s="458">
        <v>2023</v>
      </c>
    </row>
    <row r="3198" spans="1:4" x14ac:dyDescent="0.35">
      <c r="A3198" s="457" t="s">
        <v>72</v>
      </c>
      <c r="B3198" s="458" t="s">
        <v>1684</v>
      </c>
      <c r="C3198" s="459">
        <v>41</v>
      </c>
      <c r="D3198" s="458">
        <v>2023</v>
      </c>
    </row>
    <row r="3199" spans="1:4" x14ac:dyDescent="0.35">
      <c r="A3199" s="457" t="s">
        <v>72</v>
      </c>
      <c r="B3199" s="458" t="s">
        <v>1685</v>
      </c>
      <c r="C3199" s="459">
        <v>19</v>
      </c>
      <c r="D3199" s="458">
        <v>2023</v>
      </c>
    </row>
    <row r="3200" spans="1:4" x14ac:dyDescent="0.35">
      <c r="A3200" s="457" t="s">
        <v>72</v>
      </c>
      <c r="B3200" s="458" t="s">
        <v>1688</v>
      </c>
      <c r="C3200" s="459">
        <v>20</v>
      </c>
      <c r="D3200" s="458">
        <v>2022</v>
      </c>
    </row>
    <row r="3201" spans="1:4" x14ac:dyDescent="0.35">
      <c r="A3201" s="457" t="s">
        <v>72</v>
      </c>
      <c r="B3201" s="458" t="s">
        <v>1688</v>
      </c>
      <c r="C3201" s="459">
        <v>35</v>
      </c>
      <c r="D3201" s="458">
        <v>2023</v>
      </c>
    </row>
    <row r="3202" spans="1:4" x14ac:dyDescent="0.35">
      <c r="A3202" s="457" t="s">
        <v>72</v>
      </c>
      <c r="B3202" s="458" t="s">
        <v>1688</v>
      </c>
      <c r="C3202" s="459">
        <v>4</v>
      </c>
      <c r="D3202" s="458">
        <v>2022</v>
      </c>
    </row>
    <row r="3203" spans="1:4" x14ac:dyDescent="0.35">
      <c r="A3203" s="457" t="s">
        <v>72</v>
      </c>
      <c r="B3203" s="458" t="s">
        <v>1686</v>
      </c>
      <c r="C3203" s="459">
        <v>21</v>
      </c>
      <c r="D3203" s="458">
        <v>2022</v>
      </c>
    </row>
    <row r="3204" spans="1:4" x14ac:dyDescent="0.35">
      <c r="A3204" s="457" t="s">
        <v>72</v>
      </c>
      <c r="B3204" s="458" t="s">
        <v>1686</v>
      </c>
      <c r="C3204" s="459">
        <v>25</v>
      </c>
      <c r="D3204" s="458">
        <v>2023</v>
      </c>
    </row>
    <row r="3205" spans="1:4" x14ac:dyDescent="0.35">
      <c r="A3205" s="457" t="s">
        <v>72</v>
      </c>
      <c r="B3205" s="458" t="s">
        <v>1686</v>
      </c>
      <c r="C3205" s="459">
        <v>3</v>
      </c>
      <c r="D3205" s="458">
        <v>2023</v>
      </c>
    </row>
    <row r="3206" spans="1:4" x14ac:dyDescent="0.35">
      <c r="A3206" s="457" t="s">
        <v>72</v>
      </c>
      <c r="B3206" s="458" t="s">
        <v>1687</v>
      </c>
      <c r="C3206" s="459">
        <v>15</v>
      </c>
      <c r="D3206" s="458">
        <v>2022</v>
      </c>
    </row>
    <row r="3207" spans="1:4" x14ac:dyDescent="0.35">
      <c r="A3207" s="457" t="s">
        <v>72</v>
      </c>
      <c r="B3207" s="458" t="s">
        <v>1687</v>
      </c>
      <c r="C3207" s="459">
        <v>32</v>
      </c>
      <c r="D3207" s="458">
        <v>2023</v>
      </c>
    </row>
    <row r="3208" spans="1:4" x14ac:dyDescent="0.35">
      <c r="A3208" s="457" t="s">
        <v>72</v>
      </c>
      <c r="B3208" s="458" t="s">
        <v>1677</v>
      </c>
      <c r="C3208" s="459">
        <v>10</v>
      </c>
      <c r="D3208" s="458">
        <v>2023</v>
      </c>
    </row>
    <row r="3209" spans="1:4" x14ac:dyDescent="0.35">
      <c r="A3209" s="457" t="s">
        <v>72</v>
      </c>
      <c r="B3209" s="458" t="s">
        <v>1678</v>
      </c>
      <c r="C3209" s="459">
        <v>4</v>
      </c>
      <c r="D3209" s="458">
        <v>2022</v>
      </c>
    </row>
    <row r="3210" spans="1:4" x14ac:dyDescent="0.35">
      <c r="A3210" s="457" t="s">
        <v>72</v>
      </c>
      <c r="B3210" s="458" t="s">
        <v>1678</v>
      </c>
      <c r="C3210" s="459">
        <v>6</v>
      </c>
      <c r="D3210" s="458">
        <v>2023</v>
      </c>
    </row>
    <row r="3211" spans="1:4" x14ac:dyDescent="0.35">
      <c r="A3211" s="457" t="s">
        <v>72</v>
      </c>
      <c r="B3211" s="458" t="s">
        <v>1679</v>
      </c>
      <c r="C3211" s="459">
        <v>4</v>
      </c>
      <c r="D3211" s="458">
        <v>2022</v>
      </c>
    </row>
    <row r="3212" spans="1:4" x14ac:dyDescent="0.35">
      <c r="A3212" s="457" t="s">
        <v>72</v>
      </c>
      <c r="B3212" s="458" t="s">
        <v>1679</v>
      </c>
      <c r="C3212" s="459">
        <v>4</v>
      </c>
      <c r="D3212" s="458">
        <v>2023</v>
      </c>
    </row>
    <row r="3213" spans="1:4" x14ac:dyDescent="0.35">
      <c r="A3213" s="457" t="s">
        <v>72</v>
      </c>
      <c r="B3213" s="458" t="s">
        <v>1680</v>
      </c>
      <c r="C3213" s="459">
        <v>8</v>
      </c>
      <c r="D3213" s="458">
        <v>2023</v>
      </c>
    </row>
    <row r="3214" spans="1:4" x14ac:dyDescent="0.35">
      <c r="A3214" s="457" t="s">
        <v>72</v>
      </c>
      <c r="B3214" s="458" t="s">
        <v>1681</v>
      </c>
      <c r="C3214" s="459">
        <v>8</v>
      </c>
      <c r="D3214" s="458">
        <v>2023</v>
      </c>
    </row>
    <row r="3215" spans="1:4" x14ac:dyDescent="0.35">
      <c r="A3215" s="457" t="s">
        <v>72</v>
      </c>
      <c r="B3215" s="458" t="s">
        <v>1681</v>
      </c>
      <c r="C3215" s="459">
        <v>10</v>
      </c>
      <c r="D3215" s="458">
        <v>2024</v>
      </c>
    </row>
    <row r="3216" spans="1:4" x14ac:dyDescent="0.35">
      <c r="A3216" s="457" t="s">
        <v>72</v>
      </c>
      <c r="B3216" s="458" t="s">
        <v>1681</v>
      </c>
      <c r="C3216" s="459">
        <v>4</v>
      </c>
      <c r="D3216" s="458">
        <v>2023</v>
      </c>
    </row>
    <row r="3217" spans="1:4" x14ac:dyDescent="0.35">
      <c r="A3217" s="457" t="s">
        <v>72</v>
      </c>
      <c r="B3217" s="458" t="s">
        <v>1682</v>
      </c>
      <c r="C3217" s="459">
        <v>4</v>
      </c>
      <c r="D3217" s="458">
        <v>2022</v>
      </c>
    </row>
    <row r="3218" spans="1:4" x14ac:dyDescent="0.35">
      <c r="A3218" s="457" t="s">
        <v>72</v>
      </c>
      <c r="B3218" s="458" t="s">
        <v>1682</v>
      </c>
      <c r="C3218" s="459">
        <v>7</v>
      </c>
      <c r="D3218" s="458">
        <v>2023</v>
      </c>
    </row>
    <row r="3219" spans="1:4" x14ac:dyDescent="0.35">
      <c r="A3219" s="457" t="s">
        <v>72</v>
      </c>
      <c r="B3219" s="458" t="s">
        <v>1683</v>
      </c>
      <c r="C3219" s="459">
        <v>4</v>
      </c>
      <c r="D3219" s="458">
        <v>2023</v>
      </c>
    </row>
    <row r="3220" spans="1:4" x14ac:dyDescent="0.35">
      <c r="A3220" s="457" t="s">
        <v>72</v>
      </c>
      <c r="B3220" s="458" t="s">
        <v>1684</v>
      </c>
      <c r="C3220" s="459">
        <v>4</v>
      </c>
      <c r="D3220" s="458">
        <v>2023</v>
      </c>
    </row>
    <row r="3221" spans="1:4" x14ac:dyDescent="0.35">
      <c r="A3221" s="457" t="s">
        <v>72</v>
      </c>
      <c r="B3221" s="458" t="s">
        <v>1685</v>
      </c>
      <c r="C3221" s="459">
        <v>8</v>
      </c>
      <c r="D3221" s="458">
        <v>2023</v>
      </c>
    </row>
    <row r="3222" spans="1:4" x14ac:dyDescent="0.35">
      <c r="A3222" s="457" t="s">
        <v>72</v>
      </c>
      <c r="B3222" s="458" t="s">
        <v>1688</v>
      </c>
      <c r="C3222" s="459">
        <v>6</v>
      </c>
      <c r="D3222" s="458">
        <v>2022</v>
      </c>
    </row>
    <row r="3223" spans="1:4" x14ac:dyDescent="0.35">
      <c r="A3223" s="457" t="s">
        <v>72</v>
      </c>
      <c r="B3223" s="458" t="s">
        <v>1688</v>
      </c>
      <c r="C3223" s="459">
        <v>7</v>
      </c>
      <c r="D3223" s="458">
        <v>2023</v>
      </c>
    </row>
    <row r="3224" spans="1:4" x14ac:dyDescent="0.35">
      <c r="A3224" s="457" t="s">
        <v>72</v>
      </c>
      <c r="B3224" s="458" t="s">
        <v>1686</v>
      </c>
      <c r="C3224" s="459">
        <v>4</v>
      </c>
      <c r="D3224" s="458">
        <v>2022</v>
      </c>
    </row>
    <row r="3225" spans="1:4" x14ac:dyDescent="0.35">
      <c r="A3225" s="457" t="s">
        <v>72</v>
      </c>
      <c r="B3225" s="458" t="s">
        <v>1686</v>
      </c>
      <c r="C3225" s="459">
        <v>4</v>
      </c>
      <c r="D3225" s="458">
        <v>2023</v>
      </c>
    </row>
    <row r="3226" spans="1:4" x14ac:dyDescent="0.35">
      <c r="A3226" s="457" t="s">
        <v>72</v>
      </c>
      <c r="B3226" s="458" t="s">
        <v>1687</v>
      </c>
      <c r="C3226" s="459">
        <v>4</v>
      </c>
      <c r="D3226" s="458">
        <v>2022</v>
      </c>
    </row>
    <row r="3227" spans="1:4" x14ac:dyDescent="0.35">
      <c r="A3227" s="457" t="s">
        <v>72</v>
      </c>
      <c r="B3227" s="458" t="s">
        <v>1687</v>
      </c>
      <c r="C3227" s="459">
        <v>6</v>
      </c>
      <c r="D3227" s="458">
        <v>2023</v>
      </c>
    </row>
    <row r="3228" spans="1:4" x14ac:dyDescent="0.35">
      <c r="A3228" s="457" t="s">
        <v>72</v>
      </c>
      <c r="B3228" s="458" t="s">
        <v>1680</v>
      </c>
      <c r="C3228" s="459">
        <v>1</v>
      </c>
      <c r="D3228" s="458">
        <v>2023</v>
      </c>
    </row>
    <row r="3229" spans="1:4" x14ac:dyDescent="0.35">
      <c r="A3229" s="457" t="s">
        <v>72</v>
      </c>
      <c r="B3229" s="458" t="s">
        <v>1681</v>
      </c>
      <c r="C3229" s="459">
        <v>2</v>
      </c>
      <c r="D3229" s="458">
        <v>2023</v>
      </c>
    </row>
    <row r="3230" spans="1:4" x14ac:dyDescent="0.35">
      <c r="A3230" s="457" t="s">
        <v>72</v>
      </c>
      <c r="B3230" s="458" t="s">
        <v>1684</v>
      </c>
      <c r="C3230" s="459">
        <v>1</v>
      </c>
      <c r="D3230" s="458">
        <v>2023</v>
      </c>
    </row>
    <row r="3231" spans="1:4" x14ac:dyDescent="0.35">
      <c r="A3231" s="457" t="s">
        <v>72</v>
      </c>
      <c r="B3231" s="458" t="s">
        <v>1677</v>
      </c>
      <c r="C3231" s="459">
        <v>2</v>
      </c>
      <c r="D3231" s="458">
        <v>2023</v>
      </c>
    </row>
    <row r="3232" spans="1:4" x14ac:dyDescent="0.35">
      <c r="A3232" s="457" t="s">
        <v>72</v>
      </c>
      <c r="B3232" s="458" t="s">
        <v>1679</v>
      </c>
      <c r="C3232" s="459">
        <v>2</v>
      </c>
      <c r="D3232" s="458">
        <v>2022</v>
      </c>
    </row>
    <row r="3233" spans="1:4" x14ac:dyDescent="0.35">
      <c r="A3233" s="457" t="s">
        <v>72</v>
      </c>
      <c r="B3233" s="458" t="s">
        <v>1680</v>
      </c>
      <c r="C3233" s="459">
        <v>2</v>
      </c>
      <c r="D3233" s="458">
        <v>2023</v>
      </c>
    </row>
    <row r="3234" spans="1:4" x14ac:dyDescent="0.35">
      <c r="A3234" s="457" t="s">
        <v>72</v>
      </c>
      <c r="B3234" s="458" t="s">
        <v>1681</v>
      </c>
      <c r="C3234" s="459">
        <v>5</v>
      </c>
      <c r="D3234" s="458">
        <v>2024</v>
      </c>
    </row>
    <row r="3235" spans="1:4" x14ac:dyDescent="0.35">
      <c r="A3235" s="457" t="s">
        <v>72</v>
      </c>
      <c r="B3235" s="458" t="s">
        <v>1682</v>
      </c>
      <c r="C3235" s="459">
        <v>5</v>
      </c>
      <c r="D3235" s="458">
        <v>2023</v>
      </c>
    </row>
    <row r="3236" spans="1:4" x14ac:dyDescent="0.35">
      <c r="A3236" s="457" t="s">
        <v>72</v>
      </c>
      <c r="B3236" s="458" t="s">
        <v>1683</v>
      </c>
      <c r="C3236" s="459">
        <v>2</v>
      </c>
      <c r="D3236" s="458">
        <v>2023</v>
      </c>
    </row>
    <row r="3237" spans="1:4" x14ac:dyDescent="0.35">
      <c r="A3237" s="457" t="s">
        <v>72</v>
      </c>
      <c r="B3237" s="458" t="s">
        <v>1684</v>
      </c>
      <c r="C3237" s="459">
        <v>1</v>
      </c>
      <c r="D3237" s="458">
        <v>2023</v>
      </c>
    </row>
    <row r="3238" spans="1:4" x14ac:dyDescent="0.35">
      <c r="A3238" s="457" t="s">
        <v>72</v>
      </c>
      <c r="B3238" s="458" t="s">
        <v>1685</v>
      </c>
      <c r="C3238" s="459">
        <v>2</v>
      </c>
      <c r="D3238" s="458">
        <v>2023</v>
      </c>
    </row>
    <row r="3239" spans="1:4" x14ac:dyDescent="0.35">
      <c r="A3239" s="457" t="s">
        <v>72</v>
      </c>
      <c r="B3239" s="458" t="s">
        <v>1686</v>
      </c>
      <c r="C3239" s="459">
        <v>4</v>
      </c>
      <c r="D3239" s="458">
        <v>2023</v>
      </c>
    </row>
    <row r="3240" spans="1:4" x14ac:dyDescent="0.35">
      <c r="A3240" s="457" t="s">
        <v>72</v>
      </c>
      <c r="B3240" s="458" t="s">
        <v>1687</v>
      </c>
      <c r="C3240" s="459">
        <v>2</v>
      </c>
      <c r="D3240" s="458">
        <v>2023</v>
      </c>
    </row>
    <row r="3241" spans="1:4" x14ac:dyDescent="0.35">
      <c r="A3241" s="457" t="s">
        <v>72</v>
      </c>
      <c r="B3241" s="458" t="s">
        <v>1677</v>
      </c>
      <c r="C3241" s="459">
        <v>1</v>
      </c>
      <c r="D3241" s="458">
        <v>2023</v>
      </c>
    </row>
    <row r="3242" spans="1:4" x14ac:dyDescent="0.35">
      <c r="A3242" s="457" t="s">
        <v>72</v>
      </c>
      <c r="B3242" s="458" t="s">
        <v>1678</v>
      </c>
      <c r="C3242" s="459">
        <v>1</v>
      </c>
      <c r="D3242" s="458">
        <v>2022</v>
      </c>
    </row>
    <row r="3243" spans="1:4" x14ac:dyDescent="0.35">
      <c r="A3243" s="457" t="s">
        <v>72</v>
      </c>
      <c r="B3243" s="458" t="s">
        <v>1678</v>
      </c>
      <c r="C3243" s="459">
        <v>1</v>
      </c>
      <c r="D3243" s="458">
        <v>2023</v>
      </c>
    </row>
    <row r="3244" spans="1:4" x14ac:dyDescent="0.35">
      <c r="A3244" s="457" t="s">
        <v>72</v>
      </c>
      <c r="B3244" s="458" t="s">
        <v>1679</v>
      </c>
      <c r="C3244" s="459">
        <v>1</v>
      </c>
      <c r="D3244" s="458">
        <v>2023</v>
      </c>
    </row>
    <row r="3245" spans="1:4" x14ac:dyDescent="0.35">
      <c r="A3245" s="457" t="s">
        <v>72</v>
      </c>
      <c r="B3245" s="458" t="s">
        <v>1680</v>
      </c>
      <c r="C3245" s="459">
        <v>1</v>
      </c>
      <c r="D3245" s="458">
        <v>2023</v>
      </c>
    </row>
    <row r="3246" spans="1:4" x14ac:dyDescent="0.35">
      <c r="A3246" s="457" t="s">
        <v>72</v>
      </c>
      <c r="B3246" s="458" t="s">
        <v>1681</v>
      </c>
      <c r="C3246" s="459">
        <v>0</v>
      </c>
      <c r="D3246" s="458">
        <v>2023</v>
      </c>
    </row>
    <row r="3247" spans="1:4" x14ac:dyDescent="0.35">
      <c r="A3247" s="457" t="s">
        <v>72</v>
      </c>
      <c r="B3247" s="458" t="s">
        <v>1682</v>
      </c>
      <c r="C3247" s="459">
        <v>1</v>
      </c>
      <c r="D3247" s="458">
        <v>2022</v>
      </c>
    </row>
    <row r="3248" spans="1:4" x14ac:dyDescent="0.35">
      <c r="A3248" s="457" t="s">
        <v>72</v>
      </c>
      <c r="B3248" s="458" t="s">
        <v>1682</v>
      </c>
      <c r="C3248" s="459">
        <v>2</v>
      </c>
      <c r="D3248" s="458">
        <v>2023</v>
      </c>
    </row>
    <row r="3249" spans="1:4" x14ac:dyDescent="0.35">
      <c r="A3249" s="457" t="s">
        <v>72</v>
      </c>
      <c r="B3249" s="458" t="s">
        <v>1684</v>
      </c>
      <c r="C3249" s="459">
        <v>2</v>
      </c>
      <c r="D3249" s="458">
        <v>2023</v>
      </c>
    </row>
    <row r="3250" spans="1:4" x14ac:dyDescent="0.35">
      <c r="A3250" s="457" t="s">
        <v>72</v>
      </c>
      <c r="B3250" s="458" t="s">
        <v>1685</v>
      </c>
      <c r="C3250" s="459">
        <v>1</v>
      </c>
      <c r="D3250" s="458">
        <v>2023</v>
      </c>
    </row>
    <row r="3251" spans="1:4" x14ac:dyDescent="0.35">
      <c r="A3251" s="457" t="s">
        <v>72</v>
      </c>
      <c r="B3251" s="458" t="s">
        <v>1688</v>
      </c>
      <c r="C3251" s="459">
        <v>1</v>
      </c>
      <c r="D3251" s="458">
        <v>2022</v>
      </c>
    </row>
    <row r="3252" spans="1:4" x14ac:dyDescent="0.35">
      <c r="A3252" s="457" t="s">
        <v>72</v>
      </c>
      <c r="B3252" s="458" t="s">
        <v>1687</v>
      </c>
      <c r="C3252" s="459">
        <v>2</v>
      </c>
      <c r="D3252" s="458">
        <v>2022</v>
      </c>
    </row>
    <row r="3253" spans="1:4" x14ac:dyDescent="0.35">
      <c r="A3253" s="457" t="s">
        <v>72</v>
      </c>
      <c r="B3253" s="458" t="s">
        <v>1687</v>
      </c>
      <c r="C3253" s="459">
        <v>1</v>
      </c>
      <c r="D3253" s="458">
        <v>2023</v>
      </c>
    </row>
    <row r="3254" spans="1:4" x14ac:dyDescent="0.35">
      <c r="A3254" s="457" t="s">
        <v>72</v>
      </c>
      <c r="B3254" s="458" t="s">
        <v>1677</v>
      </c>
      <c r="C3254" s="459">
        <v>6</v>
      </c>
      <c r="D3254" s="458">
        <v>2023</v>
      </c>
    </row>
    <row r="3255" spans="1:4" x14ac:dyDescent="0.35">
      <c r="A3255" s="457" t="s">
        <v>72</v>
      </c>
      <c r="B3255" s="458" t="s">
        <v>1678</v>
      </c>
      <c r="C3255" s="459">
        <v>3</v>
      </c>
      <c r="D3255" s="458">
        <v>2023</v>
      </c>
    </row>
    <row r="3256" spans="1:4" x14ac:dyDescent="0.35">
      <c r="A3256" s="457" t="s">
        <v>72</v>
      </c>
      <c r="B3256" s="458" t="s">
        <v>1681</v>
      </c>
      <c r="C3256" s="459">
        <v>6</v>
      </c>
      <c r="D3256" s="458">
        <v>2024</v>
      </c>
    </row>
    <row r="3257" spans="1:4" x14ac:dyDescent="0.35">
      <c r="A3257" s="457" t="s">
        <v>72</v>
      </c>
      <c r="B3257" s="458" t="s">
        <v>1682</v>
      </c>
      <c r="C3257" s="459">
        <v>3</v>
      </c>
      <c r="D3257" s="458">
        <v>2023</v>
      </c>
    </row>
    <row r="3258" spans="1:4" x14ac:dyDescent="0.35">
      <c r="A3258" s="457" t="s">
        <v>72</v>
      </c>
      <c r="B3258" s="458" t="s">
        <v>1683</v>
      </c>
      <c r="C3258" s="459">
        <v>5</v>
      </c>
      <c r="D3258" s="458">
        <v>2023</v>
      </c>
    </row>
    <row r="3259" spans="1:4" x14ac:dyDescent="0.35">
      <c r="A3259" s="457" t="s">
        <v>72</v>
      </c>
      <c r="B3259" s="458" t="s">
        <v>1685</v>
      </c>
      <c r="C3259" s="459">
        <v>6</v>
      </c>
      <c r="D3259" s="458">
        <v>2023</v>
      </c>
    </row>
    <row r="3260" spans="1:4" x14ac:dyDescent="0.35">
      <c r="A3260" s="457" t="s">
        <v>72</v>
      </c>
      <c r="B3260" s="458" t="s">
        <v>1688</v>
      </c>
      <c r="C3260" s="459">
        <v>6</v>
      </c>
      <c r="D3260" s="458">
        <v>2023</v>
      </c>
    </row>
    <row r="3261" spans="1:4" x14ac:dyDescent="0.35">
      <c r="A3261" s="457" t="s">
        <v>72</v>
      </c>
      <c r="B3261" s="458" t="s">
        <v>1686</v>
      </c>
      <c r="C3261" s="459">
        <v>3</v>
      </c>
      <c r="D3261" s="458">
        <v>2023</v>
      </c>
    </row>
    <row r="3262" spans="1:4" x14ac:dyDescent="0.35">
      <c r="A3262" s="457" t="s">
        <v>72</v>
      </c>
      <c r="B3262" s="458" t="s">
        <v>1687</v>
      </c>
      <c r="C3262" s="459">
        <v>3</v>
      </c>
      <c r="D3262" s="458">
        <v>2023</v>
      </c>
    </row>
    <row r="3263" spans="1:4" x14ac:dyDescent="0.35">
      <c r="A3263" s="457" t="s">
        <v>72</v>
      </c>
      <c r="B3263" s="458" t="s">
        <v>1677</v>
      </c>
      <c r="C3263" s="459">
        <v>5</v>
      </c>
      <c r="D3263" s="458">
        <v>2023</v>
      </c>
    </row>
    <row r="3264" spans="1:4" x14ac:dyDescent="0.35">
      <c r="A3264" s="457" t="s">
        <v>72</v>
      </c>
      <c r="B3264" s="458" t="s">
        <v>1678</v>
      </c>
      <c r="C3264" s="459">
        <v>5</v>
      </c>
      <c r="D3264" s="458">
        <v>2022</v>
      </c>
    </row>
    <row r="3265" spans="1:4" x14ac:dyDescent="0.35">
      <c r="A3265" s="457" t="s">
        <v>72</v>
      </c>
      <c r="B3265" s="458" t="s">
        <v>1678</v>
      </c>
      <c r="C3265" s="459">
        <v>5</v>
      </c>
      <c r="D3265" s="458">
        <v>2023</v>
      </c>
    </row>
    <row r="3266" spans="1:4" x14ac:dyDescent="0.35">
      <c r="A3266" s="457" t="s">
        <v>72</v>
      </c>
      <c r="B3266" s="458" t="s">
        <v>1680</v>
      </c>
      <c r="C3266" s="459">
        <v>5</v>
      </c>
      <c r="D3266" s="458">
        <v>2023</v>
      </c>
    </row>
    <row r="3267" spans="1:4" x14ac:dyDescent="0.35">
      <c r="A3267" s="457" t="s">
        <v>72</v>
      </c>
      <c r="B3267" s="458" t="s">
        <v>1681</v>
      </c>
      <c r="C3267" s="459">
        <v>5</v>
      </c>
      <c r="D3267" s="458">
        <v>2023</v>
      </c>
    </row>
    <row r="3268" spans="1:4" x14ac:dyDescent="0.35">
      <c r="A3268" s="457" t="s">
        <v>72</v>
      </c>
      <c r="B3268" s="458" t="s">
        <v>1681</v>
      </c>
      <c r="C3268" s="459">
        <v>5</v>
      </c>
      <c r="D3268" s="458">
        <v>2024</v>
      </c>
    </row>
    <row r="3269" spans="1:4" x14ac:dyDescent="0.35">
      <c r="A3269" s="457" t="s">
        <v>72</v>
      </c>
      <c r="B3269" s="458" t="s">
        <v>1682</v>
      </c>
      <c r="C3269" s="459">
        <v>6</v>
      </c>
      <c r="D3269" s="458">
        <v>2022</v>
      </c>
    </row>
    <row r="3270" spans="1:4" x14ac:dyDescent="0.35">
      <c r="A3270" s="457" t="s">
        <v>72</v>
      </c>
      <c r="B3270" s="458" t="s">
        <v>1682</v>
      </c>
      <c r="C3270" s="459">
        <v>5</v>
      </c>
      <c r="D3270" s="458">
        <v>2023</v>
      </c>
    </row>
    <row r="3271" spans="1:4" x14ac:dyDescent="0.35">
      <c r="A3271" s="457" t="s">
        <v>72</v>
      </c>
      <c r="B3271" s="458" t="s">
        <v>1683</v>
      </c>
      <c r="C3271" s="459">
        <v>5</v>
      </c>
      <c r="D3271" s="458">
        <v>2023</v>
      </c>
    </row>
    <row r="3272" spans="1:4" x14ac:dyDescent="0.35">
      <c r="A3272" s="457" t="s">
        <v>72</v>
      </c>
      <c r="B3272" s="458" t="s">
        <v>1684</v>
      </c>
      <c r="C3272" s="459">
        <v>5</v>
      </c>
      <c r="D3272" s="458">
        <v>2023</v>
      </c>
    </row>
    <row r="3273" spans="1:4" x14ac:dyDescent="0.35">
      <c r="A3273" s="457" t="s">
        <v>72</v>
      </c>
      <c r="B3273" s="458" t="s">
        <v>1685</v>
      </c>
      <c r="C3273" s="459">
        <v>5</v>
      </c>
      <c r="D3273" s="458">
        <v>2023</v>
      </c>
    </row>
    <row r="3274" spans="1:4" x14ac:dyDescent="0.35">
      <c r="A3274" s="457" t="s">
        <v>72</v>
      </c>
      <c r="B3274" s="458" t="s">
        <v>1688</v>
      </c>
      <c r="C3274" s="459">
        <v>5</v>
      </c>
      <c r="D3274" s="458">
        <v>2022</v>
      </c>
    </row>
    <row r="3275" spans="1:4" x14ac:dyDescent="0.35">
      <c r="A3275" s="457" t="s">
        <v>72</v>
      </c>
      <c r="B3275" s="458" t="s">
        <v>1688</v>
      </c>
      <c r="C3275" s="459">
        <v>5</v>
      </c>
      <c r="D3275" s="458">
        <v>2023</v>
      </c>
    </row>
    <row r="3276" spans="1:4" x14ac:dyDescent="0.35">
      <c r="A3276" s="457" t="s">
        <v>72</v>
      </c>
      <c r="B3276" s="458" t="s">
        <v>1686</v>
      </c>
      <c r="C3276" s="459">
        <v>5</v>
      </c>
      <c r="D3276" s="458">
        <v>2022</v>
      </c>
    </row>
    <row r="3277" spans="1:4" x14ac:dyDescent="0.35">
      <c r="A3277" s="457" t="s">
        <v>72</v>
      </c>
      <c r="B3277" s="458" t="s">
        <v>1686</v>
      </c>
      <c r="C3277" s="459">
        <v>5</v>
      </c>
      <c r="D3277" s="458">
        <v>2023</v>
      </c>
    </row>
    <row r="3278" spans="1:4" x14ac:dyDescent="0.35">
      <c r="A3278" s="457" t="s">
        <v>72</v>
      </c>
      <c r="B3278" s="458" t="s">
        <v>1687</v>
      </c>
      <c r="C3278" s="459">
        <v>5</v>
      </c>
      <c r="D3278" s="458">
        <v>2022</v>
      </c>
    </row>
    <row r="3279" spans="1:4" x14ac:dyDescent="0.35">
      <c r="A3279" s="457" t="s">
        <v>72</v>
      </c>
      <c r="B3279" s="458" t="s">
        <v>1677</v>
      </c>
      <c r="C3279" s="459">
        <v>5</v>
      </c>
      <c r="D3279" s="458">
        <v>2023</v>
      </c>
    </row>
    <row r="3280" spans="1:4" x14ac:dyDescent="0.35">
      <c r="A3280" s="457" t="s">
        <v>72</v>
      </c>
      <c r="B3280" s="458" t="s">
        <v>1678</v>
      </c>
      <c r="C3280" s="459">
        <v>5</v>
      </c>
      <c r="D3280" s="458">
        <v>2022</v>
      </c>
    </row>
    <row r="3281" spans="1:4" x14ac:dyDescent="0.35">
      <c r="A3281" s="457" t="s">
        <v>72</v>
      </c>
      <c r="B3281" s="458" t="s">
        <v>1678</v>
      </c>
      <c r="C3281" s="459">
        <v>10</v>
      </c>
      <c r="D3281" s="458">
        <v>2023</v>
      </c>
    </row>
    <row r="3282" spans="1:4" x14ac:dyDescent="0.35">
      <c r="A3282" s="457" t="s">
        <v>72</v>
      </c>
      <c r="B3282" s="458" t="s">
        <v>1680</v>
      </c>
      <c r="C3282" s="459">
        <v>4</v>
      </c>
      <c r="D3282" s="458">
        <v>2023</v>
      </c>
    </row>
    <row r="3283" spans="1:4" x14ac:dyDescent="0.35">
      <c r="A3283" s="457" t="s">
        <v>72</v>
      </c>
      <c r="B3283" s="458" t="s">
        <v>1681</v>
      </c>
      <c r="C3283" s="459">
        <v>0</v>
      </c>
      <c r="D3283" s="458">
        <v>2023</v>
      </c>
    </row>
    <row r="3284" spans="1:4" x14ac:dyDescent="0.35">
      <c r="A3284" s="457" t="s">
        <v>72</v>
      </c>
      <c r="B3284" s="458" t="s">
        <v>1681</v>
      </c>
      <c r="C3284" s="459">
        <v>8</v>
      </c>
      <c r="D3284" s="458">
        <v>2024</v>
      </c>
    </row>
    <row r="3285" spans="1:4" x14ac:dyDescent="0.35">
      <c r="A3285" s="457" t="s">
        <v>72</v>
      </c>
      <c r="B3285" s="458" t="s">
        <v>1682</v>
      </c>
      <c r="C3285" s="459">
        <v>4</v>
      </c>
      <c r="D3285" s="458">
        <v>2022</v>
      </c>
    </row>
    <row r="3286" spans="1:4" x14ac:dyDescent="0.35">
      <c r="A3286" s="457" t="s">
        <v>72</v>
      </c>
      <c r="B3286" s="458" t="s">
        <v>1683</v>
      </c>
      <c r="C3286" s="459">
        <v>4</v>
      </c>
      <c r="D3286" s="458">
        <v>2023</v>
      </c>
    </row>
    <row r="3287" spans="1:4" x14ac:dyDescent="0.35">
      <c r="A3287" s="457" t="s">
        <v>72</v>
      </c>
      <c r="B3287" s="458" t="s">
        <v>1684</v>
      </c>
      <c r="C3287" s="459">
        <v>4</v>
      </c>
      <c r="D3287" s="458">
        <v>2023</v>
      </c>
    </row>
    <row r="3288" spans="1:4" x14ac:dyDescent="0.35">
      <c r="A3288" s="457" t="s">
        <v>72</v>
      </c>
      <c r="B3288" s="458" t="s">
        <v>1685</v>
      </c>
      <c r="C3288" s="459">
        <v>14</v>
      </c>
      <c r="D3288" s="458">
        <v>2023</v>
      </c>
    </row>
    <row r="3289" spans="1:4" x14ac:dyDescent="0.35">
      <c r="A3289" s="457" t="s">
        <v>72</v>
      </c>
      <c r="B3289" s="458" t="s">
        <v>1688</v>
      </c>
      <c r="C3289" s="459">
        <v>6</v>
      </c>
      <c r="D3289" s="458">
        <v>2022</v>
      </c>
    </row>
    <row r="3290" spans="1:4" x14ac:dyDescent="0.35">
      <c r="A3290" s="457" t="s">
        <v>72</v>
      </c>
      <c r="B3290" s="458" t="s">
        <v>1688</v>
      </c>
      <c r="C3290" s="459">
        <v>3</v>
      </c>
      <c r="D3290" s="458">
        <v>2023</v>
      </c>
    </row>
    <row r="3291" spans="1:4" x14ac:dyDescent="0.35">
      <c r="A3291" s="457" t="s">
        <v>72</v>
      </c>
      <c r="B3291" s="458" t="s">
        <v>1686</v>
      </c>
      <c r="C3291" s="459">
        <v>7</v>
      </c>
      <c r="D3291" s="458">
        <v>2022</v>
      </c>
    </row>
    <row r="3292" spans="1:4" x14ac:dyDescent="0.35">
      <c r="A3292" s="457" t="s">
        <v>72</v>
      </c>
      <c r="B3292" s="458" t="s">
        <v>1686</v>
      </c>
      <c r="C3292" s="459">
        <v>4</v>
      </c>
      <c r="D3292" s="458">
        <v>2023</v>
      </c>
    </row>
    <row r="3293" spans="1:4" x14ac:dyDescent="0.35">
      <c r="A3293" s="457" t="s">
        <v>72</v>
      </c>
      <c r="B3293" s="458" t="s">
        <v>1687</v>
      </c>
      <c r="C3293" s="459">
        <v>4</v>
      </c>
      <c r="D3293" s="458">
        <v>2022</v>
      </c>
    </row>
    <row r="3294" spans="1:4" x14ac:dyDescent="0.35">
      <c r="A3294" s="457" t="s">
        <v>72</v>
      </c>
      <c r="B3294" s="458" t="s">
        <v>1687</v>
      </c>
      <c r="C3294" s="459">
        <v>5</v>
      </c>
      <c r="D3294" s="458">
        <v>2023</v>
      </c>
    </row>
    <row r="3295" spans="1:4" x14ac:dyDescent="0.35">
      <c r="A3295" s="457" t="s">
        <v>72</v>
      </c>
      <c r="B3295" s="458" t="s">
        <v>1678</v>
      </c>
      <c r="C3295" s="459">
        <v>14</v>
      </c>
      <c r="D3295" s="458">
        <v>2022</v>
      </c>
    </row>
    <row r="3296" spans="1:4" x14ac:dyDescent="0.35">
      <c r="A3296" s="457" t="s">
        <v>72</v>
      </c>
      <c r="B3296" s="458" t="s">
        <v>1682</v>
      </c>
      <c r="C3296" s="459">
        <v>14</v>
      </c>
      <c r="D3296" s="458">
        <v>2022</v>
      </c>
    </row>
    <row r="3297" spans="1:4" x14ac:dyDescent="0.35">
      <c r="A3297" s="457" t="s">
        <v>72</v>
      </c>
      <c r="B3297" s="458" t="s">
        <v>1684</v>
      </c>
      <c r="C3297" s="459">
        <v>14</v>
      </c>
      <c r="D3297" s="458">
        <v>2023</v>
      </c>
    </row>
    <row r="3298" spans="1:4" x14ac:dyDescent="0.35">
      <c r="A3298" s="457" t="s">
        <v>72</v>
      </c>
      <c r="B3298" s="458" t="s">
        <v>1686</v>
      </c>
      <c r="C3298" s="459">
        <v>14</v>
      </c>
      <c r="D3298" s="458">
        <v>2022</v>
      </c>
    </row>
    <row r="3299" spans="1:4" x14ac:dyDescent="0.35">
      <c r="A3299" s="457" t="s">
        <v>72</v>
      </c>
      <c r="B3299" s="458" t="s">
        <v>1687</v>
      </c>
      <c r="C3299" s="459">
        <v>14</v>
      </c>
      <c r="D3299" s="458">
        <v>2022</v>
      </c>
    </row>
    <row r="3300" spans="1:4" x14ac:dyDescent="0.35">
      <c r="A3300" s="457" t="s">
        <v>72</v>
      </c>
      <c r="B3300" s="458" t="s">
        <v>1680</v>
      </c>
      <c r="C3300" s="459">
        <v>8</v>
      </c>
      <c r="D3300" s="458">
        <v>2023</v>
      </c>
    </row>
    <row r="3301" spans="1:4" x14ac:dyDescent="0.35">
      <c r="A3301" s="457" t="s">
        <v>72</v>
      </c>
      <c r="B3301" s="458" t="s">
        <v>1678</v>
      </c>
      <c r="C3301" s="459">
        <v>3</v>
      </c>
      <c r="D3301" s="458">
        <v>2023</v>
      </c>
    </row>
    <row r="3302" spans="1:4" x14ac:dyDescent="0.35">
      <c r="A3302" s="457" t="s">
        <v>72</v>
      </c>
      <c r="B3302" s="458" t="s">
        <v>1681</v>
      </c>
      <c r="C3302" s="459">
        <v>1</v>
      </c>
      <c r="D3302" s="458">
        <v>2023</v>
      </c>
    </row>
    <row r="3303" spans="1:4" x14ac:dyDescent="0.35">
      <c r="A3303" s="457" t="s">
        <v>72</v>
      </c>
      <c r="B3303" s="458" t="s">
        <v>1681</v>
      </c>
      <c r="C3303" s="459">
        <v>6</v>
      </c>
      <c r="D3303" s="458">
        <v>2024</v>
      </c>
    </row>
    <row r="3304" spans="1:4" x14ac:dyDescent="0.35">
      <c r="A3304" s="457" t="s">
        <v>72</v>
      </c>
      <c r="B3304" s="458" t="s">
        <v>1681</v>
      </c>
      <c r="C3304" s="459">
        <v>1</v>
      </c>
      <c r="D3304" s="458">
        <v>2023</v>
      </c>
    </row>
    <row r="3305" spans="1:4" x14ac:dyDescent="0.35">
      <c r="A3305" s="457" t="s">
        <v>72</v>
      </c>
      <c r="B3305" s="458" t="s">
        <v>1682</v>
      </c>
      <c r="C3305" s="459">
        <v>1</v>
      </c>
      <c r="D3305" s="458">
        <v>2022</v>
      </c>
    </row>
    <row r="3306" spans="1:4" x14ac:dyDescent="0.35">
      <c r="A3306" s="457" t="s">
        <v>72</v>
      </c>
      <c r="B3306" s="458" t="s">
        <v>1682</v>
      </c>
      <c r="C3306" s="459">
        <v>2</v>
      </c>
      <c r="D3306" s="458">
        <v>2023</v>
      </c>
    </row>
    <row r="3307" spans="1:4" x14ac:dyDescent="0.35">
      <c r="A3307" s="457" t="s">
        <v>72</v>
      </c>
      <c r="B3307" s="458" t="s">
        <v>1683</v>
      </c>
      <c r="C3307" s="459">
        <v>3</v>
      </c>
      <c r="D3307" s="458">
        <v>2023</v>
      </c>
    </row>
    <row r="3308" spans="1:4" x14ac:dyDescent="0.35">
      <c r="A3308" s="457" t="s">
        <v>72</v>
      </c>
      <c r="B3308" s="458" t="s">
        <v>1684</v>
      </c>
      <c r="C3308" s="459">
        <v>1</v>
      </c>
      <c r="D3308" s="458">
        <v>2023</v>
      </c>
    </row>
    <row r="3309" spans="1:4" x14ac:dyDescent="0.35">
      <c r="A3309" s="457" t="s">
        <v>72</v>
      </c>
      <c r="B3309" s="458" t="s">
        <v>1685</v>
      </c>
      <c r="C3309" s="459">
        <v>3</v>
      </c>
      <c r="D3309" s="458">
        <v>2023</v>
      </c>
    </row>
    <row r="3310" spans="1:4" x14ac:dyDescent="0.35">
      <c r="A3310" s="457" t="s">
        <v>72</v>
      </c>
      <c r="B3310" s="458" t="s">
        <v>1688</v>
      </c>
      <c r="C3310" s="459">
        <v>2</v>
      </c>
      <c r="D3310" s="458">
        <v>2022</v>
      </c>
    </row>
    <row r="3311" spans="1:4" x14ac:dyDescent="0.35">
      <c r="A3311" s="457" t="s">
        <v>72</v>
      </c>
      <c r="B3311" s="458" t="s">
        <v>1688</v>
      </c>
      <c r="C3311" s="459">
        <v>3</v>
      </c>
      <c r="D3311" s="458">
        <v>2023</v>
      </c>
    </row>
    <row r="3312" spans="1:4" x14ac:dyDescent="0.35">
      <c r="A3312" s="457" t="s">
        <v>72</v>
      </c>
      <c r="B3312" s="458" t="s">
        <v>1686</v>
      </c>
      <c r="C3312" s="459">
        <v>1</v>
      </c>
      <c r="D3312" s="458">
        <v>2022</v>
      </c>
    </row>
    <row r="3313" spans="1:4" x14ac:dyDescent="0.35">
      <c r="A3313" s="457" t="s">
        <v>72</v>
      </c>
      <c r="B3313" s="458" t="s">
        <v>1686</v>
      </c>
      <c r="C3313" s="459">
        <v>6</v>
      </c>
      <c r="D3313" s="458">
        <v>2023</v>
      </c>
    </row>
    <row r="3314" spans="1:4" x14ac:dyDescent="0.35">
      <c r="A3314" s="457" t="s">
        <v>72</v>
      </c>
      <c r="B3314" s="458" t="s">
        <v>1687</v>
      </c>
      <c r="C3314" s="459">
        <v>2</v>
      </c>
      <c r="D3314" s="458">
        <v>2022</v>
      </c>
    </row>
    <row r="3315" spans="1:4" x14ac:dyDescent="0.35">
      <c r="A3315" s="457" t="s">
        <v>72</v>
      </c>
      <c r="B3315" s="458" t="s">
        <v>1679</v>
      </c>
      <c r="C3315" s="459">
        <v>1</v>
      </c>
      <c r="D3315" s="458">
        <v>2023</v>
      </c>
    </row>
    <row r="3316" spans="1:4" x14ac:dyDescent="0.35">
      <c r="A3316" s="457" t="s">
        <v>72</v>
      </c>
      <c r="B3316" s="458" t="s">
        <v>1677</v>
      </c>
      <c r="C3316" s="459">
        <v>7</v>
      </c>
      <c r="D3316" s="458">
        <v>2023</v>
      </c>
    </row>
    <row r="3317" spans="1:4" x14ac:dyDescent="0.35">
      <c r="A3317" s="457" t="s">
        <v>72</v>
      </c>
      <c r="B3317" s="458" t="s">
        <v>1678</v>
      </c>
      <c r="C3317" s="459">
        <v>7</v>
      </c>
      <c r="D3317" s="458">
        <v>2022</v>
      </c>
    </row>
    <row r="3318" spans="1:4" x14ac:dyDescent="0.35">
      <c r="A3318" s="457" t="s">
        <v>72</v>
      </c>
      <c r="B3318" s="458" t="s">
        <v>1678</v>
      </c>
      <c r="C3318" s="459">
        <v>7</v>
      </c>
      <c r="D3318" s="458">
        <v>2023</v>
      </c>
    </row>
    <row r="3319" spans="1:4" x14ac:dyDescent="0.35">
      <c r="A3319" s="457" t="s">
        <v>72</v>
      </c>
      <c r="B3319" s="458" t="s">
        <v>1679</v>
      </c>
      <c r="C3319" s="459">
        <v>7</v>
      </c>
      <c r="D3319" s="458">
        <v>2022</v>
      </c>
    </row>
    <row r="3320" spans="1:4" x14ac:dyDescent="0.35">
      <c r="A3320" s="457" t="s">
        <v>72</v>
      </c>
      <c r="B3320" s="458" t="s">
        <v>1679</v>
      </c>
      <c r="C3320" s="459">
        <v>7</v>
      </c>
      <c r="D3320" s="458">
        <v>2023</v>
      </c>
    </row>
    <row r="3321" spans="1:4" x14ac:dyDescent="0.35">
      <c r="A3321" s="457" t="s">
        <v>72</v>
      </c>
      <c r="B3321" s="458" t="s">
        <v>1680</v>
      </c>
      <c r="C3321" s="459">
        <v>7</v>
      </c>
      <c r="D3321" s="458">
        <v>2023</v>
      </c>
    </row>
    <row r="3322" spans="1:4" x14ac:dyDescent="0.35">
      <c r="A3322" s="457" t="s">
        <v>72</v>
      </c>
      <c r="B3322" s="458" t="s">
        <v>1681</v>
      </c>
      <c r="C3322" s="459">
        <v>14</v>
      </c>
      <c r="D3322" s="458">
        <v>2023</v>
      </c>
    </row>
    <row r="3323" spans="1:4" x14ac:dyDescent="0.35">
      <c r="A3323" s="457" t="s">
        <v>72</v>
      </c>
      <c r="B3323" s="458" t="s">
        <v>1681</v>
      </c>
      <c r="C3323" s="459">
        <v>11</v>
      </c>
      <c r="D3323" s="458">
        <v>2024</v>
      </c>
    </row>
    <row r="3324" spans="1:4" x14ac:dyDescent="0.35">
      <c r="A3324" s="457" t="s">
        <v>72</v>
      </c>
      <c r="B3324" s="458" t="s">
        <v>1681</v>
      </c>
      <c r="C3324" s="459">
        <v>4</v>
      </c>
      <c r="D3324" s="458">
        <v>2023</v>
      </c>
    </row>
    <row r="3325" spans="1:4" x14ac:dyDescent="0.35">
      <c r="A3325" s="457" t="s">
        <v>72</v>
      </c>
      <c r="B3325" s="458" t="s">
        <v>1682</v>
      </c>
      <c r="C3325" s="459">
        <v>7</v>
      </c>
      <c r="D3325" s="458">
        <v>2022</v>
      </c>
    </row>
    <row r="3326" spans="1:4" x14ac:dyDescent="0.35">
      <c r="A3326" s="457" t="s">
        <v>72</v>
      </c>
      <c r="B3326" s="458" t="s">
        <v>1682</v>
      </c>
      <c r="C3326" s="459">
        <v>7</v>
      </c>
      <c r="D3326" s="458">
        <v>2023</v>
      </c>
    </row>
    <row r="3327" spans="1:4" x14ac:dyDescent="0.35">
      <c r="A3327" s="457" t="s">
        <v>72</v>
      </c>
      <c r="B3327" s="458" t="s">
        <v>1683</v>
      </c>
      <c r="C3327" s="459">
        <v>7</v>
      </c>
      <c r="D3327" s="458">
        <v>2023</v>
      </c>
    </row>
    <row r="3328" spans="1:4" x14ac:dyDescent="0.35">
      <c r="A3328" s="457" t="s">
        <v>72</v>
      </c>
      <c r="B3328" s="458" t="s">
        <v>1684</v>
      </c>
      <c r="C3328" s="459">
        <v>7</v>
      </c>
      <c r="D3328" s="458">
        <v>2023</v>
      </c>
    </row>
    <row r="3329" spans="1:4" x14ac:dyDescent="0.35">
      <c r="A3329" s="457" t="s">
        <v>72</v>
      </c>
      <c r="B3329" s="458" t="s">
        <v>1685</v>
      </c>
      <c r="C3329" s="459">
        <v>7</v>
      </c>
      <c r="D3329" s="458">
        <v>2023</v>
      </c>
    </row>
    <row r="3330" spans="1:4" x14ac:dyDescent="0.35">
      <c r="A3330" s="457" t="s">
        <v>72</v>
      </c>
      <c r="B3330" s="458" t="s">
        <v>1688</v>
      </c>
      <c r="C3330" s="459">
        <v>7</v>
      </c>
      <c r="D3330" s="458">
        <v>2022</v>
      </c>
    </row>
    <row r="3331" spans="1:4" x14ac:dyDescent="0.35">
      <c r="A3331" s="457" t="s">
        <v>72</v>
      </c>
      <c r="B3331" s="458" t="s">
        <v>1688</v>
      </c>
      <c r="C3331" s="459">
        <v>7</v>
      </c>
      <c r="D3331" s="458">
        <v>2023</v>
      </c>
    </row>
    <row r="3332" spans="1:4" x14ac:dyDescent="0.35">
      <c r="A3332" s="457" t="s">
        <v>72</v>
      </c>
      <c r="B3332" s="458" t="s">
        <v>1686</v>
      </c>
      <c r="C3332" s="459">
        <v>7</v>
      </c>
      <c r="D3332" s="458">
        <v>2022</v>
      </c>
    </row>
    <row r="3333" spans="1:4" x14ac:dyDescent="0.35">
      <c r="A3333" s="457" t="s">
        <v>72</v>
      </c>
      <c r="B3333" s="458" t="s">
        <v>1686</v>
      </c>
      <c r="C3333" s="459">
        <v>7</v>
      </c>
      <c r="D3333" s="458">
        <v>2023</v>
      </c>
    </row>
    <row r="3334" spans="1:4" x14ac:dyDescent="0.35">
      <c r="A3334" s="457" t="s">
        <v>72</v>
      </c>
      <c r="B3334" s="458" t="s">
        <v>1687</v>
      </c>
      <c r="C3334" s="459">
        <v>7</v>
      </c>
      <c r="D3334" s="458">
        <v>2022</v>
      </c>
    </row>
    <row r="3335" spans="1:4" x14ac:dyDescent="0.35">
      <c r="A3335" s="457" t="s">
        <v>72</v>
      </c>
      <c r="B3335" s="458" t="s">
        <v>1687</v>
      </c>
      <c r="C3335" s="459">
        <v>7</v>
      </c>
      <c r="D3335" s="458">
        <v>2023</v>
      </c>
    </row>
    <row r="3336" spans="1:4" x14ac:dyDescent="0.35">
      <c r="A3336" s="457" t="s">
        <v>72</v>
      </c>
      <c r="B3336" s="458" t="s">
        <v>1679</v>
      </c>
      <c r="C3336" s="459">
        <v>1</v>
      </c>
      <c r="D3336" s="458">
        <v>2023</v>
      </c>
    </row>
    <row r="3337" spans="1:4" x14ac:dyDescent="0.35">
      <c r="A3337" s="457" t="s">
        <v>72</v>
      </c>
      <c r="B3337" s="458" t="s">
        <v>1681</v>
      </c>
      <c r="C3337" s="459">
        <v>8</v>
      </c>
      <c r="D3337" s="458">
        <v>2024</v>
      </c>
    </row>
    <row r="3338" spans="1:4" x14ac:dyDescent="0.35">
      <c r="A3338" s="457" t="s">
        <v>72</v>
      </c>
      <c r="B3338" s="458" t="s">
        <v>1677</v>
      </c>
      <c r="C3338" s="459">
        <v>6</v>
      </c>
      <c r="D3338" s="458">
        <v>2023</v>
      </c>
    </row>
    <row r="3339" spans="1:4" x14ac:dyDescent="0.35">
      <c r="A3339" s="457" t="s">
        <v>72</v>
      </c>
      <c r="B3339" s="458" t="s">
        <v>1678</v>
      </c>
      <c r="C3339" s="459">
        <v>6</v>
      </c>
      <c r="D3339" s="458">
        <v>2022</v>
      </c>
    </row>
    <row r="3340" spans="1:4" x14ac:dyDescent="0.35">
      <c r="A3340" s="457" t="s">
        <v>72</v>
      </c>
      <c r="B3340" s="458" t="s">
        <v>1678</v>
      </c>
      <c r="C3340" s="459">
        <v>6</v>
      </c>
      <c r="D3340" s="458">
        <v>2023</v>
      </c>
    </row>
    <row r="3341" spans="1:4" x14ac:dyDescent="0.35">
      <c r="A3341" s="457" t="s">
        <v>72</v>
      </c>
      <c r="B3341" s="458" t="s">
        <v>1679</v>
      </c>
      <c r="C3341" s="459">
        <v>3</v>
      </c>
      <c r="D3341" s="458">
        <v>2022</v>
      </c>
    </row>
    <row r="3342" spans="1:4" x14ac:dyDescent="0.35">
      <c r="A3342" s="457" t="s">
        <v>72</v>
      </c>
      <c r="B3342" s="458" t="s">
        <v>1679</v>
      </c>
      <c r="C3342" s="459">
        <v>6</v>
      </c>
      <c r="D3342" s="458">
        <v>2023</v>
      </c>
    </row>
    <row r="3343" spans="1:4" x14ac:dyDescent="0.35">
      <c r="A3343" s="457" t="s">
        <v>72</v>
      </c>
      <c r="B3343" s="458" t="s">
        <v>1680</v>
      </c>
      <c r="C3343" s="459">
        <v>6</v>
      </c>
      <c r="D3343" s="458">
        <v>2023</v>
      </c>
    </row>
    <row r="3344" spans="1:4" x14ac:dyDescent="0.35">
      <c r="A3344" s="457" t="s">
        <v>72</v>
      </c>
      <c r="B3344" s="458" t="s">
        <v>1681</v>
      </c>
      <c r="C3344" s="459">
        <v>12</v>
      </c>
      <c r="D3344" s="458">
        <v>2023</v>
      </c>
    </row>
    <row r="3345" spans="1:4" x14ac:dyDescent="0.35">
      <c r="A3345" s="457" t="s">
        <v>72</v>
      </c>
      <c r="B3345" s="458" t="s">
        <v>1681</v>
      </c>
      <c r="C3345" s="459">
        <v>6</v>
      </c>
      <c r="D3345" s="458">
        <v>2024</v>
      </c>
    </row>
    <row r="3346" spans="1:4" x14ac:dyDescent="0.35">
      <c r="A3346" s="457" t="s">
        <v>72</v>
      </c>
      <c r="B3346" s="458" t="s">
        <v>1682</v>
      </c>
      <c r="C3346" s="459">
        <v>6</v>
      </c>
      <c r="D3346" s="458">
        <v>2022</v>
      </c>
    </row>
    <row r="3347" spans="1:4" x14ac:dyDescent="0.35">
      <c r="A3347" s="457" t="s">
        <v>72</v>
      </c>
      <c r="B3347" s="458" t="s">
        <v>1682</v>
      </c>
      <c r="C3347" s="459">
        <v>6</v>
      </c>
      <c r="D3347" s="458">
        <v>2023</v>
      </c>
    </row>
    <row r="3348" spans="1:4" x14ac:dyDescent="0.35">
      <c r="A3348" s="457" t="s">
        <v>72</v>
      </c>
      <c r="B3348" s="458" t="s">
        <v>1683</v>
      </c>
      <c r="C3348" s="459">
        <v>6</v>
      </c>
      <c r="D3348" s="458">
        <v>2023</v>
      </c>
    </row>
    <row r="3349" spans="1:4" x14ac:dyDescent="0.35">
      <c r="A3349" s="457" t="s">
        <v>72</v>
      </c>
      <c r="B3349" s="458" t="s">
        <v>1684</v>
      </c>
      <c r="C3349" s="459">
        <v>6</v>
      </c>
      <c r="D3349" s="458">
        <v>2023</v>
      </c>
    </row>
    <row r="3350" spans="1:4" x14ac:dyDescent="0.35">
      <c r="A3350" s="457" t="s">
        <v>72</v>
      </c>
      <c r="B3350" s="458" t="s">
        <v>1685</v>
      </c>
      <c r="C3350" s="459">
        <v>6</v>
      </c>
      <c r="D3350" s="458">
        <v>2023</v>
      </c>
    </row>
    <row r="3351" spans="1:4" x14ac:dyDescent="0.35">
      <c r="A3351" s="457" t="s">
        <v>72</v>
      </c>
      <c r="B3351" s="458" t="s">
        <v>1688</v>
      </c>
      <c r="C3351" s="459">
        <v>6</v>
      </c>
      <c r="D3351" s="458">
        <v>2022</v>
      </c>
    </row>
    <row r="3352" spans="1:4" x14ac:dyDescent="0.35">
      <c r="A3352" s="457" t="s">
        <v>72</v>
      </c>
      <c r="B3352" s="458" t="s">
        <v>1688</v>
      </c>
      <c r="C3352" s="459">
        <v>9</v>
      </c>
      <c r="D3352" s="458">
        <v>2023</v>
      </c>
    </row>
    <row r="3353" spans="1:4" x14ac:dyDescent="0.35">
      <c r="A3353" s="457" t="s">
        <v>72</v>
      </c>
      <c r="B3353" s="458" t="s">
        <v>1686</v>
      </c>
      <c r="C3353" s="459">
        <v>6</v>
      </c>
      <c r="D3353" s="458">
        <v>2022</v>
      </c>
    </row>
    <row r="3354" spans="1:4" x14ac:dyDescent="0.35">
      <c r="A3354" s="457" t="s">
        <v>72</v>
      </c>
      <c r="B3354" s="458" t="s">
        <v>1686</v>
      </c>
      <c r="C3354" s="459">
        <v>6</v>
      </c>
      <c r="D3354" s="458">
        <v>2023</v>
      </c>
    </row>
    <row r="3355" spans="1:4" x14ac:dyDescent="0.35">
      <c r="A3355" s="457" t="s">
        <v>72</v>
      </c>
      <c r="B3355" s="458" t="s">
        <v>1687</v>
      </c>
      <c r="C3355" s="459">
        <v>2</v>
      </c>
      <c r="D3355" s="458">
        <v>2022</v>
      </c>
    </row>
    <row r="3356" spans="1:4" x14ac:dyDescent="0.35">
      <c r="A3356" s="457" t="s">
        <v>72</v>
      </c>
      <c r="B3356" s="458" t="s">
        <v>1687</v>
      </c>
      <c r="C3356" s="459">
        <v>9</v>
      </c>
      <c r="D3356" s="458">
        <v>2023</v>
      </c>
    </row>
    <row r="3357" spans="1:4" x14ac:dyDescent="0.35">
      <c r="A3357" s="457" t="s">
        <v>72</v>
      </c>
      <c r="B3357" s="458" t="s">
        <v>1677</v>
      </c>
      <c r="C3357" s="459">
        <v>4</v>
      </c>
      <c r="D3357" s="458">
        <v>2023</v>
      </c>
    </row>
    <row r="3358" spans="1:4" x14ac:dyDescent="0.35">
      <c r="A3358" s="457" t="s">
        <v>72</v>
      </c>
      <c r="B3358" s="458" t="s">
        <v>1678</v>
      </c>
      <c r="C3358" s="459">
        <v>3</v>
      </c>
      <c r="D3358" s="458">
        <v>2022</v>
      </c>
    </row>
    <row r="3359" spans="1:4" x14ac:dyDescent="0.35">
      <c r="A3359" s="457" t="s">
        <v>72</v>
      </c>
      <c r="B3359" s="458" t="s">
        <v>1678</v>
      </c>
      <c r="C3359" s="459">
        <v>2</v>
      </c>
      <c r="D3359" s="458">
        <v>2023</v>
      </c>
    </row>
    <row r="3360" spans="1:4" x14ac:dyDescent="0.35">
      <c r="A3360" s="457" t="s">
        <v>72</v>
      </c>
      <c r="B3360" s="458" t="s">
        <v>1681</v>
      </c>
      <c r="C3360" s="459">
        <v>5</v>
      </c>
      <c r="D3360" s="458">
        <v>2023</v>
      </c>
    </row>
    <row r="3361" spans="1:4" x14ac:dyDescent="0.35">
      <c r="A3361" s="457" t="s">
        <v>72</v>
      </c>
      <c r="B3361" s="458" t="s">
        <v>1682</v>
      </c>
      <c r="C3361" s="459">
        <v>4</v>
      </c>
      <c r="D3361" s="458">
        <v>2022</v>
      </c>
    </row>
    <row r="3362" spans="1:4" x14ac:dyDescent="0.35">
      <c r="A3362" s="457" t="s">
        <v>72</v>
      </c>
      <c r="B3362" s="458" t="s">
        <v>1682</v>
      </c>
      <c r="C3362" s="459">
        <v>4</v>
      </c>
      <c r="D3362" s="458">
        <v>2023</v>
      </c>
    </row>
    <row r="3363" spans="1:4" x14ac:dyDescent="0.35">
      <c r="A3363" s="457" t="s">
        <v>72</v>
      </c>
      <c r="B3363" s="458" t="s">
        <v>1683</v>
      </c>
      <c r="C3363" s="459">
        <v>4</v>
      </c>
      <c r="D3363" s="458">
        <v>2023</v>
      </c>
    </row>
    <row r="3364" spans="1:4" x14ac:dyDescent="0.35">
      <c r="A3364" s="457" t="s">
        <v>72</v>
      </c>
      <c r="B3364" s="458" t="s">
        <v>1684</v>
      </c>
      <c r="C3364" s="459">
        <v>2</v>
      </c>
      <c r="D3364" s="458">
        <v>2023</v>
      </c>
    </row>
    <row r="3365" spans="1:4" x14ac:dyDescent="0.35">
      <c r="A3365" s="457" t="s">
        <v>72</v>
      </c>
      <c r="B3365" s="458" t="s">
        <v>1685</v>
      </c>
      <c r="C3365" s="459">
        <v>6</v>
      </c>
      <c r="D3365" s="458">
        <v>2023</v>
      </c>
    </row>
    <row r="3366" spans="1:4" x14ac:dyDescent="0.35">
      <c r="A3366" s="457" t="s">
        <v>72</v>
      </c>
      <c r="B3366" s="458" t="s">
        <v>1688</v>
      </c>
      <c r="C3366" s="459">
        <v>5</v>
      </c>
      <c r="D3366" s="458">
        <v>2022</v>
      </c>
    </row>
    <row r="3367" spans="1:4" x14ac:dyDescent="0.35">
      <c r="A3367" s="457" t="s">
        <v>72</v>
      </c>
      <c r="B3367" s="458" t="s">
        <v>1688</v>
      </c>
      <c r="C3367" s="459">
        <v>3</v>
      </c>
      <c r="D3367" s="458">
        <v>2023</v>
      </c>
    </row>
    <row r="3368" spans="1:4" x14ac:dyDescent="0.35">
      <c r="A3368" s="457" t="s">
        <v>72</v>
      </c>
      <c r="B3368" s="458" t="s">
        <v>1686</v>
      </c>
      <c r="C3368" s="459">
        <v>6</v>
      </c>
      <c r="D3368" s="458">
        <v>2022</v>
      </c>
    </row>
    <row r="3369" spans="1:4" x14ac:dyDescent="0.35">
      <c r="A3369" s="457" t="s">
        <v>72</v>
      </c>
      <c r="B3369" s="458" t="s">
        <v>1686</v>
      </c>
      <c r="C3369" s="459">
        <v>4</v>
      </c>
      <c r="D3369" s="458">
        <v>2023</v>
      </c>
    </row>
    <row r="3370" spans="1:4" x14ac:dyDescent="0.35">
      <c r="A3370" s="457" t="s">
        <v>72</v>
      </c>
      <c r="B3370" s="458" t="s">
        <v>1687</v>
      </c>
      <c r="C3370" s="459">
        <v>7</v>
      </c>
      <c r="D3370" s="458">
        <v>2022</v>
      </c>
    </row>
    <row r="3371" spans="1:4" x14ac:dyDescent="0.35">
      <c r="A3371" s="457" t="s">
        <v>72</v>
      </c>
      <c r="B3371" s="458" t="s">
        <v>1687</v>
      </c>
      <c r="C3371" s="459">
        <v>3</v>
      </c>
      <c r="D3371" s="458">
        <v>2023</v>
      </c>
    </row>
    <row r="3372" spans="1:4" x14ac:dyDescent="0.35">
      <c r="A3372" s="457" t="s">
        <v>72</v>
      </c>
      <c r="B3372" s="458" t="s">
        <v>1677</v>
      </c>
      <c r="C3372" s="459">
        <v>8</v>
      </c>
      <c r="D3372" s="458">
        <v>2023</v>
      </c>
    </row>
    <row r="3373" spans="1:4" x14ac:dyDescent="0.35">
      <c r="A3373" s="457" t="s">
        <v>72</v>
      </c>
      <c r="B3373" s="458" t="s">
        <v>1678</v>
      </c>
      <c r="C3373" s="459">
        <v>8</v>
      </c>
      <c r="D3373" s="458">
        <v>2022</v>
      </c>
    </row>
    <row r="3374" spans="1:4" x14ac:dyDescent="0.35">
      <c r="A3374" s="457" t="s">
        <v>72</v>
      </c>
      <c r="B3374" s="458" t="s">
        <v>1678</v>
      </c>
      <c r="C3374" s="459">
        <v>8</v>
      </c>
      <c r="D3374" s="458">
        <v>2023</v>
      </c>
    </row>
    <row r="3375" spans="1:4" x14ac:dyDescent="0.35">
      <c r="A3375" s="457" t="s">
        <v>72</v>
      </c>
      <c r="B3375" s="458" t="s">
        <v>1679</v>
      </c>
      <c r="C3375" s="459">
        <v>8</v>
      </c>
      <c r="D3375" s="458">
        <v>2022</v>
      </c>
    </row>
    <row r="3376" spans="1:4" x14ac:dyDescent="0.35">
      <c r="A3376" s="457" t="s">
        <v>72</v>
      </c>
      <c r="B3376" s="458" t="s">
        <v>1679</v>
      </c>
      <c r="C3376" s="459">
        <v>8</v>
      </c>
      <c r="D3376" s="458">
        <v>2023</v>
      </c>
    </row>
    <row r="3377" spans="1:4" x14ac:dyDescent="0.35">
      <c r="A3377" s="457" t="s">
        <v>72</v>
      </c>
      <c r="B3377" s="458" t="s">
        <v>1680</v>
      </c>
      <c r="C3377" s="459">
        <v>8</v>
      </c>
      <c r="D3377" s="458">
        <v>2023</v>
      </c>
    </row>
    <row r="3378" spans="1:4" x14ac:dyDescent="0.35">
      <c r="A3378" s="457" t="s">
        <v>72</v>
      </c>
      <c r="B3378" s="458" t="s">
        <v>1681</v>
      </c>
      <c r="C3378" s="459">
        <v>12</v>
      </c>
      <c r="D3378" s="458">
        <v>2023</v>
      </c>
    </row>
    <row r="3379" spans="1:4" x14ac:dyDescent="0.35">
      <c r="A3379" s="457" t="s">
        <v>72</v>
      </c>
      <c r="B3379" s="458" t="s">
        <v>1681</v>
      </c>
      <c r="C3379" s="459">
        <v>16</v>
      </c>
      <c r="D3379" s="458">
        <v>2024</v>
      </c>
    </row>
    <row r="3380" spans="1:4" x14ac:dyDescent="0.35">
      <c r="A3380" s="457" t="s">
        <v>72</v>
      </c>
      <c r="B3380" s="458" t="s">
        <v>1681</v>
      </c>
      <c r="C3380" s="459">
        <v>8</v>
      </c>
      <c r="D3380" s="458">
        <v>2023</v>
      </c>
    </row>
    <row r="3381" spans="1:4" x14ac:dyDescent="0.35">
      <c r="A3381" s="457" t="s">
        <v>72</v>
      </c>
      <c r="B3381" s="458" t="s">
        <v>1682</v>
      </c>
      <c r="C3381" s="459">
        <v>8</v>
      </c>
      <c r="D3381" s="458">
        <v>2022</v>
      </c>
    </row>
    <row r="3382" spans="1:4" x14ac:dyDescent="0.35">
      <c r="A3382" s="457" t="s">
        <v>72</v>
      </c>
      <c r="B3382" s="458" t="s">
        <v>1682</v>
      </c>
      <c r="C3382" s="459">
        <v>8</v>
      </c>
      <c r="D3382" s="458">
        <v>2023</v>
      </c>
    </row>
    <row r="3383" spans="1:4" x14ac:dyDescent="0.35">
      <c r="A3383" s="457" t="s">
        <v>72</v>
      </c>
      <c r="B3383" s="458" t="s">
        <v>1683</v>
      </c>
      <c r="C3383" s="459">
        <v>8</v>
      </c>
      <c r="D3383" s="458">
        <v>2023</v>
      </c>
    </row>
    <row r="3384" spans="1:4" x14ac:dyDescent="0.35">
      <c r="A3384" s="457" t="s">
        <v>72</v>
      </c>
      <c r="B3384" s="458" t="s">
        <v>1684</v>
      </c>
      <c r="C3384" s="459">
        <v>8</v>
      </c>
      <c r="D3384" s="458">
        <v>2023</v>
      </c>
    </row>
    <row r="3385" spans="1:4" x14ac:dyDescent="0.35">
      <c r="A3385" s="457" t="s">
        <v>72</v>
      </c>
      <c r="B3385" s="458" t="s">
        <v>1685</v>
      </c>
      <c r="C3385" s="459">
        <v>8</v>
      </c>
      <c r="D3385" s="458">
        <v>2023</v>
      </c>
    </row>
    <row r="3386" spans="1:4" x14ac:dyDescent="0.35">
      <c r="A3386" s="457" t="s">
        <v>72</v>
      </c>
      <c r="B3386" s="458" t="s">
        <v>1688</v>
      </c>
      <c r="C3386" s="459">
        <v>8</v>
      </c>
      <c r="D3386" s="458">
        <v>2022</v>
      </c>
    </row>
    <row r="3387" spans="1:4" x14ac:dyDescent="0.35">
      <c r="A3387" s="457" t="s">
        <v>72</v>
      </c>
      <c r="B3387" s="458" t="s">
        <v>1688</v>
      </c>
      <c r="C3387" s="459">
        <v>8</v>
      </c>
      <c r="D3387" s="458">
        <v>2023</v>
      </c>
    </row>
    <row r="3388" spans="1:4" x14ac:dyDescent="0.35">
      <c r="A3388" s="457" t="s">
        <v>72</v>
      </c>
      <c r="B3388" s="458" t="s">
        <v>1686</v>
      </c>
      <c r="C3388" s="459">
        <v>8</v>
      </c>
      <c r="D3388" s="458">
        <v>2022</v>
      </c>
    </row>
    <row r="3389" spans="1:4" x14ac:dyDescent="0.35">
      <c r="A3389" s="457" t="s">
        <v>72</v>
      </c>
      <c r="B3389" s="458" t="s">
        <v>1686</v>
      </c>
      <c r="C3389" s="459">
        <v>8</v>
      </c>
      <c r="D3389" s="458">
        <v>2023</v>
      </c>
    </row>
    <row r="3390" spans="1:4" x14ac:dyDescent="0.35">
      <c r="A3390" s="457" t="s">
        <v>72</v>
      </c>
      <c r="B3390" s="458" t="s">
        <v>1687</v>
      </c>
      <c r="C3390" s="459">
        <v>8</v>
      </c>
      <c r="D3390" s="458">
        <v>2022</v>
      </c>
    </row>
    <row r="3391" spans="1:4" x14ac:dyDescent="0.35">
      <c r="A3391" s="457" t="s">
        <v>72</v>
      </c>
      <c r="B3391" s="458" t="s">
        <v>1687</v>
      </c>
      <c r="C3391" s="459">
        <v>8</v>
      </c>
      <c r="D3391" s="458">
        <v>2023</v>
      </c>
    </row>
    <row r="3392" spans="1:4" x14ac:dyDescent="0.35">
      <c r="A3392" s="457" t="s">
        <v>72</v>
      </c>
      <c r="B3392" s="458" t="s">
        <v>1677</v>
      </c>
      <c r="C3392" s="459">
        <v>7</v>
      </c>
      <c r="D3392" s="458">
        <v>2023</v>
      </c>
    </row>
    <row r="3393" spans="1:4" x14ac:dyDescent="0.35">
      <c r="A3393" s="457" t="s">
        <v>72</v>
      </c>
      <c r="B3393" s="458" t="s">
        <v>1678</v>
      </c>
      <c r="C3393" s="459">
        <v>7</v>
      </c>
      <c r="D3393" s="458">
        <v>2022</v>
      </c>
    </row>
    <row r="3394" spans="1:4" x14ac:dyDescent="0.35">
      <c r="A3394" s="457" t="s">
        <v>72</v>
      </c>
      <c r="B3394" s="458" t="s">
        <v>1678</v>
      </c>
      <c r="C3394" s="459">
        <v>4</v>
      </c>
      <c r="D3394" s="458">
        <v>2023</v>
      </c>
    </row>
    <row r="3395" spans="1:4" x14ac:dyDescent="0.35">
      <c r="A3395" s="457" t="s">
        <v>72</v>
      </c>
      <c r="B3395" s="458" t="s">
        <v>1678</v>
      </c>
      <c r="C3395" s="459">
        <v>4</v>
      </c>
      <c r="D3395" s="458">
        <v>2023</v>
      </c>
    </row>
    <row r="3396" spans="1:4" x14ac:dyDescent="0.35">
      <c r="A3396" s="457" t="s">
        <v>72</v>
      </c>
      <c r="B3396" s="458" t="s">
        <v>1679</v>
      </c>
      <c r="C3396" s="459">
        <v>7</v>
      </c>
      <c r="D3396" s="458">
        <v>2022</v>
      </c>
    </row>
    <row r="3397" spans="1:4" x14ac:dyDescent="0.35">
      <c r="A3397" s="457" t="s">
        <v>72</v>
      </c>
      <c r="B3397" s="458" t="s">
        <v>1679</v>
      </c>
      <c r="C3397" s="459">
        <v>4</v>
      </c>
      <c r="D3397" s="458">
        <v>2023</v>
      </c>
    </row>
    <row r="3398" spans="1:4" x14ac:dyDescent="0.35">
      <c r="A3398" s="457" t="s">
        <v>72</v>
      </c>
      <c r="B3398" s="458" t="s">
        <v>1680</v>
      </c>
      <c r="C3398" s="459">
        <v>7</v>
      </c>
      <c r="D3398" s="458">
        <v>2023</v>
      </c>
    </row>
    <row r="3399" spans="1:4" x14ac:dyDescent="0.35">
      <c r="A3399" s="457" t="s">
        <v>72</v>
      </c>
      <c r="B3399" s="458" t="s">
        <v>1681</v>
      </c>
      <c r="C3399" s="459">
        <v>7</v>
      </c>
      <c r="D3399" s="458">
        <v>2023</v>
      </c>
    </row>
    <row r="3400" spans="1:4" x14ac:dyDescent="0.35">
      <c r="A3400" s="457" t="s">
        <v>72</v>
      </c>
      <c r="B3400" s="458" t="s">
        <v>1681</v>
      </c>
      <c r="C3400" s="459">
        <v>16</v>
      </c>
      <c r="D3400" s="458">
        <v>2024</v>
      </c>
    </row>
    <row r="3401" spans="1:4" x14ac:dyDescent="0.35">
      <c r="A3401" s="457" t="s">
        <v>72</v>
      </c>
      <c r="B3401" s="458" t="s">
        <v>1682</v>
      </c>
      <c r="C3401" s="459">
        <v>7</v>
      </c>
      <c r="D3401" s="458">
        <v>2022</v>
      </c>
    </row>
    <row r="3402" spans="1:4" x14ac:dyDescent="0.35">
      <c r="A3402" s="457" t="s">
        <v>72</v>
      </c>
      <c r="B3402" s="458" t="s">
        <v>1682</v>
      </c>
      <c r="C3402" s="459">
        <v>7</v>
      </c>
      <c r="D3402" s="458">
        <v>2023</v>
      </c>
    </row>
    <row r="3403" spans="1:4" x14ac:dyDescent="0.35">
      <c r="A3403" s="457" t="s">
        <v>72</v>
      </c>
      <c r="B3403" s="458" t="s">
        <v>1683</v>
      </c>
      <c r="C3403" s="459">
        <v>7</v>
      </c>
      <c r="D3403" s="458">
        <v>2023</v>
      </c>
    </row>
    <row r="3404" spans="1:4" x14ac:dyDescent="0.35">
      <c r="A3404" s="457" t="s">
        <v>72</v>
      </c>
      <c r="B3404" s="458" t="s">
        <v>1683</v>
      </c>
      <c r="C3404" s="459">
        <v>4</v>
      </c>
      <c r="D3404" s="458">
        <v>2023</v>
      </c>
    </row>
    <row r="3405" spans="1:4" x14ac:dyDescent="0.35">
      <c r="A3405" s="457" t="s">
        <v>72</v>
      </c>
      <c r="B3405" s="458" t="s">
        <v>1684</v>
      </c>
      <c r="C3405" s="459">
        <v>14</v>
      </c>
      <c r="D3405" s="458">
        <v>2023</v>
      </c>
    </row>
    <row r="3406" spans="1:4" x14ac:dyDescent="0.35">
      <c r="A3406" s="457" t="s">
        <v>72</v>
      </c>
      <c r="B3406" s="458" t="s">
        <v>1685</v>
      </c>
      <c r="C3406" s="459">
        <v>7</v>
      </c>
      <c r="D3406" s="458">
        <v>2023</v>
      </c>
    </row>
    <row r="3407" spans="1:4" x14ac:dyDescent="0.35">
      <c r="A3407" s="457" t="s">
        <v>72</v>
      </c>
      <c r="B3407" s="458" t="s">
        <v>1685</v>
      </c>
      <c r="C3407" s="459">
        <v>7</v>
      </c>
      <c r="D3407" s="458">
        <v>2023</v>
      </c>
    </row>
    <row r="3408" spans="1:4" x14ac:dyDescent="0.35">
      <c r="A3408" s="457" t="s">
        <v>72</v>
      </c>
      <c r="B3408" s="458" t="s">
        <v>1688</v>
      </c>
      <c r="C3408" s="459">
        <v>7</v>
      </c>
      <c r="D3408" s="458">
        <v>2022</v>
      </c>
    </row>
    <row r="3409" spans="1:4" x14ac:dyDescent="0.35">
      <c r="A3409" s="457" t="s">
        <v>72</v>
      </c>
      <c r="B3409" s="458" t="s">
        <v>1688</v>
      </c>
      <c r="C3409" s="459">
        <v>7</v>
      </c>
      <c r="D3409" s="458">
        <v>2023</v>
      </c>
    </row>
    <row r="3410" spans="1:4" x14ac:dyDescent="0.35">
      <c r="A3410" s="457" t="s">
        <v>72</v>
      </c>
      <c r="B3410" s="458" t="s">
        <v>1686</v>
      </c>
      <c r="C3410" s="459">
        <v>7</v>
      </c>
      <c r="D3410" s="458">
        <v>2022</v>
      </c>
    </row>
    <row r="3411" spans="1:4" x14ac:dyDescent="0.35">
      <c r="A3411" s="457" t="s">
        <v>72</v>
      </c>
      <c r="B3411" s="458" t="s">
        <v>1686</v>
      </c>
      <c r="C3411" s="459">
        <v>9</v>
      </c>
      <c r="D3411" s="458">
        <v>2023</v>
      </c>
    </row>
    <row r="3412" spans="1:4" x14ac:dyDescent="0.35">
      <c r="A3412" s="457" t="s">
        <v>72</v>
      </c>
      <c r="B3412" s="458" t="s">
        <v>1687</v>
      </c>
      <c r="C3412" s="459">
        <v>7</v>
      </c>
      <c r="D3412" s="458">
        <v>2022</v>
      </c>
    </row>
    <row r="3413" spans="1:4" x14ac:dyDescent="0.35">
      <c r="A3413" s="457" t="s">
        <v>72</v>
      </c>
      <c r="B3413" s="458" t="s">
        <v>1687</v>
      </c>
      <c r="C3413" s="459">
        <v>7</v>
      </c>
      <c r="D3413" s="458">
        <v>2023</v>
      </c>
    </row>
    <row r="3414" spans="1:4" x14ac:dyDescent="0.35">
      <c r="A3414" s="457" t="s">
        <v>72</v>
      </c>
      <c r="B3414" s="458" t="s">
        <v>1687</v>
      </c>
      <c r="C3414" s="459">
        <v>3</v>
      </c>
      <c r="D3414" s="458">
        <v>2023</v>
      </c>
    </row>
    <row r="3415" spans="1:4" x14ac:dyDescent="0.35">
      <c r="A3415" s="457" t="s">
        <v>72</v>
      </c>
      <c r="B3415" s="458" t="s">
        <v>1677</v>
      </c>
      <c r="C3415" s="459">
        <v>2</v>
      </c>
      <c r="D3415" s="458">
        <v>2023</v>
      </c>
    </row>
    <row r="3416" spans="1:4" x14ac:dyDescent="0.35">
      <c r="A3416" s="457" t="s">
        <v>72</v>
      </c>
      <c r="B3416" s="458" t="s">
        <v>1677</v>
      </c>
      <c r="C3416" s="459">
        <v>1</v>
      </c>
      <c r="D3416" s="458">
        <v>2023</v>
      </c>
    </row>
    <row r="3417" spans="1:4" x14ac:dyDescent="0.35">
      <c r="A3417" s="457" t="s">
        <v>72</v>
      </c>
      <c r="B3417" s="458" t="s">
        <v>1678</v>
      </c>
      <c r="C3417" s="459">
        <v>2</v>
      </c>
      <c r="D3417" s="458">
        <v>2022</v>
      </c>
    </row>
    <row r="3418" spans="1:4" x14ac:dyDescent="0.35">
      <c r="A3418" s="457" t="s">
        <v>72</v>
      </c>
      <c r="B3418" s="458" t="s">
        <v>1678</v>
      </c>
      <c r="C3418" s="459">
        <v>2</v>
      </c>
      <c r="D3418" s="458">
        <v>2023</v>
      </c>
    </row>
    <row r="3419" spans="1:4" x14ac:dyDescent="0.35">
      <c r="A3419" s="457" t="s">
        <v>72</v>
      </c>
      <c r="B3419" s="458" t="s">
        <v>1679</v>
      </c>
      <c r="C3419" s="459">
        <v>2</v>
      </c>
      <c r="D3419" s="458">
        <v>2022</v>
      </c>
    </row>
    <row r="3420" spans="1:4" x14ac:dyDescent="0.35">
      <c r="A3420" s="457" t="s">
        <v>72</v>
      </c>
      <c r="B3420" s="458" t="s">
        <v>1679</v>
      </c>
      <c r="C3420" s="459">
        <v>2</v>
      </c>
      <c r="D3420" s="458">
        <v>2023</v>
      </c>
    </row>
    <row r="3421" spans="1:4" x14ac:dyDescent="0.35">
      <c r="A3421" s="457" t="s">
        <v>72</v>
      </c>
      <c r="B3421" s="458" t="s">
        <v>1680</v>
      </c>
      <c r="C3421" s="459">
        <v>2</v>
      </c>
      <c r="D3421" s="458">
        <v>2023</v>
      </c>
    </row>
    <row r="3422" spans="1:4" x14ac:dyDescent="0.35">
      <c r="A3422" s="457" t="s">
        <v>72</v>
      </c>
      <c r="B3422" s="458" t="s">
        <v>1681</v>
      </c>
      <c r="C3422" s="459">
        <v>4</v>
      </c>
      <c r="D3422" s="458">
        <v>2023</v>
      </c>
    </row>
    <row r="3423" spans="1:4" x14ac:dyDescent="0.35">
      <c r="A3423" s="457" t="s">
        <v>72</v>
      </c>
      <c r="B3423" s="458" t="s">
        <v>1681</v>
      </c>
      <c r="C3423" s="459">
        <v>4</v>
      </c>
      <c r="D3423" s="458">
        <v>2024</v>
      </c>
    </row>
    <row r="3424" spans="1:4" x14ac:dyDescent="0.35">
      <c r="A3424" s="457" t="s">
        <v>72</v>
      </c>
      <c r="B3424" s="458" t="s">
        <v>1682</v>
      </c>
      <c r="C3424" s="459">
        <v>2</v>
      </c>
      <c r="D3424" s="458">
        <v>2022</v>
      </c>
    </row>
    <row r="3425" spans="1:4" x14ac:dyDescent="0.35">
      <c r="A3425" s="457" t="s">
        <v>72</v>
      </c>
      <c r="B3425" s="458" t="s">
        <v>1682</v>
      </c>
      <c r="C3425" s="459">
        <v>2</v>
      </c>
      <c r="D3425" s="458">
        <v>2023</v>
      </c>
    </row>
    <row r="3426" spans="1:4" x14ac:dyDescent="0.35">
      <c r="A3426" s="1" t="s">
        <v>72</v>
      </c>
      <c r="B3426" s="1" t="s">
        <v>1683</v>
      </c>
      <c r="C3426" s="2">
        <v>2</v>
      </c>
      <c r="D3426" s="1">
        <v>2023</v>
      </c>
    </row>
    <row r="3427" spans="1:4" x14ac:dyDescent="0.35">
      <c r="A3427" s="1" t="s">
        <v>72</v>
      </c>
      <c r="B3427" s="1" t="s">
        <v>1684</v>
      </c>
      <c r="C3427" s="2">
        <v>2</v>
      </c>
      <c r="D3427" s="1">
        <v>2023</v>
      </c>
    </row>
    <row r="3428" spans="1:4" x14ac:dyDescent="0.35">
      <c r="A3428" s="1" t="s">
        <v>72</v>
      </c>
      <c r="B3428" s="1" t="s">
        <v>1685</v>
      </c>
      <c r="C3428" s="2">
        <v>2</v>
      </c>
      <c r="D3428" s="1">
        <v>2023</v>
      </c>
    </row>
    <row r="3429" spans="1:4" x14ac:dyDescent="0.35">
      <c r="A3429" s="1" t="s">
        <v>72</v>
      </c>
      <c r="B3429" s="1" t="s">
        <v>1688</v>
      </c>
      <c r="C3429" s="2">
        <v>2</v>
      </c>
      <c r="D3429" s="1">
        <v>2022</v>
      </c>
    </row>
    <row r="3430" spans="1:4" x14ac:dyDescent="0.35">
      <c r="A3430" s="1" t="s">
        <v>72</v>
      </c>
      <c r="B3430" s="1" t="s">
        <v>1688</v>
      </c>
      <c r="C3430" s="2">
        <v>2</v>
      </c>
      <c r="D3430" s="1">
        <v>2023</v>
      </c>
    </row>
    <row r="3431" spans="1:4" x14ac:dyDescent="0.35">
      <c r="A3431" s="1" t="s">
        <v>72</v>
      </c>
      <c r="B3431" s="1" t="s">
        <v>1688</v>
      </c>
      <c r="C3431" s="2">
        <v>2</v>
      </c>
      <c r="D3431" s="1">
        <v>2022</v>
      </c>
    </row>
    <row r="3432" spans="1:4" x14ac:dyDescent="0.35">
      <c r="A3432" s="1" t="s">
        <v>72</v>
      </c>
      <c r="B3432" s="1" t="s">
        <v>1686</v>
      </c>
      <c r="C3432" s="2">
        <v>2</v>
      </c>
      <c r="D3432" s="1">
        <v>2022</v>
      </c>
    </row>
    <row r="3433" spans="1:4" x14ac:dyDescent="0.35">
      <c r="A3433" s="1" t="s">
        <v>72</v>
      </c>
      <c r="B3433" s="1" t="s">
        <v>1686</v>
      </c>
      <c r="C3433" s="2">
        <v>2</v>
      </c>
      <c r="D3433" s="1">
        <v>2023</v>
      </c>
    </row>
    <row r="3434" spans="1:4" x14ac:dyDescent="0.35">
      <c r="A3434" s="1" t="s">
        <v>72</v>
      </c>
      <c r="B3434" s="1" t="s">
        <v>1687</v>
      </c>
      <c r="C3434" s="2">
        <v>2</v>
      </c>
      <c r="D3434" s="1">
        <v>2022</v>
      </c>
    </row>
    <row r="3435" spans="1:4" x14ac:dyDescent="0.35">
      <c r="A3435" s="1" t="s">
        <v>72</v>
      </c>
      <c r="B3435" s="1" t="s">
        <v>1687</v>
      </c>
      <c r="C3435" s="2">
        <v>2</v>
      </c>
      <c r="D3435" s="1">
        <v>2023</v>
      </c>
    </row>
    <row r="3436" spans="1:4" x14ac:dyDescent="0.35">
      <c r="A3436" s="1" t="s">
        <v>72</v>
      </c>
      <c r="B3436" s="1" t="s">
        <v>1686</v>
      </c>
      <c r="C3436" s="2">
        <v>1</v>
      </c>
      <c r="D3436" s="1">
        <v>2022</v>
      </c>
    </row>
    <row r="3437" spans="1:4" x14ac:dyDescent="0.35">
      <c r="A3437" s="1" t="s">
        <v>72</v>
      </c>
      <c r="B3437" s="1" t="s">
        <v>1677</v>
      </c>
      <c r="C3437" s="2">
        <v>4</v>
      </c>
      <c r="D3437" s="1">
        <v>2023</v>
      </c>
    </row>
    <row r="3438" spans="1:4" x14ac:dyDescent="0.35">
      <c r="A3438" s="1" t="s">
        <v>72</v>
      </c>
      <c r="B3438" s="1" t="s">
        <v>1678</v>
      </c>
      <c r="C3438" s="2">
        <v>4</v>
      </c>
      <c r="D3438" s="1">
        <v>2022</v>
      </c>
    </row>
    <row r="3439" spans="1:4" x14ac:dyDescent="0.35">
      <c r="A3439" s="1" t="s">
        <v>72</v>
      </c>
      <c r="B3439" s="1" t="s">
        <v>1678</v>
      </c>
      <c r="C3439" s="2">
        <v>7</v>
      </c>
      <c r="D3439" s="1">
        <v>2023</v>
      </c>
    </row>
    <row r="3440" spans="1:4" x14ac:dyDescent="0.35">
      <c r="A3440" s="1" t="s">
        <v>72</v>
      </c>
      <c r="B3440" s="1" t="s">
        <v>1679</v>
      </c>
      <c r="C3440" s="2">
        <v>4</v>
      </c>
      <c r="D3440" s="1">
        <v>2022</v>
      </c>
    </row>
    <row r="3441" spans="1:4" x14ac:dyDescent="0.35">
      <c r="A3441" s="1" t="s">
        <v>72</v>
      </c>
      <c r="B3441" s="1" t="s">
        <v>1679</v>
      </c>
      <c r="C3441" s="2">
        <v>6</v>
      </c>
      <c r="D3441" s="1">
        <v>2023</v>
      </c>
    </row>
    <row r="3442" spans="1:4" x14ac:dyDescent="0.35">
      <c r="A3442" s="1" t="s">
        <v>72</v>
      </c>
      <c r="B3442" s="1" t="s">
        <v>1680</v>
      </c>
      <c r="C3442" s="2">
        <v>4</v>
      </c>
      <c r="D3442" s="1">
        <v>2023</v>
      </c>
    </row>
    <row r="3443" spans="1:4" x14ac:dyDescent="0.35">
      <c r="A3443" s="1" t="s">
        <v>72</v>
      </c>
      <c r="B3443" s="1" t="s">
        <v>1681</v>
      </c>
      <c r="C3443" s="2">
        <v>7</v>
      </c>
      <c r="D3443" s="1">
        <v>2023</v>
      </c>
    </row>
    <row r="3444" spans="1:4" x14ac:dyDescent="0.35">
      <c r="A3444" s="1" t="s">
        <v>72</v>
      </c>
      <c r="B3444" s="1" t="s">
        <v>1681</v>
      </c>
      <c r="C3444" s="2">
        <v>10</v>
      </c>
      <c r="D3444" s="1">
        <v>2024</v>
      </c>
    </row>
    <row r="3445" spans="1:4" x14ac:dyDescent="0.35">
      <c r="A3445" s="1" t="s">
        <v>72</v>
      </c>
      <c r="B3445" s="1" t="s">
        <v>1682</v>
      </c>
      <c r="C3445" s="2">
        <v>4</v>
      </c>
      <c r="D3445" s="1">
        <v>2022</v>
      </c>
    </row>
    <row r="3446" spans="1:4" x14ac:dyDescent="0.35">
      <c r="A3446" s="1" t="s">
        <v>72</v>
      </c>
      <c r="B3446" s="1" t="s">
        <v>1682</v>
      </c>
      <c r="C3446" s="2">
        <v>4</v>
      </c>
      <c r="D3446" s="1">
        <v>2023</v>
      </c>
    </row>
    <row r="3447" spans="1:4" x14ac:dyDescent="0.35">
      <c r="A3447" s="1" t="s">
        <v>72</v>
      </c>
      <c r="B3447" s="1" t="s">
        <v>1683</v>
      </c>
      <c r="C3447" s="2">
        <v>4</v>
      </c>
      <c r="D3447" s="1">
        <v>2023</v>
      </c>
    </row>
    <row r="3448" spans="1:4" x14ac:dyDescent="0.35">
      <c r="A3448" s="1" t="s">
        <v>72</v>
      </c>
      <c r="B3448" s="1" t="s">
        <v>1684</v>
      </c>
      <c r="C3448" s="2">
        <v>4</v>
      </c>
      <c r="D3448" s="1">
        <v>2023</v>
      </c>
    </row>
    <row r="3449" spans="1:4" x14ac:dyDescent="0.35">
      <c r="A3449" s="1" t="s">
        <v>72</v>
      </c>
      <c r="B3449" s="1" t="s">
        <v>1685</v>
      </c>
      <c r="C3449" s="2">
        <v>4</v>
      </c>
      <c r="D3449" s="1">
        <v>2023</v>
      </c>
    </row>
    <row r="3450" spans="1:4" x14ac:dyDescent="0.35">
      <c r="A3450" s="1" t="s">
        <v>72</v>
      </c>
      <c r="B3450" s="1" t="s">
        <v>1688</v>
      </c>
      <c r="C3450" s="2">
        <v>4</v>
      </c>
      <c r="D3450" s="1">
        <v>2022</v>
      </c>
    </row>
    <row r="3451" spans="1:4" x14ac:dyDescent="0.35">
      <c r="A3451" s="1" t="s">
        <v>72</v>
      </c>
      <c r="B3451" s="1" t="s">
        <v>1688</v>
      </c>
      <c r="C3451" s="2">
        <v>6</v>
      </c>
      <c r="D3451" s="1">
        <v>2023</v>
      </c>
    </row>
    <row r="3452" spans="1:4" x14ac:dyDescent="0.35">
      <c r="A3452" s="1" t="s">
        <v>72</v>
      </c>
      <c r="B3452" s="1" t="s">
        <v>1686</v>
      </c>
      <c r="C3452" s="2">
        <v>4</v>
      </c>
      <c r="D3452" s="1">
        <v>2022</v>
      </c>
    </row>
    <row r="3453" spans="1:4" x14ac:dyDescent="0.35">
      <c r="A3453" s="1" t="s">
        <v>72</v>
      </c>
      <c r="B3453" s="1" t="s">
        <v>1686</v>
      </c>
      <c r="C3453" s="2">
        <v>6</v>
      </c>
      <c r="D3453" s="1">
        <v>2023</v>
      </c>
    </row>
    <row r="3454" spans="1:4" x14ac:dyDescent="0.35">
      <c r="A3454" s="1" t="s">
        <v>72</v>
      </c>
      <c r="B3454" s="1" t="s">
        <v>1687</v>
      </c>
      <c r="C3454" s="2">
        <v>4</v>
      </c>
      <c r="D3454" s="1">
        <v>2022</v>
      </c>
    </row>
    <row r="3455" spans="1:4" x14ac:dyDescent="0.35">
      <c r="A3455" s="1" t="s">
        <v>72</v>
      </c>
      <c r="B3455" s="1" t="s">
        <v>1687</v>
      </c>
      <c r="C3455" s="2">
        <v>6</v>
      </c>
      <c r="D3455" s="1">
        <v>2023</v>
      </c>
    </row>
    <row r="3456" spans="1:4" x14ac:dyDescent="0.35">
      <c r="A3456" s="1" t="s">
        <v>72</v>
      </c>
      <c r="B3456" s="1" t="s">
        <v>1677</v>
      </c>
      <c r="C3456" s="2">
        <v>12</v>
      </c>
      <c r="D3456" s="1">
        <v>2023</v>
      </c>
    </row>
    <row r="3457" spans="1:4" x14ac:dyDescent="0.35">
      <c r="A3457" s="1" t="s">
        <v>72</v>
      </c>
      <c r="B3457" s="1" t="s">
        <v>1678</v>
      </c>
      <c r="C3457" s="2">
        <v>12</v>
      </c>
      <c r="D3457" s="1">
        <v>2022</v>
      </c>
    </row>
    <row r="3458" spans="1:4" x14ac:dyDescent="0.35">
      <c r="A3458" s="1" t="s">
        <v>72</v>
      </c>
      <c r="B3458" s="1" t="s">
        <v>1678</v>
      </c>
      <c r="C3458" s="2">
        <v>12</v>
      </c>
      <c r="D3458" s="1">
        <v>2023</v>
      </c>
    </row>
    <row r="3459" spans="1:4" x14ac:dyDescent="0.35">
      <c r="A3459" s="1" t="s">
        <v>72</v>
      </c>
      <c r="B3459" s="1" t="s">
        <v>1679</v>
      </c>
      <c r="C3459" s="2">
        <v>12</v>
      </c>
      <c r="D3459" s="1">
        <v>2022</v>
      </c>
    </row>
    <row r="3460" spans="1:4" x14ac:dyDescent="0.35">
      <c r="A3460" s="1" t="s">
        <v>72</v>
      </c>
      <c r="B3460" s="1" t="s">
        <v>1679</v>
      </c>
      <c r="C3460" s="2">
        <v>12</v>
      </c>
      <c r="D3460" s="1">
        <v>2023</v>
      </c>
    </row>
    <row r="3461" spans="1:4" x14ac:dyDescent="0.35">
      <c r="A3461" s="1" t="s">
        <v>72</v>
      </c>
      <c r="B3461" s="1" t="s">
        <v>1680</v>
      </c>
      <c r="C3461" s="2">
        <v>12</v>
      </c>
      <c r="D3461" s="1">
        <v>2023</v>
      </c>
    </row>
    <row r="3462" spans="1:4" x14ac:dyDescent="0.35">
      <c r="A3462" s="1" t="s">
        <v>72</v>
      </c>
      <c r="B3462" s="1" t="s">
        <v>1681</v>
      </c>
      <c r="C3462" s="2">
        <v>24</v>
      </c>
      <c r="D3462" s="1">
        <v>2023</v>
      </c>
    </row>
    <row r="3463" spans="1:4" x14ac:dyDescent="0.35">
      <c r="A3463" s="1" t="s">
        <v>72</v>
      </c>
      <c r="B3463" s="1" t="s">
        <v>1681</v>
      </c>
      <c r="C3463" s="2">
        <v>24</v>
      </c>
      <c r="D3463" s="1">
        <v>2024</v>
      </c>
    </row>
    <row r="3464" spans="1:4" x14ac:dyDescent="0.35">
      <c r="A3464" s="1" t="s">
        <v>72</v>
      </c>
      <c r="B3464" s="1" t="s">
        <v>1682</v>
      </c>
      <c r="C3464" s="2">
        <v>12</v>
      </c>
      <c r="D3464" s="1">
        <v>2022</v>
      </c>
    </row>
    <row r="3465" spans="1:4" x14ac:dyDescent="0.35">
      <c r="A3465" s="1" t="s">
        <v>72</v>
      </c>
      <c r="B3465" s="1" t="s">
        <v>1682</v>
      </c>
      <c r="C3465" s="2">
        <v>12</v>
      </c>
      <c r="D3465" s="1">
        <v>2023</v>
      </c>
    </row>
    <row r="3466" spans="1:4" x14ac:dyDescent="0.35">
      <c r="A3466" s="1" t="s">
        <v>72</v>
      </c>
      <c r="B3466" s="1" t="s">
        <v>1683</v>
      </c>
      <c r="C3466" s="2">
        <v>12</v>
      </c>
      <c r="D3466" s="1">
        <v>2023</v>
      </c>
    </row>
    <row r="3467" spans="1:4" x14ac:dyDescent="0.35">
      <c r="A3467" s="1" t="s">
        <v>72</v>
      </c>
      <c r="B3467" s="1" t="s">
        <v>1684</v>
      </c>
      <c r="C3467" s="2">
        <v>12</v>
      </c>
      <c r="D3467" s="1">
        <v>2023</v>
      </c>
    </row>
    <row r="3468" spans="1:4" x14ac:dyDescent="0.35">
      <c r="A3468" s="1" t="s">
        <v>72</v>
      </c>
      <c r="B3468" s="1" t="s">
        <v>1685</v>
      </c>
      <c r="C3468" s="2">
        <v>12</v>
      </c>
      <c r="D3468" s="1">
        <v>2023</v>
      </c>
    </row>
    <row r="3469" spans="1:4" x14ac:dyDescent="0.35">
      <c r="A3469" s="1" t="s">
        <v>72</v>
      </c>
      <c r="B3469" s="1" t="s">
        <v>1688</v>
      </c>
      <c r="C3469" s="2">
        <v>12</v>
      </c>
      <c r="D3469" s="1">
        <v>2022</v>
      </c>
    </row>
    <row r="3470" spans="1:4" x14ac:dyDescent="0.35">
      <c r="A3470" s="1" t="s">
        <v>72</v>
      </c>
      <c r="B3470" s="1" t="s">
        <v>1688</v>
      </c>
      <c r="C3470" s="2">
        <v>12</v>
      </c>
      <c r="D3470" s="1">
        <v>2023</v>
      </c>
    </row>
    <row r="3471" spans="1:4" x14ac:dyDescent="0.35">
      <c r="A3471" s="1" t="s">
        <v>72</v>
      </c>
      <c r="B3471" s="1" t="s">
        <v>1686</v>
      </c>
      <c r="C3471" s="2">
        <v>12</v>
      </c>
      <c r="D3471" s="1">
        <v>2022</v>
      </c>
    </row>
    <row r="3472" spans="1:4" x14ac:dyDescent="0.35">
      <c r="A3472" s="1" t="s">
        <v>72</v>
      </c>
      <c r="B3472" s="1" t="s">
        <v>1686</v>
      </c>
      <c r="C3472" s="2">
        <v>12</v>
      </c>
      <c r="D3472" s="1">
        <v>2023</v>
      </c>
    </row>
    <row r="3473" spans="1:4" x14ac:dyDescent="0.35">
      <c r="A3473" s="1" t="s">
        <v>72</v>
      </c>
      <c r="B3473" s="1" t="s">
        <v>1687</v>
      </c>
      <c r="C3473" s="2">
        <v>12</v>
      </c>
      <c r="D3473" s="1">
        <v>2022</v>
      </c>
    </row>
    <row r="3474" spans="1:4" x14ac:dyDescent="0.35">
      <c r="A3474" s="1" t="s">
        <v>72</v>
      </c>
      <c r="B3474" s="1" t="s">
        <v>1687</v>
      </c>
      <c r="C3474" s="2">
        <v>12</v>
      </c>
      <c r="D3474" s="1">
        <v>2023</v>
      </c>
    </row>
    <row r="3475" spans="1:4" x14ac:dyDescent="0.35">
      <c r="A3475" s="1" t="s">
        <v>72</v>
      </c>
      <c r="B3475" s="1" t="s">
        <v>1677</v>
      </c>
      <c r="C3475" s="2">
        <v>30</v>
      </c>
      <c r="D3475" s="1">
        <v>2023</v>
      </c>
    </row>
    <row r="3476" spans="1:4" x14ac:dyDescent="0.35">
      <c r="A3476" s="1" t="s">
        <v>72</v>
      </c>
      <c r="B3476" s="1" t="s">
        <v>1678</v>
      </c>
      <c r="C3476" s="2">
        <v>25</v>
      </c>
      <c r="D3476" s="1">
        <v>2023</v>
      </c>
    </row>
    <row r="3477" spans="1:4" x14ac:dyDescent="0.35">
      <c r="A3477" s="1" t="s">
        <v>72</v>
      </c>
      <c r="B3477" s="1" t="s">
        <v>1679</v>
      </c>
      <c r="C3477" s="2">
        <v>20</v>
      </c>
      <c r="D3477" s="1">
        <v>2023</v>
      </c>
    </row>
    <row r="3478" spans="1:4" x14ac:dyDescent="0.35">
      <c r="A3478" s="1" t="s">
        <v>72</v>
      </c>
      <c r="B3478" s="1" t="s">
        <v>1680</v>
      </c>
      <c r="C3478" s="2">
        <v>25</v>
      </c>
      <c r="D3478" s="1">
        <v>2023</v>
      </c>
    </row>
    <row r="3479" spans="1:4" x14ac:dyDescent="0.35">
      <c r="A3479" s="1" t="s">
        <v>72</v>
      </c>
      <c r="B3479" s="1" t="s">
        <v>1681</v>
      </c>
      <c r="C3479" s="2">
        <v>25</v>
      </c>
      <c r="D3479" s="1">
        <v>2023</v>
      </c>
    </row>
    <row r="3480" spans="1:4" x14ac:dyDescent="0.35">
      <c r="A3480" s="1" t="s">
        <v>72</v>
      </c>
      <c r="B3480" s="1" t="s">
        <v>1681</v>
      </c>
      <c r="C3480" s="2">
        <v>40</v>
      </c>
      <c r="D3480" s="1">
        <v>2024</v>
      </c>
    </row>
    <row r="3481" spans="1:4" x14ac:dyDescent="0.35">
      <c r="A3481" s="1" t="s">
        <v>72</v>
      </c>
      <c r="B3481" s="1" t="s">
        <v>1682</v>
      </c>
      <c r="C3481" s="2">
        <v>25</v>
      </c>
      <c r="D3481" s="1">
        <v>2023</v>
      </c>
    </row>
    <row r="3482" spans="1:4" x14ac:dyDescent="0.35">
      <c r="A3482" s="1" t="s">
        <v>72</v>
      </c>
      <c r="B3482" s="1" t="s">
        <v>1683</v>
      </c>
      <c r="C3482" s="2">
        <v>30</v>
      </c>
      <c r="D3482" s="1">
        <v>2023</v>
      </c>
    </row>
    <row r="3483" spans="1:4" x14ac:dyDescent="0.35">
      <c r="A3483" s="1" t="s">
        <v>72</v>
      </c>
      <c r="B3483" s="1" t="s">
        <v>1684</v>
      </c>
      <c r="C3483" s="2">
        <v>30</v>
      </c>
      <c r="D3483" s="1">
        <v>2023</v>
      </c>
    </row>
    <row r="3484" spans="1:4" x14ac:dyDescent="0.35">
      <c r="A3484" s="1" t="s">
        <v>72</v>
      </c>
      <c r="B3484" s="1" t="s">
        <v>1685</v>
      </c>
      <c r="C3484" s="2">
        <v>30</v>
      </c>
      <c r="D3484" s="1">
        <v>2023</v>
      </c>
    </row>
    <row r="3485" spans="1:4" x14ac:dyDescent="0.35">
      <c r="A3485" s="1" t="s">
        <v>72</v>
      </c>
      <c r="B3485" s="1" t="s">
        <v>1688</v>
      </c>
      <c r="C3485" s="2">
        <v>20</v>
      </c>
      <c r="D3485" s="1">
        <v>2023</v>
      </c>
    </row>
    <row r="3486" spans="1:4" x14ac:dyDescent="0.35">
      <c r="A3486" s="1" t="s">
        <v>72</v>
      </c>
      <c r="B3486" s="1" t="s">
        <v>1686</v>
      </c>
      <c r="C3486" s="2">
        <v>20</v>
      </c>
      <c r="D3486" s="1">
        <v>2023</v>
      </c>
    </row>
    <row r="3487" spans="1:4" x14ac:dyDescent="0.35">
      <c r="A3487" s="1" t="s">
        <v>72</v>
      </c>
      <c r="B3487" s="1" t="s">
        <v>1687</v>
      </c>
      <c r="C3487" s="2">
        <v>25</v>
      </c>
      <c r="D3487" s="1">
        <v>2023</v>
      </c>
    </row>
    <row r="3488" spans="1:4" x14ac:dyDescent="0.35">
      <c r="A3488" s="1" t="s">
        <v>72</v>
      </c>
      <c r="B3488" s="1" t="s">
        <v>1678</v>
      </c>
      <c r="C3488" s="2">
        <v>4</v>
      </c>
      <c r="D3488" s="1">
        <v>2022</v>
      </c>
    </row>
    <row r="3489" spans="1:4" x14ac:dyDescent="0.35">
      <c r="A3489" s="1" t="s">
        <v>72</v>
      </c>
      <c r="B3489" s="1" t="s">
        <v>1678</v>
      </c>
      <c r="C3489" s="2">
        <v>10</v>
      </c>
      <c r="D3489" s="1">
        <v>2022</v>
      </c>
    </row>
    <row r="3490" spans="1:4" x14ac:dyDescent="0.35">
      <c r="A3490" s="1" t="s">
        <v>72</v>
      </c>
      <c r="B3490" s="1" t="s">
        <v>1679</v>
      </c>
      <c r="C3490" s="2">
        <v>3</v>
      </c>
      <c r="D3490" s="1">
        <v>2022</v>
      </c>
    </row>
    <row r="3491" spans="1:4" x14ac:dyDescent="0.35">
      <c r="A3491" s="1" t="s">
        <v>72</v>
      </c>
      <c r="B3491" s="1" t="s">
        <v>1679</v>
      </c>
      <c r="C3491" s="2">
        <v>10</v>
      </c>
      <c r="D3491" s="1">
        <v>2022</v>
      </c>
    </row>
    <row r="3492" spans="1:4" x14ac:dyDescent="0.35">
      <c r="A3492" s="1" t="s">
        <v>72</v>
      </c>
      <c r="B3492" s="1" t="s">
        <v>1681</v>
      </c>
      <c r="C3492" s="2">
        <v>3</v>
      </c>
      <c r="D3492" s="1">
        <v>2023</v>
      </c>
    </row>
    <row r="3493" spans="1:4" x14ac:dyDescent="0.35">
      <c r="A3493" s="1" t="s">
        <v>72</v>
      </c>
      <c r="B3493" s="1" t="s">
        <v>1681</v>
      </c>
      <c r="C3493" s="2">
        <v>10</v>
      </c>
      <c r="D3493" s="1">
        <v>2023</v>
      </c>
    </row>
    <row r="3494" spans="1:4" x14ac:dyDescent="0.35">
      <c r="A3494" s="1" t="s">
        <v>72</v>
      </c>
      <c r="B3494" s="1" t="s">
        <v>1682</v>
      </c>
      <c r="C3494" s="2">
        <v>3</v>
      </c>
      <c r="D3494" s="1">
        <v>2022</v>
      </c>
    </row>
    <row r="3495" spans="1:4" x14ac:dyDescent="0.35">
      <c r="A3495" s="1" t="s">
        <v>72</v>
      </c>
      <c r="B3495" s="1" t="s">
        <v>1682</v>
      </c>
      <c r="C3495" s="2">
        <v>10</v>
      </c>
      <c r="D3495" s="1">
        <v>2022</v>
      </c>
    </row>
    <row r="3496" spans="1:4" x14ac:dyDescent="0.35">
      <c r="A3496" s="1" t="s">
        <v>72</v>
      </c>
      <c r="B3496" s="1" t="s">
        <v>1688</v>
      </c>
      <c r="C3496" s="2">
        <v>3</v>
      </c>
      <c r="D3496" s="1">
        <v>2022</v>
      </c>
    </row>
    <row r="3497" spans="1:4" x14ac:dyDescent="0.35">
      <c r="A3497" s="1" t="s">
        <v>72</v>
      </c>
      <c r="B3497" s="1" t="s">
        <v>1688</v>
      </c>
      <c r="C3497" s="2">
        <v>10</v>
      </c>
      <c r="D3497" s="1">
        <v>2022</v>
      </c>
    </row>
    <row r="3498" spans="1:4" x14ac:dyDescent="0.35">
      <c r="A3498" s="1" t="s">
        <v>72</v>
      </c>
      <c r="B3498" s="1" t="s">
        <v>1686</v>
      </c>
      <c r="C3498" s="2">
        <v>3</v>
      </c>
      <c r="D3498" s="1">
        <v>2022</v>
      </c>
    </row>
    <row r="3499" spans="1:4" x14ac:dyDescent="0.35">
      <c r="A3499" s="1" t="s">
        <v>72</v>
      </c>
      <c r="B3499" s="1" t="s">
        <v>1686</v>
      </c>
      <c r="C3499" s="2">
        <v>10</v>
      </c>
      <c r="D3499" s="1">
        <v>2022</v>
      </c>
    </row>
    <row r="3500" spans="1:4" x14ac:dyDescent="0.35">
      <c r="A3500" s="1" t="s">
        <v>72</v>
      </c>
      <c r="B3500" s="1" t="s">
        <v>1687</v>
      </c>
      <c r="C3500" s="2">
        <v>3</v>
      </c>
      <c r="D3500" s="1">
        <v>2022</v>
      </c>
    </row>
    <row r="3501" spans="1:4" x14ac:dyDescent="0.35">
      <c r="A3501" s="1" t="s">
        <v>72</v>
      </c>
      <c r="B3501" s="1" t="s">
        <v>1687</v>
      </c>
      <c r="C3501" s="2">
        <v>10</v>
      </c>
      <c r="D3501" s="1">
        <v>2022</v>
      </c>
    </row>
    <row r="3502" spans="1:4" x14ac:dyDescent="0.35">
      <c r="A3502" s="1" t="s">
        <v>72</v>
      </c>
      <c r="B3502" s="1" t="s">
        <v>1678</v>
      </c>
      <c r="C3502" s="2">
        <v>10</v>
      </c>
      <c r="D3502" s="1">
        <v>2022</v>
      </c>
    </row>
    <row r="3503" spans="1:4" x14ac:dyDescent="0.35">
      <c r="A3503" s="1" t="s">
        <v>72</v>
      </c>
      <c r="B3503" s="1" t="s">
        <v>1680</v>
      </c>
      <c r="C3503" s="2">
        <v>6</v>
      </c>
      <c r="D3503" s="1">
        <v>2023</v>
      </c>
    </row>
    <row r="3504" spans="1:4" x14ac:dyDescent="0.35">
      <c r="A3504" s="1" t="s">
        <v>72</v>
      </c>
      <c r="B3504" s="1" t="s">
        <v>1681</v>
      </c>
      <c r="C3504" s="2">
        <v>2</v>
      </c>
      <c r="D3504" s="1">
        <v>2023</v>
      </c>
    </row>
    <row r="3505" spans="1:4" x14ac:dyDescent="0.35">
      <c r="A3505" s="1" t="s">
        <v>72</v>
      </c>
      <c r="B3505" s="1" t="s">
        <v>1681</v>
      </c>
      <c r="C3505" s="2">
        <v>12</v>
      </c>
      <c r="D3505" s="1">
        <v>2024</v>
      </c>
    </row>
    <row r="3506" spans="1:4" x14ac:dyDescent="0.35">
      <c r="A3506" s="1" t="s">
        <v>72</v>
      </c>
      <c r="B3506" s="1" t="s">
        <v>1682</v>
      </c>
      <c r="C3506" s="2">
        <v>10</v>
      </c>
      <c r="D3506" s="1">
        <v>2023</v>
      </c>
    </row>
    <row r="3507" spans="1:4" x14ac:dyDescent="0.35">
      <c r="A3507" s="1" t="s">
        <v>72</v>
      </c>
      <c r="B3507" s="1" t="s">
        <v>1684</v>
      </c>
      <c r="C3507" s="2">
        <v>25</v>
      </c>
      <c r="D3507" s="1">
        <v>2023</v>
      </c>
    </row>
    <row r="3508" spans="1:4" x14ac:dyDescent="0.35">
      <c r="A3508" s="1" t="s">
        <v>72</v>
      </c>
      <c r="B3508" s="1" t="s">
        <v>1685</v>
      </c>
      <c r="C3508" s="2">
        <v>12</v>
      </c>
      <c r="D3508" s="1">
        <v>2023</v>
      </c>
    </row>
    <row r="3509" spans="1:4" x14ac:dyDescent="0.35">
      <c r="A3509" s="1" t="s">
        <v>72</v>
      </c>
      <c r="B3509" s="1" t="s">
        <v>1688</v>
      </c>
      <c r="C3509" s="2">
        <v>10</v>
      </c>
      <c r="D3509" s="1">
        <v>2022</v>
      </c>
    </row>
    <row r="3510" spans="1:4" x14ac:dyDescent="0.35">
      <c r="A3510" s="1" t="s">
        <v>72</v>
      </c>
      <c r="B3510" s="1" t="s">
        <v>1688</v>
      </c>
      <c r="C3510" s="2">
        <v>12</v>
      </c>
      <c r="D3510" s="1">
        <v>2023</v>
      </c>
    </row>
    <row r="3511" spans="1:4" x14ac:dyDescent="0.35">
      <c r="A3511" s="1" t="s">
        <v>72</v>
      </c>
      <c r="B3511" s="1" t="s">
        <v>1686</v>
      </c>
      <c r="C3511" s="2">
        <v>12</v>
      </c>
      <c r="D3511" s="1">
        <v>2022</v>
      </c>
    </row>
    <row r="3512" spans="1:4" x14ac:dyDescent="0.35">
      <c r="A3512" s="1" t="s">
        <v>72</v>
      </c>
      <c r="B3512" s="1" t="s">
        <v>1687</v>
      </c>
      <c r="C3512" s="2">
        <v>4</v>
      </c>
      <c r="D3512" s="1">
        <v>2022</v>
      </c>
    </row>
    <row r="3513" spans="1:4" x14ac:dyDescent="0.35">
      <c r="A3513" s="1" t="s">
        <v>72</v>
      </c>
      <c r="B3513" s="1" t="s">
        <v>1687</v>
      </c>
      <c r="C3513" s="2">
        <v>12</v>
      </c>
      <c r="D3513" s="1">
        <v>2023</v>
      </c>
    </row>
    <row r="3514" spans="1:4" x14ac:dyDescent="0.35">
      <c r="A3514" s="1" t="s">
        <v>72</v>
      </c>
      <c r="B3514" s="1" t="s">
        <v>1681</v>
      </c>
      <c r="C3514" s="2">
        <v>9</v>
      </c>
      <c r="D3514" s="1">
        <v>2024</v>
      </c>
    </row>
    <row r="3515" spans="1:4" x14ac:dyDescent="0.35">
      <c r="A3515" s="1" t="s">
        <v>72</v>
      </c>
      <c r="B3515" s="1" t="s">
        <v>1687</v>
      </c>
      <c r="C3515" s="2">
        <v>1</v>
      </c>
      <c r="D3515" s="1">
        <v>2022</v>
      </c>
    </row>
    <row r="3516" spans="1:4" x14ac:dyDescent="0.35">
      <c r="A3516" s="1" t="s">
        <v>72</v>
      </c>
      <c r="B3516" s="1" t="s">
        <v>1688</v>
      </c>
      <c r="C3516" s="2">
        <v>2</v>
      </c>
      <c r="D3516" s="1">
        <v>2022</v>
      </c>
    </row>
    <row r="3517" spans="1:4" x14ac:dyDescent="0.35">
      <c r="A3517" s="1" t="s">
        <v>72</v>
      </c>
      <c r="B3517" s="1" t="s">
        <v>1686</v>
      </c>
      <c r="C3517" s="2">
        <v>3</v>
      </c>
      <c r="D3517" s="1">
        <v>2022</v>
      </c>
    </row>
    <row r="3518" spans="1:4" x14ac:dyDescent="0.35">
      <c r="A3518" s="1" t="s">
        <v>72</v>
      </c>
      <c r="B3518" s="1" t="s">
        <v>1687</v>
      </c>
      <c r="C3518" s="2">
        <v>3</v>
      </c>
      <c r="D3518" s="1">
        <v>2022</v>
      </c>
    </row>
    <row r="3519" spans="1:4" x14ac:dyDescent="0.35">
      <c r="A3519" s="1" t="s">
        <v>72</v>
      </c>
      <c r="B3519" s="1" t="s">
        <v>1677</v>
      </c>
      <c r="C3519" s="2">
        <v>0</v>
      </c>
      <c r="D3519" s="1">
        <v>2023</v>
      </c>
    </row>
    <row r="3520" spans="1:4" x14ac:dyDescent="0.35">
      <c r="A3520" s="1" t="s">
        <v>72</v>
      </c>
      <c r="B3520" s="1" t="s">
        <v>1678</v>
      </c>
      <c r="C3520" s="2">
        <v>3</v>
      </c>
      <c r="D3520" s="1">
        <v>2022</v>
      </c>
    </row>
    <row r="3521" spans="1:4" x14ac:dyDescent="0.35">
      <c r="A3521" s="1" t="s">
        <v>72</v>
      </c>
      <c r="B3521" s="1" t="s">
        <v>1678</v>
      </c>
      <c r="C3521" s="2">
        <v>3</v>
      </c>
      <c r="D3521" s="1">
        <v>2023</v>
      </c>
    </row>
    <row r="3522" spans="1:4" x14ac:dyDescent="0.35">
      <c r="A3522" s="1" t="s">
        <v>72</v>
      </c>
      <c r="B3522" s="1" t="s">
        <v>1681</v>
      </c>
      <c r="C3522" s="2">
        <v>8</v>
      </c>
      <c r="D3522" s="1">
        <v>2023</v>
      </c>
    </row>
    <row r="3523" spans="1:4" x14ac:dyDescent="0.35">
      <c r="A3523" s="1" t="s">
        <v>72</v>
      </c>
      <c r="B3523" s="1" t="s">
        <v>1681</v>
      </c>
      <c r="C3523" s="2">
        <v>3</v>
      </c>
      <c r="D3523" s="1">
        <v>2024</v>
      </c>
    </row>
    <row r="3524" spans="1:4" x14ac:dyDescent="0.35">
      <c r="A3524" s="1" t="s">
        <v>72</v>
      </c>
      <c r="B3524" s="1" t="s">
        <v>1682</v>
      </c>
      <c r="C3524" s="2">
        <v>3</v>
      </c>
      <c r="D3524" s="1">
        <v>2022</v>
      </c>
    </row>
    <row r="3525" spans="1:4" x14ac:dyDescent="0.35">
      <c r="A3525" s="1" t="s">
        <v>72</v>
      </c>
      <c r="B3525" s="1" t="s">
        <v>1683</v>
      </c>
      <c r="C3525" s="2">
        <v>3</v>
      </c>
      <c r="D3525" s="1">
        <v>2023</v>
      </c>
    </row>
    <row r="3526" spans="1:4" x14ac:dyDescent="0.35">
      <c r="A3526" s="1" t="s">
        <v>72</v>
      </c>
      <c r="B3526" s="1" t="s">
        <v>1684</v>
      </c>
      <c r="C3526" s="2">
        <v>3</v>
      </c>
      <c r="D3526" s="1">
        <v>2023</v>
      </c>
    </row>
    <row r="3527" spans="1:4" x14ac:dyDescent="0.35">
      <c r="A3527" s="1" t="s">
        <v>72</v>
      </c>
      <c r="B3527" s="1" t="s">
        <v>1685</v>
      </c>
      <c r="C3527" s="2">
        <v>3</v>
      </c>
      <c r="D3527" s="1">
        <v>2023</v>
      </c>
    </row>
    <row r="3528" spans="1:4" x14ac:dyDescent="0.35">
      <c r="A3528" s="1" t="s">
        <v>72</v>
      </c>
      <c r="B3528" s="1" t="s">
        <v>1688</v>
      </c>
      <c r="C3528" s="2">
        <v>3</v>
      </c>
      <c r="D3528" s="1">
        <v>2022</v>
      </c>
    </row>
    <row r="3529" spans="1:4" x14ac:dyDescent="0.35">
      <c r="A3529" s="1" t="s">
        <v>72</v>
      </c>
      <c r="B3529" s="1" t="s">
        <v>1688</v>
      </c>
      <c r="C3529" s="2">
        <v>3</v>
      </c>
      <c r="D3529" s="1">
        <v>2023</v>
      </c>
    </row>
    <row r="3530" spans="1:4" x14ac:dyDescent="0.35">
      <c r="A3530" s="1" t="s">
        <v>72</v>
      </c>
      <c r="B3530" s="1" t="s">
        <v>1686</v>
      </c>
      <c r="C3530" s="2">
        <v>3</v>
      </c>
      <c r="D3530" s="1">
        <v>2022</v>
      </c>
    </row>
    <row r="3531" spans="1:4" x14ac:dyDescent="0.35">
      <c r="A3531" s="1" t="s">
        <v>72</v>
      </c>
      <c r="B3531" s="1" t="s">
        <v>1686</v>
      </c>
      <c r="C3531" s="2">
        <v>3</v>
      </c>
      <c r="D3531" s="1">
        <v>2023</v>
      </c>
    </row>
    <row r="3532" spans="1:4" x14ac:dyDescent="0.35">
      <c r="A3532" s="1" t="s">
        <v>72</v>
      </c>
      <c r="B3532" s="1" t="s">
        <v>1678</v>
      </c>
      <c r="C3532" s="2">
        <v>3</v>
      </c>
      <c r="D3532" s="1">
        <v>2022</v>
      </c>
    </row>
    <row r="3533" spans="1:4" x14ac:dyDescent="0.35">
      <c r="A3533" s="1" t="s">
        <v>72</v>
      </c>
      <c r="B3533" s="1" t="s">
        <v>1681</v>
      </c>
      <c r="C3533" s="2">
        <v>0</v>
      </c>
      <c r="D3533" s="1">
        <v>2023</v>
      </c>
    </row>
    <row r="3534" spans="1:4" x14ac:dyDescent="0.35">
      <c r="A3534" s="1" t="s">
        <v>72</v>
      </c>
      <c r="B3534" s="1" t="s">
        <v>1682</v>
      </c>
      <c r="C3534" s="2">
        <v>3</v>
      </c>
      <c r="D3534" s="1">
        <v>2022</v>
      </c>
    </row>
    <row r="3535" spans="1:4" x14ac:dyDescent="0.35">
      <c r="A3535" s="1" t="s">
        <v>72</v>
      </c>
      <c r="B3535" s="1" t="s">
        <v>1687</v>
      </c>
      <c r="C3535" s="2">
        <v>3</v>
      </c>
      <c r="D3535" s="1">
        <v>2022</v>
      </c>
    </row>
    <row r="3536" spans="1:4" x14ac:dyDescent="0.35">
      <c r="A3536" s="1" t="s">
        <v>72</v>
      </c>
      <c r="B3536" s="1" t="s">
        <v>1677</v>
      </c>
      <c r="C3536" s="2">
        <v>6</v>
      </c>
      <c r="D3536" s="1">
        <v>2023</v>
      </c>
    </row>
    <row r="3537" spans="1:4" x14ac:dyDescent="0.35">
      <c r="A3537" s="1" t="s">
        <v>72</v>
      </c>
      <c r="B3537" s="1" t="s">
        <v>1678</v>
      </c>
      <c r="C3537" s="2">
        <v>4</v>
      </c>
      <c r="D3537" s="1">
        <v>2022</v>
      </c>
    </row>
    <row r="3538" spans="1:4" x14ac:dyDescent="0.35">
      <c r="A3538" s="1" t="s">
        <v>72</v>
      </c>
      <c r="B3538" s="1" t="s">
        <v>1679</v>
      </c>
      <c r="C3538" s="2">
        <v>6</v>
      </c>
      <c r="D3538" s="1">
        <v>2022</v>
      </c>
    </row>
    <row r="3539" spans="1:4" x14ac:dyDescent="0.35">
      <c r="A3539" s="1" t="s">
        <v>72</v>
      </c>
      <c r="B3539" s="1" t="s">
        <v>1680</v>
      </c>
      <c r="C3539" s="2">
        <v>6</v>
      </c>
      <c r="D3539" s="1">
        <v>2023</v>
      </c>
    </row>
    <row r="3540" spans="1:4" x14ac:dyDescent="0.35">
      <c r="A3540" s="1" t="s">
        <v>72</v>
      </c>
      <c r="B3540" s="1" t="s">
        <v>1681</v>
      </c>
      <c r="C3540" s="2">
        <v>6</v>
      </c>
      <c r="D3540" s="1">
        <v>2023</v>
      </c>
    </row>
    <row r="3541" spans="1:4" x14ac:dyDescent="0.35">
      <c r="A3541" s="1" t="s">
        <v>72</v>
      </c>
      <c r="B3541" s="1" t="s">
        <v>1681</v>
      </c>
      <c r="C3541" s="2">
        <v>6</v>
      </c>
      <c r="D3541" s="1">
        <v>2024</v>
      </c>
    </row>
    <row r="3542" spans="1:4" x14ac:dyDescent="0.35">
      <c r="A3542" s="1" t="s">
        <v>72</v>
      </c>
      <c r="B3542" s="1" t="s">
        <v>1682</v>
      </c>
      <c r="C3542" s="2">
        <v>5</v>
      </c>
      <c r="D3542" s="1">
        <v>2022</v>
      </c>
    </row>
    <row r="3543" spans="1:4" x14ac:dyDescent="0.35">
      <c r="A3543" s="1" t="s">
        <v>72</v>
      </c>
      <c r="B3543" s="1" t="s">
        <v>1682</v>
      </c>
      <c r="C3543" s="2">
        <v>6</v>
      </c>
      <c r="D3543" s="1">
        <v>2023</v>
      </c>
    </row>
    <row r="3544" spans="1:4" x14ac:dyDescent="0.35">
      <c r="A3544" s="1" t="s">
        <v>72</v>
      </c>
      <c r="B3544" s="1" t="s">
        <v>1683</v>
      </c>
      <c r="C3544" s="2">
        <v>6</v>
      </c>
      <c r="D3544" s="1">
        <v>2023</v>
      </c>
    </row>
    <row r="3545" spans="1:4" x14ac:dyDescent="0.35">
      <c r="A3545" s="1" t="s">
        <v>72</v>
      </c>
      <c r="B3545" s="1" t="s">
        <v>1684</v>
      </c>
      <c r="C3545" s="2">
        <v>6</v>
      </c>
      <c r="D3545" s="1">
        <v>2023</v>
      </c>
    </row>
    <row r="3546" spans="1:4" x14ac:dyDescent="0.35">
      <c r="A3546" s="1" t="s">
        <v>72</v>
      </c>
      <c r="B3546" s="1" t="s">
        <v>1685</v>
      </c>
      <c r="C3546" s="2">
        <v>6</v>
      </c>
      <c r="D3546" s="1">
        <v>2023</v>
      </c>
    </row>
    <row r="3547" spans="1:4" x14ac:dyDescent="0.35">
      <c r="A3547" s="1" t="s">
        <v>72</v>
      </c>
      <c r="B3547" s="1" t="s">
        <v>1688</v>
      </c>
      <c r="C3547" s="2">
        <v>6</v>
      </c>
      <c r="D3547" s="1">
        <v>2023</v>
      </c>
    </row>
    <row r="3548" spans="1:4" x14ac:dyDescent="0.35">
      <c r="A3548" s="1" t="s">
        <v>72</v>
      </c>
      <c r="B3548" s="1" t="s">
        <v>1686</v>
      </c>
      <c r="C3548" s="2">
        <v>6</v>
      </c>
      <c r="D3548" s="1">
        <v>2022</v>
      </c>
    </row>
    <row r="3549" spans="1:4" x14ac:dyDescent="0.35">
      <c r="A3549" s="1" t="s">
        <v>72</v>
      </c>
      <c r="B3549" s="1" t="s">
        <v>1686</v>
      </c>
      <c r="C3549" s="2">
        <v>8</v>
      </c>
      <c r="D3549" s="1">
        <v>2023</v>
      </c>
    </row>
    <row r="3550" spans="1:4" x14ac:dyDescent="0.35">
      <c r="A3550" s="1" t="s">
        <v>72</v>
      </c>
      <c r="B3550" s="1" t="s">
        <v>1687</v>
      </c>
      <c r="C3550" s="2">
        <v>4</v>
      </c>
      <c r="D3550" s="1">
        <v>2022</v>
      </c>
    </row>
    <row r="3551" spans="1:4" x14ac:dyDescent="0.35">
      <c r="A3551" s="1" t="s">
        <v>72</v>
      </c>
      <c r="B3551" s="1" t="s">
        <v>1687</v>
      </c>
      <c r="C3551" s="2">
        <v>6</v>
      </c>
      <c r="D3551" s="1">
        <v>2023</v>
      </c>
    </row>
    <row r="3552" spans="1:4" x14ac:dyDescent="0.35">
      <c r="A3552" s="1" t="s">
        <v>72</v>
      </c>
      <c r="B3552" s="1" t="s">
        <v>1678</v>
      </c>
      <c r="C3552" s="2">
        <v>4</v>
      </c>
      <c r="D3552" s="1">
        <v>2022</v>
      </c>
    </row>
    <row r="3553" spans="1:4" x14ac:dyDescent="0.35">
      <c r="A3553" s="1" t="s">
        <v>72</v>
      </c>
      <c r="B3553" s="1" t="s">
        <v>1682</v>
      </c>
      <c r="C3553" s="2">
        <v>3</v>
      </c>
      <c r="D3553" s="1">
        <v>2022</v>
      </c>
    </row>
    <row r="3554" spans="1:4" x14ac:dyDescent="0.35">
      <c r="A3554" s="1" t="s">
        <v>72</v>
      </c>
      <c r="B3554" s="1" t="s">
        <v>1688</v>
      </c>
      <c r="C3554" s="2">
        <v>3</v>
      </c>
      <c r="D3554" s="1">
        <v>2022</v>
      </c>
    </row>
    <row r="3555" spans="1:4" x14ac:dyDescent="0.35">
      <c r="A3555" s="1" t="s">
        <v>72</v>
      </c>
      <c r="B3555" s="1" t="s">
        <v>1686</v>
      </c>
      <c r="C3555" s="2">
        <v>5</v>
      </c>
      <c r="D3555" s="1">
        <v>2022</v>
      </c>
    </row>
    <row r="3556" spans="1:4" x14ac:dyDescent="0.35">
      <c r="A3556" s="1" t="s">
        <v>72</v>
      </c>
      <c r="B3556" s="1" t="s">
        <v>1687</v>
      </c>
      <c r="C3556" s="2">
        <v>8</v>
      </c>
      <c r="D3556" s="1">
        <v>2022</v>
      </c>
    </row>
    <row r="3557" spans="1:4" x14ac:dyDescent="0.35">
      <c r="A3557" s="1" t="s">
        <v>72</v>
      </c>
      <c r="B3557" s="1" t="s">
        <v>1677</v>
      </c>
      <c r="C3557" s="2">
        <v>4</v>
      </c>
      <c r="D3557" s="1">
        <v>2023</v>
      </c>
    </row>
    <row r="3558" spans="1:4" x14ac:dyDescent="0.35">
      <c r="A3558" s="1" t="s">
        <v>72</v>
      </c>
      <c r="B3558" s="1" t="s">
        <v>1678</v>
      </c>
      <c r="C3558" s="2">
        <v>4</v>
      </c>
      <c r="D3558" s="1">
        <v>2023</v>
      </c>
    </row>
    <row r="3559" spans="1:4" x14ac:dyDescent="0.35">
      <c r="A3559" s="1" t="s">
        <v>72</v>
      </c>
      <c r="B3559" s="1" t="s">
        <v>1679</v>
      </c>
      <c r="C3559" s="2">
        <v>1</v>
      </c>
      <c r="D3559" s="1">
        <v>2023</v>
      </c>
    </row>
    <row r="3560" spans="1:4" x14ac:dyDescent="0.35">
      <c r="A3560" s="1" t="s">
        <v>72</v>
      </c>
      <c r="B3560" s="1" t="s">
        <v>1680</v>
      </c>
      <c r="C3560" s="2">
        <v>4</v>
      </c>
      <c r="D3560" s="1">
        <v>2023</v>
      </c>
    </row>
    <row r="3561" spans="1:4" x14ac:dyDescent="0.35">
      <c r="A3561" s="1" t="s">
        <v>72</v>
      </c>
      <c r="B3561" s="1" t="s">
        <v>1681</v>
      </c>
      <c r="C3561" s="2">
        <v>7</v>
      </c>
      <c r="D3561" s="1">
        <v>2023</v>
      </c>
    </row>
    <row r="3562" spans="1:4" x14ac:dyDescent="0.35">
      <c r="A3562" s="1" t="s">
        <v>72</v>
      </c>
      <c r="B3562" s="1" t="s">
        <v>1681</v>
      </c>
      <c r="C3562" s="2">
        <v>1</v>
      </c>
      <c r="D3562" s="1">
        <v>2024</v>
      </c>
    </row>
    <row r="3563" spans="1:4" x14ac:dyDescent="0.35">
      <c r="A3563" s="1" t="s">
        <v>72</v>
      </c>
      <c r="B3563" s="1" t="s">
        <v>1682</v>
      </c>
      <c r="C3563" s="2">
        <v>4</v>
      </c>
      <c r="D3563" s="1">
        <v>2023</v>
      </c>
    </row>
    <row r="3564" spans="1:4" x14ac:dyDescent="0.35">
      <c r="A3564" s="1" t="s">
        <v>72</v>
      </c>
      <c r="B3564" s="1" t="s">
        <v>1683</v>
      </c>
      <c r="C3564" s="2">
        <v>4</v>
      </c>
      <c r="D3564" s="1">
        <v>2023</v>
      </c>
    </row>
    <row r="3565" spans="1:4" x14ac:dyDescent="0.35">
      <c r="A3565" s="1" t="s">
        <v>72</v>
      </c>
      <c r="B3565" s="1" t="s">
        <v>1684</v>
      </c>
      <c r="C3565" s="2">
        <v>4</v>
      </c>
      <c r="D3565" s="1">
        <v>2023</v>
      </c>
    </row>
    <row r="3566" spans="1:4" x14ac:dyDescent="0.35">
      <c r="A3566" s="1" t="s">
        <v>72</v>
      </c>
      <c r="B3566" s="1" t="s">
        <v>1685</v>
      </c>
      <c r="C3566" s="2">
        <v>4</v>
      </c>
      <c r="D3566" s="1">
        <v>2023</v>
      </c>
    </row>
    <row r="3567" spans="1:4" x14ac:dyDescent="0.35">
      <c r="A3567" s="1" t="s">
        <v>72</v>
      </c>
      <c r="B3567" s="1" t="s">
        <v>1688</v>
      </c>
      <c r="C3567" s="2">
        <v>4</v>
      </c>
      <c r="D3567" s="1">
        <v>2023</v>
      </c>
    </row>
    <row r="3568" spans="1:4" x14ac:dyDescent="0.35">
      <c r="A3568" s="1" t="s">
        <v>72</v>
      </c>
      <c r="B3568" s="1" t="s">
        <v>1686</v>
      </c>
      <c r="C3568" s="2">
        <v>3</v>
      </c>
      <c r="D3568" s="1">
        <v>2022</v>
      </c>
    </row>
    <row r="3569" spans="1:4" x14ac:dyDescent="0.35">
      <c r="A3569" s="1" t="s">
        <v>72</v>
      </c>
      <c r="B3569" s="1" t="s">
        <v>1686</v>
      </c>
      <c r="C3569" s="2">
        <v>4</v>
      </c>
      <c r="D3569" s="1">
        <v>2023</v>
      </c>
    </row>
    <row r="3570" spans="1:4" x14ac:dyDescent="0.35">
      <c r="A3570" s="1" t="s">
        <v>72</v>
      </c>
      <c r="B3570" s="1" t="s">
        <v>1687</v>
      </c>
      <c r="C3570" s="2">
        <v>4</v>
      </c>
      <c r="D3570" s="1">
        <v>2023</v>
      </c>
    </row>
    <row r="3571" spans="1:4" x14ac:dyDescent="0.35">
      <c r="A3571" s="1" t="s">
        <v>72</v>
      </c>
      <c r="B3571" s="1" t="s">
        <v>1677</v>
      </c>
      <c r="C3571" s="2">
        <v>1</v>
      </c>
      <c r="D3571" s="1">
        <v>2023</v>
      </c>
    </row>
    <row r="3572" spans="1:4" x14ac:dyDescent="0.35">
      <c r="A3572" s="1" t="s">
        <v>72</v>
      </c>
      <c r="B3572" s="1" t="s">
        <v>1678</v>
      </c>
      <c r="C3572" s="2">
        <v>1</v>
      </c>
      <c r="D3572" s="1">
        <v>2023</v>
      </c>
    </row>
    <row r="3573" spans="1:4" x14ac:dyDescent="0.35">
      <c r="A3573" s="1" t="s">
        <v>72</v>
      </c>
      <c r="B3573" s="1" t="s">
        <v>1680</v>
      </c>
      <c r="C3573" s="2">
        <v>1</v>
      </c>
      <c r="D3573" s="1">
        <v>2023</v>
      </c>
    </row>
    <row r="3574" spans="1:4" x14ac:dyDescent="0.35">
      <c r="A3574" s="1" t="s">
        <v>72</v>
      </c>
      <c r="B3574" s="1" t="s">
        <v>1681</v>
      </c>
      <c r="C3574" s="2">
        <v>1</v>
      </c>
      <c r="D3574" s="1">
        <v>2023</v>
      </c>
    </row>
    <row r="3575" spans="1:4" x14ac:dyDescent="0.35">
      <c r="A3575" s="1" t="s">
        <v>72</v>
      </c>
      <c r="B3575" s="1" t="s">
        <v>1681</v>
      </c>
      <c r="C3575" s="2">
        <v>1</v>
      </c>
      <c r="D3575" s="1">
        <v>2024</v>
      </c>
    </row>
    <row r="3576" spans="1:4" x14ac:dyDescent="0.35">
      <c r="A3576" s="1" t="s">
        <v>72</v>
      </c>
      <c r="B3576" s="1" t="s">
        <v>1683</v>
      </c>
      <c r="C3576" s="2">
        <v>1</v>
      </c>
      <c r="D3576" s="1">
        <v>2023</v>
      </c>
    </row>
    <row r="3577" spans="1:4" x14ac:dyDescent="0.35">
      <c r="A3577" s="1" t="s">
        <v>72</v>
      </c>
      <c r="B3577" s="1" t="s">
        <v>1685</v>
      </c>
      <c r="C3577" s="2">
        <v>1</v>
      </c>
      <c r="D3577" s="1">
        <v>2023</v>
      </c>
    </row>
    <row r="3578" spans="1:4" x14ac:dyDescent="0.35">
      <c r="A3578" s="1" t="s">
        <v>72</v>
      </c>
      <c r="B3578" s="1" t="s">
        <v>1688</v>
      </c>
      <c r="C3578" s="2">
        <v>1</v>
      </c>
      <c r="D3578" s="1">
        <v>2023</v>
      </c>
    </row>
    <row r="3579" spans="1:4" x14ac:dyDescent="0.35">
      <c r="A3579" s="1" t="s">
        <v>72</v>
      </c>
      <c r="B3579" s="1" t="s">
        <v>1686</v>
      </c>
      <c r="C3579" s="2">
        <v>1</v>
      </c>
      <c r="D3579" s="1">
        <v>2023</v>
      </c>
    </row>
    <row r="3580" spans="1:4" x14ac:dyDescent="0.35">
      <c r="A3580" s="1" t="s">
        <v>72</v>
      </c>
      <c r="B3580" s="1" t="s">
        <v>1687</v>
      </c>
      <c r="C3580" s="2">
        <v>1</v>
      </c>
      <c r="D3580" s="1">
        <v>2022</v>
      </c>
    </row>
    <row r="3581" spans="1:4" x14ac:dyDescent="0.35">
      <c r="A3581" s="1" t="s">
        <v>72</v>
      </c>
      <c r="B3581" s="1" t="s">
        <v>1687</v>
      </c>
      <c r="C3581" s="2">
        <v>1</v>
      </c>
      <c r="D3581" s="1">
        <v>2023</v>
      </c>
    </row>
    <row r="3582" spans="1:4" x14ac:dyDescent="0.35">
      <c r="A3582" s="1" t="s">
        <v>72</v>
      </c>
      <c r="B3582" s="1" t="s">
        <v>1677</v>
      </c>
      <c r="C3582" s="2">
        <v>10</v>
      </c>
      <c r="D3582" s="1">
        <v>2023</v>
      </c>
    </row>
    <row r="3583" spans="1:4" x14ac:dyDescent="0.35">
      <c r="A3583" s="1" t="s">
        <v>72</v>
      </c>
      <c r="B3583" s="1" t="s">
        <v>1678</v>
      </c>
      <c r="C3583" s="2">
        <v>12</v>
      </c>
      <c r="D3583" s="1">
        <v>2022</v>
      </c>
    </row>
    <row r="3584" spans="1:4" x14ac:dyDescent="0.35">
      <c r="A3584" s="1" t="s">
        <v>72</v>
      </c>
      <c r="B3584" s="1" t="s">
        <v>1678</v>
      </c>
      <c r="C3584" s="2">
        <v>10</v>
      </c>
      <c r="D3584" s="1">
        <v>2023</v>
      </c>
    </row>
    <row r="3585" spans="1:4" x14ac:dyDescent="0.35">
      <c r="A3585" s="1" t="s">
        <v>72</v>
      </c>
      <c r="B3585" s="1" t="s">
        <v>1679</v>
      </c>
      <c r="C3585" s="2">
        <v>6</v>
      </c>
      <c r="D3585" s="1">
        <v>2022</v>
      </c>
    </row>
    <row r="3586" spans="1:4" x14ac:dyDescent="0.35">
      <c r="A3586" s="1" t="s">
        <v>72</v>
      </c>
      <c r="B3586" s="1" t="s">
        <v>1679</v>
      </c>
      <c r="C3586" s="2">
        <v>10</v>
      </c>
      <c r="D3586" s="1">
        <v>2023</v>
      </c>
    </row>
    <row r="3587" spans="1:4" x14ac:dyDescent="0.35">
      <c r="A3587" s="1" t="s">
        <v>72</v>
      </c>
      <c r="B3587" s="1" t="s">
        <v>1680</v>
      </c>
      <c r="C3587" s="2">
        <v>8</v>
      </c>
      <c r="D3587" s="1">
        <v>2023</v>
      </c>
    </row>
    <row r="3588" spans="1:4" x14ac:dyDescent="0.35">
      <c r="A3588" s="1" t="s">
        <v>72</v>
      </c>
      <c r="B3588" s="1" t="s">
        <v>1681</v>
      </c>
      <c r="C3588" s="2">
        <v>12</v>
      </c>
      <c r="D3588" s="1">
        <v>2023</v>
      </c>
    </row>
    <row r="3589" spans="1:4" x14ac:dyDescent="0.35">
      <c r="A3589" s="1" t="s">
        <v>72</v>
      </c>
      <c r="B3589" s="1" t="s">
        <v>1681</v>
      </c>
      <c r="C3589" s="2">
        <v>10</v>
      </c>
      <c r="D3589" s="1">
        <v>2024</v>
      </c>
    </row>
    <row r="3590" spans="1:4" x14ac:dyDescent="0.35">
      <c r="A3590" s="1" t="s">
        <v>72</v>
      </c>
      <c r="B3590" s="1" t="s">
        <v>1682</v>
      </c>
      <c r="C3590" s="2">
        <v>8</v>
      </c>
      <c r="D3590" s="1">
        <v>2022</v>
      </c>
    </row>
    <row r="3591" spans="1:4" x14ac:dyDescent="0.35">
      <c r="A3591" s="1" t="s">
        <v>72</v>
      </c>
      <c r="B3591" s="1" t="s">
        <v>1682</v>
      </c>
      <c r="C3591" s="2">
        <v>10</v>
      </c>
      <c r="D3591" s="1">
        <v>2023</v>
      </c>
    </row>
    <row r="3592" spans="1:4" x14ac:dyDescent="0.35">
      <c r="A3592" s="1" t="s">
        <v>72</v>
      </c>
      <c r="B3592" s="1" t="s">
        <v>1683</v>
      </c>
      <c r="C3592" s="2">
        <v>10</v>
      </c>
      <c r="D3592" s="1">
        <v>2023</v>
      </c>
    </row>
    <row r="3593" spans="1:4" x14ac:dyDescent="0.35">
      <c r="A3593" s="1" t="s">
        <v>72</v>
      </c>
      <c r="B3593" s="1" t="s">
        <v>1684</v>
      </c>
      <c r="C3593" s="2">
        <v>17</v>
      </c>
      <c r="D3593" s="1">
        <v>2023</v>
      </c>
    </row>
    <row r="3594" spans="1:4" x14ac:dyDescent="0.35">
      <c r="A3594" s="1" t="s">
        <v>72</v>
      </c>
      <c r="B3594" s="1" t="s">
        <v>1685</v>
      </c>
      <c r="C3594" s="2">
        <v>10</v>
      </c>
      <c r="D3594" s="1">
        <v>2023</v>
      </c>
    </row>
    <row r="3595" spans="1:4" x14ac:dyDescent="0.35">
      <c r="A3595" s="1" t="s">
        <v>72</v>
      </c>
      <c r="B3595" s="1" t="s">
        <v>1688</v>
      </c>
      <c r="C3595" s="2">
        <v>12</v>
      </c>
      <c r="D3595" s="1">
        <v>2022</v>
      </c>
    </row>
    <row r="3596" spans="1:4" x14ac:dyDescent="0.35">
      <c r="A3596" s="1" t="s">
        <v>72</v>
      </c>
      <c r="B3596" s="1" t="s">
        <v>1688</v>
      </c>
      <c r="C3596" s="2">
        <v>10</v>
      </c>
      <c r="D3596" s="1">
        <v>2023</v>
      </c>
    </row>
    <row r="3597" spans="1:4" x14ac:dyDescent="0.35">
      <c r="A3597" s="1" t="s">
        <v>72</v>
      </c>
      <c r="B3597" s="1" t="s">
        <v>1686</v>
      </c>
      <c r="C3597" s="2">
        <v>8</v>
      </c>
      <c r="D3597" s="1">
        <v>2022</v>
      </c>
    </row>
    <row r="3598" spans="1:4" x14ac:dyDescent="0.35">
      <c r="A3598" s="1" t="s">
        <v>72</v>
      </c>
      <c r="B3598" s="1" t="s">
        <v>1686</v>
      </c>
      <c r="C3598" s="2">
        <v>10</v>
      </c>
      <c r="D3598" s="1">
        <v>2023</v>
      </c>
    </row>
    <row r="3599" spans="1:4" x14ac:dyDescent="0.35">
      <c r="A3599" s="1" t="s">
        <v>72</v>
      </c>
      <c r="B3599" s="1" t="s">
        <v>1687</v>
      </c>
      <c r="C3599" s="2">
        <v>18</v>
      </c>
      <c r="D3599" s="1">
        <v>2022</v>
      </c>
    </row>
    <row r="3600" spans="1:4" x14ac:dyDescent="0.35">
      <c r="A3600" s="1" t="s">
        <v>72</v>
      </c>
      <c r="B3600" s="1" t="s">
        <v>1687</v>
      </c>
      <c r="C3600" s="2">
        <v>10</v>
      </c>
      <c r="D3600" s="1">
        <v>2023</v>
      </c>
    </row>
    <row r="3601" spans="1:4" x14ac:dyDescent="0.35">
      <c r="A3601" s="1" t="s">
        <v>72</v>
      </c>
      <c r="B3601" s="1" t="s">
        <v>1677</v>
      </c>
      <c r="C3601" s="2">
        <v>1</v>
      </c>
      <c r="D3601" s="1">
        <v>2023</v>
      </c>
    </row>
    <row r="3602" spans="1:4" x14ac:dyDescent="0.35">
      <c r="A3602" s="1" t="s">
        <v>72</v>
      </c>
      <c r="B3602" s="1" t="s">
        <v>1677</v>
      </c>
      <c r="C3602" s="2">
        <v>18</v>
      </c>
      <c r="D3602" s="1">
        <v>2023</v>
      </c>
    </row>
    <row r="3603" spans="1:4" x14ac:dyDescent="0.35">
      <c r="A3603" s="1" t="s">
        <v>72</v>
      </c>
      <c r="B3603" s="1" t="s">
        <v>1678</v>
      </c>
      <c r="C3603" s="2">
        <v>1</v>
      </c>
      <c r="D3603" s="1">
        <v>2023</v>
      </c>
    </row>
    <row r="3604" spans="1:4" x14ac:dyDescent="0.35">
      <c r="A3604" s="1" t="s">
        <v>72</v>
      </c>
      <c r="B3604" s="1" t="s">
        <v>1678</v>
      </c>
      <c r="C3604" s="2">
        <v>10</v>
      </c>
      <c r="D3604" s="1">
        <v>2022</v>
      </c>
    </row>
    <row r="3605" spans="1:4" x14ac:dyDescent="0.35">
      <c r="A3605" s="1" t="s">
        <v>72</v>
      </c>
      <c r="B3605" s="1" t="s">
        <v>1678</v>
      </c>
      <c r="C3605" s="2">
        <v>11</v>
      </c>
      <c r="D3605" s="1">
        <v>2023</v>
      </c>
    </row>
    <row r="3606" spans="1:4" x14ac:dyDescent="0.35">
      <c r="A3606" s="1" t="s">
        <v>72</v>
      </c>
      <c r="B3606" s="1" t="s">
        <v>1679</v>
      </c>
      <c r="C3606" s="2">
        <v>1</v>
      </c>
      <c r="D3606" s="1">
        <v>2023</v>
      </c>
    </row>
    <row r="3607" spans="1:4" x14ac:dyDescent="0.35">
      <c r="A3607" s="1" t="s">
        <v>72</v>
      </c>
      <c r="B3607" s="1" t="s">
        <v>1679</v>
      </c>
      <c r="C3607" s="2">
        <v>10</v>
      </c>
      <c r="D3607" s="1">
        <v>2022</v>
      </c>
    </row>
    <row r="3608" spans="1:4" x14ac:dyDescent="0.35">
      <c r="A3608" s="1" t="s">
        <v>72</v>
      </c>
      <c r="B3608" s="1" t="s">
        <v>1679</v>
      </c>
      <c r="C3608" s="2">
        <v>7</v>
      </c>
      <c r="D3608" s="1">
        <v>2023</v>
      </c>
    </row>
    <row r="3609" spans="1:4" x14ac:dyDescent="0.35">
      <c r="A3609" s="1" t="s">
        <v>72</v>
      </c>
      <c r="B3609" s="1" t="s">
        <v>1680</v>
      </c>
      <c r="C3609" s="2">
        <v>2</v>
      </c>
      <c r="D3609" s="1">
        <v>2023</v>
      </c>
    </row>
    <row r="3610" spans="1:4" x14ac:dyDescent="0.35">
      <c r="A3610" s="1" t="s">
        <v>72</v>
      </c>
      <c r="B3610" s="1" t="s">
        <v>1680</v>
      </c>
      <c r="C3610" s="2">
        <v>14</v>
      </c>
      <c r="D3610" s="1">
        <v>2023</v>
      </c>
    </row>
    <row r="3611" spans="1:4" x14ac:dyDescent="0.35">
      <c r="A3611" s="1" t="s">
        <v>72</v>
      </c>
      <c r="B3611" s="1" t="s">
        <v>1681</v>
      </c>
      <c r="C3611" s="2">
        <v>2</v>
      </c>
      <c r="D3611" s="1">
        <v>2024</v>
      </c>
    </row>
    <row r="3612" spans="1:4" x14ac:dyDescent="0.35">
      <c r="A3612" s="1" t="s">
        <v>72</v>
      </c>
      <c r="B3612" s="1" t="s">
        <v>1681</v>
      </c>
      <c r="C3612" s="2">
        <v>10</v>
      </c>
      <c r="D3612" s="1">
        <v>2023</v>
      </c>
    </row>
    <row r="3613" spans="1:4" x14ac:dyDescent="0.35">
      <c r="A3613" s="1" t="s">
        <v>72</v>
      </c>
      <c r="B3613" s="1" t="s">
        <v>1681</v>
      </c>
      <c r="C3613" s="2">
        <v>14</v>
      </c>
      <c r="D3613" s="1">
        <v>2024</v>
      </c>
    </row>
    <row r="3614" spans="1:4" x14ac:dyDescent="0.35">
      <c r="A3614" s="1" t="s">
        <v>72</v>
      </c>
      <c r="B3614" s="1" t="s">
        <v>1682</v>
      </c>
      <c r="C3614" s="2">
        <v>1</v>
      </c>
      <c r="D3614" s="1">
        <v>2023</v>
      </c>
    </row>
    <row r="3615" spans="1:4" x14ac:dyDescent="0.35">
      <c r="A3615" s="1" t="s">
        <v>72</v>
      </c>
      <c r="B3615" s="1" t="s">
        <v>1682</v>
      </c>
      <c r="C3615" s="2">
        <v>10</v>
      </c>
      <c r="D3615" s="1">
        <v>2022</v>
      </c>
    </row>
    <row r="3616" spans="1:4" x14ac:dyDescent="0.35">
      <c r="A3616" s="1" t="s">
        <v>72</v>
      </c>
      <c r="B3616" s="1" t="s">
        <v>1682</v>
      </c>
      <c r="C3616" s="2">
        <v>7</v>
      </c>
      <c r="D3616" s="1">
        <v>2023</v>
      </c>
    </row>
    <row r="3617" spans="1:4" x14ac:dyDescent="0.35">
      <c r="A3617" s="1" t="s">
        <v>72</v>
      </c>
      <c r="B3617" s="1" t="s">
        <v>1683</v>
      </c>
      <c r="C3617" s="2">
        <v>1</v>
      </c>
      <c r="D3617" s="1">
        <v>2023</v>
      </c>
    </row>
    <row r="3618" spans="1:4" x14ac:dyDescent="0.35">
      <c r="A3618" s="1" t="s">
        <v>72</v>
      </c>
      <c r="B3618" s="1" t="s">
        <v>1683</v>
      </c>
      <c r="C3618" s="2">
        <v>15</v>
      </c>
      <c r="D3618" s="1">
        <v>2023</v>
      </c>
    </row>
    <row r="3619" spans="1:4" x14ac:dyDescent="0.35">
      <c r="A3619" s="1" t="s">
        <v>72</v>
      </c>
      <c r="B3619" s="1" t="s">
        <v>1684</v>
      </c>
      <c r="C3619" s="2">
        <v>1</v>
      </c>
      <c r="D3619" s="1">
        <v>2023</v>
      </c>
    </row>
    <row r="3620" spans="1:4" x14ac:dyDescent="0.35">
      <c r="A3620" s="1" t="s">
        <v>72</v>
      </c>
      <c r="B3620" s="1" t="s">
        <v>1684</v>
      </c>
      <c r="C3620" s="2">
        <v>9</v>
      </c>
      <c r="D3620" s="1">
        <v>2023</v>
      </c>
    </row>
    <row r="3621" spans="1:4" x14ac:dyDescent="0.35">
      <c r="A3621" s="1" t="s">
        <v>72</v>
      </c>
      <c r="B3621" s="1" t="s">
        <v>1685</v>
      </c>
      <c r="C3621" s="2">
        <v>1</v>
      </c>
      <c r="D3621" s="1">
        <v>2023</v>
      </c>
    </row>
    <row r="3622" spans="1:4" x14ac:dyDescent="0.35">
      <c r="A3622" s="1" t="s">
        <v>72</v>
      </c>
      <c r="B3622" s="1" t="s">
        <v>1685</v>
      </c>
      <c r="C3622" s="2">
        <v>7</v>
      </c>
      <c r="D3622" s="1">
        <v>2023</v>
      </c>
    </row>
    <row r="3623" spans="1:4" x14ac:dyDescent="0.35">
      <c r="A3623" s="1" t="s">
        <v>72</v>
      </c>
      <c r="B3623" s="1" t="s">
        <v>1688</v>
      </c>
      <c r="C3623" s="2">
        <v>1</v>
      </c>
      <c r="D3623" s="1">
        <v>2023</v>
      </c>
    </row>
    <row r="3624" spans="1:4" x14ac:dyDescent="0.35">
      <c r="A3624" s="1" t="s">
        <v>72</v>
      </c>
      <c r="B3624" s="1" t="s">
        <v>1688</v>
      </c>
      <c r="C3624" s="2">
        <v>10</v>
      </c>
      <c r="D3624" s="1">
        <v>2022</v>
      </c>
    </row>
    <row r="3625" spans="1:4" x14ac:dyDescent="0.35">
      <c r="A3625" s="1" t="s">
        <v>72</v>
      </c>
      <c r="B3625" s="1" t="s">
        <v>1688</v>
      </c>
      <c r="C3625" s="2">
        <v>11</v>
      </c>
      <c r="D3625" s="1">
        <v>2023</v>
      </c>
    </row>
    <row r="3626" spans="1:4" x14ac:dyDescent="0.35">
      <c r="A3626" s="1" t="s">
        <v>72</v>
      </c>
      <c r="B3626" s="1" t="s">
        <v>1686</v>
      </c>
      <c r="C3626" s="2">
        <v>1</v>
      </c>
      <c r="D3626" s="1">
        <v>2023</v>
      </c>
    </row>
    <row r="3627" spans="1:4" x14ac:dyDescent="0.35">
      <c r="A3627" s="1" t="s">
        <v>72</v>
      </c>
      <c r="B3627" s="1" t="s">
        <v>1686</v>
      </c>
      <c r="C3627" s="2">
        <v>10</v>
      </c>
      <c r="D3627" s="1">
        <v>2022</v>
      </c>
    </row>
    <row r="3628" spans="1:4" x14ac:dyDescent="0.35">
      <c r="A3628" s="1" t="s">
        <v>72</v>
      </c>
      <c r="B3628" s="1" t="s">
        <v>1686</v>
      </c>
      <c r="C3628" s="2">
        <v>7</v>
      </c>
      <c r="D3628" s="1">
        <v>2023</v>
      </c>
    </row>
    <row r="3629" spans="1:4" x14ac:dyDescent="0.35">
      <c r="A3629" s="1" t="s">
        <v>72</v>
      </c>
      <c r="B3629" s="1" t="s">
        <v>1687</v>
      </c>
      <c r="C3629" s="2">
        <v>1</v>
      </c>
      <c r="D3629" s="1">
        <v>2023</v>
      </c>
    </row>
    <row r="3630" spans="1:4" x14ac:dyDescent="0.35">
      <c r="A3630" s="1" t="s">
        <v>72</v>
      </c>
      <c r="B3630" s="1" t="s">
        <v>1687</v>
      </c>
      <c r="C3630" s="2">
        <v>10</v>
      </c>
      <c r="D3630" s="1">
        <v>2022</v>
      </c>
    </row>
    <row r="3631" spans="1:4" x14ac:dyDescent="0.35">
      <c r="A3631" s="1" t="s">
        <v>72</v>
      </c>
      <c r="B3631" s="1" t="s">
        <v>1687</v>
      </c>
      <c r="C3631" s="2">
        <v>7</v>
      </c>
      <c r="D3631" s="1">
        <v>2023</v>
      </c>
    </row>
    <row r="3632" spans="1:4" x14ac:dyDescent="0.35">
      <c r="A3632" s="1" t="s">
        <v>72</v>
      </c>
      <c r="B3632" s="1" t="s">
        <v>1677</v>
      </c>
      <c r="C3632" s="2">
        <v>6</v>
      </c>
      <c r="D3632" s="1">
        <v>2023</v>
      </c>
    </row>
    <row r="3633" spans="1:4" x14ac:dyDescent="0.35">
      <c r="A3633" s="1" t="s">
        <v>72</v>
      </c>
      <c r="B3633" s="1" t="s">
        <v>1678</v>
      </c>
      <c r="C3633" s="2">
        <v>6</v>
      </c>
      <c r="D3633" s="1">
        <v>2022</v>
      </c>
    </row>
    <row r="3634" spans="1:4" x14ac:dyDescent="0.35">
      <c r="A3634" s="1" t="s">
        <v>72</v>
      </c>
      <c r="B3634" s="1" t="s">
        <v>1678</v>
      </c>
      <c r="C3634" s="2">
        <v>6</v>
      </c>
      <c r="D3634" s="1">
        <v>2023</v>
      </c>
    </row>
    <row r="3635" spans="1:4" x14ac:dyDescent="0.35">
      <c r="A3635" s="1" t="s">
        <v>72</v>
      </c>
      <c r="B3635" s="1" t="s">
        <v>1679</v>
      </c>
      <c r="C3635" s="2">
        <v>0</v>
      </c>
      <c r="D3635" s="1">
        <v>2022</v>
      </c>
    </row>
    <row r="3636" spans="1:4" x14ac:dyDescent="0.35">
      <c r="A3636" s="1" t="s">
        <v>72</v>
      </c>
      <c r="B3636" s="1" t="s">
        <v>1680</v>
      </c>
      <c r="C3636" s="2">
        <v>6</v>
      </c>
      <c r="D3636" s="1">
        <v>2023</v>
      </c>
    </row>
    <row r="3637" spans="1:4" x14ac:dyDescent="0.35">
      <c r="A3637" s="1" t="s">
        <v>72</v>
      </c>
      <c r="B3637" s="1" t="s">
        <v>1681</v>
      </c>
      <c r="C3637" s="2">
        <v>10</v>
      </c>
      <c r="D3637" s="1">
        <v>2023</v>
      </c>
    </row>
    <row r="3638" spans="1:4" x14ac:dyDescent="0.35">
      <c r="A3638" s="1" t="s">
        <v>72</v>
      </c>
      <c r="B3638" s="1" t="s">
        <v>1681</v>
      </c>
      <c r="C3638" s="2">
        <v>10</v>
      </c>
      <c r="D3638" s="1">
        <v>2024</v>
      </c>
    </row>
    <row r="3639" spans="1:4" x14ac:dyDescent="0.35">
      <c r="A3639" s="1" t="s">
        <v>72</v>
      </c>
      <c r="B3639" s="1" t="s">
        <v>1682</v>
      </c>
      <c r="C3639" s="2">
        <v>6</v>
      </c>
      <c r="D3639" s="1">
        <v>2022</v>
      </c>
    </row>
    <row r="3640" spans="1:4" x14ac:dyDescent="0.35">
      <c r="A3640" s="1" t="s">
        <v>72</v>
      </c>
      <c r="B3640" s="1" t="s">
        <v>1682</v>
      </c>
      <c r="C3640" s="2">
        <v>6</v>
      </c>
      <c r="D3640" s="1">
        <v>2023</v>
      </c>
    </row>
    <row r="3641" spans="1:4" x14ac:dyDescent="0.35">
      <c r="A3641" s="1" t="s">
        <v>72</v>
      </c>
      <c r="B3641" s="1" t="s">
        <v>1684</v>
      </c>
      <c r="C3641" s="2">
        <v>6</v>
      </c>
      <c r="D3641" s="1">
        <v>2023</v>
      </c>
    </row>
    <row r="3642" spans="1:4" x14ac:dyDescent="0.35">
      <c r="A3642" s="1" t="s">
        <v>72</v>
      </c>
      <c r="B3642" s="1" t="s">
        <v>1685</v>
      </c>
      <c r="C3642" s="2">
        <v>0</v>
      </c>
      <c r="D3642" s="1">
        <v>2023</v>
      </c>
    </row>
    <row r="3643" spans="1:4" x14ac:dyDescent="0.35">
      <c r="A3643" s="1" t="s">
        <v>72</v>
      </c>
      <c r="B3643" s="1" t="s">
        <v>1688</v>
      </c>
      <c r="C3643" s="2">
        <v>7</v>
      </c>
      <c r="D3643" s="1">
        <v>2022</v>
      </c>
    </row>
    <row r="3644" spans="1:4" x14ac:dyDescent="0.35">
      <c r="A3644" s="1" t="s">
        <v>72</v>
      </c>
      <c r="B3644" s="1" t="s">
        <v>1688</v>
      </c>
      <c r="C3644" s="2">
        <v>6</v>
      </c>
      <c r="D3644" s="1">
        <v>2023</v>
      </c>
    </row>
    <row r="3645" spans="1:4" x14ac:dyDescent="0.35">
      <c r="A3645" s="1" t="s">
        <v>72</v>
      </c>
      <c r="B3645" s="1" t="s">
        <v>1686</v>
      </c>
      <c r="C3645" s="2">
        <v>6</v>
      </c>
      <c r="D3645" s="1">
        <v>2022</v>
      </c>
    </row>
    <row r="3646" spans="1:4" x14ac:dyDescent="0.35">
      <c r="A3646" s="1" t="s">
        <v>72</v>
      </c>
      <c r="B3646" s="1" t="s">
        <v>1686</v>
      </c>
      <c r="C3646" s="2">
        <v>6</v>
      </c>
      <c r="D3646" s="1">
        <v>2023</v>
      </c>
    </row>
    <row r="3647" spans="1:4" x14ac:dyDescent="0.35">
      <c r="A3647" s="1" t="s">
        <v>72</v>
      </c>
      <c r="B3647" s="1" t="s">
        <v>1687</v>
      </c>
      <c r="C3647" s="2">
        <v>8</v>
      </c>
      <c r="D3647" s="1">
        <v>2022</v>
      </c>
    </row>
    <row r="3648" spans="1:4" x14ac:dyDescent="0.35">
      <c r="A3648" s="1" t="s">
        <v>72</v>
      </c>
      <c r="B3648" s="1" t="s">
        <v>1687</v>
      </c>
      <c r="C3648" s="2">
        <v>6</v>
      </c>
      <c r="D3648" s="1">
        <v>2023</v>
      </c>
    </row>
    <row r="3649" spans="1:4" x14ac:dyDescent="0.35">
      <c r="A3649" s="1" t="s">
        <v>72</v>
      </c>
      <c r="B3649" s="1" t="s">
        <v>1677</v>
      </c>
      <c r="C3649" s="2">
        <v>3</v>
      </c>
      <c r="D3649" s="1">
        <v>2023</v>
      </c>
    </row>
    <row r="3650" spans="1:4" x14ac:dyDescent="0.35">
      <c r="A3650" s="1" t="s">
        <v>72</v>
      </c>
      <c r="B3650" s="1" t="s">
        <v>1678</v>
      </c>
      <c r="C3650" s="2">
        <v>3</v>
      </c>
      <c r="D3650" s="1">
        <v>2022</v>
      </c>
    </row>
    <row r="3651" spans="1:4" x14ac:dyDescent="0.35">
      <c r="A3651" s="1" t="s">
        <v>72</v>
      </c>
      <c r="B3651" s="1" t="s">
        <v>1678</v>
      </c>
      <c r="C3651" s="2">
        <v>6</v>
      </c>
      <c r="D3651" s="1">
        <v>2023</v>
      </c>
    </row>
    <row r="3652" spans="1:4" x14ac:dyDescent="0.35">
      <c r="A3652" s="1" t="s">
        <v>72</v>
      </c>
      <c r="B3652" s="1" t="s">
        <v>1679</v>
      </c>
      <c r="C3652" s="2">
        <v>2</v>
      </c>
      <c r="D3652" s="1">
        <v>2022</v>
      </c>
    </row>
    <row r="3653" spans="1:4" x14ac:dyDescent="0.35">
      <c r="A3653" s="1" t="s">
        <v>72</v>
      </c>
      <c r="B3653" s="1" t="s">
        <v>1680</v>
      </c>
      <c r="C3653" s="2">
        <v>6</v>
      </c>
      <c r="D3653" s="1">
        <v>2023</v>
      </c>
    </row>
    <row r="3654" spans="1:4" x14ac:dyDescent="0.35">
      <c r="A3654" s="1" t="s">
        <v>72</v>
      </c>
      <c r="B3654" s="1" t="s">
        <v>1681</v>
      </c>
      <c r="C3654" s="2">
        <v>5</v>
      </c>
      <c r="D3654" s="1">
        <v>2023</v>
      </c>
    </row>
    <row r="3655" spans="1:4" x14ac:dyDescent="0.35">
      <c r="A3655" s="1" t="s">
        <v>72</v>
      </c>
      <c r="B3655" s="1" t="s">
        <v>1681</v>
      </c>
      <c r="C3655" s="2">
        <v>3</v>
      </c>
      <c r="D3655" s="1">
        <v>2024</v>
      </c>
    </row>
    <row r="3656" spans="1:4" x14ac:dyDescent="0.35">
      <c r="A3656" s="1" t="s">
        <v>72</v>
      </c>
      <c r="B3656" s="1" t="s">
        <v>1682</v>
      </c>
      <c r="C3656" s="2">
        <v>4</v>
      </c>
      <c r="D3656" s="1">
        <v>2022</v>
      </c>
    </row>
    <row r="3657" spans="1:4" x14ac:dyDescent="0.35">
      <c r="A3657" s="1" t="s">
        <v>72</v>
      </c>
      <c r="B3657" s="1" t="s">
        <v>1682</v>
      </c>
      <c r="C3657" s="2">
        <v>4</v>
      </c>
      <c r="D3657" s="1">
        <v>2023</v>
      </c>
    </row>
    <row r="3658" spans="1:4" x14ac:dyDescent="0.35">
      <c r="A3658" s="1" t="s">
        <v>72</v>
      </c>
      <c r="B3658" s="1" t="s">
        <v>1685</v>
      </c>
      <c r="C3658" s="2">
        <v>7</v>
      </c>
      <c r="D3658" s="1">
        <v>2023</v>
      </c>
    </row>
    <row r="3659" spans="1:4" x14ac:dyDescent="0.35">
      <c r="A3659" s="1" t="s">
        <v>72</v>
      </c>
      <c r="B3659" s="1" t="s">
        <v>1688</v>
      </c>
      <c r="C3659" s="2">
        <v>4</v>
      </c>
      <c r="D3659" s="1">
        <v>2022</v>
      </c>
    </row>
    <row r="3660" spans="1:4" x14ac:dyDescent="0.35">
      <c r="A3660" s="1" t="s">
        <v>72</v>
      </c>
      <c r="B3660" s="1" t="s">
        <v>1686</v>
      </c>
      <c r="C3660" s="2">
        <v>4</v>
      </c>
      <c r="D3660" s="1">
        <v>2022</v>
      </c>
    </row>
    <row r="3661" spans="1:4" x14ac:dyDescent="0.35">
      <c r="A3661" s="1" t="s">
        <v>72</v>
      </c>
      <c r="B3661" s="1" t="s">
        <v>1686</v>
      </c>
      <c r="C3661" s="2">
        <v>4</v>
      </c>
      <c r="D3661" s="1">
        <v>2023</v>
      </c>
    </row>
    <row r="3662" spans="1:4" x14ac:dyDescent="0.35">
      <c r="A3662" s="1" t="s">
        <v>72</v>
      </c>
      <c r="B3662" s="1" t="s">
        <v>1687</v>
      </c>
      <c r="C3662" s="2">
        <v>3</v>
      </c>
      <c r="D3662" s="1">
        <v>2022</v>
      </c>
    </row>
    <row r="3663" spans="1:4" x14ac:dyDescent="0.35">
      <c r="A3663" s="1" t="s">
        <v>72</v>
      </c>
      <c r="B3663" s="1" t="s">
        <v>1687</v>
      </c>
      <c r="C3663" s="2">
        <v>2</v>
      </c>
      <c r="D3663" s="1">
        <v>2023</v>
      </c>
    </row>
    <row r="3664" spans="1:4" x14ac:dyDescent="0.35">
      <c r="A3664" s="1" t="s">
        <v>72</v>
      </c>
      <c r="B3664" s="1" t="s">
        <v>1677</v>
      </c>
      <c r="C3664" s="2">
        <v>8</v>
      </c>
      <c r="D3664" s="1">
        <v>2023</v>
      </c>
    </row>
    <row r="3665" spans="1:4" x14ac:dyDescent="0.35">
      <c r="A3665" s="1" t="s">
        <v>72</v>
      </c>
      <c r="B3665" s="1" t="s">
        <v>1678</v>
      </c>
      <c r="C3665" s="2">
        <v>5</v>
      </c>
      <c r="D3665" s="1">
        <v>2022</v>
      </c>
    </row>
    <row r="3666" spans="1:4" x14ac:dyDescent="0.35">
      <c r="A3666" s="1" t="s">
        <v>72</v>
      </c>
      <c r="B3666" s="1" t="s">
        <v>1678</v>
      </c>
      <c r="C3666" s="2">
        <v>4</v>
      </c>
      <c r="D3666" s="1">
        <v>2023</v>
      </c>
    </row>
    <row r="3667" spans="1:4" x14ac:dyDescent="0.35">
      <c r="A3667" s="1" t="s">
        <v>72</v>
      </c>
      <c r="B3667" s="1" t="s">
        <v>1679</v>
      </c>
      <c r="C3667" s="2">
        <v>5</v>
      </c>
      <c r="D3667" s="1">
        <v>2022</v>
      </c>
    </row>
    <row r="3668" spans="1:4" x14ac:dyDescent="0.35">
      <c r="A3668" s="1" t="s">
        <v>72</v>
      </c>
      <c r="B3668" s="1" t="s">
        <v>1679</v>
      </c>
      <c r="C3668" s="2">
        <v>4</v>
      </c>
      <c r="D3668" s="1">
        <v>2023</v>
      </c>
    </row>
    <row r="3669" spans="1:4" x14ac:dyDescent="0.35">
      <c r="A3669" s="1" t="s">
        <v>72</v>
      </c>
      <c r="B3669" s="1" t="s">
        <v>1680</v>
      </c>
      <c r="C3669" s="2">
        <v>7</v>
      </c>
      <c r="D3669" s="1">
        <v>2023</v>
      </c>
    </row>
    <row r="3670" spans="1:4" x14ac:dyDescent="0.35">
      <c r="A3670" s="1" t="s">
        <v>72</v>
      </c>
      <c r="B3670" s="1" t="s">
        <v>1681</v>
      </c>
      <c r="C3670" s="2">
        <v>1</v>
      </c>
      <c r="D3670" s="1">
        <v>2023</v>
      </c>
    </row>
    <row r="3671" spans="1:4" x14ac:dyDescent="0.35">
      <c r="A3671" s="1" t="s">
        <v>72</v>
      </c>
      <c r="B3671" s="1" t="s">
        <v>1681</v>
      </c>
      <c r="C3671" s="2">
        <v>7</v>
      </c>
      <c r="D3671" s="1">
        <v>2024</v>
      </c>
    </row>
    <row r="3672" spans="1:4" x14ac:dyDescent="0.35">
      <c r="A3672" s="1" t="s">
        <v>72</v>
      </c>
      <c r="B3672" s="1" t="s">
        <v>1682</v>
      </c>
      <c r="C3672" s="2">
        <v>2</v>
      </c>
      <c r="D3672" s="1">
        <v>2022</v>
      </c>
    </row>
    <row r="3673" spans="1:4" x14ac:dyDescent="0.35">
      <c r="A3673" s="1" t="s">
        <v>72</v>
      </c>
      <c r="B3673" s="1" t="s">
        <v>1682</v>
      </c>
      <c r="C3673" s="2">
        <v>6</v>
      </c>
      <c r="D3673" s="1">
        <v>2023</v>
      </c>
    </row>
    <row r="3674" spans="1:4" x14ac:dyDescent="0.35">
      <c r="A3674" s="1" t="s">
        <v>72</v>
      </c>
      <c r="B3674" s="1" t="s">
        <v>1683</v>
      </c>
      <c r="C3674" s="2">
        <v>5</v>
      </c>
      <c r="D3674" s="1">
        <v>2023</v>
      </c>
    </row>
    <row r="3675" spans="1:4" x14ac:dyDescent="0.35">
      <c r="A3675" s="1" t="s">
        <v>72</v>
      </c>
      <c r="B3675" s="1" t="s">
        <v>1684</v>
      </c>
      <c r="C3675" s="2">
        <v>6</v>
      </c>
      <c r="D3675" s="1">
        <v>2023</v>
      </c>
    </row>
    <row r="3676" spans="1:4" x14ac:dyDescent="0.35">
      <c r="A3676" s="1" t="s">
        <v>72</v>
      </c>
      <c r="B3676" s="1" t="s">
        <v>1685</v>
      </c>
      <c r="C3676" s="2">
        <v>3</v>
      </c>
      <c r="D3676" s="1">
        <v>2023</v>
      </c>
    </row>
    <row r="3677" spans="1:4" x14ac:dyDescent="0.35">
      <c r="A3677" s="1" t="s">
        <v>72</v>
      </c>
      <c r="B3677" s="1" t="s">
        <v>1688</v>
      </c>
      <c r="C3677" s="2">
        <v>3</v>
      </c>
      <c r="D3677" s="1">
        <v>2022</v>
      </c>
    </row>
    <row r="3678" spans="1:4" x14ac:dyDescent="0.35">
      <c r="A3678" s="1" t="s">
        <v>72</v>
      </c>
      <c r="B3678" s="1" t="s">
        <v>1688</v>
      </c>
      <c r="C3678" s="2">
        <v>1</v>
      </c>
      <c r="D3678" s="1">
        <v>2023</v>
      </c>
    </row>
    <row r="3679" spans="1:4" x14ac:dyDescent="0.35">
      <c r="A3679" s="1" t="s">
        <v>72</v>
      </c>
      <c r="B3679" s="1" t="s">
        <v>1688</v>
      </c>
      <c r="C3679" s="2">
        <v>3</v>
      </c>
      <c r="D3679" s="1">
        <v>2023</v>
      </c>
    </row>
    <row r="3680" spans="1:4" x14ac:dyDescent="0.35">
      <c r="A3680" s="1" t="s">
        <v>72</v>
      </c>
      <c r="B3680" s="1" t="s">
        <v>1686</v>
      </c>
      <c r="C3680" s="2">
        <v>4</v>
      </c>
      <c r="D3680" s="1">
        <v>2022</v>
      </c>
    </row>
    <row r="3681" spans="1:4" x14ac:dyDescent="0.35">
      <c r="A3681" s="1" t="s">
        <v>72</v>
      </c>
      <c r="B3681" s="1" t="s">
        <v>1686</v>
      </c>
      <c r="C3681" s="2">
        <v>2</v>
      </c>
      <c r="D3681" s="1">
        <v>2023</v>
      </c>
    </row>
    <row r="3682" spans="1:4" x14ac:dyDescent="0.35">
      <c r="A3682" s="1" t="s">
        <v>72</v>
      </c>
      <c r="B3682" s="1" t="s">
        <v>1687</v>
      </c>
      <c r="C3682" s="2">
        <v>4</v>
      </c>
      <c r="D3682" s="1">
        <v>2022</v>
      </c>
    </row>
    <row r="3683" spans="1:4" x14ac:dyDescent="0.35">
      <c r="A3683" s="1" t="s">
        <v>72</v>
      </c>
      <c r="B3683" s="1" t="s">
        <v>1687</v>
      </c>
      <c r="C3683" s="2">
        <v>5</v>
      </c>
      <c r="D3683" s="1">
        <v>2023</v>
      </c>
    </row>
    <row r="3684" spans="1:4" x14ac:dyDescent="0.35">
      <c r="A3684" s="1" t="s">
        <v>72</v>
      </c>
      <c r="B3684" s="1" t="s">
        <v>1688</v>
      </c>
      <c r="C3684" s="2">
        <v>1</v>
      </c>
      <c r="D3684" s="1">
        <v>2023</v>
      </c>
    </row>
    <row r="3685" spans="1:4" x14ac:dyDescent="0.35">
      <c r="A3685" s="1" t="s">
        <v>72</v>
      </c>
      <c r="B3685" s="1" t="s">
        <v>1677</v>
      </c>
      <c r="C3685" s="2">
        <v>3</v>
      </c>
      <c r="D3685" s="1">
        <v>2023</v>
      </c>
    </row>
    <row r="3686" spans="1:4" x14ac:dyDescent="0.35">
      <c r="A3686" s="1" t="s">
        <v>72</v>
      </c>
      <c r="B3686" s="1" t="s">
        <v>1678</v>
      </c>
      <c r="C3686" s="2">
        <v>0</v>
      </c>
      <c r="D3686" s="1">
        <v>2023</v>
      </c>
    </row>
    <row r="3687" spans="1:4" x14ac:dyDescent="0.35">
      <c r="A3687" s="1" t="s">
        <v>72</v>
      </c>
      <c r="B3687" s="1" t="s">
        <v>1679</v>
      </c>
      <c r="C3687" s="2">
        <v>2</v>
      </c>
      <c r="D3687" s="1">
        <v>2023</v>
      </c>
    </row>
    <row r="3688" spans="1:4" x14ac:dyDescent="0.35">
      <c r="A3688" s="1" t="s">
        <v>72</v>
      </c>
      <c r="B3688" s="1" t="s">
        <v>1680</v>
      </c>
      <c r="C3688" s="2">
        <v>2</v>
      </c>
      <c r="D3688" s="1">
        <v>2023</v>
      </c>
    </row>
    <row r="3689" spans="1:4" x14ac:dyDescent="0.35">
      <c r="A3689" s="1" t="s">
        <v>72</v>
      </c>
      <c r="B3689" s="1" t="s">
        <v>1681</v>
      </c>
      <c r="C3689" s="2">
        <v>2</v>
      </c>
      <c r="D3689" s="1">
        <v>2023</v>
      </c>
    </row>
    <row r="3690" spans="1:4" x14ac:dyDescent="0.35">
      <c r="A3690" s="1" t="s">
        <v>72</v>
      </c>
      <c r="B3690" s="1" t="s">
        <v>1681</v>
      </c>
      <c r="C3690" s="2">
        <v>5</v>
      </c>
      <c r="D3690" s="1">
        <v>2024</v>
      </c>
    </row>
    <row r="3691" spans="1:4" x14ac:dyDescent="0.35">
      <c r="A3691" s="1" t="s">
        <v>72</v>
      </c>
      <c r="B3691" s="1" t="s">
        <v>1683</v>
      </c>
      <c r="C3691" s="2">
        <v>5</v>
      </c>
      <c r="D3691" s="1">
        <v>2023</v>
      </c>
    </row>
    <row r="3692" spans="1:4" x14ac:dyDescent="0.35">
      <c r="A3692" s="1" t="s">
        <v>72</v>
      </c>
      <c r="B3692" s="1" t="s">
        <v>1684</v>
      </c>
      <c r="C3692" s="2">
        <v>3</v>
      </c>
      <c r="D3692" s="1">
        <v>2023</v>
      </c>
    </row>
    <row r="3693" spans="1:4" x14ac:dyDescent="0.35">
      <c r="A3693" s="1" t="s">
        <v>72</v>
      </c>
      <c r="B3693" s="1" t="s">
        <v>1685</v>
      </c>
      <c r="C3693" s="2">
        <v>3</v>
      </c>
      <c r="D3693" s="1">
        <v>2023</v>
      </c>
    </row>
    <row r="3694" spans="1:4" x14ac:dyDescent="0.35">
      <c r="A3694" s="1" t="s">
        <v>72</v>
      </c>
      <c r="B3694" s="1" t="s">
        <v>1688</v>
      </c>
      <c r="C3694" s="2">
        <v>2</v>
      </c>
      <c r="D3694" s="1">
        <v>2023</v>
      </c>
    </row>
    <row r="3695" spans="1:4" x14ac:dyDescent="0.35">
      <c r="A3695" s="1" t="s">
        <v>72</v>
      </c>
      <c r="B3695" s="1" t="s">
        <v>1686</v>
      </c>
      <c r="C3695" s="2">
        <v>2</v>
      </c>
      <c r="D3695" s="1">
        <v>2023</v>
      </c>
    </row>
    <row r="3696" spans="1:4" x14ac:dyDescent="0.35">
      <c r="A3696" s="1" t="s">
        <v>72</v>
      </c>
      <c r="B3696" s="1" t="s">
        <v>1687</v>
      </c>
      <c r="C3696" s="2">
        <v>4</v>
      </c>
      <c r="D3696" s="1">
        <v>2023</v>
      </c>
    </row>
    <row r="3697" spans="1:4" x14ac:dyDescent="0.35">
      <c r="A3697" s="1" t="s">
        <v>72</v>
      </c>
      <c r="B3697" s="1" t="s">
        <v>1679</v>
      </c>
      <c r="C3697" s="2">
        <v>2</v>
      </c>
      <c r="D3697" s="1">
        <v>2023</v>
      </c>
    </row>
    <row r="3698" spans="1:4" x14ac:dyDescent="0.35">
      <c r="A3698" s="1" t="s">
        <v>72</v>
      </c>
      <c r="B3698" s="1" t="s">
        <v>1678</v>
      </c>
      <c r="C3698" s="2">
        <v>5</v>
      </c>
      <c r="D3698" s="1">
        <v>2023</v>
      </c>
    </row>
    <row r="3699" spans="1:4" x14ac:dyDescent="0.35">
      <c r="A3699" s="1" t="s">
        <v>72</v>
      </c>
      <c r="B3699" s="1" t="s">
        <v>1679</v>
      </c>
      <c r="C3699" s="2">
        <v>2</v>
      </c>
      <c r="D3699" s="1">
        <v>2023</v>
      </c>
    </row>
    <row r="3700" spans="1:4" x14ac:dyDescent="0.35">
      <c r="A3700" s="1" t="s">
        <v>72</v>
      </c>
      <c r="B3700" s="1" t="s">
        <v>1681</v>
      </c>
      <c r="C3700" s="2">
        <v>7</v>
      </c>
      <c r="D3700" s="1">
        <v>2024</v>
      </c>
    </row>
    <row r="3701" spans="1:4" x14ac:dyDescent="0.35">
      <c r="A3701" s="1" t="s">
        <v>72</v>
      </c>
      <c r="B3701" s="1" t="s">
        <v>1682</v>
      </c>
      <c r="C3701" s="2">
        <v>2</v>
      </c>
      <c r="D3701" s="1">
        <v>2023</v>
      </c>
    </row>
    <row r="3702" spans="1:4" x14ac:dyDescent="0.35">
      <c r="A3702" s="1" t="s">
        <v>72</v>
      </c>
      <c r="B3702" s="1" t="s">
        <v>1688</v>
      </c>
      <c r="C3702" s="2">
        <v>2</v>
      </c>
      <c r="D3702" s="1">
        <v>2023</v>
      </c>
    </row>
    <row r="3703" spans="1:4" x14ac:dyDescent="0.35">
      <c r="A3703" s="1" t="s">
        <v>72</v>
      </c>
      <c r="B3703" s="1" t="s">
        <v>1686</v>
      </c>
      <c r="C3703" s="2">
        <v>4</v>
      </c>
      <c r="D3703" s="1">
        <v>2023</v>
      </c>
    </row>
    <row r="3704" spans="1:4" x14ac:dyDescent="0.35">
      <c r="A3704" s="1" t="s">
        <v>72</v>
      </c>
      <c r="B3704" s="1" t="s">
        <v>1687</v>
      </c>
      <c r="C3704" s="2">
        <v>2</v>
      </c>
      <c r="D3704" s="1">
        <v>2023</v>
      </c>
    </row>
    <row r="3705" spans="1:4" x14ac:dyDescent="0.35">
      <c r="A3705" s="1" t="s">
        <v>72</v>
      </c>
      <c r="B3705" s="1" t="s">
        <v>1681</v>
      </c>
      <c r="C3705" s="2">
        <v>10</v>
      </c>
      <c r="D3705" s="1">
        <v>2024</v>
      </c>
    </row>
    <row r="3706" spans="1:4" x14ac:dyDescent="0.35">
      <c r="A3706" s="1" t="s">
        <v>72</v>
      </c>
      <c r="B3706" s="1" t="s">
        <v>1681</v>
      </c>
      <c r="C3706" s="2">
        <v>4</v>
      </c>
      <c r="D3706" s="1">
        <v>2023</v>
      </c>
    </row>
    <row r="3707" spans="1:4" x14ac:dyDescent="0.35">
      <c r="A3707" s="1" t="s">
        <v>72</v>
      </c>
      <c r="B3707" s="1" t="s">
        <v>1677</v>
      </c>
      <c r="C3707" s="2">
        <v>3</v>
      </c>
      <c r="D3707" s="1">
        <v>2023</v>
      </c>
    </row>
    <row r="3708" spans="1:4" x14ac:dyDescent="0.35">
      <c r="A3708" s="1" t="s">
        <v>72</v>
      </c>
      <c r="B3708" s="1" t="s">
        <v>1678</v>
      </c>
      <c r="C3708" s="2">
        <v>4</v>
      </c>
      <c r="D3708" s="1">
        <v>2023</v>
      </c>
    </row>
    <row r="3709" spans="1:4" x14ac:dyDescent="0.35">
      <c r="A3709" s="1" t="s">
        <v>72</v>
      </c>
      <c r="B3709" s="1" t="s">
        <v>1681</v>
      </c>
      <c r="C3709" s="2">
        <v>6</v>
      </c>
      <c r="D3709" s="1">
        <v>2024</v>
      </c>
    </row>
    <row r="3710" spans="1:4" x14ac:dyDescent="0.35">
      <c r="A3710" s="1" t="s">
        <v>72</v>
      </c>
      <c r="B3710" s="1" t="s">
        <v>1682</v>
      </c>
      <c r="C3710" s="2">
        <v>3</v>
      </c>
      <c r="D3710" s="1">
        <v>2023</v>
      </c>
    </row>
    <row r="3711" spans="1:4" x14ac:dyDescent="0.35">
      <c r="A3711" s="1" t="s">
        <v>72</v>
      </c>
      <c r="B3711" s="1" t="s">
        <v>1683</v>
      </c>
      <c r="C3711" s="2">
        <v>3</v>
      </c>
      <c r="D3711" s="1">
        <v>2023</v>
      </c>
    </row>
    <row r="3712" spans="1:4" x14ac:dyDescent="0.35">
      <c r="A3712" s="1" t="s">
        <v>72</v>
      </c>
      <c r="B3712" s="1" t="s">
        <v>1684</v>
      </c>
      <c r="C3712" s="2">
        <v>2</v>
      </c>
      <c r="D3712" s="1">
        <v>2023</v>
      </c>
    </row>
    <row r="3713" spans="1:4" x14ac:dyDescent="0.35">
      <c r="A3713" s="1" t="s">
        <v>72</v>
      </c>
      <c r="B3713" s="1" t="s">
        <v>1685</v>
      </c>
      <c r="C3713" s="2">
        <v>3</v>
      </c>
      <c r="D3713" s="1">
        <v>2023</v>
      </c>
    </row>
    <row r="3714" spans="1:4" x14ac:dyDescent="0.35">
      <c r="A3714" s="1" t="s">
        <v>72</v>
      </c>
      <c r="B3714" s="1" t="s">
        <v>1688</v>
      </c>
      <c r="C3714" s="2">
        <v>3</v>
      </c>
      <c r="D3714" s="1">
        <v>2023</v>
      </c>
    </row>
    <row r="3715" spans="1:4" x14ac:dyDescent="0.35">
      <c r="A3715" s="1" t="s">
        <v>72</v>
      </c>
      <c r="B3715" s="1" t="s">
        <v>1686</v>
      </c>
      <c r="C3715" s="2">
        <v>3</v>
      </c>
      <c r="D3715" s="1">
        <v>2023</v>
      </c>
    </row>
    <row r="3716" spans="1:4" x14ac:dyDescent="0.35">
      <c r="A3716" s="1" t="s">
        <v>72</v>
      </c>
      <c r="B3716" s="1" t="s">
        <v>1687</v>
      </c>
      <c r="C3716" s="2">
        <v>3</v>
      </c>
      <c r="D3716" s="1">
        <v>2023</v>
      </c>
    </row>
    <row r="3717" spans="1:4" x14ac:dyDescent="0.35">
      <c r="A3717" s="1" t="s">
        <v>72</v>
      </c>
      <c r="B3717" s="1" t="s">
        <v>1677</v>
      </c>
      <c r="C3717" s="2">
        <v>5</v>
      </c>
      <c r="D3717" s="1">
        <v>2023</v>
      </c>
    </row>
    <row r="3718" spans="1:4" x14ac:dyDescent="0.35">
      <c r="A3718" s="1" t="s">
        <v>72</v>
      </c>
      <c r="B3718" s="1" t="s">
        <v>1678</v>
      </c>
      <c r="C3718" s="2">
        <v>16</v>
      </c>
      <c r="D3718" s="1">
        <v>2022</v>
      </c>
    </row>
    <row r="3719" spans="1:4" x14ac:dyDescent="0.35">
      <c r="A3719" s="1" t="s">
        <v>72</v>
      </c>
      <c r="B3719" s="1" t="s">
        <v>1679</v>
      </c>
      <c r="C3719" s="2">
        <v>8</v>
      </c>
      <c r="D3719" s="1">
        <v>2022</v>
      </c>
    </row>
    <row r="3720" spans="1:4" x14ac:dyDescent="0.35">
      <c r="A3720" s="1" t="s">
        <v>72</v>
      </c>
      <c r="B3720" s="1" t="s">
        <v>1680</v>
      </c>
      <c r="C3720" s="2">
        <v>10</v>
      </c>
      <c r="D3720" s="1">
        <v>2023</v>
      </c>
    </row>
    <row r="3721" spans="1:4" x14ac:dyDescent="0.35">
      <c r="A3721" s="1" t="s">
        <v>72</v>
      </c>
      <c r="B3721" s="1" t="s">
        <v>1681</v>
      </c>
      <c r="C3721" s="2">
        <v>2</v>
      </c>
      <c r="D3721" s="1">
        <v>2024</v>
      </c>
    </row>
    <row r="3722" spans="1:4" x14ac:dyDescent="0.35">
      <c r="A3722" s="1" t="s">
        <v>72</v>
      </c>
      <c r="B3722" s="1" t="s">
        <v>1681</v>
      </c>
      <c r="C3722" s="2">
        <v>10</v>
      </c>
      <c r="D3722" s="1">
        <v>2023</v>
      </c>
    </row>
    <row r="3723" spans="1:4" x14ac:dyDescent="0.35">
      <c r="A3723" s="1" t="s">
        <v>72</v>
      </c>
      <c r="B3723" s="1" t="s">
        <v>1682</v>
      </c>
      <c r="C3723" s="2">
        <v>24</v>
      </c>
      <c r="D3723" s="1">
        <v>2022</v>
      </c>
    </row>
    <row r="3724" spans="1:4" x14ac:dyDescent="0.35">
      <c r="A3724" s="1" t="s">
        <v>72</v>
      </c>
      <c r="B3724" s="1" t="s">
        <v>1684</v>
      </c>
      <c r="C3724" s="2">
        <v>17</v>
      </c>
      <c r="D3724" s="1">
        <v>2023</v>
      </c>
    </row>
    <row r="3725" spans="1:4" x14ac:dyDescent="0.35">
      <c r="A3725" s="1" t="s">
        <v>72</v>
      </c>
      <c r="B3725" s="1" t="s">
        <v>1688</v>
      </c>
      <c r="C3725" s="2">
        <v>20</v>
      </c>
      <c r="D3725" s="1">
        <v>2022</v>
      </c>
    </row>
    <row r="3726" spans="1:4" x14ac:dyDescent="0.35">
      <c r="A3726" s="1" t="s">
        <v>72</v>
      </c>
      <c r="B3726" s="1" t="s">
        <v>1686</v>
      </c>
      <c r="C3726" s="2">
        <v>12</v>
      </c>
      <c r="D3726" s="1">
        <v>2022</v>
      </c>
    </row>
    <row r="3727" spans="1:4" x14ac:dyDescent="0.35">
      <c r="A3727" s="1" t="s">
        <v>72</v>
      </c>
      <c r="B3727" s="1" t="s">
        <v>1687</v>
      </c>
      <c r="C3727" s="2">
        <v>16</v>
      </c>
      <c r="D3727" s="1">
        <v>2022</v>
      </c>
    </row>
    <row r="3728" spans="1:4" x14ac:dyDescent="0.35">
      <c r="A3728" s="1" t="s">
        <v>72</v>
      </c>
      <c r="B3728" s="1" t="s">
        <v>1678</v>
      </c>
      <c r="C3728" s="2">
        <v>3</v>
      </c>
      <c r="D3728" s="1">
        <v>2022</v>
      </c>
    </row>
    <row r="3729" spans="1:4" x14ac:dyDescent="0.35">
      <c r="A3729" s="1" t="s">
        <v>72</v>
      </c>
      <c r="B3729" s="1" t="s">
        <v>1682</v>
      </c>
      <c r="C3729" s="2">
        <v>3</v>
      </c>
      <c r="D3729" s="1">
        <v>2022</v>
      </c>
    </row>
    <row r="3730" spans="1:4" x14ac:dyDescent="0.35">
      <c r="A3730" s="1" t="s">
        <v>72</v>
      </c>
      <c r="B3730" s="1" t="s">
        <v>1688</v>
      </c>
      <c r="C3730" s="2">
        <v>3</v>
      </c>
      <c r="D3730" s="1">
        <v>2022</v>
      </c>
    </row>
    <row r="3731" spans="1:4" x14ac:dyDescent="0.35">
      <c r="A3731" s="1" t="s">
        <v>72</v>
      </c>
      <c r="B3731" s="1" t="s">
        <v>1686</v>
      </c>
      <c r="C3731" s="2">
        <v>3</v>
      </c>
      <c r="D3731" s="1">
        <v>2022</v>
      </c>
    </row>
    <row r="3732" spans="1:4" x14ac:dyDescent="0.35">
      <c r="A3732" s="1" t="s">
        <v>72</v>
      </c>
      <c r="B3732" s="1" t="s">
        <v>1687</v>
      </c>
      <c r="C3732" s="2">
        <v>7</v>
      </c>
      <c r="D3732" s="1">
        <v>2022</v>
      </c>
    </row>
    <row r="3733" spans="1:4" x14ac:dyDescent="0.35">
      <c r="A3733" s="1" t="s">
        <v>72</v>
      </c>
      <c r="B3733" s="1" t="s">
        <v>1677</v>
      </c>
      <c r="C3733" s="2">
        <v>1</v>
      </c>
      <c r="D3733" s="1">
        <v>2023</v>
      </c>
    </row>
    <row r="3734" spans="1:4" x14ac:dyDescent="0.35">
      <c r="A3734" s="1" t="s">
        <v>72</v>
      </c>
      <c r="B3734" s="1" t="s">
        <v>1678</v>
      </c>
      <c r="C3734" s="2">
        <v>1</v>
      </c>
      <c r="D3734" s="1">
        <v>2023</v>
      </c>
    </row>
    <row r="3735" spans="1:4" x14ac:dyDescent="0.35">
      <c r="A3735" s="1" t="s">
        <v>72</v>
      </c>
      <c r="B3735" s="1" t="s">
        <v>1680</v>
      </c>
      <c r="C3735" s="2">
        <v>1</v>
      </c>
      <c r="D3735" s="1">
        <v>2023</v>
      </c>
    </row>
    <row r="3736" spans="1:4" x14ac:dyDescent="0.35">
      <c r="A3736" s="1" t="s">
        <v>72</v>
      </c>
      <c r="B3736" s="1" t="s">
        <v>1681</v>
      </c>
      <c r="C3736" s="2">
        <v>1</v>
      </c>
      <c r="D3736" s="1">
        <v>2023</v>
      </c>
    </row>
    <row r="3737" spans="1:4" x14ac:dyDescent="0.35">
      <c r="A3737" s="1" t="s">
        <v>72</v>
      </c>
      <c r="B3737" s="1" t="s">
        <v>1681</v>
      </c>
      <c r="C3737" s="2">
        <v>1</v>
      </c>
      <c r="D3737" s="1">
        <v>2024</v>
      </c>
    </row>
    <row r="3738" spans="1:4" x14ac:dyDescent="0.35">
      <c r="A3738" s="1" t="s">
        <v>72</v>
      </c>
      <c r="B3738" s="1" t="s">
        <v>1682</v>
      </c>
      <c r="C3738" s="2">
        <v>1</v>
      </c>
      <c r="D3738" s="1">
        <v>2022</v>
      </c>
    </row>
    <row r="3739" spans="1:4" x14ac:dyDescent="0.35">
      <c r="A3739" s="1" t="s">
        <v>72</v>
      </c>
      <c r="B3739" s="1" t="s">
        <v>1683</v>
      </c>
      <c r="C3739" s="2">
        <v>1</v>
      </c>
      <c r="D3739" s="1">
        <v>2023</v>
      </c>
    </row>
    <row r="3740" spans="1:4" x14ac:dyDescent="0.35">
      <c r="A3740" s="1" t="s">
        <v>72</v>
      </c>
      <c r="B3740" s="1" t="s">
        <v>1685</v>
      </c>
      <c r="C3740" s="2">
        <v>1</v>
      </c>
      <c r="D3740" s="1">
        <v>2023</v>
      </c>
    </row>
    <row r="3741" spans="1:4" x14ac:dyDescent="0.35">
      <c r="A3741" s="1" t="s">
        <v>72</v>
      </c>
      <c r="B3741" s="1" t="s">
        <v>1688</v>
      </c>
      <c r="C3741" s="2">
        <v>1</v>
      </c>
      <c r="D3741" s="1">
        <v>2022</v>
      </c>
    </row>
    <row r="3742" spans="1:4" x14ac:dyDescent="0.35">
      <c r="A3742" s="1" t="s">
        <v>72</v>
      </c>
      <c r="B3742" s="1" t="s">
        <v>1688</v>
      </c>
      <c r="C3742" s="2">
        <v>1</v>
      </c>
      <c r="D3742" s="1">
        <v>2023</v>
      </c>
    </row>
    <row r="3743" spans="1:4" x14ac:dyDescent="0.35">
      <c r="A3743" s="1" t="s">
        <v>72</v>
      </c>
      <c r="B3743" s="1" t="s">
        <v>1686</v>
      </c>
      <c r="C3743" s="2">
        <v>1</v>
      </c>
      <c r="D3743" s="1">
        <v>2022</v>
      </c>
    </row>
    <row r="3744" spans="1:4" x14ac:dyDescent="0.35">
      <c r="A3744" s="1" t="s">
        <v>72</v>
      </c>
      <c r="B3744" s="1" t="s">
        <v>1686</v>
      </c>
      <c r="C3744" s="2">
        <v>1</v>
      </c>
      <c r="D3744" s="1">
        <v>2023</v>
      </c>
    </row>
    <row r="3745" spans="1:4" x14ac:dyDescent="0.35">
      <c r="A3745" s="1" t="s">
        <v>72</v>
      </c>
      <c r="B3745" s="1" t="s">
        <v>1687</v>
      </c>
      <c r="C3745" s="2">
        <v>1</v>
      </c>
      <c r="D3745" s="1">
        <v>2022</v>
      </c>
    </row>
    <row r="3746" spans="1:4" x14ac:dyDescent="0.35">
      <c r="A3746" s="1" t="s">
        <v>72</v>
      </c>
      <c r="B3746" s="1" t="s">
        <v>1687</v>
      </c>
      <c r="C3746" s="2">
        <v>1</v>
      </c>
      <c r="D3746" s="1">
        <v>2023</v>
      </c>
    </row>
    <row r="3747" spans="1:4" x14ac:dyDescent="0.35">
      <c r="A3747" s="1" t="s">
        <v>72</v>
      </c>
      <c r="B3747" s="1" t="s">
        <v>1677</v>
      </c>
      <c r="C3747" s="2">
        <v>69</v>
      </c>
      <c r="D3747" s="1">
        <v>2023</v>
      </c>
    </row>
    <row r="3748" spans="1:4" x14ac:dyDescent="0.35">
      <c r="A3748" s="1" t="s">
        <v>72</v>
      </c>
      <c r="B3748" s="1" t="s">
        <v>1677</v>
      </c>
      <c r="C3748" s="2">
        <v>7</v>
      </c>
      <c r="D3748" s="1">
        <v>2023</v>
      </c>
    </row>
    <row r="3749" spans="1:4" x14ac:dyDescent="0.35">
      <c r="A3749" s="1" t="s">
        <v>72</v>
      </c>
      <c r="B3749" s="1" t="s">
        <v>1678</v>
      </c>
      <c r="C3749" s="2">
        <v>34</v>
      </c>
      <c r="D3749" s="1">
        <v>2022</v>
      </c>
    </row>
    <row r="3750" spans="1:4" x14ac:dyDescent="0.35">
      <c r="A3750" s="1" t="s">
        <v>72</v>
      </c>
      <c r="B3750" s="1" t="s">
        <v>1678</v>
      </c>
      <c r="C3750" s="2">
        <v>69</v>
      </c>
      <c r="D3750" s="1">
        <v>2023</v>
      </c>
    </row>
    <row r="3751" spans="1:4" x14ac:dyDescent="0.35">
      <c r="A3751" s="1" t="s">
        <v>72</v>
      </c>
      <c r="B3751" s="1" t="s">
        <v>1678</v>
      </c>
      <c r="C3751" s="2">
        <v>7</v>
      </c>
      <c r="D3751" s="1">
        <v>2022</v>
      </c>
    </row>
    <row r="3752" spans="1:4" x14ac:dyDescent="0.35">
      <c r="A3752" s="1" t="s">
        <v>72</v>
      </c>
      <c r="B3752" s="1" t="s">
        <v>1678</v>
      </c>
      <c r="C3752" s="2">
        <v>2</v>
      </c>
      <c r="D3752" s="1">
        <v>2023</v>
      </c>
    </row>
    <row r="3753" spans="1:4" x14ac:dyDescent="0.35">
      <c r="A3753" s="1" t="s">
        <v>72</v>
      </c>
      <c r="B3753" s="1" t="s">
        <v>1679</v>
      </c>
      <c r="C3753" s="2">
        <v>35</v>
      </c>
      <c r="D3753" s="1">
        <v>2022</v>
      </c>
    </row>
    <row r="3754" spans="1:4" x14ac:dyDescent="0.35">
      <c r="A3754" s="1" t="s">
        <v>72</v>
      </c>
      <c r="B3754" s="1" t="s">
        <v>1679</v>
      </c>
      <c r="C3754" s="2">
        <v>12</v>
      </c>
      <c r="D3754" s="1">
        <v>2023</v>
      </c>
    </row>
    <row r="3755" spans="1:4" x14ac:dyDescent="0.35">
      <c r="A3755" s="1" t="s">
        <v>72</v>
      </c>
      <c r="B3755" s="1" t="s">
        <v>1679</v>
      </c>
      <c r="C3755" s="2">
        <v>4</v>
      </c>
      <c r="D3755" s="1">
        <v>2022</v>
      </c>
    </row>
    <row r="3756" spans="1:4" x14ac:dyDescent="0.35">
      <c r="A3756" s="1" t="s">
        <v>72</v>
      </c>
      <c r="B3756" s="1" t="s">
        <v>1680</v>
      </c>
      <c r="C3756" s="2">
        <v>57</v>
      </c>
      <c r="D3756" s="1">
        <v>2023</v>
      </c>
    </row>
    <row r="3757" spans="1:4" x14ac:dyDescent="0.35">
      <c r="A3757" s="1" t="s">
        <v>72</v>
      </c>
      <c r="B3757" s="1" t="s">
        <v>1680</v>
      </c>
      <c r="C3757" s="2">
        <v>6</v>
      </c>
      <c r="D3757" s="1">
        <v>2023</v>
      </c>
    </row>
    <row r="3758" spans="1:4" x14ac:dyDescent="0.35">
      <c r="A3758" s="1" t="s">
        <v>72</v>
      </c>
      <c r="B3758" s="1" t="s">
        <v>1681</v>
      </c>
      <c r="C3758" s="2">
        <v>40</v>
      </c>
      <c r="D3758" s="1">
        <v>2023</v>
      </c>
    </row>
    <row r="3759" spans="1:4" x14ac:dyDescent="0.35">
      <c r="A3759" s="1" t="s">
        <v>72</v>
      </c>
      <c r="B3759" s="1" t="s">
        <v>1681</v>
      </c>
      <c r="C3759" s="2">
        <v>43</v>
      </c>
      <c r="D3759" s="1">
        <v>2024</v>
      </c>
    </row>
    <row r="3760" spans="1:4" x14ac:dyDescent="0.35">
      <c r="A3760" s="1" t="s">
        <v>72</v>
      </c>
      <c r="B3760" s="1" t="s">
        <v>1681</v>
      </c>
      <c r="C3760" s="2">
        <v>8</v>
      </c>
      <c r="D3760" s="1">
        <v>2023</v>
      </c>
    </row>
    <row r="3761" spans="1:4" x14ac:dyDescent="0.35">
      <c r="A3761" s="1" t="s">
        <v>72</v>
      </c>
      <c r="B3761" s="1" t="s">
        <v>1681</v>
      </c>
      <c r="C3761" s="2">
        <v>3</v>
      </c>
      <c r="D3761" s="1">
        <v>2024</v>
      </c>
    </row>
    <row r="3762" spans="1:4" x14ac:dyDescent="0.35">
      <c r="A3762" s="1" t="s">
        <v>72</v>
      </c>
      <c r="B3762" s="1" t="s">
        <v>1682</v>
      </c>
      <c r="C3762" s="2">
        <v>32</v>
      </c>
      <c r="D3762" s="1">
        <v>2022</v>
      </c>
    </row>
    <row r="3763" spans="1:4" x14ac:dyDescent="0.35">
      <c r="A3763" s="1" t="s">
        <v>72</v>
      </c>
      <c r="B3763" s="1" t="s">
        <v>1682</v>
      </c>
      <c r="C3763" s="2">
        <v>35</v>
      </c>
      <c r="D3763" s="1">
        <v>2023</v>
      </c>
    </row>
    <row r="3764" spans="1:4" x14ac:dyDescent="0.35">
      <c r="A3764" s="1" t="s">
        <v>72</v>
      </c>
      <c r="B3764" s="1" t="s">
        <v>1682</v>
      </c>
      <c r="C3764" s="2">
        <v>8</v>
      </c>
      <c r="D3764" s="1">
        <v>2022</v>
      </c>
    </row>
    <row r="3765" spans="1:4" x14ac:dyDescent="0.35">
      <c r="A3765" s="1" t="s">
        <v>72</v>
      </c>
      <c r="B3765" s="1" t="s">
        <v>1682</v>
      </c>
      <c r="C3765" s="2">
        <v>15</v>
      </c>
      <c r="D3765" s="1">
        <v>2023</v>
      </c>
    </row>
    <row r="3766" spans="1:4" x14ac:dyDescent="0.35">
      <c r="A3766" s="1" t="s">
        <v>72</v>
      </c>
      <c r="B3766" s="1" t="s">
        <v>1683</v>
      </c>
      <c r="C3766" s="2">
        <v>74</v>
      </c>
      <c r="D3766" s="1">
        <v>2023</v>
      </c>
    </row>
    <row r="3767" spans="1:4" x14ac:dyDescent="0.35">
      <c r="A3767" s="1" t="s">
        <v>72</v>
      </c>
      <c r="B3767" s="1" t="s">
        <v>1683</v>
      </c>
      <c r="C3767" s="2">
        <v>8</v>
      </c>
      <c r="D3767" s="1">
        <v>2023</v>
      </c>
    </row>
    <row r="3768" spans="1:4" x14ac:dyDescent="0.35">
      <c r="A3768" s="1" t="s">
        <v>72</v>
      </c>
      <c r="B3768" s="1" t="s">
        <v>1684</v>
      </c>
      <c r="C3768" s="2">
        <v>58</v>
      </c>
      <c r="D3768" s="1">
        <v>2023</v>
      </c>
    </row>
    <row r="3769" spans="1:4" x14ac:dyDescent="0.35">
      <c r="A3769" s="1" t="s">
        <v>72</v>
      </c>
      <c r="B3769" s="1" t="s">
        <v>1684</v>
      </c>
      <c r="C3769" s="2">
        <v>12</v>
      </c>
      <c r="D3769" s="1">
        <v>2023</v>
      </c>
    </row>
    <row r="3770" spans="1:4" x14ac:dyDescent="0.35">
      <c r="A3770" s="1" t="s">
        <v>72</v>
      </c>
      <c r="B3770" s="1" t="s">
        <v>1685</v>
      </c>
      <c r="C3770" s="2">
        <v>42</v>
      </c>
      <c r="D3770" s="1">
        <v>2023</v>
      </c>
    </row>
    <row r="3771" spans="1:4" x14ac:dyDescent="0.35">
      <c r="A3771" s="1" t="s">
        <v>72</v>
      </c>
      <c r="B3771" s="1" t="s">
        <v>1685</v>
      </c>
      <c r="C3771" s="2">
        <v>19</v>
      </c>
      <c r="D3771" s="1">
        <v>2023</v>
      </c>
    </row>
    <row r="3772" spans="1:4" x14ac:dyDescent="0.35">
      <c r="A3772" s="1" t="s">
        <v>72</v>
      </c>
      <c r="B3772" s="1" t="s">
        <v>1688</v>
      </c>
      <c r="C3772" s="2">
        <v>61</v>
      </c>
      <c r="D3772" s="1">
        <v>2022</v>
      </c>
    </row>
    <row r="3773" spans="1:4" x14ac:dyDescent="0.35">
      <c r="A3773" s="1" t="s">
        <v>72</v>
      </c>
      <c r="B3773" s="1" t="s">
        <v>1688</v>
      </c>
      <c r="C3773" s="2">
        <v>44</v>
      </c>
      <c r="D3773" s="1">
        <v>2023</v>
      </c>
    </row>
    <row r="3774" spans="1:4" x14ac:dyDescent="0.35">
      <c r="A3774" s="1" t="s">
        <v>72</v>
      </c>
      <c r="B3774" s="1" t="s">
        <v>1688</v>
      </c>
      <c r="C3774" s="2">
        <v>8</v>
      </c>
      <c r="D3774" s="1">
        <v>2023</v>
      </c>
    </row>
    <row r="3775" spans="1:4" x14ac:dyDescent="0.35">
      <c r="A3775" s="1" t="s">
        <v>72</v>
      </c>
      <c r="B3775" s="1" t="s">
        <v>1686</v>
      </c>
      <c r="C3775" s="2">
        <v>34</v>
      </c>
      <c r="D3775" s="1">
        <v>2022</v>
      </c>
    </row>
    <row r="3776" spans="1:4" x14ac:dyDescent="0.35">
      <c r="A3776" s="1" t="s">
        <v>72</v>
      </c>
      <c r="B3776" s="1" t="s">
        <v>1686</v>
      </c>
      <c r="C3776" s="2">
        <v>16</v>
      </c>
      <c r="D3776" s="1">
        <v>2023</v>
      </c>
    </row>
    <row r="3777" spans="1:4" x14ac:dyDescent="0.35">
      <c r="A3777" s="1" t="s">
        <v>72</v>
      </c>
      <c r="B3777" s="1" t="s">
        <v>1686</v>
      </c>
      <c r="C3777" s="2">
        <v>18</v>
      </c>
      <c r="D3777" s="1">
        <v>2023</v>
      </c>
    </row>
    <row r="3778" spans="1:4" x14ac:dyDescent="0.35">
      <c r="A3778" s="1" t="s">
        <v>72</v>
      </c>
      <c r="B3778" s="1" t="s">
        <v>1687</v>
      </c>
      <c r="C3778" s="2">
        <v>34</v>
      </c>
      <c r="D3778" s="1">
        <v>2022</v>
      </c>
    </row>
    <row r="3779" spans="1:4" x14ac:dyDescent="0.35">
      <c r="A3779" s="1" t="s">
        <v>72</v>
      </c>
      <c r="B3779" s="1" t="s">
        <v>1687</v>
      </c>
      <c r="C3779" s="2">
        <v>42</v>
      </c>
      <c r="D3779" s="1">
        <v>2023</v>
      </c>
    </row>
    <row r="3780" spans="1:4" x14ac:dyDescent="0.35">
      <c r="A3780" s="1" t="s">
        <v>72</v>
      </c>
      <c r="B3780" s="1" t="s">
        <v>1687</v>
      </c>
      <c r="C3780" s="2">
        <v>11</v>
      </c>
      <c r="D3780" s="1">
        <v>2022</v>
      </c>
    </row>
    <row r="3781" spans="1:4" x14ac:dyDescent="0.35">
      <c r="A3781" s="1" t="s">
        <v>72</v>
      </c>
      <c r="B3781" s="1" t="s">
        <v>1687</v>
      </c>
      <c r="C3781" s="2">
        <v>10</v>
      </c>
      <c r="D3781" s="1">
        <v>2023</v>
      </c>
    </row>
    <row r="3782" spans="1:4" x14ac:dyDescent="0.35">
      <c r="A3782" s="1" t="s">
        <v>72</v>
      </c>
      <c r="B3782" s="1" t="s">
        <v>1677</v>
      </c>
      <c r="C3782" s="2">
        <v>1</v>
      </c>
      <c r="D3782" s="1">
        <v>2023</v>
      </c>
    </row>
    <row r="3783" spans="1:4" x14ac:dyDescent="0.35">
      <c r="A3783" s="1" t="s">
        <v>72</v>
      </c>
      <c r="B3783" s="1" t="s">
        <v>1678</v>
      </c>
      <c r="C3783" s="2">
        <v>1</v>
      </c>
      <c r="D3783" s="1">
        <v>2022</v>
      </c>
    </row>
    <row r="3784" spans="1:4" x14ac:dyDescent="0.35">
      <c r="A3784" s="1" t="s">
        <v>72</v>
      </c>
      <c r="B3784" s="1" t="s">
        <v>1678</v>
      </c>
      <c r="C3784" s="2">
        <v>1</v>
      </c>
      <c r="D3784" s="1">
        <v>2023</v>
      </c>
    </row>
    <row r="3785" spans="1:4" x14ac:dyDescent="0.35">
      <c r="A3785" s="1" t="s">
        <v>72</v>
      </c>
      <c r="B3785" s="1" t="s">
        <v>1681</v>
      </c>
      <c r="C3785" s="2">
        <v>1</v>
      </c>
      <c r="D3785" s="1">
        <v>2024</v>
      </c>
    </row>
    <row r="3786" spans="1:4" x14ac:dyDescent="0.35">
      <c r="A3786" s="1" t="s">
        <v>72</v>
      </c>
      <c r="B3786" s="1" t="s">
        <v>1682</v>
      </c>
      <c r="C3786" s="2">
        <v>1</v>
      </c>
      <c r="D3786" s="1">
        <v>2023</v>
      </c>
    </row>
    <row r="3787" spans="1:4" x14ac:dyDescent="0.35">
      <c r="A3787" s="1" t="s">
        <v>72</v>
      </c>
      <c r="B3787" s="1" t="s">
        <v>1684</v>
      </c>
      <c r="C3787" s="2">
        <v>1</v>
      </c>
      <c r="D3787" s="1">
        <v>2023</v>
      </c>
    </row>
    <row r="3788" spans="1:4" x14ac:dyDescent="0.35">
      <c r="A3788" s="1" t="s">
        <v>72</v>
      </c>
      <c r="B3788" s="1" t="s">
        <v>1685</v>
      </c>
      <c r="C3788" s="2">
        <v>1</v>
      </c>
      <c r="D3788" s="1">
        <v>2023</v>
      </c>
    </row>
    <row r="3789" spans="1:4" x14ac:dyDescent="0.35">
      <c r="A3789" s="1" t="s">
        <v>72</v>
      </c>
      <c r="B3789" s="1" t="s">
        <v>1688</v>
      </c>
      <c r="C3789" s="2">
        <v>1</v>
      </c>
      <c r="D3789" s="1">
        <v>2022</v>
      </c>
    </row>
    <row r="3790" spans="1:4" x14ac:dyDescent="0.35">
      <c r="A3790" s="1" t="s">
        <v>72</v>
      </c>
      <c r="B3790" s="1" t="s">
        <v>1686</v>
      </c>
      <c r="C3790" s="2">
        <v>1</v>
      </c>
      <c r="D3790" s="1">
        <v>2023</v>
      </c>
    </row>
    <row r="3791" spans="1:4" x14ac:dyDescent="0.35">
      <c r="A3791" s="1" t="s">
        <v>72</v>
      </c>
      <c r="B3791" s="1" t="s">
        <v>1687</v>
      </c>
      <c r="C3791" s="2">
        <v>1</v>
      </c>
      <c r="D3791" s="1">
        <v>2022</v>
      </c>
    </row>
    <row r="3792" spans="1:4" x14ac:dyDescent="0.35">
      <c r="A3792" s="1" t="s">
        <v>72</v>
      </c>
      <c r="B3792" s="1" t="s">
        <v>1687</v>
      </c>
      <c r="C3792" s="2">
        <v>1</v>
      </c>
      <c r="D3792" s="1">
        <v>2023</v>
      </c>
    </row>
    <row r="3793" spans="1:4" x14ac:dyDescent="0.35">
      <c r="A3793" s="1" t="s">
        <v>72</v>
      </c>
      <c r="B3793" s="1" t="s">
        <v>1684</v>
      </c>
      <c r="C3793" s="2">
        <v>1</v>
      </c>
      <c r="D3793" s="1">
        <v>2023</v>
      </c>
    </row>
    <row r="3794" spans="1:4" x14ac:dyDescent="0.35">
      <c r="A3794" s="1" t="s">
        <v>72</v>
      </c>
      <c r="B3794" s="1" t="s">
        <v>1677</v>
      </c>
      <c r="C3794" s="2">
        <v>2</v>
      </c>
      <c r="D3794" s="1">
        <v>2023</v>
      </c>
    </row>
    <row r="3795" spans="1:4" x14ac:dyDescent="0.35">
      <c r="A3795" s="1" t="s">
        <v>72</v>
      </c>
      <c r="B3795" s="1" t="s">
        <v>1679</v>
      </c>
      <c r="C3795" s="2">
        <v>1</v>
      </c>
      <c r="D3795" s="1">
        <v>2022</v>
      </c>
    </row>
    <row r="3796" spans="1:4" x14ac:dyDescent="0.35">
      <c r="A3796" s="1" t="s">
        <v>72</v>
      </c>
      <c r="B3796" s="1" t="s">
        <v>1681</v>
      </c>
      <c r="C3796" s="2">
        <v>2</v>
      </c>
      <c r="D3796" s="1">
        <v>2023</v>
      </c>
    </row>
    <row r="3797" spans="1:4" x14ac:dyDescent="0.35">
      <c r="A3797" s="1" t="s">
        <v>72</v>
      </c>
      <c r="B3797" s="1" t="s">
        <v>1681</v>
      </c>
      <c r="C3797" s="2">
        <v>3</v>
      </c>
      <c r="D3797" s="1">
        <v>2024</v>
      </c>
    </row>
    <row r="3798" spans="1:4" x14ac:dyDescent="0.35">
      <c r="A3798" s="1" t="s">
        <v>72</v>
      </c>
      <c r="B3798" s="1" t="s">
        <v>1682</v>
      </c>
      <c r="C3798" s="2">
        <v>2</v>
      </c>
      <c r="D3798" s="1">
        <v>2022</v>
      </c>
    </row>
    <row r="3799" spans="1:4" x14ac:dyDescent="0.35">
      <c r="A3799" s="1" t="s">
        <v>72</v>
      </c>
      <c r="B3799" s="1" t="s">
        <v>1682</v>
      </c>
      <c r="C3799" s="2">
        <v>4</v>
      </c>
      <c r="D3799" s="1">
        <v>2023</v>
      </c>
    </row>
    <row r="3800" spans="1:4" x14ac:dyDescent="0.35">
      <c r="A3800" s="1" t="s">
        <v>72</v>
      </c>
      <c r="B3800" s="1" t="s">
        <v>1683</v>
      </c>
      <c r="C3800" s="2">
        <v>3</v>
      </c>
      <c r="D3800" s="1">
        <v>2023</v>
      </c>
    </row>
    <row r="3801" spans="1:4" x14ac:dyDescent="0.35">
      <c r="A3801" s="1" t="s">
        <v>72</v>
      </c>
      <c r="B3801" s="1" t="s">
        <v>1684</v>
      </c>
      <c r="C3801" s="2">
        <v>2</v>
      </c>
      <c r="D3801" s="1">
        <v>2023</v>
      </c>
    </row>
    <row r="3802" spans="1:4" x14ac:dyDescent="0.35">
      <c r="A3802" s="1" t="s">
        <v>72</v>
      </c>
      <c r="B3802" s="1" t="s">
        <v>1685</v>
      </c>
      <c r="C3802" s="2">
        <v>1</v>
      </c>
      <c r="D3802" s="1">
        <v>2023</v>
      </c>
    </row>
    <row r="3803" spans="1:4" x14ac:dyDescent="0.35">
      <c r="A3803" s="1" t="s">
        <v>72</v>
      </c>
      <c r="B3803" s="1" t="s">
        <v>1686</v>
      </c>
      <c r="C3803" s="2">
        <v>2</v>
      </c>
      <c r="D3803" s="1">
        <v>2022</v>
      </c>
    </row>
    <row r="3804" spans="1:4" x14ac:dyDescent="0.35">
      <c r="A3804" s="1" t="s">
        <v>72</v>
      </c>
      <c r="B3804" s="1" t="s">
        <v>1686</v>
      </c>
      <c r="C3804" s="2">
        <v>2</v>
      </c>
      <c r="D3804" s="1">
        <v>2023</v>
      </c>
    </row>
    <row r="3805" spans="1:4" x14ac:dyDescent="0.35">
      <c r="A3805" s="1" t="s">
        <v>72</v>
      </c>
      <c r="B3805" s="1" t="s">
        <v>1687</v>
      </c>
      <c r="C3805" s="2">
        <v>3</v>
      </c>
      <c r="D3805" s="1">
        <v>2022</v>
      </c>
    </row>
    <row r="3806" spans="1:4" x14ac:dyDescent="0.35">
      <c r="A3806" s="1" t="s">
        <v>72</v>
      </c>
      <c r="B3806" s="1" t="s">
        <v>1687</v>
      </c>
      <c r="C3806" s="2">
        <v>4</v>
      </c>
      <c r="D3806" s="1">
        <v>2023</v>
      </c>
    </row>
    <row r="3807" spans="1:4" x14ac:dyDescent="0.35">
      <c r="A3807" s="1" t="s">
        <v>72</v>
      </c>
      <c r="B3807" s="1" t="s">
        <v>1677</v>
      </c>
      <c r="C3807" s="2">
        <v>-1</v>
      </c>
      <c r="D3807" s="1">
        <v>2023</v>
      </c>
    </row>
    <row r="3808" spans="1:4" x14ac:dyDescent="0.35">
      <c r="A3808" s="1" t="s">
        <v>72</v>
      </c>
      <c r="B3808" s="1" t="s">
        <v>1678</v>
      </c>
      <c r="C3808" s="2">
        <v>2</v>
      </c>
      <c r="D3808" s="1">
        <v>2022</v>
      </c>
    </row>
    <row r="3809" spans="1:4" x14ac:dyDescent="0.35">
      <c r="A3809" s="1" t="s">
        <v>72</v>
      </c>
      <c r="B3809" s="1" t="s">
        <v>1680</v>
      </c>
      <c r="C3809" s="2">
        <v>2</v>
      </c>
      <c r="D3809" s="1">
        <v>2023</v>
      </c>
    </row>
    <row r="3810" spans="1:4" x14ac:dyDescent="0.35">
      <c r="A3810" s="1" t="s">
        <v>72</v>
      </c>
      <c r="B3810" s="1" t="s">
        <v>1681</v>
      </c>
      <c r="C3810" s="2">
        <v>2</v>
      </c>
      <c r="D3810" s="1">
        <v>2023</v>
      </c>
    </row>
    <row r="3811" spans="1:4" x14ac:dyDescent="0.35">
      <c r="A3811" s="1" t="s">
        <v>72</v>
      </c>
      <c r="B3811" s="1" t="s">
        <v>1683</v>
      </c>
      <c r="C3811" s="2">
        <v>2</v>
      </c>
      <c r="D3811" s="1">
        <v>2023</v>
      </c>
    </row>
    <row r="3812" spans="1:4" x14ac:dyDescent="0.35">
      <c r="A3812" s="1" t="s">
        <v>72</v>
      </c>
      <c r="B3812" s="1" t="s">
        <v>1684</v>
      </c>
      <c r="C3812" s="2">
        <v>4</v>
      </c>
      <c r="D3812" s="1">
        <v>2023</v>
      </c>
    </row>
    <row r="3813" spans="1:4" x14ac:dyDescent="0.35">
      <c r="A3813" s="1" t="s">
        <v>72</v>
      </c>
      <c r="B3813" s="1" t="s">
        <v>1685</v>
      </c>
      <c r="C3813" s="2">
        <v>1</v>
      </c>
      <c r="D3813" s="1">
        <v>2023</v>
      </c>
    </row>
    <row r="3814" spans="1:4" x14ac:dyDescent="0.35">
      <c r="A3814" s="1" t="s">
        <v>72</v>
      </c>
      <c r="B3814" s="1" t="s">
        <v>1688</v>
      </c>
      <c r="C3814" s="2">
        <v>3</v>
      </c>
      <c r="D3814" s="1">
        <v>2022</v>
      </c>
    </row>
    <row r="3815" spans="1:4" x14ac:dyDescent="0.35">
      <c r="A3815" s="1" t="s">
        <v>72</v>
      </c>
      <c r="B3815" s="1" t="s">
        <v>1686</v>
      </c>
      <c r="C3815" s="2">
        <v>2</v>
      </c>
      <c r="D3815" s="1">
        <v>2022</v>
      </c>
    </row>
    <row r="3816" spans="1:4" x14ac:dyDescent="0.35">
      <c r="A3816" s="1" t="s">
        <v>72</v>
      </c>
      <c r="B3816" s="1" t="s">
        <v>1678</v>
      </c>
      <c r="C3816" s="2">
        <v>1</v>
      </c>
      <c r="D3816" s="1">
        <v>2022</v>
      </c>
    </row>
    <row r="3817" spans="1:4" x14ac:dyDescent="0.35">
      <c r="A3817" s="1" t="s">
        <v>72</v>
      </c>
      <c r="B3817" s="1" t="s">
        <v>1678</v>
      </c>
      <c r="C3817" s="2">
        <v>2</v>
      </c>
      <c r="D3817" s="1">
        <v>2023</v>
      </c>
    </row>
    <row r="3818" spans="1:4" x14ac:dyDescent="0.35">
      <c r="A3818" s="1" t="s">
        <v>72</v>
      </c>
      <c r="B3818" s="1" t="s">
        <v>1679</v>
      </c>
      <c r="C3818" s="2">
        <v>1</v>
      </c>
      <c r="D3818" s="1">
        <v>2022</v>
      </c>
    </row>
    <row r="3819" spans="1:4" x14ac:dyDescent="0.35">
      <c r="A3819" s="1" t="s">
        <v>72</v>
      </c>
      <c r="B3819" s="1" t="s">
        <v>1683</v>
      </c>
      <c r="C3819" s="2">
        <v>1</v>
      </c>
      <c r="D3819" s="1">
        <v>2023</v>
      </c>
    </row>
    <row r="3820" spans="1:4" x14ac:dyDescent="0.35">
      <c r="A3820" s="1" t="s">
        <v>72</v>
      </c>
      <c r="B3820" s="1" t="s">
        <v>1685</v>
      </c>
      <c r="C3820" s="2">
        <v>3</v>
      </c>
      <c r="D3820" s="1">
        <v>2023</v>
      </c>
    </row>
    <row r="3821" spans="1:4" x14ac:dyDescent="0.35">
      <c r="A3821" s="1" t="s">
        <v>72</v>
      </c>
      <c r="B3821" s="1" t="s">
        <v>1688</v>
      </c>
      <c r="C3821" s="2">
        <v>1</v>
      </c>
      <c r="D3821" s="1">
        <v>2023</v>
      </c>
    </row>
    <row r="3822" spans="1:4" x14ac:dyDescent="0.35">
      <c r="A3822" s="1" t="s">
        <v>72</v>
      </c>
      <c r="B3822" s="1" t="s">
        <v>1686</v>
      </c>
      <c r="C3822" s="2">
        <v>1</v>
      </c>
      <c r="D3822" s="1">
        <v>2022</v>
      </c>
    </row>
    <row r="3823" spans="1:4" x14ac:dyDescent="0.35">
      <c r="A3823" s="1" t="s">
        <v>72</v>
      </c>
      <c r="B3823" s="1" t="s">
        <v>1687</v>
      </c>
      <c r="C3823" s="2">
        <v>1</v>
      </c>
      <c r="D3823" s="1">
        <v>2022</v>
      </c>
    </row>
    <row r="3824" spans="1:4" x14ac:dyDescent="0.35">
      <c r="A3824" s="1" t="s">
        <v>72</v>
      </c>
      <c r="B3824" s="1" t="s">
        <v>1677</v>
      </c>
      <c r="C3824" s="2">
        <v>18</v>
      </c>
      <c r="D3824" s="1">
        <v>2023</v>
      </c>
    </row>
    <row r="3825" spans="1:4" x14ac:dyDescent="0.35">
      <c r="A3825" s="1" t="s">
        <v>72</v>
      </c>
      <c r="B3825" s="1" t="s">
        <v>1678</v>
      </c>
      <c r="C3825" s="2">
        <v>24</v>
      </c>
      <c r="D3825" s="1">
        <v>2022</v>
      </c>
    </row>
    <row r="3826" spans="1:4" x14ac:dyDescent="0.35">
      <c r="A3826" s="1" t="s">
        <v>72</v>
      </c>
      <c r="B3826" s="1" t="s">
        <v>1678</v>
      </c>
      <c r="C3826" s="2">
        <v>18</v>
      </c>
      <c r="D3826" s="1">
        <v>2023</v>
      </c>
    </row>
    <row r="3827" spans="1:4" x14ac:dyDescent="0.35">
      <c r="A3827" s="1" t="s">
        <v>72</v>
      </c>
      <c r="B3827" s="1" t="s">
        <v>1679</v>
      </c>
      <c r="C3827" s="2">
        <v>24</v>
      </c>
      <c r="D3827" s="1">
        <v>2022</v>
      </c>
    </row>
    <row r="3828" spans="1:4" x14ac:dyDescent="0.35">
      <c r="A3828" s="1" t="s">
        <v>72</v>
      </c>
      <c r="B3828" s="1" t="s">
        <v>1679</v>
      </c>
      <c r="C3828" s="2">
        <v>5</v>
      </c>
      <c r="D3828" s="1">
        <v>2023</v>
      </c>
    </row>
    <row r="3829" spans="1:4" x14ac:dyDescent="0.35">
      <c r="A3829" s="1" t="s">
        <v>72</v>
      </c>
      <c r="B3829" s="1" t="s">
        <v>1680</v>
      </c>
      <c r="C3829" s="2">
        <v>42</v>
      </c>
      <c r="D3829" s="1">
        <v>2023</v>
      </c>
    </row>
    <row r="3830" spans="1:4" x14ac:dyDescent="0.35">
      <c r="A3830" s="1" t="s">
        <v>72</v>
      </c>
      <c r="B3830" s="1" t="s">
        <v>1681</v>
      </c>
      <c r="C3830" s="2">
        <v>24</v>
      </c>
      <c r="D3830" s="1">
        <v>2023</v>
      </c>
    </row>
    <row r="3831" spans="1:4" x14ac:dyDescent="0.35">
      <c r="A3831" s="1" t="s">
        <v>72</v>
      </c>
      <c r="B3831" s="1" t="s">
        <v>1681</v>
      </c>
      <c r="C3831" s="2">
        <v>42</v>
      </c>
      <c r="D3831" s="1">
        <v>2024</v>
      </c>
    </row>
    <row r="3832" spans="1:4" x14ac:dyDescent="0.35">
      <c r="A3832" s="1" t="s">
        <v>72</v>
      </c>
      <c r="B3832" s="1" t="s">
        <v>1682</v>
      </c>
      <c r="C3832" s="2">
        <v>24</v>
      </c>
      <c r="D3832" s="1">
        <v>2022</v>
      </c>
    </row>
    <row r="3833" spans="1:4" x14ac:dyDescent="0.35">
      <c r="A3833" s="1" t="s">
        <v>72</v>
      </c>
      <c r="B3833" s="1" t="s">
        <v>1682</v>
      </c>
      <c r="C3833" s="2">
        <v>18</v>
      </c>
      <c r="D3833" s="1">
        <v>2023</v>
      </c>
    </row>
    <row r="3834" spans="1:4" x14ac:dyDescent="0.35">
      <c r="A3834" s="1" t="s">
        <v>72</v>
      </c>
      <c r="B3834" s="1" t="s">
        <v>1683</v>
      </c>
      <c r="C3834" s="2">
        <v>18</v>
      </c>
      <c r="D3834" s="1">
        <v>2023</v>
      </c>
    </row>
    <row r="3835" spans="1:4" x14ac:dyDescent="0.35">
      <c r="A3835" s="1" t="s">
        <v>72</v>
      </c>
      <c r="B3835" s="1" t="s">
        <v>1685</v>
      </c>
      <c r="C3835" s="2">
        <v>36</v>
      </c>
      <c r="D3835" s="1">
        <v>2023</v>
      </c>
    </row>
    <row r="3836" spans="1:4" x14ac:dyDescent="0.35">
      <c r="A3836" s="1" t="s">
        <v>72</v>
      </c>
      <c r="B3836" s="1" t="s">
        <v>1688</v>
      </c>
      <c r="C3836" s="2">
        <v>10</v>
      </c>
      <c r="D3836" s="1">
        <v>2022</v>
      </c>
    </row>
    <row r="3837" spans="1:4" x14ac:dyDescent="0.35">
      <c r="A3837" s="1" t="s">
        <v>72</v>
      </c>
      <c r="B3837" s="1" t="s">
        <v>1688</v>
      </c>
      <c r="C3837" s="2">
        <v>15</v>
      </c>
      <c r="D3837" s="1">
        <v>2023</v>
      </c>
    </row>
    <row r="3838" spans="1:4" x14ac:dyDescent="0.35">
      <c r="A3838" s="1" t="s">
        <v>72</v>
      </c>
      <c r="B3838" s="1" t="s">
        <v>1686</v>
      </c>
      <c r="C3838" s="2">
        <v>24</v>
      </c>
      <c r="D3838" s="1">
        <v>2022</v>
      </c>
    </row>
    <row r="3839" spans="1:4" x14ac:dyDescent="0.35">
      <c r="A3839" s="1" t="s">
        <v>72</v>
      </c>
      <c r="B3839" s="1" t="s">
        <v>1686</v>
      </c>
      <c r="C3839" s="2">
        <v>15</v>
      </c>
      <c r="D3839" s="1">
        <v>2023</v>
      </c>
    </row>
    <row r="3840" spans="1:4" x14ac:dyDescent="0.35">
      <c r="A3840" s="1" t="s">
        <v>72</v>
      </c>
      <c r="B3840" s="1" t="s">
        <v>1687</v>
      </c>
      <c r="C3840" s="2">
        <v>24</v>
      </c>
      <c r="D3840" s="1">
        <v>2022</v>
      </c>
    </row>
    <row r="3841" spans="1:4" x14ac:dyDescent="0.35">
      <c r="A3841" s="1" t="s">
        <v>72</v>
      </c>
      <c r="B3841" s="1" t="s">
        <v>1687</v>
      </c>
      <c r="C3841" s="2">
        <v>15</v>
      </c>
      <c r="D3841" s="1">
        <v>2023</v>
      </c>
    </row>
    <row r="3842" spans="1:4" x14ac:dyDescent="0.35">
      <c r="A3842" s="1" t="s">
        <v>72</v>
      </c>
      <c r="B3842" s="1" t="s">
        <v>1678</v>
      </c>
      <c r="C3842" s="2">
        <v>1</v>
      </c>
      <c r="D3842" s="1">
        <v>2023</v>
      </c>
    </row>
    <row r="3843" spans="1:4" x14ac:dyDescent="0.35">
      <c r="A3843" s="1" t="s">
        <v>72</v>
      </c>
      <c r="B3843" s="1" t="s">
        <v>1680</v>
      </c>
      <c r="C3843" s="2">
        <v>2</v>
      </c>
      <c r="D3843" s="1">
        <v>2023</v>
      </c>
    </row>
    <row r="3844" spans="1:4" x14ac:dyDescent="0.35">
      <c r="A3844" s="1" t="s">
        <v>72</v>
      </c>
      <c r="B3844" s="1" t="s">
        <v>1681</v>
      </c>
      <c r="C3844" s="2">
        <v>1</v>
      </c>
      <c r="D3844" s="1">
        <v>2024</v>
      </c>
    </row>
    <row r="3845" spans="1:4" x14ac:dyDescent="0.35">
      <c r="A3845" s="1" t="s">
        <v>72</v>
      </c>
      <c r="B3845" s="1" t="s">
        <v>1684</v>
      </c>
      <c r="C3845" s="2">
        <v>1</v>
      </c>
      <c r="D3845" s="1">
        <v>2023</v>
      </c>
    </row>
    <row r="3846" spans="1:4" x14ac:dyDescent="0.35">
      <c r="A3846" s="1" t="s">
        <v>72</v>
      </c>
      <c r="B3846" s="1" t="s">
        <v>1685</v>
      </c>
      <c r="C3846" s="2">
        <v>1</v>
      </c>
      <c r="D3846" s="1">
        <v>2023</v>
      </c>
    </row>
    <row r="3847" spans="1:4" x14ac:dyDescent="0.35">
      <c r="A3847" s="1" t="s">
        <v>72</v>
      </c>
      <c r="B3847" s="1" t="s">
        <v>1688</v>
      </c>
      <c r="C3847" s="2">
        <v>-1</v>
      </c>
      <c r="D3847" s="1">
        <v>2023</v>
      </c>
    </row>
    <row r="3848" spans="1:4" x14ac:dyDescent="0.35">
      <c r="A3848" s="1" t="s">
        <v>72</v>
      </c>
      <c r="B3848" s="1" t="s">
        <v>1687</v>
      </c>
      <c r="C3848" s="2">
        <v>1</v>
      </c>
      <c r="D3848" s="1">
        <v>2023</v>
      </c>
    </row>
    <row r="3849" spans="1:4" x14ac:dyDescent="0.35">
      <c r="A3849" s="1" t="s">
        <v>72</v>
      </c>
      <c r="B3849" s="1" t="s">
        <v>1677</v>
      </c>
      <c r="C3849" s="2">
        <v>27</v>
      </c>
      <c r="D3849" s="1">
        <v>2023</v>
      </c>
    </row>
    <row r="3850" spans="1:4" x14ac:dyDescent="0.35">
      <c r="A3850" s="1" t="s">
        <v>72</v>
      </c>
      <c r="B3850" s="1" t="s">
        <v>1678</v>
      </c>
      <c r="C3850" s="2">
        <v>20</v>
      </c>
      <c r="D3850" s="1">
        <v>2022</v>
      </c>
    </row>
    <row r="3851" spans="1:4" x14ac:dyDescent="0.35">
      <c r="A3851" s="1" t="s">
        <v>72</v>
      </c>
      <c r="B3851" s="1" t="s">
        <v>1678</v>
      </c>
      <c r="C3851" s="2">
        <v>15</v>
      </c>
      <c r="D3851" s="1">
        <v>2023</v>
      </c>
    </row>
    <row r="3852" spans="1:4" x14ac:dyDescent="0.35">
      <c r="A3852" s="1" t="s">
        <v>72</v>
      </c>
      <c r="B3852" s="1" t="s">
        <v>1679</v>
      </c>
      <c r="C3852" s="2">
        <v>15</v>
      </c>
      <c r="D3852" s="1">
        <v>2022</v>
      </c>
    </row>
    <row r="3853" spans="1:4" x14ac:dyDescent="0.35">
      <c r="A3853" s="1" t="s">
        <v>72</v>
      </c>
      <c r="B3853" s="1" t="s">
        <v>1679</v>
      </c>
      <c r="C3853" s="2">
        <v>20</v>
      </c>
      <c r="D3853" s="1">
        <v>2023</v>
      </c>
    </row>
    <row r="3854" spans="1:4" x14ac:dyDescent="0.35">
      <c r="A3854" s="1" t="s">
        <v>72</v>
      </c>
      <c r="B3854" s="1" t="s">
        <v>1680</v>
      </c>
      <c r="C3854" s="2">
        <v>35</v>
      </c>
      <c r="D3854" s="1">
        <v>2023</v>
      </c>
    </row>
    <row r="3855" spans="1:4" x14ac:dyDescent="0.35">
      <c r="A3855" s="1" t="s">
        <v>72</v>
      </c>
      <c r="B3855" s="1" t="s">
        <v>1681</v>
      </c>
      <c r="C3855" s="2">
        <v>27</v>
      </c>
      <c r="D3855" s="1">
        <v>2023</v>
      </c>
    </row>
    <row r="3856" spans="1:4" x14ac:dyDescent="0.35">
      <c r="A3856" s="1" t="s">
        <v>72</v>
      </c>
      <c r="B3856" s="1" t="s">
        <v>1681</v>
      </c>
      <c r="C3856" s="2">
        <v>35</v>
      </c>
      <c r="D3856" s="1">
        <v>2024</v>
      </c>
    </row>
    <row r="3857" spans="1:4" x14ac:dyDescent="0.35">
      <c r="A3857" s="1" t="s">
        <v>72</v>
      </c>
      <c r="B3857" s="1" t="s">
        <v>1682</v>
      </c>
      <c r="C3857" s="2">
        <v>5</v>
      </c>
      <c r="D3857" s="1">
        <v>2022</v>
      </c>
    </row>
    <row r="3858" spans="1:4" x14ac:dyDescent="0.35">
      <c r="A3858" s="1" t="s">
        <v>72</v>
      </c>
      <c r="B3858" s="1" t="s">
        <v>1682</v>
      </c>
      <c r="C3858" s="2">
        <v>20</v>
      </c>
      <c r="D3858" s="1">
        <v>2023</v>
      </c>
    </row>
    <row r="3859" spans="1:4" x14ac:dyDescent="0.35">
      <c r="A3859" s="1" t="s">
        <v>72</v>
      </c>
      <c r="B3859" s="1" t="s">
        <v>1683</v>
      </c>
      <c r="C3859" s="2">
        <v>20</v>
      </c>
      <c r="D3859" s="1">
        <v>2023</v>
      </c>
    </row>
    <row r="3860" spans="1:4" x14ac:dyDescent="0.35">
      <c r="A3860" s="1" t="s">
        <v>72</v>
      </c>
      <c r="B3860" s="1" t="s">
        <v>1684</v>
      </c>
      <c r="C3860" s="2">
        <v>25</v>
      </c>
      <c r="D3860" s="1">
        <v>2023</v>
      </c>
    </row>
    <row r="3861" spans="1:4" x14ac:dyDescent="0.35">
      <c r="A3861" s="1" t="s">
        <v>72</v>
      </c>
      <c r="B3861" s="1" t="s">
        <v>1685</v>
      </c>
      <c r="C3861" s="2">
        <v>25</v>
      </c>
      <c r="D3861" s="1">
        <v>2023</v>
      </c>
    </row>
    <row r="3862" spans="1:4" x14ac:dyDescent="0.35">
      <c r="A3862" s="1" t="s">
        <v>72</v>
      </c>
      <c r="B3862" s="1" t="s">
        <v>1688</v>
      </c>
      <c r="C3862" s="2">
        <v>20</v>
      </c>
      <c r="D3862" s="1">
        <v>2022</v>
      </c>
    </row>
    <row r="3863" spans="1:4" x14ac:dyDescent="0.35">
      <c r="A3863" s="1" t="s">
        <v>72</v>
      </c>
      <c r="B3863" s="1" t="s">
        <v>1688</v>
      </c>
      <c r="C3863" s="2">
        <v>16</v>
      </c>
      <c r="D3863" s="1">
        <v>2023</v>
      </c>
    </row>
    <row r="3864" spans="1:4" x14ac:dyDescent="0.35">
      <c r="A3864" s="1" t="s">
        <v>72</v>
      </c>
      <c r="B3864" s="1" t="s">
        <v>1686</v>
      </c>
      <c r="C3864" s="2">
        <v>30</v>
      </c>
      <c r="D3864" s="1">
        <v>2022</v>
      </c>
    </row>
    <row r="3865" spans="1:4" x14ac:dyDescent="0.35">
      <c r="A3865" s="1" t="s">
        <v>72</v>
      </c>
      <c r="B3865" s="1" t="s">
        <v>1686</v>
      </c>
      <c r="C3865" s="2">
        <v>16</v>
      </c>
      <c r="D3865" s="1">
        <v>2023</v>
      </c>
    </row>
    <row r="3866" spans="1:4" x14ac:dyDescent="0.35">
      <c r="A3866" s="1" t="s">
        <v>72</v>
      </c>
      <c r="B3866" s="1" t="s">
        <v>1687</v>
      </c>
      <c r="C3866" s="2">
        <v>30</v>
      </c>
      <c r="D3866" s="1">
        <v>2022</v>
      </c>
    </row>
    <row r="3867" spans="1:4" x14ac:dyDescent="0.35">
      <c r="A3867" s="1" t="s">
        <v>72</v>
      </c>
      <c r="B3867" s="1" t="s">
        <v>1687</v>
      </c>
      <c r="C3867" s="2">
        <v>25</v>
      </c>
      <c r="D3867" s="1">
        <v>2023</v>
      </c>
    </row>
    <row r="3868" spans="1:4" x14ac:dyDescent="0.35">
      <c r="A3868" s="1" t="s">
        <v>72</v>
      </c>
      <c r="B3868" s="1" t="s">
        <v>1681</v>
      </c>
      <c r="C3868" s="2">
        <v>3</v>
      </c>
      <c r="D3868" s="1">
        <v>2023</v>
      </c>
    </row>
    <row r="3869" spans="1:4" x14ac:dyDescent="0.35">
      <c r="A3869" s="1" t="s">
        <v>72</v>
      </c>
      <c r="B3869" s="1" t="s">
        <v>1681</v>
      </c>
      <c r="C3869" s="2">
        <v>0</v>
      </c>
      <c r="D3869" s="1">
        <v>2024</v>
      </c>
    </row>
    <row r="3870" spans="1:4" x14ac:dyDescent="0.35">
      <c r="A3870" s="1" t="s">
        <v>72</v>
      </c>
      <c r="B3870" s="1" t="s">
        <v>1682</v>
      </c>
      <c r="C3870" s="2">
        <v>3</v>
      </c>
      <c r="D3870" s="1">
        <v>2022</v>
      </c>
    </row>
    <row r="3871" spans="1:4" x14ac:dyDescent="0.35">
      <c r="A3871" s="1" t="s">
        <v>72</v>
      </c>
      <c r="B3871" s="1" t="s">
        <v>1682</v>
      </c>
      <c r="C3871" s="2">
        <v>2</v>
      </c>
      <c r="D3871" s="1">
        <v>2023</v>
      </c>
    </row>
    <row r="3872" spans="1:4" x14ac:dyDescent="0.35">
      <c r="A3872" s="1" t="s">
        <v>72</v>
      </c>
      <c r="B3872" s="1" t="s">
        <v>1684</v>
      </c>
      <c r="C3872" s="2">
        <v>3</v>
      </c>
      <c r="D3872" s="1">
        <v>2023</v>
      </c>
    </row>
    <row r="3873" spans="1:4" x14ac:dyDescent="0.35">
      <c r="A3873" s="1" t="s">
        <v>72</v>
      </c>
      <c r="B3873" s="1" t="s">
        <v>1685</v>
      </c>
      <c r="C3873" s="2">
        <v>2</v>
      </c>
      <c r="D3873" s="1">
        <v>2023</v>
      </c>
    </row>
    <row r="3874" spans="1:4" x14ac:dyDescent="0.35">
      <c r="A3874" s="1" t="s">
        <v>72</v>
      </c>
      <c r="B3874" s="1" t="s">
        <v>1688</v>
      </c>
      <c r="C3874" s="2">
        <v>3</v>
      </c>
      <c r="D3874" s="1">
        <v>2022</v>
      </c>
    </row>
    <row r="3875" spans="1:4" x14ac:dyDescent="0.35">
      <c r="A3875" s="1" t="s">
        <v>72</v>
      </c>
      <c r="B3875" s="1" t="s">
        <v>1688</v>
      </c>
      <c r="C3875" s="2">
        <v>2</v>
      </c>
      <c r="D3875" s="1">
        <v>2023</v>
      </c>
    </row>
    <row r="3876" spans="1:4" x14ac:dyDescent="0.35">
      <c r="A3876" s="1" t="s">
        <v>72</v>
      </c>
      <c r="B3876" s="1" t="s">
        <v>1687</v>
      </c>
      <c r="C3876" s="2">
        <v>3</v>
      </c>
      <c r="D3876" s="1">
        <v>2022</v>
      </c>
    </row>
    <row r="3877" spans="1:4" x14ac:dyDescent="0.35">
      <c r="A3877" s="1" t="s">
        <v>72</v>
      </c>
      <c r="B3877" s="1" t="s">
        <v>1687</v>
      </c>
      <c r="C3877" s="2">
        <v>2</v>
      </c>
      <c r="D3877" s="1">
        <v>2023</v>
      </c>
    </row>
    <row r="3878" spans="1:4" x14ac:dyDescent="0.35">
      <c r="A3878" s="1" t="s">
        <v>72</v>
      </c>
      <c r="B3878" s="1" t="s">
        <v>1685</v>
      </c>
      <c r="C3878" s="2">
        <v>1</v>
      </c>
      <c r="D3878" s="1">
        <v>2023</v>
      </c>
    </row>
    <row r="3879" spans="1:4" x14ac:dyDescent="0.35">
      <c r="A3879" s="1" t="s">
        <v>72</v>
      </c>
      <c r="B3879" s="1" t="s">
        <v>1678</v>
      </c>
      <c r="C3879" s="2">
        <v>6</v>
      </c>
      <c r="D3879" s="1">
        <v>2022</v>
      </c>
    </row>
    <row r="3880" spans="1:4" x14ac:dyDescent="0.35">
      <c r="A3880" s="1" t="s">
        <v>72</v>
      </c>
      <c r="B3880" s="1" t="s">
        <v>1678</v>
      </c>
      <c r="C3880" s="2">
        <v>7</v>
      </c>
      <c r="D3880" s="1">
        <v>2023</v>
      </c>
    </row>
    <row r="3881" spans="1:4" x14ac:dyDescent="0.35">
      <c r="A3881" s="1" t="s">
        <v>72</v>
      </c>
      <c r="B3881" s="1" t="s">
        <v>1679</v>
      </c>
      <c r="C3881" s="2">
        <v>4</v>
      </c>
      <c r="D3881" s="1">
        <v>2022</v>
      </c>
    </row>
    <row r="3882" spans="1:4" x14ac:dyDescent="0.35">
      <c r="A3882" s="1" t="s">
        <v>72</v>
      </c>
      <c r="B3882" s="1" t="s">
        <v>1680</v>
      </c>
      <c r="C3882" s="2">
        <v>7</v>
      </c>
      <c r="D3882" s="1">
        <v>2023</v>
      </c>
    </row>
    <row r="3883" spans="1:4" x14ac:dyDescent="0.35">
      <c r="A3883" s="1" t="s">
        <v>72</v>
      </c>
      <c r="B3883" s="1" t="s">
        <v>1681</v>
      </c>
      <c r="C3883" s="2">
        <v>6</v>
      </c>
      <c r="D3883" s="1">
        <v>2023</v>
      </c>
    </row>
    <row r="3884" spans="1:4" x14ac:dyDescent="0.35">
      <c r="A3884" s="1" t="s">
        <v>72</v>
      </c>
      <c r="B3884" s="1" t="s">
        <v>1681</v>
      </c>
      <c r="C3884" s="2">
        <v>11</v>
      </c>
      <c r="D3884" s="1">
        <v>2024</v>
      </c>
    </row>
    <row r="3885" spans="1:4" x14ac:dyDescent="0.35">
      <c r="A3885" s="1" t="s">
        <v>72</v>
      </c>
      <c r="B3885" s="1" t="s">
        <v>1682</v>
      </c>
      <c r="C3885" s="2">
        <v>10</v>
      </c>
      <c r="D3885" s="1">
        <v>2022</v>
      </c>
    </row>
    <row r="3886" spans="1:4" x14ac:dyDescent="0.35">
      <c r="A3886" s="1" t="s">
        <v>72</v>
      </c>
      <c r="B3886" s="1" t="s">
        <v>1682</v>
      </c>
      <c r="C3886" s="2">
        <v>14</v>
      </c>
      <c r="D3886" s="1">
        <v>2023</v>
      </c>
    </row>
    <row r="3887" spans="1:4" x14ac:dyDescent="0.35">
      <c r="A3887" s="1" t="s">
        <v>72</v>
      </c>
      <c r="B3887" s="1" t="s">
        <v>1684</v>
      </c>
      <c r="C3887" s="2">
        <v>13</v>
      </c>
      <c r="D3887" s="1">
        <v>2023</v>
      </c>
    </row>
    <row r="3888" spans="1:4" x14ac:dyDescent="0.35">
      <c r="A3888" s="1" t="s">
        <v>72</v>
      </c>
      <c r="B3888" s="1" t="s">
        <v>1685</v>
      </c>
      <c r="C3888" s="2">
        <v>12</v>
      </c>
      <c r="D3888" s="1">
        <v>2023</v>
      </c>
    </row>
    <row r="3889" spans="1:4" x14ac:dyDescent="0.35">
      <c r="A3889" s="1" t="s">
        <v>72</v>
      </c>
      <c r="B3889" s="1" t="s">
        <v>1688</v>
      </c>
      <c r="C3889" s="2">
        <v>7</v>
      </c>
      <c r="D3889" s="1">
        <v>2022</v>
      </c>
    </row>
    <row r="3890" spans="1:4" x14ac:dyDescent="0.35">
      <c r="A3890" s="1" t="s">
        <v>72</v>
      </c>
      <c r="B3890" s="1" t="s">
        <v>1688</v>
      </c>
      <c r="C3890" s="2">
        <v>7</v>
      </c>
      <c r="D3890" s="1">
        <v>2023</v>
      </c>
    </row>
    <row r="3891" spans="1:4" x14ac:dyDescent="0.35">
      <c r="A3891" s="1" t="s">
        <v>72</v>
      </c>
      <c r="B3891" s="1" t="s">
        <v>1686</v>
      </c>
      <c r="C3891" s="2">
        <v>6</v>
      </c>
      <c r="D3891" s="1">
        <v>2022</v>
      </c>
    </row>
    <row r="3892" spans="1:4" x14ac:dyDescent="0.35">
      <c r="A3892" s="1" t="s">
        <v>72</v>
      </c>
      <c r="B3892" s="1" t="s">
        <v>1686</v>
      </c>
      <c r="C3892" s="2">
        <v>7</v>
      </c>
      <c r="D3892" s="1">
        <v>2023</v>
      </c>
    </row>
    <row r="3893" spans="1:4" x14ac:dyDescent="0.35">
      <c r="A3893" s="1" t="s">
        <v>72</v>
      </c>
      <c r="B3893" s="1" t="s">
        <v>1687</v>
      </c>
      <c r="C3893" s="2">
        <v>6</v>
      </c>
      <c r="D3893" s="1">
        <v>2022</v>
      </c>
    </row>
    <row r="3894" spans="1:4" x14ac:dyDescent="0.35">
      <c r="A3894" s="1" t="s">
        <v>72</v>
      </c>
      <c r="B3894" s="1" t="s">
        <v>1687</v>
      </c>
      <c r="C3894" s="2">
        <v>7</v>
      </c>
      <c r="D3894" s="1">
        <v>2023</v>
      </c>
    </row>
    <row r="3895" spans="1:4" x14ac:dyDescent="0.35">
      <c r="A3895" s="1" t="s">
        <v>72</v>
      </c>
      <c r="B3895" s="1" t="s">
        <v>1677</v>
      </c>
      <c r="C3895" s="2">
        <v>3</v>
      </c>
      <c r="D3895" s="1">
        <v>2023</v>
      </c>
    </row>
    <row r="3896" spans="1:4" x14ac:dyDescent="0.35">
      <c r="A3896" s="1" t="s">
        <v>72</v>
      </c>
      <c r="B3896" s="1" t="s">
        <v>1678</v>
      </c>
      <c r="C3896" s="2">
        <v>4</v>
      </c>
      <c r="D3896" s="1">
        <v>2022</v>
      </c>
    </row>
    <row r="3897" spans="1:4" x14ac:dyDescent="0.35">
      <c r="A3897" s="1" t="s">
        <v>72</v>
      </c>
      <c r="B3897" s="1" t="s">
        <v>1678</v>
      </c>
      <c r="C3897" s="2">
        <v>5</v>
      </c>
      <c r="D3897" s="1">
        <v>2023</v>
      </c>
    </row>
    <row r="3898" spans="1:4" x14ac:dyDescent="0.35">
      <c r="A3898" s="1" t="s">
        <v>72</v>
      </c>
      <c r="B3898" s="1" t="s">
        <v>1679</v>
      </c>
      <c r="C3898" s="2">
        <v>4</v>
      </c>
      <c r="D3898" s="1">
        <v>2022</v>
      </c>
    </row>
    <row r="3899" spans="1:4" x14ac:dyDescent="0.35">
      <c r="A3899" s="1" t="s">
        <v>72</v>
      </c>
      <c r="B3899" s="1" t="s">
        <v>1679</v>
      </c>
      <c r="C3899" s="2">
        <v>5</v>
      </c>
      <c r="D3899" s="1">
        <v>2023</v>
      </c>
    </row>
    <row r="3900" spans="1:4" x14ac:dyDescent="0.35">
      <c r="A3900" s="1" t="s">
        <v>72</v>
      </c>
      <c r="B3900" s="1" t="s">
        <v>1680</v>
      </c>
      <c r="C3900" s="2">
        <v>2</v>
      </c>
      <c r="D3900" s="1">
        <v>2023</v>
      </c>
    </row>
    <row r="3901" spans="1:4" x14ac:dyDescent="0.35">
      <c r="A3901" s="1" t="s">
        <v>72</v>
      </c>
      <c r="B3901" s="1" t="s">
        <v>1681</v>
      </c>
      <c r="C3901" s="2">
        <v>3</v>
      </c>
      <c r="D3901" s="1">
        <v>2023</v>
      </c>
    </row>
    <row r="3902" spans="1:4" x14ac:dyDescent="0.35">
      <c r="A3902" s="1" t="s">
        <v>72</v>
      </c>
      <c r="B3902" s="1" t="s">
        <v>1681</v>
      </c>
      <c r="C3902" s="2">
        <v>10</v>
      </c>
      <c r="D3902" s="1">
        <v>2024</v>
      </c>
    </row>
    <row r="3903" spans="1:4" x14ac:dyDescent="0.35">
      <c r="A3903" s="1" t="s">
        <v>72</v>
      </c>
      <c r="B3903" s="1" t="s">
        <v>1682</v>
      </c>
      <c r="C3903" s="2">
        <v>3</v>
      </c>
      <c r="D3903" s="1">
        <v>2022</v>
      </c>
    </row>
    <row r="3904" spans="1:4" x14ac:dyDescent="0.35">
      <c r="A3904" s="1" t="s">
        <v>72</v>
      </c>
      <c r="B3904" s="1" t="s">
        <v>1682</v>
      </c>
      <c r="C3904" s="2">
        <v>3</v>
      </c>
      <c r="D3904" s="1">
        <v>2023</v>
      </c>
    </row>
    <row r="3905" spans="1:4" x14ac:dyDescent="0.35">
      <c r="A3905" s="1" t="s">
        <v>72</v>
      </c>
      <c r="B3905" s="1" t="s">
        <v>1683</v>
      </c>
      <c r="C3905" s="2">
        <v>8</v>
      </c>
      <c r="D3905" s="1">
        <v>2023</v>
      </c>
    </row>
    <row r="3906" spans="1:4" x14ac:dyDescent="0.35">
      <c r="A3906" s="1" t="s">
        <v>72</v>
      </c>
      <c r="B3906" s="1" t="s">
        <v>1684</v>
      </c>
      <c r="C3906" s="2">
        <v>6</v>
      </c>
      <c r="D3906" s="1">
        <v>2023</v>
      </c>
    </row>
    <row r="3907" spans="1:4" x14ac:dyDescent="0.35">
      <c r="A3907" s="1" t="s">
        <v>72</v>
      </c>
      <c r="B3907" s="1" t="s">
        <v>1685</v>
      </c>
      <c r="C3907" s="2">
        <v>3</v>
      </c>
      <c r="D3907" s="1">
        <v>2023</v>
      </c>
    </row>
    <row r="3908" spans="1:4" x14ac:dyDescent="0.35">
      <c r="A3908" s="1" t="s">
        <v>72</v>
      </c>
      <c r="B3908" s="1" t="s">
        <v>1688</v>
      </c>
      <c r="C3908" s="2">
        <v>4</v>
      </c>
      <c r="D3908" s="1">
        <v>2022</v>
      </c>
    </row>
    <row r="3909" spans="1:4" x14ac:dyDescent="0.35">
      <c r="A3909" s="1" t="s">
        <v>72</v>
      </c>
      <c r="B3909" s="1" t="s">
        <v>1688</v>
      </c>
      <c r="C3909" s="2">
        <v>5</v>
      </c>
      <c r="D3909" s="1">
        <v>2023</v>
      </c>
    </row>
    <row r="3910" spans="1:4" x14ac:dyDescent="0.35">
      <c r="A3910" s="1" t="s">
        <v>72</v>
      </c>
      <c r="B3910" s="1" t="s">
        <v>1686</v>
      </c>
      <c r="C3910" s="2">
        <v>5</v>
      </c>
      <c r="D3910" s="1">
        <v>2022</v>
      </c>
    </row>
    <row r="3911" spans="1:4" x14ac:dyDescent="0.35">
      <c r="A3911" s="1" t="s">
        <v>72</v>
      </c>
      <c r="B3911" s="1" t="s">
        <v>1686</v>
      </c>
      <c r="C3911" s="2">
        <v>5</v>
      </c>
      <c r="D3911" s="1">
        <v>2023</v>
      </c>
    </row>
    <row r="3912" spans="1:4" x14ac:dyDescent="0.35">
      <c r="A3912" s="1" t="s">
        <v>72</v>
      </c>
      <c r="B3912" s="1" t="s">
        <v>1687</v>
      </c>
      <c r="C3912" s="2">
        <v>5</v>
      </c>
      <c r="D3912" s="1">
        <v>2023</v>
      </c>
    </row>
    <row r="3913" spans="1:4" x14ac:dyDescent="0.35">
      <c r="A3913" s="1" t="s">
        <v>72</v>
      </c>
      <c r="B3913" s="1" t="s">
        <v>1677</v>
      </c>
      <c r="C3913" s="2">
        <v>9</v>
      </c>
      <c r="D3913" s="1">
        <v>2023</v>
      </c>
    </row>
    <row r="3914" spans="1:4" x14ac:dyDescent="0.35">
      <c r="A3914" s="1" t="s">
        <v>72</v>
      </c>
      <c r="B3914" s="1" t="s">
        <v>1678</v>
      </c>
      <c r="C3914" s="2">
        <v>5</v>
      </c>
      <c r="D3914" s="1">
        <v>2022</v>
      </c>
    </row>
    <row r="3915" spans="1:4" x14ac:dyDescent="0.35">
      <c r="A3915" s="1" t="s">
        <v>72</v>
      </c>
      <c r="B3915" s="1" t="s">
        <v>1678</v>
      </c>
      <c r="C3915" s="2">
        <v>6</v>
      </c>
      <c r="D3915" s="1">
        <v>2023</v>
      </c>
    </row>
    <row r="3916" spans="1:4" x14ac:dyDescent="0.35">
      <c r="A3916" s="1" t="s">
        <v>72</v>
      </c>
      <c r="B3916" s="1" t="s">
        <v>1679</v>
      </c>
      <c r="C3916" s="2">
        <v>4</v>
      </c>
      <c r="D3916" s="1">
        <v>2022</v>
      </c>
    </row>
    <row r="3917" spans="1:4" x14ac:dyDescent="0.35">
      <c r="A3917" s="1" t="s">
        <v>72</v>
      </c>
      <c r="B3917" s="1" t="s">
        <v>1679</v>
      </c>
      <c r="C3917" s="2">
        <v>6</v>
      </c>
      <c r="D3917" s="1">
        <v>2023</v>
      </c>
    </row>
    <row r="3918" spans="1:4" x14ac:dyDescent="0.35">
      <c r="A3918" s="1" t="s">
        <v>72</v>
      </c>
      <c r="B3918" s="1" t="s">
        <v>1680</v>
      </c>
      <c r="C3918" s="2">
        <v>5</v>
      </c>
      <c r="D3918" s="1">
        <v>2023</v>
      </c>
    </row>
    <row r="3919" spans="1:4" x14ac:dyDescent="0.35">
      <c r="A3919" s="1" t="s">
        <v>72</v>
      </c>
      <c r="B3919" s="1" t="s">
        <v>1681</v>
      </c>
      <c r="C3919" s="2">
        <v>10</v>
      </c>
      <c r="D3919" s="1">
        <v>2023</v>
      </c>
    </row>
    <row r="3920" spans="1:4" x14ac:dyDescent="0.35">
      <c r="A3920" s="1" t="s">
        <v>72</v>
      </c>
      <c r="B3920" s="1" t="s">
        <v>1681</v>
      </c>
      <c r="C3920" s="2">
        <v>9</v>
      </c>
      <c r="D3920" s="1">
        <v>2024</v>
      </c>
    </row>
    <row r="3921" spans="1:4" x14ac:dyDescent="0.35">
      <c r="A3921" s="1" t="s">
        <v>72</v>
      </c>
      <c r="B3921" s="1" t="s">
        <v>1682</v>
      </c>
      <c r="C3921" s="2">
        <v>7</v>
      </c>
      <c r="D3921" s="1">
        <v>2022</v>
      </c>
    </row>
    <row r="3922" spans="1:4" x14ac:dyDescent="0.35">
      <c r="A3922" s="1" t="s">
        <v>72</v>
      </c>
      <c r="B3922" s="1" t="s">
        <v>1682</v>
      </c>
      <c r="C3922" s="2">
        <v>9</v>
      </c>
      <c r="D3922" s="1">
        <v>2023</v>
      </c>
    </row>
    <row r="3923" spans="1:4" x14ac:dyDescent="0.35">
      <c r="A3923" s="1" t="s">
        <v>72</v>
      </c>
      <c r="B3923" s="1" t="s">
        <v>1683</v>
      </c>
      <c r="C3923" s="2">
        <v>7</v>
      </c>
      <c r="D3923" s="1">
        <v>2023</v>
      </c>
    </row>
    <row r="3924" spans="1:4" x14ac:dyDescent="0.35">
      <c r="A3924" s="1" t="s">
        <v>72</v>
      </c>
      <c r="B3924" s="1" t="s">
        <v>1684</v>
      </c>
      <c r="C3924" s="2">
        <v>3</v>
      </c>
      <c r="D3924" s="1">
        <v>2023</v>
      </c>
    </row>
    <row r="3925" spans="1:4" x14ac:dyDescent="0.35">
      <c r="A3925" s="1" t="s">
        <v>72</v>
      </c>
      <c r="B3925" s="1" t="s">
        <v>1685</v>
      </c>
      <c r="C3925" s="2">
        <v>13</v>
      </c>
      <c r="D3925" s="1">
        <v>2023</v>
      </c>
    </row>
    <row r="3926" spans="1:4" x14ac:dyDescent="0.35">
      <c r="A3926" s="1" t="s">
        <v>72</v>
      </c>
      <c r="B3926" s="1" t="s">
        <v>1688</v>
      </c>
      <c r="C3926" s="2">
        <v>3</v>
      </c>
      <c r="D3926" s="1">
        <v>2022</v>
      </c>
    </row>
    <row r="3927" spans="1:4" x14ac:dyDescent="0.35">
      <c r="A3927" s="1" t="s">
        <v>72</v>
      </c>
      <c r="B3927" s="1" t="s">
        <v>1688</v>
      </c>
      <c r="C3927" s="2">
        <v>3</v>
      </c>
      <c r="D3927" s="1">
        <v>2023</v>
      </c>
    </row>
    <row r="3928" spans="1:4" x14ac:dyDescent="0.35">
      <c r="A3928" s="1" t="s">
        <v>72</v>
      </c>
      <c r="B3928" s="1" t="s">
        <v>1686</v>
      </c>
      <c r="C3928" s="2">
        <v>6</v>
      </c>
      <c r="D3928" s="1">
        <v>2022</v>
      </c>
    </row>
    <row r="3929" spans="1:4" x14ac:dyDescent="0.35">
      <c r="A3929" s="1" t="s">
        <v>72</v>
      </c>
      <c r="B3929" s="1" t="s">
        <v>1686</v>
      </c>
      <c r="C3929" s="2">
        <v>6</v>
      </c>
      <c r="D3929" s="1">
        <v>2023</v>
      </c>
    </row>
    <row r="3930" spans="1:4" x14ac:dyDescent="0.35">
      <c r="A3930" s="1" t="s">
        <v>72</v>
      </c>
      <c r="B3930" s="1" t="s">
        <v>1687</v>
      </c>
      <c r="C3930" s="2">
        <v>7</v>
      </c>
      <c r="D3930" s="1">
        <v>2022</v>
      </c>
    </row>
    <row r="3931" spans="1:4" x14ac:dyDescent="0.35">
      <c r="A3931" s="1" t="s">
        <v>72</v>
      </c>
      <c r="B3931" s="1" t="s">
        <v>1687</v>
      </c>
      <c r="C3931" s="2">
        <v>6</v>
      </c>
      <c r="D3931" s="1">
        <v>2023</v>
      </c>
    </row>
    <row r="3932" spans="1:4" x14ac:dyDescent="0.35">
      <c r="A3932" s="1" t="s">
        <v>72</v>
      </c>
      <c r="B3932" s="1" t="s">
        <v>1677</v>
      </c>
      <c r="C3932" s="2">
        <v>54</v>
      </c>
      <c r="D3932" s="1">
        <v>2023</v>
      </c>
    </row>
    <row r="3933" spans="1:4" x14ac:dyDescent="0.35">
      <c r="A3933" s="1" t="s">
        <v>72</v>
      </c>
      <c r="B3933" s="1" t="s">
        <v>1678</v>
      </c>
      <c r="C3933" s="2">
        <v>47</v>
      </c>
      <c r="D3933" s="1">
        <v>2022</v>
      </c>
    </row>
    <row r="3934" spans="1:4" x14ac:dyDescent="0.35">
      <c r="A3934" s="1" t="s">
        <v>72</v>
      </c>
      <c r="B3934" s="1" t="s">
        <v>1678</v>
      </c>
      <c r="C3934" s="2">
        <v>71</v>
      </c>
      <c r="D3934" s="1">
        <v>2023</v>
      </c>
    </row>
    <row r="3935" spans="1:4" x14ac:dyDescent="0.35">
      <c r="A3935" s="1" t="s">
        <v>72</v>
      </c>
      <c r="B3935" s="1" t="s">
        <v>1679</v>
      </c>
      <c r="C3935" s="2">
        <v>38</v>
      </c>
      <c r="D3935" s="1">
        <v>2022</v>
      </c>
    </row>
    <row r="3936" spans="1:4" x14ac:dyDescent="0.35">
      <c r="A3936" s="1" t="s">
        <v>72</v>
      </c>
      <c r="B3936" s="1" t="s">
        <v>1679</v>
      </c>
      <c r="C3936" s="2">
        <v>50</v>
      </c>
      <c r="D3936" s="1">
        <v>2023</v>
      </c>
    </row>
    <row r="3937" spans="1:4" x14ac:dyDescent="0.35">
      <c r="A3937" s="1" t="s">
        <v>72</v>
      </c>
      <c r="B3937" s="1" t="s">
        <v>1680</v>
      </c>
      <c r="C3937" s="2">
        <v>48</v>
      </c>
      <c r="D3937" s="1">
        <v>2023</v>
      </c>
    </row>
    <row r="3938" spans="1:4" x14ac:dyDescent="0.35">
      <c r="A3938" s="1" t="s">
        <v>72</v>
      </c>
      <c r="B3938" s="1" t="s">
        <v>1681</v>
      </c>
      <c r="C3938" s="2">
        <v>68</v>
      </c>
      <c r="D3938" s="1">
        <v>2023</v>
      </c>
    </row>
    <row r="3939" spans="1:4" x14ac:dyDescent="0.35">
      <c r="A3939" s="1" t="s">
        <v>72</v>
      </c>
      <c r="B3939" s="1" t="s">
        <v>1681</v>
      </c>
      <c r="C3939" s="2">
        <v>72</v>
      </c>
      <c r="D3939" s="1">
        <v>2024</v>
      </c>
    </row>
    <row r="3940" spans="1:4" x14ac:dyDescent="0.35">
      <c r="A3940" s="1" t="s">
        <v>72</v>
      </c>
      <c r="B3940" s="1" t="s">
        <v>1682</v>
      </c>
      <c r="C3940" s="2">
        <v>75</v>
      </c>
      <c r="D3940" s="1">
        <v>2022</v>
      </c>
    </row>
    <row r="3941" spans="1:4" x14ac:dyDescent="0.35">
      <c r="A3941" s="1" t="s">
        <v>72</v>
      </c>
      <c r="B3941" s="1" t="s">
        <v>1682</v>
      </c>
      <c r="C3941" s="2">
        <v>101</v>
      </c>
      <c r="D3941" s="1">
        <v>2023</v>
      </c>
    </row>
    <row r="3942" spans="1:4" x14ac:dyDescent="0.35">
      <c r="A3942" s="1" t="s">
        <v>72</v>
      </c>
      <c r="B3942" s="1" t="s">
        <v>1683</v>
      </c>
      <c r="C3942" s="2">
        <v>71</v>
      </c>
      <c r="D3942" s="1">
        <v>2023</v>
      </c>
    </row>
    <row r="3943" spans="1:4" x14ac:dyDescent="0.35">
      <c r="A3943" s="1" t="s">
        <v>72</v>
      </c>
      <c r="B3943" s="1" t="s">
        <v>1684</v>
      </c>
      <c r="C3943" s="2">
        <v>49</v>
      </c>
      <c r="D3943" s="1">
        <v>2023</v>
      </c>
    </row>
    <row r="3944" spans="1:4" x14ac:dyDescent="0.35">
      <c r="A3944" s="1" t="s">
        <v>72</v>
      </c>
      <c r="B3944" s="1" t="s">
        <v>1685</v>
      </c>
      <c r="C3944" s="2">
        <v>75</v>
      </c>
      <c r="D3944" s="1">
        <v>2023</v>
      </c>
    </row>
    <row r="3945" spans="1:4" x14ac:dyDescent="0.35">
      <c r="A3945" s="1" t="s">
        <v>72</v>
      </c>
      <c r="B3945" s="1" t="s">
        <v>1688</v>
      </c>
      <c r="C3945" s="2">
        <v>51</v>
      </c>
      <c r="D3945" s="1">
        <v>2022</v>
      </c>
    </row>
    <row r="3946" spans="1:4" x14ac:dyDescent="0.35">
      <c r="A3946" s="1" t="s">
        <v>72</v>
      </c>
      <c r="B3946" s="1" t="s">
        <v>1688</v>
      </c>
      <c r="C3946" s="2">
        <v>63</v>
      </c>
      <c r="D3946" s="1">
        <v>2023</v>
      </c>
    </row>
    <row r="3947" spans="1:4" x14ac:dyDescent="0.35">
      <c r="A3947" s="1" t="s">
        <v>72</v>
      </c>
      <c r="B3947" s="1" t="s">
        <v>1686</v>
      </c>
      <c r="C3947" s="2">
        <v>48</v>
      </c>
      <c r="D3947" s="1">
        <v>2022</v>
      </c>
    </row>
    <row r="3948" spans="1:4" x14ac:dyDescent="0.35">
      <c r="A3948" s="1" t="s">
        <v>72</v>
      </c>
      <c r="B3948" s="1" t="s">
        <v>1686</v>
      </c>
      <c r="C3948" s="2">
        <v>64</v>
      </c>
      <c r="D3948" s="1">
        <v>2023</v>
      </c>
    </row>
    <row r="3949" spans="1:4" x14ac:dyDescent="0.35">
      <c r="A3949" s="1" t="s">
        <v>72</v>
      </c>
      <c r="B3949" s="1" t="s">
        <v>1686</v>
      </c>
      <c r="C3949" s="2">
        <v>3</v>
      </c>
      <c r="D3949" s="1">
        <v>2023</v>
      </c>
    </row>
    <row r="3950" spans="1:4" x14ac:dyDescent="0.35">
      <c r="A3950" s="1" t="s">
        <v>72</v>
      </c>
      <c r="B3950" s="1" t="s">
        <v>1687</v>
      </c>
      <c r="C3950" s="2">
        <v>28</v>
      </c>
      <c r="D3950" s="1">
        <v>2022</v>
      </c>
    </row>
    <row r="3951" spans="1:4" x14ac:dyDescent="0.35">
      <c r="A3951" s="1" t="s">
        <v>72</v>
      </c>
      <c r="B3951" s="1" t="s">
        <v>1687</v>
      </c>
      <c r="C3951" s="2">
        <v>45</v>
      </c>
      <c r="D3951" s="1">
        <v>2023</v>
      </c>
    </row>
    <row r="3952" spans="1:4" x14ac:dyDescent="0.35">
      <c r="A3952" s="1" t="s">
        <v>72</v>
      </c>
      <c r="B3952" s="1" t="s">
        <v>1678</v>
      </c>
      <c r="C3952" s="2">
        <v>1</v>
      </c>
      <c r="D3952" s="1">
        <v>2022</v>
      </c>
    </row>
    <row r="3953" spans="1:4" x14ac:dyDescent="0.35">
      <c r="A3953" s="1" t="s">
        <v>72</v>
      </c>
      <c r="B3953" s="1" t="s">
        <v>1678</v>
      </c>
      <c r="C3953" s="2">
        <v>1</v>
      </c>
      <c r="D3953" s="1">
        <v>2023</v>
      </c>
    </row>
    <row r="3954" spans="1:4" x14ac:dyDescent="0.35">
      <c r="A3954" s="1" t="s">
        <v>72</v>
      </c>
      <c r="B3954" s="1" t="s">
        <v>1679</v>
      </c>
      <c r="C3954" s="2">
        <v>1</v>
      </c>
      <c r="D3954" s="1">
        <v>2022</v>
      </c>
    </row>
    <row r="3955" spans="1:4" x14ac:dyDescent="0.35">
      <c r="A3955" s="1" t="s">
        <v>72</v>
      </c>
      <c r="B3955" s="1" t="s">
        <v>1680</v>
      </c>
      <c r="C3955" s="2">
        <v>1</v>
      </c>
      <c r="D3955" s="1">
        <v>2023</v>
      </c>
    </row>
    <row r="3956" spans="1:4" x14ac:dyDescent="0.35">
      <c r="A3956" s="1" t="s">
        <v>72</v>
      </c>
      <c r="B3956" s="1" t="s">
        <v>1681</v>
      </c>
      <c r="C3956" s="2">
        <v>1</v>
      </c>
      <c r="D3956" s="1">
        <v>2023</v>
      </c>
    </row>
    <row r="3957" spans="1:4" x14ac:dyDescent="0.35">
      <c r="A3957" s="1" t="s">
        <v>72</v>
      </c>
      <c r="B3957" s="1" t="s">
        <v>1681</v>
      </c>
      <c r="C3957" s="2">
        <v>1</v>
      </c>
      <c r="D3957" s="1">
        <v>2024</v>
      </c>
    </row>
    <row r="3958" spans="1:4" x14ac:dyDescent="0.35">
      <c r="A3958" s="1" t="s">
        <v>72</v>
      </c>
      <c r="B3958" s="1" t="s">
        <v>1682</v>
      </c>
      <c r="C3958" s="2">
        <v>1</v>
      </c>
      <c r="D3958" s="1">
        <v>2023</v>
      </c>
    </row>
    <row r="3959" spans="1:4" x14ac:dyDescent="0.35">
      <c r="A3959" s="1" t="s">
        <v>72</v>
      </c>
      <c r="B3959" s="1" t="s">
        <v>1683</v>
      </c>
      <c r="C3959" s="2">
        <v>1</v>
      </c>
      <c r="D3959" s="1">
        <v>2023</v>
      </c>
    </row>
    <row r="3960" spans="1:4" x14ac:dyDescent="0.35">
      <c r="A3960" s="1" t="s">
        <v>72</v>
      </c>
      <c r="B3960" s="1" t="s">
        <v>1684</v>
      </c>
      <c r="C3960" s="2">
        <v>1</v>
      </c>
      <c r="D3960" s="1">
        <v>2023</v>
      </c>
    </row>
    <row r="3961" spans="1:4" x14ac:dyDescent="0.35">
      <c r="A3961" s="1" t="s">
        <v>72</v>
      </c>
      <c r="B3961" s="1" t="s">
        <v>1685</v>
      </c>
      <c r="C3961" s="2">
        <v>1</v>
      </c>
      <c r="D3961" s="1">
        <v>2023</v>
      </c>
    </row>
    <row r="3962" spans="1:4" x14ac:dyDescent="0.35">
      <c r="A3962" s="1" t="s">
        <v>72</v>
      </c>
      <c r="B3962" s="1" t="s">
        <v>1688</v>
      </c>
      <c r="C3962" s="2">
        <v>1</v>
      </c>
      <c r="D3962" s="1">
        <v>2022</v>
      </c>
    </row>
    <row r="3963" spans="1:4" x14ac:dyDescent="0.35">
      <c r="A3963" s="1" t="s">
        <v>72</v>
      </c>
      <c r="B3963" s="1" t="s">
        <v>1688</v>
      </c>
      <c r="C3963" s="2">
        <v>1</v>
      </c>
      <c r="D3963" s="1">
        <v>2023</v>
      </c>
    </row>
    <row r="3964" spans="1:4" x14ac:dyDescent="0.35">
      <c r="A3964" s="1" t="s">
        <v>72</v>
      </c>
      <c r="B3964" s="1" t="s">
        <v>1686</v>
      </c>
      <c r="C3964" s="2">
        <v>1</v>
      </c>
      <c r="D3964" s="1">
        <v>2022</v>
      </c>
    </row>
    <row r="3965" spans="1:4" x14ac:dyDescent="0.35">
      <c r="A3965" s="1" t="s">
        <v>72</v>
      </c>
      <c r="B3965" s="1" t="s">
        <v>1686</v>
      </c>
      <c r="C3965" s="2">
        <v>1</v>
      </c>
      <c r="D3965" s="1">
        <v>2023</v>
      </c>
    </row>
    <row r="3966" spans="1:4" x14ac:dyDescent="0.35">
      <c r="A3966" s="1" t="s">
        <v>72</v>
      </c>
      <c r="B3966" s="1" t="s">
        <v>1687</v>
      </c>
      <c r="C3966" s="2">
        <v>1</v>
      </c>
      <c r="D3966" s="1">
        <v>2022</v>
      </c>
    </row>
    <row r="3967" spans="1:4" x14ac:dyDescent="0.35">
      <c r="A3967" s="1" t="s">
        <v>72</v>
      </c>
      <c r="B3967" s="1" t="s">
        <v>1687</v>
      </c>
      <c r="C3967" s="2">
        <v>1</v>
      </c>
      <c r="D3967" s="1">
        <v>2023</v>
      </c>
    </row>
    <row r="3968" spans="1:4" x14ac:dyDescent="0.35">
      <c r="A3968" s="1" t="s">
        <v>1656</v>
      </c>
      <c r="B3968" s="1" t="s">
        <v>1677</v>
      </c>
      <c r="C3968" s="2">
        <v>4</v>
      </c>
      <c r="D3968" s="1">
        <v>2023</v>
      </c>
    </row>
    <row r="3969" spans="1:4" x14ac:dyDescent="0.35">
      <c r="A3969" s="1" t="s">
        <v>1656</v>
      </c>
      <c r="B3969" s="1" t="s">
        <v>1677</v>
      </c>
      <c r="C3969" s="2">
        <v>33</v>
      </c>
      <c r="D3969" s="1">
        <v>2024</v>
      </c>
    </row>
    <row r="3970" spans="1:4" x14ac:dyDescent="0.35">
      <c r="A3970" s="1" t="s">
        <v>1656</v>
      </c>
      <c r="B3970" s="1" t="s">
        <v>1677</v>
      </c>
      <c r="C3970" s="2">
        <v>29</v>
      </c>
      <c r="D3970" s="1">
        <v>2025</v>
      </c>
    </row>
    <row r="3971" spans="1:4" x14ac:dyDescent="0.35">
      <c r="A3971" s="1" t="s">
        <v>1656</v>
      </c>
      <c r="B3971" s="1" t="s">
        <v>1678</v>
      </c>
      <c r="C3971" s="2">
        <v>39</v>
      </c>
      <c r="D3971" s="1">
        <v>2022</v>
      </c>
    </row>
    <row r="3972" spans="1:4" x14ac:dyDescent="0.35">
      <c r="A3972" s="1" t="s">
        <v>1656</v>
      </c>
      <c r="B3972" s="1" t="s">
        <v>1678</v>
      </c>
      <c r="C3972" s="2">
        <v>43</v>
      </c>
      <c r="D3972" s="1">
        <v>2023</v>
      </c>
    </row>
    <row r="3973" spans="1:4" x14ac:dyDescent="0.35">
      <c r="A3973" s="1" t="s">
        <v>1656</v>
      </c>
      <c r="B3973" s="1" t="s">
        <v>1678</v>
      </c>
      <c r="C3973" s="2">
        <v>35</v>
      </c>
      <c r="D3973" s="1">
        <v>2024</v>
      </c>
    </row>
    <row r="3974" spans="1:4" x14ac:dyDescent="0.35">
      <c r="A3974" s="1" t="s">
        <v>1656</v>
      </c>
      <c r="B3974" s="1" t="s">
        <v>1679</v>
      </c>
      <c r="C3974" s="2">
        <v>45</v>
      </c>
      <c r="D3974" s="1">
        <v>2022</v>
      </c>
    </row>
    <row r="3975" spans="1:4" x14ac:dyDescent="0.35">
      <c r="A3975" s="1" t="s">
        <v>1656</v>
      </c>
      <c r="B3975" s="1" t="s">
        <v>1679</v>
      </c>
      <c r="C3975" s="2">
        <v>66</v>
      </c>
      <c r="D3975" s="1">
        <v>2023</v>
      </c>
    </row>
    <row r="3976" spans="1:4" x14ac:dyDescent="0.35">
      <c r="A3976" s="1" t="s">
        <v>1656</v>
      </c>
      <c r="B3976" s="1" t="s">
        <v>1679</v>
      </c>
      <c r="C3976" s="2">
        <v>38</v>
      </c>
      <c r="D3976" s="1">
        <v>2024</v>
      </c>
    </row>
    <row r="3977" spans="1:4" x14ac:dyDescent="0.35">
      <c r="A3977" s="1" t="s">
        <v>1656</v>
      </c>
      <c r="B3977" s="1" t="s">
        <v>1680</v>
      </c>
      <c r="C3977" s="2">
        <v>83</v>
      </c>
      <c r="D3977" s="1">
        <v>2023</v>
      </c>
    </row>
    <row r="3978" spans="1:4" x14ac:dyDescent="0.35">
      <c r="A3978" s="1" t="s">
        <v>1656</v>
      </c>
      <c r="B3978" s="1" t="s">
        <v>1680</v>
      </c>
      <c r="C3978" s="2">
        <v>33</v>
      </c>
      <c r="D3978" s="1">
        <v>2024</v>
      </c>
    </row>
    <row r="3979" spans="1:4" x14ac:dyDescent="0.35">
      <c r="A3979" s="1" t="s">
        <v>1656</v>
      </c>
      <c r="B3979" s="1" t="s">
        <v>1680</v>
      </c>
      <c r="C3979" s="2">
        <v>40</v>
      </c>
      <c r="D3979" s="1">
        <v>2025</v>
      </c>
    </row>
    <row r="3980" spans="1:4" x14ac:dyDescent="0.35">
      <c r="A3980" s="1" t="s">
        <v>1656</v>
      </c>
      <c r="B3980" s="1" t="s">
        <v>1681</v>
      </c>
      <c r="C3980" s="2">
        <v>27</v>
      </c>
      <c r="D3980" s="1">
        <v>2023</v>
      </c>
    </row>
    <row r="3981" spans="1:4" x14ac:dyDescent="0.35">
      <c r="A3981" s="1" t="s">
        <v>1656</v>
      </c>
      <c r="B3981" s="1" t="s">
        <v>1681</v>
      </c>
      <c r="C3981" s="2">
        <v>28</v>
      </c>
      <c r="D3981" s="1">
        <v>2024</v>
      </c>
    </row>
    <row r="3982" spans="1:4" x14ac:dyDescent="0.35">
      <c r="A3982" s="1" t="s">
        <v>1656</v>
      </c>
      <c r="B3982" s="1" t="s">
        <v>1681</v>
      </c>
      <c r="C3982" s="2">
        <v>40</v>
      </c>
      <c r="D3982" s="1">
        <v>2025</v>
      </c>
    </row>
    <row r="3983" spans="1:4" x14ac:dyDescent="0.35">
      <c r="A3983" s="1" t="s">
        <v>1656</v>
      </c>
      <c r="B3983" s="1" t="s">
        <v>1682</v>
      </c>
      <c r="C3983" s="2">
        <v>42</v>
      </c>
      <c r="D3983" s="1">
        <v>2022</v>
      </c>
    </row>
    <row r="3984" spans="1:4" x14ac:dyDescent="0.35">
      <c r="A3984" s="1" t="s">
        <v>1656</v>
      </c>
      <c r="B3984" s="1" t="s">
        <v>1682</v>
      </c>
      <c r="C3984" s="2">
        <v>36</v>
      </c>
      <c r="D3984" s="1">
        <v>2023</v>
      </c>
    </row>
    <row r="3985" spans="1:4" x14ac:dyDescent="0.35">
      <c r="A3985" s="1" t="s">
        <v>1656</v>
      </c>
      <c r="B3985" s="1" t="s">
        <v>1682</v>
      </c>
      <c r="C3985" s="2">
        <v>41</v>
      </c>
      <c r="D3985" s="1">
        <v>2024</v>
      </c>
    </row>
    <row r="3986" spans="1:4" x14ac:dyDescent="0.35">
      <c r="A3986" s="1" t="s">
        <v>1656</v>
      </c>
      <c r="B3986" s="1" t="s">
        <v>1683</v>
      </c>
      <c r="C3986" s="2">
        <v>39</v>
      </c>
      <c r="D3986" s="1">
        <v>2023</v>
      </c>
    </row>
    <row r="3987" spans="1:4" x14ac:dyDescent="0.35">
      <c r="A3987" s="1" t="s">
        <v>1656</v>
      </c>
      <c r="B3987" s="1" t="s">
        <v>1683</v>
      </c>
      <c r="C3987" s="2">
        <v>36</v>
      </c>
      <c r="D3987" s="1">
        <v>2024</v>
      </c>
    </row>
    <row r="3988" spans="1:4" x14ac:dyDescent="0.35">
      <c r="A3988" s="1" t="s">
        <v>1656</v>
      </c>
      <c r="B3988" s="1" t="s">
        <v>1683</v>
      </c>
      <c r="C3988" s="2">
        <v>27</v>
      </c>
      <c r="D3988" s="1">
        <v>2025</v>
      </c>
    </row>
    <row r="3989" spans="1:4" x14ac:dyDescent="0.35">
      <c r="A3989" s="1" t="s">
        <v>1656</v>
      </c>
      <c r="B3989" s="1" t="s">
        <v>1683</v>
      </c>
      <c r="C3989" s="2">
        <v>2</v>
      </c>
      <c r="D3989" s="1">
        <v>2025</v>
      </c>
    </row>
    <row r="3990" spans="1:4" x14ac:dyDescent="0.35">
      <c r="A3990" s="1" t="s">
        <v>1656</v>
      </c>
      <c r="B3990" s="1" t="s">
        <v>1684</v>
      </c>
      <c r="C3990" s="2">
        <v>94</v>
      </c>
      <c r="D3990" s="1">
        <v>2023</v>
      </c>
    </row>
    <row r="3991" spans="1:4" x14ac:dyDescent="0.35">
      <c r="A3991" s="1" t="s">
        <v>1656</v>
      </c>
      <c r="B3991" s="1" t="s">
        <v>1684</v>
      </c>
      <c r="C3991" s="2">
        <v>45</v>
      </c>
      <c r="D3991" s="1">
        <v>2024</v>
      </c>
    </row>
    <row r="3992" spans="1:4" x14ac:dyDescent="0.35">
      <c r="A3992" s="1" t="s">
        <v>1656</v>
      </c>
      <c r="B3992" s="1" t="s">
        <v>1684</v>
      </c>
      <c r="C3992" s="2">
        <v>26</v>
      </c>
      <c r="D3992" s="1">
        <v>2025</v>
      </c>
    </row>
    <row r="3993" spans="1:4" x14ac:dyDescent="0.35">
      <c r="A3993" s="1" t="s">
        <v>1656</v>
      </c>
      <c r="B3993" s="1" t="s">
        <v>1685</v>
      </c>
      <c r="C3993" s="2">
        <v>44</v>
      </c>
      <c r="D3993" s="1">
        <v>2023</v>
      </c>
    </row>
    <row r="3994" spans="1:4" x14ac:dyDescent="0.35">
      <c r="A3994" s="1" t="s">
        <v>1656</v>
      </c>
      <c r="B3994" s="1" t="s">
        <v>1685</v>
      </c>
      <c r="C3994" s="2">
        <v>39</v>
      </c>
      <c r="D3994" s="1">
        <v>2024</v>
      </c>
    </row>
    <row r="3995" spans="1:4" x14ac:dyDescent="0.35">
      <c r="A3995" s="1" t="s">
        <v>1656</v>
      </c>
      <c r="B3995" s="1" t="s">
        <v>1685</v>
      </c>
      <c r="C3995" s="2">
        <v>30</v>
      </c>
      <c r="D3995" s="1">
        <v>2025</v>
      </c>
    </row>
    <row r="3996" spans="1:4" x14ac:dyDescent="0.35">
      <c r="A3996" s="1" t="s">
        <v>1656</v>
      </c>
      <c r="B3996" s="1" t="s">
        <v>1688</v>
      </c>
      <c r="C3996" s="2">
        <v>43</v>
      </c>
      <c r="D3996" s="1">
        <v>2022</v>
      </c>
    </row>
    <row r="3997" spans="1:4" x14ac:dyDescent="0.35">
      <c r="A3997" s="1" t="s">
        <v>1656</v>
      </c>
      <c r="B3997" s="1" t="s">
        <v>1688</v>
      </c>
      <c r="C3997" s="2">
        <v>36</v>
      </c>
      <c r="D3997" s="1">
        <v>2023</v>
      </c>
    </row>
    <row r="3998" spans="1:4" x14ac:dyDescent="0.35">
      <c r="A3998" s="1" t="s">
        <v>1656</v>
      </c>
      <c r="B3998" s="1" t="s">
        <v>1688</v>
      </c>
      <c r="C3998" s="2">
        <v>24</v>
      </c>
      <c r="D3998" s="1">
        <v>2024</v>
      </c>
    </row>
    <row r="3999" spans="1:4" x14ac:dyDescent="0.35">
      <c r="A3999" s="1" t="s">
        <v>1656</v>
      </c>
      <c r="B3999" s="1" t="s">
        <v>1686</v>
      </c>
      <c r="C3999" s="2">
        <v>34</v>
      </c>
      <c r="D3999" s="1">
        <v>2022</v>
      </c>
    </row>
    <row r="4000" spans="1:4" x14ac:dyDescent="0.35">
      <c r="A4000" s="1" t="s">
        <v>1656</v>
      </c>
      <c r="B4000" s="1" t="s">
        <v>1686</v>
      </c>
      <c r="C4000" s="2">
        <v>32</v>
      </c>
      <c r="D4000" s="1">
        <v>2023</v>
      </c>
    </row>
    <row r="4001" spans="1:4" x14ac:dyDescent="0.35">
      <c r="A4001" s="1" t="s">
        <v>1656</v>
      </c>
      <c r="B4001" s="1" t="s">
        <v>1686</v>
      </c>
      <c r="C4001" s="2">
        <v>69</v>
      </c>
      <c r="D4001" s="1">
        <v>2024</v>
      </c>
    </row>
    <row r="4002" spans="1:4" x14ac:dyDescent="0.35">
      <c r="A4002" s="1" t="s">
        <v>1656</v>
      </c>
      <c r="B4002" s="1" t="s">
        <v>1687</v>
      </c>
      <c r="C4002" s="2">
        <v>50</v>
      </c>
      <c r="D4002" s="1">
        <v>2022</v>
      </c>
    </row>
    <row r="4003" spans="1:4" x14ac:dyDescent="0.35">
      <c r="A4003" s="1" t="s">
        <v>1656</v>
      </c>
      <c r="B4003" s="1" t="s">
        <v>1687</v>
      </c>
      <c r="C4003" s="2">
        <v>33</v>
      </c>
      <c r="D4003" s="1">
        <v>2023</v>
      </c>
    </row>
    <row r="4004" spans="1:4" x14ac:dyDescent="0.35">
      <c r="A4004" s="1" t="s">
        <v>1656</v>
      </c>
      <c r="B4004" s="1" t="s">
        <v>1687</v>
      </c>
      <c r="C4004" s="2">
        <v>49</v>
      </c>
      <c r="D4004" s="1">
        <v>2024</v>
      </c>
    </row>
    <row r="4005" spans="1:4" x14ac:dyDescent="0.35">
      <c r="A4005" s="1" t="s">
        <v>1656</v>
      </c>
      <c r="B4005" s="1" t="s">
        <v>1677</v>
      </c>
      <c r="C4005" s="2">
        <v>5</v>
      </c>
      <c r="D4005" s="1">
        <v>2023</v>
      </c>
    </row>
    <row r="4006" spans="1:4" x14ac:dyDescent="0.35">
      <c r="A4006" s="1" t="s">
        <v>1656</v>
      </c>
      <c r="B4006" s="1" t="s">
        <v>1677</v>
      </c>
      <c r="C4006" s="2">
        <v>34</v>
      </c>
      <c r="D4006" s="1">
        <v>2024</v>
      </c>
    </row>
    <row r="4007" spans="1:4" x14ac:dyDescent="0.35">
      <c r="A4007" s="1" t="s">
        <v>1656</v>
      </c>
      <c r="B4007" s="1" t="s">
        <v>1677</v>
      </c>
      <c r="C4007" s="2">
        <v>23</v>
      </c>
      <c r="D4007" s="1">
        <v>2025</v>
      </c>
    </row>
    <row r="4008" spans="1:4" x14ac:dyDescent="0.35">
      <c r="A4008" s="1" t="s">
        <v>1656</v>
      </c>
      <c r="B4008" s="1" t="s">
        <v>1677</v>
      </c>
      <c r="C4008" s="2">
        <v>9</v>
      </c>
      <c r="D4008" s="1">
        <v>2023</v>
      </c>
    </row>
    <row r="4009" spans="1:4" x14ac:dyDescent="0.35">
      <c r="A4009" s="1" t="s">
        <v>1656</v>
      </c>
      <c r="B4009" s="1" t="s">
        <v>1677</v>
      </c>
      <c r="C4009" s="2">
        <v>7</v>
      </c>
      <c r="D4009" s="1">
        <v>2024</v>
      </c>
    </row>
    <row r="4010" spans="1:4" x14ac:dyDescent="0.35">
      <c r="A4010" s="1" t="s">
        <v>1656</v>
      </c>
      <c r="B4010" s="1" t="s">
        <v>1678</v>
      </c>
      <c r="C4010" s="2">
        <v>18</v>
      </c>
      <c r="D4010" s="1">
        <v>2022</v>
      </c>
    </row>
    <row r="4011" spans="1:4" x14ac:dyDescent="0.35">
      <c r="A4011" s="1" t="s">
        <v>1656</v>
      </c>
      <c r="B4011" s="1" t="s">
        <v>1678</v>
      </c>
      <c r="C4011" s="2">
        <v>5</v>
      </c>
      <c r="D4011" s="1">
        <v>2023</v>
      </c>
    </row>
    <row r="4012" spans="1:4" x14ac:dyDescent="0.35">
      <c r="A4012" s="1" t="s">
        <v>1656</v>
      </c>
      <c r="B4012" s="1" t="s">
        <v>1678</v>
      </c>
      <c r="C4012" s="2">
        <v>69</v>
      </c>
      <c r="D4012" s="1">
        <v>2024</v>
      </c>
    </row>
    <row r="4013" spans="1:4" x14ac:dyDescent="0.35">
      <c r="A4013" s="1" t="s">
        <v>1656</v>
      </c>
      <c r="B4013" s="1" t="s">
        <v>1678</v>
      </c>
      <c r="C4013" s="2">
        <v>9</v>
      </c>
      <c r="D4013" s="1">
        <v>2022</v>
      </c>
    </row>
    <row r="4014" spans="1:4" x14ac:dyDescent="0.35">
      <c r="A4014" s="1" t="s">
        <v>1656</v>
      </c>
      <c r="B4014" s="1" t="s">
        <v>1678</v>
      </c>
      <c r="C4014" s="2">
        <v>13</v>
      </c>
      <c r="D4014" s="1">
        <v>2023</v>
      </c>
    </row>
    <row r="4015" spans="1:4" x14ac:dyDescent="0.35">
      <c r="A4015" s="1" t="s">
        <v>1656</v>
      </c>
      <c r="B4015" s="1" t="s">
        <v>1679</v>
      </c>
      <c r="C4015" s="2">
        <v>20</v>
      </c>
      <c r="D4015" s="1">
        <v>2022</v>
      </c>
    </row>
    <row r="4016" spans="1:4" x14ac:dyDescent="0.35">
      <c r="A4016" s="1" t="s">
        <v>1656</v>
      </c>
      <c r="B4016" s="1" t="s">
        <v>1679</v>
      </c>
      <c r="C4016" s="2">
        <v>19</v>
      </c>
      <c r="D4016" s="1">
        <v>2023</v>
      </c>
    </row>
    <row r="4017" spans="1:4" x14ac:dyDescent="0.35">
      <c r="A4017" s="1" t="s">
        <v>1656</v>
      </c>
      <c r="B4017" s="1" t="s">
        <v>1679</v>
      </c>
      <c r="C4017" s="2">
        <v>5</v>
      </c>
      <c r="D4017" s="1">
        <v>2024</v>
      </c>
    </row>
    <row r="4018" spans="1:4" x14ac:dyDescent="0.35">
      <c r="A4018" s="1" t="s">
        <v>1656</v>
      </c>
      <c r="B4018" s="1" t="s">
        <v>1679</v>
      </c>
      <c r="C4018" s="2">
        <v>9</v>
      </c>
      <c r="D4018" s="1">
        <v>2022</v>
      </c>
    </row>
    <row r="4019" spans="1:4" x14ac:dyDescent="0.35">
      <c r="A4019" s="1" t="s">
        <v>1656</v>
      </c>
      <c r="B4019" s="1" t="s">
        <v>1679</v>
      </c>
      <c r="C4019" s="2">
        <v>10</v>
      </c>
      <c r="D4019" s="1">
        <v>2023</v>
      </c>
    </row>
    <row r="4020" spans="1:4" x14ac:dyDescent="0.35">
      <c r="A4020" s="1" t="s">
        <v>1656</v>
      </c>
      <c r="B4020" s="1" t="s">
        <v>1680</v>
      </c>
      <c r="C4020" s="2">
        <v>5</v>
      </c>
      <c r="D4020" s="1">
        <v>2023</v>
      </c>
    </row>
    <row r="4021" spans="1:4" x14ac:dyDescent="0.35">
      <c r="A4021" s="1" t="s">
        <v>1656</v>
      </c>
      <c r="B4021" s="1" t="s">
        <v>1680</v>
      </c>
      <c r="C4021" s="2">
        <v>22</v>
      </c>
      <c r="D4021" s="1">
        <v>2024</v>
      </c>
    </row>
    <row r="4022" spans="1:4" x14ac:dyDescent="0.35">
      <c r="A4022" s="1" t="s">
        <v>1656</v>
      </c>
      <c r="B4022" s="1" t="s">
        <v>1680</v>
      </c>
      <c r="C4022" s="2">
        <v>23</v>
      </c>
      <c r="D4022" s="1">
        <v>2025</v>
      </c>
    </row>
    <row r="4023" spans="1:4" x14ac:dyDescent="0.35">
      <c r="A4023" s="1" t="s">
        <v>1656</v>
      </c>
      <c r="B4023" s="1" t="s">
        <v>1680</v>
      </c>
      <c r="C4023" s="2">
        <v>6</v>
      </c>
      <c r="D4023" s="1">
        <v>2023</v>
      </c>
    </row>
    <row r="4024" spans="1:4" x14ac:dyDescent="0.35">
      <c r="A4024" s="1" t="s">
        <v>1656</v>
      </c>
      <c r="B4024" s="1" t="s">
        <v>1680</v>
      </c>
      <c r="C4024" s="2">
        <v>10</v>
      </c>
      <c r="D4024" s="1">
        <v>2024</v>
      </c>
    </row>
    <row r="4025" spans="1:4" x14ac:dyDescent="0.35">
      <c r="A4025" s="1" t="s">
        <v>1656</v>
      </c>
      <c r="B4025" s="1" t="s">
        <v>1681</v>
      </c>
      <c r="C4025" s="2">
        <v>4</v>
      </c>
      <c r="D4025" s="1">
        <v>2023</v>
      </c>
    </row>
    <row r="4026" spans="1:4" x14ac:dyDescent="0.35">
      <c r="A4026" s="1" t="s">
        <v>1656</v>
      </c>
      <c r="B4026" s="1" t="s">
        <v>1681</v>
      </c>
      <c r="C4026" s="2">
        <v>5</v>
      </c>
      <c r="D4026" s="1">
        <v>2024</v>
      </c>
    </row>
    <row r="4027" spans="1:4" x14ac:dyDescent="0.35">
      <c r="A4027" s="1" t="s">
        <v>1656</v>
      </c>
      <c r="B4027" s="1" t="s">
        <v>1681</v>
      </c>
      <c r="C4027" s="2">
        <v>16</v>
      </c>
      <c r="D4027" s="1">
        <v>2025</v>
      </c>
    </row>
    <row r="4028" spans="1:4" x14ac:dyDescent="0.35">
      <c r="A4028" s="1" t="s">
        <v>1656</v>
      </c>
      <c r="B4028" s="1" t="s">
        <v>1681</v>
      </c>
      <c r="C4028" s="2">
        <v>6</v>
      </c>
      <c r="D4028" s="1">
        <v>2023</v>
      </c>
    </row>
    <row r="4029" spans="1:4" x14ac:dyDescent="0.35">
      <c r="A4029" s="1" t="s">
        <v>1656</v>
      </c>
      <c r="B4029" s="1" t="s">
        <v>1682</v>
      </c>
      <c r="C4029" s="2">
        <v>20</v>
      </c>
      <c r="D4029" s="1">
        <v>2022</v>
      </c>
    </row>
    <row r="4030" spans="1:4" x14ac:dyDescent="0.35">
      <c r="A4030" s="1" t="s">
        <v>1656</v>
      </c>
      <c r="B4030" s="1" t="s">
        <v>1682</v>
      </c>
      <c r="C4030" s="2">
        <v>5</v>
      </c>
      <c r="D4030" s="1">
        <v>2023</v>
      </c>
    </row>
    <row r="4031" spans="1:4" x14ac:dyDescent="0.35">
      <c r="A4031" s="1" t="s">
        <v>1656</v>
      </c>
      <c r="B4031" s="1" t="s">
        <v>1682</v>
      </c>
      <c r="C4031" s="2">
        <v>53</v>
      </c>
      <c r="D4031" s="1">
        <v>2024</v>
      </c>
    </row>
    <row r="4032" spans="1:4" x14ac:dyDescent="0.35">
      <c r="A4032" s="1" t="s">
        <v>1656</v>
      </c>
      <c r="B4032" s="1" t="s">
        <v>1682</v>
      </c>
      <c r="C4032" s="2">
        <v>10</v>
      </c>
      <c r="D4032" s="1">
        <v>2022</v>
      </c>
    </row>
    <row r="4033" spans="1:4" x14ac:dyDescent="0.35">
      <c r="A4033" s="1" t="s">
        <v>1656</v>
      </c>
      <c r="B4033" s="1" t="s">
        <v>1682</v>
      </c>
      <c r="C4033" s="2">
        <v>10</v>
      </c>
      <c r="D4033" s="1">
        <v>2023</v>
      </c>
    </row>
    <row r="4034" spans="1:4" x14ac:dyDescent="0.35">
      <c r="A4034" s="1" t="s">
        <v>1656</v>
      </c>
      <c r="B4034" s="1" t="s">
        <v>1682</v>
      </c>
      <c r="C4034" s="2">
        <v>8</v>
      </c>
      <c r="D4034" s="1">
        <v>2024</v>
      </c>
    </row>
    <row r="4035" spans="1:4" x14ac:dyDescent="0.35">
      <c r="A4035" s="1" t="s">
        <v>1656</v>
      </c>
      <c r="B4035" s="1" t="s">
        <v>1683</v>
      </c>
      <c r="C4035" s="2">
        <v>5</v>
      </c>
      <c r="D4035" s="1">
        <v>2023</v>
      </c>
    </row>
    <row r="4036" spans="1:4" x14ac:dyDescent="0.35">
      <c r="A4036" s="1" t="s">
        <v>1656</v>
      </c>
      <c r="B4036" s="1" t="s">
        <v>1683</v>
      </c>
      <c r="C4036" s="2">
        <v>9</v>
      </c>
      <c r="D4036" s="1">
        <v>2024</v>
      </c>
    </row>
    <row r="4037" spans="1:4" x14ac:dyDescent="0.35">
      <c r="A4037" s="1" t="s">
        <v>1656</v>
      </c>
      <c r="B4037" s="1" t="s">
        <v>1683</v>
      </c>
      <c r="C4037" s="2">
        <v>21</v>
      </c>
      <c r="D4037" s="1">
        <v>2025</v>
      </c>
    </row>
    <row r="4038" spans="1:4" x14ac:dyDescent="0.35">
      <c r="A4038" s="1" t="s">
        <v>1656</v>
      </c>
      <c r="B4038" s="1" t="s">
        <v>1683</v>
      </c>
      <c r="C4038" s="2">
        <v>10</v>
      </c>
      <c r="D4038" s="1">
        <v>2023</v>
      </c>
    </row>
    <row r="4039" spans="1:4" x14ac:dyDescent="0.35">
      <c r="A4039" s="1" t="s">
        <v>1656</v>
      </c>
      <c r="B4039" s="1" t="s">
        <v>1683</v>
      </c>
      <c r="C4039" s="2">
        <v>8</v>
      </c>
      <c r="D4039" s="1">
        <v>2024</v>
      </c>
    </row>
    <row r="4040" spans="1:4" x14ac:dyDescent="0.35">
      <c r="A4040" s="1" t="s">
        <v>1656</v>
      </c>
      <c r="B4040" s="1" t="s">
        <v>1684</v>
      </c>
      <c r="C4040" s="2">
        <v>5</v>
      </c>
      <c r="D4040" s="1">
        <v>2023</v>
      </c>
    </row>
    <row r="4041" spans="1:4" x14ac:dyDescent="0.35">
      <c r="A4041" s="1" t="s">
        <v>1656</v>
      </c>
      <c r="B4041" s="1" t="s">
        <v>1684</v>
      </c>
      <c r="C4041" s="2">
        <v>22</v>
      </c>
      <c r="D4041" s="1">
        <v>2024</v>
      </c>
    </row>
    <row r="4042" spans="1:4" x14ac:dyDescent="0.35">
      <c r="A4042" s="1" t="s">
        <v>1656</v>
      </c>
      <c r="B4042" s="1" t="s">
        <v>1684</v>
      </c>
      <c r="C4042" s="2">
        <v>17</v>
      </c>
      <c r="D4042" s="1">
        <v>2025</v>
      </c>
    </row>
    <row r="4043" spans="1:4" x14ac:dyDescent="0.35">
      <c r="A4043" s="1" t="s">
        <v>1656</v>
      </c>
      <c r="B4043" s="1" t="s">
        <v>1684</v>
      </c>
      <c r="C4043" s="2">
        <v>9</v>
      </c>
      <c r="D4043" s="1">
        <v>2023</v>
      </c>
    </row>
    <row r="4044" spans="1:4" x14ac:dyDescent="0.35">
      <c r="A4044" s="1" t="s">
        <v>1656</v>
      </c>
      <c r="B4044" s="1" t="s">
        <v>1684</v>
      </c>
      <c r="C4044" s="2">
        <v>10</v>
      </c>
      <c r="D4044" s="1">
        <v>2024</v>
      </c>
    </row>
    <row r="4045" spans="1:4" x14ac:dyDescent="0.35">
      <c r="A4045" s="1" t="s">
        <v>1656</v>
      </c>
      <c r="B4045" s="1" t="s">
        <v>1685</v>
      </c>
      <c r="C4045" s="2">
        <v>9</v>
      </c>
      <c r="D4045" s="1">
        <v>2023</v>
      </c>
    </row>
    <row r="4046" spans="1:4" x14ac:dyDescent="0.35">
      <c r="A4046" s="1" t="s">
        <v>1656</v>
      </c>
      <c r="B4046" s="1" t="s">
        <v>1685</v>
      </c>
      <c r="C4046" s="2">
        <v>51</v>
      </c>
      <c r="D4046" s="1">
        <v>2024</v>
      </c>
    </row>
    <row r="4047" spans="1:4" x14ac:dyDescent="0.35">
      <c r="A4047" s="1" t="s">
        <v>1656</v>
      </c>
      <c r="B4047" s="1" t="s">
        <v>1685</v>
      </c>
      <c r="C4047" s="2">
        <v>18</v>
      </c>
      <c r="D4047" s="1">
        <v>2025</v>
      </c>
    </row>
    <row r="4048" spans="1:4" x14ac:dyDescent="0.35">
      <c r="A4048" s="1" t="s">
        <v>1656</v>
      </c>
      <c r="B4048" s="1" t="s">
        <v>1685</v>
      </c>
      <c r="C4048" s="2">
        <v>10</v>
      </c>
      <c r="D4048" s="1">
        <v>2023</v>
      </c>
    </row>
    <row r="4049" spans="1:4" x14ac:dyDescent="0.35">
      <c r="A4049" s="1" t="s">
        <v>1656</v>
      </c>
      <c r="B4049" s="1" t="s">
        <v>1688</v>
      </c>
      <c r="C4049" s="2">
        <v>24</v>
      </c>
      <c r="D4049" s="1">
        <v>2024</v>
      </c>
    </row>
    <row r="4050" spans="1:4" x14ac:dyDescent="0.35">
      <c r="A4050" s="1" t="s">
        <v>1656</v>
      </c>
      <c r="B4050" s="1" t="s">
        <v>1688</v>
      </c>
      <c r="C4050" s="2">
        <v>10</v>
      </c>
      <c r="D4050" s="1">
        <v>2023</v>
      </c>
    </row>
    <row r="4051" spans="1:4" x14ac:dyDescent="0.35">
      <c r="A4051" s="1" t="s">
        <v>1656</v>
      </c>
      <c r="B4051" s="1" t="s">
        <v>1686</v>
      </c>
      <c r="C4051" s="2">
        <v>35</v>
      </c>
      <c r="D4051" s="1">
        <v>2022</v>
      </c>
    </row>
    <row r="4052" spans="1:4" x14ac:dyDescent="0.35">
      <c r="A4052" s="1" t="s">
        <v>1656</v>
      </c>
      <c r="B4052" s="1" t="s">
        <v>1686</v>
      </c>
      <c r="C4052" s="2">
        <v>18</v>
      </c>
      <c r="D4052" s="1">
        <v>2023</v>
      </c>
    </row>
    <row r="4053" spans="1:4" x14ac:dyDescent="0.35">
      <c r="A4053" s="1" t="s">
        <v>1656</v>
      </c>
      <c r="B4053" s="1" t="s">
        <v>1686</v>
      </c>
      <c r="C4053" s="2">
        <v>43</v>
      </c>
      <c r="D4053" s="1">
        <v>2024</v>
      </c>
    </row>
    <row r="4054" spans="1:4" x14ac:dyDescent="0.35">
      <c r="A4054" s="1" t="s">
        <v>1656</v>
      </c>
      <c r="B4054" s="1" t="s">
        <v>1686</v>
      </c>
      <c r="C4054" s="2">
        <v>18</v>
      </c>
      <c r="D4054" s="1">
        <v>2022</v>
      </c>
    </row>
    <row r="4055" spans="1:4" x14ac:dyDescent="0.35">
      <c r="A4055" s="1" t="s">
        <v>1656</v>
      </c>
      <c r="B4055" s="1" t="s">
        <v>1686</v>
      </c>
      <c r="C4055" s="2">
        <v>20</v>
      </c>
      <c r="D4055" s="1">
        <v>2023</v>
      </c>
    </row>
    <row r="4056" spans="1:4" x14ac:dyDescent="0.35">
      <c r="A4056" s="1" t="s">
        <v>1656</v>
      </c>
      <c r="B4056" s="1" t="s">
        <v>1687</v>
      </c>
      <c r="C4056" s="2">
        <v>20</v>
      </c>
      <c r="D4056" s="1">
        <v>2022</v>
      </c>
    </row>
    <row r="4057" spans="1:4" x14ac:dyDescent="0.35">
      <c r="A4057" s="1" t="s">
        <v>1656</v>
      </c>
      <c r="B4057" s="1" t="s">
        <v>1687</v>
      </c>
      <c r="C4057" s="2">
        <v>6</v>
      </c>
      <c r="D4057" s="1">
        <v>2023</v>
      </c>
    </row>
    <row r="4058" spans="1:4" x14ac:dyDescent="0.35">
      <c r="A4058" s="1" t="s">
        <v>1656</v>
      </c>
      <c r="B4058" s="1" t="s">
        <v>1687</v>
      </c>
      <c r="C4058" s="2">
        <v>37</v>
      </c>
      <c r="D4058" s="1">
        <v>2024</v>
      </c>
    </row>
    <row r="4059" spans="1:4" x14ac:dyDescent="0.35">
      <c r="A4059" s="1" t="s">
        <v>1656</v>
      </c>
      <c r="B4059" s="1" t="s">
        <v>1687</v>
      </c>
      <c r="C4059" s="2">
        <v>10</v>
      </c>
      <c r="D4059" s="1">
        <v>2023</v>
      </c>
    </row>
    <row r="4060" spans="1:4" x14ac:dyDescent="0.35">
      <c r="A4060" s="1" t="s">
        <v>1657</v>
      </c>
      <c r="B4060" s="1" t="s">
        <v>1679</v>
      </c>
      <c r="C4060" s="2">
        <v>1</v>
      </c>
      <c r="D4060" s="1">
        <v>2024</v>
      </c>
    </row>
    <row r="4061" spans="1:4" x14ac:dyDescent="0.35">
      <c r="A4061" s="1" t="s">
        <v>1657</v>
      </c>
      <c r="B4061" s="1" t="s">
        <v>1683</v>
      </c>
      <c r="C4061" s="2">
        <v>6</v>
      </c>
      <c r="D4061" s="1">
        <v>2023</v>
      </c>
    </row>
    <row r="4062" spans="1:4" x14ac:dyDescent="0.35">
      <c r="A4062" s="1" t="s">
        <v>1658</v>
      </c>
      <c r="B4062" s="1" t="s">
        <v>1677</v>
      </c>
      <c r="C4062" s="2">
        <v>107</v>
      </c>
      <c r="D4062" s="1">
        <v>2024</v>
      </c>
    </row>
    <row r="4063" spans="1:4" x14ac:dyDescent="0.35">
      <c r="A4063" s="1" t="s">
        <v>1658</v>
      </c>
      <c r="B4063" s="1" t="s">
        <v>1677</v>
      </c>
      <c r="C4063" s="2">
        <v>125</v>
      </c>
      <c r="D4063" s="1">
        <v>2025</v>
      </c>
    </row>
    <row r="4064" spans="1:4" x14ac:dyDescent="0.35">
      <c r="A4064" s="1" t="s">
        <v>1658</v>
      </c>
      <c r="B4064" s="1" t="s">
        <v>1677</v>
      </c>
      <c r="C4064" s="2">
        <v>41</v>
      </c>
      <c r="D4064" s="1">
        <v>2024</v>
      </c>
    </row>
    <row r="4065" spans="1:4" x14ac:dyDescent="0.35">
      <c r="A4065" s="1" t="s">
        <v>1658</v>
      </c>
      <c r="B4065" s="1" t="s">
        <v>1677</v>
      </c>
      <c r="C4065" s="2">
        <v>52</v>
      </c>
      <c r="D4065" s="1">
        <v>2025</v>
      </c>
    </row>
    <row r="4066" spans="1:4" x14ac:dyDescent="0.35">
      <c r="A4066" s="1" t="s">
        <v>1658</v>
      </c>
      <c r="B4066" s="1" t="s">
        <v>1677</v>
      </c>
      <c r="C4066" s="2">
        <v>83</v>
      </c>
      <c r="D4066" s="1">
        <v>2023</v>
      </c>
    </row>
    <row r="4067" spans="1:4" x14ac:dyDescent="0.35">
      <c r="A4067" s="1" t="s">
        <v>1658</v>
      </c>
      <c r="B4067" s="1" t="s">
        <v>1677</v>
      </c>
      <c r="C4067" s="2">
        <v>10</v>
      </c>
      <c r="D4067" s="1">
        <v>2023</v>
      </c>
    </row>
    <row r="4068" spans="1:4" x14ac:dyDescent="0.35">
      <c r="A4068" s="1" t="s">
        <v>1658</v>
      </c>
      <c r="B4068" s="1" t="s">
        <v>1678</v>
      </c>
      <c r="C4068" s="2">
        <v>104</v>
      </c>
      <c r="D4068" s="1">
        <v>2024</v>
      </c>
    </row>
    <row r="4069" spans="1:4" x14ac:dyDescent="0.35">
      <c r="A4069" s="1" t="s">
        <v>1658</v>
      </c>
      <c r="B4069" s="1" t="s">
        <v>1678</v>
      </c>
      <c r="C4069" s="2">
        <v>39</v>
      </c>
      <c r="D4069" s="1">
        <v>2024</v>
      </c>
    </row>
    <row r="4070" spans="1:4" x14ac:dyDescent="0.35">
      <c r="A4070" s="1" t="s">
        <v>1658</v>
      </c>
      <c r="B4070" s="1" t="s">
        <v>1678</v>
      </c>
      <c r="C4070" s="2">
        <v>90</v>
      </c>
      <c r="D4070" s="1">
        <v>2022</v>
      </c>
    </row>
    <row r="4071" spans="1:4" x14ac:dyDescent="0.35">
      <c r="A4071" s="1" t="s">
        <v>1658</v>
      </c>
      <c r="B4071" s="1" t="s">
        <v>1678</v>
      </c>
      <c r="C4071" s="2">
        <v>97</v>
      </c>
      <c r="D4071" s="1">
        <v>2023</v>
      </c>
    </row>
    <row r="4072" spans="1:4" x14ac:dyDescent="0.35">
      <c r="A4072" s="1" t="s">
        <v>1658</v>
      </c>
      <c r="B4072" s="1" t="s">
        <v>1678</v>
      </c>
      <c r="C4072" s="2">
        <v>52</v>
      </c>
      <c r="D4072" s="1">
        <v>2022</v>
      </c>
    </row>
    <row r="4073" spans="1:4" x14ac:dyDescent="0.35">
      <c r="A4073" s="1" t="s">
        <v>1658</v>
      </c>
      <c r="B4073" s="1" t="s">
        <v>1678</v>
      </c>
      <c r="C4073" s="2">
        <v>13</v>
      </c>
      <c r="D4073" s="1">
        <v>2023</v>
      </c>
    </row>
    <row r="4074" spans="1:4" x14ac:dyDescent="0.35">
      <c r="A4074" s="1" t="s">
        <v>1658</v>
      </c>
      <c r="B4074" s="1" t="s">
        <v>1679</v>
      </c>
      <c r="C4074" s="2">
        <v>223</v>
      </c>
      <c r="D4074" s="1">
        <v>2024</v>
      </c>
    </row>
    <row r="4075" spans="1:4" x14ac:dyDescent="0.35">
      <c r="A4075" s="1" t="s">
        <v>1658</v>
      </c>
      <c r="B4075" s="1" t="s">
        <v>1679</v>
      </c>
      <c r="C4075" s="2">
        <v>83</v>
      </c>
      <c r="D4075" s="1">
        <v>2024</v>
      </c>
    </row>
    <row r="4076" spans="1:4" x14ac:dyDescent="0.35">
      <c r="A4076" s="1" t="s">
        <v>1658</v>
      </c>
      <c r="B4076" s="1" t="s">
        <v>1679</v>
      </c>
      <c r="C4076" s="2">
        <v>99</v>
      </c>
      <c r="D4076" s="1">
        <v>2022</v>
      </c>
    </row>
    <row r="4077" spans="1:4" x14ac:dyDescent="0.35">
      <c r="A4077" s="1" t="s">
        <v>1658</v>
      </c>
      <c r="B4077" s="1" t="s">
        <v>1679</v>
      </c>
      <c r="C4077" s="2">
        <v>108</v>
      </c>
      <c r="D4077" s="1">
        <v>2023</v>
      </c>
    </row>
    <row r="4078" spans="1:4" x14ac:dyDescent="0.35">
      <c r="A4078" s="1" t="s">
        <v>1658</v>
      </c>
      <c r="B4078" s="1" t="s">
        <v>1679</v>
      </c>
      <c r="C4078" s="2">
        <v>55</v>
      </c>
      <c r="D4078" s="1">
        <v>2022</v>
      </c>
    </row>
    <row r="4079" spans="1:4" x14ac:dyDescent="0.35">
      <c r="A4079" s="1" t="s">
        <v>1658</v>
      </c>
      <c r="B4079" s="1" t="s">
        <v>1679</v>
      </c>
      <c r="C4079" s="2">
        <v>21</v>
      </c>
      <c r="D4079" s="1">
        <v>2023</v>
      </c>
    </row>
    <row r="4080" spans="1:4" x14ac:dyDescent="0.35">
      <c r="A4080" s="1" t="s">
        <v>1658</v>
      </c>
      <c r="B4080" s="1" t="s">
        <v>1680</v>
      </c>
      <c r="C4080" s="2">
        <v>94</v>
      </c>
      <c r="D4080" s="1">
        <v>2024</v>
      </c>
    </row>
    <row r="4081" spans="1:4" x14ac:dyDescent="0.35">
      <c r="A4081" s="1" t="s">
        <v>1658</v>
      </c>
      <c r="B4081" s="1" t="s">
        <v>1680</v>
      </c>
      <c r="C4081" s="2">
        <v>123</v>
      </c>
      <c r="D4081" s="1">
        <v>2025</v>
      </c>
    </row>
    <row r="4082" spans="1:4" x14ac:dyDescent="0.35">
      <c r="A4082" s="1" t="s">
        <v>1658</v>
      </c>
      <c r="B4082" s="1" t="s">
        <v>1680</v>
      </c>
      <c r="C4082" s="2">
        <v>32</v>
      </c>
      <c r="D4082" s="1">
        <v>2024</v>
      </c>
    </row>
    <row r="4083" spans="1:4" x14ac:dyDescent="0.35">
      <c r="A4083" s="1" t="s">
        <v>1658</v>
      </c>
      <c r="B4083" s="1" t="s">
        <v>1680</v>
      </c>
      <c r="C4083" s="2">
        <v>50</v>
      </c>
      <c r="D4083" s="1">
        <v>2025</v>
      </c>
    </row>
    <row r="4084" spans="1:4" x14ac:dyDescent="0.35">
      <c r="A4084" s="1" t="s">
        <v>1658</v>
      </c>
      <c r="B4084" s="1" t="s">
        <v>1680</v>
      </c>
      <c r="C4084" s="2">
        <v>88</v>
      </c>
      <c r="D4084" s="1">
        <v>2023</v>
      </c>
    </row>
    <row r="4085" spans="1:4" x14ac:dyDescent="0.35">
      <c r="A4085" s="1" t="s">
        <v>1658</v>
      </c>
      <c r="B4085" s="1" t="s">
        <v>1680</v>
      </c>
      <c r="C4085" s="2">
        <v>57</v>
      </c>
      <c r="D4085" s="1">
        <v>2023</v>
      </c>
    </row>
    <row r="4086" spans="1:4" x14ac:dyDescent="0.35">
      <c r="A4086" s="1" t="s">
        <v>1658</v>
      </c>
      <c r="B4086" s="1" t="s">
        <v>1681</v>
      </c>
      <c r="C4086" s="2">
        <v>202</v>
      </c>
      <c r="D4086" s="1">
        <v>2024</v>
      </c>
    </row>
    <row r="4087" spans="1:4" x14ac:dyDescent="0.35">
      <c r="A4087" s="1" t="s">
        <v>1658</v>
      </c>
      <c r="B4087" s="1" t="s">
        <v>1681</v>
      </c>
      <c r="C4087" s="2">
        <v>108</v>
      </c>
      <c r="D4087" s="1">
        <v>2025</v>
      </c>
    </row>
    <row r="4088" spans="1:4" x14ac:dyDescent="0.35">
      <c r="A4088" s="1" t="s">
        <v>1658</v>
      </c>
      <c r="B4088" s="1" t="s">
        <v>1681</v>
      </c>
      <c r="C4088" s="2">
        <v>63</v>
      </c>
      <c r="D4088" s="1">
        <v>2024</v>
      </c>
    </row>
    <row r="4089" spans="1:4" x14ac:dyDescent="0.35">
      <c r="A4089" s="1" t="s">
        <v>1658</v>
      </c>
      <c r="B4089" s="1" t="s">
        <v>1681</v>
      </c>
      <c r="C4089" s="2">
        <v>35</v>
      </c>
      <c r="D4089" s="1">
        <v>2025</v>
      </c>
    </row>
    <row r="4090" spans="1:4" x14ac:dyDescent="0.35">
      <c r="A4090" s="1" t="s">
        <v>1658</v>
      </c>
      <c r="B4090" s="1" t="s">
        <v>1681</v>
      </c>
      <c r="C4090" s="2">
        <v>86</v>
      </c>
      <c r="D4090" s="1">
        <v>2023</v>
      </c>
    </row>
    <row r="4091" spans="1:4" x14ac:dyDescent="0.35">
      <c r="A4091" s="1" t="s">
        <v>1658</v>
      </c>
      <c r="B4091" s="1" t="s">
        <v>1681</v>
      </c>
      <c r="C4091" s="2">
        <v>0</v>
      </c>
      <c r="D4091" s="1">
        <v>2024</v>
      </c>
    </row>
    <row r="4092" spans="1:4" x14ac:dyDescent="0.35">
      <c r="A4092" s="1" t="s">
        <v>1658</v>
      </c>
      <c r="B4092" s="1" t="s">
        <v>1681</v>
      </c>
      <c r="C4092" s="2">
        <v>57</v>
      </c>
      <c r="D4092" s="1">
        <v>2023</v>
      </c>
    </row>
    <row r="4093" spans="1:4" x14ac:dyDescent="0.35">
      <c r="A4093" s="1" t="s">
        <v>1658</v>
      </c>
      <c r="B4093" s="1" t="s">
        <v>1681</v>
      </c>
      <c r="C4093" s="2">
        <v>0</v>
      </c>
      <c r="D4093" s="1">
        <v>2024</v>
      </c>
    </row>
    <row r="4094" spans="1:4" x14ac:dyDescent="0.35">
      <c r="A4094" s="1" t="s">
        <v>1658</v>
      </c>
      <c r="B4094" s="1" t="s">
        <v>1682</v>
      </c>
      <c r="C4094" s="2">
        <v>103</v>
      </c>
      <c r="D4094" s="1">
        <v>2024</v>
      </c>
    </row>
    <row r="4095" spans="1:4" x14ac:dyDescent="0.35">
      <c r="A4095" s="1" t="s">
        <v>1658</v>
      </c>
      <c r="B4095" s="1" t="s">
        <v>1682</v>
      </c>
      <c r="C4095" s="2">
        <v>39</v>
      </c>
      <c r="D4095" s="1">
        <v>2024</v>
      </c>
    </row>
    <row r="4096" spans="1:4" x14ac:dyDescent="0.35">
      <c r="A4096" s="1" t="s">
        <v>1658</v>
      </c>
      <c r="B4096" s="1" t="s">
        <v>1682</v>
      </c>
      <c r="C4096" s="2">
        <v>88</v>
      </c>
      <c r="D4096" s="1">
        <v>2022</v>
      </c>
    </row>
    <row r="4097" spans="1:4" x14ac:dyDescent="0.35">
      <c r="A4097" s="1" t="s">
        <v>1658</v>
      </c>
      <c r="B4097" s="1" t="s">
        <v>1682</v>
      </c>
      <c r="C4097" s="2">
        <v>98</v>
      </c>
      <c r="D4097" s="1">
        <v>2023</v>
      </c>
    </row>
    <row r="4098" spans="1:4" x14ac:dyDescent="0.35">
      <c r="A4098" s="1" t="s">
        <v>1658</v>
      </c>
      <c r="B4098" s="1" t="s">
        <v>1682</v>
      </c>
      <c r="C4098" s="2">
        <v>76</v>
      </c>
      <c r="D4098" s="1">
        <v>2022</v>
      </c>
    </row>
    <row r="4099" spans="1:4" x14ac:dyDescent="0.35">
      <c r="A4099" s="1" t="s">
        <v>1658</v>
      </c>
      <c r="B4099" s="1" t="s">
        <v>1682</v>
      </c>
      <c r="C4099" s="2">
        <v>7</v>
      </c>
      <c r="D4099" s="1">
        <v>2023</v>
      </c>
    </row>
    <row r="4100" spans="1:4" x14ac:dyDescent="0.35">
      <c r="A4100" s="1" t="s">
        <v>1658</v>
      </c>
      <c r="B4100" s="1" t="s">
        <v>1683</v>
      </c>
      <c r="C4100" s="2">
        <v>115</v>
      </c>
      <c r="D4100" s="1">
        <v>2024</v>
      </c>
    </row>
    <row r="4101" spans="1:4" x14ac:dyDescent="0.35">
      <c r="A4101" s="1" t="s">
        <v>1658</v>
      </c>
      <c r="B4101" s="1" t="s">
        <v>1683</v>
      </c>
      <c r="C4101" s="2">
        <v>124</v>
      </c>
      <c r="D4101" s="1">
        <v>2025</v>
      </c>
    </row>
    <row r="4102" spans="1:4" x14ac:dyDescent="0.35">
      <c r="A4102" s="1" t="s">
        <v>1658</v>
      </c>
      <c r="B4102" s="1" t="s">
        <v>1683</v>
      </c>
      <c r="C4102" s="2">
        <v>41</v>
      </c>
      <c r="D4102" s="1">
        <v>2024</v>
      </c>
    </row>
    <row r="4103" spans="1:4" x14ac:dyDescent="0.35">
      <c r="A4103" s="1" t="s">
        <v>1658</v>
      </c>
      <c r="B4103" s="1" t="s">
        <v>1683</v>
      </c>
      <c r="C4103" s="2">
        <v>57</v>
      </c>
      <c r="D4103" s="1">
        <v>2025</v>
      </c>
    </row>
    <row r="4104" spans="1:4" x14ac:dyDescent="0.35">
      <c r="A4104" s="1" t="s">
        <v>1658</v>
      </c>
      <c r="B4104" s="1" t="s">
        <v>1683</v>
      </c>
      <c r="C4104" s="2">
        <v>116</v>
      </c>
      <c r="D4104" s="1">
        <v>2023</v>
      </c>
    </row>
    <row r="4105" spans="1:4" x14ac:dyDescent="0.35">
      <c r="A4105" s="1" t="s">
        <v>1658</v>
      </c>
      <c r="B4105" s="1" t="s">
        <v>1683</v>
      </c>
      <c r="C4105" s="2">
        <v>11</v>
      </c>
      <c r="D4105" s="1">
        <v>2023</v>
      </c>
    </row>
    <row r="4106" spans="1:4" x14ac:dyDescent="0.35">
      <c r="A4106" s="1" t="s">
        <v>1658</v>
      </c>
      <c r="B4106" s="1" t="s">
        <v>1684</v>
      </c>
      <c r="C4106" s="2">
        <v>104</v>
      </c>
      <c r="D4106" s="1">
        <v>2024</v>
      </c>
    </row>
    <row r="4107" spans="1:4" x14ac:dyDescent="0.35">
      <c r="A4107" s="1" t="s">
        <v>1658</v>
      </c>
      <c r="B4107" s="1" t="s">
        <v>1684</v>
      </c>
      <c r="C4107" s="2">
        <v>130</v>
      </c>
      <c r="D4107" s="1">
        <v>2025</v>
      </c>
    </row>
    <row r="4108" spans="1:4" x14ac:dyDescent="0.35">
      <c r="A4108" s="1" t="s">
        <v>1658</v>
      </c>
      <c r="B4108" s="1" t="s">
        <v>1684</v>
      </c>
      <c r="C4108" s="2">
        <v>39</v>
      </c>
      <c r="D4108" s="1">
        <v>2024</v>
      </c>
    </row>
    <row r="4109" spans="1:4" x14ac:dyDescent="0.35">
      <c r="A4109" s="1" t="s">
        <v>1658</v>
      </c>
      <c r="B4109" s="1" t="s">
        <v>1684</v>
      </c>
      <c r="C4109" s="2">
        <v>47</v>
      </c>
      <c r="D4109" s="1">
        <v>2025</v>
      </c>
    </row>
    <row r="4110" spans="1:4" x14ac:dyDescent="0.35">
      <c r="A4110" s="1" t="s">
        <v>1658</v>
      </c>
      <c r="B4110" s="1" t="s">
        <v>1684</v>
      </c>
      <c r="C4110" s="2">
        <v>187</v>
      </c>
      <c r="D4110" s="1">
        <v>2023</v>
      </c>
    </row>
    <row r="4111" spans="1:4" x14ac:dyDescent="0.35">
      <c r="A4111" s="1" t="s">
        <v>1658</v>
      </c>
      <c r="B4111" s="1" t="s">
        <v>1684</v>
      </c>
      <c r="C4111" s="2">
        <v>-1</v>
      </c>
      <c r="D4111" s="1">
        <v>2024</v>
      </c>
    </row>
    <row r="4112" spans="1:4" x14ac:dyDescent="0.35">
      <c r="A4112" s="1" t="s">
        <v>1658</v>
      </c>
      <c r="B4112" s="1" t="s">
        <v>1684</v>
      </c>
      <c r="C4112" s="2">
        <v>15</v>
      </c>
      <c r="D4112" s="1">
        <v>2023</v>
      </c>
    </row>
    <row r="4113" spans="1:4" x14ac:dyDescent="0.35">
      <c r="A4113" s="1" t="s">
        <v>1658</v>
      </c>
      <c r="B4113" s="1" t="s">
        <v>1685</v>
      </c>
      <c r="C4113" s="2">
        <v>180</v>
      </c>
      <c r="D4113" s="1">
        <v>2024</v>
      </c>
    </row>
    <row r="4114" spans="1:4" x14ac:dyDescent="0.35">
      <c r="A4114" s="1" t="s">
        <v>1658</v>
      </c>
      <c r="B4114" s="1" t="s">
        <v>1685</v>
      </c>
      <c r="C4114" s="2">
        <v>125</v>
      </c>
      <c r="D4114" s="1">
        <v>2025</v>
      </c>
    </row>
    <row r="4115" spans="1:4" x14ac:dyDescent="0.35">
      <c r="A4115" s="1" t="s">
        <v>1658</v>
      </c>
      <c r="B4115" s="1" t="s">
        <v>1685</v>
      </c>
      <c r="C4115" s="2">
        <v>56</v>
      </c>
      <c r="D4115" s="1">
        <v>2025</v>
      </c>
    </row>
    <row r="4116" spans="1:4" x14ac:dyDescent="0.35">
      <c r="A4116" s="1" t="s">
        <v>1658</v>
      </c>
      <c r="B4116" s="1" t="s">
        <v>1685</v>
      </c>
      <c r="C4116" s="2">
        <v>90</v>
      </c>
      <c r="D4116" s="1">
        <v>2023</v>
      </c>
    </row>
    <row r="4117" spans="1:4" x14ac:dyDescent="0.35">
      <c r="A4117" s="1" t="s">
        <v>1658</v>
      </c>
      <c r="B4117" s="1" t="s">
        <v>1685</v>
      </c>
      <c r="C4117" s="2">
        <v>13</v>
      </c>
      <c r="D4117" s="1">
        <v>2023</v>
      </c>
    </row>
    <row r="4118" spans="1:4" x14ac:dyDescent="0.35">
      <c r="A4118" s="1" t="s">
        <v>1658</v>
      </c>
      <c r="B4118" s="1" t="s">
        <v>1688</v>
      </c>
      <c r="C4118" s="2">
        <v>21</v>
      </c>
      <c r="D4118" s="1">
        <v>2024</v>
      </c>
    </row>
    <row r="4119" spans="1:4" x14ac:dyDescent="0.35">
      <c r="A4119" s="1" t="s">
        <v>1658</v>
      </c>
      <c r="B4119" s="1" t="s">
        <v>1688</v>
      </c>
      <c r="C4119" s="2">
        <v>97</v>
      </c>
      <c r="D4119" s="1">
        <v>2022</v>
      </c>
    </row>
    <row r="4120" spans="1:4" x14ac:dyDescent="0.35">
      <c r="A4120" s="1" t="s">
        <v>1658</v>
      </c>
      <c r="B4120" s="1" t="s">
        <v>1688</v>
      </c>
      <c r="C4120" s="2">
        <v>120</v>
      </c>
      <c r="D4120" s="1">
        <v>2023</v>
      </c>
    </row>
    <row r="4121" spans="1:4" x14ac:dyDescent="0.35">
      <c r="A4121" s="1" t="s">
        <v>1658</v>
      </c>
      <c r="B4121" s="1" t="s">
        <v>1688</v>
      </c>
      <c r="C4121" s="2">
        <v>48</v>
      </c>
      <c r="D4121" s="1">
        <v>2022</v>
      </c>
    </row>
    <row r="4122" spans="1:4" x14ac:dyDescent="0.35">
      <c r="A4122" s="1" t="s">
        <v>1658</v>
      </c>
      <c r="B4122" s="1" t="s">
        <v>1688</v>
      </c>
      <c r="C4122" s="2">
        <v>22</v>
      </c>
      <c r="D4122" s="1">
        <v>2023</v>
      </c>
    </row>
    <row r="4123" spans="1:4" x14ac:dyDescent="0.35">
      <c r="A4123" s="1" t="s">
        <v>1658</v>
      </c>
      <c r="B4123" s="1" t="s">
        <v>1686</v>
      </c>
      <c r="C4123" s="2">
        <v>216</v>
      </c>
      <c r="D4123" s="1">
        <v>2024</v>
      </c>
    </row>
    <row r="4124" spans="1:4" x14ac:dyDescent="0.35">
      <c r="A4124" s="1" t="s">
        <v>1658</v>
      </c>
      <c r="B4124" s="1" t="s">
        <v>1686</v>
      </c>
      <c r="C4124" s="2">
        <v>101</v>
      </c>
      <c r="D4124" s="1">
        <v>2024</v>
      </c>
    </row>
    <row r="4125" spans="1:4" x14ac:dyDescent="0.35">
      <c r="A4125" s="1" t="s">
        <v>1658</v>
      </c>
      <c r="B4125" s="1" t="s">
        <v>1686</v>
      </c>
      <c r="C4125" s="2">
        <v>92</v>
      </c>
      <c r="D4125" s="1">
        <v>2022</v>
      </c>
    </row>
    <row r="4126" spans="1:4" x14ac:dyDescent="0.35">
      <c r="A4126" s="1" t="s">
        <v>1658</v>
      </c>
      <c r="B4126" s="1" t="s">
        <v>1686</v>
      </c>
      <c r="C4126" s="2">
        <v>109</v>
      </c>
      <c r="D4126" s="1">
        <v>2023</v>
      </c>
    </row>
    <row r="4127" spans="1:4" x14ac:dyDescent="0.35">
      <c r="A4127" s="1" t="s">
        <v>1658</v>
      </c>
      <c r="B4127" s="1" t="s">
        <v>1686</v>
      </c>
      <c r="C4127" s="2">
        <v>45</v>
      </c>
      <c r="D4127" s="1">
        <v>2022</v>
      </c>
    </row>
    <row r="4128" spans="1:4" x14ac:dyDescent="0.35">
      <c r="A4128" s="1" t="s">
        <v>1658</v>
      </c>
      <c r="B4128" s="1" t="s">
        <v>1686</v>
      </c>
      <c r="C4128" s="2">
        <v>24</v>
      </c>
      <c r="D4128" s="1">
        <v>2023</v>
      </c>
    </row>
    <row r="4129" spans="1:4" x14ac:dyDescent="0.35">
      <c r="A4129" s="1" t="s">
        <v>1658</v>
      </c>
      <c r="B4129" s="1" t="s">
        <v>1687</v>
      </c>
      <c r="C4129" s="2">
        <v>113</v>
      </c>
      <c r="D4129" s="1">
        <v>2024</v>
      </c>
    </row>
    <row r="4130" spans="1:4" x14ac:dyDescent="0.35">
      <c r="A4130" s="1" t="s">
        <v>1658</v>
      </c>
      <c r="B4130" s="1" t="s">
        <v>1687</v>
      </c>
      <c r="C4130" s="2">
        <v>47</v>
      </c>
      <c r="D4130" s="1">
        <v>2024</v>
      </c>
    </row>
    <row r="4131" spans="1:4" x14ac:dyDescent="0.35">
      <c r="A4131" s="1" t="s">
        <v>1658</v>
      </c>
      <c r="B4131" s="1" t="s">
        <v>1687</v>
      </c>
      <c r="C4131" s="2">
        <v>89</v>
      </c>
      <c r="D4131" s="1">
        <v>2022</v>
      </c>
    </row>
    <row r="4132" spans="1:4" x14ac:dyDescent="0.35">
      <c r="A4132" s="1" t="s">
        <v>1658</v>
      </c>
      <c r="B4132" s="1" t="s">
        <v>1687</v>
      </c>
      <c r="C4132" s="2">
        <v>97</v>
      </c>
      <c r="D4132" s="1">
        <v>2023</v>
      </c>
    </row>
    <row r="4133" spans="1:4" x14ac:dyDescent="0.35">
      <c r="A4133" s="1" t="s">
        <v>1658</v>
      </c>
      <c r="B4133" s="1" t="s">
        <v>1687</v>
      </c>
      <c r="C4133" s="2">
        <v>50</v>
      </c>
      <c r="D4133" s="1">
        <v>2022</v>
      </c>
    </row>
    <row r="4134" spans="1:4" x14ac:dyDescent="0.35">
      <c r="A4134" s="1" t="s">
        <v>1658</v>
      </c>
      <c r="B4134" s="1" t="s">
        <v>1687</v>
      </c>
      <c r="C4134" s="2">
        <v>13</v>
      </c>
      <c r="D4134" s="1">
        <v>2023</v>
      </c>
    </row>
    <row r="4135" spans="1:4" x14ac:dyDescent="0.35">
      <c r="A4135" s="1" t="s">
        <v>1659</v>
      </c>
      <c r="B4135" s="1" t="s">
        <v>1677</v>
      </c>
      <c r="C4135" s="2">
        <v>6</v>
      </c>
      <c r="D4135" s="1">
        <v>2025</v>
      </c>
    </row>
    <row r="4136" spans="1:4" x14ac:dyDescent="0.35">
      <c r="A4136" s="1" t="s">
        <v>1659</v>
      </c>
      <c r="B4136" s="1" t="s">
        <v>1685</v>
      </c>
      <c r="C4136" s="2">
        <v>5</v>
      </c>
      <c r="D4136" s="1">
        <v>2025</v>
      </c>
    </row>
    <row r="4137" spans="1:4" x14ac:dyDescent="0.35">
      <c r="A4137" s="1" t="s">
        <v>1659</v>
      </c>
      <c r="B4137" s="1" t="s">
        <v>1685</v>
      </c>
      <c r="C4137" s="2">
        <v>1</v>
      </c>
      <c r="D4137" s="1">
        <v>2025</v>
      </c>
    </row>
    <row r="4138" spans="1:4" x14ac:dyDescent="0.35">
      <c r="A4138" s="1" t="s">
        <v>1660</v>
      </c>
      <c r="B4138" s="1" t="s">
        <v>1677</v>
      </c>
      <c r="C4138" s="2">
        <v>26</v>
      </c>
      <c r="D4138" s="1">
        <v>2024</v>
      </c>
    </row>
    <row r="4139" spans="1:4" x14ac:dyDescent="0.35">
      <c r="A4139" s="1" t="s">
        <v>1660</v>
      </c>
      <c r="B4139" s="1" t="s">
        <v>1677</v>
      </c>
      <c r="C4139" s="2">
        <v>35</v>
      </c>
      <c r="D4139" s="1">
        <v>2025</v>
      </c>
    </row>
    <row r="4140" spans="1:4" x14ac:dyDescent="0.35">
      <c r="A4140" s="1" t="s">
        <v>1660</v>
      </c>
      <c r="B4140" s="1" t="s">
        <v>1677</v>
      </c>
      <c r="C4140" s="2">
        <v>20</v>
      </c>
      <c r="D4140" s="1">
        <v>2023</v>
      </c>
    </row>
    <row r="4141" spans="1:4" x14ac:dyDescent="0.35">
      <c r="A4141" s="1" t="s">
        <v>1660</v>
      </c>
      <c r="B4141" s="1" t="s">
        <v>1678</v>
      </c>
      <c r="C4141" s="2">
        <v>25</v>
      </c>
      <c r="D4141" s="1">
        <v>2024</v>
      </c>
    </row>
    <row r="4142" spans="1:4" x14ac:dyDescent="0.35">
      <c r="A4142" s="1" t="s">
        <v>1660</v>
      </c>
      <c r="B4142" s="1" t="s">
        <v>1678</v>
      </c>
      <c r="C4142" s="2">
        <v>15</v>
      </c>
      <c r="D4142" s="1">
        <v>2022</v>
      </c>
    </row>
    <row r="4143" spans="1:4" x14ac:dyDescent="0.35">
      <c r="A4143" s="1" t="s">
        <v>1660</v>
      </c>
      <c r="B4143" s="1" t="s">
        <v>1678</v>
      </c>
      <c r="C4143" s="2">
        <v>24</v>
      </c>
      <c r="D4143" s="1">
        <v>2023</v>
      </c>
    </row>
    <row r="4144" spans="1:4" x14ac:dyDescent="0.35">
      <c r="A4144" s="1" t="s">
        <v>1660</v>
      </c>
      <c r="B4144" s="1" t="s">
        <v>1679</v>
      </c>
      <c r="C4144" s="2">
        <v>49</v>
      </c>
      <c r="D4144" s="1">
        <v>2024</v>
      </c>
    </row>
    <row r="4145" spans="1:4" x14ac:dyDescent="0.35">
      <c r="A4145" s="1" t="s">
        <v>1660</v>
      </c>
      <c r="B4145" s="1" t="s">
        <v>1679</v>
      </c>
      <c r="C4145" s="2">
        <v>17</v>
      </c>
      <c r="D4145" s="1">
        <v>2022</v>
      </c>
    </row>
    <row r="4146" spans="1:4" x14ac:dyDescent="0.35">
      <c r="A4146" s="1" t="s">
        <v>1660</v>
      </c>
      <c r="B4146" s="1" t="s">
        <v>1679</v>
      </c>
      <c r="C4146" s="2">
        <v>28</v>
      </c>
      <c r="D4146" s="1">
        <v>2023</v>
      </c>
    </row>
    <row r="4147" spans="1:4" x14ac:dyDescent="0.35">
      <c r="A4147" s="1" t="s">
        <v>1660</v>
      </c>
      <c r="B4147" s="1" t="s">
        <v>1680</v>
      </c>
      <c r="C4147" s="2">
        <v>21</v>
      </c>
      <c r="D4147" s="1">
        <v>2024</v>
      </c>
    </row>
    <row r="4148" spans="1:4" x14ac:dyDescent="0.35">
      <c r="A4148" s="1" t="s">
        <v>1660</v>
      </c>
      <c r="B4148" s="1" t="s">
        <v>1680</v>
      </c>
      <c r="C4148" s="2">
        <v>28</v>
      </c>
      <c r="D4148" s="1">
        <v>2025</v>
      </c>
    </row>
    <row r="4149" spans="1:4" x14ac:dyDescent="0.35">
      <c r="A4149" s="1" t="s">
        <v>1660</v>
      </c>
      <c r="B4149" s="1" t="s">
        <v>1680</v>
      </c>
      <c r="C4149" s="2">
        <v>14</v>
      </c>
      <c r="D4149" s="1">
        <v>2023</v>
      </c>
    </row>
    <row r="4150" spans="1:4" x14ac:dyDescent="0.35">
      <c r="A4150" s="1" t="s">
        <v>1660</v>
      </c>
      <c r="B4150" s="1" t="s">
        <v>1681</v>
      </c>
      <c r="C4150" s="2">
        <v>23</v>
      </c>
      <c r="D4150" s="1">
        <v>2024</v>
      </c>
    </row>
    <row r="4151" spans="1:4" x14ac:dyDescent="0.35">
      <c r="A4151" s="1" t="s">
        <v>1660</v>
      </c>
      <c r="B4151" s="1" t="s">
        <v>1681</v>
      </c>
      <c r="C4151" s="2">
        <v>24</v>
      </c>
      <c r="D4151" s="1">
        <v>2025</v>
      </c>
    </row>
    <row r="4152" spans="1:4" x14ac:dyDescent="0.35">
      <c r="A4152" s="1" t="s">
        <v>1660</v>
      </c>
      <c r="B4152" s="1" t="s">
        <v>1681</v>
      </c>
      <c r="C4152" s="2">
        <v>21</v>
      </c>
      <c r="D4152" s="1">
        <v>2023</v>
      </c>
    </row>
    <row r="4153" spans="1:4" x14ac:dyDescent="0.35">
      <c r="A4153" s="1" t="s">
        <v>1660</v>
      </c>
      <c r="B4153" s="1" t="s">
        <v>1681</v>
      </c>
      <c r="C4153" s="2">
        <v>21</v>
      </c>
      <c r="D4153" s="1">
        <v>2024</v>
      </c>
    </row>
    <row r="4154" spans="1:4" x14ac:dyDescent="0.35">
      <c r="A4154" s="1" t="s">
        <v>1660</v>
      </c>
      <c r="B4154" s="1" t="s">
        <v>1682</v>
      </c>
      <c r="C4154" s="2">
        <v>26</v>
      </c>
      <c r="D4154" s="1">
        <v>2024</v>
      </c>
    </row>
    <row r="4155" spans="1:4" x14ac:dyDescent="0.35">
      <c r="A4155" s="1" t="s">
        <v>1660</v>
      </c>
      <c r="B4155" s="1" t="s">
        <v>1682</v>
      </c>
      <c r="C4155" s="2">
        <v>14</v>
      </c>
      <c r="D4155" s="1">
        <v>2022</v>
      </c>
    </row>
    <row r="4156" spans="1:4" x14ac:dyDescent="0.35">
      <c r="A4156" s="1" t="s">
        <v>1660</v>
      </c>
      <c r="B4156" s="1" t="s">
        <v>1682</v>
      </c>
      <c r="C4156" s="2">
        <v>29</v>
      </c>
      <c r="D4156" s="1">
        <v>2023</v>
      </c>
    </row>
    <row r="4157" spans="1:4" x14ac:dyDescent="0.35">
      <c r="A4157" s="1" t="s">
        <v>1660</v>
      </c>
      <c r="B4157" s="1" t="s">
        <v>1682</v>
      </c>
      <c r="C4157" s="2">
        <v>10</v>
      </c>
      <c r="D4157" s="1">
        <v>2023</v>
      </c>
    </row>
    <row r="4158" spans="1:4" x14ac:dyDescent="0.35">
      <c r="A4158" s="1" t="s">
        <v>1660</v>
      </c>
      <c r="B4158" s="1" t="s">
        <v>1683</v>
      </c>
      <c r="C4158" s="2">
        <v>27</v>
      </c>
      <c r="D4158" s="1">
        <v>2024</v>
      </c>
    </row>
    <row r="4159" spans="1:4" x14ac:dyDescent="0.35">
      <c r="A4159" s="1" t="s">
        <v>1660</v>
      </c>
      <c r="B4159" s="1" t="s">
        <v>1683</v>
      </c>
      <c r="C4159" s="2">
        <v>23</v>
      </c>
      <c r="D4159" s="1">
        <v>2025</v>
      </c>
    </row>
    <row r="4160" spans="1:4" x14ac:dyDescent="0.35">
      <c r="A4160" s="1" t="s">
        <v>1660</v>
      </c>
      <c r="B4160" s="1" t="s">
        <v>1683</v>
      </c>
      <c r="C4160" s="2">
        <v>28</v>
      </c>
      <c r="D4160" s="1">
        <v>2023</v>
      </c>
    </row>
    <row r="4161" spans="1:4" x14ac:dyDescent="0.35">
      <c r="A4161" s="1" t="s">
        <v>1660</v>
      </c>
      <c r="B4161" s="1" t="s">
        <v>1684</v>
      </c>
      <c r="C4161" s="2">
        <v>28</v>
      </c>
      <c r="D4161" s="1">
        <v>2024</v>
      </c>
    </row>
    <row r="4162" spans="1:4" x14ac:dyDescent="0.35">
      <c r="A4162" s="1" t="s">
        <v>1660</v>
      </c>
      <c r="B4162" s="1" t="s">
        <v>1684</v>
      </c>
      <c r="C4162" s="2">
        <v>27</v>
      </c>
      <c r="D4162" s="1">
        <v>2025</v>
      </c>
    </row>
    <row r="4163" spans="1:4" x14ac:dyDescent="0.35">
      <c r="A4163" s="1" t="s">
        <v>1660</v>
      </c>
      <c r="B4163" s="1" t="s">
        <v>1684</v>
      </c>
      <c r="C4163" s="2">
        <v>20</v>
      </c>
      <c r="D4163" s="1">
        <v>2023</v>
      </c>
    </row>
    <row r="4164" spans="1:4" x14ac:dyDescent="0.35">
      <c r="A4164" s="1" t="s">
        <v>1660</v>
      </c>
      <c r="B4164" s="1" t="s">
        <v>1685</v>
      </c>
      <c r="C4164" s="2">
        <v>41</v>
      </c>
      <c r="D4164" s="1">
        <v>2024</v>
      </c>
    </row>
    <row r="4165" spans="1:4" x14ac:dyDescent="0.35">
      <c r="A4165" s="1" t="s">
        <v>1660</v>
      </c>
      <c r="B4165" s="1" t="s">
        <v>1685</v>
      </c>
      <c r="C4165" s="2">
        <v>24</v>
      </c>
      <c r="D4165" s="1">
        <v>2025</v>
      </c>
    </row>
    <row r="4166" spans="1:4" x14ac:dyDescent="0.35">
      <c r="A4166" s="1" t="s">
        <v>1660</v>
      </c>
      <c r="B4166" s="1" t="s">
        <v>1685</v>
      </c>
      <c r="C4166" s="2">
        <v>20</v>
      </c>
      <c r="D4166" s="1">
        <v>2023</v>
      </c>
    </row>
    <row r="4167" spans="1:4" x14ac:dyDescent="0.35">
      <c r="A4167" s="1" t="s">
        <v>1660</v>
      </c>
      <c r="B4167" s="1" t="s">
        <v>1688</v>
      </c>
      <c r="C4167" s="2">
        <v>15</v>
      </c>
      <c r="D4167" s="1">
        <v>2022</v>
      </c>
    </row>
    <row r="4168" spans="1:4" x14ac:dyDescent="0.35">
      <c r="A4168" s="1" t="s">
        <v>1660</v>
      </c>
      <c r="B4168" s="1" t="s">
        <v>1688</v>
      </c>
      <c r="C4168" s="2">
        <v>26</v>
      </c>
      <c r="D4168" s="1">
        <v>2023</v>
      </c>
    </row>
    <row r="4169" spans="1:4" x14ac:dyDescent="0.35">
      <c r="A4169" s="1" t="s">
        <v>1660</v>
      </c>
      <c r="B4169" s="1" t="s">
        <v>1686</v>
      </c>
      <c r="C4169" s="2">
        <v>51</v>
      </c>
      <c r="D4169" s="1">
        <v>2024</v>
      </c>
    </row>
    <row r="4170" spans="1:4" x14ac:dyDescent="0.35">
      <c r="A4170" s="1" t="s">
        <v>1660</v>
      </c>
      <c r="B4170" s="1" t="s">
        <v>1686</v>
      </c>
      <c r="C4170" s="2">
        <v>17</v>
      </c>
      <c r="D4170" s="1">
        <v>2022</v>
      </c>
    </row>
    <row r="4171" spans="1:4" x14ac:dyDescent="0.35">
      <c r="A4171" s="1" t="s">
        <v>1660</v>
      </c>
      <c r="B4171" s="1" t="s">
        <v>1686</v>
      </c>
      <c r="C4171" s="2">
        <v>22</v>
      </c>
      <c r="D4171" s="1">
        <v>2023</v>
      </c>
    </row>
    <row r="4172" spans="1:4" x14ac:dyDescent="0.35">
      <c r="A4172" s="1" t="s">
        <v>1660</v>
      </c>
      <c r="B4172" s="1" t="s">
        <v>1687</v>
      </c>
      <c r="C4172" s="2">
        <v>25</v>
      </c>
      <c r="D4172" s="1">
        <v>2024</v>
      </c>
    </row>
    <row r="4173" spans="1:4" x14ac:dyDescent="0.35">
      <c r="A4173" s="1" t="s">
        <v>1660</v>
      </c>
      <c r="B4173" s="1" t="s">
        <v>1687</v>
      </c>
      <c r="C4173" s="2">
        <v>15</v>
      </c>
      <c r="D4173" s="1">
        <v>2022</v>
      </c>
    </row>
    <row r="4174" spans="1:4" x14ac:dyDescent="0.35">
      <c r="A4174" s="1" t="s">
        <v>1660</v>
      </c>
      <c r="B4174" s="1" t="s">
        <v>1687</v>
      </c>
      <c r="C4174" s="2">
        <v>23</v>
      </c>
      <c r="D4174" s="1">
        <v>2023</v>
      </c>
    </row>
    <row r="4175" spans="1:4" x14ac:dyDescent="0.35">
      <c r="A4175" s="1" t="s">
        <v>1661</v>
      </c>
      <c r="B4175" s="1" t="s">
        <v>1677</v>
      </c>
      <c r="C4175" s="2">
        <v>23</v>
      </c>
      <c r="D4175" s="1">
        <v>2024</v>
      </c>
    </row>
    <row r="4176" spans="1:4" x14ac:dyDescent="0.35">
      <c r="A4176" s="1" t="s">
        <v>1661</v>
      </c>
      <c r="B4176" s="1" t="s">
        <v>1677</v>
      </c>
      <c r="C4176" s="2">
        <v>42</v>
      </c>
      <c r="D4176" s="1">
        <v>2025</v>
      </c>
    </row>
    <row r="4177" spans="1:4" x14ac:dyDescent="0.35">
      <c r="A4177" s="1" t="s">
        <v>1661</v>
      </c>
      <c r="B4177" s="1" t="s">
        <v>1678</v>
      </c>
      <c r="C4177" s="2">
        <v>26</v>
      </c>
      <c r="D4177" s="1">
        <v>2022</v>
      </c>
    </row>
    <row r="4178" spans="1:4" x14ac:dyDescent="0.35">
      <c r="A4178" s="1" t="s">
        <v>1661</v>
      </c>
      <c r="B4178" s="1" t="s">
        <v>1678</v>
      </c>
      <c r="C4178" s="2">
        <v>24</v>
      </c>
      <c r="D4178" s="1">
        <v>2023</v>
      </c>
    </row>
    <row r="4179" spans="1:4" x14ac:dyDescent="0.35">
      <c r="A4179" s="1" t="s">
        <v>1661</v>
      </c>
      <c r="B4179" s="1" t="s">
        <v>1678</v>
      </c>
      <c r="C4179" s="2">
        <v>22</v>
      </c>
      <c r="D4179" s="1">
        <v>2024</v>
      </c>
    </row>
    <row r="4180" spans="1:4" x14ac:dyDescent="0.35">
      <c r="A4180" s="1" t="s">
        <v>1661</v>
      </c>
      <c r="B4180" s="1" t="s">
        <v>1679</v>
      </c>
      <c r="C4180" s="2">
        <v>20</v>
      </c>
      <c r="D4180" s="1">
        <v>2022</v>
      </c>
    </row>
    <row r="4181" spans="1:4" x14ac:dyDescent="0.35">
      <c r="A4181" s="1" t="s">
        <v>1661</v>
      </c>
      <c r="B4181" s="1" t="s">
        <v>1679</v>
      </c>
      <c r="C4181" s="2">
        <v>21</v>
      </c>
      <c r="D4181" s="1">
        <v>2023</v>
      </c>
    </row>
    <row r="4182" spans="1:4" x14ac:dyDescent="0.35">
      <c r="A4182" s="1" t="s">
        <v>1661</v>
      </c>
      <c r="B4182" s="1" t="s">
        <v>1679</v>
      </c>
      <c r="C4182" s="2">
        <v>20</v>
      </c>
      <c r="D4182" s="1">
        <v>2024</v>
      </c>
    </row>
    <row r="4183" spans="1:4" x14ac:dyDescent="0.35">
      <c r="A4183" s="1" t="s">
        <v>1661</v>
      </c>
      <c r="B4183" s="1" t="s">
        <v>1680</v>
      </c>
      <c r="C4183" s="2">
        <v>25</v>
      </c>
      <c r="D4183" s="1">
        <v>2023</v>
      </c>
    </row>
    <row r="4184" spans="1:4" x14ac:dyDescent="0.35">
      <c r="A4184" s="1" t="s">
        <v>1661</v>
      </c>
      <c r="B4184" s="1" t="s">
        <v>1680</v>
      </c>
      <c r="C4184" s="2">
        <v>20</v>
      </c>
      <c r="D4184" s="1">
        <v>2024</v>
      </c>
    </row>
    <row r="4185" spans="1:4" x14ac:dyDescent="0.35">
      <c r="A4185" s="1" t="s">
        <v>1661</v>
      </c>
      <c r="B4185" s="1" t="s">
        <v>1680</v>
      </c>
      <c r="C4185" s="2">
        <v>40</v>
      </c>
      <c r="D4185" s="1">
        <v>2025</v>
      </c>
    </row>
    <row r="4186" spans="1:4" x14ac:dyDescent="0.35">
      <c r="A4186" s="1" t="s">
        <v>1661</v>
      </c>
      <c r="B4186" s="1" t="s">
        <v>1681</v>
      </c>
      <c r="C4186" s="2">
        <v>1</v>
      </c>
      <c r="D4186" s="1">
        <v>2023</v>
      </c>
    </row>
    <row r="4187" spans="1:4" x14ac:dyDescent="0.35">
      <c r="A4187" s="1" t="s">
        <v>1661</v>
      </c>
      <c r="B4187" s="1" t="s">
        <v>1681</v>
      </c>
      <c r="C4187" s="2">
        <v>20</v>
      </c>
      <c r="D4187" s="1">
        <v>2024</v>
      </c>
    </row>
    <row r="4188" spans="1:4" x14ac:dyDescent="0.35">
      <c r="A4188" s="1" t="s">
        <v>1661</v>
      </c>
      <c r="B4188" s="1" t="s">
        <v>1681</v>
      </c>
      <c r="C4188" s="2">
        <v>20</v>
      </c>
      <c r="D4188" s="1">
        <v>2025</v>
      </c>
    </row>
    <row r="4189" spans="1:4" x14ac:dyDescent="0.35">
      <c r="A4189" s="1" t="s">
        <v>1661</v>
      </c>
      <c r="B4189" s="1" t="s">
        <v>1682</v>
      </c>
      <c r="C4189" s="2">
        <v>30</v>
      </c>
      <c r="D4189" s="1">
        <v>2022</v>
      </c>
    </row>
    <row r="4190" spans="1:4" x14ac:dyDescent="0.35">
      <c r="A4190" s="1" t="s">
        <v>1661</v>
      </c>
      <c r="B4190" s="1" t="s">
        <v>1682</v>
      </c>
      <c r="C4190" s="2">
        <v>24</v>
      </c>
      <c r="D4190" s="1">
        <v>2023</v>
      </c>
    </row>
    <row r="4191" spans="1:4" x14ac:dyDescent="0.35">
      <c r="A4191" s="1" t="s">
        <v>1661</v>
      </c>
      <c r="B4191" s="1" t="s">
        <v>1682</v>
      </c>
      <c r="C4191" s="2">
        <v>22</v>
      </c>
      <c r="D4191" s="1">
        <v>2024</v>
      </c>
    </row>
    <row r="4192" spans="1:4" x14ac:dyDescent="0.35">
      <c r="A4192" s="1" t="s">
        <v>1661</v>
      </c>
      <c r="B4192" s="1" t="s">
        <v>1683</v>
      </c>
      <c r="C4192" s="2">
        <v>26</v>
      </c>
      <c r="D4192" s="1">
        <v>2023</v>
      </c>
    </row>
    <row r="4193" spans="1:4" x14ac:dyDescent="0.35">
      <c r="A4193" s="1" t="s">
        <v>1661</v>
      </c>
      <c r="B4193" s="1" t="s">
        <v>1683</v>
      </c>
      <c r="C4193" s="2">
        <v>16</v>
      </c>
      <c r="D4193" s="1">
        <v>2024</v>
      </c>
    </row>
    <row r="4194" spans="1:4" x14ac:dyDescent="0.35">
      <c r="A4194" s="1" t="s">
        <v>1661</v>
      </c>
      <c r="B4194" s="1" t="s">
        <v>1684</v>
      </c>
      <c r="C4194" s="2">
        <v>49</v>
      </c>
      <c r="D4194" s="1">
        <v>2023</v>
      </c>
    </row>
    <row r="4195" spans="1:4" x14ac:dyDescent="0.35">
      <c r="A4195" s="1" t="s">
        <v>1661</v>
      </c>
      <c r="B4195" s="1" t="s">
        <v>1684</v>
      </c>
      <c r="C4195" s="2">
        <v>20</v>
      </c>
      <c r="D4195" s="1">
        <v>2024</v>
      </c>
    </row>
    <row r="4196" spans="1:4" x14ac:dyDescent="0.35">
      <c r="A4196" s="1" t="s">
        <v>1661</v>
      </c>
      <c r="B4196" s="1" t="s">
        <v>1685</v>
      </c>
      <c r="C4196" s="2">
        <v>42</v>
      </c>
      <c r="D4196" s="1">
        <v>2023</v>
      </c>
    </row>
    <row r="4197" spans="1:4" x14ac:dyDescent="0.35">
      <c r="A4197" s="1" t="s">
        <v>1661</v>
      </c>
      <c r="B4197" s="1" t="s">
        <v>1685</v>
      </c>
      <c r="C4197" s="2">
        <v>23</v>
      </c>
      <c r="D4197" s="1">
        <v>2024</v>
      </c>
    </row>
    <row r="4198" spans="1:4" x14ac:dyDescent="0.35">
      <c r="A4198" s="1" t="s">
        <v>1661</v>
      </c>
      <c r="B4198" s="1" t="s">
        <v>1685</v>
      </c>
      <c r="C4198" s="2">
        <v>20</v>
      </c>
      <c r="D4198" s="1">
        <v>2025</v>
      </c>
    </row>
    <row r="4199" spans="1:4" x14ac:dyDescent="0.35">
      <c r="A4199" s="1" t="s">
        <v>1661</v>
      </c>
      <c r="B4199" s="1" t="s">
        <v>1688</v>
      </c>
      <c r="C4199" s="2">
        <v>20</v>
      </c>
      <c r="D4199" s="1">
        <v>2022</v>
      </c>
    </row>
    <row r="4200" spans="1:4" x14ac:dyDescent="0.35">
      <c r="A4200" s="1" t="s">
        <v>1661</v>
      </c>
      <c r="B4200" s="1" t="s">
        <v>1688</v>
      </c>
      <c r="C4200" s="2">
        <v>23</v>
      </c>
      <c r="D4200" s="1">
        <v>2023</v>
      </c>
    </row>
    <row r="4201" spans="1:4" x14ac:dyDescent="0.35">
      <c r="A4201" s="1" t="s">
        <v>1661</v>
      </c>
      <c r="B4201" s="1" t="s">
        <v>1688</v>
      </c>
      <c r="C4201" s="2">
        <v>20</v>
      </c>
      <c r="D4201" s="1">
        <v>2024</v>
      </c>
    </row>
    <row r="4202" spans="1:4" x14ac:dyDescent="0.35">
      <c r="A4202" s="1" t="s">
        <v>1661</v>
      </c>
      <c r="B4202" s="1" t="s">
        <v>1686</v>
      </c>
      <c r="C4202" s="2">
        <v>24</v>
      </c>
      <c r="D4202" s="1">
        <v>2022</v>
      </c>
    </row>
    <row r="4203" spans="1:4" x14ac:dyDescent="0.35">
      <c r="A4203" s="1" t="s">
        <v>1661</v>
      </c>
      <c r="B4203" s="1" t="s">
        <v>1686</v>
      </c>
      <c r="C4203" s="2">
        <v>21</v>
      </c>
      <c r="D4203" s="1">
        <v>2023</v>
      </c>
    </row>
    <row r="4204" spans="1:4" x14ac:dyDescent="0.35">
      <c r="A4204" s="1" t="s">
        <v>1661</v>
      </c>
      <c r="B4204" s="1" t="s">
        <v>1686</v>
      </c>
      <c r="C4204" s="2">
        <v>16</v>
      </c>
      <c r="D4204" s="1">
        <v>2024</v>
      </c>
    </row>
    <row r="4205" spans="1:4" x14ac:dyDescent="0.35">
      <c r="A4205" s="1" t="s">
        <v>1661</v>
      </c>
      <c r="B4205" s="1" t="s">
        <v>1687</v>
      </c>
      <c r="C4205" s="2">
        <v>26</v>
      </c>
      <c r="D4205" s="1">
        <v>2022</v>
      </c>
    </row>
    <row r="4206" spans="1:4" x14ac:dyDescent="0.35">
      <c r="A4206" s="1" t="s">
        <v>1661</v>
      </c>
      <c r="B4206" s="1" t="s">
        <v>1687</v>
      </c>
      <c r="C4206" s="2">
        <v>24</v>
      </c>
      <c r="D4206" s="1">
        <v>2023</v>
      </c>
    </row>
    <row r="4207" spans="1:4" x14ac:dyDescent="0.35">
      <c r="A4207" s="1" t="s">
        <v>1661</v>
      </c>
      <c r="B4207" s="1" t="s">
        <v>1687</v>
      </c>
      <c r="C4207" s="2">
        <v>18</v>
      </c>
      <c r="D4207" s="1">
        <v>2024</v>
      </c>
    </row>
    <row r="4208" spans="1:4" x14ac:dyDescent="0.35">
      <c r="A4208" s="1" t="s">
        <v>74</v>
      </c>
      <c r="B4208" s="1" t="s">
        <v>1677</v>
      </c>
      <c r="C4208" s="2">
        <v>1</v>
      </c>
      <c r="D4208" s="1">
        <v>2024</v>
      </c>
    </row>
    <row r="4209" spans="1:4" x14ac:dyDescent="0.35">
      <c r="A4209" s="1" t="s">
        <v>74</v>
      </c>
      <c r="B4209" s="1" t="s">
        <v>1678</v>
      </c>
      <c r="C4209" s="2">
        <v>2</v>
      </c>
      <c r="D4209" s="1">
        <v>2024</v>
      </c>
    </row>
    <row r="4210" spans="1:4" x14ac:dyDescent="0.35">
      <c r="A4210" s="1" t="s">
        <v>74</v>
      </c>
      <c r="B4210" s="1" t="s">
        <v>1680</v>
      </c>
      <c r="C4210" s="2">
        <v>1</v>
      </c>
      <c r="D4210" s="1">
        <v>2025</v>
      </c>
    </row>
    <row r="4211" spans="1:4" x14ac:dyDescent="0.35">
      <c r="A4211" s="1" t="s">
        <v>74</v>
      </c>
      <c r="B4211" s="1" t="s">
        <v>1681</v>
      </c>
      <c r="C4211" s="2">
        <v>3</v>
      </c>
      <c r="D4211" s="1">
        <v>2025</v>
      </c>
    </row>
    <row r="4212" spans="1:4" x14ac:dyDescent="0.35">
      <c r="A4212" s="1" t="s">
        <v>74</v>
      </c>
      <c r="B4212" s="1" t="s">
        <v>1682</v>
      </c>
      <c r="C4212" s="2">
        <v>2</v>
      </c>
      <c r="D4212" s="1">
        <v>2024</v>
      </c>
    </row>
    <row r="4213" spans="1:4" x14ac:dyDescent="0.35">
      <c r="A4213" s="1" t="s">
        <v>74</v>
      </c>
      <c r="B4213" s="1" t="s">
        <v>1683</v>
      </c>
      <c r="C4213" s="2">
        <v>2</v>
      </c>
      <c r="D4213" s="1">
        <v>2024</v>
      </c>
    </row>
    <row r="4214" spans="1:4" x14ac:dyDescent="0.35">
      <c r="A4214" s="1" t="s">
        <v>74</v>
      </c>
      <c r="B4214" s="1" t="s">
        <v>1684</v>
      </c>
      <c r="C4214" s="2">
        <v>1</v>
      </c>
      <c r="D4214" s="1">
        <v>2025</v>
      </c>
    </row>
    <row r="4215" spans="1:4" x14ac:dyDescent="0.35">
      <c r="A4215" s="1" t="s">
        <v>74</v>
      </c>
      <c r="B4215" s="1" t="s">
        <v>1685</v>
      </c>
      <c r="C4215" s="2">
        <v>5</v>
      </c>
      <c r="D4215" s="1">
        <v>2024</v>
      </c>
    </row>
    <row r="4216" spans="1:4" x14ac:dyDescent="0.35">
      <c r="A4216" s="1" t="s">
        <v>74</v>
      </c>
      <c r="B4216" s="1" t="s">
        <v>1688</v>
      </c>
      <c r="C4216" s="2">
        <v>1</v>
      </c>
      <c r="D4216" s="1">
        <v>2024</v>
      </c>
    </row>
    <row r="4217" spans="1:4" x14ac:dyDescent="0.35">
      <c r="A4217" s="1" t="s">
        <v>74</v>
      </c>
      <c r="B4217" s="1" t="s">
        <v>1686</v>
      </c>
      <c r="C4217" s="2">
        <v>2</v>
      </c>
      <c r="D4217" s="1">
        <v>2024</v>
      </c>
    </row>
    <row r="4218" spans="1:4" x14ac:dyDescent="0.35">
      <c r="A4218" s="1" t="s">
        <v>74</v>
      </c>
      <c r="B4218" s="1" t="s">
        <v>1685</v>
      </c>
      <c r="C4218" s="2">
        <v>2</v>
      </c>
      <c r="D4218" s="1">
        <v>2025</v>
      </c>
    </row>
    <row r="4219" spans="1:4" x14ac:dyDescent="0.35">
      <c r="A4219" s="1" t="s">
        <v>74</v>
      </c>
      <c r="B4219" s="1" t="s">
        <v>1685</v>
      </c>
      <c r="C4219" s="2">
        <v>1</v>
      </c>
      <c r="D4219" s="1">
        <v>2025</v>
      </c>
    </row>
    <row r="4220" spans="1:4" x14ac:dyDescent="0.35">
      <c r="A4220" s="1" t="s">
        <v>74</v>
      </c>
      <c r="B4220" s="1" t="s">
        <v>1677</v>
      </c>
      <c r="C4220" s="2">
        <v>20</v>
      </c>
      <c r="D4220" s="1">
        <v>2024</v>
      </c>
    </row>
    <row r="4221" spans="1:4" x14ac:dyDescent="0.35">
      <c r="A4221" s="1" t="s">
        <v>74</v>
      </c>
      <c r="B4221" s="1" t="s">
        <v>1683</v>
      </c>
      <c r="C4221" s="2">
        <v>17</v>
      </c>
      <c r="D4221" s="1">
        <v>2024</v>
      </c>
    </row>
    <row r="4222" spans="1:4" x14ac:dyDescent="0.35">
      <c r="A4222" s="1" t="s">
        <v>74</v>
      </c>
      <c r="B4222" s="1" t="s">
        <v>1685</v>
      </c>
      <c r="C4222" s="2">
        <v>35</v>
      </c>
      <c r="D4222" s="1">
        <v>2024</v>
      </c>
    </row>
    <row r="4223" spans="1:4" x14ac:dyDescent="0.35">
      <c r="A4223" s="1" t="s">
        <v>74</v>
      </c>
      <c r="B4223" s="1" t="s">
        <v>1684</v>
      </c>
      <c r="C4223" s="2">
        <v>6</v>
      </c>
      <c r="D4223" s="1">
        <v>2025</v>
      </c>
    </row>
    <row r="4224" spans="1:4" x14ac:dyDescent="0.35">
      <c r="A4224" s="1" t="s">
        <v>74</v>
      </c>
      <c r="B4224" s="1" t="s">
        <v>1680</v>
      </c>
      <c r="C4224" s="2">
        <v>1</v>
      </c>
      <c r="D4224" s="1">
        <v>2025</v>
      </c>
    </row>
    <row r="4225" spans="1:4" x14ac:dyDescent="0.35">
      <c r="A4225" s="1" t="s">
        <v>74</v>
      </c>
      <c r="B4225" s="1" t="s">
        <v>1683</v>
      </c>
      <c r="C4225" s="2">
        <v>1</v>
      </c>
      <c r="D4225" s="1">
        <v>2025</v>
      </c>
    </row>
    <row r="4226" spans="1:4" x14ac:dyDescent="0.35">
      <c r="A4226" s="1" t="s">
        <v>74</v>
      </c>
      <c r="B4226" s="1" t="s">
        <v>1684</v>
      </c>
      <c r="C4226" s="2">
        <v>-2</v>
      </c>
      <c r="D4226" s="1">
        <v>2025</v>
      </c>
    </row>
    <row r="4227" spans="1:4" x14ac:dyDescent="0.35">
      <c r="A4227" s="1" t="s">
        <v>74</v>
      </c>
      <c r="B4227" s="1" t="s">
        <v>1677</v>
      </c>
      <c r="C4227" s="2">
        <v>10</v>
      </c>
      <c r="D4227" s="1">
        <v>2024</v>
      </c>
    </row>
    <row r="4228" spans="1:4" x14ac:dyDescent="0.35">
      <c r="A4228" s="1" t="s">
        <v>74</v>
      </c>
      <c r="B4228" s="1" t="s">
        <v>1677</v>
      </c>
      <c r="C4228" s="2">
        <v>12</v>
      </c>
      <c r="D4228" s="1">
        <v>2025</v>
      </c>
    </row>
    <row r="4229" spans="1:4" x14ac:dyDescent="0.35">
      <c r="A4229" s="1" t="s">
        <v>74</v>
      </c>
      <c r="B4229" s="1" t="s">
        <v>1678</v>
      </c>
      <c r="C4229" s="2">
        <v>7</v>
      </c>
      <c r="D4229" s="1">
        <v>2024</v>
      </c>
    </row>
    <row r="4230" spans="1:4" x14ac:dyDescent="0.35">
      <c r="A4230" s="1" t="s">
        <v>74</v>
      </c>
      <c r="B4230" s="1" t="s">
        <v>1679</v>
      </c>
      <c r="C4230" s="2">
        <v>3</v>
      </c>
      <c r="D4230" s="1">
        <v>2024</v>
      </c>
    </row>
    <row r="4231" spans="1:4" x14ac:dyDescent="0.35">
      <c r="A4231" s="1" t="s">
        <v>74</v>
      </c>
      <c r="B4231" s="1" t="s">
        <v>1680</v>
      </c>
      <c r="C4231" s="2">
        <v>8</v>
      </c>
      <c r="D4231" s="1">
        <v>2025</v>
      </c>
    </row>
    <row r="4232" spans="1:4" x14ac:dyDescent="0.35">
      <c r="A4232" s="1" t="s">
        <v>74</v>
      </c>
      <c r="B4232" s="1" t="s">
        <v>1681</v>
      </c>
      <c r="C4232" s="2">
        <v>7</v>
      </c>
      <c r="D4232" s="1">
        <v>2025</v>
      </c>
    </row>
    <row r="4233" spans="1:4" x14ac:dyDescent="0.35">
      <c r="A4233" s="1" t="s">
        <v>74</v>
      </c>
      <c r="B4233" s="1" t="s">
        <v>1682</v>
      </c>
      <c r="C4233" s="2">
        <v>7</v>
      </c>
      <c r="D4233" s="1">
        <v>2024</v>
      </c>
    </row>
    <row r="4234" spans="1:4" x14ac:dyDescent="0.35">
      <c r="A4234" s="1" t="s">
        <v>74</v>
      </c>
      <c r="B4234" s="1" t="s">
        <v>1683</v>
      </c>
      <c r="C4234" s="2">
        <v>7</v>
      </c>
      <c r="D4234" s="1">
        <v>2024</v>
      </c>
    </row>
    <row r="4235" spans="1:4" x14ac:dyDescent="0.35">
      <c r="A4235" s="1" t="s">
        <v>74</v>
      </c>
      <c r="B4235" s="1" t="s">
        <v>1683</v>
      </c>
      <c r="C4235" s="2">
        <v>6</v>
      </c>
      <c r="D4235" s="1">
        <v>2025</v>
      </c>
    </row>
    <row r="4236" spans="1:4" x14ac:dyDescent="0.35">
      <c r="A4236" s="1" t="s">
        <v>74</v>
      </c>
      <c r="B4236" s="1" t="s">
        <v>1684</v>
      </c>
      <c r="C4236" s="2">
        <v>11</v>
      </c>
      <c r="D4236" s="1">
        <v>2025</v>
      </c>
    </row>
    <row r="4237" spans="1:4" x14ac:dyDescent="0.35">
      <c r="A4237" s="1" t="s">
        <v>74</v>
      </c>
      <c r="B4237" s="1" t="s">
        <v>1685</v>
      </c>
      <c r="C4237" s="2">
        <v>6</v>
      </c>
      <c r="D4237" s="1">
        <v>2024</v>
      </c>
    </row>
    <row r="4238" spans="1:4" x14ac:dyDescent="0.35">
      <c r="A4238" s="1" t="s">
        <v>74</v>
      </c>
      <c r="B4238" s="1" t="s">
        <v>1685</v>
      </c>
      <c r="C4238" s="2">
        <v>6</v>
      </c>
      <c r="D4238" s="1">
        <v>2025</v>
      </c>
    </row>
    <row r="4239" spans="1:4" x14ac:dyDescent="0.35">
      <c r="A4239" s="1" t="s">
        <v>74</v>
      </c>
      <c r="B4239" s="1" t="s">
        <v>1688</v>
      </c>
      <c r="C4239" s="2">
        <v>8</v>
      </c>
      <c r="D4239" s="1">
        <v>2024</v>
      </c>
    </row>
    <row r="4240" spans="1:4" x14ac:dyDescent="0.35">
      <c r="A4240" s="1" t="s">
        <v>74</v>
      </c>
      <c r="B4240" s="1" t="s">
        <v>1686</v>
      </c>
      <c r="C4240" s="2">
        <v>10</v>
      </c>
      <c r="D4240" s="1">
        <v>2024</v>
      </c>
    </row>
    <row r="4241" spans="1:4" x14ac:dyDescent="0.35">
      <c r="A4241" s="1" t="s">
        <v>74</v>
      </c>
      <c r="B4241" s="1" t="s">
        <v>1687</v>
      </c>
      <c r="C4241" s="2">
        <v>7</v>
      </c>
      <c r="D4241" s="1">
        <v>2024</v>
      </c>
    </row>
    <row r="4242" spans="1:4" x14ac:dyDescent="0.35">
      <c r="A4242" s="1" t="s">
        <v>74</v>
      </c>
      <c r="B4242" s="1" t="s">
        <v>1680</v>
      </c>
      <c r="C4242" s="2">
        <v>1</v>
      </c>
      <c r="D4242" s="1">
        <v>2025</v>
      </c>
    </row>
    <row r="4243" spans="1:4" x14ac:dyDescent="0.35">
      <c r="A4243" s="1" t="s">
        <v>74</v>
      </c>
      <c r="B4243" s="1" t="s">
        <v>1681</v>
      </c>
      <c r="C4243" s="2">
        <v>1</v>
      </c>
      <c r="D4243" s="1">
        <v>2025</v>
      </c>
    </row>
    <row r="4244" spans="1:4" x14ac:dyDescent="0.35">
      <c r="A4244" s="1" t="s">
        <v>74</v>
      </c>
      <c r="B4244" s="1" t="s">
        <v>1683</v>
      </c>
      <c r="C4244" s="2">
        <v>1</v>
      </c>
      <c r="D4244" s="1">
        <v>2025</v>
      </c>
    </row>
    <row r="4245" spans="1:4" x14ac:dyDescent="0.35">
      <c r="A4245" s="1" t="s">
        <v>74</v>
      </c>
      <c r="B4245" s="1" t="s">
        <v>1688</v>
      </c>
      <c r="C4245" s="2">
        <v>2</v>
      </c>
      <c r="D4245" s="1">
        <v>2024</v>
      </c>
    </row>
    <row r="4246" spans="1:4" x14ac:dyDescent="0.35">
      <c r="A4246" s="1" t="s">
        <v>74</v>
      </c>
      <c r="B4246" s="1" t="s">
        <v>1686</v>
      </c>
      <c r="C4246" s="2">
        <v>1</v>
      </c>
      <c r="D4246" s="1">
        <v>2024</v>
      </c>
    </row>
    <row r="4247" spans="1:4" x14ac:dyDescent="0.35">
      <c r="A4247" s="1" t="s">
        <v>74</v>
      </c>
      <c r="B4247" s="1" t="s">
        <v>1677</v>
      </c>
      <c r="C4247" s="2">
        <v>2</v>
      </c>
      <c r="D4247" s="1">
        <v>2025</v>
      </c>
    </row>
    <row r="4248" spans="1:4" x14ac:dyDescent="0.35">
      <c r="A4248" s="1" t="s">
        <v>74</v>
      </c>
      <c r="B4248" s="1" t="s">
        <v>1678</v>
      </c>
      <c r="C4248" s="2">
        <v>2</v>
      </c>
      <c r="D4248" s="1">
        <v>2024</v>
      </c>
    </row>
    <row r="4249" spans="1:4" x14ac:dyDescent="0.35">
      <c r="A4249" s="1" t="s">
        <v>74</v>
      </c>
      <c r="B4249" s="1" t="s">
        <v>1679</v>
      </c>
      <c r="C4249" s="2">
        <v>1</v>
      </c>
      <c r="D4249" s="1">
        <v>2024</v>
      </c>
    </row>
    <row r="4250" spans="1:4" x14ac:dyDescent="0.35">
      <c r="A4250" s="1" t="s">
        <v>74</v>
      </c>
      <c r="B4250" s="1" t="s">
        <v>1680</v>
      </c>
      <c r="C4250" s="2">
        <v>1</v>
      </c>
      <c r="D4250" s="1">
        <v>2025</v>
      </c>
    </row>
    <row r="4251" spans="1:4" x14ac:dyDescent="0.35">
      <c r="A4251" s="1" t="s">
        <v>74</v>
      </c>
      <c r="B4251" s="1" t="s">
        <v>1681</v>
      </c>
      <c r="C4251" s="2">
        <v>1</v>
      </c>
      <c r="D4251" s="1">
        <v>2025</v>
      </c>
    </row>
    <row r="4252" spans="1:4" x14ac:dyDescent="0.35">
      <c r="A4252" s="1" t="s">
        <v>74</v>
      </c>
      <c r="B4252" s="1" t="s">
        <v>1682</v>
      </c>
      <c r="C4252" s="2">
        <v>1</v>
      </c>
      <c r="D4252" s="1">
        <v>2024</v>
      </c>
    </row>
    <row r="4253" spans="1:4" x14ac:dyDescent="0.35">
      <c r="A4253" s="1" t="s">
        <v>74</v>
      </c>
      <c r="B4253" s="1" t="s">
        <v>1683</v>
      </c>
      <c r="C4253" s="2">
        <v>2</v>
      </c>
      <c r="D4253" s="1">
        <v>2025</v>
      </c>
    </row>
    <row r="4254" spans="1:4" x14ac:dyDescent="0.35">
      <c r="A4254" s="1" t="s">
        <v>74</v>
      </c>
      <c r="B4254" s="1" t="s">
        <v>1684</v>
      </c>
      <c r="C4254" s="2">
        <v>2</v>
      </c>
      <c r="D4254" s="1">
        <v>2025</v>
      </c>
    </row>
    <row r="4255" spans="1:4" x14ac:dyDescent="0.35">
      <c r="A4255" s="1" t="s">
        <v>74</v>
      </c>
      <c r="B4255" s="1" t="s">
        <v>1685</v>
      </c>
      <c r="C4255" s="2">
        <v>2</v>
      </c>
      <c r="D4255" s="1">
        <v>2025</v>
      </c>
    </row>
    <row r="4256" spans="1:4" x14ac:dyDescent="0.35">
      <c r="A4256" s="1" t="s">
        <v>74</v>
      </c>
      <c r="B4256" s="1" t="s">
        <v>1688</v>
      </c>
      <c r="C4256" s="2">
        <v>2</v>
      </c>
      <c r="D4256" s="1">
        <v>2024</v>
      </c>
    </row>
    <row r="4257" spans="1:4" x14ac:dyDescent="0.35">
      <c r="A4257" s="1" t="s">
        <v>74</v>
      </c>
      <c r="B4257" s="1" t="s">
        <v>1686</v>
      </c>
      <c r="C4257" s="2">
        <v>1</v>
      </c>
      <c r="D4257" s="1">
        <v>2024</v>
      </c>
    </row>
    <row r="4258" spans="1:4" x14ac:dyDescent="0.35">
      <c r="A4258" s="1" t="s">
        <v>74</v>
      </c>
      <c r="B4258" s="1" t="s">
        <v>1687</v>
      </c>
      <c r="C4258" s="2">
        <v>2</v>
      </c>
      <c r="D4258" s="1">
        <v>2024</v>
      </c>
    </row>
    <row r="4259" spans="1:4" x14ac:dyDescent="0.35">
      <c r="A4259" s="1" t="s">
        <v>74</v>
      </c>
      <c r="B4259" s="1" t="s">
        <v>1680</v>
      </c>
      <c r="C4259" s="2">
        <v>1</v>
      </c>
      <c r="D4259" s="1">
        <v>2025</v>
      </c>
    </row>
    <row r="4260" spans="1:4" x14ac:dyDescent="0.35">
      <c r="A4260" s="1" t="s">
        <v>74</v>
      </c>
      <c r="B4260" s="1" t="s">
        <v>1685</v>
      </c>
      <c r="C4260" s="2">
        <v>1</v>
      </c>
      <c r="D4260" s="1">
        <v>2024</v>
      </c>
    </row>
    <row r="4261" spans="1:4" x14ac:dyDescent="0.35">
      <c r="A4261" s="1" t="s">
        <v>74</v>
      </c>
      <c r="B4261" s="1" t="s">
        <v>1677</v>
      </c>
      <c r="C4261" s="2">
        <v>70</v>
      </c>
      <c r="D4261" s="1">
        <v>2023</v>
      </c>
    </row>
    <row r="4262" spans="1:4" x14ac:dyDescent="0.35">
      <c r="A4262" s="1" t="s">
        <v>74</v>
      </c>
      <c r="B4262" s="1" t="s">
        <v>1678</v>
      </c>
      <c r="C4262" s="2">
        <v>100</v>
      </c>
      <c r="D4262" s="1">
        <v>2022</v>
      </c>
    </row>
    <row r="4263" spans="1:4" x14ac:dyDescent="0.35">
      <c r="A4263" s="1" t="s">
        <v>74</v>
      </c>
      <c r="B4263" s="1" t="s">
        <v>1678</v>
      </c>
      <c r="C4263" s="2">
        <v>70</v>
      </c>
      <c r="D4263" s="1">
        <v>2023</v>
      </c>
    </row>
    <row r="4264" spans="1:4" x14ac:dyDescent="0.35">
      <c r="A4264" s="1" t="s">
        <v>74</v>
      </c>
      <c r="B4264" s="1" t="s">
        <v>1679</v>
      </c>
      <c r="C4264" s="2">
        <v>0</v>
      </c>
      <c r="D4264" s="1">
        <v>2022</v>
      </c>
    </row>
    <row r="4265" spans="1:4" x14ac:dyDescent="0.35">
      <c r="A4265" s="1" t="s">
        <v>74</v>
      </c>
      <c r="B4265" s="1" t="s">
        <v>1679</v>
      </c>
      <c r="C4265" s="2">
        <v>50</v>
      </c>
      <c r="D4265" s="1">
        <v>2022</v>
      </c>
    </row>
    <row r="4266" spans="1:4" x14ac:dyDescent="0.35">
      <c r="A4266" s="1" t="s">
        <v>74</v>
      </c>
      <c r="B4266" s="1" t="s">
        <v>1679</v>
      </c>
      <c r="C4266" s="2">
        <v>43</v>
      </c>
      <c r="D4266" s="1">
        <v>2023</v>
      </c>
    </row>
    <row r="4267" spans="1:4" x14ac:dyDescent="0.35">
      <c r="A4267" s="1" t="s">
        <v>74</v>
      </c>
      <c r="B4267" s="1" t="s">
        <v>1680</v>
      </c>
      <c r="C4267" s="2">
        <v>76</v>
      </c>
      <c r="D4267" s="1">
        <v>2023</v>
      </c>
    </row>
    <row r="4268" spans="1:4" x14ac:dyDescent="0.35">
      <c r="A4268" s="1" t="s">
        <v>74</v>
      </c>
      <c r="B4268" s="1" t="s">
        <v>1680</v>
      </c>
      <c r="C4268" s="2">
        <v>90</v>
      </c>
      <c r="D4268" s="1">
        <v>2024</v>
      </c>
    </row>
    <row r="4269" spans="1:4" x14ac:dyDescent="0.35">
      <c r="A4269" s="1" t="s">
        <v>74</v>
      </c>
      <c r="B4269" s="1" t="s">
        <v>1681</v>
      </c>
      <c r="C4269" s="2">
        <v>140</v>
      </c>
      <c r="D4269" s="1">
        <v>2023</v>
      </c>
    </row>
    <row r="4270" spans="1:4" x14ac:dyDescent="0.35">
      <c r="A4270" s="1" t="s">
        <v>74</v>
      </c>
      <c r="B4270" s="1" t="s">
        <v>1681</v>
      </c>
      <c r="C4270" s="2">
        <v>102</v>
      </c>
      <c r="D4270" s="1">
        <v>2024</v>
      </c>
    </row>
    <row r="4271" spans="1:4" x14ac:dyDescent="0.35">
      <c r="A4271" s="1" t="s">
        <v>74</v>
      </c>
      <c r="B4271" s="1" t="s">
        <v>1681</v>
      </c>
      <c r="C4271" s="2">
        <v>13</v>
      </c>
      <c r="D4271" s="1">
        <v>2023</v>
      </c>
    </row>
    <row r="4272" spans="1:4" x14ac:dyDescent="0.35">
      <c r="A4272" s="1" t="s">
        <v>74</v>
      </c>
      <c r="B4272" s="1" t="s">
        <v>1682</v>
      </c>
      <c r="C4272" s="2">
        <v>83</v>
      </c>
      <c r="D4272" s="1">
        <v>2022</v>
      </c>
    </row>
    <row r="4273" spans="1:4" x14ac:dyDescent="0.35">
      <c r="A4273" s="1" t="s">
        <v>74</v>
      </c>
      <c r="B4273" s="1" t="s">
        <v>1682</v>
      </c>
      <c r="C4273" s="2">
        <v>12</v>
      </c>
      <c r="D4273" s="1">
        <v>2022</v>
      </c>
    </row>
    <row r="4274" spans="1:4" x14ac:dyDescent="0.35">
      <c r="A4274" s="1" t="s">
        <v>74</v>
      </c>
      <c r="B4274" s="1" t="s">
        <v>1682</v>
      </c>
      <c r="C4274" s="2">
        <v>75</v>
      </c>
      <c r="D4274" s="1">
        <v>2023</v>
      </c>
    </row>
    <row r="4275" spans="1:4" x14ac:dyDescent="0.35">
      <c r="A4275" s="1" t="s">
        <v>74</v>
      </c>
      <c r="B4275" s="1" t="s">
        <v>1682</v>
      </c>
      <c r="C4275" s="2">
        <v>8</v>
      </c>
      <c r="D4275" s="1">
        <v>2022</v>
      </c>
    </row>
    <row r="4276" spans="1:4" x14ac:dyDescent="0.35">
      <c r="A4276" s="1" t="s">
        <v>74</v>
      </c>
      <c r="B4276" s="1" t="s">
        <v>1683</v>
      </c>
      <c r="C4276" s="2">
        <v>85</v>
      </c>
      <c r="D4276" s="1">
        <v>2023</v>
      </c>
    </row>
    <row r="4277" spans="1:4" x14ac:dyDescent="0.35">
      <c r="A4277" s="1" t="s">
        <v>74</v>
      </c>
      <c r="B4277" s="1" t="s">
        <v>1684</v>
      </c>
      <c r="C4277" s="2">
        <v>79</v>
      </c>
      <c r="D4277" s="1">
        <v>2023</v>
      </c>
    </row>
    <row r="4278" spans="1:4" x14ac:dyDescent="0.35">
      <c r="A4278" s="1" t="s">
        <v>74</v>
      </c>
      <c r="B4278" s="1" t="s">
        <v>1684</v>
      </c>
      <c r="C4278" s="2">
        <v>10</v>
      </c>
      <c r="D4278" s="1">
        <v>2024</v>
      </c>
    </row>
    <row r="4279" spans="1:4" x14ac:dyDescent="0.35">
      <c r="A4279" s="1" t="s">
        <v>74</v>
      </c>
      <c r="B4279" s="1" t="s">
        <v>1685</v>
      </c>
      <c r="C4279" s="2">
        <v>76</v>
      </c>
      <c r="D4279" s="1">
        <v>2023</v>
      </c>
    </row>
    <row r="4280" spans="1:4" x14ac:dyDescent="0.35">
      <c r="A4280" s="1" t="s">
        <v>74</v>
      </c>
      <c r="B4280" s="1" t="s">
        <v>1688</v>
      </c>
      <c r="C4280" s="2">
        <v>94</v>
      </c>
      <c r="D4280" s="1">
        <v>2022</v>
      </c>
    </row>
    <row r="4281" spans="1:4" x14ac:dyDescent="0.35">
      <c r="A4281" s="1" t="s">
        <v>74</v>
      </c>
      <c r="B4281" s="1" t="s">
        <v>1688</v>
      </c>
      <c r="C4281" s="2">
        <v>58</v>
      </c>
      <c r="D4281" s="1">
        <v>2023</v>
      </c>
    </row>
    <row r="4282" spans="1:4" x14ac:dyDescent="0.35">
      <c r="A4282" s="1" t="s">
        <v>74</v>
      </c>
      <c r="B4282" s="1" t="s">
        <v>1686</v>
      </c>
      <c r="C4282" s="2">
        <v>92</v>
      </c>
      <c r="D4282" s="1">
        <v>2022</v>
      </c>
    </row>
    <row r="4283" spans="1:4" x14ac:dyDescent="0.35">
      <c r="A4283" s="1" t="s">
        <v>74</v>
      </c>
      <c r="B4283" s="1" t="s">
        <v>1686</v>
      </c>
      <c r="C4283" s="2">
        <v>70</v>
      </c>
      <c r="D4283" s="1">
        <v>2023</v>
      </c>
    </row>
    <row r="4284" spans="1:4" x14ac:dyDescent="0.35">
      <c r="A4284" s="1" t="s">
        <v>74</v>
      </c>
      <c r="B4284" s="1" t="s">
        <v>1687</v>
      </c>
      <c r="C4284" s="2">
        <v>90</v>
      </c>
      <c r="D4284" s="1">
        <v>2022</v>
      </c>
    </row>
    <row r="4285" spans="1:4" x14ac:dyDescent="0.35">
      <c r="A4285" s="1" t="s">
        <v>74</v>
      </c>
      <c r="B4285" s="1" t="s">
        <v>1687</v>
      </c>
      <c r="C4285" s="2">
        <v>75</v>
      </c>
      <c r="D4285" s="1">
        <v>2023</v>
      </c>
    </row>
    <row r="4286" spans="1:4" x14ac:dyDescent="0.35">
      <c r="A4286" s="1" t="s">
        <v>74</v>
      </c>
      <c r="B4286" s="1" t="s">
        <v>1677</v>
      </c>
      <c r="C4286" s="2">
        <v>8</v>
      </c>
      <c r="D4286" s="1">
        <v>2024</v>
      </c>
    </row>
    <row r="4287" spans="1:4" x14ac:dyDescent="0.35">
      <c r="A4287" s="1" t="s">
        <v>74</v>
      </c>
      <c r="B4287" s="1" t="s">
        <v>1677</v>
      </c>
      <c r="C4287" s="2">
        <v>6</v>
      </c>
      <c r="D4287" s="1">
        <v>2025</v>
      </c>
    </row>
    <row r="4288" spans="1:4" x14ac:dyDescent="0.35">
      <c r="A4288" s="1" t="s">
        <v>74</v>
      </c>
      <c r="B4288" s="1" t="s">
        <v>1678</v>
      </c>
      <c r="C4288" s="2">
        <v>7</v>
      </c>
      <c r="D4288" s="1">
        <v>2024</v>
      </c>
    </row>
    <row r="4289" spans="1:4" x14ac:dyDescent="0.35">
      <c r="A4289" s="1" t="s">
        <v>74</v>
      </c>
      <c r="B4289" s="1" t="s">
        <v>1679</v>
      </c>
      <c r="C4289" s="2">
        <v>8</v>
      </c>
      <c r="D4289" s="1">
        <v>2024</v>
      </c>
    </row>
    <row r="4290" spans="1:4" x14ac:dyDescent="0.35">
      <c r="A4290" s="1" t="s">
        <v>74</v>
      </c>
      <c r="B4290" s="1" t="s">
        <v>1680</v>
      </c>
      <c r="C4290" s="2">
        <v>6</v>
      </c>
      <c r="D4290" s="1">
        <v>2025</v>
      </c>
    </row>
    <row r="4291" spans="1:4" x14ac:dyDescent="0.35">
      <c r="A4291" s="1" t="s">
        <v>74</v>
      </c>
      <c r="B4291" s="1" t="s">
        <v>1681</v>
      </c>
      <c r="C4291" s="2">
        <v>8</v>
      </c>
      <c r="D4291" s="1">
        <v>2025</v>
      </c>
    </row>
    <row r="4292" spans="1:4" x14ac:dyDescent="0.35">
      <c r="A4292" s="1" t="s">
        <v>74</v>
      </c>
      <c r="B4292" s="1" t="s">
        <v>1682</v>
      </c>
      <c r="C4292" s="2">
        <v>11</v>
      </c>
      <c r="D4292" s="1">
        <v>2024</v>
      </c>
    </row>
    <row r="4293" spans="1:4" x14ac:dyDescent="0.35">
      <c r="A4293" s="1" t="s">
        <v>74</v>
      </c>
      <c r="B4293" s="1" t="s">
        <v>1683</v>
      </c>
      <c r="C4293" s="2">
        <v>4</v>
      </c>
      <c r="D4293" s="1">
        <v>2024</v>
      </c>
    </row>
    <row r="4294" spans="1:4" x14ac:dyDescent="0.35">
      <c r="A4294" s="1" t="s">
        <v>74</v>
      </c>
      <c r="B4294" s="1" t="s">
        <v>1683</v>
      </c>
      <c r="C4294" s="2">
        <v>8</v>
      </c>
      <c r="D4294" s="1">
        <v>2025</v>
      </c>
    </row>
    <row r="4295" spans="1:4" x14ac:dyDescent="0.35">
      <c r="A4295" s="1" t="s">
        <v>74</v>
      </c>
      <c r="B4295" s="1" t="s">
        <v>1684</v>
      </c>
      <c r="C4295" s="2">
        <v>9</v>
      </c>
      <c r="D4295" s="1">
        <v>2025</v>
      </c>
    </row>
    <row r="4296" spans="1:4" x14ac:dyDescent="0.35">
      <c r="A4296" s="1" t="s">
        <v>74</v>
      </c>
      <c r="B4296" s="1" t="s">
        <v>1685</v>
      </c>
      <c r="C4296" s="2">
        <v>12</v>
      </c>
      <c r="D4296" s="1">
        <v>2024</v>
      </c>
    </row>
    <row r="4297" spans="1:4" x14ac:dyDescent="0.35">
      <c r="A4297" s="1" t="s">
        <v>74</v>
      </c>
      <c r="B4297" s="1" t="s">
        <v>1685</v>
      </c>
      <c r="C4297" s="2">
        <v>7</v>
      </c>
      <c r="D4297" s="1">
        <v>2025</v>
      </c>
    </row>
    <row r="4298" spans="1:4" x14ac:dyDescent="0.35">
      <c r="A4298" s="1" t="s">
        <v>74</v>
      </c>
      <c r="B4298" s="1" t="s">
        <v>1688</v>
      </c>
      <c r="C4298" s="2">
        <v>6</v>
      </c>
      <c r="D4298" s="1">
        <v>2024</v>
      </c>
    </row>
    <row r="4299" spans="1:4" x14ac:dyDescent="0.35">
      <c r="A4299" s="1" t="s">
        <v>74</v>
      </c>
      <c r="B4299" s="1" t="s">
        <v>1686</v>
      </c>
      <c r="C4299" s="2">
        <v>9</v>
      </c>
      <c r="D4299" s="1">
        <v>2024</v>
      </c>
    </row>
    <row r="4300" spans="1:4" x14ac:dyDescent="0.35">
      <c r="A4300" s="1" t="s">
        <v>74</v>
      </c>
      <c r="B4300" s="1" t="s">
        <v>1687</v>
      </c>
      <c r="C4300" s="2">
        <v>7</v>
      </c>
      <c r="D4300" s="1">
        <v>2024</v>
      </c>
    </row>
    <row r="4301" spans="1:4" x14ac:dyDescent="0.35">
      <c r="A4301" s="1" t="s">
        <v>74</v>
      </c>
      <c r="B4301" s="1" t="s">
        <v>1677</v>
      </c>
      <c r="C4301" s="2">
        <v>2</v>
      </c>
      <c r="D4301" s="1">
        <v>2025</v>
      </c>
    </row>
    <row r="4302" spans="1:4" x14ac:dyDescent="0.35">
      <c r="A4302" s="1" t="s">
        <v>74</v>
      </c>
      <c r="B4302" s="1" t="s">
        <v>1678</v>
      </c>
      <c r="C4302" s="2">
        <v>2</v>
      </c>
      <c r="D4302" s="1">
        <v>2024</v>
      </c>
    </row>
    <row r="4303" spans="1:4" x14ac:dyDescent="0.35">
      <c r="A4303" s="1" t="s">
        <v>74</v>
      </c>
      <c r="B4303" s="1" t="s">
        <v>1679</v>
      </c>
      <c r="C4303" s="2">
        <v>3</v>
      </c>
      <c r="D4303" s="1">
        <v>2024</v>
      </c>
    </row>
    <row r="4304" spans="1:4" x14ac:dyDescent="0.35">
      <c r="A4304" s="1" t="s">
        <v>74</v>
      </c>
      <c r="B4304" s="1" t="s">
        <v>1680</v>
      </c>
      <c r="C4304" s="2">
        <v>3</v>
      </c>
      <c r="D4304" s="1">
        <v>2025</v>
      </c>
    </row>
    <row r="4305" spans="1:4" x14ac:dyDescent="0.35">
      <c r="A4305" s="1" t="s">
        <v>74</v>
      </c>
      <c r="B4305" s="1" t="s">
        <v>1681</v>
      </c>
      <c r="C4305" s="2">
        <v>3</v>
      </c>
      <c r="D4305" s="1">
        <v>2025</v>
      </c>
    </row>
    <row r="4306" spans="1:4" x14ac:dyDescent="0.35">
      <c r="A4306" s="1" t="s">
        <v>74</v>
      </c>
      <c r="B4306" s="1" t="s">
        <v>1682</v>
      </c>
      <c r="C4306" s="2">
        <v>1</v>
      </c>
      <c r="D4306" s="1">
        <v>2024</v>
      </c>
    </row>
    <row r="4307" spans="1:4" x14ac:dyDescent="0.35">
      <c r="A4307" s="1" t="s">
        <v>74</v>
      </c>
      <c r="B4307" s="1" t="s">
        <v>1683</v>
      </c>
      <c r="C4307" s="2">
        <v>4</v>
      </c>
      <c r="D4307" s="1">
        <v>2024</v>
      </c>
    </row>
    <row r="4308" spans="1:4" x14ac:dyDescent="0.35">
      <c r="A4308" s="1" t="s">
        <v>74</v>
      </c>
      <c r="B4308" s="1" t="s">
        <v>1683</v>
      </c>
      <c r="C4308" s="2">
        <v>2</v>
      </c>
      <c r="D4308" s="1">
        <v>2025</v>
      </c>
    </row>
    <row r="4309" spans="1:4" x14ac:dyDescent="0.35">
      <c r="A4309" s="1" t="s">
        <v>74</v>
      </c>
      <c r="B4309" s="1" t="s">
        <v>1684</v>
      </c>
      <c r="C4309" s="2">
        <v>6</v>
      </c>
      <c r="D4309" s="1">
        <v>2025</v>
      </c>
    </row>
    <row r="4310" spans="1:4" x14ac:dyDescent="0.35">
      <c r="A4310" s="1" t="s">
        <v>74</v>
      </c>
      <c r="B4310" s="1" t="s">
        <v>1685</v>
      </c>
      <c r="C4310" s="2">
        <v>7</v>
      </c>
      <c r="D4310" s="1">
        <v>2024</v>
      </c>
    </row>
    <row r="4311" spans="1:4" x14ac:dyDescent="0.35">
      <c r="A4311" s="1" t="s">
        <v>74</v>
      </c>
      <c r="B4311" s="1" t="s">
        <v>1685</v>
      </c>
      <c r="C4311" s="2">
        <v>5</v>
      </c>
      <c r="D4311" s="1">
        <v>2025</v>
      </c>
    </row>
    <row r="4312" spans="1:4" x14ac:dyDescent="0.35">
      <c r="A4312" s="1" t="s">
        <v>74</v>
      </c>
      <c r="B4312" s="1" t="s">
        <v>1688</v>
      </c>
      <c r="C4312" s="2">
        <v>4</v>
      </c>
      <c r="D4312" s="1">
        <v>2024</v>
      </c>
    </row>
    <row r="4313" spans="1:4" x14ac:dyDescent="0.35">
      <c r="A4313" s="1" t="s">
        <v>74</v>
      </c>
      <c r="B4313" s="1" t="s">
        <v>1686</v>
      </c>
      <c r="C4313" s="2">
        <v>3</v>
      </c>
      <c r="D4313" s="1">
        <v>2024</v>
      </c>
    </row>
    <row r="4314" spans="1:4" x14ac:dyDescent="0.35">
      <c r="A4314" s="1" t="s">
        <v>74</v>
      </c>
      <c r="B4314" s="1" t="s">
        <v>1687</v>
      </c>
      <c r="C4314" s="2">
        <v>3</v>
      </c>
      <c r="D4314" s="1">
        <v>2024</v>
      </c>
    </row>
    <row r="4315" spans="1:4" x14ac:dyDescent="0.35">
      <c r="A4315" s="1" t="s">
        <v>74</v>
      </c>
      <c r="B4315" s="1" t="s">
        <v>1677</v>
      </c>
      <c r="C4315" s="2">
        <v>4</v>
      </c>
      <c r="D4315" s="1">
        <v>2024</v>
      </c>
    </row>
    <row r="4316" spans="1:4" x14ac:dyDescent="0.35">
      <c r="A4316" s="1" t="s">
        <v>74</v>
      </c>
      <c r="B4316" s="1" t="s">
        <v>1680</v>
      </c>
      <c r="C4316" s="2">
        <v>1</v>
      </c>
      <c r="D4316" s="1">
        <v>2025</v>
      </c>
    </row>
    <row r="4317" spans="1:4" x14ac:dyDescent="0.35">
      <c r="A4317" s="1" t="s">
        <v>74</v>
      </c>
      <c r="B4317" s="1" t="s">
        <v>1683</v>
      </c>
      <c r="C4317" s="2">
        <v>1</v>
      </c>
      <c r="D4317" s="1">
        <v>2025</v>
      </c>
    </row>
    <row r="4318" spans="1:4" x14ac:dyDescent="0.35">
      <c r="A4318" s="1" t="s">
        <v>1662</v>
      </c>
      <c r="B4318" s="1" t="s">
        <v>1677</v>
      </c>
      <c r="C4318" s="2">
        <v>10</v>
      </c>
      <c r="D4318" s="1">
        <v>2023</v>
      </c>
    </row>
    <row r="4319" spans="1:4" x14ac:dyDescent="0.35">
      <c r="A4319" s="1" t="s">
        <v>1662</v>
      </c>
      <c r="B4319" s="1" t="s">
        <v>1677</v>
      </c>
      <c r="C4319" s="2">
        <v>9</v>
      </c>
      <c r="D4319" s="1">
        <v>2024</v>
      </c>
    </row>
    <row r="4320" spans="1:4" x14ac:dyDescent="0.35">
      <c r="A4320" s="1" t="s">
        <v>1662</v>
      </c>
      <c r="B4320" s="1" t="s">
        <v>1678</v>
      </c>
      <c r="C4320" s="2">
        <v>11</v>
      </c>
      <c r="D4320" s="1">
        <v>2022</v>
      </c>
    </row>
    <row r="4321" spans="1:4" x14ac:dyDescent="0.35">
      <c r="A4321" s="1" t="s">
        <v>1662</v>
      </c>
      <c r="B4321" s="1" t="s">
        <v>1678</v>
      </c>
      <c r="C4321" s="2">
        <v>10</v>
      </c>
      <c r="D4321" s="1">
        <v>2023</v>
      </c>
    </row>
    <row r="4322" spans="1:4" x14ac:dyDescent="0.35">
      <c r="A4322" s="1" t="s">
        <v>1662</v>
      </c>
      <c r="B4322" s="1" t="s">
        <v>1679</v>
      </c>
      <c r="C4322" s="2">
        <v>8</v>
      </c>
      <c r="D4322" s="1">
        <v>2022</v>
      </c>
    </row>
    <row r="4323" spans="1:4" x14ac:dyDescent="0.35">
      <c r="A4323" s="1" t="s">
        <v>1662</v>
      </c>
      <c r="B4323" s="1" t="s">
        <v>1680</v>
      </c>
      <c r="C4323" s="2">
        <v>14</v>
      </c>
      <c r="D4323" s="1">
        <v>2023</v>
      </c>
    </row>
    <row r="4324" spans="1:4" x14ac:dyDescent="0.35">
      <c r="A4324" s="1" t="s">
        <v>1662</v>
      </c>
      <c r="B4324" s="1" t="s">
        <v>1680</v>
      </c>
      <c r="C4324" s="2">
        <v>7</v>
      </c>
      <c r="D4324" s="1">
        <v>2024</v>
      </c>
    </row>
    <row r="4325" spans="1:4" x14ac:dyDescent="0.35">
      <c r="A4325" s="1" t="s">
        <v>1662</v>
      </c>
      <c r="B4325" s="1" t="s">
        <v>1680</v>
      </c>
      <c r="C4325" s="2">
        <v>12</v>
      </c>
      <c r="D4325" s="1">
        <v>2025</v>
      </c>
    </row>
    <row r="4326" spans="1:4" x14ac:dyDescent="0.35">
      <c r="A4326" s="1" t="s">
        <v>1662</v>
      </c>
      <c r="B4326" s="1" t="s">
        <v>1681</v>
      </c>
      <c r="C4326" s="2">
        <v>7</v>
      </c>
      <c r="D4326" s="1">
        <v>2024</v>
      </c>
    </row>
    <row r="4327" spans="1:4" x14ac:dyDescent="0.35">
      <c r="A4327" s="1" t="s">
        <v>1662</v>
      </c>
      <c r="B4327" s="1" t="s">
        <v>1681</v>
      </c>
      <c r="C4327" s="2">
        <v>9</v>
      </c>
      <c r="D4327" s="1">
        <v>2025</v>
      </c>
    </row>
    <row r="4328" spans="1:4" x14ac:dyDescent="0.35">
      <c r="A4328" s="1" t="s">
        <v>1662</v>
      </c>
      <c r="B4328" s="1" t="s">
        <v>1682</v>
      </c>
      <c r="C4328" s="2">
        <v>3</v>
      </c>
      <c r="D4328" s="1">
        <v>2023</v>
      </c>
    </row>
    <row r="4329" spans="1:4" x14ac:dyDescent="0.35">
      <c r="A4329" s="1" t="s">
        <v>1662</v>
      </c>
      <c r="B4329" s="1" t="s">
        <v>1682</v>
      </c>
      <c r="C4329" s="2">
        <v>0</v>
      </c>
      <c r="D4329" s="1">
        <v>2024</v>
      </c>
    </row>
    <row r="4330" spans="1:4" x14ac:dyDescent="0.35">
      <c r="A4330" s="1" t="s">
        <v>1662</v>
      </c>
      <c r="B4330" s="1" t="s">
        <v>1683</v>
      </c>
      <c r="C4330" s="2">
        <v>11</v>
      </c>
      <c r="D4330" s="1">
        <v>2023</v>
      </c>
    </row>
    <row r="4331" spans="1:4" x14ac:dyDescent="0.35">
      <c r="A4331" s="1" t="s">
        <v>1662</v>
      </c>
      <c r="B4331" s="1" t="s">
        <v>1683</v>
      </c>
      <c r="C4331" s="2">
        <v>7</v>
      </c>
      <c r="D4331" s="1">
        <v>2024</v>
      </c>
    </row>
    <row r="4332" spans="1:4" x14ac:dyDescent="0.35">
      <c r="A4332" s="1" t="s">
        <v>1662</v>
      </c>
      <c r="B4332" s="1" t="s">
        <v>1684</v>
      </c>
      <c r="C4332" s="2">
        <v>6</v>
      </c>
      <c r="D4332" s="1">
        <v>2024</v>
      </c>
    </row>
    <row r="4333" spans="1:4" x14ac:dyDescent="0.35">
      <c r="A4333" s="1" t="s">
        <v>1662</v>
      </c>
      <c r="B4333" s="1" t="s">
        <v>1685</v>
      </c>
      <c r="C4333" s="2">
        <v>4</v>
      </c>
      <c r="D4333" s="1">
        <v>2023</v>
      </c>
    </row>
    <row r="4334" spans="1:4" x14ac:dyDescent="0.35">
      <c r="A4334" s="1" t="s">
        <v>1662</v>
      </c>
      <c r="B4334" s="1" t="s">
        <v>1685</v>
      </c>
      <c r="C4334" s="2">
        <v>2</v>
      </c>
      <c r="D4334" s="1">
        <v>2024</v>
      </c>
    </row>
    <row r="4335" spans="1:4" x14ac:dyDescent="0.35">
      <c r="A4335" s="1" t="s">
        <v>1662</v>
      </c>
      <c r="B4335" s="1" t="s">
        <v>1685</v>
      </c>
      <c r="C4335" s="2">
        <v>15</v>
      </c>
      <c r="D4335" s="1">
        <v>2025</v>
      </c>
    </row>
    <row r="4336" spans="1:4" x14ac:dyDescent="0.35">
      <c r="A4336" s="1" t="s">
        <v>1662</v>
      </c>
      <c r="B4336" s="1" t="s">
        <v>1688</v>
      </c>
      <c r="C4336" s="2">
        <v>5</v>
      </c>
      <c r="D4336" s="1">
        <v>2022</v>
      </c>
    </row>
    <row r="4337" spans="1:4" x14ac:dyDescent="0.35">
      <c r="A4337" s="1" t="s">
        <v>1662</v>
      </c>
      <c r="B4337" s="1" t="s">
        <v>1688</v>
      </c>
      <c r="C4337" s="2">
        <v>9</v>
      </c>
      <c r="D4337" s="1">
        <v>2023</v>
      </c>
    </row>
    <row r="4338" spans="1:4" x14ac:dyDescent="0.35">
      <c r="A4338" s="1" t="s">
        <v>1662</v>
      </c>
      <c r="B4338" s="1" t="s">
        <v>1688</v>
      </c>
      <c r="C4338" s="2">
        <v>11</v>
      </c>
      <c r="D4338" s="1">
        <v>2024</v>
      </c>
    </row>
    <row r="4339" spans="1:4" x14ac:dyDescent="0.35">
      <c r="A4339" s="1" t="s">
        <v>1662</v>
      </c>
      <c r="B4339" s="1" t="s">
        <v>1686</v>
      </c>
      <c r="C4339" s="2">
        <v>9</v>
      </c>
      <c r="D4339" s="1">
        <v>2022</v>
      </c>
    </row>
    <row r="4340" spans="1:4" x14ac:dyDescent="0.35">
      <c r="A4340" s="1" t="s">
        <v>1662</v>
      </c>
      <c r="B4340" s="1" t="s">
        <v>1686</v>
      </c>
      <c r="C4340" s="2">
        <v>4</v>
      </c>
      <c r="D4340" s="1">
        <v>2023</v>
      </c>
    </row>
    <row r="4341" spans="1:4" x14ac:dyDescent="0.35">
      <c r="A4341" s="1" t="s">
        <v>1662</v>
      </c>
      <c r="B4341" s="1" t="s">
        <v>1686</v>
      </c>
      <c r="C4341" s="2">
        <v>1</v>
      </c>
      <c r="D4341" s="1">
        <v>2024</v>
      </c>
    </row>
    <row r="4342" spans="1:4" x14ac:dyDescent="0.35">
      <c r="A4342" s="1" t="s">
        <v>1662</v>
      </c>
      <c r="B4342" s="1" t="s">
        <v>1687</v>
      </c>
      <c r="C4342" s="2">
        <v>3</v>
      </c>
      <c r="D4342" s="1">
        <v>2022</v>
      </c>
    </row>
    <row r="4343" spans="1:4" x14ac:dyDescent="0.35">
      <c r="A4343" s="1" t="s">
        <v>1662</v>
      </c>
      <c r="B4343" s="1" t="s">
        <v>1687</v>
      </c>
      <c r="C4343" s="2">
        <v>5</v>
      </c>
      <c r="D4343" s="1">
        <v>2023</v>
      </c>
    </row>
    <row r="4344" spans="1:4" x14ac:dyDescent="0.35">
      <c r="A4344" s="1" t="s">
        <v>1662</v>
      </c>
      <c r="B4344" s="1" t="s">
        <v>1687</v>
      </c>
      <c r="C4344" s="2">
        <v>8</v>
      </c>
      <c r="D4344" s="1">
        <v>2024</v>
      </c>
    </row>
    <row r="4345" spans="1:4" x14ac:dyDescent="0.35">
      <c r="A4345" s="1" t="s">
        <v>1663</v>
      </c>
      <c r="B4345" s="1" t="s">
        <v>1677</v>
      </c>
      <c r="C4345" s="2">
        <v>5</v>
      </c>
      <c r="D4345" s="1">
        <v>2023</v>
      </c>
    </row>
    <row r="4346" spans="1:4" x14ac:dyDescent="0.35">
      <c r="A4346" s="1" t="s">
        <v>1663</v>
      </c>
      <c r="B4346" s="1" t="s">
        <v>1677</v>
      </c>
      <c r="C4346" s="2">
        <v>3</v>
      </c>
      <c r="D4346" s="1">
        <v>2024</v>
      </c>
    </row>
    <row r="4347" spans="1:4" x14ac:dyDescent="0.35">
      <c r="A4347" s="1" t="s">
        <v>1663</v>
      </c>
      <c r="B4347" s="1" t="s">
        <v>1677</v>
      </c>
      <c r="C4347" s="2">
        <v>2</v>
      </c>
      <c r="D4347" s="1">
        <v>2025</v>
      </c>
    </row>
    <row r="4348" spans="1:4" x14ac:dyDescent="0.35">
      <c r="A4348" s="1" t="s">
        <v>1663</v>
      </c>
      <c r="B4348" s="1" t="s">
        <v>1678</v>
      </c>
      <c r="C4348" s="2">
        <v>5</v>
      </c>
      <c r="D4348" s="1">
        <v>2022</v>
      </c>
    </row>
    <row r="4349" spans="1:4" x14ac:dyDescent="0.35">
      <c r="A4349" s="1" t="s">
        <v>1663</v>
      </c>
      <c r="B4349" s="1" t="s">
        <v>1678</v>
      </c>
      <c r="C4349" s="2">
        <v>4</v>
      </c>
      <c r="D4349" s="1">
        <v>2023</v>
      </c>
    </row>
    <row r="4350" spans="1:4" x14ac:dyDescent="0.35">
      <c r="A4350" s="1" t="s">
        <v>1663</v>
      </c>
      <c r="B4350" s="1" t="s">
        <v>1678</v>
      </c>
      <c r="C4350" s="2">
        <v>3</v>
      </c>
      <c r="D4350" s="1">
        <v>2024</v>
      </c>
    </row>
    <row r="4351" spans="1:4" x14ac:dyDescent="0.35">
      <c r="A4351" s="1" t="s">
        <v>1663</v>
      </c>
      <c r="B4351" s="1" t="s">
        <v>1679</v>
      </c>
      <c r="C4351" s="2">
        <v>4</v>
      </c>
      <c r="D4351" s="1">
        <v>2022</v>
      </c>
    </row>
    <row r="4352" spans="1:4" x14ac:dyDescent="0.35">
      <c r="A4352" s="1" t="s">
        <v>1663</v>
      </c>
      <c r="B4352" s="1" t="s">
        <v>1680</v>
      </c>
      <c r="C4352" s="2">
        <v>4</v>
      </c>
      <c r="D4352" s="1">
        <v>2024</v>
      </c>
    </row>
    <row r="4353" spans="1:4" x14ac:dyDescent="0.35">
      <c r="A4353" s="1" t="s">
        <v>1663</v>
      </c>
      <c r="B4353" s="1" t="s">
        <v>1680</v>
      </c>
      <c r="C4353" s="2">
        <v>2</v>
      </c>
      <c r="D4353" s="1">
        <v>2025</v>
      </c>
    </row>
    <row r="4354" spans="1:4" x14ac:dyDescent="0.35">
      <c r="A4354" s="1" t="s">
        <v>1663</v>
      </c>
      <c r="B4354" s="1" t="s">
        <v>1681</v>
      </c>
      <c r="C4354" s="2">
        <v>5</v>
      </c>
      <c r="D4354" s="1">
        <v>2023</v>
      </c>
    </row>
    <row r="4355" spans="1:4" x14ac:dyDescent="0.35">
      <c r="A4355" s="1" t="s">
        <v>1663</v>
      </c>
      <c r="B4355" s="1" t="s">
        <v>1681</v>
      </c>
      <c r="C4355" s="2">
        <v>4</v>
      </c>
      <c r="D4355" s="1">
        <v>2024</v>
      </c>
    </row>
    <row r="4356" spans="1:4" x14ac:dyDescent="0.35">
      <c r="A4356" s="1" t="s">
        <v>1663</v>
      </c>
      <c r="B4356" s="1" t="s">
        <v>1681</v>
      </c>
      <c r="C4356" s="2">
        <v>2</v>
      </c>
      <c r="D4356" s="1">
        <v>2025</v>
      </c>
    </row>
    <row r="4357" spans="1:4" x14ac:dyDescent="0.35">
      <c r="A4357" s="1" t="s">
        <v>1663</v>
      </c>
      <c r="B4357" s="1" t="s">
        <v>1682</v>
      </c>
      <c r="C4357" s="2">
        <v>5</v>
      </c>
      <c r="D4357" s="1">
        <v>2022</v>
      </c>
    </row>
    <row r="4358" spans="1:4" x14ac:dyDescent="0.35">
      <c r="A4358" s="1" t="s">
        <v>1663</v>
      </c>
      <c r="B4358" s="1" t="s">
        <v>1682</v>
      </c>
      <c r="C4358" s="2">
        <v>3</v>
      </c>
      <c r="D4358" s="1">
        <v>2024</v>
      </c>
    </row>
    <row r="4359" spans="1:4" x14ac:dyDescent="0.35">
      <c r="A4359" s="1" t="s">
        <v>1663</v>
      </c>
      <c r="B4359" s="1" t="s">
        <v>1683</v>
      </c>
      <c r="C4359" s="2">
        <v>5</v>
      </c>
      <c r="D4359" s="1">
        <v>2023</v>
      </c>
    </row>
    <row r="4360" spans="1:4" x14ac:dyDescent="0.35">
      <c r="A4360" s="1" t="s">
        <v>1663</v>
      </c>
      <c r="B4360" s="1" t="s">
        <v>1683</v>
      </c>
      <c r="C4360" s="2">
        <v>2</v>
      </c>
      <c r="D4360" s="1">
        <v>2024</v>
      </c>
    </row>
    <row r="4361" spans="1:4" x14ac:dyDescent="0.35">
      <c r="A4361" s="1" t="s">
        <v>1663</v>
      </c>
      <c r="B4361" s="1" t="s">
        <v>1683</v>
      </c>
      <c r="C4361" s="2">
        <v>2</v>
      </c>
      <c r="D4361" s="1">
        <v>2025</v>
      </c>
    </row>
    <row r="4362" spans="1:4" x14ac:dyDescent="0.35">
      <c r="A4362" s="1" t="s">
        <v>1663</v>
      </c>
      <c r="B4362" s="1" t="s">
        <v>1684</v>
      </c>
      <c r="C4362" s="2">
        <v>5</v>
      </c>
      <c r="D4362" s="1">
        <v>2023</v>
      </c>
    </row>
    <row r="4363" spans="1:4" x14ac:dyDescent="0.35">
      <c r="A4363" s="1" t="s">
        <v>1663</v>
      </c>
      <c r="B4363" s="1" t="s">
        <v>1684</v>
      </c>
      <c r="C4363" s="2">
        <v>3</v>
      </c>
      <c r="D4363" s="1">
        <v>2024</v>
      </c>
    </row>
    <row r="4364" spans="1:4" x14ac:dyDescent="0.35">
      <c r="A4364" s="1" t="s">
        <v>1663</v>
      </c>
      <c r="B4364" s="1" t="s">
        <v>1684</v>
      </c>
      <c r="C4364" s="2">
        <v>2</v>
      </c>
      <c r="D4364" s="1">
        <v>2025</v>
      </c>
    </row>
    <row r="4365" spans="1:4" x14ac:dyDescent="0.35">
      <c r="A4365" s="1" t="s">
        <v>1663</v>
      </c>
      <c r="B4365" s="1" t="s">
        <v>1685</v>
      </c>
      <c r="C4365" s="2">
        <v>1</v>
      </c>
      <c r="D4365" s="1">
        <v>2024</v>
      </c>
    </row>
    <row r="4366" spans="1:4" x14ac:dyDescent="0.35">
      <c r="A4366" s="1" t="s">
        <v>1663</v>
      </c>
      <c r="B4366" s="1" t="s">
        <v>1688</v>
      </c>
      <c r="C4366" s="2">
        <v>2</v>
      </c>
      <c r="D4366" s="1">
        <v>2024</v>
      </c>
    </row>
    <row r="4367" spans="1:4" x14ac:dyDescent="0.35">
      <c r="A4367" s="1" t="s">
        <v>1663</v>
      </c>
      <c r="B4367" s="1" t="s">
        <v>1686</v>
      </c>
      <c r="C4367" s="2">
        <v>5</v>
      </c>
      <c r="D4367" s="1">
        <v>2022</v>
      </c>
    </row>
    <row r="4368" spans="1:4" x14ac:dyDescent="0.35">
      <c r="A4368" s="1" t="s">
        <v>1663</v>
      </c>
      <c r="B4368" s="1" t="s">
        <v>1686</v>
      </c>
      <c r="C4368" s="2">
        <v>4</v>
      </c>
      <c r="D4368" s="1">
        <v>2023</v>
      </c>
    </row>
    <row r="4369" spans="1:4" x14ac:dyDescent="0.35">
      <c r="A4369" s="1" t="s">
        <v>1663</v>
      </c>
      <c r="B4369" s="1" t="s">
        <v>1686</v>
      </c>
      <c r="C4369" s="2">
        <v>2</v>
      </c>
      <c r="D4369" s="1">
        <v>2024</v>
      </c>
    </row>
    <row r="4370" spans="1:4" x14ac:dyDescent="0.35">
      <c r="A4370" s="1" t="s">
        <v>1663</v>
      </c>
      <c r="B4370" s="1" t="s">
        <v>1687</v>
      </c>
      <c r="C4370" s="2">
        <v>5</v>
      </c>
      <c r="D4370" s="1">
        <v>2022</v>
      </c>
    </row>
    <row r="4371" spans="1:4" x14ac:dyDescent="0.35">
      <c r="A4371" s="1" t="s">
        <v>1663</v>
      </c>
      <c r="B4371" s="1" t="s">
        <v>1687</v>
      </c>
      <c r="C4371" s="2">
        <v>4</v>
      </c>
      <c r="D4371" s="1">
        <v>2023</v>
      </c>
    </row>
    <row r="4372" spans="1:4" x14ac:dyDescent="0.35">
      <c r="A4372" s="1" t="s">
        <v>1664</v>
      </c>
      <c r="B4372" s="1" t="s">
        <v>1677</v>
      </c>
      <c r="C4372" s="2">
        <v>26</v>
      </c>
      <c r="D4372" s="1">
        <v>2023</v>
      </c>
    </row>
    <row r="4373" spans="1:4" x14ac:dyDescent="0.35">
      <c r="A4373" s="1" t="s">
        <v>1664</v>
      </c>
      <c r="B4373" s="1" t="s">
        <v>1677</v>
      </c>
      <c r="C4373" s="2">
        <v>27</v>
      </c>
      <c r="D4373" s="1">
        <v>2024</v>
      </c>
    </row>
    <row r="4374" spans="1:4" x14ac:dyDescent="0.35">
      <c r="A4374" s="1" t="s">
        <v>1664</v>
      </c>
      <c r="B4374" s="1" t="s">
        <v>1677</v>
      </c>
      <c r="C4374" s="2">
        <v>24</v>
      </c>
      <c r="D4374" s="1">
        <v>2025</v>
      </c>
    </row>
    <row r="4375" spans="1:4" x14ac:dyDescent="0.35">
      <c r="A4375" s="1" t="s">
        <v>1664</v>
      </c>
      <c r="B4375" s="1" t="s">
        <v>1678</v>
      </c>
      <c r="C4375" s="2">
        <v>30</v>
      </c>
      <c r="D4375" s="1">
        <v>2022</v>
      </c>
    </row>
    <row r="4376" spans="1:4" x14ac:dyDescent="0.35">
      <c r="A4376" s="1" t="s">
        <v>1664</v>
      </c>
      <c r="B4376" s="1" t="s">
        <v>1678</v>
      </c>
      <c r="C4376" s="2">
        <v>27</v>
      </c>
      <c r="D4376" s="1">
        <v>2023</v>
      </c>
    </row>
    <row r="4377" spans="1:4" x14ac:dyDescent="0.35">
      <c r="A4377" s="1" t="s">
        <v>1664</v>
      </c>
      <c r="B4377" s="1" t="s">
        <v>1678</v>
      </c>
      <c r="C4377" s="2">
        <v>28</v>
      </c>
      <c r="D4377" s="1">
        <v>2024</v>
      </c>
    </row>
    <row r="4378" spans="1:4" x14ac:dyDescent="0.35">
      <c r="A4378" s="1" t="s">
        <v>1664</v>
      </c>
      <c r="B4378" s="1" t="s">
        <v>1679</v>
      </c>
      <c r="C4378" s="2">
        <v>0</v>
      </c>
      <c r="D4378" s="1">
        <v>2022</v>
      </c>
    </row>
    <row r="4379" spans="1:4" x14ac:dyDescent="0.35">
      <c r="A4379" s="1" t="s">
        <v>1664</v>
      </c>
      <c r="B4379" s="1" t="s">
        <v>1679</v>
      </c>
      <c r="C4379" s="2">
        <v>15</v>
      </c>
      <c r="D4379" s="1">
        <v>2023</v>
      </c>
    </row>
    <row r="4380" spans="1:4" x14ac:dyDescent="0.35">
      <c r="A4380" s="1" t="s">
        <v>1664</v>
      </c>
      <c r="B4380" s="1" t="s">
        <v>1679</v>
      </c>
      <c r="C4380" s="2">
        <v>-1</v>
      </c>
      <c r="D4380" s="1">
        <v>2024</v>
      </c>
    </row>
    <row r="4381" spans="1:4" x14ac:dyDescent="0.35">
      <c r="A4381" s="1" t="s">
        <v>1664</v>
      </c>
      <c r="B4381" s="1" t="s">
        <v>1680</v>
      </c>
      <c r="C4381" s="2">
        <v>33</v>
      </c>
      <c r="D4381" s="1">
        <v>2023</v>
      </c>
    </row>
    <row r="4382" spans="1:4" x14ac:dyDescent="0.35">
      <c r="A4382" s="1" t="s">
        <v>1664</v>
      </c>
      <c r="B4382" s="1" t="s">
        <v>1680</v>
      </c>
      <c r="C4382" s="2">
        <v>27</v>
      </c>
      <c r="D4382" s="1">
        <v>2024</v>
      </c>
    </row>
    <row r="4383" spans="1:4" x14ac:dyDescent="0.35">
      <c r="A4383" s="1" t="s">
        <v>1664</v>
      </c>
      <c r="B4383" s="1" t="s">
        <v>1680</v>
      </c>
      <c r="C4383" s="2">
        <v>25</v>
      </c>
      <c r="D4383" s="1">
        <v>2025</v>
      </c>
    </row>
    <row r="4384" spans="1:4" x14ac:dyDescent="0.35">
      <c r="A4384" s="1" t="s">
        <v>1664</v>
      </c>
      <c r="B4384" s="1" t="s">
        <v>1681</v>
      </c>
      <c r="C4384" s="2">
        <v>78</v>
      </c>
      <c r="D4384" s="1">
        <v>2023</v>
      </c>
    </row>
    <row r="4385" spans="1:4" x14ac:dyDescent="0.35">
      <c r="A4385" s="1" t="s">
        <v>1664</v>
      </c>
      <c r="B4385" s="1" t="s">
        <v>1681</v>
      </c>
      <c r="C4385" s="2">
        <v>46</v>
      </c>
      <c r="D4385" s="1">
        <v>2024</v>
      </c>
    </row>
    <row r="4386" spans="1:4" x14ac:dyDescent="0.35">
      <c r="A4386" s="1" t="s">
        <v>1664</v>
      </c>
      <c r="B4386" s="1" t="s">
        <v>1681</v>
      </c>
      <c r="C4386" s="2">
        <v>48</v>
      </c>
      <c r="D4386" s="1">
        <v>2025</v>
      </c>
    </row>
    <row r="4387" spans="1:4" x14ac:dyDescent="0.35">
      <c r="A4387" s="1" t="s">
        <v>1664</v>
      </c>
      <c r="B4387" s="1" t="s">
        <v>1682</v>
      </c>
      <c r="C4387" s="2">
        <v>2</v>
      </c>
      <c r="D4387" s="1">
        <v>2022</v>
      </c>
    </row>
    <row r="4388" spans="1:4" x14ac:dyDescent="0.35">
      <c r="A4388" s="1" t="s">
        <v>1664</v>
      </c>
      <c r="B4388" s="1" t="s">
        <v>1682</v>
      </c>
      <c r="C4388" s="2">
        <v>22</v>
      </c>
      <c r="D4388" s="1">
        <v>2023</v>
      </c>
    </row>
    <row r="4389" spans="1:4" x14ac:dyDescent="0.35">
      <c r="A4389" s="1" t="s">
        <v>1664</v>
      </c>
      <c r="B4389" s="1" t="s">
        <v>1682</v>
      </c>
      <c r="C4389" s="2">
        <v>26</v>
      </c>
      <c r="D4389" s="1">
        <v>2024</v>
      </c>
    </row>
    <row r="4390" spans="1:4" x14ac:dyDescent="0.35">
      <c r="A4390" s="1" t="s">
        <v>1664</v>
      </c>
      <c r="B4390" s="1" t="s">
        <v>1683</v>
      </c>
      <c r="C4390" s="2">
        <v>30</v>
      </c>
      <c r="D4390" s="1">
        <v>2023</v>
      </c>
    </row>
    <row r="4391" spans="1:4" x14ac:dyDescent="0.35">
      <c r="A4391" s="1" t="s">
        <v>1664</v>
      </c>
      <c r="B4391" s="1" t="s">
        <v>1683</v>
      </c>
      <c r="C4391" s="2">
        <v>27</v>
      </c>
      <c r="D4391" s="1">
        <v>2024</v>
      </c>
    </row>
    <row r="4392" spans="1:4" x14ac:dyDescent="0.35">
      <c r="A4392" s="1" t="s">
        <v>1664</v>
      </c>
      <c r="B4392" s="1" t="s">
        <v>1683</v>
      </c>
      <c r="C4392" s="2">
        <v>26</v>
      </c>
      <c r="D4392" s="1">
        <v>2025</v>
      </c>
    </row>
    <row r="4393" spans="1:4" x14ac:dyDescent="0.35">
      <c r="A4393" s="1" t="s">
        <v>1664</v>
      </c>
      <c r="B4393" s="1" t="s">
        <v>1684</v>
      </c>
      <c r="C4393" s="2">
        <v>30</v>
      </c>
      <c r="D4393" s="1">
        <v>2023</v>
      </c>
    </row>
    <row r="4394" spans="1:4" x14ac:dyDescent="0.35">
      <c r="A4394" s="1" t="s">
        <v>1664</v>
      </c>
      <c r="B4394" s="1" t="s">
        <v>1684</v>
      </c>
      <c r="C4394" s="2">
        <v>26</v>
      </c>
      <c r="D4394" s="1">
        <v>2024</v>
      </c>
    </row>
    <row r="4395" spans="1:4" x14ac:dyDescent="0.35">
      <c r="A4395" s="1" t="s">
        <v>1664</v>
      </c>
      <c r="B4395" s="1" t="s">
        <v>1684</v>
      </c>
      <c r="C4395" s="2">
        <v>24</v>
      </c>
      <c r="D4395" s="1">
        <v>2025</v>
      </c>
    </row>
    <row r="4396" spans="1:4" x14ac:dyDescent="0.35">
      <c r="A4396" s="1" t="s">
        <v>1664</v>
      </c>
      <c r="B4396" s="1" t="s">
        <v>1685</v>
      </c>
      <c r="C4396" s="2">
        <v>32</v>
      </c>
      <c r="D4396" s="1">
        <v>2023</v>
      </c>
    </row>
    <row r="4397" spans="1:4" x14ac:dyDescent="0.35">
      <c r="A4397" s="1" t="s">
        <v>1664</v>
      </c>
      <c r="B4397" s="1" t="s">
        <v>1685</v>
      </c>
      <c r="C4397" s="2">
        <v>27</v>
      </c>
      <c r="D4397" s="1">
        <v>2024</v>
      </c>
    </row>
    <row r="4398" spans="1:4" x14ac:dyDescent="0.35">
      <c r="A4398" s="1" t="s">
        <v>1664</v>
      </c>
      <c r="B4398" s="1" t="s">
        <v>1685</v>
      </c>
      <c r="C4398" s="2">
        <v>28</v>
      </c>
      <c r="D4398" s="1">
        <v>2025</v>
      </c>
    </row>
    <row r="4399" spans="1:4" x14ac:dyDescent="0.35">
      <c r="A4399" s="1" t="s">
        <v>1664</v>
      </c>
      <c r="B4399" s="1" t="s">
        <v>1688</v>
      </c>
      <c r="C4399" s="2">
        <v>31</v>
      </c>
      <c r="D4399" s="1">
        <v>2022</v>
      </c>
    </row>
    <row r="4400" spans="1:4" x14ac:dyDescent="0.35">
      <c r="A4400" s="1" t="s">
        <v>1664</v>
      </c>
      <c r="B4400" s="1" t="s">
        <v>1688</v>
      </c>
      <c r="C4400" s="2">
        <v>25</v>
      </c>
      <c r="D4400" s="1">
        <v>2023</v>
      </c>
    </row>
    <row r="4401" spans="1:4" x14ac:dyDescent="0.35">
      <c r="A4401" s="1" t="s">
        <v>1664</v>
      </c>
      <c r="B4401" s="1" t="s">
        <v>1688</v>
      </c>
      <c r="C4401" s="2">
        <v>37</v>
      </c>
      <c r="D4401" s="1">
        <v>2024</v>
      </c>
    </row>
    <row r="4402" spans="1:4" x14ac:dyDescent="0.35">
      <c r="A4402" s="1" t="s">
        <v>1664</v>
      </c>
      <c r="B4402" s="1" t="s">
        <v>1686</v>
      </c>
      <c r="C4402" s="2">
        <v>26</v>
      </c>
      <c r="D4402" s="1">
        <v>2022</v>
      </c>
    </row>
    <row r="4403" spans="1:4" x14ac:dyDescent="0.35">
      <c r="A4403" s="1" t="s">
        <v>1664</v>
      </c>
      <c r="B4403" s="1" t="s">
        <v>1686</v>
      </c>
      <c r="C4403" s="2">
        <v>26</v>
      </c>
      <c r="D4403" s="1">
        <v>2023</v>
      </c>
    </row>
    <row r="4404" spans="1:4" x14ac:dyDescent="0.35">
      <c r="A4404" s="1" t="s">
        <v>1664</v>
      </c>
      <c r="B4404" s="1" t="s">
        <v>1686</v>
      </c>
      <c r="C4404" s="2">
        <v>19</v>
      </c>
      <c r="D4404" s="1">
        <v>2024</v>
      </c>
    </row>
    <row r="4405" spans="1:4" x14ac:dyDescent="0.35">
      <c r="A4405" s="1" t="s">
        <v>1664</v>
      </c>
      <c r="B4405" s="1" t="s">
        <v>1687</v>
      </c>
      <c r="C4405" s="2">
        <v>27</v>
      </c>
      <c r="D4405" s="1">
        <v>2022</v>
      </c>
    </row>
    <row r="4406" spans="1:4" x14ac:dyDescent="0.35">
      <c r="A4406" s="1" t="s">
        <v>1664</v>
      </c>
      <c r="B4406" s="1" t="s">
        <v>1687</v>
      </c>
      <c r="C4406" s="2">
        <v>24</v>
      </c>
      <c r="D4406" s="1">
        <v>2023</v>
      </c>
    </row>
    <row r="4407" spans="1:4" x14ac:dyDescent="0.35">
      <c r="A4407" s="1" t="s">
        <v>1664</v>
      </c>
      <c r="B4407" s="1" t="s">
        <v>1687</v>
      </c>
      <c r="C4407" s="2">
        <v>25</v>
      </c>
      <c r="D4407" s="1">
        <v>2024</v>
      </c>
    </row>
    <row r="4408" spans="1:4" x14ac:dyDescent="0.35">
      <c r="A4408" s="1" t="s">
        <v>1665</v>
      </c>
      <c r="B4408" s="1" t="s">
        <v>1677</v>
      </c>
      <c r="C4408" s="2">
        <v>16</v>
      </c>
      <c r="D4408" s="1">
        <v>2025</v>
      </c>
    </row>
    <row r="4409" spans="1:4" x14ac:dyDescent="0.35">
      <c r="A4409" s="1" t="s">
        <v>1665</v>
      </c>
      <c r="B4409" s="1" t="s">
        <v>1679</v>
      </c>
      <c r="C4409" s="2">
        <v>89</v>
      </c>
      <c r="D4409" s="1">
        <v>2024</v>
      </c>
    </row>
    <row r="4410" spans="1:4" x14ac:dyDescent="0.35">
      <c r="A4410" s="1" t="s">
        <v>1665</v>
      </c>
      <c r="B4410" s="1" t="s">
        <v>1680</v>
      </c>
      <c r="C4410" s="2">
        <v>24</v>
      </c>
      <c r="D4410" s="1">
        <v>2024</v>
      </c>
    </row>
    <row r="4411" spans="1:4" x14ac:dyDescent="0.35">
      <c r="A4411" s="1" t="s">
        <v>1665</v>
      </c>
      <c r="B4411" s="1" t="s">
        <v>1680</v>
      </c>
      <c r="C4411" s="2">
        <v>16</v>
      </c>
      <c r="D4411" s="1">
        <v>2025</v>
      </c>
    </row>
    <row r="4412" spans="1:4" x14ac:dyDescent="0.35">
      <c r="A4412" s="1" t="s">
        <v>1665</v>
      </c>
      <c r="B4412" s="1" t="s">
        <v>1681</v>
      </c>
      <c r="C4412" s="2">
        <v>28</v>
      </c>
      <c r="D4412" s="1">
        <v>2024</v>
      </c>
    </row>
    <row r="4413" spans="1:4" x14ac:dyDescent="0.35">
      <c r="A4413" s="1" t="s">
        <v>1665</v>
      </c>
      <c r="B4413" s="1" t="s">
        <v>1681</v>
      </c>
      <c r="C4413" s="2">
        <v>-16</v>
      </c>
      <c r="D4413" s="1">
        <v>2025</v>
      </c>
    </row>
    <row r="4414" spans="1:4" x14ac:dyDescent="0.35">
      <c r="A4414" s="1" t="s">
        <v>1665</v>
      </c>
      <c r="B4414" s="1" t="s">
        <v>1682</v>
      </c>
      <c r="C4414" s="2">
        <v>23</v>
      </c>
      <c r="D4414" s="1">
        <v>2024</v>
      </c>
    </row>
    <row r="4415" spans="1:4" x14ac:dyDescent="0.35">
      <c r="A4415" s="1" t="s">
        <v>1665</v>
      </c>
      <c r="B4415" s="1" t="s">
        <v>1683</v>
      </c>
      <c r="C4415" s="2">
        <v>33</v>
      </c>
      <c r="D4415" s="1">
        <v>2024</v>
      </c>
    </row>
    <row r="4416" spans="1:4" x14ac:dyDescent="0.35">
      <c r="A4416" s="1" t="s">
        <v>1665</v>
      </c>
      <c r="B4416" s="1" t="s">
        <v>1683</v>
      </c>
      <c r="C4416" s="2">
        <v>43</v>
      </c>
      <c r="D4416" s="1">
        <v>2025</v>
      </c>
    </row>
    <row r="4417" spans="1:4" x14ac:dyDescent="0.35">
      <c r="A4417" s="1" t="s">
        <v>1665</v>
      </c>
      <c r="B4417" s="1" t="s">
        <v>1684</v>
      </c>
      <c r="C4417" s="2">
        <v>41</v>
      </c>
      <c r="D4417" s="1">
        <v>2024</v>
      </c>
    </row>
    <row r="4418" spans="1:4" x14ac:dyDescent="0.35">
      <c r="A4418" s="1" t="s">
        <v>1665</v>
      </c>
      <c r="B4418" s="1" t="s">
        <v>1684</v>
      </c>
      <c r="C4418" s="2">
        <v>19</v>
      </c>
      <c r="D4418" s="1">
        <v>2025</v>
      </c>
    </row>
    <row r="4419" spans="1:4" x14ac:dyDescent="0.35">
      <c r="A4419" s="1" t="s">
        <v>1665</v>
      </c>
      <c r="B4419" s="1" t="s">
        <v>1685</v>
      </c>
      <c r="C4419" s="2">
        <v>21</v>
      </c>
      <c r="D4419" s="1">
        <v>2024</v>
      </c>
    </row>
    <row r="4420" spans="1:4" x14ac:dyDescent="0.35">
      <c r="A4420" s="1" t="s">
        <v>1665</v>
      </c>
      <c r="B4420" s="1" t="s">
        <v>1685</v>
      </c>
      <c r="C4420" s="2">
        <v>20</v>
      </c>
      <c r="D4420" s="1">
        <v>2025</v>
      </c>
    </row>
    <row r="4421" spans="1:4" x14ac:dyDescent="0.35">
      <c r="A4421" s="1" t="s">
        <v>1665</v>
      </c>
      <c r="B4421" s="1" t="s">
        <v>1688</v>
      </c>
      <c r="C4421" s="2">
        <v>0</v>
      </c>
      <c r="D4421" s="1">
        <v>2024</v>
      </c>
    </row>
    <row r="4422" spans="1:4" x14ac:dyDescent="0.35">
      <c r="A4422" s="1" t="s">
        <v>1665</v>
      </c>
      <c r="B4422" s="1" t="s">
        <v>1686</v>
      </c>
      <c r="C4422" s="2">
        <v>17</v>
      </c>
      <c r="D4422" s="1">
        <v>2024</v>
      </c>
    </row>
    <row r="4423" spans="1:4" x14ac:dyDescent="0.35">
      <c r="A4423" s="1" t="s">
        <v>1665</v>
      </c>
      <c r="B4423" s="1" t="s">
        <v>1687</v>
      </c>
      <c r="C4423" s="2">
        <v>22</v>
      </c>
      <c r="D4423" s="1">
        <v>2024</v>
      </c>
    </row>
    <row r="4424" spans="1:4" x14ac:dyDescent="0.35">
      <c r="A4424" s="1" t="s">
        <v>1666</v>
      </c>
      <c r="B4424" s="1" t="s">
        <v>1677</v>
      </c>
      <c r="C4424" s="2">
        <v>72</v>
      </c>
      <c r="D4424" s="1">
        <v>2023</v>
      </c>
    </row>
    <row r="4425" spans="1:4" x14ac:dyDescent="0.35">
      <c r="A4425" s="1" t="s">
        <v>1666</v>
      </c>
      <c r="B4425" s="1" t="s">
        <v>1677</v>
      </c>
      <c r="C4425" s="2">
        <v>73</v>
      </c>
      <c r="D4425" s="1">
        <v>2024</v>
      </c>
    </row>
    <row r="4426" spans="1:4" x14ac:dyDescent="0.35">
      <c r="A4426" s="1" t="s">
        <v>1666</v>
      </c>
      <c r="B4426" s="1" t="s">
        <v>1677</v>
      </c>
      <c r="C4426" s="2">
        <v>79</v>
      </c>
      <c r="D4426" s="1">
        <v>2025</v>
      </c>
    </row>
    <row r="4427" spans="1:4" x14ac:dyDescent="0.35">
      <c r="A4427" s="1" t="s">
        <v>1666</v>
      </c>
      <c r="B4427" s="1" t="s">
        <v>1678</v>
      </c>
      <c r="C4427" s="2">
        <v>67</v>
      </c>
      <c r="D4427" s="1">
        <v>2022</v>
      </c>
    </row>
    <row r="4428" spans="1:4" x14ac:dyDescent="0.35">
      <c r="A4428" s="1" t="s">
        <v>1666</v>
      </c>
      <c r="B4428" s="1" t="s">
        <v>1678</v>
      </c>
      <c r="C4428" s="2">
        <v>66</v>
      </c>
      <c r="D4428" s="1">
        <v>2023</v>
      </c>
    </row>
    <row r="4429" spans="1:4" x14ac:dyDescent="0.35">
      <c r="A4429" s="1" t="s">
        <v>1666</v>
      </c>
      <c r="B4429" s="1" t="s">
        <v>1678</v>
      </c>
      <c r="C4429" s="2">
        <v>78</v>
      </c>
      <c r="D4429" s="1">
        <v>2024</v>
      </c>
    </row>
    <row r="4430" spans="1:4" x14ac:dyDescent="0.35">
      <c r="A4430" s="1" t="s">
        <v>1666</v>
      </c>
      <c r="B4430" s="1" t="s">
        <v>1679</v>
      </c>
      <c r="C4430" s="2">
        <v>62</v>
      </c>
      <c r="D4430" s="1">
        <v>2022</v>
      </c>
    </row>
    <row r="4431" spans="1:4" x14ac:dyDescent="0.35">
      <c r="A4431" s="1" t="s">
        <v>1666</v>
      </c>
      <c r="B4431" s="1" t="s">
        <v>1679</v>
      </c>
      <c r="C4431" s="2">
        <v>146</v>
      </c>
      <c r="D4431" s="1">
        <v>2023</v>
      </c>
    </row>
    <row r="4432" spans="1:4" x14ac:dyDescent="0.35">
      <c r="A4432" s="1" t="s">
        <v>1666</v>
      </c>
      <c r="B4432" s="1" t="s">
        <v>1679</v>
      </c>
      <c r="C4432" s="2">
        <v>153</v>
      </c>
      <c r="D4432" s="1">
        <v>2024</v>
      </c>
    </row>
    <row r="4433" spans="1:4" x14ac:dyDescent="0.35">
      <c r="A4433" s="1" t="s">
        <v>1666</v>
      </c>
      <c r="B4433" s="1" t="s">
        <v>1680</v>
      </c>
      <c r="C4433" s="2">
        <v>76</v>
      </c>
      <c r="D4433" s="1">
        <v>2024</v>
      </c>
    </row>
    <row r="4434" spans="1:4" x14ac:dyDescent="0.35">
      <c r="A4434" s="1" t="s">
        <v>1666</v>
      </c>
      <c r="B4434" s="1" t="s">
        <v>1680</v>
      </c>
      <c r="C4434" s="2">
        <v>85</v>
      </c>
      <c r="D4434" s="1">
        <v>2025</v>
      </c>
    </row>
    <row r="4435" spans="1:4" x14ac:dyDescent="0.35">
      <c r="A4435" s="1" t="s">
        <v>1666</v>
      </c>
      <c r="B4435" s="1" t="s">
        <v>1681</v>
      </c>
      <c r="C4435" s="2">
        <v>60</v>
      </c>
      <c r="D4435" s="1">
        <v>2023</v>
      </c>
    </row>
    <row r="4436" spans="1:4" x14ac:dyDescent="0.35">
      <c r="A4436" s="1" t="s">
        <v>1666</v>
      </c>
      <c r="B4436" s="1" t="s">
        <v>1681</v>
      </c>
      <c r="C4436" s="2">
        <v>71</v>
      </c>
      <c r="D4436" s="1">
        <v>2024</v>
      </c>
    </row>
    <row r="4437" spans="1:4" x14ac:dyDescent="0.35">
      <c r="A4437" s="1" t="s">
        <v>1666</v>
      </c>
      <c r="B4437" s="1" t="s">
        <v>1681</v>
      </c>
      <c r="C4437" s="2">
        <v>77</v>
      </c>
      <c r="D4437" s="1">
        <v>2025</v>
      </c>
    </row>
    <row r="4438" spans="1:4" x14ac:dyDescent="0.35">
      <c r="A4438" s="1" t="s">
        <v>1666</v>
      </c>
      <c r="B4438" s="1" t="s">
        <v>1682</v>
      </c>
      <c r="C4438" s="2">
        <v>70</v>
      </c>
      <c r="D4438" s="1">
        <v>2022</v>
      </c>
    </row>
    <row r="4439" spans="1:4" x14ac:dyDescent="0.35">
      <c r="A4439" s="1" t="s">
        <v>1666</v>
      </c>
      <c r="B4439" s="1" t="s">
        <v>1682</v>
      </c>
      <c r="C4439" s="2">
        <v>66</v>
      </c>
      <c r="D4439" s="1">
        <v>2023</v>
      </c>
    </row>
    <row r="4440" spans="1:4" x14ac:dyDescent="0.35">
      <c r="A4440" s="1" t="s">
        <v>1666</v>
      </c>
      <c r="B4440" s="1" t="s">
        <v>1682</v>
      </c>
      <c r="C4440" s="2">
        <v>76</v>
      </c>
      <c r="D4440" s="1">
        <v>2024</v>
      </c>
    </row>
    <row r="4441" spans="1:4" x14ac:dyDescent="0.35">
      <c r="A4441" s="1" t="s">
        <v>1666</v>
      </c>
      <c r="B4441" s="1" t="s">
        <v>1683</v>
      </c>
      <c r="C4441" s="2">
        <v>61</v>
      </c>
      <c r="D4441" s="1">
        <v>2023</v>
      </c>
    </row>
    <row r="4442" spans="1:4" x14ac:dyDescent="0.35">
      <c r="A4442" s="1" t="s">
        <v>1666</v>
      </c>
      <c r="B4442" s="1" t="s">
        <v>1683</v>
      </c>
      <c r="C4442" s="2">
        <v>76</v>
      </c>
      <c r="D4442" s="1">
        <v>2024</v>
      </c>
    </row>
    <row r="4443" spans="1:4" x14ac:dyDescent="0.35">
      <c r="A4443" s="1" t="s">
        <v>1666</v>
      </c>
      <c r="B4443" s="1" t="s">
        <v>1683</v>
      </c>
      <c r="C4443" s="2">
        <v>80</v>
      </c>
      <c r="D4443" s="1">
        <v>2025</v>
      </c>
    </row>
    <row r="4444" spans="1:4" x14ac:dyDescent="0.35">
      <c r="A4444" s="1" t="s">
        <v>1666</v>
      </c>
      <c r="B4444" s="1" t="s">
        <v>1684</v>
      </c>
      <c r="C4444" s="2">
        <v>150</v>
      </c>
      <c r="D4444" s="1">
        <v>2023</v>
      </c>
    </row>
    <row r="4445" spans="1:4" x14ac:dyDescent="0.35">
      <c r="A4445" s="1" t="s">
        <v>1666</v>
      </c>
      <c r="B4445" s="1" t="s">
        <v>1684</v>
      </c>
      <c r="C4445" s="2">
        <v>66</v>
      </c>
      <c r="D4445" s="1">
        <v>2024</v>
      </c>
    </row>
    <row r="4446" spans="1:4" x14ac:dyDescent="0.35">
      <c r="A4446" s="1" t="s">
        <v>1666</v>
      </c>
      <c r="B4446" s="1" t="s">
        <v>1684</v>
      </c>
      <c r="C4446" s="2">
        <v>80</v>
      </c>
      <c r="D4446" s="1">
        <v>2025</v>
      </c>
    </row>
    <row r="4447" spans="1:4" x14ac:dyDescent="0.35">
      <c r="A4447" s="1" t="s">
        <v>1666</v>
      </c>
      <c r="B4447" s="1" t="s">
        <v>1685</v>
      </c>
      <c r="C4447" s="2">
        <v>65</v>
      </c>
      <c r="D4447" s="1">
        <v>2023</v>
      </c>
    </row>
    <row r="4448" spans="1:4" x14ac:dyDescent="0.35">
      <c r="A4448" s="1" t="s">
        <v>1666</v>
      </c>
      <c r="B4448" s="1" t="s">
        <v>1685</v>
      </c>
      <c r="C4448" s="2">
        <v>73</v>
      </c>
      <c r="D4448" s="1">
        <v>2024</v>
      </c>
    </row>
    <row r="4449" spans="1:4" x14ac:dyDescent="0.35">
      <c r="A4449" s="1" t="s">
        <v>1666</v>
      </c>
      <c r="B4449" s="1" t="s">
        <v>1685</v>
      </c>
      <c r="C4449" s="2">
        <v>76</v>
      </c>
      <c r="D4449" s="1">
        <v>2025</v>
      </c>
    </row>
    <row r="4450" spans="1:4" x14ac:dyDescent="0.35">
      <c r="A4450" s="1" t="s">
        <v>1666</v>
      </c>
      <c r="B4450" s="1" t="s">
        <v>1688</v>
      </c>
      <c r="C4450" s="2">
        <v>62</v>
      </c>
      <c r="D4450" s="1">
        <v>2022</v>
      </c>
    </row>
    <row r="4451" spans="1:4" x14ac:dyDescent="0.35">
      <c r="A4451" s="1" t="s">
        <v>1666</v>
      </c>
      <c r="B4451" s="1" t="s">
        <v>1688</v>
      </c>
      <c r="C4451" s="2">
        <v>66</v>
      </c>
      <c r="D4451" s="1">
        <v>2023</v>
      </c>
    </row>
    <row r="4452" spans="1:4" x14ac:dyDescent="0.35">
      <c r="A4452" s="1" t="s">
        <v>1666</v>
      </c>
      <c r="B4452" s="1" t="s">
        <v>1688</v>
      </c>
      <c r="C4452" s="2">
        <v>75</v>
      </c>
      <c r="D4452" s="1">
        <v>2024</v>
      </c>
    </row>
    <row r="4453" spans="1:4" x14ac:dyDescent="0.35">
      <c r="A4453" s="1" t="s">
        <v>1666</v>
      </c>
      <c r="B4453" s="1" t="s">
        <v>1686</v>
      </c>
      <c r="C4453" s="2">
        <v>64</v>
      </c>
      <c r="D4453" s="1">
        <v>2022</v>
      </c>
    </row>
    <row r="4454" spans="1:4" x14ac:dyDescent="0.35">
      <c r="A4454" s="1" t="s">
        <v>1666</v>
      </c>
      <c r="B4454" s="1" t="s">
        <v>1686</v>
      </c>
      <c r="C4454" s="2">
        <v>60</v>
      </c>
      <c r="D4454" s="1">
        <v>2023</v>
      </c>
    </row>
    <row r="4455" spans="1:4" x14ac:dyDescent="0.35">
      <c r="A4455" s="1" t="s">
        <v>1666</v>
      </c>
      <c r="B4455" s="1" t="s">
        <v>1686</v>
      </c>
      <c r="C4455" s="2">
        <v>73</v>
      </c>
      <c r="D4455" s="1">
        <v>2024</v>
      </c>
    </row>
    <row r="4456" spans="1:4" x14ac:dyDescent="0.35">
      <c r="A4456" s="1" t="s">
        <v>1666</v>
      </c>
      <c r="B4456" s="1" t="s">
        <v>1687</v>
      </c>
      <c r="C4456" s="2">
        <v>64</v>
      </c>
      <c r="D4456" s="1">
        <v>2022</v>
      </c>
    </row>
    <row r="4457" spans="1:4" x14ac:dyDescent="0.35">
      <c r="A4457" s="1" t="s">
        <v>1666</v>
      </c>
      <c r="B4457" s="1" t="s">
        <v>1687</v>
      </c>
      <c r="C4457" s="2">
        <v>68</v>
      </c>
      <c r="D4457" s="1">
        <v>2023</v>
      </c>
    </row>
    <row r="4458" spans="1:4" x14ac:dyDescent="0.35">
      <c r="A4458" s="1" t="s">
        <v>1666</v>
      </c>
      <c r="B4458" s="1" t="s">
        <v>1687</v>
      </c>
      <c r="C4458" s="2">
        <v>77</v>
      </c>
      <c r="D4458" s="1">
        <v>2024</v>
      </c>
    </row>
    <row r="4459" spans="1:4" x14ac:dyDescent="0.35">
      <c r="A4459" s="1" t="s">
        <v>1667</v>
      </c>
      <c r="B4459" s="1" t="s">
        <v>1679</v>
      </c>
      <c r="C4459" s="2">
        <v>1</v>
      </c>
      <c r="D4459" s="1">
        <v>2023</v>
      </c>
    </row>
    <row r="4460" spans="1:4" x14ac:dyDescent="0.35">
      <c r="A4460" s="1" t="s">
        <v>1667</v>
      </c>
      <c r="B4460" s="1" t="s">
        <v>1684</v>
      </c>
      <c r="C4460" s="2">
        <v>1</v>
      </c>
      <c r="D4460" s="1">
        <v>2023</v>
      </c>
    </row>
    <row r="4461" spans="1:4" x14ac:dyDescent="0.35">
      <c r="A4461" s="1" t="s">
        <v>1667</v>
      </c>
      <c r="B4461" s="1" t="s">
        <v>1685</v>
      </c>
      <c r="C4461" s="2">
        <v>1</v>
      </c>
      <c r="D4461" s="1">
        <v>2024</v>
      </c>
    </row>
    <row r="4462" spans="1:4" x14ac:dyDescent="0.35">
      <c r="A4462" s="1" t="s">
        <v>1667</v>
      </c>
      <c r="B4462" s="1" t="s">
        <v>1688</v>
      </c>
      <c r="C4462" s="2">
        <v>1</v>
      </c>
      <c r="D4462" s="1">
        <v>2023</v>
      </c>
    </row>
    <row r="4463" spans="1:4" x14ac:dyDescent="0.35">
      <c r="A4463" s="1" t="s">
        <v>1667</v>
      </c>
      <c r="B4463" s="1" t="s">
        <v>1686</v>
      </c>
      <c r="C4463" s="2">
        <v>1</v>
      </c>
      <c r="D4463" s="1">
        <v>2023</v>
      </c>
    </row>
    <row r="4464" spans="1:4" x14ac:dyDescent="0.35">
      <c r="A4464" s="1" t="s">
        <v>1667</v>
      </c>
      <c r="B4464" s="1" t="s">
        <v>1687</v>
      </c>
      <c r="C4464" s="2">
        <v>1</v>
      </c>
      <c r="D4464" s="1">
        <v>2023</v>
      </c>
    </row>
    <row r="4465" spans="1:4" x14ac:dyDescent="0.35">
      <c r="A4465" s="1" t="s">
        <v>1668</v>
      </c>
      <c r="B4465" s="1" t="s">
        <v>1677</v>
      </c>
      <c r="C4465" s="2">
        <v>35</v>
      </c>
      <c r="D4465" s="1">
        <v>2023</v>
      </c>
    </row>
    <row r="4466" spans="1:4" x14ac:dyDescent="0.35">
      <c r="A4466" s="1" t="s">
        <v>1668</v>
      </c>
      <c r="B4466" s="1" t="s">
        <v>1677</v>
      </c>
      <c r="C4466" s="2">
        <v>35</v>
      </c>
      <c r="D4466" s="1">
        <v>2024</v>
      </c>
    </row>
    <row r="4467" spans="1:4" x14ac:dyDescent="0.35">
      <c r="A4467" s="1" t="s">
        <v>1668</v>
      </c>
      <c r="B4467" s="1" t="s">
        <v>1677</v>
      </c>
      <c r="C4467" s="2">
        <v>30</v>
      </c>
      <c r="D4467" s="1">
        <v>2025</v>
      </c>
    </row>
    <row r="4468" spans="1:4" x14ac:dyDescent="0.35">
      <c r="A4468" s="1" t="s">
        <v>1668</v>
      </c>
      <c r="B4468" s="1" t="s">
        <v>1678</v>
      </c>
      <c r="C4468" s="2">
        <v>47</v>
      </c>
      <c r="D4468" s="1">
        <v>2022</v>
      </c>
    </row>
    <row r="4469" spans="1:4" x14ac:dyDescent="0.35">
      <c r="A4469" s="1" t="s">
        <v>1668</v>
      </c>
      <c r="B4469" s="1" t="s">
        <v>1678</v>
      </c>
      <c r="C4469" s="2">
        <v>47</v>
      </c>
      <c r="D4469" s="1">
        <v>2023</v>
      </c>
    </row>
    <row r="4470" spans="1:4" x14ac:dyDescent="0.35">
      <c r="A4470" s="1" t="s">
        <v>1668</v>
      </c>
      <c r="B4470" s="1" t="s">
        <v>1678</v>
      </c>
      <c r="C4470" s="2">
        <v>30</v>
      </c>
      <c r="D4470" s="1">
        <v>2024</v>
      </c>
    </row>
    <row r="4471" spans="1:4" x14ac:dyDescent="0.35">
      <c r="A4471" s="1" t="s">
        <v>1668</v>
      </c>
      <c r="B4471" s="1" t="s">
        <v>1679</v>
      </c>
      <c r="C4471" s="2">
        <v>32</v>
      </c>
      <c r="D4471" s="1">
        <v>2022</v>
      </c>
    </row>
    <row r="4472" spans="1:4" x14ac:dyDescent="0.35">
      <c r="A4472" s="1" t="s">
        <v>1668</v>
      </c>
      <c r="B4472" s="1" t="s">
        <v>1679</v>
      </c>
      <c r="C4472" s="2">
        <v>35</v>
      </c>
      <c r="D4472" s="1">
        <v>2023</v>
      </c>
    </row>
    <row r="4473" spans="1:4" x14ac:dyDescent="0.35">
      <c r="A4473" s="1" t="s">
        <v>1668</v>
      </c>
      <c r="B4473" s="1" t="s">
        <v>1679</v>
      </c>
      <c r="C4473" s="2">
        <v>25</v>
      </c>
      <c r="D4473" s="1">
        <v>2024</v>
      </c>
    </row>
    <row r="4474" spans="1:4" x14ac:dyDescent="0.35">
      <c r="A4474" s="1" t="s">
        <v>1668</v>
      </c>
      <c r="B4474" s="1" t="s">
        <v>1680</v>
      </c>
      <c r="C4474" s="2">
        <v>30</v>
      </c>
      <c r="D4474" s="1">
        <v>2023</v>
      </c>
    </row>
    <row r="4475" spans="1:4" x14ac:dyDescent="0.35">
      <c r="A4475" s="1" t="s">
        <v>1668</v>
      </c>
      <c r="B4475" s="1" t="s">
        <v>1680</v>
      </c>
      <c r="C4475" s="2">
        <v>70</v>
      </c>
      <c r="D4475" s="1">
        <v>2024</v>
      </c>
    </row>
    <row r="4476" spans="1:4" x14ac:dyDescent="0.35">
      <c r="A4476" s="1" t="s">
        <v>1668</v>
      </c>
      <c r="B4476" s="1" t="s">
        <v>1680</v>
      </c>
      <c r="C4476" s="2">
        <v>25</v>
      </c>
      <c r="D4476" s="1">
        <v>2025</v>
      </c>
    </row>
    <row r="4477" spans="1:4" x14ac:dyDescent="0.35">
      <c r="A4477" s="1" t="s">
        <v>1668</v>
      </c>
      <c r="B4477" s="1" t="s">
        <v>1681</v>
      </c>
      <c r="C4477" s="2">
        <v>55</v>
      </c>
      <c r="D4477" s="1">
        <v>2023</v>
      </c>
    </row>
    <row r="4478" spans="1:4" x14ac:dyDescent="0.35">
      <c r="A4478" s="1" t="s">
        <v>1668</v>
      </c>
      <c r="B4478" s="1" t="s">
        <v>1681</v>
      </c>
      <c r="C4478" s="2">
        <v>35</v>
      </c>
      <c r="D4478" s="1">
        <v>2024</v>
      </c>
    </row>
    <row r="4479" spans="1:4" x14ac:dyDescent="0.35">
      <c r="A4479" s="1" t="s">
        <v>1668</v>
      </c>
      <c r="B4479" s="1" t="s">
        <v>1681</v>
      </c>
      <c r="C4479" s="2">
        <v>50</v>
      </c>
      <c r="D4479" s="1">
        <v>2025</v>
      </c>
    </row>
    <row r="4480" spans="1:4" x14ac:dyDescent="0.35">
      <c r="A4480" s="1" t="s">
        <v>1668</v>
      </c>
      <c r="B4480" s="1" t="s">
        <v>1682</v>
      </c>
      <c r="C4480" s="2">
        <v>25</v>
      </c>
      <c r="D4480" s="1">
        <v>2022</v>
      </c>
    </row>
    <row r="4481" spans="1:4" x14ac:dyDescent="0.35">
      <c r="A4481" s="1" t="s">
        <v>1668</v>
      </c>
      <c r="B4481" s="1" t="s">
        <v>1682</v>
      </c>
      <c r="C4481" s="2">
        <v>35</v>
      </c>
      <c r="D4481" s="1">
        <v>2023</v>
      </c>
    </row>
    <row r="4482" spans="1:4" x14ac:dyDescent="0.35">
      <c r="A4482" s="1" t="s">
        <v>1668</v>
      </c>
      <c r="B4482" s="1" t="s">
        <v>1682</v>
      </c>
      <c r="C4482" s="2">
        <v>40</v>
      </c>
      <c r="D4482" s="1">
        <v>2024</v>
      </c>
    </row>
    <row r="4483" spans="1:4" x14ac:dyDescent="0.35">
      <c r="A4483" s="1" t="s">
        <v>1668</v>
      </c>
      <c r="B4483" s="1" t="s">
        <v>1683</v>
      </c>
      <c r="C4483" s="2">
        <v>65</v>
      </c>
      <c r="D4483" s="1">
        <v>2023</v>
      </c>
    </row>
    <row r="4484" spans="1:4" x14ac:dyDescent="0.35">
      <c r="A4484" s="1" t="s">
        <v>1668</v>
      </c>
      <c r="B4484" s="1" t="s">
        <v>1683</v>
      </c>
      <c r="C4484" s="2">
        <v>35</v>
      </c>
      <c r="D4484" s="1">
        <v>2024</v>
      </c>
    </row>
    <row r="4485" spans="1:4" x14ac:dyDescent="0.35">
      <c r="A4485" s="1" t="s">
        <v>1668</v>
      </c>
      <c r="B4485" s="1" t="s">
        <v>1683</v>
      </c>
      <c r="C4485" s="2">
        <v>46</v>
      </c>
      <c r="D4485" s="1">
        <v>2025</v>
      </c>
    </row>
    <row r="4486" spans="1:4" x14ac:dyDescent="0.35">
      <c r="A4486" s="1" t="s">
        <v>1668</v>
      </c>
      <c r="B4486" s="1" t="s">
        <v>1684</v>
      </c>
      <c r="C4486" s="2">
        <v>35</v>
      </c>
      <c r="D4486" s="1">
        <v>2023</v>
      </c>
    </row>
    <row r="4487" spans="1:4" x14ac:dyDescent="0.35">
      <c r="A4487" s="1" t="s">
        <v>1668</v>
      </c>
      <c r="B4487" s="1" t="s">
        <v>1684</v>
      </c>
      <c r="C4487" s="2">
        <v>20</v>
      </c>
      <c r="D4487" s="1">
        <v>2024</v>
      </c>
    </row>
    <row r="4488" spans="1:4" x14ac:dyDescent="0.35">
      <c r="A4488" s="1" t="s">
        <v>1668</v>
      </c>
      <c r="B4488" s="1" t="s">
        <v>1684</v>
      </c>
      <c r="C4488" s="2">
        <v>35</v>
      </c>
      <c r="D4488" s="1">
        <v>2025</v>
      </c>
    </row>
    <row r="4489" spans="1:4" x14ac:dyDescent="0.35">
      <c r="A4489" s="1" t="s">
        <v>1668</v>
      </c>
      <c r="B4489" s="1" t="s">
        <v>1685</v>
      </c>
      <c r="C4489" s="2">
        <v>20</v>
      </c>
      <c r="D4489" s="1">
        <v>2023</v>
      </c>
    </row>
    <row r="4490" spans="1:4" x14ac:dyDescent="0.35">
      <c r="A4490" s="1" t="s">
        <v>1668</v>
      </c>
      <c r="B4490" s="1" t="s">
        <v>1685</v>
      </c>
      <c r="C4490" s="2">
        <v>24</v>
      </c>
      <c r="D4490" s="1">
        <v>2024</v>
      </c>
    </row>
    <row r="4491" spans="1:4" x14ac:dyDescent="0.35">
      <c r="A4491" s="1" t="s">
        <v>1668</v>
      </c>
      <c r="B4491" s="1" t="s">
        <v>1685</v>
      </c>
      <c r="C4491" s="2">
        <v>45</v>
      </c>
      <c r="D4491" s="1">
        <v>2025</v>
      </c>
    </row>
    <row r="4492" spans="1:4" x14ac:dyDescent="0.35">
      <c r="A4492" s="1" t="s">
        <v>1668</v>
      </c>
      <c r="B4492" s="1" t="s">
        <v>1688</v>
      </c>
      <c r="C4492" s="2">
        <v>25</v>
      </c>
      <c r="D4492" s="1">
        <v>2022</v>
      </c>
    </row>
    <row r="4493" spans="1:4" x14ac:dyDescent="0.35">
      <c r="A4493" s="1" t="s">
        <v>1668</v>
      </c>
      <c r="B4493" s="1" t="s">
        <v>1688</v>
      </c>
      <c r="C4493" s="2">
        <v>30</v>
      </c>
      <c r="D4493" s="1">
        <v>2023</v>
      </c>
    </row>
    <row r="4494" spans="1:4" x14ac:dyDescent="0.35">
      <c r="A4494" s="1" t="s">
        <v>1668</v>
      </c>
      <c r="B4494" s="1" t="s">
        <v>1688</v>
      </c>
      <c r="C4494" s="2">
        <v>40</v>
      </c>
      <c r="D4494" s="1">
        <v>2024</v>
      </c>
    </row>
    <row r="4495" spans="1:4" x14ac:dyDescent="0.35">
      <c r="A4495" s="1" t="s">
        <v>1668</v>
      </c>
      <c r="B4495" s="1" t="s">
        <v>1686</v>
      </c>
      <c r="C4495" s="2">
        <v>30</v>
      </c>
      <c r="D4495" s="1">
        <v>2022</v>
      </c>
    </row>
    <row r="4496" spans="1:4" x14ac:dyDescent="0.35">
      <c r="A4496" s="1" t="s">
        <v>1668</v>
      </c>
      <c r="B4496" s="1" t="s">
        <v>1686</v>
      </c>
      <c r="C4496" s="2">
        <v>37</v>
      </c>
      <c r="D4496" s="1">
        <v>2023</v>
      </c>
    </row>
    <row r="4497" spans="1:4" x14ac:dyDescent="0.35">
      <c r="A4497" s="1" t="s">
        <v>1668</v>
      </c>
      <c r="B4497" s="1" t="s">
        <v>1686</v>
      </c>
      <c r="C4497" s="2">
        <v>100</v>
      </c>
      <c r="D4497" s="1">
        <v>2024</v>
      </c>
    </row>
    <row r="4498" spans="1:4" x14ac:dyDescent="0.35">
      <c r="A4498" s="1" t="s">
        <v>1668</v>
      </c>
      <c r="B4498" s="1" t="s">
        <v>1687</v>
      </c>
      <c r="C4498" s="2">
        <v>26</v>
      </c>
      <c r="D4498" s="1">
        <v>2022</v>
      </c>
    </row>
    <row r="4499" spans="1:4" x14ac:dyDescent="0.35">
      <c r="A4499" s="1" t="s">
        <v>1668</v>
      </c>
      <c r="B4499" s="1" t="s">
        <v>1687</v>
      </c>
      <c r="C4499" s="2">
        <v>30</v>
      </c>
      <c r="D4499" s="1">
        <v>2023</v>
      </c>
    </row>
    <row r="4500" spans="1:4" x14ac:dyDescent="0.35">
      <c r="A4500" s="1" t="s">
        <v>1668</v>
      </c>
      <c r="B4500" s="1" t="s">
        <v>1687</v>
      </c>
      <c r="C4500" s="2">
        <v>50</v>
      </c>
      <c r="D4500" s="1">
        <v>2024</v>
      </c>
    </row>
    <row r="4501" spans="1:4" x14ac:dyDescent="0.35">
      <c r="A4501" s="1" t="s">
        <v>1669</v>
      </c>
      <c r="B4501" s="1" t="s">
        <v>1677</v>
      </c>
      <c r="C4501" s="2">
        <v>49</v>
      </c>
      <c r="D4501" s="1">
        <v>2023</v>
      </c>
    </row>
    <row r="4502" spans="1:4" x14ac:dyDescent="0.35">
      <c r="A4502" s="1" t="s">
        <v>1669</v>
      </c>
      <c r="B4502" s="1" t="s">
        <v>1677</v>
      </c>
      <c r="C4502" s="2">
        <v>60</v>
      </c>
      <c r="D4502" s="1">
        <v>2024</v>
      </c>
    </row>
    <row r="4503" spans="1:4" x14ac:dyDescent="0.35">
      <c r="A4503" s="1" t="s">
        <v>1669</v>
      </c>
      <c r="B4503" s="1" t="s">
        <v>1677</v>
      </c>
      <c r="C4503" s="2">
        <v>61</v>
      </c>
      <c r="D4503" s="1">
        <v>2025</v>
      </c>
    </row>
    <row r="4504" spans="1:4" x14ac:dyDescent="0.35">
      <c r="A4504" s="1" t="s">
        <v>1669</v>
      </c>
      <c r="B4504" s="1" t="s">
        <v>1678</v>
      </c>
      <c r="C4504" s="2">
        <v>53</v>
      </c>
      <c r="D4504" s="1">
        <v>2022</v>
      </c>
    </row>
    <row r="4505" spans="1:4" x14ac:dyDescent="0.35">
      <c r="A4505" s="1" t="s">
        <v>1669</v>
      </c>
      <c r="B4505" s="1" t="s">
        <v>1678</v>
      </c>
      <c r="C4505" s="2">
        <v>55</v>
      </c>
      <c r="D4505" s="1">
        <v>2023</v>
      </c>
    </row>
    <row r="4506" spans="1:4" x14ac:dyDescent="0.35">
      <c r="A4506" s="1" t="s">
        <v>1669</v>
      </c>
      <c r="B4506" s="1" t="s">
        <v>1678</v>
      </c>
      <c r="C4506" s="2">
        <v>47</v>
      </c>
      <c r="D4506" s="1">
        <v>2024</v>
      </c>
    </row>
    <row r="4507" spans="1:4" x14ac:dyDescent="0.35">
      <c r="A4507" s="1" t="s">
        <v>1669</v>
      </c>
      <c r="B4507" s="1" t="s">
        <v>1679</v>
      </c>
      <c r="C4507" s="2">
        <v>52</v>
      </c>
      <c r="D4507" s="1">
        <v>2022</v>
      </c>
    </row>
    <row r="4508" spans="1:4" x14ac:dyDescent="0.35">
      <c r="A4508" s="1" t="s">
        <v>1669</v>
      </c>
      <c r="B4508" s="1" t="s">
        <v>1679</v>
      </c>
      <c r="C4508" s="2">
        <v>65</v>
      </c>
      <c r="D4508" s="1">
        <v>2023</v>
      </c>
    </row>
    <row r="4509" spans="1:4" x14ac:dyDescent="0.35">
      <c r="A4509" s="1" t="s">
        <v>1669</v>
      </c>
      <c r="B4509" s="1" t="s">
        <v>1679</v>
      </c>
      <c r="C4509" s="2">
        <v>93</v>
      </c>
      <c r="D4509" s="1">
        <v>2024</v>
      </c>
    </row>
    <row r="4510" spans="1:4" x14ac:dyDescent="0.35">
      <c r="A4510" s="1" t="s">
        <v>1669</v>
      </c>
      <c r="B4510" s="1" t="s">
        <v>1680</v>
      </c>
      <c r="C4510" s="2">
        <v>57</v>
      </c>
      <c r="D4510" s="1">
        <v>2023</v>
      </c>
    </row>
    <row r="4511" spans="1:4" x14ac:dyDescent="0.35">
      <c r="A4511" s="1" t="s">
        <v>1669</v>
      </c>
      <c r="B4511" s="1" t="s">
        <v>1680</v>
      </c>
      <c r="C4511" s="2">
        <v>47</v>
      </c>
      <c r="D4511" s="1">
        <v>2024</v>
      </c>
    </row>
    <row r="4512" spans="1:4" x14ac:dyDescent="0.35">
      <c r="A4512" s="1" t="s">
        <v>1669</v>
      </c>
      <c r="B4512" s="1" t="s">
        <v>1680</v>
      </c>
      <c r="C4512" s="2">
        <v>36</v>
      </c>
      <c r="D4512" s="1">
        <v>2025</v>
      </c>
    </row>
    <row r="4513" spans="1:4" x14ac:dyDescent="0.35">
      <c r="A4513" s="1" t="s">
        <v>1669</v>
      </c>
      <c r="B4513" s="1" t="s">
        <v>1681</v>
      </c>
      <c r="C4513" s="2">
        <v>20</v>
      </c>
      <c r="D4513" s="1">
        <v>2023</v>
      </c>
    </row>
    <row r="4514" spans="1:4" x14ac:dyDescent="0.35">
      <c r="A4514" s="1" t="s">
        <v>1669</v>
      </c>
      <c r="B4514" s="1" t="s">
        <v>1681</v>
      </c>
      <c r="C4514" s="2">
        <v>112</v>
      </c>
      <c r="D4514" s="1">
        <v>2024</v>
      </c>
    </row>
    <row r="4515" spans="1:4" x14ac:dyDescent="0.35">
      <c r="A4515" s="1" t="s">
        <v>1669</v>
      </c>
      <c r="B4515" s="1" t="s">
        <v>1681</v>
      </c>
      <c r="C4515" s="2">
        <v>41</v>
      </c>
      <c r="D4515" s="1">
        <v>2025</v>
      </c>
    </row>
    <row r="4516" spans="1:4" x14ac:dyDescent="0.35">
      <c r="A4516" s="1" t="s">
        <v>1669</v>
      </c>
      <c r="B4516" s="1" t="s">
        <v>1682</v>
      </c>
      <c r="C4516" s="2">
        <v>54</v>
      </c>
      <c r="D4516" s="1">
        <v>2022</v>
      </c>
    </row>
    <row r="4517" spans="1:4" x14ac:dyDescent="0.35">
      <c r="A4517" s="1" t="s">
        <v>1669</v>
      </c>
      <c r="B4517" s="1" t="s">
        <v>1682</v>
      </c>
      <c r="C4517" s="2">
        <v>46</v>
      </c>
      <c r="D4517" s="1">
        <v>2023</v>
      </c>
    </row>
    <row r="4518" spans="1:4" x14ac:dyDescent="0.35">
      <c r="A4518" s="1" t="s">
        <v>1669</v>
      </c>
      <c r="B4518" s="1" t="s">
        <v>1682</v>
      </c>
      <c r="C4518" s="2">
        <v>55</v>
      </c>
      <c r="D4518" s="1">
        <v>2024</v>
      </c>
    </row>
    <row r="4519" spans="1:4" x14ac:dyDescent="0.35">
      <c r="A4519" s="1" t="s">
        <v>1669</v>
      </c>
      <c r="B4519" s="1" t="s">
        <v>1683</v>
      </c>
      <c r="C4519" s="2">
        <v>44</v>
      </c>
      <c r="D4519" s="1">
        <v>2023</v>
      </c>
    </row>
    <row r="4520" spans="1:4" x14ac:dyDescent="0.35">
      <c r="A4520" s="1" t="s">
        <v>1669</v>
      </c>
      <c r="B4520" s="1" t="s">
        <v>1683</v>
      </c>
      <c r="C4520" s="2">
        <v>44</v>
      </c>
      <c r="D4520" s="1">
        <v>2024</v>
      </c>
    </row>
    <row r="4521" spans="1:4" x14ac:dyDescent="0.35">
      <c r="A4521" s="1" t="s">
        <v>1669</v>
      </c>
      <c r="B4521" s="1" t="s">
        <v>1683</v>
      </c>
      <c r="C4521" s="2">
        <v>50</v>
      </c>
      <c r="D4521" s="1">
        <v>2025</v>
      </c>
    </row>
    <row r="4522" spans="1:4" x14ac:dyDescent="0.35">
      <c r="A4522" s="1" t="s">
        <v>1669</v>
      </c>
      <c r="B4522" s="1" t="s">
        <v>1684</v>
      </c>
      <c r="C4522" s="2">
        <v>83</v>
      </c>
      <c r="D4522" s="1">
        <v>2023</v>
      </c>
    </row>
    <row r="4523" spans="1:4" x14ac:dyDescent="0.35">
      <c r="A4523" s="1" t="s">
        <v>1669</v>
      </c>
      <c r="B4523" s="1" t="s">
        <v>1684</v>
      </c>
      <c r="C4523" s="2">
        <v>57</v>
      </c>
      <c r="D4523" s="1">
        <v>2024</v>
      </c>
    </row>
    <row r="4524" spans="1:4" x14ac:dyDescent="0.35">
      <c r="A4524" s="1" t="s">
        <v>1669</v>
      </c>
      <c r="B4524" s="1" t="s">
        <v>1684</v>
      </c>
      <c r="C4524" s="2">
        <v>48</v>
      </c>
      <c r="D4524" s="1">
        <v>2025</v>
      </c>
    </row>
    <row r="4525" spans="1:4" x14ac:dyDescent="0.35">
      <c r="A4525" s="1" t="s">
        <v>1669</v>
      </c>
      <c r="B4525" s="1" t="s">
        <v>1685</v>
      </c>
      <c r="C4525" s="2">
        <v>50</v>
      </c>
      <c r="D4525" s="1">
        <v>2023</v>
      </c>
    </row>
    <row r="4526" spans="1:4" x14ac:dyDescent="0.35">
      <c r="A4526" s="1" t="s">
        <v>1669</v>
      </c>
      <c r="B4526" s="1" t="s">
        <v>1685</v>
      </c>
      <c r="C4526" s="2">
        <v>54</v>
      </c>
      <c r="D4526" s="1">
        <v>2024</v>
      </c>
    </row>
    <row r="4527" spans="1:4" x14ac:dyDescent="0.35">
      <c r="A4527" s="1" t="s">
        <v>1669</v>
      </c>
      <c r="B4527" s="1" t="s">
        <v>1685</v>
      </c>
      <c r="C4527" s="2">
        <v>52</v>
      </c>
      <c r="D4527" s="1">
        <v>2025</v>
      </c>
    </row>
    <row r="4528" spans="1:4" x14ac:dyDescent="0.35">
      <c r="A4528" s="1" t="s">
        <v>1669</v>
      </c>
      <c r="B4528" s="1" t="s">
        <v>1688</v>
      </c>
      <c r="C4528" s="2">
        <v>59</v>
      </c>
      <c r="D4528" s="1">
        <v>2022</v>
      </c>
    </row>
    <row r="4529" spans="1:4" x14ac:dyDescent="0.35">
      <c r="A4529" s="1" t="s">
        <v>1669</v>
      </c>
      <c r="B4529" s="1" t="s">
        <v>1688</v>
      </c>
      <c r="C4529" s="2">
        <v>69</v>
      </c>
      <c r="D4529" s="1">
        <v>2023</v>
      </c>
    </row>
    <row r="4530" spans="1:4" x14ac:dyDescent="0.35">
      <c r="A4530" s="1" t="s">
        <v>1669</v>
      </c>
      <c r="B4530" s="1" t="s">
        <v>1686</v>
      </c>
      <c r="C4530" s="2">
        <v>58</v>
      </c>
      <c r="D4530" s="1">
        <v>2022</v>
      </c>
    </row>
    <row r="4531" spans="1:4" x14ac:dyDescent="0.35">
      <c r="A4531" s="1" t="s">
        <v>1669</v>
      </c>
      <c r="B4531" s="1" t="s">
        <v>1686</v>
      </c>
      <c r="C4531" s="2">
        <v>67</v>
      </c>
      <c r="D4531" s="1">
        <v>2023</v>
      </c>
    </row>
    <row r="4532" spans="1:4" x14ac:dyDescent="0.35">
      <c r="A4532" s="1" t="s">
        <v>1669</v>
      </c>
      <c r="B4532" s="1" t="s">
        <v>1686</v>
      </c>
      <c r="C4532" s="2">
        <v>93</v>
      </c>
      <c r="D4532" s="1">
        <v>2024</v>
      </c>
    </row>
    <row r="4533" spans="1:4" x14ac:dyDescent="0.35">
      <c r="A4533" s="1" t="s">
        <v>1669</v>
      </c>
      <c r="B4533" s="1" t="s">
        <v>1687</v>
      </c>
      <c r="C4533" s="2">
        <v>70</v>
      </c>
      <c r="D4533" s="1">
        <v>2022</v>
      </c>
    </row>
    <row r="4534" spans="1:4" x14ac:dyDescent="0.35">
      <c r="A4534" s="1" t="s">
        <v>1669</v>
      </c>
      <c r="B4534" s="1" t="s">
        <v>1687</v>
      </c>
      <c r="C4534" s="2">
        <v>54</v>
      </c>
      <c r="D4534" s="1">
        <v>2023</v>
      </c>
    </row>
    <row r="4535" spans="1:4" x14ac:dyDescent="0.35">
      <c r="A4535" s="1" t="s">
        <v>1669</v>
      </c>
      <c r="B4535" s="1" t="s">
        <v>1687</v>
      </c>
      <c r="C4535" s="2">
        <v>49</v>
      </c>
      <c r="D4535" s="1">
        <v>2024</v>
      </c>
    </row>
    <row r="4536" spans="1:4" x14ac:dyDescent="0.35">
      <c r="A4536" s="1" t="s">
        <v>1670</v>
      </c>
      <c r="B4536" s="1" t="s">
        <v>1677</v>
      </c>
      <c r="C4536" s="2">
        <v>1</v>
      </c>
      <c r="D4536" s="1">
        <v>2023</v>
      </c>
    </row>
    <row r="4537" spans="1:4" x14ac:dyDescent="0.35">
      <c r="A4537" s="1" t="s">
        <v>1670</v>
      </c>
      <c r="B4537" s="1" t="s">
        <v>1677</v>
      </c>
      <c r="C4537" s="2">
        <v>1</v>
      </c>
      <c r="D4537" s="1">
        <v>2024</v>
      </c>
    </row>
    <row r="4538" spans="1:4" x14ac:dyDescent="0.35">
      <c r="A4538" s="1" t="s">
        <v>1670</v>
      </c>
      <c r="B4538" s="1" t="s">
        <v>1677</v>
      </c>
      <c r="C4538" s="2">
        <v>1</v>
      </c>
      <c r="D4538" s="1">
        <v>2025</v>
      </c>
    </row>
    <row r="4539" spans="1:4" x14ac:dyDescent="0.35">
      <c r="A4539" s="1" t="s">
        <v>1670</v>
      </c>
      <c r="B4539" s="1" t="s">
        <v>1678</v>
      </c>
      <c r="C4539" s="2">
        <v>1</v>
      </c>
      <c r="D4539" s="1">
        <v>2022</v>
      </c>
    </row>
    <row r="4540" spans="1:4" x14ac:dyDescent="0.35">
      <c r="A4540" s="1" t="s">
        <v>1670</v>
      </c>
      <c r="B4540" s="1" t="s">
        <v>1678</v>
      </c>
      <c r="C4540" s="2">
        <v>1</v>
      </c>
      <c r="D4540" s="1">
        <v>2023</v>
      </c>
    </row>
    <row r="4541" spans="1:4" x14ac:dyDescent="0.35">
      <c r="A4541" s="1" t="s">
        <v>1670</v>
      </c>
      <c r="B4541" s="1" t="s">
        <v>1678</v>
      </c>
      <c r="C4541" s="2">
        <v>1</v>
      </c>
      <c r="D4541" s="1">
        <v>2024</v>
      </c>
    </row>
    <row r="4542" spans="1:4" x14ac:dyDescent="0.35">
      <c r="A4542" s="1" t="s">
        <v>1670</v>
      </c>
      <c r="B4542" s="1" t="s">
        <v>1679</v>
      </c>
      <c r="C4542" s="2">
        <v>1</v>
      </c>
      <c r="D4542" s="1">
        <v>2022</v>
      </c>
    </row>
    <row r="4543" spans="1:4" x14ac:dyDescent="0.35">
      <c r="A4543" s="1" t="s">
        <v>1670</v>
      </c>
      <c r="B4543" s="1" t="s">
        <v>1679</v>
      </c>
      <c r="C4543" s="2">
        <v>1</v>
      </c>
      <c r="D4543" s="1">
        <v>2023</v>
      </c>
    </row>
    <row r="4544" spans="1:4" x14ac:dyDescent="0.35">
      <c r="A4544" s="1" t="s">
        <v>1670</v>
      </c>
      <c r="B4544" s="1" t="s">
        <v>1679</v>
      </c>
      <c r="C4544" s="2">
        <v>1</v>
      </c>
      <c r="D4544" s="1">
        <v>2024</v>
      </c>
    </row>
    <row r="4545" spans="1:4" x14ac:dyDescent="0.35">
      <c r="A4545" s="1" t="s">
        <v>1670</v>
      </c>
      <c r="B4545" s="1" t="s">
        <v>1680</v>
      </c>
      <c r="C4545" s="2">
        <v>1</v>
      </c>
      <c r="D4545" s="1">
        <v>2023</v>
      </c>
    </row>
    <row r="4546" spans="1:4" x14ac:dyDescent="0.35">
      <c r="A4546" s="1" t="s">
        <v>1670</v>
      </c>
      <c r="B4546" s="1" t="s">
        <v>1680</v>
      </c>
      <c r="C4546" s="2">
        <v>1</v>
      </c>
      <c r="D4546" s="1">
        <v>2025</v>
      </c>
    </row>
    <row r="4547" spans="1:4" x14ac:dyDescent="0.35">
      <c r="A4547" s="1" t="s">
        <v>1670</v>
      </c>
      <c r="B4547" s="1" t="s">
        <v>1681</v>
      </c>
      <c r="C4547" s="2">
        <v>2</v>
      </c>
      <c r="D4547" s="1">
        <v>2024</v>
      </c>
    </row>
    <row r="4548" spans="1:4" x14ac:dyDescent="0.35">
      <c r="A4548" s="1" t="s">
        <v>1670</v>
      </c>
      <c r="B4548" s="1" t="s">
        <v>1681</v>
      </c>
      <c r="C4548" s="2">
        <v>1</v>
      </c>
      <c r="D4548" s="1">
        <v>2025</v>
      </c>
    </row>
    <row r="4549" spans="1:4" x14ac:dyDescent="0.35">
      <c r="A4549" s="1" t="s">
        <v>1670</v>
      </c>
      <c r="B4549" s="1" t="s">
        <v>1682</v>
      </c>
      <c r="C4549" s="2">
        <v>1</v>
      </c>
      <c r="D4549" s="1">
        <v>2022</v>
      </c>
    </row>
    <row r="4550" spans="1:4" x14ac:dyDescent="0.35">
      <c r="A4550" s="1" t="s">
        <v>1670</v>
      </c>
      <c r="B4550" s="1" t="s">
        <v>1682</v>
      </c>
      <c r="C4550" s="2">
        <v>1</v>
      </c>
      <c r="D4550" s="1">
        <v>2023</v>
      </c>
    </row>
    <row r="4551" spans="1:4" x14ac:dyDescent="0.35">
      <c r="A4551" s="1" t="s">
        <v>1670</v>
      </c>
      <c r="B4551" s="1" t="s">
        <v>1682</v>
      </c>
      <c r="C4551" s="2">
        <v>1</v>
      </c>
      <c r="D4551" s="1">
        <v>2024</v>
      </c>
    </row>
    <row r="4552" spans="1:4" x14ac:dyDescent="0.35">
      <c r="A4552" s="1" t="s">
        <v>1670</v>
      </c>
      <c r="B4552" s="1" t="s">
        <v>1683</v>
      </c>
      <c r="C4552" s="2">
        <v>1</v>
      </c>
      <c r="D4552" s="1">
        <v>2023</v>
      </c>
    </row>
    <row r="4553" spans="1:4" x14ac:dyDescent="0.35">
      <c r="A4553" s="1" t="s">
        <v>1670</v>
      </c>
      <c r="B4553" s="1" t="s">
        <v>1683</v>
      </c>
      <c r="C4553" s="2">
        <v>1</v>
      </c>
      <c r="D4553" s="1">
        <v>2024</v>
      </c>
    </row>
    <row r="4554" spans="1:4" x14ac:dyDescent="0.35">
      <c r="A4554" s="1" t="s">
        <v>1670</v>
      </c>
      <c r="B4554" s="1" t="s">
        <v>1683</v>
      </c>
      <c r="C4554" s="2">
        <v>1</v>
      </c>
      <c r="D4554" s="1">
        <v>2025</v>
      </c>
    </row>
    <row r="4555" spans="1:4" x14ac:dyDescent="0.35">
      <c r="A4555" s="1" t="s">
        <v>1670</v>
      </c>
      <c r="B4555" s="1" t="s">
        <v>1684</v>
      </c>
      <c r="C4555" s="2">
        <v>2</v>
      </c>
      <c r="D4555" s="1">
        <v>2023</v>
      </c>
    </row>
    <row r="4556" spans="1:4" x14ac:dyDescent="0.35">
      <c r="A4556" s="1" t="s">
        <v>1670</v>
      </c>
      <c r="B4556" s="1" t="s">
        <v>1684</v>
      </c>
      <c r="C4556" s="2">
        <v>2</v>
      </c>
      <c r="D4556" s="1">
        <v>2024</v>
      </c>
    </row>
    <row r="4557" spans="1:4" x14ac:dyDescent="0.35">
      <c r="A4557" s="1" t="s">
        <v>1670</v>
      </c>
      <c r="B4557" s="1" t="s">
        <v>1684</v>
      </c>
      <c r="C4557" s="2">
        <v>1</v>
      </c>
      <c r="D4557" s="1">
        <v>2025</v>
      </c>
    </row>
    <row r="4558" spans="1:4" x14ac:dyDescent="0.35">
      <c r="A4558" s="1" t="s">
        <v>1670</v>
      </c>
      <c r="B4558" s="1" t="s">
        <v>1685</v>
      </c>
      <c r="C4558" s="2">
        <v>1</v>
      </c>
      <c r="D4558" s="1">
        <v>2023</v>
      </c>
    </row>
    <row r="4559" spans="1:4" x14ac:dyDescent="0.35">
      <c r="A4559" s="1" t="s">
        <v>1670</v>
      </c>
      <c r="B4559" s="1" t="s">
        <v>1685</v>
      </c>
      <c r="C4559" s="2">
        <v>2</v>
      </c>
      <c r="D4559" s="1">
        <v>2025</v>
      </c>
    </row>
    <row r="4560" spans="1:4" x14ac:dyDescent="0.35">
      <c r="A4560" s="1" t="s">
        <v>1670</v>
      </c>
      <c r="B4560" s="1" t="s">
        <v>1688</v>
      </c>
      <c r="C4560" s="2">
        <v>1</v>
      </c>
      <c r="D4560" s="1">
        <v>2022</v>
      </c>
    </row>
    <row r="4561" spans="1:4" x14ac:dyDescent="0.35">
      <c r="A4561" s="1" t="s">
        <v>1670</v>
      </c>
      <c r="B4561" s="1" t="s">
        <v>1688</v>
      </c>
      <c r="C4561" s="2">
        <v>1</v>
      </c>
      <c r="D4561" s="1">
        <v>2023</v>
      </c>
    </row>
    <row r="4562" spans="1:4" x14ac:dyDescent="0.35">
      <c r="A4562" s="1" t="s">
        <v>1670</v>
      </c>
      <c r="B4562" s="1" t="s">
        <v>1688</v>
      </c>
      <c r="C4562" s="2">
        <v>1</v>
      </c>
      <c r="D4562" s="1">
        <v>2024</v>
      </c>
    </row>
    <row r="4563" spans="1:4" x14ac:dyDescent="0.35">
      <c r="A4563" s="1" t="s">
        <v>1670</v>
      </c>
      <c r="B4563" s="1" t="s">
        <v>1686</v>
      </c>
      <c r="C4563" s="2">
        <v>1</v>
      </c>
      <c r="D4563" s="1">
        <v>2022</v>
      </c>
    </row>
    <row r="4564" spans="1:4" x14ac:dyDescent="0.35">
      <c r="A4564" s="1" t="s">
        <v>1670</v>
      </c>
      <c r="B4564" s="1" t="s">
        <v>1686</v>
      </c>
      <c r="C4564" s="2">
        <v>1</v>
      </c>
      <c r="D4564" s="1">
        <v>2023</v>
      </c>
    </row>
    <row r="4565" spans="1:4" x14ac:dyDescent="0.35">
      <c r="A4565" s="1" t="s">
        <v>1670</v>
      </c>
      <c r="B4565" s="1" t="s">
        <v>1686</v>
      </c>
      <c r="C4565" s="2">
        <v>1</v>
      </c>
      <c r="D4565" s="1">
        <v>2024</v>
      </c>
    </row>
    <row r="4566" spans="1:4" x14ac:dyDescent="0.35">
      <c r="A4566" s="1" t="s">
        <v>1670</v>
      </c>
      <c r="B4566" s="1" t="s">
        <v>1687</v>
      </c>
      <c r="C4566" s="2">
        <v>1</v>
      </c>
      <c r="D4566" s="1">
        <v>2022</v>
      </c>
    </row>
    <row r="4567" spans="1:4" x14ac:dyDescent="0.35">
      <c r="A4567" s="1" t="s">
        <v>1670</v>
      </c>
      <c r="B4567" s="1" t="s">
        <v>1687</v>
      </c>
      <c r="C4567" s="2">
        <v>1</v>
      </c>
      <c r="D4567" s="1">
        <v>2023</v>
      </c>
    </row>
    <row r="4568" spans="1:4" x14ac:dyDescent="0.35">
      <c r="A4568" s="1" t="s">
        <v>1671</v>
      </c>
      <c r="B4568" s="1" t="s">
        <v>1677</v>
      </c>
      <c r="C4568" s="2">
        <v>8</v>
      </c>
      <c r="D4568" s="1">
        <v>2025</v>
      </c>
    </row>
    <row r="4569" spans="1:4" x14ac:dyDescent="0.35">
      <c r="A4569" s="1" t="s">
        <v>1671</v>
      </c>
      <c r="B4569" s="1" t="s">
        <v>1683</v>
      </c>
      <c r="C4569" s="2">
        <v>7</v>
      </c>
      <c r="D4569" s="1">
        <v>2025</v>
      </c>
    </row>
    <row r="4570" spans="1:4" x14ac:dyDescent="0.35">
      <c r="A4570" s="1" t="s">
        <v>1671</v>
      </c>
      <c r="B4570" s="1" t="s">
        <v>1685</v>
      </c>
      <c r="C4570" s="2">
        <v>8</v>
      </c>
      <c r="D4570" s="1">
        <v>2025</v>
      </c>
    </row>
    <row r="4571" spans="1:4" x14ac:dyDescent="0.35">
      <c r="A4571" s="1" t="s">
        <v>1672</v>
      </c>
      <c r="B4571" s="1" t="s">
        <v>1677</v>
      </c>
      <c r="C4571" s="2">
        <v>19</v>
      </c>
      <c r="D4571" s="1">
        <v>2023</v>
      </c>
    </row>
    <row r="4572" spans="1:4" x14ac:dyDescent="0.35">
      <c r="A4572" s="1" t="s">
        <v>1672</v>
      </c>
      <c r="B4572" s="1" t="s">
        <v>1677</v>
      </c>
      <c r="C4572" s="2">
        <v>18</v>
      </c>
      <c r="D4572" s="1">
        <v>2024</v>
      </c>
    </row>
    <row r="4573" spans="1:4" x14ac:dyDescent="0.35">
      <c r="A4573" s="1" t="s">
        <v>1672</v>
      </c>
      <c r="B4573" s="1" t="s">
        <v>1677</v>
      </c>
      <c r="C4573" s="2">
        <v>-4</v>
      </c>
      <c r="D4573" s="1">
        <v>2025</v>
      </c>
    </row>
    <row r="4574" spans="1:4" x14ac:dyDescent="0.35">
      <c r="A4574" s="1" t="s">
        <v>1672</v>
      </c>
      <c r="B4574" s="1" t="s">
        <v>1677</v>
      </c>
      <c r="C4574" s="2">
        <v>2</v>
      </c>
      <c r="D4574" s="1">
        <v>2023</v>
      </c>
    </row>
    <row r="4575" spans="1:4" x14ac:dyDescent="0.35">
      <c r="A4575" s="1" t="s">
        <v>1672</v>
      </c>
      <c r="B4575" s="1" t="s">
        <v>1677</v>
      </c>
      <c r="C4575" s="2">
        <v>2</v>
      </c>
      <c r="D4575" s="1">
        <v>2024</v>
      </c>
    </row>
    <row r="4576" spans="1:4" x14ac:dyDescent="0.35">
      <c r="A4576" s="1" t="s">
        <v>1672</v>
      </c>
      <c r="B4576" s="1" t="s">
        <v>1677</v>
      </c>
      <c r="C4576" s="2">
        <v>2</v>
      </c>
      <c r="D4576" s="1">
        <v>2025</v>
      </c>
    </row>
    <row r="4577" spans="1:4" x14ac:dyDescent="0.35">
      <c r="A4577" s="1" t="s">
        <v>1672</v>
      </c>
      <c r="B4577" s="1" t="s">
        <v>1678</v>
      </c>
      <c r="C4577" s="2">
        <v>10</v>
      </c>
      <c r="D4577" s="1">
        <v>2022</v>
      </c>
    </row>
    <row r="4578" spans="1:4" x14ac:dyDescent="0.35">
      <c r="A4578" s="1" t="s">
        <v>1672</v>
      </c>
      <c r="B4578" s="1" t="s">
        <v>1678</v>
      </c>
      <c r="C4578" s="2">
        <v>16</v>
      </c>
      <c r="D4578" s="1">
        <v>2023</v>
      </c>
    </row>
    <row r="4579" spans="1:4" x14ac:dyDescent="0.35">
      <c r="A4579" s="1" t="s">
        <v>1672</v>
      </c>
      <c r="B4579" s="1" t="s">
        <v>1678</v>
      </c>
      <c r="C4579" s="2">
        <v>18</v>
      </c>
      <c r="D4579" s="1">
        <v>2024</v>
      </c>
    </row>
    <row r="4580" spans="1:4" x14ac:dyDescent="0.35">
      <c r="A4580" s="1" t="s">
        <v>1672</v>
      </c>
      <c r="B4580" s="1" t="s">
        <v>1678</v>
      </c>
      <c r="C4580" s="2">
        <v>2</v>
      </c>
      <c r="D4580" s="1">
        <v>2022</v>
      </c>
    </row>
    <row r="4581" spans="1:4" x14ac:dyDescent="0.35">
      <c r="A4581" s="1" t="s">
        <v>1672</v>
      </c>
      <c r="B4581" s="1" t="s">
        <v>1678</v>
      </c>
      <c r="C4581" s="2">
        <v>2</v>
      </c>
      <c r="D4581" s="1">
        <v>2023</v>
      </c>
    </row>
    <row r="4582" spans="1:4" x14ac:dyDescent="0.35">
      <c r="A4582" s="1" t="s">
        <v>1672</v>
      </c>
      <c r="B4582" s="1" t="s">
        <v>1678</v>
      </c>
      <c r="C4582" s="2">
        <v>2</v>
      </c>
      <c r="D4582" s="1">
        <v>2024</v>
      </c>
    </row>
    <row r="4583" spans="1:4" x14ac:dyDescent="0.35">
      <c r="A4583" s="1" t="s">
        <v>1672</v>
      </c>
      <c r="B4583" s="1" t="s">
        <v>1679</v>
      </c>
      <c r="C4583" s="2">
        <v>15</v>
      </c>
      <c r="D4583" s="1">
        <v>2022</v>
      </c>
    </row>
    <row r="4584" spans="1:4" x14ac:dyDescent="0.35">
      <c r="A4584" s="1" t="s">
        <v>1672</v>
      </c>
      <c r="B4584" s="1" t="s">
        <v>1679</v>
      </c>
      <c r="C4584" s="2">
        <v>15</v>
      </c>
      <c r="D4584" s="1">
        <v>2023</v>
      </c>
    </row>
    <row r="4585" spans="1:4" x14ac:dyDescent="0.35">
      <c r="A4585" s="1" t="s">
        <v>1672</v>
      </c>
      <c r="B4585" s="1" t="s">
        <v>1679</v>
      </c>
      <c r="C4585" s="2">
        <v>43</v>
      </c>
      <c r="D4585" s="1">
        <v>2024</v>
      </c>
    </row>
    <row r="4586" spans="1:4" x14ac:dyDescent="0.35">
      <c r="A4586" s="1" t="s">
        <v>1672</v>
      </c>
      <c r="B4586" s="1" t="s">
        <v>1679</v>
      </c>
      <c r="C4586" s="2">
        <v>1</v>
      </c>
      <c r="D4586" s="1">
        <v>2022</v>
      </c>
    </row>
    <row r="4587" spans="1:4" x14ac:dyDescent="0.35">
      <c r="A4587" s="1" t="s">
        <v>1672</v>
      </c>
      <c r="B4587" s="1" t="s">
        <v>1679</v>
      </c>
      <c r="C4587" s="2">
        <v>2</v>
      </c>
      <c r="D4587" s="1">
        <v>2023</v>
      </c>
    </row>
    <row r="4588" spans="1:4" x14ac:dyDescent="0.35">
      <c r="A4588" s="1" t="s">
        <v>1672</v>
      </c>
      <c r="B4588" s="1" t="s">
        <v>1679</v>
      </c>
      <c r="C4588" s="2">
        <v>5</v>
      </c>
      <c r="D4588" s="1">
        <v>2024</v>
      </c>
    </row>
    <row r="4589" spans="1:4" x14ac:dyDescent="0.35">
      <c r="A4589" s="1" t="s">
        <v>1672</v>
      </c>
      <c r="B4589" s="1" t="s">
        <v>1680</v>
      </c>
      <c r="C4589" s="2">
        <v>17</v>
      </c>
      <c r="D4589" s="1">
        <v>2023</v>
      </c>
    </row>
    <row r="4590" spans="1:4" x14ac:dyDescent="0.35">
      <c r="A4590" s="1" t="s">
        <v>1672</v>
      </c>
      <c r="B4590" s="1" t="s">
        <v>1680</v>
      </c>
      <c r="C4590" s="2">
        <v>16</v>
      </c>
      <c r="D4590" s="1">
        <v>2024</v>
      </c>
    </row>
    <row r="4591" spans="1:4" x14ac:dyDescent="0.35">
      <c r="A4591" s="1" t="s">
        <v>1672</v>
      </c>
      <c r="B4591" s="1" t="s">
        <v>1680</v>
      </c>
      <c r="C4591" s="2">
        <v>21</v>
      </c>
      <c r="D4591" s="1">
        <v>2025</v>
      </c>
    </row>
    <row r="4592" spans="1:4" x14ac:dyDescent="0.35">
      <c r="A4592" s="1" t="s">
        <v>1672</v>
      </c>
      <c r="B4592" s="1" t="s">
        <v>1680</v>
      </c>
      <c r="C4592" s="2">
        <v>2</v>
      </c>
      <c r="D4592" s="1">
        <v>2023</v>
      </c>
    </row>
    <row r="4593" spans="1:4" x14ac:dyDescent="0.35">
      <c r="A4593" s="1" t="s">
        <v>1672</v>
      </c>
      <c r="B4593" s="1" t="s">
        <v>1680</v>
      </c>
      <c r="C4593" s="2">
        <v>2</v>
      </c>
      <c r="D4593" s="1">
        <v>2024</v>
      </c>
    </row>
    <row r="4594" spans="1:4" x14ac:dyDescent="0.35">
      <c r="A4594" s="1" t="s">
        <v>1672</v>
      </c>
      <c r="B4594" s="1" t="s">
        <v>1680</v>
      </c>
      <c r="C4594" s="2">
        <v>3</v>
      </c>
      <c r="D4594" s="1">
        <v>2025</v>
      </c>
    </row>
    <row r="4595" spans="1:4" x14ac:dyDescent="0.35">
      <c r="A4595" s="1" t="s">
        <v>1672</v>
      </c>
      <c r="B4595" s="1" t="s">
        <v>1681</v>
      </c>
      <c r="C4595" s="2">
        <v>32</v>
      </c>
      <c r="D4595" s="1">
        <v>2023</v>
      </c>
    </row>
    <row r="4596" spans="1:4" x14ac:dyDescent="0.35">
      <c r="A4596" s="1" t="s">
        <v>1672</v>
      </c>
      <c r="B4596" s="1" t="s">
        <v>1681</v>
      </c>
      <c r="C4596" s="2">
        <v>31</v>
      </c>
      <c r="D4596" s="1">
        <v>2024</v>
      </c>
    </row>
    <row r="4597" spans="1:4" x14ac:dyDescent="0.35">
      <c r="A4597" s="1" t="s">
        <v>1672</v>
      </c>
      <c r="B4597" s="1" t="s">
        <v>1681</v>
      </c>
      <c r="C4597" s="2">
        <v>23</v>
      </c>
      <c r="D4597" s="1">
        <v>2025</v>
      </c>
    </row>
    <row r="4598" spans="1:4" x14ac:dyDescent="0.35">
      <c r="A4598" s="1" t="s">
        <v>1672</v>
      </c>
      <c r="B4598" s="1" t="s">
        <v>1681</v>
      </c>
      <c r="C4598" s="2">
        <v>2</v>
      </c>
      <c r="D4598" s="1">
        <v>2023</v>
      </c>
    </row>
    <row r="4599" spans="1:4" x14ac:dyDescent="0.35">
      <c r="A4599" s="1" t="s">
        <v>1672</v>
      </c>
      <c r="B4599" s="1" t="s">
        <v>1681</v>
      </c>
      <c r="C4599" s="2">
        <v>5</v>
      </c>
      <c r="D4599" s="1">
        <v>2024</v>
      </c>
    </row>
    <row r="4600" spans="1:4" x14ac:dyDescent="0.35">
      <c r="A4600" s="1" t="s">
        <v>1672</v>
      </c>
      <c r="B4600" s="1" t="s">
        <v>1681</v>
      </c>
      <c r="C4600" s="2">
        <v>3</v>
      </c>
      <c r="D4600" s="1">
        <v>2025</v>
      </c>
    </row>
    <row r="4601" spans="1:4" x14ac:dyDescent="0.35">
      <c r="A4601" s="1" t="s">
        <v>1672</v>
      </c>
      <c r="B4601" s="1" t="s">
        <v>1682</v>
      </c>
      <c r="C4601" s="2">
        <v>14</v>
      </c>
      <c r="D4601" s="1">
        <v>2022</v>
      </c>
    </row>
    <row r="4602" spans="1:4" x14ac:dyDescent="0.35">
      <c r="A4602" s="1" t="s">
        <v>1672</v>
      </c>
      <c r="B4602" s="1" t="s">
        <v>1682</v>
      </c>
      <c r="C4602" s="2">
        <v>16</v>
      </c>
      <c r="D4602" s="1">
        <v>2023</v>
      </c>
    </row>
    <row r="4603" spans="1:4" x14ac:dyDescent="0.35">
      <c r="A4603" s="1" t="s">
        <v>1672</v>
      </c>
      <c r="B4603" s="1" t="s">
        <v>1682</v>
      </c>
      <c r="C4603" s="2">
        <v>19</v>
      </c>
      <c r="D4603" s="1">
        <v>2024</v>
      </c>
    </row>
    <row r="4604" spans="1:4" x14ac:dyDescent="0.35">
      <c r="A4604" s="1" t="s">
        <v>1672</v>
      </c>
      <c r="B4604" s="1" t="s">
        <v>1682</v>
      </c>
      <c r="C4604" s="2">
        <v>2</v>
      </c>
      <c r="D4604" s="1">
        <v>2022</v>
      </c>
    </row>
    <row r="4605" spans="1:4" x14ac:dyDescent="0.35">
      <c r="A4605" s="1" t="s">
        <v>1672</v>
      </c>
      <c r="B4605" s="1" t="s">
        <v>1682</v>
      </c>
      <c r="C4605" s="2">
        <v>2</v>
      </c>
      <c r="D4605" s="1">
        <v>2023</v>
      </c>
    </row>
    <row r="4606" spans="1:4" x14ac:dyDescent="0.35">
      <c r="A4606" s="1" t="s">
        <v>1672</v>
      </c>
      <c r="B4606" s="1" t="s">
        <v>1682</v>
      </c>
      <c r="C4606" s="2">
        <v>2</v>
      </c>
      <c r="D4606" s="1">
        <v>2024</v>
      </c>
    </row>
    <row r="4607" spans="1:4" x14ac:dyDescent="0.35">
      <c r="A4607" s="1" t="s">
        <v>1672</v>
      </c>
      <c r="B4607" s="1" t="s">
        <v>1683</v>
      </c>
      <c r="C4607" s="2">
        <v>17</v>
      </c>
      <c r="D4607" s="1">
        <v>2023</v>
      </c>
    </row>
    <row r="4608" spans="1:4" x14ac:dyDescent="0.35">
      <c r="A4608" s="1" t="s">
        <v>1672</v>
      </c>
      <c r="B4608" s="1" t="s">
        <v>1683</v>
      </c>
      <c r="C4608" s="2">
        <v>16</v>
      </c>
      <c r="D4608" s="1">
        <v>2024</v>
      </c>
    </row>
    <row r="4609" spans="1:4" x14ac:dyDescent="0.35">
      <c r="A4609" s="1" t="s">
        <v>1672</v>
      </c>
      <c r="B4609" s="1" t="s">
        <v>1683</v>
      </c>
      <c r="C4609" s="2">
        <v>20</v>
      </c>
      <c r="D4609" s="1">
        <v>2025</v>
      </c>
    </row>
    <row r="4610" spans="1:4" x14ac:dyDescent="0.35">
      <c r="A4610" s="1" t="s">
        <v>1672</v>
      </c>
      <c r="B4610" s="1" t="s">
        <v>1683</v>
      </c>
      <c r="C4610" s="2">
        <v>2</v>
      </c>
      <c r="D4610" s="1">
        <v>2023</v>
      </c>
    </row>
    <row r="4611" spans="1:4" x14ac:dyDescent="0.35">
      <c r="A4611" s="1" t="s">
        <v>1672</v>
      </c>
      <c r="B4611" s="1" t="s">
        <v>1683</v>
      </c>
      <c r="C4611" s="2">
        <v>3</v>
      </c>
      <c r="D4611" s="1">
        <v>2024</v>
      </c>
    </row>
    <row r="4612" spans="1:4" x14ac:dyDescent="0.35">
      <c r="A4612" s="1" t="s">
        <v>1672</v>
      </c>
      <c r="B4612" s="1" t="s">
        <v>1683</v>
      </c>
      <c r="C4612" s="2">
        <v>3</v>
      </c>
      <c r="D4612" s="1">
        <v>2025</v>
      </c>
    </row>
    <row r="4613" spans="1:4" x14ac:dyDescent="0.35">
      <c r="A4613" s="1" t="s">
        <v>1672</v>
      </c>
      <c r="B4613" s="1" t="s">
        <v>1684</v>
      </c>
      <c r="C4613" s="2">
        <v>21</v>
      </c>
      <c r="D4613" s="1">
        <v>2023</v>
      </c>
    </row>
    <row r="4614" spans="1:4" x14ac:dyDescent="0.35">
      <c r="A4614" s="1" t="s">
        <v>1672</v>
      </c>
      <c r="B4614" s="1" t="s">
        <v>1684</v>
      </c>
      <c r="C4614" s="2">
        <v>17</v>
      </c>
      <c r="D4614" s="1">
        <v>2024</v>
      </c>
    </row>
    <row r="4615" spans="1:4" x14ac:dyDescent="0.35">
      <c r="A4615" s="1" t="s">
        <v>1672</v>
      </c>
      <c r="B4615" s="1" t="s">
        <v>1684</v>
      </c>
      <c r="C4615" s="2">
        <v>52</v>
      </c>
      <c r="D4615" s="1">
        <v>2025</v>
      </c>
    </row>
    <row r="4616" spans="1:4" x14ac:dyDescent="0.35">
      <c r="A4616" s="1" t="s">
        <v>1672</v>
      </c>
      <c r="B4616" s="1" t="s">
        <v>1684</v>
      </c>
      <c r="C4616" s="2">
        <v>2</v>
      </c>
      <c r="D4616" s="1">
        <v>2023</v>
      </c>
    </row>
    <row r="4617" spans="1:4" x14ac:dyDescent="0.35">
      <c r="A4617" s="1" t="s">
        <v>1672</v>
      </c>
      <c r="B4617" s="1" t="s">
        <v>1684</v>
      </c>
      <c r="C4617" s="2">
        <v>2</v>
      </c>
      <c r="D4617" s="1">
        <v>2024</v>
      </c>
    </row>
    <row r="4618" spans="1:4" x14ac:dyDescent="0.35">
      <c r="A4618" s="1" t="s">
        <v>1672</v>
      </c>
      <c r="B4618" s="1" t="s">
        <v>1684</v>
      </c>
      <c r="C4618" s="2">
        <v>4</v>
      </c>
      <c r="D4618" s="1">
        <v>2025</v>
      </c>
    </row>
    <row r="4619" spans="1:4" x14ac:dyDescent="0.35">
      <c r="A4619" s="1" t="s">
        <v>1672</v>
      </c>
      <c r="B4619" s="1" t="s">
        <v>1685</v>
      </c>
      <c r="C4619" s="2">
        <v>18</v>
      </c>
      <c r="D4619" s="1">
        <v>2023</v>
      </c>
    </row>
    <row r="4620" spans="1:4" x14ac:dyDescent="0.35">
      <c r="A4620" s="1" t="s">
        <v>1672</v>
      </c>
      <c r="B4620" s="1" t="s">
        <v>1685</v>
      </c>
      <c r="C4620" s="2">
        <v>17</v>
      </c>
      <c r="D4620" s="1">
        <v>2024</v>
      </c>
    </row>
    <row r="4621" spans="1:4" x14ac:dyDescent="0.35">
      <c r="A4621" s="1" t="s">
        <v>1672</v>
      </c>
      <c r="B4621" s="1" t="s">
        <v>1685</v>
      </c>
      <c r="C4621" s="2">
        <v>18</v>
      </c>
      <c r="D4621" s="1">
        <v>2025</v>
      </c>
    </row>
    <row r="4622" spans="1:4" x14ac:dyDescent="0.35">
      <c r="A4622" s="1" t="s">
        <v>1672</v>
      </c>
      <c r="B4622" s="1" t="s">
        <v>1685</v>
      </c>
      <c r="C4622" s="2">
        <v>2</v>
      </c>
      <c r="D4622" s="1">
        <v>2023</v>
      </c>
    </row>
    <row r="4623" spans="1:4" x14ac:dyDescent="0.35">
      <c r="A4623" s="1" t="s">
        <v>1672</v>
      </c>
      <c r="B4623" s="1" t="s">
        <v>1685</v>
      </c>
      <c r="C4623" s="2">
        <v>3</v>
      </c>
      <c r="D4623" s="1">
        <v>2025</v>
      </c>
    </row>
    <row r="4624" spans="1:4" x14ac:dyDescent="0.35">
      <c r="A4624" s="1" t="s">
        <v>1672</v>
      </c>
      <c r="B4624" s="1" t="s">
        <v>1688</v>
      </c>
      <c r="C4624" s="2">
        <v>13</v>
      </c>
      <c r="D4624" s="1">
        <v>2022</v>
      </c>
    </row>
    <row r="4625" spans="1:4" x14ac:dyDescent="0.35">
      <c r="A4625" s="1" t="s">
        <v>1672</v>
      </c>
      <c r="B4625" s="1" t="s">
        <v>1688</v>
      </c>
      <c r="C4625" s="2">
        <v>18</v>
      </c>
      <c r="D4625" s="1">
        <v>2023</v>
      </c>
    </row>
    <row r="4626" spans="1:4" x14ac:dyDescent="0.35">
      <c r="A4626" s="1" t="s">
        <v>1672</v>
      </c>
      <c r="B4626" s="1" t="s">
        <v>1688</v>
      </c>
      <c r="C4626" s="2">
        <v>1</v>
      </c>
      <c r="D4626" s="1">
        <v>2022</v>
      </c>
    </row>
    <row r="4627" spans="1:4" x14ac:dyDescent="0.35">
      <c r="A4627" s="1" t="s">
        <v>1672</v>
      </c>
      <c r="B4627" s="1" t="s">
        <v>1688</v>
      </c>
      <c r="C4627" s="2">
        <v>2</v>
      </c>
      <c r="D4627" s="1">
        <v>2023</v>
      </c>
    </row>
    <row r="4628" spans="1:4" x14ac:dyDescent="0.35">
      <c r="A4628" s="1" t="s">
        <v>1672</v>
      </c>
      <c r="B4628" s="1" t="s">
        <v>1686</v>
      </c>
      <c r="C4628" s="2">
        <v>16</v>
      </c>
      <c r="D4628" s="1">
        <v>2022</v>
      </c>
    </row>
    <row r="4629" spans="1:4" x14ac:dyDescent="0.35">
      <c r="A4629" s="1" t="s">
        <v>1672</v>
      </c>
      <c r="B4629" s="1" t="s">
        <v>1686</v>
      </c>
      <c r="C4629" s="2">
        <v>18</v>
      </c>
      <c r="D4629" s="1">
        <v>2023</v>
      </c>
    </row>
    <row r="4630" spans="1:4" x14ac:dyDescent="0.35">
      <c r="A4630" s="1" t="s">
        <v>1672</v>
      </c>
      <c r="B4630" s="1" t="s">
        <v>1686</v>
      </c>
      <c r="C4630" s="2">
        <v>45</v>
      </c>
      <c r="D4630" s="1">
        <v>2024</v>
      </c>
    </row>
    <row r="4631" spans="1:4" x14ac:dyDescent="0.35">
      <c r="A4631" s="1" t="s">
        <v>1672</v>
      </c>
      <c r="B4631" s="1" t="s">
        <v>1686</v>
      </c>
      <c r="C4631" s="2">
        <v>1</v>
      </c>
      <c r="D4631" s="1">
        <v>2022</v>
      </c>
    </row>
    <row r="4632" spans="1:4" x14ac:dyDescent="0.35">
      <c r="A4632" s="1" t="s">
        <v>1672</v>
      </c>
      <c r="B4632" s="1" t="s">
        <v>1686</v>
      </c>
      <c r="C4632" s="2">
        <v>2</v>
      </c>
      <c r="D4632" s="1">
        <v>2023</v>
      </c>
    </row>
    <row r="4633" spans="1:4" x14ac:dyDescent="0.35">
      <c r="A4633" s="1" t="s">
        <v>1672</v>
      </c>
      <c r="B4633" s="1" t="s">
        <v>1686</v>
      </c>
      <c r="C4633" s="2">
        <v>6</v>
      </c>
      <c r="D4633" s="1">
        <v>2024</v>
      </c>
    </row>
    <row r="4634" spans="1:4" x14ac:dyDescent="0.35">
      <c r="A4634" s="1" t="s">
        <v>1672</v>
      </c>
      <c r="B4634" s="1" t="s">
        <v>1687</v>
      </c>
      <c r="C4634" s="2">
        <v>15</v>
      </c>
      <c r="D4634" s="1">
        <v>2022</v>
      </c>
    </row>
    <row r="4635" spans="1:4" x14ac:dyDescent="0.35">
      <c r="A4635" s="1" t="s">
        <v>1672</v>
      </c>
      <c r="B4635" s="1" t="s">
        <v>1687</v>
      </c>
      <c r="C4635" s="2">
        <v>18</v>
      </c>
      <c r="D4635" s="1">
        <v>2023</v>
      </c>
    </row>
    <row r="4636" spans="1:4" x14ac:dyDescent="0.35">
      <c r="A4636" s="1" t="s">
        <v>1672</v>
      </c>
      <c r="B4636" s="1" t="s">
        <v>1687</v>
      </c>
      <c r="C4636" s="2">
        <v>20</v>
      </c>
      <c r="D4636" s="1">
        <v>2024</v>
      </c>
    </row>
    <row r="4637" spans="1:4" x14ac:dyDescent="0.35">
      <c r="A4637" s="1" t="s">
        <v>1672</v>
      </c>
      <c r="B4637" s="1" t="s">
        <v>1687</v>
      </c>
      <c r="C4637" s="2">
        <v>2</v>
      </c>
      <c r="D4637" s="1">
        <v>2022</v>
      </c>
    </row>
    <row r="4638" spans="1:4" x14ac:dyDescent="0.35">
      <c r="A4638" s="1" t="s">
        <v>1672</v>
      </c>
      <c r="B4638" s="1" t="s">
        <v>1687</v>
      </c>
      <c r="C4638" s="2">
        <v>2</v>
      </c>
      <c r="D4638" s="1">
        <v>2023</v>
      </c>
    </row>
    <row r="4639" spans="1:4" x14ac:dyDescent="0.35">
      <c r="A4639" s="1" t="s">
        <v>1672</v>
      </c>
      <c r="B4639" s="1" t="s">
        <v>1687</v>
      </c>
      <c r="C4639" s="2">
        <v>3</v>
      </c>
      <c r="D4639" s="1">
        <v>2024</v>
      </c>
    </row>
    <row r="4640" spans="1:4" x14ac:dyDescent="0.35">
      <c r="A4640" s="1" t="s">
        <v>1673</v>
      </c>
      <c r="B4640" s="1" t="s">
        <v>1678</v>
      </c>
      <c r="C4640" s="2">
        <v>1</v>
      </c>
      <c r="D4640" s="1">
        <v>2023</v>
      </c>
    </row>
    <row r="4641" spans="1:4" x14ac:dyDescent="0.35">
      <c r="A4641" s="1" t="s">
        <v>1673</v>
      </c>
      <c r="B4641" s="1" t="s">
        <v>1682</v>
      </c>
      <c r="C4641" s="2">
        <v>3</v>
      </c>
      <c r="D4641" s="1">
        <v>2023</v>
      </c>
    </row>
    <row r="4642" spans="1:4" x14ac:dyDescent="0.35">
      <c r="A4642" s="1" t="s">
        <v>1673</v>
      </c>
      <c r="B4642" s="1" t="s">
        <v>1683</v>
      </c>
      <c r="C4642" s="2">
        <v>48</v>
      </c>
      <c r="D4642" s="1">
        <v>2025</v>
      </c>
    </row>
    <row r="4643" spans="1:4" x14ac:dyDescent="0.35">
      <c r="A4643" s="1" t="s">
        <v>1673</v>
      </c>
      <c r="B4643" s="1" t="s">
        <v>1685</v>
      </c>
      <c r="C4643" s="2">
        <v>51</v>
      </c>
      <c r="D4643" s="1">
        <v>2025</v>
      </c>
    </row>
    <row r="4644" spans="1:4" x14ac:dyDescent="0.35">
      <c r="A4644" s="1" t="s">
        <v>1673</v>
      </c>
      <c r="B4644" s="1" t="s">
        <v>1677</v>
      </c>
      <c r="C4644" s="2">
        <v>27</v>
      </c>
      <c r="D4644" s="1">
        <v>2023</v>
      </c>
    </row>
    <row r="4645" spans="1:4" x14ac:dyDescent="0.35">
      <c r="A4645" s="1" t="s">
        <v>1673</v>
      </c>
      <c r="B4645" s="1" t="s">
        <v>1677</v>
      </c>
      <c r="C4645" s="2">
        <v>27</v>
      </c>
      <c r="D4645" s="1">
        <v>2024</v>
      </c>
    </row>
    <row r="4646" spans="1:4" x14ac:dyDescent="0.35">
      <c r="A4646" s="1" t="s">
        <v>1673</v>
      </c>
      <c r="B4646" s="1" t="s">
        <v>1677</v>
      </c>
      <c r="C4646" s="2">
        <v>50</v>
      </c>
      <c r="D4646" s="1">
        <v>2025</v>
      </c>
    </row>
    <row r="4647" spans="1:4" x14ac:dyDescent="0.35">
      <c r="A4647" s="1" t="s">
        <v>1673</v>
      </c>
      <c r="B4647" s="1" t="s">
        <v>1678</v>
      </c>
      <c r="C4647" s="2">
        <v>22</v>
      </c>
      <c r="D4647" s="1">
        <v>2022</v>
      </c>
    </row>
    <row r="4648" spans="1:4" x14ac:dyDescent="0.35">
      <c r="A4648" s="1" t="s">
        <v>1673</v>
      </c>
      <c r="B4648" s="1" t="s">
        <v>1678</v>
      </c>
      <c r="C4648" s="2">
        <v>28</v>
      </c>
      <c r="D4648" s="1">
        <v>2023</v>
      </c>
    </row>
    <row r="4649" spans="1:4" x14ac:dyDescent="0.35">
      <c r="A4649" s="1" t="s">
        <v>1673</v>
      </c>
      <c r="B4649" s="1" t="s">
        <v>1678</v>
      </c>
      <c r="C4649" s="2">
        <v>31</v>
      </c>
      <c r="D4649" s="1">
        <v>2024</v>
      </c>
    </row>
    <row r="4650" spans="1:4" x14ac:dyDescent="0.35">
      <c r="A4650" s="1" t="s">
        <v>1673</v>
      </c>
      <c r="B4650" s="1" t="s">
        <v>1679</v>
      </c>
      <c r="C4650" s="2">
        <v>30</v>
      </c>
      <c r="D4650" s="1">
        <v>2022</v>
      </c>
    </row>
    <row r="4651" spans="1:4" x14ac:dyDescent="0.35">
      <c r="A4651" s="1" t="s">
        <v>1673</v>
      </c>
      <c r="B4651" s="1" t="s">
        <v>1679</v>
      </c>
      <c r="C4651" s="2">
        <v>31</v>
      </c>
      <c r="D4651" s="1">
        <v>2023</v>
      </c>
    </row>
    <row r="4652" spans="1:4" x14ac:dyDescent="0.35">
      <c r="A4652" s="1" t="s">
        <v>1673</v>
      </c>
      <c r="B4652" s="1" t="s">
        <v>1679</v>
      </c>
      <c r="C4652" s="2">
        <v>39</v>
      </c>
      <c r="D4652" s="1">
        <v>2024</v>
      </c>
    </row>
    <row r="4653" spans="1:4" x14ac:dyDescent="0.35">
      <c r="A4653" s="1" t="s">
        <v>1673</v>
      </c>
      <c r="B4653" s="1" t="s">
        <v>1680</v>
      </c>
      <c r="C4653" s="2">
        <v>28</v>
      </c>
      <c r="D4653" s="1">
        <v>2023</v>
      </c>
    </row>
    <row r="4654" spans="1:4" x14ac:dyDescent="0.35">
      <c r="A4654" s="1" t="s">
        <v>1673</v>
      </c>
      <c r="B4654" s="1" t="s">
        <v>1680</v>
      </c>
      <c r="C4654" s="2">
        <v>47</v>
      </c>
      <c r="D4654" s="1">
        <v>2025</v>
      </c>
    </row>
    <row r="4655" spans="1:4" x14ac:dyDescent="0.35">
      <c r="A4655" s="1" t="s">
        <v>1673</v>
      </c>
      <c r="B4655" s="1" t="s">
        <v>1681</v>
      </c>
      <c r="C4655" s="2">
        <v>61</v>
      </c>
      <c r="D4655" s="1">
        <v>2024</v>
      </c>
    </row>
    <row r="4656" spans="1:4" x14ac:dyDescent="0.35">
      <c r="A4656" s="1" t="s">
        <v>1673</v>
      </c>
      <c r="B4656" s="1" t="s">
        <v>1681</v>
      </c>
      <c r="C4656" s="2">
        <v>36</v>
      </c>
      <c r="D4656" s="1">
        <v>2025</v>
      </c>
    </row>
    <row r="4657" spans="1:4" x14ac:dyDescent="0.35">
      <c r="A4657" s="1" t="s">
        <v>1673</v>
      </c>
      <c r="B4657" s="1" t="s">
        <v>1681</v>
      </c>
      <c r="C4657" s="2">
        <v>12</v>
      </c>
      <c r="D4657" s="1">
        <v>2023</v>
      </c>
    </row>
    <row r="4658" spans="1:4" x14ac:dyDescent="0.35">
      <c r="A4658" s="1" t="s">
        <v>1673</v>
      </c>
      <c r="B4658" s="1" t="s">
        <v>1682</v>
      </c>
      <c r="C4658" s="2">
        <v>24</v>
      </c>
      <c r="D4658" s="1">
        <v>2022</v>
      </c>
    </row>
    <row r="4659" spans="1:4" x14ac:dyDescent="0.35">
      <c r="A4659" s="1" t="s">
        <v>1673</v>
      </c>
      <c r="B4659" s="1" t="s">
        <v>1682</v>
      </c>
      <c r="C4659" s="2">
        <v>26</v>
      </c>
      <c r="D4659" s="1">
        <v>2023</v>
      </c>
    </row>
    <row r="4660" spans="1:4" x14ac:dyDescent="0.35">
      <c r="A4660" s="1" t="s">
        <v>1673</v>
      </c>
      <c r="B4660" s="1" t="s">
        <v>1682</v>
      </c>
      <c r="C4660" s="2">
        <v>31</v>
      </c>
      <c r="D4660" s="1">
        <v>2024</v>
      </c>
    </row>
    <row r="4661" spans="1:4" x14ac:dyDescent="0.35">
      <c r="A4661" s="1" t="s">
        <v>1673</v>
      </c>
      <c r="B4661" s="1" t="s">
        <v>1683</v>
      </c>
      <c r="C4661" s="2">
        <v>29</v>
      </c>
      <c r="D4661" s="1">
        <v>2023</v>
      </c>
    </row>
    <row r="4662" spans="1:4" x14ac:dyDescent="0.35">
      <c r="A4662" s="1" t="s">
        <v>1673</v>
      </c>
      <c r="B4662" s="1" t="s">
        <v>1683</v>
      </c>
      <c r="C4662" s="2">
        <v>35</v>
      </c>
      <c r="D4662" s="1">
        <v>2024</v>
      </c>
    </row>
    <row r="4663" spans="1:4" x14ac:dyDescent="0.35">
      <c r="A4663" s="1" t="s">
        <v>1673</v>
      </c>
      <c r="B4663" s="1" t="s">
        <v>1684</v>
      </c>
      <c r="C4663" s="2">
        <v>62</v>
      </c>
      <c r="D4663" s="1">
        <v>2023</v>
      </c>
    </row>
    <row r="4664" spans="1:4" x14ac:dyDescent="0.35">
      <c r="A4664" s="1" t="s">
        <v>1673</v>
      </c>
      <c r="B4664" s="1" t="s">
        <v>1684</v>
      </c>
      <c r="C4664" s="2">
        <v>64</v>
      </c>
      <c r="D4664" s="1">
        <v>2024</v>
      </c>
    </row>
    <row r="4665" spans="1:4" x14ac:dyDescent="0.35">
      <c r="A4665" s="1" t="s">
        <v>1673</v>
      </c>
      <c r="B4665" s="1" t="s">
        <v>1684</v>
      </c>
      <c r="C4665" s="2">
        <v>46</v>
      </c>
      <c r="D4665" s="1">
        <v>2025</v>
      </c>
    </row>
    <row r="4666" spans="1:4" x14ac:dyDescent="0.35">
      <c r="A4666" s="1" t="s">
        <v>1673</v>
      </c>
      <c r="B4666" s="1" t="s">
        <v>1685</v>
      </c>
      <c r="C4666" s="2">
        <v>27</v>
      </c>
      <c r="D4666" s="1">
        <v>2023</v>
      </c>
    </row>
    <row r="4667" spans="1:4" x14ac:dyDescent="0.35">
      <c r="A4667" s="1" t="s">
        <v>1673</v>
      </c>
      <c r="B4667" s="1" t="s">
        <v>1685</v>
      </c>
      <c r="C4667" s="2">
        <v>28</v>
      </c>
      <c r="D4667" s="1">
        <v>2024</v>
      </c>
    </row>
    <row r="4668" spans="1:4" x14ac:dyDescent="0.35">
      <c r="A4668" s="1" t="s">
        <v>1673</v>
      </c>
      <c r="B4668" s="1" t="s">
        <v>1688</v>
      </c>
      <c r="C4668" s="2">
        <v>32</v>
      </c>
      <c r="D4668" s="1">
        <v>2022</v>
      </c>
    </row>
    <row r="4669" spans="1:4" x14ac:dyDescent="0.35">
      <c r="A4669" s="1" t="s">
        <v>1673</v>
      </c>
      <c r="B4669" s="1" t="s">
        <v>1688</v>
      </c>
      <c r="C4669" s="2">
        <v>29</v>
      </c>
      <c r="D4669" s="1">
        <v>2023</v>
      </c>
    </row>
    <row r="4670" spans="1:4" x14ac:dyDescent="0.35">
      <c r="A4670" s="1" t="s">
        <v>1673</v>
      </c>
      <c r="B4670" s="1" t="s">
        <v>1688</v>
      </c>
      <c r="C4670" s="2">
        <v>11</v>
      </c>
      <c r="D4670" s="1">
        <v>2024</v>
      </c>
    </row>
    <row r="4671" spans="1:4" x14ac:dyDescent="0.35">
      <c r="A4671" s="1" t="s">
        <v>1673</v>
      </c>
      <c r="B4671" s="1" t="s">
        <v>1686</v>
      </c>
      <c r="C4671" s="2">
        <v>19</v>
      </c>
      <c r="D4671" s="1">
        <v>2022</v>
      </c>
    </row>
    <row r="4672" spans="1:4" x14ac:dyDescent="0.35">
      <c r="A4672" s="1" t="s">
        <v>1673</v>
      </c>
      <c r="B4672" s="1" t="s">
        <v>1686</v>
      </c>
      <c r="C4672" s="2">
        <v>29</v>
      </c>
      <c r="D4672" s="1">
        <v>2023</v>
      </c>
    </row>
    <row r="4673" spans="1:4" x14ac:dyDescent="0.35">
      <c r="A4673" s="1" t="s">
        <v>1673</v>
      </c>
      <c r="B4673" s="1" t="s">
        <v>1686</v>
      </c>
      <c r="C4673" s="2">
        <v>58</v>
      </c>
      <c r="D4673" s="1">
        <v>2024</v>
      </c>
    </row>
    <row r="4674" spans="1:4" x14ac:dyDescent="0.35">
      <c r="A4674" s="1" t="s">
        <v>1673</v>
      </c>
      <c r="B4674" s="1" t="s">
        <v>1687</v>
      </c>
      <c r="C4674" s="2">
        <v>25</v>
      </c>
      <c r="D4674" s="1">
        <v>2022</v>
      </c>
    </row>
    <row r="4675" spans="1:4" x14ac:dyDescent="0.35">
      <c r="A4675" s="1" t="s">
        <v>1673</v>
      </c>
      <c r="B4675" s="1" t="s">
        <v>1687</v>
      </c>
      <c r="C4675" s="2">
        <v>29</v>
      </c>
      <c r="D4675" s="1">
        <v>2023</v>
      </c>
    </row>
    <row r="4676" spans="1:4" x14ac:dyDescent="0.35">
      <c r="A4676" s="1" t="s">
        <v>1673</v>
      </c>
      <c r="B4676" s="1" t="s">
        <v>1687</v>
      </c>
      <c r="C4676" s="2">
        <v>32</v>
      </c>
      <c r="D4676" s="1">
        <v>2024</v>
      </c>
    </row>
    <row r="4677" spans="1:4" x14ac:dyDescent="0.35">
      <c r="A4677" s="1" t="s">
        <v>1674</v>
      </c>
      <c r="B4677" s="1" t="s">
        <v>1677</v>
      </c>
      <c r="C4677" s="2">
        <v>2</v>
      </c>
      <c r="D4677" s="1">
        <v>2023</v>
      </c>
    </row>
    <row r="4678" spans="1:4" x14ac:dyDescent="0.35">
      <c r="A4678" s="1" t="s">
        <v>1674</v>
      </c>
      <c r="B4678" s="1" t="s">
        <v>1677</v>
      </c>
      <c r="C4678" s="2">
        <v>2</v>
      </c>
      <c r="D4678" s="1">
        <v>2025</v>
      </c>
    </row>
    <row r="4679" spans="1:4" x14ac:dyDescent="0.35">
      <c r="A4679" s="1" t="s">
        <v>1674</v>
      </c>
      <c r="B4679" s="1" t="s">
        <v>1678</v>
      </c>
      <c r="C4679" s="2">
        <v>1</v>
      </c>
      <c r="D4679" s="1">
        <v>2023</v>
      </c>
    </row>
    <row r="4680" spans="1:4" x14ac:dyDescent="0.35">
      <c r="A4680" s="1" t="s">
        <v>1674</v>
      </c>
      <c r="B4680" s="1" t="s">
        <v>1680</v>
      </c>
      <c r="C4680" s="2">
        <v>2</v>
      </c>
      <c r="D4680" s="1">
        <v>2023</v>
      </c>
    </row>
    <row r="4681" spans="1:4" x14ac:dyDescent="0.35">
      <c r="A4681" s="1" t="s">
        <v>1674</v>
      </c>
      <c r="B4681" s="1" t="s">
        <v>1680</v>
      </c>
      <c r="C4681" s="2">
        <v>2</v>
      </c>
      <c r="D4681" s="1">
        <v>2024</v>
      </c>
    </row>
    <row r="4682" spans="1:4" x14ac:dyDescent="0.35">
      <c r="A4682" s="1" t="s">
        <v>1674</v>
      </c>
      <c r="B4682" s="1" t="s">
        <v>1680</v>
      </c>
      <c r="C4682" s="2">
        <v>2</v>
      </c>
      <c r="D4682" s="1">
        <v>2025</v>
      </c>
    </row>
    <row r="4683" spans="1:4" x14ac:dyDescent="0.35">
      <c r="A4683" s="1" t="s">
        <v>1674</v>
      </c>
      <c r="B4683" s="1" t="s">
        <v>1680</v>
      </c>
      <c r="C4683" s="2">
        <v>1</v>
      </c>
      <c r="D4683" s="1">
        <v>2024</v>
      </c>
    </row>
    <row r="4684" spans="1:4" x14ac:dyDescent="0.35">
      <c r="A4684" s="1" t="s">
        <v>1674</v>
      </c>
      <c r="B4684" s="1" t="s">
        <v>1681</v>
      </c>
      <c r="C4684" s="2">
        <v>2</v>
      </c>
      <c r="D4684" s="1">
        <v>2023</v>
      </c>
    </row>
    <row r="4685" spans="1:4" x14ac:dyDescent="0.35">
      <c r="A4685" s="1" t="s">
        <v>1674</v>
      </c>
      <c r="B4685" s="1" t="s">
        <v>1681</v>
      </c>
      <c r="C4685" s="2">
        <v>2</v>
      </c>
      <c r="D4685" s="1">
        <v>2024</v>
      </c>
    </row>
    <row r="4686" spans="1:4" x14ac:dyDescent="0.35">
      <c r="A4686" s="1" t="s">
        <v>1674</v>
      </c>
      <c r="B4686" s="1" t="s">
        <v>1681</v>
      </c>
      <c r="C4686" s="2">
        <v>2</v>
      </c>
      <c r="D4686" s="1">
        <v>2025</v>
      </c>
    </row>
    <row r="4687" spans="1:4" x14ac:dyDescent="0.35">
      <c r="A4687" s="1" t="s">
        <v>1674</v>
      </c>
      <c r="B4687" s="1" t="s">
        <v>1682</v>
      </c>
      <c r="C4687" s="2">
        <v>2</v>
      </c>
      <c r="D4687" s="1">
        <v>2024</v>
      </c>
    </row>
    <row r="4688" spans="1:4" x14ac:dyDescent="0.35">
      <c r="A4688" s="1" t="s">
        <v>1674</v>
      </c>
      <c r="B4688" s="1" t="s">
        <v>1683</v>
      </c>
      <c r="C4688" s="2">
        <v>1</v>
      </c>
      <c r="D4688" s="1">
        <v>2023</v>
      </c>
    </row>
    <row r="4689" spans="1:4" x14ac:dyDescent="0.35">
      <c r="A4689" s="1" t="s">
        <v>1674</v>
      </c>
      <c r="B4689" s="1" t="s">
        <v>1684</v>
      </c>
      <c r="C4689" s="2">
        <v>2</v>
      </c>
      <c r="D4689" s="1">
        <v>2024</v>
      </c>
    </row>
    <row r="4690" spans="1:4" x14ac:dyDescent="0.35">
      <c r="A4690" s="1" t="s">
        <v>1674</v>
      </c>
      <c r="B4690" s="1" t="s">
        <v>1685</v>
      </c>
      <c r="C4690" s="2">
        <v>2</v>
      </c>
      <c r="D4690" s="1">
        <v>2023</v>
      </c>
    </row>
    <row r="4691" spans="1:4" x14ac:dyDescent="0.35">
      <c r="A4691" s="1" t="s">
        <v>1674</v>
      </c>
      <c r="B4691" s="1" t="s">
        <v>1685</v>
      </c>
      <c r="C4691" s="2">
        <v>2</v>
      </c>
      <c r="D4691" s="1">
        <v>2024</v>
      </c>
    </row>
    <row r="4692" spans="1:4" x14ac:dyDescent="0.35">
      <c r="A4692" s="1" t="s">
        <v>1674</v>
      </c>
      <c r="B4692" s="1" t="s">
        <v>1685</v>
      </c>
      <c r="C4692" s="2">
        <v>2</v>
      </c>
      <c r="D4692" s="1">
        <v>2025</v>
      </c>
    </row>
    <row r="4693" spans="1:4" x14ac:dyDescent="0.35">
      <c r="A4693" s="1" t="s">
        <v>1674</v>
      </c>
      <c r="B4693" s="1" t="s">
        <v>1688</v>
      </c>
      <c r="C4693" s="2">
        <v>1</v>
      </c>
      <c r="D4693" s="1">
        <v>2022</v>
      </c>
    </row>
    <row r="4694" spans="1:4" x14ac:dyDescent="0.35">
      <c r="A4694" s="1" t="s">
        <v>1674</v>
      </c>
      <c r="B4694" s="1" t="s">
        <v>1688</v>
      </c>
      <c r="C4694" s="2">
        <v>2</v>
      </c>
      <c r="D4694" s="1">
        <v>2023</v>
      </c>
    </row>
    <row r="4695" spans="1:4" x14ac:dyDescent="0.35">
      <c r="A4695" s="1" t="s">
        <v>1674</v>
      </c>
      <c r="B4695" s="1" t="s">
        <v>1688</v>
      </c>
      <c r="C4695" s="2">
        <v>2</v>
      </c>
      <c r="D4695" s="1">
        <v>2024</v>
      </c>
    </row>
    <row r="4696" spans="1:4" x14ac:dyDescent="0.35">
      <c r="A4696" s="1" t="s">
        <v>1674</v>
      </c>
      <c r="B4696" s="1" t="s">
        <v>1686</v>
      </c>
      <c r="C4696" s="2">
        <v>2</v>
      </c>
      <c r="D4696" s="1">
        <v>2022</v>
      </c>
    </row>
    <row r="4697" spans="1:4" x14ac:dyDescent="0.35">
      <c r="A4697" s="1" t="s">
        <v>1674</v>
      </c>
      <c r="B4697" s="1" t="s">
        <v>1686</v>
      </c>
      <c r="C4697" s="2">
        <v>2</v>
      </c>
      <c r="D4697" s="1">
        <v>2023</v>
      </c>
    </row>
    <row r="4698" spans="1:4" x14ac:dyDescent="0.35">
      <c r="A4698" s="1" t="s">
        <v>1674</v>
      </c>
      <c r="B4698" s="1" t="s">
        <v>1686</v>
      </c>
      <c r="C4698" s="2">
        <v>2</v>
      </c>
      <c r="D4698" s="1">
        <v>2024</v>
      </c>
    </row>
    <row r="4699" spans="1:4" x14ac:dyDescent="0.35">
      <c r="A4699" s="1" t="s">
        <v>1674</v>
      </c>
      <c r="B4699" s="1" t="s">
        <v>1687</v>
      </c>
      <c r="C4699" s="2">
        <v>2</v>
      </c>
      <c r="D4699" s="1">
        <v>2022</v>
      </c>
    </row>
    <row r="4700" spans="1:4" x14ac:dyDescent="0.35">
      <c r="A4700" s="1" t="s">
        <v>1674</v>
      </c>
      <c r="B4700" s="1" t="s">
        <v>1687</v>
      </c>
      <c r="C4700" s="2">
        <v>2</v>
      </c>
      <c r="D4700" s="1">
        <v>2024</v>
      </c>
    </row>
    <row r="4701" spans="1:4" x14ac:dyDescent="0.35">
      <c r="A4701" s="1" t="s">
        <v>1675</v>
      </c>
      <c r="B4701" s="1" t="s">
        <v>1677</v>
      </c>
      <c r="C4701" s="2">
        <v>3</v>
      </c>
      <c r="D4701" s="1">
        <v>2024</v>
      </c>
    </row>
    <row r="4702" spans="1:4" x14ac:dyDescent="0.35">
      <c r="A4702" s="1" t="s">
        <v>1675</v>
      </c>
      <c r="B4702" s="1" t="s">
        <v>1677</v>
      </c>
      <c r="C4702" s="2">
        <v>3</v>
      </c>
      <c r="D4702" s="1">
        <v>2025</v>
      </c>
    </row>
    <row r="4703" spans="1:4" x14ac:dyDescent="0.35">
      <c r="A4703" s="1" t="s">
        <v>1675</v>
      </c>
      <c r="B4703" s="1" t="s">
        <v>1678</v>
      </c>
      <c r="C4703" s="2">
        <v>4</v>
      </c>
      <c r="D4703" s="1">
        <v>2024</v>
      </c>
    </row>
    <row r="4704" spans="1:4" x14ac:dyDescent="0.35">
      <c r="A4704" s="1" t="s">
        <v>1675</v>
      </c>
      <c r="B4704" s="1" t="s">
        <v>1679</v>
      </c>
      <c r="C4704" s="2">
        <v>4</v>
      </c>
      <c r="D4704" s="1">
        <v>2023</v>
      </c>
    </row>
    <row r="4705" spans="1:4" x14ac:dyDescent="0.35">
      <c r="A4705" s="1" t="s">
        <v>1675</v>
      </c>
      <c r="B4705" s="1" t="s">
        <v>1679</v>
      </c>
      <c r="C4705" s="2">
        <v>7</v>
      </c>
      <c r="D4705" s="1">
        <v>2024</v>
      </c>
    </row>
    <row r="4706" spans="1:4" x14ac:dyDescent="0.35">
      <c r="A4706" s="1" t="s">
        <v>1675</v>
      </c>
      <c r="B4706" s="1" t="s">
        <v>1680</v>
      </c>
      <c r="C4706" s="2">
        <v>4</v>
      </c>
      <c r="D4706" s="1">
        <v>2024</v>
      </c>
    </row>
    <row r="4707" spans="1:4" x14ac:dyDescent="0.35">
      <c r="A4707" s="1" t="s">
        <v>1675</v>
      </c>
      <c r="B4707" s="1" t="s">
        <v>1680</v>
      </c>
      <c r="C4707" s="2">
        <v>3</v>
      </c>
      <c r="D4707" s="1">
        <v>2025</v>
      </c>
    </row>
    <row r="4708" spans="1:4" x14ac:dyDescent="0.35">
      <c r="A4708" s="1" t="s">
        <v>1675</v>
      </c>
      <c r="B4708" s="1" t="s">
        <v>1681</v>
      </c>
      <c r="C4708" s="2">
        <v>4</v>
      </c>
      <c r="D4708" s="1">
        <v>2024</v>
      </c>
    </row>
    <row r="4709" spans="1:4" x14ac:dyDescent="0.35">
      <c r="A4709" s="1" t="s">
        <v>1675</v>
      </c>
      <c r="B4709" s="1" t="s">
        <v>1681</v>
      </c>
      <c r="C4709" s="2">
        <v>3</v>
      </c>
      <c r="D4709" s="1">
        <v>2025</v>
      </c>
    </row>
    <row r="4710" spans="1:4" x14ac:dyDescent="0.35">
      <c r="A4710" s="1" t="s">
        <v>1675</v>
      </c>
      <c r="B4710" s="1" t="s">
        <v>1682</v>
      </c>
      <c r="C4710" s="2">
        <v>1</v>
      </c>
      <c r="D4710" s="1">
        <v>2022</v>
      </c>
    </row>
    <row r="4711" spans="1:4" x14ac:dyDescent="0.35">
      <c r="A4711" s="1" t="s">
        <v>1675</v>
      </c>
      <c r="B4711" s="1" t="s">
        <v>1682</v>
      </c>
      <c r="C4711" s="2">
        <v>3</v>
      </c>
      <c r="D4711" s="1">
        <v>2024</v>
      </c>
    </row>
    <row r="4712" spans="1:4" x14ac:dyDescent="0.35">
      <c r="A4712" s="1" t="s">
        <v>1675</v>
      </c>
      <c r="B4712" s="1" t="s">
        <v>1683</v>
      </c>
      <c r="C4712" s="2">
        <v>3</v>
      </c>
      <c r="D4712" s="1">
        <v>2024</v>
      </c>
    </row>
    <row r="4713" spans="1:4" x14ac:dyDescent="0.35">
      <c r="A4713" s="1" t="s">
        <v>1675</v>
      </c>
      <c r="B4713" s="1" t="s">
        <v>1683</v>
      </c>
      <c r="C4713" s="2">
        <v>3</v>
      </c>
      <c r="D4713" s="1">
        <v>2025</v>
      </c>
    </row>
    <row r="4714" spans="1:4" x14ac:dyDescent="0.35">
      <c r="A4714" s="1" t="s">
        <v>1675</v>
      </c>
      <c r="B4714" s="1" t="s">
        <v>1684</v>
      </c>
      <c r="C4714" s="2">
        <v>2</v>
      </c>
      <c r="D4714" s="1">
        <v>2024</v>
      </c>
    </row>
    <row r="4715" spans="1:4" x14ac:dyDescent="0.35">
      <c r="A4715" s="1" t="s">
        <v>1675</v>
      </c>
      <c r="B4715" s="1" t="s">
        <v>1684</v>
      </c>
      <c r="C4715" s="2">
        <v>3</v>
      </c>
      <c r="D4715" s="1">
        <v>2025</v>
      </c>
    </row>
    <row r="4716" spans="1:4" x14ac:dyDescent="0.35">
      <c r="A4716" s="1" t="s">
        <v>1675</v>
      </c>
      <c r="B4716" s="1" t="s">
        <v>1685</v>
      </c>
      <c r="C4716" s="2">
        <v>3</v>
      </c>
      <c r="D4716" s="1">
        <v>2024</v>
      </c>
    </row>
    <row r="4717" spans="1:4" x14ac:dyDescent="0.35">
      <c r="A4717" s="1" t="s">
        <v>1675</v>
      </c>
      <c r="B4717" s="1" t="s">
        <v>1685</v>
      </c>
      <c r="C4717" s="2">
        <v>3</v>
      </c>
      <c r="D4717" s="1">
        <v>2025</v>
      </c>
    </row>
    <row r="4718" spans="1:4" x14ac:dyDescent="0.35">
      <c r="A4718" s="1" t="s">
        <v>1675</v>
      </c>
      <c r="B4718" s="1" t="s">
        <v>1688</v>
      </c>
      <c r="C4718" s="2">
        <v>2</v>
      </c>
      <c r="D4718" s="1">
        <v>2023</v>
      </c>
    </row>
    <row r="4719" spans="1:4" x14ac:dyDescent="0.35">
      <c r="A4719" s="1" t="s">
        <v>1675</v>
      </c>
      <c r="B4719" s="1" t="s">
        <v>1688</v>
      </c>
      <c r="C4719" s="2">
        <v>1</v>
      </c>
      <c r="D4719" s="1">
        <v>2024</v>
      </c>
    </row>
    <row r="4720" spans="1:4" x14ac:dyDescent="0.35">
      <c r="A4720" s="1" t="s">
        <v>1675</v>
      </c>
      <c r="B4720" s="1" t="s">
        <v>1686</v>
      </c>
      <c r="C4720" s="2">
        <v>2</v>
      </c>
      <c r="D4720" s="1">
        <v>2023</v>
      </c>
    </row>
    <row r="4721" spans="1:4" x14ac:dyDescent="0.35">
      <c r="A4721" s="1" t="s">
        <v>1675</v>
      </c>
      <c r="B4721" s="1" t="s">
        <v>1686</v>
      </c>
      <c r="C4721" s="2">
        <v>7</v>
      </c>
      <c r="D4721" s="1">
        <v>2024</v>
      </c>
    </row>
    <row r="4722" spans="1:4" x14ac:dyDescent="0.35">
      <c r="A4722" s="1" t="s">
        <v>1675</v>
      </c>
      <c r="B4722" s="1" t="s">
        <v>1687</v>
      </c>
      <c r="C4722" s="2">
        <v>1</v>
      </c>
      <c r="D4722" s="1">
        <v>2023</v>
      </c>
    </row>
    <row r="4723" spans="1:4" x14ac:dyDescent="0.35">
      <c r="A4723" s="1" t="s">
        <v>1675</v>
      </c>
      <c r="B4723" s="1" t="s">
        <v>1687</v>
      </c>
      <c r="C4723" s="2">
        <v>4</v>
      </c>
      <c r="D4723" s="1">
        <v>2024</v>
      </c>
    </row>
    <row r="4724" spans="1:4" x14ac:dyDescent="0.35">
      <c r="A4724" s="1" t="s">
        <v>1676</v>
      </c>
      <c r="B4724" s="1" t="s">
        <v>1677</v>
      </c>
      <c r="C4724" s="2">
        <v>6</v>
      </c>
      <c r="D4724" s="1">
        <v>2023</v>
      </c>
    </row>
    <row r="4725" spans="1:4" x14ac:dyDescent="0.35">
      <c r="A4725" s="1" t="s">
        <v>1676</v>
      </c>
      <c r="B4725" s="1" t="s">
        <v>1677</v>
      </c>
      <c r="C4725" s="2">
        <v>10</v>
      </c>
      <c r="D4725" s="1">
        <v>2024</v>
      </c>
    </row>
    <row r="4726" spans="1:4" x14ac:dyDescent="0.35">
      <c r="A4726" s="1" t="s">
        <v>1676</v>
      </c>
      <c r="B4726" s="1" t="s">
        <v>1677</v>
      </c>
      <c r="C4726" s="2">
        <v>9</v>
      </c>
      <c r="D4726" s="1">
        <v>2025</v>
      </c>
    </row>
    <row r="4727" spans="1:4" x14ac:dyDescent="0.35">
      <c r="A4727" s="1" t="s">
        <v>1676</v>
      </c>
      <c r="B4727" s="1" t="s">
        <v>1677</v>
      </c>
      <c r="C4727" s="2">
        <v>2</v>
      </c>
      <c r="D4727" s="1">
        <v>2023</v>
      </c>
    </row>
    <row r="4728" spans="1:4" x14ac:dyDescent="0.35">
      <c r="A4728" s="1" t="s">
        <v>1676</v>
      </c>
      <c r="B4728" s="1" t="s">
        <v>1677</v>
      </c>
      <c r="C4728" s="2">
        <v>2</v>
      </c>
      <c r="D4728" s="1">
        <v>2024</v>
      </c>
    </row>
    <row r="4729" spans="1:4" x14ac:dyDescent="0.35">
      <c r="A4729" s="1" t="s">
        <v>1676</v>
      </c>
      <c r="B4729" s="1" t="s">
        <v>1677</v>
      </c>
      <c r="C4729" s="2">
        <v>2</v>
      </c>
      <c r="D4729" s="1">
        <v>2025</v>
      </c>
    </row>
    <row r="4730" spans="1:4" x14ac:dyDescent="0.35">
      <c r="A4730" s="1" t="s">
        <v>1676</v>
      </c>
      <c r="B4730" s="1" t="s">
        <v>1678</v>
      </c>
      <c r="C4730" s="2">
        <v>2</v>
      </c>
      <c r="D4730" s="1">
        <v>2022</v>
      </c>
    </row>
    <row r="4731" spans="1:4" x14ac:dyDescent="0.35">
      <c r="A4731" s="1" t="s">
        <v>1676</v>
      </c>
      <c r="B4731" s="1" t="s">
        <v>1678</v>
      </c>
      <c r="C4731" s="2">
        <v>6</v>
      </c>
      <c r="D4731" s="1">
        <v>2023</v>
      </c>
    </row>
    <row r="4732" spans="1:4" x14ac:dyDescent="0.35">
      <c r="A4732" s="1" t="s">
        <v>1676</v>
      </c>
      <c r="B4732" s="1" t="s">
        <v>1678</v>
      </c>
      <c r="C4732" s="2">
        <v>9</v>
      </c>
      <c r="D4732" s="1">
        <v>2024</v>
      </c>
    </row>
    <row r="4733" spans="1:4" x14ac:dyDescent="0.35">
      <c r="A4733" s="1" t="s">
        <v>1676</v>
      </c>
      <c r="B4733" s="1" t="s">
        <v>1678</v>
      </c>
      <c r="C4733" s="2">
        <v>1</v>
      </c>
      <c r="D4733" s="1">
        <v>2022</v>
      </c>
    </row>
    <row r="4734" spans="1:4" x14ac:dyDescent="0.35">
      <c r="A4734" s="1" t="s">
        <v>1676</v>
      </c>
      <c r="B4734" s="1" t="s">
        <v>1678</v>
      </c>
      <c r="C4734" s="2">
        <v>2</v>
      </c>
      <c r="D4734" s="1">
        <v>2023</v>
      </c>
    </row>
    <row r="4735" spans="1:4" x14ac:dyDescent="0.35">
      <c r="A4735" s="1" t="s">
        <v>1676</v>
      </c>
      <c r="B4735" s="1" t="s">
        <v>1678</v>
      </c>
      <c r="C4735" s="2">
        <v>2</v>
      </c>
      <c r="D4735" s="1">
        <v>2024</v>
      </c>
    </row>
    <row r="4736" spans="1:4" x14ac:dyDescent="0.35">
      <c r="A4736" s="1" t="s">
        <v>1676</v>
      </c>
      <c r="B4736" s="1" t="s">
        <v>1679</v>
      </c>
      <c r="C4736" s="2">
        <v>4</v>
      </c>
      <c r="D4736" s="1">
        <v>2022</v>
      </c>
    </row>
    <row r="4737" spans="1:4" x14ac:dyDescent="0.35">
      <c r="A4737" s="1" t="s">
        <v>1676</v>
      </c>
      <c r="B4737" s="1" t="s">
        <v>1679</v>
      </c>
      <c r="C4737" s="2">
        <v>7</v>
      </c>
      <c r="D4737" s="1">
        <v>2023</v>
      </c>
    </row>
    <row r="4738" spans="1:4" x14ac:dyDescent="0.35">
      <c r="A4738" s="1" t="s">
        <v>1676</v>
      </c>
      <c r="B4738" s="1" t="s">
        <v>1679</v>
      </c>
      <c r="C4738" s="2">
        <v>8</v>
      </c>
      <c r="D4738" s="1">
        <v>2024</v>
      </c>
    </row>
    <row r="4739" spans="1:4" x14ac:dyDescent="0.35">
      <c r="A4739" s="1" t="s">
        <v>1676</v>
      </c>
      <c r="B4739" s="1" t="s">
        <v>1679</v>
      </c>
      <c r="C4739" s="2">
        <v>2</v>
      </c>
      <c r="D4739" s="1">
        <v>2022</v>
      </c>
    </row>
    <row r="4740" spans="1:4" x14ac:dyDescent="0.35">
      <c r="A4740" s="1" t="s">
        <v>1676</v>
      </c>
      <c r="B4740" s="1" t="s">
        <v>1679</v>
      </c>
      <c r="C4740" s="2">
        <v>2</v>
      </c>
      <c r="D4740" s="1">
        <v>2023</v>
      </c>
    </row>
    <row r="4741" spans="1:4" x14ac:dyDescent="0.35">
      <c r="A4741" s="1" t="s">
        <v>1676</v>
      </c>
      <c r="B4741" s="1" t="s">
        <v>1679</v>
      </c>
      <c r="C4741" s="2">
        <v>2</v>
      </c>
      <c r="D4741" s="1">
        <v>2024</v>
      </c>
    </row>
    <row r="4742" spans="1:4" x14ac:dyDescent="0.35">
      <c r="A4742" s="1" t="s">
        <v>1676</v>
      </c>
      <c r="B4742" s="1" t="s">
        <v>1680</v>
      </c>
      <c r="C4742" s="2">
        <v>5</v>
      </c>
      <c r="D4742" s="1">
        <v>2023</v>
      </c>
    </row>
    <row r="4743" spans="1:4" x14ac:dyDescent="0.35">
      <c r="A4743" s="1" t="s">
        <v>1676</v>
      </c>
      <c r="B4743" s="1" t="s">
        <v>1680</v>
      </c>
      <c r="C4743" s="2">
        <v>6</v>
      </c>
      <c r="D4743" s="1">
        <v>2024</v>
      </c>
    </row>
    <row r="4744" spans="1:4" x14ac:dyDescent="0.35">
      <c r="A4744" s="1" t="s">
        <v>1676</v>
      </c>
      <c r="B4744" s="1" t="s">
        <v>1680</v>
      </c>
      <c r="C4744" s="2">
        <v>17</v>
      </c>
      <c r="D4744" s="1">
        <v>2025</v>
      </c>
    </row>
    <row r="4745" spans="1:4" x14ac:dyDescent="0.35">
      <c r="A4745" s="1" t="s">
        <v>1676</v>
      </c>
      <c r="B4745" s="1" t="s">
        <v>1680</v>
      </c>
      <c r="C4745" s="2">
        <v>2</v>
      </c>
      <c r="D4745" s="1">
        <v>2023</v>
      </c>
    </row>
    <row r="4746" spans="1:4" x14ac:dyDescent="0.35">
      <c r="A4746" s="1" t="s">
        <v>1676</v>
      </c>
      <c r="B4746" s="1" t="s">
        <v>1680</v>
      </c>
      <c r="C4746" s="2">
        <v>2</v>
      </c>
      <c r="D4746" s="1">
        <v>2024</v>
      </c>
    </row>
    <row r="4747" spans="1:4" x14ac:dyDescent="0.35">
      <c r="A4747" s="1" t="s">
        <v>1676</v>
      </c>
      <c r="B4747" s="1" t="s">
        <v>1680</v>
      </c>
      <c r="C4747" s="2">
        <v>4</v>
      </c>
      <c r="D4747" s="1">
        <v>2025</v>
      </c>
    </row>
    <row r="4748" spans="1:4" x14ac:dyDescent="0.35">
      <c r="A4748" s="1" t="s">
        <v>1676</v>
      </c>
      <c r="B4748" s="1" t="s">
        <v>1681</v>
      </c>
      <c r="C4748" s="2">
        <v>7</v>
      </c>
      <c r="D4748" s="1">
        <v>2024</v>
      </c>
    </row>
    <row r="4749" spans="1:4" x14ac:dyDescent="0.35">
      <c r="A4749" s="1" t="s">
        <v>1676</v>
      </c>
      <c r="B4749" s="1" t="s">
        <v>1681</v>
      </c>
      <c r="C4749" s="2">
        <v>7</v>
      </c>
      <c r="D4749" s="1">
        <v>2025</v>
      </c>
    </row>
    <row r="4750" spans="1:4" x14ac:dyDescent="0.35">
      <c r="A4750" s="1" t="s">
        <v>1676</v>
      </c>
      <c r="B4750" s="1" t="s">
        <v>1681</v>
      </c>
      <c r="C4750" s="2">
        <v>2</v>
      </c>
      <c r="D4750" s="1">
        <v>2023</v>
      </c>
    </row>
    <row r="4751" spans="1:4" x14ac:dyDescent="0.35">
      <c r="A4751" s="1" t="s">
        <v>1676</v>
      </c>
      <c r="B4751" s="1" t="s">
        <v>1681</v>
      </c>
      <c r="C4751" s="2">
        <v>2</v>
      </c>
      <c r="D4751" s="1">
        <v>2024</v>
      </c>
    </row>
    <row r="4752" spans="1:4" x14ac:dyDescent="0.35">
      <c r="A4752" s="1" t="s">
        <v>1676</v>
      </c>
      <c r="B4752" s="1" t="s">
        <v>1681</v>
      </c>
      <c r="C4752" s="2">
        <v>2</v>
      </c>
      <c r="D4752" s="1">
        <v>2025</v>
      </c>
    </row>
    <row r="4753" spans="1:4" x14ac:dyDescent="0.35">
      <c r="A4753" s="1" t="s">
        <v>1676</v>
      </c>
      <c r="B4753" s="1" t="s">
        <v>1682</v>
      </c>
      <c r="C4753" s="2">
        <v>6</v>
      </c>
      <c r="D4753" s="1">
        <v>2022</v>
      </c>
    </row>
    <row r="4754" spans="1:4" x14ac:dyDescent="0.35">
      <c r="A4754" s="1" t="s">
        <v>1676</v>
      </c>
      <c r="B4754" s="1" t="s">
        <v>1682</v>
      </c>
      <c r="C4754" s="2">
        <v>6</v>
      </c>
      <c r="D4754" s="1">
        <v>2023</v>
      </c>
    </row>
    <row r="4755" spans="1:4" x14ac:dyDescent="0.35">
      <c r="A4755" s="1" t="s">
        <v>1676</v>
      </c>
      <c r="B4755" s="1" t="s">
        <v>1682</v>
      </c>
      <c r="C4755" s="2">
        <v>6</v>
      </c>
      <c r="D4755" s="1">
        <v>2024</v>
      </c>
    </row>
    <row r="4756" spans="1:4" x14ac:dyDescent="0.35">
      <c r="A4756" s="1" t="s">
        <v>1676</v>
      </c>
      <c r="B4756" s="1" t="s">
        <v>1682</v>
      </c>
      <c r="C4756" s="2">
        <v>1</v>
      </c>
      <c r="D4756" s="1">
        <v>2022</v>
      </c>
    </row>
    <row r="4757" spans="1:4" x14ac:dyDescent="0.35">
      <c r="A4757" s="1" t="s">
        <v>1676</v>
      </c>
      <c r="B4757" s="1" t="s">
        <v>1682</v>
      </c>
      <c r="C4757" s="2">
        <v>2</v>
      </c>
      <c r="D4757" s="1">
        <v>2023</v>
      </c>
    </row>
    <row r="4758" spans="1:4" x14ac:dyDescent="0.35">
      <c r="A4758" s="1" t="s">
        <v>1676</v>
      </c>
      <c r="B4758" s="1" t="s">
        <v>1682</v>
      </c>
      <c r="C4758" s="2">
        <v>2</v>
      </c>
      <c r="D4758" s="1">
        <v>2024</v>
      </c>
    </row>
    <row r="4759" spans="1:4" x14ac:dyDescent="0.35">
      <c r="A4759" s="1" t="s">
        <v>1676</v>
      </c>
      <c r="B4759" s="1" t="s">
        <v>1683</v>
      </c>
      <c r="C4759" s="2">
        <v>13</v>
      </c>
      <c r="D4759" s="1">
        <v>2023</v>
      </c>
    </row>
    <row r="4760" spans="1:4" x14ac:dyDescent="0.35">
      <c r="A4760" s="1" t="s">
        <v>1676</v>
      </c>
      <c r="B4760" s="1" t="s">
        <v>1683</v>
      </c>
      <c r="C4760" s="2">
        <v>6</v>
      </c>
      <c r="D4760" s="1">
        <v>2024</v>
      </c>
    </row>
    <row r="4761" spans="1:4" x14ac:dyDescent="0.35">
      <c r="A4761" s="1" t="s">
        <v>1676</v>
      </c>
      <c r="B4761" s="1" t="s">
        <v>1683</v>
      </c>
      <c r="C4761" s="2">
        <v>8</v>
      </c>
      <c r="D4761" s="1">
        <v>2025</v>
      </c>
    </row>
    <row r="4762" spans="1:4" x14ac:dyDescent="0.35">
      <c r="A4762" s="1" t="s">
        <v>1676</v>
      </c>
      <c r="B4762" s="1" t="s">
        <v>1683</v>
      </c>
      <c r="C4762" s="2">
        <v>4</v>
      </c>
      <c r="D4762" s="1">
        <v>2023</v>
      </c>
    </row>
    <row r="4763" spans="1:4" x14ac:dyDescent="0.35">
      <c r="A4763" s="1" t="s">
        <v>1676</v>
      </c>
      <c r="B4763" s="1" t="s">
        <v>1683</v>
      </c>
      <c r="C4763" s="2">
        <v>2</v>
      </c>
      <c r="D4763" s="1">
        <v>2024</v>
      </c>
    </row>
    <row r="4764" spans="1:4" x14ac:dyDescent="0.35">
      <c r="A4764" s="1" t="s">
        <v>1676</v>
      </c>
      <c r="B4764" s="1" t="s">
        <v>1683</v>
      </c>
      <c r="C4764" s="2">
        <v>2</v>
      </c>
      <c r="D4764" s="1">
        <v>2025</v>
      </c>
    </row>
    <row r="4765" spans="1:4" x14ac:dyDescent="0.35">
      <c r="A4765" s="1" t="s">
        <v>1676</v>
      </c>
      <c r="B4765" s="1" t="s">
        <v>1684</v>
      </c>
      <c r="C4765" s="2">
        <v>5</v>
      </c>
      <c r="D4765" s="1">
        <v>2023</v>
      </c>
    </row>
    <row r="4766" spans="1:4" x14ac:dyDescent="0.35">
      <c r="A4766" s="1" t="s">
        <v>1676</v>
      </c>
      <c r="B4766" s="1" t="s">
        <v>1684</v>
      </c>
      <c r="C4766" s="2">
        <v>10</v>
      </c>
      <c r="D4766" s="1">
        <v>2024</v>
      </c>
    </row>
    <row r="4767" spans="1:4" x14ac:dyDescent="0.35">
      <c r="A4767" s="1" t="s">
        <v>1676</v>
      </c>
      <c r="B4767" s="1" t="s">
        <v>1684</v>
      </c>
      <c r="C4767" s="2">
        <v>8</v>
      </c>
      <c r="D4767" s="1">
        <v>2025</v>
      </c>
    </row>
    <row r="4768" spans="1:4" x14ac:dyDescent="0.35">
      <c r="A4768" s="1" t="s">
        <v>1676</v>
      </c>
      <c r="B4768" s="1" t="s">
        <v>1684</v>
      </c>
      <c r="C4768" s="2">
        <v>2</v>
      </c>
      <c r="D4768" s="1">
        <v>2023</v>
      </c>
    </row>
    <row r="4769" spans="1:4" x14ac:dyDescent="0.35">
      <c r="A4769" s="1" t="s">
        <v>1676</v>
      </c>
      <c r="B4769" s="1" t="s">
        <v>1684</v>
      </c>
      <c r="C4769" s="2">
        <v>4</v>
      </c>
      <c r="D4769" s="1">
        <v>2024</v>
      </c>
    </row>
    <row r="4770" spans="1:4" x14ac:dyDescent="0.35">
      <c r="A4770" s="1" t="s">
        <v>1676</v>
      </c>
      <c r="B4770" s="1" t="s">
        <v>1684</v>
      </c>
      <c r="C4770" s="2">
        <v>2</v>
      </c>
      <c r="D4770" s="1">
        <v>2025</v>
      </c>
    </row>
    <row r="4771" spans="1:4" x14ac:dyDescent="0.35">
      <c r="A4771" s="1" t="s">
        <v>1676</v>
      </c>
      <c r="B4771" s="1" t="s">
        <v>1685</v>
      </c>
      <c r="C4771" s="2">
        <v>7</v>
      </c>
      <c r="D4771" s="1">
        <v>2023</v>
      </c>
    </row>
    <row r="4772" spans="1:4" x14ac:dyDescent="0.35">
      <c r="A4772" s="1" t="s">
        <v>1676</v>
      </c>
      <c r="B4772" s="1" t="s">
        <v>1685</v>
      </c>
      <c r="C4772" s="2">
        <v>0</v>
      </c>
      <c r="D4772" s="1">
        <v>2024</v>
      </c>
    </row>
    <row r="4773" spans="1:4" x14ac:dyDescent="0.35">
      <c r="A4773" s="1" t="s">
        <v>1676</v>
      </c>
      <c r="B4773" s="1" t="s">
        <v>1685</v>
      </c>
      <c r="C4773" s="2">
        <v>10</v>
      </c>
      <c r="D4773" s="1">
        <v>2025</v>
      </c>
    </row>
    <row r="4774" spans="1:4" x14ac:dyDescent="0.35">
      <c r="A4774" s="1" t="s">
        <v>1676</v>
      </c>
      <c r="B4774" s="1" t="s">
        <v>1685</v>
      </c>
      <c r="C4774" s="2">
        <v>2</v>
      </c>
      <c r="D4774" s="1">
        <v>2023</v>
      </c>
    </row>
    <row r="4775" spans="1:4" x14ac:dyDescent="0.35">
      <c r="A4775" s="1" t="s">
        <v>1676</v>
      </c>
      <c r="B4775" s="1" t="s">
        <v>1685</v>
      </c>
      <c r="C4775" s="2">
        <v>0</v>
      </c>
      <c r="D4775" s="1">
        <v>2024</v>
      </c>
    </row>
    <row r="4776" spans="1:4" x14ac:dyDescent="0.35">
      <c r="A4776" s="1" t="s">
        <v>1676</v>
      </c>
      <c r="B4776" s="1" t="s">
        <v>1685</v>
      </c>
      <c r="C4776" s="2">
        <v>2</v>
      </c>
      <c r="D4776" s="1">
        <v>2025</v>
      </c>
    </row>
    <row r="4777" spans="1:4" x14ac:dyDescent="0.35">
      <c r="A4777" s="1" t="s">
        <v>1676</v>
      </c>
      <c r="B4777" s="1" t="s">
        <v>1688</v>
      </c>
      <c r="C4777" s="2">
        <v>5</v>
      </c>
      <c r="D4777" s="1">
        <v>2022</v>
      </c>
    </row>
    <row r="4778" spans="1:4" x14ac:dyDescent="0.35">
      <c r="A4778" s="1" t="s">
        <v>1676</v>
      </c>
      <c r="B4778" s="1" t="s">
        <v>1688</v>
      </c>
      <c r="C4778" s="2">
        <v>9</v>
      </c>
      <c r="D4778" s="1">
        <v>2023</v>
      </c>
    </row>
    <row r="4779" spans="1:4" x14ac:dyDescent="0.35">
      <c r="A4779" s="1" t="s">
        <v>1676</v>
      </c>
      <c r="B4779" s="1" t="s">
        <v>1688</v>
      </c>
      <c r="C4779" s="2">
        <v>7</v>
      </c>
      <c r="D4779" s="1">
        <v>2024</v>
      </c>
    </row>
    <row r="4780" spans="1:4" x14ac:dyDescent="0.35">
      <c r="A4780" s="1" t="s">
        <v>1676</v>
      </c>
      <c r="B4780" s="1" t="s">
        <v>1688</v>
      </c>
      <c r="C4780" s="2">
        <v>2</v>
      </c>
      <c r="D4780" s="1">
        <v>2022</v>
      </c>
    </row>
    <row r="4781" spans="1:4" x14ac:dyDescent="0.35">
      <c r="A4781" s="1" t="s">
        <v>1676</v>
      </c>
      <c r="B4781" s="1" t="s">
        <v>1688</v>
      </c>
      <c r="C4781" s="2">
        <v>2</v>
      </c>
      <c r="D4781" s="1">
        <v>2023</v>
      </c>
    </row>
    <row r="4782" spans="1:4" x14ac:dyDescent="0.35">
      <c r="A4782" s="1" t="s">
        <v>1676</v>
      </c>
      <c r="B4782" s="1" t="s">
        <v>1688</v>
      </c>
      <c r="C4782" s="2">
        <v>2</v>
      </c>
      <c r="D4782" s="1">
        <v>2024</v>
      </c>
    </row>
    <row r="4783" spans="1:4" x14ac:dyDescent="0.35">
      <c r="A4783" s="1" t="s">
        <v>1676</v>
      </c>
      <c r="B4783" s="1" t="s">
        <v>1686</v>
      </c>
      <c r="C4783" s="2">
        <v>5</v>
      </c>
      <c r="D4783" s="1">
        <v>2022</v>
      </c>
    </row>
    <row r="4784" spans="1:4" x14ac:dyDescent="0.35">
      <c r="A4784" s="1" t="s">
        <v>1676</v>
      </c>
      <c r="B4784" s="1" t="s">
        <v>1686</v>
      </c>
      <c r="C4784" s="2">
        <v>10</v>
      </c>
      <c r="D4784" s="1">
        <v>2023</v>
      </c>
    </row>
    <row r="4785" spans="1:4" x14ac:dyDescent="0.35">
      <c r="A4785" s="1" t="s">
        <v>1676</v>
      </c>
      <c r="B4785" s="1" t="s">
        <v>1686</v>
      </c>
      <c r="C4785" s="2">
        <v>7</v>
      </c>
      <c r="D4785" s="1">
        <v>2024</v>
      </c>
    </row>
    <row r="4786" spans="1:4" x14ac:dyDescent="0.35">
      <c r="A4786" s="1" t="s">
        <v>1676</v>
      </c>
      <c r="B4786" s="1" t="s">
        <v>1686</v>
      </c>
      <c r="C4786" s="2">
        <v>2</v>
      </c>
      <c r="D4786" s="1">
        <v>2022</v>
      </c>
    </row>
    <row r="4787" spans="1:4" x14ac:dyDescent="0.35">
      <c r="A4787" s="1" t="s">
        <v>1676</v>
      </c>
      <c r="B4787" s="1" t="s">
        <v>1686</v>
      </c>
      <c r="C4787" s="2">
        <v>2</v>
      </c>
      <c r="D4787" s="1">
        <v>2023</v>
      </c>
    </row>
    <row r="4788" spans="1:4" x14ac:dyDescent="0.35">
      <c r="A4788" s="1" t="s">
        <v>1676</v>
      </c>
      <c r="B4788" s="1" t="s">
        <v>1686</v>
      </c>
      <c r="C4788" s="2">
        <v>2</v>
      </c>
      <c r="D4788" s="1">
        <v>2024</v>
      </c>
    </row>
    <row r="4789" spans="1:4" x14ac:dyDescent="0.35">
      <c r="A4789" s="1" t="s">
        <v>1676</v>
      </c>
      <c r="B4789" s="1" t="s">
        <v>1687</v>
      </c>
      <c r="C4789" s="2">
        <v>6</v>
      </c>
      <c r="D4789" s="1">
        <v>2022</v>
      </c>
    </row>
    <row r="4790" spans="1:4" x14ac:dyDescent="0.35">
      <c r="A4790" s="1" t="s">
        <v>1676</v>
      </c>
      <c r="B4790" s="1" t="s">
        <v>1687</v>
      </c>
      <c r="C4790" s="2">
        <v>6</v>
      </c>
      <c r="D4790" s="1">
        <v>2023</v>
      </c>
    </row>
    <row r="4791" spans="1:4" x14ac:dyDescent="0.35">
      <c r="A4791" s="1" t="s">
        <v>1676</v>
      </c>
      <c r="B4791" s="1" t="s">
        <v>1687</v>
      </c>
      <c r="C4791" s="2">
        <v>7</v>
      </c>
      <c r="D4791" s="1">
        <v>2024</v>
      </c>
    </row>
    <row r="4792" spans="1:4" x14ac:dyDescent="0.35">
      <c r="A4792" s="1" t="s">
        <v>1676</v>
      </c>
      <c r="B4792" s="1" t="s">
        <v>1687</v>
      </c>
      <c r="C4792" s="2">
        <v>2</v>
      </c>
      <c r="D4792" s="1">
        <v>2022</v>
      </c>
    </row>
    <row r="4793" spans="1:4" x14ac:dyDescent="0.35">
      <c r="A4793" s="1" t="s">
        <v>1676</v>
      </c>
      <c r="B4793" s="1" t="s">
        <v>1687</v>
      </c>
      <c r="C4793" s="2">
        <v>2</v>
      </c>
      <c r="D4793" s="1">
        <v>2023</v>
      </c>
    </row>
    <row r="4794" spans="1:4" x14ac:dyDescent="0.35">
      <c r="A4794" s="1" t="s">
        <v>1676</v>
      </c>
      <c r="B4794" s="1" t="s">
        <v>1687</v>
      </c>
      <c r="C4794" s="2">
        <v>2</v>
      </c>
      <c r="D4794" s="1">
        <v>2024</v>
      </c>
    </row>
    <row r="4795" spans="1:4" x14ac:dyDescent="0.35">
      <c r="C4795" s="2"/>
    </row>
    <row r="4796" spans="1:4" x14ac:dyDescent="0.35">
      <c r="C4796" s="2"/>
    </row>
    <row r="4797" spans="1:4" x14ac:dyDescent="0.35">
      <c r="C4797" s="2"/>
    </row>
    <row r="4798" spans="1:4" x14ac:dyDescent="0.35">
      <c r="C4798" s="2"/>
    </row>
    <row r="4799" spans="1:4" x14ac:dyDescent="0.35">
      <c r="C4799" s="2"/>
    </row>
    <row r="4800" spans="1:4" x14ac:dyDescent="0.35">
      <c r="C4800" s="2"/>
    </row>
    <row r="4801" spans="3:3" x14ac:dyDescent="0.35">
      <c r="C4801" s="2"/>
    </row>
    <row r="4802" spans="3:3" x14ac:dyDescent="0.35">
      <c r="C4802" s="2"/>
    </row>
    <row r="4803" spans="3:3" x14ac:dyDescent="0.35">
      <c r="C4803" s="2"/>
    </row>
    <row r="4804" spans="3:3" x14ac:dyDescent="0.35">
      <c r="C4804" s="2"/>
    </row>
    <row r="4805" spans="3:3" x14ac:dyDescent="0.35">
      <c r="C4805" s="2"/>
    </row>
    <row r="4806" spans="3:3" x14ac:dyDescent="0.35">
      <c r="C4806" s="2"/>
    </row>
    <row r="4807" spans="3:3" x14ac:dyDescent="0.35">
      <c r="C4807" s="2"/>
    </row>
    <row r="4808" spans="3:3" x14ac:dyDescent="0.35">
      <c r="C4808" s="2"/>
    </row>
    <row r="4809" spans="3:3" x14ac:dyDescent="0.35">
      <c r="C4809" s="2"/>
    </row>
    <row r="4810" spans="3:3" x14ac:dyDescent="0.35">
      <c r="C4810" s="2"/>
    </row>
    <row r="4811" spans="3:3" x14ac:dyDescent="0.35">
      <c r="C4811" s="2"/>
    </row>
    <row r="4812" spans="3:3" x14ac:dyDescent="0.35">
      <c r="C4812" s="2"/>
    </row>
    <row r="4813" spans="3:3" x14ac:dyDescent="0.35">
      <c r="C4813" s="2"/>
    </row>
    <row r="4814" spans="3:3" x14ac:dyDescent="0.35">
      <c r="C4814" s="2"/>
    </row>
    <row r="4815" spans="3:3" x14ac:dyDescent="0.35">
      <c r="C4815" s="2"/>
    </row>
    <row r="4816" spans="3:3" x14ac:dyDescent="0.35">
      <c r="C4816" s="2"/>
    </row>
    <row r="4817" spans="3:3" x14ac:dyDescent="0.35">
      <c r="C4817" s="2"/>
    </row>
    <row r="4818" spans="3:3" x14ac:dyDescent="0.35">
      <c r="C4818" s="2"/>
    </row>
    <row r="4819" spans="3:3" x14ac:dyDescent="0.35">
      <c r="C4819" s="2"/>
    </row>
    <row r="4820" spans="3:3" x14ac:dyDescent="0.35">
      <c r="C4820" s="2"/>
    </row>
    <row r="4821" spans="3:3" x14ac:dyDescent="0.35">
      <c r="C4821" s="2"/>
    </row>
    <row r="4822" spans="3:3" x14ac:dyDescent="0.35">
      <c r="C4822" s="2"/>
    </row>
    <row r="4823" spans="3:3" x14ac:dyDescent="0.35">
      <c r="C4823" s="2"/>
    </row>
    <row r="4824" spans="3:3" x14ac:dyDescent="0.35">
      <c r="C4824" s="2"/>
    </row>
    <row r="4825" spans="3:3" x14ac:dyDescent="0.35">
      <c r="C4825" s="2"/>
    </row>
    <row r="4826" spans="3:3" x14ac:dyDescent="0.35">
      <c r="C4826" s="2"/>
    </row>
    <row r="4827" spans="3:3" x14ac:dyDescent="0.35">
      <c r="C4827" s="2"/>
    </row>
    <row r="4828" spans="3:3" x14ac:dyDescent="0.35">
      <c r="C4828" s="2"/>
    </row>
    <row r="4829" spans="3:3" x14ac:dyDescent="0.35">
      <c r="C4829" s="2"/>
    </row>
    <row r="4830" spans="3:3" x14ac:dyDescent="0.35">
      <c r="C4830" s="2"/>
    </row>
    <row r="4831" spans="3:3" x14ac:dyDescent="0.35">
      <c r="C4831" s="2"/>
    </row>
    <row r="4832" spans="3:3" x14ac:dyDescent="0.35">
      <c r="C4832" s="2"/>
    </row>
    <row r="4833" spans="3:3" x14ac:dyDescent="0.35">
      <c r="C4833" s="2"/>
    </row>
    <row r="4834" spans="3:3" x14ac:dyDescent="0.35">
      <c r="C4834" s="2"/>
    </row>
    <row r="4835" spans="3:3" x14ac:dyDescent="0.35">
      <c r="C4835" s="2"/>
    </row>
    <row r="4836" spans="3:3" x14ac:dyDescent="0.35">
      <c r="C4836" s="2"/>
    </row>
    <row r="4837" spans="3:3" x14ac:dyDescent="0.35">
      <c r="C4837" s="2"/>
    </row>
    <row r="4838" spans="3:3" x14ac:dyDescent="0.35">
      <c r="C4838" s="2"/>
    </row>
    <row r="4839" spans="3:3" x14ac:dyDescent="0.35">
      <c r="C4839" s="2"/>
    </row>
    <row r="4840" spans="3:3" x14ac:dyDescent="0.35">
      <c r="C4840" s="2"/>
    </row>
    <row r="4841" spans="3:3" x14ac:dyDescent="0.35">
      <c r="C4841" s="2"/>
    </row>
    <row r="4842" spans="3:3" x14ac:dyDescent="0.35">
      <c r="C4842" s="2"/>
    </row>
    <row r="4843" spans="3:3" x14ac:dyDescent="0.35">
      <c r="C4843" s="2"/>
    </row>
    <row r="4844" spans="3:3" x14ac:dyDescent="0.35">
      <c r="C4844" s="2"/>
    </row>
    <row r="4845" spans="3:3" x14ac:dyDescent="0.35">
      <c r="C4845" s="2"/>
    </row>
    <row r="4846" spans="3:3" x14ac:dyDescent="0.35">
      <c r="C4846" s="2"/>
    </row>
    <row r="4847" spans="3:3" x14ac:dyDescent="0.35">
      <c r="C4847" s="2"/>
    </row>
    <row r="4848" spans="3:3" x14ac:dyDescent="0.35">
      <c r="C4848" s="2"/>
    </row>
    <row r="4849" spans="3:3" x14ac:dyDescent="0.35">
      <c r="C4849" s="2"/>
    </row>
    <row r="4850" spans="3:3" x14ac:dyDescent="0.35">
      <c r="C4850" s="2"/>
    </row>
    <row r="4851" spans="3:3" x14ac:dyDescent="0.35">
      <c r="C4851" s="2"/>
    </row>
    <row r="4852" spans="3:3" x14ac:dyDescent="0.35">
      <c r="C4852" s="2"/>
    </row>
    <row r="4853" spans="3:3" x14ac:dyDescent="0.35">
      <c r="C4853" s="2"/>
    </row>
    <row r="4854" spans="3:3" x14ac:dyDescent="0.35">
      <c r="C4854" s="2"/>
    </row>
    <row r="4855" spans="3:3" x14ac:dyDescent="0.35">
      <c r="C4855" s="2"/>
    </row>
    <row r="4856" spans="3:3" x14ac:dyDescent="0.35">
      <c r="C4856" s="2"/>
    </row>
    <row r="4857" spans="3:3" x14ac:dyDescent="0.35">
      <c r="C4857" s="2"/>
    </row>
    <row r="4858" spans="3:3" x14ac:dyDescent="0.35">
      <c r="C4858" s="2"/>
    </row>
    <row r="4859" spans="3:3" x14ac:dyDescent="0.35">
      <c r="C4859" s="2"/>
    </row>
    <row r="4860" spans="3:3" x14ac:dyDescent="0.35">
      <c r="C4860" s="2"/>
    </row>
    <row r="4861" spans="3:3" x14ac:dyDescent="0.35">
      <c r="C4861" s="2"/>
    </row>
    <row r="4862" spans="3:3" x14ac:dyDescent="0.35">
      <c r="C4862" s="2"/>
    </row>
    <row r="4863" spans="3:3" x14ac:dyDescent="0.35">
      <c r="C4863" s="2"/>
    </row>
    <row r="4864" spans="3:3" x14ac:dyDescent="0.35">
      <c r="C4864" s="2"/>
    </row>
    <row r="4865" spans="3:3" x14ac:dyDescent="0.35">
      <c r="C4865" s="2"/>
    </row>
    <row r="4866" spans="3:3" x14ac:dyDescent="0.35">
      <c r="C4866" s="2"/>
    </row>
    <row r="4867" spans="3:3" x14ac:dyDescent="0.35">
      <c r="C4867" s="2"/>
    </row>
    <row r="4868" spans="3:3" x14ac:dyDescent="0.35">
      <c r="C4868" s="2"/>
    </row>
    <row r="4869" spans="3:3" x14ac:dyDescent="0.35">
      <c r="C4869" s="2"/>
    </row>
    <row r="4870" spans="3:3" x14ac:dyDescent="0.35">
      <c r="C4870" s="2"/>
    </row>
    <row r="4871" spans="3:3" x14ac:dyDescent="0.35">
      <c r="C4871" s="2"/>
    </row>
    <row r="4872" spans="3:3" x14ac:dyDescent="0.35">
      <c r="C4872" s="2"/>
    </row>
    <row r="4873" spans="3:3" x14ac:dyDescent="0.35">
      <c r="C4873" s="2"/>
    </row>
    <row r="4874" spans="3:3" x14ac:dyDescent="0.35">
      <c r="C4874" s="2"/>
    </row>
    <row r="4875" spans="3:3" x14ac:dyDescent="0.35">
      <c r="C4875" s="2"/>
    </row>
    <row r="4876" spans="3:3" x14ac:dyDescent="0.35">
      <c r="C4876" s="2"/>
    </row>
    <row r="4877" spans="3:3" x14ac:dyDescent="0.35">
      <c r="C4877" s="2"/>
    </row>
    <row r="4878" spans="3:3" x14ac:dyDescent="0.35">
      <c r="C4878" s="2"/>
    </row>
    <row r="4879" spans="3:3" x14ac:dyDescent="0.35">
      <c r="C4879" s="2"/>
    </row>
    <row r="4880" spans="3:3" x14ac:dyDescent="0.35">
      <c r="C4880" s="2"/>
    </row>
    <row r="4881" spans="3:3" x14ac:dyDescent="0.35">
      <c r="C4881" s="2"/>
    </row>
    <row r="4882" spans="3:3" x14ac:dyDescent="0.35">
      <c r="C4882" s="2"/>
    </row>
    <row r="4883" spans="3:3" x14ac:dyDescent="0.35">
      <c r="C4883" s="2"/>
    </row>
    <row r="4884" spans="3:3" x14ac:dyDescent="0.35">
      <c r="C4884" s="2"/>
    </row>
    <row r="4885" spans="3:3" x14ac:dyDescent="0.35">
      <c r="C4885" s="2"/>
    </row>
    <row r="4886" spans="3:3" x14ac:dyDescent="0.35">
      <c r="C4886" s="2"/>
    </row>
    <row r="4887" spans="3:3" x14ac:dyDescent="0.35">
      <c r="C4887" s="2"/>
    </row>
    <row r="4888" spans="3:3" x14ac:dyDescent="0.35">
      <c r="C4888" s="2"/>
    </row>
    <row r="4889" spans="3:3" x14ac:dyDescent="0.35">
      <c r="C4889" s="2"/>
    </row>
    <row r="4890" spans="3:3" x14ac:dyDescent="0.35">
      <c r="C4890" s="2"/>
    </row>
    <row r="4891" spans="3:3" x14ac:dyDescent="0.35">
      <c r="C4891" s="2"/>
    </row>
    <row r="4892" spans="3:3" x14ac:dyDescent="0.35">
      <c r="C4892" s="2"/>
    </row>
    <row r="4893" spans="3:3" x14ac:dyDescent="0.35">
      <c r="C4893" s="2"/>
    </row>
    <row r="4894" spans="3:3" x14ac:dyDescent="0.35">
      <c r="C4894" s="2"/>
    </row>
    <row r="4895" spans="3:3" x14ac:dyDescent="0.35">
      <c r="C4895" s="2"/>
    </row>
    <row r="4896" spans="3:3" x14ac:dyDescent="0.35">
      <c r="C4896" s="2"/>
    </row>
    <row r="4897" spans="3:3" x14ac:dyDescent="0.35">
      <c r="C4897" s="2"/>
    </row>
    <row r="4898" spans="3:3" x14ac:dyDescent="0.35">
      <c r="C4898" s="2"/>
    </row>
    <row r="4899" spans="3:3" x14ac:dyDescent="0.35">
      <c r="C4899" s="2"/>
    </row>
    <row r="4900" spans="3:3" x14ac:dyDescent="0.35">
      <c r="C4900" s="2"/>
    </row>
    <row r="4901" spans="3:3" x14ac:dyDescent="0.35">
      <c r="C4901" s="2"/>
    </row>
    <row r="4902" spans="3:3" x14ac:dyDescent="0.35">
      <c r="C4902" s="2"/>
    </row>
    <row r="4903" spans="3:3" x14ac:dyDescent="0.35">
      <c r="C4903" s="2"/>
    </row>
    <row r="4904" spans="3:3" x14ac:dyDescent="0.35">
      <c r="C4904" s="2"/>
    </row>
    <row r="4905" spans="3:3" x14ac:dyDescent="0.35">
      <c r="C4905" s="2"/>
    </row>
    <row r="4906" spans="3:3" x14ac:dyDescent="0.35">
      <c r="C4906" s="2"/>
    </row>
    <row r="4907" spans="3:3" x14ac:dyDescent="0.35">
      <c r="C4907" s="2"/>
    </row>
    <row r="4908" spans="3:3" x14ac:dyDescent="0.35">
      <c r="C4908" s="2"/>
    </row>
    <row r="4909" spans="3:3" x14ac:dyDescent="0.35">
      <c r="C4909" s="2"/>
    </row>
    <row r="4910" spans="3:3" x14ac:dyDescent="0.35">
      <c r="C4910" s="2"/>
    </row>
    <row r="4911" spans="3:3" x14ac:dyDescent="0.35">
      <c r="C4911" s="2"/>
    </row>
    <row r="4912" spans="3:3" x14ac:dyDescent="0.35">
      <c r="C4912" s="2"/>
    </row>
    <row r="4913" spans="3:3" x14ac:dyDescent="0.35">
      <c r="C4913" s="2"/>
    </row>
    <row r="4914" spans="3:3" x14ac:dyDescent="0.35">
      <c r="C4914" s="2"/>
    </row>
    <row r="4915" spans="3:3" x14ac:dyDescent="0.35">
      <c r="C4915" s="2"/>
    </row>
    <row r="4916" spans="3:3" x14ac:dyDescent="0.35">
      <c r="C4916" s="2"/>
    </row>
    <row r="4917" spans="3:3" x14ac:dyDescent="0.35">
      <c r="C4917" s="2"/>
    </row>
    <row r="4918" spans="3:3" x14ac:dyDescent="0.35">
      <c r="C4918" s="2"/>
    </row>
    <row r="4919" spans="3:3" x14ac:dyDescent="0.35">
      <c r="C4919" s="2"/>
    </row>
    <row r="4920" spans="3:3" x14ac:dyDescent="0.35">
      <c r="C4920" s="2"/>
    </row>
    <row r="4921" spans="3:3" x14ac:dyDescent="0.35">
      <c r="C4921" s="2"/>
    </row>
    <row r="4922" spans="3:3" x14ac:dyDescent="0.35">
      <c r="C4922" s="2"/>
    </row>
    <row r="4923" spans="3:3" x14ac:dyDescent="0.35">
      <c r="C4923" s="2"/>
    </row>
    <row r="4924" spans="3:3" x14ac:dyDescent="0.35">
      <c r="C4924" s="2"/>
    </row>
    <row r="4925" spans="3:3" x14ac:dyDescent="0.35">
      <c r="C4925" s="2"/>
    </row>
    <row r="4926" spans="3:3" x14ac:dyDescent="0.35">
      <c r="C4926" s="2"/>
    </row>
    <row r="4927" spans="3:3" x14ac:dyDescent="0.35">
      <c r="C4927" s="2"/>
    </row>
    <row r="4928" spans="3:3" x14ac:dyDescent="0.35">
      <c r="C4928" s="2"/>
    </row>
    <row r="4929" spans="3:3" x14ac:dyDescent="0.35">
      <c r="C4929" s="2"/>
    </row>
    <row r="4930" spans="3:3" x14ac:dyDescent="0.35">
      <c r="C4930" s="2"/>
    </row>
    <row r="4931" spans="3:3" x14ac:dyDescent="0.35">
      <c r="C4931" s="2"/>
    </row>
    <row r="4932" spans="3:3" x14ac:dyDescent="0.35">
      <c r="C4932" s="2"/>
    </row>
    <row r="4933" spans="3:3" x14ac:dyDescent="0.35">
      <c r="C4933" s="2"/>
    </row>
    <row r="4934" spans="3:3" x14ac:dyDescent="0.35">
      <c r="C4934" s="2"/>
    </row>
    <row r="4935" spans="3:3" x14ac:dyDescent="0.35">
      <c r="C4935" s="2"/>
    </row>
    <row r="4936" spans="3:3" x14ac:dyDescent="0.35">
      <c r="C4936" s="2"/>
    </row>
    <row r="4937" spans="3:3" x14ac:dyDescent="0.35">
      <c r="C4937" s="2"/>
    </row>
    <row r="4938" spans="3:3" x14ac:dyDescent="0.35">
      <c r="C4938" s="2"/>
    </row>
    <row r="4939" spans="3:3" x14ac:dyDescent="0.35">
      <c r="C4939" s="2"/>
    </row>
    <row r="4940" spans="3:3" x14ac:dyDescent="0.35">
      <c r="C4940" s="2"/>
    </row>
    <row r="4941" spans="3:3" x14ac:dyDescent="0.35">
      <c r="C4941" s="2"/>
    </row>
    <row r="4942" spans="3:3" x14ac:dyDescent="0.35">
      <c r="C4942" s="2"/>
    </row>
    <row r="4943" spans="3:3" x14ac:dyDescent="0.35">
      <c r="C4943" s="2"/>
    </row>
    <row r="4944" spans="3:3" x14ac:dyDescent="0.35">
      <c r="C4944" s="2"/>
    </row>
    <row r="4945" spans="3:3" x14ac:dyDescent="0.35">
      <c r="C4945" s="2"/>
    </row>
    <row r="4946" spans="3:3" x14ac:dyDescent="0.35">
      <c r="C4946" s="2"/>
    </row>
    <row r="4947" spans="3:3" x14ac:dyDescent="0.35">
      <c r="C4947" s="2"/>
    </row>
    <row r="4948" spans="3:3" x14ac:dyDescent="0.35">
      <c r="C4948" s="2"/>
    </row>
    <row r="4949" spans="3:3" x14ac:dyDescent="0.35">
      <c r="C4949" s="2"/>
    </row>
    <row r="4950" spans="3:3" x14ac:dyDescent="0.35">
      <c r="C4950" s="2"/>
    </row>
    <row r="4951" spans="3:3" x14ac:dyDescent="0.35">
      <c r="C4951" s="2"/>
    </row>
    <row r="4952" spans="3:3" x14ac:dyDescent="0.35">
      <c r="C4952" s="2"/>
    </row>
    <row r="4953" spans="3:3" x14ac:dyDescent="0.35">
      <c r="C4953" s="2"/>
    </row>
    <row r="4954" spans="3:3" x14ac:dyDescent="0.35">
      <c r="C4954" s="2"/>
    </row>
    <row r="4955" spans="3:3" x14ac:dyDescent="0.35">
      <c r="C4955" s="2"/>
    </row>
    <row r="4956" spans="3:3" x14ac:dyDescent="0.35">
      <c r="C4956" s="2"/>
    </row>
    <row r="4957" spans="3:3" x14ac:dyDescent="0.35">
      <c r="C4957" s="2"/>
    </row>
    <row r="4958" spans="3:3" x14ac:dyDescent="0.35">
      <c r="C4958" s="2"/>
    </row>
    <row r="4959" spans="3:3" x14ac:dyDescent="0.35">
      <c r="C4959" s="2"/>
    </row>
    <row r="4960" spans="3:3" x14ac:dyDescent="0.35">
      <c r="C4960" s="2"/>
    </row>
    <row r="4961" spans="3:3" x14ac:dyDescent="0.35">
      <c r="C4961" s="2"/>
    </row>
    <row r="4962" spans="3:3" x14ac:dyDescent="0.35">
      <c r="C4962" s="2"/>
    </row>
    <row r="4963" spans="3:3" x14ac:dyDescent="0.35">
      <c r="C4963" s="2"/>
    </row>
    <row r="4964" spans="3:3" x14ac:dyDescent="0.35">
      <c r="C4964" s="2"/>
    </row>
    <row r="4965" spans="3:3" x14ac:dyDescent="0.35">
      <c r="C4965" s="2"/>
    </row>
    <row r="4966" spans="3:3" x14ac:dyDescent="0.35">
      <c r="C4966" s="2"/>
    </row>
    <row r="4967" spans="3:3" x14ac:dyDescent="0.35">
      <c r="C4967" s="2"/>
    </row>
    <row r="4968" spans="3:3" x14ac:dyDescent="0.35">
      <c r="C4968" s="2"/>
    </row>
    <row r="4969" spans="3:3" x14ac:dyDescent="0.35">
      <c r="C4969" s="2"/>
    </row>
    <row r="4970" spans="3:3" x14ac:dyDescent="0.35">
      <c r="C4970" s="2"/>
    </row>
    <row r="4971" spans="3:3" x14ac:dyDescent="0.35">
      <c r="C4971" s="2"/>
    </row>
    <row r="4972" spans="3:3" x14ac:dyDescent="0.35">
      <c r="C4972" s="2"/>
    </row>
    <row r="4973" spans="3:3" x14ac:dyDescent="0.35">
      <c r="C4973" s="2"/>
    </row>
    <row r="4974" spans="3:3" x14ac:dyDescent="0.35">
      <c r="C4974" s="2"/>
    </row>
    <row r="4975" spans="3:3" x14ac:dyDescent="0.35">
      <c r="C4975" s="2"/>
    </row>
    <row r="4976" spans="3:3" x14ac:dyDescent="0.35">
      <c r="C4976" s="2"/>
    </row>
    <row r="4977" spans="3:3" x14ac:dyDescent="0.35">
      <c r="C4977" s="2"/>
    </row>
    <row r="4978" spans="3:3" x14ac:dyDescent="0.35">
      <c r="C4978" s="2"/>
    </row>
    <row r="4979" spans="3:3" x14ac:dyDescent="0.35">
      <c r="C4979" s="2"/>
    </row>
    <row r="4980" spans="3:3" x14ac:dyDescent="0.35">
      <c r="C4980" s="2"/>
    </row>
    <row r="4981" spans="3:3" x14ac:dyDescent="0.35">
      <c r="C4981" s="2"/>
    </row>
    <row r="4982" spans="3:3" x14ac:dyDescent="0.35">
      <c r="C4982" s="2"/>
    </row>
    <row r="4983" spans="3:3" x14ac:dyDescent="0.35">
      <c r="C4983" s="2"/>
    </row>
    <row r="4984" spans="3:3" x14ac:dyDescent="0.35">
      <c r="C4984" s="2"/>
    </row>
    <row r="4985" spans="3:3" x14ac:dyDescent="0.35">
      <c r="C4985" s="2"/>
    </row>
    <row r="4986" spans="3:3" x14ac:dyDescent="0.35">
      <c r="C4986" s="2"/>
    </row>
    <row r="4987" spans="3:3" x14ac:dyDescent="0.35">
      <c r="C4987" s="2"/>
    </row>
    <row r="4988" spans="3:3" x14ac:dyDescent="0.35">
      <c r="C4988" s="2"/>
    </row>
    <row r="4989" spans="3:3" x14ac:dyDescent="0.35">
      <c r="C4989" s="2"/>
    </row>
    <row r="4990" spans="3:3" x14ac:dyDescent="0.35">
      <c r="C4990" s="2"/>
    </row>
    <row r="4991" spans="3:3" x14ac:dyDescent="0.35">
      <c r="C4991" s="2"/>
    </row>
    <row r="4992" spans="3:3" x14ac:dyDescent="0.35">
      <c r="C4992" s="2"/>
    </row>
    <row r="4993" spans="3:3" x14ac:dyDescent="0.35">
      <c r="C4993" s="2"/>
    </row>
    <row r="4994" spans="3:3" x14ac:dyDescent="0.35">
      <c r="C4994" s="2"/>
    </row>
    <row r="4995" spans="3:3" x14ac:dyDescent="0.35">
      <c r="C4995" s="2"/>
    </row>
    <row r="4996" spans="3:3" x14ac:dyDescent="0.35">
      <c r="C4996" s="2"/>
    </row>
    <row r="4997" spans="3:3" x14ac:dyDescent="0.35">
      <c r="C4997" s="2"/>
    </row>
    <row r="4998" spans="3:3" x14ac:dyDescent="0.35">
      <c r="C4998" s="2"/>
    </row>
    <row r="4999" spans="3:3" x14ac:dyDescent="0.35">
      <c r="C4999" s="2"/>
    </row>
    <row r="5000" spans="3:3" x14ac:dyDescent="0.35">
      <c r="C5000" s="2"/>
    </row>
    <row r="5001" spans="3:3" x14ac:dyDescent="0.35">
      <c r="C5001" s="2"/>
    </row>
    <row r="5002" spans="3:3" x14ac:dyDescent="0.35">
      <c r="C5002" s="2"/>
    </row>
    <row r="5003" spans="3:3" x14ac:dyDescent="0.35">
      <c r="C5003" s="2"/>
    </row>
    <row r="5004" spans="3:3" x14ac:dyDescent="0.35">
      <c r="C5004" s="2"/>
    </row>
    <row r="5005" spans="3:3" x14ac:dyDescent="0.35">
      <c r="C5005" s="2"/>
    </row>
    <row r="5006" spans="3:3" x14ac:dyDescent="0.35">
      <c r="C5006" s="2"/>
    </row>
    <row r="5007" spans="3:3" x14ac:dyDescent="0.35">
      <c r="C5007" s="2"/>
    </row>
    <row r="5008" spans="3:3" x14ac:dyDescent="0.35">
      <c r="C5008" s="2"/>
    </row>
    <row r="5009" spans="3:3" x14ac:dyDescent="0.35">
      <c r="C5009" s="2"/>
    </row>
    <row r="5010" spans="3:3" x14ac:dyDescent="0.35">
      <c r="C5010" s="2"/>
    </row>
    <row r="5011" spans="3:3" x14ac:dyDescent="0.35">
      <c r="C5011" s="2"/>
    </row>
    <row r="5012" spans="3:3" x14ac:dyDescent="0.35">
      <c r="C5012" s="2"/>
    </row>
    <row r="5013" spans="3:3" x14ac:dyDescent="0.35">
      <c r="C5013" s="2"/>
    </row>
    <row r="5014" spans="3:3" x14ac:dyDescent="0.35">
      <c r="C5014" s="2"/>
    </row>
    <row r="5015" spans="3:3" x14ac:dyDescent="0.35">
      <c r="C5015" s="2"/>
    </row>
    <row r="5016" spans="3:3" x14ac:dyDescent="0.35">
      <c r="C5016" s="2"/>
    </row>
    <row r="5017" spans="3:3" x14ac:dyDescent="0.35">
      <c r="C5017" s="2"/>
    </row>
    <row r="5018" spans="3:3" x14ac:dyDescent="0.35">
      <c r="C5018" s="2"/>
    </row>
    <row r="5019" spans="3:3" x14ac:dyDescent="0.35">
      <c r="C5019" s="2"/>
    </row>
    <row r="5020" spans="3:3" x14ac:dyDescent="0.35">
      <c r="C5020" s="2"/>
    </row>
    <row r="5021" spans="3:3" x14ac:dyDescent="0.35">
      <c r="C5021" s="2"/>
    </row>
    <row r="5022" spans="3:3" x14ac:dyDescent="0.35">
      <c r="C5022" s="2"/>
    </row>
    <row r="5023" spans="3:3" x14ac:dyDescent="0.35">
      <c r="C5023" s="2"/>
    </row>
    <row r="5024" spans="3:3" x14ac:dyDescent="0.35">
      <c r="C5024" s="2"/>
    </row>
    <row r="5025" spans="3:3" x14ac:dyDescent="0.35">
      <c r="C5025" s="2"/>
    </row>
    <row r="5026" spans="3:3" x14ac:dyDescent="0.35">
      <c r="C5026" s="2"/>
    </row>
    <row r="5027" spans="3:3" x14ac:dyDescent="0.35">
      <c r="C5027" s="2"/>
    </row>
    <row r="5028" spans="3:3" x14ac:dyDescent="0.35">
      <c r="C5028" s="2"/>
    </row>
    <row r="5029" spans="3:3" x14ac:dyDescent="0.35">
      <c r="C5029" s="2"/>
    </row>
    <row r="5030" spans="3:3" x14ac:dyDescent="0.35">
      <c r="C5030" s="2"/>
    </row>
    <row r="5031" spans="3:3" x14ac:dyDescent="0.35">
      <c r="C5031" s="2"/>
    </row>
    <row r="5032" spans="3:3" x14ac:dyDescent="0.35">
      <c r="C5032" s="2"/>
    </row>
    <row r="5033" spans="3:3" x14ac:dyDescent="0.35">
      <c r="C5033" s="2"/>
    </row>
    <row r="5034" spans="3:3" x14ac:dyDescent="0.35">
      <c r="C5034" s="2"/>
    </row>
    <row r="5035" spans="3:3" x14ac:dyDescent="0.35">
      <c r="C5035" s="2"/>
    </row>
    <row r="5036" spans="3:3" x14ac:dyDescent="0.35">
      <c r="C5036" s="2"/>
    </row>
    <row r="5037" spans="3:3" x14ac:dyDescent="0.35">
      <c r="C5037" s="2"/>
    </row>
    <row r="5038" spans="3:3" x14ac:dyDescent="0.35">
      <c r="C5038" s="2"/>
    </row>
    <row r="5039" spans="3:3" x14ac:dyDescent="0.35">
      <c r="C5039" s="2"/>
    </row>
    <row r="5040" spans="3:3" x14ac:dyDescent="0.35">
      <c r="C5040" s="2"/>
    </row>
    <row r="5041" spans="3:3" x14ac:dyDescent="0.35">
      <c r="C5041" s="2"/>
    </row>
    <row r="5042" spans="3:3" x14ac:dyDescent="0.35">
      <c r="C5042" s="2"/>
    </row>
    <row r="5043" spans="3:3" x14ac:dyDescent="0.35">
      <c r="C5043" s="2"/>
    </row>
    <row r="5044" spans="3:3" x14ac:dyDescent="0.35">
      <c r="C5044" s="2"/>
    </row>
    <row r="5045" spans="3:3" x14ac:dyDescent="0.35">
      <c r="C5045" s="2"/>
    </row>
    <row r="5046" spans="3:3" x14ac:dyDescent="0.35">
      <c r="C5046" s="2"/>
    </row>
    <row r="5047" spans="3:3" x14ac:dyDescent="0.35">
      <c r="C5047" s="2"/>
    </row>
    <row r="5048" spans="3:3" x14ac:dyDescent="0.35">
      <c r="C5048" s="2"/>
    </row>
    <row r="5049" spans="3:3" x14ac:dyDescent="0.35">
      <c r="C5049" s="2"/>
    </row>
    <row r="5050" spans="3:3" x14ac:dyDescent="0.35">
      <c r="C5050" s="2"/>
    </row>
    <row r="5051" spans="3:3" x14ac:dyDescent="0.35">
      <c r="C5051" s="2"/>
    </row>
    <row r="5052" spans="3:3" x14ac:dyDescent="0.35">
      <c r="C5052" s="2"/>
    </row>
    <row r="5053" spans="3:3" x14ac:dyDescent="0.35">
      <c r="C5053" s="2"/>
    </row>
    <row r="5054" spans="3:3" x14ac:dyDescent="0.35">
      <c r="C5054" s="2"/>
    </row>
    <row r="5055" spans="3:3" x14ac:dyDescent="0.35">
      <c r="C5055" s="2"/>
    </row>
    <row r="5056" spans="3:3" x14ac:dyDescent="0.35">
      <c r="C5056" s="2"/>
    </row>
    <row r="5057" spans="3:3" x14ac:dyDescent="0.35">
      <c r="C5057" s="2"/>
    </row>
    <row r="5058" spans="3:3" x14ac:dyDescent="0.35">
      <c r="C5058" s="2"/>
    </row>
    <row r="5059" spans="3:3" x14ac:dyDescent="0.35">
      <c r="C5059" s="2"/>
    </row>
    <row r="5060" spans="3:3" x14ac:dyDescent="0.35">
      <c r="C5060" s="2"/>
    </row>
    <row r="5061" spans="3:3" x14ac:dyDescent="0.35">
      <c r="C5061" s="2"/>
    </row>
    <row r="5062" spans="3:3" x14ac:dyDescent="0.35">
      <c r="C5062" s="2"/>
    </row>
    <row r="5063" spans="3:3" x14ac:dyDescent="0.35">
      <c r="C5063" s="2"/>
    </row>
    <row r="5064" spans="3:3" x14ac:dyDescent="0.35">
      <c r="C5064" s="2"/>
    </row>
    <row r="5065" spans="3:3" x14ac:dyDescent="0.35">
      <c r="C5065" s="2"/>
    </row>
    <row r="5066" spans="3:3" x14ac:dyDescent="0.35">
      <c r="C5066" s="2"/>
    </row>
    <row r="5067" spans="3:3" x14ac:dyDescent="0.35">
      <c r="C5067" s="2"/>
    </row>
    <row r="5068" spans="3:3" x14ac:dyDescent="0.35">
      <c r="C5068" s="2"/>
    </row>
    <row r="5069" spans="3:3" x14ac:dyDescent="0.35">
      <c r="C5069" s="2"/>
    </row>
    <row r="5070" spans="3:3" x14ac:dyDescent="0.35">
      <c r="C5070" s="2"/>
    </row>
    <row r="5071" spans="3:3" x14ac:dyDescent="0.35">
      <c r="C5071" s="2"/>
    </row>
    <row r="5072" spans="3:3" x14ac:dyDescent="0.35">
      <c r="C5072" s="2"/>
    </row>
    <row r="5073" spans="3:3" x14ac:dyDescent="0.35">
      <c r="C5073" s="2"/>
    </row>
    <row r="5074" spans="3:3" x14ac:dyDescent="0.35">
      <c r="C5074" s="2"/>
    </row>
    <row r="5075" spans="3:3" x14ac:dyDescent="0.35">
      <c r="C5075" s="2"/>
    </row>
    <row r="5076" spans="3:3" x14ac:dyDescent="0.35">
      <c r="C5076" s="2"/>
    </row>
    <row r="5077" spans="3:3" x14ac:dyDescent="0.35">
      <c r="C5077" s="2"/>
    </row>
    <row r="5078" spans="3:3" x14ac:dyDescent="0.35">
      <c r="C5078" s="2"/>
    </row>
    <row r="5079" spans="3:3" x14ac:dyDescent="0.35">
      <c r="C5079" s="2"/>
    </row>
    <row r="5080" spans="3:3" x14ac:dyDescent="0.35">
      <c r="C5080" s="2"/>
    </row>
    <row r="5081" spans="3:3" x14ac:dyDescent="0.35">
      <c r="C5081" s="2"/>
    </row>
    <row r="5082" spans="3:3" x14ac:dyDescent="0.35">
      <c r="C5082" s="2"/>
    </row>
    <row r="5083" spans="3:3" x14ac:dyDescent="0.35">
      <c r="C5083" s="2"/>
    </row>
    <row r="5084" spans="3:3" x14ac:dyDescent="0.35">
      <c r="C5084" s="2"/>
    </row>
    <row r="5085" spans="3:3" x14ac:dyDescent="0.35">
      <c r="C5085" s="2"/>
    </row>
    <row r="5086" spans="3:3" x14ac:dyDescent="0.35">
      <c r="C5086" s="2"/>
    </row>
    <row r="5087" spans="3:3" x14ac:dyDescent="0.35">
      <c r="C5087" s="2"/>
    </row>
    <row r="5088" spans="3:3" x14ac:dyDescent="0.35">
      <c r="C5088" s="2"/>
    </row>
    <row r="5089" spans="3:3" x14ac:dyDescent="0.35">
      <c r="C5089" s="2"/>
    </row>
    <row r="5090" spans="3:3" x14ac:dyDescent="0.35">
      <c r="C5090" s="2"/>
    </row>
    <row r="5091" spans="3:3" x14ac:dyDescent="0.35">
      <c r="C5091" s="2"/>
    </row>
    <row r="5092" spans="3:3" x14ac:dyDescent="0.35">
      <c r="C5092" s="2"/>
    </row>
    <row r="5093" spans="3:3" x14ac:dyDescent="0.35">
      <c r="C5093" s="2"/>
    </row>
    <row r="5094" spans="3:3" x14ac:dyDescent="0.35">
      <c r="C5094" s="2"/>
    </row>
    <row r="5095" spans="3:3" x14ac:dyDescent="0.35">
      <c r="C5095" s="2"/>
    </row>
    <row r="5096" spans="3:3" x14ac:dyDescent="0.35">
      <c r="C5096" s="2"/>
    </row>
    <row r="5097" spans="3:3" x14ac:dyDescent="0.35">
      <c r="C5097" s="2"/>
    </row>
    <row r="5098" spans="3:3" x14ac:dyDescent="0.35">
      <c r="C5098" s="2"/>
    </row>
    <row r="5099" spans="3:3" x14ac:dyDescent="0.35">
      <c r="C5099" s="2"/>
    </row>
    <row r="5100" spans="3:3" x14ac:dyDescent="0.35">
      <c r="C5100" s="2"/>
    </row>
    <row r="5101" spans="3:3" x14ac:dyDescent="0.35">
      <c r="C5101" s="2"/>
    </row>
    <row r="5102" spans="3:3" x14ac:dyDescent="0.35">
      <c r="C5102" s="2"/>
    </row>
    <row r="5103" spans="3:3" x14ac:dyDescent="0.35">
      <c r="C5103" s="2"/>
    </row>
    <row r="5104" spans="3:3" x14ac:dyDescent="0.35">
      <c r="C5104" s="2"/>
    </row>
    <row r="5105" spans="3:3" x14ac:dyDescent="0.35">
      <c r="C5105" s="2"/>
    </row>
    <row r="5106" spans="3:3" x14ac:dyDescent="0.35">
      <c r="C5106" s="2"/>
    </row>
    <row r="5107" spans="3:3" x14ac:dyDescent="0.35">
      <c r="C5107" s="2"/>
    </row>
    <row r="5108" spans="3:3" x14ac:dyDescent="0.35">
      <c r="C5108" s="2"/>
    </row>
    <row r="5109" spans="3:3" x14ac:dyDescent="0.35">
      <c r="C5109" s="2"/>
    </row>
    <row r="5110" spans="3:3" x14ac:dyDescent="0.35">
      <c r="C5110" s="2"/>
    </row>
    <row r="5111" spans="3:3" x14ac:dyDescent="0.35">
      <c r="C5111" s="2"/>
    </row>
    <row r="5112" spans="3:3" x14ac:dyDescent="0.35">
      <c r="C5112" s="2"/>
    </row>
    <row r="5113" spans="3:3" x14ac:dyDescent="0.35">
      <c r="C5113" s="2"/>
    </row>
    <row r="5114" spans="3:3" x14ac:dyDescent="0.35">
      <c r="C5114" s="2"/>
    </row>
    <row r="5115" spans="3:3" x14ac:dyDescent="0.35">
      <c r="C5115" s="2"/>
    </row>
    <row r="5116" spans="3:3" x14ac:dyDescent="0.35">
      <c r="C5116" s="2"/>
    </row>
    <row r="5117" spans="3:3" x14ac:dyDescent="0.35">
      <c r="C5117" s="2"/>
    </row>
    <row r="5118" spans="3:3" x14ac:dyDescent="0.35">
      <c r="C5118" s="2"/>
    </row>
    <row r="5119" spans="3:3" x14ac:dyDescent="0.35">
      <c r="C5119" s="2"/>
    </row>
    <row r="5120" spans="3:3" x14ac:dyDescent="0.35">
      <c r="C5120" s="2"/>
    </row>
    <row r="5121" spans="3:3" x14ac:dyDescent="0.35">
      <c r="C5121" s="2"/>
    </row>
    <row r="5122" spans="3:3" x14ac:dyDescent="0.35">
      <c r="C5122" s="2"/>
    </row>
    <row r="5123" spans="3:3" x14ac:dyDescent="0.35">
      <c r="C5123" s="2"/>
    </row>
    <row r="5124" spans="3:3" x14ac:dyDescent="0.35">
      <c r="C5124" s="2"/>
    </row>
    <row r="5125" spans="3:3" x14ac:dyDescent="0.35">
      <c r="C5125" s="2"/>
    </row>
    <row r="5126" spans="3:3" x14ac:dyDescent="0.35">
      <c r="C5126" s="2"/>
    </row>
    <row r="5127" spans="3:3" x14ac:dyDescent="0.35">
      <c r="C5127" s="2"/>
    </row>
    <row r="5128" spans="3:3" x14ac:dyDescent="0.35">
      <c r="C5128" s="2"/>
    </row>
    <row r="5129" spans="3:3" x14ac:dyDescent="0.35">
      <c r="C5129" s="2"/>
    </row>
    <row r="5130" spans="3:3" x14ac:dyDescent="0.35">
      <c r="C5130" s="2"/>
    </row>
    <row r="5131" spans="3:3" x14ac:dyDescent="0.35">
      <c r="C5131" s="2"/>
    </row>
    <row r="5132" spans="3:3" x14ac:dyDescent="0.35">
      <c r="C5132" s="2"/>
    </row>
    <row r="5133" spans="3:3" x14ac:dyDescent="0.35">
      <c r="C5133" s="2"/>
    </row>
    <row r="5134" spans="3:3" x14ac:dyDescent="0.35">
      <c r="C5134" s="2"/>
    </row>
    <row r="5135" spans="3:3" x14ac:dyDescent="0.35">
      <c r="C5135" s="2"/>
    </row>
    <row r="5136" spans="3:3" x14ac:dyDescent="0.35">
      <c r="C5136" s="2"/>
    </row>
    <row r="5137" spans="3:3" x14ac:dyDescent="0.35">
      <c r="C5137" s="2"/>
    </row>
    <row r="5138" spans="3:3" x14ac:dyDescent="0.35">
      <c r="C5138" s="2"/>
    </row>
    <row r="5139" spans="3:3" x14ac:dyDescent="0.35">
      <c r="C5139" s="2"/>
    </row>
    <row r="5140" spans="3:3" x14ac:dyDescent="0.35">
      <c r="C5140" s="2"/>
    </row>
    <row r="5141" spans="3:3" x14ac:dyDescent="0.35">
      <c r="C5141" s="2"/>
    </row>
    <row r="5142" spans="3:3" x14ac:dyDescent="0.35">
      <c r="C5142" s="2"/>
    </row>
    <row r="5143" spans="3:3" x14ac:dyDescent="0.35">
      <c r="C5143" s="2"/>
    </row>
    <row r="5144" spans="3:3" x14ac:dyDescent="0.35">
      <c r="C5144" s="2"/>
    </row>
    <row r="5145" spans="3:3" x14ac:dyDescent="0.35">
      <c r="C5145" s="2"/>
    </row>
    <row r="5146" spans="3:3" x14ac:dyDescent="0.35">
      <c r="C5146" s="2"/>
    </row>
    <row r="5147" spans="3:3" x14ac:dyDescent="0.35">
      <c r="C5147" s="2"/>
    </row>
    <row r="5148" spans="3:3" x14ac:dyDescent="0.35">
      <c r="C5148" s="2"/>
    </row>
    <row r="5149" spans="3:3" x14ac:dyDescent="0.35">
      <c r="C5149" s="2"/>
    </row>
    <row r="5150" spans="3:3" x14ac:dyDescent="0.35">
      <c r="C5150" s="2"/>
    </row>
    <row r="5151" spans="3:3" x14ac:dyDescent="0.35">
      <c r="C5151" s="2"/>
    </row>
    <row r="5152" spans="3:3" x14ac:dyDescent="0.35">
      <c r="C5152" s="2"/>
    </row>
    <row r="5153" spans="3:3" x14ac:dyDescent="0.35">
      <c r="C5153" s="2"/>
    </row>
    <row r="5154" spans="3:3" x14ac:dyDescent="0.35">
      <c r="C5154" s="2"/>
    </row>
    <row r="5155" spans="3:3" x14ac:dyDescent="0.35">
      <c r="C5155" s="2"/>
    </row>
    <row r="5156" spans="3:3" x14ac:dyDescent="0.35">
      <c r="C5156" s="2"/>
    </row>
    <row r="5157" spans="3:3" x14ac:dyDescent="0.35">
      <c r="C5157" s="2"/>
    </row>
    <row r="5158" spans="3:3" x14ac:dyDescent="0.35">
      <c r="C5158" s="2"/>
    </row>
    <row r="5159" spans="3:3" x14ac:dyDescent="0.35">
      <c r="C5159" s="2"/>
    </row>
    <row r="5160" spans="3:3" x14ac:dyDescent="0.35">
      <c r="C5160" s="2"/>
    </row>
    <row r="5161" spans="3:3" x14ac:dyDescent="0.35">
      <c r="C5161" s="2"/>
    </row>
    <row r="5162" spans="3:3" x14ac:dyDescent="0.35">
      <c r="C5162" s="2"/>
    </row>
    <row r="5163" spans="3:3" x14ac:dyDescent="0.35">
      <c r="C5163" s="2"/>
    </row>
    <row r="5164" spans="3:3" x14ac:dyDescent="0.35">
      <c r="C5164" s="2"/>
    </row>
    <row r="5165" spans="3:3" x14ac:dyDescent="0.35">
      <c r="C5165" s="2"/>
    </row>
    <row r="5166" spans="3:3" x14ac:dyDescent="0.35">
      <c r="C5166" s="2"/>
    </row>
    <row r="5167" spans="3:3" x14ac:dyDescent="0.35">
      <c r="C5167" s="2"/>
    </row>
    <row r="5168" spans="3:3" x14ac:dyDescent="0.35">
      <c r="C5168" s="2"/>
    </row>
    <row r="5169" spans="3:3" x14ac:dyDescent="0.35">
      <c r="C5169" s="2"/>
    </row>
    <row r="5170" spans="3:3" x14ac:dyDescent="0.35">
      <c r="C5170" s="2"/>
    </row>
    <row r="5171" spans="3:3" x14ac:dyDescent="0.35">
      <c r="C5171" s="2"/>
    </row>
    <row r="5172" spans="3:3" x14ac:dyDescent="0.35">
      <c r="C5172" s="2"/>
    </row>
    <row r="5173" spans="3:3" x14ac:dyDescent="0.35">
      <c r="C5173" s="2"/>
    </row>
    <row r="5174" spans="3:3" x14ac:dyDescent="0.35">
      <c r="C5174" s="2"/>
    </row>
    <row r="5175" spans="3:3" x14ac:dyDescent="0.35">
      <c r="C5175" s="2"/>
    </row>
    <row r="5176" spans="3:3" x14ac:dyDescent="0.35">
      <c r="C5176" s="2"/>
    </row>
    <row r="5177" spans="3:3" x14ac:dyDescent="0.35">
      <c r="C5177" s="2"/>
    </row>
    <row r="5178" spans="3:3" x14ac:dyDescent="0.35">
      <c r="C5178" s="2"/>
    </row>
    <row r="5179" spans="3:3" x14ac:dyDescent="0.35">
      <c r="C5179" s="2"/>
    </row>
    <row r="5180" spans="3:3" x14ac:dyDescent="0.35">
      <c r="C5180" s="2"/>
    </row>
    <row r="5181" spans="3:3" x14ac:dyDescent="0.35">
      <c r="C5181" s="2"/>
    </row>
    <row r="5182" spans="3:3" x14ac:dyDescent="0.35">
      <c r="C5182" s="2"/>
    </row>
    <row r="5183" spans="3:3" x14ac:dyDescent="0.35">
      <c r="C5183" s="2"/>
    </row>
    <row r="5184" spans="3:3" x14ac:dyDescent="0.35">
      <c r="C5184" s="2"/>
    </row>
    <row r="5185" spans="3:3" x14ac:dyDescent="0.35">
      <c r="C5185" s="2"/>
    </row>
    <row r="5186" spans="3:3" x14ac:dyDescent="0.35">
      <c r="C5186" s="2"/>
    </row>
    <row r="5187" spans="3:3" x14ac:dyDescent="0.35">
      <c r="C5187" s="2"/>
    </row>
    <row r="5188" spans="3:3" x14ac:dyDescent="0.35">
      <c r="C5188" s="2"/>
    </row>
    <row r="5189" spans="3:3" x14ac:dyDescent="0.35">
      <c r="C5189" s="2"/>
    </row>
    <row r="5190" spans="3:3" x14ac:dyDescent="0.35">
      <c r="C5190" s="2"/>
    </row>
    <row r="5191" spans="3:3" x14ac:dyDescent="0.35">
      <c r="C5191" s="2"/>
    </row>
    <row r="5192" spans="3:3" x14ac:dyDescent="0.35">
      <c r="C5192" s="2"/>
    </row>
    <row r="5193" spans="3:3" x14ac:dyDescent="0.35">
      <c r="C5193" s="2"/>
    </row>
    <row r="5194" spans="3:3" x14ac:dyDescent="0.35">
      <c r="C5194" s="2"/>
    </row>
    <row r="5195" spans="3:3" x14ac:dyDescent="0.35">
      <c r="C5195" s="2"/>
    </row>
    <row r="5196" spans="3:3" x14ac:dyDescent="0.35">
      <c r="C5196" s="2"/>
    </row>
    <row r="5197" spans="3:3" x14ac:dyDescent="0.35">
      <c r="C5197" s="2"/>
    </row>
    <row r="5198" spans="3:3" x14ac:dyDescent="0.35">
      <c r="C5198" s="2"/>
    </row>
    <row r="5199" spans="3:3" x14ac:dyDescent="0.35">
      <c r="C5199" s="2"/>
    </row>
    <row r="5200" spans="3:3" x14ac:dyDescent="0.35">
      <c r="C5200" s="2"/>
    </row>
    <row r="5201" spans="3:3" x14ac:dyDescent="0.35">
      <c r="C5201" s="2"/>
    </row>
    <row r="5202" spans="3:3" x14ac:dyDescent="0.35">
      <c r="C5202" s="2"/>
    </row>
    <row r="5203" spans="3:3" x14ac:dyDescent="0.35">
      <c r="C5203" s="2"/>
    </row>
    <row r="5204" spans="3:3" x14ac:dyDescent="0.35">
      <c r="C5204" s="2"/>
    </row>
    <row r="5205" spans="3:3" x14ac:dyDescent="0.35">
      <c r="C5205" s="2"/>
    </row>
    <row r="5206" spans="3:3" x14ac:dyDescent="0.35">
      <c r="C5206" s="2"/>
    </row>
    <row r="5207" spans="3:3" x14ac:dyDescent="0.35">
      <c r="C5207" s="2"/>
    </row>
    <row r="5208" spans="3:3" x14ac:dyDescent="0.35">
      <c r="C5208" s="2"/>
    </row>
    <row r="5209" spans="3:3" x14ac:dyDescent="0.35">
      <c r="C5209" s="2"/>
    </row>
    <row r="5210" spans="3:3" x14ac:dyDescent="0.35">
      <c r="C5210" s="2"/>
    </row>
    <row r="5211" spans="3:3" x14ac:dyDescent="0.35">
      <c r="C5211" s="2"/>
    </row>
    <row r="5212" spans="3:3" x14ac:dyDescent="0.35">
      <c r="C5212" s="2"/>
    </row>
    <row r="5213" spans="3:3" x14ac:dyDescent="0.35">
      <c r="C5213" s="2"/>
    </row>
    <row r="5214" spans="3:3" x14ac:dyDescent="0.35">
      <c r="C5214" s="2"/>
    </row>
    <row r="5215" spans="3:3" x14ac:dyDescent="0.35">
      <c r="C5215" s="2"/>
    </row>
    <row r="5216" spans="3:3" x14ac:dyDescent="0.35">
      <c r="C5216" s="2"/>
    </row>
    <row r="5217" spans="3:3" x14ac:dyDescent="0.35">
      <c r="C5217" s="2"/>
    </row>
    <row r="5218" spans="3:3" x14ac:dyDescent="0.35">
      <c r="C5218" s="2"/>
    </row>
    <row r="5219" spans="3:3" x14ac:dyDescent="0.35">
      <c r="C5219" s="2"/>
    </row>
    <row r="5220" spans="3:3" x14ac:dyDescent="0.35">
      <c r="C5220" s="2"/>
    </row>
    <row r="5221" spans="3:3" x14ac:dyDescent="0.35">
      <c r="C5221" s="2"/>
    </row>
    <row r="5222" spans="3:3" x14ac:dyDescent="0.35">
      <c r="C5222" s="2"/>
    </row>
    <row r="5223" spans="3:3" x14ac:dyDescent="0.35">
      <c r="C5223" s="2"/>
    </row>
    <row r="5224" spans="3:3" x14ac:dyDescent="0.35">
      <c r="C5224" s="2"/>
    </row>
    <row r="5225" spans="3:3" x14ac:dyDescent="0.35">
      <c r="C5225" s="2"/>
    </row>
    <row r="5226" spans="3:3" x14ac:dyDescent="0.35">
      <c r="C5226" s="2"/>
    </row>
    <row r="5227" spans="3:3" x14ac:dyDescent="0.35">
      <c r="C5227" s="2"/>
    </row>
    <row r="5228" spans="3:3" x14ac:dyDescent="0.35">
      <c r="C5228" s="2"/>
    </row>
    <row r="5229" spans="3:3" x14ac:dyDescent="0.35">
      <c r="C5229" s="2"/>
    </row>
    <row r="5230" spans="3:3" x14ac:dyDescent="0.35">
      <c r="C5230" s="2"/>
    </row>
    <row r="5231" spans="3:3" x14ac:dyDescent="0.35">
      <c r="C5231" s="2"/>
    </row>
    <row r="5232" spans="3:3" x14ac:dyDescent="0.35">
      <c r="C5232" s="2"/>
    </row>
    <row r="5233" spans="3:3" x14ac:dyDescent="0.35">
      <c r="C5233" s="2"/>
    </row>
    <row r="5234" spans="3:3" x14ac:dyDescent="0.35">
      <c r="C5234" s="2"/>
    </row>
    <row r="5235" spans="3:3" x14ac:dyDescent="0.35">
      <c r="C5235" s="2"/>
    </row>
    <row r="5236" spans="3:3" x14ac:dyDescent="0.35">
      <c r="C5236" s="2"/>
    </row>
    <row r="5237" spans="3:3" x14ac:dyDescent="0.35">
      <c r="C5237" s="2"/>
    </row>
    <row r="5238" spans="3:3" x14ac:dyDescent="0.35">
      <c r="C5238" s="2"/>
    </row>
    <row r="5239" spans="3:3" x14ac:dyDescent="0.35">
      <c r="C5239" s="2"/>
    </row>
    <row r="5240" spans="3:3" x14ac:dyDescent="0.35">
      <c r="C5240" s="2"/>
    </row>
    <row r="5241" spans="3:3" x14ac:dyDescent="0.35">
      <c r="C5241" s="2"/>
    </row>
    <row r="5242" spans="3:3" x14ac:dyDescent="0.35">
      <c r="C5242" s="2"/>
    </row>
    <row r="5243" spans="3:3" x14ac:dyDescent="0.35">
      <c r="C5243" s="2"/>
    </row>
    <row r="5244" spans="3:3" x14ac:dyDescent="0.35">
      <c r="C5244" s="2"/>
    </row>
    <row r="5245" spans="3:3" x14ac:dyDescent="0.35">
      <c r="C5245" s="2"/>
    </row>
    <row r="5246" spans="3:3" x14ac:dyDescent="0.35">
      <c r="C5246" s="2"/>
    </row>
    <row r="5247" spans="3:3" x14ac:dyDescent="0.35">
      <c r="C5247" s="2"/>
    </row>
    <row r="5248" spans="3:3" x14ac:dyDescent="0.35">
      <c r="C5248" s="2"/>
    </row>
    <row r="5249" spans="3:3" x14ac:dyDescent="0.35">
      <c r="C5249" s="2"/>
    </row>
    <row r="5250" spans="3:3" x14ac:dyDescent="0.35">
      <c r="C5250" s="2"/>
    </row>
    <row r="5251" spans="3:3" x14ac:dyDescent="0.35">
      <c r="C5251" s="2"/>
    </row>
    <row r="5252" spans="3:3" x14ac:dyDescent="0.35">
      <c r="C5252" s="2"/>
    </row>
    <row r="5253" spans="3:3" x14ac:dyDescent="0.35">
      <c r="C5253" s="2"/>
    </row>
    <row r="5254" spans="3:3" x14ac:dyDescent="0.35">
      <c r="C5254" s="2"/>
    </row>
    <row r="5255" spans="3:3" x14ac:dyDescent="0.35">
      <c r="C5255" s="2"/>
    </row>
    <row r="5256" spans="3:3" x14ac:dyDescent="0.35">
      <c r="C5256" s="2"/>
    </row>
    <row r="5257" spans="3:3" x14ac:dyDescent="0.35">
      <c r="C5257" s="2"/>
    </row>
    <row r="5258" spans="3:3" x14ac:dyDescent="0.35">
      <c r="C5258" s="2"/>
    </row>
    <row r="5259" spans="3:3" x14ac:dyDescent="0.35">
      <c r="C5259" s="2"/>
    </row>
    <row r="5260" spans="3:3" x14ac:dyDescent="0.35">
      <c r="C5260" s="2"/>
    </row>
    <row r="5261" spans="3:3" x14ac:dyDescent="0.35">
      <c r="C5261" s="2"/>
    </row>
    <row r="5262" spans="3:3" x14ac:dyDescent="0.35">
      <c r="C5262" s="2"/>
    </row>
    <row r="5263" spans="3:3" x14ac:dyDescent="0.35">
      <c r="C5263" s="2"/>
    </row>
    <row r="5264" spans="3:3" x14ac:dyDescent="0.35">
      <c r="C5264" s="2"/>
    </row>
    <row r="5265" spans="3:3" x14ac:dyDescent="0.35">
      <c r="C5265" s="2"/>
    </row>
    <row r="5266" spans="3:3" x14ac:dyDescent="0.35">
      <c r="C5266" s="2"/>
    </row>
    <row r="5267" spans="3:3" x14ac:dyDescent="0.35">
      <c r="C5267" s="2"/>
    </row>
    <row r="5268" spans="3:3" x14ac:dyDescent="0.35">
      <c r="C5268" s="2"/>
    </row>
    <row r="5269" spans="3:3" x14ac:dyDescent="0.35">
      <c r="C5269" s="2"/>
    </row>
    <row r="5270" spans="3:3" x14ac:dyDescent="0.35">
      <c r="C5270" s="2"/>
    </row>
    <row r="5271" spans="3:3" x14ac:dyDescent="0.35">
      <c r="C5271" s="2"/>
    </row>
    <row r="5272" spans="3:3" x14ac:dyDescent="0.35">
      <c r="C5272" s="2"/>
    </row>
    <row r="5273" spans="3:3" x14ac:dyDescent="0.35">
      <c r="C5273" s="2"/>
    </row>
    <row r="5274" spans="3:3" x14ac:dyDescent="0.35">
      <c r="C5274" s="2"/>
    </row>
    <row r="5275" spans="3:3" x14ac:dyDescent="0.35">
      <c r="C5275" s="2"/>
    </row>
    <row r="5276" spans="3:3" x14ac:dyDescent="0.35">
      <c r="C5276" s="2"/>
    </row>
    <row r="5277" spans="3:3" x14ac:dyDescent="0.35">
      <c r="C5277" s="2"/>
    </row>
    <row r="5278" spans="3:3" x14ac:dyDescent="0.35">
      <c r="C5278" s="2"/>
    </row>
    <row r="5279" spans="3:3" x14ac:dyDescent="0.35">
      <c r="C5279" s="2"/>
    </row>
    <row r="5280" spans="3:3" x14ac:dyDescent="0.35">
      <c r="C5280" s="2"/>
    </row>
    <row r="5281" spans="3:3" x14ac:dyDescent="0.35">
      <c r="C5281" s="2"/>
    </row>
    <row r="5282" spans="3:3" x14ac:dyDescent="0.35">
      <c r="C5282" s="2"/>
    </row>
    <row r="5283" spans="3:3" x14ac:dyDescent="0.35">
      <c r="C5283" s="2"/>
    </row>
    <row r="5284" spans="3:3" x14ac:dyDescent="0.35">
      <c r="C5284" s="2"/>
    </row>
    <row r="5285" spans="3:3" x14ac:dyDescent="0.35">
      <c r="C5285" s="2"/>
    </row>
    <row r="5286" spans="3:3" x14ac:dyDescent="0.35">
      <c r="C5286" s="2"/>
    </row>
    <row r="5287" spans="3:3" x14ac:dyDescent="0.35">
      <c r="C5287" s="2"/>
    </row>
    <row r="5288" spans="3:3" x14ac:dyDescent="0.35">
      <c r="C5288" s="2"/>
    </row>
    <row r="5289" spans="3:3" x14ac:dyDescent="0.35">
      <c r="C5289" s="2"/>
    </row>
    <row r="5290" spans="3:3" x14ac:dyDescent="0.35">
      <c r="C5290" s="2"/>
    </row>
    <row r="5291" spans="3:3" x14ac:dyDescent="0.35">
      <c r="C5291" s="2"/>
    </row>
    <row r="5292" spans="3:3" x14ac:dyDescent="0.35">
      <c r="C5292" s="2"/>
    </row>
    <row r="5293" spans="3:3" x14ac:dyDescent="0.35">
      <c r="C5293" s="2"/>
    </row>
    <row r="5294" spans="3:3" x14ac:dyDescent="0.35">
      <c r="C5294" s="2"/>
    </row>
    <row r="5295" spans="3:3" x14ac:dyDescent="0.35">
      <c r="C5295" s="2"/>
    </row>
    <row r="5296" spans="3:3" x14ac:dyDescent="0.35">
      <c r="C5296" s="2"/>
    </row>
    <row r="5297" spans="3:3" x14ac:dyDescent="0.35">
      <c r="C5297" s="2"/>
    </row>
    <row r="5298" spans="3:3" x14ac:dyDescent="0.35">
      <c r="C5298" s="2"/>
    </row>
    <row r="5299" spans="3:3" x14ac:dyDescent="0.35">
      <c r="C5299" s="2"/>
    </row>
    <row r="5300" spans="3:3" x14ac:dyDescent="0.35">
      <c r="C5300" s="2"/>
    </row>
    <row r="5301" spans="3:3" x14ac:dyDescent="0.35">
      <c r="C5301" s="2"/>
    </row>
    <row r="5302" spans="3:3" x14ac:dyDescent="0.35">
      <c r="C5302" s="2"/>
    </row>
    <row r="5303" spans="3:3" x14ac:dyDescent="0.35">
      <c r="C5303" s="2"/>
    </row>
    <row r="5304" spans="3:3" x14ac:dyDescent="0.35">
      <c r="C5304" s="2"/>
    </row>
    <row r="5305" spans="3:3" x14ac:dyDescent="0.35">
      <c r="C5305" s="2"/>
    </row>
    <row r="5306" spans="3:3" x14ac:dyDescent="0.35">
      <c r="C5306" s="2"/>
    </row>
    <row r="5307" spans="3:3" x14ac:dyDescent="0.35">
      <c r="C5307" s="2"/>
    </row>
    <row r="5308" spans="3:3" x14ac:dyDescent="0.35">
      <c r="C5308" s="2"/>
    </row>
    <row r="5309" spans="3:3" x14ac:dyDescent="0.35">
      <c r="C5309" s="2"/>
    </row>
    <row r="5310" spans="3:3" x14ac:dyDescent="0.35">
      <c r="C5310" s="2"/>
    </row>
    <row r="5311" spans="3:3" x14ac:dyDescent="0.35">
      <c r="C5311" s="2"/>
    </row>
    <row r="5312" spans="3:3" x14ac:dyDescent="0.35">
      <c r="C5312" s="2"/>
    </row>
    <row r="5313" spans="3:3" x14ac:dyDescent="0.35">
      <c r="C5313" s="2"/>
    </row>
    <row r="5314" spans="3:3" x14ac:dyDescent="0.35">
      <c r="C5314" s="2"/>
    </row>
    <row r="5315" spans="3:3" x14ac:dyDescent="0.35">
      <c r="C5315" s="2"/>
    </row>
    <row r="5316" spans="3:3" x14ac:dyDescent="0.35">
      <c r="C5316" s="2"/>
    </row>
    <row r="5317" spans="3:3" x14ac:dyDescent="0.35">
      <c r="C5317" s="2"/>
    </row>
    <row r="5318" spans="3:3" x14ac:dyDescent="0.35">
      <c r="C5318" s="2"/>
    </row>
    <row r="5319" spans="3:3" x14ac:dyDescent="0.35">
      <c r="C5319" s="2"/>
    </row>
    <row r="5320" spans="3:3" x14ac:dyDescent="0.35">
      <c r="C5320" s="2"/>
    </row>
    <row r="5321" spans="3:3" x14ac:dyDescent="0.35">
      <c r="C5321" s="2"/>
    </row>
    <row r="5322" spans="3:3" x14ac:dyDescent="0.35">
      <c r="C5322" s="2"/>
    </row>
    <row r="5323" spans="3:3" x14ac:dyDescent="0.35">
      <c r="C5323" s="2"/>
    </row>
    <row r="5324" spans="3:3" x14ac:dyDescent="0.35">
      <c r="C5324" s="2"/>
    </row>
    <row r="5325" spans="3:3" x14ac:dyDescent="0.35">
      <c r="C5325" s="2"/>
    </row>
    <row r="5326" spans="3:3" x14ac:dyDescent="0.35">
      <c r="C5326" s="2"/>
    </row>
    <row r="5327" spans="3:3" x14ac:dyDescent="0.35">
      <c r="C5327" s="2"/>
    </row>
    <row r="5328" spans="3:3" x14ac:dyDescent="0.35">
      <c r="C5328" s="2"/>
    </row>
    <row r="5329" spans="3:3" x14ac:dyDescent="0.35">
      <c r="C5329" s="2"/>
    </row>
    <row r="5330" spans="3:3" x14ac:dyDescent="0.35">
      <c r="C5330" s="2"/>
    </row>
    <row r="5331" spans="3:3" x14ac:dyDescent="0.35">
      <c r="C5331" s="2"/>
    </row>
    <row r="5332" spans="3:3" x14ac:dyDescent="0.35">
      <c r="C5332" s="2"/>
    </row>
    <row r="5333" spans="3:3" x14ac:dyDescent="0.35">
      <c r="C5333" s="2"/>
    </row>
    <row r="5334" spans="3:3" x14ac:dyDescent="0.35">
      <c r="C5334" s="2"/>
    </row>
    <row r="5335" spans="3:3" x14ac:dyDescent="0.35">
      <c r="C5335" s="2"/>
    </row>
    <row r="5336" spans="3:3" x14ac:dyDescent="0.35">
      <c r="C5336" s="2"/>
    </row>
    <row r="5337" spans="3:3" x14ac:dyDescent="0.35">
      <c r="C5337" s="2"/>
    </row>
    <row r="5338" spans="3:3" x14ac:dyDescent="0.35">
      <c r="C5338" s="2"/>
    </row>
    <row r="5339" spans="3:3" x14ac:dyDescent="0.35">
      <c r="C5339" s="2"/>
    </row>
    <row r="5340" spans="3:3" x14ac:dyDescent="0.35">
      <c r="C5340" s="2"/>
    </row>
    <row r="5341" spans="3:3" x14ac:dyDescent="0.35">
      <c r="C5341" s="2"/>
    </row>
    <row r="5342" spans="3:3" x14ac:dyDescent="0.35">
      <c r="C5342" s="2"/>
    </row>
    <row r="5343" spans="3:3" x14ac:dyDescent="0.35">
      <c r="C5343" s="2"/>
    </row>
    <row r="5344" spans="3:3" x14ac:dyDescent="0.35">
      <c r="C5344" s="2"/>
    </row>
    <row r="5345" spans="3:3" x14ac:dyDescent="0.35">
      <c r="C5345" s="2"/>
    </row>
    <row r="5346" spans="3:3" x14ac:dyDescent="0.35">
      <c r="C5346" s="2"/>
    </row>
    <row r="5347" spans="3:3" x14ac:dyDescent="0.35">
      <c r="C5347" s="2"/>
    </row>
    <row r="5348" spans="3:3" x14ac:dyDescent="0.35">
      <c r="C5348" s="2"/>
    </row>
    <row r="5349" spans="3:3" x14ac:dyDescent="0.35">
      <c r="C5349" s="2"/>
    </row>
    <row r="5350" spans="3:3" x14ac:dyDescent="0.35">
      <c r="C5350" s="2"/>
    </row>
    <row r="5351" spans="3:3" x14ac:dyDescent="0.35">
      <c r="C5351" s="2"/>
    </row>
    <row r="5352" spans="3:3" x14ac:dyDescent="0.35">
      <c r="C5352" s="2"/>
    </row>
    <row r="5353" spans="3:3" x14ac:dyDescent="0.35">
      <c r="C5353" s="2"/>
    </row>
    <row r="5354" spans="3:3" x14ac:dyDescent="0.35">
      <c r="C5354" s="2"/>
    </row>
    <row r="5355" spans="3:3" x14ac:dyDescent="0.35">
      <c r="C5355" s="2"/>
    </row>
    <row r="5356" spans="3:3" x14ac:dyDescent="0.35">
      <c r="C5356" s="2"/>
    </row>
    <row r="5357" spans="3:3" x14ac:dyDescent="0.35">
      <c r="C5357" s="2"/>
    </row>
    <row r="5358" spans="3:3" x14ac:dyDescent="0.35">
      <c r="C5358" s="2"/>
    </row>
    <row r="5359" spans="3:3" x14ac:dyDescent="0.35">
      <c r="C5359" s="2"/>
    </row>
    <row r="5360" spans="3:3" x14ac:dyDescent="0.35">
      <c r="C5360" s="2"/>
    </row>
    <row r="5361" spans="3:3" x14ac:dyDescent="0.35">
      <c r="C5361" s="2"/>
    </row>
    <row r="5362" spans="3:3" x14ac:dyDescent="0.35">
      <c r="C5362" s="2"/>
    </row>
    <row r="5363" spans="3:3" x14ac:dyDescent="0.35">
      <c r="C5363" s="2"/>
    </row>
    <row r="5364" spans="3:3" x14ac:dyDescent="0.35">
      <c r="C5364" s="2"/>
    </row>
    <row r="5365" spans="3:3" x14ac:dyDescent="0.35">
      <c r="C5365" s="2"/>
    </row>
    <row r="5366" spans="3:3" x14ac:dyDescent="0.35">
      <c r="C5366" s="2"/>
    </row>
    <row r="5367" spans="3:3" x14ac:dyDescent="0.35">
      <c r="C5367" s="2"/>
    </row>
    <row r="5368" spans="3:3" x14ac:dyDescent="0.35">
      <c r="C5368" s="2"/>
    </row>
    <row r="5369" spans="3:3" x14ac:dyDescent="0.35">
      <c r="C5369" s="2"/>
    </row>
    <row r="5370" spans="3:3" x14ac:dyDescent="0.35">
      <c r="C5370" s="2"/>
    </row>
    <row r="5371" spans="3:3" x14ac:dyDescent="0.35">
      <c r="C5371" s="2"/>
    </row>
    <row r="5372" spans="3:3" x14ac:dyDescent="0.35">
      <c r="C5372" s="2"/>
    </row>
    <row r="5373" spans="3:3" x14ac:dyDescent="0.35">
      <c r="C5373" s="2"/>
    </row>
    <row r="5374" spans="3:3" x14ac:dyDescent="0.35">
      <c r="C5374" s="2"/>
    </row>
    <row r="5375" spans="3:3" x14ac:dyDescent="0.35">
      <c r="C5375" s="2"/>
    </row>
    <row r="5376" spans="3:3" x14ac:dyDescent="0.35">
      <c r="C5376" s="2"/>
    </row>
    <row r="5377" spans="3:3" x14ac:dyDescent="0.35">
      <c r="C5377" s="2"/>
    </row>
    <row r="5378" spans="3:3" x14ac:dyDescent="0.35">
      <c r="C5378" s="2"/>
    </row>
    <row r="5379" spans="3:3" x14ac:dyDescent="0.35">
      <c r="C5379" s="2"/>
    </row>
    <row r="5380" spans="3:3" x14ac:dyDescent="0.35">
      <c r="C5380" s="2"/>
    </row>
    <row r="5381" spans="3:3" x14ac:dyDescent="0.35">
      <c r="C5381" s="2"/>
    </row>
    <row r="5382" spans="3:3" x14ac:dyDescent="0.35">
      <c r="C5382" s="2"/>
    </row>
    <row r="5383" spans="3:3" x14ac:dyDescent="0.35">
      <c r="C5383" s="2"/>
    </row>
    <row r="5384" spans="3:3" x14ac:dyDescent="0.35">
      <c r="C5384" s="2"/>
    </row>
    <row r="5385" spans="3:3" x14ac:dyDescent="0.35">
      <c r="C5385" s="2"/>
    </row>
    <row r="5386" spans="3:3" x14ac:dyDescent="0.35">
      <c r="C5386" s="2"/>
    </row>
    <row r="5387" spans="3:3" x14ac:dyDescent="0.35">
      <c r="C5387" s="2"/>
    </row>
    <row r="5388" spans="3:3" x14ac:dyDescent="0.35">
      <c r="C5388" s="2"/>
    </row>
    <row r="5389" spans="3:3" x14ac:dyDescent="0.35">
      <c r="C5389" s="2"/>
    </row>
    <row r="5390" spans="3:3" x14ac:dyDescent="0.35">
      <c r="C5390" s="2"/>
    </row>
    <row r="5391" spans="3:3" x14ac:dyDescent="0.35">
      <c r="C5391" s="2"/>
    </row>
    <row r="5392" spans="3:3" x14ac:dyDescent="0.35">
      <c r="C5392" s="2"/>
    </row>
    <row r="5393" spans="3:3" x14ac:dyDescent="0.35">
      <c r="C5393" s="2"/>
    </row>
    <row r="5394" spans="3:3" x14ac:dyDescent="0.35">
      <c r="C5394" s="2"/>
    </row>
    <row r="5395" spans="3:3" x14ac:dyDescent="0.35">
      <c r="C5395" s="2"/>
    </row>
    <row r="5396" spans="3:3" x14ac:dyDescent="0.35">
      <c r="C5396" s="2"/>
    </row>
    <row r="5397" spans="3:3" x14ac:dyDescent="0.35">
      <c r="C5397" s="2"/>
    </row>
    <row r="5398" spans="3:3" x14ac:dyDescent="0.35">
      <c r="C5398" s="2"/>
    </row>
    <row r="5399" spans="3:3" x14ac:dyDescent="0.35">
      <c r="C5399" s="2"/>
    </row>
    <row r="5400" spans="3:3" x14ac:dyDescent="0.35">
      <c r="C5400" s="2"/>
    </row>
    <row r="5401" spans="3:3" x14ac:dyDescent="0.35">
      <c r="C5401" s="2"/>
    </row>
    <row r="5402" spans="3:3" x14ac:dyDescent="0.35">
      <c r="C5402" s="2"/>
    </row>
    <row r="5403" spans="3:3" x14ac:dyDescent="0.35">
      <c r="C5403" s="2"/>
    </row>
    <row r="5404" spans="3:3" x14ac:dyDescent="0.35">
      <c r="C5404" s="2"/>
    </row>
    <row r="5405" spans="3:3" x14ac:dyDescent="0.35">
      <c r="C5405" s="2"/>
    </row>
    <row r="5406" spans="3:3" x14ac:dyDescent="0.35">
      <c r="C5406" s="2"/>
    </row>
    <row r="5407" spans="3:3" x14ac:dyDescent="0.35">
      <c r="C5407" s="2"/>
    </row>
    <row r="5408" spans="3:3" x14ac:dyDescent="0.35">
      <c r="C5408" s="2"/>
    </row>
    <row r="5409" spans="3:3" x14ac:dyDescent="0.35">
      <c r="C5409" s="2"/>
    </row>
    <row r="5410" spans="3:3" x14ac:dyDescent="0.35">
      <c r="C5410" s="2"/>
    </row>
    <row r="5411" spans="3:3" x14ac:dyDescent="0.35">
      <c r="C5411" s="2"/>
    </row>
    <row r="5412" spans="3:3" x14ac:dyDescent="0.35">
      <c r="C5412" s="2"/>
    </row>
    <row r="5413" spans="3:3" x14ac:dyDescent="0.35">
      <c r="C5413" s="2"/>
    </row>
    <row r="5414" spans="3:3" x14ac:dyDescent="0.35">
      <c r="C5414" s="2"/>
    </row>
    <row r="5415" spans="3:3" x14ac:dyDescent="0.35">
      <c r="C5415" s="2"/>
    </row>
    <row r="5416" spans="3:3" x14ac:dyDescent="0.35">
      <c r="C5416" s="2"/>
    </row>
    <row r="5417" spans="3:3" x14ac:dyDescent="0.35">
      <c r="C5417" s="2"/>
    </row>
    <row r="5418" spans="3:3" x14ac:dyDescent="0.35">
      <c r="C5418" s="2"/>
    </row>
    <row r="5419" spans="3:3" x14ac:dyDescent="0.35">
      <c r="C5419" s="2"/>
    </row>
    <row r="5420" spans="3:3" x14ac:dyDescent="0.35">
      <c r="C5420" s="2"/>
    </row>
    <row r="5421" spans="3:3" x14ac:dyDescent="0.35">
      <c r="C5421" s="2"/>
    </row>
    <row r="5422" spans="3:3" x14ac:dyDescent="0.35">
      <c r="C5422" s="2"/>
    </row>
    <row r="5423" spans="3:3" x14ac:dyDescent="0.35">
      <c r="C5423" s="2"/>
    </row>
    <row r="5424" spans="3:3" x14ac:dyDescent="0.35">
      <c r="C5424" s="2"/>
    </row>
    <row r="5425" spans="3:3" x14ac:dyDescent="0.35">
      <c r="C5425" s="2"/>
    </row>
    <row r="5426" spans="3:3" x14ac:dyDescent="0.35">
      <c r="C5426" s="2"/>
    </row>
    <row r="5427" spans="3:3" x14ac:dyDescent="0.35">
      <c r="C5427" s="2"/>
    </row>
    <row r="5428" spans="3:3" x14ac:dyDescent="0.35">
      <c r="C5428" s="2"/>
    </row>
    <row r="5429" spans="3:3" x14ac:dyDescent="0.35">
      <c r="C5429" s="2"/>
    </row>
    <row r="5430" spans="3:3" x14ac:dyDescent="0.35">
      <c r="C5430" s="2"/>
    </row>
    <row r="5431" spans="3:3" x14ac:dyDescent="0.35">
      <c r="C5431" s="2"/>
    </row>
    <row r="5432" spans="3:3" x14ac:dyDescent="0.35">
      <c r="C5432" s="2"/>
    </row>
    <row r="5433" spans="3:3" x14ac:dyDescent="0.35">
      <c r="C5433" s="2"/>
    </row>
    <row r="5434" spans="3:3" x14ac:dyDescent="0.35">
      <c r="C5434" s="2"/>
    </row>
    <row r="5435" spans="3:3" x14ac:dyDescent="0.35">
      <c r="C5435" s="2"/>
    </row>
    <row r="5436" spans="3:3" x14ac:dyDescent="0.35">
      <c r="C5436" s="2"/>
    </row>
    <row r="5437" spans="3:3" x14ac:dyDescent="0.35">
      <c r="C5437" s="2"/>
    </row>
    <row r="5438" spans="3:3" x14ac:dyDescent="0.35">
      <c r="C5438" s="2"/>
    </row>
    <row r="5439" spans="3:3" x14ac:dyDescent="0.35">
      <c r="C5439" s="2"/>
    </row>
    <row r="5440" spans="3:3" x14ac:dyDescent="0.35">
      <c r="C5440" s="2"/>
    </row>
    <row r="5441" spans="3:3" x14ac:dyDescent="0.35">
      <c r="C5441" s="2"/>
    </row>
    <row r="5442" spans="3:3" x14ac:dyDescent="0.35">
      <c r="C5442" s="2"/>
    </row>
    <row r="5443" spans="3:3" x14ac:dyDescent="0.35">
      <c r="C5443" s="2"/>
    </row>
    <row r="5444" spans="3:3" x14ac:dyDescent="0.35">
      <c r="C5444" s="2"/>
    </row>
    <row r="5445" spans="3:3" x14ac:dyDescent="0.35">
      <c r="C5445" s="2"/>
    </row>
    <row r="5446" spans="3:3" x14ac:dyDescent="0.35">
      <c r="C5446" s="2"/>
    </row>
    <row r="5447" spans="3:3" x14ac:dyDescent="0.35">
      <c r="C5447" s="2"/>
    </row>
    <row r="5448" spans="3:3" x14ac:dyDescent="0.35">
      <c r="C5448" s="2"/>
    </row>
    <row r="5449" spans="3:3" x14ac:dyDescent="0.35">
      <c r="C5449" s="2"/>
    </row>
    <row r="5450" spans="3:3" x14ac:dyDescent="0.35">
      <c r="C5450" s="2"/>
    </row>
    <row r="5451" spans="3:3" x14ac:dyDescent="0.35">
      <c r="C5451" s="2"/>
    </row>
    <row r="5452" spans="3:3" x14ac:dyDescent="0.35">
      <c r="C5452" s="2"/>
    </row>
    <row r="5453" spans="3:3" x14ac:dyDescent="0.35">
      <c r="C5453" s="2"/>
    </row>
    <row r="5454" spans="3:3" x14ac:dyDescent="0.35">
      <c r="C5454" s="2"/>
    </row>
    <row r="5455" spans="3:3" x14ac:dyDescent="0.35">
      <c r="C5455" s="2"/>
    </row>
    <row r="5456" spans="3:3" x14ac:dyDescent="0.35">
      <c r="C5456" s="2"/>
    </row>
    <row r="5457" spans="3:3" x14ac:dyDescent="0.35">
      <c r="C5457" s="2"/>
    </row>
    <row r="5458" spans="3:3" x14ac:dyDescent="0.35">
      <c r="C5458" s="2"/>
    </row>
    <row r="5459" spans="3:3" x14ac:dyDescent="0.35">
      <c r="C5459" s="2"/>
    </row>
    <row r="5460" spans="3:3" x14ac:dyDescent="0.35">
      <c r="C5460" s="2"/>
    </row>
    <row r="5461" spans="3:3" x14ac:dyDescent="0.35">
      <c r="C5461" s="2"/>
    </row>
    <row r="5462" spans="3:3" x14ac:dyDescent="0.35">
      <c r="C5462" s="2"/>
    </row>
    <row r="5463" spans="3:3" x14ac:dyDescent="0.35">
      <c r="C5463" s="2"/>
    </row>
    <row r="5464" spans="3:3" x14ac:dyDescent="0.35">
      <c r="C5464" s="2"/>
    </row>
    <row r="5465" spans="3:3" x14ac:dyDescent="0.35">
      <c r="C5465" s="2"/>
    </row>
    <row r="5466" spans="3:3" x14ac:dyDescent="0.35">
      <c r="C5466" s="2"/>
    </row>
    <row r="5467" spans="3:3" x14ac:dyDescent="0.35">
      <c r="C5467" s="2"/>
    </row>
    <row r="5468" spans="3:3" x14ac:dyDescent="0.35">
      <c r="C5468" s="2"/>
    </row>
    <row r="5469" spans="3:3" x14ac:dyDescent="0.35">
      <c r="C5469" s="2"/>
    </row>
    <row r="5470" spans="3:3" x14ac:dyDescent="0.35">
      <c r="C5470" s="2"/>
    </row>
    <row r="5471" spans="3:3" x14ac:dyDescent="0.35">
      <c r="C5471" s="2"/>
    </row>
    <row r="5472" spans="3:3" x14ac:dyDescent="0.35">
      <c r="C5472" s="2"/>
    </row>
    <row r="5473" spans="3:3" x14ac:dyDescent="0.35">
      <c r="C5473" s="2"/>
    </row>
    <row r="5474" spans="3:3" x14ac:dyDescent="0.35">
      <c r="C5474" s="2"/>
    </row>
    <row r="5475" spans="3:3" x14ac:dyDescent="0.35">
      <c r="C5475" s="2"/>
    </row>
    <row r="5476" spans="3:3" x14ac:dyDescent="0.35">
      <c r="C5476" s="2"/>
    </row>
    <row r="5477" spans="3:3" x14ac:dyDescent="0.35">
      <c r="C5477" s="2"/>
    </row>
    <row r="5478" spans="3:3" x14ac:dyDescent="0.35">
      <c r="C5478" s="2"/>
    </row>
    <row r="5479" spans="3:3" x14ac:dyDescent="0.35">
      <c r="C5479" s="2"/>
    </row>
    <row r="5480" spans="3:3" x14ac:dyDescent="0.35">
      <c r="C5480" s="2"/>
    </row>
    <row r="5481" spans="3:3" x14ac:dyDescent="0.35">
      <c r="C5481" s="2"/>
    </row>
    <row r="5482" spans="3:3" x14ac:dyDescent="0.35">
      <c r="C5482" s="2"/>
    </row>
    <row r="5483" spans="3:3" x14ac:dyDescent="0.35">
      <c r="C5483" s="2"/>
    </row>
    <row r="5484" spans="3:3" x14ac:dyDescent="0.35">
      <c r="C5484" s="2"/>
    </row>
    <row r="5485" spans="3:3" x14ac:dyDescent="0.35">
      <c r="C5485" s="2"/>
    </row>
    <row r="5486" spans="3:3" x14ac:dyDescent="0.35">
      <c r="C5486" s="2"/>
    </row>
    <row r="5487" spans="3:3" x14ac:dyDescent="0.35">
      <c r="C5487" s="2"/>
    </row>
    <row r="5488" spans="3:3" x14ac:dyDescent="0.35">
      <c r="C5488" s="2"/>
    </row>
    <row r="5489" spans="3:3" x14ac:dyDescent="0.35">
      <c r="C5489" s="2"/>
    </row>
    <row r="5490" spans="3:3" x14ac:dyDescent="0.35">
      <c r="C5490" s="2"/>
    </row>
    <row r="5491" spans="3:3" x14ac:dyDescent="0.35">
      <c r="C5491" s="2"/>
    </row>
    <row r="5492" spans="3:3" x14ac:dyDescent="0.35">
      <c r="C5492" s="2"/>
    </row>
    <row r="5493" spans="3:3" x14ac:dyDescent="0.35">
      <c r="C5493" s="2"/>
    </row>
    <row r="5494" spans="3:3" x14ac:dyDescent="0.35">
      <c r="C5494" s="2"/>
    </row>
    <row r="5495" spans="3:3" x14ac:dyDescent="0.35">
      <c r="C5495" s="2"/>
    </row>
    <row r="5496" spans="3:3" x14ac:dyDescent="0.35">
      <c r="C5496" s="2"/>
    </row>
    <row r="5497" spans="3:3" x14ac:dyDescent="0.35">
      <c r="C5497" s="2"/>
    </row>
    <row r="5498" spans="3:3" x14ac:dyDescent="0.35">
      <c r="C5498" s="2"/>
    </row>
    <row r="5499" spans="3:3" x14ac:dyDescent="0.35">
      <c r="C5499" s="2"/>
    </row>
    <row r="5500" spans="3:3" x14ac:dyDescent="0.35">
      <c r="C5500" s="2"/>
    </row>
    <row r="5501" spans="3:3" x14ac:dyDescent="0.35">
      <c r="C5501" s="2"/>
    </row>
    <row r="5502" spans="3:3" x14ac:dyDescent="0.35">
      <c r="C5502" s="2"/>
    </row>
    <row r="5503" spans="3:3" x14ac:dyDescent="0.35">
      <c r="C5503" s="2"/>
    </row>
    <row r="5504" spans="3:3" x14ac:dyDescent="0.35">
      <c r="C5504" s="2"/>
    </row>
    <row r="5505" spans="3:3" x14ac:dyDescent="0.35">
      <c r="C5505" s="2"/>
    </row>
    <row r="5506" spans="3:3" x14ac:dyDescent="0.35">
      <c r="C5506" s="2"/>
    </row>
    <row r="5507" spans="3:3" x14ac:dyDescent="0.35">
      <c r="C5507" s="2"/>
    </row>
    <row r="5508" spans="3:3" x14ac:dyDescent="0.35">
      <c r="C5508" s="2"/>
    </row>
    <row r="5509" spans="3:3" x14ac:dyDescent="0.35">
      <c r="C5509" s="2"/>
    </row>
    <row r="5510" spans="3:3" x14ac:dyDescent="0.35">
      <c r="C5510" s="2"/>
    </row>
    <row r="5511" spans="3:3" x14ac:dyDescent="0.35">
      <c r="C5511" s="2"/>
    </row>
    <row r="5512" spans="3:3" x14ac:dyDescent="0.35">
      <c r="C5512" s="2"/>
    </row>
    <row r="5513" spans="3:3" x14ac:dyDescent="0.35">
      <c r="C5513" s="2"/>
    </row>
    <row r="5514" spans="3:3" x14ac:dyDescent="0.35">
      <c r="C5514" s="2"/>
    </row>
    <row r="5515" spans="3:3" x14ac:dyDescent="0.35">
      <c r="C5515" s="2"/>
    </row>
    <row r="5516" spans="3:3" x14ac:dyDescent="0.35">
      <c r="C5516" s="2"/>
    </row>
    <row r="5517" spans="3:3" x14ac:dyDescent="0.35">
      <c r="C5517" s="2"/>
    </row>
    <row r="5518" spans="3:3" x14ac:dyDescent="0.35">
      <c r="C5518" s="2"/>
    </row>
    <row r="5519" spans="3:3" x14ac:dyDescent="0.35">
      <c r="C5519" s="2"/>
    </row>
    <row r="5520" spans="3:3" x14ac:dyDescent="0.35">
      <c r="C5520" s="2"/>
    </row>
    <row r="5521" spans="3:3" x14ac:dyDescent="0.35">
      <c r="C5521" s="2"/>
    </row>
    <row r="5522" spans="3:3" x14ac:dyDescent="0.35">
      <c r="C5522" s="2"/>
    </row>
    <row r="5523" spans="3:3" x14ac:dyDescent="0.35">
      <c r="C5523" s="2"/>
    </row>
    <row r="5524" spans="3:3" x14ac:dyDescent="0.35">
      <c r="C5524" s="2"/>
    </row>
    <row r="5525" spans="3:3" x14ac:dyDescent="0.35">
      <c r="C5525" s="2"/>
    </row>
    <row r="5526" spans="3:3" x14ac:dyDescent="0.35">
      <c r="C5526" s="2"/>
    </row>
    <row r="5527" spans="3:3" x14ac:dyDescent="0.35">
      <c r="C5527" s="2"/>
    </row>
    <row r="5528" spans="3:3" x14ac:dyDescent="0.35">
      <c r="C5528" s="2"/>
    </row>
    <row r="5529" spans="3:3" x14ac:dyDescent="0.35">
      <c r="C5529" s="2"/>
    </row>
    <row r="5530" spans="3:3" x14ac:dyDescent="0.35">
      <c r="C5530" s="2"/>
    </row>
    <row r="5531" spans="3:3" x14ac:dyDescent="0.35">
      <c r="C5531" s="2"/>
    </row>
    <row r="5532" spans="3:3" x14ac:dyDescent="0.35">
      <c r="C5532" s="2"/>
    </row>
    <row r="5533" spans="3:3" x14ac:dyDescent="0.35">
      <c r="C5533" s="2"/>
    </row>
    <row r="5534" spans="3:3" x14ac:dyDescent="0.35">
      <c r="C5534" s="2"/>
    </row>
    <row r="5535" spans="3:3" x14ac:dyDescent="0.35">
      <c r="C5535" s="2"/>
    </row>
    <row r="5536" spans="3:3" x14ac:dyDescent="0.35">
      <c r="C5536" s="2"/>
    </row>
    <row r="5537" spans="3:3" x14ac:dyDescent="0.35">
      <c r="C5537" s="2"/>
    </row>
    <row r="5538" spans="3:3" x14ac:dyDescent="0.35">
      <c r="C5538" s="2"/>
    </row>
    <row r="5539" spans="3:3" x14ac:dyDescent="0.35">
      <c r="C5539" s="2"/>
    </row>
    <row r="5540" spans="3:3" x14ac:dyDescent="0.35">
      <c r="C5540" s="2"/>
    </row>
    <row r="5541" spans="3:3" x14ac:dyDescent="0.35">
      <c r="C5541" s="2"/>
    </row>
    <row r="5542" spans="3:3" x14ac:dyDescent="0.35">
      <c r="C5542" s="2"/>
    </row>
    <row r="5543" spans="3:3" x14ac:dyDescent="0.35">
      <c r="C5543" s="2"/>
    </row>
    <row r="5544" spans="3:3" x14ac:dyDescent="0.35">
      <c r="C5544" s="2"/>
    </row>
    <row r="5545" spans="3:3" x14ac:dyDescent="0.35">
      <c r="C5545" s="2"/>
    </row>
    <row r="5546" spans="3:3" x14ac:dyDescent="0.35">
      <c r="C5546" s="2"/>
    </row>
    <row r="5547" spans="3:3" x14ac:dyDescent="0.35">
      <c r="C5547" s="2"/>
    </row>
    <row r="5548" spans="3:3" x14ac:dyDescent="0.35">
      <c r="C5548" s="2"/>
    </row>
    <row r="5549" spans="3:3" x14ac:dyDescent="0.35">
      <c r="C5549" s="2"/>
    </row>
    <row r="5550" spans="3:3" x14ac:dyDescent="0.35">
      <c r="C5550" s="2"/>
    </row>
    <row r="5551" spans="3:3" x14ac:dyDescent="0.35">
      <c r="C5551" s="2"/>
    </row>
    <row r="5552" spans="3:3" x14ac:dyDescent="0.35">
      <c r="C5552" s="2"/>
    </row>
    <row r="5553" spans="3:3" x14ac:dyDescent="0.35">
      <c r="C5553" s="2"/>
    </row>
    <row r="5554" spans="3:3" x14ac:dyDescent="0.35">
      <c r="C5554" s="2"/>
    </row>
    <row r="5555" spans="3:3" x14ac:dyDescent="0.35">
      <c r="C5555" s="2"/>
    </row>
    <row r="5556" spans="3:3" x14ac:dyDescent="0.35">
      <c r="C5556" s="2"/>
    </row>
    <row r="5557" spans="3:3" x14ac:dyDescent="0.35">
      <c r="C5557" s="2"/>
    </row>
    <row r="5558" spans="3:3" x14ac:dyDescent="0.35">
      <c r="C5558" s="2"/>
    </row>
    <row r="5559" spans="3:3" x14ac:dyDescent="0.35">
      <c r="C5559" s="2"/>
    </row>
    <row r="5560" spans="3:3" x14ac:dyDescent="0.35">
      <c r="C5560" s="2"/>
    </row>
    <row r="5561" spans="3:3" x14ac:dyDescent="0.35">
      <c r="C5561" s="2"/>
    </row>
    <row r="5562" spans="3:3" x14ac:dyDescent="0.35">
      <c r="C5562" s="2"/>
    </row>
    <row r="5563" spans="3:3" x14ac:dyDescent="0.35">
      <c r="C5563" s="2"/>
    </row>
    <row r="5564" spans="3:3" x14ac:dyDescent="0.35">
      <c r="C5564" s="2"/>
    </row>
    <row r="5565" spans="3:3" x14ac:dyDescent="0.35">
      <c r="C5565" s="2"/>
    </row>
    <row r="5566" spans="3:3" x14ac:dyDescent="0.35">
      <c r="C5566" s="2"/>
    </row>
    <row r="5567" spans="3:3" x14ac:dyDescent="0.35">
      <c r="C5567" s="2"/>
    </row>
    <row r="5568" spans="3:3" x14ac:dyDescent="0.35">
      <c r="C5568" s="2"/>
    </row>
    <row r="5569" spans="3:3" x14ac:dyDescent="0.35">
      <c r="C5569" s="2"/>
    </row>
    <row r="5570" spans="3:3" x14ac:dyDescent="0.35">
      <c r="C5570" s="2"/>
    </row>
    <row r="5571" spans="3:3" x14ac:dyDescent="0.35">
      <c r="C5571" s="2"/>
    </row>
    <row r="5572" spans="3:3" x14ac:dyDescent="0.35">
      <c r="C5572" s="2"/>
    </row>
    <row r="5573" spans="3:3" x14ac:dyDescent="0.35">
      <c r="C5573" s="2"/>
    </row>
    <row r="5574" spans="3:3" x14ac:dyDescent="0.35">
      <c r="C5574" s="2"/>
    </row>
    <row r="5575" spans="3:3" x14ac:dyDescent="0.35">
      <c r="C5575" s="2"/>
    </row>
    <row r="5576" spans="3:3" x14ac:dyDescent="0.35">
      <c r="C5576" s="2"/>
    </row>
    <row r="5577" spans="3:3" x14ac:dyDescent="0.35">
      <c r="C5577" s="2"/>
    </row>
    <row r="5578" spans="3:3" x14ac:dyDescent="0.35">
      <c r="C5578" s="2"/>
    </row>
    <row r="5579" spans="3:3" x14ac:dyDescent="0.35">
      <c r="C5579" s="2"/>
    </row>
    <row r="5580" spans="3:3" x14ac:dyDescent="0.35">
      <c r="C5580" s="2"/>
    </row>
    <row r="5581" spans="3:3" x14ac:dyDescent="0.35">
      <c r="C5581" s="2"/>
    </row>
    <row r="5582" spans="3:3" x14ac:dyDescent="0.35">
      <c r="C5582" s="2"/>
    </row>
    <row r="5583" spans="3:3" x14ac:dyDescent="0.35">
      <c r="C5583" s="2"/>
    </row>
    <row r="5584" spans="3:3" x14ac:dyDescent="0.35">
      <c r="C5584" s="2"/>
    </row>
    <row r="5585" spans="3:3" x14ac:dyDescent="0.35">
      <c r="C5585" s="2"/>
    </row>
    <row r="5586" spans="3:3" x14ac:dyDescent="0.35">
      <c r="C5586" s="2"/>
    </row>
    <row r="5587" spans="3:3" x14ac:dyDescent="0.35">
      <c r="C5587" s="2"/>
    </row>
    <row r="5588" spans="3:3" x14ac:dyDescent="0.35">
      <c r="C5588" s="2"/>
    </row>
    <row r="5589" spans="3:3" x14ac:dyDescent="0.35">
      <c r="C5589" s="2"/>
    </row>
    <row r="5590" spans="3:3" x14ac:dyDescent="0.35">
      <c r="C5590" s="2"/>
    </row>
    <row r="5591" spans="3:3" x14ac:dyDescent="0.35">
      <c r="C5591" s="2"/>
    </row>
    <row r="5592" spans="3:3" x14ac:dyDescent="0.35">
      <c r="C5592" s="2"/>
    </row>
    <row r="5593" spans="3:3" x14ac:dyDescent="0.35">
      <c r="C5593" s="2"/>
    </row>
    <row r="5594" spans="3:3" x14ac:dyDescent="0.35">
      <c r="C5594" s="2"/>
    </row>
    <row r="5595" spans="3:3" x14ac:dyDescent="0.35">
      <c r="C5595" s="2"/>
    </row>
    <row r="5596" spans="3:3" x14ac:dyDescent="0.35">
      <c r="C5596" s="2"/>
    </row>
    <row r="5597" spans="3:3" x14ac:dyDescent="0.35">
      <c r="C5597" s="2"/>
    </row>
    <row r="5598" spans="3:3" x14ac:dyDescent="0.35">
      <c r="C5598" s="2"/>
    </row>
    <row r="5599" spans="3:3" x14ac:dyDescent="0.35">
      <c r="C5599" s="2"/>
    </row>
    <row r="5600" spans="3:3" x14ac:dyDescent="0.35">
      <c r="C5600" s="2"/>
    </row>
    <row r="5601" spans="3:3" x14ac:dyDescent="0.35">
      <c r="C5601" s="2"/>
    </row>
    <row r="5602" spans="3:3" x14ac:dyDescent="0.35">
      <c r="C5602" s="2"/>
    </row>
    <row r="5603" spans="3:3" x14ac:dyDescent="0.35">
      <c r="C5603" s="2"/>
    </row>
    <row r="5604" spans="3:3" x14ac:dyDescent="0.35">
      <c r="C5604" s="2"/>
    </row>
    <row r="5605" spans="3:3" x14ac:dyDescent="0.35">
      <c r="C5605" s="2"/>
    </row>
    <row r="5606" spans="3:3" x14ac:dyDescent="0.35">
      <c r="C5606" s="2"/>
    </row>
    <row r="5607" spans="3:3" x14ac:dyDescent="0.35">
      <c r="C5607" s="2"/>
    </row>
    <row r="5608" spans="3:3" x14ac:dyDescent="0.35">
      <c r="C5608" s="2"/>
    </row>
    <row r="5609" spans="3:3" x14ac:dyDescent="0.35">
      <c r="C5609" s="2"/>
    </row>
    <row r="5610" spans="3:3" x14ac:dyDescent="0.35">
      <c r="C5610" s="2"/>
    </row>
    <row r="5611" spans="3:3" x14ac:dyDescent="0.35">
      <c r="C5611" s="2"/>
    </row>
    <row r="5612" spans="3:3" x14ac:dyDescent="0.35">
      <c r="C5612" s="2"/>
    </row>
    <row r="5613" spans="3:3" x14ac:dyDescent="0.35">
      <c r="C5613" s="2"/>
    </row>
    <row r="5614" spans="3:3" x14ac:dyDescent="0.35">
      <c r="C5614" s="2"/>
    </row>
    <row r="5615" spans="3:3" x14ac:dyDescent="0.35">
      <c r="C5615" s="2"/>
    </row>
    <row r="5616" spans="3:3" x14ac:dyDescent="0.35">
      <c r="C5616" s="2"/>
    </row>
    <row r="5617" spans="3:3" x14ac:dyDescent="0.35">
      <c r="C5617" s="2"/>
    </row>
    <row r="5618" spans="3:3" x14ac:dyDescent="0.35">
      <c r="C5618" s="2"/>
    </row>
    <row r="5619" spans="3:3" x14ac:dyDescent="0.35">
      <c r="C5619" s="2"/>
    </row>
    <row r="5620" spans="3:3" x14ac:dyDescent="0.35">
      <c r="C5620" s="2"/>
    </row>
    <row r="5621" spans="3:3" x14ac:dyDescent="0.35">
      <c r="C5621" s="2"/>
    </row>
    <row r="5622" spans="3:3" x14ac:dyDescent="0.35">
      <c r="C5622" s="2"/>
    </row>
    <row r="5623" spans="3:3" x14ac:dyDescent="0.35">
      <c r="C5623" s="2"/>
    </row>
    <row r="5624" spans="3:3" x14ac:dyDescent="0.35">
      <c r="C5624" s="2"/>
    </row>
    <row r="5625" spans="3:3" x14ac:dyDescent="0.35">
      <c r="C5625" s="2"/>
    </row>
    <row r="5626" spans="3:3" x14ac:dyDescent="0.35">
      <c r="C5626" s="2"/>
    </row>
    <row r="5627" spans="3:3" x14ac:dyDescent="0.35">
      <c r="C5627" s="2"/>
    </row>
    <row r="5628" spans="3:3" x14ac:dyDescent="0.35">
      <c r="C5628" s="2"/>
    </row>
    <row r="5629" spans="3:3" x14ac:dyDescent="0.35">
      <c r="C5629" s="2"/>
    </row>
    <row r="5630" spans="3:3" x14ac:dyDescent="0.35">
      <c r="C5630" s="2"/>
    </row>
    <row r="5631" spans="3:3" x14ac:dyDescent="0.35">
      <c r="C5631" s="2"/>
    </row>
    <row r="5632" spans="3:3" x14ac:dyDescent="0.35">
      <c r="C5632" s="2"/>
    </row>
    <row r="5633" spans="3:3" x14ac:dyDescent="0.35">
      <c r="C5633" s="2"/>
    </row>
    <row r="5634" spans="3:3" x14ac:dyDescent="0.35">
      <c r="C5634" s="2"/>
    </row>
    <row r="5635" spans="3:3" x14ac:dyDescent="0.35">
      <c r="C5635" s="2"/>
    </row>
    <row r="5636" spans="3:3" x14ac:dyDescent="0.35">
      <c r="C5636" s="2"/>
    </row>
    <row r="5637" spans="3:3" x14ac:dyDescent="0.35">
      <c r="C5637" s="2"/>
    </row>
    <row r="5638" spans="3:3" x14ac:dyDescent="0.35">
      <c r="C5638" s="2"/>
    </row>
    <row r="5639" spans="3:3" x14ac:dyDescent="0.35">
      <c r="C5639" s="2"/>
    </row>
    <row r="5640" spans="3:3" x14ac:dyDescent="0.35">
      <c r="C5640" s="2"/>
    </row>
    <row r="5641" spans="3:3" x14ac:dyDescent="0.35">
      <c r="C5641" s="2"/>
    </row>
    <row r="5642" spans="3:3" x14ac:dyDescent="0.35">
      <c r="C5642" s="2"/>
    </row>
    <row r="5643" spans="3:3" x14ac:dyDescent="0.35">
      <c r="C5643" s="2"/>
    </row>
    <row r="5644" spans="3:3" x14ac:dyDescent="0.35">
      <c r="C5644" s="2"/>
    </row>
    <row r="5645" spans="3:3" x14ac:dyDescent="0.35">
      <c r="C5645" s="2"/>
    </row>
    <row r="5646" spans="3:3" x14ac:dyDescent="0.35">
      <c r="C5646" s="2"/>
    </row>
    <row r="5647" spans="3:3" x14ac:dyDescent="0.35">
      <c r="C5647" s="2"/>
    </row>
    <row r="5648" spans="3:3" x14ac:dyDescent="0.35">
      <c r="C5648" s="2"/>
    </row>
    <row r="5649" spans="3:3" x14ac:dyDescent="0.35">
      <c r="C5649" s="2"/>
    </row>
    <row r="5650" spans="3:3" x14ac:dyDescent="0.35">
      <c r="C5650" s="2"/>
    </row>
    <row r="5651" spans="3:3" x14ac:dyDescent="0.35">
      <c r="C5651" s="2"/>
    </row>
    <row r="5652" spans="3:3" x14ac:dyDescent="0.35">
      <c r="C5652" s="2"/>
    </row>
    <row r="5653" spans="3:3" x14ac:dyDescent="0.35">
      <c r="C5653" s="2"/>
    </row>
    <row r="5654" spans="3:3" x14ac:dyDescent="0.35">
      <c r="C5654" s="2"/>
    </row>
    <row r="5655" spans="3:3" x14ac:dyDescent="0.35">
      <c r="C5655" s="2"/>
    </row>
    <row r="5656" spans="3:3" x14ac:dyDescent="0.35">
      <c r="C5656" s="2"/>
    </row>
    <row r="5657" spans="3:3" x14ac:dyDescent="0.35">
      <c r="C5657" s="2"/>
    </row>
    <row r="5658" spans="3:3" x14ac:dyDescent="0.35">
      <c r="C5658" s="2"/>
    </row>
    <row r="5659" spans="3:3" x14ac:dyDescent="0.35">
      <c r="C5659" s="2"/>
    </row>
    <row r="5660" spans="3:3" x14ac:dyDescent="0.35">
      <c r="C5660" s="2"/>
    </row>
    <row r="5661" spans="3:3" x14ac:dyDescent="0.35">
      <c r="C5661" s="2"/>
    </row>
    <row r="5662" spans="3:3" x14ac:dyDescent="0.35">
      <c r="C5662" s="2"/>
    </row>
    <row r="5663" spans="3:3" x14ac:dyDescent="0.35">
      <c r="C5663" s="2"/>
    </row>
    <row r="5664" spans="3:3" x14ac:dyDescent="0.35">
      <c r="C5664" s="2"/>
    </row>
    <row r="5665" spans="3:3" x14ac:dyDescent="0.35">
      <c r="C5665" s="2"/>
    </row>
    <row r="5666" spans="3:3" x14ac:dyDescent="0.35">
      <c r="C5666" s="2"/>
    </row>
    <row r="5667" spans="3:3" x14ac:dyDescent="0.35">
      <c r="C5667" s="2"/>
    </row>
    <row r="5668" spans="3:3" x14ac:dyDescent="0.35">
      <c r="C5668" s="2"/>
    </row>
    <row r="5669" spans="3:3" x14ac:dyDescent="0.35">
      <c r="C5669" s="2"/>
    </row>
    <row r="5670" spans="3:3" x14ac:dyDescent="0.35">
      <c r="C5670" s="2"/>
    </row>
    <row r="5671" spans="3:3" x14ac:dyDescent="0.35">
      <c r="C5671" s="2"/>
    </row>
    <row r="5672" spans="3:3" x14ac:dyDescent="0.35">
      <c r="C5672" s="2"/>
    </row>
    <row r="5673" spans="3:3" x14ac:dyDescent="0.35">
      <c r="C5673" s="2"/>
    </row>
    <row r="5674" spans="3:3" x14ac:dyDescent="0.35">
      <c r="C5674" s="2"/>
    </row>
    <row r="5675" spans="3:3" x14ac:dyDescent="0.35">
      <c r="C5675" s="2"/>
    </row>
    <row r="5676" spans="3:3" x14ac:dyDescent="0.35">
      <c r="C5676" s="2"/>
    </row>
    <row r="5677" spans="3:3" x14ac:dyDescent="0.35">
      <c r="C5677" s="2"/>
    </row>
    <row r="5678" spans="3:3" x14ac:dyDescent="0.35">
      <c r="C5678" s="2"/>
    </row>
    <row r="5679" spans="3:3" x14ac:dyDescent="0.35">
      <c r="C5679" s="2"/>
    </row>
    <row r="5680" spans="3:3" x14ac:dyDescent="0.35">
      <c r="C5680" s="2"/>
    </row>
    <row r="5681" spans="3:3" x14ac:dyDescent="0.35">
      <c r="C5681" s="2"/>
    </row>
    <row r="5682" spans="3:3" x14ac:dyDescent="0.35">
      <c r="C5682" s="2"/>
    </row>
    <row r="5683" spans="3:3" x14ac:dyDescent="0.35">
      <c r="C5683" s="2"/>
    </row>
    <row r="5684" spans="3:3" x14ac:dyDescent="0.35">
      <c r="C5684" s="2"/>
    </row>
    <row r="5685" spans="3:3" x14ac:dyDescent="0.35">
      <c r="C5685" s="2"/>
    </row>
    <row r="5686" spans="3:3" x14ac:dyDescent="0.35">
      <c r="C5686" s="2"/>
    </row>
    <row r="5687" spans="3:3" x14ac:dyDescent="0.35">
      <c r="C5687" s="2"/>
    </row>
    <row r="5688" spans="3:3" x14ac:dyDescent="0.35">
      <c r="C5688" s="2"/>
    </row>
    <row r="5689" spans="3:3" x14ac:dyDescent="0.35">
      <c r="C5689" s="2"/>
    </row>
    <row r="5690" spans="3:3" x14ac:dyDescent="0.35">
      <c r="C5690" s="2"/>
    </row>
    <row r="5691" spans="3:3" x14ac:dyDescent="0.35">
      <c r="C5691" s="2"/>
    </row>
    <row r="5692" spans="3:3" x14ac:dyDescent="0.35">
      <c r="C5692" s="2"/>
    </row>
    <row r="5693" spans="3:3" x14ac:dyDescent="0.35">
      <c r="C5693" s="2"/>
    </row>
    <row r="5694" spans="3:3" x14ac:dyDescent="0.35">
      <c r="C5694" s="2"/>
    </row>
    <row r="5695" spans="3:3" x14ac:dyDescent="0.35">
      <c r="C5695" s="2"/>
    </row>
    <row r="5696" spans="3:3" x14ac:dyDescent="0.35">
      <c r="C5696" s="2"/>
    </row>
    <row r="5697" spans="3:3" x14ac:dyDescent="0.35">
      <c r="C5697" s="2"/>
    </row>
    <row r="5698" spans="3:3" x14ac:dyDescent="0.35">
      <c r="C5698" s="2"/>
    </row>
    <row r="5699" spans="3:3" x14ac:dyDescent="0.35">
      <c r="C5699" s="2"/>
    </row>
    <row r="5700" spans="3:3" x14ac:dyDescent="0.35">
      <c r="C5700" s="2"/>
    </row>
    <row r="5701" spans="3:3" x14ac:dyDescent="0.35">
      <c r="C5701" s="2"/>
    </row>
    <row r="5702" spans="3:3" x14ac:dyDescent="0.35">
      <c r="C5702" s="2"/>
    </row>
    <row r="5703" spans="3:3" x14ac:dyDescent="0.35">
      <c r="C5703" s="2"/>
    </row>
    <row r="5704" spans="3:3" x14ac:dyDescent="0.35">
      <c r="C5704" s="2"/>
    </row>
    <row r="5705" spans="3:3" x14ac:dyDescent="0.35">
      <c r="C5705" s="2"/>
    </row>
    <row r="5706" spans="3:3" x14ac:dyDescent="0.35">
      <c r="C5706" s="2"/>
    </row>
    <row r="5707" spans="3:3" x14ac:dyDescent="0.35">
      <c r="C5707" s="2"/>
    </row>
    <row r="5708" spans="3:3" x14ac:dyDescent="0.35">
      <c r="C5708" s="2"/>
    </row>
    <row r="5709" spans="3:3" x14ac:dyDescent="0.35">
      <c r="C5709" s="2"/>
    </row>
    <row r="5710" spans="3:3" x14ac:dyDescent="0.35">
      <c r="C5710" s="2"/>
    </row>
    <row r="5711" spans="3:3" x14ac:dyDescent="0.35">
      <c r="C5711" s="2"/>
    </row>
    <row r="5712" spans="3:3" x14ac:dyDescent="0.35">
      <c r="C5712" s="2"/>
    </row>
    <row r="5713" spans="3:3" x14ac:dyDescent="0.35">
      <c r="C5713" s="2"/>
    </row>
    <row r="5714" spans="3:3" x14ac:dyDescent="0.35">
      <c r="C5714" s="2"/>
    </row>
    <row r="5715" spans="3:3" x14ac:dyDescent="0.35">
      <c r="C5715" s="2"/>
    </row>
    <row r="5716" spans="3:3" x14ac:dyDescent="0.35">
      <c r="C5716" s="2"/>
    </row>
    <row r="5717" spans="3:3" x14ac:dyDescent="0.35">
      <c r="C5717" s="2"/>
    </row>
    <row r="5718" spans="3:3" x14ac:dyDescent="0.35">
      <c r="C5718" s="2"/>
    </row>
    <row r="5719" spans="3:3" x14ac:dyDescent="0.35">
      <c r="C5719" s="2"/>
    </row>
    <row r="5720" spans="3:3" x14ac:dyDescent="0.35">
      <c r="C5720" s="2"/>
    </row>
    <row r="5721" spans="3:3" x14ac:dyDescent="0.35">
      <c r="C5721" s="2"/>
    </row>
    <row r="5722" spans="3:3" x14ac:dyDescent="0.35">
      <c r="C5722" s="2"/>
    </row>
    <row r="5723" spans="3:3" x14ac:dyDescent="0.35">
      <c r="C5723" s="2"/>
    </row>
    <row r="5724" spans="3:3" x14ac:dyDescent="0.35">
      <c r="C5724" s="2"/>
    </row>
    <row r="5725" spans="3:3" x14ac:dyDescent="0.35">
      <c r="C5725" s="2"/>
    </row>
    <row r="5726" spans="3:3" x14ac:dyDescent="0.35">
      <c r="C5726" s="2"/>
    </row>
    <row r="5727" spans="3:3" x14ac:dyDescent="0.35">
      <c r="C5727" s="2"/>
    </row>
    <row r="5728" spans="3:3" x14ac:dyDescent="0.35">
      <c r="C5728" s="2"/>
    </row>
    <row r="5729" spans="3:3" x14ac:dyDescent="0.35">
      <c r="C5729" s="2"/>
    </row>
    <row r="5730" spans="3:3" x14ac:dyDescent="0.35">
      <c r="C5730" s="2"/>
    </row>
    <row r="5731" spans="3:3" x14ac:dyDescent="0.35">
      <c r="C5731" s="2"/>
    </row>
    <row r="5732" spans="3:3" x14ac:dyDescent="0.35">
      <c r="C5732" s="2"/>
    </row>
    <row r="5733" spans="3:3" x14ac:dyDescent="0.35">
      <c r="C5733" s="2"/>
    </row>
    <row r="5734" spans="3:3" x14ac:dyDescent="0.35">
      <c r="C5734" s="2"/>
    </row>
    <row r="5735" spans="3:3" x14ac:dyDescent="0.35">
      <c r="C5735" s="2"/>
    </row>
    <row r="5736" spans="3:3" x14ac:dyDescent="0.35">
      <c r="C5736" s="2"/>
    </row>
    <row r="5737" spans="3:3" x14ac:dyDescent="0.35">
      <c r="C5737" s="2"/>
    </row>
    <row r="5738" spans="3:3" x14ac:dyDescent="0.35">
      <c r="C5738" s="2"/>
    </row>
    <row r="5739" spans="3:3" x14ac:dyDescent="0.35">
      <c r="C5739" s="2"/>
    </row>
    <row r="5740" spans="3:3" x14ac:dyDescent="0.35">
      <c r="C5740" s="2"/>
    </row>
    <row r="5741" spans="3:3" x14ac:dyDescent="0.35">
      <c r="C5741" s="2"/>
    </row>
    <row r="5742" spans="3:3" x14ac:dyDescent="0.35">
      <c r="C5742" s="2"/>
    </row>
    <row r="5743" spans="3:3" x14ac:dyDescent="0.35">
      <c r="C5743" s="2"/>
    </row>
    <row r="5744" spans="3:3" x14ac:dyDescent="0.35">
      <c r="C5744" s="2"/>
    </row>
    <row r="5745" spans="3:3" x14ac:dyDescent="0.35">
      <c r="C5745" s="2"/>
    </row>
    <row r="5746" spans="3:3" x14ac:dyDescent="0.35">
      <c r="C5746" s="2"/>
    </row>
    <row r="5747" spans="3:3" x14ac:dyDescent="0.35">
      <c r="C5747" s="2"/>
    </row>
    <row r="5748" spans="3:3" x14ac:dyDescent="0.35">
      <c r="C5748" s="2"/>
    </row>
    <row r="5749" spans="3:3" x14ac:dyDescent="0.35">
      <c r="C5749" s="2"/>
    </row>
    <row r="5750" spans="3:3" x14ac:dyDescent="0.35">
      <c r="C5750" s="2"/>
    </row>
    <row r="5751" spans="3:3" x14ac:dyDescent="0.35">
      <c r="C5751" s="2"/>
    </row>
    <row r="5752" spans="3:3" x14ac:dyDescent="0.35">
      <c r="C5752" s="2"/>
    </row>
    <row r="5753" spans="3:3" x14ac:dyDescent="0.35">
      <c r="C5753" s="2"/>
    </row>
    <row r="5754" spans="3:3" x14ac:dyDescent="0.35">
      <c r="C5754" s="2"/>
    </row>
    <row r="5755" spans="3:3" x14ac:dyDescent="0.35">
      <c r="C5755" s="2"/>
    </row>
    <row r="5756" spans="3:3" x14ac:dyDescent="0.35">
      <c r="C5756" s="2"/>
    </row>
    <row r="5757" spans="3:3" x14ac:dyDescent="0.35">
      <c r="C5757" s="2"/>
    </row>
    <row r="5758" spans="3:3" x14ac:dyDescent="0.35">
      <c r="C5758" s="2"/>
    </row>
    <row r="5759" spans="3:3" x14ac:dyDescent="0.35">
      <c r="C5759" s="2"/>
    </row>
    <row r="5760" spans="3:3" x14ac:dyDescent="0.35">
      <c r="C5760" s="2"/>
    </row>
    <row r="5761" spans="3:3" x14ac:dyDescent="0.35">
      <c r="C5761" s="2"/>
    </row>
    <row r="5762" spans="3:3" x14ac:dyDescent="0.35">
      <c r="C5762" s="2"/>
    </row>
    <row r="5763" spans="3:3" x14ac:dyDescent="0.35">
      <c r="C5763" s="2"/>
    </row>
    <row r="5764" spans="3:3" x14ac:dyDescent="0.35">
      <c r="C5764" s="2"/>
    </row>
    <row r="5765" spans="3:3" x14ac:dyDescent="0.35">
      <c r="C5765" s="2"/>
    </row>
    <row r="5766" spans="3:3" x14ac:dyDescent="0.35">
      <c r="C5766" s="2"/>
    </row>
    <row r="5767" spans="3:3" x14ac:dyDescent="0.35">
      <c r="C5767" s="2"/>
    </row>
    <row r="5768" spans="3:3" x14ac:dyDescent="0.35">
      <c r="C5768" s="2"/>
    </row>
    <row r="5769" spans="3:3" x14ac:dyDescent="0.35">
      <c r="C5769" s="2"/>
    </row>
    <row r="5770" spans="3:3" x14ac:dyDescent="0.35">
      <c r="C5770" s="2"/>
    </row>
    <row r="5771" spans="3:3" x14ac:dyDescent="0.35">
      <c r="C5771" s="2"/>
    </row>
    <row r="5772" spans="3:3" x14ac:dyDescent="0.35">
      <c r="C5772" s="2"/>
    </row>
    <row r="5773" spans="3:3" x14ac:dyDescent="0.35">
      <c r="C5773" s="2"/>
    </row>
    <row r="5774" spans="3:3" x14ac:dyDescent="0.35">
      <c r="C5774" s="2"/>
    </row>
    <row r="5775" spans="3:3" x14ac:dyDescent="0.35">
      <c r="C5775" s="2"/>
    </row>
    <row r="5776" spans="3:3" x14ac:dyDescent="0.35">
      <c r="C5776" s="2"/>
    </row>
    <row r="5777" spans="3:3" x14ac:dyDescent="0.35">
      <c r="C5777" s="2"/>
    </row>
    <row r="5778" spans="3:3" x14ac:dyDescent="0.35">
      <c r="C5778" s="2"/>
    </row>
    <row r="5779" spans="3:3" x14ac:dyDescent="0.35">
      <c r="C5779" s="2"/>
    </row>
    <row r="5780" spans="3:3" x14ac:dyDescent="0.35">
      <c r="C5780" s="2"/>
    </row>
    <row r="5781" spans="3:3" x14ac:dyDescent="0.35">
      <c r="C5781" s="2"/>
    </row>
    <row r="5782" spans="3:3" x14ac:dyDescent="0.35">
      <c r="C5782" s="2"/>
    </row>
    <row r="5783" spans="3:3" x14ac:dyDescent="0.35">
      <c r="C5783" s="2"/>
    </row>
    <row r="5784" spans="3:3" x14ac:dyDescent="0.35">
      <c r="C5784" s="2"/>
    </row>
    <row r="5785" spans="3:3" x14ac:dyDescent="0.35">
      <c r="C5785" s="2"/>
    </row>
    <row r="5786" spans="3:3" x14ac:dyDescent="0.35">
      <c r="C5786" s="2"/>
    </row>
    <row r="5787" spans="3:3" x14ac:dyDescent="0.35">
      <c r="C5787" s="2"/>
    </row>
    <row r="5788" spans="3:3" x14ac:dyDescent="0.35">
      <c r="C5788" s="2"/>
    </row>
    <row r="5789" spans="3:3" x14ac:dyDescent="0.35">
      <c r="C5789" s="2"/>
    </row>
    <row r="5790" spans="3:3" x14ac:dyDescent="0.35">
      <c r="C5790" s="2"/>
    </row>
    <row r="5791" spans="3:3" x14ac:dyDescent="0.35">
      <c r="C5791" s="2"/>
    </row>
    <row r="5792" spans="3:3" x14ac:dyDescent="0.35">
      <c r="C5792" s="2"/>
    </row>
    <row r="5793" spans="3:3" x14ac:dyDescent="0.35">
      <c r="C5793" s="2"/>
    </row>
    <row r="5794" spans="3:3" x14ac:dyDescent="0.35">
      <c r="C5794" s="2"/>
    </row>
    <row r="5795" spans="3:3" x14ac:dyDescent="0.35">
      <c r="C5795" s="2"/>
    </row>
    <row r="5796" spans="3:3" x14ac:dyDescent="0.35">
      <c r="C5796" s="2"/>
    </row>
    <row r="5797" spans="3:3" x14ac:dyDescent="0.35">
      <c r="C5797" s="2"/>
    </row>
    <row r="5798" spans="3:3" x14ac:dyDescent="0.35">
      <c r="C5798" s="2"/>
    </row>
    <row r="5799" spans="3:3" x14ac:dyDescent="0.35">
      <c r="C5799" s="2"/>
    </row>
    <row r="5800" spans="3:3" x14ac:dyDescent="0.35">
      <c r="C5800" s="2"/>
    </row>
    <row r="5801" spans="3:3" x14ac:dyDescent="0.35">
      <c r="C5801" s="2"/>
    </row>
    <row r="5802" spans="3:3" x14ac:dyDescent="0.35">
      <c r="C5802" s="2"/>
    </row>
    <row r="5803" spans="3:3" x14ac:dyDescent="0.35">
      <c r="C5803" s="2"/>
    </row>
    <row r="5804" spans="3:3" x14ac:dyDescent="0.35">
      <c r="C5804" s="2"/>
    </row>
    <row r="5805" spans="3:3" x14ac:dyDescent="0.35">
      <c r="C5805" s="2"/>
    </row>
    <row r="5806" spans="3:3" x14ac:dyDescent="0.35">
      <c r="C5806" s="2"/>
    </row>
    <row r="5807" spans="3:3" x14ac:dyDescent="0.35">
      <c r="C5807" s="2"/>
    </row>
    <row r="5808" spans="3:3" x14ac:dyDescent="0.35">
      <c r="C5808" s="2"/>
    </row>
    <row r="5809" spans="3:3" x14ac:dyDescent="0.35">
      <c r="C5809" s="2"/>
    </row>
    <row r="5810" spans="3:3" x14ac:dyDescent="0.35">
      <c r="C5810" s="2"/>
    </row>
    <row r="5811" spans="3:3" x14ac:dyDescent="0.35">
      <c r="C5811" s="2"/>
    </row>
    <row r="5812" spans="3:3" x14ac:dyDescent="0.35">
      <c r="C5812" s="2"/>
    </row>
    <row r="5813" spans="3:3" x14ac:dyDescent="0.35">
      <c r="C5813" s="2"/>
    </row>
    <row r="5814" spans="3:3" x14ac:dyDescent="0.35">
      <c r="C5814" s="2"/>
    </row>
    <row r="5815" spans="3:3" x14ac:dyDescent="0.35">
      <c r="C5815" s="2"/>
    </row>
    <row r="5816" spans="3:3" x14ac:dyDescent="0.35">
      <c r="C5816" s="2"/>
    </row>
    <row r="5817" spans="3:3" x14ac:dyDescent="0.35">
      <c r="C5817" s="2"/>
    </row>
    <row r="5818" spans="3:3" x14ac:dyDescent="0.35">
      <c r="C5818" s="2"/>
    </row>
    <row r="5819" spans="3:3" x14ac:dyDescent="0.35">
      <c r="C5819" s="2"/>
    </row>
    <row r="5820" spans="3:3" x14ac:dyDescent="0.35">
      <c r="C5820" s="2"/>
    </row>
    <row r="5821" spans="3:3" x14ac:dyDescent="0.35">
      <c r="C5821" s="2"/>
    </row>
    <row r="5822" spans="3:3" x14ac:dyDescent="0.35">
      <c r="C5822" s="2"/>
    </row>
    <row r="5823" spans="3:3" x14ac:dyDescent="0.35">
      <c r="C5823" s="2"/>
    </row>
    <row r="5824" spans="3:3" x14ac:dyDescent="0.35">
      <c r="C5824" s="2"/>
    </row>
    <row r="5825" spans="3:3" x14ac:dyDescent="0.35">
      <c r="C5825" s="2"/>
    </row>
    <row r="5826" spans="3:3" x14ac:dyDescent="0.35">
      <c r="C5826" s="2"/>
    </row>
    <row r="5827" spans="3:3" x14ac:dyDescent="0.35">
      <c r="C5827" s="2"/>
    </row>
    <row r="5828" spans="3:3" x14ac:dyDescent="0.35">
      <c r="C5828" s="2"/>
    </row>
    <row r="5829" spans="3:3" x14ac:dyDescent="0.35">
      <c r="C5829" s="2"/>
    </row>
    <row r="5830" spans="3:3" x14ac:dyDescent="0.35">
      <c r="C5830" s="2"/>
    </row>
    <row r="5831" spans="3:3" x14ac:dyDescent="0.35">
      <c r="C5831" s="2"/>
    </row>
    <row r="5832" spans="3:3" x14ac:dyDescent="0.35">
      <c r="C5832" s="2"/>
    </row>
    <row r="5833" spans="3:3" x14ac:dyDescent="0.35">
      <c r="C5833" s="2"/>
    </row>
    <row r="5834" spans="3:3" x14ac:dyDescent="0.35">
      <c r="C5834" s="2"/>
    </row>
    <row r="5835" spans="3:3" x14ac:dyDescent="0.35">
      <c r="C5835" s="2"/>
    </row>
    <row r="5836" spans="3:3" x14ac:dyDescent="0.35">
      <c r="C5836" s="2"/>
    </row>
    <row r="5837" spans="3:3" x14ac:dyDescent="0.35">
      <c r="C5837" s="2"/>
    </row>
    <row r="5838" spans="3:3" x14ac:dyDescent="0.35">
      <c r="C5838" s="2"/>
    </row>
    <row r="5839" spans="3:3" x14ac:dyDescent="0.35">
      <c r="C5839" s="2"/>
    </row>
    <row r="5840" spans="3:3" x14ac:dyDescent="0.35">
      <c r="C5840" s="2"/>
    </row>
    <row r="5841" spans="3:3" x14ac:dyDescent="0.35">
      <c r="C5841" s="2"/>
    </row>
    <row r="5842" spans="3:3" x14ac:dyDescent="0.35">
      <c r="C5842" s="2"/>
    </row>
    <row r="5843" spans="3:3" x14ac:dyDescent="0.35">
      <c r="C5843" s="2"/>
    </row>
    <row r="5844" spans="3:3" x14ac:dyDescent="0.35">
      <c r="C5844" s="2"/>
    </row>
    <row r="5845" spans="3:3" x14ac:dyDescent="0.35">
      <c r="C5845" s="2"/>
    </row>
    <row r="5846" spans="3:3" x14ac:dyDescent="0.35">
      <c r="C5846" s="2"/>
    </row>
    <row r="5847" spans="3:3" x14ac:dyDescent="0.35">
      <c r="C5847" s="2"/>
    </row>
    <row r="5848" spans="3:3" x14ac:dyDescent="0.35">
      <c r="C5848" s="2"/>
    </row>
    <row r="5849" spans="3:3" x14ac:dyDescent="0.35">
      <c r="C5849" s="2"/>
    </row>
    <row r="5850" spans="3:3" x14ac:dyDescent="0.35">
      <c r="C5850" s="2"/>
    </row>
    <row r="5851" spans="3:3" x14ac:dyDescent="0.35">
      <c r="C5851" s="2"/>
    </row>
    <row r="5852" spans="3:3" x14ac:dyDescent="0.35">
      <c r="C5852" s="2"/>
    </row>
    <row r="5853" spans="3:3" x14ac:dyDescent="0.35">
      <c r="C5853" s="2"/>
    </row>
    <row r="5854" spans="3:3" x14ac:dyDescent="0.35">
      <c r="C5854" s="2"/>
    </row>
    <row r="5855" spans="3:3" x14ac:dyDescent="0.35">
      <c r="C5855" s="2"/>
    </row>
    <row r="5856" spans="3:3" x14ac:dyDescent="0.35">
      <c r="C5856" s="2"/>
    </row>
    <row r="5857" spans="3:3" x14ac:dyDescent="0.35">
      <c r="C5857" s="2"/>
    </row>
    <row r="5858" spans="3:3" x14ac:dyDescent="0.35">
      <c r="C5858" s="2"/>
    </row>
    <row r="5859" spans="3:3" x14ac:dyDescent="0.35">
      <c r="C5859" s="2"/>
    </row>
    <row r="5860" spans="3:3" x14ac:dyDescent="0.35">
      <c r="C5860" s="2"/>
    </row>
    <row r="5861" spans="3:3" x14ac:dyDescent="0.35">
      <c r="C5861" s="2"/>
    </row>
    <row r="5862" spans="3:3" x14ac:dyDescent="0.35">
      <c r="C5862" s="2"/>
    </row>
    <row r="5863" spans="3:3" x14ac:dyDescent="0.35">
      <c r="C5863" s="2"/>
    </row>
    <row r="5864" spans="3:3" x14ac:dyDescent="0.35">
      <c r="C5864" s="2"/>
    </row>
    <row r="5865" spans="3:3" x14ac:dyDescent="0.35">
      <c r="C5865" s="2"/>
    </row>
    <row r="5866" spans="3:3" x14ac:dyDescent="0.35">
      <c r="C5866" s="2"/>
    </row>
    <row r="5867" spans="3:3" x14ac:dyDescent="0.35">
      <c r="C5867" s="2"/>
    </row>
    <row r="5868" spans="3:3" x14ac:dyDescent="0.35">
      <c r="C5868" s="2"/>
    </row>
    <row r="5869" spans="3:3" x14ac:dyDescent="0.35">
      <c r="C5869" s="2"/>
    </row>
    <row r="5870" spans="3:3" x14ac:dyDescent="0.35">
      <c r="C5870" s="2"/>
    </row>
    <row r="5871" spans="3:3" x14ac:dyDescent="0.35">
      <c r="C5871" s="2"/>
    </row>
    <row r="5872" spans="3:3" x14ac:dyDescent="0.35">
      <c r="C5872" s="2"/>
    </row>
    <row r="5873" spans="3:3" x14ac:dyDescent="0.35">
      <c r="C5873" s="2"/>
    </row>
    <row r="5874" spans="3:3" x14ac:dyDescent="0.35">
      <c r="C5874" s="2"/>
    </row>
    <row r="5875" spans="3:3" x14ac:dyDescent="0.35">
      <c r="C5875" s="2"/>
    </row>
    <row r="5876" spans="3:3" x14ac:dyDescent="0.35">
      <c r="C5876" s="2"/>
    </row>
    <row r="5877" spans="3:3" x14ac:dyDescent="0.35">
      <c r="C5877" s="2"/>
    </row>
    <row r="5878" spans="3:3" x14ac:dyDescent="0.35">
      <c r="C5878" s="2"/>
    </row>
    <row r="5879" spans="3:3" x14ac:dyDescent="0.35">
      <c r="C5879" s="2"/>
    </row>
    <row r="5880" spans="3:3" x14ac:dyDescent="0.35">
      <c r="C5880" s="2"/>
    </row>
    <row r="5881" spans="3:3" x14ac:dyDescent="0.35">
      <c r="C5881" s="2"/>
    </row>
    <row r="5882" spans="3:3" x14ac:dyDescent="0.35">
      <c r="C5882" s="2"/>
    </row>
    <row r="5883" spans="3:3" x14ac:dyDescent="0.35">
      <c r="C5883" s="2"/>
    </row>
    <row r="5884" spans="3:3" x14ac:dyDescent="0.35">
      <c r="C5884" s="2"/>
    </row>
    <row r="5885" spans="3:3" x14ac:dyDescent="0.35">
      <c r="C5885" s="2"/>
    </row>
    <row r="5886" spans="3:3" x14ac:dyDescent="0.35">
      <c r="C5886" s="2"/>
    </row>
    <row r="5887" spans="3:3" x14ac:dyDescent="0.35">
      <c r="C5887" s="2"/>
    </row>
    <row r="5888" spans="3:3" x14ac:dyDescent="0.35">
      <c r="C5888" s="2"/>
    </row>
    <row r="5889" spans="3:3" x14ac:dyDescent="0.35">
      <c r="C5889" s="2"/>
    </row>
    <row r="5890" spans="3:3" x14ac:dyDescent="0.35">
      <c r="C5890" s="2"/>
    </row>
    <row r="5891" spans="3:3" x14ac:dyDescent="0.35">
      <c r="C5891" s="2"/>
    </row>
    <row r="5892" spans="3:3" x14ac:dyDescent="0.35">
      <c r="C5892" s="2"/>
    </row>
    <row r="5893" spans="3:3" x14ac:dyDescent="0.35">
      <c r="C5893" s="2"/>
    </row>
    <row r="5894" spans="3:3" x14ac:dyDescent="0.35">
      <c r="C5894" s="2"/>
    </row>
    <row r="5895" spans="3:3" x14ac:dyDescent="0.35">
      <c r="C5895" s="2"/>
    </row>
    <row r="5896" spans="3:3" x14ac:dyDescent="0.35">
      <c r="C5896" s="2"/>
    </row>
    <row r="5897" spans="3:3" x14ac:dyDescent="0.35">
      <c r="C5897" s="2"/>
    </row>
    <row r="5898" spans="3:3" x14ac:dyDescent="0.35">
      <c r="C5898" s="2"/>
    </row>
    <row r="5899" spans="3:3" x14ac:dyDescent="0.35">
      <c r="C5899" s="2"/>
    </row>
    <row r="5900" spans="3:3" x14ac:dyDescent="0.35">
      <c r="C5900" s="2"/>
    </row>
    <row r="5901" spans="3:3" x14ac:dyDescent="0.35">
      <c r="C5901" s="2"/>
    </row>
    <row r="5902" spans="3:3" x14ac:dyDescent="0.35">
      <c r="C5902" s="2"/>
    </row>
    <row r="5903" spans="3:3" x14ac:dyDescent="0.35">
      <c r="C5903" s="2"/>
    </row>
    <row r="5904" spans="3:3" x14ac:dyDescent="0.35">
      <c r="C5904" s="2"/>
    </row>
    <row r="5905" spans="3:3" x14ac:dyDescent="0.35">
      <c r="C5905" s="2"/>
    </row>
    <row r="5906" spans="3:3" x14ac:dyDescent="0.35">
      <c r="C5906" s="2"/>
    </row>
    <row r="5907" spans="3:3" x14ac:dyDescent="0.35">
      <c r="C5907" s="2"/>
    </row>
    <row r="5908" spans="3:3" x14ac:dyDescent="0.35">
      <c r="C5908" s="2"/>
    </row>
    <row r="5909" spans="3:3" x14ac:dyDescent="0.35">
      <c r="C5909" s="2"/>
    </row>
    <row r="5910" spans="3:3" x14ac:dyDescent="0.35">
      <c r="C5910" s="2"/>
    </row>
    <row r="5911" spans="3:3" x14ac:dyDescent="0.35">
      <c r="C5911" s="2"/>
    </row>
    <row r="5912" spans="3:3" x14ac:dyDescent="0.35">
      <c r="C5912" s="2"/>
    </row>
    <row r="5913" spans="3:3" x14ac:dyDescent="0.35">
      <c r="C5913" s="2"/>
    </row>
    <row r="5914" spans="3:3" x14ac:dyDescent="0.35">
      <c r="C5914" s="2"/>
    </row>
    <row r="5915" spans="3:3" x14ac:dyDescent="0.35">
      <c r="C5915" s="2"/>
    </row>
    <row r="5916" spans="3:3" x14ac:dyDescent="0.35">
      <c r="C5916" s="2"/>
    </row>
    <row r="5917" spans="3:3" x14ac:dyDescent="0.35">
      <c r="C5917" s="2"/>
    </row>
    <row r="5918" spans="3:3" x14ac:dyDescent="0.35">
      <c r="C5918" s="2"/>
    </row>
    <row r="5919" spans="3:3" x14ac:dyDescent="0.35">
      <c r="C5919" s="2"/>
    </row>
    <row r="5920" spans="3:3" x14ac:dyDescent="0.35">
      <c r="C5920" s="2"/>
    </row>
    <row r="5921" spans="3:3" x14ac:dyDescent="0.35">
      <c r="C5921" s="2"/>
    </row>
    <row r="5922" spans="3:3" x14ac:dyDescent="0.35">
      <c r="C5922" s="2"/>
    </row>
    <row r="5923" spans="3:3" x14ac:dyDescent="0.35">
      <c r="C5923" s="2"/>
    </row>
    <row r="5924" spans="3:3" x14ac:dyDescent="0.35">
      <c r="C5924" s="2"/>
    </row>
    <row r="5925" spans="3:3" x14ac:dyDescent="0.35">
      <c r="C5925" s="2"/>
    </row>
    <row r="5926" spans="3:3" x14ac:dyDescent="0.35">
      <c r="C5926" s="2"/>
    </row>
    <row r="5927" spans="3:3" x14ac:dyDescent="0.35">
      <c r="C5927" s="2"/>
    </row>
    <row r="5928" spans="3:3" x14ac:dyDescent="0.35">
      <c r="C5928" s="2"/>
    </row>
    <row r="5929" spans="3:3" x14ac:dyDescent="0.35">
      <c r="C5929" s="2"/>
    </row>
    <row r="5930" spans="3:3" x14ac:dyDescent="0.35">
      <c r="C5930" s="2"/>
    </row>
    <row r="5931" spans="3:3" x14ac:dyDescent="0.35">
      <c r="C5931" s="2"/>
    </row>
    <row r="5932" spans="3:3" x14ac:dyDescent="0.35">
      <c r="C5932" s="2"/>
    </row>
    <row r="5933" spans="3:3" x14ac:dyDescent="0.35">
      <c r="C5933" s="2"/>
    </row>
    <row r="5934" spans="3:3" x14ac:dyDescent="0.35">
      <c r="C5934" s="2"/>
    </row>
    <row r="5935" spans="3:3" x14ac:dyDescent="0.35">
      <c r="C5935" s="2"/>
    </row>
    <row r="5936" spans="3:3" x14ac:dyDescent="0.35">
      <c r="C5936" s="2"/>
    </row>
    <row r="5937" spans="3:3" x14ac:dyDescent="0.35">
      <c r="C5937" s="2"/>
    </row>
    <row r="5938" spans="3:3" x14ac:dyDescent="0.35">
      <c r="C5938" s="2"/>
    </row>
    <row r="5939" spans="3:3" x14ac:dyDescent="0.35">
      <c r="C5939" s="2"/>
    </row>
    <row r="5940" spans="3:3" x14ac:dyDescent="0.35">
      <c r="C5940" s="2"/>
    </row>
    <row r="5941" spans="3:3" x14ac:dyDescent="0.35">
      <c r="C5941" s="2"/>
    </row>
    <row r="5942" spans="3:3" x14ac:dyDescent="0.35">
      <c r="C5942" s="2"/>
    </row>
    <row r="5943" spans="3:3" x14ac:dyDescent="0.35">
      <c r="C5943" s="2"/>
    </row>
    <row r="5944" spans="3:3" x14ac:dyDescent="0.35">
      <c r="C5944" s="2"/>
    </row>
    <row r="5945" spans="3:3" x14ac:dyDescent="0.35">
      <c r="C5945" s="2"/>
    </row>
    <row r="5946" spans="3:3" x14ac:dyDescent="0.35">
      <c r="C5946" s="2"/>
    </row>
    <row r="5947" spans="3:3" x14ac:dyDescent="0.35">
      <c r="C5947" s="2"/>
    </row>
    <row r="5948" spans="3:3" x14ac:dyDescent="0.35">
      <c r="C5948" s="2"/>
    </row>
    <row r="5949" spans="3:3" x14ac:dyDescent="0.35">
      <c r="C5949" s="2"/>
    </row>
    <row r="5950" spans="3:3" x14ac:dyDescent="0.35">
      <c r="C5950" s="2"/>
    </row>
    <row r="5951" spans="3:3" x14ac:dyDescent="0.35">
      <c r="C5951" s="2"/>
    </row>
    <row r="5952" spans="3:3" x14ac:dyDescent="0.35">
      <c r="C5952" s="2"/>
    </row>
    <row r="5953" spans="3:3" x14ac:dyDescent="0.35">
      <c r="C5953" s="2"/>
    </row>
    <row r="5954" spans="3:3" x14ac:dyDescent="0.35">
      <c r="C5954" s="2"/>
    </row>
    <row r="5955" spans="3:3" x14ac:dyDescent="0.35">
      <c r="C5955" s="2"/>
    </row>
    <row r="5956" spans="3:3" x14ac:dyDescent="0.35">
      <c r="C5956" s="2"/>
    </row>
    <row r="5957" spans="3:3" x14ac:dyDescent="0.35">
      <c r="C5957" s="2"/>
    </row>
    <row r="5958" spans="3:3" x14ac:dyDescent="0.35">
      <c r="C5958" s="2"/>
    </row>
    <row r="5959" spans="3:3" x14ac:dyDescent="0.35">
      <c r="C5959" s="2"/>
    </row>
    <row r="5960" spans="3:3" x14ac:dyDescent="0.35">
      <c r="C5960" s="2"/>
    </row>
    <row r="5961" spans="3:3" x14ac:dyDescent="0.35">
      <c r="C5961" s="2"/>
    </row>
    <row r="5962" spans="3:3" x14ac:dyDescent="0.35">
      <c r="C5962" s="2"/>
    </row>
    <row r="5963" spans="3:3" x14ac:dyDescent="0.35">
      <c r="C5963" s="2"/>
    </row>
    <row r="5964" spans="3:3" x14ac:dyDescent="0.35">
      <c r="C5964" s="2"/>
    </row>
    <row r="5965" spans="3:3" x14ac:dyDescent="0.35">
      <c r="C5965" s="2"/>
    </row>
    <row r="5966" spans="3:3" x14ac:dyDescent="0.35">
      <c r="C5966" s="2"/>
    </row>
    <row r="5967" spans="3:3" x14ac:dyDescent="0.35">
      <c r="C5967" s="2"/>
    </row>
    <row r="5968" spans="3:3" x14ac:dyDescent="0.35">
      <c r="C5968" s="2"/>
    </row>
    <row r="5969" spans="3:3" x14ac:dyDescent="0.35">
      <c r="C5969" s="2"/>
    </row>
    <row r="5970" spans="3:3" x14ac:dyDescent="0.35">
      <c r="C5970" s="2"/>
    </row>
    <row r="5971" spans="3:3" x14ac:dyDescent="0.35">
      <c r="C5971" s="2"/>
    </row>
    <row r="5972" spans="3:3" x14ac:dyDescent="0.35">
      <c r="C5972" s="2"/>
    </row>
    <row r="5973" spans="3:3" x14ac:dyDescent="0.35">
      <c r="C5973" s="2"/>
    </row>
    <row r="5974" spans="3:3" x14ac:dyDescent="0.35">
      <c r="C5974" s="2"/>
    </row>
    <row r="5975" spans="3:3" x14ac:dyDescent="0.35">
      <c r="C5975" s="2"/>
    </row>
    <row r="5976" spans="3:3" x14ac:dyDescent="0.35">
      <c r="C5976" s="2"/>
    </row>
    <row r="5977" spans="3:3" x14ac:dyDescent="0.35">
      <c r="C5977" s="2"/>
    </row>
    <row r="5978" spans="3:3" x14ac:dyDescent="0.35">
      <c r="C5978" s="2"/>
    </row>
    <row r="5979" spans="3:3" x14ac:dyDescent="0.35">
      <c r="C5979" s="2"/>
    </row>
    <row r="5980" spans="3:3" x14ac:dyDescent="0.35">
      <c r="C5980" s="2"/>
    </row>
    <row r="5981" spans="3:3" x14ac:dyDescent="0.35">
      <c r="C5981" s="2"/>
    </row>
    <row r="5982" spans="3:3" x14ac:dyDescent="0.35">
      <c r="C5982" s="2"/>
    </row>
    <row r="5983" spans="3:3" x14ac:dyDescent="0.35">
      <c r="C5983" s="2"/>
    </row>
    <row r="5984" spans="3:3" x14ac:dyDescent="0.35">
      <c r="C5984" s="2"/>
    </row>
    <row r="5985" spans="3:3" x14ac:dyDescent="0.35">
      <c r="C5985" s="2"/>
    </row>
    <row r="5986" spans="3:3" x14ac:dyDescent="0.35">
      <c r="C5986" s="2"/>
    </row>
    <row r="5987" spans="3:3" x14ac:dyDescent="0.35">
      <c r="C5987" s="2"/>
    </row>
    <row r="5988" spans="3:3" x14ac:dyDescent="0.35">
      <c r="C5988" s="2"/>
    </row>
    <row r="5989" spans="3:3" x14ac:dyDescent="0.35">
      <c r="C5989" s="2"/>
    </row>
    <row r="5990" spans="3:3" x14ac:dyDescent="0.35">
      <c r="C5990" s="2"/>
    </row>
    <row r="5991" spans="3:3" x14ac:dyDescent="0.35">
      <c r="C5991" s="2"/>
    </row>
    <row r="5992" spans="3:3" x14ac:dyDescent="0.35">
      <c r="C5992" s="2"/>
    </row>
    <row r="5993" spans="3:3" x14ac:dyDescent="0.35">
      <c r="C5993" s="2"/>
    </row>
    <row r="5994" spans="3:3" x14ac:dyDescent="0.35">
      <c r="C5994" s="2"/>
    </row>
    <row r="5995" spans="3:3" x14ac:dyDescent="0.35">
      <c r="C5995" s="2"/>
    </row>
    <row r="5996" spans="3:3" x14ac:dyDescent="0.35">
      <c r="C5996" s="2"/>
    </row>
    <row r="5997" spans="3:3" x14ac:dyDescent="0.35">
      <c r="C5997" s="2"/>
    </row>
    <row r="5998" spans="3:3" x14ac:dyDescent="0.35">
      <c r="C5998" s="2"/>
    </row>
    <row r="5999" spans="3:3" x14ac:dyDescent="0.35">
      <c r="C5999" s="2"/>
    </row>
    <row r="6000" spans="3:3" x14ac:dyDescent="0.35">
      <c r="C6000" s="2"/>
    </row>
    <row r="6001" spans="3:3" x14ac:dyDescent="0.35">
      <c r="C6001" s="2"/>
    </row>
    <row r="6002" spans="3:3" x14ac:dyDescent="0.35">
      <c r="C6002" s="2"/>
    </row>
    <row r="6003" spans="3:3" x14ac:dyDescent="0.35">
      <c r="C6003" s="2"/>
    </row>
    <row r="6004" spans="3:3" x14ac:dyDescent="0.35">
      <c r="C6004" s="2"/>
    </row>
    <row r="6005" spans="3:3" x14ac:dyDescent="0.35">
      <c r="C6005" s="2"/>
    </row>
    <row r="6006" spans="3:3" x14ac:dyDescent="0.35">
      <c r="C6006" s="2"/>
    </row>
    <row r="6007" spans="3:3" x14ac:dyDescent="0.35">
      <c r="C6007" s="2"/>
    </row>
    <row r="6008" spans="3:3" x14ac:dyDescent="0.35">
      <c r="C6008" s="2"/>
    </row>
    <row r="6009" spans="3:3" x14ac:dyDescent="0.35">
      <c r="C6009" s="2"/>
    </row>
    <row r="6010" spans="3:3" x14ac:dyDescent="0.35">
      <c r="C6010" s="2"/>
    </row>
    <row r="6011" spans="3:3" x14ac:dyDescent="0.35">
      <c r="C6011" s="2"/>
    </row>
    <row r="6012" spans="3:3" x14ac:dyDescent="0.35">
      <c r="C6012" s="2"/>
    </row>
    <row r="6013" spans="3:3" x14ac:dyDescent="0.35">
      <c r="C6013" s="2"/>
    </row>
    <row r="6014" spans="3:3" x14ac:dyDescent="0.35">
      <c r="C6014" s="2"/>
    </row>
    <row r="6015" spans="3:3" x14ac:dyDescent="0.35">
      <c r="C6015" s="2"/>
    </row>
    <row r="6016" spans="3:3" x14ac:dyDescent="0.35">
      <c r="C6016" s="2"/>
    </row>
    <row r="6017" spans="3:3" x14ac:dyDescent="0.35">
      <c r="C6017" s="2"/>
    </row>
    <row r="6018" spans="3:3" x14ac:dyDescent="0.35">
      <c r="C6018" s="2"/>
    </row>
    <row r="6019" spans="3:3" x14ac:dyDescent="0.35">
      <c r="C6019" s="2"/>
    </row>
    <row r="6020" spans="3:3" x14ac:dyDescent="0.35">
      <c r="C6020" s="2"/>
    </row>
    <row r="6021" spans="3:3" x14ac:dyDescent="0.35">
      <c r="C6021" s="2"/>
    </row>
    <row r="6022" spans="3:3" x14ac:dyDescent="0.35">
      <c r="C6022" s="2"/>
    </row>
    <row r="6023" spans="3:3" x14ac:dyDescent="0.35">
      <c r="C6023" s="2"/>
    </row>
    <row r="6024" spans="3:3" x14ac:dyDescent="0.35">
      <c r="C6024" s="2"/>
    </row>
    <row r="6025" spans="3:3" x14ac:dyDescent="0.35">
      <c r="C6025" s="2"/>
    </row>
    <row r="6026" spans="3:3" x14ac:dyDescent="0.35">
      <c r="C6026" s="2"/>
    </row>
    <row r="6027" spans="3:3" x14ac:dyDescent="0.35">
      <c r="C6027" s="2"/>
    </row>
    <row r="6028" spans="3:3" x14ac:dyDescent="0.35">
      <c r="C6028" s="2"/>
    </row>
    <row r="6029" spans="3:3" x14ac:dyDescent="0.35">
      <c r="C6029" s="2"/>
    </row>
    <row r="6030" spans="3:3" x14ac:dyDescent="0.35">
      <c r="C6030" s="2"/>
    </row>
    <row r="6031" spans="3:3" x14ac:dyDescent="0.35">
      <c r="C6031" s="2"/>
    </row>
    <row r="6032" spans="3:3" x14ac:dyDescent="0.35">
      <c r="C6032" s="2"/>
    </row>
    <row r="6033" spans="3:3" x14ac:dyDescent="0.35">
      <c r="C6033" s="2"/>
    </row>
    <row r="6034" spans="3:3" x14ac:dyDescent="0.35">
      <c r="C6034" s="2"/>
    </row>
    <row r="6035" spans="3:3" x14ac:dyDescent="0.35">
      <c r="C6035" s="2"/>
    </row>
    <row r="6036" spans="3:3" x14ac:dyDescent="0.35">
      <c r="C6036" s="2"/>
    </row>
    <row r="6037" spans="3:3" x14ac:dyDescent="0.35">
      <c r="C6037" s="2"/>
    </row>
    <row r="6038" spans="3:3" x14ac:dyDescent="0.35">
      <c r="C6038" s="2"/>
    </row>
    <row r="6039" spans="3:3" x14ac:dyDescent="0.35">
      <c r="C6039" s="2"/>
    </row>
    <row r="6040" spans="3:3" x14ac:dyDescent="0.35">
      <c r="C6040" s="2"/>
    </row>
    <row r="6041" spans="3:3" x14ac:dyDescent="0.35">
      <c r="C6041" s="2"/>
    </row>
    <row r="6042" spans="3:3" x14ac:dyDescent="0.35">
      <c r="C6042" s="2"/>
    </row>
    <row r="6043" spans="3:3" x14ac:dyDescent="0.35">
      <c r="C6043" s="2"/>
    </row>
    <row r="6044" spans="3:3" x14ac:dyDescent="0.35">
      <c r="C6044" s="2"/>
    </row>
    <row r="6045" spans="3:3" x14ac:dyDescent="0.35">
      <c r="C6045" s="2"/>
    </row>
    <row r="6046" spans="3:3" x14ac:dyDescent="0.35">
      <c r="C6046" s="2"/>
    </row>
    <row r="6047" spans="3:3" x14ac:dyDescent="0.35">
      <c r="C6047" s="2"/>
    </row>
    <row r="6048" spans="3:3" x14ac:dyDescent="0.35">
      <c r="C6048" s="2"/>
    </row>
    <row r="6049" spans="3:3" x14ac:dyDescent="0.35">
      <c r="C6049" s="2"/>
    </row>
    <row r="6050" spans="3:3" x14ac:dyDescent="0.35">
      <c r="C6050" s="2"/>
    </row>
    <row r="6051" spans="3:3" x14ac:dyDescent="0.35">
      <c r="C6051" s="2"/>
    </row>
    <row r="6052" spans="3:3" x14ac:dyDescent="0.35">
      <c r="C6052" s="2"/>
    </row>
    <row r="6053" spans="3:3" x14ac:dyDescent="0.35">
      <c r="C6053" s="2"/>
    </row>
    <row r="6054" spans="3:3" x14ac:dyDescent="0.35">
      <c r="C6054" s="2"/>
    </row>
    <row r="6055" spans="3:3" x14ac:dyDescent="0.35">
      <c r="C6055" s="2"/>
    </row>
    <row r="6056" spans="3:3" x14ac:dyDescent="0.35">
      <c r="C6056" s="2"/>
    </row>
    <row r="6057" spans="3:3" x14ac:dyDescent="0.35">
      <c r="C6057" s="2"/>
    </row>
    <row r="6058" spans="3:3" x14ac:dyDescent="0.35">
      <c r="C6058" s="2"/>
    </row>
    <row r="6059" spans="3:3" x14ac:dyDescent="0.35">
      <c r="C6059" s="2"/>
    </row>
    <row r="6060" spans="3:3" x14ac:dyDescent="0.35">
      <c r="C6060" s="2"/>
    </row>
    <row r="6061" spans="3:3" x14ac:dyDescent="0.35">
      <c r="C6061" s="2"/>
    </row>
    <row r="6062" spans="3:3" x14ac:dyDescent="0.35">
      <c r="C6062" s="2"/>
    </row>
    <row r="6063" spans="3:3" x14ac:dyDescent="0.35">
      <c r="C6063" s="2"/>
    </row>
    <row r="6064" spans="3:3" x14ac:dyDescent="0.35">
      <c r="C6064" s="2"/>
    </row>
    <row r="6065" spans="3:3" x14ac:dyDescent="0.35">
      <c r="C6065" s="2"/>
    </row>
    <row r="6066" spans="3:3" x14ac:dyDescent="0.35">
      <c r="C6066" s="2"/>
    </row>
    <row r="6067" spans="3:3" x14ac:dyDescent="0.35">
      <c r="C6067" s="2"/>
    </row>
    <row r="6068" spans="3:3" x14ac:dyDescent="0.35">
      <c r="C6068" s="2"/>
    </row>
    <row r="6069" spans="3:3" x14ac:dyDescent="0.35">
      <c r="C6069" s="2"/>
    </row>
    <row r="6070" spans="3:3" x14ac:dyDescent="0.35">
      <c r="C6070" s="2"/>
    </row>
    <row r="6071" spans="3:3" x14ac:dyDescent="0.35">
      <c r="C6071" s="2"/>
    </row>
    <row r="6072" spans="3:3" x14ac:dyDescent="0.35">
      <c r="C6072" s="2"/>
    </row>
    <row r="6073" spans="3:3" x14ac:dyDescent="0.35">
      <c r="C6073" s="2"/>
    </row>
    <row r="6074" spans="3:3" x14ac:dyDescent="0.35">
      <c r="C6074" s="2"/>
    </row>
    <row r="6075" spans="3:3" x14ac:dyDescent="0.35">
      <c r="C6075" s="2"/>
    </row>
    <row r="6076" spans="3:3" x14ac:dyDescent="0.35">
      <c r="C6076" s="2"/>
    </row>
    <row r="6077" spans="3:3" x14ac:dyDescent="0.35">
      <c r="C6077" s="2"/>
    </row>
    <row r="6078" spans="3:3" x14ac:dyDescent="0.35">
      <c r="C6078" s="2"/>
    </row>
    <row r="6079" spans="3:3" x14ac:dyDescent="0.35">
      <c r="C6079" s="2"/>
    </row>
    <row r="6080" spans="3:3" x14ac:dyDescent="0.35">
      <c r="C6080" s="2"/>
    </row>
    <row r="6081" spans="3:3" x14ac:dyDescent="0.35">
      <c r="C6081" s="2"/>
    </row>
    <row r="6082" spans="3:3" x14ac:dyDescent="0.35">
      <c r="C6082" s="2"/>
    </row>
    <row r="6083" spans="3:3" x14ac:dyDescent="0.35">
      <c r="C6083" s="2"/>
    </row>
    <row r="6084" spans="3:3" x14ac:dyDescent="0.35">
      <c r="C6084" s="2"/>
    </row>
    <row r="6085" spans="3:3" x14ac:dyDescent="0.35">
      <c r="C6085" s="2"/>
    </row>
    <row r="6086" spans="3:3" x14ac:dyDescent="0.35">
      <c r="C6086" s="2"/>
    </row>
    <row r="6087" spans="3:3" x14ac:dyDescent="0.35">
      <c r="C6087" s="2"/>
    </row>
    <row r="6088" spans="3:3" x14ac:dyDescent="0.35">
      <c r="C6088" s="2"/>
    </row>
    <row r="6089" spans="3:3" x14ac:dyDescent="0.35">
      <c r="C6089" s="2"/>
    </row>
    <row r="6090" spans="3:3" x14ac:dyDescent="0.35">
      <c r="C6090" s="2"/>
    </row>
    <row r="6091" spans="3:3" x14ac:dyDescent="0.35">
      <c r="C6091" s="2"/>
    </row>
    <row r="6092" spans="3:3" x14ac:dyDescent="0.35">
      <c r="C6092" s="2"/>
    </row>
    <row r="6093" spans="3:3" x14ac:dyDescent="0.35">
      <c r="C6093" s="2"/>
    </row>
    <row r="6094" spans="3:3" x14ac:dyDescent="0.35">
      <c r="C6094" s="2"/>
    </row>
    <row r="6095" spans="3:3" x14ac:dyDescent="0.35">
      <c r="C6095" s="2"/>
    </row>
    <row r="6096" spans="3:3" x14ac:dyDescent="0.35">
      <c r="C6096" s="2"/>
    </row>
    <row r="6097" spans="3:3" x14ac:dyDescent="0.35">
      <c r="C6097" s="2"/>
    </row>
    <row r="6098" spans="3:3" x14ac:dyDescent="0.35">
      <c r="C6098" s="2"/>
    </row>
    <row r="6099" spans="3:3" x14ac:dyDescent="0.35">
      <c r="C6099" s="2"/>
    </row>
    <row r="6100" spans="3:3" x14ac:dyDescent="0.35">
      <c r="C6100" s="2"/>
    </row>
    <row r="6101" spans="3:3" x14ac:dyDescent="0.35">
      <c r="C6101" s="2"/>
    </row>
    <row r="6102" spans="3:3" x14ac:dyDescent="0.35">
      <c r="C6102" s="2"/>
    </row>
    <row r="6103" spans="3:3" x14ac:dyDescent="0.35">
      <c r="C6103" s="2"/>
    </row>
    <row r="6104" spans="3:3" x14ac:dyDescent="0.35">
      <c r="C6104" s="2"/>
    </row>
    <row r="6105" spans="3:3" x14ac:dyDescent="0.35">
      <c r="C6105" s="2"/>
    </row>
    <row r="6106" spans="3:3" x14ac:dyDescent="0.35">
      <c r="C6106" s="2"/>
    </row>
    <row r="6107" spans="3:3" x14ac:dyDescent="0.35">
      <c r="C6107" s="2"/>
    </row>
    <row r="6108" spans="3:3" x14ac:dyDescent="0.35">
      <c r="C6108" s="2"/>
    </row>
    <row r="6109" spans="3:3" x14ac:dyDescent="0.35">
      <c r="C6109" s="2"/>
    </row>
    <row r="6110" spans="3:3" x14ac:dyDescent="0.35">
      <c r="C6110" s="2"/>
    </row>
    <row r="6111" spans="3:3" x14ac:dyDescent="0.35">
      <c r="C6111" s="2"/>
    </row>
    <row r="6112" spans="3:3" x14ac:dyDescent="0.35">
      <c r="C6112" s="2"/>
    </row>
    <row r="6113" spans="3:3" x14ac:dyDescent="0.35">
      <c r="C6113" s="2"/>
    </row>
    <row r="6114" spans="3:3" x14ac:dyDescent="0.35">
      <c r="C6114" s="2"/>
    </row>
    <row r="6115" spans="3:3" x14ac:dyDescent="0.35">
      <c r="C6115" s="2"/>
    </row>
    <row r="6116" spans="3:3" x14ac:dyDescent="0.35">
      <c r="C6116" s="2"/>
    </row>
    <row r="6117" spans="3:3" x14ac:dyDescent="0.35">
      <c r="C6117" s="2"/>
    </row>
    <row r="6118" spans="3:3" x14ac:dyDescent="0.35">
      <c r="C6118" s="2"/>
    </row>
    <row r="6119" spans="3:3" x14ac:dyDescent="0.35">
      <c r="C6119" s="2"/>
    </row>
    <row r="6120" spans="3:3" x14ac:dyDescent="0.35">
      <c r="C6120" s="2"/>
    </row>
    <row r="6121" spans="3:3" x14ac:dyDescent="0.35">
      <c r="C6121" s="2"/>
    </row>
    <row r="6122" spans="3:3" x14ac:dyDescent="0.35">
      <c r="C6122" s="2"/>
    </row>
    <row r="6123" spans="3:3" x14ac:dyDescent="0.35">
      <c r="C6123" s="2"/>
    </row>
    <row r="6124" spans="3:3" x14ac:dyDescent="0.35">
      <c r="C6124" s="2"/>
    </row>
    <row r="6125" spans="3:3" x14ac:dyDescent="0.35">
      <c r="C6125" s="2"/>
    </row>
    <row r="6126" spans="3:3" x14ac:dyDescent="0.35">
      <c r="C6126" s="2"/>
    </row>
    <row r="6127" spans="3:3" x14ac:dyDescent="0.35">
      <c r="C6127" s="2"/>
    </row>
    <row r="6128" spans="3:3" x14ac:dyDescent="0.35">
      <c r="C6128" s="2"/>
    </row>
    <row r="6129" spans="3:3" x14ac:dyDescent="0.35">
      <c r="C6129" s="2"/>
    </row>
    <row r="6130" spans="3:3" x14ac:dyDescent="0.35">
      <c r="C6130" s="2"/>
    </row>
    <row r="6131" spans="3:3" x14ac:dyDescent="0.35">
      <c r="C6131" s="2"/>
    </row>
    <row r="6132" spans="3:3" x14ac:dyDescent="0.35">
      <c r="C6132" s="2"/>
    </row>
    <row r="6133" spans="3:3" x14ac:dyDescent="0.35">
      <c r="C6133" s="2"/>
    </row>
    <row r="6134" spans="3:3" x14ac:dyDescent="0.35">
      <c r="C6134" s="2"/>
    </row>
    <row r="6135" spans="3:3" x14ac:dyDescent="0.35">
      <c r="C6135" s="2"/>
    </row>
    <row r="6136" spans="3:3" x14ac:dyDescent="0.35">
      <c r="C6136" s="2"/>
    </row>
    <row r="6137" spans="3:3" x14ac:dyDescent="0.35">
      <c r="C6137" s="2"/>
    </row>
    <row r="6138" spans="3:3" x14ac:dyDescent="0.35">
      <c r="C6138" s="2"/>
    </row>
    <row r="6139" spans="3:3" x14ac:dyDescent="0.35">
      <c r="C6139" s="2"/>
    </row>
    <row r="6140" spans="3:3" x14ac:dyDescent="0.35">
      <c r="C6140" s="2"/>
    </row>
    <row r="6141" spans="3:3" x14ac:dyDescent="0.35">
      <c r="C6141" s="2"/>
    </row>
    <row r="6142" spans="3:3" x14ac:dyDescent="0.35">
      <c r="C6142" s="2"/>
    </row>
    <row r="6143" spans="3:3" x14ac:dyDescent="0.35">
      <c r="C6143" s="2"/>
    </row>
    <row r="6144" spans="3:3" x14ac:dyDescent="0.35">
      <c r="C6144" s="2"/>
    </row>
    <row r="6145" spans="3:3" x14ac:dyDescent="0.35">
      <c r="C6145" s="2"/>
    </row>
    <row r="6146" spans="3:3" x14ac:dyDescent="0.35">
      <c r="C6146" s="2"/>
    </row>
    <row r="6147" spans="3:3" x14ac:dyDescent="0.35">
      <c r="C6147" s="2"/>
    </row>
    <row r="6148" spans="3:3" x14ac:dyDescent="0.35">
      <c r="C6148" s="2"/>
    </row>
    <row r="6149" spans="3:3" x14ac:dyDescent="0.35">
      <c r="C6149" s="2"/>
    </row>
    <row r="6150" spans="3:3" x14ac:dyDescent="0.35">
      <c r="C6150" s="2"/>
    </row>
    <row r="6151" spans="3:3" x14ac:dyDescent="0.35">
      <c r="C6151" s="2"/>
    </row>
    <row r="6152" spans="3:3" x14ac:dyDescent="0.35">
      <c r="C6152" s="2"/>
    </row>
    <row r="6153" spans="3:3" x14ac:dyDescent="0.35">
      <c r="C6153" s="2"/>
    </row>
    <row r="6154" spans="3:3" x14ac:dyDescent="0.35">
      <c r="C6154" s="2"/>
    </row>
    <row r="6155" spans="3:3" x14ac:dyDescent="0.35">
      <c r="C6155" s="2"/>
    </row>
    <row r="6156" spans="3:3" x14ac:dyDescent="0.35">
      <c r="C6156" s="2"/>
    </row>
    <row r="6157" spans="3:3" x14ac:dyDescent="0.35">
      <c r="C6157" s="2"/>
    </row>
    <row r="6158" spans="3:3" x14ac:dyDescent="0.35">
      <c r="C6158" s="2"/>
    </row>
    <row r="6159" spans="3:3" x14ac:dyDescent="0.35">
      <c r="C6159" s="2"/>
    </row>
    <row r="6160" spans="3:3" x14ac:dyDescent="0.35">
      <c r="C6160" s="2"/>
    </row>
    <row r="6161" spans="3:3" x14ac:dyDescent="0.35">
      <c r="C6161" s="2"/>
    </row>
    <row r="6162" spans="3:3" x14ac:dyDescent="0.35">
      <c r="C6162" s="2"/>
    </row>
    <row r="6163" spans="3:3" x14ac:dyDescent="0.35">
      <c r="C6163" s="2"/>
    </row>
    <row r="6164" spans="3:3" x14ac:dyDescent="0.35">
      <c r="C6164" s="2"/>
    </row>
    <row r="6165" spans="3:3" x14ac:dyDescent="0.35">
      <c r="C6165" s="2"/>
    </row>
    <row r="6166" spans="3:3" x14ac:dyDescent="0.35">
      <c r="C6166" s="2"/>
    </row>
    <row r="6167" spans="3:3" x14ac:dyDescent="0.35">
      <c r="C6167" s="2"/>
    </row>
    <row r="6168" spans="3:3" x14ac:dyDescent="0.35">
      <c r="C6168" s="2"/>
    </row>
    <row r="6169" spans="3:3" x14ac:dyDescent="0.35">
      <c r="C6169" s="2"/>
    </row>
    <row r="6170" spans="3:3" x14ac:dyDescent="0.35">
      <c r="C6170" s="2"/>
    </row>
    <row r="6171" spans="3:3" x14ac:dyDescent="0.35">
      <c r="C6171" s="2"/>
    </row>
    <row r="6172" spans="3:3" x14ac:dyDescent="0.35">
      <c r="C6172" s="2"/>
    </row>
    <row r="6173" spans="3:3" x14ac:dyDescent="0.35">
      <c r="C6173" s="2"/>
    </row>
    <row r="6174" spans="3:3" x14ac:dyDescent="0.35">
      <c r="C6174" s="2"/>
    </row>
    <row r="6175" spans="3:3" x14ac:dyDescent="0.35">
      <c r="C6175" s="2"/>
    </row>
    <row r="6176" spans="3:3" x14ac:dyDescent="0.35">
      <c r="C6176" s="2"/>
    </row>
    <row r="6177" spans="3:3" x14ac:dyDescent="0.35">
      <c r="C6177" s="2"/>
    </row>
    <row r="6178" spans="3:3" x14ac:dyDescent="0.35">
      <c r="C6178" s="2"/>
    </row>
    <row r="6179" spans="3:3" x14ac:dyDescent="0.35">
      <c r="C6179" s="2"/>
    </row>
    <row r="6180" spans="3:3" x14ac:dyDescent="0.35">
      <c r="C6180" s="2"/>
    </row>
    <row r="6181" spans="3:3" x14ac:dyDescent="0.35">
      <c r="C6181" s="2"/>
    </row>
    <row r="6182" spans="3:3" x14ac:dyDescent="0.35">
      <c r="C6182" s="2"/>
    </row>
    <row r="6183" spans="3:3" x14ac:dyDescent="0.35">
      <c r="C6183" s="2"/>
    </row>
    <row r="6184" spans="3:3" x14ac:dyDescent="0.35">
      <c r="C6184" s="2"/>
    </row>
    <row r="6185" spans="3:3" x14ac:dyDescent="0.35">
      <c r="C6185" s="2"/>
    </row>
    <row r="6186" spans="3:3" x14ac:dyDescent="0.35">
      <c r="C6186" s="2"/>
    </row>
    <row r="6187" spans="3:3" x14ac:dyDescent="0.35">
      <c r="C6187" s="2"/>
    </row>
    <row r="6188" spans="3:3" x14ac:dyDescent="0.35">
      <c r="C6188" s="2"/>
    </row>
    <row r="6189" spans="3:3" x14ac:dyDescent="0.35">
      <c r="C6189" s="2"/>
    </row>
    <row r="6190" spans="3:3" x14ac:dyDescent="0.35">
      <c r="C6190" s="2"/>
    </row>
    <row r="6191" spans="3:3" x14ac:dyDescent="0.35">
      <c r="C6191" s="2"/>
    </row>
    <row r="6192" spans="3:3" x14ac:dyDescent="0.35">
      <c r="C6192" s="2"/>
    </row>
    <row r="6193" spans="3:3" x14ac:dyDescent="0.35">
      <c r="C6193" s="2"/>
    </row>
    <row r="6194" spans="3:3" x14ac:dyDescent="0.35">
      <c r="C6194" s="2"/>
    </row>
    <row r="6195" spans="3:3" x14ac:dyDescent="0.35">
      <c r="C6195" s="2"/>
    </row>
    <row r="6196" spans="3:3" x14ac:dyDescent="0.35">
      <c r="C6196" s="2"/>
    </row>
    <row r="6197" spans="3:3" x14ac:dyDescent="0.35">
      <c r="C6197" s="2"/>
    </row>
    <row r="6198" spans="3:3" x14ac:dyDescent="0.35">
      <c r="C6198" s="2"/>
    </row>
    <row r="6199" spans="3:3" x14ac:dyDescent="0.35">
      <c r="C6199" s="2"/>
    </row>
    <row r="6200" spans="3:3" x14ac:dyDescent="0.35">
      <c r="C6200" s="2"/>
    </row>
    <row r="6201" spans="3:3" x14ac:dyDescent="0.35">
      <c r="C6201" s="2"/>
    </row>
    <row r="6202" spans="3:3" x14ac:dyDescent="0.35">
      <c r="C6202" s="2"/>
    </row>
    <row r="6203" spans="3:3" x14ac:dyDescent="0.35">
      <c r="C6203" s="2"/>
    </row>
    <row r="6204" spans="3:3" x14ac:dyDescent="0.35">
      <c r="C6204" s="2"/>
    </row>
    <row r="6205" spans="3:3" x14ac:dyDescent="0.35">
      <c r="C6205" s="2"/>
    </row>
    <row r="6206" spans="3:3" x14ac:dyDescent="0.35">
      <c r="C6206" s="2"/>
    </row>
    <row r="6207" spans="3:3" x14ac:dyDescent="0.35">
      <c r="C6207" s="2"/>
    </row>
    <row r="6208" spans="3:3" x14ac:dyDescent="0.35">
      <c r="C6208" s="2"/>
    </row>
    <row r="6209" spans="3:3" x14ac:dyDescent="0.35">
      <c r="C6209" s="2"/>
    </row>
    <row r="6210" spans="3:3" x14ac:dyDescent="0.35">
      <c r="C6210" s="2"/>
    </row>
    <row r="6211" spans="3:3" x14ac:dyDescent="0.35">
      <c r="C6211" s="2"/>
    </row>
    <row r="6212" spans="3:3" x14ac:dyDescent="0.35">
      <c r="C6212" s="2"/>
    </row>
    <row r="6213" spans="3:3" x14ac:dyDescent="0.35">
      <c r="C6213" s="2"/>
    </row>
    <row r="6214" spans="3:3" x14ac:dyDescent="0.35">
      <c r="C6214" s="2"/>
    </row>
    <row r="6215" spans="3:3" x14ac:dyDescent="0.35">
      <c r="C6215" s="2"/>
    </row>
    <row r="6216" spans="3:3" x14ac:dyDescent="0.35">
      <c r="C6216" s="2"/>
    </row>
    <row r="6217" spans="3:3" x14ac:dyDescent="0.35">
      <c r="C6217" s="2"/>
    </row>
    <row r="6218" spans="3:3" x14ac:dyDescent="0.35">
      <c r="C6218" s="2"/>
    </row>
    <row r="6219" spans="3:3" x14ac:dyDescent="0.35">
      <c r="C6219" s="2"/>
    </row>
    <row r="6220" spans="3:3" x14ac:dyDescent="0.35">
      <c r="C6220" s="2"/>
    </row>
    <row r="6221" spans="3:3" x14ac:dyDescent="0.35">
      <c r="C6221" s="2"/>
    </row>
    <row r="6222" spans="3:3" x14ac:dyDescent="0.35">
      <c r="C6222" s="2"/>
    </row>
    <row r="6223" spans="3:3" x14ac:dyDescent="0.35">
      <c r="C6223" s="2"/>
    </row>
    <row r="6224" spans="3:3" x14ac:dyDescent="0.35">
      <c r="C6224" s="2"/>
    </row>
    <row r="6225" spans="3:3" x14ac:dyDescent="0.35">
      <c r="C6225" s="2"/>
    </row>
    <row r="6226" spans="3:3" x14ac:dyDescent="0.35">
      <c r="C6226" s="2"/>
    </row>
    <row r="6227" spans="3:3" x14ac:dyDescent="0.35">
      <c r="C6227" s="2"/>
    </row>
    <row r="6228" spans="3:3" x14ac:dyDescent="0.35">
      <c r="C6228" s="2"/>
    </row>
    <row r="6229" spans="3:3" x14ac:dyDescent="0.35">
      <c r="C6229" s="2"/>
    </row>
    <row r="6230" spans="3:3" x14ac:dyDescent="0.35">
      <c r="C6230" s="2"/>
    </row>
    <row r="6231" spans="3:3" x14ac:dyDescent="0.35">
      <c r="C6231" s="2"/>
    </row>
    <row r="6232" spans="3:3" x14ac:dyDescent="0.35">
      <c r="C6232" s="2"/>
    </row>
    <row r="6233" spans="3:3" x14ac:dyDescent="0.35">
      <c r="C6233" s="2"/>
    </row>
    <row r="6234" spans="3:3" x14ac:dyDescent="0.35">
      <c r="C6234" s="2"/>
    </row>
    <row r="6235" spans="3:3" x14ac:dyDescent="0.35">
      <c r="C6235" s="2"/>
    </row>
    <row r="6236" spans="3:3" x14ac:dyDescent="0.35">
      <c r="C6236" s="2"/>
    </row>
    <row r="6237" spans="3:3" x14ac:dyDescent="0.35">
      <c r="C6237" s="2"/>
    </row>
    <row r="6238" spans="3:3" x14ac:dyDescent="0.35">
      <c r="C6238" s="2"/>
    </row>
    <row r="6239" spans="3:3" x14ac:dyDescent="0.35">
      <c r="C6239" s="2"/>
    </row>
    <row r="6240" spans="3:3" x14ac:dyDescent="0.35">
      <c r="C6240" s="2"/>
    </row>
    <row r="6241" spans="3:3" x14ac:dyDescent="0.35">
      <c r="C6241" s="2"/>
    </row>
    <row r="6242" spans="3:3" x14ac:dyDescent="0.35">
      <c r="C6242" s="2"/>
    </row>
    <row r="6243" spans="3:3" x14ac:dyDescent="0.35">
      <c r="C6243" s="2"/>
    </row>
    <row r="6244" spans="3:3" x14ac:dyDescent="0.35">
      <c r="C6244" s="2"/>
    </row>
    <row r="6245" spans="3:3" x14ac:dyDescent="0.35">
      <c r="C6245" s="2"/>
    </row>
    <row r="6246" spans="3:3" x14ac:dyDescent="0.35">
      <c r="C6246" s="2"/>
    </row>
    <row r="6247" spans="3:3" x14ac:dyDescent="0.35">
      <c r="C6247" s="2"/>
    </row>
    <row r="6248" spans="3:3" x14ac:dyDescent="0.35">
      <c r="C6248" s="2"/>
    </row>
    <row r="6249" spans="3:3" x14ac:dyDescent="0.35">
      <c r="C6249" s="2"/>
    </row>
    <row r="6250" spans="3:3" x14ac:dyDescent="0.35">
      <c r="C6250" s="2"/>
    </row>
    <row r="6251" spans="3:3" x14ac:dyDescent="0.35">
      <c r="C6251" s="2"/>
    </row>
    <row r="6252" spans="3:3" x14ac:dyDescent="0.35">
      <c r="C6252" s="2"/>
    </row>
    <row r="6253" spans="3:3" x14ac:dyDescent="0.35">
      <c r="C6253" s="2"/>
    </row>
    <row r="6254" spans="3:3" x14ac:dyDescent="0.35">
      <c r="C6254" s="2"/>
    </row>
    <row r="6255" spans="3:3" x14ac:dyDescent="0.35">
      <c r="C6255" s="2"/>
    </row>
    <row r="6256" spans="3:3" x14ac:dyDescent="0.35">
      <c r="C6256" s="2"/>
    </row>
    <row r="6257" spans="3:3" x14ac:dyDescent="0.35">
      <c r="C6257" s="2"/>
    </row>
    <row r="6258" spans="3:3" x14ac:dyDescent="0.35">
      <c r="C6258" s="2"/>
    </row>
    <row r="6259" spans="3:3" x14ac:dyDescent="0.35">
      <c r="C6259" s="2"/>
    </row>
    <row r="6260" spans="3:3" x14ac:dyDescent="0.35">
      <c r="C6260" s="2"/>
    </row>
    <row r="6261" spans="3:3" x14ac:dyDescent="0.35">
      <c r="C6261" s="2"/>
    </row>
    <row r="6262" spans="3:3" x14ac:dyDescent="0.35">
      <c r="C6262" s="2"/>
    </row>
    <row r="6263" spans="3:3" x14ac:dyDescent="0.35">
      <c r="C6263" s="2"/>
    </row>
    <row r="6264" spans="3:3" x14ac:dyDescent="0.35">
      <c r="C6264" s="2"/>
    </row>
    <row r="6265" spans="3:3" x14ac:dyDescent="0.35">
      <c r="C6265" s="2"/>
    </row>
    <row r="6266" spans="3:3" x14ac:dyDescent="0.35">
      <c r="C6266" s="2"/>
    </row>
    <row r="6267" spans="3:3" x14ac:dyDescent="0.35">
      <c r="C6267" s="2"/>
    </row>
    <row r="6268" spans="3:3" x14ac:dyDescent="0.35">
      <c r="C6268" s="2"/>
    </row>
    <row r="6269" spans="3:3" x14ac:dyDescent="0.35">
      <c r="C6269" s="2"/>
    </row>
    <row r="6270" spans="3:3" x14ac:dyDescent="0.35">
      <c r="C6270" s="2"/>
    </row>
    <row r="6271" spans="3:3" x14ac:dyDescent="0.35">
      <c r="C6271" s="2"/>
    </row>
    <row r="6272" spans="3:3" x14ac:dyDescent="0.35">
      <c r="C6272" s="2"/>
    </row>
    <row r="6273" spans="3:3" x14ac:dyDescent="0.35">
      <c r="C6273" s="2"/>
    </row>
    <row r="6274" spans="3:3" x14ac:dyDescent="0.35">
      <c r="C6274" s="2"/>
    </row>
    <row r="6275" spans="3:3" x14ac:dyDescent="0.35">
      <c r="C6275" s="2"/>
    </row>
    <row r="6276" spans="3:3" x14ac:dyDescent="0.35">
      <c r="C6276" s="2"/>
    </row>
    <row r="6277" spans="3:3" x14ac:dyDescent="0.35">
      <c r="C6277" s="2"/>
    </row>
    <row r="6278" spans="3:3" x14ac:dyDescent="0.35">
      <c r="C6278" s="2"/>
    </row>
    <row r="6279" spans="3:3" x14ac:dyDescent="0.35">
      <c r="C6279" s="2"/>
    </row>
    <row r="6280" spans="3:3" x14ac:dyDescent="0.35">
      <c r="C6280" s="2"/>
    </row>
    <row r="6281" spans="3:3" x14ac:dyDescent="0.35">
      <c r="C6281" s="2"/>
    </row>
    <row r="6282" spans="3:3" x14ac:dyDescent="0.35">
      <c r="C6282" s="2"/>
    </row>
    <row r="6283" spans="3:3" x14ac:dyDescent="0.35">
      <c r="C6283" s="2"/>
    </row>
    <row r="6284" spans="3:3" x14ac:dyDescent="0.35">
      <c r="C6284" s="2"/>
    </row>
    <row r="6285" spans="3:3" x14ac:dyDescent="0.35">
      <c r="C6285" s="2"/>
    </row>
    <row r="6286" spans="3:3" x14ac:dyDescent="0.35">
      <c r="C6286" s="2"/>
    </row>
    <row r="6287" spans="3:3" x14ac:dyDescent="0.35">
      <c r="C6287" s="2"/>
    </row>
    <row r="6288" spans="3:3" x14ac:dyDescent="0.35">
      <c r="C6288" s="2"/>
    </row>
    <row r="6289" spans="3:3" x14ac:dyDescent="0.35">
      <c r="C6289" s="2"/>
    </row>
    <row r="6290" spans="3:3" x14ac:dyDescent="0.35">
      <c r="C6290" s="2"/>
    </row>
    <row r="6291" spans="3:3" x14ac:dyDescent="0.35">
      <c r="C6291" s="2"/>
    </row>
    <row r="6292" spans="3:3" x14ac:dyDescent="0.35">
      <c r="C6292" s="2"/>
    </row>
    <row r="6293" spans="3:3" x14ac:dyDescent="0.35">
      <c r="C6293" s="2"/>
    </row>
    <row r="6294" spans="3:3" x14ac:dyDescent="0.35">
      <c r="C6294" s="2"/>
    </row>
    <row r="6295" spans="3:3" x14ac:dyDescent="0.35">
      <c r="C6295" s="2"/>
    </row>
    <row r="6296" spans="3:3" x14ac:dyDescent="0.35">
      <c r="C6296" s="2"/>
    </row>
    <row r="6297" spans="3:3" x14ac:dyDescent="0.35">
      <c r="C6297" s="2"/>
    </row>
    <row r="6298" spans="3:3" x14ac:dyDescent="0.35">
      <c r="C6298" s="2"/>
    </row>
    <row r="6299" spans="3:3" x14ac:dyDescent="0.35">
      <c r="C6299" s="2"/>
    </row>
    <row r="6300" spans="3:3" x14ac:dyDescent="0.35">
      <c r="C6300" s="2"/>
    </row>
    <row r="6301" spans="3:3" x14ac:dyDescent="0.35">
      <c r="C6301" s="2"/>
    </row>
    <row r="6302" spans="3:3" x14ac:dyDescent="0.35">
      <c r="C6302" s="2"/>
    </row>
    <row r="6303" spans="3:3" x14ac:dyDescent="0.35">
      <c r="C6303" s="2"/>
    </row>
    <row r="6304" spans="3:3" x14ac:dyDescent="0.35">
      <c r="C6304" s="2"/>
    </row>
    <row r="6305" spans="3:3" x14ac:dyDescent="0.35">
      <c r="C6305" s="2"/>
    </row>
    <row r="6306" spans="3:3" x14ac:dyDescent="0.35">
      <c r="C6306" s="2"/>
    </row>
    <row r="6307" spans="3:3" x14ac:dyDescent="0.35">
      <c r="C6307" s="2"/>
    </row>
    <row r="6308" spans="3:3" x14ac:dyDescent="0.35">
      <c r="C6308" s="2"/>
    </row>
    <row r="6309" spans="3:3" x14ac:dyDescent="0.35">
      <c r="C6309" s="2"/>
    </row>
    <row r="6310" spans="3:3" x14ac:dyDescent="0.35">
      <c r="C6310" s="2"/>
    </row>
    <row r="6311" spans="3:3" x14ac:dyDescent="0.35">
      <c r="C6311" s="2"/>
    </row>
    <row r="6312" spans="3:3" x14ac:dyDescent="0.35">
      <c r="C6312" s="2"/>
    </row>
    <row r="6313" spans="3:3" x14ac:dyDescent="0.35">
      <c r="C6313" s="2"/>
    </row>
    <row r="6314" spans="3:3" x14ac:dyDescent="0.35">
      <c r="C6314" s="2"/>
    </row>
    <row r="6315" spans="3:3" x14ac:dyDescent="0.35">
      <c r="C6315" s="2"/>
    </row>
    <row r="6316" spans="3:3" x14ac:dyDescent="0.35">
      <c r="C6316" s="2"/>
    </row>
    <row r="6317" spans="3:3" x14ac:dyDescent="0.35">
      <c r="C6317" s="2"/>
    </row>
    <row r="6318" spans="3:3" x14ac:dyDescent="0.35">
      <c r="C6318" s="2"/>
    </row>
    <row r="6319" spans="3:3" x14ac:dyDescent="0.35">
      <c r="C6319" s="2"/>
    </row>
    <row r="6320" spans="3:3" x14ac:dyDescent="0.35">
      <c r="C6320" s="2"/>
    </row>
    <row r="6321" spans="3:3" x14ac:dyDescent="0.35">
      <c r="C6321" s="2"/>
    </row>
    <row r="6322" spans="3:3" x14ac:dyDescent="0.35">
      <c r="C6322" s="2"/>
    </row>
    <row r="6323" spans="3:3" x14ac:dyDescent="0.35">
      <c r="C6323" s="2"/>
    </row>
    <row r="6324" spans="3:3" x14ac:dyDescent="0.35">
      <c r="C6324" s="2"/>
    </row>
    <row r="6325" spans="3:3" x14ac:dyDescent="0.35">
      <c r="C6325" s="2"/>
    </row>
    <row r="6326" spans="3:3" x14ac:dyDescent="0.35">
      <c r="C6326" s="2"/>
    </row>
    <row r="6327" spans="3:3" x14ac:dyDescent="0.35">
      <c r="C6327" s="2"/>
    </row>
    <row r="6328" spans="3:3" x14ac:dyDescent="0.35">
      <c r="C6328" s="2"/>
    </row>
    <row r="6329" spans="3:3" x14ac:dyDescent="0.35">
      <c r="C6329" s="2"/>
    </row>
    <row r="6330" spans="3:3" x14ac:dyDescent="0.35">
      <c r="C6330" s="2"/>
    </row>
    <row r="6331" spans="3:3" x14ac:dyDescent="0.35">
      <c r="C6331" s="2"/>
    </row>
    <row r="6332" spans="3:3" x14ac:dyDescent="0.35">
      <c r="C6332" s="2"/>
    </row>
    <row r="6333" spans="3:3" x14ac:dyDescent="0.35">
      <c r="C6333" s="2"/>
    </row>
    <row r="6334" spans="3:3" x14ac:dyDescent="0.35">
      <c r="C6334" s="2"/>
    </row>
    <row r="6335" spans="3:3" x14ac:dyDescent="0.35">
      <c r="C6335" s="2"/>
    </row>
    <row r="6336" spans="3:3" x14ac:dyDescent="0.35">
      <c r="C6336" s="2"/>
    </row>
    <row r="6337" spans="3:3" x14ac:dyDescent="0.35">
      <c r="C6337" s="2"/>
    </row>
    <row r="6338" spans="3:3" x14ac:dyDescent="0.35">
      <c r="C6338" s="2"/>
    </row>
    <row r="6339" spans="3:3" x14ac:dyDescent="0.35">
      <c r="C6339" s="2"/>
    </row>
    <row r="6340" spans="3:3" x14ac:dyDescent="0.35">
      <c r="C6340" s="2"/>
    </row>
    <row r="6341" spans="3:3" x14ac:dyDescent="0.35">
      <c r="C6341" s="2"/>
    </row>
    <row r="6342" spans="3:3" x14ac:dyDescent="0.35">
      <c r="C6342" s="2"/>
    </row>
    <row r="6343" spans="3:3" x14ac:dyDescent="0.35">
      <c r="C6343" s="2"/>
    </row>
    <row r="6344" spans="3:3" x14ac:dyDescent="0.35">
      <c r="C6344" s="2"/>
    </row>
    <row r="6345" spans="3:3" x14ac:dyDescent="0.35">
      <c r="C6345" s="2"/>
    </row>
    <row r="6346" spans="3:3" x14ac:dyDescent="0.35">
      <c r="C6346" s="2"/>
    </row>
    <row r="6347" spans="3:3" x14ac:dyDescent="0.35">
      <c r="C6347" s="2"/>
    </row>
    <row r="6348" spans="3:3" x14ac:dyDescent="0.35">
      <c r="C6348" s="2"/>
    </row>
    <row r="6349" spans="3:3" x14ac:dyDescent="0.35">
      <c r="C6349" s="2"/>
    </row>
    <row r="6350" spans="3:3" x14ac:dyDescent="0.35">
      <c r="C6350" s="2"/>
    </row>
    <row r="6351" spans="3:3" x14ac:dyDescent="0.35">
      <c r="C6351" s="2"/>
    </row>
    <row r="6352" spans="3:3" x14ac:dyDescent="0.35">
      <c r="C6352" s="2"/>
    </row>
    <row r="6353" spans="3:3" x14ac:dyDescent="0.35">
      <c r="C6353" s="2"/>
    </row>
    <row r="6354" spans="3:3" x14ac:dyDescent="0.35">
      <c r="C6354" s="2"/>
    </row>
    <row r="6355" spans="3:3" x14ac:dyDescent="0.35">
      <c r="C6355" s="2"/>
    </row>
    <row r="6356" spans="3:3" x14ac:dyDescent="0.35">
      <c r="C6356" s="2"/>
    </row>
    <row r="6357" spans="3:3" x14ac:dyDescent="0.35">
      <c r="C6357" s="2"/>
    </row>
    <row r="6358" spans="3:3" x14ac:dyDescent="0.35">
      <c r="C6358" s="2"/>
    </row>
    <row r="6359" spans="3:3" x14ac:dyDescent="0.35">
      <c r="C6359" s="2"/>
    </row>
    <row r="6360" spans="3:3" x14ac:dyDescent="0.35">
      <c r="C6360" s="2"/>
    </row>
    <row r="6361" spans="3:3" x14ac:dyDescent="0.35">
      <c r="C6361" s="2"/>
    </row>
    <row r="6362" spans="3:3" x14ac:dyDescent="0.35">
      <c r="C6362" s="2"/>
    </row>
    <row r="6363" spans="3:3" x14ac:dyDescent="0.35">
      <c r="C6363" s="2"/>
    </row>
    <row r="6364" spans="3:3" x14ac:dyDescent="0.35">
      <c r="C6364" s="2"/>
    </row>
    <row r="6365" spans="3:3" x14ac:dyDescent="0.35">
      <c r="C6365" s="2"/>
    </row>
    <row r="6366" spans="3:3" x14ac:dyDescent="0.35">
      <c r="C6366" s="2"/>
    </row>
    <row r="6367" spans="3:3" x14ac:dyDescent="0.35">
      <c r="C6367" s="2"/>
    </row>
    <row r="6368" spans="3:3" x14ac:dyDescent="0.35">
      <c r="C6368" s="2"/>
    </row>
    <row r="6369" spans="3:3" x14ac:dyDescent="0.35">
      <c r="C6369" s="2"/>
    </row>
    <row r="6370" spans="3:3" x14ac:dyDescent="0.35">
      <c r="C6370" s="2"/>
    </row>
    <row r="6371" spans="3:3" x14ac:dyDescent="0.35">
      <c r="C6371" s="2"/>
    </row>
    <row r="6372" spans="3:3" x14ac:dyDescent="0.35">
      <c r="C6372" s="2"/>
    </row>
    <row r="6373" spans="3:3" x14ac:dyDescent="0.35">
      <c r="C6373" s="2"/>
    </row>
    <row r="6374" spans="3:3" x14ac:dyDescent="0.35">
      <c r="C6374" s="2"/>
    </row>
    <row r="6375" spans="3:3" x14ac:dyDescent="0.35">
      <c r="C6375" s="2"/>
    </row>
    <row r="6376" spans="3:3" x14ac:dyDescent="0.35">
      <c r="C6376" s="2"/>
    </row>
    <row r="6377" spans="3:3" x14ac:dyDescent="0.35">
      <c r="C6377" s="2"/>
    </row>
    <row r="6378" spans="3:3" x14ac:dyDescent="0.35">
      <c r="C6378" s="2"/>
    </row>
    <row r="6379" spans="3:3" x14ac:dyDescent="0.35">
      <c r="C6379" s="2"/>
    </row>
    <row r="6380" spans="3:3" x14ac:dyDescent="0.35">
      <c r="C6380" s="2"/>
    </row>
    <row r="6381" spans="3:3" x14ac:dyDescent="0.35">
      <c r="C6381" s="2"/>
    </row>
    <row r="6382" spans="3:3" x14ac:dyDescent="0.35">
      <c r="C6382" s="2"/>
    </row>
    <row r="6383" spans="3:3" x14ac:dyDescent="0.35">
      <c r="C6383" s="2"/>
    </row>
    <row r="6384" spans="3:3" x14ac:dyDescent="0.35">
      <c r="C6384" s="2"/>
    </row>
    <row r="6385" spans="3:3" x14ac:dyDescent="0.35">
      <c r="C6385" s="2"/>
    </row>
    <row r="6386" spans="3:3" x14ac:dyDescent="0.35">
      <c r="C6386" s="2"/>
    </row>
    <row r="6387" spans="3:3" x14ac:dyDescent="0.35">
      <c r="C6387" s="2"/>
    </row>
    <row r="6388" spans="3:3" x14ac:dyDescent="0.35">
      <c r="C6388" s="2"/>
    </row>
    <row r="6389" spans="3:3" x14ac:dyDescent="0.35">
      <c r="C6389" s="2"/>
    </row>
    <row r="6390" spans="3:3" x14ac:dyDescent="0.35">
      <c r="C6390" s="2"/>
    </row>
    <row r="6391" spans="3:3" x14ac:dyDescent="0.35">
      <c r="C6391" s="2"/>
    </row>
    <row r="6392" spans="3:3" x14ac:dyDescent="0.35">
      <c r="C6392" s="2"/>
    </row>
    <row r="6393" spans="3:3" x14ac:dyDescent="0.35">
      <c r="C6393" s="2"/>
    </row>
    <row r="6394" spans="3:3" x14ac:dyDescent="0.35">
      <c r="C6394" s="2"/>
    </row>
    <row r="6395" spans="3:3" x14ac:dyDescent="0.35">
      <c r="C6395" s="2"/>
    </row>
    <row r="6396" spans="3:3" x14ac:dyDescent="0.35">
      <c r="C6396" s="2"/>
    </row>
    <row r="6397" spans="3:3" x14ac:dyDescent="0.35">
      <c r="C6397" s="2"/>
    </row>
    <row r="6398" spans="3:3" x14ac:dyDescent="0.35">
      <c r="C6398" s="2"/>
    </row>
    <row r="6399" spans="3:3" x14ac:dyDescent="0.35">
      <c r="C6399" s="2"/>
    </row>
    <row r="6400" spans="3:3" x14ac:dyDescent="0.35">
      <c r="C6400" s="2"/>
    </row>
    <row r="6401" spans="3:3" x14ac:dyDescent="0.35">
      <c r="C6401" s="2"/>
    </row>
    <row r="6402" spans="3:3" x14ac:dyDescent="0.35">
      <c r="C6402" s="2"/>
    </row>
    <row r="6403" spans="3:3" x14ac:dyDescent="0.35">
      <c r="C6403" s="2"/>
    </row>
    <row r="6404" spans="3:3" x14ac:dyDescent="0.35">
      <c r="C6404" s="2"/>
    </row>
    <row r="6405" spans="3:3" x14ac:dyDescent="0.35">
      <c r="C6405" s="2"/>
    </row>
    <row r="6406" spans="3:3" x14ac:dyDescent="0.35">
      <c r="C6406" s="2"/>
    </row>
    <row r="6407" spans="3:3" x14ac:dyDescent="0.35">
      <c r="C6407" s="2"/>
    </row>
    <row r="6408" spans="3:3" x14ac:dyDescent="0.35">
      <c r="C6408" s="2"/>
    </row>
    <row r="6409" spans="3:3" x14ac:dyDescent="0.35">
      <c r="C6409" s="2"/>
    </row>
    <row r="6410" spans="3:3" x14ac:dyDescent="0.35">
      <c r="C6410" s="2"/>
    </row>
    <row r="6411" spans="3:3" x14ac:dyDescent="0.35">
      <c r="C6411" s="2"/>
    </row>
    <row r="6412" spans="3:3" x14ac:dyDescent="0.35">
      <c r="C6412" s="2"/>
    </row>
    <row r="6413" spans="3:3" x14ac:dyDescent="0.35">
      <c r="C6413" s="2"/>
    </row>
    <row r="6414" spans="3:3" x14ac:dyDescent="0.35">
      <c r="C6414" s="2"/>
    </row>
    <row r="6415" spans="3:3" x14ac:dyDescent="0.35">
      <c r="C6415" s="2"/>
    </row>
    <row r="6416" spans="3:3" x14ac:dyDescent="0.35">
      <c r="C6416" s="2"/>
    </row>
    <row r="6417" spans="3:3" x14ac:dyDescent="0.35">
      <c r="C6417" s="2"/>
    </row>
    <row r="6418" spans="3:3" x14ac:dyDescent="0.35">
      <c r="C6418" s="2"/>
    </row>
    <row r="6419" spans="3:3" x14ac:dyDescent="0.35">
      <c r="C6419" s="2"/>
    </row>
    <row r="6420" spans="3:3" x14ac:dyDescent="0.35">
      <c r="C6420" s="2"/>
    </row>
    <row r="6421" spans="3:3" x14ac:dyDescent="0.35">
      <c r="C6421" s="2"/>
    </row>
    <row r="6422" spans="3:3" x14ac:dyDescent="0.35">
      <c r="C6422" s="2"/>
    </row>
    <row r="6423" spans="3:3" x14ac:dyDescent="0.35">
      <c r="C6423" s="2"/>
    </row>
    <row r="6424" spans="3:3" x14ac:dyDescent="0.35">
      <c r="C6424" s="2"/>
    </row>
    <row r="6425" spans="3:3" x14ac:dyDescent="0.35">
      <c r="C6425" s="2"/>
    </row>
    <row r="6426" spans="3:3" x14ac:dyDescent="0.35">
      <c r="C6426" s="2"/>
    </row>
    <row r="6427" spans="3:3" x14ac:dyDescent="0.35">
      <c r="C6427" s="2"/>
    </row>
    <row r="6428" spans="3:3" x14ac:dyDescent="0.35">
      <c r="C6428" s="2"/>
    </row>
    <row r="6429" spans="3:3" x14ac:dyDescent="0.35">
      <c r="C6429" s="2"/>
    </row>
    <row r="6430" spans="3:3" x14ac:dyDescent="0.35">
      <c r="C6430" s="2"/>
    </row>
    <row r="6431" spans="3:3" x14ac:dyDescent="0.35">
      <c r="C6431" s="2"/>
    </row>
    <row r="6432" spans="3:3" x14ac:dyDescent="0.35">
      <c r="C6432" s="2"/>
    </row>
    <row r="6433" spans="3:3" x14ac:dyDescent="0.35">
      <c r="C6433" s="2"/>
    </row>
    <row r="6434" spans="3:3" x14ac:dyDescent="0.35">
      <c r="C6434" s="2"/>
    </row>
    <row r="6435" spans="3:3" x14ac:dyDescent="0.35">
      <c r="C6435" s="2"/>
    </row>
    <row r="6436" spans="3:3" x14ac:dyDescent="0.35">
      <c r="C6436" s="2"/>
    </row>
    <row r="6437" spans="3:3" x14ac:dyDescent="0.35">
      <c r="C6437" s="2"/>
    </row>
    <row r="6438" spans="3:3" x14ac:dyDescent="0.35">
      <c r="C6438" s="2"/>
    </row>
    <row r="6439" spans="3:3" x14ac:dyDescent="0.35">
      <c r="C6439" s="2"/>
    </row>
    <row r="6440" spans="3:3" x14ac:dyDescent="0.35">
      <c r="C6440" s="2"/>
    </row>
    <row r="6441" spans="3:3" x14ac:dyDescent="0.35">
      <c r="C6441" s="2"/>
    </row>
    <row r="6442" spans="3:3" x14ac:dyDescent="0.35">
      <c r="C6442" s="2"/>
    </row>
    <row r="6443" spans="3:3" x14ac:dyDescent="0.35">
      <c r="C6443" s="2"/>
    </row>
    <row r="6444" spans="3:3" x14ac:dyDescent="0.35">
      <c r="C6444" s="2"/>
    </row>
    <row r="6445" spans="3:3" x14ac:dyDescent="0.35">
      <c r="C6445" s="2"/>
    </row>
    <row r="6446" spans="3:3" x14ac:dyDescent="0.35">
      <c r="C6446" s="2"/>
    </row>
    <row r="6447" spans="3:3" x14ac:dyDescent="0.35">
      <c r="C6447" s="2"/>
    </row>
    <row r="6448" spans="3:3" x14ac:dyDescent="0.35">
      <c r="C6448" s="2"/>
    </row>
    <row r="6449" spans="3:3" x14ac:dyDescent="0.35">
      <c r="C6449" s="2"/>
    </row>
    <row r="6450" spans="3:3" x14ac:dyDescent="0.35">
      <c r="C6450" s="2"/>
    </row>
    <row r="6451" spans="3:3" x14ac:dyDescent="0.35">
      <c r="C6451" s="2"/>
    </row>
    <row r="6452" spans="3:3" x14ac:dyDescent="0.35">
      <c r="C6452" s="2"/>
    </row>
    <row r="6453" spans="3:3" x14ac:dyDescent="0.35">
      <c r="C6453" s="2"/>
    </row>
    <row r="6454" spans="3:3" x14ac:dyDescent="0.35">
      <c r="C6454" s="2"/>
    </row>
    <row r="6455" spans="3:3" x14ac:dyDescent="0.35">
      <c r="C6455" s="2"/>
    </row>
    <row r="6456" spans="3:3" x14ac:dyDescent="0.35">
      <c r="C6456" s="2"/>
    </row>
    <row r="6457" spans="3:3" x14ac:dyDescent="0.35">
      <c r="C6457" s="2"/>
    </row>
    <row r="6458" spans="3:3" x14ac:dyDescent="0.35">
      <c r="C6458" s="2"/>
    </row>
    <row r="6459" spans="3:3" x14ac:dyDescent="0.35">
      <c r="C6459" s="2"/>
    </row>
    <row r="6460" spans="3:3" x14ac:dyDescent="0.35">
      <c r="C6460" s="2"/>
    </row>
    <row r="6461" spans="3:3" x14ac:dyDescent="0.35">
      <c r="C6461" s="2"/>
    </row>
    <row r="6462" spans="3:3" x14ac:dyDescent="0.35">
      <c r="C6462" s="2"/>
    </row>
    <row r="6463" spans="3:3" x14ac:dyDescent="0.35">
      <c r="C6463" s="2"/>
    </row>
    <row r="6464" spans="3:3" x14ac:dyDescent="0.35">
      <c r="C6464" s="2"/>
    </row>
    <row r="6465" spans="3:3" x14ac:dyDescent="0.35">
      <c r="C6465" s="2"/>
    </row>
    <row r="6466" spans="3:3" x14ac:dyDescent="0.35">
      <c r="C6466" s="2"/>
    </row>
    <row r="6467" spans="3:3" x14ac:dyDescent="0.35">
      <c r="C6467" s="2"/>
    </row>
    <row r="6468" spans="3:3" x14ac:dyDescent="0.35">
      <c r="C6468" s="2"/>
    </row>
    <row r="6469" spans="3:3" x14ac:dyDescent="0.35">
      <c r="C6469" s="2"/>
    </row>
    <row r="6470" spans="3:3" x14ac:dyDescent="0.35">
      <c r="C6470" s="2"/>
    </row>
    <row r="6471" spans="3:3" x14ac:dyDescent="0.35">
      <c r="C6471" s="2"/>
    </row>
    <row r="6472" spans="3:3" x14ac:dyDescent="0.35">
      <c r="C6472" s="2"/>
    </row>
    <row r="6473" spans="3:3" x14ac:dyDescent="0.35">
      <c r="C6473" s="2"/>
    </row>
    <row r="6474" spans="3:3" x14ac:dyDescent="0.35">
      <c r="C6474" s="2"/>
    </row>
    <row r="6475" spans="3:3" x14ac:dyDescent="0.35">
      <c r="C6475" s="2"/>
    </row>
    <row r="6476" spans="3:3" x14ac:dyDescent="0.35">
      <c r="C6476" s="2"/>
    </row>
    <row r="6477" spans="3:3" x14ac:dyDescent="0.35">
      <c r="C6477" s="2"/>
    </row>
    <row r="6478" spans="3:3" x14ac:dyDescent="0.35">
      <c r="C6478" s="2"/>
    </row>
    <row r="6479" spans="3:3" x14ac:dyDescent="0.35">
      <c r="C6479" s="2"/>
    </row>
    <row r="6480" spans="3:3" x14ac:dyDescent="0.35">
      <c r="C6480" s="2"/>
    </row>
    <row r="6481" spans="3:3" x14ac:dyDescent="0.35">
      <c r="C6481" s="2"/>
    </row>
    <row r="6482" spans="3:3" x14ac:dyDescent="0.35">
      <c r="C6482" s="2"/>
    </row>
    <row r="6483" spans="3:3" x14ac:dyDescent="0.35">
      <c r="C6483" s="2"/>
    </row>
    <row r="6484" spans="3:3" x14ac:dyDescent="0.35">
      <c r="C6484" s="2"/>
    </row>
    <row r="6485" spans="3:3" x14ac:dyDescent="0.35">
      <c r="C6485" s="2"/>
    </row>
    <row r="6486" spans="3:3" x14ac:dyDescent="0.35">
      <c r="C6486" s="2"/>
    </row>
    <row r="6487" spans="3:3" x14ac:dyDescent="0.35">
      <c r="C6487" s="2"/>
    </row>
    <row r="6488" spans="3:3" x14ac:dyDescent="0.35">
      <c r="C6488" s="2"/>
    </row>
    <row r="6489" spans="3:3" x14ac:dyDescent="0.35">
      <c r="C6489" s="2"/>
    </row>
    <row r="6490" spans="3:3" x14ac:dyDescent="0.35">
      <c r="C6490" s="2"/>
    </row>
    <row r="6491" spans="3:3" x14ac:dyDescent="0.35">
      <c r="C6491" s="2"/>
    </row>
    <row r="6492" spans="3:3" x14ac:dyDescent="0.35">
      <c r="C6492" s="2"/>
    </row>
    <row r="6493" spans="3:3" x14ac:dyDescent="0.35">
      <c r="C6493" s="2"/>
    </row>
    <row r="6494" spans="3:3" x14ac:dyDescent="0.35">
      <c r="C6494" s="2"/>
    </row>
    <row r="6495" spans="3:3" x14ac:dyDescent="0.35">
      <c r="C6495" s="2"/>
    </row>
    <row r="6496" spans="3:3" x14ac:dyDescent="0.35">
      <c r="C6496" s="2"/>
    </row>
    <row r="6497" spans="3:3" x14ac:dyDescent="0.35">
      <c r="C6497" s="2"/>
    </row>
    <row r="6498" spans="3:3" x14ac:dyDescent="0.35">
      <c r="C6498" s="2"/>
    </row>
    <row r="6499" spans="3:3" x14ac:dyDescent="0.35">
      <c r="C6499" s="2"/>
    </row>
    <row r="6500" spans="3:3" x14ac:dyDescent="0.35">
      <c r="C6500" s="2"/>
    </row>
    <row r="6501" spans="3:3" x14ac:dyDescent="0.35">
      <c r="C6501" s="2"/>
    </row>
    <row r="6502" spans="3:3" x14ac:dyDescent="0.35">
      <c r="C6502" s="2"/>
    </row>
    <row r="6503" spans="3:3" x14ac:dyDescent="0.35">
      <c r="C6503" s="2"/>
    </row>
    <row r="6504" spans="3:3" x14ac:dyDescent="0.35">
      <c r="C6504" s="2"/>
    </row>
    <row r="6505" spans="3:3" x14ac:dyDescent="0.35">
      <c r="C6505" s="2"/>
    </row>
    <row r="6506" spans="3:3" x14ac:dyDescent="0.35">
      <c r="C6506" s="2"/>
    </row>
    <row r="6507" spans="3:3" x14ac:dyDescent="0.35">
      <c r="C6507" s="2"/>
    </row>
    <row r="6508" spans="3:3" x14ac:dyDescent="0.35">
      <c r="C6508" s="2"/>
    </row>
    <row r="6509" spans="3:3" x14ac:dyDescent="0.35">
      <c r="C6509" s="2"/>
    </row>
    <row r="6510" spans="3:3" x14ac:dyDescent="0.35">
      <c r="C6510" s="2"/>
    </row>
    <row r="6511" spans="3:3" x14ac:dyDescent="0.35">
      <c r="C6511" s="2"/>
    </row>
    <row r="6512" spans="3:3" x14ac:dyDescent="0.35">
      <c r="C6512" s="2"/>
    </row>
    <row r="6513" spans="3:3" x14ac:dyDescent="0.35">
      <c r="C6513" s="2"/>
    </row>
    <row r="6514" spans="3:3" x14ac:dyDescent="0.35">
      <c r="C6514" s="2"/>
    </row>
    <row r="6515" spans="3:3" x14ac:dyDescent="0.35">
      <c r="C6515" s="2"/>
    </row>
    <row r="6516" spans="3:3" x14ac:dyDescent="0.35">
      <c r="C6516" s="2"/>
    </row>
    <row r="6517" spans="3:3" x14ac:dyDescent="0.35">
      <c r="C6517" s="2"/>
    </row>
    <row r="6518" spans="3:3" x14ac:dyDescent="0.35">
      <c r="C6518" s="2"/>
    </row>
    <row r="6519" spans="3:3" x14ac:dyDescent="0.35">
      <c r="C6519" s="2"/>
    </row>
    <row r="6520" spans="3:3" x14ac:dyDescent="0.35">
      <c r="C6520" s="2"/>
    </row>
    <row r="6521" spans="3:3" x14ac:dyDescent="0.35">
      <c r="C6521" s="2"/>
    </row>
    <row r="6522" spans="3:3" x14ac:dyDescent="0.35">
      <c r="C6522" s="2"/>
    </row>
    <row r="6523" spans="3:3" x14ac:dyDescent="0.35">
      <c r="C6523" s="2"/>
    </row>
    <row r="6524" spans="3:3" x14ac:dyDescent="0.35">
      <c r="C6524" s="2"/>
    </row>
    <row r="6525" spans="3:3" x14ac:dyDescent="0.35">
      <c r="C6525" s="2"/>
    </row>
    <row r="6526" spans="3:3" x14ac:dyDescent="0.35">
      <c r="C6526" s="2"/>
    </row>
    <row r="6527" spans="3:3" x14ac:dyDescent="0.35">
      <c r="C6527" s="2"/>
    </row>
    <row r="6528" spans="3:3" x14ac:dyDescent="0.35">
      <c r="C6528" s="2"/>
    </row>
    <row r="6529" spans="3:3" x14ac:dyDescent="0.35">
      <c r="C6529" s="2"/>
    </row>
    <row r="6530" spans="3:3" x14ac:dyDescent="0.35">
      <c r="C6530" s="2"/>
    </row>
    <row r="6531" spans="3:3" x14ac:dyDescent="0.35">
      <c r="C6531" s="2"/>
    </row>
    <row r="6532" spans="3:3" x14ac:dyDescent="0.35">
      <c r="C6532" s="2"/>
    </row>
    <row r="6533" spans="3:3" x14ac:dyDescent="0.35">
      <c r="C6533" s="2"/>
    </row>
    <row r="6534" spans="3:3" x14ac:dyDescent="0.35">
      <c r="C6534" s="2"/>
    </row>
    <row r="6535" spans="3:3" x14ac:dyDescent="0.35">
      <c r="C6535" s="2"/>
    </row>
    <row r="6536" spans="3:3" x14ac:dyDescent="0.35">
      <c r="C6536" s="2"/>
    </row>
    <row r="6537" spans="3:3" x14ac:dyDescent="0.35">
      <c r="C6537" s="2"/>
    </row>
    <row r="6538" spans="3:3" x14ac:dyDescent="0.35">
      <c r="C6538" s="2"/>
    </row>
    <row r="6539" spans="3:3" x14ac:dyDescent="0.35">
      <c r="C6539" s="2"/>
    </row>
    <row r="6540" spans="3:3" x14ac:dyDescent="0.35">
      <c r="C6540" s="2"/>
    </row>
    <row r="6541" spans="3:3" x14ac:dyDescent="0.35">
      <c r="C6541" s="2"/>
    </row>
    <row r="6542" spans="3:3" x14ac:dyDescent="0.35">
      <c r="C6542" s="2"/>
    </row>
    <row r="6543" spans="3:3" x14ac:dyDescent="0.35">
      <c r="C6543" s="2"/>
    </row>
    <row r="6544" spans="3:3" x14ac:dyDescent="0.35">
      <c r="C6544" s="2"/>
    </row>
    <row r="6545" spans="3:3" x14ac:dyDescent="0.35">
      <c r="C6545" s="2"/>
    </row>
    <row r="6546" spans="3:3" x14ac:dyDescent="0.35">
      <c r="C6546" s="2"/>
    </row>
    <row r="6547" spans="3:3" x14ac:dyDescent="0.35">
      <c r="C6547" s="2"/>
    </row>
    <row r="6548" spans="3:3" x14ac:dyDescent="0.35">
      <c r="C6548" s="2"/>
    </row>
    <row r="6549" spans="3:3" x14ac:dyDescent="0.35">
      <c r="C6549" s="2"/>
    </row>
    <row r="6550" spans="3:3" x14ac:dyDescent="0.35">
      <c r="C6550" s="2"/>
    </row>
    <row r="6551" spans="3:3" x14ac:dyDescent="0.35">
      <c r="C6551" s="2"/>
    </row>
    <row r="6552" spans="3:3" x14ac:dyDescent="0.35">
      <c r="C6552" s="2"/>
    </row>
    <row r="6553" spans="3:3" x14ac:dyDescent="0.35">
      <c r="C6553" s="2"/>
    </row>
    <row r="6554" spans="3:3" x14ac:dyDescent="0.35">
      <c r="C6554" s="2"/>
    </row>
    <row r="6555" spans="3:3" x14ac:dyDescent="0.35">
      <c r="C6555" s="2"/>
    </row>
    <row r="6556" spans="3:3" x14ac:dyDescent="0.35">
      <c r="C6556" s="2"/>
    </row>
    <row r="6557" spans="3:3" x14ac:dyDescent="0.35">
      <c r="C6557" s="2"/>
    </row>
    <row r="6558" spans="3:3" x14ac:dyDescent="0.35">
      <c r="C6558" s="2"/>
    </row>
    <row r="6559" spans="3:3" x14ac:dyDescent="0.35">
      <c r="C6559" s="2"/>
    </row>
    <row r="6560" spans="3:3" x14ac:dyDescent="0.35">
      <c r="C6560" s="2"/>
    </row>
    <row r="6561" spans="3:3" x14ac:dyDescent="0.35">
      <c r="C6561" s="2"/>
    </row>
    <row r="6562" spans="3:3" x14ac:dyDescent="0.35">
      <c r="C6562" s="2"/>
    </row>
    <row r="6563" spans="3:3" x14ac:dyDescent="0.35">
      <c r="C6563" s="2"/>
    </row>
    <row r="6564" spans="3:3" x14ac:dyDescent="0.35">
      <c r="C6564" s="2"/>
    </row>
    <row r="6565" spans="3:3" x14ac:dyDescent="0.35">
      <c r="C6565" s="2"/>
    </row>
    <row r="6566" spans="3:3" x14ac:dyDescent="0.35">
      <c r="C6566" s="2"/>
    </row>
    <row r="6567" spans="3:3" x14ac:dyDescent="0.35">
      <c r="C6567" s="2"/>
    </row>
    <row r="6568" spans="3:3" x14ac:dyDescent="0.35">
      <c r="C6568" s="2"/>
    </row>
    <row r="6569" spans="3:3" x14ac:dyDescent="0.35">
      <c r="C6569" s="2"/>
    </row>
    <row r="6570" spans="3:3" x14ac:dyDescent="0.35">
      <c r="C6570" s="2"/>
    </row>
    <row r="6571" spans="3:3" x14ac:dyDescent="0.35">
      <c r="C6571" s="2"/>
    </row>
    <row r="6572" spans="3:3" x14ac:dyDescent="0.35">
      <c r="C6572" s="2"/>
    </row>
    <row r="6573" spans="3:3" x14ac:dyDescent="0.35">
      <c r="C6573" s="2"/>
    </row>
    <row r="6574" spans="3:3" x14ac:dyDescent="0.35">
      <c r="C6574" s="2"/>
    </row>
    <row r="6575" spans="3:3" x14ac:dyDescent="0.35">
      <c r="C6575" s="2"/>
    </row>
    <row r="6576" spans="3:3" x14ac:dyDescent="0.35">
      <c r="C6576" s="2"/>
    </row>
    <row r="6577" spans="3:3" x14ac:dyDescent="0.35">
      <c r="C6577" s="2"/>
    </row>
    <row r="6578" spans="3:3" x14ac:dyDescent="0.35">
      <c r="C6578" s="2"/>
    </row>
    <row r="6579" spans="3:3" x14ac:dyDescent="0.35">
      <c r="C6579" s="2"/>
    </row>
    <row r="6580" spans="3:3" x14ac:dyDescent="0.35">
      <c r="C6580" s="2"/>
    </row>
    <row r="6581" spans="3:3" x14ac:dyDescent="0.35">
      <c r="C6581" s="2"/>
    </row>
    <row r="6582" spans="3:3" x14ac:dyDescent="0.35">
      <c r="C6582" s="2"/>
    </row>
    <row r="6583" spans="3:3" x14ac:dyDescent="0.35">
      <c r="C6583" s="2"/>
    </row>
    <row r="6584" spans="3:3" x14ac:dyDescent="0.35">
      <c r="C6584" s="2"/>
    </row>
    <row r="6585" spans="3:3" x14ac:dyDescent="0.35">
      <c r="C6585" s="2"/>
    </row>
    <row r="6586" spans="3:3" x14ac:dyDescent="0.35">
      <c r="C6586" s="2"/>
    </row>
    <row r="6587" spans="3:3" x14ac:dyDescent="0.35">
      <c r="C6587" s="2"/>
    </row>
    <row r="6588" spans="3:3" x14ac:dyDescent="0.35">
      <c r="C6588" s="2"/>
    </row>
    <row r="6589" spans="3:3" x14ac:dyDescent="0.35">
      <c r="C6589" s="2"/>
    </row>
    <row r="6590" spans="3:3" x14ac:dyDescent="0.35">
      <c r="C6590" s="2"/>
    </row>
    <row r="6591" spans="3:3" x14ac:dyDescent="0.35">
      <c r="C6591" s="2"/>
    </row>
    <row r="6592" spans="3:3" x14ac:dyDescent="0.35">
      <c r="C6592" s="2"/>
    </row>
    <row r="6593" spans="3:3" x14ac:dyDescent="0.35">
      <c r="C6593" s="2"/>
    </row>
    <row r="6594" spans="3:3" x14ac:dyDescent="0.35">
      <c r="C6594" s="2"/>
    </row>
    <row r="6595" spans="3:3" x14ac:dyDescent="0.35">
      <c r="C6595" s="2"/>
    </row>
    <row r="6596" spans="3:3" x14ac:dyDescent="0.35">
      <c r="C6596" s="2"/>
    </row>
    <row r="6597" spans="3:3" x14ac:dyDescent="0.35">
      <c r="C6597" s="2"/>
    </row>
    <row r="6598" spans="3:3" x14ac:dyDescent="0.35">
      <c r="C6598" s="2"/>
    </row>
    <row r="6599" spans="3:3" x14ac:dyDescent="0.35">
      <c r="C6599" s="2"/>
    </row>
    <row r="6600" spans="3:3" x14ac:dyDescent="0.35">
      <c r="C6600" s="2"/>
    </row>
    <row r="6601" spans="3:3" x14ac:dyDescent="0.35">
      <c r="C6601" s="2"/>
    </row>
    <row r="6602" spans="3:3" x14ac:dyDescent="0.35">
      <c r="C6602" s="2"/>
    </row>
    <row r="6603" spans="3:3" x14ac:dyDescent="0.35">
      <c r="C6603" s="2"/>
    </row>
    <row r="6604" spans="3:3" x14ac:dyDescent="0.35">
      <c r="C6604" s="2"/>
    </row>
    <row r="6605" spans="3:3" x14ac:dyDescent="0.35">
      <c r="C6605" s="2"/>
    </row>
    <row r="6606" spans="3:3" x14ac:dyDescent="0.35">
      <c r="C6606" s="2"/>
    </row>
    <row r="6607" spans="3:3" x14ac:dyDescent="0.35">
      <c r="C6607" s="2"/>
    </row>
    <row r="6608" spans="3:3" x14ac:dyDescent="0.35">
      <c r="C6608" s="2"/>
    </row>
    <row r="6609" spans="3:3" x14ac:dyDescent="0.35">
      <c r="C6609" s="2"/>
    </row>
    <row r="6610" spans="3:3" x14ac:dyDescent="0.35">
      <c r="C6610" s="2"/>
    </row>
    <row r="6611" spans="3:3" x14ac:dyDescent="0.35">
      <c r="C6611" s="2"/>
    </row>
    <row r="6612" spans="3:3" x14ac:dyDescent="0.35">
      <c r="C6612" s="2"/>
    </row>
    <row r="6613" spans="3:3" x14ac:dyDescent="0.35">
      <c r="C6613" s="2"/>
    </row>
    <row r="6614" spans="3:3" x14ac:dyDescent="0.35">
      <c r="C6614" s="2"/>
    </row>
    <row r="6615" spans="3:3" x14ac:dyDescent="0.35">
      <c r="C6615" s="2"/>
    </row>
    <row r="6616" spans="3:3" x14ac:dyDescent="0.35">
      <c r="C6616" s="2"/>
    </row>
    <row r="6617" spans="3:3" x14ac:dyDescent="0.35">
      <c r="C6617" s="2"/>
    </row>
    <row r="6618" spans="3:3" x14ac:dyDescent="0.35">
      <c r="C6618" s="2"/>
    </row>
    <row r="6619" spans="3:3" x14ac:dyDescent="0.35">
      <c r="C6619" s="2"/>
    </row>
    <row r="6620" spans="3:3" x14ac:dyDescent="0.35">
      <c r="C6620" s="2"/>
    </row>
    <row r="6621" spans="3:3" x14ac:dyDescent="0.35">
      <c r="C6621" s="2"/>
    </row>
    <row r="6622" spans="3:3" x14ac:dyDescent="0.35">
      <c r="C6622" s="2"/>
    </row>
    <row r="6623" spans="3:3" x14ac:dyDescent="0.35">
      <c r="C6623" s="2"/>
    </row>
    <row r="6624" spans="3:3" x14ac:dyDescent="0.35">
      <c r="C6624" s="2"/>
    </row>
    <row r="6625" spans="3:3" x14ac:dyDescent="0.35">
      <c r="C6625" s="2"/>
    </row>
    <row r="6626" spans="3:3" x14ac:dyDescent="0.35">
      <c r="C6626" s="2"/>
    </row>
    <row r="6627" spans="3:3" x14ac:dyDescent="0.35">
      <c r="C6627" s="2"/>
    </row>
    <row r="6628" spans="3:3" x14ac:dyDescent="0.35">
      <c r="C6628" s="2"/>
    </row>
    <row r="6629" spans="3:3" x14ac:dyDescent="0.35">
      <c r="C6629" s="2"/>
    </row>
    <row r="6630" spans="3:3" x14ac:dyDescent="0.35">
      <c r="C6630" s="2"/>
    </row>
    <row r="6631" spans="3:3" x14ac:dyDescent="0.35">
      <c r="C6631" s="2"/>
    </row>
    <row r="6632" spans="3:3" x14ac:dyDescent="0.35">
      <c r="C6632" s="2"/>
    </row>
    <row r="6633" spans="3:3" x14ac:dyDescent="0.35">
      <c r="C6633" s="2"/>
    </row>
    <row r="6634" spans="3:3" x14ac:dyDescent="0.35">
      <c r="C6634" s="2"/>
    </row>
    <row r="6635" spans="3:3" x14ac:dyDescent="0.35">
      <c r="C6635" s="2"/>
    </row>
    <row r="6636" spans="3:3" x14ac:dyDescent="0.35">
      <c r="C6636" s="2"/>
    </row>
    <row r="6637" spans="3:3" x14ac:dyDescent="0.35">
      <c r="C6637" s="2"/>
    </row>
    <row r="6638" spans="3:3" x14ac:dyDescent="0.35">
      <c r="C6638" s="2"/>
    </row>
    <row r="6639" spans="3:3" x14ac:dyDescent="0.35">
      <c r="C6639" s="2"/>
    </row>
    <row r="6640" spans="3:3" x14ac:dyDescent="0.35">
      <c r="C6640" s="2"/>
    </row>
    <row r="6641" spans="3:3" x14ac:dyDescent="0.35">
      <c r="C6641" s="2"/>
    </row>
    <row r="6642" spans="3:3" x14ac:dyDescent="0.35">
      <c r="C6642" s="2"/>
    </row>
    <row r="6643" spans="3:3" x14ac:dyDescent="0.35">
      <c r="C6643" s="2"/>
    </row>
    <row r="6644" spans="3:3" x14ac:dyDescent="0.35">
      <c r="C6644" s="2"/>
    </row>
    <row r="6645" spans="3:3" x14ac:dyDescent="0.35">
      <c r="C6645" s="2"/>
    </row>
    <row r="6646" spans="3:3" x14ac:dyDescent="0.35">
      <c r="C6646" s="2"/>
    </row>
    <row r="6647" spans="3:3" x14ac:dyDescent="0.35">
      <c r="C6647" s="2"/>
    </row>
    <row r="6648" spans="3:3" x14ac:dyDescent="0.35">
      <c r="C6648" s="2"/>
    </row>
    <row r="6649" spans="3:3" x14ac:dyDescent="0.35">
      <c r="C6649" s="2"/>
    </row>
    <row r="6650" spans="3:3" x14ac:dyDescent="0.35">
      <c r="C6650" s="2"/>
    </row>
    <row r="6651" spans="3:3" x14ac:dyDescent="0.35">
      <c r="C6651" s="2"/>
    </row>
    <row r="6652" spans="3:3" x14ac:dyDescent="0.35">
      <c r="C6652" s="2"/>
    </row>
    <row r="6653" spans="3:3" x14ac:dyDescent="0.35">
      <c r="C6653" s="2"/>
    </row>
    <row r="6654" spans="3:3" x14ac:dyDescent="0.35">
      <c r="C6654" s="2"/>
    </row>
    <row r="6655" spans="3:3" x14ac:dyDescent="0.35">
      <c r="C6655" s="2"/>
    </row>
    <row r="6656" spans="3:3" x14ac:dyDescent="0.35">
      <c r="C6656" s="2"/>
    </row>
    <row r="6657" spans="3:3" x14ac:dyDescent="0.35">
      <c r="C6657" s="2"/>
    </row>
    <row r="6658" spans="3:3" x14ac:dyDescent="0.35">
      <c r="C6658" s="2"/>
    </row>
    <row r="6659" spans="3:3" x14ac:dyDescent="0.35">
      <c r="C6659" s="2"/>
    </row>
    <row r="6660" spans="3:3" x14ac:dyDescent="0.35">
      <c r="C6660" s="2"/>
    </row>
    <row r="6661" spans="3:3" x14ac:dyDescent="0.35">
      <c r="C6661" s="2"/>
    </row>
    <row r="6662" spans="3:3" x14ac:dyDescent="0.35">
      <c r="C6662" s="2"/>
    </row>
    <row r="6663" spans="3:3" x14ac:dyDescent="0.35">
      <c r="C6663" s="2"/>
    </row>
    <row r="6664" spans="3:3" x14ac:dyDescent="0.35">
      <c r="C6664" s="2"/>
    </row>
    <row r="6665" spans="3:3" x14ac:dyDescent="0.35">
      <c r="C6665" s="2"/>
    </row>
    <row r="6666" spans="3:3" x14ac:dyDescent="0.35">
      <c r="C6666" s="2"/>
    </row>
    <row r="6667" spans="3:3" x14ac:dyDescent="0.35">
      <c r="C6667" s="2"/>
    </row>
    <row r="6668" spans="3:3" x14ac:dyDescent="0.35">
      <c r="C6668" s="2"/>
    </row>
    <row r="6669" spans="3:3" x14ac:dyDescent="0.35">
      <c r="C6669" s="2"/>
    </row>
    <row r="6670" spans="3:3" x14ac:dyDescent="0.35">
      <c r="C6670" s="2"/>
    </row>
    <row r="6671" spans="3:3" x14ac:dyDescent="0.35">
      <c r="C6671" s="2"/>
    </row>
    <row r="6672" spans="3:3" x14ac:dyDescent="0.35">
      <c r="C6672" s="2"/>
    </row>
    <row r="6673" spans="3:3" x14ac:dyDescent="0.35">
      <c r="C6673" s="2"/>
    </row>
    <row r="6674" spans="3:3" x14ac:dyDescent="0.35">
      <c r="C6674" s="2"/>
    </row>
    <row r="6675" spans="3:3" x14ac:dyDescent="0.35">
      <c r="C6675" s="2"/>
    </row>
    <row r="6676" spans="3:3" x14ac:dyDescent="0.35">
      <c r="C6676" s="2"/>
    </row>
    <row r="6677" spans="3:3" x14ac:dyDescent="0.35">
      <c r="C6677" s="2"/>
    </row>
    <row r="6678" spans="3:3" x14ac:dyDescent="0.35">
      <c r="C6678" s="2"/>
    </row>
    <row r="6679" spans="3:3" x14ac:dyDescent="0.35">
      <c r="C6679" s="2"/>
    </row>
    <row r="6680" spans="3:3" x14ac:dyDescent="0.35">
      <c r="C6680" s="2"/>
    </row>
    <row r="6681" spans="3:3" x14ac:dyDescent="0.35">
      <c r="C6681" s="2"/>
    </row>
    <row r="6682" spans="3:3" x14ac:dyDescent="0.35">
      <c r="C6682" s="2"/>
    </row>
    <row r="6683" spans="3:3" x14ac:dyDescent="0.35">
      <c r="C6683" s="2"/>
    </row>
    <row r="6684" spans="3:3" x14ac:dyDescent="0.35">
      <c r="C6684" s="2"/>
    </row>
    <row r="6685" spans="3:3" x14ac:dyDescent="0.35">
      <c r="C6685" s="2"/>
    </row>
    <row r="6686" spans="3:3" x14ac:dyDescent="0.35">
      <c r="C6686" s="2"/>
    </row>
    <row r="6687" spans="3:3" x14ac:dyDescent="0.35">
      <c r="C6687" s="2"/>
    </row>
    <row r="6688" spans="3:3" x14ac:dyDescent="0.35">
      <c r="C6688" s="2"/>
    </row>
    <row r="6689" spans="3:3" x14ac:dyDescent="0.35">
      <c r="C6689" s="2"/>
    </row>
    <row r="6690" spans="3:3" x14ac:dyDescent="0.35">
      <c r="C6690" s="2"/>
    </row>
    <row r="6691" spans="3:3" x14ac:dyDescent="0.35">
      <c r="C6691" s="2"/>
    </row>
    <row r="6692" spans="3:3" x14ac:dyDescent="0.35">
      <c r="C6692" s="2"/>
    </row>
    <row r="6693" spans="3:3" x14ac:dyDescent="0.35">
      <c r="C6693" s="2"/>
    </row>
    <row r="6694" spans="3:3" x14ac:dyDescent="0.35">
      <c r="C6694" s="2"/>
    </row>
    <row r="6695" spans="3:3" x14ac:dyDescent="0.35">
      <c r="C6695" s="2"/>
    </row>
    <row r="6696" spans="3:3" x14ac:dyDescent="0.35">
      <c r="C6696" s="2"/>
    </row>
    <row r="6697" spans="3:3" x14ac:dyDescent="0.35">
      <c r="C6697" s="2"/>
    </row>
    <row r="6698" spans="3:3" x14ac:dyDescent="0.35">
      <c r="C6698" s="2"/>
    </row>
    <row r="6699" spans="3:3" x14ac:dyDescent="0.35">
      <c r="C6699" s="2"/>
    </row>
    <row r="6700" spans="3:3" x14ac:dyDescent="0.35">
      <c r="C6700" s="2"/>
    </row>
    <row r="6701" spans="3:3" x14ac:dyDescent="0.35">
      <c r="C6701" s="2"/>
    </row>
    <row r="6702" spans="3:3" x14ac:dyDescent="0.35">
      <c r="C6702" s="2"/>
    </row>
    <row r="6703" spans="3:3" x14ac:dyDescent="0.35">
      <c r="C6703" s="2"/>
    </row>
    <row r="6704" spans="3:3" x14ac:dyDescent="0.35">
      <c r="C6704" s="2"/>
    </row>
    <row r="6705" spans="3:3" x14ac:dyDescent="0.35">
      <c r="C6705" s="2"/>
    </row>
    <row r="6706" spans="3:3" x14ac:dyDescent="0.35">
      <c r="C6706" s="2"/>
    </row>
    <row r="6707" spans="3:3" x14ac:dyDescent="0.35">
      <c r="C6707" s="2"/>
    </row>
    <row r="6708" spans="3:3" x14ac:dyDescent="0.35">
      <c r="C6708" s="2"/>
    </row>
    <row r="6709" spans="3:3" x14ac:dyDescent="0.35">
      <c r="C6709" s="2"/>
    </row>
    <row r="6710" spans="3:3" x14ac:dyDescent="0.35">
      <c r="C6710" s="2"/>
    </row>
    <row r="6711" spans="3:3" x14ac:dyDescent="0.35">
      <c r="C6711" s="2"/>
    </row>
    <row r="6712" spans="3:3" x14ac:dyDescent="0.35">
      <c r="C6712" s="2"/>
    </row>
    <row r="6713" spans="3:3" x14ac:dyDescent="0.35">
      <c r="C6713" s="2"/>
    </row>
    <row r="6714" spans="3:3" x14ac:dyDescent="0.35">
      <c r="C6714" s="2"/>
    </row>
    <row r="6715" spans="3:3" x14ac:dyDescent="0.35">
      <c r="C6715" s="2"/>
    </row>
    <row r="6716" spans="3:3" x14ac:dyDescent="0.35">
      <c r="C6716" s="2"/>
    </row>
    <row r="6717" spans="3:3" x14ac:dyDescent="0.35">
      <c r="C6717" s="2"/>
    </row>
    <row r="6718" spans="3:3" x14ac:dyDescent="0.35">
      <c r="C6718" s="2"/>
    </row>
    <row r="6719" spans="3:3" x14ac:dyDescent="0.35">
      <c r="C6719" s="2"/>
    </row>
    <row r="6720" spans="3:3" x14ac:dyDescent="0.35">
      <c r="C6720" s="2"/>
    </row>
    <row r="6721" spans="3:3" x14ac:dyDescent="0.35">
      <c r="C6721" s="2"/>
    </row>
    <row r="6722" spans="3:3" x14ac:dyDescent="0.35">
      <c r="C6722" s="2"/>
    </row>
    <row r="6723" spans="3:3" x14ac:dyDescent="0.35">
      <c r="C6723" s="2"/>
    </row>
    <row r="6724" spans="3:3" x14ac:dyDescent="0.35">
      <c r="C6724" s="2"/>
    </row>
    <row r="6725" spans="3:3" x14ac:dyDescent="0.35">
      <c r="C6725" s="2"/>
    </row>
    <row r="6726" spans="3:3" x14ac:dyDescent="0.35">
      <c r="C6726" s="2"/>
    </row>
    <row r="6727" spans="3:3" x14ac:dyDescent="0.35">
      <c r="C6727" s="2"/>
    </row>
    <row r="6728" spans="3:3" x14ac:dyDescent="0.35">
      <c r="C6728" s="2"/>
    </row>
    <row r="6729" spans="3:3" x14ac:dyDescent="0.35">
      <c r="C6729" s="2"/>
    </row>
    <row r="6730" spans="3:3" x14ac:dyDescent="0.35">
      <c r="C6730" s="2"/>
    </row>
    <row r="6731" spans="3:3" x14ac:dyDescent="0.35">
      <c r="C6731" s="2"/>
    </row>
    <row r="6732" spans="3:3" x14ac:dyDescent="0.35">
      <c r="C6732" s="2"/>
    </row>
    <row r="6733" spans="3:3" x14ac:dyDescent="0.35">
      <c r="C6733" s="2"/>
    </row>
    <row r="6734" spans="3:3" x14ac:dyDescent="0.35">
      <c r="C6734" s="2"/>
    </row>
    <row r="6735" spans="3:3" x14ac:dyDescent="0.35">
      <c r="C6735" s="2"/>
    </row>
    <row r="6736" spans="3:3" x14ac:dyDescent="0.35">
      <c r="C6736" s="2"/>
    </row>
    <row r="6737" spans="3:3" x14ac:dyDescent="0.35">
      <c r="C6737" s="2"/>
    </row>
    <row r="6738" spans="3:3" x14ac:dyDescent="0.35">
      <c r="C6738" s="2"/>
    </row>
    <row r="6739" spans="3:3" x14ac:dyDescent="0.35">
      <c r="C6739" s="2"/>
    </row>
    <row r="6740" spans="3:3" x14ac:dyDescent="0.35">
      <c r="C6740" s="2"/>
    </row>
    <row r="6741" spans="3:3" x14ac:dyDescent="0.35">
      <c r="C6741" s="2"/>
    </row>
    <row r="6742" spans="3:3" x14ac:dyDescent="0.35">
      <c r="C6742" s="2"/>
    </row>
    <row r="6743" spans="3:3" x14ac:dyDescent="0.35">
      <c r="C6743" s="2"/>
    </row>
    <row r="6744" spans="3:3" x14ac:dyDescent="0.35">
      <c r="C6744" s="2"/>
    </row>
    <row r="6745" spans="3:3" x14ac:dyDescent="0.35">
      <c r="C6745" s="2"/>
    </row>
    <row r="6746" spans="3:3" x14ac:dyDescent="0.35">
      <c r="C6746" s="2"/>
    </row>
    <row r="6747" spans="3:3" x14ac:dyDescent="0.35">
      <c r="C6747" s="2"/>
    </row>
    <row r="6748" spans="3:3" x14ac:dyDescent="0.35">
      <c r="C6748" s="2"/>
    </row>
    <row r="6749" spans="3:3" x14ac:dyDescent="0.35">
      <c r="C6749" s="2"/>
    </row>
    <row r="6750" spans="3:3" x14ac:dyDescent="0.35">
      <c r="C6750" s="2"/>
    </row>
    <row r="6751" spans="3:3" x14ac:dyDescent="0.35">
      <c r="C6751" s="2"/>
    </row>
    <row r="6752" spans="3:3" x14ac:dyDescent="0.35">
      <c r="C6752" s="2"/>
    </row>
    <row r="6753" spans="3:3" x14ac:dyDescent="0.35">
      <c r="C6753" s="2"/>
    </row>
    <row r="6754" spans="3:3" x14ac:dyDescent="0.35">
      <c r="C6754" s="2"/>
    </row>
    <row r="6755" spans="3:3" x14ac:dyDescent="0.35">
      <c r="C6755" s="2"/>
    </row>
    <row r="6756" spans="3:3" x14ac:dyDescent="0.35">
      <c r="C6756" s="2"/>
    </row>
    <row r="6757" spans="3:3" x14ac:dyDescent="0.35">
      <c r="C6757" s="2"/>
    </row>
    <row r="6758" spans="3:3" x14ac:dyDescent="0.35">
      <c r="C6758" s="2"/>
    </row>
    <row r="6759" spans="3:3" x14ac:dyDescent="0.35">
      <c r="C6759" s="2"/>
    </row>
    <row r="6760" spans="3:3" x14ac:dyDescent="0.35">
      <c r="C6760" s="2"/>
    </row>
    <row r="6761" spans="3:3" x14ac:dyDescent="0.35">
      <c r="C6761" s="2"/>
    </row>
    <row r="6762" spans="3:3" x14ac:dyDescent="0.35">
      <c r="C6762" s="2"/>
    </row>
    <row r="6763" spans="3:3" x14ac:dyDescent="0.35">
      <c r="C6763" s="2"/>
    </row>
    <row r="6764" spans="3:3" x14ac:dyDescent="0.35">
      <c r="C6764" s="2"/>
    </row>
    <row r="6765" spans="3:3" x14ac:dyDescent="0.35">
      <c r="C6765" s="2"/>
    </row>
    <row r="6766" spans="3:3" x14ac:dyDescent="0.35">
      <c r="C6766" s="2"/>
    </row>
    <row r="6767" spans="3:3" x14ac:dyDescent="0.35">
      <c r="C6767" s="2"/>
    </row>
    <row r="6768" spans="3:3" x14ac:dyDescent="0.35">
      <c r="C6768" s="2"/>
    </row>
    <row r="6769" spans="3:3" x14ac:dyDescent="0.35">
      <c r="C6769" s="2"/>
    </row>
    <row r="6770" spans="3:3" x14ac:dyDescent="0.35">
      <c r="C6770" s="2"/>
    </row>
    <row r="6771" spans="3:3" x14ac:dyDescent="0.35">
      <c r="C6771" s="2"/>
    </row>
    <row r="6772" spans="3:3" x14ac:dyDescent="0.35">
      <c r="C6772" s="2"/>
    </row>
    <row r="6773" spans="3:3" x14ac:dyDescent="0.35">
      <c r="C6773" s="2"/>
    </row>
    <row r="6774" spans="3:3" x14ac:dyDescent="0.35">
      <c r="C6774" s="2"/>
    </row>
    <row r="6775" spans="3:3" x14ac:dyDescent="0.35">
      <c r="C6775" s="2"/>
    </row>
    <row r="6776" spans="3:3" x14ac:dyDescent="0.35">
      <c r="C6776" s="2"/>
    </row>
    <row r="6777" spans="3:3" x14ac:dyDescent="0.35">
      <c r="C6777" s="2"/>
    </row>
    <row r="6778" spans="3:3" x14ac:dyDescent="0.35">
      <c r="C6778" s="2"/>
    </row>
    <row r="6779" spans="3:3" x14ac:dyDescent="0.35">
      <c r="C6779" s="2"/>
    </row>
    <row r="6780" spans="3:3" x14ac:dyDescent="0.35">
      <c r="C6780" s="2"/>
    </row>
    <row r="6781" spans="3:3" x14ac:dyDescent="0.35">
      <c r="C6781" s="2"/>
    </row>
    <row r="6782" spans="3:3" x14ac:dyDescent="0.35">
      <c r="C6782" s="2"/>
    </row>
    <row r="6783" spans="3:3" x14ac:dyDescent="0.35">
      <c r="C6783" s="2"/>
    </row>
    <row r="6784" spans="3:3" x14ac:dyDescent="0.35">
      <c r="C6784" s="2"/>
    </row>
    <row r="6785" spans="3:3" x14ac:dyDescent="0.35">
      <c r="C6785" s="2"/>
    </row>
    <row r="6786" spans="3:3" x14ac:dyDescent="0.35">
      <c r="C6786" s="2"/>
    </row>
    <row r="6787" spans="3:3" x14ac:dyDescent="0.35">
      <c r="C6787" s="2"/>
    </row>
    <row r="6788" spans="3:3" x14ac:dyDescent="0.35">
      <c r="C6788" s="2"/>
    </row>
    <row r="6789" spans="3:3" x14ac:dyDescent="0.35">
      <c r="C6789" s="2"/>
    </row>
    <row r="6790" spans="3:3" x14ac:dyDescent="0.35">
      <c r="C6790" s="2"/>
    </row>
    <row r="6791" spans="3:3" x14ac:dyDescent="0.35">
      <c r="C6791" s="2"/>
    </row>
    <row r="6792" spans="3:3" x14ac:dyDescent="0.35">
      <c r="C6792" s="2"/>
    </row>
    <row r="6793" spans="3:3" x14ac:dyDescent="0.35">
      <c r="C6793" s="2"/>
    </row>
    <row r="6794" spans="3:3" x14ac:dyDescent="0.35">
      <c r="C6794" s="2"/>
    </row>
    <row r="6795" spans="3:3" x14ac:dyDescent="0.35">
      <c r="C6795" s="2"/>
    </row>
    <row r="6796" spans="3:3" x14ac:dyDescent="0.35">
      <c r="C6796" s="2"/>
    </row>
    <row r="6797" spans="3:3" x14ac:dyDescent="0.35">
      <c r="C6797" s="2"/>
    </row>
    <row r="6798" spans="3:3" x14ac:dyDescent="0.35">
      <c r="C6798" s="2"/>
    </row>
    <row r="6799" spans="3:3" x14ac:dyDescent="0.35">
      <c r="C6799" s="2"/>
    </row>
    <row r="6800" spans="3:3" x14ac:dyDescent="0.35">
      <c r="C6800" s="2"/>
    </row>
    <row r="6801" spans="3:3" x14ac:dyDescent="0.35">
      <c r="C6801" s="2"/>
    </row>
    <row r="6802" spans="3:3" x14ac:dyDescent="0.35">
      <c r="C6802" s="2"/>
    </row>
    <row r="6803" spans="3:3" x14ac:dyDescent="0.35">
      <c r="C6803" s="2"/>
    </row>
    <row r="6804" spans="3:3" x14ac:dyDescent="0.35">
      <c r="C6804" s="2"/>
    </row>
    <row r="6805" spans="3:3" x14ac:dyDescent="0.35">
      <c r="C6805" s="2"/>
    </row>
    <row r="6806" spans="3:3" x14ac:dyDescent="0.35">
      <c r="C6806" s="2"/>
    </row>
    <row r="6807" spans="3:3" x14ac:dyDescent="0.35">
      <c r="C6807" s="2"/>
    </row>
    <row r="6808" spans="3:3" x14ac:dyDescent="0.35">
      <c r="C6808" s="2"/>
    </row>
    <row r="6809" spans="3:3" x14ac:dyDescent="0.35">
      <c r="C6809" s="2"/>
    </row>
    <row r="6810" spans="3:3" x14ac:dyDescent="0.35">
      <c r="C6810" s="2"/>
    </row>
    <row r="6811" spans="3:3" x14ac:dyDescent="0.35">
      <c r="C6811" s="2"/>
    </row>
    <row r="6812" spans="3:3" x14ac:dyDescent="0.35">
      <c r="C6812" s="2"/>
    </row>
    <row r="6813" spans="3:3" x14ac:dyDescent="0.35">
      <c r="C6813" s="2"/>
    </row>
    <row r="6814" spans="3:3" x14ac:dyDescent="0.35">
      <c r="C6814" s="2"/>
    </row>
    <row r="6815" spans="3:3" x14ac:dyDescent="0.35">
      <c r="C6815" s="2"/>
    </row>
    <row r="6816" spans="3:3" x14ac:dyDescent="0.35">
      <c r="C6816" s="2"/>
    </row>
    <row r="6817" spans="3:3" x14ac:dyDescent="0.35">
      <c r="C6817" s="2"/>
    </row>
    <row r="6818" spans="3:3" x14ac:dyDescent="0.35">
      <c r="C6818" s="2"/>
    </row>
    <row r="6819" spans="3:3" x14ac:dyDescent="0.35">
      <c r="C6819" s="2"/>
    </row>
    <row r="6820" spans="3:3" x14ac:dyDescent="0.35">
      <c r="C6820" s="2"/>
    </row>
    <row r="6821" spans="3:3" x14ac:dyDescent="0.35">
      <c r="C6821" s="2"/>
    </row>
    <row r="6822" spans="3:3" x14ac:dyDescent="0.35">
      <c r="C6822" s="2"/>
    </row>
    <row r="6823" spans="3:3" x14ac:dyDescent="0.35">
      <c r="C6823" s="2"/>
    </row>
    <row r="6824" spans="3:3" x14ac:dyDescent="0.35">
      <c r="C6824" s="2"/>
    </row>
    <row r="6825" spans="3:3" x14ac:dyDescent="0.35">
      <c r="C6825" s="2"/>
    </row>
    <row r="6826" spans="3:3" x14ac:dyDescent="0.35">
      <c r="C6826" s="2"/>
    </row>
    <row r="6827" spans="3:3" x14ac:dyDescent="0.35">
      <c r="C6827" s="2"/>
    </row>
    <row r="6828" spans="3:3" x14ac:dyDescent="0.35">
      <c r="C6828" s="2"/>
    </row>
    <row r="6829" spans="3:3" x14ac:dyDescent="0.35">
      <c r="C6829" s="2"/>
    </row>
    <row r="6830" spans="3:3" x14ac:dyDescent="0.35">
      <c r="C6830" s="2"/>
    </row>
    <row r="6831" spans="3:3" x14ac:dyDescent="0.35">
      <c r="C6831" s="2"/>
    </row>
    <row r="6832" spans="3:3" x14ac:dyDescent="0.35">
      <c r="C6832" s="2"/>
    </row>
    <row r="6833" spans="3:3" x14ac:dyDescent="0.35">
      <c r="C6833" s="2"/>
    </row>
    <row r="6834" spans="3:3" x14ac:dyDescent="0.35">
      <c r="C6834" s="2"/>
    </row>
    <row r="6835" spans="3:3" x14ac:dyDescent="0.35">
      <c r="C6835" s="2"/>
    </row>
    <row r="6836" spans="3:3" x14ac:dyDescent="0.35">
      <c r="C6836" s="2"/>
    </row>
    <row r="6837" spans="3:3" x14ac:dyDescent="0.35">
      <c r="C6837" s="2"/>
    </row>
    <row r="6838" spans="3:3" x14ac:dyDescent="0.35">
      <c r="C6838" s="2"/>
    </row>
    <row r="6839" spans="3:3" x14ac:dyDescent="0.35">
      <c r="C6839" s="2"/>
    </row>
    <row r="6840" spans="3:3" x14ac:dyDescent="0.35">
      <c r="C6840" s="2"/>
    </row>
    <row r="6841" spans="3:3" x14ac:dyDescent="0.35">
      <c r="C6841" s="2"/>
    </row>
    <row r="6842" spans="3:3" x14ac:dyDescent="0.35">
      <c r="C6842" s="2"/>
    </row>
    <row r="6843" spans="3:3" x14ac:dyDescent="0.35">
      <c r="C6843" s="2"/>
    </row>
    <row r="6844" spans="3:3" x14ac:dyDescent="0.35">
      <c r="C6844" s="2"/>
    </row>
    <row r="6845" spans="3:3" x14ac:dyDescent="0.35">
      <c r="C6845" s="2"/>
    </row>
    <row r="6846" spans="3:3" x14ac:dyDescent="0.35">
      <c r="C6846" s="2"/>
    </row>
    <row r="6847" spans="3:3" x14ac:dyDescent="0.35">
      <c r="C6847" s="2"/>
    </row>
    <row r="6848" spans="3:3" x14ac:dyDescent="0.35">
      <c r="C6848" s="2"/>
    </row>
    <row r="6849" spans="3:3" x14ac:dyDescent="0.35">
      <c r="C6849" s="2"/>
    </row>
    <row r="6850" spans="3:3" x14ac:dyDescent="0.35">
      <c r="C6850" s="2"/>
    </row>
    <row r="6851" spans="3:3" x14ac:dyDescent="0.35">
      <c r="C6851" s="2"/>
    </row>
    <row r="6852" spans="3:3" x14ac:dyDescent="0.35">
      <c r="C6852" s="2"/>
    </row>
    <row r="6853" spans="3:3" x14ac:dyDescent="0.35">
      <c r="C6853" s="2"/>
    </row>
    <row r="6854" spans="3:3" x14ac:dyDescent="0.35">
      <c r="C6854" s="2"/>
    </row>
    <row r="6855" spans="3:3" x14ac:dyDescent="0.35">
      <c r="C6855" s="2"/>
    </row>
    <row r="6856" spans="3:3" x14ac:dyDescent="0.35">
      <c r="C6856" s="2"/>
    </row>
    <row r="6857" spans="3:3" x14ac:dyDescent="0.35">
      <c r="C6857" s="2"/>
    </row>
    <row r="6858" spans="3:3" x14ac:dyDescent="0.35">
      <c r="C6858" s="2"/>
    </row>
    <row r="6859" spans="3:3" x14ac:dyDescent="0.35">
      <c r="C6859" s="2"/>
    </row>
    <row r="6860" spans="3:3" x14ac:dyDescent="0.35">
      <c r="C6860" s="2"/>
    </row>
    <row r="6861" spans="3:3" x14ac:dyDescent="0.35">
      <c r="C6861" s="2"/>
    </row>
    <row r="6862" spans="3:3" x14ac:dyDescent="0.35">
      <c r="C6862" s="2"/>
    </row>
    <row r="6863" spans="3:3" x14ac:dyDescent="0.35">
      <c r="C6863" s="2"/>
    </row>
    <row r="6864" spans="3:3" x14ac:dyDescent="0.35">
      <c r="C6864" s="2"/>
    </row>
    <row r="6865" spans="3:3" x14ac:dyDescent="0.35">
      <c r="C6865" s="2"/>
    </row>
    <row r="6866" spans="3:3" x14ac:dyDescent="0.35">
      <c r="C6866" s="2"/>
    </row>
    <row r="6867" spans="3:3" x14ac:dyDescent="0.35">
      <c r="C6867" s="2"/>
    </row>
    <row r="6868" spans="3:3" x14ac:dyDescent="0.35">
      <c r="C6868" s="2"/>
    </row>
    <row r="6869" spans="3:3" x14ac:dyDescent="0.35">
      <c r="C6869" s="2"/>
    </row>
    <row r="6870" spans="3:3" x14ac:dyDescent="0.35">
      <c r="C6870" s="2"/>
    </row>
    <row r="6871" spans="3:3" x14ac:dyDescent="0.35">
      <c r="C6871" s="2"/>
    </row>
    <row r="6872" spans="3:3" x14ac:dyDescent="0.35">
      <c r="C6872" s="2"/>
    </row>
    <row r="6873" spans="3:3" x14ac:dyDescent="0.35">
      <c r="C6873" s="2"/>
    </row>
    <row r="6874" spans="3:3" x14ac:dyDescent="0.35">
      <c r="C6874" s="2"/>
    </row>
    <row r="6875" spans="3:3" x14ac:dyDescent="0.35">
      <c r="C6875" s="2"/>
    </row>
    <row r="6876" spans="3:3" x14ac:dyDescent="0.35">
      <c r="C6876" s="2"/>
    </row>
    <row r="6877" spans="3:3" x14ac:dyDescent="0.35">
      <c r="C6877" s="2"/>
    </row>
    <row r="6878" spans="3:3" x14ac:dyDescent="0.35">
      <c r="C6878" s="2"/>
    </row>
    <row r="6879" spans="3:3" x14ac:dyDescent="0.35">
      <c r="C6879" s="2"/>
    </row>
    <row r="6880" spans="3:3" x14ac:dyDescent="0.35">
      <c r="C6880" s="2"/>
    </row>
    <row r="6881" spans="3:3" x14ac:dyDescent="0.35">
      <c r="C6881" s="2"/>
    </row>
    <row r="6882" spans="3:3" x14ac:dyDescent="0.35">
      <c r="C6882" s="2"/>
    </row>
    <row r="6883" spans="3:3" x14ac:dyDescent="0.35">
      <c r="C6883" s="2"/>
    </row>
    <row r="6884" spans="3:3" x14ac:dyDescent="0.35">
      <c r="C6884" s="2"/>
    </row>
    <row r="6885" spans="3:3" x14ac:dyDescent="0.35">
      <c r="C6885" s="2"/>
    </row>
    <row r="6886" spans="3:3" x14ac:dyDescent="0.35">
      <c r="C6886" s="2"/>
    </row>
    <row r="6887" spans="3:3" x14ac:dyDescent="0.35">
      <c r="C6887" s="2"/>
    </row>
    <row r="6888" spans="3:3" x14ac:dyDescent="0.35">
      <c r="C6888" s="2"/>
    </row>
    <row r="6889" spans="3:3" x14ac:dyDescent="0.35">
      <c r="C6889" s="2"/>
    </row>
    <row r="6890" spans="3:3" x14ac:dyDescent="0.35">
      <c r="C6890" s="2"/>
    </row>
    <row r="6891" spans="3:3" x14ac:dyDescent="0.35">
      <c r="C6891" s="2"/>
    </row>
    <row r="6892" spans="3:3" x14ac:dyDescent="0.35">
      <c r="C6892" s="2"/>
    </row>
    <row r="6893" spans="3:3" x14ac:dyDescent="0.35">
      <c r="C6893" s="2"/>
    </row>
    <row r="6894" spans="3:3" x14ac:dyDescent="0.35">
      <c r="C6894" s="2"/>
    </row>
    <row r="6895" spans="3:3" x14ac:dyDescent="0.35">
      <c r="C6895" s="2"/>
    </row>
    <row r="6896" spans="3:3" x14ac:dyDescent="0.35">
      <c r="C6896" s="2"/>
    </row>
    <row r="6897" spans="3:3" x14ac:dyDescent="0.35">
      <c r="C6897" s="2"/>
    </row>
    <row r="6898" spans="3:3" x14ac:dyDescent="0.35">
      <c r="C6898" s="2"/>
    </row>
    <row r="6899" spans="3:3" x14ac:dyDescent="0.35">
      <c r="C6899" s="2"/>
    </row>
    <row r="6900" spans="3:3" x14ac:dyDescent="0.35">
      <c r="C6900" s="2"/>
    </row>
    <row r="6901" spans="3:3" x14ac:dyDescent="0.35">
      <c r="C6901" s="2"/>
    </row>
    <row r="6902" spans="3:3" x14ac:dyDescent="0.35">
      <c r="C6902" s="2"/>
    </row>
    <row r="6903" spans="3:3" x14ac:dyDescent="0.35">
      <c r="C6903" s="2"/>
    </row>
    <row r="6904" spans="3:3" x14ac:dyDescent="0.35">
      <c r="C6904" s="2"/>
    </row>
    <row r="6905" spans="3:3" x14ac:dyDescent="0.35">
      <c r="C6905" s="2"/>
    </row>
    <row r="6906" spans="3:3" x14ac:dyDescent="0.35">
      <c r="C6906" s="2"/>
    </row>
    <row r="6907" spans="3:3" x14ac:dyDescent="0.35">
      <c r="C6907" s="2"/>
    </row>
    <row r="6908" spans="3:3" x14ac:dyDescent="0.35">
      <c r="C6908" s="2"/>
    </row>
    <row r="6909" spans="3:3" x14ac:dyDescent="0.35">
      <c r="C6909" s="2"/>
    </row>
    <row r="6910" spans="3:3" x14ac:dyDescent="0.35">
      <c r="C6910" s="2"/>
    </row>
    <row r="6911" spans="3:3" x14ac:dyDescent="0.35">
      <c r="C6911" s="2"/>
    </row>
    <row r="6912" spans="3:3" x14ac:dyDescent="0.35">
      <c r="C6912" s="2"/>
    </row>
    <row r="6913" spans="3:3" x14ac:dyDescent="0.35">
      <c r="C6913" s="2"/>
    </row>
    <row r="6914" spans="3:3" x14ac:dyDescent="0.35">
      <c r="C6914" s="2"/>
    </row>
    <row r="6915" spans="3:3" x14ac:dyDescent="0.35">
      <c r="C6915" s="2"/>
    </row>
    <row r="6916" spans="3:3" x14ac:dyDescent="0.35">
      <c r="C6916" s="2"/>
    </row>
    <row r="6917" spans="3:3" x14ac:dyDescent="0.35">
      <c r="C6917" s="2"/>
    </row>
    <row r="6918" spans="3:3" x14ac:dyDescent="0.35">
      <c r="C6918" s="2"/>
    </row>
    <row r="6919" spans="3:3" x14ac:dyDescent="0.35">
      <c r="C6919" s="2"/>
    </row>
    <row r="6920" spans="3:3" x14ac:dyDescent="0.35">
      <c r="C6920" s="2"/>
    </row>
    <row r="6921" spans="3:3" x14ac:dyDescent="0.35">
      <c r="C6921" s="2"/>
    </row>
    <row r="6922" spans="3:3" x14ac:dyDescent="0.35">
      <c r="C6922" s="2"/>
    </row>
    <row r="6923" spans="3:3" x14ac:dyDescent="0.35">
      <c r="C6923" s="2"/>
    </row>
    <row r="6924" spans="3:3" x14ac:dyDescent="0.35">
      <c r="C6924" s="2"/>
    </row>
    <row r="6925" spans="3:3" x14ac:dyDescent="0.35">
      <c r="C6925" s="2"/>
    </row>
    <row r="6926" spans="3:3" x14ac:dyDescent="0.35">
      <c r="C6926" s="2"/>
    </row>
    <row r="6927" spans="3:3" x14ac:dyDescent="0.35">
      <c r="C6927" s="2"/>
    </row>
    <row r="6928" spans="3:3" x14ac:dyDescent="0.35">
      <c r="C6928" s="2"/>
    </row>
    <row r="6929" spans="3:3" x14ac:dyDescent="0.35">
      <c r="C6929" s="2"/>
    </row>
    <row r="6930" spans="3:3" x14ac:dyDescent="0.35">
      <c r="C6930" s="2"/>
    </row>
    <row r="6931" spans="3:3" x14ac:dyDescent="0.35">
      <c r="C6931" s="2"/>
    </row>
    <row r="6932" spans="3:3" x14ac:dyDescent="0.35">
      <c r="C6932" s="2"/>
    </row>
    <row r="6933" spans="3:3" x14ac:dyDescent="0.35">
      <c r="C6933" s="2"/>
    </row>
    <row r="6934" spans="3:3" x14ac:dyDescent="0.35">
      <c r="C6934" s="2"/>
    </row>
    <row r="6935" spans="3:3" x14ac:dyDescent="0.35">
      <c r="C6935" s="2"/>
    </row>
    <row r="6936" spans="3:3" x14ac:dyDescent="0.35">
      <c r="C6936" s="2"/>
    </row>
    <row r="6937" spans="3:3" x14ac:dyDescent="0.35">
      <c r="C6937" s="2"/>
    </row>
    <row r="6938" spans="3:3" x14ac:dyDescent="0.35">
      <c r="C6938" s="2"/>
    </row>
    <row r="6939" spans="3:3" x14ac:dyDescent="0.35">
      <c r="C6939" s="2"/>
    </row>
    <row r="6940" spans="3:3" x14ac:dyDescent="0.35">
      <c r="C6940" s="2"/>
    </row>
    <row r="6941" spans="3:3" x14ac:dyDescent="0.35">
      <c r="C6941" s="2"/>
    </row>
    <row r="6942" spans="3:3" x14ac:dyDescent="0.35">
      <c r="C6942" s="2"/>
    </row>
    <row r="6943" spans="3:3" x14ac:dyDescent="0.35">
      <c r="C6943" s="2"/>
    </row>
    <row r="6944" spans="3:3" x14ac:dyDescent="0.35">
      <c r="C6944" s="2"/>
    </row>
    <row r="6945" spans="3:3" x14ac:dyDescent="0.35">
      <c r="C6945" s="2"/>
    </row>
    <row r="6946" spans="3:3" x14ac:dyDescent="0.35">
      <c r="C6946" s="2"/>
    </row>
    <row r="6947" spans="3:3" x14ac:dyDescent="0.35">
      <c r="C6947" s="2"/>
    </row>
    <row r="6948" spans="3:3" x14ac:dyDescent="0.35">
      <c r="C6948" s="2"/>
    </row>
    <row r="6949" spans="3:3" x14ac:dyDescent="0.35">
      <c r="C6949" s="2"/>
    </row>
    <row r="6950" spans="3:3" x14ac:dyDescent="0.35">
      <c r="C6950" s="2"/>
    </row>
    <row r="6951" spans="3:3" x14ac:dyDescent="0.35">
      <c r="C6951" s="2"/>
    </row>
    <row r="6952" spans="3:3" x14ac:dyDescent="0.35">
      <c r="C6952" s="2"/>
    </row>
    <row r="6953" spans="3:3" x14ac:dyDescent="0.35">
      <c r="C6953" s="2"/>
    </row>
    <row r="6954" spans="3:3" x14ac:dyDescent="0.35">
      <c r="C6954" s="2"/>
    </row>
    <row r="6955" spans="3:3" x14ac:dyDescent="0.35">
      <c r="C6955" s="2"/>
    </row>
    <row r="6956" spans="3:3" x14ac:dyDescent="0.35">
      <c r="C6956" s="2"/>
    </row>
    <row r="6957" spans="3:3" x14ac:dyDescent="0.35">
      <c r="C6957" s="2"/>
    </row>
    <row r="6958" spans="3:3" x14ac:dyDescent="0.35">
      <c r="C6958" s="2"/>
    </row>
    <row r="6959" spans="3:3" x14ac:dyDescent="0.35">
      <c r="C6959" s="2"/>
    </row>
    <row r="6960" spans="3:3" x14ac:dyDescent="0.35">
      <c r="C6960" s="2"/>
    </row>
    <row r="6961" spans="3:3" x14ac:dyDescent="0.35">
      <c r="C6961" s="2"/>
    </row>
    <row r="6962" spans="3:3" x14ac:dyDescent="0.35">
      <c r="C6962" s="2"/>
    </row>
    <row r="6963" spans="3:3" x14ac:dyDescent="0.35">
      <c r="C6963" s="2"/>
    </row>
    <row r="6964" spans="3:3" x14ac:dyDescent="0.35">
      <c r="C6964" s="2"/>
    </row>
    <row r="6965" spans="3:3" x14ac:dyDescent="0.35">
      <c r="C6965" s="2"/>
    </row>
    <row r="6966" spans="3:3" x14ac:dyDescent="0.35">
      <c r="C6966" s="2"/>
    </row>
    <row r="6967" spans="3:3" x14ac:dyDescent="0.35">
      <c r="C6967" s="2"/>
    </row>
    <row r="6968" spans="3:3" x14ac:dyDescent="0.35">
      <c r="C6968" s="2"/>
    </row>
    <row r="6969" spans="3:3" x14ac:dyDescent="0.35">
      <c r="C6969" s="2"/>
    </row>
    <row r="6970" spans="3:3" x14ac:dyDescent="0.35">
      <c r="C6970" s="2"/>
    </row>
    <row r="6971" spans="3:3" x14ac:dyDescent="0.35">
      <c r="C6971" s="2"/>
    </row>
    <row r="6972" spans="3:3" x14ac:dyDescent="0.35">
      <c r="C6972" s="2"/>
    </row>
    <row r="6973" spans="3:3" x14ac:dyDescent="0.35">
      <c r="C6973" s="2"/>
    </row>
    <row r="6974" spans="3:3" x14ac:dyDescent="0.35">
      <c r="C6974" s="2"/>
    </row>
    <row r="6975" spans="3:3" x14ac:dyDescent="0.35">
      <c r="C6975" s="2"/>
    </row>
    <row r="6976" spans="3:3" x14ac:dyDescent="0.35">
      <c r="C6976" s="2"/>
    </row>
    <row r="6977" spans="3:3" x14ac:dyDescent="0.35">
      <c r="C6977" s="2"/>
    </row>
    <row r="6978" spans="3:3" x14ac:dyDescent="0.35">
      <c r="C6978" s="2"/>
    </row>
    <row r="6979" spans="3:3" x14ac:dyDescent="0.35">
      <c r="C6979" s="2"/>
    </row>
    <row r="6980" spans="3:3" x14ac:dyDescent="0.35">
      <c r="C6980" s="2"/>
    </row>
    <row r="6981" spans="3:3" x14ac:dyDescent="0.35">
      <c r="C6981" s="2"/>
    </row>
    <row r="6982" spans="3:3" x14ac:dyDescent="0.35">
      <c r="C6982" s="2"/>
    </row>
    <row r="6983" spans="3:3" x14ac:dyDescent="0.35">
      <c r="C6983" s="2"/>
    </row>
    <row r="6984" spans="3:3" x14ac:dyDescent="0.35">
      <c r="C6984" s="2"/>
    </row>
    <row r="6985" spans="3:3" x14ac:dyDescent="0.35">
      <c r="C6985" s="2"/>
    </row>
    <row r="6986" spans="3:3" x14ac:dyDescent="0.35">
      <c r="C6986" s="2"/>
    </row>
    <row r="6987" spans="3:3" x14ac:dyDescent="0.35">
      <c r="C6987" s="2"/>
    </row>
    <row r="6988" spans="3:3" x14ac:dyDescent="0.35">
      <c r="C6988" s="2"/>
    </row>
    <row r="6989" spans="3:3" x14ac:dyDescent="0.35">
      <c r="C6989" s="2"/>
    </row>
    <row r="6990" spans="3:3" x14ac:dyDescent="0.35">
      <c r="C6990" s="2"/>
    </row>
    <row r="6991" spans="3:3" x14ac:dyDescent="0.35">
      <c r="C6991" s="2"/>
    </row>
    <row r="6992" spans="3:3" x14ac:dyDescent="0.35">
      <c r="C6992" s="2"/>
    </row>
    <row r="6993" spans="3:3" x14ac:dyDescent="0.35">
      <c r="C6993" s="2"/>
    </row>
    <row r="6994" spans="3:3" x14ac:dyDescent="0.35">
      <c r="C6994" s="2"/>
    </row>
    <row r="6995" spans="3:3" x14ac:dyDescent="0.35">
      <c r="C6995" s="2"/>
    </row>
    <row r="6996" spans="3:3" x14ac:dyDescent="0.35">
      <c r="C6996" s="2"/>
    </row>
    <row r="6997" spans="3:3" x14ac:dyDescent="0.35">
      <c r="C6997" s="2"/>
    </row>
    <row r="6998" spans="3:3" x14ac:dyDescent="0.35">
      <c r="C6998" s="2"/>
    </row>
    <row r="6999" spans="3:3" x14ac:dyDescent="0.35">
      <c r="C6999" s="2"/>
    </row>
    <row r="7000" spans="3:3" x14ac:dyDescent="0.35">
      <c r="C7000" s="2"/>
    </row>
    <row r="7001" spans="3:3" x14ac:dyDescent="0.35">
      <c r="C7001" s="2"/>
    </row>
    <row r="7002" spans="3:3" x14ac:dyDescent="0.35">
      <c r="C7002" s="2"/>
    </row>
    <row r="7003" spans="3:3" x14ac:dyDescent="0.35">
      <c r="C7003" s="2"/>
    </row>
    <row r="7004" spans="3:3" x14ac:dyDescent="0.35">
      <c r="C7004" s="2"/>
    </row>
    <row r="7005" spans="3:3" x14ac:dyDescent="0.35">
      <c r="C7005" s="2"/>
    </row>
    <row r="7006" spans="3:3" x14ac:dyDescent="0.35">
      <c r="C7006" s="2"/>
    </row>
    <row r="7007" spans="3:3" x14ac:dyDescent="0.35">
      <c r="C7007" s="2"/>
    </row>
    <row r="7008" spans="3:3" x14ac:dyDescent="0.35">
      <c r="C7008" s="2"/>
    </row>
    <row r="7009" spans="3:3" x14ac:dyDescent="0.35">
      <c r="C7009" s="2"/>
    </row>
    <row r="7010" spans="3:3" x14ac:dyDescent="0.35">
      <c r="C7010" s="2"/>
    </row>
    <row r="7011" spans="3:3" x14ac:dyDescent="0.35">
      <c r="C7011" s="2"/>
    </row>
    <row r="7012" spans="3:3" x14ac:dyDescent="0.35">
      <c r="C7012" s="2"/>
    </row>
    <row r="7013" spans="3:3" x14ac:dyDescent="0.35">
      <c r="C7013" s="2"/>
    </row>
    <row r="7014" spans="3:3" x14ac:dyDescent="0.35">
      <c r="C7014" s="2"/>
    </row>
    <row r="7015" spans="3:3" x14ac:dyDescent="0.35">
      <c r="C7015" s="2"/>
    </row>
    <row r="7016" spans="3:3" x14ac:dyDescent="0.35">
      <c r="C7016" s="2"/>
    </row>
    <row r="7017" spans="3:3" x14ac:dyDescent="0.35">
      <c r="C7017" s="2"/>
    </row>
    <row r="7018" spans="3:3" x14ac:dyDescent="0.35">
      <c r="C7018" s="2"/>
    </row>
    <row r="7019" spans="3:3" x14ac:dyDescent="0.35">
      <c r="C7019" s="2"/>
    </row>
    <row r="7020" spans="3:3" x14ac:dyDescent="0.35">
      <c r="C7020" s="2"/>
    </row>
    <row r="7021" spans="3:3" x14ac:dyDescent="0.35">
      <c r="C7021" s="2"/>
    </row>
    <row r="7022" spans="3:3" x14ac:dyDescent="0.35">
      <c r="C7022" s="2"/>
    </row>
    <row r="7023" spans="3:3" x14ac:dyDescent="0.35">
      <c r="C7023" s="2"/>
    </row>
    <row r="7024" spans="3:3" x14ac:dyDescent="0.35">
      <c r="C7024" s="2"/>
    </row>
    <row r="7025" spans="3:3" x14ac:dyDescent="0.35">
      <c r="C7025" s="2"/>
    </row>
    <row r="7026" spans="3:3" x14ac:dyDescent="0.35">
      <c r="C7026" s="2"/>
    </row>
    <row r="7027" spans="3:3" x14ac:dyDescent="0.35">
      <c r="C7027" s="2"/>
    </row>
    <row r="7028" spans="3:3" x14ac:dyDescent="0.35">
      <c r="C7028" s="2"/>
    </row>
    <row r="7029" spans="3:3" x14ac:dyDescent="0.35">
      <c r="C7029" s="2"/>
    </row>
    <row r="7030" spans="3:3" x14ac:dyDescent="0.35">
      <c r="C7030" s="2"/>
    </row>
    <row r="7031" spans="3:3" x14ac:dyDescent="0.35">
      <c r="C7031" s="2"/>
    </row>
    <row r="7032" spans="3:3" x14ac:dyDescent="0.35">
      <c r="C7032" s="2"/>
    </row>
    <row r="7033" spans="3:3" x14ac:dyDescent="0.35">
      <c r="C7033" s="2"/>
    </row>
    <row r="7034" spans="3:3" x14ac:dyDescent="0.35">
      <c r="C7034" s="2"/>
    </row>
    <row r="7035" spans="3:3" x14ac:dyDescent="0.35">
      <c r="C7035" s="2"/>
    </row>
    <row r="7036" spans="3:3" x14ac:dyDescent="0.35">
      <c r="C7036" s="2"/>
    </row>
    <row r="7037" spans="3:3" x14ac:dyDescent="0.35">
      <c r="C7037" s="2"/>
    </row>
    <row r="7038" spans="3:3" x14ac:dyDescent="0.35">
      <c r="C7038" s="2"/>
    </row>
    <row r="7039" spans="3:3" x14ac:dyDescent="0.35">
      <c r="C7039" s="2"/>
    </row>
    <row r="7040" spans="3:3" x14ac:dyDescent="0.35">
      <c r="C7040" s="2"/>
    </row>
    <row r="7041" spans="3:3" x14ac:dyDescent="0.35">
      <c r="C7041" s="2"/>
    </row>
    <row r="7042" spans="3:3" x14ac:dyDescent="0.35">
      <c r="C7042" s="2"/>
    </row>
    <row r="7043" spans="3:3" x14ac:dyDescent="0.35">
      <c r="C7043" s="2"/>
    </row>
    <row r="7044" spans="3:3" x14ac:dyDescent="0.35">
      <c r="C7044" s="2"/>
    </row>
    <row r="7045" spans="3:3" x14ac:dyDescent="0.35">
      <c r="C7045" s="2"/>
    </row>
    <row r="7046" spans="3:3" x14ac:dyDescent="0.35">
      <c r="C7046" s="2"/>
    </row>
    <row r="7047" spans="3:3" x14ac:dyDescent="0.35">
      <c r="C7047" s="2"/>
    </row>
    <row r="7048" spans="3:3" x14ac:dyDescent="0.35">
      <c r="C7048" s="2"/>
    </row>
    <row r="7049" spans="3:3" x14ac:dyDescent="0.35">
      <c r="C7049" s="2"/>
    </row>
    <row r="7050" spans="3:3" x14ac:dyDescent="0.35">
      <c r="C7050" s="2"/>
    </row>
    <row r="7051" spans="3:3" x14ac:dyDescent="0.35">
      <c r="C7051" s="2"/>
    </row>
    <row r="7052" spans="3:3" x14ac:dyDescent="0.35">
      <c r="C7052" s="2"/>
    </row>
    <row r="7053" spans="3:3" x14ac:dyDescent="0.35">
      <c r="C7053" s="2"/>
    </row>
    <row r="7054" spans="3:3" x14ac:dyDescent="0.35">
      <c r="C7054" s="2"/>
    </row>
    <row r="7055" spans="3:3" x14ac:dyDescent="0.35">
      <c r="C7055" s="2"/>
    </row>
    <row r="7056" spans="3:3" x14ac:dyDescent="0.35">
      <c r="C7056" s="2"/>
    </row>
    <row r="7057" spans="3:3" x14ac:dyDescent="0.35">
      <c r="C7057" s="2"/>
    </row>
    <row r="7058" spans="3:3" x14ac:dyDescent="0.35">
      <c r="C7058" s="2"/>
    </row>
    <row r="7059" spans="3:3" x14ac:dyDescent="0.35">
      <c r="C7059" s="2"/>
    </row>
    <row r="7060" spans="3:3" x14ac:dyDescent="0.35">
      <c r="C7060" s="2"/>
    </row>
    <row r="7061" spans="3:3" x14ac:dyDescent="0.35">
      <c r="C7061" s="2"/>
    </row>
    <row r="7062" spans="3:3" x14ac:dyDescent="0.35">
      <c r="C7062" s="2"/>
    </row>
    <row r="7063" spans="3:3" x14ac:dyDescent="0.35">
      <c r="C7063" s="2"/>
    </row>
    <row r="7064" spans="3:3" x14ac:dyDescent="0.35">
      <c r="C7064" s="2"/>
    </row>
    <row r="7065" spans="3:3" x14ac:dyDescent="0.35">
      <c r="C7065" s="2"/>
    </row>
    <row r="7066" spans="3:3" x14ac:dyDescent="0.35">
      <c r="C7066" s="2"/>
    </row>
    <row r="7067" spans="3:3" x14ac:dyDescent="0.35">
      <c r="C7067" s="2"/>
    </row>
    <row r="7068" spans="3:3" x14ac:dyDescent="0.35">
      <c r="C7068" s="2"/>
    </row>
    <row r="7069" spans="3:3" x14ac:dyDescent="0.35">
      <c r="C7069" s="2"/>
    </row>
    <row r="7070" spans="3:3" x14ac:dyDescent="0.35">
      <c r="C7070" s="2"/>
    </row>
    <row r="7071" spans="3:3" x14ac:dyDescent="0.35">
      <c r="C7071" s="2"/>
    </row>
    <row r="7072" spans="3:3" x14ac:dyDescent="0.35">
      <c r="C7072" s="2"/>
    </row>
    <row r="7073" spans="3:3" x14ac:dyDescent="0.35">
      <c r="C7073" s="2"/>
    </row>
    <row r="7074" spans="3:3" x14ac:dyDescent="0.35">
      <c r="C7074" s="2"/>
    </row>
    <row r="7075" spans="3:3" x14ac:dyDescent="0.35">
      <c r="C7075" s="2"/>
    </row>
    <row r="7076" spans="3:3" x14ac:dyDescent="0.35">
      <c r="C7076" s="2"/>
    </row>
    <row r="7077" spans="3:3" x14ac:dyDescent="0.35">
      <c r="C7077" s="2"/>
    </row>
    <row r="7078" spans="3:3" x14ac:dyDescent="0.35">
      <c r="C7078" s="2"/>
    </row>
    <row r="7079" spans="3:3" x14ac:dyDescent="0.35">
      <c r="C7079" s="2"/>
    </row>
    <row r="7080" spans="3:3" x14ac:dyDescent="0.35">
      <c r="C7080" s="2"/>
    </row>
    <row r="7081" spans="3:3" x14ac:dyDescent="0.35">
      <c r="C7081" s="2"/>
    </row>
    <row r="7082" spans="3:3" x14ac:dyDescent="0.35">
      <c r="C7082" s="2"/>
    </row>
    <row r="7083" spans="3:3" x14ac:dyDescent="0.35">
      <c r="C7083" s="2"/>
    </row>
    <row r="7084" spans="3:3" x14ac:dyDescent="0.35">
      <c r="C7084" s="2"/>
    </row>
    <row r="7085" spans="3:3" x14ac:dyDescent="0.35">
      <c r="C7085" s="2"/>
    </row>
    <row r="7086" spans="3:3" x14ac:dyDescent="0.35">
      <c r="C7086" s="2"/>
    </row>
    <row r="7087" spans="3:3" x14ac:dyDescent="0.35">
      <c r="C7087" s="2"/>
    </row>
    <row r="7088" spans="3:3" x14ac:dyDescent="0.35">
      <c r="C7088" s="2"/>
    </row>
    <row r="7089" spans="3:3" x14ac:dyDescent="0.35">
      <c r="C7089" s="2"/>
    </row>
    <row r="7090" spans="3:3" x14ac:dyDescent="0.35">
      <c r="C7090" s="2"/>
    </row>
    <row r="7091" spans="3:3" x14ac:dyDescent="0.35">
      <c r="C7091" s="2"/>
    </row>
    <row r="7092" spans="3:3" x14ac:dyDescent="0.35">
      <c r="C7092" s="2"/>
    </row>
    <row r="7093" spans="3:3" x14ac:dyDescent="0.35">
      <c r="C7093" s="2"/>
    </row>
    <row r="7094" spans="3:3" x14ac:dyDescent="0.35">
      <c r="C7094" s="2"/>
    </row>
    <row r="7095" spans="3:3" x14ac:dyDescent="0.35">
      <c r="C7095" s="2"/>
    </row>
    <row r="7096" spans="3:3" x14ac:dyDescent="0.35">
      <c r="C7096" s="2"/>
    </row>
    <row r="7097" spans="3:3" x14ac:dyDescent="0.35">
      <c r="C7097" s="2"/>
    </row>
    <row r="7098" spans="3:3" x14ac:dyDescent="0.35">
      <c r="C7098" s="2"/>
    </row>
    <row r="7099" spans="3:3" x14ac:dyDescent="0.35">
      <c r="C7099" s="2"/>
    </row>
    <row r="7100" spans="3:3" x14ac:dyDescent="0.35">
      <c r="C7100" s="2"/>
    </row>
    <row r="7101" spans="3:3" x14ac:dyDescent="0.35">
      <c r="C7101" s="2"/>
    </row>
    <row r="7102" spans="3:3" x14ac:dyDescent="0.35">
      <c r="C7102" s="2"/>
    </row>
    <row r="7103" spans="3:3" x14ac:dyDescent="0.35">
      <c r="C7103" s="2"/>
    </row>
    <row r="7104" spans="3:3" x14ac:dyDescent="0.35">
      <c r="C7104" s="2"/>
    </row>
    <row r="7105" spans="3:3" x14ac:dyDescent="0.35">
      <c r="C7105" s="2"/>
    </row>
    <row r="7106" spans="3:3" x14ac:dyDescent="0.35">
      <c r="C7106" s="2"/>
    </row>
    <row r="7107" spans="3:3" x14ac:dyDescent="0.35">
      <c r="C7107" s="2"/>
    </row>
    <row r="7108" spans="3:3" x14ac:dyDescent="0.35">
      <c r="C7108" s="2"/>
    </row>
    <row r="7109" spans="3:3" x14ac:dyDescent="0.35">
      <c r="C7109" s="2"/>
    </row>
    <row r="7110" spans="3:3" x14ac:dyDescent="0.35">
      <c r="C7110" s="2"/>
    </row>
    <row r="7111" spans="3:3" x14ac:dyDescent="0.35">
      <c r="C7111" s="2"/>
    </row>
    <row r="7112" spans="3:3" x14ac:dyDescent="0.35">
      <c r="C7112" s="2"/>
    </row>
    <row r="7113" spans="3:3" x14ac:dyDescent="0.35">
      <c r="C7113" s="2"/>
    </row>
    <row r="7114" spans="3:3" x14ac:dyDescent="0.35">
      <c r="C7114" s="2"/>
    </row>
    <row r="7115" spans="3:3" x14ac:dyDescent="0.35">
      <c r="C7115" s="2"/>
    </row>
    <row r="7116" spans="3:3" x14ac:dyDescent="0.35">
      <c r="C7116" s="2"/>
    </row>
    <row r="7117" spans="3:3" x14ac:dyDescent="0.35">
      <c r="C7117" s="2"/>
    </row>
    <row r="7118" spans="3:3" x14ac:dyDescent="0.35">
      <c r="C7118" s="2"/>
    </row>
    <row r="7119" spans="3:3" x14ac:dyDescent="0.35">
      <c r="C7119" s="2"/>
    </row>
    <row r="7120" spans="3:3" x14ac:dyDescent="0.35">
      <c r="C7120" s="2"/>
    </row>
    <row r="7121" spans="3:3" x14ac:dyDescent="0.35">
      <c r="C7121" s="2"/>
    </row>
    <row r="7122" spans="3:3" x14ac:dyDescent="0.35">
      <c r="C7122" s="2"/>
    </row>
    <row r="7123" spans="3:3" x14ac:dyDescent="0.35">
      <c r="C7123" s="2"/>
    </row>
    <row r="7124" spans="3:3" x14ac:dyDescent="0.35">
      <c r="C7124" s="2"/>
    </row>
    <row r="7125" spans="3:3" x14ac:dyDescent="0.35">
      <c r="C7125" s="2"/>
    </row>
    <row r="7126" spans="3:3" x14ac:dyDescent="0.35">
      <c r="C7126" s="2"/>
    </row>
    <row r="7127" spans="3:3" x14ac:dyDescent="0.35">
      <c r="C7127" s="2"/>
    </row>
    <row r="7128" spans="3:3" x14ac:dyDescent="0.35">
      <c r="C7128" s="2"/>
    </row>
    <row r="7129" spans="3:3" x14ac:dyDescent="0.35">
      <c r="C7129" s="2"/>
    </row>
    <row r="7130" spans="3:3" x14ac:dyDescent="0.35">
      <c r="C7130" s="2"/>
    </row>
    <row r="7131" spans="3:3" x14ac:dyDescent="0.35">
      <c r="C7131" s="2"/>
    </row>
    <row r="7132" spans="3:3" x14ac:dyDescent="0.35">
      <c r="C7132" s="2"/>
    </row>
    <row r="7133" spans="3:3" x14ac:dyDescent="0.35">
      <c r="C7133" s="2"/>
    </row>
    <row r="7134" spans="3:3" x14ac:dyDescent="0.35">
      <c r="C7134" s="2"/>
    </row>
    <row r="7135" spans="3:3" x14ac:dyDescent="0.35">
      <c r="C7135" s="2"/>
    </row>
    <row r="7136" spans="3:3" x14ac:dyDescent="0.35">
      <c r="C7136" s="2"/>
    </row>
    <row r="7137" spans="3:3" x14ac:dyDescent="0.35">
      <c r="C7137" s="2"/>
    </row>
    <row r="7138" spans="3:3" x14ac:dyDescent="0.35">
      <c r="C7138" s="2"/>
    </row>
    <row r="7139" spans="3:3" x14ac:dyDescent="0.35">
      <c r="C7139" s="2"/>
    </row>
    <row r="7140" spans="3:3" x14ac:dyDescent="0.35">
      <c r="C7140" s="2"/>
    </row>
    <row r="7141" spans="3:3" x14ac:dyDescent="0.35">
      <c r="C7141" s="2"/>
    </row>
    <row r="7142" spans="3:3" x14ac:dyDescent="0.35">
      <c r="C7142" s="2"/>
    </row>
    <row r="7143" spans="3:3" x14ac:dyDescent="0.35">
      <c r="C7143" s="2"/>
    </row>
    <row r="7144" spans="3:3" x14ac:dyDescent="0.35">
      <c r="C7144" s="2"/>
    </row>
    <row r="7145" spans="3:3" x14ac:dyDescent="0.35">
      <c r="C7145" s="2"/>
    </row>
    <row r="7146" spans="3:3" x14ac:dyDescent="0.35">
      <c r="C7146" s="2"/>
    </row>
    <row r="7147" spans="3:3" x14ac:dyDescent="0.35">
      <c r="C7147" s="2"/>
    </row>
    <row r="7148" spans="3:3" x14ac:dyDescent="0.35">
      <c r="C7148" s="2"/>
    </row>
    <row r="7149" spans="3:3" x14ac:dyDescent="0.35">
      <c r="C7149" s="2"/>
    </row>
    <row r="7150" spans="3:3" x14ac:dyDescent="0.35">
      <c r="C7150" s="2"/>
    </row>
    <row r="7151" spans="3:3" x14ac:dyDescent="0.35">
      <c r="C7151" s="2"/>
    </row>
    <row r="7152" spans="3:3" x14ac:dyDescent="0.35">
      <c r="C7152" s="2"/>
    </row>
    <row r="7153" spans="3:3" x14ac:dyDescent="0.35">
      <c r="C7153" s="2"/>
    </row>
    <row r="7154" spans="3:3" x14ac:dyDescent="0.35">
      <c r="C7154" s="2"/>
    </row>
    <row r="7155" spans="3:3" x14ac:dyDescent="0.35">
      <c r="C7155" s="2"/>
    </row>
    <row r="7156" spans="3:3" x14ac:dyDescent="0.35">
      <c r="C7156" s="2"/>
    </row>
    <row r="7157" spans="3:3" x14ac:dyDescent="0.35">
      <c r="C7157" s="2"/>
    </row>
    <row r="7158" spans="3:3" x14ac:dyDescent="0.35">
      <c r="C7158" s="2"/>
    </row>
    <row r="7159" spans="3:3" x14ac:dyDescent="0.35">
      <c r="C7159" s="2"/>
    </row>
    <row r="7160" spans="3:3" x14ac:dyDescent="0.35">
      <c r="C7160" s="2"/>
    </row>
    <row r="7161" spans="3:3" x14ac:dyDescent="0.35">
      <c r="C7161" s="2"/>
    </row>
    <row r="7162" spans="3:3" x14ac:dyDescent="0.35">
      <c r="C7162" s="2"/>
    </row>
    <row r="7163" spans="3:3" x14ac:dyDescent="0.35">
      <c r="C7163" s="2"/>
    </row>
    <row r="7164" spans="3:3" x14ac:dyDescent="0.35">
      <c r="C7164" s="2"/>
    </row>
    <row r="7165" spans="3:3" x14ac:dyDescent="0.35">
      <c r="C7165" s="2"/>
    </row>
    <row r="7166" spans="3:3" x14ac:dyDescent="0.35">
      <c r="C7166" s="2"/>
    </row>
    <row r="7167" spans="3:3" x14ac:dyDescent="0.35">
      <c r="C7167" s="2"/>
    </row>
    <row r="7168" spans="3:3" x14ac:dyDescent="0.35">
      <c r="C7168" s="2"/>
    </row>
    <row r="7169" spans="3:3" x14ac:dyDescent="0.35">
      <c r="C7169" s="2"/>
    </row>
    <row r="7170" spans="3:3" x14ac:dyDescent="0.35">
      <c r="C7170" s="2"/>
    </row>
    <row r="7171" spans="3:3" x14ac:dyDescent="0.35">
      <c r="C7171" s="2"/>
    </row>
    <row r="7172" spans="3:3" x14ac:dyDescent="0.35">
      <c r="C7172" s="2"/>
    </row>
    <row r="7173" spans="3:3" x14ac:dyDescent="0.35">
      <c r="C7173" s="2"/>
    </row>
    <row r="7174" spans="3:3" x14ac:dyDescent="0.35">
      <c r="C7174" s="2"/>
    </row>
    <row r="7175" spans="3:3" x14ac:dyDescent="0.35">
      <c r="C7175" s="2"/>
    </row>
    <row r="7176" spans="3:3" x14ac:dyDescent="0.35">
      <c r="C7176" s="2"/>
    </row>
    <row r="7177" spans="3:3" x14ac:dyDescent="0.35">
      <c r="C7177" s="2"/>
    </row>
    <row r="7178" spans="3:3" x14ac:dyDescent="0.35">
      <c r="C7178" s="2"/>
    </row>
    <row r="7179" spans="3:3" x14ac:dyDescent="0.35">
      <c r="C7179" s="2"/>
    </row>
    <row r="7180" spans="3:3" x14ac:dyDescent="0.35">
      <c r="C7180" s="2"/>
    </row>
    <row r="7181" spans="3:3" x14ac:dyDescent="0.35">
      <c r="C7181" s="2"/>
    </row>
    <row r="7182" spans="3:3" x14ac:dyDescent="0.35">
      <c r="C7182" s="2"/>
    </row>
    <row r="7183" spans="3:3" x14ac:dyDescent="0.35">
      <c r="C7183" s="2"/>
    </row>
    <row r="7184" spans="3:3" x14ac:dyDescent="0.35">
      <c r="C7184" s="2"/>
    </row>
    <row r="7185" spans="3:3" x14ac:dyDescent="0.35">
      <c r="C7185" s="2"/>
    </row>
    <row r="7186" spans="3:3" x14ac:dyDescent="0.35">
      <c r="C7186" s="2"/>
    </row>
    <row r="7187" spans="3:3" x14ac:dyDescent="0.35">
      <c r="C7187" s="2"/>
    </row>
    <row r="7188" spans="3:3" x14ac:dyDescent="0.35">
      <c r="C7188" s="2"/>
    </row>
    <row r="7189" spans="3:3" x14ac:dyDescent="0.35">
      <c r="C7189" s="2"/>
    </row>
    <row r="7190" spans="3:3" x14ac:dyDescent="0.35">
      <c r="C7190" s="2"/>
    </row>
    <row r="7191" spans="3:3" x14ac:dyDescent="0.35">
      <c r="C7191" s="2"/>
    </row>
    <row r="7192" spans="3:3" x14ac:dyDescent="0.35">
      <c r="C7192" s="2"/>
    </row>
    <row r="7193" spans="3:3" x14ac:dyDescent="0.35">
      <c r="C7193" s="2"/>
    </row>
    <row r="7194" spans="3:3" x14ac:dyDescent="0.35">
      <c r="C7194" s="2"/>
    </row>
    <row r="7195" spans="3:3" x14ac:dyDescent="0.35">
      <c r="C7195" s="2"/>
    </row>
    <row r="7196" spans="3:3" x14ac:dyDescent="0.35">
      <c r="C7196" s="2"/>
    </row>
    <row r="7197" spans="3:3" x14ac:dyDescent="0.35">
      <c r="C7197" s="2"/>
    </row>
    <row r="7198" spans="3:3" x14ac:dyDescent="0.35">
      <c r="C7198" s="2"/>
    </row>
    <row r="7199" spans="3:3" x14ac:dyDescent="0.35">
      <c r="C7199" s="2"/>
    </row>
    <row r="7200" spans="3:3" x14ac:dyDescent="0.35">
      <c r="C7200" s="2"/>
    </row>
    <row r="7201" spans="3:3" x14ac:dyDescent="0.35">
      <c r="C7201" s="2"/>
    </row>
    <row r="7202" spans="3:3" x14ac:dyDescent="0.35">
      <c r="C7202" s="2"/>
    </row>
    <row r="7203" spans="3:3" x14ac:dyDescent="0.35">
      <c r="C7203" s="2"/>
    </row>
    <row r="7204" spans="3:3" x14ac:dyDescent="0.35">
      <c r="C7204" s="2"/>
    </row>
    <row r="7205" spans="3:3" x14ac:dyDescent="0.35">
      <c r="C7205" s="2"/>
    </row>
    <row r="7206" spans="3:3" x14ac:dyDescent="0.35">
      <c r="C7206" s="2"/>
    </row>
    <row r="7207" spans="3:3" x14ac:dyDescent="0.35">
      <c r="C7207" s="2"/>
    </row>
    <row r="7208" spans="3:3" x14ac:dyDescent="0.35">
      <c r="C7208" s="2"/>
    </row>
    <row r="7209" spans="3:3" x14ac:dyDescent="0.35">
      <c r="C7209" s="2"/>
    </row>
    <row r="7210" spans="3:3" x14ac:dyDescent="0.35">
      <c r="C7210" s="2"/>
    </row>
    <row r="7211" spans="3:3" x14ac:dyDescent="0.35">
      <c r="C7211" s="2"/>
    </row>
    <row r="7212" spans="3:3" x14ac:dyDescent="0.35">
      <c r="C7212" s="2"/>
    </row>
    <row r="7213" spans="3:3" x14ac:dyDescent="0.35">
      <c r="C7213" s="2"/>
    </row>
    <row r="7214" spans="3:3" x14ac:dyDescent="0.35">
      <c r="C7214" s="2"/>
    </row>
    <row r="7215" spans="3:3" x14ac:dyDescent="0.35">
      <c r="C7215" s="2"/>
    </row>
    <row r="7216" spans="3:3" x14ac:dyDescent="0.35">
      <c r="C7216" s="2"/>
    </row>
    <row r="7217" spans="3:3" x14ac:dyDescent="0.35">
      <c r="C7217" s="2"/>
    </row>
    <row r="7218" spans="3:3" x14ac:dyDescent="0.35">
      <c r="C7218" s="2"/>
    </row>
    <row r="7219" spans="3:3" x14ac:dyDescent="0.35">
      <c r="C7219" s="2"/>
    </row>
    <row r="7220" spans="3:3" x14ac:dyDescent="0.35">
      <c r="C7220" s="2"/>
    </row>
    <row r="7221" spans="3:3" x14ac:dyDescent="0.35">
      <c r="C7221" s="2"/>
    </row>
    <row r="7222" spans="3:3" x14ac:dyDescent="0.35">
      <c r="C7222" s="2"/>
    </row>
    <row r="7223" spans="3:3" x14ac:dyDescent="0.35">
      <c r="C7223" s="2"/>
    </row>
    <row r="7224" spans="3:3" x14ac:dyDescent="0.35">
      <c r="C7224" s="2"/>
    </row>
    <row r="7225" spans="3:3" x14ac:dyDescent="0.35">
      <c r="C7225" s="2"/>
    </row>
    <row r="7226" spans="3:3" x14ac:dyDescent="0.35">
      <c r="C7226" s="2"/>
    </row>
    <row r="7227" spans="3:3" x14ac:dyDescent="0.35">
      <c r="C7227" s="2"/>
    </row>
    <row r="7228" spans="3:3" x14ac:dyDescent="0.35">
      <c r="C7228" s="2"/>
    </row>
    <row r="7229" spans="3:3" x14ac:dyDescent="0.35">
      <c r="C7229" s="2"/>
    </row>
    <row r="7230" spans="3:3" x14ac:dyDescent="0.35">
      <c r="C7230" s="2"/>
    </row>
    <row r="7231" spans="3:3" x14ac:dyDescent="0.35">
      <c r="C7231" s="2"/>
    </row>
    <row r="7232" spans="3:3" x14ac:dyDescent="0.35">
      <c r="C7232" s="2"/>
    </row>
    <row r="7233" spans="3:3" x14ac:dyDescent="0.35">
      <c r="C7233" s="2"/>
    </row>
    <row r="7234" spans="3:3" x14ac:dyDescent="0.35">
      <c r="C7234" s="2"/>
    </row>
    <row r="7235" spans="3:3" x14ac:dyDescent="0.35">
      <c r="C7235" s="2"/>
    </row>
    <row r="7236" spans="3:3" x14ac:dyDescent="0.35">
      <c r="C7236" s="2"/>
    </row>
    <row r="7237" spans="3:3" x14ac:dyDescent="0.35">
      <c r="C7237" s="2"/>
    </row>
    <row r="7238" spans="3:3" x14ac:dyDescent="0.35">
      <c r="C7238" s="2"/>
    </row>
    <row r="7239" spans="3:3" x14ac:dyDescent="0.35">
      <c r="C7239" s="2"/>
    </row>
    <row r="7240" spans="3:3" x14ac:dyDescent="0.35">
      <c r="C7240" s="2"/>
    </row>
    <row r="7241" spans="3:3" x14ac:dyDescent="0.35">
      <c r="C7241" s="2"/>
    </row>
    <row r="7242" spans="3:3" x14ac:dyDescent="0.35">
      <c r="C7242" s="2"/>
    </row>
    <row r="7243" spans="3:3" x14ac:dyDescent="0.35">
      <c r="C7243" s="2"/>
    </row>
    <row r="7244" spans="3:3" x14ac:dyDescent="0.35">
      <c r="C7244" s="2"/>
    </row>
    <row r="7245" spans="3:3" x14ac:dyDescent="0.35">
      <c r="C7245" s="2"/>
    </row>
    <row r="7246" spans="3:3" x14ac:dyDescent="0.35">
      <c r="C7246" s="2"/>
    </row>
    <row r="7247" spans="3:3" x14ac:dyDescent="0.35">
      <c r="C7247" s="2"/>
    </row>
    <row r="7248" spans="3:3" x14ac:dyDescent="0.35">
      <c r="C7248" s="2"/>
    </row>
    <row r="7249" spans="3:3" x14ac:dyDescent="0.35">
      <c r="C7249" s="2"/>
    </row>
    <row r="7250" spans="3:3" x14ac:dyDescent="0.35">
      <c r="C7250" s="2"/>
    </row>
    <row r="7251" spans="3:3" x14ac:dyDescent="0.35">
      <c r="C7251" s="2"/>
    </row>
    <row r="7252" spans="3:3" x14ac:dyDescent="0.35">
      <c r="C7252" s="2"/>
    </row>
    <row r="7253" spans="3:3" x14ac:dyDescent="0.35">
      <c r="C7253" s="2"/>
    </row>
    <row r="7254" spans="3:3" x14ac:dyDescent="0.35">
      <c r="C7254" s="2"/>
    </row>
    <row r="7255" spans="3:3" x14ac:dyDescent="0.35">
      <c r="C7255" s="2"/>
    </row>
    <row r="7256" spans="3:3" x14ac:dyDescent="0.35">
      <c r="C7256" s="2"/>
    </row>
    <row r="7257" spans="3:3" x14ac:dyDescent="0.35">
      <c r="C7257" s="2"/>
    </row>
    <row r="7258" spans="3:3" x14ac:dyDescent="0.35">
      <c r="C7258" s="2"/>
    </row>
    <row r="7259" spans="3:3" x14ac:dyDescent="0.35">
      <c r="C7259" s="2"/>
    </row>
    <row r="7260" spans="3:3" x14ac:dyDescent="0.35">
      <c r="C7260" s="2"/>
    </row>
    <row r="7261" spans="3:3" x14ac:dyDescent="0.35">
      <c r="C7261" s="2"/>
    </row>
    <row r="7262" spans="3:3" x14ac:dyDescent="0.35">
      <c r="C7262" s="2"/>
    </row>
    <row r="7263" spans="3:3" x14ac:dyDescent="0.35">
      <c r="C7263" s="2"/>
    </row>
    <row r="7264" spans="3:3" x14ac:dyDescent="0.35">
      <c r="C7264" s="2"/>
    </row>
    <row r="7265" spans="3:3" x14ac:dyDescent="0.35">
      <c r="C7265" s="2"/>
    </row>
    <row r="7266" spans="3:3" x14ac:dyDescent="0.35">
      <c r="C7266" s="2"/>
    </row>
    <row r="7267" spans="3:3" x14ac:dyDescent="0.35">
      <c r="C7267" s="2"/>
    </row>
    <row r="7268" spans="3:3" x14ac:dyDescent="0.35">
      <c r="C7268" s="2"/>
    </row>
    <row r="7269" spans="3:3" x14ac:dyDescent="0.35">
      <c r="C7269" s="2"/>
    </row>
    <row r="7270" spans="3:3" x14ac:dyDescent="0.35">
      <c r="C7270" s="2"/>
    </row>
    <row r="7271" spans="3:3" x14ac:dyDescent="0.35">
      <c r="C7271" s="2"/>
    </row>
    <row r="7272" spans="3:3" x14ac:dyDescent="0.35">
      <c r="C7272" s="2"/>
    </row>
    <row r="7273" spans="3:3" x14ac:dyDescent="0.35">
      <c r="C7273" s="2"/>
    </row>
    <row r="7274" spans="3:3" x14ac:dyDescent="0.35">
      <c r="C7274" s="2"/>
    </row>
    <row r="7275" spans="3:3" x14ac:dyDescent="0.35">
      <c r="C7275" s="2"/>
    </row>
    <row r="7276" spans="3:3" x14ac:dyDescent="0.35">
      <c r="C7276" s="2"/>
    </row>
    <row r="7277" spans="3:3" x14ac:dyDescent="0.35">
      <c r="C7277" s="2"/>
    </row>
    <row r="7278" spans="3:3" x14ac:dyDescent="0.35">
      <c r="C7278" s="2"/>
    </row>
    <row r="7279" spans="3:3" x14ac:dyDescent="0.35">
      <c r="C7279" s="2"/>
    </row>
    <row r="7280" spans="3:3" x14ac:dyDescent="0.35">
      <c r="C7280" s="2"/>
    </row>
    <row r="7281" spans="3:3" x14ac:dyDescent="0.35">
      <c r="C7281" s="2"/>
    </row>
    <row r="7282" spans="3:3" x14ac:dyDescent="0.35">
      <c r="C7282" s="2"/>
    </row>
    <row r="7283" spans="3:3" x14ac:dyDescent="0.35">
      <c r="C7283" s="2"/>
    </row>
    <row r="7284" spans="3:3" x14ac:dyDescent="0.35">
      <c r="C7284" s="2"/>
    </row>
    <row r="7285" spans="3:3" x14ac:dyDescent="0.35">
      <c r="C7285" s="2"/>
    </row>
    <row r="7286" spans="3:3" x14ac:dyDescent="0.35">
      <c r="C7286" s="2"/>
    </row>
    <row r="7287" spans="3:3" x14ac:dyDescent="0.35">
      <c r="C7287" s="2"/>
    </row>
    <row r="7288" spans="3:3" x14ac:dyDescent="0.35">
      <c r="C7288" s="2"/>
    </row>
    <row r="7289" spans="3:3" x14ac:dyDescent="0.35">
      <c r="C7289" s="2"/>
    </row>
    <row r="7290" spans="3:3" x14ac:dyDescent="0.35">
      <c r="C7290" s="2"/>
    </row>
    <row r="7291" spans="3:3" x14ac:dyDescent="0.35">
      <c r="C7291" s="2"/>
    </row>
    <row r="7292" spans="3:3" x14ac:dyDescent="0.35">
      <c r="C7292" s="2"/>
    </row>
    <row r="7293" spans="3:3" x14ac:dyDescent="0.35">
      <c r="C7293" s="2"/>
    </row>
    <row r="7294" spans="3:3" x14ac:dyDescent="0.35">
      <c r="C7294" s="2"/>
    </row>
    <row r="7295" spans="3:3" x14ac:dyDescent="0.35">
      <c r="C7295" s="2"/>
    </row>
    <row r="7296" spans="3:3" x14ac:dyDescent="0.35">
      <c r="C7296" s="2"/>
    </row>
    <row r="7297" spans="3:3" x14ac:dyDescent="0.35">
      <c r="C7297" s="2"/>
    </row>
    <row r="7298" spans="3:3" x14ac:dyDescent="0.35">
      <c r="C7298" s="2"/>
    </row>
    <row r="7299" spans="3:3" x14ac:dyDescent="0.35">
      <c r="C7299" s="2"/>
    </row>
    <row r="7300" spans="3:3" x14ac:dyDescent="0.35">
      <c r="C7300" s="2"/>
    </row>
    <row r="7301" spans="3:3" x14ac:dyDescent="0.35">
      <c r="C7301" s="2"/>
    </row>
    <row r="7302" spans="3:3" x14ac:dyDescent="0.35">
      <c r="C7302" s="2"/>
    </row>
    <row r="7303" spans="3:3" x14ac:dyDescent="0.35">
      <c r="C7303" s="2"/>
    </row>
    <row r="7304" spans="3:3" x14ac:dyDescent="0.35">
      <c r="C7304" s="2"/>
    </row>
    <row r="7305" spans="3:3" x14ac:dyDescent="0.35">
      <c r="C7305" s="2"/>
    </row>
    <row r="7306" spans="3:3" x14ac:dyDescent="0.35">
      <c r="C7306" s="2"/>
    </row>
    <row r="7307" spans="3:3" x14ac:dyDescent="0.35">
      <c r="C7307" s="2"/>
    </row>
    <row r="7308" spans="3:3" x14ac:dyDescent="0.35">
      <c r="C7308" s="2"/>
    </row>
    <row r="7309" spans="3:3" x14ac:dyDescent="0.35">
      <c r="C7309" s="2"/>
    </row>
    <row r="7310" spans="3:3" x14ac:dyDescent="0.35">
      <c r="C7310" s="2"/>
    </row>
    <row r="7311" spans="3:3" x14ac:dyDescent="0.35">
      <c r="C7311" s="2"/>
    </row>
    <row r="7312" spans="3:3" x14ac:dyDescent="0.35">
      <c r="C7312" s="2"/>
    </row>
    <row r="7313" spans="3:3" x14ac:dyDescent="0.35">
      <c r="C7313" s="2"/>
    </row>
    <row r="7314" spans="3:3" x14ac:dyDescent="0.35">
      <c r="C7314" s="2"/>
    </row>
    <row r="7315" spans="3:3" x14ac:dyDescent="0.35">
      <c r="C7315" s="2"/>
    </row>
    <row r="7316" spans="3:3" x14ac:dyDescent="0.35">
      <c r="C7316" s="2"/>
    </row>
    <row r="7317" spans="3:3" x14ac:dyDescent="0.35">
      <c r="C7317" s="2"/>
    </row>
    <row r="7318" spans="3:3" x14ac:dyDescent="0.35">
      <c r="C7318" s="2"/>
    </row>
    <row r="7319" spans="3:3" x14ac:dyDescent="0.35">
      <c r="C7319" s="2"/>
    </row>
    <row r="7320" spans="3:3" x14ac:dyDescent="0.35">
      <c r="C7320" s="2"/>
    </row>
    <row r="7321" spans="3:3" x14ac:dyDescent="0.35">
      <c r="C7321" s="2"/>
    </row>
    <row r="7322" spans="3:3" x14ac:dyDescent="0.35">
      <c r="C7322" s="2"/>
    </row>
    <row r="7323" spans="3:3" x14ac:dyDescent="0.35">
      <c r="C7323" s="2"/>
    </row>
    <row r="7324" spans="3:3" x14ac:dyDescent="0.35">
      <c r="C7324" s="2"/>
    </row>
    <row r="7325" spans="3:3" x14ac:dyDescent="0.35">
      <c r="C7325" s="2"/>
    </row>
    <row r="7326" spans="3:3" x14ac:dyDescent="0.35">
      <c r="C7326" s="2"/>
    </row>
    <row r="7327" spans="3:3" x14ac:dyDescent="0.35">
      <c r="C7327" s="2"/>
    </row>
    <row r="7328" spans="3:3" x14ac:dyDescent="0.35">
      <c r="C7328" s="2"/>
    </row>
    <row r="7329" spans="3:3" x14ac:dyDescent="0.35">
      <c r="C7329" s="2"/>
    </row>
    <row r="7330" spans="3:3" x14ac:dyDescent="0.35">
      <c r="C7330" s="2"/>
    </row>
    <row r="7331" spans="3:3" x14ac:dyDescent="0.35">
      <c r="C7331" s="2"/>
    </row>
    <row r="7332" spans="3:3" x14ac:dyDescent="0.35">
      <c r="C7332" s="2"/>
    </row>
    <row r="7333" spans="3:3" x14ac:dyDescent="0.35">
      <c r="C7333" s="2"/>
    </row>
    <row r="7334" spans="3:3" x14ac:dyDescent="0.35">
      <c r="C7334" s="2"/>
    </row>
    <row r="7335" spans="3:3" x14ac:dyDescent="0.35">
      <c r="C7335" s="2"/>
    </row>
    <row r="7336" spans="3:3" x14ac:dyDescent="0.35">
      <c r="C7336" s="2"/>
    </row>
    <row r="7337" spans="3:3" x14ac:dyDescent="0.35">
      <c r="C7337" s="2"/>
    </row>
    <row r="7338" spans="3:3" x14ac:dyDescent="0.35">
      <c r="C7338" s="2"/>
    </row>
    <row r="7339" spans="3:3" x14ac:dyDescent="0.35">
      <c r="C7339" s="2"/>
    </row>
    <row r="7340" spans="3:3" x14ac:dyDescent="0.35">
      <c r="C7340" s="2"/>
    </row>
    <row r="7341" spans="3:3" x14ac:dyDescent="0.35">
      <c r="C7341" s="2"/>
    </row>
    <row r="7342" spans="3:3" x14ac:dyDescent="0.35">
      <c r="C7342" s="2"/>
    </row>
    <row r="7343" spans="3:3" x14ac:dyDescent="0.35">
      <c r="C7343" s="2"/>
    </row>
    <row r="7344" spans="3:3" x14ac:dyDescent="0.35">
      <c r="C7344" s="2"/>
    </row>
    <row r="7345" spans="3:3" x14ac:dyDescent="0.35">
      <c r="C7345" s="2"/>
    </row>
    <row r="7346" spans="3:3" x14ac:dyDescent="0.35">
      <c r="C7346" s="2"/>
    </row>
    <row r="7347" spans="3:3" x14ac:dyDescent="0.35">
      <c r="C7347" s="2"/>
    </row>
    <row r="7348" spans="3:3" x14ac:dyDescent="0.35">
      <c r="C7348" s="2"/>
    </row>
    <row r="7349" spans="3:3" x14ac:dyDescent="0.35">
      <c r="C7349" s="2"/>
    </row>
    <row r="7350" spans="3:3" x14ac:dyDescent="0.35">
      <c r="C7350" s="2"/>
    </row>
    <row r="7351" spans="3:3" x14ac:dyDescent="0.35">
      <c r="C7351" s="2"/>
    </row>
    <row r="7352" spans="3:3" x14ac:dyDescent="0.35">
      <c r="C7352" s="2"/>
    </row>
    <row r="7353" spans="3:3" x14ac:dyDescent="0.35">
      <c r="C7353" s="2"/>
    </row>
    <row r="7354" spans="3:3" x14ac:dyDescent="0.35">
      <c r="C7354" s="2"/>
    </row>
    <row r="7355" spans="3:3" x14ac:dyDescent="0.35">
      <c r="C7355" s="2"/>
    </row>
    <row r="7356" spans="3:3" x14ac:dyDescent="0.35">
      <c r="C7356" s="2"/>
    </row>
    <row r="7357" spans="3:3" x14ac:dyDescent="0.35">
      <c r="C7357" s="2"/>
    </row>
    <row r="7358" spans="3:3" x14ac:dyDescent="0.35">
      <c r="C7358" s="2"/>
    </row>
    <row r="7359" spans="3:3" x14ac:dyDescent="0.35">
      <c r="C7359" s="2"/>
    </row>
    <row r="7360" spans="3:3" x14ac:dyDescent="0.35">
      <c r="C7360" s="2"/>
    </row>
    <row r="7361" spans="3:3" x14ac:dyDescent="0.35">
      <c r="C7361" s="2"/>
    </row>
    <row r="7362" spans="3:3" x14ac:dyDescent="0.35">
      <c r="C7362" s="2"/>
    </row>
    <row r="7363" spans="3:3" x14ac:dyDescent="0.35">
      <c r="C7363" s="2"/>
    </row>
    <row r="7364" spans="3:3" x14ac:dyDescent="0.35">
      <c r="C7364" s="2"/>
    </row>
    <row r="7365" spans="3:3" x14ac:dyDescent="0.35">
      <c r="C7365" s="2"/>
    </row>
    <row r="7366" spans="3:3" x14ac:dyDescent="0.35">
      <c r="C7366" s="2"/>
    </row>
    <row r="7367" spans="3:3" x14ac:dyDescent="0.35">
      <c r="C7367" s="2"/>
    </row>
    <row r="7368" spans="3:3" x14ac:dyDescent="0.35">
      <c r="C7368" s="2"/>
    </row>
    <row r="7369" spans="3:3" x14ac:dyDescent="0.35">
      <c r="C7369" s="2"/>
    </row>
    <row r="7370" spans="3:3" x14ac:dyDescent="0.35">
      <c r="C7370" s="2"/>
    </row>
    <row r="7371" spans="3:3" x14ac:dyDescent="0.35">
      <c r="C7371" s="2"/>
    </row>
    <row r="7372" spans="3:3" x14ac:dyDescent="0.35">
      <c r="C7372" s="2"/>
    </row>
    <row r="7373" spans="3:3" x14ac:dyDescent="0.35">
      <c r="C7373" s="2"/>
    </row>
    <row r="7374" spans="3:3" x14ac:dyDescent="0.35">
      <c r="C7374" s="2"/>
    </row>
    <row r="7375" spans="3:3" x14ac:dyDescent="0.35">
      <c r="C7375" s="2"/>
    </row>
    <row r="7376" spans="3:3" x14ac:dyDescent="0.35">
      <c r="C7376" s="2"/>
    </row>
    <row r="7377" spans="3:3" x14ac:dyDescent="0.35">
      <c r="C7377" s="2"/>
    </row>
    <row r="7378" spans="3:3" x14ac:dyDescent="0.35">
      <c r="C7378" s="2"/>
    </row>
    <row r="7379" spans="3:3" x14ac:dyDescent="0.35">
      <c r="C7379" s="2"/>
    </row>
    <row r="7380" spans="3:3" x14ac:dyDescent="0.35">
      <c r="C7380" s="2"/>
    </row>
    <row r="7381" spans="3:3" x14ac:dyDescent="0.35">
      <c r="C7381" s="2"/>
    </row>
    <row r="7382" spans="3:3" x14ac:dyDescent="0.35">
      <c r="C7382" s="2"/>
    </row>
    <row r="7383" spans="3:3" x14ac:dyDescent="0.35">
      <c r="C7383" s="2"/>
    </row>
    <row r="7384" spans="3:3" x14ac:dyDescent="0.35">
      <c r="C7384" s="2"/>
    </row>
    <row r="7385" spans="3:3" x14ac:dyDescent="0.35">
      <c r="C7385" s="2"/>
    </row>
    <row r="7386" spans="3:3" x14ac:dyDescent="0.35">
      <c r="C7386" s="2"/>
    </row>
    <row r="7387" spans="3:3" x14ac:dyDescent="0.35">
      <c r="C7387" s="2"/>
    </row>
    <row r="7388" spans="3:3" x14ac:dyDescent="0.35">
      <c r="C7388" s="2"/>
    </row>
    <row r="7389" spans="3:3" x14ac:dyDescent="0.35">
      <c r="C7389" s="2"/>
    </row>
    <row r="7390" spans="3:3" x14ac:dyDescent="0.35">
      <c r="C7390" s="2"/>
    </row>
    <row r="7391" spans="3:3" x14ac:dyDescent="0.35">
      <c r="C7391" s="2"/>
    </row>
    <row r="7392" spans="3:3" x14ac:dyDescent="0.35">
      <c r="C7392" s="2"/>
    </row>
    <row r="7393" spans="3:3" x14ac:dyDescent="0.35">
      <c r="C7393" s="2"/>
    </row>
    <row r="7394" spans="3:3" x14ac:dyDescent="0.35">
      <c r="C7394" s="2"/>
    </row>
    <row r="7395" spans="3:3" x14ac:dyDescent="0.35">
      <c r="C7395" s="2"/>
    </row>
    <row r="7396" spans="3:3" x14ac:dyDescent="0.35">
      <c r="C7396" s="2"/>
    </row>
    <row r="7397" spans="3:3" x14ac:dyDescent="0.35">
      <c r="C7397" s="2"/>
    </row>
    <row r="7398" spans="3:3" x14ac:dyDescent="0.35">
      <c r="C7398" s="2"/>
    </row>
    <row r="7399" spans="3:3" x14ac:dyDescent="0.35">
      <c r="C7399" s="2"/>
    </row>
    <row r="7400" spans="3:3" x14ac:dyDescent="0.35">
      <c r="C7400" s="2"/>
    </row>
    <row r="7401" spans="3:3" x14ac:dyDescent="0.35">
      <c r="C7401" s="2"/>
    </row>
    <row r="7402" spans="3:3" x14ac:dyDescent="0.35">
      <c r="C7402" s="2"/>
    </row>
    <row r="7403" spans="3:3" x14ac:dyDescent="0.35">
      <c r="C7403" s="2"/>
    </row>
    <row r="7404" spans="3:3" x14ac:dyDescent="0.35">
      <c r="C7404" s="2"/>
    </row>
    <row r="7405" spans="3:3" x14ac:dyDescent="0.35">
      <c r="C7405" s="2"/>
    </row>
    <row r="7406" spans="3:3" x14ac:dyDescent="0.35">
      <c r="C7406" s="2"/>
    </row>
    <row r="7407" spans="3:3" x14ac:dyDescent="0.35">
      <c r="C7407" s="2"/>
    </row>
    <row r="7408" spans="3:3" x14ac:dyDescent="0.35">
      <c r="C7408" s="2"/>
    </row>
    <row r="7409" spans="3:3" x14ac:dyDescent="0.35">
      <c r="C7409" s="2"/>
    </row>
    <row r="7410" spans="3:3" x14ac:dyDescent="0.35">
      <c r="C7410" s="2"/>
    </row>
    <row r="7411" spans="3:3" x14ac:dyDescent="0.35">
      <c r="C7411" s="2"/>
    </row>
    <row r="7412" spans="3:3" x14ac:dyDescent="0.35">
      <c r="C7412" s="2"/>
    </row>
    <row r="7413" spans="3:3" x14ac:dyDescent="0.35">
      <c r="C7413" s="2"/>
    </row>
    <row r="7414" spans="3:3" x14ac:dyDescent="0.35">
      <c r="C7414" s="2"/>
    </row>
    <row r="7415" spans="3:3" x14ac:dyDescent="0.35">
      <c r="C7415" s="2"/>
    </row>
    <row r="7416" spans="3:3" x14ac:dyDescent="0.35">
      <c r="C7416" s="2"/>
    </row>
    <row r="7417" spans="3:3" x14ac:dyDescent="0.35">
      <c r="C7417" s="2"/>
    </row>
    <row r="7418" spans="3:3" x14ac:dyDescent="0.35">
      <c r="C7418" s="2"/>
    </row>
    <row r="7419" spans="3:3" x14ac:dyDescent="0.35">
      <c r="C7419" s="2"/>
    </row>
    <row r="7420" spans="3:3" x14ac:dyDescent="0.35">
      <c r="C7420" s="2"/>
    </row>
    <row r="7421" spans="3:3" x14ac:dyDescent="0.35">
      <c r="C7421" s="2"/>
    </row>
    <row r="7422" spans="3:3" x14ac:dyDescent="0.35">
      <c r="C7422" s="2"/>
    </row>
    <row r="7423" spans="3:3" x14ac:dyDescent="0.35">
      <c r="C7423" s="2"/>
    </row>
    <row r="7424" spans="3:3" x14ac:dyDescent="0.35">
      <c r="C7424" s="2"/>
    </row>
    <row r="7425" spans="3:3" x14ac:dyDescent="0.35">
      <c r="C7425" s="2"/>
    </row>
    <row r="7426" spans="3:3" x14ac:dyDescent="0.35">
      <c r="C7426" s="2"/>
    </row>
    <row r="7427" spans="3:3" x14ac:dyDescent="0.35">
      <c r="C7427" s="2"/>
    </row>
    <row r="7428" spans="3:3" x14ac:dyDescent="0.35">
      <c r="C7428" s="2"/>
    </row>
    <row r="7429" spans="3:3" x14ac:dyDescent="0.35">
      <c r="C7429" s="2"/>
    </row>
    <row r="7430" spans="3:3" x14ac:dyDescent="0.35">
      <c r="C7430" s="2"/>
    </row>
    <row r="7431" spans="3:3" x14ac:dyDescent="0.35">
      <c r="C7431" s="2"/>
    </row>
    <row r="7432" spans="3:3" x14ac:dyDescent="0.35">
      <c r="C7432" s="2"/>
    </row>
    <row r="7433" spans="3:3" x14ac:dyDescent="0.35">
      <c r="C7433" s="2"/>
    </row>
    <row r="7434" spans="3:3" x14ac:dyDescent="0.35">
      <c r="C7434" s="2"/>
    </row>
    <row r="7435" spans="3:3" x14ac:dyDescent="0.35">
      <c r="C7435" s="2"/>
    </row>
    <row r="7436" spans="3:3" x14ac:dyDescent="0.35">
      <c r="C7436" s="2"/>
    </row>
    <row r="7437" spans="3:3" x14ac:dyDescent="0.35">
      <c r="C7437" s="2"/>
    </row>
    <row r="7438" spans="3:3" x14ac:dyDescent="0.35">
      <c r="C7438" s="2"/>
    </row>
    <row r="7439" spans="3:3" x14ac:dyDescent="0.35">
      <c r="C7439" s="2"/>
    </row>
    <row r="7440" spans="3:3" x14ac:dyDescent="0.35">
      <c r="C7440" s="2"/>
    </row>
    <row r="7441" spans="3:3" x14ac:dyDescent="0.35">
      <c r="C7441" s="2"/>
    </row>
    <row r="7442" spans="3:3" x14ac:dyDescent="0.35">
      <c r="C7442" s="2"/>
    </row>
    <row r="7443" spans="3:3" x14ac:dyDescent="0.35">
      <c r="C7443" s="2"/>
    </row>
    <row r="7444" spans="3:3" x14ac:dyDescent="0.35">
      <c r="C7444" s="2"/>
    </row>
    <row r="7445" spans="3:3" x14ac:dyDescent="0.35">
      <c r="C7445" s="2"/>
    </row>
    <row r="7446" spans="3:3" x14ac:dyDescent="0.35">
      <c r="C7446" s="2"/>
    </row>
    <row r="7447" spans="3:3" x14ac:dyDescent="0.35">
      <c r="C7447" s="2"/>
    </row>
    <row r="7448" spans="3:3" x14ac:dyDescent="0.35">
      <c r="C7448" s="2"/>
    </row>
    <row r="7449" spans="3:3" x14ac:dyDescent="0.35">
      <c r="C7449" s="2"/>
    </row>
    <row r="7450" spans="3:3" x14ac:dyDescent="0.35">
      <c r="C7450" s="2"/>
    </row>
    <row r="7451" spans="3:3" x14ac:dyDescent="0.35">
      <c r="C7451" s="2"/>
    </row>
    <row r="7452" spans="3:3" x14ac:dyDescent="0.35">
      <c r="C7452" s="2"/>
    </row>
    <row r="7453" spans="3:3" x14ac:dyDescent="0.35">
      <c r="C7453" s="2"/>
    </row>
    <row r="7454" spans="3:3" x14ac:dyDescent="0.35">
      <c r="C7454" s="2"/>
    </row>
    <row r="7455" spans="3:3" x14ac:dyDescent="0.35">
      <c r="C7455" s="2"/>
    </row>
    <row r="7456" spans="3:3" x14ac:dyDescent="0.35">
      <c r="C7456" s="2"/>
    </row>
    <row r="7457" spans="3:3" x14ac:dyDescent="0.35">
      <c r="C7457" s="2"/>
    </row>
    <row r="7458" spans="3:3" x14ac:dyDescent="0.35">
      <c r="C7458" s="2"/>
    </row>
    <row r="7459" spans="3:3" x14ac:dyDescent="0.35">
      <c r="C7459" s="2"/>
    </row>
    <row r="7460" spans="3:3" x14ac:dyDescent="0.35">
      <c r="C7460" s="2"/>
    </row>
    <row r="7461" spans="3:3" x14ac:dyDescent="0.35">
      <c r="C7461" s="2"/>
    </row>
    <row r="7462" spans="3:3" x14ac:dyDescent="0.35">
      <c r="C7462" s="2"/>
    </row>
    <row r="7463" spans="3:3" x14ac:dyDescent="0.35">
      <c r="C7463" s="2"/>
    </row>
    <row r="7464" spans="3:3" x14ac:dyDescent="0.35">
      <c r="C7464" s="2"/>
    </row>
    <row r="7465" spans="3:3" x14ac:dyDescent="0.35">
      <c r="C7465" s="2"/>
    </row>
    <row r="7466" spans="3:3" x14ac:dyDescent="0.35">
      <c r="C7466" s="2"/>
    </row>
    <row r="7467" spans="3:3" x14ac:dyDescent="0.35">
      <c r="C7467" s="2"/>
    </row>
    <row r="7468" spans="3:3" x14ac:dyDescent="0.35">
      <c r="C7468" s="2"/>
    </row>
    <row r="7469" spans="3:3" x14ac:dyDescent="0.35">
      <c r="C7469" s="2"/>
    </row>
    <row r="7470" spans="3:3" x14ac:dyDescent="0.35">
      <c r="C7470" s="2"/>
    </row>
    <row r="7471" spans="3:3" x14ac:dyDescent="0.35">
      <c r="C7471" s="2"/>
    </row>
    <row r="7472" spans="3:3" x14ac:dyDescent="0.35">
      <c r="C7472" s="2"/>
    </row>
    <row r="7473" spans="3:3" x14ac:dyDescent="0.35">
      <c r="C7473" s="2"/>
    </row>
    <row r="7474" spans="3:3" x14ac:dyDescent="0.35">
      <c r="C7474" s="2"/>
    </row>
    <row r="7475" spans="3:3" x14ac:dyDescent="0.35">
      <c r="C7475" s="2"/>
    </row>
    <row r="7476" spans="3:3" x14ac:dyDescent="0.35">
      <c r="C7476" s="2"/>
    </row>
    <row r="7477" spans="3:3" x14ac:dyDescent="0.35">
      <c r="C7477" s="2"/>
    </row>
    <row r="7478" spans="3:3" x14ac:dyDescent="0.35">
      <c r="C7478" s="2"/>
    </row>
    <row r="7479" spans="3:3" x14ac:dyDescent="0.35">
      <c r="C7479" s="2"/>
    </row>
    <row r="7480" spans="3:3" x14ac:dyDescent="0.35">
      <c r="C7480" s="2"/>
    </row>
    <row r="7481" spans="3:3" x14ac:dyDescent="0.35">
      <c r="C7481" s="2"/>
    </row>
    <row r="7482" spans="3:3" x14ac:dyDescent="0.35">
      <c r="C7482" s="2"/>
    </row>
    <row r="7483" spans="3:3" x14ac:dyDescent="0.35">
      <c r="C7483" s="2"/>
    </row>
    <row r="7484" spans="3:3" x14ac:dyDescent="0.35">
      <c r="C7484" s="2"/>
    </row>
    <row r="7485" spans="3:3" x14ac:dyDescent="0.35">
      <c r="C7485" s="2"/>
    </row>
    <row r="7486" spans="3:3" x14ac:dyDescent="0.35">
      <c r="C7486" s="2"/>
    </row>
    <row r="7487" spans="3:3" x14ac:dyDescent="0.35">
      <c r="C7487" s="2"/>
    </row>
    <row r="7488" spans="3:3" x14ac:dyDescent="0.35">
      <c r="C7488" s="2"/>
    </row>
    <row r="7489" spans="3:3" x14ac:dyDescent="0.35">
      <c r="C7489" s="2"/>
    </row>
    <row r="7490" spans="3:3" x14ac:dyDescent="0.35">
      <c r="C7490" s="2"/>
    </row>
    <row r="7491" spans="3:3" x14ac:dyDescent="0.35">
      <c r="C7491" s="2"/>
    </row>
    <row r="7492" spans="3:3" x14ac:dyDescent="0.35">
      <c r="C7492" s="2"/>
    </row>
    <row r="7493" spans="3:3" x14ac:dyDescent="0.35">
      <c r="C7493" s="2"/>
    </row>
    <row r="7494" spans="3:3" x14ac:dyDescent="0.35">
      <c r="C7494" s="2"/>
    </row>
    <row r="7495" spans="3:3" x14ac:dyDescent="0.35">
      <c r="C7495" s="2"/>
    </row>
    <row r="7496" spans="3:3" x14ac:dyDescent="0.35">
      <c r="C7496" s="2"/>
    </row>
    <row r="7497" spans="3:3" x14ac:dyDescent="0.35">
      <c r="C7497" s="2"/>
    </row>
    <row r="7498" spans="3:3" x14ac:dyDescent="0.35">
      <c r="C7498" s="2"/>
    </row>
    <row r="7499" spans="3:3" x14ac:dyDescent="0.35">
      <c r="C7499" s="2"/>
    </row>
    <row r="7500" spans="3:3" x14ac:dyDescent="0.35">
      <c r="C7500" s="2"/>
    </row>
    <row r="7501" spans="3:3" x14ac:dyDescent="0.35">
      <c r="C7501" s="2"/>
    </row>
    <row r="7502" spans="3:3" x14ac:dyDescent="0.35">
      <c r="C7502" s="2"/>
    </row>
    <row r="7503" spans="3:3" x14ac:dyDescent="0.35">
      <c r="C7503" s="2"/>
    </row>
    <row r="7504" spans="3:3" x14ac:dyDescent="0.35">
      <c r="C7504" s="2"/>
    </row>
    <row r="7505" spans="3:3" x14ac:dyDescent="0.35">
      <c r="C7505" s="2"/>
    </row>
    <row r="7506" spans="3:3" x14ac:dyDescent="0.35">
      <c r="C7506" s="2"/>
    </row>
    <row r="7507" spans="3:3" x14ac:dyDescent="0.35">
      <c r="C7507" s="2"/>
    </row>
    <row r="7508" spans="3:3" x14ac:dyDescent="0.35">
      <c r="C7508" s="2"/>
    </row>
    <row r="7509" spans="3:3" x14ac:dyDescent="0.35">
      <c r="C7509" s="2"/>
    </row>
    <row r="7510" spans="3:3" x14ac:dyDescent="0.35">
      <c r="C7510" s="2"/>
    </row>
    <row r="7511" spans="3:3" x14ac:dyDescent="0.35">
      <c r="C7511" s="2"/>
    </row>
    <row r="7512" spans="3:3" x14ac:dyDescent="0.35">
      <c r="C7512" s="2"/>
    </row>
    <row r="7513" spans="3:3" x14ac:dyDescent="0.35">
      <c r="C7513" s="2"/>
    </row>
    <row r="7514" spans="3:3" x14ac:dyDescent="0.35">
      <c r="C7514" s="2"/>
    </row>
    <row r="7515" spans="3:3" x14ac:dyDescent="0.35">
      <c r="C7515" s="2"/>
    </row>
    <row r="7516" spans="3:3" x14ac:dyDescent="0.35">
      <c r="C7516" s="2"/>
    </row>
    <row r="7517" spans="3:3" x14ac:dyDescent="0.35">
      <c r="C7517" s="2"/>
    </row>
    <row r="7518" spans="3:3" x14ac:dyDescent="0.35">
      <c r="C7518" s="2"/>
    </row>
    <row r="7519" spans="3:3" x14ac:dyDescent="0.35">
      <c r="C7519" s="2"/>
    </row>
    <row r="7520" spans="3:3" x14ac:dyDescent="0.35">
      <c r="C7520" s="2"/>
    </row>
    <row r="7521" spans="3:3" x14ac:dyDescent="0.35">
      <c r="C7521" s="2"/>
    </row>
    <row r="7522" spans="3:3" x14ac:dyDescent="0.35">
      <c r="C7522" s="2"/>
    </row>
    <row r="7523" spans="3:3" x14ac:dyDescent="0.35">
      <c r="C7523" s="2"/>
    </row>
    <row r="7524" spans="3:3" x14ac:dyDescent="0.35">
      <c r="C7524" s="2"/>
    </row>
    <row r="7525" spans="3:3" x14ac:dyDescent="0.35">
      <c r="C7525" s="2"/>
    </row>
    <row r="7526" spans="3:3" x14ac:dyDescent="0.35">
      <c r="C7526" s="2"/>
    </row>
    <row r="7527" spans="3:3" x14ac:dyDescent="0.35">
      <c r="C7527" s="2"/>
    </row>
    <row r="7528" spans="3:3" x14ac:dyDescent="0.35">
      <c r="C7528" s="2"/>
    </row>
    <row r="7529" spans="3:3" x14ac:dyDescent="0.35">
      <c r="C7529" s="2"/>
    </row>
    <row r="7530" spans="3:3" x14ac:dyDescent="0.35">
      <c r="C7530" s="2"/>
    </row>
    <row r="7531" spans="3:3" x14ac:dyDescent="0.35">
      <c r="C7531" s="2"/>
    </row>
    <row r="7532" spans="3:3" x14ac:dyDescent="0.35">
      <c r="C7532" s="2"/>
    </row>
    <row r="7533" spans="3:3" x14ac:dyDescent="0.35">
      <c r="C7533" s="2"/>
    </row>
    <row r="7534" spans="3:3" x14ac:dyDescent="0.35">
      <c r="C7534" s="2"/>
    </row>
    <row r="7535" spans="3:3" x14ac:dyDescent="0.35">
      <c r="C7535" s="2"/>
    </row>
    <row r="7536" spans="3:3" x14ac:dyDescent="0.35">
      <c r="C7536" s="2"/>
    </row>
    <row r="7537" spans="3:3" x14ac:dyDescent="0.35">
      <c r="C7537" s="2"/>
    </row>
    <row r="7538" spans="3:3" x14ac:dyDescent="0.35">
      <c r="C7538" s="2"/>
    </row>
    <row r="7539" spans="3:3" x14ac:dyDescent="0.35">
      <c r="C7539" s="2"/>
    </row>
    <row r="7540" spans="3:3" x14ac:dyDescent="0.35">
      <c r="C7540" s="2"/>
    </row>
    <row r="7541" spans="3:3" x14ac:dyDescent="0.35">
      <c r="C7541" s="2"/>
    </row>
    <row r="7542" spans="3:3" x14ac:dyDescent="0.35">
      <c r="C7542" s="2"/>
    </row>
    <row r="7543" spans="3:3" x14ac:dyDescent="0.35">
      <c r="C7543" s="2"/>
    </row>
    <row r="7544" spans="3:3" x14ac:dyDescent="0.35">
      <c r="C7544" s="2"/>
    </row>
    <row r="7545" spans="3:3" x14ac:dyDescent="0.35">
      <c r="C7545" s="2"/>
    </row>
    <row r="7546" spans="3:3" x14ac:dyDescent="0.35">
      <c r="C7546" s="2"/>
    </row>
    <row r="7547" spans="3:3" x14ac:dyDescent="0.35">
      <c r="C7547" s="2"/>
    </row>
    <row r="7548" spans="3:3" x14ac:dyDescent="0.35">
      <c r="C7548" s="2"/>
    </row>
    <row r="7549" spans="3:3" x14ac:dyDescent="0.35">
      <c r="C7549" s="2"/>
    </row>
    <row r="7550" spans="3:3" x14ac:dyDescent="0.35">
      <c r="C7550" s="2"/>
    </row>
    <row r="7551" spans="3:3" x14ac:dyDescent="0.35">
      <c r="C7551" s="2"/>
    </row>
    <row r="7552" spans="3:3" x14ac:dyDescent="0.35">
      <c r="C7552" s="2"/>
    </row>
    <row r="7553" spans="3:3" x14ac:dyDescent="0.35">
      <c r="C7553" s="2"/>
    </row>
    <row r="7554" spans="3:3" x14ac:dyDescent="0.35">
      <c r="C7554" s="2"/>
    </row>
    <row r="7555" spans="3:3" x14ac:dyDescent="0.35">
      <c r="C7555" s="2"/>
    </row>
    <row r="7556" spans="3:3" x14ac:dyDescent="0.35">
      <c r="C7556" s="2"/>
    </row>
    <row r="7557" spans="3:3" x14ac:dyDescent="0.35">
      <c r="C7557" s="2"/>
    </row>
    <row r="7558" spans="3:3" x14ac:dyDescent="0.35">
      <c r="C7558" s="2"/>
    </row>
    <row r="7559" spans="3:3" x14ac:dyDescent="0.35">
      <c r="C7559" s="2"/>
    </row>
    <row r="7560" spans="3:3" x14ac:dyDescent="0.35">
      <c r="C7560" s="2"/>
    </row>
    <row r="7561" spans="3:3" x14ac:dyDescent="0.35">
      <c r="C7561" s="2"/>
    </row>
    <row r="7562" spans="3:3" x14ac:dyDescent="0.35">
      <c r="C7562" s="2"/>
    </row>
    <row r="7563" spans="3:3" x14ac:dyDescent="0.35">
      <c r="C7563" s="2"/>
    </row>
    <row r="7564" spans="3:3" x14ac:dyDescent="0.35">
      <c r="C7564" s="2"/>
    </row>
    <row r="7565" spans="3:3" x14ac:dyDescent="0.35">
      <c r="C7565" s="2"/>
    </row>
    <row r="7566" spans="3:3" x14ac:dyDescent="0.35">
      <c r="C7566" s="2"/>
    </row>
    <row r="7567" spans="3:3" x14ac:dyDescent="0.35">
      <c r="C7567" s="2"/>
    </row>
    <row r="7568" spans="3:3" x14ac:dyDescent="0.35">
      <c r="C7568" s="2"/>
    </row>
    <row r="7569" spans="3:3" x14ac:dyDescent="0.35">
      <c r="C7569" s="2"/>
    </row>
    <row r="7570" spans="3:3" x14ac:dyDescent="0.35">
      <c r="C7570" s="2"/>
    </row>
    <row r="7571" spans="3:3" x14ac:dyDescent="0.35">
      <c r="C7571" s="2"/>
    </row>
    <row r="7572" spans="3:3" x14ac:dyDescent="0.35">
      <c r="C7572" s="2"/>
    </row>
    <row r="7573" spans="3:3" x14ac:dyDescent="0.35">
      <c r="C7573" s="2"/>
    </row>
    <row r="7574" spans="3:3" x14ac:dyDescent="0.35">
      <c r="C7574" s="2"/>
    </row>
    <row r="7575" spans="3:3" x14ac:dyDescent="0.35">
      <c r="C7575" s="2"/>
    </row>
    <row r="7576" spans="3:3" x14ac:dyDescent="0.35">
      <c r="C7576" s="2"/>
    </row>
    <row r="7577" spans="3:3" x14ac:dyDescent="0.35">
      <c r="C7577" s="2"/>
    </row>
    <row r="7578" spans="3:3" x14ac:dyDescent="0.35">
      <c r="C7578" s="2"/>
    </row>
    <row r="7579" spans="3:3" x14ac:dyDescent="0.35">
      <c r="C7579" s="2"/>
    </row>
    <row r="7580" spans="3:3" x14ac:dyDescent="0.35">
      <c r="C7580" s="2"/>
    </row>
    <row r="7581" spans="3:3" x14ac:dyDescent="0.35">
      <c r="C7581" s="2"/>
    </row>
    <row r="7582" spans="3:3" x14ac:dyDescent="0.35">
      <c r="C7582" s="2"/>
    </row>
    <row r="7583" spans="3:3" x14ac:dyDescent="0.35">
      <c r="C7583" s="2"/>
    </row>
    <row r="7584" spans="3:3" x14ac:dyDescent="0.35">
      <c r="C7584" s="2"/>
    </row>
    <row r="7585" spans="3:3" x14ac:dyDescent="0.35">
      <c r="C7585" s="2"/>
    </row>
    <row r="7586" spans="3:3" x14ac:dyDescent="0.35">
      <c r="C7586" s="2"/>
    </row>
    <row r="7587" spans="3:3" x14ac:dyDescent="0.35">
      <c r="C7587" s="2"/>
    </row>
    <row r="7588" spans="3:3" x14ac:dyDescent="0.35">
      <c r="C7588" s="2"/>
    </row>
    <row r="7589" spans="3:3" x14ac:dyDescent="0.35">
      <c r="C7589" s="2"/>
    </row>
    <row r="7590" spans="3:3" x14ac:dyDescent="0.35">
      <c r="C7590" s="2"/>
    </row>
    <row r="7591" spans="3:3" x14ac:dyDescent="0.35">
      <c r="C7591" s="2"/>
    </row>
    <row r="7592" spans="3:3" x14ac:dyDescent="0.35">
      <c r="C7592" s="2"/>
    </row>
    <row r="7593" spans="3:3" x14ac:dyDescent="0.35">
      <c r="C7593" s="2"/>
    </row>
    <row r="7594" spans="3:3" x14ac:dyDescent="0.35">
      <c r="C7594" s="2"/>
    </row>
    <row r="7595" spans="3:3" x14ac:dyDescent="0.35">
      <c r="C7595" s="2"/>
    </row>
    <row r="7596" spans="3:3" x14ac:dyDescent="0.35">
      <c r="C7596" s="2"/>
    </row>
    <row r="7597" spans="3:3" x14ac:dyDescent="0.35">
      <c r="C7597" s="2"/>
    </row>
    <row r="7598" spans="3:3" x14ac:dyDescent="0.35">
      <c r="C7598" s="2"/>
    </row>
    <row r="7599" spans="3:3" x14ac:dyDescent="0.35">
      <c r="C7599" s="2"/>
    </row>
    <row r="7600" spans="3:3" x14ac:dyDescent="0.35">
      <c r="C7600" s="2"/>
    </row>
    <row r="7601" spans="3:3" x14ac:dyDescent="0.35">
      <c r="C7601" s="2"/>
    </row>
    <row r="7602" spans="3:3" x14ac:dyDescent="0.35">
      <c r="C7602" s="2"/>
    </row>
    <row r="7603" spans="3:3" x14ac:dyDescent="0.35">
      <c r="C7603" s="2"/>
    </row>
    <row r="7604" spans="3:3" x14ac:dyDescent="0.35">
      <c r="C7604" s="2"/>
    </row>
    <row r="7605" spans="3:3" x14ac:dyDescent="0.35">
      <c r="C7605" s="2"/>
    </row>
    <row r="7606" spans="3:3" x14ac:dyDescent="0.35">
      <c r="C7606" s="2"/>
    </row>
    <row r="7607" spans="3:3" x14ac:dyDescent="0.35">
      <c r="C7607" s="2"/>
    </row>
    <row r="7608" spans="3:3" x14ac:dyDescent="0.35">
      <c r="C7608" s="2"/>
    </row>
    <row r="7609" spans="3:3" x14ac:dyDescent="0.35">
      <c r="C7609" s="2"/>
    </row>
    <row r="7610" spans="3:3" x14ac:dyDescent="0.35">
      <c r="C7610" s="2"/>
    </row>
    <row r="7611" spans="3:3" x14ac:dyDescent="0.35">
      <c r="C7611" s="2"/>
    </row>
    <row r="7612" spans="3:3" x14ac:dyDescent="0.35">
      <c r="C7612" s="2"/>
    </row>
    <row r="7613" spans="3:3" x14ac:dyDescent="0.35">
      <c r="C7613" s="2"/>
    </row>
    <row r="7614" spans="3:3" x14ac:dyDescent="0.35">
      <c r="C7614" s="2"/>
    </row>
    <row r="7615" spans="3:3" x14ac:dyDescent="0.35">
      <c r="C7615" s="2"/>
    </row>
    <row r="7616" spans="3:3" x14ac:dyDescent="0.35">
      <c r="C7616" s="2"/>
    </row>
    <row r="7617" spans="3:3" x14ac:dyDescent="0.35">
      <c r="C7617" s="2"/>
    </row>
    <row r="7618" spans="3:3" x14ac:dyDescent="0.35">
      <c r="C7618" s="2"/>
    </row>
    <row r="7619" spans="3:3" x14ac:dyDescent="0.35">
      <c r="C7619" s="2"/>
    </row>
    <row r="7620" spans="3:3" x14ac:dyDescent="0.35">
      <c r="C7620" s="2"/>
    </row>
    <row r="7621" spans="3:3" x14ac:dyDescent="0.35">
      <c r="C7621" s="2"/>
    </row>
    <row r="7622" spans="3:3" x14ac:dyDescent="0.35">
      <c r="C7622" s="2"/>
    </row>
    <row r="7623" spans="3:3" x14ac:dyDescent="0.35">
      <c r="C7623" s="2"/>
    </row>
    <row r="7624" spans="3:3" x14ac:dyDescent="0.35">
      <c r="C7624" s="2"/>
    </row>
    <row r="7625" spans="3:3" x14ac:dyDescent="0.35">
      <c r="C7625" s="2"/>
    </row>
    <row r="7626" spans="3:3" x14ac:dyDescent="0.35">
      <c r="C7626" s="2"/>
    </row>
    <row r="7627" spans="3:3" x14ac:dyDescent="0.35">
      <c r="C7627" s="2"/>
    </row>
    <row r="7628" spans="3:3" x14ac:dyDescent="0.35">
      <c r="C7628" s="2"/>
    </row>
    <row r="7629" spans="3:3" x14ac:dyDescent="0.35">
      <c r="C7629" s="2"/>
    </row>
    <row r="7630" spans="3:3" x14ac:dyDescent="0.35">
      <c r="C7630" s="2"/>
    </row>
    <row r="7631" spans="3:3" x14ac:dyDescent="0.35">
      <c r="C7631" s="2"/>
    </row>
    <row r="7632" spans="3:3" x14ac:dyDescent="0.35">
      <c r="C7632" s="2"/>
    </row>
    <row r="7633" spans="3:3" x14ac:dyDescent="0.35">
      <c r="C7633" s="2"/>
    </row>
    <row r="7634" spans="3:3" x14ac:dyDescent="0.35">
      <c r="C7634" s="2"/>
    </row>
    <row r="7635" spans="3:3" x14ac:dyDescent="0.35">
      <c r="C7635" s="2"/>
    </row>
    <row r="7636" spans="3:3" x14ac:dyDescent="0.35">
      <c r="C7636" s="2"/>
    </row>
    <row r="7637" spans="3:3" x14ac:dyDescent="0.35">
      <c r="C7637" s="2"/>
    </row>
    <row r="7638" spans="3:3" x14ac:dyDescent="0.35">
      <c r="C7638" s="2"/>
    </row>
    <row r="7639" spans="3:3" x14ac:dyDescent="0.35">
      <c r="C7639" s="2"/>
    </row>
    <row r="7640" spans="3:3" x14ac:dyDescent="0.35">
      <c r="C7640" s="2"/>
    </row>
    <row r="7641" spans="3:3" x14ac:dyDescent="0.35">
      <c r="C7641" s="2"/>
    </row>
    <row r="7642" spans="3:3" x14ac:dyDescent="0.35">
      <c r="C7642" s="2"/>
    </row>
    <row r="7643" spans="3:3" x14ac:dyDescent="0.35">
      <c r="C7643" s="2"/>
    </row>
    <row r="7644" spans="3:3" x14ac:dyDescent="0.35">
      <c r="C7644" s="2"/>
    </row>
    <row r="7645" spans="3:3" x14ac:dyDescent="0.35">
      <c r="C7645" s="2"/>
    </row>
    <row r="7646" spans="3:3" x14ac:dyDescent="0.35">
      <c r="C7646" s="2"/>
    </row>
    <row r="7647" spans="3:3" x14ac:dyDescent="0.35">
      <c r="C7647" s="2"/>
    </row>
    <row r="7648" spans="3:3" x14ac:dyDescent="0.35">
      <c r="C7648" s="2"/>
    </row>
    <row r="7649" spans="3:3" x14ac:dyDescent="0.35">
      <c r="C7649" s="2"/>
    </row>
    <row r="7650" spans="3:3" x14ac:dyDescent="0.35">
      <c r="C7650" s="2"/>
    </row>
    <row r="7651" spans="3:3" x14ac:dyDescent="0.35">
      <c r="C7651" s="2"/>
    </row>
    <row r="7652" spans="3:3" x14ac:dyDescent="0.35">
      <c r="C7652" s="2"/>
    </row>
    <row r="7653" spans="3:3" x14ac:dyDescent="0.35">
      <c r="C7653" s="2"/>
    </row>
    <row r="7654" spans="3:3" x14ac:dyDescent="0.35">
      <c r="C7654" s="2"/>
    </row>
    <row r="7655" spans="3:3" x14ac:dyDescent="0.35">
      <c r="C7655" s="2"/>
    </row>
    <row r="7656" spans="3:3" x14ac:dyDescent="0.35">
      <c r="C7656" s="2"/>
    </row>
    <row r="7657" spans="3:3" x14ac:dyDescent="0.35">
      <c r="C7657" s="2"/>
    </row>
    <row r="7658" spans="3:3" x14ac:dyDescent="0.35">
      <c r="C7658" s="2"/>
    </row>
    <row r="7659" spans="3:3" x14ac:dyDescent="0.35">
      <c r="C7659" s="2"/>
    </row>
    <row r="7660" spans="3:3" x14ac:dyDescent="0.35">
      <c r="C7660" s="2"/>
    </row>
    <row r="7661" spans="3:3" x14ac:dyDescent="0.35">
      <c r="C7661" s="2"/>
    </row>
    <row r="7662" spans="3:3" x14ac:dyDescent="0.35">
      <c r="C7662" s="2"/>
    </row>
    <row r="7663" spans="3:3" x14ac:dyDescent="0.35">
      <c r="C7663" s="2"/>
    </row>
    <row r="7664" spans="3:3" x14ac:dyDescent="0.35">
      <c r="C7664" s="2"/>
    </row>
    <row r="7665" spans="3:3" x14ac:dyDescent="0.35">
      <c r="C7665" s="2"/>
    </row>
    <row r="7666" spans="3:3" x14ac:dyDescent="0.35">
      <c r="C7666" s="2"/>
    </row>
    <row r="7667" spans="3:3" x14ac:dyDescent="0.35">
      <c r="C7667" s="2"/>
    </row>
    <row r="7668" spans="3:3" x14ac:dyDescent="0.35">
      <c r="C7668" s="2"/>
    </row>
    <row r="7669" spans="3:3" x14ac:dyDescent="0.35">
      <c r="C7669" s="2"/>
    </row>
    <row r="7670" spans="3:3" x14ac:dyDescent="0.35">
      <c r="C7670" s="2"/>
    </row>
    <row r="7671" spans="3:3" x14ac:dyDescent="0.35">
      <c r="C7671" s="2"/>
    </row>
    <row r="7672" spans="3:3" x14ac:dyDescent="0.35">
      <c r="C7672" s="2"/>
    </row>
    <row r="7673" spans="3:3" x14ac:dyDescent="0.35">
      <c r="C7673" s="2"/>
    </row>
    <row r="7674" spans="3:3" x14ac:dyDescent="0.35">
      <c r="C7674" s="2"/>
    </row>
    <row r="7675" spans="3:3" x14ac:dyDescent="0.35">
      <c r="C7675" s="2"/>
    </row>
    <row r="7676" spans="3:3" x14ac:dyDescent="0.35">
      <c r="C7676" s="2"/>
    </row>
    <row r="7677" spans="3:3" x14ac:dyDescent="0.35">
      <c r="C7677" s="2"/>
    </row>
    <row r="7678" spans="3:3" x14ac:dyDescent="0.35">
      <c r="C7678" s="2"/>
    </row>
    <row r="7679" spans="3:3" x14ac:dyDescent="0.35">
      <c r="C7679" s="2"/>
    </row>
    <row r="7680" spans="3:3" x14ac:dyDescent="0.35">
      <c r="C7680" s="2"/>
    </row>
    <row r="7681" spans="3:3" x14ac:dyDescent="0.35">
      <c r="C7681" s="2"/>
    </row>
    <row r="7682" spans="3:3" x14ac:dyDescent="0.35">
      <c r="C7682" s="2"/>
    </row>
    <row r="7683" spans="3:3" x14ac:dyDescent="0.35">
      <c r="C7683" s="2"/>
    </row>
    <row r="7684" spans="3:3" x14ac:dyDescent="0.35">
      <c r="C7684" s="2"/>
    </row>
    <row r="7685" spans="3:3" x14ac:dyDescent="0.35">
      <c r="C7685" s="2"/>
    </row>
    <row r="7686" spans="3:3" x14ac:dyDescent="0.35">
      <c r="C7686" s="2"/>
    </row>
    <row r="7687" spans="3:3" x14ac:dyDescent="0.35">
      <c r="C7687" s="2"/>
    </row>
    <row r="7688" spans="3:3" x14ac:dyDescent="0.35">
      <c r="C7688" s="2"/>
    </row>
    <row r="7689" spans="3:3" x14ac:dyDescent="0.35">
      <c r="C7689" s="2"/>
    </row>
    <row r="7690" spans="3:3" x14ac:dyDescent="0.35">
      <c r="C7690" s="2"/>
    </row>
    <row r="7691" spans="3:3" x14ac:dyDescent="0.35">
      <c r="C7691" s="2"/>
    </row>
    <row r="7692" spans="3:3" x14ac:dyDescent="0.35">
      <c r="C7692" s="2"/>
    </row>
    <row r="7693" spans="3:3" x14ac:dyDescent="0.35">
      <c r="C7693" s="2"/>
    </row>
    <row r="7694" spans="3:3" x14ac:dyDescent="0.35">
      <c r="C7694" s="2"/>
    </row>
    <row r="7695" spans="3:3" x14ac:dyDescent="0.35">
      <c r="C7695" s="2"/>
    </row>
    <row r="7696" spans="3:3" x14ac:dyDescent="0.35">
      <c r="C7696" s="2"/>
    </row>
    <row r="7697" spans="3:3" x14ac:dyDescent="0.35">
      <c r="C7697" s="2"/>
    </row>
    <row r="7698" spans="3:3" x14ac:dyDescent="0.35">
      <c r="C7698" s="2"/>
    </row>
    <row r="7699" spans="3:3" x14ac:dyDescent="0.35">
      <c r="C7699" s="2"/>
    </row>
    <row r="7700" spans="3:3" x14ac:dyDescent="0.35">
      <c r="C7700" s="2"/>
    </row>
    <row r="7701" spans="3:3" x14ac:dyDescent="0.35">
      <c r="C7701" s="2"/>
    </row>
    <row r="7702" spans="3:3" x14ac:dyDescent="0.35">
      <c r="C7702" s="2"/>
    </row>
    <row r="7703" spans="3:3" x14ac:dyDescent="0.35">
      <c r="C7703" s="2"/>
    </row>
    <row r="7704" spans="3:3" x14ac:dyDescent="0.35">
      <c r="C7704" s="2"/>
    </row>
    <row r="7705" spans="3:3" x14ac:dyDescent="0.35">
      <c r="C7705" s="2"/>
    </row>
    <row r="7706" spans="3:3" x14ac:dyDescent="0.35">
      <c r="C7706" s="2"/>
    </row>
    <row r="7707" spans="3:3" x14ac:dyDescent="0.35">
      <c r="C7707" s="2"/>
    </row>
    <row r="7708" spans="3:3" x14ac:dyDescent="0.35">
      <c r="C7708" s="2"/>
    </row>
    <row r="7709" spans="3:3" x14ac:dyDescent="0.35">
      <c r="C7709" s="2"/>
    </row>
    <row r="7710" spans="3:3" x14ac:dyDescent="0.35">
      <c r="C7710" s="2"/>
    </row>
    <row r="7711" spans="3:3" x14ac:dyDescent="0.35">
      <c r="C7711" s="2"/>
    </row>
    <row r="7712" spans="3:3" x14ac:dyDescent="0.35">
      <c r="C7712" s="2"/>
    </row>
    <row r="7713" spans="3:3" x14ac:dyDescent="0.35">
      <c r="C7713" s="2"/>
    </row>
    <row r="7714" spans="3:3" x14ac:dyDescent="0.35">
      <c r="C7714" s="2"/>
    </row>
    <row r="7715" spans="3:3" x14ac:dyDescent="0.35">
      <c r="C7715" s="2"/>
    </row>
    <row r="7716" spans="3:3" x14ac:dyDescent="0.35">
      <c r="C7716" s="2"/>
    </row>
    <row r="7717" spans="3:3" x14ac:dyDescent="0.35">
      <c r="C7717" s="2"/>
    </row>
    <row r="7718" spans="3:3" x14ac:dyDescent="0.35">
      <c r="C7718" s="2"/>
    </row>
    <row r="7719" spans="3:3" x14ac:dyDescent="0.35">
      <c r="C7719" s="2"/>
    </row>
    <row r="7720" spans="3:3" x14ac:dyDescent="0.35">
      <c r="C7720" s="2"/>
    </row>
    <row r="7721" spans="3:3" x14ac:dyDescent="0.35">
      <c r="C7721" s="2"/>
    </row>
    <row r="7722" spans="3:3" x14ac:dyDescent="0.35">
      <c r="C7722" s="2"/>
    </row>
    <row r="7723" spans="3:3" x14ac:dyDescent="0.35">
      <c r="C7723" s="2"/>
    </row>
    <row r="7724" spans="3:3" x14ac:dyDescent="0.35">
      <c r="C7724" s="2"/>
    </row>
    <row r="7725" spans="3:3" x14ac:dyDescent="0.35">
      <c r="C7725" s="2"/>
    </row>
    <row r="7726" spans="3:3" x14ac:dyDescent="0.35">
      <c r="C7726" s="2"/>
    </row>
    <row r="7727" spans="3:3" x14ac:dyDescent="0.35">
      <c r="C7727" s="2"/>
    </row>
    <row r="7728" spans="3:3" x14ac:dyDescent="0.35">
      <c r="C7728" s="2"/>
    </row>
    <row r="7729" spans="3:3" x14ac:dyDescent="0.35">
      <c r="C7729" s="2"/>
    </row>
    <row r="7730" spans="3:3" x14ac:dyDescent="0.35">
      <c r="C7730" s="2"/>
    </row>
    <row r="7731" spans="3:3" x14ac:dyDescent="0.35">
      <c r="C7731" s="2"/>
    </row>
    <row r="7732" spans="3:3" x14ac:dyDescent="0.35">
      <c r="C7732" s="2"/>
    </row>
    <row r="7733" spans="3:3" x14ac:dyDescent="0.35">
      <c r="C7733" s="2"/>
    </row>
    <row r="7734" spans="3:3" x14ac:dyDescent="0.35">
      <c r="C7734" s="2"/>
    </row>
    <row r="7735" spans="3:3" x14ac:dyDescent="0.35">
      <c r="C7735" s="2"/>
    </row>
    <row r="7736" spans="3:3" x14ac:dyDescent="0.35">
      <c r="C7736" s="2"/>
    </row>
    <row r="7737" spans="3:3" x14ac:dyDescent="0.35">
      <c r="C7737" s="2"/>
    </row>
    <row r="7738" spans="3:3" x14ac:dyDescent="0.35">
      <c r="C7738" s="2"/>
    </row>
    <row r="7739" spans="3:3" x14ac:dyDescent="0.35">
      <c r="C7739" s="2"/>
    </row>
    <row r="7740" spans="3:3" x14ac:dyDescent="0.35">
      <c r="C7740" s="2"/>
    </row>
    <row r="7741" spans="3:3" x14ac:dyDescent="0.35">
      <c r="C7741" s="2"/>
    </row>
    <row r="7742" spans="3:3" x14ac:dyDescent="0.35">
      <c r="C7742" s="2"/>
    </row>
    <row r="7743" spans="3:3" x14ac:dyDescent="0.35">
      <c r="C7743" s="2"/>
    </row>
    <row r="7744" spans="3:3" x14ac:dyDescent="0.35">
      <c r="C7744" s="2"/>
    </row>
    <row r="7745" spans="3:3" x14ac:dyDescent="0.35">
      <c r="C7745" s="2"/>
    </row>
    <row r="7746" spans="3:3" x14ac:dyDescent="0.35">
      <c r="C7746" s="2"/>
    </row>
    <row r="7747" spans="3:3" x14ac:dyDescent="0.35">
      <c r="C7747" s="2"/>
    </row>
    <row r="7748" spans="3:3" x14ac:dyDescent="0.35">
      <c r="C7748" s="2"/>
    </row>
    <row r="7749" spans="3:3" x14ac:dyDescent="0.35">
      <c r="C7749" s="2"/>
    </row>
    <row r="7750" spans="3:3" x14ac:dyDescent="0.35">
      <c r="C7750" s="2"/>
    </row>
    <row r="7751" spans="3:3" x14ac:dyDescent="0.35">
      <c r="C7751" s="2"/>
    </row>
    <row r="7752" spans="3:3" x14ac:dyDescent="0.35">
      <c r="C7752" s="2"/>
    </row>
    <row r="7753" spans="3:3" x14ac:dyDescent="0.35">
      <c r="C7753" s="2"/>
    </row>
    <row r="7754" spans="3:3" x14ac:dyDescent="0.35">
      <c r="C7754" s="2"/>
    </row>
    <row r="7755" spans="3:3" x14ac:dyDescent="0.35">
      <c r="C7755" s="2"/>
    </row>
    <row r="7756" spans="3:3" x14ac:dyDescent="0.35">
      <c r="C7756" s="2"/>
    </row>
    <row r="7757" spans="3:3" x14ac:dyDescent="0.35">
      <c r="C7757" s="2"/>
    </row>
    <row r="7758" spans="3:3" x14ac:dyDescent="0.35">
      <c r="C7758" s="2"/>
    </row>
    <row r="7759" spans="3:3" x14ac:dyDescent="0.35">
      <c r="C7759" s="2"/>
    </row>
    <row r="7760" spans="3:3" x14ac:dyDescent="0.35">
      <c r="C7760" s="2"/>
    </row>
    <row r="7761" spans="3:3" x14ac:dyDescent="0.35">
      <c r="C7761" s="2"/>
    </row>
    <row r="7762" spans="3:3" x14ac:dyDescent="0.35">
      <c r="C7762" s="2"/>
    </row>
    <row r="7763" spans="3:3" x14ac:dyDescent="0.35">
      <c r="C7763" s="2"/>
    </row>
    <row r="7764" spans="3:3" x14ac:dyDescent="0.35">
      <c r="C7764" s="2"/>
    </row>
    <row r="7765" spans="3:3" x14ac:dyDescent="0.35">
      <c r="C7765" s="2"/>
    </row>
    <row r="7766" spans="3:3" x14ac:dyDescent="0.35">
      <c r="C7766" s="2"/>
    </row>
    <row r="7767" spans="3:3" x14ac:dyDescent="0.35">
      <c r="C7767" s="2"/>
    </row>
    <row r="7768" spans="3:3" x14ac:dyDescent="0.35">
      <c r="C7768" s="2"/>
    </row>
    <row r="7769" spans="3:3" x14ac:dyDescent="0.35">
      <c r="C7769" s="2"/>
    </row>
    <row r="7770" spans="3:3" x14ac:dyDescent="0.35">
      <c r="C7770" s="2"/>
    </row>
    <row r="7771" spans="3:3" x14ac:dyDescent="0.35">
      <c r="C7771" s="2"/>
    </row>
    <row r="7772" spans="3:3" x14ac:dyDescent="0.35">
      <c r="C7772" s="2"/>
    </row>
    <row r="7773" spans="3:3" x14ac:dyDescent="0.35">
      <c r="C7773" s="2"/>
    </row>
    <row r="7774" spans="3:3" x14ac:dyDescent="0.35">
      <c r="C7774" s="2"/>
    </row>
    <row r="7775" spans="3:3" x14ac:dyDescent="0.35">
      <c r="C7775" s="2"/>
    </row>
    <row r="7776" spans="3:3" x14ac:dyDescent="0.35">
      <c r="C7776" s="2"/>
    </row>
    <row r="7777" spans="3:3" x14ac:dyDescent="0.35">
      <c r="C7777" s="2"/>
    </row>
    <row r="7778" spans="3:3" x14ac:dyDescent="0.35">
      <c r="C7778" s="2"/>
    </row>
    <row r="7779" spans="3:3" x14ac:dyDescent="0.35">
      <c r="C7779" s="2"/>
    </row>
    <row r="7780" spans="3:3" x14ac:dyDescent="0.35">
      <c r="C7780" s="2"/>
    </row>
    <row r="7781" spans="3:3" x14ac:dyDescent="0.35">
      <c r="C7781" s="2"/>
    </row>
    <row r="7782" spans="3:3" x14ac:dyDescent="0.35">
      <c r="C7782" s="2"/>
    </row>
    <row r="7783" spans="3:3" x14ac:dyDescent="0.35">
      <c r="C7783" s="2"/>
    </row>
    <row r="7784" spans="3:3" x14ac:dyDescent="0.35">
      <c r="C7784" s="2"/>
    </row>
    <row r="7785" spans="3:3" x14ac:dyDescent="0.35">
      <c r="C7785" s="2"/>
    </row>
    <row r="7786" spans="3:3" x14ac:dyDescent="0.35">
      <c r="C7786" s="2"/>
    </row>
    <row r="7787" spans="3:3" x14ac:dyDescent="0.35">
      <c r="C7787" s="2"/>
    </row>
    <row r="7788" spans="3:3" x14ac:dyDescent="0.35">
      <c r="C7788" s="2"/>
    </row>
    <row r="7789" spans="3:3" x14ac:dyDescent="0.35">
      <c r="C7789" s="2"/>
    </row>
    <row r="7790" spans="3:3" x14ac:dyDescent="0.35">
      <c r="C7790" s="2"/>
    </row>
    <row r="7791" spans="3:3" x14ac:dyDescent="0.35">
      <c r="C7791" s="2"/>
    </row>
    <row r="7792" spans="3:3" x14ac:dyDescent="0.35">
      <c r="C7792" s="2"/>
    </row>
    <row r="7793" spans="3:3" x14ac:dyDescent="0.35">
      <c r="C7793" s="2"/>
    </row>
    <row r="7794" spans="3:3" x14ac:dyDescent="0.35">
      <c r="C7794" s="2"/>
    </row>
    <row r="7795" spans="3:3" x14ac:dyDescent="0.35">
      <c r="C7795" s="2"/>
    </row>
    <row r="7796" spans="3:3" x14ac:dyDescent="0.35">
      <c r="C7796" s="2"/>
    </row>
    <row r="7797" spans="3:3" x14ac:dyDescent="0.35">
      <c r="C7797" s="2"/>
    </row>
    <row r="7798" spans="3:3" x14ac:dyDescent="0.35">
      <c r="C7798" s="2"/>
    </row>
    <row r="7799" spans="3:3" x14ac:dyDescent="0.35">
      <c r="C7799" s="2"/>
    </row>
    <row r="7800" spans="3:3" x14ac:dyDescent="0.35">
      <c r="C7800" s="2"/>
    </row>
    <row r="7801" spans="3:3" x14ac:dyDescent="0.35">
      <c r="C7801" s="2"/>
    </row>
    <row r="7802" spans="3:3" x14ac:dyDescent="0.35">
      <c r="C7802" s="2"/>
    </row>
    <row r="7803" spans="3:3" x14ac:dyDescent="0.35">
      <c r="C7803" s="2"/>
    </row>
    <row r="7804" spans="3:3" x14ac:dyDescent="0.35">
      <c r="C7804" s="2"/>
    </row>
    <row r="7805" spans="3:3" x14ac:dyDescent="0.35">
      <c r="C7805" s="2"/>
    </row>
    <row r="7806" spans="3:3" x14ac:dyDescent="0.35">
      <c r="C7806" s="2"/>
    </row>
    <row r="7807" spans="3:3" x14ac:dyDescent="0.35">
      <c r="C7807" s="2"/>
    </row>
    <row r="7808" spans="3:3" x14ac:dyDescent="0.35">
      <c r="C7808" s="2"/>
    </row>
    <row r="7809" spans="3:3" x14ac:dyDescent="0.35">
      <c r="C7809" s="2"/>
    </row>
    <row r="7810" spans="3:3" x14ac:dyDescent="0.35">
      <c r="C7810" s="2"/>
    </row>
    <row r="7811" spans="3:3" x14ac:dyDescent="0.35">
      <c r="C7811" s="2"/>
    </row>
    <row r="7812" spans="3:3" x14ac:dyDescent="0.35">
      <c r="C7812" s="2"/>
    </row>
    <row r="7813" spans="3:3" x14ac:dyDescent="0.35">
      <c r="C7813" s="2"/>
    </row>
    <row r="7814" spans="3:3" x14ac:dyDescent="0.35">
      <c r="C7814" s="2"/>
    </row>
    <row r="7815" spans="3:3" x14ac:dyDescent="0.35">
      <c r="C7815" s="2"/>
    </row>
    <row r="7816" spans="3:3" x14ac:dyDescent="0.35">
      <c r="C7816" s="2"/>
    </row>
    <row r="7817" spans="3:3" x14ac:dyDescent="0.35">
      <c r="C7817" s="2"/>
    </row>
    <row r="7818" spans="3:3" x14ac:dyDescent="0.35">
      <c r="C7818" s="2"/>
    </row>
    <row r="7819" spans="3:3" x14ac:dyDescent="0.35">
      <c r="C7819" s="2"/>
    </row>
    <row r="7820" spans="3:3" x14ac:dyDescent="0.35">
      <c r="C7820" s="2"/>
    </row>
    <row r="7821" spans="3:3" x14ac:dyDescent="0.35">
      <c r="C7821" s="2"/>
    </row>
    <row r="7822" spans="3:3" x14ac:dyDescent="0.35">
      <c r="C7822" s="2"/>
    </row>
    <row r="7823" spans="3:3" x14ac:dyDescent="0.35">
      <c r="C7823" s="2"/>
    </row>
    <row r="7824" spans="3:3" x14ac:dyDescent="0.35">
      <c r="C7824" s="2"/>
    </row>
    <row r="7825" spans="3:3" x14ac:dyDescent="0.35">
      <c r="C7825" s="2"/>
    </row>
    <row r="7826" spans="3:3" x14ac:dyDescent="0.35">
      <c r="C7826" s="2"/>
    </row>
    <row r="7827" spans="3:3" x14ac:dyDescent="0.35">
      <c r="C7827" s="2"/>
    </row>
    <row r="7828" spans="3:3" x14ac:dyDescent="0.35">
      <c r="C7828" s="2"/>
    </row>
    <row r="7829" spans="3:3" x14ac:dyDescent="0.35">
      <c r="C7829" s="2"/>
    </row>
    <row r="7830" spans="3:3" x14ac:dyDescent="0.35">
      <c r="C7830" s="2"/>
    </row>
    <row r="7831" spans="3:3" x14ac:dyDescent="0.35">
      <c r="C7831" s="2"/>
    </row>
    <row r="7832" spans="3:3" x14ac:dyDescent="0.35">
      <c r="C7832" s="2"/>
    </row>
    <row r="7833" spans="3:3" x14ac:dyDescent="0.35">
      <c r="C7833" s="2"/>
    </row>
    <row r="7834" spans="3:3" x14ac:dyDescent="0.35">
      <c r="C7834" s="2"/>
    </row>
    <row r="7835" spans="3:3" x14ac:dyDescent="0.35">
      <c r="C7835" s="2"/>
    </row>
    <row r="7836" spans="3:3" x14ac:dyDescent="0.35">
      <c r="C7836" s="2"/>
    </row>
    <row r="7837" spans="3:3" x14ac:dyDescent="0.35">
      <c r="C7837" s="2"/>
    </row>
    <row r="7838" spans="3:3" x14ac:dyDescent="0.35">
      <c r="C7838" s="2"/>
    </row>
    <row r="7839" spans="3:3" x14ac:dyDescent="0.35">
      <c r="C7839" s="2"/>
    </row>
    <row r="7840" spans="3:3" x14ac:dyDescent="0.35">
      <c r="C7840" s="2"/>
    </row>
    <row r="7841" spans="3:3" x14ac:dyDescent="0.35">
      <c r="C7841" s="2"/>
    </row>
    <row r="7842" spans="3:3" x14ac:dyDescent="0.35">
      <c r="C7842" s="2"/>
    </row>
    <row r="7843" spans="3:3" x14ac:dyDescent="0.35">
      <c r="C7843" s="2"/>
    </row>
    <row r="7844" spans="3:3" x14ac:dyDescent="0.35">
      <c r="C7844" s="2"/>
    </row>
    <row r="7845" spans="3:3" x14ac:dyDescent="0.35">
      <c r="C7845" s="2"/>
    </row>
    <row r="7846" spans="3:3" x14ac:dyDescent="0.35">
      <c r="C7846" s="2"/>
    </row>
    <row r="7847" spans="3:3" x14ac:dyDescent="0.35">
      <c r="C7847" s="2"/>
    </row>
    <row r="7848" spans="3:3" x14ac:dyDescent="0.35">
      <c r="C7848" s="2"/>
    </row>
    <row r="7849" spans="3:3" x14ac:dyDescent="0.35">
      <c r="C7849" s="2"/>
    </row>
    <row r="7850" spans="3:3" x14ac:dyDescent="0.35">
      <c r="C7850" s="2"/>
    </row>
    <row r="7851" spans="3:3" x14ac:dyDescent="0.35">
      <c r="C7851" s="2"/>
    </row>
    <row r="7852" spans="3:3" x14ac:dyDescent="0.35">
      <c r="C7852" s="2"/>
    </row>
    <row r="7853" spans="3:3" x14ac:dyDescent="0.35">
      <c r="C7853" s="2"/>
    </row>
    <row r="7854" spans="3:3" x14ac:dyDescent="0.35">
      <c r="C7854" s="2"/>
    </row>
    <row r="7855" spans="3:3" x14ac:dyDescent="0.35">
      <c r="C7855" s="2"/>
    </row>
    <row r="7856" spans="3:3" x14ac:dyDescent="0.35">
      <c r="C7856" s="2"/>
    </row>
    <row r="7857" spans="3:3" x14ac:dyDescent="0.35">
      <c r="C7857" s="2"/>
    </row>
    <row r="7858" spans="3:3" x14ac:dyDescent="0.35">
      <c r="C7858" s="2"/>
    </row>
    <row r="7859" spans="3:3" x14ac:dyDescent="0.35">
      <c r="C7859" s="2"/>
    </row>
    <row r="7860" spans="3:3" x14ac:dyDescent="0.35">
      <c r="C7860" s="2"/>
    </row>
    <row r="7861" spans="3:3" x14ac:dyDescent="0.35">
      <c r="C7861" s="2"/>
    </row>
    <row r="7862" spans="3:3" x14ac:dyDescent="0.35">
      <c r="C7862" s="2"/>
    </row>
    <row r="7863" spans="3:3" x14ac:dyDescent="0.35">
      <c r="C7863" s="2"/>
    </row>
    <row r="7864" spans="3:3" x14ac:dyDescent="0.35">
      <c r="C7864" s="2"/>
    </row>
    <row r="7865" spans="3:3" x14ac:dyDescent="0.35">
      <c r="C7865" s="2"/>
    </row>
    <row r="7866" spans="3:3" x14ac:dyDescent="0.35">
      <c r="C7866" s="2"/>
    </row>
    <row r="7867" spans="3:3" x14ac:dyDescent="0.35">
      <c r="C7867" s="2"/>
    </row>
    <row r="7868" spans="3:3" x14ac:dyDescent="0.35">
      <c r="C7868" s="2"/>
    </row>
    <row r="7869" spans="3:3" x14ac:dyDescent="0.35">
      <c r="C7869" s="2"/>
    </row>
    <row r="7870" spans="3:3" x14ac:dyDescent="0.35">
      <c r="C7870" s="2"/>
    </row>
    <row r="7871" spans="3:3" x14ac:dyDescent="0.35">
      <c r="C7871" s="2"/>
    </row>
    <row r="7872" spans="3:3" x14ac:dyDescent="0.35">
      <c r="C7872" s="2"/>
    </row>
    <row r="7873" spans="3:3" x14ac:dyDescent="0.35">
      <c r="C7873" s="2"/>
    </row>
    <row r="7874" spans="3:3" x14ac:dyDescent="0.35">
      <c r="C7874" s="2"/>
    </row>
    <row r="7875" spans="3:3" x14ac:dyDescent="0.35">
      <c r="C7875" s="2"/>
    </row>
    <row r="7876" spans="3:3" x14ac:dyDescent="0.35">
      <c r="C7876" s="2"/>
    </row>
    <row r="7877" spans="3:3" x14ac:dyDescent="0.35">
      <c r="C7877" s="2"/>
    </row>
    <row r="7878" spans="3:3" x14ac:dyDescent="0.35">
      <c r="C7878" s="2"/>
    </row>
    <row r="7879" spans="3:3" x14ac:dyDescent="0.35">
      <c r="C7879" s="2"/>
    </row>
    <row r="7880" spans="3:3" x14ac:dyDescent="0.35">
      <c r="C7880" s="2"/>
    </row>
    <row r="7881" spans="3:3" x14ac:dyDescent="0.35">
      <c r="C7881" s="2"/>
    </row>
    <row r="7882" spans="3:3" x14ac:dyDescent="0.35">
      <c r="C7882" s="2"/>
    </row>
    <row r="7883" spans="3:3" x14ac:dyDescent="0.35">
      <c r="C7883" s="2"/>
    </row>
    <row r="7884" spans="3:3" x14ac:dyDescent="0.35">
      <c r="C7884" s="2"/>
    </row>
    <row r="7885" spans="3:3" x14ac:dyDescent="0.35">
      <c r="C7885" s="2"/>
    </row>
    <row r="7886" spans="3:3" x14ac:dyDescent="0.35">
      <c r="C7886" s="2"/>
    </row>
    <row r="7887" spans="3:3" x14ac:dyDescent="0.35">
      <c r="C7887" s="2"/>
    </row>
    <row r="7888" spans="3:3" x14ac:dyDescent="0.35">
      <c r="C7888" s="2"/>
    </row>
    <row r="7889" spans="3:3" x14ac:dyDescent="0.35">
      <c r="C7889" s="2"/>
    </row>
    <row r="7890" spans="3:3" x14ac:dyDescent="0.35">
      <c r="C7890" s="2"/>
    </row>
    <row r="7891" spans="3:3" x14ac:dyDescent="0.35">
      <c r="C7891" s="2"/>
    </row>
    <row r="7892" spans="3:3" x14ac:dyDescent="0.35">
      <c r="C7892" s="2"/>
    </row>
    <row r="7893" spans="3:3" x14ac:dyDescent="0.35">
      <c r="C7893" s="2"/>
    </row>
    <row r="7894" spans="3:3" x14ac:dyDescent="0.35">
      <c r="C7894" s="2"/>
    </row>
    <row r="7895" spans="3:3" x14ac:dyDescent="0.35">
      <c r="C7895" s="2"/>
    </row>
    <row r="7896" spans="3:3" x14ac:dyDescent="0.35">
      <c r="C7896" s="2"/>
    </row>
    <row r="7897" spans="3:3" x14ac:dyDescent="0.35">
      <c r="C7897" s="2"/>
    </row>
    <row r="7898" spans="3:3" x14ac:dyDescent="0.35">
      <c r="C7898" s="2"/>
    </row>
    <row r="7899" spans="3:3" x14ac:dyDescent="0.35">
      <c r="C7899" s="2"/>
    </row>
    <row r="7900" spans="3:3" x14ac:dyDescent="0.35">
      <c r="C7900" s="2"/>
    </row>
    <row r="7901" spans="3:3" x14ac:dyDescent="0.35">
      <c r="C7901" s="2"/>
    </row>
    <row r="7902" spans="3:3" x14ac:dyDescent="0.35">
      <c r="C7902" s="2"/>
    </row>
    <row r="7903" spans="3:3" x14ac:dyDescent="0.35">
      <c r="C7903" s="2"/>
    </row>
    <row r="7904" spans="3:3" x14ac:dyDescent="0.35">
      <c r="C7904" s="2"/>
    </row>
    <row r="7905" spans="3:3" x14ac:dyDescent="0.35">
      <c r="C7905" s="2"/>
    </row>
    <row r="7906" spans="3:3" x14ac:dyDescent="0.35">
      <c r="C7906" s="2"/>
    </row>
    <row r="7907" spans="3:3" x14ac:dyDescent="0.35">
      <c r="C7907" s="2"/>
    </row>
    <row r="7908" spans="3:3" x14ac:dyDescent="0.35">
      <c r="C7908" s="2"/>
    </row>
    <row r="7909" spans="3:3" x14ac:dyDescent="0.35">
      <c r="C7909" s="2"/>
    </row>
    <row r="7910" spans="3:3" x14ac:dyDescent="0.35">
      <c r="C7910" s="2"/>
    </row>
    <row r="7911" spans="3:3" x14ac:dyDescent="0.35">
      <c r="C7911" s="2"/>
    </row>
    <row r="7912" spans="3:3" x14ac:dyDescent="0.35">
      <c r="C7912" s="2"/>
    </row>
    <row r="7913" spans="3:3" x14ac:dyDescent="0.35">
      <c r="C7913" s="2"/>
    </row>
    <row r="7914" spans="3:3" x14ac:dyDescent="0.35">
      <c r="C7914" s="2"/>
    </row>
    <row r="7915" spans="3:3" x14ac:dyDescent="0.35">
      <c r="C7915" s="2"/>
    </row>
    <row r="7916" spans="3:3" x14ac:dyDescent="0.35">
      <c r="C7916" s="2"/>
    </row>
    <row r="7917" spans="3:3" x14ac:dyDescent="0.35">
      <c r="C7917" s="2"/>
    </row>
    <row r="7918" spans="3:3" x14ac:dyDescent="0.35">
      <c r="C7918" s="2"/>
    </row>
    <row r="7919" spans="3:3" x14ac:dyDescent="0.35">
      <c r="C7919" s="2"/>
    </row>
    <row r="7920" spans="3:3" x14ac:dyDescent="0.35">
      <c r="C7920" s="2"/>
    </row>
    <row r="7921" spans="3:3" x14ac:dyDescent="0.35">
      <c r="C7921" s="2"/>
    </row>
    <row r="7922" spans="3:3" x14ac:dyDescent="0.35">
      <c r="C7922" s="2"/>
    </row>
    <row r="7923" spans="3:3" x14ac:dyDescent="0.35">
      <c r="C7923" s="2"/>
    </row>
    <row r="7924" spans="3:3" x14ac:dyDescent="0.35">
      <c r="C7924" s="2"/>
    </row>
    <row r="7925" spans="3:3" x14ac:dyDescent="0.35">
      <c r="C7925" s="2"/>
    </row>
    <row r="7926" spans="3:3" x14ac:dyDescent="0.35">
      <c r="C7926" s="2"/>
    </row>
    <row r="7927" spans="3:3" x14ac:dyDescent="0.35">
      <c r="C7927" s="2"/>
    </row>
    <row r="7928" spans="3:3" x14ac:dyDescent="0.35">
      <c r="C7928" s="2"/>
    </row>
    <row r="7929" spans="3:3" x14ac:dyDescent="0.35">
      <c r="C7929" s="2"/>
    </row>
    <row r="7930" spans="3:3" x14ac:dyDescent="0.35">
      <c r="C7930" s="2"/>
    </row>
    <row r="7931" spans="3:3" x14ac:dyDescent="0.35">
      <c r="C7931" s="2"/>
    </row>
    <row r="7932" spans="3:3" x14ac:dyDescent="0.35">
      <c r="C7932" s="2"/>
    </row>
    <row r="7933" spans="3:3" x14ac:dyDescent="0.35">
      <c r="C7933" s="2"/>
    </row>
    <row r="7934" spans="3:3" x14ac:dyDescent="0.35">
      <c r="C7934" s="2"/>
    </row>
    <row r="7935" spans="3:3" x14ac:dyDescent="0.35">
      <c r="C7935" s="2"/>
    </row>
    <row r="7936" spans="3:3" x14ac:dyDescent="0.35">
      <c r="C7936" s="2"/>
    </row>
    <row r="7937" spans="3:3" x14ac:dyDescent="0.35">
      <c r="C7937" s="2"/>
    </row>
    <row r="7938" spans="3:3" x14ac:dyDescent="0.35">
      <c r="C7938" s="2"/>
    </row>
    <row r="7939" spans="3:3" x14ac:dyDescent="0.35">
      <c r="C7939" s="2"/>
    </row>
    <row r="7940" spans="3:3" x14ac:dyDescent="0.35">
      <c r="C7940" s="2"/>
    </row>
    <row r="7941" spans="3:3" x14ac:dyDescent="0.35">
      <c r="C7941" s="2"/>
    </row>
    <row r="7942" spans="3:3" x14ac:dyDescent="0.35">
      <c r="C7942" s="2"/>
    </row>
    <row r="7943" spans="3:3" x14ac:dyDescent="0.35">
      <c r="C7943" s="2"/>
    </row>
    <row r="7944" spans="3:3" x14ac:dyDescent="0.35">
      <c r="C7944" s="2"/>
    </row>
    <row r="7945" spans="3:3" x14ac:dyDescent="0.35">
      <c r="C7945" s="2"/>
    </row>
    <row r="7946" spans="3:3" x14ac:dyDescent="0.35">
      <c r="C7946" s="2"/>
    </row>
    <row r="7947" spans="3:3" x14ac:dyDescent="0.35">
      <c r="C7947" s="2"/>
    </row>
    <row r="7948" spans="3:3" x14ac:dyDescent="0.35">
      <c r="C7948" s="2"/>
    </row>
    <row r="7949" spans="3:3" x14ac:dyDescent="0.35">
      <c r="C7949" s="2"/>
    </row>
    <row r="7950" spans="3:3" x14ac:dyDescent="0.35">
      <c r="C7950" s="2"/>
    </row>
    <row r="7951" spans="3:3" x14ac:dyDescent="0.35">
      <c r="C7951" s="2"/>
    </row>
    <row r="7952" spans="3:3" x14ac:dyDescent="0.35">
      <c r="C7952" s="2"/>
    </row>
    <row r="7953" spans="3:3" x14ac:dyDescent="0.35">
      <c r="C7953" s="2"/>
    </row>
    <row r="7954" spans="3:3" x14ac:dyDescent="0.35">
      <c r="C7954" s="2"/>
    </row>
    <row r="7955" spans="3:3" x14ac:dyDescent="0.35">
      <c r="C7955" s="2"/>
    </row>
    <row r="7956" spans="3:3" x14ac:dyDescent="0.35">
      <c r="C7956" s="2"/>
    </row>
    <row r="7957" spans="3:3" x14ac:dyDescent="0.35">
      <c r="C7957" s="2"/>
    </row>
    <row r="7958" spans="3:3" x14ac:dyDescent="0.35">
      <c r="C7958" s="2"/>
    </row>
    <row r="7959" spans="3:3" x14ac:dyDescent="0.35">
      <c r="C7959" s="2"/>
    </row>
    <row r="7960" spans="3:3" x14ac:dyDescent="0.35">
      <c r="C7960" s="2"/>
    </row>
    <row r="7961" spans="3:3" x14ac:dyDescent="0.35">
      <c r="C7961" s="2"/>
    </row>
    <row r="7962" spans="3:3" x14ac:dyDescent="0.35">
      <c r="C7962" s="2"/>
    </row>
    <row r="7963" spans="3:3" x14ac:dyDescent="0.35">
      <c r="C7963" s="2"/>
    </row>
    <row r="7964" spans="3:3" x14ac:dyDescent="0.35">
      <c r="C7964" s="2"/>
    </row>
    <row r="7965" spans="3:3" x14ac:dyDescent="0.35">
      <c r="C7965" s="2"/>
    </row>
    <row r="7966" spans="3:3" x14ac:dyDescent="0.35">
      <c r="C7966" s="2"/>
    </row>
    <row r="7967" spans="3:3" x14ac:dyDescent="0.35">
      <c r="C7967" s="2"/>
    </row>
    <row r="7968" spans="3:3" x14ac:dyDescent="0.35">
      <c r="C7968" s="2"/>
    </row>
    <row r="7969" spans="3:3" x14ac:dyDescent="0.35">
      <c r="C7969" s="2"/>
    </row>
    <row r="7970" spans="3:3" x14ac:dyDescent="0.35">
      <c r="C7970" s="2"/>
    </row>
    <row r="7971" spans="3:3" x14ac:dyDescent="0.35">
      <c r="C7971" s="2"/>
    </row>
    <row r="7972" spans="3:3" x14ac:dyDescent="0.35">
      <c r="C7972" s="2"/>
    </row>
    <row r="7973" spans="3:3" x14ac:dyDescent="0.35">
      <c r="C7973" s="2"/>
    </row>
    <row r="7974" spans="3:3" x14ac:dyDescent="0.35">
      <c r="C7974" s="2"/>
    </row>
    <row r="7975" spans="3:3" x14ac:dyDescent="0.35">
      <c r="C7975" s="2"/>
    </row>
    <row r="7976" spans="3:3" x14ac:dyDescent="0.35">
      <c r="C7976" s="2"/>
    </row>
    <row r="7977" spans="3:3" x14ac:dyDescent="0.35">
      <c r="C7977" s="2"/>
    </row>
    <row r="7978" spans="3:3" x14ac:dyDescent="0.35">
      <c r="C7978" s="2"/>
    </row>
    <row r="7979" spans="3:3" x14ac:dyDescent="0.35">
      <c r="C7979" s="2"/>
    </row>
    <row r="7980" spans="3:3" x14ac:dyDescent="0.35">
      <c r="C7980" s="2"/>
    </row>
    <row r="7981" spans="3:3" x14ac:dyDescent="0.35">
      <c r="C7981" s="2"/>
    </row>
    <row r="7982" spans="3:3" x14ac:dyDescent="0.35">
      <c r="C7982" s="2"/>
    </row>
    <row r="7983" spans="3:3" x14ac:dyDescent="0.35">
      <c r="C7983" s="2"/>
    </row>
    <row r="7984" spans="3:3" x14ac:dyDescent="0.35">
      <c r="C7984" s="2"/>
    </row>
    <row r="7985" spans="3:3" x14ac:dyDescent="0.35">
      <c r="C7985" s="2"/>
    </row>
    <row r="7986" spans="3:3" x14ac:dyDescent="0.35">
      <c r="C7986" s="2"/>
    </row>
    <row r="7987" spans="3:3" x14ac:dyDescent="0.35">
      <c r="C7987" s="2"/>
    </row>
    <row r="7988" spans="3:3" x14ac:dyDescent="0.35">
      <c r="C7988" s="2"/>
    </row>
    <row r="7989" spans="3:3" x14ac:dyDescent="0.35">
      <c r="C7989" s="2"/>
    </row>
    <row r="7990" spans="3:3" x14ac:dyDescent="0.35">
      <c r="C7990" s="2"/>
    </row>
    <row r="7991" spans="3:3" x14ac:dyDescent="0.35">
      <c r="C7991" s="2"/>
    </row>
    <row r="7992" spans="3:3" x14ac:dyDescent="0.35">
      <c r="C7992" s="2"/>
    </row>
    <row r="7993" spans="3:3" x14ac:dyDescent="0.35">
      <c r="C7993" s="2"/>
    </row>
    <row r="7994" spans="3:3" x14ac:dyDescent="0.35">
      <c r="C7994" s="2"/>
    </row>
    <row r="7995" spans="3:3" x14ac:dyDescent="0.35">
      <c r="C7995" s="2"/>
    </row>
    <row r="7996" spans="3:3" x14ac:dyDescent="0.35">
      <c r="C7996" s="2"/>
    </row>
    <row r="7997" spans="3:3" x14ac:dyDescent="0.35">
      <c r="C7997" s="2"/>
    </row>
    <row r="7998" spans="3:3" x14ac:dyDescent="0.35">
      <c r="C7998" s="2"/>
    </row>
    <row r="7999" spans="3:3" x14ac:dyDescent="0.35">
      <c r="C7999" s="2"/>
    </row>
    <row r="8000" spans="3:3" x14ac:dyDescent="0.35">
      <c r="C8000" s="2"/>
    </row>
    <row r="8001" spans="3:3" x14ac:dyDescent="0.35">
      <c r="C8001" s="2"/>
    </row>
    <row r="8002" spans="3:3" x14ac:dyDescent="0.35">
      <c r="C8002" s="2"/>
    </row>
    <row r="8003" spans="3:3" x14ac:dyDescent="0.35">
      <c r="C8003" s="2"/>
    </row>
    <row r="8004" spans="3:3" x14ac:dyDescent="0.35">
      <c r="C8004" s="2"/>
    </row>
    <row r="8005" spans="3:3" x14ac:dyDescent="0.35">
      <c r="C8005" s="2"/>
    </row>
    <row r="8006" spans="3:3" x14ac:dyDescent="0.35">
      <c r="C8006" s="2"/>
    </row>
    <row r="8007" spans="3:3" x14ac:dyDescent="0.35">
      <c r="C8007" s="2"/>
    </row>
    <row r="8008" spans="3:3" x14ac:dyDescent="0.35">
      <c r="C8008" s="2"/>
    </row>
    <row r="8009" spans="3:3" x14ac:dyDescent="0.35">
      <c r="C8009" s="2"/>
    </row>
    <row r="8010" spans="3:3" x14ac:dyDescent="0.35">
      <c r="C8010" s="2"/>
    </row>
    <row r="8011" spans="3:3" x14ac:dyDescent="0.35">
      <c r="C8011" s="2"/>
    </row>
    <row r="8012" spans="3:3" x14ac:dyDescent="0.35">
      <c r="C8012" s="2"/>
    </row>
    <row r="8013" spans="3:3" x14ac:dyDescent="0.35">
      <c r="C8013" s="2"/>
    </row>
    <row r="8014" spans="3:3" x14ac:dyDescent="0.35">
      <c r="C8014" s="2"/>
    </row>
    <row r="8015" spans="3:3" x14ac:dyDescent="0.35">
      <c r="C8015" s="2"/>
    </row>
    <row r="8016" spans="3:3" x14ac:dyDescent="0.35">
      <c r="C8016" s="2"/>
    </row>
    <row r="8017" spans="3:3" x14ac:dyDescent="0.35">
      <c r="C8017" s="2"/>
    </row>
    <row r="8018" spans="3:3" x14ac:dyDescent="0.35">
      <c r="C8018" s="2"/>
    </row>
    <row r="8019" spans="3:3" x14ac:dyDescent="0.35">
      <c r="C8019" s="2"/>
    </row>
    <row r="8020" spans="3:3" x14ac:dyDescent="0.35">
      <c r="C8020" s="2"/>
    </row>
    <row r="8021" spans="3:3" x14ac:dyDescent="0.35">
      <c r="C8021" s="2"/>
    </row>
    <row r="8022" spans="3:3" x14ac:dyDescent="0.35">
      <c r="C8022" s="2"/>
    </row>
    <row r="8023" spans="3:3" x14ac:dyDescent="0.35">
      <c r="C8023" s="2"/>
    </row>
    <row r="8024" spans="3:3" x14ac:dyDescent="0.35">
      <c r="C8024" s="2"/>
    </row>
    <row r="8025" spans="3:3" x14ac:dyDescent="0.35">
      <c r="C8025" s="2"/>
    </row>
    <row r="8026" spans="3:3" x14ac:dyDescent="0.35">
      <c r="C8026" s="2"/>
    </row>
    <row r="8027" spans="3:3" x14ac:dyDescent="0.35">
      <c r="C8027" s="2"/>
    </row>
    <row r="8028" spans="3:3" x14ac:dyDescent="0.35">
      <c r="C8028" s="2"/>
    </row>
    <row r="8029" spans="3:3" x14ac:dyDescent="0.35">
      <c r="C8029" s="2"/>
    </row>
    <row r="8030" spans="3:3" x14ac:dyDescent="0.35">
      <c r="C8030" s="2"/>
    </row>
    <row r="8031" spans="3:3" x14ac:dyDescent="0.35">
      <c r="C8031" s="2"/>
    </row>
    <row r="8032" spans="3:3" x14ac:dyDescent="0.35">
      <c r="C8032" s="2"/>
    </row>
    <row r="8033" spans="3:3" x14ac:dyDescent="0.35">
      <c r="C8033" s="2"/>
    </row>
    <row r="8034" spans="3:3" x14ac:dyDescent="0.35">
      <c r="C8034" s="2"/>
    </row>
    <row r="8035" spans="3:3" x14ac:dyDescent="0.35">
      <c r="C8035" s="2"/>
    </row>
    <row r="8036" spans="3:3" x14ac:dyDescent="0.35">
      <c r="C8036" s="2"/>
    </row>
    <row r="8037" spans="3:3" x14ac:dyDescent="0.35">
      <c r="C8037" s="2"/>
    </row>
    <row r="8038" spans="3:3" x14ac:dyDescent="0.35">
      <c r="C8038" s="2"/>
    </row>
    <row r="8039" spans="3:3" x14ac:dyDescent="0.35">
      <c r="C8039" s="2"/>
    </row>
    <row r="8040" spans="3:3" x14ac:dyDescent="0.35">
      <c r="C8040" s="2"/>
    </row>
    <row r="8041" spans="3:3" x14ac:dyDescent="0.35">
      <c r="C8041" s="2"/>
    </row>
    <row r="8042" spans="3:3" x14ac:dyDescent="0.35">
      <c r="C8042" s="2"/>
    </row>
    <row r="8043" spans="3:3" x14ac:dyDescent="0.35">
      <c r="C8043" s="2"/>
    </row>
    <row r="8044" spans="3:3" x14ac:dyDescent="0.35">
      <c r="C8044" s="2"/>
    </row>
    <row r="8045" spans="3:3" x14ac:dyDescent="0.35">
      <c r="C8045" s="2"/>
    </row>
    <row r="8046" spans="3:3" x14ac:dyDescent="0.35">
      <c r="C8046" s="2"/>
    </row>
    <row r="8047" spans="3:3" x14ac:dyDescent="0.35">
      <c r="C8047" s="2"/>
    </row>
    <row r="8048" spans="3:3" x14ac:dyDescent="0.35">
      <c r="C8048" s="2"/>
    </row>
    <row r="8049" spans="3:3" x14ac:dyDescent="0.35">
      <c r="C8049" s="2"/>
    </row>
    <row r="8050" spans="3:3" x14ac:dyDescent="0.35">
      <c r="C8050" s="2"/>
    </row>
    <row r="8051" spans="3:3" x14ac:dyDescent="0.35">
      <c r="C8051" s="2"/>
    </row>
    <row r="8052" spans="3:3" x14ac:dyDescent="0.35">
      <c r="C8052" s="2"/>
    </row>
    <row r="8053" spans="3:3" x14ac:dyDescent="0.35">
      <c r="C8053" s="2"/>
    </row>
    <row r="8054" spans="3:3" x14ac:dyDescent="0.35">
      <c r="C8054" s="2"/>
    </row>
    <row r="8055" spans="3:3" x14ac:dyDescent="0.35">
      <c r="C8055" s="2"/>
    </row>
    <row r="8056" spans="3:3" x14ac:dyDescent="0.35">
      <c r="C8056" s="2"/>
    </row>
    <row r="8057" spans="3:3" x14ac:dyDescent="0.35">
      <c r="C8057" s="2"/>
    </row>
    <row r="8058" spans="3:3" x14ac:dyDescent="0.35">
      <c r="C8058" s="2"/>
    </row>
    <row r="8059" spans="3:3" x14ac:dyDescent="0.35">
      <c r="C8059" s="2"/>
    </row>
    <row r="8060" spans="3:3" x14ac:dyDescent="0.35">
      <c r="C8060" s="2"/>
    </row>
    <row r="8061" spans="3:3" x14ac:dyDescent="0.35">
      <c r="C8061" s="2"/>
    </row>
    <row r="8062" spans="3:3" x14ac:dyDescent="0.35">
      <c r="C8062" s="2"/>
    </row>
    <row r="8063" spans="3:3" x14ac:dyDescent="0.35">
      <c r="C8063" s="2"/>
    </row>
    <row r="8064" spans="3:3" x14ac:dyDescent="0.35">
      <c r="C8064" s="2"/>
    </row>
    <row r="8065" spans="3:3" x14ac:dyDescent="0.35">
      <c r="C8065" s="2"/>
    </row>
    <row r="8066" spans="3:3" x14ac:dyDescent="0.35">
      <c r="C8066" s="2"/>
    </row>
    <row r="8067" spans="3:3" x14ac:dyDescent="0.35">
      <c r="C8067" s="2"/>
    </row>
    <row r="8068" spans="3:3" x14ac:dyDescent="0.35">
      <c r="C8068" s="2"/>
    </row>
    <row r="8069" spans="3:3" x14ac:dyDescent="0.35">
      <c r="C8069" s="2"/>
    </row>
    <row r="8070" spans="3:3" x14ac:dyDescent="0.35">
      <c r="C8070" s="2"/>
    </row>
    <row r="8071" spans="3:3" x14ac:dyDescent="0.35">
      <c r="C8071" s="2"/>
    </row>
    <row r="8072" spans="3:3" x14ac:dyDescent="0.35">
      <c r="C8072" s="2"/>
    </row>
    <row r="8073" spans="3:3" x14ac:dyDescent="0.35">
      <c r="C8073" s="2"/>
    </row>
    <row r="8074" spans="3:3" x14ac:dyDescent="0.35">
      <c r="C8074" s="2"/>
    </row>
    <row r="8075" spans="3:3" x14ac:dyDescent="0.35">
      <c r="C8075" s="2"/>
    </row>
    <row r="8076" spans="3:3" x14ac:dyDescent="0.35">
      <c r="C8076" s="2"/>
    </row>
    <row r="8077" spans="3:3" x14ac:dyDescent="0.35">
      <c r="C8077" s="2"/>
    </row>
    <row r="8078" spans="3:3" x14ac:dyDescent="0.35">
      <c r="C8078" s="2"/>
    </row>
    <row r="8079" spans="3:3" x14ac:dyDescent="0.35">
      <c r="C8079" s="2"/>
    </row>
    <row r="8080" spans="3:3" x14ac:dyDescent="0.35">
      <c r="C8080" s="2"/>
    </row>
    <row r="8081" spans="3:3" x14ac:dyDescent="0.35">
      <c r="C8081" s="2"/>
    </row>
    <row r="8082" spans="3:3" x14ac:dyDescent="0.35">
      <c r="C8082" s="2"/>
    </row>
    <row r="8083" spans="3:3" x14ac:dyDescent="0.35">
      <c r="C8083" s="2"/>
    </row>
    <row r="8084" spans="3:3" x14ac:dyDescent="0.35">
      <c r="C8084" s="2"/>
    </row>
    <row r="8085" spans="3:3" x14ac:dyDescent="0.35">
      <c r="C8085" s="2"/>
    </row>
    <row r="8086" spans="3:3" x14ac:dyDescent="0.35">
      <c r="C8086" s="2"/>
    </row>
    <row r="8087" spans="3:3" x14ac:dyDescent="0.35">
      <c r="C8087" s="2"/>
    </row>
    <row r="8088" spans="3:3" x14ac:dyDescent="0.35">
      <c r="C8088" s="2"/>
    </row>
    <row r="8089" spans="3:3" x14ac:dyDescent="0.35">
      <c r="C8089" s="2"/>
    </row>
    <row r="8090" spans="3:3" x14ac:dyDescent="0.35">
      <c r="C8090" s="2"/>
    </row>
    <row r="8091" spans="3:3" x14ac:dyDescent="0.35">
      <c r="C8091" s="2"/>
    </row>
    <row r="8092" spans="3:3" x14ac:dyDescent="0.35">
      <c r="C8092" s="2"/>
    </row>
    <row r="8093" spans="3:3" x14ac:dyDescent="0.35">
      <c r="C8093" s="2"/>
    </row>
    <row r="8094" spans="3:3" x14ac:dyDescent="0.35">
      <c r="C8094" s="2"/>
    </row>
    <row r="8095" spans="3:3" x14ac:dyDescent="0.35">
      <c r="C8095" s="2"/>
    </row>
    <row r="8096" spans="3:3" x14ac:dyDescent="0.35">
      <c r="C8096" s="2"/>
    </row>
    <row r="8097" spans="3:3" x14ac:dyDescent="0.35">
      <c r="C8097" s="2"/>
    </row>
    <row r="8098" spans="3:3" x14ac:dyDescent="0.35">
      <c r="C8098" s="2"/>
    </row>
    <row r="8099" spans="3:3" x14ac:dyDescent="0.35">
      <c r="C8099" s="2"/>
    </row>
    <row r="8100" spans="3:3" x14ac:dyDescent="0.35">
      <c r="C8100" s="2"/>
    </row>
    <row r="8101" spans="3:3" x14ac:dyDescent="0.35">
      <c r="C8101" s="2"/>
    </row>
    <row r="8102" spans="3:3" x14ac:dyDescent="0.35">
      <c r="C8102" s="2"/>
    </row>
    <row r="8103" spans="3:3" x14ac:dyDescent="0.35">
      <c r="C8103" s="2"/>
    </row>
    <row r="8104" spans="3:3" x14ac:dyDescent="0.35">
      <c r="C8104" s="2"/>
    </row>
    <row r="8105" spans="3:3" x14ac:dyDescent="0.35">
      <c r="C8105" s="2"/>
    </row>
    <row r="8106" spans="3:3" x14ac:dyDescent="0.35">
      <c r="C8106" s="2"/>
    </row>
    <row r="8107" spans="3:3" x14ac:dyDescent="0.35">
      <c r="C8107" s="2"/>
    </row>
    <row r="8108" spans="3:3" x14ac:dyDescent="0.35">
      <c r="C8108" s="2"/>
    </row>
    <row r="8109" spans="3:3" x14ac:dyDescent="0.35">
      <c r="C8109" s="2"/>
    </row>
    <row r="8110" spans="3:3" x14ac:dyDescent="0.35">
      <c r="C8110" s="2"/>
    </row>
    <row r="8111" spans="3:3" x14ac:dyDescent="0.35">
      <c r="C8111" s="2"/>
    </row>
    <row r="8112" spans="3:3" x14ac:dyDescent="0.35">
      <c r="C8112" s="2"/>
    </row>
    <row r="8113" spans="3:3" x14ac:dyDescent="0.35">
      <c r="C8113" s="2"/>
    </row>
    <row r="8114" spans="3:3" x14ac:dyDescent="0.35">
      <c r="C8114" s="2"/>
    </row>
    <row r="8115" spans="3:3" x14ac:dyDescent="0.35">
      <c r="C8115" s="2"/>
    </row>
    <row r="8116" spans="3:3" x14ac:dyDescent="0.35">
      <c r="C8116" s="2"/>
    </row>
    <row r="8117" spans="3:3" x14ac:dyDescent="0.35">
      <c r="C8117" s="2"/>
    </row>
    <row r="8118" spans="3:3" x14ac:dyDescent="0.35">
      <c r="C8118" s="2"/>
    </row>
    <row r="8119" spans="3:3" x14ac:dyDescent="0.35">
      <c r="C8119" s="2"/>
    </row>
    <row r="8120" spans="3:3" x14ac:dyDescent="0.35">
      <c r="C8120" s="2"/>
    </row>
    <row r="8121" spans="3:3" x14ac:dyDescent="0.35">
      <c r="C8121" s="2"/>
    </row>
    <row r="8122" spans="3:3" x14ac:dyDescent="0.35">
      <c r="C8122" s="2"/>
    </row>
    <row r="8123" spans="3:3" x14ac:dyDescent="0.35">
      <c r="C8123" s="2"/>
    </row>
    <row r="8124" spans="3:3" x14ac:dyDescent="0.35">
      <c r="C8124" s="2"/>
    </row>
    <row r="8125" spans="3:3" x14ac:dyDescent="0.35">
      <c r="C8125" s="2"/>
    </row>
    <row r="8126" spans="3:3" x14ac:dyDescent="0.35">
      <c r="C8126" s="2"/>
    </row>
    <row r="8127" spans="3:3" x14ac:dyDescent="0.35">
      <c r="C8127" s="2"/>
    </row>
    <row r="8128" spans="3:3" x14ac:dyDescent="0.35">
      <c r="C8128" s="2"/>
    </row>
    <row r="8129" spans="3:3" x14ac:dyDescent="0.35">
      <c r="C8129" s="2"/>
    </row>
    <row r="8130" spans="3:3" x14ac:dyDescent="0.35">
      <c r="C8130" s="2"/>
    </row>
    <row r="8131" spans="3:3" x14ac:dyDescent="0.35">
      <c r="C8131" s="2"/>
    </row>
    <row r="8132" spans="3:3" x14ac:dyDescent="0.35">
      <c r="C8132" s="2"/>
    </row>
    <row r="8133" spans="3:3" x14ac:dyDescent="0.35">
      <c r="C8133" s="2"/>
    </row>
    <row r="8134" spans="3:3" x14ac:dyDescent="0.35">
      <c r="C8134" s="2"/>
    </row>
    <row r="8135" spans="3:3" x14ac:dyDescent="0.35">
      <c r="C8135" s="2"/>
    </row>
    <row r="8136" spans="3:3" x14ac:dyDescent="0.35">
      <c r="C8136" s="2"/>
    </row>
    <row r="8137" spans="3:3" x14ac:dyDescent="0.35">
      <c r="C8137" s="2"/>
    </row>
    <row r="8138" spans="3:3" x14ac:dyDescent="0.35">
      <c r="C8138" s="2"/>
    </row>
    <row r="8139" spans="3:3" x14ac:dyDescent="0.35">
      <c r="C8139" s="2"/>
    </row>
    <row r="8140" spans="3:3" x14ac:dyDescent="0.35">
      <c r="C8140" s="2"/>
    </row>
    <row r="8141" spans="3:3" x14ac:dyDescent="0.35">
      <c r="C8141" s="2"/>
    </row>
    <row r="8142" spans="3:3" x14ac:dyDescent="0.35">
      <c r="C8142" s="2"/>
    </row>
    <row r="8143" spans="3:3" x14ac:dyDescent="0.35">
      <c r="C8143" s="2"/>
    </row>
    <row r="8144" spans="3:3" x14ac:dyDescent="0.35">
      <c r="C8144" s="2"/>
    </row>
    <row r="8145" spans="3:3" x14ac:dyDescent="0.35">
      <c r="C8145" s="2"/>
    </row>
    <row r="8146" spans="3:3" x14ac:dyDescent="0.35">
      <c r="C8146" s="2"/>
    </row>
    <row r="8147" spans="3:3" x14ac:dyDescent="0.35">
      <c r="C8147" s="2"/>
    </row>
    <row r="8148" spans="3:3" x14ac:dyDescent="0.35">
      <c r="C8148" s="2"/>
    </row>
    <row r="8149" spans="3:3" x14ac:dyDescent="0.35">
      <c r="C8149" s="2"/>
    </row>
    <row r="8150" spans="3:3" x14ac:dyDescent="0.35">
      <c r="C8150" s="2"/>
    </row>
    <row r="8151" spans="3:3" x14ac:dyDescent="0.35">
      <c r="C8151" s="2"/>
    </row>
    <row r="8152" spans="3:3" x14ac:dyDescent="0.35">
      <c r="C8152" s="2"/>
    </row>
    <row r="8153" spans="3:3" x14ac:dyDescent="0.35">
      <c r="C8153" s="2"/>
    </row>
    <row r="8154" spans="3:3" x14ac:dyDescent="0.35">
      <c r="C8154" s="2"/>
    </row>
    <row r="8155" spans="3:3" x14ac:dyDescent="0.35">
      <c r="C8155" s="2"/>
    </row>
    <row r="8156" spans="3:3" x14ac:dyDescent="0.35">
      <c r="C8156" s="2"/>
    </row>
    <row r="8157" spans="3:3" x14ac:dyDescent="0.35">
      <c r="C8157" s="2"/>
    </row>
    <row r="8158" spans="3:3" x14ac:dyDescent="0.35">
      <c r="C8158" s="2"/>
    </row>
    <row r="8159" spans="3:3" x14ac:dyDescent="0.35">
      <c r="C8159" s="2"/>
    </row>
    <row r="8160" spans="3:3" x14ac:dyDescent="0.35">
      <c r="C8160" s="2"/>
    </row>
    <row r="8161" spans="3:3" x14ac:dyDescent="0.35">
      <c r="C8161" s="2"/>
    </row>
    <row r="8162" spans="3:3" x14ac:dyDescent="0.35">
      <c r="C8162" s="2"/>
    </row>
    <row r="8163" spans="3:3" x14ac:dyDescent="0.35">
      <c r="C8163" s="2"/>
    </row>
    <row r="8164" spans="3:3" x14ac:dyDescent="0.35">
      <c r="C8164" s="2"/>
    </row>
    <row r="8165" spans="3:3" x14ac:dyDescent="0.35">
      <c r="C8165" s="2"/>
    </row>
    <row r="8166" spans="3:3" x14ac:dyDescent="0.35">
      <c r="C8166" s="2"/>
    </row>
    <row r="8167" spans="3:3" x14ac:dyDescent="0.35">
      <c r="C8167" s="2"/>
    </row>
    <row r="8168" spans="3:3" x14ac:dyDescent="0.35">
      <c r="C8168" s="2"/>
    </row>
    <row r="8169" spans="3:3" x14ac:dyDescent="0.35">
      <c r="C8169" s="2"/>
    </row>
    <row r="8170" spans="3:3" x14ac:dyDescent="0.35">
      <c r="C8170" s="2"/>
    </row>
    <row r="8171" spans="3:3" x14ac:dyDescent="0.35">
      <c r="C8171" s="2"/>
    </row>
    <row r="8172" spans="3:3" x14ac:dyDescent="0.35">
      <c r="C8172" s="2"/>
    </row>
    <row r="8173" spans="3:3" x14ac:dyDescent="0.35">
      <c r="C8173" s="2"/>
    </row>
    <row r="8174" spans="3:3" x14ac:dyDescent="0.35">
      <c r="C8174" s="2"/>
    </row>
    <row r="8175" spans="3:3" x14ac:dyDescent="0.35">
      <c r="C8175" s="2"/>
    </row>
    <row r="8176" spans="3:3" x14ac:dyDescent="0.35">
      <c r="C8176" s="2"/>
    </row>
    <row r="8177" spans="3:3" x14ac:dyDescent="0.35">
      <c r="C8177" s="2"/>
    </row>
    <row r="8178" spans="3:3" x14ac:dyDescent="0.35">
      <c r="C8178" s="2"/>
    </row>
    <row r="8179" spans="3:3" x14ac:dyDescent="0.35">
      <c r="C8179" s="2"/>
    </row>
    <row r="8180" spans="3:3" x14ac:dyDescent="0.35">
      <c r="C8180" s="2"/>
    </row>
    <row r="8181" spans="3:3" x14ac:dyDescent="0.35">
      <c r="C8181" s="2"/>
    </row>
    <row r="8182" spans="3:3" x14ac:dyDescent="0.35">
      <c r="C8182" s="2"/>
    </row>
    <row r="8183" spans="3:3" x14ac:dyDescent="0.35">
      <c r="C8183" s="2"/>
    </row>
    <row r="8184" spans="3:3" x14ac:dyDescent="0.35">
      <c r="C8184" s="2"/>
    </row>
    <row r="8185" spans="3:3" x14ac:dyDescent="0.35">
      <c r="C8185" s="2"/>
    </row>
    <row r="8186" spans="3:3" x14ac:dyDescent="0.35">
      <c r="C8186" s="2"/>
    </row>
    <row r="8187" spans="3:3" x14ac:dyDescent="0.35">
      <c r="C8187" s="2"/>
    </row>
    <row r="8188" spans="3:3" x14ac:dyDescent="0.35">
      <c r="C8188" s="2"/>
    </row>
    <row r="8189" spans="3:3" x14ac:dyDescent="0.35">
      <c r="C8189" s="2"/>
    </row>
    <row r="8190" spans="3:3" x14ac:dyDescent="0.35">
      <c r="C8190" s="2"/>
    </row>
    <row r="8191" spans="3:3" x14ac:dyDescent="0.35">
      <c r="C8191" s="2"/>
    </row>
    <row r="8192" spans="3:3" x14ac:dyDescent="0.35">
      <c r="C8192" s="2"/>
    </row>
    <row r="8193" spans="3:3" x14ac:dyDescent="0.35">
      <c r="C8193" s="2"/>
    </row>
    <row r="8194" spans="3:3" x14ac:dyDescent="0.35">
      <c r="C8194" s="2"/>
    </row>
    <row r="8195" spans="3:3" x14ac:dyDescent="0.35">
      <c r="C8195" s="2"/>
    </row>
    <row r="8196" spans="3:3" x14ac:dyDescent="0.35">
      <c r="C8196" s="2"/>
    </row>
    <row r="8197" spans="3:3" x14ac:dyDescent="0.35">
      <c r="C8197" s="2"/>
    </row>
    <row r="8198" spans="3:3" x14ac:dyDescent="0.35">
      <c r="C8198" s="2"/>
    </row>
    <row r="8199" spans="3:3" x14ac:dyDescent="0.35">
      <c r="C8199" s="2"/>
    </row>
    <row r="8200" spans="3:3" x14ac:dyDescent="0.35">
      <c r="C8200" s="2"/>
    </row>
    <row r="8201" spans="3:3" x14ac:dyDescent="0.35">
      <c r="C8201" s="2"/>
    </row>
    <row r="8202" spans="3:3" x14ac:dyDescent="0.35">
      <c r="C8202" s="2"/>
    </row>
    <row r="8203" spans="3:3" x14ac:dyDescent="0.35">
      <c r="C8203" s="2"/>
    </row>
    <row r="8204" spans="3:3" x14ac:dyDescent="0.35">
      <c r="C8204" s="2"/>
    </row>
    <row r="8205" spans="3:3" x14ac:dyDescent="0.35">
      <c r="C8205" s="2"/>
    </row>
    <row r="8206" spans="3:3" x14ac:dyDescent="0.35">
      <c r="C8206" s="2"/>
    </row>
    <row r="8207" spans="3:3" x14ac:dyDescent="0.35">
      <c r="C8207" s="2"/>
    </row>
    <row r="8208" spans="3:3" x14ac:dyDescent="0.35">
      <c r="C8208" s="2"/>
    </row>
    <row r="8209" spans="3:3" x14ac:dyDescent="0.35">
      <c r="C8209" s="2"/>
    </row>
    <row r="8210" spans="3:3" x14ac:dyDescent="0.35">
      <c r="C8210" s="2"/>
    </row>
    <row r="8211" spans="3:3" x14ac:dyDescent="0.35">
      <c r="C8211" s="2"/>
    </row>
    <row r="8212" spans="3:3" x14ac:dyDescent="0.35">
      <c r="C8212" s="2"/>
    </row>
    <row r="8213" spans="3:3" x14ac:dyDescent="0.35">
      <c r="C8213" s="2"/>
    </row>
    <row r="8214" spans="3:3" x14ac:dyDescent="0.35">
      <c r="C8214" s="2"/>
    </row>
    <row r="8215" spans="3:3" x14ac:dyDescent="0.35">
      <c r="C8215" s="2"/>
    </row>
    <row r="8216" spans="3:3" x14ac:dyDescent="0.35">
      <c r="C8216" s="2"/>
    </row>
    <row r="8217" spans="3:3" x14ac:dyDescent="0.35">
      <c r="C8217" s="2"/>
    </row>
    <row r="8218" spans="3:3" x14ac:dyDescent="0.35">
      <c r="C8218" s="2"/>
    </row>
    <row r="8219" spans="3:3" x14ac:dyDescent="0.35">
      <c r="C8219" s="2"/>
    </row>
    <row r="8220" spans="3:3" x14ac:dyDescent="0.35">
      <c r="C8220" s="2"/>
    </row>
    <row r="8221" spans="3:3" x14ac:dyDescent="0.35">
      <c r="C8221" s="2"/>
    </row>
    <row r="8222" spans="3:3" x14ac:dyDescent="0.35">
      <c r="C8222" s="2"/>
    </row>
    <row r="8223" spans="3:3" x14ac:dyDescent="0.35">
      <c r="C8223" s="2"/>
    </row>
    <row r="8224" spans="3:3" x14ac:dyDescent="0.35">
      <c r="C8224" s="2"/>
    </row>
    <row r="8225" spans="3:3" x14ac:dyDescent="0.35">
      <c r="C8225" s="2"/>
    </row>
    <row r="8226" spans="3:3" x14ac:dyDescent="0.35">
      <c r="C8226" s="2"/>
    </row>
    <row r="8227" spans="3:3" x14ac:dyDescent="0.35">
      <c r="C8227" s="2"/>
    </row>
    <row r="8228" spans="3:3" x14ac:dyDescent="0.35">
      <c r="C8228" s="2"/>
    </row>
    <row r="8229" spans="3:3" x14ac:dyDescent="0.35">
      <c r="C8229" s="2"/>
    </row>
    <row r="8230" spans="3:3" x14ac:dyDescent="0.35">
      <c r="C8230" s="2"/>
    </row>
    <row r="8231" spans="3:3" x14ac:dyDescent="0.35">
      <c r="C8231" s="2"/>
    </row>
    <row r="8232" spans="3:3" x14ac:dyDescent="0.35">
      <c r="C8232" s="2"/>
    </row>
    <row r="8233" spans="3:3" x14ac:dyDescent="0.35">
      <c r="C8233" s="2"/>
    </row>
    <row r="8234" spans="3:3" x14ac:dyDescent="0.35">
      <c r="C8234" s="2"/>
    </row>
    <row r="8235" spans="3:3" x14ac:dyDescent="0.35">
      <c r="C8235" s="2"/>
    </row>
    <row r="8236" spans="3:3" x14ac:dyDescent="0.35">
      <c r="C8236" s="2"/>
    </row>
    <row r="8237" spans="3:3" x14ac:dyDescent="0.35">
      <c r="C8237" s="2"/>
    </row>
    <row r="8238" spans="3:3" x14ac:dyDescent="0.35">
      <c r="C8238" s="2"/>
    </row>
    <row r="8239" spans="3:3" x14ac:dyDescent="0.35">
      <c r="C8239" s="2"/>
    </row>
    <row r="8240" spans="3:3" x14ac:dyDescent="0.35">
      <c r="C8240" s="2"/>
    </row>
    <row r="8241" spans="3:3" x14ac:dyDescent="0.35">
      <c r="C8241" s="2"/>
    </row>
    <row r="8242" spans="3:3" x14ac:dyDescent="0.35">
      <c r="C8242" s="2"/>
    </row>
    <row r="8243" spans="3:3" x14ac:dyDescent="0.35">
      <c r="C8243" s="2"/>
    </row>
    <row r="8244" spans="3:3" x14ac:dyDescent="0.35">
      <c r="C8244" s="2"/>
    </row>
    <row r="8245" spans="3:3" x14ac:dyDescent="0.35">
      <c r="C8245" s="2"/>
    </row>
    <row r="8246" spans="3:3" x14ac:dyDescent="0.35">
      <c r="C8246" s="2"/>
    </row>
    <row r="8247" spans="3:3" x14ac:dyDescent="0.35">
      <c r="C8247" s="2"/>
    </row>
    <row r="8248" spans="3:3" x14ac:dyDescent="0.35">
      <c r="C8248" s="2"/>
    </row>
    <row r="8249" spans="3:3" x14ac:dyDescent="0.35">
      <c r="C8249" s="2"/>
    </row>
    <row r="8250" spans="3:3" x14ac:dyDescent="0.35">
      <c r="C8250" s="2"/>
    </row>
    <row r="8251" spans="3:3" x14ac:dyDescent="0.35">
      <c r="C8251" s="2"/>
    </row>
    <row r="8252" spans="3:3" x14ac:dyDescent="0.35">
      <c r="C8252" s="2"/>
    </row>
    <row r="8253" spans="3:3" x14ac:dyDescent="0.35">
      <c r="C8253" s="2"/>
    </row>
    <row r="8254" spans="3:3" x14ac:dyDescent="0.35">
      <c r="C8254" s="2"/>
    </row>
    <row r="8255" spans="3:3" x14ac:dyDescent="0.35">
      <c r="C8255" s="2"/>
    </row>
    <row r="8256" spans="3:3" x14ac:dyDescent="0.35">
      <c r="C8256" s="2"/>
    </row>
    <row r="8257" spans="3:3" x14ac:dyDescent="0.35">
      <c r="C8257" s="2"/>
    </row>
    <row r="8258" spans="3:3" x14ac:dyDescent="0.35">
      <c r="C8258" s="2"/>
    </row>
    <row r="8259" spans="3:3" x14ac:dyDescent="0.35">
      <c r="C8259" s="2"/>
    </row>
    <row r="8260" spans="3:3" x14ac:dyDescent="0.35">
      <c r="C8260" s="2"/>
    </row>
    <row r="8261" spans="3:3" x14ac:dyDescent="0.35">
      <c r="C8261" s="2"/>
    </row>
    <row r="8262" spans="3:3" x14ac:dyDescent="0.35">
      <c r="C8262" s="2"/>
    </row>
    <row r="8263" spans="3:3" x14ac:dyDescent="0.35">
      <c r="C8263" s="2"/>
    </row>
    <row r="8264" spans="3:3" x14ac:dyDescent="0.35">
      <c r="C8264" s="2"/>
    </row>
    <row r="8265" spans="3:3" x14ac:dyDescent="0.35">
      <c r="C8265" s="2"/>
    </row>
    <row r="8266" spans="3:3" x14ac:dyDescent="0.35">
      <c r="C8266" s="2"/>
    </row>
    <row r="8267" spans="3:3" x14ac:dyDescent="0.35">
      <c r="C8267" s="2"/>
    </row>
    <row r="8268" spans="3:3" x14ac:dyDescent="0.35">
      <c r="C8268" s="2"/>
    </row>
    <row r="8269" spans="3:3" x14ac:dyDescent="0.35">
      <c r="C8269" s="2"/>
    </row>
    <row r="8270" spans="3:3" x14ac:dyDescent="0.35">
      <c r="C8270" s="2"/>
    </row>
    <row r="8271" spans="3:3" x14ac:dyDescent="0.35">
      <c r="C8271" s="2"/>
    </row>
    <row r="8272" spans="3:3" x14ac:dyDescent="0.35">
      <c r="C8272" s="2"/>
    </row>
    <row r="8273" spans="3:3" x14ac:dyDescent="0.35">
      <c r="C8273" s="2"/>
    </row>
    <row r="8274" spans="3:3" x14ac:dyDescent="0.35">
      <c r="C8274" s="2"/>
    </row>
    <row r="8275" spans="3:3" x14ac:dyDescent="0.35">
      <c r="C8275" s="2"/>
    </row>
    <row r="8276" spans="3:3" x14ac:dyDescent="0.35">
      <c r="C8276" s="2"/>
    </row>
    <row r="8277" spans="3:3" x14ac:dyDescent="0.35">
      <c r="C8277" s="2"/>
    </row>
    <row r="8278" spans="3:3" x14ac:dyDescent="0.35">
      <c r="C8278" s="2"/>
    </row>
    <row r="8279" spans="3:3" x14ac:dyDescent="0.35">
      <c r="C8279" s="2"/>
    </row>
    <row r="8280" spans="3:3" x14ac:dyDescent="0.35">
      <c r="C8280" s="2"/>
    </row>
    <row r="8281" spans="3:3" x14ac:dyDescent="0.35">
      <c r="C8281" s="2"/>
    </row>
    <row r="8282" spans="3:3" x14ac:dyDescent="0.35">
      <c r="C8282" s="2"/>
    </row>
    <row r="8283" spans="3:3" x14ac:dyDescent="0.35">
      <c r="C8283" s="2"/>
    </row>
    <row r="8284" spans="3:3" x14ac:dyDescent="0.35">
      <c r="C8284" s="2"/>
    </row>
    <row r="8285" spans="3:3" x14ac:dyDescent="0.35">
      <c r="C8285" s="2"/>
    </row>
    <row r="8286" spans="3:3" x14ac:dyDescent="0.35">
      <c r="C8286" s="2"/>
    </row>
    <row r="8287" spans="3:3" x14ac:dyDescent="0.35">
      <c r="C8287" s="2"/>
    </row>
    <row r="8288" spans="3:3" x14ac:dyDescent="0.35">
      <c r="C8288" s="2"/>
    </row>
    <row r="8289" spans="3:3" x14ac:dyDescent="0.35">
      <c r="C8289" s="2"/>
    </row>
    <row r="8290" spans="3:3" x14ac:dyDescent="0.35">
      <c r="C8290" s="2"/>
    </row>
    <row r="8291" spans="3:3" x14ac:dyDescent="0.35">
      <c r="C8291" s="2"/>
    </row>
    <row r="8292" spans="3:3" x14ac:dyDescent="0.35">
      <c r="C8292" s="2"/>
    </row>
    <row r="8293" spans="3:3" x14ac:dyDescent="0.35">
      <c r="C8293" s="2"/>
    </row>
    <row r="8294" spans="3:3" x14ac:dyDescent="0.35">
      <c r="C8294" s="2"/>
    </row>
    <row r="8295" spans="3:3" x14ac:dyDescent="0.35">
      <c r="C8295" s="2"/>
    </row>
    <row r="8296" spans="3:3" x14ac:dyDescent="0.35">
      <c r="C8296" s="2"/>
    </row>
    <row r="8297" spans="3:3" x14ac:dyDescent="0.35">
      <c r="C8297" s="2"/>
    </row>
    <row r="8298" spans="3:3" x14ac:dyDescent="0.35">
      <c r="C8298" s="2"/>
    </row>
    <row r="8299" spans="3:3" x14ac:dyDescent="0.35">
      <c r="C8299" s="2"/>
    </row>
    <row r="8300" spans="3:3" x14ac:dyDescent="0.35">
      <c r="C8300" s="2"/>
    </row>
    <row r="8301" spans="3:3" x14ac:dyDescent="0.35">
      <c r="C8301" s="2"/>
    </row>
    <row r="8302" spans="3:3" x14ac:dyDescent="0.35">
      <c r="C8302" s="2"/>
    </row>
    <row r="8303" spans="3:3" x14ac:dyDescent="0.35">
      <c r="C8303" s="2"/>
    </row>
    <row r="8304" spans="3:3" x14ac:dyDescent="0.35">
      <c r="C8304" s="2"/>
    </row>
    <row r="8305" spans="3:3" x14ac:dyDescent="0.35">
      <c r="C8305" s="2"/>
    </row>
    <row r="8306" spans="3:3" x14ac:dyDescent="0.35">
      <c r="C8306" s="2"/>
    </row>
    <row r="8307" spans="3:3" x14ac:dyDescent="0.35">
      <c r="C8307" s="2"/>
    </row>
    <row r="8308" spans="3:3" x14ac:dyDescent="0.35">
      <c r="C8308" s="2"/>
    </row>
    <row r="8309" spans="3:3" x14ac:dyDescent="0.35">
      <c r="C8309" s="2"/>
    </row>
    <row r="8310" spans="3:3" x14ac:dyDescent="0.35">
      <c r="C8310" s="2"/>
    </row>
    <row r="8311" spans="3:3" x14ac:dyDescent="0.35">
      <c r="C8311" s="2"/>
    </row>
    <row r="8312" spans="3:3" x14ac:dyDescent="0.35">
      <c r="C8312" s="2"/>
    </row>
    <row r="8313" spans="3:3" x14ac:dyDescent="0.35">
      <c r="C8313" s="2"/>
    </row>
    <row r="8314" spans="3:3" x14ac:dyDescent="0.35">
      <c r="C8314" s="2"/>
    </row>
    <row r="8315" spans="3:3" x14ac:dyDescent="0.35">
      <c r="C8315" s="2"/>
    </row>
    <row r="8316" spans="3:3" x14ac:dyDescent="0.35">
      <c r="C8316" s="2"/>
    </row>
    <row r="8317" spans="3:3" x14ac:dyDescent="0.35">
      <c r="C8317" s="2"/>
    </row>
    <row r="8318" spans="3:3" x14ac:dyDescent="0.35">
      <c r="C8318" s="2"/>
    </row>
    <row r="8319" spans="3:3" x14ac:dyDescent="0.35">
      <c r="C8319" s="2"/>
    </row>
    <row r="8320" spans="3:3" x14ac:dyDescent="0.35">
      <c r="C8320" s="2"/>
    </row>
    <row r="8321" spans="3:3" x14ac:dyDescent="0.35">
      <c r="C8321" s="2"/>
    </row>
    <row r="8322" spans="3:3" x14ac:dyDescent="0.35">
      <c r="C8322" s="2"/>
    </row>
    <row r="8323" spans="3:3" x14ac:dyDescent="0.35">
      <c r="C8323" s="2"/>
    </row>
    <row r="8324" spans="3:3" x14ac:dyDescent="0.35">
      <c r="C8324" s="2"/>
    </row>
    <row r="8325" spans="3:3" x14ac:dyDescent="0.35">
      <c r="C8325" s="2"/>
    </row>
    <row r="8326" spans="3:3" x14ac:dyDescent="0.35">
      <c r="C8326" s="2"/>
    </row>
    <row r="8327" spans="3:3" x14ac:dyDescent="0.35">
      <c r="C8327" s="2"/>
    </row>
    <row r="8328" spans="3:3" x14ac:dyDescent="0.35">
      <c r="C8328" s="2"/>
    </row>
    <row r="8329" spans="3:3" x14ac:dyDescent="0.35">
      <c r="C8329" s="2"/>
    </row>
    <row r="8330" spans="3:3" x14ac:dyDescent="0.35">
      <c r="C8330" s="2"/>
    </row>
    <row r="8331" spans="3:3" x14ac:dyDescent="0.35">
      <c r="C8331" s="2"/>
    </row>
    <row r="8332" spans="3:3" x14ac:dyDescent="0.35">
      <c r="C8332" s="2"/>
    </row>
    <row r="8333" spans="3:3" x14ac:dyDescent="0.35">
      <c r="C8333" s="2"/>
    </row>
    <row r="8334" spans="3:3" x14ac:dyDescent="0.35">
      <c r="C8334" s="2"/>
    </row>
    <row r="8335" spans="3:3" x14ac:dyDescent="0.35">
      <c r="C8335" s="2"/>
    </row>
    <row r="8336" spans="3:3" x14ac:dyDescent="0.35">
      <c r="C8336" s="2"/>
    </row>
    <row r="8337" spans="3:3" x14ac:dyDescent="0.35">
      <c r="C8337" s="2"/>
    </row>
    <row r="8338" spans="3:3" x14ac:dyDescent="0.35">
      <c r="C8338" s="2"/>
    </row>
    <row r="8339" spans="3:3" x14ac:dyDescent="0.35">
      <c r="C8339" s="2"/>
    </row>
    <row r="8340" spans="3:3" x14ac:dyDescent="0.35">
      <c r="C8340" s="2"/>
    </row>
    <row r="8341" spans="3:3" x14ac:dyDescent="0.35">
      <c r="C8341" s="2"/>
    </row>
    <row r="8342" spans="3:3" x14ac:dyDescent="0.35">
      <c r="C8342" s="2"/>
    </row>
    <row r="8343" spans="3:3" x14ac:dyDescent="0.35">
      <c r="C8343" s="2"/>
    </row>
    <row r="8344" spans="3:3" x14ac:dyDescent="0.35">
      <c r="C8344" s="2"/>
    </row>
    <row r="8345" spans="3:3" x14ac:dyDescent="0.35">
      <c r="C8345" s="2"/>
    </row>
    <row r="8346" spans="3:3" x14ac:dyDescent="0.35">
      <c r="C8346" s="2"/>
    </row>
    <row r="8347" spans="3:3" x14ac:dyDescent="0.35">
      <c r="C8347" s="2"/>
    </row>
    <row r="8348" spans="3:3" x14ac:dyDescent="0.35">
      <c r="C8348" s="2"/>
    </row>
    <row r="8349" spans="3:3" x14ac:dyDescent="0.35">
      <c r="C8349" s="2"/>
    </row>
    <row r="8350" spans="3:3" x14ac:dyDescent="0.35">
      <c r="C8350" s="2"/>
    </row>
    <row r="8351" spans="3:3" x14ac:dyDescent="0.35">
      <c r="C8351" s="2"/>
    </row>
    <row r="8352" spans="3:3" x14ac:dyDescent="0.35">
      <c r="C8352" s="2"/>
    </row>
    <row r="8353" spans="3:3" x14ac:dyDescent="0.35">
      <c r="C8353" s="2"/>
    </row>
    <row r="8354" spans="3:3" x14ac:dyDescent="0.35">
      <c r="C8354" s="2"/>
    </row>
    <row r="8355" spans="3:3" x14ac:dyDescent="0.35">
      <c r="C8355" s="2"/>
    </row>
    <row r="8356" spans="3:3" x14ac:dyDescent="0.35">
      <c r="C8356" s="2"/>
    </row>
    <row r="8357" spans="3:3" x14ac:dyDescent="0.35">
      <c r="C8357" s="2"/>
    </row>
    <row r="8358" spans="3:3" x14ac:dyDescent="0.35">
      <c r="C8358" s="2"/>
    </row>
    <row r="8359" spans="3:3" x14ac:dyDescent="0.35">
      <c r="C8359" s="2"/>
    </row>
    <row r="8360" spans="3:3" x14ac:dyDescent="0.35">
      <c r="C8360" s="2"/>
    </row>
    <row r="8361" spans="3:3" x14ac:dyDescent="0.35">
      <c r="C8361" s="2"/>
    </row>
    <row r="8362" spans="3:3" x14ac:dyDescent="0.35">
      <c r="C8362" s="2"/>
    </row>
    <row r="8363" spans="3:3" x14ac:dyDescent="0.35">
      <c r="C8363" s="2"/>
    </row>
    <row r="8364" spans="3:3" x14ac:dyDescent="0.35">
      <c r="C8364" s="2"/>
    </row>
    <row r="8365" spans="3:3" x14ac:dyDescent="0.35">
      <c r="C8365" s="2"/>
    </row>
    <row r="8366" spans="3:3" x14ac:dyDescent="0.35">
      <c r="C8366" s="2"/>
    </row>
    <row r="8367" spans="3:3" x14ac:dyDescent="0.35">
      <c r="C8367" s="2"/>
    </row>
    <row r="8368" spans="3:3" x14ac:dyDescent="0.35">
      <c r="C8368" s="2"/>
    </row>
    <row r="8369" spans="3:3" x14ac:dyDescent="0.35">
      <c r="C8369" s="2"/>
    </row>
    <row r="8370" spans="3:3" x14ac:dyDescent="0.35">
      <c r="C8370" s="2"/>
    </row>
    <row r="8371" spans="3:3" x14ac:dyDescent="0.35">
      <c r="C8371" s="2"/>
    </row>
    <row r="8372" spans="3:3" x14ac:dyDescent="0.35">
      <c r="C8372" s="2"/>
    </row>
    <row r="8373" spans="3:3" x14ac:dyDescent="0.35">
      <c r="C8373" s="2"/>
    </row>
    <row r="8374" spans="3:3" x14ac:dyDescent="0.35">
      <c r="C8374" s="2"/>
    </row>
    <row r="8375" spans="3:3" x14ac:dyDescent="0.35">
      <c r="C8375" s="2"/>
    </row>
    <row r="8376" spans="3:3" x14ac:dyDescent="0.35">
      <c r="C8376" s="2"/>
    </row>
    <row r="8377" spans="3:3" x14ac:dyDescent="0.35">
      <c r="C8377" s="2"/>
    </row>
    <row r="8378" spans="3:3" x14ac:dyDescent="0.35">
      <c r="C8378" s="2"/>
    </row>
    <row r="8379" spans="3:3" x14ac:dyDescent="0.35">
      <c r="C8379" s="2"/>
    </row>
    <row r="8380" spans="3:3" x14ac:dyDescent="0.35">
      <c r="C8380" s="2"/>
    </row>
    <row r="8381" spans="3:3" x14ac:dyDescent="0.35">
      <c r="C8381" s="2"/>
    </row>
    <row r="8382" spans="3:3" x14ac:dyDescent="0.35">
      <c r="C8382" s="2"/>
    </row>
    <row r="8383" spans="3:3" x14ac:dyDescent="0.35">
      <c r="C8383" s="2"/>
    </row>
    <row r="8384" spans="3:3" x14ac:dyDescent="0.35">
      <c r="C8384" s="2"/>
    </row>
    <row r="8385" spans="3:3" x14ac:dyDescent="0.35">
      <c r="C8385" s="2"/>
    </row>
    <row r="8386" spans="3:3" x14ac:dyDescent="0.35">
      <c r="C8386" s="2"/>
    </row>
    <row r="8387" spans="3:3" x14ac:dyDescent="0.35">
      <c r="C8387" s="2"/>
    </row>
    <row r="8388" spans="3:3" x14ac:dyDescent="0.35">
      <c r="C8388" s="2"/>
    </row>
    <row r="8389" spans="3:3" x14ac:dyDescent="0.35">
      <c r="C8389" s="2"/>
    </row>
    <row r="8390" spans="3:3" x14ac:dyDescent="0.35">
      <c r="C8390" s="2"/>
    </row>
    <row r="8391" spans="3:3" x14ac:dyDescent="0.35">
      <c r="C8391" s="2"/>
    </row>
    <row r="8392" spans="3:3" x14ac:dyDescent="0.35">
      <c r="C8392" s="2"/>
    </row>
    <row r="8393" spans="3:3" x14ac:dyDescent="0.35">
      <c r="C8393" s="2"/>
    </row>
    <row r="8394" spans="3:3" x14ac:dyDescent="0.35">
      <c r="C8394" s="2"/>
    </row>
    <row r="8395" spans="3:3" x14ac:dyDescent="0.35">
      <c r="C8395" s="2"/>
    </row>
    <row r="8396" spans="3:3" x14ac:dyDescent="0.35">
      <c r="C8396" s="2"/>
    </row>
    <row r="8397" spans="3:3" x14ac:dyDescent="0.35">
      <c r="C8397" s="2"/>
    </row>
    <row r="8398" spans="3:3" x14ac:dyDescent="0.35">
      <c r="C8398" s="2"/>
    </row>
    <row r="8399" spans="3:3" x14ac:dyDescent="0.35">
      <c r="C8399" s="2"/>
    </row>
    <row r="8400" spans="3:3" x14ac:dyDescent="0.35">
      <c r="C8400" s="2"/>
    </row>
    <row r="8401" spans="3:3" x14ac:dyDescent="0.35">
      <c r="C8401" s="2"/>
    </row>
    <row r="8402" spans="3:3" x14ac:dyDescent="0.35">
      <c r="C8402" s="2"/>
    </row>
    <row r="8403" spans="3:3" x14ac:dyDescent="0.35">
      <c r="C8403" s="2"/>
    </row>
    <row r="8404" spans="3:3" x14ac:dyDescent="0.35">
      <c r="C8404" s="2"/>
    </row>
    <row r="8405" spans="3:3" x14ac:dyDescent="0.35">
      <c r="C8405" s="2"/>
    </row>
    <row r="8406" spans="3:3" x14ac:dyDescent="0.35">
      <c r="C8406" s="2"/>
    </row>
    <row r="8407" spans="3:3" x14ac:dyDescent="0.35">
      <c r="C8407" s="2"/>
    </row>
    <row r="8408" spans="3:3" x14ac:dyDescent="0.35">
      <c r="C8408" s="2"/>
    </row>
    <row r="8409" spans="3:3" x14ac:dyDescent="0.35">
      <c r="C8409" s="2"/>
    </row>
    <row r="8410" spans="3:3" x14ac:dyDescent="0.35">
      <c r="C8410" s="2"/>
    </row>
    <row r="8411" spans="3:3" x14ac:dyDescent="0.35">
      <c r="C8411" s="2"/>
    </row>
    <row r="8412" spans="3:3" x14ac:dyDescent="0.35">
      <c r="C8412" s="2"/>
    </row>
    <row r="8413" spans="3:3" x14ac:dyDescent="0.35">
      <c r="C8413" s="2"/>
    </row>
    <row r="8414" spans="3:3" x14ac:dyDescent="0.35">
      <c r="C8414" s="2"/>
    </row>
    <row r="8415" spans="3:3" x14ac:dyDescent="0.35">
      <c r="C8415" s="2"/>
    </row>
    <row r="8416" spans="3:3" x14ac:dyDescent="0.35">
      <c r="C8416" s="2"/>
    </row>
    <row r="8417" spans="3:3" x14ac:dyDescent="0.35">
      <c r="C8417" s="2"/>
    </row>
    <row r="8418" spans="3:3" x14ac:dyDescent="0.35">
      <c r="C8418" s="2"/>
    </row>
    <row r="8419" spans="3:3" x14ac:dyDescent="0.35">
      <c r="C8419" s="2"/>
    </row>
    <row r="8420" spans="3:3" x14ac:dyDescent="0.35">
      <c r="C8420" s="2"/>
    </row>
    <row r="8421" spans="3:3" x14ac:dyDescent="0.35">
      <c r="C8421" s="2"/>
    </row>
    <row r="8422" spans="3:3" x14ac:dyDescent="0.35">
      <c r="C8422" s="2"/>
    </row>
    <row r="8423" spans="3:3" x14ac:dyDescent="0.35">
      <c r="C8423" s="2"/>
    </row>
    <row r="8424" spans="3:3" x14ac:dyDescent="0.35">
      <c r="C8424" s="2"/>
    </row>
    <row r="8425" spans="3:3" x14ac:dyDescent="0.35">
      <c r="C8425" s="2"/>
    </row>
    <row r="8426" spans="3:3" x14ac:dyDescent="0.35">
      <c r="C8426" s="2"/>
    </row>
    <row r="8427" spans="3:3" x14ac:dyDescent="0.35">
      <c r="C8427" s="2"/>
    </row>
    <row r="8428" spans="3:3" x14ac:dyDescent="0.35">
      <c r="C8428" s="2"/>
    </row>
    <row r="8429" spans="3:3" x14ac:dyDescent="0.35">
      <c r="C8429" s="2"/>
    </row>
    <row r="8430" spans="3:3" x14ac:dyDescent="0.35">
      <c r="C8430" s="2"/>
    </row>
    <row r="8431" spans="3:3" x14ac:dyDescent="0.35">
      <c r="C8431" s="2"/>
    </row>
    <row r="8432" spans="3:3" x14ac:dyDescent="0.35">
      <c r="C8432" s="2"/>
    </row>
    <row r="8433" spans="3:3" x14ac:dyDescent="0.35">
      <c r="C8433" s="2"/>
    </row>
    <row r="8434" spans="3:3" x14ac:dyDescent="0.35">
      <c r="C8434" s="2"/>
    </row>
    <row r="8435" spans="3:3" x14ac:dyDescent="0.35">
      <c r="C8435" s="2"/>
    </row>
    <row r="8436" spans="3:3" x14ac:dyDescent="0.35">
      <c r="C8436" s="2"/>
    </row>
    <row r="8437" spans="3:3" x14ac:dyDescent="0.35">
      <c r="C8437" s="2"/>
    </row>
    <row r="8438" spans="3:3" x14ac:dyDescent="0.35">
      <c r="C8438" s="2"/>
    </row>
    <row r="8439" spans="3:3" x14ac:dyDescent="0.35">
      <c r="C8439" s="2"/>
    </row>
    <row r="8440" spans="3:3" x14ac:dyDescent="0.35">
      <c r="C8440" s="2"/>
    </row>
    <row r="8441" spans="3:3" x14ac:dyDescent="0.35">
      <c r="C8441" s="2"/>
    </row>
    <row r="8442" spans="3:3" x14ac:dyDescent="0.35">
      <c r="C8442" s="2"/>
    </row>
    <row r="8443" spans="3:3" x14ac:dyDescent="0.35">
      <c r="C8443" s="2"/>
    </row>
    <row r="8444" spans="3:3" x14ac:dyDescent="0.35">
      <c r="C8444" s="2"/>
    </row>
    <row r="8445" spans="3:3" x14ac:dyDescent="0.35">
      <c r="C8445" s="2"/>
    </row>
    <row r="8446" spans="3:3" x14ac:dyDescent="0.35">
      <c r="C8446" s="2"/>
    </row>
    <row r="8447" spans="3:3" x14ac:dyDescent="0.35">
      <c r="C8447" s="2"/>
    </row>
    <row r="8448" spans="3:3" x14ac:dyDescent="0.35">
      <c r="C8448" s="2"/>
    </row>
    <row r="8449" spans="3:3" x14ac:dyDescent="0.35">
      <c r="C8449" s="2"/>
    </row>
    <row r="8450" spans="3:3" x14ac:dyDescent="0.35">
      <c r="C8450" s="2"/>
    </row>
    <row r="8451" spans="3:3" x14ac:dyDescent="0.35">
      <c r="C8451" s="2"/>
    </row>
    <row r="8452" spans="3:3" x14ac:dyDescent="0.35">
      <c r="C8452" s="2"/>
    </row>
    <row r="8453" spans="3:3" x14ac:dyDescent="0.35">
      <c r="C8453" s="2"/>
    </row>
    <row r="8454" spans="3:3" x14ac:dyDescent="0.35">
      <c r="C8454" s="2"/>
    </row>
    <row r="8455" spans="3:3" x14ac:dyDescent="0.35">
      <c r="C8455" s="2"/>
    </row>
    <row r="8456" spans="3:3" x14ac:dyDescent="0.35">
      <c r="C8456" s="2"/>
    </row>
    <row r="8457" spans="3:3" x14ac:dyDescent="0.35">
      <c r="C8457" s="2"/>
    </row>
    <row r="8458" spans="3:3" x14ac:dyDescent="0.35">
      <c r="C8458" s="2"/>
    </row>
    <row r="8459" spans="3:3" x14ac:dyDescent="0.35">
      <c r="C8459" s="2"/>
    </row>
    <row r="8460" spans="3:3" x14ac:dyDescent="0.35">
      <c r="C8460" s="2"/>
    </row>
    <row r="8461" spans="3:3" x14ac:dyDescent="0.35">
      <c r="C8461" s="2"/>
    </row>
    <row r="8462" spans="3:3" x14ac:dyDescent="0.35">
      <c r="C8462" s="2"/>
    </row>
    <row r="8463" spans="3:3" x14ac:dyDescent="0.35">
      <c r="C8463" s="2"/>
    </row>
    <row r="8464" spans="3:3" x14ac:dyDescent="0.35">
      <c r="C8464" s="2"/>
    </row>
    <row r="8465" spans="3:3" x14ac:dyDescent="0.35">
      <c r="C8465" s="2"/>
    </row>
    <row r="8466" spans="3:3" x14ac:dyDescent="0.35">
      <c r="C8466" s="2"/>
    </row>
    <row r="8467" spans="3:3" x14ac:dyDescent="0.35">
      <c r="C8467" s="2"/>
    </row>
    <row r="8468" spans="3:3" x14ac:dyDescent="0.35">
      <c r="C8468" s="2"/>
    </row>
    <row r="8469" spans="3:3" x14ac:dyDescent="0.35">
      <c r="C8469" s="2"/>
    </row>
    <row r="8470" spans="3:3" x14ac:dyDescent="0.35">
      <c r="C8470" s="2"/>
    </row>
    <row r="8471" spans="3:3" x14ac:dyDescent="0.35">
      <c r="C8471" s="2"/>
    </row>
    <row r="8472" spans="3:3" x14ac:dyDescent="0.35">
      <c r="C8472" s="2"/>
    </row>
    <row r="8473" spans="3:3" x14ac:dyDescent="0.35">
      <c r="C8473" s="2"/>
    </row>
    <row r="8474" spans="3:3" x14ac:dyDescent="0.35">
      <c r="C8474" s="2"/>
    </row>
    <row r="8475" spans="3:3" x14ac:dyDescent="0.35">
      <c r="C8475" s="2"/>
    </row>
    <row r="8476" spans="3:3" x14ac:dyDescent="0.35">
      <c r="C8476" s="2"/>
    </row>
    <row r="8477" spans="3:3" x14ac:dyDescent="0.35">
      <c r="C8477" s="2"/>
    </row>
    <row r="8478" spans="3:3" x14ac:dyDescent="0.35">
      <c r="C8478" s="2"/>
    </row>
    <row r="8479" spans="3:3" x14ac:dyDescent="0.35">
      <c r="C8479" s="2"/>
    </row>
    <row r="8480" spans="3:3" x14ac:dyDescent="0.35">
      <c r="C8480" s="2"/>
    </row>
    <row r="8481" spans="3:3" x14ac:dyDescent="0.35">
      <c r="C8481" s="2"/>
    </row>
    <row r="8482" spans="3:3" x14ac:dyDescent="0.35">
      <c r="C8482" s="2"/>
    </row>
    <row r="8483" spans="3:3" x14ac:dyDescent="0.35">
      <c r="C8483" s="2"/>
    </row>
    <row r="8484" spans="3:3" x14ac:dyDescent="0.35">
      <c r="C8484" s="2"/>
    </row>
    <row r="8485" spans="3:3" x14ac:dyDescent="0.35">
      <c r="C8485" s="2"/>
    </row>
    <row r="8486" spans="3:3" x14ac:dyDescent="0.35">
      <c r="C8486" s="2"/>
    </row>
    <row r="8487" spans="3:3" x14ac:dyDescent="0.35">
      <c r="C8487" s="2"/>
    </row>
    <row r="8488" spans="3:3" x14ac:dyDescent="0.35">
      <c r="C8488" s="2"/>
    </row>
    <row r="8489" spans="3:3" x14ac:dyDescent="0.35">
      <c r="C8489" s="2"/>
    </row>
    <row r="8490" spans="3:3" x14ac:dyDescent="0.35">
      <c r="C8490" s="2"/>
    </row>
    <row r="8491" spans="3:3" x14ac:dyDescent="0.35">
      <c r="C8491" s="2"/>
    </row>
    <row r="8492" spans="3:3" x14ac:dyDescent="0.35">
      <c r="C8492" s="2"/>
    </row>
    <row r="8493" spans="3:3" x14ac:dyDescent="0.35">
      <c r="C8493" s="2"/>
    </row>
    <row r="8494" spans="3:3" x14ac:dyDescent="0.35">
      <c r="C8494" s="2"/>
    </row>
    <row r="8495" spans="3:3" x14ac:dyDescent="0.35">
      <c r="C8495" s="2"/>
    </row>
    <row r="8496" spans="3:3" x14ac:dyDescent="0.35">
      <c r="C8496" s="2"/>
    </row>
    <row r="8497" spans="3:3" x14ac:dyDescent="0.35">
      <c r="C8497" s="2"/>
    </row>
    <row r="8498" spans="3:3" x14ac:dyDescent="0.35">
      <c r="C8498" s="2"/>
    </row>
    <row r="8499" spans="3:3" x14ac:dyDescent="0.35">
      <c r="C8499" s="2"/>
    </row>
    <row r="8500" spans="3:3" x14ac:dyDescent="0.35">
      <c r="C8500" s="2"/>
    </row>
    <row r="8501" spans="3:3" x14ac:dyDescent="0.35">
      <c r="C8501" s="2"/>
    </row>
    <row r="8502" spans="3:3" x14ac:dyDescent="0.35">
      <c r="C8502" s="2"/>
    </row>
    <row r="8503" spans="3:3" x14ac:dyDescent="0.35">
      <c r="C8503" s="2"/>
    </row>
    <row r="8504" spans="3:3" x14ac:dyDescent="0.35">
      <c r="C8504" s="2"/>
    </row>
    <row r="8505" spans="3:3" x14ac:dyDescent="0.35">
      <c r="C8505" s="2"/>
    </row>
    <row r="8506" spans="3:3" x14ac:dyDescent="0.35">
      <c r="C8506" s="2"/>
    </row>
    <row r="8507" spans="3:3" x14ac:dyDescent="0.35">
      <c r="C8507" s="2"/>
    </row>
    <row r="8508" spans="3:3" x14ac:dyDescent="0.35">
      <c r="C8508" s="2"/>
    </row>
    <row r="8509" spans="3:3" x14ac:dyDescent="0.35">
      <c r="C8509" s="2"/>
    </row>
    <row r="8510" spans="3:3" x14ac:dyDescent="0.35">
      <c r="C8510" s="2"/>
    </row>
    <row r="8511" spans="3:3" x14ac:dyDescent="0.35">
      <c r="C8511" s="2"/>
    </row>
    <row r="8512" spans="3:3" x14ac:dyDescent="0.35">
      <c r="C8512" s="2"/>
    </row>
    <row r="8513" spans="3:3" x14ac:dyDescent="0.35">
      <c r="C8513" s="2"/>
    </row>
    <row r="8514" spans="3:3" x14ac:dyDescent="0.35">
      <c r="C8514" s="2"/>
    </row>
    <row r="8515" spans="3:3" x14ac:dyDescent="0.35">
      <c r="C8515" s="2"/>
    </row>
    <row r="8516" spans="3:3" x14ac:dyDescent="0.35">
      <c r="C8516" s="2"/>
    </row>
    <row r="8517" spans="3:3" x14ac:dyDescent="0.35">
      <c r="C8517" s="2"/>
    </row>
    <row r="8518" spans="3:3" x14ac:dyDescent="0.35">
      <c r="C8518" s="2"/>
    </row>
    <row r="8519" spans="3:3" x14ac:dyDescent="0.35">
      <c r="C8519" s="2"/>
    </row>
    <row r="8520" spans="3:3" x14ac:dyDescent="0.35">
      <c r="C8520" s="2"/>
    </row>
    <row r="8521" spans="3:3" x14ac:dyDescent="0.35">
      <c r="C8521" s="2"/>
    </row>
    <row r="8522" spans="3:3" x14ac:dyDescent="0.35">
      <c r="C8522" s="2"/>
    </row>
    <row r="8523" spans="3:3" x14ac:dyDescent="0.35">
      <c r="C8523" s="2"/>
    </row>
    <row r="8524" spans="3:3" x14ac:dyDescent="0.35">
      <c r="C8524" s="2"/>
    </row>
    <row r="8525" spans="3:3" x14ac:dyDescent="0.35">
      <c r="C8525" s="2"/>
    </row>
    <row r="8526" spans="3:3" x14ac:dyDescent="0.35">
      <c r="C8526" s="2"/>
    </row>
    <row r="8527" spans="3:3" x14ac:dyDescent="0.35">
      <c r="C8527" s="2"/>
    </row>
    <row r="8528" spans="3:3" x14ac:dyDescent="0.35">
      <c r="C8528" s="2"/>
    </row>
    <row r="8529" spans="3:3" x14ac:dyDescent="0.35">
      <c r="C8529" s="2"/>
    </row>
    <row r="8530" spans="3:3" x14ac:dyDescent="0.35">
      <c r="C8530" s="2"/>
    </row>
    <row r="8531" spans="3:3" x14ac:dyDescent="0.35">
      <c r="C8531" s="2"/>
    </row>
    <row r="8532" spans="3:3" x14ac:dyDescent="0.35">
      <c r="C8532" s="2"/>
    </row>
    <row r="8533" spans="3:3" x14ac:dyDescent="0.35">
      <c r="C8533" s="2"/>
    </row>
    <row r="8534" spans="3:3" x14ac:dyDescent="0.35">
      <c r="C8534" s="2"/>
    </row>
    <row r="8535" spans="3:3" x14ac:dyDescent="0.35">
      <c r="C8535" s="2"/>
    </row>
    <row r="8536" spans="3:3" x14ac:dyDescent="0.35">
      <c r="C8536" s="2"/>
    </row>
    <row r="8537" spans="3:3" x14ac:dyDescent="0.35">
      <c r="C8537" s="2"/>
    </row>
    <row r="8538" spans="3:3" x14ac:dyDescent="0.35">
      <c r="C8538" s="2"/>
    </row>
    <row r="8539" spans="3:3" x14ac:dyDescent="0.35">
      <c r="C8539" s="2"/>
    </row>
    <row r="8540" spans="3:3" x14ac:dyDescent="0.35">
      <c r="C8540" s="2"/>
    </row>
    <row r="8541" spans="3:3" x14ac:dyDescent="0.35">
      <c r="C8541" s="2"/>
    </row>
    <row r="8542" spans="3:3" x14ac:dyDescent="0.35">
      <c r="C8542" s="2"/>
    </row>
    <row r="8543" spans="3:3" x14ac:dyDescent="0.35">
      <c r="C8543" s="2"/>
    </row>
    <row r="8544" spans="3:3" x14ac:dyDescent="0.35">
      <c r="C8544" s="2"/>
    </row>
    <row r="8545" spans="3:3" x14ac:dyDescent="0.35">
      <c r="C8545" s="2"/>
    </row>
    <row r="8546" spans="3:3" x14ac:dyDescent="0.35">
      <c r="C8546" s="2"/>
    </row>
    <row r="8547" spans="3:3" x14ac:dyDescent="0.35">
      <c r="C8547" s="2"/>
    </row>
    <row r="8548" spans="3:3" x14ac:dyDescent="0.35">
      <c r="C8548" s="2"/>
    </row>
    <row r="8549" spans="3:3" x14ac:dyDescent="0.35">
      <c r="C8549" s="2"/>
    </row>
    <row r="8550" spans="3:3" x14ac:dyDescent="0.35">
      <c r="C8550" s="2"/>
    </row>
    <row r="8551" spans="3:3" x14ac:dyDescent="0.35">
      <c r="C8551" s="2"/>
    </row>
    <row r="8552" spans="3:3" x14ac:dyDescent="0.35">
      <c r="C8552" s="2"/>
    </row>
    <row r="8553" spans="3:3" x14ac:dyDescent="0.35">
      <c r="C8553" s="2"/>
    </row>
    <row r="8554" spans="3:3" x14ac:dyDescent="0.35">
      <c r="C8554" s="2"/>
    </row>
    <row r="8555" spans="3:3" x14ac:dyDescent="0.35">
      <c r="C8555" s="2"/>
    </row>
    <row r="8556" spans="3:3" x14ac:dyDescent="0.35">
      <c r="C8556" s="2"/>
    </row>
    <row r="8557" spans="3:3" x14ac:dyDescent="0.35">
      <c r="C8557" s="2"/>
    </row>
    <row r="8558" spans="3:3" x14ac:dyDescent="0.35">
      <c r="C8558" s="2"/>
    </row>
    <row r="8559" spans="3:3" x14ac:dyDescent="0.35">
      <c r="C8559" s="2"/>
    </row>
    <row r="8560" spans="3:3" x14ac:dyDescent="0.35">
      <c r="C8560" s="2"/>
    </row>
    <row r="8561" spans="3:3" x14ac:dyDescent="0.35">
      <c r="C8561" s="2"/>
    </row>
    <row r="8562" spans="3:3" x14ac:dyDescent="0.35">
      <c r="C8562" s="2"/>
    </row>
    <row r="8563" spans="3:3" x14ac:dyDescent="0.35">
      <c r="C8563" s="2"/>
    </row>
    <row r="8564" spans="3:3" x14ac:dyDescent="0.35">
      <c r="C8564" s="2"/>
    </row>
    <row r="8565" spans="3:3" x14ac:dyDescent="0.35">
      <c r="C8565" s="2"/>
    </row>
    <row r="8566" spans="3:3" x14ac:dyDescent="0.35">
      <c r="C8566" s="2"/>
    </row>
    <row r="8567" spans="3:3" x14ac:dyDescent="0.35">
      <c r="C8567" s="2"/>
    </row>
    <row r="8568" spans="3:3" x14ac:dyDescent="0.35">
      <c r="C8568" s="2"/>
    </row>
    <row r="8569" spans="3:3" x14ac:dyDescent="0.35">
      <c r="C8569" s="2"/>
    </row>
    <row r="8570" spans="3:3" x14ac:dyDescent="0.35">
      <c r="C8570" s="2"/>
    </row>
    <row r="8571" spans="3:3" x14ac:dyDescent="0.35">
      <c r="C8571" s="2"/>
    </row>
    <row r="8572" spans="3:3" x14ac:dyDescent="0.35">
      <c r="C8572" s="2"/>
    </row>
    <row r="8573" spans="3:3" x14ac:dyDescent="0.35">
      <c r="C8573" s="2"/>
    </row>
    <row r="8574" spans="3:3" x14ac:dyDescent="0.35">
      <c r="C8574" s="2"/>
    </row>
    <row r="8575" spans="3:3" x14ac:dyDescent="0.35">
      <c r="C8575" s="2"/>
    </row>
    <row r="8576" spans="3:3" x14ac:dyDescent="0.35">
      <c r="C8576" s="2"/>
    </row>
    <row r="8577" spans="3:3" x14ac:dyDescent="0.35">
      <c r="C8577" s="2"/>
    </row>
    <row r="8578" spans="3:3" x14ac:dyDescent="0.35">
      <c r="C8578" s="2"/>
    </row>
    <row r="8579" spans="3:3" x14ac:dyDescent="0.35">
      <c r="C8579" s="2"/>
    </row>
    <row r="8580" spans="3:3" x14ac:dyDescent="0.35">
      <c r="C8580" s="2"/>
    </row>
    <row r="8581" spans="3:3" x14ac:dyDescent="0.35">
      <c r="C8581" s="2"/>
    </row>
    <row r="8582" spans="3:3" x14ac:dyDescent="0.35">
      <c r="C8582" s="2"/>
    </row>
    <row r="8583" spans="3:3" x14ac:dyDescent="0.35">
      <c r="C8583" s="2"/>
    </row>
    <row r="8584" spans="3:3" x14ac:dyDescent="0.35">
      <c r="C8584" s="2"/>
    </row>
    <row r="8585" spans="3:3" x14ac:dyDescent="0.35">
      <c r="C8585" s="2"/>
    </row>
    <row r="8586" spans="3:3" x14ac:dyDescent="0.35">
      <c r="C8586" s="2"/>
    </row>
    <row r="8587" spans="3:3" x14ac:dyDescent="0.35">
      <c r="C8587" s="2"/>
    </row>
    <row r="8588" spans="3:3" x14ac:dyDescent="0.35">
      <c r="C8588" s="2"/>
    </row>
    <row r="8589" spans="3:3" x14ac:dyDescent="0.35">
      <c r="C8589" s="2"/>
    </row>
    <row r="8590" spans="3:3" x14ac:dyDescent="0.35">
      <c r="C8590" s="2"/>
    </row>
    <row r="8591" spans="3:3" x14ac:dyDescent="0.35">
      <c r="C8591" s="2"/>
    </row>
    <row r="8592" spans="3:3" x14ac:dyDescent="0.35">
      <c r="C8592" s="2"/>
    </row>
    <row r="8593" spans="3:3" x14ac:dyDescent="0.35">
      <c r="C8593" s="2"/>
    </row>
    <row r="8594" spans="3:3" x14ac:dyDescent="0.35">
      <c r="C8594" s="2"/>
    </row>
    <row r="8595" spans="3:3" x14ac:dyDescent="0.35">
      <c r="C8595" s="2"/>
    </row>
    <row r="8596" spans="3:3" x14ac:dyDescent="0.35">
      <c r="C8596" s="2"/>
    </row>
    <row r="8597" spans="3:3" x14ac:dyDescent="0.35">
      <c r="C8597" s="2"/>
    </row>
    <row r="8598" spans="3:3" x14ac:dyDescent="0.35">
      <c r="C8598" s="2"/>
    </row>
    <row r="8599" spans="3:3" x14ac:dyDescent="0.35">
      <c r="C8599" s="2"/>
    </row>
    <row r="8600" spans="3:3" x14ac:dyDescent="0.35">
      <c r="C8600" s="2"/>
    </row>
    <row r="8601" spans="3:3" x14ac:dyDescent="0.35">
      <c r="C8601" s="2"/>
    </row>
    <row r="8602" spans="3:3" x14ac:dyDescent="0.35">
      <c r="C8602" s="2"/>
    </row>
    <row r="8603" spans="3:3" x14ac:dyDescent="0.35">
      <c r="C8603" s="2"/>
    </row>
    <row r="8604" spans="3:3" x14ac:dyDescent="0.35">
      <c r="C8604" s="2"/>
    </row>
    <row r="8605" spans="3:3" x14ac:dyDescent="0.35">
      <c r="C8605" s="2"/>
    </row>
    <row r="8606" spans="3:3" x14ac:dyDescent="0.35">
      <c r="C8606" s="2"/>
    </row>
    <row r="8607" spans="3:3" x14ac:dyDescent="0.35">
      <c r="C8607" s="2"/>
    </row>
    <row r="8608" spans="3:3" x14ac:dyDescent="0.35">
      <c r="C8608" s="2"/>
    </row>
    <row r="8609" spans="3:3" x14ac:dyDescent="0.35">
      <c r="C8609" s="2"/>
    </row>
    <row r="8610" spans="3:3" x14ac:dyDescent="0.35">
      <c r="C8610" s="2"/>
    </row>
    <row r="8611" spans="3:3" x14ac:dyDescent="0.35">
      <c r="C8611" s="2"/>
    </row>
    <row r="8612" spans="3:3" x14ac:dyDescent="0.35">
      <c r="C8612" s="2"/>
    </row>
    <row r="8613" spans="3:3" x14ac:dyDescent="0.35">
      <c r="C8613" s="2"/>
    </row>
    <row r="8614" spans="3:3" x14ac:dyDescent="0.35">
      <c r="C8614" s="2"/>
    </row>
    <row r="8615" spans="3:3" x14ac:dyDescent="0.35">
      <c r="C8615" s="2"/>
    </row>
    <row r="8616" spans="3:3" x14ac:dyDescent="0.35">
      <c r="C8616" s="2"/>
    </row>
    <row r="8617" spans="3:3" x14ac:dyDescent="0.35">
      <c r="C8617" s="2"/>
    </row>
    <row r="8618" spans="3:3" x14ac:dyDescent="0.35">
      <c r="C8618" s="2"/>
    </row>
    <row r="8619" spans="3:3" x14ac:dyDescent="0.35">
      <c r="C8619" s="2"/>
    </row>
    <row r="8620" spans="3:3" x14ac:dyDescent="0.35">
      <c r="C8620" s="2"/>
    </row>
    <row r="8621" spans="3:3" x14ac:dyDescent="0.35">
      <c r="C8621" s="2"/>
    </row>
    <row r="8622" spans="3:3" x14ac:dyDescent="0.35">
      <c r="C8622" s="2"/>
    </row>
    <row r="8623" spans="3:3" x14ac:dyDescent="0.35">
      <c r="C8623" s="2"/>
    </row>
    <row r="8624" spans="3:3" x14ac:dyDescent="0.35">
      <c r="C8624" s="2"/>
    </row>
    <row r="8625" spans="3:3" x14ac:dyDescent="0.35">
      <c r="C8625" s="2"/>
    </row>
    <row r="8626" spans="3:3" x14ac:dyDescent="0.35">
      <c r="C8626" s="2"/>
    </row>
    <row r="8627" spans="3:3" x14ac:dyDescent="0.35">
      <c r="C8627" s="2"/>
    </row>
    <row r="8628" spans="3:3" x14ac:dyDescent="0.35">
      <c r="C8628" s="2"/>
    </row>
    <row r="8629" spans="3:3" x14ac:dyDescent="0.35">
      <c r="C8629" s="2"/>
    </row>
    <row r="8630" spans="3:3" x14ac:dyDescent="0.35">
      <c r="C8630" s="2"/>
    </row>
    <row r="8631" spans="3:3" x14ac:dyDescent="0.35">
      <c r="C8631" s="2"/>
    </row>
    <row r="8632" spans="3:3" x14ac:dyDescent="0.35">
      <c r="C8632" s="2"/>
    </row>
    <row r="8633" spans="3:3" x14ac:dyDescent="0.35">
      <c r="C8633" s="2"/>
    </row>
    <row r="8634" spans="3:3" x14ac:dyDescent="0.35">
      <c r="C8634" s="2"/>
    </row>
    <row r="8635" spans="3:3" x14ac:dyDescent="0.35">
      <c r="C8635" s="2"/>
    </row>
    <row r="8636" spans="3:3" x14ac:dyDescent="0.35">
      <c r="C8636" s="2"/>
    </row>
    <row r="8637" spans="3:3" x14ac:dyDescent="0.35">
      <c r="C8637" s="2"/>
    </row>
    <row r="8638" spans="3:3" x14ac:dyDescent="0.35">
      <c r="C8638" s="2"/>
    </row>
    <row r="8639" spans="3:3" x14ac:dyDescent="0.35">
      <c r="C8639" s="2"/>
    </row>
    <row r="8640" spans="3:3" x14ac:dyDescent="0.35">
      <c r="C8640" s="2"/>
    </row>
    <row r="8641" spans="3:3" x14ac:dyDescent="0.35">
      <c r="C8641" s="2"/>
    </row>
    <row r="8642" spans="3:3" x14ac:dyDescent="0.35">
      <c r="C8642" s="2"/>
    </row>
    <row r="8643" spans="3:3" x14ac:dyDescent="0.35">
      <c r="C8643" s="2"/>
    </row>
    <row r="8644" spans="3:3" x14ac:dyDescent="0.35">
      <c r="C8644" s="2"/>
    </row>
    <row r="8645" spans="3:3" x14ac:dyDescent="0.35">
      <c r="C8645" s="2"/>
    </row>
    <row r="8646" spans="3:3" x14ac:dyDescent="0.35">
      <c r="C8646" s="2"/>
    </row>
    <row r="8647" spans="3:3" x14ac:dyDescent="0.35">
      <c r="C8647" s="2"/>
    </row>
    <row r="8648" spans="3:3" x14ac:dyDescent="0.35">
      <c r="C8648" s="2"/>
    </row>
    <row r="8649" spans="3:3" x14ac:dyDescent="0.35">
      <c r="C8649" s="2"/>
    </row>
    <row r="8650" spans="3:3" x14ac:dyDescent="0.35">
      <c r="C8650" s="2"/>
    </row>
    <row r="8651" spans="3:3" x14ac:dyDescent="0.35">
      <c r="C8651" s="2"/>
    </row>
    <row r="8652" spans="3:3" x14ac:dyDescent="0.35">
      <c r="C8652" s="2"/>
    </row>
    <row r="8653" spans="3:3" x14ac:dyDescent="0.35">
      <c r="C8653" s="2"/>
    </row>
    <row r="8654" spans="3:3" x14ac:dyDescent="0.35">
      <c r="C8654" s="2"/>
    </row>
    <row r="8655" spans="3:3" x14ac:dyDescent="0.35">
      <c r="C8655" s="2"/>
    </row>
    <row r="8656" spans="3:3" x14ac:dyDescent="0.35">
      <c r="C8656" s="2"/>
    </row>
    <row r="8657" spans="3:3" x14ac:dyDescent="0.35">
      <c r="C8657" s="2"/>
    </row>
    <row r="8658" spans="3:3" x14ac:dyDescent="0.35">
      <c r="C8658" s="2"/>
    </row>
    <row r="8659" spans="3:3" x14ac:dyDescent="0.35">
      <c r="C8659" s="2"/>
    </row>
    <row r="8660" spans="3:3" x14ac:dyDescent="0.35">
      <c r="C8660" s="2"/>
    </row>
    <row r="8661" spans="3:3" x14ac:dyDescent="0.35">
      <c r="C8661" s="2"/>
    </row>
    <row r="8662" spans="3:3" x14ac:dyDescent="0.35">
      <c r="C8662" s="2"/>
    </row>
    <row r="8663" spans="3:3" x14ac:dyDescent="0.35">
      <c r="C8663" s="2"/>
    </row>
    <row r="8664" spans="3:3" x14ac:dyDescent="0.35">
      <c r="C8664" s="2"/>
    </row>
    <row r="8665" spans="3:3" x14ac:dyDescent="0.35">
      <c r="C8665" s="2"/>
    </row>
    <row r="8666" spans="3:3" x14ac:dyDescent="0.35">
      <c r="C8666" s="2"/>
    </row>
    <row r="8667" spans="3:3" x14ac:dyDescent="0.35">
      <c r="C8667" s="2"/>
    </row>
    <row r="8668" spans="3:3" x14ac:dyDescent="0.35">
      <c r="C8668" s="2"/>
    </row>
    <row r="8669" spans="3:3" x14ac:dyDescent="0.35">
      <c r="C8669" s="2"/>
    </row>
    <row r="8670" spans="3:3" x14ac:dyDescent="0.35">
      <c r="C8670" s="2"/>
    </row>
    <row r="8671" spans="3:3" x14ac:dyDescent="0.35">
      <c r="C8671" s="2"/>
    </row>
    <row r="8672" spans="3:3" x14ac:dyDescent="0.35">
      <c r="C8672" s="2"/>
    </row>
    <row r="8673" spans="3:3" x14ac:dyDescent="0.35">
      <c r="C8673" s="2"/>
    </row>
    <row r="8674" spans="3:3" x14ac:dyDescent="0.35">
      <c r="C8674" s="2"/>
    </row>
    <row r="8675" spans="3:3" x14ac:dyDescent="0.35">
      <c r="C8675" s="2"/>
    </row>
    <row r="8676" spans="3:3" x14ac:dyDescent="0.35">
      <c r="C8676" s="2"/>
    </row>
    <row r="8677" spans="3:3" x14ac:dyDescent="0.35">
      <c r="C8677" s="2"/>
    </row>
    <row r="8678" spans="3:3" x14ac:dyDescent="0.35">
      <c r="C8678" s="2"/>
    </row>
    <row r="8679" spans="3:3" x14ac:dyDescent="0.35">
      <c r="C8679" s="2"/>
    </row>
    <row r="8680" spans="3:3" x14ac:dyDescent="0.35">
      <c r="C8680" s="2"/>
    </row>
    <row r="8681" spans="3:3" x14ac:dyDescent="0.35">
      <c r="C8681" s="2"/>
    </row>
    <row r="8682" spans="3:3" x14ac:dyDescent="0.35">
      <c r="C8682" s="2"/>
    </row>
    <row r="8683" spans="3:3" x14ac:dyDescent="0.35">
      <c r="C8683" s="2"/>
    </row>
    <row r="8684" spans="3:3" x14ac:dyDescent="0.35">
      <c r="C8684" s="2"/>
    </row>
    <row r="8685" spans="3:3" x14ac:dyDescent="0.35">
      <c r="C8685" s="2"/>
    </row>
    <row r="8686" spans="3:3" x14ac:dyDescent="0.35">
      <c r="C8686" s="2"/>
    </row>
    <row r="8687" spans="3:3" x14ac:dyDescent="0.35">
      <c r="C8687" s="2"/>
    </row>
    <row r="8688" spans="3:3" x14ac:dyDescent="0.35">
      <c r="C8688" s="2"/>
    </row>
    <row r="8689" spans="3:3" x14ac:dyDescent="0.35">
      <c r="C8689" s="2"/>
    </row>
    <row r="8690" spans="3:3" x14ac:dyDescent="0.35">
      <c r="C8690" s="2"/>
    </row>
    <row r="8691" spans="3:3" x14ac:dyDescent="0.35">
      <c r="C8691" s="2"/>
    </row>
    <row r="8692" spans="3:3" x14ac:dyDescent="0.35">
      <c r="C8692" s="2"/>
    </row>
    <row r="8693" spans="3:3" x14ac:dyDescent="0.35">
      <c r="C8693" s="2"/>
    </row>
    <row r="8694" spans="3:3" x14ac:dyDescent="0.35">
      <c r="C8694" s="2"/>
    </row>
    <row r="8695" spans="3:3" x14ac:dyDescent="0.35">
      <c r="C8695" s="2"/>
    </row>
    <row r="8696" spans="3:3" x14ac:dyDescent="0.35">
      <c r="C8696" s="2"/>
    </row>
    <row r="8697" spans="3:3" x14ac:dyDescent="0.35">
      <c r="C8697" s="2"/>
    </row>
    <row r="8698" spans="3:3" x14ac:dyDescent="0.35">
      <c r="C8698" s="2"/>
    </row>
    <row r="8699" spans="3:3" x14ac:dyDescent="0.35">
      <c r="C8699" s="2"/>
    </row>
    <row r="8700" spans="3:3" x14ac:dyDescent="0.35">
      <c r="C8700" s="2"/>
    </row>
    <row r="8701" spans="3:3" x14ac:dyDescent="0.35">
      <c r="C8701" s="2"/>
    </row>
    <row r="8702" spans="3:3" x14ac:dyDescent="0.35">
      <c r="C8702" s="2"/>
    </row>
    <row r="8703" spans="3:3" x14ac:dyDescent="0.35">
      <c r="C8703" s="2"/>
    </row>
    <row r="8704" spans="3:3" x14ac:dyDescent="0.35">
      <c r="C8704" s="2"/>
    </row>
    <row r="8705" spans="3:3" x14ac:dyDescent="0.35">
      <c r="C8705" s="2"/>
    </row>
    <row r="8706" spans="3:3" x14ac:dyDescent="0.35">
      <c r="C8706" s="2"/>
    </row>
    <row r="8707" spans="3:3" x14ac:dyDescent="0.35">
      <c r="C8707" s="2"/>
    </row>
    <row r="8708" spans="3:3" x14ac:dyDescent="0.35">
      <c r="C8708" s="2"/>
    </row>
    <row r="8709" spans="3:3" x14ac:dyDescent="0.35">
      <c r="C8709" s="2"/>
    </row>
    <row r="8710" spans="3:3" x14ac:dyDescent="0.35">
      <c r="C8710" s="2"/>
    </row>
    <row r="8711" spans="3:3" x14ac:dyDescent="0.35">
      <c r="C8711" s="2"/>
    </row>
    <row r="8712" spans="3:3" x14ac:dyDescent="0.35">
      <c r="C8712" s="2"/>
    </row>
    <row r="8713" spans="3:3" x14ac:dyDescent="0.35">
      <c r="C8713" s="2"/>
    </row>
    <row r="8714" spans="3:3" x14ac:dyDescent="0.35">
      <c r="C8714" s="2"/>
    </row>
    <row r="8715" spans="3:3" x14ac:dyDescent="0.35">
      <c r="C8715" s="2"/>
    </row>
    <row r="8716" spans="3:3" x14ac:dyDescent="0.35">
      <c r="C8716" s="2"/>
    </row>
    <row r="8717" spans="3:3" x14ac:dyDescent="0.35">
      <c r="C8717" s="2"/>
    </row>
    <row r="8718" spans="3:3" x14ac:dyDescent="0.35">
      <c r="C8718" s="2"/>
    </row>
    <row r="8719" spans="3:3" x14ac:dyDescent="0.35">
      <c r="C8719" s="2"/>
    </row>
    <row r="8720" spans="3:3" x14ac:dyDescent="0.35">
      <c r="C8720" s="2"/>
    </row>
    <row r="8721" spans="3:3" x14ac:dyDescent="0.35">
      <c r="C8721" s="2"/>
    </row>
    <row r="8722" spans="3:3" x14ac:dyDescent="0.35">
      <c r="C8722" s="2"/>
    </row>
    <row r="8723" spans="3:3" x14ac:dyDescent="0.35">
      <c r="C8723" s="2"/>
    </row>
    <row r="8724" spans="3:3" x14ac:dyDescent="0.35">
      <c r="C8724" s="2"/>
    </row>
    <row r="8725" spans="3:3" x14ac:dyDescent="0.35">
      <c r="C8725" s="2"/>
    </row>
    <row r="8726" spans="3:3" x14ac:dyDescent="0.35">
      <c r="C8726" s="2"/>
    </row>
    <row r="8727" spans="3:3" x14ac:dyDescent="0.35">
      <c r="C8727" s="2"/>
    </row>
    <row r="8728" spans="3:3" x14ac:dyDescent="0.35">
      <c r="C8728" s="2"/>
    </row>
    <row r="8729" spans="3:3" x14ac:dyDescent="0.35">
      <c r="C8729" s="2"/>
    </row>
    <row r="8730" spans="3:3" x14ac:dyDescent="0.35">
      <c r="C8730" s="2"/>
    </row>
    <row r="8731" spans="3:3" x14ac:dyDescent="0.35">
      <c r="C8731" s="2"/>
    </row>
    <row r="8732" spans="3:3" x14ac:dyDescent="0.35">
      <c r="C8732" s="2"/>
    </row>
    <row r="8733" spans="3:3" x14ac:dyDescent="0.35">
      <c r="C8733" s="2"/>
    </row>
    <row r="8734" spans="3:3" x14ac:dyDescent="0.35">
      <c r="C8734" s="2"/>
    </row>
    <row r="8735" spans="3:3" x14ac:dyDescent="0.35">
      <c r="C8735" s="2"/>
    </row>
    <row r="8736" spans="3:3" x14ac:dyDescent="0.35">
      <c r="C8736" s="2"/>
    </row>
    <row r="8737" spans="3:3" x14ac:dyDescent="0.35">
      <c r="C8737" s="2"/>
    </row>
    <row r="8738" spans="3:3" x14ac:dyDescent="0.35">
      <c r="C8738" s="2"/>
    </row>
    <row r="8739" spans="3:3" x14ac:dyDescent="0.35">
      <c r="C8739" s="2"/>
    </row>
    <row r="8740" spans="3:3" x14ac:dyDescent="0.35">
      <c r="C8740" s="2"/>
    </row>
    <row r="8741" spans="3:3" x14ac:dyDescent="0.35">
      <c r="C8741" s="2"/>
    </row>
    <row r="8742" spans="3:3" x14ac:dyDescent="0.35">
      <c r="C8742" s="2"/>
    </row>
    <row r="8743" spans="3:3" x14ac:dyDescent="0.35">
      <c r="C8743" s="2"/>
    </row>
    <row r="8744" spans="3:3" x14ac:dyDescent="0.35">
      <c r="C8744" s="2"/>
    </row>
    <row r="8745" spans="3:3" x14ac:dyDescent="0.35">
      <c r="C8745" s="2"/>
    </row>
    <row r="8746" spans="3:3" x14ac:dyDescent="0.35">
      <c r="C8746" s="2"/>
    </row>
    <row r="8747" spans="3:3" x14ac:dyDescent="0.35">
      <c r="C8747" s="2"/>
    </row>
    <row r="8748" spans="3:3" x14ac:dyDescent="0.35">
      <c r="C8748" s="2"/>
    </row>
    <row r="8749" spans="3:3" x14ac:dyDescent="0.35">
      <c r="C8749" s="2"/>
    </row>
    <row r="8750" spans="3:3" x14ac:dyDescent="0.35">
      <c r="C8750" s="2"/>
    </row>
    <row r="8751" spans="3:3" x14ac:dyDescent="0.35">
      <c r="C8751" s="2"/>
    </row>
    <row r="8752" spans="3:3" x14ac:dyDescent="0.35">
      <c r="C8752" s="2"/>
    </row>
    <row r="8753" spans="3:3" x14ac:dyDescent="0.35">
      <c r="C8753" s="2"/>
    </row>
    <row r="8754" spans="3:3" x14ac:dyDescent="0.35">
      <c r="C8754" s="2"/>
    </row>
    <row r="8755" spans="3:3" x14ac:dyDescent="0.35">
      <c r="C8755" s="2"/>
    </row>
    <row r="8756" spans="3:3" x14ac:dyDescent="0.35">
      <c r="C8756" s="2"/>
    </row>
    <row r="8757" spans="3:3" x14ac:dyDescent="0.35">
      <c r="C8757" s="2"/>
    </row>
    <row r="8758" spans="3:3" x14ac:dyDescent="0.35">
      <c r="C8758" s="2"/>
    </row>
    <row r="8759" spans="3:3" x14ac:dyDescent="0.35">
      <c r="C8759" s="2"/>
    </row>
    <row r="8760" spans="3:3" x14ac:dyDescent="0.35">
      <c r="C8760" s="2"/>
    </row>
    <row r="8761" spans="3:3" x14ac:dyDescent="0.35">
      <c r="C8761" s="2"/>
    </row>
    <row r="8762" spans="3:3" x14ac:dyDescent="0.35">
      <c r="C8762" s="2"/>
    </row>
    <row r="8763" spans="3:3" x14ac:dyDescent="0.35">
      <c r="C8763" s="2"/>
    </row>
    <row r="8764" spans="3:3" x14ac:dyDescent="0.35">
      <c r="C8764" s="2"/>
    </row>
    <row r="8765" spans="3:3" x14ac:dyDescent="0.35">
      <c r="C8765" s="2"/>
    </row>
    <row r="8766" spans="3:3" x14ac:dyDescent="0.35">
      <c r="C8766" s="2"/>
    </row>
    <row r="8767" spans="3:3" x14ac:dyDescent="0.35">
      <c r="C8767" s="2"/>
    </row>
    <row r="8768" spans="3:3" x14ac:dyDescent="0.35">
      <c r="C8768" s="2"/>
    </row>
    <row r="8769" spans="3:3" x14ac:dyDescent="0.35">
      <c r="C8769" s="2"/>
    </row>
    <row r="8770" spans="3:3" x14ac:dyDescent="0.35">
      <c r="C8770" s="2"/>
    </row>
    <row r="8771" spans="3:3" x14ac:dyDescent="0.35">
      <c r="C8771" s="2"/>
    </row>
    <row r="8772" spans="3:3" x14ac:dyDescent="0.35">
      <c r="C8772" s="2"/>
    </row>
    <row r="8773" spans="3:3" x14ac:dyDescent="0.35">
      <c r="C8773" s="2"/>
    </row>
    <row r="8774" spans="3:3" x14ac:dyDescent="0.35">
      <c r="C8774" s="2"/>
    </row>
    <row r="8775" spans="3:3" x14ac:dyDescent="0.35">
      <c r="C8775" s="2"/>
    </row>
    <row r="8776" spans="3:3" x14ac:dyDescent="0.35">
      <c r="C8776" s="2"/>
    </row>
    <row r="8777" spans="3:3" x14ac:dyDescent="0.35">
      <c r="C8777" s="2"/>
    </row>
    <row r="8778" spans="3:3" x14ac:dyDescent="0.35">
      <c r="C8778" s="2"/>
    </row>
    <row r="8779" spans="3:3" x14ac:dyDescent="0.35">
      <c r="C8779" s="2"/>
    </row>
    <row r="8780" spans="3:3" x14ac:dyDescent="0.35">
      <c r="C8780" s="2"/>
    </row>
    <row r="8781" spans="3:3" x14ac:dyDescent="0.35">
      <c r="C8781" s="2"/>
    </row>
    <row r="8782" spans="3:3" x14ac:dyDescent="0.35">
      <c r="C8782" s="2"/>
    </row>
    <row r="8783" spans="3:3" x14ac:dyDescent="0.35">
      <c r="C8783" s="2"/>
    </row>
    <row r="8784" spans="3:3" x14ac:dyDescent="0.35">
      <c r="C8784" s="2"/>
    </row>
    <row r="8785" spans="3:3" x14ac:dyDescent="0.35">
      <c r="C8785" s="2"/>
    </row>
    <row r="8786" spans="3:3" x14ac:dyDescent="0.35">
      <c r="C8786" s="2"/>
    </row>
    <row r="8787" spans="3:3" x14ac:dyDescent="0.35">
      <c r="C8787" s="2"/>
    </row>
    <row r="8788" spans="3:3" x14ac:dyDescent="0.35">
      <c r="C8788" s="2"/>
    </row>
    <row r="8789" spans="3:3" x14ac:dyDescent="0.35">
      <c r="C8789" s="2"/>
    </row>
    <row r="8790" spans="3:3" x14ac:dyDescent="0.35">
      <c r="C8790" s="2"/>
    </row>
    <row r="8791" spans="3:3" x14ac:dyDescent="0.35">
      <c r="C8791" s="2"/>
    </row>
    <row r="8792" spans="3:3" x14ac:dyDescent="0.35">
      <c r="C8792" s="2"/>
    </row>
    <row r="8793" spans="3:3" x14ac:dyDescent="0.35">
      <c r="C8793" s="2"/>
    </row>
    <row r="8794" spans="3:3" x14ac:dyDescent="0.35">
      <c r="C8794" s="2"/>
    </row>
    <row r="8795" spans="3:3" x14ac:dyDescent="0.35">
      <c r="C8795" s="2"/>
    </row>
    <row r="8796" spans="3:3" x14ac:dyDescent="0.35">
      <c r="C8796" s="2"/>
    </row>
    <row r="8797" spans="3:3" x14ac:dyDescent="0.35">
      <c r="C8797" s="2"/>
    </row>
    <row r="8798" spans="3:3" x14ac:dyDescent="0.35">
      <c r="C8798" s="2"/>
    </row>
    <row r="8799" spans="3:3" x14ac:dyDescent="0.35">
      <c r="C8799" s="2"/>
    </row>
    <row r="8800" spans="3:3" x14ac:dyDescent="0.35">
      <c r="C8800" s="2"/>
    </row>
    <row r="8801" spans="3:3" x14ac:dyDescent="0.35">
      <c r="C8801" s="2"/>
    </row>
    <row r="8802" spans="3:3" x14ac:dyDescent="0.35">
      <c r="C8802" s="2"/>
    </row>
    <row r="8803" spans="3:3" x14ac:dyDescent="0.35">
      <c r="C8803" s="2"/>
    </row>
    <row r="8804" spans="3:3" x14ac:dyDescent="0.35">
      <c r="C8804" s="2"/>
    </row>
    <row r="8805" spans="3:3" x14ac:dyDescent="0.35">
      <c r="C8805" s="2"/>
    </row>
    <row r="8806" spans="3:3" x14ac:dyDescent="0.35">
      <c r="C8806" s="2"/>
    </row>
    <row r="8807" spans="3:3" x14ac:dyDescent="0.35">
      <c r="C8807" s="2"/>
    </row>
    <row r="8808" spans="3:3" x14ac:dyDescent="0.35">
      <c r="C8808" s="2"/>
    </row>
    <row r="8809" spans="3:3" x14ac:dyDescent="0.35">
      <c r="C8809" s="2"/>
    </row>
    <row r="8810" spans="3:3" x14ac:dyDescent="0.35">
      <c r="C8810" s="2"/>
    </row>
    <row r="8811" spans="3:3" x14ac:dyDescent="0.35">
      <c r="C8811" s="2"/>
    </row>
    <row r="8812" spans="3:3" x14ac:dyDescent="0.35">
      <c r="C8812" s="2"/>
    </row>
    <row r="8813" spans="3:3" x14ac:dyDescent="0.35">
      <c r="C8813" s="2"/>
    </row>
    <row r="8814" spans="3:3" x14ac:dyDescent="0.35">
      <c r="C8814" s="2"/>
    </row>
    <row r="8815" spans="3:3" x14ac:dyDescent="0.35">
      <c r="C8815" s="2"/>
    </row>
    <row r="8816" spans="3:3" x14ac:dyDescent="0.35">
      <c r="C8816" s="2"/>
    </row>
    <row r="8817" spans="3:3" x14ac:dyDescent="0.35">
      <c r="C8817" s="2"/>
    </row>
    <row r="8818" spans="3:3" x14ac:dyDescent="0.35">
      <c r="C8818" s="2"/>
    </row>
    <row r="8819" spans="3:3" x14ac:dyDescent="0.35">
      <c r="C8819" s="2"/>
    </row>
    <row r="8820" spans="3:3" x14ac:dyDescent="0.35">
      <c r="C8820" s="2"/>
    </row>
    <row r="8821" spans="3:3" x14ac:dyDescent="0.35">
      <c r="C8821" s="2"/>
    </row>
    <row r="8822" spans="3:3" x14ac:dyDescent="0.35">
      <c r="C8822" s="2"/>
    </row>
    <row r="8823" spans="3:3" x14ac:dyDescent="0.35">
      <c r="C8823" s="2"/>
    </row>
    <row r="8824" spans="3:3" x14ac:dyDescent="0.35">
      <c r="C8824" s="2"/>
    </row>
    <row r="8825" spans="3:3" x14ac:dyDescent="0.35">
      <c r="C8825" s="2"/>
    </row>
    <row r="8826" spans="3:3" x14ac:dyDescent="0.35">
      <c r="C8826" s="2"/>
    </row>
    <row r="8827" spans="3:3" x14ac:dyDescent="0.35">
      <c r="C8827" s="2"/>
    </row>
    <row r="8828" spans="3:3" x14ac:dyDescent="0.35">
      <c r="C8828" s="2"/>
    </row>
    <row r="8829" spans="3:3" x14ac:dyDescent="0.35">
      <c r="C8829" s="2"/>
    </row>
    <row r="8830" spans="3:3" x14ac:dyDescent="0.35">
      <c r="C8830" s="2"/>
    </row>
    <row r="8831" spans="3:3" x14ac:dyDescent="0.35">
      <c r="C8831" s="2"/>
    </row>
    <row r="8832" spans="3:3" x14ac:dyDescent="0.35">
      <c r="C8832" s="2"/>
    </row>
    <row r="8833" spans="3:3" x14ac:dyDescent="0.35">
      <c r="C8833" s="2"/>
    </row>
    <row r="8834" spans="3:3" x14ac:dyDescent="0.35">
      <c r="C8834" s="2"/>
    </row>
    <row r="8835" spans="3:3" x14ac:dyDescent="0.35">
      <c r="C8835" s="2"/>
    </row>
    <row r="8836" spans="3:3" x14ac:dyDescent="0.35">
      <c r="C8836" s="2"/>
    </row>
    <row r="8837" spans="3:3" x14ac:dyDescent="0.35">
      <c r="C8837" s="2"/>
    </row>
    <row r="8838" spans="3:3" x14ac:dyDescent="0.35">
      <c r="C8838" s="2"/>
    </row>
    <row r="8839" spans="3:3" x14ac:dyDescent="0.35">
      <c r="C8839" s="2"/>
    </row>
    <row r="8840" spans="3:3" x14ac:dyDescent="0.35">
      <c r="C8840" s="2"/>
    </row>
    <row r="8841" spans="3:3" x14ac:dyDescent="0.35">
      <c r="C8841" s="2"/>
    </row>
    <row r="8842" spans="3:3" x14ac:dyDescent="0.35">
      <c r="C8842" s="2"/>
    </row>
    <row r="8843" spans="3:3" x14ac:dyDescent="0.35">
      <c r="C8843" s="2"/>
    </row>
    <row r="8844" spans="3:3" x14ac:dyDescent="0.35">
      <c r="C8844" s="2"/>
    </row>
    <row r="8845" spans="3:3" x14ac:dyDescent="0.35">
      <c r="C8845" s="2"/>
    </row>
    <row r="8846" spans="3:3" x14ac:dyDescent="0.35">
      <c r="C8846" s="2"/>
    </row>
    <row r="8847" spans="3:3" x14ac:dyDescent="0.35">
      <c r="C8847" s="2"/>
    </row>
    <row r="8848" spans="3:3" x14ac:dyDescent="0.35">
      <c r="C8848" s="2"/>
    </row>
    <row r="8849" spans="3:3" x14ac:dyDescent="0.35">
      <c r="C8849" s="2"/>
    </row>
    <row r="8850" spans="3:3" x14ac:dyDescent="0.35">
      <c r="C8850" s="2"/>
    </row>
    <row r="8851" spans="3:3" x14ac:dyDescent="0.35">
      <c r="C8851" s="2"/>
    </row>
    <row r="8852" spans="3:3" x14ac:dyDescent="0.35">
      <c r="C8852" s="2"/>
    </row>
    <row r="8853" spans="3:3" x14ac:dyDescent="0.35">
      <c r="C8853" s="2"/>
    </row>
    <row r="8854" spans="3:3" x14ac:dyDescent="0.35">
      <c r="C8854" s="2"/>
    </row>
    <row r="8855" spans="3:3" x14ac:dyDescent="0.35">
      <c r="C8855" s="2"/>
    </row>
    <row r="8856" spans="3:3" x14ac:dyDescent="0.35">
      <c r="C8856" s="2"/>
    </row>
    <row r="8857" spans="3:3" x14ac:dyDescent="0.35">
      <c r="C8857" s="2"/>
    </row>
    <row r="8858" spans="3:3" x14ac:dyDescent="0.35">
      <c r="C8858" s="2"/>
    </row>
    <row r="8859" spans="3:3" x14ac:dyDescent="0.35">
      <c r="C8859" s="2"/>
    </row>
    <row r="8860" spans="3:3" x14ac:dyDescent="0.35">
      <c r="C8860" s="2"/>
    </row>
    <row r="8861" spans="3:3" x14ac:dyDescent="0.35">
      <c r="C8861" s="2"/>
    </row>
    <row r="8862" spans="3:3" x14ac:dyDescent="0.35">
      <c r="C8862" s="2"/>
    </row>
    <row r="8863" spans="3:3" x14ac:dyDescent="0.35">
      <c r="C8863" s="2"/>
    </row>
    <row r="8864" spans="3:3" x14ac:dyDescent="0.35">
      <c r="C8864" s="2"/>
    </row>
    <row r="8865" spans="3:3" x14ac:dyDescent="0.35">
      <c r="C8865" s="2"/>
    </row>
    <row r="8866" spans="3:3" x14ac:dyDescent="0.35">
      <c r="C8866" s="2"/>
    </row>
    <row r="8867" spans="3:3" x14ac:dyDescent="0.35">
      <c r="C8867" s="2"/>
    </row>
    <row r="8868" spans="3:3" x14ac:dyDescent="0.35">
      <c r="C8868" s="2"/>
    </row>
    <row r="8869" spans="3:3" x14ac:dyDescent="0.35">
      <c r="C8869" s="2"/>
    </row>
    <row r="8870" spans="3:3" x14ac:dyDescent="0.35">
      <c r="C8870" s="2"/>
    </row>
    <row r="8871" spans="3:3" x14ac:dyDescent="0.35">
      <c r="C8871" s="2"/>
    </row>
    <row r="8872" spans="3:3" x14ac:dyDescent="0.35">
      <c r="C8872" s="2"/>
    </row>
    <row r="8873" spans="3:3" x14ac:dyDescent="0.35">
      <c r="C8873" s="2"/>
    </row>
    <row r="8874" spans="3:3" x14ac:dyDescent="0.35">
      <c r="C8874" s="2"/>
    </row>
    <row r="8875" spans="3:3" x14ac:dyDescent="0.35">
      <c r="C8875" s="2"/>
    </row>
    <row r="8876" spans="3:3" x14ac:dyDescent="0.35">
      <c r="C8876" s="2"/>
    </row>
    <row r="8877" spans="3:3" x14ac:dyDescent="0.35">
      <c r="C8877" s="2"/>
    </row>
    <row r="8878" spans="3:3" x14ac:dyDescent="0.35">
      <c r="C8878" s="2"/>
    </row>
    <row r="8879" spans="3:3" x14ac:dyDescent="0.35">
      <c r="C8879" s="2"/>
    </row>
    <row r="8880" spans="3:3" x14ac:dyDescent="0.35">
      <c r="C8880" s="2"/>
    </row>
    <row r="8881" spans="3:3" x14ac:dyDescent="0.35">
      <c r="C8881" s="2"/>
    </row>
    <row r="8882" spans="3:3" x14ac:dyDescent="0.35">
      <c r="C8882" s="2"/>
    </row>
    <row r="8883" spans="3:3" x14ac:dyDescent="0.35">
      <c r="C8883" s="2"/>
    </row>
    <row r="8884" spans="3:3" x14ac:dyDescent="0.35">
      <c r="C8884" s="2"/>
    </row>
    <row r="8885" spans="3:3" x14ac:dyDescent="0.35">
      <c r="C8885" s="2"/>
    </row>
    <row r="8886" spans="3:3" x14ac:dyDescent="0.35">
      <c r="C8886" s="2"/>
    </row>
    <row r="8887" spans="3:3" x14ac:dyDescent="0.35">
      <c r="C8887" s="2"/>
    </row>
    <row r="8888" spans="3:3" x14ac:dyDescent="0.35">
      <c r="C8888" s="2"/>
    </row>
    <row r="8889" spans="3:3" x14ac:dyDescent="0.35">
      <c r="C8889" s="2"/>
    </row>
    <row r="8890" spans="3:3" x14ac:dyDescent="0.35">
      <c r="C8890" s="2"/>
    </row>
    <row r="8891" spans="3:3" x14ac:dyDescent="0.35">
      <c r="C8891" s="2"/>
    </row>
    <row r="8892" spans="3:3" x14ac:dyDescent="0.35">
      <c r="C8892" s="2"/>
    </row>
    <row r="8893" spans="3:3" x14ac:dyDescent="0.35">
      <c r="C8893" s="2"/>
    </row>
    <row r="8894" spans="3:3" x14ac:dyDescent="0.35">
      <c r="C8894" s="2"/>
    </row>
    <row r="8895" spans="3:3" x14ac:dyDescent="0.35">
      <c r="C8895" s="2"/>
    </row>
    <row r="8896" spans="3:3" x14ac:dyDescent="0.35">
      <c r="C8896" s="2"/>
    </row>
    <row r="8897" spans="3:3" x14ac:dyDescent="0.35">
      <c r="C8897" s="2"/>
    </row>
    <row r="8898" spans="3:3" x14ac:dyDescent="0.35">
      <c r="C8898" s="2"/>
    </row>
    <row r="8899" spans="3:3" x14ac:dyDescent="0.35">
      <c r="C8899" s="2"/>
    </row>
    <row r="8900" spans="3:3" x14ac:dyDescent="0.35">
      <c r="C8900" s="2"/>
    </row>
    <row r="8901" spans="3:3" x14ac:dyDescent="0.35">
      <c r="C8901" s="2"/>
    </row>
    <row r="8902" spans="3:3" x14ac:dyDescent="0.35">
      <c r="C8902" s="2"/>
    </row>
    <row r="8903" spans="3:3" x14ac:dyDescent="0.35">
      <c r="C8903" s="2"/>
    </row>
    <row r="8904" spans="3:3" x14ac:dyDescent="0.35">
      <c r="C8904" s="2"/>
    </row>
    <row r="8905" spans="3:3" x14ac:dyDescent="0.35">
      <c r="C8905" s="2"/>
    </row>
    <row r="8906" spans="3:3" x14ac:dyDescent="0.35">
      <c r="C8906" s="2"/>
    </row>
    <row r="8907" spans="3:3" x14ac:dyDescent="0.35">
      <c r="C8907" s="2"/>
    </row>
    <row r="8908" spans="3:3" x14ac:dyDescent="0.35">
      <c r="C8908" s="2"/>
    </row>
    <row r="8909" spans="3:3" x14ac:dyDescent="0.35">
      <c r="C8909" s="2"/>
    </row>
    <row r="8910" spans="3:3" x14ac:dyDescent="0.35">
      <c r="C8910" s="2"/>
    </row>
    <row r="8911" spans="3:3" x14ac:dyDescent="0.35">
      <c r="C8911" s="2"/>
    </row>
    <row r="8912" spans="3:3" x14ac:dyDescent="0.35">
      <c r="C8912" s="2"/>
    </row>
    <row r="8913" spans="3:3" x14ac:dyDescent="0.35">
      <c r="C8913" s="2"/>
    </row>
    <row r="8914" spans="3:3" x14ac:dyDescent="0.35">
      <c r="C8914" s="2"/>
    </row>
    <row r="8915" spans="3:3" x14ac:dyDescent="0.35">
      <c r="C8915" s="2"/>
    </row>
    <row r="8916" spans="3:3" x14ac:dyDescent="0.35">
      <c r="C8916" s="2"/>
    </row>
    <row r="8917" spans="3:3" x14ac:dyDescent="0.35">
      <c r="C8917" s="2"/>
    </row>
    <row r="8918" spans="3:3" x14ac:dyDescent="0.35">
      <c r="C8918" s="2"/>
    </row>
    <row r="8919" spans="3:3" x14ac:dyDescent="0.35">
      <c r="C8919" s="2"/>
    </row>
    <row r="8920" spans="3:3" x14ac:dyDescent="0.35">
      <c r="C8920" s="2"/>
    </row>
    <row r="8921" spans="3:3" x14ac:dyDescent="0.35">
      <c r="C8921" s="2"/>
    </row>
    <row r="8922" spans="3:3" x14ac:dyDescent="0.35">
      <c r="C8922" s="2"/>
    </row>
    <row r="8923" spans="3:3" x14ac:dyDescent="0.35">
      <c r="C8923" s="2"/>
    </row>
    <row r="8924" spans="3:3" x14ac:dyDescent="0.35">
      <c r="C8924" s="2"/>
    </row>
    <row r="8925" spans="3:3" x14ac:dyDescent="0.35">
      <c r="C8925" s="2"/>
    </row>
    <row r="8926" spans="3:3" x14ac:dyDescent="0.35">
      <c r="C8926" s="2"/>
    </row>
    <row r="8927" spans="3:3" x14ac:dyDescent="0.35">
      <c r="C8927" s="2"/>
    </row>
    <row r="8928" spans="3:3" x14ac:dyDescent="0.35">
      <c r="C8928" s="2"/>
    </row>
    <row r="8929" spans="3:3" x14ac:dyDescent="0.35">
      <c r="C8929" s="2"/>
    </row>
    <row r="8930" spans="3:3" x14ac:dyDescent="0.35">
      <c r="C8930" s="2"/>
    </row>
    <row r="8931" spans="3:3" x14ac:dyDescent="0.35">
      <c r="C8931" s="2"/>
    </row>
    <row r="8932" spans="3:3" x14ac:dyDescent="0.35">
      <c r="C8932" s="2"/>
    </row>
    <row r="8933" spans="3:3" x14ac:dyDescent="0.35">
      <c r="C8933" s="2"/>
    </row>
    <row r="8934" spans="3:3" x14ac:dyDescent="0.35">
      <c r="C8934" s="2"/>
    </row>
    <row r="8935" spans="3:3" x14ac:dyDescent="0.35">
      <c r="C8935" s="2"/>
    </row>
    <row r="8936" spans="3:3" x14ac:dyDescent="0.35">
      <c r="C8936" s="2"/>
    </row>
    <row r="8937" spans="3:3" x14ac:dyDescent="0.35">
      <c r="C8937" s="2"/>
    </row>
    <row r="8938" spans="3:3" x14ac:dyDescent="0.35">
      <c r="C8938" s="2"/>
    </row>
    <row r="8939" spans="3:3" x14ac:dyDescent="0.35">
      <c r="C8939" s="2"/>
    </row>
    <row r="8940" spans="3:3" x14ac:dyDescent="0.35">
      <c r="C8940" s="2"/>
    </row>
    <row r="8941" spans="3:3" x14ac:dyDescent="0.35">
      <c r="C8941" s="2"/>
    </row>
    <row r="8942" spans="3:3" x14ac:dyDescent="0.35">
      <c r="C8942" s="2"/>
    </row>
    <row r="8943" spans="3:3" x14ac:dyDescent="0.35">
      <c r="C8943" s="2"/>
    </row>
    <row r="8944" spans="3:3" x14ac:dyDescent="0.35">
      <c r="C8944" s="2"/>
    </row>
    <row r="8945" spans="3:3" x14ac:dyDescent="0.35">
      <c r="C8945" s="2"/>
    </row>
    <row r="8946" spans="3:3" x14ac:dyDescent="0.35">
      <c r="C8946" s="2"/>
    </row>
    <row r="8947" spans="3:3" x14ac:dyDescent="0.35">
      <c r="C8947" s="2"/>
    </row>
    <row r="8948" spans="3:3" x14ac:dyDescent="0.35">
      <c r="C8948" s="2"/>
    </row>
    <row r="8949" spans="3:3" x14ac:dyDescent="0.35">
      <c r="C8949" s="2"/>
    </row>
    <row r="8950" spans="3:3" x14ac:dyDescent="0.35">
      <c r="C8950" s="2"/>
    </row>
    <row r="8951" spans="3:3" x14ac:dyDescent="0.35">
      <c r="C8951" s="2"/>
    </row>
    <row r="8952" spans="3:3" x14ac:dyDescent="0.35">
      <c r="C8952" s="2"/>
    </row>
    <row r="8953" spans="3:3" x14ac:dyDescent="0.35">
      <c r="C8953" s="2"/>
    </row>
    <row r="8954" spans="3:3" x14ac:dyDescent="0.35">
      <c r="C8954" s="2"/>
    </row>
    <row r="8955" spans="3:3" x14ac:dyDescent="0.35">
      <c r="C8955" s="2"/>
    </row>
    <row r="8956" spans="3:3" x14ac:dyDescent="0.35">
      <c r="C8956" s="2"/>
    </row>
    <row r="8957" spans="3:3" x14ac:dyDescent="0.35">
      <c r="C8957" s="2"/>
    </row>
    <row r="8958" spans="3:3" x14ac:dyDescent="0.35">
      <c r="C8958" s="2"/>
    </row>
    <row r="8959" spans="3:3" x14ac:dyDescent="0.35">
      <c r="C8959" s="2"/>
    </row>
    <row r="8960" spans="3:3" x14ac:dyDescent="0.35">
      <c r="C8960" s="2"/>
    </row>
    <row r="8961" spans="3:3" x14ac:dyDescent="0.35">
      <c r="C8961" s="2"/>
    </row>
    <row r="8962" spans="3:3" x14ac:dyDescent="0.35">
      <c r="C8962" s="2"/>
    </row>
    <row r="8963" spans="3:3" x14ac:dyDescent="0.35">
      <c r="C8963" s="2"/>
    </row>
    <row r="8964" spans="3:3" x14ac:dyDescent="0.35">
      <c r="C8964" s="2"/>
    </row>
    <row r="8965" spans="3:3" x14ac:dyDescent="0.35">
      <c r="C8965" s="2"/>
    </row>
    <row r="8966" spans="3:3" x14ac:dyDescent="0.35">
      <c r="C8966" s="2"/>
    </row>
    <row r="8967" spans="3:3" x14ac:dyDescent="0.35">
      <c r="C8967" s="2"/>
    </row>
    <row r="8968" spans="3:3" x14ac:dyDescent="0.35">
      <c r="C8968" s="2"/>
    </row>
    <row r="8969" spans="3:3" x14ac:dyDescent="0.35">
      <c r="C8969" s="2"/>
    </row>
    <row r="8970" spans="3:3" x14ac:dyDescent="0.35">
      <c r="C8970" s="2"/>
    </row>
    <row r="8971" spans="3:3" x14ac:dyDescent="0.35">
      <c r="C8971" s="2"/>
    </row>
    <row r="8972" spans="3:3" x14ac:dyDescent="0.35">
      <c r="C8972" s="2"/>
    </row>
    <row r="8973" spans="3:3" x14ac:dyDescent="0.35">
      <c r="C8973" s="2"/>
    </row>
    <row r="8974" spans="3:3" x14ac:dyDescent="0.35">
      <c r="C8974" s="2"/>
    </row>
    <row r="8975" spans="3:3" x14ac:dyDescent="0.35">
      <c r="C8975" s="2"/>
    </row>
    <row r="8976" spans="3:3" x14ac:dyDescent="0.35">
      <c r="C8976" s="2"/>
    </row>
    <row r="8977" spans="3:3" x14ac:dyDescent="0.35">
      <c r="C8977" s="2"/>
    </row>
    <row r="8978" spans="3:3" x14ac:dyDescent="0.35">
      <c r="C8978" s="2"/>
    </row>
    <row r="8979" spans="3:3" x14ac:dyDescent="0.35">
      <c r="C8979" s="2"/>
    </row>
    <row r="8980" spans="3:3" x14ac:dyDescent="0.35">
      <c r="C8980" s="2"/>
    </row>
    <row r="8981" spans="3:3" x14ac:dyDescent="0.35">
      <c r="C8981" s="2"/>
    </row>
    <row r="8982" spans="3:3" x14ac:dyDescent="0.35">
      <c r="C8982" s="2"/>
    </row>
    <row r="8983" spans="3:3" x14ac:dyDescent="0.35">
      <c r="C8983" s="2"/>
    </row>
    <row r="8984" spans="3:3" x14ac:dyDescent="0.35">
      <c r="C8984" s="2"/>
    </row>
    <row r="8985" spans="3:3" x14ac:dyDescent="0.35">
      <c r="C8985" s="2"/>
    </row>
    <row r="8986" spans="3:3" x14ac:dyDescent="0.35">
      <c r="C8986" s="2"/>
    </row>
    <row r="8987" spans="3:3" x14ac:dyDescent="0.35">
      <c r="C8987" s="2"/>
    </row>
    <row r="8988" spans="3:3" x14ac:dyDescent="0.35">
      <c r="C8988" s="2"/>
    </row>
    <row r="8989" spans="3:3" x14ac:dyDescent="0.35">
      <c r="C8989" s="2"/>
    </row>
    <row r="8990" spans="3:3" x14ac:dyDescent="0.35">
      <c r="C8990" s="2"/>
    </row>
    <row r="8991" spans="3:3" x14ac:dyDescent="0.35">
      <c r="C8991" s="2"/>
    </row>
    <row r="8992" spans="3:3" x14ac:dyDescent="0.35">
      <c r="C8992" s="2"/>
    </row>
    <row r="8993" spans="3:3" x14ac:dyDescent="0.35">
      <c r="C8993" s="2"/>
    </row>
    <row r="8994" spans="3:3" x14ac:dyDescent="0.35">
      <c r="C8994" s="2"/>
    </row>
    <row r="8995" spans="3:3" x14ac:dyDescent="0.35">
      <c r="C8995" s="2"/>
    </row>
    <row r="8996" spans="3:3" x14ac:dyDescent="0.35">
      <c r="C8996" s="2"/>
    </row>
    <row r="8997" spans="3:3" x14ac:dyDescent="0.35">
      <c r="C8997" s="2"/>
    </row>
    <row r="8998" spans="3:3" x14ac:dyDescent="0.35">
      <c r="C8998" s="2"/>
    </row>
    <row r="8999" spans="3:3" x14ac:dyDescent="0.35">
      <c r="C8999" s="2"/>
    </row>
    <row r="9000" spans="3:3" x14ac:dyDescent="0.35">
      <c r="C9000" s="2"/>
    </row>
    <row r="9001" spans="3:3" x14ac:dyDescent="0.35">
      <c r="C9001" s="2"/>
    </row>
    <row r="9002" spans="3:3" x14ac:dyDescent="0.35">
      <c r="C9002" s="2"/>
    </row>
    <row r="9003" spans="3:3" x14ac:dyDescent="0.35">
      <c r="C9003" s="2"/>
    </row>
    <row r="9004" spans="3:3" x14ac:dyDescent="0.35">
      <c r="C9004" s="2"/>
    </row>
    <row r="9005" spans="3:3" x14ac:dyDescent="0.35">
      <c r="C9005" s="2"/>
    </row>
    <row r="9006" spans="3:3" x14ac:dyDescent="0.35">
      <c r="C9006" s="2"/>
    </row>
    <row r="9007" spans="3:3" x14ac:dyDescent="0.35">
      <c r="C9007" s="2"/>
    </row>
    <row r="9008" spans="3:3" x14ac:dyDescent="0.35">
      <c r="C9008" s="2"/>
    </row>
    <row r="9009" spans="3:3" x14ac:dyDescent="0.35">
      <c r="C9009" s="2"/>
    </row>
    <row r="9010" spans="3:3" x14ac:dyDescent="0.35">
      <c r="C9010" s="2"/>
    </row>
    <row r="9011" spans="3:3" x14ac:dyDescent="0.35">
      <c r="C9011" s="2"/>
    </row>
    <row r="9012" spans="3:3" x14ac:dyDescent="0.35">
      <c r="C9012" s="2"/>
    </row>
    <row r="9013" spans="3:3" x14ac:dyDescent="0.35">
      <c r="C9013" s="2"/>
    </row>
    <row r="9014" spans="3:3" x14ac:dyDescent="0.35">
      <c r="C9014" s="2"/>
    </row>
    <row r="9015" spans="3:3" x14ac:dyDescent="0.35">
      <c r="C9015" s="2"/>
    </row>
    <row r="9016" spans="3:3" x14ac:dyDescent="0.35">
      <c r="C9016" s="2"/>
    </row>
    <row r="9017" spans="3:3" x14ac:dyDescent="0.35">
      <c r="C9017" s="2"/>
    </row>
    <row r="9018" spans="3:3" x14ac:dyDescent="0.35">
      <c r="C9018" s="2"/>
    </row>
    <row r="9019" spans="3:3" x14ac:dyDescent="0.35">
      <c r="C9019" s="2"/>
    </row>
    <row r="9020" spans="3:3" x14ac:dyDescent="0.35">
      <c r="C9020" s="2"/>
    </row>
    <row r="9021" spans="3:3" x14ac:dyDescent="0.35">
      <c r="C9021" s="2"/>
    </row>
    <row r="9022" spans="3:3" x14ac:dyDescent="0.35">
      <c r="C9022" s="2"/>
    </row>
    <row r="9023" spans="3:3" x14ac:dyDescent="0.35">
      <c r="C9023" s="2"/>
    </row>
    <row r="9024" spans="3:3" x14ac:dyDescent="0.35">
      <c r="C9024" s="2"/>
    </row>
    <row r="9025" spans="3:3" x14ac:dyDescent="0.35">
      <c r="C9025" s="2"/>
    </row>
    <row r="9026" spans="3:3" x14ac:dyDescent="0.35">
      <c r="C9026" s="2"/>
    </row>
    <row r="9027" spans="3:3" x14ac:dyDescent="0.35">
      <c r="C9027" s="2"/>
    </row>
    <row r="9028" spans="3:3" x14ac:dyDescent="0.35">
      <c r="C9028" s="2"/>
    </row>
    <row r="9029" spans="3:3" x14ac:dyDescent="0.35">
      <c r="C9029" s="2"/>
    </row>
    <row r="9030" spans="3:3" x14ac:dyDescent="0.35">
      <c r="C9030" s="2"/>
    </row>
    <row r="9031" spans="3:3" x14ac:dyDescent="0.35">
      <c r="C9031" s="2"/>
    </row>
    <row r="9032" spans="3:3" x14ac:dyDescent="0.35">
      <c r="C9032" s="2"/>
    </row>
    <row r="9033" spans="3:3" x14ac:dyDescent="0.35">
      <c r="C9033" s="2"/>
    </row>
    <row r="9034" spans="3:3" x14ac:dyDescent="0.35">
      <c r="C9034" s="2"/>
    </row>
    <row r="9035" spans="3:3" x14ac:dyDescent="0.35">
      <c r="C9035" s="2"/>
    </row>
    <row r="9036" spans="3:3" x14ac:dyDescent="0.35">
      <c r="C9036" s="2"/>
    </row>
    <row r="9037" spans="3:3" x14ac:dyDescent="0.35">
      <c r="C9037" s="2"/>
    </row>
    <row r="9038" spans="3:3" x14ac:dyDescent="0.35">
      <c r="C9038" s="2"/>
    </row>
    <row r="9039" spans="3:3" x14ac:dyDescent="0.35">
      <c r="C9039" s="2"/>
    </row>
    <row r="9040" spans="3:3" x14ac:dyDescent="0.35">
      <c r="C9040" s="2"/>
    </row>
    <row r="9041" spans="3:3" x14ac:dyDescent="0.35">
      <c r="C9041" s="2"/>
    </row>
    <row r="9042" spans="3:3" x14ac:dyDescent="0.35">
      <c r="C9042" s="2"/>
    </row>
    <row r="9043" spans="3:3" x14ac:dyDescent="0.35">
      <c r="C9043" s="2"/>
    </row>
    <row r="9044" spans="3:3" x14ac:dyDescent="0.35">
      <c r="C9044" s="2"/>
    </row>
    <row r="9045" spans="3:3" x14ac:dyDescent="0.35">
      <c r="C9045" s="2"/>
    </row>
    <row r="9046" spans="3:3" x14ac:dyDescent="0.35">
      <c r="C9046" s="2"/>
    </row>
    <row r="9047" spans="3:3" x14ac:dyDescent="0.35">
      <c r="C9047" s="2"/>
    </row>
    <row r="9048" spans="3:3" x14ac:dyDescent="0.35">
      <c r="C9048" s="2"/>
    </row>
    <row r="9049" spans="3:3" x14ac:dyDescent="0.35">
      <c r="C9049" s="2"/>
    </row>
    <row r="9050" spans="3:3" x14ac:dyDescent="0.35">
      <c r="C9050" s="2"/>
    </row>
    <row r="9051" spans="3:3" x14ac:dyDescent="0.35">
      <c r="C9051" s="2"/>
    </row>
    <row r="9052" spans="3:3" x14ac:dyDescent="0.35">
      <c r="C9052" s="2"/>
    </row>
    <row r="9053" spans="3:3" x14ac:dyDescent="0.35">
      <c r="C9053" s="2"/>
    </row>
    <row r="9054" spans="3:3" x14ac:dyDescent="0.35">
      <c r="C9054" s="2"/>
    </row>
    <row r="9055" spans="3:3" x14ac:dyDescent="0.35">
      <c r="C9055" s="2"/>
    </row>
    <row r="9056" spans="3:3" x14ac:dyDescent="0.35">
      <c r="C9056" s="2"/>
    </row>
    <row r="9057" spans="3:3" x14ac:dyDescent="0.35">
      <c r="C9057" s="2"/>
    </row>
    <row r="9058" spans="3:3" x14ac:dyDescent="0.35">
      <c r="C9058" s="2"/>
    </row>
    <row r="9059" spans="3:3" x14ac:dyDescent="0.35">
      <c r="C9059" s="2"/>
    </row>
    <row r="9060" spans="3:3" x14ac:dyDescent="0.35">
      <c r="C9060" s="2"/>
    </row>
    <row r="9061" spans="3:3" x14ac:dyDescent="0.35">
      <c r="C9061" s="2"/>
    </row>
    <row r="9062" spans="3:3" x14ac:dyDescent="0.35">
      <c r="C9062" s="2"/>
    </row>
    <row r="9063" spans="3:3" x14ac:dyDescent="0.35">
      <c r="C9063" s="2"/>
    </row>
    <row r="9064" spans="3:3" x14ac:dyDescent="0.35">
      <c r="C9064" s="2"/>
    </row>
    <row r="9065" spans="3:3" x14ac:dyDescent="0.35">
      <c r="C9065" s="2"/>
    </row>
    <row r="9066" spans="3:3" x14ac:dyDescent="0.35">
      <c r="C9066" s="2"/>
    </row>
    <row r="9067" spans="3:3" x14ac:dyDescent="0.35">
      <c r="C9067" s="2"/>
    </row>
    <row r="9068" spans="3:3" x14ac:dyDescent="0.35">
      <c r="C9068" s="2"/>
    </row>
    <row r="9069" spans="3:3" x14ac:dyDescent="0.35">
      <c r="C9069" s="2"/>
    </row>
    <row r="9070" spans="3:3" x14ac:dyDescent="0.35">
      <c r="C9070" s="2"/>
    </row>
    <row r="9071" spans="3:3" x14ac:dyDescent="0.35">
      <c r="C9071" s="2"/>
    </row>
    <row r="9072" spans="3:3" x14ac:dyDescent="0.35">
      <c r="C9072" s="2"/>
    </row>
    <row r="9073" spans="3:3" x14ac:dyDescent="0.35">
      <c r="C9073" s="2"/>
    </row>
    <row r="9074" spans="3:3" x14ac:dyDescent="0.35">
      <c r="C9074" s="2"/>
    </row>
    <row r="9075" spans="3:3" x14ac:dyDescent="0.35">
      <c r="C9075" s="2"/>
    </row>
    <row r="9076" spans="3:3" x14ac:dyDescent="0.35">
      <c r="C9076" s="2"/>
    </row>
    <row r="9077" spans="3:3" x14ac:dyDescent="0.35">
      <c r="C9077" s="2"/>
    </row>
    <row r="9078" spans="3:3" x14ac:dyDescent="0.35">
      <c r="C9078" s="2"/>
    </row>
    <row r="9079" spans="3:3" x14ac:dyDescent="0.35">
      <c r="C9079" s="2"/>
    </row>
    <row r="9080" spans="3:3" x14ac:dyDescent="0.35">
      <c r="C9080" s="2"/>
    </row>
    <row r="9081" spans="3:3" x14ac:dyDescent="0.35">
      <c r="C9081" s="2"/>
    </row>
    <row r="9082" spans="3:3" x14ac:dyDescent="0.35">
      <c r="C9082" s="2"/>
    </row>
    <row r="9083" spans="3:3" x14ac:dyDescent="0.35">
      <c r="C9083" s="2"/>
    </row>
    <row r="9084" spans="3:3" x14ac:dyDescent="0.35">
      <c r="C9084" s="2"/>
    </row>
    <row r="9085" spans="3:3" x14ac:dyDescent="0.35">
      <c r="C9085" s="2"/>
    </row>
    <row r="9086" spans="3:3" x14ac:dyDescent="0.35">
      <c r="C9086" s="2"/>
    </row>
    <row r="9087" spans="3:3" x14ac:dyDescent="0.35">
      <c r="C9087" s="2"/>
    </row>
    <row r="9088" spans="3:3" x14ac:dyDescent="0.35">
      <c r="C9088" s="2"/>
    </row>
    <row r="9089" spans="3:3" x14ac:dyDescent="0.35">
      <c r="C9089" s="2"/>
    </row>
    <row r="9090" spans="3:3" x14ac:dyDescent="0.35">
      <c r="C9090" s="2"/>
    </row>
    <row r="9091" spans="3:3" x14ac:dyDescent="0.35">
      <c r="C9091" s="2"/>
    </row>
    <row r="9092" spans="3:3" x14ac:dyDescent="0.35">
      <c r="C9092" s="2"/>
    </row>
    <row r="9093" spans="3:3" x14ac:dyDescent="0.35">
      <c r="C9093" s="2"/>
    </row>
    <row r="9094" spans="3:3" x14ac:dyDescent="0.35">
      <c r="C9094" s="2"/>
    </row>
    <row r="9095" spans="3:3" x14ac:dyDescent="0.35">
      <c r="C9095" s="2"/>
    </row>
    <row r="9096" spans="3:3" x14ac:dyDescent="0.35">
      <c r="C9096" s="2"/>
    </row>
    <row r="9097" spans="3:3" x14ac:dyDescent="0.35">
      <c r="C9097" s="2"/>
    </row>
    <row r="9098" spans="3:3" x14ac:dyDescent="0.35">
      <c r="C9098" s="2"/>
    </row>
    <row r="9099" spans="3:3" x14ac:dyDescent="0.35">
      <c r="C9099" s="2"/>
    </row>
    <row r="9100" spans="3:3" x14ac:dyDescent="0.35">
      <c r="C9100" s="2"/>
    </row>
    <row r="9101" spans="3:3" x14ac:dyDescent="0.35">
      <c r="C9101" s="2"/>
    </row>
    <row r="9102" spans="3:3" x14ac:dyDescent="0.35">
      <c r="C9102" s="2"/>
    </row>
    <row r="9103" spans="3:3" x14ac:dyDescent="0.35">
      <c r="C9103" s="2"/>
    </row>
    <row r="9104" spans="3:3" x14ac:dyDescent="0.35">
      <c r="C9104" s="2"/>
    </row>
    <row r="9105" spans="3:3" x14ac:dyDescent="0.35">
      <c r="C9105" s="2"/>
    </row>
    <row r="9106" spans="3:3" x14ac:dyDescent="0.35">
      <c r="C9106" s="2"/>
    </row>
    <row r="9107" spans="3:3" x14ac:dyDescent="0.35">
      <c r="C9107" s="2"/>
    </row>
    <row r="9108" spans="3:3" x14ac:dyDescent="0.35">
      <c r="C9108" s="2"/>
    </row>
    <row r="9109" spans="3:3" x14ac:dyDescent="0.35">
      <c r="C9109" s="2"/>
    </row>
    <row r="9110" spans="3:3" x14ac:dyDescent="0.35">
      <c r="C9110" s="2"/>
    </row>
    <row r="9111" spans="3:3" x14ac:dyDescent="0.35">
      <c r="C9111" s="2"/>
    </row>
    <row r="9112" spans="3:3" x14ac:dyDescent="0.35">
      <c r="C9112" s="2"/>
    </row>
    <row r="9113" spans="3:3" x14ac:dyDescent="0.35">
      <c r="C9113" s="2"/>
    </row>
    <row r="9114" spans="3:3" x14ac:dyDescent="0.35">
      <c r="C9114" s="2"/>
    </row>
    <row r="9115" spans="3:3" x14ac:dyDescent="0.35">
      <c r="C9115" s="2"/>
    </row>
    <row r="9116" spans="3:3" x14ac:dyDescent="0.35">
      <c r="C9116" s="2"/>
    </row>
    <row r="9117" spans="3:3" x14ac:dyDescent="0.35">
      <c r="C9117" s="2"/>
    </row>
    <row r="9118" spans="3:3" x14ac:dyDescent="0.35">
      <c r="C9118" s="2"/>
    </row>
    <row r="9119" spans="3:3" x14ac:dyDescent="0.35">
      <c r="C9119" s="2"/>
    </row>
    <row r="9120" spans="3:3" x14ac:dyDescent="0.35">
      <c r="C9120" s="2"/>
    </row>
    <row r="9121" spans="3:3" x14ac:dyDescent="0.35">
      <c r="C9121" s="2"/>
    </row>
    <row r="9122" spans="3:3" x14ac:dyDescent="0.35">
      <c r="C9122" s="2"/>
    </row>
    <row r="9123" spans="3:3" x14ac:dyDescent="0.35">
      <c r="C9123" s="2"/>
    </row>
    <row r="9124" spans="3:3" x14ac:dyDescent="0.35">
      <c r="C9124" s="2"/>
    </row>
    <row r="9125" spans="3:3" x14ac:dyDescent="0.35">
      <c r="C9125" s="2"/>
    </row>
    <row r="9126" spans="3:3" x14ac:dyDescent="0.35">
      <c r="C9126" s="2"/>
    </row>
    <row r="9127" spans="3:3" x14ac:dyDescent="0.35">
      <c r="C9127" s="2"/>
    </row>
    <row r="9128" spans="3:3" x14ac:dyDescent="0.35">
      <c r="C9128" s="2"/>
    </row>
    <row r="9129" spans="3:3" x14ac:dyDescent="0.35">
      <c r="C9129" s="2"/>
    </row>
    <row r="9130" spans="3:3" x14ac:dyDescent="0.35">
      <c r="C9130" s="2"/>
    </row>
    <row r="9131" spans="3:3" x14ac:dyDescent="0.35">
      <c r="C9131" s="2"/>
    </row>
    <row r="9132" spans="3:3" x14ac:dyDescent="0.35">
      <c r="C9132" s="2"/>
    </row>
    <row r="9133" spans="3:3" x14ac:dyDescent="0.35">
      <c r="C9133" s="2"/>
    </row>
    <row r="9134" spans="3:3" x14ac:dyDescent="0.35">
      <c r="C9134" s="2"/>
    </row>
    <row r="9135" spans="3:3" x14ac:dyDescent="0.35">
      <c r="C9135" s="2"/>
    </row>
    <row r="9136" spans="3:3" x14ac:dyDescent="0.35">
      <c r="C9136" s="2"/>
    </row>
    <row r="9137" spans="3:3" x14ac:dyDescent="0.35">
      <c r="C9137" s="2"/>
    </row>
    <row r="9138" spans="3:3" x14ac:dyDescent="0.35">
      <c r="C9138" s="2"/>
    </row>
    <row r="9139" spans="3:3" x14ac:dyDescent="0.35">
      <c r="C9139" s="2"/>
    </row>
    <row r="9140" spans="3:3" x14ac:dyDescent="0.35">
      <c r="C9140" s="2"/>
    </row>
    <row r="9141" spans="3:3" x14ac:dyDescent="0.35">
      <c r="C9141" s="2"/>
    </row>
    <row r="9142" spans="3:3" x14ac:dyDescent="0.35">
      <c r="C9142" s="2"/>
    </row>
    <row r="9143" spans="3:3" x14ac:dyDescent="0.35">
      <c r="C9143" s="2"/>
    </row>
    <row r="9144" spans="3:3" x14ac:dyDescent="0.35">
      <c r="C9144" s="2"/>
    </row>
    <row r="9145" spans="3:3" x14ac:dyDescent="0.35">
      <c r="C9145" s="2"/>
    </row>
    <row r="9146" spans="3:3" x14ac:dyDescent="0.35">
      <c r="C9146" s="2"/>
    </row>
    <row r="9147" spans="3:3" x14ac:dyDescent="0.35">
      <c r="C9147" s="2"/>
    </row>
    <row r="9148" spans="3:3" x14ac:dyDescent="0.35">
      <c r="C9148" s="2"/>
    </row>
    <row r="9149" spans="3:3" x14ac:dyDescent="0.35">
      <c r="C9149" s="2"/>
    </row>
    <row r="9150" spans="3:3" x14ac:dyDescent="0.35">
      <c r="C9150" s="2"/>
    </row>
    <row r="9151" spans="3:3" x14ac:dyDescent="0.35">
      <c r="C9151" s="2"/>
    </row>
    <row r="9152" spans="3:3" x14ac:dyDescent="0.35">
      <c r="C9152" s="2"/>
    </row>
    <row r="9153" spans="3:3" x14ac:dyDescent="0.35">
      <c r="C9153" s="2"/>
    </row>
    <row r="9154" spans="3:3" x14ac:dyDescent="0.35">
      <c r="C9154" s="2"/>
    </row>
    <row r="9155" spans="3:3" x14ac:dyDescent="0.35">
      <c r="C9155" s="2"/>
    </row>
    <row r="9156" spans="3:3" x14ac:dyDescent="0.35">
      <c r="C9156" s="2"/>
    </row>
    <row r="9157" spans="3:3" x14ac:dyDescent="0.35">
      <c r="C9157" s="2"/>
    </row>
    <row r="9158" spans="3:3" x14ac:dyDescent="0.35">
      <c r="C9158" s="2"/>
    </row>
    <row r="9159" spans="3:3" x14ac:dyDescent="0.35">
      <c r="C9159" s="2"/>
    </row>
    <row r="9160" spans="3:3" x14ac:dyDescent="0.35">
      <c r="C9160" s="2"/>
    </row>
    <row r="9161" spans="3:3" x14ac:dyDescent="0.35">
      <c r="C9161" s="2"/>
    </row>
    <row r="9162" spans="3:3" x14ac:dyDescent="0.35">
      <c r="C9162" s="2"/>
    </row>
    <row r="9163" spans="3:3" x14ac:dyDescent="0.35">
      <c r="C9163" s="2"/>
    </row>
    <row r="9164" spans="3:3" x14ac:dyDescent="0.35">
      <c r="C9164" s="2"/>
    </row>
    <row r="9165" spans="3:3" x14ac:dyDescent="0.35">
      <c r="C9165" s="2"/>
    </row>
    <row r="9166" spans="3:3" x14ac:dyDescent="0.35">
      <c r="C9166" s="2"/>
    </row>
    <row r="9167" spans="3:3" x14ac:dyDescent="0.35">
      <c r="C9167" s="2"/>
    </row>
    <row r="9168" spans="3:3" x14ac:dyDescent="0.35">
      <c r="C9168" s="2"/>
    </row>
    <row r="9169" spans="3:3" x14ac:dyDescent="0.35">
      <c r="C9169" s="2"/>
    </row>
    <row r="9170" spans="3:3" x14ac:dyDescent="0.35">
      <c r="C9170" s="2"/>
    </row>
    <row r="9171" spans="3:3" x14ac:dyDescent="0.35">
      <c r="C9171" s="2"/>
    </row>
    <row r="9172" spans="3:3" x14ac:dyDescent="0.35">
      <c r="C9172" s="2"/>
    </row>
    <row r="9173" spans="3:3" x14ac:dyDescent="0.35">
      <c r="C9173" s="2"/>
    </row>
    <row r="9174" spans="3:3" x14ac:dyDescent="0.35">
      <c r="C9174" s="2"/>
    </row>
    <row r="9175" spans="3:3" x14ac:dyDescent="0.35">
      <c r="C9175" s="2"/>
    </row>
    <row r="9176" spans="3:3" x14ac:dyDescent="0.35">
      <c r="C9176" s="2"/>
    </row>
    <row r="9177" spans="3:3" x14ac:dyDescent="0.35">
      <c r="C9177" s="2"/>
    </row>
    <row r="9178" spans="3:3" x14ac:dyDescent="0.35">
      <c r="C9178" s="2"/>
    </row>
    <row r="9179" spans="3:3" x14ac:dyDescent="0.35">
      <c r="C9179" s="2"/>
    </row>
    <row r="9180" spans="3:3" x14ac:dyDescent="0.35">
      <c r="C9180" s="2"/>
    </row>
    <row r="9181" spans="3:3" x14ac:dyDescent="0.35">
      <c r="C9181" s="2"/>
    </row>
    <row r="9182" spans="3:3" x14ac:dyDescent="0.35">
      <c r="C9182" s="2"/>
    </row>
    <row r="9183" spans="3:3" x14ac:dyDescent="0.35">
      <c r="C9183" s="2"/>
    </row>
    <row r="9184" spans="3:3" x14ac:dyDescent="0.35">
      <c r="C9184" s="2"/>
    </row>
    <row r="9185" spans="3:3" x14ac:dyDescent="0.35">
      <c r="C9185" s="2"/>
    </row>
    <row r="9186" spans="3:3" x14ac:dyDescent="0.35">
      <c r="C9186" s="2"/>
    </row>
    <row r="9187" spans="3:3" x14ac:dyDescent="0.35">
      <c r="C9187" s="2"/>
    </row>
    <row r="9188" spans="3:3" x14ac:dyDescent="0.35">
      <c r="C9188" s="2"/>
    </row>
    <row r="9189" spans="3:3" x14ac:dyDescent="0.35">
      <c r="C9189" s="2"/>
    </row>
    <row r="9190" spans="3:3" x14ac:dyDescent="0.35">
      <c r="C9190" s="2"/>
    </row>
    <row r="9191" spans="3:3" x14ac:dyDescent="0.35">
      <c r="C9191" s="2"/>
    </row>
    <row r="9192" spans="3:3" x14ac:dyDescent="0.35">
      <c r="C9192" s="2"/>
    </row>
    <row r="9193" spans="3:3" x14ac:dyDescent="0.35">
      <c r="C9193" s="2"/>
    </row>
    <row r="9194" spans="3:3" x14ac:dyDescent="0.35">
      <c r="C9194" s="2"/>
    </row>
    <row r="9195" spans="3:3" x14ac:dyDescent="0.35">
      <c r="C9195" s="2"/>
    </row>
    <row r="9196" spans="3:3" x14ac:dyDescent="0.35">
      <c r="C9196" s="2"/>
    </row>
    <row r="9197" spans="3:3" x14ac:dyDescent="0.35">
      <c r="C9197" s="2"/>
    </row>
    <row r="9198" spans="3:3" x14ac:dyDescent="0.35">
      <c r="C9198" s="2"/>
    </row>
    <row r="9199" spans="3:3" x14ac:dyDescent="0.35">
      <c r="C9199" s="2"/>
    </row>
    <row r="9200" spans="3:3" x14ac:dyDescent="0.35">
      <c r="C9200" s="2"/>
    </row>
    <row r="9201" spans="3:3" x14ac:dyDescent="0.35">
      <c r="C9201" s="2"/>
    </row>
    <row r="9202" spans="3:3" x14ac:dyDescent="0.35">
      <c r="C9202" s="2"/>
    </row>
    <row r="9203" spans="3:3" x14ac:dyDescent="0.35">
      <c r="C9203" s="2"/>
    </row>
    <row r="9204" spans="3:3" x14ac:dyDescent="0.35">
      <c r="C9204" s="2"/>
    </row>
    <row r="9205" spans="3:3" x14ac:dyDescent="0.35">
      <c r="C9205" s="2"/>
    </row>
    <row r="9206" spans="3:3" x14ac:dyDescent="0.35">
      <c r="C9206" s="2"/>
    </row>
    <row r="9207" spans="3:3" x14ac:dyDescent="0.35">
      <c r="C9207" s="2"/>
    </row>
    <row r="9208" spans="3:3" x14ac:dyDescent="0.35">
      <c r="C9208" s="2"/>
    </row>
    <row r="9209" spans="3:3" x14ac:dyDescent="0.35">
      <c r="C9209" s="2"/>
    </row>
    <row r="9210" spans="3:3" x14ac:dyDescent="0.35">
      <c r="C9210" s="2"/>
    </row>
    <row r="9211" spans="3:3" x14ac:dyDescent="0.35">
      <c r="C9211" s="2"/>
    </row>
    <row r="9212" spans="3:3" x14ac:dyDescent="0.35">
      <c r="C9212" s="2"/>
    </row>
    <row r="9213" spans="3:3" x14ac:dyDescent="0.35">
      <c r="C9213" s="2"/>
    </row>
    <row r="9214" spans="3:3" x14ac:dyDescent="0.35">
      <c r="C9214" s="2"/>
    </row>
    <row r="9215" spans="3:3" x14ac:dyDescent="0.35">
      <c r="C9215" s="2"/>
    </row>
    <row r="9216" spans="3:3" x14ac:dyDescent="0.35">
      <c r="C9216" s="2"/>
    </row>
    <row r="9217" spans="3:3" x14ac:dyDescent="0.35">
      <c r="C9217" s="2"/>
    </row>
    <row r="9218" spans="3:3" x14ac:dyDescent="0.35">
      <c r="C9218" s="2"/>
    </row>
    <row r="9219" spans="3:3" x14ac:dyDescent="0.35">
      <c r="C9219" s="2"/>
    </row>
    <row r="9220" spans="3:3" x14ac:dyDescent="0.35">
      <c r="C9220" s="2"/>
    </row>
    <row r="9221" spans="3:3" x14ac:dyDescent="0.35">
      <c r="C9221" s="2"/>
    </row>
    <row r="9222" spans="3:3" x14ac:dyDescent="0.35">
      <c r="C9222" s="2"/>
    </row>
    <row r="9223" spans="3:3" x14ac:dyDescent="0.35">
      <c r="C9223" s="2"/>
    </row>
    <row r="9224" spans="3:3" x14ac:dyDescent="0.35">
      <c r="C9224" s="2"/>
    </row>
    <row r="9225" spans="3:3" x14ac:dyDescent="0.35">
      <c r="C9225" s="2"/>
    </row>
    <row r="9226" spans="3:3" x14ac:dyDescent="0.35">
      <c r="C9226" s="2"/>
    </row>
    <row r="9227" spans="3:3" x14ac:dyDescent="0.35">
      <c r="C9227" s="2"/>
    </row>
    <row r="9228" spans="3:3" x14ac:dyDescent="0.35">
      <c r="C9228" s="2"/>
    </row>
    <row r="9229" spans="3:3" x14ac:dyDescent="0.35">
      <c r="C9229" s="2"/>
    </row>
    <row r="9230" spans="3:3" x14ac:dyDescent="0.35">
      <c r="C9230" s="2"/>
    </row>
    <row r="9231" spans="3:3" x14ac:dyDescent="0.35">
      <c r="C9231" s="2"/>
    </row>
    <row r="9232" spans="3:3" x14ac:dyDescent="0.35">
      <c r="C9232" s="2"/>
    </row>
    <row r="9233" spans="3:3" x14ac:dyDescent="0.35">
      <c r="C9233" s="2"/>
    </row>
    <row r="9234" spans="3:3" x14ac:dyDescent="0.35">
      <c r="C9234" s="2"/>
    </row>
    <row r="9235" spans="3:3" x14ac:dyDescent="0.35">
      <c r="C9235" s="2"/>
    </row>
    <row r="9236" spans="3:3" x14ac:dyDescent="0.35">
      <c r="C9236" s="2"/>
    </row>
    <row r="9237" spans="3:3" x14ac:dyDescent="0.35">
      <c r="C9237" s="2"/>
    </row>
    <row r="9238" spans="3:3" x14ac:dyDescent="0.35">
      <c r="C9238" s="2"/>
    </row>
    <row r="9239" spans="3:3" x14ac:dyDescent="0.35">
      <c r="C9239" s="2"/>
    </row>
    <row r="9240" spans="3:3" x14ac:dyDescent="0.35">
      <c r="C9240" s="2"/>
    </row>
    <row r="9241" spans="3:3" x14ac:dyDescent="0.35">
      <c r="C9241" s="2"/>
    </row>
    <row r="9242" spans="3:3" x14ac:dyDescent="0.35">
      <c r="C9242" s="2"/>
    </row>
    <row r="9243" spans="3:3" x14ac:dyDescent="0.35">
      <c r="C9243" s="2"/>
    </row>
    <row r="9244" spans="3:3" x14ac:dyDescent="0.35">
      <c r="C9244" s="2"/>
    </row>
    <row r="9245" spans="3:3" x14ac:dyDescent="0.35">
      <c r="C9245" s="2"/>
    </row>
    <row r="9246" spans="3:3" x14ac:dyDescent="0.35">
      <c r="C9246" s="2"/>
    </row>
    <row r="9247" spans="3:3" x14ac:dyDescent="0.35">
      <c r="C9247" s="2"/>
    </row>
    <row r="9248" spans="3:3" x14ac:dyDescent="0.35">
      <c r="C9248" s="2"/>
    </row>
    <row r="9249" spans="3:3" x14ac:dyDescent="0.35">
      <c r="C9249" s="2"/>
    </row>
    <row r="9250" spans="3:3" x14ac:dyDescent="0.35">
      <c r="C9250" s="2"/>
    </row>
    <row r="9251" spans="3:3" x14ac:dyDescent="0.35">
      <c r="C9251" s="2"/>
    </row>
    <row r="9252" spans="3:3" x14ac:dyDescent="0.35">
      <c r="C9252" s="2"/>
    </row>
    <row r="9253" spans="3:3" x14ac:dyDescent="0.35">
      <c r="C9253" s="2"/>
    </row>
    <row r="9254" spans="3:3" x14ac:dyDescent="0.35">
      <c r="C9254" s="2"/>
    </row>
    <row r="9255" spans="3:3" x14ac:dyDescent="0.35">
      <c r="C9255" s="2"/>
    </row>
    <row r="9256" spans="3:3" x14ac:dyDescent="0.35">
      <c r="C9256" s="2"/>
    </row>
    <row r="9257" spans="3:3" x14ac:dyDescent="0.35">
      <c r="C9257" s="2"/>
    </row>
    <row r="9258" spans="3:3" x14ac:dyDescent="0.35">
      <c r="C9258" s="2"/>
    </row>
    <row r="9259" spans="3:3" x14ac:dyDescent="0.35">
      <c r="C9259" s="2"/>
    </row>
    <row r="9260" spans="3:3" x14ac:dyDescent="0.35">
      <c r="C9260" s="2"/>
    </row>
    <row r="9261" spans="3:3" x14ac:dyDescent="0.35">
      <c r="C9261" s="2"/>
    </row>
    <row r="9262" spans="3:3" x14ac:dyDescent="0.35">
      <c r="C9262" s="2"/>
    </row>
    <row r="9263" spans="3:3" x14ac:dyDescent="0.35">
      <c r="C9263" s="2"/>
    </row>
    <row r="9264" spans="3:3" x14ac:dyDescent="0.35">
      <c r="C9264" s="2"/>
    </row>
    <row r="9265" spans="3:3" x14ac:dyDescent="0.35">
      <c r="C9265" s="2"/>
    </row>
    <row r="9266" spans="3:3" x14ac:dyDescent="0.35">
      <c r="C9266" s="2"/>
    </row>
    <row r="9267" spans="3:3" x14ac:dyDescent="0.35">
      <c r="C9267" s="2"/>
    </row>
    <row r="9268" spans="3:3" x14ac:dyDescent="0.35">
      <c r="C9268" s="2"/>
    </row>
    <row r="9269" spans="3:3" x14ac:dyDescent="0.35">
      <c r="C9269" s="2"/>
    </row>
    <row r="9270" spans="3:3" x14ac:dyDescent="0.35">
      <c r="C9270" s="2"/>
    </row>
    <row r="9271" spans="3:3" x14ac:dyDescent="0.35">
      <c r="C9271" s="2"/>
    </row>
    <row r="9272" spans="3:3" x14ac:dyDescent="0.35">
      <c r="C9272" s="2"/>
    </row>
    <row r="9273" spans="3:3" x14ac:dyDescent="0.35">
      <c r="C9273" s="2"/>
    </row>
    <row r="9274" spans="3:3" x14ac:dyDescent="0.35">
      <c r="C9274" s="2"/>
    </row>
    <row r="9275" spans="3:3" x14ac:dyDescent="0.35">
      <c r="C9275" s="2"/>
    </row>
    <row r="9276" spans="3:3" x14ac:dyDescent="0.35">
      <c r="C9276" s="2"/>
    </row>
    <row r="9277" spans="3:3" x14ac:dyDescent="0.35">
      <c r="C9277" s="2"/>
    </row>
    <row r="9278" spans="3:3" x14ac:dyDescent="0.35">
      <c r="C9278" s="2"/>
    </row>
    <row r="9279" spans="3:3" x14ac:dyDescent="0.35">
      <c r="C9279" s="2"/>
    </row>
    <row r="9280" spans="3:3" x14ac:dyDescent="0.35">
      <c r="C9280" s="2"/>
    </row>
    <row r="9281" spans="3:3" x14ac:dyDescent="0.35">
      <c r="C9281" s="2"/>
    </row>
    <row r="9282" spans="3:3" x14ac:dyDescent="0.35">
      <c r="C9282" s="2"/>
    </row>
    <row r="9283" spans="3:3" x14ac:dyDescent="0.35">
      <c r="C9283" s="2"/>
    </row>
    <row r="9284" spans="3:3" x14ac:dyDescent="0.35">
      <c r="C9284" s="2"/>
    </row>
    <row r="9285" spans="3:3" x14ac:dyDescent="0.35">
      <c r="C9285" s="2"/>
    </row>
    <row r="9286" spans="3:3" x14ac:dyDescent="0.35">
      <c r="C9286" s="2"/>
    </row>
    <row r="9287" spans="3:3" x14ac:dyDescent="0.35">
      <c r="C9287" s="2"/>
    </row>
    <row r="9288" spans="3:3" x14ac:dyDescent="0.35">
      <c r="C9288" s="2"/>
    </row>
    <row r="9289" spans="3:3" x14ac:dyDescent="0.35">
      <c r="C9289" s="2"/>
    </row>
    <row r="9290" spans="3:3" x14ac:dyDescent="0.35">
      <c r="C9290" s="2"/>
    </row>
    <row r="9291" spans="3:3" x14ac:dyDescent="0.35">
      <c r="C9291" s="2"/>
    </row>
    <row r="9292" spans="3:3" x14ac:dyDescent="0.35">
      <c r="C9292" s="2"/>
    </row>
    <row r="9293" spans="3:3" x14ac:dyDescent="0.35">
      <c r="C9293" s="2"/>
    </row>
    <row r="9294" spans="3:3" x14ac:dyDescent="0.35">
      <c r="C9294" s="2"/>
    </row>
    <row r="9295" spans="3:3" x14ac:dyDescent="0.35">
      <c r="C9295" s="2"/>
    </row>
    <row r="9296" spans="3:3" x14ac:dyDescent="0.35">
      <c r="C9296" s="2"/>
    </row>
    <row r="9297" spans="3:3" x14ac:dyDescent="0.35">
      <c r="C9297" s="2"/>
    </row>
    <row r="9298" spans="3:3" x14ac:dyDescent="0.35">
      <c r="C9298" s="2"/>
    </row>
    <row r="9299" spans="3:3" x14ac:dyDescent="0.35">
      <c r="C9299" s="2"/>
    </row>
    <row r="9300" spans="3:3" x14ac:dyDescent="0.35">
      <c r="C9300" s="2"/>
    </row>
    <row r="9301" spans="3:3" x14ac:dyDescent="0.35">
      <c r="C9301" s="2"/>
    </row>
    <row r="9302" spans="3:3" x14ac:dyDescent="0.35">
      <c r="C9302" s="2"/>
    </row>
    <row r="9303" spans="3:3" x14ac:dyDescent="0.35">
      <c r="C9303" s="2"/>
    </row>
    <row r="9304" spans="3:3" x14ac:dyDescent="0.35">
      <c r="C9304" s="2"/>
    </row>
    <row r="9305" spans="3:3" x14ac:dyDescent="0.35">
      <c r="C9305" s="2"/>
    </row>
    <row r="9306" spans="3:3" x14ac:dyDescent="0.35">
      <c r="C9306" s="2"/>
    </row>
    <row r="9307" spans="3:3" x14ac:dyDescent="0.35">
      <c r="C9307" s="2"/>
    </row>
    <row r="9308" spans="3:3" x14ac:dyDescent="0.35">
      <c r="C9308" s="2"/>
    </row>
    <row r="9309" spans="3:3" x14ac:dyDescent="0.35">
      <c r="C9309" s="2"/>
    </row>
    <row r="9310" spans="3:3" x14ac:dyDescent="0.35">
      <c r="C9310" s="2"/>
    </row>
    <row r="9311" spans="3:3" x14ac:dyDescent="0.35">
      <c r="C9311" s="2"/>
    </row>
    <row r="9312" spans="3:3" x14ac:dyDescent="0.35">
      <c r="C9312" s="2"/>
    </row>
    <row r="9313" spans="3:3" x14ac:dyDescent="0.35">
      <c r="C9313" s="2"/>
    </row>
    <row r="9314" spans="3:3" x14ac:dyDescent="0.35">
      <c r="C9314" s="2"/>
    </row>
    <row r="9315" spans="3:3" x14ac:dyDescent="0.35">
      <c r="C9315" s="2"/>
    </row>
    <row r="9316" spans="3:3" x14ac:dyDescent="0.35">
      <c r="C9316" s="2"/>
    </row>
    <row r="9317" spans="3:3" x14ac:dyDescent="0.35">
      <c r="C9317" s="2"/>
    </row>
    <row r="9318" spans="3:3" x14ac:dyDescent="0.35">
      <c r="C9318" s="2"/>
    </row>
    <row r="9319" spans="3:3" x14ac:dyDescent="0.35">
      <c r="C9319" s="2"/>
    </row>
    <row r="9320" spans="3:3" x14ac:dyDescent="0.35">
      <c r="C9320" s="2"/>
    </row>
    <row r="9321" spans="3:3" x14ac:dyDescent="0.35">
      <c r="C9321" s="2"/>
    </row>
    <row r="9322" spans="3:3" x14ac:dyDescent="0.35">
      <c r="C9322" s="2"/>
    </row>
    <row r="9323" spans="3:3" x14ac:dyDescent="0.35">
      <c r="C9323" s="2"/>
    </row>
    <row r="9324" spans="3:3" x14ac:dyDescent="0.35">
      <c r="C9324" s="2"/>
    </row>
    <row r="9325" spans="3:3" x14ac:dyDescent="0.35">
      <c r="C9325" s="2"/>
    </row>
    <row r="9326" spans="3:3" x14ac:dyDescent="0.35">
      <c r="C9326" s="2"/>
    </row>
    <row r="9327" spans="3:3" x14ac:dyDescent="0.35">
      <c r="C9327" s="2"/>
    </row>
    <row r="9328" spans="3:3" x14ac:dyDescent="0.35">
      <c r="C9328" s="2"/>
    </row>
    <row r="9329" spans="3:3" x14ac:dyDescent="0.35">
      <c r="C9329" s="2"/>
    </row>
    <row r="9330" spans="3:3" x14ac:dyDescent="0.35">
      <c r="C9330" s="2"/>
    </row>
    <row r="9331" spans="3:3" x14ac:dyDescent="0.35">
      <c r="C9331" s="2"/>
    </row>
    <row r="9332" spans="3:3" x14ac:dyDescent="0.35">
      <c r="C9332" s="2"/>
    </row>
    <row r="9333" spans="3:3" x14ac:dyDescent="0.35">
      <c r="C9333" s="2"/>
    </row>
    <row r="9334" spans="3:3" x14ac:dyDescent="0.35">
      <c r="C9334" s="2"/>
    </row>
    <row r="9335" spans="3:3" x14ac:dyDescent="0.35">
      <c r="C9335" s="2"/>
    </row>
    <row r="9336" spans="3:3" x14ac:dyDescent="0.35">
      <c r="C9336" s="2"/>
    </row>
    <row r="9337" spans="3:3" x14ac:dyDescent="0.35">
      <c r="C9337" s="2"/>
    </row>
    <row r="9338" spans="3:3" x14ac:dyDescent="0.35">
      <c r="C9338" s="2"/>
    </row>
    <row r="9339" spans="3:3" x14ac:dyDescent="0.35">
      <c r="C9339" s="2"/>
    </row>
    <row r="9340" spans="3:3" x14ac:dyDescent="0.35">
      <c r="C9340" s="2"/>
    </row>
    <row r="9341" spans="3:3" x14ac:dyDescent="0.35">
      <c r="C9341" s="2"/>
    </row>
    <row r="9342" spans="3:3" x14ac:dyDescent="0.35">
      <c r="C9342" s="2"/>
    </row>
    <row r="9343" spans="3:3" x14ac:dyDescent="0.35">
      <c r="C9343" s="2"/>
    </row>
    <row r="9344" spans="3:3" x14ac:dyDescent="0.35">
      <c r="C9344" s="2"/>
    </row>
    <row r="9345" spans="3:3" x14ac:dyDescent="0.35">
      <c r="C9345" s="2"/>
    </row>
    <row r="9346" spans="3:3" x14ac:dyDescent="0.35">
      <c r="C9346" s="2"/>
    </row>
    <row r="9347" spans="3:3" x14ac:dyDescent="0.35">
      <c r="C9347" s="2"/>
    </row>
    <row r="9348" spans="3:3" x14ac:dyDescent="0.35">
      <c r="C9348" s="2"/>
    </row>
    <row r="9349" spans="3:3" x14ac:dyDescent="0.35">
      <c r="C9349" s="2"/>
    </row>
    <row r="9350" spans="3:3" x14ac:dyDescent="0.35">
      <c r="C9350" s="2"/>
    </row>
    <row r="9351" spans="3:3" x14ac:dyDescent="0.35">
      <c r="C9351" s="2"/>
    </row>
    <row r="9352" spans="3:3" x14ac:dyDescent="0.35">
      <c r="C9352" s="2"/>
    </row>
    <row r="9353" spans="3:3" x14ac:dyDescent="0.35">
      <c r="C9353" s="2"/>
    </row>
    <row r="9354" spans="3:3" x14ac:dyDescent="0.35">
      <c r="C9354" s="2"/>
    </row>
    <row r="9355" spans="3:3" x14ac:dyDescent="0.35">
      <c r="C9355" s="2"/>
    </row>
    <row r="9356" spans="3:3" x14ac:dyDescent="0.35">
      <c r="C9356" s="2"/>
    </row>
    <row r="9357" spans="3:3" x14ac:dyDescent="0.35">
      <c r="C9357" s="2"/>
    </row>
    <row r="9358" spans="3:3" x14ac:dyDescent="0.35">
      <c r="C9358" s="2"/>
    </row>
    <row r="9359" spans="3:3" x14ac:dyDescent="0.35">
      <c r="C9359" s="2"/>
    </row>
    <row r="9360" spans="3:3" x14ac:dyDescent="0.35">
      <c r="C9360" s="2"/>
    </row>
    <row r="9361" spans="3:3" x14ac:dyDescent="0.35">
      <c r="C9361" s="2"/>
    </row>
    <row r="9362" spans="3:3" x14ac:dyDescent="0.35">
      <c r="C9362" s="2"/>
    </row>
    <row r="9363" spans="3:3" x14ac:dyDescent="0.35">
      <c r="C9363" s="2"/>
    </row>
    <row r="9364" spans="3:3" x14ac:dyDescent="0.35">
      <c r="C9364" s="2"/>
    </row>
    <row r="9365" spans="3:3" x14ac:dyDescent="0.35">
      <c r="C9365" s="2"/>
    </row>
    <row r="9366" spans="3:3" x14ac:dyDescent="0.35">
      <c r="C9366" s="2"/>
    </row>
    <row r="9367" spans="3:3" x14ac:dyDescent="0.35">
      <c r="C9367" s="2"/>
    </row>
    <row r="9368" spans="3:3" x14ac:dyDescent="0.35">
      <c r="C9368" s="2"/>
    </row>
    <row r="9369" spans="3:3" x14ac:dyDescent="0.35">
      <c r="C9369" s="2"/>
    </row>
    <row r="9370" spans="3:3" x14ac:dyDescent="0.35">
      <c r="C9370" s="2"/>
    </row>
    <row r="9371" spans="3:3" x14ac:dyDescent="0.35">
      <c r="C9371" s="2"/>
    </row>
    <row r="9372" spans="3:3" x14ac:dyDescent="0.35">
      <c r="C9372" s="2"/>
    </row>
    <row r="9373" spans="3:3" x14ac:dyDescent="0.35">
      <c r="C9373" s="2"/>
    </row>
    <row r="9374" spans="3:3" x14ac:dyDescent="0.35">
      <c r="C9374" s="2"/>
    </row>
    <row r="9375" spans="3:3" x14ac:dyDescent="0.35">
      <c r="C9375" s="2"/>
    </row>
    <row r="9376" spans="3:3" x14ac:dyDescent="0.35">
      <c r="C9376" s="2"/>
    </row>
    <row r="9377" spans="3:3" x14ac:dyDescent="0.35">
      <c r="C9377" s="2"/>
    </row>
    <row r="9378" spans="3:3" x14ac:dyDescent="0.35">
      <c r="C9378" s="2"/>
    </row>
    <row r="9379" spans="3:3" x14ac:dyDescent="0.35">
      <c r="C9379" s="2"/>
    </row>
    <row r="9380" spans="3:3" x14ac:dyDescent="0.35">
      <c r="C9380" s="2"/>
    </row>
    <row r="9381" spans="3:3" x14ac:dyDescent="0.35">
      <c r="C9381" s="2"/>
    </row>
    <row r="9382" spans="3:3" x14ac:dyDescent="0.35">
      <c r="C9382" s="2"/>
    </row>
    <row r="9383" spans="3:3" x14ac:dyDescent="0.35">
      <c r="C9383" s="2"/>
    </row>
    <row r="9384" spans="3:3" x14ac:dyDescent="0.35">
      <c r="C9384" s="2"/>
    </row>
    <row r="9385" spans="3:3" x14ac:dyDescent="0.35">
      <c r="C9385" s="2"/>
    </row>
    <row r="9386" spans="3:3" x14ac:dyDescent="0.35">
      <c r="C9386" s="2"/>
    </row>
    <row r="9387" spans="3:3" x14ac:dyDescent="0.35">
      <c r="C9387" s="2"/>
    </row>
    <row r="9388" spans="3:3" x14ac:dyDescent="0.35">
      <c r="C9388" s="2"/>
    </row>
    <row r="9389" spans="3:3" x14ac:dyDescent="0.35">
      <c r="C9389" s="2"/>
    </row>
    <row r="9390" spans="3:3" x14ac:dyDescent="0.35">
      <c r="C9390" s="2"/>
    </row>
    <row r="9391" spans="3:3" x14ac:dyDescent="0.35">
      <c r="C9391" s="2"/>
    </row>
    <row r="9392" spans="3:3" x14ac:dyDescent="0.35">
      <c r="C9392" s="2"/>
    </row>
    <row r="9393" spans="3:3" x14ac:dyDescent="0.35">
      <c r="C9393" s="2"/>
    </row>
    <row r="9394" spans="3:3" x14ac:dyDescent="0.35">
      <c r="C9394" s="2"/>
    </row>
    <row r="9395" spans="3:3" x14ac:dyDescent="0.35">
      <c r="C9395" s="2"/>
    </row>
    <row r="9396" spans="3:3" x14ac:dyDescent="0.35">
      <c r="C9396" s="2"/>
    </row>
    <row r="9397" spans="3:3" x14ac:dyDescent="0.35">
      <c r="C9397" s="2"/>
    </row>
    <row r="9398" spans="3:3" x14ac:dyDescent="0.35">
      <c r="C9398" s="2"/>
    </row>
    <row r="9399" spans="3:3" x14ac:dyDescent="0.35">
      <c r="C9399" s="2"/>
    </row>
    <row r="9400" spans="3:3" x14ac:dyDescent="0.35">
      <c r="C9400" s="2"/>
    </row>
    <row r="9401" spans="3:3" x14ac:dyDescent="0.35">
      <c r="C9401" s="2"/>
    </row>
    <row r="9402" spans="3:3" x14ac:dyDescent="0.35">
      <c r="C9402" s="2"/>
    </row>
    <row r="9403" spans="3:3" x14ac:dyDescent="0.35">
      <c r="C9403" s="2"/>
    </row>
    <row r="9404" spans="3:3" x14ac:dyDescent="0.35">
      <c r="C9404" s="2"/>
    </row>
    <row r="9405" spans="3:3" x14ac:dyDescent="0.35">
      <c r="C9405" s="2"/>
    </row>
    <row r="9406" spans="3:3" x14ac:dyDescent="0.35">
      <c r="C9406" s="2"/>
    </row>
    <row r="9407" spans="3:3" x14ac:dyDescent="0.35">
      <c r="C9407" s="2"/>
    </row>
    <row r="9408" spans="3:3" x14ac:dyDescent="0.35">
      <c r="C9408" s="2"/>
    </row>
    <row r="9409" spans="3:3" x14ac:dyDescent="0.35">
      <c r="C9409" s="2"/>
    </row>
    <row r="9410" spans="3:3" x14ac:dyDescent="0.35">
      <c r="C9410" s="2"/>
    </row>
    <row r="9411" spans="3:3" x14ac:dyDescent="0.35">
      <c r="C9411" s="2"/>
    </row>
    <row r="9412" spans="3:3" x14ac:dyDescent="0.35">
      <c r="C9412" s="2"/>
    </row>
    <row r="9413" spans="3:3" x14ac:dyDescent="0.35">
      <c r="C9413" s="2"/>
    </row>
    <row r="9414" spans="3:3" x14ac:dyDescent="0.35">
      <c r="C9414" s="2"/>
    </row>
    <row r="9415" spans="3:3" x14ac:dyDescent="0.35">
      <c r="C9415" s="2"/>
    </row>
    <row r="9416" spans="3:3" x14ac:dyDescent="0.35">
      <c r="C9416" s="2"/>
    </row>
    <row r="9417" spans="3:3" x14ac:dyDescent="0.35">
      <c r="C9417" s="2"/>
    </row>
    <row r="9418" spans="3:3" x14ac:dyDescent="0.35">
      <c r="C9418" s="2"/>
    </row>
    <row r="9419" spans="3:3" x14ac:dyDescent="0.35">
      <c r="C9419" s="2"/>
    </row>
    <row r="9420" spans="3:3" x14ac:dyDescent="0.35">
      <c r="C9420" s="2"/>
    </row>
    <row r="9421" spans="3:3" x14ac:dyDescent="0.35">
      <c r="C9421" s="2"/>
    </row>
    <row r="9422" spans="3:3" x14ac:dyDescent="0.35">
      <c r="C9422" s="2"/>
    </row>
    <row r="9423" spans="3:3" x14ac:dyDescent="0.35">
      <c r="C9423" s="2"/>
    </row>
    <row r="9424" spans="3:3" x14ac:dyDescent="0.35">
      <c r="C9424" s="2"/>
    </row>
    <row r="9425" spans="3:3" x14ac:dyDescent="0.35">
      <c r="C9425" s="2"/>
    </row>
    <row r="9426" spans="3:3" x14ac:dyDescent="0.35">
      <c r="C9426" s="2"/>
    </row>
    <row r="9427" spans="3:3" x14ac:dyDescent="0.35">
      <c r="C9427" s="2"/>
    </row>
    <row r="9428" spans="3:3" x14ac:dyDescent="0.35">
      <c r="C9428" s="2"/>
    </row>
    <row r="9429" spans="3:3" x14ac:dyDescent="0.35">
      <c r="C9429" s="2"/>
    </row>
    <row r="9430" spans="3:3" x14ac:dyDescent="0.35">
      <c r="C9430" s="2"/>
    </row>
    <row r="9431" spans="3:3" x14ac:dyDescent="0.35">
      <c r="C9431" s="2"/>
    </row>
    <row r="9432" spans="3:3" x14ac:dyDescent="0.35">
      <c r="C9432" s="2"/>
    </row>
    <row r="9433" spans="3:3" x14ac:dyDescent="0.35">
      <c r="C9433" s="2"/>
    </row>
    <row r="9434" spans="3:3" x14ac:dyDescent="0.35">
      <c r="C9434" s="2"/>
    </row>
    <row r="9435" spans="3:3" x14ac:dyDescent="0.35">
      <c r="C9435" s="2"/>
    </row>
    <row r="9436" spans="3:3" x14ac:dyDescent="0.35">
      <c r="C9436" s="2"/>
    </row>
    <row r="9437" spans="3:3" x14ac:dyDescent="0.35">
      <c r="C9437" s="2"/>
    </row>
    <row r="9438" spans="3:3" x14ac:dyDescent="0.35">
      <c r="C9438" s="2"/>
    </row>
    <row r="9439" spans="3:3" x14ac:dyDescent="0.35">
      <c r="C9439" s="2"/>
    </row>
    <row r="9440" spans="3:3" x14ac:dyDescent="0.35">
      <c r="C9440" s="2"/>
    </row>
    <row r="9441" spans="3:3" x14ac:dyDescent="0.35">
      <c r="C9441" s="2"/>
    </row>
    <row r="9442" spans="3:3" x14ac:dyDescent="0.35">
      <c r="C9442" s="2"/>
    </row>
    <row r="9443" spans="3:3" x14ac:dyDescent="0.35">
      <c r="C9443" s="2"/>
    </row>
    <row r="9444" spans="3:3" x14ac:dyDescent="0.35">
      <c r="C9444" s="2"/>
    </row>
    <row r="9445" spans="3:3" x14ac:dyDescent="0.35">
      <c r="C9445" s="2"/>
    </row>
    <row r="9446" spans="3:3" x14ac:dyDescent="0.35">
      <c r="C9446" s="2"/>
    </row>
    <row r="9447" spans="3:3" x14ac:dyDescent="0.35">
      <c r="C9447" s="2"/>
    </row>
    <row r="9448" spans="3:3" x14ac:dyDescent="0.35">
      <c r="C9448" s="2"/>
    </row>
    <row r="9449" spans="3:3" x14ac:dyDescent="0.35">
      <c r="C9449" s="2"/>
    </row>
    <row r="9450" spans="3:3" x14ac:dyDescent="0.35">
      <c r="C9450" s="2"/>
    </row>
    <row r="9451" spans="3:3" x14ac:dyDescent="0.35">
      <c r="C9451" s="2"/>
    </row>
    <row r="9452" spans="3:3" x14ac:dyDescent="0.35">
      <c r="C9452" s="2"/>
    </row>
    <row r="9453" spans="3:3" x14ac:dyDescent="0.35">
      <c r="C9453" s="2"/>
    </row>
    <row r="9454" spans="3:3" x14ac:dyDescent="0.35">
      <c r="C9454" s="2"/>
    </row>
    <row r="9455" spans="3:3" x14ac:dyDescent="0.35">
      <c r="C9455" s="2"/>
    </row>
    <row r="9456" spans="3:3" x14ac:dyDescent="0.35">
      <c r="C9456" s="2"/>
    </row>
    <row r="9457" spans="3:3" x14ac:dyDescent="0.35">
      <c r="C9457" s="2"/>
    </row>
    <row r="9458" spans="3:3" x14ac:dyDescent="0.35">
      <c r="C9458" s="2"/>
    </row>
    <row r="9459" spans="3:3" x14ac:dyDescent="0.35">
      <c r="C9459" s="2"/>
    </row>
    <row r="9460" spans="3:3" x14ac:dyDescent="0.35">
      <c r="C9460" s="2"/>
    </row>
    <row r="9461" spans="3:3" x14ac:dyDescent="0.35">
      <c r="C9461" s="2"/>
    </row>
    <row r="9462" spans="3:3" x14ac:dyDescent="0.35">
      <c r="C9462" s="2"/>
    </row>
    <row r="9463" spans="3:3" x14ac:dyDescent="0.35">
      <c r="C9463" s="2"/>
    </row>
    <row r="9464" spans="3:3" x14ac:dyDescent="0.35">
      <c r="C9464" s="2"/>
    </row>
    <row r="9465" spans="3:3" x14ac:dyDescent="0.35">
      <c r="C9465" s="2"/>
    </row>
    <row r="9466" spans="3:3" x14ac:dyDescent="0.35">
      <c r="C9466" s="2"/>
    </row>
    <row r="9467" spans="3:3" x14ac:dyDescent="0.35">
      <c r="C9467" s="2"/>
    </row>
    <row r="9468" spans="3:3" x14ac:dyDescent="0.35">
      <c r="C9468" s="2"/>
    </row>
    <row r="9469" spans="3:3" x14ac:dyDescent="0.35">
      <c r="C9469" s="2"/>
    </row>
    <row r="9470" spans="3:3" x14ac:dyDescent="0.35">
      <c r="C9470" s="2"/>
    </row>
    <row r="9471" spans="3:3" x14ac:dyDescent="0.35">
      <c r="C9471" s="2"/>
    </row>
    <row r="9472" spans="3:3" x14ac:dyDescent="0.35">
      <c r="C9472" s="2"/>
    </row>
    <row r="9473" spans="3:3" x14ac:dyDescent="0.35">
      <c r="C9473" s="2"/>
    </row>
    <row r="9474" spans="3:3" x14ac:dyDescent="0.35">
      <c r="C9474" s="2"/>
    </row>
    <row r="9475" spans="3:3" x14ac:dyDescent="0.35">
      <c r="C9475" s="2"/>
    </row>
    <row r="9476" spans="3:3" x14ac:dyDescent="0.35">
      <c r="C9476" s="2"/>
    </row>
    <row r="9477" spans="3:3" x14ac:dyDescent="0.35">
      <c r="C9477" s="2"/>
    </row>
    <row r="9478" spans="3:3" x14ac:dyDescent="0.35">
      <c r="C9478" s="2"/>
    </row>
    <row r="9479" spans="3:3" x14ac:dyDescent="0.35">
      <c r="C9479" s="2"/>
    </row>
    <row r="9480" spans="3:3" x14ac:dyDescent="0.35">
      <c r="C9480" s="2"/>
    </row>
    <row r="9481" spans="3:3" x14ac:dyDescent="0.35">
      <c r="C9481" s="2"/>
    </row>
    <row r="9482" spans="3:3" x14ac:dyDescent="0.35">
      <c r="C9482" s="2"/>
    </row>
    <row r="9483" spans="3:3" x14ac:dyDescent="0.35">
      <c r="C9483" s="2"/>
    </row>
    <row r="9484" spans="3:3" x14ac:dyDescent="0.35">
      <c r="C9484" s="2"/>
    </row>
    <row r="9485" spans="3:3" x14ac:dyDescent="0.35">
      <c r="C9485" s="2"/>
    </row>
    <row r="9486" spans="3:3" x14ac:dyDescent="0.35">
      <c r="C9486" s="2"/>
    </row>
    <row r="9487" spans="3:3" x14ac:dyDescent="0.35">
      <c r="C9487" s="2"/>
    </row>
    <row r="9488" spans="3:3" x14ac:dyDescent="0.35">
      <c r="C9488" s="2"/>
    </row>
    <row r="9489" spans="3:3" x14ac:dyDescent="0.35">
      <c r="C9489" s="2"/>
    </row>
    <row r="9490" spans="3:3" x14ac:dyDescent="0.35">
      <c r="C9490" s="2"/>
    </row>
    <row r="9491" spans="3:3" x14ac:dyDescent="0.35">
      <c r="C9491" s="2"/>
    </row>
    <row r="9492" spans="3:3" x14ac:dyDescent="0.35">
      <c r="C9492" s="2"/>
    </row>
    <row r="9493" spans="3:3" x14ac:dyDescent="0.35">
      <c r="C9493" s="2"/>
    </row>
    <row r="9494" spans="3:3" x14ac:dyDescent="0.35">
      <c r="C9494" s="2"/>
    </row>
    <row r="9495" spans="3:3" x14ac:dyDescent="0.35">
      <c r="C9495" s="2"/>
    </row>
    <row r="9496" spans="3:3" x14ac:dyDescent="0.35">
      <c r="C9496" s="2"/>
    </row>
    <row r="9497" spans="3:3" x14ac:dyDescent="0.35">
      <c r="C9497" s="2"/>
    </row>
    <row r="9498" spans="3:3" x14ac:dyDescent="0.35">
      <c r="C9498" s="2"/>
    </row>
    <row r="9499" spans="3:3" x14ac:dyDescent="0.35">
      <c r="C9499" s="2"/>
    </row>
    <row r="9500" spans="3:3" x14ac:dyDescent="0.35">
      <c r="C9500" s="2"/>
    </row>
    <row r="9501" spans="3:3" x14ac:dyDescent="0.35">
      <c r="C9501" s="2"/>
    </row>
    <row r="9502" spans="3:3" x14ac:dyDescent="0.35">
      <c r="C9502" s="2"/>
    </row>
    <row r="9503" spans="3:3" x14ac:dyDescent="0.35">
      <c r="C9503" s="2"/>
    </row>
    <row r="9504" spans="3:3" x14ac:dyDescent="0.35">
      <c r="C9504" s="2"/>
    </row>
    <row r="9505" spans="3:3" x14ac:dyDescent="0.35">
      <c r="C9505" s="2"/>
    </row>
    <row r="9506" spans="3:3" x14ac:dyDescent="0.35">
      <c r="C9506" s="2"/>
    </row>
    <row r="9507" spans="3:3" x14ac:dyDescent="0.35">
      <c r="C9507" s="2"/>
    </row>
    <row r="9508" spans="3:3" x14ac:dyDescent="0.35">
      <c r="C9508" s="2"/>
    </row>
    <row r="9509" spans="3:3" x14ac:dyDescent="0.35">
      <c r="C9509" s="2"/>
    </row>
    <row r="9510" spans="3:3" x14ac:dyDescent="0.35">
      <c r="C9510" s="2"/>
    </row>
    <row r="9511" spans="3:3" x14ac:dyDescent="0.35">
      <c r="C9511" s="2"/>
    </row>
    <row r="9512" spans="3:3" x14ac:dyDescent="0.35">
      <c r="C9512" s="2"/>
    </row>
    <row r="9513" spans="3:3" x14ac:dyDescent="0.35">
      <c r="C9513" s="2"/>
    </row>
    <row r="9514" spans="3:3" x14ac:dyDescent="0.35">
      <c r="C9514" s="2"/>
    </row>
    <row r="9515" spans="3:3" x14ac:dyDescent="0.35">
      <c r="C9515" s="2"/>
    </row>
    <row r="9516" spans="3:3" x14ac:dyDescent="0.35">
      <c r="C9516" s="2"/>
    </row>
    <row r="9517" spans="3:3" x14ac:dyDescent="0.35">
      <c r="C9517" s="2"/>
    </row>
    <row r="9518" spans="3:3" x14ac:dyDescent="0.35">
      <c r="C9518" s="2"/>
    </row>
    <row r="9519" spans="3:3" x14ac:dyDescent="0.35">
      <c r="C9519" s="2"/>
    </row>
    <row r="9520" spans="3:3" x14ac:dyDescent="0.35">
      <c r="C9520" s="2"/>
    </row>
    <row r="9521" spans="3:3" x14ac:dyDescent="0.35">
      <c r="C9521" s="2"/>
    </row>
    <row r="9522" spans="3:3" x14ac:dyDescent="0.35">
      <c r="C9522" s="2"/>
    </row>
    <row r="9523" spans="3:3" x14ac:dyDescent="0.35">
      <c r="C9523" s="2"/>
    </row>
    <row r="9524" spans="3:3" x14ac:dyDescent="0.35">
      <c r="C9524" s="2"/>
    </row>
    <row r="9525" spans="3:3" x14ac:dyDescent="0.35">
      <c r="C9525" s="2"/>
    </row>
    <row r="9526" spans="3:3" x14ac:dyDescent="0.35">
      <c r="C9526" s="2"/>
    </row>
    <row r="9527" spans="3:3" x14ac:dyDescent="0.35">
      <c r="C9527" s="2"/>
    </row>
    <row r="9528" spans="3:3" x14ac:dyDescent="0.35">
      <c r="C9528" s="2"/>
    </row>
    <row r="9529" spans="3:3" x14ac:dyDescent="0.35">
      <c r="C9529" s="2"/>
    </row>
    <row r="9530" spans="3:3" x14ac:dyDescent="0.35">
      <c r="C9530" s="2"/>
    </row>
    <row r="9531" spans="3:3" x14ac:dyDescent="0.35">
      <c r="C9531" s="2"/>
    </row>
    <row r="9532" spans="3:3" x14ac:dyDescent="0.35">
      <c r="C9532" s="2"/>
    </row>
    <row r="9533" spans="3:3" x14ac:dyDescent="0.35">
      <c r="C9533" s="2"/>
    </row>
    <row r="9534" spans="3:3" x14ac:dyDescent="0.35">
      <c r="C9534" s="2"/>
    </row>
    <row r="9535" spans="3:3" x14ac:dyDescent="0.35">
      <c r="C9535" s="2"/>
    </row>
    <row r="9536" spans="3:3" x14ac:dyDescent="0.35">
      <c r="C9536" s="2"/>
    </row>
    <row r="9537" spans="3:3" x14ac:dyDescent="0.35">
      <c r="C9537" s="2"/>
    </row>
    <row r="9538" spans="3:3" x14ac:dyDescent="0.35">
      <c r="C9538" s="2"/>
    </row>
    <row r="9539" spans="3:3" x14ac:dyDescent="0.35">
      <c r="C9539" s="2"/>
    </row>
    <row r="9540" spans="3:3" x14ac:dyDescent="0.35">
      <c r="C9540" s="2"/>
    </row>
    <row r="9541" spans="3:3" x14ac:dyDescent="0.35">
      <c r="C9541" s="2"/>
    </row>
    <row r="9542" spans="3:3" x14ac:dyDescent="0.35">
      <c r="C9542" s="2"/>
    </row>
    <row r="9543" spans="3:3" x14ac:dyDescent="0.35">
      <c r="C9543" s="2"/>
    </row>
    <row r="9544" spans="3:3" x14ac:dyDescent="0.35">
      <c r="C9544" s="2"/>
    </row>
    <row r="9545" spans="3:3" x14ac:dyDescent="0.35">
      <c r="C9545" s="2"/>
    </row>
    <row r="9546" spans="3:3" x14ac:dyDescent="0.35">
      <c r="C9546" s="2"/>
    </row>
    <row r="9547" spans="3:3" x14ac:dyDescent="0.35">
      <c r="C9547" s="2"/>
    </row>
    <row r="9548" spans="3:3" x14ac:dyDescent="0.35">
      <c r="C9548" s="2"/>
    </row>
    <row r="9549" spans="3:3" x14ac:dyDescent="0.35">
      <c r="C9549" s="2"/>
    </row>
    <row r="9550" spans="3:3" x14ac:dyDescent="0.35">
      <c r="C9550" s="2"/>
    </row>
    <row r="9551" spans="3:3" x14ac:dyDescent="0.35">
      <c r="C9551" s="2"/>
    </row>
    <row r="9552" spans="3:3" x14ac:dyDescent="0.35">
      <c r="C9552" s="2"/>
    </row>
    <row r="9553" spans="3:3" x14ac:dyDescent="0.35">
      <c r="C9553" s="2"/>
    </row>
    <row r="9554" spans="3:3" x14ac:dyDescent="0.35">
      <c r="C9554" s="2"/>
    </row>
    <row r="9555" spans="3:3" x14ac:dyDescent="0.35">
      <c r="C9555" s="2"/>
    </row>
    <row r="9556" spans="3:3" x14ac:dyDescent="0.35">
      <c r="C9556" s="2"/>
    </row>
    <row r="9557" spans="3:3" x14ac:dyDescent="0.35">
      <c r="C9557" s="2"/>
    </row>
    <row r="9558" spans="3:3" x14ac:dyDescent="0.35">
      <c r="C9558" s="2"/>
    </row>
    <row r="9559" spans="3:3" x14ac:dyDescent="0.35">
      <c r="C9559" s="2"/>
    </row>
    <row r="9560" spans="3:3" x14ac:dyDescent="0.35">
      <c r="C9560" s="2"/>
    </row>
    <row r="9561" spans="3:3" x14ac:dyDescent="0.35">
      <c r="C9561" s="2"/>
    </row>
    <row r="9562" spans="3:3" x14ac:dyDescent="0.35">
      <c r="C9562" s="2"/>
    </row>
    <row r="9563" spans="3:3" x14ac:dyDescent="0.35">
      <c r="C9563" s="2"/>
    </row>
    <row r="9564" spans="3:3" x14ac:dyDescent="0.35">
      <c r="C9564" s="2"/>
    </row>
    <row r="9565" spans="3:3" x14ac:dyDescent="0.35">
      <c r="C9565" s="2"/>
    </row>
    <row r="9566" spans="3:3" x14ac:dyDescent="0.35">
      <c r="C9566" s="2"/>
    </row>
    <row r="9567" spans="3:3" x14ac:dyDescent="0.35">
      <c r="C9567" s="2"/>
    </row>
    <row r="9568" spans="3:3" x14ac:dyDescent="0.35">
      <c r="C9568" s="2"/>
    </row>
    <row r="9569" spans="3:3" x14ac:dyDescent="0.35">
      <c r="C9569" s="2"/>
    </row>
    <row r="9570" spans="3:3" x14ac:dyDescent="0.35">
      <c r="C9570" s="2"/>
    </row>
    <row r="9571" spans="3:3" x14ac:dyDescent="0.35">
      <c r="C9571" s="2"/>
    </row>
    <row r="9572" spans="3:3" x14ac:dyDescent="0.35">
      <c r="C9572" s="2"/>
    </row>
    <row r="9573" spans="3:3" x14ac:dyDescent="0.35">
      <c r="C9573" s="2"/>
    </row>
    <row r="9574" spans="3:3" x14ac:dyDescent="0.35">
      <c r="C9574" s="2"/>
    </row>
    <row r="9575" spans="3:3" x14ac:dyDescent="0.35">
      <c r="C9575" s="2"/>
    </row>
    <row r="9576" spans="3:3" x14ac:dyDescent="0.35">
      <c r="C9576" s="2"/>
    </row>
    <row r="9577" spans="3:3" x14ac:dyDescent="0.35">
      <c r="C9577" s="2"/>
    </row>
    <row r="9578" spans="3:3" x14ac:dyDescent="0.35">
      <c r="C9578" s="2"/>
    </row>
    <row r="9579" spans="3:3" x14ac:dyDescent="0.35">
      <c r="C9579" s="2"/>
    </row>
    <row r="9580" spans="3:3" x14ac:dyDescent="0.35">
      <c r="C9580" s="2"/>
    </row>
    <row r="9581" spans="3:3" x14ac:dyDescent="0.35">
      <c r="C9581" s="2"/>
    </row>
    <row r="9582" spans="3:3" x14ac:dyDescent="0.35">
      <c r="C9582" s="2"/>
    </row>
    <row r="9583" spans="3:3" x14ac:dyDescent="0.35">
      <c r="C9583" s="2"/>
    </row>
    <row r="9584" spans="3:3" x14ac:dyDescent="0.35">
      <c r="C9584" s="2"/>
    </row>
    <row r="9585" spans="3:3" x14ac:dyDescent="0.35">
      <c r="C9585" s="2"/>
    </row>
    <row r="9586" spans="3:3" x14ac:dyDescent="0.35">
      <c r="C9586" s="2"/>
    </row>
    <row r="9587" spans="3:3" x14ac:dyDescent="0.35">
      <c r="C9587" s="2"/>
    </row>
    <row r="9588" spans="3:3" x14ac:dyDescent="0.35">
      <c r="C9588" s="2"/>
    </row>
    <row r="9589" spans="3:3" x14ac:dyDescent="0.35">
      <c r="C9589" s="2"/>
    </row>
    <row r="9590" spans="3:3" x14ac:dyDescent="0.35">
      <c r="C9590" s="2"/>
    </row>
    <row r="9591" spans="3:3" x14ac:dyDescent="0.35">
      <c r="C9591" s="2"/>
    </row>
    <row r="9592" spans="3:3" x14ac:dyDescent="0.35">
      <c r="C9592" s="2"/>
    </row>
    <row r="9593" spans="3:3" x14ac:dyDescent="0.35">
      <c r="C9593" s="2"/>
    </row>
    <row r="9594" spans="3:3" x14ac:dyDescent="0.35">
      <c r="C9594" s="2"/>
    </row>
    <row r="9595" spans="3:3" x14ac:dyDescent="0.35">
      <c r="C9595" s="2"/>
    </row>
    <row r="9596" spans="3:3" x14ac:dyDescent="0.35">
      <c r="C9596" s="2"/>
    </row>
    <row r="9597" spans="3:3" x14ac:dyDescent="0.35">
      <c r="C9597" s="2"/>
    </row>
    <row r="9598" spans="3:3" x14ac:dyDescent="0.35">
      <c r="C9598" s="2"/>
    </row>
    <row r="9599" spans="3:3" x14ac:dyDescent="0.35">
      <c r="C9599" s="2"/>
    </row>
    <row r="9600" spans="3:3" x14ac:dyDescent="0.35">
      <c r="C9600" s="2"/>
    </row>
    <row r="9601" spans="3:3" x14ac:dyDescent="0.35">
      <c r="C9601" s="2"/>
    </row>
    <row r="9602" spans="3:3" x14ac:dyDescent="0.35">
      <c r="C9602" s="2"/>
    </row>
    <row r="9603" spans="3:3" x14ac:dyDescent="0.35">
      <c r="C9603" s="2"/>
    </row>
    <row r="9604" spans="3:3" x14ac:dyDescent="0.35">
      <c r="C9604" s="2"/>
    </row>
    <row r="9605" spans="3:3" x14ac:dyDescent="0.35">
      <c r="C9605" s="2"/>
    </row>
    <row r="9606" spans="3:3" x14ac:dyDescent="0.35">
      <c r="C9606" s="2"/>
    </row>
    <row r="9607" spans="3:3" x14ac:dyDescent="0.35">
      <c r="C9607" s="2"/>
    </row>
    <row r="9608" spans="3:3" x14ac:dyDescent="0.35">
      <c r="C9608" s="2"/>
    </row>
    <row r="9609" spans="3:3" x14ac:dyDescent="0.35">
      <c r="C9609" s="2"/>
    </row>
    <row r="9610" spans="3:3" x14ac:dyDescent="0.35">
      <c r="C9610" s="2"/>
    </row>
    <row r="9611" spans="3:3" x14ac:dyDescent="0.35">
      <c r="C9611" s="2"/>
    </row>
    <row r="9612" spans="3:3" x14ac:dyDescent="0.35">
      <c r="C9612" s="2"/>
    </row>
    <row r="9613" spans="3:3" x14ac:dyDescent="0.35">
      <c r="C9613" s="2"/>
    </row>
    <row r="9614" spans="3:3" x14ac:dyDescent="0.35">
      <c r="C9614" s="2"/>
    </row>
    <row r="9615" spans="3:3" x14ac:dyDescent="0.35">
      <c r="C9615" s="2"/>
    </row>
    <row r="9616" spans="3:3" x14ac:dyDescent="0.35">
      <c r="C9616" s="2"/>
    </row>
    <row r="9617" spans="3:3" x14ac:dyDescent="0.35">
      <c r="C9617" s="2"/>
    </row>
    <row r="9618" spans="3:3" x14ac:dyDescent="0.35">
      <c r="C9618" s="2"/>
    </row>
    <row r="9619" spans="3:3" x14ac:dyDescent="0.35">
      <c r="C9619" s="2"/>
    </row>
    <row r="9620" spans="3:3" x14ac:dyDescent="0.35">
      <c r="C9620" s="2"/>
    </row>
    <row r="9621" spans="3:3" x14ac:dyDescent="0.35">
      <c r="C9621" s="2"/>
    </row>
    <row r="9622" spans="3:3" x14ac:dyDescent="0.35">
      <c r="C9622" s="2"/>
    </row>
    <row r="9623" spans="3:3" x14ac:dyDescent="0.35">
      <c r="C9623" s="2"/>
    </row>
    <row r="9624" spans="3:3" x14ac:dyDescent="0.35">
      <c r="C9624" s="2"/>
    </row>
    <row r="9625" spans="3:3" x14ac:dyDescent="0.35">
      <c r="C9625" s="2"/>
    </row>
    <row r="9626" spans="3:3" x14ac:dyDescent="0.35">
      <c r="C9626" s="2"/>
    </row>
    <row r="9627" spans="3:3" x14ac:dyDescent="0.35">
      <c r="C9627" s="2"/>
    </row>
    <row r="9628" spans="3:3" x14ac:dyDescent="0.35">
      <c r="C9628" s="2"/>
    </row>
    <row r="9629" spans="3:3" x14ac:dyDescent="0.35">
      <c r="C9629" s="2"/>
    </row>
    <row r="9630" spans="3:3" x14ac:dyDescent="0.35">
      <c r="C9630" s="2"/>
    </row>
    <row r="9631" spans="3:3" x14ac:dyDescent="0.35">
      <c r="C9631" s="2"/>
    </row>
    <row r="9632" spans="3:3" x14ac:dyDescent="0.35">
      <c r="C9632" s="2"/>
    </row>
    <row r="9633" spans="3:3" x14ac:dyDescent="0.35">
      <c r="C9633" s="2"/>
    </row>
    <row r="9634" spans="3:3" x14ac:dyDescent="0.35">
      <c r="C9634" s="2"/>
    </row>
    <row r="9635" spans="3:3" x14ac:dyDescent="0.35">
      <c r="C9635" s="2"/>
    </row>
    <row r="9636" spans="3:3" x14ac:dyDescent="0.35">
      <c r="C9636" s="2"/>
    </row>
    <row r="9637" spans="3:3" x14ac:dyDescent="0.35">
      <c r="C9637" s="2"/>
    </row>
    <row r="9638" spans="3:3" x14ac:dyDescent="0.35">
      <c r="C9638" s="2"/>
    </row>
    <row r="9639" spans="3:3" x14ac:dyDescent="0.35">
      <c r="C9639" s="2"/>
    </row>
    <row r="9640" spans="3:3" x14ac:dyDescent="0.35">
      <c r="C9640" s="2"/>
    </row>
    <row r="9641" spans="3:3" x14ac:dyDescent="0.35">
      <c r="C9641" s="2"/>
    </row>
    <row r="9642" spans="3:3" x14ac:dyDescent="0.35">
      <c r="C9642" s="2"/>
    </row>
    <row r="9643" spans="3:3" x14ac:dyDescent="0.35">
      <c r="C9643" s="2"/>
    </row>
    <row r="9644" spans="3:3" x14ac:dyDescent="0.35">
      <c r="C9644" s="2"/>
    </row>
    <row r="9645" spans="3:3" x14ac:dyDescent="0.35">
      <c r="C9645" s="2"/>
    </row>
    <row r="9646" spans="3:3" x14ac:dyDescent="0.35">
      <c r="C9646" s="2"/>
    </row>
    <row r="9647" spans="3:3" x14ac:dyDescent="0.35">
      <c r="C9647" s="2"/>
    </row>
    <row r="9648" spans="3:3" x14ac:dyDescent="0.35">
      <c r="C9648" s="2"/>
    </row>
    <row r="9649" spans="3:3" x14ac:dyDescent="0.35">
      <c r="C9649" s="2"/>
    </row>
    <row r="9650" spans="3:3" x14ac:dyDescent="0.35">
      <c r="C9650" s="2"/>
    </row>
    <row r="9651" spans="3:3" x14ac:dyDescent="0.35">
      <c r="C9651" s="2"/>
    </row>
    <row r="9652" spans="3:3" x14ac:dyDescent="0.35">
      <c r="C9652" s="2"/>
    </row>
    <row r="9653" spans="3:3" x14ac:dyDescent="0.35">
      <c r="C9653" s="2"/>
    </row>
    <row r="9654" spans="3:3" x14ac:dyDescent="0.35">
      <c r="C9654" s="2"/>
    </row>
    <row r="9655" spans="3:3" x14ac:dyDescent="0.35">
      <c r="C9655" s="2"/>
    </row>
    <row r="9656" spans="3:3" x14ac:dyDescent="0.35">
      <c r="C9656" s="2"/>
    </row>
    <row r="9657" spans="3:3" x14ac:dyDescent="0.35">
      <c r="C9657" s="2"/>
    </row>
    <row r="9658" spans="3:3" x14ac:dyDescent="0.35">
      <c r="C9658" s="2"/>
    </row>
    <row r="9659" spans="3:3" x14ac:dyDescent="0.35">
      <c r="C9659" s="2"/>
    </row>
    <row r="9660" spans="3:3" x14ac:dyDescent="0.35">
      <c r="C9660" s="2"/>
    </row>
    <row r="9661" spans="3:3" x14ac:dyDescent="0.35">
      <c r="C9661" s="2"/>
    </row>
    <row r="9662" spans="3:3" x14ac:dyDescent="0.35">
      <c r="C9662" s="2"/>
    </row>
    <row r="9663" spans="3:3" x14ac:dyDescent="0.35">
      <c r="C9663" s="2"/>
    </row>
    <row r="9664" spans="3:3" x14ac:dyDescent="0.35">
      <c r="C9664" s="2"/>
    </row>
    <row r="9665" spans="3:3" x14ac:dyDescent="0.35">
      <c r="C9665" s="2"/>
    </row>
    <row r="9666" spans="3:3" x14ac:dyDescent="0.35">
      <c r="C9666" s="2"/>
    </row>
    <row r="9667" spans="3:3" x14ac:dyDescent="0.35">
      <c r="C9667" s="2"/>
    </row>
    <row r="9668" spans="3:3" x14ac:dyDescent="0.35">
      <c r="C9668" s="2"/>
    </row>
    <row r="9669" spans="3:3" x14ac:dyDescent="0.35">
      <c r="C9669" s="2"/>
    </row>
    <row r="9670" spans="3:3" x14ac:dyDescent="0.35">
      <c r="C9670" s="2"/>
    </row>
    <row r="9671" spans="3:3" x14ac:dyDescent="0.35">
      <c r="C9671" s="2"/>
    </row>
    <row r="9672" spans="3:3" x14ac:dyDescent="0.35">
      <c r="C9672" s="2"/>
    </row>
    <row r="9673" spans="3:3" x14ac:dyDescent="0.35">
      <c r="C9673" s="2"/>
    </row>
    <row r="9674" spans="3:3" x14ac:dyDescent="0.35">
      <c r="C9674" s="2"/>
    </row>
    <row r="9675" spans="3:3" x14ac:dyDescent="0.35">
      <c r="C9675" s="2"/>
    </row>
    <row r="9676" spans="3:3" x14ac:dyDescent="0.35">
      <c r="C9676" s="2"/>
    </row>
    <row r="9677" spans="3:3" x14ac:dyDescent="0.35">
      <c r="C9677" s="2"/>
    </row>
    <row r="9678" spans="3:3" x14ac:dyDescent="0.35">
      <c r="C9678" s="2"/>
    </row>
    <row r="9679" spans="3:3" x14ac:dyDescent="0.35">
      <c r="C9679" s="2"/>
    </row>
    <row r="9680" spans="3:3" x14ac:dyDescent="0.35">
      <c r="C9680" s="2"/>
    </row>
    <row r="9681" spans="3:3" x14ac:dyDescent="0.35">
      <c r="C9681" s="2"/>
    </row>
    <row r="9682" spans="3:3" x14ac:dyDescent="0.35">
      <c r="C9682" s="2"/>
    </row>
    <row r="9683" spans="3:3" x14ac:dyDescent="0.35">
      <c r="C9683" s="2"/>
    </row>
    <row r="9684" spans="3:3" x14ac:dyDescent="0.35">
      <c r="C9684" s="2"/>
    </row>
    <row r="9685" spans="3:3" x14ac:dyDescent="0.35">
      <c r="C9685" s="2"/>
    </row>
    <row r="9686" spans="3:3" x14ac:dyDescent="0.35">
      <c r="C9686" s="2"/>
    </row>
    <row r="9687" spans="3:3" x14ac:dyDescent="0.35">
      <c r="C9687" s="2"/>
    </row>
    <row r="9688" spans="3:3" x14ac:dyDescent="0.35">
      <c r="C9688" s="2"/>
    </row>
    <row r="9689" spans="3:3" x14ac:dyDescent="0.35">
      <c r="C9689" s="2"/>
    </row>
    <row r="9690" spans="3:3" x14ac:dyDescent="0.35">
      <c r="C9690" s="2"/>
    </row>
    <row r="9691" spans="3:3" x14ac:dyDescent="0.35">
      <c r="C9691" s="2"/>
    </row>
    <row r="9692" spans="3:3" x14ac:dyDescent="0.35">
      <c r="C9692" s="2"/>
    </row>
    <row r="9693" spans="3:3" x14ac:dyDescent="0.35">
      <c r="C9693" s="2"/>
    </row>
    <row r="9694" spans="3:3" x14ac:dyDescent="0.35">
      <c r="C9694" s="2"/>
    </row>
    <row r="9695" spans="3:3" x14ac:dyDescent="0.35">
      <c r="C9695" s="2"/>
    </row>
    <row r="9696" spans="3:3" x14ac:dyDescent="0.35">
      <c r="C9696" s="2"/>
    </row>
    <row r="9697" spans="3:3" x14ac:dyDescent="0.35">
      <c r="C9697" s="2"/>
    </row>
    <row r="9698" spans="3:3" x14ac:dyDescent="0.35">
      <c r="C9698" s="2"/>
    </row>
    <row r="9699" spans="3:3" x14ac:dyDescent="0.35">
      <c r="C9699" s="2"/>
    </row>
    <row r="9700" spans="3:3" x14ac:dyDescent="0.35">
      <c r="C9700" s="2"/>
    </row>
    <row r="9701" spans="3:3" x14ac:dyDescent="0.35">
      <c r="C9701" s="2"/>
    </row>
    <row r="9702" spans="3:3" x14ac:dyDescent="0.35">
      <c r="C9702" s="2"/>
    </row>
    <row r="9703" spans="3:3" x14ac:dyDescent="0.35">
      <c r="C9703" s="2"/>
    </row>
    <row r="9704" spans="3:3" x14ac:dyDescent="0.35">
      <c r="C9704" s="2"/>
    </row>
    <row r="9705" spans="3:3" x14ac:dyDescent="0.35">
      <c r="C9705" s="2"/>
    </row>
    <row r="9706" spans="3:3" x14ac:dyDescent="0.35">
      <c r="C9706" s="2"/>
    </row>
    <row r="9707" spans="3:3" x14ac:dyDescent="0.35">
      <c r="C9707" s="2"/>
    </row>
    <row r="9708" spans="3:3" x14ac:dyDescent="0.35">
      <c r="C9708" s="2"/>
    </row>
    <row r="9709" spans="3:3" x14ac:dyDescent="0.35">
      <c r="C9709" s="2"/>
    </row>
    <row r="9710" spans="3:3" x14ac:dyDescent="0.35">
      <c r="C9710" s="2"/>
    </row>
    <row r="9711" spans="3:3" x14ac:dyDescent="0.35">
      <c r="C9711" s="2"/>
    </row>
    <row r="9712" spans="3:3" x14ac:dyDescent="0.35">
      <c r="C9712" s="2"/>
    </row>
    <row r="9713" spans="3:3" x14ac:dyDescent="0.35">
      <c r="C9713" s="2"/>
    </row>
    <row r="9714" spans="3:3" x14ac:dyDescent="0.35">
      <c r="C9714" s="2"/>
    </row>
    <row r="9715" spans="3:3" x14ac:dyDescent="0.35">
      <c r="C9715" s="2"/>
    </row>
    <row r="9716" spans="3:3" x14ac:dyDescent="0.35">
      <c r="C9716" s="2"/>
    </row>
    <row r="9717" spans="3:3" x14ac:dyDescent="0.35">
      <c r="C9717" s="2"/>
    </row>
    <row r="9718" spans="3:3" x14ac:dyDescent="0.35">
      <c r="C9718" s="2"/>
    </row>
    <row r="9719" spans="3:3" x14ac:dyDescent="0.35">
      <c r="C9719" s="2"/>
    </row>
    <row r="9720" spans="3:3" x14ac:dyDescent="0.35">
      <c r="C9720" s="2"/>
    </row>
    <row r="9721" spans="3:3" x14ac:dyDescent="0.35">
      <c r="C9721" s="2"/>
    </row>
    <row r="9722" spans="3:3" x14ac:dyDescent="0.35">
      <c r="C9722" s="2"/>
    </row>
    <row r="9723" spans="3:3" x14ac:dyDescent="0.35">
      <c r="C9723" s="2"/>
    </row>
    <row r="9724" spans="3:3" x14ac:dyDescent="0.35">
      <c r="C9724" s="2"/>
    </row>
    <row r="9725" spans="3:3" x14ac:dyDescent="0.35">
      <c r="C9725" s="2"/>
    </row>
    <row r="9726" spans="3:3" x14ac:dyDescent="0.35">
      <c r="C9726" s="2"/>
    </row>
    <row r="9727" spans="3:3" x14ac:dyDescent="0.35">
      <c r="C9727" s="2"/>
    </row>
    <row r="9728" spans="3:3" x14ac:dyDescent="0.35">
      <c r="C9728" s="2"/>
    </row>
    <row r="9729" spans="3:3" x14ac:dyDescent="0.35">
      <c r="C9729" s="2"/>
    </row>
    <row r="9730" spans="3:3" x14ac:dyDescent="0.35">
      <c r="C9730" s="2"/>
    </row>
    <row r="9731" spans="3:3" x14ac:dyDescent="0.35">
      <c r="C9731" s="2"/>
    </row>
    <row r="9732" spans="3:3" x14ac:dyDescent="0.35">
      <c r="C9732" s="2"/>
    </row>
    <row r="9733" spans="3:3" x14ac:dyDescent="0.35">
      <c r="C9733" s="2"/>
    </row>
    <row r="9734" spans="3:3" x14ac:dyDescent="0.35">
      <c r="C9734" s="2"/>
    </row>
    <row r="9735" spans="3:3" x14ac:dyDescent="0.35">
      <c r="C9735" s="2"/>
    </row>
    <row r="9736" spans="3:3" x14ac:dyDescent="0.35">
      <c r="C9736" s="2"/>
    </row>
    <row r="9737" spans="3:3" x14ac:dyDescent="0.35">
      <c r="C9737" s="2"/>
    </row>
    <row r="9738" spans="3:3" x14ac:dyDescent="0.35">
      <c r="C9738" s="2"/>
    </row>
    <row r="9739" spans="3:3" x14ac:dyDescent="0.35">
      <c r="C9739" s="2"/>
    </row>
    <row r="9740" spans="3:3" x14ac:dyDescent="0.35">
      <c r="C9740" s="2"/>
    </row>
    <row r="9741" spans="3:3" x14ac:dyDescent="0.35">
      <c r="C9741" s="2"/>
    </row>
    <row r="9742" spans="3:3" x14ac:dyDescent="0.35">
      <c r="C9742" s="2"/>
    </row>
    <row r="9743" spans="3:3" x14ac:dyDescent="0.35">
      <c r="C9743" s="2"/>
    </row>
    <row r="9744" spans="3:3" x14ac:dyDescent="0.35">
      <c r="C9744" s="2"/>
    </row>
    <row r="9745" spans="3:3" x14ac:dyDescent="0.35">
      <c r="C9745" s="2"/>
    </row>
    <row r="9746" spans="3:3" x14ac:dyDescent="0.35">
      <c r="C9746" s="2"/>
    </row>
    <row r="9747" spans="3:3" x14ac:dyDescent="0.35">
      <c r="C9747" s="2"/>
    </row>
    <row r="9748" spans="3:3" x14ac:dyDescent="0.35">
      <c r="C9748" s="2"/>
    </row>
    <row r="9749" spans="3:3" x14ac:dyDescent="0.35">
      <c r="C9749" s="2"/>
    </row>
    <row r="9750" spans="3:3" x14ac:dyDescent="0.35">
      <c r="C9750" s="2"/>
    </row>
    <row r="9751" spans="3:3" x14ac:dyDescent="0.35">
      <c r="C9751" s="2"/>
    </row>
    <row r="9752" spans="3:3" x14ac:dyDescent="0.35">
      <c r="C9752" s="2"/>
    </row>
    <row r="9753" spans="3:3" x14ac:dyDescent="0.35">
      <c r="C9753" s="2"/>
    </row>
    <row r="9754" spans="3:3" x14ac:dyDescent="0.35">
      <c r="C9754" s="2"/>
    </row>
    <row r="9755" spans="3:3" x14ac:dyDescent="0.35">
      <c r="C9755" s="2"/>
    </row>
    <row r="9756" spans="3:3" x14ac:dyDescent="0.35">
      <c r="C9756" s="2"/>
    </row>
    <row r="9757" spans="3:3" x14ac:dyDescent="0.35">
      <c r="C9757" s="2"/>
    </row>
    <row r="9758" spans="3:3" x14ac:dyDescent="0.35">
      <c r="C9758" s="2"/>
    </row>
    <row r="9759" spans="3:3" x14ac:dyDescent="0.35">
      <c r="C9759" s="2"/>
    </row>
    <row r="9760" spans="3:3" x14ac:dyDescent="0.35">
      <c r="C9760" s="2"/>
    </row>
    <row r="9761" spans="3:3" x14ac:dyDescent="0.35">
      <c r="C9761" s="2"/>
    </row>
    <row r="9762" spans="3:3" x14ac:dyDescent="0.35">
      <c r="C9762" s="2"/>
    </row>
    <row r="9763" spans="3:3" x14ac:dyDescent="0.35">
      <c r="C9763" s="2"/>
    </row>
    <row r="9764" spans="3:3" x14ac:dyDescent="0.35">
      <c r="C9764" s="2"/>
    </row>
    <row r="9765" spans="3:3" x14ac:dyDescent="0.35">
      <c r="C9765" s="2"/>
    </row>
    <row r="9766" spans="3:3" x14ac:dyDescent="0.35">
      <c r="C9766" s="2"/>
    </row>
    <row r="9767" spans="3:3" x14ac:dyDescent="0.35">
      <c r="C9767" s="2"/>
    </row>
    <row r="9768" spans="3:3" x14ac:dyDescent="0.35">
      <c r="C9768" s="2"/>
    </row>
    <row r="9769" spans="3:3" x14ac:dyDescent="0.35">
      <c r="C9769" s="2"/>
    </row>
    <row r="9770" spans="3:3" x14ac:dyDescent="0.35">
      <c r="C9770" s="2"/>
    </row>
    <row r="9771" spans="3:3" x14ac:dyDescent="0.35">
      <c r="C9771" s="2"/>
    </row>
    <row r="9772" spans="3:3" x14ac:dyDescent="0.35">
      <c r="C9772" s="2"/>
    </row>
    <row r="9773" spans="3:3" x14ac:dyDescent="0.35">
      <c r="C9773" s="2"/>
    </row>
    <row r="9774" spans="3:3" x14ac:dyDescent="0.35">
      <c r="C9774" s="2"/>
    </row>
    <row r="9775" spans="3:3" x14ac:dyDescent="0.35">
      <c r="C9775" s="2"/>
    </row>
    <row r="9776" spans="3:3" x14ac:dyDescent="0.35">
      <c r="C9776" s="2"/>
    </row>
    <row r="9777" spans="3:3" x14ac:dyDescent="0.35">
      <c r="C9777" s="2"/>
    </row>
    <row r="9778" spans="3:3" x14ac:dyDescent="0.35">
      <c r="C9778" s="2"/>
    </row>
    <row r="9779" spans="3:3" x14ac:dyDescent="0.35">
      <c r="C9779" s="2"/>
    </row>
    <row r="9780" spans="3:3" x14ac:dyDescent="0.35">
      <c r="C9780" s="2"/>
    </row>
    <row r="9781" spans="3:3" x14ac:dyDescent="0.35">
      <c r="C9781" s="2"/>
    </row>
    <row r="9782" spans="3:3" x14ac:dyDescent="0.35">
      <c r="C9782" s="2"/>
    </row>
    <row r="9783" spans="3:3" x14ac:dyDescent="0.35">
      <c r="C9783" s="2"/>
    </row>
    <row r="9784" spans="3:3" x14ac:dyDescent="0.35">
      <c r="C9784" s="2"/>
    </row>
    <row r="9785" spans="3:3" x14ac:dyDescent="0.35">
      <c r="C9785" s="2"/>
    </row>
    <row r="9786" spans="3:3" x14ac:dyDescent="0.35">
      <c r="C9786" s="2"/>
    </row>
    <row r="9787" spans="3:3" x14ac:dyDescent="0.35">
      <c r="C9787" s="2"/>
    </row>
    <row r="9788" spans="3:3" x14ac:dyDescent="0.35">
      <c r="C9788" s="2"/>
    </row>
    <row r="9789" spans="3:3" x14ac:dyDescent="0.35">
      <c r="C9789" s="2"/>
    </row>
    <row r="9790" spans="3:3" x14ac:dyDescent="0.35">
      <c r="C9790" s="2"/>
    </row>
    <row r="9791" spans="3:3" x14ac:dyDescent="0.35">
      <c r="C9791" s="2"/>
    </row>
    <row r="9792" spans="3:3" x14ac:dyDescent="0.35">
      <c r="C9792" s="2"/>
    </row>
    <row r="9793" spans="3:3" x14ac:dyDescent="0.35">
      <c r="C9793" s="2"/>
    </row>
    <row r="9794" spans="3:3" x14ac:dyDescent="0.35">
      <c r="C9794" s="2"/>
    </row>
    <row r="9795" spans="3:3" x14ac:dyDescent="0.35">
      <c r="C9795" s="2"/>
    </row>
    <row r="9796" spans="3:3" x14ac:dyDescent="0.35">
      <c r="C9796" s="2"/>
    </row>
    <row r="9797" spans="3:3" x14ac:dyDescent="0.35">
      <c r="C9797" s="2"/>
    </row>
    <row r="9798" spans="3:3" x14ac:dyDescent="0.35">
      <c r="C9798" s="2"/>
    </row>
    <row r="9799" spans="3:3" x14ac:dyDescent="0.35">
      <c r="C9799" s="2"/>
    </row>
    <row r="9800" spans="3:3" x14ac:dyDescent="0.35">
      <c r="C9800" s="2"/>
    </row>
    <row r="9801" spans="3:3" x14ac:dyDescent="0.35">
      <c r="C9801" s="2"/>
    </row>
    <row r="9802" spans="3:3" x14ac:dyDescent="0.35">
      <c r="C9802" s="2"/>
    </row>
    <row r="9803" spans="3:3" x14ac:dyDescent="0.35">
      <c r="C9803" s="2"/>
    </row>
    <row r="9804" spans="3:3" x14ac:dyDescent="0.35">
      <c r="C9804" s="2"/>
    </row>
    <row r="9805" spans="3:3" x14ac:dyDescent="0.35">
      <c r="C9805" s="2"/>
    </row>
    <row r="9806" spans="3:3" x14ac:dyDescent="0.35">
      <c r="C9806" s="2"/>
    </row>
    <row r="9807" spans="3:3" x14ac:dyDescent="0.35">
      <c r="C9807" s="2"/>
    </row>
    <row r="9808" spans="3:3" x14ac:dyDescent="0.35">
      <c r="C9808" s="2"/>
    </row>
    <row r="9809" spans="3:3" x14ac:dyDescent="0.35">
      <c r="C9809" s="2"/>
    </row>
    <row r="9810" spans="3:3" x14ac:dyDescent="0.35">
      <c r="C9810" s="2"/>
    </row>
    <row r="9811" spans="3:3" x14ac:dyDescent="0.35">
      <c r="C9811" s="2"/>
    </row>
    <row r="9812" spans="3:3" x14ac:dyDescent="0.35">
      <c r="C9812" s="2"/>
    </row>
    <row r="9813" spans="3:3" x14ac:dyDescent="0.35">
      <c r="C9813" s="2"/>
    </row>
    <row r="9814" spans="3:3" x14ac:dyDescent="0.35">
      <c r="C9814" s="2"/>
    </row>
    <row r="9815" spans="3:3" x14ac:dyDescent="0.35">
      <c r="C9815" s="2"/>
    </row>
    <row r="9816" spans="3:3" x14ac:dyDescent="0.35">
      <c r="C9816" s="2"/>
    </row>
    <row r="9817" spans="3:3" x14ac:dyDescent="0.35">
      <c r="C9817" s="2"/>
    </row>
    <row r="9818" spans="3:3" x14ac:dyDescent="0.35">
      <c r="C9818" s="2"/>
    </row>
    <row r="9819" spans="3:3" x14ac:dyDescent="0.35">
      <c r="C9819" s="2"/>
    </row>
    <row r="9820" spans="3:3" x14ac:dyDescent="0.35">
      <c r="C9820" s="2"/>
    </row>
    <row r="9821" spans="3:3" x14ac:dyDescent="0.35">
      <c r="C9821" s="2"/>
    </row>
    <row r="9822" spans="3:3" x14ac:dyDescent="0.35">
      <c r="C9822" s="2"/>
    </row>
    <row r="9823" spans="3:3" x14ac:dyDescent="0.35">
      <c r="C9823" s="2"/>
    </row>
    <row r="9824" spans="3:3" x14ac:dyDescent="0.35">
      <c r="C9824" s="2"/>
    </row>
    <row r="9825" spans="3:3" x14ac:dyDescent="0.35">
      <c r="C9825" s="2"/>
    </row>
    <row r="9826" spans="3:3" x14ac:dyDescent="0.35">
      <c r="C9826" s="2"/>
    </row>
    <row r="9827" spans="3:3" x14ac:dyDescent="0.35">
      <c r="C9827" s="2"/>
    </row>
    <row r="9828" spans="3:3" x14ac:dyDescent="0.35">
      <c r="C9828" s="2"/>
    </row>
    <row r="9829" spans="3:3" x14ac:dyDescent="0.35">
      <c r="C9829" s="2"/>
    </row>
    <row r="9830" spans="3:3" x14ac:dyDescent="0.35">
      <c r="C9830" s="2"/>
    </row>
    <row r="9831" spans="3:3" x14ac:dyDescent="0.35">
      <c r="C9831" s="2"/>
    </row>
    <row r="9832" spans="3:3" x14ac:dyDescent="0.35">
      <c r="C9832" s="2"/>
    </row>
    <row r="9833" spans="3:3" x14ac:dyDescent="0.35">
      <c r="C9833" s="2"/>
    </row>
    <row r="9834" spans="3:3" x14ac:dyDescent="0.35">
      <c r="C9834" s="2"/>
    </row>
    <row r="9835" spans="3:3" x14ac:dyDescent="0.35">
      <c r="C9835" s="2"/>
    </row>
    <row r="9836" spans="3:3" x14ac:dyDescent="0.35">
      <c r="C9836" s="2"/>
    </row>
    <row r="9837" spans="3:3" x14ac:dyDescent="0.35">
      <c r="C9837" s="2"/>
    </row>
    <row r="9838" spans="3:3" x14ac:dyDescent="0.35">
      <c r="C9838" s="2"/>
    </row>
    <row r="9839" spans="3:3" x14ac:dyDescent="0.35">
      <c r="C9839" s="2"/>
    </row>
    <row r="9840" spans="3:3" x14ac:dyDescent="0.35">
      <c r="C9840" s="2"/>
    </row>
    <row r="9841" spans="3:3" x14ac:dyDescent="0.35">
      <c r="C9841" s="2"/>
    </row>
    <row r="9842" spans="3:3" x14ac:dyDescent="0.35">
      <c r="C9842" s="2"/>
    </row>
    <row r="9843" spans="3:3" x14ac:dyDescent="0.35">
      <c r="C9843" s="2"/>
    </row>
    <row r="9844" spans="3:3" x14ac:dyDescent="0.35">
      <c r="C9844" s="2"/>
    </row>
    <row r="9845" spans="3:3" x14ac:dyDescent="0.35">
      <c r="C9845" s="2"/>
    </row>
    <row r="9846" spans="3:3" x14ac:dyDescent="0.35">
      <c r="C9846" s="2"/>
    </row>
    <row r="9847" spans="3:3" x14ac:dyDescent="0.35">
      <c r="C9847" s="2"/>
    </row>
    <row r="9848" spans="3:3" x14ac:dyDescent="0.35">
      <c r="C9848" s="2"/>
    </row>
    <row r="9849" spans="3:3" x14ac:dyDescent="0.35">
      <c r="C9849" s="2"/>
    </row>
    <row r="9850" spans="3:3" x14ac:dyDescent="0.35">
      <c r="C9850" s="2"/>
    </row>
    <row r="9851" spans="3:3" x14ac:dyDescent="0.35">
      <c r="C9851" s="2"/>
    </row>
    <row r="9852" spans="3:3" x14ac:dyDescent="0.35">
      <c r="C9852" s="2"/>
    </row>
    <row r="9853" spans="3:3" x14ac:dyDescent="0.35">
      <c r="C9853" s="2"/>
    </row>
    <row r="9854" spans="3:3" x14ac:dyDescent="0.35">
      <c r="C9854" s="2"/>
    </row>
    <row r="9855" spans="3:3" x14ac:dyDescent="0.35">
      <c r="C9855" s="2"/>
    </row>
    <row r="9856" spans="3:3" x14ac:dyDescent="0.35">
      <c r="C9856" s="2"/>
    </row>
    <row r="9857" spans="3:3" x14ac:dyDescent="0.35">
      <c r="C9857" s="2"/>
    </row>
    <row r="9858" spans="3:3" x14ac:dyDescent="0.35">
      <c r="C9858" s="2"/>
    </row>
    <row r="9859" spans="3:3" x14ac:dyDescent="0.35">
      <c r="C9859" s="2"/>
    </row>
    <row r="9860" spans="3:3" x14ac:dyDescent="0.35">
      <c r="C9860" s="2"/>
    </row>
    <row r="9861" spans="3:3" x14ac:dyDescent="0.35">
      <c r="C9861" s="2"/>
    </row>
    <row r="9862" spans="3:3" x14ac:dyDescent="0.35">
      <c r="C9862" s="2"/>
    </row>
    <row r="9863" spans="3:3" x14ac:dyDescent="0.35">
      <c r="C9863" s="2"/>
    </row>
    <row r="9864" spans="3:3" x14ac:dyDescent="0.35">
      <c r="C9864" s="2"/>
    </row>
    <row r="9865" spans="3:3" x14ac:dyDescent="0.35">
      <c r="C9865" s="2"/>
    </row>
    <row r="9866" spans="3:3" x14ac:dyDescent="0.35">
      <c r="C9866" s="2"/>
    </row>
    <row r="9867" spans="3:3" x14ac:dyDescent="0.35">
      <c r="C9867" s="2"/>
    </row>
    <row r="9868" spans="3:3" x14ac:dyDescent="0.35">
      <c r="C9868" s="2"/>
    </row>
    <row r="9869" spans="3:3" x14ac:dyDescent="0.35">
      <c r="C9869" s="2"/>
    </row>
    <row r="9870" spans="3:3" x14ac:dyDescent="0.35">
      <c r="C9870" s="2"/>
    </row>
    <row r="9871" spans="3:3" x14ac:dyDescent="0.35">
      <c r="C9871" s="2"/>
    </row>
    <row r="9872" spans="3:3" x14ac:dyDescent="0.35">
      <c r="C9872" s="2"/>
    </row>
    <row r="9873" spans="3:3" x14ac:dyDescent="0.35">
      <c r="C9873" s="2"/>
    </row>
    <row r="9874" spans="3:3" x14ac:dyDescent="0.35">
      <c r="C9874" s="2"/>
    </row>
    <row r="9875" spans="3:3" x14ac:dyDescent="0.35">
      <c r="C9875" s="2"/>
    </row>
    <row r="9876" spans="3:3" x14ac:dyDescent="0.35">
      <c r="C9876" s="2"/>
    </row>
    <row r="9877" spans="3:3" x14ac:dyDescent="0.35">
      <c r="C9877" s="2"/>
    </row>
    <row r="9878" spans="3:3" x14ac:dyDescent="0.35">
      <c r="C9878" s="2"/>
    </row>
    <row r="9879" spans="3:3" x14ac:dyDescent="0.35">
      <c r="C9879" s="2"/>
    </row>
    <row r="9880" spans="3:3" x14ac:dyDescent="0.35">
      <c r="C9880" s="2"/>
    </row>
    <row r="9881" spans="3:3" x14ac:dyDescent="0.35">
      <c r="C9881" s="2"/>
    </row>
    <row r="9882" spans="3:3" x14ac:dyDescent="0.35">
      <c r="C9882" s="2"/>
    </row>
    <row r="9883" spans="3:3" x14ac:dyDescent="0.35">
      <c r="C9883" s="2"/>
    </row>
    <row r="9884" spans="3:3" x14ac:dyDescent="0.35">
      <c r="C9884" s="2"/>
    </row>
    <row r="9885" spans="3:3" x14ac:dyDescent="0.35">
      <c r="C9885" s="2"/>
    </row>
    <row r="9886" spans="3:3" x14ac:dyDescent="0.35">
      <c r="C9886" s="2"/>
    </row>
    <row r="9887" spans="3:3" x14ac:dyDescent="0.35">
      <c r="C9887" s="2"/>
    </row>
    <row r="9888" spans="3:3" x14ac:dyDescent="0.35">
      <c r="C9888" s="2"/>
    </row>
    <row r="9889" spans="3:3" x14ac:dyDescent="0.35">
      <c r="C9889" s="2"/>
    </row>
    <row r="9890" spans="3:3" x14ac:dyDescent="0.35">
      <c r="C9890" s="2"/>
    </row>
    <row r="9891" spans="3:3" x14ac:dyDescent="0.35">
      <c r="C9891" s="2"/>
    </row>
    <row r="9892" spans="3:3" x14ac:dyDescent="0.35">
      <c r="C9892" s="2"/>
    </row>
    <row r="9893" spans="3:3" x14ac:dyDescent="0.35">
      <c r="C9893" s="2"/>
    </row>
    <row r="9894" spans="3:3" x14ac:dyDescent="0.35">
      <c r="C9894" s="2"/>
    </row>
    <row r="9895" spans="3:3" x14ac:dyDescent="0.35">
      <c r="C9895" s="2"/>
    </row>
    <row r="9896" spans="3:3" x14ac:dyDescent="0.35">
      <c r="C9896" s="2"/>
    </row>
    <row r="9897" spans="3:3" x14ac:dyDescent="0.35">
      <c r="C9897" s="2"/>
    </row>
    <row r="9898" spans="3:3" x14ac:dyDescent="0.35">
      <c r="C9898" s="2"/>
    </row>
    <row r="9899" spans="3:3" x14ac:dyDescent="0.35">
      <c r="C9899" s="2"/>
    </row>
    <row r="9900" spans="3:3" x14ac:dyDescent="0.35">
      <c r="C9900" s="2"/>
    </row>
    <row r="9901" spans="3:3" x14ac:dyDescent="0.35">
      <c r="C9901" s="2"/>
    </row>
    <row r="9902" spans="3:3" x14ac:dyDescent="0.35">
      <c r="C9902" s="2"/>
    </row>
    <row r="9903" spans="3:3" x14ac:dyDescent="0.35">
      <c r="C9903" s="2"/>
    </row>
    <row r="9904" spans="3:3" x14ac:dyDescent="0.35">
      <c r="C9904" s="2"/>
    </row>
    <row r="9905" spans="3:3" x14ac:dyDescent="0.35">
      <c r="C9905" s="2"/>
    </row>
    <row r="9906" spans="3:3" x14ac:dyDescent="0.35">
      <c r="C9906" s="2"/>
    </row>
    <row r="9907" spans="3:3" x14ac:dyDescent="0.35">
      <c r="C9907" s="2"/>
    </row>
    <row r="9908" spans="3:3" x14ac:dyDescent="0.35">
      <c r="C9908" s="2"/>
    </row>
    <row r="9909" spans="3:3" x14ac:dyDescent="0.35">
      <c r="C9909" s="2"/>
    </row>
    <row r="9910" spans="3:3" x14ac:dyDescent="0.35">
      <c r="C9910" s="2"/>
    </row>
    <row r="9911" spans="3:3" x14ac:dyDescent="0.35">
      <c r="C9911" s="2"/>
    </row>
    <row r="9912" spans="3:3" x14ac:dyDescent="0.35">
      <c r="C9912" s="2"/>
    </row>
    <row r="9913" spans="3:3" x14ac:dyDescent="0.35">
      <c r="C9913" s="2"/>
    </row>
    <row r="9914" spans="3:3" x14ac:dyDescent="0.35">
      <c r="C9914" s="2"/>
    </row>
    <row r="9915" spans="3:3" x14ac:dyDescent="0.35">
      <c r="C9915" s="2"/>
    </row>
    <row r="9916" spans="3:3" x14ac:dyDescent="0.35">
      <c r="C9916" s="2"/>
    </row>
    <row r="9917" spans="3:3" x14ac:dyDescent="0.35">
      <c r="C9917" s="2"/>
    </row>
    <row r="9918" spans="3:3" x14ac:dyDescent="0.35">
      <c r="C9918" s="2"/>
    </row>
    <row r="9919" spans="3:3" x14ac:dyDescent="0.35">
      <c r="C9919" s="2"/>
    </row>
    <row r="9920" spans="3:3" x14ac:dyDescent="0.35">
      <c r="C9920" s="2"/>
    </row>
    <row r="9921" spans="3:3" x14ac:dyDescent="0.35">
      <c r="C9921" s="2"/>
    </row>
    <row r="9922" spans="3:3" x14ac:dyDescent="0.35">
      <c r="C9922" s="2"/>
    </row>
    <row r="9923" spans="3:3" x14ac:dyDescent="0.35">
      <c r="C9923" s="2"/>
    </row>
    <row r="9924" spans="3:3" x14ac:dyDescent="0.35">
      <c r="C9924" s="2"/>
    </row>
    <row r="9925" spans="3:3" x14ac:dyDescent="0.35">
      <c r="C9925" s="2"/>
    </row>
    <row r="9926" spans="3:3" x14ac:dyDescent="0.35">
      <c r="C9926" s="2"/>
    </row>
    <row r="9927" spans="3:3" x14ac:dyDescent="0.35">
      <c r="C9927" s="2"/>
    </row>
    <row r="9928" spans="3:3" x14ac:dyDescent="0.35">
      <c r="C9928" s="2"/>
    </row>
    <row r="9929" spans="3:3" x14ac:dyDescent="0.35">
      <c r="C9929" s="2"/>
    </row>
    <row r="9930" spans="3:3" x14ac:dyDescent="0.35">
      <c r="C9930" s="2"/>
    </row>
    <row r="9931" spans="3:3" x14ac:dyDescent="0.35">
      <c r="C9931" s="2"/>
    </row>
    <row r="9932" spans="3:3" x14ac:dyDescent="0.35">
      <c r="C9932" s="2"/>
    </row>
    <row r="9933" spans="3:3" x14ac:dyDescent="0.35">
      <c r="C9933" s="2"/>
    </row>
    <row r="9934" spans="3:3" x14ac:dyDescent="0.35">
      <c r="C9934" s="2"/>
    </row>
    <row r="9935" spans="3:3" x14ac:dyDescent="0.35">
      <c r="C9935" s="2"/>
    </row>
    <row r="9936" spans="3:3" x14ac:dyDescent="0.35">
      <c r="C9936" s="2"/>
    </row>
    <row r="9937" spans="3:3" x14ac:dyDescent="0.35">
      <c r="C9937" s="2"/>
    </row>
    <row r="9938" spans="3:3" x14ac:dyDescent="0.35">
      <c r="C9938" s="2"/>
    </row>
    <row r="9939" spans="3:3" x14ac:dyDescent="0.35">
      <c r="C9939" s="2"/>
    </row>
    <row r="9940" spans="3:3" x14ac:dyDescent="0.35">
      <c r="C9940" s="2"/>
    </row>
    <row r="9941" spans="3:3" x14ac:dyDescent="0.35">
      <c r="C9941" s="2"/>
    </row>
    <row r="9942" spans="3:3" x14ac:dyDescent="0.35">
      <c r="C9942" s="2"/>
    </row>
    <row r="9943" spans="3:3" x14ac:dyDescent="0.35">
      <c r="C9943" s="2"/>
    </row>
    <row r="9944" spans="3:3" x14ac:dyDescent="0.35">
      <c r="C9944" s="2"/>
    </row>
    <row r="9945" spans="3:3" x14ac:dyDescent="0.35">
      <c r="C9945" s="2"/>
    </row>
    <row r="9946" spans="3:3" x14ac:dyDescent="0.35">
      <c r="C9946" s="2"/>
    </row>
    <row r="9947" spans="3:3" x14ac:dyDescent="0.35">
      <c r="C9947" s="2"/>
    </row>
    <row r="9948" spans="3:3" x14ac:dyDescent="0.35">
      <c r="C9948" s="2"/>
    </row>
    <row r="9949" spans="3:3" x14ac:dyDescent="0.35">
      <c r="C9949" s="2"/>
    </row>
    <row r="9950" spans="3:3" x14ac:dyDescent="0.35">
      <c r="C9950" s="2"/>
    </row>
    <row r="9951" spans="3:3" x14ac:dyDescent="0.35">
      <c r="C9951" s="2"/>
    </row>
    <row r="9952" spans="3:3" x14ac:dyDescent="0.35">
      <c r="C9952" s="2"/>
    </row>
    <row r="9953" spans="3:3" x14ac:dyDescent="0.35">
      <c r="C9953" s="2"/>
    </row>
    <row r="9954" spans="3:3" x14ac:dyDescent="0.35">
      <c r="C9954" s="2"/>
    </row>
    <row r="9955" spans="3:3" x14ac:dyDescent="0.35">
      <c r="C9955" s="2"/>
    </row>
    <row r="9956" spans="3:3" x14ac:dyDescent="0.35">
      <c r="C9956" s="2"/>
    </row>
    <row r="9957" spans="3:3" x14ac:dyDescent="0.35">
      <c r="C9957" s="2"/>
    </row>
    <row r="9958" spans="3:3" x14ac:dyDescent="0.35">
      <c r="C9958" s="2"/>
    </row>
    <row r="9959" spans="3:3" x14ac:dyDescent="0.35">
      <c r="C9959" s="2"/>
    </row>
    <row r="9960" spans="3:3" x14ac:dyDescent="0.35">
      <c r="C9960" s="2"/>
    </row>
    <row r="9961" spans="3:3" x14ac:dyDescent="0.35">
      <c r="C9961" s="2"/>
    </row>
    <row r="9962" spans="3:3" x14ac:dyDescent="0.35">
      <c r="C9962" s="2"/>
    </row>
    <row r="9963" spans="3:3" x14ac:dyDescent="0.35">
      <c r="C9963" s="2"/>
    </row>
    <row r="9964" spans="3:3" x14ac:dyDescent="0.35">
      <c r="C9964" s="2"/>
    </row>
    <row r="9965" spans="3:3" x14ac:dyDescent="0.35">
      <c r="C9965" s="2"/>
    </row>
    <row r="9966" spans="3:3" x14ac:dyDescent="0.35">
      <c r="C9966" s="2"/>
    </row>
    <row r="9967" spans="3:3" x14ac:dyDescent="0.35">
      <c r="C9967" s="2"/>
    </row>
    <row r="9968" spans="3:3" x14ac:dyDescent="0.35">
      <c r="C9968" s="2"/>
    </row>
    <row r="9969" spans="3:3" x14ac:dyDescent="0.35">
      <c r="C9969" s="2"/>
    </row>
    <row r="9970" spans="3:3" x14ac:dyDescent="0.35">
      <c r="C9970" s="2"/>
    </row>
    <row r="9971" spans="3:3" x14ac:dyDescent="0.35">
      <c r="C9971" s="2"/>
    </row>
    <row r="9972" spans="3:3" x14ac:dyDescent="0.35">
      <c r="C9972" s="2"/>
    </row>
    <row r="9973" spans="3:3" x14ac:dyDescent="0.35">
      <c r="C9973" s="2"/>
    </row>
    <row r="9974" spans="3:3" x14ac:dyDescent="0.35">
      <c r="C9974" s="2"/>
    </row>
    <row r="9975" spans="3:3" x14ac:dyDescent="0.35">
      <c r="C9975" s="2"/>
    </row>
    <row r="9976" spans="3:3" x14ac:dyDescent="0.35">
      <c r="C9976" s="2"/>
    </row>
    <row r="9977" spans="3:3" x14ac:dyDescent="0.35">
      <c r="C9977" s="2"/>
    </row>
    <row r="9978" spans="3:3" x14ac:dyDescent="0.35">
      <c r="C9978" s="2"/>
    </row>
    <row r="9979" spans="3:3" x14ac:dyDescent="0.35">
      <c r="C9979" s="2"/>
    </row>
    <row r="9980" spans="3:3" x14ac:dyDescent="0.35">
      <c r="C9980" s="2"/>
    </row>
    <row r="9981" spans="3:3" x14ac:dyDescent="0.35">
      <c r="C9981" s="2"/>
    </row>
    <row r="9982" spans="3:3" x14ac:dyDescent="0.35">
      <c r="C9982" s="2"/>
    </row>
    <row r="9983" spans="3:3" x14ac:dyDescent="0.35">
      <c r="C9983" s="2"/>
    </row>
    <row r="9984" spans="3:3" x14ac:dyDescent="0.35">
      <c r="C9984" s="2"/>
    </row>
    <row r="9985" spans="3:3" x14ac:dyDescent="0.35">
      <c r="C9985" s="2"/>
    </row>
    <row r="9986" spans="3:3" x14ac:dyDescent="0.35">
      <c r="C9986" s="2"/>
    </row>
    <row r="9987" spans="3:3" x14ac:dyDescent="0.35">
      <c r="C9987" s="2"/>
    </row>
    <row r="9988" spans="3:3" x14ac:dyDescent="0.35">
      <c r="C9988" s="2"/>
    </row>
    <row r="9989" spans="3:3" x14ac:dyDescent="0.35">
      <c r="C9989" s="2"/>
    </row>
    <row r="9990" spans="3:3" x14ac:dyDescent="0.35">
      <c r="C9990" s="2"/>
    </row>
    <row r="9991" spans="3:3" x14ac:dyDescent="0.35">
      <c r="C9991" s="2"/>
    </row>
    <row r="9992" spans="3:3" x14ac:dyDescent="0.35">
      <c r="C9992" s="2"/>
    </row>
    <row r="9993" spans="3:3" x14ac:dyDescent="0.35">
      <c r="C9993" s="2"/>
    </row>
    <row r="9994" spans="3:3" x14ac:dyDescent="0.35">
      <c r="C9994" s="2"/>
    </row>
    <row r="9995" spans="3:3" x14ac:dyDescent="0.35">
      <c r="C9995" s="2"/>
    </row>
    <row r="9996" spans="3:3" x14ac:dyDescent="0.35">
      <c r="C9996" s="2"/>
    </row>
    <row r="9997" spans="3:3" x14ac:dyDescent="0.35">
      <c r="C9997" s="2"/>
    </row>
    <row r="9998" spans="3:3" x14ac:dyDescent="0.35">
      <c r="C9998" s="2"/>
    </row>
    <row r="9999" spans="3:3" x14ac:dyDescent="0.35">
      <c r="C9999" s="2"/>
    </row>
    <row r="10000" spans="3:3" x14ac:dyDescent="0.35">
      <c r="C10000" s="2"/>
    </row>
    <row r="10001" spans="3:3" x14ac:dyDescent="0.35">
      <c r="C10001" s="2"/>
    </row>
    <row r="10002" spans="3:3" x14ac:dyDescent="0.35">
      <c r="C10002" s="2"/>
    </row>
    <row r="10003" spans="3:3" x14ac:dyDescent="0.35">
      <c r="C10003" s="2"/>
    </row>
    <row r="10004" spans="3:3" x14ac:dyDescent="0.35">
      <c r="C10004" s="2"/>
    </row>
    <row r="10005" spans="3:3" x14ac:dyDescent="0.35">
      <c r="C10005" s="2"/>
    </row>
    <row r="10006" spans="3:3" x14ac:dyDescent="0.35">
      <c r="C10006" s="2"/>
    </row>
    <row r="10007" spans="3:3" x14ac:dyDescent="0.35">
      <c r="C10007" s="2"/>
    </row>
    <row r="10008" spans="3:3" x14ac:dyDescent="0.35">
      <c r="C10008" s="2"/>
    </row>
    <row r="10009" spans="3:3" x14ac:dyDescent="0.35">
      <c r="C10009" s="2"/>
    </row>
    <row r="10010" spans="3:3" x14ac:dyDescent="0.35">
      <c r="C10010" s="2"/>
    </row>
    <row r="10011" spans="3:3" x14ac:dyDescent="0.35">
      <c r="C10011" s="2"/>
    </row>
    <row r="10012" spans="3:3" x14ac:dyDescent="0.35">
      <c r="C10012" s="2"/>
    </row>
    <row r="10013" spans="3:3" x14ac:dyDescent="0.35">
      <c r="C10013" s="2"/>
    </row>
    <row r="10014" spans="3:3" x14ac:dyDescent="0.35">
      <c r="C10014" s="2"/>
    </row>
    <row r="10015" spans="3:3" x14ac:dyDescent="0.35">
      <c r="C10015" s="2"/>
    </row>
    <row r="10016" spans="3:3" x14ac:dyDescent="0.35">
      <c r="C10016" s="2"/>
    </row>
    <row r="10017" spans="3:3" x14ac:dyDescent="0.35">
      <c r="C10017" s="2"/>
    </row>
    <row r="10018" spans="3:3" x14ac:dyDescent="0.35">
      <c r="C10018" s="2"/>
    </row>
    <row r="10019" spans="3:3" x14ac:dyDescent="0.35">
      <c r="C10019" s="2"/>
    </row>
    <row r="10020" spans="3:3" x14ac:dyDescent="0.35">
      <c r="C10020" s="2"/>
    </row>
    <row r="10021" spans="3:3" x14ac:dyDescent="0.35">
      <c r="C10021" s="2"/>
    </row>
    <row r="10022" spans="3:3" x14ac:dyDescent="0.35">
      <c r="C10022" s="2"/>
    </row>
    <row r="10023" spans="3:3" x14ac:dyDescent="0.35">
      <c r="C10023" s="2"/>
    </row>
    <row r="10024" spans="3:3" x14ac:dyDescent="0.35">
      <c r="C10024" s="2"/>
    </row>
    <row r="10025" spans="3:3" x14ac:dyDescent="0.35">
      <c r="C10025" s="2"/>
    </row>
    <row r="10026" spans="3:3" x14ac:dyDescent="0.35">
      <c r="C10026" s="2"/>
    </row>
    <row r="10027" spans="3:3" x14ac:dyDescent="0.35">
      <c r="C10027" s="2"/>
    </row>
    <row r="10028" spans="3:3" x14ac:dyDescent="0.35">
      <c r="C10028" s="2"/>
    </row>
    <row r="10029" spans="3:3" x14ac:dyDescent="0.35">
      <c r="C10029" s="2"/>
    </row>
    <row r="10030" spans="3:3" x14ac:dyDescent="0.35">
      <c r="C10030" s="2"/>
    </row>
    <row r="10031" spans="3:3" x14ac:dyDescent="0.35">
      <c r="C10031" s="2"/>
    </row>
    <row r="10032" spans="3:3" x14ac:dyDescent="0.35">
      <c r="C10032" s="2"/>
    </row>
    <row r="10033" spans="3:3" x14ac:dyDescent="0.35">
      <c r="C10033" s="2"/>
    </row>
    <row r="10034" spans="3:3" x14ac:dyDescent="0.35">
      <c r="C10034" s="2"/>
    </row>
    <row r="10035" spans="3:3" x14ac:dyDescent="0.35">
      <c r="C10035" s="2"/>
    </row>
    <row r="10036" spans="3:3" x14ac:dyDescent="0.35">
      <c r="C10036" s="2"/>
    </row>
    <row r="10037" spans="3:3" x14ac:dyDescent="0.35">
      <c r="C10037" s="2"/>
    </row>
    <row r="10038" spans="3:3" x14ac:dyDescent="0.35">
      <c r="C10038" s="2"/>
    </row>
    <row r="10039" spans="3:3" x14ac:dyDescent="0.35">
      <c r="C10039" s="2"/>
    </row>
    <row r="10040" spans="3:3" x14ac:dyDescent="0.35">
      <c r="C10040" s="2"/>
    </row>
    <row r="10041" spans="3:3" x14ac:dyDescent="0.35">
      <c r="C10041" s="2"/>
    </row>
    <row r="10042" spans="3:3" x14ac:dyDescent="0.35">
      <c r="C10042" s="2"/>
    </row>
    <row r="10043" spans="3:3" x14ac:dyDescent="0.35">
      <c r="C10043" s="2"/>
    </row>
    <row r="10044" spans="3:3" x14ac:dyDescent="0.35">
      <c r="C10044" s="2"/>
    </row>
    <row r="10045" spans="3:3" x14ac:dyDescent="0.35">
      <c r="C10045" s="2"/>
    </row>
    <row r="10046" spans="3:3" x14ac:dyDescent="0.35">
      <c r="C10046" s="2"/>
    </row>
    <row r="10047" spans="3:3" x14ac:dyDescent="0.35">
      <c r="C10047" s="2"/>
    </row>
    <row r="10048" spans="3:3" x14ac:dyDescent="0.35">
      <c r="C10048" s="2"/>
    </row>
    <row r="10049" spans="3:3" x14ac:dyDescent="0.35">
      <c r="C10049" s="2"/>
    </row>
    <row r="10050" spans="3:3" x14ac:dyDescent="0.35">
      <c r="C10050" s="2"/>
    </row>
    <row r="10051" spans="3:3" x14ac:dyDescent="0.35">
      <c r="C10051" s="2"/>
    </row>
    <row r="10052" spans="3:3" x14ac:dyDescent="0.35">
      <c r="C10052" s="2"/>
    </row>
    <row r="10053" spans="3:3" x14ac:dyDescent="0.35">
      <c r="C10053" s="2"/>
    </row>
    <row r="10054" spans="3:3" x14ac:dyDescent="0.35">
      <c r="C10054" s="2"/>
    </row>
    <row r="10055" spans="3:3" x14ac:dyDescent="0.35">
      <c r="C10055" s="2"/>
    </row>
    <row r="10056" spans="3:3" x14ac:dyDescent="0.35">
      <c r="C10056" s="2"/>
    </row>
    <row r="10057" spans="3:3" x14ac:dyDescent="0.35">
      <c r="C10057" s="2"/>
    </row>
    <row r="10058" spans="3:3" x14ac:dyDescent="0.35">
      <c r="C10058" s="2"/>
    </row>
    <row r="10059" spans="3:3" x14ac:dyDescent="0.35">
      <c r="C10059" s="2"/>
    </row>
    <row r="10060" spans="3:3" x14ac:dyDescent="0.35">
      <c r="C10060" s="2"/>
    </row>
    <row r="10061" spans="3:3" x14ac:dyDescent="0.35">
      <c r="C10061" s="2"/>
    </row>
    <row r="10062" spans="3:3" x14ac:dyDescent="0.35">
      <c r="C10062" s="2"/>
    </row>
    <row r="10063" spans="3:3" x14ac:dyDescent="0.35">
      <c r="C10063" s="2"/>
    </row>
    <row r="10064" spans="3:3" x14ac:dyDescent="0.35">
      <c r="C10064" s="2"/>
    </row>
    <row r="10065" spans="3:3" x14ac:dyDescent="0.35">
      <c r="C10065" s="2"/>
    </row>
    <row r="10066" spans="3:3" x14ac:dyDescent="0.35">
      <c r="C10066" s="2"/>
    </row>
    <row r="10067" spans="3:3" x14ac:dyDescent="0.35">
      <c r="C10067" s="2"/>
    </row>
    <row r="10068" spans="3:3" x14ac:dyDescent="0.35">
      <c r="C10068" s="2"/>
    </row>
    <row r="10069" spans="3:3" x14ac:dyDescent="0.35">
      <c r="C10069" s="2"/>
    </row>
    <row r="10070" spans="3:3" x14ac:dyDescent="0.35">
      <c r="C10070" s="2"/>
    </row>
    <row r="10071" spans="3:3" x14ac:dyDescent="0.35">
      <c r="C10071" s="2"/>
    </row>
    <row r="10072" spans="3:3" x14ac:dyDescent="0.35">
      <c r="C10072" s="2"/>
    </row>
    <row r="10073" spans="3:3" x14ac:dyDescent="0.35">
      <c r="C10073" s="2"/>
    </row>
    <row r="10074" spans="3:3" x14ac:dyDescent="0.35">
      <c r="C10074" s="2"/>
    </row>
    <row r="10075" spans="3:3" x14ac:dyDescent="0.35">
      <c r="C10075" s="2"/>
    </row>
    <row r="10076" spans="3:3" x14ac:dyDescent="0.35">
      <c r="C10076" s="2"/>
    </row>
    <row r="10077" spans="3:3" x14ac:dyDescent="0.35">
      <c r="C10077" s="2"/>
    </row>
    <row r="10078" spans="3:3" x14ac:dyDescent="0.35">
      <c r="C10078" s="2"/>
    </row>
    <row r="10079" spans="3:3" x14ac:dyDescent="0.35">
      <c r="C10079" s="2"/>
    </row>
    <row r="10080" spans="3:3" x14ac:dyDescent="0.35">
      <c r="C10080" s="2"/>
    </row>
    <row r="10081" spans="3:3" x14ac:dyDescent="0.35">
      <c r="C10081" s="2"/>
    </row>
    <row r="10082" spans="3:3" x14ac:dyDescent="0.35">
      <c r="C10082" s="2"/>
    </row>
    <row r="10083" spans="3:3" x14ac:dyDescent="0.35">
      <c r="C10083" s="2"/>
    </row>
    <row r="10084" spans="3:3" x14ac:dyDescent="0.35">
      <c r="C10084" s="2"/>
    </row>
    <row r="10085" spans="3:3" x14ac:dyDescent="0.35">
      <c r="C10085" s="2"/>
    </row>
    <row r="10086" spans="3:3" x14ac:dyDescent="0.35">
      <c r="C10086" s="2"/>
    </row>
    <row r="10087" spans="3:3" x14ac:dyDescent="0.35">
      <c r="C10087" s="2"/>
    </row>
    <row r="10088" spans="3:3" x14ac:dyDescent="0.35">
      <c r="C10088" s="2"/>
    </row>
    <row r="10089" spans="3:3" x14ac:dyDescent="0.35">
      <c r="C10089" s="2"/>
    </row>
    <row r="10090" spans="3:3" x14ac:dyDescent="0.35">
      <c r="C10090" s="2"/>
    </row>
    <row r="10091" spans="3:3" x14ac:dyDescent="0.35">
      <c r="C10091" s="2"/>
    </row>
    <row r="10092" spans="3:3" x14ac:dyDescent="0.35">
      <c r="C10092" s="2"/>
    </row>
    <row r="10093" spans="3:3" x14ac:dyDescent="0.35">
      <c r="C10093" s="2"/>
    </row>
    <row r="10094" spans="3:3" x14ac:dyDescent="0.35">
      <c r="C10094" s="2"/>
    </row>
    <row r="10095" spans="3:3" x14ac:dyDescent="0.35">
      <c r="C10095" s="2"/>
    </row>
    <row r="10096" spans="3:3" x14ac:dyDescent="0.35">
      <c r="C10096" s="2"/>
    </row>
    <row r="10097" spans="3:3" x14ac:dyDescent="0.35">
      <c r="C10097" s="2"/>
    </row>
    <row r="10098" spans="3:3" x14ac:dyDescent="0.35">
      <c r="C10098" s="2"/>
    </row>
    <row r="10099" spans="3:3" x14ac:dyDescent="0.35">
      <c r="C10099" s="2"/>
    </row>
    <row r="10100" spans="3:3" x14ac:dyDescent="0.35">
      <c r="C10100" s="2"/>
    </row>
    <row r="10101" spans="3:3" x14ac:dyDescent="0.35">
      <c r="C10101" s="2"/>
    </row>
    <row r="10102" spans="3:3" x14ac:dyDescent="0.35">
      <c r="C10102" s="2"/>
    </row>
    <row r="10103" spans="3:3" x14ac:dyDescent="0.35">
      <c r="C10103" s="2"/>
    </row>
    <row r="10104" spans="3:3" x14ac:dyDescent="0.35">
      <c r="C10104" s="2"/>
    </row>
    <row r="10105" spans="3:3" x14ac:dyDescent="0.35">
      <c r="C10105" s="2"/>
    </row>
    <row r="10106" spans="3:3" x14ac:dyDescent="0.35">
      <c r="C10106" s="2"/>
    </row>
    <row r="10107" spans="3:3" x14ac:dyDescent="0.35">
      <c r="C10107" s="2"/>
    </row>
    <row r="10108" spans="3:3" x14ac:dyDescent="0.35">
      <c r="C10108" s="2"/>
    </row>
    <row r="10109" spans="3:3" x14ac:dyDescent="0.35">
      <c r="C10109" s="2"/>
    </row>
    <row r="10110" spans="3:3" x14ac:dyDescent="0.35">
      <c r="C10110" s="2"/>
    </row>
    <row r="10111" spans="3:3" x14ac:dyDescent="0.35">
      <c r="C10111" s="2"/>
    </row>
    <row r="10112" spans="3:3" x14ac:dyDescent="0.35">
      <c r="C10112" s="2"/>
    </row>
    <row r="10113" spans="3:3" x14ac:dyDescent="0.35">
      <c r="C10113" s="2"/>
    </row>
    <row r="10114" spans="3:3" x14ac:dyDescent="0.35">
      <c r="C10114" s="2"/>
    </row>
    <row r="10115" spans="3:3" x14ac:dyDescent="0.35">
      <c r="C10115" s="2"/>
    </row>
    <row r="10116" spans="3:3" x14ac:dyDescent="0.35">
      <c r="C10116" s="2"/>
    </row>
    <row r="10117" spans="3:3" x14ac:dyDescent="0.35">
      <c r="C10117" s="2"/>
    </row>
    <row r="10118" spans="3:3" x14ac:dyDescent="0.35">
      <c r="C10118" s="2"/>
    </row>
    <row r="10119" spans="3:3" x14ac:dyDescent="0.35">
      <c r="C10119" s="2"/>
    </row>
    <row r="10120" spans="3:3" x14ac:dyDescent="0.35">
      <c r="C10120" s="2"/>
    </row>
    <row r="10121" spans="3:3" x14ac:dyDescent="0.35">
      <c r="C10121" s="2"/>
    </row>
    <row r="10122" spans="3:3" x14ac:dyDescent="0.35">
      <c r="C10122" s="2"/>
    </row>
    <row r="10123" spans="3:3" x14ac:dyDescent="0.35">
      <c r="C10123" s="2"/>
    </row>
    <row r="10124" spans="3:3" x14ac:dyDescent="0.35">
      <c r="C10124" s="2"/>
    </row>
    <row r="10125" spans="3:3" x14ac:dyDescent="0.35">
      <c r="C10125" s="2"/>
    </row>
    <row r="10126" spans="3:3" x14ac:dyDescent="0.35">
      <c r="C10126" s="2"/>
    </row>
    <row r="10127" spans="3:3" x14ac:dyDescent="0.35">
      <c r="C10127" s="2"/>
    </row>
    <row r="10128" spans="3:3" x14ac:dyDescent="0.35">
      <c r="C10128" s="2"/>
    </row>
    <row r="10129" spans="3:3" x14ac:dyDescent="0.35">
      <c r="C10129" s="2"/>
    </row>
    <row r="10130" spans="3:3" x14ac:dyDescent="0.35">
      <c r="C10130" s="2"/>
    </row>
    <row r="10131" spans="3:3" x14ac:dyDescent="0.35">
      <c r="C10131" s="2"/>
    </row>
    <row r="10132" spans="3:3" x14ac:dyDescent="0.35">
      <c r="C10132" s="2"/>
    </row>
    <row r="10133" spans="3:3" x14ac:dyDescent="0.35">
      <c r="C10133" s="2"/>
    </row>
    <row r="10134" spans="3:3" x14ac:dyDescent="0.35">
      <c r="C10134" s="2"/>
    </row>
    <row r="10135" spans="3:3" x14ac:dyDescent="0.35">
      <c r="C10135" s="2"/>
    </row>
    <row r="10136" spans="3:3" x14ac:dyDescent="0.35">
      <c r="C10136" s="2"/>
    </row>
    <row r="10137" spans="3:3" x14ac:dyDescent="0.35">
      <c r="C10137" s="2"/>
    </row>
    <row r="10138" spans="3:3" x14ac:dyDescent="0.35">
      <c r="C10138" s="2"/>
    </row>
    <row r="10139" spans="3:3" x14ac:dyDescent="0.35">
      <c r="C10139" s="2"/>
    </row>
    <row r="10140" spans="3:3" x14ac:dyDescent="0.35">
      <c r="C10140" s="2"/>
    </row>
    <row r="10141" spans="3:3" x14ac:dyDescent="0.35">
      <c r="C10141" s="2"/>
    </row>
    <row r="10142" spans="3:3" x14ac:dyDescent="0.35">
      <c r="C10142" s="2"/>
    </row>
    <row r="10143" spans="3:3" x14ac:dyDescent="0.35">
      <c r="C10143" s="2"/>
    </row>
    <row r="10144" spans="3:3" x14ac:dyDescent="0.35">
      <c r="C10144" s="2"/>
    </row>
    <row r="10145" spans="3:3" x14ac:dyDescent="0.35">
      <c r="C10145" s="2"/>
    </row>
    <row r="10146" spans="3:3" x14ac:dyDescent="0.35">
      <c r="C10146" s="2"/>
    </row>
    <row r="10147" spans="3:3" x14ac:dyDescent="0.35">
      <c r="C10147" s="2"/>
    </row>
    <row r="10148" spans="3:3" x14ac:dyDescent="0.35">
      <c r="C10148" s="2"/>
    </row>
    <row r="10149" spans="3:3" x14ac:dyDescent="0.35">
      <c r="C10149" s="2"/>
    </row>
    <row r="10150" spans="3:3" x14ac:dyDescent="0.35">
      <c r="C10150" s="2"/>
    </row>
    <row r="10151" spans="3:3" x14ac:dyDescent="0.35">
      <c r="C10151" s="2"/>
    </row>
    <row r="10152" spans="3:3" x14ac:dyDescent="0.35">
      <c r="C10152" s="2"/>
    </row>
    <row r="10153" spans="3:3" x14ac:dyDescent="0.35">
      <c r="C10153" s="2"/>
    </row>
    <row r="10154" spans="3:3" x14ac:dyDescent="0.35">
      <c r="C10154" s="2"/>
    </row>
    <row r="10155" spans="3:3" x14ac:dyDescent="0.35">
      <c r="C10155" s="2"/>
    </row>
    <row r="10156" spans="3:3" x14ac:dyDescent="0.35">
      <c r="C10156" s="2"/>
    </row>
    <row r="10157" spans="3:3" x14ac:dyDescent="0.35">
      <c r="C10157" s="2"/>
    </row>
    <row r="10158" spans="3:3" x14ac:dyDescent="0.35">
      <c r="C10158" s="2"/>
    </row>
    <row r="10159" spans="3:3" x14ac:dyDescent="0.35">
      <c r="C10159" s="2"/>
    </row>
    <row r="10160" spans="3:3" x14ac:dyDescent="0.35">
      <c r="C10160" s="2"/>
    </row>
    <row r="10161" spans="3:3" x14ac:dyDescent="0.35">
      <c r="C10161" s="2"/>
    </row>
    <row r="10162" spans="3:3" x14ac:dyDescent="0.35">
      <c r="C10162" s="2"/>
    </row>
    <row r="10163" spans="3:3" x14ac:dyDescent="0.35">
      <c r="C10163" s="2"/>
    </row>
    <row r="10164" spans="3:3" x14ac:dyDescent="0.35">
      <c r="C10164" s="2"/>
    </row>
    <row r="10165" spans="3:3" x14ac:dyDescent="0.35">
      <c r="C10165" s="2"/>
    </row>
    <row r="10166" spans="3:3" x14ac:dyDescent="0.35">
      <c r="C10166" s="2"/>
    </row>
    <row r="10167" spans="3:3" x14ac:dyDescent="0.35">
      <c r="C10167" s="2"/>
    </row>
    <row r="10168" spans="3:3" x14ac:dyDescent="0.35">
      <c r="C10168" s="2"/>
    </row>
    <row r="10169" spans="3:3" x14ac:dyDescent="0.35">
      <c r="C10169" s="2"/>
    </row>
    <row r="10170" spans="3:3" x14ac:dyDescent="0.35">
      <c r="C10170" s="2"/>
    </row>
    <row r="10171" spans="3:3" x14ac:dyDescent="0.35">
      <c r="C10171" s="2"/>
    </row>
    <row r="10172" spans="3:3" x14ac:dyDescent="0.35">
      <c r="C10172" s="2"/>
    </row>
    <row r="10173" spans="3:3" x14ac:dyDescent="0.35">
      <c r="C10173" s="2"/>
    </row>
    <row r="10174" spans="3:3" x14ac:dyDescent="0.35">
      <c r="C10174" s="2"/>
    </row>
    <row r="10175" spans="3:3" x14ac:dyDescent="0.35">
      <c r="C10175" s="2"/>
    </row>
    <row r="10176" spans="3:3" x14ac:dyDescent="0.35">
      <c r="C10176" s="2"/>
    </row>
    <row r="10177" spans="3:3" x14ac:dyDescent="0.35">
      <c r="C10177" s="2"/>
    </row>
    <row r="10178" spans="3:3" x14ac:dyDescent="0.35">
      <c r="C10178" s="2"/>
    </row>
    <row r="10179" spans="3:3" x14ac:dyDescent="0.35">
      <c r="C10179" s="2"/>
    </row>
    <row r="10180" spans="3:3" x14ac:dyDescent="0.35">
      <c r="C10180" s="2"/>
    </row>
    <row r="10181" spans="3:3" x14ac:dyDescent="0.35">
      <c r="C10181" s="2"/>
    </row>
    <row r="10182" spans="3:3" x14ac:dyDescent="0.35">
      <c r="C10182" s="2"/>
    </row>
    <row r="10183" spans="3:3" x14ac:dyDescent="0.35">
      <c r="C10183" s="2"/>
    </row>
    <row r="10184" spans="3:3" x14ac:dyDescent="0.35">
      <c r="C10184" s="2"/>
    </row>
    <row r="10185" spans="3:3" x14ac:dyDescent="0.35">
      <c r="C10185" s="2"/>
    </row>
    <row r="10186" spans="3:3" x14ac:dyDescent="0.35">
      <c r="C10186" s="2"/>
    </row>
    <row r="10187" spans="3:3" x14ac:dyDescent="0.35">
      <c r="C10187" s="2"/>
    </row>
    <row r="10188" spans="3:3" x14ac:dyDescent="0.35">
      <c r="C10188" s="2"/>
    </row>
    <row r="10189" spans="3:3" x14ac:dyDescent="0.35">
      <c r="C10189" s="2"/>
    </row>
    <row r="10190" spans="3:3" x14ac:dyDescent="0.35">
      <c r="C10190" s="2"/>
    </row>
    <row r="10191" spans="3:3" x14ac:dyDescent="0.35">
      <c r="C10191" s="2"/>
    </row>
    <row r="10192" spans="3:3" x14ac:dyDescent="0.35">
      <c r="C10192" s="2"/>
    </row>
    <row r="10193" spans="3:3" x14ac:dyDescent="0.35">
      <c r="C10193" s="2"/>
    </row>
    <row r="10194" spans="3:3" x14ac:dyDescent="0.35">
      <c r="C10194" s="2"/>
    </row>
    <row r="10195" spans="3:3" x14ac:dyDescent="0.35">
      <c r="C10195" s="2"/>
    </row>
    <row r="10196" spans="3:3" x14ac:dyDescent="0.35">
      <c r="C10196" s="2"/>
    </row>
    <row r="10197" spans="3:3" x14ac:dyDescent="0.35">
      <c r="C10197" s="2"/>
    </row>
    <row r="10198" spans="3:3" x14ac:dyDescent="0.35">
      <c r="C10198" s="2"/>
    </row>
    <row r="10199" spans="3:3" x14ac:dyDescent="0.35">
      <c r="C10199" s="2"/>
    </row>
    <row r="10200" spans="3:3" x14ac:dyDescent="0.35">
      <c r="C10200" s="2"/>
    </row>
    <row r="10201" spans="3:3" x14ac:dyDescent="0.35">
      <c r="C10201" s="2"/>
    </row>
    <row r="10202" spans="3:3" x14ac:dyDescent="0.35">
      <c r="C10202" s="2"/>
    </row>
    <row r="10203" spans="3:3" x14ac:dyDescent="0.35">
      <c r="C10203" s="2"/>
    </row>
    <row r="10204" spans="3:3" x14ac:dyDescent="0.35">
      <c r="C10204" s="2"/>
    </row>
    <row r="10205" spans="3:3" x14ac:dyDescent="0.35">
      <c r="C10205" s="2"/>
    </row>
    <row r="10206" spans="3:3" x14ac:dyDescent="0.35">
      <c r="C10206" s="2"/>
    </row>
    <row r="10207" spans="3:3" x14ac:dyDescent="0.35">
      <c r="C10207" s="2"/>
    </row>
    <row r="10208" spans="3:3" x14ac:dyDescent="0.35">
      <c r="C10208" s="2"/>
    </row>
    <row r="10209" spans="3:3" x14ac:dyDescent="0.35">
      <c r="C10209" s="2"/>
    </row>
    <row r="10210" spans="3:3" x14ac:dyDescent="0.35">
      <c r="C10210" s="2"/>
    </row>
    <row r="10211" spans="3:3" x14ac:dyDescent="0.35">
      <c r="C10211" s="2"/>
    </row>
    <row r="10212" spans="3:3" x14ac:dyDescent="0.35">
      <c r="C10212" s="2"/>
    </row>
    <row r="10213" spans="3:3" x14ac:dyDescent="0.35">
      <c r="C10213" s="2"/>
    </row>
    <row r="10214" spans="3:3" x14ac:dyDescent="0.35">
      <c r="C10214" s="2"/>
    </row>
    <row r="10215" spans="3:3" x14ac:dyDescent="0.35">
      <c r="C10215" s="2"/>
    </row>
    <row r="10216" spans="3:3" x14ac:dyDescent="0.35">
      <c r="C10216" s="2"/>
    </row>
    <row r="10217" spans="3:3" x14ac:dyDescent="0.35">
      <c r="C10217" s="2"/>
    </row>
    <row r="10218" spans="3:3" x14ac:dyDescent="0.35">
      <c r="C10218" s="2"/>
    </row>
    <row r="10219" spans="3:3" x14ac:dyDescent="0.35">
      <c r="C10219" s="2"/>
    </row>
    <row r="10220" spans="3:3" x14ac:dyDescent="0.35">
      <c r="C10220" s="2"/>
    </row>
    <row r="10221" spans="3:3" x14ac:dyDescent="0.35">
      <c r="C10221" s="2"/>
    </row>
    <row r="10222" spans="3:3" x14ac:dyDescent="0.35">
      <c r="C10222" s="2"/>
    </row>
    <row r="10223" spans="3:3" x14ac:dyDescent="0.35">
      <c r="C10223" s="2"/>
    </row>
    <row r="10224" spans="3:3" x14ac:dyDescent="0.35">
      <c r="C10224" s="2"/>
    </row>
    <row r="10225" spans="3:3" x14ac:dyDescent="0.35">
      <c r="C10225" s="2"/>
    </row>
    <row r="10226" spans="3:3" x14ac:dyDescent="0.35">
      <c r="C10226" s="2"/>
    </row>
    <row r="10227" spans="3:3" x14ac:dyDescent="0.35">
      <c r="C10227" s="2"/>
    </row>
    <row r="10228" spans="3:3" x14ac:dyDescent="0.35">
      <c r="C10228" s="2"/>
    </row>
    <row r="10229" spans="3:3" x14ac:dyDescent="0.35">
      <c r="C10229" s="2"/>
    </row>
    <row r="10230" spans="3:3" x14ac:dyDescent="0.35">
      <c r="C10230" s="2"/>
    </row>
    <row r="10231" spans="3:3" x14ac:dyDescent="0.35">
      <c r="C10231" s="2"/>
    </row>
    <row r="10232" spans="3:3" x14ac:dyDescent="0.35">
      <c r="C10232" s="2"/>
    </row>
    <row r="10233" spans="3:3" x14ac:dyDescent="0.35">
      <c r="C10233" s="2"/>
    </row>
    <row r="10234" spans="3:3" x14ac:dyDescent="0.35">
      <c r="C10234" s="2"/>
    </row>
    <row r="10235" spans="3:3" x14ac:dyDescent="0.35">
      <c r="C10235" s="2"/>
    </row>
    <row r="10236" spans="3:3" x14ac:dyDescent="0.35">
      <c r="C10236" s="2"/>
    </row>
    <row r="10237" spans="3:3" x14ac:dyDescent="0.35">
      <c r="C10237" s="2"/>
    </row>
    <row r="10238" spans="3:3" x14ac:dyDescent="0.35">
      <c r="C10238" s="2"/>
    </row>
    <row r="10239" spans="3:3" x14ac:dyDescent="0.35">
      <c r="C10239" s="2"/>
    </row>
    <row r="10240" spans="3:3" x14ac:dyDescent="0.35">
      <c r="C10240" s="2"/>
    </row>
    <row r="10241" spans="3:3" x14ac:dyDescent="0.35">
      <c r="C10241" s="2"/>
    </row>
    <row r="10242" spans="3:3" x14ac:dyDescent="0.35">
      <c r="C10242" s="2"/>
    </row>
    <row r="10243" spans="3:3" x14ac:dyDescent="0.35">
      <c r="C10243" s="2"/>
    </row>
    <row r="10244" spans="3:3" x14ac:dyDescent="0.35">
      <c r="C10244" s="2"/>
    </row>
    <row r="10245" spans="3:3" x14ac:dyDescent="0.35">
      <c r="C10245" s="2"/>
    </row>
    <row r="10246" spans="3:3" x14ac:dyDescent="0.35">
      <c r="C10246" s="2"/>
    </row>
    <row r="10247" spans="3:3" x14ac:dyDescent="0.35">
      <c r="C10247" s="2"/>
    </row>
    <row r="10248" spans="3:3" x14ac:dyDescent="0.35">
      <c r="C10248" s="2"/>
    </row>
    <row r="10249" spans="3:3" x14ac:dyDescent="0.35">
      <c r="C10249" s="2"/>
    </row>
    <row r="10250" spans="3:3" x14ac:dyDescent="0.35">
      <c r="C10250" s="2"/>
    </row>
    <row r="10251" spans="3:3" x14ac:dyDescent="0.35">
      <c r="C10251" s="2"/>
    </row>
    <row r="10252" spans="3:3" x14ac:dyDescent="0.35">
      <c r="C10252" s="2"/>
    </row>
    <row r="10253" spans="3:3" x14ac:dyDescent="0.35">
      <c r="C10253" s="2"/>
    </row>
    <row r="10254" spans="3:3" x14ac:dyDescent="0.35">
      <c r="C10254" s="2"/>
    </row>
    <row r="10255" spans="3:3" x14ac:dyDescent="0.35">
      <c r="C10255" s="2"/>
    </row>
    <row r="10256" spans="3:3" x14ac:dyDescent="0.35">
      <c r="C10256" s="2"/>
    </row>
    <row r="10257" spans="3:3" x14ac:dyDescent="0.35">
      <c r="C10257" s="2"/>
    </row>
    <row r="10258" spans="3:3" x14ac:dyDescent="0.35">
      <c r="C10258" s="2"/>
    </row>
    <row r="10259" spans="3:3" x14ac:dyDescent="0.35">
      <c r="C10259" s="2"/>
    </row>
    <row r="10260" spans="3:3" x14ac:dyDescent="0.35">
      <c r="C10260" s="2"/>
    </row>
    <row r="10261" spans="3:3" x14ac:dyDescent="0.35">
      <c r="C10261" s="2"/>
    </row>
    <row r="10262" spans="3:3" x14ac:dyDescent="0.35">
      <c r="C10262" s="2"/>
    </row>
    <row r="10263" spans="3:3" x14ac:dyDescent="0.35">
      <c r="C10263" s="2"/>
    </row>
    <row r="10264" spans="3:3" x14ac:dyDescent="0.35">
      <c r="C10264" s="2"/>
    </row>
    <row r="10265" spans="3:3" x14ac:dyDescent="0.35">
      <c r="C10265" s="2"/>
    </row>
    <row r="10266" spans="3:3" x14ac:dyDescent="0.35">
      <c r="C10266" s="2"/>
    </row>
    <row r="10267" spans="3:3" x14ac:dyDescent="0.35">
      <c r="C10267" s="2"/>
    </row>
    <row r="10268" spans="3:3" x14ac:dyDescent="0.35">
      <c r="C10268" s="2"/>
    </row>
    <row r="10269" spans="3:3" x14ac:dyDescent="0.35">
      <c r="C10269" s="2"/>
    </row>
    <row r="10270" spans="3:3" x14ac:dyDescent="0.35">
      <c r="C10270" s="2"/>
    </row>
    <row r="10271" spans="3:3" x14ac:dyDescent="0.35">
      <c r="C10271" s="2"/>
    </row>
    <row r="10272" spans="3:3" x14ac:dyDescent="0.35">
      <c r="C10272" s="2"/>
    </row>
    <row r="10273" spans="3:3" x14ac:dyDescent="0.35">
      <c r="C10273" s="2"/>
    </row>
    <row r="10274" spans="3:3" x14ac:dyDescent="0.35">
      <c r="C10274" s="2"/>
    </row>
    <row r="10275" spans="3:3" x14ac:dyDescent="0.35">
      <c r="C10275" s="2"/>
    </row>
    <row r="10276" spans="3:3" x14ac:dyDescent="0.35">
      <c r="C10276" s="2"/>
    </row>
    <row r="10277" spans="3:3" x14ac:dyDescent="0.35">
      <c r="C10277" s="2"/>
    </row>
    <row r="10278" spans="3:3" x14ac:dyDescent="0.35">
      <c r="C10278" s="2"/>
    </row>
    <row r="10279" spans="3:3" x14ac:dyDescent="0.35">
      <c r="C10279" s="2"/>
    </row>
    <row r="10280" spans="3:3" x14ac:dyDescent="0.35">
      <c r="C10280" s="2"/>
    </row>
    <row r="10281" spans="3:3" x14ac:dyDescent="0.35">
      <c r="C10281" s="2"/>
    </row>
    <row r="10282" spans="3:3" x14ac:dyDescent="0.35">
      <c r="C10282" s="2"/>
    </row>
    <row r="10283" spans="3:3" x14ac:dyDescent="0.35">
      <c r="C10283" s="2"/>
    </row>
    <row r="10284" spans="3:3" x14ac:dyDescent="0.35">
      <c r="C10284" s="2"/>
    </row>
    <row r="10285" spans="3:3" x14ac:dyDescent="0.35">
      <c r="C10285" s="2"/>
    </row>
    <row r="10286" spans="3:3" x14ac:dyDescent="0.35">
      <c r="C10286" s="2"/>
    </row>
    <row r="10287" spans="3:3" x14ac:dyDescent="0.35">
      <c r="C10287" s="2"/>
    </row>
    <row r="10288" spans="3:3" x14ac:dyDescent="0.35">
      <c r="C10288" s="2"/>
    </row>
    <row r="10289" spans="3:3" x14ac:dyDescent="0.35">
      <c r="C10289" s="2"/>
    </row>
    <row r="10290" spans="3:3" x14ac:dyDescent="0.35">
      <c r="C10290" s="2"/>
    </row>
    <row r="10291" spans="3:3" x14ac:dyDescent="0.35">
      <c r="C10291" s="2"/>
    </row>
    <row r="10292" spans="3:3" x14ac:dyDescent="0.35">
      <c r="C10292" s="2"/>
    </row>
    <row r="10293" spans="3:3" x14ac:dyDescent="0.35">
      <c r="C10293" s="2"/>
    </row>
    <row r="10294" spans="3:3" x14ac:dyDescent="0.35">
      <c r="C10294" s="2"/>
    </row>
    <row r="10295" spans="3:3" x14ac:dyDescent="0.35">
      <c r="C10295" s="2"/>
    </row>
    <row r="10296" spans="3:3" x14ac:dyDescent="0.35">
      <c r="C10296" s="2"/>
    </row>
    <row r="10297" spans="3:3" x14ac:dyDescent="0.35">
      <c r="C10297" s="2"/>
    </row>
    <row r="10298" spans="3:3" x14ac:dyDescent="0.35">
      <c r="C10298" s="2"/>
    </row>
    <row r="10299" spans="3:3" x14ac:dyDescent="0.35">
      <c r="C10299" s="2"/>
    </row>
    <row r="10300" spans="3:3" x14ac:dyDescent="0.35">
      <c r="C10300" s="2"/>
    </row>
    <row r="10301" spans="3:3" x14ac:dyDescent="0.35">
      <c r="C10301" s="2"/>
    </row>
    <row r="10302" spans="3:3" x14ac:dyDescent="0.35">
      <c r="C10302" s="2"/>
    </row>
    <row r="10303" spans="3:3" x14ac:dyDescent="0.35">
      <c r="C10303" s="2"/>
    </row>
    <row r="10304" spans="3:3" x14ac:dyDescent="0.35">
      <c r="C10304" s="2"/>
    </row>
    <row r="10305" spans="3:3" x14ac:dyDescent="0.35">
      <c r="C10305" s="2"/>
    </row>
    <row r="10306" spans="3:3" x14ac:dyDescent="0.35">
      <c r="C10306" s="2"/>
    </row>
    <row r="10307" spans="3:3" x14ac:dyDescent="0.35">
      <c r="C10307" s="2"/>
    </row>
    <row r="10308" spans="3:3" x14ac:dyDescent="0.35">
      <c r="C10308" s="2"/>
    </row>
    <row r="10309" spans="3:3" x14ac:dyDescent="0.35">
      <c r="C10309" s="2"/>
    </row>
    <row r="10310" spans="3:3" x14ac:dyDescent="0.35">
      <c r="C10310" s="2"/>
    </row>
    <row r="10311" spans="3:3" x14ac:dyDescent="0.35">
      <c r="C10311" s="2"/>
    </row>
    <row r="10312" spans="3:3" x14ac:dyDescent="0.35">
      <c r="C10312" s="2"/>
    </row>
    <row r="10313" spans="3:3" x14ac:dyDescent="0.35">
      <c r="C10313" s="2"/>
    </row>
    <row r="10314" spans="3:3" x14ac:dyDescent="0.35">
      <c r="C10314" s="2"/>
    </row>
    <row r="10315" spans="3:3" x14ac:dyDescent="0.35">
      <c r="C10315" s="2"/>
    </row>
    <row r="10316" spans="3:3" x14ac:dyDescent="0.35">
      <c r="C10316" s="2"/>
    </row>
    <row r="10317" spans="3:3" x14ac:dyDescent="0.35">
      <c r="C10317" s="2"/>
    </row>
    <row r="10318" spans="3:3" x14ac:dyDescent="0.35">
      <c r="C10318" s="2"/>
    </row>
    <row r="10319" spans="3:3" x14ac:dyDescent="0.35">
      <c r="C10319" s="2"/>
    </row>
    <row r="10320" spans="3:3" x14ac:dyDescent="0.35">
      <c r="C10320" s="2"/>
    </row>
    <row r="10321" spans="3:3" x14ac:dyDescent="0.35">
      <c r="C10321" s="2"/>
    </row>
    <row r="10322" spans="3:3" x14ac:dyDescent="0.35">
      <c r="C10322" s="2"/>
    </row>
    <row r="10323" spans="3:3" x14ac:dyDescent="0.35">
      <c r="C10323" s="2"/>
    </row>
    <row r="10324" spans="3:3" x14ac:dyDescent="0.35">
      <c r="C10324" s="2"/>
    </row>
    <row r="10325" spans="3:3" x14ac:dyDescent="0.35">
      <c r="C10325" s="2"/>
    </row>
    <row r="10326" spans="3:3" x14ac:dyDescent="0.35">
      <c r="C10326" s="2"/>
    </row>
    <row r="10327" spans="3:3" x14ac:dyDescent="0.35">
      <c r="C10327" s="2"/>
    </row>
    <row r="10328" spans="3:3" x14ac:dyDescent="0.35">
      <c r="C10328" s="2"/>
    </row>
    <row r="10329" spans="3:3" x14ac:dyDescent="0.35">
      <c r="C10329" s="2"/>
    </row>
    <row r="10330" spans="3:3" x14ac:dyDescent="0.35">
      <c r="C10330" s="2"/>
    </row>
    <row r="10331" spans="3:3" x14ac:dyDescent="0.35">
      <c r="C10331" s="2"/>
    </row>
    <row r="10332" spans="3:3" x14ac:dyDescent="0.35">
      <c r="C10332" s="2"/>
    </row>
    <row r="10333" spans="3:3" x14ac:dyDescent="0.35">
      <c r="C10333" s="2"/>
    </row>
    <row r="10334" spans="3:3" x14ac:dyDescent="0.35">
      <c r="C10334" s="2"/>
    </row>
    <row r="10335" spans="3:3" x14ac:dyDescent="0.35">
      <c r="C10335" s="2"/>
    </row>
    <row r="10336" spans="3:3" x14ac:dyDescent="0.35">
      <c r="C10336" s="2"/>
    </row>
    <row r="10337" spans="3:3" x14ac:dyDescent="0.35">
      <c r="C10337" s="2"/>
    </row>
    <row r="10338" spans="3:3" x14ac:dyDescent="0.35">
      <c r="C10338" s="2"/>
    </row>
    <row r="10339" spans="3:3" x14ac:dyDescent="0.35">
      <c r="C10339" s="2"/>
    </row>
    <row r="10340" spans="3:3" x14ac:dyDescent="0.35">
      <c r="C10340" s="2"/>
    </row>
    <row r="10341" spans="3:3" x14ac:dyDescent="0.35">
      <c r="C10341" s="2"/>
    </row>
    <row r="10342" spans="3:3" x14ac:dyDescent="0.35">
      <c r="C10342" s="2"/>
    </row>
    <row r="10343" spans="3:3" x14ac:dyDescent="0.35">
      <c r="C10343" s="2"/>
    </row>
    <row r="10344" spans="3:3" x14ac:dyDescent="0.35">
      <c r="C10344" s="2"/>
    </row>
    <row r="10345" spans="3:3" x14ac:dyDescent="0.35">
      <c r="C10345" s="2"/>
    </row>
    <row r="10346" spans="3:3" x14ac:dyDescent="0.35">
      <c r="C10346" s="2"/>
    </row>
    <row r="10347" spans="3:3" x14ac:dyDescent="0.35">
      <c r="C10347" s="2"/>
    </row>
    <row r="10348" spans="3:3" x14ac:dyDescent="0.35">
      <c r="C10348" s="2"/>
    </row>
    <row r="10349" spans="3:3" x14ac:dyDescent="0.35">
      <c r="C10349" s="2"/>
    </row>
    <row r="10350" spans="3:3" x14ac:dyDescent="0.35">
      <c r="C10350" s="2"/>
    </row>
    <row r="10351" spans="3:3" x14ac:dyDescent="0.35">
      <c r="C10351" s="2"/>
    </row>
    <row r="10352" spans="3:3" x14ac:dyDescent="0.35">
      <c r="C10352" s="2"/>
    </row>
    <row r="10353" spans="3:3" x14ac:dyDescent="0.35">
      <c r="C10353" s="2"/>
    </row>
    <row r="10354" spans="3:3" x14ac:dyDescent="0.35">
      <c r="C10354" s="2"/>
    </row>
    <row r="10355" spans="3:3" x14ac:dyDescent="0.35">
      <c r="C10355" s="2"/>
    </row>
    <row r="10356" spans="3:3" x14ac:dyDescent="0.35">
      <c r="C10356" s="2"/>
    </row>
    <row r="10357" spans="3:3" x14ac:dyDescent="0.35">
      <c r="C10357" s="2"/>
    </row>
    <row r="10358" spans="3:3" x14ac:dyDescent="0.35">
      <c r="C10358" s="2"/>
    </row>
    <row r="10359" spans="3:3" x14ac:dyDescent="0.35">
      <c r="C10359" s="2"/>
    </row>
    <row r="10360" spans="3:3" x14ac:dyDescent="0.35">
      <c r="C10360" s="2"/>
    </row>
    <row r="10361" spans="3:3" x14ac:dyDescent="0.35">
      <c r="C10361" s="2"/>
    </row>
    <row r="10362" spans="3:3" x14ac:dyDescent="0.35">
      <c r="C10362" s="2"/>
    </row>
    <row r="10363" spans="3:3" x14ac:dyDescent="0.35">
      <c r="C10363" s="2"/>
    </row>
    <row r="10364" spans="3:3" x14ac:dyDescent="0.35">
      <c r="C10364" s="2"/>
    </row>
    <row r="10365" spans="3:3" x14ac:dyDescent="0.35">
      <c r="C10365" s="2"/>
    </row>
    <row r="10366" spans="3:3" x14ac:dyDescent="0.35">
      <c r="C10366" s="2"/>
    </row>
    <row r="10367" spans="3:3" x14ac:dyDescent="0.35">
      <c r="C10367" s="2"/>
    </row>
    <row r="10368" spans="3:3" x14ac:dyDescent="0.35">
      <c r="C10368" s="2"/>
    </row>
    <row r="10369" spans="3:3" x14ac:dyDescent="0.35">
      <c r="C10369" s="2"/>
    </row>
    <row r="10370" spans="3:3" x14ac:dyDescent="0.35">
      <c r="C10370" s="2"/>
    </row>
    <row r="10371" spans="3:3" x14ac:dyDescent="0.35">
      <c r="C10371" s="2"/>
    </row>
    <row r="10372" spans="3:3" x14ac:dyDescent="0.35">
      <c r="C10372" s="2"/>
    </row>
    <row r="10373" spans="3:3" x14ac:dyDescent="0.35">
      <c r="C10373" s="2"/>
    </row>
    <row r="10374" spans="3:3" x14ac:dyDescent="0.35">
      <c r="C10374" s="2"/>
    </row>
    <row r="10375" spans="3:3" x14ac:dyDescent="0.35">
      <c r="C10375" s="2"/>
    </row>
    <row r="10376" spans="3:3" x14ac:dyDescent="0.35">
      <c r="C10376" s="2"/>
    </row>
    <row r="10377" spans="3:3" x14ac:dyDescent="0.35">
      <c r="C10377" s="2"/>
    </row>
    <row r="10378" spans="3:3" x14ac:dyDescent="0.35">
      <c r="C10378" s="2"/>
    </row>
    <row r="10379" spans="3:3" x14ac:dyDescent="0.35">
      <c r="C10379" s="2"/>
    </row>
    <row r="10380" spans="3:3" x14ac:dyDescent="0.35">
      <c r="C10380" s="2"/>
    </row>
    <row r="10381" spans="3:3" x14ac:dyDescent="0.35">
      <c r="C10381" s="2"/>
    </row>
    <row r="10382" spans="3:3" x14ac:dyDescent="0.35">
      <c r="C10382" s="2"/>
    </row>
    <row r="10383" spans="3:3" x14ac:dyDescent="0.35">
      <c r="C10383" s="2"/>
    </row>
    <row r="10384" spans="3:3" x14ac:dyDescent="0.35">
      <c r="C10384" s="2"/>
    </row>
    <row r="10385" spans="3:3" x14ac:dyDescent="0.35">
      <c r="C10385" s="2"/>
    </row>
    <row r="10386" spans="3:3" x14ac:dyDescent="0.35">
      <c r="C10386" s="2"/>
    </row>
    <row r="10387" spans="3:3" x14ac:dyDescent="0.35">
      <c r="C10387" s="2"/>
    </row>
    <row r="10388" spans="3:3" x14ac:dyDescent="0.35">
      <c r="C10388" s="2"/>
    </row>
    <row r="10389" spans="3:3" x14ac:dyDescent="0.35">
      <c r="C10389" s="2"/>
    </row>
    <row r="10390" spans="3:3" x14ac:dyDescent="0.35">
      <c r="C10390" s="2"/>
    </row>
    <row r="10391" spans="3:3" x14ac:dyDescent="0.35">
      <c r="C10391" s="2"/>
    </row>
    <row r="10392" spans="3:3" x14ac:dyDescent="0.35">
      <c r="C10392" s="2"/>
    </row>
    <row r="10393" spans="3:3" x14ac:dyDescent="0.35">
      <c r="C10393" s="2"/>
    </row>
    <row r="10394" spans="3:3" x14ac:dyDescent="0.35">
      <c r="C10394" s="2"/>
    </row>
    <row r="10395" spans="3:3" x14ac:dyDescent="0.35">
      <c r="C10395" s="2"/>
    </row>
    <row r="10396" spans="3:3" x14ac:dyDescent="0.35">
      <c r="C10396" s="2"/>
    </row>
    <row r="10397" spans="3:3" x14ac:dyDescent="0.35">
      <c r="C10397" s="2"/>
    </row>
    <row r="10398" spans="3:3" x14ac:dyDescent="0.35">
      <c r="C10398" s="2"/>
    </row>
    <row r="10399" spans="3:3" x14ac:dyDescent="0.35">
      <c r="C10399" s="2"/>
    </row>
    <row r="10400" spans="3:3" x14ac:dyDescent="0.35">
      <c r="C10400" s="2"/>
    </row>
    <row r="10401" spans="3:3" x14ac:dyDescent="0.35">
      <c r="C10401" s="2"/>
    </row>
    <row r="10402" spans="3:3" x14ac:dyDescent="0.35">
      <c r="C10402" s="2"/>
    </row>
    <row r="10403" spans="3:3" x14ac:dyDescent="0.35">
      <c r="C10403" s="2"/>
    </row>
    <row r="10404" spans="3:3" x14ac:dyDescent="0.35">
      <c r="C10404" s="2"/>
    </row>
    <row r="10405" spans="3:3" x14ac:dyDescent="0.35">
      <c r="C10405" s="2"/>
    </row>
    <row r="10406" spans="3:3" x14ac:dyDescent="0.35">
      <c r="C10406" s="2"/>
    </row>
    <row r="10407" spans="3:3" x14ac:dyDescent="0.35">
      <c r="C10407" s="2"/>
    </row>
    <row r="10408" spans="3:3" x14ac:dyDescent="0.35">
      <c r="C10408" s="2"/>
    </row>
    <row r="10409" spans="3:3" x14ac:dyDescent="0.35">
      <c r="C10409" s="2"/>
    </row>
    <row r="10410" spans="3:3" x14ac:dyDescent="0.35">
      <c r="C10410" s="2"/>
    </row>
    <row r="10411" spans="3:3" x14ac:dyDescent="0.35">
      <c r="C10411" s="2"/>
    </row>
    <row r="10412" spans="3:3" x14ac:dyDescent="0.35">
      <c r="C10412" s="2"/>
    </row>
    <row r="10413" spans="3:3" x14ac:dyDescent="0.35">
      <c r="C10413" s="2"/>
    </row>
    <row r="10414" spans="3:3" x14ac:dyDescent="0.35">
      <c r="C10414" s="2"/>
    </row>
    <row r="10415" spans="3:3" x14ac:dyDescent="0.35">
      <c r="C10415" s="2"/>
    </row>
    <row r="10416" spans="3:3" x14ac:dyDescent="0.35">
      <c r="C10416" s="2"/>
    </row>
    <row r="10417" spans="3:3" x14ac:dyDescent="0.35">
      <c r="C10417" s="2"/>
    </row>
    <row r="10418" spans="3:3" x14ac:dyDescent="0.35">
      <c r="C10418" s="2"/>
    </row>
    <row r="10419" spans="3:3" x14ac:dyDescent="0.35">
      <c r="C10419" s="2"/>
    </row>
    <row r="10420" spans="3:3" x14ac:dyDescent="0.35">
      <c r="C10420" s="2"/>
    </row>
    <row r="10421" spans="3:3" x14ac:dyDescent="0.35">
      <c r="C10421" s="2"/>
    </row>
    <row r="10422" spans="3:3" x14ac:dyDescent="0.35">
      <c r="C10422" s="2"/>
    </row>
    <row r="10423" spans="3:3" x14ac:dyDescent="0.35">
      <c r="C10423" s="2"/>
    </row>
    <row r="10424" spans="3:3" x14ac:dyDescent="0.35">
      <c r="C10424" s="2"/>
    </row>
    <row r="10425" spans="3:3" x14ac:dyDescent="0.35">
      <c r="C10425" s="2"/>
    </row>
    <row r="10426" spans="3:3" x14ac:dyDescent="0.35">
      <c r="C10426" s="2"/>
    </row>
    <row r="10427" spans="3:3" x14ac:dyDescent="0.35">
      <c r="C10427" s="2"/>
    </row>
    <row r="10428" spans="3:3" x14ac:dyDescent="0.35">
      <c r="C10428" s="2"/>
    </row>
    <row r="10429" spans="3:3" x14ac:dyDescent="0.35">
      <c r="C10429" s="2"/>
    </row>
    <row r="10430" spans="3:3" x14ac:dyDescent="0.35">
      <c r="C10430" s="2"/>
    </row>
    <row r="10431" spans="3:3" x14ac:dyDescent="0.35">
      <c r="C10431" s="2"/>
    </row>
    <row r="10432" spans="3:3" x14ac:dyDescent="0.35">
      <c r="C10432" s="2"/>
    </row>
    <row r="10433" spans="3:3" x14ac:dyDescent="0.35">
      <c r="C10433" s="2"/>
    </row>
    <row r="10434" spans="3:3" x14ac:dyDescent="0.35">
      <c r="C10434" s="2"/>
    </row>
    <row r="10435" spans="3:3" x14ac:dyDescent="0.35">
      <c r="C10435" s="2"/>
    </row>
    <row r="10436" spans="3:3" x14ac:dyDescent="0.35">
      <c r="C10436" s="2"/>
    </row>
    <row r="10437" spans="3:3" x14ac:dyDescent="0.35">
      <c r="C10437" s="2"/>
    </row>
    <row r="10438" spans="3:3" x14ac:dyDescent="0.35">
      <c r="C10438" s="2"/>
    </row>
    <row r="10439" spans="3:3" x14ac:dyDescent="0.35">
      <c r="C10439" s="2"/>
    </row>
    <row r="10440" spans="3:3" x14ac:dyDescent="0.35">
      <c r="C10440" s="2"/>
    </row>
    <row r="10441" spans="3:3" x14ac:dyDescent="0.35">
      <c r="C10441" s="2"/>
    </row>
    <row r="10442" spans="3:3" x14ac:dyDescent="0.35">
      <c r="C10442" s="2"/>
    </row>
    <row r="10443" spans="3:3" x14ac:dyDescent="0.35">
      <c r="C10443" s="2"/>
    </row>
    <row r="10444" spans="3:3" x14ac:dyDescent="0.35">
      <c r="C10444" s="2"/>
    </row>
    <row r="10445" spans="3:3" x14ac:dyDescent="0.35">
      <c r="C10445" s="2"/>
    </row>
    <row r="10446" spans="3:3" x14ac:dyDescent="0.35">
      <c r="C10446" s="2"/>
    </row>
    <row r="10447" spans="3:3" x14ac:dyDescent="0.35">
      <c r="C10447" s="2"/>
    </row>
    <row r="10448" spans="3:3" x14ac:dyDescent="0.35">
      <c r="C10448" s="2"/>
    </row>
    <row r="10449" spans="3:3" x14ac:dyDescent="0.35">
      <c r="C10449" s="2"/>
    </row>
    <row r="10450" spans="3:3" x14ac:dyDescent="0.35">
      <c r="C10450" s="2"/>
    </row>
    <row r="10451" spans="3:3" x14ac:dyDescent="0.35">
      <c r="C10451" s="2"/>
    </row>
    <row r="10452" spans="3:3" x14ac:dyDescent="0.35">
      <c r="C10452" s="2"/>
    </row>
    <row r="10453" spans="3:3" x14ac:dyDescent="0.35">
      <c r="C10453" s="2"/>
    </row>
    <row r="10454" spans="3:3" x14ac:dyDescent="0.35">
      <c r="C10454" s="2"/>
    </row>
    <row r="10455" spans="3:3" x14ac:dyDescent="0.35">
      <c r="C10455" s="2"/>
    </row>
    <row r="10456" spans="3:3" x14ac:dyDescent="0.35">
      <c r="C10456" s="2"/>
    </row>
    <row r="10457" spans="3:3" x14ac:dyDescent="0.35">
      <c r="C10457" s="2"/>
    </row>
    <row r="10458" spans="3:3" x14ac:dyDescent="0.35">
      <c r="C10458" s="2"/>
    </row>
    <row r="10459" spans="3:3" x14ac:dyDescent="0.35">
      <c r="C10459" s="2"/>
    </row>
    <row r="10460" spans="3:3" x14ac:dyDescent="0.35">
      <c r="C10460" s="2"/>
    </row>
    <row r="10461" spans="3:3" x14ac:dyDescent="0.35">
      <c r="C10461" s="2"/>
    </row>
    <row r="10462" spans="3:3" x14ac:dyDescent="0.35">
      <c r="C10462" s="2"/>
    </row>
    <row r="10463" spans="3:3" x14ac:dyDescent="0.35">
      <c r="C10463" s="2"/>
    </row>
    <row r="10464" spans="3:3" x14ac:dyDescent="0.35">
      <c r="C10464" s="2"/>
    </row>
    <row r="10465" spans="3:3" x14ac:dyDescent="0.35">
      <c r="C10465" s="2"/>
    </row>
    <row r="10466" spans="3:3" x14ac:dyDescent="0.35">
      <c r="C10466" s="2"/>
    </row>
    <row r="10467" spans="3:3" x14ac:dyDescent="0.35">
      <c r="C10467" s="2"/>
    </row>
    <row r="10468" spans="3:3" x14ac:dyDescent="0.35">
      <c r="C10468" s="2"/>
    </row>
    <row r="10469" spans="3:3" x14ac:dyDescent="0.35">
      <c r="C10469" s="2"/>
    </row>
    <row r="10470" spans="3:3" x14ac:dyDescent="0.35">
      <c r="C10470" s="2"/>
    </row>
    <row r="10471" spans="3:3" x14ac:dyDescent="0.35">
      <c r="C10471" s="2"/>
    </row>
    <row r="10472" spans="3:3" x14ac:dyDescent="0.35">
      <c r="C10472" s="2"/>
    </row>
    <row r="10473" spans="3:3" x14ac:dyDescent="0.35">
      <c r="C10473" s="2"/>
    </row>
    <row r="10474" spans="3:3" x14ac:dyDescent="0.35">
      <c r="C10474" s="2"/>
    </row>
    <row r="10475" spans="3:3" x14ac:dyDescent="0.35">
      <c r="C10475" s="2"/>
    </row>
    <row r="10476" spans="3:3" x14ac:dyDescent="0.35">
      <c r="C10476" s="2"/>
    </row>
    <row r="10477" spans="3:3" x14ac:dyDescent="0.35">
      <c r="C10477" s="2"/>
    </row>
    <row r="10478" spans="3:3" x14ac:dyDescent="0.35">
      <c r="C10478" s="2"/>
    </row>
    <row r="10479" spans="3:3" x14ac:dyDescent="0.35">
      <c r="C10479" s="2"/>
    </row>
    <row r="10480" spans="3:3" x14ac:dyDescent="0.35">
      <c r="C10480" s="2"/>
    </row>
    <row r="10481" spans="3:3" x14ac:dyDescent="0.35">
      <c r="C10481" s="2"/>
    </row>
    <row r="10482" spans="3:3" x14ac:dyDescent="0.35">
      <c r="C10482" s="2"/>
    </row>
    <row r="10483" spans="3:3" x14ac:dyDescent="0.35">
      <c r="C10483" s="2"/>
    </row>
    <row r="10484" spans="3:3" x14ac:dyDescent="0.35">
      <c r="C10484" s="2"/>
    </row>
    <row r="10485" spans="3:3" x14ac:dyDescent="0.35">
      <c r="C10485" s="2"/>
    </row>
    <row r="10486" spans="3:3" x14ac:dyDescent="0.35">
      <c r="C10486" s="2"/>
    </row>
    <row r="10487" spans="3:3" x14ac:dyDescent="0.35">
      <c r="C10487" s="2"/>
    </row>
    <row r="10488" spans="3:3" x14ac:dyDescent="0.35">
      <c r="C10488" s="2"/>
    </row>
    <row r="10489" spans="3:3" x14ac:dyDescent="0.35">
      <c r="C10489" s="2"/>
    </row>
    <row r="10490" spans="3:3" x14ac:dyDescent="0.35">
      <c r="C10490" s="2"/>
    </row>
    <row r="10491" spans="3:3" x14ac:dyDescent="0.35">
      <c r="C10491" s="2"/>
    </row>
    <row r="10492" spans="3:3" x14ac:dyDescent="0.35">
      <c r="C10492" s="2"/>
    </row>
    <row r="10493" spans="3:3" x14ac:dyDescent="0.35">
      <c r="C10493" s="2"/>
    </row>
    <row r="10494" spans="3:3" x14ac:dyDescent="0.35">
      <c r="C10494" s="2"/>
    </row>
    <row r="10495" spans="3:3" x14ac:dyDescent="0.35">
      <c r="C10495" s="2"/>
    </row>
    <row r="10496" spans="3:3" x14ac:dyDescent="0.35">
      <c r="C10496" s="2"/>
    </row>
    <row r="10497" spans="3:3" x14ac:dyDescent="0.35">
      <c r="C10497" s="2"/>
    </row>
    <row r="10498" spans="3:3" x14ac:dyDescent="0.35">
      <c r="C10498" s="2"/>
    </row>
    <row r="10499" spans="3:3" x14ac:dyDescent="0.35">
      <c r="C10499" s="2"/>
    </row>
    <row r="10500" spans="3:3" x14ac:dyDescent="0.35">
      <c r="C10500" s="2"/>
    </row>
    <row r="10501" spans="3:3" x14ac:dyDescent="0.35">
      <c r="C10501" s="2"/>
    </row>
    <row r="10502" spans="3:3" x14ac:dyDescent="0.35">
      <c r="C10502" s="2"/>
    </row>
    <row r="10503" spans="3:3" x14ac:dyDescent="0.35">
      <c r="C10503" s="2"/>
    </row>
    <row r="10504" spans="3:3" x14ac:dyDescent="0.35">
      <c r="C10504" s="2"/>
    </row>
    <row r="10505" spans="3:3" x14ac:dyDescent="0.35">
      <c r="C10505" s="2"/>
    </row>
    <row r="10506" spans="3:3" x14ac:dyDescent="0.35">
      <c r="C10506" s="2"/>
    </row>
    <row r="10507" spans="3:3" x14ac:dyDescent="0.35">
      <c r="C10507" s="2"/>
    </row>
    <row r="10508" spans="3:3" x14ac:dyDescent="0.35">
      <c r="C10508" s="2"/>
    </row>
    <row r="10509" spans="3:3" x14ac:dyDescent="0.35">
      <c r="C10509" s="2"/>
    </row>
    <row r="10510" spans="3:3" x14ac:dyDescent="0.35">
      <c r="C10510" s="2"/>
    </row>
    <row r="10511" spans="3:3" x14ac:dyDescent="0.35">
      <c r="C10511" s="2"/>
    </row>
    <row r="10512" spans="3:3" x14ac:dyDescent="0.35">
      <c r="C10512" s="2"/>
    </row>
    <row r="10513" spans="3:3" x14ac:dyDescent="0.35">
      <c r="C10513" s="2"/>
    </row>
    <row r="10514" spans="3:3" x14ac:dyDescent="0.35">
      <c r="C10514" s="2"/>
    </row>
    <row r="10515" spans="3:3" x14ac:dyDescent="0.35">
      <c r="C10515" s="2"/>
    </row>
    <row r="10516" spans="3:3" x14ac:dyDescent="0.35">
      <c r="C10516" s="2"/>
    </row>
    <row r="10517" spans="3:3" x14ac:dyDescent="0.35">
      <c r="C10517" s="2"/>
    </row>
    <row r="10518" spans="3:3" x14ac:dyDescent="0.35">
      <c r="C10518" s="2"/>
    </row>
    <row r="10519" spans="3:3" x14ac:dyDescent="0.35">
      <c r="C10519" s="2"/>
    </row>
    <row r="10520" spans="3:3" x14ac:dyDescent="0.35">
      <c r="C10520" s="2"/>
    </row>
    <row r="10521" spans="3:3" x14ac:dyDescent="0.35">
      <c r="C10521" s="2"/>
    </row>
    <row r="10522" spans="3:3" x14ac:dyDescent="0.35">
      <c r="C10522" s="2"/>
    </row>
    <row r="10523" spans="3:3" x14ac:dyDescent="0.35">
      <c r="C10523" s="2"/>
    </row>
    <row r="10524" spans="3:3" x14ac:dyDescent="0.35">
      <c r="C10524" s="2"/>
    </row>
    <row r="10525" spans="3:3" x14ac:dyDescent="0.35">
      <c r="C10525" s="2"/>
    </row>
    <row r="10526" spans="3:3" x14ac:dyDescent="0.35">
      <c r="C10526" s="2"/>
    </row>
    <row r="10527" spans="3:3" x14ac:dyDescent="0.35">
      <c r="C10527" s="2"/>
    </row>
    <row r="10528" spans="3:3" x14ac:dyDescent="0.35">
      <c r="C10528" s="2"/>
    </row>
    <row r="10529" spans="3:3" x14ac:dyDescent="0.35">
      <c r="C10529" s="2"/>
    </row>
    <row r="10530" spans="3:3" x14ac:dyDescent="0.35">
      <c r="C10530" s="2"/>
    </row>
    <row r="10531" spans="3:3" x14ac:dyDescent="0.35">
      <c r="C10531" s="2"/>
    </row>
    <row r="10532" spans="3:3" x14ac:dyDescent="0.35">
      <c r="C10532" s="2"/>
    </row>
    <row r="10533" spans="3:3" x14ac:dyDescent="0.35">
      <c r="C10533" s="2"/>
    </row>
    <row r="10534" spans="3:3" x14ac:dyDescent="0.35">
      <c r="C10534" s="2"/>
    </row>
    <row r="10535" spans="3:3" x14ac:dyDescent="0.35">
      <c r="C10535" s="2"/>
    </row>
    <row r="10536" spans="3:3" x14ac:dyDescent="0.35">
      <c r="C10536" s="2"/>
    </row>
    <row r="10537" spans="3:3" x14ac:dyDescent="0.35">
      <c r="C10537" s="2"/>
    </row>
    <row r="10538" spans="3:3" x14ac:dyDescent="0.35">
      <c r="C10538" s="2"/>
    </row>
    <row r="10539" spans="3:3" x14ac:dyDescent="0.35">
      <c r="C10539" s="2"/>
    </row>
    <row r="10540" spans="3:3" x14ac:dyDescent="0.35">
      <c r="C10540" s="2"/>
    </row>
    <row r="10541" spans="3:3" x14ac:dyDescent="0.35">
      <c r="C10541" s="2"/>
    </row>
    <row r="10542" spans="3:3" x14ac:dyDescent="0.35">
      <c r="C10542" s="2"/>
    </row>
    <row r="10543" spans="3:3" x14ac:dyDescent="0.35">
      <c r="C10543" s="2"/>
    </row>
    <row r="10544" spans="3:3" x14ac:dyDescent="0.35">
      <c r="C10544" s="2"/>
    </row>
    <row r="10545" spans="3:3" x14ac:dyDescent="0.35">
      <c r="C10545" s="2"/>
    </row>
    <row r="10546" spans="3:3" x14ac:dyDescent="0.35">
      <c r="C10546" s="2"/>
    </row>
    <row r="10547" spans="3:3" x14ac:dyDescent="0.35">
      <c r="C10547" s="2"/>
    </row>
    <row r="10548" spans="3:3" x14ac:dyDescent="0.35">
      <c r="C10548" s="2"/>
    </row>
    <row r="10549" spans="3:3" x14ac:dyDescent="0.35">
      <c r="C10549" s="2"/>
    </row>
    <row r="10550" spans="3:3" x14ac:dyDescent="0.35">
      <c r="C10550" s="2"/>
    </row>
    <row r="10551" spans="3:3" x14ac:dyDescent="0.35">
      <c r="C10551" s="2"/>
    </row>
    <row r="10552" spans="3:3" x14ac:dyDescent="0.35">
      <c r="C10552" s="2"/>
    </row>
    <row r="10553" spans="3:3" x14ac:dyDescent="0.35">
      <c r="C10553" s="2"/>
    </row>
    <row r="10554" spans="3:3" x14ac:dyDescent="0.35">
      <c r="C10554" s="2"/>
    </row>
    <row r="10555" spans="3:3" x14ac:dyDescent="0.35">
      <c r="C10555" s="2"/>
    </row>
    <row r="10556" spans="3:3" x14ac:dyDescent="0.35">
      <c r="C10556" s="2"/>
    </row>
    <row r="10557" spans="3:3" x14ac:dyDescent="0.35">
      <c r="C10557" s="2"/>
    </row>
    <row r="10558" spans="3:3" x14ac:dyDescent="0.35">
      <c r="C10558" s="2"/>
    </row>
    <row r="10559" spans="3:3" x14ac:dyDescent="0.35">
      <c r="C10559" s="2"/>
    </row>
    <row r="10560" spans="3:3" x14ac:dyDescent="0.35">
      <c r="C10560" s="2"/>
    </row>
    <row r="10561" spans="3:3" x14ac:dyDescent="0.35">
      <c r="C10561" s="2"/>
    </row>
    <row r="10562" spans="3:3" x14ac:dyDescent="0.35">
      <c r="C10562" s="2"/>
    </row>
    <row r="10563" spans="3:3" x14ac:dyDescent="0.35">
      <c r="C10563" s="2"/>
    </row>
    <row r="10564" spans="3:3" x14ac:dyDescent="0.35">
      <c r="C10564" s="2"/>
    </row>
    <row r="10565" spans="3:3" x14ac:dyDescent="0.35">
      <c r="C10565" s="2"/>
    </row>
    <row r="10566" spans="3:3" x14ac:dyDescent="0.35">
      <c r="C10566" s="2"/>
    </row>
    <row r="10567" spans="3:3" x14ac:dyDescent="0.35">
      <c r="C10567" s="2"/>
    </row>
    <row r="10568" spans="3:3" x14ac:dyDescent="0.35">
      <c r="C10568" s="2"/>
    </row>
    <row r="10569" spans="3:3" x14ac:dyDescent="0.35">
      <c r="C10569" s="2"/>
    </row>
    <row r="10570" spans="3:3" x14ac:dyDescent="0.35">
      <c r="C10570" s="2"/>
    </row>
    <row r="10571" spans="3:3" x14ac:dyDescent="0.35">
      <c r="C10571" s="2"/>
    </row>
    <row r="10572" spans="3:3" x14ac:dyDescent="0.35">
      <c r="C10572" s="2"/>
    </row>
    <row r="10573" spans="3:3" x14ac:dyDescent="0.35">
      <c r="C10573" s="2"/>
    </row>
    <row r="10574" spans="3:3" x14ac:dyDescent="0.35">
      <c r="C10574" s="2"/>
    </row>
    <row r="10575" spans="3:3" x14ac:dyDescent="0.35">
      <c r="C10575" s="2"/>
    </row>
    <row r="10576" spans="3:3" x14ac:dyDescent="0.35">
      <c r="C10576" s="2"/>
    </row>
    <row r="10577" spans="3:3" x14ac:dyDescent="0.35">
      <c r="C10577" s="2"/>
    </row>
    <row r="10578" spans="3:3" x14ac:dyDescent="0.35">
      <c r="C10578" s="2"/>
    </row>
    <row r="10579" spans="3:3" x14ac:dyDescent="0.35">
      <c r="C10579" s="2"/>
    </row>
    <row r="10580" spans="3:3" x14ac:dyDescent="0.35">
      <c r="C10580" s="2"/>
    </row>
    <row r="10581" spans="3:3" x14ac:dyDescent="0.35">
      <c r="C10581" s="2"/>
    </row>
    <row r="10582" spans="3:3" x14ac:dyDescent="0.35">
      <c r="C10582" s="2"/>
    </row>
    <row r="10583" spans="3:3" x14ac:dyDescent="0.35">
      <c r="C10583" s="2"/>
    </row>
    <row r="10584" spans="3:3" x14ac:dyDescent="0.35">
      <c r="C10584" s="2"/>
    </row>
    <row r="10585" spans="3:3" x14ac:dyDescent="0.35">
      <c r="C10585" s="2"/>
    </row>
    <row r="10586" spans="3:3" x14ac:dyDescent="0.35">
      <c r="C10586" s="2"/>
    </row>
    <row r="10587" spans="3:3" x14ac:dyDescent="0.35">
      <c r="C10587" s="2"/>
    </row>
    <row r="10588" spans="3:3" x14ac:dyDescent="0.35">
      <c r="C10588" s="2"/>
    </row>
    <row r="10589" spans="3:3" x14ac:dyDescent="0.35">
      <c r="C10589" s="2"/>
    </row>
    <row r="10590" spans="3:3" x14ac:dyDescent="0.35">
      <c r="C10590" s="2"/>
    </row>
    <row r="10591" spans="3:3" x14ac:dyDescent="0.35">
      <c r="C10591" s="2"/>
    </row>
    <row r="10592" spans="3:3" x14ac:dyDescent="0.35">
      <c r="C10592" s="2"/>
    </row>
    <row r="10593" spans="3:3" x14ac:dyDescent="0.35">
      <c r="C10593" s="2"/>
    </row>
    <row r="10594" spans="3:3" x14ac:dyDescent="0.35">
      <c r="C10594" s="2"/>
    </row>
    <row r="10595" spans="3:3" x14ac:dyDescent="0.35">
      <c r="C10595" s="2"/>
    </row>
    <row r="10596" spans="3:3" x14ac:dyDescent="0.35">
      <c r="C10596" s="2"/>
    </row>
    <row r="10597" spans="3:3" x14ac:dyDescent="0.35">
      <c r="C10597" s="2"/>
    </row>
    <row r="10598" spans="3:3" x14ac:dyDescent="0.35">
      <c r="C10598" s="2"/>
    </row>
    <row r="10599" spans="3:3" x14ac:dyDescent="0.35">
      <c r="C10599" s="2"/>
    </row>
    <row r="10600" spans="3:3" x14ac:dyDescent="0.35">
      <c r="C10600" s="2"/>
    </row>
    <row r="10601" spans="3:3" x14ac:dyDescent="0.35">
      <c r="C10601" s="2"/>
    </row>
    <row r="10602" spans="3:3" x14ac:dyDescent="0.35">
      <c r="C10602" s="2"/>
    </row>
    <row r="10603" spans="3:3" x14ac:dyDescent="0.35">
      <c r="C10603" s="2"/>
    </row>
    <row r="10604" spans="3:3" x14ac:dyDescent="0.35">
      <c r="C10604" s="2"/>
    </row>
    <row r="10605" spans="3:3" x14ac:dyDescent="0.35">
      <c r="C10605" s="2"/>
    </row>
    <row r="10606" spans="3:3" x14ac:dyDescent="0.35">
      <c r="C10606" s="2"/>
    </row>
    <row r="10607" spans="3:3" x14ac:dyDescent="0.35">
      <c r="C10607" s="2"/>
    </row>
    <row r="10608" spans="3:3" x14ac:dyDescent="0.35">
      <c r="C10608" s="2"/>
    </row>
    <row r="10609" spans="3:3" x14ac:dyDescent="0.35">
      <c r="C10609" s="2"/>
    </row>
    <row r="10610" spans="3:3" x14ac:dyDescent="0.35">
      <c r="C10610" s="2"/>
    </row>
    <row r="10611" spans="3:3" x14ac:dyDescent="0.35">
      <c r="C10611" s="2"/>
    </row>
    <row r="10612" spans="3:3" x14ac:dyDescent="0.35">
      <c r="C10612" s="2"/>
    </row>
    <row r="10613" spans="3:3" x14ac:dyDescent="0.35">
      <c r="C10613" s="2"/>
    </row>
    <row r="10614" spans="3:3" x14ac:dyDescent="0.35">
      <c r="C10614" s="2"/>
    </row>
    <row r="10615" spans="3:3" x14ac:dyDescent="0.35">
      <c r="C10615" s="2"/>
    </row>
    <row r="10616" spans="3:3" x14ac:dyDescent="0.35">
      <c r="C10616" s="2"/>
    </row>
    <row r="10617" spans="3:3" x14ac:dyDescent="0.35">
      <c r="C10617" s="2"/>
    </row>
    <row r="10618" spans="3:3" x14ac:dyDescent="0.35">
      <c r="C10618" s="2"/>
    </row>
    <row r="10619" spans="3:3" x14ac:dyDescent="0.35">
      <c r="C10619" s="2"/>
    </row>
    <row r="10620" spans="3:3" x14ac:dyDescent="0.35">
      <c r="C10620" s="2"/>
    </row>
    <row r="10621" spans="3:3" x14ac:dyDescent="0.35">
      <c r="C10621" s="2"/>
    </row>
    <row r="10622" spans="3:3" x14ac:dyDescent="0.35">
      <c r="C10622" s="2"/>
    </row>
    <row r="10623" spans="3:3" x14ac:dyDescent="0.35">
      <c r="C10623" s="2"/>
    </row>
    <row r="10624" spans="3:3" x14ac:dyDescent="0.35">
      <c r="C10624" s="2"/>
    </row>
    <row r="10625" spans="3:3" x14ac:dyDescent="0.35">
      <c r="C10625" s="2"/>
    </row>
    <row r="10626" spans="3:3" x14ac:dyDescent="0.35">
      <c r="C10626" s="2"/>
    </row>
    <row r="10627" spans="3:3" x14ac:dyDescent="0.35">
      <c r="C10627" s="2"/>
    </row>
    <row r="10628" spans="3:3" x14ac:dyDescent="0.35">
      <c r="C10628" s="2"/>
    </row>
    <row r="10629" spans="3:3" x14ac:dyDescent="0.35">
      <c r="C10629" s="2"/>
    </row>
    <row r="10630" spans="3:3" x14ac:dyDescent="0.35">
      <c r="C10630" s="2"/>
    </row>
    <row r="10631" spans="3:3" x14ac:dyDescent="0.35">
      <c r="C10631" s="2"/>
    </row>
    <row r="10632" spans="3:3" x14ac:dyDescent="0.35">
      <c r="C10632" s="2"/>
    </row>
    <row r="10633" spans="3:3" x14ac:dyDescent="0.35">
      <c r="C10633" s="2"/>
    </row>
    <row r="10634" spans="3:3" x14ac:dyDescent="0.35">
      <c r="C10634" s="2"/>
    </row>
    <row r="10635" spans="3:3" x14ac:dyDescent="0.35">
      <c r="C10635" s="2"/>
    </row>
    <row r="10636" spans="3:3" x14ac:dyDescent="0.35">
      <c r="C10636" s="2"/>
    </row>
    <row r="10637" spans="3:3" x14ac:dyDescent="0.35">
      <c r="C10637" s="2"/>
    </row>
    <row r="10638" spans="3:3" x14ac:dyDescent="0.35">
      <c r="C10638" s="2"/>
    </row>
    <row r="10639" spans="3:3" x14ac:dyDescent="0.35">
      <c r="C10639" s="2"/>
    </row>
    <row r="10640" spans="3:3" x14ac:dyDescent="0.35">
      <c r="C10640" s="2"/>
    </row>
    <row r="10641" spans="3:3" x14ac:dyDescent="0.35">
      <c r="C10641" s="2"/>
    </row>
    <row r="10642" spans="3:3" x14ac:dyDescent="0.35">
      <c r="C10642" s="2"/>
    </row>
    <row r="10643" spans="3:3" x14ac:dyDescent="0.35">
      <c r="C10643" s="2"/>
    </row>
    <row r="10644" spans="3:3" x14ac:dyDescent="0.35">
      <c r="C10644" s="2"/>
    </row>
    <row r="10645" spans="3:3" x14ac:dyDescent="0.35">
      <c r="C10645" s="2"/>
    </row>
    <row r="10646" spans="3:3" x14ac:dyDescent="0.35">
      <c r="C10646" s="2"/>
    </row>
    <row r="10647" spans="3:3" x14ac:dyDescent="0.35">
      <c r="C10647" s="2"/>
    </row>
    <row r="10648" spans="3:3" x14ac:dyDescent="0.35">
      <c r="C10648" s="2"/>
    </row>
    <row r="10649" spans="3:3" x14ac:dyDescent="0.35">
      <c r="C10649" s="2"/>
    </row>
    <row r="10650" spans="3:3" x14ac:dyDescent="0.35">
      <c r="C10650" s="2"/>
    </row>
    <row r="10651" spans="3:3" x14ac:dyDescent="0.35">
      <c r="C10651" s="2"/>
    </row>
    <row r="10652" spans="3:3" x14ac:dyDescent="0.35">
      <c r="C10652" s="2"/>
    </row>
    <row r="10653" spans="3:3" x14ac:dyDescent="0.35">
      <c r="C10653" s="2"/>
    </row>
    <row r="10654" spans="3:3" x14ac:dyDescent="0.35">
      <c r="C10654" s="2"/>
    </row>
    <row r="10655" spans="3:3" x14ac:dyDescent="0.35">
      <c r="C10655" s="2"/>
    </row>
    <row r="10656" spans="3:3" x14ac:dyDescent="0.35">
      <c r="C10656" s="2"/>
    </row>
    <row r="10657" spans="3:3" x14ac:dyDescent="0.35">
      <c r="C10657" s="2"/>
    </row>
    <row r="10658" spans="3:3" x14ac:dyDescent="0.35">
      <c r="C10658" s="2"/>
    </row>
    <row r="10659" spans="3:3" x14ac:dyDescent="0.35">
      <c r="C10659" s="2"/>
    </row>
    <row r="10660" spans="3:3" x14ac:dyDescent="0.35">
      <c r="C10660" s="2"/>
    </row>
    <row r="10661" spans="3:3" x14ac:dyDescent="0.35">
      <c r="C10661" s="2"/>
    </row>
    <row r="10662" spans="3:3" x14ac:dyDescent="0.35">
      <c r="C10662" s="2"/>
    </row>
    <row r="10663" spans="3:3" x14ac:dyDescent="0.35">
      <c r="C10663" s="2"/>
    </row>
    <row r="10664" spans="3:3" x14ac:dyDescent="0.35">
      <c r="C10664" s="2"/>
    </row>
    <row r="10665" spans="3:3" x14ac:dyDescent="0.35">
      <c r="C10665" s="2"/>
    </row>
    <row r="10666" spans="3:3" x14ac:dyDescent="0.35">
      <c r="C10666" s="2"/>
    </row>
    <row r="10667" spans="3:3" x14ac:dyDescent="0.35">
      <c r="C10667" s="2"/>
    </row>
    <row r="10668" spans="3:3" x14ac:dyDescent="0.35">
      <c r="C10668" s="2"/>
    </row>
    <row r="10669" spans="3:3" x14ac:dyDescent="0.35">
      <c r="C10669" s="2"/>
    </row>
    <row r="10670" spans="3:3" x14ac:dyDescent="0.35">
      <c r="C10670" s="2"/>
    </row>
    <row r="10671" spans="3:3" x14ac:dyDescent="0.35">
      <c r="C10671" s="2"/>
    </row>
    <row r="10672" spans="3:3" x14ac:dyDescent="0.35">
      <c r="C10672" s="2"/>
    </row>
    <row r="10673" spans="3:3" x14ac:dyDescent="0.35">
      <c r="C10673" s="2"/>
    </row>
    <row r="10674" spans="3:3" x14ac:dyDescent="0.35">
      <c r="C10674" s="2"/>
    </row>
    <row r="10675" spans="3:3" x14ac:dyDescent="0.35">
      <c r="C10675" s="2"/>
    </row>
    <row r="10676" spans="3:3" x14ac:dyDescent="0.35">
      <c r="C10676" s="2"/>
    </row>
    <row r="10677" spans="3:3" x14ac:dyDescent="0.35">
      <c r="C10677" s="2"/>
    </row>
    <row r="10678" spans="3:3" x14ac:dyDescent="0.35">
      <c r="C10678" s="2"/>
    </row>
    <row r="10679" spans="3:3" x14ac:dyDescent="0.35">
      <c r="C10679" s="2"/>
    </row>
    <row r="10680" spans="3:3" x14ac:dyDescent="0.35">
      <c r="C10680" s="2"/>
    </row>
    <row r="10681" spans="3:3" x14ac:dyDescent="0.35">
      <c r="C10681" s="2"/>
    </row>
    <row r="10682" spans="3:3" x14ac:dyDescent="0.35">
      <c r="C10682" s="2"/>
    </row>
    <row r="10683" spans="3:3" x14ac:dyDescent="0.35">
      <c r="C10683" s="2"/>
    </row>
    <row r="10684" spans="3:3" x14ac:dyDescent="0.35">
      <c r="C10684" s="2"/>
    </row>
    <row r="10685" spans="3:3" x14ac:dyDescent="0.35">
      <c r="C10685" s="2"/>
    </row>
    <row r="10686" spans="3:3" x14ac:dyDescent="0.35">
      <c r="C10686" s="2"/>
    </row>
    <row r="10687" spans="3:3" x14ac:dyDescent="0.35">
      <c r="C10687" s="2"/>
    </row>
    <row r="10688" spans="3:3" x14ac:dyDescent="0.35">
      <c r="C10688" s="2"/>
    </row>
    <row r="10689" spans="3:3" x14ac:dyDescent="0.35">
      <c r="C10689" s="2"/>
    </row>
    <row r="10690" spans="3:3" x14ac:dyDescent="0.35">
      <c r="C10690" s="2"/>
    </row>
    <row r="10691" spans="3:3" x14ac:dyDescent="0.35">
      <c r="C10691" s="2"/>
    </row>
    <row r="10692" spans="3:3" x14ac:dyDescent="0.35">
      <c r="C10692" s="2"/>
    </row>
    <row r="10693" spans="3:3" x14ac:dyDescent="0.35">
      <c r="C10693" s="2"/>
    </row>
    <row r="10694" spans="3:3" x14ac:dyDescent="0.35">
      <c r="C10694" s="2"/>
    </row>
    <row r="10695" spans="3:3" x14ac:dyDescent="0.35">
      <c r="C10695" s="2"/>
    </row>
    <row r="10696" spans="3:3" x14ac:dyDescent="0.35">
      <c r="C10696" s="2"/>
    </row>
    <row r="10697" spans="3:3" x14ac:dyDescent="0.35">
      <c r="C10697" s="2"/>
    </row>
    <row r="10698" spans="3:3" x14ac:dyDescent="0.35">
      <c r="C10698" s="2"/>
    </row>
    <row r="10699" spans="3:3" x14ac:dyDescent="0.35">
      <c r="C10699" s="2"/>
    </row>
    <row r="10700" spans="3:3" x14ac:dyDescent="0.35">
      <c r="C10700" s="2"/>
    </row>
    <row r="10701" spans="3:3" x14ac:dyDescent="0.35">
      <c r="C10701" s="2"/>
    </row>
    <row r="10702" spans="3:3" x14ac:dyDescent="0.35">
      <c r="C10702" s="2"/>
    </row>
    <row r="10703" spans="3:3" x14ac:dyDescent="0.35">
      <c r="C10703" s="2"/>
    </row>
    <row r="10704" spans="3:3" x14ac:dyDescent="0.35">
      <c r="C10704" s="2"/>
    </row>
    <row r="10705" spans="3:3" x14ac:dyDescent="0.35">
      <c r="C10705" s="2"/>
    </row>
    <row r="10706" spans="3:3" x14ac:dyDescent="0.35">
      <c r="C10706" s="2"/>
    </row>
    <row r="10707" spans="3:3" x14ac:dyDescent="0.35">
      <c r="C10707" s="2"/>
    </row>
    <row r="10708" spans="3:3" x14ac:dyDescent="0.35">
      <c r="C10708" s="2"/>
    </row>
    <row r="10709" spans="3:3" x14ac:dyDescent="0.35">
      <c r="C10709" s="2"/>
    </row>
    <row r="10710" spans="3:3" x14ac:dyDescent="0.35">
      <c r="C10710" s="2"/>
    </row>
    <row r="10711" spans="3:3" x14ac:dyDescent="0.35">
      <c r="C10711" s="2"/>
    </row>
    <row r="10712" spans="3:3" x14ac:dyDescent="0.35">
      <c r="C10712" s="2"/>
    </row>
    <row r="10713" spans="3:3" x14ac:dyDescent="0.35">
      <c r="C10713" s="2"/>
    </row>
    <row r="10714" spans="3:3" x14ac:dyDescent="0.35">
      <c r="C10714" s="2"/>
    </row>
    <row r="10715" spans="3:3" x14ac:dyDescent="0.35">
      <c r="C10715" s="2"/>
    </row>
    <row r="10716" spans="3:3" x14ac:dyDescent="0.35">
      <c r="C10716" s="2"/>
    </row>
    <row r="10717" spans="3:3" x14ac:dyDescent="0.35">
      <c r="C10717" s="2"/>
    </row>
    <row r="10718" spans="3:3" x14ac:dyDescent="0.35">
      <c r="C10718" s="2"/>
    </row>
    <row r="10719" spans="3:3" x14ac:dyDescent="0.35">
      <c r="C10719" s="2"/>
    </row>
    <row r="10720" spans="3:3" x14ac:dyDescent="0.35">
      <c r="C10720" s="2"/>
    </row>
    <row r="10721" spans="3:3" x14ac:dyDescent="0.35">
      <c r="C10721" s="2"/>
    </row>
    <row r="10722" spans="3:3" x14ac:dyDescent="0.35">
      <c r="C10722" s="2"/>
    </row>
    <row r="10723" spans="3:3" x14ac:dyDescent="0.35">
      <c r="C10723" s="2"/>
    </row>
    <row r="10724" spans="3:3" x14ac:dyDescent="0.35">
      <c r="C10724" s="2"/>
    </row>
    <row r="10725" spans="3:3" x14ac:dyDescent="0.35">
      <c r="C10725" s="2"/>
    </row>
    <row r="10726" spans="3:3" x14ac:dyDescent="0.35">
      <c r="C10726" s="2"/>
    </row>
    <row r="10727" spans="3:3" x14ac:dyDescent="0.35">
      <c r="C10727" s="2"/>
    </row>
    <row r="10728" spans="3:3" x14ac:dyDescent="0.35">
      <c r="C10728" s="2"/>
    </row>
    <row r="10729" spans="3:3" x14ac:dyDescent="0.35">
      <c r="C10729" s="2"/>
    </row>
    <row r="10730" spans="3:3" x14ac:dyDescent="0.35">
      <c r="C10730" s="2"/>
    </row>
    <row r="10731" spans="3:3" x14ac:dyDescent="0.35">
      <c r="C10731" s="2"/>
    </row>
    <row r="10732" spans="3:3" x14ac:dyDescent="0.35">
      <c r="C10732" s="2"/>
    </row>
    <row r="10733" spans="3:3" x14ac:dyDescent="0.35">
      <c r="C10733" s="2"/>
    </row>
    <row r="10734" spans="3:3" x14ac:dyDescent="0.35">
      <c r="C10734" s="2"/>
    </row>
    <row r="10735" spans="3:3" x14ac:dyDescent="0.35">
      <c r="C10735" s="2"/>
    </row>
    <row r="10736" spans="3:3" x14ac:dyDescent="0.35">
      <c r="C10736" s="2"/>
    </row>
    <row r="10737" spans="3:3" x14ac:dyDescent="0.35">
      <c r="C10737" s="2"/>
    </row>
    <row r="10738" spans="3:3" x14ac:dyDescent="0.35">
      <c r="C10738" s="2"/>
    </row>
    <row r="10739" spans="3:3" x14ac:dyDescent="0.35">
      <c r="C10739" s="2"/>
    </row>
    <row r="10740" spans="3:3" x14ac:dyDescent="0.35">
      <c r="C10740" s="2"/>
    </row>
    <row r="10741" spans="3:3" x14ac:dyDescent="0.35">
      <c r="C10741" s="2"/>
    </row>
    <row r="10742" spans="3:3" x14ac:dyDescent="0.35">
      <c r="C10742" s="2"/>
    </row>
    <row r="10743" spans="3:3" x14ac:dyDescent="0.35">
      <c r="C10743" s="2"/>
    </row>
    <row r="10744" spans="3:3" x14ac:dyDescent="0.35">
      <c r="C10744" s="2"/>
    </row>
    <row r="10745" spans="3:3" x14ac:dyDescent="0.35">
      <c r="C10745" s="2"/>
    </row>
    <row r="10746" spans="3:3" x14ac:dyDescent="0.35">
      <c r="C10746" s="2"/>
    </row>
    <row r="10747" spans="3:3" x14ac:dyDescent="0.35">
      <c r="C10747" s="2"/>
    </row>
    <row r="10748" spans="3:3" x14ac:dyDescent="0.35">
      <c r="C10748" s="2"/>
    </row>
    <row r="10749" spans="3:3" x14ac:dyDescent="0.35">
      <c r="C10749" s="2"/>
    </row>
    <row r="10750" spans="3:3" x14ac:dyDescent="0.35">
      <c r="C10750" s="2"/>
    </row>
    <row r="10751" spans="3:3" x14ac:dyDescent="0.35">
      <c r="C10751" s="2"/>
    </row>
    <row r="10752" spans="3:3" x14ac:dyDescent="0.35">
      <c r="C10752" s="2"/>
    </row>
    <row r="10753" spans="3:3" x14ac:dyDescent="0.35">
      <c r="C10753" s="2"/>
    </row>
    <row r="10754" spans="3:3" x14ac:dyDescent="0.35">
      <c r="C10754" s="2"/>
    </row>
    <row r="10755" spans="3:3" x14ac:dyDescent="0.35">
      <c r="C10755" s="2"/>
    </row>
    <row r="10756" spans="3:3" x14ac:dyDescent="0.35">
      <c r="C10756" s="2"/>
    </row>
    <row r="10757" spans="3:3" x14ac:dyDescent="0.35">
      <c r="C10757" s="2"/>
    </row>
    <row r="10758" spans="3:3" x14ac:dyDescent="0.35">
      <c r="C10758" s="2"/>
    </row>
    <row r="10759" spans="3:3" x14ac:dyDescent="0.35">
      <c r="C10759" s="2"/>
    </row>
    <row r="10760" spans="3:3" x14ac:dyDescent="0.35">
      <c r="C10760" s="2"/>
    </row>
    <row r="10761" spans="3:3" x14ac:dyDescent="0.35">
      <c r="C10761" s="2"/>
    </row>
    <row r="10762" spans="3:3" x14ac:dyDescent="0.35">
      <c r="C10762" s="2"/>
    </row>
    <row r="10763" spans="3:3" x14ac:dyDescent="0.35">
      <c r="C10763" s="2"/>
    </row>
    <row r="10764" spans="3:3" x14ac:dyDescent="0.35">
      <c r="C10764" s="2"/>
    </row>
    <row r="10765" spans="3:3" x14ac:dyDescent="0.35">
      <c r="C10765" s="2"/>
    </row>
    <row r="10766" spans="3:3" x14ac:dyDescent="0.35">
      <c r="C10766" s="2"/>
    </row>
    <row r="10767" spans="3:3" x14ac:dyDescent="0.35">
      <c r="C10767" s="2"/>
    </row>
    <row r="10768" spans="3:3" x14ac:dyDescent="0.35">
      <c r="C10768" s="2"/>
    </row>
    <row r="10769" spans="3:3" x14ac:dyDescent="0.35">
      <c r="C10769" s="2"/>
    </row>
    <row r="10770" spans="3:3" x14ac:dyDescent="0.35">
      <c r="C10770" s="2"/>
    </row>
    <row r="10771" spans="3:3" x14ac:dyDescent="0.35">
      <c r="C10771" s="2"/>
    </row>
    <row r="10772" spans="3:3" x14ac:dyDescent="0.35">
      <c r="C10772" s="2"/>
    </row>
    <row r="10773" spans="3:3" x14ac:dyDescent="0.35">
      <c r="C10773" s="2"/>
    </row>
    <row r="10774" spans="3:3" x14ac:dyDescent="0.35">
      <c r="C10774" s="2"/>
    </row>
    <row r="10775" spans="3:3" x14ac:dyDescent="0.35">
      <c r="C10775" s="2"/>
    </row>
    <row r="10776" spans="3:3" x14ac:dyDescent="0.35">
      <c r="C10776" s="2"/>
    </row>
    <row r="10777" spans="3:3" x14ac:dyDescent="0.35">
      <c r="C10777" s="2"/>
    </row>
    <row r="10778" spans="3:3" x14ac:dyDescent="0.35">
      <c r="C10778" s="2"/>
    </row>
    <row r="10779" spans="3:3" x14ac:dyDescent="0.35">
      <c r="C10779" s="2"/>
    </row>
    <row r="10780" spans="3:3" x14ac:dyDescent="0.35">
      <c r="C10780" s="2"/>
    </row>
    <row r="10781" spans="3:3" x14ac:dyDescent="0.35">
      <c r="C10781" s="2"/>
    </row>
    <row r="10782" spans="3:3" x14ac:dyDescent="0.35">
      <c r="C10782" s="2"/>
    </row>
    <row r="10783" spans="3:3" x14ac:dyDescent="0.35">
      <c r="C10783" s="2"/>
    </row>
    <row r="10784" spans="3:3" x14ac:dyDescent="0.35">
      <c r="C10784" s="2"/>
    </row>
    <row r="10785" spans="3:3" x14ac:dyDescent="0.35">
      <c r="C10785" s="2"/>
    </row>
    <row r="10786" spans="3:3" x14ac:dyDescent="0.35">
      <c r="C10786" s="2"/>
    </row>
    <row r="10787" spans="3:3" x14ac:dyDescent="0.35">
      <c r="C10787" s="2"/>
    </row>
    <row r="10788" spans="3:3" x14ac:dyDescent="0.35">
      <c r="C10788" s="2"/>
    </row>
    <row r="10789" spans="3:3" x14ac:dyDescent="0.35">
      <c r="C10789" s="2"/>
    </row>
    <row r="10790" spans="3:3" x14ac:dyDescent="0.35">
      <c r="C10790" s="2"/>
    </row>
    <row r="10791" spans="3:3" x14ac:dyDescent="0.35">
      <c r="C10791" s="2"/>
    </row>
    <row r="10792" spans="3:3" x14ac:dyDescent="0.35">
      <c r="C10792" s="2"/>
    </row>
    <row r="10793" spans="3:3" x14ac:dyDescent="0.35">
      <c r="C10793" s="2"/>
    </row>
    <row r="10794" spans="3:3" x14ac:dyDescent="0.35">
      <c r="C10794" s="2"/>
    </row>
    <row r="10795" spans="3:3" x14ac:dyDescent="0.35">
      <c r="C10795" s="2"/>
    </row>
    <row r="10796" spans="3:3" x14ac:dyDescent="0.35">
      <c r="C10796" s="2"/>
    </row>
    <row r="10797" spans="3:3" x14ac:dyDescent="0.35">
      <c r="C10797" s="2"/>
    </row>
    <row r="10798" spans="3:3" x14ac:dyDescent="0.35">
      <c r="C10798" s="2"/>
    </row>
    <row r="10799" spans="3:3" x14ac:dyDescent="0.35">
      <c r="C10799" s="2"/>
    </row>
    <row r="10800" spans="3:3" x14ac:dyDescent="0.35">
      <c r="C10800" s="2"/>
    </row>
    <row r="10801" spans="3:3" x14ac:dyDescent="0.35">
      <c r="C10801" s="2"/>
    </row>
    <row r="10802" spans="3:3" x14ac:dyDescent="0.35">
      <c r="C10802" s="2"/>
    </row>
    <row r="10803" spans="3:3" x14ac:dyDescent="0.35">
      <c r="C10803" s="2"/>
    </row>
    <row r="10804" spans="3:3" x14ac:dyDescent="0.35">
      <c r="C10804" s="2"/>
    </row>
    <row r="10805" spans="3:3" x14ac:dyDescent="0.35">
      <c r="C10805" s="2"/>
    </row>
    <row r="10806" spans="3:3" x14ac:dyDescent="0.35">
      <c r="C10806" s="2"/>
    </row>
    <row r="10807" spans="3:3" x14ac:dyDescent="0.35">
      <c r="C10807" s="2"/>
    </row>
    <row r="10808" spans="3:3" x14ac:dyDescent="0.35">
      <c r="C10808" s="2"/>
    </row>
    <row r="10809" spans="3:3" x14ac:dyDescent="0.35">
      <c r="C10809" s="2"/>
    </row>
    <row r="10810" spans="3:3" x14ac:dyDescent="0.35">
      <c r="C10810" s="2"/>
    </row>
    <row r="10811" spans="3:3" x14ac:dyDescent="0.35">
      <c r="C10811" s="2"/>
    </row>
    <row r="10812" spans="3:3" x14ac:dyDescent="0.35">
      <c r="C10812" s="2"/>
    </row>
    <row r="10813" spans="3:3" x14ac:dyDescent="0.35">
      <c r="C10813" s="2"/>
    </row>
    <row r="10814" spans="3:3" x14ac:dyDescent="0.35">
      <c r="C10814" s="2"/>
    </row>
    <row r="10815" spans="3:3" x14ac:dyDescent="0.35">
      <c r="C10815" s="2"/>
    </row>
    <row r="10816" spans="3:3" x14ac:dyDescent="0.35">
      <c r="C10816" s="2"/>
    </row>
    <row r="10817" spans="3:3" x14ac:dyDescent="0.35">
      <c r="C10817" s="2"/>
    </row>
    <row r="10818" spans="3:3" x14ac:dyDescent="0.35">
      <c r="C10818" s="2"/>
    </row>
    <row r="10819" spans="3:3" x14ac:dyDescent="0.35">
      <c r="C10819" s="2"/>
    </row>
    <row r="10820" spans="3:3" x14ac:dyDescent="0.35">
      <c r="C10820" s="2"/>
    </row>
    <row r="10821" spans="3:3" x14ac:dyDescent="0.35">
      <c r="C10821" s="2"/>
    </row>
    <row r="10822" spans="3:3" x14ac:dyDescent="0.35">
      <c r="C10822" s="2"/>
    </row>
    <row r="10823" spans="3:3" x14ac:dyDescent="0.35">
      <c r="C10823" s="2"/>
    </row>
    <row r="10824" spans="3:3" x14ac:dyDescent="0.35">
      <c r="C10824" s="2"/>
    </row>
    <row r="10825" spans="3:3" x14ac:dyDescent="0.35">
      <c r="C10825" s="2"/>
    </row>
    <row r="10826" spans="3:3" x14ac:dyDescent="0.35">
      <c r="C10826" s="2"/>
    </row>
    <row r="10827" spans="3:3" x14ac:dyDescent="0.35">
      <c r="C10827" s="2"/>
    </row>
    <row r="10828" spans="3:3" x14ac:dyDescent="0.35">
      <c r="C10828" s="2"/>
    </row>
    <row r="10829" spans="3:3" x14ac:dyDescent="0.35">
      <c r="C10829" s="2"/>
    </row>
    <row r="10830" spans="3:3" x14ac:dyDescent="0.35">
      <c r="C10830" s="2"/>
    </row>
    <row r="10831" spans="3:3" x14ac:dyDescent="0.35">
      <c r="C10831" s="2"/>
    </row>
    <row r="10832" spans="3:3" x14ac:dyDescent="0.35">
      <c r="C10832" s="2"/>
    </row>
    <row r="10833" spans="3:3" x14ac:dyDescent="0.35">
      <c r="C10833" s="2"/>
    </row>
    <row r="10834" spans="3:3" x14ac:dyDescent="0.35">
      <c r="C10834" s="2"/>
    </row>
    <row r="10835" spans="3:3" x14ac:dyDescent="0.35">
      <c r="C10835" s="2"/>
    </row>
    <row r="10836" spans="3:3" x14ac:dyDescent="0.35">
      <c r="C10836" s="2"/>
    </row>
    <row r="10837" spans="3:3" x14ac:dyDescent="0.35">
      <c r="C10837" s="2"/>
    </row>
    <row r="10838" spans="3:3" x14ac:dyDescent="0.35">
      <c r="C10838" s="2"/>
    </row>
    <row r="10839" spans="3:3" x14ac:dyDescent="0.35">
      <c r="C10839" s="2"/>
    </row>
    <row r="10840" spans="3:3" x14ac:dyDescent="0.35">
      <c r="C10840" s="2"/>
    </row>
    <row r="10841" spans="3:3" x14ac:dyDescent="0.35">
      <c r="C10841" s="2"/>
    </row>
    <row r="10842" spans="3:3" x14ac:dyDescent="0.35">
      <c r="C10842" s="2"/>
    </row>
    <row r="10843" spans="3:3" x14ac:dyDescent="0.35">
      <c r="C10843" s="2"/>
    </row>
    <row r="10844" spans="3:3" x14ac:dyDescent="0.35">
      <c r="C10844" s="2"/>
    </row>
    <row r="10845" spans="3:3" x14ac:dyDescent="0.35">
      <c r="C10845" s="2"/>
    </row>
    <row r="10846" spans="3:3" x14ac:dyDescent="0.35">
      <c r="C10846" s="2"/>
    </row>
    <row r="10847" spans="3:3" x14ac:dyDescent="0.35">
      <c r="C10847" s="2"/>
    </row>
    <row r="10848" spans="3:3" x14ac:dyDescent="0.35">
      <c r="C10848" s="2"/>
    </row>
    <row r="10849" spans="3:3" x14ac:dyDescent="0.35">
      <c r="C10849" s="2"/>
    </row>
    <row r="10850" spans="3:3" x14ac:dyDescent="0.35">
      <c r="C10850" s="2"/>
    </row>
    <row r="10851" spans="3:3" x14ac:dyDescent="0.35">
      <c r="C10851" s="2"/>
    </row>
    <row r="10852" spans="3:3" x14ac:dyDescent="0.35">
      <c r="C10852" s="2"/>
    </row>
    <row r="10853" spans="3:3" x14ac:dyDescent="0.35">
      <c r="C10853" s="2"/>
    </row>
    <row r="10854" spans="3:3" x14ac:dyDescent="0.35">
      <c r="C10854" s="2"/>
    </row>
    <row r="10855" spans="3:3" x14ac:dyDescent="0.35">
      <c r="C10855" s="2"/>
    </row>
    <row r="10856" spans="3:3" x14ac:dyDescent="0.35">
      <c r="C10856" s="2"/>
    </row>
    <row r="10857" spans="3:3" x14ac:dyDescent="0.35">
      <c r="C10857" s="2"/>
    </row>
    <row r="10858" spans="3:3" x14ac:dyDescent="0.35">
      <c r="C10858" s="2"/>
    </row>
    <row r="10859" spans="3:3" x14ac:dyDescent="0.35">
      <c r="C10859" s="2"/>
    </row>
    <row r="10860" spans="3:3" x14ac:dyDescent="0.35">
      <c r="C10860" s="2"/>
    </row>
    <row r="10861" spans="3:3" x14ac:dyDescent="0.35">
      <c r="C10861" s="2"/>
    </row>
    <row r="10862" spans="3:3" x14ac:dyDescent="0.35">
      <c r="C10862" s="2"/>
    </row>
    <row r="10863" spans="3:3" x14ac:dyDescent="0.35">
      <c r="C10863" s="2"/>
    </row>
    <row r="10864" spans="3:3" x14ac:dyDescent="0.35">
      <c r="C10864" s="2"/>
    </row>
    <row r="10865" spans="3:3" x14ac:dyDescent="0.35">
      <c r="C10865" s="2"/>
    </row>
    <row r="10866" spans="3:3" x14ac:dyDescent="0.35">
      <c r="C10866" s="2"/>
    </row>
    <row r="10867" spans="3:3" x14ac:dyDescent="0.35">
      <c r="C10867" s="2"/>
    </row>
    <row r="10868" spans="3:3" x14ac:dyDescent="0.35">
      <c r="C10868" s="2"/>
    </row>
    <row r="10869" spans="3:3" x14ac:dyDescent="0.35">
      <c r="C10869" s="2"/>
    </row>
    <row r="10870" spans="3:3" x14ac:dyDescent="0.35">
      <c r="C10870" s="2"/>
    </row>
    <row r="10871" spans="3:3" x14ac:dyDescent="0.35">
      <c r="C10871" s="2"/>
    </row>
    <row r="10872" spans="3:3" x14ac:dyDescent="0.35">
      <c r="C10872" s="2"/>
    </row>
    <row r="10873" spans="3:3" x14ac:dyDescent="0.35">
      <c r="C10873" s="2"/>
    </row>
    <row r="10874" spans="3:3" x14ac:dyDescent="0.35">
      <c r="C10874" s="2"/>
    </row>
    <row r="10875" spans="3:3" x14ac:dyDescent="0.35">
      <c r="C10875" s="2"/>
    </row>
    <row r="10876" spans="3:3" x14ac:dyDescent="0.35">
      <c r="C10876" s="2"/>
    </row>
    <row r="10877" spans="3:3" x14ac:dyDescent="0.35">
      <c r="C10877" s="2"/>
    </row>
    <row r="10878" spans="3:3" x14ac:dyDescent="0.35">
      <c r="C10878" s="2"/>
    </row>
    <row r="10879" spans="3:3" x14ac:dyDescent="0.35">
      <c r="C10879" s="2"/>
    </row>
    <row r="10880" spans="3:3" x14ac:dyDescent="0.35">
      <c r="C10880" s="2"/>
    </row>
    <row r="10881" spans="3:3" x14ac:dyDescent="0.35">
      <c r="C10881" s="2"/>
    </row>
    <row r="10882" spans="3:3" x14ac:dyDescent="0.35">
      <c r="C10882" s="2"/>
    </row>
    <row r="10883" spans="3:3" x14ac:dyDescent="0.35">
      <c r="C10883" s="2"/>
    </row>
    <row r="10884" spans="3:3" x14ac:dyDescent="0.35">
      <c r="C10884" s="2"/>
    </row>
    <row r="10885" spans="3:3" x14ac:dyDescent="0.35">
      <c r="C10885" s="2"/>
    </row>
    <row r="10886" spans="3:3" x14ac:dyDescent="0.35">
      <c r="C10886" s="2"/>
    </row>
    <row r="10887" spans="3:3" x14ac:dyDescent="0.35">
      <c r="C10887" s="2"/>
    </row>
    <row r="10888" spans="3:3" x14ac:dyDescent="0.35">
      <c r="C10888" s="2"/>
    </row>
    <row r="10889" spans="3:3" x14ac:dyDescent="0.35">
      <c r="C10889" s="2"/>
    </row>
    <row r="10890" spans="3:3" x14ac:dyDescent="0.35">
      <c r="C10890" s="2"/>
    </row>
    <row r="10891" spans="3:3" x14ac:dyDescent="0.35">
      <c r="C10891" s="2"/>
    </row>
    <row r="10892" spans="3:3" x14ac:dyDescent="0.35">
      <c r="C10892" s="2"/>
    </row>
    <row r="10893" spans="3:3" x14ac:dyDescent="0.35">
      <c r="C10893" s="2"/>
    </row>
    <row r="10894" spans="3:3" x14ac:dyDescent="0.35">
      <c r="C10894" s="2"/>
    </row>
    <row r="10895" spans="3:3" x14ac:dyDescent="0.35">
      <c r="C10895" s="2"/>
    </row>
    <row r="10896" spans="3:3" x14ac:dyDescent="0.35">
      <c r="C10896" s="2"/>
    </row>
    <row r="10897" spans="3:3" x14ac:dyDescent="0.35">
      <c r="C10897" s="2"/>
    </row>
    <row r="10898" spans="3:3" x14ac:dyDescent="0.35">
      <c r="C10898" s="2"/>
    </row>
    <row r="10899" spans="3:3" x14ac:dyDescent="0.35">
      <c r="C10899" s="2"/>
    </row>
    <row r="10900" spans="3:3" x14ac:dyDescent="0.35">
      <c r="C10900" s="2"/>
    </row>
    <row r="10901" spans="3:3" x14ac:dyDescent="0.35">
      <c r="C10901" s="2"/>
    </row>
    <row r="10902" spans="3:3" x14ac:dyDescent="0.35">
      <c r="C10902" s="2"/>
    </row>
    <row r="10903" spans="3:3" x14ac:dyDescent="0.35">
      <c r="C10903" s="2"/>
    </row>
    <row r="10904" spans="3:3" x14ac:dyDescent="0.35">
      <c r="C10904" s="2"/>
    </row>
    <row r="10905" spans="3:3" x14ac:dyDescent="0.35">
      <c r="C10905" s="2"/>
    </row>
    <row r="10906" spans="3:3" x14ac:dyDescent="0.35">
      <c r="C10906" s="2"/>
    </row>
    <row r="10907" spans="3:3" x14ac:dyDescent="0.35">
      <c r="C10907" s="2"/>
    </row>
    <row r="10908" spans="3:3" x14ac:dyDescent="0.35">
      <c r="C10908" s="2"/>
    </row>
    <row r="10909" spans="3:3" x14ac:dyDescent="0.35">
      <c r="C10909" s="2"/>
    </row>
    <row r="10910" spans="3:3" x14ac:dyDescent="0.35">
      <c r="C10910" s="2"/>
    </row>
    <row r="10911" spans="3:3" x14ac:dyDescent="0.35">
      <c r="C10911" s="2"/>
    </row>
    <row r="10912" spans="3:3" x14ac:dyDescent="0.35">
      <c r="C10912" s="2"/>
    </row>
    <row r="10913" spans="3:3" x14ac:dyDescent="0.35">
      <c r="C10913" s="2"/>
    </row>
    <row r="10914" spans="3:3" x14ac:dyDescent="0.35">
      <c r="C10914" s="2"/>
    </row>
    <row r="10915" spans="3:3" x14ac:dyDescent="0.35">
      <c r="C10915" s="2"/>
    </row>
    <row r="10916" spans="3:3" x14ac:dyDescent="0.35">
      <c r="C10916" s="2"/>
    </row>
    <row r="10917" spans="3:3" x14ac:dyDescent="0.35">
      <c r="C10917" s="2"/>
    </row>
    <row r="10918" spans="3:3" x14ac:dyDescent="0.35">
      <c r="C10918" s="2"/>
    </row>
    <row r="10919" spans="3:3" x14ac:dyDescent="0.35">
      <c r="C10919" s="2"/>
    </row>
    <row r="10920" spans="3:3" x14ac:dyDescent="0.35">
      <c r="C10920" s="2"/>
    </row>
    <row r="10921" spans="3:3" x14ac:dyDescent="0.35">
      <c r="C10921" s="2"/>
    </row>
    <row r="10922" spans="3:3" x14ac:dyDescent="0.35">
      <c r="C10922" s="2"/>
    </row>
    <row r="10923" spans="3:3" x14ac:dyDescent="0.35">
      <c r="C10923" s="2"/>
    </row>
    <row r="10924" spans="3:3" x14ac:dyDescent="0.35">
      <c r="C10924" s="2"/>
    </row>
    <row r="10925" spans="3:3" x14ac:dyDescent="0.35">
      <c r="C10925" s="2"/>
    </row>
    <row r="10926" spans="3:3" x14ac:dyDescent="0.35">
      <c r="C10926" s="2"/>
    </row>
    <row r="10927" spans="3:3" x14ac:dyDescent="0.35">
      <c r="C10927" s="2"/>
    </row>
    <row r="10928" spans="3:3" x14ac:dyDescent="0.35">
      <c r="C10928" s="2"/>
    </row>
    <row r="10929" spans="3:3" x14ac:dyDescent="0.35">
      <c r="C10929" s="2"/>
    </row>
    <row r="10930" spans="3:3" x14ac:dyDescent="0.35">
      <c r="C10930" s="2"/>
    </row>
    <row r="10931" spans="3:3" x14ac:dyDescent="0.35">
      <c r="C10931" s="2"/>
    </row>
    <row r="10932" spans="3:3" x14ac:dyDescent="0.35">
      <c r="C10932" s="2"/>
    </row>
    <row r="10933" spans="3:3" x14ac:dyDescent="0.35">
      <c r="C10933" s="2"/>
    </row>
    <row r="10934" spans="3:3" x14ac:dyDescent="0.35">
      <c r="C10934" s="2"/>
    </row>
    <row r="10935" spans="3:3" x14ac:dyDescent="0.35">
      <c r="C10935" s="2"/>
    </row>
    <row r="10936" spans="3:3" x14ac:dyDescent="0.35">
      <c r="C10936" s="2"/>
    </row>
    <row r="10937" spans="3:3" x14ac:dyDescent="0.35">
      <c r="C10937" s="2"/>
    </row>
    <row r="10938" spans="3:3" x14ac:dyDescent="0.35">
      <c r="C10938" s="2"/>
    </row>
    <row r="10939" spans="3:3" x14ac:dyDescent="0.35">
      <c r="C10939" s="2"/>
    </row>
    <row r="10940" spans="3:3" x14ac:dyDescent="0.35">
      <c r="C10940" s="2"/>
    </row>
    <row r="10941" spans="3:3" x14ac:dyDescent="0.35">
      <c r="C10941" s="2"/>
    </row>
    <row r="10942" spans="3:3" x14ac:dyDescent="0.35">
      <c r="C10942" s="2"/>
    </row>
    <row r="10943" spans="3:3" x14ac:dyDescent="0.35">
      <c r="C10943" s="2"/>
    </row>
    <row r="10944" spans="3:3" x14ac:dyDescent="0.35">
      <c r="C10944" s="2"/>
    </row>
    <row r="10945" spans="3:3" x14ac:dyDescent="0.35">
      <c r="C10945" s="2"/>
    </row>
    <row r="10946" spans="3:3" x14ac:dyDescent="0.35">
      <c r="C10946" s="2"/>
    </row>
    <row r="10947" spans="3:3" x14ac:dyDescent="0.35">
      <c r="C10947" s="2"/>
    </row>
    <row r="10948" spans="3:3" x14ac:dyDescent="0.35">
      <c r="C10948" s="2"/>
    </row>
    <row r="10949" spans="3:3" x14ac:dyDescent="0.35">
      <c r="C10949" s="2"/>
    </row>
    <row r="10950" spans="3:3" x14ac:dyDescent="0.35">
      <c r="C10950" s="2"/>
    </row>
    <row r="10951" spans="3:3" x14ac:dyDescent="0.35">
      <c r="C10951" s="2"/>
    </row>
    <row r="10952" spans="3:3" x14ac:dyDescent="0.35">
      <c r="C10952" s="2"/>
    </row>
    <row r="10953" spans="3:3" x14ac:dyDescent="0.35">
      <c r="C10953" s="2"/>
    </row>
    <row r="10954" spans="3:3" x14ac:dyDescent="0.35">
      <c r="C10954" s="2"/>
    </row>
    <row r="10955" spans="3:3" x14ac:dyDescent="0.35">
      <c r="C10955" s="2"/>
    </row>
    <row r="10956" spans="3:3" x14ac:dyDescent="0.35">
      <c r="C10956" s="2"/>
    </row>
    <row r="10957" spans="3:3" x14ac:dyDescent="0.35">
      <c r="C10957" s="2"/>
    </row>
    <row r="10958" spans="3:3" x14ac:dyDescent="0.35">
      <c r="C10958" s="2"/>
    </row>
    <row r="10959" spans="3:3" x14ac:dyDescent="0.35">
      <c r="C10959" s="2"/>
    </row>
    <row r="10960" spans="3:3" x14ac:dyDescent="0.35">
      <c r="C10960" s="2"/>
    </row>
    <row r="10961" spans="3:3" x14ac:dyDescent="0.35">
      <c r="C10961" s="2"/>
    </row>
    <row r="10962" spans="3:3" x14ac:dyDescent="0.35">
      <c r="C10962" s="2"/>
    </row>
    <row r="10963" spans="3:3" x14ac:dyDescent="0.35">
      <c r="C10963" s="2"/>
    </row>
    <row r="10964" spans="3:3" x14ac:dyDescent="0.35">
      <c r="C10964" s="2"/>
    </row>
    <row r="10965" spans="3:3" x14ac:dyDescent="0.35">
      <c r="C10965" s="2"/>
    </row>
    <row r="10966" spans="3:3" x14ac:dyDescent="0.35">
      <c r="C10966" s="2"/>
    </row>
    <row r="10967" spans="3:3" x14ac:dyDescent="0.35">
      <c r="C10967" s="2"/>
    </row>
    <row r="10968" spans="3:3" x14ac:dyDescent="0.35">
      <c r="C10968" s="2"/>
    </row>
    <row r="10969" spans="3:3" x14ac:dyDescent="0.35">
      <c r="C10969" s="2"/>
    </row>
    <row r="10970" spans="3:3" x14ac:dyDescent="0.35">
      <c r="C10970" s="2"/>
    </row>
    <row r="10971" spans="3:3" x14ac:dyDescent="0.35">
      <c r="C10971" s="2"/>
    </row>
    <row r="10972" spans="3:3" x14ac:dyDescent="0.35">
      <c r="C10972" s="2"/>
    </row>
    <row r="10973" spans="3:3" x14ac:dyDescent="0.35">
      <c r="C10973" s="2"/>
    </row>
    <row r="10974" spans="3:3" x14ac:dyDescent="0.35">
      <c r="C10974" s="2"/>
    </row>
    <row r="10975" spans="3:3" x14ac:dyDescent="0.35">
      <c r="C10975" s="2"/>
    </row>
    <row r="10976" spans="3:3" x14ac:dyDescent="0.35">
      <c r="C10976" s="2"/>
    </row>
    <row r="10977" spans="3:3" x14ac:dyDescent="0.35">
      <c r="C10977" s="2"/>
    </row>
    <row r="10978" spans="3:3" x14ac:dyDescent="0.35">
      <c r="C10978" s="2"/>
    </row>
    <row r="10979" spans="3:3" x14ac:dyDescent="0.35">
      <c r="C10979" s="2"/>
    </row>
    <row r="10980" spans="3:3" x14ac:dyDescent="0.35">
      <c r="C10980" s="2"/>
    </row>
    <row r="10981" spans="3:3" x14ac:dyDescent="0.35">
      <c r="C10981" s="2"/>
    </row>
    <row r="10982" spans="3:3" x14ac:dyDescent="0.35">
      <c r="C10982" s="2"/>
    </row>
    <row r="10983" spans="3:3" x14ac:dyDescent="0.35">
      <c r="C10983" s="2"/>
    </row>
    <row r="10984" spans="3:3" x14ac:dyDescent="0.35">
      <c r="C10984" s="2"/>
    </row>
    <row r="10985" spans="3:3" x14ac:dyDescent="0.35">
      <c r="C10985" s="2"/>
    </row>
    <row r="10986" spans="3:3" x14ac:dyDescent="0.35">
      <c r="C10986" s="2"/>
    </row>
    <row r="10987" spans="3:3" x14ac:dyDescent="0.35">
      <c r="C10987" s="2"/>
    </row>
    <row r="10988" spans="3:3" x14ac:dyDescent="0.35">
      <c r="C10988" s="2"/>
    </row>
    <row r="10989" spans="3:3" x14ac:dyDescent="0.35">
      <c r="C10989" s="2"/>
    </row>
    <row r="10990" spans="3:3" x14ac:dyDescent="0.35">
      <c r="C10990" s="2"/>
    </row>
    <row r="10991" spans="3:3" x14ac:dyDescent="0.35">
      <c r="C10991" s="2"/>
    </row>
    <row r="10992" spans="3:3" x14ac:dyDescent="0.35">
      <c r="C10992" s="2"/>
    </row>
    <row r="10993" spans="3:3" x14ac:dyDescent="0.35">
      <c r="C10993" s="2"/>
    </row>
    <row r="10994" spans="3:3" x14ac:dyDescent="0.35">
      <c r="C10994" s="2"/>
    </row>
    <row r="10995" spans="3:3" x14ac:dyDescent="0.35">
      <c r="C10995" s="2"/>
    </row>
    <row r="10996" spans="3:3" x14ac:dyDescent="0.35">
      <c r="C10996" s="2"/>
    </row>
    <row r="10997" spans="3:3" x14ac:dyDescent="0.35">
      <c r="C10997" s="2"/>
    </row>
    <row r="10998" spans="3:3" x14ac:dyDescent="0.35">
      <c r="C10998" s="2"/>
    </row>
    <row r="10999" spans="3:3" x14ac:dyDescent="0.35">
      <c r="C10999" s="2"/>
    </row>
    <row r="11000" spans="3:3" x14ac:dyDescent="0.35">
      <c r="C11000" s="2"/>
    </row>
    <row r="11001" spans="3:3" x14ac:dyDescent="0.35">
      <c r="C11001" s="2"/>
    </row>
    <row r="11002" spans="3:3" x14ac:dyDescent="0.35">
      <c r="C11002" s="2"/>
    </row>
    <row r="11003" spans="3:3" x14ac:dyDescent="0.35">
      <c r="C11003" s="2"/>
    </row>
    <row r="11004" spans="3:3" x14ac:dyDescent="0.35">
      <c r="C11004" s="2"/>
    </row>
    <row r="11005" spans="3:3" x14ac:dyDescent="0.35">
      <c r="C11005" s="2"/>
    </row>
    <row r="11006" spans="3:3" x14ac:dyDescent="0.35">
      <c r="C11006" s="2"/>
    </row>
    <row r="11007" spans="3:3" x14ac:dyDescent="0.35">
      <c r="C11007" s="2"/>
    </row>
    <row r="11008" spans="3:3" x14ac:dyDescent="0.35">
      <c r="C11008" s="2"/>
    </row>
    <row r="11009" spans="3:3" x14ac:dyDescent="0.35">
      <c r="C11009" s="2"/>
    </row>
    <row r="11010" spans="3:3" x14ac:dyDescent="0.35">
      <c r="C11010" s="2"/>
    </row>
    <row r="11011" spans="3:3" x14ac:dyDescent="0.35">
      <c r="C11011" s="2"/>
    </row>
    <row r="11012" spans="3:3" x14ac:dyDescent="0.35">
      <c r="C11012" s="2"/>
    </row>
    <row r="11013" spans="3:3" x14ac:dyDescent="0.35">
      <c r="C11013" s="2"/>
    </row>
    <row r="11014" spans="3:3" x14ac:dyDescent="0.35">
      <c r="C11014" s="2"/>
    </row>
    <row r="11015" spans="3:3" x14ac:dyDescent="0.35">
      <c r="C11015" s="2"/>
    </row>
    <row r="11016" spans="3:3" x14ac:dyDescent="0.35">
      <c r="C11016" s="2"/>
    </row>
    <row r="11017" spans="3:3" x14ac:dyDescent="0.35">
      <c r="C11017" s="2"/>
    </row>
    <row r="11018" spans="3:3" x14ac:dyDescent="0.35">
      <c r="C11018" s="2"/>
    </row>
    <row r="11019" spans="3:3" x14ac:dyDescent="0.35">
      <c r="C11019" s="2"/>
    </row>
    <row r="11020" spans="3:3" x14ac:dyDescent="0.35">
      <c r="C11020" s="2"/>
    </row>
    <row r="11021" spans="3:3" x14ac:dyDescent="0.35">
      <c r="C11021" s="2"/>
    </row>
    <row r="11022" spans="3:3" x14ac:dyDescent="0.35">
      <c r="C11022" s="2"/>
    </row>
    <row r="11023" spans="3:3" x14ac:dyDescent="0.35">
      <c r="C11023" s="2"/>
    </row>
    <row r="11024" spans="3:3" x14ac:dyDescent="0.35">
      <c r="C11024" s="2"/>
    </row>
    <row r="11025" spans="3:3" x14ac:dyDescent="0.35">
      <c r="C11025" s="2"/>
    </row>
    <row r="11026" spans="3:3" x14ac:dyDescent="0.35">
      <c r="C11026" s="2"/>
    </row>
    <row r="11027" spans="3:3" x14ac:dyDescent="0.35">
      <c r="C11027" s="2"/>
    </row>
    <row r="11028" spans="3:3" x14ac:dyDescent="0.35">
      <c r="C11028" s="2"/>
    </row>
    <row r="11029" spans="3:3" x14ac:dyDescent="0.35">
      <c r="C11029" s="2"/>
    </row>
    <row r="11030" spans="3:3" x14ac:dyDescent="0.35">
      <c r="C11030" s="2"/>
    </row>
    <row r="11031" spans="3:3" x14ac:dyDescent="0.35">
      <c r="C11031" s="2"/>
    </row>
    <row r="11032" spans="3:3" x14ac:dyDescent="0.35">
      <c r="C11032" s="2"/>
    </row>
    <row r="11033" spans="3:3" x14ac:dyDescent="0.35">
      <c r="C11033" s="2"/>
    </row>
    <row r="11034" spans="3:3" x14ac:dyDescent="0.35">
      <c r="C11034" s="2"/>
    </row>
    <row r="11035" spans="3:3" x14ac:dyDescent="0.35">
      <c r="C11035" s="2"/>
    </row>
    <row r="11036" spans="3:3" x14ac:dyDescent="0.35">
      <c r="C11036" s="2"/>
    </row>
    <row r="11037" spans="3:3" x14ac:dyDescent="0.35">
      <c r="C11037" s="2"/>
    </row>
    <row r="11038" spans="3:3" x14ac:dyDescent="0.35">
      <c r="C11038" s="2"/>
    </row>
    <row r="11039" spans="3:3" x14ac:dyDescent="0.35">
      <c r="C11039" s="2"/>
    </row>
    <row r="11040" spans="3:3" x14ac:dyDescent="0.35">
      <c r="C11040" s="2"/>
    </row>
    <row r="11041" spans="3:3" x14ac:dyDescent="0.35">
      <c r="C11041" s="2"/>
    </row>
    <row r="11042" spans="3:3" x14ac:dyDescent="0.35">
      <c r="C11042" s="2"/>
    </row>
    <row r="11043" spans="3:3" x14ac:dyDescent="0.35">
      <c r="C11043" s="2"/>
    </row>
    <row r="11044" spans="3:3" x14ac:dyDescent="0.35">
      <c r="C11044" s="2"/>
    </row>
    <row r="11045" spans="3:3" x14ac:dyDescent="0.35">
      <c r="C11045" s="2"/>
    </row>
    <row r="11046" spans="3:3" x14ac:dyDescent="0.35">
      <c r="C11046" s="2"/>
    </row>
    <row r="11047" spans="3:3" x14ac:dyDescent="0.35">
      <c r="C11047" s="2"/>
    </row>
    <row r="11048" spans="3:3" x14ac:dyDescent="0.35">
      <c r="C11048" s="2"/>
    </row>
    <row r="11049" spans="3:3" x14ac:dyDescent="0.35">
      <c r="C11049" s="2"/>
    </row>
    <row r="11050" spans="3:3" x14ac:dyDescent="0.35">
      <c r="C11050" s="2"/>
    </row>
    <row r="11051" spans="3:3" x14ac:dyDescent="0.35">
      <c r="C11051" s="2"/>
    </row>
    <row r="11052" spans="3:3" x14ac:dyDescent="0.35">
      <c r="C11052" s="2"/>
    </row>
    <row r="11053" spans="3:3" x14ac:dyDescent="0.35">
      <c r="C11053" s="2"/>
    </row>
    <row r="11054" spans="3:3" x14ac:dyDescent="0.35">
      <c r="C11054" s="2"/>
    </row>
    <row r="11055" spans="3:3" x14ac:dyDescent="0.35">
      <c r="C11055" s="2"/>
    </row>
    <row r="11056" spans="3:3" x14ac:dyDescent="0.35">
      <c r="C11056" s="2"/>
    </row>
    <row r="11057" spans="3:3" x14ac:dyDescent="0.35">
      <c r="C11057" s="2"/>
    </row>
    <row r="11058" spans="3:3" x14ac:dyDescent="0.35">
      <c r="C11058" s="2"/>
    </row>
    <row r="11059" spans="3:3" x14ac:dyDescent="0.35">
      <c r="C11059" s="2"/>
    </row>
    <row r="11060" spans="3:3" x14ac:dyDescent="0.35">
      <c r="C11060" s="2"/>
    </row>
    <row r="11061" spans="3:3" x14ac:dyDescent="0.35">
      <c r="C11061" s="2"/>
    </row>
    <row r="11062" spans="3:3" x14ac:dyDescent="0.35">
      <c r="C11062" s="2"/>
    </row>
    <row r="11063" spans="3:3" x14ac:dyDescent="0.35">
      <c r="C11063" s="2"/>
    </row>
    <row r="11064" spans="3:3" x14ac:dyDescent="0.35">
      <c r="C11064" s="2"/>
    </row>
    <row r="11065" spans="3:3" x14ac:dyDescent="0.35">
      <c r="C11065" s="2"/>
    </row>
    <row r="11066" spans="3:3" x14ac:dyDescent="0.35">
      <c r="C11066" s="2"/>
    </row>
    <row r="11067" spans="3:3" x14ac:dyDescent="0.35">
      <c r="C11067" s="2"/>
    </row>
    <row r="11068" spans="3:3" x14ac:dyDescent="0.35">
      <c r="C11068" s="2"/>
    </row>
    <row r="11069" spans="3:3" x14ac:dyDescent="0.35">
      <c r="C11069" s="2"/>
    </row>
    <row r="11070" spans="3:3" x14ac:dyDescent="0.35">
      <c r="C11070" s="2"/>
    </row>
    <row r="11071" spans="3:3" x14ac:dyDescent="0.35">
      <c r="C11071" s="2"/>
    </row>
    <row r="11072" spans="3:3" x14ac:dyDescent="0.35">
      <c r="C11072" s="2"/>
    </row>
    <row r="11073" spans="3:3" x14ac:dyDescent="0.35">
      <c r="C11073" s="2"/>
    </row>
    <row r="11074" spans="3:3" x14ac:dyDescent="0.35">
      <c r="C11074" s="2"/>
    </row>
    <row r="11075" spans="3:3" x14ac:dyDescent="0.35">
      <c r="C11075" s="2"/>
    </row>
    <row r="11076" spans="3:3" x14ac:dyDescent="0.35">
      <c r="C11076" s="2"/>
    </row>
    <row r="11077" spans="3:3" x14ac:dyDescent="0.35">
      <c r="C11077" s="2"/>
    </row>
    <row r="11078" spans="3:3" x14ac:dyDescent="0.35">
      <c r="C11078" s="2"/>
    </row>
    <row r="11079" spans="3:3" x14ac:dyDescent="0.35">
      <c r="C11079" s="2"/>
    </row>
    <row r="11080" spans="3:3" x14ac:dyDescent="0.35">
      <c r="C11080" s="2"/>
    </row>
    <row r="11081" spans="3:3" x14ac:dyDescent="0.35">
      <c r="C11081" s="2"/>
    </row>
    <row r="11082" spans="3:3" x14ac:dyDescent="0.35">
      <c r="C11082" s="2"/>
    </row>
    <row r="11083" spans="3:3" x14ac:dyDescent="0.35">
      <c r="C11083" s="2"/>
    </row>
    <row r="11084" spans="3:3" x14ac:dyDescent="0.35">
      <c r="C11084" s="2"/>
    </row>
    <row r="11085" spans="3:3" x14ac:dyDescent="0.35">
      <c r="C11085" s="2"/>
    </row>
    <row r="11086" spans="3:3" x14ac:dyDescent="0.35">
      <c r="C11086" s="2"/>
    </row>
    <row r="11087" spans="3:3" x14ac:dyDescent="0.35">
      <c r="C11087" s="2"/>
    </row>
    <row r="11088" spans="3:3" x14ac:dyDescent="0.35">
      <c r="C11088" s="2"/>
    </row>
    <row r="11089" spans="3:3" x14ac:dyDescent="0.35">
      <c r="C11089" s="2"/>
    </row>
    <row r="11090" spans="3:3" x14ac:dyDescent="0.35">
      <c r="C11090" s="2"/>
    </row>
    <row r="11091" spans="3:3" x14ac:dyDescent="0.35">
      <c r="C11091" s="2"/>
    </row>
    <row r="11092" spans="3:3" x14ac:dyDescent="0.35">
      <c r="C11092" s="2"/>
    </row>
    <row r="11093" spans="3:3" x14ac:dyDescent="0.35">
      <c r="C11093" s="2"/>
    </row>
    <row r="11094" spans="3:3" x14ac:dyDescent="0.35">
      <c r="C11094" s="2"/>
    </row>
    <row r="11095" spans="3:3" x14ac:dyDescent="0.35">
      <c r="C11095" s="2"/>
    </row>
    <row r="11096" spans="3:3" x14ac:dyDescent="0.35">
      <c r="C11096" s="2"/>
    </row>
    <row r="11097" spans="3:3" x14ac:dyDescent="0.35">
      <c r="C11097" s="2"/>
    </row>
    <row r="11098" spans="3:3" x14ac:dyDescent="0.35">
      <c r="C11098" s="2"/>
    </row>
    <row r="11099" spans="3:3" x14ac:dyDescent="0.35">
      <c r="C11099" s="2"/>
    </row>
    <row r="11100" spans="3:3" x14ac:dyDescent="0.35">
      <c r="C11100" s="2"/>
    </row>
    <row r="11101" spans="3:3" x14ac:dyDescent="0.35">
      <c r="C11101" s="2"/>
    </row>
    <row r="11102" spans="3:3" x14ac:dyDescent="0.35">
      <c r="C11102" s="2"/>
    </row>
    <row r="11103" spans="3:3" x14ac:dyDescent="0.35">
      <c r="C11103" s="2"/>
    </row>
    <row r="11104" spans="3:3" x14ac:dyDescent="0.35">
      <c r="C11104" s="2"/>
    </row>
    <row r="11105" spans="3:3" x14ac:dyDescent="0.35">
      <c r="C11105" s="2"/>
    </row>
    <row r="11106" spans="3:3" x14ac:dyDescent="0.35">
      <c r="C11106" s="2"/>
    </row>
    <row r="11107" spans="3:3" x14ac:dyDescent="0.35">
      <c r="C11107" s="2"/>
    </row>
    <row r="11108" spans="3:3" x14ac:dyDescent="0.35">
      <c r="C11108" s="2"/>
    </row>
    <row r="11109" spans="3:3" x14ac:dyDescent="0.35">
      <c r="C11109" s="2"/>
    </row>
    <row r="11110" spans="3:3" x14ac:dyDescent="0.35">
      <c r="C11110" s="2"/>
    </row>
    <row r="11111" spans="3:3" x14ac:dyDescent="0.35">
      <c r="C11111" s="2"/>
    </row>
    <row r="11112" spans="3:3" x14ac:dyDescent="0.35">
      <c r="C11112" s="2"/>
    </row>
    <row r="11113" spans="3:3" x14ac:dyDescent="0.35">
      <c r="C11113" s="2"/>
    </row>
    <row r="11114" spans="3:3" x14ac:dyDescent="0.35">
      <c r="C11114" s="2"/>
    </row>
    <row r="11115" spans="3:3" x14ac:dyDescent="0.35">
      <c r="C11115" s="2"/>
    </row>
    <row r="11116" spans="3:3" x14ac:dyDescent="0.35">
      <c r="C11116" s="2"/>
    </row>
    <row r="11117" spans="3:3" x14ac:dyDescent="0.35">
      <c r="C11117" s="2"/>
    </row>
    <row r="11118" spans="3:3" x14ac:dyDescent="0.35">
      <c r="C11118" s="2"/>
    </row>
    <row r="11119" spans="3:3" x14ac:dyDescent="0.35">
      <c r="C11119" s="2"/>
    </row>
    <row r="11120" spans="3:3" x14ac:dyDescent="0.35">
      <c r="C11120" s="2"/>
    </row>
    <row r="11121" spans="3:3" x14ac:dyDescent="0.35">
      <c r="C11121" s="2"/>
    </row>
    <row r="11122" spans="3:3" x14ac:dyDescent="0.35">
      <c r="C11122" s="2"/>
    </row>
    <row r="11123" spans="3:3" x14ac:dyDescent="0.35">
      <c r="C11123" s="2"/>
    </row>
    <row r="11124" spans="3:3" x14ac:dyDescent="0.35">
      <c r="C11124" s="2"/>
    </row>
    <row r="11125" spans="3:3" x14ac:dyDescent="0.35">
      <c r="C11125" s="2"/>
    </row>
    <row r="11126" spans="3:3" x14ac:dyDescent="0.35">
      <c r="C11126" s="2"/>
    </row>
    <row r="11127" spans="3:3" x14ac:dyDescent="0.35">
      <c r="C11127" s="2"/>
    </row>
    <row r="11128" spans="3:3" x14ac:dyDescent="0.35">
      <c r="C11128" s="2"/>
    </row>
    <row r="11129" spans="3:3" x14ac:dyDescent="0.35">
      <c r="C11129" s="2"/>
    </row>
    <row r="11130" spans="3:3" x14ac:dyDescent="0.35">
      <c r="C11130" s="2"/>
    </row>
    <row r="11131" spans="3:3" x14ac:dyDescent="0.35">
      <c r="C11131" s="2"/>
    </row>
    <row r="11132" spans="3:3" x14ac:dyDescent="0.35">
      <c r="C11132" s="2"/>
    </row>
    <row r="11133" spans="3:3" x14ac:dyDescent="0.35">
      <c r="C11133" s="2"/>
    </row>
    <row r="11134" spans="3:3" x14ac:dyDescent="0.35">
      <c r="C11134" s="2"/>
    </row>
    <row r="11135" spans="3:3" x14ac:dyDescent="0.35">
      <c r="C11135" s="2"/>
    </row>
    <row r="11136" spans="3:3" x14ac:dyDescent="0.35">
      <c r="C11136" s="2"/>
    </row>
    <row r="11137" spans="3:3" x14ac:dyDescent="0.35">
      <c r="C11137" s="2"/>
    </row>
    <row r="11138" spans="3:3" x14ac:dyDescent="0.35">
      <c r="C11138" s="2"/>
    </row>
    <row r="11139" spans="3:3" x14ac:dyDescent="0.35">
      <c r="C11139" s="2"/>
    </row>
    <row r="11140" spans="3:3" x14ac:dyDescent="0.35">
      <c r="C11140" s="2"/>
    </row>
    <row r="11141" spans="3:3" x14ac:dyDescent="0.35">
      <c r="C11141" s="2"/>
    </row>
    <row r="11142" spans="3:3" x14ac:dyDescent="0.35">
      <c r="C11142" s="2"/>
    </row>
    <row r="11143" spans="3:3" x14ac:dyDescent="0.35">
      <c r="C11143" s="2"/>
    </row>
    <row r="11144" spans="3:3" x14ac:dyDescent="0.35">
      <c r="C11144" s="2"/>
    </row>
    <row r="11145" spans="3:3" x14ac:dyDescent="0.35">
      <c r="C11145" s="2"/>
    </row>
    <row r="11146" spans="3:3" x14ac:dyDescent="0.35">
      <c r="C11146" s="2"/>
    </row>
    <row r="11147" spans="3:3" x14ac:dyDescent="0.35">
      <c r="C11147" s="2"/>
    </row>
    <row r="11148" spans="3:3" x14ac:dyDescent="0.35">
      <c r="C11148" s="2"/>
    </row>
    <row r="11149" spans="3:3" x14ac:dyDescent="0.35">
      <c r="C11149" s="2"/>
    </row>
    <row r="11150" spans="3:3" x14ac:dyDescent="0.35">
      <c r="C11150" s="2"/>
    </row>
    <row r="11151" spans="3:3" x14ac:dyDescent="0.35">
      <c r="C11151" s="2"/>
    </row>
    <row r="11152" spans="3:3" x14ac:dyDescent="0.35">
      <c r="C11152" s="2"/>
    </row>
    <row r="11153" spans="3:3" x14ac:dyDescent="0.35">
      <c r="C11153" s="2"/>
    </row>
    <row r="11154" spans="3:3" x14ac:dyDescent="0.35">
      <c r="C11154" s="2"/>
    </row>
    <row r="11155" spans="3:3" x14ac:dyDescent="0.35">
      <c r="C11155" s="2"/>
    </row>
    <row r="11156" spans="3:3" x14ac:dyDescent="0.35">
      <c r="C11156" s="2"/>
    </row>
    <row r="11157" spans="3:3" x14ac:dyDescent="0.35">
      <c r="C11157" s="2"/>
    </row>
    <row r="11158" spans="3:3" x14ac:dyDescent="0.35">
      <c r="C11158" s="2"/>
    </row>
    <row r="11159" spans="3:3" x14ac:dyDescent="0.35">
      <c r="C11159" s="2"/>
    </row>
    <row r="11160" spans="3:3" x14ac:dyDescent="0.35">
      <c r="C11160" s="2"/>
    </row>
    <row r="11161" spans="3:3" x14ac:dyDescent="0.35">
      <c r="C11161" s="2"/>
    </row>
    <row r="11162" spans="3:3" x14ac:dyDescent="0.35">
      <c r="C11162" s="2"/>
    </row>
    <row r="11163" spans="3:3" x14ac:dyDescent="0.35">
      <c r="C11163" s="2"/>
    </row>
    <row r="11164" spans="3:3" x14ac:dyDescent="0.35">
      <c r="C11164" s="2"/>
    </row>
    <row r="11165" spans="3:3" x14ac:dyDescent="0.35">
      <c r="C11165" s="2"/>
    </row>
    <row r="11166" spans="3:3" x14ac:dyDescent="0.35">
      <c r="C11166" s="2"/>
    </row>
    <row r="11167" spans="3:3" x14ac:dyDescent="0.35">
      <c r="C11167" s="2"/>
    </row>
    <row r="11168" spans="3:3" x14ac:dyDescent="0.35">
      <c r="C11168" s="2"/>
    </row>
    <row r="11169" spans="3:3" x14ac:dyDescent="0.35">
      <c r="C11169" s="2"/>
    </row>
    <row r="11170" spans="3:3" x14ac:dyDescent="0.35">
      <c r="C11170" s="2"/>
    </row>
    <row r="11171" spans="3:3" x14ac:dyDescent="0.35">
      <c r="C11171" s="2"/>
    </row>
    <row r="11172" spans="3:3" x14ac:dyDescent="0.35">
      <c r="C11172" s="2"/>
    </row>
    <row r="11173" spans="3:3" x14ac:dyDescent="0.35">
      <c r="C11173" s="2"/>
    </row>
    <row r="11174" spans="3:3" x14ac:dyDescent="0.35">
      <c r="C11174" s="2"/>
    </row>
    <row r="11175" spans="3:3" x14ac:dyDescent="0.35">
      <c r="C11175" s="2"/>
    </row>
    <row r="11176" spans="3:3" x14ac:dyDescent="0.35">
      <c r="C11176" s="2"/>
    </row>
    <row r="11177" spans="3:3" x14ac:dyDescent="0.35">
      <c r="C11177" s="2"/>
    </row>
    <row r="11178" spans="3:3" x14ac:dyDescent="0.35">
      <c r="C11178" s="2"/>
    </row>
    <row r="11179" spans="3:3" x14ac:dyDescent="0.35">
      <c r="C11179" s="2"/>
    </row>
    <row r="11180" spans="3:3" x14ac:dyDescent="0.35">
      <c r="C11180" s="2"/>
    </row>
    <row r="11181" spans="3:3" x14ac:dyDescent="0.35">
      <c r="C11181" s="2"/>
    </row>
    <row r="11182" spans="3:3" x14ac:dyDescent="0.35">
      <c r="C11182" s="2"/>
    </row>
    <row r="11183" spans="3:3" x14ac:dyDescent="0.35">
      <c r="C11183" s="2"/>
    </row>
    <row r="11184" spans="3:3" x14ac:dyDescent="0.35">
      <c r="C11184" s="2"/>
    </row>
    <row r="11185" spans="3:3" x14ac:dyDescent="0.35">
      <c r="C11185" s="2"/>
    </row>
    <row r="11186" spans="3:3" x14ac:dyDescent="0.35">
      <c r="C11186" s="2"/>
    </row>
    <row r="11187" spans="3:3" x14ac:dyDescent="0.35">
      <c r="C11187" s="2"/>
    </row>
    <row r="11188" spans="3:3" x14ac:dyDescent="0.35">
      <c r="C11188" s="2"/>
    </row>
    <row r="11189" spans="3:3" x14ac:dyDescent="0.35">
      <c r="C11189" s="2"/>
    </row>
    <row r="11190" spans="3:3" x14ac:dyDescent="0.35">
      <c r="C11190" s="2"/>
    </row>
    <row r="11191" spans="3:3" x14ac:dyDescent="0.35">
      <c r="C11191" s="2"/>
    </row>
    <row r="11192" spans="3:3" x14ac:dyDescent="0.35">
      <c r="C11192" s="2"/>
    </row>
    <row r="11193" spans="3:3" x14ac:dyDescent="0.35">
      <c r="C11193" s="2"/>
    </row>
    <row r="11194" spans="3:3" x14ac:dyDescent="0.35">
      <c r="C11194" s="2"/>
    </row>
    <row r="11195" spans="3:3" x14ac:dyDescent="0.35">
      <c r="C11195" s="2"/>
    </row>
    <row r="11196" spans="3:3" x14ac:dyDescent="0.35">
      <c r="C11196" s="2"/>
    </row>
    <row r="11197" spans="3:3" x14ac:dyDescent="0.35">
      <c r="C11197" s="2"/>
    </row>
    <row r="11198" spans="3:3" x14ac:dyDescent="0.35">
      <c r="C11198" s="2"/>
    </row>
    <row r="11199" spans="3:3" x14ac:dyDescent="0.35">
      <c r="C11199" s="2"/>
    </row>
    <row r="11200" spans="3:3" x14ac:dyDescent="0.35">
      <c r="C11200" s="2"/>
    </row>
    <row r="11201" spans="3:3" x14ac:dyDescent="0.35">
      <c r="C11201" s="2"/>
    </row>
    <row r="11202" spans="3:3" x14ac:dyDescent="0.35">
      <c r="C11202" s="2"/>
    </row>
    <row r="11203" spans="3:3" x14ac:dyDescent="0.35">
      <c r="C11203" s="2"/>
    </row>
    <row r="11204" spans="3:3" x14ac:dyDescent="0.35">
      <c r="C11204" s="2"/>
    </row>
    <row r="11205" spans="3:3" x14ac:dyDescent="0.35">
      <c r="C11205" s="2"/>
    </row>
    <row r="11206" spans="3:3" x14ac:dyDescent="0.35">
      <c r="C11206" s="2"/>
    </row>
    <row r="11207" spans="3:3" x14ac:dyDescent="0.35">
      <c r="C11207" s="2"/>
    </row>
    <row r="11208" spans="3:3" x14ac:dyDescent="0.35">
      <c r="C11208" s="2"/>
    </row>
    <row r="11209" spans="3:3" x14ac:dyDescent="0.35">
      <c r="C11209" s="2"/>
    </row>
    <row r="11210" spans="3:3" x14ac:dyDescent="0.35">
      <c r="C11210" s="2"/>
    </row>
    <row r="11211" spans="3:3" x14ac:dyDescent="0.35">
      <c r="C11211" s="2"/>
    </row>
    <row r="11212" spans="3:3" x14ac:dyDescent="0.35">
      <c r="C11212" s="2"/>
    </row>
    <row r="11213" spans="3:3" x14ac:dyDescent="0.35">
      <c r="C11213" s="2"/>
    </row>
    <row r="11214" spans="3:3" x14ac:dyDescent="0.35">
      <c r="C11214" s="2"/>
    </row>
    <row r="11215" spans="3:3" x14ac:dyDescent="0.35">
      <c r="C11215" s="2"/>
    </row>
    <row r="11216" spans="3:3" x14ac:dyDescent="0.35">
      <c r="C11216" s="2"/>
    </row>
    <row r="11217" spans="3:3" x14ac:dyDescent="0.35">
      <c r="C11217" s="2"/>
    </row>
    <row r="11218" spans="3:3" x14ac:dyDescent="0.35">
      <c r="C11218" s="2"/>
    </row>
    <row r="11219" spans="3:3" x14ac:dyDescent="0.35">
      <c r="C11219" s="2"/>
    </row>
    <row r="11220" spans="3:3" x14ac:dyDescent="0.35">
      <c r="C11220" s="2"/>
    </row>
    <row r="11221" spans="3:3" x14ac:dyDescent="0.35">
      <c r="C11221" s="2"/>
    </row>
    <row r="11222" spans="3:3" x14ac:dyDescent="0.35">
      <c r="C11222" s="2"/>
    </row>
    <row r="11223" spans="3:3" x14ac:dyDescent="0.35">
      <c r="C11223" s="2"/>
    </row>
    <row r="11224" spans="3:3" x14ac:dyDescent="0.35">
      <c r="C11224" s="2"/>
    </row>
    <row r="11225" spans="3:3" x14ac:dyDescent="0.35">
      <c r="C11225" s="2"/>
    </row>
    <row r="11226" spans="3:3" x14ac:dyDescent="0.35">
      <c r="C11226" s="2"/>
    </row>
    <row r="11227" spans="3:3" x14ac:dyDescent="0.35">
      <c r="C11227" s="2"/>
    </row>
    <row r="11228" spans="3:3" x14ac:dyDescent="0.35">
      <c r="C11228" s="2"/>
    </row>
    <row r="11229" spans="3:3" x14ac:dyDescent="0.35">
      <c r="C11229" s="2"/>
    </row>
    <row r="11230" spans="3:3" x14ac:dyDescent="0.35">
      <c r="C11230" s="2"/>
    </row>
    <row r="11231" spans="3:3" x14ac:dyDescent="0.35">
      <c r="C11231" s="2"/>
    </row>
    <row r="11232" spans="3:3" x14ac:dyDescent="0.35">
      <c r="C11232" s="2"/>
    </row>
    <row r="11233" spans="3:3" x14ac:dyDescent="0.35">
      <c r="C11233" s="2"/>
    </row>
    <row r="11234" spans="3:3" x14ac:dyDescent="0.35">
      <c r="C11234" s="2"/>
    </row>
    <row r="11235" spans="3:3" x14ac:dyDescent="0.35">
      <c r="C11235" s="2"/>
    </row>
    <row r="11236" spans="3:3" x14ac:dyDescent="0.35">
      <c r="C11236" s="2"/>
    </row>
    <row r="11237" spans="3:3" x14ac:dyDescent="0.35">
      <c r="C11237" s="2"/>
    </row>
    <row r="11238" spans="3:3" x14ac:dyDescent="0.35">
      <c r="C11238" s="2"/>
    </row>
    <row r="11239" spans="3:3" x14ac:dyDescent="0.35">
      <c r="C11239" s="2"/>
    </row>
    <row r="11240" spans="3:3" x14ac:dyDescent="0.35">
      <c r="C11240" s="2"/>
    </row>
    <row r="11241" spans="3:3" x14ac:dyDescent="0.35">
      <c r="C11241" s="2"/>
    </row>
    <row r="11242" spans="3:3" x14ac:dyDescent="0.35">
      <c r="C11242" s="2"/>
    </row>
    <row r="11243" spans="3:3" x14ac:dyDescent="0.35">
      <c r="C11243" s="2"/>
    </row>
    <row r="11244" spans="3:3" x14ac:dyDescent="0.35">
      <c r="C11244" s="2"/>
    </row>
    <row r="11245" spans="3:3" x14ac:dyDescent="0.35">
      <c r="C11245" s="2"/>
    </row>
    <row r="11246" spans="3:3" x14ac:dyDescent="0.35">
      <c r="C11246" s="2"/>
    </row>
    <row r="11247" spans="3:3" x14ac:dyDescent="0.35">
      <c r="C11247" s="2"/>
    </row>
    <row r="11248" spans="3:3" x14ac:dyDescent="0.35">
      <c r="C11248" s="2"/>
    </row>
    <row r="11249" spans="3:3" x14ac:dyDescent="0.35">
      <c r="C11249" s="2"/>
    </row>
    <row r="11250" spans="3:3" x14ac:dyDescent="0.35">
      <c r="C11250" s="2"/>
    </row>
    <row r="11251" spans="3:3" x14ac:dyDescent="0.35">
      <c r="C11251" s="2"/>
    </row>
    <row r="11252" spans="3:3" x14ac:dyDescent="0.35">
      <c r="C11252" s="2"/>
    </row>
    <row r="11253" spans="3:3" x14ac:dyDescent="0.35">
      <c r="C11253" s="2"/>
    </row>
    <row r="11254" spans="3:3" x14ac:dyDescent="0.35">
      <c r="C11254" s="2"/>
    </row>
    <row r="11255" spans="3:3" x14ac:dyDescent="0.35">
      <c r="C11255" s="2"/>
    </row>
    <row r="11256" spans="3:3" x14ac:dyDescent="0.35">
      <c r="C11256" s="2"/>
    </row>
    <row r="11257" spans="3:3" x14ac:dyDescent="0.35">
      <c r="C11257" s="2"/>
    </row>
    <row r="11258" spans="3:3" x14ac:dyDescent="0.35">
      <c r="C11258" s="2"/>
    </row>
    <row r="11259" spans="3:3" x14ac:dyDescent="0.35">
      <c r="C11259" s="2"/>
    </row>
    <row r="11260" spans="3:3" x14ac:dyDescent="0.35">
      <c r="C11260" s="2"/>
    </row>
    <row r="11261" spans="3:3" x14ac:dyDescent="0.35">
      <c r="C11261" s="2"/>
    </row>
    <row r="11262" spans="3:3" x14ac:dyDescent="0.35">
      <c r="C11262" s="2"/>
    </row>
    <row r="11263" spans="3:3" x14ac:dyDescent="0.35">
      <c r="C11263" s="2"/>
    </row>
    <row r="11264" spans="3:3" x14ac:dyDescent="0.35">
      <c r="C11264" s="2"/>
    </row>
    <row r="11265" spans="3:3" x14ac:dyDescent="0.35">
      <c r="C11265" s="2"/>
    </row>
    <row r="11266" spans="3:3" x14ac:dyDescent="0.35">
      <c r="C11266" s="2"/>
    </row>
    <row r="11267" spans="3:3" x14ac:dyDescent="0.35">
      <c r="C11267" s="2"/>
    </row>
    <row r="11268" spans="3:3" x14ac:dyDescent="0.35">
      <c r="C11268" s="2"/>
    </row>
    <row r="11269" spans="3:3" x14ac:dyDescent="0.35">
      <c r="C11269" s="2"/>
    </row>
    <row r="11270" spans="3:3" x14ac:dyDescent="0.35">
      <c r="C11270" s="2"/>
    </row>
    <row r="11271" spans="3:3" x14ac:dyDescent="0.35">
      <c r="C11271" s="2"/>
    </row>
    <row r="11272" spans="3:3" x14ac:dyDescent="0.35">
      <c r="C11272" s="2"/>
    </row>
    <row r="11273" spans="3:3" x14ac:dyDescent="0.35">
      <c r="C11273" s="2"/>
    </row>
    <row r="11274" spans="3:3" x14ac:dyDescent="0.35">
      <c r="C11274" s="2"/>
    </row>
    <row r="11275" spans="3:3" x14ac:dyDescent="0.35">
      <c r="C11275" s="2"/>
    </row>
    <row r="11276" spans="3:3" x14ac:dyDescent="0.35">
      <c r="C11276" s="2"/>
    </row>
    <row r="11277" spans="3:3" x14ac:dyDescent="0.35">
      <c r="C11277" s="2"/>
    </row>
    <row r="11278" spans="3:3" x14ac:dyDescent="0.35">
      <c r="C11278" s="2"/>
    </row>
    <row r="11279" spans="3:3" x14ac:dyDescent="0.35">
      <c r="C11279" s="2"/>
    </row>
    <row r="11280" spans="3:3" x14ac:dyDescent="0.35">
      <c r="C11280" s="2"/>
    </row>
    <row r="11281" spans="3:3" x14ac:dyDescent="0.35">
      <c r="C11281" s="2"/>
    </row>
    <row r="11282" spans="3:3" x14ac:dyDescent="0.35">
      <c r="C11282" s="2"/>
    </row>
    <row r="11283" spans="3:3" x14ac:dyDescent="0.35">
      <c r="C11283" s="2"/>
    </row>
    <row r="11284" spans="3:3" x14ac:dyDescent="0.35">
      <c r="C11284" s="2"/>
    </row>
    <row r="11285" spans="3:3" x14ac:dyDescent="0.35">
      <c r="C11285" s="2"/>
    </row>
    <row r="11286" spans="3:3" x14ac:dyDescent="0.35">
      <c r="C11286" s="2"/>
    </row>
    <row r="11287" spans="3:3" x14ac:dyDescent="0.35">
      <c r="C11287" s="2"/>
    </row>
    <row r="11288" spans="3:3" x14ac:dyDescent="0.35">
      <c r="C11288" s="2"/>
    </row>
    <row r="11289" spans="3:3" x14ac:dyDescent="0.35">
      <c r="C11289" s="2"/>
    </row>
    <row r="11290" spans="3:3" x14ac:dyDescent="0.35">
      <c r="C11290" s="2"/>
    </row>
    <row r="11291" spans="3:3" x14ac:dyDescent="0.35">
      <c r="C11291" s="2"/>
    </row>
    <row r="11292" spans="3:3" x14ac:dyDescent="0.35">
      <c r="C11292" s="2"/>
    </row>
    <row r="11293" spans="3:3" x14ac:dyDescent="0.35">
      <c r="C11293" s="2"/>
    </row>
    <row r="11294" spans="3:3" x14ac:dyDescent="0.35">
      <c r="C11294" s="2"/>
    </row>
    <row r="11295" spans="3:3" x14ac:dyDescent="0.35">
      <c r="C11295" s="2"/>
    </row>
    <row r="11296" spans="3:3" x14ac:dyDescent="0.35">
      <c r="C11296" s="2"/>
    </row>
    <row r="11297" spans="3:3" x14ac:dyDescent="0.35">
      <c r="C11297" s="2"/>
    </row>
    <row r="11298" spans="3:3" x14ac:dyDescent="0.35">
      <c r="C11298" s="2"/>
    </row>
    <row r="11299" spans="3:3" x14ac:dyDescent="0.35">
      <c r="C11299" s="2"/>
    </row>
    <row r="11300" spans="3:3" x14ac:dyDescent="0.35">
      <c r="C11300" s="2"/>
    </row>
    <row r="11301" spans="3:3" x14ac:dyDescent="0.35">
      <c r="C11301" s="2"/>
    </row>
    <row r="11302" spans="3:3" x14ac:dyDescent="0.35">
      <c r="C11302" s="2"/>
    </row>
    <row r="11303" spans="3:3" x14ac:dyDescent="0.35">
      <c r="C11303" s="2"/>
    </row>
    <row r="11304" spans="3:3" x14ac:dyDescent="0.35">
      <c r="C11304" s="2"/>
    </row>
    <row r="11305" spans="3:3" x14ac:dyDescent="0.35">
      <c r="C11305" s="2"/>
    </row>
    <row r="11306" spans="3:3" x14ac:dyDescent="0.35">
      <c r="C11306" s="2"/>
    </row>
    <row r="11307" spans="3:3" x14ac:dyDescent="0.35">
      <c r="C11307" s="2"/>
    </row>
    <row r="11308" spans="3:3" x14ac:dyDescent="0.35">
      <c r="C11308" s="2"/>
    </row>
    <row r="11309" spans="3:3" x14ac:dyDescent="0.35">
      <c r="C11309" s="2"/>
    </row>
    <row r="11310" spans="3:3" x14ac:dyDescent="0.35">
      <c r="C11310" s="2"/>
    </row>
    <row r="11311" spans="3:3" x14ac:dyDescent="0.35">
      <c r="C11311" s="2"/>
    </row>
    <row r="11312" spans="3:3" x14ac:dyDescent="0.35">
      <c r="C11312" s="2"/>
    </row>
    <row r="11313" spans="3:3" x14ac:dyDescent="0.35">
      <c r="C11313" s="2"/>
    </row>
    <row r="11314" spans="3:3" x14ac:dyDescent="0.35">
      <c r="C11314" s="2"/>
    </row>
    <row r="11315" spans="3:3" x14ac:dyDescent="0.35">
      <c r="C11315" s="2"/>
    </row>
    <row r="11316" spans="3:3" x14ac:dyDescent="0.35">
      <c r="C11316" s="2"/>
    </row>
    <row r="11317" spans="3:3" x14ac:dyDescent="0.35">
      <c r="C11317" s="2"/>
    </row>
    <row r="11318" spans="3:3" x14ac:dyDescent="0.35">
      <c r="C11318" s="2"/>
    </row>
    <row r="11319" spans="3:3" x14ac:dyDescent="0.35">
      <c r="C11319" s="2"/>
    </row>
    <row r="11320" spans="3:3" x14ac:dyDescent="0.35">
      <c r="C11320" s="2"/>
    </row>
    <row r="11321" spans="3:3" x14ac:dyDescent="0.35">
      <c r="C11321" s="2"/>
    </row>
    <row r="11322" spans="3:3" x14ac:dyDescent="0.35">
      <c r="C11322" s="2"/>
    </row>
    <row r="11323" spans="3:3" x14ac:dyDescent="0.35">
      <c r="C11323" s="2"/>
    </row>
    <row r="11324" spans="3:3" x14ac:dyDescent="0.35">
      <c r="C11324" s="2"/>
    </row>
    <row r="11325" spans="3:3" x14ac:dyDescent="0.35">
      <c r="C11325" s="2"/>
    </row>
    <row r="11326" spans="3:3" x14ac:dyDescent="0.35">
      <c r="C11326" s="2"/>
    </row>
    <row r="11327" spans="3:3" x14ac:dyDescent="0.35">
      <c r="C11327" s="2"/>
    </row>
    <row r="11328" spans="3:3" x14ac:dyDescent="0.35">
      <c r="C11328" s="2"/>
    </row>
    <row r="11329" spans="3:3" x14ac:dyDescent="0.35">
      <c r="C11329" s="2"/>
    </row>
    <row r="11330" spans="3:3" x14ac:dyDescent="0.35">
      <c r="C11330" s="2"/>
    </row>
    <row r="11331" spans="3:3" x14ac:dyDescent="0.35">
      <c r="C11331" s="2"/>
    </row>
    <row r="11332" spans="3:3" x14ac:dyDescent="0.35">
      <c r="C11332" s="2"/>
    </row>
    <row r="11333" spans="3:3" x14ac:dyDescent="0.35">
      <c r="C11333" s="2"/>
    </row>
    <row r="11334" spans="3:3" x14ac:dyDescent="0.35">
      <c r="C11334" s="2"/>
    </row>
    <row r="11335" spans="3:3" x14ac:dyDescent="0.35">
      <c r="C11335" s="2"/>
    </row>
    <row r="11336" spans="3:3" x14ac:dyDescent="0.35">
      <c r="C11336" s="2"/>
    </row>
    <row r="11337" spans="3:3" x14ac:dyDescent="0.35">
      <c r="C11337" s="2"/>
    </row>
    <row r="11338" spans="3:3" x14ac:dyDescent="0.35">
      <c r="C11338" s="2"/>
    </row>
    <row r="11339" spans="3:3" x14ac:dyDescent="0.35">
      <c r="C11339" s="2"/>
    </row>
    <row r="11340" spans="3:3" x14ac:dyDescent="0.35">
      <c r="C11340" s="2"/>
    </row>
    <row r="11341" spans="3:3" x14ac:dyDescent="0.35">
      <c r="C11341" s="2"/>
    </row>
    <row r="11342" spans="3:3" x14ac:dyDescent="0.35">
      <c r="C11342" s="2"/>
    </row>
    <row r="11343" spans="3:3" x14ac:dyDescent="0.35">
      <c r="C11343" s="2"/>
    </row>
    <row r="11344" spans="3:3" x14ac:dyDescent="0.35">
      <c r="C11344" s="2"/>
    </row>
    <row r="11345" spans="3:3" x14ac:dyDescent="0.35">
      <c r="C11345" s="2"/>
    </row>
    <row r="11346" spans="3:3" x14ac:dyDescent="0.35">
      <c r="C11346" s="2"/>
    </row>
    <row r="11347" spans="3:3" x14ac:dyDescent="0.35">
      <c r="C11347" s="2"/>
    </row>
    <row r="11348" spans="3:3" x14ac:dyDescent="0.35">
      <c r="C11348" s="2"/>
    </row>
    <row r="11349" spans="3:3" x14ac:dyDescent="0.35">
      <c r="C11349" s="2"/>
    </row>
    <row r="11350" spans="3:3" x14ac:dyDescent="0.35">
      <c r="C11350" s="2"/>
    </row>
    <row r="11351" spans="3:3" x14ac:dyDescent="0.35">
      <c r="C11351" s="2"/>
    </row>
    <row r="11352" spans="3:3" x14ac:dyDescent="0.35">
      <c r="C11352" s="2"/>
    </row>
    <row r="11353" spans="3:3" x14ac:dyDescent="0.35">
      <c r="C11353" s="2"/>
    </row>
    <row r="11354" spans="3:3" x14ac:dyDescent="0.35">
      <c r="C11354" s="2"/>
    </row>
    <row r="11355" spans="3:3" x14ac:dyDescent="0.35">
      <c r="C11355" s="2"/>
    </row>
    <row r="11356" spans="3:3" x14ac:dyDescent="0.35">
      <c r="C11356" s="2"/>
    </row>
    <row r="11357" spans="3:3" x14ac:dyDescent="0.35">
      <c r="C11357" s="2"/>
    </row>
    <row r="11358" spans="3:3" x14ac:dyDescent="0.35">
      <c r="C11358" s="2"/>
    </row>
    <row r="11359" spans="3:3" x14ac:dyDescent="0.35">
      <c r="C11359" s="2"/>
    </row>
    <row r="11360" spans="3:3" x14ac:dyDescent="0.35">
      <c r="C11360" s="2"/>
    </row>
    <row r="11361" spans="3:3" x14ac:dyDescent="0.35">
      <c r="C11361" s="2"/>
    </row>
    <row r="11362" spans="3:3" x14ac:dyDescent="0.35">
      <c r="C11362" s="2"/>
    </row>
    <row r="11363" spans="3:3" x14ac:dyDescent="0.35">
      <c r="C11363" s="2"/>
    </row>
    <row r="11364" spans="3:3" x14ac:dyDescent="0.35">
      <c r="C11364" s="2"/>
    </row>
    <row r="11365" spans="3:3" x14ac:dyDescent="0.35">
      <c r="C11365" s="2"/>
    </row>
    <row r="11366" spans="3:3" x14ac:dyDescent="0.35">
      <c r="C11366" s="2"/>
    </row>
    <row r="11367" spans="3:3" x14ac:dyDescent="0.35">
      <c r="C11367" s="2"/>
    </row>
    <row r="11368" spans="3:3" x14ac:dyDescent="0.35">
      <c r="C11368" s="2"/>
    </row>
    <row r="11369" spans="3:3" x14ac:dyDescent="0.35">
      <c r="C11369" s="2"/>
    </row>
    <row r="11370" spans="3:3" x14ac:dyDescent="0.35">
      <c r="C11370" s="2"/>
    </row>
    <row r="11371" spans="3:3" x14ac:dyDescent="0.35">
      <c r="C11371" s="2"/>
    </row>
    <row r="11372" spans="3:3" x14ac:dyDescent="0.35">
      <c r="C11372" s="2"/>
    </row>
    <row r="11373" spans="3:3" x14ac:dyDescent="0.35">
      <c r="C11373" s="2"/>
    </row>
    <row r="11374" spans="3:3" x14ac:dyDescent="0.35">
      <c r="C11374" s="2"/>
    </row>
    <row r="11375" spans="3:3" x14ac:dyDescent="0.35">
      <c r="C11375" s="2"/>
    </row>
    <row r="11376" spans="3:3" x14ac:dyDescent="0.35">
      <c r="C11376" s="2"/>
    </row>
    <row r="11377" spans="3:3" x14ac:dyDescent="0.35">
      <c r="C11377" s="2"/>
    </row>
    <row r="11378" spans="3:3" x14ac:dyDescent="0.35">
      <c r="C11378" s="2"/>
    </row>
    <row r="11379" spans="3:3" x14ac:dyDescent="0.35">
      <c r="C11379" s="2"/>
    </row>
    <row r="11380" spans="3:3" x14ac:dyDescent="0.35">
      <c r="C11380" s="2"/>
    </row>
    <row r="11381" spans="3:3" x14ac:dyDescent="0.35">
      <c r="C11381" s="2"/>
    </row>
    <row r="11382" spans="3:3" x14ac:dyDescent="0.35">
      <c r="C11382" s="2"/>
    </row>
    <row r="11383" spans="3:3" x14ac:dyDescent="0.35">
      <c r="C11383" s="2"/>
    </row>
    <row r="11384" spans="3:3" x14ac:dyDescent="0.35">
      <c r="C11384" s="2"/>
    </row>
    <row r="11385" spans="3:3" x14ac:dyDescent="0.35">
      <c r="C11385" s="2"/>
    </row>
    <row r="11386" spans="3:3" x14ac:dyDescent="0.35">
      <c r="C11386" s="2"/>
    </row>
    <row r="11387" spans="3:3" x14ac:dyDescent="0.35">
      <c r="C11387" s="2"/>
    </row>
    <row r="11388" spans="3:3" x14ac:dyDescent="0.35">
      <c r="C11388" s="2"/>
    </row>
    <row r="11389" spans="3:3" x14ac:dyDescent="0.35">
      <c r="C11389" s="2"/>
    </row>
    <row r="11390" spans="3:3" x14ac:dyDescent="0.35">
      <c r="C11390" s="2"/>
    </row>
    <row r="11391" spans="3:3" x14ac:dyDescent="0.35">
      <c r="C11391" s="2"/>
    </row>
    <row r="11392" spans="3:3" x14ac:dyDescent="0.35">
      <c r="C11392" s="2"/>
    </row>
    <row r="11393" spans="3:3" x14ac:dyDescent="0.35">
      <c r="C11393" s="2"/>
    </row>
    <row r="11394" spans="3:3" x14ac:dyDescent="0.35">
      <c r="C11394" s="2"/>
    </row>
    <row r="11395" spans="3:3" x14ac:dyDescent="0.35">
      <c r="C11395" s="2"/>
    </row>
    <row r="11396" spans="3:3" x14ac:dyDescent="0.35">
      <c r="C11396" s="2"/>
    </row>
    <row r="11397" spans="3:3" x14ac:dyDescent="0.35">
      <c r="C11397" s="2"/>
    </row>
    <row r="11398" spans="3:3" x14ac:dyDescent="0.35">
      <c r="C11398" s="2"/>
    </row>
    <row r="11399" spans="3:3" x14ac:dyDescent="0.35">
      <c r="C11399" s="2"/>
    </row>
    <row r="11400" spans="3:3" x14ac:dyDescent="0.35">
      <c r="C11400" s="2"/>
    </row>
    <row r="11401" spans="3:3" x14ac:dyDescent="0.35">
      <c r="C11401" s="2"/>
    </row>
    <row r="11402" spans="3:3" x14ac:dyDescent="0.35">
      <c r="C11402" s="2"/>
    </row>
    <row r="11403" spans="3:3" x14ac:dyDescent="0.35">
      <c r="C11403" s="2"/>
    </row>
    <row r="11404" spans="3:3" x14ac:dyDescent="0.35">
      <c r="C11404" s="2"/>
    </row>
    <row r="11405" spans="3:3" x14ac:dyDescent="0.35">
      <c r="C11405" s="2"/>
    </row>
    <row r="11406" spans="3:3" x14ac:dyDescent="0.35">
      <c r="C11406" s="2"/>
    </row>
    <row r="11407" spans="3:3" x14ac:dyDescent="0.35">
      <c r="C11407" s="2"/>
    </row>
    <row r="11408" spans="3:3" x14ac:dyDescent="0.35">
      <c r="C11408" s="2"/>
    </row>
    <row r="11409" spans="3:3" x14ac:dyDescent="0.35">
      <c r="C11409" s="2"/>
    </row>
    <row r="11410" spans="3:3" x14ac:dyDescent="0.35">
      <c r="C11410" s="2"/>
    </row>
    <row r="11411" spans="3:3" x14ac:dyDescent="0.35">
      <c r="C11411" s="2"/>
    </row>
    <row r="11412" spans="3:3" x14ac:dyDescent="0.35">
      <c r="C11412" s="2"/>
    </row>
    <row r="11413" spans="3:3" x14ac:dyDescent="0.35">
      <c r="C11413" s="2"/>
    </row>
    <row r="11414" spans="3:3" x14ac:dyDescent="0.35">
      <c r="C11414" s="2"/>
    </row>
    <row r="11415" spans="3:3" x14ac:dyDescent="0.35">
      <c r="C11415" s="2"/>
    </row>
    <row r="11416" spans="3:3" x14ac:dyDescent="0.35">
      <c r="C11416" s="2"/>
    </row>
    <row r="11417" spans="3:3" x14ac:dyDescent="0.35">
      <c r="C11417" s="2"/>
    </row>
    <row r="11418" spans="3:3" x14ac:dyDescent="0.35">
      <c r="C11418" s="2"/>
    </row>
    <row r="11419" spans="3:3" x14ac:dyDescent="0.35">
      <c r="C11419" s="2"/>
    </row>
    <row r="11420" spans="3:3" x14ac:dyDescent="0.35">
      <c r="C11420" s="2"/>
    </row>
    <row r="11421" spans="3:3" x14ac:dyDescent="0.35">
      <c r="C11421" s="2"/>
    </row>
    <row r="11422" spans="3:3" x14ac:dyDescent="0.35">
      <c r="C11422" s="2"/>
    </row>
    <row r="11423" spans="3:3" x14ac:dyDescent="0.35">
      <c r="C11423" s="2"/>
    </row>
    <row r="11424" spans="3:3" x14ac:dyDescent="0.35">
      <c r="C11424" s="2"/>
    </row>
    <row r="11425" spans="3:3" x14ac:dyDescent="0.35">
      <c r="C11425" s="2"/>
    </row>
    <row r="11426" spans="3:3" x14ac:dyDescent="0.35">
      <c r="C11426" s="2"/>
    </row>
    <row r="11427" spans="3:3" x14ac:dyDescent="0.35">
      <c r="C11427" s="2"/>
    </row>
    <row r="11428" spans="3:3" x14ac:dyDescent="0.35">
      <c r="C11428" s="2"/>
    </row>
    <row r="11429" spans="3:3" x14ac:dyDescent="0.35">
      <c r="C11429" s="2"/>
    </row>
    <row r="11430" spans="3:3" x14ac:dyDescent="0.35">
      <c r="C11430" s="2"/>
    </row>
    <row r="11431" spans="3:3" x14ac:dyDescent="0.35">
      <c r="C11431" s="2"/>
    </row>
    <row r="11432" spans="3:3" x14ac:dyDescent="0.35">
      <c r="C11432" s="2"/>
    </row>
    <row r="11433" spans="3:3" x14ac:dyDescent="0.35">
      <c r="C11433" s="2"/>
    </row>
    <row r="11434" spans="3:3" x14ac:dyDescent="0.35">
      <c r="C11434" s="2"/>
    </row>
    <row r="11435" spans="3:3" x14ac:dyDescent="0.35">
      <c r="C11435" s="2"/>
    </row>
    <row r="11436" spans="3:3" x14ac:dyDescent="0.35">
      <c r="C11436" s="2"/>
    </row>
    <row r="11437" spans="3:3" x14ac:dyDescent="0.35">
      <c r="C11437" s="2"/>
    </row>
    <row r="11438" spans="3:3" x14ac:dyDescent="0.35">
      <c r="C11438" s="2"/>
    </row>
    <row r="11439" spans="3:3" x14ac:dyDescent="0.35">
      <c r="C11439" s="2"/>
    </row>
    <row r="11440" spans="3:3" x14ac:dyDescent="0.35">
      <c r="C11440" s="2"/>
    </row>
    <row r="11441" spans="3:3" x14ac:dyDescent="0.35">
      <c r="C11441" s="2"/>
    </row>
    <row r="11442" spans="3:3" x14ac:dyDescent="0.35">
      <c r="C11442" s="2"/>
    </row>
    <row r="11443" spans="3:3" x14ac:dyDescent="0.35">
      <c r="C11443" s="2"/>
    </row>
    <row r="11444" spans="3:3" x14ac:dyDescent="0.35">
      <c r="C11444" s="2"/>
    </row>
    <row r="11445" spans="3:3" x14ac:dyDescent="0.35">
      <c r="C11445" s="2"/>
    </row>
    <row r="11446" spans="3:3" x14ac:dyDescent="0.35">
      <c r="C11446" s="2"/>
    </row>
    <row r="11447" spans="3:3" x14ac:dyDescent="0.35">
      <c r="C11447" s="2"/>
    </row>
    <row r="11448" spans="3:3" x14ac:dyDescent="0.35">
      <c r="C11448" s="2"/>
    </row>
    <row r="11449" spans="3:3" x14ac:dyDescent="0.35">
      <c r="C11449" s="2"/>
    </row>
    <row r="11450" spans="3:3" x14ac:dyDescent="0.35">
      <c r="C11450" s="2"/>
    </row>
    <row r="11451" spans="3:3" x14ac:dyDescent="0.35">
      <c r="C11451" s="2"/>
    </row>
    <row r="11452" spans="3:3" x14ac:dyDescent="0.35">
      <c r="C11452" s="2"/>
    </row>
    <row r="11453" spans="3:3" x14ac:dyDescent="0.35">
      <c r="C11453" s="2"/>
    </row>
    <row r="11454" spans="3:3" x14ac:dyDescent="0.35">
      <c r="C11454" s="2"/>
    </row>
    <row r="11455" spans="3:3" x14ac:dyDescent="0.35">
      <c r="C11455" s="2"/>
    </row>
    <row r="11456" spans="3:3" x14ac:dyDescent="0.35">
      <c r="C11456" s="2"/>
    </row>
    <row r="11457" spans="3:3" x14ac:dyDescent="0.35">
      <c r="C11457" s="2"/>
    </row>
    <row r="11458" spans="3:3" x14ac:dyDescent="0.35">
      <c r="C11458" s="2"/>
    </row>
    <row r="11459" spans="3:3" x14ac:dyDescent="0.35">
      <c r="C11459" s="2"/>
    </row>
    <row r="11460" spans="3:3" x14ac:dyDescent="0.35">
      <c r="C11460" s="2"/>
    </row>
    <row r="11461" spans="3:3" x14ac:dyDescent="0.35">
      <c r="C11461" s="2"/>
    </row>
    <row r="11462" spans="3:3" x14ac:dyDescent="0.35">
      <c r="C11462" s="2"/>
    </row>
    <row r="11463" spans="3:3" x14ac:dyDescent="0.35">
      <c r="C11463" s="2"/>
    </row>
    <row r="11464" spans="3:3" x14ac:dyDescent="0.35">
      <c r="C11464" s="2"/>
    </row>
    <row r="11465" spans="3:3" x14ac:dyDescent="0.35">
      <c r="C11465" s="2"/>
    </row>
    <row r="11466" spans="3:3" x14ac:dyDescent="0.35">
      <c r="C11466" s="2"/>
    </row>
    <row r="11467" spans="3:3" x14ac:dyDescent="0.35">
      <c r="C11467" s="2"/>
    </row>
    <row r="11468" spans="3:3" x14ac:dyDescent="0.35">
      <c r="C11468" s="2"/>
    </row>
    <row r="11469" spans="3:3" x14ac:dyDescent="0.35">
      <c r="C11469" s="2"/>
    </row>
    <row r="11470" spans="3:3" x14ac:dyDescent="0.35">
      <c r="C11470" s="2"/>
    </row>
    <row r="11471" spans="3:3" x14ac:dyDescent="0.35">
      <c r="C11471" s="2"/>
    </row>
    <row r="11472" spans="3:3" x14ac:dyDescent="0.35">
      <c r="C11472" s="2"/>
    </row>
    <row r="11473" spans="3:3" x14ac:dyDescent="0.35">
      <c r="C11473" s="2"/>
    </row>
    <row r="11474" spans="3:3" x14ac:dyDescent="0.35">
      <c r="C11474" s="2"/>
    </row>
    <row r="11475" spans="3:3" x14ac:dyDescent="0.35">
      <c r="C11475" s="2"/>
    </row>
    <row r="11476" spans="3:3" x14ac:dyDescent="0.35">
      <c r="C11476" s="2"/>
    </row>
    <row r="11477" spans="3:3" x14ac:dyDescent="0.35">
      <c r="C11477" s="2"/>
    </row>
    <row r="11478" spans="3:3" x14ac:dyDescent="0.35">
      <c r="C11478" s="2"/>
    </row>
    <row r="11479" spans="3:3" x14ac:dyDescent="0.35">
      <c r="C11479" s="2"/>
    </row>
    <row r="11480" spans="3:3" x14ac:dyDescent="0.35">
      <c r="C11480" s="2"/>
    </row>
    <row r="11481" spans="3:3" x14ac:dyDescent="0.35">
      <c r="C11481" s="2"/>
    </row>
    <row r="11482" spans="3:3" x14ac:dyDescent="0.35">
      <c r="C11482" s="2"/>
    </row>
    <row r="11483" spans="3:3" x14ac:dyDescent="0.35">
      <c r="C11483" s="2"/>
    </row>
    <row r="11484" spans="3:3" x14ac:dyDescent="0.35">
      <c r="C11484" s="2"/>
    </row>
    <row r="11485" spans="3:3" x14ac:dyDescent="0.35">
      <c r="C11485" s="2"/>
    </row>
    <row r="11486" spans="3:3" x14ac:dyDescent="0.35">
      <c r="C11486" s="2"/>
    </row>
    <row r="11487" spans="3:3" x14ac:dyDescent="0.35">
      <c r="C11487" s="2"/>
    </row>
    <row r="11488" spans="3:3" x14ac:dyDescent="0.35">
      <c r="C11488" s="2"/>
    </row>
    <row r="11489" spans="3:3" x14ac:dyDescent="0.35">
      <c r="C11489" s="2"/>
    </row>
    <row r="11490" spans="3:3" x14ac:dyDescent="0.35">
      <c r="C11490" s="2"/>
    </row>
    <row r="11491" spans="3:3" x14ac:dyDescent="0.35">
      <c r="C11491" s="2"/>
    </row>
    <row r="11492" spans="3:3" x14ac:dyDescent="0.35">
      <c r="C11492" s="2"/>
    </row>
    <row r="11493" spans="3:3" x14ac:dyDescent="0.35">
      <c r="C11493" s="2"/>
    </row>
    <row r="11494" spans="3:3" x14ac:dyDescent="0.35">
      <c r="C11494" s="2"/>
    </row>
    <row r="11495" spans="3:3" x14ac:dyDescent="0.35">
      <c r="C11495" s="2"/>
    </row>
    <row r="11496" spans="3:3" x14ac:dyDescent="0.35">
      <c r="C11496" s="2"/>
    </row>
    <row r="11497" spans="3:3" x14ac:dyDescent="0.35">
      <c r="C11497" s="2"/>
    </row>
    <row r="11498" spans="3:3" x14ac:dyDescent="0.35">
      <c r="C11498" s="2"/>
    </row>
    <row r="11499" spans="3:3" x14ac:dyDescent="0.35">
      <c r="C11499" s="2"/>
    </row>
    <row r="11500" spans="3:3" x14ac:dyDescent="0.35">
      <c r="C11500" s="2"/>
    </row>
    <row r="11501" spans="3:3" x14ac:dyDescent="0.35">
      <c r="C11501" s="2"/>
    </row>
    <row r="11502" spans="3:3" x14ac:dyDescent="0.35">
      <c r="C11502" s="2"/>
    </row>
    <row r="11503" spans="3:3" x14ac:dyDescent="0.35">
      <c r="C11503" s="2"/>
    </row>
    <row r="11504" spans="3:3" x14ac:dyDescent="0.35">
      <c r="C11504" s="2"/>
    </row>
    <row r="11505" spans="3:3" x14ac:dyDescent="0.35">
      <c r="C11505" s="2"/>
    </row>
    <row r="11506" spans="3:3" x14ac:dyDescent="0.35">
      <c r="C11506" s="2"/>
    </row>
    <row r="11507" spans="3:3" x14ac:dyDescent="0.35">
      <c r="C11507" s="2"/>
    </row>
    <row r="11508" spans="3:3" x14ac:dyDescent="0.35">
      <c r="C11508" s="2"/>
    </row>
    <row r="11509" spans="3:3" x14ac:dyDescent="0.35">
      <c r="C11509" s="2"/>
    </row>
    <row r="11510" spans="3:3" x14ac:dyDescent="0.35">
      <c r="C11510" s="2"/>
    </row>
    <row r="11511" spans="3:3" x14ac:dyDescent="0.35">
      <c r="C11511" s="2"/>
    </row>
    <row r="11512" spans="3:3" x14ac:dyDescent="0.35">
      <c r="C11512" s="2"/>
    </row>
    <row r="11513" spans="3:3" x14ac:dyDescent="0.35">
      <c r="C11513" s="2"/>
    </row>
    <row r="11514" spans="3:3" x14ac:dyDescent="0.35">
      <c r="C11514" s="2"/>
    </row>
    <row r="11515" spans="3:3" x14ac:dyDescent="0.35">
      <c r="C11515" s="2"/>
    </row>
    <row r="11516" spans="3:3" x14ac:dyDescent="0.35">
      <c r="C11516" s="2"/>
    </row>
    <row r="11517" spans="3:3" x14ac:dyDescent="0.35">
      <c r="C11517" s="2"/>
    </row>
    <row r="11518" spans="3:3" x14ac:dyDescent="0.35">
      <c r="C11518" s="2"/>
    </row>
    <row r="11519" spans="3:3" x14ac:dyDescent="0.35">
      <c r="C11519" s="2"/>
    </row>
    <row r="11520" spans="3:3" x14ac:dyDescent="0.35">
      <c r="C11520" s="2"/>
    </row>
    <row r="11521" spans="3:3" x14ac:dyDescent="0.35">
      <c r="C11521" s="2"/>
    </row>
    <row r="11522" spans="3:3" x14ac:dyDescent="0.35">
      <c r="C11522" s="2"/>
    </row>
    <row r="11523" spans="3:3" x14ac:dyDescent="0.35">
      <c r="C11523" s="2"/>
    </row>
    <row r="11524" spans="3:3" x14ac:dyDescent="0.35">
      <c r="C11524" s="2"/>
    </row>
    <row r="11525" spans="3:3" x14ac:dyDescent="0.35">
      <c r="C11525" s="2"/>
    </row>
    <row r="11526" spans="3:3" x14ac:dyDescent="0.35">
      <c r="C11526" s="2"/>
    </row>
    <row r="11527" spans="3:3" x14ac:dyDescent="0.35">
      <c r="C11527" s="2"/>
    </row>
    <row r="11528" spans="3:3" x14ac:dyDescent="0.35">
      <c r="C11528" s="2"/>
    </row>
    <row r="11529" spans="3:3" x14ac:dyDescent="0.35">
      <c r="C11529" s="2"/>
    </row>
    <row r="11530" spans="3:3" x14ac:dyDescent="0.35">
      <c r="C11530" s="2"/>
    </row>
    <row r="11531" spans="3:3" x14ac:dyDescent="0.35">
      <c r="C11531" s="2"/>
    </row>
    <row r="11532" spans="3:3" x14ac:dyDescent="0.35">
      <c r="C11532" s="2"/>
    </row>
    <row r="11533" spans="3:3" x14ac:dyDescent="0.35">
      <c r="C11533" s="2"/>
    </row>
    <row r="11534" spans="3:3" x14ac:dyDescent="0.35">
      <c r="C11534" s="2"/>
    </row>
    <row r="11535" spans="3:3" x14ac:dyDescent="0.35">
      <c r="C11535" s="2"/>
    </row>
    <row r="11536" spans="3:3" x14ac:dyDescent="0.35">
      <c r="C11536" s="2"/>
    </row>
    <row r="11537" spans="3:3" x14ac:dyDescent="0.35">
      <c r="C11537" s="2"/>
    </row>
    <row r="11538" spans="3:3" x14ac:dyDescent="0.35">
      <c r="C11538" s="2"/>
    </row>
    <row r="11539" spans="3:3" x14ac:dyDescent="0.35">
      <c r="C11539" s="2"/>
    </row>
    <row r="11540" spans="3:3" x14ac:dyDescent="0.35">
      <c r="C11540" s="2"/>
    </row>
    <row r="11541" spans="3:3" x14ac:dyDescent="0.35">
      <c r="C11541" s="2"/>
    </row>
    <row r="11542" spans="3:3" x14ac:dyDescent="0.35">
      <c r="C11542" s="2"/>
    </row>
    <row r="11543" spans="3:3" x14ac:dyDescent="0.35">
      <c r="C11543" s="2"/>
    </row>
    <row r="11544" spans="3:3" x14ac:dyDescent="0.35">
      <c r="C11544" s="2"/>
    </row>
    <row r="11545" spans="3:3" x14ac:dyDescent="0.35">
      <c r="C11545" s="2"/>
    </row>
    <row r="11546" spans="3:3" x14ac:dyDescent="0.35">
      <c r="C11546" s="2"/>
    </row>
    <row r="11547" spans="3:3" x14ac:dyDescent="0.35">
      <c r="C11547" s="2"/>
    </row>
    <row r="11548" spans="3:3" x14ac:dyDescent="0.35">
      <c r="C11548" s="2"/>
    </row>
    <row r="11549" spans="3:3" x14ac:dyDescent="0.35">
      <c r="C11549" s="2"/>
    </row>
    <row r="11550" spans="3:3" x14ac:dyDescent="0.35">
      <c r="C11550" s="2"/>
    </row>
    <row r="11551" spans="3:3" x14ac:dyDescent="0.35">
      <c r="C11551" s="2"/>
    </row>
    <row r="11552" spans="3:3" x14ac:dyDescent="0.35">
      <c r="C11552" s="2"/>
    </row>
    <row r="11553" spans="3:3" x14ac:dyDescent="0.35">
      <c r="C11553" s="2"/>
    </row>
    <row r="11554" spans="3:3" x14ac:dyDescent="0.35">
      <c r="C11554" s="2"/>
    </row>
    <row r="11555" spans="3:3" x14ac:dyDescent="0.35">
      <c r="C11555" s="2"/>
    </row>
    <row r="11556" spans="3:3" x14ac:dyDescent="0.35">
      <c r="C11556" s="2"/>
    </row>
    <row r="11557" spans="3:3" x14ac:dyDescent="0.35">
      <c r="C11557" s="2"/>
    </row>
    <row r="11558" spans="3:3" x14ac:dyDescent="0.35">
      <c r="C11558" s="2"/>
    </row>
    <row r="11559" spans="3:3" x14ac:dyDescent="0.35">
      <c r="C11559" s="2"/>
    </row>
    <row r="11560" spans="3:3" x14ac:dyDescent="0.35">
      <c r="C11560" s="2"/>
    </row>
    <row r="11561" spans="3:3" x14ac:dyDescent="0.35">
      <c r="C11561" s="2"/>
    </row>
    <row r="11562" spans="3:3" x14ac:dyDescent="0.35">
      <c r="C11562" s="2"/>
    </row>
    <row r="11563" spans="3:3" x14ac:dyDescent="0.35">
      <c r="C11563" s="2"/>
    </row>
    <row r="11564" spans="3:3" x14ac:dyDescent="0.35">
      <c r="C11564" s="2"/>
    </row>
    <row r="11565" spans="3:3" x14ac:dyDescent="0.35">
      <c r="C11565" s="2"/>
    </row>
    <row r="11566" spans="3:3" x14ac:dyDescent="0.35">
      <c r="C11566" s="2"/>
    </row>
    <row r="11567" spans="3:3" x14ac:dyDescent="0.35">
      <c r="C11567" s="2"/>
    </row>
    <row r="11568" spans="3:3" x14ac:dyDescent="0.35">
      <c r="C11568" s="2"/>
    </row>
    <row r="11569" spans="3:3" x14ac:dyDescent="0.35">
      <c r="C11569" s="2"/>
    </row>
    <row r="11570" spans="3:3" x14ac:dyDescent="0.35">
      <c r="C11570" s="2"/>
    </row>
    <row r="11571" spans="3:3" x14ac:dyDescent="0.35">
      <c r="C11571" s="2"/>
    </row>
    <row r="11572" spans="3:3" x14ac:dyDescent="0.35">
      <c r="C11572" s="2"/>
    </row>
    <row r="11573" spans="3:3" x14ac:dyDescent="0.35">
      <c r="C11573" s="2"/>
    </row>
    <row r="11574" spans="3:3" x14ac:dyDescent="0.35">
      <c r="C11574" s="2"/>
    </row>
    <row r="11575" spans="3:3" x14ac:dyDescent="0.35">
      <c r="C11575" s="2"/>
    </row>
    <row r="11576" spans="3:3" x14ac:dyDescent="0.35">
      <c r="C11576" s="2"/>
    </row>
    <row r="11577" spans="3:3" x14ac:dyDescent="0.35">
      <c r="C11577" s="2"/>
    </row>
    <row r="11578" spans="3:3" x14ac:dyDescent="0.35">
      <c r="C11578" s="2"/>
    </row>
    <row r="11579" spans="3:3" x14ac:dyDescent="0.35">
      <c r="C11579" s="2"/>
    </row>
    <row r="11580" spans="3:3" x14ac:dyDescent="0.35">
      <c r="C11580" s="2"/>
    </row>
    <row r="11581" spans="3:3" x14ac:dyDescent="0.35">
      <c r="C11581" s="2"/>
    </row>
    <row r="11582" spans="3:3" x14ac:dyDescent="0.35">
      <c r="C11582" s="2"/>
    </row>
    <row r="11583" spans="3:3" x14ac:dyDescent="0.35">
      <c r="C11583" s="2"/>
    </row>
    <row r="11584" spans="3:3" x14ac:dyDescent="0.35">
      <c r="C11584" s="2"/>
    </row>
    <row r="11585" spans="3:3" x14ac:dyDescent="0.35">
      <c r="C11585" s="2"/>
    </row>
    <row r="11586" spans="3:3" x14ac:dyDescent="0.35">
      <c r="C11586" s="2"/>
    </row>
    <row r="11587" spans="3:3" x14ac:dyDescent="0.35">
      <c r="C11587" s="2"/>
    </row>
    <row r="11588" spans="3:3" x14ac:dyDescent="0.35">
      <c r="C11588" s="2"/>
    </row>
    <row r="11589" spans="3:3" x14ac:dyDescent="0.35">
      <c r="C11589" s="2"/>
    </row>
    <row r="11590" spans="3:3" x14ac:dyDescent="0.35">
      <c r="C11590" s="2"/>
    </row>
    <row r="11591" spans="3:3" x14ac:dyDescent="0.35">
      <c r="C11591" s="2"/>
    </row>
    <row r="11592" spans="3:3" x14ac:dyDescent="0.35">
      <c r="C11592" s="2"/>
    </row>
    <row r="11593" spans="3:3" x14ac:dyDescent="0.35">
      <c r="C11593" s="2"/>
    </row>
    <row r="11594" spans="3:3" x14ac:dyDescent="0.35">
      <c r="C11594" s="2"/>
    </row>
    <row r="11595" spans="3:3" x14ac:dyDescent="0.35">
      <c r="C11595" s="2"/>
    </row>
    <row r="11596" spans="3:3" x14ac:dyDescent="0.35">
      <c r="C11596" s="2"/>
    </row>
    <row r="11597" spans="3:3" x14ac:dyDescent="0.35">
      <c r="C11597" s="2"/>
    </row>
    <row r="11598" spans="3:3" x14ac:dyDescent="0.35">
      <c r="C11598" s="2"/>
    </row>
    <row r="11599" spans="3:3" x14ac:dyDescent="0.35">
      <c r="C11599" s="2"/>
    </row>
    <row r="11600" spans="3:3" x14ac:dyDescent="0.35">
      <c r="C11600" s="2"/>
    </row>
    <row r="11601" spans="3:3" x14ac:dyDescent="0.35">
      <c r="C11601" s="2"/>
    </row>
    <row r="11602" spans="3:3" x14ac:dyDescent="0.35">
      <c r="C11602" s="2"/>
    </row>
    <row r="11603" spans="3:3" x14ac:dyDescent="0.35">
      <c r="C11603" s="2"/>
    </row>
    <row r="11604" spans="3:3" x14ac:dyDescent="0.35">
      <c r="C11604" s="2"/>
    </row>
    <row r="11605" spans="3:3" x14ac:dyDescent="0.35">
      <c r="C11605" s="2"/>
    </row>
    <row r="11606" spans="3:3" x14ac:dyDescent="0.35">
      <c r="C11606" s="2"/>
    </row>
    <row r="11607" spans="3:3" x14ac:dyDescent="0.35">
      <c r="C11607" s="2"/>
    </row>
    <row r="11608" spans="3:3" x14ac:dyDescent="0.35">
      <c r="C11608" s="2"/>
    </row>
    <row r="11609" spans="3:3" x14ac:dyDescent="0.35">
      <c r="C11609" s="2"/>
    </row>
    <row r="11610" spans="3:3" x14ac:dyDescent="0.35">
      <c r="C11610" s="2"/>
    </row>
    <row r="11611" spans="3:3" x14ac:dyDescent="0.35">
      <c r="C11611" s="2"/>
    </row>
    <row r="11612" spans="3:3" x14ac:dyDescent="0.35">
      <c r="C11612" s="2"/>
    </row>
    <row r="11613" spans="3:3" x14ac:dyDescent="0.35">
      <c r="C11613" s="2"/>
    </row>
    <row r="11614" spans="3:3" x14ac:dyDescent="0.35">
      <c r="C11614" s="2"/>
    </row>
    <row r="11615" spans="3:3" x14ac:dyDescent="0.35">
      <c r="C11615" s="2"/>
    </row>
    <row r="11616" spans="3:3" x14ac:dyDescent="0.35">
      <c r="C11616" s="2"/>
    </row>
    <row r="11617" spans="3:3" x14ac:dyDescent="0.35">
      <c r="C11617" s="2"/>
    </row>
    <row r="11618" spans="3:3" x14ac:dyDescent="0.35">
      <c r="C11618" s="2"/>
    </row>
    <row r="11619" spans="3:3" x14ac:dyDescent="0.35">
      <c r="C11619" s="2"/>
    </row>
    <row r="11620" spans="3:3" x14ac:dyDescent="0.35">
      <c r="C11620" s="2"/>
    </row>
    <row r="11621" spans="3:3" x14ac:dyDescent="0.35">
      <c r="C11621" s="2"/>
    </row>
    <row r="11622" spans="3:3" x14ac:dyDescent="0.35">
      <c r="C11622" s="2"/>
    </row>
    <row r="11623" spans="3:3" x14ac:dyDescent="0.35">
      <c r="C11623" s="2"/>
    </row>
    <row r="11624" spans="3:3" x14ac:dyDescent="0.35">
      <c r="C11624" s="2"/>
    </row>
    <row r="11625" spans="3:3" x14ac:dyDescent="0.35">
      <c r="C11625" s="2"/>
    </row>
    <row r="11626" spans="3:3" x14ac:dyDescent="0.35">
      <c r="C11626" s="2"/>
    </row>
    <row r="11627" spans="3:3" x14ac:dyDescent="0.35">
      <c r="C11627" s="2"/>
    </row>
    <row r="11628" spans="3:3" x14ac:dyDescent="0.35">
      <c r="C11628" s="2"/>
    </row>
    <row r="11629" spans="3:3" x14ac:dyDescent="0.35">
      <c r="C11629" s="2"/>
    </row>
    <row r="11630" spans="3:3" x14ac:dyDescent="0.35">
      <c r="C11630" s="2"/>
    </row>
    <row r="11631" spans="3:3" x14ac:dyDescent="0.35">
      <c r="C11631" s="2"/>
    </row>
    <row r="11632" spans="3:3" x14ac:dyDescent="0.35">
      <c r="C11632" s="2"/>
    </row>
    <row r="11633" spans="3:3" x14ac:dyDescent="0.35">
      <c r="C11633" s="2"/>
    </row>
    <row r="11634" spans="3:3" x14ac:dyDescent="0.35">
      <c r="C11634" s="2"/>
    </row>
    <row r="11635" spans="3:3" x14ac:dyDescent="0.35">
      <c r="C11635" s="2"/>
    </row>
    <row r="11636" spans="3:3" x14ac:dyDescent="0.35">
      <c r="C11636" s="2"/>
    </row>
    <row r="11637" spans="3:3" x14ac:dyDescent="0.35">
      <c r="C11637" s="2"/>
    </row>
    <row r="11638" spans="3:3" x14ac:dyDescent="0.35">
      <c r="C11638" s="2"/>
    </row>
    <row r="11639" spans="3:3" x14ac:dyDescent="0.35">
      <c r="C11639" s="2"/>
    </row>
    <row r="11640" spans="3:3" x14ac:dyDescent="0.35">
      <c r="C11640" s="2"/>
    </row>
    <row r="11641" spans="3:3" x14ac:dyDescent="0.35">
      <c r="C11641" s="2"/>
    </row>
    <row r="11642" spans="3:3" x14ac:dyDescent="0.35">
      <c r="C11642" s="2"/>
    </row>
    <row r="11643" spans="3:3" x14ac:dyDescent="0.35">
      <c r="C11643" s="2"/>
    </row>
    <row r="11644" spans="3:3" x14ac:dyDescent="0.35">
      <c r="C11644" s="2"/>
    </row>
    <row r="11645" spans="3:3" x14ac:dyDescent="0.35">
      <c r="C11645" s="2"/>
    </row>
    <row r="11646" spans="3:3" x14ac:dyDescent="0.35">
      <c r="C11646" s="2"/>
    </row>
    <row r="11647" spans="3:3" x14ac:dyDescent="0.35">
      <c r="C11647" s="2"/>
    </row>
    <row r="11648" spans="3:3" x14ac:dyDescent="0.35">
      <c r="C11648" s="2"/>
    </row>
    <row r="11649" spans="3:3" x14ac:dyDescent="0.35">
      <c r="C11649" s="2"/>
    </row>
    <row r="11650" spans="3:3" x14ac:dyDescent="0.35">
      <c r="C11650" s="2"/>
    </row>
    <row r="11651" spans="3:3" x14ac:dyDescent="0.35">
      <c r="C11651" s="2"/>
    </row>
    <row r="11652" spans="3:3" x14ac:dyDescent="0.35">
      <c r="C11652" s="2"/>
    </row>
    <row r="11653" spans="3:3" x14ac:dyDescent="0.35">
      <c r="C11653" s="2"/>
    </row>
    <row r="11654" spans="3:3" x14ac:dyDescent="0.35">
      <c r="C11654" s="2"/>
    </row>
    <row r="11655" spans="3:3" x14ac:dyDescent="0.35">
      <c r="C11655" s="2"/>
    </row>
    <row r="11656" spans="3:3" x14ac:dyDescent="0.35">
      <c r="C11656" s="2"/>
    </row>
    <row r="11657" spans="3:3" x14ac:dyDescent="0.35">
      <c r="C11657" s="2"/>
    </row>
    <row r="11658" spans="3:3" x14ac:dyDescent="0.35">
      <c r="C11658" s="2"/>
    </row>
    <row r="11659" spans="3:3" x14ac:dyDescent="0.35">
      <c r="C11659" s="2"/>
    </row>
    <row r="11660" spans="3:3" x14ac:dyDescent="0.35">
      <c r="C11660" s="2"/>
    </row>
    <row r="11661" spans="3:3" x14ac:dyDescent="0.35">
      <c r="C11661" s="2"/>
    </row>
    <row r="11662" spans="3:3" x14ac:dyDescent="0.35">
      <c r="C11662" s="2"/>
    </row>
    <row r="11663" spans="3:3" x14ac:dyDescent="0.35">
      <c r="C11663" s="2"/>
    </row>
    <row r="11664" spans="3:3" x14ac:dyDescent="0.35">
      <c r="C11664" s="2"/>
    </row>
    <row r="11665" spans="3:3" x14ac:dyDescent="0.35">
      <c r="C11665" s="2"/>
    </row>
    <row r="11666" spans="3:3" x14ac:dyDescent="0.35">
      <c r="C11666" s="2"/>
    </row>
    <row r="11667" spans="3:3" x14ac:dyDescent="0.35">
      <c r="C11667" s="2"/>
    </row>
    <row r="11668" spans="3:3" x14ac:dyDescent="0.35">
      <c r="C11668" s="2"/>
    </row>
    <row r="11669" spans="3:3" x14ac:dyDescent="0.35">
      <c r="C11669" s="2"/>
    </row>
    <row r="11670" spans="3:3" x14ac:dyDescent="0.35">
      <c r="C11670" s="2"/>
    </row>
    <row r="11671" spans="3:3" x14ac:dyDescent="0.35">
      <c r="C11671" s="2"/>
    </row>
    <row r="11672" spans="3:3" x14ac:dyDescent="0.35">
      <c r="C11672" s="2"/>
    </row>
    <row r="11673" spans="3:3" x14ac:dyDescent="0.35">
      <c r="C11673" s="2"/>
    </row>
    <row r="11674" spans="3:3" x14ac:dyDescent="0.35">
      <c r="C11674" s="2"/>
    </row>
    <row r="11675" spans="3:3" x14ac:dyDescent="0.35">
      <c r="C11675" s="2"/>
    </row>
    <row r="11676" spans="3:3" x14ac:dyDescent="0.35">
      <c r="C11676" s="2"/>
    </row>
    <row r="11677" spans="3:3" x14ac:dyDescent="0.35">
      <c r="C11677" s="2"/>
    </row>
    <row r="11678" spans="3:3" x14ac:dyDescent="0.35">
      <c r="C11678" s="2"/>
    </row>
    <row r="11679" spans="3:3" x14ac:dyDescent="0.35">
      <c r="C11679" s="2"/>
    </row>
    <row r="11680" spans="3:3" x14ac:dyDescent="0.35">
      <c r="C11680" s="2"/>
    </row>
    <row r="11681" spans="3:3" x14ac:dyDescent="0.35">
      <c r="C11681" s="2"/>
    </row>
    <row r="11682" spans="3:3" x14ac:dyDescent="0.35">
      <c r="C11682" s="2"/>
    </row>
    <row r="11683" spans="3:3" x14ac:dyDescent="0.35">
      <c r="C11683" s="2"/>
    </row>
    <row r="11684" spans="3:3" x14ac:dyDescent="0.35">
      <c r="C11684" s="2"/>
    </row>
    <row r="11685" spans="3:3" x14ac:dyDescent="0.35">
      <c r="C11685" s="2"/>
    </row>
    <row r="11686" spans="3:3" x14ac:dyDescent="0.35">
      <c r="C11686" s="2"/>
    </row>
    <row r="11687" spans="3:3" x14ac:dyDescent="0.35">
      <c r="C11687" s="2"/>
    </row>
    <row r="11688" spans="3:3" x14ac:dyDescent="0.35">
      <c r="C11688" s="2"/>
    </row>
    <row r="11689" spans="3:3" x14ac:dyDescent="0.35">
      <c r="C11689" s="2"/>
    </row>
    <row r="11690" spans="3:3" x14ac:dyDescent="0.35">
      <c r="C11690" s="2"/>
    </row>
    <row r="11691" spans="3:3" x14ac:dyDescent="0.35">
      <c r="C11691" s="2"/>
    </row>
    <row r="11692" spans="3:3" x14ac:dyDescent="0.35">
      <c r="C11692" s="2"/>
    </row>
    <row r="11693" spans="3:3" x14ac:dyDescent="0.35">
      <c r="C11693" s="2"/>
    </row>
    <row r="11694" spans="3:3" x14ac:dyDescent="0.35">
      <c r="C11694" s="2"/>
    </row>
    <row r="11695" spans="3:3" x14ac:dyDescent="0.35">
      <c r="C11695" s="2"/>
    </row>
    <row r="11696" spans="3:3" x14ac:dyDescent="0.35">
      <c r="C11696" s="2"/>
    </row>
    <row r="11697" spans="3:3" x14ac:dyDescent="0.35">
      <c r="C11697" s="2"/>
    </row>
    <row r="11698" spans="3:3" x14ac:dyDescent="0.35">
      <c r="C11698" s="2"/>
    </row>
    <row r="11699" spans="3:3" x14ac:dyDescent="0.35">
      <c r="C11699" s="2"/>
    </row>
    <row r="11700" spans="3:3" x14ac:dyDescent="0.35">
      <c r="C11700" s="2"/>
    </row>
    <row r="11701" spans="3:3" x14ac:dyDescent="0.35">
      <c r="C11701" s="2"/>
    </row>
    <row r="11702" spans="3:3" x14ac:dyDescent="0.35">
      <c r="C11702" s="2"/>
    </row>
    <row r="11703" spans="3:3" x14ac:dyDescent="0.35">
      <c r="C11703" s="2"/>
    </row>
    <row r="11704" spans="3:3" x14ac:dyDescent="0.35">
      <c r="C11704" s="2"/>
    </row>
    <row r="11705" spans="3:3" x14ac:dyDescent="0.35">
      <c r="C11705" s="2"/>
    </row>
    <row r="11706" spans="3:3" x14ac:dyDescent="0.35">
      <c r="C11706" s="2"/>
    </row>
    <row r="11707" spans="3:3" x14ac:dyDescent="0.35">
      <c r="C11707" s="2"/>
    </row>
    <row r="11708" spans="3:3" x14ac:dyDescent="0.35">
      <c r="C11708" s="2"/>
    </row>
    <row r="11709" spans="3:3" x14ac:dyDescent="0.35">
      <c r="C11709" s="2"/>
    </row>
    <row r="11710" spans="3:3" x14ac:dyDescent="0.35">
      <c r="C11710" s="2"/>
    </row>
    <row r="11711" spans="3:3" x14ac:dyDescent="0.35">
      <c r="C11711" s="2"/>
    </row>
    <row r="11712" spans="3:3" x14ac:dyDescent="0.35">
      <c r="C11712" s="2"/>
    </row>
    <row r="11713" spans="3:3" x14ac:dyDescent="0.35">
      <c r="C11713" s="2"/>
    </row>
    <row r="11714" spans="3:3" x14ac:dyDescent="0.35">
      <c r="C11714" s="2"/>
    </row>
    <row r="11715" spans="3:3" x14ac:dyDescent="0.35">
      <c r="C11715" s="2"/>
    </row>
    <row r="11716" spans="3:3" x14ac:dyDescent="0.35">
      <c r="C11716" s="2"/>
    </row>
    <row r="11717" spans="3:3" x14ac:dyDescent="0.35">
      <c r="C11717" s="2"/>
    </row>
    <row r="11718" spans="3:3" x14ac:dyDescent="0.35">
      <c r="C11718" s="2"/>
    </row>
    <row r="11719" spans="3:3" x14ac:dyDescent="0.35">
      <c r="C11719" s="2"/>
    </row>
    <row r="11720" spans="3:3" x14ac:dyDescent="0.35">
      <c r="C11720" s="2"/>
    </row>
    <row r="11721" spans="3:3" x14ac:dyDescent="0.35">
      <c r="C11721" s="2"/>
    </row>
    <row r="11722" spans="3:3" x14ac:dyDescent="0.35">
      <c r="C11722" s="2"/>
    </row>
    <row r="11723" spans="3:3" x14ac:dyDescent="0.35">
      <c r="C11723" s="2"/>
    </row>
    <row r="11724" spans="3:3" x14ac:dyDescent="0.35">
      <c r="C11724" s="2"/>
    </row>
    <row r="11725" spans="3:3" x14ac:dyDescent="0.35">
      <c r="C11725" s="2"/>
    </row>
    <row r="11726" spans="3:3" x14ac:dyDescent="0.35">
      <c r="C11726" s="2"/>
    </row>
    <row r="11727" spans="3:3" x14ac:dyDescent="0.35">
      <c r="C11727" s="2"/>
    </row>
    <row r="11728" spans="3:3" x14ac:dyDescent="0.35">
      <c r="C11728" s="2"/>
    </row>
    <row r="11729" spans="3:3" x14ac:dyDescent="0.35">
      <c r="C11729" s="2"/>
    </row>
    <row r="11730" spans="3:3" x14ac:dyDescent="0.35">
      <c r="C11730" s="2"/>
    </row>
    <row r="11731" spans="3:3" x14ac:dyDescent="0.35">
      <c r="C11731" s="2"/>
    </row>
    <row r="11732" spans="3:3" x14ac:dyDescent="0.35">
      <c r="C11732" s="2"/>
    </row>
    <row r="11733" spans="3:3" x14ac:dyDescent="0.35">
      <c r="C11733" s="2"/>
    </row>
    <row r="11734" spans="3:3" x14ac:dyDescent="0.35">
      <c r="C11734" s="2"/>
    </row>
    <row r="11735" spans="3:3" x14ac:dyDescent="0.35">
      <c r="C11735" s="2"/>
    </row>
    <row r="11736" spans="3:3" x14ac:dyDescent="0.35">
      <c r="C11736" s="2"/>
    </row>
    <row r="11737" spans="3:3" x14ac:dyDescent="0.35">
      <c r="C11737" s="2"/>
    </row>
    <row r="11738" spans="3:3" x14ac:dyDescent="0.35">
      <c r="C11738" s="2"/>
    </row>
    <row r="11739" spans="3:3" x14ac:dyDescent="0.35">
      <c r="C11739" s="2"/>
    </row>
    <row r="11740" spans="3:3" x14ac:dyDescent="0.35">
      <c r="C11740" s="2"/>
    </row>
    <row r="11741" spans="3:3" x14ac:dyDescent="0.35">
      <c r="C11741" s="2"/>
    </row>
    <row r="11742" spans="3:3" x14ac:dyDescent="0.35">
      <c r="C11742" s="2"/>
    </row>
    <row r="11743" spans="3:3" x14ac:dyDescent="0.35">
      <c r="C11743" s="2"/>
    </row>
    <row r="11744" spans="3:3" x14ac:dyDescent="0.35">
      <c r="C11744" s="2"/>
    </row>
    <row r="11745" spans="3:3" x14ac:dyDescent="0.35">
      <c r="C11745" s="2"/>
    </row>
    <row r="11746" spans="3:3" x14ac:dyDescent="0.35">
      <c r="C11746" s="2"/>
    </row>
    <row r="11747" spans="3:3" x14ac:dyDescent="0.35">
      <c r="C11747" s="2"/>
    </row>
    <row r="11748" spans="3:3" x14ac:dyDescent="0.35">
      <c r="C11748" s="2"/>
    </row>
    <row r="11749" spans="3:3" x14ac:dyDescent="0.35">
      <c r="C11749" s="2"/>
    </row>
    <row r="11750" spans="3:3" x14ac:dyDescent="0.35">
      <c r="C11750" s="2"/>
    </row>
    <row r="11751" spans="3:3" x14ac:dyDescent="0.35">
      <c r="C11751" s="2"/>
    </row>
    <row r="11752" spans="3:3" x14ac:dyDescent="0.35">
      <c r="C11752" s="2"/>
    </row>
    <row r="11753" spans="3:3" x14ac:dyDescent="0.35">
      <c r="C11753" s="2"/>
    </row>
    <row r="11754" spans="3:3" x14ac:dyDescent="0.35">
      <c r="C11754" s="2"/>
    </row>
    <row r="11755" spans="3:3" x14ac:dyDescent="0.35">
      <c r="C11755" s="2"/>
    </row>
    <row r="11756" spans="3:3" x14ac:dyDescent="0.35">
      <c r="C11756" s="2"/>
    </row>
    <row r="11757" spans="3:3" x14ac:dyDescent="0.35">
      <c r="C11757" s="2"/>
    </row>
    <row r="11758" spans="3:3" x14ac:dyDescent="0.35">
      <c r="C11758" s="2"/>
    </row>
    <row r="11759" spans="3:3" x14ac:dyDescent="0.35">
      <c r="C11759" s="2"/>
    </row>
    <row r="11760" spans="3:3" x14ac:dyDescent="0.35">
      <c r="C11760" s="2"/>
    </row>
    <row r="11761" spans="3:3" x14ac:dyDescent="0.35">
      <c r="C11761" s="2"/>
    </row>
    <row r="11762" spans="3:3" x14ac:dyDescent="0.35">
      <c r="C11762" s="2"/>
    </row>
    <row r="11763" spans="3:3" x14ac:dyDescent="0.35">
      <c r="C11763" s="2"/>
    </row>
    <row r="11764" spans="3:3" x14ac:dyDescent="0.35">
      <c r="C11764" s="2"/>
    </row>
    <row r="11765" spans="3:3" x14ac:dyDescent="0.35">
      <c r="C11765" s="2"/>
    </row>
    <row r="11766" spans="3:3" x14ac:dyDescent="0.35">
      <c r="C11766" s="2"/>
    </row>
    <row r="11767" spans="3:3" x14ac:dyDescent="0.35">
      <c r="C11767" s="2"/>
    </row>
    <row r="11768" spans="3:3" x14ac:dyDescent="0.35">
      <c r="C11768" s="2"/>
    </row>
    <row r="11769" spans="3:3" x14ac:dyDescent="0.35">
      <c r="C11769" s="2"/>
    </row>
    <row r="11770" spans="3:3" x14ac:dyDescent="0.35">
      <c r="C11770" s="2"/>
    </row>
    <row r="11771" spans="3:3" x14ac:dyDescent="0.35">
      <c r="C11771" s="2"/>
    </row>
    <row r="11772" spans="3:3" x14ac:dyDescent="0.35">
      <c r="C11772" s="2"/>
    </row>
    <row r="11773" spans="3:3" x14ac:dyDescent="0.35">
      <c r="C11773" s="2"/>
    </row>
    <row r="11774" spans="3:3" x14ac:dyDescent="0.35">
      <c r="C11774" s="2"/>
    </row>
    <row r="11775" spans="3:3" x14ac:dyDescent="0.35">
      <c r="C11775" s="2"/>
    </row>
    <row r="11776" spans="3:3" x14ac:dyDescent="0.35">
      <c r="C11776" s="2"/>
    </row>
    <row r="11777" spans="3:3" x14ac:dyDescent="0.35">
      <c r="C11777" s="2"/>
    </row>
    <row r="11778" spans="3:3" x14ac:dyDescent="0.35">
      <c r="C11778" s="2"/>
    </row>
    <row r="11779" spans="3:3" x14ac:dyDescent="0.35">
      <c r="C11779" s="2"/>
    </row>
    <row r="11780" spans="3:3" x14ac:dyDescent="0.35">
      <c r="C11780" s="2"/>
    </row>
    <row r="11781" spans="3:3" x14ac:dyDescent="0.35">
      <c r="C11781" s="2"/>
    </row>
    <row r="11782" spans="3:3" x14ac:dyDescent="0.35">
      <c r="C11782" s="2"/>
    </row>
    <row r="11783" spans="3:3" x14ac:dyDescent="0.35">
      <c r="C11783" s="2"/>
    </row>
    <row r="11784" spans="3:3" x14ac:dyDescent="0.35">
      <c r="C11784" s="2"/>
    </row>
    <row r="11785" spans="3:3" x14ac:dyDescent="0.35">
      <c r="C11785" s="2"/>
    </row>
    <row r="11786" spans="3:3" x14ac:dyDescent="0.35">
      <c r="C11786" s="2"/>
    </row>
    <row r="11787" spans="3:3" x14ac:dyDescent="0.35">
      <c r="C11787" s="2"/>
    </row>
    <row r="11788" spans="3:3" x14ac:dyDescent="0.35">
      <c r="C11788" s="2"/>
    </row>
    <row r="11789" spans="3:3" x14ac:dyDescent="0.35">
      <c r="C11789" s="2"/>
    </row>
    <row r="11790" spans="3:3" x14ac:dyDescent="0.35">
      <c r="C11790" s="2"/>
    </row>
    <row r="11791" spans="3:3" x14ac:dyDescent="0.35">
      <c r="C11791" s="2"/>
    </row>
    <row r="11792" spans="3:3" x14ac:dyDescent="0.35">
      <c r="C11792" s="2"/>
    </row>
    <row r="11793" spans="3:3" x14ac:dyDescent="0.35">
      <c r="C11793" s="2"/>
    </row>
    <row r="11794" spans="3:3" x14ac:dyDescent="0.35">
      <c r="C11794" s="2"/>
    </row>
    <row r="11795" spans="3:3" x14ac:dyDescent="0.35">
      <c r="C11795" s="2"/>
    </row>
    <row r="11796" spans="3:3" x14ac:dyDescent="0.35">
      <c r="C11796" s="2"/>
    </row>
    <row r="11797" spans="3:3" x14ac:dyDescent="0.35">
      <c r="C11797" s="2"/>
    </row>
    <row r="11798" spans="3:3" x14ac:dyDescent="0.35">
      <c r="C11798" s="2"/>
    </row>
    <row r="11799" spans="3:3" x14ac:dyDescent="0.35">
      <c r="C11799" s="2"/>
    </row>
    <row r="11800" spans="3:3" x14ac:dyDescent="0.35">
      <c r="C11800" s="2"/>
    </row>
    <row r="11801" spans="3:3" x14ac:dyDescent="0.35">
      <c r="C11801" s="2"/>
    </row>
    <row r="11802" spans="3:3" x14ac:dyDescent="0.35">
      <c r="C11802" s="2"/>
    </row>
    <row r="11803" spans="3:3" x14ac:dyDescent="0.35">
      <c r="C11803" s="2"/>
    </row>
    <row r="11804" spans="3:3" x14ac:dyDescent="0.35">
      <c r="C11804" s="2"/>
    </row>
    <row r="11805" spans="3:3" x14ac:dyDescent="0.35">
      <c r="C11805" s="2"/>
    </row>
    <row r="11806" spans="3:3" x14ac:dyDescent="0.35">
      <c r="C11806" s="2"/>
    </row>
    <row r="11807" spans="3:3" x14ac:dyDescent="0.35">
      <c r="C11807" s="2"/>
    </row>
    <row r="11808" spans="3:3" x14ac:dyDescent="0.35">
      <c r="C11808" s="2"/>
    </row>
    <row r="11809" spans="3:3" x14ac:dyDescent="0.35">
      <c r="C11809" s="2"/>
    </row>
    <row r="11810" spans="3:3" x14ac:dyDescent="0.35">
      <c r="C11810" s="2"/>
    </row>
    <row r="11811" spans="3:3" x14ac:dyDescent="0.35">
      <c r="C11811" s="2"/>
    </row>
    <row r="11812" spans="3:3" x14ac:dyDescent="0.35">
      <c r="C11812" s="2"/>
    </row>
    <row r="11813" spans="3:3" x14ac:dyDescent="0.35">
      <c r="C11813" s="2"/>
    </row>
    <row r="11814" spans="3:3" x14ac:dyDescent="0.35">
      <c r="C11814" s="2"/>
    </row>
    <row r="11815" spans="3:3" x14ac:dyDescent="0.35">
      <c r="C11815" s="2"/>
    </row>
    <row r="11816" spans="3:3" x14ac:dyDescent="0.35">
      <c r="C11816" s="2"/>
    </row>
    <row r="11817" spans="3:3" x14ac:dyDescent="0.35">
      <c r="C11817" s="2"/>
    </row>
    <row r="11818" spans="3:3" x14ac:dyDescent="0.35">
      <c r="C11818" s="2"/>
    </row>
    <row r="11819" spans="3:3" x14ac:dyDescent="0.35">
      <c r="C11819" s="2"/>
    </row>
    <row r="11820" spans="3:3" x14ac:dyDescent="0.35">
      <c r="C11820" s="2"/>
    </row>
    <row r="11821" spans="3:3" x14ac:dyDescent="0.35">
      <c r="C11821" s="2"/>
    </row>
    <row r="11822" spans="3:3" x14ac:dyDescent="0.35">
      <c r="C11822" s="2"/>
    </row>
    <row r="11823" spans="3:3" x14ac:dyDescent="0.35">
      <c r="C11823" s="2"/>
    </row>
    <row r="11824" spans="3:3" x14ac:dyDescent="0.35">
      <c r="C11824" s="2"/>
    </row>
    <row r="11825" spans="3:3" x14ac:dyDescent="0.35">
      <c r="C11825" s="2"/>
    </row>
    <row r="11826" spans="3:3" x14ac:dyDescent="0.35">
      <c r="C11826" s="2"/>
    </row>
    <row r="11827" spans="3:3" x14ac:dyDescent="0.35">
      <c r="C11827" s="2"/>
    </row>
    <row r="11828" spans="3:3" x14ac:dyDescent="0.35">
      <c r="C11828" s="2"/>
    </row>
    <row r="11829" spans="3:3" x14ac:dyDescent="0.35">
      <c r="C11829" s="2"/>
    </row>
    <row r="11830" spans="3:3" x14ac:dyDescent="0.35">
      <c r="C11830" s="2"/>
    </row>
    <row r="11831" spans="3:3" x14ac:dyDescent="0.35">
      <c r="C11831" s="2"/>
    </row>
    <row r="11832" spans="3:3" x14ac:dyDescent="0.35">
      <c r="C11832" s="2"/>
    </row>
    <row r="11833" spans="3:3" x14ac:dyDescent="0.35">
      <c r="C11833" s="2"/>
    </row>
    <row r="11834" spans="3:3" x14ac:dyDescent="0.35">
      <c r="C11834" s="2"/>
    </row>
    <row r="11835" spans="3:3" x14ac:dyDescent="0.35">
      <c r="C11835" s="2"/>
    </row>
    <row r="11836" spans="3:3" x14ac:dyDescent="0.35">
      <c r="C11836" s="2"/>
    </row>
    <row r="11837" spans="3:3" x14ac:dyDescent="0.35">
      <c r="C11837" s="2"/>
    </row>
    <row r="11838" spans="3:3" x14ac:dyDescent="0.35">
      <c r="C11838" s="2"/>
    </row>
    <row r="11839" spans="3:3" x14ac:dyDescent="0.35">
      <c r="C11839" s="2"/>
    </row>
    <row r="11840" spans="3:3" x14ac:dyDescent="0.35">
      <c r="C11840" s="2"/>
    </row>
    <row r="11841" spans="3:3" x14ac:dyDescent="0.35">
      <c r="C11841" s="2"/>
    </row>
    <row r="11842" spans="3:3" x14ac:dyDescent="0.35">
      <c r="C11842" s="2"/>
    </row>
    <row r="11843" spans="3:3" x14ac:dyDescent="0.35">
      <c r="C11843" s="2"/>
    </row>
    <row r="11844" spans="3:3" x14ac:dyDescent="0.35">
      <c r="C11844" s="2"/>
    </row>
    <row r="11845" spans="3:3" x14ac:dyDescent="0.35">
      <c r="C11845" s="2"/>
    </row>
    <row r="11846" spans="3:3" x14ac:dyDescent="0.35">
      <c r="C11846" s="2"/>
    </row>
    <row r="11847" spans="3:3" x14ac:dyDescent="0.35">
      <c r="C11847" s="2"/>
    </row>
    <row r="11848" spans="3:3" x14ac:dyDescent="0.35">
      <c r="C11848" s="2"/>
    </row>
    <row r="11849" spans="3:3" x14ac:dyDescent="0.35">
      <c r="C11849" s="2"/>
    </row>
    <row r="11850" spans="3:3" x14ac:dyDescent="0.35">
      <c r="C11850" s="2"/>
    </row>
    <row r="11851" spans="3:3" x14ac:dyDescent="0.35">
      <c r="C11851" s="2"/>
    </row>
    <row r="11852" spans="3:3" x14ac:dyDescent="0.35">
      <c r="C11852" s="2"/>
    </row>
    <row r="11853" spans="3:3" x14ac:dyDescent="0.35">
      <c r="C11853" s="2"/>
    </row>
    <row r="11854" spans="3:3" x14ac:dyDescent="0.35">
      <c r="C11854" s="2"/>
    </row>
    <row r="11855" spans="3:3" x14ac:dyDescent="0.35">
      <c r="C11855" s="2"/>
    </row>
    <row r="11856" spans="3:3" x14ac:dyDescent="0.35">
      <c r="C11856" s="2"/>
    </row>
    <row r="11857" spans="3:3" x14ac:dyDescent="0.35">
      <c r="C11857" s="2"/>
    </row>
    <row r="11858" spans="3:3" x14ac:dyDescent="0.35">
      <c r="C11858" s="2"/>
    </row>
    <row r="11859" spans="3:3" x14ac:dyDescent="0.35">
      <c r="C11859" s="2"/>
    </row>
    <row r="11860" spans="3:3" x14ac:dyDescent="0.35">
      <c r="C11860" s="2"/>
    </row>
    <row r="11861" spans="3:3" x14ac:dyDescent="0.35">
      <c r="C11861" s="2"/>
    </row>
    <row r="11862" spans="3:3" x14ac:dyDescent="0.35">
      <c r="C11862" s="2"/>
    </row>
    <row r="11863" spans="3:3" x14ac:dyDescent="0.35">
      <c r="C11863" s="2"/>
    </row>
    <row r="11864" spans="3:3" x14ac:dyDescent="0.35">
      <c r="C11864" s="2"/>
    </row>
    <row r="11865" spans="3:3" x14ac:dyDescent="0.35">
      <c r="C11865" s="2"/>
    </row>
    <row r="11866" spans="3:3" x14ac:dyDescent="0.35">
      <c r="C11866" s="2"/>
    </row>
    <row r="11867" spans="3:3" x14ac:dyDescent="0.35">
      <c r="C11867" s="2"/>
    </row>
    <row r="11868" spans="3:3" x14ac:dyDescent="0.35">
      <c r="C11868" s="2"/>
    </row>
    <row r="11869" spans="3:3" x14ac:dyDescent="0.35">
      <c r="C11869" s="2"/>
    </row>
    <row r="11870" spans="3:3" x14ac:dyDescent="0.35">
      <c r="C11870" s="2"/>
    </row>
    <row r="11871" spans="3:3" x14ac:dyDescent="0.35">
      <c r="C11871" s="2"/>
    </row>
    <row r="11872" spans="3:3" x14ac:dyDescent="0.35">
      <c r="C11872" s="2"/>
    </row>
    <row r="11873" spans="3:3" x14ac:dyDescent="0.35">
      <c r="C11873" s="2"/>
    </row>
    <row r="11874" spans="3:3" x14ac:dyDescent="0.35">
      <c r="C11874" s="2"/>
    </row>
    <row r="11875" spans="3:3" x14ac:dyDescent="0.35">
      <c r="C11875" s="2"/>
    </row>
    <row r="11876" spans="3:3" x14ac:dyDescent="0.35">
      <c r="C11876" s="2"/>
    </row>
    <row r="11877" spans="3:3" x14ac:dyDescent="0.35">
      <c r="C11877" s="2"/>
    </row>
    <row r="11878" spans="3:3" x14ac:dyDescent="0.35">
      <c r="C11878" s="2"/>
    </row>
    <row r="11879" spans="3:3" x14ac:dyDescent="0.35">
      <c r="C11879" s="2"/>
    </row>
    <row r="11880" spans="3:3" x14ac:dyDescent="0.35">
      <c r="C11880" s="2"/>
    </row>
    <row r="11881" spans="3:3" x14ac:dyDescent="0.35">
      <c r="C11881" s="2"/>
    </row>
    <row r="11882" spans="3:3" x14ac:dyDescent="0.35">
      <c r="C11882" s="2"/>
    </row>
    <row r="11883" spans="3:3" x14ac:dyDescent="0.35">
      <c r="C11883" s="2"/>
    </row>
    <row r="11884" spans="3:3" x14ac:dyDescent="0.35">
      <c r="C11884" s="2"/>
    </row>
    <row r="11885" spans="3:3" x14ac:dyDescent="0.35">
      <c r="C11885" s="2"/>
    </row>
    <row r="11886" spans="3:3" x14ac:dyDescent="0.35">
      <c r="C11886" s="2"/>
    </row>
    <row r="11887" spans="3:3" x14ac:dyDescent="0.35">
      <c r="C11887" s="2"/>
    </row>
    <row r="11888" spans="3:3" x14ac:dyDescent="0.35">
      <c r="C11888" s="2"/>
    </row>
    <row r="11889" spans="3:3" x14ac:dyDescent="0.35">
      <c r="C11889" s="2"/>
    </row>
    <row r="11890" spans="3:3" x14ac:dyDescent="0.35">
      <c r="C11890" s="2"/>
    </row>
    <row r="11891" spans="3:3" x14ac:dyDescent="0.35">
      <c r="C11891" s="2"/>
    </row>
    <row r="11892" spans="3:3" x14ac:dyDescent="0.35">
      <c r="C11892" s="2"/>
    </row>
    <row r="11893" spans="3:3" x14ac:dyDescent="0.35">
      <c r="C11893" s="2"/>
    </row>
    <row r="11894" spans="3:3" x14ac:dyDescent="0.35">
      <c r="C11894" s="2"/>
    </row>
    <row r="11895" spans="3:3" x14ac:dyDescent="0.35">
      <c r="C11895" s="2"/>
    </row>
    <row r="11896" spans="3:3" x14ac:dyDescent="0.35">
      <c r="C11896" s="2"/>
    </row>
    <row r="11897" spans="3:3" x14ac:dyDescent="0.35">
      <c r="C11897" s="2"/>
    </row>
    <row r="11898" spans="3:3" x14ac:dyDescent="0.35">
      <c r="C11898" s="2"/>
    </row>
    <row r="11899" spans="3:3" x14ac:dyDescent="0.35">
      <c r="C11899" s="2"/>
    </row>
    <row r="11900" spans="3:3" x14ac:dyDescent="0.35">
      <c r="C11900" s="2"/>
    </row>
    <row r="11901" spans="3:3" x14ac:dyDescent="0.35">
      <c r="C11901" s="2"/>
    </row>
    <row r="11902" spans="3:3" x14ac:dyDescent="0.35">
      <c r="C11902" s="2"/>
    </row>
    <row r="11903" spans="3:3" x14ac:dyDescent="0.35">
      <c r="C11903" s="2"/>
    </row>
    <row r="11904" spans="3:3" x14ac:dyDescent="0.35">
      <c r="C11904" s="2"/>
    </row>
    <row r="11905" spans="3:3" x14ac:dyDescent="0.35">
      <c r="C11905" s="2"/>
    </row>
    <row r="11906" spans="3:3" x14ac:dyDescent="0.35">
      <c r="C11906" s="2"/>
    </row>
    <row r="11907" spans="3:3" x14ac:dyDescent="0.35">
      <c r="C11907" s="2"/>
    </row>
    <row r="11908" spans="3:3" x14ac:dyDescent="0.35">
      <c r="C11908" s="2"/>
    </row>
    <row r="11909" spans="3:3" x14ac:dyDescent="0.35">
      <c r="C11909" s="2"/>
    </row>
    <row r="11910" spans="3:3" x14ac:dyDescent="0.35">
      <c r="C11910" s="2"/>
    </row>
    <row r="11911" spans="3:3" x14ac:dyDescent="0.35">
      <c r="C11911" s="2"/>
    </row>
    <row r="11912" spans="3:3" x14ac:dyDescent="0.35">
      <c r="C11912" s="2"/>
    </row>
    <row r="11913" spans="3:3" x14ac:dyDescent="0.35">
      <c r="C11913" s="2"/>
    </row>
    <row r="11914" spans="3:3" x14ac:dyDescent="0.35">
      <c r="C11914" s="2"/>
    </row>
    <row r="11915" spans="3:3" x14ac:dyDescent="0.35">
      <c r="C11915" s="2"/>
    </row>
    <row r="11916" spans="3:3" x14ac:dyDescent="0.35">
      <c r="C11916" s="2"/>
    </row>
    <row r="11917" spans="3:3" x14ac:dyDescent="0.35">
      <c r="C11917" s="2"/>
    </row>
    <row r="11918" spans="3:3" x14ac:dyDescent="0.35">
      <c r="C11918" s="2"/>
    </row>
    <row r="11919" spans="3:3" x14ac:dyDescent="0.35">
      <c r="C11919" s="2"/>
    </row>
    <row r="11920" spans="3:3" x14ac:dyDescent="0.35">
      <c r="C11920" s="2"/>
    </row>
    <row r="11921" spans="3:3" x14ac:dyDescent="0.35">
      <c r="C11921" s="2"/>
    </row>
    <row r="11922" spans="3:3" x14ac:dyDescent="0.35">
      <c r="C11922" s="2"/>
    </row>
    <row r="11923" spans="3:3" x14ac:dyDescent="0.35">
      <c r="C11923" s="2"/>
    </row>
    <row r="11924" spans="3:3" x14ac:dyDescent="0.35">
      <c r="C11924" s="2"/>
    </row>
    <row r="11925" spans="3:3" x14ac:dyDescent="0.35">
      <c r="C11925" s="2"/>
    </row>
    <row r="11926" spans="3:3" x14ac:dyDescent="0.35">
      <c r="C11926" s="2"/>
    </row>
    <row r="11927" spans="3:3" x14ac:dyDescent="0.35">
      <c r="C11927" s="2"/>
    </row>
    <row r="11928" spans="3:3" x14ac:dyDescent="0.35">
      <c r="C11928" s="2"/>
    </row>
    <row r="11929" spans="3:3" x14ac:dyDescent="0.35">
      <c r="C11929" s="2"/>
    </row>
    <row r="11930" spans="3:3" x14ac:dyDescent="0.35">
      <c r="C11930" s="2"/>
    </row>
    <row r="11931" spans="3:3" x14ac:dyDescent="0.35">
      <c r="C11931" s="2"/>
    </row>
    <row r="11932" spans="3:3" x14ac:dyDescent="0.35">
      <c r="C11932" s="2"/>
    </row>
    <row r="11933" spans="3:3" x14ac:dyDescent="0.35">
      <c r="C11933" s="2"/>
    </row>
    <row r="11934" spans="3:3" x14ac:dyDescent="0.35">
      <c r="C11934" s="2"/>
    </row>
    <row r="11935" spans="3:3" x14ac:dyDescent="0.35">
      <c r="C11935" s="2"/>
    </row>
    <row r="11936" spans="3:3" x14ac:dyDescent="0.35">
      <c r="C11936" s="2"/>
    </row>
    <row r="11937" spans="3:3" x14ac:dyDescent="0.35">
      <c r="C11937" s="2"/>
    </row>
    <row r="11938" spans="3:3" x14ac:dyDescent="0.35">
      <c r="C11938" s="2"/>
    </row>
    <row r="11939" spans="3:3" x14ac:dyDescent="0.35">
      <c r="C11939" s="2"/>
    </row>
    <row r="11940" spans="3:3" x14ac:dyDescent="0.35">
      <c r="C11940" s="2"/>
    </row>
    <row r="11941" spans="3:3" x14ac:dyDescent="0.35">
      <c r="C11941" s="2"/>
    </row>
    <row r="11942" spans="3:3" x14ac:dyDescent="0.35">
      <c r="C11942" s="2"/>
    </row>
    <row r="11943" spans="3:3" x14ac:dyDescent="0.35">
      <c r="C11943" s="2"/>
    </row>
    <row r="11944" spans="3:3" x14ac:dyDescent="0.35">
      <c r="C11944" s="2"/>
    </row>
    <row r="11945" spans="3:3" x14ac:dyDescent="0.35">
      <c r="C11945" s="2"/>
    </row>
    <row r="11946" spans="3:3" x14ac:dyDescent="0.35">
      <c r="C11946" s="2"/>
    </row>
    <row r="11947" spans="3:3" x14ac:dyDescent="0.35">
      <c r="C11947" s="2"/>
    </row>
    <row r="11948" spans="3:3" x14ac:dyDescent="0.35">
      <c r="C11948" s="2"/>
    </row>
    <row r="11949" spans="3:3" x14ac:dyDescent="0.35">
      <c r="C11949" s="2"/>
    </row>
    <row r="11950" spans="3:3" x14ac:dyDescent="0.35">
      <c r="C11950" s="2"/>
    </row>
    <row r="11951" spans="3:3" x14ac:dyDescent="0.35">
      <c r="C11951" s="2"/>
    </row>
    <row r="11952" spans="3:3" x14ac:dyDescent="0.35">
      <c r="C11952" s="2"/>
    </row>
    <row r="11953" spans="3:3" x14ac:dyDescent="0.35">
      <c r="C11953" s="2"/>
    </row>
    <row r="11954" spans="3:3" x14ac:dyDescent="0.35">
      <c r="C11954" s="2"/>
    </row>
    <row r="11955" spans="3:3" x14ac:dyDescent="0.35">
      <c r="C11955" s="2"/>
    </row>
    <row r="11956" spans="3:3" x14ac:dyDescent="0.35">
      <c r="C11956" s="2"/>
    </row>
    <row r="11957" spans="3:3" x14ac:dyDescent="0.35">
      <c r="C11957" s="2"/>
    </row>
    <row r="11958" spans="3:3" x14ac:dyDescent="0.35">
      <c r="C11958" s="2"/>
    </row>
    <row r="11959" spans="3:3" x14ac:dyDescent="0.35">
      <c r="C11959" s="2"/>
    </row>
    <row r="11960" spans="3:3" x14ac:dyDescent="0.35">
      <c r="C11960" s="2"/>
    </row>
    <row r="11961" spans="3:3" x14ac:dyDescent="0.35">
      <c r="C11961" s="2"/>
    </row>
    <row r="11962" spans="3:3" x14ac:dyDescent="0.35">
      <c r="C11962" s="2"/>
    </row>
    <row r="11963" spans="3:3" x14ac:dyDescent="0.35">
      <c r="C11963" s="2"/>
    </row>
    <row r="11964" spans="3:3" x14ac:dyDescent="0.35">
      <c r="C11964" s="2"/>
    </row>
    <row r="11965" spans="3:3" x14ac:dyDescent="0.35">
      <c r="C11965" s="2"/>
    </row>
    <row r="11966" spans="3:3" x14ac:dyDescent="0.35">
      <c r="C11966" s="2"/>
    </row>
    <row r="11967" spans="3:3" x14ac:dyDescent="0.35">
      <c r="C11967" s="2"/>
    </row>
    <row r="11968" spans="3:3" x14ac:dyDescent="0.35">
      <c r="C11968" s="2"/>
    </row>
    <row r="11969" spans="3:3" x14ac:dyDescent="0.35">
      <c r="C11969" s="2"/>
    </row>
    <row r="11970" spans="3:3" x14ac:dyDescent="0.35">
      <c r="C11970" s="2"/>
    </row>
    <row r="11971" spans="3:3" x14ac:dyDescent="0.35">
      <c r="C11971" s="2"/>
    </row>
    <row r="11972" spans="3:3" x14ac:dyDescent="0.35">
      <c r="C11972" s="2"/>
    </row>
    <row r="11973" spans="3:3" x14ac:dyDescent="0.35">
      <c r="C11973" s="2"/>
    </row>
    <row r="11974" spans="3:3" x14ac:dyDescent="0.35">
      <c r="C11974" s="2"/>
    </row>
    <row r="11975" spans="3:3" x14ac:dyDescent="0.35">
      <c r="C11975" s="2"/>
    </row>
    <row r="11976" spans="3:3" x14ac:dyDescent="0.35">
      <c r="C11976" s="2"/>
    </row>
    <row r="11977" spans="3:3" x14ac:dyDescent="0.35">
      <c r="C11977" s="2"/>
    </row>
    <row r="11978" spans="3:3" x14ac:dyDescent="0.35">
      <c r="C11978" s="2"/>
    </row>
    <row r="11979" spans="3:3" x14ac:dyDescent="0.35">
      <c r="C11979" s="2"/>
    </row>
    <row r="11980" spans="3:3" x14ac:dyDescent="0.35">
      <c r="C11980" s="2"/>
    </row>
    <row r="11981" spans="3:3" x14ac:dyDescent="0.35">
      <c r="C11981" s="2"/>
    </row>
    <row r="11982" spans="3:3" x14ac:dyDescent="0.35">
      <c r="C11982" s="2"/>
    </row>
    <row r="11983" spans="3:3" x14ac:dyDescent="0.35">
      <c r="C11983" s="2"/>
    </row>
    <row r="11984" spans="3:3" x14ac:dyDescent="0.35">
      <c r="C11984" s="2"/>
    </row>
    <row r="11985" spans="3:3" x14ac:dyDescent="0.35">
      <c r="C11985" s="2"/>
    </row>
    <row r="11986" spans="3:3" x14ac:dyDescent="0.35">
      <c r="C11986" s="2"/>
    </row>
    <row r="11987" spans="3:3" x14ac:dyDescent="0.35">
      <c r="C11987" s="2"/>
    </row>
    <row r="11988" spans="3:3" x14ac:dyDescent="0.35">
      <c r="C11988" s="2"/>
    </row>
    <row r="11989" spans="3:3" x14ac:dyDescent="0.35">
      <c r="C11989" s="2"/>
    </row>
    <row r="11990" spans="3:3" x14ac:dyDescent="0.35">
      <c r="C11990" s="2"/>
    </row>
    <row r="11991" spans="3:3" x14ac:dyDescent="0.35">
      <c r="C11991" s="2"/>
    </row>
    <row r="11992" spans="3:3" x14ac:dyDescent="0.35">
      <c r="C11992" s="2"/>
    </row>
    <row r="11993" spans="3:3" x14ac:dyDescent="0.35">
      <c r="C11993" s="2"/>
    </row>
    <row r="11994" spans="3:3" x14ac:dyDescent="0.35">
      <c r="C11994" s="2"/>
    </row>
    <row r="11995" spans="3:3" x14ac:dyDescent="0.35">
      <c r="C11995" s="2"/>
    </row>
    <row r="11996" spans="3:3" x14ac:dyDescent="0.35">
      <c r="C11996" s="2"/>
    </row>
    <row r="11997" spans="3:3" x14ac:dyDescent="0.35">
      <c r="C11997" s="2"/>
    </row>
    <row r="11998" spans="3:3" x14ac:dyDescent="0.35">
      <c r="C11998" s="2"/>
    </row>
    <row r="11999" spans="3:3" x14ac:dyDescent="0.35">
      <c r="C11999" s="2"/>
    </row>
    <row r="12000" spans="3:3" x14ac:dyDescent="0.35">
      <c r="C12000" s="2"/>
    </row>
    <row r="12001" spans="3:3" x14ac:dyDescent="0.35">
      <c r="C12001" s="2"/>
    </row>
    <row r="12002" spans="3:3" x14ac:dyDescent="0.35">
      <c r="C12002" s="2"/>
    </row>
    <row r="12003" spans="3:3" x14ac:dyDescent="0.35">
      <c r="C12003" s="2"/>
    </row>
    <row r="12004" spans="3:3" x14ac:dyDescent="0.35">
      <c r="C12004" s="2"/>
    </row>
    <row r="12005" spans="3:3" x14ac:dyDescent="0.35">
      <c r="C12005" s="2"/>
    </row>
    <row r="12006" spans="3:3" x14ac:dyDescent="0.35">
      <c r="C12006" s="2"/>
    </row>
    <row r="12007" spans="3:3" x14ac:dyDescent="0.35">
      <c r="C12007" s="2"/>
    </row>
    <row r="12008" spans="3:3" x14ac:dyDescent="0.35">
      <c r="C12008" s="2"/>
    </row>
    <row r="12009" spans="3:3" x14ac:dyDescent="0.35">
      <c r="C12009" s="2"/>
    </row>
    <row r="12010" spans="3:3" x14ac:dyDescent="0.35">
      <c r="C12010" s="2"/>
    </row>
    <row r="12011" spans="3:3" x14ac:dyDescent="0.35">
      <c r="C12011" s="2"/>
    </row>
    <row r="12012" spans="3:3" x14ac:dyDescent="0.35">
      <c r="C12012" s="2"/>
    </row>
    <row r="12013" spans="3:3" x14ac:dyDescent="0.35">
      <c r="C12013" s="2"/>
    </row>
    <row r="12014" spans="3:3" x14ac:dyDescent="0.35">
      <c r="C12014" s="2"/>
    </row>
    <row r="12015" spans="3:3" x14ac:dyDescent="0.35">
      <c r="C12015" s="2"/>
    </row>
    <row r="12016" spans="3:3" x14ac:dyDescent="0.35">
      <c r="C12016" s="2"/>
    </row>
    <row r="12017" spans="3:3" x14ac:dyDescent="0.35">
      <c r="C12017" s="2"/>
    </row>
    <row r="12018" spans="3:3" x14ac:dyDescent="0.35">
      <c r="C12018" s="2"/>
    </row>
    <row r="12019" spans="3:3" x14ac:dyDescent="0.35">
      <c r="C12019" s="2"/>
    </row>
    <row r="12020" spans="3:3" x14ac:dyDescent="0.35">
      <c r="C12020" s="2"/>
    </row>
    <row r="12021" spans="3:3" x14ac:dyDescent="0.35">
      <c r="C12021" s="2"/>
    </row>
    <row r="12022" spans="3:3" x14ac:dyDescent="0.35">
      <c r="C12022" s="2"/>
    </row>
    <row r="12023" spans="3:3" x14ac:dyDescent="0.35">
      <c r="C12023" s="2"/>
    </row>
    <row r="12024" spans="3:3" x14ac:dyDescent="0.35">
      <c r="C12024" s="2"/>
    </row>
    <row r="12025" spans="3:3" x14ac:dyDescent="0.35">
      <c r="C12025" s="2"/>
    </row>
    <row r="12026" spans="3:3" x14ac:dyDescent="0.35">
      <c r="C12026" s="2"/>
    </row>
    <row r="12027" spans="3:3" x14ac:dyDescent="0.35">
      <c r="C12027" s="2"/>
    </row>
    <row r="12028" spans="3:3" x14ac:dyDescent="0.35">
      <c r="C12028" s="2"/>
    </row>
    <row r="12029" spans="3:3" x14ac:dyDescent="0.35">
      <c r="C12029" s="2"/>
    </row>
    <row r="12030" spans="3:3" x14ac:dyDescent="0.35">
      <c r="C12030" s="2"/>
    </row>
    <row r="12031" spans="3:3" x14ac:dyDescent="0.35">
      <c r="C12031" s="2"/>
    </row>
    <row r="12032" spans="3:3" x14ac:dyDescent="0.35">
      <c r="C12032" s="2"/>
    </row>
    <row r="12033" spans="3:3" x14ac:dyDescent="0.35">
      <c r="C12033" s="2"/>
    </row>
    <row r="12034" spans="3:3" x14ac:dyDescent="0.35">
      <c r="C12034" s="2"/>
    </row>
    <row r="12035" spans="3:3" x14ac:dyDescent="0.35">
      <c r="C12035" s="2"/>
    </row>
    <row r="12036" spans="3:3" x14ac:dyDescent="0.35">
      <c r="C12036" s="2"/>
    </row>
    <row r="12037" spans="3:3" x14ac:dyDescent="0.35">
      <c r="C12037" s="2"/>
    </row>
    <row r="12038" spans="3:3" x14ac:dyDescent="0.35">
      <c r="C12038" s="2"/>
    </row>
    <row r="12039" spans="3:3" x14ac:dyDescent="0.35">
      <c r="C12039" s="2"/>
    </row>
    <row r="12040" spans="3:3" x14ac:dyDescent="0.35">
      <c r="C12040" s="2"/>
    </row>
    <row r="12041" spans="3:3" x14ac:dyDescent="0.35">
      <c r="C12041" s="2"/>
    </row>
    <row r="12042" spans="3:3" x14ac:dyDescent="0.35">
      <c r="C12042" s="2"/>
    </row>
    <row r="12043" spans="3:3" x14ac:dyDescent="0.35">
      <c r="C12043" s="2"/>
    </row>
    <row r="12044" spans="3:3" x14ac:dyDescent="0.35">
      <c r="C12044" s="2"/>
    </row>
    <row r="12045" spans="3:3" x14ac:dyDescent="0.35">
      <c r="C12045" s="2"/>
    </row>
    <row r="12046" spans="3:3" x14ac:dyDescent="0.35">
      <c r="C12046" s="2"/>
    </row>
    <row r="12047" spans="3:3" x14ac:dyDescent="0.35">
      <c r="C12047" s="2"/>
    </row>
    <row r="12048" spans="3:3" x14ac:dyDescent="0.35">
      <c r="C12048" s="2"/>
    </row>
    <row r="12049" spans="3:3" x14ac:dyDescent="0.35">
      <c r="C12049" s="2"/>
    </row>
    <row r="12050" spans="3:3" x14ac:dyDescent="0.35">
      <c r="C12050" s="2"/>
    </row>
    <row r="12051" spans="3:3" x14ac:dyDescent="0.35">
      <c r="C12051" s="2"/>
    </row>
    <row r="12052" spans="3:3" x14ac:dyDescent="0.35">
      <c r="C12052" s="2"/>
    </row>
    <row r="12053" spans="3:3" x14ac:dyDescent="0.35">
      <c r="C12053" s="2"/>
    </row>
    <row r="12054" spans="3:3" x14ac:dyDescent="0.35">
      <c r="C12054" s="2"/>
    </row>
    <row r="12055" spans="3:3" x14ac:dyDescent="0.35">
      <c r="C12055" s="2"/>
    </row>
    <row r="12056" spans="3:3" x14ac:dyDescent="0.35">
      <c r="C12056" s="2"/>
    </row>
    <row r="12057" spans="3:3" x14ac:dyDescent="0.35">
      <c r="C12057" s="2"/>
    </row>
    <row r="12058" spans="3:3" x14ac:dyDescent="0.35">
      <c r="C12058" s="2"/>
    </row>
    <row r="12059" spans="3:3" x14ac:dyDescent="0.35">
      <c r="C12059" s="2"/>
    </row>
    <row r="12060" spans="3:3" x14ac:dyDescent="0.35">
      <c r="C12060" s="2"/>
    </row>
    <row r="12061" spans="3:3" x14ac:dyDescent="0.35">
      <c r="C12061" s="2"/>
    </row>
    <row r="12062" spans="3:3" x14ac:dyDescent="0.35">
      <c r="C12062" s="2"/>
    </row>
    <row r="12063" spans="3:3" x14ac:dyDescent="0.35">
      <c r="C12063" s="2"/>
    </row>
    <row r="12064" spans="3:3" x14ac:dyDescent="0.35">
      <c r="C12064" s="2"/>
    </row>
    <row r="12065" spans="3:3" x14ac:dyDescent="0.35">
      <c r="C12065" s="2"/>
    </row>
    <row r="12066" spans="3:3" x14ac:dyDescent="0.35">
      <c r="C12066" s="2"/>
    </row>
    <row r="12067" spans="3:3" x14ac:dyDescent="0.35">
      <c r="C12067" s="2"/>
    </row>
    <row r="12068" spans="3:3" x14ac:dyDescent="0.35">
      <c r="C12068" s="2"/>
    </row>
    <row r="12069" spans="3:3" x14ac:dyDescent="0.35">
      <c r="C12069" s="2"/>
    </row>
    <row r="12070" spans="3:3" x14ac:dyDescent="0.35">
      <c r="C12070" s="2"/>
    </row>
    <row r="12071" spans="3:3" x14ac:dyDescent="0.35">
      <c r="C12071" s="2"/>
    </row>
    <row r="12072" spans="3:3" x14ac:dyDescent="0.35">
      <c r="C12072" s="2"/>
    </row>
    <row r="12073" spans="3:3" x14ac:dyDescent="0.35">
      <c r="C12073" s="2"/>
    </row>
    <row r="12074" spans="3:3" x14ac:dyDescent="0.35">
      <c r="C12074" s="2"/>
    </row>
    <row r="12075" spans="3:3" x14ac:dyDescent="0.35">
      <c r="C12075" s="2"/>
    </row>
    <row r="12076" spans="3:3" x14ac:dyDescent="0.35">
      <c r="C12076" s="2"/>
    </row>
    <row r="12077" spans="3:3" x14ac:dyDescent="0.35">
      <c r="C12077" s="2"/>
    </row>
    <row r="12078" spans="3:3" x14ac:dyDescent="0.35">
      <c r="C12078" s="2"/>
    </row>
    <row r="12079" spans="3:3" x14ac:dyDescent="0.35">
      <c r="C12079" s="2"/>
    </row>
    <row r="12080" spans="3:3" x14ac:dyDescent="0.35">
      <c r="C12080" s="2"/>
    </row>
    <row r="12081" spans="3:3" x14ac:dyDescent="0.35">
      <c r="C12081" s="2"/>
    </row>
    <row r="12082" spans="3:3" x14ac:dyDescent="0.35">
      <c r="C12082" s="2"/>
    </row>
    <row r="12083" spans="3:3" x14ac:dyDescent="0.35">
      <c r="C12083" s="2"/>
    </row>
    <row r="12084" spans="3:3" x14ac:dyDescent="0.35">
      <c r="C12084" s="2"/>
    </row>
    <row r="12085" spans="3:3" x14ac:dyDescent="0.35">
      <c r="C12085" s="2"/>
    </row>
    <row r="12086" spans="3:3" x14ac:dyDescent="0.35">
      <c r="C12086" s="2"/>
    </row>
    <row r="12087" spans="3:3" x14ac:dyDescent="0.35">
      <c r="C12087" s="2"/>
    </row>
    <row r="12088" spans="3:3" x14ac:dyDescent="0.35">
      <c r="C12088" s="2"/>
    </row>
    <row r="12089" spans="3:3" x14ac:dyDescent="0.35">
      <c r="C12089" s="2"/>
    </row>
    <row r="12090" spans="3:3" x14ac:dyDescent="0.35">
      <c r="C12090" s="2"/>
    </row>
    <row r="12091" spans="3:3" x14ac:dyDescent="0.35">
      <c r="C12091" s="2"/>
    </row>
    <row r="12092" spans="3:3" x14ac:dyDescent="0.35">
      <c r="C12092" s="2"/>
    </row>
    <row r="12093" spans="3:3" x14ac:dyDescent="0.35">
      <c r="C12093" s="2"/>
    </row>
    <row r="12094" spans="3:3" x14ac:dyDescent="0.35">
      <c r="C12094" s="2"/>
    </row>
    <row r="12095" spans="3:3" x14ac:dyDescent="0.35">
      <c r="C12095" s="2"/>
    </row>
    <row r="12096" spans="3:3" x14ac:dyDescent="0.35">
      <c r="C12096" s="2"/>
    </row>
    <row r="12097" spans="3:3" x14ac:dyDescent="0.35">
      <c r="C12097" s="2"/>
    </row>
    <row r="12098" spans="3:3" x14ac:dyDescent="0.35">
      <c r="C12098" s="2"/>
    </row>
    <row r="12099" spans="3:3" x14ac:dyDescent="0.35">
      <c r="C12099" s="2"/>
    </row>
    <row r="12100" spans="3:3" x14ac:dyDescent="0.35">
      <c r="C12100" s="2"/>
    </row>
    <row r="12101" spans="3:3" x14ac:dyDescent="0.35">
      <c r="C12101" s="2"/>
    </row>
    <row r="12102" spans="3:3" x14ac:dyDescent="0.35">
      <c r="C12102" s="2"/>
    </row>
    <row r="12103" spans="3:3" x14ac:dyDescent="0.35">
      <c r="C12103" s="2"/>
    </row>
    <row r="12104" spans="3:3" x14ac:dyDescent="0.35">
      <c r="C12104" s="2"/>
    </row>
    <row r="12105" spans="3:3" x14ac:dyDescent="0.35">
      <c r="C12105" s="2"/>
    </row>
    <row r="12106" spans="3:3" x14ac:dyDescent="0.35">
      <c r="C12106" s="2"/>
    </row>
    <row r="12107" spans="3:3" x14ac:dyDescent="0.35">
      <c r="C12107" s="2"/>
    </row>
    <row r="12108" spans="3:3" x14ac:dyDescent="0.35">
      <c r="C12108" s="2"/>
    </row>
    <row r="12109" spans="3:3" x14ac:dyDescent="0.35">
      <c r="C12109" s="2"/>
    </row>
    <row r="12110" spans="3:3" x14ac:dyDescent="0.35">
      <c r="C12110" s="2"/>
    </row>
    <row r="12111" spans="3:3" x14ac:dyDescent="0.35">
      <c r="C12111" s="2"/>
    </row>
    <row r="12112" spans="3:3" x14ac:dyDescent="0.35">
      <c r="C12112" s="2"/>
    </row>
    <row r="12113" spans="3:3" x14ac:dyDescent="0.35">
      <c r="C12113" s="2"/>
    </row>
    <row r="12114" spans="3:3" x14ac:dyDescent="0.35">
      <c r="C12114" s="2"/>
    </row>
    <row r="12115" spans="3:3" x14ac:dyDescent="0.35">
      <c r="C12115" s="2"/>
    </row>
    <row r="12116" spans="3:3" x14ac:dyDescent="0.35">
      <c r="C12116" s="2"/>
    </row>
    <row r="12117" spans="3:3" x14ac:dyDescent="0.35">
      <c r="C12117" s="2"/>
    </row>
    <row r="12118" spans="3:3" x14ac:dyDescent="0.35">
      <c r="C12118" s="2"/>
    </row>
    <row r="12119" spans="3:3" x14ac:dyDescent="0.35">
      <c r="C12119" s="2"/>
    </row>
    <row r="12120" spans="3:3" x14ac:dyDescent="0.35">
      <c r="C12120" s="2"/>
    </row>
    <row r="12121" spans="3:3" x14ac:dyDescent="0.35">
      <c r="C12121" s="2"/>
    </row>
    <row r="12122" spans="3:3" x14ac:dyDescent="0.35">
      <c r="C12122" s="2"/>
    </row>
    <row r="12123" spans="3:3" x14ac:dyDescent="0.35">
      <c r="C12123" s="2"/>
    </row>
    <row r="12124" spans="3:3" x14ac:dyDescent="0.35">
      <c r="C12124" s="2"/>
    </row>
    <row r="12125" spans="3:3" x14ac:dyDescent="0.35">
      <c r="C12125" s="2"/>
    </row>
    <row r="12126" spans="3:3" x14ac:dyDescent="0.35">
      <c r="C12126" s="2"/>
    </row>
    <row r="12127" spans="3:3" x14ac:dyDescent="0.35">
      <c r="C12127" s="2"/>
    </row>
    <row r="12128" spans="3:3" x14ac:dyDescent="0.35">
      <c r="C12128" s="2"/>
    </row>
    <row r="12129" spans="3:3" x14ac:dyDescent="0.35">
      <c r="C12129" s="2"/>
    </row>
    <row r="12130" spans="3:3" x14ac:dyDescent="0.35">
      <c r="C12130" s="2"/>
    </row>
    <row r="12131" spans="3:3" x14ac:dyDescent="0.35">
      <c r="C12131" s="2"/>
    </row>
    <row r="12132" spans="3:3" x14ac:dyDescent="0.35">
      <c r="C12132" s="2"/>
    </row>
    <row r="12133" spans="3:3" x14ac:dyDescent="0.35">
      <c r="C12133" s="2"/>
    </row>
    <row r="12134" spans="3:3" x14ac:dyDescent="0.35">
      <c r="C12134" s="2"/>
    </row>
    <row r="12135" spans="3:3" x14ac:dyDescent="0.35">
      <c r="C12135" s="2"/>
    </row>
    <row r="12136" spans="3:3" x14ac:dyDescent="0.35">
      <c r="C12136" s="2"/>
    </row>
    <row r="12137" spans="3:3" x14ac:dyDescent="0.35">
      <c r="C12137" s="2"/>
    </row>
    <row r="12138" spans="3:3" x14ac:dyDescent="0.35">
      <c r="C12138" s="2"/>
    </row>
    <row r="12139" spans="3:3" x14ac:dyDescent="0.35">
      <c r="C12139" s="2"/>
    </row>
    <row r="12140" spans="3:3" x14ac:dyDescent="0.35">
      <c r="C12140" s="2"/>
    </row>
    <row r="12141" spans="3:3" x14ac:dyDescent="0.35">
      <c r="C12141" s="2"/>
    </row>
    <row r="12142" spans="3:3" x14ac:dyDescent="0.35">
      <c r="C12142" s="2"/>
    </row>
    <row r="12143" spans="3:3" x14ac:dyDescent="0.35">
      <c r="C12143" s="2"/>
    </row>
    <row r="12144" spans="3:3" x14ac:dyDescent="0.35">
      <c r="C12144" s="2"/>
    </row>
    <row r="12145" spans="3:3" x14ac:dyDescent="0.35">
      <c r="C12145" s="2"/>
    </row>
    <row r="12146" spans="3:3" x14ac:dyDescent="0.35">
      <c r="C12146" s="2"/>
    </row>
    <row r="12147" spans="3:3" x14ac:dyDescent="0.35">
      <c r="C12147" s="2"/>
    </row>
    <row r="12148" spans="3:3" x14ac:dyDescent="0.35">
      <c r="C12148" s="2"/>
    </row>
    <row r="12149" spans="3:3" x14ac:dyDescent="0.35">
      <c r="C12149" s="2"/>
    </row>
    <row r="12150" spans="3:3" x14ac:dyDescent="0.35">
      <c r="C12150" s="2"/>
    </row>
    <row r="12151" spans="3:3" x14ac:dyDescent="0.35">
      <c r="C12151" s="2"/>
    </row>
    <row r="12152" spans="3:3" x14ac:dyDescent="0.35">
      <c r="C12152" s="2"/>
    </row>
    <row r="12153" spans="3:3" x14ac:dyDescent="0.35">
      <c r="C12153" s="2"/>
    </row>
    <row r="12154" spans="3:3" x14ac:dyDescent="0.35">
      <c r="C12154" s="2"/>
    </row>
    <row r="12155" spans="3:3" x14ac:dyDescent="0.35">
      <c r="C12155" s="2"/>
    </row>
    <row r="12156" spans="3:3" x14ac:dyDescent="0.35">
      <c r="C12156" s="2"/>
    </row>
    <row r="12157" spans="3:3" x14ac:dyDescent="0.35">
      <c r="C12157" s="2"/>
    </row>
    <row r="12158" spans="3:3" x14ac:dyDescent="0.35">
      <c r="C12158" s="2"/>
    </row>
    <row r="12159" spans="3:3" x14ac:dyDescent="0.35">
      <c r="C12159" s="2"/>
    </row>
    <row r="12160" spans="3:3" x14ac:dyDescent="0.35">
      <c r="C12160" s="2"/>
    </row>
    <row r="12161" spans="3:3" x14ac:dyDescent="0.35">
      <c r="C12161" s="2"/>
    </row>
    <row r="12162" spans="3:3" x14ac:dyDescent="0.35">
      <c r="C12162" s="2"/>
    </row>
    <row r="12163" spans="3:3" x14ac:dyDescent="0.35">
      <c r="C12163" s="2"/>
    </row>
    <row r="12164" spans="3:3" x14ac:dyDescent="0.35">
      <c r="C12164" s="2"/>
    </row>
    <row r="12165" spans="3:3" x14ac:dyDescent="0.35">
      <c r="C12165" s="2"/>
    </row>
    <row r="12166" spans="3:3" x14ac:dyDescent="0.35">
      <c r="C12166" s="2"/>
    </row>
    <row r="12167" spans="3:3" x14ac:dyDescent="0.35">
      <c r="C12167" s="2"/>
    </row>
    <row r="12168" spans="3:3" x14ac:dyDescent="0.35">
      <c r="C12168" s="2"/>
    </row>
    <row r="12169" spans="3:3" x14ac:dyDescent="0.35">
      <c r="C12169" s="2"/>
    </row>
    <row r="12170" spans="3:3" x14ac:dyDescent="0.35">
      <c r="C12170" s="2"/>
    </row>
    <row r="12171" spans="3:3" x14ac:dyDescent="0.35">
      <c r="C12171" s="2"/>
    </row>
    <row r="12172" spans="3:3" x14ac:dyDescent="0.35">
      <c r="C12172" s="2"/>
    </row>
    <row r="12173" spans="3:3" x14ac:dyDescent="0.35">
      <c r="C12173" s="2"/>
    </row>
    <row r="12174" spans="3:3" x14ac:dyDescent="0.35">
      <c r="C12174" s="2"/>
    </row>
    <row r="12175" spans="3:3" x14ac:dyDescent="0.35">
      <c r="C12175" s="2"/>
    </row>
    <row r="12176" spans="3:3" x14ac:dyDescent="0.35">
      <c r="C12176" s="2"/>
    </row>
    <row r="12177" spans="3:3" x14ac:dyDescent="0.35">
      <c r="C12177" s="2"/>
    </row>
    <row r="12178" spans="3:3" x14ac:dyDescent="0.35">
      <c r="C12178" s="2"/>
    </row>
    <row r="12179" spans="3:3" x14ac:dyDescent="0.35">
      <c r="C12179" s="2"/>
    </row>
    <row r="12180" spans="3:3" x14ac:dyDescent="0.35">
      <c r="C12180" s="2"/>
    </row>
    <row r="12181" spans="3:3" x14ac:dyDescent="0.35">
      <c r="C12181" s="2"/>
    </row>
    <row r="12182" spans="3:3" x14ac:dyDescent="0.35">
      <c r="C12182" s="2"/>
    </row>
    <row r="12183" spans="3:3" x14ac:dyDescent="0.35">
      <c r="C12183" s="2"/>
    </row>
    <row r="12184" spans="3:3" x14ac:dyDescent="0.35">
      <c r="C12184" s="2"/>
    </row>
    <row r="12185" spans="3:3" x14ac:dyDescent="0.35">
      <c r="C12185" s="2"/>
    </row>
    <row r="12186" spans="3:3" x14ac:dyDescent="0.35">
      <c r="C12186" s="2"/>
    </row>
    <row r="12187" spans="3:3" x14ac:dyDescent="0.35">
      <c r="C12187" s="2"/>
    </row>
    <row r="12188" spans="3:3" x14ac:dyDescent="0.35">
      <c r="C12188" s="2"/>
    </row>
    <row r="12189" spans="3:3" x14ac:dyDescent="0.35">
      <c r="C12189" s="2"/>
    </row>
    <row r="12190" spans="3:3" x14ac:dyDescent="0.35">
      <c r="C12190" s="2"/>
    </row>
    <row r="12191" spans="3:3" x14ac:dyDescent="0.35">
      <c r="C12191" s="2"/>
    </row>
    <row r="12192" spans="3:3" x14ac:dyDescent="0.35">
      <c r="C12192" s="2"/>
    </row>
    <row r="12193" spans="3:3" x14ac:dyDescent="0.35">
      <c r="C12193" s="2"/>
    </row>
    <row r="12194" spans="3:3" x14ac:dyDescent="0.35">
      <c r="C12194" s="2"/>
    </row>
    <row r="12195" spans="3:3" x14ac:dyDescent="0.35">
      <c r="C12195" s="2"/>
    </row>
    <row r="12196" spans="3:3" x14ac:dyDescent="0.35">
      <c r="C12196" s="2"/>
    </row>
    <row r="12197" spans="3:3" x14ac:dyDescent="0.35">
      <c r="C12197" s="2"/>
    </row>
    <row r="12198" spans="3:3" x14ac:dyDescent="0.35">
      <c r="C12198" s="2"/>
    </row>
    <row r="12199" spans="3:3" x14ac:dyDescent="0.35">
      <c r="C12199" s="2"/>
    </row>
    <row r="12200" spans="3:3" x14ac:dyDescent="0.35">
      <c r="C12200" s="2"/>
    </row>
    <row r="12201" spans="3:3" x14ac:dyDescent="0.35">
      <c r="C12201" s="2"/>
    </row>
    <row r="12202" spans="3:3" x14ac:dyDescent="0.35">
      <c r="C12202" s="2"/>
    </row>
    <row r="12203" spans="3:3" x14ac:dyDescent="0.35">
      <c r="C12203" s="2"/>
    </row>
    <row r="12204" spans="3:3" x14ac:dyDescent="0.35">
      <c r="C12204" s="2"/>
    </row>
    <row r="12205" spans="3:3" x14ac:dyDescent="0.35">
      <c r="C12205" s="2"/>
    </row>
    <row r="12206" spans="3:3" x14ac:dyDescent="0.35">
      <c r="C12206" s="2"/>
    </row>
    <row r="12207" spans="3:3" x14ac:dyDescent="0.35">
      <c r="C12207" s="2"/>
    </row>
    <row r="12208" spans="3:3" x14ac:dyDescent="0.35">
      <c r="C12208" s="2"/>
    </row>
    <row r="12209" spans="3:3" x14ac:dyDescent="0.35">
      <c r="C12209" s="2"/>
    </row>
    <row r="12210" spans="3:3" x14ac:dyDescent="0.35">
      <c r="C12210" s="2"/>
    </row>
    <row r="12211" spans="3:3" x14ac:dyDescent="0.35">
      <c r="C12211" s="2"/>
    </row>
    <row r="12212" spans="3:3" x14ac:dyDescent="0.35">
      <c r="C12212" s="2"/>
    </row>
    <row r="12213" spans="3:3" x14ac:dyDescent="0.35">
      <c r="C12213" s="2"/>
    </row>
    <row r="12214" spans="3:3" x14ac:dyDescent="0.35">
      <c r="C12214" s="2"/>
    </row>
    <row r="12215" spans="3:3" x14ac:dyDescent="0.35">
      <c r="C12215" s="2"/>
    </row>
    <row r="12216" spans="3:3" x14ac:dyDescent="0.35">
      <c r="C12216" s="2"/>
    </row>
    <row r="12217" spans="3:3" x14ac:dyDescent="0.35">
      <c r="C12217" s="2"/>
    </row>
    <row r="12218" spans="3:3" x14ac:dyDescent="0.35">
      <c r="C12218" s="2"/>
    </row>
    <row r="12219" spans="3:3" x14ac:dyDescent="0.35">
      <c r="C12219" s="2"/>
    </row>
    <row r="12220" spans="3:3" x14ac:dyDescent="0.35">
      <c r="C12220" s="2"/>
    </row>
    <row r="12221" spans="3:3" x14ac:dyDescent="0.35">
      <c r="C12221" s="2"/>
    </row>
    <row r="12222" spans="3:3" x14ac:dyDescent="0.35">
      <c r="C12222" s="2"/>
    </row>
    <row r="12223" spans="3:3" x14ac:dyDescent="0.35">
      <c r="C12223" s="2"/>
    </row>
    <row r="12224" spans="3:3" x14ac:dyDescent="0.35">
      <c r="C12224" s="2"/>
    </row>
    <row r="12225" spans="3:3" x14ac:dyDescent="0.35">
      <c r="C12225" s="2"/>
    </row>
    <row r="12226" spans="3:3" x14ac:dyDescent="0.35">
      <c r="C12226" s="2"/>
    </row>
    <row r="12227" spans="3:3" x14ac:dyDescent="0.35">
      <c r="C12227" s="2"/>
    </row>
    <row r="12228" spans="3:3" x14ac:dyDescent="0.35">
      <c r="C12228" s="2"/>
    </row>
    <row r="12229" spans="3:3" x14ac:dyDescent="0.35">
      <c r="C12229" s="2"/>
    </row>
    <row r="12230" spans="3:3" x14ac:dyDescent="0.35">
      <c r="C12230" s="2"/>
    </row>
    <row r="12231" spans="3:3" x14ac:dyDescent="0.35">
      <c r="C12231" s="2"/>
    </row>
    <row r="12232" spans="3:3" x14ac:dyDescent="0.35">
      <c r="C12232" s="2"/>
    </row>
    <row r="12233" spans="3:3" x14ac:dyDescent="0.35">
      <c r="C12233" s="2"/>
    </row>
    <row r="12234" spans="3:3" x14ac:dyDescent="0.35">
      <c r="C12234" s="2"/>
    </row>
    <row r="12235" spans="3:3" x14ac:dyDescent="0.35">
      <c r="C12235" s="2"/>
    </row>
    <row r="12236" spans="3:3" x14ac:dyDescent="0.35">
      <c r="C12236" s="2"/>
    </row>
    <row r="12237" spans="3:3" x14ac:dyDescent="0.35">
      <c r="C12237" s="2"/>
    </row>
    <row r="12238" spans="3:3" x14ac:dyDescent="0.35">
      <c r="C12238" s="2"/>
    </row>
    <row r="12239" spans="3:3" x14ac:dyDescent="0.35">
      <c r="C12239" s="2"/>
    </row>
    <row r="12240" spans="3:3" x14ac:dyDescent="0.35">
      <c r="C12240" s="2"/>
    </row>
    <row r="12241" spans="3:3" x14ac:dyDescent="0.35">
      <c r="C12241" s="2"/>
    </row>
    <row r="12242" spans="3:3" x14ac:dyDescent="0.35">
      <c r="C12242" s="2"/>
    </row>
    <row r="12243" spans="3:3" x14ac:dyDescent="0.35">
      <c r="C12243" s="2"/>
    </row>
    <row r="12244" spans="3:3" x14ac:dyDescent="0.35">
      <c r="C12244" s="2"/>
    </row>
    <row r="12245" spans="3:3" x14ac:dyDescent="0.35">
      <c r="C12245" s="2"/>
    </row>
    <row r="12246" spans="3:3" x14ac:dyDescent="0.35">
      <c r="C12246" s="2"/>
    </row>
    <row r="12247" spans="3:3" x14ac:dyDescent="0.35">
      <c r="C12247" s="2"/>
    </row>
    <row r="12248" spans="3:3" x14ac:dyDescent="0.35">
      <c r="C12248" s="2"/>
    </row>
    <row r="12249" spans="3:3" x14ac:dyDescent="0.35">
      <c r="C12249" s="2"/>
    </row>
    <row r="12250" spans="3:3" x14ac:dyDescent="0.35">
      <c r="C12250" s="2"/>
    </row>
    <row r="12251" spans="3:3" x14ac:dyDescent="0.35">
      <c r="C12251" s="2"/>
    </row>
    <row r="12252" spans="3:3" x14ac:dyDescent="0.35">
      <c r="C12252" s="2"/>
    </row>
    <row r="12253" spans="3:3" x14ac:dyDescent="0.35">
      <c r="C12253" s="2"/>
    </row>
    <row r="12254" spans="3:3" x14ac:dyDescent="0.35">
      <c r="C12254" s="2"/>
    </row>
    <row r="12255" spans="3:3" x14ac:dyDescent="0.35">
      <c r="C12255" s="2"/>
    </row>
    <row r="12256" spans="3:3" x14ac:dyDescent="0.35">
      <c r="C12256" s="2"/>
    </row>
    <row r="12257" spans="3:3" x14ac:dyDescent="0.35">
      <c r="C12257" s="2"/>
    </row>
    <row r="12258" spans="3:3" x14ac:dyDescent="0.35">
      <c r="C12258" s="2"/>
    </row>
    <row r="12259" spans="3:3" x14ac:dyDescent="0.35">
      <c r="C12259" s="2"/>
    </row>
    <row r="12260" spans="3:3" x14ac:dyDescent="0.35">
      <c r="C12260" s="2"/>
    </row>
    <row r="12261" spans="3:3" x14ac:dyDescent="0.35">
      <c r="C12261" s="2"/>
    </row>
    <row r="12262" spans="3:3" x14ac:dyDescent="0.35">
      <c r="C12262" s="2"/>
    </row>
    <row r="12263" spans="3:3" x14ac:dyDescent="0.35">
      <c r="C12263" s="2"/>
    </row>
    <row r="12264" spans="3:3" x14ac:dyDescent="0.35">
      <c r="C12264" s="2"/>
    </row>
    <row r="12265" spans="3:3" x14ac:dyDescent="0.35">
      <c r="C12265" s="2"/>
    </row>
    <row r="12266" spans="3:3" x14ac:dyDescent="0.35">
      <c r="C12266" s="2"/>
    </row>
    <row r="12267" spans="3:3" x14ac:dyDescent="0.35">
      <c r="C12267" s="2"/>
    </row>
    <row r="12268" spans="3:3" x14ac:dyDescent="0.35">
      <c r="C12268" s="2"/>
    </row>
    <row r="12269" spans="3:3" x14ac:dyDescent="0.35">
      <c r="C12269" s="2"/>
    </row>
    <row r="12270" spans="3:3" x14ac:dyDescent="0.35">
      <c r="C12270" s="2"/>
    </row>
    <row r="12271" spans="3:3" x14ac:dyDescent="0.35">
      <c r="C12271" s="2"/>
    </row>
    <row r="12272" spans="3:3" x14ac:dyDescent="0.35">
      <c r="C12272" s="2"/>
    </row>
    <row r="12273" spans="3:3" x14ac:dyDescent="0.35">
      <c r="C12273" s="2"/>
    </row>
    <row r="12274" spans="3:3" x14ac:dyDescent="0.35">
      <c r="C12274" s="2"/>
    </row>
    <row r="12275" spans="3:3" x14ac:dyDescent="0.35">
      <c r="C12275" s="2"/>
    </row>
    <row r="12276" spans="3:3" x14ac:dyDescent="0.35">
      <c r="C12276" s="2"/>
    </row>
    <row r="12277" spans="3:3" x14ac:dyDescent="0.35">
      <c r="C12277" s="2"/>
    </row>
    <row r="12278" spans="3:3" x14ac:dyDescent="0.35">
      <c r="C12278" s="2"/>
    </row>
    <row r="12279" spans="3:3" x14ac:dyDescent="0.35">
      <c r="C12279" s="2"/>
    </row>
    <row r="12280" spans="3:3" x14ac:dyDescent="0.35">
      <c r="C12280" s="2"/>
    </row>
    <row r="12281" spans="3:3" x14ac:dyDescent="0.35">
      <c r="C12281" s="2"/>
    </row>
    <row r="12282" spans="3:3" x14ac:dyDescent="0.35">
      <c r="C12282" s="2"/>
    </row>
    <row r="12283" spans="3:3" x14ac:dyDescent="0.35">
      <c r="C12283" s="2"/>
    </row>
    <row r="12284" spans="3:3" x14ac:dyDescent="0.35">
      <c r="C12284" s="2"/>
    </row>
    <row r="12285" spans="3:3" x14ac:dyDescent="0.35">
      <c r="C12285" s="2"/>
    </row>
    <row r="12286" spans="3:3" x14ac:dyDescent="0.35">
      <c r="C12286" s="2"/>
    </row>
    <row r="12287" spans="3:3" x14ac:dyDescent="0.35">
      <c r="C12287" s="2"/>
    </row>
    <row r="12288" spans="3:3" x14ac:dyDescent="0.35">
      <c r="C12288" s="2"/>
    </row>
    <row r="12289" spans="3:3" x14ac:dyDescent="0.35">
      <c r="C12289" s="2"/>
    </row>
    <row r="12290" spans="3:3" x14ac:dyDescent="0.35">
      <c r="C12290" s="2"/>
    </row>
    <row r="12291" spans="3:3" x14ac:dyDescent="0.35">
      <c r="C12291" s="2"/>
    </row>
    <row r="12292" spans="3:3" x14ac:dyDescent="0.35">
      <c r="C12292" s="2"/>
    </row>
    <row r="12293" spans="3:3" x14ac:dyDescent="0.35">
      <c r="C12293" s="2"/>
    </row>
    <row r="12294" spans="3:3" x14ac:dyDescent="0.35">
      <c r="C12294" s="2"/>
    </row>
    <row r="12295" spans="3:3" x14ac:dyDescent="0.35">
      <c r="C12295" s="2"/>
    </row>
    <row r="12296" spans="3:3" x14ac:dyDescent="0.35">
      <c r="C12296" s="2"/>
    </row>
    <row r="12297" spans="3:3" x14ac:dyDescent="0.35">
      <c r="C12297" s="2"/>
    </row>
    <row r="12298" spans="3:3" x14ac:dyDescent="0.35">
      <c r="C12298" s="2"/>
    </row>
    <row r="12299" spans="3:3" x14ac:dyDescent="0.35">
      <c r="C12299" s="2"/>
    </row>
    <row r="12300" spans="3:3" x14ac:dyDescent="0.35">
      <c r="C12300" s="2"/>
    </row>
    <row r="12301" spans="3:3" x14ac:dyDescent="0.35">
      <c r="C12301" s="2"/>
    </row>
    <row r="12302" spans="3:3" x14ac:dyDescent="0.35">
      <c r="C12302" s="2"/>
    </row>
    <row r="12303" spans="3:3" x14ac:dyDescent="0.35">
      <c r="C12303" s="2"/>
    </row>
    <row r="12304" spans="3:3" x14ac:dyDescent="0.35">
      <c r="C12304" s="2"/>
    </row>
    <row r="12305" spans="3:3" x14ac:dyDescent="0.35">
      <c r="C12305" s="2"/>
    </row>
    <row r="12306" spans="3:3" x14ac:dyDescent="0.35">
      <c r="C12306" s="2"/>
    </row>
    <row r="12307" spans="3:3" x14ac:dyDescent="0.35">
      <c r="C12307" s="2"/>
    </row>
    <row r="12308" spans="3:3" x14ac:dyDescent="0.35">
      <c r="C12308" s="2"/>
    </row>
    <row r="12309" spans="3:3" x14ac:dyDescent="0.35">
      <c r="C12309" s="2"/>
    </row>
    <row r="12310" spans="3:3" x14ac:dyDescent="0.35">
      <c r="C12310" s="2"/>
    </row>
    <row r="12311" spans="3:3" x14ac:dyDescent="0.35">
      <c r="C12311" s="2"/>
    </row>
    <row r="12312" spans="3:3" x14ac:dyDescent="0.35">
      <c r="C12312" s="2"/>
    </row>
    <row r="12313" spans="3:3" x14ac:dyDescent="0.35">
      <c r="C12313" s="2"/>
    </row>
    <row r="12314" spans="3:3" x14ac:dyDescent="0.35">
      <c r="C12314" s="2"/>
    </row>
    <row r="12315" spans="3:3" x14ac:dyDescent="0.35">
      <c r="C12315" s="2"/>
    </row>
    <row r="12316" spans="3:3" x14ac:dyDescent="0.35">
      <c r="C12316" s="2"/>
    </row>
    <row r="12317" spans="3:3" x14ac:dyDescent="0.35">
      <c r="C12317" s="2"/>
    </row>
    <row r="12318" spans="3:3" x14ac:dyDescent="0.35">
      <c r="C12318" s="2"/>
    </row>
    <row r="12319" spans="3:3" x14ac:dyDescent="0.35">
      <c r="C12319" s="2"/>
    </row>
    <row r="12320" spans="3:3" x14ac:dyDescent="0.35">
      <c r="C12320" s="2"/>
    </row>
    <row r="12321" spans="3:3" x14ac:dyDescent="0.35">
      <c r="C12321" s="2"/>
    </row>
    <row r="12322" spans="3:3" x14ac:dyDescent="0.35">
      <c r="C12322" s="2"/>
    </row>
    <row r="12323" spans="3:3" x14ac:dyDescent="0.35">
      <c r="C12323" s="2"/>
    </row>
    <row r="12324" spans="3:3" x14ac:dyDescent="0.35">
      <c r="C12324" s="2"/>
    </row>
    <row r="12325" spans="3:3" x14ac:dyDescent="0.35">
      <c r="C12325" s="2"/>
    </row>
    <row r="12326" spans="3:3" x14ac:dyDescent="0.35">
      <c r="C12326" s="2"/>
    </row>
    <row r="12327" spans="3:3" x14ac:dyDescent="0.35">
      <c r="C12327" s="2"/>
    </row>
    <row r="12328" spans="3:3" x14ac:dyDescent="0.35">
      <c r="C12328" s="2"/>
    </row>
    <row r="12329" spans="3:3" x14ac:dyDescent="0.35">
      <c r="C12329" s="2"/>
    </row>
    <row r="12330" spans="3:3" x14ac:dyDescent="0.35">
      <c r="C12330" s="2"/>
    </row>
    <row r="12331" spans="3:3" x14ac:dyDescent="0.35">
      <c r="C12331" s="2"/>
    </row>
    <row r="12332" spans="3:3" x14ac:dyDescent="0.35">
      <c r="C12332" s="2"/>
    </row>
    <row r="12333" spans="3:3" x14ac:dyDescent="0.35">
      <c r="C12333" s="2"/>
    </row>
    <row r="12334" spans="3:3" x14ac:dyDescent="0.35">
      <c r="C12334" s="2"/>
    </row>
    <row r="12335" spans="3:3" x14ac:dyDescent="0.35">
      <c r="C12335" s="2"/>
    </row>
    <row r="12336" spans="3:3" x14ac:dyDescent="0.35">
      <c r="C12336" s="2"/>
    </row>
    <row r="12337" spans="3:3" x14ac:dyDescent="0.35">
      <c r="C12337" s="2"/>
    </row>
    <row r="12338" spans="3:3" x14ac:dyDescent="0.35">
      <c r="C12338" s="2"/>
    </row>
    <row r="12339" spans="3:3" x14ac:dyDescent="0.35">
      <c r="C12339" s="2"/>
    </row>
    <row r="12340" spans="3:3" x14ac:dyDescent="0.35">
      <c r="C12340" s="2"/>
    </row>
    <row r="12341" spans="3:3" x14ac:dyDescent="0.35">
      <c r="C12341" s="2"/>
    </row>
    <row r="12342" spans="3:3" x14ac:dyDescent="0.35">
      <c r="C12342" s="2"/>
    </row>
    <row r="12343" spans="3:3" x14ac:dyDescent="0.35">
      <c r="C12343" s="2"/>
    </row>
    <row r="12344" spans="3:3" x14ac:dyDescent="0.35">
      <c r="C12344" s="2"/>
    </row>
    <row r="12345" spans="3:3" x14ac:dyDescent="0.35">
      <c r="C12345" s="2"/>
    </row>
    <row r="12346" spans="3:3" x14ac:dyDescent="0.35">
      <c r="C12346" s="2"/>
    </row>
    <row r="12347" spans="3:3" x14ac:dyDescent="0.35">
      <c r="C12347" s="2"/>
    </row>
    <row r="12348" spans="3:3" x14ac:dyDescent="0.35">
      <c r="C12348" s="2"/>
    </row>
    <row r="12349" spans="3:3" x14ac:dyDescent="0.35">
      <c r="C12349" s="2"/>
    </row>
    <row r="12350" spans="3:3" x14ac:dyDescent="0.35">
      <c r="C12350" s="2"/>
    </row>
    <row r="12351" spans="3:3" x14ac:dyDescent="0.35">
      <c r="C12351" s="2"/>
    </row>
    <row r="12352" spans="3:3" x14ac:dyDescent="0.35">
      <c r="C12352" s="2"/>
    </row>
    <row r="12353" spans="3:3" x14ac:dyDescent="0.35">
      <c r="C12353" s="2"/>
    </row>
    <row r="12354" spans="3:3" x14ac:dyDescent="0.35">
      <c r="C12354" s="2"/>
    </row>
    <row r="12355" spans="3:3" x14ac:dyDescent="0.35">
      <c r="C12355" s="2"/>
    </row>
    <row r="12356" spans="3:3" x14ac:dyDescent="0.35">
      <c r="C12356" s="2"/>
    </row>
    <row r="12357" spans="3:3" x14ac:dyDescent="0.35">
      <c r="C12357" s="2"/>
    </row>
    <row r="12358" spans="3:3" x14ac:dyDescent="0.35">
      <c r="C12358" s="2"/>
    </row>
    <row r="12359" spans="3:3" x14ac:dyDescent="0.35">
      <c r="C12359" s="2"/>
    </row>
    <row r="12360" spans="3:3" x14ac:dyDescent="0.35">
      <c r="C12360" s="2"/>
    </row>
    <row r="12361" spans="3:3" x14ac:dyDescent="0.35">
      <c r="C12361" s="2"/>
    </row>
    <row r="12362" spans="3:3" x14ac:dyDescent="0.35">
      <c r="C12362" s="2"/>
    </row>
    <row r="12363" spans="3:3" x14ac:dyDescent="0.35">
      <c r="C12363" s="2"/>
    </row>
    <row r="12364" spans="3:3" x14ac:dyDescent="0.35">
      <c r="C12364" s="2"/>
    </row>
    <row r="12365" spans="3:3" x14ac:dyDescent="0.35">
      <c r="C12365" s="2"/>
    </row>
    <row r="12366" spans="3:3" x14ac:dyDescent="0.35">
      <c r="C12366" s="2"/>
    </row>
    <row r="12367" spans="3:3" x14ac:dyDescent="0.35">
      <c r="C12367" s="2"/>
    </row>
    <row r="12368" spans="3:3" x14ac:dyDescent="0.35">
      <c r="C12368" s="2"/>
    </row>
    <row r="12369" spans="3:3" x14ac:dyDescent="0.35">
      <c r="C12369" s="2"/>
    </row>
    <row r="12370" spans="3:3" x14ac:dyDescent="0.35">
      <c r="C12370" s="2"/>
    </row>
    <row r="12371" spans="3:3" x14ac:dyDescent="0.35">
      <c r="C12371" s="2"/>
    </row>
    <row r="12372" spans="3:3" x14ac:dyDescent="0.35">
      <c r="C12372" s="2"/>
    </row>
    <row r="12373" spans="3:3" x14ac:dyDescent="0.35">
      <c r="C12373" s="2"/>
    </row>
    <row r="12374" spans="3:3" x14ac:dyDescent="0.35">
      <c r="C12374" s="2"/>
    </row>
    <row r="12375" spans="3:3" x14ac:dyDescent="0.35">
      <c r="C12375" s="2"/>
    </row>
    <row r="12376" spans="3:3" x14ac:dyDescent="0.35">
      <c r="C12376" s="2"/>
    </row>
    <row r="12377" spans="3:3" x14ac:dyDescent="0.35">
      <c r="C12377" s="2"/>
    </row>
    <row r="12378" spans="3:3" x14ac:dyDescent="0.35">
      <c r="C12378" s="2"/>
    </row>
    <row r="12379" spans="3:3" x14ac:dyDescent="0.35">
      <c r="C12379" s="2"/>
    </row>
    <row r="12380" spans="3:3" x14ac:dyDescent="0.35">
      <c r="C12380" s="2"/>
    </row>
    <row r="12381" spans="3:3" x14ac:dyDescent="0.35">
      <c r="C12381" s="2"/>
    </row>
    <row r="12382" spans="3:3" x14ac:dyDescent="0.35">
      <c r="C12382" s="2"/>
    </row>
    <row r="12383" spans="3:3" x14ac:dyDescent="0.35">
      <c r="C12383" s="2"/>
    </row>
    <row r="12384" spans="3:3" x14ac:dyDescent="0.35">
      <c r="C12384" s="2"/>
    </row>
    <row r="12385" spans="3:3" x14ac:dyDescent="0.35">
      <c r="C12385" s="2"/>
    </row>
    <row r="12386" spans="3:3" x14ac:dyDescent="0.35">
      <c r="C12386" s="2"/>
    </row>
    <row r="12387" spans="3:3" x14ac:dyDescent="0.35">
      <c r="C12387" s="2"/>
    </row>
    <row r="12388" spans="3:3" x14ac:dyDescent="0.35">
      <c r="C12388" s="2"/>
    </row>
    <row r="12389" spans="3:3" x14ac:dyDescent="0.35">
      <c r="C12389" s="2"/>
    </row>
    <row r="12390" spans="3:3" x14ac:dyDescent="0.35">
      <c r="C12390" s="2"/>
    </row>
    <row r="12391" spans="3:3" x14ac:dyDescent="0.35">
      <c r="C12391" s="2"/>
    </row>
    <row r="12392" spans="3:3" x14ac:dyDescent="0.35">
      <c r="C12392" s="2"/>
    </row>
    <row r="12393" spans="3:3" x14ac:dyDescent="0.35">
      <c r="C12393" s="2"/>
    </row>
    <row r="12394" spans="3:3" x14ac:dyDescent="0.35">
      <c r="C12394" s="2"/>
    </row>
    <row r="12395" spans="3:3" x14ac:dyDescent="0.35">
      <c r="C12395" s="2"/>
    </row>
    <row r="12396" spans="3:3" x14ac:dyDescent="0.35">
      <c r="C12396" s="2"/>
    </row>
    <row r="12397" spans="3:3" x14ac:dyDescent="0.35">
      <c r="C12397" s="2"/>
    </row>
    <row r="12398" spans="3:3" x14ac:dyDescent="0.35">
      <c r="C12398" s="2"/>
    </row>
    <row r="12399" spans="3:3" x14ac:dyDescent="0.35">
      <c r="C12399" s="2"/>
    </row>
    <row r="12400" spans="3:3" x14ac:dyDescent="0.35">
      <c r="C12400" s="2"/>
    </row>
    <row r="12401" spans="3:3" x14ac:dyDescent="0.35">
      <c r="C12401" s="2"/>
    </row>
    <row r="12402" spans="3:3" x14ac:dyDescent="0.35">
      <c r="C12402" s="2"/>
    </row>
    <row r="12403" spans="3:3" x14ac:dyDescent="0.35">
      <c r="C12403" s="2"/>
    </row>
    <row r="12404" spans="3:3" x14ac:dyDescent="0.35">
      <c r="C12404" s="2"/>
    </row>
    <row r="12405" spans="3:3" x14ac:dyDescent="0.35">
      <c r="C12405" s="2"/>
    </row>
    <row r="12406" spans="3:3" x14ac:dyDescent="0.35">
      <c r="C12406" s="2"/>
    </row>
    <row r="12407" spans="3:3" x14ac:dyDescent="0.35">
      <c r="C12407" s="2"/>
    </row>
    <row r="12408" spans="3:3" x14ac:dyDescent="0.35">
      <c r="C12408" s="2"/>
    </row>
    <row r="12409" spans="3:3" x14ac:dyDescent="0.35">
      <c r="C12409" s="2"/>
    </row>
    <row r="12410" spans="3:3" x14ac:dyDescent="0.35">
      <c r="C12410" s="2"/>
    </row>
    <row r="12411" spans="3:3" x14ac:dyDescent="0.35">
      <c r="C12411" s="2"/>
    </row>
    <row r="12412" spans="3:3" x14ac:dyDescent="0.35">
      <c r="C12412" s="2"/>
    </row>
    <row r="12413" spans="3:3" x14ac:dyDescent="0.35">
      <c r="C12413" s="2"/>
    </row>
    <row r="12414" spans="3:3" x14ac:dyDescent="0.35">
      <c r="C12414" s="2"/>
    </row>
    <row r="12415" spans="3:3" x14ac:dyDescent="0.35">
      <c r="C12415" s="2"/>
    </row>
    <row r="12416" spans="3:3" x14ac:dyDescent="0.35">
      <c r="C12416" s="2"/>
    </row>
    <row r="12417" spans="3:3" x14ac:dyDescent="0.35">
      <c r="C12417" s="2"/>
    </row>
    <row r="12418" spans="3:3" x14ac:dyDescent="0.35">
      <c r="C12418" s="2"/>
    </row>
    <row r="12419" spans="3:3" x14ac:dyDescent="0.35">
      <c r="C12419" s="2"/>
    </row>
    <row r="12420" spans="3:3" x14ac:dyDescent="0.35">
      <c r="C12420" s="2"/>
    </row>
    <row r="12421" spans="3:3" x14ac:dyDescent="0.35">
      <c r="C12421" s="2"/>
    </row>
    <row r="12422" spans="3:3" x14ac:dyDescent="0.35">
      <c r="C12422" s="2"/>
    </row>
    <row r="12423" spans="3:3" x14ac:dyDescent="0.35">
      <c r="C12423" s="2"/>
    </row>
    <row r="12424" spans="3:3" x14ac:dyDescent="0.35">
      <c r="C12424" s="2"/>
    </row>
    <row r="12425" spans="3:3" x14ac:dyDescent="0.35">
      <c r="C12425" s="2"/>
    </row>
    <row r="12426" spans="3:3" x14ac:dyDescent="0.35">
      <c r="C12426" s="2"/>
    </row>
    <row r="12427" spans="3:3" x14ac:dyDescent="0.35">
      <c r="C12427" s="2"/>
    </row>
    <row r="12428" spans="3:3" x14ac:dyDescent="0.35">
      <c r="C12428" s="2"/>
    </row>
    <row r="12429" spans="3:3" x14ac:dyDescent="0.35">
      <c r="C12429" s="2"/>
    </row>
    <row r="12430" spans="3:3" x14ac:dyDescent="0.35">
      <c r="C12430" s="2"/>
    </row>
    <row r="12431" spans="3:3" x14ac:dyDescent="0.35">
      <c r="C12431" s="2"/>
    </row>
    <row r="12432" spans="3:3" x14ac:dyDescent="0.35">
      <c r="C12432" s="2"/>
    </row>
    <row r="12433" spans="3:3" x14ac:dyDescent="0.35">
      <c r="C12433" s="2"/>
    </row>
    <row r="12434" spans="3:3" x14ac:dyDescent="0.35">
      <c r="C12434" s="2"/>
    </row>
    <row r="12435" spans="3:3" x14ac:dyDescent="0.35">
      <c r="C12435" s="2"/>
    </row>
    <row r="12436" spans="3:3" x14ac:dyDescent="0.35">
      <c r="C12436" s="2"/>
    </row>
    <row r="12437" spans="3:3" x14ac:dyDescent="0.35">
      <c r="C12437" s="2"/>
    </row>
    <row r="12438" spans="3:3" x14ac:dyDescent="0.35">
      <c r="C12438" s="2"/>
    </row>
    <row r="12439" spans="3:3" x14ac:dyDescent="0.35">
      <c r="C12439" s="2"/>
    </row>
    <row r="12440" spans="3:3" x14ac:dyDescent="0.35">
      <c r="C12440" s="2"/>
    </row>
    <row r="12441" spans="3:3" x14ac:dyDescent="0.35">
      <c r="C12441" s="2"/>
    </row>
    <row r="12442" spans="3:3" x14ac:dyDescent="0.35">
      <c r="C12442" s="2"/>
    </row>
    <row r="12443" spans="3:3" x14ac:dyDescent="0.35">
      <c r="C12443" s="2"/>
    </row>
    <row r="12444" spans="3:3" x14ac:dyDescent="0.35">
      <c r="C12444" s="2"/>
    </row>
    <row r="12445" spans="3:3" x14ac:dyDescent="0.35">
      <c r="C12445" s="2"/>
    </row>
    <row r="12446" spans="3:3" x14ac:dyDescent="0.35">
      <c r="C12446" s="2"/>
    </row>
    <row r="12447" spans="3:3" x14ac:dyDescent="0.35">
      <c r="C12447" s="2"/>
    </row>
    <row r="12448" spans="3:3" x14ac:dyDescent="0.35">
      <c r="C12448" s="2"/>
    </row>
    <row r="12449" spans="3:3" x14ac:dyDescent="0.35">
      <c r="C12449" s="2"/>
    </row>
    <row r="12450" spans="3:3" x14ac:dyDescent="0.35">
      <c r="C12450" s="2"/>
    </row>
    <row r="12451" spans="3:3" x14ac:dyDescent="0.35">
      <c r="C12451" s="2"/>
    </row>
    <row r="12452" spans="3:3" x14ac:dyDescent="0.35">
      <c r="C12452" s="2"/>
    </row>
    <row r="12453" spans="3:3" x14ac:dyDescent="0.35">
      <c r="C12453" s="2"/>
    </row>
    <row r="12454" spans="3:3" x14ac:dyDescent="0.35">
      <c r="C12454" s="2"/>
    </row>
    <row r="12455" spans="3:3" x14ac:dyDescent="0.35">
      <c r="C12455" s="2"/>
    </row>
    <row r="12456" spans="3:3" x14ac:dyDescent="0.35">
      <c r="C12456" s="2"/>
    </row>
    <row r="12457" spans="3:3" x14ac:dyDescent="0.35">
      <c r="C12457" s="2"/>
    </row>
    <row r="12458" spans="3:3" x14ac:dyDescent="0.35">
      <c r="C12458" s="2"/>
    </row>
    <row r="12459" spans="3:3" x14ac:dyDescent="0.35">
      <c r="C12459" s="2"/>
    </row>
    <row r="12460" spans="3:3" x14ac:dyDescent="0.35">
      <c r="C12460" s="2"/>
    </row>
    <row r="12461" spans="3:3" x14ac:dyDescent="0.35">
      <c r="C12461" s="2"/>
    </row>
    <row r="12462" spans="3:3" x14ac:dyDescent="0.35">
      <c r="C12462" s="2"/>
    </row>
    <row r="12463" spans="3:3" x14ac:dyDescent="0.35">
      <c r="C12463" s="2"/>
    </row>
    <row r="12464" spans="3:3" x14ac:dyDescent="0.35">
      <c r="C12464" s="2"/>
    </row>
    <row r="12465" spans="3:3" x14ac:dyDescent="0.35">
      <c r="C12465" s="2"/>
    </row>
    <row r="12466" spans="3:3" x14ac:dyDescent="0.35">
      <c r="C12466" s="2"/>
    </row>
    <row r="12467" spans="3:3" x14ac:dyDescent="0.35">
      <c r="C12467" s="2"/>
    </row>
    <row r="12468" spans="3:3" x14ac:dyDescent="0.35">
      <c r="C12468" s="2"/>
    </row>
    <row r="12469" spans="3:3" x14ac:dyDescent="0.35">
      <c r="C12469" s="2"/>
    </row>
    <row r="12470" spans="3:3" x14ac:dyDescent="0.35">
      <c r="C12470" s="2"/>
    </row>
    <row r="12471" spans="3:3" x14ac:dyDescent="0.35">
      <c r="C12471" s="2"/>
    </row>
    <row r="12472" spans="3:3" x14ac:dyDescent="0.35">
      <c r="C12472" s="2"/>
    </row>
    <row r="12473" spans="3:3" x14ac:dyDescent="0.35">
      <c r="C12473" s="2"/>
    </row>
    <row r="12474" spans="3:3" x14ac:dyDescent="0.35">
      <c r="C12474" s="2"/>
    </row>
    <row r="12475" spans="3:3" x14ac:dyDescent="0.35">
      <c r="C12475" s="2"/>
    </row>
    <row r="12476" spans="3:3" x14ac:dyDescent="0.35">
      <c r="C12476" s="2"/>
    </row>
    <row r="12477" spans="3:3" x14ac:dyDescent="0.35">
      <c r="C12477" s="2"/>
    </row>
    <row r="12478" spans="3:3" x14ac:dyDescent="0.35">
      <c r="C12478" s="2"/>
    </row>
    <row r="12479" spans="3:3" x14ac:dyDescent="0.35">
      <c r="C12479" s="2"/>
    </row>
    <row r="12480" spans="3:3" x14ac:dyDescent="0.35">
      <c r="C12480" s="2"/>
    </row>
    <row r="12481" spans="3:3" x14ac:dyDescent="0.35">
      <c r="C12481" s="2"/>
    </row>
    <row r="12482" spans="3:3" x14ac:dyDescent="0.35">
      <c r="C12482" s="2"/>
    </row>
    <row r="12483" spans="3:3" x14ac:dyDescent="0.35">
      <c r="C12483" s="2"/>
    </row>
    <row r="12484" spans="3:3" x14ac:dyDescent="0.35">
      <c r="C12484" s="2"/>
    </row>
    <row r="12485" spans="3:3" x14ac:dyDescent="0.35">
      <c r="C12485" s="2"/>
    </row>
    <row r="12486" spans="3:3" x14ac:dyDescent="0.35">
      <c r="C12486" s="2"/>
    </row>
    <row r="12487" spans="3:3" x14ac:dyDescent="0.35">
      <c r="C12487" s="2"/>
    </row>
    <row r="12488" spans="3:3" x14ac:dyDescent="0.35">
      <c r="C12488" s="2"/>
    </row>
    <row r="12489" spans="3:3" x14ac:dyDescent="0.35">
      <c r="C12489" s="2"/>
    </row>
    <row r="12490" spans="3:3" x14ac:dyDescent="0.35">
      <c r="C12490" s="2"/>
    </row>
    <row r="12491" spans="3:3" x14ac:dyDescent="0.35">
      <c r="C12491" s="2"/>
    </row>
    <row r="12492" spans="3:3" x14ac:dyDescent="0.35">
      <c r="C12492" s="2"/>
    </row>
    <row r="12493" spans="3:3" x14ac:dyDescent="0.35">
      <c r="C12493" s="2"/>
    </row>
    <row r="12494" spans="3:3" x14ac:dyDescent="0.35">
      <c r="C12494" s="2"/>
    </row>
    <row r="12495" spans="3:3" x14ac:dyDescent="0.35">
      <c r="C12495" s="2"/>
    </row>
    <row r="12496" spans="3:3" x14ac:dyDescent="0.35">
      <c r="C12496" s="2"/>
    </row>
    <row r="12497" spans="3:3" x14ac:dyDescent="0.35">
      <c r="C12497" s="2"/>
    </row>
    <row r="12498" spans="3:3" x14ac:dyDescent="0.35">
      <c r="C12498" s="2"/>
    </row>
    <row r="12499" spans="3:3" x14ac:dyDescent="0.35">
      <c r="C12499" s="2"/>
    </row>
    <row r="12500" spans="3:3" x14ac:dyDescent="0.35">
      <c r="C12500" s="2"/>
    </row>
    <row r="12501" spans="3:3" x14ac:dyDescent="0.35">
      <c r="C12501" s="2"/>
    </row>
    <row r="12502" spans="3:3" x14ac:dyDescent="0.35">
      <c r="C12502" s="2"/>
    </row>
    <row r="12503" spans="3:3" x14ac:dyDescent="0.35">
      <c r="C12503" s="2"/>
    </row>
    <row r="12504" spans="3:3" x14ac:dyDescent="0.35">
      <c r="C12504" s="2"/>
    </row>
    <row r="12505" spans="3:3" x14ac:dyDescent="0.35">
      <c r="C12505" s="2"/>
    </row>
    <row r="12506" spans="3:3" x14ac:dyDescent="0.35">
      <c r="C12506" s="2"/>
    </row>
    <row r="12507" spans="3:3" x14ac:dyDescent="0.35">
      <c r="C12507" s="2"/>
    </row>
    <row r="12508" spans="3:3" x14ac:dyDescent="0.35">
      <c r="C12508" s="2"/>
    </row>
    <row r="12509" spans="3:3" x14ac:dyDescent="0.35">
      <c r="C12509" s="2"/>
    </row>
    <row r="12510" spans="3:3" x14ac:dyDescent="0.35">
      <c r="C12510" s="2"/>
    </row>
    <row r="12511" spans="3:3" x14ac:dyDescent="0.35">
      <c r="C12511" s="2"/>
    </row>
    <row r="12512" spans="3:3" x14ac:dyDescent="0.35">
      <c r="C12512" s="2"/>
    </row>
    <row r="12513" spans="3:3" x14ac:dyDescent="0.35">
      <c r="C12513" s="2"/>
    </row>
    <row r="12514" spans="3:3" x14ac:dyDescent="0.35">
      <c r="C12514" s="2"/>
    </row>
    <row r="12515" spans="3:3" x14ac:dyDescent="0.35">
      <c r="C12515" s="2"/>
    </row>
    <row r="12516" spans="3:3" x14ac:dyDescent="0.35">
      <c r="C12516" s="2"/>
    </row>
    <row r="12517" spans="3:3" x14ac:dyDescent="0.35">
      <c r="C12517" s="2"/>
    </row>
    <row r="12518" spans="3:3" x14ac:dyDescent="0.35">
      <c r="C12518" s="2"/>
    </row>
    <row r="12519" spans="3:3" x14ac:dyDescent="0.35">
      <c r="C12519" s="2"/>
    </row>
    <row r="12520" spans="3:3" x14ac:dyDescent="0.35">
      <c r="C12520" s="2"/>
    </row>
    <row r="12521" spans="3:3" x14ac:dyDescent="0.35">
      <c r="C12521" s="2"/>
    </row>
    <row r="12522" spans="3:3" x14ac:dyDescent="0.35">
      <c r="C12522" s="2"/>
    </row>
    <row r="12523" spans="3:3" x14ac:dyDescent="0.35">
      <c r="C12523" s="2"/>
    </row>
    <row r="12524" spans="3:3" x14ac:dyDescent="0.35">
      <c r="C12524" s="2"/>
    </row>
    <row r="12525" spans="3:3" x14ac:dyDescent="0.35">
      <c r="C12525" s="2"/>
    </row>
    <row r="12526" spans="3:3" x14ac:dyDescent="0.35">
      <c r="C12526" s="2"/>
    </row>
    <row r="12527" spans="3:3" x14ac:dyDescent="0.35">
      <c r="C12527" s="2"/>
    </row>
    <row r="12528" spans="3:3" x14ac:dyDescent="0.35">
      <c r="C12528" s="2"/>
    </row>
    <row r="12529" spans="3:3" x14ac:dyDescent="0.35">
      <c r="C12529" s="2"/>
    </row>
    <row r="12530" spans="3:3" x14ac:dyDescent="0.35">
      <c r="C12530" s="2"/>
    </row>
    <row r="12531" spans="3:3" x14ac:dyDescent="0.35">
      <c r="C12531" s="2"/>
    </row>
    <row r="12532" spans="3:3" x14ac:dyDescent="0.35">
      <c r="C12532" s="2"/>
    </row>
    <row r="12533" spans="3:3" x14ac:dyDescent="0.35">
      <c r="C12533" s="2"/>
    </row>
    <row r="12534" spans="3:3" x14ac:dyDescent="0.35">
      <c r="C12534" s="2"/>
    </row>
    <row r="12535" spans="3:3" x14ac:dyDescent="0.35">
      <c r="C12535" s="2"/>
    </row>
    <row r="12536" spans="3:3" x14ac:dyDescent="0.35">
      <c r="C12536" s="2"/>
    </row>
    <row r="12537" spans="3:3" x14ac:dyDescent="0.35">
      <c r="C12537" s="2"/>
    </row>
    <row r="12538" spans="3:3" x14ac:dyDescent="0.35">
      <c r="C12538" s="2"/>
    </row>
    <row r="12539" spans="3:3" x14ac:dyDescent="0.35">
      <c r="C12539" s="2"/>
    </row>
    <row r="12540" spans="3:3" x14ac:dyDescent="0.35">
      <c r="C12540" s="2"/>
    </row>
    <row r="12541" spans="3:3" x14ac:dyDescent="0.35">
      <c r="C12541" s="2"/>
    </row>
    <row r="12542" spans="3:3" x14ac:dyDescent="0.35">
      <c r="C12542" s="2"/>
    </row>
    <row r="12543" spans="3:3" x14ac:dyDescent="0.35">
      <c r="C12543" s="2"/>
    </row>
    <row r="12544" spans="3:3" x14ac:dyDescent="0.35">
      <c r="C12544" s="2"/>
    </row>
    <row r="12545" spans="3:3" x14ac:dyDescent="0.35">
      <c r="C12545" s="2"/>
    </row>
    <row r="12546" spans="3:3" x14ac:dyDescent="0.35">
      <c r="C12546" s="2"/>
    </row>
    <row r="12547" spans="3:3" x14ac:dyDescent="0.35">
      <c r="C12547" s="2"/>
    </row>
    <row r="12548" spans="3:3" x14ac:dyDescent="0.35">
      <c r="C12548" s="2"/>
    </row>
    <row r="12549" spans="3:3" x14ac:dyDescent="0.35">
      <c r="C12549" s="2"/>
    </row>
    <row r="12550" spans="3:3" x14ac:dyDescent="0.35">
      <c r="C12550" s="2"/>
    </row>
    <row r="12551" spans="3:3" x14ac:dyDescent="0.35">
      <c r="C12551" s="2"/>
    </row>
    <row r="12552" spans="3:3" x14ac:dyDescent="0.35">
      <c r="C12552" s="2"/>
    </row>
    <row r="12553" spans="3:3" x14ac:dyDescent="0.35">
      <c r="C12553" s="2"/>
    </row>
    <row r="12554" spans="3:3" x14ac:dyDescent="0.35">
      <c r="C12554" s="2"/>
    </row>
    <row r="12555" spans="3:3" x14ac:dyDescent="0.35">
      <c r="C12555" s="2"/>
    </row>
    <row r="12556" spans="3:3" x14ac:dyDescent="0.35">
      <c r="C12556" s="2"/>
    </row>
    <row r="12557" spans="3:3" x14ac:dyDescent="0.35">
      <c r="C12557" s="2"/>
    </row>
    <row r="12558" spans="3:3" x14ac:dyDescent="0.35">
      <c r="C12558" s="2"/>
    </row>
    <row r="12559" spans="3:3" x14ac:dyDescent="0.35">
      <c r="C12559" s="2"/>
    </row>
    <row r="12560" spans="3:3" x14ac:dyDescent="0.35">
      <c r="C12560" s="2"/>
    </row>
    <row r="12561" spans="3:3" x14ac:dyDescent="0.35">
      <c r="C12561" s="2"/>
    </row>
    <row r="12562" spans="3:3" x14ac:dyDescent="0.35">
      <c r="C12562" s="2"/>
    </row>
    <row r="12563" spans="3:3" x14ac:dyDescent="0.35">
      <c r="C12563" s="2"/>
    </row>
    <row r="12564" spans="3:3" x14ac:dyDescent="0.35">
      <c r="C12564" s="2"/>
    </row>
    <row r="12565" spans="3:3" x14ac:dyDescent="0.35">
      <c r="C12565" s="2"/>
    </row>
    <row r="12566" spans="3:3" x14ac:dyDescent="0.35">
      <c r="C12566" s="2"/>
    </row>
    <row r="12567" spans="3:3" x14ac:dyDescent="0.35">
      <c r="C12567" s="2"/>
    </row>
    <row r="12568" spans="3:3" x14ac:dyDescent="0.35">
      <c r="C12568" s="2"/>
    </row>
    <row r="12569" spans="3:3" x14ac:dyDescent="0.35">
      <c r="C12569" s="2"/>
    </row>
    <row r="12570" spans="3:3" x14ac:dyDescent="0.35">
      <c r="C12570" s="2"/>
    </row>
    <row r="12571" spans="3:3" x14ac:dyDescent="0.35">
      <c r="C12571" s="2"/>
    </row>
    <row r="12572" spans="3:3" x14ac:dyDescent="0.35">
      <c r="C12572" s="2"/>
    </row>
    <row r="12573" spans="3:3" x14ac:dyDescent="0.35">
      <c r="C12573" s="2"/>
    </row>
    <row r="12574" spans="3:3" x14ac:dyDescent="0.35">
      <c r="C12574" s="2"/>
    </row>
    <row r="12575" spans="3:3" x14ac:dyDescent="0.35">
      <c r="C12575" s="2"/>
    </row>
    <row r="12576" spans="3:3" x14ac:dyDescent="0.35">
      <c r="C12576" s="2"/>
    </row>
    <row r="12577" spans="3:3" x14ac:dyDescent="0.35">
      <c r="C12577" s="2"/>
    </row>
    <row r="12578" spans="3:3" x14ac:dyDescent="0.35">
      <c r="C12578" s="2"/>
    </row>
    <row r="12579" spans="3:3" x14ac:dyDescent="0.35">
      <c r="C12579" s="2"/>
    </row>
    <row r="12580" spans="3:3" x14ac:dyDescent="0.35">
      <c r="C12580" s="2"/>
    </row>
    <row r="12581" spans="3:3" x14ac:dyDescent="0.35">
      <c r="C12581" s="2"/>
    </row>
    <row r="12582" spans="3:3" x14ac:dyDescent="0.35">
      <c r="C12582" s="2"/>
    </row>
    <row r="12583" spans="3:3" x14ac:dyDescent="0.35">
      <c r="C12583" s="2"/>
    </row>
    <row r="12584" spans="3:3" x14ac:dyDescent="0.35">
      <c r="C12584" s="2"/>
    </row>
    <row r="12585" spans="3:3" x14ac:dyDescent="0.35">
      <c r="C12585" s="2"/>
    </row>
    <row r="12586" spans="3:3" x14ac:dyDescent="0.35">
      <c r="C12586" s="2"/>
    </row>
    <row r="12587" spans="3:3" x14ac:dyDescent="0.35">
      <c r="C12587" s="2"/>
    </row>
    <row r="12588" spans="3:3" x14ac:dyDescent="0.35">
      <c r="C12588" s="2"/>
    </row>
    <row r="12589" spans="3:3" x14ac:dyDescent="0.35">
      <c r="C12589" s="2"/>
    </row>
    <row r="12590" spans="3:3" x14ac:dyDescent="0.35">
      <c r="C12590" s="2"/>
    </row>
    <row r="12591" spans="3:3" x14ac:dyDescent="0.35">
      <c r="C12591" s="2"/>
    </row>
    <row r="12592" spans="3:3" x14ac:dyDescent="0.35">
      <c r="C12592" s="2"/>
    </row>
    <row r="12593" spans="3:3" x14ac:dyDescent="0.35">
      <c r="C12593" s="2"/>
    </row>
    <row r="12594" spans="3:3" x14ac:dyDescent="0.35">
      <c r="C12594" s="2"/>
    </row>
    <row r="12595" spans="3:3" x14ac:dyDescent="0.35">
      <c r="C12595" s="2"/>
    </row>
    <row r="12596" spans="3:3" x14ac:dyDescent="0.35">
      <c r="C12596" s="2"/>
    </row>
    <row r="12597" spans="3:3" x14ac:dyDescent="0.35">
      <c r="C12597" s="2"/>
    </row>
    <row r="12598" spans="3:3" x14ac:dyDescent="0.35">
      <c r="C12598" s="2"/>
    </row>
    <row r="12599" spans="3:3" x14ac:dyDescent="0.35">
      <c r="C12599" s="2"/>
    </row>
    <row r="12600" spans="3:3" x14ac:dyDescent="0.35">
      <c r="C12600" s="2"/>
    </row>
    <row r="12601" spans="3:3" x14ac:dyDescent="0.35">
      <c r="C12601" s="2"/>
    </row>
    <row r="12602" spans="3:3" x14ac:dyDescent="0.35">
      <c r="C12602" s="2"/>
    </row>
    <row r="12603" spans="3:3" x14ac:dyDescent="0.35">
      <c r="C12603" s="2"/>
    </row>
    <row r="12604" spans="3:3" x14ac:dyDescent="0.35">
      <c r="C12604" s="2"/>
    </row>
    <row r="12605" spans="3:3" x14ac:dyDescent="0.35">
      <c r="C12605" s="2"/>
    </row>
    <row r="12606" spans="3:3" x14ac:dyDescent="0.35">
      <c r="C12606" s="2"/>
    </row>
    <row r="12607" spans="3:3" x14ac:dyDescent="0.35">
      <c r="C12607" s="2"/>
    </row>
    <row r="12608" spans="3:3" x14ac:dyDescent="0.35">
      <c r="C12608" s="2"/>
    </row>
    <row r="12609" spans="3:3" x14ac:dyDescent="0.35">
      <c r="C12609" s="2"/>
    </row>
    <row r="12610" spans="3:3" x14ac:dyDescent="0.35">
      <c r="C12610" s="2"/>
    </row>
    <row r="12611" spans="3:3" x14ac:dyDescent="0.35">
      <c r="C12611" s="2"/>
    </row>
    <row r="12612" spans="3:3" x14ac:dyDescent="0.35">
      <c r="C12612" s="2"/>
    </row>
    <row r="12613" spans="3:3" x14ac:dyDescent="0.35">
      <c r="C12613" s="2"/>
    </row>
    <row r="12614" spans="3:3" x14ac:dyDescent="0.35">
      <c r="C12614" s="2"/>
    </row>
    <row r="12615" spans="3:3" x14ac:dyDescent="0.35">
      <c r="C12615" s="2"/>
    </row>
    <row r="12616" spans="3:3" x14ac:dyDescent="0.35">
      <c r="C12616" s="2"/>
    </row>
    <row r="12617" spans="3:3" x14ac:dyDescent="0.35">
      <c r="C12617" s="2"/>
    </row>
    <row r="12618" spans="3:3" x14ac:dyDescent="0.35">
      <c r="C12618" s="2"/>
    </row>
    <row r="12619" spans="3:3" x14ac:dyDescent="0.35">
      <c r="C12619" s="2"/>
    </row>
    <row r="12620" spans="3:3" x14ac:dyDescent="0.35">
      <c r="C12620" s="2"/>
    </row>
    <row r="12621" spans="3:3" x14ac:dyDescent="0.35">
      <c r="C12621" s="2"/>
    </row>
    <row r="12622" spans="3:3" x14ac:dyDescent="0.35">
      <c r="C12622" s="2"/>
    </row>
    <row r="12623" spans="3:3" x14ac:dyDescent="0.35">
      <c r="C12623" s="2"/>
    </row>
    <row r="12624" spans="3:3" x14ac:dyDescent="0.35">
      <c r="C12624" s="2"/>
    </row>
    <row r="12625" spans="3:3" x14ac:dyDescent="0.35">
      <c r="C12625" s="2"/>
    </row>
    <row r="12626" spans="3:3" x14ac:dyDescent="0.35">
      <c r="C12626" s="2"/>
    </row>
    <row r="12627" spans="3:3" x14ac:dyDescent="0.35">
      <c r="C12627" s="2"/>
    </row>
    <row r="12628" spans="3:3" x14ac:dyDescent="0.35">
      <c r="C12628" s="2"/>
    </row>
    <row r="12629" spans="3:3" x14ac:dyDescent="0.35">
      <c r="C12629" s="2"/>
    </row>
    <row r="12630" spans="3:3" x14ac:dyDescent="0.35">
      <c r="C12630" s="2"/>
    </row>
    <row r="12631" spans="3:3" x14ac:dyDescent="0.35">
      <c r="C12631" s="2"/>
    </row>
    <row r="12632" spans="3:3" x14ac:dyDescent="0.35">
      <c r="C12632" s="2"/>
    </row>
    <row r="12633" spans="3:3" x14ac:dyDescent="0.35">
      <c r="C12633" s="2"/>
    </row>
    <row r="12634" spans="3:3" x14ac:dyDescent="0.35">
      <c r="C12634" s="2"/>
    </row>
    <row r="12635" spans="3:3" x14ac:dyDescent="0.35">
      <c r="C12635" s="2"/>
    </row>
    <row r="12636" spans="3:3" x14ac:dyDescent="0.35">
      <c r="C12636" s="2"/>
    </row>
    <row r="12637" spans="3:3" x14ac:dyDescent="0.35">
      <c r="C12637" s="2"/>
    </row>
    <row r="12638" spans="3:3" x14ac:dyDescent="0.35">
      <c r="C12638" s="2"/>
    </row>
    <row r="12639" spans="3:3" x14ac:dyDescent="0.35">
      <c r="C12639" s="2"/>
    </row>
    <row r="12640" spans="3:3" x14ac:dyDescent="0.35">
      <c r="C12640" s="2"/>
    </row>
    <row r="12641" spans="3:3" x14ac:dyDescent="0.35">
      <c r="C12641" s="2"/>
    </row>
    <row r="12642" spans="3:3" x14ac:dyDescent="0.35">
      <c r="C12642" s="2"/>
    </row>
    <row r="12643" spans="3:3" x14ac:dyDescent="0.35">
      <c r="C12643" s="2"/>
    </row>
    <row r="12644" spans="3:3" x14ac:dyDescent="0.35">
      <c r="C12644" s="2"/>
    </row>
    <row r="12645" spans="3:3" x14ac:dyDescent="0.35">
      <c r="C12645" s="2"/>
    </row>
    <row r="12646" spans="3:3" x14ac:dyDescent="0.35">
      <c r="C12646" s="2"/>
    </row>
    <row r="12647" spans="3:3" x14ac:dyDescent="0.35">
      <c r="C12647" s="2"/>
    </row>
    <row r="12648" spans="3:3" x14ac:dyDescent="0.35">
      <c r="C12648" s="2"/>
    </row>
    <row r="12649" spans="3:3" x14ac:dyDescent="0.35">
      <c r="C12649" s="2"/>
    </row>
    <row r="12650" spans="3:3" x14ac:dyDescent="0.35">
      <c r="C12650" s="2"/>
    </row>
    <row r="12651" spans="3:3" x14ac:dyDescent="0.35">
      <c r="C12651" s="2"/>
    </row>
    <row r="12652" spans="3:3" x14ac:dyDescent="0.35">
      <c r="C12652" s="2"/>
    </row>
    <row r="12653" spans="3:3" x14ac:dyDescent="0.35">
      <c r="C12653" s="2"/>
    </row>
    <row r="12654" spans="3:3" x14ac:dyDescent="0.35">
      <c r="C12654" s="2"/>
    </row>
    <row r="12655" spans="3:3" x14ac:dyDescent="0.35">
      <c r="C12655" s="2"/>
    </row>
    <row r="12656" spans="3:3" x14ac:dyDescent="0.35">
      <c r="C12656" s="2"/>
    </row>
    <row r="12657" spans="3:3" x14ac:dyDescent="0.35">
      <c r="C12657" s="2"/>
    </row>
    <row r="12658" spans="3:3" x14ac:dyDescent="0.35">
      <c r="C12658" s="2"/>
    </row>
    <row r="12659" spans="3:3" x14ac:dyDescent="0.35">
      <c r="C12659" s="2"/>
    </row>
    <row r="12660" spans="3:3" x14ac:dyDescent="0.35">
      <c r="C12660" s="2"/>
    </row>
    <row r="12661" spans="3:3" x14ac:dyDescent="0.35">
      <c r="C12661" s="2"/>
    </row>
    <row r="12662" spans="3:3" x14ac:dyDescent="0.35">
      <c r="C12662" s="2"/>
    </row>
    <row r="12663" spans="3:3" x14ac:dyDescent="0.35">
      <c r="C12663" s="2"/>
    </row>
    <row r="12664" spans="3:3" x14ac:dyDescent="0.35">
      <c r="C12664" s="2"/>
    </row>
    <row r="12665" spans="3:3" x14ac:dyDescent="0.35">
      <c r="C12665" s="2"/>
    </row>
    <row r="12666" spans="3:3" x14ac:dyDescent="0.35">
      <c r="C12666" s="2"/>
    </row>
    <row r="12667" spans="3:3" x14ac:dyDescent="0.35">
      <c r="C12667" s="2"/>
    </row>
    <row r="12668" spans="3:3" x14ac:dyDescent="0.35">
      <c r="C12668" s="2"/>
    </row>
    <row r="12669" spans="3:3" x14ac:dyDescent="0.35">
      <c r="C12669" s="2"/>
    </row>
    <row r="12670" spans="3:3" x14ac:dyDescent="0.35">
      <c r="C12670" s="2"/>
    </row>
    <row r="12671" spans="3:3" x14ac:dyDescent="0.35">
      <c r="C12671" s="2"/>
    </row>
    <row r="12672" spans="3:3" x14ac:dyDescent="0.35">
      <c r="C12672" s="2"/>
    </row>
    <row r="12673" spans="3:3" x14ac:dyDescent="0.35">
      <c r="C12673" s="2"/>
    </row>
    <row r="12674" spans="3:3" x14ac:dyDescent="0.35">
      <c r="C12674" s="2"/>
    </row>
    <row r="12675" spans="3:3" x14ac:dyDescent="0.35">
      <c r="C12675" s="2"/>
    </row>
    <row r="12676" spans="3:3" x14ac:dyDescent="0.35">
      <c r="C12676" s="2"/>
    </row>
    <row r="12677" spans="3:3" x14ac:dyDescent="0.35">
      <c r="C12677" s="2"/>
    </row>
    <row r="12678" spans="3:3" x14ac:dyDescent="0.35">
      <c r="C12678" s="2"/>
    </row>
    <row r="12679" spans="3:3" x14ac:dyDescent="0.35">
      <c r="C12679" s="2"/>
    </row>
    <row r="12680" spans="3:3" x14ac:dyDescent="0.35">
      <c r="C12680" s="2"/>
    </row>
    <row r="12681" spans="3:3" x14ac:dyDescent="0.35">
      <c r="C12681" s="2"/>
    </row>
    <row r="12682" spans="3:3" x14ac:dyDescent="0.35">
      <c r="C12682" s="2"/>
    </row>
    <row r="12683" spans="3:3" x14ac:dyDescent="0.35">
      <c r="C12683" s="2"/>
    </row>
    <row r="12684" spans="3:3" x14ac:dyDescent="0.35">
      <c r="C12684" s="2"/>
    </row>
    <row r="12685" spans="3:3" x14ac:dyDescent="0.35">
      <c r="C12685" s="2"/>
    </row>
    <row r="12686" spans="3:3" x14ac:dyDescent="0.35">
      <c r="C12686" s="2"/>
    </row>
    <row r="12687" spans="3:3" x14ac:dyDescent="0.35">
      <c r="C12687" s="2"/>
    </row>
    <row r="12688" spans="3:3" x14ac:dyDescent="0.35">
      <c r="C12688" s="2"/>
    </row>
    <row r="12689" spans="3:3" x14ac:dyDescent="0.35">
      <c r="C12689" s="2"/>
    </row>
    <row r="12690" spans="3:3" x14ac:dyDescent="0.35">
      <c r="C12690" s="2"/>
    </row>
    <row r="12691" spans="3:3" x14ac:dyDescent="0.35">
      <c r="C12691" s="2"/>
    </row>
    <row r="12692" spans="3:3" x14ac:dyDescent="0.35">
      <c r="C12692" s="2"/>
    </row>
    <row r="12693" spans="3:3" x14ac:dyDescent="0.35">
      <c r="C12693" s="2"/>
    </row>
    <row r="12694" spans="3:3" x14ac:dyDescent="0.35">
      <c r="C12694" s="2"/>
    </row>
    <row r="12695" spans="3:3" x14ac:dyDescent="0.35">
      <c r="C12695" s="2"/>
    </row>
    <row r="12696" spans="3:3" x14ac:dyDescent="0.35">
      <c r="C12696" s="2"/>
    </row>
    <row r="12697" spans="3:3" x14ac:dyDescent="0.35">
      <c r="C12697" s="2"/>
    </row>
    <row r="12698" spans="3:3" x14ac:dyDescent="0.35">
      <c r="C12698" s="2"/>
    </row>
    <row r="12699" spans="3:3" x14ac:dyDescent="0.35">
      <c r="C12699" s="2"/>
    </row>
    <row r="12700" spans="3:3" x14ac:dyDescent="0.35">
      <c r="C12700" s="2"/>
    </row>
    <row r="12701" spans="3:3" x14ac:dyDescent="0.35">
      <c r="C12701" s="2"/>
    </row>
    <row r="12702" spans="3:3" x14ac:dyDescent="0.35">
      <c r="C12702" s="2"/>
    </row>
    <row r="12703" spans="3:3" x14ac:dyDescent="0.35">
      <c r="C12703" s="2"/>
    </row>
    <row r="12704" spans="3:3" x14ac:dyDescent="0.35">
      <c r="C12704" s="2"/>
    </row>
    <row r="12705" spans="3:3" x14ac:dyDescent="0.35">
      <c r="C12705" s="2"/>
    </row>
    <row r="12706" spans="3:3" x14ac:dyDescent="0.35">
      <c r="C12706" s="2"/>
    </row>
    <row r="12707" spans="3:3" x14ac:dyDescent="0.35">
      <c r="C12707" s="2"/>
    </row>
    <row r="12708" spans="3:3" x14ac:dyDescent="0.35">
      <c r="C12708" s="2"/>
    </row>
    <row r="12709" spans="3:3" x14ac:dyDescent="0.35">
      <c r="C12709" s="2"/>
    </row>
    <row r="12710" spans="3:3" x14ac:dyDescent="0.35">
      <c r="C12710" s="2"/>
    </row>
    <row r="12711" spans="3:3" x14ac:dyDescent="0.35">
      <c r="C12711" s="2"/>
    </row>
    <row r="12712" spans="3:3" x14ac:dyDescent="0.35">
      <c r="C12712" s="2"/>
    </row>
    <row r="12713" spans="3:3" x14ac:dyDescent="0.35">
      <c r="C12713" s="2"/>
    </row>
    <row r="12714" spans="3:3" x14ac:dyDescent="0.35">
      <c r="C12714" s="2"/>
    </row>
    <row r="12715" spans="3:3" x14ac:dyDescent="0.35">
      <c r="C12715" s="2"/>
    </row>
    <row r="12716" spans="3:3" x14ac:dyDescent="0.35">
      <c r="C12716" s="2"/>
    </row>
    <row r="12717" spans="3:3" x14ac:dyDescent="0.35">
      <c r="C12717" s="2"/>
    </row>
    <row r="12718" spans="3:3" x14ac:dyDescent="0.35">
      <c r="C12718" s="2"/>
    </row>
    <row r="12719" spans="3:3" x14ac:dyDescent="0.35">
      <c r="C12719" s="2"/>
    </row>
    <row r="12720" spans="3:3" x14ac:dyDescent="0.35">
      <c r="C12720" s="2"/>
    </row>
    <row r="12721" spans="3:3" x14ac:dyDescent="0.35">
      <c r="C12721" s="2"/>
    </row>
    <row r="12722" spans="3:3" x14ac:dyDescent="0.35">
      <c r="C12722" s="2"/>
    </row>
    <row r="12723" spans="3:3" x14ac:dyDescent="0.35">
      <c r="C12723" s="2"/>
    </row>
    <row r="12724" spans="3:3" x14ac:dyDescent="0.35">
      <c r="C12724" s="2"/>
    </row>
    <row r="12725" spans="3:3" x14ac:dyDescent="0.35">
      <c r="C12725" s="2"/>
    </row>
    <row r="12726" spans="3:3" x14ac:dyDescent="0.35">
      <c r="C12726" s="2"/>
    </row>
    <row r="12727" spans="3:3" x14ac:dyDescent="0.35">
      <c r="C12727" s="2"/>
    </row>
    <row r="12728" spans="3:3" x14ac:dyDescent="0.35">
      <c r="C12728" s="2"/>
    </row>
    <row r="12729" spans="3:3" x14ac:dyDescent="0.35">
      <c r="C12729" s="2"/>
    </row>
    <row r="12730" spans="3:3" x14ac:dyDescent="0.35">
      <c r="C12730" s="2"/>
    </row>
    <row r="12731" spans="3:3" x14ac:dyDescent="0.35">
      <c r="C12731" s="2"/>
    </row>
    <row r="12732" spans="3:3" x14ac:dyDescent="0.35">
      <c r="C12732" s="2"/>
    </row>
    <row r="12733" spans="3:3" x14ac:dyDescent="0.35">
      <c r="C12733" s="2"/>
    </row>
    <row r="12734" spans="3:3" x14ac:dyDescent="0.35">
      <c r="C12734" s="2"/>
    </row>
    <row r="12735" spans="3:3" x14ac:dyDescent="0.35">
      <c r="C12735" s="2"/>
    </row>
    <row r="12736" spans="3:3" x14ac:dyDescent="0.35">
      <c r="C12736" s="2"/>
    </row>
    <row r="12737" spans="3:3" x14ac:dyDescent="0.35">
      <c r="C12737" s="2"/>
    </row>
    <row r="12738" spans="3:3" x14ac:dyDescent="0.35">
      <c r="C12738" s="2"/>
    </row>
    <row r="12739" spans="3:3" x14ac:dyDescent="0.35">
      <c r="C12739" s="2"/>
    </row>
    <row r="12740" spans="3:3" x14ac:dyDescent="0.35">
      <c r="C12740" s="2"/>
    </row>
    <row r="12741" spans="3:3" x14ac:dyDescent="0.35">
      <c r="C12741" s="2"/>
    </row>
    <row r="12742" spans="3:3" x14ac:dyDescent="0.35">
      <c r="C12742" s="2"/>
    </row>
    <row r="12743" spans="3:3" x14ac:dyDescent="0.35">
      <c r="C12743" s="2"/>
    </row>
    <row r="12744" spans="3:3" x14ac:dyDescent="0.35">
      <c r="C12744" s="2"/>
    </row>
    <row r="12745" spans="3:3" x14ac:dyDescent="0.35">
      <c r="C12745" s="2"/>
    </row>
    <row r="12746" spans="3:3" x14ac:dyDescent="0.35">
      <c r="C12746" s="2"/>
    </row>
    <row r="12747" spans="3:3" x14ac:dyDescent="0.35">
      <c r="C12747" s="2"/>
    </row>
    <row r="12748" spans="3:3" x14ac:dyDescent="0.35">
      <c r="C12748" s="2"/>
    </row>
    <row r="12749" spans="3:3" x14ac:dyDescent="0.35">
      <c r="C12749" s="2"/>
    </row>
    <row r="12750" spans="3:3" x14ac:dyDescent="0.35">
      <c r="C12750" s="2"/>
    </row>
    <row r="12751" spans="3:3" x14ac:dyDescent="0.35">
      <c r="C12751" s="2"/>
    </row>
    <row r="12752" spans="3:3" x14ac:dyDescent="0.35">
      <c r="C12752" s="2"/>
    </row>
    <row r="12753" spans="3:3" x14ac:dyDescent="0.35">
      <c r="C12753" s="2"/>
    </row>
    <row r="12754" spans="3:3" x14ac:dyDescent="0.35">
      <c r="C12754" s="2"/>
    </row>
    <row r="12755" spans="3:3" x14ac:dyDescent="0.35">
      <c r="C12755" s="2"/>
    </row>
    <row r="12756" spans="3:3" x14ac:dyDescent="0.35">
      <c r="C12756" s="2"/>
    </row>
    <row r="12757" spans="3:3" x14ac:dyDescent="0.35">
      <c r="C12757" s="2"/>
    </row>
    <row r="12758" spans="3:3" x14ac:dyDescent="0.35">
      <c r="C12758" s="2"/>
    </row>
    <row r="12759" spans="3:3" x14ac:dyDescent="0.35">
      <c r="C12759" s="2"/>
    </row>
    <row r="12760" spans="3:3" x14ac:dyDescent="0.35">
      <c r="C12760" s="2"/>
    </row>
    <row r="12761" spans="3:3" x14ac:dyDescent="0.35">
      <c r="C12761" s="2"/>
    </row>
    <row r="12762" spans="3:3" x14ac:dyDescent="0.35">
      <c r="C12762" s="2"/>
    </row>
    <row r="12763" spans="3:3" x14ac:dyDescent="0.35">
      <c r="C12763" s="2"/>
    </row>
    <row r="12764" spans="3:3" x14ac:dyDescent="0.35">
      <c r="C12764" s="2"/>
    </row>
    <row r="12765" spans="3:3" x14ac:dyDescent="0.35">
      <c r="C12765" s="2"/>
    </row>
    <row r="12766" spans="3:3" x14ac:dyDescent="0.35">
      <c r="C12766" s="2"/>
    </row>
    <row r="12767" spans="3:3" x14ac:dyDescent="0.35">
      <c r="C12767" s="2"/>
    </row>
    <row r="12768" spans="3:3" x14ac:dyDescent="0.35">
      <c r="C12768" s="2"/>
    </row>
    <row r="12769" spans="3:3" x14ac:dyDescent="0.35">
      <c r="C12769" s="2"/>
    </row>
    <row r="12770" spans="3:3" x14ac:dyDescent="0.35">
      <c r="C12770" s="2"/>
    </row>
    <row r="12771" spans="3:3" x14ac:dyDescent="0.35">
      <c r="C12771" s="2"/>
    </row>
    <row r="12772" spans="3:3" x14ac:dyDescent="0.35">
      <c r="C12772" s="2"/>
    </row>
    <row r="12773" spans="3:3" x14ac:dyDescent="0.35">
      <c r="C12773" s="2"/>
    </row>
    <row r="12774" spans="3:3" x14ac:dyDescent="0.35">
      <c r="C12774" s="2"/>
    </row>
    <row r="12775" spans="3:3" x14ac:dyDescent="0.35">
      <c r="C12775" s="2"/>
    </row>
    <row r="12776" spans="3:3" x14ac:dyDescent="0.35">
      <c r="C12776" s="2"/>
    </row>
    <row r="12777" spans="3:3" x14ac:dyDescent="0.35">
      <c r="C12777" s="2"/>
    </row>
    <row r="12778" spans="3:3" x14ac:dyDescent="0.35">
      <c r="C12778" s="2"/>
    </row>
    <row r="12779" spans="3:3" x14ac:dyDescent="0.35">
      <c r="C12779" s="2"/>
    </row>
    <row r="12780" spans="3:3" x14ac:dyDescent="0.35">
      <c r="C12780" s="2"/>
    </row>
    <row r="12781" spans="3:3" x14ac:dyDescent="0.35">
      <c r="C12781" s="2"/>
    </row>
    <row r="12782" spans="3:3" x14ac:dyDescent="0.35">
      <c r="C12782" s="2"/>
    </row>
    <row r="12783" spans="3:3" x14ac:dyDescent="0.35">
      <c r="C12783" s="2"/>
    </row>
    <row r="12784" spans="3:3" x14ac:dyDescent="0.35">
      <c r="C12784" s="2"/>
    </row>
    <row r="12785" spans="3:3" x14ac:dyDescent="0.35">
      <c r="C12785" s="2"/>
    </row>
    <row r="12786" spans="3:3" x14ac:dyDescent="0.35">
      <c r="C12786" s="2"/>
    </row>
    <row r="12787" spans="3:3" x14ac:dyDescent="0.35">
      <c r="C12787" s="2"/>
    </row>
    <row r="12788" spans="3:3" x14ac:dyDescent="0.35">
      <c r="C12788" s="2"/>
    </row>
    <row r="12789" spans="3:3" x14ac:dyDescent="0.35">
      <c r="C12789" s="2"/>
    </row>
    <row r="12790" spans="3:3" x14ac:dyDescent="0.35">
      <c r="C12790" s="2"/>
    </row>
    <row r="12791" spans="3:3" x14ac:dyDescent="0.35">
      <c r="C12791" s="2"/>
    </row>
    <row r="12792" spans="3:3" x14ac:dyDescent="0.35">
      <c r="C12792" s="2"/>
    </row>
    <row r="12793" spans="3:3" x14ac:dyDescent="0.35">
      <c r="C12793" s="2"/>
    </row>
    <row r="12794" spans="3:3" x14ac:dyDescent="0.35">
      <c r="C12794" s="2"/>
    </row>
    <row r="12795" spans="3:3" x14ac:dyDescent="0.35">
      <c r="C12795" s="2"/>
    </row>
    <row r="12796" spans="3:3" x14ac:dyDescent="0.35">
      <c r="C12796" s="2"/>
    </row>
    <row r="12797" spans="3:3" x14ac:dyDescent="0.35">
      <c r="C12797" s="2"/>
    </row>
    <row r="12798" spans="3:3" x14ac:dyDescent="0.35">
      <c r="C12798" s="2"/>
    </row>
    <row r="12799" spans="3:3" x14ac:dyDescent="0.35">
      <c r="C12799" s="2"/>
    </row>
    <row r="12800" spans="3:3" x14ac:dyDescent="0.35">
      <c r="C12800" s="2"/>
    </row>
    <row r="12801" spans="3:3" x14ac:dyDescent="0.35">
      <c r="C12801" s="2"/>
    </row>
    <row r="12802" spans="3:3" x14ac:dyDescent="0.35">
      <c r="C12802" s="2"/>
    </row>
    <row r="12803" spans="3:3" x14ac:dyDescent="0.35">
      <c r="C12803" s="2"/>
    </row>
    <row r="12804" spans="3:3" x14ac:dyDescent="0.35">
      <c r="C12804" s="2"/>
    </row>
    <row r="12805" spans="3:3" x14ac:dyDescent="0.35">
      <c r="C12805" s="2"/>
    </row>
    <row r="12806" spans="3:3" x14ac:dyDescent="0.35">
      <c r="C12806" s="2"/>
    </row>
    <row r="12807" spans="3:3" x14ac:dyDescent="0.35">
      <c r="C12807" s="2"/>
    </row>
    <row r="12808" spans="3:3" x14ac:dyDescent="0.35">
      <c r="C12808" s="2"/>
    </row>
    <row r="12809" spans="3:3" x14ac:dyDescent="0.35">
      <c r="C12809" s="2"/>
    </row>
    <row r="12810" spans="3:3" x14ac:dyDescent="0.35">
      <c r="C12810" s="2"/>
    </row>
    <row r="12811" spans="3:3" x14ac:dyDescent="0.35">
      <c r="C12811" s="2"/>
    </row>
    <row r="12812" spans="3:3" x14ac:dyDescent="0.35">
      <c r="C12812" s="2"/>
    </row>
    <row r="12813" spans="3:3" x14ac:dyDescent="0.35">
      <c r="C12813" s="2"/>
    </row>
    <row r="12814" spans="3:3" x14ac:dyDescent="0.35">
      <c r="C12814" s="2"/>
    </row>
    <row r="12815" spans="3:3" x14ac:dyDescent="0.35">
      <c r="C12815" s="2"/>
    </row>
    <row r="12816" spans="3:3" x14ac:dyDescent="0.35">
      <c r="C12816" s="2"/>
    </row>
    <row r="12817" spans="3:3" x14ac:dyDescent="0.35">
      <c r="C12817" s="2"/>
    </row>
    <row r="12818" spans="3:3" x14ac:dyDescent="0.35">
      <c r="C12818" s="2"/>
    </row>
    <row r="12819" spans="3:3" x14ac:dyDescent="0.35">
      <c r="C12819" s="2"/>
    </row>
    <row r="12820" spans="3:3" x14ac:dyDescent="0.35">
      <c r="C12820" s="2"/>
    </row>
    <row r="12821" spans="3:3" x14ac:dyDescent="0.35">
      <c r="C12821" s="2"/>
    </row>
    <row r="12822" spans="3:3" x14ac:dyDescent="0.35">
      <c r="C12822" s="2"/>
    </row>
    <row r="12823" spans="3:3" x14ac:dyDescent="0.35">
      <c r="C12823" s="2"/>
    </row>
    <row r="12824" spans="3:3" x14ac:dyDescent="0.35">
      <c r="C12824" s="2"/>
    </row>
    <row r="12825" spans="3:3" x14ac:dyDescent="0.35">
      <c r="C12825" s="2"/>
    </row>
    <row r="12826" spans="3:3" x14ac:dyDescent="0.35">
      <c r="C12826" s="2"/>
    </row>
    <row r="12827" spans="3:3" x14ac:dyDescent="0.35">
      <c r="C12827" s="2"/>
    </row>
    <row r="12828" spans="3:3" x14ac:dyDescent="0.35">
      <c r="C12828" s="2"/>
    </row>
    <row r="12829" spans="3:3" x14ac:dyDescent="0.35">
      <c r="C12829" s="2"/>
    </row>
    <row r="12830" spans="3:3" x14ac:dyDescent="0.35">
      <c r="C12830" s="2"/>
    </row>
    <row r="12831" spans="3:3" x14ac:dyDescent="0.35">
      <c r="C12831" s="2"/>
    </row>
    <row r="12832" spans="3:3" x14ac:dyDescent="0.35">
      <c r="C12832" s="2"/>
    </row>
    <row r="12833" spans="3:3" x14ac:dyDescent="0.35">
      <c r="C12833" s="2"/>
    </row>
    <row r="12834" spans="3:3" x14ac:dyDescent="0.35">
      <c r="C12834" s="2"/>
    </row>
    <row r="12835" spans="3:3" x14ac:dyDescent="0.35">
      <c r="C12835" s="2"/>
    </row>
    <row r="12836" spans="3:3" x14ac:dyDescent="0.35">
      <c r="C12836" s="2"/>
    </row>
    <row r="12837" spans="3:3" x14ac:dyDescent="0.35">
      <c r="C12837" s="2"/>
    </row>
    <row r="12838" spans="3:3" x14ac:dyDescent="0.35">
      <c r="C12838" s="2"/>
    </row>
    <row r="12839" spans="3:3" x14ac:dyDescent="0.35">
      <c r="C12839" s="2"/>
    </row>
    <row r="12840" spans="3:3" x14ac:dyDescent="0.35">
      <c r="C12840" s="2"/>
    </row>
    <row r="12841" spans="3:3" x14ac:dyDescent="0.35">
      <c r="C12841" s="2"/>
    </row>
    <row r="12842" spans="3:3" x14ac:dyDescent="0.35">
      <c r="C12842" s="2"/>
    </row>
    <row r="12843" spans="3:3" x14ac:dyDescent="0.35">
      <c r="C12843" s="2"/>
    </row>
    <row r="12844" spans="3:3" x14ac:dyDescent="0.35">
      <c r="C12844" s="2"/>
    </row>
    <row r="12845" spans="3:3" x14ac:dyDescent="0.35">
      <c r="C12845" s="2"/>
    </row>
    <row r="12846" spans="3:3" x14ac:dyDescent="0.35">
      <c r="C12846" s="2"/>
    </row>
    <row r="12847" spans="3:3" x14ac:dyDescent="0.35">
      <c r="C12847" s="2"/>
    </row>
    <row r="12848" spans="3:3" x14ac:dyDescent="0.35">
      <c r="C12848" s="2"/>
    </row>
    <row r="12849" spans="3:3" x14ac:dyDescent="0.35">
      <c r="C12849" s="2"/>
    </row>
    <row r="12850" spans="3:3" x14ac:dyDescent="0.35">
      <c r="C12850" s="2"/>
    </row>
    <row r="12851" spans="3:3" x14ac:dyDescent="0.35">
      <c r="C12851" s="2"/>
    </row>
    <row r="12852" spans="3:3" x14ac:dyDescent="0.35">
      <c r="C12852" s="2"/>
    </row>
    <row r="12853" spans="3:3" x14ac:dyDescent="0.35">
      <c r="C12853" s="2"/>
    </row>
    <row r="12854" spans="3:3" x14ac:dyDescent="0.35">
      <c r="C12854" s="2"/>
    </row>
    <row r="12855" spans="3:3" x14ac:dyDescent="0.35">
      <c r="C12855" s="2"/>
    </row>
    <row r="12856" spans="3:3" x14ac:dyDescent="0.35">
      <c r="C12856" s="2"/>
    </row>
    <row r="12857" spans="3:3" x14ac:dyDescent="0.35">
      <c r="C12857" s="2"/>
    </row>
    <row r="12858" spans="3:3" x14ac:dyDescent="0.35">
      <c r="C12858" s="2"/>
    </row>
    <row r="12859" spans="3:3" x14ac:dyDescent="0.35">
      <c r="C12859" s="2"/>
    </row>
    <row r="12860" spans="3:3" x14ac:dyDescent="0.35">
      <c r="C12860" s="2"/>
    </row>
    <row r="12861" spans="3:3" x14ac:dyDescent="0.35">
      <c r="C12861" s="2"/>
    </row>
    <row r="12862" spans="3:3" x14ac:dyDescent="0.35">
      <c r="C12862" s="2"/>
    </row>
    <row r="12863" spans="3:3" x14ac:dyDescent="0.35">
      <c r="C12863" s="2"/>
    </row>
    <row r="12864" spans="3:3" x14ac:dyDescent="0.35">
      <c r="C12864" s="2"/>
    </row>
    <row r="12865" spans="3:3" x14ac:dyDescent="0.35">
      <c r="C12865" s="2"/>
    </row>
    <row r="12866" spans="3:3" x14ac:dyDescent="0.35">
      <c r="C12866" s="2"/>
    </row>
    <row r="12867" spans="3:3" x14ac:dyDescent="0.35">
      <c r="C12867" s="2"/>
    </row>
    <row r="12868" spans="3:3" x14ac:dyDescent="0.35">
      <c r="C12868" s="2"/>
    </row>
    <row r="12869" spans="3:3" x14ac:dyDescent="0.35">
      <c r="C12869" s="2"/>
    </row>
    <row r="12870" spans="3:3" x14ac:dyDescent="0.35">
      <c r="C12870" s="2"/>
    </row>
    <row r="12871" spans="3:3" x14ac:dyDescent="0.35">
      <c r="C12871" s="2"/>
    </row>
    <row r="12872" spans="3:3" x14ac:dyDescent="0.35">
      <c r="C12872" s="2"/>
    </row>
    <row r="12873" spans="3:3" x14ac:dyDescent="0.35">
      <c r="C12873" s="2"/>
    </row>
    <row r="12874" spans="3:3" x14ac:dyDescent="0.35">
      <c r="C12874" s="2"/>
    </row>
    <row r="12875" spans="3:3" x14ac:dyDescent="0.35">
      <c r="C12875" s="2"/>
    </row>
    <row r="12876" spans="3:3" x14ac:dyDescent="0.35">
      <c r="C12876" s="2"/>
    </row>
    <row r="12877" spans="3:3" x14ac:dyDescent="0.35">
      <c r="C12877" s="2"/>
    </row>
    <row r="12878" spans="3:3" x14ac:dyDescent="0.35">
      <c r="C12878" s="2"/>
    </row>
    <row r="12879" spans="3:3" x14ac:dyDescent="0.35">
      <c r="C12879" s="2"/>
    </row>
    <row r="12880" spans="3:3" x14ac:dyDescent="0.35">
      <c r="C12880" s="2"/>
    </row>
    <row r="12881" spans="3:3" x14ac:dyDescent="0.35">
      <c r="C12881" s="2"/>
    </row>
    <row r="12882" spans="3:3" x14ac:dyDescent="0.35">
      <c r="C12882" s="2"/>
    </row>
    <row r="12883" spans="3:3" x14ac:dyDescent="0.35">
      <c r="C12883" s="2"/>
    </row>
    <row r="12884" spans="3:3" x14ac:dyDescent="0.35">
      <c r="C12884" s="2"/>
    </row>
    <row r="12885" spans="3:3" x14ac:dyDescent="0.35">
      <c r="C12885" s="2"/>
    </row>
    <row r="12886" spans="3:3" x14ac:dyDescent="0.35">
      <c r="C12886" s="2"/>
    </row>
    <row r="12887" spans="3:3" x14ac:dyDescent="0.35">
      <c r="C12887" s="2"/>
    </row>
    <row r="12888" spans="3:3" x14ac:dyDescent="0.35">
      <c r="C12888" s="2"/>
    </row>
    <row r="12889" spans="3:3" x14ac:dyDescent="0.35">
      <c r="C12889" s="2"/>
    </row>
    <row r="12890" spans="3:3" x14ac:dyDescent="0.35">
      <c r="C12890" s="2"/>
    </row>
    <row r="12891" spans="3:3" x14ac:dyDescent="0.35">
      <c r="C12891" s="2"/>
    </row>
    <row r="12892" spans="3:3" x14ac:dyDescent="0.35">
      <c r="C12892" s="2"/>
    </row>
    <row r="12893" spans="3:3" x14ac:dyDescent="0.35">
      <c r="C12893" s="2"/>
    </row>
    <row r="12894" spans="3:3" x14ac:dyDescent="0.35">
      <c r="C12894" s="2"/>
    </row>
    <row r="12895" spans="3:3" x14ac:dyDescent="0.35">
      <c r="C12895" s="2"/>
    </row>
    <row r="12896" spans="3:3" x14ac:dyDescent="0.35">
      <c r="C12896" s="2"/>
    </row>
    <row r="12897" spans="3:3" x14ac:dyDescent="0.35">
      <c r="C12897" s="2"/>
    </row>
    <row r="12898" spans="3:3" x14ac:dyDescent="0.35">
      <c r="C12898" s="2"/>
    </row>
    <row r="12899" spans="3:3" x14ac:dyDescent="0.35">
      <c r="C12899" s="2"/>
    </row>
    <row r="12900" spans="3:3" x14ac:dyDescent="0.35">
      <c r="C12900" s="2"/>
    </row>
    <row r="12901" spans="3:3" x14ac:dyDescent="0.35">
      <c r="C12901" s="2"/>
    </row>
    <row r="12902" spans="3:3" x14ac:dyDescent="0.35">
      <c r="C12902" s="2"/>
    </row>
    <row r="12903" spans="3:3" x14ac:dyDescent="0.35">
      <c r="C12903" s="2"/>
    </row>
    <row r="12904" spans="3:3" x14ac:dyDescent="0.35">
      <c r="C12904" s="2"/>
    </row>
    <row r="12905" spans="3:3" x14ac:dyDescent="0.35">
      <c r="C12905" s="2"/>
    </row>
    <row r="12906" spans="3:3" x14ac:dyDescent="0.35">
      <c r="C12906" s="2"/>
    </row>
    <row r="12907" spans="3:3" x14ac:dyDescent="0.35">
      <c r="C12907" s="2"/>
    </row>
    <row r="12908" spans="3:3" x14ac:dyDescent="0.35">
      <c r="C12908" s="2"/>
    </row>
    <row r="12909" spans="3:3" x14ac:dyDescent="0.35">
      <c r="C12909" s="2"/>
    </row>
    <row r="12910" spans="3:3" x14ac:dyDescent="0.35">
      <c r="C12910" s="2"/>
    </row>
    <row r="12911" spans="3:3" x14ac:dyDescent="0.35">
      <c r="C12911" s="2"/>
    </row>
    <row r="12912" spans="3:3" x14ac:dyDescent="0.35">
      <c r="C12912" s="2"/>
    </row>
    <row r="12913" spans="3:3" x14ac:dyDescent="0.35">
      <c r="C12913" s="2"/>
    </row>
    <row r="12914" spans="3:3" x14ac:dyDescent="0.35">
      <c r="C12914" s="2"/>
    </row>
    <row r="12915" spans="3:3" x14ac:dyDescent="0.35">
      <c r="C12915" s="2"/>
    </row>
    <row r="12916" spans="3:3" x14ac:dyDescent="0.35">
      <c r="C12916" s="2"/>
    </row>
    <row r="12917" spans="3:3" x14ac:dyDescent="0.35">
      <c r="C12917" s="2"/>
    </row>
    <row r="12918" spans="3:3" x14ac:dyDescent="0.35">
      <c r="C12918" s="2"/>
    </row>
    <row r="12919" spans="3:3" x14ac:dyDescent="0.35">
      <c r="C12919" s="2"/>
    </row>
    <row r="12920" spans="3:3" x14ac:dyDescent="0.35">
      <c r="C12920" s="2"/>
    </row>
    <row r="12921" spans="3:3" x14ac:dyDescent="0.35">
      <c r="C12921" s="2"/>
    </row>
    <row r="12922" spans="3:3" x14ac:dyDescent="0.35">
      <c r="C12922" s="2"/>
    </row>
    <row r="12923" spans="3:3" x14ac:dyDescent="0.35">
      <c r="C12923" s="2"/>
    </row>
    <row r="12924" spans="3:3" x14ac:dyDescent="0.35">
      <c r="C12924" s="2"/>
    </row>
    <row r="12925" spans="3:3" x14ac:dyDescent="0.35">
      <c r="C12925" s="2"/>
    </row>
    <row r="12926" spans="3:3" x14ac:dyDescent="0.35">
      <c r="C12926" s="2"/>
    </row>
    <row r="12927" spans="3:3" x14ac:dyDescent="0.35">
      <c r="C12927" s="2"/>
    </row>
    <row r="12928" spans="3:3" x14ac:dyDescent="0.35">
      <c r="C12928" s="2"/>
    </row>
    <row r="12929" spans="3:3" x14ac:dyDescent="0.35">
      <c r="C12929" s="2"/>
    </row>
    <row r="12930" spans="3:3" x14ac:dyDescent="0.35">
      <c r="C12930" s="2"/>
    </row>
    <row r="12931" spans="3:3" x14ac:dyDescent="0.35">
      <c r="C12931" s="2"/>
    </row>
    <row r="12932" spans="3:3" x14ac:dyDescent="0.35">
      <c r="C12932" s="2"/>
    </row>
    <row r="12933" spans="3:3" x14ac:dyDescent="0.35">
      <c r="C12933" s="2"/>
    </row>
    <row r="12934" spans="3:3" x14ac:dyDescent="0.35">
      <c r="C12934" s="2"/>
    </row>
    <row r="12935" spans="3:3" x14ac:dyDescent="0.35">
      <c r="C12935" s="2"/>
    </row>
    <row r="12936" spans="3:3" x14ac:dyDescent="0.35">
      <c r="C12936" s="2"/>
    </row>
    <row r="12937" spans="3:3" x14ac:dyDescent="0.35">
      <c r="C12937" s="2"/>
    </row>
    <row r="12938" spans="3:3" x14ac:dyDescent="0.35">
      <c r="C12938" s="2"/>
    </row>
    <row r="12939" spans="3:3" x14ac:dyDescent="0.35">
      <c r="C12939" s="2"/>
    </row>
    <row r="12940" spans="3:3" x14ac:dyDescent="0.35">
      <c r="C12940" s="2"/>
    </row>
    <row r="12941" spans="3:3" x14ac:dyDescent="0.35">
      <c r="C12941" s="2"/>
    </row>
    <row r="12942" spans="3:3" x14ac:dyDescent="0.35">
      <c r="C12942" s="2"/>
    </row>
    <row r="12943" spans="3:3" x14ac:dyDescent="0.35">
      <c r="C12943" s="2"/>
    </row>
    <row r="12944" spans="3:3" x14ac:dyDescent="0.35">
      <c r="C12944" s="2"/>
    </row>
    <row r="12945" spans="3:3" x14ac:dyDescent="0.35">
      <c r="C12945" s="2"/>
    </row>
    <row r="12946" spans="3:3" x14ac:dyDescent="0.35">
      <c r="C12946" s="2"/>
    </row>
    <row r="12947" spans="3:3" x14ac:dyDescent="0.35">
      <c r="C12947" s="2"/>
    </row>
    <row r="12948" spans="3:3" x14ac:dyDescent="0.35">
      <c r="C12948" s="2"/>
    </row>
    <row r="12949" spans="3:3" x14ac:dyDescent="0.35">
      <c r="C12949" s="2"/>
    </row>
    <row r="12950" spans="3:3" x14ac:dyDescent="0.35">
      <c r="C12950" s="2"/>
    </row>
    <row r="12951" spans="3:3" x14ac:dyDescent="0.35">
      <c r="C12951" s="2"/>
    </row>
    <row r="12952" spans="3:3" x14ac:dyDescent="0.35">
      <c r="C12952" s="2"/>
    </row>
    <row r="12953" spans="3:3" x14ac:dyDescent="0.35">
      <c r="C12953" s="2"/>
    </row>
    <row r="12954" spans="3:3" x14ac:dyDescent="0.35">
      <c r="C12954" s="2"/>
    </row>
    <row r="12955" spans="3:3" x14ac:dyDescent="0.35">
      <c r="C12955" s="2"/>
    </row>
    <row r="12956" spans="3:3" x14ac:dyDescent="0.35">
      <c r="C12956" s="2"/>
    </row>
    <row r="12957" spans="3:3" x14ac:dyDescent="0.35">
      <c r="C12957" s="2"/>
    </row>
    <row r="12958" spans="3:3" x14ac:dyDescent="0.35">
      <c r="C12958" s="2"/>
    </row>
    <row r="12959" spans="3:3" x14ac:dyDescent="0.35">
      <c r="C12959" s="2"/>
    </row>
    <row r="12960" spans="3:3" x14ac:dyDescent="0.35">
      <c r="C12960" s="2"/>
    </row>
    <row r="12961" spans="3:3" x14ac:dyDescent="0.35">
      <c r="C12961" s="2"/>
    </row>
    <row r="12962" spans="3:3" x14ac:dyDescent="0.35">
      <c r="C12962" s="2"/>
    </row>
    <row r="12963" spans="3:3" x14ac:dyDescent="0.35">
      <c r="C12963" s="2"/>
    </row>
    <row r="12964" spans="3:3" x14ac:dyDescent="0.35">
      <c r="C12964" s="2"/>
    </row>
    <row r="12965" spans="3:3" x14ac:dyDescent="0.35">
      <c r="C12965" s="2"/>
    </row>
    <row r="12966" spans="3:3" x14ac:dyDescent="0.35">
      <c r="C12966" s="2"/>
    </row>
    <row r="12967" spans="3:3" x14ac:dyDescent="0.35">
      <c r="C12967" s="2"/>
    </row>
    <row r="12968" spans="3:3" x14ac:dyDescent="0.35">
      <c r="C12968" s="2"/>
    </row>
    <row r="12969" spans="3:3" x14ac:dyDescent="0.35">
      <c r="C12969" s="2"/>
    </row>
    <row r="12970" spans="3:3" x14ac:dyDescent="0.35">
      <c r="C12970" s="2"/>
    </row>
    <row r="12971" spans="3:3" x14ac:dyDescent="0.35">
      <c r="C12971" s="2"/>
    </row>
    <row r="12972" spans="3:3" x14ac:dyDescent="0.35">
      <c r="C12972" s="2"/>
    </row>
    <row r="12973" spans="3:3" x14ac:dyDescent="0.35">
      <c r="C12973" s="2"/>
    </row>
    <row r="12974" spans="3:3" x14ac:dyDescent="0.35">
      <c r="C12974" s="2"/>
    </row>
    <row r="12975" spans="3:3" x14ac:dyDescent="0.35">
      <c r="C12975" s="2"/>
    </row>
    <row r="12976" spans="3:3" x14ac:dyDescent="0.35">
      <c r="C12976" s="2"/>
    </row>
    <row r="12977" spans="3:3" x14ac:dyDescent="0.35">
      <c r="C12977" s="2"/>
    </row>
    <row r="12978" spans="3:3" x14ac:dyDescent="0.35">
      <c r="C12978" s="2"/>
    </row>
    <row r="12979" spans="3:3" x14ac:dyDescent="0.35">
      <c r="C12979" s="2"/>
    </row>
    <row r="12980" spans="3:3" x14ac:dyDescent="0.35">
      <c r="C12980" s="2"/>
    </row>
    <row r="12981" spans="3:3" x14ac:dyDescent="0.35">
      <c r="C12981" s="2"/>
    </row>
    <row r="12982" spans="3:3" x14ac:dyDescent="0.35">
      <c r="C12982" s="2"/>
    </row>
    <row r="12983" spans="3:3" x14ac:dyDescent="0.35">
      <c r="C12983" s="2"/>
    </row>
    <row r="12984" spans="3:3" x14ac:dyDescent="0.35">
      <c r="C12984" s="2"/>
    </row>
    <row r="12985" spans="3:3" x14ac:dyDescent="0.35">
      <c r="C12985" s="2"/>
    </row>
    <row r="12986" spans="3:3" x14ac:dyDescent="0.35">
      <c r="C12986" s="2"/>
    </row>
    <row r="12987" spans="3:3" x14ac:dyDescent="0.35">
      <c r="C12987" s="2"/>
    </row>
    <row r="12988" spans="3:3" x14ac:dyDescent="0.35">
      <c r="C12988" s="2"/>
    </row>
    <row r="12989" spans="3:3" x14ac:dyDescent="0.35">
      <c r="C12989" s="2"/>
    </row>
    <row r="12990" spans="3:3" x14ac:dyDescent="0.35">
      <c r="C12990" s="2"/>
    </row>
    <row r="12991" spans="3:3" x14ac:dyDescent="0.35">
      <c r="C12991" s="2"/>
    </row>
    <row r="12992" spans="3:3" x14ac:dyDescent="0.35">
      <c r="C12992" s="2"/>
    </row>
    <row r="12993" spans="3:3" x14ac:dyDescent="0.35">
      <c r="C12993" s="2"/>
    </row>
    <row r="12994" spans="3:3" x14ac:dyDescent="0.35">
      <c r="C12994" s="2"/>
    </row>
    <row r="12995" spans="3:3" x14ac:dyDescent="0.35">
      <c r="C12995" s="2"/>
    </row>
    <row r="12996" spans="3:3" x14ac:dyDescent="0.35">
      <c r="C12996" s="2"/>
    </row>
    <row r="12997" spans="3:3" x14ac:dyDescent="0.35">
      <c r="C12997" s="2"/>
    </row>
    <row r="12998" spans="3:3" x14ac:dyDescent="0.35">
      <c r="C12998" s="2"/>
    </row>
    <row r="12999" spans="3:3" x14ac:dyDescent="0.35">
      <c r="C12999" s="2"/>
    </row>
    <row r="13000" spans="3:3" x14ac:dyDescent="0.35">
      <c r="C13000" s="2"/>
    </row>
    <row r="13001" spans="3:3" x14ac:dyDescent="0.35">
      <c r="C13001" s="2"/>
    </row>
    <row r="13002" spans="3:3" x14ac:dyDescent="0.35">
      <c r="C13002" s="2"/>
    </row>
    <row r="13003" spans="3:3" x14ac:dyDescent="0.35">
      <c r="C13003" s="2"/>
    </row>
    <row r="13004" spans="3:3" x14ac:dyDescent="0.35">
      <c r="C13004" s="2"/>
    </row>
    <row r="13005" spans="3:3" x14ac:dyDescent="0.35">
      <c r="C13005" s="2"/>
    </row>
    <row r="13006" spans="3:3" x14ac:dyDescent="0.35">
      <c r="C13006" s="2"/>
    </row>
    <row r="13007" spans="3:3" x14ac:dyDescent="0.35">
      <c r="C13007" s="2"/>
    </row>
    <row r="13008" spans="3:3" x14ac:dyDescent="0.35">
      <c r="C13008" s="2"/>
    </row>
    <row r="13009" spans="3:3" x14ac:dyDescent="0.35">
      <c r="C13009" s="2"/>
    </row>
    <row r="13010" spans="3:3" x14ac:dyDescent="0.35">
      <c r="C13010" s="2"/>
    </row>
    <row r="13011" spans="3:3" x14ac:dyDescent="0.35">
      <c r="C13011" s="2"/>
    </row>
    <row r="13012" spans="3:3" x14ac:dyDescent="0.35">
      <c r="C13012" s="2"/>
    </row>
    <row r="13013" spans="3:3" x14ac:dyDescent="0.35">
      <c r="C13013" s="2"/>
    </row>
    <row r="13014" spans="3:3" x14ac:dyDescent="0.35">
      <c r="C13014" s="2"/>
    </row>
    <row r="13015" spans="3:3" x14ac:dyDescent="0.35">
      <c r="C13015" s="2"/>
    </row>
    <row r="13016" spans="3:3" x14ac:dyDescent="0.35">
      <c r="C13016" s="2"/>
    </row>
    <row r="13017" spans="3:3" x14ac:dyDescent="0.35">
      <c r="C13017" s="2"/>
    </row>
    <row r="13018" spans="3:3" x14ac:dyDescent="0.35">
      <c r="C13018" s="2"/>
    </row>
    <row r="13019" spans="3:3" x14ac:dyDescent="0.35">
      <c r="C13019" s="2"/>
    </row>
    <row r="13020" spans="3:3" x14ac:dyDescent="0.35">
      <c r="C13020" s="2"/>
    </row>
    <row r="13021" spans="3:3" x14ac:dyDescent="0.35">
      <c r="C13021" s="2"/>
    </row>
    <row r="13022" spans="3:3" x14ac:dyDescent="0.35">
      <c r="C13022" s="2"/>
    </row>
    <row r="13023" spans="3:3" x14ac:dyDescent="0.35">
      <c r="C13023" s="2"/>
    </row>
    <row r="13024" spans="3:3" x14ac:dyDescent="0.35">
      <c r="C13024" s="2"/>
    </row>
    <row r="13025" spans="3:3" x14ac:dyDescent="0.35">
      <c r="C13025" s="2"/>
    </row>
    <row r="13026" spans="3:3" x14ac:dyDescent="0.35">
      <c r="C13026" s="2"/>
    </row>
    <row r="13027" spans="3:3" x14ac:dyDescent="0.35">
      <c r="C13027" s="2"/>
    </row>
    <row r="13028" spans="3:3" x14ac:dyDescent="0.35">
      <c r="C13028" s="2"/>
    </row>
    <row r="13029" spans="3:3" x14ac:dyDescent="0.35">
      <c r="C13029" s="2"/>
    </row>
    <row r="13030" spans="3:3" x14ac:dyDescent="0.35">
      <c r="C13030" s="2"/>
    </row>
    <row r="13031" spans="3:3" x14ac:dyDescent="0.35">
      <c r="C13031" s="2"/>
    </row>
    <row r="13032" spans="3:3" x14ac:dyDescent="0.35">
      <c r="C13032" s="2"/>
    </row>
    <row r="13033" spans="3:3" x14ac:dyDescent="0.35">
      <c r="C13033" s="2"/>
    </row>
    <row r="13034" spans="3:3" x14ac:dyDescent="0.35">
      <c r="C13034" s="2"/>
    </row>
    <row r="13035" spans="3:3" x14ac:dyDescent="0.35">
      <c r="C13035" s="2"/>
    </row>
    <row r="13036" spans="3:3" x14ac:dyDescent="0.35">
      <c r="C13036" s="2"/>
    </row>
    <row r="13037" spans="3:3" x14ac:dyDescent="0.35">
      <c r="C13037" s="2"/>
    </row>
    <row r="13038" spans="3:3" x14ac:dyDescent="0.35">
      <c r="C13038" s="2"/>
    </row>
    <row r="13039" spans="3:3" x14ac:dyDescent="0.35">
      <c r="C13039" s="2"/>
    </row>
    <row r="13040" spans="3:3" x14ac:dyDescent="0.35">
      <c r="C13040" s="2"/>
    </row>
    <row r="13041" spans="3:3" x14ac:dyDescent="0.35">
      <c r="C13041" s="2"/>
    </row>
    <row r="13042" spans="3:3" x14ac:dyDescent="0.35">
      <c r="C13042" s="2"/>
    </row>
    <row r="13043" spans="3:3" x14ac:dyDescent="0.35">
      <c r="C13043" s="2"/>
    </row>
    <row r="13044" spans="3:3" x14ac:dyDescent="0.35">
      <c r="C13044" s="2"/>
    </row>
    <row r="13045" spans="3:3" x14ac:dyDescent="0.35">
      <c r="C13045" s="2"/>
    </row>
    <row r="13046" spans="3:3" x14ac:dyDescent="0.35">
      <c r="C13046" s="2"/>
    </row>
    <row r="13047" spans="3:3" x14ac:dyDescent="0.35">
      <c r="C13047" s="2"/>
    </row>
    <row r="13048" spans="3:3" x14ac:dyDescent="0.35">
      <c r="C13048" s="2"/>
    </row>
    <row r="13049" spans="3:3" x14ac:dyDescent="0.35">
      <c r="C13049" s="2"/>
    </row>
    <row r="13050" spans="3:3" x14ac:dyDescent="0.35">
      <c r="C13050" s="2"/>
    </row>
    <row r="13051" spans="3:3" x14ac:dyDescent="0.35">
      <c r="C13051" s="2"/>
    </row>
    <row r="13052" spans="3:3" x14ac:dyDescent="0.35">
      <c r="C13052" s="2"/>
    </row>
    <row r="13053" spans="3:3" x14ac:dyDescent="0.35">
      <c r="C13053" s="2"/>
    </row>
    <row r="13054" spans="3:3" x14ac:dyDescent="0.35">
      <c r="C13054" s="2"/>
    </row>
    <row r="13055" spans="3:3" x14ac:dyDescent="0.35">
      <c r="C13055" s="2"/>
    </row>
    <row r="13056" spans="3:3" x14ac:dyDescent="0.35">
      <c r="C13056" s="2"/>
    </row>
    <row r="13057" spans="3:3" x14ac:dyDescent="0.35">
      <c r="C13057" s="2"/>
    </row>
    <row r="13058" spans="3:3" x14ac:dyDescent="0.35">
      <c r="C13058" s="2"/>
    </row>
    <row r="13059" spans="3:3" x14ac:dyDescent="0.35">
      <c r="C13059" s="2"/>
    </row>
    <row r="13060" spans="3:3" x14ac:dyDescent="0.35">
      <c r="C13060" s="2"/>
    </row>
    <row r="13061" spans="3:3" x14ac:dyDescent="0.35">
      <c r="C13061" s="2"/>
    </row>
    <row r="13062" spans="3:3" x14ac:dyDescent="0.35">
      <c r="C13062" s="2"/>
    </row>
    <row r="13063" spans="3:3" x14ac:dyDescent="0.35">
      <c r="C13063" s="2"/>
    </row>
    <row r="13064" spans="3:3" x14ac:dyDescent="0.35">
      <c r="C13064" s="2"/>
    </row>
    <row r="13065" spans="3:3" x14ac:dyDescent="0.35">
      <c r="C13065" s="2"/>
    </row>
    <row r="13066" spans="3:3" x14ac:dyDescent="0.35">
      <c r="C13066" s="2"/>
    </row>
    <row r="13067" spans="3:3" x14ac:dyDescent="0.35">
      <c r="C13067" s="2"/>
    </row>
    <row r="13068" spans="3:3" x14ac:dyDescent="0.35">
      <c r="C13068" s="2"/>
    </row>
    <row r="13069" spans="3:3" x14ac:dyDescent="0.35">
      <c r="C13069" s="2"/>
    </row>
    <row r="13070" spans="3:3" x14ac:dyDescent="0.35">
      <c r="C13070" s="2"/>
    </row>
    <row r="13071" spans="3:3" x14ac:dyDescent="0.35">
      <c r="C13071" s="2"/>
    </row>
    <row r="13072" spans="3:3" x14ac:dyDescent="0.35">
      <c r="C13072" s="2"/>
    </row>
    <row r="13073" spans="3:3" x14ac:dyDescent="0.35">
      <c r="C13073" s="2"/>
    </row>
    <row r="13074" spans="3:3" x14ac:dyDescent="0.35">
      <c r="C13074" s="2"/>
    </row>
    <row r="13075" spans="3:3" x14ac:dyDescent="0.35">
      <c r="C13075" s="2"/>
    </row>
    <row r="13076" spans="3:3" x14ac:dyDescent="0.35">
      <c r="C13076" s="2"/>
    </row>
    <row r="13077" spans="3:3" x14ac:dyDescent="0.35">
      <c r="C13077" s="2"/>
    </row>
    <row r="13078" spans="3:3" x14ac:dyDescent="0.35">
      <c r="C13078" s="2"/>
    </row>
    <row r="13079" spans="3:3" x14ac:dyDescent="0.35">
      <c r="C13079" s="2"/>
    </row>
    <row r="13080" spans="3:3" x14ac:dyDescent="0.35">
      <c r="C13080" s="2"/>
    </row>
    <row r="13081" spans="3:3" x14ac:dyDescent="0.35">
      <c r="C13081" s="2"/>
    </row>
    <row r="13082" spans="3:3" x14ac:dyDescent="0.35">
      <c r="C13082" s="2"/>
    </row>
    <row r="13083" spans="3:3" x14ac:dyDescent="0.35">
      <c r="C13083" s="2"/>
    </row>
    <row r="13084" spans="3:3" x14ac:dyDescent="0.35">
      <c r="C13084" s="2"/>
    </row>
    <row r="13085" spans="3:3" x14ac:dyDescent="0.35">
      <c r="C13085" s="2"/>
    </row>
    <row r="13086" spans="3:3" x14ac:dyDescent="0.35">
      <c r="C13086" s="2"/>
    </row>
    <row r="13087" spans="3:3" x14ac:dyDescent="0.35">
      <c r="C13087" s="2"/>
    </row>
    <row r="13088" spans="3:3" x14ac:dyDescent="0.35">
      <c r="C13088" s="2"/>
    </row>
    <row r="13089" spans="3:3" x14ac:dyDescent="0.35">
      <c r="C13089" s="2"/>
    </row>
    <row r="13090" spans="3:3" x14ac:dyDescent="0.35">
      <c r="C13090" s="2"/>
    </row>
    <row r="13091" spans="3:3" x14ac:dyDescent="0.35">
      <c r="C13091" s="2"/>
    </row>
    <row r="13092" spans="3:3" x14ac:dyDescent="0.35">
      <c r="C13092" s="2"/>
    </row>
    <row r="13093" spans="3:3" x14ac:dyDescent="0.35">
      <c r="C13093" s="2"/>
    </row>
    <row r="13094" spans="3:3" x14ac:dyDescent="0.35">
      <c r="C13094" s="2"/>
    </row>
    <row r="13095" spans="3:3" x14ac:dyDescent="0.35">
      <c r="C13095" s="2"/>
    </row>
    <row r="13096" spans="3:3" x14ac:dyDescent="0.35">
      <c r="C13096" s="2"/>
    </row>
    <row r="13097" spans="3:3" x14ac:dyDescent="0.35">
      <c r="C13097" s="2"/>
    </row>
    <row r="13098" spans="3:3" x14ac:dyDescent="0.35">
      <c r="C13098" s="2"/>
    </row>
    <row r="13099" spans="3:3" x14ac:dyDescent="0.35">
      <c r="C13099" s="2"/>
    </row>
    <row r="13100" spans="3:3" x14ac:dyDescent="0.35">
      <c r="C13100" s="2"/>
    </row>
    <row r="13101" spans="3:3" x14ac:dyDescent="0.35">
      <c r="C13101" s="2"/>
    </row>
    <row r="13102" spans="3:3" x14ac:dyDescent="0.35">
      <c r="C13102" s="2"/>
    </row>
    <row r="13103" spans="3:3" x14ac:dyDescent="0.35">
      <c r="C13103" s="2"/>
    </row>
    <row r="13104" spans="3:3" x14ac:dyDescent="0.35">
      <c r="C13104" s="2"/>
    </row>
    <row r="13105" spans="3:3" x14ac:dyDescent="0.35">
      <c r="C13105" s="2"/>
    </row>
    <row r="13106" spans="3:3" x14ac:dyDescent="0.35">
      <c r="C13106" s="2"/>
    </row>
    <row r="13107" spans="3:3" x14ac:dyDescent="0.35">
      <c r="C13107" s="2"/>
    </row>
    <row r="13108" spans="3:3" x14ac:dyDescent="0.35">
      <c r="C13108" s="2"/>
    </row>
    <row r="13109" spans="3:3" x14ac:dyDescent="0.35">
      <c r="C13109" s="2"/>
    </row>
    <row r="13110" spans="3:3" x14ac:dyDescent="0.35">
      <c r="C13110" s="2"/>
    </row>
    <row r="13111" spans="3:3" x14ac:dyDescent="0.35">
      <c r="C13111" s="2"/>
    </row>
    <row r="13112" spans="3:3" x14ac:dyDescent="0.35">
      <c r="C13112" s="2"/>
    </row>
    <row r="13113" spans="3:3" x14ac:dyDescent="0.35">
      <c r="C13113" s="2"/>
    </row>
    <row r="13114" spans="3:3" x14ac:dyDescent="0.35">
      <c r="C13114" s="2"/>
    </row>
    <row r="13115" spans="3:3" x14ac:dyDescent="0.35">
      <c r="C13115" s="2"/>
    </row>
    <row r="13116" spans="3:3" x14ac:dyDescent="0.35">
      <c r="C13116" s="2"/>
    </row>
    <row r="13117" spans="3:3" x14ac:dyDescent="0.35">
      <c r="C13117" s="2"/>
    </row>
    <row r="13118" spans="3:3" x14ac:dyDescent="0.35">
      <c r="C13118" s="2"/>
    </row>
    <row r="13119" spans="3:3" x14ac:dyDescent="0.35">
      <c r="C13119" s="2"/>
    </row>
    <row r="13120" spans="3:3" x14ac:dyDescent="0.35">
      <c r="C13120" s="2"/>
    </row>
    <row r="13121" spans="3:3" x14ac:dyDescent="0.35">
      <c r="C13121" s="2"/>
    </row>
    <row r="13122" spans="3:3" x14ac:dyDescent="0.35">
      <c r="C13122" s="2"/>
    </row>
    <row r="13123" spans="3:3" x14ac:dyDescent="0.35">
      <c r="C13123" s="2"/>
    </row>
    <row r="13124" spans="3:3" x14ac:dyDescent="0.35">
      <c r="C13124" s="2"/>
    </row>
    <row r="13125" spans="3:3" x14ac:dyDescent="0.35">
      <c r="C13125" s="2"/>
    </row>
    <row r="13126" spans="3:3" x14ac:dyDescent="0.35">
      <c r="C13126" s="2"/>
    </row>
    <row r="13127" spans="3:3" x14ac:dyDescent="0.35">
      <c r="C13127" s="2"/>
    </row>
    <row r="13128" spans="3:3" x14ac:dyDescent="0.35">
      <c r="C13128" s="2"/>
    </row>
    <row r="13129" spans="3:3" x14ac:dyDescent="0.35">
      <c r="C13129" s="2"/>
    </row>
    <row r="13130" spans="3:3" x14ac:dyDescent="0.35">
      <c r="C13130" s="2"/>
    </row>
    <row r="13131" spans="3:3" x14ac:dyDescent="0.35">
      <c r="C13131" s="2"/>
    </row>
    <row r="13132" spans="3:3" x14ac:dyDescent="0.35">
      <c r="C13132" s="2"/>
    </row>
    <row r="13133" spans="3:3" x14ac:dyDescent="0.35">
      <c r="C13133" s="2"/>
    </row>
    <row r="13134" spans="3:3" x14ac:dyDescent="0.35">
      <c r="C13134" s="2"/>
    </row>
    <row r="13135" spans="3:3" x14ac:dyDescent="0.35">
      <c r="C13135" s="2"/>
    </row>
    <row r="13136" spans="3:3" x14ac:dyDescent="0.35">
      <c r="C13136" s="2"/>
    </row>
    <row r="13137" spans="3:3" x14ac:dyDescent="0.35">
      <c r="C13137" s="2"/>
    </row>
    <row r="13138" spans="3:3" x14ac:dyDescent="0.35">
      <c r="C13138" s="2"/>
    </row>
    <row r="13139" spans="3:3" x14ac:dyDescent="0.35">
      <c r="C13139" s="2"/>
    </row>
    <row r="13140" spans="3:3" x14ac:dyDescent="0.35">
      <c r="C13140" s="2"/>
    </row>
    <row r="13141" spans="3:3" x14ac:dyDescent="0.35">
      <c r="C13141" s="2"/>
    </row>
    <row r="13142" spans="3:3" x14ac:dyDescent="0.35">
      <c r="C13142" s="2"/>
    </row>
    <row r="13143" spans="3:3" x14ac:dyDescent="0.35">
      <c r="C13143" s="2"/>
    </row>
    <row r="13144" spans="3:3" x14ac:dyDescent="0.35">
      <c r="C13144" s="2"/>
    </row>
    <row r="13145" spans="3:3" x14ac:dyDescent="0.35">
      <c r="C13145" s="2"/>
    </row>
    <row r="13146" spans="3:3" x14ac:dyDescent="0.35">
      <c r="C13146" s="2"/>
    </row>
    <row r="13147" spans="3:3" x14ac:dyDescent="0.35">
      <c r="C13147" s="2"/>
    </row>
    <row r="13148" spans="3:3" x14ac:dyDescent="0.35">
      <c r="C13148" s="2"/>
    </row>
    <row r="13149" spans="3:3" x14ac:dyDescent="0.35">
      <c r="C13149" s="2"/>
    </row>
    <row r="13150" spans="3:3" x14ac:dyDescent="0.35">
      <c r="C13150" s="2"/>
    </row>
    <row r="13151" spans="3:3" x14ac:dyDescent="0.35">
      <c r="C13151" s="2"/>
    </row>
    <row r="13152" spans="3:3" x14ac:dyDescent="0.35">
      <c r="C13152" s="2"/>
    </row>
    <row r="13153" spans="3:3" x14ac:dyDescent="0.35">
      <c r="C13153" s="2"/>
    </row>
    <row r="13154" spans="3:3" x14ac:dyDescent="0.35">
      <c r="C13154" s="2"/>
    </row>
    <row r="13155" spans="3:3" x14ac:dyDescent="0.35">
      <c r="C13155" s="2"/>
    </row>
    <row r="13156" spans="3:3" x14ac:dyDescent="0.35">
      <c r="C13156" s="2"/>
    </row>
    <row r="13157" spans="3:3" x14ac:dyDescent="0.35">
      <c r="C13157" s="2"/>
    </row>
    <row r="13158" spans="3:3" x14ac:dyDescent="0.35">
      <c r="C13158" s="2"/>
    </row>
    <row r="13159" spans="3:3" x14ac:dyDescent="0.35">
      <c r="C13159" s="2"/>
    </row>
    <row r="13160" spans="3:3" x14ac:dyDescent="0.35">
      <c r="C13160" s="2"/>
    </row>
    <row r="13161" spans="3:3" x14ac:dyDescent="0.35">
      <c r="C13161" s="2"/>
    </row>
    <row r="13162" spans="3:3" x14ac:dyDescent="0.35">
      <c r="C13162" s="2"/>
    </row>
    <row r="13163" spans="3:3" x14ac:dyDescent="0.35">
      <c r="C13163" s="2"/>
    </row>
    <row r="13164" spans="3:3" x14ac:dyDescent="0.35">
      <c r="C13164" s="2"/>
    </row>
    <row r="13165" spans="3:3" x14ac:dyDescent="0.35">
      <c r="C13165" s="2"/>
    </row>
    <row r="13166" spans="3:3" x14ac:dyDescent="0.35">
      <c r="C13166" s="2"/>
    </row>
    <row r="13167" spans="3:3" x14ac:dyDescent="0.35">
      <c r="C13167" s="2"/>
    </row>
    <row r="13168" spans="3:3" x14ac:dyDescent="0.35">
      <c r="C13168" s="2"/>
    </row>
    <row r="13169" spans="3:3" x14ac:dyDescent="0.35">
      <c r="C13169" s="2"/>
    </row>
    <row r="13170" spans="3:3" x14ac:dyDescent="0.35">
      <c r="C13170" s="2"/>
    </row>
    <row r="13171" spans="3:3" x14ac:dyDescent="0.35">
      <c r="C13171" s="2"/>
    </row>
    <row r="13172" spans="3:3" x14ac:dyDescent="0.35">
      <c r="C13172" s="2"/>
    </row>
    <row r="13173" spans="3:3" x14ac:dyDescent="0.35">
      <c r="C13173" s="2"/>
    </row>
    <row r="13174" spans="3:3" x14ac:dyDescent="0.35">
      <c r="C13174" s="2"/>
    </row>
    <row r="13175" spans="3:3" x14ac:dyDescent="0.35">
      <c r="C13175" s="2"/>
    </row>
    <row r="13176" spans="3:3" x14ac:dyDescent="0.35">
      <c r="C13176" s="2"/>
    </row>
    <row r="13177" spans="3:3" x14ac:dyDescent="0.35">
      <c r="C13177" s="2"/>
    </row>
    <row r="13178" spans="3:3" x14ac:dyDescent="0.35">
      <c r="C13178" s="2"/>
    </row>
    <row r="13179" spans="3:3" x14ac:dyDescent="0.35">
      <c r="C13179" s="2"/>
    </row>
    <row r="13180" spans="3:3" x14ac:dyDescent="0.35">
      <c r="C13180" s="2"/>
    </row>
    <row r="13181" spans="3:3" x14ac:dyDescent="0.35">
      <c r="C13181" s="2"/>
    </row>
    <row r="13182" spans="3:3" x14ac:dyDescent="0.35">
      <c r="C13182" s="2"/>
    </row>
    <row r="13183" spans="3:3" x14ac:dyDescent="0.35">
      <c r="C13183" s="2"/>
    </row>
    <row r="13184" spans="3:3" x14ac:dyDescent="0.35">
      <c r="C13184" s="2"/>
    </row>
    <row r="13185" spans="3:3" x14ac:dyDescent="0.35">
      <c r="C13185" s="2"/>
    </row>
    <row r="13186" spans="3:3" x14ac:dyDescent="0.35">
      <c r="C13186" s="2"/>
    </row>
    <row r="13187" spans="3:3" x14ac:dyDescent="0.35">
      <c r="C13187" s="2"/>
    </row>
    <row r="13188" spans="3:3" x14ac:dyDescent="0.35">
      <c r="C13188" s="2"/>
    </row>
    <row r="13189" spans="3:3" x14ac:dyDescent="0.35">
      <c r="C13189" s="2"/>
    </row>
    <row r="13190" spans="3:3" x14ac:dyDescent="0.35">
      <c r="C13190" s="2"/>
    </row>
    <row r="13191" spans="3:3" x14ac:dyDescent="0.35">
      <c r="C13191" s="2"/>
    </row>
    <row r="13192" spans="3:3" x14ac:dyDescent="0.35">
      <c r="C13192" s="2"/>
    </row>
    <row r="13193" spans="3:3" x14ac:dyDescent="0.35">
      <c r="C13193" s="2"/>
    </row>
    <row r="13194" spans="3:3" x14ac:dyDescent="0.35">
      <c r="C13194" s="2"/>
    </row>
    <row r="13195" spans="3:3" x14ac:dyDescent="0.35">
      <c r="C13195" s="2"/>
    </row>
    <row r="13196" spans="3:3" x14ac:dyDescent="0.35">
      <c r="C13196" s="2"/>
    </row>
    <row r="13197" spans="3:3" x14ac:dyDescent="0.35">
      <c r="C13197" s="2"/>
    </row>
    <row r="13198" spans="3:3" x14ac:dyDescent="0.35">
      <c r="C13198" s="2"/>
    </row>
    <row r="13199" spans="3:3" x14ac:dyDescent="0.35">
      <c r="C13199" s="2"/>
    </row>
    <row r="13200" spans="3:3" x14ac:dyDescent="0.35">
      <c r="C13200" s="2"/>
    </row>
    <row r="13201" spans="3:3" x14ac:dyDescent="0.35">
      <c r="C13201" s="2"/>
    </row>
    <row r="13202" spans="3:3" x14ac:dyDescent="0.35">
      <c r="C13202" s="2"/>
    </row>
    <row r="13203" spans="3:3" x14ac:dyDescent="0.35">
      <c r="C13203" s="2"/>
    </row>
    <row r="13204" spans="3:3" x14ac:dyDescent="0.35">
      <c r="C13204" s="2"/>
    </row>
    <row r="13205" spans="3:3" x14ac:dyDescent="0.35">
      <c r="C13205" s="2"/>
    </row>
    <row r="13206" spans="3:3" x14ac:dyDescent="0.35">
      <c r="C13206" s="2"/>
    </row>
    <row r="13207" spans="3:3" x14ac:dyDescent="0.35">
      <c r="C13207" s="2"/>
    </row>
    <row r="13208" spans="3:3" x14ac:dyDescent="0.35">
      <c r="C13208" s="2"/>
    </row>
    <row r="13209" spans="3:3" x14ac:dyDescent="0.35">
      <c r="C13209" s="2"/>
    </row>
    <row r="13210" spans="3:3" x14ac:dyDescent="0.35">
      <c r="C13210" s="2"/>
    </row>
    <row r="13211" spans="3:3" x14ac:dyDescent="0.35">
      <c r="C13211" s="2"/>
    </row>
    <row r="13212" spans="3:3" x14ac:dyDescent="0.35">
      <c r="C13212" s="2"/>
    </row>
    <row r="13213" spans="3:3" x14ac:dyDescent="0.35">
      <c r="C13213" s="2"/>
    </row>
    <row r="13214" spans="3:3" x14ac:dyDescent="0.35">
      <c r="C13214" s="2"/>
    </row>
    <row r="13215" spans="3:3" x14ac:dyDescent="0.35">
      <c r="C13215" s="2"/>
    </row>
    <row r="13216" spans="3:3" x14ac:dyDescent="0.35">
      <c r="C13216" s="2"/>
    </row>
    <row r="13217" spans="3:3" x14ac:dyDescent="0.35">
      <c r="C13217" s="2"/>
    </row>
    <row r="13218" spans="3:3" x14ac:dyDescent="0.35">
      <c r="C13218" s="2"/>
    </row>
    <row r="13219" spans="3:3" x14ac:dyDescent="0.35">
      <c r="C13219" s="2"/>
    </row>
    <row r="13220" spans="3:3" x14ac:dyDescent="0.35">
      <c r="C13220" s="2"/>
    </row>
    <row r="13221" spans="3:3" x14ac:dyDescent="0.35">
      <c r="C13221" s="2"/>
    </row>
    <row r="13222" spans="3:3" x14ac:dyDescent="0.35">
      <c r="C13222" s="2"/>
    </row>
    <row r="13223" spans="3:3" x14ac:dyDescent="0.35">
      <c r="C13223" s="2"/>
    </row>
    <row r="13224" spans="3:3" x14ac:dyDescent="0.35">
      <c r="C13224" s="2"/>
    </row>
    <row r="13225" spans="3:3" x14ac:dyDescent="0.35">
      <c r="C13225" s="2"/>
    </row>
    <row r="13226" spans="3:3" x14ac:dyDescent="0.35">
      <c r="C13226" s="2"/>
    </row>
    <row r="13227" spans="3:3" x14ac:dyDescent="0.35">
      <c r="C13227" s="2"/>
    </row>
    <row r="13228" spans="3:3" x14ac:dyDescent="0.35">
      <c r="C13228" s="2"/>
    </row>
    <row r="13229" spans="3:3" x14ac:dyDescent="0.35">
      <c r="C13229" s="2"/>
    </row>
    <row r="13230" spans="3:3" x14ac:dyDescent="0.35">
      <c r="C13230" s="2"/>
    </row>
    <row r="13231" spans="3:3" x14ac:dyDescent="0.35">
      <c r="C13231" s="2"/>
    </row>
    <row r="13232" spans="3:3" x14ac:dyDescent="0.35">
      <c r="C13232" s="2"/>
    </row>
    <row r="13233" spans="3:3" x14ac:dyDescent="0.35">
      <c r="C13233" s="2"/>
    </row>
    <row r="13234" spans="3:3" x14ac:dyDescent="0.35">
      <c r="C13234" s="2"/>
    </row>
    <row r="13235" spans="3:3" x14ac:dyDescent="0.35">
      <c r="C13235" s="2"/>
    </row>
    <row r="13236" spans="3:3" x14ac:dyDescent="0.35">
      <c r="C13236" s="2"/>
    </row>
    <row r="13237" spans="3:3" x14ac:dyDescent="0.35">
      <c r="C13237" s="2"/>
    </row>
    <row r="13238" spans="3:3" x14ac:dyDescent="0.35">
      <c r="C13238" s="2"/>
    </row>
    <row r="13239" spans="3:3" x14ac:dyDescent="0.35">
      <c r="C13239" s="2"/>
    </row>
    <row r="13240" spans="3:3" x14ac:dyDescent="0.35">
      <c r="C13240" s="2"/>
    </row>
    <row r="13241" spans="3:3" x14ac:dyDescent="0.35">
      <c r="C13241" s="2"/>
    </row>
    <row r="13242" spans="3:3" x14ac:dyDescent="0.35">
      <c r="C13242" s="2"/>
    </row>
    <row r="13243" spans="3:3" x14ac:dyDescent="0.35">
      <c r="C13243" s="2"/>
    </row>
    <row r="13244" spans="3:3" x14ac:dyDescent="0.35">
      <c r="C13244" s="2"/>
    </row>
    <row r="13245" spans="3:3" x14ac:dyDescent="0.35">
      <c r="C13245" s="2"/>
    </row>
    <row r="13246" spans="3:3" x14ac:dyDescent="0.35">
      <c r="C13246" s="2"/>
    </row>
    <row r="13247" spans="3:3" x14ac:dyDescent="0.35">
      <c r="C13247" s="2"/>
    </row>
    <row r="13248" spans="3:3" x14ac:dyDescent="0.35">
      <c r="C13248" s="2"/>
    </row>
    <row r="13249" spans="3:3" x14ac:dyDescent="0.35">
      <c r="C13249" s="2"/>
    </row>
    <row r="13250" spans="3:3" x14ac:dyDescent="0.35">
      <c r="C13250" s="2"/>
    </row>
    <row r="13251" spans="3:3" x14ac:dyDescent="0.35">
      <c r="C13251" s="2"/>
    </row>
    <row r="13252" spans="3:3" x14ac:dyDescent="0.35">
      <c r="C13252" s="2"/>
    </row>
    <row r="13253" spans="3:3" x14ac:dyDescent="0.35">
      <c r="C13253" s="2"/>
    </row>
    <row r="13254" spans="3:3" x14ac:dyDescent="0.35">
      <c r="C13254" s="2"/>
    </row>
    <row r="13255" spans="3:3" x14ac:dyDescent="0.35">
      <c r="C13255" s="2"/>
    </row>
    <row r="13256" spans="3:3" x14ac:dyDescent="0.35">
      <c r="C13256" s="2"/>
    </row>
    <row r="13257" spans="3:3" x14ac:dyDescent="0.35">
      <c r="C13257" s="2"/>
    </row>
    <row r="13258" spans="3:3" x14ac:dyDescent="0.35">
      <c r="C13258" s="2"/>
    </row>
    <row r="13259" spans="3:3" x14ac:dyDescent="0.35">
      <c r="C13259" s="2"/>
    </row>
    <row r="13260" spans="3:3" x14ac:dyDescent="0.35">
      <c r="C13260" s="2"/>
    </row>
    <row r="13261" spans="3:3" x14ac:dyDescent="0.35">
      <c r="C13261" s="2"/>
    </row>
    <row r="13262" spans="3:3" x14ac:dyDescent="0.35">
      <c r="C13262" s="2"/>
    </row>
    <row r="13263" spans="3:3" x14ac:dyDescent="0.35">
      <c r="C13263" s="2"/>
    </row>
    <row r="13264" spans="3:3" x14ac:dyDescent="0.35">
      <c r="C13264" s="2"/>
    </row>
    <row r="13265" spans="3:3" x14ac:dyDescent="0.35">
      <c r="C13265" s="2"/>
    </row>
    <row r="13266" spans="3:3" x14ac:dyDescent="0.35">
      <c r="C13266" s="2"/>
    </row>
    <row r="13267" spans="3:3" x14ac:dyDescent="0.35">
      <c r="C13267" s="2"/>
    </row>
    <row r="13268" spans="3:3" x14ac:dyDescent="0.35">
      <c r="C13268" s="2"/>
    </row>
    <row r="13269" spans="3:3" x14ac:dyDescent="0.35">
      <c r="C13269" s="2"/>
    </row>
    <row r="13270" spans="3:3" x14ac:dyDescent="0.35">
      <c r="C13270" s="2"/>
    </row>
    <row r="13271" spans="3:3" x14ac:dyDescent="0.35">
      <c r="C13271" s="2"/>
    </row>
    <row r="13272" spans="3:3" x14ac:dyDescent="0.35">
      <c r="C13272" s="2"/>
    </row>
    <row r="13273" spans="3:3" x14ac:dyDescent="0.35">
      <c r="C13273" s="2"/>
    </row>
    <row r="13274" spans="3:3" x14ac:dyDescent="0.35">
      <c r="C13274" s="2"/>
    </row>
    <row r="13275" spans="3:3" x14ac:dyDescent="0.35">
      <c r="C13275" s="2"/>
    </row>
    <row r="13276" spans="3:3" x14ac:dyDescent="0.35">
      <c r="C13276" s="2"/>
    </row>
    <row r="13277" spans="3:3" x14ac:dyDescent="0.35">
      <c r="C13277" s="2"/>
    </row>
    <row r="13278" spans="3:3" x14ac:dyDescent="0.35">
      <c r="C13278" s="2"/>
    </row>
    <row r="13279" spans="3:3" x14ac:dyDescent="0.35">
      <c r="C13279" s="2"/>
    </row>
    <row r="13280" spans="3:3" x14ac:dyDescent="0.35">
      <c r="C13280" s="2"/>
    </row>
    <row r="13281" spans="3:3" x14ac:dyDescent="0.35">
      <c r="C13281" s="2"/>
    </row>
    <row r="13282" spans="3:3" x14ac:dyDescent="0.35">
      <c r="C13282" s="2"/>
    </row>
    <row r="13283" spans="3:3" x14ac:dyDescent="0.35">
      <c r="C13283" s="2"/>
    </row>
    <row r="13284" spans="3:3" x14ac:dyDescent="0.35">
      <c r="C13284" s="2"/>
    </row>
    <row r="13285" spans="3:3" x14ac:dyDescent="0.35">
      <c r="C13285" s="2"/>
    </row>
    <row r="13286" spans="3:3" x14ac:dyDescent="0.35">
      <c r="C13286" s="2"/>
    </row>
    <row r="13287" spans="3:3" x14ac:dyDescent="0.35">
      <c r="C13287" s="2"/>
    </row>
    <row r="13288" spans="3:3" x14ac:dyDescent="0.35">
      <c r="C13288" s="2"/>
    </row>
    <row r="13289" spans="3:3" x14ac:dyDescent="0.35">
      <c r="C13289" s="2"/>
    </row>
    <row r="13290" spans="3:3" x14ac:dyDescent="0.35">
      <c r="C13290" s="2"/>
    </row>
    <row r="13291" spans="3:3" x14ac:dyDescent="0.35">
      <c r="C13291" s="2"/>
    </row>
    <row r="13292" spans="3:3" x14ac:dyDescent="0.35">
      <c r="C13292" s="2"/>
    </row>
    <row r="13293" spans="3:3" x14ac:dyDescent="0.35">
      <c r="C13293" s="2"/>
    </row>
    <row r="13294" spans="3:3" x14ac:dyDescent="0.35">
      <c r="C13294" s="2"/>
    </row>
    <row r="13295" spans="3:3" x14ac:dyDescent="0.35">
      <c r="C13295" s="2"/>
    </row>
    <row r="13296" spans="3:3" x14ac:dyDescent="0.35">
      <c r="C13296" s="2"/>
    </row>
    <row r="13297" spans="3:3" x14ac:dyDescent="0.35">
      <c r="C13297" s="2"/>
    </row>
    <row r="13298" spans="3:3" x14ac:dyDescent="0.35">
      <c r="C13298" s="2"/>
    </row>
    <row r="13299" spans="3:3" x14ac:dyDescent="0.35">
      <c r="C13299" s="2"/>
    </row>
    <row r="13300" spans="3:3" x14ac:dyDescent="0.35">
      <c r="C13300" s="2"/>
    </row>
    <row r="13301" spans="3:3" x14ac:dyDescent="0.35">
      <c r="C13301" s="2"/>
    </row>
    <row r="13302" spans="3:3" x14ac:dyDescent="0.35">
      <c r="C13302" s="2"/>
    </row>
    <row r="13303" spans="3:3" x14ac:dyDescent="0.35">
      <c r="C13303" s="2"/>
    </row>
    <row r="13304" spans="3:3" x14ac:dyDescent="0.35">
      <c r="C13304" s="2"/>
    </row>
    <row r="13305" spans="3:3" x14ac:dyDescent="0.35">
      <c r="C13305" s="2"/>
    </row>
    <row r="13306" spans="3:3" x14ac:dyDescent="0.35">
      <c r="C13306" s="2"/>
    </row>
    <row r="13307" spans="3:3" x14ac:dyDescent="0.35">
      <c r="C13307" s="2"/>
    </row>
    <row r="13308" spans="3:3" x14ac:dyDescent="0.35">
      <c r="C13308" s="2"/>
    </row>
    <row r="13309" spans="3:3" x14ac:dyDescent="0.35">
      <c r="C13309" s="2"/>
    </row>
    <row r="13310" spans="3:3" x14ac:dyDescent="0.35">
      <c r="C13310" s="2"/>
    </row>
    <row r="13311" spans="3:3" x14ac:dyDescent="0.35">
      <c r="C13311" s="2"/>
    </row>
    <row r="13312" spans="3:3" x14ac:dyDescent="0.35">
      <c r="C13312" s="2"/>
    </row>
    <row r="13313" spans="3:3" x14ac:dyDescent="0.35">
      <c r="C13313" s="2"/>
    </row>
    <row r="13314" spans="3:3" x14ac:dyDescent="0.35">
      <c r="C13314" s="2"/>
    </row>
    <row r="13315" spans="3:3" x14ac:dyDescent="0.35">
      <c r="C13315" s="2"/>
    </row>
    <row r="13316" spans="3:3" x14ac:dyDescent="0.35">
      <c r="C13316" s="2"/>
    </row>
    <row r="13317" spans="3:3" x14ac:dyDescent="0.35">
      <c r="C13317" s="2"/>
    </row>
    <row r="13318" spans="3:3" x14ac:dyDescent="0.35">
      <c r="C13318" s="2"/>
    </row>
    <row r="13319" spans="3:3" x14ac:dyDescent="0.35">
      <c r="C13319" s="2"/>
    </row>
    <row r="13320" spans="3:3" x14ac:dyDescent="0.35">
      <c r="C13320" s="2"/>
    </row>
    <row r="13321" spans="3:3" x14ac:dyDescent="0.35">
      <c r="C13321" s="2"/>
    </row>
    <row r="13322" spans="3:3" x14ac:dyDescent="0.35">
      <c r="C13322" s="2"/>
    </row>
    <row r="13323" spans="3:3" x14ac:dyDescent="0.35">
      <c r="C13323" s="2"/>
    </row>
    <row r="13324" spans="3:3" x14ac:dyDescent="0.35">
      <c r="C13324" s="2"/>
    </row>
    <row r="13325" spans="3:3" x14ac:dyDescent="0.35">
      <c r="C13325" s="2"/>
    </row>
    <row r="13326" spans="3:3" x14ac:dyDescent="0.35">
      <c r="C13326" s="2"/>
    </row>
    <row r="13327" spans="3:3" x14ac:dyDescent="0.35">
      <c r="C13327" s="2"/>
    </row>
    <row r="13328" spans="3:3" x14ac:dyDescent="0.35">
      <c r="C13328" s="2"/>
    </row>
    <row r="13329" spans="3:3" x14ac:dyDescent="0.35">
      <c r="C13329" s="2"/>
    </row>
    <row r="13330" spans="3:3" x14ac:dyDescent="0.35">
      <c r="C13330" s="2"/>
    </row>
    <row r="13331" spans="3:3" x14ac:dyDescent="0.35">
      <c r="C13331" s="2"/>
    </row>
    <row r="13332" spans="3:3" x14ac:dyDescent="0.35">
      <c r="C13332" s="2"/>
    </row>
    <row r="13333" spans="3:3" x14ac:dyDescent="0.35">
      <c r="C13333" s="2"/>
    </row>
    <row r="13334" spans="3:3" x14ac:dyDescent="0.35">
      <c r="C13334" s="2"/>
    </row>
    <row r="13335" spans="3:3" x14ac:dyDescent="0.35">
      <c r="C13335" s="2"/>
    </row>
    <row r="13336" spans="3:3" x14ac:dyDescent="0.35">
      <c r="C13336" s="2"/>
    </row>
    <row r="13337" spans="3:3" x14ac:dyDescent="0.35">
      <c r="C13337" s="2"/>
    </row>
    <row r="13338" spans="3:3" x14ac:dyDescent="0.35">
      <c r="C13338" s="2"/>
    </row>
    <row r="13339" spans="3:3" x14ac:dyDescent="0.35">
      <c r="C13339" s="2"/>
    </row>
    <row r="13340" spans="3:3" x14ac:dyDescent="0.35">
      <c r="C13340" s="2"/>
    </row>
    <row r="13341" spans="3:3" x14ac:dyDescent="0.35">
      <c r="C13341" s="2"/>
    </row>
    <row r="13342" spans="3:3" x14ac:dyDescent="0.35">
      <c r="C13342" s="2"/>
    </row>
    <row r="13343" spans="3:3" x14ac:dyDescent="0.35">
      <c r="C13343" s="2"/>
    </row>
    <row r="13344" spans="3:3" x14ac:dyDescent="0.35">
      <c r="C13344" s="2"/>
    </row>
    <row r="13345" spans="3:3" x14ac:dyDescent="0.35">
      <c r="C13345" s="2"/>
    </row>
    <row r="13346" spans="3:3" x14ac:dyDescent="0.35">
      <c r="C13346" s="2"/>
    </row>
    <row r="13347" spans="3:3" x14ac:dyDescent="0.35">
      <c r="C13347" s="2"/>
    </row>
    <row r="13348" spans="3:3" x14ac:dyDescent="0.35">
      <c r="C13348" s="2"/>
    </row>
    <row r="13349" spans="3:3" x14ac:dyDescent="0.35">
      <c r="C13349" s="2"/>
    </row>
    <row r="13350" spans="3:3" x14ac:dyDescent="0.35">
      <c r="C13350" s="2"/>
    </row>
    <row r="13351" spans="3:3" x14ac:dyDescent="0.35">
      <c r="C13351" s="2"/>
    </row>
    <row r="13352" spans="3:3" x14ac:dyDescent="0.35">
      <c r="C13352" s="2"/>
    </row>
    <row r="13353" spans="3:3" x14ac:dyDescent="0.35">
      <c r="C13353" s="2"/>
    </row>
    <row r="13354" spans="3:3" x14ac:dyDescent="0.35">
      <c r="C13354" s="2"/>
    </row>
    <row r="13355" spans="3:3" x14ac:dyDescent="0.35">
      <c r="C13355" s="2"/>
    </row>
    <row r="13356" spans="3:3" x14ac:dyDescent="0.35">
      <c r="C13356" s="2"/>
    </row>
    <row r="13357" spans="3:3" x14ac:dyDescent="0.35">
      <c r="C13357" s="2"/>
    </row>
    <row r="13358" spans="3:3" x14ac:dyDescent="0.35">
      <c r="C13358" s="2"/>
    </row>
    <row r="13359" spans="3:3" x14ac:dyDescent="0.35">
      <c r="C13359" s="2"/>
    </row>
    <row r="13360" spans="3:3" x14ac:dyDescent="0.35">
      <c r="C13360" s="2"/>
    </row>
    <row r="13361" spans="3:3" x14ac:dyDescent="0.35">
      <c r="C13361" s="2"/>
    </row>
    <row r="13362" spans="3:3" x14ac:dyDescent="0.35">
      <c r="C13362" s="2"/>
    </row>
    <row r="13363" spans="3:3" x14ac:dyDescent="0.35">
      <c r="C13363" s="2"/>
    </row>
    <row r="13364" spans="3:3" x14ac:dyDescent="0.35">
      <c r="C13364" s="2"/>
    </row>
    <row r="13365" spans="3:3" x14ac:dyDescent="0.35">
      <c r="C13365" s="2"/>
    </row>
    <row r="13366" spans="3:3" x14ac:dyDescent="0.35">
      <c r="C13366" s="2"/>
    </row>
    <row r="13367" spans="3:3" x14ac:dyDescent="0.35">
      <c r="C13367" s="2"/>
    </row>
    <row r="13368" spans="3:3" x14ac:dyDescent="0.35">
      <c r="C13368" s="2"/>
    </row>
    <row r="13369" spans="3:3" x14ac:dyDescent="0.35">
      <c r="C13369" s="2"/>
    </row>
    <row r="13370" spans="3:3" x14ac:dyDescent="0.35">
      <c r="C13370" s="2"/>
    </row>
    <row r="13371" spans="3:3" x14ac:dyDescent="0.35">
      <c r="C13371" s="2"/>
    </row>
    <row r="13372" spans="3:3" x14ac:dyDescent="0.35">
      <c r="C13372" s="2"/>
    </row>
    <row r="13373" spans="3:3" x14ac:dyDescent="0.35">
      <c r="C13373" s="2"/>
    </row>
    <row r="13374" spans="3:3" x14ac:dyDescent="0.35">
      <c r="C13374" s="2"/>
    </row>
    <row r="13375" spans="3:3" x14ac:dyDescent="0.35">
      <c r="C13375" s="2"/>
    </row>
    <row r="13376" spans="3:3" x14ac:dyDescent="0.35">
      <c r="C13376" s="2"/>
    </row>
    <row r="13377" spans="3:3" x14ac:dyDescent="0.35">
      <c r="C13377" s="2"/>
    </row>
    <row r="13378" spans="3:3" x14ac:dyDescent="0.35">
      <c r="C13378" s="2"/>
    </row>
    <row r="13379" spans="3:3" x14ac:dyDescent="0.35">
      <c r="C13379" s="2"/>
    </row>
    <row r="13380" spans="3:3" x14ac:dyDescent="0.35">
      <c r="C13380" s="2"/>
    </row>
    <row r="13381" spans="3:3" x14ac:dyDescent="0.35">
      <c r="C13381" s="2"/>
    </row>
    <row r="13382" spans="3:3" x14ac:dyDescent="0.35">
      <c r="C13382" s="2"/>
    </row>
    <row r="13383" spans="3:3" x14ac:dyDescent="0.35">
      <c r="C13383" s="2"/>
    </row>
    <row r="13384" spans="3:3" x14ac:dyDescent="0.35">
      <c r="C13384" s="2"/>
    </row>
    <row r="13385" spans="3:3" x14ac:dyDescent="0.35">
      <c r="C13385" s="2"/>
    </row>
    <row r="13386" spans="3:3" x14ac:dyDescent="0.35">
      <c r="C13386" s="2"/>
    </row>
    <row r="13387" spans="3:3" x14ac:dyDescent="0.35">
      <c r="C13387" s="2"/>
    </row>
    <row r="13388" spans="3:3" x14ac:dyDescent="0.35">
      <c r="C13388" s="2"/>
    </row>
    <row r="13389" spans="3:3" x14ac:dyDescent="0.35">
      <c r="C13389" s="2"/>
    </row>
    <row r="13390" spans="3:3" x14ac:dyDescent="0.35">
      <c r="C13390" s="2"/>
    </row>
    <row r="13391" spans="3:3" x14ac:dyDescent="0.35">
      <c r="C13391" s="2"/>
    </row>
    <row r="13392" spans="3:3" x14ac:dyDescent="0.35">
      <c r="C13392" s="2"/>
    </row>
    <row r="13393" spans="3:3" x14ac:dyDescent="0.35">
      <c r="C13393" s="2"/>
    </row>
    <row r="13394" spans="3:3" x14ac:dyDescent="0.35">
      <c r="C13394" s="2"/>
    </row>
    <row r="13395" spans="3:3" x14ac:dyDescent="0.35">
      <c r="C13395" s="2"/>
    </row>
    <row r="13396" spans="3:3" x14ac:dyDescent="0.35">
      <c r="C13396" s="2"/>
    </row>
    <row r="13397" spans="3:3" x14ac:dyDescent="0.35">
      <c r="C13397" s="2"/>
    </row>
    <row r="13398" spans="3:3" x14ac:dyDescent="0.35">
      <c r="C13398" s="2"/>
    </row>
    <row r="13399" spans="3:3" x14ac:dyDescent="0.35">
      <c r="C13399" s="2"/>
    </row>
    <row r="13400" spans="3:3" x14ac:dyDescent="0.35">
      <c r="C13400" s="2"/>
    </row>
    <row r="13401" spans="3:3" x14ac:dyDescent="0.35">
      <c r="C13401" s="2"/>
    </row>
    <row r="13402" spans="3:3" x14ac:dyDescent="0.35">
      <c r="C13402" s="2"/>
    </row>
    <row r="13403" spans="3:3" x14ac:dyDescent="0.35">
      <c r="C13403" s="2"/>
    </row>
    <row r="13404" spans="3:3" x14ac:dyDescent="0.35">
      <c r="C13404" s="2"/>
    </row>
    <row r="13405" spans="3:3" x14ac:dyDescent="0.35">
      <c r="C13405" s="2"/>
    </row>
    <row r="13406" spans="3:3" x14ac:dyDescent="0.35">
      <c r="C13406" s="2"/>
    </row>
    <row r="13407" spans="3:3" x14ac:dyDescent="0.35">
      <c r="C13407" s="2"/>
    </row>
    <row r="13408" spans="3:3" x14ac:dyDescent="0.35">
      <c r="C13408" s="2"/>
    </row>
    <row r="13409" spans="3:3" x14ac:dyDescent="0.35">
      <c r="C13409" s="2"/>
    </row>
    <row r="13410" spans="3:3" x14ac:dyDescent="0.35">
      <c r="C13410" s="2"/>
    </row>
    <row r="13411" spans="3:3" x14ac:dyDescent="0.35">
      <c r="C13411" s="2"/>
    </row>
    <row r="13412" spans="3:3" x14ac:dyDescent="0.35">
      <c r="C13412" s="2"/>
    </row>
    <row r="13413" spans="3:3" x14ac:dyDescent="0.35">
      <c r="C13413" s="2"/>
    </row>
    <row r="13414" spans="3:3" x14ac:dyDescent="0.35">
      <c r="C13414" s="2"/>
    </row>
    <row r="13415" spans="3:3" x14ac:dyDescent="0.35">
      <c r="C13415" s="2"/>
    </row>
    <row r="13416" spans="3:3" x14ac:dyDescent="0.35">
      <c r="C13416" s="2"/>
    </row>
    <row r="13417" spans="3:3" x14ac:dyDescent="0.35">
      <c r="C13417" s="2"/>
    </row>
    <row r="13418" spans="3:3" x14ac:dyDescent="0.35">
      <c r="C13418" s="2"/>
    </row>
    <row r="13419" spans="3:3" x14ac:dyDescent="0.35">
      <c r="C13419" s="2"/>
    </row>
    <row r="13420" spans="3:3" x14ac:dyDescent="0.35">
      <c r="C13420" s="2"/>
    </row>
    <row r="13421" spans="3:3" x14ac:dyDescent="0.35">
      <c r="C13421" s="2"/>
    </row>
    <row r="13422" spans="3:3" x14ac:dyDescent="0.35">
      <c r="C13422" s="2"/>
    </row>
    <row r="13423" spans="3:3" x14ac:dyDescent="0.35">
      <c r="C13423" s="2"/>
    </row>
    <row r="13424" spans="3:3" x14ac:dyDescent="0.35">
      <c r="C13424" s="2"/>
    </row>
    <row r="13425" spans="3:3" x14ac:dyDescent="0.35">
      <c r="C13425" s="2"/>
    </row>
    <row r="13426" spans="3:3" x14ac:dyDescent="0.35">
      <c r="C13426" s="2"/>
    </row>
    <row r="13427" spans="3:3" x14ac:dyDescent="0.35">
      <c r="C13427" s="2"/>
    </row>
    <row r="13428" spans="3:3" x14ac:dyDescent="0.35">
      <c r="C13428" s="2"/>
    </row>
    <row r="13429" spans="3:3" x14ac:dyDescent="0.35">
      <c r="C13429" s="2"/>
    </row>
    <row r="13430" spans="3:3" x14ac:dyDescent="0.35">
      <c r="C13430" s="2"/>
    </row>
    <row r="13431" spans="3:3" x14ac:dyDescent="0.35">
      <c r="C13431" s="2"/>
    </row>
    <row r="13432" spans="3:3" x14ac:dyDescent="0.35">
      <c r="C13432" s="2"/>
    </row>
    <row r="13433" spans="3:3" x14ac:dyDescent="0.35">
      <c r="C13433" s="2"/>
    </row>
    <row r="13434" spans="3:3" x14ac:dyDescent="0.35">
      <c r="C13434" s="2"/>
    </row>
    <row r="13435" spans="3:3" x14ac:dyDescent="0.35">
      <c r="C13435" s="2"/>
    </row>
    <row r="13436" spans="3:3" x14ac:dyDescent="0.35">
      <c r="C13436" s="2"/>
    </row>
    <row r="13437" spans="3:3" x14ac:dyDescent="0.35">
      <c r="C13437" s="2"/>
    </row>
    <row r="13438" spans="3:3" x14ac:dyDescent="0.35">
      <c r="C13438" s="2"/>
    </row>
    <row r="13439" spans="3:3" x14ac:dyDescent="0.35">
      <c r="C13439" s="2"/>
    </row>
    <row r="13440" spans="3:3" x14ac:dyDescent="0.35">
      <c r="C13440" s="2"/>
    </row>
    <row r="13441" spans="3:3" x14ac:dyDescent="0.35">
      <c r="C13441" s="2"/>
    </row>
    <row r="13442" spans="3:3" x14ac:dyDescent="0.35">
      <c r="C13442" s="2"/>
    </row>
    <row r="13443" spans="3:3" x14ac:dyDescent="0.35">
      <c r="C13443" s="2"/>
    </row>
    <row r="13444" spans="3:3" x14ac:dyDescent="0.35">
      <c r="C13444" s="2"/>
    </row>
    <row r="13445" spans="3:3" x14ac:dyDescent="0.35">
      <c r="C13445" s="2"/>
    </row>
    <row r="13446" spans="3:3" x14ac:dyDescent="0.35">
      <c r="C13446" s="2"/>
    </row>
    <row r="13447" spans="3:3" x14ac:dyDescent="0.35">
      <c r="C13447" s="2"/>
    </row>
    <row r="13448" spans="3:3" x14ac:dyDescent="0.35">
      <c r="C13448" s="2"/>
    </row>
    <row r="13449" spans="3:3" x14ac:dyDescent="0.35">
      <c r="C13449" s="2"/>
    </row>
    <row r="13450" spans="3:3" x14ac:dyDescent="0.35">
      <c r="C13450" s="2"/>
    </row>
    <row r="13451" spans="3:3" x14ac:dyDescent="0.35">
      <c r="C13451" s="2"/>
    </row>
    <row r="13452" spans="3:3" x14ac:dyDescent="0.35">
      <c r="C13452" s="2"/>
    </row>
    <row r="13453" spans="3:3" x14ac:dyDescent="0.35">
      <c r="C13453" s="2"/>
    </row>
    <row r="13454" spans="3:3" x14ac:dyDescent="0.35">
      <c r="C13454" s="2"/>
    </row>
    <row r="13455" spans="3:3" x14ac:dyDescent="0.35">
      <c r="C13455" s="2"/>
    </row>
    <row r="13456" spans="3:3" x14ac:dyDescent="0.35">
      <c r="C13456" s="2"/>
    </row>
    <row r="13457" spans="3:3" x14ac:dyDescent="0.35">
      <c r="C13457" s="2"/>
    </row>
    <row r="13458" spans="3:3" x14ac:dyDescent="0.35">
      <c r="C13458" s="2"/>
    </row>
    <row r="13459" spans="3:3" x14ac:dyDescent="0.35">
      <c r="C13459" s="2"/>
    </row>
    <row r="13460" spans="3:3" x14ac:dyDescent="0.35">
      <c r="C13460" s="2"/>
    </row>
    <row r="13461" spans="3:3" x14ac:dyDescent="0.35">
      <c r="C13461" s="2"/>
    </row>
    <row r="13462" spans="3:3" x14ac:dyDescent="0.35">
      <c r="C13462" s="2"/>
    </row>
    <row r="13463" spans="3:3" x14ac:dyDescent="0.35">
      <c r="C13463" s="2"/>
    </row>
    <row r="13464" spans="3:3" x14ac:dyDescent="0.35">
      <c r="C13464" s="2"/>
    </row>
    <row r="13465" spans="3:3" x14ac:dyDescent="0.35">
      <c r="C13465" s="2"/>
    </row>
    <row r="13466" spans="3:3" x14ac:dyDescent="0.35">
      <c r="C13466" s="2"/>
    </row>
    <row r="13467" spans="3:3" x14ac:dyDescent="0.35">
      <c r="C13467" s="2"/>
    </row>
    <row r="13468" spans="3:3" x14ac:dyDescent="0.35">
      <c r="C13468" s="2"/>
    </row>
    <row r="13469" spans="3:3" x14ac:dyDescent="0.35">
      <c r="C13469" s="2"/>
    </row>
    <row r="13470" spans="3:3" x14ac:dyDescent="0.35">
      <c r="C13470" s="2"/>
    </row>
    <row r="13471" spans="3:3" x14ac:dyDescent="0.35">
      <c r="C13471" s="2"/>
    </row>
    <row r="13472" spans="3:3" x14ac:dyDescent="0.35">
      <c r="C13472" s="2"/>
    </row>
    <row r="13473" spans="3:3" x14ac:dyDescent="0.35">
      <c r="C13473" s="2"/>
    </row>
    <row r="13474" spans="3:3" x14ac:dyDescent="0.35">
      <c r="C13474" s="2"/>
    </row>
    <row r="13475" spans="3:3" x14ac:dyDescent="0.35">
      <c r="C13475" s="2"/>
    </row>
    <row r="13476" spans="3:3" x14ac:dyDescent="0.35">
      <c r="C13476" s="2"/>
    </row>
    <row r="13477" spans="3:3" x14ac:dyDescent="0.35">
      <c r="C13477" s="2"/>
    </row>
    <row r="13478" spans="3:3" x14ac:dyDescent="0.35">
      <c r="C13478" s="2"/>
    </row>
    <row r="13479" spans="3:3" x14ac:dyDescent="0.35">
      <c r="C13479" s="2"/>
    </row>
    <row r="13480" spans="3:3" x14ac:dyDescent="0.35">
      <c r="C13480" s="2"/>
    </row>
    <row r="13481" spans="3:3" x14ac:dyDescent="0.35">
      <c r="C13481" s="2"/>
    </row>
    <row r="13482" spans="3:3" x14ac:dyDescent="0.35">
      <c r="C13482" s="2"/>
    </row>
    <row r="13483" spans="3:3" x14ac:dyDescent="0.35">
      <c r="C13483" s="2"/>
    </row>
    <row r="13484" spans="3:3" x14ac:dyDescent="0.35">
      <c r="C13484" s="2"/>
    </row>
    <row r="13485" spans="3:3" x14ac:dyDescent="0.35">
      <c r="C13485" s="2"/>
    </row>
    <row r="13486" spans="3:3" x14ac:dyDescent="0.35">
      <c r="C13486" s="2"/>
    </row>
    <row r="13487" spans="3:3" x14ac:dyDescent="0.35">
      <c r="C13487" s="2"/>
    </row>
    <row r="13488" spans="3:3" x14ac:dyDescent="0.35">
      <c r="C13488" s="2"/>
    </row>
    <row r="13489" spans="3:3" x14ac:dyDescent="0.35">
      <c r="C13489" s="2"/>
    </row>
    <row r="13490" spans="3:3" x14ac:dyDescent="0.35">
      <c r="C13490" s="2"/>
    </row>
    <row r="13491" spans="3:3" x14ac:dyDescent="0.35">
      <c r="C13491" s="2"/>
    </row>
    <row r="13492" spans="3:3" x14ac:dyDescent="0.35">
      <c r="C13492" s="2"/>
    </row>
    <row r="13493" spans="3:3" x14ac:dyDescent="0.35">
      <c r="C13493" s="2"/>
    </row>
    <row r="13494" spans="3:3" x14ac:dyDescent="0.35">
      <c r="C13494" s="2"/>
    </row>
    <row r="13495" spans="3:3" x14ac:dyDescent="0.35">
      <c r="C13495" s="2"/>
    </row>
    <row r="13496" spans="3:3" x14ac:dyDescent="0.35">
      <c r="C13496" s="2"/>
    </row>
    <row r="13497" spans="3:3" x14ac:dyDescent="0.35">
      <c r="C13497" s="2"/>
    </row>
    <row r="13498" spans="3:3" x14ac:dyDescent="0.35">
      <c r="C13498" s="2"/>
    </row>
    <row r="13499" spans="3:3" x14ac:dyDescent="0.35">
      <c r="C13499" s="2"/>
    </row>
    <row r="13500" spans="3:3" x14ac:dyDescent="0.35">
      <c r="C13500" s="2"/>
    </row>
    <row r="13501" spans="3:3" x14ac:dyDescent="0.35">
      <c r="C13501" s="2"/>
    </row>
    <row r="13502" spans="3:3" x14ac:dyDescent="0.35">
      <c r="C13502" s="2"/>
    </row>
    <row r="13503" spans="3:3" x14ac:dyDescent="0.35">
      <c r="C13503" s="2"/>
    </row>
    <row r="13504" spans="3:3" x14ac:dyDescent="0.35">
      <c r="C13504" s="2"/>
    </row>
    <row r="13505" spans="3:3" x14ac:dyDescent="0.35">
      <c r="C13505" s="2"/>
    </row>
    <row r="13506" spans="3:3" x14ac:dyDescent="0.35">
      <c r="C13506" s="2"/>
    </row>
    <row r="13507" spans="3:3" x14ac:dyDescent="0.35">
      <c r="C13507" s="2"/>
    </row>
    <row r="13508" spans="3:3" x14ac:dyDescent="0.35">
      <c r="C13508" s="2"/>
    </row>
    <row r="13509" spans="3:3" x14ac:dyDescent="0.35">
      <c r="C13509" s="2"/>
    </row>
    <row r="13510" spans="3:3" x14ac:dyDescent="0.35">
      <c r="C13510" s="2"/>
    </row>
    <row r="13511" spans="3:3" x14ac:dyDescent="0.35">
      <c r="C13511" s="2"/>
    </row>
    <row r="13512" spans="3:3" x14ac:dyDescent="0.35">
      <c r="C13512" s="2"/>
    </row>
    <row r="13513" spans="3:3" x14ac:dyDescent="0.35">
      <c r="C13513" s="2"/>
    </row>
    <row r="13514" spans="3:3" x14ac:dyDescent="0.35">
      <c r="C13514" s="2"/>
    </row>
    <row r="13515" spans="3:3" x14ac:dyDescent="0.35">
      <c r="C13515" s="2"/>
    </row>
    <row r="13516" spans="3:3" x14ac:dyDescent="0.35">
      <c r="C13516" s="2"/>
    </row>
    <row r="13517" spans="3:3" x14ac:dyDescent="0.35">
      <c r="C13517" s="2"/>
    </row>
    <row r="13518" spans="3:3" x14ac:dyDescent="0.35">
      <c r="C13518" s="2"/>
    </row>
    <row r="13519" spans="3:3" x14ac:dyDescent="0.35">
      <c r="C13519" s="2"/>
    </row>
    <row r="13520" spans="3:3" x14ac:dyDescent="0.35">
      <c r="C13520" s="2"/>
    </row>
    <row r="13521" spans="3:3" x14ac:dyDescent="0.35">
      <c r="C13521" s="2"/>
    </row>
    <row r="13522" spans="3:3" x14ac:dyDescent="0.35">
      <c r="C13522" s="2"/>
    </row>
    <row r="13523" spans="3:3" x14ac:dyDescent="0.35">
      <c r="C13523" s="2"/>
    </row>
    <row r="13524" spans="3:3" x14ac:dyDescent="0.35">
      <c r="C13524" s="2"/>
    </row>
    <row r="13525" spans="3:3" x14ac:dyDescent="0.35">
      <c r="C13525" s="2"/>
    </row>
    <row r="13526" spans="3:3" x14ac:dyDescent="0.35">
      <c r="C13526" s="2"/>
    </row>
    <row r="13527" spans="3:3" x14ac:dyDescent="0.35">
      <c r="C13527" s="2"/>
    </row>
    <row r="13528" spans="3:3" x14ac:dyDescent="0.35">
      <c r="C13528" s="2"/>
    </row>
    <row r="13529" spans="3:3" x14ac:dyDescent="0.35">
      <c r="C13529" s="2"/>
    </row>
    <row r="13530" spans="3:3" x14ac:dyDescent="0.35">
      <c r="C13530" s="2"/>
    </row>
    <row r="13531" spans="3:3" x14ac:dyDescent="0.35">
      <c r="C13531" s="2"/>
    </row>
    <row r="13532" spans="3:3" x14ac:dyDescent="0.35">
      <c r="C13532" s="2"/>
    </row>
    <row r="13533" spans="3:3" x14ac:dyDescent="0.35">
      <c r="C13533" s="2"/>
    </row>
    <row r="13534" spans="3:3" x14ac:dyDescent="0.35">
      <c r="C13534" s="2"/>
    </row>
    <row r="13535" spans="3:3" x14ac:dyDescent="0.35">
      <c r="C13535" s="2"/>
    </row>
    <row r="13536" spans="3:3" x14ac:dyDescent="0.35">
      <c r="C13536" s="2"/>
    </row>
    <row r="13537" spans="3:3" x14ac:dyDescent="0.35">
      <c r="C13537" s="2"/>
    </row>
    <row r="13538" spans="3:3" x14ac:dyDescent="0.35">
      <c r="C13538" s="2"/>
    </row>
    <row r="13539" spans="3:3" x14ac:dyDescent="0.35">
      <c r="C13539" s="2"/>
    </row>
    <row r="13540" spans="3:3" x14ac:dyDescent="0.35">
      <c r="C13540" s="2"/>
    </row>
    <row r="13541" spans="3:3" x14ac:dyDescent="0.35">
      <c r="C13541" s="2"/>
    </row>
    <row r="13542" spans="3:3" x14ac:dyDescent="0.35">
      <c r="C13542" s="2"/>
    </row>
    <row r="13543" spans="3:3" x14ac:dyDescent="0.35">
      <c r="C13543" s="2"/>
    </row>
    <row r="13544" spans="3:3" x14ac:dyDescent="0.35">
      <c r="C13544" s="2"/>
    </row>
    <row r="13545" spans="3:3" x14ac:dyDescent="0.35">
      <c r="C13545" s="2"/>
    </row>
    <row r="13546" spans="3:3" x14ac:dyDescent="0.35">
      <c r="C13546" s="2"/>
    </row>
    <row r="13547" spans="3:3" x14ac:dyDescent="0.35">
      <c r="C13547" s="2"/>
    </row>
    <row r="13548" spans="3:3" x14ac:dyDescent="0.35">
      <c r="C13548" s="2"/>
    </row>
    <row r="13549" spans="3:3" x14ac:dyDescent="0.35">
      <c r="C13549" s="2"/>
    </row>
    <row r="13550" spans="3:3" x14ac:dyDescent="0.35">
      <c r="C13550" s="2"/>
    </row>
    <row r="13551" spans="3:3" x14ac:dyDescent="0.35">
      <c r="C13551" s="2"/>
    </row>
    <row r="13552" spans="3:3" x14ac:dyDescent="0.35">
      <c r="C13552" s="2"/>
    </row>
    <row r="13553" spans="3:3" x14ac:dyDescent="0.35">
      <c r="C13553" s="2"/>
    </row>
    <row r="13554" spans="3:3" x14ac:dyDescent="0.35">
      <c r="C13554" s="2"/>
    </row>
    <row r="13555" spans="3:3" x14ac:dyDescent="0.35">
      <c r="C13555" s="2"/>
    </row>
    <row r="13556" spans="3:3" x14ac:dyDescent="0.35">
      <c r="C13556" s="2"/>
    </row>
    <row r="13557" spans="3:3" x14ac:dyDescent="0.35">
      <c r="C13557" s="2"/>
    </row>
    <row r="13558" spans="3:3" x14ac:dyDescent="0.35">
      <c r="C13558" s="2"/>
    </row>
    <row r="13559" spans="3:3" x14ac:dyDescent="0.35">
      <c r="C13559" s="2"/>
    </row>
    <row r="13560" spans="3:3" x14ac:dyDescent="0.35">
      <c r="C13560" s="2"/>
    </row>
    <row r="13561" spans="3:3" x14ac:dyDescent="0.35">
      <c r="C13561" s="2"/>
    </row>
    <row r="13562" spans="3:3" x14ac:dyDescent="0.35">
      <c r="C13562" s="2"/>
    </row>
    <row r="13563" spans="3:3" x14ac:dyDescent="0.35">
      <c r="C13563" s="2"/>
    </row>
    <row r="13564" spans="3:3" x14ac:dyDescent="0.35">
      <c r="C13564" s="2"/>
    </row>
    <row r="13565" spans="3:3" x14ac:dyDescent="0.35">
      <c r="C13565" s="2"/>
    </row>
    <row r="13566" spans="3:3" x14ac:dyDescent="0.35">
      <c r="C13566" s="2"/>
    </row>
    <row r="13567" spans="3:3" x14ac:dyDescent="0.35">
      <c r="C13567" s="2"/>
    </row>
    <row r="13568" spans="3:3" x14ac:dyDescent="0.35">
      <c r="C13568" s="2"/>
    </row>
    <row r="13569" spans="3:3" x14ac:dyDescent="0.35">
      <c r="C13569" s="2"/>
    </row>
    <row r="13570" spans="3:3" x14ac:dyDescent="0.35">
      <c r="C13570" s="2"/>
    </row>
    <row r="13571" spans="3:3" x14ac:dyDescent="0.35">
      <c r="C13571" s="2"/>
    </row>
    <row r="13572" spans="3:3" x14ac:dyDescent="0.35">
      <c r="C13572" s="2"/>
    </row>
    <row r="13573" spans="3:3" x14ac:dyDescent="0.35">
      <c r="C13573" s="2"/>
    </row>
    <row r="13574" spans="3:3" x14ac:dyDescent="0.35">
      <c r="C13574" s="2"/>
    </row>
    <row r="13575" spans="3:3" x14ac:dyDescent="0.35">
      <c r="C13575" s="2"/>
    </row>
    <row r="13576" spans="3:3" x14ac:dyDescent="0.35">
      <c r="C13576" s="2"/>
    </row>
    <row r="13577" spans="3:3" x14ac:dyDescent="0.35">
      <c r="C13577" s="2"/>
    </row>
    <row r="13578" spans="3:3" x14ac:dyDescent="0.35">
      <c r="C13578" s="2"/>
    </row>
    <row r="13579" spans="3:3" x14ac:dyDescent="0.35">
      <c r="C13579" s="2"/>
    </row>
    <row r="13580" spans="3:3" x14ac:dyDescent="0.35">
      <c r="C13580" s="2"/>
    </row>
    <row r="13581" spans="3:3" x14ac:dyDescent="0.35">
      <c r="C13581" s="2"/>
    </row>
    <row r="13582" spans="3:3" x14ac:dyDescent="0.35">
      <c r="C13582" s="2"/>
    </row>
    <row r="13583" spans="3:3" x14ac:dyDescent="0.35">
      <c r="C13583" s="2"/>
    </row>
    <row r="13584" spans="3:3" x14ac:dyDescent="0.35">
      <c r="C13584" s="2"/>
    </row>
    <row r="13585" spans="3:3" x14ac:dyDescent="0.35">
      <c r="C13585" s="2"/>
    </row>
    <row r="13586" spans="3:3" x14ac:dyDescent="0.35">
      <c r="C13586" s="2"/>
    </row>
    <row r="13587" spans="3:3" x14ac:dyDescent="0.35">
      <c r="C13587" s="2"/>
    </row>
    <row r="13588" spans="3:3" x14ac:dyDescent="0.35">
      <c r="C13588" s="2"/>
    </row>
    <row r="13589" spans="3:3" x14ac:dyDescent="0.35">
      <c r="C13589" s="2"/>
    </row>
    <row r="13590" spans="3:3" x14ac:dyDescent="0.35">
      <c r="C13590" s="2"/>
    </row>
    <row r="13591" spans="3:3" x14ac:dyDescent="0.35">
      <c r="C13591" s="2"/>
    </row>
    <row r="13592" spans="3:3" x14ac:dyDescent="0.35">
      <c r="C13592" s="2"/>
    </row>
    <row r="13593" spans="3:3" x14ac:dyDescent="0.35">
      <c r="C13593" s="2"/>
    </row>
    <row r="13594" spans="3:3" x14ac:dyDescent="0.35">
      <c r="C13594" s="2"/>
    </row>
    <row r="13595" spans="3:3" x14ac:dyDescent="0.35">
      <c r="C13595" s="2"/>
    </row>
    <row r="13596" spans="3:3" x14ac:dyDescent="0.35">
      <c r="C13596" s="2"/>
    </row>
    <row r="13597" spans="3:3" x14ac:dyDescent="0.35">
      <c r="C13597" s="2"/>
    </row>
    <row r="13598" spans="3:3" x14ac:dyDescent="0.35">
      <c r="C13598" s="2"/>
    </row>
    <row r="13599" spans="3:3" x14ac:dyDescent="0.35">
      <c r="C13599" s="2"/>
    </row>
    <row r="13600" spans="3:3" x14ac:dyDescent="0.35">
      <c r="C13600" s="2"/>
    </row>
    <row r="13601" spans="3:3" x14ac:dyDescent="0.35">
      <c r="C13601" s="2"/>
    </row>
    <row r="13602" spans="3:3" x14ac:dyDescent="0.35">
      <c r="C13602" s="2"/>
    </row>
    <row r="13603" spans="3:3" x14ac:dyDescent="0.35">
      <c r="C13603" s="2"/>
    </row>
    <row r="13604" spans="3:3" x14ac:dyDescent="0.35">
      <c r="C13604" s="2"/>
    </row>
    <row r="13605" spans="3:3" x14ac:dyDescent="0.35">
      <c r="C13605" s="2"/>
    </row>
    <row r="13606" spans="3:3" x14ac:dyDescent="0.35">
      <c r="C13606" s="2"/>
    </row>
    <row r="13607" spans="3:3" x14ac:dyDescent="0.35">
      <c r="C13607" s="2"/>
    </row>
    <row r="13608" spans="3:3" x14ac:dyDescent="0.35">
      <c r="C13608" s="2"/>
    </row>
    <row r="13609" spans="3:3" x14ac:dyDescent="0.35">
      <c r="C13609" s="2"/>
    </row>
    <row r="13610" spans="3:3" x14ac:dyDescent="0.35">
      <c r="C13610" s="2"/>
    </row>
    <row r="13611" spans="3:3" x14ac:dyDescent="0.35">
      <c r="C13611" s="2"/>
    </row>
    <row r="13612" spans="3:3" x14ac:dyDescent="0.35">
      <c r="C13612" s="2"/>
    </row>
    <row r="13613" spans="3:3" x14ac:dyDescent="0.35">
      <c r="C13613" s="2"/>
    </row>
    <row r="13614" spans="3:3" x14ac:dyDescent="0.35">
      <c r="C13614" s="2"/>
    </row>
    <row r="13615" spans="3:3" x14ac:dyDescent="0.35">
      <c r="C13615" s="2"/>
    </row>
    <row r="13616" spans="3:3" x14ac:dyDescent="0.35">
      <c r="C13616" s="2"/>
    </row>
    <row r="13617" spans="3:3" x14ac:dyDescent="0.35">
      <c r="C13617" s="2"/>
    </row>
    <row r="13618" spans="3:3" x14ac:dyDescent="0.35">
      <c r="C13618" s="2"/>
    </row>
    <row r="13619" spans="3:3" x14ac:dyDescent="0.35">
      <c r="C13619" s="2"/>
    </row>
    <row r="13620" spans="3:3" x14ac:dyDescent="0.35">
      <c r="C13620" s="2"/>
    </row>
    <row r="13621" spans="3:3" x14ac:dyDescent="0.35">
      <c r="C13621" s="2"/>
    </row>
    <row r="13622" spans="3:3" x14ac:dyDescent="0.35">
      <c r="C13622" s="2"/>
    </row>
    <row r="13623" spans="3:3" x14ac:dyDescent="0.35">
      <c r="C13623" s="2"/>
    </row>
    <row r="13624" spans="3:3" x14ac:dyDescent="0.35">
      <c r="C13624" s="2"/>
    </row>
    <row r="13625" spans="3:3" x14ac:dyDescent="0.35">
      <c r="C13625" s="2"/>
    </row>
    <row r="13626" spans="3:3" x14ac:dyDescent="0.35">
      <c r="C13626" s="2"/>
    </row>
    <row r="13627" spans="3:3" x14ac:dyDescent="0.35">
      <c r="C13627" s="2"/>
    </row>
    <row r="13628" spans="3:3" x14ac:dyDescent="0.35">
      <c r="C13628" s="2"/>
    </row>
    <row r="13629" spans="3:3" x14ac:dyDescent="0.35">
      <c r="C13629" s="2"/>
    </row>
    <row r="13630" spans="3:3" x14ac:dyDescent="0.35">
      <c r="C13630" s="2"/>
    </row>
    <row r="13631" spans="3:3" x14ac:dyDescent="0.35">
      <c r="C13631" s="2"/>
    </row>
    <row r="13632" spans="3:3" x14ac:dyDescent="0.35">
      <c r="C13632" s="2"/>
    </row>
    <row r="13633" spans="3:3" x14ac:dyDescent="0.35">
      <c r="C13633" s="2"/>
    </row>
    <row r="13634" spans="3:3" x14ac:dyDescent="0.35">
      <c r="C13634" s="2"/>
    </row>
    <row r="13635" spans="3:3" x14ac:dyDescent="0.35">
      <c r="C13635" s="2"/>
    </row>
    <row r="13636" spans="3:3" x14ac:dyDescent="0.35">
      <c r="C13636" s="2"/>
    </row>
    <row r="13637" spans="3:3" x14ac:dyDescent="0.35">
      <c r="C13637" s="2"/>
    </row>
    <row r="13638" spans="3:3" x14ac:dyDescent="0.35">
      <c r="C13638" s="2"/>
    </row>
    <row r="13639" spans="3:3" x14ac:dyDescent="0.35">
      <c r="C13639" s="2"/>
    </row>
    <row r="13640" spans="3:3" x14ac:dyDescent="0.35">
      <c r="C13640" s="2"/>
    </row>
    <row r="13641" spans="3:3" x14ac:dyDescent="0.35">
      <c r="C13641" s="2"/>
    </row>
    <row r="13642" spans="3:3" x14ac:dyDescent="0.35">
      <c r="C13642" s="2"/>
    </row>
    <row r="13643" spans="3:3" x14ac:dyDescent="0.35">
      <c r="C13643" s="2"/>
    </row>
    <row r="13644" spans="3:3" x14ac:dyDescent="0.35">
      <c r="C13644" s="2"/>
    </row>
    <row r="13645" spans="3:3" x14ac:dyDescent="0.35">
      <c r="C13645" s="2"/>
    </row>
    <row r="13646" spans="3:3" x14ac:dyDescent="0.35">
      <c r="C13646" s="2"/>
    </row>
    <row r="13647" spans="3:3" x14ac:dyDescent="0.35">
      <c r="C13647" s="2"/>
    </row>
    <row r="13648" spans="3:3" x14ac:dyDescent="0.35">
      <c r="C13648" s="2"/>
    </row>
    <row r="13649" spans="3:3" x14ac:dyDescent="0.35">
      <c r="C13649" s="2"/>
    </row>
    <row r="13650" spans="3:3" x14ac:dyDescent="0.35">
      <c r="C13650" s="2"/>
    </row>
    <row r="13651" spans="3:3" x14ac:dyDescent="0.35">
      <c r="C13651" s="2"/>
    </row>
    <row r="13652" spans="3:3" x14ac:dyDescent="0.35">
      <c r="C13652" s="2"/>
    </row>
    <row r="13653" spans="3:3" x14ac:dyDescent="0.35">
      <c r="C13653" s="2"/>
    </row>
    <row r="13654" spans="3:3" x14ac:dyDescent="0.35">
      <c r="C13654" s="2"/>
    </row>
    <row r="13655" spans="3:3" x14ac:dyDescent="0.35">
      <c r="C13655" s="2"/>
    </row>
    <row r="13656" spans="3:3" x14ac:dyDescent="0.35">
      <c r="C13656" s="2"/>
    </row>
    <row r="13657" spans="3:3" x14ac:dyDescent="0.35">
      <c r="C13657" s="2"/>
    </row>
    <row r="13658" spans="3:3" x14ac:dyDescent="0.35">
      <c r="C13658" s="2"/>
    </row>
    <row r="13659" spans="3:3" x14ac:dyDescent="0.35">
      <c r="C13659" s="2"/>
    </row>
    <row r="13660" spans="3:3" x14ac:dyDescent="0.35">
      <c r="C13660" s="2"/>
    </row>
    <row r="13661" spans="3:3" x14ac:dyDescent="0.35">
      <c r="C13661" s="2"/>
    </row>
    <row r="13662" spans="3:3" x14ac:dyDescent="0.35">
      <c r="C13662" s="2"/>
    </row>
    <row r="13663" spans="3:3" x14ac:dyDescent="0.35">
      <c r="C13663" s="2"/>
    </row>
    <row r="13664" spans="3:3" x14ac:dyDescent="0.35">
      <c r="C13664" s="2"/>
    </row>
    <row r="13665" spans="3:3" x14ac:dyDescent="0.35">
      <c r="C13665" s="2"/>
    </row>
    <row r="13666" spans="3:3" x14ac:dyDescent="0.35">
      <c r="C13666" s="2"/>
    </row>
    <row r="13667" spans="3:3" x14ac:dyDescent="0.35">
      <c r="C13667" s="2"/>
    </row>
    <row r="13668" spans="3:3" x14ac:dyDescent="0.35">
      <c r="C13668" s="2"/>
    </row>
    <row r="13669" spans="3:3" x14ac:dyDescent="0.35">
      <c r="C13669" s="2"/>
    </row>
    <row r="13670" spans="3:3" x14ac:dyDescent="0.35">
      <c r="C13670" s="2"/>
    </row>
    <row r="13671" spans="3:3" x14ac:dyDescent="0.35">
      <c r="C13671" s="2"/>
    </row>
    <row r="13672" spans="3:3" x14ac:dyDescent="0.35">
      <c r="C13672" s="2"/>
    </row>
    <row r="13673" spans="3:3" x14ac:dyDescent="0.35">
      <c r="C13673" s="2"/>
    </row>
    <row r="13674" spans="3:3" x14ac:dyDescent="0.35">
      <c r="C13674" s="2"/>
    </row>
    <row r="13675" spans="3:3" x14ac:dyDescent="0.35">
      <c r="C13675" s="2"/>
    </row>
    <row r="13676" spans="3:3" x14ac:dyDescent="0.35">
      <c r="C13676" s="2"/>
    </row>
    <row r="13677" spans="3:3" x14ac:dyDescent="0.35">
      <c r="C13677" s="2"/>
    </row>
    <row r="13678" spans="3:3" x14ac:dyDescent="0.35">
      <c r="C13678" s="2"/>
    </row>
    <row r="13679" spans="3:3" x14ac:dyDescent="0.35">
      <c r="C13679" s="2"/>
    </row>
    <row r="13680" spans="3:3" x14ac:dyDescent="0.35">
      <c r="C13680" s="2"/>
    </row>
    <row r="13681" spans="3:3" x14ac:dyDescent="0.35">
      <c r="C13681" s="2"/>
    </row>
    <row r="13682" spans="3:3" x14ac:dyDescent="0.35">
      <c r="C13682" s="2"/>
    </row>
    <row r="13683" spans="3:3" x14ac:dyDescent="0.35">
      <c r="C13683" s="2"/>
    </row>
    <row r="13684" spans="3:3" x14ac:dyDescent="0.35">
      <c r="C13684" s="2"/>
    </row>
    <row r="13685" spans="3:3" x14ac:dyDescent="0.35">
      <c r="C13685" s="2"/>
    </row>
    <row r="13686" spans="3:3" x14ac:dyDescent="0.35">
      <c r="C13686" s="2"/>
    </row>
    <row r="13687" spans="3:3" x14ac:dyDescent="0.35">
      <c r="C13687" s="2"/>
    </row>
    <row r="13688" spans="3:3" x14ac:dyDescent="0.35">
      <c r="C13688" s="2"/>
    </row>
    <row r="13689" spans="3:3" x14ac:dyDescent="0.35">
      <c r="C13689" s="2"/>
    </row>
    <row r="13690" spans="3:3" x14ac:dyDescent="0.35">
      <c r="C13690" s="2"/>
    </row>
    <row r="13691" spans="3:3" x14ac:dyDescent="0.35">
      <c r="C13691" s="2"/>
    </row>
    <row r="13692" spans="3:3" x14ac:dyDescent="0.35">
      <c r="C13692" s="2"/>
    </row>
    <row r="13693" spans="3:3" x14ac:dyDescent="0.35">
      <c r="C13693" s="2"/>
    </row>
    <row r="13694" spans="3:3" x14ac:dyDescent="0.35">
      <c r="C13694" s="2"/>
    </row>
    <row r="13695" spans="3:3" x14ac:dyDescent="0.35">
      <c r="C13695" s="2"/>
    </row>
    <row r="13696" spans="3:3" x14ac:dyDescent="0.35">
      <c r="C13696" s="2"/>
    </row>
    <row r="13697" spans="3:3" x14ac:dyDescent="0.35">
      <c r="C13697" s="2"/>
    </row>
    <row r="13698" spans="3:3" x14ac:dyDescent="0.35">
      <c r="C13698" s="2"/>
    </row>
    <row r="13699" spans="3:3" x14ac:dyDescent="0.35">
      <c r="C13699" s="2"/>
    </row>
    <row r="13700" spans="3:3" x14ac:dyDescent="0.35">
      <c r="C13700" s="2"/>
    </row>
    <row r="13701" spans="3:3" x14ac:dyDescent="0.35">
      <c r="C13701" s="2"/>
    </row>
    <row r="13702" spans="3:3" x14ac:dyDescent="0.35">
      <c r="C13702" s="2"/>
    </row>
    <row r="13703" spans="3:3" x14ac:dyDescent="0.35">
      <c r="C13703" s="2"/>
    </row>
    <row r="13704" spans="3:3" x14ac:dyDescent="0.35">
      <c r="C13704" s="2"/>
    </row>
    <row r="13705" spans="3:3" x14ac:dyDescent="0.35">
      <c r="C13705" s="2"/>
    </row>
    <row r="13706" spans="3:3" x14ac:dyDescent="0.35">
      <c r="C13706" s="2"/>
    </row>
    <row r="13707" spans="3:3" x14ac:dyDescent="0.35">
      <c r="C13707" s="2"/>
    </row>
    <row r="13708" spans="3:3" x14ac:dyDescent="0.35">
      <c r="C13708" s="2"/>
    </row>
    <row r="13709" spans="3:3" x14ac:dyDescent="0.35">
      <c r="C13709" s="2"/>
    </row>
    <row r="13710" spans="3:3" x14ac:dyDescent="0.35">
      <c r="C13710" s="2"/>
    </row>
    <row r="13711" spans="3:3" x14ac:dyDescent="0.35">
      <c r="C13711" s="2"/>
    </row>
    <row r="13712" spans="3:3" x14ac:dyDescent="0.35">
      <c r="C13712" s="2"/>
    </row>
    <row r="13713" spans="3:3" x14ac:dyDescent="0.35">
      <c r="C13713" s="2"/>
    </row>
    <row r="13714" spans="3:3" x14ac:dyDescent="0.35">
      <c r="C13714" s="2"/>
    </row>
    <row r="13715" spans="3:3" x14ac:dyDescent="0.35">
      <c r="C13715" s="2"/>
    </row>
    <row r="13716" spans="3:3" x14ac:dyDescent="0.35">
      <c r="C13716" s="2"/>
    </row>
    <row r="13717" spans="3:3" x14ac:dyDescent="0.35">
      <c r="C13717" s="2"/>
    </row>
    <row r="13718" spans="3:3" x14ac:dyDescent="0.35">
      <c r="C13718" s="2"/>
    </row>
    <row r="13719" spans="3:3" x14ac:dyDescent="0.35">
      <c r="C13719" s="2"/>
    </row>
    <row r="13720" spans="3:3" x14ac:dyDescent="0.35">
      <c r="C13720" s="2"/>
    </row>
    <row r="13721" spans="3:3" x14ac:dyDescent="0.35">
      <c r="C13721" s="2"/>
    </row>
    <row r="13722" spans="3:3" x14ac:dyDescent="0.35">
      <c r="C13722" s="2"/>
    </row>
    <row r="13723" spans="3:3" x14ac:dyDescent="0.35">
      <c r="C13723" s="2"/>
    </row>
    <row r="13724" spans="3:3" x14ac:dyDescent="0.35">
      <c r="C13724" s="2"/>
    </row>
    <row r="13725" spans="3:3" x14ac:dyDescent="0.35">
      <c r="C13725" s="2"/>
    </row>
    <row r="13726" spans="3:3" x14ac:dyDescent="0.35">
      <c r="C13726" s="2"/>
    </row>
    <row r="13727" spans="3:3" x14ac:dyDescent="0.35">
      <c r="C13727" s="2"/>
    </row>
    <row r="13728" spans="3:3" x14ac:dyDescent="0.35">
      <c r="C13728" s="2"/>
    </row>
    <row r="13729" spans="3:3" x14ac:dyDescent="0.35">
      <c r="C13729" s="2"/>
    </row>
    <row r="13730" spans="3:3" x14ac:dyDescent="0.35">
      <c r="C13730" s="2"/>
    </row>
    <row r="13731" spans="3:3" x14ac:dyDescent="0.35">
      <c r="C13731" s="2"/>
    </row>
    <row r="13732" spans="3:3" x14ac:dyDescent="0.35">
      <c r="C13732" s="2"/>
    </row>
    <row r="13733" spans="3:3" x14ac:dyDescent="0.35">
      <c r="C13733" s="2"/>
    </row>
    <row r="13734" spans="3:3" x14ac:dyDescent="0.35">
      <c r="C13734" s="2"/>
    </row>
    <row r="13735" spans="3:3" x14ac:dyDescent="0.35">
      <c r="C13735" s="2"/>
    </row>
    <row r="13736" spans="3:3" x14ac:dyDescent="0.35">
      <c r="C13736" s="2"/>
    </row>
    <row r="13737" spans="3:3" x14ac:dyDescent="0.35">
      <c r="C13737" s="2"/>
    </row>
    <row r="13738" spans="3:3" x14ac:dyDescent="0.35">
      <c r="C13738" s="2"/>
    </row>
    <row r="13739" spans="3:3" x14ac:dyDescent="0.35">
      <c r="C13739" s="2"/>
    </row>
    <row r="13740" spans="3:3" x14ac:dyDescent="0.35">
      <c r="C13740" s="2"/>
    </row>
    <row r="13741" spans="3:3" x14ac:dyDescent="0.35">
      <c r="C13741" s="2"/>
    </row>
    <row r="13742" spans="3:3" x14ac:dyDescent="0.35">
      <c r="C13742" s="2"/>
    </row>
    <row r="13743" spans="3:3" x14ac:dyDescent="0.35">
      <c r="C13743" s="2"/>
    </row>
    <row r="13744" spans="3:3" x14ac:dyDescent="0.35">
      <c r="C13744" s="2"/>
    </row>
    <row r="13745" spans="3:3" x14ac:dyDescent="0.35">
      <c r="C13745" s="2"/>
    </row>
    <row r="13746" spans="3:3" x14ac:dyDescent="0.35">
      <c r="C13746" s="2"/>
    </row>
    <row r="13747" spans="3:3" x14ac:dyDescent="0.35">
      <c r="C13747" s="2"/>
    </row>
    <row r="13748" spans="3:3" x14ac:dyDescent="0.35">
      <c r="C13748" s="2"/>
    </row>
    <row r="13749" spans="3:3" x14ac:dyDescent="0.35">
      <c r="C13749" s="2"/>
    </row>
    <row r="13750" spans="3:3" x14ac:dyDescent="0.35">
      <c r="C13750" s="2"/>
    </row>
    <row r="13751" spans="3:3" x14ac:dyDescent="0.35">
      <c r="C13751" s="2"/>
    </row>
    <row r="13752" spans="3:3" x14ac:dyDescent="0.35">
      <c r="C13752" s="2"/>
    </row>
    <row r="13753" spans="3:3" x14ac:dyDescent="0.35">
      <c r="C13753" s="2"/>
    </row>
    <row r="13754" spans="3:3" x14ac:dyDescent="0.35">
      <c r="C13754" s="2"/>
    </row>
    <row r="13755" spans="3:3" x14ac:dyDescent="0.35">
      <c r="C13755" s="2"/>
    </row>
    <row r="13756" spans="3:3" x14ac:dyDescent="0.35">
      <c r="C13756" s="2"/>
    </row>
    <row r="13757" spans="3:3" x14ac:dyDescent="0.35">
      <c r="C13757" s="2"/>
    </row>
    <row r="13758" spans="3:3" x14ac:dyDescent="0.35">
      <c r="C13758" s="2"/>
    </row>
    <row r="13759" spans="3:3" x14ac:dyDescent="0.35">
      <c r="C13759" s="2"/>
    </row>
    <row r="13760" spans="3:3" x14ac:dyDescent="0.35">
      <c r="C13760" s="2"/>
    </row>
    <row r="13761" spans="3:3" x14ac:dyDescent="0.35">
      <c r="C13761" s="2"/>
    </row>
    <row r="13762" spans="3:3" x14ac:dyDescent="0.35">
      <c r="C13762" s="2"/>
    </row>
    <row r="13763" spans="3:3" x14ac:dyDescent="0.35">
      <c r="C13763" s="2"/>
    </row>
    <row r="13764" spans="3:3" x14ac:dyDescent="0.35">
      <c r="C13764" s="2"/>
    </row>
    <row r="13765" spans="3:3" x14ac:dyDescent="0.35">
      <c r="C13765" s="2"/>
    </row>
    <row r="13766" spans="3:3" x14ac:dyDescent="0.35">
      <c r="C13766" s="2"/>
    </row>
    <row r="13767" spans="3:3" x14ac:dyDescent="0.35">
      <c r="C13767" s="2"/>
    </row>
    <row r="13768" spans="3:3" x14ac:dyDescent="0.35">
      <c r="C13768" s="2"/>
    </row>
    <row r="13769" spans="3:3" x14ac:dyDescent="0.35">
      <c r="C13769" s="2"/>
    </row>
    <row r="13770" spans="3:3" x14ac:dyDescent="0.35">
      <c r="C13770" s="2"/>
    </row>
    <row r="13771" spans="3:3" x14ac:dyDescent="0.35">
      <c r="C13771" s="2"/>
    </row>
    <row r="13772" spans="3:3" x14ac:dyDescent="0.35">
      <c r="C13772" s="2"/>
    </row>
    <row r="13773" spans="3:3" x14ac:dyDescent="0.35">
      <c r="C13773" s="2"/>
    </row>
    <row r="13774" spans="3:3" x14ac:dyDescent="0.35">
      <c r="C13774" s="2"/>
    </row>
    <row r="13775" spans="3:3" x14ac:dyDescent="0.35">
      <c r="C13775" s="2"/>
    </row>
    <row r="13776" spans="3:3" x14ac:dyDescent="0.35">
      <c r="C13776" s="2"/>
    </row>
    <row r="13777" spans="3:3" x14ac:dyDescent="0.35">
      <c r="C13777" s="2"/>
    </row>
    <row r="13778" spans="3:3" x14ac:dyDescent="0.35">
      <c r="C13778" s="2"/>
    </row>
    <row r="13779" spans="3:3" x14ac:dyDescent="0.35">
      <c r="C13779" s="2"/>
    </row>
    <row r="13780" spans="3:3" x14ac:dyDescent="0.35">
      <c r="C13780" s="2"/>
    </row>
    <row r="13781" spans="3:3" x14ac:dyDescent="0.35">
      <c r="C13781" s="2"/>
    </row>
    <row r="13782" spans="3:3" x14ac:dyDescent="0.35">
      <c r="C13782" s="2"/>
    </row>
    <row r="13783" spans="3:3" x14ac:dyDescent="0.35">
      <c r="C13783" s="2"/>
    </row>
    <row r="13784" spans="3:3" x14ac:dyDescent="0.35">
      <c r="C13784" s="2"/>
    </row>
    <row r="13785" spans="3:3" x14ac:dyDescent="0.35">
      <c r="C13785" s="2"/>
    </row>
    <row r="13786" spans="3:3" x14ac:dyDescent="0.35">
      <c r="C13786" s="2"/>
    </row>
    <row r="13787" spans="3:3" x14ac:dyDescent="0.35">
      <c r="C13787" s="2"/>
    </row>
    <row r="13788" spans="3:3" x14ac:dyDescent="0.35">
      <c r="C13788" s="2"/>
    </row>
    <row r="13789" spans="3:3" x14ac:dyDescent="0.35">
      <c r="C13789" s="2"/>
    </row>
    <row r="13790" spans="3:3" x14ac:dyDescent="0.35">
      <c r="C13790" s="2"/>
    </row>
    <row r="13791" spans="3:3" x14ac:dyDescent="0.35">
      <c r="C13791" s="2"/>
    </row>
    <row r="13792" spans="3:3" x14ac:dyDescent="0.35">
      <c r="C13792" s="2"/>
    </row>
    <row r="13793" spans="3:3" x14ac:dyDescent="0.35">
      <c r="C13793" s="2"/>
    </row>
    <row r="13794" spans="3:3" x14ac:dyDescent="0.35">
      <c r="C13794" s="2"/>
    </row>
    <row r="13795" spans="3:3" x14ac:dyDescent="0.35">
      <c r="C13795" s="2"/>
    </row>
    <row r="13796" spans="3:3" x14ac:dyDescent="0.35">
      <c r="C13796" s="2"/>
    </row>
    <row r="13797" spans="3:3" x14ac:dyDescent="0.35">
      <c r="C13797" s="2"/>
    </row>
    <row r="13798" spans="3:3" x14ac:dyDescent="0.35">
      <c r="C13798" s="2"/>
    </row>
    <row r="13799" spans="3:3" x14ac:dyDescent="0.35">
      <c r="C13799" s="2"/>
    </row>
    <row r="13800" spans="3:3" x14ac:dyDescent="0.35">
      <c r="C13800" s="2"/>
    </row>
    <row r="13801" spans="3:3" x14ac:dyDescent="0.35">
      <c r="C13801" s="2"/>
    </row>
    <row r="13802" spans="3:3" x14ac:dyDescent="0.35">
      <c r="C13802" s="2"/>
    </row>
    <row r="13803" spans="3:3" x14ac:dyDescent="0.35">
      <c r="C13803" s="2"/>
    </row>
    <row r="13804" spans="3:3" x14ac:dyDescent="0.35">
      <c r="C13804" s="2"/>
    </row>
    <row r="13805" spans="3:3" x14ac:dyDescent="0.35">
      <c r="C13805" s="2"/>
    </row>
    <row r="13806" spans="3:3" x14ac:dyDescent="0.35">
      <c r="C13806" s="2"/>
    </row>
    <row r="13807" spans="3:3" x14ac:dyDescent="0.35">
      <c r="C13807" s="2"/>
    </row>
    <row r="13808" spans="3:3" x14ac:dyDescent="0.35">
      <c r="C13808" s="2"/>
    </row>
    <row r="13809" spans="3:3" x14ac:dyDescent="0.35">
      <c r="C13809" s="2"/>
    </row>
    <row r="13810" spans="3:3" x14ac:dyDescent="0.35">
      <c r="C13810" s="2"/>
    </row>
    <row r="13811" spans="3:3" x14ac:dyDescent="0.35">
      <c r="C13811" s="2"/>
    </row>
    <row r="13812" spans="3:3" x14ac:dyDescent="0.35">
      <c r="C13812" s="2"/>
    </row>
    <row r="13813" spans="3:3" x14ac:dyDescent="0.35">
      <c r="C13813" s="2"/>
    </row>
    <row r="13814" spans="3:3" x14ac:dyDescent="0.35">
      <c r="C13814" s="2"/>
    </row>
    <row r="13815" spans="3:3" x14ac:dyDescent="0.35">
      <c r="C13815" s="2"/>
    </row>
    <row r="13816" spans="3:3" x14ac:dyDescent="0.35">
      <c r="C13816" s="2"/>
    </row>
    <row r="13817" spans="3:3" x14ac:dyDescent="0.35">
      <c r="C13817" s="2"/>
    </row>
    <row r="13818" spans="3:3" x14ac:dyDescent="0.35">
      <c r="C13818" s="2"/>
    </row>
    <row r="13819" spans="3:3" x14ac:dyDescent="0.35">
      <c r="C13819" s="2"/>
    </row>
    <row r="13820" spans="3:3" x14ac:dyDescent="0.35">
      <c r="C13820" s="2"/>
    </row>
    <row r="13821" spans="3:3" x14ac:dyDescent="0.35">
      <c r="C13821" s="2"/>
    </row>
    <row r="13822" spans="3:3" x14ac:dyDescent="0.35">
      <c r="C13822" s="2"/>
    </row>
    <row r="13823" spans="3:3" x14ac:dyDescent="0.35">
      <c r="C13823" s="2"/>
    </row>
    <row r="13824" spans="3:3" x14ac:dyDescent="0.35">
      <c r="C13824" s="2"/>
    </row>
    <row r="13825" spans="3:3" x14ac:dyDescent="0.35">
      <c r="C13825" s="2"/>
    </row>
    <row r="13826" spans="3:3" x14ac:dyDescent="0.35">
      <c r="C13826" s="2"/>
    </row>
    <row r="13827" spans="3:3" x14ac:dyDescent="0.35">
      <c r="C13827" s="2"/>
    </row>
    <row r="13828" spans="3:3" x14ac:dyDescent="0.35">
      <c r="C13828" s="2"/>
    </row>
    <row r="13829" spans="3:3" x14ac:dyDescent="0.35">
      <c r="C13829" s="2"/>
    </row>
    <row r="13830" spans="3:3" x14ac:dyDescent="0.35">
      <c r="C13830" s="2"/>
    </row>
    <row r="13831" spans="3:3" x14ac:dyDescent="0.35">
      <c r="C13831" s="2"/>
    </row>
    <row r="13832" spans="3:3" x14ac:dyDescent="0.35">
      <c r="C13832" s="2"/>
    </row>
    <row r="13833" spans="3:3" x14ac:dyDescent="0.35">
      <c r="C13833" s="2"/>
    </row>
    <row r="13834" spans="3:3" x14ac:dyDescent="0.35">
      <c r="C13834" s="2"/>
    </row>
    <row r="13835" spans="3:3" x14ac:dyDescent="0.35">
      <c r="C13835" s="2"/>
    </row>
    <row r="13836" spans="3:3" x14ac:dyDescent="0.35">
      <c r="C13836" s="2"/>
    </row>
    <row r="13837" spans="3:3" x14ac:dyDescent="0.35">
      <c r="C13837" s="2"/>
    </row>
    <row r="13838" spans="3:3" x14ac:dyDescent="0.35">
      <c r="C13838" s="2"/>
    </row>
    <row r="13839" spans="3:3" x14ac:dyDescent="0.35">
      <c r="C13839" s="2"/>
    </row>
    <row r="13840" spans="3:3" x14ac:dyDescent="0.35">
      <c r="C13840" s="2"/>
    </row>
    <row r="13841" spans="3:3" x14ac:dyDescent="0.35">
      <c r="C13841" s="2"/>
    </row>
    <row r="13842" spans="3:3" x14ac:dyDescent="0.35">
      <c r="C13842" s="2"/>
    </row>
    <row r="13843" spans="3:3" x14ac:dyDescent="0.35">
      <c r="C13843" s="2"/>
    </row>
    <row r="13844" spans="3:3" x14ac:dyDescent="0.35">
      <c r="C13844" s="2"/>
    </row>
    <row r="13845" spans="3:3" x14ac:dyDescent="0.35">
      <c r="C13845" s="2"/>
    </row>
    <row r="13846" spans="3:3" x14ac:dyDescent="0.35">
      <c r="C13846" s="2"/>
    </row>
    <row r="13847" spans="3:3" x14ac:dyDescent="0.35">
      <c r="C13847" s="2"/>
    </row>
    <row r="13848" spans="3:3" x14ac:dyDescent="0.35">
      <c r="C13848" s="2"/>
    </row>
    <row r="13849" spans="3:3" x14ac:dyDescent="0.35">
      <c r="C13849" s="2"/>
    </row>
    <row r="13850" spans="3:3" x14ac:dyDescent="0.35">
      <c r="C13850" s="2"/>
    </row>
    <row r="13851" spans="3:3" x14ac:dyDescent="0.35">
      <c r="C13851" s="2"/>
    </row>
    <row r="13852" spans="3:3" x14ac:dyDescent="0.35">
      <c r="C13852" s="2"/>
    </row>
    <row r="13853" spans="3:3" x14ac:dyDescent="0.35">
      <c r="C13853" s="2"/>
    </row>
    <row r="13854" spans="3:3" x14ac:dyDescent="0.35">
      <c r="C13854" s="2"/>
    </row>
    <row r="13855" spans="3:3" x14ac:dyDescent="0.35">
      <c r="C13855" s="2"/>
    </row>
    <row r="13856" spans="3:3" x14ac:dyDescent="0.35">
      <c r="C13856" s="2"/>
    </row>
    <row r="13857" spans="3:3" x14ac:dyDescent="0.35">
      <c r="C13857" s="2"/>
    </row>
    <row r="13858" spans="3:3" x14ac:dyDescent="0.35">
      <c r="C13858" s="2"/>
    </row>
    <row r="13859" spans="3:3" x14ac:dyDescent="0.35">
      <c r="C13859" s="2"/>
    </row>
    <row r="13860" spans="3:3" x14ac:dyDescent="0.35">
      <c r="C13860" s="2"/>
    </row>
    <row r="13861" spans="3:3" x14ac:dyDescent="0.35">
      <c r="C13861" s="2"/>
    </row>
    <row r="13862" spans="3:3" x14ac:dyDescent="0.35">
      <c r="C13862" s="2"/>
    </row>
    <row r="13863" spans="3:3" x14ac:dyDescent="0.35">
      <c r="C13863" s="2"/>
    </row>
    <row r="13864" spans="3:3" x14ac:dyDescent="0.35">
      <c r="C13864" s="2"/>
    </row>
    <row r="13865" spans="3:3" x14ac:dyDescent="0.35">
      <c r="C13865" s="2"/>
    </row>
    <row r="13866" spans="3:3" x14ac:dyDescent="0.35">
      <c r="C13866" s="2"/>
    </row>
    <row r="13867" spans="3:3" x14ac:dyDescent="0.35">
      <c r="C13867" s="2"/>
    </row>
    <row r="13868" spans="3:3" x14ac:dyDescent="0.35">
      <c r="C13868" s="2"/>
    </row>
    <row r="13869" spans="3:3" x14ac:dyDescent="0.35">
      <c r="C13869" s="2"/>
    </row>
    <row r="13870" spans="3:3" x14ac:dyDescent="0.35">
      <c r="C13870" s="2"/>
    </row>
    <row r="13871" spans="3:3" x14ac:dyDescent="0.35">
      <c r="C13871" s="2"/>
    </row>
    <row r="13872" spans="3:3" x14ac:dyDescent="0.35">
      <c r="C13872" s="2"/>
    </row>
    <row r="13873" spans="3:3" x14ac:dyDescent="0.35">
      <c r="C13873" s="2"/>
    </row>
    <row r="13874" spans="3:3" x14ac:dyDescent="0.35">
      <c r="C13874" s="2"/>
    </row>
    <row r="13875" spans="3:3" x14ac:dyDescent="0.35">
      <c r="C13875" s="2"/>
    </row>
    <row r="13876" spans="3:3" x14ac:dyDescent="0.35">
      <c r="C13876" s="2"/>
    </row>
    <row r="13877" spans="3:3" x14ac:dyDescent="0.35">
      <c r="C13877" s="2"/>
    </row>
    <row r="13878" spans="3:3" x14ac:dyDescent="0.35">
      <c r="C13878" s="2"/>
    </row>
    <row r="13879" spans="3:3" x14ac:dyDescent="0.35">
      <c r="C13879" s="2"/>
    </row>
    <row r="13880" spans="3:3" x14ac:dyDescent="0.35">
      <c r="C13880" s="2"/>
    </row>
    <row r="13881" spans="3:3" x14ac:dyDescent="0.35">
      <c r="C13881" s="2"/>
    </row>
    <row r="13882" spans="3:3" x14ac:dyDescent="0.35">
      <c r="C13882" s="2"/>
    </row>
    <row r="13883" spans="3:3" x14ac:dyDescent="0.35">
      <c r="C13883" s="2"/>
    </row>
    <row r="13884" spans="3:3" x14ac:dyDescent="0.35">
      <c r="C13884" s="2"/>
    </row>
    <row r="13885" spans="3:3" x14ac:dyDescent="0.35">
      <c r="C13885" s="2"/>
    </row>
    <row r="13886" spans="3:3" x14ac:dyDescent="0.35">
      <c r="C13886" s="2"/>
    </row>
    <row r="13887" spans="3:3" x14ac:dyDescent="0.35">
      <c r="C13887" s="2"/>
    </row>
    <row r="13888" spans="3:3" x14ac:dyDescent="0.35">
      <c r="C13888" s="2"/>
    </row>
    <row r="13889" spans="3:3" x14ac:dyDescent="0.35">
      <c r="C13889" s="2"/>
    </row>
    <row r="13890" spans="3:3" x14ac:dyDescent="0.35">
      <c r="C13890" s="2"/>
    </row>
    <row r="13891" spans="3:3" x14ac:dyDescent="0.35">
      <c r="C13891" s="2"/>
    </row>
    <row r="13892" spans="3:3" x14ac:dyDescent="0.35">
      <c r="C13892" s="2"/>
    </row>
    <row r="13893" spans="3:3" x14ac:dyDescent="0.35">
      <c r="C13893" s="2"/>
    </row>
    <row r="13894" spans="3:3" x14ac:dyDescent="0.35">
      <c r="C13894" s="2"/>
    </row>
    <row r="13895" spans="3:3" x14ac:dyDescent="0.35">
      <c r="C13895" s="2"/>
    </row>
    <row r="13896" spans="3:3" x14ac:dyDescent="0.35">
      <c r="C13896" s="2"/>
    </row>
    <row r="13897" spans="3:3" x14ac:dyDescent="0.35">
      <c r="C13897" s="2"/>
    </row>
    <row r="13898" spans="3:3" x14ac:dyDescent="0.35">
      <c r="C13898" s="2"/>
    </row>
    <row r="13899" spans="3:3" x14ac:dyDescent="0.35">
      <c r="C13899" s="2"/>
    </row>
    <row r="13900" spans="3:3" x14ac:dyDescent="0.35">
      <c r="C13900" s="2"/>
    </row>
    <row r="13901" spans="3:3" x14ac:dyDescent="0.35">
      <c r="C13901" s="2"/>
    </row>
    <row r="13902" spans="3:3" x14ac:dyDescent="0.35">
      <c r="C13902" s="2"/>
    </row>
    <row r="13903" spans="3:3" x14ac:dyDescent="0.35">
      <c r="C13903" s="2"/>
    </row>
    <row r="13904" spans="3:3" x14ac:dyDescent="0.35">
      <c r="C13904" s="2"/>
    </row>
    <row r="13905" spans="3:3" x14ac:dyDescent="0.35">
      <c r="C13905" s="2"/>
    </row>
    <row r="13906" spans="3:3" x14ac:dyDescent="0.35">
      <c r="C13906" s="2"/>
    </row>
    <row r="13907" spans="3:3" x14ac:dyDescent="0.35">
      <c r="C13907" s="2"/>
    </row>
    <row r="13908" spans="3:3" x14ac:dyDescent="0.35">
      <c r="C13908" s="2"/>
    </row>
    <row r="13909" spans="3:3" x14ac:dyDescent="0.35">
      <c r="C13909" s="2"/>
    </row>
    <row r="13910" spans="3:3" x14ac:dyDescent="0.35">
      <c r="C13910" s="2"/>
    </row>
    <row r="13911" spans="3:3" x14ac:dyDescent="0.35">
      <c r="C13911" s="2"/>
    </row>
    <row r="13912" spans="3:3" x14ac:dyDescent="0.35">
      <c r="C13912" s="2"/>
    </row>
    <row r="13913" spans="3:3" x14ac:dyDescent="0.35">
      <c r="C13913" s="2"/>
    </row>
    <row r="13914" spans="3:3" x14ac:dyDescent="0.35">
      <c r="C13914" s="2"/>
    </row>
    <row r="13915" spans="3:3" x14ac:dyDescent="0.35">
      <c r="C13915" s="2"/>
    </row>
    <row r="13916" spans="3:3" x14ac:dyDescent="0.35">
      <c r="C13916" s="2"/>
    </row>
    <row r="13917" spans="3:3" x14ac:dyDescent="0.35">
      <c r="C13917" s="2"/>
    </row>
    <row r="13918" spans="3:3" x14ac:dyDescent="0.35">
      <c r="C13918" s="2"/>
    </row>
    <row r="13919" spans="3:3" x14ac:dyDescent="0.35">
      <c r="C13919" s="2"/>
    </row>
    <row r="13920" spans="3:3" x14ac:dyDescent="0.35">
      <c r="C13920" s="2"/>
    </row>
    <row r="13921" spans="3:3" x14ac:dyDescent="0.35">
      <c r="C13921" s="2"/>
    </row>
    <row r="13922" spans="3:3" x14ac:dyDescent="0.35">
      <c r="C13922" s="2"/>
    </row>
    <row r="13923" spans="3:3" x14ac:dyDescent="0.35">
      <c r="C13923" s="2"/>
    </row>
    <row r="13924" spans="3:3" x14ac:dyDescent="0.35">
      <c r="C13924" s="2"/>
    </row>
    <row r="13925" spans="3:3" x14ac:dyDescent="0.35">
      <c r="C13925" s="2"/>
    </row>
    <row r="13926" spans="3:3" x14ac:dyDescent="0.35">
      <c r="C13926" s="2"/>
    </row>
    <row r="13927" spans="3:3" x14ac:dyDescent="0.35">
      <c r="C13927" s="2"/>
    </row>
    <row r="13928" spans="3:3" x14ac:dyDescent="0.35">
      <c r="C13928" s="2"/>
    </row>
    <row r="13929" spans="3:3" x14ac:dyDescent="0.35">
      <c r="C13929" s="2"/>
    </row>
    <row r="13930" spans="3:3" x14ac:dyDescent="0.35">
      <c r="C13930" s="2"/>
    </row>
    <row r="13931" spans="3:3" x14ac:dyDescent="0.35">
      <c r="C13931" s="2"/>
    </row>
    <row r="13932" spans="3:3" x14ac:dyDescent="0.35">
      <c r="C13932" s="2"/>
    </row>
    <row r="13933" spans="3:3" x14ac:dyDescent="0.35">
      <c r="C13933" s="2"/>
    </row>
    <row r="13934" spans="3:3" x14ac:dyDescent="0.35">
      <c r="C13934" s="2"/>
    </row>
    <row r="13935" spans="3:3" x14ac:dyDescent="0.35">
      <c r="C13935" s="2"/>
    </row>
    <row r="13936" spans="3:3" x14ac:dyDescent="0.35">
      <c r="C13936" s="2"/>
    </row>
    <row r="13937" spans="3:3" x14ac:dyDescent="0.35">
      <c r="C13937" s="2"/>
    </row>
    <row r="13938" spans="3:3" x14ac:dyDescent="0.35">
      <c r="C13938" s="2"/>
    </row>
    <row r="13939" spans="3:3" x14ac:dyDescent="0.35">
      <c r="C13939" s="2"/>
    </row>
    <row r="13940" spans="3:3" x14ac:dyDescent="0.35">
      <c r="C13940" s="2"/>
    </row>
    <row r="13941" spans="3:3" x14ac:dyDescent="0.35">
      <c r="C13941" s="2"/>
    </row>
    <row r="13942" spans="3:3" x14ac:dyDescent="0.35">
      <c r="C13942" s="2"/>
    </row>
    <row r="13943" spans="3:3" x14ac:dyDescent="0.35">
      <c r="C13943" s="2"/>
    </row>
    <row r="13944" spans="3:3" x14ac:dyDescent="0.35">
      <c r="C13944" s="2"/>
    </row>
    <row r="13945" spans="3:3" x14ac:dyDescent="0.35">
      <c r="C13945" s="2"/>
    </row>
    <row r="13946" spans="3:3" x14ac:dyDescent="0.35">
      <c r="C13946" s="2"/>
    </row>
    <row r="13947" spans="3:3" x14ac:dyDescent="0.35">
      <c r="C13947" s="2"/>
    </row>
    <row r="13948" spans="3:3" x14ac:dyDescent="0.35">
      <c r="C13948" s="2"/>
    </row>
    <row r="13949" spans="3:3" x14ac:dyDescent="0.35">
      <c r="C13949" s="2"/>
    </row>
    <row r="13950" spans="3:3" x14ac:dyDescent="0.35">
      <c r="C13950" s="2"/>
    </row>
    <row r="13951" spans="3:3" x14ac:dyDescent="0.35">
      <c r="C13951" s="2"/>
    </row>
    <row r="13952" spans="3:3" x14ac:dyDescent="0.35">
      <c r="C13952" s="2"/>
    </row>
    <row r="13953" spans="3:3" x14ac:dyDescent="0.35">
      <c r="C13953" s="2"/>
    </row>
    <row r="13954" spans="3:3" x14ac:dyDescent="0.35">
      <c r="C13954" s="2"/>
    </row>
    <row r="13955" spans="3:3" x14ac:dyDescent="0.35">
      <c r="C13955" s="2"/>
    </row>
    <row r="13956" spans="3:3" x14ac:dyDescent="0.35">
      <c r="C13956" s="2"/>
    </row>
    <row r="13957" spans="3:3" x14ac:dyDescent="0.35">
      <c r="C13957" s="2"/>
    </row>
    <row r="13958" spans="3:3" x14ac:dyDescent="0.35">
      <c r="C13958" s="2"/>
    </row>
    <row r="13959" spans="3:3" x14ac:dyDescent="0.35">
      <c r="C13959" s="2"/>
    </row>
    <row r="13960" spans="3:3" x14ac:dyDescent="0.35">
      <c r="C13960" s="2"/>
    </row>
    <row r="13961" spans="3:3" x14ac:dyDescent="0.35">
      <c r="C13961" s="2"/>
    </row>
    <row r="13962" spans="3:3" x14ac:dyDescent="0.35">
      <c r="C13962" s="2"/>
    </row>
    <row r="13963" spans="3:3" x14ac:dyDescent="0.35">
      <c r="C13963" s="2"/>
    </row>
    <row r="13964" spans="3:3" x14ac:dyDescent="0.35">
      <c r="C13964" s="2"/>
    </row>
    <row r="13965" spans="3:3" x14ac:dyDescent="0.35">
      <c r="C13965" s="2"/>
    </row>
    <row r="13966" spans="3:3" x14ac:dyDescent="0.35">
      <c r="C13966" s="2"/>
    </row>
    <row r="13967" spans="3:3" x14ac:dyDescent="0.35">
      <c r="C13967" s="2"/>
    </row>
    <row r="13968" spans="3:3" x14ac:dyDescent="0.35">
      <c r="C13968" s="2"/>
    </row>
    <row r="13969" spans="3:3" x14ac:dyDescent="0.35">
      <c r="C13969" s="2"/>
    </row>
    <row r="13970" spans="3:3" x14ac:dyDescent="0.35">
      <c r="C13970" s="2"/>
    </row>
    <row r="13971" spans="3:3" x14ac:dyDescent="0.35">
      <c r="C13971" s="2"/>
    </row>
    <row r="13972" spans="3:3" x14ac:dyDescent="0.35">
      <c r="C13972" s="2"/>
    </row>
    <row r="13973" spans="3:3" x14ac:dyDescent="0.35">
      <c r="C13973" s="2"/>
    </row>
    <row r="13974" spans="3:3" x14ac:dyDescent="0.35">
      <c r="C13974" s="2"/>
    </row>
    <row r="13975" spans="3:3" x14ac:dyDescent="0.35">
      <c r="C13975" s="2"/>
    </row>
    <row r="13976" spans="3:3" x14ac:dyDescent="0.35">
      <c r="C13976" s="2"/>
    </row>
    <row r="13977" spans="3:3" x14ac:dyDescent="0.35">
      <c r="C13977" s="2"/>
    </row>
    <row r="13978" spans="3:3" x14ac:dyDescent="0.35">
      <c r="C13978" s="2"/>
    </row>
    <row r="13979" spans="3:3" x14ac:dyDescent="0.35">
      <c r="C13979" s="2"/>
    </row>
    <row r="13980" spans="3:3" x14ac:dyDescent="0.35">
      <c r="C13980" s="2"/>
    </row>
    <row r="13981" spans="3:3" x14ac:dyDescent="0.35">
      <c r="C13981" s="2"/>
    </row>
    <row r="13982" spans="3:3" x14ac:dyDescent="0.35">
      <c r="C13982" s="2"/>
    </row>
    <row r="13983" spans="3:3" x14ac:dyDescent="0.35">
      <c r="C13983" s="2"/>
    </row>
    <row r="13984" spans="3:3" x14ac:dyDescent="0.35">
      <c r="C13984" s="2"/>
    </row>
    <row r="13985" spans="3:3" x14ac:dyDescent="0.35">
      <c r="C13985" s="2"/>
    </row>
    <row r="13986" spans="3:3" x14ac:dyDescent="0.35">
      <c r="C13986" s="2"/>
    </row>
    <row r="13987" spans="3:3" x14ac:dyDescent="0.35">
      <c r="C13987" s="2"/>
    </row>
    <row r="13988" spans="3:3" x14ac:dyDescent="0.35">
      <c r="C13988" s="2"/>
    </row>
    <row r="13989" spans="3:3" x14ac:dyDescent="0.35">
      <c r="C13989" s="2"/>
    </row>
    <row r="13990" spans="3:3" x14ac:dyDescent="0.35">
      <c r="C13990" s="2"/>
    </row>
    <row r="13991" spans="3:3" x14ac:dyDescent="0.35">
      <c r="C13991" s="2"/>
    </row>
    <row r="13992" spans="3:3" x14ac:dyDescent="0.35">
      <c r="C13992" s="2"/>
    </row>
    <row r="13993" spans="3:3" x14ac:dyDescent="0.35">
      <c r="C13993" s="2"/>
    </row>
    <row r="13994" spans="3:3" x14ac:dyDescent="0.35">
      <c r="C13994" s="2"/>
    </row>
    <row r="13995" spans="3:3" x14ac:dyDescent="0.35">
      <c r="C13995" s="2"/>
    </row>
    <row r="13996" spans="3:3" x14ac:dyDescent="0.35">
      <c r="C13996" s="2"/>
    </row>
    <row r="13997" spans="3:3" x14ac:dyDescent="0.35">
      <c r="C13997" s="2"/>
    </row>
    <row r="13998" spans="3:3" x14ac:dyDescent="0.35">
      <c r="C13998" s="2"/>
    </row>
    <row r="13999" spans="3:3" x14ac:dyDescent="0.35">
      <c r="C13999" s="2"/>
    </row>
    <row r="14000" spans="3:3" x14ac:dyDescent="0.35">
      <c r="C14000" s="2"/>
    </row>
    <row r="14001" spans="3:3" x14ac:dyDescent="0.35">
      <c r="C14001" s="2"/>
    </row>
    <row r="14002" spans="3:3" x14ac:dyDescent="0.35">
      <c r="C14002" s="2"/>
    </row>
    <row r="14003" spans="3:3" x14ac:dyDescent="0.35">
      <c r="C14003" s="2"/>
    </row>
    <row r="14004" spans="3:3" x14ac:dyDescent="0.35">
      <c r="C14004" s="2"/>
    </row>
    <row r="14005" spans="3:3" x14ac:dyDescent="0.35">
      <c r="C14005" s="2"/>
    </row>
    <row r="14006" spans="3:3" x14ac:dyDescent="0.35">
      <c r="C14006" s="2"/>
    </row>
    <row r="14007" spans="3:3" x14ac:dyDescent="0.35">
      <c r="C14007" s="2"/>
    </row>
    <row r="14008" spans="3:3" x14ac:dyDescent="0.35">
      <c r="C14008" s="2"/>
    </row>
    <row r="14009" spans="3:3" x14ac:dyDescent="0.35">
      <c r="C14009" s="2"/>
    </row>
    <row r="14010" spans="3:3" x14ac:dyDescent="0.35">
      <c r="C14010" s="2"/>
    </row>
    <row r="14011" spans="3:3" x14ac:dyDescent="0.35">
      <c r="C14011" s="2"/>
    </row>
    <row r="14012" spans="3:3" x14ac:dyDescent="0.35">
      <c r="C14012" s="2"/>
    </row>
    <row r="14013" spans="3:3" x14ac:dyDescent="0.35">
      <c r="C14013" s="2"/>
    </row>
    <row r="14014" spans="3:3" x14ac:dyDescent="0.35">
      <c r="C14014" s="2"/>
    </row>
    <row r="14015" spans="3:3" x14ac:dyDescent="0.35">
      <c r="C14015" s="2"/>
    </row>
    <row r="14016" spans="3:3" x14ac:dyDescent="0.35">
      <c r="C14016" s="2"/>
    </row>
    <row r="14017" spans="3:3" x14ac:dyDescent="0.35">
      <c r="C14017" s="2"/>
    </row>
    <row r="14018" spans="3:3" x14ac:dyDescent="0.35">
      <c r="C14018" s="2"/>
    </row>
    <row r="14019" spans="3:3" x14ac:dyDescent="0.35">
      <c r="C14019" s="2"/>
    </row>
    <row r="14020" spans="3:3" x14ac:dyDescent="0.35">
      <c r="C14020" s="2"/>
    </row>
    <row r="14021" spans="3:3" x14ac:dyDescent="0.35">
      <c r="C14021" s="2"/>
    </row>
    <row r="14022" spans="3:3" x14ac:dyDescent="0.35">
      <c r="C14022" s="2"/>
    </row>
    <row r="14023" spans="3:3" x14ac:dyDescent="0.35">
      <c r="C14023" s="2"/>
    </row>
    <row r="14024" spans="3:3" x14ac:dyDescent="0.35">
      <c r="C14024" s="2"/>
    </row>
    <row r="14025" spans="3:3" x14ac:dyDescent="0.35">
      <c r="C14025" s="2"/>
    </row>
    <row r="14026" spans="3:3" x14ac:dyDescent="0.35">
      <c r="C14026" s="2"/>
    </row>
    <row r="14027" spans="3:3" x14ac:dyDescent="0.35">
      <c r="C14027" s="2"/>
    </row>
    <row r="14028" spans="3:3" x14ac:dyDescent="0.35">
      <c r="C14028" s="2"/>
    </row>
    <row r="14029" spans="3:3" x14ac:dyDescent="0.35">
      <c r="C14029" s="2"/>
    </row>
    <row r="14030" spans="3:3" x14ac:dyDescent="0.35">
      <c r="C14030" s="2"/>
    </row>
    <row r="14031" spans="3:3" x14ac:dyDescent="0.35">
      <c r="C14031" s="2"/>
    </row>
    <row r="14032" spans="3:3" x14ac:dyDescent="0.35">
      <c r="C14032" s="2"/>
    </row>
    <row r="14033" spans="3:3" x14ac:dyDescent="0.35">
      <c r="C14033" s="2"/>
    </row>
    <row r="14034" spans="3:3" x14ac:dyDescent="0.35">
      <c r="C14034" s="2"/>
    </row>
    <row r="14035" spans="3:3" x14ac:dyDescent="0.35">
      <c r="C14035" s="2"/>
    </row>
    <row r="14036" spans="3:3" x14ac:dyDescent="0.35">
      <c r="C14036" s="2"/>
    </row>
    <row r="14037" spans="3:3" x14ac:dyDescent="0.35">
      <c r="C14037" s="2"/>
    </row>
    <row r="14038" spans="3:3" x14ac:dyDescent="0.35">
      <c r="C14038" s="2"/>
    </row>
    <row r="14039" spans="3:3" x14ac:dyDescent="0.35">
      <c r="C14039" s="2"/>
    </row>
    <row r="14040" spans="3:3" x14ac:dyDescent="0.35">
      <c r="C14040" s="2"/>
    </row>
    <row r="14041" spans="3:3" x14ac:dyDescent="0.35">
      <c r="C14041" s="2"/>
    </row>
    <row r="14042" spans="3:3" x14ac:dyDescent="0.35">
      <c r="C14042" s="2"/>
    </row>
    <row r="14043" spans="3:3" x14ac:dyDescent="0.35">
      <c r="C14043" s="2"/>
    </row>
    <row r="14044" spans="3:3" x14ac:dyDescent="0.35">
      <c r="C14044" s="2"/>
    </row>
    <row r="14045" spans="3:3" x14ac:dyDescent="0.35">
      <c r="C14045" s="2"/>
    </row>
    <row r="14046" spans="3:3" x14ac:dyDescent="0.35">
      <c r="C14046" s="2"/>
    </row>
    <row r="14047" spans="3:3" x14ac:dyDescent="0.35">
      <c r="C14047" s="2"/>
    </row>
    <row r="14048" spans="3:3" x14ac:dyDescent="0.35">
      <c r="C14048" s="2"/>
    </row>
    <row r="14049" spans="3:3" x14ac:dyDescent="0.35">
      <c r="C14049" s="2"/>
    </row>
    <row r="14050" spans="3:3" x14ac:dyDescent="0.35">
      <c r="C14050" s="2"/>
    </row>
    <row r="14051" spans="3:3" x14ac:dyDescent="0.35">
      <c r="C14051" s="2"/>
    </row>
    <row r="14052" spans="3:3" x14ac:dyDescent="0.35">
      <c r="C14052" s="2"/>
    </row>
    <row r="14053" spans="3:3" x14ac:dyDescent="0.35">
      <c r="C14053" s="2"/>
    </row>
    <row r="14054" spans="3:3" x14ac:dyDescent="0.35">
      <c r="C14054" s="2"/>
    </row>
    <row r="14055" spans="3:3" x14ac:dyDescent="0.35">
      <c r="C14055" s="2"/>
    </row>
    <row r="14056" spans="3:3" x14ac:dyDescent="0.35">
      <c r="C14056" s="2"/>
    </row>
    <row r="14057" spans="3:3" x14ac:dyDescent="0.35">
      <c r="C14057" s="2"/>
    </row>
    <row r="14058" spans="3:3" x14ac:dyDescent="0.35">
      <c r="C14058" s="2"/>
    </row>
    <row r="14059" spans="3:3" x14ac:dyDescent="0.35">
      <c r="C14059" s="2"/>
    </row>
    <row r="14060" spans="3:3" x14ac:dyDescent="0.35">
      <c r="C14060" s="2"/>
    </row>
    <row r="14061" spans="3:3" x14ac:dyDescent="0.35">
      <c r="C14061" s="2"/>
    </row>
    <row r="14062" spans="3:3" x14ac:dyDescent="0.35">
      <c r="C14062" s="2"/>
    </row>
    <row r="14063" spans="3:3" x14ac:dyDescent="0.35">
      <c r="C14063" s="2"/>
    </row>
    <row r="14064" spans="3:3" x14ac:dyDescent="0.35">
      <c r="C14064" s="2"/>
    </row>
    <row r="14065" spans="3:3" x14ac:dyDescent="0.35">
      <c r="C14065" s="2"/>
    </row>
    <row r="14066" spans="3:3" x14ac:dyDescent="0.35">
      <c r="C14066" s="2"/>
    </row>
    <row r="14067" spans="3:3" x14ac:dyDescent="0.35">
      <c r="C14067" s="2"/>
    </row>
    <row r="14068" spans="3:3" x14ac:dyDescent="0.35">
      <c r="C14068" s="2"/>
    </row>
    <row r="14069" spans="3:3" x14ac:dyDescent="0.35">
      <c r="C14069" s="2"/>
    </row>
    <row r="14070" spans="3:3" x14ac:dyDescent="0.35">
      <c r="C14070" s="2"/>
    </row>
    <row r="14071" spans="3:3" x14ac:dyDescent="0.35">
      <c r="C14071" s="2"/>
    </row>
    <row r="14072" spans="3:3" x14ac:dyDescent="0.35">
      <c r="C14072" s="2"/>
    </row>
    <row r="14073" spans="3:3" x14ac:dyDescent="0.35">
      <c r="C14073" s="2"/>
    </row>
    <row r="14074" spans="3:3" x14ac:dyDescent="0.35">
      <c r="C14074" s="2"/>
    </row>
    <row r="14075" spans="3:3" x14ac:dyDescent="0.35">
      <c r="C14075" s="2"/>
    </row>
    <row r="14076" spans="3:3" x14ac:dyDescent="0.35">
      <c r="C14076" s="2"/>
    </row>
    <row r="14077" spans="3:3" x14ac:dyDescent="0.35">
      <c r="C14077" s="2"/>
    </row>
    <row r="14078" spans="3:3" x14ac:dyDescent="0.35">
      <c r="C14078" s="2"/>
    </row>
    <row r="14079" spans="3:3" x14ac:dyDescent="0.35">
      <c r="C14079" s="2"/>
    </row>
    <row r="14080" spans="3:3" x14ac:dyDescent="0.35">
      <c r="C14080" s="2"/>
    </row>
    <row r="14081" spans="3:3" x14ac:dyDescent="0.35">
      <c r="C14081" s="2"/>
    </row>
    <row r="14082" spans="3:3" x14ac:dyDescent="0.35">
      <c r="C14082" s="2"/>
    </row>
    <row r="14083" spans="3:3" x14ac:dyDescent="0.35">
      <c r="C14083" s="2"/>
    </row>
    <row r="14084" spans="3:3" x14ac:dyDescent="0.35">
      <c r="C14084" s="2"/>
    </row>
    <row r="14085" spans="3:3" x14ac:dyDescent="0.35">
      <c r="C14085" s="2"/>
    </row>
    <row r="14086" spans="3:3" x14ac:dyDescent="0.35">
      <c r="C14086" s="2"/>
    </row>
    <row r="14087" spans="3:3" x14ac:dyDescent="0.35">
      <c r="C14087" s="2"/>
    </row>
    <row r="14088" spans="3:3" x14ac:dyDescent="0.35">
      <c r="C14088" s="2"/>
    </row>
    <row r="14089" spans="3:3" x14ac:dyDescent="0.35">
      <c r="C14089" s="2"/>
    </row>
    <row r="14090" spans="3:3" x14ac:dyDescent="0.35">
      <c r="C14090" s="2"/>
    </row>
    <row r="14091" spans="3:3" x14ac:dyDescent="0.35">
      <c r="C14091" s="2"/>
    </row>
    <row r="14092" spans="3:3" x14ac:dyDescent="0.35">
      <c r="C14092" s="2"/>
    </row>
    <row r="14093" spans="3:3" x14ac:dyDescent="0.35">
      <c r="C14093" s="2"/>
    </row>
    <row r="14094" spans="3:3" x14ac:dyDescent="0.35">
      <c r="C14094" s="2"/>
    </row>
    <row r="14095" spans="3:3" x14ac:dyDescent="0.35">
      <c r="C14095" s="2"/>
    </row>
    <row r="14096" spans="3:3" x14ac:dyDescent="0.35">
      <c r="C14096" s="2"/>
    </row>
    <row r="14097" spans="3:3" x14ac:dyDescent="0.35">
      <c r="C14097" s="2"/>
    </row>
    <row r="14098" spans="3:3" x14ac:dyDescent="0.35">
      <c r="C14098" s="2"/>
    </row>
    <row r="14099" spans="3:3" x14ac:dyDescent="0.35">
      <c r="C14099" s="2"/>
    </row>
    <row r="14100" spans="3:3" x14ac:dyDescent="0.35">
      <c r="C14100" s="2"/>
    </row>
    <row r="14101" spans="3:3" x14ac:dyDescent="0.35">
      <c r="C14101" s="2"/>
    </row>
    <row r="14102" spans="3:3" x14ac:dyDescent="0.35">
      <c r="C14102" s="2"/>
    </row>
    <row r="14103" spans="3:3" x14ac:dyDescent="0.35">
      <c r="C14103" s="2"/>
    </row>
    <row r="14104" spans="3:3" x14ac:dyDescent="0.35">
      <c r="C14104" s="2"/>
    </row>
    <row r="14105" spans="3:3" x14ac:dyDescent="0.35">
      <c r="C14105" s="2"/>
    </row>
    <row r="14106" spans="3:3" x14ac:dyDescent="0.35">
      <c r="C14106" s="2"/>
    </row>
    <row r="14107" spans="3:3" x14ac:dyDescent="0.35">
      <c r="C14107" s="2"/>
    </row>
    <row r="14108" spans="3:3" x14ac:dyDescent="0.35">
      <c r="C14108" s="2"/>
    </row>
    <row r="14109" spans="3:3" x14ac:dyDescent="0.35">
      <c r="C14109" s="2"/>
    </row>
    <row r="14110" spans="3:3" x14ac:dyDescent="0.35">
      <c r="C14110" s="2"/>
    </row>
    <row r="14111" spans="3:3" x14ac:dyDescent="0.35">
      <c r="C14111" s="2"/>
    </row>
    <row r="14112" spans="3:3" x14ac:dyDescent="0.35">
      <c r="C14112" s="2"/>
    </row>
    <row r="14113" spans="3:3" x14ac:dyDescent="0.35">
      <c r="C14113" s="2"/>
    </row>
    <row r="14114" spans="3:3" x14ac:dyDescent="0.35">
      <c r="C14114" s="2"/>
    </row>
    <row r="14115" spans="3:3" x14ac:dyDescent="0.35">
      <c r="C14115" s="2"/>
    </row>
    <row r="14116" spans="3:3" x14ac:dyDescent="0.35">
      <c r="C14116" s="2"/>
    </row>
    <row r="14117" spans="3:3" x14ac:dyDescent="0.35">
      <c r="C14117" s="2"/>
    </row>
    <row r="14118" spans="3:3" x14ac:dyDescent="0.35">
      <c r="C14118" s="2"/>
    </row>
    <row r="14119" spans="3:3" x14ac:dyDescent="0.35">
      <c r="C14119" s="2"/>
    </row>
    <row r="14120" spans="3:3" x14ac:dyDescent="0.35">
      <c r="C14120" s="2"/>
    </row>
    <row r="14121" spans="3:3" x14ac:dyDescent="0.35">
      <c r="C14121" s="2"/>
    </row>
    <row r="14122" spans="3:3" x14ac:dyDescent="0.35">
      <c r="C14122" s="2"/>
    </row>
    <row r="14123" spans="3:3" x14ac:dyDescent="0.35">
      <c r="C14123" s="2"/>
    </row>
    <row r="14124" spans="3:3" x14ac:dyDescent="0.35">
      <c r="C14124" s="2"/>
    </row>
    <row r="14125" spans="3:3" x14ac:dyDescent="0.35">
      <c r="C14125" s="2"/>
    </row>
    <row r="14126" spans="3:3" x14ac:dyDescent="0.35">
      <c r="C14126" s="2"/>
    </row>
    <row r="14127" spans="3:3" x14ac:dyDescent="0.35">
      <c r="C14127" s="2"/>
    </row>
    <row r="14128" spans="3:3" x14ac:dyDescent="0.35">
      <c r="C14128" s="2"/>
    </row>
    <row r="14129" spans="3:3" x14ac:dyDescent="0.35">
      <c r="C14129" s="2"/>
    </row>
    <row r="14130" spans="3:3" x14ac:dyDescent="0.35">
      <c r="C14130" s="2"/>
    </row>
    <row r="14131" spans="3:3" x14ac:dyDescent="0.35">
      <c r="C14131" s="2"/>
    </row>
    <row r="14132" spans="3:3" x14ac:dyDescent="0.35">
      <c r="C14132" s="2"/>
    </row>
    <row r="14133" spans="3:3" x14ac:dyDescent="0.35">
      <c r="C14133" s="2"/>
    </row>
    <row r="14134" spans="3:3" x14ac:dyDescent="0.35">
      <c r="C14134" s="2"/>
    </row>
    <row r="14135" spans="3:3" x14ac:dyDescent="0.35">
      <c r="C14135" s="2"/>
    </row>
    <row r="14136" spans="3:3" x14ac:dyDescent="0.35">
      <c r="C14136" s="2"/>
    </row>
    <row r="14137" spans="3:3" x14ac:dyDescent="0.35">
      <c r="C14137" s="2"/>
    </row>
    <row r="14138" spans="3:3" x14ac:dyDescent="0.35">
      <c r="C14138" s="2"/>
    </row>
    <row r="14139" spans="3:3" x14ac:dyDescent="0.35">
      <c r="C14139" s="2"/>
    </row>
    <row r="14140" spans="3:3" x14ac:dyDescent="0.35">
      <c r="C14140" s="2"/>
    </row>
    <row r="14141" spans="3:3" x14ac:dyDescent="0.35">
      <c r="C14141" s="2"/>
    </row>
    <row r="14142" spans="3:3" x14ac:dyDescent="0.35">
      <c r="C14142" s="2"/>
    </row>
    <row r="14143" spans="3:3" x14ac:dyDescent="0.35">
      <c r="C14143" s="2"/>
    </row>
    <row r="14144" spans="3:3" x14ac:dyDescent="0.35">
      <c r="C14144" s="2"/>
    </row>
    <row r="14145" spans="3:3" x14ac:dyDescent="0.35">
      <c r="C14145" s="2"/>
    </row>
    <row r="14146" spans="3:3" x14ac:dyDescent="0.35">
      <c r="C14146" s="2"/>
    </row>
    <row r="14147" spans="3:3" x14ac:dyDescent="0.35">
      <c r="C14147" s="2"/>
    </row>
    <row r="14148" spans="3:3" x14ac:dyDescent="0.35">
      <c r="C14148" s="2"/>
    </row>
    <row r="14149" spans="3:3" x14ac:dyDescent="0.35">
      <c r="C14149" s="2"/>
    </row>
    <row r="14150" spans="3:3" x14ac:dyDescent="0.35">
      <c r="C14150" s="2"/>
    </row>
    <row r="14151" spans="3:3" x14ac:dyDescent="0.35">
      <c r="C14151" s="2"/>
    </row>
    <row r="14152" spans="3:3" x14ac:dyDescent="0.35">
      <c r="C14152" s="2"/>
    </row>
    <row r="14153" spans="3:3" x14ac:dyDescent="0.35">
      <c r="C14153" s="2"/>
    </row>
    <row r="14154" spans="3:3" x14ac:dyDescent="0.35">
      <c r="C14154" s="2"/>
    </row>
    <row r="14155" spans="3:3" x14ac:dyDescent="0.35">
      <c r="C14155" s="2"/>
    </row>
    <row r="14156" spans="3:3" x14ac:dyDescent="0.35">
      <c r="C14156" s="2"/>
    </row>
    <row r="14157" spans="3:3" x14ac:dyDescent="0.35">
      <c r="C14157" s="2"/>
    </row>
    <row r="14158" spans="3:3" x14ac:dyDescent="0.35">
      <c r="C14158" s="2"/>
    </row>
    <row r="14159" spans="3:3" x14ac:dyDescent="0.35">
      <c r="C14159" s="2"/>
    </row>
    <row r="14160" spans="3:3" x14ac:dyDescent="0.35">
      <c r="C14160" s="2"/>
    </row>
    <row r="14161" spans="3:3" x14ac:dyDescent="0.35">
      <c r="C14161" s="2"/>
    </row>
    <row r="14162" spans="3:3" x14ac:dyDescent="0.35">
      <c r="C14162" s="2"/>
    </row>
    <row r="14163" spans="3:3" x14ac:dyDescent="0.35">
      <c r="C14163" s="2"/>
    </row>
    <row r="14164" spans="3:3" x14ac:dyDescent="0.35">
      <c r="C14164" s="2"/>
    </row>
    <row r="14165" spans="3:3" x14ac:dyDescent="0.35">
      <c r="C14165" s="2"/>
    </row>
    <row r="14166" spans="3:3" x14ac:dyDescent="0.35">
      <c r="C14166" s="2"/>
    </row>
    <row r="14167" spans="3:3" x14ac:dyDescent="0.35">
      <c r="C14167" s="2"/>
    </row>
    <row r="14168" spans="3:3" x14ac:dyDescent="0.35">
      <c r="C14168" s="2"/>
    </row>
    <row r="14169" spans="3:3" x14ac:dyDescent="0.35">
      <c r="C14169" s="2"/>
    </row>
    <row r="14170" spans="3:3" x14ac:dyDescent="0.35">
      <c r="C14170" s="2"/>
    </row>
    <row r="14171" spans="3:3" x14ac:dyDescent="0.35">
      <c r="C14171" s="2"/>
    </row>
    <row r="14172" spans="3:3" x14ac:dyDescent="0.35">
      <c r="C14172" s="2"/>
    </row>
    <row r="14173" spans="3:3" x14ac:dyDescent="0.35">
      <c r="C14173" s="2"/>
    </row>
    <row r="14174" spans="3:3" x14ac:dyDescent="0.35">
      <c r="C14174" s="2"/>
    </row>
    <row r="14175" spans="3:3" x14ac:dyDescent="0.35">
      <c r="C14175" s="2"/>
    </row>
    <row r="14176" spans="3:3" x14ac:dyDescent="0.35">
      <c r="C14176" s="2"/>
    </row>
    <row r="14177" spans="3:3" x14ac:dyDescent="0.35">
      <c r="C14177" s="2"/>
    </row>
    <row r="14178" spans="3:3" x14ac:dyDescent="0.35">
      <c r="C14178" s="2"/>
    </row>
    <row r="14179" spans="3:3" x14ac:dyDescent="0.35">
      <c r="C14179" s="2"/>
    </row>
    <row r="14180" spans="3:3" x14ac:dyDescent="0.35">
      <c r="C14180" s="2"/>
    </row>
    <row r="14181" spans="3:3" x14ac:dyDescent="0.35">
      <c r="C14181" s="2"/>
    </row>
    <row r="14182" spans="3:3" x14ac:dyDescent="0.35">
      <c r="C14182" s="2"/>
    </row>
    <row r="14183" spans="3:3" x14ac:dyDescent="0.35">
      <c r="C14183" s="2"/>
    </row>
    <row r="14184" spans="3:3" x14ac:dyDescent="0.35">
      <c r="C14184" s="2"/>
    </row>
    <row r="14185" spans="3:3" x14ac:dyDescent="0.35">
      <c r="C14185" s="2"/>
    </row>
    <row r="14186" spans="3:3" x14ac:dyDescent="0.35">
      <c r="C14186" s="2"/>
    </row>
    <row r="14187" spans="3:3" x14ac:dyDescent="0.35">
      <c r="C14187" s="2"/>
    </row>
    <row r="14188" spans="3:3" x14ac:dyDescent="0.35">
      <c r="C14188" s="2"/>
    </row>
    <row r="14189" spans="3:3" x14ac:dyDescent="0.35">
      <c r="C14189" s="2"/>
    </row>
    <row r="14190" spans="3:3" x14ac:dyDescent="0.35">
      <c r="C14190" s="2"/>
    </row>
    <row r="14191" spans="3:3" x14ac:dyDescent="0.35">
      <c r="C14191" s="2"/>
    </row>
    <row r="14192" spans="3:3" x14ac:dyDescent="0.35">
      <c r="C14192" s="2"/>
    </row>
    <row r="14193" spans="3:3" x14ac:dyDescent="0.35">
      <c r="C14193" s="2"/>
    </row>
    <row r="14194" spans="3:3" x14ac:dyDescent="0.35">
      <c r="C14194" s="2"/>
    </row>
    <row r="14195" spans="3:3" x14ac:dyDescent="0.35">
      <c r="C14195" s="2"/>
    </row>
    <row r="14196" spans="3:3" x14ac:dyDescent="0.35">
      <c r="C14196" s="2"/>
    </row>
    <row r="14197" spans="3:3" x14ac:dyDescent="0.35">
      <c r="C14197" s="2"/>
    </row>
    <row r="14198" spans="3:3" x14ac:dyDescent="0.35">
      <c r="C14198" s="2"/>
    </row>
    <row r="14199" spans="3:3" x14ac:dyDescent="0.35">
      <c r="C14199" s="2"/>
    </row>
    <row r="14200" spans="3:3" x14ac:dyDescent="0.35">
      <c r="C14200" s="2"/>
    </row>
    <row r="14201" spans="3:3" x14ac:dyDescent="0.35">
      <c r="C14201" s="2"/>
    </row>
    <row r="14202" spans="3:3" x14ac:dyDescent="0.35">
      <c r="C14202" s="2"/>
    </row>
    <row r="14203" spans="3:3" x14ac:dyDescent="0.35">
      <c r="C14203" s="2"/>
    </row>
    <row r="14204" spans="3:3" x14ac:dyDescent="0.35">
      <c r="C14204" s="2"/>
    </row>
    <row r="14205" spans="3:3" x14ac:dyDescent="0.35">
      <c r="C14205" s="2"/>
    </row>
    <row r="14206" spans="3:3" x14ac:dyDescent="0.35">
      <c r="C14206" s="2"/>
    </row>
    <row r="14207" spans="3:3" x14ac:dyDescent="0.35">
      <c r="C14207" s="2"/>
    </row>
    <row r="14208" spans="3:3" x14ac:dyDescent="0.35">
      <c r="C14208" s="2"/>
    </row>
    <row r="14209" spans="3:3" x14ac:dyDescent="0.35">
      <c r="C14209" s="2"/>
    </row>
    <row r="14210" spans="3:3" x14ac:dyDescent="0.35">
      <c r="C14210" s="2"/>
    </row>
    <row r="14211" spans="3:3" x14ac:dyDescent="0.35">
      <c r="C14211" s="2"/>
    </row>
    <row r="14212" spans="3:3" x14ac:dyDescent="0.35">
      <c r="C14212" s="2"/>
    </row>
    <row r="14213" spans="3:3" x14ac:dyDescent="0.35">
      <c r="C14213" s="2"/>
    </row>
    <row r="14214" spans="3:3" x14ac:dyDescent="0.35">
      <c r="C14214" s="2"/>
    </row>
    <row r="14215" spans="3:3" x14ac:dyDescent="0.35">
      <c r="C14215" s="2"/>
    </row>
    <row r="14216" spans="3:3" x14ac:dyDescent="0.35">
      <c r="C14216" s="2"/>
    </row>
    <row r="14217" spans="3:3" x14ac:dyDescent="0.35">
      <c r="C14217" s="2"/>
    </row>
    <row r="14218" spans="3:3" x14ac:dyDescent="0.35">
      <c r="C14218" s="2"/>
    </row>
    <row r="14219" spans="3:3" x14ac:dyDescent="0.35">
      <c r="C14219" s="2"/>
    </row>
    <row r="14220" spans="3:3" x14ac:dyDescent="0.35">
      <c r="C14220" s="2"/>
    </row>
    <row r="14221" spans="3:3" x14ac:dyDescent="0.35">
      <c r="C14221" s="2"/>
    </row>
    <row r="14222" spans="3:3" x14ac:dyDescent="0.35">
      <c r="C14222" s="2"/>
    </row>
    <row r="14223" spans="3:3" x14ac:dyDescent="0.35">
      <c r="C14223" s="2"/>
    </row>
    <row r="14224" spans="3:3" x14ac:dyDescent="0.35">
      <c r="C14224" s="2"/>
    </row>
    <row r="14225" spans="3:3" x14ac:dyDescent="0.35">
      <c r="C14225" s="2"/>
    </row>
    <row r="14226" spans="3:3" x14ac:dyDescent="0.35">
      <c r="C14226" s="2"/>
    </row>
    <row r="14227" spans="3:3" x14ac:dyDescent="0.35">
      <c r="C14227" s="2"/>
    </row>
    <row r="14228" spans="3:3" x14ac:dyDescent="0.35">
      <c r="C14228" s="2"/>
    </row>
    <row r="14229" spans="3:3" x14ac:dyDescent="0.35">
      <c r="C14229" s="2"/>
    </row>
    <row r="14230" spans="3:3" x14ac:dyDescent="0.35">
      <c r="C14230" s="2"/>
    </row>
    <row r="14231" spans="3:3" x14ac:dyDescent="0.35">
      <c r="C14231" s="2"/>
    </row>
    <row r="14232" spans="3:3" x14ac:dyDescent="0.35">
      <c r="C14232" s="2"/>
    </row>
    <row r="14233" spans="3:3" x14ac:dyDescent="0.35">
      <c r="C14233" s="2"/>
    </row>
    <row r="14234" spans="3:3" x14ac:dyDescent="0.35">
      <c r="C14234" s="2"/>
    </row>
    <row r="14235" spans="3:3" x14ac:dyDescent="0.35">
      <c r="C14235" s="2"/>
    </row>
    <row r="14236" spans="3:3" x14ac:dyDescent="0.35">
      <c r="C14236" s="2"/>
    </row>
    <row r="14237" spans="3:3" x14ac:dyDescent="0.35">
      <c r="C14237" s="2"/>
    </row>
    <row r="14238" spans="3:3" x14ac:dyDescent="0.35">
      <c r="C14238" s="2"/>
    </row>
    <row r="14239" spans="3:3" x14ac:dyDescent="0.35">
      <c r="C14239" s="2"/>
    </row>
    <row r="14240" spans="3:3" x14ac:dyDescent="0.35">
      <c r="C14240" s="2"/>
    </row>
    <row r="14241" spans="3:3" x14ac:dyDescent="0.35">
      <c r="C14241" s="2"/>
    </row>
    <row r="14242" spans="3:3" x14ac:dyDescent="0.35">
      <c r="C14242" s="2"/>
    </row>
    <row r="14243" spans="3:3" x14ac:dyDescent="0.35">
      <c r="C14243" s="2"/>
    </row>
    <row r="14244" spans="3:3" x14ac:dyDescent="0.35">
      <c r="C14244" s="2"/>
    </row>
    <row r="14245" spans="3:3" x14ac:dyDescent="0.35">
      <c r="C14245" s="2"/>
    </row>
    <row r="14246" spans="3:3" x14ac:dyDescent="0.35">
      <c r="C14246" s="2"/>
    </row>
    <row r="14247" spans="3:3" x14ac:dyDescent="0.35">
      <c r="C14247" s="2"/>
    </row>
    <row r="14248" spans="3:3" x14ac:dyDescent="0.35">
      <c r="C14248" s="2"/>
    </row>
    <row r="14249" spans="3:3" x14ac:dyDescent="0.35">
      <c r="C14249" s="2"/>
    </row>
    <row r="14250" spans="3:3" x14ac:dyDescent="0.35">
      <c r="C14250" s="2"/>
    </row>
    <row r="14251" spans="3:3" x14ac:dyDescent="0.35">
      <c r="C14251" s="2"/>
    </row>
    <row r="14252" spans="3:3" x14ac:dyDescent="0.35">
      <c r="C14252" s="2"/>
    </row>
    <row r="14253" spans="3:3" x14ac:dyDescent="0.35">
      <c r="C14253" s="2"/>
    </row>
    <row r="14254" spans="3:3" x14ac:dyDescent="0.35">
      <c r="C14254" s="2"/>
    </row>
    <row r="14255" spans="3:3" x14ac:dyDescent="0.35">
      <c r="C14255" s="2"/>
    </row>
    <row r="14256" spans="3:3" x14ac:dyDescent="0.35">
      <c r="C14256" s="2"/>
    </row>
    <row r="14257" spans="3:3" x14ac:dyDescent="0.35">
      <c r="C14257" s="2"/>
    </row>
    <row r="14258" spans="3:3" x14ac:dyDescent="0.35">
      <c r="C14258" s="2"/>
    </row>
    <row r="14259" spans="3:3" x14ac:dyDescent="0.35">
      <c r="C14259" s="2"/>
    </row>
    <row r="14260" spans="3:3" x14ac:dyDescent="0.35">
      <c r="C14260" s="2"/>
    </row>
    <row r="14261" spans="3:3" x14ac:dyDescent="0.35">
      <c r="C14261" s="2"/>
    </row>
    <row r="14262" spans="3:3" x14ac:dyDescent="0.35">
      <c r="C14262" s="2"/>
    </row>
    <row r="14263" spans="3:3" x14ac:dyDescent="0.35">
      <c r="C14263" s="2"/>
    </row>
    <row r="14264" spans="3:3" x14ac:dyDescent="0.35">
      <c r="C14264" s="2"/>
    </row>
    <row r="14265" spans="3:3" x14ac:dyDescent="0.35">
      <c r="C14265" s="2"/>
    </row>
    <row r="14266" spans="3:3" x14ac:dyDescent="0.35">
      <c r="C14266" s="2"/>
    </row>
    <row r="14267" spans="3:3" x14ac:dyDescent="0.35">
      <c r="C14267" s="2"/>
    </row>
    <row r="14268" spans="3:3" x14ac:dyDescent="0.35">
      <c r="C14268" s="2"/>
    </row>
    <row r="14269" spans="3:3" x14ac:dyDescent="0.35">
      <c r="C14269" s="2"/>
    </row>
    <row r="14270" spans="3:3" x14ac:dyDescent="0.35">
      <c r="C14270" s="2"/>
    </row>
    <row r="14271" spans="3:3" x14ac:dyDescent="0.35">
      <c r="C14271" s="2"/>
    </row>
    <row r="14272" spans="3:3" x14ac:dyDescent="0.35">
      <c r="C14272" s="2"/>
    </row>
    <row r="14273" spans="3:3" x14ac:dyDescent="0.35">
      <c r="C14273" s="2"/>
    </row>
    <row r="14274" spans="3:3" x14ac:dyDescent="0.35">
      <c r="C14274" s="2"/>
    </row>
    <row r="14275" spans="3:3" x14ac:dyDescent="0.35">
      <c r="C14275" s="2"/>
    </row>
    <row r="14276" spans="3:3" x14ac:dyDescent="0.35">
      <c r="C14276" s="2"/>
    </row>
    <row r="14277" spans="3:3" x14ac:dyDescent="0.35">
      <c r="C14277" s="2"/>
    </row>
    <row r="14278" spans="3:3" x14ac:dyDescent="0.35">
      <c r="C14278" s="2"/>
    </row>
    <row r="14279" spans="3:3" x14ac:dyDescent="0.35">
      <c r="C14279" s="2"/>
    </row>
    <row r="14280" spans="3:3" x14ac:dyDescent="0.35">
      <c r="C14280" s="2"/>
    </row>
    <row r="14281" spans="3:3" x14ac:dyDescent="0.35">
      <c r="C14281" s="2"/>
    </row>
    <row r="14282" spans="3:3" x14ac:dyDescent="0.35">
      <c r="C14282" s="2"/>
    </row>
    <row r="14283" spans="3:3" x14ac:dyDescent="0.35">
      <c r="C14283" s="2"/>
    </row>
    <row r="14284" spans="3:3" x14ac:dyDescent="0.35">
      <c r="C14284" s="2"/>
    </row>
    <row r="14285" spans="3:3" x14ac:dyDescent="0.35">
      <c r="C14285" s="2"/>
    </row>
    <row r="14286" spans="3:3" x14ac:dyDescent="0.35">
      <c r="C14286" s="2"/>
    </row>
    <row r="14287" spans="3:3" x14ac:dyDescent="0.35">
      <c r="C14287" s="2"/>
    </row>
    <row r="14288" spans="3:3" x14ac:dyDescent="0.35">
      <c r="C14288" s="2"/>
    </row>
    <row r="14289" spans="3:3" x14ac:dyDescent="0.35">
      <c r="C14289" s="2"/>
    </row>
    <row r="14290" spans="3:3" x14ac:dyDescent="0.35">
      <c r="C14290" s="2"/>
    </row>
    <row r="14291" spans="3:3" x14ac:dyDescent="0.35">
      <c r="C14291" s="2"/>
    </row>
    <row r="14292" spans="3:3" x14ac:dyDescent="0.35">
      <c r="C14292" s="2"/>
    </row>
    <row r="14293" spans="3:3" x14ac:dyDescent="0.35">
      <c r="C14293" s="2"/>
    </row>
    <row r="14294" spans="3:3" x14ac:dyDescent="0.35">
      <c r="C14294" s="2"/>
    </row>
    <row r="14295" spans="3:3" x14ac:dyDescent="0.35">
      <c r="C14295" s="2"/>
    </row>
    <row r="14296" spans="3:3" x14ac:dyDescent="0.35">
      <c r="C14296" s="2"/>
    </row>
    <row r="14297" spans="3:3" x14ac:dyDescent="0.35">
      <c r="C14297" s="2"/>
    </row>
    <row r="14298" spans="3:3" x14ac:dyDescent="0.35">
      <c r="C14298" s="2"/>
    </row>
    <row r="14299" spans="3:3" x14ac:dyDescent="0.35">
      <c r="C14299" s="2"/>
    </row>
    <row r="14300" spans="3:3" x14ac:dyDescent="0.35">
      <c r="C14300" s="2"/>
    </row>
    <row r="14301" spans="3:3" x14ac:dyDescent="0.35">
      <c r="C14301" s="2"/>
    </row>
    <row r="14302" spans="3:3" x14ac:dyDescent="0.35">
      <c r="C14302" s="2"/>
    </row>
    <row r="14303" spans="3:3" x14ac:dyDescent="0.35">
      <c r="C14303" s="2"/>
    </row>
    <row r="14304" spans="3:3" x14ac:dyDescent="0.35">
      <c r="C14304" s="2"/>
    </row>
    <row r="14305" spans="3:3" x14ac:dyDescent="0.35">
      <c r="C14305" s="2"/>
    </row>
    <row r="14306" spans="3:3" x14ac:dyDescent="0.35">
      <c r="C14306" s="2"/>
    </row>
    <row r="14307" spans="3:3" x14ac:dyDescent="0.35">
      <c r="C14307" s="2"/>
    </row>
    <row r="14308" spans="3:3" x14ac:dyDescent="0.35">
      <c r="C14308" s="2"/>
    </row>
    <row r="14309" spans="3:3" x14ac:dyDescent="0.35">
      <c r="C14309" s="2"/>
    </row>
    <row r="14310" spans="3:3" x14ac:dyDescent="0.35">
      <c r="C14310" s="2"/>
    </row>
    <row r="14311" spans="3:3" x14ac:dyDescent="0.35">
      <c r="C14311" s="2"/>
    </row>
    <row r="14312" spans="3:3" x14ac:dyDescent="0.35">
      <c r="C14312" s="2"/>
    </row>
    <row r="14313" spans="3:3" x14ac:dyDescent="0.35">
      <c r="C14313" s="2"/>
    </row>
    <row r="14314" spans="3:3" x14ac:dyDescent="0.35">
      <c r="C14314" s="2"/>
    </row>
    <row r="14315" spans="3:3" x14ac:dyDescent="0.35">
      <c r="C14315" s="2"/>
    </row>
    <row r="14316" spans="3:3" x14ac:dyDescent="0.35">
      <c r="C14316" s="2"/>
    </row>
    <row r="14317" spans="3:3" x14ac:dyDescent="0.35">
      <c r="C14317" s="2"/>
    </row>
    <row r="14318" spans="3:3" x14ac:dyDescent="0.35">
      <c r="C14318" s="2"/>
    </row>
    <row r="14319" spans="3:3" x14ac:dyDescent="0.35">
      <c r="C14319" s="2"/>
    </row>
    <row r="14320" spans="3:3" x14ac:dyDescent="0.35">
      <c r="C14320" s="2"/>
    </row>
    <row r="14321" spans="3:3" x14ac:dyDescent="0.35">
      <c r="C14321" s="2"/>
    </row>
    <row r="14322" spans="3:3" x14ac:dyDescent="0.35">
      <c r="C14322" s="2"/>
    </row>
    <row r="14323" spans="3:3" x14ac:dyDescent="0.35">
      <c r="C14323" s="2"/>
    </row>
    <row r="14324" spans="3:3" x14ac:dyDescent="0.35">
      <c r="C14324" s="2"/>
    </row>
    <row r="14325" spans="3:3" x14ac:dyDescent="0.35">
      <c r="C14325" s="2"/>
    </row>
    <row r="14326" spans="3:3" x14ac:dyDescent="0.35">
      <c r="C14326" s="2"/>
    </row>
    <row r="14327" spans="3:3" x14ac:dyDescent="0.35">
      <c r="C14327" s="2"/>
    </row>
    <row r="14328" spans="3:3" x14ac:dyDescent="0.35">
      <c r="C14328" s="2"/>
    </row>
    <row r="14329" spans="3:3" x14ac:dyDescent="0.35">
      <c r="C14329" s="2"/>
    </row>
    <row r="14330" spans="3:3" x14ac:dyDescent="0.35">
      <c r="C14330" s="2"/>
    </row>
    <row r="14331" spans="3:3" x14ac:dyDescent="0.35">
      <c r="C14331" s="2"/>
    </row>
    <row r="14332" spans="3:3" x14ac:dyDescent="0.35">
      <c r="C14332" s="2"/>
    </row>
    <row r="14333" spans="3:3" x14ac:dyDescent="0.35">
      <c r="C14333" s="2"/>
    </row>
    <row r="14334" spans="3:3" x14ac:dyDescent="0.35">
      <c r="C14334" s="2"/>
    </row>
    <row r="14335" spans="3:3" x14ac:dyDescent="0.35">
      <c r="C14335" s="2"/>
    </row>
    <row r="14336" spans="3:3" x14ac:dyDescent="0.35">
      <c r="C14336" s="2"/>
    </row>
    <row r="14337" spans="3:3" x14ac:dyDescent="0.35">
      <c r="C14337" s="2"/>
    </row>
    <row r="14338" spans="3:3" x14ac:dyDescent="0.35">
      <c r="C14338" s="2"/>
    </row>
    <row r="14339" spans="3:3" x14ac:dyDescent="0.35">
      <c r="C14339" s="2"/>
    </row>
    <row r="14340" spans="3:3" x14ac:dyDescent="0.35">
      <c r="C14340" s="2"/>
    </row>
    <row r="14341" spans="3:3" x14ac:dyDescent="0.35">
      <c r="C14341" s="2"/>
    </row>
    <row r="14342" spans="3:3" x14ac:dyDescent="0.35">
      <c r="C14342" s="2"/>
    </row>
    <row r="14343" spans="3:3" x14ac:dyDescent="0.35">
      <c r="C14343" s="2"/>
    </row>
    <row r="14344" spans="3:3" x14ac:dyDescent="0.35">
      <c r="C14344" s="2"/>
    </row>
    <row r="14345" spans="3:3" x14ac:dyDescent="0.35">
      <c r="C14345" s="2"/>
    </row>
    <row r="14346" spans="3:3" x14ac:dyDescent="0.35">
      <c r="C14346" s="2"/>
    </row>
    <row r="14347" spans="3:3" x14ac:dyDescent="0.35">
      <c r="C14347" s="2"/>
    </row>
    <row r="14348" spans="3:3" x14ac:dyDescent="0.35">
      <c r="C14348" s="2"/>
    </row>
    <row r="14349" spans="3:3" x14ac:dyDescent="0.35">
      <c r="C14349" s="2"/>
    </row>
    <row r="14350" spans="3:3" x14ac:dyDescent="0.35">
      <c r="C14350" s="2"/>
    </row>
    <row r="14351" spans="3:3" x14ac:dyDescent="0.35">
      <c r="C14351" s="2"/>
    </row>
    <row r="14352" spans="3:3" x14ac:dyDescent="0.35">
      <c r="C14352" s="2"/>
    </row>
    <row r="14353" spans="3:3" x14ac:dyDescent="0.35">
      <c r="C14353" s="2"/>
    </row>
    <row r="14354" spans="3:3" x14ac:dyDescent="0.35">
      <c r="C14354" s="2"/>
    </row>
    <row r="14355" spans="3:3" x14ac:dyDescent="0.35">
      <c r="C14355" s="2"/>
    </row>
    <row r="14356" spans="3:3" x14ac:dyDescent="0.35">
      <c r="C14356" s="2"/>
    </row>
    <row r="14357" spans="3:3" x14ac:dyDescent="0.35">
      <c r="C14357" s="2"/>
    </row>
    <row r="14358" spans="3:3" x14ac:dyDescent="0.35">
      <c r="C14358" s="2"/>
    </row>
    <row r="14359" spans="3:3" x14ac:dyDescent="0.35">
      <c r="C14359" s="2"/>
    </row>
    <row r="14360" spans="3:3" x14ac:dyDescent="0.35">
      <c r="C14360" s="2"/>
    </row>
    <row r="14361" spans="3:3" x14ac:dyDescent="0.35">
      <c r="C14361" s="2"/>
    </row>
    <row r="14362" spans="3:3" x14ac:dyDescent="0.35">
      <c r="C14362" s="2"/>
    </row>
    <row r="14363" spans="3:3" x14ac:dyDescent="0.35">
      <c r="C14363" s="2"/>
    </row>
    <row r="14364" spans="3:3" x14ac:dyDescent="0.35">
      <c r="C14364" s="2"/>
    </row>
    <row r="14365" spans="3:3" x14ac:dyDescent="0.35">
      <c r="C14365" s="2"/>
    </row>
    <row r="14366" spans="3:3" x14ac:dyDescent="0.35">
      <c r="C14366" s="2"/>
    </row>
    <row r="14367" spans="3:3" x14ac:dyDescent="0.35">
      <c r="C14367" s="2"/>
    </row>
    <row r="14368" spans="3:3" x14ac:dyDescent="0.35">
      <c r="C14368" s="2"/>
    </row>
    <row r="14369" spans="3:3" x14ac:dyDescent="0.35">
      <c r="C14369" s="2"/>
    </row>
    <row r="14370" spans="3:3" x14ac:dyDescent="0.35">
      <c r="C14370" s="2"/>
    </row>
    <row r="14371" spans="3:3" x14ac:dyDescent="0.35">
      <c r="C14371" s="2"/>
    </row>
    <row r="14372" spans="3:3" x14ac:dyDescent="0.35">
      <c r="C14372" s="2"/>
    </row>
    <row r="14373" spans="3:3" x14ac:dyDescent="0.35">
      <c r="C14373" s="2"/>
    </row>
    <row r="14374" spans="3:3" x14ac:dyDescent="0.35">
      <c r="C14374" s="2"/>
    </row>
    <row r="14375" spans="3:3" x14ac:dyDescent="0.35">
      <c r="C14375" s="2"/>
    </row>
    <row r="14376" spans="3:3" x14ac:dyDescent="0.35">
      <c r="C14376" s="2"/>
    </row>
    <row r="14377" spans="3:3" x14ac:dyDescent="0.35">
      <c r="C14377" s="2"/>
    </row>
    <row r="14378" spans="3:3" x14ac:dyDescent="0.35">
      <c r="C14378" s="2"/>
    </row>
    <row r="14379" spans="3:3" x14ac:dyDescent="0.35">
      <c r="C14379" s="2"/>
    </row>
    <row r="14380" spans="3:3" x14ac:dyDescent="0.35">
      <c r="C14380" s="2"/>
    </row>
    <row r="14381" spans="3:3" x14ac:dyDescent="0.35">
      <c r="C14381" s="2"/>
    </row>
    <row r="14382" spans="3:3" x14ac:dyDescent="0.35">
      <c r="C14382" s="2"/>
    </row>
    <row r="14383" spans="3:3" x14ac:dyDescent="0.35">
      <c r="C14383" s="2"/>
    </row>
    <row r="14384" spans="3:3" x14ac:dyDescent="0.35">
      <c r="C14384" s="2"/>
    </row>
    <row r="14385" spans="3:3" x14ac:dyDescent="0.35">
      <c r="C14385" s="2"/>
    </row>
    <row r="14386" spans="3:3" x14ac:dyDescent="0.35">
      <c r="C14386" s="2"/>
    </row>
    <row r="14387" spans="3:3" x14ac:dyDescent="0.35">
      <c r="C14387" s="2"/>
    </row>
    <row r="14388" spans="3:3" x14ac:dyDescent="0.35">
      <c r="C14388" s="2"/>
    </row>
    <row r="14389" spans="3:3" x14ac:dyDescent="0.35">
      <c r="C14389" s="2"/>
    </row>
    <row r="14390" spans="3:3" x14ac:dyDescent="0.35">
      <c r="C14390" s="2"/>
    </row>
    <row r="14391" spans="3:3" x14ac:dyDescent="0.35">
      <c r="C14391" s="2"/>
    </row>
    <row r="14392" spans="3:3" x14ac:dyDescent="0.35">
      <c r="C14392" s="2"/>
    </row>
    <row r="14393" spans="3:3" x14ac:dyDescent="0.35">
      <c r="C14393" s="2"/>
    </row>
    <row r="14394" spans="3:3" x14ac:dyDescent="0.35">
      <c r="C14394" s="2"/>
    </row>
    <row r="14395" spans="3:3" x14ac:dyDescent="0.35">
      <c r="C14395" s="2"/>
    </row>
    <row r="14396" spans="3:3" x14ac:dyDescent="0.35">
      <c r="C14396" s="2"/>
    </row>
    <row r="14397" spans="3:3" x14ac:dyDescent="0.35">
      <c r="C14397" s="2"/>
    </row>
    <row r="14398" spans="3:3" x14ac:dyDescent="0.35">
      <c r="C14398" s="2"/>
    </row>
    <row r="14399" spans="3:3" x14ac:dyDescent="0.35">
      <c r="C14399" s="2"/>
    </row>
    <row r="14400" spans="3:3" x14ac:dyDescent="0.35">
      <c r="C14400" s="2"/>
    </row>
    <row r="14401" spans="3:3" x14ac:dyDescent="0.35">
      <c r="C14401" s="2"/>
    </row>
    <row r="14402" spans="3:3" x14ac:dyDescent="0.35">
      <c r="C14402" s="2"/>
    </row>
    <row r="14403" spans="3:3" x14ac:dyDescent="0.35">
      <c r="C14403" s="2"/>
    </row>
    <row r="14404" spans="3:3" x14ac:dyDescent="0.35">
      <c r="C14404" s="2"/>
    </row>
    <row r="14405" spans="3:3" x14ac:dyDescent="0.35">
      <c r="C14405" s="2"/>
    </row>
    <row r="14406" spans="3:3" x14ac:dyDescent="0.35">
      <c r="C14406" s="2"/>
    </row>
    <row r="14407" spans="3:3" x14ac:dyDescent="0.35">
      <c r="C14407" s="2"/>
    </row>
    <row r="14408" spans="3:3" x14ac:dyDescent="0.35">
      <c r="C14408" s="2"/>
    </row>
    <row r="14409" spans="3:3" x14ac:dyDescent="0.35">
      <c r="C14409" s="2"/>
    </row>
    <row r="14410" spans="3:3" x14ac:dyDescent="0.35">
      <c r="C14410" s="2"/>
    </row>
    <row r="14411" spans="3:3" x14ac:dyDescent="0.35">
      <c r="C14411" s="2"/>
    </row>
    <row r="14412" spans="3:3" x14ac:dyDescent="0.35">
      <c r="C14412" s="2"/>
    </row>
    <row r="14413" spans="3:3" x14ac:dyDescent="0.35">
      <c r="C14413" s="2"/>
    </row>
    <row r="14414" spans="3:3" x14ac:dyDescent="0.35">
      <c r="C14414" s="2"/>
    </row>
    <row r="14415" spans="3:3" x14ac:dyDescent="0.35">
      <c r="C14415" s="2"/>
    </row>
    <row r="14416" spans="3:3" x14ac:dyDescent="0.35">
      <c r="C14416" s="2"/>
    </row>
    <row r="14417" spans="3:3" x14ac:dyDescent="0.35">
      <c r="C14417" s="2"/>
    </row>
    <row r="14418" spans="3:3" x14ac:dyDescent="0.35">
      <c r="C14418" s="2"/>
    </row>
    <row r="14419" spans="3:3" x14ac:dyDescent="0.35">
      <c r="C14419" s="2"/>
    </row>
    <row r="14420" spans="3:3" x14ac:dyDescent="0.35">
      <c r="C14420" s="2"/>
    </row>
    <row r="14421" spans="3:3" x14ac:dyDescent="0.35">
      <c r="C14421" s="2"/>
    </row>
    <row r="14422" spans="3:3" x14ac:dyDescent="0.35">
      <c r="C14422" s="2"/>
    </row>
    <row r="14423" spans="3:3" x14ac:dyDescent="0.35">
      <c r="C14423" s="2"/>
    </row>
    <row r="14424" spans="3:3" x14ac:dyDescent="0.35">
      <c r="C14424" s="2"/>
    </row>
    <row r="14425" spans="3:3" x14ac:dyDescent="0.35">
      <c r="C14425" s="2"/>
    </row>
    <row r="14426" spans="3:3" x14ac:dyDescent="0.35">
      <c r="C14426" s="2"/>
    </row>
    <row r="14427" spans="3:3" x14ac:dyDescent="0.35">
      <c r="C14427" s="2"/>
    </row>
    <row r="14428" spans="3:3" x14ac:dyDescent="0.35">
      <c r="C14428" s="2"/>
    </row>
    <row r="14429" spans="3:3" x14ac:dyDescent="0.35">
      <c r="C14429" s="2"/>
    </row>
    <row r="14430" spans="3:3" x14ac:dyDescent="0.35">
      <c r="C14430" s="2"/>
    </row>
    <row r="14431" spans="3:3" x14ac:dyDescent="0.35">
      <c r="C14431" s="2"/>
    </row>
    <row r="14432" spans="3:3" x14ac:dyDescent="0.35">
      <c r="C14432" s="2"/>
    </row>
    <row r="14433" spans="3:3" x14ac:dyDescent="0.35">
      <c r="C14433" s="2"/>
    </row>
    <row r="14434" spans="3:3" x14ac:dyDescent="0.35">
      <c r="C14434" s="2"/>
    </row>
    <row r="14435" spans="3:3" x14ac:dyDescent="0.35">
      <c r="C14435" s="2"/>
    </row>
    <row r="14436" spans="3:3" x14ac:dyDescent="0.35">
      <c r="C14436" s="2"/>
    </row>
    <row r="14437" spans="3:3" x14ac:dyDescent="0.35">
      <c r="C14437" s="2"/>
    </row>
    <row r="14438" spans="3:3" x14ac:dyDescent="0.35">
      <c r="C14438" s="2"/>
    </row>
    <row r="14439" spans="3:3" x14ac:dyDescent="0.35">
      <c r="C14439" s="2"/>
    </row>
    <row r="14440" spans="3:3" x14ac:dyDescent="0.35">
      <c r="C14440" s="2"/>
    </row>
    <row r="14441" spans="3:3" x14ac:dyDescent="0.35">
      <c r="C14441" s="2"/>
    </row>
    <row r="14442" spans="3:3" x14ac:dyDescent="0.35">
      <c r="C14442" s="2"/>
    </row>
    <row r="14443" spans="3:3" x14ac:dyDescent="0.35">
      <c r="C14443" s="2"/>
    </row>
    <row r="14444" spans="3:3" x14ac:dyDescent="0.35">
      <c r="C14444" s="2"/>
    </row>
    <row r="14445" spans="3:3" x14ac:dyDescent="0.35">
      <c r="C14445" s="2"/>
    </row>
    <row r="14446" spans="3:3" x14ac:dyDescent="0.35">
      <c r="C14446" s="2"/>
    </row>
    <row r="14447" spans="3:3" x14ac:dyDescent="0.35">
      <c r="C14447" s="2"/>
    </row>
    <row r="14448" spans="3:3" x14ac:dyDescent="0.35">
      <c r="C14448" s="2"/>
    </row>
    <row r="14449" spans="3:3" x14ac:dyDescent="0.35">
      <c r="C14449" s="2"/>
    </row>
    <row r="14450" spans="3:3" x14ac:dyDescent="0.35">
      <c r="C14450" s="2"/>
    </row>
    <row r="14451" spans="3:3" x14ac:dyDescent="0.35">
      <c r="C14451" s="2"/>
    </row>
    <row r="14452" spans="3:3" x14ac:dyDescent="0.35">
      <c r="C14452" s="2"/>
    </row>
    <row r="14453" spans="3:3" x14ac:dyDescent="0.35">
      <c r="C14453" s="2"/>
    </row>
    <row r="14454" spans="3:3" x14ac:dyDescent="0.35">
      <c r="C14454" s="2"/>
    </row>
    <row r="14455" spans="3:3" x14ac:dyDescent="0.35">
      <c r="C14455" s="2"/>
    </row>
    <row r="14456" spans="3:3" x14ac:dyDescent="0.35">
      <c r="C14456" s="2"/>
    </row>
    <row r="14457" spans="3:3" x14ac:dyDescent="0.35">
      <c r="C14457" s="2"/>
    </row>
    <row r="14458" spans="3:3" x14ac:dyDescent="0.35">
      <c r="C14458" s="2"/>
    </row>
    <row r="14459" spans="3:3" x14ac:dyDescent="0.35">
      <c r="C14459" s="2"/>
    </row>
    <row r="14460" spans="3:3" x14ac:dyDescent="0.35">
      <c r="C14460" s="2"/>
    </row>
    <row r="14461" spans="3:3" x14ac:dyDescent="0.35">
      <c r="C14461" s="2"/>
    </row>
    <row r="14462" spans="3:3" x14ac:dyDescent="0.35">
      <c r="C14462" s="2"/>
    </row>
    <row r="14463" spans="3:3" x14ac:dyDescent="0.35">
      <c r="C14463" s="2"/>
    </row>
    <row r="14464" spans="3:3" x14ac:dyDescent="0.35">
      <c r="C14464" s="2"/>
    </row>
    <row r="14465" spans="3:3" x14ac:dyDescent="0.35">
      <c r="C14465" s="2"/>
    </row>
    <row r="14466" spans="3:3" x14ac:dyDescent="0.35">
      <c r="C14466" s="2"/>
    </row>
    <row r="14467" spans="3:3" x14ac:dyDescent="0.35">
      <c r="C14467" s="2"/>
    </row>
    <row r="14468" spans="3:3" x14ac:dyDescent="0.35">
      <c r="C14468" s="2"/>
    </row>
    <row r="14469" spans="3:3" x14ac:dyDescent="0.35">
      <c r="C14469" s="2"/>
    </row>
    <row r="14470" spans="3:3" x14ac:dyDescent="0.35">
      <c r="C14470" s="2"/>
    </row>
    <row r="14471" spans="3:3" x14ac:dyDescent="0.35">
      <c r="C14471" s="2"/>
    </row>
    <row r="14472" spans="3:3" x14ac:dyDescent="0.35">
      <c r="C14472" s="2"/>
    </row>
    <row r="14473" spans="3:3" x14ac:dyDescent="0.35">
      <c r="C14473" s="2"/>
    </row>
    <row r="14474" spans="3:3" x14ac:dyDescent="0.35">
      <c r="C14474" s="2"/>
    </row>
    <row r="14475" spans="3:3" x14ac:dyDescent="0.35">
      <c r="C14475" s="2"/>
    </row>
    <row r="14476" spans="3:3" x14ac:dyDescent="0.35">
      <c r="C14476" s="2"/>
    </row>
    <row r="14477" spans="3:3" x14ac:dyDescent="0.35">
      <c r="C14477" s="2"/>
    </row>
    <row r="14478" spans="3:3" x14ac:dyDescent="0.35">
      <c r="C14478" s="2"/>
    </row>
    <row r="14479" spans="3:3" x14ac:dyDescent="0.35">
      <c r="C14479" s="2"/>
    </row>
    <row r="14480" spans="3:3" x14ac:dyDescent="0.35">
      <c r="C14480" s="2"/>
    </row>
    <row r="14481" spans="3:3" x14ac:dyDescent="0.35">
      <c r="C14481" s="2"/>
    </row>
    <row r="14482" spans="3:3" x14ac:dyDescent="0.35">
      <c r="C14482" s="2"/>
    </row>
    <row r="14483" spans="3:3" x14ac:dyDescent="0.35">
      <c r="C14483" s="2"/>
    </row>
    <row r="14484" spans="3:3" x14ac:dyDescent="0.35">
      <c r="C14484" s="2"/>
    </row>
    <row r="14485" spans="3:3" x14ac:dyDescent="0.35">
      <c r="C14485" s="2"/>
    </row>
    <row r="14486" spans="3:3" x14ac:dyDescent="0.35">
      <c r="C14486" s="2"/>
    </row>
    <row r="14487" spans="3:3" x14ac:dyDescent="0.35">
      <c r="C14487" s="2"/>
    </row>
    <row r="14488" spans="3:3" x14ac:dyDescent="0.35">
      <c r="C14488" s="2"/>
    </row>
    <row r="14489" spans="3:3" x14ac:dyDescent="0.35">
      <c r="C14489" s="2"/>
    </row>
    <row r="14490" spans="3:3" x14ac:dyDescent="0.35">
      <c r="C14490" s="2"/>
    </row>
    <row r="14491" spans="3:3" x14ac:dyDescent="0.35">
      <c r="C14491" s="2"/>
    </row>
    <row r="14492" spans="3:3" x14ac:dyDescent="0.35">
      <c r="C14492" s="2"/>
    </row>
    <row r="14493" spans="3:3" x14ac:dyDescent="0.35">
      <c r="C14493" s="2"/>
    </row>
    <row r="14494" spans="3:3" x14ac:dyDescent="0.35">
      <c r="C14494" s="2"/>
    </row>
    <row r="14495" spans="3:3" x14ac:dyDescent="0.35">
      <c r="C14495" s="2"/>
    </row>
    <row r="14496" spans="3:3" x14ac:dyDescent="0.35">
      <c r="C14496" s="2"/>
    </row>
    <row r="14497" spans="3:3" x14ac:dyDescent="0.35">
      <c r="C14497" s="2"/>
    </row>
    <row r="14498" spans="3:3" x14ac:dyDescent="0.35">
      <c r="C14498" s="2"/>
    </row>
    <row r="14499" spans="3:3" x14ac:dyDescent="0.35">
      <c r="C14499" s="2"/>
    </row>
    <row r="14500" spans="3:3" x14ac:dyDescent="0.35">
      <c r="C14500" s="2"/>
    </row>
    <row r="14501" spans="3:3" x14ac:dyDescent="0.35">
      <c r="C14501" s="2"/>
    </row>
    <row r="14502" spans="3:3" x14ac:dyDescent="0.35">
      <c r="C14502" s="2"/>
    </row>
    <row r="14503" spans="3:3" x14ac:dyDescent="0.35">
      <c r="C14503" s="2"/>
    </row>
    <row r="14504" spans="3:3" x14ac:dyDescent="0.35">
      <c r="C14504" s="2"/>
    </row>
    <row r="14505" spans="3:3" x14ac:dyDescent="0.35">
      <c r="C14505" s="2"/>
    </row>
    <row r="14506" spans="3:3" x14ac:dyDescent="0.35">
      <c r="C14506" s="2"/>
    </row>
    <row r="14507" spans="3:3" x14ac:dyDescent="0.35">
      <c r="C14507" s="2"/>
    </row>
    <row r="14508" spans="3:3" x14ac:dyDescent="0.35">
      <c r="C14508" s="2"/>
    </row>
    <row r="14509" spans="3:3" x14ac:dyDescent="0.35">
      <c r="C14509" s="2"/>
    </row>
    <row r="14510" spans="3:3" x14ac:dyDescent="0.35">
      <c r="C14510" s="2"/>
    </row>
    <row r="14511" spans="3:3" x14ac:dyDescent="0.35">
      <c r="C14511" s="2"/>
    </row>
    <row r="14512" spans="3:3" x14ac:dyDescent="0.35">
      <c r="C14512" s="2"/>
    </row>
    <row r="14513" spans="3:3" x14ac:dyDescent="0.35">
      <c r="C14513" s="2"/>
    </row>
    <row r="14514" spans="3:3" x14ac:dyDescent="0.35">
      <c r="C14514" s="2"/>
    </row>
    <row r="14515" spans="3:3" x14ac:dyDescent="0.35">
      <c r="C14515" s="2"/>
    </row>
    <row r="14516" spans="3:3" x14ac:dyDescent="0.35">
      <c r="C14516" s="2"/>
    </row>
    <row r="14517" spans="3:3" x14ac:dyDescent="0.35">
      <c r="C14517" s="2"/>
    </row>
    <row r="14518" spans="3:3" x14ac:dyDescent="0.35">
      <c r="C14518" s="2"/>
    </row>
    <row r="14519" spans="3:3" x14ac:dyDescent="0.35">
      <c r="C14519" s="2"/>
    </row>
    <row r="14520" spans="3:3" x14ac:dyDescent="0.35">
      <c r="C14520" s="2"/>
    </row>
    <row r="14521" spans="3:3" x14ac:dyDescent="0.35">
      <c r="C14521" s="2"/>
    </row>
    <row r="14522" spans="3:3" x14ac:dyDescent="0.35">
      <c r="C14522" s="2"/>
    </row>
    <row r="14523" spans="3:3" x14ac:dyDescent="0.35">
      <c r="C14523" s="2"/>
    </row>
    <row r="14524" spans="3:3" x14ac:dyDescent="0.35">
      <c r="C14524" s="2"/>
    </row>
    <row r="14525" spans="3:3" x14ac:dyDescent="0.35">
      <c r="C14525" s="2"/>
    </row>
    <row r="14526" spans="3:3" x14ac:dyDescent="0.35">
      <c r="C14526" s="2"/>
    </row>
    <row r="14527" spans="3:3" x14ac:dyDescent="0.35">
      <c r="C14527" s="2"/>
    </row>
    <row r="14528" spans="3:3" x14ac:dyDescent="0.35">
      <c r="C14528" s="2"/>
    </row>
    <row r="14529" spans="3:3" x14ac:dyDescent="0.35">
      <c r="C14529" s="2"/>
    </row>
    <row r="14530" spans="3:3" x14ac:dyDescent="0.35">
      <c r="C14530" s="2"/>
    </row>
    <row r="14531" spans="3:3" x14ac:dyDescent="0.35">
      <c r="C14531" s="2"/>
    </row>
    <row r="14532" spans="3:3" x14ac:dyDescent="0.35">
      <c r="C14532" s="2"/>
    </row>
    <row r="14533" spans="3:3" x14ac:dyDescent="0.35">
      <c r="C14533" s="2"/>
    </row>
    <row r="14534" spans="3:3" x14ac:dyDescent="0.35">
      <c r="C14534" s="2"/>
    </row>
    <row r="14535" spans="3:3" x14ac:dyDescent="0.35">
      <c r="C14535" s="2"/>
    </row>
    <row r="14536" spans="3:3" x14ac:dyDescent="0.35">
      <c r="C14536" s="2"/>
    </row>
    <row r="14537" spans="3:3" x14ac:dyDescent="0.35">
      <c r="C14537" s="2"/>
    </row>
    <row r="14538" spans="3:3" x14ac:dyDescent="0.35">
      <c r="C14538" s="2"/>
    </row>
    <row r="14539" spans="3:3" x14ac:dyDescent="0.35">
      <c r="C14539" s="2"/>
    </row>
    <row r="14540" spans="3:3" x14ac:dyDescent="0.35">
      <c r="C14540" s="2"/>
    </row>
    <row r="14541" spans="3:3" x14ac:dyDescent="0.35">
      <c r="C14541" s="2"/>
    </row>
    <row r="14542" spans="3:3" x14ac:dyDescent="0.35">
      <c r="C14542" s="2"/>
    </row>
    <row r="14543" spans="3:3" x14ac:dyDescent="0.35">
      <c r="C14543" s="2"/>
    </row>
    <row r="14544" spans="3:3" x14ac:dyDescent="0.35">
      <c r="C14544" s="2"/>
    </row>
    <row r="14545" spans="3:3" x14ac:dyDescent="0.35">
      <c r="C14545" s="2"/>
    </row>
    <row r="14546" spans="3:3" x14ac:dyDescent="0.35">
      <c r="C14546" s="2"/>
    </row>
    <row r="14547" spans="3:3" x14ac:dyDescent="0.35">
      <c r="C14547" s="2"/>
    </row>
    <row r="14548" spans="3:3" x14ac:dyDescent="0.35">
      <c r="C14548" s="2"/>
    </row>
    <row r="14549" spans="3:3" x14ac:dyDescent="0.35">
      <c r="C14549" s="2"/>
    </row>
    <row r="14550" spans="3:3" x14ac:dyDescent="0.35">
      <c r="C14550" s="2"/>
    </row>
    <row r="14551" spans="3:3" x14ac:dyDescent="0.35">
      <c r="C14551" s="2"/>
    </row>
    <row r="14552" spans="3:3" x14ac:dyDescent="0.35">
      <c r="C14552" s="2"/>
    </row>
    <row r="14553" spans="3:3" x14ac:dyDescent="0.35">
      <c r="C14553" s="2"/>
    </row>
    <row r="14554" spans="3:3" x14ac:dyDescent="0.35">
      <c r="C14554" s="2"/>
    </row>
    <row r="14555" spans="3:3" x14ac:dyDescent="0.35">
      <c r="C14555" s="2"/>
    </row>
    <row r="14556" spans="3:3" x14ac:dyDescent="0.35">
      <c r="C14556" s="2"/>
    </row>
    <row r="14557" spans="3:3" x14ac:dyDescent="0.35">
      <c r="C14557" s="2"/>
    </row>
    <row r="14558" spans="3:3" x14ac:dyDescent="0.35">
      <c r="C14558" s="2"/>
    </row>
    <row r="14559" spans="3:3" x14ac:dyDescent="0.35">
      <c r="C14559" s="2"/>
    </row>
    <row r="14560" spans="3:3" x14ac:dyDescent="0.35">
      <c r="C14560" s="2"/>
    </row>
    <row r="14561" spans="3:3" x14ac:dyDescent="0.35">
      <c r="C14561" s="2"/>
    </row>
    <row r="14562" spans="3:3" x14ac:dyDescent="0.35">
      <c r="C14562" s="2"/>
    </row>
    <row r="14563" spans="3:3" x14ac:dyDescent="0.35">
      <c r="C14563" s="2"/>
    </row>
    <row r="14564" spans="3:3" x14ac:dyDescent="0.35">
      <c r="C14564" s="2"/>
    </row>
    <row r="14565" spans="3:3" x14ac:dyDescent="0.35">
      <c r="C14565" s="2"/>
    </row>
    <row r="14566" spans="3:3" x14ac:dyDescent="0.35">
      <c r="C14566" s="2"/>
    </row>
    <row r="14567" spans="3:3" x14ac:dyDescent="0.35">
      <c r="C14567" s="2"/>
    </row>
    <row r="14568" spans="3:3" x14ac:dyDescent="0.35">
      <c r="C14568" s="2"/>
    </row>
    <row r="14569" spans="3:3" x14ac:dyDescent="0.35">
      <c r="C14569" s="2"/>
    </row>
    <row r="14570" spans="3:3" x14ac:dyDescent="0.35">
      <c r="C14570" s="2"/>
    </row>
    <row r="14571" spans="3:3" x14ac:dyDescent="0.35">
      <c r="C14571" s="2"/>
    </row>
    <row r="14572" spans="3:3" x14ac:dyDescent="0.35">
      <c r="C14572" s="2"/>
    </row>
    <row r="14573" spans="3:3" x14ac:dyDescent="0.35">
      <c r="C14573" s="2"/>
    </row>
    <row r="14574" spans="3:3" x14ac:dyDescent="0.35">
      <c r="C14574" s="2"/>
    </row>
    <row r="14575" spans="3:3" x14ac:dyDescent="0.35">
      <c r="C14575" s="2"/>
    </row>
    <row r="14576" spans="3:3" x14ac:dyDescent="0.35">
      <c r="C14576" s="2"/>
    </row>
    <row r="14577" spans="3:3" x14ac:dyDescent="0.35">
      <c r="C14577" s="2"/>
    </row>
    <row r="14578" spans="3:3" x14ac:dyDescent="0.35">
      <c r="C14578" s="2"/>
    </row>
    <row r="14579" spans="3:3" x14ac:dyDescent="0.35">
      <c r="C14579" s="2"/>
    </row>
    <row r="14580" spans="3:3" x14ac:dyDescent="0.35">
      <c r="C14580" s="2"/>
    </row>
    <row r="14581" spans="3:3" x14ac:dyDescent="0.35">
      <c r="C14581" s="2"/>
    </row>
    <row r="14582" spans="3:3" x14ac:dyDescent="0.35">
      <c r="C14582" s="2"/>
    </row>
    <row r="14583" spans="3:3" x14ac:dyDescent="0.35">
      <c r="C14583" s="2"/>
    </row>
    <row r="14584" spans="3:3" x14ac:dyDescent="0.35">
      <c r="C14584" s="2"/>
    </row>
    <row r="14585" spans="3:3" x14ac:dyDescent="0.35">
      <c r="C14585" s="2"/>
    </row>
    <row r="14586" spans="3:3" x14ac:dyDescent="0.35">
      <c r="C14586" s="2"/>
    </row>
    <row r="14587" spans="3:3" x14ac:dyDescent="0.35">
      <c r="C14587" s="2"/>
    </row>
    <row r="14588" spans="3:3" x14ac:dyDescent="0.35">
      <c r="C14588" s="2"/>
    </row>
    <row r="14589" spans="3:3" x14ac:dyDescent="0.35">
      <c r="C14589" s="2"/>
    </row>
    <row r="14590" spans="3:3" x14ac:dyDescent="0.35">
      <c r="C14590" s="2"/>
    </row>
    <row r="14591" spans="3:3" x14ac:dyDescent="0.35">
      <c r="C14591" s="2"/>
    </row>
    <row r="14592" spans="3:3" x14ac:dyDescent="0.35">
      <c r="C14592" s="2"/>
    </row>
    <row r="14593" spans="3:3" x14ac:dyDescent="0.35">
      <c r="C14593" s="2"/>
    </row>
    <row r="14594" spans="3:3" x14ac:dyDescent="0.35">
      <c r="C14594" s="2"/>
    </row>
    <row r="14595" spans="3:3" x14ac:dyDescent="0.35">
      <c r="C14595" s="2"/>
    </row>
    <row r="14596" spans="3:3" x14ac:dyDescent="0.35">
      <c r="C14596" s="2"/>
    </row>
    <row r="14597" spans="3:3" x14ac:dyDescent="0.35">
      <c r="C14597" s="2"/>
    </row>
    <row r="14598" spans="3:3" x14ac:dyDescent="0.35">
      <c r="C14598" s="2"/>
    </row>
    <row r="14599" spans="3:3" x14ac:dyDescent="0.35">
      <c r="C14599" s="2"/>
    </row>
    <row r="14600" spans="3:3" x14ac:dyDescent="0.35">
      <c r="C14600" s="2"/>
    </row>
    <row r="14601" spans="3:3" x14ac:dyDescent="0.35">
      <c r="C14601" s="2"/>
    </row>
    <row r="14602" spans="3:3" x14ac:dyDescent="0.35">
      <c r="C14602" s="2"/>
    </row>
    <row r="14603" spans="3:3" x14ac:dyDescent="0.35">
      <c r="C14603" s="2"/>
    </row>
    <row r="14604" spans="3:3" x14ac:dyDescent="0.35">
      <c r="C14604" s="2"/>
    </row>
    <row r="14605" spans="3:3" x14ac:dyDescent="0.35">
      <c r="C14605" s="2"/>
    </row>
    <row r="14606" spans="3:3" x14ac:dyDescent="0.35">
      <c r="C14606" s="2"/>
    </row>
    <row r="14607" spans="3:3" x14ac:dyDescent="0.35">
      <c r="C14607" s="2"/>
    </row>
    <row r="14608" spans="3:3" x14ac:dyDescent="0.35">
      <c r="C14608" s="2"/>
    </row>
    <row r="14609" spans="3:3" x14ac:dyDescent="0.35">
      <c r="C14609" s="2"/>
    </row>
    <row r="14610" spans="3:3" x14ac:dyDescent="0.35">
      <c r="C14610" s="2"/>
    </row>
    <row r="14611" spans="3:3" x14ac:dyDescent="0.35">
      <c r="C14611" s="2"/>
    </row>
    <row r="14612" spans="3:3" x14ac:dyDescent="0.35">
      <c r="C14612" s="2"/>
    </row>
    <row r="14613" spans="3:3" x14ac:dyDescent="0.35">
      <c r="C14613" s="2"/>
    </row>
    <row r="14614" spans="3:3" x14ac:dyDescent="0.35">
      <c r="C14614" s="2"/>
    </row>
    <row r="14615" spans="3:3" x14ac:dyDescent="0.35">
      <c r="C14615" s="2"/>
    </row>
    <row r="14616" spans="3:3" x14ac:dyDescent="0.35">
      <c r="C14616" s="2"/>
    </row>
    <row r="14617" spans="3:3" x14ac:dyDescent="0.35">
      <c r="C14617" s="2"/>
    </row>
    <row r="14618" spans="3:3" x14ac:dyDescent="0.35">
      <c r="C14618" s="2"/>
    </row>
    <row r="14619" spans="3:3" x14ac:dyDescent="0.35">
      <c r="C14619" s="2"/>
    </row>
    <row r="14620" spans="3:3" x14ac:dyDescent="0.35">
      <c r="C14620" s="2"/>
    </row>
    <row r="14621" spans="3:3" x14ac:dyDescent="0.35">
      <c r="C14621" s="2"/>
    </row>
    <row r="14622" spans="3:3" x14ac:dyDescent="0.35">
      <c r="C14622" s="2"/>
    </row>
    <row r="14623" spans="3:3" x14ac:dyDescent="0.35">
      <c r="C14623" s="2"/>
    </row>
    <row r="14624" spans="3:3" x14ac:dyDescent="0.35">
      <c r="C14624" s="2"/>
    </row>
    <row r="14625" spans="3:3" x14ac:dyDescent="0.35">
      <c r="C14625" s="2"/>
    </row>
    <row r="14626" spans="3:3" x14ac:dyDescent="0.35">
      <c r="C14626" s="2"/>
    </row>
    <row r="14627" spans="3:3" x14ac:dyDescent="0.35">
      <c r="C14627" s="2"/>
    </row>
    <row r="14628" spans="3:3" x14ac:dyDescent="0.35">
      <c r="C14628" s="2"/>
    </row>
    <row r="14629" spans="3:3" x14ac:dyDescent="0.35">
      <c r="C14629" s="2"/>
    </row>
    <row r="14630" spans="3:3" x14ac:dyDescent="0.35">
      <c r="C14630" s="2"/>
    </row>
    <row r="14631" spans="3:3" x14ac:dyDescent="0.35">
      <c r="C14631" s="2"/>
    </row>
    <row r="14632" spans="3:3" x14ac:dyDescent="0.35">
      <c r="C14632" s="2"/>
    </row>
    <row r="14633" spans="3:3" x14ac:dyDescent="0.35">
      <c r="C14633" s="2"/>
    </row>
    <row r="14634" spans="3:3" x14ac:dyDescent="0.35">
      <c r="C14634" s="2"/>
    </row>
    <row r="14635" spans="3:3" x14ac:dyDescent="0.35">
      <c r="C14635" s="2"/>
    </row>
    <row r="14636" spans="3:3" x14ac:dyDescent="0.35">
      <c r="C14636" s="2"/>
    </row>
    <row r="14637" spans="3:3" x14ac:dyDescent="0.35">
      <c r="C14637" s="2"/>
    </row>
    <row r="14638" spans="3:3" x14ac:dyDescent="0.35">
      <c r="C14638" s="2"/>
    </row>
    <row r="14639" spans="3:3" x14ac:dyDescent="0.35">
      <c r="C14639" s="2"/>
    </row>
    <row r="14640" spans="3:3" x14ac:dyDescent="0.35">
      <c r="C14640" s="2"/>
    </row>
    <row r="14641" spans="3:3" x14ac:dyDescent="0.35">
      <c r="C14641" s="2"/>
    </row>
    <row r="14642" spans="3:3" x14ac:dyDescent="0.35">
      <c r="C14642" s="2"/>
    </row>
    <row r="14643" spans="3:3" x14ac:dyDescent="0.35">
      <c r="C14643" s="2"/>
    </row>
    <row r="14644" spans="3:3" x14ac:dyDescent="0.35">
      <c r="C14644" s="2"/>
    </row>
    <row r="14645" spans="3:3" x14ac:dyDescent="0.35">
      <c r="C14645" s="2"/>
    </row>
    <row r="14646" spans="3:3" x14ac:dyDescent="0.35">
      <c r="C14646" s="2"/>
    </row>
    <row r="14647" spans="3:3" x14ac:dyDescent="0.35">
      <c r="C14647" s="2"/>
    </row>
    <row r="14648" spans="3:3" x14ac:dyDescent="0.35">
      <c r="C14648" s="2"/>
    </row>
    <row r="14649" spans="3:3" x14ac:dyDescent="0.35">
      <c r="C14649" s="2"/>
    </row>
    <row r="14650" spans="3:3" x14ac:dyDescent="0.35">
      <c r="C14650" s="2"/>
    </row>
    <row r="14651" spans="3:3" x14ac:dyDescent="0.35">
      <c r="C14651" s="2"/>
    </row>
    <row r="14652" spans="3:3" x14ac:dyDescent="0.35">
      <c r="C14652" s="2"/>
    </row>
    <row r="14653" spans="3:3" x14ac:dyDescent="0.35">
      <c r="C14653" s="2"/>
    </row>
    <row r="14654" spans="3:3" x14ac:dyDescent="0.35">
      <c r="C14654" s="2"/>
    </row>
    <row r="14655" spans="3:3" x14ac:dyDescent="0.35">
      <c r="C14655" s="2"/>
    </row>
    <row r="14656" spans="3:3" x14ac:dyDescent="0.35">
      <c r="C14656" s="2"/>
    </row>
    <row r="14657" spans="3:3" x14ac:dyDescent="0.35">
      <c r="C14657" s="2"/>
    </row>
    <row r="14658" spans="3:3" x14ac:dyDescent="0.35">
      <c r="C14658" s="2"/>
    </row>
    <row r="14659" spans="3:3" x14ac:dyDescent="0.35">
      <c r="C14659" s="2"/>
    </row>
    <row r="14660" spans="3:3" x14ac:dyDescent="0.35">
      <c r="C14660" s="2"/>
    </row>
    <row r="14661" spans="3:3" x14ac:dyDescent="0.35">
      <c r="C14661" s="2"/>
    </row>
    <row r="14662" spans="3:3" x14ac:dyDescent="0.35">
      <c r="C14662" s="2"/>
    </row>
    <row r="14663" spans="3:3" x14ac:dyDescent="0.35">
      <c r="C14663" s="2"/>
    </row>
    <row r="14664" spans="3:3" x14ac:dyDescent="0.35">
      <c r="C14664" s="2"/>
    </row>
    <row r="14665" spans="3:3" x14ac:dyDescent="0.35">
      <c r="C14665" s="2"/>
    </row>
    <row r="14666" spans="3:3" x14ac:dyDescent="0.35">
      <c r="C14666" s="2"/>
    </row>
    <row r="14667" spans="3:3" x14ac:dyDescent="0.35">
      <c r="C14667" s="2"/>
    </row>
    <row r="14668" spans="3:3" x14ac:dyDescent="0.35">
      <c r="C14668" s="2"/>
    </row>
    <row r="14669" spans="3:3" x14ac:dyDescent="0.35">
      <c r="C14669" s="2"/>
    </row>
    <row r="14670" spans="3:3" x14ac:dyDescent="0.35">
      <c r="C14670" s="2"/>
    </row>
    <row r="14671" spans="3:3" x14ac:dyDescent="0.35">
      <c r="C14671" s="2"/>
    </row>
    <row r="14672" spans="3:3" x14ac:dyDescent="0.35">
      <c r="C14672" s="2"/>
    </row>
    <row r="14673" spans="3:3" x14ac:dyDescent="0.35">
      <c r="C14673" s="2"/>
    </row>
    <row r="14674" spans="3:3" x14ac:dyDescent="0.35">
      <c r="C14674" s="2"/>
    </row>
    <row r="14675" spans="3:3" x14ac:dyDescent="0.35">
      <c r="C14675" s="2"/>
    </row>
    <row r="14676" spans="3:3" x14ac:dyDescent="0.35">
      <c r="C14676" s="2"/>
    </row>
    <row r="14677" spans="3:3" x14ac:dyDescent="0.35">
      <c r="C14677" s="2"/>
    </row>
    <row r="14678" spans="3:3" x14ac:dyDescent="0.35">
      <c r="C14678" s="2"/>
    </row>
    <row r="14679" spans="3:3" x14ac:dyDescent="0.35">
      <c r="C14679" s="2"/>
    </row>
    <row r="14680" spans="3:3" x14ac:dyDescent="0.35">
      <c r="C14680" s="2"/>
    </row>
    <row r="14681" spans="3:3" x14ac:dyDescent="0.35">
      <c r="C14681" s="2"/>
    </row>
    <row r="14682" spans="3:3" x14ac:dyDescent="0.35">
      <c r="C14682" s="2"/>
    </row>
    <row r="14683" spans="3:3" x14ac:dyDescent="0.35">
      <c r="C14683" s="2"/>
    </row>
    <row r="14684" spans="3:3" x14ac:dyDescent="0.35">
      <c r="C14684" s="2"/>
    </row>
    <row r="14685" spans="3:3" x14ac:dyDescent="0.35">
      <c r="C14685" s="2"/>
    </row>
    <row r="14686" spans="3:3" x14ac:dyDescent="0.35">
      <c r="C14686" s="2"/>
    </row>
    <row r="14687" spans="3:3" x14ac:dyDescent="0.35">
      <c r="C14687" s="2"/>
    </row>
    <row r="14688" spans="3:3" x14ac:dyDescent="0.35">
      <c r="C14688" s="2"/>
    </row>
    <row r="14689" spans="3:3" x14ac:dyDescent="0.35">
      <c r="C14689" s="2"/>
    </row>
    <row r="14690" spans="3:3" x14ac:dyDescent="0.35">
      <c r="C14690" s="2"/>
    </row>
    <row r="14691" spans="3:3" x14ac:dyDescent="0.35">
      <c r="C14691" s="2"/>
    </row>
    <row r="14692" spans="3:3" x14ac:dyDescent="0.35">
      <c r="C14692" s="2"/>
    </row>
    <row r="14693" spans="3:3" x14ac:dyDescent="0.35">
      <c r="C14693" s="2"/>
    </row>
    <row r="14694" spans="3:3" x14ac:dyDescent="0.35">
      <c r="C14694" s="2"/>
    </row>
    <row r="14695" spans="3:3" x14ac:dyDescent="0.35">
      <c r="C14695" s="2"/>
    </row>
    <row r="14696" spans="3:3" x14ac:dyDescent="0.35">
      <c r="C14696" s="2"/>
    </row>
    <row r="14697" spans="3:3" x14ac:dyDescent="0.35">
      <c r="C14697" s="2"/>
    </row>
    <row r="14698" spans="3:3" x14ac:dyDescent="0.35">
      <c r="C14698" s="2"/>
    </row>
    <row r="14699" spans="3:3" x14ac:dyDescent="0.35">
      <c r="C14699" s="2"/>
    </row>
    <row r="14700" spans="3:3" x14ac:dyDescent="0.35">
      <c r="C14700" s="2"/>
    </row>
    <row r="14701" spans="3:3" x14ac:dyDescent="0.35">
      <c r="C14701" s="2"/>
    </row>
    <row r="14702" spans="3:3" x14ac:dyDescent="0.35">
      <c r="C14702" s="2"/>
    </row>
    <row r="14703" spans="3:3" x14ac:dyDescent="0.35">
      <c r="C14703" s="2"/>
    </row>
    <row r="14704" spans="3:3" x14ac:dyDescent="0.35">
      <c r="C14704" s="2"/>
    </row>
    <row r="14705" spans="3:3" x14ac:dyDescent="0.35">
      <c r="C14705" s="2"/>
    </row>
    <row r="14706" spans="3:3" x14ac:dyDescent="0.35">
      <c r="C14706" s="2"/>
    </row>
    <row r="14707" spans="3:3" x14ac:dyDescent="0.35">
      <c r="C14707" s="2"/>
    </row>
    <row r="14708" spans="3:3" x14ac:dyDescent="0.35">
      <c r="C14708" s="2"/>
    </row>
    <row r="14709" spans="3:3" x14ac:dyDescent="0.35">
      <c r="C14709" s="2"/>
    </row>
    <row r="14710" spans="3:3" x14ac:dyDescent="0.35">
      <c r="C14710" s="2"/>
    </row>
    <row r="14711" spans="3:3" x14ac:dyDescent="0.35">
      <c r="C14711" s="2"/>
    </row>
    <row r="14712" spans="3:3" x14ac:dyDescent="0.35">
      <c r="C14712" s="2"/>
    </row>
    <row r="14713" spans="3:3" x14ac:dyDescent="0.35">
      <c r="C14713" s="2"/>
    </row>
    <row r="14714" spans="3:3" x14ac:dyDescent="0.35">
      <c r="C14714" s="2"/>
    </row>
    <row r="14715" spans="3:3" x14ac:dyDescent="0.35">
      <c r="C14715" s="2"/>
    </row>
    <row r="14716" spans="3:3" x14ac:dyDescent="0.35">
      <c r="C14716" s="2"/>
    </row>
    <row r="14717" spans="3:3" x14ac:dyDescent="0.35">
      <c r="C14717" s="2"/>
    </row>
    <row r="14718" spans="3:3" x14ac:dyDescent="0.35">
      <c r="C14718" s="2"/>
    </row>
    <row r="14719" spans="3:3" x14ac:dyDescent="0.35">
      <c r="C14719" s="2"/>
    </row>
    <row r="14720" spans="3:3" x14ac:dyDescent="0.35">
      <c r="C14720" s="2"/>
    </row>
    <row r="14721" spans="3:3" x14ac:dyDescent="0.35">
      <c r="C14721" s="2"/>
    </row>
    <row r="14722" spans="3:3" x14ac:dyDescent="0.35">
      <c r="C14722" s="2"/>
    </row>
    <row r="14723" spans="3:3" x14ac:dyDescent="0.35">
      <c r="C14723" s="2"/>
    </row>
    <row r="14724" spans="3:3" x14ac:dyDescent="0.35">
      <c r="C14724" s="2"/>
    </row>
    <row r="14725" spans="3:3" x14ac:dyDescent="0.35">
      <c r="C14725" s="2"/>
    </row>
    <row r="14726" spans="3:3" x14ac:dyDescent="0.35">
      <c r="C14726" s="2"/>
    </row>
    <row r="14727" spans="3:3" x14ac:dyDescent="0.35">
      <c r="C14727" s="2"/>
    </row>
    <row r="14728" spans="3:3" x14ac:dyDescent="0.35">
      <c r="C14728" s="2"/>
    </row>
    <row r="14729" spans="3:3" x14ac:dyDescent="0.35">
      <c r="C14729" s="2"/>
    </row>
    <row r="14730" spans="3:3" x14ac:dyDescent="0.35">
      <c r="C14730" s="2"/>
    </row>
    <row r="14731" spans="3:3" x14ac:dyDescent="0.35">
      <c r="C14731" s="2"/>
    </row>
    <row r="14732" spans="3:3" x14ac:dyDescent="0.35">
      <c r="C14732" s="2"/>
    </row>
    <row r="14733" spans="3:3" x14ac:dyDescent="0.35">
      <c r="C14733" s="2"/>
    </row>
    <row r="14734" spans="3:3" x14ac:dyDescent="0.35">
      <c r="C14734" s="2"/>
    </row>
    <row r="14735" spans="3:3" x14ac:dyDescent="0.35">
      <c r="C14735" s="2"/>
    </row>
    <row r="14736" spans="3:3" x14ac:dyDescent="0.35">
      <c r="C14736" s="2"/>
    </row>
    <row r="14737" spans="3:3" x14ac:dyDescent="0.35">
      <c r="C14737" s="2"/>
    </row>
    <row r="14738" spans="3:3" x14ac:dyDescent="0.35">
      <c r="C14738" s="2"/>
    </row>
    <row r="14739" spans="3:3" x14ac:dyDescent="0.35">
      <c r="C14739" s="2"/>
    </row>
    <row r="14740" spans="3:3" x14ac:dyDescent="0.35">
      <c r="C14740" s="2"/>
    </row>
    <row r="14741" spans="3:3" x14ac:dyDescent="0.35">
      <c r="C14741" s="2"/>
    </row>
    <row r="14742" spans="3:3" x14ac:dyDescent="0.35">
      <c r="C14742" s="2"/>
    </row>
    <row r="14743" spans="3:3" x14ac:dyDescent="0.35">
      <c r="C14743" s="2"/>
    </row>
    <row r="14744" spans="3:3" x14ac:dyDescent="0.35">
      <c r="C14744" s="2"/>
    </row>
    <row r="14745" spans="3:3" x14ac:dyDescent="0.35">
      <c r="C14745" s="2"/>
    </row>
    <row r="14746" spans="3:3" x14ac:dyDescent="0.35">
      <c r="C14746" s="2"/>
    </row>
    <row r="14747" spans="3:3" x14ac:dyDescent="0.35">
      <c r="C14747" s="2"/>
    </row>
    <row r="14748" spans="3:3" x14ac:dyDescent="0.35">
      <c r="C14748" s="2"/>
    </row>
    <row r="14749" spans="3:3" x14ac:dyDescent="0.35">
      <c r="C14749" s="2"/>
    </row>
    <row r="14750" spans="3:3" x14ac:dyDescent="0.35">
      <c r="C14750" s="2"/>
    </row>
    <row r="14751" spans="3:3" x14ac:dyDescent="0.35">
      <c r="C14751" s="2"/>
    </row>
    <row r="14752" spans="3:3" x14ac:dyDescent="0.35">
      <c r="C14752" s="2"/>
    </row>
    <row r="14753" spans="3:3" x14ac:dyDescent="0.35">
      <c r="C14753" s="2"/>
    </row>
    <row r="14754" spans="3:3" x14ac:dyDescent="0.35">
      <c r="C14754" s="2"/>
    </row>
    <row r="14755" spans="3:3" x14ac:dyDescent="0.35">
      <c r="C14755" s="2"/>
    </row>
    <row r="14756" spans="3:3" x14ac:dyDescent="0.35">
      <c r="C14756" s="2"/>
    </row>
    <row r="14757" spans="3:3" x14ac:dyDescent="0.35">
      <c r="C14757" s="2"/>
    </row>
    <row r="14758" spans="3:3" x14ac:dyDescent="0.35">
      <c r="C14758" s="2"/>
    </row>
    <row r="14759" spans="3:3" x14ac:dyDescent="0.35">
      <c r="C14759" s="2"/>
    </row>
    <row r="14760" spans="3:3" x14ac:dyDescent="0.35">
      <c r="C14760" s="2"/>
    </row>
    <row r="14761" spans="3:3" x14ac:dyDescent="0.35">
      <c r="C14761" s="2"/>
    </row>
    <row r="14762" spans="3:3" x14ac:dyDescent="0.35">
      <c r="C14762" s="2"/>
    </row>
    <row r="14763" spans="3:3" x14ac:dyDescent="0.35">
      <c r="C14763" s="2"/>
    </row>
    <row r="14764" spans="3:3" x14ac:dyDescent="0.35">
      <c r="C14764" s="2"/>
    </row>
    <row r="14765" spans="3:3" x14ac:dyDescent="0.35">
      <c r="C14765" s="2"/>
    </row>
    <row r="14766" spans="3:3" x14ac:dyDescent="0.35">
      <c r="C14766" s="2"/>
    </row>
    <row r="14767" spans="3:3" x14ac:dyDescent="0.35">
      <c r="C14767" s="2"/>
    </row>
    <row r="14768" spans="3:3" x14ac:dyDescent="0.35">
      <c r="C14768" s="2"/>
    </row>
    <row r="14769" spans="3:3" x14ac:dyDescent="0.35">
      <c r="C14769" s="2"/>
    </row>
    <row r="14770" spans="3:3" x14ac:dyDescent="0.35">
      <c r="C14770" s="2"/>
    </row>
    <row r="14771" spans="3:3" x14ac:dyDescent="0.35">
      <c r="C14771" s="2"/>
    </row>
    <row r="14772" spans="3:3" x14ac:dyDescent="0.35">
      <c r="C14772" s="2"/>
    </row>
    <row r="14773" spans="3:3" x14ac:dyDescent="0.35">
      <c r="C14773" s="2"/>
    </row>
    <row r="14774" spans="3:3" x14ac:dyDescent="0.35">
      <c r="C14774" s="2"/>
    </row>
    <row r="14775" spans="3:3" x14ac:dyDescent="0.35">
      <c r="C14775" s="2"/>
    </row>
    <row r="14776" spans="3:3" x14ac:dyDescent="0.35">
      <c r="C14776" s="2"/>
    </row>
    <row r="14777" spans="3:3" x14ac:dyDescent="0.35">
      <c r="C14777" s="2"/>
    </row>
    <row r="14778" spans="3:3" x14ac:dyDescent="0.35">
      <c r="C14778" s="2"/>
    </row>
    <row r="14779" spans="3:3" x14ac:dyDescent="0.35">
      <c r="C14779" s="2"/>
    </row>
    <row r="14780" spans="3:3" x14ac:dyDescent="0.35">
      <c r="C14780" s="2"/>
    </row>
    <row r="14781" spans="3:3" x14ac:dyDescent="0.35">
      <c r="C14781" s="2"/>
    </row>
    <row r="14782" spans="3:3" x14ac:dyDescent="0.35">
      <c r="C14782" s="2"/>
    </row>
    <row r="14783" spans="3:3" x14ac:dyDescent="0.35">
      <c r="C14783" s="2"/>
    </row>
    <row r="14784" spans="3:3" x14ac:dyDescent="0.35">
      <c r="C14784" s="2"/>
    </row>
    <row r="14785" spans="3:3" x14ac:dyDescent="0.35">
      <c r="C14785" s="2"/>
    </row>
    <row r="14786" spans="3:3" x14ac:dyDescent="0.35">
      <c r="C14786" s="2"/>
    </row>
    <row r="14787" spans="3:3" x14ac:dyDescent="0.35">
      <c r="C14787" s="2"/>
    </row>
    <row r="14788" spans="3:3" x14ac:dyDescent="0.35">
      <c r="C14788" s="2"/>
    </row>
    <row r="14789" spans="3:3" x14ac:dyDescent="0.35">
      <c r="C14789" s="2"/>
    </row>
    <row r="14790" spans="3:3" x14ac:dyDescent="0.35">
      <c r="C14790" s="2"/>
    </row>
    <row r="14791" spans="3:3" x14ac:dyDescent="0.35">
      <c r="C14791" s="2"/>
    </row>
    <row r="14792" spans="3:3" x14ac:dyDescent="0.35">
      <c r="C14792" s="2"/>
    </row>
    <row r="14793" spans="3:3" x14ac:dyDescent="0.35">
      <c r="C14793" s="2"/>
    </row>
    <row r="14794" spans="3:3" x14ac:dyDescent="0.35">
      <c r="C14794" s="2"/>
    </row>
    <row r="14795" spans="3:3" x14ac:dyDescent="0.35">
      <c r="C14795" s="2"/>
    </row>
    <row r="14796" spans="3:3" x14ac:dyDescent="0.35">
      <c r="C14796" s="2"/>
    </row>
    <row r="14797" spans="3:3" x14ac:dyDescent="0.35">
      <c r="C14797" s="2"/>
    </row>
    <row r="14798" spans="3:3" x14ac:dyDescent="0.35">
      <c r="C14798" s="2"/>
    </row>
    <row r="14799" spans="3:3" x14ac:dyDescent="0.35">
      <c r="C14799" s="2"/>
    </row>
    <row r="14800" spans="3:3" x14ac:dyDescent="0.35">
      <c r="C14800" s="2"/>
    </row>
    <row r="14801" spans="3:3" x14ac:dyDescent="0.35">
      <c r="C14801" s="2"/>
    </row>
    <row r="14802" spans="3:3" x14ac:dyDescent="0.35">
      <c r="C14802" s="2"/>
    </row>
    <row r="14803" spans="3:3" x14ac:dyDescent="0.35">
      <c r="C14803" s="2"/>
    </row>
    <row r="14804" spans="3:3" x14ac:dyDescent="0.35">
      <c r="C14804" s="2"/>
    </row>
    <row r="14805" spans="3:3" x14ac:dyDescent="0.35">
      <c r="C14805" s="2"/>
    </row>
    <row r="14806" spans="3:3" x14ac:dyDescent="0.35">
      <c r="C14806" s="2"/>
    </row>
    <row r="14807" spans="3:3" x14ac:dyDescent="0.35">
      <c r="C14807" s="2"/>
    </row>
    <row r="14808" spans="3:3" x14ac:dyDescent="0.35">
      <c r="C14808" s="2"/>
    </row>
    <row r="14809" spans="3:3" x14ac:dyDescent="0.35">
      <c r="C14809" s="2"/>
    </row>
    <row r="14810" spans="3:3" x14ac:dyDescent="0.35">
      <c r="C14810" s="2"/>
    </row>
    <row r="14811" spans="3:3" x14ac:dyDescent="0.35">
      <c r="C14811" s="2"/>
    </row>
    <row r="14812" spans="3:3" x14ac:dyDescent="0.35">
      <c r="C14812" s="2"/>
    </row>
    <row r="14813" spans="3:3" x14ac:dyDescent="0.35">
      <c r="C14813" s="2"/>
    </row>
    <row r="14814" spans="3:3" x14ac:dyDescent="0.35">
      <c r="C14814" s="2"/>
    </row>
    <row r="14815" spans="3:3" x14ac:dyDescent="0.35">
      <c r="C14815" s="2"/>
    </row>
    <row r="14816" spans="3:3" x14ac:dyDescent="0.35">
      <c r="C14816" s="2"/>
    </row>
    <row r="14817" spans="3:3" x14ac:dyDescent="0.35">
      <c r="C14817" s="2"/>
    </row>
    <row r="14818" spans="3:3" x14ac:dyDescent="0.35">
      <c r="C14818" s="2"/>
    </row>
    <row r="14819" spans="3:3" x14ac:dyDescent="0.35">
      <c r="C14819" s="2"/>
    </row>
    <row r="14820" spans="3:3" x14ac:dyDescent="0.35">
      <c r="C14820" s="2"/>
    </row>
    <row r="14821" spans="3:3" x14ac:dyDescent="0.35">
      <c r="C14821" s="2"/>
    </row>
    <row r="14822" spans="3:3" x14ac:dyDescent="0.35">
      <c r="C14822" s="2"/>
    </row>
    <row r="14823" spans="3:3" x14ac:dyDescent="0.35">
      <c r="C14823" s="2"/>
    </row>
    <row r="14824" spans="3:3" x14ac:dyDescent="0.35">
      <c r="C14824" s="2"/>
    </row>
    <row r="14825" spans="3:3" x14ac:dyDescent="0.35">
      <c r="C14825" s="2"/>
    </row>
    <row r="14826" spans="3:3" x14ac:dyDescent="0.35">
      <c r="C14826" s="2"/>
    </row>
    <row r="14827" spans="3:3" x14ac:dyDescent="0.35">
      <c r="C14827" s="2"/>
    </row>
    <row r="14828" spans="3:3" x14ac:dyDescent="0.35">
      <c r="C14828" s="2"/>
    </row>
    <row r="14829" spans="3:3" x14ac:dyDescent="0.35">
      <c r="C14829" s="2"/>
    </row>
    <row r="14830" spans="3:3" x14ac:dyDescent="0.35">
      <c r="C14830" s="2"/>
    </row>
    <row r="14831" spans="3:3" x14ac:dyDescent="0.35">
      <c r="C14831" s="2"/>
    </row>
    <row r="14832" spans="3:3" x14ac:dyDescent="0.35">
      <c r="C14832" s="2"/>
    </row>
    <row r="14833" spans="3:3" x14ac:dyDescent="0.35">
      <c r="C14833" s="2"/>
    </row>
    <row r="14834" spans="3:3" x14ac:dyDescent="0.35">
      <c r="C14834" s="2"/>
    </row>
    <row r="14835" spans="3:3" x14ac:dyDescent="0.35">
      <c r="C14835" s="2"/>
    </row>
    <row r="14836" spans="3:3" x14ac:dyDescent="0.35">
      <c r="C14836" s="2"/>
    </row>
    <row r="14837" spans="3:3" x14ac:dyDescent="0.35">
      <c r="C14837" s="2"/>
    </row>
    <row r="14838" spans="3:3" x14ac:dyDescent="0.35">
      <c r="C14838" s="2"/>
    </row>
    <row r="14839" spans="3:3" x14ac:dyDescent="0.35">
      <c r="C14839" s="2"/>
    </row>
    <row r="14840" spans="3:3" x14ac:dyDescent="0.35">
      <c r="C14840" s="2"/>
    </row>
    <row r="14841" spans="3:3" x14ac:dyDescent="0.35">
      <c r="C14841" s="2"/>
    </row>
    <row r="14842" spans="3:3" x14ac:dyDescent="0.35">
      <c r="C14842" s="2"/>
    </row>
    <row r="14843" spans="3:3" x14ac:dyDescent="0.35">
      <c r="C14843" s="2"/>
    </row>
    <row r="14844" spans="3:3" x14ac:dyDescent="0.35">
      <c r="C14844" s="2"/>
    </row>
    <row r="14845" spans="3:3" x14ac:dyDescent="0.35">
      <c r="C14845" s="2"/>
    </row>
    <row r="14846" spans="3:3" x14ac:dyDescent="0.35">
      <c r="C14846" s="2"/>
    </row>
    <row r="14847" spans="3:3" x14ac:dyDescent="0.35">
      <c r="C14847" s="2"/>
    </row>
    <row r="14848" spans="3:3" x14ac:dyDescent="0.35">
      <c r="C14848" s="2"/>
    </row>
    <row r="14849" spans="3:3" x14ac:dyDescent="0.35">
      <c r="C14849" s="2"/>
    </row>
    <row r="14850" spans="3:3" x14ac:dyDescent="0.35">
      <c r="C14850" s="2"/>
    </row>
    <row r="14851" spans="3:3" x14ac:dyDescent="0.35">
      <c r="C14851" s="2"/>
    </row>
    <row r="14852" spans="3:3" x14ac:dyDescent="0.35">
      <c r="C14852" s="2"/>
    </row>
    <row r="14853" spans="3:3" x14ac:dyDescent="0.35">
      <c r="C14853" s="2"/>
    </row>
    <row r="14854" spans="3:3" x14ac:dyDescent="0.35">
      <c r="C14854" s="2"/>
    </row>
    <row r="14855" spans="3:3" x14ac:dyDescent="0.35">
      <c r="C14855" s="2"/>
    </row>
    <row r="14856" spans="3:3" x14ac:dyDescent="0.35">
      <c r="C14856" s="2"/>
    </row>
    <row r="14857" spans="3:3" x14ac:dyDescent="0.35">
      <c r="C14857" s="2"/>
    </row>
    <row r="14858" spans="3:3" x14ac:dyDescent="0.35">
      <c r="C14858" s="2"/>
    </row>
    <row r="14859" spans="3:3" x14ac:dyDescent="0.35">
      <c r="C14859" s="2"/>
    </row>
    <row r="14860" spans="3:3" x14ac:dyDescent="0.35">
      <c r="C14860" s="2"/>
    </row>
    <row r="14861" spans="3:3" x14ac:dyDescent="0.35">
      <c r="C14861" s="2"/>
    </row>
    <row r="14862" spans="3:3" x14ac:dyDescent="0.35">
      <c r="C14862" s="2"/>
    </row>
    <row r="14863" spans="3:3" x14ac:dyDescent="0.35">
      <c r="C14863" s="2"/>
    </row>
    <row r="14864" spans="3:3" x14ac:dyDescent="0.35">
      <c r="C14864" s="2"/>
    </row>
    <row r="14865" spans="3:3" x14ac:dyDescent="0.35">
      <c r="C14865" s="2"/>
    </row>
    <row r="14866" spans="3:3" x14ac:dyDescent="0.35">
      <c r="C14866" s="2"/>
    </row>
    <row r="14867" spans="3:3" x14ac:dyDescent="0.35">
      <c r="C14867" s="2"/>
    </row>
    <row r="14868" spans="3:3" x14ac:dyDescent="0.35">
      <c r="C14868" s="2"/>
    </row>
    <row r="14869" spans="3:3" x14ac:dyDescent="0.35">
      <c r="C14869" s="2"/>
    </row>
    <row r="14870" spans="3:3" x14ac:dyDescent="0.35">
      <c r="C14870" s="2"/>
    </row>
    <row r="14871" spans="3:3" x14ac:dyDescent="0.35">
      <c r="C14871" s="2"/>
    </row>
    <row r="14872" spans="3:3" x14ac:dyDescent="0.35">
      <c r="C14872" s="2"/>
    </row>
    <row r="14873" spans="3:3" x14ac:dyDescent="0.35">
      <c r="C14873" s="2"/>
    </row>
    <row r="14874" spans="3:3" x14ac:dyDescent="0.35">
      <c r="C14874" s="2"/>
    </row>
    <row r="14875" spans="3:3" x14ac:dyDescent="0.35">
      <c r="C14875" s="2"/>
    </row>
    <row r="14876" spans="3:3" x14ac:dyDescent="0.35">
      <c r="C14876" s="2"/>
    </row>
    <row r="14877" spans="3:3" x14ac:dyDescent="0.35">
      <c r="C14877" s="2"/>
    </row>
    <row r="14878" spans="3:3" x14ac:dyDescent="0.35">
      <c r="C14878" s="2"/>
    </row>
    <row r="14879" spans="3:3" x14ac:dyDescent="0.35">
      <c r="C14879" s="2"/>
    </row>
    <row r="14880" spans="3:3" x14ac:dyDescent="0.35">
      <c r="C14880" s="2"/>
    </row>
    <row r="14881" spans="3:3" x14ac:dyDescent="0.35">
      <c r="C14881" s="2"/>
    </row>
    <row r="14882" spans="3:3" x14ac:dyDescent="0.35">
      <c r="C14882" s="2"/>
    </row>
    <row r="14883" spans="3:3" x14ac:dyDescent="0.35">
      <c r="C14883" s="2"/>
    </row>
    <row r="14884" spans="3:3" x14ac:dyDescent="0.35">
      <c r="C14884" s="2"/>
    </row>
    <row r="14885" spans="3:3" x14ac:dyDescent="0.35">
      <c r="C14885" s="2"/>
    </row>
    <row r="14886" spans="3:3" x14ac:dyDescent="0.35">
      <c r="C14886" s="2"/>
    </row>
    <row r="14887" spans="3:3" x14ac:dyDescent="0.35">
      <c r="C14887" s="2"/>
    </row>
    <row r="14888" spans="3:3" x14ac:dyDescent="0.35">
      <c r="C14888" s="2"/>
    </row>
    <row r="14889" spans="3:3" x14ac:dyDescent="0.35">
      <c r="C14889" s="2"/>
    </row>
    <row r="14890" spans="3:3" x14ac:dyDescent="0.35">
      <c r="C14890" s="2"/>
    </row>
    <row r="14891" spans="3:3" x14ac:dyDescent="0.35">
      <c r="C14891" s="2"/>
    </row>
    <row r="14892" spans="3:3" x14ac:dyDescent="0.35">
      <c r="C14892" s="2"/>
    </row>
    <row r="14893" spans="3:3" x14ac:dyDescent="0.35">
      <c r="C14893" s="2"/>
    </row>
    <row r="14894" spans="3:3" x14ac:dyDescent="0.35">
      <c r="C14894" s="2"/>
    </row>
    <row r="14895" spans="3:3" x14ac:dyDescent="0.35">
      <c r="C14895" s="2"/>
    </row>
    <row r="14896" spans="3:3" x14ac:dyDescent="0.35">
      <c r="C14896" s="2"/>
    </row>
    <row r="14897" spans="3:3" x14ac:dyDescent="0.35">
      <c r="C14897" s="2"/>
    </row>
    <row r="14898" spans="3:3" x14ac:dyDescent="0.35">
      <c r="C14898" s="2"/>
    </row>
    <row r="14899" spans="3:3" x14ac:dyDescent="0.35">
      <c r="C14899" s="2"/>
    </row>
    <row r="14900" spans="3:3" x14ac:dyDescent="0.35">
      <c r="C14900" s="2"/>
    </row>
    <row r="14901" spans="3:3" x14ac:dyDescent="0.35">
      <c r="C14901" s="2"/>
    </row>
    <row r="14902" spans="3:3" x14ac:dyDescent="0.35">
      <c r="C14902" s="2"/>
    </row>
    <row r="14903" spans="3:3" x14ac:dyDescent="0.35">
      <c r="C14903" s="2"/>
    </row>
    <row r="14904" spans="3:3" x14ac:dyDescent="0.35">
      <c r="C14904" s="2"/>
    </row>
    <row r="14905" spans="3:3" x14ac:dyDescent="0.35">
      <c r="C14905" s="2"/>
    </row>
    <row r="14906" spans="3:3" x14ac:dyDescent="0.35">
      <c r="C14906" s="2"/>
    </row>
    <row r="14907" spans="3:3" x14ac:dyDescent="0.35">
      <c r="C14907" s="2"/>
    </row>
    <row r="14908" spans="3:3" x14ac:dyDescent="0.35">
      <c r="C14908" s="2"/>
    </row>
    <row r="14909" spans="3:3" x14ac:dyDescent="0.35">
      <c r="C14909" s="2"/>
    </row>
    <row r="14910" spans="3:3" x14ac:dyDescent="0.35">
      <c r="C14910" s="2"/>
    </row>
    <row r="14911" spans="3:3" x14ac:dyDescent="0.35">
      <c r="C14911" s="2"/>
    </row>
    <row r="14912" spans="3:3" x14ac:dyDescent="0.35">
      <c r="C14912" s="2"/>
    </row>
    <row r="14913" spans="3:3" x14ac:dyDescent="0.35">
      <c r="C14913" s="2"/>
    </row>
    <row r="14914" spans="3:3" x14ac:dyDescent="0.35">
      <c r="C14914" s="2"/>
    </row>
    <row r="14915" spans="3:3" x14ac:dyDescent="0.35">
      <c r="C14915" s="2"/>
    </row>
    <row r="14916" spans="3:3" x14ac:dyDescent="0.35">
      <c r="C14916" s="2"/>
    </row>
    <row r="14917" spans="3:3" x14ac:dyDescent="0.35">
      <c r="C14917" s="2"/>
    </row>
    <row r="14918" spans="3:3" x14ac:dyDescent="0.35">
      <c r="C14918" s="2"/>
    </row>
    <row r="14919" spans="3:3" x14ac:dyDescent="0.35">
      <c r="C14919" s="2"/>
    </row>
    <row r="14920" spans="3:3" x14ac:dyDescent="0.35">
      <c r="C14920" s="2"/>
    </row>
    <row r="14921" spans="3:3" x14ac:dyDescent="0.35">
      <c r="C14921" s="2"/>
    </row>
    <row r="14922" spans="3:3" x14ac:dyDescent="0.35">
      <c r="C14922" s="2"/>
    </row>
    <row r="14923" spans="3:3" x14ac:dyDescent="0.35">
      <c r="C14923" s="2"/>
    </row>
    <row r="14924" spans="3:3" x14ac:dyDescent="0.35">
      <c r="C14924" s="2"/>
    </row>
    <row r="14925" spans="3:3" x14ac:dyDescent="0.35">
      <c r="C14925" s="2"/>
    </row>
    <row r="14926" spans="3:3" x14ac:dyDescent="0.35">
      <c r="C14926" s="2"/>
    </row>
    <row r="14927" spans="3:3" x14ac:dyDescent="0.35">
      <c r="C14927" s="2"/>
    </row>
    <row r="14928" spans="3:3" x14ac:dyDescent="0.35">
      <c r="C14928" s="2"/>
    </row>
    <row r="14929" spans="3:3" x14ac:dyDescent="0.35">
      <c r="C14929" s="2"/>
    </row>
    <row r="14930" spans="3:3" x14ac:dyDescent="0.35">
      <c r="C14930" s="2"/>
    </row>
    <row r="14931" spans="3:3" x14ac:dyDescent="0.35">
      <c r="C14931" s="2"/>
    </row>
    <row r="14932" spans="3:3" x14ac:dyDescent="0.35">
      <c r="C14932" s="2"/>
    </row>
    <row r="14933" spans="3:3" x14ac:dyDescent="0.35">
      <c r="C14933" s="2"/>
    </row>
    <row r="14934" spans="3:3" x14ac:dyDescent="0.35">
      <c r="C14934" s="2"/>
    </row>
    <row r="14935" spans="3:3" x14ac:dyDescent="0.35">
      <c r="C14935" s="2"/>
    </row>
    <row r="14936" spans="3:3" x14ac:dyDescent="0.35">
      <c r="C14936" s="2"/>
    </row>
    <row r="14937" spans="3:3" x14ac:dyDescent="0.35">
      <c r="C14937" s="2"/>
    </row>
    <row r="14938" spans="3:3" x14ac:dyDescent="0.35">
      <c r="C14938" s="2"/>
    </row>
    <row r="14939" spans="3:3" x14ac:dyDescent="0.35">
      <c r="C14939" s="2"/>
    </row>
    <row r="14940" spans="3:3" x14ac:dyDescent="0.35">
      <c r="C14940" s="2"/>
    </row>
    <row r="14941" spans="3:3" x14ac:dyDescent="0.35">
      <c r="C14941" s="2"/>
    </row>
    <row r="14942" spans="3:3" x14ac:dyDescent="0.35">
      <c r="C14942" s="2"/>
    </row>
    <row r="14943" spans="3:3" x14ac:dyDescent="0.35">
      <c r="C14943" s="2"/>
    </row>
    <row r="14944" spans="3:3" x14ac:dyDescent="0.35">
      <c r="C14944" s="2"/>
    </row>
    <row r="14945" spans="3:3" x14ac:dyDescent="0.35">
      <c r="C14945" s="2"/>
    </row>
    <row r="14946" spans="3:3" x14ac:dyDescent="0.35">
      <c r="C14946" s="2"/>
    </row>
    <row r="14947" spans="3:3" x14ac:dyDescent="0.35">
      <c r="C14947" s="2"/>
    </row>
    <row r="14948" spans="3:3" x14ac:dyDescent="0.35">
      <c r="C14948" s="2"/>
    </row>
    <row r="14949" spans="3:3" x14ac:dyDescent="0.35">
      <c r="C14949" s="2"/>
    </row>
    <row r="14950" spans="3:3" x14ac:dyDescent="0.35">
      <c r="C14950" s="2"/>
    </row>
    <row r="14951" spans="3:3" x14ac:dyDescent="0.35">
      <c r="C14951" s="2"/>
    </row>
    <row r="14952" spans="3:3" x14ac:dyDescent="0.35">
      <c r="C14952" s="2"/>
    </row>
    <row r="14953" spans="3:3" x14ac:dyDescent="0.35">
      <c r="C14953" s="2"/>
    </row>
    <row r="14954" spans="3:3" x14ac:dyDescent="0.35">
      <c r="C14954" s="2"/>
    </row>
    <row r="14955" spans="3:3" x14ac:dyDescent="0.35">
      <c r="C14955" s="2"/>
    </row>
    <row r="14956" spans="3:3" x14ac:dyDescent="0.35">
      <c r="C14956" s="2"/>
    </row>
    <row r="14957" spans="3:3" x14ac:dyDescent="0.35">
      <c r="C14957" s="2"/>
    </row>
    <row r="14958" spans="3:3" x14ac:dyDescent="0.35">
      <c r="C14958" s="2"/>
    </row>
    <row r="14959" spans="3:3" x14ac:dyDescent="0.35">
      <c r="C14959" s="2"/>
    </row>
    <row r="14960" spans="3:3" x14ac:dyDescent="0.35">
      <c r="C14960" s="2"/>
    </row>
    <row r="14961" spans="3:3" x14ac:dyDescent="0.35">
      <c r="C14961" s="2"/>
    </row>
    <row r="14962" spans="3:3" x14ac:dyDescent="0.35">
      <c r="C14962" s="2"/>
    </row>
    <row r="14963" spans="3:3" x14ac:dyDescent="0.35">
      <c r="C14963" s="2"/>
    </row>
    <row r="14964" spans="3:3" x14ac:dyDescent="0.35">
      <c r="C14964" s="2"/>
    </row>
    <row r="14965" spans="3:3" x14ac:dyDescent="0.35">
      <c r="C14965" s="2"/>
    </row>
    <row r="14966" spans="3:3" x14ac:dyDescent="0.35">
      <c r="C14966" s="2"/>
    </row>
    <row r="14967" spans="3:3" x14ac:dyDescent="0.35">
      <c r="C14967" s="2"/>
    </row>
    <row r="14968" spans="3:3" x14ac:dyDescent="0.35">
      <c r="C14968" s="2"/>
    </row>
    <row r="14969" spans="3:3" x14ac:dyDescent="0.35">
      <c r="C14969" s="2"/>
    </row>
    <row r="14970" spans="3:3" x14ac:dyDescent="0.35">
      <c r="C14970" s="2"/>
    </row>
    <row r="14971" spans="3:3" x14ac:dyDescent="0.35">
      <c r="C14971" s="2"/>
    </row>
    <row r="14972" spans="3:3" x14ac:dyDescent="0.35">
      <c r="C14972" s="2"/>
    </row>
    <row r="14973" spans="3:3" x14ac:dyDescent="0.35">
      <c r="C14973" s="2"/>
    </row>
    <row r="14974" spans="3:3" x14ac:dyDescent="0.35">
      <c r="C14974" s="2"/>
    </row>
    <row r="14975" spans="3:3" x14ac:dyDescent="0.35">
      <c r="C14975" s="2"/>
    </row>
    <row r="14976" spans="3:3" x14ac:dyDescent="0.35">
      <c r="C14976" s="2"/>
    </row>
    <row r="14977" spans="3:3" x14ac:dyDescent="0.35">
      <c r="C14977" s="2"/>
    </row>
    <row r="14978" spans="3:3" x14ac:dyDescent="0.35">
      <c r="C14978" s="2"/>
    </row>
    <row r="14979" spans="3:3" x14ac:dyDescent="0.35">
      <c r="C14979" s="2"/>
    </row>
    <row r="14980" spans="3:3" x14ac:dyDescent="0.35">
      <c r="C14980" s="2"/>
    </row>
    <row r="14981" spans="3:3" x14ac:dyDescent="0.35">
      <c r="C14981" s="2"/>
    </row>
    <row r="14982" spans="3:3" x14ac:dyDescent="0.35">
      <c r="C14982" s="2"/>
    </row>
    <row r="14983" spans="3:3" x14ac:dyDescent="0.35">
      <c r="C14983" s="2"/>
    </row>
    <row r="14984" spans="3:3" x14ac:dyDescent="0.35">
      <c r="C14984" s="2"/>
    </row>
    <row r="14985" spans="3:3" x14ac:dyDescent="0.35">
      <c r="C14985" s="2"/>
    </row>
    <row r="14986" spans="3:3" x14ac:dyDescent="0.35">
      <c r="C14986" s="2"/>
    </row>
    <row r="14987" spans="3:3" x14ac:dyDescent="0.35">
      <c r="C14987" s="2"/>
    </row>
    <row r="14988" spans="3:3" x14ac:dyDescent="0.35">
      <c r="C14988" s="2"/>
    </row>
    <row r="14989" spans="3:3" x14ac:dyDescent="0.35">
      <c r="C14989" s="2"/>
    </row>
    <row r="14990" spans="3:3" x14ac:dyDescent="0.35">
      <c r="C14990" s="2"/>
    </row>
    <row r="14991" spans="3:3" x14ac:dyDescent="0.35">
      <c r="C14991" s="2"/>
    </row>
    <row r="14992" spans="3:3" x14ac:dyDescent="0.35">
      <c r="C14992" s="2"/>
    </row>
    <row r="14993" spans="3:3" x14ac:dyDescent="0.35">
      <c r="C14993" s="2"/>
    </row>
    <row r="14994" spans="3:3" x14ac:dyDescent="0.35">
      <c r="C14994" s="2"/>
    </row>
    <row r="14995" spans="3:3" x14ac:dyDescent="0.35">
      <c r="C14995" s="2"/>
    </row>
    <row r="14996" spans="3:3" x14ac:dyDescent="0.35">
      <c r="C14996" s="2"/>
    </row>
    <row r="14997" spans="3:3" x14ac:dyDescent="0.35">
      <c r="C14997" s="2"/>
    </row>
    <row r="14998" spans="3:3" x14ac:dyDescent="0.35">
      <c r="C14998" s="2"/>
    </row>
    <row r="14999" spans="3:3" x14ac:dyDescent="0.35">
      <c r="C14999" s="2"/>
    </row>
    <row r="15000" spans="3:3" x14ac:dyDescent="0.35">
      <c r="C15000" s="2"/>
    </row>
    <row r="15001" spans="3:3" x14ac:dyDescent="0.35">
      <c r="C15001" s="2"/>
    </row>
    <row r="15002" spans="3:3" x14ac:dyDescent="0.35">
      <c r="C15002" s="2"/>
    </row>
    <row r="15003" spans="3:3" x14ac:dyDescent="0.35">
      <c r="C15003" s="2"/>
    </row>
    <row r="15004" spans="3:3" x14ac:dyDescent="0.35">
      <c r="C15004" s="2"/>
    </row>
    <row r="15005" spans="3:3" x14ac:dyDescent="0.35">
      <c r="C15005" s="2"/>
    </row>
    <row r="15006" spans="3:3" x14ac:dyDescent="0.35">
      <c r="C15006" s="2"/>
    </row>
    <row r="15007" spans="3:3" x14ac:dyDescent="0.35">
      <c r="C15007" s="2"/>
    </row>
    <row r="15008" spans="3:3" x14ac:dyDescent="0.35">
      <c r="C15008" s="2"/>
    </row>
    <row r="15009" spans="3:3" x14ac:dyDescent="0.35">
      <c r="C15009" s="2"/>
    </row>
    <row r="15010" spans="3:3" x14ac:dyDescent="0.35">
      <c r="C15010" s="2"/>
    </row>
    <row r="15011" spans="3:3" x14ac:dyDescent="0.35">
      <c r="C15011" s="2"/>
    </row>
    <row r="15012" spans="3:3" x14ac:dyDescent="0.35">
      <c r="C15012" s="2"/>
    </row>
    <row r="15013" spans="3:3" x14ac:dyDescent="0.35">
      <c r="C15013" s="2"/>
    </row>
    <row r="15014" spans="3:3" x14ac:dyDescent="0.35">
      <c r="C15014" s="2"/>
    </row>
    <row r="15015" spans="3:3" x14ac:dyDescent="0.35">
      <c r="C15015" s="2"/>
    </row>
    <row r="15016" spans="3:3" x14ac:dyDescent="0.35">
      <c r="C15016" s="2"/>
    </row>
    <row r="15017" spans="3:3" x14ac:dyDescent="0.35">
      <c r="C15017" s="2"/>
    </row>
    <row r="15018" spans="3:3" x14ac:dyDescent="0.35">
      <c r="C15018" s="2"/>
    </row>
    <row r="15019" spans="3:3" x14ac:dyDescent="0.35">
      <c r="C15019" s="2"/>
    </row>
    <row r="15020" spans="3:3" x14ac:dyDescent="0.35">
      <c r="C15020" s="2"/>
    </row>
    <row r="15021" spans="3:3" x14ac:dyDescent="0.35">
      <c r="C15021" s="2"/>
    </row>
    <row r="15022" spans="3:3" x14ac:dyDescent="0.35">
      <c r="C15022" s="2"/>
    </row>
    <row r="15023" spans="3:3" x14ac:dyDescent="0.35">
      <c r="C15023" s="2"/>
    </row>
    <row r="15024" spans="3:3" x14ac:dyDescent="0.35">
      <c r="C15024" s="2"/>
    </row>
    <row r="15025" spans="3:3" x14ac:dyDescent="0.35">
      <c r="C15025" s="2"/>
    </row>
    <row r="15026" spans="3:3" x14ac:dyDescent="0.35">
      <c r="C15026" s="2"/>
    </row>
    <row r="15027" spans="3:3" x14ac:dyDescent="0.35">
      <c r="C15027" s="2"/>
    </row>
    <row r="15028" spans="3:3" x14ac:dyDescent="0.35">
      <c r="C15028" s="2"/>
    </row>
    <row r="15029" spans="3:3" x14ac:dyDescent="0.35">
      <c r="C15029" s="2"/>
    </row>
    <row r="15030" spans="3:3" x14ac:dyDescent="0.35">
      <c r="C15030" s="2"/>
    </row>
    <row r="15031" spans="3:3" x14ac:dyDescent="0.35">
      <c r="C15031" s="2"/>
    </row>
    <row r="15032" spans="3:3" x14ac:dyDescent="0.35">
      <c r="C15032" s="2"/>
    </row>
    <row r="15033" spans="3:3" x14ac:dyDescent="0.35">
      <c r="C15033" s="2"/>
    </row>
    <row r="15034" spans="3:3" x14ac:dyDescent="0.35">
      <c r="C15034" s="2"/>
    </row>
    <row r="15035" spans="3:3" x14ac:dyDescent="0.35">
      <c r="C15035" s="2"/>
    </row>
    <row r="15036" spans="3:3" x14ac:dyDescent="0.35">
      <c r="C15036" s="2"/>
    </row>
    <row r="15037" spans="3:3" x14ac:dyDescent="0.35">
      <c r="C15037" s="2"/>
    </row>
    <row r="15038" spans="3:3" x14ac:dyDescent="0.35">
      <c r="C15038" s="2"/>
    </row>
    <row r="15039" spans="3:3" x14ac:dyDescent="0.35">
      <c r="C15039" s="2"/>
    </row>
    <row r="15040" spans="3:3" x14ac:dyDescent="0.35">
      <c r="C15040" s="2"/>
    </row>
    <row r="15041" spans="3:3" x14ac:dyDescent="0.35">
      <c r="C15041" s="2"/>
    </row>
    <row r="15042" spans="3:3" x14ac:dyDescent="0.35">
      <c r="C15042" s="2"/>
    </row>
    <row r="15043" spans="3:3" x14ac:dyDescent="0.35">
      <c r="C15043" s="2"/>
    </row>
    <row r="15044" spans="3:3" x14ac:dyDescent="0.35">
      <c r="C15044" s="2"/>
    </row>
    <row r="15045" spans="3:3" x14ac:dyDescent="0.35">
      <c r="C15045" s="2"/>
    </row>
    <row r="15046" spans="3:3" x14ac:dyDescent="0.35">
      <c r="C15046" s="2"/>
    </row>
    <row r="15047" spans="3:3" x14ac:dyDescent="0.35">
      <c r="C15047" s="2"/>
    </row>
    <row r="15048" spans="3:3" x14ac:dyDescent="0.35">
      <c r="C15048" s="2"/>
    </row>
    <row r="15049" spans="3:3" x14ac:dyDescent="0.35">
      <c r="C15049" s="2"/>
    </row>
    <row r="15050" spans="3:3" x14ac:dyDescent="0.35">
      <c r="C15050" s="2"/>
    </row>
    <row r="15051" spans="3:3" x14ac:dyDescent="0.35">
      <c r="C15051" s="2"/>
    </row>
    <row r="15052" spans="3:3" x14ac:dyDescent="0.35">
      <c r="C15052" s="2"/>
    </row>
    <row r="15053" spans="3:3" x14ac:dyDescent="0.35">
      <c r="C15053" s="2"/>
    </row>
    <row r="15054" spans="3:3" x14ac:dyDescent="0.35">
      <c r="C15054" s="2"/>
    </row>
    <row r="15055" spans="3:3" x14ac:dyDescent="0.35">
      <c r="C15055" s="2"/>
    </row>
    <row r="15056" spans="3:3" x14ac:dyDescent="0.35">
      <c r="C15056" s="2"/>
    </row>
    <row r="15057" spans="3:3" x14ac:dyDescent="0.35">
      <c r="C15057" s="2"/>
    </row>
    <row r="15058" spans="3:3" x14ac:dyDescent="0.35">
      <c r="C15058" s="2"/>
    </row>
    <row r="15059" spans="3:3" x14ac:dyDescent="0.35">
      <c r="C15059" s="2"/>
    </row>
    <row r="15060" spans="3:3" x14ac:dyDescent="0.35">
      <c r="C15060" s="2"/>
    </row>
    <row r="15061" spans="3:3" x14ac:dyDescent="0.35">
      <c r="C15061" s="2"/>
    </row>
    <row r="15062" spans="3:3" x14ac:dyDescent="0.35">
      <c r="C15062" s="2"/>
    </row>
    <row r="15063" spans="3:3" x14ac:dyDescent="0.35">
      <c r="C15063" s="2"/>
    </row>
    <row r="15064" spans="3:3" x14ac:dyDescent="0.35">
      <c r="C15064" s="2"/>
    </row>
    <row r="15065" spans="3:3" x14ac:dyDescent="0.35">
      <c r="C15065" s="2"/>
    </row>
    <row r="15066" spans="3:3" x14ac:dyDescent="0.35">
      <c r="C15066" s="2"/>
    </row>
    <row r="15067" spans="3:3" x14ac:dyDescent="0.35">
      <c r="C15067" s="2"/>
    </row>
    <row r="15068" spans="3:3" x14ac:dyDescent="0.35">
      <c r="C15068" s="2"/>
    </row>
    <row r="15069" spans="3:3" x14ac:dyDescent="0.35">
      <c r="C15069" s="2"/>
    </row>
    <row r="15070" spans="3:3" x14ac:dyDescent="0.35">
      <c r="C15070" s="2"/>
    </row>
    <row r="15071" spans="3:3" x14ac:dyDescent="0.35">
      <c r="C15071" s="2"/>
    </row>
    <row r="15072" spans="3:3" x14ac:dyDescent="0.35">
      <c r="C15072" s="2"/>
    </row>
    <row r="15073" spans="3:3" x14ac:dyDescent="0.35">
      <c r="C15073" s="2"/>
    </row>
    <row r="15074" spans="3:3" x14ac:dyDescent="0.35">
      <c r="C15074" s="2"/>
    </row>
    <row r="15075" spans="3:3" x14ac:dyDescent="0.35">
      <c r="C15075" s="2"/>
    </row>
    <row r="15076" spans="3:3" x14ac:dyDescent="0.35">
      <c r="C15076" s="2"/>
    </row>
    <row r="15077" spans="3:3" x14ac:dyDescent="0.35">
      <c r="C15077" s="2"/>
    </row>
    <row r="15078" spans="3:3" x14ac:dyDescent="0.35">
      <c r="C15078" s="2"/>
    </row>
    <row r="15079" spans="3:3" x14ac:dyDescent="0.35">
      <c r="C15079" s="2"/>
    </row>
    <row r="15080" spans="3:3" x14ac:dyDescent="0.35">
      <c r="C15080" s="2"/>
    </row>
    <row r="15081" spans="3:3" x14ac:dyDescent="0.35">
      <c r="C15081" s="2"/>
    </row>
    <row r="15082" spans="3:3" x14ac:dyDescent="0.35">
      <c r="C15082" s="2"/>
    </row>
    <row r="15083" spans="3:3" x14ac:dyDescent="0.35">
      <c r="C15083" s="2"/>
    </row>
    <row r="15084" spans="3:3" x14ac:dyDescent="0.35">
      <c r="C15084" s="2"/>
    </row>
    <row r="15085" spans="3:3" x14ac:dyDescent="0.35">
      <c r="C15085" s="2"/>
    </row>
    <row r="15086" spans="3:3" x14ac:dyDescent="0.35">
      <c r="C15086" s="2"/>
    </row>
    <row r="15087" spans="3:3" x14ac:dyDescent="0.35">
      <c r="C15087" s="2"/>
    </row>
    <row r="15088" spans="3:3" x14ac:dyDescent="0.35">
      <c r="C15088" s="2"/>
    </row>
    <row r="15089" spans="3:3" x14ac:dyDescent="0.35">
      <c r="C15089" s="2"/>
    </row>
    <row r="15090" spans="3:3" x14ac:dyDescent="0.35">
      <c r="C15090" s="2"/>
    </row>
    <row r="15091" spans="3:3" x14ac:dyDescent="0.35">
      <c r="C15091" s="2"/>
    </row>
    <row r="15092" spans="3:3" x14ac:dyDescent="0.35">
      <c r="C15092" s="2"/>
    </row>
    <row r="15093" spans="3:3" x14ac:dyDescent="0.35">
      <c r="C15093" s="2"/>
    </row>
    <row r="15094" spans="3:3" x14ac:dyDescent="0.35">
      <c r="C15094" s="2"/>
    </row>
    <row r="15095" spans="3:3" x14ac:dyDescent="0.35">
      <c r="C15095" s="2"/>
    </row>
    <row r="15096" spans="3:3" x14ac:dyDescent="0.35">
      <c r="C15096" s="2"/>
    </row>
    <row r="15097" spans="3:3" x14ac:dyDescent="0.35">
      <c r="C15097" s="2"/>
    </row>
    <row r="15098" spans="3:3" x14ac:dyDescent="0.35">
      <c r="C15098" s="2"/>
    </row>
    <row r="15099" spans="3:3" x14ac:dyDescent="0.35">
      <c r="C15099" s="2"/>
    </row>
    <row r="15100" spans="3:3" x14ac:dyDescent="0.35">
      <c r="C15100" s="2"/>
    </row>
    <row r="15101" spans="3:3" x14ac:dyDescent="0.35">
      <c r="C15101" s="2"/>
    </row>
    <row r="15102" spans="3:3" x14ac:dyDescent="0.35">
      <c r="C15102" s="2"/>
    </row>
    <row r="15103" spans="3:3" x14ac:dyDescent="0.35">
      <c r="C15103" s="2"/>
    </row>
    <row r="15104" spans="3:3" x14ac:dyDescent="0.35">
      <c r="C15104" s="2"/>
    </row>
    <row r="15105" spans="3:3" x14ac:dyDescent="0.35">
      <c r="C15105" s="2"/>
    </row>
    <row r="15106" spans="3:3" x14ac:dyDescent="0.35">
      <c r="C15106" s="2"/>
    </row>
    <row r="15107" spans="3:3" x14ac:dyDescent="0.35">
      <c r="C15107" s="2"/>
    </row>
    <row r="15108" spans="3:3" x14ac:dyDescent="0.35">
      <c r="C15108" s="2"/>
    </row>
    <row r="15109" spans="3:3" x14ac:dyDescent="0.35">
      <c r="C15109" s="2"/>
    </row>
    <row r="15110" spans="3:3" x14ac:dyDescent="0.35">
      <c r="C15110" s="2"/>
    </row>
    <row r="15111" spans="3:3" x14ac:dyDescent="0.35">
      <c r="C15111" s="2"/>
    </row>
    <row r="15112" spans="3:3" x14ac:dyDescent="0.35">
      <c r="C15112" s="2"/>
    </row>
    <row r="15113" spans="3:3" x14ac:dyDescent="0.35">
      <c r="C15113" s="2"/>
    </row>
    <row r="15114" spans="3:3" x14ac:dyDescent="0.35">
      <c r="C15114" s="2"/>
    </row>
    <row r="15115" spans="3:3" x14ac:dyDescent="0.35">
      <c r="C15115" s="2"/>
    </row>
    <row r="15116" spans="3:3" x14ac:dyDescent="0.35">
      <c r="C15116" s="2"/>
    </row>
    <row r="15117" spans="3:3" x14ac:dyDescent="0.35">
      <c r="C15117" s="2"/>
    </row>
    <row r="15118" spans="3:3" x14ac:dyDescent="0.35">
      <c r="C15118" s="2"/>
    </row>
    <row r="15119" spans="3:3" x14ac:dyDescent="0.35">
      <c r="C15119" s="2"/>
    </row>
    <row r="15120" spans="3:3" x14ac:dyDescent="0.35">
      <c r="C15120" s="2"/>
    </row>
    <row r="15121" spans="3:3" x14ac:dyDescent="0.35">
      <c r="C15121" s="2"/>
    </row>
    <row r="15122" spans="3:3" x14ac:dyDescent="0.35">
      <c r="C15122" s="2"/>
    </row>
    <row r="15123" spans="3:3" x14ac:dyDescent="0.35">
      <c r="C15123" s="2"/>
    </row>
    <row r="15124" spans="3:3" x14ac:dyDescent="0.35">
      <c r="C15124" s="2"/>
    </row>
    <row r="15125" spans="3:3" x14ac:dyDescent="0.35">
      <c r="C15125" s="2"/>
    </row>
    <row r="15126" spans="3:3" x14ac:dyDescent="0.35">
      <c r="C15126" s="2"/>
    </row>
    <row r="15127" spans="3:3" x14ac:dyDescent="0.35">
      <c r="C15127" s="2"/>
    </row>
    <row r="15128" spans="3:3" x14ac:dyDescent="0.35">
      <c r="C15128" s="2"/>
    </row>
    <row r="15129" spans="3:3" x14ac:dyDescent="0.35">
      <c r="C15129" s="2"/>
    </row>
    <row r="15130" spans="3:3" x14ac:dyDescent="0.35">
      <c r="C15130" s="2"/>
    </row>
    <row r="15131" spans="3:3" x14ac:dyDescent="0.35">
      <c r="C15131" s="2"/>
    </row>
    <row r="15132" spans="3:3" x14ac:dyDescent="0.35">
      <c r="C15132" s="2"/>
    </row>
    <row r="15133" spans="3:3" x14ac:dyDescent="0.35">
      <c r="C15133" s="2"/>
    </row>
    <row r="15134" spans="3:3" x14ac:dyDescent="0.35">
      <c r="C15134" s="2"/>
    </row>
    <row r="15135" spans="3:3" x14ac:dyDescent="0.35">
      <c r="C15135" s="2"/>
    </row>
    <row r="15136" spans="3:3" x14ac:dyDescent="0.35">
      <c r="C15136" s="2"/>
    </row>
    <row r="15137" spans="3:3" x14ac:dyDescent="0.35">
      <c r="C15137" s="2"/>
    </row>
    <row r="15138" spans="3:3" x14ac:dyDescent="0.35">
      <c r="C15138" s="2"/>
    </row>
    <row r="15139" spans="3:3" x14ac:dyDescent="0.35">
      <c r="C15139" s="2"/>
    </row>
    <row r="15140" spans="3:3" x14ac:dyDescent="0.35">
      <c r="C15140" s="2"/>
    </row>
    <row r="15141" spans="3:3" x14ac:dyDescent="0.35">
      <c r="C15141" s="2"/>
    </row>
    <row r="15142" spans="3:3" x14ac:dyDescent="0.35">
      <c r="C15142" s="2"/>
    </row>
    <row r="15143" spans="3:3" x14ac:dyDescent="0.35">
      <c r="C15143" s="2"/>
    </row>
    <row r="15144" spans="3:3" x14ac:dyDescent="0.35">
      <c r="C15144" s="2"/>
    </row>
    <row r="15145" spans="3:3" x14ac:dyDescent="0.35">
      <c r="C15145" s="2"/>
    </row>
    <row r="15146" spans="3:3" x14ac:dyDescent="0.35">
      <c r="C15146" s="2"/>
    </row>
    <row r="15147" spans="3:3" x14ac:dyDescent="0.35">
      <c r="C15147" s="2"/>
    </row>
    <row r="15148" spans="3:3" x14ac:dyDescent="0.35">
      <c r="C15148" s="2"/>
    </row>
    <row r="15149" spans="3:3" x14ac:dyDescent="0.35">
      <c r="C15149" s="2"/>
    </row>
    <row r="15150" spans="3:3" x14ac:dyDescent="0.35">
      <c r="C15150" s="2"/>
    </row>
    <row r="15151" spans="3:3" x14ac:dyDescent="0.35">
      <c r="C15151" s="2"/>
    </row>
    <row r="15152" spans="3:3" x14ac:dyDescent="0.35">
      <c r="C15152" s="2"/>
    </row>
    <row r="15153" spans="3:3" x14ac:dyDescent="0.35">
      <c r="C15153" s="2"/>
    </row>
    <row r="15154" spans="3:3" x14ac:dyDescent="0.35">
      <c r="C15154" s="2"/>
    </row>
    <row r="15155" spans="3:3" x14ac:dyDescent="0.35">
      <c r="C15155" s="2"/>
    </row>
    <row r="15156" spans="3:3" x14ac:dyDescent="0.35">
      <c r="C15156" s="2"/>
    </row>
    <row r="15157" spans="3:3" x14ac:dyDescent="0.35">
      <c r="C15157" s="2"/>
    </row>
    <row r="15158" spans="3:3" x14ac:dyDescent="0.35">
      <c r="C15158" s="2"/>
    </row>
    <row r="15159" spans="3:3" x14ac:dyDescent="0.35">
      <c r="C15159" s="2"/>
    </row>
    <row r="15160" spans="3:3" x14ac:dyDescent="0.35">
      <c r="C15160" s="2"/>
    </row>
    <row r="15161" spans="3:3" x14ac:dyDescent="0.35">
      <c r="C15161" s="2"/>
    </row>
    <row r="15162" spans="3:3" x14ac:dyDescent="0.35">
      <c r="C15162" s="2"/>
    </row>
    <row r="15163" spans="3:3" x14ac:dyDescent="0.35">
      <c r="C15163" s="2"/>
    </row>
    <row r="15164" spans="3:3" x14ac:dyDescent="0.35">
      <c r="C15164" s="2"/>
    </row>
    <row r="15165" spans="3:3" x14ac:dyDescent="0.35">
      <c r="C15165" s="2"/>
    </row>
    <row r="15166" spans="3:3" x14ac:dyDescent="0.35">
      <c r="C15166" s="2"/>
    </row>
    <row r="15167" spans="3:3" x14ac:dyDescent="0.35">
      <c r="C15167" s="2"/>
    </row>
    <row r="15168" spans="3:3" x14ac:dyDescent="0.35">
      <c r="C15168" s="2"/>
    </row>
    <row r="15169" spans="3:3" x14ac:dyDescent="0.35">
      <c r="C15169" s="2"/>
    </row>
    <row r="15170" spans="3:3" x14ac:dyDescent="0.35">
      <c r="C15170" s="2"/>
    </row>
    <row r="15171" spans="3:3" x14ac:dyDescent="0.35">
      <c r="C15171" s="2"/>
    </row>
    <row r="15172" spans="3:3" x14ac:dyDescent="0.35">
      <c r="C15172" s="2"/>
    </row>
    <row r="15173" spans="3:3" x14ac:dyDescent="0.35">
      <c r="C15173" s="2"/>
    </row>
    <row r="15174" spans="3:3" x14ac:dyDescent="0.35">
      <c r="C15174" s="2"/>
    </row>
    <row r="15175" spans="3:3" x14ac:dyDescent="0.35">
      <c r="C15175" s="2"/>
    </row>
    <row r="15176" spans="3:3" x14ac:dyDescent="0.35">
      <c r="C15176" s="2"/>
    </row>
    <row r="15177" spans="3:3" x14ac:dyDescent="0.35">
      <c r="C15177" s="2"/>
    </row>
    <row r="15178" spans="3:3" x14ac:dyDescent="0.35">
      <c r="C15178" s="2"/>
    </row>
    <row r="15179" spans="3:3" x14ac:dyDescent="0.35">
      <c r="C15179" s="2"/>
    </row>
    <row r="15180" spans="3:3" x14ac:dyDescent="0.35">
      <c r="C15180" s="2"/>
    </row>
    <row r="15181" spans="3:3" x14ac:dyDescent="0.35">
      <c r="C15181" s="2"/>
    </row>
    <row r="15182" spans="3:3" x14ac:dyDescent="0.35">
      <c r="C15182" s="2"/>
    </row>
    <row r="15183" spans="3:3" x14ac:dyDescent="0.35">
      <c r="C15183" s="2"/>
    </row>
    <row r="15184" spans="3:3" x14ac:dyDescent="0.35">
      <c r="C15184" s="2"/>
    </row>
    <row r="15185" spans="3:3" x14ac:dyDescent="0.35">
      <c r="C15185" s="2"/>
    </row>
    <row r="15186" spans="3:3" x14ac:dyDescent="0.35">
      <c r="C15186" s="2"/>
    </row>
    <row r="15187" spans="3:3" x14ac:dyDescent="0.35">
      <c r="C15187" s="2"/>
    </row>
    <row r="15188" spans="3:3" x14ac:dyDescent="0.35">
      <c r="C15188" s="2"/>
    </row>
    <row r="15189" spans="3:3" x14ac:dyDescent="0.35">
      <c r="C15189" s="2"/>
    </row>
    <row r="15190" spans="3:3" x14ac:dyDescent="0.35">
      <c r="C15190" s="2"/>
    </row>
    <row r="15191" spans="3:3" x14ac:dyDescent="0.35">
      <c r="C15191" s="2"/>
    </row>
    <row r="15192" spans="3:3" x14ac:dyDescent="0.35">
      <c r="C15192" s="2"/>
    </row>
    <row r="15193" spans="3:3" x14ac:dyDescent="0.35">
      <c r="C15193" s="2"/>
    </row>
    <row r="15194" spans="3:3" x14ac:dyDescent="0.35">
      <c r="C15194" s="2"/>
    </row>
    <row r="15195" spans="3:3" x14ac:dyDescent="0.35">
      <c r="C15195" s="2"/>
    </row>
    <row r="15196" spans="3:3" x14ac:dyDescent="0.35">
      <c r="C15196" s="2"/>
    </row>
    <row r="15197" spans="3:3" x14ac:dyDescent="0.35">
      <c r="C15197" s="2"/>
    </row>
    <row r="15198" spans="3:3" x14ac:dyDescent="0.35">
      <c r="C15198" s="2"/>
    </row>
    <row r="15199" spans="3:3" x14ac:dyDescent="0.35">
      <c r="C15199" s="2"/>
    </row>
    <row r="15200" spans="3:3" x14ac:dyDescent="0.35">
      <c r="C15200" s="2"/>
    </row>
    <row r="15201" spans="3:3" x14ac:dyDescent="0.35">
      <c r="C15201" s="2"/>
    </row>
    <row r="15202" spans="3:3" x14ac:dyDescent="0.35">
      <c r="C15202" s="2"/>
    </row>
    <row r="15203" spans="3:3" x14ac:dyDescent="0.35">
      <c r="C15203" s="2"/>
    </row>
    <row r="15204" spans="3:3" x14ac:dyDescent="0.35">
      <c r="C15204" s="2"/>
    </row>
    <row r="15205" spans="3:3" x14ac:dyDescent="0.35">
      <c r="C15205" s="2"/>
    </row>
    <row r="15206" spans="3:3" x14ac:dyDescent="0.35">
      <c r="C15206" s="2"/>
    </row>
    <row r="15207" spans="3:3" x14ac:dyDescent="0.35">
      <c r="C15207" s="2"/>
    </row>
    <row r="15208" spans="3:3" x14ac:dyDescent="0.35">
      <c r="C15208" s="2"/>
    </row>
    <row r="15209" spans="3:3" x14ac:dyDescent="0.35">
      <c r="C15209" s="2"/>
    </row>
    <row r="15210" spans="3:3" x14ac:dyDescent="0.35">
      <c r="C15210" s="2"/>
    </row>
    <row r="15211" spans="3:3" x14ac:dyDescent="0.35">
      <c r="C15211" s="2"/>
    </row>
    <row r="15212" spans="3:3" x14ac:dyDescent="0.35">
      <c r="C15212" s="2"/>
    </row>
    <row r="15213" spans="3:3" x14ac:dyDescent="0.35">
      <c r="C15213" s="2"/>
    </row>
    <row r="15214" spans="3:3" x14ac:dyDescent="0.35">
      <c r="C15214" s="2"/>
    </row>
    <row r="15215" spans="3:3" x14ac:dyDescent="0.35">
      <c r="C15215" s="2"/>
    </row>
    <row r="15216" spans="3:3" x14ac:dyDescent="0.35">
      <c r="C15216" s="2"/>
    </row>
    <row r="15217" spans="3:3" x14ac:dyDescent="0.35">
      <c r="C15217" s="2"/>
    </row>
    <row r="15218" spans="3:3" x14ac:dyDescent="0.35">
      <c r="C15218" s="2"/>
    </row>
    <row r="15219" spans="3:3" x14ac:dyDescent="0.35">
      <c r="C15219" s="2"/>
    </row>
    <row r="15220" spans="3:3" x14ac:dyDescent="0.35">
      <c r="C15220" s="2"/>
    </row>
    <row r="15221" spans="3:3" x14ac:dyDescent="0.35">
      <c r="C15221" s="2"/>
    </row>
    <row r="15222" spans="3:3" x14ac:dyDescent="0.35">
      <c r="C15222" s="2"/>
    </row>
    <row r="15223" spans="3:3" x14ac:dyDescent="0.35">
      <c r="C15223" s="2"/>
    </row>
    <row r="15224" spans="3:3" x14ac:dyDescent="0.35">
      <c r="C15224" s="2"/>
    </row>
    <row r="15225" spans="3:3" x14ac:dyDescent="0.35">
      <c r="C15225" s="2"/>
    </row>
    <row r="15226" spans="3:3" x14ac:dyDescent="0.35">
      <c r="C15226" s="2"/>
    </row>
    <row r="15227" spans="3:3" x14ac:dyDescent="0.35">
      <c r="C15227" s="2"/>
    </row>
    <row r="15228" spans="3:3" x14ac:dyDescent="0.35">
      <c r="C15228" s="2"/>
    </row>
    <row r="15229" spans="3:3" x14ac:dyDescent="0.35">
      <c r="C15229" s="2"/>
    </row>
    <row r="15230" spans="3:3" x14ac:dyDescent="0.35">
      <c r="C15230" s="2"/>
    </row>
    <row r="15231" spans="3:3" x14ac:dyDescent="0.35">
      <c r="C15231" s="2"/>
    </row>
    <row r="15232" spans="3:3" x14ac:dyDescent="0.35">
      <c r="C15232" s="2"/>
    </row>
    <row r="15233" spans="3:3" x14ac:dyDescent="0.35">
      <c r="C15233" s="2"/>
    </row>
    <row r="15234" spans="3:3" x14ac:dyDescent="0.35">
      <c r="C15234" s="2"/>
    </row>
    <row r="15235" spans="3:3" x14ac:dyDescent="0.35">
      <c r="C15235" s="2"/>
    </row>
    <row r="15236" spans="3:3" x14ac:dyDescent="0.35">
      <c r="C15236" s="2"/>
    </row>
    <row r="15237" spans="3:3" x14ac:dyDescent="0.35">
      <c r="C15237" s="2"/>
    </row>
    <row r="15238" spans="3:3" x14ac:dyDescent="0.35">
      <c r="C15238" s="2"/>
    </row>
    <row r="15239" spans="3:3" x14ac:dyDescent="0.35">
      <c r="C15239" s="2"/>
    </row>
    <row r="15240" spans="3:3" x14ac:dyDescent="0.35">
      <c r="C15240" s="2"/>
    </row>
    <row r="15241" spans="3:3" x14ac:dyDescent="0.35">
      <c r="C15241" s="2"/>
    </row>
    <row r="15242" spans="3:3" x14ac:dyDescent="0.35">
      <c r="C15242" s="2"/>
    </row>
    <row r="15243" spans="3:3" x14ac:dyDescent="0.35">
      <c r="C15243" s="2"/>
    </row>
    <row r="15244" spans="3:3" x14ac:dyDescent="0.35">
      <c r="C15244" s="2"/>
    </row>
    <row r="15245" spans="3:3" x14ac:dyDescent="0.35">
      <c r="C15245" s="2"/>
    </row>
    <row r="15246" spans="3:3" x14ac:dyDescent="0.35">
      <c r="C15246" s="2"/>
    </row>
    <row r="15247" spans="3:3" x14ac:dyDescent="0.35">
      <c r="C15247" s="2"/>
    </row>
    <row r="15248" spans="3:3" x14ac:dyDescent="0.35">
      <c r="C15248" s="2"/>
    </row>
    <row r="15249" spans="3:3" x14ac:dyDescent="0.35">
      <c r="C15249" s="2"/>
    </row>
    <row r="15250" spans="3:3" x14ac:dyDescent="0.35">
      <c r="C15250" s="2"/>
    </row>
    <row r="15251" spans="3:3" x14ac:dyDescent="0.35">
      <c r="C15251" s="2"/>
    </row>
    <row r="15252" spans="3:3" x14ac:dyDescent="0.35">
      <c r="C15252" s="2"/>
    </row>
    <row r="15253" spans="3:3" x14ac:dyDescent="0.35">
      <c r="C15253" s="2"/>
    </row>
    <row r="15254" spans="3:3" x14ac:dyDescent="0.35">
      <c r="C15254" s="2"/>
    </row>
    <row r="15255" spans="3:3" x14ac:dyDescent="0.35">
      <c r="C15255" s="2"/>
    </row>
    <row r="15256" spans="3:3" x14ac:dyDescent="0.35">
      <c r="C15256" s="2"/>
    </row>
    <row r="15257" spans="3:3" x14ac:dyDescent="0.35">
      <c r="C15257" s="2"/>
    </row>
    <row r="15258" spans="3:3" x14ac:dyDescent="0.35">
      <c r="C15258" s="2"/>
    </row>
    <row r="15259" spans="3:3" x14ac:dyDescent="0.35">
      <c r="C15259" s="2"/>
    </row>
    <row r="15260" spans="3:3" x14ac:dyDescent="0.35">
      <c r="C15260" s="2"/>
    </row>
    <row r="15261" spans="3:3" x14ac:dyDescent="0.35">
      <c r="C15261" s="2"/>
    </row>
    <row r="15262" spans="3:3" x14ac:dyDescent="0.35">
      <c r="C15262" s="2"/>
    </row>
    <row r="15263" spans="3:3" x14ac:dyDescent="0.35">
      <c r="C15263" s="2"/>
    </row>
    <row r="15264" spans="3:3" x14ac:dyDescent="0.35">
      <c r="C15264" s="2"/>
    </row>
    <row r="15265" spans="3:3" x14ac:dyDescent="0.35">
      <c r="C15265" s="2"/>
    </row>
    <row r="15266" spans="3:3" x14ac:dyDescent="0.35">
      <c r="C15266" s="2"/>
    </row>
    <row r="15267" spans="3:3" x14ac:dyDescent="0.35">
      <c r="C15267" s="2"/>
    </row>
    <row r="15268" spans="3:3" x14ac:dyDescent="0.35">
      <c r="C15268" s="2"/>
    </row>
    <row r="15269" spans="3:3" x14ac:dyDescent="0.35">
      <c r="C15269" s="2"/>
    </row>
    <row r="15270" spans="3:3" x14ac:dyDescent="0.35">
      <c r="C15270" s="2"/>
    </row>
    <row r="15271" spans="3:3" x14ac:dyDescent="0.35">
      <c r="C15271" s="2"/>
    </row>
    <row r="15272" spans="3:3" x14ac:dyDescent="0.35">
      <c r="C15272" s="2"/>
    </row>
    <row r="15273" spans="3:3" x14ac:dyDescent="0.35">
      <c r="C15273" s="2"/>
    </row>
    <row r="15274" spans="3:3" x14ac:dyDescent="0.35">
      <c r="C15274" s="2"/>
    </row>
    <row r="15275" spans="3:3" x14ac:dyDescent="0.35">
      <c r="C15275" s="2"/>
    </row>
    <row r="15276" spans="3:3" x14ac:dyDescent="0.35">
      <c r="C15276" s="2"/>
    </row>
    <row r="15277" spans="3:3" x14ac:dyDescent="0.35">
      <c r="C15277" s="2"/>
    </row>
    <row r="15278" spans="3:3" x14ac:dyDescent="0.35">
      <c r="C15278" s="2"/>
    </row>
    <row r="15279" spans="3:3" x14ac:dyDescent="0.35">
      <c r="C15279" s="2"/>
    </row>
    <row r="15280" spans="3:3" x14ac:dyDescent="0.35">
      <c r="C15280" s="2"/>
    </row>
    <row r="15281" spans="3:3" x14ac:dyDescent="0.35">
      <c r="C15281" s="2"/>
    </row>
    <row r="15282" spans="3:3" x14ac:dyDescent="0.35">
      <c r="C15282" s="2"/>
    </row>
    <row r="15283" spans="3:3" x14ac:dyDescent="0.35">
      <c r="C15283" s="2"/>
    </row>
    <row r="15284" spans="3:3" x14ac:dyDescent="0.35">
      <c r="C15284" s="2"/>
    </row>
    <row r="15285" spans="3:3" x14ac:dyDescent="0.35">
      <c r="C15285" s="2"/>
    </row>
    <row r="15286" spans="3:3" x14ac:dyDescent="0.35">
      <c r="C15286" s="2"/>
    </row>
    <row r="15287" spans="3:3" x14ac:dyDescent="0.35">
      <c r="C15287" s="2"/>
    </row>
    <row r="15288" spans="3:3" x14ac:dyDescent="0.35">
      <c r="C15288" s="2"/>
    </row>
    <row r="15289" spans="3:3" x14ac:dyDescent="0.35">
      <c r="C15289" s="2"/>
    </row>
    <row r="15290" spans="3:3" x14ac:dyDescent="0.35">
      <c r="C15290" s="2"/>
    </row>
    <row r="15291" spans="3:3" x14ac:dyDescent="0.35">
      <c r="C15291" s="2"/>
    </row>
    <row r="15292" spans="3:3" x14ac:dyDescent="0.35">
      <c r="C15292" s="2"/>
    </row>
    <row r="15293" spans="3:3" x14ac:dyDescent="0.35">
      <c r="C15293" s="2"/>
    </row>
    <row r="15294" spans="3:3" x14ac:dyDescent="0.35">
      <c r="C15294" s="2"/>
    </row>
    <row r="15295" spans="3:3" x14ac:dyDescent="0.35">
      <c r="C15295" s="2"/>
    </row>
    <row r="15296" spans="3:3" x14ac:dyDescent="0.35">
      <c r="C15296" s="2"/>
    </row>
    <row r="15297" spans="3:3" x14ac:dyDescent="0.35">
      <c r="C15297" s="2"/>
    </row>
    <row r="15298" spans="3:3" x14ac:dyDescent="0.35">
      <c r="C15298" s="2"/>
    </row>
    <row r="15299" spans="3:3" x14ac:dyDescent="0.35">
      <c r="C15299" s="2"/>
    </row>
    <row r="15300" spans="3:3" x14ac:dyDescent="0.35">
      <c r="C15300" s="2"/>
    </row>
    <row r="15301" spans="3:3" x14ac:dyDescent="0.35">
      <c r="C15301" s="2"/>
    </row>
    <row r="15302" spans="3:3" x14ac:dyDescent="0.35">
      <c r="C15302" s="2"/>
    </row>
    <row r="15303" spans="3:3" x14ac:dyDescent="0.35">
      <c r="C15303" s="2"/>
    </row>
    <row r="15304" spans="3:3" x14ac:dyDescent="0.35">
      <c r="C15304" s="2"/>
    </row>
    <row r="15305" spans="3:3" x14ac:dyDescent="0.35">
      <c r="C15305" s="2"/>
    </row>
    <row r="15306" spans="3:3" x14ac:dyDescent="0.35">
      <c r="C15306" s="2"/>
    </row>
    <row r="15307" spans="3:3" x14ac:dyDescent="0.35">
      <c r="C15307" s="2"/>
    </row>
    <row r="15308" spans="3:3" x14ac:dyDescent="0.35">
      <c r="C15308" s="2"/>
    </row>
    <row r="15309" spans="3:3" x14ac:dyDescent="0.35">
      <c r="C15309" s="2"/>
    </row>
    <row r="15310" spans="3:3" x14ac:dyDescent="0.35">
      <c r="C15310" s="2"/>
    </row>
    <row r="15311" spans="3:3" x14ac:dyDescent="0.35">
      <c r="C15311" s="2"/>
    </row>
    <row r="15312" spans="3:3" x14ac:dyDescent="0.35">
      <c r="C15312" s="2"/>
    </row>
    <row r="15313" spans="3:3" x14ac:dyDescent="0.35">
      <c r="C15313" s="2"/>
    </row>
    <row r="15314" spans="3:3" x14ac:dyDescent="0.35">
      <c r="C15314" s="2"/>
    </row>
    <row r="15315" spans="3:3" x14ac:dyDescent="0.35">
      <c r="C15315" s="2"/>
    </row>
    <row r="15316" spans="3:3" x14ac:dyDescent="0.35">
      <c r="C15316" s="2"/>
    </row>
    <row r="15317" spans="3:3" x14ac:dyDescent="0.35">
      <c r="C15317" s="2"/>
    </row>
    <row r="15318" spans="3:3" x14ac:dyDescent="0.35">
      <c r="C15318" s="2"/>
    </row>
    <row r="15319" spans="3:3" x14ac:dyDescent="0.35">
      <c r="C15319" s="2"/>
    </row>
    <row r="15320" spans="3:3" x14ac:dyDescent="0.35">
      <c r="C15320" s="2"/>
    </row>
    <row r="15321" spans="3:3" x14ac:dyDescent="0.35">
      <c r="C15321" s="2"/>
    </row>
    <row r="15322" spans="3:3" x14ac:dyDescent="0.35">
      <c r="C15322" s="2"/>
    </row>
    <row r="15323" spans="3:3" x14ac:dyDescent="0.35">
      <c r="C15323" s="2"/>
    </row>
    <row r="15324" spans="3:3" x14ac:dyDescent="0.35">
      <c r="C15324" s="2"/>
    </row>
    <row r="15325" spans="3:3" x14ac:dyDescent="0.35">
      <c r="C15325" s="2"/>
    </row>
    <row r="15326" spans="3:3" x14ac:dyDescent="0.35">
      <c r="C15326" s="2"/>
    </row>
    <row r="15327" spans="3:3" x14ac:dyDescent="0.35">
      <c r="C15327" s="2"/>
    </row>
    <row r="15328" spans="3:3" x14ac:dyDescent="0.35">
      <c r="C15328" s="2"/>
    </row>
    <row r="15329" spans="3:3" x14ac:dyDescent="0.35">
      <c r="C15329" s="2"/>
    </row>
    <row r="15330" spans="3:3" x14ac:dyDescent="0.35">
      <c r="C15330" s="2"/>
    </row>
    <row r="15331" spans="3:3" x14ac:dyDescent="0.35">
      <c r="C15331" s="2"/>
    </row>
    <row r="15332" spans="3:3" x14ac:dyDescent="0.35">
      <c r="C15332" s="2"/>
    </row>
    <row r="15333" spans="3:3" x14ac:dyDescent="0.35">
      <c r="C15333" s="2"/>
    </row>
    <row r="15334" spans="3:3" x14ac:dyDescent="0.35">
      <c r="C15334" s="2"/>
    </row>
    <row r="15335" spans="3:3" x14ac:dyDescent="0.35">
      <c r="C15335" s="2"/>
    </row>
    <row r="15336" spans="3:3" x14ac:dyDescent="0.35">
      <c r="C15336" s="2"/>
    </row>
    <row r="15337" spans="3:3" x14ac:dyDescent="0.35">
      <c r="C15337" s="2"/>
    </row>
    <row r="15338" spans="3:3" x14ac:dyDescent="0.35">
      <c r="C15338" s="2"/>
    </row>
    <row r="15339" spans="3:3" x14ac:dyDescent="0.35">
      <c r="C15339" s="2"/>
    </row>
    <row r="15340" spans="3:3" x14ac:dyDescent="0.35">
      <c r="C15340" s="2"/>
    </row>
    <row r="15341" spans="3:3" x14ac:dyDescent="0.35">
      <c r="C15341" s="2"/>
    </row>
    <row r="15342" spans="3:3" x14ac:dyDescent="0.35">
      <c r="C15342" s="2"/>
    </row>
    <row r="15343" spans="3:3" x14ac:dyDescent="0.35">
      <c r="C15343" s="2"/>
    </row>
    <row r="15344" spans="3:3" x14ac:dyDescent="0.35">
      <c r="C15344" s="2"/>
    </row>
    <row r="15345" spans="3:3" x14ac:dyDescent="0.35">
      <c r="C15345" s="2"/>
    </row>
    <row r="15346" spans="3:3" x14ac:dyDescent="0.35">
      <c r="C15346" s="2"/>
    </row>
    <row r="15347" spans="3:3" x14ac:dyDescent="0.35">
      <c r="C15347" s="2"/>
    </row>
    <row r="15348" spans="3:3" x14ac:dyDescent="0.35">
      <c r="C15348" s="2"/>
    </row>
    <row r="15349" spans="3:3" x14ac:dyDescent="0.35">
      <c r="C15349" s="2"/>
    </row>
    <row r="15350" spans="3:3" x14ac:dyDescent="0.35">
      <c r="C15350" s="2"/>
    </row>
    <row r="15351" spans="3:3" x14ac:dyDescent="0.35">
      <c r="C15351" s="2"/>
    </row>
    <row r="15352" spans="3:3" x14ac:dyDescent="0.35">
      <c r="C15352" s="2"/>
    </row>
    <row r="15353" spans="3:3" x14ac:dyDescent="0.35">
      <c r="C15353" s="2"/>
    </row>
    <row r="15354" spans="3:3" x14ac:dyDescent="0.35">
      <c r="C15354" s="2"/>
    </row>
    <row r="15355" spans="3:3" x14ac:dyDescent="0.35">
      <c r="C15355" s="2"/>
    </row>
    <row r="15356" spans="3:3" x14ac:dyDescent="0.35">
      <c r="C15356" s="2"/>
    </row>
    <row r="15357" spans="3:3" x14ac:dyDescent="0.35">
      <c r="C15357" s="2"/>
    </row>
    <row r="15358" spans="3:3" x14ac:dyDescent="0.35">
      <c r="C15358" s="2"/>
    </row>
    <row r="15359" spans="3:3" x14ac:dyDescent="0.35">
      <c r="C15359" s="2"/>
    </row>
    <row r="15360" spans="3:3" x14ac:dyDescent="0.35">
      <c r="C15360" s="2"/>
    </row>
    <row r="15361" spans="3:3" x14ac:dyDescent="0.35">
      <c r="C15361" s="2"/>
    </row>
    <row r="15362" spans="3:3" x14ac:dyDescent="0.35">
      <c r="C15362" s="2"/>
    </row>
    <row r="15363" spans="3:3" x14ac:dyDescent="0.35">
      <c r="C15363" s="2"/>
    </row>
    <row r="15364" spans="3:3" x14ac:dyDescent="0.35">
      <c r="C15364" s="2"/>
    </row>
    <row r="15365" spans="3:3" x14ac:dyDescent="0.35">
      <c r="C15365" s="2"/>
    </row>
    <row r="15366" spans="3:3" x14ac:dyDescent="0.35">
      <c r="C15366" s="2"/>
    </row>
    <row r="15367" spans="3:3" x14ac:dyDescent="0.35">
      <c r="C15367" s="2"/>
    </row>
    <row r="15368" spans="3:3" x14ac:dyDescent="0.35">
      <c r="C15368" s="2"/>
    </row>
    <row r="15369" spans="3:3" x14ac:dyDescent="0.35">
      <c r="C15369" s="2"/>
    </row>
    <row r="15370" spans="3:3" x14ac:dyDescent="0.35">
      <c r="C15370" s="2"/>
    </row>
    <row r="15371" spans="3:3" x14ac:dyDescent="0.35">
      <c r="C15371" s="2"/>
    </row>
    <row r="15372" spans="3:3" x14ac:dyDescent="0.35">
      <c r="C15372" s="2"/>
    </row>
    <row r="15373" spans="3:3" x14ac:dyDescent="0.35">
      <c r="C15373" s="2"/>
    </row>
    <row r="15374" spans="3:3" x14ac:dyDescent="0.35">
      <c r="C15374" s="2"/>
    </row>
    <row r="15375" spans="3:3" x14ac:dyDescent="0.35">
      <c r="C15375" s="2"/>
    </row>
    <row r="15376" spans="3:3" x14ac:dyDescent="0.35">
      <c r="C15376" s="2"/>
    </row>
    <row r="15377" spans="3:3" x14ac:dyDescent="0.35">
      <c r="C15377" s="2"/>
    </row>
    <row r="15378" spans="3:3" x14ac:dyDescent="0.35">
      <c r="C15378" s="2"/>
    </row>
    <row r="15379" spans="3:3" x14ac:dyDescent="0.35">
      <c r="C15379" s="2"/>
    </row>
    <row r="15380" spans="3:3" x14ac:dyDescent="0.35">
      <c r="C15380" s="2"/>
    </row>
    <row r="15381" spans="3:3" x14ac:dyDescent="0.35">
      <c r="C15381" s="2"/>
    </row>
    <row r="15382" spans="3:3" x14ac:dyDescent="0.35">
      <c r="C15382" s="2"/>
    </row>
    <row r="15383" spans="3:3" x14ac:dyDescent="0.35">
      <c r="C15383" s="2"/>
    </row>
    <row r="15384" spans="3:3" x14ac:dyDescent="0.35">
      <c r="C15384" s="2"/>
    </row>
    <row r="15385" spans="3:3" x14ac:dyDescent="0.35">
      <c r="C15385" s="2"/>
    </row>
    <row r="15386" spans="3:3" x14ac:dyDescent="0.35">
      <c r="C15386" s="2"/>
    </row>
    <row r="15387" spans="3:3" x14ac:dyDescent="0.35">
      <c r="C15387" s="2"/>
    </row>
    <row r="15388" spans="3:3" x14ac:dyDescent="0.35">
      <c r="C15388" s="2"/>
    </row>
    <row r="15389" spans="3:3" x14ac:dyDescent="0.35">
      <c r="C15389" s="2"/>
    </row>
    <row r="15390" spans="3:3" x14ac:dyDescent="0.35">
      <c r="C15390" s="2"/>
    </row>
    <row r="15391" spans="3:3" x14ac:dyDescent="0.35">
      <c r="C15391" s="2"/>
    </row>
    <row r="15392" spans="3:3" x14ac:dyDescent="0.35">
      <c r="C15392" s="2"/>
    </row>
    <row r="15393" spans="3:3" x14ac:dyDescent="0.35">
      <c r="C15393" s="2"/>
    </row>
    <row r="15394" spans="3:3" x14ac:dyDescent="0.35">
      <c r="C15394" s="2"/>
    </row>
    <row r="15395" spans="3:3" x14ac:dyDescent="0.35">
      <c r="C15395" s="2"/>
    </row>
    <row r="15396" spans="3:3" x14ac:dyDescent="0.35">
      <c r="C15396" s="2"/>
    </row>
    <row r="15397" spans="3:3" x14ac:dyDescent="0.35">
      <c r="C15397" s="2"/>
    </row>
    <row r="15398" spans="3:3" x14ac:dyDescent="0.35">
      <c r="C15398" s="2"/>
    </row>
    <row r="15399" spans="3:3" x14ac:dyDescent="0.35">
      <c r="C15399" s="2"/>
    </row>
    <row r="15400" spans="3:3" x14ac:dyDescent="0.35">
      <c r="C15400" s="2"/>
    </row>
    <row r="15401" spans="3:3" x14ac:dyDescent="0.35">
      <c r="C15401" s="2"/>
    </row>
    <row r="15402" spans="3:3" x14ac:dyDescent="0.35">
      <c r="C15402" s="2"/>
    </row>
    <row r="15403" spans="3:3" x14ac:dyDescent="0.35">
      <c r="C15403" s="2"/>
    </row>
    <row r="15404" spans="3:3" x14ac:dyDescent="0.35">
      <c r="C15404" s="2"/>
    </row>
    <row r="15405" spans="3:3" x14ac:dyDescent="0.35">
      <c r="C15405" s="2"/>
    </row>
    <row r="15406" spans="3:3" x14ac:dyDescent="0.35">
      <c r="C15406" s="2"/>
    </row>
    <row r="15407" spans="3:3" x14ac:dyDescent="0.35">
      <c r="C15407" s="2"/>
    </row>
    <row r="15408" spans="3:3" x14ac:dyDescent="0.35">
      <c r="C15408" s="2"/>
    </row>
    <row r="15409" spans="3:3" x14ac:dyDescent="0.35">
      <c r="C15409" s="2"/>
    </row>
    <row r="15410" spans="3:3" x14ac:dyDescent="0.35">
      <c r="C15410" s="2"/>
    </row>
    <row r="15411" spans="3:3" x14ac:dyDescent="0.35">
      <c r="C15411" s="2"/>
    </row>
    <row r="15412" spans="3:3" x14ac:dyDescent="0.35">
      <c r="C15412" s="2"/>
    </row>
    <row r="15413" spans="3:3" x14ac:dyDescent="0.35">
      <c r="C15413" s="2"/>
    </row>
    <row r="15414" spans="3:3" x14ac:dyDescent="0.35">
      <c r="C15414" s="2"/>
    </row>
    <row r="15415" spans="3:3" x14ac:dyDescent="0.35">
      <c r="C15415" s="2"/>
    </row>
    <row r="15416" spans="3:3" x14ac:dyDescent="0.35">
      <c r="C15416" s="2"/>
    </row>
    <row r="15417" spans="3:3" x14ac:dyDescent="0.35">
      <c r="C15417" s="2"/>
    </row>
    <row r="15418" spans="3:3" x14ac:dyDescent="0.35">
      <c r="C15418" s="2"/>
    </row>
    <row r="15419" spans="3:3" x14ac:dyDescent="0.35">
      <c r="C15419" s="2"/>
    </row>
    <row r="15420" spans="3:3" x14ac:dyDescent="0.35">
      <c r="C15420" s="2"/>
    </row>
    <row r="15421" spans="3:3" x14ac:dyDescent="0.35">
      <c r="C15421" s="2"/>
    </row>
    <row r="15422" spans="3:3" x14ac:dyDescent="0.35">
      <c r="C15422" s="2"/>
    </row>
    <row r="15423" spans="3:3" x14ac:dyDescent="0.35">
      <c r="C15423" s="2"/>
    </row>
    <row r="15424" spans="3:3" x14ac:dyDescent="0.35">
      <c r="C15424" s="2"/>
    </row>
    <row r="15425" spans="3:3" x14ac:dyDescent="0.35">
      <c r="C15425" s="2"/>
    </row>
    <row r="15426" spans="3:3" x14ac:dyDescent="0.35">
      <c r="C15426" s="2"/>
    </row>
    <row r="15427" spans="3:3" x14ac:dyDescent="0.35">
      <c r="C15427" s="2"/>
    </row>
    <row r="15428" spans="3:3" x14ac:dyDescent="0.35">
      <c r="C15428" s="2"/>
    </row>
    <row r="15429" spans="3:3" x14ac:dyDescent="0.35">
      <c r="C15429" s="2"/>
    </row>
    <row r="15430" spans="3:3" x14ac:dyDescent="0.35">
      <c r="C15430" s="2"/>
    </row>
    <row r="15431" spans="3:3" x14ac:dyDescent="0.35">
      <c r="C15431" s="2"/>
    </row>
    <row r="15432" spans="3:3" x14ac:dyDescent="0.35">
      <c r="C15432" s="2"/>
    </row>
    <row r="15433" spans="3:3" x14ac:dyDescent="0.35">
      <c r="C15433" s="2"/>
    </row>
    <row r="15434" spans="3:3" x14ac:dyDescent="0.35">
      <c r="C15434" s="2"/>
    </row>
    <row r="15435" spans="3:3" x14ac:dyDescent="0.35">
      <c r="C15435" s="2"/>
    </row>
    <row r="15436" spans="3:3" x14ac:dyDescent="0.35">
      <c r="C15436" s="2"/>
    </row>
    <row r="15437" spans="3:3" x14ac:dyDescent="0.35">
      <c r="C15437" s="2"/>
    </row>
    <row r="15438" spans="3:3" x14ac:dyDescent="0.35">
      <c r="C15438" s="2"/>
    </row>
    <row r="15439" spans="3:3" x14ac:dyDescent="0.35">
      <c r="C15439" s="2"/>
    </row>
    <row r="15440" spans="3:3" x14ac:dyDescent="0.35">
      <c r="C15440" s="2"/>
    </row>
    <row r="15441" spans="3:3" x14ac:dyDescent="0.35">
      <c r="C15441" s="2"/>
    </row>
    <row r="15442" spans="3:3" x14ac:dyDescent="0.35">
      <c r="C15442" s="2"/>
    </row>
    <row r="15443" spans="3:3" x14ac:dyDescent="0.35">
      <c r="C15443" s="2"/>
    </row>
    <row r="15444" spans="3:3" x14ac:dyDescent="0.35">
      <c r="C15444" s="2"/>
    </row>
    <row r="15445" spans="3:3" x14ac:dyDescent="0.35">
      <c r="C15445" s="2"/>
    </row>
    <row r="15446" spans="3:3" x14ac:dyDescent="0.35">
      <c r="C15446" s="2"/>
    </row>
    <row r="15447" spans="3:3" x14ac:dyDescent="0.35">
      <c r="C15447" s="2"/>
    </row>
    <row r="15448" spans="3:3" x14ac:dyDescent="0.35">
      <c r="C15448" s="2"/>
    </row>
    <row r="15449" spans="3:3" x14ac:dyDescent="0.35">
      <c r="C15449" s="2"/>
    </row>
    <row r="15450" spans="3:3" x14ac:dyDescent="0.35">
      <c r="C15450" s="2"/>
    </row>
    <row r="15451" spans="3:3" x14ac:dyDescent="0.35">
      <c r="C15451" s="2"/>
    </row>
    <row r="15452" spans="3:3" x14ac:dyDescent="0.35">
      <c r="C15452" s="2"/>
    </row>
    <row r="15453" spans="3:3" x14ac:dyDescent="0.35">
      <c r="C15453" s="2"/>
    </row>
    <row r="15454" spans="3:3" x14ac:dyDescent="0.35">
      <c r="C15454" s="2"/>
    </row>
    <row r="15455" spans="3:3" x14ac:dyDescent="0.35">
      <c r="C15455" s="2"/>
    </row>
    <row r="15456" spans="3:3" x14ac:dyDescent="0.35">
      <c r="C15456" s="2"/>
    </row>
    <row r="15457" spans="3:3" x14ac:dyDescent="0.35">
      <c r="C15457" s="2"/>
    </row>
    <row r="15458" spans="3:3" x14ac:dyDescent="0.35">
      <c r="C15458" s="2"/>
    </row>
    <row r="15459" spans="3:3" x14ac:dyDescent="0.35">
      <c r="C15459" s="2"/>
    </row>
    <row r="15460" spans="3:3" x14ac:dyDescent="0.35">
      <c r="C15460" s="2"/>
    </row>
    <row r="15461" spans="3:3" x14ac:dyDescent="0.35">
      <c r="C15461" s="2"/>
    </row>
    <row r="15462" spans="3:3" x14ac:dyDescent="0.35">
      <c r="C15462" s="2"/>
    </row>
    <row r="15463" spans="3:3" x14ac:dyDescent="0.35">
      <c r="C15463" s="2"/>
    </row>
    <row r="15464" spans="3:3" x14ac:dyDescent="0.35">
      <c r="C15464" s="2"/>
    </row>
    <row r="15465" spans="3:3" x14ac:dyDescent="0.35">
      <c r="C15465" s="2"/>
    </row>
    <row r="15466" spans="3:3" x14ac:dyDescent="0.35">
      <c r="C15466" s="2"/>
    </row>
    <row r="15467" spans="3:3" x14ac:dyDescent="0.35">
      <c r="C15467" s="2"/>
    </row>
    <row r="15468" spans="3:3" x14ac:dyDescent="0.35">
      <c r="C15468" s="2"/>
    </row>
    <row r="15469" spans="3:3" x14ac:dyDescent="0.35">
      <c r="C15469" s="2"/>
    </row>
    <row r="15470" spans="3:3" x14ac:dyDescent="0.35">
      <c r="C15470" s="2"/>
    </row>
    <row r="15471" spans="3:3" x14ac:dyDescent="0.35">
      <c r="C15471" s="2"/>
    </row>
    <row r="15472" spans="3:3" x14ac:dyDescent="0.35">
      <c r="C15472" s="2"/>
    </row>
    <row r="15473" spans="3:3" x14ac:dyDescent="0.35">
      <c r="C15473" s="2"/>
    </row>
    <row r="15474" spans="3:3" x14ac:dyDescent="0.35">
      <c r="C15474" s="2"/>
    </row>
    <row r="15475" spans="3:3" x14ac:dyDescent="0.35">
      <c r="C15475" s="2"/>
    </row>
    <row r="15476" spans="3:3" x14ac:dyDescent="0.35">
      <c r="C15476" s="2"/>
    </row>
    <row r="15477" spans="3:3" x14ac:dyDescent="0.35">
      <c r="C15477" s="2"/>
    </row>
    <row r="15478" spans="3:3" x14ac:dyDescent="0.35">
      <c r="C15478" s="2"/>
    </row>
    <row r="15479" spans="3:3" x14ac:dyDescent="0.35">
      <c r="C15479" s="2"/>
    </row>
    <row r="15480" spans="3:3" x14ac:dyDescent="0.35">
      <c r="C15480" s="2"/>
    </row>
    <row r="15481" spans="3:3" x14ac:dyDescent="0.35">
      <c r="C15481" s="2"/>
    </row>
    <row r="15482" spans="3:3" x14ac:dyDescent="0.35">
      <c r="C15482" s="2"/>
    </row>
    <row r="15483" spans="3:3" x14ac:dyDescent="0.35">
      <c r="C15483" s="2"/>
    </row>
    <row r="15484" spans="3:3" x14ac:dyDescent="0.35">
      <c r="C15484" s="2"/>
    </row>
    <row r="15485" spans="3:3" x14ac:dyDescent="0.35">
      <c r="C15485" s="2"/>
    </row>
    <row r="15486" spans="3:3" x14ac:dyDescent="0.35">
      <c r="C15486" s="2"/>
    </row>
    <row r="15487" spans="3:3" x14ac:dyDescent="0.35">
      <c r="C15487" s="2"/>
    </row>
    <row r="15488" spans="3:3" x14ac:dyDescent="0.35">
      <c r="C15488" s="2"/>
    </row>
    <row r="15489" spans="3:3" x14ac:dyDescent="0.35">
      <c r="C15489" s="2"/>
    </row>
    <row r="15490" spans="3:3" x14ac:dyDescent="0.35">
      <c r="C15490" s="2"/>
    </row>
    <row r="15491" spans="3:3" x14ac:dyDescent="0.35">
      <c r="C15491" s="2"/>
    </row>
    <row r="15492" spans="3:3" x14ac:dyDescent="0.35">
      <c r="C15492" s="2"/>
    </row>
    <row r="15493" spans="3:3" x14ac:dyDescent="0.35">
      <c r="C15493" s="2"/>
    </row>
    <row r="15494" spans="3:3" x14ac:dyDescent="0.35">
      <c r="C15494" s="2"/>
    </row>
    <row r="15495" spans="3:3" x14ac:dyDescent="0.35">
      <c r="C15495" s="2"/>
    </row>
    <row r="15496" spans="3:3" x14ac:dyDescent="0.35">
      <c r="C15496" s="2"/>
    </row>
    <row r="15497" spans="3:3" x14ac:dyDescent="0.35">
      <c r="C15497" s="2"/>
    </row>
    <row r="15498" spans="3:3" x14ac:dyDescent="0.35">
      <c r="C15498" s="2"/>
    </row>
    <row r="15499" spans="3:3" x14ac:dyDescent="0.35">
      <c r="C15499" s="2"/>
    </row>
    <row r="15500" spans="3:3" x14ac:dyDescent="0.35">
      <c r="C15500" s="2"/>
    </row>
    <row r="15501" spans="3:3" x14ac:dyDescent="0.35">
      <c r="C15501" s="2"/>
    </row>
    <row r="15502" spans="3:3" x14ac:dyDescent="0.35">
      <c r="C15502" s="2"/>
    </row>
    <row r="15503" spans="3:3" x14ac:dyDescent="0.35">
      <c r="C15503" s="2"/>
    </row>
    <row r="15504" spans="3:3" x14ac:dyDescent="0.35">
      <c r="C15504" s="2"/>
    </row>
    <row r="15505" spans="3:3" x14ac:dyDescent="0.35">
      <c r="C15505" s="2"/>
    </row>
    <row r="15506" spans="3:3" x14ac:dyDescent="0.35">
      <c r="C15506" s="2"/>
    </row>
    <row r="15507" spans="3:3" x14ac:dyDescent="0.35">
      <c r="C15507" s="2"/>
    </row>
    <row r="15508" spans="3:3" x14ac:dyDescent="0.35">
      <c r="C15508" s="2"/>
    </row>
    <row r="15509" spans="3:3" x14ac:dyDescent="0.35">
      <c r="C15509" s="2"/>
    </row>
    <row r="15510" spans="3:3" x14ac:dyDescent="0.35">
      <c r="C15510" s="2"/>
    </row>
    <row r="15511" spans="3:3" x14ac:dyDescent="0.35">
      <c r="C15511" s="2"/>
    </row>
    <row r="15512" spans="3:3" x14ac:dyDescent="0.35">
      <c r="C15512" s="2"/>
    </row>
    <row r="15513" spans="3:3" x14ac:dyDescent="0.35">
      <c r="C15513" s="2"/>
    </row>
    <row r="15514" spans="3:3" x14ac:dyDescent="0.35">
      <c r="C15514" s="2"/>
    </row>
    <row r="15515" spans="3:3" x14ac:dyDescent="0.35">
      <c r="C15515" s="2"/>
    </row>
    <row r="15516" spans="3:3" x14ac:dyDescent="0.35">
      <c r="C15516" s="2"/>
    </row>
    <row r="15517" spans="3:3" x14ac:dyDescent="0.35">
      <c r="C15517" s="2"/>
    </row>
    <row r="15518" spans="3:3" x14ac:dyDescent="0.35">
      <c r="C15518" s="2"/>
    </row>
    <row r="15519" spans="3:3" x14ac:dyDescent="0.35">
      <c r="C15519" s="2"/>
    </row>
    <row r="15520" spans="3:3" x14ac:dyDescent="0.35">
      <c r="C15520" s="2"/>
    </row>
    <row r="15521" spans="3:3" x14ac:dyDescent="0.35">
      <c r="C15521" s="2"/>
    </row>
    <row r="15522" spans="3:3" x14ac:dyDescent="0.35">
      <c r="C15522" s="2"/>
    </row>
    <row r="15523" spans="3:3" x14ac:dyDescent="0.35">
      <c r="C15523" s="2"/>
    </row>
    <row r="15524" spans="3:3" x14ac:dyDescent="0.35">
      <c r="C15524" s="2"/>
    </row>
    <row r="15525" spans="3:3" x14ac:dyDescent="0.35">
      <c r="C15525" s="2"/>
    </row>
    <row r="15526" spans="3:3" x14ac:dyDescent="0.35">
      <c r="C15526" s="2"/>
    </row>
    <row r="15527" spans="3:3" x14ac:dyDescent="0.35">
      <c r="C15527" s="2"/>
    </row>
    <row r="15528" spans="3:3" x14ac:dyDescent="0.35">
      <c r="C15528" s="2"/>
    </row>
    <row r="15529" spans="3:3" x14ac:dyDescent="0.35">
      <c r="C15529" s="2"/>
    </row>
    <row r="15530" spans="3:3" x14ac:dyDescent="0.35">
      <c r="C15530" s="2"/>
    </row>
    <row r="15531" spans="3:3" x14ac:dyDescent="0.35">
      <c r="C15531" s="2"/>
    </row>
    <row r="15532" spans="3:3" x14ac:dyDescent="0.35">
      <c r="C15532" s="2"/>
    </row>
    <row r="15533" spans="3:3" x14ac:dyDescent="0.35">
      <c r="C15533" s="2"/>
    </row>
    <row r="15534" spans="3:3" x14ac:dyDescent="0.35">
      <c r="C15534" s="2"/>
    </row>
    <row r="15535" spans="3:3" x14ac:dyDescent="0.35">
      <c r="C15535" s="2"/>
    </row>
    <row r="15536" spans="3:3" x14ac:dyDescent="0.35">
      <c r="C15536" s="2"/>
    </row>
    <row r="15537" spans="3:3" x14ac:dyDescent="0.35">
      <c r="C15537" s="2"/>
    </row>
    <row r="15538" spans="3:3" x14ac:dyDescent="0.35">
      <c r="C15538" s="2"/>
    </row>
    <row r="15539" spans="3:3" x14ac:dyDescent="0.35">
      <c r="C15539" s="2"/>
    </row>
    <row r="15540" spans="3:3" x14ac:dyDescent="0.35">
      <c r="C15540" s="2"/>
    </row>
    <row r="15541" spans="3:3" x14ac:dyDescent="0.35">
      <c r="C15541" s="2"/>
    </row>
    <row r="15542" spans="3:3" x14ac:dyDescent="0.35">
      <c r="C15542" s="2"/>
    </row>
    <row r="15543" spans="3:3" x14ac:dyDescent="0.35">
      <c r="C15543" s="2"/>
    </row>
    <row r="15544" spans="3:3" x14ac:dyDescent="0.35">
      <c r="C15544" s="2"/>
    </row>
    <row r="15545" spans="3:3" x14ac:dyDescent="0.35">
      <c r="C15545" s="2"/>
    </row>
    <row r="15546" spans="3:3" x14ac:dyDescent="0.35">
      <c r="C15546" s="2"/>
    </row>
    <row r="15547" spans="3:3" x14ac:dyDescent="0.35">
      <c r="C15547" s="2"/>
    </row>
    <row r="15548" spans="3:3" x14ac:dyDescent="0.35">
      <c r="C15548" s="2"/>
    </row>
    <row r="15549" spans="3:3" x14ac:dyDescent="0.35">
      <c r="C15549" s="2"/>
    </row>
    <row r="15550" spans="3:3" x14ac:dyDescent="0.35">
      <c r="C15550" s="2"/>
    </row>
    <row r="15551" spans="3:3" x14ac:dyDescent="0.35">
      <c r="C15551" s="2"/>
    </row>
    <row r="15552" spans="3:3" x14ac:dyDescent="0.35">
      <c r="C15552" s="2"/>
    </row>
    <row r="15553" spans="3:3" x14ac:dyDescent="0.35">
      <c r="C15553" s="2"/>
    </row>
    <row r="15554" spans="3:3" x14ac:dyDescent="0.35">
      <c r="C15554" s="2"/>
    </row>
    <row r="15555" spans="3:3" x14ac:dyDescent="0.35">
      <c r="C15555" s="2"/>
    </row>
    <row r="15556" spans="3:3" x14ac:dyDescent="0.35">
      <c r="C15556" s="2"/>
    </row>
    <row r="15557" spans="3:3" x14ac:dyDescent="0.35">
      <c r="C15557" s="2"/>
    </row>
    <row r="15558" spans="3:3" x14ac:dyDescent="0.35">
      <c r="C15558" s="2"/>
    </row>
    <row r="15559" spans="3:3" x14ac:dyDescent="0.35">
      <c r="C15559" s="2"/>
    </row>
    <row r="15560" spans="3:3" x14ac:dyDescent="0.35">
      <c r="C15560" s="2"/>
    </row>
    <row r="15561" spans="3:3" x14ac:dyDescent="0.35">
      <c r="C15561" s="2"/>
    </row>
    <row r="15562" spans="3:3" x14ac:dyDescent="0.35">
      <c r="C15562" s="2"/>
    </row>
    <row r="15563" spans="3:3" x14ac:dyDescent="0.35">
      <c r="C15563" s="2"/>
    </row>
    <row r="15564" spans="3:3" x14ac:dyDescent="0.35">
      <c r="C15564" s="2"/>
    </row>
    <row r="15565" spans="3:3" x14ac:dyDescent="0.35">
      <c r="C15565" s="2"/>
    </row>
    <row r="15566" spans="3:3" x14ac:dyDescent="0.35">
      <c r="C15566" s="2"/>
    </row>
    <row r="15567" spans="3:3" x14ac:dyDescent="0.35">
      <c r="C15567" s="2"/>
    </row>
    <row r="15568" spans="3:3" x14ac:dyDescent="0.35">
      <c r="C15568" s="2"/>
    </row>
    <row r="15569" spans="3:3" x14ac:dyDescent="0.35">
      <c r="C15569" s="2"/>
    </row>
    <row r="15570" spans="3:3" x14ac:dyDescent="0.35">
      <c r="C15570" s="2"/>
    </row>
    <row r="15571" spans="3:3" x14ac:dyDescent="0.35">
      <c r="C15571" s="2"/>
    </row>
    <row r="15572" spans="3:3" x14ac:dyDescent="0.35">
      <c r="C15572" s="2"/>
    </row>
    <row r="15573" spans="3:3" x14ac:dyDescent="0.35">
      <c r="C15573" s="2"/>
    </row>
    <row r="15574" spans="3:3" x14ac:dyDescent="0.35">
      <c r="C15574" s="2"/>
    </row>
    <row r="15575" spans="3:3" x14ac:dyDescent="0.35">
      <c r="C15575" s="2"/>
    </row>
    <row r="15576" spans="3:3" x14ac:dyDescent="0.35">
      <c r="C15576" s="2"/>
    </row>
    <row r="15577" spans="3:3" x14ac:dyDescent="0.35">
      <c r="C15577" s="2"/>
    </row>
    <row r="15578" spans="3:3" x14ac:dyDescent="0.35">
      <c r="C15578" s="2"/>
    </row>
    <row r="15579" spans="3:3" x14ac:dyDescent="0.35">
      <c r="C15579" s="2"/>
    </row>
    <row r="15580" spans="3:3" x14ac:dyDescent="0.35">
      <c r="C15580" s="2"/>
    </row>
    <row r="15581" spans="3:3" x14ac:dyDescent="0.35">
      <c r="C15581" s="2"/>
    </row>
    <row r="15582" spans="3:3" x14ac:dyDescent="0.35">
      <c r="C15582" s="2"/>
    </row>
    <row r="15583" spans="3:3" x14ac:dyDescent="0.35">
      <c r="C15583" s="2"/>
    </row>
    <row r="15584" spans="3:3" x14ac:dyDescent="0.35">
      <c r="C15584" s="2"/>
    </row>
    <row r="15585" spans="3:3" x14ac:dyDescent="0.35">
      <c r="C15585" s="2"/>
    </row>
    <row r="15586" spans="3:3" x14ac:dyDescent="0.35">
      <c r="C15586" s="2"/>
    </row>
    <row r="15587" spans="3:3" x14ac:dyDescent="0.35">
      <c r="C15587" s="2"/>
    </row>
    <row r="15588" spans="3:3" x14ac:dyDescent="0.35">
      <c r="C15588" s="2"/>
    </row>
    <row r="15589" spans="3:3" x14ac:dyDescent="0.35">
      <c r="C15589" s="2"/>
    </row>
    <row r="15590" spans="3:3" x14ac:dyDescent="0.35">
      <c r="C15590" s="2"/>
    </row>
    <row r="15591" spans="3:3" x14ac:dyDescent="0.35">
      <c r="C15591" s="2"/>
    </row>
    <row r="15592" spans="3:3" x14ac:dyDescent="0.35">
      <c r="C15592" s="2"/>
    </row>
    <row r="15593" spans="3:3" x14ac:dyDescent="0.35">
      <c r="C15593" s="2"/>
    </row>
    <row r="15594" spans="3:3" x14ac:dyDescent="0.35">
      <c r="C15594" s="2"/>
    </row>
    <row r="15595" spans="3:3" x14ac:dyDescent="0.35">
      <c r="C15595" s="2"/>
    </row>
    <row r="15596" spans="3:3" x14ac:dyDescent="0.35">
      <c r="C15596" s="2"/>
    </row>
    <row r="15597" spans="3:3" x14ac:dyDescent="0.35">
      <c r="C15597" s="2"/>
    </row>
    <row r="15598" spans="3:3" x14ac:dyDescent="0.35">
      <c r="C15598" s="2"/>
    </row>
    <row r="15599" spans="3:3" x14ac:dyDescent="0.35">
      <c r="C15599" s="2"/>
    </row>
    <row r="15600" spans="3:3" x14ac:dyDescent="0.35">
      <c r="C15600" s="2"/>
    </row>
    <row r="15601" spans="3:3" x14ac:dyDescent="0.35">
      <c r="C15601" s="2"/>
    </row>
    <row r="15602" spans="3:3" x14ac:dyDescent="0.35">
      <c r="C15602" s="2"/>
    </row>
    <row r="15603" spans="3:3" x14ac:dyDescent="0.35">
      <c r="C15603" s="2"/>
    </row>
    <row r="15604" spans="3:3" x14ac:dyDescent="0.35">
      <c r="C15604" s="2"/>
    </row>
    <row r="15605" spans="3:3" x14ac:dyDescent="0.35">
      <c r="C15605" s="2"/>
    </row>
    <row r="15606" spans="3:3" x14ac:dyDescent="0.35">
      <c r="C15606" s="2"/>
    </row>
    <row r="15607" spans="3:3" x14ac:dyDescent="0.35">
      <c r="C15607" s="2"/>
    </row>
    <row r="15608" spans="3:3" x14ac:dyDescent="0.35">
      <c r="C15608" s="2"/>
    </row>
    <row r="15609" spans="3:3" x14ac:dyDescent="0.35">
      <c r="C15609" s="2"/>
    </row>
    <row r="15610" spans="3:3" x14ac:dyDescent="0.35">
      <c r="C15610" s="2"/>
    </row>
    <row r="15611" spans="3:3" x14ac:dyDescent="0.35">
      <c r="C15611" s="2"/>
    </row>
    <row r="15612" spans="3:3" x14ac:dyDescent="0.35">
      <c r="C15612" s="2"/>
    </row>
    <row r="15613" spans="3:3" x14ac:dyDescent="0.35">
      <c r="C15613" s="2"/>
    </row>
    <row r="15614" spans="3:3" x14ac:dyDescent="0.35">
      <c r="C15614" s="2"/>
    </row>
    <row r="15615" spans="3:3" x14ac:dyDescent="0.35">
      <c r="C15615" s="2"/>
    </row>
    <row r="15616" spans="3:3" x14ac:dyDescent="0.35">
      <c r="C15616" s="2"/>
    </row>
    <row r="15617" spans="3:3" x14ac:dyDescent="0.35">
      <c r="C15617" s="2"/>
    </row>
    <row r="15618" spans="3:3" x14ac:dyDescent="0.35">
      <c r="C15618" s="2"/>
    </row>
    <row r="15619" spans="3:3" x14ac:dyDescent="0.35">
      <c r="C15619" s="2"/>
    </row>
    <row r="15620" spans="3:3" x14ac:dyDescent="0.35">
      <c r="C15620" s="2"/>
    </row>
    <row r="15621" spans="3:3" x14ac:dyDescent="0.35">
      <c r="C15621" s="2"/>
    </row>
    <row r="15622" spans="3:3" x14ac:dyDescent="0.35">
      <c r="C15622" s="2"/>
    </row>
    <row r="15623" spans="3:3" x14ac:dyDescent="0.35">
      <c r="C15623" s="2"/>
    </row>
    <row r="15624" spans="3:3" x14ac:dyDescent="0.35">
      <c r="C15624" s="2"/>
    </row>
    <row r="15625" spans="3:3" x14ac:dyDescent="0.35">
      <c r="C15625" s="2"/>
    </row>
    <row r="15626" spans="3:3" x14ac:dyDescent="0.35">
      <c r="C15626" s="2"/>
    </row>
    <row r="15627" spans="3:3" x14ac:dyDescent="0.35">
      <c r="C15627" s="2"/>
    </row>
    <row r="15628" spans="3:3" x14ac:dyDescent="0.35">
      <c r="C15628" s="2"/>
    </row>
    <row r="15629" spans="3:3" x14ac:dyDescent="0.35">
      <c r="C15629" s="2"/>
    </row>
    <row r="15630" spans="3:3" x14ac:dyDescent="0.35">
      <c r="C15630" s="2"/>
    </row>
    <row r="15631" spans="3:3" x14ac:dyDescent="0.35">
      <c r="C15631" s="2"/>
    </row>
    <row r="15632" spans="3:3" x14ac:dyDescent="0.35">
      <c r="C15632" s="2"/>
    </row>
    <row r="15633" spans="3:3" x14ac:dyDescent="0.35">
      <c r="C15633" s="2"/>
    </row>
    <row r="15634" spans="3:3" x14ac:dyDescent="0.35">
      <c r="C15634" s="2"/>
    </row>
    <row r="15635" spans="3:3" x14ac:dyDescent="0.35">
      <c r="C15635" s="2"/>
    </row>
    <row r="15636" spans="3:3" x14ac:dyDescent="0.35">
      <c r="C15636" s="2"/>
    </row>
    <row r="15637" spans="3:3" x14ac:dyDescent="0.35">
      <c r="C15637" s="2"/>
    </row>
    <row r="15638" spans="3:3" x14ac:dyDescent="0.35">
      <c r="C15638" s="2"/>
    </row>
    <row r="15639" spans="3:3" x14ac:dyDescent="0.35">
      <c r="C15639" s="2"/>
    </row>
    <row r="15640" spans="3:3" x14ac:dyDescent="0.35">
      <c r="C15640" s="2"/>
    </row>
    <row r="15641" spans="3:3" x14ac:dyDescent="0.35">
      <c r="C15641" s="2"/>
    </row>
    <row r="15642" spans="3:3" x14ac:dyDescent="0.35">
      <c r="C15642" s="2"/>
    </row>
    <row r="15643" spans="3:3" x14ac:dyDescent="0.35">
      <c r="C15643" s="2"/>
    </row>
    <row r="15644" spans="3:3" x14ac:dyDescent="0.35">
      <c r="C15644" s="2"/>
    </row>
    <row r="15645" spans="3:3" x14ac:dyDescent="0.35">
      <c r="C15645" s="2"/>
    </row>
    <row r="15646" spans="3:3" x14ac:dyDescent="0.35">
      <c r="C15646" s="2"/>
    </row>
    <row r="15647" spans="3:3" x14ac:dyDescent="0.35">
      <c r="C15647" s="2"/>
    </row>
    <row r="15648" spans="3:3" x14ac:dyDescent="0.35">
      <c r="C15648" s="2"/>
    </row>
    <row r="15649" spans="3:3" x14ac:dyDescent="0.35">
      <c r="C15649" s="2"/>
    </row>
    <row r="15650" spans="3:3" x14ac:dyDescent="0.35">
      <c r="C15650" s="2"/>
    </row>
    <row r="15651" spans="3:3" x14ac:dyDescent="0.35">
      <c r="C15651" s="2"/>
    </row>
    <row r="15652" spans="3:3" x14ac:dyDescent="0.35">
      <c r="C15652" s="2"/>
    </row>
    <row r="15653" spans="3:3" x14ac:dyDescent="0.35">
      <c r="C15653" s="2"/>
    </row>
    <row r="15654" spans="3:3" x14ac:dyDescent="0.35">
      <c r="C15654" s="2"/>
    </row>
    <row r="15655" spans="3:3" x14ac:dyDescent="0.35">
      <c r="C15655" s="2"/>
    </row>
    <row r="15656" spans="3:3" x14ac:dyDescent="0.35">
      <c r="C15656" s="2"/>
    </row>
    <row r="15657" spans="3:3" x14ac:dyDescent="0.35">
      <c r="C15657" s="2"/>
    </row>
    <row r="15658" spans="3:3" x14ac:dyDescent="0.35">
      <c r="C15658" s="2"/>
    </row>
    <row r="15659" spans="3:3" x14ac:dyDescent="0.35">
      <c r="C15659" s="2"/>
    </row>
    <row r="15660" spans="3:3" x14ac:dyDescent="0.35">
      <c r="C15660" s="2"/>
    </row>
    <row r="15661" spans="3:3" x14ac:dyDescent="0.35">
      <c r="C15661" s="2"/>
    </row>
    <row r="15662" spans="3:3" x14ac:dyDescent="0.35">
      <c r="C15662" s="2"/>
    </row>
    <row r="15663" spans="3:3" x14ac:dyDescent="0.35">
      <c r="C15663" s="2"/>
    </row>
    <row r="15664" spans="3:3" x14ac:dyDescent="0.35">
      <c r="C15664" s="2"/>
    </row>
    <row r="15665" spans="3:3" x14ac:dyDescent="0.35">
      <c r="C15665" s="2"/>
    </row>
    <row r="15666" spans="3:3" x14ac:dyDescent="0.35">
      <c r="C15666" s="2"/>
    </row>
    <row r="15667" spans="3:3" x14ac:dyDescent="0.35">
      <c r="C15667" s="2"/>
    </row>
    <row r="15668" spans="3:3" x14ac:dyDescent="0.35">
      <c r="C15668" s="2"/>
    </row>
    <row r="15669" spans="3:3" x14ac:dyDescent="0.35">
      <c r="C15669" s="2"/>
    </row>
    <row r="15670" spans="3:3" x14ac:dyDescent="0.35">
      <c r="C15670" s="2"/>
    </row>
    <row r="15671" spans="3:3" x14ac:dyDescent="0.35">
      <c r="C15671" s="2"/>
    </row>
    <row r="15672" spans="3:3" x14ac:dyDescent="0.35">
      <c r="C15672" s="2"/>
    </row>
    <row r="15673" spans="3:3" x14ac:dyDescent="0.35">
      <c r="C15673" s="2"/>
    </row>
    <row r="15674" spans="3:3" x14ac:dyDescent="0.35">
      <c r="C15674" s="2"/>
    </row>
    <row r="15675" spans="3:3" x14ac:dyDescent="0.35">
      <c r="C15675" s="2"/>
    </row>
    <row r="15676" spans="3:3" x14ac:dyDescent="0.35">
      <c r="C15676" s="2"/>
    </row>
    <row r="15677" spans="3:3" x14ac:dyDescent="0.35">
      <c r="C15677" s="2"/>
    </row>
    <row r="15678" spans="3:3" x14ac:dyDescent="0.35">
      <c r="C15678" s="2"/>
    </row>
    <row r="15679" spans="3:3" x14ac:dyDescent="0.35">
      <c r="C15679" s="2"/>
    </row>
    <row r="15680" spans="3:3" x14ac:dyDescent="0.35">
      <c r="C15680" s="2"/>
    </row>
    <row r="15681" spans="3:3" x14ac:dyDescent="0.35">
      <c r="C15681" s="2"/>
    </row>
    <row r="15682" spans="3:3" x14ac:dyDescent="0.35">
      <c r="C15682" s="2"/>
    </row>
    <row r="15683" spans="3:3" x14ac:dyDescent="0.35">
      <c r="C15683" s="2"/>
    </row>
    <row r="15684" spans="3:3" x14ac:dyDescent="0.35">
      <c r="C15684" s="2"/>
    </row>
    <row r="15685" spans="3:3" x14ac:dyDescent="0.35">
      <c r="C15685" s="2"/>
    </row>
    <row r="15686" spans="3:3" x14ac:dyDescent="0.35">
      <c r="C15686" s="2"/>
    </row>
    <row r="15687" spans="3:3" x14ac:dyDescent="0.35">
      <c r="C15687" s="2"/>
    </row>
    <row r="15688" spans="3:3" x14ac:dyDescent="0.35">
      <c r="C15688" s="2"/>
    </row>
    <row r="15689" spans="3:3" x14ac:dyDescent="0.35">
      <c r="C15689" s="2"/>
    </row>
    <row r="15690" spans="3:3" x14ac:dyDescent="0.35">
      <c r="C15690" s="2"/>
    </row>
    <row r="15691" spans="3:3" x14ac:dyDescent="0.35">
      <c r="C15691" s="2"/>
    </row>
    <row r="15692" spans="3:3" x14ac:dyDescent="0.35">
      <c r="C15692" s="2"/>
    </row>
    <row r="15693" spans="3:3" x14ac:dyDescent="0.35">
      <c r="C15693" s="2"/>
    </row>
    <row r="15694" spans="3:3" x14ac:dyDescent="0.35">
      <c r="C15694" s="2"/>
    </row>
    <row r="15695" spans="3:3" x14ac:dyDescent="0.35">
      <c r="C15695" s="2"/>
    </row>
    <row r="15696" spans="3:3" x14ac:dyDescent="0.35">
      <c r="C15696" s="2"/>
    </row>
    <row r="15697" spans="3:3" x14ac:dyDescent="0.35">
      <c r="C15697" s="2"/>
    </row>
    <row r="15698" spans="3:3" x14ac:dyDescent="0.35">
      <c r="C15698" s="2"/>
    </row>
    <row r="15699" spans="3:3" x14ac:dyDescent="0.35">
      <c r="C15699" s="2"/>
    </row>
    <row r="15700" spans="3:3" x14ac:dyDescent="0.35">
      <c r="C15700" s="2"/>
    </row>
    <row r="15701" spans="3:3" x14ac:dyDescent="0.35">
      <c r="C15701" s="2"/>
    </row>
    <row r="15702" spans="3:3" x14ac:dyDescent="0.35">
      <c r="C15702" s="2"/>
    </row>
    <row r="15703" spans="3:3" x14ac:dyDescent="0.35">
      <c r="C15703" s="2"/>
    </row>
    <row r="15704" spans="3:3" x14ac:dyDescent="0.35">
      <c r="C15704" s="2"/>
    </row>
    <row r="15705" spans="3:3" x14ac:dyDescent="0.35">
      <c r="C15705" s="2"/>
    </row>
    <row r="15706" spans="3:3" x14ac:dyDescent="0.35">
      <c r="C15706" s="2"/>
    </row>
    <row r="15707" spans="3:3" x14ac:dyDescent="0.35">
      <c r="C15707" s="2"/>
    </row>
    <row r="15708" spans="3:3" x14ac:dyDescent="0.35">
      <c r="C15708" s="2"/>
    </row>
    <row r="15709" spans="3:3" x14ac:dyDescent="0.35">
      <c r="C15709" s="2"/>
    </row>
    <row r="15710" spans="3:3" x14ac:dyDescent="0.35">
      <c r="C15710" s="2"/>
    </row>
    <row r="15711" spans="3:3" x14ac:dyDescent="0.35">
      <c r="C15711" s="2"/>
    </row>
    <row r="15712" spans="3:3" x14ac:dyDescent="0.35">
      <c r="C15712" s="2"/>
    </row>
    <row r="15713" spans="3:3" x14ac:dyDescent="0.35">
      <c r="C15713" s="2"/>
    </row>
    <row r="15714" spans="3:3" x14ac:dyDescent="0.35">
      <c r="C15714" s="2"/>
    </row>
    <row r="15715" spans="3:3" x14ac:dyDescent="0.35">
      <c r="C15715" s="2"/>
    </row>
    <row r="15716" spans="3:3" x14ac:dyDescent="0.35">
      <c r="C15716" s="2"/>
    </row>
    <row r="15717" spans="3:3" x14ac:dyDescent="0.35">
      <c r="C15717" s="2"/>
    </row>
    <row r="15718" spans="3:3" x14ac:dyDescent="0.35">
      <c r="C15718" s="2"/>
    </row>
    <row r="15719" spans="3:3" x14ac:dyDescent="0.35">
      <c r="C15719" s="2"/>
    </row>
    <row r="15720" spans="3:3" x14ac:dyDescent="0.35">
      <c r="C15720" s="2"/>
    </row>
    <row r="15721" spans="3:3" x14ac:dyDescent="0.35">
      <c r="C15721" s="2"/>
    </row>
    <row r="15722" spans="3:3" x14ac:dyDescent="0.35">
      <c r="C15722" s="2"/>
    </row>
    <row r="15723" spans="3:3" x14ac:dyDescent="0.35">
      <c r="C15723" s="2"/>
    </row>
    <row r="15724" spans="3:3" x14ac:dyDescent="0.35">
      <c r="C15724" s="2"/>
    </row>
    <row r="15725" spans="3:3" x14ac:dyDescent="0.35">
      <c r="C15725" s="2"/>
    </row>
    <row r="15726" spans="3:3" x14ac:dyDescent="0.35">
      <c r="C15726" s="2"/>
    </row>
    <row r="15727" spans="3:3" x14ac:dyDescent="0.35">
      <c r="C15727" s="2"/>
    </row>
    <row r="15728" spans="3:3" x14ac:dyDescent="0.35">
      <c r="C15728" s="2"/>
    </row>
    <row r="15729" spans="3:3" x14ac:dyDescent="0.35">
      <c r="C15729" s="2"/>
    </row>
    <row r="15730" spans="3:3" x14ac:dyDescent="0.35">
      <c r="C15730" s="2"/>
    </row>
    <row r="15731" spans="3:3" x14ac:dyDescent="0.35">
      <c r="C15731" s="2"/>
    </row>
    <row r="15732" spans="3:3" x14ac:dyDescent="0.35">
      <c r="C15732" s="2"/>
    </row>
    <row r="15733" spans="3:3" x14ac:dyDescent="0.35">
      <c r="C15733" s="2"/>
    </row>
    <row r="15734" spans="3:3" x14ac:dyDescent="0.35">
      <c r="C15734" s="2"/>
    </row>
    <row r="15735" spans="3:3" x14ac:dyDescent="0.35">
      <c r="C15735" s="2"/>
    </row>
    <row r="15736" spans="3:3" x14ac:dyDescent="0.35">
      <c r="C15736" s="2"/>
    </row>
    <row r="15737" spans="3:3" x14ac:dyDescent="0.35">
      <c r="C15737" s="2"/>
    </row>
    <row r="15738" spans="3:3" x14ac:dyDescent="0.35">
      <c r="C15738" s="2"/>
    </row>
    <row r="15739" spans="3:3" x14ac:dyDescent="0.35">
      <c r="C15739" s="2"/>
    </row>
    <row r="15740" spans="3:3" x14ac:dyDescent="0.35">
      <c r="C15740" s="2"/>
    </row>
    <row r="15741" spans="3:3" x14ac:dyDescent="0.35">
      <c r="C15741" s="2"/>
    </row>
    <row r="15742" spans="3:3" x14ac:dyDescent="0.35">
      <c r="C15742" s="2"/>
    </row>
    <row r="15743" spans="3:3" x14ac:dyDescent="0.35">
      <c r="C15743" s="2"/>
    </row>
    <row r="15744" spans="3:3" x14ac:dyDescent="0.35">
      <c r="C15744" s="2"/>
    </row>
    <row r="15745" spans="3:3" x14ac:dyDescent="0.35">
      <c r="C15745" s="2"/>
    </row>
    <row r="15746" spans="3:3" x14ac:dyDescent="0.35">
      <c r="C15746" s="2"/>
    </row>
    <row r="15747" spans="3:3" x14ac:dyDescent="0.35">
      <c r="C15747" s="2"/>
    </row>
    <row r="15748" spans="3:3" x14ac:dyDescent="0.35">
      <c r="C15748" s="2"/>
    </row>
    <row r="15749" spans="3:3" x14ac:dyDescent="0.35">
      <c r="C15749" s="2"/>
    </row>
    <row r="15750" spans="3:3" x14ac:dyDescent="0.35">
      <c r="C15750" s="2"/>
    </row>
    <row r="15751" spans="3:3" x14ac:dyDescent="0.35">
      <c r="C15751" s="2"/>
    </row>
    <row r="15752" spans="3:3" x14ac:dyDescent="0.35">
      <c r="C15752" s="2"/>
    </row>
    <row r="15753" spans="3:3" x14ac:dyDescent="0.35">
      <c r="C15753" s="2"/>
    </row>
    <row r="15754" spans="3:3" x14ac:dyDescent="0.35">
      <c r="C15754" s="2"/>
    </row>
    <row r="15755" spans="3:3" x14ac:dyDescent="0.35">
      <c r="C15755" s="2"/>
    </row>
    <row r="15756" spans="3:3" x14ac:dyDescent="0.35">
      <c r="C15756" s="2"/>
    </row>
    <row r="15757" spans="3:3" x14ac:dyDescent="0.35">
      <c r="C15757" s="2"/>
    </row>
    <row r="15758" spans="3:3" x14ac:dyDescent="0.35">
      <c r="C15758" s="2"/>
    </row>
    <row r="15759" spans="3:3" x14ac:dyDescent="0.35">
      <c r="C15759" s="2"/>
    </row>
    <row r="15760" spans="3:3" x14ac:dyDescent="0.35">
      <c r="C15760" s="2"/>
    </row>
    <row r="15761" spans="3:3" x14ac:dyDescent="0.35">
      <c r="C15761" s="2"/>
    </row>
    <row r="15762" spans="3:3" x14ac:dyDescent="0.35">
      <c r="C15762" s="2"/>
    </row>
    <row r="15763" spans="3:3" x14ac:dyDescent="0.35">
      <c r="C15763" s="2"/>
    </row>
    <row r="15764" spans="3:3" x14ac:dyDescent="0.35">
      <c r="C15764" s="2"/>
    </row>
    <row r="15765" spans="3:3" x14ac:dyDescent="0.35">
      <c r="C15765" s="2"/>
    </row>
    <row r="15766" spans="3:3" x14ac:dyDescent="0.35">
      <c r="C15766" s="2"/>
    </row>
    <row r="15767" spans="3:3" x14ac:dyDescent="0.35">
      <c r="C15767" s="2"/>
    </row>
    <row r="15768" spans="3:3" x14ac:dyDescent="0.35">
      <c r="C15768" s="2"/>
    </row>
    <row r="15769" spans="3:3" x14ac:dyDescent="0.35">
      <c r="C15769" s="2"/>
    </row>
    <row r="15770" spans="3:3" x14ac:dyDescent="0.35">
      <c r="C15770" s="2"/>
    </row>
    <row r="15771" spans="3:3" x14ac:dyDescent="0.35">
      <c r="C15771" s="2"/>
    </row>
    <row r="15772" spans="3:3" x14ac:dyDescent="0.35">
      <c r="C15772" s="2"/>
    </row>
    <row r="15773" spans="3:3" x14ac:dyDescent="0.35">
      <c r="C15773" s="2"/>
    </row>
    <row r="15774" spans="3:3" x14ac:dyDescent="0.35">
      <c r="C15774" s="2"/>
    </row>
    <row r="15775" spans="3:3" x14ac:dyDescent="0.35">
      <c r="C15775" s="2"/>
    </row>
    <row r="15776" spans="3:3" x14ac:dyDescent="0.35">
      <c r="C15776" s="2"/>
    </row>
    <row r="15777" spans="3:3" x14ac:dyDescent="0.35">
      <c r="C15777" s="2"/>
    </row>
    <row r="15778" spans="3:3" x14ac:dyDescent="0.35">
      <c r="C15778" s="2"/>
    </row>
    <row r="15779" spans="3:3" x14ac:dyDescent="0.35">
      <c r="C15779" s="2"/>
    </row>
    <row r="15780" spans="3:3" x14ac:dyDescent="0.35">
      <c r="C15780" s="2"/>
    </row>
    <row r="15781" spans="3:3" x14ac:dyDescent="0.35">
      <c r="C15781" s="2"/>
    </row>
    <row r="15782" spans="3:3" x14ac:dyDescent="0.35">
      <c r="C15782" s="2"/>
    </row>
    <row r="15783" spans="3:3" x14ac:dyDescent="0.35">
      <c r="C15783" s="2"/>
    </row>
    <row r="15784" spans="3:3" x14ac:dyDescent="0.35">
      <c r="C15784" s="2"/>
    </row>
    <row r="15785" spans="3:3" x14ac:dyDescent="0.35">
      <c r="C15785" s="2"/>
    </row>
    <row r="15786" spans="3:3" x14ac:dyDescent="0.35">
      <c r="C15786" s="2"/>
    </row>
    <row r="15787" spans="3:3" x14ac:dyDescent="0.35">
      <c r="C15787" s="2"/>
    </row>
    <row r="15788" spans="3:3" x14ac:dyDescent="0.35">
      <c r="C15788" s="2"/>
    </row>
    <row r="15789" spans="3:3" x14ac:dyDescent="0.35">
      <c r="C15789" s="2"/>
    </row>
    <row r="15790" spans="3:3" x14ac:dyDescent="0.35">
      <c r="C15790" s="2"/>
    </row>
    <row r="15791" spans="3:3" x14ac:dyDescent="0.35">
      <c r="C15791" s="2"/>
    </row>
    <row r="15792" spans="3:3" x14ac:dyDescent="0.35">
      <c r="C15792" s="2"/>
    </row>
    <row r="15793" spans="3:3" x14ac:dyDescent="0.35">
      <c r="C15793" s="2"/>
    </row>
    <row r="15794" spans="3:3" x14ac:dyDescent="0.35">
      <c r="C15794" s="2"/>
    </row>
    <row r="15795" spans="3:3" x14ac:dyDescent="0.35">
      <c r="C15795" s="2"/>
    </row>
    <row r="15796" spans="3:3" x14ac:dyDescent="0.35">
      <c r="C15796" s="2"/>
    </row>
    <row r="15797" spans="3:3" x14ac:dyDescent="0.35">
      <c r="C15797" s="2"/>
    </row>
    <row r="15798" spans="3:3" x14ac:dyDescent="0.35">
      <c r="C15798" s="2"/>
    </row>
    <row r="15799" spans="3:3" x14ac:dyDescent="0.35">
      <c r="C15799" s="2"/>
    </row>
    <row r="15800" spans="3:3" x14ac:dyDescent="0.35">
      <c r="C15800" s="2"/>
    </row>
    <row r="15801" spans="3:3" x14ac:dyDescent="0.35">
      <c r="C15801" s="2"/>
    </row>
    <row r="15802" spans="3:3" x14ac:dyDescent="0.35">
      <c r="C15802" s="2"/>
    </row>
    <row r="15803" spans="3:3" x14ac:dyDescent="0.35">
      <c r="C15803" s="2"/>
    </row>
    <row r="15804" spans="3:3" x14ac:dyDescent="0.35">
      <c r="C15804" s="2"/>
    </row>
    <row r="15805" spans="3:3" x14ac:dyDescent="0.35">
      <c r="C15805" s="2"/>
    </row>
    <row r="15806" spans="3:3" x14ac:dyDescent="0.35">
      <c r="C15806" s="2"/>
    </row>
    <row r="15807" spans="3:3" x14ac:dyDescent="0.35">
      <c r="C15807" s="2"/>
    </row>
    <row r="15808" spans="3:3" x14ac:dyDescent="0.35">
      <c r="C15808" s="2"/>
    </row>
    <row r="15809" spans="3:3" x14ac:dyDescent="0.35">
      <c r="C15809" s="2"/>
    </row>
    <row r="15810" spans="3:3" x14ac:dyDescent="0.35">
      <c r="C15810" s="2"/>
    </row>
    <row r="15811" spans="3:3" x14ac:dyDescent="0.35">
      <c r="C15811" s="2"/>
    </row>
    <row r="15812" spans="3:3" x14ac:dyDescent="0.35">
      <c r="C15812" s="2"/>
    </row>
    <row r="15813" spans="3:3" x14ac:dyDescent="0.35">
      <c r="C15813" s="2"/>
    </row>
    <row r="15814" spans="3:3" x14ac:dyDescent="0.35">
      <c r="C15814" s="2"/>
    </row>
    <row r="15815" spans="3:3" x14ac:dyDescent="0.35">
      <c r="C15815" s="2"/>
    </row>
    <row r="15816" spans="3:3" x14ac:dyDescent="0.35">
      <c r="C15816" s="2"/>
    </row>
    <row r="15817" spans="3:3" x14ac:dyDescent="0.35">
      <c r="C15817" s="2"/>
    </row>
    <row r="15818" spans="3:3" x14ac:dyDescent="0.35">
      <c r="C15818" s="2"/>
    </row>
    <row r="15819" spans="3:3" x14ac:dyDescent="0.35">
      <c r="C15819" s="2"/>
    </row>
    <row r="15820" spans="3:3" x14ac:dyDescent="0.35">
      <c r="C15820" s="2"/>
    </row>
    <row r="15821" spans="3:3" x14ac:dyDescent="0.35">
      <c r="C15821" s="2"/>
    </row>
    <row r="15822" spans="3:3" x14ac:dyDescent="0.35">
      <c r="C15822" s="2"/>
    </row>
    <row r="15823" spans="3:3" x14ac:dyDescent="0.35">
      <c r="C15823" s="2"/>
    </row>
    <row r="15824" spans="3:3" x14ac:dyDescent="0.35">
      <c r="C15824" s="2"/>
    </row>
    <row r="15825" spans="3:3" x14ac:dyDescent="0.35">
      <c r="C15825" s="2"/>
    </row>
    <row r="15826" spans="3:3" x14ac:dyDescent="0.35">
      <c r="C15826" s="2"/>
    </row>
    <row r="15827" spans="3:3" x14ac:dyDescent="0.35">
      <c r="C15827" s="2"/>
    </row>
    <row r="15828" spans="3:3" x14ac:dyDescent="0.35">
      <c r="C15828" s="2"/>
    </row>
    <row r="15829" spans="3:3" x14ac:dyDescent="0.35">
      <c r="C15829" s="2"/>
    </row>
    <row r="15830" spans="3:3" x14ac:dyDescent="0.35">
      <c r="C15830" s="2"/>
    </row>
    <row r="15831" spans="3:3" x14ac:dyDescent="0.35">
      <c r="C15831" s="2"/>
    </row>
    <row r="15832" spans="3:3" x14ac:dyDescent="0.35">
      <c r="C15832" s="2"/>
    </row>
    <row r="15833" spans="3:3" x14ac:dyDescent="0.35">
      <c r="C15833" s="2"/>
    </row>
    <row r="15834" spans="3:3" x14ac:dyDescent="0.35">
      <c r="C15834" s="2"/>
    </row>
    <row r="15835" spans="3:3" x14ac:dyDescent="0.35">
      <c r="C15835" s="2"/>
    </row>
    <row r="15836" spans="3:3" x14ac:dyDescent="0.35">
      <c r="C15836" s="2"/>
    </row>
    <row r="15837" spans="3:3" x14ac:dyDescent="0.35">
      <c r="C15837" s="2"/>
    </row>
    <row r="15838" spans="3:3" x14ac:dyDescent="0.35">
      <c r="C15838" s="2"/>
    </row>
    <row r="15839" spans="3:3" x14ac:dyDescent="0.35">
      <c r="C15839" s="2"/>
    </row>
    <row r="15840" spans="3:3" x14ac:dyDescent="0.35">
      <c r="C15840" s="2"/>
    </row>
    <row r="15841" spans="3:3" x14ac:dyDescent="0.35">
      <c r="C15841" s="2"/>
    </row>
    <row r="15842" spans="3:3" x14ac:dyDescent="0.35">
      <c r="C15842" s="2"/>
    </row>
    <row r="15843" spans="3:3" x14ac:dyDescent="0.35">
      <c r="C15843" s="2"/>
    </row>
    <row r="15844" spans="3:3" x14ac:dyDescent="0.35">
      <c r="C15844" s="2"/>
    </row>
    <row r="15845" spans="3:3" x14ac:dyDescent="0.35">
      <c r="C15845" s="2"/>
    </row>
    <row r="15846" spans="3:3" x14ac:dyDescent="0.35">
      <c r="C15846" s="2"/>
    </row>
    <row r="15847" spans="3:3" x14ac:dyDescent="0.35">
      <c r="C15847" s="2"/>
    </row>
    <row r="15848" spans="3:3" x14ac:dyDescent="0.35">
      <c r="C15848" s="2"/>
    </row>
    <row r="15849" spans="3:3" x14ac:dyDescent="0.35">
      <c r="C15849" s="2"/>
    </row>
    <row r="15850" spans="3:3" x14ac:dyDescent="0.35">
      <c r="C15850" s="2"/>
    </row>
    <row r="15851" spans="3:3" x14ac:dyDescent="0.35">
      <c r="C15851" s="2"/>
    </row>
    <row r="15852" spans="3:3" x14ac:dyDescent="0.35">
      <c r="C15852" s="2"/>
    </row>
    <row r="15853" spans="3:3" x14ac:dyDescent="0.35">
      <c r="C15853" s="2"/>
    </row>
    <row r="15854" spans="3:3" x14ac:dyDescent="0.35">
      <c r="C15854" s="2"/>
    </row>
    <row r="15855" spans="3:3" x14ac:dyDescent="0.35">
      <c r="C15855" s="2"/>
    </row>
    <row r="15856" spans="3:3" x14ac:dyDescent="0.35">
      <c r="C15856" s="2"/>
    </row>
    <row r="15857" spans="3:3" x14ac:dyDescent="0.35">
      <c r="C15857" s="2"/>
    </row>
    <row r="15858" spans="3:3" x14ac:dyDescent="0.35">
      <c r="C15858" s="2"/>
    </row>
    <row r="15859" spans="3:3" x14ac:dyDescent="0.35">
      <c r="C15859" s="2"/>
    </row>
    <row r="15860" spans="3:3" x14ac:dyDescent="0.35">
      <c r="C15860" s="2"/>
    </row>
    <row r="15861" spans="3:3" x14ac:dyDescent="0.35">
      <c r="C15861" s="2"/>
    </row>
    <row r="15862" spans="3:3" x14ac:dyDescent="0.35">
      <c r="C15862" s="2"/>
    </row>
    <row r="15863" spans="3:3" x14ac:dyDescent="0.35">
      <c r="C15863" s="2"/>
    </row>
    <row r="15864" spans="3:3" x14ac:dyDescent="0.35">
      <c r="C15864" s="2"/>
    </row>
    <row r="15865" spans="3:3" x14ac:dyDescent="0.35">
      <c r="C15865" s="2"/>
    </row>
    <row r="15866" spans="3:3" x14ac:dyDescent="0.35">
      <c r="C15866" s="2"/>
    </row>
    <row r="15867" spans="3:3" x14ac:dyDescent="0.35">
      <c r="C15867" s="2"/>
    </row>
    <row r="15868" spans="3:3" x14ac:dyDescent="0.35">
      <c r="C15868" s="2"/>
    </row>
    <row r="15869" spans="3:3" x14ac:dyDescent="0.35">
      <c r="C15869" s="2"/>
    </row>
    <row r="15870" spans="3:3" x14ac:dyDescent="0.35">
      <c r="C15870" s="2"/>
    </row>
    <row r="15871" spans="3:3" x14ac:dyDescent="0.35">
      <c r="C15871" s="2"/>
    </row>
    <row r="15872" spans="3:3" x14ac:dyDescent="0.35">
      <c r="C15872" s="2"/>
    </row>
    <row r="15873" spans="3:3" x14ac:dyDescent="0.35">
      <c r="C15873" s="2"/>
    </row>
    <row r="15874" spans="3:3" x14ac:dyDescent="0.35">
      <c r="C15874" s="2"/>
    </row>
    <row r="15875" spans="3:3" x14ac:dyDescent="0.35">
      <c r="C15875" s="2"/>
    </row>
    <row r="15876" spans="3:3" x14ac:dyDescent="0.35">
      <c r="C15876" s="2"/>
    </row>
    <row r="15877" spans="3:3" x14ac:dyDescent="0.35">
      <c r="C15877" s="2"/>
    </row>
    <row r="15878" spans="3:3" x14ac:dyDescent="0.35">
      <c r="C15878" s="2"/>
    </row>
    <row r="15879" spans="3:3" x14ac:dyDescent="0.35">
      <c r="C15879" s="2"/>
    </row>
    <row r="15880" spans="3:3" x14ac:dyDescent="0.35">
      <c r="C15880" s="2"/>
    </row>
    <row r="15881" spans="3:3" x14ac:dyDescent="0.35">
      <c r="C15881" s="2"/>
    </row>
    <row r="15882" spans="3:3" x14ac:dyDescent="0.35">
      <c r="C15882" s="2"/>
    </row>
    <row r="15883" spans="3:3" x14ac:dyDescent="0.35">
      <c r="C15883" s="2"/>
    </row>
    <row r="15884" spans="3:3" x14ac:dyDescent="0.35">
      <c r="C15884" s="2"/>
    </row>
    <row r="15885" spans="3:3" x14ac:dyDescent="0.35">
      <c r="C15885" s="2"/>
    </row>
    <row r="15886" spans="3:3" x14ac:dyDescent="0.35">
      <c r="C15886" s="2"/>
    </row>
    <row r="15887" spans="3:3" x14ac:dyDescent="0.35">
      <c r="C15887" s="2"/>
    </row>
    <row r="15888" spans="3:3" x14ac:dyDescent="0.35">
      <c r="C15888" s="2"/>
    </row>
    <row r="15889" spans="3:3" x14ac:dyDescent="0.35">
      <c r="C15889" s="2"/>
    </row>
    <row r="15890" spans="3:3" x14ac:dyDescent="0.35">
      <c r="C15890" s="2"/>
    </row>
    <row r="15891" spans="3:3" x14ac:dyDescent="0.35">
      <c r="C15891" s="2"/>
    </row>
    <row r="15892" spans="3:3" x14ac:dyDescent="0.35">
      <c r="C15892" s="2"/>
    </row>
    <row r="15893" spans="3:3" x14ac:dyDescent="0.35">
      <c r="C15893" s="2"/>
    </row>
    <row r="15894" spans="3:3" x14ac:dyDescent="0.35">
      <c r="C15894" s="2"/>
    </row>
    <row r="15895" spans="3:3" x14ac:dyDescent="0.35">
      <c r="C15895" s="2"/>
    </row>
    <row r="15896" spans="3:3" x14ac:dyDescent="0.35">
      <c r="C15896" s="2"/>
    </row>
    <row r="15897" spans="3:3" x14ac:dyDescent="0.35">
      <c r="C15897" s="2"/>
    </row>
    <row r="15898" spans="3:3" x14ac:dyDescent="0.35">
      <c r="C15898" s="2"/>
    </row>
    <row r="15899" spans="3:3" x14ac:dyDescent="0.35">
      <c r="C15899" s="2"/>
    </row>
    <row r="15900" spans="3:3" x14ac:dyDescent="0.35">
      <c r="C15900" s="2"/>
    </row>
    <row r="15901" spans="3:3" x14ac:dyDescent="0.35">
      <c r="C15901" s="2"/>
    </row>
    <row r="15902" spans="3:3" x14ac:dyDescent="0.35">
      <c r="C15902" s="2"/>
    </row>
    <row r="15903" spans="3:3" x14ac:dyDescent="0.35">
      <c r="C15903" s="2"/>
    </row>
    <row r="15904" spans="3:3" x14ac:dyDescent="0.35">
      <c r="C15904" s="2"/>
    </row>
    <row r="15905" spans="3:3" x14ac:dyDescent="0.35">
      <c r="C15905" s="2"/>
    </row>
    <row r="15906" spans="3:3" x14ac:dyDescent="0.35">
      <c r="C15906" s="2"/>
    </row>
    <row r="15907" spans="3:3" x14ac:dyDescent="0.35">
      <c r="C15907" s="2"/>
    </row>
    <row r="15908" spans="3:3" x14ac:dyDescent="0.35">
      <c r="C15908" s="2"/>
    </row>
    <row r="15909" spans="3:3" x14ac:dyDescent="0.35">
      <c r="C15909" s="2"/>
    </row>
    <row r="15910" spans="3:3" x14ac:dyDescent="0.35">
      <c r="C15910" s="2"/>
    </row>
    <row r="15911" spans="3:3" x14ac:dyDescent="0.35">
      <c r="C15911" s="2"/>
    </row>
    <row r="15912" spans="3:3" x14ac:dyDescent="0.35">
      <c r="C15912" s="2"/>
    </row>
    <row r="15913" spans="3:3" x14ac:dyDescent="0.35">
      <c r="C15913" s="2"/>
    </row>
    <row r="15914" spans="3:3" x14ac:dyDescent="0.35">
      <c r="C15914" s="2"/>
    </row>
    <row r="15915" spans="3:3" x14ac:dyDescent="0.35">
      <c r="C15915" s="2"/>
    </row>
    <row r="15916" spans="3:3" x14ac:dyDescent="0.35">
      <c r="C15916" s="2"/>
    </row>
    <row r="15917" spans="3:3" x14ac:dyDescent="0.35">
      <c r="C15917" s="2"/>
    </row>
    <row r="15918" spans="3:3" x14ac:dyDescent="0.35">
      <c r="C15918" s="2"/>
    </row>
    <row r="15919" spans="3:3" x14ac:dyDescent="0.35">
      <c r="C15919" s="2"/>
    </row>
    <row r="15920" spans="3:3" x14ac:dyDescent="0.35">
      <c r="C15920" s="2"/>
    </row>
    <row r="15921" spans="3:3" x14ac:dyDescent="0.35">
      <c r="C15921" s="2"/>
    </row>
    <row r="15922" spans="3:3" x14ac:dyDescent="0.35">
      <c r="C15922" s="2"/>
    </row>
    <row r="15923" spans="3:3" x14ac:dyDescent="0.35">
      <c r="C15923" s="2"/>
    </row>
    <row r="15924" spans="3:3" x14ac:dyDescent="0.35">
      <c r="C15924" s="2"/>
    </row>
    <row r="15925" spans="3:3" x14ac:dyDescent="0.35">
      <c r="C15925" s="2"/>
    </row>
    <row r="15926" spans="3:3" x14ac:dyDescent="0.35">
      <c r="C15926" s="2"/>
    </row>
    <row r="15927" spans="3:3" x14ac:dyDescent="0.35">
      <c r="C15927" s="2"/>
    </row>
    <row r="15928" spans="3:3" x14ac:dyDescent="0.35">
      <c r="C15928" s="2"/>
    </row>
    <row r="15929" spans="3:3" x14ac:dyDescent="0.35">
      <c r="C15929" s="2"/>
    </row>
    <row r="15930" spans="3:3" x14ac:dyDescent="0.35">
      <c r="C15930" s="2"/>
    </row>
    <row r="15931" spans="3:3" x14ac:dyDescent="0.35">
      <c r="C15931" s="2"/>
    </row>
    <row r="15932" spans="3:3" x14ac:dyDescent="0.35">
      <c r="C15932" s="2"/>
    </row>
    <row r="15933" spans="3:3" x14ac:dyDescent="0.35">
      <c r="C15933" s="2"/>
    </row>
    <row r="15934" spans="3:3" x14ac:dyDescent="0.35">
      <c r="C15934" s="2"/>
    </row>
    <row r="15935" spans="3:3" x14ac:dyDescent="0.35">
      <c r="C15935" s="2"/>
    </row>
    <row r="15936" spans="3:3" x14ac:dyDescent="0.35">
      <c r="C15936" s="2"/>
    </row>
    <row r="15937" spans="3:3" x14ac:dyDescent="0.35">
      <c r="C15937" s="2"/>
    </row>
    <row r="15938" spans="3:3" x14ac:dyDescent="0.35">
      <c r="C15938" s="2"/>
    </row>
    <row r="15939" spans="3:3" x14ac:dyDescent="0.35">
      <c r="C15939" s="2"/>
    </row>
    <row r="15940" spans="3:3" x14ac:dyDescent="0.35">
      <c r="C15940" s="2"/>
    </row>
    <row r="15941" spans="3:3" x14ac:dyDescent="0.35">
      <c r="C15941" s="2"/>
    </row>
    <row r="15942" spans="3:3" x14ac:dyDescent="0.35">
      <c r="C15942" s="2"/>
    </row>
    <row r="15943" spans="3:3" x14ac:dyDescent="0.35">
      <c r="C15943" s="2"/>
    </row>
    <row r="15944" spans="3:3" x14ac:dyDescent="0.35">
      <c r="C15944" s="2"/>
    </row>
    <row r="15945" spans="3:3" x14ac:dyDescent="0.35">
      <c r="C15945" s="2"/>
    </row>
    <row r="15946" spans="3:3" x14ac:dyDescent="0.35">
      <c r="C15946" s="2"/>
    </row>
    <row r="15947" spans="3:3" x14ac:dyDescent="0.35">
      <c r="C15947" s="2"/>
    </row>
    <row r="15948" spans="3:3" x14ac:dyDescent="0.35">
      <c r="C15948" s="2"/>
    </row>
    <row r="15949" spans="3:3" x14ac:dyDescent="0.35">
      <c r="C15949" s="2"/>
    </row>
    <row r="15950" spans="3:3" x14ac:dyDescent="0.35">
      <c r="C15950" s="2"/>
    </row>
    <row r="15951" spans="3:3" x14ac:dyDescent="0.35">
      <c r="C15951" s="2"/>
    </row>
    <row r="15952" spans="3:3" x14ac:dyDescent="0.35">
      <c r="C15952" s="2"/>
    </row>
    <row r="15953" spans="3:3" x14ac:dyDescent="0.35">
      <c r="C15953" s="2"/>
    </row>
    <row r="15954" spans="3:3" x14ac:dyDescent="0.35">
      <c r="C15954" s="2"/>
    </row>
    <row r="15955" spans="3:3" x14ac:dyDescent="0.35">
      <c r="C15955" s="2"/>
    </row>
    <row r="15956" spans="3:3" x14ac:dyDescent="0.35">
      <c r="C15956" s="2"/>
    </row>
    <row r="15957" spans="3:3" x14ac:dyDescent="0.35">
      <c r="C15957" s="2"/>
    </row>
    <row r="15958" spans="3:3" x14ac:dyDescent="0.35">
      <c r="C15958" s="2"/>
    </row>
    <row r="15959" spans="3:3" x14ac:dyDescent="0.35">
      <c r="C15959" s="2"/>
    </row>
    <row r="15960" spans="3:3" x14ac:dyDescent="0.35">
      <c r="C15960" s="2"/>
    </row>
    <row r="15961" spans="3:3" x14ac:dyDescent="0.35">
      <c r="C15961" s="2"/>
    </row>
    <row r="15962" spans="3:3" x14ac:dyDescent="0.35">
      <c r="C15962" s="2"/>
    </row>
    <row r="15963" spans="3:3" x14ac:dyDescent="0.35">
      <c r="C15963" s="2"/>
    </row>
    <row r="15964" spans="3:3" x14ac:dyDescent="0.35">
      <c r="C15964" s="2"/>
    </row>
    <row r="15965" spans="3:3" x14ac:dyDescent="0.35">
      <c r="C15965" s="2"/>
    </row>
    <row r="15966" spans="3:3" x14ac:dyDescent="0.35">
      <c r="C15966" s="2"/>
    </row>
    <row r="15967" spans="3:3" x14ac:dyDescent="0.35">
      <c r="C15967" s="2"/>
    </row>
    <row r="15968" spans="3:3" x14ac:dyDescent="0.35">
      <c r="C15968" s="2"/>
    </row>
    <row r="15969" spans="3:3" x14ac:dyDescent="0.35">
      <c r="C15969" s="2"/>
    </row>
    <row r="15970" spans="3:3" x14ac:dyDescent="0.35">
      <c r="C15970" s="2"/>
    </row>
    <row r="15971" spans="3:3" x14ac:dyDescent="0.35">
      <c r="C15971" s="2"/>
    </row>
    <row r="15972" spans="3:3" x14ac:dyDescent="0.35">
      <c r="C15972" s="2"/>
    </row>
    <row r="15973" spans="3:3" x14ac:dyDescent="0.35">
      <c r="C15973" s="2"/>
    </row>
    <row r="15974" spans="3:3" x14ac:dyDescent="0.35">
      <c r="C15974" s="2"/>
    </row>
    <row r="15975" spans="3:3" x14ac:dyDescent="0.35">
      <c r="C15975" s="2"/>
    </row>
    <row r="15976" spans="3:3" x14ac:dyDescent="0.35">
      <c r="C15976" s="2"/>
    </row>
    <row r="15977" spans="3:3" x14ac:dyDescent="0.35">
      <c r="C15977" s="2"/>
    </row>
    <row r="15978" spans="3:3" x14ac:dyDescent="0.35">
      <c r="C15978" s="2"/>
    </row>
    <row r="15979" spans="3:3" x14ac:dyDescent="0.35">
      <c r="C15979" s="2"/>
    </row>
    <row r="15980" spans="3:3" x14ac:dyDescent="0.35">
      <c r="C15980" s="2"/>
    </row>
    <row r="15981" spans="3:3" x14ac:dyDescent="0.35">
      <c r="C15981" s="2"/>
    </row>
    <row r="15982" spans="3:3" x14ac:dyDescent="0.35">
      <c r="C15982" s="2"/>
    </row>
    <row r="15983" spans="3:3" x14ac:dyDescent="0.35">
      <c r="C15983" s="2"/>
    </row>
    <row r="15984" spans="3:3" x14ac:dyDescent="0.35">
      <c r="C15984" s="2"/>
    </row>
    <row r="15985" spans="3:3" x14ac:dyDescent="0.35">
      <c r="C15985" s="2"/>
    </row>
    <row r="15986" spans="3:3" x14ac:dyDescent="0.35">
      <c r="C15986" s="2"/>
    </row>
    <row r="15987" spans="3:3" x14ac:dyDescent="0.35">
      <c r="C15987" s="2"/>
    </row>
    <row r="15988" spans="3:3" x14ac:dyDescent="0.35">
      <c r="C15988" s="2"/>
    </row>
    <row r="15989" spans="3:3" x14ac:dyDescent="0.35">
      <c r="C15989" s="2"/>
    </row>
    <row r="15990" spans="3:3" x14ac:dyDescent="0.35">
      <c r="C15990" s="2"/>
    </row>
    <row r="15991" spans="3:3" x14ac:dyDescent="0.35">
      <c r="C15991" s="2"/>
    </row>
    <row r="15992" spans="3:3" x14ac:dyDescent="0.35">
      <c r="C15992" s="2"/>
    </row>
    <row r="15993" spans="3:3" x14ac:dyDescent="0.35">
      <c r="C15993" s="2"/>
    </row>
    <row r="15994" spans="3:3" x14ac:dyDescent="0.35">
      <c r="C15994" s="2"/>
    </row>
    <row r="15995" spans="3:3" x14ac:dyDescent="0.35">
      <c r="C15995" s="2"/>
    </row>
    <row r="15996" spans="3:3" x14ac:dyDescent="0.35">
      <c r="C15996" s="2"/>
    </row>
    <row r="15997" spans="3:3" x14ac:dyDescent="0.35">
      <c r="C15997" s="2"/>
    </row>
    <row r="15998" spans="3:3" x14ac:dyDescent="0.35">
      <c r="C15998" s="2"/>
    </row>
    <row r="15999" spans="3:3" x14ac:dyDescent="0.35">
      <c r="C15999" s="2"/>
    </row>
    <row r="16000" spans="3:3" x14ac:dyDescent="0.35">
      <c r="C16000" s="2"/>
    </row>
    <row r="16001" spans="3:3" x14ac:dyDescent="0.35">
      <c r="C16001" s="2"/>
    </row>
    <row r="16002" spans="3:3" x14ac:dyDescent="0.35">
      <c r="C16002" s="2"/>
    </row>
    <row r="16003" spans="3:3" x14ac:dyDescent="0.35">
      <c r="C16003" s="2"/>
    </row>
    <row r="16004" spans="3:3" x14ac:dyDescent="0.35">
      <c r="C16004" s="2"/>
    </row>
    <row r="16005" spans="3:3" x14ac:dyDescent="0.35">
      <c r="C16005" s="2"/>
    </row>
    <row r="16006" spans="3:3" x14ac:dyDescent="0.35">
      <c r="C16006" s="2"/>
    </row>
    <row r="16007" spans="3:3" x14ac:dyDescent="0.35">
      <c r="C16007" s="2"/>
    </row>
    <row r="16008" spans="3:3" x14ac:dyDescent="0.35">
      <c r="C16008" s="2"/>
    </row>
    <row r="16009" spans="3:3" x14ac:dyDescent="0.35">
      <c r="C16009" s="2"/>
    </row>
    <row r="16010" spans="3:3" x14ac:dyDescent="0.35">
      <c r="C16010" s="2"/>
    </row>
    <row r="16011" spans="3:3" x14ac:dyDescent="0.35">
      <c r="C16011" s="2"/>
    </row>
    <row r="16012" spans="3:3" x14ac:dyDescent="0.35">
      <c r="C16012" s="2"/>
    </row>
    <row r="16013" spans="3:3" x14ac:dyDescent="0.35">
      <c r="C16013" s="2"/>
    </row>
    <row r="16014" spans="3:3" x14ac:dyDescent="0.35">
      <c r="C16014" s="2"/>
    </row>
    <row r="16015" spans="3:3" x14ac:dyDescent="0.35">
      <c r="C16015" s="2"/>
    </row>
    <row r="16016" spans="3:3" x14ac:dyDescent="0.35">
      <c r="C16016" s="2"/>
    </row>
    <row r="16017" spans="3:3" x14ac:dyDescent="0.35">
      <c r="C16017" s="2"/>
    </row>
    <row r="16018" spans="3:3" x14ac:dyDescent="0.35">
      <c r="C16018" s="2"/>
    </row>
    <row r="16019" spans="3:3" x14ac:dyDescent="0.35">
      <c r="C16019" s="2"/>
    </row>
    <row r="16020" spans="3:3" x14ac:dyDescent="0.35">
      <c r="C16020" s="2"/>
    </row>
    <row r="16021" spans="3:3" x14ac:dyDescent="0.35">
      <c r="C16021" s="2"/>
    </row>
    <row r="16022" spans="3:3" x14ac:dyDescent="0.35">
      <c r="C16022" s="2"/>
    </row>
    <row r="16023" spans="3:3" x14ac:dyDescent="0.35">
      <c r="C16023" s="2"/>
    </row>
    <row r="16024" spans="3:3" x14ac:dyDescent="0.35">
      <c r="C16024" s="2"/>
    </row>
    <row r="16025" spans="3:3" x14ac:dyDescent="0.35">
      <c r="C16025" s="2"/>
    </row>
    <row r="16026" spans="3:3" x14ac:dyDescent="0.35">
      <c r="C16026" s="2"/>
    </row>
    <row r="16027" spans="3:3" x14ac:dyDescent="0.35">
      <c r="C16027" s="2"/>
    </row>
    <row r="16028" spans="3:3" x14ac:dyDescent="0.35">
      <c r="C16028" s="2"/>
    </row>
    <row r="16029" spans="3:3" x14ac:dyDescent="0.35">
      <c r="C16029" s="2"/>
    </row>
    <row r="16030" spans="3:3" x14ac:dyDescent="0.35">
      <c r="C16030" s="2"/>
    </row>
    <row r="16031" spans="3:3" x14ac:dyDescent="0.35">
      <c r="C16031" s="2"/>
    </row>
    <row r="16032" spans="3:3" x14ac:dyDescent="0.35">
      <c r="C16032" s="2"/>
    </row>
    <row r="16033" spans="3:3" x14ac:dyDescent="0.35">
      <c r="C16033" s="2"/>
    </row>
    <row r="16034" spans="3:3" x14ac:dyDescent="0.35">
      <c r="C16034" s="2"/>
    </row>
    <row r="16035" spans="3:3" x14ac:dyDescent="0.35">
      <c r="C16035" s="2"/>
    </row>
    <row r="16036" spans="3:3" x14ac:dyDescent="0.35">
      <c r="C16036" s="2"/>
    </row>
    <row r="16037" spans="3:3" x14ac:dyDescent="0.35">
      <c r="C16037" s="2"/>
    </row>
    <row r="16038" spans="3:3" x14ac:dyDescent="0.35">
      <c r="C16038" s="2"/>
    </row>
    <row r="16039" spans="3:3" x14ac:dyDescent="0.35">
      <c r="C16039" s="2"/>
    </row>
    <row r="16040" spans="3:3" x14ac:dyDescent="0.35">
      <c r="C16040" s="2"/>
    </row>
    <row r="16041" spans="3:3" x14ac:dyDescent="0.35">
      <c r="C16041" s="2"/>
    </row>
    <row r="16042" spans="3:3" x14ac:dyDescent="0.35">
      <c r="C16042" s="2"/>
    </row>
    <row r="16043" spans="3:3" x14ac:dyDescent="0.35">
      <c r="C16043" s="2"/>
    </row>
    <row r="16044" spans="3:3" x14ac:dyDescent="0.35">
      <c r="C16044" s="2"/>
    </row>
    <row r="16045" spans="3:3" x14ac:dyDescent="0.35">
      <c r="C16045" s="2"/>
    </row>
    <row r="16046" spans="3:3" x14ac:dyDescent="0.35">
      <c r="C16046" s="2"/>
    </row>
    <row r="16047" spans="3:3" x14ac:dyDescent="0.35">
      <c r="C16047" s="2"/>
    </row>
    <row r="16048" spans="3:3" x14ac:dyDescent="0.35">
      <c r="C16048" s="2"/>
    </row>
    <row r="16049" spans="3:3" x14ac:dyDescent="0.35">
      <c r="C16049" s="2"/>
    </row>
    <row r="16050" spans="3:3" x14ac:dyDescent="0.35">
      <c r="C16050" s="2"/>
    </row>
    <row r="16051" spans="3:3" x14ac:dyDescent="0.35">
      <c r="C16051" s="2"/>
    </row>
    <row r="16052" spans="3:3" x14ac:dyDescent="0.35">
      <c r="C16052" s="2"/>
    </row>
    <row r="16053" spans="3:3" x14ac:dyDescent="0.35">
      <c r="C16053" s="2"/>
    </row>
    <row r="16054" spans="3:3" x14ac:dyDescent="0.35">
      <c r="C16054" s="2"/>
    </row>
    <row r="16055" spans="3:3" x14ac:dyDescent="0.35">
      <c r="C16055" s="2"/>
    </row>
    <row r="16056" spans="3:3" x14ac:dyDescent="0.35">
      <c r="C16056" s="2"/>
    </row>
    <row r="16057" spans="3:3" x14ac:dyDescent="0.35">
      <c r="C16057" s="2"/>
    </row>
    <row r="16058" spans="3:3" x14ac:dyDescent="0.35">
      <c r="C16058" s="2"/>
    </row>
    <row r="16059" spans="3:3" x14ac:dyDescent="0.35">
      <c r="C16059" s="2"/>
    </row>
    <row r="16060" spans="3:3" x14ac:dyDescent="0.35">
      <c r="C16060" s="2"/>
    </row>
    <row r="16061" spans="3:3" x14ac:dyDescent="0.35">
      <c r="C16061" s="2"/>
    </row>
    <row r="16062" spans="3:3" x14ac:dyDescent="0.35">
      <c r="C16062" s="2"/>
    </row>
    <row r="16063" spans="3:3" x14ac:dyDescent="0.35">
      <c r="C16063" s="2"/>
    </row>
    <row r="16064" spans="3:3" x14ac:dyDescent="0.35">
      <c r="C16064" s="2"/>
    </row>
    <row r="16065" spans="3:3" x14ac:dyDescent="0.35">
      <c r="C16065" s="2"/>
    </row>
    <row r="16066" spans="3:3" x14ac:dyDescent="0.35">
      <c r="C16066" s="2"/>
    </row>
    <row r="16067" spans="3:3" x14ac:dyDescent="0.35">
      <c r="C16067" s="2"/>
    </row>
    <row r="16068" spans="3:3" x14ac:dyDescent="0.35">
      <c r="C16068" s="2"/>
    </row>
    <row r="16069" spans="3:3" x14ac:dyDescent="0.35">
      <c r="C16069" s="2"/>
    </row>
    <row r="16070" spans="3:3" x14ac:dyDescent="0.35">
      <c r="C16070" s="2"/>
    </row>
    <row r="16071" spans="3:3" x14ac:dyDescent="0.35">
      <c r="C16071" s="2"/>
    </row>
    <row r="16072" spans="3:3" x14ac:dyDescent="0.35">
      <c r="C16072" s="2"/>
    </row>
    <row r="16073" spans="3:3" x14ac:dyDescent="0.35">
      <c r="C16073" s="2"/>
    </row>
    <row r="16074" spans="3:3" x14ac:dyDescent="0.35">
      <c r="C16074" s="2"/>
    </row>
    <row r="16075" spans="3:3" x14ac:dyDescent="0.35">
      <c r="C16075" s="2"/>
    </row>
    <row r="16076" spans="3:3" x14ac:dyDescent="0.35">
      <c r="C16076" s="2"/>
    </row>
    <row r="16077" spans="3:3" x14ac:dyDescent="0.35">
      <c r="C16077" s="2"/>
    </row>
    <row r="16078" spans="3:3" x14ac:dyDescent="0.35">
      <c r="C16078" s="2"/>
    </row>
    <row r="16079" spans="3:3" x14ac:dyDescent="0.35">
      <c r="C16079" s="2"/>
    </row>
    <row r="16080" spans="3:3" x14ac:dyDescent="0.35">
      <c r="C16080" s="2"/>
    </row>
    <row r="16081" spans="3:3" x14ac:dyDescent="0.35">
      <c r="C16081" s="2"/>
    </row>
    <row r="16082" spans="3:3" x14ac:dyDescent="0.35">
      <c r="C16082" s="2"/>
    </row>
    <row r="16083" spans="3:3" x14ac:dyDescent="0.35">
      <c r="C16083" s="2"/>
    </row>
    <row r="16084" spans="3:3" x14ac:dyDescent="0.35">
      <c r="C16084" s="2"/>
    </row>
    <row r="16085" spans="3:3" x14ac:dyDescent="0.35">
      <c r="C16085" s="2"/>
    </row>
    <row r="16086" spans="3:3" x14ac:dyDescent="0.35">
      <c r="C16086" s="2"/>
    </row>
    <row r="16087" spans="3:3" x14ac:dyDescent="0.35">
      <c r="C16087" s="2"/>
    </row>
    <row r="16088" spans="3:3" x14ac:dyDescent="0.35">
      <c r="C16088" s="2"/>
    </row>
    <row r="16089" spans="3:3" x14ac:dyDescent="0.35">
      <c r="C16089" s="2"/>
    </row>
    <row r="16090" spans="3:3" x14ac:dyDescent="0.35">
      <c r="C16090" s="2"/>
    </row>
    <row r="16091" spans="3:3" x14ac:dyDescent="0.35">
      <c r="C16091" s="2"/>
    </row>
    <row r="16092" spans="3:3" x14ac:dyDescent="0.35">
      <c r="C16092" s="2"/>
    </row>
    <row r="16093" spans="3:3" x14ac:dyDescent="0.35">
      <c r="C16093" s="2"/>
    </row>
    <row r="16094" spans="3:3" x14ac:dyDescent="0.35">
      <c r="C16094" s="2"/>
    </row>
    <row r="16095" spans="3:3" x14ac:dyDescent="0.35">
      <c r="C16095" s="2"/>
    </row>
    <row r="16096" spans="3:3" x14ac:dyDescent="0.35">
      <c r="C16096" s="2"/>
    </row>
    <row r="16097" spans="3:3" x14ac:dyDescent="0.35">
      <c r="C16097" s="2"/>
    </row>
    <row r="16098" spans="3:3" x14ac:dyDescent="0.35">
      <c r="C16098" s="2"/>
    </row>
    <row r="16099" spans="3:3" x14ac:dyDescent="0.35">
      <c r="C16099" s="2"/>
    </row>
    <row r="16100" spans="3:3" x14ac:dyDescent="0.35">
      <c r="C16100" s="2"/>
    </row>
    <row r="16101" spans="3:3" x14ac:dyDescent="0.35">
      <c r="C16101" s="2"/>
    </row>
    <row r="16102" spans="3:3" x14ac:dyDescent="0.35">
      <c r="C16102" s="2"/>
    </row>
    <row r="16103" spans="3:3" x14ac:dyDescent="0.35">
      <c r="C16103" s="2"/>
    </row>
    <row r="16104" spans="3:3" x14ac:dyDescent="0.35">
      <c r="C16104" s="2"/>
    </row>
    <row r="16105" spans="3:3" x14ac:dyDescent="0.35">
      <c r="C16105" s="2"/>
    </row>
    <row r="16106" spans="3:3" x14ac:dyDescent="0.35">
      <c r="C16106" s="2"/>
    </row>
    <row r="16107" spans="3:3" x14ac:dyDescent="0.35">
      <c r="C16107" s="2"/>
    </row>
    <row r="16108" spans="3:3" x14ac:dyDescent="0.35">
      <c r="C16108" s="2"/>
    </row>
    <row r="16109" spans="3:3" x14ac:dyDescent="0.35">
      <c r="C16109" s="2"/>
    </row>
    <row r="16110" spans="3:3" x14ac:dyDescent="0.35">
      <c r="C16110" s="2"/>
    </row>
    <row r="16111" spans="3:3" x14ac:dyDescent="0.35">
      <c r="C16111" s="2"/>
    </row>
    <row r="16112" spans="3:3" x14ac:dyDescent="0.35">
      <c r="C16112" s="2"/>
    </row>
    <row r="16113" spans="3:3" x14ac:dyDescent="0.35">
      <c r="C16113" s="2"/>
    </row>
    <row r="16114" spans="3:3" x14ac:dyDescent="0.35">
      <c r="C16114" s="2"/>
    </row>
    <row r="16115" spans="3:3" x14ac:dyDescent="0.35">
      <c r="C16115" s="2"/>
    </row>
    <row r="16116" spans="3:3" x14ac:dyDescent="0.35">
      <c r="C16116" s="2"/>
    </row>
    <row r="16117" spans="3:3" x14ac:dyDescent="0.35">
      <c r="C16117" s="2"/>
    </row>
    <row r="16118" spans="3:3" x14ac:dyDescent="0.35">
      <c r="C16118" s="2"/>
    </row>
    <row r="16119" spans="3:3" x14ac:dyDescent="0.35">
      <c r="C16119" s="2"/>
    </row>
    <row r="16120" spans="3:3" x14ac:dyDescent="0.35">
      <c r="C16120" s="2"/>
    </row>
    <row r="16121" spans="3:3" x14ac:dyDescent="0.35">
      <c r="C16121" s="2"/>
    </row>
    <row r="16122" spans="3:3" x14ac:dyDescent="0.35">
      <c r="C16122" s="2"/>
    </row>
    <row r="16123" spans="3:3" x14ac:dyDescent="0.35">
      <c r="C16123" s="2"/>
    </row>
    <row r="16124" spans="3:3" x14ac:dyDescent="0.35">
      <c r="C16124" s="2"/>
    </row>
    <row r="16125" spans="3:3" x14ac:dyDescent="0.35">
      <c r="C16125" s="2"/>
    </row>
    <row r="16126" spans="3:3" x14ac:dyDescent="0.35">
      <c r="C16126" s="2"/>
    </row>
    <row r="16127" spans="3:3" x14ac:dyDescent="0.35">
      <c r="C16127" s="2"/>
    </row>
    <row r="16128" spans="3:3" x14ac:dyDescent="0.35">
      <c r="C16128" s="2"/>
    </row>
    <row r="16129" spans="3:3" x14ac:dyDescent="0.35">
      <c r="C16129" s="2"/>
    </row>
    <row r="16130" spans="3:3" x14ac:dyDescent="0.35">
      <c r="C16130" s="2"/>
    </row>
    <row r="16131" spans="3:3" x14ac:dyDescent="0.35">
      <c r="C16131" s="2"/>
    </row>
    <row r="16132" spans="3:3" x14ac:dyDescent="0.35">
      <c r="C16132" s="2"/>
    </row>
    <row r="16133" spans="3:3" x14ac:dyDescent="0.35">
      <c r="C16133" s="2"/>
    </row>
    <row r="16134" spans="3:3" x14ac:dyDescent="0.35">
      <c r="C16134" s="2"/>
    </row>
    <row r="16135" spans="3:3" x14ac:dyDescent="0.35">
      <c r="C16135" s="2"/>
    </row>
    <row r="16136" spans="3:3" x14ac:dyDescent="0.35">
      <c r="C16136" s="2"/>
    </row>
    <row r="16137" spans="3:3" x14ac:dyDescent="0.35">
      <c r="C16137" s="2"/>
    </row>
    <row r="16138" spans="3:3" x14ac:dyDescent="0.35">
      <c r="C16138" s="2"/>
    </row>
    <row r="16139" spans="3:3" x14ac:dyDescent="0.35">
      <c r="C16139" s="2"/>
    </row>
    <row r="16140" spans="3:3" x14ac:dyDescent="0.35">
      <c r="C16140" s="2"/>
    </row>
    <row r="16141" spans="3:3" x14ac:dyDescent="0.35">
      <c r="C16141" s="2"/>
    </row>
    <row r="16142" spans="3:3" x14ac:dyDescent="0.35">
      <c r="C16142" s="2"/>
    </row>
    <row r="16143" spans="3:3" x14ac:dyDescent="0.35">
      <c r="C16143" s="2"/>
    </row>
    <row r="16144" spans="3:3" x14ac:dyDescent="0.35">
      <c r="C16144" s="2"/>
    </row>
    <row r="16145" spans="3:3" x14ac:dyDescent="0.35">
      <c r="C16145" s="2"/>
    </row>
    <row r="16146" spans="3:3" x14ac:dyDescent="0.35">
      <c r="C16146" s="2"/>
    </row>
    <row r="16147" spans="3:3" x14ac:dyDescent="0.35">
      <c r="C16147" s="2"/>
    </row>
    <row r="16148" spans="3:3" x14ac:dyDescent="0.35">
      <c r="C16148" s="2"/>
    </row>
    <row r="16149" spans="3:3" x14ac:dyDescent="0.35">
      <c r="C16149" s="2"/>
    </row>
    <row r="16150" spans="3:3" x14ac:dyDescent="0.35">
      <c r="C16150" s="2"/>
    </row>
    <row r="16151" spans="3:3" x14ac:dyDescent="0.35">
      <c r="C16151" s="2"/>
    </row>
    <row r="16152" spans="3:3" x14ac:dyDescent="0.35">
      <c r="C16152" s="2"/>
    </row>
    <row r="16153" spans="3:3" x14ac:dyDescent="0.35">
      <c r="C16153" s="2"/>
    </row>
    <row r="16154" spans="3:3" x14ac:dyDescent="0.35">
      <c r="C16154" s="2"/>
    </row>
    <row r="16155" spans="3:3" x14ac:dyDescent="0.35">
      <c r="C16155" s="2"/>
    </row>
    <row r="16156" spans="3:3" x14ac:dyDescent="0.35">
      <c r="C16156" s="2"/>
    </row>
    <row r="16157" spans="3:3" x14ac:dyDescent="0.35">
      <c r="C16157" s="2"/>
    </row>
    <row r="16158" spans="3:3" x14ac:dyDescent="0.35">
      <c r="C16158" s="2"/>
    </row>
    <row r="16159" spans="3:3" x14ac:dyDescent="0.35">
      <c r="C16159" s="2"/>
    </row>
    <row r="16160" spans="3:3" x14ac:dyDescent="0.35">
      <c r="C16160" s="2"/>
    </row>
    <row r="16161" spans="3:3" x14ac:dyDescent="0.35">
      <c r="C16161" s="2"/>
    </row>
    <row r="16162" spans="3:3" x14ac:dyDescent="0.35">
      <c r="C16162" s="2"/>
    </row>
    <row r="16163" spans="3:3" x14ac:dyDescent="0.35">
      <c r="C16163" s="2"/>
    </row>
    <row r="16164" spans="3:3" x14ac:dyDescent="0.35">
      <c r="C16164" s="2"/>
    </row>
    <row r="16165" spans="3:3" x14ac:dyDescent="0.35">
      <c r="C16165" s="2"/>
    </row>
    <row r="16166" spans="3:3" x14ac:dyDescent="0.35">
      <c r="C16166" s="2"/>
    </row>
    <row r="16167" spans="3:3" x14ac:dyDescent="0.35">
      <c r="C16167" s="2"/>
    </row>
    <row r="16168" spans="3:3" x14ac:dyDescent="0.35">
      <c r="C16168" s="2"/>
    </row>
    <row r="16169" spans="3:3" x14ac:dyDescent="0.35">
      <c r="C16169" s="2"/>
    </row>
    <row r="16170" spans="3:3" x14ac:dyDescent="0.35">
      <c r="C16170" s="2"/>
    </row>
    <row r="16171" spans="3:3" x14ac:dyDescent="0.35">
      <c r="C16171" s="2"/>
    </row>
    <row r="16172" spans="3:3" x14ac:dyDescent="0.35">
      <c r="C16172" s="2"/>
    </row>
    <row r="16173" spans="3:3" x14ac:dyDescent="0.35">
      <c r="C16173" s="2"/>
    </row>
    <row r="16174" spans="3:3" x14ac:dyDescent="0.35">
      <c r="C16174" s="2"/>
    </row>
    <row r="16175" spans="3:3" x14ac:dyDescent="0.35">
      <c r="C16175" s="2"/>
    </row>
    <row r="16176" spans="3:3" x14ac:dyDescent="0.35">
      <c r="C16176" s="2"/>
    </row>
    <row r="16177" spans="3:3" x14ac:dyDescent="0.35">
      <c r="C16177" s="2"/>
    </row>
    <row r="16178" spans="3:3" x14ac:dyDescent="0.35">
      <c r="C16178" s="2"/>
    </row>
    <row r="16179" spans="3:3" x14ac:dyDescent="0.35">
      <c r="C16179" s="2"/>
    </row>
    <row r="16180" spans="3:3" x14ac:dyDescent="0.35">
      <c r="C16180" s="2"/>
    </row>
    <row r="16181" spans="3:3" x14ac:dyDescent="0.35">
      <c r="C16181" s="2"/>
    </row>
    <row r="16182" spans="3:3" x14ac:dyDescent="0.35">
      <c r="C16182" s="2"/>
    </row>
    <row r="16183" spans="3:3" x14ac:dyDescent="0.35">
      <c r="C16183" s="2"/>
    </row>
    <row r="16184" spans="3:3" x14ac:dyDescent="0.35">
      <c r="C16184" s="2"/>
    </row>
    <row r="16185" spans="3:3" x14ac:dyDescent="0.35">
      <c r="C16185" s="2"/>
    </row>
    <row r="16186" spans="3:3" x14ac:dyDescent="0.35">
      <c r="C16186" s="2"/>
    </row>
    <row r="16187" spans="3:3" x14ac:dyDescent="0.35">
      <c r="C16187" s="2"/>
    </row>
    <row r="16188" spans="3:3" x14ac:dyDescent="0.35">
      <c r="C16188" s="2"/>
    </row>
    <row r="16189" spans="3:3" x14ac:dyDescent="0.35">
      <c r="C16189" s="2"/>
    </row>
    <row r="16190" spans="3:3" x14ac:dyDescent="0.35">
      <c r="C16190" s="2"/>
    </row>
    <row r="16191" spans="3:3" x14ac:dyDescent="0.35">
      <c r="C16191" s="2"/>
    </row>
    <row r="16192" spans="3:3" x14ac:dyDescent="0.35">
      <c r="C16192" s="2"/>
    </row>
    <row r="16193" spans="3:3" x14ac:dyDescent="0.35">
      <c r="C16193" s="2"/>
    </row>
    <row r="16194" spans="3:3" x14ac:dyDescent="0.35">
      <c r="C16194" s="2"/>
    </row>
    <row r="16195" spans="3:3" x14ac:dyDescent="0.35">
      <c r="C16195" s="2"/>
    </row>
    <row r="16196" spans="3:3" x14ac:dyDescent="0.35">
      <c r="C16196" s="2"/>
    </row>
    <row r="16197" spans="3:3" x14ac:dyDescent="0.35">
      <c r="C16197" s="2"/>
    </row>
    <row r="16198" spans="3:3" x14ac:dyDescent="0.35">
      <c r="C16198" s="2"/>
    </row>
    <row r="16199" spans="3:3" x14ac:dyDescent="0.35">
      <c r="C16199" s="2"/>
    </row>
    <row r="16200" spans="3:3" x14ac:dyDescent="0.35">
      <c r="C16200" s="2"/>
    </row>
    <row r="16201" spans="3:3" x14ac:dyDescent="0.35">
      <c r="C16201" s="2"/>
    </row>
    <row r="16202" spans="3:3" x14ac:dyDescent="0.35">
      <c r="C16202" s="2"/>
    </row>
    <row r="16203" spans="3:3" x14ac:dyDescent="0.35">
      <c r="C16203" s="2"/>
    </row>
    <row r="16204" spans="3:3" x14ac:dyDescent="0.35">
      <c r="C16204" s="2"/>
    </row>
    <row r="16205" spans="3:3" x14ac:dyDescent="0.35">
      <c r="C16205" s="2"/>
    </row>
    <row r="16206" spans="3:3" x14ac:dyDescent="0.35">
      <c r="C16206" s="2"/>
    </row>
    <row r="16207" spans="3:3" x14ac:dyDescent="0.35">
      <c r="C16207" s="2"/>
    </row>
    <row r="16208" spans="3:3" x14ac:dyDescent="0.35">
      <c r="C16208" s="2"/>
    </row>
    <row r="16209" spans="3:3" x14ac:dyDescent="0.35">
      <c r="C16209" s="2"/>
    </row>
    <row r="16210" spans="3:3" x14ac:dyDescent="0.35">
      <c r="C16210" s="2"/>
    </row>
    <row r="16211" spans="3:3" x14ac:dyDescent="0.35">
      <c r="C16211" s="2"/>
    </row>
    <row r="16212" spans="3:3" x14ac:dyDescent="0.35">
      <c r="C16212" s="2"/>
    </row>
    <row r="16213" spans="3:3" x14ac:dyDescent="0.35">
      <c r="C16213" s="2"/>
    </row>
    <row r="16214" spans="3:3" x14ac:dyDescent="0.35">
      <c r="C16214" s="2"/>
    </row>
    <row r="16215" spans="3:3" x14ac:dyDescent="0.35">
      <c r="C16215" s="2"/>
    </row>
    <row r="16216" spans="3:3" x14ac:dyDescent="0.35">
      <c r="C16216" s="2"/>
    </row>
    <row r="16217" spans="3:3" x14ac:dyDescent="0.35">
      <c r="C16217" s="2"/>
    </row>
    <row r="16218" spans="3:3" x14ac:dyDescent="0.35">
      <c r="C16218" s="2"/>
    </row>
    <row r="16219" spans="3:3" x14ac:dyDescent="0.35">
      <c r="C16219" s="2"/>
    </row>
    <row r="16220" spans="3:3" x14ac:dyDescent="0.35">
      <c r="C16220" s="2"/>
    </row>
    <row r="16221" spans="3:3" x14ac:dyDescent="0.35">
      <c r="C16221" s="2"/>
    </row>
    <row r="16222" spans="3:3" x14ac:dyDescent="0.35">
      <c r="C16222" s="2"/>
    </row>
    <row r="16223" spans="3:3" x14ac:dyDescent="0.35">
      <c r="C16223" s="2"/>
    </row>
    <row r="16224" spans="3:3" x14ac:dyDescent="0.35">
      <c r="C16224" s="2"/>
    </row>
    <row r="16225" spans="3:3" x14ac:dyDescent="0.35">
      <c r="C16225" s="2"/>
    </row>
    <row r="16226" spans="3:3" x14ac:dyDescent="0.35">
      <c r="C16226" s="2"/>
    </row>
    <row r="16227" spans="3:3" x14ac:dyDescent="0.35">
      <c r="C16227" s="2"/>
    </row>
    <row r="16228" spans="3:3" x14ac:dyDescent="0.35">
      <c r="C16228" s="2"/>
    </row>
    <row r="16229" spans="3:3" x14ac:dyDescent="0.35">
      <c r="C16229" s="2"/>
    </row>
    <row r="16230" spans="3:3" x14ac:dyDescent="0.35">
      <c r="C16230" s="2"/>
    </row>
    <row r="16231" spans="3:3" x14ac:dyDescent="0.35">
      <c r="C16231" s="2"/>
    </row>
    <row r="16232" spans="3:3" x14ac:dyDescent="0.35">
      <c r="C16232" s="2"/>
    </row>
    <row r="16233" spans="3:3" x14ac:dyDescent="0.35">
      <c r="C16233" s="2"/>
    </row>
    <row r="16234" spans="3:3" x14ac:dyDescent="0.35">
      <c r="C16234" s="2"/>
    </row>
    <row r="16235" spans="3:3" x14ac:dyDescent="0.35">
      <c r="C16235" s="2"/>
    </row>
    <row r="16236" spans="3:3" x14ac:dyDescent="0.35">
      <c r="C16236" s="2"/>
    </row>
    <row r="16237" spans="3:3" x14ac:dyDescent="0.35">
      <c r="C16237" s="2"/>
    </row>
    <row r="16238" spans="3:3" x14ac:dyDescent="0.35">
      <c r="C16238" s="2"/>
    </row>
    <row r="16239" spans="3:3" x14ac:dyDescent="0.35">
      <c r="C16239" s="2"/>
    </row>
    <row r="16240" spans="3:3" x14ac:dyDescent="0.35">
      <c r="C16240" s="2"/>
    </row>
    <row r="16241" spans="3:3" x14ac:dyDescent="0.35">
      <c r="C16241" s="2"/>
    </row>
    <row r="16242" spans="3:3" x14ac:dyDescent="0.35">
      <c r="C16242" s="2"/>
    </row>
    <row r="16243" spans="3:3" x14ac:dyDescent="0.35">
      <c r="C16243" s="2"/>
    </row>
    <row r="16244" spans="3:3" x14ac:dyDescent="0.35">
      <c r="C16244" s="2"/>
    </row>
    <row r="16245" spans="3:3" x14ac:dyDescent="0.35">
      <c r="C16245" s="2"/>
    </row>
    <row r="16246" spans="3:3" x14ac:dyDescent="0.35">
      <c r="C16246" s="2"/>
    </row>
    <row r="16247" spans="3:3" x14ac:dyDescent="0.35">
      <c r="C16247" s="2"/>
    </row>
    <row r="16248" spans="3:3" x14ac:dyDescent="0.35">
      <c r="C16248" s="2"/>
    </row>
    <row r="16249" spans="3:3" x14ac:dyDescent="0.35">
      <c r="C16249" s="2"/>
    </row>
    <row r="16250" spans="3:3" x14ac:dyDescent="0.35">
      <c r="C16250" s="2"/>
    </row>
    <row r="16251" spans="3:3" x14ac:dyDescent="0.35">
      <c r="C16251" s="2"/>
    </row>
    <row r="16252" spans="3:3" x14ac:dyDescent="0.35">
      <c r="C16252" s="2"/>
    </row>
    <row r="16253" spans="3:3" x14ac:dyDescent="0.35">
      <c r="C16253" s="2"/>
    </row>
    <row r="16254" spans="3:3" x14ac:dyDescent="0.35">
      <c r="C16254" s="2"/>
    </row>
    <row r="16255" spans="3:3" x14ac:dyDescent="0.35">
      <c r="C16255" s="2"/>
    </row>
    <row r="16256" spans="3:3" x14ac:dyDescent="0.35">
      <c r="C16256" s="2"/>
    </row>
    <row r="16257" spans="3:3" x14ac:dyDescent="0.35">
      <c r="C16257" s="2"/>
    </row>
    <row r="16258" spans="3:3" x14ac:dyDescent="0.35">
      <c r="C16258" s="2"/>
    </row>
    <row r="16259" spans="3:3" x14ac:dyDescent="0.35">
      <c r="C16259" s="2"/>
    </row>
    <row r="16260" spans="3:3" x14ac:dyDescent="0.35">
      <c r="C16260" s="2"/>
    </row>
    <row r="16261" spans="3:3" x14ac:dyDescent="0.35">
      <c r="C16261" s="2"/>
    </row>
    <row r="16262" spans="3:3" x14ac:dyDescent="0.35">
      <c r="C16262" s="2"/>
    </row>
    <row r="16263" spans="3:3" x14ac:dyDescent="0.35">
      <c r="C16263" s="2"/>
    </row>
    <row r="16264" spans="3:3" x14ac:dyDescent="0.35">
      <c r="C16264" s="2"/>
    </row>
    <row r="16265" spans="3:3" x14ac:dyDescent="0.35">
      <c r="C16265" s="2"/>
    </row>
    <row r="16266" spans="3:3" x14ac:dyDescent="0.35">
      <c r="C16266" s="2"/>
    </row>
    <row r="16267" spans="3:3" x14ac:dyDescent="0.35">
      <c r="C16267" s="2"/>
    </row>
    <row r="16268" spans="3:3" x14ac:dyDescent="0.35">
      <c r="C16268" s="2"/>
    </row>
    <row r="16269" spans="3:3" x14ac:dyDescent="0.35">
      <c r="C16269" s="2"/>
    </row>
    <row r="16270" spans="3:3" x14ac:dyDescent="0.35">
      <c r="C16270" s="2"/>
    </row>
    <row r="16271" spans="3:3" x14ac:dyDescent="0.35">
      <c r="C16271" s="2"/>
    </row>
    <row r="16272" spans="3:3" x14ac:dyDescent="0.35">
      <c r="C16272" s="2"/>
    </row>
    <row r="16273" spans="3:3" x14ac:dyDescent="0.35">
      <c r="C16273" s="2"/>
    </row>
    <row r="16274" spans="3:3" x14ac:dyDescent="0.35">
      <c r="C16274" s="2"/>
    </row>
    <row r="16275" spans="3:3" x14ac:dyDescent="0.35">
      <c r="C16275" s="2"/>
    </row>
    <row r="16276" spans="3:3" x14ac:dyDescent="0.35">
      <c r="C16276" s="2"/>
    </row>
    <row r="16277" spans="3:3" x14ac:dyDescent="0.35">
      <c r="C16277" s="2"/>
    </row>
    <row r="16278" spans="3:3" x14ac:dyDescent="0.35">
      <c r="C16278" s="2"/>
    </row>
    <row r="16279" spans="3:3" x14ac:dyDescent="0.35">
      <c r="C16279" s="2"/>
    </row>
    <row r="16280" spans="3:3" x14ac:dyDescent="0.35">
      <c r="C16280" s="2"/>
    </row>
    <row r="16281" spans="3:3" x14ac:dyDescent="0.35">
      <c r="C16281" s="2"/>
    </row>
    <row r="16282" spans="3:3" x14ac:dyDescent="0.35">
      <c r="C16282" s="2"/>
    </row>
    <row r="16283" spans="3:3" x14ac:dyDescent="0.35">
      <c r="C16283" s="2"/>
    </row>
    <row r="16284" spans="3:3" x14ac:dyDescent="0.35">
      <c r="C16284" s="2"/>
    </row>
    <row r="16285" spans="3:3" x14ac:dyDescent="0.35">
      <c r="C16285" s="2"/>
    </row>
    <row r="16286" spans="3:3" x14ac:dyDescent="0.35">
      <c r="C16286" s="2"/>
    </row>
    <row r="16287" spans="3:3" x14ac:dyDescent="0.35">
      <c r="C16287" s="2"/>
    </row>
    <row r="16288" spans="3:3" x14ac:dyDescent="0.35">
      <c r="C16288" s="2"/>
    </row>
    <row r="16289" spans="3:3" x14ac:dyDescent="0.35">
      <c r="C16289" s="2"/>
    </row>
    <row r="16290" spans="3:3" x14ac:dyDescent="0.35">
      <c r="C16290" s="2"/>
    </row>
    <row r="16291" spans="3:3" x14ac:dyDescent="0.35">
      <c r="C16291" s="2"/>
    </row>
    <row r="16292" spans="3:3" x14ac:dyDescent="0.35">
      <c r="C16292" s="2"/>
    </row>
    <row r="16293" spans="3:3" x14ac:dyDescent="0.35">
      <c r="C16293" s="2"/>
    </row>
    <row r="16294" spans="3:3" x14ac:dyDescent="0.35">
      <c r="C16294" s="2"/>
    </row>
    <row r="16295" spans="3:3" x14ac:dyDescent="0.35">
      <c r="C16295" s="2"/>
    </row>
    <row r="16296" spans="3:3" x14ac:dyDescent="0.35">
      <c r="C16296" s="2"/>
    </row>
    <row r="16297" spans="3:3" x14ac:dyDescent="0.35">
      <c r="C16297" s="2"/>
    </row>
    <row r="16298" spans="3:3" x14ac:dyDescent="0.35">
      <c r="C16298" s="2"/>
    </row>
    <row r="16299" spans="3:3" x14ac:dyDescent="0.35">
      <c r="C16299" s="2"/>
    </row>
    <row r="16300" spans="3:3" x14ac:dyDescent="0.35">
      <c r="C16300" s="2"/>
    </row>
    <row r="16301" spans="3:3" x14ac:dyDescent="0.35">
      <c r="C16301" s="2"/>
    </row>
    <row r="16302" spans="3:3" x14ac:dyDescent="0.35">
      <c r="C16302" s="2"/>
    </row>
    <row r="16303" spans="3:3" x14ac:dyDescent="0.35">
      <c r="C16303" s="2"/>
    </row>
    <row r="16304" spans="3:3" x14ac:dyDescent="0.35">
      <c r="C16304" s="2"/>
    </row>
    <row r="16305" spans="3:3" x14ac:dyDescent="0.35">
      <c r="C16305" s="2"/>
    </row>
    <row r="16306" spans="3:3" x14ac:dyDescent="0.35">
      <c r="C16306" s="2"/>
    </row>
    <row r="16307" spans="3:3" x14ac:dyDescent="0.35">
      <c r="C16307" s="2"/>
    </row>
    <row r="16308" spans="3:3" x14ac:dyDescent="0.35">
      <c r="C16308" s="2"/>
    </row>
    <row r="16309" spans="3:3" x14ac:dyDescent="0.35">
      <c r="C16309" s="2"/>
    </row>
    <row r="16310" spans="3:3" x14ac:dyDescent="0.35">
      <c r="C16310" s="2"/>
    </row>
    <row r="16311" spans="3:3" x14ac:dyDescent="0.35">
      <c r="C16311" s="2"/>
    </row>
    <row r="16312" spans="3:3" x14ac:dyDescent="0.35">
      <c r="C16312" s="2"/>
    </row>
    <row r="16313" spans="3:3" x14ac:dyDescent="0.35">
      <c r="C16313" s="2"/>
    </row>
    <row r="16314" spans="3:3" x14ac:dyDescent="0.35">
      <c r="C16314" s="2"/>
    </row>
    <row r="16315" spans="3:3" x14ac:dyDescent="0.35">
      <c r="C16315" s="2"/>
    </row>
    <row r="16316" spans="3:3" x14ac:dyDescent="0.35">
      <c r="C16316" s="2"/>
    </row>
    <row r="16317" spans="3:3" x14ac:dyDescent="0.35">
      <c r="C16317" s="2"/>
    </row>
    <row r="16318" spans="3:3" x14ac:dyDescent="0.35">
      <c r="C16318" s="2"/>
    </row>
    <row r="16319" spans="3:3" x14ac:dyDescent="0.35">
      <c r="C16319" s="2"/>
    </row>
    <row r="16320" spans="3:3" x14ac:dyDescent="0.35">
      <c r="C16320" s="2"/>
    </row>
    <row r="16321" spans="3:3" x14ac:dyDescent="0.35">
      <c r="C16321" s="2"/>
    </row>
    <row r="16322" spans="3:3" x14ac:dyDescent="0.35">
      <c r="C16322" s="2"/>
    </row>
    <row r="16323" spans="3:3" x14ac:dyDescent="0.35">
      <c r="C16323" s="2"/>
    </row>
    <row r="16324" spans="3:3" x14ac:dyDescent="0.35">
      <c r="C16324" s="2"/>
    </row>
    <row r="16325" spans="3:3" x14ac:dyDescent="0.35">
      <c r="C16325" s="2"/>
    </row>
    <row r="16326" spans="3:3" x14ac:dyDescent="0.35">
      <c r="C16326" s="2"/>
    </row>
    <row r="16327" spans="3:3" x14ac:dyDescent="0.35">
      <c r="C16327" s="2"/>
    </row>
    <row r="16328" spans="3:3" x14ac:dyDescent="0.35">
      <c r="C16328" s="2"/>
    </row>
    <row r="16329" spans="3:3" x14ac:dyDescent="0.35">
      <c r="C16329" s="2"/>
    </row>
    <row r="16330" spans="3:3" x14ac:dyDescent="0.35">
      <c r="C16330" s="2"/>
    </row>
    <row r="16331" spans="3:3" x14ac:dyDescent="0.35">
      <c r="C16331" s="2"/>
    </row>
    <row r="16332" spans="3:3" x14ac:dyDescent="0.35">
      <c r="C16332" s="2"/>
    </row>
    <row r="16333" spans="3:3" x14ac:dyDescent="0.35">
      <c r="C16333" s="2"/>
    </row>
    <row r="16334" spans="3:3" x14ac:dyDescent="0.35">
      <c r="C16334" s="2"/>
    </row>
    <row r="16335" spans="3:3" x14ac:dyDescent="0.35">
      <c r="C16335" s="2"/>
    </row>
    <row r="16336" spans="3:3" x14ac:dyDescent="0.35">
      <c r="C16336" s="2"/>
    </row>
    <row r="16337" spans="3:3" x14ac:dyDescent="0.35">
      <c r="C16337" s="2"/>
    </row>
    <row r="16338" spans="3:3" x14ac:dyDescent="0.35">
      <c r="C16338" s="2"/>
    </row>
    <row r="16339" spans="3:3" x14ac:dyDescent="0.35">
      <c r="C16339" s="2"/>
    </row>
    <row r="16340" spans="3:3" x14ac:dyDescent="0.35">
      <c r="C16340" s="2"/>
    </row>
    <row r="16341" spans="3:3" x14ac:dyDescent="0.35">
      <c r="C16341" s="2"/>
    </row>
    <row r="16342" spans="3:3" x14ac:dyDescent="0.35">
      <c r="C16342" s="2"/>
    </row>
    <row r="16343" spans="3:3" x14ac:dyDescent="0.35">
      <c r="C16343" s="2"/>
    </row>
    <row r="16344" spans="3:3" x14ac:dyDescent="0.35">
      <c r="C16344" s="2"/>
    </row>
    <row r="16345" spans="3:3" x14ac:dyDescent="0.35">
      <c r="C16345" s="2"/>
    </row>
    <row r="16346" spans="3:3" x14ac:dyDescent="0.35">
      <c r="C16346" s="2"/>
    </row>
    <row r="16347" spans="3:3" x14ac:dyDescent="0.35">
      <c r="C16347" s="2"/>
    </row>
    <row r="16348" spans="3:3" x14ac:dyDescent="0.35">
      <c r="C16348" s="2"/>
    </row>
    <row r="16349" spans="3:3" x14ac:dyDescent="0.35">
      <c r="C16349" s="2"/>
    </row>
    <row r="16350" spans="3:3" x14ac:dyDescent="0.35">
      <c r="C16350" s="2"/>
    </row>
    <row r="16351" spans="3:3" x14ac:dyDescent="0.35">
      <c r="C16351" s="2"/>
    </row>
    <row r="16352" spans="3:3" x14ac:dyDescent="0.35">
      <c r="C16352" s="2"/>
    </row>
    <row r="16353" spans="3:3" x14ac:dyDescent="0.35">
      <c r="C16353" s="2"/>
    </row>
    <row r="16354" spans="3:3" x14ac:dyDescent="0.35">
      <c r="C16354" s="2"/>
    </row>
    <row r="16355" spans="3:3" x14ac:dyDescent="0.35">
      <c r="C16355" s="2"/>
    </row>
    <row r="16356" spans="3:3" x14ac:dyDescent="0.35">
      <c r="C16356" s="2"/>
    </row>
    <row r="16357" spans="3:3" x14ac:dyDescent="0.35">
      <c r="C16357" s="2"/>
    </row>
    <row r="16358" spans="3:3" x14ac:dyDescent="0.35">
      <c r="C16358" s="2"/>
    </row>
    <row r="16359" spans="3:3" x14ac:dyDescent="0.35">
      <c r="C16359" s="2"/>
    </row>
    <row r="16360" spans="3:3" x14ac:dyDescent="0.35">
      <c r="C16360" s="2"/>
    </row>
    <row r="16361" spans="3:3" x14ac:dyDescent="0.35">
      <c r="C16361" s="2"/>
    </row>
    <row r="16362" spans="3:3" x14ac:dyDescent="0.35">
      <c r="C16362" s="2"/>
    </row>
    <row r="16363" spans="3:3" x14ac:dyDescent="0.35">
      <c r="C16363" s="2"/>
    </row>
    <row r="16364" spans="3:3" x14ac:dyDescent="0.35">
      <c r="C16364" s="2"/>
    </row>
    <row r="16365" spans="3:3" x14ac:dyDescent="0.35">
      <c r="C16365" s="2"/>
    </row>
    <row r="16366" spans="3:3" x14ac:dyDescent="0.35">
      <c r="C16366" s="2"/>
    </row>
    <row r="16367" spans="3:3" x14ac:dyDescent="0.35">
      <c r="C16367" s="2"/>
    </row>
    <row r="16368" spans="3:3" x14ac:dyDescent="0.35">
      <c r="C16368" s="2"/>
    </row>
    <row r="16369" spans="3:3" x14ac:dyDescent="0.35">
      <c r="C16369" s="2"/>
    </row>
    <row r="16370" spans="3:3" x14ac:dyDescent="0.35">
      <c r="C16370" s="2"/>
    </row>
    <row r="16371" spans="3:3" x14ac:dyDescent="0.35">
      <c r="C16371" s="2"/>
    </row>
    <row r="16372" spans="3:3" x14ac:dyDescent="0.35">
      <c r="C16372" s="2"/>
    </row>
    <row r="16373" spans="3:3" x14ac:dyDescent="0.35">
      <c r="C16373" s="2"/>
    </row>
    <row r="16374" spans="3:3" x14ac:dyDescent="0.35">
      <c r="C16374" s="2"/>
    </row>
    <row r="16375" spans="3:3" x14ac:dyDescent="0.35">
      <c r="C16375" s="2"/>
    </row>
    <row r="16376" spans="3:3" x14ac:dyDescent="0.35">
      <c r="C16376" s="2"/>
    </row>
    <row r="16377" spans="3:3" x14ac:dyDescent="0.35">
      <c r="C16377" s="2"/>
    </row>
    <row r="16378" spans="3:3" x14ac:dyDescent="0.35">
      <c r="C16378" s="2"/>
    </row>
    <row r="16379" spans="3:3" x14ac:dyDescent="0.35">
      <c r="C16379" s="2"/>
    </row>
    <row r="16380" spans="3:3" x14ac:dyDescent="0.35">
      <c r="C16380" s="2"/>
    </row>
    <row r="16381" spans="3:3" x14ac:dyDescent="0.35">
      <c r="C16381" s="2"/>
    </row>
    <row r="16382" spans="3:3" x14ac:dyDescent="0.35">
      <c r="C16382" s="2"/>
    </row>
    <row r="16383" spans="3:3" x14ac:dyDescent="0.35">
      <c r="C16383" s="2"/>
    </row>
    <row r="16384" spans="3:3" x14ac:dyDescent="0.35">
      <c r="C16384" s="2"/>
    </row>
    <row r="16385" spans="3:3" x14ac:dyDescent="0.35">
      <c r="C16385" s="2"/>
    </row>
    <row r="16386" spans="3:3" x14ac:dyDescent="0.35">
      <c r="C16386" s="2"/>
    </row>
    <row r="16387" spans="3:3" x14ac:dyDescent="0.35">
      <c r="C16387" s="2"/>
    </row>
    <row r="16388" spans="3:3" x14ac:dyDescent="0.35">
      <c r="C16388" s="2"/>
    </row>
    <row r="16389" spans="3:3" x14ac:dyDescent="0.35">
      <c r="C16389" s="2"/>
    </row>
    <row r="16390" spans="3:3" x14ac:dyDescent="0.35">
      <c r="C16390" s="2"/>
    </row>
    <row r="16391" spans="3:3" x14ac:dyDescent="0.35">
      <c r="C16391" s="2"/>
    </row>
    <row r="16392" spans="3:3" x14ac:dyDescent="0.35">
      <c r="C16392" s="2"/>
    </row>
    <row r="16393" spans="3:3" x14ac:dyDescent="0.35">
      <c r="C16393" s="2"/>
    </row>
    <row r="16394" spans="3:3" x14ac:dyDescent="0.35">
      <c r="C16394" s="2"/>
    </row>
    <row r="16395" spans="3:3" x14ac:dyDescent="0.35">
      <c r="C16395" s="2"/>
    </row>
    <row r="16396" spans="3:3" x14ac:dyDescent="0.35">
      <c r="C16396" s="2"/>
    </row>
    <row r="16397" spans="3:3" x14ac:dyDescent="0.35">
      <c r="C16397" s="2"/>
    </row>
    <row r="16398" spans="3:3" x14ac:dyDescent="0.35">
      <c r="C16398" s="2"/>
    </row>
    <row r="16399" spans="3:3" x14ac:dyDescent="0.35">
      <c r="C16399" s="2"/>
    </row>
    <row r="16400" spans="3:3" x14ac:dyDescent="0.35">
      <c r="C16400" s="2"/>
    </row>
    <row r="16401" spans="3:3" x14ac:dyDescent="0.35">
      <c r="C16401" s="2"/>
    </row>
    <row r="16402" spans="3:3" x14ac:dyDescent="0.35">
      <c r="C16402" s="2"/>
    </row>
    <row r="16403" spans="3:3" x14ac:dyDescent="0.35">
      <c r="C16403" s="2"/>
    </row>
    <row r="16404" spans="3:3" x14ac:dyDescent="0.35">
      <c r="C16404" s="2"/>
    </row>
    <row r="16405" spans="3:3" x14ac:dyDescent="0.35">
      <c r="C16405" s="2"/>
    </row>
    <row r="16406" spans="3:3" x14ac:dyDescent="0.35">
      <c r="C16406" s="2"/>
    </row>
    <row r="16407" spans="3:3" x14ac:dyDescent="0.35">
      <c r="C16407" s="2"/>
    </row>
    <row r="16408" spans="3:3" x14ac:dyDescent="0.35">
      <c r="C16408" s="2"/>
    </row>
    <row r="16409" spans="3:3" x14ac:dyDescent="0.35">
      <c r="C16409" s="2"/>
    </row>
    <row r="16410" spans="3:3" x14ac:dyDescent="0.35">
      <c r="C16410" s="2"/>
    </row>
    <row r="16411" spans="3:3" x14ac:dyDescent="0.35">
      <c r="C16411" s="2"/>
    </row>
    <row r="16412" spans="3:3" x14ac:dyDescent="0.35">
      <c r="C16412" s="2"/>
    </row>
    <row r="16413" spans="3:3" x14ac:dyDescent="0.35">
      <c r="C16413" s="2"/>
    </row>
    <row r="16414" spans="3:3" x14ac:dyDescent="0.35">
      <c r="C16414" s="2"/>
    </row>
    <row r="16415" spans="3:3" x14ac:dyDescent="0.35">
      <c r="C16415" s="2"/>
    </row>
    <row r="16416" spans="3:3" x14ac:dyDescent="0.35">
      <c r="C16416" s="2"/>
    </row>
    <row r="16417" spans="3:3" x14ac:dyDescent="0.35">
      <c r="C16417" s="2"/>
    </row>
    <row r="16418" spans="3:3" x14ac:dyDescent="0.35">
      <c r="C16418" s="2"/>
    </row>
    <row r="16419" spans="3:3" x14ac:dyDescent="0.35">
      <c r="C16419" s="2"/>
    </row>
    <row r="16420" spans="3:3" x14ac:dyDescent="0.35">
      <c r="C16420" s="2"/>
    </row>
    <row r="16421" spans="3:3" x14ac:dyDescent="0.35">
      <c r="C16421" s="2"/>
    </row>
    <row r="16422" spans="3:3" x14ac:dyDescent="0.35">
      <c r="C16422" s="2"/>
    </row>
    <row r="16423" spans="3:3" x14ac:dyDescent="0.35">
      <c r="C16423" s="2"/>
    </row>
    <row r="16424" spans="3:3" x14ac:dyDescent="0.35">
      <c r="C16424" s="2"/>
    </row>
    <row r="16425" spans="3:3" x14ac:dyDescent="0.35">
      <c r="C16425" s="2"/>
    </row>
    <row r="16426" spans="3:3" x14ac:dyDescent="0.35">
      <c r="C16426" s="2"/>
    </row>
    <row r="16427" spans="3:3" x14ac:dyDescent="0.35">
      <c r="C16427" s="2"/>
    </row>
    <row r="16428" spans="3:3" x14ac:dyDescent="0.35">
      <c r="C16428" s="2"/>
    </row>
    <row r="16429" spans="3:3" x14ac:dyDescent="0.35">
      <c r="C16429" s="2"/>
    </row>
    <row r="16430" spans="3:3" x14ac:dyDescent="0.35">
      <c r="C16430" s="2"/>
    </row>
    <row r="16431" spans="3:3" x14ac:dyDescent="0.35">
      <c r="C16431" s="2"/>
    </row>
    <row r="16432" spans="3:3" x14ac:dyDescent="0.35">
      <c r="C16432" s="2"/>
    </row>
    <row r="16433" spans="3:3" x14ac:dyDescent="0.35">
      <c r="C16433" s="2"/>
    </row>
    <row r="16434" spans="3:3" x14ac:dyDescent="0.35">
      <c r="C16434" s="2"/>
    </row>
    <row r="16435" spans="3:3" x14ac:dyDescent="0.35">
      <c r="C16435" s="2"/>
    </row>
    <row r="16436" spans="3:3" x14ac:dyDescent="0.35">
      <c r="C16436" s="2"/>
    </row>
    <row r="16437" spans="3:3" x14ac:dyDescent="0.35">
      <c r="C16437" s="2"/>
    </row>
    <row r="16438" spans="3:3" x14ac:dyDescent="0.35">
      <c r="C16438" s="2"/>
    </row>
    <row r="16439" spans="3:3" x14ac:dyDescent="0.35">
      <c r="C16439" s="2"/>
    </row>
    <row r="16440" spans="3:3" x14ac:dyDescent="0.35">
      <c r="C16440" s="2"/>
    </row>
    <row r="16441" spans="3:3" x14ac:dyDescent="0.35">
      <c r="C16441" s="2"/>
    </row>
    <row r="16442" spans="3:3" x14ac:dyDescent="0.35">
      <c r="C16442" s="2"/>
    </row>
    <row r="16443" spans="3:3" x14ac:dyDescent="0.35">
      <c r="C16443" s="2"/>
    </row>
    <row r="16444" spans="3:3" x14ac:dyDescent="0.35">
      <c r="C16444" s="2"/>
    </row>
    <row r="16445" spans="3:3" x14ac:dyDescent="0.35">
      <c r="C16445" s="2"/>
    </row>
    <row r="16446" spans="3:3" x14ac:dyDescent="0.35">
      <c r="C16446" s="2"/>
    </row>
    <row r="16447" spans="3:3" x14ac:dyDescent="0.35">
      <c r="C16447" s="2"/>
    </row>
    <row r="16448" spans="3:3" x14ac:dyDescent="0.35">
      <c r="C16448" s="2"/>
    </row>
    <row r="16449" spans="3:3" x14ac:dyDescent="0.35">
      <c r="C16449" s="2"/>
    </row>
    <row r="16450" spans="3:3" x14ac:dyDescent="0.35">
      <c r="C16450" s="2"/>
    </row>
    <row r="16451" spans="3:3" x14ac:dyDescent="0.35">
      <c r="C16451" s="2"/>
    </row>
    <row r="16452" spans="3:3" x14ac:dyDescent="0.35">
      <c r="C16452" s="2"/>
    </row>
    <row r="16453" spans="3:3" x14ac:dyDescent="0.35">
      <c r="C16453" s="2"/>
    </row>
    <row r="16454" spans="3:3" x14ac:dyDescent="0.35">
      <c r="C16454" s="2"/>
    </row>
    <row r="16455" spans="3:3" x14ac:dyDescent="0.35">
      <c r="C16455" s="2"/>
    </row>
    <row r="16456" spans="3:3" x14ac:dyDescent="0.35">
      <c r="C16456" s="2"/>
    </row>
    <row r="16457" spans="3:3" x14ac:dyDescent="0.35">
      <c r="C16457" s="2"/>
    </row>
    <row r="16458" spans="3:3" x14ac:dyDescent="0.35">
      <c r="C16458" s="2"/>
    </row>
    <row r="16459" spans="3:3" x14ac:dyDescent="0.35">
      <c r="C16459" s="2"/>
    </row>
    <row r="16460" spans="3:3" x14ac:dyDescent="0.35">
      <c r="C16460" s="2"/>
    </row>
    <row r="16461" spans="3:3" x14ac:dyDescent="0.35">
      <c r="C16461" s="2"/>
    </row>
    <row r="16462" spans="3:3" x14ac:dyDescent="0.35">
      <c r="C16462" s="2"/>
    </row>
    <row r="16463" spans="3:3" x14ac:dyDescent="0.35">
      <c r="C16463" s="2"/>
    </row>
    <row r="16464" spans="3:3" x14ac:dyDescent="0.35">
      <c r="C16464" s="2"/>
    </row>
    <row r="16465" spans="3:3" x14ac:dyDescent="0.35">
      <c r="C16465" s="2"/>
    </row>
    <row r="16466" spans="3:3" x14ac:dyDescent="0.35">
      <c r="C16466" s="2"/>
    </row>
    <row r="16467" spans="3:3" x14ac:dyDescent="0.35">
      <c r="C16467" s="2"/>
    </row>
    <row r="16468" spans="3:3" x14ac:dyDescent="0.35">
      <c r="C16468" s="2"/>
    </row>
    <row r="16469" spans="3:3" x14ac:dyDescent="0.35">
      <c r="C16469" s="2"/>
    </row>
    <row r="16470" spans="3:3" x14ac:dyDescent="0.35">
      <c r="C16470" s="2"/>
    </row>
    <row r="16471" spans="3:3" x14ac:dyDescent="0.35">
      <c r="C16471" s="2"/>
    </row>
    <row r="16472" spans="3:3" x14ac:dyDescent="0.35">
      <c r="C16472" s="2"/>
    </row>
    <row r="16473" spans="3:3" x14ac:dyDescent="0.35">
      <c r="C16473" s="2"/>
    </row>
    <row r="16474" spans="3:3" x14ac:dyDescent="0.35">
      <c r="C16474" s="2"/>
    </row>
    <row r="16475" spans="3:3" x14ac:dyDescent="0.35">
      <c r="C16475" s="2"/>
    </row>
    <row r="16476" spans="3:3" x14ac:dyDescent="0.35">
      <c r="C16476" s="2"/>
    </row>
    <row r="16477" spans="3:3" x14ac:dyDescent="0.35">
      <c r="C16477" s="2"/>
    </row>
    <row r="16478" spans="3:3" x14ac:dyDescent="0.35">
      <c r="C16478" s="2"/>
    </row>
    <row r="16479" spans="3:3" x14ac:dyDescent="0.35">
      <c r="C16479" s="2"/>
    </row>
    <row r="16480" spans="3:3" x14ac:dyDescent="0.35">
      <c r="C16480" s="2"/>
    </row>
    <row r="16481" spans="3:3" x14ac:dyDescent="0.35">
      <c r="C16481" s="2"/>
    </row>
    <row r="16482" spans="3:3" x14ac:dyDescent="0.35">
      <c r="C16482" s="2"/>
    </row>
    <row r="16483" spans="3:3" x14ac:dyDescent="0.35">
      <c r="C16483" s="2"/>
    </row>
    <row r="16484" spans="3:3" x14ac:dyDescent="0.35">
      <c r="C16484" s="2"/>
    </row>
    <row r="16485" spans="3:3" x14ac:dyDescent="0.35">
      <c r="C16485" s="2"/>
    </row>
    <row r="16486" spans="3:3" x14ac:dyDescent="0.35">
      <c r="C16486" s="2"/>
    </row>
    <row r="16487" spans="3:3" x14ac:dyDescent="0.35">
      <c r="C16487" s="2"/>
    </row>
    <row r="16488" spans="3:3" x14ac:dyDescent="0.35">
      <c r="C16488" s="2"/>
    </row>
    <row r="16489" spans="3:3" x14ac:dyDescent="0.35">
      <c r="C16489" s="2"/>
    </row>
    <row r="16490" spans="3:3" x14ac:dyDescent="0.35">
      <c r="C16490" s="2"/>
    </row>
    <row r="16491" spans="3:3" x14ac:dyDescent="0.35">
      <c r="C16491" s="2"/>
    </row>
    <row r="16492" spans="3:3" x14ac:dyDescent="0.35">
      <c r="C16492" s="2"/>
    </row>
    <row r="16493" spans="3:3" x14ac:dyDescent="0.35">
      <c r="C16493" s="2"/>
    </row>
    <row r="16494" spans="3:3" x14ac:dyDescent="0.35">
      <c r="C16494" s="2"/>
    </row>
    <row r="16495" spans="3:3" x14ac:dyDescent="0.35">
      <c r="C16495" s="2"/>
    </row>
    <row r="16496" spans="3:3" x14ac:dyDescent="0.35">
      <c r="C16496" s="2"/>
    </row>
    <row r="16497" spans="3:3" x14ac:dyDescent="0.35">
      <c r="C16497" s="2"/>
    </row>
    <row r="16498" spans="3:3" x14ac:dyDescent="0.35">
      <c r="C16498" s="2"/>
    </row>
    <row r="16499" spans="3:3" x14ac:dyDescent="0.35">
      <c r="C16499" s="2"/>
    </row>
    <row r="16500" spans="3:3" x14ac:dyDescent="0.35">
      <c r="C16500" s="2"/>
    </row>
    <row r="16501" spans="3:3" x14ac:dyDescent="0.35">
      <c r="C16501" s="2"/>
    </row>
    <row r="16502" spans="3:3" x14ac:dyDescent="0.35">
      <c r="C16502" s="2"/>
    </row>
    <row r="16503" spans="3:3" x14ac:dyDescent="0.35">
      <c r="C16503" s="2"/>
    </row>
    <row r="16504" spans="3:3" x14ac:dyDescent="0.35">
      <c r="C16504" s="2"/>
    </row>
    <row r="16505" spans="3:3" x14ac:dyDescent="0.35">
      <c r="C16505" s="2"/>
    </row>
    <row r="16506" spans="3:3" x14ac:dyDescent="0.35">
      <c r="C16506" s="2"/>
    </row>
    <row r="16507" spans="3:3" x14ac:dyDescent="0.35">
      <c r="C16507" s="2"/>
    </row>
    <row r="16508" spans="3:3" x14ac:dyDescent="0.35">
      <c r="C16508" s="2"/>
    </row>
    <row r="16509" spans="3:3" x14ac:dyDescent="0.35">
      <c r="C16509" s="2"/>
    </row>
    <row r="16510" spans="3:3" x14ac:dyDescent="0.35">
      <c r="C16510" s="2"/>
    </row>
    <row r="16511" spans="3:3" x14ac:dyDescent="0.35">
      <c r="C16511" s="2"/>
    </row>
    <row r="16512" spans="3:3" x14ac:dyDescent="0.35">
      <c r="C16512" s="2"/>
    </row>
    <row r="16513" spans="3:3" x14ac:dyDescent="0.35">
      <c r="C16513" s="2"/>
    </row>
    <row r="16514" spans="3:3" x14ac:dyDescent="0.35">
      <c r="C16514" s="2"/>
    </row>
    <row r="16515" spans="3:3" x14ac:dyDescent="0.35">
      <c r="C16515" s="2"/>
    </row>
    <row r="16516" spans="3:3" x14ac:dyDescent="0.35">
      <c r="C16516" s="2"/>
    </row>
    <row r="16517" spans="3:3" x14ac:dyDescent="0.35">
      <c r="C16517" s="2"/>
    </row>
    <row r="16518" spans="3:3" x14ac:dyDescent="0.35">
      <c r="C16518" s="2"/>
    </row>
    <row r="16519" spans="3:3" x14ac:dyDescent="0.35">
      <c r="C16519" s="2"/>
    </row>
    <row r="16520" spans="3:3" x14ac:dyDescent="0.35">
      <c r="C16520" s="2"/>
    </row>
    <row r="16521" spans="3:3" x14ac:dyDescent="0.35">
      <c r="C16521" s="2"/>
    </row>
    <row r="16522" spans="3:3" x14ac:dyDescent="0.35">
      <c r="C16522" s="2"/>
    </row>
    <row r="16523" spans="3:3" x14ac:dyDescent="0.35">
      <c r="C16523" s="2"/>
    </row>
    <row r="16524" spans="3:3" x14ac:dyDescent="0.35">
      <c r="C16524" s="2"/>
    </row>
    <row r="16525" spans="3:3" x14ac:dyDescent="0.35">
      <c r="C16525" s="2"/>
    </row>
    <row r="16526" spans="3:3" x14ac:dyDescent="0.35">
      <c r="C16526" s="2"/>
    </row>
    <row r="16527" spans="3:3" x14ac:dyDescent="0.35">
      <c r="C16527" s="2"/>
    </row>
    <row r="16528" spans="3:3" x14ac:dyDescent="0.35">
      <c r="C16528" s="2"/>
    </row>
    <row r="16529" spans="3:3" x14ac:dyDescent="0.35">
      <c r="C16529" s="2"/>
    </row>
    <row r="16530" spans="3:3" x14ac:dyDescent="0.35">
      <c r="C16530" s="2"/>
    </row>
    <row r="16531" spans="3:3" x14ac:dyDescent="0.35">
      <c r="C16531" s="2"/>
    </row>
    <row r="16532" spans="3:3" x14ac:dyDescent="0.35">
      <c r="C16532" s="2"/>
    </row>
    <row r="16533" spans="3:3" x14ac:dyDescent="0.35">
      <c r="C16533" s="2"/>
    </row>
    <row r="16534" spans="3:3" x14ac:dyDescent="0.35">
      <c r="C16534" s="2"/>
    </row>
    <row r="16535" spans="3:3" x14ac:dyDescent="0.35">
      <c r="C16535" s="2"/>
    </row>
    <row r="16536" spans="3:3" x14ac:dyDescent="0.35">
      <c r="C16536" s="2"/>
    </row>
    <row r="16537" spans="3:3" x14ac:dyDescent="0.35">
      <c r="C16537" s="2"/>
    </row>
    <row r="16538" spans="3:3" x14ac:dyDescent="0.35">
      <c r="C16538" s="2"/>
    </row>
    <row r="16539" spans="3:3" x14ac:dyDescent="0.35">
      <c r="C16539" s="2"/>
    </row>
    <row r="16540" spans="3:3" x14ac:dyDescent="0.35">
      <c r="C16540" s="2"/>
    </row>
    <row r="16541" spans="3:3" x14ac:dyDescent="0.35">
      <c r="C16541" s="2"/>
    </row>
    <row r="16542" spans="3:3" x14ac:dyDescent="0.35">
      <c r="C16542" s="2"/>
    </row>
    <row r="16543" spans="3:3" x14ac:dyDescent="0.35">
      <c r="C16543" s="2"/>
    </row>
    <row r="16544" spans="3:3" x14ac:dyDescent="0.35">
      <c r="C16544" s="2"/>
    </row>
    <row r="16545" spans="3:3" x14ac:dyDescent="0.35">
      <c r="C16545" s="2"/>
    </row>
    <row r="16546" spans="3:3" x14ac:dyDescent="0.35">
      <c r="C16546" s="2"/>
    </row>
    <row r="16547" spans="3:3" x14ac:dyDescent="0.35">
      <c r="C16547" s="2"/>
    </row>
    <row r="16548" spans="3:3" x14ac:dyDescent="0.35">
      <c r="C16548" s="2"/>
    </row>
    <row r="16549" spans="3:3" x14ac:dyDescent="0.35">
      <c r="C16549" s="2"/>
    </row>
    <row r="16550" spans="3:3" x14ac:dyDescent="0.35">
      <c r="C16550" s="2"/>
    </row>
    <row r="16551" spans="3:3" x14ac:dyDescent="0.35">
      <c r="C16551" s="2"/>
    </row>
    <row r="16552" spans="3:3" x14ac:dyDescent="0.35">
      <c r="C16552" s="2"/>
    </row>
    <row r="16553" spans="3:3" x14ac:dyDescent="0.35">
      <c r="C16553" s="2"/>
    </row>
    <row r="16554" spans="3:3" x14ac:dyDescent="0.35">
      <c r="C16554" s="2"/>
    </row>
    <row r="16555" spans="3:3" x14ac:dyDescent="0.35">
      <c r="C16555" s="2"/>
    </row>
    <row r="16556" spans="3:3" x14ac:dyDescent="0.35">
      <c r="C16556" s="2"/>
    </row>
    <row r="16557" spans="3:3" x14ac:dyDescent="0.35">
      <c r="C16557" s="2"/>
    </row>
    <row r="16558" spans="3:3" x14ac:dyDescent="0.35">
      <c r="C16558" s="2"/>
    </row>
    <row r="16559" spans="3:3" x14ac:dyDescent="0.35">
      <c r="C16559" s="2"/>
    </row>
    <row r="16560" spans="3:3" x14ac:dyDescent="0.35">
      <c r="C16560" s="2"/>
    </row>
    <row r="16561" spans="3:3" x14ac:dyDescent="0.35">
      <c r="C16561" s="2"/>
    </row>
    <row r="16562" spans="3:3" x14ac:dyDescent="0.35">
      <c r="C16562" s="2"/>
    </row>
    <row r="16563" spans="3:3" x14ac:dyDescent="0.35">
      <c r="C16563" s="2"/>
    </row>
    <row r="16564" spans="3:3" x14ac:dyDescent="0.35">
      <c r="C16564" s="2"/>
    </row>
    <row r="16565" spans="3:3" x14ac:dyDescent="0.35">
      <c r="C16565" s="2"/>
    </row>
    <row r="16566" spans="3:3" x14ac:dyDescent="0.35">
      <c r="C16566" s="2"/>
    </row>
    <row r="16567" spans="3:3" x14ac:dyDescent="0.35">
      <c r="C16567" s="2"/>
    </row>
    <row r="16568" spans="3:3" x14ac:dyDescent="0.35">
      <c r="C16568" s="2"/>
    </row>
    <row r="16569" spans="3:3" x14ac:dyDescent="0.35">
      <c r="C16569" s="2"/>
    </row>
    <row r="16570" spans="3:3" x14ac:dyDescent="0.35">
      <c r="C16570" s="2"/>
    </row>
    <row r="16571" spans="3:3" x14ac:dyDescent="0.35">
      <c r="C16571" s="2"/>
    </row>
    <row r="16572" spans="3:3" x14ac:dyDescent="0.35">
      <c r="C16572" s="2"/>
    </row>
    <row r="16573" spans="3:3" x14ac:dyDescent="0.35">
      <c r="C16573" s="2"/>
    </row>
    <row r="16574" spans="3:3" x14ac:dyDescent="0.35">
      <c r="C16574" s="2"/>
    </row>
    <row r="16575" spans="3:3" x14ac:dyDescent="0.35">
      <c r="C16575" s="2"/>
    </row>
    <row r="16576" spans="3:3" x14ac:dyDescent="0.35">
      <c r="C16576" s="2"/>
    </row>
    <row r="16577" spans="3:3" x14ac:dyDescent="0.35">
      <c r="C16577" s="2"/>
    </row>
    <row r="16578" spans="3:3" x14ac:dyDescent="0.35">
      <c r="C16578" s="2"/>
    </row>
    <row r="16579" spans="3:3" x14ac:dyDescent="0.35">
      <c r="C16579" s="2"/>
    </row>
    <row r="16580" spans="3:3" x14ac:dyDescent="0.35">
      <c r="C16580" s="2"/>
    </row>
    <row r="16581" spans="3:3" x14ac:dyDescent="0.35">
      <c r="C16581" s="2"/>
    </row>
    <row r="16582" spans="3:3" x14ac:dyDescent="0.35">
      <c r="C16582" s="2"/>
    </row>
    <row r="16583" spans="3:3" x14ac:dyDescent="0.35">
      <c r="C16583" s="2"/>
    </row>
    <row r="16584" spans="3:3" x14ac:dyDescent="0.35">
      <c r="C16584" s="2"/>
    </row>
    <row r="16585" spans="3:3" x14ac:dyDescent="0.35">
      <c r="C16585" s="2"/>
    </row>
    <row r="16586" spans="3:3" x14ac:dyDescent="0.35">
      <c r="C16586" s="2"/>
    </row>
    <row r="16587" spans="3:3" x14ac:dyDescent="0.35">
      <c r="C16587" s="2"/>
    </row>
    <row r="16588" spans="3:3" x14ac:dyDescent="0.35">
      <c r="C16588" s="2"/>
    </row>
    <row r="16589" spans="3:3" x14ac:dyDescent="0.35">
      <c r="C16589" s="2"/>
    </row>
    <row r="16590" spans="3:3" x14ac:dyDescent="0.35">
      <c r="C16590" s="2"/>
    </row>
    <row r="16591" spans="3:3" x14ac:dyDescent="0.35">
      <c r="C16591" s="2"/>
    </row>
    <row r="16592" spans="3:3" x14ac:dyDescent="0.35">
      <c r="C16592" s="2"/>
    </row>
    <row r="16593" spans="3:3" x14ac:dyDescent="0.35">
      <c r="C16593" s="2"/>
    </row>
    <row r="16594" spans="3:3" x14ac:dyDescent="0.35">
      <c r="C16594" s="2"/>
    </row>
    <row r="16595" spans="3:3" x14ac:dyDescent="0.35">
      <c r="C16595" s="2"/>
    </row>
    <row r="16596" spans="3:3" x14ac:dyDescent="0.35">
      <c r="C16596" s="2"/>
    </row>
    <row r="16597" spans="3:3" x14ac:dyDescent="0.35">
      <c r="C16597" s="2"/>
    </row>
    <row r="16598" spans="3:3" x14ac:dyDescent="0.35">
      <c r="C16598" s="2"/>
    </row>
    <row r="16599" spans="3:3" x14ac:dyDescent="0.35">
      <c r="C16599" s="2"/>
    </row>
    <row r="16600" spans="3:3" x14ac:dyDescent="0.35">
      <c r="C16600" s="2"/>
    </row>
    <row r="16601" spans="3:3" x14ac:dyDescent="0.35">
      <c r="C16601" s="2"/>
    </row>
    <row r="16602" spans="3:3" x14ac:dyDescent="0.35">
      <c r="C16602" s="2"/>
    </row>
    <row r="16603" spans="3:3" x14ac:dyDescent="0.35">
      <c r="C16603" s="2"/>
    </row>
    <row r="16604" spans="3:3" x14ac:dyDescent="0.35">
      <c r="C16604" s="2"/>
    </row>
    <row r="16605" spans="3:3" x14ac:dyDescent="0.35">
      <c r="C16605" s="2"/>
    </row>
    <row r="16606" spans="3:3" x14ac:dyDescent="0.35">
      <c r="C16606" s="2"/>
    </row>
    <row r="16607" spans="3:3" x14ac:dyDescent="0.35">
      <c r="C16607" s="2"/>
    </row>
    <row r="16608" spans="3:3" x14ac:dyDescent="0.35">
      <c r="C16608" s="2"/>
    </row>
    <row r="16609" spans="3:3" x14ac:dyDescent="0.35">
      <c r="C16609" s="2"/>
    </row>
    <row r="16610" spans="3:3" x14ac:dyDescent="0.35">
      <c r="C16610" s="2"/>
    </row>
    <row r="16611" spans="3:3" x14ac:dyDescent="0.35">
      <c r="C16611" s="2"/>
    </row>
    <row r="16612" spans="3:3" x14ac:dyDescent="0.35">
      <c r="C16612" s="2"/>
    </row>
    <row r="16613" spans="3:3" x14ac:dyDescent="0.35">
      <c r="C16613" s="2"/>
    </row>
    <row r="16614" spans="3:3" x14ac:dyDescent="0.35">
      <c r="C16614" s="2"/>
    </row>
    <row r="16615" spans="3:3" x14ac:dyDescent="0.35">
      <c r="C16615" s="2"/>
    </row>
    <row r="16616" spans="3:3" x14ac:dyDescent="0.35">
      <c r="C16616" s="2"/>
    </row>
    <row r="16617" spans="3:3" x14ac:dyDescent="0.35">
      <c r="C16617" s="2"/>
    </row>
    <row r="16618" spans="3:3" x14ac:dyDescent="0.35">
      <c r="C16618" s="2"/>
    </row>
    <row r="16619" spans="3:3" x14ac:dyDescent="0.35">
      <c r="C16619" s="2"/>
    </row>
    <row r="16620" spans="3:3" x14ac:dyDescent="0.35">
      <c r="C16620" s="2"/>
    </row>
    <row r="16621" spans="3:3" x14ac:dyDescent="0.35">
      <c r="C16621" s="2"/>
    </row>
    <row r="16622" spans="3:3" x14ac:dyDescent="0.35">
      <c r="C16622" s="2"/>
    </row>
    <row r="16623" spans="3:3" x14ac:dyDescent="0.35">
      <c r="C16623" s="2"/>
    </row>
    <row r="16624" spans="3:3" x14ac:dyDescent="0.35">
      <c r="C16624" s="2"/>
    </row>
    <row r="16625" spans="3:3" x14ac:dyDescent="0.35">
      <c r="C16625" s="2"/>
    </row>
    <row r="16626" spans="3:3" x14ac:dyDescent="0.35">
      <c r="C16626" s="2"/>
    </row>
    <row r="16627" spans="3:3" x14ac:dyDescent="0.35">
      <c r="C16627" s="2"/>
    </row>
    <row r="16628" spans="3:3" x14ac:dyDescent="0.35">
      <c r="C16628" s="2"/>
    </row>
    <row r="16629" spans="3:3" x14ac:dyDescent="0.35">
      <c r="C16629" s="2"/>
    </row>
    <row r="16630" spans="3:3" x14ac:dyDescent="0.35">
      <c r="C16630" s="2"/>
    </row>
    <row r="16631" spans="3:3" x14ac:dyDescent="0.35">
      <c r="C16631" s="2"/>
    </row>
    <row r="16632" spans="3:3" x14ac:dyDescent="0.35">
      <c r="C16632" s="2"/>
    </row>
    <row r="16633" spans="3:3" x14ac:dyDescent="0.35">
      <c r="C16633" s="2"/>
    </row>
    <row r="16634" spans="3:3" x14ac:dyDescent="0.35">
      <c r="C16634" s="2"/>
    </row>
    <row r="16635" spans="3:3" x14ac:dyDescent="0.35">
      <c r="C16635" s="2"/>
    </row>
    <row r="16636" spans="3:3" x14ac:dyDescent="0.35">
      <c r="C16636" s="2"/>
    </row>
    <row r="16637" spans="3:3" x14ac:dyDescent="0.35">
      <c r="C16637" s="2"/>
    </row>
    <row r="16638" spans="3:3" x14ac:dyDescent="0.35">
      <c r="C16638" s="2"/>
    </row>
    <row r="16639" spans="3:3" x14ac:dyDescent="0.35">
      <c r="C16639" s="2"/>
    </row>
    <row r="16640" spans="3:3" x14ac:dyDescent="0.35">
      <c r="C16640" s="2"/>
    </row>
    <row r="16641" spans="3:3" x14ac:dyDescent="0.35">
      <c r="C16641" s="2"/>
    </row>
    <row r="16642" spans="3:3" x14ac:dyDescent="0.35">
      <c r="C16642" s="2"/>
    </row>
    <row r="16643" spans="3:3" x14ac:dyDescent="0.35">
      <c r="C16643" s="2"/>
    </row>
    <row r="16644" spans="3:3" x14ac:dyDescent="0.35">
      <c r="C16644" s="2"/>
    </row>
    <row r="16645" spans="3:3" x14ac:dyDescent="0.35">
      <c r="C16645" s="2"/>
    </row>
    <row r="16646" spans="3:3" x14ac:dyDescent="0.35">
      <c r="C16646" s="2"/>
    </row>
    <row r="16647" spans="3:3" x14ac:dyDescent="0.35">
      <c r="C16647" s="2"/>
    </row>
    <row r="16648" spans="3:3" x14ac:dyDescent="0.35">
      <c r="C16648" s="2"/>
    </row>
    <row r="16649" spans="3:3" x14ac:dyDescent="0.35">
      <c r="C16649" s="2"/>
    </row>
    <row r="16650" spans="3:3" x14ac:dyDescent="0.35">
      <c r="C16650" s="2"/>
    </row>
    <row r="16651" spans="3:3" x14ac:dyDescent="0.35">
      <c r="C16651" s="2"/>
    </row>
    <row r="16652" spans="3:3" x14ac:dyDescent="0.35">
      <c r="C16652" s="2"/>
    </row>
    <row r="16653" spans="3:3" x14ac:dyDescent="0.35">
      <c r="C16653" s="2"/>
    </row>
    <row r="16654" spans="3:3" x14ac:dyDescent="0.35">
      <c r="C16654" s="2"/>
    </row>
    <row r="16655" spans="3:3" x14ac:dyDescent="0.35">
      <c r="C16655" s="2"/>
    </row>
    <row r="16656" spans="3:3" x14ac:dyDescent="0.35">
      <c r="C16656" s="2"/>
    </row>
    <row r="16657" spans="3:3" x14ac:dyDescent="0.35">
      <c r="C16657" s="2"/>
    </row>
    <row r="16658" spans="3:3" x14ac:dyDescent="0.35">
      <c r="C16658" s="2"/>
    </row>
    <row r="16659" spans="3:3" x14ac:dyDescent="0.35">
      <c r="C16659" s="2"/>
    </row>
    <row r="16660" spans="3:3" x14ac:dyDescent="0.35">
      <c r="C16660" s="2"/>
    </row>
    <row r="16661" spans="3:3" x14ac:dyDescent="0.35">
      <c r="C16661" s="2"/>
    </row>
    <row r="16662" spans="3:3" x14ac:dyDescent="0.35">
      <c r="C16662" s="2"/>
    </row>
    <row r="16663" spans="3:3" x14ac:dyDescent="0.35">
      <c r="C16663" s="2"/>
    </row>
    <row r="16664" spans="3:3" x14ac:dyDescent="0.35">
      <c r="C16664" s="2"/>
    </row>
    <row r="16665" spans="3:3" x14ac:dyDescent="0.35">
      <c r="C16665" s="2"/>
    </row>
    <row r="16666" spans="3:3" x14ac:dyDescent="0.35">
      <c r="C16666" s="2"/>
    </row>
    <row r="16667" spans="3:3" x14ac:dyDescent="0.35">
      <c r="C16667" s="2"/>
    </row>
    <row r="16668" spans="3:3" x14ac:dyDescent="0.35">
      <c r="C16668" s="2"/>
    </row>
    <row r="16669" spans="3:3" x14ac:dyDescent="0.35">
      <c r="C16669" s="2"/>
    </row>
    <row r="16670" spans="3:3" x14ac:dyDescent="0.35">
      <c r="C16670" s="2"/>
    </row>
    <row r="16671" spans="3:3" x14ac:dyDescent="0.35">
      <c r="C16671" s="2"/>
    </row>
    <row r="16672" spans="3:3" x14ac:dyDescent="0.35">
      <c r="C16672" s="2"/>
    </row>
    <row r="16673" spans="3:3" x14ac:dyDescent="0.35">
      <c r="C16673" s="2"/>
    </row>
    <row r="16674" spans="3:3" x14ac:dyDescent="0.35">
      <c r="C16674" s="2"/>
    </row>
    <row r="16675" spans="3:3" x14ac:dyDescent="0.35">
      <c r="C16675" s="2"/>
    </row>
    <row r="16676" spans="3:3" x14ac:dyDescent="0.35">
      <c r="C16676" s="2"/>
    </row>
    <row r="16677" spans="3:3" x14ac:dyDescent="0.35">
      <c r="C16677" s="2"/>
    </row>
    <row r="16678" spans="3:3" x14ac:dyDescent="0.35">
      <c r="C16678" s="2"/>
    </row>
    <row r="16679" spans="3:3" x14ac:dyDescent="0.35">
      <c r="C16679" s="2"/>
    </row>
    <row r="16680" spans="3:3" x14ac:dyDescent="0.35">
      <c r="C16680" s="2"/>
    </row>
    <row r="16681" spans="3:3" x14ac:dyDescent="0.35">
      <c r="C16681" s="2"/>
    </row>
    <row r="16682" spans="3:3" x14ac:dyDescent="0.35">
      <c r="C16682" s="2"/>
    </row>
    <row r="16683" spans="3:3" x14ac:dyDescent="0.35">
      <c r="C16683" s="2"/>
    </row>
    <row r="16684" spans="3:3" x14ac:dyDescent="0.35">
      <c r="C16684" s="2"/>
    </row>
    <row r="16685" spans="3:3" x14ac:dyDescent="0.35">
      <c r="C16685" s="2"/>
    </row>
    <row r="16686" spans="3:3" x14ac:dyDescent="0.35">
      <c r="C16686" s="2"/>
    </row>
    <row r="16687" spans="3:3" x14ac:dyDescent="0.35">
      <c r="C16687" s="2"/>
    </row>
    <row r="16688" spans="3:3" x14ac:dyDescent="0.35">
      <c r="C16688" s="2"/>
    </row>
    <row r="16689" spans="3:3" x14ac:dyDescent="0.35">
      <c r="C16689" s="2"/>
    </row>
    <row r="16690" spans="3:3" x14ac:dyDescent="0.35">
      <c r="C16690" s="2"/>
    </row>
    <row r="16691" spans="3:3" x14ac:dyDescent="0.35">
      <c r="C16691" s="2"/>
    </row>
    <row r="16692" spans="3:3" x14ac:dyDescent="0.35">
      <c r="C16692" s="2"/>
    </row>
    <row r="16693" spans="3:3" x14ac:dyDescent="0.35">
      <c r="C16693" s="2"/>
    </row>
    <row r="16694" spans="3:3" x14ac:dyDescent="0.35">
      <c r="C16694" s="2"/>
    </row>
    <row r="16695" spans="3:3" x14ac:dyDescent="0.35">
      <c r="C16695" s="2"/>
    </row>
    <row r="16696" spans="3:3" x14ac:dyDescent="0.35">
      <c r="C16696" s="2"/>
    </row>
    <row r="16697" spans="3:3" x14ac:dyDescent="0.35">
      <c r="C16697" s="2"/>
    </row>
    <row r="16698" spans="3:3" x14ac:dyDescent="0.35">
      <c r="C16698" s="2"/>
    </row>
    <row r="16699" spans="3:3" x14ac:dyDescent="0.35">
      <c r="C16699" s="2"/>
    </row>
    <row r="16700" spans="3:3" x14ac:dyDescent="0.35">
      <c r="C16700" s="2"/>
    </row>
    <row r="16701" spans="3:3" x14ac:dyDescent="0.35">
      <c r="C16701" s="2"/>
    </row>
    <row r="16702" spans="3:3" x14ac:dyDescent="0.35">
      <c r="C16702" s="2"/>
    </row>
    <row r="16703" spans="3:3" x14ac:dyDescent="0.35">
      <c r="C16703" s="2"/>
    </row>
    <row r="16704" spans="3:3" x14ac:dyDescent="0.35">
      <c r="C16704" s="2"/>
    </row>
    <row r="16705" spans="3:3" x14ac:dyDescent="0.35">
      <c r="C16705" s="2"/>
    </row>
    <row r="16706" spans="3:3" x14ac:dyDescent="0.35">
      <c r="C16706" s="2"/>
    </row>
    <row r="16707" spans="3:3" x14ac:dyDescent="0.35">
      <c r="C16707" s="2"/>
    </row>
    <row r="16708" spans="3:3" x14ac:dyDescent="0.35">
      <c r="C16708" s="2"/>
    </row>
    <row r="16709" spans="3:3" x14ac:dyDescent="0.35">
      <c r="C16709" s="2"/>
    </row>
    <row r="16710" spans="3:3" x14ac:dyDescent="0.35">
      <c r="C16710" s="2"/>
    </row>
    <row r="16711" spans="3:3" x14ac:dyDescent="0.35">
      <c r="C16711" s="2"/>
    </row>
    <row r="16712" spans="3:3" x14ac:dyDescent="0.35">
      <c r="C16712" s="2"/>
    </row>
    <row r="16713" spans="3:3" x14ac:dyDescent="0.35">
      <c r="C16713" s="2"/>
    </row>
    <row r="16714" spans="3:3" x14ac:dyDescent="0.35">
      <c r="C16714" s="2"/>
    </row>
    <row r="16715" spans="3:3" x14ac:dyDescent="0.35">
      <c r="C16715" s="2"/>
    </row>
    <row r="16716" spans="3:3" x14ac:dyDescent="0.35">
      <c r="C16716" s="2"/>
    </row>
    <row r="16717" spans="3:3" x14ac:dyDescent="0.35">
      <c r="C16717" s="2"/>
    </row>
    <row r="16718" spans="3:3" x14ac:dyDescent="0.35">
      <c r="C16718" s="2"/>
    </row>
    <row r="16719" spans="3:3" x14ac:dyDescent="0.35">
      <c r="C16719" s="2"/>
    </row>
    <row r="16720" spans="3:3" x14ac:dyDescent="0.35">
      <c r="C16720" s="2"/>
    </row>
    <row r="16721" spans="3:3" x14ac:dyDescent="0.35">
      <c r="C16721" s="2"/>
    </row>
    <row r="16722" spans="3:3" x14ac:dyDescent="0.35">
      <c r="C16722" s="2"/>
    </row>
    <row r="16723" spans="3:3" x14ac:dyDescent="0.35">
      <c r="C16723" s="2"/>
    </row>
    <row r="16724" spans="3:3" x14ac:dyDescent="0.35">
      <c r="C16724" s="2"/>
    </row>
    <row r="16725" spans="3:3" x14ac:dyDescent="0.35">
      <c r="C16725" s="2"/>
    </row>
    <row r="16726" spans="3:3" x14ac:dyDescent="0.35">
      <c r="C16726" s="2"/>
    </row>
    <row r="16727" spans="3:3" x14ac:dyDescent="0.35">
      <c r="C16727" s="2"/>
    </row>
    <row r="16728" spans="3:3" x14ac:dyDescent="0.35">
      <c r="C16728" s="2"/>
    </row>
    <row r="16729" spans="3:3" x14ac:dyDescent="0.35">
      <c r="C16729" s="2"/>
    </row>
    <row r="16730" spans="3:3" x14ac:dyDescent="0.35">
      <c r="C16730" s="2"/>
    </row>
    <row r="16731" spans="3:3" x14ac:dyDescent="0.35">
      <c r="C16731" s="2"/>
    </row>
    <row r="16732" spans="3:3" x14ac:dyDescent="0.35">
      <c r="C16732" s="2"/>
    </row>
    <row r="16733" spans="3:3" x14ac:dyDescent="0.35">
      <c r="C16733" s="2"/>
    </row>
    <row r="16734" spans="3:3" x14ac:dyDescent="0.35">
      <c r="C16734" s="2"/>
    </row>
    <row r="16735" spans="3:3" x14ac:dyDescent="0.35">
      <c r="C16735" s="2"/>
    </row>
    <row r="16736" spans="3:3" x14ac:dyDescent="0.35">
      <c r="C16736" s="2"/>
    </row>
    <row r="16737" spans="3:3" x14ac:dyDescent="0.35">
      <c r="C16737" s="2"/>
    </row>
    <row r="16738" spans="3:3" x14ac:dyDescent="0.35">
      <c r="C16738" s="2"/>
    </row>
    <row r="16739" spans="3:3" x14ac:dyDescent="0.35">
      <c r="C16739" s="2"/>
    </row>
    <row r="16740" spans="3:3" x14ac:dyDescent="0.35">
      <c r="C16740" s="2"/>
    </row>
    <row r="16741" spans="3:3" x14ac:dyDescent="0.35">
      <c r="C16741" s="2"/>
    </row>
    <row r="16742" spans="3:3" x14ac:dyDescent="0.35">
      <c r="C16742" s="2"/>
    </row>
    <row r="16743" spans="3:3" x14ac:dyDescent="0.35">
      <c r="C16743" s="2"/>
    </row>
    <row r="16744" spans="3:3" x14ac:dyDescent="0.35">
      <c r="C16744" s="2"/>
    </row>
    <row r="16745" spans="3:3" x14ac:dyDescent="0.35">
      <c r="C16745" s="2"/>
    </row>
    <row r="16746" spans="3:3" x14ac:dyDescent="0.35">
      <c r="C16746" s="2"/>
    </row>
    <row r="16747" spans="3:3" x14ac:dyDescent="0.35">
      <c r="C16747" s="2"/>
    </row>
    <row r="16748" spans="3:3" x14ac:dyDescent="0.35">
      <c r="C16748" s="2"/>
    </row>
    <row r="16749" spans="3:3" x14ac:dyDescent="0.35">
      <c r="C16749" s="2"/>
    </row>
    <row r="16750" spans="3:3" x14ac:dyDescent="0.35">
      <c r="C16750" s="2"/>
    </row>
    <row r="16751" spans="3:3" x14ac:dyDescent="0.35">
      <c r="C16751" s="2"/>
    </row>
    <row r="16752" spans="3:3" x14ac:dyDescent="0.35">
      <c r="C16752" s="2"/>
    </row>
    <row r="16753" spans="3:3" x14ac:dyDescent="0.35">
      <c r="C16753" s="2"/>
    </row>
    <row r="16754" spans="3:3" x14ac:dyDescent="0.35">
      <c r="C16754" s="2"/>
    </row>
    <row r="16755" spans="3:3" x14ac:dyDescent="0.35">
      <c r="C16755" s="2"/>
    </row>
    <row r="16756" spans="3:3" x14ac:dyDescent="0.35">
      <c r="C16756" s="2"/>
    </row>
    <row r="16757" spans="3:3" x14ac:dyDescent="0.35">
      <c r="C16757" s="2"/>
    </row>
    <row r="16758" spans="3:3" x14ac:dyDescent="0.35">
      <c r="C16758" s="2"/>
    </row>
    <row r="16759" spans="3:3" x14ac:dyDescent="0.35">
      <c r="C16759" s="2"/>
    </row>
    <row r="16760" spans="3:3" x14ac:dyDescent="0.35">
      <c r="C16760" s="2"/>
    </row>
    <row r="16761" spans="3:3" x14ac:dyDescent="0.35">
      <c r="C16761" s="2"/>
    </row>
    <row r="16762" spans="3:3" x14ac:dyDescent="0.35">
      <c r="C16762" s="2"/>
    </row>
    <row r="16763" spans="3:3" x14ac:dyDescent="0.35">
      <c r="C16763" s="2"/>
    </row>
    <row r="16764" spans="3:3" x14ac:dyDescent="0.35">
      <c r="C16764" s="2"/>
    </row>
    <row r="16765" spans="3:3" x14ac:dyDescent="0.35">
      <c r="C16765" s="2"/>
    </row>
    <row r="16766" spans="3:3" x14ac:dyDescent="0.35">
      <c r="C16766" s="2"/>
    </row>
    <row r="16767" spans="3:3" x14ac:dyDescent="0.35">
      <c r="C16767" s="2"/>
    </row>
    <row r="16768" spans="3:3" x14ac:dyDescent="0.35">
      <c r="C16768" s="2"/>
    </row>
    <row r="16769" spans="3:3" x14ac:dyDescent="0.35">
      <c r="C16769" s="2"/>
    </row>
    <row r="16770" spans="3:3" x14ac:dyDescent="0.35">
      <c r="C16770" s="2"/>
    </row>
    <row r="16771" spans="3:3" x14ac:dyDescent="0.35">
      <c r="C16771" s="2"/>
    </row>
    <row r="16772" spans="3:3" x14ac:dyDescent="0.35">
      <c r="C16772" s="2"/>
    </row>
    <row r="16773" spans="3:3" x14ac:dyDescent="0.35">
      <c r="C16773" s="2"/>
    </row>
    <row r="16774" spans="3:3" x14ac:dyDescent="0.35">
      <c r="C16774" s="2"/>
    </row>
    <row r="16775" spans="3:3" x14ac:dyDescent="0.35">
      <c r="C16775" s="2"/>
    </row>
    <row r="16776" spans="3:3" x14ac:dyDescent="0.35">
      <c r="C16776" s="2"/>
    </row>
    <row r="16777" spans="3:3" x14ac:dyDescent="0.35">
      <c r="C16777" s="2"/>
    </row>
    <row r="16778" spans="3:3" x14ac:dyDescent="0.35">
      <c r="C16778" s="2"/>
    </row>
    <row r="16779" spans="3:3" x14ac:dyDescent="0.35">
      <c r="C16779" s="2"/>
    </row>
    <row r="16780" spans="3:3" x14ac:dyDescent="0.35">
      <c r="C16780" s="2"/>
    </row>
    <row r="16781" spans="3:3" x14ac:dyDescent="0.35">
      <c r="C16781" s="2"/>
    </row>
    <row r="16782" spans="3:3" x14ac:dyDescent="0.35">
      <c r="C16782" s="2"/>
    </row>
    <row r="16783" spans="3:3" x14ac:dyDescent="0.35">
      <c r="C16783" s="2"/>
    </row>
    <row r="16784" spans="3:3" x14ac:dyDescent="0.35">
      <c r="C16784" s="2"/>
    </row>
    <row r="16785" spans="3:3" x14ac:dyDescent="0.35">
      <c r="C16785" s="2"/>
    </row>
    <row r="16786" spans="3:3" x14ac:dyDescent="0.35">
      <c r="C16786" s="2"/>
    </row>
    <row r="16787" spans="3:3" x14ac:dyDescent="0.35">
      <c r="C16787" s="2"/>
    </row>
    <row r="16788" spans="3:3" x14ac:dyDescent="0.35">
      <c r="C16788" s="2"/>
    </row>
    <row r="16789" spans="3:3" x14ac:dyDescent="0.35">
      <c r="C16789" s="2"/>
    </row>
    <row r="16790" spans="3:3" x14ac:dyDescent="0.35">
      <c r="C16790" s="2"/>
    </row>
    <row r="16791" spans="3:3" x14ac:dyDescent="0.35">
      <c r="C16791" s="2"/>
    </row>
    <row r="16792" spans="3:3" x14ac:dyDescent="0.35">
      <c r="C16792" s="2"/>
    </row>
    <row r="16793" spans="3:3" x14ac:dyDescent="0.35">
      <c r="C16793" s="2"/>
    </row>
    <row r="16794" spans="3:3" x14ac:dyDescent="0.35">
      <c r="C16794" s="2"/>
    </row>
    <row r="16795" spans="3:3" x14ac:dyDescent="0.35">
      <c r="C16795" s="2"/>
    </row>
    <row r="16796" spans="3:3" x14ac:dyDescent="0.35">
      <c r="C16796" s="2"/>
    </row>
    <row r="16797" spans="3:3" x14ac:dyDescent="0.35">
      <c r="C16797" s="2"/>
    </row>
    <row r="16798" spans="3:3" x14ac:dyDescent="0.35">
      <c r="C16798" s="2"/>
    </row>
    <row r="16799" spans="3:3" x14ac:dyDescent="0.35">
      <c r="C16799" s="2"/>
    </row>
    <row r="16800" spans="3:3" x14ac:dyDescent="0.35">
      <c r="C16800" s="2"/>
    </row>
    <row r="16801" spans="3:3" x14ac:dyDescent="0.35">
      <c r="C16801" s="2"/>
    </row>
    <row r="16802" spans="3:3" x14ac:dyDescent="0.35">
      <c r="C16802" s="2"/>
    </row>
    <row r="16803" spans="3:3" x14ac:dyDescent="0.35">
      <c r="C16803" s="2"/>
    </row>
    <row r="16804" spans="3:3" x14ac:dyDescent="0.35">
      <c r="C16804" s="2"/>
    </row>
    <row r="16805" spans="3:3" x14ac:dyDescent="0.35">
      <c r="C16805" s="2"/>
    </row>
    <row r="16806" spans="3:3" x14ac:dyDescent="0.35">
      <c r="C16806" s="2"/>
    </row>
    <row r="16807" spans="3:3" x14ac:dyDescent="0.35">
      <c r="C16807" s="2"/>
    </row>
    <row r="16808" spans="3:3" x14ac:dyDescent="0.35">
      <c r="C16808" s="2"/>
    </row>
    <row r="16809" spans="3:3" x14ac:dyDescent="0.35">
      <c r="C16809" s="2"/>
    </row>
    <row r="16810" spans="3:3" x14ac:dyDescent="0.35">
      <c r="C16810" s="2"/>
    </row>
    <row r="16811" spans="3:3" x14ac:dyDescent="0.35">
      <c r="C16811" s="2"/>
    </row>
    <row r="16812" spans="3:3" x14ac:dyDescent="0.35">
      <c r="C16812" s="2"/>
    </row>
    <row r="16813" spans="3:3" x14ac:dyDescent="0.35">
      <c r="C16813" s="2"/>
    </row>
    <row r="16814" spans="3:3" x14ac:dyDescent="0.35">
      <c r="C16814" s="2"/>
    </row>
    <row r="16815" spans="3:3" x14ac:dyDescent="0.35">
      <c r="C16815" s="2"/>
    </row>
    <row r="16816" spans="3:3" x14ac:dyDescent="0.35">
      <c r="C16816" s="2"/>
    </row>
    <row r="16817" spans="3:3" x14ac:dyDescent="0.35">
      <c r="C16817" s="2"/>
    </row>
    <row r="16818" spans="3:3" x14ac:dyDescent="0.35">
      <c r="C16818" s="2"/>
    </row>
    <row r="16819" spans="3:3" x14ac:dyDescent="0.35">
      <c r="C16819" s="2"/>
    </row>
    <row r="16820" spans="3:3" x14ac:dyDescent="0.35">
      <c r="C16820" s="2"/>
    </row>
    <row r="16821" spans="3:3" x14ac:dyDescent="0.35">
      <c r="C16821" s="2"/>
    </row>
    <row r="16822" spans="3:3" x14ac:dyDescent="0.35">
      <c r="C16822" s="2"/>
    </row>
    <row r="16823" spans="3:3" x14ac:dyDescent="0.35">
      <c r="C16823" s="2"/>
    </row>
    <row r="16824" spans="3:3" x14ac:dyDescent="0.35">
      <c r="C16824" s="2"/>
    </row>
    <row r="16825" spans="3:3" x14ac:dyDescent="0.35">
      <c r="C16825" s="2"/>
    </row>
    <row r="16826" spans="3:3" x14ac:dyDescent="0.35">
      <c r="C16826" s="2"/>
    </row>
    <row r="16827" spans="3:3" x14ac:dyDescent="0.35">
      <c r="C16827" s="2"/>
    </row>
    <row r="16828" spans="3:3" x14ac:dyDescent="0.35">
      <c r="C16828" s="2"/>
    </row>
    <row r="16829" spans="3:3" x14ac:dyDescent="0.35">
      <c r="C16829" s="2"/>
    </row>
    <row r="16830" spans="3:3" x14ac:dyDescent="0.35">
      <c r="C16830" s="2"/>
    </row>
    <row r="16831" spans="3:3" x14ac:dyDescent="0.35">
      <c r="C16831" s="2"/>
    </row>
    <row r="16832" spans="3:3" x14ac:dyDescent="0.35">
      <c r="C16832" s="2"/>
    </row>
    <row r="16833" spans="3:3" x14ac:dyDescent="0.35">
      <c r="C16833" s="2"/>
    </row>
    <row r="16834" spans="3:3" x14ac:dyDescent="0.35">
      <c r="C16834" s="2"/>
    </row>
    <row r="16835" spans="3:3" x14ac:dyDescent="0.35">
      <c r="C16835" s="2"/>
    </row>
    <row r="16836" spans="3:3" x14ac:dyDescent="0.35">
      <c r="C16836" s="2"/>
    </row>
    <row r="16837" spans="3:3" x14ac:dyDescent="0.35">
      <c r="C16837" s="2"/>
    </row>
    <row r="16838" spans="3:3" x14ac:dyDescent="0.35">
      <c r="C16838" s="2"/>
    </row>
    <row r="16839" spans="3:3" x14ac:dyDescent="0.35">
      <c r="C16839" s="2"/>
    </row>
    <row r="16840" spans="3:3" x14ac:dyDescent="0.35">
      <c r="C16840" s="2"/>
    </row>
    <row r="16841" spans="3:3" x14ac:dyDescent="0.35">
      <c r="C16841" s="2"/>
    </row>
    <row r="16842" spans="3:3" x14ac:dyDescent="0.35">
      <c r="C16842" s="2"/>
    </row>
    <row r="16843" spans="3:3" x14ac:dyDescent="0.35">
      <c r="C16843" s="2"/>
    </row>
    <row r="16844" spans="3:3" x14ac:dyDescent="0.35">
      <c r="C16844" s="2"/>
    </row>
    <row r="16845" spans="3:3" x14ac:dyDescent="0.35">
      <c r="C16845" s="2"/>
    </row>
    <row r="16846" spans="3:3" x14ac:dyDescent="0.35">
      <c r="C16846" s="2"/>
    </row>
    <row r="16847" spans="3:3" x14ac:dyDescent="0.35">
      <c r="C16847" s="2"/>
    </row>
    <row r="16848" spans="3:3" x14ac:dyDescent="0.35">
      <c r="C16848" s="2"/>
    </row>
    <row r="16849" spans="3:3" x14ac:dyDescent="0.35">
      <c r="C16849" s="2"/>
    </row>
    <row r="16850" spans="3:3" x14ac:dyDescent="0.35">
      <c r="C16850" s="2"/>
    </row>
    <row r="16851" spans="3:3" x14ac:dyDescent="0.35">
      <c r="C16851" s="2"/>
    </row>
    <row r="16852" spans="3:3" x14ac:dyDescent="0.35">
      <c r="C16852" s="2"/>
    </row>
    <row r="16853" spans="3:3" x14ac:dyDescent="0.35">
      <c r="C16853" s="2"/>
    </row>
    <row r="16854" spans="3:3" x14ac:dyDescent="0.35">
      <c r="C16854" s="2"/>
    </row>
    <row r="16855" spans="3:3" x14ac:dyDescent="0.35">
      <c r="C16855" s="2"/>
    </row>
    <row r="16856" spans="3:3" x14ac:dyDescent="0.35">
      <c r="C16856" s="2"/>
    </row>
    <row r="16857" spans="3:3" x14ac:dyDescent="0.35">
      <c r="C16857" s="2"/>
    </row>
    <row r="16858" spans="3:3" x14ac:dyDescent="0.35">
      <c r="C16858" s="2"/>
    </row>
    <row r="16859" spans="3:3" x14ac:dyDescent="0.35">
      <c r="C16859" s="2"/>
    </row>
    <row r="16860" spans="3:3" x14ac:dyDescent="0.35">
      <c r="C16860" s="2"/>
    </row>
    <row r="16861" spans="3:3" x14ac:dyDescent="0.35">
      <c r="C16861" s="2"/>
    </row>
    <row r="16862" spans="3:3" x14ac:dyDescent="0.35">
      <c r="C16862" s="2"/>
    </row>
    <row r="16863" spans="3:3" x14ac:dyDescent="0.35">
      <c r="C16863" s="2"/>
    </row>
    <row r="16864" spans="3:3" x14ac:dyDescent="0.35">
      <c r="C16864" s="2"/>
    </row>
    <row r="16865" spans="3:3" x14ac:dyDescent="0.35">
      <c r="C16865" s="2"/>
    </row>
    <row r="16866" spans="3:3" x14ac:dyDescent="0.35">
      <c r="C16866" s="2"/>
    </row>
    <row r="16867" spans="3:3" x14ac:dyDescent="0.35">
      <c r="C16867" s="2"/>
    </row>
    <row r="16868" spans="3:3" x14ac:dyDescent="0.35">
      <c r="C16868" s="2"/>
    </row>
    <row r="16869" spans="3:3" x14ac:dyDescent="0.35">
      <c r="C16869" s="2"/>
    </row>
    <row r="16870" spans="3:3" x14ac:dyDescent="0.35">
      <c r="C16870" s="2"/>
    </row>
    <row r="16871" spans="3:3" x14ac:dyDescent="0.35">
      <c r="C16871" s="2"/>
    </row>
    <row r="16872" spans="3:3" x14ac:dyDescent="0.35">
      <c r="C16872" s="2"/>
    </row>
    <row r="16873" spans="3:3" x14ac:dyDescent="0.35">
      <c r="C16873" s="2"/>
    </row>
    <row r="16874" spans="3:3" x14ac:dyDescent="0.35">
      <c r="C16874" s="2"/>
    </row>
    <row r="16875" spans="3:3" x14ac:dyDescent="0.35">
      <c r="C16875" s="2"/>
    </row>
    <row r="16876" spans="3:3" x14ac:dyDescent="0.35">
      <c r="C16876" s="2"/>
    </row>
    <row r="16877" spans="3:3" x14ac:dyDescent="0.35">
      <c r="C16877" s="2"/>
    </row>
    <row r="16878" spans="3:3" x14ac:dyDescent="0.35">
      <c r="C16878" s="2"/>
    </row>
    <row r="16879" spans="3:3" x14ac:dyDescent="0.35">
      <c r="C16879" s="2"/>
    </row>
    <row r="16880" spans="3:3" x14ac:dyDescent="0.35">
      <c r="C16880" s="2"/>
    </row>
    <row r="16881" spans="3:3" x14ac:dyDescent="0.35">
      <c r="C16881" s="2"/>
    </row>
    <row r="16882" spans="3:3" x14ac:dyDescent="0.35">
      <c r="C16882" s="2"/>
    </row>
    <row r="16883" spans="3:3" x14ac:dyDescent="0.35">
      <c r="C16883" s="2"/>
    </row>
    <row r="16884" spans="3:3" x14ac:dyDescent="0.35">
      <c r="C16884" s="2"/>
    </row>
    <row r="16885" spans="3:3" x14ac:dyDescent="0.35">
      <c r="C16885" s="2"/>
    </row>
    <row r="16886" spans="3:3" x14ac:dyDescent="0.35">
      <c r="C16886" s="2"/>
    </row>
    <row r="16887" spans="3:3" x14ac:dyDescent="0.35">
      <c r="C16887" s="2"/>
    </row>
    <row r="16888" spans="3:3" x14ac:dyDescent="0.35">
      <c r="C16888" s="2"/>
    </row>
    <row r="16889" spans="3:3" x14ac:dyDescent="0.35">
      <c r="C16889" s="2"/>
    </row>
    <row r="16890" spans="3:3" x14ac:dyDescent="0.35">
      <c r="C16890" s="2"/>
    </row>
    <row r="16891" spans="3:3" x14ac:dyDescent="0.35">
      <c r="C16891" s="2"/>
    </row>
    <row r="16892" spans="3:3" x14ac:dyDescent="0.35">
      <c r="C16892" s="2"/>
    </row>
    <row r="16893" spans="3:3" x14ac:dyDescent="0.35">
      <c r="C16893" s="2"/>
    </row>
    <row r="16894" spans="3:3" x14ac:dyDescent="0.35">
      <c r="C16894" s="2"/>
    </row>
    <row r="16895" spans="3:3" x14ac:dyDescent="0.35">
      <c r="C16895" s="2"/>
    </row>
    <row r="16896" spans="3:3" x14ac:dyDescent="0.35">
      <c r="C16896" s="2"/>
    </row>
    <row r="16897" spans="3:3" x14ac:dyDescent="0.35">
      <c r="C16897" s="2"/>
    </row>
    <row r="16898" spans="3:3" x14ac:dyDescent="0.35">
      <c r="C16898" s="2"/>
    </row>
    <row r="16899" spans="3:3" x14ac:dyDescent="0.35">
      <c r="C16899" s="2"/>
    </row>
    <row r="16900" spans="3:3" x14ac:dyDescent="0.35">
      <c r="C16900" s="2"/>
    </row>
    <row r="16901" spans="3:3" x14ac:dyDescent="0.35">
      <c r="C16901" s="2"/>
    </row>
    <row r="16902" spans="3:3" x14ac:dyDescent="0.35">
      <c r="C16902" s="2"/>
    </row>
    <row r="16903" spans="3:3" x14ac:dyDescent="0.35">
      <c r="C16903" s="2"/>
    </row>
    <row r="16904" spans="3:3" x14ac:dyDescent="0.35">
      <c r="C16904" s="2"/>
    </row>
    <row r="16905" spans="3:3" x14ac:dyDescent="0.35">
      <c r="C16905" s="2"/>
    </row>
    <row r="16906" spans="3:3" x14ac:dyDescent="0.35">
      <c r="C16906" s="2"/>
    </row>
    <row r="16907" spans="3:3" x14ac:dyDescent="0.35">
      <c r="C16907" s="2"/>
    </row>
    <row r="16908" spans="3:3" x14ac:dyDescent="0.35">
      <c r="C16908" s="2"/>
    </row>
    <row r="16909" spans="3:3" x14ac:dyDescent="0.35">
      <c r="C16909" s="2"/>
    </row>
    <row r="16910" spans="3:3" x14ac:dyDescent="0.35">
      <c r="C16910" s="2"/>
    </row>
    <row r="16911" spans="3:3" x14ac:dyDescent="0.35">
      <c r="C16911" s="2"/>
    </row>
    <row r="16912" spans="3:3" x14ac:dyDescent="0.35">
      <c r="C16912" s="2"/>
    </row>
    <row r="16913" spans="3:3" x14ac:dyDescent="0.35">
      <c r="C16913" s="2"/>
    </row>
    <row r="16914" spans="3:3" x14ac:dyDescent="0.35">
      <c r="C16914" s="2"/>
    </row>
    <row r="16915" spans="3:3" x14ac:dyDescent="0.35">
      <c r="C16915" s="2"/>
    </row>
    <row r="16916" spans="3:3" x14ac:dyDescent="0.35">
      <c r="C16916" s="2"/>
    </row>
    <row r="16917" spans="3:3" x14ac:dyDescent="0.35">
      <c r="C16917" s="2"/>
    </row>
    <row r="16918" spans="3:3" x14ac:dyDescent="0.35">
      <c r="C16918" s="2"/>
    </row>
    <row r="16919" spans="3:3" x14ac:dyDescent="0.35">
      <c r="C16919" s="2"/>
    </row>
    <row r="16920" spans="3:3" x14ac:dyDescent="0.35">
      <c r="C16920" s="2"/>
    </row>
    <row r="16921" spans="3:3" x14ac:dyDescent="0.35">
      <c r="C16921" s="2"/>
    </row>
    <row r="16922" spans="3:3" x14ac:dyDescent="0.35">
      <c r="C16922" s="2"/>
    </row>
    <row r="16923" spans="3:3" x14ac:dyDescent="0.35">
      <c r="C16923" s="2"/>
    </row>
    <row r="16924" spans="3:3" x14ac:dyDescent="0.35">
      <c r="C16924" s="2"/>
    </row>
    <row r="16925" spans="3:3" x14ac:dyDescent="0.35">
      <c r="C16925" s="2"/>
    </row>
    <row r="16926" spans="3:3" x14ac:dyDescent="0.35">
      <c r="C16926" s="2"/>
    </row>
    <row r="16927" spans="3:3" x14ac:dyDescent="0.35">
      <c r="C16927" s="2"/>
    </row>
    <row r="16928" spans="3:3" x14ac:dyDescent="0.35">
      <c r="C16928" s="2"/>
    </row>
    <row r="16929" spans="3:3" x14ac:dyDescent="0.35">
      <c r="C16929" s="2"/>
    </row>
    <row r="16930" spans="3:3" x14ac:dyDescent="0.35">
      <c r="C16930" s="2"/>
    </row>
    <row r="16931" spans="3:3" x14ac:dyDescent="0.35">
      <c r="C16931" s="2"/>
    </row>
    <row r="16932" spans="3:3" x14ac:dyDescent="0.35">
      <c r="C16932" s="2"/>
    </row>
    <row r="16933" spans="3:3" x14ac:dyDescent="0.35">
      <c r="C16933" s="2"/>
    </row>
    <row r="16934" spans="3:3" x14ac:dyDescent="0.35">
      <c r="C16934" s="2"/>
    </row>
    <row r="16935" spans="3:3" x14ac:dyDescent="0.35">
      <c r="C16935" s="2"/>
    </row>
    <row r="16936" spans="3:3" x14ac:dyDescent="0.35">
      <c r="C16936" s="2"/>
    </row>
    <row r="16937" spans="3:3" x14ac:dyDescent="0.35">
      <c r="C16937" s="2"/>
    </row>
    <row r="16938" spans="3:3" x14ac:dyDescent="0.35">
      <c r="C16938" s="2"/>
    </row>
    <row r="16939" spans="3:3" x14ac:dyDescent="0.35">
      <c r="C16939" s="2"/>
    </row>
    <row r="16940" spans="3:3" x14ac:dyDescent="0.35">
      <c r="C16940" s="2"/>
    </row>
    <row r="16941" spans="3:3" x14ac:dyDescent="0.35">
      <c r="C16941" s="2"/>
    </row>
    <row r="16942" spans="3:3" x14ac:dyDescent="0.35">
      <c r="C16942" s="2"/>
    </row>
    <row r="16943" spans="3:3" x14ac:dyDescent="0.35">
      <c r="C16943" s="2"/>
    </row>
    <row r="16944" spans="3:3" x14ac:dyDescent="0.35">
      <c r="C16944" s="2"/>
    </row>
    <row r="16945" spans="3:3" x14ac:dyDescent="0.35">
      <c r="C16945" s="2"/>
    </row>
    <row r="16946" spans="3:3" x14ac:dyDescent="0.35">
      <c r="C16946" s="2"/>
    </row>
    <row r="16947" spans="3:3" x14ac:dyDescent="0.35">
      <c r="C16947" s="2"/>
    </row>
    <row r="16948" spans="3:3" x14ac:dyDescent="0.35">
      <c r="C16948" s="2"/>
    </row>
    <row r="16949" spans="3:3" x14ac:dyDescent="0.35">
      <c r="C16949" s="2"/>
    </row>
    <row r="16950" spans="3:3" x14ac:dyDescent="0.35">
      <c r="C16950" s="2"/>
    </row>
    <row r="16951" spans="3:3" x14ac:dyDescent="0.35">
      <c r="C16951" s="2"/>
    </row>
    <row r="16952" spans="3:3" x14ac:dyDescent="0.35">
      <c r="C16952" s="2"/>
    </row>
    <row r="16953" spans="3:3" x14ac:dyDescent="0.35">
      <c r="C16953" s="2"/>
    </row>
    <row r="16954" spans="3:3" x14ac:dyDescent="0.35">
      <c r="C16954" s="2"/>
    </row>
    <row r="16955" spans="3:3" x14ac:dyDescent="0.35">
      <c r="C16955" s="2"/>
    </row>
    <row r="16956" spans="3:3" x14ac:dyDescent="0.35">
      <c r="C16956" s="2"/>
    </row>
    <row r="16957" spans="3:3" x14ac:dyDescent="0.35">
      <c r="C16957" s="2"/>
    </row>
    <row r="16958" spans="3:3" x14ac:dyDescent="0.35">
      <c r="C16958" s="2"/>
    </row>
    <row r="16959" spans="3:3" x14ac:dyDescent="0.35">
      <c r="C16959" s="2"/>
    </row>
    <row r="16960" spans="3:3" x14ac:dyDescent="0.35">
      <c r="C16960" s="2"/>
    </row>
    <row r="16961" spans="3:3" x14ac:dyDescent="0.35">
      <c r="C16961" s="2"/>
    </row>
    <row r="16962" spans="3:3" x14ac:dyDescent="0.35">
      <c r="C16962" s="2"/>
    </row>
    <row r="16963" spans="3:3" x14ac:dyDescent="0.35">
      <c r="C16963" s="2"/>
    </row>
    <row r="16964" spans="3:3" x14ac:dyDescent="0.35">
      <c r="C16964" s="2"/>
    </row>
    <row r="16965" spans="3:3" x14ac:dyDescent="0.35">
      <c r="C16965" s="2"/>
    </row>
    <row r="16966" spans="3:3" x14ac:dyDescent="0.35">
      <c r="C16966" s="2"/>
    </row>
    <row r="16967" spans="3:3" x14ac:dyDescent="0.35">
      <c r="C16967" s="2"/>
    </row>
    <row r="16968" spans="3:3" x14ac:dyDescent="0.35">
      <c r="C16968" s="2"/>
    </row>
    <row r="16969" spans="3:3" x14ac:dyDescent="0.35">
      <c r="C16969" s="2"/>
    </row>
    <row r="16970" spans="3:3" x14ac:dyDescent="0.35">
      <c r="C16970" s="2"/>
    </row>
    <row r="16971" spans="3:3" x14ac:dyDescent="0.35">
      <c r="C16971" s="2"/>
    </row>
    <row r="16972" spans="3:3" x14ac:dyDescent="0.35">
      <c r="C16972" s="2"/>
    </row>
    <row r="16973" spans="3:3" x14ac:dyDescent="0.35">
      <c r="C16973" s="2"/>
    </row>
    <row r="16974" spans="3:3" x14ac:dyDescent="0.35">
      <c r="C16974" s="2"/>
    </row>
    <row r="16975" spans="3:3" x14ac:dyDescent="0.35">
      <c r="C16975" s="2"/>
    </row>
    <row r="16976" spans="3:3" x14ac:dyDescent="0.35">
      <c r="C16976" s="2"/>
    </row>
    <row r="16977" spans="3:3" x14ac:dyDescent="0.35">
      <c r="C16977" s="2"/>
    </row>
    <row r="16978" spans="3:3" x14ac:dyDescent="0.35">
      <c r="C16978" s="2"/>
    </row>
    <row r="16979" spans="3:3" x14ac:dyDescent="0.35">
      <c r="C16979" s="2"/>
    </row>
    <row r="16980" spans="3:3" x14ac:dyDescent="0.35">
      <c r="C16980" s="2"/>
    </row>
    <row r="16981" spans="3:3" x14ac:dyDescent="0.35">
      <c r="C16981" s="2"/>
    </row>
    <row r="16982" spans="3:3" x14ac:dyDescent="0.35">
      <c r="C16982" s="2"/>
    </row>
    <row r="16983" spans="3:3" x14ac:dyDescent="0.35">
      <c r="C16983" s="2"/>
    </row>
    <row r="16984" spans="3:3" x14ac:dyDescent="0.35">
      <c r="C16984" s="2"/>
    </row>
    <row r="16985" spans="3:3" x14ac:dyDescent="0.35">
      <c r="C16985" s="2"/>
    </row>
    <row r="16986" spans="3:3" x14ac:dyDescent="0.35">
      <c r="C16986" s="2"/>
    </row>
    <row r="16987" spans="3:3" x14ac:dyDescent="0.35">
      <c r="C16987" s="2"/>
    </row>
    <row r="16988" spans="3:3" x14ac:dyDescent="0.35">
      <c r="C16988" s="2"/>
    </row>
    <row r="16989" spans="3:3" x14ac:dyDescent="0.35">
      <c r="C16989" s="2"/>
    </row>
    <row r="16990" spans="3:3" x14ac:dyDescent="0.35">
      <c r="C16990" s="2"/>
    </row>
    <row r="16991" spans="3:3" x14ac:dyDescent="0.35">
      <c r="C16991" s="2"/>
    </row>
    <row r="16992" spans="3:3" x14ac:dyDescent="0.35">
      <c r="C16992" s="2"/>
    </row>
    <row r="16993" spans="3:3" x14ac:dyDescent="0.35">
      <c r="C16993" s="2"/>
    </row>
    <row r="16994" spans="3:3" x14ac:dyDescent="0.35">
      <c r="C16994" s="2"/>
    </row>
    <row r="16995" spans="3:3" x14ac:dyDescent="0.35">
      <c r="C16995" s="2"/>
    </row>
    <row r="16996" spans="3:3" x14ac:dyDescent="0.35">
      <c r="C16996" s="2"/>
    </row>
    <row r="16997" spans="3:3" x14ac:dyDescent="0.35">
      <c r="C16997" s="2"/>
    </row>
    <row r="16998" spans="3:3" x14ac:dyDescent="0.35">
      <c r="C16998" s="2"/>
    </row>
    <row r="16999" spans="3:3" x14ac:dyDescent="0.35">
      <c r="C16999" s="2"/>
    </row>
    <row r="17000" spans="3:3" x14ac:dyDescent="0.35">
      <c r="C17000" s="2"/>
    </row>
    <row r="17001" spans="3:3" x14ac:dyDescent="0.35">
      <c r="C17001" s="2"/>
    </row>
    <row r="17002" spans="3:3" x14ac:dyDescent="0.35">
      <c r="C17002" s="2"/>
    </row>
    <row r="17003" spans="3:3" x14ac:dyDescent="0.35">
      <c r="C17003" s="2"/>
    </row>
    <row r="17004" spans="3:3" x14ac:dyDescent="0.35">
      <c r="C17004" s="2"/>
    </row>
    <row r="17005" spans="3:3" x14ac:dyDescent="0.35">
      <c r="C17005" s="2"/>
    </row>
    <row r="17006" spans="3:3" x14ac:dyDescent="0.35">
      <c r="C17006" s="2"/>
    </row>
    <row r="17007" spans="3:3" x14ac:dyDescent="0.35">
      <c r="C17007" s="2"/>
    </row>
    <row r="17008" spans="3:3" x14ac:dyDescent="0.35">
      <c r="C17008" s="2"/>
    </row>
    <row r="17009" spans="3:3" x14ac:dyDescent="0.35">
      <c r="C17009" s="2"/>
    </row>
    <row r="17010" spans="3:3" x14ac:dyDescent="0.35">
      <c r="C17010" s="2"/>
    </row>
    <row r="17011" spans="3:3" x14ac:dyDescent="0.35">
      <c r="C17011" s="2"/>
    </row>
    <row r="17012" spans="3:3" x14ac:dyDescent="0.35">
      <c r="C17012" s="2"/>
    </row>
    <row r="17013" spans="3:3" x14ac:dyDescent="0.35">
      <c r="C17013" s="2"/>
    </row>
    <row r="17014" spans="3:3" x14ac:dyDescent="0.35">
      <c r="C17014" s="2"/>
    </row>
    <row r="17015" spans="3:3" x14ac:dyDescent="0.35">
      <c r="C17015" s="2"/>
    </row>
    <row r="17016" spans="3:3" x14ac:dyDescent="0.35">
      <c r="C17016" s="2"/>
    </row>
    <row r="17017" spans="3:3" x14ac:dyDescent="0.35">
      <c r="C17017" s="2"/>
    </row>
    <row r="17018" spans="3:3" x14ac:dyDescent="0.35">
      <c r="C17018" s="2"/>
    </row>
    <row r="17019" spans="3:3" x14ac:dyDescent="0.35">
      <c r="C17019" s="2"/>
    </row>
    <row r="17020" spans="3:3" x14ac:dyDescent="0.35">
      <c r="C17020" s="2"/>
    </row>
    <row r="17021" spans="3:3" x14ac:dyDescent="0.35">
      <c r="C17021" s="2"/>
    </row>
    <row r="17022" spans="3:3" x14ac:dyDescent="0.35">
      <c r="C17022" s="2"/>
    </row>
    <row r="17023" spans="3:3" x14ac:dyDescent="0.35">
      <c r="C17023" s="2"/>
    </row>
    <row r="17024" spans="3:3" x14ac:dyDescent="0.35">
      <c r="C17024" s="2"/>
    </row>
    <row r="17025" spans="3:3" x14ac:dyDescent="0.35">
      <c r="C17025" s="2"/>
    </row>
    <row r="17026" spans="3:3" x14ac:dyDescent="0.35">
      <c r="C17026" s="2"/>
    </row>
    <row r="17027" spans="3:3" x14ac:dyDescent="0.35">
      <c r="C17027" s="2"/>
    </row>
    <row r="17028" spans="3:3" x14ac:dyDescent="0.35">
      <c r="C17028" s="2"/>
    </row>
    <row r="17029" spans="3:3" x14ac:dyDescent="0.35">
      <c r="C17029" s="2"/>
    </row>
    <row r="17030" spans="3:3" x14ac:dyDescent="0.35">
      <c r="C17030" s="2"/>
    </row>
    <row r="17031" spans="3:3" x14ac:dyDescent="0.35">
      <c r="C17031" s="2"/>
    </row>
    <row r="17032" spans="3:3" x14ac:dyDescent="0.35">
      <c r="C17032" s="2"/>
    </row>
    <row r="17033" spans="3:3" x14ac:dyDescent="0.35">
      <c r="C17033" s="2"/>
    </row>
    <row r="17034" spans="3:3" x14ac:dyDescent="0.35">
      <c r="C17034" s="2"/>
    </row>
    <row r="17035" spans="3:3" x14ac:dyDescent="0.35">
      <c r="C17035" s="2"/>
    </row>
    <row r="17036" spans="3:3" x14ac:dyDescent="0.35">
      <c r="C17036" s="2"/>
    </row>
    <row r="17037" spans="3:3" x14ac:dyDescent="0.35">
      <c r="C17037" s="2"/>
    </row>
    <row r="17038" spans="3:3" x14ac:dyDescent="0.35">
      <c r="C17038" s="2"/>
    </row>
    <row r="17039" spans="3:3" x14ac:dyDescent="0.35">
      <c r="C17039" s="2"/>
    </row>
    <row r="17040" spans="3:3" x14ac:dyDescent="0.35">
      <c r="C17040" s="2"/>
    </row>
    <row r="17041" spans="3:3" x14ac:dyDescent="0.35">
      <c r="C17041" s="2"/>
    </row>
    <row r="17042" spans="3:3" x14ac:dyDescent="0.35">
      <c r="C17042" s="2"/>
    </row>
    <row r="17043" spans="3:3" x14ac:dyDescent="0.35">
      <c r="C17043" s="2"/>
    </row>
    <row r="17044" spans="3:3" x14ac:dyDescent="0.35">
      <c r="C17044" s="2"/>
    </row>
    <row r="17045" spans="3:3" x14ac:dyDescent="0.35">
      <c r="C17045" s="2"/>
    </row>
    <row r="17046" spans="3:3" x14ac:dyDescent="0.35">
      <c r="C17046" s="2"/>
    </row>
    <row r="17047" spans="3:3" x14ac:dyDescent="0.35">
      <c r="C17047" s="2"/>
    </row>
    <row r="17048" spans="3:3" x14ac:dyDescent="0.35">
      <c r="C17048" s="2"/>
    </row>
    <row r="17049" spans="3:3" x14ac:dyDescent="0.35">
      <c r="C17049" s="2"/>
    </row>
    <row r="17050" spans="3:3" x14ac:dyDescent="0.35">
      <c r="C17050" s="2"/>
    </row>
    <row r="17051" spans="3:3" x14ac:dyDescent="0.35">
      <c r="C17051" s="2"/>
    </row>
    <row r="17052" spans="3:3" x14ac:dyDescent="0.35">
      <c r="C17052" s="2"/>
    </row>
    <row r="17053" spans="3:3" x14ac:dyDescent="0.35">
      <c r="C17053" s="2"/>
    </row>
    <row r="17054" spans="3:3" x14ac:dyDescent="0.35">
      <c r="C17054" s="2"/>
    </row>
    <row r="17055" spans="3:3" x14ac:dyDescent="0.35">
      <c r="C17055" s="2"/>
    </row>
    <row r="17056" spans="3:3" x14ac:dyDescent="0.35">
      <c r="C17056" s="2"/>
    </row>
    <row r="17057" spans="3:3" x14ac:dyDescent="0.35">
      <c r="C17057" s="2"/>
    </row>
    <row r="17058" spans="3:3" x14ac:dyDescent="0.35">
      <c r="C17058" s="2"/>
    </row>
    <row r="17059" spans="3:3" x14ac:dyDescent="0.35">
      <c r="C17059" s="2"/>
    </row>
    <row r="17060" spans="3:3" x14ac:dyDescent="0.35">
      <c r="C17060" s="2"/>
    </row>
    <row r="17061" spans="3:3" x14ac:dyDescent="0.35">
      <c r="C17061" s="2"/>
    </row>
    <row r="17062" spans="3:3" x14ac:dyDescent="0.35">
      <c r="C17062" s="2"/>
    </row>
    <row r="17063" spans="3:3" x14ac:dyDescent="0.35">
      <c r="C17063" s="2"/>
    </row>
    <row r="17064" spans="3:3" x14ac:dyDescent="0.35">
      <c r="C17064" s="2"/>
    </row>
    <row r="17065" spans="3:3" x14ac:dyDescent="0.35">
      <c r="C17065" s="2"/>
    </row>
    <row r="17066" spans="3:3" x14ac:dyDescent="0.35">
      <c r="C17066" s="2"/>
    </row>
    <row r="17067" spans="3:3" x14ac:dyDescent="0.35">
      <c r="C17067" s="2"/>
    </row>
    <row r="17068" spans="3:3" x14ac:dyDescent="0.35">
      <c r="C17068" s="2"/>
    </row>
    <row r="17069" spans="3:3" x14ac:dyDescent="0.35">
      <c r="C17069" s="2"/>
    </row>
    <row r="17070" spans="3:3" x14ac:dyDescent="0.35">
      <c r="C17070" s="2"/>
    </row>
    <row r="17071" spans="3:3" x14ac:dyDescent="0.35">
      <c r="C17071" s="2"/>
    </row>
    <row r="17072" spans="3:3" x14ac:dyDescent="0.35">
      <c r="C17072" s="2"/>
    </row>
    <row r="17073" spans="3:3" x14ac:dyDescent="0.35">
      <c r="C17073" s="2"/>
    </row>
    <row r="17074" spans="3:3" x14ac:dyDescent="0.35">
      <c r="C17074" s="2"/>
    </row>
    <row r="17075" spans="3:3" x14ac:dyDescent="0.35">
      <c r="C17075" s="2"/>
    </row>
    <row r="17076" spans="3:3" x14ac:dyDescent="0.35">
      <c r="C17076" s="2"/>
    </row>
    <row r="17077" spans="3:3" x14ac:dyDescent="0.35">
      <c r="C17077" s="2"/>
    </row>
    <row r="17078" spans="3:3" x14ac:dyDescent="0.35">
      <c r="C17078" s="2"/>
    </row>
    <row r="17079" spans="3:3" x14ac:dyDescent="0.35">
      <c r="C17079" s="2"/>
    </row>
    <row r="17080" spans="3:3" x14ac:dyDescent="0.35">
      <c r="C17080" s="2"/>
    </row>
    <row r="17081" spans="3:3" x14ac:dyDescent="0.35">
      <c r="C17081" s="2"/>
    </row>
    <row r="17082" spans="3:3" x14ac:dyDescent="0.35">
      <c r="C17082" s="2"/>
    </row>
    <row r="17083" spans="3:3" x14ac:dyDescent="0.35">
      <c r="C17083" s="2"/>
    </row>
    <row r="17084" spans="3:3" x14ac:dyDescent="0.35">
      <c r="C17084" s="2"/>
    </row>
    <row r="17085" spans="3:3" x14ac:dyDescent="0.35">
      <c r="C17085" s="2"/>
    </row>
    <row r="17086" spans="3:3" x14ac:dyDescent="0.35">
      <c r="C17086" s="2"/>
    </row>
    <row r="17087" spans="3:3" x14ac:dyDescent="0.35">
      <c r="C17087" s="2"/>
    </row>
    <row r="17088" spans="3:3" x14ac:dyDescent="0.35">
      <c r="C17088" s="2"/>
    </row>
    <row r="17089" spans="3:3" x14ac:dyDescent="0.35">
      <c r="C17089" s="2"/>
    </row>
    <row r="17090" spans="3:3" x14ac:dyDescent="0.35">
      <c r="C17090" s="2"/>
    </row>
    <row r="17091" spans="3:3" x14ac:dyDescent="0.35">
      <c r="C17091" s="2"/>
    </row>
    <row r="17092" spans="3:3" x14ac:dyDescent="0.35">
      <c r="C17092" s="2"/>
    </row>
    <row r="17093" spans="3:3" x14ac:dyDescent="0.35">
      <c r="C17093" s="2"/>
    </row>
    <row r="17094" spans="3:3" x14ac:dyDescent="0.35">
      <c r="C17094" s="2"/>
    </row>
    <row r="17095" spans="3:3" x14ac:dyDescent="0.35">
      <c r="C17095" s="2"/>
    </row>
    <row r="17096" spans="3:3" x14ac:dyDescent="0.35">
      <c r="C17096" s="2"/>
    </row>
    <row r="17097" spans="3:3" x14ac:dyDescent="0.35">
      <c r="C17097" s="2"/>
    </row>
    <row r="17098" spans="3:3" x14ac:dyDescent="0.35">
      <c r="C17098" s="2"/>
    </row>
    <row r="17099" spans="3:3" x14ac:dyDescent="0.35">
      <c r="C17099" s="2"/>
    </row>
    <row r="17100" spans="3:3" x14ac:dyDescent="0.35">
      <c r="C17100" s="2"/>
    </row>
    <row r="17101" spans="3:3" x14ac:dyDescent="0.35">
      <c r="C17101" s="2"/>
    </row>
    <row r="17102" spans="3:3" x14ac:dyDescent="0.35">
      <c r="C17102" s="2"/>
    </row>
    <row r="17103" spans="3:3" x14ac:dyDescent="0.35">
      <c r="C17103" s="2"/>
    </row>
    <row r="17104" spans="3:3" x14ac:dyDescent="0.35">
      <c r="C17104" s="2"/>
    </row>
    <row r="17105" spans="3:3" x14ac:dyDescent="0.35">
      <c r="C17105" s="2"/>
    </row>
    <row r="17106" spans="3:3" x14ac:dyDescent="0.35">
      <c r="C17106" s="2"/>
    </row>
    <row r="17107" spans="3:3" x14ac:dyDescent="0.35">
      <c r="C17107" s="2"/>
    </row>
    <row r="17108" spans="3:3" x14ac:dyDescent="0.35">
      <c r="C17108" s="2"/>
    </row>
    <row r="17109" spans="3:3" x14ac:dyDescent="0.35">
      <c r="C17109" s="2"/>
    </row>
    <row r="17110" spans="3:3" x14ac:dyDescent="0.35">
      <c r="C17110" s="2"/>
    </row>
    <row r="17111" spans="3:3" x14ac:dyDescent="0.35">
      <c r="C17111" s="2"/>
    </row>
    <row r="17112" spans="3:3" x14ac:dyDescent="0.35">
      <c r="C17112" s="2"/>
    </row>
    <row r="17113" spans="3:3" x14ac:dyDescent="0.35">
      <c r="C17113" s="2"/>
    </row>
    <row r="17114" spans="3:3" x14ac:dyDescent="0.35">
      <c r="C17114" s="2"/>
    </row>
    <row r="17115" spans="3:3" x14ac:dyDescent="0.35">
      <c r="C17115" s="2"/>
    </row>
    <row r="17116" spans="3:3" x14ac:dyDescent="0.35">
      <c r="C17116" s="2"/>
    </row>
    <row r="17117" spans="3:3" x14ac:dyDescent="0.35">
      <c r="C17117" s="2"/>
    </row>
    <row r="17118" spans="3:3" x14ac:dyDescent="0.35">
      <c r="C17118" s="2"/>
    </row>
    <row r="17119" spans="3:3" x14ac:dyDescent="0.35">
      <c r="C17119" s="2"/>
    </row>
    <row r="17120" spans="3:3" x14ac:dyDescent="0.35">
      <c r="C17120" s="2"/>
    </row>
    <row r="17121" spans="3:3" x14ac:dyDescent="0.35">
      <c r="C17121" s="2"/>
    </row>
    <row r="17122" spans="3:3" x14ac:dyDescent="0.35">
      <c r="C17122" s="2"/>
    </row>
    <row r="17123" spans="3:3" x14ac:dyDescent="0.35">
      <c r="C17123" s="2"/>
    </row>
    <row r="17124" spans="3:3" x14ac:dyDescent="0.35">
      <c r="C17124" s="2"/>
    </row>
    <row r="17125" spans="3:3" x14ac:dyDescent="0.35">
      <c r="C17125" s="2"/>
    </row>
    <row r="17126" spans="3:3" x14ac:dyDescent="0.35">
      <c r="C17126" s="2"/>
    </row>
    <row r="17127" spans="3:3" x14ac:dyDescent="0.35">
      <c r="C17127" s="2"/>
    </row>
    <row r="17128" spans="3:3" x14ac:dyDescent="0.35">
      <c r="C17128" s="2"/>
    </row>
    <row r="17129" spans="3:3" x14ac:dyDescent="0.35">
      <c r="C17129" s="2"/>
    </row>
    <row r="17130" spans="3:3" x14ac:dyDescent="0.35">
      <c r="C17130" s="2"/>
    </row>
    <row r="17131" spans="3:3" x14ac:dyDescent="0.35">
      <c r="C17131" s="2"/>
    </row>
    <row r="17132" spans="3:3" x14ac:dyDescent="0.35">
      <c r="C17132" s="2"/>
    </row>
    <row r="17133" spans="3:3" x14ac:dyDescent="0.35">
      <c r="C17133" s="2"/>
    </row>
    <row r="17134" spans="3:3" x14ac:dyDescent="0.35">
      <c r="C17134" s="2"/>
    </row>
    <row r="17135" spans="3:3" x14ac:dyDescent="0.35">
      <c r="C17135" s="2"/>
    </row>
    <row r="17136" spans="3:3" x14ac:dyDescent="0.35">
      <c r="C17136" s="2"/>
    </row>
    <row r="17137" spans="3:3" x14ac:dyDescent="0.35">
      <c r="C17137" s="2"/>
    </row>
    <row r="17138" spans="3:3" x14ac:dyDescent="0.35">
      <c r="C17138" s="2"/>
    </row>
    <row r="17139" spans="3:3" x14ac:dyDescent="0.35">
      <c r="C17139" s="2"/>
    </row>
    <row r="17140" spans="3:3" x14ac:dyDescent="0.35">
      <c r="C17140" s="2"/>
    </row>
    <row r="17141" spans="3:3" x14ac:dyDescent="0.35">
      <c r="C17141" s="2"/>
    </row>
    <row r="17142" spans="3:3" x14ac:dyDescent="0.35">
      <c r="C17142" s="2"/>
    </row>
    <row r="17143" spans="3:3" x14ac:dyDescent="0.35">
      <c r="C17143" s="2"/>
    </row>
    <row r="17144" spans="3:3" x14ac:dyDescent="0.35">
      <c r="C17144" s="2"/>
    </row>
    <row r="17145" spans="3:3" x14ac:dyDescent="0.35">
      <c r="C17145" s="2"/>
    </row>
    <row r="17146" spans="3:3" x14ac:dyDescent="0.35">
      <c r="C17146" s="2"/>
    </row>
    <row r="17147" spans="3:3" x14ac:dyDescent="0.35">
      <c r="C17147" s="2"/>
    </row>
    <row r="17148" spans="3:3" x14ac:dyDescent="0.35">
      <c r="C17148" s="2"/>
    </row>
    <row r="17149" spans="3:3" x14ac:dyDescent="0.35">
      <c r="C17149" s="2"/>
    </row>
    <row r="17150" spans="3:3" x14ac:dyDescent="0.35">
      <c r="C17150" s="2"/>
    </row>
    <row r="17151" spans="3:3" x14ac:dyDescent="0.35">
      <c r="C17151" s="2"/>
    </row>
    <row r="17152" spans="3:3" x14ac:dyDescent="0.35">
      <c r="C17152" s="2"/>
    </row>
    <row r="17153" spans="3:3" x14ac:dyDescent="0.35">
      <c r="C17153" s="2"/>
    </row>
    <row r="17154" spans="3:3" x14ac:dyDescent="0.35">
      <c r="C17154" s="2"/>
    </row>
    <row r="17155" spans="3:3" x14ac:dyDescent="0.35">
      <c r="C17155" s="2"/>
    </row>
    <row r="17156" spans="3:3" x14ac:dyDescent="0.35">
      <c r="C17156" s="2"/>
    </row>
    <row r="17157" spans="3:3" x14ac:dyDescent="0.35">
      <c r="C17157" s="2"/>
    </row>
    <row r="17158" spans="3:3" x14ac:dyDescent="0.35">
      <c r="C17158" s="2"/>
    </row>
    <row r="17159" spans="3:3" x14ac:dyDescent="0.35">
      <c r="C17159" s="2"/>
    </row>
    <row r="17160" spans="3:3" x14ac:dyDescent="0.35">
      <c r="C17160" s="2"/>
    </row>
    <row r="17161" spans="3:3" x14ac:dyDescent="0.35">
      <c r="C17161" s="2"/>
    </row>
    <row r="17162" spans="3:3" x14ac:dyDescent="0.35">
      <c r="C17162" s="2"/>
    </row>
    <row r="17163" spans="3:3" x14ac:dyDescent="0.35">
      <c r="C17163" s="2"/>
    </row>
    <row r="17164" spans="3:3" x14ac:dyDescent="0.35">
      <c r="C17164" s="2"/>
    </row>
    <row r="17165" spans="3:3" x14ac:dyDescent="0.35">
      <c r="C17165" s="2"/>
    </row>
    <row r="17166" spans="3:3" x14ac:dyDescent="0.35">
      <c r="C17166" s="2"/>
    </row>
    <row r="17167" spans="3:3" x14ac:dyDescent="0.35">
      <c r="C17167" s="2"/>
    </row>
    <row r="17168" spans="3:3" x14ac:dyDescent="0.35">
      <c r="C17168" s="2"/>
    </row>
    <row r="17169" spans="3:3" x14ac:dyDescent="0.35">
      <c r="C17169" s="2"/>
    </row>
    <row r="17170" spans="3:3" x14ac:dyDescent="0.35">
      <c r="C17170" s="2"/>
    </row>
    <row r="17171" spans="3:3" x14ac:dyDescent="0.35">
      <c r="C17171" s="2"/>
    </row>
    <row r="17172" spans="3:3" x14ac:dyDescent="0.35">
      <c r="C17172" s="2"/>
    </row>
    <row r="17173" spans="3:3" x14ac:dyDescent="0.35">
      <c r="C17173" s="2"/>
    </row>
    <row r="17174" spans="3:3" x14ac:dyDescent="0.35">
      <c r="C17174" s="2"/>
    </row>
    <row r="17175" spans="3:3" x14ac:dyDescent="0.35">
      <c r="C17175" s="2"/>
    </row>
    <row r="17176" spans="3:3" x14ac:dyDescent="0.35">
      <c r="C17176" s="2"/>
    </row>
    <row r="17177" spans="3:3" x14ac:dyDescent="0.35">
      <c r="C17177" s="2"/>
    </row>
    <row r="17178" spans="3:3" x14ac:dyDescent="0.35">
      <c r="C17178" s="2"/>
    </row>
    <row r="17179" spans="3:3" x14ac:dyDescent="0.35">
      <c r="C17179" s="2"/>
    </row>
    <row r="17180" spans="3:3" x14ac:dyDescent="0.35">
      <c r="C17180" s="2"/>
    </row>
    <row r="17181" spans="3:3" x14ac:dyDescent="0.35">
      <c r="C17181" s="2"/>
    </row>
    <row r="17182" spans="3:3" x14ac:dyDescent="0.35">
      <c r="C17182" s="2"/>
    </row>
    <row r="17183" spans="3:3" x14ac:dyDescent="0.35">
      <c r="C17183" s="2"/>
    </row>
    <row r="17184" spans="3:3" x14ac:dyDescent="0.35">
      <c r="C17184" s="2"/>
    </row>
    <row r="17185" spans="3:3" x14ac:dyDescent="0.35">
      <c r="C17185" s="2"/>
    </row>
    <row r="17186" spans="3:3" x14ac:dyDescent="0.35">
      <c r="C17186" s="2"/>
    </row>
    <row r="17187" spans="3:3" x14ac:dyDescent="0.35">
      <c r="C17187" s="2"/>
    </row>
    <row r="17188" spans="3:3" x14ac:dyDescent="0.35">
      <c r="C17188" s="2"/>
    </row>
    <row r="17189" spans="3:3" x14ac:dyDescent="0.35">
      <c r="C17189" s="2"/>
    </row>
    <row r="17190" spans="3:3" x14ac:dyDescent="0.35">
      <c r="C17190" s="2"/>
    </row>
    <row r="17191" spans="3:3" x14ac:dyDescent="0.35">
      <c r="C17191" s="2"/>
    </row>
    <row r="17192" spans="3:3" x14ac:dyDescent="0.35">
      <c r="C17192" s="2"/>
    </row>
    <row r="17193" spans="3:3" x14ac:dyDescent="0.35">
      <c r="C17193" s="2"/>
    </row>
    <row r="17194" spans="3:3" x14ac:dyDescent="0.35">
      <c r="C17194" s="2"/>
    </row>
    <row r="17195" spans="3:3" x14ac:dyDescent="0.35">
      <c r="C17195" s="2"/>
    </row>
    <row r="17196" spans="3:3" x14ac:dyDescent="0.35">
      <c r="C17196" s="2"/>
    </row>
    <row r="17197" spans="3:3" x14ac:dyDescent="0.35">
      <c r="C17197" s="2"/>
    </row>
    <row r="17198" spans="3:3" x14ac:dyDescent="0.35">
      <c r="C17198" s="2"/>
    </row>
    <row r="17199" spans="3:3" x14ac:dyDescent="0.35">
      <c r="C17199" s="2"/>
    </row>
    <row r="17200" spans="3:3" x14ac:dyDescent="0.35">
      <c r="C17200" s="2"/>
    </row>
    <row r="17201" spans="3:3" x14ac:dyDescent="0.35">
      <c r="C17201" s="2"/>
    </row>
    <row r="17202" spans="3:3" x14ac:dyDescent="0.35">
      <c r="C17202" s="2"/>
    </row>
    <row r="17203" spans="3:3" x14ac:dyDescent="0.35">
      <c r="C17203" s="2"/>
    </row>
    <row r="17204" spans="3:3" x14ac:dyDescent="0.35">
      <c r="C17204" s="2"/>
    </row>
    <row r="17205" spans="3:3" x14ac:dyDescent="0.35">
      <c r="C17205" s="2"/>
    </row>
    <row r="17206" spans="3:3" x14ac:dyDescent="0.35">
      <c r="C17206" s="2"/>
    </row>
    <row r="17207" spans="3:3" x14ac:dyDescent="0.35">
      <c r="C17207" s="2"/>
    </row>
    <row r="17208" spans="3:3" x14ac:dyDescent="0.35">
      <c r="C17208" s="2"/>
    </row>
    <row r="17209" spans="3:3" x14ac:dyDescent="0.35">
      <c r="C17209" s="2"/>
    </row>
    <row r="17210" spans="3:3" x14ac:dyDescent="0.35">
      <c r="C17210" s="2"/>
    </row>
    <row r="17211" spans="3:3" x14ac:dyDescent="0.35">
      <c r="C17211" s="2"/>
    </row>
    <row r="17212" spans="3:3" x14ac:dyDescent="0.35">
      <c r="C17212" s="2"/>
    </row>
    <row r="17213" spans="3:3" x14ac:dyDescent="0.35">
      <c r="C17213" s="2"/>
    </row>
    <row r="17214" spans="3:3" x14ac:dyDescent="0.35">
      <c r="C17214" s="2"/>
    </row>
    <row r="17215" spans="3:3" x14ac:dyDescent="0.35">
      <c r="C17215" s="2"/>
    </row>
    <row r="17216" spans="3:3" x14ac:dyDescent="0.35">
      <c r="C17216" s="2"/>
    </row>
    <row r="17217" spans="3:3" x14ac:dyDescent="0.35">
      <c r="C17217" s="2"/>
    </row>
    <row r="17218" spans="3:3" x14ac:dyDescent="0.35">
      <c r="C17218" s="2"/>
    </row>
    <row r="17219" spans="3:3" x14ac:dyDescent="0.35">
      <c r="C17219" s="2"/>
    </row>
    <row r="17220" spans="3:3" x14ac:dyDescent="0.35">
      <c r="C17220" s="2"/>
    </row>
    <row r="17221" spans="3:3" x14ac:dyDescent="0.35">
      <c r="C17221" s="2"/>
    </row>
    <row r="17222" spans="3:3" x14ac:dyDescent="0.35">
      <c r="C17222" s="2"/>
    </row>
    <row r="17223" spans="3:3" x14ac:dyDescent="0.35">
      <c r="C17223" s="2"/>
    </row>
    <row r="17224" spans="3:3" x14ac:dyDescent="0.35">
      <c r="C17224" s="2"/>
    </row>
    <row r="17225" spans="3:3" x14ac:dyDescent="0.35">
      <c r="C17225" s="2"/>
    </row>
    <row r="17226" spans="3:3" x14ac:dyDescent="0.35">
      <c r="C17226" s="2"/>
    </row>
    <row r="17227" spans="3:3" x14ac:dyDescent="0.35">
      <c r="C17227" s="2"/>
    </row>
    <row r="17228" spans="3:3" x14ac:dyDescent="0.35">
      <c r="C17228" s="2"/>
    </row>
    <row r="17229" spans="3:3" x14ac:dyDescent="0.35">
      <c r="C17229" s="2"/>
    </row>
    <row r="17230" spans="3:3" x14ac:dyDescent="0.35">
      <c r="C17230" s="2"/>
    </row>
    <row r="17231" spans="3:3" x14ac:dyDescent="0.35">
      <c r="C17231" s="2"/>
    </row>
    <row r="17232" spans="3:3" x14ac:dyDescent="0.35">
      <c r="C17232" s="2"/>
    </row>
    <row r="17233" spans="3:3" x14ac:dyDescent="0.35">
      <c r="C17233" s="2"/>
    </row>
    <row r="17234" spans="3:3" x14ac:dyDescent="0.35">
      <c r="C17234" s="2"/>
    </row>
    <row r="17235" spans="3:3" x14ac:dyDescent="0.35">
      <c r="C17235" s="2"/>
    </row>
    <row r="17236" spans="3:3" x14ac:dyDescent="0.35">
      <c r="C17236" s="2"/>
    </row>
    <row r="17237" spans="3:3" x14ac:dyDescent="0.35">
      <c r="C17237" s="2"/>
    </row>
    <row r="17238" spans="3:3" x14ac:dyDescent="0.35">
      <c r="C17238" s="2"/>
    </row>
    <row r="17239" spans="3:3" x14ac:dyDescent="0.35">
      <c r="C17239" s="2"/>
    </row>
    <row r="17240" spans="3:3" x14ac:dyDescent="0.35">
      <c r="C17240" s="2"/>
    </row>
    <row r="17241" spans="3:3" x14ac:dyDescent="0.35">
      <c r="C17241" s="2"/>
    </row>
    <row r="17242" spans="3:3" x14ac:dyDescent="0.35">
      <c r="C17242" s="2"/>
    </row>
    <row r="17243" spans="3:3" x14ac:dyDescent="0.35">
      <c r="C17243" s="2"/>
    </row>
    <row r="17244" spans="3:3" x14ac:dyDescent="0.35">
      <c r="C17244" s="2"/>
    </row>
    <row r="17245" spans="3:3" x14ac:dyDescent="0.35">
      <c r="C17245" s="2"/>
    </row>
    <row r="17246" spans="3:3" x14ac:dyDescent="0.35">
      <c r="C17246" s="2"/>
    </row>
    <row r="17247" spans="3:3" x14ac:dyDescent="0.35">
      <c r="C17247" s="2"/>
    </row>
    <row r="17248" spans="3:3" x14ac:dyDescent="0.35">
      <c r="C17248" s="2"/>
    </row>
    <row r="17249" spans="3:3" x14ac:dyDescent="0.35">
      <c r="C17249" s="2"/>
    </row>
    <row r="17250" spans="3:3" x14ac:dyDescent="0.35">
      <c r="C17250" s="2"/>
    </row>
    <row r="17251" spans="3:3" x14ac:dyDescent="0.35">
      <c r="C17251" s="2"/>
    </row>
    <row r="17252" spans="3:3" x14ac:dyDescent="0.35">
      <c r="C17252" s="2"/>
    </row>
    <row r="17253" spans="3:3" x14ac:dyDescent="0.35">
      <c r="C17253" s="2"/>
    </row>
    <row r="17254" spans="3:3" x14ac:dyDescent="0.35">
      <c r="C17254" s="2"/>
    </row>
    <row r="17255" spans="3:3" x14ac:dyDescent="0.35">
      <c r="C17255" s="2"/>
    </row>
    <row r="17256" spans="3:3" x14ac:dyDescent="0.35">
      <c r="C17256" s="2"/>
    </row>
    <row r="17257" spans="3:3" x14ac:dyDescent="0.35">
      <c r="C17257" s="2"/>
    </row>
    <row r="17258" spans="3:3" x14ac:dyDescent="0.35">
      <c r="C17258" s="2"/>
    </row>
    <row r="17259" spans="3:3" x14ac:dyDescent="0.35">
      <c r="C17259" s="2"/>
    </row>
    <row r="17260" spans="3:3" x14ac:dyDescent="0.35">
      <c r="C17260" s="2"/>
    </row>
    <row r="17261" spans="3:3" x14ac:dyDescent="0.35">
      <c r="C17261" s="2"/>
    </row>
    <row r="17262" spans="3:3" x14ac:dyDescent="0.35">
      <c r="C17262" s="2"/>
    </row>
    <row r="17263" spans="3:3" x14ac:dyDescent="0.35">
      <c r="C17263" s="2"/>
    </row>
    <row r="17264" spans="3:3" x14ac:dyDescent="0.35">
      <c r="C17264" s="2"/>
    </row>
    <row r="17265" spans="3:3" x14ac:dyDescent="0.35">
      <c r="C17265" s="2"/>
    </row>
    <row r="17266" spans="3:3" x14ac:dyDescent="0.35">
      <c r="C17266" s="2"/>
    </row>
    <row r="17267" spans="3:3" x14ac:dyDescent="0.35">
      <c r="C17267" s="2"/>
    </row>
    <row r="17268" spans="3:3" x14ac:dyDescent="0.35">
      <c r="C17268" s="2"/>
    </row>
    <row r="17269" spans="3:3" x14ac:dyDescent="0.35">
      <c r="C17269" s="2"/>
    </row>
    <row r="17270" spans="3:3" x14ac:dyDescent="0.35">
      <c r="C17270" s="2"/>
    </row>
    <row r="17271" spans="3:3" x14ac:dyDescent="0.35">
      <c r="C17271" s="2"/>
    </row>
    <row r="17272" spans="3:3" x14ac:dyDescent="0.35">
      <c r="C17272" s="2"/>
    </row>
    <row r="17273" spans="3:3" x14ac:dyDescent="0.35">
      <c r="C17273" s="2"/>
    </row>
    <row r="17274" spans="3:3" x14ac:dyDescent="0.35">
      <c r="C17274" s="2"/>
    </row>
    <row r="17275" spans="3:3" x14ac:dyDescent="0.35">
      <c r="C17275" s="2"/>
    </row>
    <row r="17276" spans="3:3" x14ac:dyDescent="0.35">
      <c r="C17276" s="2"/>
    </row>
    <row r="17277" spans="3:3" x14ac:dyDescent="0.35">
      <c r="C17277" s="2"/>
    </row>
    <row r="17278" spans="3:3" x14ac:dyDescent="0.35">
      <c r="C17278" s="2"/>
    </row>
    <row r="17279" spans="3:3" x14ac:dyDescent="0.35">
      <c r="C17279" s="2"/>
    </row>
    <row r="17280" spans="3:3" x14ac:dyDescent="0.35">
      <c r="C17280" s="2"/>
    </row>
    <row r="17281" spans="3:3" x14ac:dyDescent="0.35">
      <c r="C17281" s="2"/>
    </row>
    <row r="17282" spans="3:3" x14ac:dyDescent="0.35">
      <c r="C17282" s="2"/>
    </row>
    <row r="17283" spans="3:3" x14ac:dyDescent="0.35">
      <c r="C17283" s="2"/>
    </row>
    <row r="17284" spans="3:3" x14ac:dyDescent="0.35">
      <c r="C17284" s="2"/>
    </row>
    <row r="17285" spans="3:3" x14ac:dyDescent="0.35">
      <c r="C17285" s="2"/>
    </row>
    <row r="17286" spans="3:3" x14ac:dyDescent="0.35">
      <c r="C17286" s="2"/>
    </row>
    <row r="17287" spans="3:3" x14ac:dyDescent="0.35">
      <c r="C17287" s="2"/>
    </row>
    <row r="17288" spans="3:3" x14ac:dyDescent="0.35">
      <c r="C17288" s="2"/>
    </row>
    <row r="17289" spans="3:3" x14ac:dyDescent="0.35">
      <c r="C17289" s="2"/>
    </row>
    <row r="17290" spans="3:3" x14ac:dyDescent="0.35">
      <c r="C17290" s="2"/>
    </row>
    <row r="17291" spans="3:3" x14ac:dyDescent="0.35">
      <c r="C17291" s="2"/>
    </row>
    <row r="17292" spans="3:3" x14ac:dyDescent="0.35">
      <c r="C17292" s="2"/>
    </row>
    <row r="17293" spans="3:3" x14ac:dyDescent="0.35">
      <c r="C17293" s="2"/>
    </row>
    <row r="17294" spans="3:3" x14ac:dyDescent="0.35">
      <c r="C17294" s="2"/>
    </row>
    <row r="17295" spans="3:3" x14ac:dyDescent="0.35">
      <c r="C17295" s="2"/>
    </row>
    <row r="17296" spans="3:3" x14ac:dyDescent="0.35">
      <c r="C17296" s="2"/>
    </row>
    <row r="17297" spans="3:3" x14ac:dyDescent="0.35">
      <c r="C17297" s="2"/>
    </row>
    <row r="17298" spans="3:3" x14ac:dyDescent="0.35">
      <c r="C17298" s="2"/>
    </row>
    <row r="17299" spans="3:3" x14ac:dyDescent="0.35">
      <c r="C17299" s="2"/>
    </row>
    <row r="17300" spans="3:3" x14ac:dyDescent="0.35">
      <c r="C17300" s="2"/>
    </row>
    <row r="17301" spans="3:3" x14ac:dyDescent="0.35">
      <c r="C17301" s="2"/>
    </row>
    <row r="17302" spans="3:3" x14ac:dyDescent="0.35">
      <c r="C17302" s="2"/>
    </row>
    <row r="17303" spans="3:3" x14ac:dyDescent="0.35">
      <c r="C17303" s="2"/>
    </row>
    <row r="17304" spans="3:3" x14ac:dyDescent="0.35">
      <c r="C17304" s="2"/>
    </row>
    <row r="17305" spans="3:3" x14ac:dyDescent="0.35">
      <c r="C17305" s="2"/>
    </row>
    <row r="17306" spans="3:3" x14ac:dyDescent="0.35">
      <c r="C17306" s="2"/>
    </row>
    <row r="17307" spans="3:3" x14ac:dyDescent="0.35">
      <c r="C17307" s="2"/>
    </row>
    <row r="17308" spans="3:3" x14ac:dyDescent="0.35">
      <c r="C17308" s="2"/>
    </row>
    <row r="17309" spans="3:3" x14ac:dyDescent="0.35">
      <c r="C17309" s="2"/>
    </row>
    <row r="17310" spans="3:3" x14ac:dyDescent="0.35">
      <c r="C17310" s="2"/>
    </row>
    <row r="17311" spans="3:3" x14ac:dyDescent="0.35">
      <c r="C17311" s="2"/>
    </row>
    <row r="17312" spans="3:3" x14ac:dyDescent="0.35">
      <c r="C17312" s="2"/>
    </row>
    <row r="17313" spans="3:3" x14ac:dyDescent="0.35">
      <c r="C17313" s="2"/>
    </row>
    <row r="17314" spans="3:3" x14ac:dyDescent="0.35">
      <c r="C17314" s="2"/>
    </row>
    <row r="17315" spans="3:3" x14ac:dyDescent="0.35">
      <c r="C17315" s="2"/>
    </row>
    <row r="17316" spans="3:3" x14ac:dyDescent="0.35">
      <c r="C17316" s="2"/>
    </row>
    <row r="17317" spans="3:3" x14ac:dyDescent="0.35">
      <c r="C17317" s="2"/>
    </row>
    <row r="17318" spans="3:3" x14ac:dyDescent="0.35">
      <c r="C17318" s="2"/>
    </row>
    <row r="17319" spans="3:3" x14ac:dyDescent="0.35">
      <c r="C17319" s="2"/>
    </row>
    <row r="17320" spans="3:3" x14ac:dyDescent="0.35">
      <c r="C17320" s="2"/>
    </row>
    <row r="17321" spans="3:3" x14ac:dyDescent="0.35">
      <c r="C17321" s="2"/>
    </row>
    <row r="17322" spans="3:3" x14ac:dyDescent="0.35">
      <c r="C17322" s="2"/>
    </row>
    <row r="17323" spans="3:3" x14ac:dyDescent="0.35">
      <c r="C17323" s="2"/>
    </row>
    <row r="17324" spans="3:3" x14ac:dyDescent="0.35">
      <c r="C17324" s="2"/>
    </row>
    <row r="17325" spans="3:3" x14ac:dyDescent="0.35">
      <c r="C17325" s="2"/>
    </row>
    <row r="17326" spans="3:3" x14ac:dyDescent="0.35">
      <c r="C17326" s="2"/>
    </row>
    <row r="17327" spans="3:3" x14ac:dyDescent="0.35">
      <c r="C17327" s="2"/>
    </row>
    <row r="17328" spans="3:3" x14ac:dyDescent="0.35">
      <c r="C17328" s="2"/>
    </row>
    <row r="17329" spans="3:3" x14ac:dyDescent="0.35">
      <c r="C17329" s="2"/>
    </row>
    <row r="17330" spans="3:3" x14ac:dyDescent="0.35">
      <c r="C17330" s="2"/>
    </row>
    <row r="17331" spans="3:3" x14ac:dyDescent="0.35">
      <c r="C17331" s="2"/>
    </row>
    <row r="17332" spans="3:3" x14ac:dyDescent="0.35">
      <c r="C17332" s="2"/>
    </row>
    <row r="17333" spans="3:3" x14ac:dyDescent="0.35">
      <c r="C17333" s="2"/>
    </row>
    <row r="17334" spans="3:3" x14ac:dyDescent="0.35">
      <c r="C17334" s="2"/>
    </row>
    <row r="17335" spans="3:3" x14ac:dyDescent="0.35">
      <c r="C17335" s="2"/>
    </row>
    <row r="17336" spans="3:3" x14ac:dyDescent="0.35">
      <c r="C17336" s="2"/>
    </row>
    <row r="17337" spans="3:3" x14ac:dyDescent="0.35">
      <c r="C17337" s="2"/>
    </row>
    <row r="17338" spans="3:3" x14ac:dyDescent="0.35">
      <c r="C17338" s="2"/>
    </row>
    <row r="17339" spans="3:3" x14ac:dyDescent="0.35">
      <c r="C17339" s="2"/>
    </row>
    <row r="17340" spans="3:3" x14ac:dyDescent="0.35">
      <c r="C17340" s="2"/>
    </row>
    <row r="17341" spans="3:3" x14ac:dyDescent="0.35">
      <c r="C17341" s="2"/>
    </row>
    <row r="17342" spans="3:3" x14ac:dyDescent="0.35">
      <c r="C17342" s="2"/>
    </row>
    <row r="17343" spans="3:3" x14ac:dyDescent="0.35">
      <c r="C17343" s="2"/>
    </row>
    <row r="17344" spans="3:3" x14ac:dyDescent="0.35">
      <c r="C17344" s="2"/>
    </row>
    <row r="17345" spans="3:3" x14ac:dyDescent="0.35">
      <c r="C17345" s="2"/>
    </row>
    <row r="17346" spans="3:3" x14ac:dyDescent="0.35">
      <c r="C17346" s="2"/>
    </row>
    <row r="17347" spans="3:3" x14ac:dyDescent="0.35">
      <c r="C17347" s="2"/>
    </row>
    <row r="17348" spans="3:3" x14ac:dyDescent="0.35">
      <c r="C17348" s="2"/>
    </row>
    <row r="17349" spans="3:3" x14ac:dyDescent="0.35">
      <c r="C17349" s="2"/>
    </row>
    <row r="17350" spans="3:3" x14ac:dyDescent="0.35">
      <c r="C17350" s="2"/>
    </row>
    <row r="17351" spans="3:3" x14ac:dyDescent="0.35">
      <c r="C17351" s="2"/>
    </row>
    <row r="17352" spans="3:3" x14ac:dyDescent="0.35">
      <c r="C17352" s="2"/>
    </row>
    <row r="17353" spans="3:3" x14ac:dyDescent="0.35">
      <c r="C17353" s="2"/>
    </row>
    <row r="17354" spans="3:3" x14ac:dyDescent="0.35">
      <c r="C17354" s="2"/>
    </row>
    <row r="17355" spans="3:3" x14ac:dyDescent="0.35">
      <c r="C17355" s="2"/>
    </row>
    <row r="17356" spans="3:3" x14ac:dyDescent="0.35">
      <c r="C17356" s="2"/>
    </row>
    <row r="17357" spans="3:3" x14ac:dyDescent="0.35">
      <c r="C17357" s="2"/>
    </row>
    <row r="17358" spans="3:3" x14ac:dyDescent="0.35">
      <c r="C17358" s="2"/>
    </row>
    <row r="17359" spans="3:3" x14ac:dyDescent="0.35">
      <c r="C17359" s="2"/>
    </row>
    <row r="17360" spans="3:3" x14ac:dyDescent="0.35">
      <c r="C17360" s="2"/>
    </row>
    <row r="17361" spans="3:3" x14ac:dyDescent="0.35">
      <c r="C17361" s="2"/>
    </row>
    <row r="17362" spans="3:3" x14ac:dyDescent="0.35">
      <c r="C17362" s="2"/>
    </row>
    <row r="17363" spans="3:3" x14ac:dyDescent="0.35">
      <c r="C17363" s="2"/>
    </row>
    <row r="17364" spans="3:3" x14ac:dyDescent="0.35">
      <c r="C17364" s="2"/>
    </row>
    <row r="17365" spans="3:3" x14ac:dyDescent="0.35">
      <c r="C17365" s="2"/>
    </row>
    <row r="17366" spans="3:3" x14ac:dyDescent="0.35">
      <c r="C17366" s="2"/>
    </row>
    <row r="17367" spans="3:3" x14ac:dyDescent="0.35">
      <c r="C17367" s="2"/>
    </row>
    <row r="17368" spans="3:3" x14ac:dyDescent="0.35">
      <c r="C17368" s="2"/>
    </row>
    <row r="17369" spans="3:3" x14ac:dyDescent="0.35">
      <c r="C17369" s="2"/>
    </row>
    <row r="17370" spans="3:3" x14ac:dyDescent="0.35">
      <c r="C17370" s="2"/>
    </row>
    <row r="17371" spans="3:3" x14ac:dyDescent="0.35">
      <c r="C17371" s="2"/>
    </row>
    <row r="17372" spans="3:3" x14ac:dyDescent="0.35">
      <c r="C17372" s="2"/>
    </row>
    <row r="17373" spans="3:3" x14ac:dyDescent="0.35">
      <c r="C17373" s="2"/>
    </row>
    <row r="17374" spans="3:3" x14ac:dyDescent="0.35">
      <c r="C17374" s="2"/>
    </row>
    <row r="17375" spans="3:3" x14ac:dyDescent="0.35">
      <c r="C17375" s="2"/>
    </row>
    <row r="17376" spans="3:3" x14ac:dyDescent="0.35">
      <c r="C17376" s="2"/>
    </row>
    <row r="17377" spans="3:3" x14ac:dyDescent="0.35">
      <c r="C17377" s="2"/>
    </row>
    <row r="17378" spans="3:3" x14ac:dyDescent="0.35">
      <c r="C17378" s="2"/>
    </row>
    <row r="17379" spans="3:3" x14ac:dyDescent="0.35">
      <c r="C17379" s="2"/>
    </row>
    <row r="17380" spans="3:3" x14ac:dyDescent="0.35">
      <c r="C17380" s="2"/>
    </row>
    <row r="17381" spans="3:3" x14ac:dyDescent="0.35">
      <c r="C17381" s="2"/>
    </row>
    <row r="17382" spans="3:3" x14ac:dyDescent="0.35">
      <c r="C17382" s="2"/>
    </row>
    <row r="17383" spans="3:3" x14ac:dyDescent="0.35">
      <c r="C17383" s="2"/>
    </row>
    <row r="17384" spans="3:3" x14ac:dyDescent="0.35">
      <c r="C17384" s="2"/>
    </row>
    <row r="17385" spans="3:3" x14ac:dyDescent="0.35">
      <c r="C17385" s="2"/>
    </row>
    <row r="17386" spans="3:3" x14ac:dyDescent="0.35">
      <c r="C17386" s="2"/>
    </row>
    <row r="17387" spans="3:3" x14ac:dyDescent="0.35">
      <c r="C17387" s="2"/>
    </row>
    <row r="17388" spans="3:3" x14ac:dyDescent="0.35">
      <c r="C17388" s="2"/>
    </row>
    <row r="17389" spans="3:3" x14ac:dyDescent="0.35">
      <c r="C17389" s="2"/>
    </row>
    <row r="17390" spans="3:3" x14ac:dyDescent="0.35">
      <c r="C17390" s="2"/>
    </row>
    <row r="17391" spans="3:3" x14ac:dyDescent="0.35">
      <c r="C17391" s="2"/>
    </row>
    <row r="17392" spans="3:3" x14ac:dyDescent="0.35">
      <c r="C17392" s="2"/>
    </row>
    <row r="17393" spans="3:3" x14ac:dyDescent="0.35">
      <c r="C17393" s="2"/>
    </row>
    <row r="17394" spans="3:3" x14ac:dyDescent="0.35">
      <c r="C17394" s="2"/>
    </row>
    <row r="17395" spans="3:3" x14ac:dyDescent="0.35">
      <c r="C17395" s="2"/>
    </row>
    <row r="17396" spans="3:3" x14ac:dyDescent="0.35">
      <c r="C17396" s="2"/>
    </row>
    <row r="17397" spans="3:3" x14ac:dyDescent="0.35">
      <c r="C17397" s="2"/>
    </row>
    <row r="17398" spans="3:3" x14ac:dyDescent="0.35">
      <c r="C17398" s="2"/>
    </row>
    <row r="17399" spans="3:3" x14ac:dyDescent="0.35">
      <c r="C17399" s="2"/>
    </row>
    <row r="17400" spans="3:3" x14ac:dyDescent="0.35">
      <c r="C17400" s="2"/>
    </row>
    <row r="17401" spans="3:3" x14ac:dyDescent="0.35">
      <c r="C17401" s="2"/>
    </row>
    <row r="17402" spans="3:3" x14ac:dyDescent="0.35">
      <c r="C17402" s="2"/>
    </row>
    <row r="17403" spans="3:3" x14ac:dyDescent="0.35">
      <c r="C17403" s="2"/>
    </row>
    <row r="17404" spans="3:3" x14ac:dyDescent="0.35">
      <c r="C17404" s="2"/>
    </row>
    <row r="17405" spans="3:3" x14ac:dyDescent="0.35">
      <c r="C17405" s="2"/>
    </row>
    <row r="17406" spans="3:3" x14ac:dyDescent="0.35">
      <c r="C17406" s="2"/>
    </row>
    <row r="17407" spans="3:3" x14ac:dyDescent="0.35">
      <c r="C17407" s="2"/>
    </row>
    <row r="17408" spans="3:3" x14ac:dyDescent="0.35">
      <c r="C17408" s="2"/>
    </row>
    <row r="17409" spans="3:3" x14ac:dyDescent="0.35">
      <c r="C17409" s="2"/>
    </row>
    <row r="17410" spans="3:3" x14ac:dyDescent="0.35">
      <c r="C17410" s="2"/>
    </row>
    <row r="17411" spans="3:3" x14ac:dyDescent="0.35">
      <c r="C17411" s="2"/>
    </row>
    <row r="17412" spans="3:3" x14ac:dyDescent="0.35">
      <c r="C17412" s="2"/>
    </row>
    <row r="17413" spans="3:3" x14ac:dyDescent="0.35">
      <c r="C17413" s="2"/>
    </row>
    <row r="17414" spans="3:3" x14ac:dyDescent="0.35">
      <c r="C17414" s="2"/>
    </row>
    <row r="17415" spans="3:3" x14ac:dyDescent="0.35">
      <c r="C17415" s="2"/>
    </row>
    <row r="17416" spans="3:3" x14ac:dyDescent="0.35">
      <c r="C17416" s="2"/>
    </row>
    <row r="17417" spans="3:3" x14ac:dyDescent="0.35">
      <c r="C17417" s="2"/>
    </row>
    <row r="17418" spans="3:3" x14ac:dyDescent="0.35">
      <c r="C17418" s="2"/>
    </row>
    <row r="17419" spans="3:3" x14ac:dyDescent="0.35">
      <c r="C17419" s="2"/>
    </row>
    <row r="17420" spans="3:3" x14ac:dyDescent="0.35">
      <c r="C17420" s="2"/>
    </row>
    <row r="17421" spans="3:3" x14ac:dyDescent="0.35">
      <c r="C17421" s="2"/>
    </row>
    <row r="17422" spans="3:3" x14ac:dyDescent="0.35">
      <c r="C17422" s="2"/>
    </row>
    <row r="17423" spans="3:3" x14ac:dyDescent="0.35">
      <c r="C17423" s="2"/>
    </row>
    <row r="17424" spans="3:3" x14ac:dyDescent="0.35">
      <c r="C17424" s="2"/>
    </row>
    <row r="17425" spans="3:3" x14ac:dyDescent="0.35">
      <c r="C17425" s="2"/>
    </row>
    <row r="17426" spans="3:3" x14ac:dyDescent="0.35">
      <c r="C17426" s="2"/>
    </row>
    <row r="17427" spans="3:3" x14ac:dyDescent="0.35">
      <c r="C17427" s="2"/>
    </row>
    <row r="17428" spans="3:3" x14ac:dyDescent="0.35">
      <c r="C17428" s="2"/>
    </row>
    <row r="17429" spans="3:3" x14ac:dyDescent="0.35">
      <c r="C17429" s="2"/>
    </row>
    <row r="17430" spans="3:3" x14ac:dyDescent="0.35">
      <c r="C17430" s="2"/>
    </row>
    <row r="17431" spans="3:3" x14ac:dyDescent="0.35">
      <c r="C17431" s="2"/>
    </row>
    <row r="17432" spans="3:3" x14ac:dyDescent="0.35">
      <c r="C17432" s="2"/>
    </row>
    <row r="17433" spans="3:3" x14ac:dyDescent="0.35">
      <c r="C17433" s="2"/>
    </row>
    <row r="17434" spans="3:3" x14ac:dyDescent="0.35">
      <c r="C17434" s="2"/>
    </row>
    <row r="17435" spans="3:3" x14ac:dyDescent="0.35">
      <c r="C17435" s="2"/>
    </row>
    <row r="17436" spans="3:3" x14ac:dyDescent="0.35">
      <c r="C17436" s="2"/>
    </row>
    <row r="17437" spans="3:3" x14ac:dyDescent="0.35">
      <c r="C17437" s="2"/>
    </row>
    <row r="17438" spans="3:3" x14ac:dyDescent="0.35">
      <c r="C17438" s="2"/>
    </row>
    <row r="17439" spans="3:3" x14ac:dyDescent="0.35">
      <c r="C17439" s="2"/>
    </row>
    <row r="17440" spans="3:3" x14ac:dyDescent="0.35">
      <c r="C17440" s="2"/>
    </row>
    <row r="17441" spans="3:3" x14ac:dyDescent="0.35">
      <c r="C17441" s="2"/>
    </row>
    <row r="17442" spans="3:3" x14ac:dyDescent="0.35">
      <c r="C17442" s="2"/>
    </row>
    <row r="17443" spans="3:3" x14ac:dyDescent="0.35">
      <c r="C17443" s="2"/>
    </row>
    <row r="17444" spans="3:3" x14ac:dyDescent="0.35">
      <c r="C17444" s="2"/>
    </row>
    <row r="17445" spans="3:3" x14ac:dyDescent="0.35">
      <c r="C17445" s="2"/>
    </row>
    <row r="17446" spans="3:3" x14ac:dyDescent="0.35">
      <c r="C17446" s="2"/>
    </row>
    <row r="17447" spans="3:3" x14ac:dyDescent="0.35">
      <c r="C17447" s="2"/>
    </row>
    <row r="17448" spans="3:3" x14ac:dyDescent="0.35">
      <c r="C17448" s="2"/>
    </row>
    <row r="17449" spans="3:3" x14ac:dyDescent="0.35">
      <c r="C17449" s="2"/>
    </row>
    <row r="17450" spans="3:3" x14ac:dyDescent="0.35">
      <c r="C17450" s="2"/>
    </row>
    <row r="17451" spans="3:3" x14ac:dyDescent="0.35">
      <c r="C17451" s="2"/>
    </row>
    <row r="17452" spans="3:3" x14ac:dyDescent="0.35">
      <c r="C17452" s="2"/>
    </row>
    <row r="17453" spans="3:3" x14ac:dyDescent="0.35">
      <c r="C17453" s="2"/>
    </row>
    <row r="17454" spans="3:3" x14ac:dyDescent="0.35">
      <c r="C17454" s="2"/>
    </row>
    <row r="17455" spans="3:3" x14ac:dyDescent="0.35">
      <c r="C17455" s="2"/>
    </row>
    <row r="17456" spans="3:3" x14ac:dyDescent="0.35">
      <c r="C17456" s="2"/>
    </row>
    <row r="17457" spans="3:3" x14ac:dyDescent="0.35">
      <c r="C17457" s="2"/>
    </row>
    <row r="17458" spans="3:3" x14ac:dyDescent="0.35">
      <c r="C17458" s="2"/>
    </row>
    <row r="17459" spans="3:3" x14ac:dyDescent="0.35">
      <c r="C17459" s="2"/>
    </row>
    <row r="17460" spans="3:3" x14ac:dyDescent="0.35">
      <c r="C17460" s="2"/>
    </row>
    <row r="17461" spans="3:3" x14ac:dyDescent="0.35">
      <c r="C17461" s="2"/>
    </row>
    <row r="17462" spans="3:3" x14ac:dyDescent="0.35">
      <c r="C17462" s="2"/>
    </row>
    <row r="17463" spans="3:3" x14ac:dyDescent="0.35">
      <c r="C17463" s="2"/>
    </row>
    <row r="17464" spans="3:3" x14ac:dyDescent="0.35">
      <c r="C17464" s="2"/>
    </row>
    <row r="17465" spans="3:3" x14ac:dyDescent="0.35">
      <c r="C17465" s="2"/>
    </row>
    <row r="17466" spans="3:3" x14ac:dyDescent="0.35">
      <c r="C17466" s="2"/>
    </row>
    <row r="17467" spans="3:3" x14ac:dyDescent="0.35">
      <c r="C17467" s="2"/>
    </row>
    <row r="17468" spans="3:3" x14ac:dyDescent="0.35">
      <c r="C17468" s="2"/>
    </row>
    <row r="17469" spans="3:3" x14ac:dyDescent="0.35">
      <c r="C17469" s="2"/>
    </row>
    <row r="17470" spans="3:3" x14ac:dyDescent="0.35">
      <c r="C17470" s="2"/>
    </row>
    <row r="17471" spans="3:3" x14ac:dyDescent="0.35">
      <c r="C17471" s="2"/>
    </row>
    <row r="17472" spans="3:3" x14ac:dyDescent="0.35">
      <c r="C17472" s="2"/>
    </row>
    <row r="17473" spans="3:3" x14ac:dyDescent="0.35">
      <c r="C17473" s="2"/>
    </row>
    <row r="17474" spans="3:3" x14ac:dyDescent="0.35">
      <c r="C17474" s="2"/>
    </row>
    <row r="17475" spans="3:3" x14ac:dyDescent="0.35">
      <c r="C17475" s="2"/>
    </row>
    <row r="17476" spans="3:3" x14ac:dyDescent="0.35">
      <c r="C17476" s="2"/>
    </row>
    <row r="17477" spans="3:3" x14ac:dyDescent="0.35">
      <c r="C17477" s="2"/>
    </row>
    <row r="17478" spans="3:3" x14ac:dyDescent="0.35">
      <c r="C17478" s="2"/>
    </row>
    <row r="17479" spans="3:3" x14ac:dyDescent="0.35">
      <c r="C17479" s="2"/>
    </row>
    <row r="17480" spans="3:3" x14ac:dyDescent="0.35">
      <c r="C17480" s="2"/>
    </row>
    <row r="17481" spans="3:3" x14ac:dyDescent="0.35">
      <c r="C17481" s="2"/>
    </row>
    <row r="17482" spans="3:3" x14ac:dyDescent="0.35">
      <c r="C17482" s="2"/>
    </row>
    <row r="17483" spans="3:3" x14ac:dyDescent="0.35">
      <c r="C17483" s="2"/>
    </row>
    <row r="17484" spans="3:3" x14ac:dyDescent="0.35">
      <c r="C17484" s="2"/>
    </row>
    <row r="17485" spans="3:3" x14ac:dyDescent="0.35">
      <c r="C17485" s="2"/>
    </row>
    <row r="17486" spans="3:3" x14ac:dyDescent="0.35">
      <c r="C17486" s="2"/>
    </row>
    <row r="17487" spans="3:3" x14ac:dyDescent="0.35">
      <c r="C17487" s="2"/>
    </row>
    <row r="17488" spans="3:3" x14ac:dyDescent="0.35">
      <c r="C17488" s="2"/>
    </row>
    <row r="17489" spans="3:3" x14ac:dyDescent="0.35">
      <c r="C17489" s="2"/>
    </row>
    <row r="17490" spans="3:3" x14ac:dyDescent="0.35">
      <c r="C17490" s="2"/>
    </row>
    <row r="17491" spans="3:3" x14ac:dyDescent="0.35">
      <c r="C17491" s="2"/>
    </row>
    <row r="17492" spans="3:3" x14ac:dyDescent="0.35">
      <c r="C17492" s="2"/>
    </row>
    <row r="17493" spans="3:3" x14ac:dyDescent="0.35">
      <c r="C17493" s="2"/>
    </row>
    <row r="17494" spans="3:3" x14ac:dyDescent="0.35">
      <c r="C17494" s="2"/>
    </row>
    <row r="17495" spans="3:3" x14ac:dyDescent="0.35">
      <c r="C17495" s="2"/>
    </row>
    <row r="17496" spans="3:3" x14ac:dyDescent="0.35">
      <c r="C17496" s="2"/>
    </row>
    <row r="17497" spans="3:3" x14ac:dyDescent="0.35">
      <c r="C17497" s="2"/>
    </row>
    <row r="17498" spans="3:3" x14ac:dyDescent="0.35">
      <c r="C17498" s="2"/>
    </row>
    <row r="17499" spans="3:3" x14ac:dyDescent="0.35">
      <c r="C17499" s="2"/>
    </row>
    <row r="17500" spans="3:3" x14ac:dyDescent="0.35">
      <c r="C17500" s="2"/>
    </row>
    <row r="17501" spans="3:3" x14ac:dyDescent="0.35">
      <c r="C17501" s="2"/>
    </row>
    <row r="17502" spans="3:3" x14ac:dyDescent="0.35">
      <c r="C17502" s="2"/>
    </row>
    <row r="17503" spans="3:3" x14ac:dyDescent="0.35">
      <c r="C17503" s="2"/>
    </row>
    <row r="17504" spans="3:3" x14ac:dyDescent="0.35">
      <c r="C17504" s="2"/>
    </row>
    <row r="17505" spans="3:3" x14ac:dyDescent="0.35">
      <c r="C17505" s="2"/>
    </row>
    <row r="17506" spans="3:3" x14ac:dyDescent="0.35">
      <c r="C17506" s="2"/>
    </row>
    <row r="17507" spans="3:3" x14ac:dyDescent="0.35">
      <c r="C17507" s="2"/>
    </row>
    <row r="17508" spans="3:3" x14ac:dyDescent="0.35">
      <c r="C17508" s="2"/>
    </row>
    <row r="17509" spans="3:3" x14ac:dyDescent="0.35">
      <c r="C17509" s="2"/>
    </row>
    <row r="17510" spans="3:3" x14ac:dyDescent="0.35">
      <c r="C17510" s="2"/>
    </row>
    <row r="17511" spans="3:3" x14ac:dyDescent="0.35">
      <c r="C17511" s="2"/>
    </row>
    <row r="17512" spans="3:3" x14ac:dyDescent="0.35">
      <c r="C17512" s="2"/>
    </row>
    <row r="17513" spans="3:3" x14ac:dyDescent="0.35">
      <c r="C17513" s="2"/>
    </row>
    <row r="17514" spans="3:3" x14ac:dyDescent="0.35">
      <c r="C17514" s="2"/>
    </row>
    <row r="17515" spans="3:3" x14ac:dyDescent="0.35">
      <c r="C17515" s="2"/>
    </row>
    <row r="17516" spans="3:3" x14ac:dyDescent="0.35">
      <c r="C17516" s="2"/>
    </row>
    <row r="17517" spans="3:3" x14ac:dyDescent="0.35">
      <c r="C17517" s="2"/>
    </row>
    <row r="17518" spans="3:3" x14ac:dyDescent="0.35">
      <c r="C17518" s="2"/>
    </row>
    <row r="17519" spans="3:3" x14ac:dyDescent="0.35">
      <c r="C17519" s="2"/>
    </row>
    <row r="17520" spans="3:3" x14ac:dyDescent="0.35">
      <c r="C17520" s="2"/>
    </row>
    <row r="17521" spans="3:3" x14ac:dyDescent="0.35">
      <c r="C17521" s="2"/>
    </row>
    <row r="17522" spans="3:3" x14ac:dyDescent="0.35">
      <c r="C17522" s="2"/>
    </row>
    <row r="17523" spans="3:3" x14ac:dyDescent="0.35">
      <c r="C17523" s="2"/>
    </row>
    <row r="17524" spans="3:3" x14ac:dyDescent="0.35">
      <c r="C17524" s="2"/>
    </row>
    <row r="17525" spans="3:3" x14ac:dyDescent="0.35">
      <c r="C17525" s="2"/>
    </row>
    <row r="17526" spans="3:3" x14ac:dyDescent="0.35">
      <c r="C17526" s="2"/>
    </row>
    <row r="17527" spans="3:3" x14ac:dyDescent="0.35">
      <c r="C17527" s="2"/>
    </row>
    <row r="17528" spans="3:3" x14ac:dyDescent="0.35">
      <c r="C17528" s="2"/>
    </row>
    <row r="17529" spans="3:3" x14ac:dyDescent="0.35">
      <c r="C17529" s="2"/>
    </row>
    <row r="17530" spans="3:3" x14ac:dyDescent="0.35">
      <c r="C17530" s="2"/>
    </row>
    <row r="17531" spans="3:3" x14ac:dyDescent="0.35">
      <c r="C17531" s="2"/>
    </row>
    <row r="17532" spans="3:3" x14ac:dyDescent="0.35">
      <c r="C17532" s="2"/>
    </row>
    <row r="17533" spans="3:3" x14ac:dyDescent="0.35">
      <c r="C17533" s="2"/>
    </row>
    <row r="17534" spans="3:3" x14ac:dyDescent="0.35">
      <c r="C17534" s="2"/>
    </row>
    <row r="17535" spans="3:3" x14ac:dyDescent="0.35">
      <c r="C17535" s="2"/>
    </row>
    <row r="17536" spans="3:3" x14ac:dyDescent="0.35">
      <c r="C17536" s="2"/>
    </row>
    <row r="17537" spans="3:3" x14ac:dyDescent="0.35">
      <c r="C17537" s="2"/>
    </row>
    <row r="17538" spans="3:3" x14ac:dyDescent="0.35">
      <c r="C17538" s="2"/>
    </row>
    <row r="17539" spans="3:3" x14ac:dyDescent="0.35">
      <c r="C17539" s="2"/>
    </row>
    <row r="17540" spans="3:3" x14ac:dyDescent="0.35">
      <c r="C17540" s="2"/>
    </row>
    <row r="17541" spans="3:3" x14ac:dyDescent="0.35">
      <c r="C17541" s="2"/>
    </row>
    <row r="17542" spans="3:3" x14ac:dyDescent="0.35">
      <c r="C17542" s="2"/>
    </row>
    <row r="17543" spans="3:3" x14ac:dyDescent="0.35">
      <c r="C17543" s="2"/>
    </row>
    <row r="17544" spans="3:3" x14ac:dyDescent="0.35">
      <c r="C17544" s="2"/>
    </row>
    <row r="17545" spans="3:3" x14ac:dyDescent="0.35">
      <c r="C17545" s="2"/>
    </row>
    <row r="17546" spans="3:3" x14ac:dyDescent="0.35">
      <c r="C17546" s="2"/>
    </row>
    <row r="17547" spans="3:3" x14ac:dyDescent="0.35">
      <c r="C17547" s="2"/>
    </row>
    <row r="17548" spans="3:3" x14ac:dyDescent="0.35">
      <c r="C17548" s="2"/>
    </row>
    <row r="17549" spans="3:3" x14ac:dyDescent="0.35">
      <c r="C17549" s="2"/>
    </row>
    <row r="17550" spans="3:3" x14ac:dyDescent="0.35">
      <c r="C17550" s="2"/>
    </row>
    <row r="17551" spans="3:3" x14ac:dyDescent="0.35">
      <c r="C17551" s="2"/>
    </row>
    <row r="17552" spans="3:3" x14ac:dyDescent="0.35">
      <c r="C17552" s="2"/>
    </row>
    <row r="17553" spans="3:3" x14ac:dyDescent="0.35">
      <c r="C17553" s="2"/>
    </row>
    <row r="17554" spans="3:3" x14ac:dyDescent="0.35">
      <c r="C17554" s="2"/>
    </row>
    <row r="17555" spans="3:3" x14ac:dyDescent="0.35">
      <c r="C17555" s="2"/>
    </row>
    <row r="17556" spans="3:3" x14ac:dyDescent="0.35">
      <c r="C17556" s="2"/>
    </row>
    <row r="17557" spans="3:3" x14ac:dyDescent="0.35">
      <c r="C17557" s="2"/>
    </row>
    <row r="17558" spans="3:3" x14ac:dyDescent="0.35">
      <c r="C17558" s="2"/>
    </row>
    <row r="17559" spans="3:3" x14ac:dyDescent="0.35">
      <c r="C17559" s="2"/>
    </row>
    <row r="17560" spans="3:3" x14ac:dyDescent="0.35">
      <c r="C17560" s="2"/>
    </row>
    <row r="17561" spans="3:3" x14ac:dyDescent="0.35">
      <c r="C17561" s="2"/>
    </row>
    <row r="17562" spans="3:3" x14ac:dyDescent="0.35">
      <c r="C17562" s="2"/>
    </row>
    <row r="17563" spans="3:3" x14ac:dyDescent="0.35">
      <c r="C17563" s="2"/>
    </row>
    <row r="17564" spans="3:3" x14ac:dyDescent="0.35">
      <c r="C17564" s="2"/>
    </row>
    <row r="17565" spans="3:3" x14ac:dyDescent="0.35">
      <c r="C17565" s="2"/>
    </row>
    <row r="17566" spans="3:3" x14ac:dyDescent="0.35">
      <c r="C17566" s="2"/>
    </row>
    <row r="17567" spans="3:3" x14ac:dyDescent="0.35">
      <c r="C17567" s="2"/>
    </row>
    <row r="17568" spans="3:3" x14ac:dyDescent="0.35">
      <c r="C17568" s="2"/>
    </row>
    <row r="17569" spans="3:3" x14ac:dyDescent="0.35">
      <c r="C17569" s="2"/>
    </row>
    <row r="17570" spans="3:3" x14ac:dyDescent="0.35">
      <c r="C17570" s="2"/>
    </row>
    <row r="17571" spans="3:3" x14ac:dyDescent="0.35">
      <c r="C17571" s="2"/>
    </row>
    <row r="17572" spans="3:3" x14ac:dyDescent="0.35">
      <c r="C17572" s="2"/>
    </row>
    <row r="17573" spans="3:3" x14ac:dyDescent="0.35">
      <c r="C17573" s="2"/>
    </row>
    <row r="17574" spans="3:3" x14ac:dyDescent="0.35">
      <c r="C17574" s="2"/>
    </row>
    <row r="17575" spans="3:3" x14ac:dyDescent="0.35">
      <c r="C17575" s="2"/>
    </row>
    <row r="17576" spans="3:3" x14ac:dyDescent="0.35">
      <c r="C17576" s="2"/>
    </row>
    <row r="17577" spans="3:3" x14ac:dyDescent="0.35">
      <c r="C17577" s="2"/>
    </row>
    <row r="17578" spans="3:3" x14ac:dyDescent="0.35">
      <c r="C17578" s="2"/>
    </row>
    <row r="17579" spans="3:3" x14ac:dyDescent="0.35">
      <c r="C17579" s="2"/>
    </row>
    <row r="17580" spans="3:3" x14ac:dyDescent="0.35">
      <c r="C17580" s="2"/>
    </row>
    <row r="17581" spans="3:3" x14ac:dyDescent="0.35">
      <c r="C17581" s="2"/>
    </row>
    <row r="17582" spans="3:3" x14ac:dyDescent="0.35">
      <c r="C17582" s="2"/>
    </row>
    <row r="17583" spans="3:3" x14ac:dyDescent="0.35">
      <c r="C17583" s="2"/>
    </row>
    <row r="17584" spans="3:3" x14ac:dyDescent="0.35">
      <c r="C17584" s="2"/>
    </row>
    <row r="17585" spans="3:3" x14ac:dyDescent="0.35">
      <c r="C17585" s="2"/>
    </row>
    <row r="17586" spans="3:3" x14ac:dyDescent="0.35">
      <c r="C17586" s="2"/>
    </row>
    <row r="17587" spans="3:3" x14ac:dyDescent="0.35">
      <c r="C17587" s="2"/>
    </row>
    <row r="17588" spans="3:3" x14ac:dyDescent="0.35">
      <c r="C17588" s="2"/>
    </row>
    <row r="17589" spans="3:3" x14ac:dyDescent="0.35">
      <c r="C17589" s="2"/>
    </row>
    <row r="17590" spans="3:3" x14ac:dyDescent="0.35">
      <c r="C17590" s="2"/>
    </row>
    <row r="17591" spans="3:3" x14ac:dyDescent="0.35">
      <c r="C17591" s="2"/>
    </row>
    <row r="17592" spans="3:3" x14ac:dyDescent="0.35">
      <c r="C17592" s="2"/>
    </row>
    <row r="17593" spans="3:3" x14ac:dyDescent="0.35">
      <c r="C17593" s="2"/>
    </row>
    <row r="17594" spans="3:3" x14ac:dyDescent="0.35">
      <c r="C17594" s="2"/>
    </row>
    <row r="17595" spans="3:3" x14ac:dyDescent="0.35">
      <c r="C17595" s="2"/>
    </row>
    <row r="17596" spans="3:3" x14ac:dyDescent="0.35">
      <c r="C17596" s="2"/>
    </row>
    <row r="17597" spans="3:3" x14ac:dyDescent="0.35">
      <c r="C17597" s="2"/>
    </row>
    <row r="17598" spans="3:3" x14ac:dyDescent="0.35">
      <c r="C17598" s="2"/>
    </row>
    <row r="17599" spans="3:3" x14ac:dyDescent="0.35">
      <c r="C17599" s="2"/>
    </row>
    <row r="17600" spans="3:3" x14ac:dyDescent="0.35">
      <c r="C17600" s="2"/>
    </row>
    <row r="17601" spans="3:3" x14ac:dyDescent="0.35">
      <c r="C17601" s="2"/>
    </row>
    <row r="17602" spans="3:3" x14ac:dyDescent="0.35">
      <c r="C17602" s="2"/>
    </row>
    <row r="17603" spans="3:3" x14ac:dyDescent="0.35">
      <c r="C17603" s="2"/>
    </row>
    <row r="17604" spans="3:3" x14ac:dyDescent="0.35">
      <c r="C17604" s="2"/>
    </row>
    <row r="17605" spans="3:3" x14ac:dyDescent="0.35">
      <c r="C17605" s="2"/>
    </row>
    <row r="17606" spans="3:3" x14ac:dyDescent="0.35">
      <c r="C17606" s="2"/>
    </row>
    <row r="17607" spans="3:3" x14ac:dyDescent="0.35">
      <c r="C17607" s="2"/>
    </row>
    <row r="17608" spans="3:3" x14ac:dyDescent="0.35">
      <c r="C17608" s="2"/>
    </row>
    <row r="17609" spans="3:3" x14ac:dyDescent="0.35">
      <c r="C17609" s="2"/>
    </row>
    <row r="17610" spans="3:3" x14ac:dyDescent="0.35">
      <c r="C17610" s="2"/>
    </row>
    <row r="17611" spans="3:3" x14ac:dyDescent="0.35">
      <c r="C17611" s="2"/>
    </row>
    <row r="17612" spans="3:3" x14ac:dyDescent="0.35">
      <c r="C17612" s="2"/>
    </row>
    <row r="17613" spans="3:3" x14ac:dyDescent="0.35">
      <c r="C17613" s="2"/>
    </row>
    <row r="17614" spans="3:3" x14ac:dyDescent="0.35">
      <c r="C17614" s="2"/>
    </row>
    <row r="17615" spans="3:3" x14ac:dyDescent="0.35">
      <c r="C17615" s="2"/>
    </row>
    <row r="17616" spans="3:3" x14ac:dyDescent="0.35">
      <c r="C17616" s="2"/>
    </row>
    <row r="17617" spans="3:3" x14ac:dyDescent="0.35">
      <c r="C17617" s="2"/>
    </row>
    <row r="17618" spans="3:3" x14ac:dyDescent="0.35">
      <c r="C17618" s="2"/>
    </row>
    <row r="17619" spans="3:3" x14ac:dyDescent="0.35">
      <c r="C17619" s="2"/>
    </row>
    <row r="17620" spans="3:3" x14ac:dyDescent="0.35">
      <c r="C17620" s="2"/>
    </row>
    <row r="17621" spans="3:3" x14ac:dyDescent="0.35">
      <c r="C17621" s="2"/>
    </row>
    <row r="17622" spans="3:3" x14ac:dyDescent="0.35">
      <c r="C17622" s="2"/>
    </row>
    <row r="17623" spans="3:3" x14ac:dyDescent="0.35">
      <c r="C17623" s="2"/>
    </row>
    <row r="17624" spans="3:3" x14ac:dyDescent="0.35">
      <c r="C17624" s="2"/>
    </row>
    <row r="17625" spans="3:3" x14ac:dyDescent="0.35">
      <c r="C17625" s="2"/>
    </row>
    <row r="17626" spans="3:3" x14ac:dyDescent="0.35">
      <c r="C17626" s="2"/>
    </row>
    <row r="17627" spans="3:3" x14ac:dyDescent="0.35">
      <c r="C17627" s="2"/>
    </row>
    <row r="17628" spans="3:3" x14ac:dyDescent="0.35">
      <c r="C17628" s="2"/>
    </row>
    <row r="17629" spans="3:3" x14ac:dyDescent="0.35">
      <c r="C17629" s="2"/>
    </row>
    <row r="17630" spans="3:3" x14ac:dyDescent="0.35">
      <c r="C17630" s="2"/>
    </row>
    <row r="17631" spans="3:3" x14ac:dyDescent="0.35">
      <c r="C17631" s="2"/>
    </row>
    <row r="17632" spans="3:3" x14ac:dyDescent="0.35">
      <c r="C17632" s="2"/>
    </row>
    <row r="17633" spans="3:3" x14ac:dyDescent="0.35">
      <c r="C17633" s="2"/>
    </row>
    <row r="17634" spans="3:3" x14ac:dyDescent="0.35">
      <c r="C17634" s="2"/>
    </row>
    <row r="17635" spans="3:3" x14ac:dyDescent="0.35">
      <c r="C17635" s="2"/>
    </row>
    <row r="17636" spans="3:3" x14ac:dyDescent="0.35">
      <c r="C17636" s="2"/>
    </row>
    <row r="17637" spans="3:3" x14ac:dyDescent="0.35">
      <c r="C17637" s="2"/>
    </row>
    <row r="17638" spans="3:3" x14ac:dyDescent="0.35">
      <c r="C17638" s="2"/>
    </row>
    <row r="17639" spans="3:3" x14ac:dyDescent="0.35">
      <c r="C17639" s="2"/>
    </row>
    <row r="17640" spans="3:3" x14ac:dyDescent="0.35">
      <c r="C17640" s="2"/>
    </row>
    <row r="17641" spans="3:3" x14ac:dyDescent="0.35">
      <c r="C17641" s="2"/>
    </row>
    <row r="17642" spans="3:3" x14ac:dyDescent="0.35">
      <c r="C17642" s="2"/>
    </row>
    <row r="17643" spans="3:3" x14ac:dyDescent="0.35">
      <c r="C17643" s="2"/>
    </row>
    <row r="17644" spans="3:3" x14ac:dyDescent="0.35">
      <c r="C17644" s="2"/>
    </row>
    <row r="17645" spans="3:3" x14ac:dyDescent="0.35">
      <c r="C17645" s="2"/>
    </row>
    <row r="17646" spans="3:3" x14ac:dyDescent="0.35">
      <c r="C17646" s="2"/>
    </row>
    <row r="17647" spans="3:3" x14ac:dyDescent="0.35">
      <c r="C17647" s="2"/>
    </row>
    <row r="17648" spans="3:3" x14ac:dyDescent="0.35">
      <c r="C17648" s="2"/>
    </row>
    <row r="17649" spans="3:3" x14ac:dyDescent="0.35">
      <c r="C17649" s="2"/>
    </row>
    <row r="17650" spans="3:3" x14ac:dyDescent="0.35">
      <c r="C17650" s="2"/>
    </row>
    <row r="17651" spans="3:3" x14ac:dyDescent="0.35">
      <c r="C17651" s="2"/>
    </row>
    <row r="17652" spans="3:3" x14ac:dyDescent="0.35">
      <c r="C17652" s="2"/>
    </row>
    <row r="17653" spans="3:3" x14ac:dyDescent="0.35">
      <c r="C17653" s="2"/>
    </row>
    <row r="17654" spans="3:3" x14ac:dyDescent="0.35">
      <c r="C17654" s="2"/>
    </row>
    <row r="17655" spans="3:3" x14ac:dyDescent="0.35">
      <c r="C17655" s="2"/>
    </row>
    <row r="17656" spans="3:3" x14ac:dyDescent="0.35">
      <c r="C17656" s="2"/>
    </row>
    <row r="17657" spans="3:3" x14ac:dyDescent="0.35">
      <c r="C17657" s="2"/>
    </row>
    <row r="17658" spans="3:3" x14ac:dyDescent="0.35">
      <c r="C17658" s="2"/>
    </row>
    <row r="17659" spans="3:3" x14ac:dyDescent="0.35">
      <c r="C17659" s="2"/>
    </row>
    <row r="17660" spans="3:3" x14ac:dyDescent="0.35">
      <c r="C17660" s="2"/>
    </row>
    <row r="17661" spans="3:3" x14ac:dyDescent="0.35">
      <c r="C17661" s="2"/>
    </row>
    <row r="17662" spans="3:3" x14ac:dyDescent="0.35">
      <c r="C17662" s="2"/>
    </row>
    <row r="17663" spans="3:3" x14ac:dyDescent="0.35">
      <c r="C17663" s="2"/>
    </row>
    <row r="17664" spans="3:3" x14ac:dyDescent="0.35">
      <c r="C17664" s="2"/>
    </row>
    <row r="17665" spans="3:3" x14ac:dyDescent="0.35">
      <c r="C17665" s="2"/>
    </row>
    <row r="17666" spans="3:3" x14ac:dyDescent="0.35">
      <c r="C17666" s="2"/>
    </row>
    <row r="17667" spans="3:3" x14ac:dyDescent="0.35">
      <c r="C17667" s="2"/>
    </row>
    <row r="17668" spans="3:3" x14ac:dyDescent="0.35">
      <c r="C17668" s="2"/>
    </row>
    <row r="17669" spans="3:3" x14ac:dyDescent="0.35">
      <c r="C17669" s="2"/>
    </row>
    <row r="17670" spans="3:3" x14ac:dyDescent="0.35">
      <c r="C17670" s="2"/>
    </row>
    <row r="17671" spans="3:3" x14ac:dyDescent="0.35">
      <c r="C17671" s="2"/>
    </row>
    <row r="17672" spans="3:3" x14ac:dyDescent="0.35">
      <c r="C17672" s="2"/>
    </row>
    <row r="17673" spans="3:3" x14ac:dyDescent="0.35">
      <c r="C17673" s="2"/>
    </row>
    <row r="17674" spans="3:3" x14ac:dyDescent="0.35">
      <c r="C17674" s="2"/>
    </row>
    <row r="17675" spans="3:3" x14ac:dyDescent="0.35">
      <c r="C17675" s="2"/>
    </row>
    <row r="17676" spans="3:3" x14ac:dyDescent="0.35">
      <c r="C17676" s="2"/>
    </row>
    <row r="17677" spans="3:3" x14ac:dyDescent="0.35">
      <c r="C17677" s="2"/>
    </row>
    <row r="17678" spans="3:3" x14ac:dyDescent="0.35">
      <c r="C17678" s="2"/>
    </row>
    <row r="17679" spans="3:3" x14ac:dyDescent="0.35">
      <c r="C17679" s="2"/>
    </row>
    <row r="17680" spans="3:3" x14ac:dyDescent="0.35">
      <c r="C17680" s="2"/>
    </row>
    <row r="17681" spans="3:3" x14ac:dyDescent="0.35">
      <c r="C17681" s="2"/>
    </row>
    <row r="17682" spans="3:3" x14ac:dyDescent="0.35">
      <c r="C17682" s="2"/>
    </row>
    <row r="17683" spans="3:3" x14ac:dyDescent="0.35">
      <c r="C17683" s="2"/>
    </row>
    <row r="17684" spans="3:3" x14ac:dyDescent="0.35">
      <c r="C17684" s="2"/>
    </row>
    <row r="17685" spans="3:3" x14ac:dyDescent="0.35">
      <c r="C17685" s="2"/>
    </row>
    <row r="17686" spans="3:3" x14ac:dyDescent="0.35">
      <c r="C17686" s="2"/>
    </row>
    <row r="17687" spans="3:3" x14ac:dyDescent="0.35">
      <c r="C17687" s="2"/>
    </row>
    <row r="17688" spans="3:3" x14ac:dyDescent="0.35">
      <c r="C17688" s="2"/>
    </row>
    <row r="17689" spans="3:3" x14ac:dyDescent="0.35">
      <c r="C17689" s="2"/>
    </row>
    <row r="17690" spans="3:3" x14ac:dyDescent="0.35">
      <c r="C17690" s="2"/>
    </row>
    <row r="17691" spans="3:3" x14ac:dyDescent="0.35">
      <c r="C17691" s="2"/>
    </row>
    <row r="17692" spans="3:3" x14ac:dyDescent="0.35">
      <c r="C17692" s="2"/>
    </row>
    <row r="17693" spans="3:3" x14ac:dyDescent="0.35">
      <c r="C17693" s="2"/>
    </row>
    <row r="17694" spans="3:3" x14ac:dyDescent="0.35">
      <c r="C17694" s="2"/>
    </row>
    <row r="17695" spans="3:3" x14ac:dyDescent="0.35">
      <c r="C17695" s="2"/>
    </row>
    <row r="17696" spans="3:3" x14ac:dyDescent="0.35">
      <c r="C17696" s="2"/>
    </row>
    <row r="17697" spans="3:3" x14ac:dyDescent="0.35">
      <c r="C17697" s="2"/>
    </row>
    <row r="17698" spans="3:3" x14ac:dyDescent="0.35">
      <c r="C17698" s="2"/>
    </row>
    <row r="17699" spans="3:3" x14ac:dyDescent="0.35">
      <c r="C17699" s="2"/>
    </row>
    <row r="17700" spans="3:3" x14ac:dyDescent="0.35">
      <c r="C17700" s="2"/>
    </row>
    <row r="17701" spans="3:3" x14ac:dyDescent="0.35">
      <c r="C17701" s="2"/>
    </row>
    <row r="17702" spans="3:3" x14ac:dyDescent="0.35">
      <c r="C17702" s="2"/>
    </row>
    <row r="17703" spans="3:3" x14ac:dyDescent="0.35">
      <c r="C17703" s="2"/>
    </row>
    <row r="17704" spans="3:3" x14ac:dyDescent="0.35">
      <c r="C17704" s="2"/>
    </row>
    <row r="17705" spans="3:3" x14ac:dyDescent="0.35">
      <c r="C17705" s="2"/>
    </row>
    <row r="17706" spans="3:3" x14ac:dyDescent="0.35">
      <c r="C17706" s="2"/>
    </row>
    <row r="17707" spans="3:3" x14ac:dyDescent="0.35">
      <c r="C17707" s="2"/>
    </row>
    <row r="17708" spans="3:3" x14ac:dyDescent="0.35">
      <c r="C17708" s="2"/>
    </row>
    <row r="17709" spans="3:3" x14ac:dyDescent="0.35">
      <c r="C17709" s="2"/>
    </row>
    <row r="17710" spans="3:3" x14ac:dyDescent="0.35">
      <c r="C17710" s="2"/>
    </row>
    <row r="17711" spans="3:3" x14ac:dyDescent="0.35">
      <c r="C17711" s="2"/>
    </row>
    <row r="17712" spans="3:3" x14ac:dyDescent="0.35">
      <c r="C17712" s="2"/>
    </row>
    <row r="17713" spans="3:3" x14ac:dyDescent="0.35">
      <c r="C17713" s="2"/>
    </row>
    <row r="17714" spans="3:3" x14ac:dyDescent="0.35">
      <c r="C17714" s="2"/>
    </row>
    <row r="17715" spans="3:3" x14ac:dyDescent="0.35">
      <c r="C17715" s="2"/>
    </row>
    <row r="17716" spans="3:3" x14ac:dyDescent="0.35">
      <c r="C17716" s="2"/>
    </row>
    <row r="17717" spans="3:3" x14ac:dyDescent="0.35">
      <c r="C17717" s="2"/>
    </row>
    <row r="17718" spans="3:3" x14ac:dyDescent="0.35">
      <c r="C17718" s="2"/>
    </row>
    <row r="17719" spans="3:3" x14ac:dyDescent="0.35">
      <c r="C17719" s="2"/>
    </row>
    <row r="17720" spans="3:3" x14ac:dyDescent="0.35">
      <c r="C17720" s="2"/>
    </row>
    <row r="17721" spans="3:3" x14ac:dyDescent="0.35">
      <c r="C17721" s="2"/>
    </row>
    <row r="17722" spans="3:3" x14ac:dyDescent="0.35">
      <c r="C17722" s="2"/>
    </row>
    <row r="17723" spans="3:3" x14ac:dyDescent="0.35">
      <c r="C17723" s="2"/>
    </row>
    <row r="17724" spans="3:3" x14ac:dyDescent="0.35">
      <c r="C17724" s="2"/>
    </row>
    <row r="17725" spans="3:3" x14ac:dyDescent="0.35">
      <c r="C17725" s="2"/>
    </row>
    <row r="17726" spans="3:3" x14ac:dyDescent="0.35">
      <c r="C17726" s="2"/>
    </row>
    <row r="17727" spans="3:3" x14ac:dyDescent="0.35">
      <c r="C17727" s="2"/>
    </row>
    <row r="17728" spans="3:3" x14ac:dyDescent="0.35">
      <c r="C17728" s="2"/>
    </row>
    <row r="17729" spans="3:3" x14ac:dyDescent="0.35">
      <c r="C17729" s="2"/>
    </row>
    <row r="17730" spans="3:3" x14ac:dyDescent="0.35">
      <c r="C17730" s="2"/>
    </row>
    <row r="17731" spans="3:3" x14ac:dyDescent="0.35">
      <c r="C17731" s="2"/>
    </row>
    <row r="17732" spans="3:3" x14ac:dyDescent="0.35">
      <c r="C17732" s="2"/>
    </row>
    <row r="17733" spans="3:3" x14ac:dyDescent="0.35">
      <c r="C17733" s="2"/>
    </row>
    <row r="17734" spans="3:3" x14ac:dyDescent="0.35">
      <c r="C17734" s="2"/>
    </row>
    <row r="17735" spans="3:3" x14ac:dyDescent="0.35">
      <c r="C17735" s="2"/>
    </row>
    <row r="17736" spans="3:3" x14ac:dyDescent="0.35">
      <c r="C17736" s="2"/>
    </row>
    <row r="17737" spans="3:3" x14ac:dyDescent="0.35">
      <c r="C17737" s="2"/>
    </row>
    <row r="17738" spans="3:3" x14ac:dyDescent="0.35">
      <c r="C17738" s="2"/>
    </row>
    <row r="17739" spans="3:3" x14ac:dyDescent="0.35">
      <c r="C17739" s="2"/>
    </row>
    <row r="17740" spans="3:3" x14ac:dyDescent="0.35">
      <c r="C17740" s="2"/>
    </row>
    <row r="17741" spans="3:3" x14ac:dyDescent="0.35">
      <c r="C17741" s="2"/>
    </row>
    <row r="17742" spans="3:3" x14ac:dyDescent="0.35">
      <c r="C17742" s="2"/>
    </row>
    <row r="17743" spans="3:3" x14ac:dyDescent="0.35">
      <c r="C17743" s="2"/>
    </row>
    <row r="17744" spans="3:3" x14ac:dyDescent="0.35">
      <c r="C17744" s="2"/>
    </row>
    <row r="17745" spans="3:3" x14ac:dyDescent="0.35">
      <c r="C17745" s="2"/>
    </row>
    <row r="17746" spans="3:3" x14ac:dyDescent="0.35">
      <c r="C17746" s="2"/>
    </row>
    <row r="17747" spans="3:3" x14ac:dyDescent="0.35">
      <c r="C17747" s="2"/>
    </row>
    <row r="17748" spans="3:3" x14ac:dyDescent="0.35">
      <c r="C17748" s="2"/>
    </row>
    <row r="17749" spans="3:3" x14ac:dyDescent="0.35">
      <c r="C17749" s="2"/>
    </row>
    <row r="17750" spans="3:3" x14ac:dyDescent="0.35">
      <c r="C17750" s="2"/>
    </row>
    <row r="17751" spans="3:3" x14ac:dyDescent="0.35">
      <c r="C17751" s="2"/>
    </row>
    <row r="17752" spans="3:3" x14ac:dyDescent="0.35">
      <c r="C17752" s="2"/>
    </row>
    <row r="17753" spans="3:3" x14ac:dyDescent="0.35">
      <c r="C17753" s="2"/>
    </row>
    <row r="17754" spans="3:3" x14ac:dyDescent="0.35">
      <c r="C17754" s="2"/>
    </row>
    <row r="17755" spans="3:3" x14ac:dyDescent="0.35">
      <c r="C17755" s="2"/>
    </row>
    <row r="17756" spans="3:3" x14ac:dyDescent="0.35">
      <c r="C17756" s="2"/>
    </row>
    <row r="17757" spans="3:3" x14ac:dyDescent="0.35">
      <c r="C17757" s="2"/>
    </row>
    <row r="17758" spans="3:3" x14ac:dyDescent="0.35">
      <c r="C17758" s="2"/>
    </row>
    <row r="17759" spans="3:3" x14ac:dyDescent="0.35">
      <c r="C17759" s="2"/>
    </row>
    <row r="17760" spans="3:3" x14ac:dyDescent="0.35">
      <c r="C17760" s="2"/>
    </row>
    <row r="17761" spans="3:3" x14ac:dyDescent="0.35">
      <c r="C17761" s="2"/>
    </row>
    <row r="17762" spans="3:3" x14ac:dyDescent="0.35">
      <c r="C17762" s="2"/>
    </row>
    <row r="17763" spans="3:3" x14ac:dyDescent="0.35">
      <c r="C17763" s="2"/>
    </row>
    <row r="17764" spans="3:3" x14ac:dyDescent="0.35">
      <c r="C17764" s="2"/>
    </row>
    <row r="17765" spans="3:3" x14ac:dyDescent="0.35">
      <c r="C17765" s="2"/>
    </row>
    <row r="17766" spans="3:3" x14ac:dyDescent="0.35">
      <c r="C17766" s="2"/>
    </row>
    <row r="17767" spans="3:3" x14ac:dyDescent="0.35">
      <c r="C17767" s="2"/>
    </row>
    <row r="17768" spans="3:3" x14ac:dyDescent="0.35">
      <c r="C17768" s="2"/>
    </row>
    <row r="17769" spans="3:3" x14ac:dyDescent="0.35">
      <c r="C17769" s="2"/>
    </row>
    <row r="17770" spans="3:3" x14ac:dyDescent="0.35">
      <c r="C17770" s="2"/>
    </row>
    <row r="17771" spans="3:3" x14ac:dyDescent="0.35">
      <c r="C17771" s="2"/>
    </row>
    <row r="17772" spans="3:3" x14ac:dyDescent="0.35">
      <c r="C17772" s="2"/>
    </row>
    <row r="17773" spans="3:3" x14ac:dyDescent="0.35">
      <c r="C17773" s="2"/>
    </row>
    <row r="17774" spans="3:3" x14ac:dyDescent="0.35">
      <c r="C17774" s="2"/>
    </row>
    <row r="17775" spans="3:3" x14ac:dyDescent="0.35">
      <c r="C17775" s="2"/>
    </row>
    <row r="17776" spans="3:3" x14ac:dyDescent="0.35">
      <c r="C17776" s="2"/>
    </row>
    <row r="17777" spans="3:3" x14ac:dyDescent="0.35">
      <c r="C17777" s="2"/>
    </row>
    <row r="17778" spans="3:3" x14ac:dyDescent="0.35">
      <c r="C17778" s="2"/>
    </row>
    <row r="17779" spans="3:3" x14ac:dyDescent="0.35">
      <c r="C17779" s="2"/>
    </row>
    <row r="17780" spans="3:3" x14ac:dyDescent="0.35">
      <c r="C17780" s="2"/>
    </row>
    <row r="17781" spans="3:3" x14ac:dyDescent="0.35">
      <c r="C17781" s="2"/>
    </row>
    <row r="17782" spans="3:3" x14ac:dyDescent="0.35">
      <c r="C17782" s="2"/>
    </row>
    <row r="17783" spans="3:3" x14ac:dyDescent="0.35">
      <c r="C17783" s="2"/>
    </row>
    <row r="17784" spans="3:3" x14ac:dyDescent="0.35">
      <c r="C17784" s="2"/>
    </row>
    <row r="17785" spans="3:3" x14ac:dyDescent="0.35">
      <c r="C17785" s="2"/>
    </row>
    <row r="17786" spans="3:3" x14ac:dyDescent="0.35">
      <c r="C17786" s="2"/>
    </row>
    <row r="17787" spans="3:3" x14ac:dyDescent="0.35">
      <c r="C17787" s="2"/>
    </row>
    <row r="17788" spans="3:3" x14ac:dyDescent="0.35">
      <c r="C17788" s="2"/>
    </row>
    <row r="17789" spans="3:3" x14ac:dyDescent="0.35">
      <c r="C17789" s="2"/>
    </row>
    <row r="17790" spans="3:3" x14ac:dyDescent="0.35">
      <c r="C17790" s="2"/>
    </row>
    <row r="17791" spans="3:3" x14ac:dyDescent="0.35">
      <c r="C17791" s="2"/>
    </row>
    <row r="17792" spans="3:3" x14ac:dyDescent="0.35">
      <c r="C17792" s="2"/>
    </row>
    <row r="17793" spans="3:3" x14ac:dyDescent="0.35">
      <c r="C17793" s="2"/>
    </row>
    <row r="17794" spans="3:3" x14ac:dyDescent="0.35">
      <c r="C17794" s="2"/>
    </row>
    <row r="17795" spans="3:3" x14ac:dyDescent="0.35">
      <c r="C17795" s="2"/>
    </row>
    <row r="17796" spans="3:3" x14ac:dyDescent="0.35">
      <c r="C17796" s="2"/>
    </row>
    <row r="17797" spans="3:3" x14ac:dyDescent="0.35">
      <c r="C17797" s="2"/>
    </row>
    <row r="17798" spans="3:3" x14ac:dyDescent="0.35">
      <c r="C17798" s="2"/>
    </row>
    <row r="17799" spans="3:3" x14ac:dyDescent="0.35">
      <c r="C17799" s="2"/>
    </row>
    <row r="17800" spans="3:3" x14ac:dyDescent="0.35">
      <c r="C17800" s="2"/>
    </row>
    <row r="17801" spans="3:3" x14ac:dyDescent="0.35">
      <c r="C17801" s="2"/>
    </row>
    <row r="17802" spans="3:3" x14ac:dyDescent="0.35">
      <c r="C17802" s="2"/>
    </row>
    <row r="17803" spans="3:3" x14ac:dyDescent="0.35">
      <c r="C17803" s="2"/>
    </row>
    <row r="17804" spans="3:3" x14ac:dyDescent="0.35">
      <c r="C17804" s="2"/>
    </row>
    <row r="17805" spans="3:3" x14ac:dyDescent="0.35">
      <c r="C17805" s="2"/>
    </row>
    <row r="17806" spans="3:3" x14ac:dyDescent="0.35">
      <c r="C17806" s="2"/>
    </row>
    <row r="17807" spans="3:3" x14ac:dyDescent="0.35">
      <c r="C17807" s="2"/>
    </row>
    <row r="17808" spans="3:3" x14ac:dyDescent="0.35">
      <c r="C17808" s="2"/>
    </row>
    <row r="17809" spans="3:3" x14ac:dyDescent="0.35">
      <c r="C17809" s="2"/>
    </row>
    <row r="17810" spans="3:3" x14ac:dyDescent="0.35">
      <c r="C17810" s="2"/>
    </row>
    <row r="17811" spans="3:3" x14ac:dyDescent="0.35">
      <c r="C17811" s="2"/>
    </row>
    <row r="17812" spans="3:3" x14ac:dyDescent="0.35">
      <c r="C17812" s="2"/>
    </row>
    <row r="17813" spans="3:3" x14ac:dyDescent="0.35">
      <c r="C17813" s="2"/>
    </row>
    <row r="17814" spans="3:3" x14ac:dyDescent="0.35">
      <c r="C17814" s="2"/>
    </row>
    <row r="17815" spans="3:3" x14ac:dyDescent="0.35">
      <c r="C17815" s="2"/>
    </row>
    <row r="17816" spans="3:3" x14ac:dyDescent="0.35">
      <c r="C17816" s="2"/>
    </row>
    <row r="17817" spans="3:3" x14ac:dyDescent="0.35">
      <c r="C17817" s="2"/>
    </row>
    <row r="17818" spans="3:3" x14ac:dyDescent="0.35">
      <c r="C17818" s="2"/>
    </row>
    <row r="17819" spans="3:3" x14ac:dyDescent="0.35">
      <c r="C17819" s="2"/>
    </row>
    <row r="17820" spans="3:3" x14ac:dyDescent="0.35">
      <c r="C17820" s="2"/>
    </row>
    <row r="17821" spans="3:3" x14ac:dyDescent="0.35">
      <c r="C17821" s="2"/>
    </row>
    <row r="17822" spans="3:3" x14ac:dyDescent="0.35">
      <c r="C17822" s="2"/>
    </row>
    <row r="17823" spans="3:3" x14ac:dyDescent="0.35">
      <c r="C17823" s="2"/>
    </row>
    <row r="17824" spans="3:3" x14ac:dyDescent="0.35">
      <c r="C17824" s="2"/>
    </row>
    <row r="17825" spans="3:3" x14ac:dyDescent="0.35">
      <c r="C17825" s="2"/>
    </row>
    <row r="17826" spans="3:3" x14ac:dyDescent="0.35">
      <c r="C17826" s="2"/>
    </row>
    <row r="17827" spans="3:3" x14ac:dyDescent="0.35">
      <c r="C17827" s="2"/>
    </row>
    <row r="17828" spans="3:3" x14ac:dyDescent="0.35">
      <c r="C17828" s="2"/>
    </row>
    <row r="17829" spans="3:3" x14ac:dyDescent="0.35">
      <c r="C17829" s="2"/>
    </row>
    <row r="17830" spans="3:3" x14ac:dyDescent="0.35">
      <c r="C17830" s="2"/>
    </row>
    <row r="17831" spans="3:3" x14ac:dyDescent="0.35">
      <c r="C17831" s="2"/>
    </row>
    <row r="17832" spans="3:3" x14ac:dyDescent="0.35">
      <c r="C17832" s="2"/>
    </row>
    <row r="17833" spans="3:3" x14ac:dyDescent="0.35">
      <c r="C17833" s="2"/>
    </row>
    <row r="17834" spans="3:3" x14ac:dyDescent="0.35">
      <c r="C17834" s="2"/>
    </row>
    <row r="17835" spans="3:3" x14ac:dyDescent="0.35">
      <c r="C17835" s="2"/>
    </row>
    <row r="17836" spans="3:3" x14ac:dyDescent="0.35">
      <c r="C17836" s="2"/>
    </row>
    <row r="17837" spans="3:3" x14ac:dyDescent="0.35">
      <c r="C17837" s="2"/>
    </row>
    <row r="17838" spans="3:3" x14ac:dyDescent="0.35">
      <c r="C17838" s="2"/>
    </row>
    <row r="17839" spans="3:3" x14ac:dyDescent="0.35">
      <c r="C17839" s="2"/>
    </row>
    <row r="17840" spans="3:3" x14ac:dyDescent="0.35">
      <c r="C17840" s="2"/>
    </row>
    <row r="17841" spans="3:3" x14ac:dyDescent="0.35">
      <c r="C17841" s="2"/>
    </row>
    <row r="17842" spans="3:3" x14ac:dyDescent="0.35">
      <c r="C17842" s="2"/>
    </row>
    <row r="17843" spans="3:3" x14ac:dyDescent="0.35">
      <c r="C17843" s="2"/>
    </row>
    <row r="17844" spans="3:3" x14ac:dyDescent="0.35">
      <c r="C17844" s="2"/>
    </row>
    <row r="17845" spans="3:3" x14ac:dyDescent="0.35">
      <c r="C17845" s="2"/>
    </row>
    <row r="17846" spans="3:3" x14ac:dyDescent="0.35">
      <c r="C17846" s="2"/>
    </row>
    <row r="17847" spans="3:3" x14ac:dyDescent="0.35">
      <c r="C17847" s="2"/>
    </row>
    <row r="17848" spans="3:3" x14ac:dyDescent="0.35">
      <c r="C17848" s="2"/>
    </row>
    <row r="17849" spans="3:3" x14ac:dyDescent="0.35">
      <c r="C17849" s="2"/>
    </row>
    <row r="17850" spans="3:3" x14ac:dyDescent="0.35">
      <c r="C17850" s="2"/>
    </row>
    <row r="17851" spans="3:3" x14ac:dyDescent="0.35">
      <c r="C17851" s="2"/>
    </row>
    <row r="17852" spans="3:3" x14ac:dyDescent="0.35">
      <c r="C17852" s="2"/>
    </row>
    <row r="17853" spans="3:3" x14ac:dyDescent="0.35">
      <c r="C17853" s="2"/>
    </row>
    <row r="17854" spans="3:3" x14ac:dyDescent="0.35">
      <c r="C17854" s="2"/>
    </row>
    <row r="17855" spans="3:3" x14ac:dyDescent="0.35">
      <c r="C17855" s="2"/>
    </row>
    <row r="17856" spans="3:3" x14ac:dyDescent="0.35">
      <c r="C17856" s="2"/>
    </row>
    <row r="17857" spans="3:3" x14ac:dyDescent="0.35">
      <c r="C17857" s="2"/>
    </row>
    <row r="17858" spans="3:3" x14ac:dyDescent="0.35">
      <c r="C17858" s="2"/>
    </row>
    <row r="17859" spans="3:3" x14ac:dyDescent="0.35">
      <c r="C17859" s="2"/>
    </row>
    <row r="17860" spans="3:3" x14ac:dyDescent="0.35">
      <c r="C17860" s="2"/>
    </row>
    <row r="17861" spans="3:3" x14ac:dyDescent="0.35">
      <c r="C17861" s="2"/>
    </row>
    <row r="17862" spans="3:3" x14ac:dyDescent="0.35">
      <c r="C17862" s="2"/>
    </row>
    <row r="17863" spans="3:3" x14ac:dyDescent="0.35">
      <c r="C17863" s="2"/>
    </row>
    <row r="17864" spans="3:3" x14ac:dyDescent="0.35">
      <c r="C17864" s="2"/>
    </row>
    <row r="17865" spans="3:3" x14ac:dyDescent="0.35">
      <c r="C17865" s="2"/>
    </row>
    <row r="17866" spans="3:3" x14ac:dyDescent="0.35">
      <c r="C17866" s="2"/>
    </row>
    <row r="17867" spans="3:3" x14ac:dyDescent="0.35">
      <c r="C17867" s="2"/>
    </row>
    <row r="17868" spans="3:3" x14ac:dyDescent="0.35">
      <c r="C17868" s="2"/>
    </row>
    <row r="17869" spans="3:3" x14ac:dyDescent="0.35">
      <c r="C17869" s="2"/>
    </row>
    <row r="17870" spans="3:3" x14ac:dyDescent="0.35">
      <c r="C17870" s="2"/>
    </row>
    <row r="17871" spans="3:3" x14ac:dyDescent="0.35">
      <c r="C17871" s="2"/>
    </row>
    <row r="17872" spans="3:3" x14ac:dyDescent="0.35">
      <c r="C17872" s="2"/>
    </row>
    <row r="17873" spans="3:3" x14ac:dyDescent="0.35">
      <c r="C17873" s="2"/>
    </row>
    <row r="17874" spans="3:3" x14ac:dyDescent="0.35">
      <c r="C17874" s="2"/>
    </row>
    <row r="17875" spans="3:3" x14ac:dyDescent="0.35">
      <c r="C17875" s="2"/>
    </row>
    <row r="17876" spans="3:3" x14ac:dyDescent="0.35">
      <c r="C17876" s="2"/>
    </row>
    <row r="17877" spans="3:3" x14ac:dyDescent="0.35">
      <c r="C17877" s="2"/>
    </row>
    <row r="17878" spans="3:3" x14ac:dyDescent="0.35">
      <c r="C17878" s="2"/>
    </row>
    <row r="17879" spans="3:3" x14ac:dyDescent="0.35">
      <c r="C17879" s="2"/>
    </row>
    <row r="17880" spans="3:3" x14ac:dyDescent="0.35">
      <c r="C17880" s="2"/>
    </row>
    <row r="17881" spans="3:3" x14ac:dyDescent="0.35">
      <c r="C17881" s="2"/>
    </row>
    <row r="17882" spans="3:3" x14ac:dyDescent="0.35">
      <c r="C17882" s="2"/>
    </row>
    <row r="17883" spans="3:3" x14ac:dyDescent="0.35">
      <c r="C17883" s="2"/>
    </row>
    <row r="17884" spans="3:3" x14ac:dyDescent="0.35">
      <c r="C17884" s="2"/>
    </row>
    <row r="17885" spans="3:3" x14ac:dyDescent="0.35">
      <c r="C17885" s="2"/>
    </row>
    <row r="17886" spans="3:3" x14ac:dyDescent="0.35">
      <c r="C17886" s="2"/>
    </row>
    <row r="17887" spans="3:3" x14ac:dyDescent="0.35">
      <c r="C17887" s="2"/>
    </row>
    <row r="17888" spans="3:3" x14ac:dyDescent="0.35">
      <c r="C17888" s="2"/>
    </row>
    <row r="17889" spans="3:3" x14ac:dyDescent="0.35">
      <c r="C17889" s="2"/>
    </row>
    <row r="17890" spans="3:3" x14ac:dyDescent="0.35">
      <c r="C17890" s="2"/>
    </row>
    <row r="17891" spans="3:3" x14ac:dyDescent="0.35">
      <c r="C17891" s="2"/>
    </row>
    <row r="17892" spans="3:3" x14ac:dyDescent="0.35">
      <c r="C17892" s="2"/>
    </row>
    <row r="17893" spans="3:3" x14ac:dyDescent="0.35">
      <c r="C17893" s="2"/>
    </row>
    <row r="17894" spans="3:3" x14ac:dyDescent="0.35">
      <c r="C17894" s="2"/>
    </row>
    <row r="17895" spans="3:3" x14ac:dyDescent="0.35">
      <c r="C17895" s="2"/>
    </row>
    <row r="17896" spans="3:3" x14ac:dyDescent="0.35">
      <c r="C17896" s="2"/>
    </row>
    <row r="17897" spans="3:3" x14ac:dyDescent="0.35">
      <c r="C17897" s="2"/>
    </row>
    <row r="17898" spans="3:3" x14ac:dyDescent="0.35">
      <c r="C17898" s="2"/>
    </row>
    <row r="17899" spans="3:3" x14ac:dyDescent="0.35">
      <c r="C17899" s="2"/>
    </row>
    <row r="17900" spans="3:3" x14ac:dyDescent="0.35">
      <c r="C17900" s="2"/>
    </row>
    <row r="17901" spans="3:3" x14ac:dyDescent="0.35">
      <c r="C17901" s="2"/>
    </row>
    <row r="17902" spans="3:3" x14ac:dyDescent="0.35">
      <c r="C17902" s="2"/>
    </row>
    <row r="17903" spans="3:3" x14ac:dyDescent="0.35">
      <c r="C17903" s="2"/>
    </row>
    <row r="17904" spans="3:3" x14ac:dyDescent="0.35">
      <c r="C17904" s="2"/>
    </row>
    <row r="17905" spans="3:3" x14ac:dyDescent="0.35">
      <c r="C17905" s="2"/>
    </row>
    <row r="17906" spans="3:3" x14ac:dyDescent="0.35">
      <c r="C17906" s="2"/>
    </row>
    <row r="17907" spans="3:3" x14ac:dyDescent="0.35">
      <c r="C17907" s="2"/>
    </row>
    <row r="17908" spans="3:3" x14ac:dyDescent="0.35">
      <c r="C17908" s="2"/>
    </row>
    <row r="17909" spans="3:3" x14ac:dyDescent="0.35">
      <c r="C17909" s="2"/>
    </row>
    <row r="17910" spans="3:3" x14ac:dyDescent="0.35">
      <c r="C17910" s="2"/>
    </row>
    <row r="17911" spans="3:3" x14ac:dyDescent="0.35">
      <c r="C17911" s="2"/>
    </row>
    <row r="17912" spans="3:3" x14ac:dyDescent="0.35">
      <c r="C17912" s="2"/>
    </row>
    <row r="17913" spans="3:3" x14ac:dyDescent="0.35">
      <c r="C17913" s="2"/>
    </row>
    <row r="17914" spans="3:3" x14ac:dyDescent="0.35">
      <c r="C17914" s="2"/>
    </row>
    <row r="17915" spans="3:3" x14ac:dyDescent="0.35">
      <c r="C17915" s="2"/>
    </row>
    <row r="17916" spans="3:3" x14ac:dyDescent="0.35">
      <c r="C17916" s="2"/>
    </row>
    <row r="17917" spans="3:3" x14ac:dyDescent="0.35">
      <c r="C17917" s="2"/>
    </row>
    <row r="17918" spans="3:3" x14ac:dyDescent="0.35">
      <c r="C17918" s="2"/>
    </row>
    <row r="17919" spans="3:3" x14ac:dyDescent="0.35">
      <c r="C17919" s="2"/>
    </row>
    <row r="17920" spans="3:3" x14ac:dyDescent="0.35">
      <c r="C17920" s="2"/>
    </row>
    <row r="17921" spans="3:3" x14ac:dyDescent="0.35">
      <c r="C17921" s="2"/>
    </row>
    <row r="17922" spans="3:3" x14ac:dyDescent="0.35">
      <c r="C17922" s="2"/>
    </row>
    <row r="17923" spans="3:3" x14ac:dyDescent="0.35">
      <c r="C17923" s="2"/>
    </row>
    <row r="17924" spans="3:3" x14ac:dyDescent="0.35">
      <c r="C17924" s="2"/>
    </row>
    <row r="17925" spans="3:3" x14ac:dyDescent="0.35">
      <c r="C17925" s="2"/>
    </row>
    <row r="17926" spans="3:3" x14ac:dyDescent="0.35">
      <c r="C17926" s="2"/>
    </row>
    <row r="17927" spans="3:3" x14ac:dyDescent="0.35">
      <c r="C17927" s="2"/>
    </row>
    <row r="17928" spans="3:3" x14ac:dyDescent="0.35">
      <c r="C17928" s="2"/>
    </row>
    <row r="17929" spans="3:3" x14ac:dyDescent="0.35">
      <c r="C17929" s="2"/>
    </row>
    <row r="17930" spans="3:3" x14ac:dyDescent="0.35">
      <c r="C17930" s="2"/>
    </row>
    <row r="17931" spans="3:3" x14ac:dyDescent="0.35">
      <c r="C17931" s="2"/>
    </row>
    <row r="17932" spans="3:3" x14ac:dyDescent="0.35">
      <c r="C17932" s="2"/>
    </row>
    <row r="17933" spans="3:3" x14ac:dyDescent="0.35">
      <c r="C17933" s="2"/>
    </row>
    <row r="17934" spans="3:3" x14ac:dyDescent="0.35">
      <c r="C17934" s="2"/>
    </row>
    <row r="17935" spans="3:3" x14ac:dyDescent="0.35">
      <c r="C17935" s="2"/>
    </row>
    <row r="17936" spans="3:3" x14ac:dyDescent="0.35">
      <c r="C17936" s="2"/>
    </row>
    <row r="17937" spans="3:3" x14ac:dyDescent="0.35">
      <c r="C17937" s="2"/>
    </row>
    <row r="17938" spans="3:3" x14ac:dyDescent="0.35">
      <c r="C17938" s="2"/>
    </row>
    <row r="17939" spans="3:3" x14ac:dyDescent="0.35">
      <c r="C17939" s="2"/>
    </row>
    <row r="17940" spans="3:3" x14ac:dyDescent="0.35">
      <c r="C17940" s="2"/>
    </row>
    <row r="17941" spans="3:3" x14ac:dyDescent="0.35">
      <c r="C17941" s="2"/>
    </row>
    <row r="17942" spans="3:3" x14ac:dyDescent="0.35">
      <c r="C17942" s="2"/>
    </row>
    <row r="17943" spans="3:3" x14ac:dyDescent="0.35">
      <c r="C17943" s="2"/>
    </row>
    <row r="17944" spans="3:3" x14ac:dyDescent="0.35">
      <c r="C17944" s="2"/>
    </row>
    <row r="17945" spans="3:3" x14ac:dyDescent="0.35">
      <c r="C17945" s="2"/>
    </row>
    <row r="17946" spans="3:3" x14ac:dyDescent="0.35">
      <c r="C17946" s="2"/>
    </row>
    <row r="17947" spans="3:3" x14ac:dyDescent="0.35">
      <c r="C17947" s="2"/>
    </row>
    <row r="17948" spans="3:3" x14ac:dyDescent="0.35">
      <c r="C17948" s="2"/>
    </row>
    <row r="17949" spans="3:3" x14ac:dyDescent="0.35">
      <c r="C17949" s="2"/>
    </row>
    <row r="17950" spans="3:3" x14ac:dyDescent="0.35">
      <c r="C17950" s="2"/>
    </row>
    <row r="17951" spans="3:3" x14ac:dyDescent="0.35">
      <c r="C17951" s="2"/>
    </row>
    <row r="17952" spans="3:3" x14ac:dyDescent="0.35">
      <c r="C17952" s="2"/>
    </row>
    <row r="17953" spans="3:3" x14ac:dyDescent="0.35">
      <c r="C17953" s="2"/>
    </row>
    <row r="17954" spans="3:3" x14ac:dyDescent="0.35">
      <c r="C17954" s="2"/>
    </row>
    <row r="17955" spans="3:3" x14ac:dyDescent="0.35">
      <c r="C17955" s="2"/>
    </row>
    <row r="17956" spans="3:3" x14ac:dyDescent="0.35">
      <c r="C17956" s="2"/>
    </row>
    <row r="17957" spans="3:3" x14ac:dyDescent="0.35">
      <c r="C17957" s="2"/>
    </row>
    <row r="17958" spans="3:3" x14ac:dyDescent="0.35">
      <c r="C17958" s="2"/>
    </row>
    <row r="17959" spans="3:3" x14ac:dyDescent="0.35">
      <c r="C17959" s="2"/>
    </row>
    <row r="17960" spans="3:3" x14ac:dyDescent="0.35">
      <c r="C17960" s="2"/>
    </row>
    <row r="17961" spans="3:3" x14ac:dyDescent="0.35">
      <c r="C17961" s="2"/>
    </row>
    <row r="17962" spans="3:3" x14ac:dyDescent="0.35">
      <c r="C17962" s="2"/>
    </row>
    <row r="17963" spans="3:3" x14ac:dyDescent="0.35">
      <c r="C17963" s="2"/>
    </row>
    <row r="17964" spans="3:3" x14ac:dyDescent="0.35">
      <c r="C17964" s="2"/>
    </row>
    <row r="17965" spans="3:3" x14ac:dyDescent="0.35">
      <c r="C17965" s="2"/>
    </row>
    <row r="17966" spans="3:3" x14ac:dyDescent="0.35">
      <c r="C17966" s="2"/>
    </row>
    <row r="17967" spans="3:3" x14ac:dyDescent="0.35">
      <c r="C17967" s="2"/>
    </row>
    <row r="17968" spans="3:3" x14ac:dyDescent="0.35">
      <c r="C17968" s="2"/>
    </row>
    <row r="17969" spans="3:3" x14ac:dyDescent="0.35">
      <c r="C17969" s="2"/>
    </row>
    <row r="17970" spans="3:3" x14ac:dyDescent="0.35">
      <c r="C17970" s="2"/>
    </row>
    <row r="17971" spans="3:3" x14ac:dyDescent="0.35">
      <c r="C17971" s="2"/>
    </row>
    <row r="17972" spans="3:3" x14ac:dyDescent="0.35">
      <c r="C17972" s="2"/>
    </row>
    <row r="17973" spans="3:3" x14ac:dyDescent="0.35">
      <c r="C17973" s="2"/>
    </row>
    <row r="17974" spans="3:3" x14ac:dyDescent="0.35">
      <c r="C17974" s="2"/>
    </row>
    <row r="17975" spans="3:3" x14ac:dyDescent="0.35">
      <c r="C17975" s="2"/>
    </row>
    <row r="17976" spans="3:3" x14ac:dyDescent="0.35">
      <c r="C17976" s="2"/>
    </row>
    <row r="17977" spans="3:3" x14ac:dyDescent="0.35">
      <c r="C17977" s="2"/>
    </row>
    <row r="17978" spans="3:3" x14ac:dyDescent="0.35">
      <c r="C17978" s="2"/>
    </row>
    <row r="17979" spans="3:3" x14ac:dyDescent="0.35">
      <c r="C17979" s="2"/>
    </row>
    <row r="17980" spans="3:3" x14ac:dyDescent="0.35">
      <c r="C17980" s="2"/>
    </row>
    <row r="17981" spans="3:3" x14ac:dyDescent="0.35">
      <c r="C17981" s="2"/>
    </row>
    <row r="17982" spans="3:3" x14ac:dyDescent="0.35">
      <c r="C17982" s="2"/>
    </row>
    <row r="17983" spans="3:3" x14ac:dyDescent="0.35">
      <c r="C17983" s="2"/>
    </row>
    <row r="17984" spans="3:3" x14ac:dyDescent="0.35">
      <c r="C17984" s="2"/>
    </row>
    <row r="17985" spans="3:3" x14ac:dyDescent="0.35">
      <c r="C17985" s="2"/>
    </row>
    <row r="17986" spans="3:3" x14ac:dyDescent="0.35">
      <c r="C17986" s="2"/>
    </row>
    <row r="17987" spans="3:3" x14ac:dyDescent="0.35">
      <c r="C17987" s="2"/>
    </row>
    <row r="17988" spans="3:3" x14ac:dyDescent="0.35">
      <c r="C17988" s="2"/>
    </row>
    <row r="17989" spans="3:3" x14ac:dyDescent="0.35">
      <c r="C17989" s="2"/>
    </row>
    <row r="17990" spans="3:3" x14ac:dyDescent="0.35">
      <c r="C17990" s="2"/>
    </row>
    <row r="17991" spans="3:3" x14ac:dyDescent="0.35">
      <c r="C17991" s="2"/>
    </row>
    <row r="17992" spans="3:3" x14ac:dyDescent="0.35">
      <c r="C17992" s="2"/>
    </row>
    <row r="17993" spans="3:3" x14ac:dyDescent="0.35">
      <c r="C17993" s="2"/>
    </row>
    <row r="17994" spans="3:3" x14ac:dyDescent="0.35">
      <c r="C17994" s="2"/>
    </row>
    <row r="17995" spans="3:3" x14ac:dyDescent="0.35">
      <c r="C17995" s="2"/>
    </row>
    <row r="17996" spans="3:3" x14ac:dyDescent="0.35">
      <c r="C17996" s="2"/>
    </row>
    <row r="17997" spans="3:3" x14ac:dyDescent="0.35">
      <c r="C17997" s="2"/>
    </row>
    <row r="17998" spans="3:3" x14ac:dyDescent="0.35">
      <c r="C17998" s="2"/>
    </row>
    <row r="17999" spans="3:3" x14ac:dyDescent="0.35">
      <c r="C17999" s="2"/>
    </row>
    <row r="18000" spans="3:3" x14ac:dyDescent="0.35">
      <c r="C18000" s="2"/>
    </row>
    <row r="18001" spans="3:3" x14ac:dyDescent="0.35">
      <c r="C18001" s="2"/>
    </row>
    <row r="18002" spans="3:3" x14ac:dyDescent="0.35">
      <c r="C18002" s="2"/>
    </row>
    <row r="18003" spans="3:3" x14ac:dyDescent="0.35">
      <c r="C18003" s="2"/>
    </row>
    <row r="18004" spans="3:3" x14ac:dyDescent="0.35">
      <c r="C18004" s="2"/>
    </row>
    <row r="18005" spans="3:3" x14ac:dyDescent="0.35">
      <c r="C18005" s="2"/>
    </row>
    <row r="18006" spans="3:3" x14ac:dyDescent="0.35">
      <c r="C18006" s="2"/>
    </row>
    <row r="18007" spans="3:3" x14ac:dyDescent="0.35">
      <c r="C18007" s="2"/>
    </row>
    <row r="18008" spans="3:3" x14ac:dyDescent="0.35">
      <c r="C18008" s="2"/>
    </row>
    <row r="18009" spans="3:3" x14ac:dyDescent="0.35">
      <c r="C18009" s="2"/>
    </row>
    <row r="18010" spans="3:3" x14ac:dyDescent="0.35">
      <c r="C18010" s="2"/>
    </row>
    <row r="18011" spans="3:3" x14ac:dyDescent="0.35">
      <c r="C18011" s="2"/>
    </row>
    <row r="18012" spans="3:3" x14ac:dyDescent="0.35">
      <c r="C18012" s="2"/>
    </row>
    <row r="18013" spans="3:3" x14ac:dyDescent="0.35">
      <c r="C18013" s="2"/>
    </row>
    <row r="18014" spans="3:3" x14ac:dyDescent="0.35">
      <c r="C18014" s="2"/>
    </row>
    <row r="18015" spans="3:3" x14ac:dyDescent="0.35">
      <c r="C18015" s="2"/>
    </row>
    <row r="18016" spans="3:3" x14ac:dyDescent="0.35">
      <c r="C18016" s="2"/>
    </row>
    <row r="18017" spans="3:3" x14ac:dyDescent="0.35">
      <c r="C18017" s="2"/>
    </row>
    <row r="18018" spans="3:3" x14ac:dyDescent="0.35">
      <c r="C18018" s="2"/>
    </row>
    <row r="18019" spans="3:3" x14ac:dyDescent="0.35">
      <c r="C18019" s="2"/>
    </row>
    <row r="18020" spans="3:3" x14ac:dyDescent="0.35">
      <c r="C18020" s="2"/>
    </row>
    <row r="18021" spans="3:3" x14ac:dyDescent="0.35">
      <c r="C18021" s="2"/>
    </row>
    <row r="18022" spans="3:3" x14ac:dyDescent="0.35">
      <c r="C18022" s="2"/>
    </row>
    <row r="18023" spans="3:3" x14ac:dyDescent="0.35">
      <c r="C18023" s="2"/>
    </row>
    <row r="18024" spans="3:3" x14ac:dyDescent="0.35">
      <c r="C18024" s="2"/>
    </row>
    <row r="18025" spans="3:3" x14ac:dyDescent="0.35">
      <c r="C18025" s="2"/>
    </row>
    <row r="18026" spans="3:3" x14ac:dyDescent="0.35">
      <c r="C18026" s="2"/>
    </row>
    <row r="18027" spans="3:3" x14ac:dyDescent="0.35">
      <c r="C18027" s="2"/>
    </row>
    <row r="18028" spans="3:3" x14ac:dyDescent="0.35">
      <c r="C18028" s="2"/>
    </row>
    <row r="18029" spans="3:3" x14ac:dyDescent="0.35">
      <c r="C18029" s="2"/>
    </row>
    <row r="18030" spans="3:3" x14ac:dyDescent="0.35">
      <c r="C18030" s="2"/>
    </row>
    <row r="18031" spans="3:3" x14ac:dyDescent="0.35">
      <c r="C18031" s="2"/>
    </row>
    <row r="18032" spans="3:3" x14ac:dyDescent="0.35">
      <c r="C18032" s="2"/>
    </row>
    <row r="18033" spans="3:3" x14ac:dyDescent="0.35">
      <c r="C18033" s="2"/>
    </row>
    <row r="18034" spans="3:3" x14ac:dyDescent="0.35">
      <c r="C18034" s="2"/>
    </row>
    <row r="18035" spans="3:3" x14ac:dyDescent="0.35">
      <c r="C18035" s="2"/>
    </row>
    <row r="18036" spans="3:3" x14ac:dyDescent="0.35">
      <c r="C18036" s="2"/>
    </row>
    <row r="18037" spans="3:3" x14ac:dyDescent="0.35">
      <c r="C18037" s="2"/>
    </row>
    <row r="18038" spans="3:3" x14ac:dyDescent="0.35">
      <c r="C18038" s="2"/>
    </row>
    <row r="18039" spans="3:3" x14ac:dyDescent="0.35">
      <c r="C18039" s="2"/>
    </row>
    <row r="18040" spans="3:3" x14ac:dyDescent="0.35">
      <c r="C18040" s="2"/>
    </row>
    <row r="18041" spans="3:3" x14ac:dyDescent="0.35">
      <c r="C18041" s="2"/>
    </row>
    <row r="18042" spans="3:3" x14ac:dyDescent="0.35">
      <c r="C18042" s="2"/>
    </row>
    <row r="18043" spans="3:3" x14ac:dyDescent="0.35">
      <c r="C18043" s="2"/>
    </row>
    <row r="18044" spans="3:3" x14ac:dyDescent="0.35">
      <c r="C18044" s="2"/>
    </row>
    <row r="18045" spans="3:3" x14ac:dyDescent="0.35">
      <c r="C18045" s="2"/>
    </row>
    <row r="18046" spans="3:3" x14ac:dyDescent="0.35">
      <c r="C18046" s="2"/>
    </row>
    <row r="18047" spans="3:3" x14ac:dyDescent="0.35">
      <c r="C18047" s="2"/>
    </row>
    <row r="18048" spans="3:3" x14ac:dyDescent="0.35">
      <c r="C18048" s="2"/>
    </row>
    <row r="18049" spans="3:3" x14ac:dyDescent="0.35">
      <c r="C18049" s="2"/>
    </row>
    <row r="18050" spans="3:3" x14ac:dyDescent="0.35">
      <c r="C18050" s="2"/>
    </row>
    <row r="18051" spans="3:3" x14ac:dyDescent="0.35">
      <c r="C18051" s="2"/>
    </row>
    <row r="18052" spans="3:3" x14ac:dyDescent="0.35">
      <c r="C18052" s="2"/>
    </row>
    <row r="18053" spans="3:3" x14ac:dyDescent="0.35">
      <c r="C18053" s="2"/>
    </row>
    <row r="18054" spans="3:3" x14ac:dyDescent="0.35">
      <c r="C18054" s="2"/>
    </row>
    <row r="18055" spans="3:3" x14ac:dyDescent="0.35">
      <c r="C18055" s="2"/>
    </row>
    <row r="18056" spans="3:3" x14ac:dyDescent="0.35">
      <c r="C18056" s="2"/>
    </row>
    <row r="18057" spans="3:3" x14ac:dyDescent="0.35">
      <c r="C18057" s="2"/>
    </row>
    <row r="18058" spans="3:3" x14ac:dyDescent="0.35">
      <c r="C18058" s="2"/>
    </row>
    <row r="18059" spans="3:3" x14ac:dyDescent="0.35">
      <c r="C18059" s="2"/>
    </row>
    <row r="18060" spans="3:3" x14ac:dyDescent="0.35">
      <c r="C18060" s="2"/>
    </row>
    <row r="18061" spans="3:3" x14ac:dyDescent="0.35">
      <c r="C18061" s="2"/>
    </row>
    <row r="18062" spans="3:3" x14ac:dyDescent="0.35">
      <c r="C18062" s="2"/>
    </row>
    <row r="18063" spans="3:3" x14ac:dyDescent="0.35">
      <c r="C18063" s="2"/>
    </row>
    <row r="18064" spans="3:3" x14ac:dyDescent="0.35">
      <c r="C18064" s="2"/>
    </row>
    <row r="18065" spans="3:3" x14ac:dyDescent="0.35">
      <c r="C18065" s="2"/>
    </row>
    <row r="18066" spans="3:3" x14ac:dyDescent="0.35">
      <c r="C18066" s="2"/>
    </row>
    <row r="18067" spans="3:3" x14ac:dyDescent="0.35">
      <c r="C18067" s="2"/>
    </row>
    <row r="18068" spans="3:3" x14ac:dyDescent="0.35">
      <c r="C18068" s="2"/>
    </row>
    <row r="18069" spans="3:3" x14ac:dyDescent="0.35">
      <c r="C18069" s="2"/>
    </row>
    <row r="18070" spans="3:3" x14ac:dyDescent="0.35">
      <c r="C18070" s="2"/>
    </row>
    <row r="18071" spans="3:3" x14ac:dyDescent="0.35">
      <c r="C18071" s="2"/>
    </row>
    <row r="18072" spans="3:3" x14ac:dyDescent="0.35">
      <c r="C18072" s="2"/>
    </row>
    <row r="18073" spans="3:3" x14ac:dyDescent="0.35">
      <c r="C18073" s="2"/>
    </row>
    <row r="18074" spans="3:3" x14ac:dyDescent="0.35">
      <c r="C18074" s="2"/>
    </row>
    <row r="18075" spans="3:3" x14ac:dyDescent="0.35">
      <c r="C18075" s="2"/>
    </row>
    <row r="18076" spans="3:3" x14ac:dyDescent="0.35">
      <c r="C18076" s="2"/>
    </row>
    <row r="18077" spans="3:3" x14ac:dyDescent="0.35">
      <c r="C18077" s="2"/>
    </row>
    <row r="18078" spans="3:3" x14ac:dyDescent="0.35">
      <c r="C18078" s="2"/>
    </row>
    <row r="18079" spans="3:3" x14ac:dyDescent="0.35">
      <c r="C18079" s="2"/>
    </row>
    <row r="18080" spans="3:3" x14ac:dyDescent="0.35">
      <c r="C18080" s="2"/>
    </row>
    <row r="18081" spans="3:3" x14ac:dyDescent="0.35">
      <c r="C18081" s="2"/>
    </row>
    <row r="18082" spans="3:3" x14ac:dyDescent="0.35">
      <c r="C18082" s="2"/>
    </row>
    <row r="18083" spans="3:3" x14ac:dyDescent="0.35">
      <c r="C18083" s="2"/>
    </row>
    <row r="18084" spans="3:3" x14ac:dyDescent="0.35">
      <c r="C18084" s="2"/>
    </row>
    <row r="18085" spans="3:3" x14ac:dyDescent="0.35">
      <c r="C18085" s="2"/>
    </row>
    <row r="18086" spans="3:3" x14ac:dyDescent="0.35">
      <c r="C18086" s="2"/>
    </row>
    <row r="18087" spans="3:3" x14ac:dyDescent="0.35">
      <c r="C18087" s="2"/>
    </row>
    <row r="18088" spans="3:3" x14ac:dyDescent="0.35">
      <c r="C18088" s="2"/>
    </row>
    <row r="18089" spans="3:3" x14ac:dyDescent="0.35">
      <c r="C18089" s="2"/>
    </row>
    <row r="18090" spans="3:3" x14ac:dyDescent="0.35">
      <c r="C18090" s="2"/>
    </row>
    <row r="18091" spans="3:3" x14ac:dyDescent="0.35">
      <c r="C18091" s="2"/>
    </row>
    <row r="18092" spans="3:3" x14ac:dyDescent="0.35">
      <c r="C18092" s="2"/>
    </row>
    <row r="18093" spans="3:3" x14ac:dyDescent="0.35">
      <c r="C18093" s="2"/>
    </row>
    <row r="18094" spans="3:3" x14ac:dyDescent="0.35">
      <c r="C18094" s="2"/>
    </row>
    <row r="18095" spans="3:3" x14ac:dyDescent="0.35">
      <c r="C18095" s="2"/>
    </row>
    <row r="18096" spans="3:3" x14ac:dyDescent="0.35">
      <c r="C18096" s="2"/>
    </row>
    <row r="18097" spans="3:3" x14ac:dyDescent="0.35">
      <c r="C18097" s="2"/>
    </row>
    <row r="18098" spans="3:3" x14ac:dyDescent="0.35">
      <c r="C18098" s="2"/>
    </row>
    <row r="18099" spans="3:3" x14ac:dyDescent="0.35">
      <c r="C18099" s="2"/>
    </row>
    <row r="18100" spans="3:3" x14ac:dyDescent="0.35">
      <c r="C18100" s="2"/>
    </row>
    <row r="18101" spans="3:3" x14ac:dyDescent="0.35">
      <c r="C18101" s="2"/>
    </row>
    <row r="18102" spans="3:3" x14ac:dyDescent="0.35">
      <c r="C18102" s="2"/>
    </row>
    <row r="18103" spans="3:3" x14ac:dyDescent="0.35">
      <c r="C18103" s="2"/>
    </row>
    <row r="18104" spans="3:3" x14ac:dyDescent="0.35">
      <c r="C18104" s="2"/>
    </row>
    <row r="18105" spans="3:3" x14ac:dyDescent="0.35">
      <c r="C18105" s="2"/>
    </row>
    <row r="18106" spans="3:3" x14ac:dyDescent="0.35">
      <c r="C18106" s="2"/>
    </row>
    <row r="18107" spans="3:3" x14ac:dyDescent="0.35">
      <c r="C18107" s="2"/>
    </row>
    <row r="18108" spans="3:3" x14ac:dyDescent="0.35">
      <c r="C18108" s="2"/>
    </row>
    <row r="18109" spans="3:3" x14ac:dyDescent="0.35">
      <c r="C18109" s="2"/>
    </row>
    <row r="18110" spans="3:3" x14ac:dyDescent="0.35">
      <c r="C18110" s="2"/>
    </row>
    <row r="18111" spans="3:3" x14ac:dyDescent="0.35">
      <c r="C18111" s="2"/>
    </row>
    <row r="18112" spans="3:3" x14ac:dyDescent="0.35">
      <c r="C18112" s="2"/>
    </row>
    <row r="18113" spans="3:3" x14ac:dyDescent="0.35">
      <c r="C18113" s="2"/>
    </row>
    <row r="18114" spans="3:3" x14ac:dyDescent="0.35">
      <c r="C18114" s="2"/>
    </row>
    <row r="18115" spans="3:3" x14ac:dyDescent="0.35">
      <c r="C18115" s="2"/>
    </row>
    <row r="18116" spans="3:3" x14ac:dyDescent="0.35">
      <c r="C18116" s="2"/>
    </row>
    <row r="18117" spans="3:3" x14ac:dyDescent="0.35">
      <c r="C18117" s="2"/>
    </row>
    <row r="18118" spans="3:3" x14ac:dyDescent="0.35">
      <c r="C18118" s="2"/>
    </row>
    <row r="18119" spans="3:3" x14ac:dyDescent="0.35">
      <c r="C18119" s="2"/>
    </row>
    <row r="18120" spans="3:3" x14ac:dyDescent="0.35">
      <c r="C18120" s="2"/>
    </row>
    <row r="18121" spans="3:3" x14ac:dyDescent="0.35">
      <c r="C18121" s="2"/>
    </row>
    <row r="18122" spans="3:3" x14ac:dyDescent="0.35">
      <c r="C18122" s="2"/>
    </row>
    <row r="18123" spans="3:3" x14ac:dyDescent="0.35">
      <c r="C18123" s="2"/>
    </row>
    <row r="18124" spans="3:3" x14ac:dyDescent="0.35">
      <c r="C18124" s="2"/>
    </row>
    <row r="18125" spans="3:3" x14ac:dyDescent="0.35">
      <c r="C18125" s="2"/>
    </row>
    <row r="18126" spans="3:3" x14ac:dyDescent="0.35">
      <c r="C18126" s="2"/>
    </row>
    <row r="18127" spans="3:3" x14ac:dyDescent="0.35">
      <c r="C18127" s="2"/>
    </row>
    <row r="18128" spans="3:3" x14ac:dyDescent="0.35">
      <c r="C18128" s="2"/>
    </row>
    <row r="18129" spans="3:3" x14ac:dyDescent="0.35">
      <c r="C18129" s="2"/>
    </row>
    <row r="18130" spans="3:3" x14ac:dyDescent="0.35">
      <c r="C18130" s="2"/>
    </row>
    <row r="18131" spans="3:3" x14ac:dyDescent="0.35">
      <c r="C18131" s="2"/>
    </row>
    <row r="18132" spans="3:3" x14ac:dyDescent="0.35">
      <c r="C18132" s="2"/>
    </row>
    <row r="18133" spans="3:3" x14ac:dyDescent="0.35">
      <c r="C18133" s="2"/>
    </row>
    <row r="18134" spans="3:3" x14ac:dyDescent="0.35">
      <c r="C18134" s="2"/>
    </row>
    <row r="18135" spans="3:3" x14ac:dyDescent="0.35">
      <c r="C18135" s="2"/>
    </row>
    <row r="18136" spans="3:3" x14ac:dyDescent="0.35">
      <c r="C18136" s="2"/>
    </row>
    <row r="18137" spans="3:3" x14ac:dyDescent="0.35">
      <c r="C18137" s="2"/>
    </row>
    <row r="18138" spans="3:3" x14ac:dyDescent="0.35">
      <c r="C18138" s="2"/>
    </row>
    <row r="18139" spans="3:3" x14ac:dyDescent="0.35">
      <c r="C18139" s="2"/>
    </row>
    <row r="18140" spans="3:3" x14ac:dyDescent="0.35">
      <c r="C18140" s="2"/>
    </row>
    <row r="18141" spans="3:3" x14ac:dyDescent="0.35">
      <c r="C18141" s="2"/>
    </row>
    <row r="18142" spans="3:3" x14ac:dyDescent="0.35">
      <c r="C18142" s="2"/>
    </row>
    <row r="18143" spans="3:3" x14ac:dyDescent="0.35">
      <c r="C18143" s="2"/>
    </row>
    <row r="18144" spans="3:3" x14ac:dyDescent="0.35">
      <c r="C18144" s="2"/>
    </row>
    <row r="18145" spans="3:3" x14ac:dyDescent="0.35">
      <c r="C18145" s="2"/>
    </row>
    <row r="18146" spans="3:3" x14ac:dyDescent="0.35">
      <c r="C18146" s="2"/>
    </row>
    <row r="18147" spans="3:3" x14ac:dyDescent="0.35">
      <c r="C18147" s="2"/>
    </row>
    <row r="18148" spans="3:3" x14ac:dyDescent="0.35">
      <c r="C18148" s="2"/>
    </row>
    <row r="18149" spans="3:3" x14ac:dyDescent="0.35">
      <c r="C18149" s="2"/>
    </row>
    <row r="18150" spans="3:3" x14ac:dyDescent="0.35">
      <c r="C18150" s="2"/>
    </row>
    <row r="18151" spans="3:3" x14ac:dyDescent="0.35">
      <c r="C18151" s="2"/>
    </row>
    <row r="18152" spans="3:3" x14ac:dyDescent="0.35">
      <c r="C18152" s="2"/>
    </row>
    <row r="18153" spans="3:3" x14ac:dyDescent="0.35">
      <c r="C18153" s="2"/>
    </row>
    <row r="18154" spans="3:3" x14ac:dyDescent="0.35">
      <c r="C18154" s="2"/>
    </row>
    <row r="18155" spans="3:3" x14ac:dyDescent="0.35">
      <c r="C18155" s="2"/>
    </row>
    <row r="18156" spans="3:3" x14ac:dyDescent="0.35">
      <c r="C18156" s="2"/>
    </row>
    <row r="18157" spans="3:3" x14ac:dyDescent="0.35">
      <c r="C18157" s="2"/>
    </row>
    <row r="18158" spans="3:3" x14ac:dyDescent="0.35">
      <c r="C18158" s="2"/>
    </row>
    <row r="18159" spans="3:3" x14ac:dyDescent="0.35">
      <c r="C18159" s="2"/>
    </row>
    <row r="18160" spans="3:3" x14ac:dyDescent="0.35">
      <c r="C18160" s="2"/>
    </row>
    <row r="18161" spans="3:3" x14ac:dyDescent="0.35">
      <c r="C18161" s="2"/>
    </row>
    <row r="18162" spans="3:3" x14ac:dyDescent="0.35">
      <c r="C18162" s="2"/>
    </row>
    <row r="18163" spans="3:3" x14ac:dyDescent="0.35">
      <c r="C18163" s="2"/>
    </row>
    <row r="18164" spans="3:3" x14ac:dyDescent="0.35">
      <c r="C18164" s="2"/>
    </row>
    <row r="18165" spans="3:3" x14ac:dyDescent="0.35">
      <c r="C18165" s="2"/>
    </row>
    <row r="18166" spans="3:3" x14ac:dyDescent="0.35">
      <c r="C18166" s="2"/>
    </row>
    <row r="18167" spans="3:3" x14ac:dyDescent="0.35">
      <c r="C18167" s="2"/>
    </row>
    <row r="18168" spans="3:3" x14ac:dyDescent="0.35">
      <c r="C18168" s="2"/>
    </row>
    <row r="18169" spans="3:3" x14ac:dyDescent="0.35">
      <c r="C18169" s="2"/>
    </row>
    <row r="18170" spans="3:3" x14ac:dyDescent="0.35">
      <c r="C18170" s="2"/>
    </row>
    <row r="18171" spans="3:3" x14ac:dyDescent="0.35">
      <c r="C18171" s="2"/>
    </row>
    <row r="18172" spans="3:3" x14ac:dyDescent="0.35">
      <c r="C18172" s="2"/>
    </row>
    <row r="18173" spans="3:3" x14ac:dyDescent="0.35">
      <c r="C18173" s="2"/>
    </row>
    <row r="18174" spans="3:3" x14ac:dyDescent="0.35">
      <c r="C18174" s="2"/>
    </row>
    <row r="18175" spans="3:3" x14ac:dyDescent="0.35">
      <c r="C18175" s="2"/>
    </row>
    <row r="18176" spans="3:3" x14ac:dyDescent="0.35">
      <c r="C18176" s="2"/>
    </row>
    <row r="18177" spans="3:3" x14ac:dyDescent="0.35">
      <c r="C18177" s="2"/>
    </row>
    <row r="18178" spans="3:3" x14ac:dyDescent="0.35">
      <c r="C18178" s="2"/>
    </row>
    <row r="18179" spans="3:3" x14ac:dyDescent="0.35">
      <c r="C18179" s="2"/>
    </row>
    <row r="18180" spans="3:3" x14ac:dyDescent="0.35">
      <c r="C18180" s="2"/>
    </row>
    <row r="18181" spans="3:3" x14ac:dyDescent="0.35">
      <c r="C18181" s="2"/>
    </row>
    <row r="18182" spans="3:3" x14ac:dyDescent="0.35">
      <c r="C18182" s="2"/>
    </row>
    <row r="18183" spans="3:3" x14ac:dyDescent="0.35">
      <c r="C18183" s="2"/>
    </row>
    <row r="18184" spans="3:3" x14ac:dyDescent="0.35">
      <c r="C18184" s="2"/>
    </row>
    <row r="18185" spans="3:3" x14ac:dyDescent="0.35">
      <c r="C18185" s="2"/>
    </row>
    <row r="18186" spans="3:3" x14ac:dyDescent="0.35">
      <c r="C18186" s="2"/>
    </row>
    <row r="18187" spans="3:3" x14ac:dyDescent="0.35">
      <c r="C18187" s="2"/>
    </row>
    <row r="18188" spans="3:3" x14ac:dyDescent="0.35">
      <c r="C18188" s="2"/>
    </row>
    <row r="18189" spans="3:3" x14ac:dyDescent="0.35">
      <c r="C18189" s="2"/>
    </row>
    <row r="18190" spans="3:3" x14ac:dyDescent="0.35">
      <c r="C18190" s="2"/>
    </row>
    <row r="18191" spans="3:3" x14ac:dyDescent="0.35">
      <c r="C18191" s="2"/>
    </row>
    <row r="18192" spans="3:3" x14ac:dyDescent="0.35">
      <c r="C18192" s="2"/>
    </row>
    <row r="18193" spans="3:3" x14ac:dyDescent="0.35">
      <c r="C18193" s="2"/>
    </row>
    <row r="18194" spans="3:3" x14ac:dyDescent="0.35">
      <c r="C18194" s="2"/>
    </row>
    <row r="18195" spans="3:3" x14ac:dyDescent="0.35">
      <c r="C18195" s="2"/>
    </row>
    <row r="18196" spans="3:3" x14ac:dyDescent="0.35">
      <c r="C18196" s="2"/>
    </row>
    <row r="18197" spans="3:3" x14ac:dyDescent="0.35">
      <c r="C18197" s="2"/>
    </row>
    <row r="18198" spans="3:3" x14ac:dyDescent="0.35">
      <c r="C18198" s="2"/>
    </row>
    <row r="18199" spans="3:3" x14ac:dyDescent="0.35">
      <c r="C18199" s="2"/>
    </row>
    <row r="18200" spans="3:3" x14ac:dyDescent="0.35">
      <c r="C18200" s="2"/>
    </row>
    <row r="18201" spans="3:3" x14ac:dyDescent="0.35">
      <c r="C18201" s="2"/>
    </row>
    <row r="18202" spans="3:3" x14ac:dyDescent="0.35">
      <c r="C18202" s="2"/>
    </row>
    <row r="18203" spans="3:3" x14ac:dyDescent="0.35">
      <c r="C18203" s="2"/>
    </row>
    <row r="18204" spans="3:3" x14ac:dyDescent="0.35">
      <c r="C18204" s="2"/>
    </row>
    <row r="18205" spans="3:3" x14ac:dyDescent="0.35">
      <c r="C18205" s="2"/>
    </row>
    <row r="18206" spans="3:3" x14ac:dyDescent="0.35">
      <c r="C18206" s="2"/>
    </row>
    <row r="18207" spans="3:3" x14ac:dyDescent="0.35">
      <c r="C18207" s="2"/>
    </row>
    <row r="18208" spans="3:3" x14ac:dyDescent="0.35">
      <c r="C18208" s="2"/>
    </row>
    <row r="18209" spans="3:3" x14ac:dyDescent="0.35">
      <c r="C18209" s="2"/>
    </row>
    <row r="18210" spans="3:3" x14ac:dyDescent="0.35">
      <c r="C18210" s="2"/>
    </row>
    <row r="18211" spans="3:3" x14ac:dyDescent="0.35">
      <c r="C18211" s="2"/>
    </row>
    <row r="18212" spans="3:3" x14ac:dyDescent="0.35">
      <c r="C18212" s="2"/>
    </row>
    <row r="18213" spans="3:3" x14ac:dyDescent="0.35">
      <c r="C18213" s="2"/>
    </row>
    <row r="18214" spans="3:3" x14ac:dyDescent="0.35">
      <c r="C18214" s="2"/>
    </row>
    <row r="18215" spans="3:3" x14ac:dyDescent="0.35">
      <c r="C18215" s="2"/>
    </row>
    <row r="18216" spans="3:3" x14ac:dyDescent="0.35">
      <c r="C18216" s="2"/>
    </row>
    <row r="18217" spans="3:3" x14ac:dyDescent="0.35">
      <c r="C18217" s="2"/>
    </row>
    <row r="18218" spans="3:3" x14ac:dyDescent="0.35">
      <c r="C18218" s="2"/>
    </row>
    <row r="18219" spans="3:3" x14ac:dyDescent="0.35">
      <c r="C18219" s="2"/>
    </row>
    <row r="18220" spans="3:3" x14ac:dyDescent="0.35">
      <c r="C18220" s="2"/>
    </row>
    <row r="18221" spans="3:3" x14ac:dyDescent="0.35">
      <c r="C18221" s="2"/>
    </row>
    <row r="18222" spans="3:3" x14ac:dyDescent="0.35">
      <c r="C18222" s="2"/>
    </row>
    <row r="18223" spans="3:3" x14ac:dyDescent="0.35">
      <c r="C18223" s="2"/>
    </row>
    <row r="18224" spans="3:3" x14ac:dyDescent="0.35">
      <c r="C18224" s="2"/>
    </row>
    <row r="18225" spans="3:3" x14ac:dyDescent="0.35">
      <c r="C18225" s="2"/>
    </row>
    <row r="18226" spans="3:3" x14ac:dyDescent="0.35">
      <c r="C18226" s="2"/>
    </row>
    <row r="18227" spans="3:3" x14ac:dyDescent="0.35">
      <c r="C18227" s="2"/>
    </row>
    <row r="18228" spans="3:3" x14ac:dyDescent="0.35">
      <c r="C18228" s="2"/>
    </row>
    <row r="18229" spans="3:3" x14ac:dyDescent="0.35">
      <c r="C18229" s="2"/>
    </row>
    <row r="18230" spans="3:3" x14ac:dyDescent="0.35">
      <c r="C18230" s="2"/>
    </row>
    <row r="18231" spans="3:3" x14ac:dyDescent="0.35">
      <c r="C18231" s="2"/>
    </row>
    <row r="18232" spans="3:3" x14ac:dyDescent="0.35">
      <c r="C18232" s="2"/>
    </row>
    <row r="18233" spans="3:3" x14ac:dyDescent="0.35">
      <c r="C18233" s="2"/>
    </row>
    <row r="18234" spans="3:3" x14ac:dyDescent="0.35">
      <c r="C18234" s="2"/>
    </row>
    <row r="18235" spans="3:3" x14ac:dyDescent="0.35">
      <c r="C18235" s="2"/>
    </row>
    <row r="18236" spans="3:3" x14ac:dyDescent="0.35">
      <c r="C18236" s="2"/>
    </row>
    <row r="18237" spans="3:3" x14ac:dyDescent="0.35">
      <c r="C18237" s="2"/>
    </row>
    <row r="18238" spans="3:3" x14ac:dyDescent="0.35">
      <c r="C18238" s="2"/>
    </row>
    <row r="18239" spans="3:3" x14ac:dyDescent="0.35">
      <c r="C18239" s="2"/>
    </row>
    <row r="18240" spans="3:3" x14ac:dyDescent="0.35">
      <c r="C18240" s="2"/>
    </row>
    <row r="18241" spans="3:3" x14ac:dyDescent="0.35">
      <c r="C18241" s="2"/>
    </row>
    <row r="18242" spans="3:3" x14ac:dyDescent="0.35">
      <c r="C18242" s="2"/>
    </row>
    <row r="18243" spans="3:3" x14ac:dyDescent="0.35">
      <c r="C18243" s="2"/>
    </row>
    <row r="18244" spans="3:3" x14ac:dyDescent="0.35">
      <c r="C18244" s="2"/>
    </row>
    <row r="18245" spans="3:3" x14ac:dyDescent="0.35">
      <c r="C18245" s="2"/>
    </row>
    <row r="18246" spans="3:3" x14ac:dyDescent="0.35">
      <c r="C18246" s="2"/>
    </row>
    <row r="18247" spans="3:3" x14ac:dyDescent="0.35">
      <c r="C18247" s="2"/>
    </row>
    <row r="18248" spans="3:3" x14ac:dyDescent="0.35">
      <c r="C18248" s="2"/>
    </row>
    <row r="18249" spans="3:3" x14ac:dyDescent="0.35">
      <c r="C18249" s="2"/>
    </row>
    <row r="18250" spans="3:3" x14ac:dyDescent="0.35">
      <c r="C18250" s="2"/>
    </row>
    <row r="18251" spans="3:3" x14ac:dyDescent="0.35">
      <c r="C18251" s="2"/>
    </row>
    <row r="18252" spans="3:3" x14ac:dyDescent="0.35">
      <c r="C18252" s="2"/>
    </row>
    <row r="18253" spans="3:3" x14ac:dyDescent="0.35">
      <c r="C18253" s="2"/>
    </row>
    <row r="18254" spans="3:3" x14ac:dyDescent="0.35">
      <c r="C18254" s="2"/>
    </row>
    <row r="18255" spans="3:3" x14ac:dyDescent="0.35">
      <c r="C18255" s="2"/>
    </row>
    <row r="18256" spans="3:3" x14ac:dyDescent="0.35">
      <c r="C18256" s="2"/>
    </row>
    <row r="18257" spans="3:3" x14ac:dyDescent="0.35">
      <c r="C18257" s="2"/>
    </row>
    <row r="18258" spans="3:3" x14ac:dyDescent="0.35">
      <c r="C18258" s="2"/>
    </row>
    <row r="18259" spans="3:3" x14ac:dyDescent="0.35">
      <c r="C18259" s="2"/>
    </row>
    <row r="18260" spans="3:3" x14ac:dyDescent="0.35">
      <c r="C18260" s="2"/>
    </row>
    <row r="18261" spans="3:3" x14ac:dyDescent="0.35">
      <c r="C18261" s="2"/>
    </row>
    <row r="18262" spans="3:3" x14ac:dyDescent="0.35">
      <c r="C18262" s="2"/>
    </row>
    <row r="18263" spans="3:3" x14ac:dyDescent="0.35">
      <c r="C18263" s="2"/>
    </row>
    <row r="18264" spans="3:3" x14ac:dyDescent="0.35">
      <c r="C18264" s="2"/>
    </row>
    <row r="18265" spans="3:3" x14ac:dyDescent="0.35">
      <c r="C18265" s="2"/>
    </row>
    <row r="18266" spans="3:3" x14ac:dyDescent="0.35">
      <c r="C18266" s="2"/>
    </row>
    <row r="18267" spans="3:3" x14ac:dyDescent="0.35">
      <c r="C18267" s="2"/>
    </row>
    <row r="18268" spans="3:3" x14ac:dyDescent="0.35">
      <c r="C18268" s="2"/>
    </row>
    <row r="18269" spans="3:3" x14ac:dyDescent="0.35">
      <c r="C18269" s="2"/>
    </row>
    <row r="18270" spans="3:3" x14ac:dyDescent="0.35">
      <c r="C18270" s="2"/>
    </row>
    <row r="18271" spans="3:3" x14ac:dyDescent="0.35">
      <c r="C18271" s="2"/>
    </row>
    <row r="18272" spans="3:3" x14ac:dyDescent="0.35">
      <c r="C18272" s="2"/>
    </row>
    <row r="18273" spans="3:3" x14ac:dyDescent="0.35">
      <c r="C18273" s="2"/>
    </row>
    <row r="18274" spans="3:3" x14ac:dyDescent="0.35">
      <c r="C18274" s="2"/>
    </row>
    <row r="18275" spans="3:3" x14ac:dyDescent="0.35">
      <c r="C18275" s="2"/>
    </row>
    <row r="18276" spans="3:3" x14ac:dyDescent="0.35">
      <c r="C18276" s="2"/>
    </row>
    <row r="18277" spans="3:3" x14ac:dyDescent="0.35">
      <c r="C18277" s="2"/>
    </row>
    <row r="18278" spans="3:3" x14ac:dyDescent="0.35">
      <c r="C18278" s="2"/>
    </row>
    <row r="18279" spans="3:3" x14ac:dyDescent="0.35">
      <c r="C18279" s="2"/>
    </row>
    <row r="18280" spans="3:3" x14ac:dyDescent="0.35">
      <c r="C18280" s="2"/>
    </row>
    <row r="18281" spans="3:3" x14ac:dyDescent="0.35">
      <c r="C18281" s="2"/>
    </row>
    <row r="18282" spans="3:3" x14ac:dyDescent="0.35">
      <c r="C18282" s="2"/>
    </row>
    <row r="18283" spans="3:3" x14ac:dyDescent="0.35">
      <c r="C18283" s="2"/>
    </row>
    <row r="18284" spans="3:3" x14ac:dyDescent="0.35">
      <c r="C18284" s="2"/>
    </row>
    <row r="18285" spans="3:3" x14ac:dyDescent="0.35">
      <c r="C18285" s="2"/>
    </row>
    <row r="18286" spans="3:3" x14ac:dyDescent="0.35">
      <c r="C18286" s="2"/>
    </row>
    <row r="18287" spans="3:3" x14ac:dyDescent="0.35">
      <c r="C18287" s="2"/>
    </row>
    <row r="18288" spans="3:3" x14ac:dyDescent="0.35">
      <c r="C18288" s="2"/>
    </row>
    <row r="18289" spans="3:3" x14ac:dyDescent="0.35">
      <c r="C18289" s="2"/>
    </row>
    <row r="18290" spans="3:3" x14ac:dyDescent="0.35">
      <c r="C18290" s="2"/>
    </row>
    <row r="18291" spans="3:3" x14ac:dyDescent="0.35">
      <c r="C18291" s="2"/>
    </row>
    <row r="18292" spans="3:3" x14ac:dyDescent="0.35">
      <c r="C18292" s="2"/>
    </row>
    <row r="18293" spans="3:3" x14ac:dyDescent="0.35">
      <c r="C18293" s="2"/>
    </row>
    <row r="18294" spans="3:3" x14ac:dyDescent="0.35">
      <c r="C18294" s="2"/>
    </row>
    <row r="18295" spans="3:3" x14ac:dyDescent="0.35">
      <c r="C18295" s="2"/>
    </row>
    <row r="18296" spans="3:3" x14ac:dyDescent="0.35">
      <c r="C18296" s="2"/>
    </row>
    <row r="18297" spans="3:3" x14ac:dyDescent="0.35">
      <c r="C18297" s="2"/>
    </row>
    <row r="18298" spans="3:3" x14ac:dyDescent="0.35">
      <c r="C18298" s="2"/>
    </row>
    <row r="18299" spans="3:3" x14ac:dyDescent="0.35">
      <c r="C18299" s="2"/>
    </row>
    <row r="18300" spans="3:3" x14ac:dyDescent="0.35">
      <c r="C18300" s="2"/>
    </row>
    <row r="18301" spans="3:3" x14ac:dyDescent="0.35">
      <c r="C18301" s="2"/>
    </row>
    <row r="18302" spans="3:3" x14ac:dyDescent="0.35">
      <c r="C18302" s="2"/>
    </row>
    <row r="18303" spans="3:3" x14ac:dyDescent="0.35">
      <c r="C18303" s="2"/>
    </row>
    <row r="18304" spans="3:3" x14ac:dyDescent="0.35">
      <c r="C18304" s="2"/>
    </row>
    <row r="18305" spans="3:3" x14ac:dyDescent="0.35">
      <c r="C18305" s="2"/>
    </row>
    <row r="18306" spans="3:3" x14ac:dyDescent="0.35">
      <c r="C18306" s="2"/>
    </row>
    <row r="18307" spans="3:3" x14ac:dyDescent="0.35">
      <c r="C18307" s="2"/>
    </row>
    <row r="18308" spans="3:3" x14ac:dyDescent="0.35">
      <c r="C18308" s="2"/>
    </row>
    <row r="18309" spans="3:3" x14ac:dyDescent="0.35">
      <c r="C18309" s="2"/>
    </row>
    <row r="18310" spans="3:3" x14ac:dyDescent="0.35">
      <c r="C18310" s="2"/>
    </row>
    <row r="18311" spans="3:3" x14ac:dyDescent="0.35">
      <c r="C18311" s="2"/>
    </row>
    <row r="18312" spans="3:3" x14ac:dyDescent="0.35">
      <c r="C18312" s="2"/>
    </row>
    <row r="18313" spans="3:3" x14ac:dyDescent="0.35">
      <c r="C18313" s="2"/>
    </row>
    <row r="18314" spans="3:3" x14ac:dyDescent="0.35">
      <c r="C18314" s="2"/>
    </row>
    <row r="18315" spans="3:3" x14ac:dyDescent="0.35">
      <c r="C18315" s="2"/>
    </row>
    <row r="18316" spans="3:3" x14ac:dyDescent="0.35">
      <c r="C18316" s="2"/>
    </row>
    <row r="18317" spans="3:3" x14ac:dyDescent="0.35">
      <c r="C18317" s="2"/>
    </row>
    <row r="18318" spans="3:3" x14ac:dyDescent="0.35">
      <c r="C18318" s="2"/>
    </row>
    <row r="18319" spans="3:3" x14ac:dyDescent="0.35">
      <c r="C18319" s="2"/>
    </row>
    <row r="18320" spans="3:3" x14ac:dyDescent="0.35">
      <c r="C18320" s="2"/>
    </row>
    <row r="18321" spans="3:3" x14ac:dyDescent="0.35">
      <c r="C18321" s="2"/>
    </row>
    <row r="18322" spans="3:3" x14ac:dyDescent="0.35">
      <c r="C18322" s="2"/>
    </row>
    <row r="18323" spans="3:3" x14ac:dyDescent="0.35">
      <c r="C18323" s="2"/>
    </row>
    <row r="18324" spans="3:3" x14ac:dyDescent="0.35">
      <c r="C18324" s="2"/>
    </row>
    <row r="18325" spans="3:3" x14ac:dyDescent="0.35">
      <c r="C18325" s="2"/>
    </row>
    <row r="18326" spans="3:3" x14ac:dyDescent="0.35">
      <c r="C18326" s="2"/>
    </row>
    <row r="18327" spans="3:3" x14ac:dyDescent="0.35">
      <c r="C18327" s="2"/>
    </row>
    <row r="18328" spans="3:3" x14ac:dyDescent="0.35">
      <c r="C18328" s="2"/>
    </row>
    <row r="18329" spans="3:3" x14ac:dyDescent="0.35">
      <c r="C18329" s="2"/>
    </row>
    <row r="18330" spans="3:3" x14ac:dyDescent="0.35">
      <c r="C18330" s="2"/>
    </row>
    <row r="18331" spans="3:3" x14ac:dyDescent="0.35">
      <c r="C18331" s="2"/>
    </row>
    <row r="18332" spans="3:3" x14ac:dyDescent="0.35">
      <c r="C18332" s="2"/>
    </row>
    <row r="18333" spans="3:3" x14ac:dyDescent="0.35">
      <c r="C18333" s="2"/>
    </row>
    <row r="18334" spans="3:3" x14ac:dyDescent="0.35">
      <c r="C18334" s="2"/>
    </row>
    <row r="18335" spans="3:3" x14ac:dyDescent="0.35">
      <c r="C18335" s="2"/>
    </row>
    <row r="18336" spans="3:3" x14ac:dyDescent="0.35">
      <c r="C18336" s="2"/>
    </row>
    <row r="18337" spans="3:3" x14ac:dyDescent="0.35">
      <c r="C18337" s="2"/>
    </row>
    <row r="18338" spans="3:3" x14ac:dyDescent="0.35">
      <c r="C18338" s="2"/>
    </row>
    <row r="18339" spans="3:3" x14ac:dyDescent="0.35">
      <c r="C18339" s="2"/>
    </row>
    <row r="18340" spans="3:3" x14ac:dyDescent="0.35">
      <c r="C18340" s="2"/>
    </row>
    <row r="18341" spans="3:3" x14ac:dyDescent="0.35">
      <c r="C18341" s="2"/>
    </row>
    <row r="18342" spans="3:3" x14ac:dyDescent="0.35">
      <c r="C18342" s="2"/>
    </row>
    <row r="18343" spans="3:3" x14ac:dyDescent="0.35">
      <c r="C18343" s="2"/>
    </row>
    <row r="18344" spans="3:3" x14ac:dyDescent="0.35">
      <c r="C18344" s="2"/>
    </row>
    <row r="18345" spans="3:3" x14ac:dyDescent="0.35">
      <c r="C18345" s="2"/>
    </row>
    <row r="18346" spans="3:3" x14ac:dyDescent="0.35">
      <c r="C18346" s="2"/>
    </row>
    <row r="18347" spans="3:3" x14ac:dyDescent="0.35">
      <c r="C18347" s="2"/>
    </row>
    <row r="18348" spans="3:3" x14ac:dyDescent="0.35">
      <c r="C18348" s="2"/>
    </row>
    <row r="18349" spans="3:3" x14ac:dyDescent="0.35">
      <c r="C18349" s="2"/>
    </row>
    <row r="18350" spans="3:3" x14ac:dyDescent="0.35">
      <c r="C18350" s="2"/>
    </row>
    <row r="18351" spans="3:3" x14ac:dyDescent="0.35">
      <c r="C18351" s="2"/>
    </row>
    <row r="18352" spans="3:3" x14ac:dyDescent="0.35">
      <c r="C18352" s="2"/>
    </row>
    <row r="18353" spans="3:3" x14ac:dyDescent="0.35">
      <c r="C18353" s="2"/>
    </row>
    <row r="18354" spans="3:3" x14ac:dyDescent="0.35">
      <c r="C18354" s="2"/>
    </row>
    <row r="18355" spans="3:3" x14ac:dyDescent="0.35">
      <c r="C18355" s="2"/>
    </row>
    <row r="18356" spans="3:3" x14ac:dyDescent="0.35">
      <c r="C18356" s="2"/>
    </row>
    <row r="18357" spans="3:3" x14ac:dyDescent="0.35">
      <c r="C18357" s="2"/>
    </row>
    <row r="18358" spans="3:3" x14ac:dyDescent="0.35">
      <c r="C18358" s="2"/>
    </row>
    <row r="18359" spans="3:3" x14ac:dyDescent="0.35">
      <c r="C18359" s="2"/>
    </row>
    <row r="18360" spans="3:3" x14ac:dyDescent="0.35">
      <c r="C18360" s="2"/>
    </row>
    <row r="18361" spans="3:3" x14ac:dyDescent="0.35">
      <c r="C18361" s="2"/>
    </row>
    <row r="18362" spans="3:3" x14ac:dyDescent="0.35">
      <c r="C18362" s="2"/>
    </row>
    <row r="18363" spans="3:3" x14ac:dyDescent="0.35">
      <c r="C18363" s="2"/>
    </row>
    <row r="18364" spans="3:3" x14ac:dyDescent="0.35">
      <c r="C18364" s="2"/>
    </row>
    <row r="18365" spans="3:3" x14ac:dyDescent="0.35">
      <c r="C18365" s="2"/>
    </row>
    <row r="18366" spans="3:3" x14ac:dyDescent="0.35">
      <c r="C18366" s="2"/>
    </row>
    <row r="18367" spans="3:3" x14ac:dyDescent="0.35">
      <c r="C18367" s="2"/>
    </row>
    <row r="18368" spans="3:3" x14ac:dyDescent="0.35">
      <c r="C18368" s="2"/>
    </row>
    <row r="18369" spans="3:3" x14ac:dyDescent="0.35">
      <c r="C18369" s="2"/>
    </row>
    <row r="18370" spans="3:3" x14ac:dyDescent="0.35">
      <c r="C18370" s="2"/>
    </row>
    <row r="18371" spans="3:3" x14ac:dyDescent="0.35">
      <c r="C18371" s="2"/>
    </row>
    <row r="18372" spans="3:3" x14ac:dyDescent="0.35">
      <c r="C18372" s="2"/>
    </row>
    <row r="18373" spans="3:3" x14ac:dyDescent="0.35">
      <c r="C18373" s="2"/>
    </row>
    <row r="18374" spans="3:3" x14ac:dyDescent="0.35">
      <c r="C18374" s="2"/>
    </row>
    <row r="18375" spans="3:3" x14ac:dyDescent="0.35">
      <c r="C18375" s="2"/>
    </row>
    <row r="18376" spans="3:3" x14ac:dyDescent="0.35">
      <c r="C18376" s="2"/>
    </row>
    <row r="18377" spans="3:3" x14ac:dyDescent="0.35">
      <c r="C18377" s="2"/>
    </row>
    <row r="18378" spans="3:3" x14ac:dyDescent="0.35">
      <c r="C18378" s="2"/>
    </row>
    <row r="18379" spans="3:3" x14ac:dyDescent="0.35">
      <c r="C18379" s="2"/>
    </row>
    <row r="18380" spans="3:3" x14ac:dyDescent="0.35">
      <c r="C18380" s="2"/>
    </row>
    <row r="18381" spans="3:3" x14ac:dyDescent="0.35">
      <c r="C18381" s="2"/>
    </row>
    <row r="18382" spans="3:3" x14ac:dyDescent="0.35">
      <c r="C18382" s="2"/>
    </row>
    <row r="18383" spans="3:3" x14ac:dyDescent="0.35">
      <c r="C18383" s="2"/>
    </row>
    <row r="18384" spans="3:3" x14ac:dyDescent="0.35">
      <c r="C18384" s="2"/>
    </row>
    <row r="18385" spans="3:3" x14ac:dyDescent="0.35">
      <c r="C18385" s="2"/>
    </row>
    <row r="18386" spans="3:3" x14ac:dyDescent="0.35">
      <c r="C18386" s="2"/>
    </row>
    <row r="18387" spans="3:3" x14ac:dyDescent="0.35">
      <c r="C18387" s="2"/>
    </row>
    <row r="18388" spans="3:3" x14ac:dyDescent="0.35">
      <c r="C18388" s="2"/>
    </row>
    <row r="18389" spans="3:3" x14ac:dyDescent="0.35">
      <c r="C18389" s="2"/>
    </row>
    <row r="18390" spans="3:3" x14ac:dyDescent="0.35">
      <c r="C18390" s="2"/>
    </row>
    <row r="18391" spans="3:3" x14ac:dyDescent="0.35">
      <c r="C18391" s="2"/>
    </row>
    <row r="18392" spans="3:3" x14ac:dyDescent="0.35">
      <c r="C18392" s="2"/>
    </row>
    <row r="18393" spans="3:3" x14ac:dyDescent="0.35">
      <c r="C18393" s="2"/>
    </row>
    <row r="18394" spans="3:3" x14ac:dyDescent="0.35">
      <c r="C18394" s="2"/>
    </row>
    <row r="18395" spans="3:3" x14ac:dyDescent="0.35">
      <c r="C18395" s="2"/>
    </row>
    <row r="18396" spans="3:3" x14ac:dyDescent="0.35">
      <c r="C18396" s="2"/>
    </row>
    <row r="18397" spans="3:3" x14ac:dyDescent="0.35">
      <c r="C18397" s="2"/>
    </row>
    <row r="18398" spans="3:3" x14ac:dyDescent="0.35">
      <c r="C18398" s="2"/>
    </row>
    <row r="18399" spans="3:3" x14ac:dyDescent="0.35">
      <c r="C18399" s="2"/>
    </row>
    <row r="18400" spans="3:3" x14ac:dyDescent="0.35">
      <c r="C18400" s="2"/>
    </row>
    <row r="18401" spans="3:3" x14ac:dyDescent="0.35">
      <c r="C18401" s="2"/>
    </row>
    <row r="18402" spans="3:3" x14ac:dyDescent="0.35">
      <c r="C18402" s="2"/>
    </row>
    <row r="18403" spans="3:3" x14ac:dyDescent="0.35">
      <c r="C18403" s="2"/>
    </row>
    <row r="18404" spans="3:3" x14ac:dyDescent="0.35">
      <c r="C18404" s="2"/>
    </row>
    <row r="18405" spans="3:3" x14ac:dyDescent="0.35">
      <c r="C18405" s="2"/>
    </row>
    <row r="18406" spans="3:3" x14ac:dyDescent="0.35">
      <c r="C18406" s="2"/>
    </row>
    <row r="18407" spans="3:3" x14ac:dyDescent="0.35">
      <c r="C18407" s="2"/>
    </row>
    <row r="18408" spans="3:3" x14ac:dyDescent="0.35">
      <c r="C18408" s="2"/>
    </row>
    <row r="18409" spans="3:3" x14ac:dyDescent="0.35">
      <c r="C18409" s="2"/>
    </row>
    <row r="18410" spans="3:3" x14ac:dyDescent="0.35">
      <c r="C18410" s="2"/>
    </row>
    <row r="18411" spans="3:3" x14ac:dyDescent="0.35">
      <c r="C18411" s="2"/>
    </row>
    <row r="18412" spans="3:3" x14ac:dyDescent="0.35">
      <c r="C18412" s="2"/>
    </row>
    <row r="18413" spans="3:3" x14ac:dyDescent="0.35">
      <c r="C18413" s="2"/>
    </row>
    <row r="18414" spans="3:3" x14ac:dyDescent="0.35">
      <c r="C18414" s="2"/>
    </row>
    <row r="18415" spans="3:3" x14ac:dyDescent="0.35">
      <c r="C18415" s="2"/>
    </row>
    <row r="18416" spans="3:3" x14ac:dyDescent="0.35">
      <c r="C18416" s="2"/>
    </row>
    <row r="18417" spans="3:3" x14ac:dyDescent="0.35">
      <c r="C18417" s="2"/>
    </row>
    <row r="18418" spans="3:3" x14ac:dyDescent="0.35">
      <c r="C18418" s="2"/>
    </row>
    <row r="18419" spans="3:3" x14ac:dyDescent="0.35">
      <c r="C18419" s="2"/>
    </row>
    <row r="18420" spans="3:3" x14ac:dyDescent="0.35">
      <c r="C18420" s="2"/>
    </row>
    <row r="18421" spans="3:3" x14ac:dyDescent="0.35">
      <c r="C18421" s="2"/>
    </row>
    <row r="18422" spans="3:3" x14ac:dyDescent="0.35">
      <c r="C18422" s="2"/>
    </row>
    <row r="18423" spans="3:3" x14ac:dyDescent="0.35">
      <c r="C18423" s="2"/>
    </row>
    <row r="18424" spans="3:3" x14ac:dyDescent="0.35">
      <c r="C18424" s="2"/>
    </row>
    <row r="18425" spans="3:3" x14ac:dyDescent="0.35">
      <c r="C18425" s="2"/>
    </row>
    <row r="18426" spans="3:3" x14ac:dyDescent="0.35">
      <c r="C18426" s="2"/>
    </row>
    <row r="18427" spans="3:3" x14ac:dyDescent="0.35">
      <c r="C18427" s="2"/>
    </row>
    <row r="18428" spans="3:3" x14ac:dyDescent="0.35">
      <c r="C18428" s="2"/>
    </row>
    <row r="18429" spans="3:3" x14ac:dyDescent="0.35">
      <c r="C18429" s="2"/>
    </row>
    <row r="18430" spans="3:3" x14ac:dyDescent="0.35">
      <c r="C18430" s="2"/>
    </row>
    <row r="18431" spans="3:3" x14ac:dyDescent="0.35">
      <c r="C18431" s="2"/>
    </row>
    <row r="18432" spans="3:3" x14ac:dyDescent="0.35">
      <c r="C18432" s="2"/>
    </row>
    <row r="18433" spans="3:3" x14ac:dyDescent="0.35">
      <c r="C18433" s="2"/>
    </row>
    <row r="18434" spans="3:3" x14ac:dyDescent="0.35">
      <c r="C18434" s="2"/>
    </row>
    <row r="18435" spans="3:3" x14ac:dyDescent="0.35">
      <c r="C18435" s="2"/>
    </row>
    <row r="18436" spans="3:3" x14ac:dyDescent="0.35">
      <c r="C18436" s="2"/>
    </row>
    <row r="18437" spans="3:3" x14ac:dyDescent="0.35">
      <c r="C18437" s="2"/>
    </row>
    <row r="18438" spans="3:3" x14ac:dyDescent="0.35">
      <c r="C18438" s="2"/>
    </row>
    <row r="18439" spans="3:3" x14ac:dyDescent="0.35">
      <c r="C18439" s="2"/>
    </row>
    <row r="18440" spans="3:3" x14ac:dyDescent="0.35">
      <c r="C18440" s="2"/>
    </row>
    <row r="18441" spans="3:3" x14ac:dyDescent="0.35">
      <c r="C18441" s="2"/>
    </row>
    <row r="18442" spans="3:3" x14ac:dyDescent="0.35">
      <c r="C18442" s="2"/>
    </row>
    <row r="18443" spans="3:3" x14ac:dyDescent="0.35">
      <c r="C18443" s="2"/>
    </row>
    <row r="18444" spans="3:3" x14ac:dyDescent="0.35">
      <c r="C18444" s="2"/>
    </row>
    <row r="18445" spans="3:3" x14ac:dyDescent="0.35">
      <c r="C18445" s="2"/>
    </row>
    <row r="18446" spans="3:3" x14ac:dyDescent="0.35">
      <c r="C18446" s="2"/>
    </row>
    <row r="18447" spans="3:3" x14ac:dyDescent="0.35">
      <c r="C18447" s="2"/>
    </row>
    <row r="18448" spans="3:3" x14ac:dyDescent="0.35">
      <c r="C18448" s="2"/>
    </row>
    <row r="18449" spans="3:3" x14ac:dyDescent="0.35">
      <c r="C18449" s="2"/>
    </row>
    <row r="18450" spans="3:3" x14ac:dyDescent="0.35">
      <c r="C18450" s="2"/>
    </row>
    <row r="18451" spans="3:3" x14ac:dyDescent="0.35">
      <c r="C18451" s="2"/>
    </row>
    <row r="18452" spans="3:3" x14ac:dyDescent="0.35">
      <c r="C18452" s="2"/>
    </row>
    <row r="18453" spans="3:3" x14ac:dyDescent="0.35">
      <c r="C18453" s="2"/>
    </row>
    <row r="18454" spans="3:3" x14ac:dyDescent="0.35">
      <c r="C18454" s="2"/>
    </row>
    <row r="18455" spans="3:3" x14ac:dyDescent="0.35">
      <c r="C18455" s="2"/>
    </row>
    <row r="18456" spans="3:3" x14ac:dyDescent="0.35">
      <c r="C18456" s="2"/>
    </row>
    <row r="18457" spans="3:3" x14ac:dyDescent="0.35">
      <c r="C18457" s="2"/>
    </row>
    <row r="18458" spans="3:3" x14ac:dyDescent="0.35">
      <c r="C18458" s="2"/>
    </row>
    <row r="18459" spans="3:3" x14ac:dyDescent="0.35">
      <c r="C18459" s="2"/>
    </row>
    <row r="18460" spans="3:3" x14ac:dyDescent="0.35">
      <c r="C18460" s="2"/>
    </row>
    <row r="18461" spans="3:3" x14ac:dyDescent="0.35">
      <c r="C18461" s="2"/>
    </row>
    <row r="18462" spans="3:3" x14ac:dyDescent="0.35">
      <c r="C18462" s="2"/>
    </row>
    <row r="18463" spans="3:3" x14ac:dyDescent="0.35">
      <c r="C18463" s="2"/>
    </row>
    <row r="18464" spans="3:3" x14ac:dyDescent="0.35">
      <c r="C18464" s="2"/>
    </row>
    <row r="18465" spans="3:3" x14ac:dyDescent="0.35">
      <c r="C18465" s="2"/>
    </row>
    <row r="18466" spans="3:3" x14ac:dyDescent="0.35">
      <c r="C18466" s="2"/>
    </row>
    <row r="18467" spans="3:3" x14ac:dyDescent="0.35">
      <c r="C18467" s="2"/>
    </row>
    <row r="18468" spans="3:3" x14ac:dyDescent="0.35">
      <c r="C18468" s="2"/>
    </row>
    <row r="18469" spans="3:3" x14ac:dyDescent="0.35">
      <c r="C18469" s="2"/>
    </row>
    <row r="18470" spans="3:3" x14ac:dyDescent="0.35">
      <c r="C18470" s="2"/>
    </row>
    <row r="18471" spans="3:3" x14ac:dyDescent="0.35">
      <c r="C18471" s="2"/>
    </row>
    <row r="18472" spans="3:3" x14ac:dyDescent="0.35">
      <c r="C18472" s="2"/>
    </row>
    <row r="18473" spans="3:3" x14ac:dyDescent="0.35">
      <c r="C18473" s="2"/>
    </row>
    <row r="18474" spans="3:3" x14ac:dyDescent="0.35">
      <c r="C18474" s="2"/>
    </row>
    <row r="18475" spans="3:3" x14ac:dyDescent="0.35">
      <c r="C18475" s="2"/>
    </row>
    <row r="18476" spans="3:3" x14ac:dyDescent="0.35">
      <c r="C18476" s="2"/>
    </row>
    <row r="18477" spans="3:3" x14ac:dyDescent="0.35">
      <c r="C18477" s="2"/>
    </row>
    <row r="18478" spans="3:3" x14ac:dyDescent="0.35">
      <c r="C18478" s="2"/>
    </row>
    <row r="18479" spans="3:3" x14ac:dyDescent="0.35">
      <c r="C18479" s="2"/>
    </row>
    <row r="18480" spans="3:3" x14ac:dyDescent="0.35">
      <c r="C18480" s="2"/>
    </row>
    <row r="18481" spans="3:3" x14ac:dyDescent="0.35">
      <c r="C18481" s="2"/>
    </row>
    <row r="18482" spans="3:3" x14ac:dyDescent="0.35">
      <c r="C18482" s="2"/>
    </row>
    <row r="18483" spans="3:3" x14ac:dyDescent="0.35">
      <c r="C18483" s="2"/>
    </row>
    <row r="18484" spans="3:3" x14ac:dyDescent="0.35">
      <c r="C18484" s="2"/>
    </row>
    <row r="18485" spans="3:3" x14ac:dyDescent="0.35">
      <c r="C18485" s="2"/>
    </row>
    <row r="18486" spans="3:3" x14ac:dyDescent="0.35">
      <c r="C18486" s="2"/>
    </row>
    <row r="18487" spans="3:3" x14ac:dyDescent="0.35">
      <c r="C18487" s="2"/>
    </row>
    <row r="18488" spans="3:3" x14ac:dyDescent="0.35">
      <c r="C18488" s="2"/>
    </row>
    <row r="18489" spans="3:3" x14ac:dyDescent="0.35">
      <c r="C18489" s="2"/>
    </row>
    <row r="18490" spans="3:3" x14ac:dyDescent="0.35">
      <c r="C18490" s="2"/>
    </row>
    <row r="18491" spans="3:3" x14ac:dyDescent="0.35">
      <c r="C18491" s="2"/>
    </row>
    <row r="18492" spans="3:3" x14ac:dyDescent="0.35">
      <c r="C18492" s="2"/>
    </row>
    <row r="18493" spans="3:3" x14ac:dyDescent="0.35">
      <c r="C18493" s="2"/>
    </row>
    <row r="18494" spans="3:3" x14ac:dyDescent="0.35">
      <c r="C18494" s="2"/>
    </row>
    <row r="18495" spans="3:3" x14ac:dyDescent="0.35">
      <c r="C18495" s="2"/>
    </row>
    <row r="18496" spans="3:3" x14ac:dyDescent="0.35">
      <c r="C18496" s="2"/>
    </row>
    <row r="18497" spans="3:3" x14ac:dyDescent="0.35">
      <c r="C18497" s="2"/>
    </row>
    <row r="18498" spans="3:3" x14ac:dyDescent="0.35">
      <c r="C18498" s="2"/>
    </row>
    <row r="18499" spans="3:3" x14ac:dyDescent="0.35">
      <c r="C18499" s="2"/>
    </row>
    <row r="18500" spans="3:3" x14ac:dyDescent="0.35">
      <c r="C18500" s="2"/>
    </row>
    <row r="18501" spans="3:3" x14ac:dyDescent="0.35">
      <c r="C18501" s="2"/>
    </row>
    <row r="18502" spans="3:3" x14ac:dyDescent="0.35">
      <c r="C18502" s="2"/>
    </row>
    <row r="18503" spans="3:3" x14ac:dyDescent="0.35">
      <c r="C18503" s="2"/>
    </row>
    <row r="18504" spans="3:3" x14ac:dyDescent="0.35">
      <c r="C18504" s="2"/>
    </row>
    <row r="18505" spans="3:3" x14ac:dyDescent="0.35">
      <c r="C18505" s="2"/>
    </row>
    <row r="18506" spans="3:3" x14ac:dyDescent="0.35">
      <c r="C18506" s="2"/>
    </row>
    <row r="18507" spans="3:3" x14ac:dyDescent="0.35">
      <c r="C18507" s="2"/>
    </row>
    <row r="18508" spans="3:3" x14ac:dyDescent="0.35">
      <c r="C18508" s="2"/>
    </row>
    <row r="18509" spans="3:3" x14ac:dyDescent="0.35">
      <c r="C18509" s="2"/>
    </row>
    <row r="18510" spans="3:3" x14ac:dyDescent="0.35">
      <c r="C18510" s="2"/>
    </row>
    <row r="18511" spans="3:3" x14ac:dyDescent="0.35">
      <c r="C18511" s="2"/>
    </row>
    <row r="18512" spans="3:3" x14ac:dyDescent="0.35">
      <c r="C18512" s="2"/>
    </row>
    <row r="18513" spans="3:3" x14ac:dyDescent="0.35">
      <c r="C18513" s="2"/>
    </row>
    <row r="18514" spans="3:3" x14ac:dyDescent="0.35">
      <c r="C18514" s="2"/>
    </row>
    <row r="18515" spans="3:3" x14ac:dyDescent="0.35">
      <c r="C18515" s="2"/>
    </row>
    <row r="18516" spans="3:3" x14ac:dyDescent="0.35">
      <c r="C18516" s="2"/>
    </row>
    <row r="18517" spans="3:3" x14ac:dyDescent="0.35">
      <c r="C18517" s="2"/>
    </row>
    <row r="18518" spans="3:3" x14ac:dyDescent="0.35">
      <c r="C18518" s="2"/>
    </row>
    <row r="18519" spans="3:3" x14ac:dyDescent="0.35">
      <c r="C18519" s="2"/>
    </row>
    <row r="18520" spans="3:3" x14ac:dyDescent="0.35">
      <c r="C18520" s="2"/>
    </row>
    <row r="18521" spans="3:3" x14ac:dyDescent="0.35">
      <c r="C18521" s="2"/>
    </row>
    <row r="18522" spans="3:3" x14ac:dyDescent="0.35">
      <c r="C18522" s="2"/>
    </row>
    <row r="18523" spans="3:3" x14ac:dyDescent="0.35">
      <c r="C18523" s="2"/>
    </row>
    <row r="18524" spans="3:3" x14ac:dyDescent="0.35">
      <c r="C18524" s="2"/>
    </row>
    <row r="18525" spans="3:3" x14ac:dyDescent="0.35">
      <c r="C18525" s="2"/>
    </row>
    <row r="18526" spans="3:3" x14ac:dyDescent="0.35">
      <c r="C18526" s="2"/>
    </row>
    <row r="18527" spans="3:3" x14ac:dyDescent="0.35">
      <c r="C18527" s="2"/>
    </row>
    <row r="18528" spans="3:3" x14ac:dyDescent="0.35">
      <c r="C18528" s="2"/>
    </row>
    <row r="18529" spans="3:3" x14ac:dyDescent="0.35">
      <c r="C18529" s="2"/>
    </row>
    <row r="18530" spans="3:3" x14ac:dyDescent="0.35">
      <c r="C18530" s="2"/>
    </row>
    <row r="18531" spans="3:3" x14ac:dyDescent="0.35">
      <c r="C18531" s="2"/>
    </row>
    <row r="18532" spans="3:3" x14ac:dyDescent="0.35">
      <c r="C18532" s="2"/>
    </row>
    <row r="18533" spans="3:3" x14ac:dyDescent="0.35">
      <c r="C18533" s="2"/>
    </row>
    <row r="18534" spans="3:3" x14ac:dyDescent="0.35">
      <c r="C18534" s="2"/>
    </row>
    <row r="18535" spans="3:3" x14ac:dyDescent="0.35">
      <c r="C18535" s="2"/>
    </row>
    <row r="18536" spans="3:3" x14ac:dyDescent="0.35">
      <c r="C18536" s="2"/>
    </row>
    <row r="18537" spans="3:3" x14ac:dyDescent="0.35">
      <c r="C18537" s="2"/>
    </row>
    <row r="18538" spans="3:3" x14ac:dyDescent="0.35">
      <c r="C18538" s="2"/>
    </row>
    <row r="18539" spans="3:3" x14ac:dyDescent="0.35">
      <c r="C18539" s="2"/>
    </row>
    <row r="18540" spans="3:3" x14ac:dyDescent="0.35">
      <c r="C18540" s="2"/>
    </row>
    <row r="18541" spans="3:3" x14ac:dyDescent="0.35">
      <c r="C18541" s="2"/>
    </row>
    <row r="18542" spans="3:3" x14ac:dyDescent="0.35">
      <c r="C18542" s="2"/>
    </row>
    <row r="18543" spans="3:3" x14ac:dyDescent="0.35">
      <c r="C18543" s="2"/>
    </row>
    <row r="18544" spans="3:3" x14ac:dyDescent="0.35">
      <c r="C18544" s="2"/>
    </row>
    <row r="18545" spans="3:3" x14ac:dyDescent="0.35">
      <c r="C18545" s="2"/>
    </row>
    <row r="18546" spans="3:3" x14ac:dyDescent="0.35">
      <c r="C18546" s="2"/>
    </row>
    <row r="18547" spans="3:3" x14ac:dyDescent="0.35">
      <c r="C18547" s="2"/>
    </row>
    <row r="18548" spans="3:3" x14ac:dyDescent="0.35">
      <c r="C18548" s="2"/>
    </row>
    <row r="18549" spans="3:3" x14ac:dyDescent="0.35">
      <c r="C18549" s="2"/>
    </row>
    <row r="18550" spans="3:3" x14ac:dyDescent="0.35">
      <c r="C18550" s="2"/>
    </row>
    <row r="18551" spans="3:3" x14ac:dyDescent="0.35">
      <c r="C18551" s="2"/>
    </row>
    <row r="18552" spans="3:3" x14ac:dyDescent="0.35">
      <c r="C18552" s="2"/>
    </row>
    <row r="18553" spans="3:3" x14ac:dyDescent="0.35">
      <c r="C18553" s="2"/>
    </row>
    <row r="18554" spans="3:3" x14ac:dyDescent="0.35">
      <c r="C18554" s="2"/>
    </row>
    <row r="18555" spans="3:3" x14ac:dyDescent="0.35">
      <c r="C18555" s="2"/>
    </row>
    <row r="18556" spans="3:3" x14ac:dyDescent="0.35">
      <c r="C18556" s="2"/>
    </row>
    <row r="18557" spans="3:3" x14ac:dyDescent="0.35">
      <c r="C18557" s="2"/>
    </row>
    <row r="18558" spans="3:3" x14ac:dyDescent="0.35">
      <c r="C18558" s="2"/>
    </row>
    <row r="18559" spans="3:3" x14ac:dyDescent="0.35">
      <c r="C18559" s="2"/>
    </row>
    <row r="18560" spans="3:3" x14ac:dyDescent="0.35">
      <c r="C18560" s="2"/>
    </row>
    <row r="18561" spans="3:3" x14ac:dyDescent="0.35">
      <c r="C18561" s="2"/>
    </row>
    <row r="18562" spans="3:3" x14ac:dyDescent="0.35">
      <c r="C18562" s="2"/>
    </row>
    <row r="18563" spans="3:3" x14ac:dyDescent="0.35">
      <c r="C18563" s="2"/>
    </row>
    <row r="18564" spans="3:3" x14ac:dyDescent="0.35">
      <c r="C18564" s="2"/>
    </row>
    <row r="18565" spans="3:3" x14ac:dyDescent="0.35">
      <c r="C18565" s="2"/>
    </row>
    <row r="18566" spans="3:3" x14ac:dyDescent="0.35">
      <c r="C18566" s="2"/>
    </row>
    <row r="18567" spans="3:3" x14ac:dyDescent="0.35">
      <c r="C18567" s="2"/>
    </row>
    <row r="18568" spans="3:3" x14ac:dyDescent="0.35">
      <c r="C18568" s="2"/>
    </row>
    <row r="18569" spans="3:3" x14ac:dyDescent="0.35">
      <c r="C18569" s="2"/>
    </row>
    <row r="18570" spans="3:3" x14ac:dyDescent="0.35">
      <c r="C18570" s="2"/>
    </row>
    <row r="18571" spans="3:3" x14ac:dyDescent="0.35">
      <c r="C18571" s="2"/>
    </row>
    <row r="18572" spans="3:3" x14ac:dyDescent="0.35">
      <c r="C18572" s="2"/>
    </row>
    <row r="18573" spans="3:3" x14ac:dyDescent="0.35">
      <c r="C18573" s="2"/>
    </row>
    <row r="18574" spans="3:3" x14ac:dyDescent="0.35">
      <c r="C18574" s="2"/>
    </row>
    <row r="18575" spans="3:3" x14ac:dyDescent="0.35">
      <c r="C18575" s="2"/>
    </row>
    <row r="18576" spans="3:3" x14ac:dyDescent="0.35">
      <c r="C18576" s="2"/>
    </row>
    <row r="18577" spans="3:3" x14ac:dyDescent="0.35">
      <c r="C18577" s="2"/>
    </row>
    <row r="18578" spans="3:3" x14ac:dyDescent="0.35">
      <c r="C18578" s="2"/>
    </row>
    <row r="18579" spans="3:3" x14ac:dyDescent="0.35">
      <c r="C18579" s="2"/>
    </row>
    <row r="18580" spans="3:3" x14ac:dyDescent="0.35">
      <c r="C18580" s="2"/>
    </row>
    <row r="18581" spans="3:3" x14ac:dyDescent="0.35">
      <c r="C18581" s="2"/>
    </row>
    <row r="18582" spans="3:3" x14ac:dyDescent="0.35">
      <c r="C18582" s="2"/>
    </row>
    <row r="18583" spans="3:3" x14ac:dyDescent="0.35">
      <c r="C18583" s="2"/>
    </row>
    <row r="18584" spans="3:3" x14ac:dyDescent="0.35">
      <c r="C18584" s="2"/>
    </row>
    <row r="18585" spans="3:3" x14ac:dyDescent="0.35">
      <c r="C18585" s="2"/>
    </row>
    <row r="18586" spans="3:3" x14ac:dyDescent="0.35">
      <c r="C18586" s="2"/>
    </row>
    <row r="18587" spans="3:3" x14ac:dyDescent="0.35">
      <c r="C18587" s="2"/>
    </row>
    <row r="18588" spans="3:3" x14ac:dyDescent="0.35">
      <c r="C18588" s="2"/>
    </row>
    <row r="18589" spans="3:3" x14ac:dyDescent="0.35">
      <c r="C18589" s="2"/>
    </row>
    <row r="18590" spans="3:3" x14ac:dyDescent="0.35">
      <c r="C18590" s="2"/>
    </row>
    <row r="18591" spans="3:3" x14ac:dyDescent="0.35">
      <c r="C18591" s="2"/>
    </row>
    <row r="18592" spans="3:3" x14ac:dyDescent="0.35">
      <c r="C18592" s="2"/>
    </row>
    <row r="18593" spans="3:3" x14ac:dyDescent="0.35">
      <c r="C18593" s="2"/>
    </row>
    <row r="18594" spans="3:3" x14ac:dyDescent="0.35">
      <c r="C18594" s="2"/>
    </row>
    <row r="18595" spans="3:3" x14ac:dyDescent="0.35">
      <c r="C18595" s="2"/>
    </row>
    <row r="18596" spans="3:3" x14ac:dyDescent="0.35">
      <c r="C18596" s="2"/>
    </row>
    <row r="18597" spans="3:3" x14ac:dyDescent="0.35">
      <c r="C18597" s="2"/>
    </row>
    <row r="18598" spans="3:3" x14ac:dyDescent="0.35">
      <c r="C18598" s="2"/>
    </row>
    <row r="18599" spans="3:3" x14ac:dyDescent="0.35">
      <c r="C18599" s="2"/>
    </row>
    <row r="18600" spans="3:3" x14ac:dyDescent="0.35">
      <c r="C18600" s="2"/>
    </row>
    <row r="18601" spans="3:3" x14ac:dyDescent="0.35">
      <c r="C18601" s="2"/>
    </row>
    <row r="18602" spans="3:3" x14ac:dyDescent="0.35">
      <c r="C18602" s="2"/>
    </row>
    <row r="18603" spans="3:3" x14ac:dyDescent="0.35">
      <c r="C18603" s="2"/>
    </row>
    <row r="18604" spans="3:3" x14ac:dyDescent="0.35">
      <c r="C18604" s="2"/>
    </row>
    <row r="18605" spans="3:3" x14ac:dyDescent="0.35">
      <c r="C18605" s="2"/>
    </row>
    <row r="18606" spans="3:3" x14ac:dyDescent="0.35">
      <c r="C18606" s="2"/>
    </row>
    <row r="18607" spans="3:3" x14ac:dyDescent="0.35">
      <c r="C18607" s="2"/>
    </row>
    <row r="18608" spans="3:3" x14ac:dyDescent="0.35">
      <c r="C18608" s="2"/>
    </row>
    <row r="18609" spans="3:3" x14ac:dyDescent="0.35">
      <c r="C18609" s="2"/>
    </row>
    <row r="18610" spans="3:3" x14ac:dyDescent="0.35">
      <c r="C18610" s="2"/>
    </row>
    <row r="18611" spans="3:3" x14ac:dyDescent="0.35">
      <c r="C18611" s="2"/>
    </row>
    <row r="18612" spans="3:3" x14ac:dyDescent="0.35">
      <c r="C18612" s="2"/>
    </row>
    <row r="18613" spans="3:3" x14ac:dyDescent="0.35">
      <c r="C18613" s="2"/>
    </row>
    <row r="18614" spans="3:3" x14ac:dyDescent="0.35">
      <c r="C18614" s="2"/>
    </row>
    <row r="18615" spans="3:3" x14ac:dyDescent="0.35">
      <c r="C18615" s="2"/>
    </row>
    <row r="18616" spans="3:3" x14ac:dyDescent="0.35">
      <c r="C18616" s="2"/>
    </row>
    <row r="18617" spans="3:3" x14ac:dyDescent="0.35">
      <c r="C18617" s="2"/>
    </row>
    <row r="18618" spans="3:3" x14ac:dyDescent="0.35">
      <c r="C18618" s="2"/>
    </row>
    <row r="18619" spans="3:3" x14ac:dyDescent="0.35">
      <c r="C18619" s="2"/>
    </row>
    <row r="18620" spans="3:3" x14ac:dyDescent="0.35">
      <c r="C18620" s="2"/>
    </row>
    <row r="18621" spans="3:3" x14ac:dyDescent="0.35">
      <c r="C18621" s="2"/>
    </row>
    <row r="18622" spans="3:3" x14ac:dyDescent="0.35">
      <c r="C18622" s="2"/>
    </row>
    <row r="18623" spans="3:3" x14ac:dyDescent="0.35">
      <c r="C18623" s="2"/>
    </row>
    <row r="18624" spans="3:3" x14ac:dyDescent="0.35">
      <c r="C18624" s="2"/>
    </row>
    <row r="18625" spans="3:3" x14ac:dyDescent="0.35">
      <c r="C18625" s="2"/>
    </row>
    <row r="18626" spans="3:3" x14ac:dyDescent="0.35">
      <c r="C18626" s="2"/>
    </row>
    <row r="18627" spans="3:3" x14ac:dyDescent="0.35">
      <c r="C18627" s="2"/>
    </row>
    <row r="18628" spans="3:3" x14ac:dyDescent="0.35">
      <c r="C18628" s="2"/>
    </row>
    <row r="18629" spans="3:3" x14ac:dyDescent="0.35">
      <c r="C18629" s="2"/>
    </row>
    <row r="18630" spans="3:3" x14ac:dyDescent="0.35">
      <c r="C18630" s="2"/>
    </row>
    <row r="18631" spans="3:3" x14ac:dyDescent="0.35">
      <c r="C18631" s="2"/>
    </row>
    <row r="18632" spans="3:3" x14ac:dyDescent="0.35">
      <c r="C18632" s="2"/>
    </row>
    <row r="18633" spans="3:3" x14ac:dyDescent="0.35">
      <c r="C18633" s="2"/>
    </row>
    <row r="18634" spans="3:3" x14ac:dyDescent="0.35">
      <c r="C18634" s="2"/>
    </row>
    <row r="18635" spans="3:3" x14ac:dyDescent="0.35">
      <c r="C18635" s="2"/>
    </row>
    <row r="18636" spans="3:3" x14ac:dyDescent="0.35">
      <c r="C18636" s="2"/>
    </row>
    <row r="18637" spans="3:3" x14ac:dyDescent="0.35">
      <c r="C18637" s="2"/>
    </row>
    <row r="18638" spans="3:3" x14ac:dyDescent="0.35">
      <c r="C18638" s="2"/>
    </row>
    <row r="18639" spans="3:3" x14ac:dyDescent="0.35">
      <c r="C18639" s="2"/>
    </row>
    <row r="18640" spans="3:3" x14ac:dyDescent="0.35">
      <c r="C18640" s="2"/>
    </row>
    <row r="18641" spans="3:3" x14ac:dyDescent="0.35">
      <c r="C18641" s="2"/>
    </row>
    <row r="18642" spans="3:3" x14ac:dyDescent="0.35">
      <c r="C18642" s="2"/>
    </row>
    <row r="18643" spans="3:3" x14ac:dyDescent="0.35">
      <c r="C18643" s="2"/>
    </row>
    <row r="18644" spans="3:3" x14ac:dyDescent="0.35">
      <c r="C18644" s="2"/>
    </row>
    <row r="18645" spans="3:3" x14ac:dyDescent="0.35">
      <c r="C18645" s="2"/>
    </row>
    <row r="18646" spans="3:3" x14ac:dyDescent="0.35">
      <c r="C18646" s="2"/>
    </row>
    <row r="18647" spans="3:3" x14ac:dyDescent="0.35">
      <c r="C18647" s="2"/>
    </row>
    <row r="18648" spans="3:3" x14ac:dyDescent="0.35">
      <c r="C18648" s="2"/>
    </row>
    <row r="18649" spans="3:3" x14ac:dyDescent="0.35">
      <c r="C18649" s="2"/>
    </row>
    <row r="18650" spans="3:3" x14ac:dyDescent="0.35">
      <c r="C18650" s="2"/>
    </row>
    <row r="18651" spans="3:3" x14ac:dyDescent="0.35">
      <c r="C18651" s="2"/>
    </row>
    <row r="18652" spans="3:3" x14ac:dyDescent="0.35">
      <c r="C18652" s="2"/>
    </row>
    <row r="18653" spans="3:3" x14ac:dyDescent="0.35">
      <c r="C18653" s="2"/>
    </row>
    <row r="18654" spans="3:3" x14ac:dyDescent="0.35">
      <c r="C18654" s="2"/>
    </row>
    <row r="18655" spans="3:3" x14ac:dyDescent="0.35">
      <c r="C18655" s="2"/>
    </row>
    <row r="18656" spans="3:3" x14ac:dyDescent="0.35">
      <c r="C18656" s="2"/>
    </row>
    <row r="18657" spans="3:3" x14ac:dyDescent="0.35">
      <c r="C18657" s="2"/>
    </row>
    <row r="18658" spans="3:3" x14ac:dyDescent="0.35">
      <c r="C18658" s="2"/>
    </row>
    <row r="18659" spans="3:3" x14ac:dyDescent="0.35">
      <c r="C18659" s="2"/>
    </row>
    <row r="18660" spans="3:3" x14ac:dyDescent="0.35">
      <c r="C18660" s="2"/>
    </row>
    <row r="18661" spans="3:3" x14ac:dyDescent="0.35">
      <c r="C18661" s="2"/>
    </row>
    <row r="18662" spans="3:3" x14ac:dyDescent="0.35">
      <c r="C18662" s="2"/>
    </row>
    <row r="18663" spans="3:3" x14ac:dyDescent="0.35">
      <c r="C18663" s="2"/>
    </row>
    <row r="18664" spans="3:3" x14ac:dyDescent="0.35">
      <c r="C18664" s="2"/>
    </row>
    <row r="18665" spans="3:3" x14ac:dyDescent="0.35">
      <c r="C18665" s="2"/>
    </row>
    <row r="18666" spans="3:3" x14ac:dyDescent="0.35">
      <c r="C18666" s="2"/>
    </row>
    <row r="18667" spans="3:3" x14ac:dyDescent="0.35">
      <c r="C18667" s="2"/>
    </row>
    <row r="18668" spans="3:3" x14ac:dyDescent="0.35">
      <c r="C18668" s="2"/>
    </row>
    <row r="18669" spans="3:3" x14ac:dyDescent="0.35">
      <c r="C18669" s="2"/>
    </row>
    <row r="18670" spans="3:3" x14ac:dyDescent="0.35">
      <c r="C18670" s="2"/>
    </row>
    <row r="18671" spans="3:3" x14ac:dyDescent="0.35">
      <c r="C18671" s="2"/>
    </row>
    <row r="18672" spans="3:3" x14ac:dyDescent="0.35">
      <c r="C18672" s="2"/>
    </row>
    <row r="18673" spans="3:3" x14ac:dyDescent="0.35">
      <c r="C18673" s="2"/>
    </row>
    <row r="18674" spans="3:3" x14ac:dyDescent="0.35">
      <c r="C18674" s="2"/>
    </row>
    <row r="18675" spans="3:3" x14ac:dyDescent="0.35">
      <c r="C18675" s="2"/>
    </row>
    <row r="18676" spans="3:3" x14ac:dyDescent="0.35">
      <c r="C18676" s="2"/>
    </row>
    <row r="18677" spans="3:3" x14ac:dyDescent="0.35">
      <c r="C18677" s="2"/>
    </row>
    <row r="18678" spans="3:3" x14ac:dyDescent="0.35">
      <c r="C18678" s="2"/>
    </row>
    <row r="18679" spans="3:3" x14ac:dyDescent="0.35">
      <c r="C18679" s="2"/>
    </row>
    <row r="18680" spans="3:3" x14ac:dyDescent="0.35">
      <c r="C18680" s="2"/>
    </row>
    <row r="18681" spans="3:3" x14ac:dyDescent="0.35">
      <c r="C18681" s="2"/>
    </row>
    <row r="18682" spans="3:3" x14ac:dyDescent="0.35">
      <c r="C18682" s="2"/>
    </row>
    <row r="18683" spans="3:3" x14ac:dyDescent="0.35">
      <c r="C18683" s="2"/>
    </row>
    <row r="18684" spans="3:3" x14ac:dyDescent="0.35">
      <c r="C18684" s="2"/>
    </row>
    <row r="18685" spans="3:3" x14ac:dyDescent="0.35">
      <c r="C18685" s="2"/>
    </row>
    <row r="18686" spans="3:3" x14ac:dyDescent="0.35">
      <c r="C18686" s="2"/>
    </row>
    <row r="18687" spans="3:3" x14ac:dyDescent="0.35">
      <c r="C18687" s="2"/>
    </row>
    <row r="18688" spans="3:3" x14ac:dyDescent="0.35">
      <c r="C18688" s="2"/>
    </row>
    <row r="18689" spans="3:3" x14ac:dyDescent="0.35">
      <c r="C18689" s="2"/>
    </row>
    <row r="18690" spans="3:3" x14ac:dyDescent="0.35">
      <c r="C18690" s="2"/>
    </row>
    <row r="18691" spans="3:3" x14ac:dyDescent="0.35">
      <c r="C18691" s="2"/>
    </row>
    <row r="18692" spans="3:3" x14ac:dyDescent="0.35">
      <c r="C18692" s="2"/>
    </row>
    <row r="18693" spans="3:3" x14ac:dyDescent="0.35">
      <c r="C18693" s="2"/>
    </row>
    <row r="18694" spans="3:3" x14ac:dyDescent="0.35">
      <c r="C18694" s="2"/>
    </row>
    <row r="18695" spans="3:3" x14ac:dyDescent="0.35">
      <c r="C18695" s="2"/>
    </row>
    <row r="18696" spans="3:3" x14ac:dyDescent="0.35">
      <c r="C18696" s="2"/>
    </row>
    <row r="18697" spans="3:3" x14ac:dyDescent="0.35">
      <c r="C18697" s="2"/>
    </row>
    <row r="18698" spans="3:3" x14ac:dyDescent="0.35">
      <c r="C18698" s="2"/>
    </row>
    <row r="18699" spans="3:3" x14ac:dyDescent="0.35">
      <c r="C18699" s="2"/>
    </row>
    <row r="18700" spans="3:3" x14ac:dyDescent="0.35">
      <c r="C18700" s="2"/>
    </row>
    <row r="18701" spans="3:3" x14ac:dyDescent="0.35">
      <c r="C18701" s="2"/>
    </row>
    <row r="18702" spans="3:3" x14ac:dyDescent="0.35">
      <c r="C18702" s="2"/>
    </row>
    <row r="18703" spans="3:3" x14ac:dyDescent="0.35">
      <c r="C18703" s="2"/>
    </row>
    <row r="18704" spans="3:3" x14ac:dyDescent="0.35">
      <c r="C18704" s="2"/>
    </row>
    <row r="18705" spans="3:3" x14ac:dyDescent="0.35">
      <c r="C18705" s="2"/>
    </row>
    <row r="18706" spans="3:3" x14ac:dyDescent="0.35">
      <c r="C18706" s="2"/>
    </row>
    <row r="18707" spans="3:3" x14ac:dyDescent="0.35">
      <c r="C18707" s="2"/>
    </row>
    <row r="18708" spans="3:3" x14ac:dyDescent="0.35">
      <c r="C18708" s="2"/>
    </row>
    <row r="18709" spans="3:3" x14ac:dyDescent="0.35">
      <c r="C18709" s="2"/>
    </row>
    <row r="18710" spans="3:3" x14ac:dyDescent="0.35">
      <c r="C18710" s="2"/>
    </row>
    <row r="18711" spans="3:3" x14ac:dyDescent="0.35">
      <c r="C18711" s="2"/>
    </row>
    <row r="18712" spans="3:3" x14ac:dyDescent="0.35">
      <c r="C18712" s="2"/>
    </row>
    <row r="18713" spans="3:3" x14ac:dyDescent="0.35">
      <c r="C18713" s="2"/>
    </row>
    <row r="18714" spans="3:3" x14ac:dyDescent="0.35">
      <c r="C18714" s="2"/>
    </row>
    <row r="18715" spans="3:3" x14ac:dyDescent="0.35">
      <c r="C18715" s="2"/>
    </row>
    <row r="18716" spans="3:3" x14ac:dyDescent="0.35">
      <c r="C18716" s="2"/>
    </row>
    <row r="18717" spans="3:3" x14ac:dyDescent="0.35">
      <c r="C18717" s="2"/>
    </row>
    <row r="18718" spans="3:3" x14ac:dyDescent="0.35">
      <c r="C18718" s="2"/>
    </row>
    <row r="18719" spans="3:3" x14ac:dyDescent="0.35">
      <c r="C18719" s="2"/>
    </row>
    <row r="18720" spans="3:3" x14ac:dyDescent="0.35">
      <c r="C18720" s="2"/>
    </row>
    <row r="18721" spans="3:3" x14ac:dyDescent="0.35">
      <c r="C18721" s="2"/>
    </row>
    <row r="18722" spans="3:3" x14ac:dyDescent="0.35">
      <c r="C18722" s="2"/>
    </row>
    <row r="18723" spans="3:3" x14ac:dyDescent="0.35">
      <c r="C18723" s="2"/>
    </row>
    <row r="18724" spans="3:3" x14ac:dyDescent="0.35">
      <c r="C18724" s="2"/>
    </row>
    <row r="18725" spans="3:3" x14ac:dyDescent="0.35">
      <c r="C18725" s="2"/>
    </row>
    <row r="18726" spans="3:3" x14ac:dyDescent="0.35">
      <c r="C18726" s="2"/>
    </row>
    <row r="18727" spans="3:3" x14ac:dyDescent="0.35">
      <c r="C18727" s="2"/>
    </row>
    <row r="18728" spans="3:3" x14ac:dyDescent="0.35">
      <c r="C18728" s="2"/>
    </row>
    <row r="18729" spans="3:3" x14ac:dyDescent="0.35">
      <c r="C18729" s="2"/>
    </row>
    <row r="18730" spans="3:3" x14ac:dyDescent="0.35">
      <c r="C18730" s="2"/>
    </row>
    <row r="18731" spans="3:3" x14ac:dyDescent="0.35">
      <c r="C18731" s="2"/>
    </row>
    <row r="18732" spans="3:3" x14ac:dyDescent="0.35">
      <c r="C18732" s="2"/>
    </row>
    <row r="18733" spans="3:3" x14ac:dyDescent="0.35">
      <c r="C18733" s="2"/>
    </row>
    <row r="18734" spans="3:3" x14ac:dyDescent="0.35">
      <c r="C18734" s="2"/>
    </row>
    <row r="18735" spans="3:3" x14ac:dyDescent="0.35">
      <c r="C18735" s="2"/>
    </row>
    <row r="18736" spans="3:3" x14ac:dyDescent="0.35">
      <c r="C18736" s="2"/>
    </row>
    <row r="18737" spans="3:3" x14ac:dyDescent="0.35">
      <c r="C18737" s="2"/>
    </row>
    <row r="18738" spans="3:3" x14ac:dyDescent="0.35">
      <c r="C18738" s="2"/>
    </row>
    <row r="18739" spans="3:3" x14ac:dyDescent="0.35">
      <c r="C18739" s="2"/>
    </row>
    <row r="18740" spans="3:3" x14ac:dyDescent="0.35">
      <c r="C18740" s="2"/>
    </row>
    <row r="18741" spans="3:3" x14ac:dyDescent="0.35">
      <c r="C18741" s="2"/>
    </row>
    <row r="18742" spans="3:3" x14ac:dyDescent="0.35">
      <c r="C18742" s="2"/>
    </row>
    <row r="18743" spans="3:3" x14ac:dyDescent="0.35">
      <c r="C18743" s="2"/>
    </row>
    <row r="18744" spans="3:3" x14ac:dyDescent="0.35">
      <c r="C18744" s="2"/>
    </row>
    <row r="18745" spans="3:3" x14ac:dyDescent="0.35">
      <c r="C18745" s="2"/>
    </row>
    <row r="18746" spans="3:3" x14ac:dyDescent="0.35">
      <c r="C18746" s="2"/>
    </row>
    <row r="18747" spans="3:3" x14ac:dyDescent="0.35">
      <c r="C18747" s="2"/>
    </row>
    <row r="18748" spans="3:3" x14ac:dyDescent="0.35">
      <c r="C18748" s="2"/>
    </row>
    <row r="18749" spans="3:3" x14ac:dyDescent="0.35">
      <c r="C18749" s="2"/>
    </row>
    <row r="18750" spans="3:3" x14ac:dyDescent="0.35">
      <c r="C18750" s="2"/>
    </row>
    <row r="18751" spans="3:3" x14ac:dyDescent="0.35">
      <c r="C18751" s="2"/>
    </row>
    <row r="18752" spans="3:3" x14ac:dyDescent="0.35">
      <c r="C18752" s="2"/>
    </row>
    <row r="18753" spans="3:3" x14ac:dyDescent="0.35">
      <c r="C18753" s="2"/>
    </row>
    <row r="18754" spans="3:3" x14ac:dyDescent="0.35">
      <c r="C18754" s="2"/>
    </row>
    <row r="18755" spans="3:3" x14ac:dyDescent="0.35">
      <c r="C18755" s="2"/>
    </row>
    <row r="18756" spans="3:3" x14ac:dyDescent="0.35">
      <c r="C18756" s="2"/>
    </row>
    <row r="18757" spans="3:3" x14ac:dyDescent="0.35">
      <c r="C18757" s="2"/>
    </row>
    <row r="18758" spans="3:3" x14ac:dyDescent="0.35">
      <c r="C18758" s="2"/>
    </row>
    <row r="18759" spans="3:3" x14ac:dyDescent="0.35">
      <c r="C18759" s="2"/>
    </row>
    <row r="18760" spans="3:3" x14ac:dyDescent="0.35">
      <c r="C18760" s="2"/>
    </row>
    <row r="18761" spans="3:3" x14ac:dyDescent="0.35">
      <c r="C18761" s="2"/>
    </row>
    <row r="18762" spans="3:3" x14ac:dyDescent="0.35">
      <c r="C18762" s="2"/>
    </row>
    <row r="18763" spans="3:3" x14ac:dyDescent="0.35">
      <c r="C18763" s="2"/>
    </row>
    <row r="18764" spans="3:3" x14ac:dyDescent="0.35">
      <c r="C18764" s="2"/>
    </row>
    <row r="18765" spans="3:3" x14ac:dyDescent="0.35">
      <c r="C18765" s="2"/>
    </row>
    <row r="18766" spans="3:3" x14ac:dyDescent="0.35">
      <c r="C18766" s="2"/>
    </row>
    <row r="18767" spans="3:3" x14ac:dyDescent="0.35">
      <c r="C18767" s="2"/>
    </row>
    <row r="18768" spans="3:3" x14ac:dyDescent="0.35">
      <c r="C18768" s="2"/>
    </row>
    <row r="18769" spans="3:3" x14ac:dyDescent="0.35">
      <c r="C18769" s="2"/>
    </row>
    <row r="18770" spans="3:3" x14ac:dyDescent="0.35">
      <c r="C18770" s="2"/>
    </row>
    <row r="18771" spans="3:3" x14ac:dyDescent="0.35">
      <c r="C18771" s="2"/>
    </row>
    <row r="18772" spans="3:3" x14ac:dyDescent="0.35">
      <c r="C18772" s="2"/>
    </row>
    <row r="18773" spans="3:3" x14ac:dyDescent="0.35">
      <c r="C18773" s="2"/>
    </row>
    <row r="18774" spans="3:3" x14ac:dyDescent="0.35">
      <c r="C18774" s="2"/>
    </row>
    <row r="18775" spans="3:3" x14ac:dyDescent="0.35">
      <c r="C18775" s="2"/>
    </row>
    <row r="18776" spans="3:3" x14ac:dyDescent="0.35">
      <c r="C18776" s="2"/>
    </row>
    <row r="18777" spans="3:3" x14ac:dyDescent="0.35">
      <c r="C18777" s="2"/>
    </row>
    <row r="18778" spans="3:3" x14ac:dyDescent="0.35">
      <c r="C18778" s="2"/>
    </row>
    <row r="18779" spans="3:3" x14ac:dyDescent="0.35">
      <c r="C18779" s="2"/>
    </row>
    <row r="18780" spans="3:3" x14ac:dyDescent="0.35">
      <c r="C18780" s="2"/>
    </row>
    <row r="18781" spans="3:3" x14ac:dyDescent="0.35">
      <c r="C18781" s="2"/>
    </row>
    <row r="18782" spans="3:3" x14ac:dyDescent="0.35">
      <c r="C18782" s="2"/>
    </row>
    <row r="18783" spans="3:3" x14ac:dyDescent="0.35">
      <c r="C18783" s="2"/>
    </row>
    <row r="18784" spans="3:3" x14ac:dyDescent="0.35">
      <c r="C18784" s="2"/>
    </row>
    <row r="18785" spans="3:3" x14ac:dyDescent="0.35">
      <c r="C18785" s="2"/>
    </row>
    <row r="18786" spans="3:3" x14ac:dyDescent="0.35">
      <c r="C18786" s="2"/>
    </row>
    <row r="18787" spans="3:3" x14ac:dyDescent="0.35">
      <c r="C18787" s="2"/>
    </row>
    <row r="18788" spans="3:3" x14ac:dyDescent="0.35">
      <c r="C18788" s="2"/>
    </row>
    <row r="18789" spans="3:3" x14ac:dyDescent="0.35">
      <c r="C18789" s="2"/>
    </row>
    <row r="18790" spans="3:3" x14ac:dyDescent="0.35">
      <c r="C18790" s="2"/>
    </row>
    <row r="18791" spans="3:3" x14ac:dyDescent="0.35">
      <c r="C18791" s="2"/>
    </row>
    <row r="18792" spans="3:3" x14ac:dyDescent="0.35">
      <c r="C18792" s="2"/>
    </row>
    <row r="18793" spans="3:3" x14ac:dyDescent="0.35">
      <c r="C18793" s="2"/>
    </row>
    <row r="18794" spans="3:3" x14ac:dyDescent="0.35">
      <c r="C18794" s="2"/>
    </row>
    <row r="18795" spans="3:3" x14ac:dyDescent="0.35">
      <c r="C18795" s="2"/>
    </row>
    <row r="18796" spans="3:3" x14ac:dyDescent="0.35">
      <c r="C18796" s="2"/>
    </row>
    <row r="18797" spans="3:3" x14ac:dyDescent="0.35">
      <c r="C18797" s="2"/>
    </row>
    <row r="18798" spans="3:3" x14ac:dyDescent="0.35">
      <c r="C18798" s="2"/>
    </row>
    <row r="18799" spans="3:3" x14ac:dyDescent="0.35">
      <c r="C18799" s="2"/>
    </row>
    <row r="18800" spans="3:3" x14ac:dyDescent="0.35">
      <c r="C18800" s="2"/>
    </row>
    <row r="18801" spans="3:3" x14ac:dyDescent="0.35">
      <c r="C18801" s="2"/>
    </row>
    <row r="18802" spans="3:3" x14ac:dyDescent="0.35">
      <c r="C18802" s="2"/>
    </row>
    <row r="18803" spans="3:3" x14ac:dyDescent="0.35">
      <c r="C18803" s="2"/>
    </row>
    <row r="18804" spans="3:3" x14ac:dyDescent="0.35">
      <c r="C18804" s="2"/>
    </row>
    <row r="18805" spans="3:3" x14ac:dyDescent="0.35">
      <c r="C18805" s="2"/>
    </row>
    <row r="18806" spans="3:3" x14ac:dyDescent="0.35">
      <c r="C18806" s="2"/>
    </row>
    <row r="18807" spans="3:3" x14ac:dyDescent="0.35">
      <c r="C18807" s="2"/>
    </row>
    <row r="18808" spans="3:3" x14ac:dyDescent="0.35">
      <c r="C18808" s="2"/>
    </row>
    <row r="18809" spans="3:3" x14ac:dyDescent="0.35">
      <c r="C18809" s="2"/>
    </row>
    <row r="18810" spans="3:3" x14ac:dyDescent="0.35">
      <c r="C18810" s="2"/>
    </row>
    <row r="18811" spans="3:3" x14ac:dyDescent="0.35">
      <c r="C18811" s="2"/>
    </row>
    <row r="18812" spans="3:3" x14ac:dyDescent="0.35">
      <c r="C18812" s="2"/>
    </row>
    <row r="18813" spans="3:3" x14ac:dyDescent="0.35">
      <c r="C18813" s="2"/>
    </row>
    <row r="18814" spans="3:3" x14ac:dyDescent="0.35">
      <c r="C18814" s="2"/>
    </row>
    <row r="18815" spans="3:3" x14ac:dyDescent="0.35">
      <c r="C18815" s="2"/>
    </row>
    <row r="18816" spans="3:3" x14ac:dyDescent="0.35">
      <c r="C18816" s="2"/>
    </row>
    <row r="18817" spans="3:3" x14ac:dyDescent="0.35">
      <c r="C18817" s="2"/>
    </row>
    <row r="18818" spans="3:3" x14ac:dyDescent="0.35">
      <c r="C18818" s="2"/>
    </row>
    <row r="18819" spans="3:3" x14ac:dyDescent="0.35">
      <c r="C18819" s="2"/>
    </row>
    <row r="18820" spans="3:3" x14ac:dyDescent="0.35">
      <c r="C18820" s="2"/>
    </row>
    <row r="18821" spans="3:3" x14ac:dyDescent="0.35">
      <c r="C18821" s="2"/>
    </row>
    <row r="18822" spans="3:3" x14ac:dyDescent="0.35">
      <c r="C18822" s="2"/>
    </row>
    <row r="18823" spans="3:3" x14ac:dyDescent="0.35">
      <c r="C18823" s="2"/>
    </row>
    <row r="18824" spans="3:3" x14ac:dyDescent="0.35">
      <c r="C18824" s="2"/>
    </row>
    <row r="18825" spans="3:3" x14ac:dyDescent="0.35">
      <c r="C18825" s="2"/>
    </row>
    <row r="18826" spans="3:3" x14ac:dyDescent="0.35">
      <c r="C18826" s="2"/>
    </row>
    <row r="18827" spans="3:3" x14ac:dyDescent="0.35">
      <c r="C18827" s="2"/>
    </row>
    <row r="18828" spans="3:3" x14ac:dyDescent="0.35">
      <c r="C18828" s="2"/>
    </row>
    <row r="18829" spans="3:3" x14ac:dyDescent="0.35">
      <c r="C18829" s="2"/>
    </row>
    <row r="18830" spans="3:3" x14ac:dyDescent="0.35">
      <c r="C18830" s="2"/>
    </row>
    <row r="18831" spans="3:3" x14ac:dyDescent="0.35">
      <c r="C18831" s="2"/>
    </row>
    <row r="18832" spans="3:3" x14ac:dyDescent="0.35">
      <c r="C18832" s="2"/>
    </row>
    <row r="18833" spans="3:3" x14ac:dyDescent="0.35">
      <c r="C18833" s="2"/>
    </row>
    <row r="18834" spans="3:3" x14ac:dyDescent="0.35">
      <c r="C18834" s="2"/>
    </row>
    <row r="18835" spans="3:3" x14ac:dyDescent="0.35">
      <c r="C18835" s="2"/>
    </row>
    <row r="18836" spans="3:3" x14ac:dyDescent="0.35">
      <c r="C18836" s="2"/>
    </row>
    <row r="18837" spans="3:3" x14ac:dyDescent="0.35">
      <c r="C18837" s="2"/>
    </row>
    <row r="18838" spans="3:3" x14ac:dyDescent="0.35">
      <c r="C18838" s="2"/>
    </row>
    <row r="18839" spans="3:3" x14ac:dyDescent="0.35">
      <c r="C18839" s="2"/>
    </row>
    <row r="18840" spans="3:3" x14ac:dyDescent="0.35">
      <c r="C18840" s="2"/>
    </row>
    <row r="18841" spans="3:3" x14ac:dyDescent="0.35">
      <c r="C18841" s="2"/>
    </row>
    <row r="18842" spans="3:3" x14ac:dyDescent="0.35">
      <c r="C18842" s="2"/>
    </row>
    <row r="18843" spans="3:3" x14ac:dyDescent="0.35">
      <c r="C18843" s="2"/>
    </row>
    <row r="18844" spans="3:3" x14ac:dyDescent="0.35">
      <c r="C18844" s="2"/>
    </row>
    <row r="18845" spans="3:3" x14ac:dyDescent="0.35">
      <c r="C18845" s="2"/>
    </row>
    <row r="18846" spans="3:3" x14ac:dyDescent="0.35">
      <c r="C18846" s="2"/>
    </row>
    <row r="18847" spans="3:3" x14ac:dyDescent="0.35">
      <c r="C18847" s="2"/>
    </row>
    <row r="18848" spans="3:3" x14ac:dyDescent="0.35">
      <c r="C18848" s="2"/>
    </row>
    <row r="18849" spans="3:3" x14ac:dyDescent="0.35">
      <c r="C18849" s="2"/>
    </row>
    <row r="18850" spans="3:3" x14ac:dyDescent="0.35">
      <c r="C18850" s="2"/>
    </row>
    <row r="18851" spans="3:3" x14ac:dyDescent="0.35">
      <c r="C18851" s="2"/>
    </row>
    <row r="18852" spans="3:3" x14ac:dyDescent="0.35">
      <c r="C18852" s="2"/>
    </row>
    <row r="18853" spans="3:3" x14ac:dyDescent="0.35">
      <c r="C18853" s="2"/>
    </row>
    <row r="18854" spans="3:3" x14ac:dyDescent="0.35">
      <c r="C18854" s="2"/>
    </row>
    <row r="18855" spans="3:3" x14ac:dyDescent="0.35">
      <c r="C18855" s="2"/>
    </row>
    <row r="18856" spans="3:3" x14ac:dyDescent="0.35">
      <c r="C18856" s="2"/>
    </row>
    <row r="18857" spans="3:3" x14ac:dyDescent="0.35">
      <c r="C18857" s="2"/>
    </row>
    <row r="18858" spans="3:3" x14ac:dyDescent="0.35">
      <c r="C18858" s="2"/>
    </row>
    <row r="18859" spans="3:3" x14ac:dyDescent="0.35">
      <c r="C18859" s="2"/>
    </row>
    <row r="18860" spans="3:3" x14ac:dyDescent="0.35">
      <c r="C18860" s="2"/>
    </row>
    <row r="18861" spans="3:3" x14ac:dyDescent="0.35">
      <c r="C18861" s="2"/>
    </row>
    <row r="18862" spans="3:3" x14ac:dyDescent="0.35">
      <c r="C18862" s="2"/>
    </row>
    <row r="18863" spans="3:3" x14ac:dyDescent="0.35">
      <c r="C18863" s="2"/>
    </row>
    <row r="18864" spans="3:3" x14ac:dyDescent="0.35">
      <c r="C18864" s="2"/>
    </row>
    <row r="18865" spans="3:3" x14ac:dyDescent="0.35">
      <c r="C18865" s="2"/>
    </row>
    <row r="18866" spans="3:3" x14ac:dyDescent="0.35">
      <c r="C18866" s="2"/>
    </row>
    <row r="18867" spans="3:3" x14ac:dyDescent="0.35">
      <c r="C18867" s="2"/>
    </row>
    <row r="18868" spans="3:3" x14ac:dyDescent="0.35">
      <c r="C18868" s="2"/>
    </row>
    <row r="18869" spans="3:3" x14ac:dyDescent="0.35">
      <c r="C18869" s="2"/>
    </row>
    <row r="18870" spans="3:3" x14ac:dyDescent="0.35">
      <c r="C18870" s="2"/>
    </row>
    <row r="18871" spans="3:3" x14ac:dyDescent="0.35">
      <c r="C18871" s="2"/>
    </row>
    <row r="18872" spans="3:3" x14ac:dyDescent="0.35">
      <c r="C18872" s="2"/>
    </row>
    <row r="18873" spans="3:3" x14ac:dyDescent="0.35">
      <c r="C18873" s="2"/>
    </row>
    <row r="18874" spans="3:3" x14ac:dyDescent="0.35">
      <c r="C18874" s="2"/>
    </row>
    <row r="18875" spans="3:3" x14ac:dyDescent="0.35">
      <c r="C18875" s="2"/>
    </row>
    <row r="18876" spans="3:3" x14ac:dyDescent="0.35">
      <c r="C18876" s="2"/>
    </row>
    <row r="18877" spans="3:3" x14ac:dyDescent="0.35">
      <c r="C18877" s="2"/>
    </row>
    <row r="18878" spans="3:3" x14ac:dyDescent="0.35">
      <c r="C18878" s="2"/>
    </row>
    <row r="18879" spans="3:3" x14ac:dyDescent="0.35">
      <c r="C18879" s="2"/>
    </row>
    <row r="18880" spans="3:3" x14ac:dyDescent="0.35">
      <c r="C18880" s="2"/>
    </row>
    <row r="18881" spans="3:3" x14ac:dyDescent="0.35">
      <c r="C18881" s="2"/>
    </row>
    <row r="18882" spans="3:3" x14ac:dyDescent="0.35">
      <c r="C18882" s="2"/>
    </row>
    <row r="18883" spans="3:3" x14ac:dyDescent="0.35">
      <c r="C18883" s="2"/>
    </row>
    <row r="18884" spans="3:3" x14ac:dyDescent="0.35">
      <c r="C18884" s="2"/>
    </row>
    <row r="18885" spans="3:3" x14ac:dyDescent="0.35">
      <c r="C18885" s="2"/>
    </row>
    <row r="18886" spans="3:3" x14ac:dyDescent="0.35">
      <c r="C18886" s="2"/>
    </row>
    <row r="18887" spans="3:3" x14ac:dyDescent="0.35">
      <c r="C18887" s="2"/>
    </row>
    <row r="18888" spans="3:3" x14ac:dyDescent="0.35">
      <c r="C18888" s="2"/>
    </row>
    <row r="18889" spans="3:3" x14ac:dyDescent="0.35">
      <c r="C18889" s="2"/>
    </row>
    <row r="18890" spans="3:3" x14ac:dyDescent="0.35">
      <c r="C18890" s="2"/>
    </row>
    <row r="18891" spans="3:3" x14ac:dyDescent="0.35">
      <c r="C18891" s="2"/>
    </row>
    <row r="18892" spans="3:3" x14ac:dyDescent="0.35">
      <c r="C18892" s="2"/>
    </row>
    <row r="18893" spans="3:3" x14ac:dyDescent="0.35">
      <c r="C18893" s="2"/>
    </row>
    <row r="18894" spans="3:3" x14ac:dyDescent="0.35">
      <c r="C18894" s="2"/>
    </row>
    <row r="18895" spans="3:3" x14ac:dyDescent="0.35">
      <c r="C18895" s="2"/>
    </row>
    <row r="18896" spans="3:3" x14ac:dyDescent="0.35">
      <c r="C18896" s="2"/>
    </row>
    <row r="18897" spans="3:3" x14ac:dyDescent="0.35">
      <c r="C18897" s="2"/>
    </row>
    <row r="18898" spans="3:3" x14ac:dyDescent="0.35">
      <c r="C18898" s="2"/>
    </row>
    <row r="18899" spans="3:3" x14ac:dyDescent="0.35">
      <c r="C18899" s="2"/>
    </row>
    <row r="18900" spans="3:3" x14ac:dyDescent="0.35">
      <c r="C18900" s="2"/>
    </row>
    <row r="18901" spans="3:3" x14ac:dyDescent="0.35">
      <c r="C18901" s="2"/>
    </row>
    <row r="18902" spans="3:3" x14ac:dyDescent="0.35">
      <c r="C18902" s="2"/>
    </row>
    <row r="18903" spans="3:3" x14ac:dyDescent="0.35">
      <c r="C18903" s="2"/>
    </row>
    <row r="18904" spans="3:3" x14ac:dyDescent="0.35">
      <c r="C18904" s="2"/>
    </row>
    <row r="18905" spans="3:3" x14ac:dyDescent="0.35">
      <c r="C18905" s="2"/>
    </row>
    <row r="18906" spans="3:3" x14ac:dyDescent="0.35">
      <c r="C18906" s="2"/>
    </row>
    <row r="18907" spans="3:3" x14ac:dyDescent="0.35">
      <c r="C18907" s="2"/>
    </row>
    <row r="18908" spans="3:3" x14ac:dyDescent="0.35">
      <c r="C18908" s="2"/>
    </row>
    <row r="18909" spans="3:3" x14ac:dyDescent="0.35">
      <c r="C18909" s="2"/>
    </row>
    <row r="18910" spans="3:3" x14ac:dyDescent="0.35">
      <c r="C18910" s="2"/>
    </row>
    <row r="18911" spans="3:3" x14ac:dyDescent="0.35">
      <c r="C18911" s="2"/>
    </row>
    <row r="18912" spans="3:3" x14ac:dyDescent="0.35">
      <c r="C18912" s="2"/>
    </row>
    <row r="18913" spans="3:3" x14ac:dyDescent="0.35">
      <c r="C18913" s="2"/>
    </row>
    <row r="18914" spans="3:3" x14ac:dyDescent="0.35">
      <c r="C18914" s="2"/>
    </row>
    <row r="18915" spans="3:3" x14ac:dyDescent="0.35">
      <c r="C18915" s="2"/>
    </row>
    <row r="18916" spans="3:3" x14ac:dyDescent="0.35">
      <c r="C18916" s="2"/>
    </row>
    <row r="18917" spans="3:3" x14ac:dyDescent="0.35">
      <c r="C18917" s="2"/>
    </row>
    <row r="18918" spans="3:3" x14ac:dyDescent="0.35">
      <c r="C18918" s="2"/>
    </row>
    <row r="18919" spans="3:3" x14ac:dyDescent="0.35">
      <c r="C18919" s="2"/>
    </row>
    <row r="18920" spans="3:3" x14ac:dyDescent="0.35">
      <c r="C18920" s="2"/>
    </row>
    <row r="18921" spans="3:3" x14ac:dyDescent="0.35">
      <c r="C18921" s="2"/>
    </row>
    <row r="18922" spans="3:3" x14ac:dyDescent="0.35">
      <c r="C18922" s="2"/>
    </row>
    <row r="18923" spans="3:3" x14ac:dyDescent="0.35">
      <c r="C18923" s="2"/>
    </row>
    <row r="18924" spans="3:3" x14ac:dyDescent="0.35">
      <c r="C18924" s="2"/>
    </row>
    <row r="18925" spans="3:3" x14ac:dyDescent="0.35">
      <c r="C18925" s="2"/>
    </row>
    <row r="18926" spans="3:3" x14ac:dyDescent="0.35">
      <c r="C18926" s="2"/>
    </row>
    <row r="18927" spans="3:3" x14ac:dyDescent="0.35">
      <c r="C18927" s="2"/>
    </row>
    <row r="18928" spans="3:3" x14ac:dyDescent="0.35">
      <c r="C18928" s="2"/>
    </row>
    <row r="18929" spans="3:3" x14ac:dyDescent="0.35">
      <c r="C18929" s="2"/>
    </row>
    <row r="18930" spans="3:3" x14ac:dyDescent="0.35">
      <c r="C18930" s="2"/>
    </row>
    <row r="18931" spans="3:3" x14ac:dyDescent="0.35">
      <c r="C18931" s="2"/>
    </row>
    <row r="18932" spans="3:3" x14ac:dyDescent="0.35">
      <c r="C18932" s="2"/>
    </row>
    <row r="18933" spans="3:3" x14ac:dyDescent="0.35">
      <c r="C18933" s="2"/>
    </row>
    <row r="18934" spans="3:3" x14ac:dyDescent="0.35">
      <c r="C18934" s="2"/>
    </row>
    <row r="18935" spans="3:3" x14ac:dyDescent="0.35">
      <c r="C18935" s="2"/>
    </row>
    <row r="18936" spans="3:3" x14ac:dyDescent="0.35">
      <c r="C18936" s="2"/>
    </row>
    <row r="18937" spans="3:3" x14ac:dyDescent="0.35">
      <c r="C18937" s="2"/>
    </row>
    <row r="18938" spans="3:3" x14ac:dyDescent="0.35">
      <c r="C18938" s="2"/>
    </row>
    <row r="18939" spans="3:3" x14ac:dyDescent="0.35">
      <c r="C18939" s="2"/>
    </row>
    <row r="18940" spans="3:3" x14ac:dyDescent="0.35">
      <c r="C18940" s="2"/>
    </row>
    <row r="18941" spans="3:3" x14ac:dyDescent="0.35">
      <c r="C18941" s="2"/>
    </row>
    <row r="18942" spans="3:3" x14ac:dyDescent="0.35">
      <c r="C18942" s="2"/>
    </row>
    <row r="18943" spans="3:3" x14ac:dyDescent="0.35">
      <c r="C18943" s="2"/>
    </row>
    <row r="18944" spans="3:3" x14ac:dyDescent="0.35">
      <c r="C18944" s="2"/>
    </row>
    <row r="18945" spans="3:3" x14ac:dyDescent="0.35">
      <c r="C18945" s="2"/>
    </row>
    <row r="18946" spans="3:3" x14ac:dyDescent="0.35">
      <c r="C18946" s="2"/>
    </row>
    <row r="18947" spans="3:3" x14ac:dyDescent="0.35">
      <c r="C18947" s="2"/>
    </row>
    <row r="18948" spans="3:3" x14ac:dyDescent="0.35">
      <c r="C18948" s="2"/>
    </row>
    <row r="18949" spans="3:3" x14ac:dyDescent="0.35">
      <c r="C18949" s="2"/>
    </row>
    <row r="18950" spans="3:3" x14ac:dyDescent="0.35">
      <c r="C18950" s="2"/>
    </row>
    <row r="18951" spans="3:3" x14ac:dyDescent="0.35">
      <c r="C18951" s="2"/>
    </row>
    <row r="18952" spans="3:3" x14ac:dyDescent="0.35">
      <c r="C18952" s="2"/>
    </row>
    <row r="18953" spans="3:3" x14ac:dyDescent="0.35">
      <c r="C18953" s="2"/>
    </row>
    <row r="18954" spans="3:3" x14ac:dyDescent="0.35">
      <c r="C18954" s="2"/>
    </row>
    <row r="18955" spans="3:3" x14ac:dyDescent="0.35">
      <c r="C18955" s="2"/>
    </row>
    <row r="18956" spans="3:3" x14ac:dyDescent="0.35">
      <c r="C18956" s="2"/>
    </row>
    <row r="18957" spans="3:3" x14ac:dyDescent="0.35">
      <c r="C18957" s="2"/>
    </row>
    <row r="18958" spans="3:3" x14ac:dyDescent="0.35">
      <c r="C18958" s="2"/>
    </row>
    <row r="18959" spans="3:3" x14ac:dyDescent="0.35">
      <c r="C18959" s="2"/>
    </row>
    <row r="18960" spans="3:3" x14ac:dyDescent="0.35">
      <c r="C18960" s="2"/>
    </row>
    <row r="18961" spans="3:3" x14ac:dyDescent="0.35">
      <c r="C18961" s="2"/>
    </row>
    <row r="18962" spans="3:3" x14ac:dyDescent="0.35">
      <c r="C18962" s="2"/>
    </row>
    <row r="18963" spans="3:3" x14ac:dyDescent="0.35">
      <c r="C18963" s="2"/>
    </row>
    <row r="18964" spans="3:3" x14ac:dyDescent="0.35">
      <c r="C18964" s="2"/>
    </row>
    <row r="18965" spans="3:3" x14ac:dyDescent="0.35">
      <c r="C18965" s="2"/>
    </row>
    <row r="18966" spans="3:3" x14ac:dyDescent="0.35">
      <c r="C18966" s="2"/>
    </row>
    <row r="18967" spans="3:3" x14ac:dyDescent="0.35">
      <c r="C18967" s="2"/>
    </row>
    <row r="18968" spans="3:3" x14ac:dyDescent="0.35">
      <c r="C18968" s="2"/>
    </row>
    <row r="18969" spans="3:3" x14ac:dyDescent="0.35">
      <c r="C18969" s="2"/>
    </row>
    <row r="18970" spans="3:3" x14ac:dyDescent="0.35">
      <c r="C18970" s="2"/>
    </row>
    <row r="18971" spans="3:3" x14ac:dyDescent="0.35">
      <c r="C18971" s="2"/>
    </row>
    <row r="18972" spans="3:3" x14ac:dyDescent="0.35">
      <c r="C18972" s="2"/>
    </row>
    <row r="18973" spans="3:3" x14ac:dyDescent="0.35">
      <c r="C18973" s="2"/>
    </row>
    <row r="18974" spans="3:3" x14ac:dyDescent="0.35">
      <c r="C18974" s="2"/>
    </row>
    <row r="18975" spans="3:3" x14ac:dyDescent="0.35">
      <c r="C18975" s="2"/>
    </row>
    <row r="18976" spans="3:3" x14ac:dyDescent="0.35">
      <c r="C18976" s="2"/>
    </row>
    <row r="18977" spans="3:3" x14ac:dyDescent="0.35">
      <c r="C18977" s="2"/>
    </row>
    <row r="18978" spans="3:3" x14ac:dyDescent="0.35">
      <c r="C18978" s="2"/>
    </row>
    <row r="18979" spans="3:3" x14ac:dyDescent="0.35">
      <c r="C18979" s="2"/>
    </row>
    <row r="18980" spans="3:3" x14ac:dyDescent="0.35">
      <c r="C18980" s="2"/>
    </row>
    <row r="18981" spans="3:3" x14ac:dyDescent="0.35">
      <c r="C18981" s="2"/>
    </row>
    <row r="18982" spans="3:3" x14ac:dyDescent="0.35">
      <c r="C18982" s="2"/>
    </row>
    <row r="18983" spans="3:3" x14ac:dyDescent="0.35">
      <c r="C18983" s="2"/>
    </row>
    <row r="18984" spans="3:3" x14ac:dyDescent="0.35">
      <c r="C18984" s="2"/>
    </row>
    <row r="18985" spans="3:3" x14ac:dyDescent="0.35">
      <c r="C18985" s="2"/>
    </row>
    <row r="18986" spans="3:3" x14ac:dyDescent="0.35">
      <c r="C18986" s="2"/>
    </row>
    <row r="18987" spans="3:3" x14ac:dyDescent="0.35">
      <c r="C18987" s="2"/>
    </row>
    <row r="18988" spans="3:3" x14ac:dyDescent="0.35">
      <c r="C18988" s="2"/>
    </row>
    <row r="18989" spans="3:3" x14ac:dyDescent="0.35">
      <c r="C18989" s="2"/>
    </row>
    <row r="18990" spans="3:3" x14ac:dyDescent="0.35">
      <c r="C18990" s="2"/>
    </row>
    <row r="18991" spans="3:3" x14ac:dyDescent="0.35">
      <c r="C18991" s="2"/>
    </row>
    <row r="18992" spans="3:3" x14ac:dyDescent="0.35">
      <c r="C18992" s="2"/>
    </row>
    <row r="18993" spans="3:3" x14ac:dyDescent="0.35">
      <c r="C18993" s="2"/>
    </row>
    <row r="18994" spans="3:3" x14ac:dyDescent="0.35">
      <c r="C18994" s="2"/>
    </row>
    <row r="18995" spans="3:3" x14ac:dyDescent="0.35">
      <c r="C18995" s="2"/>
    </row>
    <row r="18996" spans="3:3" x14ac:dyDescent="0.35">
      <c r="C18996" s="2"/>
    </row>
    <row r="18997" spans="3:3" x14ac:dyDescent="0.35">
      <c r="C18997" s="2"/>
    </row>
    <row r="18998" spans="3:3" x14ac:dyDescent="0.35">
      <c r="C18998" s="2"/>
    </row>
    <row r="18999" spans="3:3" x14ac:dyDescent="0.35">
      <c r="C18999" s="2"/>
    </row>
    <row r="19000" spans="3:3" x14ac:dyDescent="0.35">
      <c r="C19000" s="2"/>
    </row>
    <row r="19001" spans="3:3" x14ac:dyDescent="0.35">
      <c r="C19001" s="2"/>
    </row>
    <row r="19002" spans="3:3" x14ac:dyDescent="0.35">
      <c r="C19002" s="2"/>
    </row>
    <row r="19003" spans="3:3" x14ac:dyDescent="0.35">
      <c r="C19003" s="2"/>
    </row>
    <row r="19004" spans="3:3" x14ac:dyDescent="0.35">
      <c r="C19004" s="2"/>
    </row>
    <row r="19005" spans="3:3" x14ac:dyDescent="0.35">
      <c r="C19005" s="2"/>
    </row>
    <row r="19006" spans="3:3" x14ac:dyDescent="0.35">
      <c r="C19006" s="2"/>
    </row>
    <row r="19007" spans="3:3" x14ac:dyDescent="0.35">
      <c r="C19007" s="2"/>
    </row>
    <row r="19008" spans="3:3" x14ac:dyDescent="0.35">
      <c r="C19008" s="2"/>
    </row>
    <row r="19009" spans="3:3" x14ac:dyDescent="0.35">
      <c r="C19009" s="2"/>
    </row>
    <row r="19010" spans="3:3" x14ac:dyDescent="0.35">
      <c r="C19010" s="2"/>
    </row>
    <row r="19011" spans="3:3" x14ac:dyDescent="0.35">
      <c r="C19011" s="2"/>
    </row>
    <row r="19012" spans="3:3" x14ac:dyDescent="0.35">
      <c r="C19012" s="2"/>
    </row>
    <row r="19013" spans="3:3" x14ac:dyDescent="0.35">
      <c r="C19013" s="2"/>
    </row>
    <row r="19014" spans="3:3" x14ac:dyDescent="0.35">
      <c r="C19014" s="2"/>
    </row>
    <row r="19015" spans="3:3" x14ac:dyDescent="0.35">
      <c r="C19015" s="2"/>
    </row>
    <row r="19016" spans="3:3" x14ac:dyDescent="0.35">
      <c r="C19016" s="2"/>
    </row>
    <row r="19017" spans="3:3" x14ac:dyDescent="0.35">
      <c r="C19017" s="2"/>
    </row>
    <row r="19018" spans="3:3" x14ac:dyDescent="0.35">
      <c r="C19018" s="2"/>
    </row>
    <row r="19019" spans="3:3" x14ac:dyDescent="0.35">
      <c r="C19019" s="2"/>
    </row>
    <row r="19020" spans="3:3" x14ac:dyDescent="0.35">
      <c r="C19020" s="2"/>
    </row>
    <row r="19021" spans="3:3" x14ac:dyDescent="0.35">
      <c r="C19021" s="2"/>
    </row>
    <row r="19022" spans="3:3" x14ac:dyDescent="0.35">
      <c r="C19022" s="2"/>
    </row>
    <row r="19023" spans="3:3" x14ac:dyDescent="0.35">
      <c r="C19023" s="2"/>
    </row>
    <row r="19024" spans="3:3" x14ac:dyDescent="0.35">
      <c r="C19024" s="2"/>
    </row>
    <row r="19025" spans="3:3" x14ac:dyDescent="0.35">
      <c r="C19025" s="2"/>
    </row>
    <row r="19026" spans="3:3" x14ac:dyDescent="0.35">
      <c r="C19026" s="2"/>
    </row>
    <row r="19027" spans="3:3" x14ac:dyDescent="0.35">
      <c r="C19027" s="2"/>
    </row>
    <row r="19028" spans="3:3" x14ac:dyDescent="0.35">
      <c r="C19028" s="2"/>
    </row>
    <row r="19029" spans="3:3" x14ac:dyDescent="0.35">
      <c r="C19029" s="2"/>
    </row>
    <row r="19030" spans="3:3" x14ac:dyDescent="0.35">
      <c r="C19030" s="2"/>
    </row>
    <row r="19031" spans="3:3" x14ac:dyDescent="0.35">
      <c r="C19031" s="2"/>
    </row>
    <row r="19032" spans="3:3" x14ac:dyDescent="0.35">
      <c r="C19032" s="2"/>
    </row>
    <row r="19033" spans="3:3" x14ac:dyDescent="0.35">
      <c r="C19033" s="2"/>
    </row>
    <row r="19034" spans="3:3" x14ac:dyDescent="0.35">
      <c r="C19034" s="2"/>
    </row>
    <row r="19035" spans="3:3" x14ac:dyDescent="0.35">
      <c r="C19035" s="2"/>
    </row>
    <row r="19036" spans="3:3" x14ac:dyDescent="0.35">
      <c r="C19036" s="2"/>
    </row>
    <row r="19037" spans="3:3" x14ac:dyDescent="0.35">
      <c r="C19037" s="2"/>
    </row>
    <row r="19038" spans="3:3" x14ac:dyDescent="0.35">
      <c r="C19038" s="2"/>
    </row>
    <row r="19039" spans="3:3" x14ac:dyDescent="0.35">
      <c r="C19039" s="2"/>
    </row>
    <row r="19040" spans="3:3" x14ac:dyDescent="0.35">
      <c r="C19040" s="2"/>
    </row>
    <row r="19041" spans="3:3" x14ac:dyDescent="0.35">
      <c r="C19041" s="2"/>
    </row>
    <row r="19042" spans="3:3" x14ac:dyDescent="0.35">
      <c r="C19042" s="2"/>
    </row>
    <row r="19043" spans="3:3" x14ac:dyDescent="0.35">
      <c r="C19043" s="2"/>
    </row>
    <row r="19044" spans="3:3" x14ac:dyDescent="0.35">
      <c r="C19044" s="2"/>
    </row>
    <row r="19045" spans="3:3" x14ac:dyDescent="0.35">
      <c r="C19045" s="2"/>
    </row>
    <row r="19046" spans="3:3" x14ac:dyDescent="0.35">
      <c r="C19046" s="2"/>
    </row>
    <row r="19047" spans="3:3" x14ac:dyDescent="0.35">
      <c r="C19047" s="2"/>
    </row>
    <row r="19048" spans="3:3" x14ac:dyDescent="0.35">
      <c r="C19048" s="2"/>
    </row>
    <row r="19049" spans="3:3" x14ac:dyDescent="0.35">
      <c r="C19049" s="2"/>
    </row>
    <row r="19050" spans="3:3" x14ac:dyDescent="0.35">
      <c r="C19050" s="2"/>
    </row>
    <row r="19051" spans="3:3" x14ac:dyDescent="0.35">
      <c r="C19051" s="2"/>
    </row>
    <row r="19052" spans="3:3" x14ac:dyDescent="0.35">
      <c r="C19052" s="2"/>
    </row>
    <row r="19053" spans="3:3" x14ac:dyDescent="0.35">
      <c r="C19053" s="2"/>
    </row>
    <row r="19054" spans="3:3" x14ac:dyDescent="0.35">
      <c r="C19054" s="2"/>
    </row>
    <row r="19055" spans="3:3" x14ac:dyDescent="0.35">
      <c r="C19055" s="2"/>
    </row>
    <row r="19056" spans="3:3" x14ac:dyDescent="0.35">
      <c r="C19056" s="2"/>
    </row>
    <row r="19057" spans="3:3" x14ac:dyDescent="0.35">
      <c r="C19057" s="2"/>
    </row>
    <row r="19058" spans="3:3" x14ac:dyDescent="0.35">
      <c r="C19058" s="2"/>
    </row>
    <row r="19059" spans="3:3" x14ac:dyDescent="0.35">
      <c r="C19059" s="2"/>
    </row>
    <row r="19060" spans="3:3" x14ac:dyDescent="0.35">
      <c r="C19060" s="2"/>
    </row>
    <row r="19061" spans="3:3" x14ac:dyDescent="0.35">
      <c r="C19061" s="2"/>
    </row>
    <row r="19062" spans="3:3" x14ac:dyDescent="0.35">
      <c r="C19062" s="2"/>
    </row>
    <row r="19063" spans="3:3" x14ac:dyDescent="0.35">
      <c r="C19063" s="2"/>
    </row>
    <row r="19064" spans="3:3" x14ac:dyDescent="0.35">
      <c r="C19064" s="2"/>
    </row>
    <row r="19065" spans="3:3" x14ac:dyDescent="0.35">
      <c r="C19065" s="2"/>
    </row>
    <row r="19066" spans="3:3" x14ac:dyDescent="0.35">
      <c r="C19066" s="2"/>
    </row>
    <row r="19067" spans="3:3" x14ac:dyDescent="0.35">
      <c r="C19067" s="2"/>
    </row>
    <row r="19068" spans="3:3" x14ac:dyDescent="0.35">
      <c r="C19068" s="2"/>
    </row>
    <row r="19069" spans="3:3" x14ac:dyDescent="0.35">
      <c r="C19069" s="2"/>
    </row>
    <row r="19070" spans="3:3" x14ac:dyDescent="0.35">
      <c r="C19070" s="2"/>
    </row>
    <row r="19071" spans="3:3" x14ac:dyDescent="0.35">
      <c r="C19071" s="2"/>
    </row>
    <row r="19072" spans="3:3" x14ac:dyDescent="0.35">
      <c r="C19072" s="2"/>
    </row>
    <row r="19073" spans="3:3" x14ac:dyDescent="0.35">
      <c r="C19073" s="2"/>
    </row>
    <row r="19074" spans="3:3" x14ac:dyDescent="0.35">
      <c r="C19074" s="2"/>
    </row>
    <row r="19075" spans="3:3" x14ac:dyDescent="0.35">
      <c r="C19075" s="2"/>
    </row>
    <row r="19076" spans="3:3" x14ac:dyDescent="0.35">
      <c r="C19076" s="2"/>
    </row>
    <row r="19077" spans="3:3" x14ac:dyDescent="0.35">
      <c r="C19077" s="2"/>
    </row>
    <row r="19078" spans="3:3" x14ac:dyDescent="0.35">
      <c r="C19078" s="2"/>
    </row>
    <row r="19079" spans="3:3" x14ac:dyDescent="0.35">
      <c r="C19079" s="2"/>
    </row>
    <row r="19080" spans="3:3" x14ac:dyDescent="0.35">
      <c r="C19080" s="2"/>
    </row>
    <row r="19081" spans="3:3" x14ac:dyDescent="0.35">
      <c r="C19081" s="2"/>
    </row>
    <row r="19082" spans="3:3" x14ac:dyDescent="0.35">
      <c r="C19082" s="2"/>
    </row>
    <row r="19083" spans="3:3" x14ac:dyDescent="0.35">
      <c r="C19083" s="2"/>
    </row>
    <row r="19084" spans="3:3" x14ac:dyDescent="0.35">
      <c r="C19084" s="2"/>
    </row>
    <row r="19085" spans="3:3" x14ac:dyDescent="0.35">
      <c r="C19085" s="2"/>
    </row>
    <row r="19086" spans="3:3" x14ac:dyDescent="0.35">
      <c r="C19086" s="2"/>
    </row>
    <row r="19087" spans="3:3" x14ac:dyDescent="0.35">
      <c r="C19087" s="2"/>
    </row>
    <row r="19088" spans="3:3" x14ac:dyDescent="0.35">
      <c r="C19088" s="2"/>
    </row>
    <row r="19089" spans="3:3" x14ac:dyDescent="0.35">
      <c r="C19089" s="2"/>
    </row>
    <row r="19090" spans="3:3" x14ac:dyDescent="0.35">
      <c r="C19090" s="2"/>
    </row>
    <row r="19091" spans="3:3" x14ac:dyDescent="0.35">
      <c r="C19091" s="2"/>
    </row>
    <row r="19092" spans="3:3" x14ac:dyDescent="0.35">
      <c r="C19092" s="2"/>
    </row>
    <row r="19093" spans="3:3" x14ac:dyDescent="0.35">
      <c r="C19093" s="2"/>
    </row>
    <row r="19094" spans="3:3" x14ac:dyDescent="0.35">
      <c r="C19094" s="2"/>
    </row>
    <row r="19095" spans="3:3" x14ac:dyDescent="0.35">
      <c r="C19095" s="2"/>
    </row>
    <row r="19096" spans="3:3" x14ac:dyDescent="0.35">
      <c r="C19096" s="2"/>
    </row>
    <row r="19097" spans="3:3" x14ac:dyDescent="0.35">
      <c r="C19097" s="2"/>
    </row>
    <row r="19098" spans="3:3" x14ac:dyDescent="0.35">
      <c r="C19098" s="2"/>
    </row>
    <row r="19099" spans="3:3" x14ac:dyDescent="0.35">
      <c r="C19099" s="2"/>
    </row>
    <row r="19100" spans="3:3" x14ac:dyDescent="0.35">
      <c r="C19100" s="2"/>
    </row>
    <row r="19101" spans="3:3" x14ac:dyDescent="0.35">
      <c r="C19101" s="2"/>
    </row>
    <row r="19102" spans="3:3" x14ac:dyDescent="0.35">
      <c r="C19102" s="2"/>
    </row>
    <row r="19103" spans="3:3" x14ac:dyDescent="0.35">
      <c r="C19103" s="2"/>
    </row>
    <row r="19104" spans="3:3" x14ac:dyDescent="0.35">
      <c r="C19104" s="2"/>
    </row>
    <row r="19105" spans="3:3" x14ac:dyDescent="0.35">
      <c r="C19105" s="2"/>
    </row>
    <row r="19106" spans="3:3" x14ac:dyDescent="0.35">
      <c r="C19106" s="2"/>
    </row>
    <row r="19107" spans="3:3" x14ac:dyDescent="0.35">
      <c r="C19107" s="2"/>
    </row>
    <row r="19108" spans="3:3" x14ac:dyDescent="0.35">
      <c r="C19108" s="2"/>
    </row>
    <row r="19109" spans="3:3" x14ac:dyDescent="0.35">
      <c r="C19109" s="2"/>
    </row>
    <row r="19110" spans="3:3" x14ac:dyDescent="0.35">
      <c r="C19110" s="2"/>
    </row>
    <row r="19111" spans="3:3" x14ac:dyDescent="0.35">
      <c r="C19111" s="2"/>
    </row>
    <row r="19112" spans="3:3" x14ac:dyDescent="0.35">
      <c r="C19112" s="2"/>
    </row>
    <row r="19113" spans="3:3" x14ac:dyDescent="0.35">
      <c r="C19113" s="2"/>
    </row>
    <row r="19114" spans="3:3" x14ac:dyDescent="0.35">
      <c r="C19114" s="2"/>
    </row>
    <row r="19115" spans="3:3" x14ac:dyDescent="0.35">
      <c r="C19115" s="2"/>
    </row>
    <row r="19116" spans="3:3" x14ac:dyDescent="0.35">
      <c r="C19116" s="2"/>
    </row>
    <row r="19117" spans="3:3" x14ac:dyDescent="0.35">
      <c r="C19117" s="2"/>
    </row>
    <row r="19118" spans="3:3" x14ac:dyDescent="0.35">
      <c r="C19118" s="2"/>
    </row>
    <row r="19119" spans="3:3" x14ac:dyDescent="0.35">
      <c r="C19119" s="2"/>
    </row>
    <row r="19120" spans="3:3" x14ac:dyDescent="0.35">
      <c r="C19120" s="2"/>
    </row>
    <row r="19121" spans="3:3" x14ac:dyDescent="0.35">
      <c r="C19121" s="2"/>
    </row>
    <row r="19122" spans="3:3" x14ac:dyDescent="0.35">
      <c r="C19122" s="2"/>
    </row>
    <row r="19123" spans="3:3" x14ac:dyDescent="0.35">
      <c r="C19123" s="2"/>
    </row>
    <row r="19124" spans="3:3" x14ac:dyDescent="0.35">
      <c r="C19124" s="2"/>
    </row>
    <row r="19125" spans="3:3" x14ac:dyDescent="0.35">
      <c r="C19125" s="2"/>
    </row>
    <row r="19126" spans="3:3" x14ac:dyDescent="0.35">
      <c r="C19126" s="2"/>
    </row>
    <row r="19127" spans="3:3" x14ac:dyDescent="0.35">
      <c r="C19127" s="2"/>
    </row>
    <row r="19128" spans="3:3" x14ac:dyDescent="0.35">
      <c r="C19128" s="2"/>
    </row>
    <row r="19129" spans="3:3" x14ac:dyDescent="0.35">
      <c r="C19129" s="2"/>
    </row>
    <row r="19130" spans="3:3" x14ac:dyDescent="0.35">
      <c r="C19130" s="2"/>
    </row>
    <row r="19131" spans="3:3" x14ac:dyDescent="0.35">
      <c r="C19131" s="2"/>
    </row>
    <row r="19132" spans="3:3" x14ac:dyDescent="0.35">
      <c r="C19132" s="2"/>
    </row>
    <row r="19133" spans="3:3" x14ac:dyDescent="0.35">
      <c r="C19133" s="2"/>
    </row>
    <row r="19134" spans="3:3" x14ac:dyDescent="0.35">
      <c r="C19134" s="2"/>
    </row>
    <row r="19135" spans="3:3" x14ac:dyDescent="0.35">
      <c r="C19135" s="2"/>
    </row>
    <row r="19136" spans="3:3" x14ac:dyDescent="0.35">
      <c r="C19136" s="2"/>
    </row>
    <row r="19137" spans="3:3" x14ac:dyDescent="0.35">
      <c r="C19137" s="2"/>
    </row>
    <row r="19138" spans="3:3" x14ac:dyDescent="0.35">
      <c r="C19138" s="2"/>
    </row>
    <row r="19139" spans="3:3" x14ac:dyDescent="0.35">
      <c r="C19139" s="2"/>
    </row>
    <row r="19140" spans="3:3" x14ac:dyDescent="0.35">
      <c r="C19140" s="2"/>
    </row>
    <row r="19141" spans="3:3" x14ac:dyDescent="0.35">
      <c r="C19141" s="2"/>
    </row>
    <row r="19142" spans="3:3" x14ac:dyDescent="0.35">
      <c r="C19142" s="2"/>
    </row>
    <row r="19143" spans="3:3" x14ac:dyDescent="0.35">
      <c r="C19143" s="2"/>
    </row>
    <row r="19144" spans="3:3" x14ac:dyDescent="0.35">
      <c r="C19144" s="2"/>
    </row>
    <row r="19145" spans="3:3" x14ac:dyDescent="0.35">
      <c r="C19145" s="2"/>
    </row>
    <row r="19146" spans="3:3" x14ac:dyDescent="0.35">
      <c r="C19146" s="2"/>
    </row>
    <row r="19147" spans="3:3" x14ac:dyDescent="0.35">
      <c r="C19147" s="2"/>
    </row>
    <row r="19148" spans="3:3" x14ac:dyDescent="0.35">
      <c r="C19148" s="2"/>
    </row>
    <row r="19149" spans="3:3" x14ac:dyDescent="0.35">
      <c r="C19149" s="2"/>
    </row>
    <row r="19150" spans="3:3" x14ac:dyDescent="0.35">
      <c r="C19150" s="2"/>
    </row>
    <row r="19151" spans="3:3" x14ac:dyDescent="0.35">
      <c r="C19151" s="2"/>
    </row>
    <row r="19152" spans="3:3" x14ac:dyDescent="0.35">
      <c r="C19152" s="2"/>
    </row>
    <row r="19153" spans="3:3" x14ac:dyDescent="0.35">
      <c r="C19153" s="2"/>
    </row>
    <row r="19154" spans="3:3" x14ac:dyDescent="0.35">
      <c r="C19154" s="2"/>
    </row>
    <row r="19155" spans="3:3" x14ac:dyDescent="0.35">
      <c r="C19155" s="2"/>
    </row>
    <row r="19156" spans="3:3" x14ac:dyDescent="0.35">
      <c r="C19156" s="2"/>
    </row>
    <row r="19157" spans="3:3" x14ac:dyDescent="0.35">
      <c r="C19157" s="2"/>
    </row>
    <row r="19158" spans="3:3" x14ac:dyDescent="0.35">
      <c r="C19158" s="2"/>
    </row>
    <row r="19159" spans="3:3" x14ac:dyDescent="0.35">
      <c r="C19159" s="2"/>
    </row>
    <row r="19160" spans="3:3" x14ac:dyDescent="0.35">
      <c r="C19160" s="2"/>
    </row>
    <row r="19161" spans="3:3" x14ac:dyDescent="0.35">
      <c r="C19161" s="2"/>
    </row>
    <row r="19162" spans="3:3" x14ac:dyDescent="0.35">
      <c r="C19162" s="2"/>
    </row>
    <row r="19163" spans="3:3" x14ac:dyDescent="0.35">
      <c r="C19163" s="2"/>
    </row>
    <row r="19164" spans="3:3" x14ac:dyDescent="0.35">
      <c r="C19164" s="2"/>
    </row>
    <row r="19165" spans="3:3" x14ac:dyDescent="0.35">
      <c r="C19165" s="2"/>
    </row>
    <row r="19166" spans="3:3" x14ac:dyDescent="0.35">
      <c r="C19166" s="2"/>
    </row>
    <row r="19167" spans="3:3" x14ac:dyDescent="0.35">
      <c r="C19167" s="2"/>
    </row>
    <row r="19168" spans="3:3" x14ac:dyDescent="0.35">
      <c r="C19168" s="2"/>
    </row>
    <row r="19169" spans="3:3" x14ac:dyDescent="0.35">
      <c r="C19169" s="2"/>
    </row>
    <row r="19170" spans="3:3" x14ac:dyDescent="0.35">
      <c r="C19170" s="2"/>
    </row>
    <row r="19171" spans="3:3" x14ac:dyDescent="0.35">
      <c r="C19171" s="2"/>
    </row>
    <row r="19172" spans="3:3" x14ac:dyDescent="0.35">
      <c r="C19172" s="2"/>
    </row>
    <row r="19173" spans="3:3" x14ac:dyDescent="0.35">
      <c r="C19173" s="2"/>
    </row>
    <row r="19174" spans="3:3" x14ac:dyDescent="0.35">
      <c r="C19174" s="2"/>
    </row>
    <row r="19175" spans="3:3" x14ac:dyDescent="0.35">
      <c r="C19175" s="2"/>
    </row>
    <row r="19176" spans="3:3" x14ac:dyDescent="0.35">
      <c r="C19176" s="2"/>
    </row>
    <row r="19177" spans="3:3" x14ac:dyDescent="0.35">
      <c r="C19177" s="2"/>
    </row>
    <row r="19178" spans="3:3" x14ac:dyDescent="0.35">
      <c r="C19178" s="2"/>
    </row>
    <row r="19179" spans="3:3" x14ac:dyDescent="0.35">
      <c r="C19179" s="2"/>
    </row>
    <row r="19180" spans="3:3" x14ac:dyDescent="0.35">
      <c r="C19180" s="2"/>
    </row>
    <row r="19181" spans="3:3" x14ac:dyDescent="0.35">
      <c r="C19181" s="2"/>
    </row>
    <row r="19182" spans="3:3" x14ac:dyDescent="0.35">
      <c r="C19182" s="2"/>
    </row>
    <row r="19183" spans="3:3" x14ac:dyDescent="0.35">
      <c r="C19183" s="2"/>
    </row>
    <row r="19184" spans="3:3" x14ac:dyDescent="0.35">
      <c r="C19184" s="2"/>
    </row>
    <row r="19185" spans="3:3" x14ac:dyDescent="0.35">
      <c r="C19185" s="2"/>
    </row>
    <row r="19186" spans="3:3" x14ac:dyDescent="0.35">
      <c r="C19186" s="2"/>
    </row>
    <row r="19187" spans="3:3" x14ac:dyDescent="0.35">
      <c r="C19187" s="2"/>
    </row>
    <row r="19188" spans="3:3" x14ac:dyDescent="0.35">
      <c r="C19188" s="2"/>
    </row>
    <row r="19189" spans="3:3" x14ac:dyDescent="0.35">
      <c r="C19189" s="2"/>
    </row>
    <row r="19190" spans="3:3" x14ac:dyDescent="0.35">
      <c r="C19190" s="2"/>
    </row>
    <row r="19191" spans="3:3" x14ac:dyDescent="0.35">
      <c r="C19191" s="2"/>
    </row>
    <row r="19192" spans="3:3" x14ac:dyDescent="0.35">
      <c r="C19192" s="2"/>
    </row>
    <row r="19193" spans="3:3" x14ac:dyDescent="0.35">
      <c r="C19193" s="2"/>
    </row>
    <row r="19194" spans="3:3" x14ac:dyDescent="0.35">
      <c r="C19194" s="2"/>
    </row>
    <row r="19195" spans="3:3" x14ac:dyDescent="0.35">
      <c r="C19195" s="2"/>
    </row>
    <row r="19196" spans="3:3" x14ac:dyDescent="0.35">
      <c r="C19196" s="2"/>
    </row>
    <row r="19197" spans="3:3" x14ac:dyDescent="0.35">
      <c r="C19197" s="2"/>
    </row>
    <row r="19198" spans="3:3" x14ac:dyDescent="0.35">
      <c r="C19198" s="2"/>
    </row>
    <row r="19199" spans="3:3" x14ac:dyDescent="0.35">
      <c r="C19199" s="2"/>
    </row>
    <row r="19200" spans="3:3" x14ac:dyDescent="0.35">
      <c r="C19200" s="2"/>
    </row>
    <row r="19201" spans="3:3" x14ac:dyDescent="0.35">
      <c r="C19201" s="2"/>
    </row>
    <row r="19202" spans="3:3" x14ac:dyDescent="0.35">
      <c r="C19202" s="2"/>
    </row>
    <row r="19203" spans="3:3" x14ac:dyDescent="0.35">
      <c r="C19203" s="2"/>
    </row>
    <row r="19204" spans="3:3" x14ac:dyDescent="0.35">
      <c r="C19204" s="2"/>
    </row>
    <row r="19205" spans="3:3" x14ac:dyDescent="0.35">
      <c r="C19205" s="2"/>
    </row>
    <row r="19206" spans="3:3" x14ac:dyDescent="0.35">
      <c r="C19206" s="2"/>
    </row>
    <row r="19207" spans="3:3" x14ac:dyDescent="0.35">
      <c r="C19207" s="2"/>
    </row>
    <row r="19208" spans="3:3" x14ac:dyDescent="0.35">
      <c r="C19208" s="2"/>
    </row>
    <row r="19209" spans="3:3" x14ac:dyDescent="0.35">
      <c r="C19209" s="2"/>
    </row>
    <row r="19210" spans="3:3" x14ac:dyDescent="0.35">
      <c r="C19210" s="2"/>
    </row>
    <row r="19211" spans="3:3" x14ac:dyDescent="0.35">
      <c r="C19211" s="2"/>
    </row>
    <row r="19212" spans="3:3" x14ac:dyDescent="0.35">
      <c r="C19212" s="2"/>
    </row>
    <row r="19213" spans="3:3" x14ac:dyDescent="0.35">
      <c r="C19213" s="2"/>
    </row>
    <row r="19214" spans="3:3" x14ac:dyDescent="0.35">
      <c r="C19214" s="2"/>
    </row>
    <row r="19215" spans="3:3" x14ac:dyDescent="0.35">
      <c r="C19215" s="2"/>
    </row>
    <row r="19216" spans="3:3" x14ac:dyDescent="0.35">
      <c r="C19216" s="2"/>
    </row>
    <row r="19217" spans="3:3" x14ac:dyDescent="0.35">
      <c r="C19217" s="2"/>
    </row>
    <row r="19218" spans="3:3" x14ac:dyDescent="0.35">
      <c r="C19218" s="2"/>
    </row>
    <row r="19219" spans="3:3" x14ac:dyDescent="0.35">
      <c r="C19219" s="2"/>
    </row>
    <row r="19220" spans="3:3" x14ac:dyDescent="0.35">
      <c r="C19220" s="2"/>
    </row>
    <row r="19221" spans="3:3" x14ac:dyDescent="0.35">
      <c r="C19221" s="2"/>
    </row>
    <row r="19222" spans="3:3" x14ac:dyDescent="0.35">
      <c r="C19222" s="2"/>
    </row>
    <row r="19223" spans="3:3" x14ac:dyDescent="0.35">
      <c r="C19223" s="2"/>
    </row>
    <row r="19224" spans="3:3" x14ac:dyDescent="0.35">
      <c r="C19224" s="2"/>
    </row>
    <row r="19225" spans="3:3" x14ac:dyDescent="0.35">
      <c r="C19225" s="2"/>
    </row>
    <row r="19226" spans="3:3" x14ac:dyDescent="0.35">
      <c r="C19226" s="2"/>
    </row>
    <row r="19227" spans="3:3" x14ac:dyDescent="0.35">
      <c r="C19227" s="2"/>
    </row>
    <row r="19228" spans="3:3" x14ac:dyDescent="0.35">
      <c r="C19228" s="2"/>
    </row>
    <row r="19229" spans="3:3" x14ac:dyDescent="0.35">
      <c r="C19229" s="2"/>
    </row>
    <row r="19230" spans="3:3" x14ac:dyDescent="0.35">
      <c r="C19230" s="2"/>
    </row>
    <row r="19231" spans="3:3" x14ac:dyDescent="0.35">
      <c r="C19231" s="2"/>
    </row>
    <row r="19232" spans="3:3" x14ac:dyDescent="0.35">
      <c r="C19232" s="2"/>
    </row>
    <row r="19233" spans="3:3" x14ac:dyDescent="0.35">
      <c r="C19233" s="2"/>
    </row>
    <row r="19234" spans="3:3" x14ac:dyDescent="0.35">
      <c r="C19234" s="2"/>
    </row>
    <row r="19235" spans="3:3" x14ac:dyDescent="0.35">
      <c r="C19235" s="2"/>
    </row>
    <row r="19236" spans="3:3" x14ac:dyDescent="0.35">
      <c r="C19236" s="2"/>
    </row>
    <row r="19237" spans="3:3" x14ac:dyDescent="0.35">
      <c r="C19237" s="2"/>
    </row>
    <row r="19238" spans="3:3" x14ac:dyDescent="0.35">
      <c r="C19238" s="2"/>
    </row>
    <row r="19239" spans="3:3" x14ac:dyDescent="0.35">
      <c r="C19239" s="2"/>
    </row>
    <row r="19240" spans="3:3" x14ac:dyDescent="0.35">
      <c r="C19240" s="2"/>
    </row>
    <row r="19241" spans="3:3" x14ac:dyDescent="0.35">
      <c r="C19241" s="2"/>
    </row>
    <row r="19242" spans="3:3" x14ac:dyDescent="0.35">
      <c r="C19242" s="2"/>
    </row>
    <row r="19243" spans="3:3" x14ac:dyDescent="0.35">
      <c r="C19243" s="2"/>
    </row>
    <row r="19244" spans="3:3" x14ac:dyDescent="0.35">
      <c r="C19244" s="2"/>
    </row>
    <row r="19245" spans="3:3" x14ac:dyDescent="0.35">
      <c r="C19245" s="2"/>
    </row>
    <row r="19246" spans="3:3" x14ac:dyDescent="0.35">
      <c r="C19246" s="2"/>
    </row>
    <row r="19247" spans="3:3" x14ac:dyDescent="0.35">
      <c r="C19247" s="2"/>
    </row>
    <row r="19248" spans="3:3" x14ac:dyDescent="0.35">
      <c r="C19248" s="2"/>
    </row>
    <row r="19249" spans="3:3" x14ac:dyDescent="0.35">
      <c r="C19249" s="2"/>
    </row>
    <row r="19250" spans="3:3" x14ac:dyDescent="0.35">
      <c r="C19250" s="2"/>
    </row>
    <row r="19251" spans="3:3" x14ac:dyDescent="0.35">
      <c r="C19251" s="2"/>
    </row>
    <row r="19252" spans="3:3" x14ac:dyDescent="0.35">
      <c r="C19252" s="2"/>
    </row>
    <row r="19253" spans="3:3" x14ac:dyDescent="0.35">
      <c r="C19253" s="2"/>
    </row>
    <row r="19254" spans="3:3" x14ac:dyDescent="0.35">
      <c r="C19254" s="2"/>
    </row>
    <row r="19255" spans="3:3" x14ac:dyDescent="0.35">
      <c r="C19255" s="2"/>
    </row>
    <row r="19256" spans="3:3" x14ac:dyDescent="0.35">
      <c r="C19256" s="2"/>
    </row>
    <row r="19257" spans="3:3" x14ac:dyDescent="0.35">
      <c r="C19257" s="2"/>
    </row>
    <row r="19258" spans="3:3" x14ac:dyDescent="0.35">
      <c r="C19258" s="2"/>
    </row>
    <row r="19259" spans="3:3" x14ac:dyDescent="0.35">
      <c r="C19259" s="2"/>
    </row>
    <row r="19260" spans="3:3" x14ac:dyDescent="0.35">
      <c r="C19260" s="2"/>
    </row>
    <row r="19261" spans="3:3" x14ac:dyDescent="0.35">
      <c r="C19261" s="2"/>
    </row>
    <row r="19262" spans="3:3" x14ac:dyDescent="0.35">
      <c r="C19262" s="2"/>
    </row>
    <row r="19263" spans="3:3" x14ac:dyDescent="0.35">
      <c r="C19263" s="2"/>
    </row>
    <row r="19264" spans="3:3" x14ac:dyDescent="0.35">
      <c r="C19264" s="2"/>
    </row>
    <row r="19265" spans="3:3" x14ac:dyDescent="0.35">
      <c r="C19265" s="2"/>
    </row>
    <row r="19266" spans="3:3" x14ac:dyDescent="0.35">
      <c r="C19266" s="2"/>
    </row>
    <row r="19267" spans="3:3" x14ac:dyDescent="0.35">
      <c r="C19267" s="2"/>
    </row>
    <row r="19268" spans="3:3" x14ac:dyDescent="0.35">
      <c r="C19268" s="2"/>
    </row>
    <row r="19269" spans="3:3" x14ac:dyDescent="0.35">
      <c r="C19269" s="2"/>
    </row>
    <row r="19270" spans="3:3" x14ac:dyDescent="0.35">
      <c r="C19270" s="2"/>
    </row>
    <row r="19271" spans="3:3" x14ac:dyDescent="0.35">
      <c r="C19271" s="2"/>
    </row>
    <row r="19272" spans="3:3" x14ac:dyDescent="0.35">
      <c r="C19272" s="2"/>
    </row>
    <row r="19273" spans="3:3" x14ac:dyDescent="0.35">
      <c r="C19273" s="2"/>
    </row>
    <row r="19274" spans="3:3" x14ac:dyDescent="0.35">
      <c r="C19274" s="2"/>
    </row>
    <row r="19275" spans="3:3" x14ac:dyDescent="0.35">
      <c r="C19275" s="2"/>
    </row>
    <row r="19276" spans="3:3" x14ac:dyDescent="0.35">
      <c r="C19276" s="2"/>
    </row>
    <row r="19277" spans="3:3" x14ac:dyDescent="0.35">
      <c r="C19277" s="2"/>
    </row>
    <row r="19278" spans="3:3" x14ac:dyDescent="0.35">
      <c r="C19278" s="2"/>
    </row>
    <row r="19279" spans="3:3" x14ac:dyDescent="0.35">
      <c r="C19279" s="2"/>
    </row>
    <row r="19280" spans="3:3" x14ac:dyDescent="0.35">
      <c r="C19280" s="2"/>
    </row>
    <row r="19281" spans="3:3" x14ac:dyDescent="0.35">
      <c r="C19281" s="2"/>
    </row>
    <row r="19282" spans="3:3" x14ac:dyDescent="0.35">
      <c r="C19282" s="2"/>
    </row>
    <row r="19283" spans="3:3" x14ac:dyDescent="0.35">
      <c r="C19283" s="2"/>
    </row>
    <row r="19284" spans="3:3" x14ac:dyDescent="0.35">
      <c r="C19284" s="2"/>
    </row>
    <row r="19285" spans="3:3" x14ac:dyDescent="0.35">
      <c r="C19285" s="2"/>
    </row>
    <row r="19286" spans="3:3" x14ac:dyDescent="0.35">
      <c r="C19286" s="2"/>
    </row>
    <row r="19287" spans="3:3" x14ac:dyDescent="0.35">
      <c r="C19287" s="2"/>
    </row>
    <row r="19288" spans="3:3" x14ac:dyDescent="0.35">
      <c r="C19288" s="2"/>
    </row>
    <row r="19289" spans="3:3" x14ac:dyDescent="0.35">
      <c r="C19289" s="2"/>
    </row>
    <row r="19290" spans="3:3" x14ac:dyDescent="0.35">
      <c r="C19290" s="2"/>
    </row>
    <row r="19291" spans="3:3" x14ac:dyDescent="0.35">
      <c r="C19291" s="2"/>
    </row>
    <row r="19292" spans="3:3" x14ac:dyDescent="0.35">
      <c r="C19292" s="2"/>
    </row>
    <row r="19293" spans="3:3" x14ac:dyDescent="0.35">
      <c r="C19293" s="2"/>
    </row>
    <row r="19294" spans="3:3" x14ac:dyDescent="0.35">
      <c r="C19294" s="2"/>
    </row>
    <row r="19295" spans="3:3" x14ac:dyDescent="0.35">
      <c r="C19295" s="2"/>
    </row>
    <row r="19296" spans="3:3" x14ac:dyDescent="0.35">
      <c r="C19296" s="2"/>
    </row>
    <row r="19297" spans="3:3" x14ac:dyDescent="0.35">
      <c r="C19297" s="2"/>
    </row>
    <row r="19298" spans="3:3" x14ac:dyDescent="0.35">
      <c r="C19298" s="2"/>
    </row>
    <row r="19299" spans="3:3" x14ac:dyDescent="0.35">
      <c r="C19299" s="2"/>
    </row>
    <row r="19300" spans="3:3" x14ac:dyDescent="0.35">
      <c r="C19300" s="2"/>
    </row>
    <row r="19301" spans="3:3" x14ac:dyDescent="0.35">
      <c r="C19301" s="2"/>
    </row>
    <row r="19302" spans="3:3" x14ac:dyDescent="0.35">
      <c r="C19302" s="2"/>
    </row>
    <row r="19303" spans="3:3" x14ac:dyDescent="0.35">
      <c r="C19303" s="2"/>
    </row>
    <row r="19304" spans="3:3" x14ac:dyDescent="0.35">
      <c r="C19304" s="2"/>
    </row>
    <row r="19305" spans="3:3" x14ac:dyDescent="0.35">
      <c r="C19305" s="2"/>
    </row>
    <row r="19306" spans="3:3" x14ac:dyDescent="0.35">
      <c r="C19306" s="2"/>
    </row>
    <row r="19307" spans="3:3" x14ac:dyDescent="0.35">
      <c r="C19307" s="2"/>
    </row>
    <row r="19308" spans="3:3" x14ac:dyDescent="0.35">
      <c r="C19308" s="2"/>
    </row>
    <row r="19309" spans="3:3" x14ac:dyDescent="0.35">
      <c r="C19309" s="2"/>
    </row>
    <row r="19310" spans="3:3" x14ac:dyDescent="0.35">
      <c r="C19310" s="2"/>
    </row>
    <row r="19311" spans="3:3" x14ac:dyDescent="0.35">
      <c r="C19311" s="2"/>
    </row>
    <row r="19312" spans="3:3" x14ac:dyDescent="0.35">
      <c r="C19312" s="2"/>
    </row>
    <row r="19313" spans="3:3" x14ac:dyDescent="0.35">
      <c r="C19313" s="2"/>
    </row>
    <row r="19314" spans="3:3" x14ac:dyDescent="0.35">
      <c r="C19314" s="2"/>
    </row>
    <row r="19315" spans="3:3" x14ac:dyDescent="0.35">
      <c r="C19315" s="2"/>
    </row>
    <row r="19316" spans="3:3" x14ac:dyDescent="0.35">
      <c r="C19316" s="2"/>
    </row>
    <row r="19317" spans="3:3" x14ac:dyDescent="0.35">
      <c r="C19317" s="2"/>
    </row>
    <row r="19318" spans="3:3" x14ac:dyDescent="0.35">
      <c r="C19318" s="2"/>
    </row>
    <row r="19319" spans="3:3" x14ac:dyDescent="0.35">
      <c r="C19319" s="2"/>
    </row>
    <row r="19320" spans="3:3" x14ac:dyDescent="0.35">
      <c r="C19320" s="2"/>
    </row>
    <row r="19321" spans="3:3" x14ac:dyDescent="0.35">
      <c r="C19321" s="2"/>
    </row>
    <row r="19322" spans="3:3" x14ac:dyDescent="0.35">
      <c r="C19322" s="2"/>
    </row>
    <row r="19323" spans="3:3" x14ac:dyDescent="0.35">
      <c r="C19323" s="2"/>
    </row>
    <row r="19324" spans="3:3" x14ac:dyDescent="0.35">
      <c r="C19324" s="2"/>
    </row>
    <row r="19325" spans="3:3" x14ac:dyDescent="0.35">
      <c r="C19325" s="2"/>
    </row>
    <row r="19326" spans="3:3" x14ac:dyDescent="0.35">
      <c r="C19326" s="2"/>
    </row>
    <row r="19327" spans="3:3" x14ac:dyDescent="0.35">
      <c r="C19327" s="2"/>
    </row>
    <row r="19328" spans="3:3" x14ac:dyDescent="0.35">
      <c r="C19328" s="2"/>
    </row>
    <row r="19329" spans="3:3" x14ac:dyDescent="0.35">
      <c r="C19329" s="2"/>
    </row>
    <row r="19330" spans="3:3" x14ac:dyDescent="0.35">
      <c r="C19330" s="2"/>
    </row>
    <row r="19331" spans="3:3" x14ac:dyDescent="0.35">
      <c r="C19331" s="2"/>
    </row>
    <row r="19332" spans="3:3" x14ac:dyDescent="0.35">
      <c r="C19332" s="2"/>
    </row>
    <row r="19333" spans="3:3" x14ac:dyDescent="0.35">
      <c r="C19333" s="2"/>
    </row>
    <row r="19334" spans="3:3" x14ac:dyDescent="0.35">
      <c r="C19334" s="2"/>
    </row>
    <row r="19335" spans="3:3" x14ac:dyDescent="0.35">
      <c r="C19335" s="2"/>
    </row>
    <row r="19336" spans="3:3" x14ac:dyDescent="0.35">
      <c r="C19336" s="2"/>
    </row>
    <row r="19337" spans="3:3" x14ac:dyDescent="0.35">
      <c r="C19337" s="2"/>
    </row>
    <row r="19338" spans="3:3" x14ac:dyDescent="0.35">
      <c r="C19338" s="2"/>
    </row>
    <row r="19339" spans="3:3" x14ac:dyDescent="0.35">
      <c r="C19339" s="2"/>
    </row>
    <row r="19340" spans="3:3" x14ac:dyDescent="0.35">
      <c r="C19340" s="2"/>
    </row>
    <row r="19341" spans="3:3" x14ac:dyDescent="0.35">
      <c r="C19341" s="2"/>
    </row>
    <row r="19342" spans="3:3" x14ac:dyDescent="0.35">
      <c r="C19342" s="2"/>
    </row>
    <row r="19343" spans="3:3" x14ac:dyDescent="0.35">
      <c r="C19343" s="2"/>
    </row>
    <row r="19344" spans="3:3" x14ac:dyDescent="0.35">
      <c r="C19344" s="2"/>
    </row>
    <row r="19345" spans="3:3" x14ac:dyDescent="0.35">
      <c r="C19345" s="2"/>
    </row>
    <row r="19346" spans="3:3" x14ac:dyDescent="0.35">
      <c r="C19346" s="2"/>
    </row>
    <row r="19347" spans="3:3" x14ac:dyDescent="0.35">
      <c r="C19347" s="2"/>
    </row>
    <row r="19348" spans="3:3" x14ac:dyDescent="0.35">
      <c r="C19348" s="2"/>
    </row>
    <row r="19349" spans="3:3" x14ac:dyDescent="0.35">
      <c r="C19349" s="2"/>
    </row>
    <row r="19350" spans="3:3" x14ac:dyDescent="0.35">
      <c r="C19350" s="2"/>
    </row>
    <row r="19351" spans="3:3" x14ac:dyDescent="0.35">
      <c r="C19351" s="2"/>
    </row>
    <row r="19352" spans="3:3" x14ac:dyDescent="0.35">
      <c r="C19352" s="2"/>
    </row>
    <row r="19353" spans="3:3" x14ac:dyDescent="0.35">
      <c r="C19353" s="2"/>
    </row>
    <row r="19354" spans="3:3" x14ac:dyDescent="0.35">
      <c r="C19354" s="2"/>
    </row>
    <row r="19355" spans="3:3" x14ac:dyDescent="0.35">
      <c r="C19355" s="2"/>
    </row>
    <row r="19356" spans="3:3" x14ac:dyDescent="0.35">
      <c r="C19356" s="2"/>
    </row>
    <row r="19357" spans="3:3" x14ac:dyDescent="0.35">
      <c r="C19357" s="2"/>
    </row>
    <row r="19358" spans="3:3" x14ac:dyDescent="0.35">
      <c r="C19358" s="2"/>
    </row>
    <row r="19359" spans="3:3" x14ac:dyDescent="0.35">
      <c r="C19359" s="2"/>
    </row>
    <row r="19360" spans="3:3" x14ac:dyDescent="0.35">
      <c r="C19360" s="2"/>
    </row>
    <row r="19361" spans="3:3" x14ac:dyDescent="0.35">
      <c r="C19361" s="2"/>
    </row>
    <row r="19362" spans="3:3" x14ac:dyDescent="0.35">
      <c r="C19362" s="2"/>
    </row>
    <row r="19363" spans="3:3" x14ac:dyDescent="0.35">
      <c r="C19363" s="2"/>
    </row>
    <row r="19364" spans="3:3" x14ac:dyDescent="0.35">
      <c r="C19364" s="2"/>
    </row>
    <row r="19365" spans="3:3" x14ac:dyDescent="0.35">
      <c r="C19365" s="2"/>
    </row>
    <row r="19366" spans="3:3" x14ac:dyDescent="0.35">
      <c r="C19366" s="2"/>
    </row>
    <row r="19367" spans="3:3" x14ac:dyDescent="0.35">
      <c r="C19367" s="2"/>
    </row>
    <row r="19368" spans="3:3" x14ac:dyDescent="0.35">
      <c r="C19368" s="2"/>
    </row>
    <row r="19369" spans="3:3" x14ac:dyDescent="0.35">
      <c r="C19369" s="2"/>
    </row>
    <row r="19370" spans="3:3" x14ac:dyDescent="0.35">
      <c r="C19370" s="2"/>
    </row>
    <row r="19371" spans="3:3" x14ac:dyDescent="0.35">
      <c r="C19371" s="2"/>
    </row>
    <row r="19372" spans="3:3" x14ac:dyDescent="0.35">
      <c r="C19372" s="2"/>
    </row>
    <row r="19373" spans="3:3" x14ac:dyDescent="0.35">
      <c r="C19373" s="2"/>
    </row>
    <row r="19374" spans="3:3" x14ac:dyDescent="0.35">
      <c r="C19374" s="2"/>
    </row>
    <row r="19375" spans="3:3" x14ac:dyDescent="0.35">
      <c r="C19375" s="2"/>
    </row>
    <row r="19376" spans="3:3" x14ac:dyDescent="0.35">
      <c r="C19376" s="2"/>
    </row>
    <row r="19377" spans="3:3" x14ac:dyDescent="0.35">
      <c r="C19377" s="2"/>
    </row>
    <row r="19378" spans="3:3" x14ac:dyDescent="0.35">
      <c r="C19378" s="2"/>
    </row>
    <row r="19379" spans="3:3" x14ac:dyDescent="0.35">
      <c r="C19379" s="2"/>
    </row>
    <row r="19380" spans="3:3" x14ac:dyDescent="0.35">
      <c r="C19380" s="2"/>
    </row>
    <row r="19381" spans="3:3" x14ac:dyDescent="0.35">
      <c r="C19381" s="2"/>
    </row>
    <row r="19382" spans="3:3" x14ac:dyDescent="0.35">
      <c r="C19382" s="2"/>
    </row>
    <row r="19383" spans="3:3" x14ac:dyDescent="0.35">
      <c r="C19383" s="2"/>
    </row>
    <row r="19384" spans="3:3" x14ac:dyDescent="0.35">
      <c r="C19384" s="2"/>
    </row>
    <row r="19385" spans="3:3" x14ac:dyDescent="0.35">
      <c r="C19385" s="2"/>
    </row>
    <row r="19386" spans="3:3" x14ac:dyDescent="0.35">
      <c r="C19386" s="2"/>
    </row>
    <row r="19387" spans="3:3" x14ac:dyDescent="0.35">
      <c r="C19387" s="2"/>
    </row>
    <row r="19388" spans="3:3" x14ac:dyDescent="0.35">
      <c r="C19388" s="2"/>
    </row>
    <row r="19389" spans="3:3" x14ac:dyDescent="0.35">
      <c r="C19389" s="2"/>
    </row>
    <row r="19390" spans="3:3" x14ac:dyDescent="0.35">
      <c r="C19390" s="2"/>
    </row>
    <row r="19391" spans="3:3" x14ac:dyDescent="0.35">
      <c r="C19391" s="2"/>
    </row>
    <row r="19392" spans="3:3" x14ac:dyDescent="0.35">
      <c r="C19392" s="2"/>
    </row>
    <row r="19393" spans="3:3" x14ac:dyDescent="0.35">
      <c r="C19393" s="2"/>
    </row>
    <row r="19394" spans="3:3" x14ac:dyDescent="0.35">
      <c r="C19394" s="2"/>
    </row>
    <row r="19395" spans="3:3" x14ac:dyDescent="0.35">
      <c r="C19395" s="2"/>
    </row>
    <row r="19396" spans="3:3" x14ac:dyDescent="0.35">
      <c r="C19396" s="2"/>
    </row>
    <row r="19397" spans="3:3" x14ac:dyDescent="0.35">
      <c r="C19397" s="2"/>
    </row>
    <row r="19398" spans="3:3" x14ac:dyDescent="0.35">
      <c r="C19398" s="2"/>
    </row>
    <row r="19399" spans="3:3" x14ac:dyDescent="0.35">
      <c r="C19399" s="2"/>
    </row>
    <row r="19400" spans="3:3" x14ac:dyDescent="0.35">
      <c r="C19400" s="2"/>
    </row>
    <row r="19401" spans="3:3" x14ac:dyDescent="0.35">
      <c r="C19401" s="2"/>
    </row>
    <row r="19402" spans="3:3" x14ac:dyDescent="0.35">
      <c r="C19402" s="2"/>
    </row>
    <row r="19403" spans="3:3" x14ac:dyDescent="0.35">
      <c r="C19403" s="2"/>
    </row>
    <row r="19404" spans="3:3" x14ac:dyDescent="0.35">
      <c r="C19404" s="2"/>
    </row>
    <row r="19405" spans="3:3" x14ac:dyDescent="0.35">
      <c r="C19405" s="2"/>
    </row>
    <row r="19406" spans="3:3" x14ac:dyDescent="0.35">
      <c r="C19406" s="2"/>
    </row>
    <row r="19407" spans="3:3" x14ac:dyDescent="0.35">
      <c r="C19407" s="2"/>
    </row>
    <row r="19408" spans="3:3" x14ac:dyDescent="0.35">
      <c r="C19408" s="2"/>
    </row>
    <row r="19409" spans="3:3" x14ac:dyDescent="0.35">
      <c r="C19409" s="2"/>
    </row>
    <row r="19410" spans="3:3" x14ac:dyDescent="0.35">
      <c r="C19410" s="2"/>
    </row>
    <row r="19411" spans="3:3" x14ac:dyDescent="0.35">
      <c r="C19411" s="2"/>
    </row>
    <row r="19412" spans="3:3" x14ac:dyDescent="0.35">
      <c r="C19412" s="2"/>
    </row>
    <row r="19413" spans="3:3" x14ac:dyDescent="0.35">
      <c r="C19413" s="2"/>
    </row>
    <row r="19414" spans="3:3" x14ac:dyDescent="0.35">
      <c r="C19414" s="2"/>
    </row>
    <row r="19415" spans="3:3" x14ac:dyDescent="0.35">
      <c r="C19415" s="2"/>
    </row>
    <row r="19416" spans="3:3" x14ac:dyDescent="0.35">
      <c r="C19416" s="2"/>
    </row>
    <row r="19417" spans="3:3" x14ac:dyDescent="0.35">
      <c r="C19417" s="2"/>
    </row>
    <row r="19418" spans="3:3" x14ac:dyDescent="0.35">
      <c r="C19418" s="2"/>
    </row>
    <row r="19419" spans="3:3" x14ac:dyDescent="0.35">
      <c r="C19419" s="2"/>
    </row>
    <row r="19420" spans="3:3" x14ac:dyDescent="0.35">
      <c r="C19420" s="2"/>
    </row>
    <row r="19421" spans="3:3" x14ac:dyDescent="0.35">
      <c r="C19421" s="2"/>
    </row>
    <row r="19422" spans="3:3" x14ac:dyDescent="0.35">
      <c r="C19422" s="2"/>
    </row>
    <row r="19423" spans="3:3" x14ac:dyDescent="0.35">
      <c r="C19423" s="2"/>
    </row>
    <row r="19424" spans="3:3" x14ac:dyDescent="0.35">
      <c r="C19424" s="2"/>
    </row>
    <row r="19425" spans="3:3" x14ac:dyDescent="0.35">
      <c r="C19425" s="2"/>
    </row>
    <row r="19426" spans="3:3" x14ac:dyDescent="0.35">
      <c r="C19426" s="2"/>
    </row>
    <row r="19427" spans="3:3" x14ac:dyDescent="0.35">
      <c r="C19427" s="2"/>
    </row>
    <row r="19428" spans="3:3" x14ac:dyDescent="0.35">
      <c r="C19428" s="2"/>
    </row>
    <row r="19429" spans="3:3" x14ac:dyDescent="0.35">
      <c r="C19429" s="2"/>
    </row>
    <row r="19430" spans="3:3" x14ac:dyDescent="0.35">
      <c r="C19430" s="2"/>
    </row>
    <row r="19431" spans="3:3" x14ac:dyDescent="0.35">
      <c r="C19431" s="2"/>
    </row>
    <row r="19432" spans="3:3" x14ac:dyDescent="0.35">
      <c r="C19432" s="2"/>
    </row>
    <row r="19433" spans="3:3" x14ac:dyDescent="0.35">
      <c r="C19433" s="2"/>
    </row>
    <row r="19434" spans="3:3" x14ac:dyDescent="0.35">
      <c r="C19434" s="2"/>
    </row>
    <row r="19435" spans="3:3" x14ac:dyDescent="0.35">
      <c r="C19435" s="2"/>
    </row>
    <row r="19436" spans="3:3" x14ac:dyDescent="0.35">
      <c r="C19436" s="2"/>
    </row>
    <row r="19437" spans="3:3" x14ac:dyDescent="0.35">
      <c r="C19437" s="2"/>
    </row>
    <row r="19438" spans="3:3" x14ac:dyDescent="0.35">
      <c r="C19438" s="2"/>
    </row>
    <row r="19439" spans="3:3" x14ac:dyDescent="0.35">
      <c r="C19439" s="2"/>
    </row>
    <row r="19440" spans="3:3" x14ac:dyDescent="0.35">
      <c r="C19440" s="2"/>
    </row>
    <row r="19441" spans="3:3" x14ac:dyDescent="0.35">
      <c r="C19441" s="2"/>
    </row>
    <row r="19442" spans="3:3" x14ac:dyDescent="0.35">
      <c r="C19442" s="2"/>
    </row>
    <row r="19443" spans="3:3" x14ac:dyDescent="0.35">
      <c r="C19443" s="2"/>
    </row>
    <row r="19444" spans="3:3" x14ac:dyDescent="0.35">
      <c r="C19444" s="2"/>
    </row>
    <row r="19445" spans="3:3" x14ac:dyDescent="0.35">
      <c r="C19445" s="2"/>
    </row>
    <row r="19446" spans="3:3" x14ac:dyDescent="0.35">
      <c r="C19446" s="2"/>
    </row>
    <row r="19447" spans="3:3" x14ac:dyDescent="0.35">
      <c r="C19447" s="2"/>
    </row>
    <row r="19448" spans="3:3" x14ac:dyDescent="0.35">
      <c r="C19448" s="2"/>
    </row>
    <row r="19449" spans="3:3" x14ac:dyDescent="0.35">
      <c r="C19449" s="2"/>
    </row>
    <row r="19450" spans="3:3" x14ac:dyDescent="0.35">
      <c r="C19450" s="2"/>
    </row>
    <row r="19451" spans="3:3" x14ac:dyDescent="0.35">
      <c r="C19451" s="2"/>
    </row>
    <row r="19452" spans="3:3" x14ac:dyDescent="0.35">
      <c r="C19452" s="2"/>
    </row>
    <row r="19453" spans="3:3" x14ac:dyDescent="0.35">
      <c r="C19453" s="2"/>
    </row>
    <row r="19454" spans="3:3" x14ac:dyDescent="0.35">
      <c r="C19454" s="2"/>
    </row>
    <row r="19455" spans="3:3" x14ac:dyDescent="0.35">
      <c r="C19455" s="2"/>
    </row>
    <row r="19456" spans="3:3" x14ac:dyDescent="0.35">
      <c r="C19456" s="2"/>
    </row>
    <row r="19457" spans="3:3" x14ac:dyDescent="0.35">
      <c r="C19457" s="2"/>
    </row>
    <row r="19458" spans="3:3" x14ac:dyDescent="0.35">
      <c r="C19458" s="2"/>
    </row>
    <row r="19459" spans="3:3" x14ac:dyDescent="0.35">
      <c r="C19459" s="2"/>
    </row>
    <row r="19460" spans="3:3" x14ac:dyDescent="0.35">
      <c r="C19460" s="2"/>
    </row>
    <row r="19461" spans="3:3" x14ac:dyDescent="0.35">
      <c r="C19461" s="2"/>
    </row>
    <row r="19462" spans="3:3" x14ac:dyDescent="0.35">
      <c r="C19462" s="2"/>
    </row>
    <row r="19463" spans="3:3" x14ac:dyDescent="0.35">
      <c r="C19463" s="2"/>
    </row>
    <row r="19464" spans="3:3" x14ac:dyDescent="0.35">
      <c r="C19464" s="2"/>
    </row>
    <row r="19465" spans="3:3" x14ac:dyDescent="0.35">
      <c r="C19465" s="2"/>
    </row>
    <row r="19466" spans="3:3" x14ac:dyDescent="0.35">
      <c r="C19466" s="2"/>
    </row>
    <row r="19467" spans="3:3" x14ac:dyDescent="0.35">
      <c r="C19467" s="2"/>
    </row>
    <row r="19468" spans="3:3" x14ac:dyDescent="0.35">
      <c r="C19468" s="2"/>
    </row>
    <row r="19469" spans="3:3" x14ac:dyDescent="0.35">
      <c r="C19469" s="2"/>
    </row>
    <row r="19470" spans="3:3" x14ac:dyDescent="0.35">
      <c r="C19470" s="2"/>
    </row>
    <row r="19471" spans="3:3" x14ac:dyDescent="0.35">
      <c r="C19471" s="2"/>
    </row>
    <row r="19472" spans="3:3" x14ac:dyDescent="0.35">
      <c r="C19472" s="2"/>
    </row>
    <row r="19473" spans="3:3" x14ac:dyDescent="0.35">
      <c r="C19473" s="2"/>
    </row>
    <row r="19474" spans="3:3" x14ac:dyDescent="0.35">
      <c r="C19474" s="2"/>
    </row>
    <row r="19475" spans="3:3" x14ac:dyDescent="0.35">
      <c r="C19475" s="2"/>
    </row>
    <row r="19476" spans="3:3" x14ac:dyDescent="0.35">
      <c r="C19476" s="2"/>
    </row>
    <row r="19477" spans="3:3" x14ac:dyDescent="0.35">
      <c r="C19477" s="2"/>
    </row>
    <row r="19478" spans="3:3" x14ac:dyDescent="0.35">
      <c r="C19478" s="2"/>
    </row>
    <row r="19479" spans="3:3" x14ac:dyDescent="0.35">
      <c r="C19479" s="2"/>
    </row>
    <row r="19480" spans="3:3" x14ac:dyDescent="0.35">
      <c r="C19480" s="2"/>
    </row>
    <row r="19481" spans="3:3" x14ac:dyDescent="0.35">
      <c r="C19481" s="2"/>
    </row>
    <row r="19482" spans="3:3" x14ac:dyDescent="0.35">
      <c r="C19482" s="2"/>
    </row>
    <row r="19483" spans="3:3" x14ac:dyDescent="0.35">
      <c r="C19483" s="2"/>
    </row>
    <row r="19484" spans="3:3" x14ac:dyDescent="0.35">
      <c r="C19484" s="2"/>
    </row>
    <row r="19485" spans="3:3" x14ac:dyDescent="0.35">
      <c r="C19485" s="2"/>
    </row>
    <row r="19486" spans="3:3" x14ac:dyDescent="0.35">
      <c r="C19486" s="2"/>
    </row>
    <row r="19487" spans="3:3" x14ac:dyDescent="0.35">
      <c r="C19487" s="2"/>
    </row>
    <row r="19488" spans="3:3" x14ac:dyDescent="0.35">
      <c r="C19488" s="2"/>
    </row>
    <row r="19489" spans="3:3" x14ac:dyDescent="0.35">
      <c r="C19489" s="2"/>
    </row>
    <row r="19490" spans="3:3" x14ac:dyDescent="0.35">
      <c r="C19490" s="2"/>
    </row>
    <row r="19491" spans="3:3" x14ac:dyDescent="0.35">
      <c r="C19491" s="2"/>
    </row>
    <row r="19492" spans="3:3" x14ac:dyDescent="0.35">
      <c r="C19492" s="2"/>
    </row>
    <row r="19493" spans="3:3" x14ac:dyDescent="0.35">
      <c r="C19493" s="2"/>
    </row>
    <row r="19494" spans="3:3" x14ac:dyDescent="0.35">
      <c r="C19494" s="2"/>
    </row>
    <row r="19495" spans="3:3" x14ac:dyDescent="0.35">
      <c r="C19495" s="2"/>
    </row>
    <row r="19496" spans="3:3" x14ac:dyDescent="0.35">
      <c r="C19496" s="2"/>
    </row>
    <row r="19497" spans="3:3" x14ac:dyDescent="0.35">
      <c r="C19497" s="2"/>
    </row>
    <row r="19498" spans="3:3" x14ac:dyDescent="0.35">
      <c r="C19498" s="2"/>
    </row>
    <row r="19499" spans="3:3" x14ac:dyDescent="0.35">
      <c r="C19499" s="2"/>
    </row>
    <row r="19500" spans="3:3" x14ac:dyDescent="0.35">
      <c r="C19500" s="2"/>
    </row>
    <row r="19501" spans="3:3" x14ac:dyDescent="0.35">
      <c r="C19501" s="2"/>
    </row>
    <row r="19502" spans="3:3" x14ac:dyDescent="0.35">
      <c r="C19502" s="2"/>
    </row>
    <row r="19503" spans="3:3" x14ac:dyDescent="0.35">
      <c r="C19503" s="2"/>
    </row>
    <row r="19504" spans="3:3" x14ac:dyDescent="0.35">
      <c r="C19504" s="2"/>
    </row>
    <row r="19505" spans="3:3" x14ac:dyDescent="0.35">
      <c r="C19505" s="2"/>
    </row>
    <row r="19506" spans="3:3" x14ac:dyDescent="0.35">
      <c r="C19506" s="2"/>
    </row>
    <row r="19507" spans="3:3" x14ac:dyDescent="0.35">
      <c r="C19507" s="2"/>
    </row>
    <row r="19508" spans="3:3" x14ac:dyDescent="0.35">
      <c r="C19508" s="2"/>
    </row>
    <row r="19509" spans="3:3" x14ac:dyDescent="0.35">
      <c r="C19509" s="2"/>
    </row>
    <row r="19510" spans="3:3" x14ac:dyDescent="0.35">
      <c r="C19510" s="2"/>
    </row>
    <row r="19511" spans="3:3" x14ac:dyDescent="0.35">
      <c r="C19511" s="2"/>
    </row>
    <row r="19512" spans="3:3" x14ac:dyDescent="0.35">
      <c r="C19512" s="2"/>
    </row>
    <row r="19513" spans="3:3" x14ac:dyDescent="0.35">
      <c r="C19513" s="2"/>
    </row>
    <row r="19514" spans="3:3" x14ac:dyDescent="0.35">
      <c r="C19514" s="2"/>
    </row>
    <row r="19515" spans="3:3" x14ac:dyDescent="0.35">
      <c r="C19515" s="2"/>
    </row>
    <row r="19516" spans="3:3" x14ac:dyDescent="0.35">
      <c r="C19516" s="2"/>
    </row>
    <row r="19517" spans="3:3" x14ac:dyDescent="0.35">
      <c r="C19517" s="2"/>
    </row>
    <row r="19518" spans="3:3" x14ac:dyDescent="0.35">
      <c r="C19518" s="2"/>
    </row>
    <row r="19519" spans="3:3" x14ac:dyDescent="0.35">
      <c r="C19519" s="2"/>
    </row>
    <row r="19520" spans="3:3" x14ac:dyDescent="0.35">
      <c r="C19520" s="2"/>
    </row>
    <row r="19521" spans="3:3" x14ac:dyDescent="0.35">
      <c r="C19521" s="2"/>
    </row>
    <row r="19522" spans="3:3" x14ac:dyDescent="0.35">
      <c r="C19522" s="2"/>
    </row>
    <row r="19523" spans="3:3" x14ac:dyDescent="0.35">
      <c r="C19523" s="2"/>
    </row>
    <row r="19524" spans="3:3" x14ac:dyDescent="0.35">
      <c r="C19524" s="2"/>
    </row>
    <row r="19525" spans="3:3" x14ac:dyDescent="0.35">
      <c r="C19525" s="2"/>
    </row>
    <row r="19526" spans="3:3" x14ac:dyDescent="0.35">
      <c r="C19526" s="2"/>
    </row>
    <row r="19527" spans="3:3" x14ac:dyDescent="0.35">
      <c r="C19527" s="2"/>
    </row>
    <row r="19528" spans="3:3" x14ac:dyDescent="0.35">
      <c r="C19528" s="2"/>
    </row>
    <row r="19529" spans="3:3" x14ac:dyDescent="0.35">
      <c r="C19529" s="2"/>
    </row>
    <row r="19530" spans="3:3" x14ac:dyDescent="0.35">
      <c r="C19530" s="2"/>
    </row>
    <row r="19531" spans="3:3" x14ac:dyDescent="0.35">
      <c r="C19531" s="2"/>
    </row>
    <row r="19532" spans="3:3" x14ac:dyDescent="0.35">
      <c r="C19532" s="2"/>
    </row>
    <row r="19533" spans="3:3" x14ac:dyDescent="0.35">
      <c r="C19533" s="2"/>
    </row>
    <row r="19534" spans="3:3" x14ac:dyDescent="0.35">
      <c r="C19534" s="2"/>
    </row>
    <row r="19535" spans="3:3" x14ac:dyDescent="0.35">
      <c r="C19535" s="2"/>
    </row>
    <row r="19536" spans="3:3" x14ac:dyDescent="0.35">
      <c r="C19536" s="2"/>
    </row>
    <row r="19537" spans="3:3" x14ac:dyDescent="0.35">
      <c r="C19537" s="2"/>
    </row>
    <row r="19538" spans="3:3" x14ac:dyDescent="0.35">
      <c r="C19538" s="2"/>
    </row>
    <row r="19539" spans="3:3" x14ac:dyDescent="0.35">
      <c r="C19539" s="2"/>
    </row>
    <row r="19540" spans="3:3" x14ac:dyDescent="0.35">
      <c r="C19540" s="2"/>
    </row>
    <row r="19541" spans="3:3" x14ac:dyDescent="0.35">
      <c r="C19541" s="2"/>
    </row>
    <row r="19542" spans="3:3" x14ac:dyDescent="0.35">
      <c r="C19542" s="2"/>
    </row>
    <row r="19543" spans="3:3" x14ac:dyDescent="0.35">
      <c r="C19543" s="2"/>
    </row>
    <row r="19544" spans="3:3" x14ac:dyDescent="0.35">
      <c r="C19544" s="2"/>
    </row>
    <row r="19545" spans="3:3" x14ac:dyDescent="0.35">
      <c r="C19545" s="2"/>
    </row>
    <row r="19546" spans="3:3" x14ac:dyDescent="0.35">
      <c r="C19546" s="2"/>
    </row>
    <row r="19547" spans="3:3" x14ac:dyDescent="0.35">
      <c r="C19547" s="2"/>
    </row>
    <row r="19548" spans="3:3" x14ac:dyDescent="0.35">
      <c r="C19548" s="2"/>
    </row>
    <row r="19549" spans="3:3" x14ac:dyDescent="0.35">
      <c r="C19549" s="2"/>
    </row>
    <row r="19550" spans="3:3" x14ac:dyDescent="0.35">
      <c r="C19550" s="2"/>
    </row>
    <row r="19551" spans="3:3" x14ac:dyDescent="0.35">
      <c r="C19551" s="2"/>
    </row>
    <row r="19552" spans="3:3" x14ac:dyDescent="0.35">
      <c r="C19552" s="2"/>
    </row>
    <row r="19553" spans="3:3" x14ac:dyDescent="0.35">
      <c r="C19553" s="2"/>
    </row>
    <row r="19554" spans="3:3" x14ac:dyDescent="0.35">
      <c r="C19554" s="2"/>
    </row>
    <row r="19555" spans="3:3" x14ac:dyDescent="0.35">
      <c r="C19555" s="2"/>
    </row>
    <row r="19556" spans="3:3" x14ac:dyDescent="0.35">
      <c r="C19556" s="2"/>
    </row>
    <row r="19557" spans="3:3" x14ac:dyDescent="0.35">
      <c r="C19557" s="2"/>
    </row>
    <row r="19558" spans="3:3" x14ac:dyDescent="0.35">
      <c r="C19558" s="2"/>
    </row>
    <row r="19559" spans="3:3" x14ac:dyDescent="0.35">
      <c r="C19559" s="2"/>
    </row>
    <row r="19560" spans="3:3" x14ac:dyDescent="0.35">
      <c r="C19560" s="2"/>
    </row>
    <row r="19561" spans="3:3" x14ac:dyDescent="0.35">
      <c r="C19561" s="2"/>
    </row>
    <row r="19562" spans="3:3" x14ac:dyDescent="0.35">
      <c r="C19562" s="2"/>
    </row>
    <row r="19563" spans="3:3" x14ac:dyDescent="0.35">
      <c r="C19563" s="2"/>
    </row>
    <row r="19564" spans="3:3" x14ac:dyDescent="0.35">
      <c r="C19564" s="2"/>
    </row>
    <row r="19565" spans="3:3" x14ac:dyDescent="0.35">
      <c r="C19565" s="2"/>
    </row>
    <row r="19566" spans="3:3" x14ac:dyDescent="0.35">
      <c r="C19566" s="2"/>
    </row>
    <row r="19567" spans="3:3" x14ac:dyDescent="0.35">
      <c r="C19567" s="2"/>
    </row>
    <row r="19568" spans="3:3" x14ac:dyDescent="0.35">
      <c r="C19568" s="2"/>
    </row>
    <row r="19569" spans="3:3" x14ac:dyDescent="0.35">
      <c r="C19569" s="2"/>
    </row>
    <row r="19570" spans="3:3" x14ac:dyDescent="0.35">
      <c r="C19570" s="2"/>
    </row>
    <row r="19571" spans="3:3" x14ac:dyDescent="0.35">
      <c r="C19571" s="2"/>
    </row>
    <row r="19572" spans="3:3" x14ac:dyDescent="0.35">
      <c r="C19572" s="2"/>
    </row>
    <row r="19573" spans="3:3" x14ac:dyDescent="0.35">
      <c r="C19573" s="2"/>
    </row>
    <row r="19574" spans="3:3" x14ac:dyDescent="0.35">
      <c r="C19574" s="2"/>
    </row>
    <row r="19575" spans="3:3" x14ac:dyDescent="0.35">
      <c r="C19575" s="2"/>
    </row>
    <row r="19576" spans="3:3" x14ac:dyDescent="0.35">
      <c r="C19576" s="2"/>
    </row>
    <row r="19577" spans="3:3" x14ac:dyDescent="0.35">
      <c r="C19577" s="2"/>
    </row>
    <row r="19578" spans="3:3" x14ac:dyDescent="0.35">
      <c r="C19578" s="2"/>
    </row>
    <row r="19579" spans="3:3" x14ac:dyDescent="0.35">
      <c r="C19579" s="2"/>
    </row>
    <row r="19580" spans="3:3" x14ac:dyDescent="0.35">
      <c r="C19580" s="2"/>
    </row>
    <row r="19581" spans="3:3" x14ac:dyDescent="0.35">
      <c r="C19581" s="2"/>
    </row>
    <row r="19582" spans="3:3" x14ac:dyDescent="0.35">
      <c r="C19582" s="2"/>
    </row>
    <row r="19583" spans="3:3" x14ac:dyDescent="0.35">
      <c r="C19583" s="2"/>
    </row>
    <row r="19584" spans="3:3" x14ac:dyDescent="0.35">
      <c r="C19584" s="2"/>
    </row>
    <row r="19585" spans="3:3" x14ac:dyDescent="0.35">
      <c r="C19585" s="2"/>
    </row>
    <row r="19586" spans="3:3" x14ac:dyDescent="0.35">
      <c r="C19586" s="2"/>
    </row>
    <row r="19587" spans="3:3" x14ac:dyDescent="0.35">
      <c r="C19587" s="2"/>
    </row>
    <row r="19588" spans="3:3" x14ac:dyDescent="0.35">
      <c r="C19588" s="2"/>
    </row>
    <row r="19589" spans="3:3" x14ac:dyDescent="0.35">
      <c r="C19589" s="2"/>
    </row>
    <row r="19590" spans="3:3" x14ac:dyDescent="0.35">
      <c r="C19590" s="2"/>
    </row>
    <row r="19591" spans="3:3" x14ac:dyDescent="0.35">
      <c r="C19591" s="2"/>
    </row>
    <row r="19592" spans="3:3" x14ac:dyDescent="0.35">
      <c r="C19592" s="2"/>
    </row>
    <row r="19593" spans="3:3" x14ac:dyDescent="0.35">
      <c r="C19593" s="2"/>
    </row>
    <row r="19594" spans="3:3" x14ac:dyDescent="0.35">
      <c r="C19594" s="2"/>
    </row>
    <row r="19595" spans="3:3" x14ac:dyDescent="0.35">
      <c r="C19595" s="2"/>
    </row>
    <row r="19596" spans="3:3" x14ac:dyDescent="0.35">
      <c r="C19596" s="2"/>
    </row>
    <row r="19597" spans="3:3" x14ac:dyDescent="0.35">
      <c r="C19597" s="2"/>
    </row>
    <row r="19598" spans="3:3" x14ac:dyDescent="0.35">
      <c r="C19598" s="2"/>
    </row>
    <row r="19599" spans="3:3" x14ac:dyDescent="0.35">
      <c r="C19599" s="2"/>
    </row>
    <row r="19600" spans="3:3" x14ac:dyDescent="0.35">
      <c r="C19600" s="2"/>
    </row>
    <row r="19601" spans="3:3" x14ac:dyDescent="0.35">
      <c r="C19601" s="2"/>
    </row>
    <row r="19602" spans="3:3" x14ac:dyDescent="0.35">
      <c r="C19602" s="2"/>
    </row>
    <row r="19603" spans="3:3" x14ac:dyDescent="0.35">
      <c r="C19603" s="2"/>
    </row>
    <row r="19604" spans="3:3" x14ac:dyDescent="0.35">
      <c r="C19604" s="2"/>
    </row>
    <row r="19605" spans="3:3" x14ac:dyDescent="0.35">
      <c r="C19605" s="2"/>
    </row>
    <row r="19606" spans="3:3" x14ac:dyDescent="0.35">
      <c r="C19606" s="2"/>
    </row>
    <row r="19607" spans="3:3" x14ac:dyDescent="0.35">
      <c r="C19607" s="2"/>
    </row>
    <row r="19608" spans="3:3" x14ac:dyDescent="0.35">
      <c r="C19608" s="2"/>
    </row>
    <row r="19609" spans="3:3" x14ac:dyDescent="0.35">
      <c r="C19609" s="2"/>
    </row>
    <row r="19610" spans="3:3" x14ac:dyDescent="0.35">
      <c r="C19610" s="2"/>
    </row>
    <row r="19611" spans="3:3" x14ac:dyDescent="0.35">
      <c r="C19611" s="2"/>
    </row>
    <row r="19612" spans="3:3" x14ac:dyDescent="0.35">
      <c r="C19612" s="2"/>
    </row>
    <row r="19613" spans="3:3" x14ac:dyDescent="0.35">
      <c r="C19613" s="2"/>
    </row>
    <row r="19614" spans="3:3" x14ac:dyDescent="0.35">
      <c r="C19614" s="2"/>
    </row>
    <row r="19615" spans="3:3" x14ac:dyDescent="0.35">
      <c r="C19615" s="2"/>
    </row>
    <row r="19616" spans="3:3" x14ac:dyDescent="0.35">
      <c r="C19616" s="2"/>
    </row>
    <row r="19617" spans="3:3" x14ac:dyDescent="0.35">
      <c r="C19617" s="2"/>
    </row>
    <row r="19618" spans="3:3" x14ac:dyDescent="0.35">
      <c r="C19618" s="2"/>
    </row>
    <row r="19619" spans="3:3" x14ac:dyDescent="0.35">
      <c r="C19619" s="2"/>
    </row>
    <row r="19620" spans="3:3" x14ac:dyDescent="0.35">
      <c r="C19620" s="2"/>
    </row>
    <row r="19621" spans="3:3" x14ac:dyDescent="0.35">
      <c r="C19621" s="2"/>
    </row>
    <row r="19622" spans="3:3" x14ac:dyDescent="0.35">
      <c r="C19622" s="2"/>
    </row>
    <row r="19623" spans="3:3" x14ac:dyDescent="0.35">
      <c r="C19623" s="2"/>
    </row>
    <row r="19624" spans="3:3" x14ac:dyDescent="0.35">
      <c r="C19624" s="2"/>
    </row>
    <row r="19625" spans="3:3" x14ac:dyDescent="0.35">
      <c r="C19625" s="2"/>
    </row>
    <row r="19626" spans="3:3" x14ac:dyDescent="0.35">
      <c r="C19626" s="2"/>
    </row>
    <row r="19627" spans="3:3" x14ac:dyDescent="0.35">
      <c r="C19627" s="2"/>
    </row>
    <row r="19628" spans="3:3" x14ac:dyDescent="0.35">
      <c r="C19628" s="2"/>
    </row>
    <row r="19629" spans="3:3" x14ac:dyDescent="0.35">
      <c r="C19629" s="2"/>
    </row>
    <row r="19630" spans="3:3" x14ac:dyDescent="0.35">
      <c r="C19630" s="2"/>
    </row>
    <row r="19631" spans="3:3" x14ac:dyDescent="0.35">
      <c r="C19631" s="2"/>
    </row>
    <row r="19632" spans="3:3" x14ac:dyDescent="0.35">
      <c r="C19632" s="2"/>
    </row>
    <row r="19633" spans="3:3" x14ac:dyDescent="0.35">
      <c r="C19633" s="2"/>
    </row>
    <row r="19634" spans="3:3" x14ac:dyDescent="0.35">
      <c r="C19634" s="2"/>
    </row>
    <row r="19635" spans="3:3" x14ac:dyDescent="0.35">
      <c r="C19635" s="2"/>
    </row>
    <row r="19636" spans="3:3" x14ac:dyDescent="0.35">
      <c r="C19636" s="2"/>
    </row>
    <row r="19637" spans="3:3" x14ac:dyDescent="0.35">
      <c r="C19637" s="2"/>
    </row>
    <row r="19638" spans="3:3" x14ac:dyDescent="0.35">
      <c r="C19638" s="2"/>
    </row>
    <row r="19639" spans="3:3" x14ac:dyDescent="0.35">
      <c r="C19639" s="2"/>
    </row>
    <row r="19640" spans="3:3" x14ac:dyDescent="0.35">
      <c r="C19640" s="2"/>
    </row>
    <row r="19641" spans="3:3" x14ac:dyDescent="0.35">
      <c r="C19641" s="2"/>
    </row>
    <row r="19642" spans="3:3" x14ac:dyDescent="0.35">
      <c r="C19642" s="2"/>
    </row>
    <row r="19643" spans="3:3" x14ac:dyDescent="0.35">
      <c r="C19643" s="2"/>
    </row>
    <row r="19644" spans="3:3" x14ac:dyDescent="0.35">
      <c r="C19644" s="2"/>
    </row>
    <row r="19645" spans="3:3" x14ac:dyDescent="0.35">
      <c r="C19645" s="2"/>
    </row>
    <row r="19646" spans="3:3" x14ac:dyDescent="0.35">
      <c r="C19646" s="2"/>
    </row>
    <row r="19647" spans="3:3" x14ac:dyDescent="0.35">
      <c r="C19647" s="2"/>
    </row>
    <row r="19648" spans="3:3" x14ac:dyDescent="0.35">
      <c r="C19648" s="2"/>
    </row>
    <row r="19649" spans="3:3" x14ac:dyDescent="0.35">
      <c r="C19649" s="2"/>
    </row>
    <row r="19650" spans="3:3" x14ac:dyDescent="0.35">
      <c r="C19650" s="2"/>
    </row>
    <row r="19651" spans="3:3" x14ac:dyDescent="0.35">
      <c r="C19651" s="2"/>
    </row>
    <row r="19652" spans="3:3" x14ac:dyDescent="0.35">
      <c r="C19652" s="2"/>
    </row>
    <row r="19653" spans="3:3" x14ac:dyDescent="0.35">
      <c r="C19653" s="2"/>
    </row>
    <row r="19654" spans="3:3" x14ac:dyDescent="0.35">
      <c r="C19654" s="2"/>
    </row>
    <row r="19655" spans="3:3" x14ac:dyDescent="0.35">
      <c r="C19655" s="2"/>
    </row>
    <row r="19656" spans="3:3" x14ac:dyDescent="0.35">
      <c r="C19656" s="2"/>
    </row>
    <row r="19657" spans="3:3" x14ac:dyDescent="0.35">
      <c r="C19657" s="2"/>
    </row>
    <row r="19658" spans="3:3" x14ac:dyDescent="0.35">
      <c r="C19658" s="2"/>
    </row>
    <row r="19659" spans="3:3" x14ac:dyDescent="0.35">
      <c r="C19659" s="2"/>
    </row>
    <row r="19660" spans="3:3" x14ac:dyDescent="0.35">
      <c r="C19660" s="2"/>
    </row>
    <row r="19661" spans="3:3" x14ac:dyDescent="0.35">
      <c r="C19661" s="2"/>
    </row>
    <row r="19662" spans="3:3" x14ac:dyDescent="0.35">
      <c r="C19662" s="2"/>
    </row>
    <row r="19663" spans="3:3" x14ac:dyDescent="0.35">
      <c r="C19663" s="2"/>
    </row>
    <row r="19664" spans="3:3" x14ac:dyDescent="0.35">
      <c r="C19664" s="2"/>
    </row>
    <row r="19665" spans="3:3" x14ac:dyDescent="0.35">
      <c r="C19665" s="2"/>
    </row>
    <row r="19666" spans="3:3" x14ac:dyDescent="0.35">
      <c r="C19666" s="2"/>
    </row>
    <row r="19667" spans="3:3" x14ac:dyDescent="0.35">
      <c r="C19667" s="2"/>
    </row>
    <row r="19668" spans="3:3" x14ac:dyDescent="0.35">
      <c r="C19668" s="2"/>
    </row>
    <row r="19669" spans="3:3" x14ac:dyDescent="0.35">
      <c r="C19669" s="2"/>
    </row>
    <row r="19670" spans="3:3" x14ac:dyDescent="0.35">
      <c r="C19670" s="2"/>
    </row>
    <row r="19671" spans="3:3" x14ac:dyDescent="0.35">
      <c r="C19671" s="2"/>
    </row>
    <row r="19672" spans="3:3" x14ac:dyDescent="0.35">
      <c r="C19672" s="2"/>
    </row>
    <row r="19673" spans="3:3" x14ac:dyDescent="0.35">
      <c r="C19673" s="2"/>
    </row>
    <row r="19674" spans="3:3" x14ac:dyDescent="0.35">
      <c r="C19674" s="2"/>
    </row>
    <row r="19675" spans="3:3" x14ac:dyDescent="0.35">
      <c r="C19675" s="2"/>
    </row>
    <row r="19676" spans="3:3" x14ac:dyDescent="0.35">
      <c r="C19676" s="2"/>
    </row>
    <row r="19677" spans="3:3" x14ac:dyDescent="0.35">
      <c r="C19677" s="2"/>
    </row>
    <row r="19678" spans="3:3" x14ac:dyDescent="0.35">
      <c r="C19678" s="2"/>
    </row>
    <row r="19679" spans="3:3" x14ac:dyDescent="0.35">
      <c r="C19679" s="2"/>
    </row>
    <row r="19680" spans="3:3" x14ac:dyDescent="0.35">
      <c r="C19680" s="2"/>
    </row>
    <row r="19681" spans="3:3" x14ac:dyDescent="0.35">
      <c r="C19681" s="2"/>
    </row>
    <row r="19682" spans="3:3" x14ac:dyDescent="0.35">
      <c r="C19682" s="2"/>
    </row>
    <row r="19683" spans="3:3" x14ac:dyDescent="0.35">
      <c r="C19683" s="2"/>
    </row>
    <row r="19684" spans="3:3" x14ac:dyDescent="0.35">
      <c r="C19684" s="2"/>
    </row>
    <row r="19685" spans="3:3" x14ac:dyDescent="0.35">
      <c r="C19685" s="2"/>
    </row>
    <row r="19686" spans="3:3" x14ac:dyDescent="0.35">
      <c r="C19686" s="2"/>
    </row>
    <row r="19687" spans="3:3" x14ac:dyDescent="0.35">
      <c r="C19687" s="2"/>
    </row>
    <row r="19688" spans="3:3" x14ac:dyDescent="0.35">
      <c r="C19688" s="2"/>
    </row>
    <row r="19689" spans="3:3" x14ac:dyDescent="0.35">
      <c r="C19689" s="2"/>
    </row>
    <row r="19690" spans="3:3" x14ac:dyDescent="0.35">
      <c r="C19690" s="2"/>
    </row>
    <row r="19691" spans="3:3" x14ac:dyDescent="0.35">
      <c r="C19691" s="2"/>
    </row>
    <row r="19692" spans="3:3" x14ac:dyDescent="0.35">
      <c r="C19692" s="2"/>
    </row>
    <row r="19693" spans="3:3" x14ac:dyDescent="0.35">
      <c r="C19693" s="2"/>
    </row>
    <row r="19694" spans="3:3" x14ac:dyDescent="0.35">
      <c r="C19694" s="2"/>
    </row>
    <row r="19695" spans="3:3" x14ac:dyDescent="0.35">
      <c r="C19695" s="2"/>
    </row>
    <row r="19696" spans="3:3" x14ac:dyDescent="0.35">
      <c r="C19696" s="2"/>
    </row>
    <row r="19697" spans="3:3" x14ac:dyDescent="0.35">
      <c r="C19697" s="2"/>
    </row>
    <row r="19698" spans="3:3" x14ac:dyDescent="0.35">
      <c r="C19698" s="2"/>
    </row>
    <row r="19699" spans="3:3" x14ac:dyDescent="0.35">
      <c r="C19699" s="2"/>
    </row>
    <row r="19700" spans="3:3" x14ac:dyDescent="0.35">
      <c r="C19700" s="2"/>
    </row>
    <row r="19701" spans="3:3" x14ac:dyDescent="0.35">
      <c r="C19701" s="2"/>
    </row>
    <row r="19702" spans="3:3" x14ac:dyDescent="0.35">
      <c r="C19702" s="2"/>
    </row>
    <row r="19703" spans="3:3" x14ac:dyDescent="0.35">
      <c r="C19703" s="2"/>
    </row>
    <row r="19704" spans="3:3" x14ac:dyDescent="0.35">
      <c r="C19704" s="2"/>
    </row>
    <row r="19705" spans="3:3" x14ac:dyDescent="0.35">
      <c r="C19705" s="2"/>
    </row>
    <row r="19706" spans="3:3" x14ac:dyDescent="0.35">
      <c r="C19706" s="2"/>
    </row>
    <row r="19707" spans="3:3" x14ac:dyDescent="0.35">
      <c r="C19707" s="2"/>
    </row>
    <row r="19708" spans="3:3" x14ac:dyDescent="0.35">
      <c r="C19708" s="2"/>
    </row>
    <row r="19709" spans="3:3" x14ac:dyDescent="0.35">
      <c r="C19709" s="2"/>
    </row>
    <row r="19710" spans="3:3" x14ac:dyDescent="0.35">
      <c r="C19710" s="2"/>
    </row>
    <row r="19711" spans="3:3" x14ac:dyDescent="0.35">
      <c r="C19711" s="2"/>
    </row>
    <row r="19712" spans="3:3" x14ac:dyDescent="0.35">
      <c r="C19712" s="2"/>
    </row>
    <row r="19713" spans="3:3" x14ac:dyDescent="0.35">
      <c r="C19713" s="2"/>
    </row>
    <row r="19714" spans="3:3" x14ac:dyDescent="0.35">
      <c r="C19714" s="2"/>
    </row>
    <row r="19715" spans="3:3" x14ac:dyDescent="0.35">
      <c r="C19715" s="2"/>
    </row>
    <row r="19716" spans="3:3" x14ac:dyDescent="0.35">
      <c r="C19716" s="2"/>
    </row>
    <row r="19717" spans="3:3" x14ac:dyDescent="0.35">
      <c r="C19717" s="2"/>
    </row>
    <row r="19718" spans="3:3" x14ac:dyDescent="0.35">
      <c r="C19718" s="2"/>
    </row>
    <row r="19719" spans="3:3" x14ac:dyDescent="0.35">
      <c r="C19719" s="2"/>
    </row>
    <row r="19720" spans="3:3" x14ac:dyDescent="0.35">
      <c r="C19720" s="2"/>
    </row>
    <row r="19721" spans="3:3" x14ac:dyDescent="0.35">
      <c r="C19721" s="2"/>
    </row>
    <row r="19722" spans="3:3" x14ac:dyDescent="0.35">
      <c r="C19722" s="2"/>
    </row>
    <row r="19723" spans="3:3" x14ac:dyDescent="0.35">
      <c r="C19723" s="2"/>
    </row>
    <row r="19724" spans="3:3" x14ac:dyDescent="0.35">
      <c r="C19724" s="2"/>
    </row>
    <row r="19725" spans="3:3" x14ac:dyDescent="0.35">
      <c r="C19725" s="2"/>
    </row>
    <row r="19726" spans="3:3" x14ac:dyDescent="0.35">
      <c r="C19726" s="2"/>
    </row>
    <row r="19727" spans="3:3" x14ac:dyDescent="0.35">
      <c r="C19727" s="2"/>
    </row>
    <row r="19728" spans="3:3" x14ac:dyDescent="0.35">
      <c r="C19728" s="2"/>
    </row>
    <row r="19729" spans="3:3" x14ac:dyDescent="0.35">
      <c r="C19729" s="2"/>
    </row>
    <row r="19730" spans="3:3" x14ac:dyDescent="0.35">
      <c r="C19730" s="2"/>
    </row>
    <row r="19731" spans="3:3" x14ac:dyDescent="0.35">
      <c r="C19731" s="2"/>
    </row>
    <row r="19732" spans="3:3" x14ac:dyDescent="0.35">
      <c r="C19732" s="2"/>
    </row>
    <row r="19733" spans="3:3" x14ac:dyDescent="0.35">
      <c r="C19733" s="2"/>
    </row>
    <row r="19734" spans="3:3" x14ac:dyDescent="0.35">
      <c r="C19734" s="2"/>
    </row>
    <row r="19735" spans="3:3" x14ac:dyDescent="0.35">
      <c r="C19735" s="2"/>
    </row>
    <row r="19736" spans="3:3" x14ac:dyDescent="0.35">
      <c r="C19736" s="2"/>
    </row>
    <row r="19737" spans="3:3" x14ac:dyDescent="0.35">
      <c r="C19737" s="2"/>
    </row>
    <row r="19738" spans="3:3" x14ac:dyDescent="0.35">
      <c r="C19738" s="2"/>
    </row>
    <row r="19739" spans="3:3" x14ac:dyDescent="0.35">
      <c r="C19739" s="2"/>
    </row>
    <row r="19740" spans="3:3" x14ac:dyDescent="0.35">
      <c r="C19740" s="2"/>
    </row>
    <row r="19741" spans="3:3" x14ac:dyDescent="0.35">
      <c r="C19741" s="2"/>
    </row>
    <row r="19742" spans="3:3" x14ac:dyDescent="0.35">
      <c r="C19742" s="2"/>
    </row>
    <row r="19743" spans="3:3" x14ac:dyDescent="0.35">
      <c r="C19743" s="2"/>
    </row>
    <row r="19744" spans="3:3" x14ac:dyDescent="0.35">
      <c r="C19744" s="2"/>
    </row>
    <row r="19745" spans="3:3" x14ac:dyDescent="0.35">
      <c r="C19745" s="2"/>
    </row>
    <row r="19746" spans="3:3" x14ac:dyDescent="0.35">
      <c r="C19746" s="2"/>
    </row>
    <row r="19747" spans="3:3" x14ac:dyDescent="0.35">
      <c r="C19747" s="2"/>
    </row>
    <row r="19748" spans="3:3" x14ac:dyDescent="0.35">
      <c r="C19748" s="2"/>
    </row>
    <row r="19749" spans="3:3" x14ac:dyDescent="0.35">
      <c r="C19749" s="2"/>
    </row>
    <row r="19750" spans="3:3" x14ac:dyDescent="0.35">
      <c r="C19750" s="2"/>
    </row>
    <row r="19751" spans="3:3" x14ac:dyDescent="0.35">
      <c r="C19751" s="2"/>
    </row>
    <row r="19752" spans="3:3" x14ac:dyDescent="0.35">
      <c r="C19752" s="2"/>
    </row>
    <row r="19753" spans="3:3" x14ac:dyDescent="0.35">
      <c r="C19753" s="2"/>
    </row>
    <row r="19754" spans="3:3" x14ac:dyDescent="0.35">
      <c r="C19754" s="2"/>
    </row>
    <row r="19755" spans="3:3" x14ac:dyDescent="0.35">
      <c r="C19755" s="2"/>
    </row>
    <row r="19756" spans="3:3" x14ac:dyDescent="0.35">
      <c r="C19756" s="2"/>
    </row>
    <row r="19757" spans="3:3" x14ac:dyDescent="0.35">
      <c r="C19757" s="2"/>
    </row>
    <row r="19758" spans="3:3" x14ac:dyDescent="0.35">
      <c r="C19758" s="2"/>
    </row>
    <row r="19759" spans="3:3" x14ac:dyDescent="0.35">
      <c r="C19759" s="2"/>
    </row>
    <row r="19760" spans="3:3" x14ac:dyDescent="0.35">
      <c r="C19760" s="2"/>
    </row>
    <row r="19761" spans="3:3" x14ac:dyDescent="0.35">
      <c r="C19761" s="2"/>
    </row>
    <row r="19762" spans="3:3" x14ac:dyDescent="0.35">
      <c r="C19762" s="2"/>
    </row>
    <row r="19763" spans="3:3" x14ac:dyDescent="0.35">
      <c r="C19763" s="2"/>
    </row>
    <row r="19764" spans="3:3" x14ac:dyDescent="0.35">
      <c r="C19764" s="2"/>
    </row>
    <row r="19765" spans="3:3" x14ac:dyDescent="0.35">
      <c r="C19765" s="2"/>
    </row>
    <row r="19766" spans="3:3" x14ac:dyDescent="0.35">
      <c r="C19766" s="2"/>
    </row>
    <row r="19767" spans="3:3" x14ac:dyDescent="0.35">
      <c r="C19767" s="2"/>
    </row>
    <row r="19768" spans="3:3" x14ac:dyDescent="0.35">
      <c r="C19768" s="2"/>
    </row>
    <row r="19769" spans="3:3" x14ac:dyDescent="0.35">
      <c r="C19769" s="2"/>
    </row>
    <row r="19770" spans="3:3" x14ac:dyDescent="0.35">
      <c r="C19770" s="2"/>
    </row>
    <row r="19771" spans="3:3" x14ac:dyDescent="0.35">
      <c r="C19771" s="2"/>
    </row>
    <row r="19772" spans="3:3" x14ac:dyDescent="0.35">
      <c r="C19772" s="2"/>
    </row>
    <row r="19773" spans="3:3" x14ac:dyDescent="0.35">
      <c r="C19773" s="2"/>
    </row>
    <row r="19774" spans="3:3" x14ac:dyDescent="0.35">
      <c r="C19774" s="2"/>
    </row>
    <row r="19775" spans="3:3" x14ac:dyDescent="0.35">
      <c r="C19775" s="2"/>
    </row>
    <row r="19776" spans="3:3" x14ac:dyDescent="0.35">
      <c r="C19776" s="2"/>
    </row>
    <row r="19777" spans="3:3" x14ac:dyDescent="0.35">
      <c r="C19777" s="2"/>
    </row>
    <row r="19778" spans="3:3" x14ac:dyDescent="0.35">
      <c r="C19778" s="2"/>
    </row>
    <row r="19779" spans="3:3" x14ac:dyDescent="0.35">
      <c r="C19779" s="2"/>
    </row>
    <row r="19780" spans="3:3" x14ac:dyDescent="0.35">
      <c r="C19780" s="2"/>
    </row>
    <row r="19781" spans="3:3" x14ac:dyDescent="0.35">
      <c r="C19781" s="2"/>
    </row>
    <row r="19782" spans="3:3" x14ac:dyDescent="0.35">
      <c r="C19782" s="2"/>
    </row>
    <row r="19783" spans="3:3" x14ac:dyDescent="0.35">
      <c r="C19783" s="2"/>
    </row>
    <row r="19784" spans="3:3" x14ac:dyDescent="0.35">
      <c r="C19784" s="2"/>
    </row>
    <row r="19785" spans="3:3" x14ac:dyDescent="0.35">
      <c r="C19785" s="2"/>
    </row>
    <row r="19786" spans="3:3" x14ac:dyDescent="0.35">
      <c r="C19786" s="2"/>
    </row>
    <row r="19787" spans="3:3" x14ac:dyDescent="0.35">
      <c r="C19787" s="2"/>
    </row>
    <row r="19788" spans="3:3" x14ac:dyDescent="0.35">
      <c r="C19788" s="2"/>
    </row>
    <row r="19789" spans="3:3" x14ac:dyDescent="0.35">
      <c r="C19789" s="2"/>
    </row>
    <row r="19790" spans="3:3" x14ac:dyDescent="0.35">
      <c r="C19790" s="2"/>
    </row>
    <row r="19791" spans="3:3" x14ac:dyDescent="0.35">
      <c r="C19791" s="2"/>
    </row>
    <row r="19792" spans="3:3" x14ac:dyDescent="0.35">
      <c r="C19792" s="2"/>
    </row>
    <row r="19793" spans="3:3" x14ac:dyDescent="0.35">
      <c r="C19793" s="2"/>
    </row>
    <row r="19794" spans="3:3" x14ac:dyDescent="0.35">
      <c r="C19794" s="2"/>
    </row>
    <row r="19795" spans="3:3" x14ac:dyDescent="0.35">
      <c r="C19795" s="2"/>
    </row>
    <row r="19796" spans="3:3" x14ac:dyDescent="0.35">
      <c r="C19796" s="2"/>
    </row>
    <row r="19797" spans="3:3" x14ac:dyDescent="0.35">
      <c r="C19797" s="2"/>
    </row>
    <row r="19798" spans="3:3" x14ac:dyDescent="0.35">
      <c r="C19798" s="2"/>
    </row>
    <row r="19799" spans="3:3" x14ac:dyDescent="0.35">
      <c r="C19799" s="2"/>
    </row>
    <row r="19800" spans="3:3" x14ac:dyDescent="0.35">
      <c r="C19800" s="2"/>
    </row>
    <row r="19801" spans="3:3" x14ac:dyDescent="0.35">
      <c r="C19801" s="2"/>
    </row>
    <row r="19802" spans="3:3" x14ac:dyDescent="0.35">
      <c r="C19802" s="2"/>
    </row>
    <row r="19803" spans="3:3" x14ac:dyDescent="0.35">
      <c r="C19803" s="2"/>
    </row>
    <row r="19804" spans="3:3" x14ac:dyDescent="0.35">
      <c r="C19804" s="2"/>
    </row>
    <row r="19805" spans="3:3" x14ac:dyDescent="0.35">
      <c r="C19805" s="2"/>
    </row>
    <row r="19806" spans="3:3" x14ac:dyDescent="0.35">
      <c r="C19806" s="2"/>
    </row>
    <row r="19807" spans="3:3" x14ac:dyDescent="0.35">
      <c r="C19807" s="2"/>
    </row>
    <row r="19808" spans="3:3" x14ac:dyDescent="0.35">
      <c r="C19808" s="2"/>
    </row>
    <row r="19809" spans="3:3" x14ac:dyDescent="0.35">
      <c r="C19809" s="2"/>
    </row>
    <row r="19810" spans="3:3" x14ac:dyDescent="0.35">
      <c r="C19810" s="2"/>
    </row>
    <row r="19811" spans="3:3" x14ac:dyDescent="0.35">
      <c r="C19811" s="2"/>
    </row>
    <row r="19812" spans="3:3" x14ac:dyDescent="0.35">
      <c r="C19812" s="2"/>
    </row>
    <row r="19813" spans="3:3" x14ac:dyDescent="0.35">
      <c r="C19813" s="2"/>
    </row>
    <row r="19814" spans="3:3" x14ac:dyDescent="0.35">
      <c r="C19814" s="2"/>
    </row>
    <row r="19815" spans="3:3" x14ac:dyDescent="0.35">
      <c r="C19815" s="2"/>
    </row>
    <row r="19816" spans="3:3" x14ac:dyDescent="0.35">
      <c r="C19816" s="2"/>
    </row>
    <row r="19817" spans="3:3" x14ac:dyDescent="0.35">
      <c r="C19817" s="2"/>
    </row>
    <row r="19818" spans="3:3" x14ac:dyDescent="0.35">
      <c r="C19818" s="2"/>
    </row>
    <row r="19819" spans="3:3" x14ac:dyDescent="0.35">
      <c r="C19819" s="2"/>
    </row>
    <row r="19820" spans="3:3" x14ac:dyDescent="0.35">
      <c r="C19820" s="2"/>
    </row>
    <row r="19821" spans="3:3" x14ac:dyDescent="0.35">
      <c r="C19821" s="2"/>
    </row>
    <row r="19822" spans="3:3" x14ac:dyDescent="0.35">
      <c r="C19822" s="2"/>
    </row>
    <row r="19823" spans="3:3" x14ac:dyDescent="0.35">
      <c r="C19823" s="2"/>
    </row>
    <row r="19824" spans="3:3" x14ac:dyDescent="0.35">
      <c r="C19824" s="2"/>
    </row>
    <row r="19825" spans="3:3" x14ac:dyDescent="0.35">
      <c r="C19825" s="2"/>
    </row>
    <row r="19826" spans="3:3" x14ac:dyDescent="0.35">
      <c r="C19826" s="2"/>
    </row>
    <row r="19827" spans="3:3" x14ac:dyDescent="0.35">
      <c r="C19827" s="2"/>
    </row>
    <row r="19828" spans="3:3" x14ac:dyDescent="0.35">
      <c r="C19828" s="2"/>
    </row>
    <row r="19829" spans="3:3" x14ac:dyDescent="0.35">
      <c r="C19829" s="2"/>
    </row>
    <row r="19830" spans="3:3" x14ac:dyDescent="0.35">
      <c r="C19830" s="2"/>
    </row>
    <row r="19831" spans="3:3" x14ac:dyDescent="0.35">
      <c r="C19831" s="2"/>
    </row>
    <row r="19832" spans="3:3" x14ac:dyDescent="0.35">
      <c r="C19832" s="2"/>
    </row>
    <row r="19833" spans="3:3" x14ac:dyDescent="0.35">
      <c r="C19833" s="2"/>
    </row>
    <row r="19834" spans="3:3" x14ac:dyDescent="0.35">
      <c r="C19834" s="2"/>
    </row>
    <row r="19835" spans="3:3" x14ac:dyDescent="0.35">
      <c r="C19835" s="2"/>
    </row>
    <row r="19836" spans="3:3" x14ac:dyDescent="0.35">
      <c r="C19836" s="2"/>
    </row>
    <row r="19837" spans="3:3" x14ac:dyDescent="0.35">
      <c r="C19837" s="2"/>
    </row>
    <row r="19838" spans="3:3" x14ac:dyDescent="0.35">
      <c r="C19838" s="2"/>
    </row>
    <row r="19839" spans="3:3" x14ac:dyDescent="0.35">
      <c r="C19839" s="2"/>
    </row>
    <row r="19840" spans="3:3" x14ac:dyDescent="0.35">
      <c r="C19840" s="2"/>
    </row>
    <row r="19841" spans="3:3" x14ac:dyDescent="0.35">
      <c r="C19841" s="2"/>
    </row>
    <row r="19842" spans="3:3" x14ac:dyDescent="0.35">
      <c r="C19842" s="2"/>
    </row>
    <row r="19843" spans="3:3" x14ac:dyDescent="0.35">
      <c r="C19843" s="2"/>
    </row>
    <row r="19844" spans="3:3" x14ac:dyDescent="0.35">
      <c r="C19844" s="2"/>
    </row>
    <row r="19845" spans="3:3" x14ac:dyDescent="0.35">
      <c r="C19845" s="2"/>
    </row>
    <row r="19846" spans="3:3" x14ac:dyDescent="0.35">
      <c r="C19846" s="2"/>
    </row>
    <row r="19847" spans="3:3" x14ac:dyDescent="0.35">
      <c r="C19847" s="2"/>
    </row>
    <row r="19848" spans="3:3" x14ac:dyDescent="0.35">
      <c r="C19848" s="2"/>
    </row>
    <row r="19849" spans="3:3" x14ac:dyDescent="0.35">
      <c r="C19849" s="2"/>
    </row>
    <row r="19850" spans="3:3" x14ac:dyDescent="0.35">
      <c r="C19850" s="2"/>
    </row>
    <row r="19851" spans="3:3" x14ac:dyDescent="0.35">
      <c r="C19851" s="2"/>
    </row>
    <row r="19852" spans="3:3" x14ac:dyDescent="0.35">
      <c r="C19852" s="2"/>
    </row>
    <row r="19853" spans="3:3" x14ac:dyDescent="0.35">
      <c r="C19853" s="2"/>
    </row>
    <row r="19854" spans="3:3" x14ac:dyDescent="0.35">
      <c r="C19854" s="2"/>
    </row>
    <row r="19855" spans="3:3" x14ac:dyDescent="0.35">
      <c r="C19855" s="2"/>
    </row>
    <row r="19856" spans="3:3" x14ac:dyDescent="0.35">
      <c r="C19856" s="2"/>
    </row>
    <row r="19857" spans="3:3" x14ac:dyDescent="0.35">
      <c r="C19857" s="2"/>
    </row>
    <row r="19858" spans="3:3" x14ac:dyDescent="0.35">
      <c r="C19858" s="2"/>
    </row>
    <row r="19859" spans="3:3" x14ac:dyDescent="0.35">
      <c r="C19859" s="2"/>
    </row>
    <row r="19860" spans="3:3" x14ac:dyDescent="0.35">
      <c r="C19860" s="2"/>
    </row>
    <row r="19861" spans="3:3" x14ac:dyDescent="0.35">
      <c r="C19861" s="2"/>
    </row>
    <row r="19862" spans="3:3" x14ac:dyDescent="0.35">
      <c r="C19862" s="2"/>
    </row>
    <row r="19863" spans="3:3" x14ac:dyDescent="0.35">
      <c r="C19863" s="2"/>
    </row>
    <row r="19864" spans="3:3" x14ac:dyDescent="0.35">
      <c r="C19864" s="2"/>
    </row>
    <row r="19865" spans="3:3" x14ac:dyDescent="0.35">
      <c r="C19865" s="2"/>
    </row>
    <row r="19866" spans="3:3" x14ac:dyDescent="0.35">
      <c r="C19866" s="2"/>
    </row>
    <row r="19867" spans="3:3" x14ac:dyDescent="0.35">
      <c r="C19867" s="2"/>
    </row>
    <row r="19868" spans="3:3" x14ac:dyDescent="0.35">
      <c r="C19868" s="2"/>
    </row>
    <row r="19869" spans="3:3" x14ac:dyDescent="0.35">
      <c r="C19869" s="2"/>
    </row>
    <row r="19870" spans="3:3" x14ac:dyDescent="0.35">
      <c r="C19870" s="2"/>
    </row>
    <row r="19871" spans="3:3" x14ac:dyDescent="0.35">
      <c r="C19871" s="2"/>
    </row>
    <row r="19872" spans="3:3" x14ac:dyDescent="0.35">
      <c r="C19872" s="2"/>
    </row>
    <row r="19873" spans="3:3" x14ac:dyDescent="0.35">
      <c r="C19873" s="2"/>
    </row>
    <row r="19874" spans="3:3" x14ac:dyDescent="0.35">
      <c r="C19874" s="2"/>
    </row>
    <row r="19875" spans="3:3" x14ac:dyDescent="0.35">
      <c r="C19875" s="2"/>
    </row>
    <row r="19876" spans="3:3" x14ac:dyDescent="0.35">
      <c r="C19876" s="2"/>
    </row>
    <row r="19877" spans="3:3" x14ac:dyDescent="0.35">
      <c r="C19877" s="2"/>
    </row>
    <row r="19878" spans="3:3" x14ac:dyDescent="0.35">
      <c r="C19878" s="2"/>
    </row>
    <row r="19879" spans="3:3" x14ac:dyDescent="0.35">
      <c r="C19879" s="2"/>
    </row>
    <row r="19880" spans="3:3" x14ac:dyDescent="0.35">
      <c r="C19880" s="2"/>
    </row>
    <row r="19881" spans="3:3" x14ac:dyDescent="0.35">
      <c r="C19881" s="2"/>
    </row>
    <row r="19882" spans="3:3" x14ac:dyDescent="0.35">
      <c r="C19882" s="2"/>
    </row>
    <row r="19883" spans="3:3" x14ac:dyDescent="0.35">
      <c r="C19883" s="2"/>
    </row>
    <row r="19884" spans="3:3" x14ac:dyDescent="0.35">
      <c r="C19884" s="2"/>
    </row>
    <row r="19885" spans="3:3" x14ac:dyDescent="0.35">
      <c r="C19885" s="2"/>
    </row>
    <row r="19886" spans="3:3" x14ac:dyDescent="0.35">
      <c r="C19886" s="2"/>
    </row>
    <row r="19887" spans="3:3" x14ac:dyDescent="0.35">
      <c r="C19887" s="2"/>
    </row>
    <row r="19888" spans="3:3" x14ac:dyDescent="0.35">
      <c r="C19888" s="2"/>
    </row>
    <row r="19889" spans="3:3" x14ac:dyDescent="0.35">
      <c r="C19889" s="2"/>
    </row>
    <row r="19890" spans="3:3" x14ac:dyDescent="0.35">
      <c r="C19890" s="2"/>
    </row>
    <row r="19891" spans="3:3" x14ac:dyDescent="0.35">
      <c r="C19891" s="2"/>
    </row>
    <row r="19892" spans="3:3" x14ac:dyDescent="0.35">
      <c r="C19892" s="2"/>
    </row>
    <row r="19893" spans="3:3" x14ac:dyDescent="0.35">
      <c r="C19893" s="2"/>
    </row>
    <row r="19894" spans="3:3" x14ac:dyDescent="0.35">
      <c r="C19894" s="2"/>
    </row>
    <row r="19895" spans="3:3" x14ac:dyDescent="0.35">
      <c r="C19895" s="2"/>
    </row>
    <row r="19896" spans="3:3" x14ac:dyDescent="0.35">
      <c r="C19896" s="2"/>
    </row>
    <row r="19897" spans="3:3" x14ac:dyDescent="0.35">
      <c r="C19897" s="2"/>
    </row>
    <row r="19898" spans="3:3" x14ac:dyDescent="0.35">
      <c r="C19898" s="2"/>
    </row>
    <row r="19899" spans="3:3" x14ac:dyDescent="0.35">
      <c r="C19899" s="2"/>
    </row>
    <row r="19900" spans="3:3" x14ac:dyDescent="0.35">
      <c r="C19900" s="2"/>
    </row>
    <row r="19901" spans="3:3" x14ac:dyDescent="0.35">
      <c r="C19901" s="2"/>
    </row>
    <row r="19902" spans="3:3" x14ac:dyDescent="0.35">
      <c r="C19902" s="2"/>
    </row>
    <row r="19903" spans="3:3" x14ac:dyDescent="0.35">
      <c r="C19903" s="2"/>
    </row>
    <row r="19904" spans="3:3" x14ac:dyDescent="0.35">
      <c r="C19904" s="2"/>
    </row>
    <row r="19905" spans="3:3" x14ac:dyDescent="0.35">
      <c r="C19905" s="2"/>
    </row>
    <row r="19906" spans="3:3" x14ac:dyDescent="0.35">
      <c r="C19906" s="2"/>
    </row>
    <row r="19907" spans="3:3" x14ac:dyDescent="0.35">
      <c r="C19907" s="2"/>
    </row>
    <row r="19908" spans="3:3" x14ac:dyDescent="0.35">
      <c r="C19908" s="2"/>
    </row>
    <row r="19909" spans="3:3" x14ac:dyDescent="0.35">
      <c r="C19909" s="2"/>
    </row>
    <row r="19910" spans="3:3" x14ac:dyDescent="0.35">
      <c r="C19910" s="2"/>
    </row>
    <row r="19911" spans="3:3" x14ac:dyDescent="0.35">
      <c r="C19911" s="2"/>
    </row>
    <row r="19912" spans="3:3" x14ac:dyDescent="0.35">
      <c r="C19912" s="2"/>
    </row>
    <row r="19913" spans="3:3" x14ac:dyDescent="0.35">
      <c r="C19913" s="2"/>
    </row>
    <row r="19914" spans="3:3" x14ac:dyDescent="0.35">
      <c r="C19914" s="2"/>
    </row>
    <row r="19915" spans="3:3" x14ac:dyDescent="0.35">
      <c r="C19915" s="2"/>
    </row>
    <row r="19916" spans="3:3" x14ac:dyDescent="0.35">
      <c r="C19916" s="2"/>
    </row>
    <row r="19917" spans="3:3" x14ac:dyDescent="0.35">
      <c r="C19917" s="2"/>
    </row>
    <row r="19918" spans="3:3" x14ac:dyDescent="0.35">
      <c r="C19918" s="2"/>
    </row>
    <row r="19919" spans="3:3" x14ac:dyDescent="0.35">
      <c r="C19919" s="2"/>
    </row>
    <row r="19920" spans="3:3" x14ac:dyDescent="0.35">
      <c r="C19920" s="2"/>
    </row>
    <row r="19921" spans="3:3" x14ac:dyDescent="0.35">
      <c r="C19921" s="2"/>
    </row>
    <row r="19922" spans="3:3" x14ac:dyDescent="0.35">
      <c r="C19922" s="2"/>
    </row>
    <row r="19923" spans="3:3" x14ac:dyDescent="0.35">
      <c r="C19923" s="2"/>
    </row>
    <row r="19924" spans="3:3" x14ac:dyDescent="0.35">
      <c r="C19924" s="2"/>
    </row>
    <row r="19925" spans="3:3" x14ac:dyDescent="0.35">
      <c r="C19925" s="2"/>
    </row>
    <row r="19926" spans="3:3" x14ac:dyDescent="0.35">
      <c r="C19926" s="2"/>
    </row>
    <row r="19927" spans="3:3" x14ac:dyDescent="0.35">
      <c r="C19927" s="2"/>
    </row>
    <row r="19928" spans="3:3" x14ac:dyDescent="0.35">
      <c r="C19928" s="2"/>
    </row>
    <row r="19929" spans="3:3" x14ac:dyDescent="0.35">
      <c r="C19929" s="2"/>
    </row>
    <row r="19930" spans="3:3" x14ac:dyDescent="0.35">
      <c r="C19930" s="2"/>
    </row>
    <row r="19931" spans="3:3" x14ac:dyDescent="0.35">
      <c r="C19931" s="2"/>
    </row>
    <row r="19932" spans="3:3" x14ac:dyDescent="0.35">
      <c r="C19932" s="2"/>
    </row>
    <row r="19933" spans="3:3" x14ac:dyDescent="0.35">
      <c r="C19933" s="2"/>
    </row>
    <row r="19934" spans="3:3" x14ac:dyDescent="0.35">
      <c r="C19934" s="2"/>
    </row>
    <row r="19935" spans="3:3" x14ac:dyDescent="0.35">
      <c r="C19935" s="2"/>
    </row>
    <row r="19936" spans="3:3" x14ac:dyDescent="0.35">
      <c r="C19936" s="2"/>
    </row>
    <row r="19937" spans="3:3" x14ac:dyDescent="0.35">
      <c r="C19937" s="2"/>
    </row>
    <row r="19938" spans="3:3" x14ac:dyDescent="0.35">
      <c r="C19938" s="2"/>
    </row>
    <row r="19939" spans="3:3" x14ac:dyDescent="0.35">
      <c r="C19939" s="2"/>
    </row>
    <row r="19940" spans="3:3" x14ac:dyDescent="0.35">
      <c r="C19940" s="2"/>
    </row>
    <row r="19941" spans="3:3" x14ac:dyDescent="0.35">
      <c r="C19941" s="2"/>
    </row>
    <row r="19942" spans="3:3" x14ac:dyDescent="0.35">
      <c r="C19942" s="2"/>
    </row>
    <row r="19943" spans="3:3" x14ac:dyDescent="0.35">
      <c r="C19943" s="2"/>
    </row>
    <row r="19944" spans="3:3" x14ac:dyDescent="0.35">
      <c r="C19944" s="2"/>
    </row>
    <row r="19945" spans="3:3" x14ac:dyDescent="0.35">
      <c r="C19945" s="2"/>
    </row>
    <row r="19946" spans="3:3" x14ac:dyDescent="0.35">
      <c r="C19946" s="2"/>
    </row>
    <row r="19947" spans="3:3" x14ac:dyDescent="0.35">
      <c r="C19947" s="2"/>
    </row>
    <row r="19948" spans="3:3" x14ac:dyDescent="0.35">
      <c r="C19948" s="2"/>
    </row>
    <row r="19949" spans="3:3" x14ac:dyDescent="0.35">
      <c r="C19949" s="2"/>
    </row>
    <row r="19950" spans="3:3" x14ac:dyDescent="0.35">
      <c r="C19950" s="2"/>
    </row>
    <row r="19951" spans="3:3" x14ac:dyDescent="0.35">
      <c r="C19951" s="2"/>
    </row>
    <row r="19952" spans="3:3" x14ac:dyDescent="0.35">
      <c r="C19952" s="2"/>
    </row>
    <row r="19953" spans="3:3" x14ac:dyDescent="0.35">
      <c r="C19953" s="2"/>
    </row>
    <row r="19954" spans="3:3" x14ac:dyDescent="0.35">
      <c r="C19954" s="2"/>
    </row>
    <row r="19955" spans="3:3" x14ac:dyDescent="0.35">
      <c r="C19955" s="2"/>
    </row>
    <row r="19956" spans="3:3" x14ac:dyDescent="0.35">
      <c r="C19956" s="2"/>
    </row>
    <row r="19957" spans="3:3" x14ac:dyDescent="0.35">
      <c r="C19957" s="2"/>
    </row>
    <row r="19958" spans="3:3" x14ac:dyDescent="0.35">
      <c r="C19958" s="2"/>
    </row>
    <row r="19959" spans="3:3" x14ac:dyDescent="0.35">
      <c r="C19959" s="2"/>
    </row>
    <row r="19960" spans="3:3" x14ac:dyDescent="0.35">
      <c r="C19960" s="2"/>
    </row>
    <row r="19961" spans="3:3" x14ac:dyDescent="0.35">
      <c r="C19961" s="2"/>
    </row>
    <row r="19962" spans="3:3" x14ac:dyDescent="0.35">
      <c r="C19962" s="2"/>
    </row>
    <row r="19963" spans="3:3" x14ac:dyDescent="0.35">
      <c r="C19963" s="2"/>
    </row>
    <row r="19964" spans="3:3" x14ac:dyDescent="0.35">
      <c r="C19964" s="2"/>
    </row>
    <row r="19965" spans="3:3" x14ac:dyDescent="0.35">
      <c r="C19965" s="2"/>
    </row>
    <row r="19966" spans="3:3" x14ac:dyDescent="0.35">
      <c r="C19966" s="2"/>
    </row>
    <row r="19967" spans="3:3" x14ac:dyDescent="0.35">
      <c r="C19967" s="2"/>
    </row>
    <row r="19968" spans="3:3" x14ac:dyDescent="0.35">
      <c r="C19968" s="2"/>
    </row>
    <row r="19969" spans="3:3" x14ac:dyDescent="0.35">
      <c r="C19969" s="2"/>
    </row>
    <row r="19970" spans="3:3" x14ac:dyDescent="0.35">
      <c r="C19970" s="2"/>
    </row>
    <row r="19971" spans="3:3" x14ac:dyDescent="0.35">
      <c r="C19971" s="2"/>
    </row>
    <row r="19972" spans="3:3" x14ac:dyDescent="0.35">
      <c r="C19972" s="2"/>
    </row>
    <row r="19973" spans="3:3" x14ac:dyDescent="0.35">
      <c r="C19973" s="2"/>
    </row>
    <row r="19974" spans="3:3" x14ac:dyDescent="0.35">
      <c r="C19974" s="2"/>
    </row>
    <row r="19975" spans="3:3" x14ac:dyDescent="0.35">
      <c r="C19975" s="2"/>
    </row>
    <row r="19976" spans="3:3" x14ac:dyDescent="0.35">
      <c r="C19976" s="2"/>
    </row>
    <row r="19977" spans="3:3" x14ac:dyDescent="0.35">
      <c r="C19977" s="2"/>
    </row>
    <row r="19978" spans="3:3" x14ac:dyDescent="0.35">
      <c r="C19978" s="2"/>
    </row>
    <row r="19979" spans="3:3" x14ac:dyDescent="0.35">
      <c r="C19979" s="2"/>
    </row>
    <row r="19980" spans="3:3" x14ac:dyDescent="0.35">
      <c r="C19980" s="2"/>
    </row>
    <row r="19981" spans="3:3" x14ac:dyDescent="0.35">
      <c r="C19981" s="2"/>
    </row>
    <row r="19982" spans="3:3" x14ac:dyDescent="0.35">
      <c r="C19982" s="2"/>
    </row>
    <row r="19983" spans="3:3" x14ac:dyDescent="0.35">
      <c r="C19983" s="2"/>
    </row>
    <row r="19984" spans="3:3" x14ac:dyDescent="0.35">
      <c r="C19984" s="2"/>
    </row>
    <row r="19985" spans="3:3" x14ac:dyDescent="0.35">
      <c r="C19985" s="2"/>
    </row>
    <row r="19986" spans="3:3" x14ac:dyDescent="0.35">
      <c r="C19986" s="2"/>
    </row>
    <row r="19987" spans="3:3" x14ac:dyDescent="0.35">
      <c r="C19987" s="2"/>
    </row>
    <row r="19988" spans="3:3" x14ac:dyDescent="0.35">
      <c r="C19988" s="2"/>
    </row>
    <row r="19989" spans="3:3" x14ac:dyDescent="0.35">
      <c r="C19989" s="2"/>
    </row>
    <row r="19990" spans="3:3" x14ac:dyDescent="0.35">
      <c r="C19990" s="2"/>
    </row>
    <row r="19991" spans="3:3" x14ac:dyDescent="0.35">
      <c r="C19991" s="2"/>
    </row>
    <row r="19992" spans="3:3" x14ac:dyDescent="0.35">
      <c r="C19992" s="2"/>
    </row>
    <row r="19993" spans="3:3" x14ac:dyDescent="0.35">
      <c r="C19993" s="2"/>
    </row>
    <row r="19994" spans="3:3" x14ac:dyDescent="0.35">
      <c r="C19994" s="2"/>
    </row>
    <row r="19995" spans="3:3" x14ac:dyDescent="0.35">
      <c r="C19995" s="2"/>
    </row>
    <row r="19996" spans="3:3" x14ac:dyDescent="0.35">
      <c r="C19996" s="2"/>
    </row>
    <row r="19997" spans="3:3" x14ac:dyDescent="0.35">
      <c r="C19997" s="2"/>
    </row>
    <row r="19998" spans="3:3" x14ac:dyDescent="0.35">
      <c r="C19998" s="2"/>
    </row>
    <row r="19999" spans="3:3" x14ac:dyDescent="0.35">
      <c r="C19999" s="2"/>
    </row>
    <row r="20000" spans="3:3" x14ac:dyDescent="0.35">
      <c r="C20000" s="2"/>
    </row>
    <row r="20001" spans="3:3" x14ac:dyDescent="0.35">
      <c r="C20001" s="2"/>
    </row>
    <row r="20002" spans="3:3" x14ac:dyDescent="0.35">
      <c r="C20002" s="2"/>
    </row>
    <row r="20003" spans="3:3" x14ac:dyDescent="0.35">
      <c r="C20003" s="2"/>
    </row>
    <row r="20004" spans="3:3" x14ac:dyDescent="0.35">
      <c r="C20004" s="2"/>
    </row>
    <row r="20005" spans="3:3" x14ac:dyDescent="0.35">
      <c r="C20005" s="2"/>
    </row>
    <row r="20006" spans="3:3" x14ac:dyDescent="0.35">
      <c r="C20006" s="2"/>
    </row>
    <row r="20007" spans="3:3" x14ac:dyDescent="0.35">
      <c r="C20007" s="2"/>
    </row>
    <row r="20008" spans="3:3" x14ac:dyDescent="0.35">
      <c r="C20008" s="2"/>
    </row>
    <row r="20009" spans="3:3" x14ac:dyDescent="0.35">
      <c r="C20009" s="2"/>
    </row>
    <row r="20010" spans="3:3" x14ac:dyDescent="0.35">
      <c r="C20010" s="2"/>
    </row>
    <row r="20011" spans="3:3" x14ac:dyDescent="0.35">
      <c r="C20011" s="2"/>
    </row>
    <row r="20012" spans="3:3" x14ac:dyDescent="0.35">
      <c r="C20012" s="2"/>
    </row>
    <row r="20013" spans="3:3" x14ac:dyDescent="0.35">
      <c r="C20013" s="2"/>
    </row>
    <row r="20014" spans="3:3" x14ac:dyDescent="0.35">
      <c r="C20014" s="2"/>
    </row>
    <row r="20015" spans="3:3" x14ac:dyDescent="0.35">
      <c r="C20015" s="2"/>
    </row>
    <row r="20016" spans="3:3" x14ac:dyDescent="0.35">
      <c r="C20016" s="2"/>
    </row>
    <row r="20017" spans="3:3" x14ac:dyDescent="0.35">
      <c r="C20017" s="2"/>
    </row>
    <row r="20018" spans="3:3" x14ac:dyDescent="0.35">
      <c r="C20018" s="2"/>
    </row>
    <row r="20019" spans="3:3" x14ac:dyDescent="0.35">
      <c r="C20019" s="2"/>
    </row>
    <row r="20020" spans="3:3" x14ac:dyDescent="0.35">
      <c r="C20020" s="2"/>
    </row>
    <row r="20021" spans="3:3" x14ac:dyDescent="0.35">
      <c r="C20021" s="2"/>
    </row>
    <row r="20022" spans="3:3" x14ac:dyDescent="0.35">
      <c r="C20022" s="2"/>
    </row>
    <row r="20023" spans="3:3" x14ac:dyDescent="0.35">
      <c r="C20023" s="2"/>
    </row>
    <row r="20024" spans="3:3" x14ac:dyDescent="0.35">
      <c r="C20024" s="2"/>
    </row>
    <row r="20025" spans="3:3" x14ac:dyDescent="0.35">
      <c r="C20025" s="2"/>
    </row>
    <row r="20026" spans="3:3" x14ac:dyDescent="0.35">
      <c r="C20026" s="2"/>
    </row>
    <row r="20027" spans="3:3" x14ac:dyDescent="0.35">
      <c r="C20027" s="2"/>
    </row>
    <row r="20028" spans="3:3" x14ac:dyDescent="0.35">
      <c r="C20028" s="2"/>
    </row>
    <row r="20029" spans="3:3" x14ac:dyDescent="0.35">
      <c r="C20029" s="2"/>
    </row>
    <row r="20030" spans="3:3" x14ac:dyDescent="0.35">
      <c r="C20030" s="2"/>
    </row>
    <row r="20031" spans="3:3" x14ac:dyDescent="0.35">
      <c r="C20031" s="2"/>
    </row>
    <row r="20032" spans="3:3" x14ac:dyDescent="0.35">
      <c r="C20032" s="2"/>
    </row>
    <row r="20033" spans="3:3" x14ac:dyDescent="0.35">
      <c r="C20033" s="2"/>
    </row>
    <row r="20034" spans="3:3" x14ac:dyDescent="0.35">
      <c r="C20034" s="2"/>
    </row>
    <row r="20035" spans="3:3" x14ac:dyDescent="0.35">
      <c r="C20035" s="2"/>
    </row>
    <row r="20036" spans="3:3" x14ac:dyDescent="0.35">
      <c r="C20036" s="2"/>
    </row>
    <row r="20037" spans="3:3" x14ac:dyDescent="0.35">
      <c r="C20037" s="2"/>
    </row>
    <row r="20038" spans="3:3" x14ac:dyDescent="0.35">
      <c r="C20038" s="2"/>
    </row>
    <row r="20039" spans="3:3" x14ac:dyDescent="0.35">
      <c r="C20039" s="2"/>
    </row>
    <row r="20040" spans="3:3" x14ac:dyDescent="0.35">
      <c r="C20040" s="2"/>
    </row>
    <row r="20041" spans="3:3" x14ac:dyDescent="0.35">
      <c r="C20041" s="2"/>
    </row>
    <row r="20042" spans="3:3" x14ac:dyDescent="0.35">
      <c r="C20042" s="2"/>
    </row>
    <row r="20043" spans="3:3" x14ac:dyDescent="0.35">
      <c r="C20043" s="2"/>
    </row>
    <row r="20044" spans="3:3" x14ac:dyDescent="0.35">
      <c r="C20044" s="2"/>
    </row>
    <row r="20045" spans="3:3" x14ac:dyDescent="0.35">
      <c r="C20045" s="2"/>
    </row>
    <row r="20046" spans="3:3" x14ac:dyDescent="0.35">
      <c r="C20046" s="2"/>
    </row>
    <row r="20047" spans="3:3" x14ac:dyDescent="0.35">
      <c r="C20047" s="2"/>
    </row>
    <row r="20048" spans="3:3" x14ac:dyDescent="0.35">
      <c r="C20048" s="2"/>
    </row>
    <row r="20049" spans="3:3" x14ac:dyDescent="0.35">
      <c r="C20049" s="2"/>
    </row>
    <row r="20050" spans="3:3" x14ac:dyDescent="0.35">
      <c r="C20050" s="2"/>
    </row>
    <row r="20051" spans="3:3" x14ac:dyDescent="0.35">
      <c r="C20051" s="2"/>
    </row>
    <row r="20052" spans="3:3" x14ac:dyDescent="0.35">
      <c r="C20052" s="2"/>
    </row>
    <row r="20053" spans="3:3" x14ac:dyDescent="0.35">
      <c r="C20053" s="2"/>
    </row>
    <row r="20054" spans="3:3" x14ac:dyDescent="0.35">
      <c r="C20054" s="2"/>
    </row>
    <row r="20055" spans="3:3" x14ac:dyDescent="0.35">
      <c r="C20055" s="2"/>
    </row>
    <row r="20056" spans="3:3" x14ac:dyDescent="0.35">
      <c r="C20056" s="2"/>
    </row>
    <row r="20057" spans="3:3" x14ac:dyDescent="0.35">
      <c r="C20057" s="2"/>
    </row>
    <row r="20058" spans="3:3" x14ac:dyDescent="0.35">
      <c r="C20058" s="2"/>
    </row>
    <row r="20059" spans="3:3" x14ac:dyDescent="0.35">
      <c r="C20059" s="2"/>
    </row>
    <row r="20060" spans="3:3" x14ac:dyDescent="0.35">
      <c r="C20060" s="2"/>
    </row>
    <row r="20061" spans="3:3" x14ac:dyDescent="0.35">
      <c r="C20061" s="2"/>
    </row>
    <row r="20062" spans="3:3" x14ac:dyDescent="0.35">
      <c r="C20062" s="2"/>
    </row>
    <row r="20063" spans="3:3" x14ac:dyDescent="0.35">
      <c r="C20063" s="2"/>
    </row>
    <row r="20064" spans="3:3" x14ac:dyDescent="0.35">
      <c r="C20064" s="2"/>
    </row>
    <row r="20065" spans="3:3" x14ac:dyDescent="0.35">
      <c r="C20065" s="2"/>
    </row>
    <row r="20066" spans="3:3" x14ac:dyDescent="0.35">
      <c r="C20066" s="2"/>
    </row>
    <row r="20067" spans="3:3" x14ac:dyDescent="0.35">
      <c r="C20067" s="2"/>
    </row>
    <row r="20068" spans="3:3" x14ac:dyDescent="0.35">
      <c r="C20068" s="2"/>
    </row>
    <row r="20069" spans="3:3" x14ac:dyDescent="0.35">
      <c r="C20069" s="2"/>
    </row>
    <row r="20070" spans="3:3" x14ac:dyDescent="0.35">
      <c r="C20070" s="2"/>
    </row>
    <row r="20071" spans="3:3" x14ac:dyDescent="0.35">
      <c r="C20071" s="2"/>
    </row>
    <row r="20072" spans="3:3" x14ac:dyDescent="0.35">
      <c r="C20072" s="2"/>
    </row>
    <row r="20073" spans="3:3" x14ac:dyDescent="0.35">
      <c r="C20073" s="2"/>
    </row>
    <row r="20074" spans="3:3" x14ac:dyDescent="0.35">
      <c r="C20074" s="2"/>
    </row>
    <row r="20075" spans="3:3" x14ac:dyDescent="0.35">
      <c r="C20075" s="2"/>
    </row>
    <row r="20076" spans="3:3" x14ac:dyDescent="0.35">
      <c r="C20076" s="2"/>
    </row>
    <row r="20077" spans="3:3" x14ac:dyDescent="0.35">
      <c r="C20077" s="2"/>
    </row>
    <row r="20078" spans="3:3" x14ac:dyDescent="0.35">
      <c r="C20078" s="2"/>
    </row>
    <row r="20079" spans="3:3" x14ac:dyDescent="0.35">
      <c r="C20079" s="2"/>
    </row>
    <row r="20080" spans="3:3" x14ac:dyDescent="0.35">
      <c r="C20080" s="2"/>
    </row>
    <row r="20081" spans="3:3" x14ac:dyDescent="0.35">
      <c r="C20081" s="2"/>
    </row>
    <row r="20082" spans="3:3" x14ac:dyDescent="0.35">
      <c r="C20082" s="2"/>
    </row>
    <row r="20083" spans="3:3" x14ac:dyDescent="0.35">
      <c r="C20083" s="2"/>
    </row>
    <row r="20084" spans="3:3" x14ac:dyDescent="0.35">
      <c r="C20084" s="2"/>
    </row>
    <row r="20085" spans="3:3" x14ac:dyDescent="0.35">
      <c r="C20085" s="2"/>
    </row>
    <row r="20086" spans="3:3" x14ac:dyDescent="0.35">
      <c r="C20086" s="2"/>
    </row>
    <row r="20087" spans="3:3" x14ac:dyDescent="0.35">
      <c r="C20087" s="2"/>
    </row>
    <row r="20088" spans="3:3" x14ac:dyDescent="0.35">
      <c r="C20088" s="2"/>
    </row>
    <row r="20089" spans="3:3" x14ac:dyDescent="0.35">
      <c r="C20089" s="2"/>
    </row>
    <row r="20090" spans="3:3" x14ac:dyDescent="0.35">
      <c r="C20090" s="2"/>
    </row>
    <row r="20091" spans="3:3" x14ac:dyDescent="0.35">
      <c r="C20091" s="2"/>
    </row>
    <row r="20092" spans="3:3" x14ac:dyDescent="0.35">
      <c r="C20092" s="2"/>
    </row>
    <row r="20093" spans="3:3" x14ac:dyDescent="0.35">
      <c r="C20093" s="2"/>
    </row>
    <row r="20094" spans="3:3" x14ac:dyDescent="0.35">
      <c r="C20094" s="2"/>
    </row>
    <row r="20095" spans="3:3" x14ac:dyDescent="0.35">
      <c r="C20095" s="2"/>
    </row>
    <row r="20096" spans="3:3" x14ac:dyDescent="0.35">
      <c r="C20096" s="2"/>
    </row>
    <row r="20097" spans="3:3" x14ac:dyDescent="0.35">
      <c r="C20097" s="2"/>
    </row>
    <row r="20098" spans="3:3" x14ac:dyDescent="0.35">
      <c r="C20098" s="2"/>
    </row>
    <row r="20099" spans="3:3" x14ac:dyDescent="0.35">
      <c r="C20099" s="2"/>
    </row>
    <row r="20100" spans="3:3" x14ac:dyDescent="0.35">
      <c r="C20100" s="2"/>
    </row>
    <row r="20101" spans="3:3" x14ac:dyDescent="0.35">
      <c r="C20101" s="2"/>
    </row>
    <row r="20102" spans="3:3" x14ac:dyDescent="0.35">
      <c r="C20102" s="2"/>
    </row>
    <row r="20103" spans="3:3" x14ac:dyDescent="0.35">
      <c r="C20103" s="2"/>
    </row>
    <row r="20104" spans="3:3" x14ac:dyDescent="0.35">
      <c r="C20104" s="2"/>
    </row>
    <row r="20105" spans="3:3" x14ac:dyDescent="0.35">
      <c r="C20105" s="2"/>
    </row>
    <row r="20106" spans="3:3" x14ac:dyDescent="0.35">
      <c r="C20106" s="2"/>
    </row>
    <row r="20107" spans="3:3" x14ac:dyDescent="0.35">
      <c r="C20107" s="2"/>
    </row>
    <row r="20108" spans="3:3" x14ac:dyDescent="0.35">
      <c r="C20108" s="2"/>
    </row>
    <row r="20109" spans="3:3" x14ac:dyDescent="0.35">
      <c r="C20109" s="2"/>
    </row>
    <row r="20110" spans="3:3" x14ac:dyDescent="0.35">
      <c r="C20110" s="2"/>
    </row>
    <row r="20111" spans="3:3" x14ac:dyDescent="0.35">
      <c r="C20111" s="2"/>
    </row>
    <row r="20112" spans="3:3" x14ac:dyDescent="0.35">
      <c r="C20112" s="2"/>
    </row>
    <row r="20113" spans="3:3" x14ac:dyDescent="0.35">
      <c r="C20113" s="2"/>
    </row>
    <row r="20114" spans="3:3" x14ac:dyDescent="0.35">
      <c r="C20114" s="2"/>
    </row>
    <row r="20115" spans="3:3" x14ac:dyDescent="0.35">
      <c r="C20115" s="2"/>
    </row>
    <row r="20116" spans="3:3" x14ac:dyDescent="0.35">
      <c r="C20116" s="2"/>
    </row>
    <row r="20117" spans="3:3" x14ac:dyDescent="0.35">
      <c r="C20117" s="2"/>
    </row>
    <row r="20118" spans="3:3" x14ac:dyDescent="0.35">
      <c r="C20118" s="2"/>
    </row>
    <row r="20119" spans="3:3" x14ac:dyDescent="0.35">
      <c r="C20119" s="2"/>
    </row>
    <row r="20120" spans="3:3" x14ac:dyDescent="0.35">
      <c r="C20120" s="2"/>
    </row>
    <row r="20121" spans="3:3" x14ac:dyDescent="0.35">
      <c r="C20121" s="2"/>
    </row>
    <row r="20122" spans="3:3" x14ac:dyDescent="0.35">
      <c r="C20122" s="2"/>
    </row>
    <row r="20123" spans="3:3" x14ac:dyDescent="0.35">
      <c r="C20123" s="2"/>
    </row>
    <row r="20124" spans="3:3" x14ac:dyDescent="0.35">
      <c r="C20124" s="2"/>
    </row>
    <row r="20125" spans="3:3" x14ac:dyDescent="0.35">
      <c r="C20125" s="2"/>
    </row>
    <row r="20126" spans="3:3" x14ac:dyDescent="0.35">
      <c r="C20126" s="2"/>
    </row>
    <row r="20127" spans="3:3" x14ac:dyDescent="0.35">
      <c r="C20127" s="2"/>
    </row>
    <row r="20128" spans="3:3" x14ac:dyDescent="0.35">
      <c r="C20128" s="2"/>
    </row>
    <row r="20129" spans="3:3" x14ac:dyDescent="0.35">
      <c r="C20129" s="2"/>
    </row>
    <row r="20130" spans="3:3" x14ac:dyDescent="0.35">
      <c r="C20130" s="2"/>
    </row>
    <row r="20131" spans="3:3" x14ac:dyDescent="0.35">
      <c r="C20131" s="2"/>
    </row>
    <row r="20132" spans="3:3" x14ac:dyDescent="0.35">
      <c r="C20132" s="2"/>
    </row>
    <row r="20133" spans="3:3" x14ac:dyDescent="0.35">
      <c r="C20133" s="2"/>
    </row>
    <row r="20134" spans="3:3" x14ac:dyDescent="0.35">
      <c r="C20134" s="2"/>
    </row>
    <row r="20135" spans="3:3" x14ac:dyDescent="0.35">
      <c r="C20135" s="2"/>
    </row>
    <row r="20136" spans="3:3" x14ac:dyDescent="0.35">
      <c r="C20136" s="2"/>
    </row>
    <row r="20137" spans="3:3" x14ac:dyDescent="0.35">
      <c r="C20137" s="2"/>
    </row>
    <row r="20138" spans="3:3" x14ac:dyDescent="0.35">
      <c r="C20138" s="2"/>
    </row>
    <row r="20139" spans="3:3" x14ac:dyDescent="0.35">
      <c r="C20139" s="2"/>
    </row>
    <row r="20140" spans="3:3" x14ac:dyDescent="0.35">
      <c r="C20140" s="2"/>
    </row>
    <row r="20141" spans="3:3" x14ac:dyDescent="0.35">
      <c r="C20141" s="2"/>
    </row>
    <row r="20142" spans="3:3" x14ac:dyDescent="0.35">
      <c r="C20142" s="2"/>
    </row>
    <row r="20143" spans="3:3" x14ac:dyDescent="0.35">
      <c r="C20143" s="2"/>
    </row>
    <row r="20144" spans="3:3" x14ac:dyDescent="0.35">
      <c r="C20144" s="2"/>
    </row>
    <row r="20145" spans="3:3" x14ac:dyDescent="0.35">
      <c r="C20145" s="2"/>
    </row>
    <row r="20146" spans="3:3" x14ac:dyDescent="0.35">
      <c r="C20146" s="2"/>
    </row>
    <row r="20147" spans="3:3" x14ac:dyDescent="0.35">
      <c r="C20147" s="2"/>
    </row>
    <row r="20148" spans="3:3" x14ac:dyDescent="0.35">
      <c r="C20148" s="2"/>
    </row>
    <row r="20149" spans="3:3" x14ac:dyDescent="0.35">
      <c r="C20149" s="2"/>
    </row>
    <row r="20150" spans="3:3" x14ac:dyDescent="0.35">
      <c r="C20150" s="2"/>
    </row>
    <row r="20151" spans="3:3" x14ac:dyDescent="0.35">
      <c r="C20151" s="2"/>
    </row>
    <row r="20152" spans="3:3" x14ac:dyDescent="0.35">
      <c r="C20152" s="2"/>
    </row>
    <row r="20153" spans="3:3" x14ac:dyDescent="0.35">
      <c r="C20153" s="2"/>
    </row>
    <row r="20154" spans="3:3" x14ac:dyDescent="0.35">
      <c r="C20154" s="2"/>
    </row>
    <row r="20155" spans="3:3" x14ac:dyDescent="0.35">
      <c r="C20155" s="2"/>
    </row>
    <row r="20156" spans="3:3" x14ac:dyDescent="0.35">
      <c r="C20156" s="2"/>
    </row>
    <row r="20157" spans="3:3" x14ac:dyDescent="0.35">
      <c r="C20157" s="2"/>
    </row>
    <row r="20158" spans="3:3" x14ac:dyDescent="0.35">
      <c r="C20158" s="2"/>
    </row>
    <row r="20159" spans="3:3" x14ac:dyDescent="0.35">
      <c r="C20159" s="2"/>
    </row>
    <row r="20160" spans="3:3" x14ac:dyDescent="0.35">
      <c r="C20160" s="2"/>
    </row>
    <row r="20161" spans="3:3" x14ac:dyDescent="0.35">
      <c r="C20161" s="2"/>
    </row>
    <row r="20162" spans="3:3" x14ac:dyDescent="0.35">
      <c r="C20162" s="2"/>
    </row>
    <row r="20163" spans="3:3" x14ac:dyDescent="0.35">
      <c r="C20163" s="2"/>
    </row>
    <row r="20164" spans="3:3" x14ac:dyDescent="0.35">
      <c r="C20164" s="2"/>
    </row>
    <row r="20165" spans="3:3" x14ac:dyDescent="0.35">
      <c r="C20165" s="2"/>
    </row>
    <row r="20166" spans="3:3" x14ac:dyDescent="0.35">
      <c r="C20166" s="2"/>
    </row>
    <row r="20167" spans="3:3" x14ac:dyDescent="0.35">
      <c r="C20167" s="2"/>
    </row>
    <row r="20168" spans="3:3" x14ac:dyDescent="0.35">
      <c r="C20168" s="2"/>
    </row>
    <row r="20169" spans="3:3" x14ac:dyDescent="0.35">
      <c r="C20169" s="2"/>
    </row>
    <row r="20170" spans="3:3" x14ac:dyDescent="0.35">
      <c r="C20170" s="2"/>
    </row>
    <row r="20171" spans="3:3" x14ac:dyDescent="0.35">
      <c r="C20171" s="2"/>
    </row>
    <row r="20172" spans="3:3" x14ac:dyDescent="0.35">
      <c r="C20172" s="2"/>
    </row>
    <row r="20173" spans="3:3" x14ac:dyDescent="0.35">
      <c r="C20173" s="2"/>
    </row>
    <row r="20174" spans="3:3" x14ac:dyDescent="0.35">
      <c r="C20174" s="2"/>
    </row>
    <row r="20175" spans="3:3" x14ac:dyDescent="0.35">
      <c r="C20175" s="2"/>
    </row>
    <row r="20176" spans="3:3" x14ac:dyDescent="0.35">
      <c r="C20176" s="2"/>
    </row>
    <row r="20177" spans="3:3" x14ac:dyDescent="0.35">
      <c r="C20177" s="2"/>
    </row>
    <row r="20178" spans="3:3" x14ac:dyDescent="0.35">
      <c r="C20178" s="2"/>
    </row>
    <row r="20179" spans="3:3" x14ac:dyDescent="0.35">
      <c r="C20179" s="2"/>
    </row>
    <row r="20180" spans="3:3" x14ac:dyDescent="0.35">
      <c r="C20180" s="2"/>
    </row>
    <row r="20181" spans="3:3" x14ac:dyDescent="0.35">
      <c r="C20181" s="2"/>
    </row>
    <row r="20182" spans="3:3" x14ac:dyDescent="0.35">
      <c r="C20182" s="2"/>
    </row>
    <row r="20183" spans="3:3" x14ac:dyDescent="0.35">
      <c r="C20183" s="2"/>
    </row>
    <row r="20184" spans="3:3" x14ac:dyDescent="0.35">
      <c r="C20184" s="2"/>
    </row>
    <row r="20185" spans="3:3" x14ac:dyDescent="0.35">
      <c r="C20185" s="2"/>
    </row>
    <row r="20186" spans="3:3" x14ac:dyDescent="0.35">
      <c r="C20186" s="2"/>
    </row>
    <row r="20187" spans="3:3" x14ac:dyDescent="0.35">
      <c r="C20187" s="2"/>
    </row>
    <row r="20188" spans="3:3" x14ac:dyDescent="0.35">
      <c r="C20188" s="2"/>
    </row>
    <row r="20189" spans="3:3" x14ac:dyDescent="0.35">
      <c r="C20189" s="2"/>
    </row>
    <row r="20190" spans="3:3" x14ac:dyDescent="0.35">
      <c r="C20190" s="2"/>
    </row>
    <row r="20191" spans="3:3" x14ac:dyDescent="0.35">
      <c r="C20191" s="2"/>
    </row>
    <row r="20192" spans="3:3" x14ac:dyDescent="0.35">
      <c r="C20192" s="2"/>
    </row>
    <row r="20193" spans="3:3" x14ac:dyDescent="0.35">
      <c r="C20193" s="2"/>
    </row>
    <row r="20194" spans="3:3" x14ac:dyDescent="0.35">
      <c r="C20194" s="2"/>
    </row>
    <row r="20195" spans="3:3" x14ac:dyDescent="0.35">
      <c r="C20195" s="2"/>
    </row>
    <row r="20196" spans="3:3" x14ac:dyDescent="0.35">
      <c r="C20196" s="2"/>
    </row>
    <row r="20197" spans="3:3" x14ac:dyDescent="0.35">
      <c r="C20197" s="2"/>
    </row>
    <row r="20198" spans="3:3" x14ac:dyDescent="0.35">
      <c r="C20198" s="2"/>
    </row>
    <row r="20199" spans="3:3" x14ac:dyDescent="0.35">
      <c r="C20199" s="2"/>
    </row>
    <row r="20200" spans="3:3" x14ac:dyDescent="0.35">
      <c r="C20200" s="2"/>
    </row>
    <row r="20201" spans="3:3" x14ac:dyDescent="0.35">
      <c r="C20201" s="2"/>
    </row>
    <row r="20202" spans="3:3" x14ac:dyDescent="0.35">
      <c r="C20202" s="2"/>
    </row>
    <row r="20203" spans="3:3" x14ac:dyDescent="0.35">
      <c r="C20203" s="2"/>
    </row>
    <row r="20204" spans="3:3" x14ac:dyDescent="0.35">
      <c r="C20204" s="2"/>
    </row>
    <row r="20205" spans="3:3" x14ac:dyDescent="0.35">
      <c r="C20205" s="2"/>
    </row>
    <row r="20206" spans="3:3" x14ac:dyDescent="0.35">
      <c r="C20206" s="2"/>
    </row>
    <row r="20207" spans="3:3" x14ac:dyDescent="0.35">
      <c r="C20207" s="2"/>
    </row>
    <row r="20208" spans="3:3" x14ac:dyDescent="0.35">
      <c r="C20208" s="2"/>
    </row>
    <row r="20209" spans="3:3" x14ac:dyDescent="0.35">
      <c r="C20209" s="2"/>
    </row>
    <row r="20210" spans="3:3" x14ac:dyDescent="0.35">
      <c r="C20210" s="2"/>
    </row>
    <row r="20211" spans="3:3" x14ac:dyDescent="0.35">
      <c r="C20211" s="2"/>
    </row>
    <row r="20212" spans="3:3" x14ac:dyDescent="0.35">
      <c r="C20212" s="2"/>
    </row>
    <row r="20213" spans="3:3" x14ac:dyDescent="0.35">
      <c r="C20213" s="2"/>
    </row>
    <row r="20214" spans="3:3" x14ac:dyDescent="0.35">
      <c r="C20214" s="2"/>
    </row>
    <row r="20215" spans="3:3" x14ac:dyDescent="0.35">
      <c r="C20215" s="2"/>
    </row>
    <row r="20216" spans="3:3" x14ac:dyDescent="0.35">
      <c r="C20216" s="2"/>
    </row>
    <row r="20217" spans="3:3" x14ac:dyDescent="0.35">
      <c r="C20217" s="2"/>
    </row>
    <row r="20218" spans="3:3" x14ac:dyDescent="0.35">
      <c r="C20218" s="2"/>
    </row>
    <row r="20219" spans="3:3" x14ac:dyDescent="0.35">
      <c r="C20219" s="2"/>
    </row>
    <row r="20220" spans="3:3" x14ac:dyDescent="0.35">
      <c r="C20220" s="2"/>
    </row>
    <row r="20221" spans="3:3" x14ac:dyDescent="0.35">
      <c r="C20221" s="2"/>
    </row>
    <row r="20222" spans="3:3" x14ac:dyDescent="0.35">
      <c r="C20222" s="2"/>
    </row>
    <row r="20223" spans="3:3" x14ac:dyDescent="0.35">
      <c r="C20223" s="2"/>
    </row>
    <row r="20224" spans="3:3" x14ac:dyDescent="0.35">
      <c r="C20224" s="2"/>
    </row>
    <row r="20225" spans="3:3" x14ac:dyDescent="0.35">
      <c r="C20225" s="2"/>
    </row>
    <row r="20226" spans="3:3" x14ac:dyDescent="0.35">
      <c r="C20226" s="2"/>
    </row>
    <row r="20227" spans="3:3" x14ac:dyDescent="0.35">
      <c r="C20227" s="2"/>
    </row>
    <row r="20228" spans="3:3" x14ac:dyDescent="0.35">
      <c r="C20228" s="2"/>
    </row>
    <row r="20229" spans="3:3" x14ac:dyDescent="0.35">
      <c r="C20229" s="2"/>
    </row>
    <row r="20230" spans="3:3" x14ac:dyDescent="0.35">
      <c r="C20230" s="2"/>
    </row>
    <row r="20231" spans="3:3" x14ac:dyDescent="0.35">
      <c r="C20231" s="2"/>
    </row>
    <row r="20232" spans="3:3" x14ac:dyDescent="0.35">
      <c r="C20232" s="2"/>
    </row>
    <row r="20233" spans="3:3" x14ac:dyDescent="0.35">
      <c r="C20233" s="2"/>
    </row>
    <row r="20234" spans="3:3" x14ac:dyDescent="0.35">
      <c r="C20234" s="2"/>
    </row>
    <row r="20235" spans="3:3" x14ac:dyDescent="0.35">
      <c r="C20235" s="2"/>
    </row>
    <row r="20236" spans="3:3" x14ac:dyDescent="0.35">
      <c r="C20236" s="2"/>
    </row>
    <row r="20237" spans="3:3" x14ac:dyDescent="0.35">
      <c r="C20237" s="2"/>
    </row>
    <row r="20238" spans="3:3" x14ac:dyDescent="0.35">
      <c r="C20238" s="2"/>
    </row>
    <row r="20239" spans="3:3" x14ac:dyDescent="0.35">
      <c r="C20239" s="2"/>
    </row>
    <row r="20240" spans="3:3" x14ac:dyDescent="0.35">
      <c r="C20240" s="2"/>
    </row>
    <row r="20241" spans="3:3" x14ac:dyDescent="0.35">
      <c r="C20241" s="2"/>
    </row>
    <row r="20242" spans="3:3" x14ac:dyDescent="0.35">
      <c r="C20242" s="2"/>
    </row>
    <row r="20243" spans="3:3" x14ac:dyDescent="0.35">
      <c r="C20243" s="2"/>
    </row>
    <row r="20244" spans="3:3" x14ac:dyDescent="0.35">
      <c r="C20244" s="2"/>
    </row>
    <row r="20245" spans="3:3" x14ac:dyDescent="0.35">
      <c r="C20245" s="2"/>
    </row>
    <row r="20246" spans="3:3" x14ac:dyDescent="0.35">
      <c r="C20246" s="2"/>
    </row>
    <row r="20247" spans="3:3" x14ac:dyDescent="0.35">
      <c r="C20247" s="2"/>
    </row>
    <row r="20248" spans="3:3" x14ac:dyDescent="0.35">
      <c r="C20248" s="2"/>
    </row>
    <row r="20249" spans="3:3" x14ac:dyDescent="0.35">
      <c r="C20249" s="2"/>
    </row>
    <row r="20250" spans="3:3" x14ac:dyDescent="0.35">
      <c r="C20250" s="2"/>
    </row>
    <row r="20251" spans="3:3" x14ac:dyDescent="0.35">
      <c r="C20251" s="2"/>
    </row>
    <row r="20252" spans="3:3" x14ac:dyDescent="0.35">
      <c r="C20252" s="2"/>
    </row>
    <row r="20253" spans="3:3" x14ac:dyDescent="0.35">
      <c r="C20253" s="2"/>
    </row>
    <row r="20254" spans="3:3" x14ac:dyDescent="0.35">
      <c r="C20254" s="2"/>
    </row>
    <row r="20255" spans="3:3" x14ac:dyDescent="0.35">
      <c r="C20255" s="2"/>
    </row>
    <row r="20256" spans="3:3" x14ac:dyDescent="0.35">
      <c r="C20256" s="2"/>
    </row>
    <row r="20257" spans="3:3" x14ac:dyDescent="0.35">
      <c r="C20257" s="2"/>
    </row>
    <row r="20258" spans="3:3" x14ac:dyDescent="0.35">
      <c r="C20258" s="2"/>
    </row>
    <row r="20259" spans="3:3" x14ac:dyDescent="0.35">
      <c r="C20259" s="2"/>
    </row>
    <row r="20260" spans="3:3" x14ac:dyDescent="0.35">
      <c r="C20260" s="2"/>
    </row>
    <row r="20261" spans="3:3" x14ac:dyDescent="0.35">
      <c r="C20261" s="2"/>
    </row>
    <row r="20262" spans="3:3" x14ac:dyDescent="0.35">
      <c r="C20262" s="2"/>
    </row>
    <row r="20263" spans="3:3" x14ac:dyDescent="0.35">
      <c r="C20263" s="2"/>
    </row>
    <row r="20264" spans="3:3" x14ac:dyDescent="0.35">
      <c r="C20264" s="2"/>
    </row>
    <row r="20265" spans="3:3" x14ac:dyDescent="0.35">
      <c r="C20265" s="2"/>
    </row>
    <row r="20266" spans="3:3" x14ac:dyDescent="0.35">
      <c r="C20266" s="2"/>
    </row>
    <row r="20267" spans="3:3" x14ac:dyDescent="0.35">
      <c r="C20267" s="2"/>
    </row>
    <row r="20268" spans="3:3" x14ac:dyDescent="0.35">
      <c r="C20268" s="2"/>
    </row>
    <row r="20269" spans="3:3" x14ac:dyDescent="0.35">
      <c r="C20269" s="2"/>
    </row>
    <row r="20270" spans="3:3" x14ac:dyDescent="0.35">
      <c r="C20270" s="2"/>
    </row>
    <row r="20271" spans="3:3" x14ac:dyDescent="0.35">
      <c r="C20271" s="2"/>
    </row>
    <row r="20272" spans="3:3" x14ac:dyDescent="0.35">
      <c r="C20272" s="2"/>
    </row>
    <row r="20273" spans="3:3" x14ac:dyDescent="0.35">
      <c r="C20273" s="2"/>
    </row>
    <row r="20274" spans="3:3" x14ac:dyDescent="0.35">
      <c r="C20274" s="2"/>
    </row>
    <row r="20275" spans="3:3" x14ac:dyDescent="0.35">
      <c r="C20275" s="2"/>
    </row>
    <row r="20276" spans="3:3" x14ac:dyDescent="0.35">
      <c r="C20276" s="2"/>
    </row>
    <row r="20277" spans="3:3" x14ac:dyDescent="0.35">
      <c r="C20277" s="2"/>
    </row>
    <row r="20278" spans="3:3" x14ac:dyDescent="0.35">
      <c r="C20278" s="2"/>
    </row>
    <row r="20279" spans="3:3" x14ac:dyDescent="0.35">
      <c r="C20279" s="2"/>
    </row>
    <row r="20280" spans="3:3" x14ac:dyDescent="0.35">
      <c r="C20280" s="2"/>
    </row>
    <row r="20281" spans="3:3" x14ac:dyDescent="0.35">
      <c r="C20281" s="2"/>
    </row>
    <row r="20282" spans="3:3" x14ac:dyDescent="0.35">
      <c r="C20282" s="2"/>
    </row>
    <row r="20283" spans="3:3" x14ac:dyDescent="0.35">
      <c r="C20283" s="2"/>
    </row>
    <row r="20284" spans="3:3" x14ac:dyDescent="0.35">
      <c r="C20284" s="2"/>
    </row>
    <row r="20285" spans="3:3" x14ac:dyDescent="0.35">
      <c r="C20285" s="2"/>
    </row>
    <row r="20286" spans="3:3" x14ac:dyDescent="0.35">
      <c r="C20286" s="2"/>
    </row>
    <row r="20287" spans="3:3" x14ac:dyDescent="0.35">
      <c r="C20287" s="2"/>
    </row>
    <row r="20288" spans="3:3" x14ac:dyDescent="0.35">
      <c r="C20288" s="2"/>
    </row>
    <row r="20289" spans="3:3" x14ac:dyDescent="0.35">
      <c r="C20289" s="2"/>
    </row>
    <row r="20290" spans="3:3" x14ac:dyDescent="0.35">
      <c r="C20290" s="2"/>
    </row>
    <row r="20291" spans="3:3" x14ac:dyDescent="0.35">
      <c r="C20291" s="2"/>
    </row>
    <row r="20292" spans="3:3" x14ac:dyDescent="0.35">
      <c r="C20292" s="2"/>
    </row>
    <row r="20293" spans="3:3" x14ac:dyDescent="0.35">
      <c r="C20293" s="2"/>
    </row>
    <row r="20294" spans="3:3" x14ac:dyDescent="0.35">
      <c r="C20294" s="2"/>
    </row>
    <row r="20295" spans="3:3" x14ac:dyDescent="0.35">
      <c r="C20295" s="2"/>
    </row>
    <row r="20296" spans="3:3" x14ac:dyDescent="0.35">
      <c r="C20296" s="2"/>
    </row>
    <row r="20297" spans="3:3" x14ac:dyDescent="0.35">
      <c r="C20297" s="2"/>
    </row>
    <row r="20298" spans="3:3" x14ac:dyDescent="0.35">
      <c r="C20298" s="2"/>
    </row>
    <row r="20299" spans="3:3" x14ac:dyDescent="0.35">
      <c r="C20299" s="2"/>
    </row>
    <row r="20300" spans="3:3" x14ac:dyDescent="0.35">
      <c r="C20300" s="2"/>
    </row>
    <row r="20301" spans="3:3" x14ac:dyDescent="0.35">
      <c r="C20301" s="2"/>
    </row>
    <row r="20302" spans="3:3" x14ac:dyDescent="0.35">
      <c r="C20302" s="2"/>
    </row>
    <row r="20303" spans="3:3" x14ac:dyDescent="0.35">
      <c r="C20303" s="2"/>
    </row>
    <row r="20304" spans="3:3" x14ac:dyDescent="0.35">
      <c r="C20304" s="2"/>
    </row>
    <row r="20305" spans="3:3" x14ac:dyDescent="0.35">
      <c r="C20305" s="2"/>
    </row>
    <row r="20306" spans="3:3" x14ac:dyDescent="0.35">
      <c r="C20306" s="2"/>
    </row>
    <row r="20307" spans="3:3" x14ac:dyDescent="0.35">
      <c r="C20307" s="2"/>
    </row>
    <row r="20308" spans="3:3" x14ac:dyDescent="0.35">
      <c r="C20308" s="2"/>
    </row>
    <row r="20309" spans="3:3" x14ac:dyDescent="0.35">
      <c r="C20309" s="2"/>
    </row>
    <row r="20310" spans="3:3" x14ac:dyDescent="0.35">
      <c r="C20310" s="2"/>
    </row>
    <row r="20311" spans="3:3" x14ac:dyDescent="0.35">
      <c r="C20311" s="2"/>
    </row>
    <row r="20312" spans="3:3" x14ac:dyDescent="0.35">
      <c r="C20312" s="2"/>
    </row>
    <row r="20313" spans="3:3" x14ac:dyDescent="0.35">
      <c r="C20313" s="2"/>
    </row>
    <row r="20314" spans="3:3" x14ac:dyDescent="0.35">
      <c r="C20314" s="2"/>
    </row>
    <row r="20315" spans="3:3" x14ac:dyDescent="0.35">
      <c r="C20315" s="2"/>
    </row>
    <row r="20316" spans="3:3" x14ac:dyDescent="0.35">
      <c r="C20316" s="2"/>
    </row>
    <row r="20317" spans="3:3" x14ac:dyDescent="0.35">
      <c r="C20317" s="2"/>
    </row>
    <row r="20318" spans="3:3" x14ac:dyDescent="0.35">
      <c r="C20318" s="2"/>
    </row>
    <row r="20319" spans="3:3" x14ac:dyDescent="0.35">
      <c r="C20319" s="2"/>
    </row>
    <row r="20320" spans="3:3" x14ac:dyDescent="0.35">
      <c r="C20320" s="2"/>
    </row>
    <row r="20321" spans="3:3" x14ac:dyDescent="0.35">
      <c r="C20321" s="2"/>
    </row>
    <row r="20322" spans="3:3" x14ac:dyDescent="0.35">
      <c r="C20322" s="2"/>
    </row>
    <row r="20323" spans="3:3" x14ac:dyDescent="0.35">
      <c r="C20323" s="2"/>
    </row>
    <row r="20324" spans="3:3" x14ac:dyDescent="0.35">
      <c r="C20324" s="2"/>
    </row>
    <row r="20325" spans="3:3" x14ac:dyDescent="0.35">
      <c r="C20325" s="2"/>
    </row>
    <row r="20326" spans="3:3" x14ac:dyDescent="0.35">
      <c r="C20326" s="2"/>
    </row>
    <row r="20327" spans="3:3" x14ac:dyDescent="0.35">
      <c r="C20327" s="2"/>
    </row>
    <row r="20328" spans="3:3" x14ac:dyDescent="0.35">
      <c r="C20328" s="2"/>
    </row>
    <row r="20329" spans="3:3" x14ac:dyDescent="0.35">
      <c r="C20329" s="2"/>
    </row>
    <row r="20330" spans="3:3" x14ac:dyDescent="0.35">
      <c r="C20330" s="2"/>
    </row>
    <row r="20331" spans="3:3" x14ac:dyDescent="0.35">
      <c r="C20331" s="2"/>
    </row>
    <row r="20332" spans="3:3" x14ac:dyDescent="0.35">
      <c r="C20332" s="2"/>
    </row>
    <row r="20333" spans="3:3" x14ac:dyDescent="0.35">
      <c r="C20333" s="2"/>
    </row>
    <row r="20334" spans="3:3" x14ac:dyDescent="0.35">
      <c r="C20334" s="2"/>
    </row>
    <row r="20335" spans="3:3" x14ac:dyDescent="0.35">
      <c r="C20335" s="2"/>
    </row>
    <row r="20336" spans="3:3" x14ac:dyDescent="0.35">
      <c r="C20336" s="2"/>
    </row>
    <row r="20337" spans="3:3" x14ac:dyDescent="0.35">
      <c r="C20337" s="2"/>
    </row>
    <row r="20338" spans="3:3" x14ac:dyDescent="0.35">
      <c r="C20338" s="2"/>
    </row>
    <row r="20339" spans="3:3" x14ac:dyDescent="0.35">
      <c r="C20339" s="2"/>
    </row>
    <row r="20340" spans="3:3" x14ac:dyDescent="0.35">
      <c r="C20340" s="2"/>
    </row>
    <row r="20341" spans="3:3" x14ac:dyDescent="0.35">
      <c r="C20341" s="2"/>
    </row>
    <row r="20342" spans="3:3" x14ac:dyDescent="0.35">
      <c r="C20342" s="2"/>
    </row>
    <row r="20343" spans="3:3" x14ac:dyDescent="0.35">
      <c r="C20343" s="2"/>
    </row>
    <row r="20344" spans="3:3" x14ac:dyDescent="0.35">
      <c r="C20344" s="2"/>
    </row>
    <row r="20345" spans="3:3" x14ac:dyDescent="0.35">
      <c r="C20345" s="2"/>
    </row>
    <row r="20346" spans="3:3" x14ac:dyDescent="0.35">
      <c r="C20346" s="2"/>
    </row>
    <row r="20347" spans="3:3" x14ac:dyDescent="0.35">
      <c r="C20347" s="2"/>
    </row>
    <row r="20348" spans="3:3" x14ac:dyDescent="0.35">
      <c r="C20348" s="2"/>
    </row>
    <row r="20349" spans="3:3" x14ac:dyDescent="0.35">
      <c r="C20349" s="2"/>
    </row>
    <row r="20350" spans="3:3" x14ac:dyDescent="0.35">
      <c r="C20350" s="2"/>
    </row>
    <row r="20351" spans="3:3" x14ac:dyDescent="0.35">
      <c r="C20351" s="2"/>
    </row>
    <row r="20352" spans="3:3" x14ac:dyDescent="0.35">
      <c r="C20352" s="2"/>
    </row>
    <row r="20353" spans="3:3" x14ac:dyDescent="0.35">
      <c r="C20353" s="2"/>
    </row>
    <row r="20354" spans="3:3" x14ac:dyDescent="0.35">
      <c r="C20354" s="2"/>
    </row>
    <row r="20355" spans="3:3" x14ac:dyDescent="0.35">
      <c r="C20355" s="2"/>
    </row>
    <row r="20356" spans="3:3" x14ac:dyDescent="0.35">
      <c r="C20356" s="2"/>
    </row>
    <row r="20357" spans="3:3" x14ac:dyDescent="0.35">
      <c r="C20357" s="2"/>
    </row>
    <row r="20358" spans="3:3" x14ac:dyDescent="0.35">
      <c r="C20358" s="2"/>
    </row>
    <row r="20359" spans="3:3" x14ac:dyDescent="0.35">
      <c r="C20359" s="2"/>
    </row>
    <row r="20360" spans="3:3" x14ac:dyDescent="0.35">
      <c r="C20360" s="2"/>
    </row>
    <row r="20361" spans="3:3" x14ac:dyDescent="0.35">
      <c r="C20361" s="2"/>
    </row>
    <row r="20362" spans="3:3" x14ac:dyDescent="0.35">
      <c r="C20362" s="2"/>
    </row>
    <row r="20363" spans="3:3" x14ac:dyDescent="0.35">
      <c r="C20363" s="2"/>
    </row>
    <row r="20364" spans="3:3" x14ac:dyDescent="0.35">
      <c r="C20364" s="2"/>
    </row>
    <row r="20365" spans="3:3" x14ac:dyDescent="0.35">
      <c r="C20365" s="2"/>
    </row>
    <row r="20366" spans="3:3" x14ac:dyDescent="0.35">
      <c r="C20366" s="2"/>
    </row>
    <row r="20367" spans="3:3" x14ac:dyDescent="0.35">
      <c r="C20367" s="2"/>
    </row>
    <row r="20368" spans="3:3" x14ac:dyDescent="0.35">
      <c r="C20368" s="2"/>
    </row>
    <row r="20369" spans="3:3" x14ac:dyDescent="0.35">
      <c r="C20369" s="2"/>
    </row>
    <row r="20370" spans="3:3" x14ac:dyDescent="0.35">
      <c r="C20370" s="2"/>
    </row>
    <row r="20371" spans="3:3" x14ac:dyDescent="0.35">
      <c r="C20371" s="2"/>
    </row>
    <row r="20372" spans="3:3" x14ac:dyDescent="0.35">
      <c r="C20372" s="2"/>
    </row>
    <row r="20373" spans="3:3" x14ac:dyDescent="0.35">
      <c r="C20373" s="2"/>
    </row>
    <row r="20374" spans="3:3" x14ac:dyDescent="0.35">
      <c r="C20374" s="2"/>
    </row>
    <row r="20375" spans="3:3" x14ac:dyDescent="0.35">
      <c r="C20375" s="2"/>
    </row>
    <row r="20376" spans="3:3" x14ac:dyDescent="0.35">
      <c r="C20376" s="2"/>
    </row>
    <row r="20377" spans="3:3" x14ac:dyDescent="0.35">
      <c r="C20377" s="2"/>
    </row>
    <row r="20378" spans="3:3" x14ac:dyDescent="0.35">
      <c r="C20378" s="2"/>
    </row>
    <row r="20379" spans="3:3" x14ac:dyDescent="0.35">
      <c r="C20379" s="2"/>
    </row>
    <row r="20380" spans="3:3" x14ac:dyDescent="0.35">
      <c r="C20380" s="2"/>
    </row>
    <row r="20381" spans="3:3" x14ac:dyDescent="0.35">
      <c r="C20381" s="2"/>
    </row>
    <row r="20382" spans="3:3" x14ac:dyDescent="0.35">
      <c r="C20382" s="2"/>
    </row>
    <row r="20383" spans="3:3" x14ac:dyDescent="0.35">
      <c r="C20383" s="2"/>
    </row>
    <row r="20384" spans="3:3" x14ac:dyDescent="0.35">
      <c r="C20384" s="2"/>
    </row>
    <row r="20385" spans="3:3" x14ac:dyDescent="0.35">
      <c r="C20385" s="2"/>
    </row>
    <row r="20386" spans="3:3" x14ac:dyDescent="0.35">
      <c r="C20386" s="2"/>
    </row>
    <row r="20387" spans="3:3" x14ac:dyDescent="0.35">
      <c r="C20387" s="2"/>
    </row>
    <row r="20388" spans="3:3" x14ac:dyDescent="0.35">
      <c r="C20388" s="2"/>
    </row>
    <row r="20389" spans="3:3" x14ac:dyDescent="0.35">
      <c r="C20389" s="2"/>
    </row>
    <row r="20390" spans="3:3" x14ac:dyDescent="0.35">
      <c r="C20390" s="2"/>
    </row>
    <row r="20391" spans="3:3" x14ac:dyDescent="0.35">
      <c r="C20391" s="2"/>
    </row>
    <row r="20392" spans="3:3" x14ac:dyDescent="0.35">
      <c r="C20392" s="2"/>
    </row>
    <row r="20393" spans="3:3" x14ac:dyDescent="0.35">
      <c r="C20393" s="2"/>
    </row>
    <row r="20394" spans="3:3" x14ac:dyDescent="0.35">
      <c r="C20394" s="2"/>
    </row>
    <row r="20395" spans="3:3" x14ac:dyDescent="0.35">
      <c r="C20395" s="2"/>
    </row>
    <row r="20396" spans="3:3" x14ac:dyDescent="0.35">
      <c r="C20396" s="2"/>
    </row>
    <row r="20397" spans="3:3" x14ac:dyDescent="0.35">
      <c r="C20397" s="2"/>
    </row>
    <row r="20398" spans="3:3" x14ac:dyDescent="0.35">
      <c r="C20398" s="2"/>
    </row>
    <row r="20399" spans="3:3" x14ac:dyDescent="0.35">
      <c r="C20399" s="2"/>
    </row>
    <row r="20400" spans="3:3" x14ac:dyDescent="0.35">
      <c r="C20400" s="2"/>
    </row>
    <row r="20401" spans="3:3" x14ac:dyDescent="0.35">
      <c r="C20401" s="2"/>
    </row>
    <row r="20402" spans="3:3" x14ac:dyDescent="0.35">
      <c r="C20402" s="2"/>
    </row>
    <row r="20403" spans="3:3" x14ac:dyDescent="0.35">
      <c r="C20403" s="2"/>
    </row>
    <row r="20404" spans="3:3" x14ac:dyDescent="0.35">
      <c r="C20404" s="2"/>
    </row>
    <row r="20405" spans="3:3" x14ac:dyDescent="0.35">
      <c r="C20405" s="2"/>
    </row>
    <row r="20406" spans="3:3" x14ac:dyDescent="0.35">
      <c r="C20406" s="2"/>
    </row>
    <row r="20407" spans="3:3" x14ac:dyDescent="0.35">
      <c r="C20407" s="2"/>
    </row>
    <row r="20408" spans="3:3" x14ac:dyDescent="0.35">
      <c r="C20408" s="2"/>
    </row>
    <row r="20409" spans="3:3" x14ac:dyDescent="0.35">
      <c r="C20409" s="2"/>
    </row>
    <row r="20410" spans="3:3" x14ac:dyDescent="0.35">
      <c r="C20410" s="2"/>
    </row>
    <row r="20411" spans="3:3" x14ac:dyDescent="0.35">
      <c r="C20411" s="2"/>
    </row>
    <row r="20412" spans="3:3" x14ac:dyDescent="0.35">
      <c r="C20412" s="2"/>
    </row>
    <row r="20413" spans="3:3" x14ac:dyDescent="0.35">
      <c r="C20413" s="2"/>
    </row>
    <row r="20414" spans="3:3" x14ac:dyDescent="0.35">
      <c r="C20414" s="2"/>
    </row>
    <row r="20415" spans="3:3" x14ac:dyDescent="0.35">
      <c r="C20415" s="2"/>
    </row>
    <row r="20416" spans="3:3" x14ac:dyDescent="0.35">
      <c r="C20416" s="2"/>
    </row>
    <row r="20417" spans="3:3" x14ac:dyDescent="0.35">
      <c r="C20417" s="2"/>
    </row>
    <row r="20418" spans="3:3" x14ac:dyDescent="0.35">
      <c r="C20418" s="2"/>
    </row>
    <row r="20419" spans="3:3" x14ac:dyDescent="0.35">
      <c r="C20419" s="2"/>
    </row>
    <row r="20420" spans="3:3" x14ac:dyDescent="0.35">
      <c r="C20420" s="2"/>
    </row>
    <row r="20421" spans="3:3" x14ac:dyDescent="0.35">
      <c r="C20421" s="2"/>
    </row>
    <row r="20422" spans="3:3" x14ac:dyDescent="0.35">
      <c r="C20422" s="2"/>
    </row>
    <row r="20423" spans="3:3" x14ac:dyDescent="0.35">
      <c r="C20423" s="2"/>
    </row>
    <row r="20424" spans="3:3" x14ac:dyDescent="0.35">
      <c r="C20424" s="2"/>
    </row>
    <row r="20425" spans="3:3" x14ac:dyDescent="0.35">
      <c r="C20425" s="2"/>
    </row>
    <row r="20426" spans="3:3" x14ac:dyDescent="0.35">
      <c r="C20426" s="2"/>
    </row>
    <row r="20427" spans="3:3" x14ac:dyDescent="0.35">
      <c r="C20427" s="2"/>
    </row>
    <row r="20428" spans="3:3" x14ac:dyDescent="0.35">
      <c r="C20428" s="2"/>
    </row>
    <row r="20429" spans="3:3" x14ac:dyDescent="0.35">
      <c r="C20429" s="2"/>
    </row>
    <row r="20430" spans="3:3" x14ac:dyDescent="0.35">
      <c r="C20430" s="2"/>
    </row>
    <row r="20431" spans="3:3" x14ac:dyDescent="0.35">
      <c r="C20431" s="2"/>
    </row>
    <row r="20432" spans="3:3" x14ac:dyDescent="0.35">
      <c r="C20432" s="2"/>
    </row>
    <row r="20433" spans="3:3" x14ac:dyDescent="0.35">
      <c r="C20433" s="2"/>
    </row>
    <row r="20434" spans="3:3" x14ac:dyDescent="0.35">
      <c r="C20434" s="2"/>
    </row>
    <row r="20435" spans="3:3" x14ac:dyDescent="0.35">
      <c r="C20435" s="2"/>
    </row>
    <row r="20436" spans="3:3" x14ac:dyDescent="0.35">
      <c r="C20436" s="2"/>
    </row>
    <row r="20437" spans="3:3" x14ac:dyDescent="0.35">
      <c r="C20437" s="2"/>
    </row>
    <row r="20438" spans="3:3" x14ac:dyDescent="0.35">
      <c r="C20438" s="2"/>
    </row>
    <row r="20439" spans="3:3" x14ac:dyDescent="0.35">
      <c r="C20439" s="2"/>
    </row>
    <row r="20440" spans="3:3" x14ac:dyDescent="0.35">
      <c r="C20440" s="2"/>
    </row>
    <row r="20441" spans="3:3" x14ac:dyDescent="0.35">
      <c r="C20441" s="2"/>
    </row>
    <row r="20442" spans="3:3" x14ac:dyDescent="0.35">
      <c r="C20442" s="2"/>
    </row>
    <row r="20443" spans="3:3" x14ac:dyDescent="0.35">
      <c r="C20443" s="2"/>
    </row>
    <row r="20444" spans="3:3" x14ac:dyDescent="0.35">
      <c r="C20444" s="2"/>
    </row>
    <row r="20445" spans="3:3" x14ac:dyDescent="0.35">
      <c r="C20445" s="2"/>
    </row>
    <row r="20446" spans="3:3" x14ac:dyDescent="0.35">
      <c r="C20446" s="2"/>
    </row>
    <row r="20447" spans="3:3" x14ac:dyDescent="0.35">
      <c r="C20447" s="2"/>
    </row>
    <row r="20448" spans="3:3" x14ac:dyDescent="0.35">
      <c r="C20448" s="2"/>
    </row>
    <row r="20449" spans="3:3" x14ac:dyDescent="0.35">
      <c r="C20449" s="2"/>
    </row>
    <row r="20450" spans="3:3" x14ac:dyDescent="0.35">
      <c r="C20450" s="2"/>
    </row>
    <row r="20451" spans="3:3" x14ac:dyDescent="0.35">
      <c r="C20451" s="2"/>
    </row>
    <row r="20452" spans="3:3" x14ac:dyDescent="0.35">
      <c r="C20452" s="2"/>
    </row>
    <row r="20453" spans="3:3" x14ac:dyDescent="0.35">
      <c r="C20453" s="2"/>
    </row>
    <row r="20454" spans="3:3" x14ac:dyDescent="0.35">
      <c r="C20454" s="2"/>
    </row>
    <row r="20455" spans="3:3" x14ac:dyDescent="0.35">
      <c r="C20455" s="2"/>
    </row>
    <row r="20456" spans="3:3" x14ac:dyDescent="0.35">
      <c r="C20456" s="2"/>
    </row>
    <row r="20457" spans="3:3" x14ac:dyDescent="0.35">
      <c r="C20457" s="2"/>
    </row>
    <row r="20458" spans="3:3" x14ac:dyDescent="0.35">
      <c r="C20458" s="2"/>
    </row>
    <row r="20459" spans="3:3" x14ac:dyDescent="0.35">
      <c r="C20459" s="2"/>
    </row>
    <row r="20460" spans="3:3" x14ac:dyDescent="0.35">
      <c r="C20460" s="2"/>
    </row>
    <row r="20461" spans="3:3" x14ac:dyDescent="0.35">
      <c r="C20461" s="2"/>
    </row>
    <row r="20462" spans="3:3" x14ac:dyDescent="0.35">
      <c r="C20462" s="2"/>
    </row>
    <row r="20463" spans="3:3" x14ac:dyDescent="0.35">
      <c r="C20463" s="2"/>
    </row>
    <row r="20464" spans="3:3" x14ac:dyDescent="0.35">
      <c r="C20464" s="2"/>
    </row>
    <row r="20465" spans="3:3" x14ac:dyDescent="0.35">
      <c r="C20465" s="2"/>
    </row>
    <row r="20466" spans="3:3" x14ac:dyDescent="0.35">
      <c r="C20466" s="2"/>
    </row>
    <row r="20467" spans="3:3" x14ac:dyDescent="0.35">
      <c r="C20467" s="2"/>
    </row>
    <row r="20468" spans="3:3" x14ac:dyDescent="0.35">
      <c r="C20468" s="2"/>
    </row>
    <row r="20469" spans="3:3" x14ac:dyDescent="0.35">
      <c r="C20469" s="2"/>
    </row>
    <row r="20470" spans="3:3" x14ac:dyDescent="0.35">
      <c r="C20470" s="2"/>
    </row>
    <row r="20471" spans="3:3" x14ac:dyDescent="0.35">
      <c r="C20471" s="2"/>
    </row>
    <row r="20472" spans="3:3" x14ac:dyDescent="0.35">
      <c r="C20472" s="2"/>
    </row>
    <row r="20473" spans="3:3" x14ac:dyDescent="0.35">
      <c r="C20473" s="2"/>
    </row>
    <row r="20474" spans="3:3" x14ac:dyDescent="0.35">
      <c r="C20474" s="2"/>
    </row>
    <row r="20475" spans="3:3" x14ac:dyDescent="0.35">
      <c r="C20475" s="2"/>
    </row>
    <row r="20476" spans="3:3" x14ac:dyDescent="0.35">
      <c r="C20476" s="2"/>
    </row>
    <row r="20477" spans="3:3" x14ac:dyDescent="0.35">
      <c r="C20477" s="2"/>
    </row>
    <row r="20478" spans="3:3" x14ac:dyDescent="0.35">
      <c r="C20478" s="2"/>
    </row>
    <row r="20479" spans="3:3" x14ac:dyDescent="0.35">
      <c r="C20479" s="2"/>
    </row>
    <row r="20480" spans="3:3" x14ac:dyDescent="0.35">
      <c r="C20480" s="2"/>
    </row>
    <row r="20481" spans="3:3" x14ac:dyDescent="0.35">
      <c r="C20481" s="2"/>
    </row>
    <row r="20482" spans="3:3" x14ac:dyDescent="0.35">
      <c r="C20482" s="2"/>
    </row>
    <row r="20483" spans="3:3" x14ac:dyDescent="0.35">
      <c r="C20483" s="2"/>
    </row>
    <row r="20484" spans="3:3" x14ac:dyDescent="0.35">
      <c r="C20484" s="2"/>
    </row>
    <row r="20485" spans="3:3" x14ac:dyDescent="0.35">
      <c r="C20485" s="2"/>
    </row>
    <row r="20486" spans="3:3" x14ac:dyDescent="0.35">
      <c r="C20486" s="2"/>
    </row>
    <row r="20487" spans="3:3" x14ac:dyDescent="0.35">
      <c r="C20487" s="2"/>
    </row>
    <row r="20488" spans="3:3" x14ac:dyDescent="0.35">
      <c r="C20488" s="2"/>
    </row>
    <row r="20489" spans="3:3" x14ac:dyDescent="0.35">
      <c r="C20489" s="2"/>
    </row>
    <row r="20490" spans="3:3" x14ac:dyDescent="0.35">
      <c r="C20490" s="2"/>
    </row>
    <row r="20491" spans="3:3" x14ac:dyDescent="0.35">
      <c r="C20491" s="2"/>
    </row>
    <row r="20492" spans="3:3" x14ac:dyDescent="0.35">
      <c r="C20492" s="2"/>
    </row>
    <row r="20493" spans="3:3" x14ac:dyDescent="0.35">
      <c r="C20493" s="2"/>
    </row>
    <row r="20494" spans="3:3" x14ac:dyDescent="0.35">
      <c r="C20494" s="2"/>
    </row>
    <row r="20495" spans="3:3" x14ac:dyDescent="0.35">
      <c r="C20495" s="2"/>
    </row>
    <row r="20496" spans="3:3" x14ac:dyDescent="0.35">
      <c r="C20496" s="2"/>
    </row>
    <row r="20497" spans="3:3" x14ac:dyDescent="0.35">
      <c r="C20497" s="2"/>
    </row>
    <row r="20498" spans="3:3" x14ac:dyDescent="0.35">
      <c r="C20498" s="2"/>
    </row>
    <row r="20499" spans="3:3" x14ac:dyDescent="0.35">
      <c r="C20499" s="2"/>
    </row>
    <row r="20500" spans="3:3" x14ac:dyDescent="0.35">
      <c r="C20500" s="2"/>
    </row>
    <row r="20501" spans="3:3" x14ac:dyDescent="0.35">
      <c r="C20501" s="2"/>
    </row>
    <row r="20502" spans="3:3" x14ac:dyDescent="0.35">
      <c r="C20502" s="2"/>
    </row>
    <row r="20503" spans="3:3" x14ac:dyDescent="0.35">
      <c r="C20503" s="2"/>
    </row>
    <row r="20504" spans="3:3" x14ac:dyDescent="0.35">
      <c r="C20504" s="2"/>
    </row>
    <row r="20505" spans="3:3" x14ac:dyDescent="0.35">
      <c r="C20505" s="2"/>
    </row>
    <row r="20506" spans="3:3" x14ac:dyDescent="0.35">
      <c r="C20506" s="2"/>
    </row>
    <row r="20507" spans="3:3" x14ac:dyDescent="0.35">
      <c r="C20507" s="2"/>
    </row>
    <row r="20508" spans="3:3" x14ac:dyDescent="0.35">
      <c r="C20508" s="2"/>
    </row>
    <row r="20509" spans="3:3" x14ac:dyDescent="0.35">
      <c r="C20509" s="2"/>
    </row>
    <row r="20510" spans="3:3" x14ac:dyDescent="0.35">
      <c r="C20510" s="2"/>
    </row>
    <row r="20511" spans="3:3" x14ac:dyDescent="0.35">
      <c r="C20511" s="2"/>
    </row>
    <row r="20512" spans="3:3" x14ac:dyDescent="0.35">
      <c r="C20512" s="2"/>
    </row>
    <row r="20513" spans="3:3" x14ac:dyDescent="0.35">
      <c r="C20513" s="2"/>
    </row>
    <row r="20514" spans="3:3" x14ac:dyDescent="0.35">
      <c r="C20514" s="2"/>
    </row>
    <row r="20515" spans="3:3" x14ac:dyDescent="0.35">
      <c r="C20515" s="2"/>
    </row>
    <row r="20516" spans="3:3" x14ac:dyDescent="0.35">
      <c r="C20516" s="2"/>
    </row>
    <row r="20517" spans="3:3" x14ac:dyDescent="0.35">
      <c r="C20517" s="2"/>
    </row>
    <row r="20518" spans="3:3" x14ac:dyDescent="0.35">
      <c r="C20518" s="2"/>
    </row>
    <row r="20519" spans="3:3" x14ac:dyDescent="0.35">
      <c r="C20519" s="2"/>
    </row>
    <row r="20520" spans="3:3" x14ac:dyDescent="0.35">
      <c r="C20520" s="2"/>
    </row>
    <row r="20521" spans="3:3" x14ac:dyDescent="0.35">
      <c r="C20521" s="2"/>
    </row>
    <row r="20522" spans="3:3" x14ac:dyDescent="0.35">
      <c r="C20522" s="2"/>
    </row>
    <row r="20523" spans="3:3" x14ac:dyDescent="0.35">
      <c r="C20523" s="2"/>
    </row>
    <row r="20524" spans="3:3" x14ac:dyDescent="0.35">
      <c r="C20524" s="2"/>
    </row>
    <row r="20525" spans="3:3" x14ac:dyDescent="0.35">
      <c r="C20525" s="2"/>
    </row>
    <row r="20526" spans="3:3" x14ac:dyDescent="0.35">
      <c r="C20526" s="2"/>
    </row>
    <row r="20527" spans="3:3" x14ac:dyDescent="0.35">
      <c r="C20527" s="2"/>
    </row>
    <row r="20528" spans="3:3" x14ac:dyDescent="0.35">
      <c r="C20528" s="2"/>
    </row>
    <row r="20529" spans="3:3" x14ac:dyDescent="0.35">
      <c r="C20529" s="2"/>
    </row>
    <row r="20530" spans="3:3" x14ac:dyDescent="0.35">
      <c r="C20530" s="2"/>
    </row>
    <row r="20531" spans="3:3" x14ac:dyDescent="0.35">
      <c r="C20531" s="2"/>
    </row>
    <row r="20532" spans="3:3" x14ac:dyDescent="0.35">
      <c r="C20532" s="2"/>
    </row>
    <row r="20533" spans="3:3" x14ac:dyDescent="0.35">
      <c r="C20533" s="2"/>
    </row>
    <row r="20534" spans="3:3" x14ac:dyDescent="0.35">
      <c r="C20534" s="2"/>
    </row>
    <row r="20535" spans="3:3" x14ac:dyDescent="0.35">
      <c r="C20535" s="2"/>
    </row>
    <row r="20536" spans="3:3" x14ac:dyDescent="0.35">
      <c r="C20536" s="2"/>
    </row>
    <row r="20537" spans="3:3" x14ac:dyDescent="0.35">
      <c r="C20537" s="2"/>
    </row>
    <row r="20538" spans="3:3" x14ac:dyDescent="0.35">
      <c r="C20538" s="2"/>
    </row>
    <row r="20539" spans="3:3" x14ac:dyDescent="0.35">
      <c r="C20539" s="2"/>
    </row>
    <row r="20540" spans="3:3" x14ac:dyDescent="0.35">
      <c r="C20540" s="2"/>
    </row>
    <row r="20541" spans="3:3" x14ac:dyDescent="0.35">
      <c r="C20541" s="2"/>
    </row>
    <row r="20542" spans="3:3" x14ac:dyDescent="0.35">
      <c r="C20542" s="2"/>
    </row>
    <row r="20543" spans="3:3" x14ac:dyDescent="0.35">
      <c r="C20543" s="2"/>
    </row>
    <row r="20544" spans="3:3" x14ac:dyDescent="0.35">
      <c r="C20544" s="2"/>
    </row>
    <row r="20545" spans="3:3" x14ac:dyDescent="0.35">
      <c r="C20545" s="2"/>
    </row>
    <row r="20546" spans="3:3" x14ac:dyDescent="0.35">
      <c r="C20546" s="2"/>
    </row>
    <row r="20547" spans="3:3" x14ac:dyDescent="0.35">
      <c r="C20547" s="2"/>
    </row>
    <row r="20548" spans="3:3" x14ac:dyDescent="0.35">
      <c r="C20548" s="2"/>
    </row>
    <row r="20549" spans="3:3" x14ac:dyDescent="0.35">
      <c r="C20549" s="2"/>
    </row>
    <row r="20550" spans="3:3" x14ac:dyDescent="0.35">
      <c r="C20550" s="2"/>
    </row>
    <row r="20551" spans="3:3" x14ac:dyDescent="0.35">
      <c r="C20551" s="2"/>
    </row>
    <row r="20552" spans="3:3" x14ac:dyDescent="0.35">
      <c r="C20552" s="2"/>
    </row>
    <row r="20553" spans="3:3" x14ac:dyDescent="0.35">
      <c r="C20553" s="2"/>
    </row>
    <row r="20554" spans="3:3" x14ac:dyDescent="0.35">
      <c r="C20554" s="2"/>
    </row>
    <row r="20555" spans="3:3" x14ac:dyDescent="0.35">
      <c r="C20555" s="2"/>
    </row>
    <row r="20556" spans="3:3" x14ac:dyDescent="0.35">
      <c r="C20556" s="2"/>
    </row>
    <row r="20557" spans="3:3" x14ac:dyDescent="0.35">
      <c r="C20557" s="2"/>
    </row>
    <row r="20558" spans="3:3" x14ac:dyDescent="0.35">
      <c r="C20558" s="2"/>
    </row>
    <row r="20559" spans="3:3" x14ac:dyDescent="0.35">
      <c r="C20559" s="2"/>
    </row>
    <row r="20560" spans="3:3" x14ac:dyDescent="0.35">
      <c r="C20560" s="2"/>
    </row>
    <row r="20561" spans="3:3" x14ac:dyDescent="0.35">
      <c r="C20561" s="2"/>
    </row>
    <row r="20562" spans="3:3" x14ac:dyDescent="0.35">
      <c r="C20562" s="2"/>
    </row>
    <row r="20563" spans="3:3" x14ac:dyDescent="0.35">
      <c r="C20563" s="2"/>
    </row>
    <row r="20564" spans="3:3" x14ac:dyDescent="0.35">
      <c r="C20564" s="2"/>
    </row>
    <row r="20565" spans="3:3" x14ac:dyDescent="0.35">
      <c r="C20565" s="2"/>
    </row>
    <row r="20566" spans="3:3" x14ac:dyDescent="0.35">
      <c r="C20566" s="2"/>
    </row>
    <row r="20567" spans="3:3" x14ac:dyDescent="0.35">
      <c r="C20567" s="2"/>
    </row>
    <row r="20568" spans="3:3" x14ac:dyDescent="0.35">
      <c r="C20568" s="2"/>
    </row>
    <row r="20569" spans="3:3" x14ac:dyDescent="0.35">
      <c r="C20569" s="2"/>
    </row>
    <row r="20570" spans="3:3" x14ac:dyDescent="0.35">
      <c r="C20570" s="2"/>
    </row>
    <row r="20571" spans="3:3" x14ac:dyDescent="0.35">
      <c r="C20571" s="2"/>
    </row>
    <row r="20572" spans="3:3" x14ac:dyDescent="0.35">
      <c r="C20572" s="2"/>
    </row>
    <row r="20573" spans="3:3" x14ac:dyDescent="0.35">
      <c r="C20573" s="2"/>
    </row>
    <row r="20574" spans="3:3" x14ac:dyDescent="0.35">
      <c r="C20574" s="2"/>
    </row>
    <row r="20575" spans="3:3" x14ac:dyDescent="0.35">
      <c r="C20575" s="2"/>
    </row>
    <row r="20576" spans="3:3" x14ac:dyDescent="0.35">
      <c r="C20576" s="2"/>
    </row>
    <row r="20577" spans="3:3" x14ac:dyDescent="0.35">
      <c r="C20577" s="2"/>
    </row>
    <row r="20578" spans="3:3" x14ac:dyDescent="0.35">
      <c r="C20578" s="2"/>
    </row>
    <row r="20579" spans="3:3" x14ac:dyDescent="0.35">
      <c r="C20579" s="2"/>
    </row>
    <row r="20580" spans="3:3" x14ac:dyDescent="0.35">
      <c r="C20580" s="2"/>
    </row>
    <row r="20581" spans="3:3" x14ac:dyDescent="0.35">
      <c r="C20581" s="2"/>
    </row>
    <row r="20582" spans="3:3" x14ac:dyDescent="0.35">
      <c r="C20582" s="2"/>
    </row>
    <row r="20583" spans="3:3" x14ac:dyDescent="0.35">
      <c r="C20583" s="2"/>
    </row>
    <row r="20584" spans="3:3" x14ac:dyDescent="0.35">
      <c r="C20584" s="2"/>
    </row>
    <row r="20585" spans="3:3" x14ac:dyDescent="0.35">
      <c r="C20585" s="2"/>
    </row>
    <row r="20586" spans="3:3" x14ac:dyDescent="0.35">
      <c r="C20586" s="2"/>
    </row>
    <row r="20587" spans="3:3" x14ac:dyDescent="0.35">
      <c r="C20587" s="2"/>
    </row>
    <row r="20588" spans="3:3" x14ac:dyDescent="0.35">
      <c r="C20588" s="2"/>
    </row>
    <row r="20589" spans="3:3" x14ac:dyDescent="0.35">
      <c r="C20589" s="2"/>
    </row>
    <row r="20590" spans="3:3" x14ac:dyDescent="0.35">
      <c r="C20590" s="2"/>
    </row>
    <row r="20591" spans="3:3" x14ac:dyDescent="0.35">
      <c r="C20591" s="2"/>
    </row>
    <row r="20592" spans="3:3" x14ac:dyDescent="0.35">
      <c r="C20592" s="2"/>
    </row>
    <row r="20593" spans="3:3" x14ac:dyDescent="0.35">
      <c r="C20593" s="2"/>
    </row>
    <row r="20594" spans="3:3" x14ac:dyDescent="0.35">
      <c r="C20594" s="2"/>
    </row>
    <row r="20595" spans="3:3" x14ac:dyDescent="0.35">
      <c r="C20595" s="2"/>
    </row>
    <row r="20596" spans="3:3" x14ac:dyDescent="0.35">
      <c r="C20596" s="2"/>
    </row>
    <row r="20597" spans="3:3" x14ac:dyDescent="0.35">
      <c r="C20597" s="2"/>
    </row>
    <row r="20598" spans="3:3" x14ac:dyDescent="0.35">
      <c r="C20598" s="2"/>
    </row>
    <row r="20599" spans="3:3" x14ac:dyDescent="0.35">
      <c r="C20599" s="2"/>
    </row>
    <row r="20600" spans="3:3" x14ac:dyDescent="0.35">
      <c r="C20600" s="2"/>
    </row>
    <row r="20601" spans="3:3" x14ac:dyDescent="0.35">
      <c r="C20601" s="2"/>
    </row>
    <row r="20602" spans="3:3" x14ac:dyDescent="0.35">
      <c r="C20602" s="2"/>
    </row>
    <row r="20603" spans="3:3" x14ac:dyDescent="0.35">
      <c r="C20603" s="2"/>
    </row>
    <row r="20604" spans="3:3" x14ac:dyDescent="0.35">
      <c r="C20604" s="2"/>
    </row>
    <row r="20605" spans="3:3" x14ac:dyDescent="0.35">
      <c r="C20605" s="2"/>
    </row>
    <row r="20606" spans="3:3" x14ac:dyDescent="0.35">
      <c r="C20606" s="2"/>
    </row>
    <row r="20607" spans="3:3" x14ac:dyDescent="0.35">
      <c r="C20607" s="2"/>
    </row>
    <row r="20608" spans="3:3" x14ac:dyDescent="0.35">
      <c r="C20608" s="2"/>
    </row>
    <row r="20609" spans="3:3" x14ac:dyDescent="0.35">
      <c r="C20609" s="2"/>
    </row>
    <row r="20610" spans="3:3" x14ac:dyDescent="0.35">
      <c r="C20610" s="2"/>
    </row>
    <row r="20611" spans="3:3" x14ac:dyDescent="0.35">
      <c r="C20611" s="2"/>
    </row>
    <row r="20612" spans="3:3" x14ac:dyDescent="0.35">
      <c r="C20612" s="2"/>
    </row>
    <row r="20613" spans="3:3" x14ac:dyDescent="0.35">
      <c r="C20613" s="2"/>
    </row>
    <row r="20614" spans="3:3" x14ac:dyDescent="0.35">
      <c r="C20614" s="2"/>
    </row>
    <row r="20615" spans="3:3" x14ac:dyDescent="0.35">
      <c r="C20615" s="2"/>
    </row>
    <row r="20616" spans="3:3" x14ac:dyDescent="0.35">
      <c r="C20616" s="2"/>
    </row>
    <row r="20617" spans="3:3" x14ac:dyDescent="0.35">
      <c r="C20617" s="2"/>
    </row>
    <row r="20618" spans="3:3" x14ac:dyDescent="0.35">
      <c r="C20618" s="2"/>
    </row>
    <row r="20619" spans="3:3" x14ac:dyDescent="0.35">
      <c r="C20619" s="2"/>
    </row>
    <row r="20620" spans="3:3" x14ac:dyDescent="0.35">
      <c r="C20620" s="2"/>
    </row>
    <row r="20621" spans="3:3" x14ac:dyDescent="0.35">
      <c r="C20621" s="2"/>
    </row>
    <row r="20622" spans="3:3" x14ac:dyDescent="0.35">
      <c r="C20622" s="2"/>
    </row>
    <row r="20623" spans="3:3" x14ac:dyDescent="0.35">
      <c r="C20623" s="2"/>
    </row>
    <row r="20624" spans="3:3" x14ac:dyDescent="0.35">
      <c r="C20624" s="2"/>
    </row>
    <row r="20625" spans="3:3" x14ac:dyDescent="0.35">
      <c r="C20625" s="2"/>
    </row>
    <row r="20626" spans="3:3" x14ac:dyDescent="0.35">
      <c r="C20626" s="2"/>
    </row>
    <row r="20627" spans="3:3" x14ac:dyDescent="0.35">
      <c r="C20627" s="2"/>
    </row>
    <row r="20628" spans="3:3" x14ac:dyDescent="0.35">
      <c r="C20628" s="2"/>
    </row>
    <row r="20629" spans="3:3" x14ac:dyDescent="0.35">
      <c r="C20629" s="2"/>
    </row>
    <row r="20630" spans="3:3" x14ac:dyDescent="0.35">
      <c r="C20630" s="2"/>
    </row>
    <row r="20631" spans="3:3" x14ac:dyDescent="0.35">
      <c r="C20631" s="2"/>
    </row>
    <row r="20632" spans="3:3" x14ac:dyDescent="0.35">
      <c r="C20632" s="2"/>
    </row>
    <row r="20633" spans="3:3" x14ac:dyDescent="0.35">
      <c r="C20633" s="2"/>
    </row>
    <row r="20634" spans="3:3" x14ac:dyDescent="0.35">
      <c r="C20634" s="2"/>
    </row>
    <row r="20635" spans="3:3" x14ac:dyDescent="0.35">
      <c r="C20635" s="2"/>
    </row>
    <row r="20636" spans="3:3" x14ac:dyDescent="0.35">
      <c r="C20636" s="2"/>
    </row>
    <row r="20637" spans="3:3" x14ac:dyDescent="0.35">
      <c r="C20637" s="2"/>
    </row>
    <row r="20638" spans="3:3" x14ac:dyDescent="0.35">
      <c r="C20638" s="2"/>
    </row>
    <row r="20639" spans="3:3" x14ac:dyDescent="0.35">
      <c r="C20639" s="2"/>
    </row>
    <row r="20640" spans="3:3" x14ac:dyDescent="0.35">
      <c r="C20640" s="2"/>
    </row>
    <row r="20641" spans="3:3" x14ac:dyDescent="0.35">
      <c r="C20641" s="2"/>
    </row>
    <row r="20642" spans="3:3" x14ac:dyDescent="0.35">
      <c r="C20642" s="2"/>
    </row>
    <row r="20643" spans="3:3" x14ac:dyDescent="0.35">
      <c r="C20643" s="2"/>
    </row>
    <row r="20644" spans="3:3" x14ac:dyDescent="0.35">
      <c r="C20644" s="2"/>
    </row>
    <row r="20645" spans="3:3" x14ac:dyDescent="0.35">
      <c r="C20645" s="2"/>
    </row>
    <row r="20646" spans="3:3" x14ac:dyDescent="0.35">
      <c r="C20646" s="2"/>
    </row>
    <row r="20647" spans="3:3" x14ac:dyDescent="0.35">
      <c r="C20647" s="2"/>
    </row>
    <row r="20648" spans="3:3" x14ac:dyDescent="0.35">
      <c r="C20648" s="2"/>
    </row>
    <row r="20649" spans="3:3" x14ac:dyDescent="0.35">
      <c r="C20649" s="2"/>
    </row>
    <row r="20650" spans="3:3" x14ac:dyDescent="0.35">
      <c r="C20650" s="2"/>
    </row>
    <row r="20651" spans="3:3" x14ac:dyDescent="0.35">
      <c r="C20651" s="2"/>
    </row>
    <row r="20652" spans="3:3" x14ac:dyDescent="0.35">
      <c r="C20652" s="2"/>
    </row>
    <row r="20653" spans="3:3" x14ac:dyDescent="0.35">
      <c r="C20653" s="2"/>
    </row>
    <row r="20654" spans="3:3" x14ac:dyDescent="0.35">
      <c r="C20654" s="2"/>
    </row>
    <row r="20655" spans="3:3" x14ac:dyDescent="0.35">
      <c r="C20655" s="2"/>
    </row>
    <row r="20656" spans="3:3" x14ac:dyDescent="0.35">
      <c r="C20656" s="2"/>
    </row>
    <row r="20657" spans="3:3" x14ac:dyDescent="0.35">
      <c r="C20657" s="2"/>
    </row>
    <row r="20658" spans="3:3" x14ac:dyDescent="0.35">
      <c r="C20658" s="2"/>
    </row>
    <row r="20659" spans="3:3" x14ac:dyDescent="0.35">
      <c r="C20659" s="2"/>
    </row>
    <row r="20660" spans="3:3" x14ac:dyDescent="0.35">
      <c r="C20660" s="2"/>
    </row>
    <row r="20661" spans="3:3" x14ac:dyDescent="0.35">
      <c r="C20661" s="2"/>
    </row>
    <row r="20662" spans="3:3" x14ac:dyDescent="0.35">
      <c r="C20662" s="2"/>
    </row>
    <row r="20663" spans="3:3" x14ac:dyDescent="0.35">
      <c r="C20663" s="2"/>
    </row>
    <row r="20664" spans="3:3" x14ac:dyDescent="0.35">
      <c r="C20664" s="2"/>
    </row>
    <row r="20665" spans="3:3" x14ac:dyDescent="0.35">
      <c r="C20665" s="2"/>
    </row>
    <row r="20666" spans="3:3" x14ac:dyDescent="0.35">
      <c r="C20666" s="2"/>
    </row>
    <row r="20667" spans="3:3" x14ac:dyDescent="0.35">
      <c r="C20667" s="2"/>
    </row>
    <row r="20668" spans="3:3" x14ac:dyDescent="0.35">
      <c r="C20668" s="2"/>
    </row>
    <row r="20669" spans="3:3" x14ac:dyDescent="0.35">
      <c r="C20669" s="2"/>
    </row>
    <row r="20670" spans="3:3" x14ac:dyDescent="0.35">
      <c r="C20670" s="2"/>
    </row>
    <row r="20671" spans="3:3" x14ac:dyDescent="0.35">
      <c r="C20671" s="2"/>
    </row>
    <row r="20672" spans="3:3" x14ac:dyDescent="0.35">
      <c r="C20672" s="2"/>
    </row>
    <row r="20673" spans="3:3" x14ac:dyDescent="0.35">
      <c r="C20673" s="2"/>
    </row>
    <row r="20674" spans="3:3" x14ac:dyDescent="0.35">
      <c r="C20674" s="2"/>
    </row>
    <row r="20675" spans="3:3" x14ac:dyDescent="0.35">
      <c r="C20675" s="2"/>
    </row>
    <row r="20676" spans="3:3" x14ac:dyDescent="0.35">
      <c r="C20676" s="2"/>
    </row>
    <row r="20677" spans="3:3" x14ac:dyDescent="0.35">
      <c r="C20677" s="2"/>
    </row>
    <row r="20678" spans="3:3" x14ac:dyDescent="0.35">
      <c r="C20678" s="2"/>
    </row>
    <row r="20679" spans="3:3" x14ac:dyDescent="0.35">
      <c r="C20679" s="2"/>
    </row>
    <row r="20680" spans="3:3" x14ac:dyDescent="0.35">
      <c r="C20680" s="2"/>
    </row>
    <row r="20681" spans="3:3" x14ac:dyDescent="0.35">
      <c r="C20681" s="2"/>
    </row>
    <row r="20682" spans="3:3" x14ac:dyDescent="0.35">
      <c r="C20682" s="2"/>
    </row>
    <row r="20683" spans="3:3" x14ac:dyDescent="0.35">
      <c r="C20683" s="2"/>
    </row>
    <row r="20684" spans="3:3" x14ac:dyDescent="0.35">
      <c r="C20684" s="2"/>
    </row>
    <row r="20685" spans="3:3" x14ac:dyDescent="0.35">
      <c r="C20685" s="2"/>
    </row>
    <row r="20686" spans="3:3" x14ac:dyDescent="0.35">
      <c r="C20686" s="2"/>
    </row>
    <row r="20687" spans="3:3" x14ac:dyDescent="0.35">
      <c r="C20687" s="2"/>
    </row>
    <row r="20688" spans="3:3" x14ac:dyDescent="0.35">
      <c r="C20688" s="2"/>
    </row>
    <row r="20689" spans="3:3" x14ac:dyDescent="0.35">
      <c r="C20689" s="2"/>
    </row>
    <row r="20690" spans="3:3" x14ac:dyDescent="0.35">
      <c r="C20690" s="2"/>
    </row>
    <row r="20691" spans="3:3" x14ac:dyDescent="0.35">
      <c r="C20691" s="2"/>
    </row>
    <row r="20692" spans="3:3" x14ac:dyDescent="0.35">
      <c r="C20692" s="2"/>
    </row>
    <row r="20693" spans="3:3" x14ac:dyDescent="0.35">
      <c r="C20693" s="2"/>
    </row>
    <row r="20694" spans="3:3" x14ac:dyDescent="0.35">
      <c r="C20694" s="2"/>
    </row>
    <row r="20695" spans="3:3" x14ac:dyDescent="0.35">
      <c r="C20695" s="2"/>
    </row>
    <row r="20696" spans="3:3" x14ac:dyDescent="0.35">
      <c r="C20696" s="2"/>
    </row>
    <row r="20697" spans="3:3" x14ac:dyDescent="0.35">
      <c r="C20697" s="2"/>
    </row>
    <row r="20698" spans="3:3" x14ac:dyDescent="0.35">
      <c r="C20698" s="2"/>
    </row>
    <row r="20699" spans="3:3" x14ac:dyDescent="0.35">
      <c r="C20699" s="2"/>
    </row>
    <row r="20700" spans="3:3" x14ac:dyDescent="0.35">
      <c r="C20700" s="2"/>
    </row>
    <row r="20701" spans="3:3" x14ac:dyDescent="0.35">
      <c r="C20701" s="2"/>
    </row>
    <row r="20702" spans="3:3" x14ac:dyDescent="0.35">
      <c r="C20702" s="2"/>
    </row>
    <row r="20703" spans="3:3" x14ac:dyDescent="0.35">
      <c r="C20703" s="2"/>
    </row>
    <row r="20704" spans="3:3" x14ac:dyDescent="0.35">
      <c r="C20704" s="2"/>
    </row>
    <row r="20705" spans="3:3" x14ac:dyDescent="0.35">
      <c r="C20705" s="2"/>
    </row>
    <row r="20706" spans="3:3" x14ac:dyDescent="0.35">
      <c r="C20706" s="2"/>
    </row>
    <row r="20707" spans="3:3" x14ac:dyDescent="0.35">
      <c r="C20707" s="2"/>
    </row>
    <row r="20708" spans="3:3" x14ac:dyDescent="0.35">
      <c r="C20708" s="2"/>
    </row>
    <row r="20709" spans="3:3" x14ac:dyDescent="0.35">
      <c r="C20709" s="2"/>
    </row>
    <row r="20710" spans="3:3" x14ac:dyDescent="0.35">
      <c r="C20710" s="2"/>
    </row>
    <row r="20711" spans="3:3" x14ac:dyDescent="0.35">
      <c r="C20711" s="2"/>
    </row>
    <row r="20712" spans="3:3" x14ac:dyDescent="0.35">
      <c r="C20712" s="2"/>
    </row>
    <row r="20713" spans="3:3" x14ac:dyDescent="0.35">
      <c r="C20713" s="2"/>
    </row>
    <row r="20714" spans="3:3" x14ac:dyDescent="0.35">
      <c r="C20714" s="2"/>
    </row>
    <row r="20715" spans="3:3" x14ac:dyDescent="0.35">
      <c r="C20715" s="2"/>
    </row>
    <row r="20716" spans="3:3" x14ac:dyDescent="0.35">
      <c r="C20716" s="2"/>
    </row>
    <row r="20717" spans="3:3" x14ac:dyDescent="0.35">
      <c r="C20717" s="2"/>
    </row>
    <row r="20718" spans="3:3" x14ac:dyDescent="0.35">
      <c r="C20718" s="2"/>
    </row>
    <row r="20719" spans="3:3" x14ac:dyDescent="0.35">
      <c r="C20719" s="2"/>
    </row>
    <row r="20720" spans="3:3" x14ac:dyDescent="0.35">
      <c r="C20720" s="2"/>
    </row>
    <row r="20721" spans="3:3" x14ac:dyDescent="0.35">
      <c r="C20721" s="2"/>
    </row>
    <row r="20722" spans="3:3" x14ac:dyDescent="0.35">
      <c r="C20722" s="2"/>
    </row>
    <row r="20723" spans="3:3" x14ac:dyDescent="0.35">
      <c r="C20723" s="2"/>
    </row>
    <row r="20724" spans="3:3" x14ac:dyDescent="0.35">
      <c r="C20724" s="2"/>
    </row>
    <row r="20725" spans="3:3" x14ac:dyDescent="0.35">
      <c r="C20725" s="2"/>
    </row>
    <row r="20726" spans="3:3" x14ac:dyDescent="0.35">
      <c r="C20726" s="2"/>
    </row>
    <row r="20727" spans="3:3" x14ac:dyDescent="0.35">
      <c r="C20727" s="2"/>
    </row>
    <row r="20728" spans="3:3" x14ac:dyDescent="0.35">
      <c r="C20728" s="2"/>
    </row>
    <row r="20729" spans="3:3" x14ac:dyDescent="0.35">
      <c r="C20729" s="2"/>
    </row>
    <row r="20730" spans="3:3" x14ac:dyDescent="0.35">
      <c r="C20730" s="2"/>
    </row>
    <row r="20731" spans="3:3" x14ac:dyDescent="0.35">
      <c r="C20731" s="2"/>
    </row>
    <row r="20732" spans="3:3" x14ac:dyDescent="0.35">
      <c r="C20732" s="2"/>
    </row>
    <row r="20733" spans="3:3" x14ac:dyDescent="0.35">
      <c r="C20733" s="2"/>
    </row>
    <row r="20734" spans="3:3" x14ac:dyDescent="0.35">
      <c r="C20734" s="2"/>
    </row>
    <row r="20735" spans="3:3" x14ac:dyDescent="0.35">
      <c r="C20735" s="2"/>
    </row>
    <row r="20736" spans="3:3" x14ac:dyDescent="0.35">
      <c r="C20736" s="2"/>
    </row>
    <row r="20737" spans="3:3" x14ac:dyDescent="0.35">
      <c r="C20737" s="2"/>
    </row>
    <row r="20738" spans="3:3" x14ac:dyDescent="0.35">
      <c r="C20738" s="2"/>
    </row>
    <row r="20739" spans="3:3" x14ac:dyDescent="0.35">
      <c r="C20739" s="2"/>
    </row>
    <row r="20740" spans="3:3" x14ac:dyDescent="0.35">
      <c r="C20740" s="2"/>
    </row>
    <row r="20741" spans="3:3" x14ac:dyDescent="0.35">
      <c r="C20741" s="2"/>
    </row>
    <row r="20742" spans="3:3" x14ac:dyDescent="0.35">
      <c r="C20742" s="2"/>
    </row>
    <row r="20743" spans="3:3" x14ac:dyDescent="0.35">
      <c r="C20743" s="2"/>
    </row>
    <row r="20744" spans="3:3" x14ac:dyDescent="0.35">
      <c r="C20744" s="2"/>
    </row>
    <row r="20745" spans="3:3" x14ac:dyDescent="0.35">
      <c r="C20745" s="2"/>
    </row>
    <row r="20746" spans="3:3" x14ac:dyDescent="0.35">
      <c r="C20746" s="2"/>
    </row>
    <row r="20747" spans="3:3" x14ac:dyDescent="0.35">
      <c r="C20747" s="2"/>
    </row>
    <row r="20748" spans="3:3" x14ac:dyDescent="0.35">
      <c r="C20748" s="2"/>
    </row>
    <row r="20749" spans="3:3" x14ac:dyDescent="0.35">
      <c r="C20749" s="2"/>
    </row>
    <row r="20750" spans="3:3" x14ac:dyDescent="0.35">
      <c r="C20750" s="2"/>
    </row>
    <row r="20751" spans="3:3" x14ac:dyDescent="0.35">
      <c r="C20751" s="2"/>
    </row>
    <row r="20752" spans="3:3" x14ac:dyDescent="0.35">
      <c r="C20752" s="2"/>
    </row>
    <row r="20753" spans="3:3" x14ac:dyDescent="0.35">
      <c r="C20753" s="2"/>
    </row>
    <row r="20754" spans="3:3" x14ac:dyDescent="0.35">
      <c r="C20754" s="2"/>
    </row>
    <row r="20755" spans="3:3" x14ac:dyDescent="0.35">
      <c r="C20755" s="2"/>
    </row>
    <row r="20756" spans="3:3" x14ac:dyDescent="0.35">
      <c r="C20756" s="2"/>
    </row>
    <row r="20757" spans="3:3" x14ac:dyDescent="0.35">
      <c r="C20757" s="2"/>
    </row>
    <row r="20758" spans="3:3" x14ac:dyDescent="0.35">
      <c r="C20758" s="2"/>
    </row>
    <row r="20759" spans="3:3" x14ac:dyDescent="0.35">
      <c r="C20759" s="2"/>
    </row>
    <row r="20760" spans="3:3" x14ac:dyDescent="0.35">
      <c r="C20760" s="2"/>
    </row>
    <row r="20761" spans="3:3" x14ac:dyDescent="0.35">
      <c r="C20761" s="2"/>
    </row>
    <row r="20762" spans="3:3" x14ac:dyDescent="0.35">
      <c r="C20762" s="2"/>
    </row>
    <row r="20763" spans="3:3" x14ac:dyDescent="0.35">
      <c r="C20763" s="2"/>
    </row>
    <row r="20764" spans="3:3" x14ac:dyDescent="0.35">
      <c r="C20764" s="2"/>
    </row>
    <row r="20765" spans="3:3" x14ac:dyDescent="0.35">
      <c r="C20765" s="2"/>
    </row>
    <row r="20766" spans="3:3" x14ac:dyDescent="0.35">
      <c r="C20766" s="2"/>
    </row>
    <row r="20767" spans="3:3" x14ac:dyDescent="0.35">
      <c r="C20767" s="2"/>
    </row>
    <row r="20768" spans="3:3" x14ac:dyDescent="0.35">
      <c r="C20768" s="2"/>
    </row>
    <row r="20769" spans="3:3" x14ac:dyDescent="0.35">
      <c r="C20769" s="2"/>
    </row>
    <row r="20770" spans="3:3" x14ac:dyDescent="0.35">
      <c r="C20770" s="2"/>
    </row>
    <row r="20771" spans="3:3" x14ac:dyDescent="0.35">
      <c r="C20771" s="2"/>
    </row>
    <row r="20772" spans="3:3" x14ac:dyDescent="0.35">
      <c r="C20772" s="2"/>
    </row>
    <row r="20773" spans="3:3" x14ac:dyDescent="0.35">
      <c r="C20773" s="2"/>
    </row>
    <row r="20774" spans="3:3" x14ac:dyDescent="0.35">
      <c r="C20774" s="2"/>
    </row>
    <row r="20775" spans="3:3" x14ac:dyDescent="0.35">
      <c r="C20775" s="2"/>
    </row>
    <row r="20776" spans="3:3" x14ac:dyDescent="0.35">
      <c r="C20776" s="2"/>
    </row>
    <row r="20777" spans="3:3" x14ac:dyDescent="0.35">
      <c r="C20777" s="2"/>
    </row>
    <row r="20778" spans="3:3" x14ac:dyDescent="0.35">
      <c r="C20778" s="2"/>
    </row>
    <row r="20779" spans="3:3" x14ac:dyDescent="0.35">
      <c r="C20779" s="2"/>
    </row>
    <row r="20780" spans="3:3" x14ac:dyDescent="0.35">
      <c r="C20780" s="2"/>
    </row>
    <row r="20781" spans="3:3" x14ac:dyDescent="0.35">
      <c r="C20781" s="2"/>
    </row>
    <row r="20782" spans="3:3" x14ac:dyDescent="0.35">
      <c r="C20782" s="2"/>
    </row>
    <row r="20783" spans="3:3" x14ac:dyDescent="0.35">
      <c r="C20783" s="2"/>
    </row>
    <row r="20784" spans="3:3" x14ac:dyDescent="0.35">
      <c r="C20784" s="2"/>
    </row>
    <row r="20785" spans="3:3" x14ac:dyDescent="0.35">
      <c r="C20785" s="2"/>
    </row>
    <row r="20786" spans="3:3" x14ac:dyDescent="0.35">
      <c r="C20786" s="2"/>
    </row>
    <row r="20787" spans="3:3" x14ac:dyDescent="0.35">
      <c r="C20787" s="2"/>
    </row>
    <row r="20788" spans="3:3" x14ac:dyDescent="0.35">
      <c r="C20788" s="2"/>
    </row>
    <row r="20789" spans="3:3" x14ac:dyDescent="0.35">
      <c r="C20789" s="2"/>
    </row>
    <row r="20790" spans="3:3" x14ac:dyDescent="0.35">
      <c r="C20790" s="2"/>
    </row>
    <row r="20791" spans="3:3" x14ac:dyDescent="0.35">
      <c r="C20791" s="2"/>
    </row>
    <row r="20792" spans="3:3" x14ac:dyDescent="0.35">
      <c r="C20792" s="2"/>
    </row>
    <row r="20793" spans="3:3" x14ac:dyDescent="0.35">
      <c r="C20793" s="2"/>
    </row>
    <row r="20794" spans="3:3" x14ac:dyDescent="0.35">
      <c r="C20794" s="2"/>
    </row>
    <row r="20795" spans="3:3" x14ac:dyDescent="0.35">
      <c r="C20795" s="2"/>
    </row>
    <row r="20796" spans="3:3" x14ac:dyDescent="0.35">
      <c r="C20796" s="2"/>
    </row>
    <row r="20797" spans="3:3" x14ac:dyDescent="0.35">
      <c r="C20797" s="2"/>
    </row>
    <row r="20798" spans="3:3" x14ac:dyDescent="0.35">
      <c r="C20798" s="2"/>
    </row>
    <row r="20799" spans="3:3" x14ac:dyDescent="0.35">
      <c r="C20799" s="2"/>
    </row>
    <row r="20800" spans="3:3" x14ac:dyDescent="0.35">
      <c r="C20800" s="2"/>
    </row>
    <row r="20801" spans="3:3" x14ac:dyDescent="0.35">
      <c r="C20801" s="2"/>
    </row>
    <row r="20802" spans="3:3" x14ac:dyDescent="0.35">
      <c r="C20802" s="2"/>
    </row>
    <row r="20803" spans="3:3" x14ac:dyDescent="0.35">
      <c r="C20803" s="2"/>
    </row>
    <row r="20804" spans="3:3" x14ac:dyDescent="0.35">
      <c r="C20804" s="2"/>
    </row>
    <row r="20805" spans="3:3" x14ac:dyDescent="0.35">
      <c r="C20805" s="2"/>
    </row>
    <row r="20806" spans="3:3" x14ac:dyDescent="0.35">
      <c r="C20806" s="2"/>
    </row>
    <row r="20807" spans="3:3" x14ac:dyDescent="0.35">
      <c r="C20807" s="2"/>
    </row>
    <row r="20808" spans="3:3" x14ac:dyDescent="0.35">
      <c r="C20808" s="2"/>
    </row>
    <row r="20809" spans="3:3" x14ac:dyDescent="0.35">
      <c r="C20809" s="2"/>
    </row>
    <row r="20810" spans="3:3" x14ac:dyDescent="0.35">
      <c r="C20810" s="2"/>
    </row>
    <row r="20811" spans="3:3" x14ac:dyDescent="0.35">
      <c r="C20811" s="2"/>
    </row>
    <row r="20812" spans="3:3" x14ac:dyDescent="0.35">
      <c r="C20812" s="2"/>
    </row>
    <row r="20813" spans="3:3" x14ac:dyDescent="0.35">
      <c r="C20813" s="2"/>
    </row>
    <row r="20814" spans="3:3" x14ac:dyDescent="0.35">
      <c r="C20814" s="2"/>
    </row>
    <row r="20815" spans="3:3" x14ac:dyDescent="0.35">
      <c r="C20815" s="2"/>
    </row>
    <row r="20816" spans="3:3" x14ac:dyDescent="0.35">
      <c r="C20816" s="2"/>
    </row>
    <row r="20817" spans="3:3" x14ac:dyDescent="0.35">
      <c r="C20817" s="2"/>
    </row>
    <row r="20818" spans="3:3" x14ac:dyDescent="0.35">
      <c r="C20818" s="2"/>
    </row>
    <row r="20819" spans="3:3" x14ac:dyDescent="0.35">
      <c r="C20819" s="2"/>
    </row>
    <row r="20820" spans="3:3" x14ac:dyDescent="0.35">
      <c r="C20820" s="2"/>
    </row>
    <row r="20821" spans="3:3" x14ac:dyDescent="0.35">
      <c r="C20821" s="2"/>
    </row>
    <row r="20822" spans="3:3" x14ac:dyDescent="0.35">
      <c r="C20822" s="2"/>
    </row>
    <row r="20823" spans="3:3" x14ac:dyDescent="0.35">
      <c r="C20823" s="2"/>
    </row>
    <row r="20824" spans="3:3" x14ac:dyDescent="0.35">
      <c r="C20824" s="2"/>
    </row>
    <row r="20825" spans="3:3" x14ac:dyDescent="0.35">
      <c r="C20825" s="2"/>
    </row>
    <row r="20826" spans="3:3" x14ac:dyDescent="0.35">
      <c r="C20826" s="2"/>
    </row>
    <row r="20827" spans="3:3" x14ac:dyDescent="0.35">
      <c r="C20827" s="2"/>
    </row>
    <row r="20828" spans="3:3" x14ac:dyDescent="0.35">
      <c r="C20828" s="2"/>
    </row>
    <row r="20829" spans="3:3" x14ac:dyDescent="0.35">
      <c r="C20829" s="2"/>
    </row>
    <row r="20830" spans="3:3" x14ac:dyDescent="0.35">
      <c r="C20830" s="2"/>
    </row>
    <row r="20831" spans="3:3" x14ac:dyDescent="0.35">
      <c r="C20831" s="2"/>
    </row>
    <row r="20832" spans="3:3" x14ac:dyDescent="0.35">
      <c r="C20832" s="2"/>
    </row>
    <row r="20833" spans="3:3" x14ac:dyDescent="0.35">
      <c r="C20833" s="2"/>
    </row>
    <row r="20834" spans="3:3" x14ac:dyDescent="0.35">
      <c r="C20834" s="2"/>
    </row>
    <row r="20835" spans="3:3" x14ac:dyDescent="0.35">
      <c r="C20835" s="2"/>
    </row>
    <row r="20836" spans="3:3" x14ac:dyDescent="0.35">
      <c r="C20836" s="2"/>
    </row>
    <row r="20837" spans="3:3" x14ac:dyDescent="0.35">
      <c r="C20837" s="2"/>
    </row>
    <row r="20838" spans="3:3" x14ac:dyDescent="0.35">
      <c r="C20838" s="2"/>
    </row>
    <row r="20839" spans="3:3" x14ac:dyDescent="0.35">
      <c r="C20839" s="2"/>
    </row>
    <row r="20840" spans="3:3" x14ac:dyDescent="0.35">
      <c r="C20840" s="2"/>
    </row>
    <row r="20841" spans="3:3" x14ac:dyDescent="0.35">
      <c r="C20841" s="2"/>
    </row>
    <row r="20842" spans="3:3" x14ac:dyDescent="0.35">
      <c r="C20842" s="2"/>
    </row>
    <row r="20843" spans="3:3" x14ac:dyDescent="0.35">
      <c r="C20843" s="2"/>
    </row>
    <row r="20844" spans="3:3" x14ac:dyDescent="0.35">
      <c r="C20844" s="2"/>
    </row>
    <row r="20845" spans="3:3" x14ac:dyDescent="0.35">
      <c r="C20845" s="2"/>
    </row>
    <row r="20846" spans="3:3" x14ac:dyDescent="0.35">
      <c r="C20846" s="2"/>
    </row>
    <row r="20847" spans="3:3" x14ac:dyDescent="0.35">
      <c r="C20847" s="2"/>
    </row>
    <row r="20848" spans="3:3" x14ac:dyDescent="0.35">
      <c r="C20848" s="2"/>
    </row>
    <row r="20849" spans="3:3" x14ac:dyDescent="0.35">
      <c r="C20849" s="2"/>
    </row>
    <row r="20850" spans="3:3" x14ac:dyDescent="0.35">
      <c r="C20850" s="2"/>
    </row>
    <row r="20851" spans="3:3" x14ac:dyDescent="0.35">
      <c r="C20851" s="2"/>
    </row>
    <row r="20852" spans="3:3" x14ac:dyDescent="0.35">
      <c r="C20852" s="2"/>
    </row>
    <row r="20853" spans="3:3" x14ac:dyDescent="0.35">
      <c r="C20853" s="2"/>
    </row>
    <row r="20854" spans="3:3" x14ac:dyDescent="0.35">
      <c r="C20854" s="2"/>
    </row>
    <row r="20855" spans="3:3" x14ac:dyDescent="0.35">
      <c r="C20855" s="2"/>
    </row>
    <row r="20856" spans="3:3" x14ac:dyDescent="0.35">
      <c r="C20856" s="2"/>
    </row>
    <row r="20857" spans="3:3" x14ac:dyDescent="0.35">
      <c r="C20857" s="2"/>
    </row>
    <row r="20858" spans="3:3" x14ac:dyDescent="0.35">
      <c r="C20858" s="2"/>
    </row>
    <row r="20859" spans="3:3" x14ac:dyDescent="0.35">
      <c r="C20859" s="2"/>
    </row>
    <row r="20860" spans="3:3" x14ac:dyDescent="0.35">
      <c r="C20860" s="2"/>
    </row>
    <row r="20861" spans="3:3" x14ac:dyDescent="0.35">
      <c r="C20861" s="2"/>
    </row>
    <row r="20862" spans="3:3" x14ac:dyDescent="0.35">
      <c r="C20862" s="2"/>
    </row>
    <row r="20863" spans="3:3" x14ac:dyDescent="0.35">
      <c r="C20863" s="2"/>
    </row>
    <row r="20864" spans="3:3" x14ac:dyDescent="0.35">
      <c r="C20864" s="2"/>
    </row>
    <row r="20865" spans="3:3" x14ac:dyDescent="0.35">
      <c r="C20865" s="2"/>
    </row>
    <row r="20866" spans="3:3" x14ac:dyDescent="0.35">
      <c r="C20866" s="2"/>
    </row>
    <row r="20867" spans="3:3" x14ac:dyDescent="0.35">
      <c r="C20867" s="2"/>
    </row>
    <row r="20868" spans="3:3" x14ac:dyDescent="0.35">
      <c r="C20868" s="2"/>
    </row>
    <row r="20869" spans="3:3" x14ac:dyDescent="0.35">
      <c r="C20869" s="2"/>
    </row>
    <row r="20870" spans="3:3" x14ac:dyDescent="0.35">
      <c r="C20870" s="2"/>
    </row>
    <row r="20871" spans="3:3" x14ac:dyDescent="0.35">
      <c r="C20871" s="2"/>
    </row>
    <row r="20872" spans="3:3" x14ac:dyDescent="0.35">
      <c r="C20872" s="2"/>
    </row>
    <row r="20873" spans="3:3" x14ac:dyDescent="0.35">
      <c r="C20873" s="2"/>
    </row>
    <row r="20874" spans="3:3" x14ac:dyDescent="0.35">
      <c r="C20874" s="2"/>
    </row>
    <row r="20875" spans="3:3" x14ac:dyDescent="0.35">
      <c r="C20875" s="2"/>
    </row>
    <row r="20876" spans="3:3" x14ac:dyDescent="0.35">
      <c r="C20876" s="2"/>
    </row>
    <row r="20877" spans="3:3" x14ac:dyDescent="0.35">
      <c r="C20877" s="2"/>
    </row>
    <row r="20878" spans="3:3" x14ac:dyDescent="0.35">
      <c r="C20878" s="2"/>
    </row>
    <row r="20879" spans="3:3" x14ac:dyDescent="0.35">
      <c r="C20879" s="2"/>
    </row>
    <row r="20880" spans="3:3" x14ac:dyDescent="0.35">
      <c r="C20880" s="2"/>
    </row>
    <row r="20881" spans="3:3" x14ac:dyDescent="0.35">
      <c r="C20881" s="2"/>
    </row>
    <row r="20882" spans="3:3" x14ac:dyDescent="0.35">
      <c r="C20882" s="2"/>
    </row>
    <row r="20883" spans="3:3" x14ac:dyDescent="0.35">
      <c r="C20883" s="2"/>
    </row>
    <row r="20884" spans="3:3" x14ac:dyDescent="0.35">
      <c r="C20884" s="2"/>
    </row>
    <row r="20885" spans="3:3" x14ac:dyDescent="0.35">
      <c r="C20885" s="2"/>
    </row>
    <row r="20886" spans="3:3" x14ac:dyDescent="0.35">
      <c r="C20886" s="2"/>
    </row>
    <row r="20887" spans="3:3" x14ac:dyDescent="0.35">
      <c r="C20887" s="2"/>
    </row>
    <row r="20888" spans="3:3" x14ac:dyDescent="0.35">
      <c r="C20888" s="2"/>
    </row>
    <row r="20889" spans="3:3" x14ac:dyDescent="0.35">
      <c r="C20889" s="2"/>
    </row>
    <row r="20890" spans="3:3" x14ac:dyDescent="0.35">
      <c r="C20890" s="2"/>
    </row>
    <row r="20891" spans="3:3" x14ac:dyDescent="0.35">
      <c r="C20891" s="2"/>
    </row>
    <row r="20892" spans="3:3" x14ac:dyDescent="0.35">
      <c r="C20892" s="2"/>
    </row>
    <row r="20893" spans="3:3" x14ac:dyDescent="0.35">
      <c r="C20893" s="2"/>
    </row>
    <row r="20894" spans="3:3" x14ac:dyDescent="0.35">
      <c r="C20894" s="2"/>
    </row>
    <row r="20895" spans="3:3" x14ac:dyDescent="0.35">
      <c r="C20895" s="2"/>
    </row>
    <row r="20896" spans="3:3" x14ac:dyDescent="0.35">
      <c r="C20896" s="2"/>
    </row>
    <row r="20897" spans="3:3" x14ac:dyDescent="0.35">
      <c r="C20897" s="2"/>
    </row>
    <row r="20898" spans="3:3" x14ac:dyDescent="0.35">
      <c r="C20898" s="2"/>
    </row>
    <row r="20899" spans="3:3" x14ac:dyDescent="0.35">
      <c r="C20899" s="2"/>
    </row>
    <row r="20900" spans="3:3" x14ac:dyDescent="0.35">
      <c r="C20900" s="2"/>
    </row>
    <row r="20901" spans="3:3" x14ac:dyDescent="0.35">
      <c r="C20901" s="2"/>
    </row>
    <row r="20902" spans="3:3" x14ac:dyDescent="0.35">
      <c r="C20902" s="2"/>
    </row>
    <row r="20903" spans="3:3" x14ac:dyDescent="0.35">
      <c r="C20903" s="2"/>
    </row>
    <row r="20904" spans="3:3" x14ac:dyDescent="0.35">
      <c r="C20904" s="2"/>
    </row>
    <row r="20905" spans="3:3" x14ac:dyDescent="0.35">
      <c r="C20905" s="2"/>
    </row>
    <row r="20906" spans="3:3" x14ac:dyDescent="0.35">
      <c r="C20906" s="2"/>
    </row>
    <row r="20907" spans="3:3" x14ac:dyDescent="0.35">
      <c r="C20907" s="2"/>
    </row>
    <row r="20908" spans="3:3" x14ac:dyDescent="0.35">
      <c r="C20908" s="2"/>
    </row>
    <row r="20909" spans="3:3" x14ac:dyDescent="0.35">
      <c r="C20909" s="2"/>
    </row>
    <row r="20910" spans="3:3" x14ac:dyDescent="0.35">
      <c r="C20910" s="2"/>
    </row>
    <row r="20911" spans="3:3" x14ac:dyDescent="0.35">
      <c r="C20911" s="2"/>
    </row>
    <row r="20912" spans="3:3" x14ac:dyDescent="0.35">
      <c r="C20912" s="2"/>
    </row>
    <row r="20913" spans="3:3" x14ac:dyDescent="0.35">
      <c r="C20913" s="2"/>
    </row>
    <row r="20914" spans="3:3" x14ac:dyDescent="0.35">
      <c r="C20914" s="2"/>
    </row>
    <row r="20915" spans="3:3" x14ac:dyDescent="0.35">
      <c r="C20915" s="2"/>
    </row>
    <row r="20916" spans="3:3" x14ac:dyDescent="0.35">
      <c r="C20916" s="2"/>
    </row>
    <row r="20917" spans="3:3" x14ac:dyDescent="0.35">
      <c r="C20917" s="2"/>
    </row>
    <row r="20918" spans="3:3" x14ac:dyDescent="0.35">
      <c r="C20918" s="2"/>
    </row>
    <row r="20919" spans="3:3" x14ac:dyDescent="0.35">
      <c r="C20919" s="2"/>
    </row>
    <row r="20920" spans="3:3" x14ac:dyDescent="0.35">
      <c r="C20920" s="2"/>
    </row>
    <row r="20921" spans="3:3" x14ac:dyDescent="0.35">
      <c r="C20921" s="2"/>
    </row>
    <row r="20922" spans="3:3" x14ac:dyDescent="0.35">
      <c r="C20922" s="2"/>
    </row>
    <row r="20923" spans="3:3" x14ac:dyDescent="0.35">
      <c r="C20923" s="2"/>
    </row>
    <row r="20924" spans="3:3" x14ac:dyDescent="0.35">
      <c r="C20924" s="2"/>
    </row>
    <row r="20925" spans="3:3" x14ac:dyDescent="0.35">
      <c r="C20925" s="2"/>
    </row>
    <row r="20926" spans="3:3" x14ac:dyDescent="0.35">
      <c r="C20926" s="2"/>
    </row>
    <row r="20927" spans="3:3" x14ac:dyDescent="0.35">
      <c r="C20927" s="2"/>
    </row>
    <row r="20928" spans="3:3" x14ac:dyDescent="0.35">
      <c r="C20928" s="2"/>
    </row>
    <row r="20929" spans="3:3" x14ac:dyDescent="0.35">
      <c r="C20929" s="2"/>
    </row>
    <row r="20930" spans="3:3" x14ac:dyDescent="0.35">
      <c r="C20930" s="2"/>
    </row>
    <row r="20931" spans="3:3" x14ac:dyDescent="0.35">
      <c r="C20931" s="2"/>
    </row>
    <row r="20932" spans="3:3" x14ac:dyDescent="0.35">
      <c r="C20932" s="2"/>
    </row>
    <row r="20933" spans="3:3" x14ac:dyDescent="0.35">
      <c r="C20933" s="2"/>
    </row>
    <row r="20934" spans="3:3" x14ac:dyDescent="0.35">
      <c r="C20934" s="2"/>
    </row>
    <row r="20935" spans="3:3" x14ac:dyDescent="0.35">
      <c r="C20935" s="2"/>
    </row>
    <row r="20936" spans="3:3" x14ac:dyDescent="0.35">
      <c r="C20936" s="2"/>
    </row>
    <row r="20937" spans="3:3" x14ac:dyDescent="0.35">
      <c r="C20937" s="2"/>
    </row>
    <row r="20938" spans="3:3" x14ac:dyDescent="0.35">
      <c r="C20938" s="2"/>
    </row>
    <row r="20939" spans="3:3" x14ac:dyDescent="0.35">
      <c r="C20939" s="2"/>
    </row>
    <row r="20940" spans="3:3" x14ac:dyDescent="0.35">
      <c r="C20940" s="2"/>
    </row>
    <row r="20941" spans="3:3" x14ac:dyDescent="0.35">
      <c r="C20941" s="2"/>
    </row>
    <row r="20942" spans="3:3" x14ac:dyDescent="0.35">
      <c r="C20942" s="2"/>
    </row>
    <row r="20943" spans="3:3" x14ac:dyDescent="0.35">
      <c r="C20943" s="2"/>
    </row>
    <row r="20944" spans="3:3" x14ac:dyDescent="0.35">
      <c r="C20944" s="2"/>
    </row>
    <row r="20945" spans="3:3" x14ac:dyDescent="0.35">
      <c r="C20945" s="2"/>
    </row>
    <row r="20946" spans="3:3" x14ac:dyDescent="0.35">
      <c r="C20946" s="2"/>
    </row>
    <row r="20947" spans="3:3" x14ac:dyDescent="0.35">
      <c r="C20947" s="2"/>
    </row>
    <row r="20948" spans="3:3" x14ac:dyDescent="0.35">
      <c r="C20948" s="2"/>
    </row>
    <row r="20949" spans="3:3" x14ac:dyDescent="0.35">
      <c r="C20949" s="2"/>
    </row>
    <row r="20950" spans="3:3" x14ac:dyDescent="0.35">
      <c r="C20950" s="2"/>
    </row>
    <row r="20951" spans="3:3" x14ac:dyDescent="0.35">
      <c r="C20951" s="2"/>
    </row>
    <row r="20952" spans="3:3" x14ac:dyDescent="0.35">
      <c r="C20952" s="2"/>
    </row>
    <row r="20953" spans="3:3" x14ac:dyDescent="0.35">
      <c r="C20953" s="2"/>
    </row>
    <row r="20954" spans="3:3" x14ac:dyDescent="0.35">
      <c r="C20954" s="2"/>
    </row>
    <row r="20955" spans="3:3" x14ac:dyDescent="0.35">
      <c r="C20955" s="2"/>
    </row>
    <row r="20956" spans="3:3" x14ac:dyDescent="0.35">
      <c r="C20956" s="2"/>
    </row>
    <row r="20957" spans="3:3" x14ac:dyDescent="0.35">
      <c r="C20957" s="2"/>
    </row>
    <row r="20958" spans="3:3" x14ac:dyDescent="0.35">
      <c r="C20958" s="2"/>
    </row>
    <row r="20959" spans="3:3" x14ac:dyDescent="0.35">
      <c r="C20959" s="2"/>
    </row>
    <row r="20960" spans="3:3" x14ac:dyDescent="0.35">
      <c r="C20960" s="2"/>
    </row>
    <row r="20961" spans="3:3" x14ac:dyDescent="0.35">
      <c r="C20961" s="2"/>
    </row>
    <row r="20962" spans="3:3" x14ac:dyDescent="0.35">
      <c r="C20962" s="2"/>
    </row>
    <row r="20963" spans="3:3" x14ac:dyDescent="0.35">
      <c r="C20963" s="2"/>
    </row>
    <row r="20964" spans="3:3" x14ac:dyDescent="0.35">
      <c r="C20964" s="2"/>
    </row>
    <row r="20965" spans="3:3" x14ac:dyDescent="0.35">
      <c r="C20965" s="2"/>
    </row>
    <row r="20966" spans="3:3" x14ac:dyDescent="0.35">
      <c r="C20966" s="2"/>
    </row>
    <row r="20967" spans="3:3" x14ac:dyDescent="0.35">
      <c r="C20967" s="2"/>
    </row>
    <row r="20968" spans="3:3" x14ac:dyDescent="0.35">
      <c r="C20968" s="2"/>
    </row>
    <row r="20969" spans="3:3" x14ac:dyDescent="0.35">
      <c r="C20969" s="2"/>
    </row>
    <row r="20970" spans="3:3" x14ac:dyDescent="0.35">
      <c r="C20970" s="2"/>
    </row>
    <row r="20971" spans="3:3" x14ac:dyDescent="0.35">
      <c r="C20971" s="2"/>
    </row>
    <row r="20972" spans="3:3" x14ac:dyDescent="0.35">
      <c r="C20972" s="2"/>
    </row>
    <row r="20973" spans="3:3" x14ac:dyDescent="0.35">
      <c r="C20973" s="2"/>
    </row>
    <row r="20974" spans="3:3" x14ac:dyDescent="0.35">
      <c r="C20974" s="2"/>
    </row>
    <row r="20975" spans="3:3" x14ac:dyDescent="0.35">
      <c r="C20975" s="2"/>
    </row>
    <row r="20976" spans="3:3" x14ac:dyDescent="0.35">
      <c r="C20976" s="2"/>
    </row>
    <row r="20977" spans="3:3" x14ac:dyDescent="0.35">
      <c r="C20977" s="2"/>
    </row>
    <row r="20978" spans="3:3" x14ac:dyDescent="0.35">
      <c r="C20978" s="2"/>
    </row>
    <row r="20979" spans="3:3" x14ac:dyDescent="0.35">
      <c r="C20979" s="2"/>
    </row>
    <row r="20980" spans="3:3" x14ac:dyDescent="0.35">
      <c r="C20980" s="2"/>
    </row>
    <row r="20981" spans="3:3" x14ac:dyDescent="0.35">
      <c r="C20981" s="2"/>
    </row>
    <row r="20982" spans="3:3" x14ac:dyDescent="0.35">
      <c r="C20982" s="2"/>
    </row>
    <row r="20983" spans="3:3" x14ac:dyDescent="0.35">
      <c r="C20983" s="2"/>
    </row>
    <row r="20984" spans="3:3" x14ac:dyDescent="0.35">
      <c r="C20984" s="2"/>
    </row>
    <row r="20985" spans="3:3" x14ac:dyDescent="0.35">
      <c r="C20985" s="2"/>
    </row>
    <row r="20986" spans="3:3" x14ac:dyDescent="0.35">
      <c r="C20986" s="2"/>
    </row>
    <row r="20987" spans="3:3" x14ac:dyDescent="0.35">
      <c r="C20987" s="2"/>
    </row>
    <row r="20988" spans="3:3" x14ac:dyDescent="0.35">
      <c r="C20988" s="2"/>
    </row>
    <row r="20989" spans="3:3" x14ac:dyDescent="0.35">
      <c r="C20989" s="2"/>
    </row>
    <row r="20990" spans="3:3" x14ac:dyDescent="0.35">
      <c r="C20990" s="2"/>
    </row>
    <row r="20991" spans="3:3" x14ac:dyDescent="0.35">
      <c r="C20991" s="2"/>
    </row>
    <row r="20992" spans="3:3" x14ac:dyDescent="0.35">
      <c r="C20992" s="2"/>
    </row>
    <row r="20993" spans="3:3" x14ac:dyDescent="0.35">
      <c r="C20993" s="2"/>
    </row>
    <row r="20994" spans="3:3" x14ac:dyDescent="0.35">
      <c r="C20994" s="2"/>
    </row>
    <row r="20995" spans="3:3" x14ac:dyDescent="0.35">
      <c r="C20995" s="2"/>
    </row>
    <row r="20996" spans="3:3" x14ac:dyDescent="0.35">
      <c r="C20996" s="2"/>
    </row>
    <row r="20997" spans="3:3" x14ac:dyDescent="0.35">
      <c r="C20997" s="2"/>
    </row>
    <row r="20998" spans="3:3" x14ac:dyDescent="0.35">
      <c r="C20998" s="2"/>
    </row>
    <row r="20999" spans="3:3" x14ac:dyDescent="0.35">
      <c r="C20999" s="2"/>
    </row>
    <row r="21000" spans="3:3" x14ac:dyDescent="0.35">
      <c r="C21000" s="2"/>
    </row>
    <row r="21001" spans="3:3" x14ac:dyDescent="0.35">
      <c r="C21001" s="2"/>
    </row>
    <row r="21002" spans="3:3" x14ac:dyDescent="0.35">
      <c r="C21002" s="2"/>
    </row>
    <row r="21003" spans="3:3" x14ac:dyDescent="0.35">
      <c r="C21003" s="2"/>
    </row>
    <row r="21004" spans="3:3" x14ac:dyDescent="0.35">
      <c r="C21004" s="2"/>
    </row>
    <row r="21005" spans="3:3" x14ac:dyDescent="0.35">
      <c r="C21005" s="2"/>
    </row>
    <row r="21006" spans="3:3" x14ac:dyDescent="0.35">
      <c r="C21006" s="2"/>
    </row>
    <row r="21007" spans="3:3" x14ac:dyDescent="0.35">
      <c r="C21007" s="2"/>
    </row>
    <row r="21008" spans="3:3" x14ac:dyDescent="0.35">
      <c r="C21008" s="2"/>
    </row>
    <row r="21009" spans="3:3" x14ac:dyDescent="0.35">
      <c r="C21009" s="2"/>
    </row>
    <row r="21010" spans="3:3" x14ac:dyDescent="0.35">
      <c r="C21010" s="2"/>
    </row>
    <row r="21011" spans="3:3" x14ac:dyDescent="0.35">
      <c r="C21011" s="2"/>
    </row>
    <row r="21012" spans="3:3" x14ac:dyDescent="0.35">
      <c r="C21012" s="2"/>
    </row>
    <row r="21013" spans="3:3" x14ac:dyDescent="0.35">
      <c r="C21013" s="2"/>
    </row>
    <row r="21014" spans="3:3" x14ac:dyDescent="0.35">
      <c r="C21014" s="2"/>
    </row>
    <row r="21015" spans="3:3" x14ac:dyDescent="0.35">
      <c r="C21015" s="2"/>
    </row>
    <row r="21016" spans="3:3" x14ac:dyDescent="0.35">
      <c r="C21016" s="2"/>
    </row>
    <row r="21017" spans="3:3" x14ac:dyDescent="0.35">
      <c r="C21017" s="2"/>
    </row>
    <row r="21018" spans="3:3" x14ac:dyDescent="0.35">
      <c r="C21018" s="2"/>
    </row>
    <row r="21019" spans="3:3" x14ac:dyDescent="0.35">
      <c r="C21019" s="2"/>
    </row>
    <row r="21020" spans="3:3" x14ac:dyDescent="0.35">
      <c r="C21020" s="2"/>
    </row>
    <row r="21021" spans="3:3" x14ac:dyDescent="0.35">
      <c r="C21021" s="2"/>
    </row>
    <row r="21022" spans="3:3" x14ac:dyDescent="0.35">
      <c r="C21022" s="2"/>
    </row>
    <row r="21023" spans="3:3" x14ac:dyDescent="0.35">
      <c r="C21023" s="2"/>
    </row>
    <row r="21024" spans="3:3" x14ac:dyDescent="0.35">
      <c r="C21024" s="2"/>
    </row>
    <row r="21025" spans="3:3" x14ac:dyDescent="0.35">
      <c r="C21025" s="2"/>
    </row>
    <row r="21026" spans="3:3" x14ac:dyDescent="0.35">
      <c r="C21026" s="2"/>
    </row>
    <row r="21027" spans="3:3" x14ac:dyDescent="0.35">
      <c r="C21027" s="2"/>
    </row>
    <row r="21028" spans="3:3" x14ac:dyDescent="0.35">
      <c r="C21028" s="2"/>
    </row>
    <row r="21029" spans="3:3" x14ac:dyDescent="0.35">
      <c r="C21029" s="2"/>
    </row>
    <row r="21030" spans="3:3" x14ac:dyDescent="0.35">
      <c r="C21030" s="2"/>
    </row>
    <row r="21031" spans="3:3" x14ac:dyDescent="0.35">
      <c r="C21031" s="2"/>
    </row>
    <row r="21032" spans="3:3" x14ac:dyDescent="0.35">
      <c r="C21032" s="2"/>
    </row>
    <row r="21033" spans="3:3" x14ac:dyDescent="0.35">
      <c r="C21033" s="2"/>
    </row>
    <row r="21034" spans="3:3" x14ac:dyDescent="0.35">
      <c r="C21034" s="2"/>
    </row>
    <row r="21035" spans="3:3" x14ac:dyDescent="0.35">
      <c r="C21035" s="2"/>
    </row>
    <row r="21036" spans="3:3" x14ac:dyDescent="0.35">
      <c r="C21036" s="2"/>
    </row>
    <row r="21037" spans="3:3" x14ac:dyDescent="0.35">
      <c r="C21037" s="2"/>
    </row>
    <row r="21038" spans="3:3" x14ac:dyDescent="0.35">
      <c r="C21038" s="2"/>
    </row>
    <row r="21039" spans="3:3" x14ac:dyDescent="0.35">
      <c r="C21039" s="2"/>
    </row>
    <row r="21040" spans="3:3" x14ac:dyDescent="0.35">
      <c r="C21040" s="2"/>
    </row>
    <row r="21041" spans="3:3" x14ac:dyDescent="0.35">
      <c r="C21041" s="2"/>
    </row>
    <row r="21042" spans="3:3" x14ac:dyDescent="0.35">
      <c r="C21042" s="2"/>
    </row>
    <row r="21043" spans="3:3" x14ac:dyDescent="0.35">
      <c r="C21043" s="2"/>
    </row>
    <row r="21044" spans="3:3" x14ac:dyDescent="0.35">
      <c r="C21044" s="2"/>
    </row>
    <row r="21045" spans="3:3" x14ac:dyDescent="0.35">
      <c r="C21045" s="2"/>
    </row>
    <row r="21046" spans="3:3" x14ac:dyDescent="0.35">
      <c r="C21046" s="2"/>
    </row>
    <row r="21047" spans="3:3" x14ac:dyDescent="0.35">
      <c r="C21047" s="2"/>
    </row>
    <row r="21048" spans="3:3" x14ac:dyDescent="0.35">
      <c r="C21048" s="2"/>
    </row>
    <row r="21049" spans="3:3" x14ac:dyDescent="0.35">
      <c r="C21049" s="2"/>
    </row>
    <row r="21050" spans="3:3" x14ac:dyDescent="0.35">
      <c r="C21050" s="2"/>
    </row>
    <row r="21051" spans="3:3" x14ac:dyDescent="0.35">
      <c r="C21051" s="2"/>
    </row>
    <row r="21052" spans="3:3" x14ac:dyDescent="0.35">
      <c r="C21052" s="2"/>
    </row>
    <row r="21053" spans="3:3" x14ac:dyDescent="0.35">
      <c r="C21053" s="2"/>
    </row>
    <row r="21054" spans="3:3" x14ac:dyDescent="0.35">
      <c r="C21054" s="2"/>
    </row>
    <row r="21055" spans="3:3" x14ac:dyDescent="0.35">
      <c r="C21055" s="2"/>
    </row>
    <row r="21056" spans="3:3" x14ac:dyDescent="0.35">
      <c r="C21056" s="2"/>
    </row>
    <row r="21057" spans="3:3" x14ac:dyDescent="0.35">
      <c r="C21057" s="2"/>
    </row>
    <row r="21058" spans="3:3" x14ac:dyDescent="0.35">
      <c r="C21058" s="2"/>
    </row>
    <row r="21059" spans="3:3" x14ac:dyDescent="0.35">
      <c r="C21059" s="2"/>
    </row>
    <row r="21060" spans="3:3" x14ac:dyDescent="0.35">
      <c r="C21060" s="2"/>
    </row>
    <row r="21061" spans="3:3" x14ac:dyDescent="0.35">
      <c r="C21061" s="2"/>
    </row>
    <row r="21062" spans="3:3" x14ac:dyDescent="0.35">
      <c r="C21062" s="2"/>
    </row>
    <row r="21063" spans="3:3" x14ac:dyDescent="0.35">
      <c r="C21063" s="2"/>
    </row>
    <row r="21064" spans="3:3" x14ac:dyDescent="0.35">
      <c r="C21064" s="2"/>
    </row>
    <row r="21065" spans="3:3" x14ac:dyDescent="0.35">
      <c r="C21065" s="2"/>
    </row>
    <row r="21066" spans="3:3" x14ac:dyDescent="0.35">
      <c r="C21066" s="2"/>
    </row>
    <row r="21067" spans="3:3" x14ac:dyDescent="0.35">
      <c r="C21067" s="2"/>
    </row>
    <row r="21068" spans="3:3" x14ac:dyDescent="0.35">
      <c r="C21068" s="2"/>
    </row>
    <row r="21069" spans="3:3" x14ac:dyDescent="0.35">
      <c r="C21069" s="2"/>
    </row>
    <row r="21070" spans="3:3" x14ac:dyDescent="0.35">
      <c r="C21070" s="2"/>
    </row>
    <row r="21071" spans="3:3" x14ac:dyDescent="0.35">
      <c r="C21071" s="2"/>
    </row>
    <row r="21072" spans="3:3" x14ac:dyDescent="0.35">
      <c r="C21072" s="2"/>
    </row>
    <row r="21073" spans="3:3" x14ac:dyDescent="0.35">
      <c r="C21073" s="2"/>
    </row>
    <row r="21074" spans="3:3" x14ac:dyDescent="0.35">
      <c r="C21074" s="2"/>
    </row>
    <row r="21075" spans="3:3" x14ac:dyDescent="0.35">
      <c r="C21075" s="2"/>
    </row>
    <row r="21076" spans="3:3" x14ac:dyDescent="0.35">
      <c r="C21076" s="2"/>
    </row>
    <row r="21077" spans="3:3" x14ac:dyDescent="0.35">
      <c r="C21077" s="2"/>
    </row>
    <row r="21078" spans="3:3" x14ac:dyDescent="0.35">
      <c r="C21078" s="2"/>
    </row>
    <row r="21079" spans="3:3" x14ac:dyDescent="0.35">
      <c r="C21079" s="2"/>
    </row>
    <row r="21080" spans="3:3" x14ac:dyDescent="0.35">
      <c r="C21080" s="2"/>
    </row>
    <row r="21081" spans="3:3" x14ac:dyDescent="0.35">
      <c r="C21081" s="2"/>
    </row>
    <row r="21082" spans="3:3" x14ac:dyDescent="0.35">
      <c r="C21082" s="2"/>
    </row>
    <row r="21083" spans="3:3" x14ac:dyDescent="0.35">
      <c r="C21083" s="2"/>
    </row>
    <row r="21084" spans="3:3" x14ac:dyDescent="0.35">
      <c r="C21084" s="2"/>
    </row>
    <row r="21085" spans="3:3" x14ac:dyDescent="0.35">
      <c r="C21085" s="2"/>
    </row>
    <row r="21086" spans="3:3" x14ac:dyDescent="0.35">
      <c r="C21086" s="2"/>
    </row>
    <row r="21087" spans="3:3" x14ac:dyDescent="0.35">
      <c r="C21087" s="2"/>
    </row>
    <row r="21088" spans="3:3" x14ac:dyDescent="0.35">
      <c r="C21088" s="2"/>
    </row>
    <row r="21089" spans="3:3" x14ac:dyDescent="0.35">
      <c r="C21089" s="2"/>
    </row>
    <row r="21090" spans="3:3" x14ac:dyDescent="0.35">
      <c r="C21090" s="2"/>
    </row>
    <row r="21091" spans="3:3" x14ac:dyDescent="0.35">
      <c r="C21091" s="2"/>
    </row>
    <row r="21092" spans="3:3" x14ac:dyDescent="0.35">
      <c r="C21092" s="2"/>
    </row>
    <row r="21093" spans="3:3" x14ac:dyDescent="0.35">
      <c r="C21093" s="2"/>
    </row>
    <row r="21094" spans="3:3" x14ac:dyDescent="0.35">
      <c r="C21094" s="2"/>
    </row>
    <row r="21095" spans="3:3" x14ac:dyDescent="0.35">
      <c r="C21095" s="2"/>
    </row>
    <row r="21096" spans="3:3" x14ac:dyDescent="0.35">
      <c r="C21096" s="2"/>
    </row>
    <row r="21097" spans="3:3" x14ac:dyDescent="0.35">
      <c r="C21097" s="2"/>
    </row>
    <row r="21098" spans="3:3" x14ac:dyDescent="0.35">
      <c r="C21098" s="2"/>
    </row>
    <row r="21099" spans="3:3" x14ac:dyDescent="0.35">
      <c r="C21099" s="2"/>
    </row>
    <row r="21100" spans="3:3" x14ac:dyDescent="0.35">
      <c r="C21100" s="2"/>
    </row>
    <row r="21101" spans="3:3" x14ac:dyDescent="0.35">
      <c r="C21101" s="2"/>
    </row>
    <row r="21102" spans="3:3" x14ac:dyDescent="0.35">
      <c r="C21102" s="2"/>
    </row>
    <row r="21103" spans="3:3" x14ac:dyDescent="0.35">
      <c r="C21103" s="2"/>
    </row>
    <row r="21104" spans="3:3" x14ac:dyDescent="0.35">
      <c r="C21104" s="2"/>
    </row>
    <row r="21105" spans="3:3" x14ac:dyDescent="0.35">
      <c r="C21105" s="2"/>
    </row>
    <row r="21106" spans="3:3" x14ac:dyDescent="0.35">
      <c r="C21106" s="2"/>
    </row>
    <row r="21107" spans="3:3" x14ac:dyDescent="0.35">
      <c r="C21107" s="2"/>
    </row>
    <row r="21108" spans="3:3" x14ac:dyDescent="0.35">
      <c r="C21108" s="2"/>
    </row>
    <row r="21109" spans="3:3" x14ac:dyDescent="0.35">
      <c r="C21109" s="2"/>
    </row>
    <row r="21110" spans="3:3" x14ac:dyDescent="0.35">
      <c r="C21110" s="2"/>
    </row>
    <row r="21111" spans="3:3" x14ac:dyDescent="0.35">
      <c r="C21111" s="2"/>
    </row>
    <row r="21112" spans="3:3" x14ac:dyDescent="0.35">
      <c r="C21112" s="2"/>
    </row>
    <row r="21113" spans="3:3" x14ac:dyDescent="0.35">
      <c r="C21113" s="2"/>
    </row>
    <row r="21114" spans="3:3" x14ac:dyDescent="0.35">
      <c r="C21114" s="2"/>
    </row>
    <row r="21115" spans="3:3" x14ac:dyDescent="0.35">
      <c r="C21115" s="2"/>
    </row>
    <row r="21116" spans="3:3" x14ac:dyDescent="0.35">
      <c r="C21116" s="2"/>
    </row>
    <row r="21117" spans="3:3" x14ac:dyDescent="0.35">
      <c r="C21117" s="2"/>
    </row>
    <row r="21118" spans="3:3" x14ac:dyDescent="0.35">
      <c r="C21118" s="2"/>
    </row>
    <row r="21119" spans="3:3" x14ac:dyDescent="0.35">
      <c r="C21119" s="2"/>
    </row>
    <row r="21120" spans="3:3" x14ac:dyDescent="0.35">
      <c r="C21120" s="2"/>
    </row>
    <row r="21121" spans="3:3" x14ac:dyDescent="0.35">
      <c r="C21121" s="2"/>
    </row>
    <row r="21122" spans="3:3" x14ac:dyDescent="0.35">
      <c r="C21122" s="2"/>
    </row>
    <row r="21123" spans="3:3" x14ac:dyDescent="0.35">
      <c r="C21123" s="2"/>
    </row>
    <row r="21124" spans="3:3" x14ac:dyDescent="0.35">
      <c r="C21124" s="2"/>
    </row>
    <row r="21125" spans="3:3" x14ac:dyDescent="0.35">
      <c r="C21125" s="2"/>
    </row>
    <row r="21126" spans="3:3" x14ac:dyDescent="0.35">
      <c r="C21126" s="2"/>
    </row>
    <row r="21127" spans="3:3" x14ac:dyDescent="0.35">
      <c r="C21127" s="2"/>
    </row>
    <row r="21128" spans="3:3" x14ac:dyDescent="0.35">
      <c r="C21128" s="2"/>
    </row>
    <row r="21129" spans="3:3" x14ac:dyDescent="0.35">
      <c r="C21129" s="2"/>
    </row>
    <row r="21130" spans="3:3" x14ac:dyDescent="0.35">
      <c r="C21130" s="2"/>
    </row>
    <row r="21131" spans="3:3" x14ac:dyDescent="0.35">
      <c r="C21131" s="2"/>
    </row>
    <row r="21132" spans="3:3" x14ac:dyDescent="0.35">
      <c r="C21132" s="2"/>
    </row>
    <row r="21133" spans="3:3" x14ac:dyDescent="0.35">
      <c r="C21133" s="2"/>
    </row>
    <row r="21134" spans="3:3" x14ac:dyDescent="0.35">
      <c r="C21134" s="2"/>
    </row>
    <row r="21135" spans="3:3" x14ac:dyDescent="0.35">
      <c r="C21135" s="2"/>
    </row>
    <row r="21136" spans="3:3" x14ac:dyDescent="0.35">
      <c r="C21136" s="2"/>
    </row>
    <row r="21137" spans="3:3" x14ac:dyDescent="0.35">
      <c r="C21137" s="2"/>
    </row>
    <row r="21138" spans="3:3" x14ac:dyDescent="0.35">
      <c r="C21138" s="2"/>
    </row>
    <row r="21139" spans="3:3" x14ac:dyDescent="0.35">
      <c r="C21139" s="2"/>
    </row>
    <row r="21140" spans="3:3" x14ac:dyDescent="0.35">
      <c r="C21140" s="2"/>
    </row>
    <row r="21141" spans="3:3" x14ac:dyDescent="0.35">
      <c r="C21141" s="2"/>
    </row>
    <row r="21142" spans="3:3" x14ac:dyDescent="0.35">
      <c r="C21142" s="2"/>
    </row>
    <row r="21143" spans="3:3" x14ac:dyDescent="0.35">
      <c r="C21143" s="2"/>
    </row>
    <row r="21144" spans="3:3" x14ac:dyDescent="0.35">
      <c r="C21144" s="2"/>
    </row>
    <row r="21145" spans="3:3" x14ac:dyDescent="0.35">
      <c r="C21145" s="2"/>
    </row>
    <row r="21146" spans="3:3" x14ac:dyDescent="0.35">
      <c r="C21146" s="2"/>
    </row>
    <row r="21147" spans="3:3" x14ac:dyDescent="0.35">
      <c r="C21147" s="2"/>
    </row>
    <row r="21148" spans="3:3" x14ac:dyDescent="0.35">
      <c r="C21148" s="2"/>
    </row>
    <row r="21149" spans="3:3" x14ac:dyDescent="0.35">
      <c r="C21149" s="2"/>
    </row>
    <row r="21150" spans="3:3" x14ac:dyDescent="0.35">
      <c r="C21150" s="2"/>
    </row>
    <row r="21151" spans="3:3" x14ac:dyDescent="0.35">
      <c r="C21151" s="2"/>
    </row>
    <row r="21152" spans="3:3" x14ac:dyDescent="0.35">
      <c r="C21152" s="2"/>
    </row>
    <row r="21153" spans="3:3" x14ac:dyDescent="0.35">
      <c r="C21153" s="2"/>
    </row>
    <row r="21154" spans="3:3" x14ac:dyDescent="0.35">
      <c r="C21154" s="2"/>
    </row>
    <row r="21155" spans="3:3" x14ac:dyDescent="0.35">
      <c r="C21155" s="2"/>
    </row>
    <row r="21156" spans="3:3" x14ac:dyDescent="0.35">
      <c r="C21156" s="2"/>
    </row>
    <row r="21157" spans="3:3" x14ac:dyDescent="0.35">
      <c r="C21157" s="2"/>
    </row>
    <row r="21158" spans="3:3" x14ac:dyDescent="0.35">
      <c r="C21158" s="2"/>
    </row>
    <row r="21159" spans="3:3" x14ac:dyDescent="0.35">
      <c r="C21159" s="2"/>
    </row>
    <row r="21160" spans="3:3" x14ac:dyDescent="0.35">
      <c r="C21160" s="2"/>
    </row>
    <row r="21161" spans="3:3" x14ac:dyDescent="0.35">
      <c r="C21161" s="2"/>
    </row>
    <row r="21162" spans="3:3" x14ac:dyDescent="0.35">
      <c r="C21162" s="2"/>
    </row>
    <row r="21163" spans="3:3" x14ac:dyDescent="0.35">
      <c r="C21163" s="2"/>
    </row>
    <row r="21164" spans="3:3" x14ac:dyDescent="0.35">
      <c r="C21164" s="2"/>
    </row>
    <row r="21165" spans="3:3" x14ac:dyDescent="0.35">
      <c r="C21165" s="2"/>
    </row>
    <row r="21166" spans="3:3" x14ac:dyDescent="0.35">
      <c r="C21166" s="2"/>
    </row>
    <row r="21167" spans="3:3" x14ac:dyDescent="0.35">
      <c r="C21167" s="2"/>
    </row>
    <row r="21168" spans="3:3" x14ac:dyDescent="0.35">
      <c r="C21168" s="2"/>
    </row>
    <row r="21169" spans="3:3" x14ac:dyDescent="0.35">
      <c r="C21169" s="2"/>
    </row>
    <row r="21170" spans="3:3" x14ac:dyDescent="0.35">
      <c r="C21170" s="2"/>
    </row>
    <row r="21171" spans="3:3" x14ac:dyDescent="0.35">
      <c r="C21171" s="2"/>
    </row>
    <row r="21172" spans="3:3" x14ac:dyDescent="0.35">
      <c r="C21172" s="2"/>
    </row>
    <row r="21173" spans="3:3" x14ac:dyDescent="0.35">
      <c r="C21173" s="2"/>
    </row>
    <row r="21174" spans="3:3" x14ac:dyDescent="0.35">
      <c r="C21174" s="2"/>
    </row>
    <row r="21175" spans="3:3" x14ac:dyDescent="0.35">
      <c r="C21175" s="2"/>
    </row>
    <row r="21176" spans="3:3" x14ac:dyDescent="0.35">
      <c r="C21176" s="2"/>
    </row>
    <row r="21177" spans="3:3" x14ac:dyDescent="0.35">
      <c r="C21177" s="2"/>
    </row>
    <row r="21178" spans="3:3" x14ac:dyDescent="0.35">
      <c r="C21178" s="2"/>
    </row>
    <row r="21179" spans="3:3" x14ac:dyDescent="0.35">
      <c r="C21179" s="2"/>
    </row>
    <row r="21180" spans="3:3" x14ac:dyDescent="0.35">
      <c r="C21180" s="2"/>
    </row>
    <row r="21181" spans="3:3" x14ac:dyDescent="0.35">
      <c r="C21181" s="2"/>
    </row>
    <row r="21182" spans="3:3" x14ac:dyDescent="0.35">
      <c r="C21182" s="2"/>
    </row>
    <row r="21183" spans="3:3" x14ac:dyDescent="0.35">
      <c r="C21183" s="2"/>
    </row>
    <row r="21184" spans="3:3" x14ac:dyDescent="0.35">
      <c r="C21184" s="2"/>
    </row>
    <row r="21185" spans="3:3" x14ac:dyDescent="0.35">
      <c r="C21185" s="2"/>
    </row>
    <row r="21186" spans="3:3" x14ac:dyDescent="0.35">
      <c r="C21186" s="2"/>
    </row>
    <row r="21187" spans="3:3" x14ac:dyDescent="0.35">
      <c r="C21187" s="2"/>
    </row>
    <row r="21188" spans="3:3" x14ac:dyDescent="0.35">
      <c r="C21188" s="2"/>
    </row>
    <row r="21189" spans="3:3" x14ac:dyDescent="0.35">
      <c r="C21189" s="2"/>
    </row>
    <row r="21190" spans="3:3" x14ac:dyDescent="0.35">
      <c r="C21190" s="2"/>
    </row>
    <row r="21191" spans="3:3" x14ac:dyDescent="0.35">
      <c r="C21191" s="2"/>
    </row>
    <row r="21192" spans="3:3" x14ac:dyDescent="0.35">
      <c r="C21192" s="2"/>
    </row>
    <row r="21193" spans="3:3" x14ac:dyDescent="0.35">
      <c r="C21193" s="2"/>
    </row>
    <row r="21194" spans="3:3" x14ac:dyDescent="0.35">
      <c r="C21194" s="2"/>
    </row>
    <row r="21195" spans="3:3" x14ac:dyDescent="0.35">
      <c r="C21195" s="2"/>
    </row>
    <row r="21196" spans="3:3" x14ac:dyDescent="0.35">
      <c r="C21196" s="2"/>
    </row>
    <row r="21197" spans="3:3" x14ac:dyDescent="0.35">
      <c r="C21197" s="2"/>
    </row>
    <row r="21198" spans="3:3" x14ac:dyDescent="0.35">
      <c r="C21198" s="2"/>
    </row>
    <row r="21199" spans="3:3" x14ac:dyDescent="0.35">
      <c r="C21199" s="2"/>
    </row>
    <row r="21200" spans="3:3" x14ac:dyDescent="0.35">
      <c r="C21200" s="2"/>
    </row>
    <row r="21201" spans="3:3" x14ac:dyDescent="0.35">
      <c r="C21201" s="2"/>
    </row>
    <row r="21202" spans="3:3" x14ac:dyDescent="0.35">
      <c r="C21202" s="2"/>
    </row>
    <row r="21203" spans="3:3" x14ac:dyDescent="0.35">
      <c r="C21203" s="2"/>
    </row>
    <row r="21204" spans="3:3" x14ac:dyDescent="0.35">
      <c r="C21204" s="2"/>
    </row>
    <row r="21205" spans="3:3" x14ac:dyDescent="0.35">
      <c r="C21205" s="2"/>
    </row>
    <row r="21206" spans="3:3" x14ac:dyDescent="0.35">
      <c r="C21206" s="2"/>
    </row>
    <row r="21207" spans="3:3" x14ac:dyDescent="0.35">
      <c r="C21207" s="2"/>
    </row>
    <row r="21208" spans="3:3" x14ac:dyDescent="0.35">
      <c r="C21208" s="2"/>
    </row>
    <row r="21209" spans="3:3" x14ac:dyDescent="0.35">
      <c r="C21209" s="2"/>
    </row>
    <row r="21210" spans="3:3" x14ac:dyDescent="0.35">
      <c r="C21210" s="2"/>
    </row>
    <row r="21211" spans="3:3" x14ac:dyDescent="0.35">
      <c r="C21211" s="2"/>
    </row>
    <row r="21212" spans="3:3" x14ac:dyDescent="0.35">
      <c r="C21212" s="2"/>
    </row>
    <row r="21213" spans="3:3" x14ac:dyDescent="0.35">
      <c r="C21213" s="2"/>
    </row>
    <row r="21214" spans="3:3" x14ac:dyDescent="0.35">
      <c r="C21214" s="2"/>
    </row>
    <row r="21215" spans="3:3" x14ac:dyDescent="0.35">
      <c r="C21215" s="2"/>
    </row>
    <row r="21216" spans="3:3" x14ac:dyDescent="0.35">
      <c r="C21216" s="2"/>
    </row>
    <row r="21217" spans="3:3" x14ac:dyDescent="0.35">
      <c r="C21217" s="2"/>
    </row>
    <row r="21218" spans="3:3" x14ac:dyDescent="0.35">
      <c r="C21218" s="2"/>
    </row>
    <row r="21219" spans="3:3" x14ac:dyDescent="0.35">
      <c r="C21219" s="2"/>
    </row>
    <row r="21220" spans="3:3" x14ac:dyDescent="0.35">
      <c r="C21220" s="2"/>
    </row>
    <row r="21221" spans="3:3" x14ac:dyDescent="0.35">
      <c r="C21221" s="2"/>
    </row>
    <row r="21222" spans="3:3" x14ac:dyDescent="0.35">
      <c r="C21222" s="2"/>
    </row>
    <row r="21223" spans="3:3" x14ac:dyDescent="0.35">
      <c r="C21223" s="2"/>
    </row>
    <row r="21224" spans="3:3" x14ac:dyDescent="0.35">
      <c r="C21224" s="2"/>
    </row>
    <row r="21225" spans="3:3" x14ac:dyDescent="0.35">
      <c r="C21225" s="2"/>
    </row>
    <row r="21226" spans="3:3" x14ac:dyDescent="0.35">
      <c r="C21226" s="2"/>
    </row>
    <row r="21227" spans="3:3" x14ac:dyDescent="0.35">
      <c r="C21227" s="2"/>
    </row>
    <row r="21228" spans="3:3" x14ac:dyDescent="0.35">
      <c r="C21228" s="2"/>
    </row>
    <row r="21229" spans="3:3" x14ac:dyDescent="0.35">
      <c r="C21229" s="2"/>
    </row>
    <row r="21230" spans="3:3" x14ac:dyDescent="0.35">
      <c r="C21230" s="2"/>
    </row>
    <row r="21231" spans="3:3" x14ac:dyDescent="0.35">
      <c r="C21231" s="2"/>
    </row>
    <row r="21232" spans="3:3" x14ac:dyDescent="0.35">
      <c r="C21232" s="2"/>
    </row>
    <row r="21233" spans="3:3" x14ac:dyDescent="0.35">
      <c r="C21233" s="2"/>
    </row>
    <row r="21234" spans="3:3" x14ac:dyDescent="0.35">
      <c r="C21234" s="2"/>
    </row>
    <row r="21235" spans="3:3" x14ac:dyDescent="0.35">
      <c r="C21235" s="2"/>
    </row>
    <row r="21236" spans="3:3" x14ac:dyDescent="0.35">
      <c r="C21236" s="2"/>
    </row>
    <row r="21237" spans="3:3" x14ac:dyDescent="0.35">
      <c r="C21237" s="2"/>
    </row>
    <row r="21238" spans="3:3" x14ac:dyDescent="0.35">
      <c r="C21238" s="2"/>
    </row>
    <row r="21239" spans="3:3" x14ac:dyDescent="0.35">
      <c r="C21239" s="2"/>
    </row>
    <row r="21240" spans="3:3" x14ac:dyDescent="0.35">
      <c r="C21240" s="2"/>
    </row>
    <row r="21241" spans="3:3" x14ac:dyDescent="0.35">
      <c r="C21241" s="2"/>
    </row>
    <row r="21242" spans="3:3" x14ac:dyDescent="0.35">
      <c r="C21242" s="2"/>
    </row>
    <row r="21243" spans="3:3" x14ac:dyDescent="0.35">
      <c r="C21243" s="2"/>
    </row>
    <row r="21244" spans="3:3" x14ac:dyDescent="0.35">
      <c r="C21244" s="2"/>
    </row>
    <row r="21245" spans="3:3" x14ac:dyDescent="0.35">
      <c r="C21245" s="2"/>
    </row>
    <row r="21246" spans="3:3" x14ac:dyDescent="0.35">
      <c r="C21246" s="2"/>
    </row>
    <row r="21247" spans="3:3" x14ac:dyDescent="0.35">
      <c r="C21247" s="2"/>
    </row>
    <row r="21248" spans="3:3" x14ac:dyDescent="0.35">
      <c r="C21248" s="2"/>
    </row>
    <row r="21249" spans="3:3" x14ac:dyDescent="0.35">
      <c r="C21249" s="2"/>
    </row>
    <row r="21250" spans="3:3" x14ac:dyDescent="0.35">
      <c r="C21250" s="2"/>
    </row>
    <row r="21251" spans="3:3" x14ac:dyDescent="0.35">
      <c r="C21251" s="2"/>
    </row>
    <row r="21252" spans="3:3" x14ac:dyDescent="0.35">
      <c r="C21252" s="2"/>
    </row>
    <row r="21253" spans="3:3" x14ac:dyDescent="0.35">
      <c r="C21253" s="2"/>
    </row>
    <row r="21254" spans="3:3" x14ac:dyDescent="0.35">
      <c r="C21254" s="2"/>
    </row>
    <row r="21255" spans="3:3" x14ac:dyDescent="0.35">
      <c r="C21255" s="2"/>
    </row>
    <row r="21256" spans="3:3" x14ac:dyDescent="0.35">
      <c r="C21256" s="2"/>
    </row>
    <row r="21257" spans="3:3" x14ac:dyDescent="0.35">
      <c r="C21257" s="2"/>
    </row>
    <row r="21258" spans="3:3" x14ac:dyDescent="0.35">
      <c r="C21258" s="2"/>
    </row>
    <row r="21259" spans="3:3" x14ac:dyDescent="0.35">
      <c r="C21259" s="2"/>
    </row>
    <row r="21260" spans="3:3" x14ac:dyDescent="0.35">
      <c r="C21260" s="2"/>
    </row>
    <row r="21261" spans="3:3" x14ac:dyDescent="0.35">
      <c r="C21261" s="2"/>
    </row>
    <row r="21262" spans="3:3" x14ac:dyDescent="0.35">
      <c r="C21262" s="2"/>
    </row>
    <row r="21263" spans="3:3" x14ac:dyDescent="0.35">
      <c r="C21263" s="2"/>
    </row>
    <row r="21264" spans="3:3" x14ac:dyDescent="0.35">
      <c r="C21264" s="2"/>
    </row>
    <row r="21265" spans="3:3" x14ac:dyDescent="0.35">
      <c r="C21265" s="2"/>
    </row>
    <row r="21266" spans="3:3" x14ac:dyDescent="0.35">
      <c r="C21266" s="2"/>
    </row>
    <row r="21267" spans="3:3" x14ac:dyDescent="0.35">
      <c r="C21267" s="2"/>
    </row>
    <row r="21268" spans="3:3" x14ac:dyDescent="0.35">
      <c r="C21268" s="2"/>
    </row>
    <row r="21269" spans="3:3" x14ac:dyDescent="0.35">
      <c r="C21269" s="2"/>
    </row>
    <row r="21270" spans="3:3" x14ac:dyDescent="0.35">
      <c r="C21270" s="2"/>
    </row>
    <row r="21271" spans="3:3" x14ac:dyDescent="0.35">
      <c r="C21271" s="2"/>
    </row>
    <row r="21272" spans="3:3" x14ac:dyDescent="0.35">
      <c r="C21272" s="2"/>
    </row>
    <row r="21273" spans="3:3" x14ac:dyDescent="0.35">
      <c r="C21273" s="2"/>
    </row>
    <row r="21274" spans="3:3" x14ac:dyDescent="0.35">
      <c r="C21274" s="2"/>
    </row>
    <row r="21275" spans="3:3" x14ac:dyDescent="0.35">
      <c r="C21275" s="2"/>
    </row>
    <row r="21276" spans="3:3" x14ac:dyDescent="0.35">
      <c r="C21276" s="2"/>
    </row>
    <row r="21277" spans="3:3" x14ac:dyDescent="0.35">
      <c r="C21277" s="2"/>
    </row>
    <row r="21278" spans="3:3" x14ac:dyDescent="0.35">
      <c r="C21278" s="2"/>
    </row>
    <row r="21279" spans="3:3" x14ac:dyDescent="0.35">
      <c r="C21279" s="2"/>
    </row>
    <row r="21280" spans="3:3" x14ac:dyDescent="0.35">
      <c r="C21280" s="2"/>
    </row>
    <row r="21281" spans="3:3" x14ac:dyDescent="0.35">
      <c r="C21281" s="2"/>
    </row>
    <row r="21282" spans="3:3" x14ac:dyDescent="0.35">
      <c r="C21282" s="2"/>
    </row>
    <row r="21283" spans="3:3" x14ac:dyDescent="0.35">
      <c r="C21283" s="2"/>
    </row>
    <row r="21284" spans="3:3" x14ac:dyDescent="0.35">
      <c r="C21284" s="2"/>
    </row>
    <row r="21285" spans="3:3" x14ac:dyDescent="0.35">
      <c r="C21285" s="2"/>
    </row>
    <row r="21286" spans="3:3" x14ac:dyDescent="0.35">
      <c r="C21286" s="2"/>
    </row>
    <row r="21287" spans="3:3" x14ac:dyDescent="0.35">
      <c r="C21287" s="2"/>
    </row>
    <row r="21288" spans="3:3" x14ac:dyDescent="0.35">
      <c r="C21288" s="2"/>
    </row>
    <row r="21289" spans="3:3" x14ac:dyDescent="0.35">
      <c r="C21289" s="2"/>
    </row>
    <row r="21290" spans="3:3" x14ac:dyDescent="0.35">
      <c r="C21290" s="2"/>
    </row>
    <row r="21291" spans="3:3" x14ac:dyDescent="0.35">
      <c r="C21291" s="2"/>
    </row>
    <row r="21292" spans="3:3" x14ac:dyDescent="0.35">
      <c r="C21292" s="2"/>
    </row>
    <row r="21293" spans="3:3" x14ac:dyDescent="0.35">
      <c r="C21293" s="2"/>
    </row>
    <row r="21294" spans="3:3" x14ac:dyDescent="0.35">
      <c r="C21294" s="2"/>
    </row>
    <row r="21295" spans="3:3" x14ac:dyDescent="0.35">
      <c r="C21295" s="2"/>
    </row>
    <row r="21296" spans="3:3" x14ac:dyDescent="0.35">
      <c r="C21296" s="2"/>
    </row>
    <row r="21297" spans="3:3" x14ac:dyDescent="0.35">
      <c r="C21297" s="2"/>
    </row>
    <row r="21298" spans="3:3" x14ac:dyDescent="0.35">
      <c r="C21298" s="2"/>
    </row>
    <row r="21299" spans="3:3" x14ac:dyDescent="0.35">
      <c r="C21299" s="2"/>
    </row>
    <row r="21300" spans="3:3" x14ac:dyDescent="0.35">
      <c r="C21300" s="2"/>
    </row>
    <row r="21301" spans="3:3" x14ac:dyDescent="0.35">
      <c r="C21301" s="2"/>
    </row>
    <row r="21302" spans="3:3" x14ac:dyDescent="0.35">
      <c r="C21302" s="2"/>
    </row>
    <row r="21303" spans="3:3" x14ac:dyDescent="0.35">
      <c r="C21303" s="2"/>
    </row>
    <row r="21304" spans="3:3" x14ac:dyDescent="0.35">
      <c r="C21304" s="2"/>
    </row>
    <row r="21305" spans="3:3" x14ac:dyDescent="0.35">
      <c r="C21305" s="2"/>
    </row>
    <row r="21306" spans="3:3" x14ac:dyDescent="0.35">
      <c r="C21306" s="2"/>
    </row>
    <row r="21307" spans="3:3" x14ac:dyDescent="0.35">
      <c r="C21307" s="2"/>
    </row>
    <row r="21308" spans="3:3" x14ac:dyDescent="0.35">
      <c r="C21308" s="2"/>
    </row>
    <row r="21309" spans="3:3" x14ac:dyDescent="0.35">
      <c r="C21309" s="2"/>
    </row>
    <row r="21310" spans="3:3" x14ac:dyDescent="0.35">
      <c r="C21310" s="2"/>
    </row>
    <row r="21311" spans="3:3" x14ac:dyDescent="0.35">
      <c r="C21311" s="2"/>
    </row>
    <row r="21312" spans="3:3" x14ac:dyDescent="0.35">
      <c r="C21312" s="2"/>
    </row>
    <row r="21313" spans="3:3" x14ac:dyDescent="0.35">
      <c r="C21313" s="2"/>
    </row>
    <row r="21314" spans="3:3" x14ac:dyDescent="0.35">
      <c r="C21314" s="2"/>
    </row>
    <row r="21315" spans="3:3" x14ac:dyDescent="0.35">
      <c r="C21315" s="2"/>
    </row>
    <row r="21316" spans="3:3" x14ac:dyDescent="0.35">
      <c r="C21316" s="2"/>
    </row>
    <row r="21317" spans="3:3" x14ac:dyDescent="0.35">
      <c r="C21317" s="2"/>
    </row>
    <row r="21318" spans="3:3" x14ac:dyDescent="0.35">
      <c r="C21318" s="2"/>
    </row>
    <row r="21319" spans="3:3" x14ac:dyDescent="0.35">
      <c r="C21319" s="2"/>
    </row>
    <row r="21320" spans="3:3" x14ac:dyDescent="0.35">
      <c r="C21320" s="2"/>
    </row>
    <row r="21321" spans="3:3" x14ac:dyDescent="0.35">
      <c r="C21321" s="2"/>
    </row>
    <row r="21322" spans="3:3" x14ac:dyDescent="0.35">
      <c r="C21322" s="2"/>
    </row>
    <row r="21323" spans="3:3" x14ac:dyDescent="0.35">
      <c r="C21323" s="2"/>
    </row>
    <row r="21324" spans="3:3" x14ac:dyDescent="0.35">
      <c r="C21324" s="2"/>
    </row>
    <row r="21325" spans="3:3" x14ac:dyDescent="0.35">
      <c r="C21325" s="2"/>
    </row>
    <row r="21326" spans="3:3" x14ac:dyDescent="0.35">
      <c r="C21326" s="2"/>
    </row>
    <row r="21327" spans="3:3" x14ac:dyDescent="0.35">
      <c r="C21327" s="2"/>
    </row>
    <row r="21328" spans="3:3" x14ac:dyDescent="0.35">
      <c r="C21328" s="2"/>
    </row>
    <row r="21329" spans="3:3" x14ac:dyDescent="0.35">
      <c r="C21329" s="2"/>
    </row>
    <row r="21330" spans="3:3" x14ac:dyDescent="0.35">
      <c r="C21330" s="2"/>
    </row>
    <row r="21331" spans="3:3" x14ac:dyDescent="0.35">
      <c r="C21331" s="2"/>
    </row>
    <row r="21332" spans="3:3" x14ac:dyDescent="0.35">
      <c r="C21332" s="2"/>
    </row>
    <row r="21333" spans="3:3" x14ac:dyDescent="0.35">
      <c r="C21333" s="2"/>
    </row>
    <row r="21334" spans="3:3" x14ac:dyDescent="0.35">
      <c r="C21334" s="2"/>
    </row>
    <row r="21335" spans="3:3" x14ac:dyDescent="0.35">
      <c r="C21335" s="2"/>
    </row>
    <row r="21336" spans="3:3" x14ac:dyDescent="0.35">
      <c r="C21336" s="2"/>
    </row>
    <row r="21337" spans="3:3" x14ac:dyDescent="0.35">
      <c r="C21337" s="2"/>
    </row>
    <row r="21338" spans="3:3" x14ac:dyDescent="0.35">
      <c r="C21338" s="2"/>
    </row>
    <row r="21339" spans="3:3" x14ac:dyDescent="0.35">
      <c r="C21339" s="2"/>
    </row>
    <row r="21340" spans="3:3" x14ac:dyDescent="0.35">
      <c r="C21340" s="2"/>
    </row>
    <row r="21341" spans="3:3" x14ac:dyDescent="0.35">
      <c r="C21341" s="2"/>
    </row>
    <row r="21342" spans="3:3" x14ac:dyDescent="0.35">
      <c r="C21342" s="2"/>
    </row>
    <row r="21343" spans="3:3" x14ac:dyDescent="0.35">
      <c r="C21343" s="2"/>
    </row>
    <row r="21344" spans="3:3" x14ac:dyDescent="0.35">
      <c r="C21344" s="2"/>
    </row>
    <row r="21345" spans="3:3" x14ac:dyDescent="0.35">
      <c r="C21345" s="2"/>
    </row>
    <row r="21346" spans="3:3" x14ac:dyDescent="0.35">
      <c r="C21346" s="2"/>
    </row>
    <row r="21347" spans="3:3" x14ac:dyDescent="0.35">
      <c r="C21347" s="2"/>
    </row>
    <row r="21348" spans="3:3" x14ac:dyDescent="0.35">
      <c r="C21348" s="2"/>
    </row>
    <row r="21349" spans="3:3" x14ac:dyDescent="0.35">
      <c r="C21349" s="2"/>
    </row>
    <row r="21350" spans="3:3" x14ac:dyDescent="0.35">
      <c r="C21350" s="2"/>
    </row>
    <row r="21351" spans="3:3" x14ac:dyDescent="0.35">
      <c r="C21351" s="2"/>
    </row>
    <row r="21352" spans="3:3" x14ac:dyDescent="0.35">
      <c r="C21352" s="2"/>
    </row>
    <row r="21353" spans="3:3" x14ac:dyDescent="0.35">
      <c r="C21353" s="2"/>
    </row>
    <row r="21354" spans="3:3" x14ac:dyDescent="0.35">
      <c r="C21354" s="2"/>
    </row>
    <row r="21355" spans="3:3" x14ac:dyDescent="0.35">
      <c r="C21355" s="2"/>
    </row>
    <row r="21356" spans="3:3" x14ac:dyDescent="0.35">
      <c r="C21356" s="2"/>
    </row>
    <row r="21357" spans="3:3" x14ac:dyDescent="0.35">
      <c r="C21357" s="2"/>
    </row>
    <row r="21358" spans="3:3" x14ac:dyDescent="0.35">
      <c r="C21358" s="2"/>
    </row>
    <row r="21359" spans="3:3" x14ac:dyDescent="0.35">
      <c r="C21359" s="2"/>
    </row>
    <row r="21360" spans="3:3" x14ac:dyDescent="0.35">
      <c r="C21360" s="2"/>
    </row>
    <row r="21361" spans="3:3" x14ac:dyDescent="0.35">
      <c r="C21361" s="2"/>
    </row>
    <row r="21362" spans="3:3" x14ac:dyDescent="0.35">
      <c r="C21362" s="2"/>
    </row>
    <row r="21363" spans="3:3" x14ac:dyDescent="0.35">
      <c r="C21363" s="2"/>
    </row>
    <row r="21364" spans="3:3" x14ac:dyDescent="0.35">
      <c r="C21364" s="2"/>
    </row>
    <row r="21365" spans="3:3" x14ac:dyDescent="0.35">
      <c r="C21365" s="2"/>
    </row>
    <row r="21366" spans="3:3" x14ac:dyDescent="0.35">
      <c r="C21366" s="2"/>
    </row>
    <row r="21367" spans="3:3" x14ac:dyDescent="0.35">
      <c r="C21367" s="2"/>
    </row>
    <row r="21368" spans="3:3" x14ac:dyDescent="0.35">
      <c r="C21368" s="2"/>
    </row>
    <row r="21369" spans="3:3" x14ac:dyDescent="0.35">
      <c r="C21369" s="2"/>
    </row>
    <row r="21370" spans="3:3" x14ac:dyDescent="0.35">
      <c r="C21370" s="2"/>
    </row>
    <row r="21371" spans="3:3" x14ac:dyDescent="0.35">
      <c r="C21371" s="2"/>
    </row>
    <row r="21372" spans="3:3" x14ac:dyDescent="0.35">
      <c r="C21372" s="2"/>
    </row>
    <row r="21373" spans="3:3" x14ac:dyDescent="0.35">
      <c r="C21373" s="2"/>
    </row>
    <row r="21374" spans="3:3" x14ac:dyDescent="0.35">
      <c r="C21374" s="2"/>
    </row>
    <row r="21375" spans="3:3" x14ac:dyDescent="0.35">
      <c r="C21375" s="2"/>
    </row>
    <row r="21376" spans="3:3" x14ac:dyDescent="0.35">
      <c r="C21376" s="2"/>
    </row>
    <row r="21377" spans="3:3" x14ac:dyDescent="0.35">
      <c r="C21377" s="2"/>
    </row>
    <row r="21378" spans="3:3" x14ac:dyDescent="0.35">
      <c r="C21378" s="2"/>
    </row>
    <row r="21379" spans="3:3" x14ac:dyDescent="0.35">
      <c r="C21379" s="2"/>
    </row>
    <row r="21380" spans="3:3" x14ac:dyDescent="0.35">
      <c r="C21380" s="2"/>
    </row>
    <row r="21381" spans="3:3" x14ac:dyDescent="0.35">
      <c r="C21381" s="2"/>
    </row>
    <row r="21382" spans="3:3" x14ac:dyDescent="0.35">
      <c r="C21382" s="2"/>
    </row>
    <row r="21383" spans="3:3" x14ac:dyDescent="0.35">
      <c r="C21383" s="2"/>
    </row>
    <row r="21384" spans="3:3" x14ac:dyDescent="0.35">
      <c r="C21384" s="2"/>
    </row>
    <row r="21385" spans="3:3" x14ac:dyDescent="0.35">
      <c r="C21385" s="2"/>
    </row>
    <row r="21386" spans="3:3" x14ac:dyDescent="0.35">
      <c r="C21386" s="2"/>
    </row>
    <row r="21387" spans="3:3" x14ac:dyDescent="0.35">
      <c r="C21387" s="2"/>
    </row>
    <row r="21388" spans="3:3" x14ac:dyDescent="0.35">
      <c r="C21388" s="2"/>
    </row>
    <row r="21389" spans="3:3" x14ac:dyDescent="0.35">
      <c r="C21389" s="2"/>
    </row>
    <row r="21390" spans="3:3" x14ac:dyDescent="0.35">
      <c r="C21390" s="2"/>
    </row>
    <row r="21391" spans="3:3" x14ac:dyDescent="0.35">
      <c r="C21391" s="2"/>
    </row>
    <row r="21392" spans="3:3" x14ac:dyDescent="0.35">
      <c r="C21392" s="2"/>
    </row>
    <row r="21393" spans="3:3" x14ac:dyDescent="0.35">
      <c r="C21393" s="2"/>
    </row>
    <row r="21394" spans="3:3" x14ac:dyDescent="0.35">
      <c r="C21394" s="2"/>
    </row>
    <row r="21395" spans="3:3" x14ac:dyDescent="0.35">
      <c r="C21395" s="2"/>
    </row>
    <row r="21396" spans="3:3" x14ac:dyDescent="0.35">
      <c r="C21396" s="2"/>
    </row>
    <row r="21397" spans="3:3" x14ac:dyDescent="0.35">
      <c r="C21397" s="2"/>
    </row>
    <row r="21398" spans="3:3" x14ac:dyDescent="0.35">
      <c r="C21398" s="2"/>
    </row>
    <row r="21399" spans="3:3" x14ac:dyDescent="0.35">
      <c r="C21399" s="2"/>
    </row>
    <row r="21400" spans="3:3" x14ac:dyDescent="0.35">
      <c r="C21400" s="2"/>
    </row>
    <row r="21401" spans="3:3" x14ac:dyDescent="0.35">
      <c r="C21401" s="2"/>
    </row>
    <row r="21402" spans="3:3" x14ac:dyDescent="0.35">
      <c r="C21402" s="2"/>
    </row>
    <row r="21403" spans="3:3" x14ac:dyDescent="0.35">
      <c r="C21403" s="2"/>
    </row>
    <row r="21404" spans="3:3" x14ac:dyDescent="0.35">
      <c r="C21404" s="2"/>
    </row>
    <row r="21405" spans="3:3" x14ac:dyDescent="0.35">
      <c r="C21405" s="2"/>
    </row>
    <row r="21406" spans="3:3" x14ac:dyDescent="0.35">
      <c r="C21406" s="2"/>
    </row>
    <row r="21407" spans="3:3" x14ac:dyDescent="0.35">
      <c r="C21407" s="2"/>
    </row>
    <row r="21408" spans="3:3" x14ac:dyDescent="0.35">
      <c r="C21408" s="2"/>
    </row>
    <row r="21409" spans="3:3" x14ac:dyDescent="0.35">
      <c r="C21409" s="2"/>
    </row>
    <row r="21410" spans="3:3" x14ac:dyDescent="0.35">
      <c r="C21410" s="2"/>
    </row>
    <row r="21411" spans="3:3" x14ac:dyDescent="0.35">
      <c r="C21411" s="2"/>
    </row>
    <row r="21412" spans="3:3" x14ac:dyDescent="0.35">
      <c r="C21412" s="2"/>
    </row>
    <row r="21413" spans="3:3" x14ac:dyDescent="0.35">
      <c r="C21413" s="2"/>
    </row>
    <row r="21414" spans="3:3" x14ac:dyDescent="0.35">
      <c r="C21414" s="2"/>
    </row>
    <row r="21415" spans="3:3" x14ac:dyDescent="0.35">
      <c r="C21415" s="2"/>
    </row>
    <row r="21416" spans="3:3" x14ac:dyDescent="0.35">
      <c r="C21416" s="2"/>
    </row>
    <row r="21417" spans="3:3" x14ac:dyDescent="0.35">
      <c r="C21417" s="2"/>
    </row>
    <row r="21418" spans="3:3" x14ac:dyDescent="0.35">
      <c r="C21418" s="2"/>
    </row>
    <row r="21419" spans="3:3" x14ac:dyDescent="0.35">
      <c r="C21419" s="2"/>
    </row>
    <row r="21420" spans="3:3" x14ac:dyDescent="0.35">
      <c r="C21420" s="2"/>
    </row>
    <row r="21421" spans="3:3" x14ac:dyDescent="0.35">
      <c r="C21421" s="2"/>
    </row>
    <row r="21422" spans="3:3" x14ac:dyDescent="0.35">
      <c r="C21422" s="2"/>
    </row>
    <row r="21423" spans="3:3" x14ac:dyDescent="0.35">
      <c r="C21423" s="2"/>
    </row>
    <row r="21424" spans="3:3" x14ac:dyDescent="0.35">
      <c r="C21424" s="2"/>
    </row>
    <row r="21425" spans="3:3" x14ac:dyDescent="0.35">
      <c r="C21425" s="2"/>
    </row>
    <row r="21426" spans="3:3" x14ac:dyDescent="0.35">
      <c r="C21426" s="2"/>
    </row>
    <row r="21427" spans="3:3" x14ac:dyDescent="0.35">
      <c r="C21427" s="2"/>
    </row>
    <row r="21428" spans="3:3" x14ac:dyDescent="0.35">
      <c r="C21428" s="2"/>
    </row>
    <row r="21429" spans="3:3" x14ac:dyDescent="0.35">
      <c r="C21429" s="2"/>
    </row>
    <row r="21430" spans="3:3" x14ac:dyDescent="0.35">
      <c r="C21430" s="2"/>
    </row>
    <row r="21431" spans="3:3" x14ac:dyDescent="0.35">
      <c r="C21431" s="2"/>
    </row>
    <row r="21432" spans="3:3" x14ac:dyDescent="0.35">
      <c r="C21432" s="2"/>
    </row>
    <row r="21433" spans="3:3" x14ac:dyDescent="0.35">
      <c r="C21433" s="2"/>
    </row>
    <row r="21434" spans="3:3" x14ac:dyDescent="0.35">
      <c r="C21434" s="2"/>
    </row>
    <row r="21435" spans="3:3" x14ac:dyDescent="0.35">
      <c r="C21435" s="2"/>
    </row>
    <row r="21436" spans="3:3" x14ac:dyDescent="0.35">
      <c r="C21436" s="2"/>
    </row>
    <row r="21437" spans="3:3" x14ac:dyDescent="0.35">
      <c r="C21437" s="2"/>
    </row>
    <row r="21438" spans="3:3" x14ac:dyDescent="0.35">
      <c r="C21438" s="2"/>
    </row>
    <row r="21439" spans="3:3" x14ac:dyDescent="0.35">
      <c r="C21439" s="2"/>
    </row>
    <row r="21440" spans="3:3" x14ac:dyDescent="0.35">
      <c r="C21440" s="2"/>
    </row>
    <row r="21441" spans="3:3" x14ac:dyDescent="0.35">
      <c r="C21441" s="2"/>
    </row>
    <row r="21442" spans="3:3" x14ac:dyDescent="0.35">
      <c r="C21442" s="2"/>
    </row>
    <row r="21443" spans="3:3" x14ac:dyDescent="0.35">
      <c r="C21443" s="2"/>
    </row>
    <row r="21444" spans="3:3" x14ac:dyDescent="0.35">
      <c r="C21444" s="2"/>
    </row>
    <row r="21445" spans="3:3" x14ac:dyDescent="0.35">
      <c r="C21445" s="2"/>
    </row>
    <row r="21446" spans="3:3" x14ac:dyDescent="0.35">
      <c r="C21446" s="2"/>
    </row>
    <row r="21447" spans="3:3" x14ac:dyDescent="0.35">
      <c r="C21447" s="2"/>
    </row>
    <row r="21448" spans="3:3" x14ac:dyDescent="0.35">
      <c r="C21448" s="2"/>
    </row>
    <row r="21449" spans="3:3" x14ac:dyDescent="0.35">
      <c r="C21449" s="2"/>
    </row>
    <row r="21450" spans="3:3" x14ac:dyDescent="0.35">
      <c r="C21450" s="2"/>
    </row>
    <row r="21451" spans="3:3" x14ac:dyDescent="0.35">
      <c r="C21451" s="2"/>
    </row>
    <row r="21452" spans="3:3" x14ac:dyDescent="0.35">
      <c r="C21452" s="2"/>
    </row>
    <row r="21453" spans="3:3" x14ac:dyDescent="0.35">
      <c r="C21453" s="2"/>
    </row>
    <row r="21454" spans="3:3" x14ac:dyDescent="0.35">
      <c r="C21454" s="2"/>
    </row>
    <row r="21455" spans="3:3" x14ac:dyDescent="0.35">
      <c r="C21455" s="2"/>
    </row>
    <row r="21456" spans="3:3" x14ac:dyDescent="0.35">
      <c r="C21456" s="2"/>
    </row>
    <row r="21457" spans="3:3" x14ac:dyDescent="0.35">
      <c r="C21457" s="2"/>
    </row>
    <row r="21458" spans="3:3" x14ac:dyDescent="0.35">
      <c r="C21458" s="2"/>
    </row>
    <row r="21459" spans="3:3" x14ac:dyDescent="0.35">
      <c r="C21459" s="2"/>
    </row>
    <row r="21460" spans="3:3" x14ac:dyDescent="0.35">
      <c r="C21460" s="2"/>
    </row>
    <row r="21461" spans="3:3" x14ac:dyDescent="0.35">
      <c r="C21461" s="2"/>
    </row>
    <row r="21462" spans="3:3" x14ac:dyDescent="0.35">
      <c r="C21462" s="2"/>
    </row>
    <row r="21463" spans="3:3" x14ac:dyDescent="0.35">
      <c r="C21463" s="2"/>
    </row>
    <row r="21464" spans="3:3" x14ac:dyDescent="0.35">
      <c r="C21464" s="2"/>
    </row>
    <row r="21465" spans="3:3" x14ac:dyDescent="0.35">
      <c r="C21465" s="2"/>
    </row>
    <row r="21466" spans="3:3" x14ac:dyDescent="0.35">
      <c r="C21466" s="2"/>
    </row>
    <row r="21467" spans="3:3" x14ac:dyDescent="0.35">
      <c r="C21467" s="2"/>
    </row>
    <row r="21468" spans="3:3" x14ac:dyDescent="0.35">
      <c r="C21468" s="2"/>
    </row>
    <row r="21469" spans="3:3" x14ac:dyDescent="0.35">
      <c r="C21469" s="2"/>
    </row>
    <row r="21470" spans="3:3" x14ac:dyDescent="0.35">
      <c r="C21470" s="2"/>
    </row>
    <row r="21471" spans="3:3" x14ac:dyDescent="0.35">
      <c r="C21471" s="2"/>
    </row>
    <row r="21472" spans="3:3" x14ac:dyDescent="0.35">
      <c r="C21472" s="2"/>
    </row>
    <row r="21473" spans="3:3" x14ac:dyDescent="0.35">
      <c r="C21473" s="2"/>
    </row>
    <row r="21474" spans="3:3" x14ac:dyDescent="0.35">
      <c r="C21474" s="2"/>
    </row>
    <row r="21475" spans="3:3" x14ac:dyDescent="0.35">
      <c r="C21475" s="2"/>
    </row>
    <row r="21476" spans="3:3" x14ac:dyDescent="0.35">
      <c r="C21476" s="2"/>
    </row>
    <row r="21477" spans="3:3" x14ac:dyDescent="0.35">
      <c r="C21477" s="2"/>
    </row>
    <row r="21478" spans="3:3" x14ac:dyDescent="0.35">
      <c r="C21478" s="2"/>
    </row>
    <row r="21479" spans="3:3" x14ac:dyDescent="0.35">
      <c r="C21479" s="2"/>
    </row>
    <row r="21480" spans="3:3" x14ac:dyDescent="0.35">
      <c r="C21480" s="2"/>
    </row>
    <row r="21481" spans="3:3" x14ac:dyDescent="0.35">
      <c r="C21481" s="2"/>
    </row>
    <row r="21482" spans="3:3" x14ac:dyDescent="0.35">
      <c r="C21482" s="2"/>
    </row>
    <row r="21483" spans="3:3" x14ac:dyDescent="0.35">
      <c r="C21483" s="2"/>
    </row>
    <row r="21484" spans="3:3" x14ac:dyDescent="0.35">
      <c r="C21484" s="2"/>
    </row>
    <row r="21485" spans="3:3" x14ac:dyDescent="0.35">
      <c r="C21485" s="2"/>
    </row>
    <row r="21486" spans="3:3" x14ac:dyDescent="0.35">
      <c r="C21486" s="2"/>
    </row>
    <row r="21487" spans="3:3" x14ac:dyDescent="0.35">
      <c r="C21487" s="2"/>
    </row>
    <row r="21488" spans="3:3" x14ac:dyDescent="0.35">
      <c r="C21488" s="2"/>
    </row>
    <row r="21489" spans="3:3" x14ac:dyDescent="0.35">
      <c r="C21489" s="2"/>
    </row>
    <row r="21490" spans="3:3" x14ac:dyDescent="0.35">
      <c r="C21490" s="2"/>
    </row>
    <row r="21491" spans="3:3" x14ac:dyDescent="0.35">
      <c r="C21491" s="2"/>
    </row>
    <row r="21492" spans="3:3" x14ac:dyDescent="0.35">
      <c r="C21492" s="2"/>
    </row>
    <row r="21493" spans="3:3" x14ac:dyDescent="0.35">
      <c r="C21493" s="2"/>
    </row>
    <row r="21494" spans="3:3" x14ac:dyDescent="0.35">
      <c r="C21494" s="2"/>
    </row>
    <row r="21495" spans="3:3" x14ac:dyDescent="0.35">
      <c r="C21495" s="2"/>
    </row>
    <row r="21496" spans="3:3" x14ac:dyDescent="0.35">
      <c r="C21496" s="2"/>
    </row>
    <row r="21497" spans="3:3" x14ac:dyDescent="0.35">
      <c r="C21497" s="2"/>
    </row>
    <row r="21498" spans="3:3" x14ac:dyDescent="0.35">
      <c r="C21498" s="2"/>
    </row>
    <row r="21499" spans="3:3" x14ac:dyDescent="0.35">
      <c r="C21499" s="2"/>
    </row>
    <row r="21500" spans="3:3" x14ac:dyDescent="0.35">
      <c r="C21500" s="2"/>
    </row>
    <row r="21501" spans="3:3" x14ac:dyDescent="0.35">
      <c r="C21501" s="2"/>
    </row>
    <row r="21502" spans="3:3" x14ac:dyDescent="0.35">
      <c r="C21502" s="2"/>
    </row>
    <row r="21503" spans="3:3" x14ac:dyDescent="0.35">
      <c r="C21503" s="2"/>
    </row>
    <row r="21504" spans="3:3" x14ac:dyDescent="0.35">
      <c r="C21504" s="2"/>
    </row>
    <row r="21505" spans="3:3" x14ac:dyDescent="0.35">
      <c r="C21505" s="2"/>
    </row>
    <row r="21506" spans="3:3" x14ac:dyDescent="0.35">
      <c r="C21506" s="2"/>
    </row>
    <row r="21507" spans="3:3" x14ac:dyDescent="0.35">
      <c r="C21507" s="2"/>
    </row>
    <row r="21508" spans="3:3" x14ac:dyDescent="0.35">
      <c r="C21508" s="2"/>
    </row>
    <row r="21509" spans="3:3" x14ac:dyDescent="0.35">
      <c r="C21509" s="2"/>
    </row>
    <row r="21510" spans="3:3" x14ac:dyDescent="0.35">
      <c r="C21510" s="2"/>
    </row>
    <row r="21511" spans="3:3" x14ac:dyDescent="0.35">
      <c r="C21511" s="2"/>
    </row>
    <row r="21512" spans="3:3" x14ac:dyDescent="0.35">
      <c r="C21512" s="2"/>
    </row>
    <row r="21513" spans="3:3" x14ac:dyDescent="0.35">
      <c r="C21513" s="2"/>
    </row>
    <row r="21514" spans="3:3" x14ac:dyDescent="0.35">
      <c r="C21514" s="2"/>
    </row>
    <row r="21515" spans="3:3" x14ac:dyDescent="0.35">
      <c r="C21515" s="2"/>
    </row>
    <row r="21516" spans="3:3" x14ac:dyDescent="0.35">
      <c r="C21516" s="2"/>
    </row>
    <row r="21517" spans="3:3" x14ac:dyDescent="0.35">
      <c r="C21517" s="2"/>
    </row>
    <row r="21518" spans="3:3" x14ac:dyDescent="0.35">
      <c r="C21518" s="2"/>
    </row>
    <row r="21519" spans="3:3" x14ac:dyDescent="0.35">
      <c r="C21519" s="2"/>
    </row>
    <row r="21520" spans="3:3" x14ac:dyDescent="0.35">
      <c r="C21520" s="2"/>
    </row>
    <row r="21521" spans="3:3" x14ac:dyDescent="0.35">
      <c r="C21521" s="2"/>
    </row>
    <row r="21522" spans="3:3" x14ac:dyDescent="0.35">
      <c r="C21522" s="2"/>
    </row>
    <row r="21523" spans="3:3" x14ac:dyDescent="0.35">
      <c r="C21523" s="2"/>
    </row>
    <row r="21524" spans="3:3" x14ac:dyDescent="0.35">
      <c r="C21524" s="2"/>
    </row>
    <row r="21525" spans="3:3" x14ac:dyDescent="0.35">
      <c r="C21525" s="2"/>
    </row>
    <row r="21526" spans="3:3" x14ac:dyDescent="0.35">
      <c r="C21526" s="2"/>
    </row>
    <row r="21527" spans="3:3" x14ac:dyDescent="0.35">
      <c r="C21527" s="2"/>
    </row>
    <row r="21528" spans="3:3" x14ac:dyDescent="0.35">
      <c r="C21528" s="2"/>
    </row>
    <row r="21529" spans="3:3" x14ac:dyDescent="0.35">
      <c r="C21529" s="2"/>
    </row>
    <row r="21530" spans="3:3" x14ac:dyDescent="0.35">
      <c r="C21530" s="2"/>
    </row>
    <row r="21531" spans="3:3" x14ac:dyDescent="0.35">
      <c r="C21531" s="2"/>
    </row>
    <row r="21532" spans="3:3" x14ac:dyDescent="0.35">
      <c r="C21532" s="2"/>
    </row>
    <row r="21533" spans="3:3" x14ac:dyDescent="0.35">
      <c r="C21533" s="2"/>
    </row>
    <row r="21534" spans="3:3" x14ac:dyDescent="0.35">
      <c r="C21534" s="2"/>
    </row>
    <row r="21535" spans="3:3" x14ac:dyDescent="0.35">
      <c r="C21535" s="2"/>
    </row>
    <row r="21536" spans="3:3" x14ac:dyDescent="0.35">
      <c r="C21536" s="2"/>
    </row>
    <row r="21537" spans="3:3" x14ac:dyDescent="0.35">
      <c r="C21537" s="2"/>
    </row>
    <row r="21538" spans="3:3" x14ac:dyDescent="0.35">
      <c r="C21538" s="2"/>
    </row>
    <row r="21539" spans="3:3" x14ac:dyDescent="0.35">
      <c r="C21539" s="2"/>
    </row>
    <row r="21540" spans="3:3" x14ac:dyDescent="0.35">
      <c r="C21540" s="2"/>
    </row>
    <row r="21541" spans="3:3" x14ac:dyDescent="0.35">
      <c r="C21541" s="2"/>
    </row>
    <row r="21542" spans="3:3" x14ac:dyDescent="0.35">
      <c r="C21542" s="2"/>
    </row>
    <row r="21543" spans="3:3" x14ac:dyDescent="0.35">
      <c r="C21543" s="2"/>
    </row>
    <row r="21544" spans="3:3" x14ac:dyDescent="0.35">
      <c r="C21544" s="2"/>
    </row>
    <row r="21545" spans="3:3" x14ac:dyDescent="0.35">
      <c r="C21545" s="2"/>
    </row>
    <row r="21546" spans="3:3" x14ac:dyDescent="0.35">
      <c r="C21546" s="2"/>
    </row>
    <row r="21547" spans="3:3" x14ac:dyDescent="0.35">
      <c r="C21547" s="2"/>
    </row>
    <row r="21548" spans="3:3" x14ac:dyDescent="0.35">
      <c r="C21548" s="2"/>
    </row>
    <row r="21549" spans="3:3" x14ac:dyDescent="0.35">
      <c r="C21549" s="2"/>
    </row>
    <row r="21550" spans="3:3" x14ac:dyDescent="0.35">
      <c r="C21550" s="2"/>
    </row>
    <row r="21551" spans="3:3" x14ac:dyDescent="0.35">
      <c r="C21551" s="2"/>
    </row>
    <row r="21552" spans="3:3" x14ac:dyDescent="0.35">
      <c r="C21552" s="2"/>
    </row>
    <row r="21553" spans="3:3" x14ac:dyDescent="0.35">
      <c r="C21553" s="2"/>
    </row>
    <row r="21554" spans="3:3" x14ac:dyDescent="0.35">
      <c r="C21554" s="2"/>
    </row>
    <row r="21555" spans="3:3" x14ac:dyDescent="0.35">
      <c r="C21555" s="2"/>
    </row>
    <row r="21556" spans="3:3" x14ac:dyDescent="0.35">
      <c r="C21556" s="2"/>
    </row>
    <row r="21557" spans="3:3" x14ac:dyDescent="0.35">
      <c r="C21557" s="2"/>
    </row>
    <row r="21558" spans="3:3" x14ac:dyDescent="0.35">
      <c r="C21558" s="2"/>
    </row>
    <row r="21559" spans="3:3" x14ac:dyDescent="0.35">
      <c r="C21559" s="2"/>
    </row>
    <row r="21560" spans="3:3" x14ac:dyDescent="0.35">
      <c r="C21560" s="2"/>
    </row>
    <row r="21561" spans="3:3" x14ac:dyDescent="0.35">
      <c r="C21561" s="2"/>
    </row>
    <row r="21562" spans="3:3" x14ac:dyDescent="0.35">
      <c r="C21562" s="2"/>
    </row>
    <row r="21563" spans="3:3" x14ac:dyDescent="0.35">
      <c r="C21563" s="2"/>
    </row>
    <row r="21564" spans="3:3" x14ac:dyDescent="0.35">
      <c r="C21564" s="2"/>
    </row>
    <row r="21565" spans="3:3" x14ac:dyDescent="0.35">
      <c r="C21565" s="2"/>
    </row>
    <row r="21566" spans="3:3" x14ac:dyDescent="0.35">
      <c r="C21566" s="2"/>
    </row>
    <row r="21567" spans="3:3" x14ac:dyDescent="0.35">
      <c r="C21567" s="2"/>
    </row>
    <row r="21568" spans="3:3" x14ac:dyDescent="0.35">
      <c r="C21568" s="2"/>
    </row>
    <row r="21569" spans="3:3" x14ac:dyDescent="0.35">
      <c r="C21569" s="2"/>
    </row>
    <row r="21570" spans="3:3" x14ac:dyDescent="0.35">
      <c r="C21570" s="2"/>
    </row>
    <row r="21571" spans="3:3" x14ac:dyDescent="0.35">
      <c r="C21571" s="2"/>
    </row>
    <row r="21572" spans="3:3" x14ac:dyDescent="0.35">
      <c r="C21572" s="2"/>
    </row>
    <row r="21573" spans="3:3" x14ac:dyDescent="0.35">
      <c r="C21573" s="2"/>
    </row>
    <row r="21574" spans="3:3" x14ac:dyDescent="0.35">
      <c r="C21574" s="2"/>
    </row>
    <row r="21575" spans="3:3" x14ac:dyDescent="0.35">
      <c r="C21575" s="2"/>
    </row>
    <row r="21576" spans="3:3" x14ac:dyDescent="0.35">
      <c r="C21576" s="2"/>
    </row>
    <row r="21577" spans="3:3" x14ac:dyDescent="0.35">
      <c r="C21577" s="2"/>
    </row>
    <row r="21578" spans="3:3" x14ac:dyDescent="0.35">
      <c r="C21578" s="2"/>
    </row>
    <row r="21579" spans="3:3" x14ac:dyDescent="0.35">
      <c r="C21579" s="2"/>
    </row>
    <row r="21580" spans="3:3" x14ac:dyDescent="0.35">
      <c r="C21580" s="2"/>
    </row>
    <row r="21581" spans="3:3" x14ac:dyDescent="0.35">
      <c r="C21581" s="2"/>
    </row>
    <row r="21582" spans="3:3" x14ac:dyDescent="0.35">
      <c r="C21582" s="2"/>
    </row>
    <row r="21583" spans="3:3" x14ac:dyDescent="0.35">
      <c r="C21583" s="2"/>
    </row>
    <row r="21584" spans="3:3" x14ac:dyDescent="0.35">
      <c r="C21584" s="2"/>
    </row>
    <row r="21585" spans="3:3" x14ac:dyDescent="0.35">
      <c r="C21585" s="2"/>
    </row>
    <row r="21586" spans="3:3" x14ac:dyDescent="0.35">
      <c r="C21586" s="2"/>
    </row>
    <row r="21587" spans="3:3" x14ac:dyDescent="0.35">
      <c r="C21587" s="2"/>
    </row>
    <row r="21588" spans="3:3" x14ac:dyDescent="0.35">
      <c r="C21588" s="2"/>
    </row>
    <row r="21589" spans="3:3" x14ac:dyDescent="0.35">
      <c r="C21589" s="2"/>
    </row>
    <row r="21590" spans="3:3" x14ac:dyDescent="0.35">
      <c r="C21590" s="2"/>
    </row>
    <row r="21591" spans="3:3" x14ac:dyDescent="0.35">
      <c r="C21591" s="2"/>
    </row>
    <row r="21592" spans="3:3" x14ac:dyDescent="0.35">
      <c r="C21592" s="2"/>
    </row>
    <row r="21593" spans="3:3" x14ac:dyDescent="0.35">
      <c r="C21593" s="2"/>
    </row>
    <row r="21594" spans="3:3" x14ac:dyDescent="0.35">
      <c r="C21594" s="2"/>
    </row>
    <row r="21595" spans="3:3" x14ac:dyDescent="0.35">
      <c r="C21595" s="2"/>
    </row>
    <row r="21596" spans="3:3" x14ac:dyDescent="0.35">
      <c r="C21596" s="2"/>
    </row>
    <row r="21597" spans="3:3" x14ac:dyDescent="0.35">
      <c r="C21597" s="2"/>
    </row>
    <row r="21598" spans="3:3" x14ac:dyDescent="0.35">
      <c r="C21598" s="2"/>
    </row>
    <row r="21599" spans="3:3" x14ac:dyDescent="0.35">
      <c r="C21599" s="2"/>
    </row>
    <row r="21600" spans="3:3" x14ac:dyDescent="0.35">
      <c r="C21600" s="2"/>
    </row>
    <row r="21601" spans="3:3" x14ac:dyDescent="0.35">
      <c r="C21601" s="2"/>
    </row>
    <row r="21602" spans="3:3" x14ac:dyDescent="0.35">
      <c r="C21602" s="2"/>
    </row>
    <row r="21603" spans="3:3" x14ac:dyDescent="0.35">
      <c r="C21603" s="2"/>
    </row>
    <row r="21604" spans="3:3" x14ac:dyDescent="0.35">
      <c r="C21604" s="2"/>
    </row>
    <row r="21605" spans="3:3" x14ac:dyDescent="0.35">
      <c r="C21605" s="2"/>
    </row>
    <row r="21606" spans="3:3" x14ac:dyDescent="0.35">
      <c r="C21606" s="2"/>
    </row>
    <row r="21607" spans="3:3" x14ac:dyDescent="0.35">
      <c r="C21607" s="2"/>
    </row>
    <row r="21608" spans="3:3" x14ac:dyDescent="0.35">
      <c r="C21608" s="2"/>
    </row>
    <row r="21609" spans="3:3" x14ac:dyDescent="0.35">
      <c r="C21609" s="2"/>
    </row>
    <row r="21610" spans="3:3" x14ac:dyDescent="0.35">
      <c r="C21610" s="2"/>
    </row>
    <row r="21611" spans="3:3" x14ac:dyDescent="0.35">
      <c r="C21611" s="2"/>
    </row>
    <row r="21612" spans="3:3" x14ac:dyDescent="0.35">
      <c r="C21612" s="2"/>
    </row>
    <row r="21613" spans="3:3" x14ac:dyDescent="0.35">
      <c r="C21613" s="2"/>
    </row>
    <row r="21614" spans="3:3" x14ac:dyDescent="0.35">
      <c r="C21614" s="2"/>
    </row>
    <row r="21615" spans="3:3" x14ac:dyDescent="0.35">
      <c r="C21615" s="2"/>
    </row>
    <row r="21616" spans="3:3" x14ac:dyDescent="0.35">
      <c r="C21616" s="2"/>
    </row>
    <row r="21617" spans="3:3" x14ac:dyDescent="0.35">
      <c r="C21617" s="2"/>
    </row>
    <row r="21618" spans="3:3" x14ac:dyDescent="0.35">
      <c r="C21618" s="2"/>
    </row>
    <row r="21619" spans="3:3" x14ac:dyDescent="0.35">
      <c r="C21619" s="2"/>
    </row>
    <row r="21620" spans="3:3" x14ac:dyDescent="0.35">
      <c r="C21620" s="2"/>
    </row>
    <row r="21621" spans="3:3" x14ac:dyDescent="0.35">
      <c r="C21621" s="2"/>
    </row>
    <row r="21622" spans="3:3" x14ac:dyDescent="0.35">
      <c r="C21622" s="2"/>
    </row>
    <row r="21623" spans="3:3" x14ac:dyDescent="0.35">
      <c r="C21623" s="2"/>
    </row>
    <row r="21624" spans="3:3" x14ac:dyDescent="0.35">
      <c r="C21624" s="2"/>
    </row>
    <row r="21625" spans="3:3" x14ac:dyDescent="0.35">
      <c r="C21625" s="2"/>
    </row>
    <row r="21626" spans="3:3" x14ac:dyDescent="0.35">
      <c r="C21626" s="2"/>
    </row>
    <row r="21627" spans="3:3" x14ac:dyDescent="0.35">
      <c r="C21627" s="2"/>
    </row>
    <row r="21628" spans="3:3" x14ac:dyDescent="0.35">
      <c r="C21628" s="2"/>
    </row>
    <row r="21629" spans="3:3" x14ac:dyDescent="0.35">
      <c r="C21629" s="2"/>
    </row>
    <row r="21630" spans="3:3" x14ac:dyDescent="0.35">
      <c r="C21630" s="2"/>
    </row>
    <row r="21631" spans="3:3" x14ac:dyDescent="0.35">
      <c r="C21631" s="2"/>
    </row>
    <row r="21632" spans="3:3" x14ac:dyDescent="0.35">
      <c r="C21632" s="2"/>
    </row>
    <row r="21633" spans="3:3" x14ac:dyDescent="0.35">
      <c r="C21633" s="2"/>
    </row>
    <row r="21634" spans="3:3" x14ac:dyDescent="0.35">
      <c r="C21634" s="2"/>
    </row>
    <row r="21635" spans="3:3" x14ac:dyDescent="0.35">
      <c r="C21635" s="2"/>
    </row>
    <row r="21636" spans="3:3" x14ac:dyDescent="0.35">
      <c r="C21636" s="2"/>
    </row>
    <row r="21637" spans="3:3" x14ac:dyDescent="0.35">
      <c r="C21637" s="2"/>
    </row>
    <row r="21638" spans="3:3" x14ac:dyDescent="0.35">
      <c r="C21638" s="2"/>
    </row>
    <row r="21639" spans="3:3" x14ac:dyDescent="0.35">
      <c r="C21639" s="2"/>
    </row>
    <row r="21640" spans="3:3" x14ac:dyDescent="0.35">
      <c r="C21640" s="2"/>
    </row>
    <row r="21641" spans="3:3" x14ac:dyDescent="0.35">
      <c r="C21641" s="2"/>
    </row>
    <row r="21642" spans="3:3" x14ac:dyDescent="0.35">
      <c r="C21642" s="2"/>
    </row>
    <row r="21643" spans="3:3" x14ac:dyDescent="0.35">
      <c r="C21643" s="2"/>
    </row>
    <row r="21644" spans="3:3" x14ac:dyDescent="0.35">
      <c r="C21644" s="2"/>
    </row>
    <row r="21645" spans="3:3" x14ac:dyDescent="0.35">
      <c r="C21645" s="2"/>
    </row>
    <row r="21646" spans="3:3" x14ac:dyDescent="0.35">
      <c r="C21646" s="2"/>
    </row>
    <row r="21647" spans="3:3" x14ac:dyDescent="0.35">
      <c r="C21647" s="2"/>
    </row>
    <row r="21648" spans="3:3" x14ac:dyDescent="0.35">
      <c r="C21648" s="2"/>
    </row>
    <row r="21649" spans="3:3" x14ac:dyDescent="0.35">
      <c r="C21649" s="2"/>
    </row>
    <row r="21650" spans="3:3" x14ac:dyDescent="0.35">
      <c r="C21650" s="2"/>
    </row>
    <row r="21651" spans="3:3" x14ac:dyDescent="0.35">
      <c r="C21651" s="2"/>
    </row>
    <row r="21652" spans="3:3" x14ac:dyDescent="0.35">
      <c r="C21652" s="2"/>
    </row>
    <row r="21653" spans="3:3" x14ac:dyDescent="0.35">
      <c r="C21653" s="2"/>
    </row>
    <row r="21654" spans="3:3" x14ac:dyDescent="0.35">
      <c r="C21654" s="2"/>
    </row>
    <row r="21655" spans="3:3" x14ac:dyDescent="0.35">
      <c r="C21655" s="2"/>
    </row>
    <row r="21656" spans="3:3" x14ac:dyDescent="0.35">
      <c r="C21656" s="2"/>
    </row>
    <row r="21657" spans="3:3" x14ac:dyDescent="0.35">
      <c r="C21657" s="2"/>
    </row>
    <row r="21658" spans="3:3" x14ac:dyDescent="0.35">
      <c r="C21658" s="2"/>
    </row>
    <row r="21659" spans="3:3" x14ac:dyDescent="0.35">
      <c r="C21659" s="2"/>
    </row>
    <row r="21660" spans="3:3" x14ac:dyDescent="0.35">
      <c r="C21660" s="2"/>
    </row>
    <row r="21661" spans="3:3" x14ac:dyDescent="0.35">
      <c r="C21661" s="2"/>
    </row>
    <row r="21662" spans="3:3" x14ac:dyDescent="0.35">
      <c r="C21662" s="2"/>
    </row>
    <row r="21663" spans="3:3" x14ac:dyDescent="0.35">
      <c r="C21663" s="2"/>
    </row>
    <row r="21664" spans="3:3" x14ac:dyDescent="0.35">
      <c r="C21664" s="2"/>
    </row>
    <row r="21665" spans="3:3" x14ac:dyDescent="0.35">
      <c r="C21665" s="2"/>
    </row>
    <row r="21666" spans="3:3" x14ac:dyDescent="0.35">
      <c r="C21666" s="2"/>
    </row>
    <row r="21667" spans="3:3" x14ac:dyDescent="0.35">
      <c r="C21667" s="2"/>
    </row>
    <row r="21668" spans="3:3" x14ac:dyDescent="0.35">
      <c r="C21668" s="2"/>
    </row>
    <row r="21669" spans="3:3" x14ac:dyDescent="0.35">
      <c r="C21669" s="2"/>
    </row>
    <row r="21670" spans="3:3" x14ac:dyDescent="0.35">
      <c r="C21670" s="2"/>
    </row>
    <row r="21671" spans="3:3" x14ac:dyDescent="0.35">
      <c r="C21671" s="2"/>
    </row>
    <row r="21672" spans="3:3" x14ac:dyDescent="0.35">
      <c r="C21672" s="2"/>
    </row>
    <row r="21673" spans="3:3" x14ac:dyDescent="0.35">
      <c r="C21673" s="2"/>
    </row>
    <row r="21674" spans="3:3" x14ac:dyDescent="0.35">
      <c r="C21674" s="2"/>
    </row>
    <row r="21675" spans="3:3" x14ac:dyDescent="0.35">
      <c r="C21675" s="2"/>
    </row>
    <row r="21676" spans="3:3" x14ac:dyDescent="0.35">
      <c r="C21676" s="2"/>
    </row>
    <row r="21677" spans="3:3" x14ac:dyDescent="0.35">
      <c r="C21677" s="2"/>
    </row>
    <row r="21678" spans="3:3" x14ac:dyDescent="0.35">
      <c r="C21678" s="2"/>
    </row>
    <row r="21679" spans="3:3" x14ac:dyDescent="0.35">
      <c r="C21679" s="2"/>
    </row>
    <row r="21680" spans="3:3" x14ac:dyDescent="0.35">
      <c r="C21680" s="2"/>
    </row>
    <row r="21681" spans="3:3" x14ac:dyDescent="0.35">
      <c r="C21681" s="2"/>
    </row>
    <row r="21682" spans="3:3" x14ac:dyDescent="0.35">
      <c r="C21682" s="2"/>
    </row>
    <row r="21683" spans="3:3" x14ac:dyDescent="0.35">
      <c r="C21683" s="2"/>
    </row>
    <row r="21684" spans="3:3" x14ac:dyDescent="0.35">
      <c r="C21684" s="2"/>
    </row>
    <row r="21685" spans="3:3" x14ac:dyDescent="0.35">
      <c r="C21685" s="2"/>
    </row>
    <row r="21686" spans="3:3" x14ac:dyDescent="0.35">
      <c r="C21686" s="2"/>
    </row>
    <row r="21687" spans="3:3" x14ac:dyDescent="0.35">
      <c r="C21687" s="2"/>
    </row>
    <row r="21688" spans="3:3" x14ac:dyDescent="0.35">
      <c r="C21688" s="2"/>
    </row>
    <row r="21689" spans="3:3" x14ac:dyDescent="0.35">
      <c r="C21689" s="2"/>
    </row>
    <row r="21690" spans="3:3" x14ac:dyDescent="0.35">
      <c r="C21690" s="2"/>
    </row>
    <row r="21691" spans="3:3" x14ac:dyDescent="0.35">
      <c r="C21691" s="2"/>
    </row>
    <row r="21692" spans="3:3" x14ac:dyDescent="0.35">
      <c r="C21692" s="2"/>
    </row>
    <row r="21693" spans="3:3" x14ac:dyDescent="0.35">
      <c r="C21693" s="2"/>
    </row>
    <row r="21694" spans="3:3" x14ac:dyDescent="0.35">
      <c r="C21694" s="2"/>
    </row>
    <row r="21695" spans="3:3" x14ac:dyDescent="0.35">
      <c r="C21695" s="2"/>
    </row>
    <row r="21696" spans="3:3" x14ac:dyDescent="0.35">
      <c r="C21696" s="2"/>
    </row>
    <row r="21697" spans="3:3" x14ac:dyDescent="0.35">
      <c r="C21697" s="2"/>
    </row>
    <row r="21698" spans="3:3" x14ac:dyDescent="0.35">
      <c r="C21698" s="2"/>
    </row>
    <row r="21699" spans="3:3" x14ac:dyDescent="0.35">
      <c r="C21699" s="2"/>
    </row>
    <row r="21700" spans="3:3" x14ac:dyDescent="0.35">
      <c r="C21700" s="2"/>
    </row>
    <row r="21701" spans="3:3" x14ac:dyDescent="0.35">
      <c r="C21701" s="2"/>
    </row>
    <row r="21702" spans="3:3" x14ac:dyDescent="0.35">
      <c r="C21702" s="2"/>
    </row>
    <row r="21703" spans="3:3" x14ac:dyDescent="0.35">
      <c r="C21703" s="2"/>
    </row>
    <row r="21704" spans="3:3" x14ac:dyDescent="0.35">
      <c r="C21704" s="2"/>
    </row>
    <row r="21705" spans="3:3" x14ac:dyDescent="0.35">
      <c r="C21705" s="2"/>
    </row>
    <row r="21706" spans="3:3" x14ac:dyDescent="0.35">
      <c r="C21706" s="2"/>
    </row>
    <row r="21707" spans="3:3" x14ac:dyDescent="0.35">
      <c r="C21707" s="2"/>
    </row>
    <row r="21708" spans="3:3" x14ac:dyDescent="0.35">
      <c r="C21708" s="2"/>
    </row>
    <row r="21709" spans="3:3" x14ac:dyDescent="0.35">
      <c r="C21709" s="2"/>
    </row>
    <row r="21710" spans="3:3" x14ac:dyDescent="0.35">
      <c r="C21710" s="2"/>
    </row>
    <row r="21711" spans="3:3" x14ac:dyDescent="0.35">
      <c r="C21711" s="2"/>
    </row>
    <row r="21712" spans="3:3" x14ac:dyDescent="0.35">
      <c r="C21712" s="2"/>
    </row>
    <row r="21713" spans="3:3" x14ac:dyDescent="0.35">
      <c r="C21713" s="2"/>
    </row>
    <row r="21714" spans="3:3" x14ac:dyDescent="0.35">
      <c r="C21714" s="2"/>
    </row>
    <row r="21715" spans="3:3" x14ac:dyDescent="0.35">
      <c r="C21715" s="2"/>
    </row>
    <row r="21716" spans="3:3" x14ac:dyDescent="0.35">
      <c r="C21716" s="2"/>
    </row>
    <row r="21717" spans="3:3" x14ac:dyDescent="0.35">
      <c r="C21717" s="2"/>
    </row>
    <row r="21718" spans="3:3" x14ac:dyDescent="0.35">
      <c r="C21718" s="2"/>
    </row>
    <row r="21719" spans="3:3" x14ac:dyDescent="0.35">
      <c r="C21719" s="2"/>
    </row>
    <row r="21720" spans="3:3" x14ac:dyDescent="0.35">
      <c r="C21720" s="2"/>
    </row>
    <row r="21721" spans="3:3" x14ac:dyDescent="0.35">
      <c r="C21721" s="2"/>
    </row>
    <row r="21722" spans="3:3" x14ac:dyDescent="0.35">
      <c r="C21722" s="2"/>
    </row>
    <row r="21723" spans="3:3" x14ac:dyDescent="0.35">
      <c r="C21723" s="2"/>
    </row>
    <row r="21724" spans="3:3" x14ac:dyDescent="0.35">
      <c r="C21724" s="2"/>
    </row>
    <row r="21725" spans="3:3" x14ac:dyDescent="0.35">
      <c r="C21725" s="2"/>
    </row>
    <row r="21726" spans="3:3" x14ac:dyDescent="0.35">
      <c r="C21726" s="2"/>
    </row>
    <row r="21727" spans="3:3" x14ac:dyDescent="0.35">
      <c r="C21727" s="2"/>
    </row>
    <row r="21728" spans="3:3" x14ac:dyDescent="0.35">
      <c r="C21728" s="2"/>
    </row>
    <row r="21729" spans="3:3" x14ac:dyDescent="0.35">
      <c r="C21729" s="2"/>
    </row>
    <row r="21730" spans="3:3" x14ac:dyDescent="0.35">
      <c r="C21730" s="2"/>
    </row>
    <row r="21731" spans="3:3" x14ac:dyDescent="0.35">
      <c r="C21731" s="2"/>
    </row>
    <row r="21732" spans="3:3" x14ac:dyDescent="0.35">
      <c r="C21732" s="2"/>
    </row>
    <row r="21733" spans="3:3" x14ac:dyDescent="0.35">
      <c r="C21733" s="2"/>
    </row>
    <row r="21734" spans="3:3" x14ac:dyDescent="0.35">
      <c r="C21734" s="2"/>
    </row>
    <row r="21735" spans="3:3" x14ac:dyDescent="0.35">
      <c r="C21735" s="2"/>
    </row>
    <row r="21736" spans="3:3" x14ac:dyDescent="0.35">
      <c r="C21736" s="2"/>
    </row>
    <row r="21737" spans="3:3" x14ac:dyDescent="0.35">
      <c r="C21737" s="2"/>
    </row>
    <row r="21738" spans="3:3" x14ac:dyDescent="0.35">
      <c r="C21738" s="2"/>
    </row>
    <row r="21739" spans="3:3" x14ac:dyDescent="0.35">
      <c r="C21739" s="2"/>
    </row>
    <row r="21740" spans="3:3" x14ac:dyDescent="0.35">
      <c r="C21740" s="2"/>
    </row>
    <row r="21741" spans="3:3" x14ac:dyDescent="0.35">
      <c r="C21741" s="2"/>
    </row>
    <row r="21742" spans="3:3" x14ac:dyDescent="0.35">
      <c r="C21742" s="2"/>
    </row>
    <row r="21743" spans="3:3" x14ac:dyDescent="0.35">
      <c r="C21743" s="2"/>
    </row>
    <row r="21744" spans="3:3" x14ac:dyDescent="0.35">
      <c r="C21744" s="2"/>
    </row>
    <row r="21745" spans="3:3" x14ac:dyDescent="0.35">
      <c r="C21745" s="2"/>
    </row>
    <row r="21746" spans="3:3" x14ac:dyDescent="0.35">
      <c r="C21746" s="2"/>
    </row>
    <row r="21747" spans="3:3" x14ac:dyDescent="0.35">
      <c r="C21747" s="2"/>
    </row>
    <row r="21748" spans="3:3" x14ac:dyDescent="0.35">
      <c r="C21748" s="2"/>
    </row>
    <row r="21749" spans="3:3" x14ac:dyDescent="0.35">
      <c r="C21749" s="2"/>
    </row>
    <row r="21750" spans="3:3" x14ac:dyDescent="0.35">
      <c r="C21750" s="2"/>
    </row>
    <row r="21751" spans="3:3" x14ac:dyDescent="0.35">
      <c r="C21751" s="2"/>
    </row>
    <row r="21752" spans="3:3" x14ac:dyDescent="0.35">
      <c r="C21752" s="2"/>
    </row>
    <row r="21753" spans="3:3" x14ac:dyDescent="0.35">
      <c r="C21753" s="2"/>
    </row>
    <row r="21754" spans="3:3" x14ac:dyDescent="0.35">
      <c r="C21754" s="2"/>
    </row>
    <row r="21755" spans="3:3" x14ac:dyDescent="0.35">
      <c r="C21755" s="2"/>
    </row>
    <row r="21756" spans="3:3" x14ac:dyDescent="0.35">
      <c r="C21756" s="2"/>
    </row>
    <row r="21757" spans="3:3" x14ac:dyDescent="0.35">
      <c r="C21757" s="2"/>
    </row>
    <row r="21758" spans="3:3" x14ac:dyDescent="0.35">
      <c r="C21758" s="2"/>
    </row>
    <row r="21759" spans="3:3" x14ac:dyDescent="0.35">
      <c r="C21759" s="2"/>
    </row>
    <row r="21760" spans="3:3" x14ac:dyDescent="0.35">
      <c r="C21760" s="2"/>
    </row>
    <row r="21761" spans="3:3" x14ac:dyDescent="0.35">
      <c r="C21761" s="2"/>
    </row>
    <row r="21762" spans="3:3" x14ac:dyDescent="0.35">
      <c r="C21762" s="2"/>
    </row>
    <row r="21763" spans="3:3" x14ac:dyDescent="0.35">
      <c r="C21763" s="2"/>
    </row>
    <row r="21764" spans="3:3" x14ac:dyDescent="0.35">
      <c r="C21764" s="2"/>
    </row>
    <row r="21765" spans="3:3" x14ac:dyDescent="0.35">
      <c r="C21765" s="2"/>
    </row>
    <row r="21766" spans="3:3" x14ac:dyDescent="0.35">
      <c r="C21766" s="2"/>
    </row>
    <row r="21767" spans="3:3" x14ac:dyDescent="0.35">
      <c r="C21767" s="2"/>
    </row>
    <row r="21768" spans="3:3" x14ac:dyDescent="0.35">
      <c r="C21768" s="2"/>
    </row>
    <row r="21769" spans="3:3" x14ac:dyDescent="0.35">
      <c r="C21769" s="2"/>
    </row>
    <row r="21770" spans="3:3" x14ac:dyDescent="0.35">
      <c r="C21770" s="2"/>
    </row>
    <row r="21771" spans="3:3" x14ac:dyDescent="0.35">
      <c r="C21771" s="2"/>
    </row>
    <row r="21772" spans="3:3" x14ac:dyDescent="0.35">
      <c r="C21772" s="2"/>
    </row>
    <row r="21773" spans="3:3" x14ac:dyDescent="0.35">
      <c r="C21773" s="2"/>
    </row>
    <row r="21774" spans="3:3" x14ac:dyDescent="0.35">
      <c r="C21774" s="2"/>
    </row>
    <row r="21775" spans="3:3" x14ac:dyDescent="0.35">
      <c r="C21775" s="2"/>
    </row>
    <row r="21776" spans="3:3" x14ac:dyDescent="0.35">
      <c r="C21776" s="2"/>
    </row>
    <row r="21777" spans="3:3" x14ac:dyDescent="0.35">
      <c r="C21777" s="2"/>
    </row>
    <row r="21778" spans="3:3" x14ac:dyDescent="0.35">
      <c r="C21778" s="2"/>
    </row>
    <row r="21779" spans="3:3" x14ac:dyDescent="0.35">
      <c r="C21779" s="2"/>
    </row>
    <row r="21780" spans="3:3" x14ac:dyDescent="0.35">
      <c r="C21780" s="2"/>
    </row>
    <row r="21781" spans="3:3" x14ac:dyDescent="0.35">
      <c r="C21781" s="2"/>
    </row>
    <row r="21782" spans="3:3" x14ac:dyDescent="0.35">
      <c r="C21782" s="2"/>
    </row>
    <row r="21783" spans="3:3" x14ac:dyDescent="0.35">
      <c r="C21783" s="2"/>
    </row>
    <row r="21784" spans="3:3" x14ac:dyDescent="0.35">
      <c r="C21784" s="2"/>
    </row>
    <row r="21785" spans="3:3" x14ac:dyDescent="0.35">
      <c r="C21785" s="2"/>
    </row>
    <row r="21786" spans="3:3" x14ac:dyDescent="0.35">
      <c r="C21786" s="2"/>
    </row>
    <row r="21787" spans="3:3" x14ac:dyDescent="0.35">
      <c r="C21787" s="2"/>
    </row>
    <row r="21788" spans="3:3" x14ac:dyDescent="0.35">
      <c r="C21788" s="2"/>
    </row>
    <row r="21789" spans="3:3" x14ac:dyDescent="0.35">
      <c r="C21789" s="2"/>
    </row>
    <row r="21790" spans="3:3" x14ac:dyDescent="0.35">
      <c r="C21790" s="2"/>
    </row>
    <row r="21791" spans="3:3" x14ac:dyDescent="0.35">
      <c r="C21791" s="2"/>
    </row>
    <row r="21792" spans="3:3" x14ac:dyDescent="0.35">
      <c r="C21792" s="2"/>
    </row>
    <row r="21793" spans="3:3" x14ac:dyDescent="0.35">
      <c r="C21793" s="2"/>
    </row>
    <row r="21794" spans="3:3" x14ac:dyDescent="0.35">
      <c r="C21794" s="2"/>
    </row>
    <row r="21795" spans="3:3" x14ac:dyDescent="0.35">
      <c r="C21795" s="2"/>
    </row>
    <row r="21796" spans="3:3" x14ac:dyDescent="0.35">
      <c r="C21796" s="2"/>
    </row>
    <row r="21797" spans="3:3" x14ac:dyDescent="0.35">
      <c r="C21797" s="2"/>
    </row>
    <row r="21798" spans="3:3" x14ac:dyDescent="0.35">
      <c r="C21798" s="2"/>
    </row>
    <row r="21799" spans="3:3" x14ac:dyDescent="0.35">
      <c r="C21799" s="2"/>
    </row>
    <row r="21800" spans="3:3" x14ac:dyDescent="0.35">
      <c r="C21800" s="2"/>
    </row>
    <row r="21801" spans="3:3" x14ac:dyDescent="0.35">
      <c r="C21801" s="2"/>
    </row>
    <row r="21802" spans="3:3" x14ac:dyDescent="0.35">
      <c r="C21802" s="2"/>
    </row>
    <row r="21803" spans="3:3" x14ac:dyDescent="0.35">
      <c r="C21803" s="2"/>
    </row>
    <row r="21804" spans="3:3" x14ac:dyDescent="0.35">
      <c r="C21804" s="2"/>
    </row>
    <row r="21805" spans="3:3" x14ac:dyDescent="0.35">
      <c r="C21805" s="2"/>
    </row>
    <row r="21806" spans="3:3" x14ac:dyDescent="0.35">
      <c r="C21806" s="2"/>
    </row>
    <row r="21807" spans="3:3" x14ac:dyDescent="0.35">
      <c r="C21807" s="2"/>
    </row>
    <row r="21808" spans="3:3" x14ac:dyDescent="0.35">
      <c r="C21808" s="2"/>
    </row>
    <row r="21809" spans="3:3" x14ac:dyDescent="0.35">
      <c r="C21809" s="2"/>
    </row>
    <row r="21810" spans="3:3" x14ac:dyDescent="0.35">
      <c r="C21810" s="2"/>
    </row>
    <row r="21811" spans="3:3" x14ac:dyDescent="0.35">
      <c r="C21811" s="2"/>
    </row>
    <row r="21812" spans="3:3" x14ac:dyDescent="0.35">
      <c r="C21812" s="2"/>
    </row>
    <row r="21813" spans="3:3" x14ac:dyDescent="0.35">
      <c r="C21813" s="2"/>
    </row>
    <row r="21814" spans="3:3" x14ac:dyDescent="0.35">
      <c r="C21814" s="2"/>
    </row>
    <row r="21815" spans="3:3" x14ac:dyDescent="0.35">
      <c r="C21815" s="2"/>
    </row>
    <row r="21816" spans="3:3" x14ac:dyDescent="0.35">
      <c r="C21816" s="2"/>
    </row>
    <row r="21817" spans="3:3" x14ac:dyDescent="0.35">
      <c r="C21817" s="2"/>
    </row>
    <row r="21818" spans="3:3" x14ac:dyDescent="0.35">
      <c r="C21818" s="2"/>
    </row>
    <row r="21819" spans="3:3" x14ac:dyDescent="0.35">
      <c r="C21819" s="2"/>
    </row>
    <row r="21820" spans="3:3" x14ac:dyDescent="0.35">
      <c r="C21820" s="2"/>
    </row>
    <row r="21821" spans="3:3" x14ac:dyDescent="0.35">
      <c r="C21821" s="2"/>
    </row>
    <row r="21822" spans="3:3" x14ac:dyDescent="0.35">
      <c r="C21822" s="2"/>
    </row>
    <row r="21823" spans="3:3" x14ac:dyDescent="0.35">
      <c r="C21823" s="2"/>
    </row>
    <row r="21824" spans="3:3" x14ac:dyDescent="0.35">
      <c r="C21824" s="2"/>
    </row>
    <row r="21825" spans="3:3" x14ac:dyDescent="0.35">
      <c r="C21825" s="2"/>
    </row>
    <row r="21826" spans="3:3" x14ac:dyDescent="0.35">
      <c r="C21826" s="2"/>
    </row>
    <row r="21827" spans="3:3" x14ac:dyDescent="0.35">
      <c r="C21827" s="2"/>
    </row>
    <row r="21828" spans="3:3" x14ac:dyDescent="0.35">
      <c r="C21828" s="2"/>
    </row>
    <row r="21829" spans="3:3" x14ac:dyDescent="0.35">
      <c r="C21829" s="2"/>
    </row>
    <row r="21830" spans="3:3" x14ac:dyDescent="0.35">
      <c r="C21830" s="2"/>
    </row>
    <row r="21831" spans="3:3" x14ac:dyDescent="0.35">
      <c r="C21831" s="2"/>
    </row>
    <row r="21832" spans="3:3" x14ac:dyDescent="0.35">
      <c r="C21832" s="2"/>
    </row>
    <row r="21833" spans="3:3" x14ac:dyDescent="0.35">
      <c r="C21833" s="2"/>
    </row>
    <row r="21834" spans="3:3" x14ac:dyDescent="0.35">
      <c r="C21834" s="2"/>
    </row>
    <row r="21835" spans="3:3" x14ac:dyDescent="0.35">
      <c r="C21835" s="2"/>
    </row>
    <row r="21836" spans="3:3" x14ac:dyDescent="0.35">
      <c r="C21836" s="2"/>
    </row>
    <row r="21837" spans="3:3" x14ac:dyDescent="0.35">
      <c r="C21837" s="2"/>
    </row>
    <row r="21838" spans="3:3" x14ac:dyDescent="0.35">
      <c r="C21838" s="2"/>
    </row>
    <row r="21839" spans="3:3" x14ac:dyDescent="0.35">
      <c r="C21839" s="2"/>
    </row>
    <row r="21840" spans="3:3" x14ac:dyDescent="0.35">
      <c r="C21840" s="2"/>
    </row>
    <row r="21841" spans="3:3" x14ac:dyDescent="0.35">
      <c r="C21841" s="2"/>
    </row>
    <row r="21842" spans="3:3" x14ac:dyDescent="0.35">
      <c r="C21842" s="2"/>
    </row>
    <row r="21843" spans="3:3" x14ac:dyDescent="0.35">
      <c r="C21843" s="2"/>
    </row>
    <row r="21844" spans="3:3" x14ac:dyDescent="0.35">
      <c r="C21844" s="2"/>
    </row>
    <row r="21845" spans="3:3" x14ac:dyDescent="0.35">
      <c r="C21845" s="2"/>
    </row>
    <row r="21846" spans="3:3" x14ac:dyDescent="0.35">
      <c r="C21846" s="2"/>
    </row>
    <row r="21847" spans="3:3" x14ac:dyDescent="0.35">
      <c r="C21847" s="2"/>
    </row>
    <row r="21848" spans="3:3" x14ac:dyDescent="0.35">
      <c r="C21848" s="2"/>
    </row>
    <row r="21849" spans="3:3" x14ac:dyDescent="0.35">
      <c r="C21849" s="2"/>
    </row>
    <row r="21850" spans="3:3" x14ac:dyDescent="0.35">
      <c r="C21850" s="2"/>
    </row>
    <row r="21851" spans="3:3" x14ac:dyDescent="0.35">
      <c r="C21851" s="2"/>
    </row>
    <row r="21852" spans="3:3" x14ac:dyDescent="0.35">
      <c r="C21852" s="2"/>
    </row>
    <row r="21853" spans="3:3" x14ac:dyDescent="0.35">
      <c r="C21853" s="2"/>
    </row>
    <row r="21854" spans="3:3" x14ac:dyDescent="0.35">
      <c r="C21854" s="2"/>
    </row>
    <row r="21855" spans="3:3" x14ac:dyDescent="0.35">
      <c r="C21855" s="2"/>
    </row>
    <row r="21856" spans="3:3" x14ac:dyDescent="0.35">
      <c r="C21856" s="2"/>
    </row>
    <row r="21857" spans="3:3" x14ac:dyDescent="0.35">
      <c r="C21857" s="2"/>
    </row>
    <row r="21858" spans="3:3" x14ac:dyDescent="0.35">
      <c r="C21858" s="2"/>
    </row>
    <row r="21859" spans="3:3" x14ac:dyDescent="0.35">
      <c r="C21859" s="2"/>
    </row>
    <row r="21860" spans="3:3" x14ac:dyDescent="0.35">
      <c r="C21860" s="2"/>
    </row>
    <row r="21861" spans="3:3" x14ac:dyDescent="0.35">
      <c r="C21861" s="2"/>
    </row>
    <row r="21862" spans="3:3" x14ac:dyDescent="0.35">
      <c r="C21862" s="2"/>
    </row>
    <row r="21863" spans="3:3" x14ac:dyDescent="0.35">
      <c r="C21863" s="2"/>
    </row>
    <row r="21864" spans="3:3" x14ac:dyDescent="0.35">
      <c r="C21864" s="2"/>
    </row>
    <row r="21865" spans="3:3" x14ac:dyDescent="0.35">
      <c r="C21865" s="2"/>
    </row>
    <row r="21866" spans="3:3" x14ac:dyDescent="0.35">
      <c r="C21866" s="2"/>
    </row>
    <row r="21867" spans="3:3" x14ac:dyDescent="0.35">
      <c r="C21867" s="2"/>
    </row>
    <row r="21868" spans="3:3" x14ac:dyDescent="0.35">
      <c r="C21868" s="2"/>
    </row>
    <row r="21869" spans="3:3" x14ac:dyDescent="0.35">
      <c r="C21869" s="2"/>
    </row>
    <row r="21870" spans="3:3" x14ac:dyDescent="0.35">
      <c r="C21870" s="2"/>
    </row>
    <row r="21871" spans="3:3" x14ac:dyDescent="0.35">
      <c r="C21871" s="2"/>
    </row>
    <row r="21872" spans="3:3" x14ac:dyDescent="0.35">
      <c r="C21872" s="2"/>
    </row>
    <row r="21873" spans="3:3" x14ac:dyDescent="0.35">
      <c r="C21873" s="2"/>
    </row>
    <row r="21874" spans="3:3" x14ac:dyDescent="0.35">
      <c r="C21874" s="2"/>
    </row>
    <row r="21875" spans="3:3" x14ac:dyDescent="0.35">
      <c r="C21875" s="2"/>
    </row>
    <row r="21876" spans="3:3" x14ac:dyDescent="0.35">
      <c r="C21876" s="2"/>
    </row>
    <row r="21877" spans="3:3" x14ac:dyDescent="0.35">
      <c r="C21877" s="2"/>
    </row>
    <row r="21878" spans="3:3" x14ac:dyDescent="0.35">
      <c r="C21878" s="2"/>
    </row>
    <row r="21879" spans="3:3" x14ac:dyDescent="0.35">
      <c r="C21879" s="2"/>
    </row>
    <row r="21880" spans="3:3" x14ac:dyDescent="0.35">
      <c r="C21880" s="2"/>
    </row>
    <row r="21881" spans="3:3" x14ac:dyDescent="0.35">
      <c r="C21881" s="2"/>
    </row>
    <row r="21882" spans="3:3" x14ac:dyDescent="0.35">
      <c r="C21882" s="2"/>
    </row>
    <row r="21883" spans="3:3" x14ac:dyDescent="0.35">
      <c r="C21883" s="2"/>
    </row>
    <row r="21884" spans="3:3" x14ac:dyDescent="0.35">
      <c r="C21884" s="2"/>
    </row>
    <row r="21885" spans="3:3" x14ac:dyDescent="0.35">
      <c r="C21885" s="2"/>
    </row>
    <row r="21886" spans="3:3" x14ac:dyDescent="0.35">
      <c r="C21886" s="2"/>
    </row>
    <row r="21887" spans="3:3" x14ac:dyDescent="0.35">
      <c r="C21887" s="2"/>
    </row>
    <row r="21888" spans="3:3" x14ac:dyDescent="0.35">
      <c r="C21888" s="2"/>
    </row>
    <row r="21889" spans="3:3" x14ac:dyDescent="0.35">
      <c r="C21889" s="2"/>
    </row>
    <row r="21890" spans="3:3" x14ac:dyDescent="0.35">
      <c r="C21890" s="2"/>
    </row>
    <row r="21891" spans="3:3" x14ac:dyDescent="0.35">
      <c r="C21891" s="2"/>
    </row>
    <row r="21892" spans="3:3" x14ac:dyDescent="0.35">
      <c r="C21892" s="2"/>
    </row>
    <row r="21893" spans="3:3" x14ac:dyDescent="0.35">
      <c r="C21893" s="2"/>
    </row>
    <row r="21894" spans="3:3" x14ac:dyDescent="0.35">
      <c r="C21894" s="2"/>
    </row>
    <row r="21895" spans="3:3" x14ac:dyDescent="0.35">
      <c r="C21895" s="2"/>
    </row>
    <row r="21896" spans="3:3" x14ac:dyDescent="0.35">
      <c r="C21896" s="2"/>
    </row>
    <row r="21897" spans="3:3" x14ac:dyDescent="0.35">
      <c r="C21897" s="2"/>
    </row>
    <row r="21898" spans="3:3" x14ac:dyDescent="0.35">
      <c r="C21898" s="2"/>
    </row>
    <row r="21899" spans="3:3" x14ac:dyDescent="0.35">
      <c r="C21899" s="2"/>
    </row>
    <row r="21900" spans="3:3" x14ac:dyDescent="0.35">
      <c r="C21900" s="2"/>
    </row>
    <row r="21901" spans="3:3" x14ac:dyDescent="0.35">
      <c r="C21901" s="2"/>
    </row>
    <row r="21902" spans="3:3" x14ac:dyDescent="0.35">
      <c r="C21902" s="2"/>
    </row>
    <row r="21903" spans="3:3" x14ac:dyDescent="0.35">
      <c r="C21903" s="2"/>
    </row>
    <row r="21904" spans="3:3" x14ac:dyDescent="0.35">
      <c r="C21904" s="2"/>
    </row>
    <row r="21905" spans="3:3" x14ac:dyDescent="0.35">
      <c r="C21905" s="2"/>
    </row>
    <row r="21906" spans="3:3" x14ac:dyDescent="0.35">
      <c r="C21906" s="2"/>
    </row>
    <row r="21907" spans="3:3" x14ac:dyDescent="0.35">
      <c r="C21907" s="2"/>
    </row>
    <row r="21908" spans="3:3" x14ac:dyDescent="0.35">
      <c r="C21908" s="2"/>
    </row>
    <row r="21909" spans="3:3" x14ac:dyDescent="0.35">
      <c r="C21909" s="2"/>
    </row>
    <row r="21910" spans="3:3" x14ac:dyDescent="0.35">
      <c r="C21910" s="2"/>
    </row>
    <row r="21911" spans="3:3" x14ac:dyDescent="0.35">
      <c r="C21911" s="2"/>
    </row>
    <row r="21912" spans="3:3" x14ac:dyDescent="0.35">
      <c r="C21912" s="2"/>
    </row>
    <row r="21913" spans="3:3" x14ac:dyDescent="0.35">
      <c r="C21913" s="2"/>
    </row>
    <row r="21914" spans="3:3" x14ac:dyDescent="0.35">
      <c r="C21914" s="2"/>
    </row>
    <row r="21915" spans="3:3" x14ac:dyDescent="0.35">
      <c r="C21915" s="2"/>
    </row>
    <row r="21916" spans="3:3" x14ac:dyDescent="0.35">
      <c r="C21916" s="2"/>
    </row>
    <row r="21917" spans="3:3" x14ac:dyDescent="0.35">
      <c r="C21917" s="2"/>
    </row>
    <row r="21918" spans="3:3" x14ac:dyDescent="0.35">
      <c r="C21918" s="2"/>
    </row>
    <row r="21919" spans="3:3" x14ac:dyDescent="0.35">
      <c r="C21919" s="2"/>
    </row>
    <row r="21920" spans="3:3" x14ac:dyDescent="0.35">
      <c r="C21920" s="2"/>
    </row>
    <row r="21921" spans="3:3" x14ac:dyDescent="0.35">
      <c r="C21921" s="2"/>
    </row>
    <row r="21922" spans="3:3" x14ac:dyDescent="0.35">
      <c r="C21922" s="2"/>
    </row>
    <row r="21923" spans="3:3" x14ac:dyDescent="0.35">
      <c r="C21923" s="2"/>
    </row>
    <row r="21924" spans="3:3" x14ac:dyDescent="0.35">
      <c r="C21924" s="2"/>
    </row>
    <row r="21925" spans="3:3" x14ac:dyDescent="0.35">
      <c r="C21925" s="2"/>
    </row>
    <row r="21926" spans="3:3" x14ac:dyDescent="0.35">
      <c r="C21926" s="2"/>
    </row>
    <row r="21927" spans="3:3" x14ac:dyDescent="0.35">
      <c r="C21927" s="2"/>
    </row>
    <row r="21928" spans="3:3" x14ac:dyDescent="0.35">
      <c r="C21928" s="2"/>
    </row>
    <row r="21929" spans="3:3" x14ac:dyDescent="0.35">
      <c r="C21929" s="2"/>
    </row>
    <row r="21930" spans="3:3" x14ac:dyDescent="0.35">
      <c r="C21930" s="2"/>
    </row>
    <row r="21931" spans="3:3" x14ac:dyDescent="0.35">
      <c r="C21931" s="2"/>
    </row>
    <row r="21932" spans="3:3" x14ac:dyDescent="0.35">
      <c r="C21932" s="2"/>
    </row>
    <row r="21933" spans="3:3" x14ac:dyDescent="0.35">
      <c r="C21933" s="2"/>
    </row>
    <row r="21934" spans="3:3" x14ac:dyDescent="0.35">
      <c r="C21934" s="2"/>
    </row>
    <row r="21935" spans="3:3" x14ac:dyDescent="0.35">
      <c r="C21935" s="2"/>
    </row>
    <row r="21936" spans="3:3" x14ac:dyDescent="0.35">
      <c r="C21936" s="2"/>
    </row>
    <row r="21937" spans="3:3" x14ac:dyDescent="0.35">
      <c r="C21937" s="2"/>
    </row>
    <row r="21938" spans="3:3" x14ac:dyDescent="0.35">
      <c r="C21938" s="2"/>
    </row>
    <row r="21939" spans="3:3" x14ac:dyDescent="0.35">
      <c r="C21939" s="2"/>
    </row>
    <row r="21940" spans="3:3" x14ac:dyDescent="0.35">
      <c r="C21940" s="2"/>
    </row>
    <row r="21941" spans="3:3" x14ac:dyDescent="0.35">
      <c r="C21941" s="2"/>
    </row>
    <row r="21942" spans="3:3" x14ac:dyDescent="0.35">
      <c r="C21942" s="2"/>
    </row>
    <row r="21943" spans="3:3" x14ac:dyDescent="0.35">
      <c r="C21943" s="2"/>
    </row>
    <row r="21944" spans="3:3" x14ac:dyDescent="0.35">
      <c r="C21944" s="2"/>
    </row>
    <row r="21945" spans="3:3" x14ac:dyDescent="0.35">
      <c r="C21945" s="2"/>
    </row>
    <row r="21946" spans="3:3" x14ac:dyDescent="0.35">
      <c r="C21946" s="2"/>
    </row>
    <row r="21947" spans="3:3" x14ac:dyDescent="0.35">
      <c r="C21947" s="2"/>
    </row>
    <row r="21948" spans="3:3" x14ac:dyDescent="0.35">
      <c r="C21948" s="2"/>
    </row>
    <row r="21949" spans="3:3" x14ac:dyDescent="0.35">
      <c r="C21949" s="2"/>
    </row>
    <row r="21950" spans="3:3" x14ac:dyDescent="0.35">
      <c r="C21950" s="2"/>
    </row>
    <row r="21951" spans="3:3" x14ac:dyDescent="0.35">
      <c r="C21951" s="2"/>
    </row>
    <row r="21952" spans="3:3" x14ac:dyDescent="0.35">
      <c r="C21952" s="2"/>
    </row>
    <row r="21953" spans="3:3" x14ac:dyDescent="0.35">
      <c r="C21953" s="2"/>
    </row>
    <row r="21954" spans="3:3" x14ac:dyDescent="0.35">
      <c r="C21954" s="2"/>
    </row>
    <row r="21955" spans="3:3" x14ac:dyDescent="0.35">
      <c r="C21955" s="2"/>
    </row>
    <row r="21956" spans="3:3" x14ac:dyDescent="0.35">
      <c r="C21956" s="2"/>
    </row>
    <row r="21957" spans="3:3" x14ac:dyDescent="0.35">
      <c r="C21957" s="2"/>
    </row>
    <row r="21958" spans="3:3" x14ac:dyDescent="0.35">
      <c r="C21958" s="2"/>
    </row>
    <row r="21959" spans="3:3" x14ac:dyDescent="0.35">
      <c r="C21959" s="2"/>
    </row>
    <row r="21960" spans="3:3" x14ac:dyDescent="0.35">
      <c r="C21960" s="2"/>
    </row>
    <row r="21961" spans="3:3" x14ac:dyDescent="0.35">
      <c r="C21961" s="2"/>
    </row>
    <row r="21962" spans="3:3" x14ac:dyDescent="0.35">
      <c r="C21962" s="2"/>
    </row>
    <row r="21963" spans="3:3" x14ac:dyDescent="0.35">
      <c r="C21963" s="2"/>
    </row>
    <row r="21964" spans="3:3" x14ac:dyDescent="0.35">
      <c r="C21964" s="2"/>
    </row>
    <row r="21965" spans="3:3" x14ac:dyDescent="0.35">
      <c r="C21965" s="2"/>
    </row>
    <row r="21966" spans="3:3" x14ac:dyDescent="0.35">
      <c r="C21966" s="2"/>
    </row>
    <row r="21967" spans="3:3" x14ac:dyDescent="0.35">
      <c r="C21967" s="2"/>
    </row>
    <row r="21968" spans="3:3" x14ac:dyDescent="0.35">
      <c r="C21968" s="2"/>
    </row>
    <row r="21969" spans="3:3" x14ac:dyDescent="0.35">
      <c r="C21969" s="2"/>
    </row>
    <row r="21970" spans="3:3" x14ac:dyDescent="0.35">
      <c r="C21970" s="2"/>
    </row>
    <row r="21971" spans="3:3" x14ac:dyDescent="0.35">
      <c r="C21971" s="2"/>
    </row>
    <row r="21972" spans="3:3" x14ac:dyDescent="0.35">
      <c r="C21972" s="2"/>
    </row>
    <row r="21973" spans="3:3" x14ac:dyDescent="0.35">
      <c r="C21973" s="2"/>
    </row>
    <row r="21974" spans="3:3" x14ac:dyDescent="0.35">
      <c r="C21974" s="2"/>
    </row>
    <row r="21975" spans="3:3" x14ac:dyDescent="0.35">
      <c r="C21975" s="2"/>
    </row>
    <row r="21976" spans="3:3" x14ac:dyDescent="0.35">
      <c r="C21976" s="2"/>
    </row>
    <row r="21977" spans="3:3" x14ac:dyDescent="0.35">
      <c r="C21977" s="2"/>
    </row>
    <row r="21978" spans="3:3" x14ac:dyDescent="0.35">
      <c r="C21978" s="2"/>
    </row>
    <row r="21979" spans="3:3" x14ac:dyDescent="0.35">
      <c r="C21979" s="2"/>
    </row>
    <row r="21980" spans="3:3" x14ac:dyDescent="0.35">
      <c r="C21980" s="2"/>
    </row>
    <row r="21981" spans="3:3" x14ac:dyDescent="0.35">
      <c r="C21981" s="2"/>
    </row>
    <row r="21982" spans="3:3" x14ac:dyDescent="0.35">
      <c r="C21982" s="2"/>
    </row>
    <row r="21983" spans="3:3" x14ac:dyDescent="0.35">
      <c r="C21983" s="2"/>
    </row>
    <row r="21984" spans="3:3" x14ac:dyDescent="0.35">
      <c r="C21984" s="2"/>
    </row>
    <row r="21985" spans="3:3" x14ac:dyDescent="0.35">
      <c r="C21985" s="2"/>
    </row>
    <row r="21986" spans="3:3" x14ac:dyDescent="0.35">
      <c r="C21986" s="2"/>
    </row>
    <row r="21987" spans="3:3" x14ac:dyDescent="0.35">
      <c r="C21987" s="2"/>
    </row>
    <row r="21988" spans="3:3" x14ac:dyDescent="0.35">
      <c r="C21988" s="2"/>
    </row>
    <row r="21989" spans="3:3" x14ac:dyDescent="0.35">
      <c r="C21989" s="2"/>
    </row>
    <row r="21990" spans="3:3" x14ac:dyDescent="0.35">
      <c r="C21990" s="2"/>
    </row>
    <row r="21991" spans="3:3" x14ac:dyDescent="0.35">
      <c r="C21991" s="2"/>
    </row>
    <row r="21992" spans="3:3" x14ac:dyDescent="0.35">
      <c r="C21992" s="2"/>
    </row>
    <row r="21993" spans="3:3" x14ac:dyDescent="0.35">
      <c r="C21993" s="2"/>
    </row>
    <row r="21994" spans="3:3" x14ac:dyDescent="0.35">
      <c r="C21994" s="2"/>
    </row>
    <row r="21995" spans="3:3" x14ac:dyDescent="0.35">
      <c r="C21995" s="2"/>
    </row>
    <row r="21996" spans="3:3" x14ac:dyDescent="0.35">
      <c r="C21996" s="2"/>
    </row>
    <row r="21997" spans="3:3" x14ac:dyDescent="0.35">
      <c r="C21997" s="2"/>
    </row>
    <row r="21998" spans="3:3" x14ac:dyDescent="0.35">
      <c r="C21998" s="2"/>
    </row>
    <row r="21999" spans="3:3" x14ac:dyDescent="0.35">
      <c r="C21999" s="2"/>
    </row>
    <row r="22000" spans="3:3" x14ac:dyDescent="0.35">
      <c r="C22000" s="2"/>
    </row>
    <row r="22001" spans="3:3" x14ac:dyDescent="0.35">
      <c r="C22001" s="2"/>
    </row>
    <row r="22002" spans="3:3" x14ac:dyDescent="0.35">
      <c r="C22002" s="2"/>
    </row>
    <row r="22003" spans="3:3" x14ac:dyDescent="0.35">
      <c r="C22003" s="2"/>
    </row>
    <row r="22004" spans="3:3" x14ac:dyDescent="0.35">
      <c r="C22004" s="2"/>
    </row>
    <row r="22005" spans="3:3" x14ac:dyDescent="0.35">
      <c r="C22005" s="2"/>
    </row>
    <row r="22006" spans="3:3" x14ac:dyDescent="0.35">
      <c r="C22006" s="2"/>
    </row>
    <row r="22007" spans="3:3" x14ac:dyDescent="0.35">
      <c r="C22007" s="2"/>
    </row>
    <row r="22008" spans="3:3" x14ac:dyDescent="0.35">
      <c r="C22008" s="2"/>
    </row>
    <row r="22009" spans="3:3" x14ac:dyDescent="0.35">
      <c r="C22009" s="2"/>
    </row>
    <row r="22010" spans="3:3" x14ac:dyDescent="0.35">
      <c r="C22010" s="2"/>
    </row>
    <row r="22011" spans="3:3" x14ac:dyDescent="0.35">
      <c r="C22011" s="2"/>
    </row>
    <row r="22012" spans="3:3" x14ac:dyDescent="0.35">
      <c r="C22012" s="2"/>
    </row>
    <row r="22013" spans="3:3" x14ac:dyDescent="0.35">
      <c r="C22013" s="2"/>
    </row>
    <row r="22014" spans="3:3" x14ac:dyDescent="0.35">
      <c r="C22014" s="2"/>
    </row>
    <row r="22015" spans="3:3" x14ac:dyDescent="0.35">
      <c r="C22015" s="2"/>
    </row>
    <row r="22016" spans="3:3" x14ac:dyDescent="0.35">
      <c r="C22016" s="2"/>
    </row>
    <row r="22017" spans="3:3" x14ac:dyDescent="0.35">
      <c r="C22017" s="2"/>
    </row>
    <row r="22018" spans="3:3" x14ac:dyDescent="0.35">
      <c r="C22018" s="2"/>
    </row>
    <row r="22019" spans="3:3" x14ac:dyDescent="0.35">
      <c r="C22019" s="2"/>
    </row>
    <row r="22020" spans="3:3" x14ac:dyDescent="0.35">
      <c r="C22020" s="2"/>
    </row>
    <row r="22021" spans="3:3" x14ac:dyDescent="0.35">
      <c r="C22021" s="2"/>
    </row>
    <row r="22022" spans="3:3" x14ac:dyDescent="0.35">
      <c r="C22022" s="2"/>
    </row>
    <row r="22023" spans="3:3" x14ac:dyDescent="0.35">
      <c r="C22023" s="2"/>
    </row>
    <row r="22024" spans="3:3" x14ac:dyDescent="0.35">
      <c r="C22024" s="2"/>
    </row>
    <row r="22025" spans="3:3" x14ac:dyDescent="0.35">
      <c r="C22025" s="2"/>
    </row>
    <row r="22026" spans="3:3" x14ac:dyDescent="0.35">
      <c r="C22026" s="2"/>
    </row>
    <row r="22027" spans="3:3" x14ac:dyDescent="0.35">
      <c r="C22027" s="2"/>
    </row>
    <row r="22028" spans="3:3" x14ac:dyDescent="0.35">
      <c r="C22028" s="2"/>
    </row>
    <row r="22029" spans="3:3" x14ac:dyDescent="0.35">
      <c r="C22029" s="2"/>
    </row>
    <row r="22030" spans="3:3" x14ac:dyDescent="0.35">
      <c r="C22030" s="2"/>
    </row>
    <row r="22031" spans="3:3" x14ac:dyDescent="0.35">
      <c r="C22031" s="2"/>
    </row>
    <row r="22032" spans="3:3" x14ac:dyDescent="0.35">
      <c r="C22032" s="2"/>
    </row>
    <row r="22033" spans="3:3" x14ac:dyDescent="0.35">
      <c r="C22033" s="2"/>
    </row>
    <row r="22034" spans="3:3" x14ac:dyDescent="0.35">
      <c r="C22034" s="2"/>
    </row>
    <row r="22035" spans="3:3" x14ac:dyDescent="0.35">
      <c r="C22035" s="2"/>
    </row>
    <row r="22036" spans="3:3" x14ac:dyDescent="0.35">
      <c r="C22036" s="2"/>
    </row>
    <row r="22037" spans="3:3" x14ac:dyDescent="0.35">
      <c r="C22037" s="2"/>
    </row>
    <row r="22038" spans="3:3" x14ac:dyDescent="0.35">
      <c r="C22038" s="2"/>
    </row>
    <row r="22039" spans="3:3" x14ac:dyDescent="0.35">
      <c r="C22039" s="2"/>
    </row>
    <row r="22040" spans="3:3" x14ac:dyDescent="0.35">
      <c r="C22040" s="2"/>
    </row>
    <row r="22041" spans="3:3" x14ac:dyDescent="0.35">
      <c r="C22041" s="2"/>
    </row>
    <row r="22042" spans="3:3" x14ac:dyDescent="0.35">
      <c r="C22042" s="2"/>
    </row>
    <row r="22043" spans="3:3" x14ac:dyDescent="0.35">
      <c r="C22043" s="2"/>
    </row>
    <row r="22044" spans="3:3" x14ac:dyDescent="0.35">
      <c r="C22044" s="2"/>
    </row>
    <row r="22045" spans="3:3" x14ac:dyDescent="0.35">
      <c r="C22045" s="2"/>
    </row>
    <row r="22046" spans="3:3" x14ac:dyDescent="0.35">
      <c r="C22046" s="2"/>
    </row>
    <row r="22047" spans="3:3" x14ac:dyDescent="0.35">
      <c r="C22047" s="2"/>
    </row>
    <row r="22048" spans="3:3" x14ac:dyDescent="0.35">
      <c r="C22048" s="2"/>
    </row>
    <row r="22049" spans="3:3" x14ac:dyDescent="0.35">
      <c r="C22049" s="2"/>
    </row>
    <row r="22050" spans="3:3" x14ac:dyDescent="0.35">
      <c r="C22050" s="2"/>
    </row>
    <row r="22051" spans="3:3" x14ac:dyDescent="0.35">
      <c r="C22051" s="2"/>
    </row>
    <row r="22052" spans="3:3" x14ac:dyDescent="0.35">
      <c r="C22052" s="2"/>
    </row>
    <row r="22053" spans="3:3" x14ac:dyDescent="0.35">
      <c r="C22053" s="2"/>
    </row>
    <row r="22054" spans="3:3" x14ac:dyDescent="0.35">
      <c r="C22054" s="2"/>
    </row>
    <row r="22055" spans="3:3" x14ac:dyDescent="0.35">
      <c r="C22055" s="2"/>
    </row>
    <row r="22056" spans="3:3" x14ac:dyDescent="0.35">
      <c r="C22056" s="2"/>
    </row>
    <row r="22057" spans="3:3" x14ac:dyDescent="0.35">
      <c r="C22057" s="2"/>
    </row>
    <row r="22058" spans="3:3" x14ac:dyDescent="0.35">
      <c r="C22058" s="2"/>
    </row>
    <row r="22059" spans="3:3" x14ac:dyDescent="0.35">
      <c r="C22059" s="2"/>
    </row>
    <row r="22060" spans="3:3" x14ac:dyDescent="0.35">
      <c r="C22060" s="2"/>
    </row>
    <row r="22061" spans="3:3" x14ac:dyDescent="0.35">
      <c r="C22061" s="2"/>
    </row>
    <row r="22062" spans="3:3" x14ac:dyDescent="0.35">
      <c r="C22062" s="2"/>
    </row>
    <row r="22063" spans="3:3" x14ac:dyDescent="0.35">
      <c r="C22063" s="2"/>
    </row>
    <row r="22064" spans="3:3" x14ac:dyDescent="0.35">
      <c r="C22064" s="2"/>
    </row>
    <row r="22065" spans="3:3" x14ac:dyDescent="0.35">
      <c r="C22065" s="2"/>
    </row>
    <row r="22066" spans="3:3" x14ac:dyDescent="0.35">
      <c r="C22066" s="2"/>
    </row>
    <row r="22067" spans="3:3" x14ac:dyDescent="0.35">
      <c r="C22067" s="2"/>
    </row>
    <row r="22068" spans="3:3" x14ac:dyDescent="0.35">
      <c r="C22068" s="2"/>
    </row>
    <row r="22069" spans="3:3" x14ac:dyDescent="0.35">
      <c r="C22069" s="2"/>
    </row>
    <row r="22070" spans="3:3" x14ac:dyDescent="0.35">
      <c r="C22070" s="2"/>
    </row>
    <row r="22071" spans="3:3" x14ac:dyDescent="0.35">
      <c r="C22071" s="2"/>
    </row>
    <row r="22072" spans="3:3" x14ac:dyDescent="0.35">
      <c r="C22072" s="2"/>
    </row>
    <row r="22073" spans="3:3" x14ac:dyDescent="0.35">
      <c r="C22073" s="2"/>
    </row>
    <row r="22074" spans="3:3" x14ac:dyDescent="0.35">
      <c r="C22074" s="2"/>
    </row>
    <row r="22075" spans="3:3" x14ac:dyDescent="0.35">
      <c r="C22075" s="2"/>
    </row>
    <row r="22076" spans="3:3" x14ac:dyDescent="0.35">
      <c r="C22076" s="2"/>
    </row>
    <row r="22077" spans="3:3" x14ac:dyDescent="0.35">
      <c r="C22077" s="2"/>
    </row>
    <row r="22078" spans="3:3" x14ac:dyDescent="0.35">
      <c r="C22078" s="2"/>
    </row>
    <row r="22079" spans="3:3" x14ac:dyDescent="0.35">
      <c r="C22079" s="2"/>
    </row>
    <row r="22080" spans="3:3" x14ac:dyDescent="0.35">
      <c r="C22080" s="2"/>
    </row>
    <row r="22081" spans="3:3" x14ac:dyDescent="0.35">
      <c r="C22081" s="2"/>
    </row>
    <row r="22082" spans="3:3" x14ac:dyDescent="0.35">
      <c r="C22082" s="2"/>
    </row>
    <row r="22083" spans="3:3" x14ac:dyDescent="0.35">
      <c r="C22083" s="2"/>
    </row>
    <row r="22084" spans="3:3" x14ac:dyDescent="0.35">
      <c r="C22084" s="2"/>
    </row>
    <row r="22085" spans="3:3" x14ac:dyDescent="0.35">
      <c r="C22085" s="2"/>
    </row>
    <row r="22086" spans="3:3" x14ac:dyDescent="0.35">
      <c r="C22086" s="2"/>
    </row>
    <row r="22087" spans="3:3" x14ac:dyDescent="0.35">
      <c r="C22087" s="2"/>
    </row>
    <row r="22088" spans="3:3" x14ac:dyDescent="0.35">
      <c r="C22088" s="2"/>
    </row>
    <row r="22089" spans="3:3" x14ac:dyDescent="0.35">
      <c r="C22089" s="2"/>
    </row>
    <row r="22090" spans="3:3" x14ac:dyDescent="0.35">
      <c r="C22090" s="2"/>
    </row>
    <row r="22091" spans="3:3" x14ac:dyDescent="0.35">
      <c r="C22091" s="2"/>
    </row>
    <row r="22092" spans="3:3" x14ac:dyDescent="0.35">
      <c r="C22092" s="2"/>
    </row>
    <row r="22093" spans="3:3" x14ac:dyDescent="0.35">
      <c r="C22093" s="2"/>
    </row>
    <row r="22094" spans="3:3" x14ac:dyDescent="0.35">
      <c r="C22094" s="2"/>
    </row>
    <row r="22095" spans="3:3" x14ac:dyDescent="0.35">
      <c r="C22095" s="2"/>
    </row>
    <row r="22096" spans="3:3" x14ac:dyDescent="0.35">
      <c r="C22096" s="2"/>
    </row>
    <row r="22097" spans="3:3" x14ac:dyDescent="0.35">
      <c r="C22097" s="2"/>
    </row>
    <row r="22098" spans="3:3" x14ac:dyDescent="0.35">
      <c r="C22098" s="2"/>
    </row>
    <row r="22099" spans="3:3" x14ac:dyDescent="0.35">
      <c r="C22099" s="2"/>
    </row>
    <row r="22100" spans="3:3" x14ac:dyDescent="0.35">
      <c r="C22100" s="2"/>
    </row>
    <row r="22101" spans="3:3" x14ac:dyDescent="0.35">
      <c r="C22101" s="2"/>
    </row>
    <row r="22102" spans="3:3" x14ac:dyDescent="0.35">
      <c r="C22102" s="2"/>
    </row>
    <row r="22103" spans="3:3" x14ac:dyDescent="0.35">
      <c r="C22103" s="2"/>
    </row>
    <row r="22104" spans="3:3" x14ac:dyDescent="0.35">
      <c r="C22104" s="2"/>
    </row>
    <row r="22105" spans="3:3" x14ac:dyDescent="0.35">
      <c r="C22105" s="2"/>
    </row>
    <row r="22106" spans="3:3" x14ac:dyDescent="0.35">
      <c r="C22106" s="2"/>
    </row>
    <row r="22107" spans="3:3" x14ac:dyDescent="0.35">
      <c r="C22107" s="2"/>
    </row>
    <row r="22108" spans="3:3" x14ac:dyDescent="0.35">
      <c r="C22108" s="2"/>
    </row>
    <row r="22109" spans="3:3" x14ac:dyDescent="0.35">
      <c r="C22109" s="2"/>
    </row>
    <row r="22110" spans="3:3" x14ac:dyDescent="0.35">
      <c r="C22110" s="2"/>
    </row>
    <row r="22111" spans="3:3" x14ac:dyDescent="0.35">
      <c r="C22111" s="2"/>
    </row>
    <row r="22112" spans="3:3" x14ac:dyDescent="0.35">
      <c r="C22112" s="2"/>
    </row>
    <row r="22113" spans="3:3" x14ac:dyDescent="0.35">
      <c r="C22113" s="2"/>
    </row>
    <row r="22114" spans="3:3" x14ac:dyDescent="0.35">
      <c r="C22114" s="2"/>
    </row>
    <row r="22115" spans="3:3" x14ac:dyDescent="0.35">
      <c r="C22115" s="2"/>
    </row>
    <row r="22116" spans="3:3" x14ac:dyDescent="0.35">
      <c r="C22116" s="2"/>
    </row>
    <row r="22117" spans="3:3" x14ac:dyDescent="0.35">
      <c r="C22117" s="2"/>
    </row>
    <row r="22118" spans="3:3" x14ac:dyDescent="0.35">
      <c r="C22118" s="2"/>
    </row>
    <row r="22119" spans="3:3" x14ac:dyDescent="0.35">
      <c r="C22119" s="2"/>
    </row>
    <row r="22120" spans="3:3" x14ac:dyDescent="0.35">
      <c r="C22120" s="2"/>
    </row>
    <row r="22121" spans="3:3" x14ac:dyDescent="0.35">
      <c r="C22121" s="2"/>
    </row>
    <row r="22122" spans="3:3" x14ac:dyDescent="0.35">
      <c r="C22122" s="2"/>
    </row>
    <row r="22123" spans="3:3" x14ac:dyDescent="0.35">
      <c r="C22123" s="2"/>
    </row>
    <row r="22124" spans="3:3" x14ac:dyDescent="0.35">
      <c r="C22124" s="2"/>
    </row>
    <row r="22125" spans="3:3" x14ac:dyDescent="0.35">
      <c r="C22125" s="2"/>
    </row>
    <row r="22126" spans="3:3" x14ac:dyDescent="0.35">
      <c r="C22126" s="2"/>
    </row>
    <row r="22127" spans="3:3" x14ac:dyDescent="0.35">
      <c r="C22127" s="2"/>
    </row>
    <row r="22128" spans="3:3" x14ac:dyDescent="0.35">
      <c r="C22128" s="2"/>
    </row>
    <row r="22129" spans="3:3" x14ac:dyDescent="0.35">
      <c r="C22129" s="2"/>
    </row>
    <row r="22130" spans="3:3" x14ac:dyDescent="0.35">
      <c r="C22130" s="2"/>
    </row>
    <row r="22131" spans="3:3" x14ac:dyDescent="0.35">
      <c r="C22131" s="2"/>
    </row>
    <row r="22132" spans="3:3" x14ac:dyDescent="0.35">
      <c r="C22132" s="2"/>
    </row>
    <row r="22133" spans="3:3" x14ac:dyDescent="0.35">
      <c r="C22133" s="2"/>
    </row>
    <row r="22134" spans="3:3" x14ac:dyDescent="0.35">
      <c r="C22134" s="2"/>
    </row>
    <row r="22135" spans="3:3" x14ac:dyDescent="0.35">
      <c r="C22135" s="2"/>
    </row>
    <row r="22136" spans="3:3" x14ac:dyDescent="0.35">
      <c r="C22136" s="2"/>
    </row>
    <row r="22137" spans="3:3" x14ac:dyDescent="0.35">
      <c r="C22137" s="2"/>
    </row>
    <row r="22138" spans="3:3" x14ac:dyDescent="0.35">
      <c r="C22138" s="2"/>
    </row>
    <row r="22139" spans="3:3" x14ac:dyDescent="0.35">
      <c r="C22139" s="2"/>
    </row>
    <row r="22140" spans="3:3" x14ac:dyDescent="0.35">
      <c r="C22140" s="2"/>
    </row>
    <row r="22141" spans="3:3" x14ac:dyDescent="0.35">
      <c r="C22141" s="2"/>
    </row>
    <row r="22142" spans="3:3" x14ac:dyDescent="0.35">
      <c r="C22142" s="2"/>
    </row>
    <row r="22143" spans="3:3" x14ac:dyDescent="0.35">
      <c r="C22143" s="2"/>
    </row>
    <row r="22144" spans="3:3" x14ac:dyDescent="0.35">
      <c r="C22144" s="2"/>
    </row>
    <row r="22145" spans="3:3" x14ac:dyDescent="0.35">
      <c r="C22145" s="2"/>
    </row>
    <row r="22146" spans="3:3" x14ac:dyDescent="0.35">
      <c r="C22146" s="2"/>
    </row>
    <row r="22147" spans="3:3" x14ac:dyDescent="0.35">
      <c r="C22147" s="2"/>
    </row>
    <row r="22148" spans="3:3" x14ac:dyDescent="0.35">
      <c r="C22148" s="2"/>
    </row>
    <row r="22149" spans="3:3" x14ac:dyDescent="0.35">
      <c r="C22149" s="2"/>
    </row>
    <row r="22150" spans="3:3" x14ac:dyDescent="0.35">
      <c r="C22150" s="2"/>
    </row>
    <row r="22151" spans="3:3" x14ac:dyDescent="0.35">
      <c r="C22151" s="2"/>
    </row>
    <row r="22152" spans="3:3" x14ac:dyDescent="0.35">
      <c r="C22152" s="2"/>
    </row>
    <row r="22153" spans="3:3" x14ac:dyDescent="0.35">
      <c r="C22153" s="2"/>
    </row>
    <row r="22154" spans="3:3" x14ac:dyDescent="0.35">
      <c r="C22154" s="2"/>
    </row>
    <row r="22155" spans="3:3" x14ac:dyDescent="0.35">
      <c r="C22155" s="2"/>
    </row>
    <row r="22156" spans="3:3" x14ac:dyDescent="0.35">
      <c r="C22156" s="2"/>
    </row>
    <row r="22157" spans="3:3" x14ac:dyDescent="0.35">
      <c r="C22157" s="2"/>
    </row>
    <row r="22158" spans="3:3" x14ac:dyDescent="0.35">
      <c r="C22158" s="2"/>
    </row>
    <row r="22159" spans="3:3" x14ac:dyDescent="0.35">
      <c r="C22159" s="2"/>
    </row>
    <row r="22160" spans="3:3" x14ac:dyDescent="0.35">
      <c r="C22160" s="2"/>
    </row>
    <row r="22161" spans="3:3" x14ac:dyDescent="0.35">
      <c r="C22161" s="2"/>
    </row>
    <row r="22162" spans="3:3" x14ac:dyDescent="0.35">
      <c r="C22162" s="2"/>
    </row>
    <row r="22163" spans="3:3" x14ac:dyDescent="0.35">
      <c r="C22163" s="2"/>
    </row>
    <row r="22164" spans="3:3" x14ac:dyDescent="0.35">
      <c r="C22164" s="2"/>
    </row>
    <row r="22165" spans="3:3" x14ac:dyDescent="0.35">
      <c r="C22165" s="2"/>
    </row>
    <row r="22166" spans="3:3" x14ac:dyDescent="0.35">
      <c r="C22166" s="2"/>
    </row>
    <row r="22167" spans="3:3" x14ac:dyDescent="0.35">
      <c r="C22167" s="2"/>
    </row>
    <row r="22168" spans="3:3" x14ac:dyDescent="0.35">
      <c r="C22168" s="2"/>
    </row>
    <row r="22169" spans="3:3" x14ac:dyDescent="0.35">
      <c r="C22169" s="2"/>
    </row>
    <row r="22170" spans="3:3" x14ac:dyDescent="0.35">
      <c r="C22170" s="2"/>
    </row>
    <row r="22171" spans="3:3" x14ac:dyDescent="0.35">
      <c r="C22171" s="2"/>
    </row>
    <row r="22172" spans="3:3" x14ac:dyDescent="0.35">
      <c r="C22172" s="2"/>
    </row>
    <row r="22173" spans="3:3" x14ac:dyDescent="0.35">
      <c r="C22173" s="2"/>
    </row>
    <row r="22174" spans="3:3" x14ac:dyDescent="0.35">
      <c r="C22174" s="2"/>
    </row>
    <row r="22175" spans="3:3" x14ac:dyDescent="0.35">
      <c r="C22175" s="2"/>
    </row>
    <row r="22176" spans="3:3" x14ac:dyDescent="0.35">
      <c r="C22176" s="2"/>
    </row>
    <row r="22177" spans="3:3" x14ac:dyDescent="0.35">
      <c r="C22177" s="2"/>
    </row>
    <row r="22178" spans="3:3" x14ac:dyDescent="0.35">
      <c r="C22178" s="2"/>
    </row>
    <row r="22179" spans="3:3" x14ac:dyDescent="0.35">
      <c r="C22179" s="2"/>
    </row>
    <row r="22180" spans="3:3" x14ac:dyDescent="0.35">
      <c r="C22180" s="2"/>
    </row>
    <row r="22181" spans="3:3" x14ac:dyDescent="0.35">
      <c r="C22181" s="2"/>
    </row>
    <row r="22182" spans="3:3" x14ac:dyDescent="0.35">
      <c r="C22182" s="2"/>
    </row>
    <row r="22183" spans="3:3" x14ac:dyDescent="0.35">
      <c r="C22183" s="2"/>
    </row>
    <row r="22184" spans="3:3" x14ac:dyDescent="0.35">
      <c r="C22184" s="2"/>
    </row>
    <row r="22185" spans="3:3" x14ac:dyDescent="0.35">
      <c r="C22185" s="2"/>
    </row>
    <row r="22186" spans="3:3" x14ac:dyDescent="0.35">
      <c r="C22186" s="2"/>
    </row>
    <row r="22187" spans="3:3" x14ac:dyDescent="0.35">
      <c r="C22187" s="2"/>
    </row>
    <row r="22188" spans="3:3" x14ac:dyDescent="0.35">
      <c r="C22188" s="2"/>
    </row>
    <row r="22189" spans="3:3" x14ac:dyDescent="0.35">
      <c r="C22189" s="2"/>
    </row>
    <row r="22190" spans="3:3" x14ac:dyDescent="0.35">
      <c r="C22190" s="2"/>
    </row>
    <row r="22191" spans="3:3" x14ac:dyDescent="0.35">
      <c r="C22191" s="2"/>
    </row>
    <row r="22192" spans="3:3" x14ac:dyDescent="0.35">
      <c r="C22192" s="2"/>
    </row>
    <row r="22193" spans="3:3" x14ac:dyDescent="0.35">
      <c r="C22193" s="2"/>
    </row>
    <row r="22194" spans="3:3" x14ac:dyDescent="0.35">
      <c r="C22194" s="2"/>
    </row>
    <row r="22195" spans="3:3" x14ac:dyDescent="0.35">
      <c r="C22195" s="2"/>
    </row>
    <row r="22196" spans="3:3" x14ac:dyDescent="0.35">
      <c r="C22196" s="2"/>
    </row>
    <row r="22197" spans="3:3" x14ac:dyDescent="0.35">
      <c r="C22197" s="2"/>
    </row>
    <row r="22198" spans="3:3" x14ac:dyDescent="0.35">
      <c r="C22198" s="2"/>
    </row>
    <row r="22199" spans="3:3" x14ac:dyDescent="0.35">
      <c r="C22199" s="2"/>
    </row>
    <row r="22200" spans="3:3" x14ac:dyDescent="0.35">
      <c r="C22200" s="2"/>
    </row>
    <row r="22201" spans="3:3" x14ac:dyDescent="0.35">
      <c r="C22201" s="2"/>
    </row>
    <row r="22202" spans="3:3" x14ac:dyDescent="0.35">
      <c r="C22202" s="2"/>
    </row>
    <row r="22203" spans="3:3" x14ac:dyDescent="0.35">
      <c r="C22203" s="2"/>
    </row>
    <row r="22204" spans="3:3" x14ac:dyDescent="0.35">
      <c r="C22204" s="2"/>
    </row>
    <row r="22205" spans="3:3" x14ac:dyDescent="0.35">
      <c r="C22205" s="2"/>
    </row>
    <row r="22206" spans="3:3" x14ac:dyDescent="0.35">
      <c r="C22206" s="2"/>
    </row>
    <row r="22207" spans="3:3" x14ac:dyDescent="0.35">
      <c r="C22207" s="2"/>
    </row>
    <row r="22208" spans="3:3" x14ac:dyDescent="0.35">
      <c r="C22208" s="2"/>
    </row>
    <row r="22209" spans="3:3" x14ac:dyDescent="0.35">
      <c r="C22209" s="2"/>
    </row>
    <row r="22210" spans="3:3" x14ac:dyDescent="0.35">
      <c r="C22210" s="2"/>
    </row>
    <row r="22211" spans="3:3" x14ac:dyDescent="0.35">
      <c r="C22211" s="2"/>
    </row>
    <row r="22212" spans="3:3" x14ac:dyDescent="0.35">
      <c r="C22212" s="2"/>
    </row>
    <row r="22213" spans="3:3" x14ac:dyDescent="0.35">
      <c r="C22213" s="2"/>
    </row>
    <row r="22214" spans="3:3" x14ac:dyDescent="0.35">
      <c r="C22214" s="2"/>
    </row>
    <row r="22215" spans="3:3" x14ac:dyDescent="0.35">
      <c r="C22215" s="2"/>
    </row>
    <row r="22216" spans="3:3" x14ac:dyDescent="0.35">
      <c r="C22216" s="2"/>
    </row>
    <row r="22217" spans="3:3" x14ac:dyDescent="0.35">
      <c r="C22217" s="2"/>
    </row>
    <row r="22218" spans="3:3" x14ac:dyDescent="0.35">
      <c r="C22218" s="2"/>
    </row>
    <row r="22219" spans="3:3" x14ac:dyDescent="0.35">
      <c r="C22219" s="2"/>
    </row>
    <row r="22220" spans="3:3" x14ac:dyDescent="0.35">
      <c r="C22220" s="2"/>
    </row>
    <row r="22221" spans="3:3" x14ac:dyDescent="0.35">
      <c r="C22221" s="2"/>
    </row>
    <row r="22222" spans="3:3" x14ac:dyDescent="0.35">
      <c r="C22222" s="2"/>
    </row>
    <row r="22223" spans="3:3" x14ac:dyDescent="0.35">
      <c r="C22223" s="2"/>
    </row>
    <row r="22224" spans="3:3" x14ac:dyDescent="0.35">
      <c r="C22224" s="2"/>
    </row>
    <row r="22225" spans="3:3" x14ac:dyDescent="0.35">
      <c r="C22225" s="2"/>
    </row>
    <row r="22226" spans="3:3" x14ac:dyDescent="0.35">
      <c r="C22226" s="2"/>
    </row>
    <row r="22227" spans="3:3" x14ac:dyDescent="0.35">
      <c r="C22227" s="2"/>
    </row>
    <row r="22228" spans="3:3" x14ac:dyDescent="0.35">
      <c r="C22228" s="2"/>
    </row>
    <row r="22229" spans="3:3" x14ac:dyDescent="0.35">
      <c r="C22229" s="2"/>
    </row>
    <row r="22230" spans="3:3" x14ac:dyDescent="0.35">
      <c r="C22230" s="2"/>
    </row>
    <row r="22231" spans="3:3" x14ac:dyDescent="0.35">
      <c r="C22231" s="2"/>
    </row>
    <row r="22232" spans="3:3" x14ac:dyDescent="0.35">
      <c r="C22232" s="2"/>
    </row>
    <row r="22233" spans="3:3" x14ac:dyDescent="0.35">
      <c r="C22233" s="2"/>
    </row>
    <row r="22234" spans="3:3" x14ac:dyDescent="0.35">
      <c r="C22234" s="2"/>
    </row>
    <row r="22235" spans="3:3" x14ac:dyDescent="0.35">
      <c r="C22235" s="2"/>
    </row>
    <row r="22236" spans="3:3" x14ac:dyDescent="0.35">
      <c r="C22236" s="2"/>
    </row>
    <row r="22237" spans="3:3" x14ac:dyDescent="0.35">
      <c r="C22237" s="2"/>
    </row>
    <row r="22238" spans="3:3" x14ac:dyDescent="0.35">
      <c r="C22238" s="2"/>
    </row>
    <row r="22239" spans="3:3" x14ac:dyDescent="0.35">
      <c r="C22239" s="2"/>
    </row>
    <row r="22240" spans="3:3" x14ac:dyDescent="0.35">
      <c r="C22240" s="2"/>
    </row>
    <row r="22241" spans="3:3" x14ac:dyDescent="0.35">
      <c r="C22241" s="2"/>
    </row>
    <row r="22242" spans="3:3" x14ac:dyDescent="0.35">
      <c r="C22242" s="2"/>
    </row>
    <row r="22243" spans="3:3" x14ac:dyDescent="0.35">
      <c r="C22243" s="2"/>
    </row>
    <row r="22244" spans="3:3" x14ac:dyDescent="0.35">
      <c r="C22244" s="2"/>
    </row>
    <row r="22245" spans="3:3" x14ac:dyDescent="0.35">
      <c r="C22245" s="2"/>
    </row>
    <row r="22246" spans="3:3" x14ac:dyDescent="0.35">
      <c r="C22246" s="2"/>
    </row>
    <row r="22247" spans="3:3" x14ac:dyDescent="0.35">
      <c r="C22247" s="2"/>
    </row>
    <row r="22248" spans="3:3" x14ac:dyDescent="0.35">
      <c r="C22248" s="2"/>
    </row>
    <row r="22249" spans="3:3" x14ac:dyDescent="0.35">
      <c r="C22249" s="2"/>
    </row>
    <row r="22250" spans="3:3" x14ac:dyDescent="0.35">
      <c r="C22250" s="2"/>
    </row>
    <row r="22251" spans="3:3" x14ac:dyDescent="0.35">
      <c r="C22251" s="2"/>
    </row>
    <row r="22252" spans="3:3" x14ac:dyDescent="0.35">
      <c r="C22252" s="2"/>
    </row>
    <row r="22253" spans="3:3" x14ac:dyDescent="0.35">
      <c r="C22253" s="2"/>
    </row>
    <row r="22254" spans="3:3" x14ac:dyDescent="0.35">
      <c r="C22254" s="2"/>
    </row>
    <row r="22255" spans="3:3" x14ac:dyDescent="0.35">
      <c r="C22255" s="2"/>
    </row>
    <row r="22256" spans="3:3" x14ac:dyDescent="0.35">
      <c r="C22256" s="2"/>
    </row>
    <row r="22257" spans="3:3" x14ac:dyDescent="0.35">
      <c r="C22257" s="2"/>
    </row>
    <row r="22258" spans="3:3" x14ac:dyDescent="0.35">
      <c r="C22258" s="2"/>
    </row>
    <row r="22259" spans="3:3" x14ac:dyDescent="0.35">
      <c r="C22259" s="2"/>
    </row>
    <row r="22260" spans="3:3" x14ac:dyDescent="0.35">
      <c r="C22260" s="2"/>
    </row>
    <row r="22261" spans="3:3" x14ac:dyDescent="0.35">
      <c r="C22261" s="2"/>
    </row>
    <row r="22262" spans="3:3" x14ac:dyDescent="0.35">
      <c r="C22262" s="2"/>
    </row>
    <row r="22263" spans="3:3" x14ac:dyDescent="0.35">
      <c r="C22263" s="2"/>
    </row>
    <row r="22264" spans="3:3" x14ac:dyDescent="0.35">
      <c r="C22264" s="2"/>
    </row>
    <row r="22265" spans="3:3" x14ac:dyDescent="0.35">
      <c r="C22265" s="2"/>
    </row>
    <row r="22266" spans="3:3" x14ac:dyDescent="0.35">
      <c r="C22266" s="2"/>
    </row>
    <row r="22267" spans="3:3" x14ac:dyDescent="0.35">
      <c r="C22267" s="2"/>
    </row>
    <row r="22268" spans="3:3" x14ac:dyDescent="0.35">
      <c r="C22268" s="2"/>
    </row>
    <row r="22269" spans="3:3" x14ac:dyDescent="0.35">
      <c r="C22269" s="2"/>
    </row>
    <row r="22270" spans="3:3" x14ac:dyDescent="0.35">
      <c r="C22270" s="2"/>
    </row>
    <row r="22271" spans="3:3" x14ac:dyDescent="0.35">
      <c r="C22271" s="2"/>
    </row>
    <row r="22272" spans="3:3" x14ac:dyDescent="0.35">
      <c r="C22272" s="2"/>
    </row>
    <row r="22273" spans="3:3" x14ac:dyDescent="0.35">
      <c r="C22273" s="2"/>
    </row>
    <row r="22274" spans="3:3" x14ac:dyDescent="0.35">
      <c r="C22274" s="2"/>
    </row>
    <row r="22275" spans="3:3" x14ac:dyDescent="0.35">
      <c r="C22275" s="2"/>
    </row>
    <row r="22276" spans="3:3" x14ac:dyDescent="0.35">
      <c r="C22276" s="2"/>
    </row>
    <row r="22277" spans="3:3" x14ac:dyDescent="0.35">
      <c r="C22277" s="2"/>
    </row>
    <row r="22278" spans="3:3" x14ac:dyDescent="0.35">
      <c r="C22278" s="2"/>
    </row>
    <row r="22279" spans="3:3" x14ac:dyDescent="0.35">
      <c r="C22279" s="2"/>
    </row>
    <row r="22280" spans="3:3" x14ac:dyDescent="0.35">
      <c r="C22280" s="2"/>
    </row>
    <row r="22281" spans="3:3" x14ac:dyDescent="0.35">
      <c r="C22281" s="2"/>
    </row>
    <row r="22282" spans="3:3" x14ac:dyDescent="0.35">
      <c r="C22282" s="2"/>
    </row>
    <row r="22283" spans="3:3" x14ac:dyDescent="0.35">
      <c r="C22283" s="2"/>
    </row>
    <row r="22284" spans="3:3" x14ac:dyDescent="0.35">
      <c r="C22284" s="2"/>
    </row>
    <row r="22285" spans="3:3" x14ac:dyDescent="0.35">
      <c r="C22285" s="2"/>
    </row>
    <row r="22286" spans="3:3" x14ac:dyDescent="0.35">
      <c r="C22286" s="2"/>
    </row>
    <row r="22287" spans="3:3" x14ac:dyDescent="0.35">
      <c r="C22287" s="2"/>
    </row>
    <row r="22288" spans="3:3" x14ac:dyDescent="0.35">
      <c r="C22288" s="2"/>
    </row>
    <row r="22289" spans="3:3" x14ac:dyDescent="0.35">
      <c r="C22289" s="2"/>
    </row>
    <row r="22290" spans="3:3" x14ac:dyDescent="0.35">
      <c r="C22290" s="2"/>
    </row>
    <row r="22291" spans="3:3" x14ac:dyDescent="0.35">
      <c r="C22291" s="2"/>
    </row>
    <row r="22292" spans="3:3" x14ac:dyDescent="0.35">
      <c r="C22292" s="2"/>
    </row>
    <row r="22293" spans="3:3" x14ac:dyDescent="0.35">
      <c r="C22293" s="2"/>
    </row>
    <row r="22294" spans="3:3" x14ac:dyDescent="0.35">
      <c r="C22294" s="2"/>
    </row>
    <row r="22295" spans="3:3" x14ac:dyDescent="0.35">
      <c r="C22295" s="2"/>
    </row>
    <row r="22296" spans="3:3" x14ac:dyDescent="0.35">
      <c r="C22296" s="2"/>
    </row>
    <row r="22297" spans="3:3" x14ac:dyDescent="0.35">
      <c r="C22297" s="2"/>
    </row>
    <row r="22298" spans="3:3" x14ac:dyDescent="0.35">
      <c r="C22298" s="2"/>
    </row>
    <row r="22299" spans="3:3" x14ac:dyDescent="0.35">
      <c r="C22299" s="2"/>
    </row>
    <row r="22300" spans="3:3" x14ac:dyDescent="0.35">
      <c r="C22300" s="2"/>
    </row>
    <row r="22301" spans="3:3" x14ac:dyDescent="0.35">
      <c r="C22301" s="2"/>
    </row>
    <row r="22302" spans="3:3" x14ac:dyDescent="0.35">
      <c r="C22302" s="2"/>
    </row>
    <row r="22303" spans="3:3" x14ac:dyDescent="0.35">
      <c r="C22303" s="2"/>
    </row>
    <row r="22304" spans="3:3" x14ac:dyDescent="0.35">
      <c r="C22304" s="2"/>
    </row>
    <row r="22305" spans="3:3" x14ac:dyDescent="0.35">
      <c r="C22305" s="2"/>
    </row>
    <row r="22306" spans="3:3" x14ac:dyDescent="0.35">
      <c r="C22306" s="2"/>
    </row>
    <row r="22307" spans="3:3" x14ac:dyDescent="0.35">
      <c r="C22307" s="2"/>
    </row>
    <row r="22308" spans="3:3" x14ac:dyDescent="0.35">
      <c r="C22308" s="2"/>
    </row>
    <row r="22309" spans="3:3" x14ac:dyDescent="0.35">
      <c r="C22309" s="2"/>
    </row>
    <row r="22310" spans="3:3" x14ac:dyDescent="0.35">
      <c r="C22310" s="2"/>
    </row>
    <row r="22311" spans="3:3" x14ac:dyDescent="0.35">
      <c r="C22311" s="2"/>
    </row>
    <row r="22312" spans="3:3" x14ac:dyDescent="0.35">
      <c r="C22312" s="2"/>
    </row>
    <row r="22313" spans="3:3" x14ac:dyDescent="0.35">
      <c r="C22313" s="2"/>
    </row>
    <row r="22314" spans="3:3" x14ac:dyDescent="0.35">
      <c r="C22314" s="2"/>
    </row>
    <row r="22315" spans="3:3" x14ac:dyDescent="0.35">
      <c r="C22315" s="2"/>
    </row>
    <row r="22316" spans="3:3" x14ac:dyDescent="0.35">
      <c r="C22316" s="2"/>
    </row>
    <row r="22317" spans="3:3" x14ac:dyDescent="0.35">
      <c r="C22317" s="2"/>
    </row>
    <row r="22318" spans="3:3" x14ac:dyDescent="0.35">
      <c r="C22318" s="2"/>
    </row>
    <row r="22319" spans="3:3" x14ac:dyDescent="0.35">
      <c r="C22319" s="2"/>
    </row>
    <row r="22320" spans="3:3" x14ac:dyDescent="0.35">
      <c r="C22320" s="2"/>
    </row>
    <row r="22321" spans="3:3" x14ac:dyDescent="0.35">
      <c r="C22321" s="2"/>
    </row>
    <row r="22322" spans="3:3" x14ac:dyDescent="0.35">
      <c r="C22322" s="2"/>
    </row>
    <row r="22323" spans="3:3" x14ac:dyDescent="0.35">
      <c r="C22323" s="2"/>
    </row>
    <row r="22324" spans="3:3" x14ac:dyDescent="0.35">
      <c r="C22324" s="2"/>
    </row>
    <row r="22325" spans="3:3" x14ac:dyDescent="0.35">
      <c r="C22325" s="2"/>
    </row>
    <row r="22326" spans="3:3" x14ac:dyDescent="0.35">
      <c r="C22326" s="2"/>
    </row>
    <row r="22327" spans="3:3" x14ac:dyDescent="0.35">
      <c r="C22327" s="2"/>
    </row>
    <row r="22328" spans="3:3" x14ac:dyDescent="0.35">
      <c r="C22328" s="2"/>
    </row>
    <row r="22329" spans="3:3" x14ac:dyDescent="0.35">
      <c r="C22329" s="2"/>
    </row>
    <row r="22330" spans="3:3" x14ac:dyDescent="0.35">
      <c r="C22330" s="2"/>
    </row>
    <row r="22331" spans="3:3" x14ac:dyDescent="0.35">
      <c r="C22331" s="2"/>
    </row>
    <row r="22332" spans="3:3" x14ac:dyDescent="0.35">
      <c r="C22332" s="2"/>
    </row>
    <row r="22333" spans="3:3" x14ac:dyDescent="0.35">
      <c r="C22333" s="2"/>
    </row>
    <row r="22334" spans="3:3" x14ac:dyDescent="0.35">
      <c r="C22334" s="2"/>
    </row>
    <row r="22335" spans="3:3" x14ac:dyDescent="0.35">
      <c r="C22335" s="2"/>
    </row>
    <row r="22336" spans="3:3" x14ac:dyDescent="0.35">
      <c r="C22336" s="2"/>
    </row>
    <row r="22337" spans="3:3" x14ac:dyDescent="0.35">
      <c r="C22337" s="2"/>
    </row>
    <row r="22338" spans="3:3" x14ac:dyDescent="0.35">
      <c r="C22338" s="2"/>
    </row>
    <row r="22339" spans="3:3" x14ac:dyDescent="0.35">
      <c r="C22339" s="2"/>
    </row>
    <row r="22340" spans="3:3" x14ac:dyDescent="0.35">
      <c r="C22340" s="2"/>
    </row>
    <row r="22341" spans="3:3" x14ac:dyDescent="0.35">
      <c r="C22341" s="2"/>
    </row>
    <row r="22342" spans="3:3" x14ac:dyDescent="0.35">
      <c r="C22342" s="2"/>
    </row>
    <row r="22343" spans="3:3" x14ac:dyDescent="0.35">
      <c r="C22343" s="2"/>
    </row>
    <row r="22344" spans="3:3" x14ac:dyDescent="0.35">
      <c r="C22344" s="2"/>
    </row>
    <row r="22345" spans="3:3" x14ac:dyDescent="0.35">
      <c r="C22345" s="2"/>
    </row>
    <row r="22346" spans="3:3" x14ac:dyDescent="0.35">
      <c r="C22346" s="2"/>
    </row>
    <row r="22347" spans="3:3" x14ac:dyDescent="0.35">
      <c r="C22347" s="2"/>
    </row>
    <row r="22348" spans="3:3" x14ac:dyDescent="0.35">
      <c r="C22348" s="2"/>
    </row>
    <row r="22349" spans="3:3" x14ac:dyDescent="0.35">
      <c r="C22349" s="2"/>
    </row>
    <row r="22350" spans="3:3" x14ac:dyDescent="0.35">
      <c r="C22350" s="2"/>
    </row>
    <row r="22351" spans="3:3" x14ac:dyDescent="0.35">
      <c r="C22351" s="2"/>
    </row>
    <row r="22352" spans="3:3" x14ac:dyDescent="0.35">
      <c r="C22352" s="2"/>
    </row>
    <row r="22353" spans="3:3" x14ac:dyDescent="0.35">
      <c r="C22353" s="2"/>
    </row>
    <row r="22354" spans="3:3" x14ac:dyDescent="0.35">
      <c r="C22354" s="2"/>
    </row>
    <row r="22355" spans="3:3" x14ac:dyDescent="0.35">
      <c r="C22355" s="2"/>
    </row>
    <row r="22356" spans="3:3" x14ac:dyDescent="0.35">
      <c r="C22356" s="2"/>
    </row>
    <row r="22357" spans="3:3" x14ac:dyDescent="0.35">
      <c r="C22357" s="2"/>
    </row>
    <row r="22358" spans="3:3" x14ac:dyDescent="0.35">
      <c r="C22358" s="2"/>
    </row>
    <row r="22359" spans="3:3" x14ac:dyDescent="0.35">
      <c r="C22359" s="2"/>
    </row>
    <row r="22360" spans="3:3" x14ac:dyDescent="0.35">
      <c r="C22360" s="2"/>
    </row>
    <row r="22361" spans="3:3" x14ac:dyDescent="0.35">
      <c r="C22361" s="2"/>
    </row>
    <row r="22362" spans="3:3" x14ac:dyDescent="0.35">
      <c r="C22362" s="2"/>
    </row>
    <row r="22363" spans="3:3" x14ac:dyDescent="0.35">
      <c r="C22363" s="2"/>
    </row>
    <row r="22364" spans="3:3" x14ac:dyDescent="0.35">
      <c r="C22364" s="2"/>
    </row>
    <row r="22365" spans="3:3" x14ac:dyDescent="0.35">
      <c r="C22365" s="2"/>
    </row>
    <row r="22366" spans="3:3" x14ac:dyDescent="0.35">
      <c r="C22366" s="2"/>
    </row>
    <row r="22367" spans="3:3" x14ac:dyDescent="0.35">
      <c r="C22367" s="2"/>
    </row>
    <row r="22368" spans="3:3" x14ac:dyDescent="0.35">
      <c r="C22368" s="2"/>
    </row>
    <row r="22369" spans="3:3" x14ac:dyDescent="0.35">
      <c r="C22369" s="2"/>
    </row>
    <row r="22370" spans="3:3" x14ac:dyDescent="0.35">
      <c r="C22370" s="2"/>
    </row>
    <row r="22371" spans="3:3" x14ac:dyDescent="0.35">
      <c r="C22371" s="2"/>
    </row>
    <row r="22372" spans="3:3" x14ac:dyDescent="0.35">
      <c r="C22372" s="2"/>
    </row>
    <row r="22373" spans="3:3" x14ac:dyDescent="0.35">
      <c r="C22373" s="2"/>
    </row>
    <row r="22374" spans="3:3" x14ac:dyDescent="0.35">
      <c r="C22374" s="2"/>
    </row>
    <row r="22375" spans="3:3" x14ac:dyDescent="0.35">
      <c r="C22375" s="2"/>
    </row>
    <row r="22376" spans="3:3" x14ac:dyDescent="0.35">
      <c r="C22376" s="2"/>
    </row>
    <row r="22377" spans="3:3" x14ac:dyDescent="0.35">
      <c r="C22377" s="2"/>
    </row>
    <row r="22378" spans="3:3" x14ac:dyDescent="0.35">
      <c r="C22378" s="2"/>
    </row>
    <row r="22379" spans="3:3" x14ac:dyDescent="0.35">
      <c r="C22379" s="2"/>
    </row>
    <row r="22380" spans="3:3" x14ac:dyDescent="0.35">
      <c r="C22380" s="2"/>
    </row>
    <row r="22381" spans="3:3" x14ac:dyDescent="0.35">
      <c r="C22381" s="2"/>
    </row>
    <row r="22382" spans="3:3" x14ac:dyDescent="0.35">
      <c r="C22382" s="2"/>
    </row>
    <row r="22383" spans="3:3" x14ac:dyDescent="0.35">
      <c r="C22383" s="2"/>
    </row>
    <row r="22384" spans="3:3" x14ac:dyDescent="0.35">
      <c r="C22384" s="2"/>
    </row>
    <row r="22385" spans="3:3" x14ac:dyDescent="0.35">
      <c r="C22385" s="2"/>
    </row>
    <row r="22386" spans="3:3" x14ac:dyDescent="0.35">
      <c r="C22386" s="2"/>
    </row>
    <row r="22387" spans="3:3" x14ac:dyDescent="0.35">
      <c r="C22387" s="2"/>
    </row>
    <row r="22388" spans="3:3" x14ac:dyDescent="0.35">
      <c r="C22388" s="2"/>
    </row>
    <row r="22389" spans="3:3" x14ac:dyDescent="0.35">
      <c r="C22389" s="2"/>
    </row>
    <row r="22390" spans="3:3" x14ac:dyDescent="0.35">
      <c r="C22390" s="2"/>
    </row>
    <row r="22391" spans="3:3" x14ac:dyDescent="0.35">
      <c r="C22391" s="2"/>
    </row>
    <row r="22392" spans="3:3" x14ac:dyDescent="0.35">
      <c r="C22392" s="2"/>
    </row>
    <row r="22393" spans="3:3" x14ac:dyDescent="0.35">
      <c r="C22393" s="2"/>
    </row>
    <row r="22394" spans="3:3" x14ac:dyDescent="0.35">
      <c r="C22394" s="2"/>
    </row>
    <row r="22395" spans="3:3" x14ac:dyDescent="0.35">
      <c r="C22395" s="2"/>
    </row>
    <row r="22396" spans="3:3" x14ac:dyDescent="0.35">
      <c r="C22396" s="2"/>
    </row>
    <row r="22397" spans="3:3" x14ac:dyDescent="0.35">
      <c r="C22397" s="2"/>
    </row>
    <row r="22398" spans="3:3" x14ac:dyDescent="0.35">
      <c r="C22398" s="2"/>
    </row>
    <row r="22399" spans="3:3" x14ac:dyDescent="0.35">
      <c r="C22399" s="2"/>
    </row>
    <row r="22400" spans="3:3" x14ac:dyDescent="0.35">
      <c r="C22400" s="2"/>
    </row>
    <row r="22401" spans="3:3" x14ac:dyDescent="0.35">
      <c r="C22401" s="2"/>
    </row>
    <row r="22402" spans="3:3" x14ac:dyDescent="0.35">
      <c r="C22402" s="2"/>
    </row>
    <row r="22403" spans="3:3" x14ac:dyDescent="0.35">
      <c r="C22403" s="2"/>
    </row>
    <row r="22404" spans="3:3" x14ac:dyDescent="0.35">
      <c r="C22404" s="2"/>
    </row>
    <row r="22405" spans="3:3" x14ac:dyDescent="0.35">
      <c r="C22405" s="2"/>
    </row>
    <row r="22406" spans="3:3" x14ac:dyDescent="0.35">
      <c r="C22406" s="2"/>
    </row>
    <row r="22407" spans="3:3" x14ac:dyDescent="0.35">
      <c r="C22407" s="2"/>
    </row>
    <row r="22408" spans="3:3" x14ac:dyDescent="0.35">
      <c r="C22408" s="2"/>
    </row>
    <row r="22409" spans="3:3" x14ac:dyDescent="0.35">
      <c r="C22409" s="2"/>
    </row>
    <row r="22410" spans="3:3" x14ac:dyDescent="0.35">
      <c r="C22410" s="2"/>
    </row>
    <row r="22411" spans="3:3" x14ac:dyDescent="0.35">
      <c r="C22411" s="2"/>
    </row>
    <row r="22412" spans="3:3" x14ac:dyDescent="0.35">
      <c r="C22412" s="2"/>
    </row>
    <row r="22413" spans="3:3" x14ac:dyDescent="0.35">
      <c r="C22413" s="2"/>
    </row>
    <row r="22414" spans="3:3" x14ac:dyDescent="0.35">
      <c r="C22414" s="2"/>
    </row>
    <row r="22415" spans="3:3" x14ac:dyDescent="0.35">
      <c r="C22415" s="2"/>
    </row>
    <row r="22416" spans="3:3" x14ac:dyDescent="0.35">
      <c r="C22416" s="2"/>
    </row>
    <row r="22417" spans="3:3" x14ac:dyDescent="0.35">
      <c r="C22417" s="2"/>
    </row>
    <row r="22418" spans="3:3" x14ac:dyDescent="0.35">
      <c r="C22418" s="2"/>
    </row>
    <row r="22419" spans="3:3" x14ac:dyDescent="0.35">
      <c r="C22419" s="2"/>
    </row>
    <row r="22420" spans="3:3" x14ac:dyDescent="0.35">
      <c r="C22420" s="2"/>
    </row>
    <row r="22421" spans="3:3" x14ac:dyDescent="0.35">
      <c r="C22421" s="2"/>
    </row>
    <row r="22422" spans="3:3" x14ac:dyDescent="0.35">
      <c r="C22422" s="2"/>
    </row>
    <row r="22423" spans="3:3" x14ac:dyDescent="0.35">
      <c r="C22423" s="2"/>
    </row>
    <row r="22424" spans="3:3" x14ac:dyDescent="0.35">
      <c r="C22424" s="2"/>
    </row>
    <row r="22425" spans="3:3" x14ac:dyDescent="0.35">
      <c r="C22425" s="2"/>
    </row>
    <row r="22426" spans="3:3" x14ac:dyDescent="0.35">
      <c r="C22426" s="2"/>
    </row>
    <row r="22427" spans="3:3" x14ac:dyDescent="0.35">
      <c r="C22427" s="2"/>
    </row>
    <row r="22428" spans="3:3" x14ac:dyDescent="0.35">
      <c r="C22428" s="2"/>
    </row>
    <row r="22429" spans="3:3" x14ac:dyDescent="0.35">
      <c r="C22429" s="2"/>
    </row>
    <row r="22430" spans="3:3" x14ac:dyDescent="0.35">
      <c r="C22430" s="2"/>
    </row>
    <row r="22431" spans="3:3" x14ac:dyDescent="0.35">
      <c r="C22431" s="2"/>
    </row>
    <row r="22432" spans="3:3" x14ac:dyDescent="0.35">
      <c r="C22432" s="2"/>
    </row>
    <row r="22433" spans="3:3" x14ac:dyDescent="0.35">
      <c r="C22433" s="2"/>
    </row>
    <row r="22434" spans="3:3" x14ac:dyDescent="0.35">
      <c r="C22434" s="2"/>
    </row>
    <row r="22435" spans="3:3" x14ac:dyDescent="0.35">
      <c r="C22435" s="2"/>
    </row>
    <row r="22436" spans="3:3" x14ac:dyDescent="0.35">
      <c r="C22436" s="2"/>
    </row>
    <row r="22437" spans="3:3" x14ac:dyDescent="0.35">
      <c r="C22437" s="2"/>
    </row>
    <row r="22438" spans="3:3" x14ac:dyDescent="0.35">
      <c r="C22438" s="2"/>
    </row>
    <row r="22439" spans="3:3" x14ac:dyDescent="0.35">
      <c r="C22439" s="2"/>
    </row>
    <row r="22440" spans="3:3" x14ac:dyDescent="0.35">
      <c r="C22440" s="2"/>
    </row>
    <row r="22441" spans="3:3" x14ac:dyDescent="0.35">
      <c r="C22441" s="2"/>
    </row>
    <row r="22442" spans="3:3" x14ac:dyDescent="0.35">
      <c r="C22442" s="2"/>
    </row>
    <row r="22443" spans="3:3" x14ac:dyDescent="0.35">
      <c r="C22443" s="2"/>
    </row>
    <row r="22444" spans="3:3" x14ac:dyDescent="0.35">
      <c r="C22444" s="2"/>
    </row>
    <row r="22445" spans="3:3" x14ac:dyDescent="0.35">
      <c r="C22445" s="2"/>
    </row>
    <row r="22446" spans="3:3" x14ac:dyDescent="0.35">
      <c r="C22446" s="2"/>
    </row>
    <row r="22447" spans="3:3" x14ac:dyDescent="0.35">
      <c r="C22447" s="2"/>
    </row>
    <row r="22448" spans="3:3" x14ac:dyDescent="0.35">
      <c r="C22448" s="2"/>
    </row>
    <row r="22449" spans="3:3" x14ac:dyDescent="0.35">
      <c r="C22449" s="2"/>
    </row>
    <row r="22450" spans="3:3" x14ac:dyDescent="0.35">
      <c r="C22450" s="2"/>
    </row>
    <row r="22451" spans="3:3" x14ac:dyDescent="0.35">
      <c r="C22451" s="2"/>
    </row>
    <row r="22452" spans="3:3" x14ac:dyDescent="0.35">
      <c r="C22452" s="2"/>
    </row>
    <row r="22453" spans="3:3" x14ac:dyDescent="0.35">
      <c r="C22453" s="2"/>
    </row>
    <row r="22454" spans="3:3" x14ac:dyDescent="0.35">
      <c r="C22454" s="2"/>
    </row>
    <row r="22455" spans="3:3" x14ac:dyDescent="0.35">
      <c r="C22455" s="2"/>
    </row>
    <row r="22456" spans="3:3" x14ac:dyDescent="0.35">
      <c r="C22456" s="2"/>
    </row>
    <row r="22457" spans="3:3" x14ac:dyDescent="0.35">
      <c r="C22457" s="2"/>
    </row>
    <row r="22458" spans="3:3" x14ac:dyDescent="0.35">
      <c r="C22458" s="2"/>
    </row>
    <row r="22459" spans="3:3" x14ac:dyDescent="0.35">
      <c r="C22459" s="2"/>
    </row>
    <row r="22460" spans="3:3" x14ac:dyDescent="0.35">
      <c r="C22460" s="2"/>
    </row>
    <row r="22461" spans="3:3" x14ac:dyDescent="0.35">
      <c r="C22461" s="2"/>
    </row>
    <row r="22462" spans="3:3" x14ac:dyDescent="0.35">
      <c r="C22462" s="2"/>
    </row>
    <row r="22463" spans="3:3" x14ac:dyDescent="0.35">
      <c r="C22463" s="2"/>
    </row>
    <row r="22464" spans="3:3" x14ac:dyDescent="0.35">
      <c r="C22464" s="2"/>
    </row>
    <row r="22465" spans="3:3" x14ac:dyDescent="0.35">
      <c r="C22465" s="2"/>
    </row>
    <row r="22466" spans="3:3" x14ac:dyDescent="0.35">
      <c r="C22466" s="2"/>
    </row>
    <row r="22467" spans="3:3" x14ac:dyDescent="0.35">
      <c r="C22467" s="2"/>
    </row>
    <row r="22468" spans="3:3" x14ac:dyDescent="0.35">
      <c r="C22468" s="2"/>
    </row>
    <row r="22469" spans="3:3" x14ac:dyDescent="0.35">
      <c r="C22469" s="2"/>
    </row>
    <row r="22470" spans="3:3" x14ac:dyDescent="0.35">
      <c r="C22470" s="2"/>
    </row>
    <row r="22471" spans="3:3" x14ac:dyDescent="0.35">
      <c r="C22471" s="2"/>
    </row>
    <row r="22472" spans="3:3" x14ac:dyDescent="0.35">
      <c r="C22472" s="2"/>
    </row>
    <row r="22473" spans="3:3" x14ac:dyDescent="0.35">
      <c r="C22473" s="2"/>
    </row>
    <row r="22474" spans="3:3" x14ac:dyDescent="0.35">
      <c r="C22474" s="2"/>
    </row>
    <row r="22475" spans="3:3" x14ac:dyDescent="0.35">
      <c r="C22475" s="2"/>
    </row>
    <row r="22476" spans="3:3" x14ac:dyDescent="0.35">
      <c r="C22476" s="2"/>
    </row>
    <row r="22477" spans="3:3" x14ac:dyDescent="0.35">
      <c r="C22477" s="2"/>
    </row>
    <row r="22478" spans="3:3" x14ac:dyDescent="0.35">
      <c r="C22478" s="2"/>
    </row>
    <row r="22479" spans="3:3" x14ac:dyDescent="0.35">
      <c r="C22479" s="2"/>
    </row>
    <row r="22480" spans="3:3" x14ac:dyDescent="0.35">
      <c r="C22480" s="2"/>
    </row>
    <row r="22481" spans="3:3" x14ac:dyDescent="0.35">
      <c r="C22481" s="2"/>
    </row>
    <row r="22482" spans="3:3" x14ac:dyDescent="0.35">
      <c r="C22482" s="2"/>
    </row>
    <row r="22483" spans="3:3" x14ac:dyDescent="0.35">
      <c r="C22483" s="2"/>
    </row>
    <row r="22484" spans="3:3" x14ac:dyDescent="0.35">
      <c r="C22484" s="2"/>
    </row>
    <row r="22485" spans="3:3" x14ac:dyDescent="0.35">
      <c r="C22485" s="2"/>
    </row>
    <row r="22486" spans="3:3" x14ac:dyDescent="0.35">
      <c r="C22486" s="2"/>
    </row>
    <row r="22487" spans="3:3" x14ac:dyDescent="0.35">
      <c r="C22487" s="2"/>
    </row>
    <row r="22488" spans="3:3" x14ac:dyDescent="0.35">
      <c r="C22488" s="2"/>
    </row>
    <row r="22489" spans="3:3" x14ac:dyDescent="0.35">
      <c r="C22489" s="2"/>
    </row>
    <row r="22490" spans="3:3" x14ac:dyDescent="0.35">
      <c r="C22490" s="2"/>
    </row>
    <row r="22491" spans="3:3" x14ac:dyDescent="0.35">
      <c r="C22491" s="2"/>
    </row>
    <row r="22492" spans="3:3" x14ac:dyDescent="0.35">
      <c r="C22492" s="2"/>
    </row>
    <row r="22493" spans="3:3" x14ac:dyDescent="0.35">
      <c r="C22493" s="2"/>
    </row>
    <row r="22494" spans="3:3" x14ac:dyDescent="0.35">
      <c r="C22494" s="2"/>
    </row>
    <row r="22495" spans="3:3" x14ac:dyDescent="0.35">
      <c r="C22495" s="2"/>
    </row>
    <row r="22496" spans="3:3" x14ac:dyDescent="0.35">
      <c r="C22496" s="2"/>
    </row>
    <row r="22497" spans="3:3" x14ac:dyDescent="0.35">
      <c r="C22497" s="2"/>
    </row>
    <row r="22498" spans="3:3" x14ac:dyDescent="0.35">
      <c r="C22498" s="2"/>
    </row>
    <row r="22499" spans="3:3" x14ac:dyDescent="0.35">
      <c r="C22499" s="2"/>
    </row>
    <row r="22500" spans="3:3" x14ac:dyDescent="0.35">
      <c r="C22500" s="2"/>
    </row>
    <row r="22501" spans="3:3" x14ac:dyDescent="0.35">
      <c r="C22501" s="2"/>
    </row>
    <row r="22502" spans="3:3" x14ac:dyDescent="0.35">
      <c r="C22502" s="2"/>
    </row>
    <row r="22503" spans="3:3" x14ac:dyDescent="0.35">
      <c r="C22503" s="2"/>
    </row>
    <row r="22504" spans="3:3" x14ac:dyDescent="0.35">
      <c r="C22504" s="2"/>
    </row>
    <row r="22505" spans="3:3" x14ac:dyDescent="0.35">
      <c r="C22505" s="2"/>
    </row>
    <row r="22506" spans="3:3" x14ac:dyDescent="0.35">
      <c r="C22506" s="2"/>
    </row>
    <row r="22507" spans="3:3" x14ac:dyDescent="0.35">
      <c r="C22507" s="2"/>
    </row>
    <row r="22508" spans="3:3" x14ac:dyDescent="0.35">
      <c r="C22508" s="2"/>
    </row>
    <row r="22509" spans="3:3" x14ac:dyDescent="0.35">
      <c r="C22509" s="2"/>
    </row>
    <row r="22510" spans="3:3" x14ac:dyDescent="0.35">
      <c r="C22510" s="2"/>
    </row>
    <row r="22511" spans="3:3" x14ac:dyDescent="0.35">
      <c r="C22511" s="2"/>
    </row>
    <row r="22512" spans="3:3" x14ac:dyDescent="0.35">
      <c r="C22512" s="2"/>
    </row>
    <row r="22513" spans="3:3" x14ac:dyDescent="0.35">
      <c r="C22513" s="2"/>
    </row>
    <row r="22514" spans="3:3" x14ac:dyDescent="0.35">
      <c r="C22514" s="2"/>
    </row>
    <row r="22515" spans="3:3" x14ac:dyDescent="0.35">
      <c r="C22515" s="2"/>
    </row>
    <row r="22516" spans="3:3" x14ac:dyDescent="0.35">
      <c r="C22516" s="2"/>
    </row>
    <row r="22517" spans="3:3" x14ac:dyDescent="0.35">
      <c r="C22517" s="2"/>
    </row>
    <row r="22518" spans="3:3" x14ac:dyDescent="0.35">
      <c r="C22518" s="2"/>
    </row>
    <row r="22519" spans="3:3" x14ac:dyDescent="0.35">
      <c r="C22519" s="2"/>
    </row>
    <row r="22520" spans="3:3" x14ac:dyDescent="0.35">
      <c r="C22520" s="2"/>
    </row>
    <row r="22521" spans="3:3" x14ac:dyDescent="0.35">
      <c r="C22521" s="2"/>
    </row>
    <row r="22522" spans="3:3" x14ac:dyDescent="0.35">
      <c r="C22522" s="2"/>
    </row>
    <row r="22523" spans="3:3" x14ac:dyDescent="0.35">
      <c r="C22523" s="2"/>
    </row>
    <row r="22524" spans="3:3" x14ac:dyDescent="0.35">
      <c r="C22524" s="2"/>
    </row>
    <row r="22525" spans="3:3" x14ac:dyDescent="0.35">
      <c r="C22525" s="2"/>
    </row>
    <row r="22526" spans="3:3" x14ac:dyDescent="0.35">
      <c r="C22526" s="2"/>
    </row>
    <row r="22527" spans="3:3" x14ac:dyDescent="0.35">
      <c r="C22527" s="2"/>
    </row>
    <row r="22528" spans="3:3" x14ac:dyDescent="0.35">
      <c r="C22528" s="2"/>
    </row>
    <row r="22529" spans="3:3" x14ac:dyDescent="0.35">
      <c r="C22529" s="2"/>
    </row>
    <row r="22530" spans="3:3" x14ac:dyDescent="0.35">
      <c r="C22530" s="2"/>
    </row>
    <row r="22531" spans="3:3" x14ac:dyDescent="0.35">
      <c r="C22531" s="2"/>
    </row>
    <row r="22532" spans="3:3" x14ac:dyDescent="0.35">
      <c r="C22532" s="2"/>
    </row>
    <row r="22533" spans="3:3" x14ac:dyDescent="0.35">
      <c r="C22533" s="2"/>
    </row>
    <row r="22534" spans="3:3" x14ac:dyDescent="0.35">
      <c r="C22534" s="2"/>
    </row>
    <row r="22535" spans="3:3" x14ac:dyDescent="0.35">
      <c r="C22535" s="2"/>
    </row>
    <row r="22536" spans="3:3" x14ac:dyDescent="0.35">
      <c r="C22536" s="2"/>
    </row>
    <row r="22537" spans="3:3" x14ac:dyDescent="0.35">
      <c r="C22537" s="2"/>
    </row>
    <row r="22538" spans="3:3" x14ac:dyDescent="0.35">
      <c r="C22538" s="2"/>
    </row>
    <row r="22539" spans="3:3" x14ac:dyDescent="0.35">
      <c r="C22539" s="2"/>
    </row>
    <row r="22540" spans="3:3" x14ac:dyDescent="0.35">
      <c r="C22540" s="2"/>
    </row>
    <row r="22541" spans="3:3" x14ac:dyDescent="0.35">
      <c r="C22541" s="2"/>
    </row>
    <row r="22542" spans="3:3" x14ac:dyDescent="0.35">
      <c r="C22542" s="2"/>
    </row>
    <row r="22543" spans="3:3" x14ac:dyDescent="0.35">
      <c r="C22543" s="2"/>
    </row>
    <row r="22544" spans="3:3" x14ac:dyDescent="0.35">
      <c r="C22544" s="2"/>
    </row>
    <row r="22545" spans="3:3" x14ac:dyDescent="0.35">
      <c r="C22545" s="2"/>
    </row>
    <row r="22546" spans="3:3" x14ac:dyDescent="0.35">
      <c r="C22546" s="2"/>
    </row>
    <row r="22547" spans="3:3" x14ac:dyDescent="0.35">
      <c r="C22547" s="2"/>
    </row>
    <row r="22548" spans="3:3" x14ac:dyDescent="0.35">
      <c r="C22548" s="2"/>
    </row>
    <row r="22549" spans="3:3" x14ac:dyDescent="0.35">
      <c r="C22549" s="2"/>
    </row>
    <row r="22550" spans="3:3" x14ac:dyDescent="0.35">
      <c r="C22550" s="2"/>
    </row>
    <row r="22551" spans="3:3" x14ac:dyDescent="0.35">
      <c r="C22551" s="2"/>
    </row>
    <row r="22552" spans="3:3" x14ac:dyDescent="0.35">
      <c r="C22552" s="2"/>
    </row>
    <row r="22553" spans="3:3" x14ac:dyDescent="0.35">
      <c r="C22553" s="2"/>
    </row>
    <row r="22554" spans="3:3" x14ac:dyDescent="0.35">
      <c r="C22554" s="2"/>
    </row>
    <row r="22555" spans="3:3" x14ac:dyDescent="0.35">
      <c r="C22555" s="2"/>
    </row>
    <row r="22556" spans="3:3" x14ac:dyDescent="0.35">
      <c r="C22556" s="2"/>
    </row>
    <row r="22557" spans="3:3" x14ac:dyDescent="0.35">
      <c r="C22557" s="2"/>
    </row>
    <row r="22558" spans="3:3" x14ac:dyDescent="0.35">
      <c r="C22558" s="2"/>
    </row>
    <row r="22559" spans="3:3" x14ac:dyDescent="0.35">
      <c r="C22559" s="2"/>
    </row>
    <row r="22560" spans="3:3" x14ac:dyDescent="0.35">
      <c r="C22560" s="2"/>
    </row>
    <row r="22561" spans="3:3" x14ac:dyDescent="0.35">
      <c r="C22561" s="2"/>
    </row>
    <row r="22562" spans="3:3" x14ac:dyDescent="0.35">
      <c r="C22562" s="2"/>
    </row>
    <row r="22563" spans="3:3" x14ac:dyDescent="0.35">
      <c r="C22563" s="2"/>
    </row>
    <row r="22564" spans="3:3" x14ac:dyDescent="0.35">
      <c r="C22564" s="2"/>
    </row>
    <row r="22565" spans="3:3" x14ac:dyDescent="0.35">
      <c r="C22565" s="2"/>
    </row>
    <row r="22566" spans="3:3" x14ac:dyDescent="0.35">
      <c r="C22566" s="2"/>
    </row>
    <row r="22567" spans="3:3" x14ac:dyDescent="0.35">
      <c r="C22567" s="2"/>
    </row>
    <row r="22568" spans="3:3" x14ac:dyDescent="0.35">
      <c r="C22568" s="2"/>
    </row>
    <row r="22569" spans="3:3" x14ac:dyDescent="0.35">
      <c r="C22569" s="2"/>
    </row>
    <row r="22570" spans="3:3" x14ac:dyDescent="0.35">
      <c r="C22570" s="2"/>
    </row>
    <row r="22571" spans="3:3" x14ac:dyDescent="0.35">
      <c r="C22571" s="2"/>
    </row>
    <row r="22572" spans="3:3" x14ac:dyDescent="0.35">
      <c r="C22572" s="2"/>
    </row>
    <row r="22573" spans="3:3" x14ac:dyDescent="0.35">
      <c r="C22573" s="2"/>
    </row>
    <row r="22574" spans="3:3" x14ac:dyDescent="0.35">
      <c r="C22574" s="2"/>
    </row>
    <row r="22575" spans="3:3" x14ac:dyDescent="0.35">
      <c r="C22575" s="2"/>
    </row>
    <row r="22576" spans="3:3" x14ac:dyDescent="0.35">
      <c r="C22576" s="2"/>
    </row>
    <row r="22577" spans="3:3" x14ac:dyDescent="0.35">
      <c r="C22577" s="2"/>
    </row>
    <row r="22578" spans="3:3" x14ac:dyDescent="0.35">
      <c r="C22578" s="2"/>
    </row>
    <row r="22579" spans="3:3" x14ac:dyDescent="0.35">
      <c r="C22579" s="2"/>
    </row>
    <row r="22580" spans="3:3" x14ac:dyDescent="0.35">
      <c r="C22580" s="2"/>
    </row>
    <row r="22581" spans="3:3" x14ac:dyDescent="0.35">
      <c r="C22581" s="2"/>
    </row>
    <row r="22582" spans="3:3" x14ac:dyDescent="0.35">
      <c r="C22582" s="2"/>
    </row>
    <row r="22583" spans="3:3" x14ac:dyDescent="0.35">
      <c r="C22583" s="2"/>
    </row>
    <row r="22584" spans="3:3" x14ac:dyDescent="0.35">
      <c r="C22584" s="2"/>
    </row>
    <row r="22585" spans="3:3" x14ac:dyDescent="0.35">
      <c r="C22585" s="2"/>
    </row>
    <row r="22586" spans="3:3" x14ac:dyDescent="0.35">
      <c r="C22586" s="2"/>
    </row>
    <row r="22587" spans="3:3" x14ac:dyDescent="0.35">
      <c r="C22587" s="2"/>
    </row>
    <row r="22588" spans="3:3" x14ac:dyDescent="0.35">
      <c r="C22588" s="2"/>
    </row>
    <row r="22589" spans="3:3" x14ac:dyDescent="0.35">
      <c r="C22589" s="2"/>
    </row>
    <row r="22590" spans="3:3" x14ac:dyDescent="0.35">
      <c r="C22590" s="2"/>
    </row>
    <row r="22591" spans="3:3" x14ac:dyDescent="0.35">
      <c r="C22591" s="2"/>
    </row>
    <row r="22592" spans="3:3" x14ac:dyDescent="0.35">
      <c r="C22592" s="2"/>
    </row>
    <row r="22593" spans="3:3" x14ac:dyDescent="0.35">
      <c r="C22593" s="2"/>
    </row>
    <row r="22594" spans="3:3" x14ac:dyDescent="0.35">
      <c r="C22594" s="2"/>
    </row>
    <row r="22595" spans="3:3" x14ac:dyDescent="0.35">
      <c r="C22595" s="2"/>
    </row>
    <row r="22596" spans="3:3" x14ac:dyDescent="0.35">
      <c r="C22596" s="2"/>
    </row>
    <row r="22597" spans="3:3" x14ac:dyDescent="0.35">
      <c r="C22597" s="2"/>
    </row>
    <row r="22598" spans="3:3" x14ac:dyDescent="0.35">
      <c r="C22598" s="2"/>
    </row>
    <row r="22599" spans="3:3" x14ac:dyDescent="0.35">
      <c r="C22599" s="2"/>
    </row>
    <row r="22600" spans="3:3" x14ac:dyDescent="0.35">
      <c r="C22600" s="2"/>
    </row>
    <row r="22601" spans="3:3" x14ac:dyDescent="0.35">
      <c r="C22601" s="2"/>
    </row>
    <row r="22602" spans="3:3" x14ac:dyDescent="0.35">
      <c r="C22602" s="2"/>
    </row>
    <row r="22603" spans="3:3" x14ac:dyDescent="0.35">
      <c r="C22603" s="2"/>
    </row>
    <row r="22604" spans="3:3" x14ac:dyDescent="0.35">
      <c r="C22604" s="2"/>
    </row>
    <row r="22605" spans="3:3" x14ac:dyDescent="0.35">
      <c r="C22605" s="2"/>
    </row>
    <row r="22606" spans="3:3" x14ac:dyDescent="0.35">
      <c r="C22606" s="2"/>
    </row>
    <row r="22607" spans="3:3" x14ac:dyDescent="0.35">
      <c r="C22607" s="2"/>
    </row>
    <row r="22608" spans="3:3" x14ac:dyDescent="0.35">
      <c r="C22608" s="2"/>
    </row>
    <row r="22609" spans="3:3" x14ac:dyDescent="0.35">
      <c r="C22609" s="2"/>
    </row>
    <row r="22610" spans="3:3" x14ac:dyDescent="0.35">
      <c r="C22610" s="2"/>
    </row>
    <row r="22611" spans="3:3" x14ac:dyDescent="0.35">
      <c r="C22611" s="2"/>
    </row>
    <row r="22612" spans="3:3" x14ac:dyDescent="0.35">
      <c r="C22612" s="2"/>
    </row>
    <row r="22613" spans="3:3" x14ac:dyDescent="0.35">
      <c r="C22613" s="2"/>
    </row>
    <row r="22614" spans="3:3" x14ac:dyDescent="0.35">
      <c r="C22614" s="2"/>
    </row>
    <row r="22615" spans="3:3" x14ac:dyDescent="0.35">
      <c r="C22615" s="2"/>
    </row>
    <row r="22616" spans="3:3" x14ac:dyDescent="0.35">
      <c r="C22616" s="2"/>
    </row>
    <row r="22617" spans="3:3" x14ac:dyDescent="0.35">
      <c r="C22617" s="2"/>
    </row>
    <row r="22618" spans="3:3" x14ac:dyDescent="0.35">
      <c r="C22618" s="2"/>
    </row>
    <row r="22619" spans="3:3" x14ac:dyDescent="0.35">
      <c r="C22619" s="2"/>
    </row>
    <row r="22620" spans="3:3" x14ac:dyDescent="0.35">
      <c r="C22620" s="2"/>
    </row>
    <row r="22621" spans="3:3" x14ac:dyDescent="0.35">
      <c r="C22621" s="2"/>
    </row>
    <row r="22622" spans="3:3" x14ac:dyDescent="0.35">
      <c r="C22622" s="2"/>
    </row>
    <row r="22623" spans="3:3" x14ac:dyDescent="0.35">
      <c r="C22623" s="2"/>
    </row>
    <row r="22624" spans="3:3" x14ac:dyDescent="0.35">
      <c r="C22624" s="2"/>
    </row>
    <row r="22625" spans="3:3" x14ac:dyDescent="0.35">
      <c r="C22625" s="2"/>
    </row>
    <row r="22626" spans="3:3" x14ac:dyDescent="0.35">
      <c r="C22626" s="2"/>
    </row>
    <row r="22627" spans="3:3" x14ac:dyDescent="0.35">
      <c r="C22627" s="2"/>
    </row>
    <row r="22628" spans="3:3" x14ac:dyDescent="0.35">
      <c r="C22628" s="2"/>
    </row>
    <row r="22629" spans="3:3" x14ac:dyDescent="0.35">
      <c r="C22629" s="2"/>
    </row>
    <row r="22630" spans="3:3" x14ac:dyDescent="0.35">
      <c r="C22630" s="2"/>
    </row>
    <row r="22631" spans="3:3" x14ac:dyDescent="0.35">
      <c r="C22631" s="2"/>
    </row>
    <row r="22632" spans="3:3" x14ac:dyDescent="0.35">
      <c r="C22632" s="2"/>
    </row>
    <row r="22633" spans="3:3" x14ac:dyDescent="0.35">
      <c r="C22633" s="2"/>
    </row>
    <row r="22634" spans="3:3" x14ac:dyDescent="0.35">
      <c r="C22634" s="2"/>
    </row>
    <row r="22635" spans="3:3" x14ac:dyDescent="0.35">
      <c r="C22635" s="2"/>
    </row>
    <row r="22636" spans="3:3" x14ac:dyDescent="0.35">
      <c r="C22636" s="2"/>
    </row>
    <row r="22637" spans="3:3" x14ac:dyDescent="0.35">
      <c r="C22637" s="2"/>
    </row>
    <row r="22638" spans="3:3" x14ac:dyDescent="0.35">
      <c r="C22638" s="2"/>
    </row>
    <row r="22639" spans="3:3" x14ac:dyDescent="0.35">
      <c r="C22639" s="2"/>
    </row>
    <row r="22640" spans="3:3" x14ac:dyDescent="0.35">
      <c r="C22640" s="2"/>
    </row>
    <row r="22641" spans="3:3" x14ac:dyDescent="0.35">
      <c r="C22641" s="2"/>
    </row>
    <row r="22642" spans="3:3" x14ac:dyDescent="0.35">
      <c r="C22642" s="2"/>
    </row>
    <row r="22643" spans="3:3" x14ac:dyDescent="0.35">
      <c r="C22643" s="2"/>
    </row>
    <row r="22644" spans="3:3" x14ac:dyDescent="0.35">
      <c r="C22644" s="2"/>
    </row>
    <row r="22645" spans="3:3" x14ac:dyDescent="0.35">
      <c r="C22645" s="2"/>
    </row>
    <row r="22646" spans="3:3" x14ac:dyDescent="0.35">
      <c r="C22646" s="2"/>
    </row>
    <row r="22647" spans="3:3" x14ac:dyDescent="0.35">
      <c r="C22647" s="2"/>
    </row>
    <row r="22648" spans="3:3" x14ac:dyDescent="0.35">
      <c r="C22648" s="2"/>
    </row>
    <row r="22649" spans="3:3" x14ac:dyDescent="0.35">
      <c r="C22649" s="2"/>
    </row>
    <row r="22650" spans="3:3" x14ac:dyDescent="0.35">
      <c r="C22650" s="2"/>
    </row>
    <row r="22651" spans="3:3" x14ac:dyDescent="0.35">
      <c r="C22651" s="2"/>
    </row>
    <row r="22652" spans="3:3" x14ac:dyDescent="0.35">
      <c r="C22652" s="2"/>
    </row>
    <row r="22653" spans="3:3" x14ac:dyDescent="0.35">
      <c r="C22653" s="2"/>
    </row>
    <row r="22654" spans="3:3" x14ac:dyDescent="0.35">
      <c r="C22654" s="2"/>
    </row>
    <row r="22655" spans="3:3" x14ac:dyDescent="0.35">
      <c r="C22655" s="2"/>
    </row>
    <row r="22656" spans="3:3" x14ac:dyDescent="0.35">
      <c r="C22656" s="2"/>
    </row>
    <row r="22657" spans="3:3" x14ac:dyDescent="0.35">
      <c r="C22657" s="2"/>
    </row>
    <row r="22658" spans="3:3" x14ac:dyDescent="0.35">
      <c r="C22658" s="2"/>
    </row>
    <row r="22659" spans="3:3" x14ac:dyDescent="0.35">
      <c r="C22659" s="2"/>
    </row>
    <row r="22660" spans="3:3" x14ac:dyDescent="0.35">
      <c r="C22660" s="2"/>
    </row>
    <row r="22661" spans="3:3" x14ac:dyDescent="0.35">
      <c r="C22661" s="2"/>
    </row>
    <row r="22662" spans="3:3" x14ac:dyDescent="0.35">
      <c r="C22662" s="2"/>
    </row>
    <row r="22663" spans="3:3" x14ac:dyDescent="0.35">
      <c r="C22663" s="2"/>
    </row>
    <row r="22664" spans="3:3" x14ac:dyDescent="0.35">
      <c r="C22664" s="2"/>
    </row>
    <row r="22665" spans="3:3" x14ac:dyDescent="0.35">
      <c r="C22665" s="2"/>
    </row>
    <row r="22666" spans="3:3" x14ac:dyDescent="0.35">
      <c r="C22666" s="2"/>
    </row>
    <row r="22667" spans="3:3" x14ac:dyDescent="0.35">
      <c r="C22667" s="2"/>
    </row>
    <row r="22668" spans="3:3" x14ac:dyDescent="0.35">
      <c r="C22668" s="2"/>
    </row>
    <row r="22669" spans="3:3" x14ac:dyDescent="0.35">
      <c r="C22669" s="2"/>
    </row>
    <row r="22670" spans="3:3" x14ac:dyDescent="0.35">
      <c r="C22670" s="2"/>
    </row>
    <row r="22671" spans="3:3" x14ac:dyDescent="0.35">
      <c r="C22671" s="2"/>
    </row>
    <row r="22672" spans="3:3" x14ac:dyDescent="0.35">
      <c r="C22672" s="2"/>
    </row>
    <row r="22673" spans="3:3" x14ac:dyDescent="0.35">
      <c r="C22673" s="2"/>
    </row>
    <row r="22674" spans="3:3" x14ac:dyDescent="0.35">
      <c r="C22674" s="2"/>
    </row>
    <row r="22675" spans="3:3" x14ac:dyDescent="0.35">
      <c r="C22675" s="2"/>
    </row>
    <row r="22676" spans="3:3" x14ac:dyDescent="0.35">
      <c r="C22676" s="2"/>
    </row>
    <row r="22677" spans="3:3" x14ac:dyDescent="0.35">
      <c r="C22677" s="2"/>
    </row>
    <row r="22678" spans="3:3" x14ac:dyDescent="0.35">
      <c r="C22678" s="2"/>
    </row>
    <row r="22679" spans="3:3" x14ac:dyDescent="0.35">
      <c r="C22679" s="2"/>
    </row>
    <row r="22680" spans="3:3" x14ac:dyDescent="0.35">
      <c r="C22680" s="2"/>
    </row>
    <row r="22681" spans="3:3" x14ac:dyDescent="0.35">
      <c r="C22681" s="2"/>
    </row>
    <row r="22682" spans="3:3" x14ac:dyDescent="0.35">
      <c r="C22682" s="2"/>
    </row>
    <row r="22683" spans="3:3" x14ac:dyDescent="0.35">
      <c r="C22683" s="2"/>
    </row>
    <row r="22684" spans="3:3" x14ac:dyDescent="0.35">
      <c r="C22684" s="2"/>
    </row>
    <row r="22685" spans="3:3" x14ac:dyDescent="0.35">
      <c r="C22685" s="2"/>
    </row>
    <row r="22686" spans="3:3" x14ac:dyDescent="0.35">
      <c r="C22686" s="2"/>
    </row>
    <row r="22687" spans="3:3" x14ac:dyDescent="0.35">
      <c r="C22687" s="2"/>
    </row>
    <row r="22688" spans="3:3" x14ac:dyDescent="0.35">
      <c r="C22688" s="2"/>
    </row>
    <row r="22689" spans="3:3" x14ac:dyDescent="0.35">
      <c r="C22689" s="2"/>
    </row>
    <row r="22690" spans="3:3" x14ac:dyDescent="0.35">
      <c r="C22690" s="2"/>
    </row>
    <row r="22691" spans="3:3" x14ac:dyDescent="0.35">
      <c r="C22691" s="2"/>
    </row>
    <row r="22692" spans="3:3" x14ac:dyDescent="0.35">
      <c r="C22692" s="2"/>
    </row>
    <row r="22693" spans="3:3" x14ac:dyDescent="0.35">
      <c r="C22693" s="2"/>
    </row>
    <row r="22694" spans="3:3" x14ac:dyDescent="0.35">
      <c r="C22694" s="2"/>
    </row>
    <row r="22695" spans="3:3" x14ac:dyDescent="0.35">
      <c r="C22695" s="2"/>
    </row>
    <row r="22696" spans="3:3" x14ac:dyDescent="0.35">
      <c r="C22696" s="2"/>
    </row>
    <row r="22697" spans="3:3" x14ac:dyDescent="0.35">
      <c r="C22697" s="2"/>
    </row>
    <row r="22698" spans="3:3" x14ac:dyDescent="0.35">
      <c r="C22698" s="2"/>
    </row>
    <row r="22699" spans="3:3" x14ac:dyDescent="0.35">
      <c r="C22699" s="2"/>
    </row>
    <row r="22700" spans="3:3" x14ac:dyDescent="0.35">
      <c r="C22700" s="2"/>
    </row>
    <row r="22701" spans="3:3" x14ac:dyDescent="0.35">
      <c r="C22701" s="2"/>
    </row>
    <row r="22702" spans="3:3" x14ac:dyDescent="0.35">
      <c r="C22702" s="2"/>
    </row>
    <row r="22703" spans="3:3" x14ac:dyDescent="0.35">
      <c r="C22703" s="2"/>
    </row>
    <row r="22704" spans="3:3" x14ac:dyDescent="0.35">
      <c r="C22704" s="2"/>
    </row>
    <row r="22705" spans="3:3" x14ac:dyDescent="0.35">
      <c r="C22705" s="2"/>
    </row>
    <row r="22706" spans="3:3" x14ac:dyDescent="0.35">
      <c r="C22706" s="2"/>
    </row>
    <row r="22707" spans="3:3" x14ac:dyDescent="0.35">
      <c r="C22707" s="2"/>
    </row>
    <row r="22708" spans="3:3" x14ac:dyDescent="0.35">
      <c r="C22708" s="2"/>
    </row>
    <row r="22709" spans="3:3" x14ac:dyDescent="0.35">
      <c r="C22709" s="2"/>
    </row>
    <row r="22710" spans="3:3" x14ac:dyDescent="0.35">
      <c r="C22710" s="2"/>
    </row>
    <row r="22711" spans="3:3" x14ac:dyDescent="0.35">
      <c r="C22711" s="2"/>
    </row>
    <row r="22712" spans="3:3" x14ac:dyDescent="0.35">
      <c r="C22712" s="2"/>
    </row>
    <row r="22713" spans="3:3" x14ac:dyDescent="0.35">
      <c r="C22713" s="2"/>
    </row>
    <row r="22714" spans="3:3" x14ac:dyDescent="0.35">
      <c r="C22714" s="2"/>
    </row>
    <row r="22715" spans="3:3" x14ac:dyDescent="0.35">
      <c r="C22715" s="2"/>
    </row>
    <row r="22716" spans="3:3" x14ac:dyDescent="0.35">
      <c r="C22716" s="2"/>
    </row>
    <row r="22717" spans="3:3" x14ac:dyDescent="0.35">
      <c r="C22717" s="2"/>
    </row>
    <row r="22718" spans="3:3" x14ac:dyDescent="0.35">
      <c r="C22718" s="2"/>
    </row>
    <row r="22719" spans="3:3" x14ac:dyDescent="0.35">
      <c r="C22719" s="2"/>
    </row>
    <row r="22720" spans="3:3" x14ac:dyDescent="0.35">
      <c r="C22720" s="2"/>
    </row>
    <row r="22721" spans="3:3" x14ac:dyDescent="0.35">
      <c r="C22721" s="2"/>
    </row>
    <row r="22722" spans="3:3" x14ac:dyDescent="0.35">
      <c r="C22722" s="2"/>
    </row>
    <row r="22723" spans="3:3" x14ac:dyDescent="0.35">
      <c r="C22723" s="2"/>
    </row>
    <row r="22724" spans="3:3" x14ac:dyDescent="0.35">
      <c r="C22724" s="2"/>
    </row>
    <row r="22725" spans="3:3" x14ac:dyDescent="0.35">
      <c r="C22725" s="2"/>
    </row>
    <row r="22726" spans="3:3" x14ac:dyDescent="0.35">
      <c r="C22726" s="2"/>
    </row>
    <row r="22727" spans="3:3" x14ac:dyDescent="0.35">
      <c r="C22727" s="2"/>
    </row>
    <row r="22728" spans="3:3" x14ac:dyDescent="0.35">
      <c r="C22728" s="2"/>
    </row>
    <row r="22729" spans="3:3" x14ac:dyDescent="0.35">
      <c r="C22729" s="2"/>
    </row>
    <row r="22730" spans="3:3" x14ac:dyDescent="0.35">
      <c r="C22730" s="2"/>
    </row>
    <row r="22731" spans="3:3" x14ac:dyDescent="0.35">
      <c r="C22731" s="2"/>
    </row>
    <row r="22732" spans="3:3" x14ac:dyDescent="0.35">
      <c r="C22732" s="2"/>
    </row>
    <row r="22733" spans="3:3" x14ac:dyDescent="0.35">
      <c r="C22733" s="2"/>
    </row>
    <row r="22734" spans="3:3" x14ac:dyDescent="0.35">
      <c r="C22734" s="2"/>
    </row>
    <row r="22735" spans="3:3" x14ac:dyDescent="0.35">
      <c r="C22735" s="2"/>
    </row>
    <row r="22736" spans="3:3" x14ac:dyDescent="0.35">
      <c r="C22736" s="2"/>
    </row>
    <row r="22737" spans="3:3" x14ac:dyDescent="0.35">
      <c r="C22737" s="2"/>
    </row>
    <row r="22738" spans="3:3" x14ac:dyDescent="0.35">
      <c r="C22738" s="2"/>
    </row>
    <row r="22739" spans="3:3" x14ac:dyDescent="0.35">
      <c r="C22739" s="2"/>
    </row>
    <row r="22740" spans="3:3" x14ac:dyDescent="0.35">
      <c r="C22740" s="2"/>
    </row>
    <row r="22741" spans="3:3" x14ac:dyDescent="0.35">
      <c r="C22741" s="2"/>
    </row>
    <row r="22742" spans="3:3" x14ac:dyDescent="0.35">
      <c r="C22742" s="2"/>
    </row>
    <row r="22743" spans="3:3" x14ac:dyDescent="0.35">
      <c r="C22743" s="2"/>
    </row>
    <row r="22744" spans="3:3" x14ac:dyDescent="0.35">
      <c r="C22744" s="2"/>
    </row>
    <row r="22745" spans="3:3" x14ac:dyDescent="0.35">
      <c r="C22745" s="2"/>
    </row>
    <row r="22746" spans="3:3" x14ac:dyDescent="0.35">
      <c r="C22746" s="2"/>
    </row>
    <row r="22747" spans="3:3" x14ac:dyDescent="0.35">
      <c r="C22747" s="2"/>
    </row>
    <row r="22748" spans="3:3" x14ac:dyDescent="0.35">
      <c r="C22748" s="2"/>
    </row>
    <row r="22749" spans="3:3" x14ac:dyDescent="0.35">
      <c r="C22749" s="2"/>
    </row>
    <row r="22750" spans="3:3" x14ac:dyDescent="0.35">
      <c r="C22750" s="2"/>
    </row>
    <row r="22751" spans="3:3" x14ac:dyDescent="0.35">
      <c r="C22751" s="2"/>
    </row>
    <row r="22752" spans="3:3" x14ac:dyDescent="0.35">
      <c r="C22752" s="2"/>
    </row>
    <row r="22753" spans="3:3" x14ac:dyDescent="0.35">
      <c r="C22753" s="2"/>
    </row>
    <row r="22754" spans="3:3" x14ac:dyDescent="0.35">
      <c r="C22754" s="2"/>
    </row>
    <row r="22755" spans="3:3" x14ac:dyDescent="0.35">
      <c r="C22755" s="2"/>
    </row>
    <row r="22756" spans="3:3" x14ac:dyDescent="0.35">
      <c r="C22756" s="2"/>
    </row>
    <row r="22757" spans="3:3" x14ac:dyDescent="0.35">
      <c r="C22757" s="2"/>
    </row>
    <row r="22758" spans="3:3" x14ac:dyDescent="0.35">
      <c r="C22758" s="2"/>
    </row>
    <row r="22759" spans="3:3" x14ac:dyDescent="0.35">
      <c r="C22759" s="2"/>
    </row>
    <row r="22760" spans="3:3" x14ac:dyDescent="0.35">
      <c r="C22760" s="2"/>
    </row>
    <row r="22761" spans="3:3" x14ac:dyDescent="0.35">
      <c r="C22761" s="2"/>
    </row>
    <row r="22762" spans="3:3" x14ac:dyDescent="0.35">
      <c r="C22762" s="2"/>
    </row>
    <row r="22763" spans="3:3" x14ac:dyDescent="0.35">
      <c r="C22763" s="2"/>
    </row>
    <row r="22764" spans="3:3" x14ac:dyDescent="0.35">
      <c r="C22764" s="2"/>
    </row>
    <row r="22765" spans="3:3" x14ac:dyDescent="0.35">
      <c r="C22765" s="2"/>
    </row>
    <row r="22766" spans="3:3" x14ac:dyDescent="0.35">
      <c r="C22766" s="2"/>
    </row>
    <row r="22767" spans="3:3" x14ac:dyDescent="0.35">
      <c r="C22767" s="2"/>
    </row>
    <row r="22768" spans="3:3" x14ac:dyDescent="0.35">
      <c r="C22768" s="2"/>
    </row>
    <row r="22769" spans="3:3" x14ac:dyDescent="0.35">
      <c r="C22769" s="2"/>
    </row>
    <row r="22770" spans="3:3" x14ac:dyDescent="0.35">
      <c r="C22770" s="2"/>
    </row>
    <row r="22771" spans="3:3" x14ac:dyDescent="0.35">
      <c r="C22771" s="2"/>
    </row>
    <row r="22772" spans="3:3" x14ac:dyDescent="0.35">
      <c r="C22772" s="2"/>
    </row>
    <row r="22773" spans="3:3" x14ac:dyDescent="0.35">
      <c r="C22773" s="2"/>
    </row>
    <row r="22774" spans="3:3" x14ac:dyDescent="0.35">
      <c r="C22774" s="2"/>
    </row>
    <row r="22775" spans="3:3" x14ac:dyDescent="0.35">
      <c r="C22775" s="2"/>
    </row>
    <row r="22776" spans="3:3" x14ac:dyDescent="0.35">
      <c r="C22776" s="2"/>
    </row>
    <row r="22777" spans="3:3" x14ac:dyDescent="0.35">
      <c r="C22777" s="2"/>
    </row>
    <row r="22778" spans="3:3" x14ac:dyDescent="0.35">
      <c r="C22778" s="2"/>
    </row>
    <row r="22779" spans="3:3" x14ac:dyDescent="0.35">
      <c r="C22779" s="2"/>
    </row>
    <row r="22780" spans="3:3" x14ac:dyDescent="0.35">
      <c r="C22780" s="2"/>
    </row>
    <row r="22781" spans="3:3" x14ac:dyDescent="0.35">
      <c r="C22781" s="2"/>
    </row>
    <row r="22782" spans="3:3" x14ac:dyDescent="0.35">
      <c r="C22782" s="2"/>
    </row>
    <row r="22783" spans="3:3" x14ac:dyDescent="0.35">
      <c r="C22783" s="2"/>
    </row>
    <row r="22784" spans="3:3" x14ac:dyDescent="0.35">
      <c r="C22784" s="2"/>
    </row>
    <row r="22785" spans="3:3" x14ac:dyDescent="0.35">
      <c r="C22785" s="2"/>
    </row>
    <row r="22786" spans="3:3" x14ac:dyDescent="0.35">
      <c r="C22786" s="2"/>
    </row>
    <row r="22787" spans="3:3" x14ac:dyDescent="0.35">
      <c r="C22787" s="2"/>
    </row>
    <row r="22788" spans="3:3" x14ac:dyDescent="0.35">
      <c r="C22788" s="2"/>
    </row>
    <row r="22789" spans="3:3" x14ac:dyDescent="0.35">
      <c r="C22789" s="2"/>
    </row>
    <row r="22790" spans="3:3" x14ac:dyDescent="0.35">
      <c r="C22790" s="2"/>
    </row>
    <row r="22791" spans="3:3" x14ac:dyDescent="0.35">
      <c r="C22791" s="2"/>
    </row>
    <row r="22792" spans="3:3" x14ac:dyDescent="0.35">
      <c r="C22792" s="2"/>
    </row>
    <row r="22793" spans="3:3" x14ac:dyDescent="0.35">
      <c r="C22793" s="2"/>
    </row>
    <row r="22794" spans="3:3" x14ac:dyDescent="0.35">
      <c r="C22794" s="2"/>
    </row>
    <row r="22795" spans="3:3" x14ac:dyDescent="0.35">
      <c r="C22795" s="2"/>
    </row>
    <row r="22796" spans="3:3" x14ac:dyDescent="0.35">
      <c r="C22796" s="2"/>
    </row>
    <row r="22797" spans="3:3" x14ac:dyDescent="0.35">
      <c r="C22797" s="2"/>
    </row>
    <row r="22798" spans="3:3" x14ac:dyDescent="0.35">
      <c r="C22798" s="2"/>
    </row>
    <row r="22799" spans="3:3" x14ac:dyDescent="0.35">
      <c r="C22799" s="2"/>
    </row>
    <row r="22800" spans="3:3" x14ac:dyDescent="0.35">
      <c r="C22800" s="2"/>
    </row>
    <row r="22801" spans="3:3" x14ac:dyDescent="0.35">
      <c r="C22801" s="2"/>
    </row>
    <row r="22802" spans="3:3" x14ac:dyDescent="0.35">
      <c r="C22802" s="2"/>
    </row>
    <row r="22803" spans="3:3" x14ac:dyDescent="0.35">
      <c r="C22803" s="2"/>
    </row>
    <row r="22804" spans="3:3" x14ac:dyDescent="0.35">
      <c r="C22804" s="2"/>
    </row>
    <row r="22805" spans="3:3" x14ac:dyDescent="0.35">
      <c r="C22805" s="2"/>
    </row>
    <row r="22806" spans="3:3" x14ac:dyDescent="0.35">
      <c r="C22806" s="2"/>
    </row>
    <row r="22807" spans="3:3" x14ac:dyDescent="0.35">
      <c r="C22807" s="2"/>
    </row>
    <row r="22808" spans="3:3" x14ac:dyDescent="0.35">
      <c r="C22808" s="2"/>
    </row>
    <row r="22809" spans="3:3" x14ac:dyDescent="0.35">
      <c r="C22809" s="2"/>
    </row>
    <row r="22810" spans="3:3" x14ac:dyDescent="0.35">
      <c r="C22810" s="2"/>
    </row>
    <row r="22811" spans="3:3" x14ac:dyDescent="0.35">
      <c r="C22811" s="2"/>
    </row>
    <row r="22812" spans="3:3" x14ac:dyDescent="0.35">
      <c r="C22812" s="2"/>
    </row>
    <row r="22813" spans="3:3" x14ac:dyDescent="0.35">
      <c r="C22813" s="2"/>
    </row>
    <row r="22814" spans="3:3" x14ac:dyDescent="0.35">
      <c r="C22814" s="2"/>
    </row>
    <row r="22815" spans="3:3" x14ac:dyDescent="0.35">
      <c r="C22815" s="2"/>
    </row>
    <row r="22816" spans="3:3" x14ac:dyDescent="0.35">
      <c r="C22816" s="2"/>
    </row>
    <row r="22817" spans="3:3" x14ac:dyDescent="0.35">
      <c r="C22817" s="2"/>
    </row>
    <row r="22818" spans="3:3" x14ac:dyDescent="0.35">
      <c r="C22818" s="2"/>
    </row>
    <row r="22819" spans="3:3" x14ac:dyDescent="0.35">
      <c r="C22819" s="2"/>
    </row>
    <row r="22820" spans="3:3" x14ac:dyDescent="0.35">
      <c r="C22820" s="2"/>
    </row>
    <row r="22821" spans="3:3" x14ac:dyDescent="0.35">
      <c r="C22821" s="2"/>
    </row>
    <row r="22822" spans="3:3" x14ac:dyDescent="0.35">
      <c r="C22822" s="2"/>
    </row>
    <row r="22823" spans="3:3" x14ac:dyDescent="0.35">
      <c r="C22823" s="2"/>
    </row>
    <row r="22824" spans="3:3" x14ac:dyDescent="0.35">
      <c r="C22824" s="2"/>
    </row>
    <row r="22825" spans="3:3" x14ac:dyDescent="0.35">
      <c r="C22825" s="2"/>
    </row>
    <row r="22826" spans="3:3" x14ac:dyDescent="0.35">
      <c r="C22826" s="2"/>
    </row>
    <row r="22827" spans="3:3" x14ac:dyDescent="0.35">
      <c r="C22827" s="2"/>
    </row>
    <row r="22828" spans="3:3" x14ac:dyDescent="0.35">
      <c r="C22828" s="2"/>
    </row>
    <row r="22829" spans="3:3" x14ac:dyDescent="0.35">
      <c r="C22829" s="2"/>
    </row>
    <row r="22830" spans="3:3" x14ac:dyDescent="0.35">
      <c r="C22830" s="2"/>
    </row>
    <row r="22831" spans="3:3" x14ac:dyDescent="0.35">
      <c r="C22831" s="2"/>
    </row>
    <row r="22832" spans="3:3" x14ac:dyDescent="0.35">
      <c r="C22832" s="2"/>
    </row>
    <row r="22833" spans="3:3" x14ac:dyDescent="0.35">
      <c r="C22833" s="2"/>
    </row>
    <row r="22834" spans="3:3" x14ac:dyDescent="0.35">
      <c r="C22834" s="2"/>
    </row>
    <row r="22835" spans="3:3" x14ac:dyDescent="0.35">
      <c r="C22835" s="2"/>
    </row>
    <row r="22836" spans="3:3" x14ac:dyDescent="0.35">
      <c r="C22836" s="2"/>
    </row>
    <row r="22837" spans="3:3" x14ac:dyDescent="0.35">
      <c r="C22837" s="2"/>
    </row>
    <row r="22838" spans="3:3" x14ac:dyDescent="0.35">
      <c r="C22838" s="2"/>
    </row>
    <row r="22839" spans="3:3" x14ac:dyDescent="0.35">
      <c r="C22839" s="2"/>
    </row>
    <row r="22840" spans="3:3" x14ac:dyDescent="0.35">
      <c r="C22840" s="2"/>
    </row>
    <row r="22841" spans="3:3" x14ac:dyDescent="0.35">
      <c r="C22841" s="2"/>
    </row>
    <row r="22842" spans="3:3" x14ac:dyDescent="0.35">
      <c r="C22842" s="2"/>
    </row>
    <row r="22843" spans="3:3" x14ac:dyDescent="0.35">
      <c r="C22843" s="2"/>
    </row>
    <row r="22844" spans="3:3" x14ac:dyDescent="0.35">
      <c r="C22844" s="2"/>
    </row>
    <row r="22845" spans="3:3" x14ac:dyDescent="0.35">
      <c r="C22845" s="2"/>
    </row>
    <row r="22846" spans="3:3" x14ac:dyDescent="0.35">
      <c r="C22846" s="2"/>
    </row>
    <row r="22847" spans="3:3" x14ac:dyDescent="0.35">
      <c r="C22847" s="2"/>
    </row>
    <row r="22848" spans="3:3" x14ac:dyDescent="0.35">
      <c r="C22848" s="2"/>
    </row>
    <row r="22849" spans="3:3" x14ac:dyDescent="0.35">
      <c r="C22849" s="2"/>
    </row>
    <row r="22850" spans="3:3" x14ac:dyDescent="0.35">
      <c r="C22850" s="2"/>
    </row>
    <row r="22851" spans="3:3" x14ac:dyDescent="0.35">
      <c r="C22851" s="2"/>
    </row>
    <row r="22852" spans="3:3" x14ac:dyDescent="0.35">
      <c r="C22852" s="2"/>
    </row>
    <row r="22853" spans="3:3" x14ac:dyDescent="0.35">
      <c r="C22853" s="2"/>
    </row>
    <row r="22854" spans="3:3" x14ac:dyDescent="0.35">
      <c r="C22854" s="2"/>
    </row>
    <row r="22855" spans="3:3" x14ac:dyDescent="0.35">
      <c r="C22855" s="2"/>
    </row>
    <row r="22856" spans="3:3" x14ac:dyDescent="0.35">
      <c r="C22856" s="2"/>
    </row>
    <row r="22857" spans="3:3" x14ac:dyDescent="0.35">
      <c r="C22857" s="2"/>
    </row>
    <row r="22858" spans="3:3" x14ac:dyDescent="0.35">
      <c r="C22858" s="2"/>
    </row>
    <row r="22859" spans="3:3" x14ac:dyDescent="0.35">
      <c r="C22859" s="2"/>
    </row>
    <row r="22860" spans="3:3" x14ac:dyDescent="0.35">
      <c r="C22860" s="2"/>
    </row>
    <row r="22861" spans="3:3" x14ac:dyDescent="0.35">
      <c r="C22861" s="2"/>
    </row>
    <row r="22862" spans="3:3" x14ac:dyDescent="0.35">
      <c r="C22862" s="2"/>
    </row>
    <row r="22863" spans="3:3" x14ac:dyDescent="0.35">
      <c r="C22863" s="2"/>
    </row>
    <row r="22864" spans="3:3" x14ac:dyDescent="0.35">
      <c r="C22864" s="2"/>
    </row>
    <row r="22865" spans="3:3" x14ac:dyDescent="0.35">
      <c r="C22865" s="2"/>
    </row>
    <row r="22866" spans="3:3" x14ac:dyDescent="0.35">
      <c r="C22866" s="2"/>
    </row>
    <row r="22867" spans="3:3" x14ac:dyDescent="0.35">
      <c r="C22867" s="2"/>
    </row>
    <row r="22868" spans="3:3" x14ac:dyDescent="0.35">
      <c r="C22868" s="2"/>
    </row>
    <row r="22869" spans="3:3" x14ac:dyDescent="0.35">
      <c r="C22869" s="2"/>
    </row>
    <row r="22870" spans="3:3" x14ac:dyDescent="0.35">
      <c r="C22870" s="2"/>
    </row>
    <row r="22871" spans="3:3" x14ac:dyDescent="0.35">
      <c r="C22871" s="2"/>
    </row>
    <row r="22872" spans="3:3" x14ac:dyDescent="0.35">
      <c r="C22872" s="2"/>
    </row>
    <row r="22873" spans="3:3" x14ac:dyDescent="0.35">
      <c r="C22873" s="2"/>
    </row>
    <row r="22874" spans="3:3" x14ac:dyDescent="0.35">
      <c r="C22874" s="2"/>
    </row>
    <row r="22875" spans="3:3" x14ac:dyDescent="0.35">
      <c r="C22875" s="2"/>
    </row>
    <row r="22876" spans="3:3" x14ac:dyDescent="0.35">
      <c r="C22876" s="2"/>
    </row>
    <row r="22877" spans="3:3" x14ac:dyDescent="0.35">
      <c r="C22877" s="2"/>
    </row>
    <row r="22878" spans="3:3" x14ac:dyDescent="0.35">
      <c r="C22878" s="2"/>
    </row>
    <row r="22879" spans="3:3" x14ac:dyDescent="0.35">
      <c r="C22879" s="2"/>
    </row>
    <row r="22880" spans="3:3" x14ac:dyDescent="0.35">
      <c r="C22880" s="2"/>
    </row>
    <row r="22881" spans="3:3" x14ac:dyDescent="0.35">
      <c r="C22881" s="2"/>
    </row>
    <row r="22882" spans="3:3" x14ac:dyDescent="0.35">
      <c r="C22882" s="2"/>
    </row>
    <row r="22883" spans="3:3" x14ac:dyDescent="0.35">
      <c r="C22883" s="2"/>
    </row>
    <row r="22884" spans="3:3" x14ac:dyDescent="0.35">
      <c r="C22884" s="2"/>
    </row>
    <row r="22885" spans="3:3" x14ac:dyDescent="0.35">
      <c r="C22885" s="2"/>
    </row>
    <row r="22886" spans="3:3" x14ac:dyDescent="0.35">
      <c r="C22886" s="2"/>
    </row>
    <row r="22887" spans="3:3" x14ac:dyDescent="0.35">
      <c r="C22887" s="2"/>
    </row>
    <row r="22888" spans="3:3" x14ac:dyDescent="0.35">
      <c r="C22888" s="2"/>
    </row>
    <row r="22889" spans="3:3" x14ac:dyDescent="0.35">
      <c r="C22889" s="2"/>
    </row>
    <row r="22890" spans="3:3" x14ac:dyDescent="0.35">
      <c r="C22890" s="2"/>
    </row>
    <row r="22891" spans="3:3" x14ac:dyDescent="0.35">
      <c r="C22891" s="2"/>
    </row>
    <row r="22892" spans="3:3" x14ac:dyDescent="0.35">
      <c r="C22892" s="2"/>
    </row>
    <row r="22893" spans="3:3" x14ac:dyDescent="0.35">
      <c r="C22893" s="2"/>
    </row>
    <row r="22894" spans="3:3" x14ac:dyDescent="0.35">
      <c r="C22894" s="2"/>
    </row>
    <row r="22895" spans="3:3" x14ac:dyDescent="0.35">
      <c r="C22895" s="2"/>
    </row>
    <row r="22896" spans="3:3" x14ac:dyDescent="0.35">
      <c r="C22896" s="2"/>
    </row>
    <row r="22897" spans="3:3" x14ac:dyDescent="0.35">
      <c r="C22897" s="2"/>
    </row>
    <row r="22898" spans="3:3" x14ac:dyDescent="0.35">
      <c r="C22898" s="2"/>
    </row>
    <row r="22899" spans="3:3" x14ac:dyDescent="0.35">
      <c r="C22899" s="2"/>
    </row>
    <row r="22900" spans="3:3" x14ac:dyDescent="0.35">
      <c r="C22900" s="2"/>
    </row>
    <row r="22901" spans="3:3" x14ac:dyDescent="0.35">
      <c r="C22901" s="2"/>
    </row>
    <row r="22902" spans="3:3" x14ac:dyDescent="0.35">
      <c r="C22902" s="2"/>
    </row>
    <row r="22903" spans="3:3" x14ac:dyDescent="0.35">
      <c r="C22903" s="2"/>
    </row>
    <row r="22904" spans="3:3" x14ac:dyDescent="0.35">
      <c r="C22904" s="2"/>
    </row>
    <row r="22905" spans="3:3" x14ac:dyDescent="0.35">
      <c r="C22905" s="2"/>
    </row>
    <row r="22906" spans="3:3" x14ac:dyDescent="0.35">
      <c r="C22906" s="2"/>
    </row>
    <row r="22907" spans="3:3" x14ac:dyDescent="0.35">
      <c r="C22907" s="2"/>
    </row>
    <row r="22908" spans="3:3" x14ac:dyDescent="0.35">
      <c r="C22908" s="2"/>
    </row>
    <row r="22909" spans="3:3" x14ac:dyDescent="0.35">
      <c r="C22909" s="2"/>
    </row>
    <row r="22910" spans="3:3" x14ac:dyDescent="0.35">
      <c r="C22910" s="2"/>
    </row>
    <row r="22911" spans="3:3" x14ac:dyDescent="0.35">
      <c r="C22911" s="2"/>
    </row>
    <row r="22912" spans="3:3" x14ac:dyDescent="0.35">
      <c r="C22912" s="2"/>
    </row>
    <row r="22913" spans="3:3" x14ac:dyDescent="0.35">
      <c r="C22913" s="2"/>
    </row>
    <row r="22914" spans="3:3" x14ac:dyDescent="0.35">
      <c r="C22914" s="2"/>
    </row>
    <row r="22915" spans="3:3" x14ac:dyDescent="0.35">
      <c r="C22915" s="2"/>
    </row>
    <row r="22916" spans="3:3" x14ac:dyDescent="0.35">
      <c r="C22916" s="2"/>
    </row>
    <row r="22917" spans="3:3" x14ac:dyDescent="0.35">
      <c r="C22917" s="2"/>
    </row>
    <row r="22918" spans="3:3" x14ac:dyDescent="0.35">
      <c r="C22918" s="2"/>
    </row>
    <row r="22919" spans="3:3" x14ac:dyDescent="0.35">
      <c r="C22919" s="2"/>
    </row>
    <row r="22920" spans="3:3" x14ac:dyDescent="0.35">
      <c r="C22920" s="2"/>
    </row>
    <row r="22921" spans="3:3" x14ac:dyDescent="0.35">
      <c r="C22921" s="2"/>
    </row>
    <row r="22922" spans="3:3" x14ac:dyDescent="0.35">
      <c r="C22922" s="2"/>
    </row>
    <row r="22923" spans="3:3" x14ac:dyDescent="0.35">
      <c r="C22923" s="2"/>
    </row>
    <row r="22924" spans="3:3" x14ac:dyDescent="0.35">
      <c r="C22924" s="2"/>
    </row>
    <row r="22925" spans="3:3" x14ac:dyDescent="0.35">
      <c r="C22925" s="2"/>
    </row>
    <row r="22926" spans="3:3" x14ac:dyDescent="0.35">
      <c r="C22926" s="2"/>
    </row>
    <row r="22927" spans="3:3" x14ac:dyDescent="0.35">
      <c r="C22927" s="2"/>
    </row>
    <row r="22928" spans="3:3" x14ac:dyDescent="0.35">
      <c r="C22928" s="2"/>
    </row>
    <row r="22929" spans="3:3" x14ac:dyDescent="0.35">
      <c r="C22929" s="2"/>
    </row>
    <row r="22930" spans="3:3" x14ac:dyDescent="0.35">
      <c r="C22930" s="2"/>
    </row>
    <row r="22931" spans="3:3" x14ac:dyDescent="0.35">
      <c r="C22931" s="2"/>
    </row>
    <row r="22932" spans="3:3" x14ac:dyDescent="0.35">
      <c r="C22932" s="2"/>
    </row>
    <row r="22933" spans="3:3" x14ac:dyDescent="0.35">
      <c r="C22933" s="2"/>
    </row>
    <row r="22934" spans="3:3" x14ac:dyDescent="0.35">
      <c r="C22934" s="2"/>
    </row>
    <row r="22935" spans="3:3" x14ac:dyDescent="0.35">
      <c r="C22935" s="2"/>
    </row>
    <row r="22936" spans="3:3" x14ac:dyDescent="0.35">
      <c r="C22936" s="2"/>
    </row>
    <row r="22937" spans="3:3" x14ac:dyDescent="0.35">
      <c r="C22937" s="2"/>
    </row>
    <row r="22938" spans="3:3" x14ac:dyDescent="0.35">
      <c r="C22938" s="2"/>
    </row>
    <row r="22939" spans="3:3" x14ac:dyDescent="0.35">
      <c r="C22939" s="2"/>
    </row>
    <row r="22940" spans="3:3" x14ac:dyDescent="0.35">
      <c r="C22940" s="2"/>
    </row>
    <row r="22941" spans="3:3" x14ac:dyDescent="0.35">
      <c r="C22941" s="2"/>
    </row>
    <row r="22942" spans="3:3" x14ac:dyDescent="0.35">
      <c r="C22942" s="2"/>
    </row>
    <row r="22943" spans="3:3" x14ac:dyDescent="0.35">
      <c r="C22943" s="2"/>
    </row>
    <row r="22944" spans="3:3" x14ac:dyDescent="0.35">
      <c r="C22944" s="2"/>
    </row>
    <row r="22945" spans="3:3" x14ac:dyDescent="0.35">
      <c r="C22945" s="2"/>
    </row>
    <row r="22946" spans="3:3" x14ac:dyDescent="0.35">
      <c r="C22946" s="2"/>
    </row>
    <row r="22947" spans="3:3" x14ac:dyDescent="0.35">
      <c r="C22947" s="2"/>
    </row>
    <row r="22948" spans="3:3" x14ac:dyDescent="0.35">
      <c r="C22948" s="2"/>
    </row>
    <row r="22949" spans="3:3" x14ac:dyDescent="0.35">
      <c r="C22949" s="2"/>
    </row>
    <row r="22950" spans="3:3" x14ac:dyDescent="0.35">
      <c r="C22950" s="2"/>
    </row>
    <row r="22951" spans="3:3" x14ac:dyDescent="0.35">
      <c r="C22951" s="2"/>
    </row>
    <row r="22952" spans="3:3" x14ac:dyDescent="0.35">
      <c r="C22952" s="2"/>
    </row>
    <row r="22953" spans="3:3" x14ac:dyDescent="0.35">
      <c r="C22953" s="2"/>
    </row>
    <row r="22954" spans="3:3" x14ac:dyDescent="0.35">
      <c r="C22954" s="2"/>
    </row>
    <row r="22955" spans="3:3" x14ac:dyDescent="0.35">
      <c r="C22955" s="2"/>
    </row>
    <row r="22956" spans="3:3" x14ac:dyDescent="0.35">
      <c r="C22956" s="2"/>
    </row>
    <row r="22957" spans="3:3" x14ac:dyDescent="0.35">
      <c r="C22957" s="2"/>
    </row>
    <row r="22958" spans="3:3" x14ac:dyDescent="0.35">
      <c r="C22958" s="2"/>
    </row>
    <row r="22959" spans="3:3" x14ac:dyDescent="0.35">
      <c r="C22959" s="2"/>
    </row>
    <row r="22960" spans="3:3" x14ac:dyDescent="0.35">
      <c r="C22960" s="2"/>
    </row>
    <row r="22961" spans="3:3" x14ac:dyDescent="0.35">
      <c r="C22961" s="2"/>
    </row>
    <row r="22962" spans="3:3" x14ac:dyDescent="0.35">
      <c r="C22962" s="2"/>
    </row>
    <row r="22963" spans="3:3" x14ac:dyDescent="0.35">
      <c r="C22963" s="2"/>
    </row>
    <row r="22964" spans="3:3" x14ac:dyDescent="0.35">
      <c r="C22964" s="2"/>
    </row>
    <row r="22965" spans="3:3" x14ac:dyDescent="0.35">
      <c r="C22965" s="2"/>
    </row>
    <row r="22966" spans="3:3" x14ac:dyDescent="0.35">
      <c r="C22966" s="2"/>
    </row>
    <row r="22967" spans="3:3" x14ac:dyDescent="0.35">
      <c r="C22967" s="2"/>
    </row>
    <row r="22968" spans="3:3" x14ac:dyDescent="0.35">
      <c r="C22968" s="2"/>
    </row>
    <row r="22969" spans="3:3" x14ac:dyDescent="0.35">
      <c r="C22969" s="2"/>
    </row>
    <row r="22970" spans="3:3" x14ac:dyDescent="0.35">
      <c r="C22970" s="2"/>
    </row>
    <row r="22971" spans="3:3" x14ac:dyDescent="0.35">
      <c r="C22971" s="2"/>
    </row>
    <row r="22972" spans="3:3" x14ac:dyDescent="0.35">
      <c r="C22972" s="2"/>
    </row>
    <row r="22973" spans="3:3" x14ac:dyDescent="0.35">
      <c r="C22973" s="2"/>
    </row>
    <row r="22974" spans="3:3" x14ac:dyDescent="0.35">
      <c r="C22974" s="2"/>
    </row>
    <row r="22975" spans="3:3" x14ac:dyDescent="0.35">
      <c r="C22975" s="2"/>
    </row>
    <row r="22976" spans="3:3" x14ac:dyDescent="0.35">
      <c r="C22976" s="2"/>
    </row>
    <row r="22977" spans="3:3" x14ac:dyDescent="0.35">
      <c r="C22977" s="2"/>
    </row>
    <row r="22978" spans="3:3" x14ac:dyDescent="0.35">
      <c r="C22978" s="2"/>
    </row>
    <row r="22979" spans="3:3" x14ac:dyDescent="0.35">
      <c r="C22979" s="2"/>
    </row>
    <row r="22980" spans="3:3" x14ac:dyDescent="0.35">
      <c r="C22980" s="2"/>
    </row>
    <row r="22981" spans="3:3" x14ac:dyDescent="0.35">
      <c r="C22981" s="2"/>
    </row>
    <row r="22982" spans="3:3" x14ac:dyDescent="0.35">
      <c r="C22982" s="2"/>
    </row>
    <row r="22983" spans="3:3" x14ac:dyDescent="0.35">
      <c r="C22983" s="2"/>
    </row>
    <row r="22984" spans="3:3" x14ac:dyDescent="0.35">
      <c r="C22984" s="2"/>
    </row>
    <row r="22985" spans="3:3" x14ac:dyDescent="0.35">
      <c r="C22985" s="2"/>
    </row>
    <row r="22986" spans="3:3" x14ac:dyDescent="0.35">
      <c r="C22986" s="2"/>
    </row>
    <row r="22987" spans="3:3" x14ac:dyDescent="0.35">
      <c r="C22987" s="2"/>
    </row>
    <row r="22988" spans="3:3" x14ac:dyDescent="0.35">
      <c r="C22988" s="2"/>
    </row>
    <row r="22989" spans="3:3" x14ac:dyDescent="0.35">
      <c r="C22989" s="2"/>
    </row>
    <row r="22990" spans="3:3" x14ac:dyDescent="0.35">
      <c r="C22990" s="2"/>
    </row>
    <row r="22991" spans="3:3" x14ac:dyDescent="0.35">
      <c r="C22991" s="2"/>
    </row>
    <row r="22992" spans="3:3" x14ac:dyDescent="0.35">
      <c r="C22992" s="2"/>
    </row>
    <row r="22993" spans="3:3" x14ac:dyDescent="0.35">
      <c r="C22993" s="2"/>
    </row>
    <row r="22994" spans="3:3" x14ac:dyDescent="0.35">
      <c r="C22994" s="2"/>
    </row>
    <row r="22995" spans="3:3" x14ac:dyDescent="0.35">
      <c r="C22995" s="2"/>
    </row>
    <row r="22996" spans="3:3" x14ac:dyDescent="0.35">
      <c r="C22996" s="2"/>
    </row>
    <row r="22997" spans="3:3" x14ac:dyDescent="0.35">
      <c r="C22997" s="2"/>
    </row>
    <row r="22998" spans="3:3" x14ac:dyDescent="0.35">
      <c r="C22998" s="2"/>
    </row>
    <row r="22999" spans="3:3" x14ac:dyDescent="0.35">
      <c r="C22999" s="2"/>
    </row>
    <row r="23000" spans="3:3" x14ac:dyDescent="0.35">
      <c r="C23000" s="2"/>
    </row>
    <row r="23001" spans="3:3" x14ac:dyDescent="0.35">
      <c r="C23001" s="2"/>
    </row>
    <row r="23002" spans="3:3" x14ac:dyDescent="0.35">
      <c r="C23002" s="2"/>
    </row>
    <row r="23003" spans="3:3" x14ac:dyDescent="0.35">
      <c r="C23003" s="2"/>
    </row>
    <row r="23004" spans="3:3" x14ac:dyDescent="0.35">
      <c r="C23004" s="2"/>
    </row>
    <row r="23005" spans="3:3" x14ac:dyDescent="0.35">
      <c r="C23005" s="2"/>
    </row>
    <row r="23006" spans="3:3" x14ac:dyDescent="0.35">
      <c r="C23006" s="2"/>
    </row>
    <row r="23007" spans="3:3" x14ac:dyDescent="0.35">
      <c r="C23007" s="2"/>
    </row>
    <row r="23008" spans="3:3" x14ac:dyDescent="0.35">
      <c r="C23008" s="2"/>
    </row>
    <row r="23009" spans="3:3" x14ac:dyDescent="0.35">
      <c r="C23009" s="2"/>
    </row>
    <row r="23010" spans="3:3" x14ac:dyDescent="0.35">
      <c r="C23010" s="2"/>
    </row>
    <row r="23011" spans="3:3" x14ac:dyDescent="0.35">
      <c r="C23011" s="2"/>
    </row>
    <row r="23012" spans="3:3" x14ac:dyDescent="0.35">
      <c r="C23012" s="2"/>
    </row>
    <row r="23013" spans="3:3" x14ac:dyDescent="0.35">
      <c r="C23013" s="2"/>
    </row>
    <row r="23014" spans="3:3" x14ac:dyDescent="0.35">
      <c r="C23014" s="2"/>
    </row>
    <row r="23015" spans="3:3" x14ac:dyDescent="0.35">
      <c r="C23015" s="2"/>
    </row>
    <row r="23016" spans="3:3" x14ac:dyDescent="0.35">
      <c r="C23016" s="2"/>
    </row>
    <row r="23017" spans="3:3" x14ac:dyDescent="0.35">
      <c r="C23017" s="2"/>
    </row>
    <row r="23018" spans="3:3" x14ac:dyDescent="0.35">
      <c r="C23018" s="2"/>
    </row>
    <row r="23019" spans="3:3" x14ac:dyDescent="0.35">
      <c r="C23019" s="2"/>
    </row>
    <row r="23020" spans="3:3" x14ac:dyDescent="0.35">
      <c r="C23020" s="2"/>
    </row>
    <row r="23021" spans="3:3" x14ac:dyDescent="0.35">
      <c r="C23021" s="2"/>
    </row>
    <row r="23022" spans="3:3" x14ac:dyDescent="0.35">
      <c r="C23022" s="2"/>
    </row>
    <row r="23023" spans="3:3" x14ac:dyDescent="0.35">
      <c r="C23023" s="2"/>
    </row>
    <row r="23024" spans="3:3" x14ac:dyDescent="0.35">
      <c r="C23024" s="2"/>
    </row>
    <row r="23025" spans="3:3" x14ac:dyDescent="0.35">
      <c r="C23025" s="2"/>
    </row>
    <row r="23026" spans="3:3" x14ac:dyDescent="0.35">
      <c r="C23026" s="2"/>
    </row>
    <row r="23027" spans="3:3" x14ac:dyDescent="0.35">
      <c r="C23027" s="2"/>
    </row>
    <row r="23028" spans="3:3" x14ac:dyDescent="0.35">
      <c r="C23028" s="2"/>
    </row>
    <row r="23029" spans="3:3" x14ac:dyDescent="0.35">
      <c r="C23029" s="2"/>
    </row>
    <row r="23030" spans="3:3" x14ac:dyDescent="0.35">
      <c r="C23030" s="2"/>
    </row>
    <row r="23031" spans="3:3" x14ac:dyDescent="0.35">
      <c r="C23031" s="2"/>
    </row>
    <row r="23032" spans="3:3" x14ac:dyDescent="0.35">
      <c r="C23032" s="2"/>
    </row>
    <row r="23033" spans="3:3" x14ac:dyDescent="0.35">
      <c r="C23033" s="2"/>
    </row>
    <row r="23034" spans="3:3" x14ac:dyDescent="0.35">
      <c r="C23034" s="2"/>
    </row>
    <row r="23035" spans="3:3" x14ac:dyDescent="0.35">
      <c r="C23035" s="2"/>
    </row>
    <row r="23036" spans="3:3" x14ac:dyDescent="0.35">
      <c r="C23036" s="2"/>
    </row>
    <row r="23037" spans="3:3" x14ac:dyDescent="0.35">
      <c r="C23037" s="2"/>
    </row>
    <row r="23038" spans="3:3" x14ac:dyDescent="0.35">
      <c r="C23038" s="2"/>
    </row>
    <row r="23039" spans="3:3" x14ac:dyDescent="0.35">
      <c r="C23039" s="2"/>
    </row>
    <row r="23040" spans="3:3" x14ac:dyDescent="0.35">
      <c r="C23040" s="2"/>
    </row>
    <row r="23041" spans="3:3" x14ac:dyDescent="0.35">
      <c r="C23041" s="2"/>
    </row>
    <row r="23042" spans="3:3" x14ac:dyDescent="0.35">
      <c r="C23042" s="2"/>
    </row>
    <row r="23043" spans="3:3" x14ac:dyDescent="0.35">
      <c r="C23043" s="2"/>
    </row>
    <row r="23044" spans="3:3" x14ac:dyDescent="0.35">
      <c r="C23044" s="2"/>
    </row>
    <row r="23045" spans="3:3" x14ac:dyDescent="0.35">
      <c r="C23045" s="2"/>
    </row>
    <row r="23046" spans="3:3" x14ac:dyDescent="0.35">
      <c r="C23046" s="2"/>
    </row>
    <row r="23047" spans="3:3" x14ac:dyDescent="0.35">
      <c r="C23047" s="2"/>
    </row>
    <row r="23048" spans="3:3" x14ac:dyDescent="0.35">
      <c r="C23048" s="2"/>
    </row>
    <row r="23049" spans="3:3" x14ac:dyDescent="0.35">
      <c r="C23049" s="2"/>
    </row>
    <row r="23050" spans="3:3" x14ac:dyDescent="0.35">
      <c r="C23050" s="2"/>
    </row>
    <row r="23051" spans="3:3" x14ac:dyDescent="0.35">
      <c r="C23051" s="2"/>
    </row>
    <row r="23052" spans="3:3" x14ac:dyDescent="0.35">
      <c r="C23052" s="2"/>
    </row>
    <row r="23053" spans="3:3" x14ac:dyDescent="0.35">
      <c r="C23053" s="2"/>
    </row>
    <row r="23054" spans="3:3" x14ac:dyDescent="0.35">
      <c r="C23054" s="2"/>
    </row>
    <row r="23055" spans="3:3" x14ac:dyDescent="0.35">
      <c r="C23055" s="2"/>
    </row>
    <row r="23056" spans="3:3" x14ac:dyDescent="0.35">
      <c r="C23056" s="2"/>
    </row>
    <row r="23057" spans="3:3" x14ac:dyDescent="0.35">
      <c r="C23057" s="2"/>
    </row>
    <row r="23058" spans="3:3" x14ac:dyDescent="0.35">
      <c r="C23058" s="2"/>
    </row>
    <row r="23059" spans="3:3" x14ac:dyDescent="0.35">
      <c r="C23059" s="2"/>
    </row>
    <row r="23060" spans="3:3" x14ac:dyDescent="0.35">
      <c r="C23060" s="2"/>
    </row>
    <row r="23061" spans="3:3" x14ac:dyDescent="0.35">
      <c r="C23061" s="2"/>
    </row>
    <row r="23062" spans="3:3" x14ac:dyDescent="0.35">
      <c r="C23062" s="2"/>
    </row>
    <row r="23063" spans="3:3" x14ac:dyDescent="0.35">
      <c r="C23063" s="2"/>
    </row>
    <row r="23064" spans="3:3" x14ac:dyDescent="0.35">
      <c r="C23064" s="2"/>
    </row>
    <row r="23065" spans="3:3" x14ac:dyDescent="0.35">
      <c r="C23065" s="2"/>
    </row>
    <row r="23066" spans="3:3" x14ac:dyDescent="0.35">
      <c r="C23066" s="2"/>
    </row>
    <row r="23067" spans="3:3" x14ac:dyDescent="0.35">
      <c r="C23067" s="2"/>
    </row>
    <row r="23068" spans="3:3" x14ac:dyDescent="0.35">
      <c r="C23068" s="2"/>
    </row>
    <row r="23069" spans="3:3" x14ac:dyDescent="0.35">
      <c r="C23069" s="2"/>
    </row>
    <row r="23070" spans="3:3" x14ac:dyDescent="0.35">
      <c r="C23070" s="2"/>
    </row>
    <row r="23071" spans="3:3" x14ac:dyDescent="0.35">
      <c r="C23071" s="2"/>
    </row>
    <row r="23072" spans="3:3" x14ac:dyDescent="0.35">
      <c r="C23072" s="2"/>
    </row>
    <row r="23073" spans="3:3" x14ac:dyDescent="0.35">
      <c r="C23073" s="2"/>
    </row>
    <row r="23074" spans="3:3" x14ac:dyDescent="0.35">
      <c r="C23074" s="2"/>
    </row>
    <row r="23075" spans="3:3" x14ac:dyDescent="0.35">
      <c r="C23075" s="2"/>
    </row>
    <row r="23076" spans="3:3" x14ac:dyDescent="0.35">
      <c r="C23076" s="2"/>
    </row>
    <row r="23077" spans="3:3" x14ac:dyDescent="0.35">
      <c r="C23077" s="2"/>
    </row>
    <row r="23078" spans="3:3" x14ac:dyDescent="0.35">
      <c r="C23078" s="2"/>
    </row>
    <row r="23079" spans="3:3" x14ac:dyDescent="0.35">
      <c r="C23079" s="2"/>
    </row>
    <row r="23080" spans="3:3" x14ac:dyDescent="0.35">
      <c r="C23080" s="2"/>
    </row>
    <row r="23081" spans="3:3" x14ac:dyDescent="0.35">
      <c r="C23081" s="2"/>
    </row>
    <row r="23082" spans="3:3" x14ac:dyDescent="0.35">
      <c r="C23082" s="2"/>
    </row>
    <row r="23083" spans="3:3" x14ac:dyDescent="0.35">
      <c r="C23083" s="2"/>
    </row>
    <row r="23084" spans="3:3" x14ac:dyDescent="0.35">
      <c r="C23084" s="2"/>
    </row>
    <row r="23085" spans="3:3" x14ac:dyDescent="0.35">
      <c r="C23085" s="2"/>
    </row>
    <row r="23086" spans="3:3" x14ac:dyDescent="0.35">
      <c r="C23086" s="2"/>
    </row>
    <row r="23087" spans="3:3" x14ac:dyDescent="0.35">
      <c r="C23087" s="2"/>
    </row>
    <row r="23088" spans="3:3" x14ac:dyDescent="0.35">
      <c r="C23088" s="2"/>
    </row>
    <row r="23089" spans="3:3" x14ac:dyDescent="0.35">
      <c r="C23089" s="2"/>
    </row>
    <row r="23090" spans="3:3" x14ac:dyDescent="0.35">
      <c r="C23090" s="2"/>
    </row>
    <row r="23091" spans="3:3" x14ac:dyDescent="0.35">
      <c r="C23091" s="2"/>
    </row>
    <row r="23092" spans="3:3" x14ac:dyDescent="0.35">
      <c r="C23092" s="2"/>
    </row>
    <row r="23093" spans="3:3" x14ac:dyDescent="0.35">
      <c r="C23093" s="2"/>
    </row>
    <row r="23094" spans="3:3" x14ac:dyDescent="0.35">
      <c r="C23094" s="2"/>
    </row>
    <row r="23095" spans="3:3" x14ac:dyDescent="0.35">
      <c r="C23095" s="2"/>
    </row>
    <row r="23096" spans="3:3" x14ac:dyDescent="0.35">
      <c r="C23096" s="2"/>
    </row>
    <row r="23097" spans="3:3" x14ac:dyDescent="0.35">
      <c r="C23097" s="2"/>
    </row>
    <row r="23098" spans="3:3" x14ac:dyDescent="0.35">
      <c r="C23098" s="2"/>
    </row>
    <row r="23099" spans="3:3" x14ac:dyDescent="0.35">
      <c r="C23099" s="2"/>
    </row>
    <row r="23100" spans="3:3" x14ac:dyDescent="0.35">
      <c r="C23100" s="2"/>
    </row>
    <row r="23101" spans="3:3" x14ac:dyDescent="0.35">
      <c r="C23101" s="2"/>
    </row>
    <row r="23102" spans="3:3" x14ac:dyDescent="0.35">
      <c r="C23102" s="2"/>
    </row>
    <row r="23103" spans="3:3" x14ac:dyDescent="0.35">
      <c r="C23103" s="2"/>
    </row>
    <row r="23104" spans="3:3" x14ac:dyDescent="0.35">
      <c r="C23104" s="2"/>
    </row>
    <row r="23105" spans="3:3" x14ac:dyDescent="0.35">
      <c r="C23105" s="2"/>
    </row>
    <row r="23106" spans="3:3" x14ac:dyDescent="0.35">
      <c r="C23106" s="2"/>
    </row>
    <row r="23107" spans="3:3" x14ac:dyDescent="0.35">
      <c r="C23107" s="2"/>
    </row>
    <row r="23108" spans="3:3" x14ac:dyDescent="0.35">
      <c r="C23108" s="2"/>
    </row>
    <row r="23109" spans="3:3" x14ac:dyDescent="0.35">
      <c r="C23109" s="2"/>
    </row>
    <row r="23110" spans="3:3" x14ac:dyDescent="0.35">
      <c r="C23110" s="2"/>
    </row>
    <row r="23111" spans="3:3" x14ac:dyDescent="0.35">
      <c r="C23111" s="2"/>
    </row>
    <row r="23112" spans="3:3" x14ac:dyDescent="0.35">
      <c r="C23112" s="2"/>
    </row>
    <row r="23113" spans="3:3" x14ac:dyDescent="0.35">
      <c r="C23113" s="2"/>
    </row>
    <row r="23114" spans="3:3" x14ac:dyDescent="0.35">
      <c r="C23114" s="2"/>
    </row>
    <row r="23115" spans="3:3" x14ac:dyDescent="0.35">
      <c r="C23115" s="2"/>
    </row>
    <row r="23116" spans="3:3" x14ac:dyDescent="0.35">
      <c r="C23116" s="2"/>
    </row>
    <row r="23117" spans="3:3" x14ac:dyDescent="0.35">
      <c r="C23117" s="2"/>
    </row>
    <row r="23118" spans="3:3" x14ac:dyDescent="0.35">
      <c r="C23118" s="2"/>
    </row>
    <row r="23119" spans="3:3" x14ac:dyDescent="0.35">
      <c r="C23119" s="2"/>
    </row>
    <row r="23120" spans="3:3" x14ac:dyDescent="0.35">
      <c r="C23120" s="2"/>
    </row>
    <row r="23121" spans="3:3" x14ac:dyDescent="0.35">
      <c r="C23121" s="2"/>
    </row>
    <row r="23122" spans="3:3" x14ac:dyDescent="0.35">
      <c r="C23122" s="2"/>
    </row>
    <row r="23123" spans="3:3" x14ac:dyDescent="0.35">
      <c r="C23123" s="2"/>
    </row>
    <row r="23124" spans="3:3" x14ac:dyDescent="0.35">
      <c r="C23124" s="2"/>
    </row>
    <row r="23125" spans="3:3" x14ac:dyDescent="0.35">
      <c r="C23125" s="2"/>
    </row>
    <row r="23126" spans="3:3" x14ac:dyDescent="0.35">
      <c r="C23126" s="2"/>
    </row>
    <row r="23127" spans="3:3" x14ac:dyDescent="0.35">
      <c r="C23127" s="2"/>
    </row>
    <row r="23128" spans="3:3" x14ac:dyDescent="0.35">
      <c r="C23128" s="2"/>
    </row>
    <row r="23129" spans="3:3" x14ac:dyDescent="0.35">
      <c r="C23129" s="2"/>
    </row>
    <row r="23130" spans="3:3" x14ac:dyDescent="0.35">
      <c r="C23130" s="2"/>
    </row>
    <row r="23131" spans="3:3" x14ac:dyDescent="0.35">
      <c r="C23131" s="2"/>
    </row>
    <row r="23132" spans="3:3" x14ac:dyDescent="0.35">
      <c r="C23132" s="2"/>
    </row>
    <row r="23133" spans="3:3" x14ac:dyDescent="0.35">
      <c r="C23133" s="2"/>
    </row>
    <row r="23134" spans="3:3" x14ac:dyDescent="0.35">
      <c r="C23134" s="2"/>
    </row>
    <row r="23135" spans="3:3" x14ac:dyDescent="0.35">
      <c r="C23135" s="2"/>
    </row>
    <row r="23136" spans="3:3" x14ac:dyDescent="0.35">
      <c r="C23136" s="2"/>
    </row>
    <row r="23137" spans="3:3" x14ac:dyDescent="0.35">
      <c r="C23137" s="2"/>
    </row>
    <row r="23138" spans="3:3" x14ac:dyDescent="0.35">
      <c r="C23138" s="2"/>
    </row>
    <row r="23139" spans="3:3" x14ac:dyDescent="0.35">
      <c r="C23139" s="2"/>
    </row>
    <row r="23140" spans="3:3" x14ac:dyDescent="0.35">
      <c r="C23140" s="2"/>
    </row>
    <row r="23141" spans="3:3" x14ac:dyDescent="0.35">
      <c r="C23141" s="2"/>
    </row>
    <row r="23142" spans="3:3" x14ac:dyDescent="0.35">
      <c r="C23142" s="2"/>
    </row>
    <row r="23143" spans="3:3" x14ac:dyDescent="0.35">
      <c r="C23143" s="2"/>
    </row>
    <row r="23144" spans="3:3" x14ac:dyDescent="0.35">
      <c r="C23144" s="2"/>
    </row>
    <row r="23145" spans="3:3" x14ac:dyDescent="0.35">
      <c r="C23145" s="2"/>
    </row>
    <row r="23146" spans="3:3" x14ac:dyDescent="0.35">
      <c r="C23146" s="2"/>
    </row>
    <row r="23147" spans="3:3" x14ac:dyDescent="0.35">
      <c r="C23147" s="2"/>
    </row>
    <row r="23148" spans="3:3" x14ac:dyDescent="0.35">
      <c r="C23148" s="2"/>
    </row>
    <row r="23149" spans="3:3" x14ac:dyDescent="0.35">
      <c r="C23149" s="2"/>
    </row>
    <row r="23150" spans="3:3" x14ac:dyDescent="0.35">
      <c r="C23150" s="2"/>
    </row>
    <row r="23151" spans="3:3" x14ac:dyDescent="0.35">
      <c r="C23151" s="2"/>
    </row>
    <row r="23152" spans="3:3" x14ac:dyDescent="0.35">
      <c r="C23152" s="2"/>
    </row>
    <row r="23153" spans="3:3" x14ac:dyDescent="0.35">
      <c r="C23153" s="2"/>
    </row>
    <row r="23154" spans="3:3" x14ac:dyDescent="0.35">
      <c r="C23154" s="2"/>
    </row>
    <row r="23155" spans="3:3" x14ac:dyDescent="0.35">
      <c r="C23155" s="2"/>
    </row>
    <row r="23156" spans="3:3" x14ac:dyDescent="0.35">
      <c r="C23156" s="2"/>
    </row>
    <row r="23157" spans="3:3" x14ac:dyDescent="0.35">
      <c r="C23157" s="2"/>
    </row>
    <row r="23158" spans="3:3" x14ac:dyDescent="0.35">
      <c r="C23158" s="2"/>
    </row>
    <row r="23159" spans="3:3" x14ac:dyDescent="0.35">
      <c r="C23159" s="2"/>
    </row>
    <row r="23160" spans="3:3" x14ac:dyDescent="0.35">
      <c r="C23160" s="2"/>
    </row>
    <row r="23161" spans="3:3" x14ac:dyDescent="0.35">
      <c r="C23161" s="2"/>
    </row>
    <row r="23162" spans="3:3" x14ac:dyDescent="0.35">
      <c r="C23162" s="2"/>
    </row>
    <row r="23163" spans="3:3" x14ac:dyDescent="0.35">
      <c r="C23163" s="2"/>
    </row>
    <row r="23164" spans="3:3" x14ac:dyDescent="0.35">
      <c r="C23164" s="2"/>
    </row>
    <row r="23165" spans="3:3" x14ac:dyDescent="0.35">
      <c r="C23165" s="2"/>
    </row>
    <row r="23166" spans="3:3" x14ac:dyDescent="0.35">
      <c r="C23166" s="2"/>
    </row>
    <row r="23167" spans="3:3" x14ac:dyDescent="0.35">
      <c r="C23167" s="2"/>
    </row>
    <row r="23168" spans="3:3" x14ac:dyDescent="0.35">
      <c r="C23168" s="2"/>
    </row>
    <row r="23169" spans="3:3" x14ac:dyDescent="0.35">
      <c r="C23169" s="2"/>
    </row>
    <row r="23170" spans="3:3" x14ac:dyDescent="0.35">
      <c r="C23170" s="2"/>
    </row>
    <row r="23171" spans="3:3" x14ac:dyDescent="0.35">
      <c r="C23171" s="2"/>
    </row>
    <row r="23172" spans="3:3" x14ac:dyDescent="0.35">
      <c r="C23172" s="2"/>
    </row>
    <row r="23173" spans="3:3" x14ac:dyDescent="0.35">
      <c r="C23173" s="2"/>
    </row>
    <row r="23174" spans="3:3" x14ac:dyDescent="0.35">
      <c r="C23174" s="2"/>
    </row>
    <row r="23175" spans="3:3" x14ac:dyDescent="0.35">
      <c r="C23175" s="2"/>
    </row>
    <row r="23176" spans="3:3" x14ac:dyDescent="0.35">
      <c r="C23176" s="2"/>
    </row>
    <row r="23177" spans="3:3" x14ac:dyDescent="0.35">
      <c r="C23177" s="2"/>
    </row>
    <row r="23178" spans="3:3" x14ac:dyDescent="0.35">
      <c r="C23178" s="2"/>
    </row>
    <row r="23179" spans="3:3" x14ac:dyDescent="0.35">
      <c r="C23179" s="2"/>
    </row>
    <row r="23180" spans="3:3" x14ac:dyDescent="0.35">
      <c r="C23180" s="2"/>
    </row>
    <row r="23181" spans="3:3" x14ac:dyDescent="0.35">
      <c r="C23181" s="2"/>
    </row>
    <row r="23182" spans="3:3" x14ac:dyDescent="0.35">
      <c r="C23182" s="2"/>
    </row>
    <row r="23183" spans="3:3" x14ac:dyDescent="0.35">
      <c r="C23183" s="2"/>
    </row>
    <row r="23184" spans="3:3" x14ac:dyDescent="0.35">
      <c r="C23184" s="2"/>
    </row>
    <row r="23185" spans="3:3" x14ac:dyDescent="0.35">
      <c r="C23185" s="2"/>
    </row>
    <row r="23186" spans="3:3" x14ac:dyDescent="0.35">
      <c r="C23186" s="2"/>
    </row>
    <row r="23187" spans="3:3" x14ac:dyDescent="0.35">
      <c r="C23187" s="2"/>
    </row>
    <row r="23188" spans="3:3" x14ac:dyDescent="0.35">
      <c r="C23188" s="2"/>
    </row>
    <row r="23189" spans="3:3" x14ac:dyDescent="0.35">
      <c r="C23189" s="2"/>
    </row>
    <row r="23190" spans="3:3" x14ac:dyDescent="0.35">
      <c r="C23190" s="2"/>
    </row>
    <row r="23191" spans="3:3" x14ac:dyDescent="0.35">
      <c r="C23191" s="2"/>
    </row>
    <row r="23192" spans="3:3" x14ac:dyDescent="0.35">
      <c r="C23192" s="2"/>
    </row>
    <row r="23193" spans="3:3" x14ac:dyDescent="0.35">
      <c r="C23193" s="2"/>
    </row>
    <row r="23194" spans="3:3" x14ac:dyDescent="0.35">
      <c r="C23194" s="2"/>
    </row>
    <row r="23195" spans="3:3" x14ac:dyDescent="0.35">
      <c r="C23195" s="2"/>
    </row>
    <row r="23196" spans="3:3" x14ac:dyDescent="0.35">
      <c r="C23196" s="2"/>
    </row>
    <row r="23197" spans="3:3" x14ac:dyDescent="0.35">
      <c r="C23197" s="2"/>
    </row>
    <row r="23198" spans="3:3" x14ac:dyDescent="0.35">
      <c r="C23198" s="2"/>
    </row>
    <row r="23199" spans="3:3" x14ac:dyDescent="0.35">
      <c r="C23199" s="2"/>
    </row>
    <row r="23200" spans="3:3" x14ac:dyDescent="0.35">
      <c r="C23200" s="2"/>
    </row>
    <row r="23201" spans="3:3" x14ac:dyDescent="0.35">
      <c r="C23201" s="2"/>
    </row>
    <row r="23202" spans="3:3" x14ac:dyDescent="0.35">
      <c r="C23202" s="2"/>
    </row>
    <row r="23203" spans="3:3" x14ac:dyDescent="0.35">
      <c r="C23203" s="2"/>
    </row>
    <row r="23204" spans="3:3" x14ac:dyDescent="0.35">
      <c r="C23204" s="2"/>
    </row>
    <row r="23205" spans="3:3" x14ac:dyDescent="0.35">
      <c r="C23205" s="2"/>
    </row>
    <row r="23206" spans="3:3" x14ac:dyDescent="0.35">
      <c r="C23206" s="2"/>
    </row>
    <row r="23207" spans="3:3" x14ac:dyDescent="0.35">
      <c r="C23207" s="2"/>
    </row>
    <row r="23208" spans="3:3" x14ac:dyDescent="0.35">
      <c r="C23208" s="2"/>
    </row>
    <row r="23209" spans="3:3" x14ac:dyDescent="0.35">
      <c r="C23209" s="2"/>
    </row>
    <row r="23210" spans="3:3" x14ac:dyDescent="0.35">
      <c r="C23210" s="2"/>
    </row>
    <row r="23211" spans="3:3" x14ac:dyDescent="0.35">
      <c r="C23211" s="2"/>
    </row>
    <row r="23212" spans="3:3" x14ac:dyDescent="0.35">
      <c r="C23212" s="2"/>
    </row>
    <row r="23213" spans="3:3" x14ac:dyDescent="0.35">
      <c r="C23213" s="2"/>
    </row>
    <row r="23214" spans="3:3" x14ac:dyDescent="0.35">
      <c r="C23214" s="2"/>
    </row>
    <row r="23215" spans="3:3" x14ac:dyDescent="0.35">
      <c r="C23215" s="2"/>
    </row>
    <row r="23216" spans="3:3" x14ac:dyDescent="0.35">
      <c r="C23216" s="2"/>
    </row>
    <row r="23217" spans="3:3" x14ac:dyDescent="0.35">
      <c r="C23217" s="2"/>
    </row>
    <row r="23218" spans="3:3" x14ac:dyDescent="0.35">
      <c r="C23218" s="2"/>
    </row>
    <row r="23219" spans="3:3" x14ac:dyDescent="0.35">
      <c r="C23219" s="2"/>
    </row>
    <row r="23220" spans="3:3" x14ac:dyDescent="0.35">
      <c r="C23220" s="2"/>
    </row>
    <row r="23221" spans="3:3" x14ac:dyDescent="0.35">
      <c r="C23221" s="2"/>
    </row>
    <row r="23222" spans="3:3" x14ac:dyDescent="0.35">
      <c r="C23222" s="2"/>
    </row>
    <row r="23223" spans="3:3" x14ac:dyDescent="0.35">
      <c r="C23223" s="2"/>
    </row>
    <row r="23224" spans="3:3" x14ac:dyDescent="0.35">
      <c r="C23224" s="2"/>
    </row>
    <row r="23225" spans="3:3" x14ac:dyDescent="0.35">
      <c r="C23225" s="2"/>
    </row>
    <row r="23226" spans="3:3" x14ac:dyDescent="0.35">
      <c r="C23226" s="2"/>
    </row>
    <row r="23227" spans="3:3" x14ac:dyDescent="0.35">
      <c r="C23227" s="2"/>
    </row>
    <row r="23228" spans="3:3" x14ac:dyDescent="0.35">
      <c r="C23228" s="2"/>
    </row>
    <row r="23229" spans="3:3" x14ac:dyDescent="0.35">
      <c r="C23229" s="2"/>
    </row>
    <row r="23230" spans="3:3" x14ac:dyDescent="0.35">
      <c r="C23230" s="2"/>
    </row>
    <row r="23231" spans="3:3" x14ac:dyDescent="0.35">
      <c r="C23231" s="2"/>
    </row>
    <row r="23232" spans="3:3" x14ac:dyDescent="0.35">
      <c r="C23232" s="2"/>
    </row>
    <row r="23233" spans="3:3" x14ac:dyDescent="0.35">
      <c r="C23233" s="2"/>
    </row>
    <row r="23234" spans="3:3" x14ac:dyDescent="0.35">
      <c r="C23234" s="2"/>
    </row>
    <row r="23235" spans="3:3" x14ac:dyDescent="0.35">
      <c r="C23235" s="2"/>
    </row>
    <row r="23236" spans="3:3" x14ac:dyDescent="0.35">
      <c r="C23236" s="2"/>
    </row>
    <row r="23237" spans="3:3" x14ac:dyDescent="0.35">
      <c r="C23237" s="2"/>
    </row>
    <row r="23238" spans="3:3" x14ac:dyDescent="0.35">
      <c r="C23238" s="2"/>
    </row>
    <row r="23239" spans="3:3" x14ac:dyDescent="0.35">
      <c r="C23239" s="2"/>
    </row>
    <row r="23240" spans="3:3" x14ac:dyDescent="0.35">
      <c r="C23240" s="2"/>
    </row>
    <row r="23241" spans="3:3" x14ac:dyDescent="0.35">
      <c r="C23241" s="2"/>
    </row>
    <row r="23242" spans="3:3" x14ac:dyDescent="0.35">
      <c r="C23242" s="2"/>
    </row>
    <row r="23243" spans="3:3" x14ac:dyDescent="0.35">
      <c r="C23243" s="2"/>
    </row>
    <row r="23244" spans="3:3" x14ac:dyDescent="0.35">
      <c r="C23244" s="2"/>
    </row>
    <row r="23245" spans="3:3" x14ac:dyDescent="0.35">
      <c r="C23245" s="2"/>
    </row>
    <row r="23246" spans="3:3" x14ac:dyDescent="0.35">
      <c r="C23246" s="2"/>
    </row>
    <row r="23247" spans="3:3" x14ac:dyDescent="0.35">
      <c r="C23247" s="2"/>
    </row>
    <row r="23248" spans="3:3" x14ac:dyDescent="0.35">
      <c r="C23248" s="2"/>
    </row>
    <row r="23249" spans="3:3" x14ac:dyDescent="0.35">
      <c r="C23249" s="2"/>
    </row>
    <row r="23250" spans="3:3" x14ac:dyDescent="0.35">
      <c r="C23250" s="2"/>
    </row>
    <row r="23251" spans="3:3" x14ac:dyDescent="0.35">
      <c r="C23251" s="2"/>
    </row>
    <row r="23252" spans="3:3" x14ac:dyDescent="0.35">
      <c r="C23252" s="2"/>
    </row>
    <row r="23253" spans="3:3" x14ac:dyDescent="0.35">
      <c r="C23253" s="2"/>
    </row>
    <row r="23254" spans="3:3" x14ac:dyDescent="0.35">
      <c r="C23254" s="2"/>
    </row>
    <row r="23255" spans="3:3" x14ac:dyDescent="0.35">
      <c r="C23255" s="2"/>
    </row>
    <row r="23256" spans="3:3" x14ac:dyDescent="0.35">
      <c r="C23256" s="2"/>
    </row>
    <row r="23257" spans="3:3" x14ac:dyDescent="0.35">
      <c r="C23257" s="2"/>
    </row>
    <row r="23258" spans="3:3" x14ac:dyDescent="0.35">
      <c r="C23258" s="2"/>
    </row>
    <row r="23259" spans="3:3" x14ac:dyDescent="0.35">
      <c r="C23259" s="2"/>
    </row>
    <row r="23260" spans="3:3" x14ac:dyDescent="0.35">
      <c r="C23260" s="2"/>
    </row>
    <row r="23261" spans="3:3" x14ac:dyDescent="0.35">
      <c r="C23261" s="2"/>
    </row>
    <row r="23262" spans="3:3" x14ac:dyDescent="0.35">
      <c r="C23262" s="2"/>
    </row>
    <row r="23263" spans="3:3" x14ac:dyDescent="0.35">
      <c r="C23263" s="2"/>
    </row>
    <row r="23264" spans="3:3" x14ac:dyDescent="0.35">
      <c r="C23264" s="2"/>
    </row>
    <row r="23265" spans="3:3" x14ac:dyDescent="0.35">
      <c r="C23265" s="2"/>
    </row>
    <row r="23266" spans="3:3" x14ac:dyDescent="0.35">
      <c r="C23266" s="2"/>
    </row>
    <row r="23267" spans="3:3" x14ac:dyDescent="0.35">
      <c r="C23267" s="2"/>
    </row>
    <row r="23268" spans="3:3" x14ac:dyDescent="0.35">
      <c r="C23268" s="2"/>
    </row>
    <row r="23269" spans="3:3" x14ac:dyDescent="0.35">
      <c r="C23269" s="2"/>
    </row>
    <row r="23270" spans="3:3" x14ac:dyDescent="0.35">
      <c r="C23270" s="2"/>
    </row>
    <row r="23271" spans="3:3" x14ac:dyDescent="0.35">
      <c r="C23271" s="2"/>
    </row>
    <row r="23272" spans="3:3" x14ac:dyDescent="0.35">
      <c r="C23272" s="2"/>
    </row>
    <row r="23273" spans="3:3" x14ac:dyDescent="0.35">
      <c r="C23273" s="2"/>
    </row>
    <row r="23274" spans="3:3" x14ac:dyDescent="0.35">
      <c r="C23274" s="2"/>
    </row>
    <row r="23275" spans="3:3" x14ac:dyDescent="0.35">
      <c r="C23275" s="2"/>
    </row>
    <row r="23276" spans="3:3" x14ac:dyDescent="0.35">
      <c r="C23276" s="2"/>
    </row>
    <row r="23277" spans="3:3" x14ac:dyDescent="0.35">
      <c r="C23277" s="2"/>
    </row>
    <row r="23278" spans="3:3" x14ac:dyDescent="0.35">
      <c r="C23278" s="2"/>
    </row>
    <row r="23279" spans="3:3" x14ac:dyDescent="0.35">
      <c r="C23279" s="2"/>
    </row>
    <row r="23280" spans="3:3" x14ac:dyDescent="0.35">
      <c r="C23280" s="2"/>
    </row>
    <row r="23281" spans="3:3" x14ac:dyDescent="0.35">
      <c r="C23281" s="2"/>
    </row>
    <row r="23282" spans="3:3" x14ac:dyDescent="0.35">
      <c r="C23282" s="2"/>
    </row>
    <row r="23283" spans="3:3" x14ac:dyDescent="0.35">
      <c r="C23283" s="2"/>
    </row>
    <row r="23284" spans="3:3" x14ac:dyDescent="0.35">
      <c r="C23284" s="2"/>
    </row>
    <row r="23285" spans="3:3" x14ac:dyDescent="0.35">
      <c r="C23285" s="2"/>
    </row>
    <row r="23286" spans="3:3" x14ac:dyDescent="0.35">
      <c r="C23286" s="2"/>
    </row>
    <row r="23287" spans="3:3" x14ac:dyDescent="0.35">
      <c r="C23287" s="2"/>
    </row>
    <row r="23288" spans="3:3" x14ac:dyDescent="0.35">
      <c r="C23288" s="2"/>
    </row>
    <row r="23289" spans="3:3" x14ac:dyDescent="0.35">
      <c r="C23289" s="2"/>
    </row>
    <row r="23290" spans="3:3" x14ac:dyDescent="0.35">
      <c r="C23290" s="2"/>
    </row>
    <row r="23291" spans="3:3" x14ac:dyDescent="0.35">
      <c r="C23291" s="2"/>
    </row>
    <row r="23292" spans="3:3" x14ac:dyDescent="0.35">
      <c r="C23292" s="2"/>
    </row>
    <row r="23293" spans="3:3" x14ac:dyDescent="0.35">
      <c r="C23293" s="2"/>
    </row>
    <row r="23294" spans="3:3" x14ac:dyDescent="0.35">
      <c r="C23294" s="2"/>
    </row>
    <row r="23295" spans="3:3" x14ac:dyDescent="0.35">
      <c r="C23295" s="2"/>
    </row>
    <row r="23296" spans="3:3" x14ac:dyDescent="0.35">
      <c r="C23296" s="2"/>
    </row>
    <row r="23297" spans="3:3" x14ac:dyDescent="0.35">
      <c r="C23297" s="2"/>
    </row>
    <row r="23298" spans="3:3" x14ac:dyDescent="0.35">
      <c r="C23298" s="2"/>
    </row>
    <row r="23299" spans="3:3" x14ac:dyDescent="0.35">
      <c r="C23299" s="2"/>
    </row>
    <row r="23300" spans="3:3" x14ac:dyDescent="0.35">
      <c r="C23300" s="2"/>
    </row>
    <row r="23301" spans="3:3" x14ac:dyDescent="0.35">
      <c r="C23301" s="2"/>
    </row>
    <row r="23302" spans="3:3" x14ac:dyDescent="0.35">
      <c r="C23302" s="2"/>
    </row>
    <row r="23303" spans="3:3" x14ac:dyDescent="0.35">
      <c r="C23303" s="2"/>
    </row>
    <row r="23304" spans="3:3" x14ac:dyDescent="0.35">
      <c r="C23304" s="2"/>
    </row>
    <row r="23305" spans="3:3" x14ac:dyDescent="0.35">
      <c r="C23305" s="2"/>
    </row>
    <row r="23306" spans="3:3" x14ac:dyDescent="0.35">
      <c r="C23306" s="2"/>
    </row>
    <row r="23307" spans="3:3" x14ac:dyDescent="0.35">
      <c r="C23307" s="2"/>
    </row>
    <row r="23308" spans="3:3" x14ac:dyDescent="0.35">
      <c r="C23308" s="2"/>
    </row>
    <row r="23309" spans="3:3" x14ac:dyDescent="0.35">
      <c r="C23309" s="2"/>
    </row>
    <row r="23310" spans="3:3" x14ac:dyDescent="0.35">
      <c r="C23310" s="2"/>
    </row>
    <row r="23311" spans="3:3" x14ac:dyDescent="0.35">
      <c r="C23311" s="2"/>
    </row>
    <row r="23312" spans="3:3" x14ac:dyDescent="0.35">
      <c r="C23312" s="2"/>
    </row>
    <row r="23313" spans="3:3" x14ac:dyDescent="0.35">
      <c r="C23313" s="2"/>
    </row>
    <row r="23314" spans="3:3" x14ac:dyDescent="0.35">
      <c r="C23314" s="2"/>
    </row>
    <row r="23315" spans="3:3" x14ac:dyDescent="0.35">
      <c r="C23315" s="2"/>
    </row>
    <row r="23316" spans="3:3" x14ac:dyDescent="0.35">
      <c r="C23316" s="2"/>
    </row>
    <row r="23317" spans="3:3" x14ac:dyDescent="0.35">
      <c r="C23317" s="2"/>
    </row>
    <row r="23318" spans="3:3" x14ac:dyDescent="0.35">
      <c r="C23318" s="2"/>
    </row>
    <row r="23319" spans="3:3" x14ac:dyDescent="0.35">
      <c r="C23319" s="2"/>
    </row>
    <row r="23320" spans="3:3" x14ac:dyDescent="0.35">
      <c r="C23320" s="2"/>
    </row>
    <row r="23321" spans="3:3" x14ac:dyDescent="0.35">
      <c r="C23321" s="2"/>
    </row>
    <row r="23322" spans="3:3" x14ac:dyDescent="0.35">
      <c r="C23322" s="2"/>
    </row>
    <row r="23323" spans="3:3" x14ac:dyDescent="0.35">
      <c r="C23323" s="2"/>
    </row>
    <row r="23324" spans="3:3" x14ac:dyDescent="0.35">
      <c r="C23324" s="2"/>
    </row>
    <row r="23325" spans="3:3" x14ac:dyDescent="0.35">
      <c r="C23325" s="2"/>
    </row>
    <row r="23326" spans="3:3" x14ac:dyDescent="0.35">
      <c r="C23326" s="2"/>
    </row>
    <row r="23327" spans="3:3" x14ac:dyDescent="0.35">
      <c r="C23327" s="2"/>
    </row>
    <row r="23328" spans="3:3" x14ac:dyDescent="0.35">
      <c r="C23328" s="2"/>
    </row>
    <row r="23329" spans="3:3" x14ac:dyDescent="0.35">
      <c r="C23329" s="2"/>
    </row>
    <row r="23330" spans="3:3" x14ac:dyDescent="0.35">
      <c r="C23330" s="2"/>
    </row>
    <row r="23331" spans="3:3" x14ac:dyDescent="0.35">
      <c r="C23331" s="2"/>
    </row>
    <row r="23332" spans="3:3" x14ac:dyDescent="0.35">
      <c r="C23332" s="2"/>
    </row>
    <row r="23333" spans="3:3" x14ac:dyDescent="0.35">
      <c r="C23333" s="2"/>
    </row>
    <row r="23334" spans="3:3" x14ac:dyDescent="0.35">
      <c r="C23334" s="2"/>
    </row>
    <row r="23335" spans="3:3" x14ac:dyDescent="0.35">
      <c r="C23335" s="2"/>
    </row>
    <row r="23336" spans="3:3" x14ac:dyDescent="0.35">
      <c r="C23336" s="2"/>
    </row>
    <row r="23337" spans="3:3" x14ac:dyDescent="0.35">
      <c r="C23337" s="2"/>
    </row>
    <row r="23338" spans="3:3" x14ac:dyDescent="0.35">
      <c r="C23338" s="2"/>
    </row>
    <row r="23339" spans="3:3" x14ac:dyDescent="0.35">
      <c r="C23339" s="2"/>
    </row>
    <row r="23340" spans="3:3" x14ac:dyDescent="0.35">
      <c r="C23340" s="2"/>
    </row>
    <row r="23341" spans="3:3" x14ac:dyDescent="0.35">
      <c r="C23341" s="2"/>
    </row>
    <row r="23342" spans="3:3" x14ac:dyDescent="0.35">
      <c r="C23342" s="2"/>
    </row>
    <row r="23343" spans="3:3" x14ac:dyDescent="0.35">
      <c r="C23343" s="2"/>
    </row>
    <row r="23344" spans="3:3" x14ac:dyDescent="0.35">
      <c r="C23344" s="2"/>
    </row>
    <row r="23345" spans="3:3" x14ac:dyDescent="0.35">
      <c r="C23345" s="2"/>
    </row>
    <row r="23346" spans="3:3" x14ac:dyDescent="0.35">
      <c r="C23346" s="2"/>
    </row>
    <row r="23347" spans="3:3" x14ac:dyDescent="0.35">
      <c r="C23347" s="2"/>
    </row>
    <row r="23348" spans="3:3" x14ac:dyDescent="0.35">
      <c r="C23348" s="2"/>
    </row>
    <row r="23349" spans="3:3" x14ac:dyDescent="0.35">
      <c r="C23349" s="2"/>
    </row>
    <row r="23350" spans="3:3" x14ac:dyDescent="0.35">
      <c r="C23350" s="2"/>
    </row>
    <row r="23351" spans="3:3" x14ac:dyDescent="0.35">
      <c r="C23351" s="2"/>
    </row>
    <row r="23352" spans="3:3" x14ac:dyDescent="0.35">
      <c r="C23352" s="2"/>
    </row>
    <row r="23353" spans="3:3" x14ac:dyDescent="0.35">
      <c r="C23353" s="2"/>
    </row>
    <row r="23354" spans="3:3" x14ac:dyDescent="0.35">
      <c r="C23354" s="2"/>
    </row>
    <row r="23355" spans="3:3" x14ac:dyDescent="0.35">
      <c r="C23355" s="2"/>
    </row>
    <row r="23356" spans="3:3" x14ac:dyDescent="0.35">
      <c r="C23356" s="2"/>
    </row>
    <row r="23357" spans="3:3" x14ac:dyDescent="0.35">
      <c r="C23357" s="2"/>
    </row>
    <row r="23358" spans="3:3" x14ac:dyDescent="0.35">
      <c r="C23358" s="2"/>
    </row>
    <row r="23359" spans="3:3" x14ac:dyDescent="0.35">
      <c r="C23359" s="2"/>
    </row>
    <row r="23360" spans="3:3" x14ac:dyDescent="0.35">
      <c r="C23360" s="2"/>
    </row>
    <row r="23361" spans="3:3" x14ac:dyDescent="0.35">
      <c r="C23361" s="2"/>
    </row>
    <row r="23362" spans="3:3" x14ac:dyDescent="0.35">
      <c r="C23362" s="2"/>
    </row>
    <row r="23363" spans="3:3" x14ac:dyDescent="0.35">
      <c r="C23363" s="2"/>
    </row>
    <row r="23364" spans="3:3" x14ac:dyDescent="0.35">
      <c r="C23364" s="2"/>
    </row>
    <row r="23365" spans="3:3" x14ac:dyDescent="0.35">
      <c r="C23365" s="2"/>
    </row>
    <row r="23366" spans="3:3" x14ac:dyDescent="0.35">
      <c r="C23366" s="2"/>
    </row>
    <row r="23367" spans="3:3" x14ac:dyDescent="0.35">
      <c r="C23367" s="2"/>
    </row>
    <row r="23368" spans="3:3" x14ac:dyDescent="0.35">
      <c r="C23368" s="2"/>
    </row>
    <row r="23369" spans="3:3" x14ac:dyDescent="0.35">
      <c r="C23369" s="2"/>
    </row>
    <row r="23370" spans="3:3" x14ac:dyDescent="0.35">
      <c r="C23370" s="2"/>
    </row>
    <row r="23371" spans="3:3" x14ac:dyDescent="0.35">
      <c r="C23371" s="2"/>
    </row>
    <row r="23372" spans="3:3" x14ac:dyDescent="0.35">
      <c r="C23372" s="2"/>
    </row>
    <row r="23373" spans="3:3" x14ac:dyDescent="0.35">
      <c r="C23373" s="2"/>
    </row>
    <row r="23374" spans="3:3" x14ac:dyDescent="0.35">
      <c r="C23374" s="2"/>
    </row>
    <row r="23375" spans="3:3" x14ac:dyDescent="0.35">
      <c r="C23375" s="2"/>
    </row>
    <row r="23376" spans="3:3" x14ac:dyDescent="0.35">
      <c r="C23376" s="2"/>
    </row>
    <row r="23377" spans="3:3" x14ac:dyDescent="0.35">
      <c r="C23377" s="2"/>
    </row>
    <row r="23378" spans="3:3" x14ac:dyDescent="0.35">
      <c r="C23378" s="2"/>
    </row>
    <row r="23379" spans="3:3" x14ac:dyDescent="0.35">
      <c r="C23379" s="2"/>
    </row>
    <row r="23380" spans="3:3" x14ac:dyDescent="0.35">
      <c r="C23380" s="2"/>
    </row>
    <row r="23381" spans="3:3" x14ac:dyDescent="0.35">
      <c r="C23381" s="2"/>
    </row>
    <row r="23382" spans="3:3" x14ac:dyDescent="0.35">
      <c r="C23382" s="2"/>
    </row>
    <row r="23383" spans="3:3" x14ac:dyDescent="0.35">
      <c r="C23383" s="2"/>
    </row>
    <row r="23384" spans="3:3" x14ac:dyDescent="0.35">
      <c r="C23384" s="2"/>
    </row>
    <row r="23385" spans="3:3" x14ac:dyDescent="0.35">
      <c r="C23385" s="2"/>
    </row>
    <row r="23386" spans="3:3" x14ac:dyDescent="0.35">
      <c r="C23386" s="2"/>
    </row>
    <row r="23387" spans="3:3" x14ac:dyDescent="0.35">
      <c r="C23387" s="2"/>
    </row>
    <row r="23388" spans="3:3" x14ac:dyDescent="0.35">
      <c r="C23388" s="2"/>
    </row>
    <row r="23389" spans="3:3" x14ac:dyDescent="0.35">
      <c r="C23389" s="2"/>
    </row>
    <row r="23390" spans="3:3" x14ac:dyDescent="0.35">
      <c r="C23390" s="2"/>
    </row>
    <row r="23391" spans="3:3" x14ac:dyDescent="0.35">
      <c r="C23391" s="2"/>
    </row>
    <row r="23392" spans="3:3" x14ac:dyDescent="0.35">
      <c r="C23392" s="2"/>
    </row>
    <row r="23393" spans="3:3" x14ac:dyDescent="0.35">
      <c r="C23393" s="2"/>
    </row>
    <row r="23394" spans="3:3" x14ac:dyDescent="0.35">
      <c r="C23394" s="2"/>
    </row>
    <row r="23395" spans="3:3" x14ac:dyDescent="0.35">
      <c r="C23395" s="2"/>
    </row>
    <row r="23396" spans="3:3" x14ac:dyDescent="0.35">
      <c r="C23396" s="2"/>
    </row>
    <row r="23397" spans="3:3" x14ac:dyDescent="0.35">
      <c r="C23397" s="2"/>
    </row>
    <row r="23398" spans="3:3" x14ac:dyDescent="0.35">
      <c r="C23398" s="2"/>
    </row>
    <row r="23399" spans="3:3" x14ac:dyDescent="0.35">
      <c r="C23399" s="2"/>
    </row>
    <row r="23400" spans="3:3" x14ac:dyDescent="0.35">
      <c r="C23400" s="2"/>
    </row>
    <row r="23401" spans="3:3" x14ac:dyDescent="0.35">
      <c r="C23401" s="2"/>
    </row>
    <row r="23402" spans="3:3" x14ac:dyDescent="0.35">
      <c r="C23402" s="2"/>
    </row>
    <row r="23403" spans="3:3" x14ac:dyDescent="0.35">
      <c r="C23403" s="2"/>
    </row>
    <row r="23404" spans="3:3" x14ac:dyDescent="0.35">
      <c r="C23404" s="2"/>
    </row>
    <row r="23405" spans="3:3" x14ac:dyDescent="0.35">
      <c r="C23405" s="2"/>
    </row>
    <row r="23406" spans="3:3" x14ac:dyDescent="0.35">
      <c r="C23406" s="2"/>
    </row>
    <row r="23407" spans="3:3" x14ac:dyDescent="0.35">
      <c r="C23407" s="2"/>
    </row>
    <row r="23408" spans="3:3" x14ac:dyDescent="0.35">
      <c r="C23408" s="2"/>
    </row>
    <row r="23409" spans="3:3" x14ac:dyDescent="0.35">
      <c r="C23409" s="2"/>
    </row>
    <row r="23410" spans="3:3" x14ac:dyDescent="0.35">
      <c r="C23410" s="2"/>
    </row>
    <row r="23411" spans="3:3" x14ac:dyDescent="0.35">
      <c r="C23411" s="2"/>
    </row>
    <row r="23412" spans="3:3" x14ac:dyDescent="0.35">
      <c r="C23412" s="2"/>
    </row>
    <row r="23413" spans="3:3" x14ac:dyDescent="0.35">
      <c r="C23413" s="2"/>
    </row>
    <row r="23414" spans="3:3" x14ac:dyDescent="0.35">
      <c r="C23414" s="2"/>
    </row>
    <row r="23415" spans="3:3" x14ac:dyDescent="0.35">
      <c r="C23415" s="2"/>
    </row>
    <row r="23416" spans="3:3" x14ac:dyDescent="0.35">
      <c r="C23416" s="2"/>
    </row>
    <row r="23417" spans="3:3" x14ac:dyDescent="0.35">
      <c r="C23417" s="2"/>
    </row>
    <row r="23418" spans="3:3" x14ac:dyDescent="0.35">
      <c r="C23418" s="2"/>
    </row>
    <row r="23419" spans="3:3" x14ac:dyDescent="0.35">
      <c r="C23419" s="2"/>
    </row>
    <row r="23420" spans="3:3" x14ac:dyDescent="0.35">
      <c r="C23420" s="2"/>
    </row>
    <row r="23421" spans="3:3" x14ac:dyDescent="0.35">
      <c r="C23421" s="2"/>
    </row>
    <row r="23422" spans="3:3" x14ac:dyDescent="0.35">
      <c r="C23422" s="2"/>
    </row>
    <row r="23423" spans="3:3" x14ac:dyDescent="0.35">
      <c r="C23423" s="2"/>
    </row>
    <row r="23424" spans="3:3" x14ac:dyDescent="0.35">
      <c r="C23424" s="2"/>
    </row>
    <row r="23425" spans="3:3" x14ac:dyDescent="0.35">
      <c r="C23425" s="2"/>
    </row>
    <row r="23426" spans="3:3" x14ac:dyDescent="0.35">
      <c r="C23426" s="2"/>
    </row>
    <row r="23427" spans="3:3" x14ac:dyDescent="0.35">
      <c r="C23427" s="2"/>
    </row>
    <row r="23428" spans="3:3" x14ac:dyDescent="0.35">
      <c r="C23428" s="2"/>
    </row>
    <row r="23429" spans="3:3" x14ac:dyDescent="0.35">
      <c r="C23429" s="2"/>
    </row>
    <row r="23430" spans="3:3" x14ac:dyDescent="0.35">
      <c r="C23430" s="2"/>
    </row>
    <row r="23431" spans="3:3" x14ac:dyDescent="0.35">
      <c r="C23431" s="2"/>
    </row>
    <row r="23432" spans="3:3" x14ac:dyDescent="0.35">
      <c r="C23432" s="2"/>
    </row>
    <row r="23433" spans="3:3" x14ac:dyDescent="0.35">
      <c r="C23433" s="2"/>
    </row>
    <row r="23434" spans="3:3" x14ac:dyDescent="0.35">
      <c r="C23434" s="2"/>
    </row>
    <row r="23435" spans="3:3" x14ac:dyDescent="0.35">
      <c r="C23435" s="2"/>
    </row>
    <row r="23436" spans="3:3" x14ac:dyDescent="0.35">
      <c r="C23436" s="2"/>
    </row>
    <row r="23437" spans="3:3" x14ac:dyDescent="0.35">
      <c r="C23437" s="2"/>
    </row>
    <row r="23438" spans="3:3" x14ac:dyDescent="0.35">
      <c r="C23438" s="2"/>
    </row>
    <row r="23439" spans="3:3" x14ac:dyDescent="0.35">
      <c r="C23439" s="2"/>
    </row>
    <row r="23440" spans="3:3" x14ac:dyDescent="0.35">
      <c r="C23440" s="2"/>
    </row>
    <row r="23441" spans="3:3" x14ac:dyDescent="0.35">
      <c r="C23441" s="2"/>
    </row>
    <row r="23442" spans="3:3" x14ac:dyDescent="0.35">
      <c r="C23442" s="2"/>
    </row>
    <row r="23443" spans="3:3" x14ac:dyDescent="0.35">
      <c r="C23443" s="2"/>
    </row>
    <row r="23444" spans="3:3" x14ac:dyDescent="0.35">
      <c r="C23444" s="2"/>
    </row>
    <row r="23445" spans="3:3" x14ac:dyDescent="0.35">
      <c r="C23445" s="2"/>
    </row>
    <row r="23446" spans="3:3" x14ac:dyDescent="0.35">
      <c r="C23446" s="2"/>
    </row>
    <row r="23447" spans="3:3" x14ac:dyDescent="0.35">
      <c r="C23447" s="2"/>
    </row>
    <row r="23448" spans="3:3" x14ac:dyDescent="0.35">
      <c r="C23448" s="2"/>
    </row>
    <row r="23449" spans="3:3" x14ac:dyDescent="0.35">
      <c r="C23449" s="2"/>
    </row>
    <row r="23450" spans="3:3" x14ac:dyDescent="0.35">
      <c r="C23450" s="2"/>
    </row>
    <row r="23451" spans="3:3" x14ac:dyDescent="0.35">
      <c r="C23451" s="2"/>
    </row>
    <row r="23452" spans="3:3" x14ac:dyDescent="0.35">
      <c r="C23452" s="2"/>
    </row>
    <row r="23453" spans="3:3" x14ac:dyDescent="0.35">
      <c r="C23453" s="2"/>
    </row>
    <row r="23454" spans="3:3" x14ac:dyDescent="0.35">
      <c r="C23454" s="2"/>
    </row>
    <row r="23455" spans="3:3" x14ac:dyDescent="0.35">
      <c r="C23455" s="2"/>
    </row>
    <row r="23456" spans="3:3" x14ac:dyDescent="0.35">
      <c r="C23456" s="2"/>
    </row>
    <row r="23457" spans="3:3" x14ac:dyDescent="0.35">
      <c r="C23457" s="2"/>
    </row>
    <row r="23458" spans="3:3" x14ac:dyDescent="0.35">
      <c r="C23458" s="2"/>
    </row>
    <row r="23459" spans="3:3" x14ac:dyDescent="0.35">
      <c r="C23459" s="2"/>
    </row>
    <row r="23460" spans="3:3" x14ac:dyDescent="0.35">
      <c r="C23460" s="2"/>
    </row>
    <row r="23461" spans="3:3" x14ac:dyDescent="0.35">
      <c r="C23461" s="2"/>
    </row>
    <row r="23462" spans="3:3" x14ac:dyDescent="0.35">
      <c r="C23462" s="2"/>
    </row>
    <row r="23463" spans="3:3" x14ac:dyDescent="0.35">
      <c r="C23463" s="2"/>
    </row>
    <row r="23464" spans="3:3" x14ac:dyDescent="0.35">
      <c r="C23464" s="2"/>
    </row>
    <row r="23465" spans="3:3" x14ac:dyDescent="0.35">
      <c r="C23465" s="2"/>
    </row>
    <row r="23466" spans="3:3" x14ac:dyDescent="0.35">
      <c r="C23466" s="2"/>
    </row>
    <row r="23467" spans="3:3" x14ac:dyDescent="0.35">
      <c r="C23467" s="2"/>
    </row>
    <row r="23468" spans="3:3" x14ac:dyDescent="0.35">
      <c r="C23468" s="2"/>
    </row>
    <row r="23469" spans="3:3" x14ac:dyDescent="0.35">
      <c r="C23469" s="2"/>
    </row>
    <row r="23470" spans="3:3" x14ac:dyDescent="0.35">
      <c r="C23470" s="2"/>
    </row>
    <row r="23471" spans="3:3" x14ac:dyDescent="0.35">
      <c r="C23471" s="2"/>
    </row>
    <row r="23472" spans="3:3" x14ac:dyDescent="0.35">
      <c r="C23472" s="2"/>
    </row>
    <row r="23473" spans="3:3" x14ac:dyDescent="0.35">
      <c r="C23473" s="2"/>
    </row>
    <row r="23474" spans="3:3" x14ac:dyDescent="0.35">
      <c r="C23474" s="2"/>
    </row>
    <row r="23475" spans="3:3" x14ac:dyDescent="0.35">
      <c r="C23475" s="2"/>
    </row>
    <row r="23476" spans="3:3" x14ac:dyDescent="0.35">
      <c r="C23476" s="2"/>
    </row>
    <row r="23477" spans="3:3" x14ac:dyDescent="0.35">
      <c r="C23477" s="2"/>
    </row>
    <row r="23478" spans="3:3" x14ac:dyDescent="0.35">
      <c r="C23478" s="2"/>
    </row>
    <row r="23479" spans="3:3" x14ac:dyDescent="0.35">
      <c r="C23479" s="2"/>
    </row>
    <row r="23480" spans="3:3" x14ac:dyDescent="0.35">
      <c r="C23480" s="2"/>
    </row>
    <row r="23481" spans="3:3" x14ac:dyDescent="0.35">
      <c r="C23481" s="2"/>
    </row>
    <row r="23482" spans="3:3" x14ac:dyDescent="0.35">
      <c r="C23482" s="2"/>
    </row>
    <row r="23483" spans="3:3" x14ac:dyDescent="0.35">
      <c r="C23483" s="2"/>
    </row>
    <row r="23484" spans="3:3" x14ac:dyDescent="0.35">
      <c r="C23484" s="2"/>
    </row>
    <row r="23485" spans="3:3" x14ac:dyDescent="0.35">
      <c r="C23485" s="2"/>
    </row>
    <row r="23486" spans="3:3" x14ac:dyDescent="0.35">
      <c r="C23486" s="2"/>
    </row>
    <row r="23487" spans="3:3" x14ac:dyDescent="0.35">
      <c r="C23487" s="2"/>
    </row>
    <row r="23488" spans="3:3" x14ac:dyDescent="0.35">
      <c r="C23488" s="2"/>
    </row>
    <row r="23489" spans="3:3" x14ac:dyDescent="0.35">
      <c r="C23489" s="2"/>
    </row>
    <row r="23490" spans="3:3" x14ac:dyDescent="0.35">
      <c r="C23490" s="2"/>
    </row>
    <row r="23491" spans="3:3" x14ac:dyDescent="0.35">
      <c r="C23491" s="2"/>
    </row>
    <row r="23492" spans="3:3" x14ac:dyDescent="0.35">
      <c r="C23492" s="2"/>
    </row>
    <row r="23493" spans="3:3" x14ac:dyDescent="0.35">
      <c r="C23493" s="2"/>
    </row>
    <row r="23494" spans="3:3" x14ac:dyDescent="0.35">
      <c r="C23494" s="2"/>
    </row>
    <row r="23495" spans="3:3" x14ac:dyDescent="0.35">
      <c r="C23495" s="2"/>
    </row>
    <row r="23496" spans="3:3" x14ac:dyDescent="0.35">
      <c r="C23496" s="2"/>
    </row>
    <row r="23497" spans="3:3" x14ac:dyDescent="0.35">
      <c r="C23497" s="2"/>
    </row>
    <row r="23498" spans="3:3" x14ac:dyDescent="0.35">
      <c r="C23498" s="2"/>
    </row>
    <row r="23499" spans="3:3" x14ac:dyDescent="0.35">
      <c r="C23499" s="2"/>
    </row>
    <row r="23500" spans="3:3" x14ac:dyDescent="0.35">
      <c r="C23500" s="2"/>
    </row>
    <row r="23501" spans="3:3" x14ac:dyDescent="0.35">
      <c r="C23501" s="2"/>
    </row>
    <row r="23502" spans="3:3" x14ac:dyDescent="0.35">
      <c r="C23502" s="2"/>
    </row>
    <row r="23503" spans="3:3" x14ac:dyDescent="0.35">
      <c r="C23503" s="2"/>
    </row>
    <row r="23504" spans="3:3" x14ac:dyDescent="0.35">
      <c r="C23504" s="2"/>
    </row>
    <row r="23505" spans="3:3" x14ac:dyDescent="0.35">
      <c r="C23505" s="2"/>
    </row>
    <row r="23506" spans="3:3" x14ac:dyDescent="0.35">
      <c r="C23506" s="2"/>
    </row>
    <row r="23507" spans="3:3" x14ac:dyDescent="0.35">
      <c r="C23507" s="2"/>
    </row>
    <row r="23508" spans="3:3" x14ac:dyDescent="0.35">
      <c r="C23508" s="2"/>
    </row>
    <row r="23509" spans="3:3" x14ac:dyDescent="0.35">
      <c r="C23509" s="2"/>
    </row>
    <row r="23510" spans="3:3" x14ac:dyDescent="0.35">
      <c r="C23510" s="2"/>
    </row>
    <row r="23511" spans="3:3" x14ac:dyDescent="0.35">
      <c r="C23511" s="2"/>
    </row>
    <row r="23512" spans="3:3" x14ac:dyDescent="0.35">
      <c r="C23512" s="2"/>
    </row>
    <row r="23513" spans="3:3" x14ac:dyDescent="0.35">
      <c r="C23513" s="2"/>
    </row>
    <row r="23514" spans="3:3" x14ac:dyDescent="0.35">
      <c r="C23514" s="2"/>
    </row>
    <row r="23515" spans="3:3" x14ac:dyDescent="0.35">
      <c r="C23515" s="2"/>
    </row>
    <row r="23516" spans="3:3" x14ac:dyDescent="0.35">
      <c r="C23516" s="2"/>
    </row>
    <row r="23517" spans="3:3" x14ac:dyDescent="0.35">
      <c r="C23517" s="2"/>
    </row>
    <row r="23518" spans="3:3" x14ac:dyDescent="0.35">
      <c r="C23518" s="2"/>
    </row>
    <row r="23519" spans="3:3" x14ac:dyDescent="0.35">
      <c r="C23519" s="2"/>
    </row>
    <row r="23520" spans="3:3" x14ac:dyDescent="0.35">
      <c r="C23520" s="2"/>
    </row>
    <row r="23521" spans="3:3" x14ac:dyDescent="0.35">
      <c r="C23521" s="2"/>
    </row>
    <row r="23522" spans="3:3" x14ac:dyDescent="0.35">
      <c r="C23522" s="2"/>
    </row>
    <row r="23523" spans="3:3" x14ac:dyDescent="0.35">
      <c r="C23523" s="2"/>
    </row>
    <row r="23524" spans="3:3" x14ac:dyDescent="0.35">
      <c r="C23524" s="2"/>
    </row>
    <row r="23525" spans="3:3" x14ac:dyDescent="0.35">
      <c r="C23525" s="2"/>
    </row>
    <row r="23526" spans="3:3" x14ac:dyDescent="0.35">
      <c r="C23526" s="2"/>
    </row>
    <row r="23527" spans="3:3" x14ac:dyDescent="0.35">
      <c r="C23527" s="2"/>
    </row>
    <row r="23528" spans="3:3" x14ac:dyDescent="0.35">
      <c r="C23528" s="2"/>
    </row>
    <row r="23529" spans="3:3" x14ac:dyDescent="0.35">
      <c r="C23529" s="2"/>
    </row>
    <row r="23530" spans="3:3" x14ac:dyDescent="0.35">
      <c r="C23530" s="2"/>
    </row>
    <row r="23531" spans="3:3" x14ac:dyDescent="0.35">
      <c r="C23531" s="2"/>
    </row>
    <row r="23532" spans="3:3" x14ac:dyDescent="0.35">
      <c r="C23532" s="2"/>
    </row>
    <row r="23533" spans="3:3" x14ac:dyDescent="0.35">
      <c r="C23533" s="2"/>
    </row>
    <row r="23534" spans="3:3" x14ac:dyDescent="0.35">
      <c r="C23534" s="2"/>
    </row>
    <row r="23535" spans="3:3" x14ac:dyDescent="0.35">
      <c r="C23535" s="2"/>
    </row>
    <row r="23536" spans="3:3" x14ac:dyDescent="0.35">
      <c r="C23536" s="2"/>
    </row>
    <row r="23537" spans="3:3" x14ac:dyDescent="0.35">
      <c r="C23537" s="2"/>
    </row>
    <row r="23538" spans="3:3" x14ac:dyDescent="0.35">
      <c r="C23538" s="2"/>
    </row>
    <row r="23539" spans="3:3" x14ac:dyDescent="0.35">
      <c r="C23539" s="2"/>
    </row>
    <row r="23540" spans="3:3" x14ac:dyDescent="0.35">
      <c r="C23540" s="2"/>
    </row>
    <row r="23541" spans="3:3" x14ac:dyDescent="0.35">
      <c r="C23541" s="2"/>
    </row>
    <row r="23542" spans="3:3" x14ac:dyDescent="0.35">
      <c r="C23542" s="2"/>
    </row>
    <row r="23543" spans="3:3" x14ac:dyDescent="0.35">
      <c r="C23543" s="2"/>
    </row>
    <row r="23544" spans="3:3" x14ac:dyDescent="0.35">
      <c r="C23544" s="2"/>
    </row>
    <row r="23545" spans="3:3" x14ac:dyDescent="0.35">
      <c r="C23545" s="2"/>
    </row>
    <row r="23546" spans="3:3" x14ac:dyDescent="0.35">
      <c r="C23546" s="2"/>
    </row>
    <row r="23547" spans="3:3" x14ac:dyDescent="0.35">
      <c r="C23547" s="2"/>
    </row>
    <row r="23548" spans="3:3" x14ac:dyDescent="0.35">
      <c r="C23548" s="2"/>
    </row>
    <row r="23549" spans="3:3" x14ac:dyDescent="0.35">
      <c r="C23549" s="2"/>
    </row>
    <row r="23550" spans="3:3" x14ac:dyDescent="0.35">
      <c r="C23550" s="2"/>
    </row>
    <row r="23551" spans="3:3" x14ac:dyDescent="0.35">
      <c r="C23551" s="2"/>
    </row>
    <row r="23552" spans="3:3" x14ac:dyDescent="0.35">
      <c r="C23552" s="2"/>
    </row>
    <row r="23553" spans="3:3" x14ac:dyDescent="0.35">
      <c r="C23553" s="2"/>
    </row>
    <row r="23554" spans="3:3" x14ac:dyDescent="0.35">
      <c r="C23554" s="2"/>
    </row>
    <row r="23555" spans="3:3" x14ac:dyDescent="0.35">
      <c r="C23555" s="2"/>
    </row>
    <row r="23556" spans="3:3" x14ac:dyDescent="0.35">
      <c r="C23556" s="2"/>
    </row>
    <row r="23557" spans="3:3" x14ac:dyDescent="0.35">
      <c r="C23557" s="2"/>
    </row>
    <row r="23558" spans="3:3" x14ac:dyDescent="0.35">
      <c r="C23558" s="2"/>
    </row>
    <row r="23559" spans="3:3" x14ac:dyDescent="0.35">
      <c r="C23559" s="2"/>
    </row>
    <row r="23560" spans="3:3" x14ac:dyDescent="0.35">
      <c r="C23560" s="2"/>
    </row>
    <row r="23561" spans="3:3" x14ac:dyDescent="0.35">
      <c r="C23561" s="2"/>
    </row>
    <row r="23562" spans="3:3" x14ac:dyDescent="0.35">
      <c r="C23562" s="2"/>
    </row>
    <row r="23563" spans="3:3" x14ac:dyDescent="0.35">
      <c r="C23563" s="2"/>
    </row>
    <row r="23564" spans="3:3" x14ac:dyDescent="0.35">
      <c r="C23564" s="2"/>
    </row>
    <row r="23565" spans="3:3" x14ac:dyDescent="0.35">
      <c r="C23565" s="2"/>
    </row>
    <row r="23566" spans="3:3" x14ac:dyDescent="0.35">
      <c r="C23566" s="2"/>
    </row>
    <row r="23567" spans="3:3" x14ac:dyDescent="0.35">
      <c r="C23567" s="2"/>
    </row>
    <row r="23568" spans="3:3" x14ac:dyDescent="0.35">
      <c r="C23568" s="2"/>
    </row>
    <row r="23569" spans="3:3" x14ac:dyDescent="0.35">
      <c r="C23569" s="2"/>
    </row>
    <row r="23570" spans="3:3" x14ac:dyDescent="0.35">
      <c r="C23570" s="2"/>
    </row>
    <row r="23571" spans="3:3" x14ac:dyDescent="0.35">
      <c r="C23571" s="2"/>
    </row>
    <row r="23572" spans="3:3" x14ac:dyDescent="0.35">
      <c r="C23572" s="2"/>
    </row>
    <row r="23573" spans="3:3" x14ac:dyDescent="0.35">
      <c r="C23573" s="2"/>
    </row>
    <row r="23574" spans="3:3" x14ac:dyDescent="0.35">
      <c r="C23574" s="2"/>
    </row>
    <row r="23575" spans="3:3" x14ac:dyDescent="0.35">
      <c r="C23575" s="2"/>
    </row>
    <row r="23576" spans="3:3" x14ac:dyDescent="0.35">
      <c r="C23576" s="2"/>
    </row>
    <row r="23577" spans="3:3" x14ac:dyDescent="0.35">
      <c r="C23577" s="2"/>
    </row>
    <row r="23578" spans="3:3" x14ac:dyDescent="0.35">
      <c r="C23578" s="2"/>
    </row>
    <row r="23579" spans="3:3" x14ac:dyDescent="0.35">
      <c r="C23579" s="2"/>
    </row>
    <row r="23580" spans="3:3" x14ac:dyDescent="0.35">
      <c r="C23580" s="2"/>
    </row>
    <row r="23581" spans="3:3" x14ac:dyDescent="0.35">
      <c r="C23581" s="2"/>
    </row>
    <row r="23582" spans="3:3" x14ac:dyDescent="0.35">
      <c r="C23582" s="2"/>
    </row>
    <row r="23583" spans="3:3" x14ac:dyDescent="0.35">
      <c r="C23583" s="2"/>
    </row>
    <row r="23584" spans="3:3" x14ac:dyDescent="0.35">
      <c r="C23584" s="2"/>
    </row>
    <row r="23585" spans="3:3" x14ac:dyDescent="0.35">
      <c r="C23585" s="2"/>
    </row>
    <row r="23586" spans="3:3" x14ac:dyDescent="0.35">
      <c r="C23586" s="2"/>
    </row>
    <row r="23587" spans="3:3" x14ac:dyDescent="0.35">
      <c r="C23587" s="2"/>
    </row>
    <row r="23588" spans="3:3" x14ac:dyDescent="0.35">
      <c r="C23588" s="2"/>
    </row>
    <row r="23589" spans="3:3" x14ac:dyDescent="0.35">
      <c r="C23589" s="2"/>
    </row>
    <row r="23590" spans="3:3" x14ac:dyDescent="0.35">
      <c r="C23590" s="2"/>
    </row>
    <row r="23591" spans="3:3" x14ac:dyDescent="0.35">
      <c r="C23591" s="2"/>
    </row>
    <row r="23592" spans="3:3" x14ac:dyDescent="0.35">
      <c r="C23592" s="2"/>
    </row>
    <row r="23593" spans="3:3" x14ac:dyDescent="0.35">
      <c r="C23593" s="2"/>
    </row>
    <row r="23594" spans="3:3" x14ac:dyDescent="0.35">
      <c r="C23594" s="2"/>
    </row>
    <row r="23595" spans="3:3" x14ac:dyDescent="0.35">
      <c r="C23595" s="2"/>
    </row>
    <row r="23596" spans="3:3" x14ac:dyDescent="0.35">
      <c r="C23596" s="2"/>
    </row>
    <row r="23597" spans="3:3" x14ac:dyDescent="0.35">
      <c r="C23597" s="2"/>
    </row>
    <row r="23598" spans="3:3" x14ac:dyDescent="0.35">
      <c r="C23598" s="2"/>
    </row>
    <row r="23599" spans="3:3" x14ac:dyDescent="0.35">
      <c r="C23599" s="2"/>
    </row>
    <row r="23600" spans="3:3" x14ac:dyDescent="0.35">
      <c r="C23600" s="2"/>
    </row>
    <row r="23601" spans="3:3" x14ac:dyDescent="0.35">
      <c r="C23601" s="2"/>
    </row>
    <row r="23602" spans="3:3" x14ac:dyDescent="0.35">
      <c r="C23602" s="2"/>
    </row>
    <row r="23603" spans="3:3" x14ac:dyDescent="0.35">
      <c r="C23603" s="2"/>
    </row>
    <row r="23604" spans="3:3" x14ac:dyDescent="0.35">
      <c r="C23604" s="2"/>
    </row>
    <row r="23605" spans="3:3" x14ac:dyDescent="0.35">
      <c r="C23605" s="2"/>
    </row>
    <row r="23606" spans="3:3" x14ac:dyDescent="0.35">
      <c r="C23606" s="2"/>
    </row>
    <row r="23607" spans="3:3" x14ac:dyDescent="0.35">
      <c r="C23607" s="2"/>
    </row>
    <row r="23608" spans="3:3" x14ac:dyDescent="0.35">
      <c r="C23608" s="2"/>
    </row>
    <row r="23609" spans="3:3" x14ac:dyDescent="0.35">
      <c r="C23609" s="2"/>
    </row>
    <row r="23610" spans="3:3" x14ac:dyDescent="0.35">
      <c r="C23610" s="2"/>
    </row>
    <row r="23611" spans="3:3" x14ac:dyDescent="0.35">
      <c r="C23611" s="2"/>
    </row>
    <row r="23612" spans="3:3" x14ac:dyDescent="0.35">
      <c r="C23612" s="2"/>
    </row>
    <row r="23613" spans="3:3" x14ac:dyDescent="0.35">
      <c r="C23613" s="2"/>
    </row>
    <row r="23614" spans="3:3" x14ac:dyDescent="0.35">
      <c r="C23614" s="2"/>
    </row>
    <row r="23615" spans="3:3" x14ac:dyDescent="0.35">
      <c r="C23615" s="2"/>
    </row>
    <row r="23616" spans="3:3" x14ac:dyDescent="0.35">
      <c r="C23616" s="2"/>
    </row>
    <row r="23617" spans="3:3" x14ac:dyDescent="0.35">
      <c r="C23617" s="2"/>
    </row>
    <row r="23618" spans="3:3" x14ac:dyDescent="0.35">
      <c r="C23618" s="2"/>
    </row>
    <row r="23619" spans="3:3" x14ac:dyDescent="0.35">
      <c r="C23619" s="2"/>
    </row>
    <row r="23620" spans="3:3" x14ac:dyDescent="0.35">
      <c r="C23620" s="2"/>
    </row>
    <row r="23621" spans="3:3" x14ac:dyDescent="0.35">
      <c r="C23621" s="2"/>
    </row>
    <row r="23622" spans="3:3" x14ac:dyDescent="0.35">
      <c r="C23622" s="2"/>
    </row>
    <row r="23623" spans="3:3" x14ac:dyDescent="0.35">
      <c r="C23623" s="2"/>
    </row>
    <row r="23624" spans="3:3" x14ac:dyDescent="0.35">
      <c r="C23624" s="2"/>
    </row>
    <row r="23625" spans="3:3" x14ac:dyDescent="0.35">
      <c r="C23625" s="2"/>
    </row>
    <row r="23626" spans="3:3" x14ac:dyDescent="0.35">
      <c r="C23626" s="2"/>
    </row>
    <row r="23627" spans="3:3" x14ac:dyDescent="0.35">
      <c r="C23627" s="2"/>
    </row>
    <row r="23628" spans="3:3" x14ac:dyDescent="0.35">
      <c r="C23628" s="2"/>
    </row>
    <row r="23629" spans="3:3" x14ac:dyDescent="0.35">
      <c r="C23629" s="2"/>
    </row>
    <row r="23630" spans="3:3" x14ac:dyDescent="0.35">
      <c r="C23630" s="2"/>
    </row>
    <row r="23631" spans="3:3" x14ac:dyDescent="0.35">
      <c r="C23631" s="2"/>
    </row>
    <row r="23632" spans="3:3" x14ac:dyDescent="0.35">
      <c r="C23632" s="2"/>
    </row>
    <row r="23633" spans="3:3" x14ac:dyDescent="0.35">
      <c r="C23633" s="2"/>
    </row>
    <row r="23634" spans="3:3" x14ac:dyDescent="0.35">
      <c r="C23634" s="2"/>
    </row>
    <row r="23635" spans="3:3" x14ac:dyDescent="0.35">
      <c r="C23635" s="2"/>
    </row>
    <row r="23636" spans="3:3" x14ac:dyDescent="0.35">
      <c r="C23636" s="2"/>
    </row>
    <row r="23637" spans="3:3" x14ac:dyDescent="0.35">
      <c r="C23637" s="2"/>
    </row>
    <row r="23638" spans="3:3" x14ac:dyDescent="0.35">
      <c r="C23638" s="2"/>
    </row>
    <row r="23639" spans="3:3" x14ac:dyDescent="0.35">
      <c r="C23639" s="2"/>
    </row>
    <row r="23640" spans="3:3" x14ac:dyDescent="0.35">
      <c r="C23640" s="2"/>
    </row>
    <row r="23641" spans="3:3" x14ac:dyDescent="0.35">
      <c r="C23641" s="2"/>
    </row>
    <row r="23642" spans="3:3" x14ac:dyDescent="0.35">
      <c r="C23642" s="2"/>
    </row>
    <row r="23643" spans="3:3" x14ac:dyDescent="0.35">
      <c r="C23643" s="2"/>
    </row>
    <row r="23644" spans="3:3" x14ac:dyDescent="0.35">
      <c r="C23644" s="2"/>
    </row>
    <row r="23645" spans="3:3" x14ac:dyDescent="0.35">
      <c r="C23645" s="2"/>
    </row>
    <row r="23646" spans="3:3" x14ac:dyDescent="0.35">
      <c r="C23646" s="2"/>
    </row>
    <row r="23647" spans="3:3" x14ac:dyDescent="0.35">
      <c r="C23647" s="2"/>
    </row>
    <row r="23648" spans="3:3" x14ac:dyDescent="0.35">
      <c r="C23648" s="2"/>
    </row>
    <row r="23649" spans="3:3" x14ac:dyDescent="0.35">
      <c r="C23649" s="2"/>
    </row>
    <row r="23650" spans="3:3" x14ac:dyDescent="0.35">
      <c r="C23650" s="2"/>
    </row>
    <row r="23651" spans="3:3" x14ac:dyDescent="0.35">
      <c r="C23651" s="2"/>
    </row>
    <row r="23652" spans="3:3" x14ac:dyDescent="0.35">
      <c r="C23652" s="2"/>
    </row>
    <row r="23653" spans="3:3" x14ac:dyDescent="0.35">
      <c r="C23653" s="2"/>
    </row>
    <row r="23654" spans="3:3" x14ac:dyDescent="0.35">
      <c r="C23654" s="2"/>
    </row>
    <row r="23655" spans="3:3" x14ac:dyDescent="0.35">
      <c r="C23655" s="2"/>
    </row>
    <row r="23656" spans="3:3" x14ac:dyDescent="0.35">
      <c r="C23656" s="2"/>
    </row>
    <row r="23657" spans="3:3" x14ac:dyDescent="0.35">
      <c r="C23657" s="2"/>
    </row>
    <row r="23658" spans="3:3" x14ac:dyDescent="0.35">
      <c r="C23658" s="2"/>
    </row>
    <row r="23659" spans="3:3" x14ac:dyDescent="0.35">
      <c r="C23659" s="2"/>
    </row>
    <row r="23660" spans="3:3" x14ac:dyDescent="0.35">
      <c r="C23660" s="2"/>
    </row>
    <row r="23661" spans="3:3" x14ac:dyDescent="0.35">
      <c r="C23661" s="2"/>
    </row>
    <row r="23662" spans="3:3" x14ac:dyDescent="0.35">
      <c r="C23662" s="2"/>
    </row>
    <row r="23663" spans="3:3" x14ac:dyDescent="0.35">
      <c r="C23663" s="2"/>
    </row>
    <row r="23664" spans="3:3" x14ac:dyDescent="0.35">
      <c r="C23664" s="2"/>
    </row>
    <row r="23665" spans="3:3" x14ac:dyDescent="0.35">
      <c r="C23665" s="2"/>
    </row>
    <row r="23666" spans="3:3" x14ac:dyDescent="0.35">
      <c r="C23666" s="2"/>
    </row>
    <row r="23667" spans="3:3" x14ac:dyDescent="0.35">
      <c r="C23667" s="2"/>
    </row>
    <row r="23668" spans="3:3" x14ac:dyDescent="0.35">
      <c r="C23668" s="2"/>
    </row>
    <row r="23669" spans="3:3" x14ac:dyDescent="0.35">
      <c r="C23669" s="2"/>
    </row>
    <row r="23670" spans="3:3" x14ac:dyDescent="0.35">
      <c r="C23670" s="2"/>
    </row>
    <row r="23671" spans="3:3" x14ac:dyDescent="0.35">
      <c r="C23671" s="2"/>
    </row>
    <row r="23672" spans="3:3" x14ac:dyDescent="0.35">
      <c r="C23672" s="2"/>
    </row>
    <row r="23673" spans="3:3" x14ac:dyDescent="0.35">
      <c r="C23673" s="2"/>
    </row>
    <row r="23674" spans="3:3" x14ac:dyDescent="0.35">
      <c r="C23674" s="2"/>
    </row>
    <row r="23675" spans="3:3" x14ac:dyDescent="0.35">
      <c r="C23675" s="2"/>
    </row>
    <row r="23676" spans="3:3" x14ac:dyDescent="0.35">
      <c r="C23676" s="2"/>
    </row>
    <row r="23677" spans="3:3" x14ac:dyDescent="0.35">
      <c r="C23677" s="2"/>
    </row>
    <row r="23678" spans="3:3" x14ac:dyDescent="0.35">
      <c r="C23678" s="2"/>
    </row>
    <row r="23679" spans="3:3" x14ac:dyDescent="0.35">
      <c r="C23679" s="2"/>
    </row>
    <row r="23680" spans="3:3" x14ac:dyDescent="0.35">
      <c r="C23680" s="2"/>
    </row>
    <row r="23681" spans="3:3" x14ac:dyDescent="0.35">
      <c r="C23681" s="2"/>
    </row>
    <row r="23682" spans="3:3" x14ac:dyDescent="0.35">
      <c r="C23682" s="2"/>
    </row>
    <row r="23683" spans="3:3" x14ac:dyDescent="0.35">
      <c r="C23683" s="2"/>
    </row>
    <row r="23684" spans="3:3" x14ac:dyDescent="0.35">
      <c r="C23684" s="2"/>
    </row>
    <row r="23685" spans="3:3" x14ac:dyDescent="0.35">
      <c r="C23685" s="2"/>
    </row>
    <row r="23686" spans="3:3" x14ac:dyDescent="0.35">
      <c r="C23686" s="2"/>
    </row>
    <row r="23687" spans="3:3" x14ac:dyDescent="0.35">
      <c r="C23687" s="2"/>
    </row>
    <row r="23688" spans="3:3" x14ac:dyDescent="0.35">
      <c r="C23688" s="2"/>
    </row>
    <row r="23689" spans="3:3" x14ac:dyDescent="0.35">
      <c r="C23689" s="2"/>
    </row>
    <row r="23690" spans="3:3" x14ac:dyDescent="0.35">
      <c r="C23690" s="2"/>
    </row>
    <row r="23691" spans="3:3" x14ac:dyDescent="0.35">
      <c r="C23691" s="2"/>
    </row>
    <row r="23692" spans="3:3" x14ac:dyDescent="0.35">
      <c r="C23692" s="2"/>
    </row>
    <row r="23693" spans="3:3" x14ac:dyDescent="0.35">
      <c r="C23693" s="2"/>
    </row>
    <row r="23694" spans="3:3" x14ac:dyDescent="0.35">
      <c r="C23694" s="2"/>
    </row>
    <row r="23695" spans="3:3" x14ac:dyDescent="0.35">
      <c r="C23695" s="2"/>
    </row>
    <row r="23696" spans="3:3" x14ac:dyDescent="0.35">
      <c r="C23696" s="2"/>
    </row>
    <row r="23697" spans="3:3" x14ac:dyDescent="0.35">
      <c r="C23697" s="2"/>
    </row>
    <row r="23698" spans="3:3" x14ac:dyDescent="0.35">
      <c r="C23698" s="2"/>
    </row>
    <row r="23699" spans="3:3" x14ac:dyDescent="0.35">
      <c r="C23699" s="2"/>
    </row>
    <row r="23700" spans="3:3" x14ac:dyDescent="0.35">
      <c r="C23700" s="2"/>
    </row>
    <row r="23701" spans="3:3" x14ac:dyDescent="0.35">
      <c r="C23701" s="2"/>
    </row>
    <row r="23702" spans="3:3" x14ac:dyDescent="0.35">
      <c r="C23702" s="2"/>
    </row>
    <row r="23703" spans="3:3" x14ac:dyDescent="0.35">
      <c r="C23703" s="2"/>
    </row>
    <row r="23704" spans="3:3" x14ac:dyDescent="0.35">
      <c r="C23704" s="2"/>
    </row>
    <row r="23705" spans="3:3" x14ac:dyDescent="0.35">
      <c r="C23705" s="2"/>
    </row>
    <row r="23706" spans="3:3" x14ac:dyDescent="0.35">
      <c r="C23706" s="2"/>
    </row>
    <row r="23707" spans="3:3" x14ac:dyDescent="0.35">
      <c r="C23707" s="2"/>
    </row>
    <row r="23708" spans="3:3" x14ac:dyDescent="0.35">
      <c r="C23708" s="2"/>
    </row>
    <row r="23709" spans="3:3" x14ac:dyDescent="0.35">
      <c r="C23709" s="2"/>
    </row>
    <row r="23710" spans="3:3" x14ac:dyDescent="0.35">
      <c r="C23710" s="2"/>
    </row>
    <row r="23711" spans="3:3" x14ac:dyDescent="0.35">
      <c r="C23711" s="2"/>
    </row>
    <row r="23712" spans="3:3" x14ac:dyDescent="0.35">
      <c r="C23712" s="2"/>
    </row>
    <row r="23713" spans="3:3" x14ac:dyDescent="0.35">
      <c r="C23713" s="2"/>
    </row>
    <row r="23714" spans="3:3" x14ac:dyDescent="0.35">
      <c r="C23714" s="2"/>
    </row>
    <row r="23715" spans="3:3" x14ac:dyDescent="0.35">
      <c r="C23715" s="2"/>
    </row>
    <row r="23716" spans="3:3" x14ac:dyDescent="0.35">
      <c r="C23716" s="2"/>
    </row>
    <row r="23717" spans="3:3" x14ac:dyDescent="0.35">
      <c r="C23717" s="2"/>
    </row>
    <row r="23718" spans="3:3" x14ac:dyDescent="0.35">
      <c r="C23718" s="2"/>
    </row>
    <row r="23719" spans="3:3" x14ac:dyDescent="0.35">
      <c r="C23719" s="2"/>
    </row>
    <row r="23720" spans="3:3" x14ac:dyDescent="0.35">
      <c r="C23720" s="2"/>
    </row>
    <row r="23721" spans="3:3" x14ac:dyDescent="0.35">
      <c r="C23721" s="2"/>
    </row>
    <row r="23722" spans="3:3" x14ac:dyDescent="0.35">
      <c r="C23722" s="2"/>
    </row>
    <row r="23723" spans="3:3" x14ac:dyDescent="0.35">
      <c r="C23723" s="2"/>
    </row>
    <row r="23724" spans="3:3" x14ac:dyDescent="0.35">
      <c r="C23724" s="2"/>
    </row>
    <row r="23725" spans="3:3" x14ac:dyDescent="0.35">
      <c r="C23725" s="2"/>
    </row>
    <row r="23726" spans="3:3" x14ac:dyDescent="0.35">
      <c r="C23726" s="2"/>
    </row>
    <row r="23727" spans="3:3" x14ac:dyDescent="0.35">
      <c r="C23727" s="2"/>
    </row>
    <row r="23728" spans="3:3" x14ac:dyDescent="0.35">
      <c r="C23728" s="2"/>
    </row>
    <row r="23729" spans="3:3" x14ac:dyDescent="0.35">
      <c r="C23729" s="2"/>
    </row>
    <row r="23730" spans="3:3" x14ac:dyDescent="0.35">
      <c r="C23730" s="2"/>
    </row>
    <row r="23731" spans="3:3" x14ac:dyDescent="0.35">
      <c r="C23731" s="2"/>
    </row>
    <row r="23732" spans="3:3" x14ac:dyDescent="0.35">
      <c r="C23732" s="2"/>
    </row>
    <row r="23733" spans="3:3" x14ac:dyDescent="0.35">
      <c r="C23733" s="2"/>
    </row>
    <row r="23734" spans="3:3" x14ac:dyDescent="0.35">
      <c r="C23734" s="2"/>
    </row>
    <row r="23735" spans="3:3" x14ac:dyDescent="0.35">
      <c r="C23735" s="2"/>
    </row>
    <row r="23736" spans="3:3" x14ac:dyDescent="0.35">
      <c r="C23736" s="2"/>
    </row>
    <row r="23737" spans="3:3" x14ac:dyDescent="0.35">
      <c r="C23737" s="2"/>
    </row>
    <row r="23738" spans="3:3" x14ac:dyDescent="0.35">
      <c r="C23738" s="2"/>
    </row>
    <row r="23739" spans="3:3" x14ac:dyDescent="0.35">
      <c r="C23739" s="2"/>
    </row>
    <row r="23740" spans="3:3" x14ac:dyDescent="0.35">
      <c r="C23740" s="2"/>
    </row>
    <row r="23741" spans="3:3" x14ac:dyDescent="0.35">
      <c r="C23741" s="2"/>
    </row>
    <row r="23742" spans="3:3" x14ac:dyDescent="0.35">
      <c r="C23742" s="2"/>
    </row>
    <row r="23743" spans="3:3" x14ac:dyDescent="0.35">
      <c r="C23743" s="2"/>
    </row>
    <row r="23744" spans="3:3" x14ac:dyDescent="0.35">
      <c r="C23744" s="2"/>
    </row>
    <row r="23745" spans="3:3" x14ac:dyDescent="0.35">
      <c r="C23745" s="2"/>
    </row>
    <row r="23746" spans="3:3" x14ac:dyDescent="0.35">
      <c r="C23746" s="2"/>
    </row>
    <row r="23747" spans="3:3" x14ac:dyDescent="0.35">
      <c r="C23747" s="2"/>
    </row>
    <row r="23748" spans="3:3" x14ac:dyDescent="0.35">
      <c r="C23748" s="2"/>
    </row>
    <row r="23749" spans="3:3" x14ac:dyDescent="0.35">
      <c r="C23749" s="2"/>
    </row>
    <row r="23750" spans="3:3" x14ac:dyDescent="0.35">
      <c r="C23750" s="2"/>
    </row>
    <row r="23751" spans="3:3" x14ac:dyDescent="0.35">
      <c r="C23751" s="2"/>
    </row>
    <row r="23752" spans="3:3" x14ac:dyDescent="0.35">
      <c r="C23752" s="2"/>
    </row>
    <row r="23753" spans="3:3" x14ac:dyDescent="0.35">
      <c r="C23753" s="2"/>
    </row>
    <row r="23754" spans="3:3" x14ac:dyDescent="0.35">
      <c r="C23754" s="2"/>
    </row>
    <row r="23755" spans="3:3" x14ac:dyDescent="0.35">
      <c r="C23755" s="2"/>
    </row>
    <row r="23756" spans="3:3" x14ac:dyDescent="0.35">
      <c r="C23756" s="2"/>
    </row>
    <row r="23757" spans="3:3" x14ac:dyDescent="0.35">
      <c r="C23757" s="2"/>
    </row>
    <row r="23758" spans="3:3" x14ac:dyDescent="0.35">
      <c r="C23758" s="2"/>
    </row>
    <row r="23759" spans="3:3" x14ac:dyDescent="0.35">
      <c r="C23759" s="2"/>
    </row>
    <row r="23760" spans="3:3" x14ac:dyDescent="0.35">
      <c r="C23760" s="2"/>
    </row>
    <row r="23761" spans="3:3" x14ac:dyDescent="0.35">
      <c r="C23761" s="2"/>
    </row>
    <row r="23762" spans="3:3" x14ac:dyDescent="0.35">
      <c r="C23762" s="2"/>
    </row>
    <row r="23763" spans="3:3" x14ac:dyDescent="0.35">
      <c r="C23763" s="2"/>
    </row>
    <row r="23764" spans="3:3" x14ac:dyDescent="0.35">
      <c r="C23764" s="2"/>
    </row>
    <row r="23765" spans="3:3" x14ac:dyDescent="0.35">
      <c r="C23765" s="2"/>
    </row>
    <row r="23766" spans="3:3" x14ac:dyDescent="0.35">
      <c r="C23766" s="2"/>
    </row>
    <row r="23767" spans="3:3" x14ac:dyDescent="0.35">
      <c r="C23767" s="2"/>
    </row>
    <row r="23768" spans="3:3" x14ac:dyDescent="0.35">
      <c r="C23768" s="2"/>
    </row>
    <row r="23769" spans="3:3" x14ac:dyDescent="0.35">
      <c r="C23769" s="2"/>
    </row>
    <row r="23770" spans="3:3" x14ac:dyDescent="0.35">
      <c r="C23770" s="2"/>
    </row>
    <row r="23771" spans="3:3" x14ac:dyDescent="0.35">
      <c r="C23771" s="2"/>
    </row>
    <row r="23772" spans="3:3" x14ac:dyDescent="0.35">
      <c r="C23772" s="2"/>
    </row>
    <row r="23773" spans="3:3" x14ac:dyDescent="0.35">
      <c r="C23773" s="2"/>
    </row>
    <row r="23774" spans="3:3" x14ac:dyDescent="0.35">
      <c r="C23774" s="2"/>
    </row>
    <row r="23775" spans="3:3" x14ac:dyDescent="0.35">
      <c r="C23775" s="2"/>
    </row>
    <row r="23776" spans="3:3" x14ac:dyDescent="0.35">
      <c r="C23776" s="2"/>
    </row>
    <row r="23777" spans="3:3" x14ac:dyDescent="0.35">
      <c r="C23777" s="2"/>
    </row>
    <row r="23778" spans="3:3" x14ac:dyDescent="0.35">
      <c r="C23778" s="2"/>
    </row>
    <row r="23779" spans="3:3" x14ac:dyDescent="0.35">
      <c r="C23779" s="2"/>
    </row>
    <row r="23780" spans="3:3" x14ac:dyDescent="0.35">
      <c r="C23780" s="2"/>
    </row>
    <row r="23781" spans="3:3" x14ac:dyDescent="0.35">
      <c r="C23781" s="2"/>
    </row>
    <row r="23782" spans="3:3" x14ac:dyDescent="0.35">
      <c r="C23782" s="2"/>
    </row>
    <row r="23783" spans="3:3" x14ac:dyDescent="0.35">
      <c r="C23783" s="2"/>
    </row>
    <row r="23784" spans="3:3" x14ac:dyDescent="0.35">
      <c r="C23784" s="2"/>
    </row>
    <row r="23785" spans="3:3" x14ac:dyDescent="0.35">
      <c r="C23785" s="2"/>
    </row>
    <row r="23786" spans="3:3" x14ac:dyDescent="0.35">
      <c r="C23786" s="2"/>
    </row>
    <row r="23787" spans="3:3" x14ac:dyDescent="0.35">
      <c r="C23787" s="2"/>
    </row>
    <row r="23788" spans="3:3" x14ac:dyDescent="0.35">
      <c r="C23788" s="2"/>
    </row>
    <row r="23789" spans="3:3" x14ac:dyDescent="0.35">
      <c r="C23789" s="2"/>
    </row>
    <row r="23790" spans="3:3" x14ac:dyDescent="0.35">
      <c r="C23790" s="2"/>
    </row>
    <row r="23791" spans="3:3" x14ac:dyDescent="0.35">
      <c r="C23791" s="2"/>
    </row>
    <row r="23792" spans="3:3" x14ac:dyDescent="0.35">
      <c r="C23792" s="2"/>
    </row>
    <row r="23793" spans="3:3" x14ac:dyDescent="0.35">
      <c r="C23793" s="2"/>
    </row>
    <row r="23794" spans="3:3" x14ac:dyDescent="0.35">
      <c r="C23794" s="2"/>
    </row>
    <row r="23795" spans="3:3" x14ac:dyDescent="0.35">
      <c r="C23795" s="2"/>
    </row>
    <row r="23796" spans="3:3" x14ac:dyDescent="0.35">
      <c r="C23796" s="2"/>
    </row>
    <row r="23797" spans="3:3" x14ac:dyDescent="0.35">
      <c r="C23797" s="2"/>
    </row>
    <row r="23798" spans="3:3" x14ac:dyDescent="0.35">
      <c r="C23798" s="2"/>
    </row>
    <row r="23799" spans="3:3" x14ac:dyDescent="0.35">
      <c r="C23799" s="2"/>
    </row>
    <row r="23800" spans="3:3" x14ac:dyDescent="0.35">
      <c r="C23800" s="2"/>
    </row>
    <row r="23801" spans="3:3" x14ac:dyDescent="0.35">
      <c r="C23801" s="2"/>
    </row>
    <row r="23802" spans="3:3" x14ac:dyDescent="0.35">
      <c r="C23802" s="2"/>
    </row>
    <row r="23803" spans="3:3" x14ac:dyDescent="0.35">
      <c r="C23803" s="2"/>
    </row>
    <row r="23804" spans="3:3" x14ac:dyDescent="0.35">
      <c r="C23804" s="2"/>
    </row>
    <row r="23805" spans="3:3" x14ac:dyDescent="0.35">
      <c r="C23805" s="2"/>
    </row>
    <row r="23806" spans="3:3" x14ac:dyDescent="0.35">
      <c r="C23806" s="2"/>
    </row>
    <row r="23807" spans="3:3" x14ac:dyDescent="0.35">
      <c r="C23807" s="2"/>
    </row>
    <row r="23808" spans="3:3" x14ac:dyDescent="0.35">
      <c r="C23808" s="2"/>
    </row>
    <row r="23809" spans="3:3" x14ac:dyDescent="0.35">
      <c r="C23809" s="2"/>
    </row>
    <row r="23810" spans="3:3" x14ac:dyDescent="0.35">
      <c r="C23810" s="2"/>
    </row>
    <row r="23811" spans="3:3" x14ac:dyDescent="0.35">
      <c r="C23811" s="2"/>
    </row>
    <row r="23812" spans="3:3" x14ac:dyDescent="0.35">
      <c r="C23812" s="2"/>
    </row>
    <row r="23813" spans="3:3" x14ac:dyDescent="0.35">
      <c r="C23813" s="2"/>
    </row>
    <row r="23814" spans="3:3" x14ac:dyDescent="0.35">
      <c r="C23814" s="2"/>
    </row>
    <row r="23815" spans="3:3" x14ac:dyDescent="0.35">
      <c r="C23815" s="2"/>
    </row>
    <row r="23816" spans="3:3" x14ac:dyDescent="0.35">
      <c r="C23816" s="2"/>
    </row>
    <row r="23817" spans="3:3" x14ac:dyDescent="0.35">
      <c r="C23817" s="2"/>
    </row>
    <row r="23818" spans="3:3" x14ac:dyDescent="0.35">
      <c r="C23818" s="2"/>
    </row>
    <row r="23819" spans="3:3" x14ac:dyDescent="0.35">
      <c r="C23819" s="2"/>
    </row>
    <row r="23820" spans="3:3" x14ac:dyDescent="0.35">
      <c r="C23820" s="2"/>
    </row>
    <row r="23821" spans="3:3" x14ac:dyDescent="0.35">
      <c r="C23821" s="2"/>
    </row>
    <row r="23822" spans="3:3" x14ac:dyDescent="0.35">
      <c r="C23822" s="2"/>
    </row>
    <row r="23823" spans="3:3" x14ac:dyDescent="0.35">
      <c r="C23823" s="2"/>
    </row>
    <row r="23824" spans="3:3" x14ac:dyDescent="0.35">
      <c r="C23824" s="2"/>
    </row>
    <row r="23825" spans="3:3" x14ac:dyDescent="0.35">
      <c r="C23825" s="2"/>
    </row>
    <row r="23826" spans="3:3" x14ac:dyDescent="0.35">
      <c r="C23826" s="2"/>
    </row>
    <row r="23827" spans="3:3" x14ac:dyDescent="0.35">
      <c r="C23827" s="2"/>
    </row>
    <row r="23828" spans="3:3" x14ac:dyDescent="0.35">
      <c r="C23828" s="2"/>
    </row>
    <row r="23829" spans="3:3" x14ac:dyDescent="0.35">
      <c r="C23829" s="2"/>
    </row>
    <row r="23830" spans="3:3" x14ac:dyDescent="0.35">
      <c r="C23830" s="2"/>
    </row>
    <row r="23831" spans="3:3" x14ac:dyDescent="0.35">
      <c r="C23831" s="2"/>
    </row>
    <row r="23832" spans="3:3" x14ac:dyDescent="0.35">
      <c r="C23832" s="2"/>
    </row>
    <row r="23833" spans="3:3" x14ac:dyDescent="0.35">
      <c r="C23833" s="2"/>
    </row>
    <row r="23834" spans="3:3" x14ac:dyDescent="0.35">
      <c r="C23834" s="2"/>
    </row>
    <row r="23835" spans="3:3" x14ac:dyDescent="0.35">
      <c r="C23835" s="2"/>
    </row>
    <row r="23836" spans="3:3" x14ac:dyDescent="0.35">
      <c r="C23836" s="2"/>
    </row>
    <row r="23837" spans="3:3" x14ac:dyDescent="0.35">
      <c r="C23837" s="2"/>
    </row>
    <row r="23838" spans="3:3" x14ac:dyDescent="0.35">
      <c r="C23838" s="2"/>
    </row>
    <row r="23839" spans="3:3" x14ac:dyDescent="0.35">
      <c r="C23839" s="2"/>
    </row>
    <row r="23840" spans="3:3" x14ac:dyDescent="0.35">
      <c r="C23840" s="2"/>
    </row>
    <row r="23841" spans="3:3" x14ac:dyDescent="0.35">
      <c r="C23841" s="2"/>
    </row>
    <row r="23842" spans="3:3" x14ac:dyDescent="0.35">
      <c r="C23842" s="2"/>
    </row>
    <row r="23843" spans="3:3" x14ac:dyDescent="0.35">
      <c r="C23843" s="2"/>
    </row>
    <row r="23844" spans="3:3" x14ac:dyDescent="0.35">
      <c r="C23844" s="2"/>
    </row>
    <row r="23845" spans="3:3" x14ac:dyDescent="0.35">
      <c r="C23845" s="2"/>
    </row>
    <row r="23846" spans="3:3" x14ac:dyDescent="0.35">
      <c r="C23846" s="2"/>
    </row>
    <row r="23847" spans="3:3" x14ac:dyDescent="0.35">
      <c r="C23847" s="2"/>
    </row>
    <row r="23848" spans="3:3" x14ac:dyDescent="0.35">
      <c r="C23848" s="2"/>
    </row>
    <row r="23849" spans="3:3" x14ac:dyDescent="0.35">
      <c r="C23849" s="2"/>
    </row>
    <row r="23850" spans="3:3" x14ac:dyDescent="0.35">
      <c r="C23850" s="2"/>
    </row>
    <row r="23851" spans="3:3" x14ac:dyDescent="0.35">
      <c r="C23851" s="2"/>
    </row>
    <row r="23852" spans="3:3" x14ac:dyDescent="0.35">
      <c r="C23852" s="2"/>
    </row>
    <row r="23853" spans="3:3" x14ac:dyDescent="0.35">
      <c r="C23853" s="2"/>
    </row>
    <row r="23854" spans="3:3" x14ac:dyDescent="0.35">
      <c r="C23854" s="2"/>
    </row>
    <row r="23855" spans="3:3" x14ac:dyDescent="0.35">
      <c r="C23855" s="2"/>
    </row>
    <row r="23856" spans="3:3" x14ac:dyDescent="0.35">
      <c r="C23856" s="2"/>
    </row>
    <row r="23857" spans="3:3" x14ac:dyDescent="0.35">
      <c r="C23857" s="2"/>
    </row>
    <row r="23858" spans="3:3" x14ac:dyDescent="0.35">
      <c r="C23858" s="2"/>
    </row>
    <row r="23859" spans="3:3" x14ac:dyDescent="0.35">
      <c r="C23859" s="2"/>
    </row>
    <row r="23860" spans="3:3" x14ac:dyDescent="0.35">
      <c r="C23860" s="2"/>
    </row>
    <row r="23861" spans="3:3" x14ac:dyDescent="0.35">
      <c r="C23861" s="2"/>
    </row>
    <row r="23862" spans="3:3" x14ac:dyDescent="0.35">
      <c r="C23862" s="2"/>
    </row>
    <row r="23863" spans="3:3" x14ac:dyDescent="0.35">
      <c r="C23863" s="2"/>
    </row>
    <row r="23864" spans="3:3" x14ac:dyDescent="0.35">
      <c r="C23864" s="2"/>
    </row>
    <row r="23865" spans="3:3" x14ac:dyDescent="0.35">
      <c r="C23865" s="2"/>
    </row>
    <row r="23866" spans="3:3" x14ac:dyDescent="0.35">
      <c r="C23866" s="2"/>
    </row>
    <row r="23867" spans="3:3" x14ac:dyDescent="0.35">
      <c r="C23867" s="2"/>
    </row>
    <row r="23868" spans="3:3" x14ac:dyDescent="0.35">
      <c r="C23868" s="2"/>
    </row>
    <row r="23869" spans="3:3" x14ac:dyDescent="0.35">
      <c r="C23869" s="2"/>
    </row>
    <row r="23870" spans="3:3" x14ac:dyDescent="0.35">
      <c r="C23870" s="2"/>
    </row>
    <row r="23871" spans="3:3" x14ac:dyDescent="0.35">
      <c r="C23871" s="2"/>
    </row>
    <row r="23872" spans="3:3" x14ac:dyDescent="0.35">
      <c r="C23872" s="2"/>
    </row>
    <row r="23873" spans="3:3" x14ac:dyDescent="0.35">
      <c r="C23873" s="2"/>
    </row>
    <row r="23874" spans="3:3" x14ac:dyDescent="0.35">
      <c r="C23874" s="2"/>
    </row>
    <row r="23875" spans="3:3" x14ac:dyDescent="0.35">
      <c r="C23875" s="2"/>
    </row>
    <row r="23876" spans="3:3" x14ac:dyDescent="0.35">
      <c r="C23876" s="2"/>
    </row>
    <row r="23877" spans="3:3" x14ac:dyDescent="0.35">
      <c r="C23877" s="2"/>
    </row>
    <row r="23878" spans="3:3" x14ac:dyDescent="0.35">
      <c r="C23878" s="2"/>
    </row>
    <row r="23879" spans="3:3" x14ac:dyDescent="0.35">
      <c r="C23879" s="2"/>
    </row>
    <row r="23880" spans="3:3" x14ac:dyDescent="0.35">
      <c r="C23880" s="2"/>
    </row>
    <row r="23881" spans="3:3" x14ac:dyDescent="0.35">
      <c r="C23881" s="2"/>
    </row>
    <row r="23882" spans="3:3" x14ac:dyDescent="0.35">
      <c r="C23882" s="2"/>
    </row>
    <row r="23883" spans="3:3" x14ac:dyDescent="0.35">
      <c r="C23883" s="2"/>
    </row>
    <row r="23884" spans="3:3" x14ac:dyDescent="0.35">
      <c r="C23884" s="2"/>
    </row>
    <row r="23885" spans="3:3" x14ac:dyDescent="0.35">
      <c r="C23885" s="2"/>
    </row>
    <row r="23886" spans="3:3" x14ac:dyDescent="0.35">
      <c r="C23886" s="2"/>
    </row>
    <row r="23887" spans="3:3" x14ac:dyDescent="0.35">
      <c r="C23887" s="2"/>
    </row>
    <row r="23888" spans="3:3" x14ac:dyDescent="0.35">
      <c r="C23888" s="2"/>
    </row>
    <row r="23889" spans="3:3" x14ac:dyDescent="0.35">
      <c r="C23889" s="2"/>
    </row>
    <row r="23890" spans="3:3" x14ac:dyDescent="0.35">
      <c r="C23890" s="2"/>
    </row>
    <row r="23891" spans="3:3" x14ac:dyDescent="0.35">
      <c r="C23891" s="2"/>
    </row>
    <row r="23892" spans="3:3" x14ac:dyDescent="0.35">
      <c r="C23892" s="2"/>
    </row>
    <row r="23893" spans="3:3" x14ac:dyDescent="0.35">
      <c r="C23893" s="2"/>
    </row>
    <row r="23894" spans="3:3" x14ac:dyDescent="0.35">
      <c r="C23894" s="2"/>
    </row>
    <row r="23895" spans="3:3" x14ac:dyDescent="0.35">
      <c r="C23895" s="2"/>
    </row>
    <row r="23896" spans="3:3" x14ac:dyDescent="0.35">
      <c r="C23896" s="2"/>
    </row>
    <row r="23897" spans="3:3" x14ac:dyDescent="0.35">
      <c r="C23897" s="2"/>
    </row>
    <row r="23898" spans="3:3" x14ac:dyDescent="0.35">
      <c r="C23898" s="2"/>
    </row>
    <row r="23899" spans="3:3" x14ac:dyDescent="0.35">
      <c r="C23899" s="2"/>
    </row>
    <row r="23900" spans="3:3" x14ac:dyDescent="0.35">
      <c r="C23900" s="2"/>
    </row>
    <row r="23901" spans="3:3" x14ac:dyDescent="0.35">
      <c r="C23901" s="2"/>
    </row>
    <row r="23902" spans="3:3" x14ac:dyDescent="0.35">
      <c r="C23902" s="2"/>
    </row>
    <row r="23903" spans="3:3" x14ac:dyDescent="0.35">
      <c r="C23903" s="2"/>
    </row>
    <row r="23904" spans="3:3" x14ac:dyDescent="0.35">
      <c r="C23904" s="2"/>
    </row>
    <row r="23905" spans="3:3" x14ac:dyDescent="0.35">
      <c r="C23905" s="2"/>
    </row>
    <row r="23906" spans="3:3" x14ac:dyDescent="0.35">
      <c r="C23906" s="2"/>
    </row>
    <row r="23907" spans="3:3" x14ac:dyDescent="0.35">
      <c r="C23907" s="2"/>
    </row>
    <row r="23908" spans="3:3" x14ac:dyDescent="0.35">
      <c r="C23908" s="2"/>
    </row>
    <row r="23909" spans="3:3" x14ac:dyDescent="0.35">
      <c r="C23909" s="2"/>
    </row>
    <row r="23910" spans="3:3" x14ac:dyDescent="0.35">
      <c r="C23910" s="2"/>
    </row>
    <row r="23911" spans="3:3" x14ac:dyDescent="0.35">
      <c r="C23911" s="2"/>
    </row>
    <row r="23912" spans="3:3" x14ac:dyDescent="0.35">
      <c r="C23912" s="2"/>
    </row>
    <row r="23913" spans="3:3" x14ac:dyDescent="0.35">
      <c r="C23913" s="2"/>
    </row>
    <row r="23914" spans="3:3" x14ac:dyDescent="0.35">
      <c r="C23914" s="2"/>
    </row>
    <row r="23915" spans="3:3" x14ac:dyDescent="0.35">
      <c r="C23915" s="2"/>
    </row>
    <row r="23916" spans="3:3" x14ac:dyDescent="0.35">
      <c r="C23916" s="2"/>
    </row>
    <row r="23917" spans="3:3" x14ac:dyDescent="0.35">
      <c r="C23917" s="2"/>
    </row>
    <row r="23918" spans="3:3" x14ac:dyDescent="0.35">
      <c r="C23918" s="2"/>
    </row>
    <row r="23919" spans="3:3" x14ac:dyDescent="0.35">
      <c r="C23919" s="2"/>
    </row>
    <row r="23920" spans="3:3" x14ac:dyDescent="0.35">
      <c r="C23920" s="2"/>
    </row>
    <row r="23921" spans="3:3" x14ac:dyDescent="0.35">
      <c r="C23921" s="2"/>
    </row>
    <row r="23922" spans="3:3" x14ac:dyDescent="0.35">
      <c r="C23922" s="2"/>
    </row>
    <row r="23923" spans="3:3" x14ac:dyDescent="0.35">
      <c r="C23923" s="2"/>
    </row>
    <row r="23924" spans="3:3" x14ac:dyDescent="0.35">
      <c r="C23924" s="2"/>
    </row>
    <row r="23925" spans="3:3" x14ac:dyDescent="0.35">
      <c r="C23925" s="2"/>
    </row>
    <row r="23926" spans="3:3" x14ac:dyDescent="0.35">
      <c r="C23926" s="2"/>
    </row>
    <row r="23927" spans="3:3" x14ac:dyDescent="0.35">
      <c r="C23927" s="2"/>
    </row>
    <row r="23928" spans="3:3" x14ac:dyDescent="0.35">
      <c r="C23928" s="2"/>
    </row>
    <row r="23929" spans="3:3" x14ac:dyDescent="0.35">
      <c r="C23929" s="2"/>
    </row>
    <row r="23930" spans="3:3" x14ac:dyDescent="0.35">
      <c r="C23930" s="2"/>
    </row>
    <row r="23931" spans="3:3" x14ac:dyDescent="0.35">
      <c r="C23931" s="2"/>
    </row>
    <row r="23932" spans="3:3" x14ac:dyDescent="0.35">
      <c r="C23932" s="2"/>
    </row>
    <row r="23933" spans="3:3" x14ac:dyDescent="0.35">
      <c r="C23933" s="2"/>
    </row>
    <row r="23934" spans="3:3" x14ac:dyDescent="0.35">
      <c r="C23934" s="2"/>
    </row>
    <row r="23935" spans="3:3" x14ac:dyDescent="0.35">
      <c r="C23935" s="2"/>
    </row>
    <row r="23936" spans="3:3" x14ac:dyDescent="0.35">
      <c r="C23936" s="2"/>
    </row>
    <row r="23937" spans="3:3" x14ac:dyDescent="0.35">
      <c r="C23937" s="2"/>
    </row>
    <row r="23938" spans="3:3" x14ac:dyDescent="0.35">
      <c r="C23938" s="2"/>
    </row>
    <row r="23939" spans="3:3" x14ac:dyDescent="0.35">
      <c r="C23939" s="2"/>
    </row>
    <row r="23940" spans="3:3" x14ac:dyDescent="0.35">
      <c r="C23940" s="2"/>
    </row>
    <row r="23941" spans="3:3" x14ac:dyDescent="0.35">
      <c r="C23941" s="2"/>
    </row>
    <row r="23942" spans="3:3" x14ac:dyDescent="0.35">
      <c r="C23942" s="2"/>
    </row>
    <row r="23943" spans="3:3" x14ac:dyDescent="0.35">
      <c r="C23943" s="2"/>
    </row>
    <row r="23944" spans="3:3" x14ac:dyDescent="0.35">
      <c r="C23944" s="2"/>
    </row>
    <row r="23945" spans="3:3" x14ac:dyDescent="0.35">
      <c r="C23945" s="2"/>
    </row>
    <row r="23946" spans="3:3" x14ac:dyDescent="0.35">
      <c r="C23946" s="2"/>
    </row>
    <row r="23947" spans="3:3" x14ac:dyDescent="0.35">
      <c r="C23947" s="2"/>
    </row>
    <row r="23948" spans="3:3" x14ac:dyDescent="0.35">
      <c r="C23948" s="2"/>
    </row>
    <row r="23949" spans="3:3" x14ac:dyDescent="0.35">
      <c r="C23949" s="2"/>
    </row>
    <row r="23950" spans="3:3" x14ac:dyDescent="0.35">
      <c r="C23950" s="2"/>
    </row>
    <row r="23951" spans="3:3" x14ac:dyDescent="0.35">
      <c r="C23951" s="2"/>
    </row>
    <row r="23952" spans="3:3" x14ac:dyDescent="0.35">
      <c r="C23952" s="2"/>
    </row>
    <row r="23953" spans="3:3" x14ac:dyDescent="0.35">
      <c r="C23953" s="2"/>
    </row>
    <row r="23954" spans="3:3" x14ac:dyDescent="0.35">
      <c r="C23954" s="2"/>
    </row>
    <row r="23955" spans="3:3" x14ac:dyDescent="0.35">
      <c r="C23955" s="2"/>
    </row>
    <row r="23956" spans="3:3" x14ac:dyDescent="0.35">
      <c r="C23956" s="2"/>
    </row>
    <row r="23957" spans="3:3" x14ac:dyDescent="0.35">
      <c r="C23957" s="2"/>
    </row>
    <row r="23958" spans="3:3" x14ac:dyDescent="0.35">
      <c r="C23958" s="2"/>
    </row>
    <row r="23959" spans="3:3" x14ac:dyDescent="0.35">
      <c r="C23959" s="2"/>
    </row>
    <row r="23960" spans="3:3" x14ac:dyDescent="0.35">
      <c r="C23960" s="2"/>
    </row>
    <row r="23961" spans="3:3" x14ac:dyDescent="0.35">
      <c r="C23961" s="2"/>
    </row>
    <row r="23962" spans="3:3" x14ac:dyDescent="0.35">
      <c r="C23962" s="2"/>
    </row>
    <row r="23963" spans="3:3" x14ac:dyDescent="0.35">
      <c r="C23963" s="2"/>
    </row>
    <row r="23964" spans="3:3" x14ac:dyDescent="0.35">
      <c r="C23964" s="2"/>
    </row>
    <row r="23965" spans="3:3" x14ac:dyDescent="0.35">
      <c r="C23965" s="2"/>
    </row>
    <row r="23966" spans="3:3" x14ac:dyDescent="0.35">
      <c r="C23966" s="2"/>
    </row>
    <row r="23967" spans="3:3" x14ac:dyDescent="0.35">
      <c r="C23967" s="2"/>
    </row>
    <row r="23968" spans="3:3" x14ac:dyDescent="0.35">
      <c r="C23968" s="2"/>
    </row>
    <row r="23969" spans="3:3" x14ac:dyDescent="0.35">
      <c r="C23969" s="2"/>
    </row>
    <row r="23970" spans="3:3" x14ac:dyDescent="0.35">
      <c r="C23970" s="2"/>
    </row>
    <row r="23971" spans="3:3" x14ac:dyDescent="0.35">
      <c r="C23971" s="2"/>
    </row>
    <row r="23972" spans="3:3" x14ac:dyDescent="0.35">
      <c r="C23972" s="2"/>
    </row>
    <row r="23973" spans="3:3" x14ac:dyDescent="0.35">
      <c r="C23973" s="2"/>
    </row>
    <row r="23974" spans="3:3" x14ac:dyDescent="0.35">
      <c r="C23974" s="2"/>
    </row>
    <row r="23975" spans="3:3" x14ac:dyDescent="0.35">
      <c r="C23975" s="2"/>
    </row>
    <row r="23976" spans="3:3" x14ac:dyDescent="0.35">
      <c r="C23976" s="2"/>
    </row>
    <row r="23977" spans="3:3" x14ac:dyDescent="0.35">
      <c r="C23977" s="2"/>
    </row>
    <row r="23978" spans="3:3" x14ac:dyDescent="0.35">
      <c r="C23978" s="2"/>
    </row>
    <row r="23979" spans="3:3" x14ac:dyDescent="0.35">
      <c r="C23979" s="2"/>
    </row>
    <row r="23980" spans="3:3" x14ac:dyDescent="0.35">
      <c r="C23980" s="2"/>
    </row>
    <row r="23981" spans="3:3" x14ac:dyDescent="0.35">
      <c r="C23981" s="2"/>
    </row>
    <row r="23982" spans="3:3" x14ac:dyDescent="0.35">
      <c r="C23982" s="2"/>
    </row>
    <row r="23983" spans="3:3" x14ac:dyDescent="0.35">
      <c r="C23983" s="2"/>
    </row>
    <row r="23984" spans="3:3" x14ac:dyDescent="0.35">
      <c r="C23984" s="2"/>
    </row>
    <row r="23985" spans="3:3" x14ac:dyDescent="0.35">
      <c r="C23985" s="2"/>
    </row>
    <row r="23986" spans="3:3" x14ac:dyDescent="0.35">
      <c r="C23986" s="2"/>
    </row>
    <row r="23987" spans="3:3" x14ac:dyDescent="0.35">
      <c r="C23987" s="2"/>
    </row>
    <row r="23988" spans="3:3" x14ac:dyDescent="0.35">
      <c r="C23988" s="2"/>
    </row>
    <row r="23989" spans="3:3" x14ac:dyDescent="0.35">
      <c r="C23989" s="2"/>
    </row>
    <row r="23990" spans="3:3" x14ac:dyDescent="0.35">
      <c r="C23990" s="2"/>
    </row>
    <row r="23991" spans="3:3" x14ac:dyDescent="0.35">
      <c r="C23991" s="2"/>
    </row>
    <row r="23992" spans="3:3" x14ac:dyDescent="0.35">
      <c r="C23992" s="2"/>
    </row>
    <row r="23993" spans="3:3" x14ac:dyDescent="0.35">
      <c r="C23993" s="2"/>
    </row>
    <row r="23994" spans="3:3" x14ac:dyDescent="0.35">
      <c r="C23994" s="2"/>
    </row>
    <row r="23995" spans="3:3" x14ac:dyDescent="0.35">
      <c r="C23995" s="2"/>
    </row>
    <row r="23996" spans="3:3" x14ac:dyDescent="0.35">
      <c r="C23996" s="2"/>
    </row>
    <row r="23997" spans="3:3" x14ac:dyDescent="0.35">
      <c r="C23997" s="2"/>
    </row>
    <row r="23998" spans="3:3" x14ac:dyDescent="0.35">
      <c r="C23998" s="2"/>
    </row>
    <row r="23999" spans="3:3" x14ac:dyDescent="0.35">
      <c r="C23999" s="2"/>
    </row>
    <row r="24000" spans="3:3" x14ac:dyDescent="0.35">
      <c r="C24000" s="2"/>
    </row>
    <row r="24001" spans="3:3" x14ac:dyDescent="0.35">
      <c r="C24001" s="2"/>
    </row>
    <row r="24002" spans="3:3" x14ac:dyDescent="0.35">
      <c r="C24002" s="2"/>
    </row>
    <row r="24003" spans="3:3" x14ac:dyDescent="0.35">
      <c r="C24003" s="2"/>
    </row>
    <row r="24004" spans="3:3" x14ac:dyDescent="0.35">
      <c r="C24004" s="2"/>
    </row>
    <row r="24005" spans="3:3" x14ac:dyDescent="0.35">
      <c r="C24005" s="2"/>
    </row>
    <row r="24006" spans="3:3" x14ac:dyDescent="0.35">
      <c r="C24006" s="2"/>
    </row>
    <row r="24007" spans="3:3" x14ac:dyDescent="0.35">
      <c r="C24007" s="2"/>
    </row>
    <row r="24008" spans="3:3" x14ac:dyDescent="0.35">
      <c r="C24008" s="2"/>
    </row>
    <row r="24009" spans="3:3" x14ac:dyDescent="0.35">
      <c r="C24009" s="2"/>
    </row>
    <row r="24010" spans="3:3" x14ac:dyDescent="0.35">
      <c r="C24010" s="2"/>
    </row>
    <row r="24011" spans="3:3" x14ac:dyDescent="0.35">
      <c r="C24011" s="2"/>
    </row>
    <row r="24012" spans="3:3" x14ac:dyDescent="0.35">
      <c r="C24012" s="2"/>
    </row>
    <row r="24013" spans="3:3" x14ac:dyDescent="0.35">
      <c r="C24013" s="2"/>
    </row>
    <row r="24014" spans="3:3" x14ac:dyDescent="0.35">
      <c r="C24014" s="2"/>
    </row>
    <row r="24015" spans="3:3" x14ac:dyDescent="0.35">
      <c r="C24015" s="2"/>
    </row>
    <row r="24016" spans="3:3" x14ac:dyDescent="0.35">
      <c r="C24016" s="2"/>
    </row>
    <row r="24017" spans="3:3" x14ac:dyDescent="0.35">
      <c r="C24017" s="2"/>
    </row>
    <row r="24018" spans="3:3" x14ac:dyDescent="0.35">
      <c r="C24018" s="2"/>
    </row>
    <row r="24019" spans="3:3" x14ac:dyDescent="0.35">
      <c r="C24019" s="2"/>
    </row>
    <row r="24020" spans="3:3" x14ac:dyDescent="0.35">
      <c r="C24020" s="2"/>
    </row>
    <row r="24021" spans="3:3" x14ac:dyDescent="0.35">
      <c r="C24021" s="2"/>
    </row>
    <row r="24022" spans="3:3" x14ac:dyDescent="0.35">
      <c r="C24022" s="2"/>
    </row>
    <row r="24023" spans="3:3" x14ac:dyDescent="0.35">
      <c r="C24023" s="2"/>
    </row>
    <row r="24024" spans="3:3" x14ac:dyDescent="0.35">
      <c r="C24024" s="2"/>
    </row>
    <row r="24025" spans="3:3" x14ac:dyDescent="0.35">
      <c r="C24025" s="2"/>
    </row>
    <row r="24026" spans="3:3" x14ac:dyDescent="0.35">
      <c r="C24026" s="2"/>
    </row>
    <row r="24027" spans="3:3" x14ac:dyDescent="0.35">
      <c r="C24027" s="2"/>
    </row>
    <row r="24028" spans="3:3" x14ac:dyDescent="0.35">
      <c r="C24028" s="2"/>
    </row>
    <row r="24029" spans="3:3" x14ac:dyDescent="0.35">
      <c r="C24029" s="2"/>
    </row>
    <row r="24030" spans="3:3" x14ac:dyDescent="0.35">
      <c r="C24030" s="2"/>
    </row>
    <row r="24031" spans="3:3" x14ac:dyDescent="0.35">
      <c r="C24031" s="2"/>
    </row>
    <row r="24032" spans="3:3" x14ac:dyDescent="0.35">
      <c r="C24032" s="2"/>
    </row>
    <row r="24033" spans="3:3" x14ac:dyDescent="0.35">
      <c r="C24033" s="2"/>
    </row>
    <row r="24034" spans="3:3" x14ac:dyDescent="0.35">
      <c r="C24034" s="2"/>
    </row>
    <row r="24035" spans="3:3" x14ac:dyDescent="0.35">
      <c r="C24035" s="2"/>
    </row>
    <row r="24036" spans="3:3" x14ac:dyDescent="0.35">
      <c r="C24036" s="2"/>
    </row>
    <row r="24037" spans="3:3" x14ac:dyDescent="0.35">
      <c r="C24037" s="2"/>
    </row>
    <row r="24038" spans="3:3" x14ac:dyDescent="0.35">
      <c r="C24038" s="2"/>
    </row>
    <row r="24039" spans="3:3" x14ac:dyDescent="0.35">
      <c r="C24039" s="2"/>
    </row>
    <row r="24040" spans="3:3" x14ac:dyDescent="0.35">
      <c r="C24040" s="2"/>
    </row>
    <row r="24041" spans="3:3" x14ac:dyDescent="0.35">
      <c r="C24041" s="2"/>
    </row>
    <row r="24042" spans="3:3" x14ac:dyDescent="0.35">
      <c r="C24042" s="2"/>
    </row>
    <row r="24043" spans="3:3" x14ac:dyDescent="0.35">
      <c r="C24043" s="2"/>
    </row>
    <row r="24044" spans="3:3" x14ac:dyDescent="0.35">
      <c r="C24044" s="2"/>
    </row>
    <row r="24045" spans="3:3" x14ac:dyDescent="0.35">
      <c r="C24045" s="2"/>
    </row>
    <row r="24046" spans="3:3" x14ac:dyDescent="0.35">
      <c r="C24046" s="2"/>
    </row>
    <row r="24047" spans="3:3" x14ac:dyDescent="0.35">
      <c r="C24047" s="2"/>
    </row>
    <row r="24048" spans="3:3" x14ac:dyDescent="0.35">
      <c r="C24048" s="2"/>
    </row>
    <row r="24049" spans="3:3" x14ac:dyDescent="0.35">
      <c r="C24049" s="2"/>
    </row>
    <row r="24050" spans="3:3" x14ac:dyDescent="0.35">
      <c r="C24050" s="2"/>
    </row>
    <row r="24051" spans="3:3" x14ac:dyDescent="0.35">
      <c r="C24051" s="2"/>
    </row>
    <row r="24052" spans="3:3" x14ac:dyDescent="0.35">
      <c r="C24052" s="2"/>
    </row>
    <row r="24053" spans="3:3" x14ac:dyDescent="0.35">
      <c r="C24053" s="2"/>
    </row>
    <row r="24054" spans="3:3" x14ac:dyDescent="0.35">
      <c r="C24054" s="2"/>
    </row>
    <row r="24055" spans="3:3" x14ac:dyDescent="0.35">
      <c r="C24055" s="2"/>
    </row>
    <row r="24056" spans="3:3" x14ac:dyDescent="0.35">
      <c r="C24056" s="2"/>
    </row>
    <row r="24057" spans="3:3" x14ac:dyDescent="0.35">
      <c r="C24057" s="2"/>
    </row>
    <row r="24058" spans="3:3" x14ac:dyDescent="0.35">
      <c r="C24058" s="2"/>
    </row>
    <row r="24059" spans="3:3" x14ac:dyDescent="0.35">
      <c r="C24059" s="2"/>
    </row>
    <row r="24060" spans="3:3" x14ac:dyDescent="0.35">
      <c r="C24060" s="2"/>
    </row>
    <row r="24061" spans="3:3" x14ac:dyDescent="0.35">
      <c r="C24061" s="2"/>
    </row>
    <row r="24062" spans="3:3" x14ac:dyDescent="0.35">
      <c r="C24062" s="2"/>
    </row>
    <row r="24063" spans="3:3" x14ac:dyDescent="0.35">
      <c r="C24063" s="2"/>
    </row>
    <row r="24064" spans="3:3" x14ac:dyDescent="0.35">
      <c r="C24064" s="2"/>
    </row>
    <row r="24065" spans="3:3" x14ac:dyDescent="0.35">
      <c r="C24065" s="2"/>
    </row>
    <row r="24066" spans="3:3" x14ac:dyDescent="0.35">
      <c r="C24066" s="2"/>
    </row>
    <row r="24067" spans="3:3" x14ac:dyDescent="0.35">
      <c r="C24067" s="2"/>
    </row>
    <row r="24068" spans="3:3" x14ac:dyDescent="0.35">
      <c r="C24068" s="2"/>
    </row>
    <row r="24069" spans="3:3" x14ac:dyDescent="0.35">
      <c r="C24069" s="2"/>
    </row>
    <row r="24070" spans="3:3" x14ac:dyDescent="0.35">
      <c r="C24070" s="2"/>
    </row>
    <row r="24071" spans="3:3" x14ac:dyDescent="0.35">
      <c r="C24071" s="2"/>
    </row>
    <row r="24072" spans="3:3" x14ac:dyDescent="0.35">
      <c r="C24072" s="2"/>
    </row>
    <row r="24073" spans="3:3" x14ac:dyDescent="0.35">
      <c r="C24073" s="2"/>
    </row>
    <row r="24074" spans="3:3" x14ac:dyDescent="0.35">
      <c r="C24074" s="2"/>
    </row>
    <row r="24075" spans="3:3" x14ac:dyDescent="0.35">
      <c r="C24075" s="2"/>
    </row>
    <row r="24076" spans="3:3" x14ac:dyDescent="0.35">
      <c r="C24076" s="2"/>
    </row>
    <row r="24077" spans="3:3" x14ac:dyDescent="0.35">
      <c r="C24077" s="2"/>
    </row>
    <row r="24078" spans="3:3" x14ac:dyDescent="0.35">
      <c r="C24078" s="2"/>
    </row>
    <row r="24079" spans="3:3" x14ac:dyDescent="0.35">
      <c r="C24079" s="2"/>
    </row>
    <row r="24080" spans="3:3" x14ac:dyDescent="0.35">
      <c r="C24080" s="2"/>
    </row>
    <row r="24081" spans="3:3" x14ac:dyDescent="0.35">
      <c r="C24081" s="2"/>
    </row>
    <row r="24082" spans="3:3" x14ac:dyDescent="0.35">
      <c r="C24082" s="2"/>
    </row>
    <row r="24083" spans="3:3" x14ac:dyDescent="0.35">
      <c r="C24083" s="2"/>
    </row>
    <row r="24084" spans="3:3" x14ac:dyDescent="0.35">
      <c r="C24084" s="2"/>
    </row>
    <row r="24085" spans="3:3" x14ac:dyDescent="0.35">
      <c r="C24085" s="2"/>
    </row>
    <row r="24086" spans="3:3" x14ac:dyDescent="0.35">
      <c r="C24086" s="2"/>
    </row>
    <row r="24087" spans="3:3" x14ac:dyDescent="0.35">
      <c r="C24087" s="2"/>
    </row>
    <row r="24088" spans="3:3" x14ac:dyDescent="0.35">
      <c r="C24088" s="2"/>
    </row>
    <row r="24089" spans="3:3" x14ac:dyDescent="0.35">
      <c r="C24089" s="2"/>
    </row>
    <row r="24090" spans="3:3" x14ac:dyDescent="0.35">
      <c r="C24090" s="2"/>
    </row>
    <row r="24091" spans="3:3" x14ac:dyDescent="0.35">
      <c r="C24091" s="2"/>
    </row>
    <row r="24092" spans="3:3" x14ac:dyDescent="0.35">
      <c r="C24092" s="2"/>
    </row>
    <row r="24093" spans="3:3" x14ac:dyDescent="0.35">
      <c r="C24093" s="2"/>
    </row>
    <row r="24094" spans="3:3" x14ac:dyDescent="0.35">
      <c r="C24094" s="2"/>
    </row>
    <row r="24095" spans="3:3" x14ac:dyDescent="0.35">
      <c r="C24095" s="2"/>
    </row>
    <row r="24096" spans="3:3" x14ac:dyDescent="0.35">
      <c r="C24096" s="2"/>
    </row>
    <row r="24097" spans="3:3" x14ac:dyDescent="0.35">
      <c r="C24097" s="2"/>
    </row>
    <row r="24098" spans="3:3" x14ac:dyDescent="0.35">
      <c r="C24098" s="2"/>
    </row>
    <row r="24099" spans="3:3" x14ac:dyDescent="0.35">
      <c r="C24099" s="2"/>
    </row>
    <row r="24100" spans="3:3" x14ac:dyDescent="0.35">
      <c r="C24100" s="2"/>
    </row>
    <row r="24101" spans="3:3" x14ac:dyDescent="0.35">
      <c r="C24101" s="2"/>
    </row>
    <row r="24102" spans="3:3" x14ac:dyDescent="0.35">
      <c r="C24102" s="2"/>
    </row>
    <row r="24103" spans="3:3" x14ac:dyDescent="0.35">
      <c r="C24103" s="2"/>
    </row>
    <row r="24104" spans="3:3" x14ac:dyDescent="0.35">
      <c r="C24104" s="2"/>
    </row>
    <row r="24105" spans="3:3" x14ac:dyDescent="0.35">
      <c r="C24105" s="2"/>
    </row>
    <row r="24106" spans="3:3" x14ac:dyDescent="0.35">
      <c r="C24106" s="2"/>
    </row>
    <row r="24107" spans="3:3" x14ac:dyDescent="0.35">
      <c r="C24107" s="2"/>
    </row>
    <row r="24108" spans="3:3" x14ac:dyDescent="0.35">
      <c r="C24108" s="2"/>
    </row>
    <row r="24109" spans="3:3" x14ac:dyDescent="0.35">
      <c r="C24109" s="2"/>
    </row>
    <row r="24110" spans="3:3" x14ac:dyDescent="0.35">
      <c r="C24110" s="2"/>
    </row>
    <row r="24111" spans="3:3" x14ac:dyDescent="0.35">
      <c r="C24111" s="2"/>
    </row>
    <row r="24112" spans="3:3" x14ac:dyDescent="0.35">
      <c r="C24112" s="2"/>
    </row>
    <row r="24113" spans="3:3" x14ac:dyDescent="0.35">
      <c r="C24113" s="2"/>
    </row>
    <row r="24114" spans="3:3" x14ac:dyDescent="0.35">
      <c r="C24114" s="2"/>
    </row>
    <row r="24115" spans="3:3" x14ac:dyDescent="0.35">
      <c r="C24115" s="2"/>
    </row>
    <row r="24116" spans="3:3" x14ac:dyDescent="0.35">
      <c r="C24116" s="2"/>
    </row>
    <row r="24117" spans="3:3" x14ac:dyDescent="0.35">
      <c r="C24117" s="2"/>
    </row>
    <row r="24118" spans="3:3" x14ac:dyDescent="0.35">
      <c r="C24118" s="2"/>
    </row>
    <row r="24119" spans="3:3" x14ac:dyDescent="0.35">
      <c r="C24119" s="2"/>
    </row>
    <row r="24120" spans="3:3" x14ac:dyDescent="0.35">
      <c r="C24120" s="2"/>
    </row>
    <row r="24121" spans="3:3" x14ac:dyDescent="0.35">
      <c r="C24121" s="2"/>
    </row>
    <row r="24122" spans="3:3" x14ac:dyDescent="0.35">
      <c r="C24122" s="2"/>
    </row>
    <row r="24123" spans="3:3" x14ac:dyDescent="0.35">
      <c r="C24123" s="2"/>
    </row>
    <row r="24124" spans="3:3" x14ac:dyDescent="0.35">
      <c r="C24124" s="2"/>
    </row>
    <row r="24125" spans="3:3" x14ac:dyDescent="0.35">
      <c r="C24125" s="2"/>
    </row>
    <row r="24126" spans="3:3" x14ac:dyDescent="0.35">
      <c r="C24126" s="2"/>
    </row>
    <row r="24127" spans="3:3" x14ac:dyDescent="0.35">
      <c r="C24127" s="2"/>
    </row>
    <row r="24128" spans="3:3" x14ac:dyDescent="0.35">
      <c r="C24128" s="2"/>
    </row>
    <row r="24129" spans="3:3" x14ac:dyDescent="0.35">
      <c r="C24129" s="2"/>
    </row>
    <row r="24130" spans="3:3" x14ac:dyDescent="0.35">
      <c r="C24130" s="2"/>
    </row>
    <row r="24131" spans="3:3" x14ac:dyDescent="0.35">
      <c r="C24131" s="2"/>
    </row>
    <row r="24132" spans="3:3" x14ac:dyDescent="0.35">
      <c r="C24132" s="2"/>
    </row>
    <row r="24133" spans="3:3" x14ac:dyDescent="0.35">
      <c r="C24133" s="2"/>
    </row>
    <row r="24134" spans="3:3" x14ac:dyDescent="0.35">
      <c r="C24134" s="2"/>
    </row>
    <row r="24135" spans="3:3" x14ac:dyDescent="0.35">
      <c r="C24135" s="2"/>
    </row>
    <row r="24136" spans="3:3" x14ac:dyDescent="0.35">
      <c r="C24136" s="2"/>
    </row>
    <row r="24137" spans="3:3" x14ac:dyDescent="0.35">
      <c r="C24137" s="2"/>
    </row>
    <row r="24138" spans="3:3" x14ac:dyDescent="0.35">
      <c r="C24138" s="2"/>
    </row>
    <row r="24139" spans="3:3" x14ac:dyDescent="0.35">
      <c r="C24139" s="2"/>
    </row>
    <row r="24140" spans="3:3" x14ac:dyDescent="0.35">
      <c r="C24140" s="2"/>
    </row>
    <row r="24141" spans="3:3" x14ac:dyDescent="0.35">
      <c r="C24141" s="2"/>
    </row>
    <row r="24142" spans="3:3" x14ac:dyDescent="0.35">
      <c r="C24142" s="2"/>
    </row>
    <row r="24143" spans="3:3" x14ac:dyDescent="0.35">
      <c r="C24143" s="2"/>
    </row>
    <row r="24144" spans="3:3" x14ac:dyDescent="0.35">
      <c r="C24144" s="2"/>
    </row>
    <row r="24145" spans="3:3" x14ac:dyDescent="0.35">
      <c r="C24145" s="2"/>
    </row>
    <row r="24146" spans="3:3" x14ac:dyDescent="0.35">
      <c r="C24146" s="2"/>
    </row>
    <row r="24147" spans="3:3" x14ac:dyDescent="0.35">
      <c r="C24147" s="2"/>
    </row>
    <row r="24148" spans="3:3" x14ac:dyDescent="0.35">
      <c r="C24148" s="2"/>
    </row>
    <row r="24149" spans="3:3" x14ac:dyDescent="0.35">
      <c r="C24149" s="2"/>
    </row>
    <row r="24150" spans="3:3" x14ac:dyDescent="0.35">
      <c r="C24150" s="2"/>
    </row>
    <row r="24151" spans="3:3" x14ac:dyDescent="0.35">
      <c r="C24151" s="2"/>
    </row>
    <row r="24152" spans="3:3" x14ac:dyDescent="0.35">
      <c r="C24152" s="2"/>
    </row>
    <row r="24153" spans="3:3" x14ac:dyDescent="0.35">
      <c r="C24153" s="2"/>
    </row>
    <row r="24154" spans="3:3" x14ac:dyDescent="0.35">
      <c r="C24154" s="2"/>
    </row>
    <row r="24155" spans="3:3" x14ac:dyDescent="0.35">
      <c r="C24155" s="2"/>
    </row>
    <row r="24156" spans="3:3" x14ac:dyDescent="0.35">
      <c r="C24156" s="2"/>
    </row>
    <row r="24157" spans="3:3" x14ac:dyDescent="0.35">
      <c r="C24157" s="2"/>
    </row>
    <row r="24158" spans="3:3" x14ac:dyDescent="0.35">
      <c r="C24158" s="2"/>
    </row>
    <row r="24159" spans="3:3" x14ac:dyDescent="0.35">
      <c r="C24159" s="2"/>
    </row>
    <row r="24160" spans="3:3" x14ac:dyDescent="0.35">
      <c r="C24160" s="2"/>
    </row>
    <row r="24161" spans="3:3" x14ac:dyDescent="0.35">
      <c r="C24161" s="2"/>
    </row>
    <row r="24162" spans="3:3" x14ac:dyDescent="0.35">
      <c r="C24162" s="2"/>
    </row>
    <row r="24163" spans="3:3" x14ac:dyDescent="0.35">
      <c r="C24163" s="2"/>
    </row>
    <row r="24164" spans="3:3" x14ac:dyDescent="0.35">
      <c r="C24164" s="2"/>
    </row>
    <row r="24165" spans="3:3" x14ac:dyDescent="0.35">
      <c r="C24165" s="2"/>
    </row>
    <row r="24166" spans="3:3" x14ac:dyDescent="0.35">
      <c r="C24166" s="2"/>
    </row>
    <row r="24167" spans="3:3" x14ac:dyDescent="0.35">
      <c r="C24167" s="2"/>
    </row>
    <row r="24168" spans="3:3" x14ac:dyDescent="0.35">
      <c r="C24168" s="2"/>
    </row>
    <row r="24169" spans="3:3" x14ac:dyDescent="0.35">
      <c r="C24169" s="2"/>
    </row>
    <row r="24170" spans="3:3" x14ac:dyDescent="0.35">
      <c r="C24170" s="2"/>
    </row>
    <row r="24171" spans="3:3" x14ac:dyDescent="0.35">
      <c r="C24171" s="2"/>
    </row>
    <row r="24172" spans="3:3" x14ac:dyDescent="0.35">
      <c r="C24172" s="2"/>
    </row>
    <row r="24173" spans="3:3" x14ac:dyDescent="0.35">
      <c r="C24173" s="2"/>
    </row>
    <row r="24174" spans="3:3" x14ac:dyDescent="0.35">
      <c r="C24174" s="2"/>
    </row>
    <row r="24175" spans="3:3" x14ac:dyDescent="0.35">
      <c r="C24175" s="2"/>
    </row>
    <row r="24176" spans="3:3" x14ac:dyDescent="0.35">
      <c r="C24176" s="2"/>
    </row>
    <row r="24177" spans="3:3" x14ac:dyDescent="0.35">
      <c r="C24177" s="2"/>
    </row>
    <row r="24178" spans="3:3" x14ac:dyDescent="0.35">
      <c r="C24178" s="2"/>
    </row>
    <row r="24179" spans="3:3" x14ac:dyDescent="0.35">
      <c r="C24179" s="2"/>
    </row>
    <row r="24180" spans="3:3" x14ac:dyDescent="0.35">
      <c r="C24180" s="2"/>
    </row>
    <row r="24181" spans="3:3" x14ac:dyDescent="0.35">
      <c r="C24181" s="2"/>
    </row>
    <row r="24182" spans="3:3" x14ac:dyDescent="0.35">
      <c r="C24182" s="2"/>
    </row>
    <row r="24183" spans="3:3" x14ac:dyDescent="0.35">
      <c r="C24183" s="2"/>
    </row>
    <row r="24184" spans="3:3" x14ac:dyDescent="0.35">
      <c r="C24184" s="2"/>
    </row>
    <row r="24185" spans="3:3" x14ac:dyDescent="0.35">
      <c r="C24185" s="2"/>
    </row>
    <row r="24186" spans="3:3" x14ac:dyDescent="0.35">
      <c r="C24186" s="2"/>
    </row>
    <row r="24187" spans="3:3" x14ac:dyDescent="0.35">
      <c r="C24187" s="2"/>
    </row>
    <row r="24188" spans="3:3" x14ac:dyDescent="0.35">
      <c r="C24188" s="2"/>
    </row>
    <row r="24189" spans="3:3" x14ac:dyDescent="0.35">
      <c r="C24189" s="2"/>
    </row>
    <row r="24190" spans="3:3" x14ac:dyDescent="0.35">
      <c r="C24190" s="2"/>
    </row>
    <row r="24191" spans="3:3" x14ac:dyDescent="0.35">
      <c r="C24191" s="2"/>
    </row>
    <row r="24192" spans="3:3" x14ac:dyDescent="0.35">
      <c r="C24192" s="2"/>
    </row>
    <row r="24193" spans="3:3" x14ac:dyDescent="0.35">
      <c r="C24193" s="2"/>
    </row>
    <row r="24194" spans="3:3" x14ac:dyDescent="0.35">
      <c r="C24194" s="2"/>
    </row>
    <row r="24195" spans="3:3" x14ac:dyDescent="0.35">
      <c r="C24195" s="2"/>
    </row>
    <row r="24196" spans="3:3" x14ac:dyDescent="0.35">
      <c r="C24196" s="2"/>
    </row>
    <row r="24197" spans="3:3" x14ac:dyDescent="0.35">
      <c r="C24197" s="2"/>
    </row>
    <row r="24198" spans="3:3" x14ac:dyDescent="0.35">
      <c r="C24198" s="2"/>
    </row>
    <row r="24199" spans="3:3" x14ac:dyDescent="0.35">
      <c r="C24199" s="2"/>
    </row>
    <row r="24200" spans="3:3" x14ac:dyDescent="0.35">
      <c r="C24200" s="2"/>
    </row>
    <row r="24201" spans="3:3" x14ac:dyDescent="0.35">
      <c r="C24201" s="2"/>
    </row>
    <row r="24202" spans="3:3" x14ac:dyDescent="0.35">
      <c r="C24202" s="2"/>
    </row>
    <row r="24203" spans="3:3" x14ac:dyDescent="0.35">
      <c r="C24203" s="2"/>
    </row>
    <row r="24204" spans="3:3" x14ac:dyDescent="0.35">
      <c r="C24204" s="2"/>
    </row>
    <row r="24205" spans="3:3" x14ac:dyDescent="0.35">
      <c r="C24205" s="2"/>
    </row>
    <row r="24206" spans="3:3" x14ac:dyDescent="0.35">
      <c r="C24206" s="2"/>
    </row>
    <row r="24207" spans="3:3" x14ac:dyDescent="0.35">
      <c r="C24207" s="2"/>
    </row>
    <row r="24208" spans="3:3" x14ac:dyDescent="0.35">
      <c r="C24208" s="2"/>
    </row>
    <row r="24209" spans="3:3" x14ac:dyDescent="0.35">
      <c r="C24209" s="2"/>
    </row>
    <row r="24210" spans="3:3" x14ac:dyDescent="0.35">
      <c r="C24210" s="2"/>
    </row>
    <row r="24211" spans="3:3" x14ac:dyDescent="0.35">
      <c r="C24211" s="2"/>
    </row>
    <row r="24212" spans="3:3" x14ac:dyDescent="0.35">
      <c r="C24212" s="2"/>
    </row>
    <row r="24213" spans="3:3" x14ac:dyDescent="0.35">
      <c r="C24213" s="2"/>
    </row>
    <row r="24214" spans="3:3" x14ac:dyDescent="0.35">
      <c r="C24214" s="2"/>
    </row>
    <row r="24215" spans="3:3" x14ac:dyDescent="0.35">
      <c r="C24215" s="2"/>
    </row>
    <row r="24216" spans="3:3" x14ac:dyDescent="0.35">
      <c r="C24216" s="2"/>
    </row>
    <row r="24217" spans="3:3" x14ac:dyDescent="0.35">
      <c r="C24217" s="2"/>
    </row>
    <row r="24218" spans="3:3" x14ac:dyDescent="0.35">
      <c r="C24218" s="2"/>
    </row>
    <row r="24219" spans="3:3" x14ac:dyDescent="0.35">
      <c r="C24219" s="2"/>
    </row>
    <row r="24220" spans="3:3" x14ac:dyDescent="0.35">
      <c r="C24220" s="2"/>
    </row>
    <row r="24221" spans="3:3" x14ac:dyDescent="0.35">
      <c r="C24221" s="2"/>
    </row>
    <row r="24222" spans="3:3" x14ac:dyDescent="0.35">
      <c r="C24222" s="2"/>
    </row>
    <row r="24223" spans="3:3" x14ac:dyDescent="0.35">
      <c r="C24223" s="2"/>
    </row>
    <row r="24224" spans="3:3" x14ac:dyDescent="0.35">
      <c r="C24224" s="2"/>
    </row>
    <row r="24225" spans="3:3" x14ac:dyDescent="0.35">
      <c r="C24225" s="2"/>
    </row>
    <row r="24226" spans="3:3" x14ac:dyDescent="0.35">
      <c r="C24226" s="2"/>
    </row>
    <row r="24227" spans="3:3" x14ac:dyDescent="0.35">
      <c r="C24227" s="2"/>
    </row>
    <row r="24228" spans="3:3" x14ac:dyDescent="0.35">
      <c r="C24228" s="2"/>
    </row>
    <row r="24229" spans="3:3" x14ac:dyDescent="0.35">
      <c r="C24229" s="2"/>
    </row>
    <row r="24230" spans="3:3" x14ac:dyDescent="0.35">
      <c r="C24230" s="2"/>
    </row>
    <row r="24231" spans="3:3" x14ac:dyDescent="0.35">
      <c r="C24231" s="2"/>
    </row>
    <row r="24232" spans="3:3" x14ac:dyDescent="0.35">
      <c r="C24232" s="2"/>
    </row>
    <row r="24233" spans="3:3" x14ac:dyDescent="0.35">
      <c r="C24233" s="2"/>
    </row>
    <row r="24234" spans="3:3" x14ac:dyDescent="0.35">
      <c r="C24234" s="2"/>
    </row>
    <row r="24235" spans="3:3" x14ac:dyDescent="0.35">
      <c r="C24235" s="2"/>
    </row>
    <row r="24236" spans="3:3" x14ac:dyDescent="0.35">
      <c r="C24236" s="2"/>
    </row>
    <row r="24237" spans="3:3" x14ac:dyDescent="0.35">
      <c r="C24237" s="2"/>
    </row>
    <row r="24238" spans="3:3" x14ac:dyDescent="0.35">
      <c r="C24238" s="2"/>
    </row>
    <row r="24239" spans="3:3" x14ac:dyDescent="0.35">
      <c r="C24239" s="2"/>
    </row>
    <row r="24240" spans="3:3" x14ac:dyDescent="0.35">
      <c r="C24240" s="2"/>
    </row>
    <row r="24241" spans="3:3" x14ac:dyDescent="0.35">
      <c r="C24241" s="2"/>
    </row>
    <row r="24242" spans="3:3" x14ac:dyDescent="0.35">
      <c r="C24242" s="2"/>
    </row>
    <row r="24243" spans="3:3" x14ac:dyDescent="0.35">
      <c r="C24243" s="2"/>
    </row>
    <row r="24244" spans="3:3" x14ac:dyDescent="0.35">
      <c r="C24244" s="2"/>
    </row>
    <row r="24245" spans="3:3" x14ac:dyDescent="0.35">
      <c r="C24245" s="2"/>
    </row>
    <row r="24246" spans="3:3" x14ac:dyDescent="0.35">
      <c r="C24246" s="2"/>
    </row>
    <row r="24247" spans="3:3" x14ac:dyDescent="0.35">
      <c r="C24247" s="2"/>
    </row>
    <row r="24248" spans="3:3" x14ac:dyDescent="0.35">
      <c r="C24248" s="2"/>
    </row>
    <row r="24249" spans="3:3" x14ac:dyDescent="0.35">
      <c r="C24249" s="2"/>
    </row>
    <row r="24250" spans="3:3" x14ac:dyDescent="0.35">
      <c r="C24250" s="2"/>
    </row>
    <row r="24251" spans="3:3" x14ac:dyDescent="0.35">
      <c r="C24251" s="2"/>
    </row>
    <row r="24252" spans="3:3" x14ac:dyDescent="0.35">
      <c r="C24252" s="2"/>
    </row>
    <row r="24253" spans="3:3" x14ac:dyDescent="0.35">
      <c r="C24253" s="2"/>
    </row>
    <row r="24254" spans="3:3" x14ac:dyDescent="0.35">
      <c r="C24254" s="2"/>
    </row>
    <row r="24255" spans="3:3" x14ac:dyDescent="0.35">
      <c r="C24255" s="2"/>
    </row>
    <row r="24256" spans="3:3" x14ac:dyDescent="0.35">
      <c r="C24256" s="2"/>
    </row>
    <row r="24257" spans="3:3" x14ac:dyDescent="0.35">
      <c r="C24257" s="2"/>
    </row>
    <row r="24258" spans="3:3" x14ac:dyDescent="0.35">
      <c r="C24258" s="2"/>
    </row>
    <row r="24259" spans="3:3" x14ac:dyDescent="0.35">
      <c r="C24259" s="2"/>
    </row>
    <row r="24260" spans="3:3" x14ac:dyDescent="0.35">
      <c r="C24260" s="2"/>
    </row>
    <row r="24261" spans="3:3" x14ac:dyDescent="0.35">
      <c r="C24261" s="2"/>
    </row>
    <row r="24262" spans="3:3" x14ac:dyDescent="0.35">
      <c r="C24262" s="2"/>
    </row>
    <row r="24263" spans="3:3" x14ac:dyDescent="0.35">
      <c r="C24263" s="2"/>
    </row>
    <row r="24264" spans="3:3" x14ac:dyDescent="0.35">
      <c r="C24264" s="2"/>
    </row>
    <row r="24265" spans="3:3" x14ac:dyDescent="0.35">
      <c r="C24265" s="2"/>
    </row>
    <row r="24266" spans="3:3" x14ac:dyDescent="0.35">
      <c r="C24266" s="2"/>
    </row>
    <row r="24267" spans="3:3" x14ac:dyDescent="0.35">
      <c r="C24267" s="2"/>
    </row>
    <row r="24268" spans="3:3" x14ac:dyDescent="0.35">
      <c r="C24268" s="2"/>
    </row>
    <row r="24269" spans="3:3" x14ac:dyDescent="0.35">
      <c r="C24269" s="2"/>
    </row>
    <row r="24270" spans="3:3" x14ac:dyDescent="0.35">
      <c r="C24270" s="2"/>
    </row>
    <row r="24271" spans="3:3" x14ac:dyDescent="0.35">
      <c r="C24271" s="2"/>
    </row>
    <row r="24272" spans="3:3" x14ac:dyDescent="0.35">
      <c r="C24272" s="2"/>
    </row>
    <row r="24273" spans="3:3" x14ac:dyDescent="0.35">
      <c r="C24273" s="2"/>
    </row>
    <row r="24274" spans="3:3" x14ac:dyDescent="0.35">
      <c r="C24274" s="2"/>
    </row>
    <row r="24275" spans="3:3" x14ac:dyDescent="0.35">
      <c r="C24275" s="2"/>
    </row>
    <row r="24276" spans="3:3" x14ac:dyDescent="0.35">
      <c r="C24276" s="2"/>
    </row>
    <row r="24277" spans="3:3" x14ac:dyDescent="0.35">
      <c r="C24277" s="2"/>
    </row>
    <row r="24278" spans="3:3" x14ac:dyDescent="0.35">
      <c r="C24278" s="2"/>
    </row>
    <row r="24279" spans="3:3" x14ac:dyDescent="0.35">
      <c r="C24279" s="2"/>
    </row>
    <row r="24280" spans="3:3" x14ac:dyDescent="0.35">
      <c r="C24280" s="2"/>
    </row>
    <row r="24281" spans="3:3" x14ac:dyDescent="0.35">
      <c r="C24281" s="2"/>
    </row>
    <row r="24282" spans="3:3" x14ac:dyDescent="0.35">
      <c r="C24282" s="2"/>
    </row>
    <row r="24283" spans="3:3" x14ac:dyDescent="0.35">
      <c r="C24283" s="2"/>
    </row>
    <row r="24284" spans="3:3" x14ac:dyDescent="0.35">
      <c r="C24284" s="2"/>
    </row>
    <row r="24285" spans="3:3" x14ac:dyDescent="0.35">
      <c r="C24285" s="2"/>
    </row>
    <row r="24286" spans="3:3" x14ac:dyDescent="0.35">
      <c r="C24286" s="2"/>
    </row>
    <row r="24287" spans="3:3" x14ac:dyDescent="0.35">
      <c r="C24287" s="2"/>
    </row>
    <row r="24288" spans="3:3" x14ac:dyDescent="0.35">
      <c r="C24288" s="2"/>
    </row>
    <row r="24289" spans="3:3" x14ac:dyDescent="0.35">
      <c r="C24289" s="2"/>
    </row>
    <row r="24290" spans="3:3" x14ac:dyDescent="0.35">
      <c r="C24290" s="2"/>
    </row>
    <row r="24291" spans="3:3" x14ac:dyDescent="0.35">
      <c r="C24291" s="2"/>
    </row>
    <row r="24292" spans="3:3" x14ac:dyDescent="0.35">
      <c r="C24292" s="2"/>
    </row>
    <row r="24293" spans="3:3" x14ac:dyDescent="0.35">
      <c r="C24293" s="2"/>
    </row>
    <row r="24294" spans="3:3" x14ac:dyDescent="0.35">
      <c r="C24294" s="2"/>
    </row>
    <row r="24295" spans="3:3" x14ac:dyDescent="0.35">
      <c r="C24295" s="2"/>
    </row>
    <row r="24296" spans="3:3" x14ac:dyDescent="0.35">
      <c r="C24296" s="2"/>
    </row>
    <row r="24297" spans="3:3" x14ac:dyDescent="0.35">
      <c r="C24297" s="2"/>
    </row>
    <row r="24298" spans="3:3" x14ac:dyDescent="0.35">
      <c r="C24298" s="2"/>
    </row>
    <row r="24299" spans="3:3" x14ac:dyDescent="0.35">
      <c r="C24299" s="2"/>
    </row>
    <row r="24300" spans="3:3" x14ac:dyDescent="0.35">
      <c r="C24300" s="2"/>
    </row>
    <row r="24301" spans="3:3" x14ac:dyDescent="0.35">
      <c r="C24301" s="2"/>
    </row>
    <row r="24302" spans="3:3" x14ac:dyDescent="0.35">
      <c r="C24302" s="2"/>
    </row>
    <row r="24303" spans="3:3" x14ac:dyDescent="0.35">
      <c r="C24303" s="2"/>
    </row>
    <row r="24304" spans="3:3" x14ac:dyDescent="0.35">
      <c r="C24304" s="2"/>
    </row>
    <row r="24305" spans="3:3" x14ac:dyDescent="0.35">
      <c r="C24305" s="2"/>
    </row>
    <row r="24306" spans="3:3" x14ac:dyDescent="0.35">
      <c r="C24306" s="2"/>
    </row>
    <row r="24307" spans="3:3" x14ac:dyDescent="0.35">
      <c r="C24307" s="2"/>
    </row>
    <row r="24308" spans="3:3" x14ac:dyDescent="0.35">
      <c r="C24308" s="2"/>
    </row>
    <row r="24309" spans="3:3" x14ac:dyDescent="0.35">
      <c r="C24309" s="2"/>
    </row>
    <row r="24310" spans="3:3" x14ac:dyDescent="0.35">
      <c r="C24310" s="2"/>
    </row>
    <row r="24311" spans="3:3" x14ac:dyDescent="0.35">
      <c r="C24311" s="2"/>
    </row>
    <row r="24312" spans="3:3" x14ac:dyDescent="0.35">
      <c r="C24312" s="2"/>
    </row>
    <row r="24313" spans="3:3" x14ac:dyDescent="0.35">
      <c r="C24313" s="2"/>
    </row>
    <row r="24314" spans="3:3" x14ac:dyDescent="0.35">
      <c r="C24314" s="2"/>
    </row>
    <row r="24315" spans="3:3" x14ac:dyDescent="0.35">
      <c r="C24315" s="2"/>
    </row>
    <row r="24316" spans="3:3" x14ac:dyDescent="0.35">
      <c r="C24316" s="2"/>
    </row>
    <row r="24317" spans="3:3" x14ac:dyDescent="0.35">
      <c r="C24317" s="2"/>
    </row>
    <row r="24318" spans="3:3" x14ac:dyDescent="0.35">
      <c r="C24318" s="2"/>
    </row>
    <row r="24319" spans="3:3" x14ac:dyDescent="0.35">
      <c r="C24319" s="2"/>
    </row>
    <row r="24320" spans="3:3" x14ac:dyDescent="0.35">
      <c r="C24320" s="2"/>
    </row>
    <row r="24321" spans="3:3" x14ac:dyDescent="0.35">
      <c r="C24321" s="2"/>
    </row>
    <row r="24322" spans="3:3" x14ac:dyDescent="0.35">
      <c r="C24322" s="2"/>
    </row>
    <row r="24323" spans="3:3" x14ac:dyDescent="0.35">
      <c r="C24323" s="2"/>
    </row>
    <row r="24324" spans="3:3" x14ac:dyDescent="0.35">
      <c r="C24324" s="2"/>
    </row>
    <row r="24325" spans="3:3" x14ac:dyDescent="0.35">
      <c r="C24325" s="2"/>
    </row>
    <row r="24326" spans="3:3" x14ac:dyDescent="0.35">
      <c r="C24326" s="2"/>
    </row>
    <row r="24327" spans="3:3" x14ac:dyDescent="0.35">
      <c r="C24327" s="2"/>
    </row>
    <row r="24328" spans="3:3" x14ac:dyDescent="0.35">
      <c r="C24328" s="2"/>
    </row>
    <row r="24329" spans="3:3" x14ac:dyDescent="0.35">
      <c r="C24329" s="2"/>
    </row>
    <row r="24330" spans="3:3" x14ac:dyDescent="0.35">
      <c r="C24330" s="2"/>
    </row>
    <row r="24331" spans="3:3" x14ac:dyDescent="0.35">
      <c r="C24331" s="2"/>
    </row>
    <row r="24332" spans="3:3" x14ac:dyDescent="0.35">
      <c r="C24332" s="2"/>
    </row>
    <row r="24333" spans="3:3" x14ac:dyDescent="0.35">
      <c r="C24333" s="2"/>
    </row>
    <row r="24334" spans="3:3" x14ac:dyDescent="0.35">
      <c r="C24334" s="2"/>
    </row>
    <row r="24335" spans="3:3" x14ac:dyDescent="0.35">
      <c r="C24335" s="2"/>
    </row>
    <row r="24336" spans="3:3" x14ac:dyDescent="0.35">
      <c r="C24336" s="2"/>
    </row>
    <row r="24337" spans="3:3" x14ac:dyDescent="0.35">
      <c r="C24337" s="2"/>
    </row>
    <row r="24338" spans="3:3" x14ac:dyDescent="0.35">
      <c r="C24338" s="2"/>
    </row>
    <row r="24339" spans="3:3" x14ac:dyDescent="0.35">
      <c r="C24339" s="2"/>
    </row>
    <row r="24340" spans="3:3" x14ac:dyDescent="0.35">
      <c r="C24340" s="2"/>
    </row>
    <row r="24341" spans="3:3" x14ac:dyDescent="0.35">
      <c r="C24341" s="2"/>
    </row>
    <row r="24342" spans="3:3" x14ac:dyDescent="0.35">
      <c r="C24342" s="2"/>
    </row>
    <row r="24343" spans="3:3" x14ac:dyDescent="0.35">
      <c r="C24343" s="2"/>
    </row>
    <row r="24344" spans="3:3" x14ac:dyDescent="0.35">
      <c r="C24344" s="2"/>
    </row>
    <row r="24345" spans="3:3" x14ac:dyDescent="0.35">
      <c r="C24345" s="2"/>
    </row>
    <row r="24346" spans="3:3" x14ac:dyDescent="0.35">
      <c r="C24346" s="2"/>
    </row>
    <row r="24347" spans="3:3" x14ac:dyDescent="0.35">
      <c r="C24347" s="2"/>
    </row>
    <row r="24348" spans="3:3" x14ac:dyDescent="0.35">
      <c r="C24348" s="2"/>
    </row>
    <row r="24349" spans="3:3" x14ac:dyDescent="0.35">
      <c r="C24349" s="2"/>
    </row>
    <row r="24350" spans="3:3" x14ac:dyDescent="0.35">
      <c r="C24350" s="2"/>
    </row>
    <row r="24351" spans="3:3" x14ac:dyDescent="0.35">
      <c r="C24351" s="2"/>
    </row>
    <row r="24352" spans="3:3" x14ac:dyDescent="0.35">
      <c r="C24352" s="2"/>
    </row>
    <row r="24353" spans="3:3" x14ac:dyDescent="0.35">
      <c r="C24353" s="2"/>
    </row>
    <row r="24354" spans="3:3" x14ac:dyDescent="0.35">
      <c r="C24354" s="2"/>
    </row>
    <row r="24355" spans="3:3" x14ac:dyDescent="0.35">
      <c r="C24355" s="2"/>
    </row>
    <row r="24356" spans="3:3" x14ac:dyDescent="0.35">
      <c r="C24356" s="2"/>
    </row>
    <row r="24357" spans="3:3" x14ac:dyDescent="0.35">
      <c r="C24357" s="2"/>
    </row>
    <row r="24358" spans="3:3" x14ac:dyDescent="0.35">
      <c r="C24358" s="2"/>
    </row>
    <row r="24359" spans="3:3" x14ac:dyDescent="0.35">
      <c r="C24359" s="2"/>
    </row>
    <row r="24360" spans="3:3" x14ac:dyDescent="0.35">
      <c r="C24360" s="2"/>
    </row>
    <row r="24361" spans="3:3" x14ac:dyDescent="0.35">
      <c r="C24361" s="2"/>
    </row>
    <row r="24362" spans="3:3" x14ac:dyDescent="0.35">
      <c r="C24362" s="2"/>
    </row>
    <row r="24363" spans="3:3" x14ac:dyDescent="0.35">
      <c r="C24363" s="2"/>
    </row>
    <row r="24364" spans="3:3" x14ac:dyDescent="0.35">
      <c r="C24364" s="2"/>
    </row>
    <row r="24365" spans="3:3" x14ac:dyDescent="0.35">
      <c r="C24365" s="2"/>
    </row>
    <row r="24366" spans="3:3" x14ac:dyDescent="0.35">
      <c r="C24366" s="2"/>
    </row>
    <row r="24367" spans="3:3" x14ac:dyDescent="0.35">
      <c r="C24367" s="2"/>
    </row>
    <row r="24368" spans="3:3" x14ac:dyDescent="0.35">
      <c r="C24368" s="2"/>
    </row>
    <row r="24369" spans="3:3" x14ac:dyDescent="0.35">
      <c r="C24369" s="2"/>
    </row>
    <row r="24370" spans="3:3" x14ac:dyDescent="0.35">
      <c r="C24370" s="2"/>
    </row>
    <row r="24371" spans="3:3" x14ac:dyDescent="0.35">
      <c r="C24371" s="2"/>
    </row>
    <row r="24372" spans="3:3" x14ac:dyDescent="0.35">
      <c r="C24372" s="2"/>
    </row>
    <row r="24373" spans="3:3" x14ac:dyDescent="0.35">
      <c r="C24373" s="2"/>
    </row>
    <row r="24374" spans="3:3" x14ac:dyDescent="0.35">
      <c r="C24374" s="2"/>
    </row>
    <row r="24375" spans="3:3" x14ac:dyDescent="0.35">
      <c r="C24375" s="2"/>
    </row>
    <row r="24376" spans="3:3" x14ac:dyDescent="0.35">
      <c r="C24376" s="2"/>
    </row>
    <row r="24377" spans="3:3" x14ac:dyDescent="0.35">
      <c r="C24377" s="2"/>
    </row>
    <row r="24378" spans="3:3" x14ac:dyDescent="0.35">
      <c r="C24378" s="2"/>
    </row>
    <row r="24379" spans="3:3" x14ac:dyDescent="0.35">
      <c r="C24379" s="2"/>
    </row>
    <row r="24380" spans="3:3" x14ac:dyDescent="0.35">
      <c r="C24380" s="2"/>
    </row>
    <row r="24381" spans="3:3" x14ac:dyDescent="0.35">
      <c r="C24381" s="2"/>
    </row>
    <row r="24382" spans="3:3" x14ac:dyDescent="0.35">
      <c r="C24382" s="2"/>
    </row>
    <row r="24383" spans="3:3" x14ac:dyDescent="0.35">
      <c r="C24383" s="2"/>
    </row>
    <row r="24384" spans="3:3" x14ac:dyDescent="0.35">
      <c r="C24384" s="2"/>
    </row>
    <row r="24385" spans="3:3" x14ac:dyDescent="0.35">
      <c r="C24385" s="2"/>
    </row>
    <row r="24386" spans="3:3" x14ac:dyDescent="0.35">
      <c r="C24386" s="2"/>
    </row>
    <row r="24387" spans="3:3" x14ac:dyDescent="0.35">
      <c r="C24387" s="2"/>
    </row>
    <row r="24388" spans="3:3" x14ac:dyDescent="0.35">
      <c r="C24388" s="2"/>
    </row>
    <row r="24389" spans="3:3" x14ac:dyDescent="0.35">
      <c r="C24389" s="2"/>
    </row>
    <row r="24390" spans="3:3" x14ac:dyDescent="0.35">
      <c r="C24390" s="2"/>
    </row>
    <row r="24391" spans="3:3" x14ac:dyDescent="0.35">
      <c r="C24391" s="2"/>
    </row>
    <row r="24392" spans="3:3" x14ac:dyDescent="0.35">
      <c r="C24392" s="2"/>
    </row>
    <row r="24393" spans="3:3" x14ac:dyDescent="0.35">
      <c r="C24393" s="2"/>
    </row>
    <row r="24394" spans="3:3" x14ac:dyDescent="0.35">
      <c r="C24394" s="2"/>
    </row>
    <row r="24395" spans="3:3" x14ac:dyDescent="0.35">
      <c r="C24395" s="2"/>
    </row>
    <row r="24396" spans="3:3" x14ac:dyDescent="0.35">
      <c r="C24396" s="2"/>
    </row>
    <row r="24397" spans="3:3" x14ac:dyDescent="0.35">
      <c r="C24397" s="2"/>
    </row>
    <row r="24398" spans="3:3" x14ac:dyDescent="0.35">
      <c r="C24398" s="2"/>
    </row>
    <row r="24399" spans="3:3" x14ac:dyDescent="0.35">
      <c r="C24399" s="2"/>
    </row>
    <row r="24400" spans="3:3" x14ac:dyDescent="0.35">
      <c r="C24400" s="2"/>
    </row>
    <row r="24401" spans="3:3" x14ac:dyDescent="0.35">
      <c r="C24401" s="2"/>
    </row>
    <row r="24402" spans="3:3" x14ac:dyDescent="0.35">
      <c r="C24402" s="2"/>
    </row>
    <row r="24403" spans="3:3" x14ac:dyDescent="0.35">
      <c r="C24403" s="2"/>
    </row>
    <row r="24404" spans="3:3" x14ac:dyDescent="0.35">
      <c r="C24404" s="2"/>
    </row>
    <row r="24405" spans="3:3" x14ac:dyDescent="0.35">
      <c r="C24405" s="2"/>
    </row>
    <row r="24406" spans="3:3" x14ac:dyDescent="0.35">
      <c r="C24406" s="2"/>
    </row>
    <row r="24407" spans="3:3" x14ac:dyDescent="0.35">
      <c r="C24407" s="2"/>
    </row>
    <row r="24408" spans="3:3" x14ac:dyDescent="0.35">
      <c r="C24408" s="2"/>
    </row>
    <row r="24409" spans="3:3" x14ac:dyDescent="0.35">
      <c r="C24409" s="2"/>
    </row>
    <row r="24410" spans="3:3" x14ac:dyDescent="0.35">
      <c r="C24410" s="2"/>
    </row>
    <row r="24411" spans="3:3" x14ac:dyDescent="0.35">
      <c r="C24411" s="2"/>
    </row>
    <row r="24412" spans="3:3" x14ac:dyDescent="0.35">
      <c r="C24412" s="2"/>
    </row>
    <row r="24413" spans="3:3" x14ac:dyDescent="0.35">
      <c r="C24413" s="2"/>
    </row>
    <row r="24414" spans="3:3" x14ac:dyDescent="0.35">
      <c r="C24414" s="2"/>
    </row>
    <row r="24415" spans="3:3" x14ac:dyDescent="0.35">
      <c r="C24415" s="2"/>
    </row>
    <row r="24416" spans="3:3" x14ac:dyDescent="0.35">
      <c r="C24416" s="2"/>
    </row>
    <row r="24417" spans="3:3" x14ac:dyDescent="0.35">
      <c r="C24417" s="2"/>
    </row>
    <row r="24418" spans="3:3" x14ac:dyDescent="0.35">
      <c r="C24418" s="2"/>
    </row>
    <row r="24419" spans="3:3" x14ac:dyDescent="0.35">
      <c r="C24419" s="2"/>
    </row>
    <row r="24420" spans="3:3" x14ac:dyDescent="0.35">
      <c r="C24420" s="2"/>
    </row>
    <row r="24421" spans="3:3" x14ac:dyDescent="0.35">
      <c r="C24421" s="2"/>
    </row>
    <row r="24422" spans="3:3" x14ac:dyDescent="0.35">
      <c r="C24422" s="2"/>
    </row>
    <row r="24423" spans="3:3" x14ac:dyDescent="0.35">
      <c r="C24423" s="2"/>
    </row>
    <row r="24424" spans="3:3" x14ac:dyDescent="0.35">
      <c r="C24424" s="2"/>
    </row>
    <row r="24425" spans="3:3" x14ac:dyDescent="0.35">
      <c r="C24425" s="2"/>
    </row>
    <row r="24426" spans="3:3" x14ac:dyDescent="0.35">
      <c r="C24426" s="2"/>
    </row>
    <row r="24427" spans="3:3" x14ac:dyDescent="0.35">
      <c r="C24427" s="2"/>
    </row>
    <row r="24428" spans="3:3" x14ac:dyDescent="0.35">
      <c r="C24428" s="2"/>
    </row>
    <row r="24429" spans="3:3" x14ac:dyDescent="0.35">
      <c r="C24429" s="2"/>
    </row>
    <row r="24430" spans="3:3" x14ac:dyDescent="0.35">
      <c r="C24430" s="2"/>
    </row>
    <row r="24431" spans="3:3" x14ac:dyDescent="0.35">
      <c r="C24431" s="2"/>
    </row>
    <row r="24432" spans="3:3" x14ac:dyDescent="0.35">
      <c r="C24432" s="2"/>
    </row>
    <row r="24433" spans="3:3" x14ac:dyDescent="0.35">
      <c r="C24433" s="2"/>
    </row>
    <row r="24434" spans="3:3" x14ac:dyDescent="0.35">
      <c r="C24434" s="2"/>
    </row>
    <row r="24435" spans="3:3" x14ac:dyDescent="0.35">
      <c r="C24435" s="2"/>
    </row>
    <row r="24436" spans="3:3" x14ac:dyDescent="0.35">
      <c r="C24436" s="2"/>
    </row>
    <row r="24437" spans="3:3" x14ac:dyDescent="0.35">
      <c r="C24437" s="2"/>
    </row>
    <row r="24438" spans="3:3" x14ac:dyDescent="0.35">
      <c r="C24438" s="2"/>
    </row>
    <row r="24439" spans="3:3" x14ac:dyDescent="0.35">
      <c r="C24439" s="2"/>
    </row>
    <row r="24440" spans="3:3" x14ac:dyDescent="0.35">
      <c r="C24440" s="2"/>
    </row>
    <row r="24441" spans="3:3" x14ac:dyDescent="0.35">
      <c r="C24441" s="2"/>
    </row>
    <row r="24442" spans="3:3" x14ac:dyDescent="0.35">
      <c r="C24442" s="2"/>
    </row>
    <row r="24443" spans="3:3" x14ac:dyDescent="0.35">
      <c r="C24443" s="2"/>
    </row>
    <row r="24444" spans="3:3" x14ac:dyDescent="0.35">
      <c r="C24444" s="2"/>
    </row>
    <row r="24445" spans="3:3" x14ac:dyDescent="0.35">
      <c r="C24445" s="2"/>
    </row>
    <row r="24446" spans="3:3" x14ac:dyDescent="0.35">
      <c r="C24446" s="2"/>
    </row>
    <row r="24447" spans="3:3" x14ac:dyDescent="0.35">
      <c r="C24447" s="2"/>
    </row>
    <row r="24448" spans="3:3" x14ac:dyDescent="0.35">
      <c r="C24448" s="2"/>
    </row>
    <row r="24449" spans="3:3" x14ac:dyDescent="0.35">
      <c r="C24449" s="2"/>
    </row>
    <row r="24450" spans="3:3" x14ac:dyDescent="0.35">
      <c r="C24450" s="2"/>
    </row>
    <row r="24451" spans="3:3" x14ac:dyDescent="0.35">
      <c r="C24451" s="2"/>
    </row>
    <row r="24452" spans="3:3" x14ac:dyDescent="0.35">
      <c r="C24452" s="2"/>
    </row>
    <row r="24453" spans="3:3" x14ac:dyDescent="0.35">
      <c r="C24453" s="2"/>
    </row>
    <row r="24454" spans="3:3" x14ac:dyDescent="0.35">
      <c r="C24454" s="2"/>
    </row>
    <row r="24455" spans="3:3" x14ac:dyDescent="0.35">
      <c r="C24455" s="2"/>
    </row>
    <row r="24456" spans="3:3" x14ac:dyDescent="0.35">
      <c r="C24456" s="2"/>
    </row>
    <row r="24457" spans="3:3" x14ac:dyDescent="0.35">
      <c r="C24457" s="2"/>
    </row>
    <row r="24458" spans="3:3" x14ac:dyDescent="0.35">
      <c r="C24458" s="2"/>
    </row>
    <row r="24459" spans="3:3" x14ac:dyDescent="0.35">
      <c r="C24459" s="2"/>
    </row>
    <row r="24460" spans="3:3" x14ac:dyDescent="0.35">
      <c r="C24460" s="2"/>
    </row>
    <row r="24461" spans="3:3" x14ac:dyDescent="0.35">
      <c r="C24461" s="2"/>
    </row>
    <row r="24462" spans="3:3" x14ac:dyDescent="0.35">
      <c r="C24462" s="2"/>
    </row>
    <row r="24463" spans="3:3" x14ac:dyDescent="0.35">
      <c r="C24463" s="2"/>
    </row>
    <row r="24464" spans="3:3" x14ac:dyDescent="0.35">
      <c r="C24464" s="2"/>
    </row>
    <row r="24465" spans="3:3" x14ac:dyDescent="0.35">
      <c r="C24465" s="2"/>
    </row>
    <row r="24466" spans="3:3" x14ac:dyDescent="0.35">
      <c r="C24466" s="2"/>
    </row>
    <row r="24467" spans="3:3" x14ac:dyDescent="0.35">
      <c r="C24467" s="2"/>
    </row>
    <row r="24468" spans="3:3" x14ac:dyDescent="0.35">
      <c r="C24468" s="2"/>
    </row>
    <row r="24469" spans="3:3" x14ac:dyDescent="0.35">
      <c r="C24469" s="2"/>
    </row>
    <row r="24470" spans="3:3" x14ac:dyDescent="0.35">
      <c r="C24470" s="2"/>
    </row>
    <row r="24471" spans="3:3" x14ac:dyDescent="0.35">
      <c r="C24471" s="2"/>
    </row>
    <row r="24472" spans="3:3" x14ac:dyDescent="0.35">
      <c r="C24472" s="2"/>
    </row>
    <row r="24473" spans="3:3" x14ac:dyDescent="0.35">
      <c r="C24473" s="2"/>
    </row>
    <row r="24474" spans="3:3" x14ac:dyDescent="0.35">
      <c r="C24474" s="2"/>
    </row>
    <row r="24475" spans="3:3" x14ac:dyDescent="0.35">
      <c r="C24475" s="2"/>
    </row>
    <row r="24476" spans="3:3" x14ac:dyDescent="0.35">
      <c r="C24476" s="2"/>
    </row>
    <row r="24477" spans="3:3" x14ac:dyDescent="0.35">
      <c r="C24477" s="2"/>
    </row>
    <row r="24478" spans="3:3" x14ac:dyDescent="0.35">
      <c r="C24478" s="2"/>
    </row>
    <row r="24479" spans="3:3" x14ac:dyDescent="0.35">
      <c r="C24479" s="2"/>
    </row>
    <row r="24480" spans="3:3" x14ac:dyDescent="0.35">
      <c r="C24480" s="2"/>
    </row>
    <row r="24481" spans="3:3" x14ac:dyDescent="0.35">
      <c r="C24481" s="2"/>
    </row>
    <row r="24482" spans="3:3" x14ac:dyDescent="0.35">
      <c r="C24482" s="2"/>
    </row>
    <row r="24483" spans="3:3" x14ac:dyDescent="0.35">
      <c r="C24483" s="2"/>
    </row>
    <row r="24484" spans="3:3" x14ac:dyDescent="0.35">
      <c r="C24484" s="2"/>
    </row>
    <row r="24485" spans="3:3" x14ac:dyDescent="0.35">
      <c r="C24485" s="2"/>
    </row>
    <row r="24486" spans="3:3" x14ac:dyDescent="0.35">
      <c r="C24486" s="2"/>
    </row>
    <row r="24487" spans="3:3" x14ac:dyDescent="0.35">
      <c r="C24487" s="2"/>
    </row>
    <row r="24488" spans="3:3" x14ac:dyDescent="0.35">
      <c r="C24488" s="2"/>
    </row>
    <row r="24489" spans="3:3" x14ac:dyDescent="0.35">
      <c r="C24489" s="2"/>
    </row>
    <row r="24490" spans="3:3" x14ac:dyDescent="0.35">
      <c r="C24490" s="2"/>
    </row>
    <row r="24491" spans="3:3" x14ac:dyDescent="0.35">
      <c r="C24491" s="2"/>
    </row>
    <row r="24492" spans="3:3" x14ac:dyDescent="0.35">
      <c r="C24492" s="2"/>
    </row>
    <row r="24493" spans="3:3" x14ac:dyDescent="0.35">
      <c r="C24493" s="2"/>
    </row>
    <row r="24494" spans="3:3" x14ac:dyDescent="0.35">
      <c r="C24494" s="2"/>
    </row>
    <row r="24495" spans="3:3" x14ac:dyDescent="0.35">
      <c r="C24495" s="2"/>
    </row>
    <row r="24496" spans="3:3" x14ac:dyDescent="0.35">
      <c r="C24496" s="2"/>
    </row>
    <row r="24497" spans="3:3" x14ac:dyDescent="0.35">
      <c r="C24497" s="2"/>
    </row>
    <row r="24498" spans="3:3" x14ac:dyDescent="0.35">
      <c r="C24498" s="2"/>
    </row>
    <row r="24499" spans="3:3" x14ac:dyDescent="0.35">
      <c r="C24499" s="2"/>
    </row>
    <row r="24500" spans="3:3" x14ac:dyDescent="0.35">
      <c r="C24500" s="2"/>
    </row>
    <row r="24501" spans="3:3" x14ac:dyDescent="0.35">
      <c r="C24501" s="2"/>
    </row>
    <row r="24502" spans="3:3" x14ac:dyDescent="0.35">
      <c r="C24502" s="2"/>
    </row>
    <row r="24503" spans="3:3" x14ac:dyDescent="0.35">
      <c r="C24503" s="2"/>
    </row>
    <row r="24504" spans="3:3" x14ac:dyDescent="0.35">
      <c r="C24504" s="2"/>
    </row>
    <row r="24505" spans="3:3" x14ac:dyDescent="0.35">
      <c r="C24505" s="2"/>
    </row>
    <row r="24506" spans="3:3" x14ac:dyDescent="0.35">
      <c r="C24506" s="2"/>
    </row>
    <row r="24507" spans="3:3" x14ac:dyDescent="0.35">
      <c r="C24507" s="2"/>
    </row>
    <row r="24508" spans="3:3" x14ac:dyDescent="0.35">
      <c r="C24508" s="2"/>
    </row>
    <row r="24509" spans="3:3" x14ac:dyDescent="0.35">
      <c r="C24509" s="2"/>
    </row>
    <row r="24510" spans="3:3" x14ac:dyDescent="0.35">
      <c r="C24510" s="2"/>
    </row>
    <row r="24511" spans="3:3" x14ac:dyDescent="0.35">
      <c r="C24511" s="2"/>
    </row>
    <row r="24512" spans="3:3" x14ac:dyDescent="0.35">
      <c r="C24512" s="2"/>
    </row>
    <row r="24513" spans="3:3" x14ac:dyDescent="0.35">
      <c r="C24513" s="2"/>
    </row>
    <row r="24514" spans="3:3" x14ac:dyDescent="0.35">
      <c r="C24514" s="2"/>
    </row>
    <row r="24515" spans="3:3" x14ac:dyDescent="0.35">
      <c r="C24515" s="2"/>
    </row>
    <row r="24516" spans="3:3" x14ac:dyDescent="0.35">
      <c r="C24516" s="2"/>
    </row>
    <row r="24517" spans="3:3" x14ac:dyDescent="0.35">
      <c r="C24517" s="2"/>
    </row>
    <row r="24518" spans="3:3" x14ac:dyDescent="0.35">
      <c r="C24518" s="2"/>
    </row>
    <row r="24519" spans="3:3" x14ac:dyDescent="0.35">
      <c r="C24519" s="2"/>
    </row>
    <row r="24520" spans="3:3" x14ac:dyDescent="0.35">
      <c r="C24520" s="2"/>
    </row>
    <row r="24521" spans="3:3" x14ac:dyDescent="0.35">
      <c r="C24521" s="2"/>
    </row>
    <row r="24522" spans="3:3" x14ac:dyDescent="0.35">
      <c r="C24522" s="2"/>
    </row>
    <row r="24523" spans="3:3" x14ac:dyDescent="0.35">
      <c r="C24523" s="2"/>
    </row>
    <row r="24524" spans="3:3" x14ac:dyDescent="0.35">
      <c r="C24524" s="2"/>
    </row>
    <row r="24525" spans="3:3" x14ac:dyDescent="0.35">
      <c r="C24525" s="2"/>
    </row>
    <row r="24526" spans="3:3" x14ac:dyDescent="0.35">
      <c r="C24526" s="2"/>
    </row>
    <row r="24527" spans="3:3" x14ac:dyDescent="0.35">
      <c r="C24527" s="2"/>
    </row>
    <row r="24528" spans="3:3" x14ac:dyDescent="0.35">
      <c r="C24528" s="2"/>
    </row>
    <row r="24529" spans="3:3" x14ac:dyDescent="0.35">
      <c r="C24529" s="2"/>
    </row>
    <row r="24530" spans="3:3" x14ac:dyDescent="0.35">
      <c r="C24530" s="2"/>
    </row>
    <row r="24531" spans="3:3" x14ac:dyDescent="0.35">
      <c r="C24531" s="2"/>
    </row>
    <row r="24532" spans="3:3" x14ac:dyDescent="0.35">
      <c r="C24532" s="2"/>
    </row>
    <row r="24533" spans="3:3" x14ac:dyDescent="0.35">
      <c r="C24533" s="2"/>
    </row>
    <row r="24534" spans="3:3" x14ac:dyDescent="0.35">
      <c r="C24534" s="2"/>
    </row>
    <row r="24535" spans="3:3" x14ac:dyDescent="0.35">
      <c r="C24535" s="2"/>
    </row>
    <row r="24536" spans="3:3" x14ac:dyDescent="0.35">
      <c r="C24536" s="2"/>
    </row>
    <row r="24537" spans="3:3" x14ac:dyDescent="0.35">
      <c r="C24537" s="2"/>
    </row>
    <row r="24538" spans="3:3" x14ac:dyDescent="0.35">
      <c r="C24538" s="2"/>
    </row>
    <row r="24539" spans="3:3" x14ac:dyDescent="0.35">
      <c r="C24539" s="2"/>
    </row>
    <row r="24540" spans="3:3" x14ac:dyDescent="0.35">
      <c r="C24540" s="2"/>
    </row>
    <row r="24541" spans="3:3" x14ac:dyDescent="0.35">
      <c r="C24541" s="2"/>
    </row>
    <row r="24542" spans="3:3" x14ac:dyDescent="0.35">
      <c r="C24542" s="2"/>
    </row>
    <row r="24543" spans="3:3" x14ac:dyDescent="0.35">
      <c r="C24543" s="2"/>
    </row>
    <row r="24544" spans="3:3" x14ac:dyDescent="0.35">
      <c r="C24544" s="2"/>
    </row>
    <row r="24545" spans="3:3" x14ac:dyDescent="0.35">
      <c r="C24545" s="2"/>
    </row>
    <row r="24546" spans="3:3" x14ac:dyDescent="0.35">
      <c r="C24546" s="2"/>
    </row>
    <row r="24547" spans="3:3" x14ac:dyDescent="0.35">
      <c r="C24547" s="2"/>
    </row>
    <row r="24548" spans="3:3" x14ac:dyDescent="0.35">
      <c r="C24548" s="2"/>
    </row>
    <row r="24549" spans="3:3" x14ac:dyDescent="0.35">
      <c r="C24549" s="2"/>
    </row>
    <row r="24550" spans="3:3" x14ac:dyDescent="0.35">
      <c r="C24550" s="2"/>
    </row>
    <row r="24551" spans="3:3" x14ac:dyDescent="0.35">
      <c r="C24551" s="2"/>
    </row>
    <row r="24552" spans="3:3" x14ac:dyDescent="0.35">
      <c r="C24552" s="2"/>
    </row>
    <row r="24553" spans="3:3" x14ac:dyDescent="0.35">
      <c r="C24553" s="2"/>
    </row>
    <row r="24554" spans="3:3" x14ac:dyDescent="0.35">
      <c r="C24554" s="2"/>
    </row>
    <row r="24555" spans="3:3" x14ac:dyDescent="0.35">
      <c r="C24555" s="2"/>
    </row>
    <row r="24556" spans="3:3" x14ac:dyDescent="0.35">
      <c r="C24556" s="2"/>
    </row>
    <row r="24557" spans="3:3" x14ac:dyDescent="0.35">
      <c r="C24557" s="2"/>
    </row>
    <row r="24558" spans="3:3" x14ac:dyDescent="0.35">
      <c r="C24558" s="2"/>
    </row>
    <row r="24559" spans="3:3" x14ac:dyDescent="0.35">
      <c r="C24559" s="2"/>
    </row>
    <row r="24560" spans="3:3" x14ac:dyDescent="0.35">
      <c r="C24560" s="2"/>
    </row>
    <row r="24561" spans="3:3" x14ac:dyDescent="0.35">
      <c r="C24561" s="2"/>
    </row>
    <row r="24562" spans="3:3" x14ac:dyDescent="0.35">
      <c r="C24562" s="2"/>
    </row>
    <row r="24563" spans="3:3" x14ac:dyDescent="0.35">
      <c r="C24563" s="2"/>
    </row>
    <row r="24564" spans="3:3" x14ac:dyDescent="0.35">
      <c r="C24564" s="2"/>
    </row>
    <row r="24565" spans="3:3" x14ac:dyDescent="0.35">
      <c r="C24565" s="2"/>
    </row>
    <row r="24566" spans="3:3" x14ac:dyDescent="0.35">
      <c r="C24566" s="2"/>
    </row>
    <row r="24567" spans="3:3" x14ac:dyDescent="0.35">
      <c r="C24567" s="2"/>
    </row>
    <row r="24568" spans="3:3" x14ac:dyDescent="0.35">
      <c r="C24568" s="2"/>
    </row>
    <row r="24569" spans="3:3" x14ac:dyDescent="0.35">
      <c r="C24569" s="2"/>
    </row>
    <row r="24570" spans="3:3" x14ac:dyDescent="0.35">
      <c r="C24570" s="2"/>
    </row>
    <row r="24571" spans="3:3" x14ac:dyDescent="0.35">
      <c r="C24571" s="2"/>
    </row>
    <row r="24572" spans="3:3" x14ac:dyDescent="0.35">
      <c r="C24572" s="2"/>
    </row>
    <row r="24573" spans="3:3" x14ac:dyDescent="0.35">
      <c r="C24573" s="2"/>
    </row>
    <row r="24574" spans="3:3" x14ac:dyDescent="0.35">
      <c r="C24574" s="2"/>
    </row>
    <row r="24575" spans="3:3" x14ac:dyDescent="0.35">
      <c r="C24575" s="2"/>
    </row>
    <row r="24576" spans="3:3" x14ac:dyDescent="0.35">
      <c r="C24576" s="2"/>
    </row>
    <row r="24577" spans="3:3" x14ac:dyDescent="0.35">
      <c r="C24577" s="2"/>
    </row>
    <row r="24578" spans="3:3" x14ac:dyDescent="0.35">
      <c r="C24578" s="2"/>
    </row>
    <row r="24579" spans="3:3" x14ac:dyDescent="0.35">
      <c r="C24579" s="2"/>
    </row>
    <row r="24580" spans="3:3" x14ac:dyDescent="0.35">
      <c r="C24580" s="2"/>
    </row>
    <row r="24581" spans="3:3" x14ac:dyDescent="0.35">
      <c r="C24581" s="2"/>
    </row>
    <row r="24582" spans="3:3" x14ac:dyDescent="0.35">
      <c r="C24582" s="2"/>
    </row>
    <row r="24583" spans="3:3" x14ac:dyDescent="0.35">
      <c r="C24583" s="2"/>
    </row>
    <row r="24584" spans="3:3" x14ac:dyDescent="0.35">
      <c r="C24584" s="2"/>
    </row>
    <row r="24585" spans="3:3" x14ac:dyDescent="0.35">
      <c r="C24585" s="2"/>
    </row>
    <row r="24586" spans="3:3" x14ac:dyDescent="0.35">
      <c r="C24586" s="2"/>
    </row>
    <row r="24587" spans="3:3" x14ac:dyDescent="0.35">
      <c r="C24587" s="2"/>
    </row>
    <row r="24588" spans="3:3" x14ac:dyDescent="0.35">
      <c r="C24588" s="2"/>
    </row>
    <row r="24589" spans="3:3" x14ac:dyDescent="0.35">
      <c r="C24589" s="2"/>
    </row>
    <row r="24590" spans="3:3" x14ac:dyDescent="0.35">
      <c r="C24590" s="2"/>
    </row>
    <row r="24591" spans="3:3" x14ac:dyDescent="0.35">
      <c r="C24591" s="2"/>
    </row>
    <row r="24592" spans="3:3" x14ac:dyDescent="0.35">
      <c r="C24592" s="2"/>
    </row>
    <row r="24593" spans="3:3" x14ac:dyDescent="0.35">
      <c r="C24593" s="2"/>
    </row>
    <row r="24594" spans="3:3" x14ac:dyDescent="0.35">
      <c r="C24594" s="2"/>
    </row>
    <row r="24595" spans="3:3" x14ac:dyDescent="0.35">
      <c r="C24595" s="2"/>
    </row>
    <row r="24596" spans="3:3" x14ac:dyDescent="0.35">
      <c r="C24596" s="2"/>
    </row>
    <row r="24597" spans="3:3" x14ac:dyDescent="0.35">
      <c r="C24597" s="2"/>
    </row>
    <row r="24598" spans="3:3" x14ac:dyDescent="0.35">
      <c r="C24598" s="2"/>
    </row>
    <row r="24599" spans="3:3" x14ac:dyDescent="0.35">
      <c r="C24599" s="2"/>
    </row>
    <row r="24600" spans="3:3" x14ac:dyDescent="0.35">
      <c r="C24600" s="2"/>
    </row>
    <row r="24601" spans="3:3" x14ac:dyDescent="0.35">
      <c r="C24601" s="2"/>
    </row>
    <row r="24602" spans="3:3" x14ac:dyDescent="0.35">
      <c r="C24602" s="2"/>
    </row>
    <row r="24603" spans="3:3" x14ac:dyDescent="0.35">
      <c r="C24603" s="2"/>
    </row>
    <row r="24604" spans="3:3" x14ac:dyDescent="0.35">
      <c r="C24604" s="2"/>
    </row>
    <row r="24605" spans="3:3" x14ac:dyDescent="0.35">
      <c r="C24605" s="2"/>
    </row>
    <row r="24606" spans="3:3" x14ac:dyDescent="0.35">
      <c r="C24606" s="2"/>
    </row>
    <row r="24607" spans="3:3" x14ac:dyDescent="0.35">
      <c r="C24607" s="2"/>
    </row>
    <row r="24608" spans="3:3" x14ac:dyDescent="0.35">
      <c r="C24608" s="2"/>
    </row>
    <row r="24609" spans="3:3" x14ac:dyDescent="0.35">
      <c r="C24609" s="2"/>
    </row>
    <row r="24610" spans="3:3" x14ac:dyDescent="0.35">
      <c r="C24610" s="2"/>
    </row>
    <row r="24611" spans="3:3" x14ac:dyDescent="0.35">
      <c r="C24611" s="2"/>
    </row>
    <row r="24612" spans="3:3" x14ac:dyDescent="0.35">
      <c r="C24612" s="2"/>
    </row>
    <row r="24613" spans="3:3" x14ac:dyDescent="0.35">
      <c r="C24613" s="2"/>
    </row>
    <row r="24614" spans="3:3" x14ac:dyDescent="0.35">
      <c r="C24614" s="2"/>
    </row>
    <row r="24615" spans="3:3" x14ac:dyDescent="0.35">
      <c r="C24615" s="2"/>
    </row>
    <row r="24616" spans="3:3" x14ac:dyDescent="0.35">
      <c r="C24616" s="2"/>
    </row>
    <row r="24617" spans="3:3" x14ac:dyDescent="0.35">
      <c r="C24617" s="2"/>
    </row>
    <row r="24618" spans="3:3" x14ac:dyDescent="0.35">
      <c r="C24618" s="2"/>
    </row>
    <row r="24619" spans="3:3" x14ac:dyDescent="0.35">
      <c r="C24619" s="2"/>
    </row>
    <row r="24620" spans="3:3" x14ac:dyDescent="0.35">
      <c r="C24620" s="2"/>
    </row>
    <row r="24621" spans="3:3" x14ac:dyDescent="0.35">
      <c r="C24621" s="2"/>
    </row>
    <row r="24622" spans="3:3" x14ac:dyDescent="0.35">
      <c r="C24622" s="2"/>
    </row>
    <row r="24623" spans="3:3" x14ac:dyDescent="0.35">
      <c r="C24623" s="2"/>
    </row>
    <row r="24624" spans="3:3" x14ac:dyDescent="0.35">
      <c r="C24624" s="2"/>
    </row>
    <row r="24625" spans="3:3" x14ac:dyDescent="0.35">
      <c r="C24625" s="2"/>
    </row>
    <row r="24626" spans="3:3" x14ac:dyDescent="0.35">
      <c r="C24626" s="2"/>
    </row>
    <row r="24627" spans="3:3" x14ac:dyDescent="0.35">
      <c r="C24627" s="2"/>
    </row>
    <row r="24628" spans="3:3" x14ac:dyDescent="0.35">
      <c r="C24628" s="2"/>
    </row>
    <row r="24629" spans="3:3" x14ac:dyDescent="0.35">
      <c r="C24629" s="2"/>
    </row>
    <row r="24630" spans="3:3" x14ac:dyDescent="0.35">
      <c r="C24630" s="2"/>
    </row>
    <row r="24631" spans="3:3" x14ac:dyDescent="0.35">
      <c r="C24631" s="2"/>
    </row>
    <row r="24632" spans="3:3" x14ac:dyDescent="0.35">
      <c r="C24632" s="2"/>
    </row>
    <row r="24633" spans="3:3" x14ac:dyDescent="0.35">
      <c r="C24633" s="2"/>
    </row>
    <row r="24634" spans="3:3" x14ac:dyDescent="0.35">
      <c r="C24634" s="2"/>
    </row>
    <row r="24635" spans="3:3" x14ac:dyDescent="0.35">
      <c r="C24635" s="2"/>
    </row>
    <row r="24636" spans="3:3" x14ac:dyDescent="0.35">
      <c r="C24636" s="2"/>
    </row>
    <row r="24637" spans="3:3" x14ac:dyDescent="0.35">
      <c r="C24637" s="2"/>
    </row>
    <row r="24638" spans="3:3" x14ac:dyDescent="0.35">
      <c r="C24638" s="2"/>
    </row>
    <row r="24639" spans="3:3" x14ac:dyDescent="0.35">
      <c r="C24639" s="2"/>
    </row>
    <row r="24640" spans="3:3" x14ac:dyDescent="0.35">
      <c r="C24640" s="2"/>
    </row>
    <row r="24641" spans="3:3" x14ac:dyDescent="0.35">
      <c r="C24641" s="2"/>
    </row>
    <row r="24642" spans="3:3" x14ac:dyDescent="0.35">
      <c r="C24642" s="2"/>
    </row>
    <row r="24643" spans="3:3" x14ac:dyDescent="0.35">
      <c r="C24643" s="2"/>
    </row>
    <row r="24644" spans="3:3" x14ac:dyDescent="0.35">
      <c r="C24644" s="2"/>
    </row>
    <row r="24645" spans="3:3" x14ac:dyDescent="0.35">
      <c r="C24645" s="2"/>
    </row>
    <row r="24646" spans="3:3" x14ac:dyDescent="0.35">
      <c r="C24646" s="2"/>
    </row>
    <row r="24647" spans="3:3" x14ac:dyDescent="0.35">
      <c r="C24647" s="2"/>
    </row>
    <row r="24648" spans="3:3" x14ac:dyDescent="0.35">
      <c r="C24648" s="2"/>
    </row>
    <row r="24649" spans="3:3" x14ac:dyDescent="0.35">
      <c r="C24649" s="2"/>
    </row>
    <row r="24650" spans="3:3" x14ac:dyDescent="0.35">
      <c r="C24650" s="2"/>
    </row>
    <row r="24651" spans="3:3" x14ac:dyDescent="0.35">
      <c r="C24651" s="2"/>
    </row>
    <row r="24652" spans="3:3" x14ac:dyDescent="0.35">
      <c r="C24652" s="2"/>
    </row>
    <row r="24653" spans="3:3" x14ac:dyDescent="0.35">
      <c r="C24653" s="2"/>
    </row>
    <row r="24654" spans="3:3" x14ac:dyDescent="0.35">
      <c r="C24654" s="2"/>
    </row>
    <row r="24655" spans="3:3" x14ac:dyDescent="0.35">
      <c r="C24655" s="2"/>
    </row>
    <row r="24656" spans="3:3" x14ac:dyDescent="0.35">
      <c r="C24656" s="2"/>
    </row>
    <row r="24657" spans="3:3" x14ac:dyDescent="0.35">
      <c r="C24657" s="2"/>
    </row>
    <row r="24658" spans="3:3" x14ac:dyDescent="0.35">
      <c r="C24658" s="2"/>
    </row>
    <row r="24659" spans="3:3" x14ac:dyDescent="0.35">
      <c r="C24659" s="2"/>
    </row>
    <row r="24660" spans="3:3" x14ac:dyDescent="0.35">
      <c r="C24660" s="2"/>
    </row>
    <row r="24661" spans="3:3" x14ac:dyDescent="0.35">
      <c r="C24661" s="2"/>
    </row>
    <row r="24662" spans="3:3" x14ac:dyDescent="0.35">
      <c r="C24662" s="2"/>
    </row>
    <row r="24663" spans="3:3" x14ac:dyDescent="0.35">
      <c r="C24663" s="2"/>
    </row>
    <row r="24664" spans="3:3" x14ac:dyDescent="0.35">
      <c r="C24664" s="2"/>
    </row>
    <row r="24665" spans="3:3" x14ac:dyDescent="0.35">
      <c r="C24665" s="2"/>
    </row>
    <row r="24666" spans="3:3" x14ac:dyDescent="0.35">
      <c r="C24666" s="2"/>
    </row>
    <row r="24667" spans="3:3" x14ac:dyDescent="0.35">
      <c r="C24667" s="2"/>
    </row>
    <row r="24668" spans="3:3" x14ac:dyDescent="0.35">
      <c r="C24668" s="2"/>
    </row>
    <row r="24669" spans="3:3" x14ac:dyDescent="0.35">
      <c r="C24669" s="2"/>
    </row>
    <row r="24670" spans="3:3" x14ac:dyDescent="0.35">
      <c r="C24670" s="2"/>
    </row>
    <row r="24671" spans="3:3" x14ac:dyDescent="0.35">
      <c r="C24671" s="2"/>
    </row>
    <row r="24672" spans="3:3" x14ac:dyDescent="0.35">
      <c r="C24672" s="2"/>
    </row>
    <row r="24673" spans="3:3" x14ac:dyDescent="0.35">
      <c r="C24673" s="2"/>
    </row>
    <row r="24674" spans="3:3" x14ac:dyDescent="0.35">
      <c r="C24674" s="2"/>
    </row>
    <row r="24675" spans="3:3" x14ac:dyDescent="0.35">
      <c r="C24675" s="2"/>
    </row>
    <row r="24676" spans="3:3" x14ac:dyDescent="0.35">
      <c r="C24676" s="2"/>
    </row>
    <row r="24677" spans="3:3" x14ac:dyDescent="0.35">
      <c r="C24677" s="2"/>
    </row>
    <row r="24678" spans="3:3" x14ac:dyDescent="0.35">
      <c r="C24678" s="2"/>
    </row>
    <row r="24679" spans="3:3" x14ac:dyDescent="0.35">
      <c r="C24679" s="2"/>
    </row>
    <row r="24680" spans="3:3" x14ac:dyDescent="0.35">
      <c r="C24680" s="2"/>
    </row>
    <row r="24681" spans="3:3" x14ac:dyDescent="0.35">
      <c r="C24681" s="2"/>
    </row>
    <row r="24682" spans="3:3" x14ac:dyDescent="0.35">
      <c r="C24682" s="2"/>
    </row>
    <row r="24683" spans="3:3" x14ac:dyDescent="0.35">
      <c r="C24683" s="2"/>
    </row>
    <row r="24684" spans="3:3" x14ac:dyDescent="0.35">
      <c r="C24684" s="2"/>
    </row>
    <row r="24685" spans="3:3" x14ac:dyDescent="0.35">
      <c r="C24685" s="2"/>
    </row>
    <row r="24686" spans="3:3" x14ac:dyDescent="0.35">
      <c r="C24686" s="2"/>
    </row>
    <row r="24687" spans="3:3" x14ac:dyDescent="0.35">
      <c r="C24687" s="2"/>
    </row>
    <row r="24688" spans="3:3" x14ac:dyDescent="0.35">
      <c r="C24688" s="2"/>
    </row>
    <row r="24689" spans="3:3" x14ac:dyDescent="0.35">
      <c r="C24689" s="2"/>
    </row>
    <row r="24690" spans="3:3" x14ac:dyDescent="0.35">
      <c r="C24690" s="2"/>
    </row>
    <row r="24691" spans="3:3" x14ac:dyDescent="0.35">
      <c r="C24691" s="2"/>
    </row>
    <row r="24692" spans="3:3" x14ac:dyDescent="0.35">
      <c r="C24692" s="2"/>
    </row>
    <row r="24693" spans="3:3" x14ac:dyDescent="0.35">
      <c r="C24693" s="2"/>
    </row>
    <row r="24694" spans="3:3" x14ac:dyDescent="0.35">
      <c r="C24694" s="2"/>
    </row>
    <row r="24695" spans="3:3" x14ac:dyDescent="0.35">
      <c r="C24695" s="2"/>
    </row>
    <row r="24696" spans="3:3" x14ac:dyDescent="0.35">
      <c r="C24696" s="2"/>
    </row>
    <row r="24697" spans="3:3" x14ac:dyDescent="0.35">
      <c r="C24697" s="2"/>
    </row>
    <row r="24698" spans="3:3" x14ac:dyDescent="0.35">
      <c r="C24698" s="2"/>
    </row>
    <row r="24699" spans="3:3" x14ac:dyDescent="0.35">
      <c r="C24699" s="2"/>
    </row>
    <row r="24700" spans="3:3" x14ac:dyDescent="0.35">
      <c r="C24700" s="2"/>
    </row>
    <row r="24701" spans="3:3" x14ac:dyDescent="0.35">
      <c r="C24701" s="2"/>
    </row>
    <row r="24702" spans="3:3" x14ac:dyDescent="0.35">
      <c r="C24702" s="2"/>
    </row>
    <row r="24703" spans="3:3" x14ac:dyDescent="0.35">
      <c r="C24703" s="2"/>
    </row>
    <row r="24704" spans="3:3" x14ac:dyDescent="0.35">
      <c r="C24704" s="2"/>
    </row>
    <row r="24705" spans="3:3" x14ac:dyDescent="0.35">
      <c r="C24705" s="2"/>
    </row>
    <row r="24706" spans="3:3" x14ac:dyDescent="0.35">
      <c r="C24706" s="2"/>
    </row>
    <row r="24707" spans="3:3" x14ac:dyDescent="0.35">
      <c r="C24707" s="2"/>
    </row>
    <row r="24708" spans="3:3" x14ac:dyDescent="0.35">
      <c r="C24708" s="2"/>
    </row>
    <row r="24709" spans="3:3" x14ac:dyDescent="0.35">
      <c r="C24709" s="2"/>
    </row>
    <row r="24710" spans="3:3" x14ac:dyDescent="0.35">
      <c r="C24710" s="2"/>
    </row>
    <row r="24711" spans="3:3" x14ac:dyDescent="0.35">
      <c r="C24711" s="2"/>
    </row>
    <row r="24712" spans="3:3" x14ac:dyDescent="0.35">
      <c r="C24712" s="2"/>
    </row>
    <row r="24713" spans="3:3" x14ac:dyDescent="0.35">
      <c r="C24713" s="2"/>
    </row>
    <row r="24714" spans="3:3" x14ac:dyDescent="0.35">
      <c r="C24714" s="2"/>
    </row>
    <row r="24715" spans="3:3" x14ac:dyDescent="0.35">
      <c r="C24715" s="2"/>
    </row>
    <row r="24716" spans="3:3" x14ac:dyDescent="0.35">
      <c r="C24716" s="2"/>
    </row>
    <row r="24717" spans="3:3" x14ac:dyDescent="0.35">
      <c r="C24717" s="2"/>
    </row>
    <row r="24718" spans="3:3" x14ac:dyDescent="0.35">
      <c r="C24718" s="2"/>
    </row>
    <row r="24719" spans="3:3" x14ac:dyDescent="0.35">
      <c r="C24719" s="2"/>
    </row>
    <row r="24720" spans="3:3" x14ac:dyDescent="0.35">
      <c r="C24720" s="2"/>
    </row>
    <row r="24721" spans="3:3" x14ac:dyDescent="0.35">
      <c r="C24721" s="2"/>
    </row>
    <row r="24722" spans="3:3" x14ac:dyDescent="0.35">
      <c r="C24722" s="2"/>
    </row>
    <row r="24723" spans="3:3" x14ac:dyDescent="0.35">
      <c r="C24723" s="2"/>
    </row>
    <row r="24724" spans="3:3" x14ac:dyDescent="0.35">
      <c r="C24724" s="2"/>
    </row>
    <row r="24725" spans="3:3" x14ac:dyDescent="0.35">
      <c r="C24725" s="2"/>
    </row>
    <row r="24726" spans="3:3" x14ac:dyDescent="0.35">
      <c r="C24726" s="2"/>
    </row>
    <row r="24727" spans="3:3" x14ac:dyDescent="0.35">
      <c r="C24727" s="2"/>
    </row>
    <row r="24728" spans="3:3" x14ac:dyDescent="0.35">
      <c r="C24728" s="2"/>
    </row>
    <row r="24729" spans="3:3" x14ac:dyDescent="0.35">
      <c r="C24729" s="2"/>
    </row>
    <row r="24730" spans="3:3" x14ac:dyDescent="0.35">
      <c r="C24730" s="2"/>
    </row>
    <row r="24731" spans="3:3" x14ac:dyDescent="0.35">
      <c r="C24731" s="2"/>
    </row>
    <row r="24732" spans="3:3" x14ac:dyDescent="0.35">
      <c r="C24732" s="2"/>
    </row>
    <row r="24733" spans="3:3" x14ac:dyDescent="0.35">
      <c r="C24733" s="2"/>
    </row>
    <row r="24734" spans="3:3" x14ac:dyDescent="0.35">
      <c r="C24734" s="2"/>
    </row>
    <row r="24735" spans="3:3" x14ac:dyDescent="0.35">
      <c r="C24735" s="2"/>
    </row>
    <row r="24736" spans="3:3" x14ac:dyDescent="0.35">
      <c r="C24736" s="2"/>
    </row>
    <row r="24737" spans="3:3" x14ac:dyDescent="0.35">
      <c r="C24737" s="2"/>
    </row>
    <row r="24738" spans="3:3" x14ac:dyDescent="0.35">
      <c r="C24738" s="2"/>
    </row>
    <row r="24739" spans="3:3" x14ac:dyDescent="0.35">
      <c r="C24739" s="2"/>
    </row>
    <row r="24740" spans="3:3" x14ac:dyDescent="0.35">
      <c r="C24740" s="2"/>
    </row>
    <row r="24741" spans="3:3" x14ac:dyDescent="0.35">
      <c r="C24741" s="2"/>
    </row>
    <row r="24742" spans="3:3" x14ac:dyDescent="0.35">
      <c r="C24742" s="2"/>
    </row>
    <row r="24743" spans="3:3" x14ac:dyDescent="0.35">
      <c r="C24743" s="2"/>
    </row>
    <row r="24744" spans="3:3" x14ac:dyDescent="0.35">
      <c r="C24744" s="2"/>
    </row>
    <row r="24745" spans="3:3" x14ac:dyDescent="0.35">
      <c r="C24745" s="2"/>
    </row>
    <row r="24746" spans="3:3" x14ac:dyDescent="0.35">
      <c r="C24746" s="2"/>
    </row>
    <row r="24747" spans="3:3" x14ac:dyDescent="0.35">
      <c r="C24747" s="2"/>
    </row>
    <row r="24748" spans="3:3" x14ac:dyDescent="0.35">
      <c r="C24748" s="2"/>
    </row>
    <row r="24749" spans="3:3" x14ac:dyDescent="0.35">
      <c r="C24749" s="2"/>
    </row>
    <row r="24750" spans="3:3" x14ac:dyDescent="0.35">
      <c r="C24750" s="2"/>
    </row>
    <row r="24751" spans="3:3" x14ac:dyDescent="0.35">
      <c r="C24751" s="2"/>
    </row>
    <row r="24752" spans="3:3" x14ac:dyDescent="0.35">
      <c r="C24752" s="2"/>
    </row>
    <row r="24753" spans="3:3" x14ac:dyDescent="0.35">
      <c r="C24753" s="2"/>
    </row>
    <row r="24754" spans="3:3" x14ac:dyDescent="0.35">
      <c r="C24754" s="2"/>
    </row>
    <row r="24755" spans="3:3" x14ac:dyDescent="0.35">
      <c r="C24755" s="2"/>
    </row>
    <row r="24756" spans="3:3" x14ac:dyDescent="0.35">
      <c r="C24756" s="2"/>
    </row>
    <row r="24757" spans="3:3" x14ac:dyDescent="0.35">
      <c r="C24757" s="2"/>
    </row>
    <row r="24758" spans="3:3" x14ac:dyDescent="0.35">
      <c r="C24758" s="2"/>
    </row>
    <row r="24759" spans="3:3" x14ac:dyDescent="0.35">
      <c r="C24759" s="2"/>
    </row>
    <row r="24760" spans="3:3" x14ac:dyDescent="0.35">
      <c r="C24760" s="2"/>
    </row>
    <row r="24761" spans="3:3" x14ac:dyDescent="0.35">
      <c r="C24761" s="2"/>
    </row>
    <row r="24762" spans="3:3" x14ac:dyDescent="0.35">
      <c r="C24762" s="2"/>
    </row>
    <row r="24763" spans="3:3" x14ac:dyDescent="0.35">
      <c r="C24763" s="2"/>
    </row>
    <row r="24764" spans="3:3" x14ac:dyDescent="0.35">
      <c r="C24764" s="2"/>
    </row>
    <row r="24765" spans="3:3" x14ac:dyDescent="0.35">
      <c r="C24765" s="2"/>
    </row>
    <row r="24766" spans="3:3" x14ac:dyDescent="0.35">
      <c r="C24766" s="2"/>
    </row>
    <row r="24767" spans="3:3" x14ac:dyDescent="0.35">
      <c r="C24767" s="2"/>
    </row>
    <row r="24768" spans="3:3" x14ac:dyDescent="0.35">
      <c r="C24768" s="2"/>
    </row>
    <row r="24769" spans="3:3" x14ac:dyDescent="0.35">
      <c r="C24769" s="2"/>
    </row>
    <row r="24770" spans="3:3" x14ac:dyDescent="0.35">
      <c r="C24770" s="2"/>
    </row>
    <row r="24771" spans="3:3" x14ac:dyDescent="0.35">
      <c r="C24771" s="2"/>
    </row>
    <row r="24772" spans="3:3" x14ac:dyDescent="0.35">
      <c r="C24772" s="2"/>
    </row>
    <row r="24773" spans="3:3" x14ac:dyDescent="0.35">
      <c r="C24773" s="2"/>
    </row>
    <row r="24774" spans="3:3" x14ac:dyDescent="0.35">
      <c r="C24774" s="2"/>
    </row>
    <row r="24775" spans="3:3" x14ac:dyDescent="0.35">
      <c r="C24775" s="2"/>
    </row>
    <row r="24776" spans="3:3" x14ac:dyDescent="0.35">
      <c r="C24776" s="2"/>
    </row>
    <row r="24777" spans="3:3" x14ac:dyDescent="0.35">
      <c r="C24777" s="2"/>
    </row>
    <row r="24778" spans="3:3" x14ac:dyDescent="0.35">
      <c r="C24778" s="2"/>
    </row>
    <row r="24779" spans="3:3" x14ac:dyDescent="0.35">
      <c r="C24779" s="2"/>
    </row>
    <row r="24780" spans="3:3" x14ac:dyDescent="0.35">
      <c r="C24780" s="2"/>
    </row>
    <row r="24781" spans="3:3" x14ac:dyDescent="0.35">
      <c r="C24781" s="2"/>
    </row>
    <row r="24782" spans="3:3" x14ac:dyDescent="0.35">
      <c r="C24782" s="2"/>
    </row>
    <row r="24783" spans="3:3" x14ac:dyDescent="0.35">
      <c r="C24783" s="2"/>
    </row>
    <row r="24784" spans="3:3" x14ac:dyDescent="0.35">
      <c r="C24784" s="2"/>
    </row>
    <row r="24785" spans="3:3" x14ac:dyDescent="0.35">
      <c r="C24785" s="2"/>
    </row>
    <row r="24786" spans="3:3" x14ac:dyDescent="0.35">
      <c r="C24786" s="2"/>
    </row>
    <row r="24787" spans="3:3" x14ac:dyDescent="0.35">
      <c r="C24787" s="2"/>
    </row>
    <row r="24788" spans="3:3" x14ac:dyDescent="0.35">
      <c r="C24788" s="2"/>
    </row>
    <row r="24789" spans="3:3" x14ac:dyDescent="0.35">
      <c r="C24789" s="2"/>
    </row>
    <row r="24790" spans="3:3" x14ac:dyDescent="0.35">
      <c r="C24790" s="2"/>
    </row>
    <row r="24791" spans="3:3" x14ac:dyDescent="0.35">
      <c r="C24791" s="2"/>
    </row>
    <row r="24792" spans="3:3" x14ac:dyDescent="0.35">
      <c r="C24792" s="2"/>
    </row>
    <row r="24793" spans="3:3" x14ac:dyDescent="0.35">
      <c r="C24793" s="2"/>
    </row>
    <row r="24794" spans="3:3" x14ac:dyDescent="0.35">
      <c r="C24794" s="2"/>
    </row>
    <row r="24795" spans="3:3" x14ac:dyDescent="0.35">
      <c r="C24795" s="2"/>
    </row>
    <row r="24796" spans="3:3" x14ac:dyDescent="0.35">
      <c r="C24796" s="2"/>
    </row>
    <row r="24797" spans="3:3" x14ac:dyDescent="0.35">
      <c r="C24797" s="2"/>
    </row>
    <row r="24798" spans="3:3" x14ac:dyDescent="0.35">
      <c r="C24798" s="2"/>
    </row>
    <row r="24799" spans="3:3" x14ac:dyDescent="0.35">
      <c r="C24799" s="2"/>
    </row>
    <row r="24800" spans="3:3" x14ac:dyDescent="0.35">
      <c r="C24800" s="2"/>
    </row>
    <row r="24801" spans="3:3" x14ac:dyDescent="0.35">
      <c r="C24801" s="2"/>
    </row>
    <row r="24802" spans="3:3" x14ac:dyDescent="0.35">
      <c r="C24802" s="2"/>
    </row>
    <row r="24803" spans="3:3" x14ac:dyDescent="0.35">
      <c r="C24803" s="2"/>
    </row>
    <row r="24804" spans="3:3" x14ac:dyDescent="0.35">
      <c r="C24804" s="2"/>
    </row>
    <row r="24805" spans="3:3" x14ac:dyDescent="0.35">
      <c r="C24805" s="2"/>
    </row>
    <row r="24806" spans="3:3" x14ac:dyDescent="0.35">
      <c r="C24806" s="2"/>
    </row>
    <row r="24807" spans="3:3" x14ac:dyDescent="0.35">
      <c r="C24807" s="2"/>
    </row>
    <row r="24808" spans="3:3" x14ac:dyDescent="0.35">
      <c r="C24808" s="2"/>
    </row>
    <row r="24809" spans="3:3" x14ac:dyDescent="0.35">
      <c r="C24809" s="2"/>
    </row>
    <row r="24810" spans="3:3" x14ac:dyDescent="0.35">
      <c r="C24810" s="2"/>
    </row>
    <row r="24811" spans="3:3" x14ac:dyDescent="0.35">
      <c r="C24811" s="2"/>
    </row>
    <row r="24812" spans="3:3" x14ac:dyDescent="0.35">
      <c r="C24812" s="2"/>
    </row>
    <row r="24813" spans="3:3" x14ac:dyDescent="0.35">
      <c r="C24813" s="2"/>
    </row>
    <row r="24814" spans="3:3" x14ac:dyDescent="0.35">
      <c r="C24814" s="2"/>
    </row>
    <row r="24815" spans="3:3" x14ac:dyDescent="0.35">
      <c r="C24815" s="2"/>
    </row>
    <row r="24816" spans="3:3" x14ac:dyDescent="0.35">
      <c r="C24816" s="2"/>
    </row>
    <row r="24817" spans="3:3" x14ac:dyDescent="0.35">
      <c r="C24817" s="2"/>
    </row>
    <row r="24818" spans="3:3" x14ac:dyDescent="0.35">
      <c r="C24818" s="2"/>
    </row>
    <row r="24819" spans="3:3" x14ac:dyDescent="0.35">
      <c r="C24819" s="2"/>
    </row>
    <row r="24820" spans="3:3" x14ac:dyDescent="0.35">
      <c r="C24820" s="2"/>
    </row>
    <row r="24821" spans="3:3" x14ac:dyDescent="0.35">
      <c r="C24821" s="2"/>
    </row>
    <row r="24822" spans="3:3" x14ac:dyDescent="0.35">
      <c r="C24822" s="2"/>
    </row>
    <row r="24823" spans="3:3" x14ac:dyDescent="0.35">
      <c r="C24823" s="2"/>
    </row>
    <row r="24824" spans="3:3" x14ac:dyDescent="0.35">
      <c r="C24824" s="2"/>
    </row>
    <row r="24825" spans="3:3" x14ac:dyDescent="0.35">
      <c r="C24825" s="2"/>
    </row>
    <row r="24826" spans="3:3" x14ac:dyDescent="0.35">
      <c r="C24826" s="2"/>
    </row>
    <row r="24827" spans="3:3" x14ac:dyDescent="0.35">
      <c r="C24827" s="2"/>
    </row>
    <row r="24828" spans="3:3" x14ac:dyDescent="0.35">
      <c r="C24828" s="2"/>
    </row>
    <row r="24829" spans="3:3" x14ac:dyDescent="0.35">
      <c r="C24829" s="2"/>
    </row>
    <row r="24830" spans="3:3" x14ac:dyDescent="0.35">
      <c r="C24830" s="2"/>
    </row>
    <row r="24831" spans="3:3" x14ac:dyDescent="0.35">
      <c r="C24831" s="2"/>
    </row>
    <row r="24832" spans="3:3" x14ac:dyDescent="0.35">
      <c r="C24832" s="2"/>
    </row>
    <row r="24833" spans="3:3" x14ac:dyDescent="0.35">
      <c r="C24833" s="2"/>
    </row>
    <row r="24834" spans="3:3" x14ac:dyDescent="0.35">
      <c r="C24834" s="2"/>
    </row>
    <row r="24835" spans="3:3" x14ac:dyDescent="0.35">
      <c r="C24835" s="2"/>
    </row>
    <row r="24836" spans="3:3" x14ac:dyDescent="0.35">
      <c r="C24836" s="2"/>
    </row>
    <row r="24837" spans="3:3" x14ac:dyDescent="0.35">
      <c r="C24837" s="2"/>
    </row>
    <row r="24838" spans="3:3" x14ac:dyDescent="0.35">
      <c r="C24838" s="2"/>
    </row>
    <row r="24839" spans="3:3" x14ac:dyDescent="0.35">
      <c r="C24839" s="2"/>
    </row>
    <row r="24840" spans="3:3" x14ac:dyDescent="0.35">
      <c r="C24840" s="2"/>
    </row>
    <row r="24841" spans="3:3" x14ac:dyDescent="0.35">
      <c r="C24841" s="2"/>
    </row>
    <row r="24842" spans="3:3" x14ac:dyDescent="0.35">
      <c r="C24842" s="2"/>
    </row>
    <row r="24843" spans="3:3" x14ac:dyDescent="0.35">
      <c r="C24843" s="2"/>
    </row>
    <row r="24844" spans="3:3" x14ac:dyDescent="0.35">
      <c r="C24844" s="2"/>
    </row>
    <row r="24845" spans="3:3" x14ac:dyDescent="0.35">
      <c r="C24845" s="2"/>
    </row>
    <row r="24846" spans="3:3" x14ac:dyDescent="0.35">
      <c r="C24846" s="2"/>
    </row>
    <row r="24847" spans="3:3" x14ac:dyDescent="0.35">
      <c r="C24847" s="2"/>
    </row>
    <row r="24848" spans="3:3" x14ac:dyDescent="0.35">
      <c r="C24848" s="2"/>
    </row>
    <row r="24849" spans="3:3" x14ac:dyDescent="0.35">
      <c r="C24849" s="2"/>
    </row>
    <row r="24850" spans="3:3" x14ac:dyDescent="0.35">
      <c r="C24850" s="2"/>
    </row>
    <row r="24851" spans="3:3" x14ac:dyDescent="0.35">
      <c r="C24851" s="2"/>
    </row>
    <row r="24852" spans="3:3" x14ac:dyDescent="0.35">
      <c r="C24852" s="2"/>
    </row>
    <row r="24853" spans="3:3" x14ac:dyDescent="0.35">
      <c r="C24853" s="2"/>
    </row>
    <row r="24854" spans="3:3" x14ac:dyDescent="0.35">
      <c r="C24854" s="2"/>
    </row>
    <row r="24855" spans="3:3" x14ac:dyDescent="0.35">
      <c r="C24855" s="2"/>
    </row>
    <row r="24856" spans="3:3" x14ac:dyDescent="0.35">
      <c r="C24856" s="2"/>
    </row>
    <row r="24857" spans="3:3" x14ac:dyDescent="0.35">
      <c r="C24857" s="2"/>
    </row>
    <row r="24858" spans="3:3" x14ac:dyDescent="0.35">
      <c r="C24858" s="2"/>
    </row>
    <row r="24859" spans="3:3" x14ac:dyDescent="0.35">
      <c r="C24859" s="2"/>
    </row>
    <row r="24860" spans="3:3" x14ac:dyDescent="0.35">
      <c r="C24860" s="2"/>
    </row>
    <row r="24861" spans="3:3" x14ac:dyDescent="0.35">
      <c r="C24861" s="2"/>
    </row>
    <row r="24862" spans="3:3" x14ac:dyDescent="0.35">
      <c r="C24862" s="2"/>
    </row>
    <row r="24863" spans="3:3" x14ac:dyDescent="0.35">
      <c r="C24863" s="2"/>
    </row>
    <row r="24864" spans="3:3" x14ac:dyDescent="0.35">
      <c r="C24864" s="2"/>
    </row>
    <row r="24865" spans="3:3" x14ac:dyDescent="0.35">
      <c r="C24865" s="2"/>
    </row>
    <row r="24866" spans="3:3" x14ac:dyDescent="0.35">
      <c r="C24866" s="2"/>
    </row>
    <row r="24867" spans="3:3" x14ac:dyDescent="0.35">
      <c r="C24867" s="2"/>
    </row>
    <row r="24868" spans="3:3" x14ac:dyDescent="0.35">
      <c r="C24868" s="2"/>
    </row>
    <row r="24869" spans="3:3" x14ac:dyDescent="0.35">
      <c r="C24869" s="2"/>
    </row>
    <row r="24870" spans="3:3" x14ac:dyDescent="0.35">
      <c r="C24870" s="2"/>
    </row>
    <row r="24871" spans="3:3" x14ac:dyDescent="0.35">
      <c r="C24871" s="2"/>
    </row>
    <row r="24872" spans="3:3" x14ac:dyDescent="0.35">
      <c r="C24872" s="2"/>
    </row>
    <row r="24873" spans="3:3" x14ac:dyDescent="0.35">
      <c r="C24873" s="2"/>
    </row>
    <row r="24874" spans="3:3" x14ac:dyDescent="0.35">
      <c r="C24874" s="2"/>
    </row>
    <row r="24875" spans="3:3" x14ac:dyDescent="0.35">
      <c r="C24875" s="2"/>
    </row>
    <row r="24876" spans="3:3" x14ac:dyDescent="0.35">
      <c r="C24876" s="2"/>
    </row>
    <row r="24877" spans="3:3" x14ac:dyDescent="0.35">
      <c r="C24877" s="2"/>
    </row>
    <row r="24878" spans="3:3" x14ac:dyDescent="0.35">
      <c r="C24878" s="2"/>
    </row>
    <row r="24879" spans="3:3" x14ac:dyDescent="0.35">
      <c r="C24879" s="2"/>
    </row>
    <row r="24880" spans="3:3" x14ac:dyDescent="0.35">
      <c r="C24880" s="2"/>
    </row>
    <row r="24881" spans="3:3" x14ac:dyDescent="0.35">
      <c r="C24881" s="2"/>
    </row>
    <row r="24882" spans="3:3" x14ac:dyDescent="0.35">
      <c r="C24882" s="2"/>
    </row>
    <row r="24883" spans="3:3" x14ac:dyDescent="0.35">
      <c r="C24883" s="2"/>
    </row>
    <row r="24884" spans="3:3" x14ac:dyDescent="0.35">
      <c r="C24884" s="2"/>
    </row>
    <row r="24885" spans="3:3" x14ac:dyDescent="0.35">
      <c r="C24885" s="2"/>
    </row>
    <row r="24886" spans="3:3" x14ac:dyDescent="0.35">
      <c r="C24886" s="2"/>
    </row>
    <row r="24887" spans="3:3" x14ac:dyDescent="0.35">
      <c r="C24887" s="2"/>
    </row>
    <row r="24888" spans="3:3" x14ac:dyDescent="0.35">
      <c r="C24888" s="2"/>
    </row>
    <row r="24889" spans="3:3" x14ac:dyDescent="0.35">
      <c r="C24889" s="2"/>
    </row>
    <row r="24890" spans="3:3" x14ac:dyDescent="0.35">
      <c r="C24890" s="2"/>
    </row>
    <row r="24891" spans="3:3" x14ac:dyDescent="0.35">
      <c r="C24891" s="2"/>
    </row>
    <row r="24892" spans="3:3" x14ac:dyDescent="0.35">
      <c r="C24892" s="2"/>
    </row>
    <row r="24893" spans="3:3" x14ac:dyDescent="0.35">
      <c r="C24893" s="2"/>
    </row>
    <row r="24894" spans="3:3" x14ac:dyDescent="0.35">
      <c r="C24894" s="2"/>
    </row>
    <row r="24895" spans="3:3" x14ac:dyDescent="0.35">
      <c r="C24895" s="2"/>
    </row>
    <row r="24896" spans="3:3" x14ac:dyDescent="0.35">
      <c r="C24896" s="2"/>
    </row>
    <row r="24897" spans="3:3" x14ac:dyDescent="0.35">
      <c r="C24897" s="2"/>
    </row>
    <row r="24898" spans="3:3" x14ac:dyDescent="0.35">
      <c r="C24898" s="2"/>
    </row>
    <row r="24899" spans="3:3" x14ac:dyDescent="0.35">
      <c r="C24899" s="2"/>
    </row>
    <row r="24900" spans="3:3" x14ac:dyDescent="0.35">
      <c r="C24900" s="2"/>
    </row>
    <row r="24901" spans="3:3" x14ac:dyDescent="0.35">
      <c r="C24901" s="2"/>
    </row>
    <row r="24902" spans="3:3" x14ac:dyDescent="0.35">
      <c r="C24902" s="2"/>
    </row>
    <row r="24903" spans="3:3" x14ac:dyDescent="0.35">
      <c r="C24903" s="2"/>
    </row>
    <row r="24904" spans="3:3" x14ac:dyDescent="0.35">
      <c r="C24904" s="2"/>
    </row>
    <row r="24905" spans="3:3" x14ac:dyDescent="0.35">
      <c r="C24905" s="2"/>
    </row>
    <row r="24906" spans="3:3" x14ac:dyDescent="0.35">
      <c r="C24906" s="2"/>
    </row>
    <row r="24907" spans="3:3" x14ac:dyDescent="0.35">
      <c r="C24907" s="2"/>
    </row>
    <row r="24908" spans="3:3" x14ac:dyDescent="0.35">
      <c r="C24908" s="2"/>
    </row>
    <row r="24909" spans="3:3" x14ac:dyDescent="0.35">
      <c r="C24909" s="2"/>
    </row>
    <row r="24910" spans="3:3" x14ac:dyDescent="0.35">
      <c r="C24910" s="2"/>
    </row>
    <row r="24911" spans="3:3" x14ac:dyDescent="0.35">
      <c r="C24911" s="2"/>
    </row>
    <row r="24912" spans="3:3" x14ac:dyDescent="0.35">
      <c r="C24912" s="2"/>
    </row>
    <row r="24913" spans="3:3" x14ac:dyDescent="0.35">
      <c r="C24913" s="2"/>
    </row>
    <row r="24914" spans="3:3" x14ac:dyDescent="0.35">
      <c r="C24914" s="2"/>
    </row>
    <row r="24915" spans="3:3" x14ac:dyDescent="0.35">
      <c r="C24915" s="2"/>
    </row>
    <row r="24916" spans="3:3" x14ac:dyDescent="0.35">
      <c r="C24916" s="2"/>
    </row>
    <row r="24917" spans="3:3" x14ac:dyDescent="0.35">
      <c r="C24917" s="2"/>
    </row>
    <row r="24918" spans="3:3" x14ac:dyDescent="0.35">
      <c r="C24918" s="2"/>
    </row>
    <row r="24919" spans="3:3" x14ac:dyDescent="0.35">
      <c r="C24919" s="2"/>
    </row>
    <row r="24920" spans="3:3" x14ac:dyDescent="0.35">
      <c r="C24920" s="2"/>
    </row>
    <row r="24921" spans="3:3" x14ac:dyDescent="0.35">
      <c r="C24921" s="2"/>
    </row>
    <row r="24922" spans="3:3" x14ac:dyDescent="0.35">
      <c r="C24922" s="2"/>
    </row>
    <row r="24923" spans="3:3" x14ac:dyDescent="0.35">
      <c r="C24923" s="2"/>
    </row>
    <row r="24924" spans="3:3" x14ac:dyDescent="0.35">
      <c r="C24924" s="2"/>
    </row>
    <row r="24925" spans="3:3" x14ac:dyDescent="0.35">
      <c r="C24925" s="2"/>
    </row>
    <row r="24926" spans="3:3" x14ac:dyDescent="0.35">
      <c r="C24926" s="2"/>
    </row>
    <row r="24927" spans="3:3" x14ac:dyDescent="0.35">
      <c r="C24927" s="2"/>
    </row>
    <row r="24928" spans="3:3" x14ac:dyDescent="0.35">
      <c r="C24928" s="2"/>
    </row>
    <row r="24929" spans="3:3" x14ac:dyDescent="0.35">
      <c r="C24929" s="2"/>
    </row>
    <row r="24930" spans="3:3" x14ac:dyDescent="0.35">
      <c r="C24930" s="2"/>
    </row>
    <row r="24931" spans="3:3" x14ac:dyDescent="0.35">
      <c r="C24931" s="2"/>
    </row>
    <row r="24932" spans="3:3" x14ac:dyDescent="0.35">
      <c r="C24932" s="2"/>
    </row>
    <row r="24933" spans="3:3" x14ac:dyDescent="0.35">
      <c r="C24933" s="2"/>
    </row>
    <row r="24934" spans="3:3" x14ac:dyDescent="0.35">
      <c r="C24934" s="2"/>
    </row>
    <row r="24935" spans="3:3" x14ac:dyDescent="0.35">
      <c r="C24935" s="2"/>
    </row>
    <row r="24936" spans="3:3" x14ac:dyDescent="0.35">
      <c r="C24936" s="2"/>
    </row>
    <row r="24937" spans="3:3" x14ac:dyDescent="0.35">
      <c r="C24937" s="2"/>
    </row>
    <row r="24938" spans="3:3" x14ac:dyDescent="0.35">
      <c r="C24938" s="2"/>
    </row>
    <row r="24939" spans="3:3" x14ac:dyDescent="0.35">
      <c r="C24939" s="2"/>
    </row>
    <row r="24940" spans="3:3" x14ac:dyDescent="0.35">
      <c r="C24940" s="2"/>
    </row>
    <row r="24941" spans="3:3" x14ac:dyDescent="0.35">
      <c r="C24941" s="2"/>
    </row>
    <row r="24942" spans="3:3" x14ac:dyDescent="0.35">
      <c r="C24942" s="2"/>
    </row>
    <row r="24943" spans="3:3" x14ac:dyDescent="0.35">
      <c r="C24943" s="2"/>
    </row>
    <row r="24944" spans="3:3" x14ac:dyDescent="0.35">
      <c r="C24944" s="2"/>
    </row>
    <row r="24945" spans="3:3" x14ac:dyDescent="0.35">
      <c r="C24945" s="2"/>
    </row>
    <row r="24946" spans="3:3" x14ac:dyDescent="0.35">
      <c r="C24946" s="2"/>
    </row>
    <row r="24947" spans="3:3" x14ac:dyDescent="0.35">
      <c r="C24947" s="2"/>
    </row>
    <row r="24948" spans="3:3" x14ac:dyDescent="0.35">
      <c r="C24948" s="2"/>
    </row>
    <row r="24949" spans="3:3" x14ac:dyDescent="0.35">
      <c r="C24949" s="2"/>
    </row>
    <row r="24950" spans="3:3" x14ac:dyDescent="0.35">
      <c r="C24950" s="2"/>
    </row>
    <row r="24951" spans="3:3" x14ac:dyDescent="0.35">
      <c r="C24951" s="2"/>
    </row>
    <row r="24952" spans="3:3" x14ac:dyDescent="0.35">
      <c r="C24952" s="2"/>
    </row>
    <row r="24953" spans="3:3" x14ac:dyDescent="0.35">
      <c r="C24953" s="2"/>
    </row>
    <row r="24954" spans="3:3" x14ac:dyDescent="0.35">
      <c r="C24954" s="2"/>
    </row>
    <row r="24955" spans="3:3" x14ac:dyDescent="0.35">
      <c r="C24955" s="2"/>
    </row>
    <row r="24956" spans="3:3" x14ac:dyDescent="0.35">
      <c r="C24956" s="2"/>
    </row>
    <row r="24957" spans="3:3" x14ac:dyDescent="0.35">
      <c r="C24957" s="2"/>
    </row>
    <row r="24958" spans="3:3" x14ac:dyDescent="0.35">
      <c r="C24958" s="2"/>
    </row>
    <row r="24959" spans="3:3" x14ac:dyDescent="0.35">
      <c r="C24959" s="2"/>
    </row>
    <row r="24960" spans="3:3" x14ac:dyDescent="0.35">
      <c r="C24960" s="2"/>
    </row>
    <row r="24961" spans="3:3" x14ac:dyDescent="0.35">
      <c r="C24961" s="2"/>
    </row>
    <row r="24962" spans="3:3" x14ac:dyDescent="0.35">
      <c r="C24962" s="2"/>
    </row>
    <row r="24963" spans="3:3" x14ac:dyDescent="0.35">
      <c r="C24963" s="2"/>
    </row>
    <row r="24964" spans="3:3" x14ac:dyDescent="0.35">
      <c r="C24964" s="2"/>
    </row>
    <row r="24965" spans="3:3" x14ac:dyDescent="0.35">
      <c r="C24965" s="2"/>
    </row>
    <row r="24966" spans="3:3" x14ac:dyDescent="0.35">
      <c r="C24966" s="2"/>
    </row>
    <row r="24967" spans="3:3" x14ac:dyDescent="0.35">
      <c r="C24967" s="2"/>
    </row>
    <row r="24968" spans="3:3" x14ac:dyDescent="0.35">
      <c r="C24968" s="2"/>
    </row>
    <row r="24969" spans="3:3" x14ac:dyDescent="0.35">
      <c r="C24969" s="2"/>
    </row>
    <row r="24970" spans="3:3" x14ac:dyDescent="0.35">
      <c r="C24970" s="2"/>
    </row>
    <row r="24971" spans="3:3" x14ac:dyDescent="0.35">
      <c r="C24971" s="2"/>
    </row>
    <row r="24972" spans="3:3" x14ac:dyDescent="0.35">
      <c r="C24972" s="2"/>
    </row>
    <row r="24973" spans="3:3" x14ac:dyDescent="0.35">
      <c r="C24973" s="2"/>
    </row>
    <row r="24974" spans="3:3" x14ac:dyDescent="0.35">
      <c r="C24974" s="2"/>
    </row>
    <row r="24975" spans="3:3" x14ac:dyDescent="0.35">
      <c r="C24975" s="2"/>
    </row>
    <row r="24976" spans="3:3" x14ac:dyDescent="0.35">
      <c r="C24976" s="2"/>
    </row>
    <row r="24977" spans="3:3" x14ac:dyDescent="0.35">
      <c r="C24977" s="2"/>
    </row>
    <row r="24978" spans="3:3" x14ac:dyDescent="0.35">
      <c r="C24978" s="2"/>
    </row>
    <row r="24979" spans="3:3" x14ac:dyDescent="0.35">
      <c r="C24979" s="2"/>
    </row>
    <row r="24980" spans="3:3" x14ac:dyDescent="0.35">
      <c r="C24980" s="2"/>
    </row>
    <row r="24981" spans="3:3" x14ac:dyDescent="0.35">
      <c r="C24981" s="2"/>
    </row>
    <row r="24982" spans="3:3" x14ac:dyDescent="0.35">
      <c r="C24982" s="2"/>
    </row>
    <row r="24983" spans="3:3" x14ac:dyDescent="0.35">
      <c r="C24983" s="2"/>
    </row>
    <row r="24984" spans="3:3" x14ac:dyDescent="0.35">
      <c r="C24984" s="2"/>
    </row>
    <row r="24985" spans="3:3" x14ac:dyDescent="0.35">
      <c r="C24985" s="2"/>
    </row>
    <row r="24986" spans="3:3" x14ac:dyDescent="0.35">
      <c r="C24986" s="2"/>
    </row>
    <row r="24987" spans="3:3" x14ac:dyDescent="0.35">
      <c r="C24987" s="2"/>
    </row>
    <row r="24988" spans="3:3" x14ac:dyDescent="0.35">
      <c r="C24988" s="2"/>
    </row>
    <row r="24989" spans="3:3" x14ac:dyDescent="0.35">
      <c r="C24989" s="2"/>
    </row>
    <row r="24990" spans="3:3" x14ac:dyDescent="0.35">
      <c r="C24990" s="2"/>
    </row>
    <row r="24991" spans="3:3" x14ac:dyDescent="0.35">
      <c r="C24991" s="2"/>
    </row>
    <row r="24992" spans="3:3" x14ac:dyDescent="0.35">
      <c r="C24992" s="2"/>
    </row>
    <row r="24993" spans="3:3" x14ac:dyDescent="0.35">
      <c r="C24993" s="2"/>
    </row>
    <row r="24994" spans="3:3" x14ac:dyDescent="0.35">
      <c r="C24994" s="2"/>
    </row>
    <row r="24995" spans="3:3" x14ac:dyDescent="0.35">
      <c r="C24995" s="2"/>
    </row>
    <row r="24996" spans="3:3" x14ac:dyDescent="0.35">
      <c r="C24996" s="2"/>
    </row>
    <row r="24997" spans="3:3" x14ac:dyDescent="0.35">
      <c r="C24997" s="2"/>
    </row>
    <row r="24998" spans="3:3" x14ac:dyDescent="0.35">
      <c r="C24998" s="2"/>
    </row>
    <row r="24999" spans="3:3" x14ac:dyDescent="0.35">
      <c r="C24999" s="2"/>
    </row>
    <row r="25000" spans="3:3" x14ac:dyDescent="0.35">
      <c r="C25000" s="2"/>
    </row>
    <row r="25001" spans="3:3" x14ac:dyDescent="0.35">
      <c r="C25001" s="2"/>
    </row>
    <row r="25002" spans="3:3" x14ac:dyDescent="0.35">
      <c r="C25002" s="2"/>
    </row>
    <row r="25003" spans="3:3" x14ac:dyDescent="0.35">
      <c r="C25003" s="2"/>
    </row>
    <row r="25004" spans="3:3" x14ac:dyDescent="0.35">
      <c r="C25004" s="2"/>
    </row>
    <row r="25005" spans="3:3" x14ac:dyDescent="0.35">
      <c r="C25005" s="2"/>
    </row>
    <row r="25006" spans="3:3" x14ac:dyDescent="0.35">
      <c r="C25006" s="2"/>
    </row>
    <row r="25007" spans="3:3" x14ac:dyDescent="0.35">
      <c r="C25007" s="2"/>
    </row>
    <row r="25008" spans="3:3" x14ac:dyDescent="0.35">
      <c r="C25008" s="2"/>
    </row>
    <row r="25009" spans="3:3" x14ac:dyDescent="0.35">
      <c r="C25009" s="2"/>
    </row>
    <row r="25010" spans="3:3" x14ac:dyDescent="0.35">
      <c r="C25010" s="2"/>
    </row>
    <row r="25011" spans="3:3" x14ac:dyDescent="0.35">
      <c r="C25011" s="2"/>
    </row>
    <row r="25012" spans="3:3" x14ac:dyDescent="0.35">
      <c r="C25012" s="2"/>
    </row>
    <row r="25013" spans="3:3" x14ac:dyDescent="0.35">
      <c r="C25013" s="2"/>
    </row>
    <row r="25014" spans="3:3" x14ac:dyDescent="0.35">
      <c r="C25014" s="2"/>
    </row>
    <row r="25015" spans="3:3" x14ac:dyDescent="0.35">
      <c r="C25015" s="2"/>
    </row>
    <row r="25016" spans="3:3" x14ac:dyDescent="0.35">
      <c r="C25016" s="2"/>
    </row>
    <row r="25017" spans="3:3" x14ac:dyDescent="0.35">
      <c r="C25017" s="2"/>
    </row>
    <row r="25018" spans="3:3" x14ac:dyDescent="0.35">
      <c r="C25018" s="2"/>
    </row>
    <row r="25019" spans="3:3" x14ac:dyDescent="0.35">
      <c r="C25019" s="2"/>
    </row>
    <row r="25020" spans="3:3" x14ac:dyDescent="0.35">
      <c r="C25020" s="2"/>
    </row>
    <row r="25021" spans="3:3" x14ac:dyDescent="0.35">
      <c r="C25021" s="2"/>
    </row>
    <row r="25022" spans="3:3" x14ac:dyDescent="0.35">
      <c r="C25022" s="2"/>
    </row>
    <row r="25023" spans="3:3" x14ac:dyDescent="0.35">
      <c r="C25023" s="2"/>
    </row>
    <row r="25024" spans="3:3" x14ac:dyDescent="0.35">
      <c r="C25024" s="2"/>
    </row>
    <row r="25025" spans="3:3" x14ac:dyDescent="0.35">
      <c r="C25025" s="2"/>
    </row>
    <row r="25026" spans="3:3" x14ac:dyDescent="0.35">
      <c r="C25026" s="2"/>
    </row>
    <row r="25027" spans="3:3" x14ac:dyDescent="0.35">
      <c r="C25027" s="2"/>
    </row>
    <row r="25028" spans="3:3" x14ac:dyDescent="0.35">
      <c r="C25028" s="2"/>
    </row>
    <row r="25029" spans="3:3" x14ac:dyDescent="0.35">
      <c r="C25029" s="2"/>
    </row>
    <row r="25030" spans="3:3" x14ac:dyDescent="0.35">
      <c r="C25030" s="2"/>
    </row>
    <row r="25031" spans="3:3" x14ac:dyDescent="0.35">
      <c r="C25031" s="2"/>
    </row>
    <row r="25032" spans="3:3" x14ac:dyDescent="0.35">
      <c r="C25032" s="2"/>
    </row>
    <row r="25033" spans="3:3" x14ac:dyDescent="0.35">
      <c r="C25033" s="2"/>
    </row>
    <row r="25034" spans="3:3" x14ac:dyDescent="0.35">
      <c r="C25034" s="2"/>
    </row>
    <row r="25035" spans="3:3" x14ac:dyDescent="0.35">
      <c r="C25035" s="2"/>
    </row>
    <row r="25036" spans="3:3" x14ac:dyDescent="0.35">
      <c r="C25036" s="2"/>
    </row>
    <row r="25037" spans="3:3" x14ac:dyDescent="0.35">
      <c r="C25037" s="2"/>
    </row>
    <row r="25038" spans="3:3" x14ac:dyDescent="0.35">
      <c r="C25038" s="2"/>
    </row>
    <row r="25039" spans="3:3" x14ac:dyDescent="0.35">
      <c r="C25039" s="2"/>
    </row>
    <row r="25040" spans="3:3" x14ac:dyDescent="0.35">
      <c r="C25040" s="2"/>
    </row>
    <row r="25041" spans="3:3" x14ac:dyDescent="0.35">
      <c r="C25041" s="2"/>
    </row>
    <row r="25042" spans="3:3" x14ac:dyDescent="0.35">
      <c r="C25042" s="2"/>
    </row>
    <row r="25043" spans="3:3" x14ac:dyDescent="0.35">
      <c r="C25043" s="2"/>
    </row>
    <row r="25044" spans="3:3" x14ac:dyDescent="0.35">
      <c r="C25044" s="2"/>
    </row>
    <row r="25045" spans="3:3" x14ac:dyDescent="0.35">
      <c r="C25045" s="2"/>
    </row>
    <row r="25046" spans="3:3" x14ac:dyDescent="0.35">
      <c r="C25046" s="2"/>
    </row>
    <row r="25047" spans="3:3" x14ac:dyDescent="0.35">
      <c r="C25047" s="2"/>
    </row>
    <row r="25048" spans="3:3" x14ac:dyDescent="0.35">
      <c r="C25048" s="2"/>
    </row>
    <row r="25049" spans="3:3" x14ac:dyDescent="0.35">
      <c r="C25049" s="2"/>
    </row>
    <row r="25050" spans="3:3" x14ac:dyDescent="0.35">
      <c r="C25050" s="2"/>
    </row>
    <row r="25051" spans="3:3" x14ac:dyDescent="0.35">
      <c r="C25051" s="2"/>
    </row>
    <row r="25052" spans="3:3" x14ac:dyDescent="0.35">
      <c r="C25052" s="2"/>
    </row>
    <row r="25053" spans="3:3" x14ac:dyDescent="0.35">
      <c r="C25053" s="2"/>
    </row>
    <row r="25054" spans="3:3" x14ac:dyDescent="0.35">
      <c r="C25054" s="2"/>
    </row>
    <row r="25055" spans="3:3" x14ac:dyDescent="0.35">
      <c r="C25055" s="2"/>
    </row>
    <row r="25056" spans="3:3" x14ac:dyDescent="0.35">
      <c r="C25056" s="2"/>
    </row>
    <row r="25057" spans="3:3" x14ac:dyDescent="0.35">
      <c r="C25057" s="2"/>
    </row>
    <row r="25058" spans="3:3" x14ac:dyDescent="0.35">
      <c r="C25058" s="2"/>
    </row>
    <row r="25059" spans="3:3" x14ac:dyDescent="0.35">
      <c r="C25059" s="2"/>
    </row>
    <row r="25060" spans="3:3" x14ac:dyDescent="0.35">
      <c r="C25060" s="2"/>
    </row>
    <row r="25061" spans="3:3" x14ac:dyDescent="0.35">
      <c r="C25061" s="2"/>
    </row>
    <row r="25062" spans="3:3" x14ac:dyDescent="0.35">
      <c r="C25062" s="2"/>
    </row>
    <row r="25063" spans="3:3" x14ac:dyDescent="0.35">
      <c r="C25063" s="2"/>
    </row>
    <row r="25064" spans="3:3" x14ac:dyDescent="0.35">
      <c r="C25064" s="2"/>
    </row>
    <row r="25065" spans="3:3" x14ac:dyDescent="0.35">
      <c r="C25065" s="2"/>
    </row>
    <row r="25066" spans="3:3" x14ac:dyDescent="0.35">
      <c r="C25066" s="2"/>
    </row>
    <row r="25067" spans="3:3" x14ac:dyDescent="0.35">
      <c r="C25067" s="2"/>
    </row>
    <row r="25068" spans="3:3" x14ac:dyDescent="0.35">
      <c r="C25068" s="2"/>
    </row>
    <row r="25069" spans="3:3" x14ac:dyDescent="0.35">
      <c r="C25069" s="2"/>
    </row>
    <row r="25070" spans="3:3" x14ac:dyDescent="0.35">
      <c r="C25070" s="2"/>
    </row>
    <row r="25071" spans="3:3" x14ac:dyDescent="0.35">
      <c r="C25071" s="2"/>
    </row>
    <row r="25072" spans="3:3" x14ac:dyDescent="0.35">
      <c r="C25072" s="2"/>
    </row>
    <row r="25073" spans="3:3" x14ac:dyDescent="0.35">
      <c r="C25073" s="2"/>
    </row>
    <row r="25074" spans="3:3" x14ac:dyDescent="0.35">
      <c r="C25074" s="2"/>
    </row>
    <row r="25075" spans="3:3" x14ac:dyDescent="0.35">
      <c r="C25075" s="2"/>
    </row>
    <row r="25076" spans="3:3" x14ac:dyDescent="0.35">
      <c r="C25076" s="2"/>
    </row>
    <row r="25077" spans="3:3" x14ac:dyDescent="0.35">
      <c r="C25077" s="2"/>
    </row>
    <row r="25078" spans="3:3" x14ac:dyDescent="0.35">
      <c r="C25078" s="2"/>
    </row>
    <row r="25079" spans="3:3" x14ac:dyDescent="0.35">
      <c r="C25079" s="2"/>
    </row>
    <row r="25080" spans="3:3" x14ac:dyDescent="0.35">
      <c r="C25080" s="2"/>
    </row>
    <row r="25081" spans="3:3" x14ac:dyDescent="0.35">
      <c r="C25081" s="2"/>
    </row>
    <row r="25082" spans="3:3" x14ac:dyDescent="0.35">
      <c r="C25082" s="2"/>
    </row>
    <row r="25083" spans="3:3" x14ac:dyDescent="0.35">
      <c r="C25083" s="2"/>
    </row>
    <row r="25084" spans="3:3" x14ac:dyDescent="0.35">
      <c r="C25084" s="2"/>
    </row>
    <row r="25085" spans="3:3" x14ac:dyDescent="0.35">
      <c r="C25085" s="2"/>
    </row>
    <row r="25086" spans="3:3" x14ac:dyDescent="0.35">
      <c r="C25086" s="2"/>
    </row>
    <row r="25087" spans="3:3" x14ac:dyDescent="0.35">
      <c r="C25087" s="2"/>
    </row>
    <row r="25088" spans="3:3" x14ac:dyDescent="0.35">
      <c r="C25088" s="2"/>
    </row>
    <row r="25089" spans="3:3" x14ac:dyDescent="0.35">
      <c r="C25089" s="2"/>
    </row>
    <row r="25090" spans="3:3" x14ac:dyDescent="0.35">
      <c r="C25090" s="2"/>
    </row>
    <row r="25091" spans="3:3" x14ac:dyDescent="0.35">
      <c r="C25091" s="2"/>
    </row>
    <row r="25092" spans="3:3" x14ac:dyDescent="0.35">
      <c r="C25092" s="2"/>
    </row>
    <row r="25093" spans="3:3" x14ac:dyDescent="0.35">
      <c r="C25093" s="2"/>
    </row>
    <row r="25094" spans="3:3" x14ac:dyDescent="0.35">
      <c r="C25094" s="2"/>
    </row>
    <row r="25095" spans="3:3" x14ac:dyDescent="0.35">
      <c r="C25095" s="2"/>
    </row>
    <row r="25096" spans="3:3" x14ac:dyDescent="0.35">
      <c r="C25096" s="2"/>
    </row>
    <row r="25097" spans="3:3" x14ac:dyDescent="0.35">
      <c r="C25097" s="2"/>
    </row>
    <row r="25098" spans="3:3" x14ac:dyDescent="0.35">
      <c r="C25098" s="2"/>
    </row>
    <row r="25099" spans="3:3" x14ac:dyDescent="0.35">
      <c r="C25099" s="2"/>
    </row>
    <row r="25100" spans="3:3" x14ac:dyDescent="0.35">
      <c r="C25100" s="2"/>
    </row>
    <row r="25101" spans="3:3" x14ac:dyDescent="0.35">
      <c r="C25101" s="2"/>
    </row>
    <row r="25102" spans="3:3" x14ac:dyDescent="0.35">
      <c r="C25102" s="2"/>
    </row>
    <row r="25103" spans="3:3" x14ac:dyDescent="0.35">
      <c r="C25103" s="2"/>
    </row>
    <row r="25104" spans="3:3" x14ac:dyDescent="0.35">
      <c r="C25104" s="2"/>
    </row>
    <row r="25105" spans="3:3" x14ac:dyDescent="0.35">
      <c r="C25105" s="2"/>
    </row>
    <row r="25106" spans="3:3" x14ac:dyDescent="0.35">
      <c r="C25106" s="2"/>
    </row>
    <row r="25107" spans="3:3" x14ac:dyDescent="0.35">
      <c r="C25107" s="2"/>
    </row>
    <row r="25108" spans="3:3" x14ac:dyDescent="0.35">
      <c r="C25108" s="2"/>
    </row>
    <row r="25109" spans="3:3" x14ac:dyDescent="0.35">
      <c r="C25109" s="2"/>
    </row>
    <row r="25110" spans="3:3" x14ac:dyDescent="0.35">
      <c r="C25110" s="2"/>
    </row>
    <row r="25111" spans="3:3" x14ac:dyDescent="0.35">
      <c r="C25111" s="2"/>
    </row>
    <row r="25112" spans="3:3" x14ac:dyDescent="0.35">
      <c r="C25112" s="2"/>
    </row>
    <row r="25113" spans="3:3" x14ac:dyDescent="0.35">
      <c r="C25113" s="2"/>
    </row>
    <row r="25114" spans="3:3" x14ac:dyDescent="0.35">
      <c r="C25114" s="2"/>
    </row>
    <row r="25115" spans="3:3" x14ac:dyDescent="0.35">
      <c r="C25115" s="2"/>
    </row>
    <row r="25116" spans="3:3" x14ac:dyDescent="0.35">
      <c r="C25116" s="2"/>
    </row>
    <row r="25117" spans="3:3" x14ac:dyDescent="0.35">
      <c r="C25117" s="2"/>
    </row>
    <row r="25118" spans="3:3" x14ac:dyDescent="0.35">
      <c r="C25118" s="2"/>
    </row>
    <row r="25119" spans="3:3" x14ac:dyDescent="0.35">
      <c r="C25119" s="2"/>
    </row>
    <row r="25120" spans="3:3" x14ac:dyDescent="0.35">
      <c r="C25120" s="2"/>
    </row>
    <row r="25121" spans="3:3" x14ac:dyDescent="0.35">
      <c r="C25121" s="2"/>
    </row>
    <row r="25122" spans="3:3" x14ac:dyDescent="0.35">
      <c r="C25122" s="2"/>
    </row>
    <row r="25123" spans="3:3" x14ac:dyDescent="0.35">
      <c r="C25123" s="2"/>
    </row>
    <row r="25124" spans="3:3" x14ac:dyDescent="0.35">
      <c r="C25124" s="2"/>
    </row>
    <row r="25125" spans="3:3" x14ac:dyDescent="0.35">
      <c r="C25125" s="2"/>
    </row>
    <row r="25126" spans="3:3" x14ac:dyDescent="0.35">
      <c r="C25126" s="2"/>
    </row>
    <row r="25127" spans="3:3" x14ac:dyDescent="0.35">
      <c r="C25127" s="2"/>
    </row>
    <row r="25128" spans="3:3" x14ac:dyDescent="0.35">
      <c r="C25128" s="2"/>
    </row>
    <row r="25129" spans="3:3" x14ac:dyDescent="0.35">
      <c r="C25129" s="2"/>
    </row>
    <row r="25130" spans="3:3" x14ac:dyDescent="0.35">
      <c r="C25130" s="2"/>
    </row>
    <row r="25131" spans="3:3" x14ac:dyDescent="0.35">
      <c r="C25131" s="2"/>
    </row>
    <row r="25132" spans="3:3" x14ac:dyDescent="0.35">
      <c r="C25132" s="2"/>
    </row>
    <row r="25133" spans="3:3" x14ac:dyDescent="0.35">
      <c r="C25133" s="2"/>
    </row>
    <row r="25134" spans="3:3" x14ac:dyDescent="0.35">
      <c r="C25134" s="2"/>
    </row>
    <row r="25135" spans="3:3" x14ac:dyDescent="0.35">
      <c r="C25135" s="2"/>
    </row>
    <row r="25136" spans="3:3" x14ac:dyDescent="0.35">
      <c r="C25136" s="2"/>
    </row>
    <row r="25137" spans="3:3" x14ac:dyDescent="0.35">
      <c r="C25137" s="2"/>
    </row>
    <row r="25138" spans="3:3" x14ac:dyDescent="0.35">
      <c r="C25138" s="2"/>
    </row>
    <row r="25139" spans="3:3" x14ac:dyDescent="0.35">
      <c r="C25139" s="2"/>
    </row>
    <row r="25140" spans="3:3" x14ac:dyDescent="0.35">
      <c r="C25140" s="2"/>
    </row>
    <row r="25141" spans="3:3" x14ac:dyDescent="0.35">
      <c r="C25141" s="2"/>
    </row>
    <row r="25142" spans="3:3" x14ac:dyDescent="0.35">
      <c r="C25142" s="2"/>
    </row>
    <row r="25143" spans="3:3" x14ac:dyDescent="0.35">
      <c r="C25143" s="2"/>
    </row>
    <row r="25144" spans="3:3" x14ac:dyDescent="0.35">
      <c r="C25144" s="2"/>
    </row>
    <row r="25145" spans="3:3" x14ac:dyDescent="0.35">
      <c r="C25145" s="2"/>
    </row>
    <row r="25146" spans="3:3" x14ac:dyDescent="0.35">
      <c r="C25146" s="2"/>
    </row>
    <row r="25147" spans="3:3" x14ac:dyDescent="0.35">
      <c r="C25147" s="2"/>
    </row>
    <row r="25148" spans="3:3" x14ac:dyDescent="0.35">
      <c r="C25148" s="2"/>
    </row>
    <row r="25149" spans="3:3" x14ac:dyDescent="0.35">
      <c r="C25149" s="2"/>
    </row>
    <row r="25150" spans="3:3" x14ac:dyDescent="0.35">
      <c r="C25150" s="2"/>
    </row>
    <row r="25151" spans="3:3" x14ac:dyDescent="0.35">
      <c r="C25151" s="2"/>
    </row>
    <row r="25152" spans="3:3" x14ac:dyDescent="0.35">
      <c r="C25152" s="2"/>
    </row>
    <row r="25153" spans="3:3" x14ac:dyDescent="0.35">
      <c r="C25153" s="2"/>
    </row>
    <row r="25154" spans="3:3" x14ac:dyDescent="0.35">
      <c r="C25154" s="2"/>
    </row>
    <row r="25155" spans="3:3" x14ac:dyDescent="0.35">
      <c r="C25155" s="2"/>
    </row>
    <row r="25156" spans="3:3" x14ac:dyDescent="0.35">
      <c r="C25156" s="2"/>
    </row>
    <row r="25157" spans="3:3" x14ac:dyDescent="0.35">
      <c r="C25157" s="2"/>
    </row>
    <row r="25158" spans="3:3" x14ac:dyDescent="0.35">
      <c r="C25158" s="2"/>
    </row>
    <row r="25159" spans="3:3" x14ac:dyDescent="0.35">
      <c r="C25159" s="2"/>
    </row>
    <row r="25160" spans="3:3" x14ac:dyDescent="0.35">
      <c r="C25160" s="2"/>
    </row>
    <row r="25161" spans="3:3" x14ac:dyDescent="0.35">
      <c r="C25161" s="2"/>
    </row>
    <row r="25162" spans="3:3" x14ac:dyDescent="0.35">
      <c r="C25162" s="2"/>
    </row>
    <row r="25163" spans="3:3" x14ac:dyDescent="0.35">
      <c r="C25163" s="2"/>
    </row>
    <row r="25164" spans="3:3" x14ac:dyDescent="0.35">
      <c r="C25164" s="2"/>
    </row>
    <row r="25165" spans="3:3" x14ac:dyDescent="0.35">
      <c r="C25165" s="2"/>
    </row>
    <row r="25166" spans="3:3" x14ac:dyDescent="0.35">
      <c r="C25166" s="2"/>
    </row>
    <row r="25167" spans="3:3" x14ac:dyDescent="0.35">
      <c r="C25167" s="2"/>
    </row>
    <row r="25168" spans="3:3" x14ac:dyDescent="0.35">
      <c r="C25168" s="2"/>
    </row>
    <row r="25169" spans="3:3" x14ac:dyDescent="0.35">
      <c r="C25169" s="2"/>
    </row>
    <row r="25170" spans="3:3" x14ac:dyDescent="0.35">
      <c r="C25170" s="2"/>
    </row>
    <row r="25171" spans="3:3" x14ac:dyDescent="0.35">
      <c r="C25171" s="2"/>
    </row>
    <row r="25172" spans="3:3" x14ac:dyDescent="0.35">
      <c r="C25172" s="2"/>
    </row>
    <row r="25173" spans="3:3" x14ac:dyDescent="0.35">
      <c r="C25173" s="2"/>
    </row>
    <row r="25174" spans="3:3" x14ac:dyDescent="0.35">
      <c r="C25174" s="2"/>
    </row>
    <row r="25175" spans="3:3" x14ac:dyDescent="0.35">
      <c r="C25175" s="2"/>
    </row>
    <row r="25176" spans="3:3" x14ac:dyDescent="0.35">
      <c r="C25176" s="2"/>
    </row>
    <row r="25177" spans="3:3" x14ac:dyDescent="0.35">
      <c r="C25177" s="2"/>
    </row>
    <row r="25178" spans="3:3" x14ac:dyDescent="0.35">
      <c r="C25178" s="2"/>
    </row>
    <row r="25179" spans="3:3" x14ac:dyDescent="0.35">
      <c r="C25179" s="2"/>
    </row>
    <row r="25180" spans="3:3" x14ac:dyDescent="0.35">
      <c r="C25180" s="2"/>
    </row>
    <row r="25181" spans="3:3" x14ac:dyDescent="0.35">
      <c r="C25181" s="2"/>
    </row>
    <row r="25182" spans="3:3" x14ac:dyDescent="0.35">
      <c r="C25182" s="2"/>
    </row>
    <row r="25183" spans="3:3" x14ac:dyDescent="0.35">
      <c r="C25183" s="2"/>
    </row>
    <row r="25184" spans="3:3" x14ac:dyDescent="0.35">
      <c r="C25184" s="2"/>
    </row>
    <row r="25185" spans="3:3" x14ac:dyDescent="0.35">
      <c r="C25185" s="2"/>
    </row>
    <row r="25186" spans="3:3" x14ac:dyDescent="0.35">
      <c r="C25186" s="2"/>
    </row>
    <row r="25187" spans="3:3" x14ac:dyDescent="0.35">
      <c r="C25187" s="2"/>
    </row>
    <row r="25188" spans="3:3" x14ac:dyDescent="0.35">
      <c r="C25188" s="2"/>
    </row>
    <row r="25189" spans="3:3" x14ac:dyDescent="0.35">
      <c r="C25189" s="2"/>
    </row>
    <row r="25190" spans="3:3" x14ac:dyDescent="0.35">
      <c r="C25190" s="2"/>
    </row>
    <row r="25191" spans="3:3" x14ac:dyDescent="0.35">
      <c r="C25191" s="2"/>
    </row>
    <row r="25192" spans="3:3" x14ac:dyDescent="0.35">
      <c r="C25192" s="2"/>
    </row>
    <row r="25193" spans="3:3" x14ac:dyDescent="0.35">
      <c r="C25193" s="2"/>
    </row>
    <row r="25194" spans="3:3" x14ac:dyDescent="0.35">
      <c r="C25194" s="2"/>
    </row>
    <row r="25195" spans="3:3" x14ac:dyDescent="0.35">
      <c r="C25195" s="2"/>
    </row>
    <row r="25196" spans="3:3" x14ac:dyDescent="0.35">
      <c r="C25196" s="2"/>
    </row>
    <row r="25197" spans="3:3" x14ac:dyDescent="0.35">
      <c r="C25197" s="2"/>
    </row>
    <row r="25198" spans="3:3" x14ac:dyDescent="0.35">
      <c r="C25198" s="2"/>
    </row>
    <row r="25199" spans="3:3" x14ac:dyDescent="0.35">
      <c r="C25199" s="2"/>
    </row>
    <row r="25200" spans="3:3" x14ac:dyDescent="0.35">
      <c r="C25200" s="2"/>
    </row>
    <row r="25201" spans="3:3" x14ac:dyDescent="0.35">
      <c r="C25201" s="2"/>
    </row>
    <row r="25202" spans="3:3" x14ac:dyDescent="0.35">
      <c r="C25202" s="2"/>
    </row>
    <row r="25203" spans="3:3" x14ac:dyDescent="0.35">
      <c r="C25203" s="2"/>
    </row>
    <row r="25204" spans="3:3" x14ac:dyDescent="0.35">
      <c r="C25204" s="2"/>
    </row>
    <row r="25205" spans="3:3" x14ac:dyDescent="0.35">
      <c r="C25205" s="2"/>
    </row>
    <row r="25206" spans="3:3" x14ac:dyDescent="0.35">
      <c r="C25206" s="2"/>
    </row>
    <row r="25207" spans="3:3" x14ac:dyDescent="0.35">
      <c r="C25207" s="2"/>
    </row>
    <row r="25208" spans="3:3" x14ac:dyDescent="0.35">
      <c r="C25208" s="2"/>
    </row>
    <row r="25209" spans="3:3" x14ac:dyDescent="0.35">
      <c r="C25209" s="2"/>
    </row>
    <row r="25210" spans="3:3" x14ac:dyDescent="0.35">
      <c r="C25210" s="2"/>
    </row>
    <row r="25211" spans="3:3" x14ac:dyDescent="0.35">
      <c r="C25211" s="2"/>
    </row>
    <row r="25212" spans="3:3" x14ac:dyDescent="0.35">
      <c r="C25212" s="2"/>
    </row>
    <row r="25213" spans="3:3" x14ac:dyDescent="0.35">
      <c r="C25213" s="2"/>
    </row>
    <row r="25214" spans="3:3" x14ac:dyDescent="0.35">
      <c r="C25214" s="2"/>
    </row>
    <row r="25215" spans="3:3" x14ac:dyDescent="0.35">
      <c r="C25215" s="2"/>
    </row>
    <row r="25216" spans="3:3" x14ac:dyDescent="0.35">
      <c r="C25216" s="2"/>
    </row>
    <row r="25217" spans="3:3" x14ac:dyDescent="0.35">
      <c r="C25217" s="2"/>
    </row>
    <row r="25218" spans="3:3" x14ac:dyDescent="0.35">
      <c r="C25218" s="2"/>
    </row>
    <row r="25219" spans="3:3" x14ac:dyDescent="0.35">
      <c r="C25219" s="2"/>
    </row>
    <row r="25220" spans="3:3" x14ac:dyDescent="0.35">
      <c r="C25220" s="2"/>
    </row>
    <row r="25221" spans="3:3" x14ac:dyDescent="0.35">
      <c r="C25221" s="2"/>
    </row>
    <row r="25222" spans="3:3" x14ac:dyDescent="0.35">
      <c r="C25222" s="2"/>
    </row>
    <row r="25223" spans="3:3" x14ac:dyDescent="0.35">
      <c r="C25223" s="2"/>
    </row>
    <row r="25224" spans="3:3" x14ac:dyDescent="0.35">
      <c r="C25224" s="2"/>
    </row>
    <row r="25225" spans="3:3" x14ac:dyDescent="0.35">
      <c r="C25225" s="2"/>
    </row>
    <row r="25226" spans="3:3" x14ac:dyDescent="0.35">
      <c r="C25226" s="2"/>
    </row>
    <row r="25227" spans="3:3" x14ac:dyDescent="0.35">
      <c r="C25227" s="2"/>
    </row>
    <row r="25228" spans="3:3" x14ac:dyDescent="0.35">
      <c r="C25228" s="2"/>
    </row>
    <row r="25229" spans="3:3" x14ac:dyDescent="0.35">
      <c r="C25229" s="2"/>
    </row>
    <row r="25230" spans="3:3" x14ac:dyDescent="0.35">
      <c r="C25230" s="2"/>
    </row>
    <row r="25231" spans="3:3" x14ac:dyDescent="0.35">
      <c r="C25231" s="2"/>
    </row>
    <row r="25232" spans="3:3" x14ac:dyDescent="0.35">
      <c r="C25232" s="2"/>
    </row>
    <row r="25233" spans="3:3" x14ac:dyDescent="0.35">
      <c r="C25233" s="2"/>
    </row>
    <row r="25234" spans="3:3" x14ac:dyDescent="0.35">
      <c r="C25234" s="2"/>
    </row>
    <row r="25235" spans="3:3" x14ac:dyDescent="0.35">
      <c r="C25235" s="2"/>
    </row>
    <row r="25236" spans="3:3" x14ac:dyDescent="0.35">
      <c r="C25236" s="2"/>
    </row>
    <row r="25237" spans="3:3" x14ac:dyDescent="0.35">
      <c r="C25237" s="2"/>
    </row>
    <row r="25238" spans="3:3" x14ac:dyDescent="0.35">
      <c r="C25238" s="2"/>
    </row>
    <row r="25239" spans="3:3" x14ac:dyDescent="0.35">
      <c r="C25239" s="2"/>
    </row>
    <row r="25240" spans="3:3" x14ac:dyDescent="0.35">
      <c r="C25240" s="2"/>
    </row>
    <row r="25241" spans="3:3" x14ac:dyDescent="0.35">
      <c r="C25241" s="2"/>
    </row>
    <row r="25242" spans="3:3" x14ac:dyDescent="0.35">
      <c r="C25242" s="2"/>
    </row>
    <row r="25243" spans="3:3" x14ac:dyDescent="0.35">
      <c r="C25243" s="2"/>
    </row>
    <row r="25244" spans="3:3" x14ac:dyDescent="0.35">
      <c r="C25244" s="2"/>
    </row>
    <row r="25245" spans="3:3" x14ac:dyDescent="0.35">
      <c r="C25245" s="2"/>
    </row>
    <row r="25246" spans="3:3" x14ac:dyDescent="0.35">
      <c r="C25246" s="2"/>
    </row>
    <row r="25247" spans="3:3" x14ac:dyDescent="0.35">
      <c r="C25247" s="2"/>
    </row>
    <row r="25248" spans="3:3" x14ac:dyDescent="0.35">
      <c r="C25248" s="2"/>
    </row>
    <row r="25249" spans="3:3" x14ac:dyDescent="0.35">
      <c r="C25249" s="2"/>
    </row>
    <row r="25250" spans="3:3" x14ac:dyDescent="0.35">
      <c r="C25250" s="2"/>
    </row>
    <row r="25251" spans="3:3" x14ac:dyDescent="0.35">
      <c r="C25251" s="2"/>
    </row>
    <row r="25252" spans="3:3" x14ac:dyDescent="0.35">
      <c r="C25252" s="2"/>
    </row>
    <row r="25253" spans="3:3" x14ac:dyDescent="0.35">
      <c r="C25253" s="2"/>
    </row>
    <row r="25254" spans="3:3" x14ac:dyDescent="0.35">
      <c r="C25254" s="2"/>
    </row>
    <row r="25255" spans="3:3" x14ac:dyDescent="0.35">
      <c r="C25255" s="2"/>
    </row>
    <row r="25256" spans="3:3" x14ac:dyDescent="0.35">
      <c r="C25256" s="2"/>
    </row>
    <row r="25257" spans="3:3" x14ac:dyDescent="0.35">
      <c r="C25257" s="2"/>
    </row>
    <row r="25258" spans="3:3" x14ac:dyDescent="0.35">
      <c r="C25258" s="2"/>
    </row>
    <row r="25259" spans="3:3" x14ac:dyDescent="0.35">
      <c r="C25259" s="2"/>
    </row>
    <row r="25260" spans="3:3" x14ac:dyDescent="0.35">
      <c r="C25260" s="2"/>
    </row>
    <row r="25261" spans="3:3" x14ac:dyDescent="0.35">
      <c r="C25261" s="2"/>
    </row>
    <row r="25262" spans="3:3" x14ac:dyDescent="0.35">
      <c r="C25262" s="2"/>
    </row>
    <row r="25263" spans="3:3" x14ac:dyDescent="0.35">
      <c r="C25263" s="2"/>
    </row>
    <row r="25264" spans="3:3" x14ac:dyDescent="0.35">
      <c r="C25264" s="2"/>
    </row>
    <row r="25265" spans="3:3" x14ac:dyDescent="0.35">
      <c r="C25265" s="2"/>
    </row>
    <row r="25266" spans="3:3" x14ac:dyDescent="0.35">
      <c r="C25266" s="2"/>
    </row>
    <row r="25267" spans="3:3" x14ac:dyDescent="0.35">
      <c r="C25267" s="2"/>
    </row>
    <row r="25268" spans="3:3" x14ac:dyDescent="0.35">
      <c r="C25268" s="2"/>
    </row>
    <row r="25269" spans="3:3" x14ac:dyDescent="0.35">
      <c r="C25269" s="2"/>
    </row>
    <row r="25270" spans="3:3" x14ac:dyDescent="0.35">
      <c r="C25270" s="2"/>
    </row>
    <row r="25271" spans="3:3" x14ac:dyDescent="0.35">
      <c r="C25271" s="2"/>
    </row>
    <row r="25272" spans="3:3" x14ac:dyDescent="0.35">
      <c r="C25272" s="2"/>
    </row>
    <row r="25273" spans="3:3" x14ac:dyDescent="0.35">
      <c r="C25273" s="2"/>
    </row>
    <row r="25274" spans="3:3" x14ac:dyDescent="0.35">
      <c r="C25274" s="2"/>
    </row>
    <row r="25275" spans="3:3" x14ac:dyDescent="0.35">
      <c r="C25275" s="2"/>
    </row>
    <row r="25276" spans="3:3" x14ac:dyDescent="0.35">
      <c r="C25276" s="2"/>
    </row>
    <row r="25277" spans="3:3" x14ac:dyDescent="0.35">
      <c r="C25277" s="2"/>
    </row>
    <row r="25278" spans="3:3" x14ac:dyDescent="0.35">
      <c r="C25278" s="2"/>
    </row>
    <row r="25279" spans="3:3" x14ac:dyDescent="0.35">
      <c r="C25279" s="2"/>
    </row>
    <row r="25280" spans="3:3" x14ac:dyDescent="0.35">
      <c r="C25280" s="2"/>
    </row>
    <row r="25281" spans="3:3" x14ac:dyDescent="0.35">
      <c r="C25281" s="2"/>
    </row>
    <row r="25282" spans="3:3" x14ac:dyDescent="0.35">
      <c r="C25282" s="2"/>
    </row>
    <row r="25283" spans="3:3" x14ac:dyDescent="0.35">
      <c r="C25283" s="2"/>
    </row>
    <row r="25284" spans="3:3" x14ac:dyDescent="0.35">
      <c r="C25284" s="2"/>
    </row>
    <row r="25285" spans="3:3" x14ac:dyDescent="0.35">
      <c r="C25285" s="2"/>
    </row>
    <row r="25286" spans="3:3" x14ac:dyDescent="0.35">
      <c r="C25286" s="2"/>
    </row>
    <row r="25287" spans="3:3" x14ac:dyDescent="0.35">
      <c r="C25287" s="2"/>
    </row>
    <row r="25288" spans="3:3" x14ac:dyDescent="0.35">
      <c r="C25288" s="2"/>
    </row>
    <row r="25289" spans="3:3" x14ac:dyDescent="0.35">
      <c r="C25289" s="2"/>
    </row>
    <row r="25290" spans="3:3" x14ac:dyDescent="0.35">
      <c r="C25290" s="2"/>
    </row>
    <row r="25291" spans="3:3" x14ac:dyDescent="0.35">
      <c r="C25291" s="2"/>
    </row>
    <row r="25292" spans="3:3" x14ac:dyDescent="0.35">
      <c r="C25292" s="2"/>
    </row>
    <row r="25293" spans="3:3" x14ac:dyDescent="0.35">
      <c r="C25293" s="2"/>
    </row>
    <row r="25294" spans="3:3" x14ac:dyDescent="0.35">
      <c r="C25294" s="2"/>
    </row>
    <row r="25295" spans="3:3" x14ac:dyDescent="0.35">
      <c r="C25295" s="2"/>
    </row>
    <row r="25296" spans="3:3" x14ac:dyDescent="0.35">
      <c r="C25296" s="2"/>
    </row>
    <row r="25297" spans="3:3" x14ac:dyDescent="0.35">
      <c r="C25297" s="2"/>
    </row>
    <row r="25298" spans="3:3" x14ac:dyDescent="0.35">
      <c r="C25298" s="2"/>
    </row>
    <row r="25299" spans="3:3" x14ac:dyDescent="0.35">
      <c r="C25299" s="2"/>
    </row>
    <row r="25300" spans="3:3" x14ac:dyDescent="0.35">
      <c r="C25300" s="2"/>
    </row>
    <row r="25301" spans="3:3" x14ac:dyDescent="0.35">
      <c r="C25301" s="2"/>
    </row>
    <row r="25302" spans="3:3" x14ac:dyDescent="0.35">
      <c r="C25302" s="2"/>
    </row>
    <row r="25303" spans="3:3" x14ac:dyDescent="0.35">
      <c r="C25303" s="2"/>
    </row>
    <row r="25304" spans="3:3" x14ac:dyDescent="0.35">
      <c r="C25304" s="2"/>
    </row>
    <row r="25305" spans="3:3" x14ac:dyDescent="0.35">
      <c r="C25305" s="2"/>
    </row>
    <row r="25306" spans="3:3" x14ac:dyDescent="0.35">
      <c r="C25306" s="2"/>
    </row>
    <row r="25307" spans="3:3" x14ac:dyDescent="0.35">
      <c r="C25307" s="2"/>
    </row>
    <row r="25308" spans="3:3" x14ac:dyDescent="0.35">
      <c r="C25308" s="2"/>
    </row>
    <row r="25309" spans="3:3" x14ac:dyDescent="0.35">
      <c r="C25309" s="2"/>
    </row>
    <row r="25310" spans="3:3" x14ac:dyDescent="0.35">
      <c r="C25310" s="2"/>
    </row>
    <row r="25311" spans="3:3" x14ac:dyDescent="0.35">
      <c r="C25311" s="2"/>
    </row>
    <row r="25312" spans="3:3" x14ac:dyDescent="0.35">
      <c r="C25312" s="2"/>
    </row>
    <row r="25313" spans="3:3" x14ac:dyDescent="0.35">
      <c r="C25313" s="2"/>
    </row>
    <row r="25314" spans="3:3" x14ac:dyDescent="0.35">
      <c r="C25314" s="2"/>
    </row>
    <row r="25315" spans="3:3" x14ac:dyDescent="0.35">
      <c r="C25315" s="2"/>
    </row>
    <row r="25316" spans="3:3" x14ac:dyDescent="0.35">
      <c r="C25316" s="2"/>
    </row>
    <row r="25317" spans="3:3" x14ac:dyDescent="0.35">
      <c r="C25317" s="2"/>
    </row>
    <row r="25318" spans="3:3" x14ac:dyDescent="0.35">
      <c r="C25318" s="2"/>
    </row>
    <row r="25319" spans="3:3" x14ac:dyDescent="0.35">
      <c r="C25319" s="2"/>
    </row>
    <row r="25320" spans="3:3" x14ac:dyDescent="0.35">
      <c r="C25320" s="2"/>
    </row>
    <row r="25321" spans="3:3" x14ac:dyDescent="0.35">
      <c r="C25321" s="2"/>
    </row>
    <row r="25322" spans="3:3" x14ac:dyDescent="0.35">
      <c r="C25322" s="2"/>
    </row>
    <row r="25323" spans="3:3" x14ac:dyDescent="0.35">
      <c r="C25323" s="2"/>
    </row>
    <row r="25324" spans="3:3" x14ac:dyDescent="0.35">
      <c r="C25324" s="2"/>
    </row>
    <row r="25325" spans="3:3" x14ac:dyDescent="0.35">
      <c r="C25325" s="2"/>
    </row>
    <row r="25326" spans="3:3" x14ac:dyDescent="0.35">
      <c r="C25326" s="2"/>
    </row>
    <row r="25327" spans="3:3" x14ac:dyDescent="0.35">
      <c r="C25327" s="2"/>
    </row>
    <row r="25328" spans="3:3" x14ac:dyDescent="0.35">
      <c r="C25328" s="2"/>
    </row>
    <row r="25329" spans="3:3" x14ac:dyDescent="0.35">
      <c r="C25329" s="2"/>
    </row>
    <row r="25330" spans="3:3" x14ac:dyDescent="0.35">
      <c r="C25330" s="2"/>
    </row>
    <row r="25331" spans="3:3" x14ac:dyDescent="0.35">
      <c r="C25331" s="2"/>
    </row>
    <row r="25332" spans="3:3" x14ac:dyDescent="0.35">
      <c r="C25332" s="2"/>
    </row>
    <row r="25333" spans="3:3" x14ac:dyDescent="0.35">
      <c r="C25333" s="2"/>
    </row>
    <row r="25334" spans="3:3" x14ac:dyDescent="0.35">
      <c r="C25334" s="2"/>
    </row>
    <row r="25335" spans="3:3" x14ac:dyDescent="0.35">
      <c r="C25335" s="2"/>
    </row>
    <row r="25336" spans="3:3" x14ac:dyDescent="0.35">
      <c r="C25336" s="2"/>
    </row>
    <row r="25337" spans="3:3" x14ac:dyDescent="0.35">
      <c r="C25337" s="2"/>
    </row>
    <row r="25338" spans="3:3" x14ac:dyDescent="0.35">
      <c r="C25338" s="2"/>
    </row>
    <row r="25339" spans="3:3" x14ac:dyDescent="0.35">
      <c r="C25339" s="2"/>
    </row>
    <row r="25340" spans="3:3" x14ac:dyDescent="0.35">
      <c r="C25340" s="2"/>
    </row>
    <row r="25341" spans="3:3" x14ac:dyDescent="0.35">
      <c r="C25341" s="2"/>
    </row>
    <row r="25342" spans="3:3" x14ac:dyDescent="0.35">
      <c r="C25342" s="2"/>
    </row>
    <row r="25343" spans="3:3" x14ac:dyDescent="0.35">
      <c r="C25343" s="2"/>
    </row>
    <row r="25344" spans="3:3" x14ac:dyDescent="0.35">
      <c r="C25344" s="2"/>
    </row>
    <row r="25345" spans="3:3" x14ac:dyDescent="0.35">
      <c r="C25345" s="2"/>
    </row>
    <row r="25346" spans="3:3" x14ac:dyDescent="0.35">
      <c r="C25346" s="2"/>
    </row>
    <row r="25347" spans="3:3" x14ac:dyDescent="0.35">
      <c r="C25347" s="2"/>
    </row>
    <row r="25348" spans="3:3" x14ac:dyDescent="0.35">
      <c r="C25348" s="2"/>
    </row>
    <row r="25349" spans="3:3" x14ac:dyDescent="0.35">
      <c r="C25349" s="2"/>
    </row>
    <row r="25350" spans="3:3" x14ac:dyDescent="0.35">
      <c r="C25350" s="2"/>
    </row>
    <row r="25351" spans="3:3" x14ac:dyDescent="0.35">
      <c r="C25351" s="2"/>
    </row>
    <row r="25352" spans="3:3" x14ac:dyDescent="0.35">
      <c r="C25352" s="2"/>
    </row>
    <row r="25353" spans="3:3" x14ac:dyDescent="0.35">
      <c r="C25353" s="2"/>
    </row>
    <row r="25354" spans="3:3" x14ac:dyDescent="0.35">
      <c r="C25354" s="2"/>
    </row>
    <row r="25355" spans="3:3" x14ac:dyDescent="0.35">
      <c r="C25355" s="2"/>
    </row>
    <row r="25356" spans="3:3" x14ac:dyDescent="0.35">
      <c r="C25356" s="2"/>
    </row>
    <row r="25357" spans="3:3" x14ac:dyDescent="0.35">
      <c r="C25357" s="2"/>
    </row>
    <row r="25358" spans="3:3" x14ac:dyDescent="0.35">
      <c r="C25358" s="2"/>
    </row>
    <row r="25359" spans="3:3" x14ac:dyDescent="0.35">
      <c r="C25359" s="2"/>
    </row>
    <row r="25360" spans="3:3" x14ac:dyDescent="0.35">
      <c r="C25360" s="2"/>
    </row>
    <row r="25361" spans="3:3" x14ac:dyDescent="0.35">
      <c r="C25361" s="2"/>
    </row>
    <row r="25362" spans="3:3" x14ac:dyDescent="0.35">
      <c r="C25362" s="2"/>
    </row>
    <row r="25363" spans="3:3" x14ac:dyDescent="0.35">
      <c r="C25363" s="2"/>
    </row>
    <row r="25364" spans="3:3" x14ac:dyDescent="0.35">
      <c r="C25364" s="2"/>
    </row>
    <row r="25365" spans="3:3" x14ac:dyDescent="0.35">
      <c r="C25365" s="2"/>
    </row>
    <row r="25366" spans="3:3" x14ac:dyDescent="0.35">
      <c r="C25366" s="2"/>
    </row>
    <row r="25367" spans="3:3" x14ac:dyDescent="0.35">
      <c r="C25367" s="2"/>
    </row>
    <row r="25368" spans="3:3" x14ac:dyDescent="0.35">
      <c r="C25368" s="2"/>
    </row>
    <row r="25369" spans="3:3" x14ac:dyDescent="0.35">
      <c r="C25369" s="2"/>
    </row>
    <row r="25370" spans="3:3" x14ac:dyDescent="0.35">
      <c r="C25370" s="2"/>
    </row>
    <row r="25371" spans="3:3" x14ac:dyDescent="0.35">
      <c r="C25371" s="2"/>
    </row>
    <row r="25372" spans="3:3" x14ac:dyDescent="0.35">
      <c r="C25372" s="2"/>
    </row>
    <row r="25373" spans="3:3" x14ac:dyDescent="0.35">
      <c r="C25373" s="2"/>
    </row>
    <row r="25374" spans="3:3" x14ac:dyDescent="0.35">
      <c r="C25374" s="2"/>
    </row>
    <row r="25375" spans="3:3" x14ac:dyDescent="0.35">
      <c r="C25375" s="2"/>
    </row>
    <row r="25376" spans="3:3" x14ac:dyDescent="0.35">
      <c r="C25376" s="2"/>
    </row>
    <row r="25377" spans="3:3" x14ac:dyDescent="0.35">
      <c r="C25377" s="2"/>
    </row>
    <row r="25378" spans="3:3" x14ac:dyDescent="0.35">
      <c r="C25378" s="2"/>
    </row>
    <row r="25379" spans="3:3" x14ac:dyDescent="0.35">
      <c r="C25379" s="2"/>
    </row>
    <row r="25380" spans="3:3" x14ac:dyDescent="0.35">
      <c r="C25380" s="2"/>
    </row>
    <row r="25381" spans="3:3" x14ac:dyDescent="0.35">
      <c r="C25381" s="2"/>
    </row>
    <row r="25382" spans="3:3" x14ac:dyDescent="0.35">
      <c r="C25382" s="2"/>
    </row>
    <row r="25383" spans="3:3" x14ac:dyDescent="0.35">
      <c r="C25383" s="2"/>
    </row>
    <row r="25384" spans="3:3" x14ac:dyDescent="0.35">
      <c r="C25384" s="2"/>
    </row>
    <row r="25385" spans="3:3" x14ac:dyDescent="0.35">
      <c r="C25385" s="2"/>
    </row>
    <row r="25386" spans="3:3" x14ac:dyDescent="0.35">
      <c r="C25386" s="2"/>
    </row>
    <row r="25387" spans="3:3" x14ac:dyDescent="0.35">
      <c r="C25387" s="2"/>
    </row>
    <row r="25388" spans="3:3" x14ac:dyDescent="0.35">
      <c r="C25388" s="2"/>
    </row>
    <row r="25389" spans="3:3" x14ac:dyDescent="0.35">
      <c r="C25389" s="2"/>
    </row>
    <row r="25390" spans="3:3" x14ac:dyDescent="0.35">
      <c r="C25390" s="2"/>
    </row>
    <row r="25391" spans="3:3" x14ac:dyDescent="0.35">
      <c r="C25391" s="2"/>
    </row>
    <row r="25392" spans="3:3" x14ac:dyDescent="0.35">
      <c r="C25392" s="2"/>
    </row>
    <row r="25393" spans="3:3" x14ac:dyDescent="0.35">
      <c r="C25393" s="2"/>
    </row>
    <row r="25394" spans="3:3" x14ac:dyDescent="0.35">
      <c r="C25394" s="2"/>
    </row>
    <row r="25395" spans="3:3" x14ac:dyDescent="0.35">
      <c r="C25395" s="2"/>
    </row>
    <row r="25396" spans="3:3" x14ac:dyDescent="0.35">
      <c r="C25396" s="2"/>
    </row>
    <row r="25397" spans="3:3" x14ac:dyDescent="0.35">
      <c r="C25397" s="2"/>
    </row>
    <row r="25398" spans="3:3" x14ac:dyDescent="0.35">
      <c r="C25398" s="2"/>
    </row>
    <row r="25399" spans="3:3" x14ac:dyDescent="0.35">
      <c r="C25399" s="2"/>
    </row>
    <row r="25400" spans="3:3" x14ac:dyDescent="0.35">
      <c r="C25400" s="2"/>
    </row>
    <row r="25401" spans="3:3" x14ac:dyDescent="0.35">
      <c r="C25401" s="2"/>
    </row>
    <row r="25402" spans="3:3" x14ac:dyDescent="0.35">
      <c r="C25402" s="2"/>
    </row>
    <row r="25403" spans="3:3" x14ac:dyDescent="0.35">
      <c r="C25403" s="2"/>
    </row>
    <row r="25404" spans="3:3" x14ac:dyDescent="0.35">
      <c r="C25404" s="2"/>
    </row>
    <row r="25405" spans="3:3" x14ac:dyDescent="0.35">
      <c r="C25405" s="2"/>
    </row>
    <row r="25406" spans="3:3" x14ac:dyDescent="0.35">
      <c r="C25406" s="2"/>
    </row>
    <row r="25407" spans="3:3" x14ac:dyDescent="0.35">
      <c r="C25407" s="2"/>
    </row>
    <row r="25408" spans="3:3" x14ac:dyDescent="0.35">
      <c r="C25408" s="2"/>
    </row>
    <row r="25409" spans="3:3" x14ac:dyDescent="0.35">
      <c r="C25409" s="2"/>
    </row>
    <row r="25410" spans="3:3" x14ac:dyDescent="0.35">
      <c r="C25410" s="2"/>
    </row>
    <row r="25411" spans="3:3" x14ac:dyDescent="0.35">
      <c r="C25411" s="2"/>
    </row>
    <row r="25412" spans="3:3" x14ac:dyDescent="0.35">
      <c r="C25412" s="2"/>
    </row>
    <row r="25413" spans="3:3" x14ac:dyDescent="0.35">
      <c r="C25413" s="2"/>
    </row>
    <row r="25414" spans="3:3" x14ac:dyDescent="0.35">
      <c r="C25414" s="2"/>
    </row>
    <row r="25415" spans="3:3" x14ac:dyDescent="0.35">
      <c r="C25415" s="2"/>
    </row>
    <row r="25416" spans="3:3" x14ac:dyDescent="0.35">
      <c r="C25416" s="2"/>
    </row>
    <row r="25417" spans="3:3" x14ac:dyDescent="0.35">
      <c r="C25417" s="2"/>
    </row>
    <row r="25418" spans="3:3" x14ac:dyDescent="0.35">
      <c r="C25418" s="2"/>
    </row>
    <row r="25419" spans="3:3" x14ac:dyDescent="0.35">
      <c r="C25419" s="2"/>
    </row>
    <row r="25420" spans="3:3" x14ac:dyDescent="0.35">
      <c r="C25420" s="2"/>
    </row>
    <row r="25421" spans="3:3" x14ac:dyDescent="0.35">
      <c r="C25421" s="2"/>
    </row>
    <row r="25422" spans="3:3" x14ac:dyDescent="0.35">
      <c r="C25422" s="2"/>
    </row>
    <row r="25423" spans="3:3" x14ac:dyDescent="0.35">
      <c r="C25423" s="2"/>
    </row>
    <row r="25424" spans="3:3" x14ac:dyDescent="0.35">
      <c r="C25424" s="2"/>
    </row>
    <row r="25425" spans="3:3" x14ac:dyDescent="0.35">
      <c r="C25425" s="2"/>
    </row>
    <row r="25426" spans="3:3" x14ac:dyDescent="0.35">
      <c r="C25426" s="2"/>
    </row>
    <row r="25427" spans="3:3" x14ac:dyDescent="0.35">
      <c r="C25427" s="2"/>
    </row>
    <row r="25428" spans="3:3" x14ac:dyDescent="0.35">
      <c r="C25428" s="2"/>
    </row>
    <row r="25429" spans="3:3" x14ac:dyDescent="0.35">
      <c r="C25429" s="2"/>
    </row>
    <row r="25430" spans="3:3" x14ac:dyDescent="0.35">
      <c r="C25430" s="2"/>
    </row>
    <row r="25431" spans="3:3" x14ac:dyDescent="0.35">
      <c r="C25431" s="2"/>
    </row>
    <row r="25432" spans="3:3" x14ac:dyDescent="0.35">
      <c r="C25432" s="2"/>
    </row>
    <row r="25433" spans="3:3" x14ac:dyDescent="0.35">
      <c r="C25433" s="2"/>
    </row>
    <row r="25434" spans="3:3" x14ac:dyDescent="0.35">
      <c r="C25434" s="2"/>
    </row>
    <row r="25435" spans="3:3" x14ac:dyDescent="0.35">
      <c r="C25435" s="2"/>
    </row>
    <row r="25436" spans="3:3" x14ac:dyDescent="0.35">
      <c r="C25436" s="2"/>
    </row>
    <row r="25437" spans="3:3" x14ac:dyDescent="0.35">
      <c r="C25437" s="2"/>
    </row>
    <row r="25438" spans="3:3" x14ac:dyDescent="0.35">
      <c r="C25438" s="2"/>
    </row>
    <row r="25439" spans="3:3" x14ac:dyDescent="0.35">
      <c r="C25439" s="2"/>
    </row>
    <row r="25440" spans="3:3" x14ac:dyDescent="0.35">
      <c r="C25440" s="2"/>
    </row>
    <row r="25441" spans="3:3" x14ac:dyDescent="0.35">
      <c r="C25441" s="2"/>
    </row>
    <row r="25442" spans="3:3" x14ac:dyDescent="0.35">
      <c r="C25442" s="2"/>
    </row>
    <row r="25443" spans="3:3" x14ac:dyDescent="0.35">
      <c r="C25443" s="2"/>
    </row>
    <row r="25444" spans="3:3" x14ac:dyDescent="0.35">
      <c r="C25444" s="2"/>
    </row>
    <row r="25445" spans="3:3" x14ac:dyDescent="0.35">
      <c r="C25445" s="2"/>
    </row>
    <row r="25446" spans="3:3" x14ac:dyDescent="0.35">
      <c r="C25446" s="2"/>
    </row>
    <row r="25447" spans="3:3" x14ac:dyDescent="0.35">
      <c r="C25447" s="2"/>
    </row>
    <row r="25448" spans="3:3" x14ac:dyDescent="0.35">
      <c r="C25448" s="2"/>
    </row>
    <row r="25449" spans="3:3" x14ac:dyDescent="0.35">
      <c r="C25449" s="2"/>
    </row>
    <row r="25450" spans="3:3" x14ac:dyDescent="0.35">
      <c r="C25450" s="2"/>
    </row>
    <row r="25451" spans="3:3" x14ac:dyDescent="0.35">
      <c r="C25451" s="2"/>
    </row>
    <row r="25452" spans="3:3" x14ac:dyDescent="0.35">
      <c r="C25452" s="2"/>
    </row>
    <row r="25453" spans="3:3" x14ac:dyDescent="0.35">
      <c r="C25453" s="2"/>
    </row>
    <row r="25454" spans="3:3" x14ac:dyDescent="0.35">
      <c r="C25454" s="2"/>
    </row>
    <row r="25455" spans="3:3" x14ac:dyDescent="0.35">
      <c r="C25455" s="2"/>
    </row>
    <row r="25456" spans="3:3" x14ac:dyDescent="0.35">
      <c r="C25456" s="2"/>
    </row>
    <row r="25457" spans="3:3" x14ac:dyDescent="0.35">
      <c r="C25457" s="2"/>
    </row>
    <row r="25458" spans="3:3" x14ac:dyDescent="0.35">
      <c r="C25458" s="2"/>
    </row>
    <row r="25459" spans="3:3" x14ac:dyDescent="0.35">
      <c r="C25459" s="2"/>
    </row>
    <row r="25460" spans="3:3" x14ac:dyDescent="0.35">
      <c r="C25460" s="2"/>
    </row>
    <row r="25461" spans="3:3" x14ac:dyDescent="0.35">
      <c r="C25461" s="2"/>
    </row>
    <row r="25462" spans="3:3" x14ac:dyDescent="0.35">
      <c r="C25462" s="2"/>
    </row>
    <row r="25463" spans="3:3" x14ac:dyDescent="0.35">
      <c r="C25463" s="2"/>
    </row>
    <row r="25464" spans="3:3" x14ac:dyDescent="0.35">
      <c r="C25464" s="2"/>
    </row>
    <row r="25465" spans="3:3" x14ac:dyDescent="0.35">
      <c r="C25465" s="2"/>
    </row>
    <row r="25466" spans="3:3" x14ac:dyDescent="0.35">
      <c r="C25466" s="2"/>
    </row>
    <row r="25467" spans="3:3" x14ac:dyDescent="0.35">
      <c r="C25467" s="2"/>
    </row>
    <row r="25468" spans="3:3" x14ac:dyDescent="0.35">
      <c r="C25468" s="2"/>
    </row>
    <row r="25469" spans="3:3" x14ac:dyDescent="0.35">
      <c r="C25469" s="2"/>
    </row>
    <row r="25470" spans="3:3" x14ac:dyDescent="0.35">
      <c r="C25470" s="2"/>
    </row>
    <row r="25471" spans="3:3" x14ac:dyDescent="0.35">
      <c r="C25471" s="2"/>
    </row>
    <row r="25472" spans="3:3" x14ac:dyDescent="0.35">
      <c r="C25472" s="2"/>
    </row>
    <row r="25473" spans="3:3" x14ac:dyDescent="0.35">
      <c r="C25473" s="2"/>
    </row>
    <row r="25474" spans="3:3" x14ac:dyDescent="0.35">
      <c r="C25474" s="2"/>
    </row>
    <row r="25475" spans="3:3" x14ac:dyDescent="0.35">
      <c r="C25475" s="2"/>
    </row>
    <row r="25476" spans="3:3" x14ac:dyDescent="0.35">
      <c r="C25476" s="2"/>
    </row>
    <row r="25477" spans="3:3" x14ac:dyDescent="0.35">
      <c r="C25477" s="2"/>
    </row>
    <row r="25478" spans="3:3" x14ac:dyDescent="0.35">
      <c r="C25478" s="2"/>
    </row>
    <row r="25479" spans="3:3" x14ac:dyDescent="0.35">
      <c r="C25479" s="2"/>
    </row>
    <row r="25480" spans="3:3" x14ac:dyDescent="0.35">
      <c r="C25480" s="2"/>
    </row>
    <row r="25481" spans="3:3" x14ac:dyDescent="0.35">
      <c r="C25481" s="2"/>
    </row>
    <row r="25482" spans="3:3" x14ac:dyDescent="0.35">
      <c r="C25482" s="2"/>
    </row>
    <row r="25483" spans="3:3" x14ac:dyDescent="0.35">
      <c r="C25483" s="2"/>
    </row>
    <row r="25484" spans="3:3" x14ac:dyDescent="0.35">
      <c r="C25484" s="2"/>
    </row>
    <row r="25485" spans="3:3" x14ac:dyDescent="0.35">
      <c r="C25485" s="2"/>
    </row>
    <row r="25486" spans="3:3" x14ac:dyDescent="0.35">
      <c r="C25486" s="2"/>
    </row>
    <row r="25487" spans="3:3" x14ac:dyDescent="0.35">
      <c r="C25487" s="2"/>
    </row>
    <row r="25488" spans="3:3" x14ac:dyDescent="0.35">
      <c r="C25488" s="2"/>
    </row>
    <row r="25489" spans="3:3" x14ac:dyDescent="0.35">
      <c r="C25489" s="2"/>
    </row>
    <row r="25490" spans="3:3" x14ac:dyDescent="0.35">
      <c r="C25490" s="2"/>
    </row>
    <row r="25491" spans="3:3" x14ac:dyDescent="0.35">
      <c r="C25491" s="2"/>
    </row>
    <row r="25492" spans="3:3" x14ac:dyDescent="0.35">
      <c r="C25492" s="2"/>
    </row>
    <row r="25493" spans="3:3" x14ac:dyDescent="0.35">
      <c r="C25493" s="2"/>
    </row>
    <row r="25494" spans="3:3" x14ac:dyDescent="0.35">
      <c r="C25494" s="2"/>
    </row>
    <row r="25495" spans="3:3" x14ac:dyDescent="0.35">
      <c r="C25495" s="2"/>
    </row>
    <row r="25496" spans="3:3" x14ac:dyDescent="0.35">
      <c r="C25496" s="2"/>
    </row>
    <row r="25497" spans="3:3" x14ac:dyDescent="0.35">
      <c r="C25497" s="2"/>
    </row>
    <row r="25498" spans="3:3" x14ac:dyDescent="0.35">
      <c r="C25498" s="2"/>
    </row>
    <row r="25499" spans="3:3" x14ac:dyDescent="0.35">
      <c r="C25499" s="2"/>
    </row>
    <row r="25500" spans="3:3" x14ac:dyDescent="0.35">
      <c r="C25500" s="2"/>
    </row>
    <row r="25501" spans="3:3" x14ac:dyDescent="0.35">
      <c r="C25501" s="2"/>
    </row>
    <row r="25502" spans="3:3" x14ac:dyDescent="0.35">
      <c r="C25502" s="2"/>
    </row>
    <row r="25503" spans="3:3" x14ac:dyDescent="0.35">
      <c r="C25503" s="2"/>
    </row>
    <row r="25504" spans="3:3" x14ac:dyDescent="0.35">
      <c r="C25504" s="2"/>
    </row>
    <row r="25505" spans="3:3" x14ac:dyDescent="0.35">
      <c r="C25505" s="2"/>
    </row>
    <row r="25506" spans="3:3" x14ac:dyDescent="0.35">
      <c r="C25506" s="2"/>
    </row>
    <row r="25507" spans="3:3" x14ac:dyDescent="0.35">
      <c r="C25507" s="2"/>
    </row>
    <row r="25508" spans="3:3" x14ac:dyDescent="0.35">
      <c r="C25508" s="2"/>
    </row>
    <row r="25509" spans="3:3" x14ac:dyDescent="0.35">
      <c r="C25509" s="2"/>
    </row>
    <row r="25510" spans="3:3" x14ac:dyDescent="0.35">
      <c r="C25510" s="2"/>
    </row>
    <row r="25511" spans="3:3" x14ac:dyDescent="0.35">
      <c r="C25511" s="2"/>
    </row>
    <row r="25512" spans="3:3" x14ac:dyDescent="0.35">
      <c r="C25512" s="2"/>
    </row>
    <row r="25513" spans="3:3" x14ac:dyDescent="0.35">
      <c r="C25513" s="2"/>
    </row>
    <row r="25514" spans="3:3" x14ac:dyDescent="0.35">
      <c r="C25514" s="2"/>
    </row>
    <row r="25515" spans="3:3" x14ac:dyDescent="0.35">
      <c r="C25515" s="2"/>
    </row>
    <row r="25516" spans="3:3" x14ac:dyDescent="0.35">
      <c r="C25516" s="2"/>
    </row>
    <row r="25517" spans="3:3" x14ac:dyDescent="0.35">
      <c r="C25517" s="2"/>
    </row>
    <row r="25518" spans="3:3" x14ac:dyDescent="0.35">
      <c r="C25518" s="2"/>
    </row>
    <row r="25519" spans="3:3" x14ac:dyDescent="0.35">
      <c r="C25519" s="2"/>
    </row>
    <row r="25520" spans="3:3" x14ac:dyDescent="0.35">
      <c r="C25520" s="2"/>
    </row>
    <row r="25521" spans="3:3" x14ac:dyDescent="0.35">
      <c r="C25521" s="2"/>
    </row>
    <row r="25522" spans="3:3" x14ac:dyDescent="0.35">
      <c r="C25522" s="2"/>
    </row>
    <row r="25523" spans="3:3" x14ac:dyDescent="0.35">
      <c r="C25523" s="2"/>
    </row>
    <row r="25524" spans="3:3" x14ac:dyDescent="0.35">
      <c r="C25524" s="2"/>
    </row>
    <row r="25525" spans="3:3" x14ac:dyDescent="0.35">
      <c r="C25525" s="2"/>
    </row>
    <row r="25526" spans="3:3" x14ac:dyDescent="0.35">
      <c r="C25526" s="2"/>
    </row>
    <row r="25527" spans="3:3" x14ac:dyDescent="0.35">
      <c r="C25527" s="2"/>
    </row>
    <row r="25528" spans="3:3" x14ac:dyDescent="0.35">
      <c r="C25528" s="2"/>
    </row>
    <row r="25529" spans="3:3" x14ac:dyDescent="0.35">
      <c r="C25529" s="2"/>
    </row>
    <row r="25530" spans="3:3" x14ac:dyDescent="0.35">
      <c r="C25530" s="2"/>
    </row>
    <row r="25531" spans="3:3" x14ac:dyDescent="0.35">
      <c r="C25531" s="2"/>
    </row>
    <row r="25532" spans="3:3" x14ac:dyDescent="0.35">
      <c r="C25532" s="2"/>
    </row>
    <row r="25533" spans="3:3" x14ac:dyDescent="0.35">
      <c r="C25533" s="2"/>
    </row>
    <row r="25534" spans="3:3" x14ac:dyDescent="0.35">
      <c r="C25534" s="2"/>
    </row>
    <row r="25535" spans="3:3" x14ac:dyDescent="0.35">
      <c r="C25535" s="2"/>
    </row>
    <row r="25536" spans="3:3" x14ac:dyDescent="0.35">
      <c r="C25536" s="2"/>
    </row>
    <row r="25537" spans="3:3" x14ac:dyDescent="0.35">
      <c r="C25537" s="2"/>
    </row>
    <row r="25538" spans="3:3" x14ac:dyDescent="0.35">
      <c r="C25538" s="2"/>
    </row>
    <row r="25539" spans="3:3" x14ac:dyDescent="0.35">
      <c r="C25539" s="2"/>
    </row>
    <row r="25540" spans="3:3" x14ac:dyDescent="0.35">
      <c r="C25540" s="2"/>
    </row>
    <row r="25541" spans="3:3" x14ac:dyDescent="0.35">
      <c r="C25541" s="2"/>
    </row>
    <row r="25542" spans="3:3" x14ac:dyDescent="0.35">
      <c r="C25542" s="2"/>
    </row>
    <row r="25543" spans="3:3" x14ac:dyDescent="0.35">
      <c r="C25543" s="2"/>
    </row>
    <row r="25544" spans="3:3" x14ac:dyDescent="0.35">
      <c r="C25544" s="2"/>
    </row>
    <row r="25545" spans="3:3" x14ac:dyDescent="0.35">
      <c r="C25545" s="2"/>
    </row>
    <row r="25546" spans="3:3" x14ac:dyDescent="0.35">
      <c r="C25546" s="2"/>
    </row>
    <row r="25547" spans="3:3" x14ac:dyDescent="0.35">
      <c r="C25547" s="2"/>
    </row>
    <row r="25548" spans="3:3" x14ac:dyDescent="0.35">
      <c r="C25548" s="2"/>
    </row>
    <row r="25549" spans="3:3" x14ac:dyDescent="0.35">
      <c r="C25549" s="2"/>
    </row>
    <row r="25550" spans="3:3" x14ac:dyDescent="0.35">
      <c r="C25550" s="2"/>
    </row>
    <row r="25551" spans="3:3" x14ac:dyDescent="0.35">
      <c r="C25551" s="2"/>
    </row>
    <row r="25552" spans="3:3" x14ac:dyDescent="0.35">
      <c r="C25552" s="2"/>
    </row>
    <row r="25553" spans="3:3" x14ac:dyDescent="0.35">
      <c r="C25553" s="2"/>
    </row>
    <row r="25554" spans="3:3" x14ac:dyDescent="0.35">
      <c r="C25554" s="2"/>
    </row>
    <row r="25555" spans="3:3" x14ac:dyDescent="0.35">
      <c r="C25555" s="2"/>
    </row>
    <row r="25556" spans="3:3" x14ac:dyDescent="0.35">
      <c r="C25556" s="2"/>
    </row>
    <row r="25557" spans="3:3" x14ac:dyDescent="0.35">
      <c r="C25557" s="2"/>
    </row>
    <row r="25558" spans="3:3" x14ac:dyDescent="0.35">
      <c r="C25558" s="2"/>
    </row>
    <row r="25559" spans="3:3" x14ac:dyDescent="0.35">
      <c r="C25559" s="2"/>
    </row>
    <row r="25560" spans="3:3" x14ac:dyDescent="0.35">
      <c r="C25560" s="2"/>
    </row>
    <row r="25561" spans="3:3" x14ac:dyDescent="0.35">
      <c r="C25561" s="2"/>
    </row>
    <row r="25562" spans="3:3" x14ac:dyDescent="0.35">
      <c r="C25562" s="2"/>
    </row>
    <row r="25563" spans="3:3" x14ac:dyDescent="0.35">
      <c r="C25563" s="2"/>
    </row>
    <row r="25564" spans="3:3" x14ac:dyDescent="0.35">
      <c r="C25564" s="2"/>
    </row>
    <row r="25565" spans="3:3" x14ac:dyDescent="0.35">
      <c r="C25565" s="2"/>
    </row>
    <row r="25566" spans="3:3" x14ac:dyDescent="0.35">
      <c r="C25566" s="2"/>
    </row>
    <row r="25567" spans="3:3" x14ac:dyDescent="0.35">
      <c r="C25567" s="2"/>
    </row>
    <row r="25568" spans="3:3" x14ac:dyDescent="0.35">
      <c r="C25568" s="2"/>
    </row>
    <row r="25569" spans="3:3" x14ac:dyDescent="0.35">
      <c r="C25569" s="2"/>
    </row>
    <row r="25570" spans="3:3" x14ac:dyDescent="0.35">
      <c r="C25570" s="2"/>
    </row>
    <row r="25571" spans="3:3" x14ac:dyDescent="0.35">
      <c r="C25571" s="2"/>
    </row>
    <row r="25572" spans="3:3" x14ac:dyDescent="0.35">
      <c r="C25572" s="2"/>
    </row>
    <row r="25573" spans="3:3" x14ac:dyDescent="0.35">
      <c r="C25573" s="2"/>
    </row>
    <row r="25574" spans="3:3" x14ac:dyDescent="0.35">
      <c r="C25574" s="2"/>
    </row>
    <row r="25575" spans="3:3" x14ac:dyDescent="0.35">
      <c r="C25575" s="2"/>
    </row>
    <row r="25576" spans="3:3" x14ac:dyDescent="0.35">
      <c r="C25576" s="2"/>
    </row>
    <row r="25577" spans="3:3" x14ac:dyDescent="0.35">
      <c r="C25577" s="2"/>
    </row>
    <row r="25578" spans="3:3" x14ac:dyDescent="0.35">
      <c r="C25578" s="2"/>
    </row>
    <row r="25579" spans="3:3" x14ac:dyDescent="0.35">
      <c r="C25579" s="2"/>
    </row>
    <row r="25580" spans="3:3" x14ac:dyDescent="0.35">
      <c r="C25580" s="2"/>
    </row>
    <row r="25581" spans="3:3" x14ac:dyDescent="0.35">
      <c r="C25581" s="2"/>
    </row>
    <row r="25582" spans="3:3" x14ac:dyDescent="0.35">
      <c r="C25582" s="2"/>
    </row>
    <row r="25583" spans="3:3" x14ac:dyDescent="0.35">
      <c r="C25583" s="2"/>
    </row>
    <row r="25584" spans="3:3" x14ac:dyDescent="0.35">
      <c r="C25584" s="2"/>
    </row>
    <row r="25585" spans="3:3" x14ac:dyDescent="0.35">
      <c r="C25585" s="2"/>
    </row>
    <row r="25586" spans="3:3" x14ac:dyDescent="0.35">
      <c r="C25586" s="2"/>
    </row>
    <row r="25587" spans="3:3" x14ac:dyDescent="0.35">
      <c r="C25587" s="2"/>
    </row>
    <row r="25588" spans="3:3" x14ac:dyDescent="0.35">
      <c r="C25588" s="2"/>
    </row>
    <row r="25589" spans="3:3" x14ac:dyDescent="0.35">
      <c r="C25589" s="2"/>
    </row>
    <row r="25590" spans="3:3" x14ac:dyDescent="0.35">
      <c r="C25590" s="2"/>
    </row>
    <row r="25591" spans="3:3" x14ac:dyDescent="0.35">
      <c r="C25591" s="2"/>
    </row>
    <row r="25592" spans="3:3" x14ac:dyDescent="0.35">
      <c r="C25592" s="2"/>
    </row>
    <row r="25593" spans="3:3" x14ac:dyDescent="0.35">
      <c r="C25593" s="2"/>
    </row>
    <row r="25594" spans="3:3" x14ac:dyDescent="0.35">
      <c r="C25594" s="2"/>
    </row>
    <row r="25595" spans="3:3" x14ac:dyDescent="0.35">
      <c r="C25595" s="2"/>
    </row>
    <row r="25596" spans="3:3" x14ac:dyDescent="0.35">
      <c r="C25596" s="2"/>
    </row>
    <row r="25597" spans="3:3" x14ac:dyDescent="0.35">
      <c r="C25597" s="2"/>
    </row>
    <row r="25598" spans="3:3" x14ac:dyDescent="0.35">
      <c r="C25598" s="2"/>
    </row>
    <row r="25599" spans="3:3" x14ac:dyDescent="0.35">
      <c r="C25599" s="2"/>
    </row>
    <row r="25600" spans="3:3" x14ac:dyDescent="0.35">
      <c r="C25600" s="2"/>
    </row>
    <row r="25601" spans="3:3" x14ac:dyDescent="0.35">
      <c r="C25601" s="2"/>
    </row>
    <row r="25602" spans="3:3" x14ac:dyDescent="0.35">
      <c r="C25602" s="2"/>
    </row>
    <row r="25603" spans="3:3" x14ac:dyDescent="0.35">
      <c r="C25603" s="2"/>
    </row>
    <row r="25604" spans="3:3" x14ac:dyDescent="0.35">
      <c r="C25604" s="2"/>
    </row>
    <row r="25605" spans="3:3" x14ac:dyDescent="0.35">
      <c r="C25605" s="2"/>
    </row>
    <row r="25606" spans="3:3" x14ac:dyDescent="0.35">
      <c r="C25606" s="2"/>
    </row>
    <row r="25607" spans="3:3" x14ac:dyDescent="0.35">
      <c r="C25607" s="2"/>
    </row>
    <row r="25608" spans="3:3" x14ac:dyDescent="0.35">
      <c r="C25608" s="2"/>
    </row>
    <row r="25609" spans="3:3" x14ac:dyDescent="0.35">
      <c r="C25609" s="2"/>
    </row>
    <row r="25610" spans="3:3" x14ac:dyDescent="0.35">
      <c r="C25610" s="2"/>
    </row>
    <row r="25611" spans="3:3" x14ac:dyDescent="0.35">
      <c r="C25611" s="2"/>
    </row>
    <row r="25612" spans="3:3" x14ac:dyDescent="0.35">
      <c r="C25612" s="2"/>
    </row>
    <row r="25613" spans="3:3" x14ac:dyDescent="0.35">
      <c r="C25613" s="2"/>
    </row>
    <row r="25614" spans="3:3" x14ac:dyDescent="0.35">
      <c r="C25614" s="2"/>
    </row>
    <row r="25615" spans="3:3" x14ac:dyDescent="0.35">
      <c r="C25615" s="2"/>
    </row>
    <row r="25616" spans="3:3" x14ac:dyDescent="0.35">
      <c r="C25616" s="2"/>
    </row>
    <row r="25617" spans="3:3" x14ac:dyDescent="0.35">
      <c r="C25617" s="2"/>
    </row>
    <row r="25618" spans="3:3" x14ac:dyDescent="0.35">
      <c r="C25618" s="2"/>
    </row>
    <row r="25619" spans="3:3" x14ac:dyDescent="0.35">
      <c r="C25619" s="2"/>
    </row>
    <row r="25620" spans="3:3" x14ac:dyDescent="0.35">
      <c r="C25620" s="2"/>
    </row>
    <row r="25621" spans="3:3" x14ac:dyDescent="0.35">
      <c r="C25621" s="2"/>
    </row>
    <row r="25622" spans="3:3" x14ac:dyDescent="0.35">
      <c r="C25622" s="2"/>
    </row>
    <row r="25623" spans="3:3" x14ac:dyDescent="0.35">
      <c r="C25623" s="2"/>
    </row>
    <row r="25624" spans="3:3" x14ac:dyDescent="0.35">
      <c r="C25624" s="2"/>
    </row>
    <row r="25625" spans="3:3" x14ac:dyDescent="0.35">
      <c r="C25625" s="2"/>
    </row>
    <row r="25626" spans="3:3" x14ac:dyDescent="0.35">
      <c r="C25626" s="2"/>
    </row>
    <row r="25627" spans="3:3" x14ac:dyDescent="0.35">
      <c r="C25627" s="2"/>
    </row>
    <row r="25628" spans="3:3" x14ac:dyDescent="0.35">
      <c r="C25628" s="2"/>
    </row>
    <row r="25629" spans="3:3" x14ac:dyDescent="0.35">
      <c r="C25629" s="2"/>
    </row>
    <row r="25630" spans="3:3" x14ac:dyDescent="0.35">
      <c r="C25630" s="2"/>
    </row>
    <row r="25631" spans="3:3" x14ac:dyDescent="0.35">
      <c r="C25631" s="2"/>
    </row>
    <row r="25632" spans="3:3" x14ac:dyDescent="0.35">
      <c r="C25632" s="2"/>
    </row>
    <row r="25633" spans="3:3" x14ac:dyDescent="0.35">
      <c r="C25633" s="2"/>
    </row>
    <row r="25634" spans="3:3" x14ac:dyDescent="0.35">
      <c r="C25634" s="2"/>
    </row>
    <row r="25635" spans="3:3" x14ac:dyDescent="0.35">
      <c r="C25635" s="2"/>
    </row>
    <row r="25636" spans="3:3" x14ac:dyDescent="0.35">
      <c r="C25636" s="2"/>
    </row>
    <row r="25637" spans="3:3" x14ac:dyDescent="0.35">
      <c r="C25637" s="2"/>
    </row>
    <row r="25638" spans="3:3" x14ac:dyDescent="0.35">
      <c r="C25638" s="2"/>
    </row>
    <row r="25639" spans="3:3" x14ac:dyDescent="0.35">
      <c r="C25639" s="2"/>
    </row>
    <row r="25640" spans="3:3" x14ac:dyDescent="0.35">
      <c r="C25640" s="2"/>
    </row>
    <row r="25641" spans="3:3" x14ac:dyDescent="0.35">
      <c r="C25641" s="2"/>
    </row>
    <row r="25642" spans="3:3" x14ac:dyDescent="0.35">
      <c r="C25642" s="2"/>
    </row>
    <row r="25643" spans="3:3" x14ac:dyDescent="0.35">
      <c r="C25643" s="2"/>
    </row>
    <row r="25644" spans="3:3" x14ac:dyDescent="0.35">
      <c r="C25644" s="2"/>
    </row>
    <row r="25645" spans="3:3" x14ac:dyDescent="0.35">
      <c r="C25645" s="2"/>
    </row>
    <row r="25646" spans="3:3" x14ac:dyDescent="0.35">
      <c r="C25646" s="2"/>
    </row>
    <row r="25647" spans="3:3" x14ac:dyDescent="0.35">
      <c r="C25647" s="2"/>
    </row>
    <row r="25648" spans="3:3" x14ac:dyDescent="0.35">
      <c r="C25648" s="2"/>
    </row>
    <row r="25649" spans="3:3" x14ac:dyDescent="0.35">
      <c r="C25649" s="2"/>
    </row>
    <row r="25650" spans="3:3" x14ac:dyDescent="0.35">
      <c r="C25650" s="2"/>
    </row>
    <row r="25651" spans="3:3" x14ac:dyDescent="0.35">
      <c r="C25651" s="2"/>
    </row>
    <row r="25652" spans="3:3" x14ac:dyDescent="0.35">
      <c r="C25652" s="2"/>
    </row>
    <row r="25653" spans="3:3" x14ac:dyDescent="0.35">
      <c r="C25653" s="2"/>
    </row>
    <row r="25654" spans="3:3" x14ac:dyDescent="0.35">
      <c r="C25654" s="2"/>
    </row>
    <row r="25655" spans="3:3" x14ac:dyDescent="0.35">
      <c r="C25655" s="2"/>
    </row>
    <row r="25656" spans="3:3" x14ac:dyDescent="0.35">
      <c r="C25656" s="2"/>
    </row>
    <row r="25657" spans="3:3" x14ac:dyDescent="0.35">
      <c r="C25657" s="2"/>
    </row>
    <row r="25658" spans="3:3" x14ac:dyDescent="0.35">
      <c r="C25658" s="2"/>
    </row>
    <row r="25659" spans="3:3" x14ac:dyDescent="0.35">
      <c r="C25659" s="2"/>
    </row>
    <row r="25660" spans="3:3" x14ac:dyDescent="0.35">
      <c r="C25660" s="2"/>
    </row>
    <row r="25661" spans="3:3" x14ac:dyDescent="0.35">
      <c r="C25661" s="2"/>
    </row>
    <row r="25662" spans="3:3" x14ac:dyDescent="0.35">
      <c r="C25662" s="2"/>
    </row>
    <row r="25663" spans="3:3" x14ac:dyDescent="0.35">
      <c r="C25663" s="2"/>
    </row>
    <row r="25664" spans="3:3" x14ac:dyDescent="0.35">
      <c r="C25664" s="2"/>
    </row>
    <row r="25665" spans="3:3" x14ac:dyDescent="0.35">
      <c r="C25665" s="2"/>
    </row>
    <row r="25666" spans="3:3" x14ac:dyDescent="0.35">
      <c r="C25666" s="2"/>
    </row>
    <row r="25667" spans="3:3" x14ac:dyDescent="0.35">
      <c r="C25667" s="2"/>
    </row>
    <row r="25668" spans="3:3" x14ac:dyDescent="0.35">
      <c r="C25668" s="2"/>
    </row>
    <row r="25669" spans="3:3" x14ac:dyDescent="0.35">
      <c r="C25669" s="2"/>
    </row>
    <row r="25670" spans="3:3" x14ac:dyDescent="0.35">
      <c r="C25670" s="2"/>
    </row>
    <row r="25671" spans="3:3" x14ac:dyDescent="0.35">
      <c r="C25671" s="2"/>
    </row>
    <row r="25672" spans="3:3" x14ac:dyDescent="0.35">
      <c r="C25672" s="2"/>
    </row>
    <row r="25673" spans="3:3" x14ac:dyDescent="0.35">
      <c r="C25673" s="2"/>
    </row>
    <row r="25674" spans="3:3" x14ac:dyDescent="0.35">
      <c r="C25674" s="2"/>
    </row>
    <row r="25675" spans="3:3" x14ac:dyDescent="0.35">
      <c r="C25675" s="2"/>
    </row>
    <row r="25676" spans="3:3" x14ac:dyDescent="0.35">
      <c r="C25676" s="2"/>
    </row>
    <row r="25677" spans="3:3" x14ac:dyDescent="0.35">
      <c r="C25677" s="2"/>
    </row>
    <row r="25678" spans="3:3" x14ac:dyDescent="0.35">
      <c r="C25678" s="2"/>
    </row>
    <row r="25679" spans="3:3" x14ac:dyDescent="0.35">
      <c r="C25679" s="2"/>
    </row>
    <row r="25680" spans="3:3" x14ac:dyDescent="0.35">
      <c r="C25680" s="2"/>
    </row>
    <row r="25681" spans="3:3" x14ac:dyDescent="0.35">
      <c r="C25681" s="2"/>
    </row>
    <row r="25682" spans="3:3" x14ac:dyDescent="0.35">
      <c r="C25682" s="2"/>
    </row>
    <row r="25683" spans="3:3" x14ac:dyDescent="0.35">
      <c r="C25683" s="2"/>
    </row>
    <row r="25684" spans="3:3" x14ac:dyDescent="0.35">
      <c r="C25684" s="2"/>
    </row>
    <row r="25685" spans="3:3" x14ac:dyDescent="0.35">
      <c r="C25685" s="2"/>
    </row>
    <row r="25686" spans="3:3" x14ac:dyDescent="0.35">
      <c r="C25686" s="2"/>
    </row>
    <row r="25687" spans="3:3" x14ac:dyDescent="0.35">
      <c r="C25687" s="2"/>
    </row>
    <row r="25688" spans="3:3" x14ac:dyDescent="0.35">
      <c r="C25688" s="2"/>
    </row>
    <row r="25689" spans="3:3" x14ac:dyDescent="0.35">
      <c r="C25689" s="2"/>
    </row>
    <row r="25690" spans="3:3" x14ac:dyDescent="0.35">
      <c r="C25690" s="2"/>
    </row>
    <row r="25691" spans="3:3" x14ac:dyDescent="0.35">
      <c r="C25691" s="2"/>
    </row>
    <row r="25692" spans="3:3" x14ac:dyDescent="0.35">
      <c r="C25692" s="2"/>
    </row>
    <row r="25693" spans="3:3" x14ac:dyDescent="0.35">
      <c r="C25693" s="2"/>
    </row>
    <row r="25694" spans="3:3" x14ac:dyDescent="0.35">
      <c r="C25694" s="2"/>
    </row>
    <row r="25695" spans="3:3" x14ac:dyDescent="0.35">
      <c r="C25695" s="2"/>
    </row>
    <row r="25696" spans="3:3" x14ac:dyDescent="0.35">
      <c r="C25696" s="2"/>
    </row>
    <row r="25697" spans="3:3" x14ac:dyDescent="0.35">
      <c r="C25697" s="2"/>
    </row>
    <row r="25698" spans="3:3" x14ac:dyDescent="0.35">
      <c r="C25698" s="2"/>
    </row>
    <row r="25699" spans="3:3" x14ac:dyDescent="0.35">
      <c r="C25699" s="2"/>
    </row>
    <row r="25700" spans="3:3" x14ac:dyDescent="0.35">
      <c r="C25700" s="2"/>
    </row>
    <row r="25701" spans="3:3" x14ac:dyDescent="0.35">
      <c r="C25701" s="2"/>
    </row>
    <row r="25702" spans="3:3" x14ac:dyDescent="0.35">
      <c r="C25702" s="2"/>
    </row>
    <row r="25703" spans="3:3" x14ac:dyDescent="0.35">
      <c r="C25703" s="2"/>
    </row>
    <row r="25704" spans="3:3" x14ac:dyDescent="0.35">
      <c r="C25704" s="2"/>
    </row>
    <row r="25705" spans="3:3" x14ac:dyDescent="0.35">
      <c r="C25705" s="2"/>
    </row>
    <row r="25706" spans="3:3" x14ac:dyDescent="0.35">
      <c r="C25706" s="2"/>
    </row>
    <row r="25707" spans="3:3" x14ac:dyDescent="0.35">
      <c r="C25707" s="2"/>
    </row>
    <row r="25708" spans="3:3" x14ac:dyDescent="0.35">
      <c r="C25708" s="2"/>
    </row>
    <row r="25709" spans="3:3" x14ac:dyDescent="0.35">
      <c r="C25709" s="2"/>
    </row>
    <row r="25710" spans="3:3" x14ac:dyDescent="0.35">
      <c r="C25710" s="2"/>
    </row>
    <row r="25711" spans="3:3" x14ac:dyDescent="0.35">
      <c r="C25711" s="2"/>
    </row>
    <row r="25712" spans="3:3" x14ac:dyDescent="0.35">
      <c r="C25712" s="2"/>
    </row>
    <row r="25713" spans="3:3" x14ac:dyDescent="0.35">
      <c r="C25713" s="2"/>
    </row>
    <row r="25714" spans="3:3" x14ac:dyDescent="0.35">
      <c r="C25714" s="2"/>
    </row>
    <row r="25715" spans="3:3" x14ac:dyDescent="0.35">
      <c r="C25715" s="2"/>
    </row>
    <row r="25716" spans="3:3" x14ac:dyDescent="0.35">
      <c r="C25716" s="2"/>
    </row>
    <row r="25717" spans="3:3" x14ac:dyDescent="0.35">
      <c r="C25717" s="2"/>
    </row>
    <row r="25718" spans="3:3" x14ac:dyDescent="0.35">
      <c r="C25718" s="2"/>
    </row>
    <row r="25719" spans="3:3" x14ac:dyDescent="0.35">
      <c r="C25719" s="2"/>
    </row>
    <row r="25720" spans="3:3" x14ac:dyDescent="0.35">
      <c r="C25720" s="2"/>
    </row>
    <row r="25721" spans="3:3" x14ac:dyDescent="0.35">
      <c r="C25721" s="2"/>
    </row>
    <row r="25722" spans="3:3" x14ac:dyDescent="0.35">
      <c r="C25722" s="2"/>
    </row>
    <row r="25723" spans="3:3" x14ac:dyDescent="0.35">
      <c r="C25723" s="2"/>
    </row>
    <row r="25724" spans="3:3" x14ac:dyDescent="0.35">
      <c r="C25724" s="2"/>
    </row>
    <row r="25725" spans="3:3" x14ac:dyDescent="0.35">
      <c r="C25725" s="2"/>
    </row>
    <row r="25726" spans="3:3" x14ac:dyDescent="0.35">
      <c r="C25726" s="2"/>
    </row>
    <row r="25727" spans="3:3" x14ac:dyDescent="0.35">
      <c r="C25727" s="2"/>
    </row>
    <row r="25728" spans="3:3" x14ac:dyDescent="0.35">
      <c r="C25728" s="2"/>
    </row>
    <row r="25729" spans="3:3" x14ac:dyDescent="0.35">
      <c r="C25729" s="2"/>
    </row>
    <row r="25730" spans="3:3" x14ac:dyDescent="0.35">
      <c r="C25730" s="2"/>
    </row>
    <row r="25731" spans="3:3" x14ac:dyDescent="0.35">
      <c r="C25731" s="2"/>
    </row>
    <row r="25732" spans="3:3" x14ac:dyDescent="0.35">
      <c r="C25732" s="2"/>
    </row>
    <row r="25733" spans="3:3" x14ac:dyDescent="0.35">
      <c r="C25733" s="2"/>
    </row>
    <row r="25734" spans="3:3" x14ac:dyDescent="0.35">
      <c r="C25734" s="2"/>
    </row>
    <row r="25735" spans="3:3" x14ac:dyDescent="0.35">
      <c r="C25735" s="2"/>
    </row>
    <row r="25736" spans="3:3" x14ac:dyDescent="0.35">
      <c r="C25736" s="2"/>
    </row>
    <row r="25737" spans="3:3" x14ac:dyDescent="0.35">
      <c r="C25737" s="2"/>
    </row>
    <row r="25738" spans="3:3" x14ac:dyDescent="0.35">
      <c r="C25738" s="2"/>
    </row>
    <row r="25739" spans="3:3" x14ac:dyDescent="0.35">
      <c r="C25739" s="2"/>
    </row>
    <row r="25740" spans="3:3" x14ac:dyDescent="0.35">
      <c r="C25740" s="2"/>
    </row>
    <row r="25741" spans="3:3" x14ac:dyDescent="0.35">
      <c r="C25741" s="2"/>
    </row>
    <row r="25742" spans="3:3" x14ac:dyDescent="0.35">
      <c r="C25742" s="2"/>
    </row>
    <row r="25743" spans="3:3" x14ac:dyDescent="0.35">
      <c r="C25743" s="2"/>
    </row>
    <row r="25744" spans="3:3" x14ac:dyDescent="0.35">
      <c r="C25744" s="2"/>
    </row>
    <row r="25745" spans="3:3" x14ac:dyDescent="0.35">
      <c r="C25745" s="2"/>
    </row>
    <row r="25746" spans="3:3" x14ac:dyDescent="0.35">
      <c r="C25746" s="2"/>
    </row>
    <row r="25747" spans="3:3" x14ac:dyDescent="0.35">
      <c r="C25747" s="2"/>
    </row>
    <row r="25748" spans="3:3" x14ac:dyDescent="0.35">
      <c r="C25748" s="2"/>
    </row>
    <row r="25749" spans="3:3" x14ac:dyDescent="0.35">
      <c r="C25749" s="2"/>
    </row>
    <row r="25750" spans="3:3" x14ac:dyDescent="0.35">
      <c r="C25750" s="2"/>
    </row>
    <row r="25751" spans="3:3" x14ac:dyDescent="0.35">
      <c r="C25751" s="2"/>
    </row>
    <row r="25752" spans="3:3" x14ac:dyDescent="0.35">
      <c r="C25752" s="2"/>
    </row>
    <row r="25753" spans="3:3" x14ac:dyDescent="0.35">
      <c r="C25753" s="2"/>
    </row>
    <row r="25754" spans="3:3" x14ac:dyDescent="0.35">
      <c r="C25754" s="2"/>
    </row>
    <row r="25755" spans="3:3" x14ac:dyDescent="0.35">
      <c r="C25755" s="2"/>
    </row>
    <row r="25756" spans="3:3" x14ac:dyDescent="0.35">
      <c r="C25756" s="2"/>
    </row>
    <row r="25757" spans="3:3" x14ac:dyDescent="0.35">
      <c r="C25757" s="2"/>
    </row>
    <row r="25758" spans="3:3" x14ac:dyDescent="0.35">
      <c r="C25758" s="2"/>
    </row>
    <row r="25759" spans="3:3" x14ac:dyDescent="0.35">
      <c r="C25759" s="2"/>
    </row>
    <row r="25760" spans="3:3" x14ac:dyDescent="0.35">
      <c r="C25760" s="2"/>
    </row>
    <row r="25761" spans="3:3" x14ac:dyDescent="0.35">
      <c r="C25761" s="2"/>
    </row>
    <row r="25762" spans="3:3" x14ac:dyDescent="0.35">
      <c r="C25762" s="2"/>
    </row>
    <row r="25763" spans="3:3" x14ac:dyDescent="0.35">
      <c r="C25763" s="2"/>
    </row>
    <row r="25764" spans="3:3" x14ac:dyDescent="0.35">
      <c r="C25764" s="2"/>
    </row>
    <row r="25765" spans="3:3" x14ac:dyDescent="0.35">
      <c r="C25765" s="2"/>
    </row>
    <row r="25766" spans="3:3" x14ac:dyDescent="0.35">
      <c r="C25766" s="2"/>
    </row>
    <row r="25767" spans="3:3" x14ac:dyDescent="0.35">
      <c r="C25767" s="2"/>
    </row>
    <row r="25768" spans="3:3" x14ac:dyDescent="0.35">
      <c r="C25768" s="2"/>
    </row>
    <row r="25769" spans="3:3" x14ac:dyDescent="0.35">
      <c r="C25769" s="2"/>
    </row>
    <row r="25770" spans="3:3" x14ac:dyDescent="0.35">
      <c r="C25770" s="2"/>
    </row>
    <row r="25771" spans="3:3" x14ac:dyDescent="0.35">
      <c r="C25771" s="2"/>
    </row>
    <row r="25772" spans="3:3" x14ac:dyDescent="0.35">
      <c r="C25772" s="2"/>
    </row>
    <row r="25773" spans="3:3" x14ac:dyDescent="0.35">
      <c r="C25773" s="2"/>
    </row>
    <row r="25774" spans="3:3" x14ac:dyDescent="0.35">
      <c r="C25774" s="2"/>
    </row>
    <row r="25775" spans="3:3" x14ac:dyDescent="0.35">
      <c r="C25775" s="2"/>
    </row>
    <row r="25776" spans="3:3" x14ac:dyDescent="0.35">
      <c r="C25776" s="2"/>
    </row>
    <row r="25777" spans="3:3" x14ac:dyDescent="0.35">
      <c r="C25777" s="2"/>
    </row>
    <row r="25778" spans="3:3" x14ac:dyDescent="0.35">
      <c r="C25778" s="2"/>
    </row>
    <row r="25779" spans="3:3" x14ac:dyDescent="0.35">
      <c r="C25779" s="2"/>
    </row>
    <row r="25780" spans="3:3" x14ac:dyDescent="0.35">
      <c r="C25780" s="2"/>
    </row>
    <row r="25781" spans="3:3" x14ac:dyDescent="0.35">
      <c r="C25781" s="2"/>
    </row>
    <row r="25782" spans="3:3" x14ac:dyDescent="0.35">
      <c r="C25782" s="2"/>
    </row>
    <row r="25783" spans="3:3" x14ac:dyDescent="0.35">
      <c r="C25783" s="2"/>
    </row>
    <row r="25784" spans="3:3" x14ac:dyDescent="0.35">
      <c r="C25784" s="2"/>
    </row>
    <row r="25785" spans="3:3" x14ac:dyDescent="0.35">
      <c r="C25785" s="2"/>
    </row>
    <row r="25786" spans="3:3" x14ac:dyDescent="0.35">
      <c r="C25786" s="2"/>
    </row>
    <row r="25787" spans="3:3" x14ac:dyDescent="0.35">
      <c r="C25787" s="2"/>
    </row>
    <row r="25788" spans="3:3" x14ac:dyDescent="0.35">
      <c r="C25788" s="2"/>
    </row>
    <row r="25789" spans="3:3" x14ac:dyDescent="0.35">
      <c r="C25789" s="2"/>
    </row>
    <row r="25790" spans="3:3" x14ac:dyDescent="0.35">
      <c r="C25790" s="2"/>
    </row>
    <row r="25791" spans="3:3" x14ac:dyDescent="0.35">
      <c r="C25791" s="2"/>
    </row>
    <row r="25792" spans="3:3" x14ac:dyDescent="0.35">
      <c r="C25792" s="2"/>
    </row>
    <row r="25793" spans="3:3" x14ac:dyDescent="0.35">
      <c r="C25793" s="2"/>
    </row>
    <row r="25794" spans="3:3" x14ac:dyDescent="0.35">
      <c r="C25794" s="2"/>
    </row>
    <row r="25795" spans="3:3" x14ac:dyDescent="0.35">
      <c r="C25795" s="2"/>
    </row>
    <row r="25796" spans="3:3" x14ac:dyDescent="0.35">
      <c r="C25796" s="2"/>
    </row>
    <row r="25797" spans="3:3" x14ac:dyDescent="0.35">
      <c r="C25797" s="2"/>
    </row>
    <row r="25798" spans="3:3" x14ac:dyDescent="0.35">
      <c r="C25798" s="2"/>
    </row>
    <row r="25799" spans="3:3" x14ac:dyDescent="0.35">
      <c r="C25799" s="2"/>
    </row>
    <row r="25800" spans="3:3" x14ac:dyDescent="0.35">
      <c r="C25800" s="2"/>
    </row>
    <row r="25801" spans="3:3" x14ac:dyDescent="0.35">
      <c r="C25801" s="2"/>
    </row>
    <row r="25802" spans="3:3" x14ac:dyDescent="0.35">
      <c r="C25802" s="2"/>
    </row>
    <row r="25803" spans="3:3" x14ac:dyDescent="0.35">
      <c r="C25803" s="2"/>
    </row>
    <row r="25804" spans="3:3" x14ac:dyDescent="0.35">
      <c r="C25804" s="2"/>
    </row>
    <row r="25805" spans="3:3" x14ac:dyDescent="0.35">
      <c r="C25805" s="2"/>
    </row>
    <row r="25806" spans="3:3" x14ac:dyDescent="0.35">
      <c r="C25806" s="2"/>
    </row>
    <row r="25807" spans="3:3" x14ac:dyDescent="0.35">
      <c r="C25807" s="2"/>
    </row>
    <row r="25808" spans="3:3" x14ac:dyDescent="0.35">
      <c r="C25808" s="2"/>
    </row>
    <row r="25809" spans="3:3" x14ac:dyDescent="0.35">
      <c r="C25809" s="2"/>
    </row>
    <row r="25810" spans="3:3" x14ac:dyDescent="0.35">
      <c r="C25810" s="2"/>
    </row>
    <row r="25811" spans="3:3" x14ac:dyDescent="0.35">
      <c r="C25811" s="2"/>
    </row>
    <row r="25812" spans="3:3" x14ac:dyDescent="0.35">
      <c r="C25812" s="2"/>
    </row>
    <row r="25813" spans="3:3" x14ac:dyDescent="0.35">
      <c r="C25813" s="2"/>
    </row>
    <row r="25814" spans="3:3" x14ac:dyDescent="0.35">
      <c r="C25814" s="2"/>
    </row>
    <row r="25815" spans="3:3" x14ac:dyDescent="0.35">
      <c r="C25815" s="2"/>
    </row>
    <row r="25816" spans="3:3" x14ac:dyDescent="0.35">
      <c r="C25816" s="2"/>
    </row>
    <row r="25817" spans="3:3" x14ac:dyDescent="0.35">
      <c r="C25817" s="2"/>
    </row>
    <row r="25818" spans="3:3" x14ac:dyDescent="0.35">
      <c r="C25818" s="2"/>
    </row>
    <row r="25819" spans="3:3" x14ac:dyDescent="0.35">
      <c r="C25819" s="2"/>
    </row>
    <row r="25820" spans="3:3" x14ac:dyDescent="0.35">
      <c r="C25820" s="2"/>
    </row>
    <row r="25821" spans="3:3" x14ac:dyDescent="0.35">
      <c r="C25821" s="2"/>
    </row>
    <row r="25822" spans="3:3" x14ac:dyDescent="0.35">
      <c r="C25822" s="2"/>
    </row>
    <row r="25823" spans="3:3" x14ac:dyDescent="0.35">
      <c r="C25823" s="2"/>
    </row>
    <row r="25824" spans="3:3" x14ac:dyDescent="0.35">
      <c r="C25824" s="2"/>
    </row>
    <row r="25825" spans="3:3" x14ac:dyDescent="0.35">
      <c r="C25825" s="2"/>
    </row>
    <row r="25826" spans="3:3" x14ac:dyDescent="0.35">
      <c r="C25826" s="2"/>
    </row>
    <row r="25827" spans="3:3" x14ac:dyDescent="0.35">
      <c r="C25827" s="2"/>
    </row>
    <row r="25828" spans="3:3" x14ac:dyDescent="0.35">
      <c r="C25828" s="2"/>
    </row>
    <row r="25829" spans="3:3" x14ac:dyDescent="0.35">
      <c r="C25829" s="2"/>
    </row>
    <row r="25830" spans="3:3" x14ac:dyDescent="0.35">
      <c r="C25830" s="2"/>
    </row>
    <row r="25831" spans="3:3" x14ac:dyDescent="0.35">
      <c r="C25831" s="2"/>
    </row>
    <row r="25832" spans="3:3" x14ac:dyDescent="0.35">
      <c r="C25832" s="2"/>
    </row>
    <row r="25833" spans="3:3" x14ac:dyDescent="0.35">
      <c r="C25833" s="2"/>
    </row>
    <row r="25834" spans="3:3" x14ac:dyDescent="0.35">
      <c r="C25834" s="2"/>
    </row>
    <row r="25835" spans="3:3" x14ac:dyDescent="0.35">
      <c r="C25835" s="2"/>
    </row>
    <row r="25836" spans="3:3" x14ac:dyDescent="0.35">
      <c r="C25836" s="2"/>
    </row>
    <row r="25837" spans="3:3" x14ac:dyDescent="0.35">
      <c r="C25837" s="2"/>
    </row>
    <row r="25838" spans="3:3" x14ac:dyDescent="0.35">
      <c r="C25838" s="2"/>
    </row>
    <row r="25839" spans="3:3" x14ac:dyDescent="0.35">
      <c r="C25839" s="2"/>
    </row>
    <row r="25840" spans="3:3" x14ac:dyDescent="0.35">
      <c r="C25840" s="2"/>
    </row>
    <row r="25841" spans="3:3" x14ac:dyDescent="0.35">
      <c r="C25841" s="2"/>
    </row>
    <row r="25842" spans="3:3" x14ac:dyDescent="0.35">
      <c r="C25842" s="2"/>
    </row>
    <row r="25843" spans="3:3" x14ac:dyDescent="0.35">
      <c r="C25843" s="2"/>
    </row>
    <row r="25844" spans="3:3" x14ac:dyDescent="0.35">
      <c r="C25844" s="2"/>
    </row>
    <row r="25845" spans="3:3" x14ac:dyDescent="0.35">
      <c r="C25845" s="2"/>
    </row>
    <row r="25846" spans="3:3" x14ac:dyDescent="0.35">
      <c r="C25846" s="2"/>
    </row>
    <row r="25847" spans="3:3" x14ac:dyDescent="0.35">
      <c r="C25847" s="2"/>
    </row>
    <row r="25848" spans="3:3" x14ac:dyDescent="0.35">
      <c r="C25848" s="2"/>
    </row>
    <row r="25849" spans="3:3" x14ac:dyDescent="0.35">
      <c r="C25849" s="2"/>
    </row>
    <row r="25850" spans="3:3" x14ac:dyDescent="0.35">
      <c r="C25850" s="2"/>
    </row>
    <row r="25851" spans="3:3" x14ac:dyDescent="0.35">
      <c r="C25851" s="2"/>
    </row>
    <row r="25852" spans="3:3" x14ac:dyDescent="0.35">
      <c r="C25852" s="2"/>
    </row>
    <row r="25853" spans="3:3" x14ac:dyDescent="0.35">
      <c r="C25853" s="2"/>
    </row>
    <row r="25854" spans="3:3" x14ac:dyDescent="0.35">
      <c r="C25854" s="2"/>
    </row>
    <row r="25855" spans="3:3" x14ac:dyDescent="0.35">
      <c r="C25855" s="2"/>
    </row>
    <row r="25856" spans="3:3" x14ac:dyDescent="0.35">
      <c r="C25856" s="2"/>
    </row>
    <row r="25857" spans="3:3" x14ac:dyDescent="0.35">
      <c r="C25857" s="2"/>
    </row>
    <row r="25858" spans="3:3" x14ac:dyDescent="0.35">
      <c r="C25858" s="2"/>
    </row>
    <row r="25859" spans="3:3" x14ac:dyDescent="0.35">
      <c r="C25859" s="2"/>
    </row>
    <row r="25860" spans="3:3" x14ac:dyDescent="0.35">
      <c r="C25860" s="2"/>
    </row>
    <row r="25861" spans="3:3" x14ac:dyDescent="0.35">
      <c r="C25861" s="2"/>
    </row>
    <row r="25862" spans="3:3" x14ac:dyDescent="0.35">
      <c r="C25862" s="2"/>
    </row>
    <row r="25863" spans="3:3" x14ac:dyDescent="0.35">
      <c r="C25863" s="2"/>
    </row>
    <row r="25864" spans="3:3" x14ac:dyDescent="0.35">
      <c r="C25864" s="2"/>
    </row>
    <row r="25865" spans="3:3" x14ac:dyDescent="0.35">
      <c r="C25865" s="2"/>
    </row>
    <row r="25866" spans="3:3" x14ac:dyDescent="0.35">
      <c r="C25866" s="2"/>
    </row>
    <row r="25867" spans="3:3" x14ac:dyDescent="0.35">
      <c r="C25867" s="2"/>
    </row>
    <row r="25868" spans="3:3" x14ac:dyDescent="0.35">
      <c r="C25868" s="2"/>
    </row>
    <row r="25869" spans="3:3" x14ac:dyDescent="0.35">
      <c r="C25869" s="2"/>
    </row>
    <row r="25870" spans="3:3" x14ac:dyDescent="0.35">
      <c r="C25870" s="2"/>
    </row>
    <row r="25871" spans="3:3" x14ac:dyDescent="0.35">
      <c r="C25871" s="2"/>
    </row>
    <row r="25872" spans="3:3" x14ac:dyDescent="0.35">
      <c r="C25872" s="2"/>
    </row>
    <row r="25873" spans="3:3" x14ac:dyDescent="0.35">
      <c r="C25873" s="2"/>
    </row>
    <row r="25874" spans="3:3" x14ac:dyDescent="0.35">
      <c r="C25874" s="2"/>
    </row>
    <row r="25875" spans="3:3" x14ac:dyDescent="0.35">
      <c r="C25875" s="2"/>
    </row>
    <row r="25876" spans="3:3" x14ac:dyDescent="0.35">
      <c r="C25876" s="2"/>
    </row>
    <row r="25877" spans="3:3" x14ac:dyDescent="0.35">
      <c r="C25877" s="2"/>
    </row>
    <row r="25878" spans="3:3" x14ac:dyDescent="0.35">
      <c r="C25878" s="2"/>
    </row>
    <row r="25879" spans="3:3" x14ac:dyDescent="0.35">
      <c r="C25879" s="2"/>
    </row>
    <row r="25880" spans="3:3" x14ac:dyDescent="0.35">
      <c r="C25880" s="2"/>
    </row>
    <row r="25881" spans="3:3" x14ac:dyDescent="0.35">
      <c r="C25881" s="2"/>
    </row>
    <row r="25882" spans="3:3" x14ac:dyDescent="0.35">
      <c r="C25882" s="2"/>
    </row>
    <row r="25883" spans="3:3" x14ac:dyDescent="0.35">
      <c r="C25883" s="2"/>
    </row>
    <row r="25884" spans="3:3" x14ac:dyDescent="0.35">
      <c r="C25884" s="2"/>
    </row>
    <row r="25885" spans="3:3" x14ac:dyDescent="0.35">
      <c r="C25885" s="2"/>
    </row>
    <row r="25886" spans="3:3" x14ac:dyDescent="0.35">
      <c r="C25886" s="2"/>
    </row>
    <row r="25887" spans="3:3" x14ac:dyDescent="0.35">
      <c r="C25887" s="2"/>
    </row>
    <row r="25888" spans="3:3" x14ac:dyDescent="0.35">
      <c r="C25888" s="2"/>
    </row>
    <row r="25889" spans="3:3" x14ac:dyDescent="0.35">
      <c r="C25889" s="2"/>
    </row>
    <row r="25890" spans="3:3" x14ac:dyDescent="0.35">
      <c r="C25890" s="2"/>
    </row>
    <row r="25891" spans="3:3" x14ac:dyDescent="0.35">
      <c r="C25891" s="2"/>
    </row>
    <row r="25892" spans="3:3" x14ac:dyDescent="0.35">
      <c r="C25892" s="2"/>
    </row>
    <row r="25893" spans="3:3" x14ac:dyDescent="0.35">
      <c r="C25893" s="2"/>
    </row>
    <row r="25894" spans="3:3" x14ac:dyDescent="0.35">
      <c r="C25894" s="2"/>
    </row>
    <row r="25895" spans="3:3" x14ac:dyDescent="0.35">
      <c r="C25895" s="2"/>
    </row>
    <row r="25896" spans="3:3" x14ac:dyDescent="0.35">
      <c r="C25896" s="2"/>
    </row>
    <row r="25897" spans="3:3" x14ac:dyDescent="0.35">
      <c r="C25897" s="2"/>
    </row>
    <row r="25898" spans="3:3" x14ac:dyDescent="0.35">
      <c r="C25898" s="2"/>
    </row>
    <row r="25899" spans="3:3" x14ac:dyDescent="0.35">
      <c r="C25899" s="2"/>
    </row>
    <row r="25900" spans="3:3" x14ac:dyDescent="0.35">
      <c r="C25900" s="2"/>
    </row>
    <row r="25901" spans="3:3" x14ac:dyDescent="0.35">
      <c r="C25901" s="2"/>
    </row>
    <row r="25902" spans="3:3" x14ac:dyDescent="0.35">
      <c r="C25902" s="2"/>
    </row>
    <row r="25903" spans="3:3" x14ac:dyDescent="0.35">
      <c r="C25903" s="2"/>
    </row>
    <row r="25904" spans="3:3" x14ac:dyDescent="0.35">
      <c r="C25904" s="2"/>
    </row>
    <row r="25905" spans="3:3" x14ac:dyDescent="0.35">
      <c r="C25905" s="2"/>
    </row>
    <row r="25906" spans="3:3" x14ac:dyDescent="0.35">
      <c r="C25906" s="2"/>
    </row>
    <row r="25907" spans="3:3" x14ac:dyDescent="0.35">
      <c r="C25907" s="2"/>
    </row>
    <row r="25908" spans="3:3" x14ac:dyDescent="0.35">
      <c r="C25908" s="2"/>
    </row>
    <row r="25909" spans="3:3" x14ac:dyDescent="0.35">
      <c r="C25909" s="2"/>
    </row>
    <row r="25910" spans="3:3" x14ac:dyDescent="0.35">
      <c r="C25910" s="2"/>
    </row>
    <row r="25911" spans="3:3" x14ac:dyDescent="0.35">
      <c r="C25911" s="2"/>
    </row>
    <row r="25912" spans="3:3" x14ac:dyDescent="0.35">
      <c r="C25912" s="2"/>
    </row>
    <row r="25913" spans="3:3" x14ac:dyDescent="0.35">
      <c r="C25913" s="2"/>
    </row>
    <row r="25914" spans="3:3" x14ac:dyDescent="0.35">
      <c r="C25914" s="2"/>
    </row>
    <row r="25915" spans="3:3" x14ac:dyDescent="0.35">
      <c r="C25915" s="2"/>
    </row>
    <row r="25916" spans="3:3" x14ac:dyDescent="0.35">
      <c r="C25916" s="2"/>
    </row>
    <row r="25917" spans="3:3" x14ac:dyDescent="0.35">
      <c r="C25917" s="2"/>
    </row>
    <row r="25918" spans="3:3" x14ac:dyDescent="0.35">
      <c r="C25918" s="2"/>
    </row>
    <row r="25919" spans="3:3" x14ac:dyDescent="0.35">
      <c r="C25919" s="2"/>
    </row>
    <row r="25920" spans="3:3" x14ac:dyDescent="0.35">
      <c r="C25920" s="2"/>
    </row>
    <row r="25921" spans="3:3" x14ac:dyDescent="0.35">
      <c r="C25921" s="2"/>
    </row>
    <row r="25922" spans="3:3" x14ac:dyDescent="0.35">
      <c r="C25922" s="2"/>
    </row>
    <row r="25923" spans="3:3" x14ac:dyDescent="0.35">
      <c r="C25923" s="2"/>
    </row>
    <row r="25924" spans="3:3" x14ac:dyDescent="0.35">
      <c r="C25924" s="2"/>
    </row>
    <row r="25925" spans="3:3" x14ac:dyDescent="0.35">
      <c r="C25925" s="2"/>
    </row>
    <row r="25926" spans="3:3" x14ac:dyDescent="0.35">
      <c r="C25926" s="2"/>
    </row>
    <row r="25927" spans="3:3" x14ac:dyDescent="0.35">
      <c r="C25927" s="2"/>
    </row>
    <row r="25928" spans="3:3" x14ac:dyDescent="0.35">
      <c r="C25928" s="2"/>
    </row>
    <row r="25929" spans="3:3" x14ac:dyDescent="0.35">
      <c r="C25929" s="2"/>
    </row>
    <row r="25930" spans="3:3" x14ac:dyDescent="0.35">
      <c r="C25930" s="2"/>
    </row>
    <row r="25931" spans="3:3" x14ac:dyDescent="0.35">
      <c r="C25931" s="2"/>
    </row>
    <row r="25932" spans="3:3" x14ac:dyDescent="0.35">
      <c r="C25932" s="2"/>
    </row>
    <row r="25933" spans="3:3" x14ac:dyDescent="0.35">
      <c r="C25933" s="2"/>
    </row>
    <row r="25934" spans="3:3" x14ac:dyDescent="0.35">
      <c r="C25934" s="2"/>
    </row>
    <row r="25935" spans="3:3" x14ac:dyDescent="0.35">
      <c r="C25935" s="2"/>
    </row>
    <row r="25936" spans="3:3" x14ac:dyDescent="0.35">
      <c r="C25936" s="2"/>
    </row>
    <row r="25937" spans="3:3" x14ac:dyDescent="0.35">
      <c r="C25937" s="2"/>
    </row>
    <row r="25938" spans="3:3" x14ac:dyDescent="0.35">
      <c r="C25938" s="2"/>
    </row>
    <row r="25939" spans="3:3" x14ac:dyDescent="0.35">
      <c r="C25939" s="2"/>
    </row>
    <row r="25940" spans="3:3" x14ac:dyDescent="0.35">
      <c r="C25940" s="2"/>
    </row>
    <row r="25941" spans="3:3" x14ac:dyDescent="0.35">
      <c r="C25941" s="2"/>
    </row>
    <row r="25942" spans="3:3" x14ac:dyDescent="0.35">
      <c r="C25942" s="2"/>
    </row>
    <row r="25943" spans="3:3" x14ac:dyDescent="0.35">
      <c r="C25943" s="2"/>
    </row>
    <row r="25944" spans="3:3" x14ac:dyDescent="0.35">
      <c r="C25944" s="2"/>
    </row>
    <row r="25945" spans="3:3" x14ac:dyDescent="0.35">
      <c r="C25945" s="2"/>
    </row>
    <row r="25946" spans="3:3" x14ac:dyDescent="0.35">
      <c r="C25946" s="2"/>
    </row>
    <row r="25947" spans="3:3" x14ac:dyDescent="0.35">
      <c r="C25947" s="2"/>
    </row>
    <row r="25948" spans="3:3" x14ac:dyDescent="0.35">
      <c r="C25948" s="2"/>
    </row>
    <row r="25949" spans="3:3" x14ac:dyDescent="0.35">
      <c r="C25949" s="2"/>
    </row>
    <row r="25950" spans="3:3" x14ac:dyDescent="0.35">
      <c r="C25950" s="2"/>
    </row>
    <row r="25951" spans="3:3" x14ac:dyDescent="0.35">
      <c r="C25951" s="2"/>
    </row>
    <row r="25952" spans="3:3" x14ac:dyDescent="0.35">
      <c r="C25952" s="2"/>
    </row>
    <row r="25953" spans="3:3" x14ac:dyDescent="0.35">
      <c r="C25953" s="2"/>
    </row>
    <row r="25954" spans="3:3" x14ac:dyDescent="0.35">
      <c r="C25954" s="2"/>
    </row>
    <row r="25955" spans="3:3" x14ac:dyDescent="0.35">
      <c r="C25955" s="2"/>
    </row>
    <row r="25956" spans="3:3" x14ac:dyDescent="0.35">
      <c r="C25956" s="2"/>
    </row>
    <row r="25957" spans="3:3" x14ac:dyDescent="0.35">
      <c r="C25957" s="2"/>
    </row>
    <row r="25958" spans="3:3" x14ac:dyDescent="0.35">
      <c r="C25958" s="2"/>
    </row>
    <row r="25959" spans="3:3" x14ac:dyDescent="0.35">
      <c r="C25959" s="2"/>
    </row>
    <row r="25960" spans="3:3" x14ac:dyDescent="0.35">
      <c r="C25960" s="2"/>
    </row>
    <row r="25961" spans="3:3" x14ac:dyDescent="0.35">
      <c r="C25961" s="2"/>
    </row>
    <row r="25962" spans="3:3" x14ac:dyDescent="0.35">
      <c r="C25962" s="2"/>
    </row>
    <row r="25963" spans="3:3" x14ac:dyDescent="0.35">
      <c r="C25963" s="2"/>
    </row>
    <row r="25964" spans="3:3" x14ac:dyDescent="0.35">
      <c r="C25964" s="2"/>
    </row>
    <row r="25965" spans="3:3" x14ac:dyDescent="0.35">
      <c r="C25965" s="2"/>
    </row>
    <row r="25966" spans="3:3" x14ac:dyDescent="0.35">
      <c r="C25966" s="2"/>
    </row>
    <row r="25967" spans="3:3" x14ac:dyDescent="0.35">
      <c r="C25967" s="2"/>
    </row>
    <row r="25968" spans="3:3" x14ac:dyDescent="0.35">
      <c r="C25968" s="2"/>
    </row>
    <row r="25969" spans="3:3" x14ac:dyDescent="0.35">
      <c r="C25969" s="2"/>
    </row>
    <row r="25970" spans="3:3" x14ac:dyDescent="0.35">
      <c r="C25970" s="2"/>
    </row>
    <row r="25971" spans="3:3" x14ac:dyDescent="0.35">
      <c r="C25971" s="2"/>
    </row>
    <row r="25972" spans="3:3" x14ac:dyDescent="0.35">
      <c r="C25972" s="2"/>
    </row>
    <row r="25973" spans="3:3" x14ac:dyDescent="0.35">
      <c r="C25973" s="2"/>
    </row>
    <row r="25974" spans="3:3" x14ac:dyDescent="0.35">
      <c r="C25974" s="2"/>
    </row>
    <row r="25975" spans="3:3" x14ac:dyDescent="0.35">
      <c r="C25975" s="2"/>
    </row>
    <row r="25976" spans="3:3" x14ac:dyDescent="0.35">
      <c r="C25976" s="2"/>
    </row>
    <row r="25977" spans="3:3" x14ac:dyDescent="0.35">
      <c r="C25977" s="2"/>
    </row>
    <row r="25978" spans="3:3" x14ac:dyDescent="0.35">
      <c r="C25978" s="2"/>
    </row>
    <row r="25979" spans="3:3" x14ac:dyDescent="0.35">
      <c r="C25979" s="2"/>
    </row>
    <row r="25980" spans="3:3" x14ac:dyDescent="0.35">
      <c r="C25980" s="2"/>
    </row>
    <row r="25981" spans="3:3" x14ac:dyDescent="0.35">
      <c r="C25981" s="2"/>
    </row>
    <row r="25982" spans="3:3" x14ac:dyDescent="0.35">
      <c r="C25982" s="2"/>
    </row>
    <row r="25983" spans="3:3" x14ac:dyDescent="0.35">
      <c r="C25983" s="2"/>
    </row>
    <row r="25984" spans="3:3" x14ac:dyDescent="0.35">
      <c r="C25984" s="2"/>
    </row>
    <row r="25985" spans="3:3" x14ac:dyDescent="0.35">
      <c r="C25985" s="2"/>
    </row>
    <row r="25986" spans="3:3" x14ac:dyDescent="0.35">
      <c r="C25986" s="2"/>
    </row>
    <row r="25987" spans="3:3" x14ac:dyDescent="0.35">
      <c r="C25987" s="2"/>
    </row>
    <row r="25988" spans="3:3" x14ac:dyDescent="0.35">
      <c r="C25988" s="2"/>
    </row>
    <row r="25989" spans="3:3" x14ac:dyDescent="0.35">
      <c r="C25989" s="2"/>
    </row>
    <row r="25990" spans="3:3" x14ac:dyDescent="0.35">
      <c r="C25990" s="2"/>
    </row>
    <row r="25991" spans="3:3" x14ac:dyDescent="0.35">
      <c r="C25991" s="2"/>
    </row>
    <row r="25992" spans="3:3" x14ac:dyDescent="0.35">
      <c r="C25992" s="2"/>
    </row>
    <row r="25993" spans="3:3" x14ac:dyDescent="0.35">
      <c r="C25993" s="2"/>
    </row>
    <row r="25994" spans="3:3" x14ac:dyDescent="0.35">
      <c r="C25994" s="2"/>
    </row>
    <row r="25995" spans="3:3" x14ac:dyDescent="0.35">
      <c r="C25995" s="2"/>
    </row>
    <row r="25996" spans="3:3" x14ac:dyDescent="0.35">
      <c r="C25996" s="2"/>
    </row>
    <row r="25997" spans="3:3" x14ac:dyDescent="0.35">
      <c r="C25997" s="2"/>
    </row>
    <row r="25998" spans="3:3" x14ac:dyDescent="0.35">
      <c r="C25998" s="2"/>
    </row>
    <row r="25999" spans="3:3" x14ac:dyDescent="0.35">
      <c r="C25999" s="2"/>
    </row>
    <row r="26000" spans="3:3" x14ac:dyDescent="0.35">
      <c r="C26000" s="2"/>
    </row>
    <row r="26001" spans="3:3" x14ac:dyDescent="0.35">
      <c r="C26001" s="2"/>
    </row>
    <row r="26002" spans="3:3" x14ac:dyDescent="0.35">
      <c r="C26002" s="2"/>
    </row>
    <row r="26003" spans="3:3" x14ac:dyDescent="0.35">
      <c r="C26003" s="2"/>
    </row>
    <row r="26004" spans="3:3" x14ac:dyDescent="0.35">
      <c r="C26004" s="2"/>
    </row>
    <row r="26005" spans="3:3" x14ac:dyDescent="0.35">
      <c r="C26005" s="2"/>
    </row>
    <row r="26006" spans="3:3" x14ac:dyDescent="0.35">
      <c r="C26006" s="2"/>
    </row>
    <row r="26007" spans="3:3" x14ac:dyDescent="0.35">
      <c r="C26007" s="2"/>
    </row>
    <row r="26008" spans="3:3" x14ac:dyDescent="0.35">
      <c r="C26008" s="2"/>
    </row>
    <row r="26009" spans="3:3" x14ac:dyDescent="0.35">
      <c r="C26009" s="2"/>
    </row>
    <row r="26010" spans="3:3" x14ac:dyDescent="0.35">
      <c r="C26010" s="2"/>
    </row>
    <row r="26011" spans="3:3" x14ac:dyDescent="0.35">
      <c r="C26011" s="2"/>
    </row>
    <row r="26012" spans="3:3" x14ac:dyDescent="0.35">
      <c r="C26012" s="2"/>
    </row>
    <row r="26013" spans="3:3" x14ac:dyDescent="0.35">
      <c r="C26013" s="2"/>
    </row>
    <row r="26014" spans="3:3" x14ac:dyDescent="0.35">
      <c r="C26014" s="2"/>
    </row>
    <row r="26015" spans="3:3" x14ac:dyDescent="0.35">
      <c r="C26015" s="2"/>
    </row>
    <row r="26016" spans="3:3" x14ac:dyDescent="0.35">
      <c r="C26016" s="2"/>
    </row>
    <row r="26017" spans="3:3" x14ac:dyDescent="0.35">
      <c r="C26017" s="2"/>
    </row>
    <row r="26018" spans="3:3" x14ac:dyDescent="0.35">
      <c r="C26018" s="2"/>
    </row>
    <row r="26019" spans="3:3" x14ac:dyDescent="0.35">
      <c r="C26019" s="2"/>
    </row>
    <row r="26020" spans="3:3" x14ac:dyDescent="0.35">
      <c r="C26020" s="2"/>
    </row>
    <row r="26021" spans="3:3" x14ac:dyDescent="0.35">
      <c r="C26021" s="2"/>
    </row>
    <row r="26022" spans="3:3" x14ac:dyDescent="0.35">
      <c r="C26022" s="2"/>
    </row>
    <row r="26023" spans="3:3" x14ac:dyDescent="0.35">
      <c r="C26023" s="2"/>
    </row>
    <row r="26024" spans="3:3" x14ac:dyDescent="0.35">
      <c r="C26024" s="2"/>
    </row>
    <row r="26025" spans="3:3" x14ac:dyDescent="0.35">
      <c r="C26025" s="2"/>
    </row>
    <row r="26026" spans="3:3" x14ac:dyDescent="0.35">
      <c r="C26026" s="2"/>
    </row>
    <row r="26027" spans="3:3" x14ac:dyDescent="0.35">
      <c r="C26027" s="2"/>
    </row>
    <row r="26028" spans="3:3" x14ac:dyDescent="0.35">
      <c r="C26028" s="2"/>
    </row>
    <row r="26029" spans="3:3" x14ac:dyDescent="0.35">
      <c r="C26029" s="2"/>
    </row>
    <row r="26030" spans="3:3" x14ac:dyDescent="0.35">
      <c r="C26030" s="2"/>
    </row>
    <row r="26031" spans="3:3" x14ac:dyDescent="0.35">
      <c r="C26031" s="2"/>
    </row>
    <row r="26032" spans="3:3" x14ac:dyDescent="0.35">
      <c r="C26032" s="2"/>
    </row>
    <row r="26033" spans="3:3" x14ac:dyDescent="0.35">
      <c r="C26033" s="2"/>
    </row>
    <row r="26034" spans="3:3" x14ac:dyDescent="0.35">
      <c r="C26034" s="2"/>
    </row>
    <row r="26035" spans="3:3" x14ac:dyDescent="0.35">
      <c r="C26035" s="2"/>
    </row>
    <row r="26036" spans="3:3" x14ac:dyDescent="0.35">
      <c r="C26036" s="2"/>
    </row>
    <row r="26037" spans="3:3" x14ac:dyDescent="0.35">
      <c r="C26037" s="2"/>
    </row>
    <row r="26038" spans="3:3" x14ac:dyDescent="0.35">
      <c r="C26038" s="2"/>
    </row>
    <row r="26039" spans="3:3" x14ac:dyDescent="0.35">
      <c r="C26039" s="2"/>
    </row>
    <row r="26040" spans="3:3" x14ac:dyDescent="0.35">
      <c r="C26040" s="2"/>
    </row>
    <row r="26041" spans="3:3" x14ac:dyDescent="0.35">
      <c r="C26041" s="2"/>
    </row>
    <row r="26042" spans="3:3" x14ac:dyDescent="0.35">
      <c r="C26042" s="2"/>
    </row>
    <row r="26043" spans="3:3" x14ac:dyDescent="0.35">
      <c r="C26043" s="2"/>
    </row>
    <row r="26044" spans="3:3" x14ac:dyDescent="0.35">
      <c r="C26044" s="2"/>
    </row>
    <row r="26045" spans="3:3" x14ac:dyDescent="0.35">
      <c r="C26045" s="2"/>
    </row>
    <row r="26046" spans="3:3" x14ac:dyDescent="0.35">
      <c r="C26046" s="2"/>
    </row>
    <row r="26047" spans="3:3" x14ac:dyDescent="0.35">
      <c r="C26047" s="2"/>
    </row>
    <row r="26048" spans="3:3" x14ac:dyDescent="0.35">
      <c r="C26048" s="2"/>
    </row>
    <row r="26049" spans="3:3" x14ac:dyDescent="0.35">
      <c r="C26049" s="2"/>
    </row>
    <row r="26050" spans="3:3" x14ac:dyDescent="0.35">
      <c r="C26050" s="2"/>
    </row>
    <row r="26051" spans="3:3" x14ac:dyDescent="0.35">
      <c r="C26051" s="2"/>
    </row>
    <row r="26052" spans="3:3" x14ac:dyDescent="0.35">
      <c r="C26052" s="2"/>
    </row>
    <row r="26053" spans="3:3" x14ac:dyDescent="0.35">
      <c r="C26053" s="2"/>
    </row>
    <row r="26054" spans="3:3" x14ac:dyDescent="0.35">
      <c r="C26054" s="2"/>
    </row>
    <row r="26055" spans="3:3" x14ac:dyDescent="0.35">
      <c r="C26055" s="2"/>
    </row>
    <row r="26056" spans="3:3" x14ac:dyDescent="0.35">
      <c r="C26056" s="2"/>
    </row>
    <row r="26057" spans="3:3" x14ac:dyDescent="0.35">
      <c r="C26057" s="2"/>
    </row>
    <row r="26058" spans="3:3" x14ac:dyDescent="0.35">
      <c r="C26058" s="2"/>
    </row>
    <row r="26059" spans="3:3" x14ac:dyDescent="0.35">
      <c r="C26059" s="2"/>
    </row>
    <row r="26060" spans="3:3" x14ac:dyDescent="0.35">
      <c r="C26060" s="2"/>
    </row>
    <row r="26061" spans="3:3" x14ac:dyDescent="0.35">
      <c r="C26061" s="2"/>
    </row>
    <row r="26062" spans="3:3" x14ac:dyDescent="0.35">
      <c r="C26062" s="2"/>
    </row>
    <row r="26063" spans="3:3" x14ac:dyDescent="0.35">
      <c r="C26063" s="2"/>
    </row>
    <row r="26064" spans="3:3" x14ac:dyDescent="0.35">
      <c r="C26064" s="2"/>
    </row>
    <row r="26065" spans="3:3" x14ac:dyDescent="0.35">
      <c r="C26065" s="2"/>
    </row>
    <row r="26066" spans="3:3" x14ac:dyDescent="0.35">
      <c r="C26066" s="2"/>
    </row>
    <row r="26067" spans="3:3" x14ac:dyDescent="0.35">
      <c r="C26067" s="2"/>
    </row>
    <row r="26068" spans="3:3" x14ac:dyDescent="0.35">
      <c r="C26068" s="2"/>
    </row>
    <row r="26069" spans="3:3" x14ac:dyDescent="0.35">
      <c r="C26069" s="2"/>
    </row>
    <row r="26070" spans="3:3" x14ac:dyDescent="0.35">
      <c r="C26070" s="2"/>
    </row>
    <row r="26071" spans="3:3" x14ac:dyDescent="0.35">
      <c r="C26071" s="2"/>
    </row>
    <row r="26072" spans="3:3" x14ac:dyDescent="0.35">
      <c r="C26072" s="2"/>
    </row>
    <row r="26073" spans="3:3" x14ac:dyDescent="0.35">
      <c r="C26073" s="2"/>
    </row>
    <row r="26074" spans="3:3" x14ac:dyDescent="0.35">
      <c r="C26074" s="2"/>
    </row>
    <row r="26075" spans="3:3" x14ac:dyDescent="0.35">
      <c r="C26075" s="2"/>
    </row>
    <row r="26076" spans="3:3" x14ac:dyDescent="0.35">
      <c r="C26076" s="2"/>
    </row>
    <row r="26077" spans="3:3" x14ac:dyDescent="0.35">
      <c r="C26077" s="2"/>
    </row>
    <row r="26078" spans="3:3" x14ac:dyDescent="0.35">
      <c r="C26078" s="2"/>
    </row>
    <row r="26079" spans="3:3" x14ac:dyDescent="0.35">
      <c r="C26079" s="2"/>
    </row>
    <row r="26080" spans="3:3" x14ac:dyDescent="0.35">
      <c r="C26080" s="2"/>
    </row>
    <row r="26081" spans="3:3" x14ac:dyDescent="0.35">
      <c r="C26081" s="2"/>
    </row>
    <row r="26082" spans="3:3" x14ac:dyDescent="0.35">
      <c r="C26082" s="2"/>
    </row>
    <row r="26083" spans="3:3" x14ac:dyDescent="0.35">
      <c r="C26083" s="2"/>
    </row>
    <row r="26084" spans="3:3" x14ac:dyDescent="0.35">
      <c r="C26084" s="2"/>
    </row>
    <row r="26085" spans="3:3" x14ac:dyDescent="0.35">
      <c r="C26085" s="2"/>
    </row>
    <row r="26086" spans="3:3" x14ac:dyDescent="0.35">
      <c r="C26086" s="2"/>
    </row>
    <row r="26087" spans="3:3" x14ac:dyDescent="0.35">
      <c r="C26087" s="2"/>
    </row>
    <row r="26088" spans="3:3" x14ac:dyDescent="0.35">
      <c r="C26088" s="2"/>
    </row>
    <row r="26089" spans="3:3" x14ac:dyDescent="0.35">
      <c r="C26089" s="2"/>
    </row>
    <row r="26090" spans="3:3" x14ac:dyDescent="0.35">
      <c r="C26090" s="2"/>
    </row>
    <row r="26091" spans="3:3" x14ac:dyDescent="0.35">
      <c r="C26091" s="2"/>
    </row>
    <row r="26092" spans="3:3" x14ac:dyDescent="0.35">
      <c r="C26092" s="2"/>
    </row>
    <row r="26093" spans="3:3" x14ac:dyDescent="0.35">
      <c r="C26093" s="2"/>
    </row>
    <row r="26094" spans="3:3" x14ac:dyDescent="0.35">
      <c r="C26094" s="2"/>
    </row>
    <row r="26095" spans="3:3" x14ac:dyDescent="0.35">
      <c r="C26095" s="2"/>
    </row>
    <row r="26096" spans="3:3" x14ac:dyDescent="0.35">
      <c r="C26096" s="2"/>
    </row>
    <row r="26097" spans="3:3" x14ac:dyDescent="0.35">
      <c r="C26097" s="2"/>
    </row>
    <row r="26098" spans="3:3" x14ac:dyDescent="0.35">
      <c r="C26098" s="2"/>
    </row>
    <row r="26099" spans="3:3" x14ac:dyDescent="0.35">
      <c r="C26099" s="2"/>
    </row>
    <row r="26100" spans="3:3" x14ac:dyDescent="0.35">
      <c r="C26100" s="2"/>
    </row>
    <row r="26101" spans="3:3" x14ac:dyDescent="0.35">
      <c r="C26101" s="2"/>
    </row>
    <row r="26102" spans="3:3" x14ac:dyDescent="0.35">
      <c r="C26102" s="2"/>
    </row>
    <row r="26103" spans="3:3" x14ac:dyDescent="0.35">
      <c r="C26103" s="2"/>
    </row>
    <row r="26104" spans="3:3" x14ac:dyDescent="0.35">
      <c r="C26104" s="2"/>
    </row>
    <row r="26105" spans="3:3" x14ac:dyDescent="0.35">
      <c r="C26105" s="2"/>
    </row>
    <row r="26106" spans="3:3" x14ac:dyDescent="0.35">
      <c r="C26106" s="2"/>
    </row>
    <row r="26107" spans="3:3" x14ac:dyDescent="0.35">
      <c r="C26107" s="2"/>
    </row>
    <row r="26108" spans="3:3" x14ac:dyDescent="0.35">
      <c r="C26108" s="2"/>
    </row>
    <row r="26109" spans="3:3" x14ac:dyDescent="0.35">
      <c r="C26109" s="2"/>
    </row>
    <row r="26110" spans="3:3" x14ac:dyDescent="0.35">
      <c r="C26110" s="2"/>
    </row>
    <row r="26111" spans="3:3" x14ac:dyDescent="0.35">
      <c r="C26111" s="2"/>
    </row>
    <row r="26112" spans="3:3" x14ac:dyDescent="0.35">
      <c r="C26112" s="2"/>
    </row>
    <row r="26113" spans="3:3" x14ac:dyDescent="0.35">
      <c r="C26113" s="2"/>
    </row>
    <row r="26114" spans="3:3" x14ac:dyDescent="0.35">
      <c r="C26114" s="2"/>
    </row>
    <row r="26115" spans="3:3" x14ac:dyDescent="0.35">
      <c r="C26115" s="2"/>
    </row>
    <row r="26116" spans="3:3" x14ac:dyDescent="0.35">
      <c r="C26116" s="2"/>
    </row>
    <row r="26117" spans="3:3" x14ac:dyDescent="0.35">
      <c r="C26117" s="2"/>
    </row>
    <row r="26118" spans="3:3" x14ac:dyDescent="0.35">
      <c r="C26118" s="2"/>
    </row>
    <row r="26119" spans="3:3" x14ac:dyDescent="0.35">
      <c r="C26119" s="2"/>
    </row>
    <row r="26120" spans="3:3" x14ac:dyDescent="0.35">
      <c r="C26120" s="2"/>
    </row>
    <row r="26121" spans="3:3" x14ac:dyDescent="0.35">
      <c r="C26121" s="2"/>
    </row>
    <row r="26122" spans="3:3" x14ac:dyDescent="0.35">
      <c r="C26122" s="2"/>
    </row>
    <row r="26123" spans="3:3" x14ac:dyDescent="0.35">
      <c r="C26123" s="2"/>
    </row>
    <row r="26124" spans="3:3" x14ac:dyDescent="0.35">
      <c r="C26124" s="2"/>
    </row>
    <row r="26125" spans="3:3" x14ac:dyDescent="0.35">
      <c r="C26125" s="2"/>
    </row>
    <row r="26126" spans="3:3" x14ac:dyDescent="0.35">
      <c r="C26126" s="2"/>
    </row>
    <row r="26127" spans="3:3" x14ac:dyDescent="0.35">
      <c r="C26127" s="2"/>
    </row>
    <row r="26128" spans="3:3" x14ac:dyDescent="0.35">
      <c r="C26128" s="2"/>
    </row>
    <row r="26129" spans="3:3" x14ac:dyDescent="0.35">
      <c r="C26129" s="2"/>
    </row>
    <row r="26130" spans="3:3" x14ac:dyDescent="0.35">
      <c r="C26130" s="2"/>
    </row>
    <row r="26131" spans="3:3" x14ac:dyDescent="0.35">
      <c r="C26131" s="2"/>
    </row>
    <row r="26132" spans="3:3" x14ac:dyDescent="0.35">
      <c r="C26132" s="2"/>
    </row>
    <row r="26133" spans="3:3" x14ac:dyDescent="0.35">
      <c r="C26133" s="2"/>
    </row>
    <row r="26134" spans="3:3" x14ac:dyDescent="0.35">
      <c r="C26134" s="2"/>
    </row>
    <row r="26135" spans="3:3" x14ac:dyDescent="0.35">
      <c r="C26135" s="2"/>
    </row>
    <row r="26136" spans="3:3" x14ac:dyDescent="0.35">
      <c r="C26136" s="2"/>
    </row>
    <row r="26137" spans="3:3" x14ac:dyDescent="0.35">
      <c r="C26137" s="2"/>
    </row>
    <row r="26138" spans="3:3" x14ac:dyDescent="0.35">
      <c r="C26138" s="2"/>
    </row>
    <row r="26139" spans="3:3" x14ac:dyDescent="0.35">
      <c r="C26139" s="2"/>
    </row>
    <row r="26140" spans="3:3" x14ac:dyDescent="0.35">
      <c r="C26140" s="2"/>
    </row>
    <row r="26141" spans="3:3" x14ac:dyDescent="0.35">
      <c r="C26141" s="2"/>
    </row>
    <row r="26142" spans="3:3" x14ac:dyDescent="0.35">
      <c r="C26142" s="2"/>
    </row>
    <row r="26143" spans="3:3" x14ac:dyDescent="0.35">
      <c r="C26143" s="2"/>
    </row>
    <row r="26144" spans="3:3" x14ac:dyDescent="0.35">
      <c r="C26144" s="2"/>
    </row>
    <row r="26145" spans="3:3" x14ac:dyDescent="0.35">
      <c r="C26145" s="2"/>
    </row>
    <row r="26146" spans="3:3" x14ac:dyDescent="0.35">
      <c r="C26146" s="2"/>
    </row>
    <row r="26147" spans="3:3" x14ac:dyDescent="0.35">
      <c r="C26147" s="2"/>
    </row>
    <row r="26148" spans="3:3" x14ac:dyDescent="0.35">
      <c r="C26148" s="2"/>
    </row>
    <row r="26149" spans="3:3" x14ac:dyDescent="0.35">
      <c r="C26149" s="2"/>
    </row>
    <row r="26150" spans="3:3" x14ac:dyDescent="0.35">
      <c r="C26150" s="2"/>
    </row>
    <row r="26151" spans="3:3" x14ac:dyDescent="0.35">
      <c r="C26151" s="2"/>
    </row>
    <row r="26152" spans="3:3" x14ac:dyDescent="0.35">
      <c r="C26152" s="2"/>
    </row>
    <row r="26153" spans="3:3" x14ac:dyDescent="0.35">
      <c r="C26153" s="2"/>
    </row>
    <row r="26154" spans="3:3" x14ac:dyDescent="0.35">
      <c r="C26154" s="2"/>
    </row>
    <row r="26155" spans="3:3" x14ac:dyDescent="0.35">
      <c r="C26155" s="2"/>
    </row>
    <row r="26156" spans="3:3" x14ac:dyDescent="0.35">
      <c r="C26156" s="2"/>
    </row>
    <row r="26157" spans="3:3" x14ac:dyDescent="0.35">
      <c r="C26157" s="2"/>
    </row>
    <row r="26158" spans="3:3" x14ac:dyDescent="0.35">
      <c r="C26158" s="2"/>
    </row>
    <row r="26159" spans="3:3" x14ac:dyDescent="0.35">
      <c r="C26159" s="2"/>
    </row>
    <row r="26160" spans="3:3" x14ac:dyDescent="0.35">
      <c r="C26160" s="2"/>
    </row>
    <row r="26161" spans="3:3" x14ac:dyDescent="0.35">
      <c r="C26161" s="2"/>
    </row>
    <row r="26162" spans="3:3" x14ac:dyDescent="0.35">
      <c r="C26162" s="2"/>
    </row>
    <row r="26163" spans="3:3" x14ac:dyDescent="0.35">
      <c r="C26163" s="2"/>
    </row>
    <row r="26164" spans="3:3" x14ac:dyDescent="0.35">
      <c r="C26164" s="2"/>
    </row>
    <row r="26165" spans="3:3" x14ac:dyDescent="0.35">
      <c r="C26165" s="2"/>
    </row>
    <row r="26166" spans="3:3" x14ac:dyDescent="0.35">
      <c r="C26166" s="2"/>
    </row>
    <row r="26167" spans="3:3" x14ac:dyDescent="0.35">
      <c r="C26167" s="2"/>
    </row>
    <row r="26168" spans="3:3" x14ac:dyDescent="0.35">
      <c r="C26168" s="2"/>
    </row>
    <row r="26169" spans="3:3" x14ac:dyDescent="0.35">
      <c r="C26169" s="2"/>
    </row>
    <row r="26170" spans="3:3" x14ac:dyDescent="0.35">
      <c r="C26170" s="2"/>
    </row>
    <row r="26171" spans="3:3" x14ac:dyDescent="0.35">
      <c r="C26171" s="2"/>
    </row>
    <row r="26172" spans="3:3" x14ac:dyDescent="0.35">
      <c r="C26172" s="2"/>
    </row>
    <row r="26173" spans="3:3" x14ac:dyDescent="0.35">
      <c r="C26173" s="2"/>
    </row>
    <row r="26174" spans="3:3" x14ac:dyDescent="0.35">
      <c r="C26174" s="2"/>
    </row>
    <row r="26175" spans="3:3" x14ac:dyDescent="0.35">
      <c r="C26175" s="2"/>
    </row>
    <row r="26176" spans="3:3" x14ac:dyDescent="0.35">
      <c r="C26176" s="2"/>
    </row>
    <row r="26177" spans="3:3" x14ac:dyDescent="0.35">
      <c r="C26177" s="2"/>
    </row>
    <row r="26178" spans="3:3" x14ac:dyDescent="0.35">
      <c r="C26178" s="2"/>
    </row>
    <row r="26179" spans="3:3" x14ac:dyDescent="0.35">
      <c r="C26179" s="2"/>
    </row>
    <row r="26180" spans="3:3" x14ac:dyDescent="0.35">
      <c r="C26180" s="2"/>
    </row>
    <row r="26181" spans="3:3" x14ac:dyDescent="0.35">
      <c r="C26181" s="2"/>
    </row>
    <row r="26182" spans="3:3" x14ac:dyDescent="0.35">
      <c r="C26182" s="2"/>
    </row>
    <row r="26183" spans="3:3" x14ac:dyDescent="0.35">
      <c r="C26183" s="2"/>
    </row>
    <row r="26184" spans="3:3" x14ac:dyDescent="0.35">
      <c r="C26184" s="2"/>
    </row>
    <row r="26185" spans="3:3" x14ac:dyDescent="0.35">
      <c r="C26185" s="2"/>
    </row>
    <row r="26186" spans="3:3" x14ac:dyDescent="0.35">
      <c r="C26186" s="2"/>
    </row>
    <row r="26187" spans="3:3" x14ac:dyDescent="0.35">
      <c r="C26187" s="2"/>
    </row>
    <row r="26188" spans="3:3" x14ac:dyDescent="0.35">
      <c r="C26188" s="2"/>
    </row>
    <row r="26189" spans="3:3" x14ac:dyDescent="0.35">
      <c r="C26189" s="2"/>
    </row>
    <row r="26190" spans="3:3" x14ac:dyDescent="0.35">
      <c r="C26190" s="2"/>
    </row>
    <row r="26191" spans="3:3" x14ac:dyDescent="0.35">
      <c r="C26191" s="2"/>
    </row>
    <row r="26192" spans="3:3" x14ac:dyDescent="0.35">
      <c r="C26192" s="2"/>
    </row>
    <row r="26193" spans="3:3" x14ac:dyDescent="0.35">
      <c r="C26193" s="2"/>
    </row>
    <row r="26194" spans="3:3" x14ac:dyDescent="0.35">
      <c r="C26194" s="2"/>
    </row>
    <row r="26195" spans="3:3" x14ac:dyDescent="0.35">
      <c r="C26195" s="2"/>
    </row>
    <row r="26196" spans="3:3" x14ac:dyDescent="0.35">
      <c r="C26196" s="2"/>
    </row>
    <row r="26197" spans="3:3" x14ac:dyDescent="0.35">
      <c r="C26197" s="2"/>
    </row>
    <row r="26198" spans="3:3" x14ac:dyDescent="0.35">
      <c r="C26198" s="2"/>
    </row>
    <row r="26199" spans="3:3" x14ac:dyDescent="0.35">
      <c r="C26199" s="2"/>
    </row>
    <row r="26200" spans="3:3" x14ac:dyDescent="0.35">
      <c r="C26200" s="2"/>
    </row>
    <row r="26201" spans="3:3" x14ac:dyDescent="0.35">
      <c r="C26201" s="2"/>
    </row>
    <row r="26202" spans="3:3" x14ac:dyDescent="0.35">
      <c r="C26202" s="2"/>
    </row>
    <row r="26203" spans="3:3" x14ac:dyDescent="0.35">
      <c r="C26203" s="2"/>
    </row>
    <row r="26204" spans="3:3" x14ac:dyDescent="0.35">
      <c r="C26204" s="2"/>
    </row>
    <row r="26205" spans="3:3" x14ac:dyDescent="0.35">
      <c r="C26205" s="2"/>
    </row>
    <row r="26206" spans="3:3" x14ac:dyDescent="0.35">
      <c r="C26206" s="2"/>
    </row>
    <row r="26207" spans="3:3" x14ac:dyDescent="0.35">
      <c r="C26207" s="2"/>
    </row>
    <row r="26208" spans="3:3" x14ac:dyDescent="0.35">
      <c r="C26208" s="2"/>
    </row>
    <row r="26209" spans="3:3" x14ac:dyDescent="0.35">
      <c r="C26209" s="2"/>
    </row>
    <row r="26210" spans="3:3" x14ac:dyDescent="0.35">
      <c r="C26210" s="2"/>
    </row>
    <row r="26211" spans="3:3" x14ac:dyDescent="0.35">
      <c r="C26211" s="2"/>
    </row>
    <row r="26212" spans="3:3" x14ac:dyDescent="0.35">
      <c r="C26212" s="2"/>
    </row>
    <row r="26213" spans="3:3" x14ac:dyDescent="0.35">
      <c r="C26213" s="2"/>
    </row>
    <row r="26214" spans="3:3" x14ac:dyDescent="0.35">
      <c r="C26214" s="2"/>
    </row>
    <row r="26215" spans="3:3" x14ac:dyDescent="0.35">
      <c r="C26215" s="2"/>
    </row>
    <row r="26216" spans="3:3" x14ac:dyDescent="0.35">
      <c r="C26216" s="2"/>
    </row>
    <row r="26217" spans="3:3" x14ac:dyDescent="0.35">
      <c r="C26217" s="2"/>
    </row>
    <row r="26218" spans="3:3" x14ac:dyDescent="0.35">
      <c r="C26218" s="2"/>
    </row>
    <row r="26219" spans="3:3" x14ac:dyDescent="0.35">
      <c r="C26219" s="2"/>
    </row>
    <row r="26220" spans="3:3" x14ac:dyDescent="0.35">
      <c r="C26220" s="2"/>
    </row>
    <row r="26221" spans="3:3" x14ac:dyDescent="0.35">
      <c r="C26221" s="2"/>
    </row>
    <row r="26222" spans="3:3" x14ac:dyDescent="0.35">
      <c r="C26222" s="2"/>
    </row>
    <row r="26223" spans="3:3" x14ac:dyDescent="0.35">
      <c r="C26223" s="2"/>
    </row>
    <row r="26224" spans="3:3" x14ac:dyDescent="0.35">
      <c r="C26224" s="2"/>
    </row>
    <row r="26225" spans="3:3" x14ac:dyDescent="0.35">
      <c r="C26225" s="2"/>
    </row>
    <row r="26226" spans="3:3" x14ac:dyDescent="0.35">
      <c r="C26226" s="2"/>
    </row>
    <row r="26227" spans="3:3" x14ac:dyDescent="0.35">
      <c r="C26227" s="2"/>
    </row>
    <row r="26228" spans="3:3" x14ac:dyDescent="0.35">
      <c r="C26228" s="2"/>
    </row>
    <row r="26229" spans="3:3" x14ac:dyDescent="0.35">
      <c r="C26229" s="2"/>
    </row>
    <row r="26230" spans="3:3" x14ac:dyDescent="0.35">
      <c r="C26230" s="2"/>
    </row>
    <row r="26231" spans="3:3" x14ac:dyDescent="0.35">
      <c r="C26231" s="2"/>
    </row>
    <row r="26232" spans="3:3" x14ac:dyDescent="0.35">
      <c r="C26232" s="2"/>
    </row>
    <row r="26233" spans="3:3" x14ac:dyDescent="0.35">
      <c r="C26233" s="2"/>
    </row>
    <row r="26234" spans="3:3" x14ac:dyDescent="0.35">
      <c r="C26234" s="2"/>
    </row>
    <row r="26235" spans="3:3" x14ac:dyDescent="0.35">
      <c r="C26235" s="2"/>
    </row>
    <row r="26236" spans="3:3" x14ac:dyDescent="0.35">
      <c r="C26236" s="2"/>
    </row>
    <row r="26237" spans="3:3" x14ac:dyDescent="0.35">
      <c r="C26237" s="2"/>
    </row>
    <row r="26238" spans="3:3" x14ac:dyDescent="0.35">
      <c r="C26238" s="2"/>
    </row>
    <row r="26239" spans="3:3" x14ac:dyDescent="0.35">
      <c r="C26239" s="2"/>
    </row>
    <row r="26240" spans="3:3" x14ac:dyDescent="0.35">
      <c r="C26240" s="2"/>
    </row>
    <row r="26241" spans="3:3" x14ac:dyDescent="0.35">
      <c r="C26241" s="2"/>
    </row>
    <row r="26242" spans="3:3" x14ac:dyDescent="0.35">
      <c r="C26242" s="2"/>
    </row>
    <row r="26243" spans="3:3" x14ac:dyDescent="0.35">
      <c r="C26243" s="2"/>
    </row>
    <row r="26244" spans="3:3" x14ac:dyDescent="0.35">
      <c r="C26244" s="2"/>
    </row>
    <row r="26245" spans="3:3" x14ac:dyDescent="0.35">
      <c r="C26245" s="2"/>
    </row>
    <row r="26246" spans="3:3" x14ac:dyDescent="0.35">
      <c r="C26246" s="2"/>
    </row>
    <row r="26247" spans="3:3" x14ac:dyDescent="0.35">
      <c r="C26247" s="2"/>
    </row>
    <row r="26248" spans="3:3" x14ac:dyDescent="0.35">
      <c r="C26248" s="2"/>
    </row>
    <row r="26249" spans="3:3" x14ac:dyDescent="0.35">
      <c r="C26249" s="2"/>
    </row>
    <row r="26250" spans="3:3" x14ac:dyDescent="0.35">
      <c r="C26250" s="2"/>
    </row>
    <row r="26251" spans="3:3" x14ac:dyDescent="0.35">
      <c r="C26251" s="2"/>
    </row>
    <row r="26252" spans="3:3" x14ac:dyDescent="0.35">
      <c r="C26252" s="2"/>
    </row>
    <row r="26253" spans="3:3" x14ac:dyDescent="0.35">
      <c r="C26253" s="2"/>
    </row>
    <row r="26254" spans="3:3" x14ac:dyDescent="0.35">
      <c r="C26254" s="2"/>
    </row>
    <row r="26255" spans="3:3" x14ac:dyDescent="0.35">
      <c r="C26255" s="2"/>
    </row>
    <row r="26256" spans="3:3" x14ac:dyDescent="0.35">
      <c r="C26256" s="2"/>
    </row>
    <row r="26257" spans="3:3" x14ac:dyDescent="0.35">
      <c r="C26257" s="2"/>
    </row>
    <row r="26258" spans="3:3" x14ac:dyDescent="0.35">
      <c r="C26258" s="2"/>
    </row>
    <row r="26259" spans="3:3" x14ac:dyDescent="0.35">
      <c r="C26259" s="2"/>
    </row>
    <row r="26260" spans="3:3" x14ac:dyDescent="0.35">
      <c r="C26260" s="2"/>
    </row>
    <row r="26261" spans="3:3" x14ac:dyDescent="0.35">
      <c r="C26261" s="2"/>
    </row>
    <row r="26262" spans="3:3" x14ac:dyDescent="0.35">
      <c r="C26262" s="2"/>
    </row>
    <row r="26263" spans="3:3" x14ac:dyDescent="0.35">
      <c r="C26263" s="2"/>
    </row>
    <row r="26264" spans="3:3" x14ac:dyDescent="0.35">
      <c r="C26264" s="2"/>
    </row>
    <row r="26265" spans="3:3" x14ac:dyDescent="0.35">
      <c r="C26265" s="2"/>
    </row>
    <row r="26266" spans="3:3" x14ac:dyDescent="0.35">
      <c r="C26266" s="2"/>
    </row>
    <row r="26267" spans="3:3" x14ac:dyDescent="0.35">
      <c r="C26267" s="2"/>
    </row>
    <row r="26268" spans="3:3" x14ac:dyDescent="0.35">
      <c r="C26268" s="2"/>
    </row>
    <row r="26269" spans="3:3" x14ac:dyDescent="0.35">
      <c r="C26269" s="2"/>
    </row>
    <row r="26270" spans="3:3" x14ac:dyDescent="0.35">
      <c r="C26270" s="2"/>
    </row>
    <row r="26271" spans="3:3" x14ac:dyDescent="0.35">
      <c r="C26271" s="2"/>
    </row>
    <row r="26272" spans="3:3" x14ac:dyDescent="0.35">
      <c r="C26272" s="2"/>
    </row>
    <row r="26273" spans="3:3" x14ac:dyDescent="0.35">
      <c r="C26273" s="2"/>
    </row>
    <row r="26274" spans="3:3" x14ac:dyDescent="0.35">
      <c r="C26274" s="2"/>
    </row>
    <row r="26275" spans="3:3" x14ac:dyDescent="0.35">
      <c r="C26275" s="2"/>
    </row>
    <row r="26276" spans="3:3" x14ac:dyDescent="0.35">
      <c r="C26276" s="2"/>
    </row>
    <row r="26277" spans="3:3" x14ac:dyDescent="0.35">
      <c r="C26277" s="2"/>
    </row>
    <row r="26278" spans="3:3" x14ac:dyDescent="0.35">
      <c r="C26278" s="2"/>
    </row>
    <row r="26279" spans="3:3" x14ac:dyDescent="0.35">
      <c r="C26279" s="2"/>
    </row>
    <row r="26280" spans="3:3" x14ac:dyDescent="0.35">
      <c r="C26280" s="2"/>
    </row>
    <row r="26281" spans="3:3" x14ac:dyDescent="0.35">
      <c r="C26281" s="2"/>
    </row>
    <row r="26282" spans="3:3" x14ac:dyDescent="0.35">
      <c r="C26282" s="2"/>
    </row>
    <row r="26283" spans="3:3" x14ac:dyDescent="0.35">
      <c r="C26283" s="2"/>
    </row>
    <row r="26284" spans="3:3" x14ac:dyDescent="0.35">
      <c r="C26284" s="2"/>
    </row>
    <row r="26285" spans="3:3" x14ac:dyDescent="0.35">
      <c r="C26285" s="2"/>
    </row>
    <row r="26286" spans="3:3" x14ac:dyDescent="0.35">
      <c r="C26286" s="2"/>
    </row>
    <row r="26287" spans="3:3" x14ac:dyDescent="0.35">
      <c r="C26287" s="2"/>
    </row>
    <row r="26288" spans="3:3" x14ac:dyDescent="0.35">
      <c r="C26288" s="2"/>
    </row>
    <row r="26289" spans="3:3" x14ac:dyDescent="0.35">
      <c r="C26289" s="2"/>
    </row>
    <row r="26290" spans="3:3" x14ac:dyDescent="0.35">
      <c r="C26290" s="2"/>
    </row>
    <row r="26291" spans="3:3" x14ac:dyDescent="0.35">
      <c r="C26291" s="2"/>
    </row>
    <row r="26292" spans="3:3" x14ac:dyDescent="0.35">
      <c r="C26292" s="2"/>
    </row>
    <row r="26293" spans="3:3" x14ac:dyDescent="0.35">
      <c r="C26293" s="2"/>
    </row>
    <row r="26294" spans="3:3" x14ac:dyDescent="0.35">
      <c r="C26294" s="2"/>
    </row>
    <row r="26295" spans="3:3" x14ac:dyDescent="0.35">
      <c r="C26295" s="2"/>
    </row>
    <row r="26296" spans="3:3" x14ac:dyDescent="0.35">
      <c r="C26296" s="2"/>
    </row>
    <row r="26297" spans="3:3" x14ac:dyDescent="0.35">
      <c r="C26297" s="2"/>
    </row>
    <row r="26298" spans="3:3" x14ac:dyDescent="0.35">
      <c r="C26298" s="2"/>
    </row>
    <row r="26299" spans="3:3" x14ac:dyDescent="0.35">
      <c r="C26299" s="2"/>
    </row>
    <row r="26300" spans="3:3" x14ac:dyDescent="0.35">
      <c r="C26300" s="2"/>
    </row>
    <row r="26301" spans="3:3" x14ac:dyDescent="0.35">
      <c r="C26301" s="2"/>
    </row>
    <row r="26302" spans="3:3" x14ac:dyDescent="0.35">
      <c r="C26302" s="2"/>
    </row>
    <row r="26303" spans="3:3" x14ac:dyDescent="0.35">
      <c r="C26303" s="2"/>
    </row>
    <row r="26304" spans="3:3" x14ac:dyDescent="0.35">
      <c r="C26304" s="2"/>
    </row>
    <row r="26305" spans="3:3" x14ac:dyDescent="0.35">
      <c r="C26305" s="2"/>
    </row>
    <row r="26306" spans="3:3" x14ac:dyDescent="0.35">
      <c r="C26306" s="2"/>
    </row>
    <row r="26307" spans="3:3" x14ac:dyDescent="0.35">
      <c r="C26307" s="2"/>
    </row>
    <row r="26308" spans="3:3" x14ac:dyDescent="0.35">
      <c r="C26308" s="2"/>
    </row>
    <row r="26309" spans="3:3" x14ac:dyDescent="0.35">
      <c r="C26309" s="2"/>
    </row>
    <row r="26310" spans="3:3" x14ac:dyDescent="0.35">
      <c r="C26310" s="2"/>
    </row>
    <row r="26311" spans="3:3" x14ac:dyDescent="0.35">
      <c r="C26311" s="2"/>
    </row>
    <row r="26312" spans="3:3" x14ac:dyDescent="0.35">
      <c r="C26312" s="2"/>
    </row>
    <row r="26313" spans="3:3" x14ac:dyDescent="0.35">
      <c r="C26313" s="2"/>
    </row>
    <row r="26314" spans="3:3" x14ac:dyDescent="0.35">
      <c r="C26314" s="2"/>
    </row>
    <row r="26315" spans="3:3" x14ac:dyDescent="0.35">
      <c r="C26315" s="2"/>
    </row>
    <row r="26316" spans="3:3" x14ac:dyDescent="0.35">
      <c r="C26316" s="2"/>
    </row>
    <row r="26317" spans="3:3" x14ac:dyDescent="0.35">
      <c r="C26317" s="2"/>
    </row>
    <row r="26318" spans="3:3" x14ac:dyDescent="0.35">
      <c r="C26318" s="2"/>
    </row>
    <row r="26319" spans="3:3" x14ac:dyDescent="0.35">
      <c r="C26319" s="2"/>
    </row>
    <row r="26320" spans="3:3" x14ac:dyDescent="0.35">
      <c r="C26320" s="2"/>
    </row>
    <row r="26321" spans="3:3" x14ac:dyDescent="0.35">
      <c r="C26321" s="2"/>
    </row>
    <row r="26322" spans="3:3" x14ac:dyDescent="0.35">
      <c r="C26322" s="2"/>
    </row>
    <row r="26323" spans="3:3" x14ac:dyDescent="0.35">
      <c r="C26323" s="2"/>
    </row>
    <row r="26324" spans="3:3" x14ac:dyDescent="0.35">
      <c r="C26324" s="2"/>
    </row>
    <row r="26325" spans="3:3" x14ac:dyDescent="0.35">
      <c r="C26325" s="2"/>
    </row>
    <row r="26326" spans="3:3" x14ac:dyDescent="0.35">
      <c r="C26326" s="2"/>
    </row>
    <row r="26327" spans="3:3" x14ac:dyDescent="0.35">
      <c r="C26327" s="2"/>
    </row>
    <row r="26328" spans="3:3" x14ac:dyDescent="0.35">
      <c r="C26328" s="2"/>
    </row>
    <row r="26329" spans="3:3" x14ac:dyDescent="0.35">
      <c r="C26329" s="2"/>
    </row>
    <row r="26330" spans="3:3" x14ac:dyDescent="0.35">
      <c r="C26330" s="2"/>
    </row>
    <row r="26331" spans="3:3" x14ac:dyDescent="0.35">
      <c r="C26331" s="2"/>
    </row>
    <row r="26332" spans="3:3" x14ac:dyDescent="0.35">
      <c r="C26332" s="2"/>
    </row>
    <row r="26333" spans="3:3" x14ac:dyDescent="0.35">
      <c r="C26333" s="2"/>
    </row>
    <row r="26334" spans="3:3" x14ac:dyDescent="0.35">
      <c r="C26334" s="2"/>
    </row>
    <row r="26335" spans="3:3" x14ac:dyDescent="0.35">
      <c r="C26335" s="2"/>
    </row>
    <row r="26336" spans="3:3" x14ac:dyDescent="0.35">
      <c r="C26336" s="2"/>
    </row>
    <row r="26337" spans="3:3" x14ac:dyDescent="0.35">
      <c r="C26337" s="2"/>
    </row>
    <row r="26338" spans="3:3" x14ac:dyDescent="0.35">
      <c r="C26338" s="2"/>
    </row>
    <row r="26339" spans="3:3" x14ac:dyDescent="0.35">
      <c r="C26339" s="2"/>
    </row>
    <row r="26340" spans="3:3" x14ac:dyDescent="0.35">
      <c r="C26340" s="2"/>
    </row>
    <row r="26341" spans="3:3" x14ac:dyDescent="0.35">
      <c r="C26341" s="2"/>
    </row>
    <row r="26342" spans="3:3" x14ac:dyDescent="0.35">
      <c r="C26342" s="2"/>
    </row>
    <row r="26343" spans="3:3" x14ac:dyDescent="0.35">
      <c r="C26343" s="2"/>
    </row>
    <row r="26344" spans="3:3" x14ac:dyDescent="0.35">
      <c r="C26344" s="2"/>
    </row>
    <row r="26345" spans="3:3" x14ac:dyDescent="0.35">
      <c r="C26345" s="2"/>
    </row>
    <row r="26346" spans="3:3" x14ac:dyDescent="0.35">
      <c r="C26346" s="2"/>
    </row>
    <row r="26347" spans="3:3" x14ac:dyDescent="0.35">
      <c r="C26347" s="2"/>
    </row>
    <row r="26348" spans="3:3" x14ac:dyDescent="0.35">
      <c r="C26348" s="2"/>
    </row>
    <row r="26349" spans="3:3" x14ac:dyDescent="0.35">
      <c r="C26349" s="2"/>
    </row>
    <row r="26350" spans="3:3" x14ac:dyDescent="0.35">
      <c r="C26350" s="2"/>
    </row>
    <row r="26351" spans="3:3" x14ac:dyDescent="0.35">
      <c r="C26351" s="2"/>
    </row>
    <row r="26352" spans="3:3" x14ac:dyDescent="0.35">
      <c r="C26352" s="2"/>
    </row>
    <row r="26353" spans="3:3" x14ac:dyDescent="0.35">
      <c r="C26353" s="2"/>
    </row>
    <row r="26354" spans="3:3" x14ac:dyDescent="0.35">
      <c r="C26354" s="2"/>
    </row>
    <row r="26355" spans="3:3" x14ac:dyDescent="0.35">
      <c r="C26355" s="2"/>
    </row>
    <row r="26356" spans="3:3" x14ac:dyDescent="0.35">
      <c r="C26356" s="2"/>
    </row>
    <row r="26357" spans="3:3" x14ac:dyDescent="0.35">
      <c r="C26357" s="2"/>
    </row>
    <row r="26358" spans="3:3" x14ac:dyDescent="0.35">
      <c r="C26358" s="2"/>
    </row>
    <row r="26359" spans="3:3" x14ac:dyDescent="0.35">
      <c r="C26359" s="2"/>
    </row>
    <row r="26360" spans="3:3" x14ac:dyDescent="0.35">
      <c r="C26360" s="2"/>
    </row>
    <row r="26361" spans="3:3" x14ac:dyDescent="0.35">
      <c r="C26361" s="2"/>
    </row>
    <row r="26362" spans="3:3" x14ac:dyDescent="0.35">
      <c r="C26362" s="2"/>
    </row>
    <row r="26363" spans="3:3" x14ac:dyDescent="0.35">
      <c r="C26363" s="2"/>
    </row>
    <row r="26364" spans="3:3" x14ac:dyDescent="0.35">
      <c r="C26364" s="2"/>
    </row>
    <row r="26365" spans="3:3" x14ac:dyDescent="0.35">
      <c r="C26365" s="2"/>
    </row>
    <row r="26366" spans="3:3" x14ac:dyDescent="0.35">
      <c r="C26366" s="2"/>
    </row>
    <row r="26367" spans="3:3" x14ac:dyDescent="0.35">
      <c r="C26367" s="2"/>
    </row>
    <row r="26368" spans="3:3" x14ac:dyDescent="0.35">
      <c r="C26368" s="2"/>
    </row>
    <row r="26369" spans="3:3" x14ac:dyDescent="0.35">
      <c r="C26369" s="2"/>
    </row>
    <row r="26370" spans="3:3" x14ac:dyDescent="0.35">
      <c r="C26370" s="2"/>
    </row>
    <row r="26371" spans="3:3" x14ac:dyDescent="0.35">
      <c r="C26371" s="2"/>
    </row>
    <row r="26372" spans="3:3" x14ac:dyDescent="0.35">
      <c r="C26372" s="2"/>
    </row>
    <row r="26373" spans="3:3" x14ac:dyDescent="0.35">
      <c r="C26373" s="2"/>
    </row>
    <row r="26374" spans="3:3" x14ac:dyDescent="0.35">
      <c r="C26374" s="2"/>
    </row>
    <row r="26375" spans="3:3" x14ac:dyDescent="0.35">
      <c r="C26375" s="2"/>
    </row>
    <row r="26376" spans="3:3" x14ac:dyDescent="0.35">
      <c r="C26376" s="2"/>
    </row>
    <row r="26377" spans="3:3" x14ac:dyDescent="0.35">
      <c r="C26377" s="2"/>
    </row>
    <row r="26378" spans="3:3" x14ac:dyDescent="0.35">
      <c r="C26378" s="2"/>
    </row>
    <row r="26379" spans="3:3" x14ac:dyDescent="0.35">
      <c r="C26379" s="2"/>
    </row>
    <row r="26380" spans="3:3" x14ac:dyDescent="0.35">
      <c r="C26380" s="2"/>
    </row>
    <row r="26381" spans="3:3" x14ac:dyDescent="0.35">
      <c r="C26381" s="2"/>
    </row>
    <row r="26382" spans="3:3" x14ac:dyDescent="0.35">
      <c r="C26382" s="2"/>
    </row>
    <row r="26383" spans="3:3" x14ac:dyDescent="0.35">
      <c r="C26383" s="2"/>
    </row>
    <row r="26384" spans="3:3" x14ac:dyDescent="0.35">
      <c r="C26384" s="2"/>
    </row>
    <row r="26385" spans="3:3" x14ac:dyDescent="0.35">
      <c r="C26385" s="2"/>
    </row>
    <row r="26386" spans="3:3" x14ac:dyDescent="0.35">
      <c r="C26386" s="2"/>
    </row>
    <row r="26387" spans="3:3" x14ac:dyDescent="0.35">
      <c r="C26387" s="2"/>
    </row>
    <row r="26388" spans="3:3" x14ac:dyDescent="0.35">
      <c r="C26388" s="2"/>
    </row>
    <row r="26389" spans="3:3" x14ac:dyDescent="0.35">
      <c r="C26389" s="2"/>
    </row>
    <row r="26390" spans="3:3" x14ac:dyDescent="0.35">
      <c r="C26390" s="2"/>
    </row>
    <row r="26391" spans="3:3" x14ac:dyDescent="0.35">
      <c r="C26391" s="2"/>
    </row>
    <row r="26392" spans="3:3" x14ac:dyDescent="0.35">
      <c r="C26392" s="2"/>
    </row>
    <row r="26393" spans="3:3" x14ac:dyDescent="0.35">
      <c r="C26393" s="2"/>
    </row>
    <row r="26394" spans="3:3" x14ac:dyDescent="0.35">
      <c r="C26394" s="2"/>
    </row>
    <row r="26395" spans="3:3" x14ac:dyDescent="0.35">
      <c r="C26395" s="2"/>
    </row>
    <row r="26396" spans="3:3" x14ac:dyDescent="0.35">
      <c r="C26396" s="2"/>
    </row>
    <row r="26397" spans="3:3" x14ac:dyDescent="0.35">
      <c r="C26397" s="2"/>
    </row>
    <row r="26398" spans="3:3" x14ac:dyDescent="0.35">
      <c r="C26398" s="2"/>
    </row>
    <row r="26399" spans="3:3" x14ac:dyDescent="0.35">
      <c r="C26399" s="2"/>
    </row>
    <row r="26400" spans="3:3" x14ac:dyDescent="0.35">
      <c r="C26400" s="2"/>
    </row>
    <row r="26401" spans="3:3" x14ac:dyDescent="0.35">
      <c r="C26401" s="2"/>
    </row>
    <row r="26402" spans="3:3" x14ac:dyDescent="0.35">
      <c r="C26402" s="2"/>
    </row>
    <row r="26403" spans="3:3" x14ac:dyDescent="0.35">
      <c r="C26403" s="2"/>
    </row>
    <row r="26404" spans="3:3" x14ac:dyDescent="0.35">
      <c r="C26404" s="2"/>
    </row>
    <row r="26405" spans="3:3" x14ac:dyDescent="0.35">
      <c r="C26405" s="2"/>
    </row>
    <row r="26406" spans="3:3" x14ac:dyDescent="0.35">
      <c r="C26406" s="2"/>
    </row>
    <row r="26407" spans="3:3" x14ac:dyDescent="0.35">
      <c r="C26407" s="2"/>
    </row>
    <row r="26408" spans="3:3" x14ac:dyDescent="0.35">
      <c r="C26408" s="2"/>
    </row>
    <row r="26409" spans="3:3" x14ac:dyDescent="0.35">
      <c r="C26409" s="2"/>
    </row>
    <row r="26410" spans="3:3" x14ac:dyDescent="0.35">
      <c r="C26410" s="2"/>
    </row>
    <row r="26411" spans="3:3" x14ac:dyDescent="0.35">
      <c r="C26411" s="2"/>
    </row>
    <row r="26412" spans="3:3" x14ac:dyDescent="0.35">
      <c r="C26412" s="2"/>
    </row>
    <row r="26413" spans="3:3" x14ac:dyDescent="0.35">
      <c r="C26413" s="2"/>
    </row>
    <row r="26414" spans="3:3" x14ac:dyDescent="0.35">
      <c r="C26414" s="2"/>
    </row>
    <row r="26415" spans="3:3" x14ac:dyDescent="0.35">
      <c r="C26415" s="2"/>
    </row>
    <row r="26416" spans="3:3" x14ac:dyDescent="0.35">
      <c r="C26416" s="2"/>
    </row>
    <row r="26417" spans="3:3" x14ac:dyDescent="0.35">
      <c r="C26417" s="2"/>
    </row>
    <row r="26418" spans="3:3" x14ac:dyDescent="0.35">
      <c r="C26418" s="2"/>
    </row>
    <row r="26419" spans="3:3" x14ac:dyDescent="0.35">
      <c r="C26419" s="2"/>
    </row>
    <row r="26420" spans="3:3" x14ac:dyDescent="0.35">
      <c r="C26420" s="2"/>
    </row>
    <row r="26421" spans="3:3" x14ac:dyDescent="0.35">
      <c r="C26421" s="2"/>
    </row>
    <row r="26422" spans="3:3" x14ac:dyDescent="0.35">
      <c r="C26422" s="2"/>
    </row>
    <row r="26423" spans="3:3" x14ac:dyDescent="0.35">
      <c r="C26423" s="2"/>
    </row>
    <row r="26424" spans="3:3" x14ac:dyDescent="0.35">
      <c r="C26424" s="2"/>
    </row>
    <row r="26425" spans="3:3" x14ac:dyDescent="0.35">
      <c r="C26425" s="2"/>
    </row>
    <row r="26426" spans="3:3" x14ac:dyDescent="0.35">
      <c r="C26426" s="2"/>
    </row>
    <row r="26427" spans="3:3" x14ac:dyDescent="0.35">
      <c r="C26427" s="2"/>
    </row>
    <row r="26428" spans="3:3" x14ac:dyDescent="0.35">
      <c r="C26428" s="2"/>
    </row>
    <row r="26429" spans="3:3" x14ac:dyDescent="0.35">
      <c r="C26429" s="2"/>
    </row>
    <row r="26430" spans="3:3" x14ac:dyDescent="0.35">
      <c r="C26430" s="2"/>
    </row>
    <row r="26431" spans="3:3" x14ac:dyDescent="0.35">
      <c r="C26431" s="2"/>
    </row>
    <row r="26432" spans="3:3" x14ac:dyDescent="0.35">
      <c r="C26432" s="2"/>
    </row>
    <row r="26433" spans="3:3" x14ac:dyDescent="0.35">
      <c r="C26433" s="2"/>
    </row>
    <row r="26434" spans="3:3" x14ac:dyDescent="0.35">
      <c r="C26434" s="2"/>
    </row>
    <row r="26435" spans="3:3" x14ac:dyDescent="0.35">
      <c r="C26435" s="2"/>
    </row>
    <row r="26436" spans="3:3" x14ac:dyDescent="0.35">
      <c r="C26436" s="2"/>
    </row>
    <row r="26437" spans="3:3" x14ac:dyDescent="0.35">
      <c r="C26437" s="2"/>
    </row>
    <row r="26438" spans="3:3" x14ac:dyDescent="0.35">
      <c r="C26438" s="2"/>
    </row>
    <row r="26439" spans="3:3" x14ac:dyDescent="0.35">
      <c r="C26439" s="2"/>
    </row>
    <row r="26440" spans="3:3" x14ac:dyDescent="0.35">
      <c r="C26440" s="2"/>
    </row>
    <row r="26441" spans="3:3" x14ac:dyDescent="0.35">
      <c r="C26441" s="2"/>
    </row>
    <row r="26442" spans="3:3" x14ac:dyDescent="0.35">
      <c r="C26442" s="2"/>
    </row>
    <row r="26443" spans="3:3" x14ac:dyDescent="0.35">
      <c r="C26443" s="2"/>
    </row>
    <row r="26444" spans="3:3" x14ac:dyDescent="0.35">
      <c r="C26444" s="2"/>
    </row>
    <row r="26445" spans="3:3" x14ac:dyDescent="0.35">
      <c r="C26445" s="2"/>
    </row>
    <row r="26446" spans="3:3" x14ac:dyDescent="0.35">
      <c r="C26446" s="2"/>
    </row>
    <row r="26447" spans="3:3" x14ac:dyDescent="0.35">
      <c r="C26447" s="2"/>
    </row>
    <row r="26448" spans="3:3" x14ac:dyDescent="0.35">
      <c r="C26448" s="2"/>
    </row>
    <row r="26449" spans="3:3" x14ac:dyDescent="0.35">
      <c r="C26449" s="2"/>
    </row>
    <row r="26450" spans="3:3" x14ac:dyDescent="0.35">
      <c r="C26450" s="2"/>
    </row>
    <row r="26451" spans="3:3" x14ac:dyDescent="0.35">
      <c r="C26451" s="2"/>
    </row>
    <row r="26452" spans="3:3" x14ac:dyDescent="0.35">
      <c r="C26452" s="2"/>
    </row>
    <row r="26453" spans="3:3" x14ac:dyDescent="0.35">
      <c r="C26453" s="2"/>
    </row>
    <row r="26454" spans="3:3" x14ac:dyDescent="0.35">
      <c r="C26454" s="2"/>
    </row>
    <row r="26455" spans="3:3" x14ac:dyDescent="0.35">
      <c r="C26455" s="2"/>
    </row>
    <row r="26456" spans="3:3" x14ac:dyDescent="0.35">
      <c r="C26456" s="2"/>
    </row>
    <row r="26457" spans="3:3" x14ac:dyDescent="0.35">
      <c r="C26457" s="2"/>
    </row>
    <row r="26458" spans="3:3" x14ac:dyDescent="0.35">
      <c r="C26458" s="2"/>
    </row>
    <row r="26459" spans="3:3" x14ac:dyDescent="0.35">
      <c r="C26459" s="2"/>
    </row>
    <row r="26460" spans="3:3" x14ac:dyDescent="0.35">
      <c r="C26460" s="2"/>
    </row>
    <row r="26461" spans="3:3" x14ac:dyDescent="0.35">
      <c r="C26461" s="2"/>
    </row>
    <row r="26462" spans="3:3" x14ac:dyDescent="0.35">
      <c r="C26462" s="2"/>
    </row>
    <row r="26463" spans="3:3" x14ac:dyDescent="0.35">
      <c r="C26463" s="2"/>
    </row>
    <row r="26464" spans="3:3" x14ac:dyDescent="0.35">
      <c r="C26464" s="2"/>
    </row>
    <row r="26465" spans="3:3" x14ac:dyDescent="0.35">
      <c r="C26465" s="2"/>
    </row>
    <row r="26466" spans="3:3" x14ac:dyDescent="0.35">
      <c r="C26466" s="2"/>
    </row>
    <row r="26467" spans="3:3" x14ac:dyDescent="0.35">
      <c r="C26467" s="2"/>
    </row>
    <row r="26468" spans="3:3" x14ac:dyDescent="0.35">
      <c r="C26468" s="2"/>
    </row>
    <row r="26469" spans="3:3" x14ac:dyDescent="0.35">
      <c r="C26469" s="2"/>
    </row>
    <row r="26470" spans="3:3" x14ac:dyDescent="0.35">
      <c r="C26470" s="2"/>
    </row>
    <row r="26471" spans="3:3" x14ac:dyDescent="0.35">
      <c r="C26471" s="2"/>
    </row>
    <row r="26472" spans="3:3" x14ac:dyDescent="0.35">
      <c r="C26472" s="2"/>
    </row>
    <row r="26473" spans="3:3" x14ac:dyDescent="0.35">
      <c r="C26473" s="2"/>
    </row>
    <row r="26474" spans="3:3" x14ac:dyDescent="0.35">
      <c r="C26474" s="2"/>
    </row>
    <row r="26475" spans="3:3" x14ac:dyDescent="0.35">
      <c r="C26475" s="2"/>
    </row>
    <row r="26476" spans="3:3" x14ac:dyDescent="0.35">
      <c r="C26476" s="2"/>
    </row>
    <row r="26477" spans="3:3" x14ac:dyDescent="0.35">
      <c r="C26477" s="2"/>
    </row>
    <row r="26478" spans="3:3" x14ac:dyDescent="0.35">
      <c r="C26478" s="2"/>
    </row>
    <row r="26479" spans="3:3" x14ac:dyDescent="0.35">
      <c r="C26479" s="2"/>
    </row>
    <row r="26480" spans="3:3" x14ac:dyDescent="0.35">
      <c r="C26480" s="2"/>
    </row>
    <row r="26481" spans="3:3" x14ac:dyDescent="0.35">
      <c r="C26481" s="2"/>
    </row>
    <row r="26482" spans="3:3" x14ac:dyDescent="0.35">
      <c r="C26482" s="2"/>
    </row>
    <row r="26483" spans="3:3" x14ac:dyDescent="0.35">
      <c r="C26483" s="2"/>
    </row>
    <row r="26484" spans="3:3" x14ac:dyDescent="0.35">
      <c r="C26484" s="2"/>
    </row>
    <row r="26485" spans="3:3" x14ac:dyDescent="0.35">
      <c r="C26485" s="2"/>
    </row>
    <row r="26486" spans="3:3" x14ac:dyDescent="0.35">
      <c r="C26486" s="2"/>
    </row>
    <row r="26487" spans="3:3" x14ac:dyDescent="0.35">
      <c r="C26487" s="2"/>
    </row>
    <row r="26488" spans="3:3" x14ac:dyDescent="0.35">
      <c r="C26488" s="2"/>
    </row>
    <row r="26489" spans="3:3" x14ac:dyDescent="0.35">
      <c r="C26489" s="2"/>
    </row>
    <row r="26490" spans="3:3" x14ac:dyDescent="0.35">
      <c r="C26490" s="2"/>
    </row>
    <row r="26491" spans="3:3" x14ac:dyDescent="0.35">
      <c r="C26491" s="2"/>
    </row>
    <row r="26492" spans="3:3" x14ac:dyDescent="0.35">
      <c r="C26492" s="2"/>
    </row>
    <row r="26493" spans="3:3" x14ac:dyDescent="0.35">
      <c r="C26493" s="2"/>
    </row>
    <row r="26494" spans="3:3" x14ac:dyDescent="0.35">
      <c r="C26494" s="2"/>
    </row>
    <row r="26495" spans="3:3" x14ac:dyDescent="0.35">
      <c r="C26495" s="2"/>
    </row>
    <row r="26496" spans="3:3" x14ac:dyDescent="0.35">
      <c r="C26496" s="2"/>
    </row>
    <row r="26497" spans="3:3" x14ac:dyDescent="0.35">
      <c r="C26497" s="2"/>
    </row>
    <row r="26498" spans="3:3" x14ac:dyDescent="0.35">
      <c r="C26498" s="2"/>
    </row>
    <row r="26499" spans="3:3" x14ac:dyDescent="0.35">
      <c r="C26499" s="2"/>
    </row>
    <row r="26500" spans="3:3" x14ac:dyDescent="0.35">
      <c r="C26500" s="2"/>
    </row>
    <row r="26501" spans="3:3" x14ac:dyDescent="0.35">
      <c r="C26501" s="2"/>
    </row>
    <row r="26502" spans="3:3" x14ac:dyDescent="0.35">
      <c r="C26502" s="2"/>
    </row>
    <row r="26503" spans="3:3" x14ac:dyDescent="0.35">
      <c r="C26503" s="2"/>
    </row>
    <row r="26504" spans="3:3" x14ac:dyDescent="0.35">
      <c r="C26504" s="2"/>
    </row>
    <row r="26505" spans="3:3" x14ac:dyDescent="0.35">
      <c r="C26505" s="2"/>
    </row>
    <row r="26506" spans="3:3" x14ac:dyDescent="0.35">
      <c r="C26506" s="2"/>
    </row>
    <row r="26507" spans="3:3" x14ac:dyDescent="0.35">
      <c r="C26507" s="2"/>
    </row>
    <row r="26508" spans="3:3" x14ac:dyDescent="0.35">
      <c r="C26508" s="2"/>
    </row>
    <row r="26509" spans="3:3" x14ac:dyDescent="0.35">
      <c r="C26509" s="2"/>
    </row>
    <row r="26510" spans="3:3" x14ac:dyDescent="0.35">
      <c r="C26510" s="2"/>
    </row>
    <row r="26511" spans="3:3" x14ac:dyDescent="0.35">
      <c r="C26511" s="2"/>
    </row>
    <row r="26512" spans="3:3" x14ac:dyDescent="0.35">
      <c r="C26512" s="2"/>
    </row>
    <row r="26513" spans="3:3" x14ac:dyDescent="0.35">
      <c r="C26513" s="2"/>
    </row>
    <row r="26514" spans="3:3" x14ac:dyDescent="0.35">
      <c r="C26514" s="2"/>
    </row>
    <row r="26515" spans="3:3" x14ac:dyDescent="0.35">
      <c r="C26515" s="2"/>
    </row>
    <row r="26516" spans="3:3" x14ac:dyDescent="0.35">
      <c r="C26516" s="2"/>
    </row>
    <row r="26517" spans="3:3" x14ac:dyDescent="0.35">
      <c r="C26517" s="2"/>
    </row>
    <row r="26518" spans="3:3" x14ac:dyDescent="0.35">
      <c r="C26518" s="2"/>
    </row>
    <row r="26519" spans="3:3" x14ac:dyDescent="0.35">
      <c r="C26519" s="2"/>
    </row>
    <row r="26520" spans="3:3" x14ac:dyDescent="0.35">
      <c r="C26520" s="2"/>
    </row>
    <row r="26521" spans="3:3" x14ac:dyDescent="0.35">
      <c r="C26521" s="2"/>
    </row>
    <row r="26522" spans="3:3" x14ac:dyDescent="0.35">
      <c r="C26522" s="2"/>
    </row>
    <row r="26523" spans="3:3" x14ac:dyDescent="0.35">
      <c r="C26523" s="2"/>
    </row>
    <row r="26524" spans="3:3" x14ac:dyDescent="0.35">
      <c r="C26524" s="2"/>
    </row>
    <row r="26525" spans="3:3" x14ac:dyDescent="0.35">
      <c r="C26525" s="2"/>
    </row>
    <row r="26526" spans="3:3" x14ac:dyDescent="0.35">
      <c r="C26526" s="2"/>
    </row>
    <row r="26527" spans="3:3" x14ac:dyDescent="0.35">
      <c r="C26527" s="2"/>
    </row>
    <row r="26528" spans="3:3" x14ac:dyDescent="0.35">
      <c r="C26528" s="2"/>
    </row>
    <row r="26529" spans="3:3" x14ac:dyDescent="0.35">
      <c r="C26529" s="2"/>
    </row>
    <row r="26530" spans="3:3" x14ac:dyDescent="0.35">
      <c r="C26530" s="2"/>
    </row>
    <row r="26531" spans="3:3" x14ac:dyDescent="0.35">
      <c r="C26531" s="2"/>
    </row>
    <row r="26532" spans="3:3" x14ac:dyDescent="0.35">
      <c r="C26532" s="2"/>
    </row>
    <row r="26533" spans="3:3" x14ac:dyDescent="0.35">
      <c r="C26533" s="2"/>
    </row>
    <row r="26534" spans="3:3" x14ac:dyDescent="0.35">
      <c r="C26534" s="2"/>
    </row>
    <row r="26535" spans="3:3" x14ac:dyDescent="0.35">
      <c r="C26535" s="2"/>
    </row>
    <row r="26536" spans="3:3" x14ac:dyDescent="0.35">
      <c r="C26536" s="2"/>
    </row>
    <row r="26537" spans="3:3" x14ac:dyDescent="0.35">
      <c r="C26537" s="2"/>
    </row>
    <row r="26538" spans="3:3" x14ac:dyDescent="0.35">
      <c r="C26538" s="2"/>
    </row>
    <row r="26539" spans="3:3" x14ac:dyDescent="0.35">
      <c r="C26539" s="2"/>
    </row>
    <row r="26540" spans="3:3" x14ac:dyDescent="0.35">
      <c r="C26540" s="2"/>
    </row>
    <row r="26541" spans="3:3" x14ac:dyDescent="0.35">
      <c r="C26541" s="2"/>
    </row>
    <row r="26542" spans="3:3" x14ac:dyDescent="0.35">
      <c r="C26542" s="2"/>
    </row>
    <row r="26543" spans="3:3" x14ac:dyDescent="0.35">
      <c r="C26543" s="2"/>
    </row>
    <row r="26544" spans="3:3" x14ac:dyDescent="0.35">
      <c r="C26544" s="2"/>
    </row>
    <row r="26545" spans="3:3" x14ac:dyDescent="0.35">
      <c r="C26545" s="2"/>
    </row>
    <row r="26546" spans="3:3" x14ac:dyDescent="0.35">
      <c r="C26546" s="2"/>
    </row>
    <row r="26547" spans="3:3" x14ac:dyDescent="0.35">
      <c r="C26547" s="2"/>
    </row>
    <row r="26548" spans="3:3" x14ac:dyDescent="0.35">
      <c r="C26548" s="2"/>
    </row>
    <row r="26549" spans="3:3" x14ac:dyDescent="0.35">
      <c r="C26549" s="2"/>
    </row>
    <row r="26550" spans="3:3" x14ac:dyDescent="0.35">
      <c r="C26550" s="2"/>
    </row>
    <row r="26551" spans="3:3" x14ac:dyDescent="0.35">
      <c r="C26551" s="2"/>
    </row>
    <row r="26552" spans="3:3" x14ac:dyDescent="0.35">
      <c r="C26552" s="2"/>
    </row>
    <row r="26553" spans="3:3" x14ac:dyDescent="0.35">
      <c r="C26553" s="2"/>
    </row>
    <row r="26554" spans="3:3" x14ac:dyDescent="0.35">
      <c r="C26554" s="2"/>
    </row>
    <row r="26555" spans="3:3" x14ac:dyDescent="0.35">
      <c r="C26555" s="2"/>
    </row>
    <row r="26556" spans="3:3" x14ac:dyDescent="0.35">
      <c r="C26556" s="2"/>
    </row>
    <row r="26557" spans="3:3" x14ac:dyDescent="0.35">
      <c r="C26557" s="2"/>
    </row>
    <row r="26558" spans="3:3" x14ac:dyDescent="0.35">
      <c r="C26558" s="2"/>
    </row>
    <row r="26559" spans="3:3" x14ac:dyDescent="0.35">
      <c r="C26559" s="2"/>
    </row>
    <row r="26560" spans="3:3" x14ac:dyDescent="0.35">
      <c r="C26560" s="2"/>
    </row>
    <row r="26561" spans="3:3" x14ac:dyDescent="0.35">
      <c r="C26561" s="2"/>
    </row>
    <row r="26562" spans="3:3" x14ac:dyDescent="0.35">
      <c r="C26562" s="2"/>
    </row>
    <row r="26563" spans="3:3" x14ac:dyDescent="0.35">
      <c r="C26563" s="2"/>
    </row>
    <row r="26564" spans="3:3" x14ac:dyDescent="0.35">
      <c r="C26564" s="2"/>
    </row>
    <row r="26565" spans="3:3" x14ac:dyDescent="0.35">
      <c r="C26565" s="2"/>
    </row>
    <row r="26566" spans="3:3" x14ac:dyDescent="0.35">
      <c r="C26566" s="2"/>
    </row>
    <row r="26567" spans="3:3" x14ac:dyDescent="0.35">
      <c r="C26567" s="2"/>
    </row>
    <row r="26568" spans="3:3" x14ac:dyDescent="0.35">
      <c r="C26568" s="2"/>
    </row>
    <row r="26569" spans="3:3" x14ac:dyDescent="0.35">
      <c r="C26569" s="2"/>
    </row>
    <row r="26570" spans="3:3" x14ac:dyDescent="0.35">
      <c r="C26570" s="2"/>
    </row>
    <row r="26571" spans="3:3" x14ac:dyDescent="0.35">
      <c r="C26571" s="2"/>
    </row>
    <row r="26572" spans="3:3" x14ac:dyDescent="0.35">
      <c r="C26572" s="2"/>
    </row>
    <row r="26573" spans="3:3" x14ac:dyDescent="0.35">
      <c r="C26573" s="2"/>
    </row>
    <row r="26574" spans="3:3" x14ac:dyDescent="0.35">
      <c r="C26574" s="2"/>
    </row>
    <row r="26575" spans="3:3" x14ac:dyDescent="0.35">
      <c r="C26575" s="2"/>
    </row>
    <row r="26576" spans="3:3" x14ac:dyDescent="0.35">
      <c r="C26576" s="2"/>
    </row>
    <row r="26577" spans="3:3" x14ac:dyDescent="0.35">
      <c r="C26577" s="2"/>
    </row>
    <row r="26578" spans="3:3" x14ac:dyDescent="0.35">
      <c r="C26578" s="2"/>
    </row>
    <row r="26579" spans="3:3" x14ac:dyDescent="0.35">
      <c r="C26579" s="2"/>
    </row>
    <row r="26580" spans="3:3" x14ac:dyDescent="0.35">
      <c r="C26580" s="2"/>
    </row>
    <row r="26581" spans="3:3" x14ac:dyDescent="0.35">
      <c r="C26581" s="2"/>
    </row>
    <row r="26582" spans="3:3" x14ac:dyDescent="0.35">
      <c r="C26582" s="2"/>
    </row>
    <row r="26583" spans="3:3" x14ac:dyDescent="0.35">
      <c r="C26583" s="2"/>
    </row>
    <row r="26584" spans="3:3" x14ac:dyDescent="0.35">
      <c r="C26584" s="2"/>
    </row>
    <row r="26585" spans="3:3" x14ac:dyDescent="0.35">
      <c r="C26585" s="2"/>
    </row>
    <row r="26586" spans="3:3" x14ac:dyDescent="0.35">
      <c r="C26586" s="2"/>
    </row>
    <row r="26587" spans="3:3" x14ac:dyDescent="0.35">
      <c r="C26587" s="2"/>
    </row>
    <row r="26588" spans="3:3" x14ac:dyDescent="0.35">
      <c r="C26588" s="2"/>
    </row>
    <row r="26589" spans="3:3" x14ac:dyDescent="0.35">
      <c r="C26589" s="2"/>
    </row>
    <row r="26590" spans="3:3" x14ac:dyDescent="0.35">
      <c r="C26590" s="2"/>
    </row>
    <row r="26591" spans="3:3" x14ac:dyDescent="0.35">
      <c r="C26591" s="2"/>
    </row>
    <row r="26592" spans="3:3" x14ac:dyDescent="0.35">
      <c r="C26592" s="2"/>
    </row>
    <row r="26593" spans="3:3" x14ac:dyDescent="0.35">
      <c r="C26593" s="2"/>
    </row>
    <row r="26594" spans="3:3" x14ac:dyDescent="0.35">
      <c r="C26594" s="2"/>
    </row>
    <row r="26595" spans="3:3" x14ac:dyDescent="0.35">
      <c r="C26595" s="2"/>
    </row>
    <row r="26596" spans="3:3" x14ac:dyDescent="0.35">
      <c r="C26596" s="2"/>
    </row>
    <row r="26597" spans="3:3" x14ac:dyDescent="0.35">
      <c r="C26597" s="2"/>
    </row>
    <row r="26598" spans="3:3" x14ac:dyDescent="0.35">
      <c r="C26598" s="2"/>
    </row>
    <row r="26599" spans="3:3" x14ac:dyDescent="0.35">
      <c r="C26599" s="2"/>
    </row>
    <row r="26600" spans="3:3" x14ac:dyDescent="0.35">
      <c r="C26600" s="2"/>
    </row>
    <row r="26601" spans="3:3" x14ac:dyDescent="0.35">
      <c r="C26601" s="2"/>
    </row>
    <row r="26602" spans="3:3" x14ac:dyDescent="0.35">
      <c r="C26602" s="2"/>
    </row>
    <row r="26603" spans="3:3" x14ac:dyDescent="0.35">
      <c r="C26603" s="2"/>
    </row>
    <row r="26604" spans="3:3" x14ac:dyDescent="0.35">
      <c r="C26604" s="2"/>
    </row>
    <row r="26605" spans="3:3" x14ac:dyDescent="0.35">
      <c r="C26605" s="2"/>
    </row>
    <row r="26606" spans="3:3" x14ac:dyDescent="0.35">
      <c r="C26606" s="2"/>
    </row>
    <row r="26607" spans="3:3" x14ac:dyDescent="0.35">
      <c r="C26607" s="2"/>
    </row>
    <row r="26608" spans="3:3" x14ac:dyDescent="0.35">
      <c r="C26608" s="2"/>
    </row>
    <row r="26609" spans="3:3" x14ac:dyDescent="0.35">
      <c r="C26609" s="2"/>
    </row>
    <row r="26610" spans="3:3" x14ac:dyDescent="0.35">
      <c r="C26610" s="2"/>
    </row>
    <row r="26611" spans="3:3" x14ac:dyDescent="0.35">
      <c r="C26611" s="2"/>
    </row>
    <row r="26612" spans="3:3" x14ac:dyDescent="0.35">
      <c r="C26612" s="2"/>
    </row>
    <row r="26613" spans="3:3" x14ac:dyDescent="0.35">
      <c r="C26613" s="2"/>
    </row>
    <row r="26614" spans="3:3" x14ac:dyDescent="0.35">
      <c r="C26614" s="2"/>
    </row>
    <row r="26615" spans="3:3" x14ac:dyDescent="0.35">
      <c r="C26615" s="2"/>
    </row>
    <row r="26616" spans="3:3" x14ac:dyDescent="0.35">
      <c r="C26616" s="2"/>
    </row>
    <row r="26617" spans="3:3" x14ac:dyDescent="0.35">
      <c r="C26617" s="2"/>
    </row>
    <row r="26618" spans="3:3" x14ac:dyDescent="0.35">
      <c r="C26618" s="2"/>
    </row>
    <row r="26619" spans="3:3" x14ac:dyDescent="0.35">
      <c r="C26619" s="2"/>
    </row>
    <row r="26620" spans="3:3" x14ac:dyDescent="0.35">
      <c r="C26620" s="2"/>
    </row>
    <row r="26621" spans="3:3" x14ac:dyDescent="0.35">
      <c r="C26621" s="2"/>
    </row>
    <row r="26622" spans="3:3" x14ac:dyDescent="0.35">
      <c r="C26622" s="2"/>
    </row>
    <row r="26623" spans="3:3" x14ac:dyDescent="0.35">
      <c r="C26623" s="2"/>
    </row>
    <row r="26624" spans="3:3" x14ac:dyDescent="0.35">
      <c r="C26624" s="2"/>
    </row>
    <row r="26625" spans="3:3" x14ac:dyDescent="0.35">
      <c r="C26625" s="2"/>
    </row>
    <row r="26626" spans="3:3" x14ac:dyDescent="0.35">
      <c r="C26626" s="2"/>
    </row>
    <row r="26627" spans="3:3" x14ac:dyDescent="0.35">
      <c r="C26627" s="2"/>
    </row>
    <row r="26628" spans="3:3" x14ac:dyDescent="0.35">
      <c r="C26628" s="2"/>
    </row>
    <row r="26629" spans="3:3" x14ac:dyDescent="0.35">
      <c r="C26629" s="2"/>
    </row>
    <row r="26630" spans="3:3" x14ac:dyDescent="0.35">
      <c r="C26630" s="2"/>
    </row>
    <row r="26631" spans="3:3" x14ac:dyDescent="0.35">
      <c r="C26631" s="2"/>
    </row>
    <row r="26632" spans="3:3" x14ac:dyDescent="0.35">
      <c r="C26632" s="2"/>
    </row>
    <row r="26633" spans="3:3" x14ac:dyDescent="0.35">
      <c r="C26633" s="2"/>
    </row>
    <row r="26634" spans="3:3" x14ac:dyDescent="0.35">
      <c r="C26634" s="2"/>
    </row>
    <row r="26635" spans="3:3" x14ac:dyDescent="0.35">
      <c r="C26635" s="2"/>
    </row>
    <row r="26636" spans="3:3" x14ac:dyDescent="0.35">
      <c r="C26636" s="2"/>
    </row>
    <row r="26637" spans="3:3" x14ac:dyDescent="0.35">
      <c r="C26637" s="2"/>
    </row>
    <row r="26638" spans="3:3" x14ac:dyDescent="0.35">
      <c r="C26638" s="2"/>
    </row>
    <row r="26639" spans="3:3" x14ac:dyDescent="0.35">
      <c r="C26639" s="2"/>
    </row>
    <row r="26640" spans="3:3" x14ac:dyDescent="0.35">
      <c r="C26640" s="2"/>
    </row>
    <row r="26641" spans="3:3" x14ac:dyDescent="0.35">
      <c r="C26641" s="2"/>
    </row>
    <row r="26642" spans="3:3" x14ac:dyDescent="0.35">
      <c r="C26642" s="2"/>
    </row>
    <row r="26643" spans="3:3" x14ac:dyDescent="0.35">
      <c r="C26643" s="2"/>
    </row>
    <row r="26644" spans="3:3" x14ac:dyDescent="0.35">
      <c r="C26644" s="2"/>
    </row>
    <row r="26645" spans="3:3" x14ac:dyDescent="0.35">
      <c r="C26645" s="2"/>
    </row>
    <row r="26646" spans="3:3" x14ac:dyDescent="0.35">
      <c r="C26646" s="2"/>
    </row>
    <row r="26647" spans="3:3" x14ac:dyDescent="0.35">
      <c r="C26647" s="2"/>
    </row>
    <row r="26648" spans="3:3" x14ac:dyDescent="0.35">
      <c r="C26648" s="2"/>
    </row>
    <row r="26649" spans="3:3" x14ac:dyDescent="0.35">
      <c r="C26649" s="2"/>
    </row>
    <row r="26650" spans="3:3" x14ac:dyDescent="0.35">
      <c r="C26650" s="2"/>
    </row>
    <row r="26651" spans="3:3" x14ac:dyDescent="0.35">
      <c r="C26651" s="2"/>
    </row>
    <row r="26652" spans="3:3" x14ac:dyDescent="0.35">
      <c r="C26652" s="2"/>
    </row>
    <row r="26653" spans="3:3" x14ac:dyDescent="0.35">
      <c r="C26653" s="2"/>
    </row>
    <row r="26654" spans="3:3" x14ac:dyDescent="0.35">
      <c r="C26654" s="2"/>
    </row>
    <row r="26655" spans="3:3" x14ac:dyDescent="0.35">
      <c r="C26655" s="2"/>
    </row>
    <row r="26656" spans="3:3" x14ac:dyDescent="0.35">
      <c r="C26656" s="2"/>
    </row>
    <row r="26657" spans="3:3" x14ac:dyDescent="0.35">
      <c r="C26657" s="2"/>
    </row>
    <row r="26658" spans="3:3" x14ac:dyDescent="0.35">
      <c r="C26658" s="2"/>
    </row>
    <row r="26659" spans="3:3" x14ac:dyDescent="0.35">
      <c r="C26659" s="2"/>
    </row>
    <row r="26660" spans="3:3" x14ac:dyDescent="0.35">
      <c r="C26660" s="2"/>
    </row>
    <row r="26661" spans="3:3" x14ac:dyDescent="0.35">
      <c r="C26661" s="2"/>
    </row>
    <row r="26662" spans="3:3" x14ac:dyDescent="0.35">
      <c r="C26662" s="2"/>
    </row>
    <row r="26663" spans="3:3" x14ac:dyDescent="0.35">
      <c r="C26663" s="2"/>
    </row>
    <row r="26664" spans="3:3" x14ac:dyDescent="0.35">
      <c r="C26664" s="2"/>
    </row>
    <row r="26665" spans="3:3" x14ac:dyDescent="0.35">
      <c r="C26665" s="2"/>
    </row>
    <row r="26666" spans="3:3" x14ac:dyDescent="0.35">
      <c r="C26666" s="2"/>
    </row>
    <row r="26667" spans="3:3" x14ac:dyDescent="0.35">
      <c r="C26667" s="2"/>
    </row>
    <row r="26668" spans="3:3" x14ac:dyDescent="0.35">
      <c r="C26668" s="2"/>
    </row>
    <row r="26669" spans="3:3" x14ac:dyDescent="0.35">
      <c r="C26669" s="2"/>
    </row>
    <row r="26670" spans="3:3" x14ac:dyDescent="0.35">
      <c r="C26670" s="2"/>
    </row>
    <row r="26671" spans="3:3" x14ac:dyDescent="0.35">
      <c r="C26671" s="2"/>
    </row>
    <row r="26672" spans="3:3" x14ac:dyDescent="0.35">
      <c r="C26672" s="2"/>
    </row>
    <row r="26673" spans="3:3" x14ac:dyDescent="0.35">
      <c r="C26673" s="2"/>
    </row>
    <row r="26674" spans="3:3" x14ac:dyDescent="0.35">
      <c r="C26674" s="2"/>
    </row>
    <row r="26675" spans="3:3" x14ac:dyDescent="0.35">
      <c r="C26675" s="2"/>
    </row>
    <row r="26676" spans="3:3" x14ac:dyDescent="0.35">
      <c r="C26676" s="2"/>
    </row>
    <row r="26677" spans="3:3" x14ac:dyDescent="0.35">
      <c r="C26677" s="2"/>
    </row>
    <row r="26678" spans="3:3" x14ac:dyDescent="0.35">
      <c r="C26678" s="2"/>
    </row>
    <row r="26679" spans="3:3" x14ac:dyDescent="0.35">
      <c r="C26679" s="2"/>
    </row>
    <row r="26680" spans="3:3" x14ac:dyDescent="0.35">
      <c r="C26680" s="2"/>
    </row>
    <row r="26681" spans="3:3" x14ac:dyDescent="0.35">
      <c r="C26681" s="2"/>
    </row>
    <row r="26682" spans="3:3" x14ac:dyDescent="0.35">
      <c r="C26682" s="2"/>
    </row>
    <row r="26683" spans="3:3" x14ac:dyDescent="0.35">
      <c r="C26683" s="2"/>
    </row>
    <row r="26684" spans="3:3" x14ac:dyDescent="0.35">
      <c r="C26684" s="2"/>
    </row>
    <row r="26685" spans="3:3" x14ac:dyDescent="0.35">
      <c r="C26685" s="2"/>
    </row>
    <row r="26686" spans="3:3" x14ac:dyDescent="0.35">
      <c r="C26686" s="2"/>
    </row>
    <row r="26687" spans="3:3" x14ac:dyDescent="0.35">
      <c r="C26687" s="2"/>
    </row>
    <row r="26688" spans="3:3" x14ac:dyDescent="0.35">
      <c r="C26688" s="2"/>
    </row>
    <row r="26689" spans="3:3" x14ac:dyDescent="0.35">
      <c r="C26689" s="2"/>
    </row>
    <row r="26690" spans="3:3" x14ac:dyDescent="0.35">
      <c r="C26690" s="2"/>
    </row>
    <row r="26691" spans="3:3" x14ac:dyDescent="0.35">
      <c r="C26691" s="2"/>
    </row>
    <row r="26692" spans="3:3" x14ac:dyDescent="0.35">
      <c r="C26692" s="2"/>
    </row>
    <row r="26693" spans="3:3" x14ac:dyDescent="0.35">
      <c r="C26693" s="2"/>
    </row>
    <row r="26694" spans="3:3" x14ac:dyDescent="0.35">
      <c r="C26694" s="2"/>
    </row>
    <row r="26695" spans="3:3" x14ac:dyDescent="0.35">
      <c r="C26695" s="2"/>
    </row>
    <row r="26696" spans="3:3" x14ac:dyDescent="0.35">
      <c r="C26696" s="2"/>
    </row>
    <row r="26697" spans="3:3" x14ac:dyDescent="0.35">
      <c r="C26697" s="2"/>
    </row>
    <row r="26698" spans="3:3" x14ac:dyDescent="0.35">
      <c r="C26698" s="2"/>
    </row>
    <row r="26699" spans="3:3" x14ac:dyDescent="0.35">
      <c r="C26699" s="2"/>
    </row>
    <row r="26700" spans="3:3" x14ac:dyDescent="0.35">
      <c r="C26700" s="2"/>
    </row>
    <row r="26701" spans="3:3" x14ac:dyDescent="0.35">
      <c r="C26701" s="2"/>
    </row>
    <row r="26702" spans="3:3" x14ac:dyDescent="0.35">
      <c r="C26702" s="2"/>
    </row>
    <row r="26703" spans="3:3" x14ac:dyDescent="0.35">
      <c r="C26703" s="2"/>
    </row>
    <row r="26704" spans="3:3" x14ac:dyDescent="0.35">
      <c r="C26704" s="2"/>
    </row>
    <row r="26705" spans="3:3" x14ac:dyDescent="0.35">
      <c r="C26705" s="2"/>
    </row>
    <row r="26706" spans="3:3" x14ac:dyDescent="0.35">
      <c r="C26706" s="2"/>
    </row>
    <row r="26707" spans="3:3" x14ac:dyDescent="0.35">
      <c r="C26707" s="2"/>
    </row>
    <row r="26708" spans="3:3" x14ac:dyDescent="0.35">
      <c r="C26708" s="2"/>
    </row>
    <row r="26709" spans="3:3" x14ac:dyDescent="0.35">
      <c r="C26709" s="2"/>
    </row>
    <row r="26710" spans="3:3" x14ac:dyDescent="0.35">
      <c r="C26710" s="2"/>
    </row>
    <row r="26711" spans="3:3" x14ac:dyDescent="0.35">
      <c r="C26711" s="2"/>
    </row>
    <row r="26712" spans="3:3" x14ac:dyDescent="0.35">
      <c r="C26712" s="2"/>
    </row>
    <row r="26713" spans="3:3" x14ac:dyDescent="0.35">
      <c r="C26713" s="2"/>
    </row>
    <row r="26714" spans="3:3" x14ac:dyDescent="0.35">
      <c r="C26714" s="2"/>
    </row>
    <row r="26715" spans="3:3" x14ac:dyDescent="0.35">
      <c r="C26715" s="2"/>
    </row>
    <row r="26716" spans="3:3" x14ac:dyDescent="0.35">
      <c r="C26716" s="2"/>
    </row>
    <row r="26717" spans="3:3" x14ac:dyDescent="0.35">
      <c r="C26717" s="2"/>
    </row>
    <row r="26718" spans="3:3" x14ac:dyDescent="0.35">
      <c r="C26718" s="2"/>
    </row>
    <row r="26719" spans="3:3" x14ac:dyDescent="0.35">
      <c r="C26719" s="2"/>
    </row>
    <row r="26720" spans="3:3" x14ac:dyDescent="0.35">
      <c r="C26720" s="2"/>
    </row>
    <row r="26721" spans="3:3" x14ac:dyDescent="0.35">
      <c r="C26721" s="2"/>
    </row>
    <row r="26722" spans="3:3" x14ac:dyDescent="0.35">
      <c r="C26722" s="2"/>
    </row>
    <row r="26723" spans="3:3" x14ac:dyDescent="0.35">
      <c r="C26723" s="2"/>
    </row>
    <row r="26724" spans="3:3" x14ac:dyDescent="0.35">
      <c r="C26724" s="2"/>
    </row>
    <row r="26725" spans="3:3" x14ac:dyDescent="0.35">
      <c r="C26725" s="2"/>
    </row>
    <row r="26726" spans="3:3" x14ac:dyDescent="0.35">
      <c r="C26726" s="2"/>
    </row>
    <row r="26727" spans="3:3" x14ac:dyDescent="0.35">
      <c r="C26727" s="2"/>
    </row>
    <row r="26728" spans="3:3" x14ac:dyDescent="0.35">
      <c r="C26728" s="2"/>
    </row>
    <row r="26729" spans="3:3" x14ac:dyDescent="0.35">
      <c r="C26729" s="2"/>
    </row>
    <row r="26730" spans="3:3" x14ac:dyDescent="0.35">
      <c r="C26730" s="2"/>
    </row>
    <row r="26731" spans="3:3" x14ac:dyDescent="0.35">
      <c r="C26731" s="2"/>
    </row>
    <row r="26732" spans="3:3" x14ac:dyDescent="0.35">
      <c r="C26732" s="2"/>
    </row>
    <row r="26733" spans="3:3" x14ac:dyDescent="0.35">
      <c r="C26733" s="2"/>
    </row>
    <row r="26734" spans="3:3" x14ac:dyDescent="0.35">
      <c r="C26734" s="2"/>
    </row>
    <row r="26735" spans="3:3" x14ac:dyDescent="0.35">
      <c r="C26735" s="2"/>
    </row>
    <row r="26736" spans="3:3" x14ac:dyDescent="0.35">
      <c r="C26736" s="2"/>
    </row>
    <row r="26737" spans="3:3" x14ac:dyDescent="0.35">
      <c r="C26737" s="2"/>
    </row>
    <row r="26738" spans="3:3" x14ac:dyDescent="0.35">
      <c r="C26738" s="2"/>
    </row>
    <row r="26739" spans="3:3" x14ac:dyDescent="0.35">
      <c r="C26739" s="2"/>
    </row>
    <row r="26740" spans="3:3" x14ac:dyDescent="0.35">
      <c r="C26740" s="2"/>
    </row>
    <row r="26741" spans="3:3" x14ac:dyDescent="0.35">
      <c r="C26741" s="2"/>
    </row>
    <row r="26742" spans="3:3" x14ac:dyDescent="0.35">
      <c r="C26742" s="2"/>
    </row>
    <row r="26743" spans="3:3" x14ac:dyDescent="0.35">
      <c r="C26743" s="2"/>
    </row>
    <row r="26744" spans="3:3" x14ac:dyDescent="0.35">
      <c r="C26744" s="2"/>
    </row>
    <row r="26745" spans="3:3" x14ac:dyDescent="0.35">
      <c r="C26745" s="2"/>
    </row>
    <row r="26746" spans="3:3" x14ac:dyDescent="0.35">
      <c r="C26746" s="2"/>
    </row>
    <row r="26747" spans="3:3" x14ac:dyDescent="0.35">
      <c r="C26747" s="2"/>
    </row>
    <row r="26748" spans="3:3" x14ac:dyDescent="0.35">
      <c r="C26748" s="2"/>
    </row>
    <row r="26749" spans="3:3" x14ac:dyDescent="0.35">
      <c r="C26749" s="2"/>
    </row>
    <row r="26750" spans="3:3" x14ac:dyDescent="0.35">
      <c r="C26750" s="2"/>
    </row>
    <row r="26751" spans="3:3" x14ac:dyDescent="0.35">
      <c r="C26751" s="2"/>
    </row>
    <row r="26752" spans="3:3" x14ac:dyDescent="0.35">
      <c r="C26752" s="2"/>
    </row>
    <row r="26753" spans="3:3" x14ac:dyDescent="0.35">
      <c r="C26753" s="2"/>
    </row>
    <row r="26754" spans="3:3" x14ac:dyDescent="0.35">
      <c r="C26754" s="2"/>
    </row>
    <row r="26755" spans="3:3" x14ac:dyDescent="0.35">
      <c r="C26755" s="2"/>
    </row>
    <row r="26756" spans="3:3" x14ac:dyDescent="0.35">
      <c r="C26756" s="2"/>
    </row>
    <row r="26757" spans="3:3" x14ac:dyDescent="0.35">
      <c r="C26757" s="2"/>
    </row>
    <row r="26758" spans="3:3" x14ac:dyDescent="0.35">
      <c r="C26758" s="2"/>
    </row>
    <row r="26759" spans="3:3" x14ac:dyDescent="0.35">
      <c r="C26759" s="2"/>
    </row>
    <row r="26760" spans="3:3" x14ac:dyDescent="0.35">
      <c r="C26760" s="2"/>
    </row>
    <row r="26761" spans="3:3" x14ac:dyDescent="0.35">
      <c r="C26761" s="2"/>
    </row>
    <row r="26762" spans="3:3" x14ac:dyDescent="0.35">
      <c r="C26762" s="2"/>
    </row>
    <row r="26763" spans="3:3" x14ac:dyDescent="0.35">
      <c r="C26763" s="2"/>
    </row>
    <row r="26764" spans="3:3" x14ac:dyDescent="0.35">
      <c r="C26764" s="2"/>
    </row>
    <row r="26765" spans="3:3" x14ac:dyDescent="0.35">
      <c r="C26765" s="2"/>
    </row>
    <row r="26766" spans="3:3" x14ac:dyDescent="0.35">
      <c r="C26766" s="2"/>
    </row>
    <row r="26767" spans="3:3" x14ac:dyDescent="0.35">
      <c r="C26767" s="2"/>
    </row>
    <row r="26768" spans="3:3" x14ac:dyDescent="0.35">
      <c r="C26768" s="2"/>
    </row>
    <row r="26769" spans="3:3" x14ac:dyDescent="0.35">
      <c r="C26769" s="2"/>
    </row>
    <row r="26770" spans="3:3" x14ac:dyDescent="0.35">
      <c r="C26770" s="2"/>
    </row>
    <row r="26771" spans="3:3" x14ac:dyDescent="0.35">
      <c r="C26771" s="2"/>
    </row>
    <row r="26772" spans="3:3" x14ac:dyDescent="0.35">
      <c r="C26772" s="2"/>
    </row>
    <row r="26773" spans="3:3" x14ac:dyDescent="0.35">
      <c r="C26773" s="2"/>
    </row>
    <row r="26774" spans="3:3" x14ac:dyDescent="0.35">
      <c r="C26774" s="2"/>
    </row>
    <row r="26775" spans="3:3" x14ac:dyDescent="0.35">
      <c r="C26775" s="2"/>
    </row>
    <row r="26776" spans="3:3" x14ac:dyDescent="0.35">
      <c r="C26776" s="2"/>
    </row>
    <row r="26777" spans="3:3" x14ac:dyDescent="0.35">
      <c r="C26777" s="2"/>
    </row>
    <row r="26778" spans="3:3" x14ac:dyDescent="0.35">
      <c r="C26778" s="2"/>
    </row>
    <row r="26779" spans="3:3" x14ac:dyDescent="0.35">
      <c r="C26779" s="2"/>
    </row>
    <row r="26780" spans="3:3" x14ac:dyDescent="0.35">
      <c r="C26780" s="2"/>
    </row>
    <row r="26781" spans="3:3" x14ac:dyDescent="0.35">
      <c r="C26781" s="2"/>
    </row>
    <row r="26782" spans="3:3" x14ac:dyDescent="0.35">
      <c r="C26782" s="2"/>
    </row>
    <row r="26783" spans="3:3" x14ac:dyDescent="0.35">
      <c r="C26783" s="2"/>
    </row>
    <row r="26784" spans="3:3" x14ac:dyDescent="0.35">
      <c r="C26784" s="2"/>
    </row>
    <row r="26785" spans="3:3" x14ac:dyDescent="0.35">
      <c r="C26785" s="2"/>
    </row>
    <row r="26786" spans="3:3" x14ac:dyDescent="0.35">
      <c r="C26786" s="2"/>
    </row>
    <row r="26787" spans="3:3" x14ac:dyDescent="0.35">
      <c r="C26787" s="2"/>
    </row>
    <row r="26788" spans="3:3" x14ac:dyDescent="0.35">
      <c r="C26788" s="2"/>
    </row>
    <row r="26789" spans="3:3" x14ac:dyDescent="0.35">
      <c r="C26789" s="2"/>
    </row>
    <row r="26790" spans="3:3" x14ac:dyDescent="0.35">
      <c r="C26790" s="2"/>
    </row>
    <row r="26791" spans="3:3" x14ac:dyDescent="0.35">
      <c r="C26791" s="2"/>
    </row>
    <row r="26792" spans="3:3" x14ac:dyDescent="0.35">
      <c r="C26792" s="2"/>
    </row>
    <row r="26793" spans="3:3" x14ac:dyDescent="0.35">
      <c r="C26793" s="2"/>
    </row>
    <row r="26794" spans="3:3" x14ac:dyDescent="0.35">
      <c r="C26794" s="2"/>
    </row>
    <row r="26795" spans="3:3" x14ac:dyDescent="0.35">
      <c r="C26795" s="2"/>
    </row>
    <row r="26796" spans="3:3" x14ac:dyDescent="0.35">
      <c r="C26796" s="2"/>
    </row>
    <row r="26797" spans="3:3" x14ac:dyDescent="0.35">
      <c r="C26797" s="2"/>
    </row>
    <row r="26798" spans="3:3" x14ac:dyDescent="0.35">
      <c r="C26798" s="2"/>
    </row>
    <row r="26799" spans="3:3" x14ac:dyDescent="0.35">
      <c r="C26799" s="2"/>
    </row>
    <row r="26800" spans="3:3" x14ac:dyDescent="0.35">
      <c r="C26800" s="2"/>
    </row>
    <row r="26801" spans="3:3" x14ac:dyDescent="0.35">
      <c r="C26801" s="2"/>
    </row>
    <row r="26802" spans="3:3" x14ac:dyDescent="0.35">
      <c r="C26802" s="2"/>
    </row>
    <row r="26803" spans="3:3" x14ac:dyDescent="0.35">
      <c r="C26803" s="2"/>
    </row>
    <row r="26804" spans="3:3" x14ac:dyDescent="0.35">
      <c r="C26804" s="2"/>
    </row>
    <row r="26805" spans="3:3" x14ac:dyDescent="0.35">
      <c r="C26805" s="2"/>
    </row>
    <row r="26806" spans="3:3" x14ac:dyDescent="0.35">
      <c r="C26806" s="2"/>
    </row>
    <row r="26807" spans="3:3" x14ac:dyDescent="0.35">
      <c r="C26807" s="2"/>
    </row>
    <row r="26808" spans="3:3" x14ac:dyDescent="0.35">
      <c r="C26808" s="2"/>
    </row>
    <row r="26809" spans="3:3" x14ac:dyDescent="0.35">
      <c r="C26809" s="2"/>
    </row>
    <row r="26810" spans="3:3" x14ac:dyDescent="0.35">
      <c r="C26810" s="2"/>
    </row>
    <row r="26811" spans="3:3" x14ac:dyDescent="0.35">
      <c r="C26811" s="2"/>
    </row>
    <row r="26812" spans="3:3" x14ac:dyDescent="0.35">
      <c r="C26812" s="2"/>
    </row>
    <row r="26813" spans="3:3" x14ac:dyDescent="0.35">
      <c r="C26813" s="2"/>
    </row>
    <row r="26814" spans="3:3" x14ac:dyDescent="0.35">
      <c r="C26814" s="2"/>
    </row>
    <row r="26815" spans="3:3" x14ac:dyDescent="0.35">
      <c r="C26815" s="2"/>
    </row>
    <row r="26816" spans="3:3" x14ac:dyDescent="0.35">
      <c r="C26816" s="2"/>
    </row>
    <row r="26817" spans="3:3" x14ac:dyDescent="0.35">
      <c r="C26817" s="2"/>
    </row>
    <row r="26818" spans="3:3" x14ac:dyDescent="0.35">
      <c r="C26818" s="2"/>
    </row>
    <row r="26819" spans="3:3" x14ac:dyDescent="0.35">
      <c r="C26819" s="2"/>
    </row>
    <row r="26820" spans="3:3" x14ac:dyDescent="0.35">
      <c r="C26820" s="2"/>
    </row>
    <row r="26821" spans="3:3" x14ac:dyDescent="0.35">
      <c r="C26821" s="2"/>
    </row>
    <row r="26822" spans="3:3" x14ac:dyDescent="0.35">
      <c r="C26822" s="2"/>
    </row>
    <row r="26823" spans="3:3" x14ac:dyDescent="0.35">
      <c r="C26823" s="2"/>
    </row>
    <row r="26824" spans="3:3" x14ac:dyDescent="0.35">
      <c r="C26824" s="2"/>
    </row>
    <row r="26825" spans="3:3" x14ac:dyDescent="0.35">
      <c r="C26825" s="2"/>
    </row>
    <row r="26826" spans="3:3" x14ac:dyDescent="0.35">
      <c r="C26826" s="2"/>
    </row>
    <row r="26827" spans="3:3" x14ac:dyDescent="0.35">
      <c r="C26827" s="2"/>
    </row>
    <row r="26828" spans="3:3" x14ac:dyDescent="0.35">
      <c r="C26828" s="2"/>
    </row>
    <row r="26829" spans="3:3" x14ac:dyDescent="0.35">
      <c r="C26829" s="2"/>
    </row>
    <row r="26830" spans="3:3" x14ac:dyDescent="0.35">
      <c r="C26830" s="2"/>
    </row>
    <row r="26831" spans="3:3" x14ac:dyDescent="0.35">
      <c r="C26831" s="2"/>
    </row>
    <row r="26832" spans="3:3" x14ac:dyDescent="0.35">
      <c r="C26832" s="2"/>
    </row>
    <row r="26833" spans="3:3" x14ac:dyDescent="0.35">
      <c r="C26833" s="2"/>
    </row>
    <row r="26834" spans="3:3" x14ac:dyDescent="0.35">
      <c r="C26834" s="2"/>
    </row>
    <row r="26835" spans="3:3" x14ac:dyDescent="0.35">
      <c r="C26835" s="2"/>
    </row>
    <row r="26836" spans="3:3" x14ac:dyDescent="0.35">
      <c r="C26836" s="2"/>
    </row>
    <row r="26837" spans="3:3" x14ac:dyDescent="0.35">
      <c r="C26837" s="2"/>
    </row>
    <row r="26838" spans="3:3" x14ac:dyDescent="0.35">
      <c r="C26838" s="2"/>
    </row>
    <row r="26839" spans="3:3" x14ac:dyDescent="0.35">
      <c r="C26839" s="2"/>
    </row>
    <row r="26840" spans="3:3" x14ac:dyDescent="0.35">
      <c r="C26840" s="2"/>
    </row>
    <row r="26841" spans="3:3" x14ac:dyDescent="0.35">
      <c r="C26841" s="2"/>
    </row>
    <row r="26842" spans="3:3" x14ac:dyDescent="0.35">
      <c r="C26842" s="2"/>
    </row>
    <row r="26843" spans="3:3" x14ac:dyDescent="0.35">
      <c r="C26843" s="2"/>
    </row>
    <row r="26844" spans="3:3" x14ac:dyDescent="0.35">
      <c r="C26844" s="2"/>
    </row>
    <row r="26845" spans="3:3" x14ac:dyDescent="0.35">
      <c r="C26845" s="2"/>
    </row>
    <row r="26846" spans="3:3" x14ac:dyDescent="0.35">
      <c r="C26846" s="2"/>
    </row>
    <row r="26847" spans="3:3" x14ac:dyDescent="0.35">
      <c r="C26847" s="2"/>
    </row>
    <row r="26848" spans="3:3" x14ac:dyDescent="0.35">
      <c r="C26848" s="2"/>
    </row>
    <row r="26849" spans="3:3" x14ac:dyDescent="0.35">
      <c r="C26849" s="2"/>
    </row>
    <row r="26850" spans="3:3" x14ac:dyDescent="0.35">
      <c r="C26850" s="2"/>
    </row>
    <row r="26851" spans="3:3" x14ac:dyDescent="0.35">
      <c r="C26851" s="2"/>
    </row>
    <row r="26852" spans="3:3" x14ac:dyDescent="0.35">
      <c r="C26852" s="2"/>
    </row>
    <row r="26853" spans="3:3" x14ac:dyDescent="0.35">
      <c r="C26853" s="2"/>
    </row>
    <row r="26854" spans="3:3" x14ac:dyDescent="0.35">
      <c r="C26854" s="2"/>
    </row>
    <row r="26855" spans="3:3" x14ac:dyDescent="0.35">
      <c r="C26855" s="2"/>
    </row>
    <row r="26856" spans="3:3" x14ac:dyDescent="0.35">
      <c r="C26856" s="2"/>
    </row>
    <row r="26857" spans="3:3" x14ac:dyDescent="0.35">
      <c r="C26857" s="2"/>
    </row>
    <row r="26858" spans="3:3" x14ac:dyDescent="0.35">
      <c r="C26858" s="2"/>
    </row>
    <row r="26859" spans="3:3" x14ac:dyDescent="0.35">
      <c r="C26859" s="2"/>
    </row>
    <row r="26860" spans="3:3" x14ac:dyDescent="0.35">
      <c r="C26860" s="2"/>
    </row>
    <row r="26861" spans="3:3" x14ac:dyDescent="0.35">
      <c r="C26861" s="2"/>
    </row>
    <row r="26862" spans="3:3" x14ac:dyDescent="0.35">
      <c r="C26862" s="2"/>
    </row>
    <row r="26863" spans="3:3" x14ac:dyDescent="0.35">
      <c r="C26863" s="2"/>
    </row>
    <row r="26864" spans="3:3" x14ac:dyDescent="0.35">
      <c r="C26864" s="2"/>
    </row>
    <row r="26865" spans="3:3" x14ac:dyDescent="0.35">
      <c r="C26865" s="2"/>
    </row>
    <row r="26866" spans="3:3" x14ac:dyDescent="0.35">
      <c r="C26866" s="2"/>
    </row>
    <row r="26867" spans="3:3" x14ac:dyDescent="0.35">
      <c r="C26867" s="2"/>
    </row>
    <row r="26868" spans="3:3" x14ac:dyDescent="0.35">
      <c r="C26868" s="2"/>
    </row>
    <row r="26869" spans="3:3" x14ac:dyDescent="0.35">
      <c r="C26869" s="2"/>
    </row>
    <row r="26870" spans="3:3" x14ac:dyDescent="0.35">
      <c r="C26870" s="2"/>
    </row>
    <row r="26871" spans="3:3" x14ac:dyDescent="0.35">
      <c r="C26871" s="2"/>
    </row>
    <row r="26872" spans="3:3" x14ac:dyDescent="0.35">
      <c r="C26872" s="2"/>
    </row>
    <row r="26873" spans="3:3" x14ac:dyDescent="0.35">
      <c r="C26873" s="2"/>
    </row>
    <row r="26874" spans="3:3" x14ac:dyDescent="0.35">
      <c r="C26874" s="2"/>
    </row>
    <row r="26875" spans="3:3" x14ac:dyDescent="0.35">
      <c r="C26875" s="2"/>
    </row>
    <row r="26876" spans="3:3" x14ac:dyDescent="0.35">
      <c r="C26876" s="2"/>
    </row>
    <row r="26877" spans="3:3" x14ac:dyDescent="0.35">
      <c r="C26877" s="2"/>
    </row>
    <row r="26878" spans="3:3" x14ac:dyDescent="0.35">
      <c r="C26878" s="2"/>
    </row>
    <row r="26879" spans="3:3" x14ac:dyDescent="0.35">
      <c r="C26879" s="2"/>
    </row>
    <row r="26880" spans="3:3" x14ac:dyDescent="0.35">
      <c r="C26880" s="2"/>
    </row>
    <row r="26881" spans="3:3" x14ac:dyDescent="0.35">
      <c r="C26881" s="2"/>
    </row>
    <row r="26882" spans="3:3" x14ac:dyDescent="0.35">
      <c r="C26882" s="2"/>
    </row>
    <row r="26883" spans="3:3" x14ac:dyDescent="0.35">
      <c r="C26883" s="2"/>
    </row>
    <row r="26884" spans="3:3" x14ac:dyDescent="0.35">
      <c r="C26884" s="2"/>
    </row>
    <row r="26885" spans="3:3" x14ac:dyDescent="0.35">
      <c r="C26885" s="2"/>
    </row>
    <row r="26886" spans="3:3" x14ac:dyDescent="0.35">
      <c r="C26886" s="2"/>
    </row>
    <row r="26887" spans="3:3" x14ac:dyDescent="0.35">
      <c r="C26887" s="2"/>
    </row>
    <row r="26888" spans="3:3" x14ac:dyDescent="0.35">
      <c r="C26888" s="2"/>
    </row>
    <row r="26889" spans="3:3" x14ac:dyDescent="0.35">
      <c r="C26889" s="2"/>
    </row>
    <row r="26890" spans="3:3" x14ac:dyDescent="0.35">
      <c r="C26890" s="2"/>
    </row>
    <row r="26891" spans="3:3" x14ac:dyDescent="0.35">
      <c r="C26891" s="2"/>
    </row>
    <row r="26892" spans="3:3" x14ac:dyDescent="0.35">
      <c r="C26892" s="2"/>
    </row>
    <row r="26893" spans="3:3" x14ac:dyDescent="0.35">
      <c r="C26893" s="2"/>
    </row>
    <row r="26894" spans="3:3" x14ac:dyDescent="0.35">
      <c r="C26894" s="2"/>
    </row>
    <row r="26895" spans="3:3" x14ac:dyDescent="0.35">
      <c r="C26895" s="2"/>
    </row>
    <row r="26896" spans="3:3" x14ac:dyDescent="0.35">
      <c r="C26896" s="2"/>
    </row>
    <row r="26897" spans="3:3" x14ac:dyDescent="0.35">
      <c r="C26897" s="2"/>
    </row>
    <row r="26898" spans="3:3" x14ac:dyDescent="0.35">
      <c r="C26898" s="2"/>
    </row>
    <row r="26899" spans="3:3" x14ac:dyDescent="0.35">
      <c r="C26899" s="2"/>
    </row>
    <row r="26900" spans="3:3" x14ac:dyDescent="0.35">
      <c r="C26900" s="2"/>
    </row>
    <row r="26901" spans="3:3" x14ac:dyDescent="0.35">
      <c r="C26901" s="2"/>
    </row>
    <row r="26902" spans="3:3" x14ac:dyDescent="0.35">
      <c r="C26902" s="2"/>
    </row>
    <row r="26903" spans="3:3" x14ac:dyDescent="0.35">
      <c r="C26903" s="2"/>
    </row>
    <row r="26904" spans="3:3" x14ac:dyDescent="0.35">
      <c r="C26904" s="2"/>
    </row>
    <row r="26905" spans="3:3" x14ac:dyDescent="0.35">
      <c r="C26905" s="2"/>
    </row>
    <row r="26906" spans="3:3" x14ac:dyDescent="0.35">
      <c r="C26906" s="2"/>
    </row>
    <row r="26907" spans="3:3" x14ac:dyDescent="0.35">
      <c r="C26907" s="2"/>
    </row>
    <row r="26908" spans="3:3" x14ac:dyDescent="0.35">
      <c r="C26908" s="2"/>
    </row>
    <row r="26909" spans="3:3" x14ac:dyDescent="0.35">
      <c r="C26909" s="2"/>
    </row>
    <row r="26910" spans="3:3" x14ac:dyDescent="0.35">
      <c r="C26910" s="2"/>
    </row>
    <row r="26911" spans="3:3" x14ac:dyDescent="0.35">
      <c r="C26911" s="2"/>
    </row>
    <row r="26912" spans="3:3" x14ac:dyDescent="0.35">
      <c r="C26912" s="2"/>
    </row>
    <row r="26913" spans="3:3" x14ac:dyDescent="0.35">
      <c r="C26913" s="2"/>
    </row>
    <row r="26914" spans="3:3" x14ac:dyDescent="0.35">
      <c r="C26914" s="2"/>
    </row>
    <row r="26915" spans="3:3" x14ac:dyDescent="0.35">
      <c r="C26915" s="2"/>
    </row>
    <row r="26916" spans="3:3" x14ac:dyDescent="0.35">
      <c r="C26916" s="2"/>
    </row>
    <row r="26917" spans="3:3" x14ac:dyDescent="0.35">
      <c r="C26917" s="2"/>
    </row>
    <row r="26918" spans="3:3" x14ac:dyDescent="0.35">
      <c r="C26918" s="2"/>
    </row>
    <row r="26919" spans="3:3" x14ac:dyDescent="0.35">
      <c r="C26919" s="2"/>
    </row>
    <row r="26920" spans="3:3" x14ac:dyDescent="0.35">
      <c r="C26920" s="2"/>
    </row>
    <row r="26921" spans="3:3" x14ac:dyDescent="0.35">
      <c r="C26921" s="2"/>
    </row>
    <row r="26922" spans="3:3" x14ac:dyDescent="0.35">
      <c r="C26922" s="2"/>
    </row>
    <row r="26923" spans="3:3" x14ac:dyDescent="0.35">
      <c r="C26923" s="2"/>
    </row>
    <row r="26924" spans="3:3" x14ac:dyDescent="0.35">
      <c r="C26924" s="2"/>
    </row>
    <row r="26925" spans="3:3" x14ac:dyDescent="0.35">
      <c r="C26925" s="2"/>
    </row>
    <row r="26926" spans="3:3" x14ac:dyDescent="0.35">
      <c r="C26926" s="2"/>
    </row>
    <row r="26927" spans="3:3" x14ac:dyDescent="0.35">
      <c r="C26927" s="2"/>
    </row>
    <row r="26928" spans="3:3" x14ac:dyDescent="0.35">
      <c r="C26928" s="2"/>
    </row>
    <row r="26929" spans="3:3" x14ac:dyDescent="0.35">
      <c r="C26929" s="2"/>
    </row>
    <row r="26930" spans="3:3" x14ac:dyDescent="0.35">
      <c r="C26930" s="2"/>
    </row>
    <row r="26931" spans="3:3" x14ac:dyDescent="0.35">
      <c r="C26931" s="2"/>
    </row>
    <row r="26932" spans="3:3" x14ac:dyDescent="0.35">
      <c r="C26932" s="2"/>
    </row>
    <row r="26933" spans="3:3" x14ac:dyDescent="0.35">
      <c r="C26933" s="2"/>
    </row>
    <row r="26934" spans="3:3" x14ac:dyDescent="0.35">
      <c r="C26934" s="2"/>
    </row>
    <row r="26935" spans="3:3" x14ac:dyDescent="0.35">
      <c r="C26935" s="2"/>
    </row>
    <row r="26936" spans="3:3" x14ac:dyDescent="0.35">
      <c r="C26936" s="2"/>
    </row>
    <row r="26937" spans="3:3" x14ac:dyDescent="0.35">
      <c r="C26937" s="2"/>
    </row>
    <row r="26938" spans="3:3" x14ac:dyDescent="0.35">
      <c r="C26938" s="2"/>
    </row>
    <row r="26939" spans="3:3" x14ac:dyDescent="0.35">
      <c r="C26939" s="2"/>
    </row>
    <row r="26940" spans="3:3" x14ac:dyDescent="0.35">
      <c r="C26940" s="2"/>
    </row>
    <row r="26941" spans="3:3" x14ac:dyDescent="0.35">
      <c r="C26941" s="2"/>
    </row>
    <row r="26942" spans="3:3" x14ac:dyDescent="0.35">
      <c r="C26942" s="2"/>
    </row>
    <row r="26943" spans="3:3" x14ac:dyDescent="0.35">
      <c r="C26943" s="2"/>
    </row>
    <row r="26944" spans="3:3" x14ac:dyDescent="0.35">
      <c r="C26944" s="2"/>
    </row>
    <row r="26945" spans="3:3" x14ac:dyDescent="0.35">
      <c r="C26945" s="2"/>
    </row>
    <row r="26946" spans="3:3" x14ac:dyDescent="0.35">
      <c r="C26946" s="2"/>
    </row>
    <row r="26947" spans="3:3" x14ac:dyDescent="0.35">
      <c r="C26947" s="2"/>
    </row>
    <row r="26948" spans="3:3" x14ac:dyDescent="0.35">
      <c r="C26948" s="2"/>
    </row>
    <row r="26949" spans="3:3" x14ac:dyDescent="0.35">
      <c r="C26949" s="2"/>
    </row>
    <row r="26950" spans="3:3" x14ac:dyDescent="0.35">
      <c r="C26950" s="2"/>
    </row>
    <row r="26951" spans="3:3" x14ac:dyDescent="0.35">
      <c r="C26951" s="2"/>
    </row>
    <row r="26952" spans="3:3" x14ac:dyDescent="0.35">
      <c r="C26952" s="2"/>
    </row>
    <row r="26953" spans="3:3" x14ac:dyDescent="0.35">
      <c r="C26953" s="2"/>
    </row>
    <row r="26954" spans="3:3" x14ac:dyDescent="0.35">
      <c r="C26954" s="2"/>
    </row>
    <row r="26955" spans="3:3" x14ac:dyDescent="0.35">
      <c r="C26955" s="2"/>
    </row>
    <row r="26956" spans="3:3" x14ac:dyDescent="0.35">
      <c r="C26956" s="2"/>
    </row>
    <row r="26957" spans="3:3" x14ac:dyDescent="0.35">
      <c r="C26957" s="2"/>
    </row>
    <row r="26958" spans="3:3" x14ac:dyDescent="0.35">
      <c r="C26958" s="2"/>
    </row>
    <row r="26959" spans="3:3" x14ac:dyDescent="0.35">
      <c r="C26959" s="2"/>
    </row>
    <row r="26960" spans="3:3" x14ac:dyDescent="0.35">
      <c r="C26960" s="2"/>
    </row>
    <row r="26961" spans="3:3" x14ac:dyDescent="0.35">
      <c r="C26961" s="2"/>
    </row>
    <row r="26962" spans="3:3" x14ac:dyDescent="0.35">
      <c r="C26962" s="2"/>
    </row>
    <row r="26963" spans="3:3" x14ac:dyDescent="0.35">
      <c r="C26963" s="2"/>
    </row>
    <row r="26964" spans="3:3" x14ac:dyDescent="0.35">
      <c r="C26964" s="2"/>
    </row>
    <row r="26965" spans="3:3" x14ac:dyDescent="0.35">
      <c r="C26965" s="2"/>
    </row>
    <row r="26966" spans="3:3" x14ac:dyDescent="0.35">
      <c r="C26966" s="2"/>
    </row>
    <row r="26967" spans="3:3" x14ac:dyDescent="0.35">
      <c r="C26967" s="2"/>
    </row>
    <row r="26968" spans="3:3" x14ac:dyDescent="0.35">
      <c r="C26968" s="2"/>
    </row>
    <row r="26969" spans="3:3" x14ac:dyDescent="0.35">
      <c r="C26969" s="2"/>
    </row>
    <row r="26970" spans="3:3" x14ac:dyDescent="0.35">
      <c r="C26970" s="2"/>
    </row>
    <row r="26971" spans="3:3" x14ac:dyDescent="0.35">
      <c r="C26971" s="2"/>
    </row>
    <row r="26972" spans="3:3" x14ac:dyDescent="0.35">
      <c r="C26972" s="2"/>
    </row>
    <row r="26973" spans="3:3" x14ac:dyDescent="0.35">
      <c r="C26973" s="2"/>
    </row>
    <row r="26974" spans="3:3" x14ac:dyDescent="0.35">
      <c r="C26974" s="2"/>
    </row>
    <row r="26975" spans="3:3" x14ac:dyDescent="0.35">
      <c r="C26975" s="2"/>
    </row>
    <row r="26976" spans="3:3" x14ac:dyDescent="0.35">
      <c r="C26976" s="2"/>
    </row>
    <row r="26977" spans="3:3" x14ac:dyDescent="0.35">
      <c r="C26977" s="2"/>
    </row>
    <row r="26978" spans="3:3" x14ac:dyDescent="0.35">
      <c r="C26978" s="2"/>
    </row>
    <row r="26979" spans="3:3" x14ac:dyDescent="0.35">
      <c r="C26979" s="2"/>
    </row>
    <row r="26980" spans="3:3" x14ac:dyDescent="0.35">
      <c r="C26980" s="2"/>
    </row>
    <row r="26981" spans="3:3" x14ac:dyDescent="0.35">
      <c r="C26981" s="2"/>
    </row>
    <row r="26982" spans="3:3" x14ac:dyDescent="0.35">
      <c r="C26982" s="2"/>
    </row>
    <row r="26983" spans="3:3" x14ac:dyDescent="0.35">
      <c r="C26983" s="2"/>
    </row>
    <row r="26984" spans="3:3" x14ac:dyDescent="0.35">
      <c r="C26984" s="2"/>
    </row>
    <row r="26985" spans="3:3" x14ac:dyDescent="0.35">
      <c r="C26985" s="2"/>
    </row>
    <row r="26986" spans="3:3" x14ac:dyDescent="0.35">
      <c r="C26986" s="2"/>
    </row>
    <row r="26987" spans="3:3" x14ac:dyDescent="0.35">
      <c r="C26987" s="2"/>
    </row>
    <row r="26988" spans="3:3" x14ac:dyDescent="0.35">
      <c r="C26988" s="2"/>
    </row>
    <row r="26989" spans="3:3" x14ac:dyDescent="0.35">
      <c r="C26989" s="2"/>
    </row>
    <row r="26990" spans="3:3" x14ac:dyDescent="0.35">
      <c r="C26990" s="2"/>
    </row>
    <row r="26991" spans="3:3" x14ac:dyDescent="0.35">
      <c r="C26991" s="2"/>
    </row>
    <row r="26992" spans="3:3" x14ac:dyDescent="0.35">
      <c r="C26992" s="2"/>
    </row>
    <row r="26993" spans="3:3" x14ac:dyDescent="0.35">
      <c r="C26993" s="2"/>
    </row>
    <row r="26994" spans="3:3" x14ac:dyDescent="0.35">
      <c r="C26994" s="2"/>
    </row>
    <row r="26995" spans="3:3" x14ac:dyDescent="0.35">
      <c r="C26995" s="2"/>
    </row>
    <row r="26996" spans="3:3" x14ac:dyDescent="0.35">
      <c r="C26996" s="2"/>
    </row>
    <row r="26997" spans="3:3" x14ac:dyDescent="0.35">
      <c r="C26997" s="2"/>
    </row>
    <row r="26998" spans="3:3" x14ac:dyDescent="0.35">
      <c r="C26998" s="2"/>
    </row>
    <row r="26999" spans="3:3" x14ac:dyDescent="0.35">
      <c r="C26999" s="2"/>
    </row>
    <row r="27000" spans="3:3" x14ac:dyDescent="0.35">
      <c r="C27000" s="2"/>
    </row>
    <row r="27001" spans="3:3" x14ac:dyDescent="0.35">
      <c r="C27001" s="2"/>
    </row>
    <row r="27002" spans="3:3" x14ac:dyDescent="0.35">
      <c r="C27002" s="2"/>
    </row>
    <row r="27003" spans="3:3" x14ac:dyDescent="0.35">
      <c r="C27003" s="2"/>
    </row>
    <row r="27004" spans="3:3" x14ac:dyDescent="0.35">
      <c r="C27004" s="2"/>
    </row>
    <row r="27005" spans="3:3" x14ac:dyDescent="0.35">
      <c r="C27005" s="2"/>
    </row>
    <row r="27006" spans="3:3" x14ac:dyDescent="0.35">
      <c r="C27006" s="2"/>
    </row>
    <row r="27007" spans="3:3" x14ac:dyDescent="0.35">
      <c r="C27007" s="2"/>
    </row>
    <row r="27008" spans="3:3" x14ac:dyDescent="0.35">
      <c r="C27008" s="2"/>
    </row>
    <row r="27009" spans="3:3" x14ac:dyDescent="0.35">
      <c r="C27009" s="2"/>
    </row>
    <row r="27010" spans="3:3" x14ac:dyDescent="0.35">
      <c r="C27010" s="2"/>
    </row>
    <row r="27011" spans="3:3" x14ac:dyDescent="0.35">
      <c r="C27011" s="2"/>
    </row>
    <row r="27012" spans="3:3" x14ac:dyDescent="0.35">
      <c r="C27012" s="2"/>
    </row>
    <row r="27013" spans="3:3" x14ac:dyDescent="0.35">
      <c r="C27013" s="2"/>
    </row>
    <row r="27014" spans="3:3" x14ac:dyDescent="0.35">
      <c r="C27014" s="2"/>
    </row>
    <row r="27015" spans="3:3" x14ac:dyDescent="0.35">
      <c r="C27015" s="2"/>
    </row>
    <row r="27016" spans="3:3" x14ac:dyDescent="0.35">
      <c r="C27016" s="2"/>
    </row>
    <row r="27017" spans="3:3" x14ac:dyDescent="0.35">
      <c r="C27017" s="2"/>
    </row>
    <row r="27018" spans="3:3" x14ac:dyDescent="0.35">
      <c r="C27018" s="2"/>
    </row>
    <row r="27019" spans="3:3" x14ac:dyDescent="0.35">
      <c r="C27019" s="2"/>
    </row>
    <row r="27020" spans="3:3" x14ac:dyDescent="0.35">
      <c r="C27020" s="2"/>
    </row>
    <row r="27021" spans="3:3" x14ac:dyDescent="0.35">
      <c r="C27021" s="2"/>
    </row>
    <row r="27022" spans="3:3" x14ac:dyDescent="0.35">
      <c r="C27022" s="2"/>
    </row>
    <row r="27023" spans="3:3" x14ac:dyDescent="0.35">
      <c r="C27023" s="2"/>
    </row>
    <row r="27024" spans="3:3" x14ac:dyDescent="0.35">
      <c r="C27024" s="2"/>
    </row>
    <row r="27025" spans="3:3" x14ac:dyDescent="0.35">
      <c r="C27025" s="2"/>
    </row>
    <row r="27026" spans="3:3" x14ac:dyDescent="0.35">
      <c r="C27026" s="2"/>
    </row>
    <row r="27027" spans="3:3" x14ac:dyDescent="0.35">
      <c r="C27027" s="2"/>
    </row>
    <row r="27028" spans="3:3" x14ac:dyDescent="0.35">
      <c r="C27028" s="2"/>
    </row>
    <row r="27029" spans="3:3" x14ac:dyDescent="0.35">
      <c r="C27029" s="2"/>
    </row>
    <row r="27030" spans="3:3" x14ac:dyDescent="0.35">
      <c r="C27030" s="2"/>
    </row>
    <row r="27031" spans="3:3" x14ac:dyDescent="0.35">
      <c r="C27031" s="2"/>
    </row>
    <row r="27032" spans="3:3" x14ac:dyDescent="0.35">
      <c r="C27032" s="2"/>
    </row>
    <row r="27033" spans="3:3" x14ac:dyDescent="0.35">
      <c r="C27033" s="2"/>
    </row>
    <row r="27034" spans="3:3" x14ac:dyDescent="0.35">
      <c r="C27034" s="2"/>
    </row>
    <row r="27035" spans="3:3" x14ac:dyDescent="0.35">
      <c r="C27035" s="2"/>
    </row>
    <row r="27036" spans="3:3" x14ac:dyDescent="0.35">
      <c r="C27036" s="2"/>
    </row>
    <row r="27037" spans="3:3" x14ac:dyDescent="0.35">
      <c r="C27037" s="2"/>
    </row>
    <row r="27038" spans="3:3" x14ac:dyDescent="0.35">
      <c r="C27038" s="2"/>
    </row>
    <row r="27039" spans="3:3" x14ac:dyDescent="0.35">
      <c r="C27039" s="2"/>
    </row>
    <row r="27040" spans="3:3" x14ac:dyDescent="0.35">
      <c r="C27040" s="2"/>
    </row>
    <row r="27041" spans="3:3" x14ac:dyDescent="0.35">
      <c r="C27041" s="2"/>
    </row>
    <row r="27042" spans="3:3" x14ac:dyDescent="0.35">
      <c r="C27042" s="2"/>
    </row>
    <row r="27043" spans="3:3" x14ac:dyDescent="0.35">
      <c r="C27043" s="2"/>
    </row>
    <row r="27044" spans="3:3" x14ac:dyDescent="0.35">
      <c r="C27044" s="2"/>
    </row>
    <row r="27045" spans="3:3" x14ac:dyDescent="0.35">
      <c r="C27045" s="2"/>
    </row>
    <row r="27046" spans="3:3" x14ac:dyDescent="0.35">
      <c r="C27046" s="2"/>
    </row>
    <row r="27047" spans="3:3" x14ac:dyDescent="0.35">
      <c r="C27047" s="2"/>
    </row>
    <row r="27048" spans="3:3" x14ac:dyDescent="0.35">
      <c r="C27048" s="2"/>
    </row>
    <row r="27049" spans="3:3" x14ac:dyDescent="0.35">
      <c r="C27049" s="2"/>
    </row>
    <row r="27050" spans="3:3" x14ac:dyDescent="0.35">
      <c r="C27050" s="2"/>
    </row>
    <row r="27051" spans="3:3" x14ac:dyDescent="0.35">
      <c r="C27051" s="2"/>
    </row>
    <row r="27052" spans="3:3" x14ac:dyDescent="0.35">
      <c r="C27052" s="2"/>
    </row>
    <row r="27053" spans="3:3" x14ac:dyDescent="0.35">
      <c r="C27053" s="2"/>
    </row>
    <row r="27054" spans="3:3" x14ac:dyDescent="0.35">
      <c r="C27054" s="2"/>
    </row>
    <row r="27055" spans="3:3" x14ac:dyDescent="0.35">
      <c r="C27055" s="2"/>
    </row>
    <row r="27056" spans="3:3" x14ac:dyDescent="0.35">
      <c r="C27056" s="2"/>
    </row>
    <row r="27057" spans="3:3" x14ac:dyDescent="0.35">
      <c r="C27057" s="2"/>
    </row>
    <row r="27058" spans="3:3" x14ac:dyDescent="0.35">
      <c r="C27058" s="2"/>
    </row>
    <row r="27059" spans="3:3" x14ac:dyDescent="0.35">
      <c r="C27059" s="2"/>
    </row>
    <row r="27060" spans="3:3" x14ac:dyDescent="0.35">
      <c r="C27060" s="2"/>
    </row>
    <row r="27061" spans="3:3" x14ac:dyDescent="0.35">
      <c r="C27061" s="2"/>
    </row>
    <row r="27062" spans="3:3" x14ac:dyDescent="0.35">
      <c r="C27062" s="2"/>
    </row>
    <row r="27063" spans="3:3" x14ac:dyDescent="0.35">
      <c r="C27063" s="2"/>
    </row>
    <row r="27064" spans="3:3" x14ac:dyDescent="0.35">
      <c r="C27064" s="2"/>
    </row>
    <row r="27065" spans="3:3" x14ac:dyDescent="0.35">
      <c r="C27065" s="2"/>
    </row>
    <row r="27066" spans="3:3" x14ac:dyDescent="0.35">
      <c r="C27066" s="2"/>
    </row>
    <row r="27067" spans="3:3" x14ac:dyDescent="0.35">
      <c r="C27067" s="2"/>
    </row>
    <row r="27068" spans="3:3" x14ac:dyDescent="0.35">
      <c r="C27068" s="2"/>
    </row>
    <row r="27069" spans="3:3" x14ac:dyDescent="0.35">
      <c r="C27069" s="2"/>
    </row>
    <row r="27070" spans="3:3" x14ac:dyDescent="0.35">
      <c r="C27070" s="2"/>
    </row>
    <row r="27071" spans="3:3" x14ac:dyDescent="0.35">
      <c r="C27071" s="2"/>
    </row>
    <row r="27072" spans="3:3" x14ac:dyDescent="0.35">
      <c r="C27072" s="2"/>
    </row>
    <row r="27073" spans="3:3" x14ac:dyDescent="0.35">
      <c r="C27073" s="2"/>
    </row>
    <row r="27074" spans="3:3" x14ac:dyDescent="0.35">
      <c r="C27074" s="2"/>
    </row>
    <row r="27075" spans="3:3" x14ac:dyDescent="0.35">
      <c r="C27075" s="2"/>
    </row>
    <row r="27076" spans="3:3" x14ac:dyDescent="0.35">
      <c r="C27076" s="2"/>
    </row>
    <row r="27077" spans="3:3" x14ac:dyDescent="0.35">
      <c r="C27077" s="2"/>
    </row>
    <row r="27078" spans="3:3" x14ac:dyDescent="0.35">
      <c r="C27078" s="2"/>
    </row>
    <row r="27079" spans="3:3" x14ac:dyDescent="0.35">
      <c r="C27079" s="2"/>
    </row>
    <row r="27080" spans="3:3" x14ac:dyDescent="0.35">
      <c r="C27080" s="2"/>
    </row>
    <row r="27081" spans="3:3" x14ac:dyDescent="0.35">
      <c r="C27081" s="2"/>
    </row>
    <row r="27082" spans="3:3" x14ac:dyDescent="0.35">
      <c r="C27082" s="2"/>
    </row>
    <row r="27083" spans="3:3" x14ac:dyDescent="0.35">
      <c r="C27083" s="2"/>
    </row>
    <row r="27084" spans="3:3" x14ac:dyDescent="0.35">
      <c r="C27084" s="2"/>
    </row>
    <row r="27085" spans="3:3" x14ac:dyDescent="0.35">
      <c r="C27085" s="2"/>
    </row>
    <row r="27086" spans="3:3" x14ac:dyDescent="0.35">
      <c r="C27086" s="2"/>
    </row>
    <row r="27087" spans="3:3" x14ac:dyDescent="0.35">
      <c r="C27087" s="2"/>
    </row>
    <row r="27088" spans="3:3" x14ac:dyDescent="0.35">
      <c r="C27088" s="2"/>
    </row>
    <row r="27089" spans="3:3" x14ac:dyDescent="0.35">
      <c r="C27089" s="2"/>
    </row>
    <row r="27090" spans="3:3" x14ac:dyDescent="0.35">
      <c r="C27090" s="2"/>
    </row>
    <row r="27091" spans="3:3" x14ac:dyDescent="0.35">
      <c r="C27091" s="2"/>
    </row>
    <row r="27092" spans="3:3" x14ac:dyDescent="0.35">
      <c r="C27092" s="2"/>
    </row>
    <row r="27093" spans="3:3" x14ac:dyDescent="0.35">
      <c r="C27093" s="2"/>
    </row>
    <row r="27094" spans="3:3" x14ac:dyDescent="0.35">
      <c r="C27094" s="2"/>
    </row>
    <row r="27095" spans="3:3" x14ac:dyDescent="0.35">
      <c r="C27095" s="2"/>
    </row>
    <row r="27096" spans="3:3" x14ac:dyDescent="0.35">
      <c r="C27096" s="2"/>
    </row>
    <row r="27097" spans="3:3" x14ac:dyDescent="0.35">
      <c r="C27097" s="2"/>
    </row>
    <row r="27098" spans="3:3" x14ac:dyDescent="0.35">
      <c r="C27098" s="2"/>
    </row>
    <row r="27099" spans="3:3" x14ac:dyDescent="0.35">
      <c r="C27099" s="2"/>
    </row>
    <row r="27100" spans="3:3" x14ac:dyDescent="0.35">
      <c r="C27100" s="2"/>
    </row>
    <row r="27101" spans="3:3" x14ac:dyDescent="0.35">
      <c r="C27101" s="2"/>
    </row>
    <row r="27102" spans="3:3" x14ac:dyDescent="0.35">
      <c r="C27102" s="2"/>
    </row>
    <row r="27103" spans="3:3" x14ac:dyDescent="0.35">
      <c r="C27103" s="2"/>
    </row>
    <row r="27104" spans="3:3" x14ac:dyDescent="0.35">
      <c r="C27104" s="2"/>
    </row>
    <row r="27105" spans="3:3" x14ac:dyDescent="0.35">
      <c r="C27105" s="2"/>
    </row>
    <row r="27106" spans="3:3" x14ac:dyDescent="0.35">
      <c r="C27106" s="2"/>
    </row>
    <row r="27107" spans="3:3" x14ac:dyDescent="0.35">
      <c r="C27107" s="2"/>
    </row>
    <row r="27108" spans="3:3" x14ac:dyDescent="0.35">
      <c r="C27108" s="2"/>
    </row>
    <row r="27109" spans="3:3" x14ac:dyDescent="0.35">
      <c r="C27109" s="2"/>
    </row>
    <row r="27110" spans="3:3" x14ac:dyDescent="0.35">
      <c r="C27110" s="2"/>
    </row>
    <row r="27111" spans="3:3" x14ac:dyDescent="0.35">
      <c r="C27111" s="2"/>
    </row>
    <row r="27112" spans="3:3" x14ac:dyDescent="0.35">
      <c r="C27112" s="2"/>
    </row>
    <row r="27113" spans="3:3" x14ac:dyDescent="0.35">
      <c r="C27113" s="2"/>
    </row>
    <row r="27114" spans="3:3" x14ac:dyDescent="0.35">
      <c r="C27114" s="2"/>
    </row>
    <row r="27115" spans="3:3" x14ac:dyDescent="0.35">
      <c r="C27115" s="2"/>
    </row>
    <row r="27116" spans="3:3" x14ac:dyDescent="0.35">
      <c r="C27116" s="2"/>
    </row>
    <row r="27117" spans="3:3" x14ac:dyDescent="0.35">
      <c r="C27117" s="2"/>
    </row>
    <row r="27118" spans="3:3" x14ac:dyDescent="0.35">
      <c r="C27118" s="2"/>
    </row>
    <row r="27119" spans="3:3" x14ac:dyDescent="0.35">
      <c r="C27119" s="2"/>
    </row>
    <row r="27120" spans="3:3" x14ac:dyDescent="0.35">
      <c r="C27120" s="2"/>
    </row>
    <row r="27121" spans="3:3" x14ac:dyDescent="0.35">
      <c r="C27121" s="2"/>
    </row>
    <row r="27122" spans="3:3" x14ac:dyDescent="0.35">
      <c r="C27122" s="2"/>
    </row>
    <row r="27123" spans="3:3" x14ac:dyDescent="0.35">
      <c r="C27123" s="2"/>
    </row>
    <row r="27124" spans="3:3" x14ac:dyDescent="0.35">
      <c r="C27124" s="2"/>
    </row>
    <row r="27125" spans="3:3" x14ac:dyDescent="0.35">
      <c r="C27125" s="2"/>
    </row>
    <row r="27126" spans="3:3" x14ac:dyDescent="0.35">
      <c r="C27126" s="2"/>
    </row>
    <row r="27127" spans="3:3" x14ac:dyDescent="0.35">
      <c r="C27127" s="2"/>
    </row>
    <row r="27128" spans="3:3" x14ac:dyDescent="0.35">
      <c r="C27128" s="2"/>
    </row>
    <row r="27129" spans="3:3" x14ac:dyDescent="0.35">
      <c r="C27129" s="2"/>
    </row>
    <row r="27130" spans="3:3" x14ac:dyDescent="0.35">
      <c r="C27130" s="2"/>
    </row>
    <row r="27131" spans="3:3" x14ac:dyDescent="0.35">
      <c r="C27131" s="2"/>
    </row>
    <row r="27132" spans="3:3" x14ac:dyDescent="0.35">
      <c r="C27132" s="2"/>
    </row>
    <row r="27133" spans="3:3" x14ac:dyDescent="0.35">
      <c r="C27133" s="2"/>
    </row>
    <row r="27134" spans="3:3" x14ac:dyDescent="0.35">
      <c r="C27134" s="2"/>
    </row>
    <row r="27135" spans="3:3" x14ac:dyDescent="0.35">
      <c r="C27135" s="2"/>
    </row>
    <row r="27136" spans="3:3" x14ac:dyDescent="0.35">
      <c r="C27136" s="2"/>
    </row>
    <row r="27137" spans="3:3" x14ac:dyDescent="0.35">
      <c r="C27137" s="2"/>
    </row>
    <row r="27138" spans="3:3" x14ac:dyDescent="0.35">
      <c r="C27138" s="2"/>
    </row>
    <row r="27139" spans="3:3" x14ac:dyDescent="0.35">
      <c r="C27139" s="2"/>
    </row>
    <row r="27140" spans="3:3" x14ac:dyDescent="0.35">
      <c r="C27140" s="2"/>
    </row>
    <row r="27141" spans="3:3" x14ac:dyDescent="0.35">
      <c r="C27141" s="2"/>
    </row>
    <row r="27142" spans="3:3" x14ac:dyDescent="0.35">
      <c r="C27142" s="2"/>
    </row>
    <row r="27143" spans="3:3" x14ac:dyDescent="0.35">
      <c r="C27143" s="2"/>
    </row>
    <row r="27144" spans="3:3" x14ac:dyDescent="0.35">
      <c r="C27144" s="2"/>
    </row>
    <row r="27145" spans="3:3" x14ac:dyDescent="0.35">
      <c r="C27145" s="2"/>
    </row>
    <row r="27146" spans="3:3" x14ac:dyDescent="0.35">
      <c r="C27146" s="2"/>
    </row>
    <row r="27147" spans="3:3" x14ac:dyDescent="0.35">
      <c r="C27147" s="2"/>
    </row>
    <row r="27148" spans="3:3" x14ac:dyDescent="0.35">
      <c r="C27148" s="2"/>
    </row>
    <row r="27149" spans="3:3" x14ac:dyDescent="0.35">
      <c r="C27149" s="2"/>
    </row>
    <row r="27150" spans="3:3" x14ac:dyDescent="0.35">
      <c r="C27150" s="2"/>
    </row>
    <row r="27151" spans="3:3" x14ac:dyDescent="0.35">
      <c r="C27151" s="2"/>
    </row>
    <row r="27152" spans="3:3" x14ac:dyDescent="0.35">
      <c r="C27152" s="2"/>
    </row>
    <row r="27153" spans="3:3" x14ac:dyDescent="0.35">
      <c r="C27153" s="2"/>
    </row>
    <row r="27154" spans="3:3" x14ac:dyDescent="0.35">
      <c r="C27154" s="2"/>
    </row>
    <row r="27155" spans="3:3" x14ac:dyDescent="0.35">
      <c r="C27155" s="2"/>
    </row>
    <row r="27156" spans="3:3" x14ac:dyDescent="0.35">
      <c r="C27156" s="2"/>
    </row>
    <row r="27157" spans="3:3" x14ac:dyDescent="0.35">
      <c r="C27157" s="2"/>
    </row>
    <row r="27158" spans="3:3" x14ac:dyDescent="0.35">
      <c r="C27158" s="2"/>
    </row>
    <row r="27159" spans="3:3" x14ac:dyDescent="0.35">
      <c r="C27159" s="2"/>
    </row>
    <row r="27160" spans="3:3" x14ac:dyDescent="0.35">
      <c r="C27160" s="2"/>
    </row>
    <row r="27161" spans="3:3" x14ac:dyDescent="0.35">
      <c r="C27161" s="2"/>
    </row>
    <row r="27162" spans="3:3" x14ac:dyDescent="0.35">
      <c r="C27162" s="2"/>
    </row>
    <row r="27163" spans="3:3" x14ac:dyDescent="0.35">
      <c r="C27163" s="2"/>
    </row>
    <row r="27164" spans="3:3" x14ac:dyDescent="0.35">
      <c r="C27164" s="2"/>
    </row>
    <row r="27165" spans="3:3" x14ac:dyDescent="0.35">
      <c r="C27165" s="2"/>
    </row>
    <row r="27166" spans="3:3" x14ac:dyDescent="0.35">
      <c r="C27166" s="2"/>
    </row>
    <row r="27167" spans="3:3" x14ac:dyDescent="0.35">
      <c r="C27167" s="2"/>
    </row>
    <row r="27168" spans="3:3" x14ac:dyDescent="0.35">
      <c r="C27168" s="2"/>
    </row>
    <row r="27169" spans="3:3" x14ac:dyDescent="0.35">
      <c r="C27169" s="2"/>
    </row>
    <row r="27170" spans="3:3" x14ac:dyDescent="0.35">
      <c r="C27170" s="2"/>
    </row>
    <row r="27171" spans="3:3" x14ac:dyDescent="0.35">
      <c r="C27171" s="2"/>
    </row>
    <row r="27172" spans="3:3" x14ac:dyDescent="0.35">
      <c r="C27172" s="2"/>
    </row>
    <row r="27173" spans="3:3" x14ac:dyDescent="0.35">
      <c r="C27173" s="2"/>
    </row>
    <row r="27174" spans="3:3" x14ac:dyDescent="0.35">
      <c r="C27174" s="2"/>
    </row>
    <row r="27175" spans="3:3" x14ac:dyDescent="0.35">
      <c r="C27175" s="2"/>
    </row>
    <row r="27176" spans="3:3" x14ac:dyDescent="0.35">
      <c r="C27176" s="2"/>
    </row>
    <row r="27177" spans="3:3" x14ac:dyDescent="0.35">
      <c r="C27177" s="2"/>
    </row>
    <row r="27178" spans="3:3" x14ac:dyDescent="0.35">
      <c r="C27178" s="2"/>
    </row>
    <row r="27179" spans="3:3" x14ac:dyDescent="0.35">
      <c r="C27179" s="2"/>
    </row>
    <row r="27180" spans="3:3" x14ac:dyDescent="0.35">
      <c r="C27180" s="2"/>
    </row>
    <row r="27181" spans="3:3" x14ac:dyDescent="0.35">
      <c r="C27181" s="2"/>
    </row>
    <row r="27182" spans="3:3" x14ac:dyDescent="0.35">
      <c r="C27182" s="2"/>
    </row>
    <row r="27183" spans="3:3" x14ac:dyDescent="0.35">
      <c r="C27183" s="2"/>
    </row>
    <row r="27184" spans="3:3" x14ac:dyDescent="0.35">
      <c r="C27184" s="2"/>
    </row>
    <row r="27185" spans="3:3" x14ac:dyDescent="0.35">
      <c r="C27185" s="2"/>
    </row>
    <row r="27186" spans="3:3" x14ac:dyDescent="0.35">
      <c r="C27186" s="2"/>
    </row>
    <row r="27187" spans="3:3" x14ac:dyDescent="0.35">
      <c r="C27187" s="2"/>
    </row>
    <row r="27188" spans="3:3" x14ac:dyDescent="0.35">
      <c r="C27188" s="2"/>
    </row>
    <row r="27189" spans="3:3" x14ac:dyDescent="0.35">
      <c r="C27189" s="2"/>
    </row>
    <row r="27190" spans="3:3" x14ac:dyDescent="0.35">
      <c r="C27190" s="2"/>
    </row>
    <row r="27191" spans="3:3" x14ac:dyDescent="0.35">
      <c r="C27191" s="2"/>
    </row>
    <row r="27192" spans="3:3" x14ac:dyDescent="0.35">
      <c r="C27192" s="2"/>
    </row>
    <row r="27193" spans="3:3" x14ac:dyDescent="0.35">
      <c r="C27193" s="2"/>
    </row>
    <row r="27194" spans="3:3" x14ac:dyDescent="0.35">
      <c r="C27194" s="2"/>
    </row>
    <row r="27195" spans="3:3" x14ac:dyDescent="0.35">
      <c r="C27195" s="2"/>
    </row>
    <row r="27196" spans="3:3" x14ac:dyDescent="0.35">
      <c r="C27196" s="2"/>
    </row>
    <row r="27197" spans="3:3" x14ac:dyDescent="0.35">
      <c r="C27197" s="2"/>
    </row>
    <row r="27198" spans="3:3" x14ac:dyDescent="0.35">
      <c r="C27198" s="2"/>
    </row>
    <row r="27199" spans="3:3" x14ac:dyDescent="0.35">
      <c r="C27199" s="2"/>
    </row>
    <row r="27200" spans="3:3" x14ac:dyDescent="0.35">
      <c r="C27200" s="2"/>
    </row>
    <row r="27201" spans="3:3" x14ac:dyDescent="0.35">
      <c r="C27201" s="2"/>
    </row>
    <row r="27202" spans="3:3" x14ac:dyDescent="0.35">
      <c r="C27202" s="2"/>
    </row>
    <row r="27203" spans="3:3" x14ac:dyDescent="0.35">
      <c r="C27203" s="2"/>
    </row>
    <row r="27204" spans="3:3" x14ac:dyDescent="0.35">
      <c r="C27204" s="2"/>
    </row>
    <row r="27205" spans="3:3" x14ac:dyDescent="0.35">
      <c r="C27205" s="2"/>
    </row>
    <row r="27206" spans="3:3" x14ac:dyDescent="0.35">
      <c r="C27206" s="2"/>
    </row>
    <row r="27207" spans="3:3" x14ac:dyDescent="0.35">
      <c r="C27207" s="2"/>
    </row>
    <row r="27208" spans="3:3" x14ac:dyDescent="0.35">
      <c r="C27208" s="2"/>
    </row>
    <row r="27209" spans="3:3" x14ac:dyDescent="0.35">
      <c r="C27209" s="2"/>
    </row>
    <row r="27210" spans="3:3" x14ac:dyDescent="0.35">
      <c r="C27210" s="2"/>
    </row>
    <row r="27211" spans="3:3" x14ac:dyDescent="0.35">
      <c r="C27211" s="2"/>
    </row>
    <row r="27212" spans="3:3" x14ac:dyDescent="0.35">
      <c r="C27212" s="2"/>
    </row>
    <row r="27213" spans="3:3" x14ac:dyDescent="0.35">
      <c r="C27213" s="2"/>
    </row>
    <row r="27214" spans="3:3" x14ac:dyDescent="0.35">
      <c r="C27214" s="2"/>
    </row>
    <row r="27215" spans="3:3" x14ac:dyDescent="0.35">
      <c r="C27215" s="2"/>
    </row>
    <row r="27216" spans="3:3" x14ac:dyDescent="0.35">
      <c r="C27216" s="2"/>
    </row>
    <row r="27217" spans="3:3" x14ac:dyDescent="0.35">
      <c r="C27217" s="2"/>
    </row>
    <row r="27218" spans="3:3" x14ac:dyDescent="0.35">
      <c r="C27218" s="2"/>
    </row>
    <row r="27219" spans="3:3" x14ac:dyDescent="0.35">
      <c r="C27219" s="2"/>
    </row>
    <row r="27220" spans="3:3" x14ac:dyDescent="0.35">
      <c r="C27220" s="2"/>
    </row>
    <row r="27221" spans="3:3" x14ac:dyDescent="0.35">
      <c r="C27221" s="2"/>
    </row>
    <row r="27222" spans="3:3" x14ac:dyDescent="0.35">
      <c r="C27222" s="2"/>
    </row>
    <row r="27223" spans="3:3" x14ac:dyDescent="0.35">
      <c r="C27223" s="2"/>
    </row>
    <row r="27224" spans="3:3" x14ac:dyDescent="0.35">
      <c r="C27224" s="2"/>
    </row>
    <row r="27225" spans="3:3" x14ac:dyDescent="0.35">
      <c r="C27225" s="2"/>
    </row>
    <row r="27226" spans="3:3" x14ac:dyDescent="0.35">
      <c r="C27226" s="2"/>
    </row>
    <row r="27227" spans="3:3" x14ac:dyDescent="0.35">
      <c r="C27227" s="2"/>
    </row>
    <row r="27228" spans="3:3" x14ac:dyDescent="0.35">
      <c r="C27228" s="2"/>
    </row>
    <row r="27229" spans="3:3" x14ac:dyDescent="0.35">
      <c r="C27229" s="2"/>
    </row>
    <row r="27230" spans="3:3" x14ac:dyDescent="0.35">
      <c r="C27230" s="2"/>
    </row>
    <row r="27231" spans="3:3" x14ac:dyDescent="0.35">
      <c r="C27231" s="2"/>
    </row>
    <row r="27232" spans="3:3" x14ac:dyDescent="0.35">
      <c r="C27232" s="2"/>
    </row>
    <row r="27233" spans="3:3" x14ac:dyDescent="0.35">
      <c r="C27233" s="2"/>
    </row>
    <row r="27234" spans="3:3" x14ac:dyDescent="0.35">
      <c r="C27234" s="2"/>
    </row>
    <row r="27235" spans="3:3" x14ac:dyDescent="0.35">
      <c r="C27235" s="2"/>
    </row>
    <row r="27236" spans="3:3" x14ac:dyDescent="0.35">
      <c r="C27236" s="2"/>
    </row>
    <row r="27237" spans="3:3" x14ac:dyDescent="0.35">
      <c r="C27237" s="2"/>
    </row>
    <row r="27238" spans="3:3" x14ac:dyDescent="0.35">
      <c r="C27238" s="2"/>
    </row>
    <row r="27239" spans="3:3" x14ac:dyDescent="0.35">
      <c r="C27239" s="2"/>
    </row>
    <row r="27240" spans="3:3" x14ac:dyDescent="0.35">
      <c r="C27240" s="2"/>
    </row>
    <row r="27241" spans="3:3" x14ac:dyDescent="0.35">
      <c r="C27241" s="2"/>
    </row>
    <row r="27242" spans="3:3" x14ac:dyDescent="0.35">
      <c r="C27242" s="2"/>
    </row>
    <row r="27243" spans="3:3" x14ac:dyDescent="0.35">
      <c r="C27243" s="2"/>
    </row>
    <row r="27244" spans="3:3" x14ac:dyDescent="0.35">
      <c r="C27244" s="2"/>
    </row>
    <row r="27245" spans="3:3" x14ac:dyDescent="0.35">
      <c r="C27245" s="2"/>
    </row>
    <row r="27246" spans="3:3" x14ac:dyDescent="0.35">
      <c r="C27246" s="2"/>
    </row>
    <row r="27247" spans="3:3" x14ac:dyDescent="0.35">
      <c r="C27247" s="2"/>
    </row>
    <row r="27248" spans="3:3" x14ac:dyDescent="0.35">
      <c r="C27248" s="2"/>
    </row>
    <row r="27249" spans="3:3" x14ac:dyDescent="0.35">
      <c r="C27249" s="2"/>
    </row>
    <row r="27250" spans="3:3" x14ac:dyDescent="0.35">
      <c r="C27250" s="2"/>
    </row>
    <row r="27251" spans="3:3" x14ac:dyDescent="0.35">
      <c r="C27251" s="2"/>
    </row>
    <row r="27252" spans="3:3" x14ac:dyDescent="0.35">
      <c r="C27252" s="2"/>
    </row>
    <row r="27253" spans="3:3" x14ac:dyDescent="0.35">
      <c r="C27253" s="2"/>
    </row>
    <row r="27254" spans="3:3" x14ac:dyDescent="0.35">
      <c r="C27254" s="2"/>
    </row>
    <row r="27255" spans="3:3" x14ac:dyDescent="0.35">
      <c r="C27255" s="2"/>
    </row>
    <row r="27256" spans="3:3" x14ac:dyDescent="0.35">
      <c r="C27256" s="2"/>
    </row>
    <row r="27257" spans="3:3" x14ac:dyDescent="0.35">
      <c r="C27257" s="2"/>
    </row>
    <row r="27258" spans="3:3" x14ac:dyDescent="0.35">
      <c r="C27258" s="2"/>
    </row>
    <row r="27259" spans="3:3" x14ac:dyDescent="0.35">
      <c r="C27259" s="2"/>
    </row>
    <row r="27260" spans="3:3" x14ac:dyDescent="0.35">
      <c r="C27260" s="2"/>
    </row>
    <row r="27261" spans="3:3" x14ac:dyDescent="0.35">
      <c r="C27261" s="2"/>
    </row>
    <row r="27262" spans="3:3" x14ac:dyDescent="0.35">
      <c r="C27262" s="2"/>
    </row>
    <row r="27263" spans="3:3" x14ac:dyDescent="0.35">
      <c r="C27263" s="2"/>
    </row>
    <row r="27264" spans="3:3" x14ac:dyDescent="0.35">
      <c r="C27264" s="2"/>
    </row>
    <row r="27265" spans="3:3" x14ac:dyDescent="0.35">
      <c r="C27265" s="2"/>
    </row>
    <row r="27266" spans="3:3" x14ac:dyDescent="0.35">
      <c r="C27266" s="2"/>
    </row>
    <row r="27267" spans="3:3" x14ac:dyDescent="0.35">
      <c r="C27267" s="2"/>
    </row>
    <row r="27268" spans="3:3" x14ac:dyDescent="0.35">
      <c r="C27268" s="2"/>
    </row>
    <row r="27269" spans="3:3" x14ac:dyDescent="0.35">
      <c r="C27269" s="2"/>
    </row>
    <row r="27270" spans="3:3" x14ac:dyDescent="0.35">
      <c r="C27270" s="2"/>
    </row>
    <row r="27271" spans="3:3" x14ac:dyDescent="0.35">
      <c r="C27271" s="2"/>
    </row>
    <row r="27272" spans="3:3" x14ac:dyDescent="0.35">
      <c r="C27272" s="2"/>
    </row>
    <row r="27273" spans="3:3" x14ac:dyDescent="0.35">
      <c r="C27273" s="2"/>
    </row>
    <row r="27274" spans="3:3" x14ac:dyDescent="0.35">
      <c r="C27274" s="2"/>
    </row>
    <row r="27275" spans="3:3" x14ac:dyDescent="0.35">
      <c r="C27275" s="2"/>
    </row>
    <row r="27276" spans="3:3" x14ac:dyDescent="0.35">
      <c r="C27276" s="2"/>
    </row>
    <row r="27277" spans="3:3" x14ac:dyDescent="0.35">
      <c r="C27277" s="2"/>
    </row>
    <row r="27278" spans="3:3" x14ac:dyDescent="0.35">
      <c r="C27278" s="2"/>
    </row>
    <row r="27279" spans="3:3" x14ac:dyDescent="0.35">
      <c r="C27279" s="2"/>
    </row>
    <row r="27280" spans="3:3" x14ac:dyDescent="0.35">
      <c r="C27280" s="2"/>
    </row>
    <row r="27281" spans="3:3" x14ac:dyDescent="0.35">
      <c r="C27281" s="2"/>
    </row>
    <row r="27282" spans="3:3" x14ac:dyDescent="0.35">
      <c r="C27282" s="2"/>
    </row>
    <row r="27283" spans="3:3" x14ac:dyDescent="0.35">
      <c r="C27283" s="2"/>
    </row>
    <row r="27284" spans="3:3" x14ac:dyDescent="0.35">
      <c r="C27284" s="2"/>
    </row>
    <row r="27285" spans="3:3" x14ac:dyDescent="0.35">
      <c r="C27285" s="2"/>
    </row>
    <row r="27286" spans="3:3" x14ac:dyDescent="0.35">
      <c r="C27286" s="2"/>
    </row>
    <row r="27287" spans="3:3" x14ac:dyDescent="0.35">
      <c r="C27287" s="2"/>
    </row>
    <row r="27288" spans="3:3" x14ac:dyDescent="0.35">
      <c r="C27288" s="2"/>
    </row>
    <row r="27289" spans="3:3" x14ac:dyDescent="0.35">
      <c r="C27289" s="2"/>
    </row>
    <row r="27290" spans="3:3" x14ac:dyDescent="0.35">
      <c r="C27290" s="2"/>
    </row>
    <row r="27291" spans="3:3" x14ac:dyDescent="0.35">
      <c r="C27291" s="2"/>
    </row>
    <row r="27292" spans="3:3" x14ac:dyDescent="0.35">
      <c r="C27292" s="2"/>
    </row>
    <row r="27293" spans="3:3" x14ac:dyDescent="0.35">
      <c r="C27293" s="2"/>
    </row>
    <row r="27294" spans="3:3" x14ac:dyDescent="0.35">
      <c r="C27294" s="2"/>
    </row>
    <row r="27295" spans="3:3" x14ac:dyDescent="0.35">
      <c r="C27295" s="2"/>
    </row>
    <row r="27296" spans="3:3" x14ac:dyDescent="0.35">
      <c r="C27296" s="2"/>
    </row>
    <row r="27297" spans="3:3" x14ac:dyDescent="0.35">
      <c r="C27297" s="2"/>
    </row>
    <row r="27298" spans="3:3" x14ac:dyDescent="0.35">
      <c r="C27298" s="2"/>
    </row>
    <row r="27299" spans="3:3" x14ac:dyDescent="0.35">
      <c r="C27299" s="2"/>
    </row>
    <row r="27300" spans="3:3" x14ac:dyDescent="0.35">
      <c r="C27300" s="2"/>
    </row>
    <row r="27301" spans="3:3" x14ac:dyDescent="0.35">
      <c r="C27301" s="2"/>
    </row>
    <row r="27302" spans="3:3" x14ac:dyDescent="0.35">
      <c r="C27302" s="2"/>
    </row>
    <row r="27303" spans="3:3" x14ac:dyDescent="0.35">
      <c r="C27303" s="2"/>
    </row>
    <row r="27304" spans="3:3" x14ac:dyDescent="0.35">
      <c r="C27304" s="2"/>
    </row>
    <row r="27305" spans="3:3" x14ac:dyDescent="0.35">
      <c r="C27305" s="2"/>
    </row>
    <row r="27306" spans="3:3" x14ac:dyDescent="0.35">
      <c r="C27306" s="2"/>
    </row>
    <row r="27307" spans="3:3" x14ac:dyDescent="0.35">
      <c r="C27307" s="2"/>
    </row>
    <row r="27308" spans="3:3" x14ac:dyDescent="0.35">
      <c r="C27308" s="2"/>
    </row>
    <row r="27309" spans="3:3" x14ac:dyDescent="0.35">
      <c r="C27309" s="2"/>
    </row>
    <row r="27310" spans="3:3" x14ac:dyDescent="0.35">
      <c r="C27310" s="2"/>
    </row>
    <row r="27311" spans="3:3" x14ac:dyDescent="0.35">
      <c r="C27311" s="2"/>
    </row>
    <row r="27312" spans="3:3" x14ac:dyDescent="0.35">
      <c r="C27312" s="2"/>
    </row>
    <row r="27313" spans="3:3" x14ac:dyDescent="0.35">
      <c r="C27313" s="2"/>
    </row>
    <row r="27314" spans="3:3" x14ac:dyDescent="0.35">
      <c r="C27314" s="2"/>
    </row>
    <row r="27315" spans="3:3" x14ac:dyDescent="0.35">
      <c r="C27315" s="2"/>
    </row>
    <row r="27316" spans="3:3" x14ac:dyDescent="0.35">
      <c r="C27316" s="2"/>
    </row>
    <row r="27317" spans="3:3" x14ac:dyDescent="0.35">
      <c r="C27317" s="2"/>
    </row>
    <row r="27318" spans="3:3" x14ac:dyDescent="0.35">
      <c r="C27318" s="2"/>
    </row>
    <row r="27319" spans="3:3" x14ac:dyDescent="0.35">
      <c r="C27319" s="2"/>
    </row>
    <row r="27320" spans="3:3" x14ac:dyDescent="0.35">
      <c r="C27320" s="2"/>
    </row>
    <row r="27321" spans="3:3" x14ac:dyDescent="0.35">
      <c r="C27321" s="2"/>
    </row>
    <row r="27322" spans="3:3" x14ac:dyDescent="0.35">
      <c r="C27322" s="2"/>
    </row>
    <row r="27323" spans="3:3" x14ac:dyDescent="0.35">
      <c r="C27323" s="2"/>
    </row>
    <row r="27324" spans="3:3" x14ac:dyDescent="0.35">
      <c r="C27324" s="2"/>
    </row>
    <row r="27325" spans="3:3" x14ac:dyDescent="0.35">
      <c r="C27325" s="2"/>
    </row>
    <row r="27326" spans="3:3" x14ac:dyDescent="0.35">
      <c r="C27326" s="2"/>
    </row>
    <row r="27327" spans="3:3" x14ac:dyDescent="0.35">
      <c r="C27327" s="2"/>
    </row>
    <row r="27328" spans="3:3" x14ac:dyDescent="0.35">
      <c r="C27328" s="2"/>
    </row>
    <row r="27329" spans="3:3" x14ac:dyDescent="0.35">
      <c r="C27329" s="2"/>
    </row>
    <row r="27330" spans="3:3" x14ac:dyDescent="0.35">
      <c r="C27330" s="2"/>
    </row>
    <row r="27331" spans="3:3" x14ac:dyDescent="0.35">
      <c r="C27331" s="2"/>
    </row>
    <row r="27332" spans="3:3" x14ac:dyDescent="0.35">
      <c r="C27332" s="2"/>
    </row>
    <row r="27333" spans="3:3" x14ac:dyDescent="0.35">
      <c r="C27333" s="2"/>
    </row>
    <row r="27334" spans="3:3" x14ac:dyDescent="0.35">
      <c r="C27334" s="2"/>
    </row>
    <row r="27335" spans="3:3" x14ac:dyDescent="0.35">
      <c r="C27335" s="2"/>
    </row>
    <row r="27336" spans="3:3" x14ac:dyDescent="0.35">
      <c r="C27336" s="2"/>
    </row>
    <row r="27337" spans="3:3" x14ac:dyDescent="0.35">
      <c r="C27337" s="2"/>
    </row>
    <row r="27338" spans="3:3" x14ac:dyDescent="0.35">
      <c r="C27338" s="2"/>
    </row>
    <row r="27339" spans="3:3" x14ac:dyDescent="0.35">
      <c r="C27339" s="2"/>
    </row>
    <row r="27340" spans="3:3" x14ac:dyDescent="0.35">
      <c r="C27340" s="2"/>
    </row>
    <row r="27341" spans="3:3" x14ac:dyDescent="0.35">
      <c r="C27341" s="2"/>
    </row>
    <row r="27342" spans="3:3" x14ac:dyDescent="0.35">
      <c r="C27342" s="2"/>
    </row>
    <row r="27343" spans="3:3" x14ac:dyDescent="0.35">
      <c r="C27343" s="2"/>
    </row>
    <row r="27344" spans="3:3" x14ac:dyDescent="0.35">
      <c r="C27344" s="2"/>
    </row>
    <row r="27345" spans="3:3" x14ac:dyDescent="0.35">
      <c r="C27345" s="2"/>
    </row>
    <row r="27346" spans="3:3" x14ac:dyDescent="0.35">
      <c r="C27346" s="2"/>
    </row>
    <row r="27347" spans="3:3" x14ac:dyDescent="0.35">
      <c r="C27347" s="2"/>
    </row>
    <row r="27348" spans="3:3" x14ac:dyDescent="0.35">
      <c r="C27348" s="2"/>
    </row>
    <row r="27349" spans="3:3" x14ac:dyDescent="0.35">
      <c r="C27349" s="2"/>
    </row>
    <row r="27350" spans="3:3" x14ac:dyDescent="0.35">
      <c r="C27350" s="2"/>
    </row>
    <row r="27351" spans="3:3" x14ac:dyDescent="0.35">
      <c r="C27351" s="2"/>
    </row>
    <row r="27352" spans="3:3" x14ac:dyDescent="0.35">
      <c r="C27352" s="2"/>
    </row>
    <row r="27353" spans="3:3" x14ac:dyDescent="0.35">
      <c r="C27353" s="2"/>
    </row>
    <row r="27354" spans="3:3" x14ac:dyDescent="0.35">
      <c r="C27354" s="2"/>
    </row>
    <row r="27355" spans="3:3" x14ac:dyDescent="0.35">
      <c r="C27355" s="2"/>
    </row>
    <row r="27356" spans="3:3" x14ac:dyDescent="0.35">
      <c r="C27356" s="2"/>
    </row>
    <row r="27357" spans="3:3" x14ac:dyDescent="0.35">
      <c r="C27357" s="2"/>
    </row>
    <row r="27358" spans="3:3" x14ac:dyDescent="0.35">
      <c r="C27358" s="2"/>
    </row>
    <row r="27359" spans="3:3" x14ac:dyDescent="0.35">
      <c r="C27359" s="2"/>
    </row>
    <row r="27360" spans="3:3" x14ac:dyDescent="0.35">
      <c r="C27360" s="2"/>
    </row>
    <row r="27361" spans="3:3" x14ac:dyDescent="0.35">
      <c r="C27361" s="2"/>
    </row>
    <row r="27362" spans="3:3" x14ac:dyDescent="0.35">
      <c r="C27362" s="2"/>
    </row>
    <row r="27363" spans="3:3" x14ac:dyDescent="0.35">
      <c r="C27363" s="2"/>
    </row>
    <row r="27364" spans="3:3" x14ac:dyDescent="0.35">
      <c r="C27364" s="2"/>
    </row>
    <row r="27365" spans="3:3" x14ac:dyDescent="0.35">
      <c r="C27365" s="2"/>
    </row>
    <row r="27366" spans="3:3" x14ac:dyDescent="0.35">
      <c r="C27366" s="2"/>
    </row>
    <row r="27367" spans="3:3" x14ac:dyDescent="0.35">
      <c r="C27367" s="2"/>
    </row>
    <row r="27368" spans="3:3" x14ac:dyDescent="0.35">
      <c r="C27368" s="2"/>
    </row>
    <row r="27369" spans="3:3" x14ac:dyDescent="0.35">
      <c r="C27369" s="2"/>
    </row>
    <row r="27370" spans="3:3" x14ac:dyDescent="0.35">
      <c r="C27370" s="2"/>
    </row>
    <row r="27371" spans="3:3" x14ac:dyDescent="0.35">
      <c r="C27371" s="2"/>
    </row>
    <row r="27372" spans="3:3" x14ac:dyDescent="0.35">
      <c r="C27372" s="2"/>
    </row>
    <row r="27373" spans="3:3" x14ac:dyDescent="0.35">
      <c r="C27373" s="2"/>
    </row>
    <row r="27374" spans="3:3" x14ac:dyDescent="0.35">
      <c r="C27374" s="2"/>
    </row>
    <row r="27375" spans="3:3" x14ac:dyDescent="0.35">
      <c r="C27375" s="2"/>
    </row>
    <row r="27376" spans="3:3" x14ac:dyDescent="0.35">
      <c r="C27376" s="2"/>
    </row>
    <row r="27377" spans="3:3" x14ac:dyDescent="0.35">
      <c r="C27377" s="2"/>
    </row>
    <row r="27378" spans="3:3" x14ac:dyDescent="0.35">
      <c r="C27378" s="2"/>
    </row>
    <row r="27379" spans="3:3" x14ac:dyDescent="0.35">
      <c r="C27379" s="2"/>
    </row>
    <row r="27380" spans="3:3" x14ac:dyDescent="0.35">
      <c r="C27380" s="2"/>
    </row>
    <row r="27381" spans="3:3" x14ac:dyDescent="0.35">
      <c r="C27381" s="2"/>
    </row>
    <row r="27382" spans="3:3" x14ac:dyDescent="0.35">
      <c r="C27382" s="2"/>
    </row>
    <row r="27383" spans="3:3" x14ac:dyDescent="0.35">
      <c r="C27383" s="2"/>
    </row>
    <row r="27384" spans="3:3" x14ac:dyDescent="0.35">
      <c r="C27384" s="2"/>
    </row>
    <row r="27385" spans="3:3" x14ac:dyDescent="0.35">
      <c r="C27385" s="2"/>
    </row>
    <row r="27386" spans="3:3" x14ac:dyDescent="0.35">
      <c r="C27386" s="2"/>
    </row>
    <row r="27387" spans="3:3" x14ac:dyDescent="0.35">
      <c r="C27387" s="2"/>
    </row>
    <row r="27388" spans="3:3" x14ac:dyDescent="0.35">
      <c r="C27388" s="2"/>
    </row>
    <row r="27389" spans="3:3" x14ac:dyDescent="0.35">
      <c r="C27389" s="2"/>
    </row>
    <row r="27390" spans="3:3" x14ac:dyDescent="0.35">
      <c r="C27390" s="2"/>
    </row>
    <row r="27391" spans="3:3" x14ac:dyDescent="0.35">
      <c r="C27391" s="2"/>
    </row>
    <row r="27392" spans="3:3" x14ac:dyDescent="0.35">
      <c r="C27392" s="2"/>
    </row>
    <row r="27393" spans="3:3" x14ac:dyDescent="0.35">
      <c r="C27393" s="2"/>
    </row>
    <row r="27394" spans="3:3" x14ac:dyDescent="0.35">
      <c r="C27394" s="2"/>
    </row>
    <row r="27395" spans="3:3" x14ac:dyDescent="0.35">
      <c r="C27395" s="2"/>
    </row>
    <row r="27396" spans="3:3" x14ac:dyDescent="0.35">
      <c r="C27396" s="2"/>
    </row>
    <row r="27397" spans="3:3" x14ac:dyDescent="0.35">
      <c r="C27397" s="2"/>
    </row>
    <row r="27398" spans="3:3" x14ac:dyDescent="0.35">
      <c r="C27398" s="2"/>
    </row>
    <row r="27399" spans="3:3" x14ac:dyDescent="0.35">
      <c r="C27399" s="2"/>
    </row>
    <row r="27400" spans="3:3" x14ac:dyDescent="0.35">
      <c r="C27400" s="2"/>
    </row>
    <row r="27401" spans="3:3" x14ac:dyDescent="0.35">
      <c r="C27401" s="2"/>
    </row>
    <row r="27402" spans="3:3" x14ac:dyDescent="0.35">
      <c r="C27402" s="2"/>
    </row>
    <row r="27403" spans="3:3" x14ac:dyDescent="0.35">
      <c r="C27403" s="2"/>
    </row>
    <row r="27404" spans="3:3" x14ac:dyDescent="0.35">
      <c r="C27404" s="2"/>
    </row>
    <row r="27405" spans="3:3" x14ac:dyDescent="0.35">
      <c r="C27405" s="2"/>
    </row>
    <row r="27406" spans="3:3" x14ac:dyDescent="0.35">
      <c r="C27406" s="2"/>
    </row>
    <row r="27407" spans="3:3" x14ac:dyDescent="0.35">
      <c r="C27407" s="2"/>
    </row>
    <row r="27408" spans="3:3" x14ac:dyDescent="0.35">
      <c r="C27408" s="2"/>
    </row>
    <row r="27409" spans="3:3" x14ac:dyDescent="0.35">
      <c r="C27409" s="2"/>
    </row>
    <row r="27410" spans="3:3" x14ac:dyDescent="0.35">
      <c r="C27410" s="2"/>
    </row>
    <row r="27411" spans="3:3" x14ac:dyDescent="0.35">
      <c r="C27411" s="2"/>
    </row>
    <row r="27412" spans="3:3" x14ac:dyDescent="0.35">
      <c r="C27412" s="2"/>
    </row>
    <row r="27413" spans="3:3" x14ac:dyDescent="0.35">
      <c r="C27413" s="2"/>
    </row>
    <row r="27414" spans="3:3" x14ac:dyDescent="0.35">
      <c r="C27414" s="2"/>
    </row>
    <row r="27415" spans="3:3" x14ac:dyDescent="0.35">
      <c r="C27415" s="2"/>
    </row>
    <row r="27416" spans="3:3" x14ac:dyDescent="0.35">
      <c r="C27416" s="2"/>
    </row>
    <row r="27417" spans="3:3" x14ac:dyDescent="0.35">
      <c r="C27417" s="2"/>
    </row>
    <row r="27418" spans="3:3" x14ac:dyDescent="0.35">
      <c r="C27418" s="2"/>
    </row>
    <row r="27419" spans="3:3" x14ac:dyDescent="0.35">
      <c r="C27419" s="2"/>
    </row>
    <row r="27420" spans="3:3" x14ac:dyDescent="0.35">
      <c r="C27420" s="2"/>
    </row>
    <row r="27421" spans="3:3" x14ac:dyDescent="0.35">
      <c r="C27421" s="2"/>
    </row>
    <row r="27422" spans="3:3" x14ac:dyDescent="0.35">
      <c r="C27422" s="2"/>
    </row>
    <row r="27423" spans="3:3" x14ac:dyDescent="0.35">
      <c r="C27423" s="2"/>
    </row>
    <row r="27424" spans="3:3" x14ac:dyDescent="0.35">
      <c r="C27424" s="2"/>
    </row>
    <row r="27425" spans="3:3" x14ac:dyDescent="0.35">
      <c r="C27425" s="2"/>
    </row>
    <row r="27426" spans="3:3" x14ac:dyDescent="0.35">
      <c r="C27426" s="2"/>
    </row>
    <row r="27427" spans="3:3" x14ac:dyDescent="0.35">
      <c r="C27427" s="2"/>
    </row>
    <row r="27428" spans="3:3" x14ac:dyDescent="0.35">
      <c r="C27428" s="2"/>
    </row>
    <row r="27429" spans="3:3" x14ac:dyDescent="0.35">
      <c r="C27429" s="2"/>
    </row>
    <row r="27430" spans="3:3" x14ac:dyDescent="0.35">
      <c r="C27430" s="2"/>
    </row>
    <row r="27431" spans="3:3" x14ac:dyDescent="0.35">
      <c r="C27431" s="2"/>
    </row>
    <row r="27432" spans="3:3" x14ac:dyDescent="0.35">
      <c r="C27432" s="2"/>
    </row>
    <row r="27433" spans="3:3" x14ac:dyDescent="0.35">
      <c r="C27433" s="2"/>
    </row>
    <row r="27434" spans="3:3" x14ac:dyDescent="0.35">
      <c r="C27434" s="2"/>
    </row>
    <row r="27435" spans="3:3" x14ac:dyDescent="0.35">
      <c r="C27435" s="2"/>
    </row>
    <row r="27436" spans="3:3" x14ac:dyDescent="0.35">
      <c r="C27436" s="2"/>
    </row>
    <row r="27437" spans="3:3" x14ac:dyDescent="0.35">
      <c r="C27437" s="2"/>
    </row>
    <row r="27438" spans="3:3" x14ac:dyDescent="0.35">
      <c r="C27438" s="2"/>
    </row>
    <row r="27439" spans="3:3" x14ac:dyDescent="0.35">
      <c r="C27439" s="2"/>
    </row>
    <row r="27440" spans="3:3" x14ac:dyDescent="0.35">
      <c r="C27440" s="2"/>
    </row>
    <row r="27441" spans="3:3" x14ac:dyDescent="0.35">
      <c r="C27441" s="2"/>
    </row>
    <row r="27442" spans="3:3" x14ac:dyDescent="0.35">
      <c r="C27442" s="2"/>
    </row>
    <row r="27443" spans="3:3" x14ac:dyDescent="0.35">
      <c r="C27443" s="2"/>
    </row>
    <row r="27444" spans="3:3" x14ac:dyDescent="0.35">
      <c r="C27444" s="2"/>
    </row>
    <row r="27445" spans="3:3" x14ac:dyDescent="0.35">
      <c r="C27445" s="2"/>
    </row>
    <row r="27446" spans="3:3" x14ac:dyDescent="0.35">
      <c r="C27446" s="2"/>
    </row>
    <row r="27447" spans="3:3" x14ac:dyDescent="0.35">
      <c r="C27447" s="2"/>
    </row>
    <row r="27448" spans="3:3" x14ac:dyDescent="0.35">
      <c r="C27448" s="2"/>
    </row>
    <row r="27449" spans="3:3" x14ac:dyDescent="0.35">
      <c r="C27449" s="2"/>
    </row>
    <row r="27450" spans="3:3" x14ac:dyDescent="0.35">
      <c r="C27450" s="2"/>
    </row>
    <row r="27451" spans="3:3" x14ac:dyDescent="0.35">
      <c r="C27451" s="2"/>
    </row>
    <row r="27452" spans="3:3" x14ac:dyDescent="0.35">
      <c r="C27452" s="2"/>
    </row>
    <row r="27453" spans="3:3" x14ac:dyDescent="0.35">
      <c r="C27453" s="2"/>
    </row>
    <row r="27454" spans="3:3" x14ac:dyDescent="0.35">
      <c r="C27454" s="2"/>
    </row>
    <row r="27455" spans="3:3" x14ac:dyDescent="0.35">
      <c r="C27455" s="2"/>
    </row>
    <row r="27456" spans="3:3" x14ac:dyDescent="0.35">
      <c r="C27456" s="2"/>
    </row>
    <row r="27457" spans="3:3" x14ac:dyDescent="0.35">
      <c r="C27457" s="2"/>
    </row>
    <row r="27458" spans="3:3" x14ac:dyDescent="0.35">
      <c r="C27458" s="2"/>
    </row>
    <row r="27459" spans="3:3" x14ac:dyDescent="0.35">
      <c r="C27459" s="2"/>
    </row>
    <row r="27460" spans="3:3" x14ac:dyDescent="0.35">
      <c r="C27460" s="2"/>
    </row>
    <row r="27461" spans="3:3" x14ac:dyDescent="0.35">
      <c r="C27461" s="2"/>
    </row>
    <row r="27462" spans="3:3" x14ac:dyDescent="0.35">
      <c r="C27462" s="2"/>
    </row>
    <row r="27463" spans="3:3" x14ac:dyDescent="0.35">
      <c r="C27463" s="2"/>
    </row>
    <row r="27464" spans="3:3" x14ac:dyDescent="0.35">
      <c r="C27464" s="2"/>
    </row>
    <row r="27465" spans="3:3" x14ac:dyDescent="0.35">
      <c r="C27465" s="2"/>
    </row>
    <row r="27466" spans="3:3" x14ac:dyDescent="0.35">
      <c r="C27466" s="2"/>
    </row>
    <row r="27467" spans="3:3" x14ac:dyDescent="0.35">
      <c r="C27467" s="2"/>
    </row>
    <row r="27468" spans="3:3" x14ac:dyDescent="0.35">
      <c r="C27468" s="2"/>
    </row>
    <row r="27469" spans="3:3" x14ac:dyDescent="0.35">
      <c r="C27469" s="2"/>
    </row>
    <row r="27470" spans="3:3" x14ac:dyDescent="0.35">
      <c r="C27470" s="2"/>
    </row>
    <row r="27471" spans="3:3" x14ac:dyDescent="0.35">
      <c r="C27471" s="2"/>
    </row>
    <row r="27472" spans="3:3" x14ac:dyDescent="0.35">
      <c r="C27472" s="2"/>
    </row>
    <row r="27473" spans="3:3" x14ac:dyDescent="0.35">
      <c r="C27473" s="2"/>
    </row>
    <row r="27474" spans="3:3" x14ac:dyDescent="0.35">
      <c r="C27474" s="2"/>
    </row>
    <row r="27475" spans="3:3" x14ac:dyDescent="0.35">
      <c r="C27475" s="2"/>
    </row>
    <row r="27476" spans="3:3" x14ac:dyDescent="0.35">
      <c r="C27476" s="2"/>
    </row>
    <row r="27477" spans="3:3" x14ac:dyDescent="0.35">
      <c r="C27477" s="2"/>
    </row>
    <row r="27478" spans="3:3" x14ac:dyDescent="0.35">
      <c r="C27478" s="2"/>
    </row>
    <row r="27479" spans="3:3" x14ac:dyDescent="0.35">
      <c r="C27479" s="2"/>
    </row>
    <row r="27480" spans="3:3" x14ac:dyDescent="0.35">
      <c r="C27480" s="2"/>
    </row>
    <row r="27481" spans="3:3" x14ac:dyDescent="0.35">
      <c r="C27481" s="2"/>
    </row>
    <row r="27482" spans="3:3" x14ac:dyDescent="0.35">
      <c r="C27482" s="2"/>
    </row>
    <row r="27483" spans="3:3" x14ac:dyDescent="0.35">
      <c r="C27483" s="2"/>
    </row>
    <row r="27484" spans="3:3" x14ac:dyDescent="0.35">
      <c r="C27484" s="2"/>
    </row>
    <row r="27485" spans="3:3" x14ac:dyDescent="0.35">
      <c r="C27485" s="2"/>
    </row>
    <row r="27486" spans="3:3" x14ac:dyDescent="0.35">
      <c r="C27486" s="2"/>
    </row>
    <row r="27487" spans="3:3" x14ac:dyDescent="0.35">
      <c r="C27487" s="2"/>
    </row>
    <row r="27488" spans="3:3" x14ac:dyDescent="0.35">
      <c r="C27488" s="2"/>
    </row>
    <row r="27489" spans="3:3" x14ac:dyDescent="0.35">
      <c r="C27489" s="2"/>
    </row>
    <row r="27490" spans="3:3" x14ac:dyDescent="0.35">
      <c r="C27490" s="2"/>
    </row>
    <row r="27491" spans="3:3" x14ac:dyDescent="0.35">
      <c r="C27491" s="2"/>
    </row>
    <row r="27492" spans="3:3" x14ac:dyDescent="0.35">
      <c r="C27492" s="2"/>
    </row>
    <row r="27493" spans="3:3" x14ac:dyDescent="0.35">
      <c r="C27493" s="2"/>
    </row>
    <row r="27494" spans="3:3" x14ac:dyDescent="0.35">
      <c r="C27494" s="2"/>
    </row>
    <row r="27495" spans="3:3" x14ac:dyDescent="0.35">
      <c r="C27495" s="2"/>
    </row>
    <row r="27496" spans="3:3" x14ac:dyDescent="0.35">
      <c r="C27496" s="2"/>
    </row>
    <row r="27497" spans="3:3" x14ac:dyDescent="0.35">
      <c r="C27497" s="2"/>
    </row>
    <row r="27498" spans="3:3" x14ac:dyDescent="0.35">
      <c r="C27498" s="2"/>
    </row>
    <row r="27499" spans="3:3" x14ac:dyDescent="0.35">
      <c r="C27499" s="2"/>
    </row>
    <row r="27500" spans="3:3" x14ac:dyDescent="0.35">
      <c r="C27500" s="2"/>
    </row>
    <row r="27501" spans="3:3" x14ac:dyDescent="0.35">
      <c r="C27501" s="2"/>
    </row>
    <row r="27502" spans="3:3" x14ac:dyDescent="0.35">
      <c r="C27502" s="2"/>
    </row>
    <row r="27503" spans="3:3" x14ac:dyDescent="0.35">
      <c r="C27503" s="2"/>
    </row>
    <row r="27504" spans="3:3" x14ac:dyDescent="0.35">
      <c r="C27504" s="2"/>
    </row>
    <row r="27505" spans="3:3" x14ac:dyDescent="0.35">
      <c r="C27505" s="2"/>
    </row>
    <row r="27506" spans="3:3" x14ac:dyDescent="0.35">
      <c r="C27506" s="2"/>
    </row>
    <row r="27507" spans="3:3" x14ac:dyDescent="0.35">
      <c r="C27507" s="2"/>
    </row>
    <row r="27508" spans="3:3" x14ac:dyDescent="0.35">
      <c r="C27508" s="2"/>
    </row>
    <row r="27509" spans="3:3" x14ac:dyDescent="0.35">
      <c r="C27509" s="2"/>
    </row>
    <row r="27510" spans="3:3" x14ac:dyDescent="0.35">
      <c r="C27510" s="2"/>
    </row>
    <row r="27511" spans="3:3" x14ac:dyDescent="0.35">
      <c r="C27511" s="2"/>
    </row>
    <row r="27512" spans="3:3" x14ac:dyDescent="0.35">
      <c r="C27512" s="2"/>
    </row>
    <row r="27513" spans="3:3" x14ac:dyDescent="0.35">
      <c r="C27513" s="2"/>
    </row>
    <row r="27514" spans="3:3" x14ac:dyDescent="0.35">
      <c r="C27514" s="2"/>
    </row>
    <row r="27515" spans="3:3" x14ac:dyDescent="0.35">
      <c r="C27515" s="2"/>
    </row>
    <row r="27516" spans="3:3" x14ac:dyDescent="0.35">
      <c r="C27516" s="2"/>
    </row>
    <row r="27517" spans="3:3" x14ac:dyDescent="0.35">
      <c r="C27517" s="2"/>
    </row>
    <row r="27518" spans="3:3" x14ac:dyDescent="0.35">
      <c r="C27518" s="2"/>
    </row>
    <row r="27519" spans="3:3" x14ac:dyDescent="0.35">
      <c r="C27519" s="2"/>
    </row>
    <row r="27520" spans="3:3" x14ac:dyDescent="0.35">
      <c r="C27520" s="2"/>
    </row>
    <row r="27521" spans="3:3" x14ac:dyDescent="0.35">
      <c r="C27521" s="2"/>
    </row>
    <row r="27522" spans="3:3" x14ac:dyDescent="0.35">
      <c r="C27522" s="2"/>
    </row>
    <row r="27523" spans="3:3" x14ac:dyDescent="0.35">
      <c r="C27523" s="2"/>
    </row>
    <row r="27524" spans="3:3" x14ac:dyDescent="0.35">
      <c r="C27524" s="2"/>
    </row>
    <row r="27525" spans="3:3" x14ac:dyDescent="0.35">
      <c r="C27525" s="2"/>
    </row>
    <row r="27526" spans="3:3" x14ac:dyDescent="0.35">
      <c r="C27526" s="2"/>
    </row>
    <row r="27527" spans="3:3" x14ac:dyDescent="0.35">
      <c r="C27527" s="2"/>
    </row>
    <row r="27528" spans="3:3" x14ac:dyDescent="0.35">
      <c r="C27528" s="2"/>
    </row>
    <row r="27529" spans="3:3" x14ac:dyDescent="0.35">
      <c r="C27529" s="2"/>
    </row>
    <row r="27530" spans="3:3" x14ac:dyDescent="0.35">
      <c r="C27530" s="2"/>
    </row>
    <row r="27531" spans="3:3" x14ac:dyDescent="0.35">
      <c r="C27531" s="2"/>
    </row>
    <row r="27532" spans="3:3" x14ac:dyDescent="0.35">
      <c r="C27532" s="2"/>
    </row>
    <row r="27533" spans="3:3" x14ac:dyDescent="0.35">
      <c r="C27533" s="2"/>
    </row>
    <row r="27534" spans="3:3" x14ac:dyDescent="0.35">
      <c r="C27534" s="2"/>
    </row>
    <row r="27535" spans="3:3" x14ac:dyDescent="0.35">
      <c r="C27535" s="2"/>
    </row>
    <row r="27536" spans="3:3" x14ac:dyDescent="0.35">
      <c r="C27536" s="2"/>
    </row>
    <row r="27537" spans="3:3" x14ac:dyDescent="0.35">
      <c r="C27537" s="2"/>
    </row>
    <row r="27538" spans="3:3" x14ac:dyDescent="0.35">
      <c r="C27538" s="2"/>
    </row>
    <row r="27539" spans="3:3" x14ac:dyDescent="0.35">
      <c r="C27539" s="2"/>
    </row>
    <row r="27540" spans="3:3" x14ac:dyDescent="0.35">
      <c r="C27540" s="2"/>
    </row>
    <row r="27541" spans="3:3" x14ac:dyDescent="0.35">
      <c r="C27541" s="2"/>
    </row>
    <row r="27542" spans="3:3" x14ac:dyDescent="0.35">
      <c r="C27542" s="2"/>
    </row>
    <row r="27543" spans="3:3" x14ac:dyDescent="0.35">
      <c r="C27543" s="2"/>
    </row>
    <row r="27544" spans="3:3" x14ac:dyDescent="0.35">
      <c r="C27544" s="2"/>
    </row>
    <row r="27545" spans="3:3" x14ac:dyDescent="0.35">
      <c r="C27545" s="2"/>
    </row>
    <row r="27546" spans="3:3" x14ac:dyDescent="0.35">
      <c r="C27546" s="2"/>
    </row>
    <row r="27547" spans="3:3" x14ac:dyDescent="0.35">
      <c r="C27547" s="2"/>
    </row>
    <row r="27548" spans="3:3" x14ac:dyDescent="0.35">
      <c r="C27548" s="2"/>
    </row>
    <row r="27549" spans="3:3" x14ac:dyDescent="0.35">
      <c r="C27549" s="2"/>
    </row>
    <row r="27550" spans="3:3" x14ac:dyDescent="0.35">
      <c r="C27550" s="2"/>
    </row>
    <row r="27551" spans="3:3" x14ac:dyDescent="0.35">
      <c r="C27551" s="2"/>
    </row>
    <row r="27552" spans="3:3" x14ac:dyDescent="0.35">
      <c r="C27552" s="2"/>
    </row>
    <row r="27553" spans="3:3" x14ac:dyDescent="0.35">
      <c r="C27553" s="2"/>
    </row>
    <row r="27554" spans="3:3" x14ac:dyDescent="0.35">
      <c r="C27554" s="2"/>
    </row>
    <row r="27555" spans="3:3" x14ac:dyDescent="0.35">
      <c r="C27555" s="2"/>
    </row>
    <row r="27556" spans="3:3" x14ac:dyDescent="0.35">
      <c r="C27556" s="2"/>
    </row>
    <row r="27557" spans="3:3" x14ac:dyDescent="0.35">
      <c r="C27557" s="2"/>
    </row>
    <row r="27558" spans="3:3" x14ac:dyDescent="0.35">
      <c r="C27558" s="2"/>
    </row>
    <row r="27559" spans="3:3" x14ac:dyDescent="0.35">
      <c r="C27559" s="2"/>
    </row>
    <row r="27560" spans="3:3" x14ac:dyDescent="0.35">
      <c r="C27560" s="2"/>
    </row>
    <row r="27561" spans="3:3" x14ac:dyDescent="0.35">
      <c r="C27561" s="2"/>
    </row>
    <row r="27562" spans="3:3" x14ac:dyDescent="0.35">
      <c r="C27562" s="2"/>
    </row>
    <row r="27563" spans="3:3" x14ac:dyDescent="0.35">
      <c r="C27563" s="2"/>
    </row>
    <row r="27564" spans="3:3" x14ac:dyDescent="0.35">
      <c r="C27564" s="2"/>
    </row>
    <row r="27565" spans="3:3" x14ac:dyDescent="0.35">
      <c r="C27565" s="2"/>
    </row>
    <row r="27566" spans="3:3" x14ac:dyDescent="0.35">
      <c r="C27566" s="2"/>
    </row>
    <row r="27567" spans="3:3" x14ac:dyDescent="0.35">
      <c r="C27567" s="2"/>
    </row>
    <row r="27568" spans="3:3" x14ac:dyDescent="0.35">
      <c r="C27568" s="2"/>
    </row>
    <row r="27569" spans="3:3" x14ac:dyDescent="0.35">
      <c r="C27569" s="2"/>
    </row>
    <row r="27570" spans="3:3" x14ac:dyDescent="0.35">
      <c r="C27570" s="2"/>
    </row>
    <row r="27571" spans="3:3" x14ac:dyDescent="0.35">
      <c r="C27571" s="2"/>
    </row>
    <row r="27572" spans="3:3" x14ac:dyDescent="0.35">
      <c r="C27572" s="2"/>
    </row>
    <row r="27573" spans="3:3" x14ac:dyDescent="0.35">
      <c r="C27573" s="2"/>
    </row>
    <row r="27574" spans="3:3" x14ac:dyDescent="0.35">
      <c r="C27574" s="2"/>
    </row>
    <row r="27575" spans="3:3" x14ac:dyDescent="0.35">
      <c r="C27575" s="2"/>
    </row>
    <row r="27576" spans="3:3" x14ac:dyDescent="0.35">
      <c r="C27576" s="2"/>
    </row>
    <row r="27577" spans="3:3" x14ac:dyDescent="0.35">
      <c r="C27577" s="2"/>
    </row>
    <row r="27578" spans="3:3" x14ac:dyDescent="0.35">
      <c r="C27578" s="2"/>
    </row>
    <row r="27579" spans="3:3" x14ac:dyDescent="0.35">
      <c r="C27579" s="2"/>
    </row>
    <row r="27580" spans="3:3" x14ac:dyDescent="0.35">
      <c r="C27580" s="2"/>
    </row>
    <row r="27581" spans="3:3" x14ac:dyDescent="0.35">
      <c r="C27581" s="2"/>
    </row>
    <row r="27582" spans="3:3" x14ac:dyDescent="0.35">
      <c r="C27582" s="2"/>
    </row>
    <row r="27583" spans="3:3" x14ac:dyDescent="0.35">
      <c r="C27583" s="2"/>
    </row>
    <row r="27584" spans="3:3" x14ac:dyDescent="0.35">
      <c r="C27584" s="2"/>
    </row>
    <row r="27585" spans="3:3" x14ac:dyDescent="0.35">
      <c r="C27585" s="2"/>
    </row>
    <row r="27586" spans="3:3" x14ac:dyDescent="0.35">
      <c r="C27586" s="2"/>
    </row>
    <row r="27587" spans="3:3" x14ac:dyDescent="0.35">
      <c r="C27587" s="2"/>
    </row>
    <row r="27588" spans="3:3" x14ac:dyDescent="0.35">
      <c r="C27588" s="2"/>
    </row>
    <row r="27589" spans="3:3" x14ac:dyDescent="0.35">
      <c r="C27589" s="2"/>
    </row>
    <row r="27590" spans="3:3" x14ac:dyDescent="0.35">
      <c r="C27590" s="2"/>
    </row>
    <row r="27591" spans="3:3" x14ac:dyDescent="0.35">
      <c r="C27591" s="2"/>
    </row>
    <row r="27592" spans="3:3" x14ac:dyDescent="0.35">
      <c r="C27592" s="2"/>
    </row>
    <row r="27593" spans="3:3" x14ac:dyDescent="0.35">
      <c r="C27593" s="2"/>
    </row>
    <row r="27594" spans="3:3" x14ac:dyDescent="0.35">
      <c r="C27594" s="2"/>
    </row>
    <row r="27595" spans="3:3" x14ac:dyDescent="0.35">
      <c r="C27595" s="2"/>
    </row>
    <row r="27596" spans="3:3" x14ac:dyDescent="0.35">
      <c r="C27596" s="2"/>
    </row>
    <row r="27597" spans="3:3" x14ac:dyDescent="0.35">
      <c r="C27597" s="2"/>
    </row>
    <row r="27598" spans="3:3" x14ac:dyDescent="0.35">
      <c r="C27598" s="2"/>
    </row>
    <row r="27599" spans="3:3" x14ac:dyDescent="0.35">
      <c r="C27599" s="2"/>
    </row>
    <row r="27600" spans="3:3" x14ac:dyDescent="0.35">
      <c r="C27600" s="2"/>
    </row>
    <row r="27601" spans="3:3" x14ac:dyDescent="0.35">
      <c r="C27601" s="2"/>
    </row>
    <row r="27602" spans="3:3" x14ac:dyDescent="0.35">
      <c r="C27602" s="2"/>
    </row>
    <row r="27603" spans="3:3" x14ac:dyDescent="0.35">
      <c r="C27603" s="2"/>
    </row>
    <row r="27604" spans="3:3" x14ac:dyDescent="0.35">
      <c r="C27604" s="2"/>
    </row>
    <row r="27605" spans="3:3" x14ac:dyDescent="0.35">
      <c r="C27605" s="2"/>
    </row>
    <row r="27606" spans="3:3" x14ac:dyDescent="0.35">
      <c r="C27606" s="2"/>
    </row>
    <row r="27607" spans="3:3" x14ac:dyDescent="0.35">
      <c r="C27607" s="2"/>
    </row>
    <row r="27608" spans="3:3" x14ac:dyDescent="0.35">
      <c r="C27608" s="2"/>
    </row>
    <row r="27609" spans="3:3" x14ac:dyDescent="0.35">
      <c r="C27609" s="2"/>
    </row>
    <row r="27610" spans="3:3" x14ac:dyDescent="0.35">
      <c r="C27610" s="2"/>
    </row>
    <row r="27611" spans="3:3" x14ac:dyDescent="0.35">
      <c r="C27611" s="2"/>
    </row>
    <row r="27612" spans="3:3" x14ac:dyDescent="0.35">
      <c r="C27612" s="2"/>
    </row>
    <row r="27613" spans="3:3" x14ac:dyDescent="0.35">
      <c r="C27613" s="2"/>
    </row>
    <row r="27614" spans="3:3" x14ac:dyDescent="0.35">
      <c r="C27614" s="2"/>
    </row>
    <row r="27615" spans="3:3" x14ac:dyDescent="0.35">
      <c r="C27615" s="2"/>
    </row>
    <row r="27616" spans="3:3" x14ac:dyDescent="0.35">
      <c r="C27616" s="2"/>
    </row>
    <row r="27617" spans="3:3" x14ac:dyDescent="0.35">
      <c r="C27617" s="2"/>
    </row>
    <row r="27618" spans="3:3" x14ac:dyDescent="0.35">
      <c r="C27618" s="2"/>
    </row>
    <row r="27619" spans="3:3" x14ac:dyDescent="0.35">
      <c r="C27619" s="2"/>
    </row>
    <row r="27620" spans="3:3" x14ac:dyDescent="0.35">
      <c r="C27620" s="2"/>
    </row>
    <row r="27621" spans="3:3" x14ac:dyDescent="0.35">
      <c r="C27621" s="2"/>
    </row>
    <row r="27622" spans="3:3" x14ac:dyDescent="0.35">
      <c r="C27622" s="2"/>
    </row>
    <row r="27623" spans="3:3" x14ac:dyDescent="0.35">
      <c r="C27623" s="2"/>
    </row>
    <row r="27624" spans="3:3" x14ac:dyDescent="0.35">
      <c r="C27624" s="2"/>
    </row>
    <row r="27625" spans="3:3" x14ac:dyDescent="0.35">
      <c r="C27625" s="2"/>
    </row>
    <row r="27626" spans="3:3" x14ac:dyDescent="0.35">
      <c r="C27626" s="2"/>
    </row>
    <row r="27627" spans="3:3" x14ac:dyDescent="0.35">
      <c r="C27627" s="2"/>
    </row>
    <row r="27628" spans="3:3" x14ac:dyDescent="0.35">
      <c r="C27628" s="2"/>
    </row>
    <row r="27629" spans="3:3" x14ac:dyDescent="0.35">
      <c r="C27629" s="2"/>
    </row>
    <row r="27630" spans="3:3" x14ac:dyDescent="0.35">
      <c r="C27630" s="2"/>
    </row>
    <row r="27631" spans="3:3" x14ac:dyDescent="0.35">
      <c r="C27631" s="2"/>
    </row>
    <row r="27632" spans="3:3" x14ac:dyDescent="0.35">
      <c r="C27632" s="2"/>
    </row>
    <row r="27633" spans="3:3" x14ac:dyDescent="0.35">
      <c r="C27633" s="2"/>
    </row>
    <row r="27634" spans="3:3" x14ac:dyDescent="0.35">
      <c r="C27634" s="2"/>
    </row>
    <row r="27635" spans="3:3" x14ac:dyDescent="0.35">
      <c r="C27635" s="2"/>
    </row>
    <row r="27636" spans="3:3" x14ac:dyDescent="0.35">
      <c r="C27636" s="2"/>
    </row>
    <row r="27637" spans="3:3" x14ac:dyDescent="0.35">
      <c r="C27637" s="2"/>
    </row>
    <row r="27638" spans="3:3" x14ac:dyDescent="0.35">
      <c r="C27638" s="2"/>
    </row>
    <row r="27639" spans="3:3" x14ac:dyDescent="0.35">
      <c r="C27639" s="2"/>
    </row>
    <row r="27640" spans="3:3" x14ac:dyDescent="0.35">
      <c r="C27640" s="2"/>
    </row>
    <row r="27641" spans="3:3" x14ac:dyDescent="0.35">
      <c r="C27641" s="2"/>
    </row>
    <row r="27642" spans="3:3" x14ac:dyDescent="0.35">
      <c r="C27642" s="2"/>
    </row>
    <row r="27643" spans="3:3" x14ac:dyDescent="0.35">
      <c r="C27643" s="2"/>
    </row>
    <row r="27644" spans="3:3" x14ac:dyDescent="0.35">
      <c r="C27644" s="2"/>
    </row>
    <row r="27645" spans="3:3" x14ac:dyDescent="0.35">
      <c r="C27645" s="2"/>
    </row>
    <row r="27646" spans="3:3" x14ac:dyDescent="0.35">
      <c r="C27646" s="2"/>
    </row>
    <row r="27647" spans="3:3" x14ac:dyDescent="0.35">
      <c r="C27647" s="2"/>
    </row>
    <row r="27648" spans="3:3" x14ac:dyDescent="0.35">
      <c r="C27648" s="2"/>
    </row>
    <row r="27649" spans="3:3" x14ac:dyDescent="0.35">
      <c r="C27649" s="2"/>
    </row>
    <row r="27650" spans="3:3" x14ac:dyDescent="0.35">
      <c r="C27650" s="2"/>
    </row>
    <row r="27651" spans="3:3" x14ac:dyDescent="0.35">
      <c r="C27651" s="2"/>
    </row>
    <row r="27652" spans="3:3" x14ac:dyDescent="0.35">
      <c r="C27652" s="2"/>
    </row>
    <row r="27653" spans="3:3" x14ac:dyDescent="0.35">
      <c r="C27653" s="2"/>
    </row>
    <row r="27654" spans="3:3" x14ac:dyDescent="0.35">
      <c r="C27654" s="2"/>
    </row>
    <row r="27655" spans="3:3" x14ac:dyDescent="0.35">
      <c r="C27655" s="2"/>
    </row>
    <row r="27656" spans="3:3" x14ac:dyDescent="0.35">
      <c r="C27656" s="2"/>
    </row>
    <row r="27657" spans="3:3" x14ac:dyDescent="0.35">
      <c r="C27657" s="2"/>
    </row>
    <row r="27658" spans="3:3" x14ac:dyDescent="0.35">
      <c r="C27658" s="2"/>
    </row>
    <row r="27659" spans="3:3" x14ac:dyDescent="0.35">
      <c r="C27659" s="2"/>
    </row>
    <row r="27660" spans="3:3" x14ac:dyDescent="0.35">
      <c r="C27660" s="2"/>
    </row>
    <row r="27661" spans="3:3" x14ac:dyDescent="0.35">
      <c r="C27661" s="2"/>
    </row>
    <row r="27662" spans="3:3" x14ac:dyDescent="0.35">
      <c r="C27662" s="2"/>
    </row>
    <row r="27663" spans="3:3" x14ac:dyDescent="0.35">
      <c r="C27663" s="2"/>
    </row>
    <row r="27664" spans="3:3" x14ac:dyDescent="0.35">
      <c r="C27664" s="2"/>
    </row>
    <row r="27665" spans="3:3" x14ac:dyDescent="0.35">
      <c r="C27665" s="2"/>
    </row>
    <row r="27666" spans="3:3" x14ac:dyDescent="0.35">
      <c r="C27666" s="2"/>
    </row>
    <row r="27667" spans="3:3" x14ac:dyDescent="0.35">
      <c r="C27667" s="2"/>
    </row>
    <row r="27668" spans="3:3" x14ac:dyDescent="0.35">
      <c r="C27668" s="2"/>
    </row>
    <row r="27669" spans="3:3" x14ac:dyDescent="0.35">
      <c r="C27669" s="2"/>
    </row>
    <row r="27670" spans="3:3" x14ac:dyDescent="0.35">
      <c r="C27670" s="2"/>
    </row>
    <row r="27671" spans="3:3" x14ac:dyDescent="0.35">
      <c r="C27671" s="2"/>
    </row>
    <row r="27672" spans="3:3" x14ac:dyDescent="0.35">
      <c r="C27672" s="2"/>
    </row>
    <row r="27673" spans="3:3" x14ac:dyDescent="0.35">
      <c r="C27673" s="2"/>
    </row>
    <row r="27674" spans="3:3" x14ac:dyDescent="0.35">
      <c r="C27674" s="2"/>
    </row>
    <row r="27675" spans="3:3" x14ac:dyDescent="0.35">
      <c r="C27675" s="2"/>
    </row>
    <row r="27676" spans="3:3" x14ac:dyDescent="0.35">
      <c r="C27676" s="2"/>
    </row>
    <row r="27677" spans="3:3" x14ac:dyDescent="0.35">
      <c r="C27677" s="2"/>
    </row>
    <row r="27678" spans="3:3" x14ac:dyDescent="0.35">
      <c r="C27678" s="2"/>
    </row>
    <row r="27679" spans="3:3" x14ac:dyDescent="0.35">
      <c r="C27679" s="2"/>
    </row>
    <row r="27680" spans="3:3" x14ac:dyDescent="0.35">
      <c r="C27680" s="2"/>
    </row>
    <row r="27681" spans="3:3" x14ac:dyDescent="0.35">
      <c r="C27681" s="2"/>
    </row>
    <row r="27682" spans="3:3" x14ac:dyDescent="0.35">
      <c r="C27682" s="2"/>
    </row>
    <row r="27683" spans="3:3" x14ac:dyDescent="0.35">
      <c r="C27683" s="2"/>
    </row>
    <row r="27684" spans="3:3" x14ac:dyDescent="0.35">
      <c r="C27684" s="2"/>
    </row>
    <row r="27685" spans="3:3" x14ac:dyDescent="0.35">
      <c r="C27685" s="2"/>
    </row>
    <row r="27686" spans="3:3" x14ac:dyDescent="0.35">
      <c r="C27686" s="2"/>
    </row>
    <row r="27687" spans="3:3" x14ac:dyDescent="0.35">
      <c r="C27687" s="2"/>
    </row>
    <row r="27688" spans="3:3" x14ac:dyDescent="0.35">
      <c r="C27688" s="2"/>
    </row>
    <row r="27689" spans="3:3" x14ac:dyDescent="0.35">
      <c r="C27689" s="2"/>
    </row>
    <row r="27690" spans="3:3" x14ac:dyDescent="0.35">
      <c r="C27690" s="2"/>
    </row>
    <row r="27691" spans="3:3" x14ac:dyDescent="0.35">
      <c r="C27691" s="2"/>
    </row>
    <row r="27692" spans="3:3" x14ac:dyDescent="0.35">
      <c r="C27692" s="2"/>
    </row>
    <row r="27693" spans="3:3" x14ac:dyDescent="0.35">
      <c r="C27693" s="2"/>
    </row>
    <row r="27694" spans="3:3" x14ac:dyDescent="0.35">
      <c r="C27694" s="2"/>
    </row>
    <row r="27695" spans="3:3" x14ac:dyDescent="0.35">
      <c r="C27695" s="2"/>
    </row>
    <row r="27696" spans="3:3" x14ac:dyDescent="0.35">
      <c r="C27696" s="2"/>
    </row>
    <row r="27697" spans="3:3" x14ac:dyDescent="0.35">
      <c r="C27697" s="2"/>
    </row>
    <row r="27698" spans="3:3" x14ac:dyDescent="0.35">
      <c r="C27698" s="2"/>
    </row>
    <row r="27699" spans="3:3" x14ac:dyDescent="0.35">
      <c r="C27699" s="2"/>
    </row>
    <row r="27700" spans="3:3" x14ac:dyDescent="0.35">
      <c r="C27700" s="2"/>
    </row>
    <row r="27701" spans="3:3" x14ac:dyDescent="0.35">
      <c r="C27701" s="2"/>
    </row>
    <row r="27702" spans="3:3" x14ac:dyDescent="0.35">
      <c r="C27702" s="2"/>
    </row>
    <row r="27703" spans="3:3" x14ac:dyDescent="0.35">
      <c r="C27703" s="2"/>
    </row>
    <row r="27704" spans="3:3" x14ac:dyDescent="0.35">
      <c r="C27704" s="2"/>
    </row>
    <row r="27705" spans="3:3" x14ac:dyDescent="0.35">
      <c r="C27705" s="2"/>
    </row>
    <row r="27706" spans="3:3" x14ac:dyDescent="0.35">
      <c r="C27706" s="2"/>
    </row>
    <row r="27707" spans="3:3" x14ac:dyDescent="0.35">
      <c r="C27707" s="2"/>
    </row>
    <row r="27708" spans="3:3" x14ac:dyDescent="0.35">
      <c r="C27708" s="2"/>
    </row>
    <row r="27709" spans="3:3" x14ac:dyDescent="0.35">
      <c r="C27709" s="2"/>
    </row>
    <row r="27710" spans="3:3" x14ac:dyDescent="0.35">
      <c r="C27710" s="2"/>
    </row>
    <row r="27711" spans="3:3" x14ac:dyDescent="0.35">
      <c r="C27711" s="2"/>
    </row>
    <row r="27712" spans="3:3" x14ac:dyDescent="0.35">
      <c r="C27712" s="2"/>
    </row>
    <row r="27713" spans="3:3" x14ac:dyDescent="0.35">
      <c r="C27713" s="2"/>
    </row>
    <row r="27714" spans="3:3" x14ac:dyDescent="0.35">
      <c r="C27714" s="2"/>
    </row>
    <row r="27715" spans="3:3" x14ac:dyDescent="0.35">
      <c r="C27715" s="2"/>
    </row>
    <row r="27716" spans="3:3" x14ac:dyDescent="0.35">
      <c r="C27716" s="2"/>
    </row>
    <row r="27717" spans="3:3" x14ac:dyDescent="0.35">
      <c r="C27717" s="2"/>
    </row>
    <row r="27718" spans="3:3" x14ac:dyDescent="0.35">
      <c r="C27718" s="2"/>
    </row>
    <row r="27719" spans="3:3" x14ac:dyDescent="0.35">
      <c r="C27719" s="2"/>
    </row>
    <row r="27720" spans="3:3" x14ac:dyDescent="0.35">
      <c r="C27720" s="2"/>
    </row>
    <row r="27721" spans="3:3" x14ac:dyDescent="0.35">
      <c r="C27721" s="2"/>
    </row>
    <row r="27722" spans="3:3" x14ac:dyDescent="0.35">
      <c r="C27722" s="2"/>
    </row>
    <row r="27723" spans="3:3" x14ac:dyDescent="0.35">
      <c r="C27723" s="2"/>
    </row>
    <row r="27724" spans="3:3" x14ac:dyDescent="0.35">
      <c r="C27724" s="2"/>
    </row>
    <row r="27725" spans="3:3" x14ac:dyDescent="0.35">
      <c r="C27725" s="2"/>
    </row>
    <row r="27726" spans="3:3" x14ac:dyDescent="0.35">
      <c r="C27726" s="2"/>
    </row>
    <row r="27727" spans="3:3" x14ac:dyDescent="0.35">
      <c r="C27727" s="2"/>
    </row>
    <row r="27728" spans="3:3" x14ac:dyDescent="0.35">
      <c r="C27728" s="2"/>
    </row>
    <row r="27729" spans="3:3" x14ac:dyDescent="0.35">
      <c r="C27729" s="2"/>
    </row>
    <row r="27730" spans="3:3" x14ac:dyDescent="0.35">
      <c r="C27730" s="2"/>
    </row>
    <row r="27731" spans="3:3" x14ac:dyDescent="0.35">
      <c r="C27731" s="2"/>
    </row>
    <row r="27732" spans="3:3" x14ac:dyDescent="0.35">
      <c r="C27732" s="2"/>
    </row>
    <row r="27733" spans="3:3" x14ac:dyDescent="0.35">
      <c r="C27733" s="2"/>
    </row>
    <row r="27734" spans="3:3" x14ac:dyDescent="0.35">
      <c r="C27734" s="2"/>
    </row>
    <row r="27735" spans="3:3" x14ac:dyDescent="0.35">
      <c r="C27735" s="2"/>
    </row>
    <row r="27736" spans="3:3" x14ac:dyDescent="0.35">
      <c r="C27736" s="2"/>
    </row>
    <row r="27737" spans="3:3" x14ac:dyDescent="0.35">
      <c r="C27737" s="2"/>
    </row>
    <row r="27738" spans="3:3" x14ac:dyDescent="0.35">
      <c r="C27738" s="2"/>
    </row>
    <row r="27739" spans="3:3" x14ac:dyDescent="0.35">
      <c r="C27739" s="2"/>
    </row>
    <row r="27740" spans="3:3" x14ac:dyDescent="0.35">
      <c r="C27740" s="2"/>
    </row>
    <row r="27741" spans="3:3" x14ac:dyDescent="0.35">
      <c r="C27741" s="2"/>
    </row>
    <row r="27742" spans="3:3" x14ac:dyDescent="0.35">
      <c r="C27742" s="2"/>
    </row>
    <row r="27743" spans="3:3" x14ac:dyDescent="0.35">
      <c r="C27743" s="2"/>
    </row>
    <row r="27744" spans="3:3" x14ac:dyDescent="0.35">
      <c r="C27744" s="2"/>
    </row>
    <row r="27745" spans="3:3" x14ac:dyDescent="0.35">
      <c r="C27745" s="2"/>
    </row>
    <row r="27746" spans="3:3" x14ac:dyDescent="0.35">
      <c r="C27746" s="2"/>
    </row>
    <row r="27747" spans="3:3" x14ac:dyDescent="0.35">
      <c r="C27747" s="2"/>
    </row>
    <row r="27748" spans="3:3" x14ac:dyDescent="0.35">
      <c r="C27748" s="2"/>
    </row>
    <row r="27749" spans="3:3" x14ac:dyDescent="0.35">
      <c r="C27749" s="2"/>
    </row>
    <row r="27750" spans="3:3" x14ac:dyDescent="0.35">
      <c r="C27750" s="2"/>
    </row>
    <row r="27751" spans="3:3" x14ac:dyDescent="0.35">
      <c r="C27751" s="2"/>
    </row>
    <row r="27752" spans="3:3" x14ac:dyDescent="0.35">
      <c r="C27752" s="2"/>
    </row>
    <row r="27753" spans="3:3" x14ac:dyDescent="0.35">
      <c r="C27753" s="2"/>
    </row>
    <row r="27754" spans="3:3" x14ac:dyDescent="0.35">
      <c r="C27754" s="2"/>
    </row>
    <row r="27755" spans="3:3" x14ac:dyDescent="0.35">
      <c r="C27755" s="2"/>
    </row>
    <row r="27756" spans="3:3" x14ac:dyDescent="0.35">
      <c r="C27756" s="2"/>
    </row>
    <row r="27757" spans="3:3" x14ac:dyDescent="0.35">
      <c r="C27757" s="2"/>
    </row>
    <row r="27758" spans="3:3" x14ac:dyDescent="0.35">
      <c r="C27758" s="2"/>
    </row>
    <row r="27759" spans="3:3" x14ac:dyDescent="0.35">
      <c r="C27759" s="2"/>
    </row>
    <row r="27760" spans="3:3" x14ac:dyDescent="0.35">
      <c r="C27760" s="2"/>
    </row>
    <row r="27761" spans="3:3" x14ac:dyDescent="0.35">
      <c r="C27761" s="2"/>
    </row>
    <row r="27762" spans="3:3" x14ac:dyDescent="0.35">
      <c r="C27762" s="2"/>
    </row>
    <row r="27763" spans="3:3" x14ac:dyDescent="0.35">
      <c r="C27763" s="2"/>
    </row>
    <row r="27764" spans="3:3" x14ac:dyDescent="0.35">
      <c r="C27764" s="2"/>
    </row>
    <row r="27765" spans="3:3" x14ac:dyDescent="0.35">
      <c r="C27765" s="2"/>
    </row>
    <row r="27766" spans="3:3" x14ac:dyDescent="0.35">
      <c r="C27766" s="2"/>
    </row>
    <row r="27767" spans="3:3" x14ac:dyDescent="0.35">
      <c r="C27767" s="2"/>
    </row>
    <row r="27768" spans="3:3" x14ac:dyDescent="0.35">
      <c r="C27768" s="2"/>
    </row>
    <row r="27769" spans="3:3" x14ac:dyDescent="0.35">
      <c r="C27769" s="2"/>
    </row>
    <row r="27770" spans="3:3" x14ac:dyDescent="0.35">
      <c r="C27770" s="2"/>
    </row>
    <row r="27771" spans="3:3" x14ac:dyDescent="0.35">
      <c r="C27771" s="2"/>
    </row>
    <row r="27772" spans="3:3" x14ac:dyDescent="0.35">
      <c r="C27772" s="2"/>
    </row>
    <row r="27773" spans="3:3" x14ac:dyDescent="0.35">
      <c r="C27773" s="2"/>
    </row>
    <row r="27774" spans="3:3" x14ac:dyDescent="0.35">
      <c r="C27774" s="2"/>
    </row>
    <row r="27775" spans="3:3" x14ac:dyDescent="0.35">
      <c r="C27775" s="2"/>
    </row>
    <row r="27776" spans="3:3" x14ac:dyDescent="0.35">
      <c r="C27776" s="2"/>
    </row>
    <row r="27777" spans="3:3" x14ac:dyDescent="0.35">
      <c r="C27777" s="2"/>
    </row>
    <row r="27778" spans="3:3" x14ac:dyDescent="0.35">
      <c r="C27778" s="2"/>
    </row>
    <row r="27779" spans="3:3" x14ac:dyDescent="0.35">
      <c r="C27779" s="2"/>
    </row>
    <row r="27780" spans="3:3" x14ac:dyDescent="0.35">
      <c r="C27780" s="2"/>
    </row>
    <row r="27781" spans="3:3" x14ac:dyDescent="0.35">
      <c r="C27781" s="2"/>
    </row>
    <row r="27782" spans="3:3" x14ac:dyDescent="0.35">
      <c r="C27782" s="2"/>
    </row>
    <row r="27783" spans="3:3" x14ac:dyDescent="0.35">
      <c r="C27783" s="2"/>
    </row>
    <row r="27784" spans="3:3" x14ac:dyDescent="0.35">
      <c r="C27784" s="2"/>
    </row>
    <row r="27785" spans="3:3" x14ac:dyDescent="0.35">
      <c r="C27785" s="2"/>
    </row>
    <row r="27786" spans="3:3" x14ac:dyDescent="0.35">
      <c r="C27786" s="2"/>
    </row>
    <row r="27787" spans="3:3" x14ac:dyDescent="0.35">
      <c r="C27787" s="2"/>
    </row>
    <row r="27788" spans="3:3" x14ac:dyDescent="0.35">
      <c r="C27788" s="2"/>
    </row>
    <row r="27789" spans="3:3" x14ac:dyDescent="0.35">
      <c r="C27789" s="2"/>
    </row>
    <row r="27790" spans="3:3" x14ac:dyDescent="0.35">
      <c r="C27790" s="2"/>
    </row>
    <row r="27791" spans="3:3" x14ac:dyDescent="0.35">
      <c r="C27791" s="2"/>
    </row>
    <row r="27792" spans="3:3" x14ac:dyDescent="0.35">
      <c r="C27792" s="2"/>
    </row>
    <row r="27793" spans="3:3" x14ac:dyDescent="0.35">
      <c r="C27793" s="2"/>
    </row>
    <row r="27794" spans="3:3" x14ac:dyDescent="0.35">
      <c r="C27794" s="2"/>
    </row>
    <row r="27795" spans="3:3" x14ac:dyDescent="0.35">
      <c r="C27795" s="2"/>
    </row>
    <row r="27796" spans="3:3" x14ac:dyDescent="0.35">
      <c r="C27796" s="2"/>
    </row>
    <row r="27797" spans="3:3" x14ac:dyDescent="0.35">
      <c r="C27797" s="2"/>
    </row>
    <row r="27798" spans="3:3" x14ac:dyDescent="0.35">
      <c r="C27798" s="2"/>
    </row>
    <row r="27799" spans="3:3" x14ac:dyDescent="0.35">
      <c r="C27799" s="2"/>
    </row>
    <row r="27800" spans="3:3" x14ac:dyDescent="0.35">
      <c r="C27800" s="2"/>
    </row>
    <row r="27801" spans="3:3" x14ac:dyDescent="0.35">
      <c r="C27801" s="2"/>
    </row>
    <row r="27802" spans="3:3" x14ac:dyDescent="0.35">
      <c r="C27802" s="2"/>
    </row>
    <row r="27803" spans="3:3" x14ac:dyDescent="0.35">
      <c r="C27803" s="2"/>
    </row>
    <row r="27804" spans="3:3" x14ac:dyDescent="0.35">
      <c r="C27804" s="2"/>
    </row>
    <row r="27805" spans="3:3" x14ac:dyDescent="0.35">
      <c r="C27805" s="2"/>
    </row>
    <row r="27806" spans="3:3" x14ac:dyDescent="0.35">
      <c r="C27806" s="2"/>
    </row>
    <row r="27807" spans="3:3" x14ac:dyDescent="0.35">
      <c r="C27807" s="2"/>
    </row>
    <row r="27808" spans="3:3" x14ac:dyDescent="0.35">
      <c r="C27808" s="2"/>
    </row>
    <row r="27809" spans="3:3" x14ac:dyDescent="0.35">
      <c r="C27809" s="2"/>
    </row>
    <row r="27810" spans="3:3" x14ac:dyDescent="0.35">
      <c r="C27810" s="2"/>
    </row>
    <row r="27811" spans="3:3" x14ac:dyDescent="0.35">
      <c r="C27811" s="2"/>
    </row>
    <row r="27812" spans="3:3" x14ac:dyDescent="0.35">
      <c r="C27812" s="2"/>
    </row>
    <row r="27813" spans="3:3" x14ac:dyDescent="0.35">
      <c r="C27813" s="2"/>
    </row>
    <row r="27814" spans="3:3" x14ac:dyDescent="0.35">
      <c r="C27814" s="2"/>
    </row>
    <row r="27815" spans="3:3" x14ac:dyDescent="0.35">
      <c r="C27815" s="2"/>
    </row>
    <row r="27816" spans="3:3" x14ac:dyDescent="0.35">
      <c r="C27816" s="2"/>
    </row>
    <row r="27817" spans="3:3" x14ac:dyDescent="0.35">
      <c r="C27817" s="2"/>
    </row>
    <row r="27818" spans="3:3" x14ac:dyDescent="0.35">
      <c r="C27818" s="2"/>
    </row>
    <row r="27819" spans="3:3" x14ac:dyDescent="0.35">
      <c r="C27819" s="2"/>
    </row>
    <row r="27820" spans="3:3" x14ac:dyDescent="0.35">
      <c r="C27820" s="2"/>
    </row>
    <row r="27821" spans="3:3" x14ac:dyDescent="0.35">
      <c r="C27821" s="2"/>
    </row>
    <row r="27822" spans="3:3" x14ac:dyDescent="0.35">
      <c r="C27822" s="2"/>
    </row>
    <row r="27823" spans="3:3" x14ac:dyDescent="0.35">
      <c r="C27823" s="2"/>
    </row>
    <row r="27824" spans="3:3" x14ac:dyDescent="0.35">
      <c r="C27824" s="2"/>
    </row>
    <row r="27825" spans="3:3" x14ac:dyDescent="0.35">
      <c r="C27825" s="2"/>
    </row>
    <row r="27826" spans="3:3" x14ac:dyDescent="0.35">
      <c r="C27826" s="2"/>
    </row>
    <row r="27827" spans="3:3" x14ac:dyDescent="0.35">
      <c r="C27827" s="2"/>
    </row>
    <row r="27828" spans="3:3" x14ac:dyDescent="0.35">
      <c r="C27828" s="2"/>
    </row>
    <row r="27829" spans="3:3" x14ac:dyDescent="0.35">
      <c r="C27829" s="2"/>
    </row>
    <row r="27830" spans="3:3" x14ac:dyDescent="0.35">
      <c r="C27830" s="2"/>
    </row>
    <row r="27831" spans="3:3" x14ac:dyDescent="0.35">
      <c r="C27831" s="2"/>
    </row>
    <row r="27832" spans="3:3" x14ac:dyDescent="0.35">
      <c r="C27832" s="2"/>
    </row>
    <row r="27833" spans="3:3" x14ac:dyDescent="0.35">
      <c r="C27833" s="2"/>
    </row>
    <row r="27834" spans="3:3" x14ac:dyDescent="0.35">
      <c r="C27834" s="2"/>
    </row>
    <row r="27835" spans="3:3" x14ac:dyDescent="0.35">
      <c r="C27835" s="2"/>
    </row>
    <row r="27836" spans="3:3" x14ac:dyDescent="0.35">
      <c r="C27836" s="2"/>
    </row>
    <row r="27837" spans="3:3" x14ac:dyDescent="0.35">
      <c r="C27837" s="2"/>
    </row>
    <row r="27838" spans="3:3" x14ac:dyDescent="0.35">
      <c r="C27838" s="2"/>
    </row>
    <row r="27839" spans="3:3" x14ac:dyDescent="0.35">
      <c r="C27839" s="2"/>
    </row>
    <row r="27840" spans="3:3" x14ac:dyDescent="0.35">
      <c r="C27840" s="2"/>
    </row>
    <row r="27841" spans="3:3" x14ac:dyDescent="0.35">
      <c r="C27841" s="2"/>
    </row>
    <row r="27842" spans="3:3" x14ac:dyDescent="0.35">
      <c r="C27842" s="2"/>
    </row>
    <row r="27843" spans="3:3" x14ac:dyDescent="0.35">
      <c r="C27843" s="2"/>
    </row>
    <row r="27844" spans="3:3" x14ac:dyDescent="0.35">
      <c r="C27844" s="2"/>
    </row>
    <row r="27845" spans="3:3" x14ac:dyDescent="0.35">
      <c r="C27845" s="2"/>
    </row>
    <row r="27846" spans="3:3" x14ac:dyDescent="0.35">
      <c r="C27846" s="2"/>
    </row>
    <row r="27847" spans="3:3" x14ac:dyDescent="0.35">
      <c r="C27847" s="2"/>
    </row>
    <row r="27848" spans="3:3" x14ac:dyDescent="0.35">
      <c r="C27848" s="2"/>
    </row>
    <row r="27849" spans="3:3" x14ac:dyDescent="0.35">
      <c r="C27849" s="2"/>
    </row>
    <row r="27850" spans="3:3" x14ac:dyDescent="0.35">
      <c r="C27850" s="2"/>
    </row>
    <row r="27851" spans="3:3" x14ac:dyDescent="0.35">
      <c r="C27851" s="2"/>
    </row>
    <row r="27852" spans="3:3" x14ac:dyDescent="0.35">
      <c r="C27852" s="2"/>
    </row>
    <row r="27853" spans="3:3" x14ac:dyDescent="0.35">
      <c r="C27853" s="2"/>
    </row>
    <row r="27854" spans="3:3" x14ac:dyDescent="0.35">
      <c r="C27854" s="2"/>
    </row>
    <row r="27855" spans="3:3" x14ac:dyDescent="0.35">
      <c r="C27855" s="2"/>
    </row>
    <row r="27856" spans="3:3" x14ac:dyDescent="0.35">
      <c r="C27856" s="2"/>
    </row>
    <row r="27857" spans="3:3" x14ac:dyDescent="0.35">
      <c r="C27857" s="2"/>
    </row>
    <row r="27858" spans="3:3" x14ac:dyDescent="0.35">
      <c r="C27858" s="2"/>
    </row>
    <row r="27859" spans="3:3" x14ac:dyDescent="0.35">
      <c r="C27859" s="2"/>
    </row>
    <row r="27860" spans="3:3" x14ac:dyDescent="0.35">
      <c r="C27860" s="2"/>
    </row>
    <row r="27861" spans="3:3" x14ac:dyDescent="0.35">
      <c r="C27861" s="2"/>
    </row>
    <row r="27862" spans="3:3" x14ac:dyDescent="0.35">
      <c r="C27862" s="2"/>
    </row>
    <row r="27863" spans="3:3" x14ac:dyDescent="0.35">
      <c r="C27863" s="2"/>
    </row>
    <row r="27864" spans="3:3" x14ac:dyDescent="0.35">
      <c r="C27864" s="2"/>
    </row>
    <row r="27865" spans="3:3" x14ac:dyDescent="0.35">
      <c r="C27865" s="2"/>
    </row>
    <row r="27866" spans="3:3" x14ac:dyDescent="0.35">
      <c r="C27866" s="2"/>
    </row>
    <row r="27867" spans="3:3" x14ac:dyDescent="0.35">
      <c r="C27867" s="2"/>
    </row>
    <row r="27868" spans="3:3" x14ac:dyDescent="0.35">
      <c r="C27868" s="2"/>
    </row>
    <row r="27869" spans="3:3" x14ac:dyDescent="0.35">
      <c r="C27869" s="2"/>
    </row>
    <row r="27870" spans="3:3" x14ac:dyDescent="0.35">
      <c r="C27870" s="2"/>
    </row>
    <row r="27871" spans="3:3" x14ac:dyDescent="0.35">
      <c r="C27871" s="2"/>
    </row>
    <row r="27872" spans="3:3" x14ac:dyDescent="0.35">
      <c r="C27872" s="2"/>
    </row>
    <row r="27873" spans="3:3" x14ac:dyDescent="0.35">
      <c r="C27873" s="2"/>
    </row>
    <row r="27874" spans="3:3" x14ac:dyDescent="0.35">
      <c r="C27874" s="2"/>
    </row>
    <row r="27875" spans="3:3" x14ac:dyDescent="0.35">
      <c r="C27875" s="2"/>
    </row>
    <row r="27876" spans="3:3" x14ac:dyDescent="0.35">
      <c r="C27876" s="2"/>
    </row>
    <row r="27877" spans="3:3" x14ac:dyDescent="0.35">
      <c r="C27877" s="2"/>
    </row>
    <row r="27878" spans="3:3" x14ac:dyDescent="0.35">
      <c r="C27878" s="2"/>
    </row>
    <row r="27879" spans="3:3" x14ac:dyDescent="0.35">
      <c r="C27879" s="2"/>
    </row>
    <row r="27880" spans="3:3" x14ac:dyDescent="0.35">
      <c r="C27880" s="2"/>
    </row>
    <row r="27881" spans="3:3" x14ac:dyDescent="0.35">
      <c r="C27881" s="2"/>
    </row>
    <row r="27882" spans="3:3" x14ac:dyDescent="0.35">
      <c r="C27882" s="2"/>
    </row>
    <row r="27883" spans="3:3" x14ac:dyDescent="0.35">
      <c r="C27883" s="2"/>
    </row>
    <row r="27884" spans="3:3" x14ac:dyDescent="0.35">
      <c r="C27884" s="2"/>
    </row>
    <row r="27885" spans="3:3" x14ac:dyDescent="0.35">
      <c r="C27885" s="2"/>
    </row>
    <row r="27886" spans="3:3" x14ac:dyDescent="0.35">
      <c r="C27886" s="2"/>
    </row>
    <row r="27887" spans="3:3" x14ac:dyDescent="0.35">
      <c r="C27887" s="2"/>
    </row>
    <row r="27888" spans="3:3" x14ac:dyDescent="0.35">
      <c r="C27888" s="2"/>
    </row>
    <row r="27889" spans="3:3" x14ac:dyDescent="0.35">
      <c r="C27889" s="2"/>
    </row>
    <row r="27890" spans="3:3" x14ac:dyDescent="0.35">
      <c r="C27890" s="2"/>
    </row>
    <row r="27891" spans="3:3" x14ac:dyDescent="0.35">
      <c r="C27891" s="2"/>
    </row>
    <row r="27892" spans="3:3" x14ac:dyDescent="0.35">
      <c r="C27892" s="2"/>
    </row>
    <row r="27893" spans="3:3" x14ac:dyDescent="0.35">
      <c r="C27893" s="2"/>
    </row>
    <row r="27894" spans="3:3" x14ac:dyDescent="0.35">
      <c r="C27894" s="2"/>
    </row>
    <row r="27895" spans="3:3" x14ac:dyDescent="0.35">
      <c r="C27895" s="2"/>
    </row>
    <row r="27896" spans="3:3" x14ac:dyDescent="0.35">
      <c r="C27896" s="2"/>
    </row>
    <row r="27897" spans="3:3" x14ac:dyDescent="0.35">
      <c r="C27897" s="2"/>
    </row>
    <row r="27898" spans="3:3" x14ac:dyDescent="0.35">
      <c r="C27898" s="2"/>
    </row>
    <row r="27899" spans="3:3" x14ac:dyDescent="0.35">
      <c r="C27899" s="2"/>
    </row>
    <row r="27900" spans="3:3" x14ac:dyDescent="0.35">
      <c r="C27900" s="2"/>
    </row>
    <row r="27901" spans="3:3" x14ac:dyDescent="0.35">
      <c r="C27901" s="2"/>
    </row>
    <row r="27902" spans="3:3" x14ac:dyDescent="0.35">
      <c r="C27902" s="2"/>
    </row>
    <row r="27903" spans="3:3" x14ac:dyDescent="0.35">
      <c r="C27903" s="2"/>
    </row>
    <row r="27904" spans="3:3" x14ac:dyDescent="0.35">
      <c r="C27904" s="2"/>
    </row>
    <row r="27905" spans="3:3" x14ac:dyDescent="0.35">
      <c r="C27905" s="2"/>
    </row>
    <row r="27906" spans="3:3" x14ac:dyDescent="0.35">
      <c r="C27906" s="2"/>
    </row>
    <row r="27907" spans="3:3" x14ac:dyDescent="0.35">
      <c r="C27907" s="2"/>
    </row>
    <row r="27908" spans="3:3" x14ac:dyDescent="0.35">
      <c r="C27908" s="2"/>
    </row>
    <row r="27909" spans="3:3" x14ac:dyDescent="0.35">
      <c r="C27909" s="2"/>
    </row>
    <row r="27910" spans="3:3" x14ac:dyDescent="0.35">
      <c r="C27910" s="2"/>
    </row>
    <row r="27911" spans="3:3" x14ac:dyDescent="0.35">
      <c r="C27911" s="2"/>
    </row>
    <row r="27912" spans="3:3" x14ac:dyDescent="0.35">
      <c r="C27912" s="2"/>
    </row>
    <row r="27913" spans="3:3" x14ac:dyDescent="0.35">
      <c r="C27913" s="2"/>
    </row>
    <row r="27914" spans="3:3" x14ac:dyDescent="0.35">
      <c r="C27914" s="2"/>
    </row>
    <row r="27915" spans="3:3" x14ac:dyDescent="0.35">
      <c r="C27915" s="2"/>
    </row>
    <row r="27916" spans="3:3" x14ac:dyDescent="0.35">
      <c r="C27916" s="2"/>
    </row>
    <row r="27917" spans="3:3" x14ac:dyDescent="0.35">
      <c r="C27917" s="2"/>
    </row>
    <row r="27918" spans="3:3" x14ac:dyDescent="0.35">
      <c r="C27918" s="2"/>
    </row>
    <row r="27919" spans="3:3" x14ac:dyDescent="0.35">
      <c r="C27919" s="2"/>
    </row>
    <row r="27920" spans="3:3" x14ac:dyDescent="0.35">
      <c r="C27920" s="2"/>
    </row>
    <row r="27921" spans="3:3" x14ac:dyDescent="0.35">
      <c r="C27921" s="2"/>
    </row>
    <row r="27922" spans="3:3" x14ac:dyDescent="0.35">
      <c r="C27922" s="2"/>
    </row>
    <row r="27923" spans="3:3" x14ac:dyDescent="0.35">
      <c r="C27923" s="2"/>
    </row>
    <row r="27924" spans="3:3" x14ac:dyDescent="0.35">
      <c r="C27924" s="2"/>
    </row>
    <row r="27925" spans="3:3" x14ac:dyDescent="0.35">
      <c r="C27925" s="2"/>
    </row>
    <row r="27926" spans="3:3" x14ac:dyDescent="0.35">
      <c r="C27926" s="2"/>
    </row>
    <row r="27927" spans="3:3" x14ac:dyDescent="0.35">
      <c r="C27927" s="2"/>
    </row>
    <row r="27928" spans="3:3" x14ac:dyDescent="0.35">
      <c r="C27928" s="2"/>
    </row>
    <row r="27929" spans="3:3" x14ac:dyDescent="0.35">
      <c r="C27929" s="2"/>
    </row>
    <row r="27930" spans="3:3" x14ac:dyDescent="0.35">
      <c r="C27930" s="2"/>
    </row>
    <row r="27931" spans="3:3" x14ac:dyDescent="0.35">
      <c r="C27931" s="2"/>
    </row>
    <row r="27932" spans="3:3" x14ac:dyDescent="0.35">
      <c r="C27932" s="2"/>
    </row>
    <row r="27933" spans="3:3" x14ac:dyDescent="0.35">
      <c r="C27933" s="2"/>
    </row>
    <row r="27934" spans="3:3" x14ac:dyDescent="0.35">
      <c r="C27934" s="2"/>
    </row>
    <row r="27935" spans="3:3" x14ac:dyDescent="0.35">
      <c r="C27935" s="2"/>
    </row>
    <row r="27936" spans="3:3" x14ac:dyDescent="0.35">
      <c r="C27936" s="2"/>
    </row>
    <row r="27937" spans="3:3" x14ac:dyDescent="0.35">
      <c r="C27937" s="2"/>
    </row>
    <row r="27938" spans="3:3" x14ac:dyDescent="0.35">
      <c r="C27938" s="2"/>
    </row>
    <row r="27939" spans="3:3" x14ac:dyDescent="0.35">
      <c r="C27939" s="2"/>
    </row>
    <row r="27940" spans="3:3" x14ac:dyDescent="0.35">
      <c r="C27940" s="2"/>
    </row>
    <row r="27941" spans="3:3" x14ac:dyDescent="0.35">
      <c r="C27941" s="2"/>
    </row>
    <row r="27942" spans="3:3" x14ac:dyDescent="0.35">
      <c r="C27942" s="2"/>
    </row>
    <row r="27943" spans="3:3" x14ac:dyDescent="0.35">
      <c r="C27943" s="2"/>
    </row>
    <row r="27944" spans="3:3" x14ac:dyDescent="0.35">
      <c r="C27944" s="2"/>
    </row>
    <row r="27945" spans="3:3" x14ac:dyDescent="0.35">
      <c r="C27945" s="2"/>
    </row>
    <row r="27946" spans="3:3" x14ac:dyDescent="0.35">
      <c r="C27946" s="2"/>
    </row>
    <row r="27947" spans="3:3" x14ac:dyDescent="0.35">
      <c r="C27947" s="2"/>
    </row>
    <row r="27948" spans="3:3" x14ac:dyDescent="0.35">
      <c r="C27948" s="2"/>
    </row>
    <row r="27949" spans="3:3" x14ac:dyDescent="0.35">
      <c r="C27949" s="2"/>
    </row>
    <row r="27950" spans="3:3" x14ac:dyDescent="0.35">
      <c r="C27950" s="2"/>
    </row>
    <row r="27951" spans="3:3" x14ac:dyDescent="0.35">
      <c r="C27951" s="2"/>
    </row>
    <row r="27952" spans="3:3" x14ac:dyDescent="0.35">
      <c r="C27952" s="2"/>
    </row>
    <row r="27953" spans="3:3" x14ac:dyDescent="0.35">
      <c r="C27953" s="2"/>
    </row>
    <row r="27954" spans="3:3" x14ac:dyDescent="0.35">
      <c r="C27954" s="2"/>
    </row>
    <row r="27955" spans="3:3" x14ac:dyDescent="0.35">
      <c r="C27955" s="2"/>
    </row>
    <row r="27956" spans="3:3" x14ac:dyDescent="0.35">
      <c r="C27956" s="2"/>
    </row>
    <row r="27957" spans="3:3" x14ac:dyDescent="0.35">
      <c r="C27957" s="2"/>
    </row>
    <row r="27958" spans="3:3" x14ac:dyDescent="0.35">
      <c r="C27958" s="2"/>
    </row>
    <row r="27959" spans="3:3" x14ac:dyDescent="0.35">
      <c r="C27959" s="2"/>
    </row>
    <row r="27960" spans="3:3" x14ac:dyDescent="0.35">
      <c r="C27960" s="2"/>
    </row>
    <row r="27961" spans="3:3" x14ac:dyDescent="0.35">
      <c r="C27961" s="2"/>
    </row>
    <row r="27962" spans="3:3" x14ac:dyDescent="0.35">
      <c r="C27962" s="2"/>
    </row>
    <row r="27963" spans="3:3" x14ac:dyDescent="0.35">
      <c r="C27963" s="2"/>
    </row>
    <row r="27964" spans="3:3" x14ac:dyDescent="0.35">
      <c r="C27964" s="2"/>
    </row>
    <row r="27965" spans="3:3" x14ac:dyDescent="0.35">
      <c r="C27965" s="2"/>
    </row>
    <row r="27966" spans="3:3" x14ac:dyDescent="0.35">
      <c r="C27966" s="2"/>
    </row>
    <row r="27967" spans="3:3" x14ac:dyDescent="0.35">
      <c r="C27967" s="2"/>
    </row>
    <row r="27968" spans="3:3" x14ac:dyDescent="0.35">
      <c r="C27968" s="2"/>
    </row>
    <row r="27969" spans="3:3" x14ac:dyDescent="0.35">
      <c r="C27969" s="2"/>
    </row>
    <row r="27970" spans="3:3" x14ac:dyDescent="0.35">
      <c r="C27970" s="2"/>
    </row>
    <row r="27971" spans="3:3" x14ac:dyDescent="0.35">
      <c r="C27971" s="2"/>
    </row>
    <row r="27972" spans="3:3" x14ac:dyDescent="0.35">
      <c r="C27972" s="2"/>
    </row>
    <row r="27973" spans="3:3" x14ac:dyDescent="0.35">
      <c r="C27973" s="2"/>
    </row>
    <row r="27974" spans="3:3" x14ac:dyDescent="0.35">
      <c r="C27974" s="2"/>
    </row>
    <row r="27975" spans="3:3" x14ac:dyDescent="0.35">
      <c r="C27975" s="2"/>
    </row>
    <row r="27976" spans="3:3" x14ac:dyDescent="0.35">
      <c r="C27976" s="2"/>
    </row>
    <row r="27977" spans="3:3" x14ac:dyDescent="0.35">
      <c r="C27977" s="2"/>
    </row>
    <row r="27978" spans="3:3" x14ac:dyDescent="0.35">
      <c r="C27978" s="2"/>
    </row>
    <row r="27979" spans="3:3" x14ac:dyDescent="0.35">
      <c r="C27979" s="2"/>
    </row>
    <row r="27980" spans="3:3" x14ac:dyDescent="0.35">
      <c r="C27980" s="2"/>
    </row>
    <row r="27981" spans="3:3" x14ac:dyDescent="0.35">
      <c r="C27981" s="2"/>
    </row>
    <row r="27982" spans="3:3" x14ac:dyDescent="0.35">
      <c r="C27982" s="2"/>
    </row>
    <row r="27983" spans="3:3" x14ac:dyDescent="0.35">
      <c r="C27983" s="2"/>
    </row>
    <row r="27984" spans="3:3" x14ac:dyDescent="0.35">
      <c r="C27984" s="2"/>
    </row>
    <row r="27985" spans="3:3" x14ac:dyDescent="0.35">
      <c r="C27985" s="2"/>
    </row>
    <row r="27986" spans="3:3" x14ac:dyDescent="0.35">
      <c r="C27986" s="2"/>
    </row>
    <row r="27987" spans="3:3" x14ac:dyDescent="0.35">
      <c r="C27987" s="2"/>
    </row>
    <row r="27988" spans="3:3" x14ac:dyDescent="0.35">
      <c r="C27988" s="2"/>
    </row>
    <row r="27989" spans="3:3" x14ac:dyDescent="0.35">
      <c r="C27989" s="2"/>
    </row>
    <row r="27990" spans="3:3" x14ac:dyDescent="0.35">
      <c r="C27990" s="2"/>
    </row>
    <row r="27991" spans="3:3" x14ac:dyDescent="0.35">
      <c r="C27991" s="2"/>
    </row>
    <row r="27992" spans="3:3" x14ac:dyDescent="0.35">
      <c r="C27992" s="2"/>
    </row>
    <row r="27993" spans="3:3" x14ac:dyDescent="0.35">
      <c r="C27993" s="2"/>
    </row>
    <row r="27994" spans="3:3" x14ac:dyDescent="0.35">
      <c r="C27994" s="2"/>
    </row>
    <row r="27995" spans="3:3" x14ac:dyDescent="0.35">
      <c r="C27995" s="2"/>
    </row>
    <row r="27996" spans="3:3" x14ac:dyDescent="0.35">
      <c r="C27996" s="2"/>
    </row>
    <row r="27997" spans="3:3" x14ac:dyDescent="0.35">
      <c r="C27997" s="2"/>
    </row>
    <row r="27998" spans="3:3" x14ac:dyDescent="0.35">
      <c r="C27998" s="2"/>
    </row>
    <row r="27999" spans="3:3" x14ac:dyDescent="0.35">
      <c r="C27999" s="2"/>
    </row>
    <row r="28000" spans="3:3" x14ac:dyDescent="0.35">
      <c r="C28000" s="2"/>
    </row>
    <row r="28001" spans="3:3" x14ac:dyDescent="0.35">
      <c r="C28001" s="2"/>
    </row>
    <row r="28002" spans="3:3" x14ac:dyDescent="0.35">
      <c r="C28002" s="2"/>
    </row>
    <row r="28003" spans="3:3" x14ac:dyDescent="0.35">
      <c r="C28003" s="2"/>
    </row>
    <row r="28004" spans="3:3" x14ac:dyDescent="0.35">
      <c r="C28004" s="2"/>
    </row>
    <row r="28005" spans="3:3" x14ac:dyDescent="0.35">
      <c r="C28005" s="2"/>
    </row>
    <row r="28006" spans="3:3" x14ac:dyDescent="0.35">
      <c r="C28006" s="2"/>
    </row>
    <row r="28007" spans="3:3" x14ac:dyDescent="0.35">
      <c r="C28007" s="2"/>
    </row>
    <row r="28008" spans="3:3" x14ac:dyDescent="0.35">
      <c r="C28008" s="2"/>
    </row>
    <row r="28009" spans="3:3" x14ac:dyDescent="0.35">
      <c r="C28009" s="2"/>
    </row>
    <row r="28010" spans="3:3" x14ac:dyDescent="0.35">
      <c r="C28010" s="2"/>
    </row>
    <row r="28011" spans="3:3" x14ac:dyDescent="0.35">
      <c r="C28011" s="2"/>
    </row>
    <row r="28012" spans="3:3" x14ac:dyDescent="0.35">
      <c r="C28012" s="2"/>
    </row>
    <row r="28013" spans="3:3" x14ac:dyDescent="0.35">
      <c r="C28013" s="2"/>
    </row>
    <row r="28014" spans="3:3" x14ac:dyDescent="0.35">
      <c r="C28014" s="2"/>
    </row>
    <row r="28015" spans="3:3" x14ac:dyDescent="0.35">
      <c r="C28015" s="2"/>
    </row>
    <row r="28016" spans="3:3" x14ac:dyDescent="0.35">
      <c r="C28016" s="2"/>
    </row>
    <row r="28017" spans="3:3" x14ac:dyDescent="0.35">
      <c r="C28017" s="2"/>
    </row>
    <row r="28018" spans="3:3" x14ac:dyDescent="0.35">
      <c r="C28018" s="2"/>
    </row>
    <row r="28019" spans="3:3" x14ac:dyDescent="0.35">
      <c r="C28019" s="2"/>
    </row>
    <row r="28020" spans="3:3" x14ac:dyDescent="0.35">
      <c r="C28020" s="2"/>
    </row>
    <row r="28021" spans="3:3" x14ac:dyDescent="0.35">
      <c r="C28021" s="2"/>
    </row>
    <row r="28022" spans="3:3" x14ac:dyDescent="0.35">
      <c r="C28022" s="2"/>
    </row>
    <row r="28023" spans="3:3" x14ac:dyDescent="0.35">
      <c r="C28023" s="2"/>
    </row>
    <row r="28024" spans="3:3" x14ac:dyDescent="0.35">
      <c r="C28024" s="2"/>
    </row>
    <row r="28025" spans="3:3" x14ac:dyDescent="0.35">
      <c r="C28025" s="2"/>
    </row>
    <row r="28026" spans="3:3" x14ac:dyDescent="0.35">
      <c r="C28026" s="2"/>
    </row>
    <row r="28027" spans="3:3" x14ac:dyDescent="0.35">
      <c r="C28027" s="2"/>
    </row>
    <row r="28028" spans="3:3" x14ac:dyDescent="0.35">
      <c r="C28028" s="2"/>
    </row>
    <row r="28029" spans="3:3" x14ac:dyDescent="0.35">
      <c r="C28029" s="2"/>
    </row>
    <row r="28030" spans="3:3" x14ac:dyDescent="0.35">
      <c r="C28030" s="2"/>
    </row>
    <row r="28031" spans="3:3" x14ac:dyDescent="0.35">
      <c r="C28031" s="2"/>
    </row>
    <row r="28032" spans="3:3" x14ac:dyDescent="0.35">
      <c r="C28032" s="2"/>
    </row>
    <row r="28033" spans="3:3" x14ac:dyDescent="0.35">
      <c r="C28033" s="2"/>
    </row>
    <row r="28034" spans="3:3" x14ac:dyDescent="0.35">
      <c r="C28034" s="2"/>
    </row>
    <row r="28035" spans="3:3" x14ac:dyDescent="0.35">
      <c r="C28035" s="2"/>
    </row>
    <row r="28036" spans="3:3" x14ac:dyDescent="0.35">
      <c r="C28036" s="2"/>
    </row>
    <row r="28037" spans="3:3" x14ac:dyDescent="0.35">
      <c r="C28037" s="2"/>
    </row>
    <row r="28038" spans="3:3" x14ac:dyDescent="0.35">
      <c r="C28038" s="2"/>
    </row>
    <row r="28039" spans="3:3" x14ac:dyDescent="0.35">
      <c r="C28039" s="2"/>
    </row>
    <row r="28040" spans="3:3" x14ac:dyDescent="0.35">
      <c r="C28040" s="2"/>
    </row>
    <row r="28041" spans="3:3" x14ac:dyDescent="0.35">
      <c r="C28041" s="2"/>
    </row>
    <row r="28042" spans="3:3" x14ac:dyDescent="0.35">
      <c r="C28042" s="2"/>
    </row>
    <row r="28043" spans="3:3" x14ac:dyDescent="0.35">
      <c r="C28043" s="2"/>
    </row>
    <row r="28044" spans="3:3" x14ac:dyDescent="0.35">
      <c r="C28044" s="2"/>
    </row>
    <row r="28045" spans="3:3" x14ac:dyDescent="0.35">
      <c r="C28045" s="2"/>
    </row>
    <row r="28046" spans="3:3" x14ac:dyDescent="0.35">
      <c r="C28046" s="2"/>
    </row>
    <row r="28047" spans="3:3" x14ac:dyDescent="0.35">
      <c r="C28047" s="2"/>
    </row>
    <row r="28048" spans="3:3" x14ac:dyDescent="0.35">
      <c r="C28048" s="2"/>
    </row>
    <row r="28049" spans="3:3" x14ac:dyDescent="0.35">
      <c r="C28049" s="2"/>
    </row>
    <row r="28050" spans="3:3" x14ac:dyDescent="0.35">
      <c r="C28050" s="2"/>
    </row>
    <row r="28051" spans="3:3" x14ac:dyDescent="0.35">
      <c r="C28051" s="2"/>
    </row>
    <row r="28052" spans="3:3" x14ac:dyDescent="0.35">
      <c r="C28052" s="2"/>
    </row>
    <row r="28053" spans="3:3" x14ac:dyDescent="0.35">
      <c r="C28053" s="2"/>
    </row>
    <row r="28054" spans="3:3" x14ac:dyDescent="0.35">
      <c r="C28054" s="2"/>
    </row>
    <row r="28055" spans="3:3" x14ac:dyDescent="0.35">
      <c r="C28055" s="2"/>
    </row>
    <row r="28056" spans="3:3" x14ac:dyDescent="0.35">
      <c r="C28056" s="2"/>
    </row>
    <row r="28057" spans="3:3" x14ac:dyDescent="0.35">
      <c r="C28057" s="2"/>
    </row>
    <row r="28058" spans="3:3" x14ac:dyDescent="0.35">
      <c r="C28058" s="2"/>
    </row>
    <row r="28059" spans="3:3" x14ac:dyDescent="0.35">
      <c r="C28059" s="2"/>
    </row>
    <row r="28060" spans="3:3" x14ac:dyDescent="0.35">
      <c r="C28060" s="2"/>
    </row>
    <row r="28061" spans="3:3" x14ac:dyDescent="0.35">
      <c r="C28061" s="2"/>
    </row>
    <row r="28062" spans="3:3" x14ac:dyDescent="0.35">
      <c r="C28062" s="2"/>
    </row>
    <row r="28063" spans="3:3" x14ac:dyDescent="0.35">
      <c r="C28063" s="2"/>
    </row>
    <row r="28064" spans="3:3" x14ac:dyDescent="0.35">
      <c r="C28064" s="2"/>
    </row>
    <row r="28065" spans="3:3" x14ac:dyDescent="0.35">
      <c r="C28065" s="2"/>
    </row>
    <row r="28066" spans="3:3" x14ac:dyDescent="0.35">
      <c r="C28066" s="2"/>
    </row>
    <row r="28067" spans="3:3" x14ac:dyDescent="0.35">
      <c r="C28067" s="2"/>
    </row>
    <row r="28068" spans="3:3" x14ac:dyDescent="0.35">
      <c r="C28068" s="2"/>
    </row>
    <row r="28069" spans="3:3" x14ac:dyDescent="0.35">
      <c r="C28069" s="2"/>
    </row>
    <row r="28070" spans="3:3" x14ac:dyDescent="0.35">
      <c r="C28070" s="2"/>
    </row>
    <row r="28071" spans="3:3" x14ac:dyDescent="0.35">
      <c r="C28071" s="2"/>
    </row>
    <row r="28072" spans="3:3" x14ac:dyDescent="0.35">
      <c r="C28072" s="2"/>
    </row>
    <row r="28073" spans="3:3" x14ac:dyDescent="0.35">
      <c r="C28073" s="2"/>
    </row>
    <row r="28074" spans="3:3" x14ac:dyDescent="0.35">
      <c r="C28074" s="2"/>
    </row>
    <row r="28075" spans="3:3" x14ac:dyDescent="0.35">
      <c r="C28075" s="2"/>
    </row>
    <row r="28076" spans="3:3" x14ac:dyDescent="0.35">
      <c r="C28076" s="2"/>
    </row>
    <row r="28077" spans="3:3" x14ac:dyDescent="0.35">
      <c r="C28077" s="2"/>
    </row>
    <row r="28078" spans="3:3" x14ac:dyDescent="0.35">
      <c r="C28078" s="2"/>
    </row>
    <row r="28079" spans="3:3" x14ac:dyDescent="0.35">
      <c r="C28079" s="2"/>
    </row>
    <row r="28080" spans="3:3" x14ac:dyDescent="0.35">
      <c r="C28080" s="2"/>
    </row>
    <row r="28081" spans="3:3" x14ac:dyDescent="0.35">
      <c r="C28081" s="2"/>
    </row>
    <row r="28082" spans="3:3" x14ac:dyDescent="0.35">
      <c r="C28082" s="2"/>
    </row>
    <row r="28083" spans="3:3" x14ac:dyDescent="0.35">
      <c r="C28083" s="2"/>
    </row>
    <row r="28084" spans="3:3" x14ac:dyDescent="0.35">
      <c r="C28084" s="2"/>
    </row>
    <row r="28085" spans="3:3" x14ac:dyDescent="0.35">
      <c r="C28085" s="2"/>
    </row>
    <row r="28086" spans="3:3" x14ac:dyDescent="0.35">
      <c r="C28086" s="2"/>
    </row>
    <row r="28087" spans="3:3" x14ac:dyDescent="0.35">
      <c r="C28087" s="2"/>
    </row>
    <row r="28088" spans="3:3" x14ac:dyDescent="0.35">
      <c r="C28088" s="2"/>
    </row>
    <row r="28089" spans="3:3" x14ac:dyDescent="0.35">
      <c r="C28089" s="2"/>
    </row>
    <row r="28090" spans="3:3" x14ac:dyDescent="0.35">
      <c r="C28090" s="2"/>
    </row>
    <row r="28091" spans="3:3" x14ac:dyDescent="0.35">
      <c r="C28091" s="2"/>
    </row>
    <row r="28092" spans="3:3" x14ac:dyDescent="0.35">
      <c r="C28092" s="2"/>
    </row>
    <row r="28093" spans="3:3" x14ac:dyDescent="0.35">
      <c r="C28093" s="2"/>
    </row>
    <row r="28094" spans="3:3" x14ac:dyDescent="0.35">
      <c r="C28094" s="2"/>
    </row>
    <row r="28095" spans="3:3" x14ac:dyDescent="0.35">
      <c r="C28095" s="2"/>
    </row>
    <row r="28096" spans="3:3" x14ac:dyDescent="0.35">
      <c r="C28096" s="2"/>
    </row>
    <row r="28097" spans="3:3" x14ac:dyDescent="0.35">
      <c r="C28097" s="2"/>
    </row>
    <row r="28098" spans="3:3" x14ac:dyDescent="0.35">
      <c r="C28098" s="2"/>
    </row>
    <row r="28099" spans="3:3" x14ac:dyDescent="0.35">
      <c r="C28099" s="2"/>
    </row>
    <row r="28100" spans="3:3" x14ac:dyDescent="0.35">
      <c r="C28100" s="2"/>
    </row>
    <row r="28101" spans="3:3" x14ac:dyDescent="0.35">
      <c r="C28101" s="2"/>
    </row>
    <row r="28102" spans="3:3" x14ac:dyDescent="0.35">
      <c r="C28102" s="2"/>
    </row>
    <row r="28103" spans="3:3" x14ac:dyDescent="0.35">
      <c r="C28103" s="2"/>
    </row>
    <row r="28104" spans="3:3" x14ac:dyDescent="0.35">
      <c r="C28104" s="2"/>
    </row>
    <row r="28105" spans="3:3" x14ac:dyDescent="0.35">
      <c r="C28105" s="2"/>
    </row>
    <row r="28106" spans="3:3" x14ac:dyDescent="0.35">
      <c r="C28106" s="2"/>
    </row>
    <row r="28107" spans="3:3" x14ac:dyDescent="0.35">
      <c r="C28107" s="2"/>
    </row>
    <row r="28108" spans="3:3" x14ac:dyDescent="0.35">
      <c r="C28108" s="2"/>
    </row>
    <row r="28109" spans="3:3" x14ac:dyDescent="0.35">
      <c r="C28109" s="2"/>
    </row>
    <row r="28110" spans="3:3" x14ac:dyDescent="0.35">
      <c r="C28110" s="2"/>
    </row>
    <row r="28111" spans="3:3" x14ac:dyDescent="0.35">
      <c r="C28111" s="2"/>
    </row>
    <row r="28112" spans="3:3" x14ac:dyDescent="0.35">
      <c r="C28112" s="2"/>
    </row>
    <row r="28113" spans="3:3" x14ac:dyDescent="0.35">
      <c r="C28113" s="2"/>
    </row>
    <row r="28114" spans="3:3" x14ac:dyDescent="0.35">
      <c r="C28114" s="2"/>
    </row>
    <row r="28115" spans="3:3" x14ac:dyDescent="0.35">
      <c r="C28115" s="2"/>
    </row>
    <row r="28116" spans="3:3" x14ac:dyDescent="0.35">
      <c r="C28116" s="2"/>
    </row>
    <row r="28117" spans="3:3" x14ac:dyDescent="0.35">
      <c r="C28117" s="2"/>
    </row>
    <row r="28118" spans="3:3" x14ac:dyDescent="0.35">
      <c r="C28118" s="2"/>
    </row>
    <row r="28119" spans="3:3" x14ac:dyDescent="0.35">
      <c r="C28119" s="2"/>
    </row>
    <row r="28120" spans="3:3" x14ac:dyDescent="0.35">
      <c r="C28120" s="2"/>
    </row>
    <row r="28121" spans="3:3" x14ac:dyDescent="0.35">
      <c r="C28121" s="2"/>
    </row>
    <row r="28122" spans="3:3" x14ac:dyDescent="0.35">
      <c r="C28122" s="2"/>
    </row>
    <row r="28123" spans="3:3" x14ac:dyDescent="0.35">
      <c r="C28123" s="2"/>
    </row>
    <row r="28124" spans="3:3" x14ac:dyDescent="0.35">
      <c r="C28124" s="2"/>
    </row>
    <row r="28125" spans="3:3" x14ac:dyDescent="0.35">
      <c r="C28125" s="2"/>
    </row>
    <row r="28126" spans="3:3" x14ac:dyDescent="0.35">
      <c r="C28126" s="2"/>
    </row>
    <row r="28127" spans="3:3" x14ac:dyDescent="0.35">
      <c r="C28127" s="2"/>
    </row>
    <row r="28128" spans="3:3" x14ac:dyDescent="0.35">
      <c r="C28128" s="2"/>
    </row>
    <row r="28129" spans="3:3" x14ac:dyDescent="0.35">
      <c r="C28129" s="2"/>
    </row>
    <row r="28130" spans="3:3" x14ac:dyDescent="0.35">
      <c r="C28130" s="2"/>
    </row>
    <row r="28131" spans="3:3" x14ac:dyDescent="0.35">
      <c r="C28131" s="2"/>
    </row>
    <row r="28132" spans="3:3" x14ac:dyDescent="0.35">
      <c r="C28132" s="2"/>
    </row>
    <row r="28133" spans="3:3" x14ac:dyDescent="0.35">
      <c r="C28133" s="2"/>
    </row>
    <row r="28134" spans="3:3" x14ac:dyDescent="0.35">
      <c r="C28134" s="2"/>
    </row>
    <row r="28135" spans="3:3" x14ac:dyDescent="0.35">
      <c r="C28135" s="2"/>
    </row>
    <row r="28136" spans="3:3" x14ac:dyDescent="0.35">
      <c r="C28136" s="2"/>
    </row>
    <row r="28137" spans="3:3" x14ac:dyDescent="0.35">
      <c r="C28137" s="2"/>
    </row>
    <row r="28138" spans="3:3" x14ac:dyDescent="0.35">
      <c r="C28138" s="2"/>
    </row>
    <row r="28139" spans="3:3" x14ac:dyDescent="0.35">
      <c r="C28139" s="2"/>
    </row>
    <row r="28140" spans="3:3" x14ac:dyDescent="0.35">
      <c r="C28140" s="2"/>
    </row>
    <row r="28141" spans="3:3" x14ac:dyDescent="0.35">
      <c r="C28141" s="2"/>
    </row>
    <row r="28142" spans="3:3" x14ac:dyDescent="0.35">
      <c r="C28142" s="2"/>
    </row>
    <row r="28143" spans="3:3" x14ac:dyDescent="0.35">
      <c r="C28143" s="2"/>
    </row>
    <row r="28144" spans="3:3" x14ac:dyDescent="0.35">
      <c r="C28144" s="2"/>
    </row>
    <row r="28145" spans="3:3" x14ac:dyDescent="0.35">
      <c r="C28145" s="2"/>
    </row>
    <row r="28146" spans="3:3" x14ac:dyDescent="0.35">
      <c r="C28146" s="2"/>
    </row>
    <row r="28147" spans="3:3" x14ac:dyDescent="0.35">
      <c r="C28147" s="2"/>
    </row>
    <row r="28148" spans="3:3" x14ac:dyDescent="0.35">
      <c r="C28148" s="2"/>
    </row>
    <row r="28149" spans="3:3" x14ac:dyDescent="0.35">
      <c r="C28149" s="2"/>
    </row>
    <row r="28150" spans="3:3" x14ac:dyDescent="0.35">
      <c r="C28150" s="2"/>
    </row>
    <row r="28151" spans="3:3" x14ac:dyDescent="0.35">
      <c r="C28151" s="2"/>
    </row>
    <row r="28152" spans="3:3" x14ac:dyDescent="0.35">
      <c r="C28152" s="2"/>
    </row>
    <row r="28153" spans="3:3" x14ac:dyDescent="0.35">
      <c r="C28153" s="2"/>
    </row>
    <row r="28154" spans="3:3" x14ac:dyDescent="0.35">
      <c r="C28154" s="2"/>
    </row>
    <row r="28155" spans="3:3" x14ac:dyDescent="0.35">
      <c r="C28155" s="2"/>
    </row>
    <row r="28156" spans="3:3" x14ac:dyDescent="0.35">
      <c r="C28156" s="2"/>
    </row>
    <row r="28157" spans="3:3" x14ac:dyDescent="0.35">
      <c r="C28157" s="2"/>
    </row>
    <row r="28158" spans="3:3" x14ac:dyDescent="0.35">
      <c r="C28158" s="2"/>
    </row>
    <row r="28159" spans="3:3" x14ac:dyDescent="0.35">
      <c r="C28159" s="2"/>
    </row>
    <row r="28160" spans="3:3" x14ac:dyDescent="0.35">
      <c r="C28160" s="2"/>
    </row>
    <row r="28161" spans="3:3" x14ac:dyDescent="0.35">
      <c r="C28161" s="2"/>
    </row>
    <row r="28162" spans="3:3" x14ac:dyDescent="0.35">
      <c r="C28162" s="2"/>
    </row>
    <row r="28163" spans="3:3" x14ac:dyDescent="0.35">
      <c r="C28163" s="2"/>
    </row>
    <row r="28164" spans="3:3" x14ac:dyDescent="0.35">
      <c r="C28164" s="2"/>
    </row>
    <row r="28165" spans="3:3" x14ac:dyDescent="0.35">
      <c r="C28165" s="2"/>
    </row>
    <row r="28166" spans="3:3" x14ac:dyDescent="0.35">
      <c r="C28166" s="2"/>
    </row>
    <row r="28167" spans="3:3" x14ac:dyDescent="0.35">
      <c r="C28167" s="2"/>
    </row>
    <row r="28168" spans="3:3" x14ac:dyDescent="0.35">
      <c r="C28168" s="2"/>
    </row>
    <row r="28169" spans="3:3" x14ac:dyDescent="0.35">
      <c r="C28169" s="2"/>
    </row>
    <row r="28170" spans="3:3" x14ac:dyDescent="0.35">
      <c r="C28170" s="2"/>
    </row>
    <row r="28171" spans="3:3" x14ac:dyDescent="0.35">
      <c r="C28171" s="2"/>
    </row>
    <row r="28172" spans="3:3" x14ac:dyDescent="0.35">
      <c r="C28172" s="2"/>
    </row>
    <row r="28173" spans="3:3" x14ac:dyDescent="0.35">
      <c r="C28173" s="2"/>
    </row>
    <row r="28174" spans="3:3" x14ac:dyDescent="0.35">
      <c r="C28174" s="2"/>
    </row>
    <row r="28175" spans="3:3" x14ac:dyDescent="0.35">
      <c r="C28175" s="2"/>
    </row>
    <row r="28176" spans="3:3" x14ac:dyDescent="0.35">
      <c r="C28176" s="2"/>
    </row>
    <row r="28177" spans="3:3" x14ac:dyDescent="0.35">
      <c r="C28177" s="2"/>
    </row>
    <row r="28178" spans="3:3" x14ac:dyDescent="0.35">
      <c r="C28178" s="2"/>
    </row>
    <row r="28179" spans="3:3" x14ac:dyDescent="0.35">
      <c r="C28179" s="2"/>
    </row>
    <row r="28180" spans="3:3" x14ac:dyDescent="0.35">
      <c r="C28180" s="2"/>
    </row>
    <row r="28181" spans="3:3" x14ac:dyDescent="0.35">
      <c r="C28181" s="2"/>
    </row>
    <row r="28182" spans="3:3" x14ac:dyDescent="0.35">
      <c r="C28182" s="2"/>
    </row>
    <row r="28183" spans="3:3" x14ac:dyDescent="0.35">
      <c r="C28183" s="2"/>
    </row>
    <row r="28184" spans="3:3" x14ac:dyDescent="0.35">
      <c r="C28184" s="2"/>
    </row>
    <row r="28185" spans="3:3" x14ac:dyDescent="0.35">
      <c r="C28185" s="2"/>
    </row>
    <row r="28186" spans="3:3" x14ac:dyDescent="0.35">
      <c r="C28186" s="2"/>
    </row>
    <row r="28187" spans="3:3" x14ac:dyDescent="0.35">
      <c r="C28187" s="2"/>
    </row>
    <row r="28188" spans="3:3" x14ac:dyDescent="0.35">
      <c r="C28188" s="2"/>
    </row>
    <row r="28189" spans="3:3" x14ac:dyDescent="0.35">
      <c r="C28189" s="2"/>
    </row>
    <row r="28190" spans="3:3" x14ac:dyDescent="0.35">
      <c r="C28190" s="2"/>
    </row>
    <row r="28191" spans="3:3" x14ac:dyDescent="0.35">
      <c r="C28191" s="2"/>
    </row>
    <row r="28192" spans="3:3" x14ac:dyDescent="0.35">
      <c r="C28192" s="2"/>
    </row>
    <row r="28193" spans="3:3" x14ac:dyDescent="0.35">
      <c r="C28193" s="2"/>
    </row>
    <row r="28194" spans="3:3" x14ac:dyDescent="0.35">
      <c r="C28194" s="2"/>
    </row>
    <row r="28195" spans="3:3" x14ac:dyDescent="0.35">
      <c r="C28195" s="2"/>
    </row>
    <row r="28196" spans="3:3" x14ac:dyDescent="0.35">
      <c r="C28196" s="2"/>
    </row>
    <row r="28197" spans="3:3" x14ac:dyDescent="0.35">
      <c r="C28197" s="2"/>
    </row>
    <row r="28198" spans="3:3" x14ac:dyDescent="0.35">
      <c r="C28198" s="2"/>
    </row>
    <row r="28199" spans="3:3" x14ac:dyDescent="0.35">
      <c r="C28199" s="2"/>
    </row>
    <row r="28200" spans="3:3" x14ac:dyDescent="0.35">
      <c r="C28200" s="2"/>
    </row>
    <row r="28201" spans="3:3" x14ac:dyDescent="0.35">
      <c r="C28201" s="2"/>
    </row>
    <row r="28202" spans="3:3" x14ac:dyDescent="0.35">
      <c r="C28202" s="2"/>
    </row>
    <row r="28203" spans="3:3" x14ac:dyDescent="0.35">
      <c r="C28203" s="2"/>
    </row>
    <row r="28204" spans="3:3" x14ac:dyDescent="0.35">
      <c r="C28204" s="2"/>
    </row>
    <row r="28205" spans="3:3" x14ac:dyDescent="0.35">
      <c r="C28205" s="2"/>
    </row>
    <row r="28206" spans="3:3" x14ac:dyDescent="0.35">
      <c r="C28206" s="2"/>
    </row>
    <row r="28207" spans="3:3" x14ac:dyDescent="0.35">
      <c r="C28207" s="2"/>
    </row>
    <row r="28208" spans="3:3" x14ac:dyDescent="0.35">
      <c r="C28208" s="2"/>
    </row>
    <row r="28209" spans="3:3" x14ac:dyDescent="0.35">
      <c r="C28209" s="2"/>
    </row>
    <row r="28210" spans="3:3" x14ac:dyDescent="0.35">
      <c r="C28210" s="2"/>
    </row>
    <row r="28211" spans="3:3" x14ac:dyDescent="0.35">
      <c r="C28211" s="2"/>
    </row>
    <row r="28212" spans="3:3" x14ac:dyDescent="0.35">
      <c r="C28212" s="2"/>
    </row>
    <row r="28213" spans="3:3" x14ac:dyDescent="0.35">
      <c r="C28213" s="2"/>
    </row>
    <row r="28214" spans="3:3" x14ac:dyDescent="0.35">
      <c r="C28214" s="2"/>
    </row>
    <row r="28215" spans="3:3" x14ac:dyDescent="0.35">
      <c r="C28215" s="2"/>
    </row>
    <row r="28216" spans="3:3" x14ac:dyDescent="0.35">
      <c r="C28216" s="2"/>
    </row>
    <row r="28217" spans="3:3" x14ac:dyDescent="0.35">
      <c r="C28217" s="2"/>
    </row>
    <row r="28218" spans="3:3" x14ac:dyDescent="0.35">
      <c r="C28218" s="2"/>
    </row>
    <row r="28219" spans="3:3" x14ac:dyDescent="0.35">
      <c r="C28219" s="2"/>
    </row>
    <row r="28220" spans="3:3" x14ac:dyDescent="0.35">
      <c r="C28220" s="2"/>
    </row>
    <row r="28221" spans="3:3" x14ac:dyDescent="0.35">
      <c r="C28221" s="2"/>
    </row>
    <row r="28222" spans="3:3" x14ac:dyDescent="0.35">
      <c r="C28222" s="2"/>
    </row>
    <row r="28223" spans="3:3" x14ac:dyDescent="0.35">
      <c r="C28223" s="2"/>
    </row>
    <row r="28224" spans="3:3" x14ac:dyDescent="0.35">
      <c r="C28224" s="2"/>
    </row>
    <row r="28225" spans="3:3" x14ac:dyDescent="0.35">
      <c r="C28225" s="2"/>
    </row>
    <row r="28226" spans="3:3" x14ac:dyDescent="0.35">
      <c r="C28226" s="2"/>
    </row>
    <row r="28227" spans="3:3" x14ac:dyDescent="0.35">
      <c r="C28227" s="2"/>
    </row>
    <row r="28228" spans="3:3" x14ac:dyDescent="0.35">
      <c r="C28228" s="2"/>
    </row>
    <row r="28229" spans="3:3" x14ac:dyDescent="0.35">
      <c r="C28229" s="2"/>
    </row>
    <row r="28230" spans="3:3" x14ac:dyDescent="0.35">
      <c r="C28230" s="2"/>
    </row>
    <row r="28231" spans="3:3" x14ac:dyDescent="0.35">
      <c r="C28231" s="2"/>
    </row>
    <row r="28232" spans="3:3" x14ac:dyDescent="0.35">
      <c r="C28232" s="2"/>
    </row>
    <row r="28233" spans="3:3" x14ac:dyDescent="0.35">
      <c r="C28233" s="2"/>
    </row>
    <row r="28234" spans="3:3" x14ac:dyDescent="0.35">
      <c r="C28234" s="2"/>
    </row>
    <row r="28235" spans="3:3" x14ac:dyDescent="0.35">
      <c r="C28235" s="2"/>
    </row>
    <row r="28236" spans="3:3" x14ac:dyDescent="0.35">
      <c r="C28236" s="2"/>
    </row>
    <row r="28237" spans="3:3" x14ac:dyDescent="0.35">
      <c r="C28237" s="2"/>
    </row>
    <row r="28238" spans="3:3" x14ac:dyDescent="0.35">
      <c r="C28238" s="2"/>
    </row>
    <row r="28239" spans="3:3" x14ac:dyDescent="0.35">
      <c r="C28239" s="2"/>
    </row>
    <row r="28240" spans="3:3" x14ac:dyDescent="0.35">
      <c r="C28240" s="2"/>
    </row>
    <row r="28241" spans="3:3" x14ac:dyDescent="0.35">
      <c r="C28241" s="2"/>
    </row>
    <row r="28242" spans="3:3" x14ac:dyDescent="0.35">
      <c r="C28242" s="2"/>
    </row>
    <row r="28243" spans="3:3" x14ac:dyDescent="0.35">
      <c r="C28243" s="2"/>
    </row>
    <row r="28244" spans="3:3" x14ac:dyDescent="0.35">
      <c r="C28244" s="2"/>
    </row>
    <row r="28245" spans="3:3" x14ac:dyDescent="0.35">
      <c r="C28245" s="2"/>
    </row>
    <row r="28246" spans="3:3" x14ac:dyDescent="0.35">
      <c r="C28246" s="2"/>
    </row>
    <row r="28247" spans="3:3" x14ac:dyDescent="0.35">
      <c r="C28247" s="2"/>
    </row>
    <row r="28248" spans="3:3" x14ac:dyDescent="0.35">
      <c r="C28248" s="2"/>
    </row>
    <row r="28249" spans="3:3" x14ac:dyDescent="0.35">
      <c r="C28249" s="2"/>
    </row>
    <row r="28250" spans="3:3" x14ac:dyDescent="0.35">
      <c r="C28250" s="2"/>
    </row>
    <row r="28251" spans="3:3" x14ac:dyDescent="0.35">
      <c r="C28251" s="2"/>
    </row>
    <row r="28252" spans="3:3" x14ac:dyDescent="0.35">
      <c r="C28252" s="2"/>
    </row>
    <row r="28253" spans="3:3" x14ac:dyDescent="0.35">
      <c r="C28253" s="2"/>
    </row>
    <row r="28254" spans="3:3" x14ac:dyDescent="0.35">
      <c r="C28254" s="2"/>
    </row>
    <row r="28255" spans="3:3" x14ac:dyDescent="0.35">
      <c r="C28255" s="2"/>
    </row>
    <row r="28256" spans="3:3" x14ac:dyDescent="0.35">
      <c r="C28256" s="2"/>
    </row>
    <row r="28257" spans="3:3" x14ac:dyDescent="0.35">
      <c r="C28257" s="2"/>
    </row>
    <row r="28258" spans="3:3" x14ac:dyDescent="0.35">
      <c r="C28258" s="2"/>
    </row>
    <row r="28259" spans="3:3" x14ac:dyDescent="0.35">
      <c r="C28259" s="2"/>
    </row>
    <row r="28260" spans="3:3" x14ac:dyDescent="0.35">
      <c r="C28260" s="2"/>
    </row>
    <row r="28261" spans="3:3" x14ac:dyDescent="0.35">
      <c r="C28261" s="2"/>
    </row>
    <row r="28262" spans="3:3" x14ac:dyDescent="0.35">
      <c r="C28262" s="2"/>
    </row>
    <row r="28263" spans="3:3" x14ac:dyDescent="0.35">
      <c r="C28263" s="2"/>
    </row>
    <row r="28264" spans="3:3" x14ac:dyDescent="0.35">
      <c r="C28264" s="2"/>
    </row>
    <row r="28265" spans="3:3" x14ac:dyDescent="0.35">
      <c r="C28265" s="2"/>
    </row>
    <row r="28266" spans="3:3" x14ac:dyDescent="0.35">
      <c r="C28266" s="2"/>
    </row>
    <row r="28267" spans="3:3" x14ac:dyDescent="0.35">
      <c r="C28267" s="2"/>
    </row>
    <row r="28268" spans="3:3" x14ac:dyDescent="0.35">
      <c r="C28268" s="2"/>
    </row>
    <row r="28269" spans="3:3" x14ac:dyDescent="0.35">
      <c r="C28269" s="2"/>
    </row>
    <row r="28270" spans="3:3" x14ac:dyDescent="0.35">
      <c r="C28270" s="2"/>
    </row>
    <row r="28271" spans="3:3" x14ac:dyDescent="0.35">
      <c r="C28271" s="2"/>
    </row>
    <row r="28272" spans="3:3" x14ac:dyDescent="0.35">
      <c r="C28272" s="2"/>
    </row>
    <row r="28273" spans="3:3" x14ac:dyDescent="0.35">
      <c r="C28273" s="2"/>
    </row>
    <row r="28274" spans="3:3" x14ac:dyDescent="0.35">
      <c r="C28274" s="2"/>
    </row>
    <row r="28275" spans="3:3" x14ac:dyDescent="0.35">
      <c r="C28275" s="2"/>
    </row>
    <row r="28276" spans="3:3" x14ac:dyDescent="0.35">
      <c r="C28276" s="2"/>
    </row>
    <row r="28277" spans="3:3" x14ac:dyDescent="0.35">
      <c r="C28277" s="2"/>
    </row>
    <row r="28278" spans="3:3" x14ac:dyDescent="0.35">
      <c r="C28278" s="2"/>
    </row>
    <row r="28279" spans="3:3" x14ac:dyDescent="0.35">
      <c r="C28279" s="2"/>
    </row>
    <row r="28280" spans="3:3" x14ac:dyDescent="0.35">
      <c r="C28280" s="2"/>
    </row>
    <row r="28281" spans="3:3" x14ac:dyDescent="0.35">
      <c r="C28281" s="2"/>
    </row>
    <row r="28282" spans="3:3" x14ac:dyDescent="0.35">
      <c r="C28282" s="2"/>
    </row>
    <row r="28283" spans="3:3" x14ac:dyDescent="0.35">
      <c r="C28283" s="2"/>
    </row>
    <row r="28284" spans="3:3" x14ac:dyDescent="0.35">
      <c r="C28284" s="2"/>
    </row>
    <row r="28285" spans="3:3" x14ac:dyDescent="0.35">
      <c r="C28285" s="2"/>
    </row>
    <row r="28286" spans="3:3" x14ac:dyDescent="0.35">
      <c r="C28286" s="2"/>
    </row>
    <row r="28287" spans="3:3" x14ac:dyDescent="0.35">
      <c r="C28287" s="2"/>
    </row>
    <row r="28288" spans="3:3" x14ac:dyDescent="0.35">
      <c r="C28288" s="2"/>
    </row>
    <row r="28289" spans="3:3" x14ac:dyDescent="0.35">
      <c r="C28289" s="2"/>
    </row>
    <row r="28290" spans="3:3" x14ac:dyDescent="0.35">
      <c r="C28290" s="2"/>
    </row>
    <row r="28291" spans="3:3" x14ac:dyDescent="0.35">
      <c r="C28291" s="2"/>
    </row>
    <row r="28292" spans="3:3" x14ac:dyDescent="0.35">
      <c r="C28292" s="2"/>
    </row>
    <row r="28293" spans="3:3" x14ac:dyDescent="0.35">
      <c r="C28293" s="2"/>
    </row>
    <row r="28294" spans="3:3" x14ac:dyDescent="0.35">
      <c r="C28294" s="2"/>
    </row>
    <row r="28295" spans="3:3" x14ac:dyDescent="0.35">
      <c r="C28295" s="2"/>
    </row>
    <row r="28296" spans="3:3" x14ac:dyDescent="0.35">
      <c r="C28296" s="2"/>
    </row>
    <row r="28297" spans="3:3" x14ac:dyDescent="0.35">
      <c r="C28297" s="2"/>
    </row>
    <row r="28298" spans="3:3" x14ac:dyDescent="0.35">
      <c r="C28298" s="2"/>
    </row>
    <row r="28299" spans="3:3" x14ac:dyDescent="0.35">
      <c r="C28299" s="2"/>
    </row>
    <row r="28300" spans="3:3" x14ac:dyDescent="0.35">
      <c r="C28300" s="2"/>
    </row>
    <row r="28301" spans="3:3" x14ac:dyDescent="0.35">
      <c r="C28301" s="2"/>
    </row>
    <row r="28302" spans="3:3" x14ac:dyDescent="0.35">
      <c r="C28302" s="2"/>
    </row>
    <row r="28303" spans="3:3" x14ac:dyDescent="0.35">
      <c r="C28303" s="2"/>
    </row>
    <row r="28304" spans="3:3" x14ac:dyDescent="0.35">
      <c r="C28304" s="2"/>
    </row>
    <row r="28305" spans="3:3" x14ac:dyDescent="0.35">
      <c r="C28305" s="2"/>
    </row>
    <row r="28306" spans="3:3" x14ac:dyDescent="0.35">
      <c r="C28306" s="2"/>
    </row>
    <row r="28307" spans="3:3" x14ac:dyDescent="0.35">
      <c r="C28307" s="2"/>
    </row>
    <row r="28308" spans="3:3" x14ac:dyDescent="0.35">
      <c r="C28308" s="2"/>
    </row>
    <row r="28309" spans="3:3" x14ac:dyDescent="0.35">
      <c r="C28309" s="2"/>
    </row>
    <row r="28310" spans="3:3" x14ac:dyDescent="0.35">
      <c r="C28310" s="2"/>
    </row>
    <row r="28311" spans="3:3" x14ac:dyDescent="0.35">
      <c r="C28311" s="2"/>
    </row>
    <row r="28312" spans="3:3" x14ac:dyDescent="0.35">
      <c r="C28312" s="2"/>
    </row>
    <row r="28313" spans="3:3" x14ac:dyDescent="0.35">
      <c r="C28313" s="2"/>
    </row>
    <row r="28314" spans="3:3" x14ac:dyDescent="0.35">
      <c r="C28314" s="2"/>
    </row>
    <row r="28315" spans="3:3" x14ac:dyDescent="0.35">
      <c r="C28315" s="2"/>
    </row>
    <row r="28316" spans="3:3" x14ac:dyDescent="0.35">
      <c r="C28316" s="2"/>
    </row>
    <row r="28317" spans="3:3" x14ac:dyDescent="0.35">
      <c r="C28317" s="2"/>
    </row>
    <row r="28318" spans="3:3" x14ac:dyDescent="0.35">
      <c r="C28318" s="2"/>
    </row>
    <row r="28319" spans="3:3" x14ac:dyDescent="0.35">
      <c r="C28319" s="2"/>
    </row>
    <row r="28320" spans="3:3" x14ac:dyDescent="0.35">
      <c r="C28320" s="2"/>
    </row>
    <row r="28321" spans="3:3" x14ac:dyDescent="0.35">
      <c r="C28321" s="2"/>
    </row>
    <row r="28322" spans="3:3" x14ac:dyDescent="0.35">
      <c r="C28322" s="2"/>
    </row>
    <row r="28323" spans="3:3" x14ac:dyDescent="0.35">
      <c r="C28323" s="2"/>
    </row>
    <row r="28324" spans="3:3" x14ac:dyDescent="0.35">
      <c r="C28324" s="2"/>
    </row>
    <row r="28325" spans="3:3" x14ac:dyDescent="0.35">
      <c r="C28325" s="2"/>
    </row>
    <row r="28326" spans="3:3" x14ac:dyDescent="0.35">
      <c r="C28326" s="2"/>
    </row>
    <row r="28327" spans="3:3" x14ac:dyDescent="0.35">
      <c r="C28327" s="2"/>
    </row>
    <row r="28328" spans="3:3" x14ac:dyDescent="0.35">
      <c r="C28328" s="2"/>
    </row>
    <row r="28329" spans="3:3" x14ac:dyDescent="0.35">
      <c r="C28329" s="2"/>
    </row>
    <row r="28330" spans="3:3" x14ac:dyDescent="0.35">
      <c r="C28330" s="2"/>
    </row>
    <row r="28331" spans="3:3" x14ac:dyDescent="0.35">
      <c r="C28331" s="2"/>
    </row>
    <row r="28332" spans="3:3" x14ac:dyDescent="0.35">
      <c r="C28332" s="2"/>
    </row>
    <row r="28333" spans="3:3" x14ac:dyDescent="0.35">
      <c r="C28333" s="2"/>
    </row>
    <row r="28334" spans="3:3" x14ac:dyDescent="0.35">
      <c r="C28334" s="2"/>
    </row>
    <row r="28335" spans="3:3" x14ac:dyDescent="0.35">
      <c r="C28335" s="2"/>
    </row>
    <row r="28336" spans="3:3" x14ac:dyDescent="0.35">
      <c r="C28336" s="2"/>
    </row>
    <row r="28337" spans="3:3" x14ac:dyDescent="0.35">
      <c r="C28337" s="2"/>
    </row>
    <row r="28338" spans="3:3" x14ac:dyDescent="0.35">
      <c r="C28338" s="2"/>
    </row>
    <row r="28339" spans="3:3" x14ac:dyDescent="0.35">
      <c r="C28339" s="2"/>
    </row>
    <row r="28340" spans="3:3" x14ac:dyDescent="0.35">
      <c r="C28340" s="2"/>
    </row>
    <row r="28341" spans="3:3" x14ac:dyDescent="0.35">
      <c r="C28341" s="2"/>
    </row>
    <row r="28342" spans="3:3" x14ac:dyDescent="0.35">
      <c r="C28342" s="2"/>
    </row>
    <row r="28343" spans="3:3" x14ac:dyDescent="0.35">
      <c r="C28343" s="2"/>
    </row>
    <row r="28344" spans="3:3" x14ac:dyDescent="0.35">
      <c r="C28344" s="2"/>
    </row>
    <row r="28345" spans="3:3" x14ac:dyDescent="0.35">
      <c r="C28345" s="2"/>
    </row>
    <row r="28346" spans="3:3" x14ac:dyDescent="0.35">
      <c r="C28346" s="2"/>
    </row>
    <row r="28347" spans="3:3" x14ac:dyDescent="0.35">
      <c r="C28347" s="2"/>
    </row>
    <row r="28348" spans="3:3" x14ac:dyDescent="0.35">
      <c r="C28348" s="2"/>
    </row>
    <row r="28349" spans="3:3" x14ac:dyDescent="0.35">
      <c r="C28349" s="2"/>
    </row>
    <row r="28350" spans="3:3" x14ac:dyDescent="0.35">
      <c r="C28350" s="2"/>
    </row>
    <row r="28351" spans="3:3" x14ac:dyDescent="0.35">
      <c r="C28351" s="2"/>
    </row>
    <row r="28352" spans="3:3" x14ac:dyDescent="0.35">
      <c r="C28352" s="2"/>
    </row>
    <row r="28353" spans="3:3" x14ac:dyDescent="0.35">
      <c r="C28353" s="2"/>
    </row>
    <row r="28354" spans="3:3" x14ac:dyDescent="0.35">
      <c r="C28354" s="2"/>
    </row>
    <row r="28355" spans="3:3" x14ac:dyDescent="0.35">
      <c r="C28355" s="2"/>
    </row>
    <row r="28356" spans="3:3" x14ac:dyDescent="0.35">
      <c r="C28356" s="2"/>
    </row>
    <row r="28357" spans="3:3" x14ac:dyDescent="0.35">
      <c r="C28357" s="2"/>
    </row>
    <row r="28358" spans="3:3" x14ac:dyDescent="0.35">
      <c r="C28358" s="2"/>
    </row>
    <row r="28359" spans="3:3" x14ac:dyDescent="0.35">
      <c r="C28359" s="2"/>
    </row>
    <row r="28360" spans="3:3" x14ac:dyDescent="0.35">
      <c r="C28360" s="2"/>
    </row>
    <row r="28361" spans="3:3" x14ac:dyDescent="0.35">
      <c r="C28361" s="2"/>
    </row>
    <row r="28362" spans="3:3" x14ac:dyDescent="0.35">
      <c r="C28362" s="2"/>
    </row>
    <row r="28363" spans="3:3" x14ac:dyDescent="0.35">
      <c r="C28363" s="2"/>
    </row>
    <row r="28364" spans="3:3" x14ac:dyDescent="0.35">
      <c r="C28364" s="2"/>
    </row>
    <row r="28365" spans="3:3" x14ac:dyDescent="0.35">
      <c r="C28365" s="2"/>
    </row>
    <row r="28366" spans="3:3" x14ac:dyDescent="0.35">
      <c r="C28366" s="2"/>
    </row>
    <row r="28367" spans="3:3" x14ac:dyDescent="0.35">
      <c r="C28367" s="2"/>
    </row>
    <row r="28368" spans="3:3" x14ac:dyDescent="0.35">
      <c r="C28368" s="2"/>
    </row>
    <row r="28369" spans="3:3" x14ac:dyDescent="0.35">
      <c r="C28369" s="2"/>
    </row>
    <row r="28370" spans="3:3" x14ac:dyDescent="0.35">
      <c r="C28370" s="2"/>
    </row>
    <row r="28371" spans="3:3" x14ac:dyDescent="0.35">
      <c r="C28371" s="2"/>
    </row>
    <row r="28372" spans="3:3" x14ac:dyDescent="0.35">
      <c r="C28372" s="2"/>
    </row>
    <row r="28373" spans="3:3" x14ac:dyDescent="0.35">
      <c r="C28373" s="2"/>
    </row>
    <row r="28374" spans="3:3" x14ac:dyDescent="0.35">
      <c r="C28374" s="2"/>
    </row>
    <row r="28375" spans="3:3" x14ac:dyDescent="0.35">
      <c r="C28375" s="2"/>
    </row>
    <row r="28376" spans="3:3" x14ac:dyDescent="0.35">
      <c r="C28376" s="2"/>
    </row>
    <row r="28377" spans="3:3" x14ac:dyDescent="0.35">
      <c r="C28377" s="2"/>
    </row>
    <row r="28378" spans="3:3" x14ac:dyDescent="0.35">
      <c r="C28378" s="2"/>
    </row>
    <row r="28379" spans="3:3" x14ac:dyDescent="0.35">
      <c r="C28379" s="2"/>
    </row>
    <row r="28380" spans="3:3" x14ac:dyDescent="0.35">
      <c r="C28380" s="2"/>
    </row>
    <row r="28381" spans="3:3" x14ac:dyDescent="0.35">
      <c r="C28381" s="2"/>
    </row>
    <row r="28382" spans="3:3" x14ac:dyDescent="0.35">
      <c r="C28382" s="2"/>
    </row>
    <row r="28383" spans="3:3" x14ac:dyDescent="0.35">
      <c r="C28383" s="2"/>
    </row>
    <row r="28384" spans="3:3" x14ac:dyDescent="0.35">
      <c r="C28384" s="2"/>
    </row>
    <row r="28385" spans="3:3" x14ac:dyDescent="0.35">
      <c r="C28385" s="2"/>
    </row>
    <row r="28386" spans="3:3" x14ac:dyDescent="0.35">
      <c r="C28386" s="2"/>
    </row>
    <row r="28387" spans="3:3" x14ac:dyDescent="0.35">
      <c r="C28387" s="2"/>
    </row>
    <row r="28388" spans="3:3" x14ac:dyDescent="0.35">
      <c r="C28388" s="2"/>
    </row>
    <row r="28389" spans="3:3" x14ac:dyDescent="0.35">
      <c r="C28389" s="2"/>
    </row>
    <row r="28390" spans="3:3" x14ac:dyDescent="0.35">
      <c r="C28390" s="2"/>
    </row>
    <row r="28391" spans="3:3" x14ac:dyDescent="0.35">
      <c r="C28391" s="2"/>
    </row>
    <row r="28392" spans="3:3" x14ac:dyDescent="0.35">
      <c r="C28392" s="2"/>
    </row>
    <row r="28393" spans="3:3" x14ac:dyDescent="0.35">
      <c r="C28393" s="2"/>
    </row>
    <row r="28394" spans="3:3" x14ac:dyDescent="0.35">
      <c r="C28394" s="2"/>
    </row>
    <row r="28395" spans="3:3" x14ac:dyDescent="0.35">
      <c r="C28395" s="2"/>
    </row>
    <row r="28396" spans="3:3" x14ac:dyDescent="0.35">
      <c r="C28396" s="2"/>
    </row>
    <row r="28397" spans="3:3" x14ac:dyDescent="0.35">
      <c r="C28397" s="2"/>
    </row>
    <row r="28398" spans="3:3" x14ac:dyDescent="0.35">
      <c r="C28398" s="2"/>
    </row>
    <row r="28399" spans="3:3" x14ac:dyDescent="0.35">
      <c r="C28399" s="2"/>
    </row>
    <row r="28400" spans="3:3" x14ac:dyDescent="0.35">
      <c r="C28400" s="2"/>
    </row>
    <row r="28401" spans="3:3" x14ac:dyDescent="0.35">
      <c r="C28401" s="2"/>
    </row>
    <row r="28402" spans="3:3" x14ac:dyDescent="0.35">
      <c r="C28402" s="2"/>
    </row>
    <row r="28403" spans="3:3" x14ac:dyDescent="0.35">
      <c r="C28403" s="2"/>
    </row>
    <row r="28404" spans="3:3" x14ac:dyDescent="0.35">
      <c r="C28404" s="2"/>
    </row>
    <row r="28405" spans="3:3" x14ac:dyDescent="0.35">
      <c r="C28405" s="2"/>
    </row>
    <row r="28406" spans="3:3" x14ac:dyDescent="0.35">
      <c r="C28406" s="2"/>
    </row>
    <row r="28407" spans="3:3" x14ac:dyDescent="0.35">
      <c r="C28407" s="2"/>
    </row>
    <row r="28408" spans="3:3" x14ac:dyDescent="0.35">
      <c r="C28408" s="2"/>
    </row>
    <row r="28409" spans="3:3" x14ac:dyDescent="0.35">
      <c r="C28409" s="2"/>
    </row>
    <row r="28410" spans="3:3" x14ac:dyDescent="0.35">
      <c r="C28410" s="2"/>
    </row>
    <row r="28411" spans="3:3" x14ac:dyDescent="0.35">
      <c r="C28411" s="2"/>
    </row>
    <row r="28412" spans="3:3" x14ac:dyDescent="0.35">
      <c r="C28412" s="2"/>
    </row>
    <row r="28413" spans="3:3" x14ac:dyDescent="0.35">
      <c r="C28413" s="2"/>
    </row>
    <row r="28414" spans="3:3" x14ac:dyDescent="0.35">
      <c r="C28414" s="2"/>
    </row>
    <row r="28415" spans="3:3" x14ac:dyDescent="0.35">
      <c r="C28415" s="2"/>
    </row>
    <row r="28416" spans="3:3" x14ac:dyDescent="0.35">
      <c r="C28416" s="2"/>
    </row>
    <row r="28417" spans="3:3" x14ac:dyDescent="0.35">
      <c r="C28417" s="2"/>
    </row>
    <row r="28418" spans="3:3" x14ac:dyDescent="0.35">
      <c r="C28418" s="2"/>
    </row>
    <row r="28419" spans="3:3" x14ac:dyDescent="0.35">
      <c r="C28419" s="2"/>
    </row>
    <row r="28420" spans="3:3" x14ac:dyDescent="0.35">
      <c r="C28420" s="2"/>
    </row>
    <row r="28421" spans="3:3" x14ac:dyDescent="0.35">
      <c r="C28421" s="2"/>
    </row>
    <row r="28422" spans="3:3" x14ac:dyDescent="0.35">
      <c r="C28422" s="2"/>
    </row>
    <row r="28423" spans="3:3" x14ac:dyDescent="0.35">
      <c r="C28423" s="2"/>
    </row>
    <row r="28424" spans="3:3" x14ac:dyDescent="0.35">
      <c r="C28424" s="2"/>
    </row>
    <row r="28425" spans="3:3" x14ac:dyDescent="0.35">
      <c r="C28425" s="2"/>
    </row>
    <row r="28426" spans="3:3" x14ac:dyDescent="0.35">
      <c r="C28426" s="2"/>
    </row>
    <row r="28427" spans="3:3" x14ac:dyDescent="0.35">
      <c r="C28427" s="2"/>
    </row>
    <row r="28428" spans="3:3" x14ac:dyDescent="0.35">
      <c r="C28428" s="2"/>
    </row>
    <row r="28429" spans="3:3" x14ac:dyDescent="0.35">
      <c r="C28429" s="2"/>
    </row>
    <row r="28430" spans="3:3" x14ac:dyDescent="0.35">
      <c r="C28430" s="2"/>
    </row>
    <row r="28431" spans="3:3" x14ac:dyDescent="0.35">
      <c r="C28431" s="2"/>
    </row>
    <row r="28432" spans="3:3" x14ac:dyDescent="0.35">
      <c r="C28432" s="2"/>
    </row>
    <row r="28433" spans="3:3" x14ac:dyDescent="0.35">
      <c r="C28433" s="2"/>
    </row>
    <row r="28434" spans="3:3" x14ac:dyDescent="0.35">
      <c r="C28434" s="2"/>
    </row>
    <row r="28435" spans="3:3" x14ac:dyDescent="0.35">
      <c r="C28435" s="2"/>
    </row>
    <row r="28436" spans="3:3" x14ac:dyDescent="0.35">
      <c r="C28436" s="2"/>
    </row>
    <row r="28437" spans="3:3" x14ac:dyDescent="0.35">
      <c r="C28437" s="2"/>
    </row>
    <row r="28438" spans="3:3" x14ac:dyDescent="0.35">
      <c r="C28438" s="2"/>
    </row>
    <row r="28439" spans="3:3" x14ac:dyDescent="0.35">
      <c r="C28439" s="2"/>
    </row>
    <row r="28440" spans="3:3" x14ac:dyDescent="0.35">
      <c r="C28440" s="2"/>
    </row>
    <row r="28441" spans="3:3" x14ac:dyDescent="0.35">
      <c r="C28441" s="2"/>
    </row>
    <row r="28442" spans="3:3" x14ac:dyDescent="0.35">
      <c r="C28442" s="2"/>
    </row>
    <row r="28443" spans="3:3" x14ac:dyDescent="0.35">
      <c r="C28443" s="2"/>
    </row>
    <row r="28444" spans="3:3" x14ac:dyDescent="0.35">
      <c r="C28444" s="2"/>
    </row>
    <row r="28445" spans="3:3" x14ac:dyDescent="0.35">
      <c r="C28445" s="2"/>
    </row>
    <row r="28446" spans="3:3" x14ac:dyDescent="0.35">
      <c r="C28446" s="2"/>
    </row>
    <row r="28447" spans="3:3" x14ac:dyDescent="0.35">
      <c r="C28447" s="2"/>
    </row>
    <row r="28448" spans="3:3" x14ac:dyDescent="0.35">
      <c r="C28448" s="2"/>
    </row>
    <row r="28449" spans="3:3" x14ac:dyDescent="0.35">
      <c r="C28449" s="2"/>
    </row>
    <row r="28450" spans="3:3" x14ac:dyDescent="0.35">
      <c r="C28450" s="2"/>
    </row>
    <row r="28451" spans="3:3" x14ac:dyDescent="0.35">
      <c r="C28451" s="2"/>
    </row>
    <row r="28452" spans="3:3" x14ac:dyDescent="0.35">
      <c r="C28452" s="2"/>
    </row>
    <row r="28453" spans="3:3" x14ac:dyDescent="0.35">
      <c r="C28453" s="2"/>
    </row>
    <row r="28454" spans="3:3" x14ac:dyDescent="0.35">
      <c r="C28454" s="2"/>
    </row>
    <row r="28455" spans="3:3" x14ac:dyDescent="0.35">
      <c r="C28455" s="2"/>
    </row>
    <row r="28456" spans="3:3" x14ac:dyDescent="0.35">
      <c r="C28456" s="2"/>
    </row>
    <row r="28457" spans="3:3" x14ac:dyDescent="0.35">
      <c r="C28457" s="2"/>
    </row>
    <row r="28458" spans="3:3" x14ac:dyDescent="0.35">
      <c r="C28458" s="2"/>
    </row>
    <row r="28459" spans="3:3" x14ac:dyDescent="0.35">
      <c r="C28459" s="2"/>
    </row>
    <row r="28460" spans="3:3" x14ac:dyDescent="0.35">
      <c r="C28460" s="2"/>
    </row>
    <row r="28461" spans="3:3" x14ac:dyDescent="0.35">
      <c r="C28461" s="2"/>
    </row>
    <row r="28462" spans="3:3" x14ac:dyDescent="0.35">
      <c r="C28462" s="2"/>
    </row>
    <row r="28463" spans="3:3" x14ac:dyDescent="0.35">
      <c r="C28463" s="2"/>
    </row>
    <row r="28464" spans="3:3" x14ac:dyDescent="0.35">
      <c r="C28464" s="2"/>
    </row>
    <row r="28465" spans="3:3" x14ac:dyDescent="0.35">
      <c r="C28465" s="2"/>
    </row>
    <row r="28466" spans="3:3" x14ac:dyDescent="0.35">
      <c r="C28466" s="2"/>
    </row>
    <row r="28467" spans="3:3" x14ac:dyDescent="0.35">
      <c r="C28467" s="2"/>
    </row>
    <row r="28468" spans="3:3" x14ac:dyDescent="0.35">
      <c r="C28468" s="2"/>
    </row>
    <row r="28469" spans="3:3" x14ac:dyDescent="0.35">
      <c r="C28469" s="2"/>
    </row>
    <row r="28470" spans="3:3" x14ac:dyDescent="0.35">
      <c r="C28470" s="2"/>
    </row>
    <row r="28471" spans="3:3" x14ac:dyDescent="0.35">
      <c r="C28471" s="2"/>
    </row>
    <row r="28472" spans="3:3" x14ac:dyDescent="0.35">
      <c r="C28472" s="2"/>
    </row>
    <row r="28473" spans="3:3" x14ac:dyDescent="0.35">
      <c r="C28473" s="2"/>
    </row>
    <row r="28474" spans="3:3" x14ac:dyDescent="0.35">
      <c r="C28474" s="2"/>
    </row>
    <row r="28475" spans="3:3" x14ac:dyDescent="0.35">
      <c r="C28475" s="2"/>
    </row>
    <row r="28476" spans="3:3" x14ac:dyDescent="0.35">
      <c r="C28476" s="2"/>
    </row>
    <row r="28477" spans="3:3" x14ac:dyDescent="0.35">
      <c r="C28477" s="2"/>
    </row>
    <row r="28478" spans="3:3" x14ac:dyDescent="0.35">
      <c r="C28478" s="2"/>
    </row>
    <row r="28479" spans="3:3" x14ac:dyDescent="0.35">
      <c r="C28479" s="2"/>
    </row>
    <row r="28480" spans="3:3" x14ac:dyDescent="0.35">
      <c r="C28480" s="2"/>
    </row>
    <row r="28481" spans="3:3" x14ac:dyDescent="0.35">
      <c r="C28481" s="2"/>
    </row>
    <row r="28482" spans="3:3" x14ac:dyDescent="0.35">
      <c r="C28482" s="2"/>
    </row>
    <row r="28483" spans="3:3" x14ac:dyDescent="0.35">
      <c r="C28483" s="2"/>
    </row>
    <row r="28484" spans="3:3" x14ac:dyDescent="0.35">
      <c r="C28484" s="2"/>
    </row>
    <row r="28485" spans="3:3" x14ac:dyDescent="0.35">
      <c r="C28485" s="2"/>
    </row>
    <row r="28486" spans="3:3" x14ac:dyDescent="0.35">
      <c r="C28486" s="2"/>
    </row>
    <row r="28487" spans="3:3" x14ac:dyDescent="0.35">
      <c r="C28487" s="2"/>
    </row>
    <row r="28488" spans="3:3" x14ac:dyDescent="0.35">
      <c r="C28488" s="2"/>
    </row>
    <row r="28489" spans="3:3" x14ac:dyDescent="0.35">
      <c r="C28489" s="2"/>
    </row>
    <row r="28490" spans="3:3" x14ac:dyDescent="0.35">
      <c r="C28490" s="2"/>
    </row>
    <row r="28491" spans="3:3" x14ac:dyDescent="0.35">
      <c r="C28491" s="2"/>
    </row>
    <row r="28492" spans="3:3" x14ac:dyDescent="0.35">
      <c r="C28492" s="2"/>
    </row>
    <row r="28493" spans="3:3" x14ac:dyDescent="0.35">
      <c r="C28493" s="2"/>
    </row>
    <row r="28494" spans="3:3" x14ac:dyDescent="0.35">
      <c r="C28494" s="2"/>
    </row>
    <row r="28495" spans="3:3" x14ac:dyDescent="0.35">
      <c r="C28495" s="2"/>
    </row>
    <row r="28496" spans="3:3" x14ac:dyDescent="0.35">
      <c r="C28496" s="2"/>
    </row>
    <row r="28497" spans="3:3" x14ac:dyDescent="0.35">
      <c r="C28497" s="2"/>
    </row>
    <row r="28498" spans="3:3" x14ac:dyDescent="0.35">
      <c r="C28498" s="2"/>
    </row>
    <row r="28499" spans="3:3" x14ac:dyDescent="0.35">
      <c r="C28499" s="2"/>
    </row>
    <row r="28500" spans="3:3" x14ac:dyDescent="0.35">
      <c r="C28500" s="2"/>
    </row>
    <row r="28501" spans="3:3" x14ac:dyDescent="0.35">
      <c r="C28501" s="2"/>
    </row>
    <row r="28502" spans="3:3" x14ac:dyDescent="0.35">
      <c r="C28502" s="2"/>
    </row>
    <row r="28503" spans="3:3" x14ac:dyDescent="0.35">
      <c r="C28503" s="2"/>
    </row>
    <row r="28504" spans="3:3" x14ac:dyDescent="0.35">
      <c r="C28504" s="2"/>
    </row>
    <row r="28505" spans="3:3" x14ac:dyDescent="0.35">
      <c r="C28505" s="2"/>
    </row>
    <row r="28506" spans="3:3" x14ac:dyDescent="0.35">
      <c r="C28506" s="2"/>
    </row>
    <row r="28507" spans="3:3" x14ac:dyDescent="0.35">
      <c r="C28507" s="2"/>
    </row>
    <row r="28508" spans="3:3" x14ac:dyDescent="0.35">
      <c r="C28508" s="2"/>
    </row>
    <row r="28509" spans="3:3" x14ac:dyDescent="0.35">
      <c r="C28509" s="2"/>
    </row>
    <row r="28510" spans="3:3" x14ac:dyDescent="0.35">
      <c r="C28510" s="2"/>
    </row>
    <row r="28511" spans="3:3" x14ac:dyDescent="0.35">
      <c r="C28511" s="2"/>
    </row>
    <row r="28512" spans="3:3" x14ac:dyDescent="0.35">
      <c r="C28512" s="2"/>
    </row>
    <row r="28513" spans="3:3" x14ac:dyDescent="0.35">
      <c r="C28513" s="2"/>
    </row>
    <row r="28514" spans="3:3" x14ac:dyDescent="0.35">
      <c r="C28514" s="2"/>
    </row>
    <row r="28515" spans="3:3" x14ac:dyDescent="0.35">
      <c r="C28515" s="2"/>
    </row>
    <row r="28516" spans="3:3" x14ac:dyDescent="0.35">
      <c r="C28516" s="2"/>
    </row>
    <row r="28517" spans="3:3" x14ac:dyDescent="0.35">
      <c r="C28517" s="2"/>
    </row>
    <row r="28518" spans="3:3" x14ac:dyDescent="0.35">
      <c r="C28518" s="2"/>
    </row>
    <row r="28519" spans="3:3" x14ac:dyDescent="0.35">
      <c r="C28519" s="2"/>
    </row>
    <row r="28520" spans="3:3" x14ac:dyDescent="0.35">
      <c r="C28520" s="2"/>
    </row>
    <row r="28521" spans="3:3" x14ac:dyDescent="0.35">
      <c r="C28521" s="2"/>
    </row>
    <row r="28522" spans="3:3" x14ac:dyDescent="0.35">
      <c r="C28522" s="2"/>
    </row>
    <row r="28523" spans="3:3" x14ac:dyDescent="0.35">
      <c r="C28523" s="2"/>
    </row>
    <row r="28524" spans="3:3" x14ac:dyDescent="0.35">
      <c r="C28524" s="2"/>
    </row>
    <row r="28525" spans="3:3" x14ac:dyDescent="0.35">
      <c r="C28525" s="2"/>
    </row>
    <row r="28526" spans="3:3" x14ac:dyDescent="0.35">
      <c r="C28526" s="2"/>
    </row>
    <row r="28527" spans="3:3" x14ac:dyDescent="0.35">
      <c r="C28527" s="2"/>
    </row>
    <row r="28528" spans="3:3" x14ac:dyDescent="0.35">
      <c r="C28528" s="2"/>
    </row>
    <row r="28529" spans="3:3" x14ac:dyDescent="0.35">
      <c r="C28529" s="2"/>
    </row>
    <row r="28530" spans="3:3" x14ac:dyDescent="0.35">
      <c r="C28530" s="2"/>
    </row>
    <row r="28531" spans="3:3" x14ac:dyDescent="0.35">
      <c r="C28531" s="2"/>
    </row>
    <row r="28532" spans="3:3" x14ac:dyDescent="0.35">
      <c r="C28532" s="2"/>
    </row>
    <row r="28533" spans="3:3" x14ac:dyDescent="0.35">
      <c r="C28533" s="2"/>
    </row>
    <row r="28534" spans="3:3" x14ac:dyDescent="0.35">
      <c r="C28534" s="2"/>
    </row>
    <row r="28535" spans="3:3" x14ac:dyDescent="0.35">
      <c r="C28535" s="2"/>
    </row>
    <row r="28536" spans="3:3" x14ac:dyDescent="0.35">
      <c r="C28536" s="2"/>
    </row>
    <row r="28537" spans="3:3" x14ac:dyDescent="0.35">
      <c r="C28537" s="2"/>
    </row>
    <row r="28538" spans="3:3" x14ac:dyDescent="0.35">
      <c r="C28538" s="2"/>
    </row>
    <row r="28539" spans="3:3" x14ac:dyDescent="0.35">
      <c r="C28539" s="2"/>
    </row>
    <row r="28540" spans="3:3" x14ac:dyDescent="0.35">
      <c r="C28540" s="2"/>
    </row>
    <row r="28541" spans="3:3" x14ac:dyDescent="0.35">
      <c r="C28541" s="2"/>
    </row>
    <row r="28542" spans="3:3" x14ac:dyDescent="0.35">
      <c r="C28542" s="2"/>
    </row>
    <row r="28543" spans="3:3" x14ac:dyDescent="0.35">
      <c r="C28543" s="2"/>
    </row>
    <row r="28544" spans="3:3" x14ac:dyDescent="0.35">
      <c r="C28544" s="2"/>
    </row>
    <row r="28545" spans="3:3" x14ac:dyDescent="0.35">
      <c r="C28545" s="2"/>
    </row>
    <row r="28546" spans="3:3" x14ac:dyDescent="0.35">
      <c r="C28546" s="2"/>
    </row>
    <row r="28547" spans="3:3" x14ac:dyDescent="0.35">
      <c r="C28547" s="2"/>
    </row>
    <row r="28548" spans="3:3" x14ac:dyDescent="0.35">
      <c r="C28548" s="2"/>
    </row>
    <row r="28549" spans="3:3" x14ac:dyDescent="0.35">
      <c r="C28549" s="2"/>
    </row>
    <row r="28550" spans="3:3" x14ac:dyDescent="0.35">
      <c r="C28550" s="2"/>
    </row>
    <row r="28551" spans="3:3" x14ac:dyDescent="0.35">
      <c r="C28551" s="2"/>
    </row>
    <row r="28552" spans="3:3" x14ac:dyDescent="0.35">
      <c r="C28552" s="2"/>
    </row>
    <row r="28553" spans="3:3" x14ac:dyDescent="0.35">
      <c r="C28553" s="2"/>
    </row>
    <row r="28554" spans="3:3" x14ac:dyDescent="0.35">
      <c r="C28554" s="2"/>
    </row>
    <row r="28555" spans="3:3" x14ac:dyDescent="0.35">
      <c r="C28555" s="2"/>
    </row>
    <row r="28556" spans="3:3" x14ac:dyDescent="0.35">
      <c r="C28556" s="2"/>
    </row>
    <row r="28557" spans="3:3" x14ac:dyDescent="0.35">
      <c r="C28557" s="2"/>
    </row>
    <row r="28558" spans="3:3" x14ac:dyDescent="0.35">
      <c r="C28558" s="2"/>
    </row>
    <row r="28559" spans="3:3" x14ac:dyDescent="0.35">
      <c r="C28559" s="2"/>
    </row>
    <row r="28560" spans="3:3" x14ac:dyDescent="0.35">
      <c r="C28560" s="2"/>
    </row>
    <row r="28561" spans="3:3" x14ac:dyDescent="0.35">
      <c r="C28561" s="2"/>
    </row>
    <row r="28562" spans="3:3" x14ac:dyDescent="0.35">
      <c r="C28562" s="2"/>
    </row>
    <row r="28563" spans="3:3" x14ac:dyDescent="0.35">
      <c r="C28563" s="2"/>
    </row>
    <row r="28564" spans="3:3" x14ac:dyDescent="0.35">
      <c r="C28564" s="2"/>
    </row>
    <row r="28565" spans="3:3" x14ac:dyDescent="0.35">
      <c r="C28565" s="2"/>
    </row>
    <row r="28566" spans="3:3" x14ac:dyDescent="0.35">
      <c r="C28566" s="2"/>
    </row>
    <row r="28567" spans="3:3" x14ac:dyDescent="0.35">
      <c r="C28567" s="2"/>
    </row>
    <row r="28568" spans="3:3" x14ac:dyDescent="0.35">
      <c r="C28568" s="2"/>
    </row>
    <row r="28569" spans="3:3" x14ac:dyDescent="0.35">
      <c r="C28569" s="2"/>
    </row>
    <row r="28570" spans="3:3" x14ac:dyDescent="0.35">
      <c r="C28570" s="2"/>
    </row>
    <row r="28571" spans="3:3" x14ac:dyDescent="0.35">
      <c r="C28571" s="2"/>
    </row>
    <row r="28572" spans="3:3" x14ac:dyDescent="0.35">
      <c r="C28572" s="2"/>
    </row>
    <row r="28573" spans="3:3" x14ac:dyDescent="0.35">
      <c r="C28573" s="2"/>
    </row>
    <row r="28574" spans="3:3" x14ac:dyDescent="0.35">
      <c r="C28574" s="2"/>
    </row>
    <row r="28575" spans="3:3" x14ac:dyDescent="0.35">
      <c r="C28575" s="2"/>
    </row>
    <row r="28576" spans="3:3" x14ac:dyDescent="0.35">
      <c r="C28576" s="2"/>
    </row>
    <row r="28577" spans="3:3" x14ac:dyDescent="0.35">
      <c r="C28577" s="2"/>
    </row>
    <row r="28578" spans="3:3" x14ac:dyDescent="0.35">
      <c r="C28578" s="2"/>
    </row>
    <row r="28579" spans="3:3" x14ac:dyDescent="0.35">
      <c r="C28579" s="2"/>
    </row>
    <row r="28580" spans="3:3" x14ac:dyDescent="0.35">
      <c r="C28580" s="2"/>
    </row>
    <row r="28581" spans="3:3" x14ac:dyDescent="0.35">
      <c r="C28581" s="2"/>
    </row>
    <row r="28582" spans="3:3" x14ac:dyDescent="0.35">
      <c r="C28582" s="2"/>
    </row>
    <row r="28583" spans="3:3" x14ac:dyDescent="0.35">
      <c r="C28583" s="2"/>
    </row>
    <row r="28584" spans="3:3" x14ac:dyDescent="0.35">
      <c r="C28584" s="2"/>
    </row>
    <row r="28585" spans="3:3" x14ac:dyDescent="0.35">
      <c r="C28585" s="2"/>
    </row>
    <row r="28586" spans="3:3" x14ac:dyDescent="0.35">
      <c r="C28586" s="2"/>
    </row>
    <row r="28587" spans="3:3" x14ac:dyDescent="0.35">
      <c r="C28587" s="2"/>
    </row>
    <row r="28588" spans="3:3" x14ac:dyDescent="0.35">
      <c r="C28588" s="2"/>
    </row>
    <row r="28589" spans="3:3" x14ac:dyDescent="0.35">
      <c r="C28589" s="2"/>
    </row>
    <row r="28590" spans="3:3" x14ac:dyDescent="0.35">
      <c r="C28590" s="2"/>
    </row>
    <row r="28591" spans="3:3" x14ac:dyDescent="0.35">
      <c r="C28591" s="2"/>
    </row>
    <row r="28592" spans="3:3" x14ac:dyDescent="0.35">
      <c r="C28592" s="2"/>
    </row>
    <row r="28593" spans="3:3" x14ac:dyDescent="0.35">
      <c r="C28593" s="2"/>
    </row>
    <row r="28594" spans="3:3" x14ac:dyDescent="0.35">
      <c r="C28594" s="2"/>
    </row>
    <row r="28595" spans="3:3" x14ac:dyDescent="0.35">
      <c r="C28595" s="2"/>
    </row>
    <row r="28596" spans="3:3" x14ac:dyDescent="0.35">
      <c r="C28596" s="2"/>
    </row>
    <row r="28597" spans="3:3" x14ac:dyDescent="0.35">
      <c r="C28597" s="2"/>
    </row>
    <row r="28598" spans="3:3" x14ac:dyDescent="0.35">
      <c r="C28598" s="2"/>
    </row>
    <row r="28599" spans="3:3" x14ac:dyDescent="0.35">
      <c r="C28599" s="2"/>
    </row>
    <row r="28600" spans="3:3" x14ac:dyDescent="0.35">
      <c r="C28600" s="2"/>
    </row>
    <row r="28601" spans="3:3" x14ac:dyDescent="0.35">
      <c r="C28601" s="2"/>
    </row>
    <row r="28602" spans="3:3" x14ac:dyDescent="0.35">
      <c r="C28602" s="2"/>
    </row>
    <row r="28603" spans="3:3" x14ac:dyDescent="0.35">
      <c r="C28603" s="2"/>
    </row>
    <row r="28604" spans="3:3" x14ac:dyDescent="0.35">
      <c r="C28604" s="2"/>
    </row>
    <row r="28605" spans="3:3" x14ac:dyDescent="0.35">
      <c r="C28605" s="2"/>
    </row>
    <row r="28606" spans="3:3" x14ac:dyDescent="0.35">
      <c r="C28606" s="2"/>
    </row>
    <row r="28607" spans="3:3" x14ac:dyDescent="0.35">
      <c r="C28607" s="2"/>
    </row>
    <row r="28608" spans="3:3" x14ac:dyDescent="0.35">
      <c r="C28608" s="2"/>
    </row>
    <row r="28609" spans="3:3" x14ac:dyDescent="0.35">
      <c r="C28609" s="2"/>
    </row>
    <row r="28610" spans="3:3" x14ac:dyDescent="0.35">
      <c r="C28610" s="2"/>
    </row>
    <row r="28611" spans="3:3" x14ac:dyDescent="0.35">
      <c r="C28611" s="2"/>
    </row>
    <row r="28612" spans="3:3" x14ac:dyDescent="0.35">
      <c r="C28612" s="2"/>
    </row>
    <row r="28613" spans="3:3" x14ac:dyDescent="0.35">
      <c r="C28613" s="2"/>
    </row>
    <row r="28614" spans="3:3" x14ac:dyDescent="0.35">
      <c r="C28614" s="2"/>
    </row>
    <row r="28615" spans="3:3" x14ac:dyDescent="0.35">
      <c r="C28615" s="2"/>
    </row>
    <row r="28616" spans="3:3" x14ac:dyDescent="0.35">
      <c r="C28616" s="2"/>
    </row>
    <row r="28617" spans="3:3" x14ac:dyDescent="0.35">
      <c r="C28617" s="2"/>
    </row>
    <row r="28618" spans="3:3" x14ac:dyDescent="0.35">
      <c r="C28618" s="2"/>
    </row>
    <row r="28619" spans="3:3" x14ac:dyDescent="0.35">
      <c r="C28619" s="2"/>
    </row>
    <row r="28620" spans="3:3" x14ac:dyDescent="0.35">
      <c r="C28620" s="2"/>
    </row>
    <row r="28621" spans="3:3" x14ac:dyDescent="0.35">
      <c r="C28621" s="2"/>
    </row>
    <row r="28622" spans="3:3" x14ac:dyDescent="0.35">
      <c r="C28622" s="2"/>
    </row>
    <row r="28623" spans="3:3" x14ac:dyDescent="0.35">
      <c r="C28623" s="2"/>
    </row>
    <row r="28624" spans="3:3" x14ac:dyDescent="0.35">
      <c r="C28624" s="2"/>
    </row>
    <row r="28625" spans="3:3" x14ac:dyDescent="0.35">
      <c r="C28625" s="2"/>
    </row>
    <row r="28626" spans="3:3" x14ac:dyDescent="0.35">
      <c r="C28626" s="2"/>
    </row>
    <row r="28627" spans="3:3" x14ac:dyDescent="0.35">
      <c r="C28627" s="2"/>
    </row>
    <row r="28628" spans="3:3" x14ac:dyDescent="0.35">
      <c r="C28628" s="2"/>
    </row>
    <row r="28629" spans="3:3" x14ac:dyDescent="0.35">
      <c r="C28629" s="2"/>
    </row>
    <row r="28630" spans="3:3" x14ac:dyDescent="0.35">
      <c r="C28630" s="2"/>
    </row>
    <row r="28631" spans="3:3" x14ac:dyDescent="0.35">
      <c r="C28631" s="2"/>
    </row>
    <row r="28632" spans="3:3" x14ac:dyDescent="0.35">
      <c r="C28632" s="2"/>
    </row>
    <row r="28633" spans="3:3" x14ac:dyDescent="0.35">
      <c r="C28633" s="2"/>
    </row>
    <row r="28634" spans="3:3" x14ac:dyDescent="0.35">
      <c r="C28634" s="2"/>
    </row>
    <row r="28635" spans="3:3" x14ac:dyDescent="0.35">
      <c r="C28635" s="2"/>
    </row>
    <row r="28636" spans="3:3" x14ac:dyDescent="0.35">
      <c r="C28636" s="2"/>
    </row>
    <row r="28637" spans="3:3" x14ac:dyDescent="0.35">
      <c r="C28637" s="2"/>
    </row>
    <row r="28638" spans="3:3" x14ac:dyDescent="0.35">
      <c r="C28638" s="2"/>
    </row>
    <row r="28639" spans="3:3" x14ac:dyDescent="0.35">
      <c r="C28639" s="2"/>
    </row>
    <row r="28640" spans="3:3" x14ac:dyDescent="0.35">
      <c r="C28640" s="2"/>
    </row>
    <row r="28641" spans="3:3" x14ac:dyDescent="0.35">
      <c r="C28641" s="2"/>
    </row>
    <row r="28642" spans="3:3" x14ac:dyDescent="0.35">
      <c r="C28642" s="2"/>
    </row>
    <row r="28643" spans="3:3" x14ac:dyDescent="0.35">
      <c r="C28643" s="2"/>
    </row>
    <row r="28644" spans="3:3" x14ac:dyDescent="0.35">
      <c r="C28644" s="2"/>
    </row>
    <row r="28645" spans="3:3" x14ac:dyDescent="0.35">
      <c r="C28645" s="2"/>
    </row>
    <row r="28646" spans="3:3" x14ac:dyDescent="0.35">
      <c r="C28646" s="2"/>
    </row>
    <row r="28647" spans="3:3" x14ac:dyDescent="0.35">
      <c r="C28647" s="2"/>
    </row>
    <row r="28648" spans="3:3" x14ac:dyDescent="0.35">
      <c r="C28648" s="2"/>
    </row>
    <row r="28649" spans="3:3" x14ac:dyDescent="0.35">
      <c r="C28649" s="2"/>
    </row>
    <row r="28650" spans="3:3" x14ac:dyDescent="0.35">
      <c r="C28650" s="2"/>
    </row>
    <row r="28651" spans="3:3" x14ac:dyDescent="0.35">
      <c r="C28651" s="2"/>
    </row>
    <row r="28652" spans="3:3" x14ac:dyDescent="0.35">
      <c r="C28652" s="2"/>
    </row>
    <row r="28653" spans="3:3" x14ac:dyDescent="0.35">
      <c r="C28653" s="2"/>
    </row>
    <row r="28654" spans="3:3" x14ac:dyDescent="0.35">
      <c r="C28654" s="2"/>
    </row>
    <row r="28655" spans="3:3" x14ac:dyDescent="0.35">
      <c r="C28655" s="2"/>
    </row>
    <row r="28656" spans="3:3" x14ac:dyDescent="0.35">
      <c r="C28656" s="2"/>
    </row>
    <row r="28657" spans="3:3" x14ac:dyDescent="0.35">
      <c r="C28657" s="2"/>
    </row>
    <row r="28658" spans="3:3" x14ac:dyDescent="0.35">
      <c r="C28658" s="2"/>
    </row>
    <row r="28659" spans="3:3" x14ac:dyDescent="0.35">
      <c r="C28659" s="2"/>
    </row>
    <row r="28660" spans="3:3" x14ac:dyDescent="0.35">
      <c r="C28660" s="2"/>
    </row>
    <row r="28661" spans="3:3" x14ac:dyDescent="0.35">
      <c r="C28661" s="2"/>
    </row>
    <row r="28662" spans="3:3" x14ac:dyDescent="0.35">
      <c r="C28662" s="2"/>
    </row>
    <row r="28663" spans="3:3" x14ac:dyDescent="0.35">
      <c r="C28663" s="2"/>
    </row>
    <row r="28664" spans="3:3" x14ac:dyDescent="0.35">
      <c r="C28664" s="2"/>
    </row>
    <row r="28665" spans="3:3" x14ac:dyDescent="0.35">
      <c r="C28665" s="2"/>
    </row>
    <row r="28666" spans="3:3" x14ac:dyDescent="0.35">
      <c r="C28666" s="2"/>
    </row>
    <row r="28667" spans="3:3" x14ac:dyDescent="0.35">
      <c r="C28667" s="2"/>
    </row>
    <row r="28668" spans="3:3" x14ac:dyDescent="0.35">
      <c r="C28668" s="2"/>
    </row>
    <row r="28669" spans="3:3" x14ac:dyDescent="0.35">
      <c r="C28669" s="2"/>
    </row>
    <row r="28670" spans="3:3" x14ac:dyDescent="0.35">
      <c r="C28670" s="2"/>
    </row>
    <row r="28671" spans="3:3" x14ac:dyDescent="0.35">
      <c r="C28671" s="2"/>
    </row>
    <row r="28672" spans="3:3" x14ac:dyDescent="0.35">
      <c r="C28672" s="2"/>
    </row>
    <row r="28673" spans="3:3" x14ac:dyDescent="0.35">
      <c r="C28673" s="2"/>
    </row>
    <row r="28674" spans="3:3" x14ac:dyDescent="0.35">
      <c r="C28674" s="2"/>
    </row>
    <row r="28675" spans="3:3" x14ac:dyDescent="0.35">
      <c r="C28675" s="2"/>
    </row>
    <row r="28676" spans="3:3" x14ac:dyDescent="0.35">
      <c r="C28676" s="2"/>
    </row>
    <row r="28677" spans="3:3" x14ac:dyDescent="0.35">
      <c r="C28677" s="2"/>
    </row>
    <row r="28678" spans="3:3" x14ac:dyDescent="0.35">
      <c r="C28678" s="2"/>
    </row>
    <row r="28679" spans="3:3" x14ac:dyDescent="0.35">
      <c r="C28679" s="2"/>
    </row>
    <row r="28680" spans="3:3" x14ac:dyDescent="0.35">
      <c r="C28680" s="2"/>
    </row>
    <row r="28681" spans="3:3" x14ac:dyDescent="0.35">
      <c r="C28681" s="2"/>
    </row>
    <row r="28682" spans="3:3" x14ac:dyDescent="0.35">
      <c r="C28682" s="2"/>
    </row>
    <row r="28683" spans="3:3" x14ac:dyDescent="0.35">
      <c r="C28683" s="2"/>
    </row>
    <row r="28684" spans="3:3" x14ac:dyDescent="0.35">
      <c r="C28684" s="2"/>
    </row>
    <row r="28685" spans="3:3" x14ac:dyDescent="0.35">
      <c r="C28685" s="2"/>
    </row>
    <row r="28686" spans="3:3" x14ac:dyDescent="0.35">
      <c r="C28686" s="2"/>
    </row>
    <row r="28687" spans="3:3" x14ac:dyDescent="0.35">
      <c r="C28687" s="2"/>
    </row>
    <row r="28688" spans="3:3" x14ac:dyDescent="0.35">
      <c r="C28688" s="2"/>
    </row>
    <row r="28689" spans="3:3" x14ac:dyDescent="0.35">
      <c r="C28689" s="2"/>
    </row>
    <row r="28690" spans="3:3" x14ac:dyDescent="0.35">
      <c r="C28690" s="2"/>
    </row>
    <row r="28691" spans="3:3" x14ac:dyDescent="0.35">
      <c r="C28691" s="2"/>
    </row>
    <row r="28692" spans="3:3" x14ac:dyDescent="0.35">
      <c r="C28692" s="2"/>
    </row>
    <row r="28693" spans="3:3" x14ac:dyDescent="0.35">
      <c r="C28693" s="2"/>
    </row>
    <row r="28694" spans="3:3" x14ac:dyDescent="0.35">
      <c r="C28694" s="2"/>
    </row>
    <row r="28695" spans="3:3" x14ac:dyDescent="0.35">
      <c r="C28695" s="2"/>
    </row>
    <row r="28696" spans="3:3" x14ac:dyDescent="0.35">
      <c r="C28696" s="2"/>
    </row>
    <row r="28697" spans="3:3" x14ac:dyDescent="0.35">
      <c r="C28697" s="2"/>
    </row>
    <row r="28698" spans="3:3" x14ac:dyDescent="0.35">
      <c r="C28698" s="2"/>
    </row>
    <row r="28699" spans="3:3" x14ac:dyDescent="0.35">
      <c r="C28699" s="2"/>
    </row>
    <row r="28700" spans="3:3" x14ac:dyDescent="0.35">
      <c r="C28700" s="2"/>
    </row>
    <row r="28701" spans="3:3" x14ac:dyDescent="0.35">
      <c r="C28701" s="2"/>
    </row>
    <row r="28702" spans="3:3" x14ac:dyDescent="0.35">
      <c r="C28702" s="2"/>
    </row>
    <row r="28703" spans="3:3" x14ac:dyDescent="0.35">
      <c r="C28703" s="2"/>
    </row>
    <row r="28704" spans="3:3" x14ac:dyDescent="0.35">
      <c r="C28704" s="2"/>
    </row>
    <row r="28705" spans="3:3" x14ac:dyDescent="0.35">
      <c r="C28705" s="2"/>
    </row>
    <row r="28706" spans="3:3" x14ac:dyDescent="0.35">
      <c r="C28706" s="2"/>
    </row>
    <row r="28707" spans="3:3" x14ac:dyDescent="0.35">
      <c r="C28707" s="2"/>
    </row>
    <row r="28708" spans="3:3" x14ac:dyDescent="0.35">
      <c r="C28708" s="2"/>
    </row>
    <row r="28709" spans="3:3" x14ac:dyDescent="0.35">
      <c r="C28709" s="2"/>
    </row>
    <row r="28710" spans="3:3" x14ac:dyDescent="0.35">
      <c r="C28710" s="2"/>
    </row>
    <row r="28711" spans="3:3" x14ac:dyDescent="0.35">
      <c r="C28711" s="2"/>
    </row>
    <row r="28712" spans="3:3" x14ac:dyDescent="0.35">
      <c r="C28712" s="2"/>
    </row>
    <row r="28713" spans="3:3" x14ac:dyDescent="0.35">
      <c r="C28713" s="2"/>
    </row>
    <row r="28714" spans="3:3" x14ac:dyDescent="0.35">
      <c r="C28714" s="2"/>
    </row>
    <row r="28715" spans="3:3" x14ac:dyDescent="0.35">
      <c r="C28715" s="2"/>
    </row>
    <row r="28716" spans="3:3" x14ac:dyDescent="0.35">
      <c r="C28716" s="2"/>
    </row>
    <row r="28717" spans="3:3" x14ac:dyDescent="0.35">
      <c r="C28717" s="2"/>
    </row>
    <row r="28718" spans="3:3" x14ac:dyDescent="0.35">
      <c r="C28718" s="2"/>
    </row>
    <row r="28719" spans="3:3" x14ac:dyDescent="0.35">
      <c r="C28719" s="2"/>
    </row>
    <row r="28720" spans="3:3" x14ac:dyDescent="0.35">
      <c r="C28720" s="2"/>
    </row>
    <row r="28721" spans="3:3" x14ac:dyDescent="0.35">
      <c r="C28721" s="2"/>
    </row>
    <row r="28722" spans="3:3" x14ac:dyDescent="0.35">
      <c r="C28722" s="2"/>
    </row>
    <row r="28723" spans="3:3" x14ac:dyDescent="0.35">
      <c r="C28723" s="2"/>
    </row>
    <row r="28724" spans="3:3" x14ac:dyDescent="0.35">
      <c r="C28724" s="2"/>
    </row>
    <row r="28725" spans="3:3" x14ac:dyDescent="0.35">
      <c r="C28725" s="2"/>
    </row>
    <row r="28726" spans="3:3" x14ac:dyDescent="0.35">
      <c r="C28726" s="2"/>
    </row>
    <row r="28727" spans="3:3" x14ac:dyDescent="0.35">
      <c r="C28727" s="2"/>
    </row>
    <row r="28728" spans="3:3" x14ac:dyDescent="0.35">
      <c r="C28728" s="2"/>
    </row>
    <row r="28729" spans="3:3" x14ac:dyDescent="0.35">
      <c r="C28729" s="2"/>
    </row>
    <row r="28730" spans="3:3" x14ac:dyDescent="0.35">
      <c r="C28730" s="2"/>
    </row>
    <row r="28731" spans="3:3" x14ac:dyDescent="0.35">
      <c r="C28731" s="2"/>
    </row>
    <row r="28732" spans="3:3" x14ac:dyDescent="0.35">
      <c r="C28732" s="2"/>
    </row>
    <row r="28733" spans="3:3" x14ac:dyDescent="0.35">
      <c r="C28733" s="2"/>
    </row>
    <row r="28734" spans="3:3" x14ac:dyDescent="0.35">
      <c r="C28734" s="2"/>
    </row>
    <row r="28735" spans="3:3" x14ac:dyDescent="0.35">
      <c r="C28735" s="2"/>
    </row>
    <row r="28736" spans="3:3" x14ac:dyDescent="0.35">
      <c r="C28736" s="2"/>
    </row>
    <row r="28737" spans="3:3" x14ac:dyDescent="0.35">
      <c r="C28737" s="2"/>
    </row>
    <row r="28738" spans="3:3" x14ac:dyDescent="0.35">
      <c r="C28738" s="2"/>
    </row>
    <row r="28739" spans="3:3" x14ac:dyDescent="0.35">
      <c r="C28739" s="2"/>
    </row>
    <row r="28740" spans="3:3" x14ac:dyDescent="0.35">
      <c r="C28740" s="2"/>
    </row>
    <row r="28741" spans="3:3" x14ac:dyDescent="0.35">
      <c r="C28741" s="2"/>
    </row>
    <row r="28742" spans="3:3" x14ac:dyDescent="0.35">
      <c r="C28742" s="2"/>
    </row>
    <row r="28743" spans="3:3" x14ac:dyDescent="0.35">
      <c r="C28743" s="2"/>
    </row>
    <row r="28744" spans="3:3" x14ac:dyDescent="0.35">
      <c r="C28744" s="2"/>
    </row>
    <row r="28745" spans="3:3" x14ac:dyDescent="0.35">
      <c r="C28745" s="2"/>
    </row>
    <row r="28746" spans="3:3" x14ac:dyDescent="0.35">
      <c r="C28746" s="2"/>
    </row>
    <row r="28747" spans="3:3" x14ac:dyDescent="0.35">
      <c r="C28747" s="2"/>
    </row>
    <row r="28748" spans="3:3" x14ac:dyDescent="0.35">
      <c r="C28748" s="2"/>
    </row>
    <row r="28749" spans="3:3" x14ac:dyDescent="0.35">
      <c r="C28749" s="2"/>
    </row>
    <row r="28750" spans="3:3" x14ac:dyDescent="0.35">
      <c r="C28750" s="2"/>
    </row>
    <row r="28751" spans="3:3" x14ac:dyDescent="0.35">
      <c r="C28751" s="2"/>
    </row>
    <row r="28752" spans="3:3" x14ac:dyDescent="0.35">
      <c r="C28752" s="2"/>
    </row>
    <row r="28753" spans="3:3" x14ac:dyDescent="0.35">
      <c r="C28753" s="2"/>
    </row>
    <row r="28754" spans="3:3" x14ac:dyDescent="0.35">
      <c r="C28754" s="2"/>
    </row>
    <row r="28755" spans="3:3" x14ac:dyDescent="0.35">
      <c r="C28755" s="2"/>
    </row>
    <row r="28756" spans="3:3" x14ac:dyDescent="0.35">
      <c r="C28756" s="2"/>
    </row>
    <row r="28757" spans="3:3" x14ac:dyDescent="0.35">
      <c r="C28757" s="2"/>
    </row>
    <row r="28758" spans="3:3" x14ac:dyDescent="0.35">
      <c r="C28758" s="2"/>
    </row>
    <row r="28759" spans="3:3" x14ac:dyDescent="0.35">
      <c r="C28759" s="2"/>
    </row>
    <row r="28760" spans="3:3" x14ac:dyDescent="0.35">
      <c r="C28760" s="2"/>
    </row>
    <row r="28761" spans="3:3" x14ac:dyDescent="0.35">
      <c r="C28761" s="2"/>
    </row>
    <row r="28762" spans="3:3" x14ac:dyDescent="0.35">
      <c r="C28762" s="2"/>
    </row>
    <row r="28763" spans="3:3" x14ac:dyDescent="0.35">
      <c r="C28763" s="2"/>
    </row>
    <row r="28764" spans="3:3" x14ac:dyDescent="0.35">
      <c r="C28764" s="2"/>
    </row>
    <row r="28765" spans="3:3" x14ac:dyDescent="0.35">
      <c r="C28765" s="2"/>
    </row>
    <row r="28766" spans="3:3" x14ac:dyDescent="0.35">
      <c r="C28766" s="2"/>
    </row>
    <row r="28767" spans="3:3" x14ac:dyDescent="0.35">
      <c r="C28767" s="2"/>
    </row>
    <row r="28768" spans="3:3" x14ac:dyDescent="0.35">
      <c r="C28768" s="2"/>
    </row>
    <row r="28769" spans="3:3" x14ac:dyDescent="0.35">
      <c r="C28769" s="2"/>
    </row>
    <row r="28770" spans="3:3" x14ac:dyDescent="0.35">
      <c r="C28770" s="2"/>
    </row>
    <row r="28771" spans="3:3" x14ac:dyDescent="0.35">
      <c r="C28771" s="2"/>
    </row>
    <row r="28772" spans="3:3" x14ac:dyDescent="0.35">
      <c r="C28772" s="2"/>
    </row>
    <row r="28773" spans="3:3" x14ac:dyDescent="0.35">
      <c r="C28773" s="2"/>
    </row>
    <row r="28774" spans="3:3" x14ac:dyDescent="0.35">
      <c r="C28774" s="2"/>
    </row>
    <row r="28775" spans="3:3" x14ac:dyDescent="0.35">
      <c r="C28775" s="2"/>
    </row>
    <row r="28776" spans="3:3" x14ac:dyDescent="0.35">
      <c r="C28776" s="2"/>
    </row>
    <row r="28777" spans="3:3" x14ac:dyDescent="0.35">
      <c r="C28777" s="2"/>
    </row>
    <row r="28778" spans="3:3" x14ac:dyDescent="0.35">
      <c r="C28778" s="2"/>
    </row>
    <row r="28779" spans="3:3" x14ac:dyDescent="0.35">
      <c r="C28779" s="2"/>
    </row>
    <row r="28780" spans="3:3" x14ac:dyDescent="0.35">
      <c r="C28780" s="2"/>
    </row>
    <row r="28781" spans="3:3" x14ac:dyDescent="0.35">
      <c r="C28781" s="2"/>
    </row>
    <row r="28782" spans="3:3" x14ac:dyDescent="0.35">
      <c r="C28782" s="2"/>
    </row>
    <row r="28783" spans="3:3" x14ac:dyDescent="0.35">
      <c r="C28783" s="2"/>
    </row>
    <row r="28784" spans="3:3" x14ac:dyDescent="0.35">
      <c r="C28784" s="2"/>
    </row>
    <row r="28785" spans="3:3" x14ac:dyDescent="0.35">
      <c r="C28785" s="2"/>
    </row>
    <row r="28786" spans="3:3" x14ac:dyDescent="0.35">
      <c r="C28786" s="2"/>
    </row>
    <row r="28787" spans="3:3" x14ac:dyDescent="0.35">
      <c r="C28787" s="2"/>
    </row>
    <row r="28788" spans="3:3" x14ac:dyDescent="0.35">
      <c r="C28788" s="2"/>
    </row>
    <row r="28789" spans="3:3" x14ac:dyDescent="0.35">
      <c r="C28789" s="2"/>
    </row>
    <row r="28790" spans="3:3" x14ac:dyDescent="0.35">
      <c r="C28790" s="2"/>
    </row>
    <row r="28791" spans="3:3" x14ac:dyDescent="0.35">
      <c r="C28791" s="2"/>
    </row>
    <row r="28792" spans="3:3" x14ac:dyDescent="0.35">
      <c r="C28792" s="2"/>
    </row>
    <row r="28793" spans="3:3" x14ac:dyDescent="0.35">
      <c r="C28793" s="2"/>
    </row>
    <row r="28794" spans="3:3" x14ac:dyDescent="0.35">
      <c r="C28794" s="2"/>
    </row>
    <row r="28795" spans="3:3" x14ac:dyDescent="0.35">
      <c r="C28795" s="2"/>
    </row>
    <row r="28796" spans="3:3" x14ac:dyDescent="0.35">
      <c r="C28796" s="2"/>
    </row>
    <row r="28797" spans="3:3" x14ac:dyDescent="0.35">
      <c r="C28797" s="2"/>
    </row>
    <row r="28798" spans="3:3" x14ac:dyDescent="0.35">
      <c r="C28798" s="2"/>
    </row>
    <row r="28799" spans="3:3" x14ac:dyDescent="0.35">
      <c r="C28799" s="2"/>
    </row>
    <row r="28800" spans="3:3" x14ac:dyDescent="0.35">
      <c r="C28800" s="2"/>
    </row>
    <row r="28801" spans="3:3" x14ac:dyDescent="0.35">
      <c r="C28801" s="2"/>
    </row>
    <row r="28802" spans="3:3" x14ac:dyDescent="0.35">
      <c r="C28802" s="2"/>
    </row>
    <row r="28803" spans="3:3" x14ac:dyDescent="0.35">
      <c r="C28803" s="2"/>
    </row>
    <row r="28804" spans="3:3" x14ac:dyDescent="0.35">
      <c r="C28804" s="2"/>
    </row>
    <row r="28805" spans="3:3" x14ac:dyDescent="0.35">
      <c r="C28805" s="2"/>
    </row>
    <row r="28806" spans="3:3" x14ac:dyDescent="0.35">
      <c r="C28806" s="2"/>
    </row>
    <row r="28807" spans="3:3" x14ac:dyDescent="0.35">
      <c r="C28807" s="2"/>
    </row>
    <row r="28808" spans="3:3" x14ac:dyDescent="0.35">
      <c r="C28808" s="2"/>
    </row>
    <row r="28809" spans="3:3" x14ac:dyDescent="0.35">
      <c r="C28809" s="2"/>
    </row>
    <row r="28810" spans="3:3" x14ac:dyDescent="0.35">
      <c r="C28810" s="2"/>
    </row>
    <row r="28811" spans="3:3" x14ac:dyDescent="0.35">
      <c r="C28811" s="2"/>
    </row>
    <row r="28812" spans="3:3" x14ac:dyDescent="0.35">
      <c r="C28812" s="2"/>
    </row>
    <row r="28813" spans="3:3" x14ac:dyDescent="0.35">
      <c r="C28813" s="2"/>
    </row>
    <row r="28814" spans="3:3" x14ac:dyDescent="0.35">
      <c r="C28814" s="2"/>
    </row>
    <row r="28815" spans="3:3" x14ac:dyDescent="0.35">
      <c r="C28815" s="2"/>
    </row>
    <row r="28816" spans="3:3" x14ac:dyDescent="0.35">
      <c r="C28816" s="2"/>
    </row>
    <row r="28817" spans="3:3" x14ac:dyDescent="0.35">
      <c r="C28817" s="2"/>
    </row>
    <row r="28818" spans="3:3" x14ac:dyDescent="0.35">
      <c r="C28818" s="2"/>
    </row>
    <row r="28819" spans="3:3" x14ac:dyDescent="0.35">
      <c r="C28819" s="2"/>
    </row>
    <row r="28820" spans="3:3" x14ac:dyDescent="0.35">
      <c r="C28820" s="2"/>
    </row>
    <row r="28821" spans="3:3" x14ac:dyDescent="0.35">
      <c r="C28821" s="2"/>
    </row>
    <row r="28822" spans="3:3" x14ac:dyDescent="0.35">
      <c r="C28822" s="2"/>
    </row>
    <row r="28823" spans="3:3" x14ac:dyDescent="0.35">
      <c r="C28823" s="2"/>
    </row>
    <row r="28824" spans="3:3" x14ac:dyDescent="0.35">
      <c r="C28824" s="2"/>
    </row>
    <row r="28825" spans="3:3" x14ac:dyDescent="0.35">
      <c r="C28825" s="2"/>
    </row>
    <row r="28826" spans="3:3" x14ac:dyDescent="0.35">
      <c r="C28826" s="2"/>
    </row>
    <row r="28827" spans="3:3" x14ac:dyDescent="0.35">
      <c r="C28827" s="2"/>
    </row>
    <row r="28828" spans="3:3" x14ac:dyDescent="0.35">
      <c r="C28828" s="2"/>
    </row>
    <row r="28829" spans="3:3" x14ac:dyDescent="0.35">
      <c r="C28829" s="2"/>
    </row>
    <row r="28830" spans="3:3" x14ac:dyDescent="0.35">
      <c r="C28830" s="2"/>
    </row>
    <row r="28831" spans="3:3" x14ac:dyDescent="0.35">
      <c r="C28831" s="2"/>
    </row>
    <row r="28832" spans="3:3" x14ac:dyDescent="0.35">
      <c r="C28832" s="2"/>
    </row>
    <row r="28833" spans="3:3" x14ac:dyDescent="0.35">
      <c r="C28833" s="2"/>
    </row>
    <row r="28834" spans="3:3" x14ac:dyDescent="0.35">
      <c r="C28834" s="2"/>
    </row>
    <row r="28835" spans="3:3" x14ac:dyDescent="0.35">
      <c r="C28835" s="2"/>
    </row>
    <row r="28836" spans="3:3" x14ac:dyDescent="0.35">
      <c r="C28836" s="2"/>
    </row>
    <row r="28837" spans="3:3" x14ac:dyDescent="0.35">
      <c r="C28837" s="2"/>
    </row>
    <row r="28838" spans="3:3" x14ac:dyDescent="0.35">
      <c r="C28838" s="2"/>
    </row>
    <row r="28839" spans="3:3" x14ac:dyDescent="0.35">
      <c r="C28839" s="2"/>
    </row>
    <row r="28840" spans="3:3" x14ac:dyDescent="0.35">
      <c r="C28840" s="2"/>
    </row>
    <row r="28841" spans="3:3" x14ac:dyDescent="0.35">
      <c r="C28841" s="2"/>
    </row>
    <row r="28842" spans="3:3" x14ac:dyDescent="0.35">
      <c r="C28842" s="2"/>
    </row>
    <row r="28843" spans="3:3" x14ac:dyDescent="0.35">
      <c r="C28843" s="2"/>
    </row>
    <row r="28844" spans="3:3" x14ac:dyDescent="0.35">
      <c r="C28844" s="2"/>
    </row>
    <row r="28845" spans="3:3" x14ac:dyDescent="0.35">
      <c r="C28845" s="2"/>
    </row>
    <row r="28846" spans="3:3" x14ac:dyDescent="0.35">
      <c r="C28846" s="2"/>
    </row>
    <row r="28847" spans="3:3" x14ac:dyDescent="0.35">
      <c r="C28847" s="2"/>
    </row>
    <row r="28848" spans="3:3" x14ac:dyDescent="0.35">
      <c r="C28848" s="2"/>
    </row>
    <row r="28849" spans="3:3" x14ac:dyDescent="0.35">
      <c r="C28849" s="2"/>
    </row>
    <row r="28850" spans="3:3" x14ac:dyDescent="0.35">
      <c r="C28850" s="2"/>
    </row>
    <row r="28851" spans="3:3" x14ac:dyDescent="0.35">
      <c r="C28851" s="2"/>
    </row>
    <row r="28852" spans="3:3" x14ac:dyDescent="0.35">
      <c r="C28852" s="2"/>
    </row>
    <row r="28853" spans="3:3" x14ac:dyDescent="0.35">
      <c r="C28853" s="2"/>
    </row>
    <row r="28854" spans="3:3" x14ac:dyDescent="0.35">
      <c r="C28854" s="2"/>
    </row>
    <row r="28855" spans="3:3" x14ac:dyDescent="0.35">
      <c r="C28855" s="2"/>
    </row>
    <row r="28856" spans="3:3" x14ac:dyDescent="0.35">
      <c r="C28856" s="2"/>
    </row>
    <row r="28857" spans="3:3" x14ac:dyDescent="0.35">
      <c r="C28857" s="2"/>
    </row>
    <row r="28858" spans="3:3" x14ac:dyDescent="0.35">
      <c r="C28858" s="2"/>
    </row>
    <row r="28859" spans="3:3" x14ac:dyDescent="0.35">
      <c r="C28859" s="2"/>
    </row>
    <row r="28860" spans="3:3" x14ac:dyDescent="0.35">
      <c r="C28860" s="2"/>
    </row>
    <row r="28861" spans="3:3" x14ac:dyDescent="0.35">
      <c r="C28861" s="2"/>
    </row>
    <row r="28862" spans="3:3" x14ac:dyDescent="0.35">
      <c r="C28862" s="2"/>
    </row>
    <row r="28863" spans="3:3" x14ac:dyDescent="0.35">
      <c r="C28863" s="2"/>
    </row>
    <row r="28864" spans="3:3" x14ac:dyDescent="0.35">
      <c r="C28864" s="2"/>
    </row>
    <row r="28865" spans="3:3" x14ac:dyDescent="0.35">
      <c r="C28865" s="2"/>
    </row>
    <row r="28866" spans="3:3" x14ac:dyDescent="0.35">
      <c r="C28866" s="2"/>
    </row>
    <row r="28867" spans="3:3" x14ac:dyDescent="0.35">
      <c r="C28867" s="2"/>
    </row>
    <row r="28868" spans="3:3" x14ac:dyDescent="0.35">
      <c r="C28868" s="2"/>
    </row>
    <row r="28869" spans="3:3" x14ac:dyDescent="0.35">
      <c r="C28869" s="2"/>
    </row>
    <row r="28870" spans="3:3" x14ac:dyDescent="0.35">
      <c r="C28870" s="2"/>
    </row>
    <row r="28871" spans="3:3" x14ac:dyDescent="0.35">
      <c r="C28871" s="2"/>
    </row>
    <row r="28872" spans="3:3" x14ac:dyDescent="0.35">
      <c r="C28872" s="2"/>
    </row>
    <row r="28873" spans="3:3" x14ac:dyDescent="0.35">
      <c r="C28873" s="2"/>
    </row>
    <row r="28874" spans="3:3" x14ac:dyDescent="0.35">
      <c r="C28874" s="2"/>
    </row>
    <row r="28875" spans="3:3" x14ac:dyDescent="0.35">
      <c r="C28875" s="2"/>
    </row>
    <row r="28876" spans="3:3" x14ac:dyDescent="0.35">
      <c r="C28876" s="2"/>
    </row>
    <row r="28877" spans="3:3" x14ac:dyDescent="0.35">
      <c r="C28877" s="2"/>
    </row>
    <row r="28878" spans="3:3" x14ac:dyDescent="0.35">
      <c r="C28878" s="2"/>
    </row>
    <row r="28879" spans="3:3" x14ac:dyDescent="0.35">
      <c r="C28879" s="2"/>
    </row>
    <row r="28880" spans="3:3" x14ac:dyDescent="0.35">
      <c r="C28880" s="2"/>
    </row>
    <row r="28881" spans="3:3" x14ac:dyDescent="0.35">
      <c r="C28881" s="2"/>
    </row>
    <row r="28882" spans="3:3" x14ac:dyDescent="0.35">
      <c r="C28882" s="2"/>
    </row>
    <row r="28883" spans="3:3" x14ac:dyDescent="0.35">
      <c r="C28883" s="2"/>
    </row>
    <row r="28884" spans="3:3" x14ac:dyDescent="0.35">
      <c r="C28884" s="2"/>
    </row>
    <row r="28885" spans="3:3" x14ac:dyDescent="0.35">
      <c r="C28885" s="2"/>
    </row>
    <row r="28886" spans="3:3" x14ac:dyDescent="0.35">
      <c r="C28886" s="2"/>
    </row>
    <row r="28887" spans="3:3" x14ac:dyDescent="0.35">
      <c r="C28887" s="2"/>
    </row>
    <row r="28888" spans="3:3" x14ac:dyDescent="0.35">
      <c r="C28888" s="2"/>
    </row>
    <row r="28889" spans="3:3" x14ac:dyDescent="0.35">
      <c r="C28889" s="2"/>
    </row>
    <row r="28890" spans="3:3" x14ac:dyDescent="0.35">
      <c r="C28890" s="2"/>
    </row>
    <row r="28891" spans="3:3" x14ac:dyDescent="0.35">
      <c r="C28891" s="2"/>
    </row>
    <row r="28892" spans="3:3" x14ac:dyDescent="0.35">
      <c r="C28892" s="2"/>
    </row>
    <row r="28893" spans="3:3" x14ac:dyDescent="0.35">
      <c r="C28893" s="2"/>
    </row>
    <row r="28894" spans="3:3" x14ac:dyDescent="0.35">
      <c r="C28894" s="2"/>
    </row>
    <row r="28895" spans="3:3" x14ac:dyDescent="0.35">
      <c r="C28895" s="2"/>
    </row>
    <row r="28896" spans="3:3" x14ac:dyDescent="0.35">
      <c r="C28896" s="2"/>
    </row>
    <row r="28897" spans="3:3" x14ac:dyDescent="0.35">
      <c r="C28897" s="2"/>
    </row>
    <row r="28898" spans="3:3" x14ac:dyDescent="0.35">
      <c r="C28898" s="2"/>
    </row>
    <row r="28899" spans="3:3" x14ac:dyDescent="0.35">
      <c r="C28899" s="2"/>
    </row>
    <row r="28900" spans="3:3" x14ac:dyDescent="0.35">
      <c r="C28900" s="2"/>
    </row>
    <row r="28901" spans="3:3" x14ac:dyDescent="0.35">
      <c r="C28901" s="2"/>
    </row>
    <row r="28902" spans="3:3" x14ac:dyDescent="0.35">
      <c r="C28902" s="2"/>
    </row>
    <row r="28903" spans="3:3" x14ac:dyDescent="0.35">
      <c r="C28903" s="2"/>
    </row>
    <row r="28904" spans="3:3" x14ac:dyDescent="0.35">
      <c r="C28904" s="2"/>
    </row>
    <row r="28905" spans="3:3" x14ac:dyDescent="0.35">
      <c r="C28905" s="2"/>
    </row>
    <row r="28906" spans="3:3" x14ac:dyDescent="0.35">
      <c r="C28906" s="2"/>
    </row>
    <row r="28907" spans="3:3" x14ac:dyDescent="0.35">
      <c r="C28907" s="2"/>
    </row>
    <row r="28908" spans="3:3" x14ac:dyDescent="0.35">
      <c r="C28908" s="2"/>
    </row>
    <row r="28909" spans="3:3" x14ac:dyDescent="0.35">
      <c r="C28909" s="2"/>
    </row>
    <row r="28910" spans="3:3" x14ac:dyDescent="0.35">
      <c r="C28910" s="2"/>
    </row>
    <row r="28911" spans="3:3" x14ac:dyDescent="0.35">
      <c r="C28911" s="2"/>
    </row>
    <row r="28912" spans="3:3" x14ac:dyDescent="0.35">
      <c r="C28912" s="2"/>
    </row>
    <row r="28913" spans="3:3" x14ac:dyDescent="0.35">
      <c r="C28913" s="2"/>
    </row>
    <row r="28914" spans="3:3" x14ac:dyDescent="0.35">
      <c r="C28914" s="2"/>
    </row>
    <row r="28915" spans="3:3" x14ac:dyDescent="0.35">
      <c r="C28915" s="2"/>
    </row>
    <row r="28916" spans="3:3" x14ac:dyDescent="0.35">
      <c r="C28916" s="2"/>
    </row>
    <row r="28917" spans="3:3" x14ac:dyDescent="0.35">
      <c r="C28917" s="2"/>
    </row>
    <row r="28918" spans="3:3" x14ac:dyDescent="0.35">
      <c r="C28918" s="2"/>
    </row>
    <row r="28919" spans="3:3" x14ac:dyDescent="0.35">
      <c r="C28919" s="2"/>
    </row>
    <row r="28920" spans="3:3" x14ac:dyDescent="0.35">
      <c r="C28920" s="2"/>
    </row>
    <row r="28921" spans="3:3" x14ac:dyDescent="0.35">
      <c r="C28921" s="2"/>
    </row>
    <row r="28922" spans="3:3" x14ac:dyDescent="0.35">
      <c r="C28922" s="2"/>
    </row>
    <row r="28923" spans="3:3" x14ac:dyDescent="0.35">
      <c r="C28923" s="2"/>
    </row>
    <row r="28924" spans="3:3" x14ac:dyDescent="0.35">
      <c r="C28924" s="2"/>
    </row>
    <row r="28925" spans="3:3" x14ac:dyDescent="0.35">
      <c r="C28925" s="2"/>
    </row>
    <row r="28926" spans="3:3" x14ac:dyDescent="0.35">
      <c r="C28926" s="2"/>
    </row>
    <row r="28927" spans="3:3" x14ac:dyDescent="0.35">
      <c r="C28927" s="2"/>
    </row>
    <row r="28928" spans="3:3" x14ac:dyDescent="0.35">
      <c r="C28928" s="2"/>
    </row>
    <row r="28929" spans="3:3" x14ac:dyDescent="0.35">
      <c r="C28929" s="2"/>
    </row>
    <row r="28930" spans="3:3" x14ac:dyDescent="0.35">
      <c r="C28930" s="2"/>
    </row>
    <row r="28931" spans="3:3" x14ac:dyDescent="0.35">
      <c r="C28931" s="2"/>
    </row>
    <row r="28932" spans="3:3" x14ac:dyDescent="0.35">
      <c r="C28932" s="2"/>
    </row>
    <row r="28933" spans="3:3" x14ac:dyDescent="0.35">
      <c r="C28933" s="2"/>
    </row>
    <row r="28934" spans="3:3" x14ac:dyDescent="0.35">
      <c r="C28934" s="2"/>
    </row>
    <row r="28935" spans="3:3" x14ac:dyDescent="0.35">
      <c r="C28935" s="2"/>
    </row>
    <row r="28936" spans="3:3" x14ac:dyDescent="0.35">
      <c r="C28936" s="2"/>
    </row>
    <row r="28937" spans="3:3" x14ac:dyDescent="0.35">
      <c r="C28937" s="2"/>
    </row>
    <row r="28938" spans="3:3" x14ac:dyDescent="0.35">
      <c r="C28938" s="2"/>
    </row>
    <row r="28939" spans="3:3" x14ac:dyDescent="0.35">
      <c r="C28939" s="2"/>
    </row>
    <row r="28940" spans="3:3" x14ac:dyDescent="0.35">
      <c r="C28940" s="2"/>
    </row>
    <row r="28941" spans="3:3" x14ac:dyDescent="0.35">
      <c r="C28941" s="2"/>
    </row>
    <row r="28942" spans="3:3" x14ac:dyDescent="0.35">
      <c r="C28942" s="2"/>
    </row>
    <row r="28943" spans="3:3" x14ac:dyDescent="0.35">
      <c r="C28943" s="2"/>
    </row>
    <row r="28944" spans="3:3" x14ac:dyDescent="0.35">
      <c r="C28944" s="2"/>
    </row>
    <row r="28945" spans="3:3" x14ac:dyDescent="0.35">
      <c r="C28945" s="2"/>
    </row>
    <row r="28946" spans="3:3" x14ac:dyDescent="0.35">
      <c r="C28946" s="2"/>
    </row>
    <row r="28947" spans="3:3" x14ac:dyDescent="0.35">
      <c r="C28947" s="2"/>
    </row>
    <row r="28948" spans="3:3" x14ac:dyDescent="0.35">
      <c r="C28948" s="2"/>
    </row>
    <row r="28949" spans="3:3" x14ac:dyDescent="0.35">
      <c r="C28949" s="2"/>
    </row>
    <row r="28950" spans="3:3" x14ac:dyDescent="0.35">
      <c r="C28950" s="2"/>
    </row>
    <row r="28951" spans="3:3" x14ac:dyDescent="0.35">
      <c r="C28951" s="2"/>
    </row>
    <row r="28952" spans="3:3" x14ac:dyDescent="0.35">
      <c r="C28952" s="2"/>
    </row>
    <row r="28953" spans="3:3" x14ac:dyDescent="0.35">
      <c r="C28953" s="2"/>
    </row>
    <row r="28954" spans="3:3" x14ac:dyDescent="0.35">
      <c r="C28954" s="2"/>
    </row>
    <row r="28955" spans="3:3" x14ac:dyDescent="0.35">
      <c r="C28955" s="2"/>
    </row>
    <row r="28956" spans="3:3" x14ac:dyDescent="0.35">
      <c r="C28956" s="2"/>
    </row>
    <row r="28957" spans="3:3" x14ac:dyDescent="0.35">
      <c r="C28957" s="2"/>
    </row>
    <row r="28958" spans="3:3" x14ac:dyDescent="0.35">
      <c r="C28958" s="2"/>
    </row>
    <row r="28959" spans="3:3" x14ac:dyDescent="0.35">
      <c r="C28959" s="2"/>
    </row>
    <row r="28960" spans="3:3" x14ac:dyDescent="0.35">
      <c r="C28960" s="2"/>
    </row>
    <row r="28961" spans="3:3" x14ac:dyDescent="0.35">
      <c r="C28961" s="2"/>
    </row>
    <row r="28962" spans="3:3" x14ac:dyDescent="0.35">
      <c r="C28962" s="2"/>
    </row>
    <row r="28963" spans="3:3" x14ac:dyDescent="0.35">
      <c r="C28963" s="2"/>
    </row>
    <row r="28964" spans="3:3" x14ac:dyDescent="0.35">
      <c r="C28964" s="2"/>
    </row>
    <row r="28965" spans="3:3" x14ac:dyDescent="0.35">
      <c r="C28965" s="2"/>
    </row>
    <row r="28966" spans="3:3" x14ac:dyDescent="0.35">
      <c r="C28966" s="2"/>
    </row>
    <row r="28967" spans="3:3" x14ac:dyDescent="0.35">
      <c r="C28967" s="2"/>
    </row>
    <row r="28968" spans="3:3" x14ac:dyDescent="0.35">
      <c r="C28968" s="2"/>
    </row>
    <row r="28969" spans="3:3" x14ac:dyDescent="0.35">
      <c r="C28969" s="2"/>
    </row>
    <row r="28970" spans="3:3" x14ac:dyDescent="0.35">
      <c r="C28970" s="2"/>
    </row>
    <row r="28971" spans="3:3" x14ac:dyDescent="0.35">
      <c r="C28971" s="2"/>
    </row>
    <row r="28972" spans="3:3" x14ac:dyDescent="0.35">
      <c r="C28972" s="2"/>
    </row>
    <row r="28973" spans="3:3" x14ac:dyDescent="0.35">
      <c r="C28973" s="2"/>
    </row>
    <row r="28974" spans="3:3" x14ac:dyDescent="0.35">
      <c r="C28974" s="2"/>
    </row>
    <row r="28975" spans="3:3" x14ac:dyDescent="0.35">
      <c r="C28975" s="2"/>
    </row>
    <row r="28976" spans="3:3" x14ac:dyDescent="0.35">
      <c r="C28976" s="2"/>
    </row>
    <row r="28977" spans="3:3" x14ac:dyDescent="0.35">
      <c r="C28977" s="2"/>
    </row>
    <row r="28978" spans="3:3" x14ac:dyDescent="0.35">
      <c r="C28978" s="2"/>
    </row>
    <row r="28979" spans="3:3" x14ac:dyDescent="0.35">
      <c r="C28979" s="2"/>
    </row>
    <row r="28980" spans="3:3" x14ac:dyDescent="0.35">
      <c r="C28980" s="2"/>
    </row>
    <row r="28981" spans="3:3" x14ac:dyDescent="0.35">
      <c r="C28981" s="2"/>
    </row>
    <row r="28982" spans="3:3" x14ac:dyDescent="0.35">
      <c r="C28982" s="2"/>
    </row>
    <row r="28983" spans="3:3" x14ac:dyDescent="0.35">
      <c r="C28983" s="2"/>
    </row>
    <row r="28984" spans="3:3" x14ac:dyDescent="0.35">
      <c r="C28984" s="2"/>
    </row>
    <row r="28985" spans="3:3" x14ac:dyDescent="0.35">
      <c r="C28985" s="2"/>
    </row>
    <row r="28986" spans="3:3" x14ac:dyDescent="0.35">
      <c r="C28986" s="2"/>
    </row>
    <row r="28987" spans="3:3" x14ac:dyDescent="0.35">
      <c r="C28987" s="2"/>
    </row>
    <row r="28988" spans="3:3" x14ac:dyDescent="0.35">
      <c r="C28988" s="2"/>
    </row>
    <row r="28989" spans="3:3" x14ac:dyDescent="0.35">
      <c r="C28989" s="2"/>
    </row>
    <row r="28990" spans="3:3" x14ac:dyDescent="0.35">
      <c r="C28990" s="2"/>
    </row>
    <row r="28991" spans="3:3" x14ac:dyDescent="0.35">
      <c r="C28991" s="2"/>
    </row>
    <row r="28992" spans="3:3" x14ac:dyDescent="0.35">
      <c r="C28992" s="2"/>
    </row>
    <row r="28993" spans="3:3" x14ac:dyDescent="0.35">
      <c r="C28993" s="2"/>
    </row>
    <row r="28994" spans="3:3" x14ac:dyDescent="0.35">
      <c r="C28994" s="2"/>
    </row>
    <row r="28995" spans="3:3" x14ac:dyDescent="0.35">
      <c r="C28995" s="2"/>
    </row>
    <row r="28996" spans="3:3" x14ac:dyDescent="0.35">
      <c r="C28996" s="2"/>
    </row>
    <row r="28997" spans="3:3" x14ac:dyDescent="0.35">
      <c r="C28997" s="2"/>
    </row>
    <row r="28998" spans="3:3" x14ac:dyDescent="0.35">
      <c r="C28998" s="2"/>
    </row>
    <row r="28999" spans="3:3" x14ac:dyDescent="0.35">
      <c r="C28999" s="2"/>
    </row>
    <row r="29000" spans="3:3" x14ac:dyDescent="0.35">
      <c r="C29000" s="2"/>
    </row>
    <row r="29001" spans="3:3" x14ac:dyDescent="0.35">
      <c r="C29001" s="2"/>
    </row>
    <row r="29002" spans="3:3" x14ac:dyDescent="0.35">
      <c r="C29002" s="2"/>
    </row>
    <row r="29003" spans="3:3" x14ac:dyDescent="0.35">
      <c r="C29003" s="2"/>
    </row>
    <row r="29004" spans="3:3" x14ac:dyDescent="0.35">
      <c r="C29004" s="2"/>
    </row>
    <row r="29005" spans="3:3" x14ac:dyDescent="0.35">
      <c r="C29005" s="2"/>
    </row>
    <row r="29006" spans="3:3" x14ac:dyDescent="0.35">
      <c r="C29006" s="2"/>
    </row>
    <row r="29007" spans="3:3" x14ac:dyDescent="0.35">
      <c r="C29007" s="2"/>
    </row>
    <row r="29008" spans="3:3" x14ac:dyDescent="0.35">
      <c r="C29008" s="2"/>
    </row>
    <row r="29009" spans="3:3" x14ac:dyDescent="0.35">
      <c r="C29009" s="2"/>
    </row>
    <row r="29010" spans="3:3" x14ac:dyDescent="0.35">
      <c r="C29010" s="2"/>
    </row>
    <row r="29011" spans="3:3" x14ac:dyDescent="0.35">
      <c r="C29011" s="2"/>
    </row>
    <row r="29012" spans="3:3" x14ac:dyDescent="0.35">
      <c r="C29012" s="2"/>
    </row>
    <row r="29013" spans="3:3" x14ac:dyDescent="0.35">
      <c r="C29013" s="2"/>
    </row>
    <row r="29014" spans="3:3" x14ac:dyDescent="0.35">
      <c r="C29014" s="2"/>
    </row>
    <row r="29015" spans="3:3" x14ac:dyDescent="0.35">
      <c r="C29015" s="2"/>
    </row>
    <row r="29016" spans="3:3" x14ac:dyDescent="0.35">
      <c r="C29016" s="2"/>
    </row>
    <row r="29017" spans="3:3" x14ac:dyDescent="0.35">
      <c r="C29017" s="2"/>
    </row>
    <row r="29018" spans="3:3" x14ac:dyDescent="0.35">
      <c r="C29018" s="2"/>
    </row>
    <row r="29019" spans="3:3" x14ac:dyDescent="0.35">
      <c r="C29019" s="2"/>
    </row>
    <row r="29020" spans="3:3" x14ac:dyDescent="0.35">
      <c r="C29020" s="2"/>
    </row>
    <row r="29021" spans="3:3" x14ac:dyDescent="0.35">
      <c r="C29021" s="2"/>
    </row>
    <row r="29022" spans="3:3" x14ac:dyDescent="0.35">
      <c r="C29022" s="2"/>
    </row>
    <row r="29023" spans="3:3" x14ac:dyDescent="0.35">
      <c r="C29023" s="2"/>
    </row>
    <row r="29024" spans="3:3" x14ac:dyDescent="0.35">
      <c r="C29024" s="2"/>
    </row>
    <row r="29025" spans="3:3" x14ac:dyDescent="0.35">
      <c r="C29025" s="2"/>
    </row>
    <row r="29026" spans="3:3" x14ac:dyDescent="0.35">
      <c r="C29026" s="2"/>
    </row>
    <row r="29027" spans="3:3" x14ac:dyDescent="0.35">
      <c r="C29027" s="2"/>
    </row>
    <row r="29028" spans="3:3" x14ac:dyDescent="0.35">
      <c r="C29028" s="2"/>
    </row>
    <row r="29029" spans="3:3" x14ac:dyDescent="0.35">
      <c r="C29029" s="2"/>
    </row>
    <row r="29030" spans="3:3" x14ac:dyDescent="0.35">
      <c r="C29030" s="2"/>
    </row>
    <row r="29031" spans="3:3" x14ac:dyDescent="0.35">
      <c r="C29031" s="2"/>
    </row>
    <row r="29032" spans="3:3" x14ac:dyDescent="0.35">
      <c r="C29032" s="2"/>
    </row>
    <row r="29033" spans="3:3" x14ac:dyDescent="0.35">
      <c r="C29033" s="2"/>
    </row>
    <row r="29034" spans="3:3" x14ac:dyDescent="0.35">
      <c r="C29034" s="2"/>
    </row>
    <row r="29035" spans="3:3" x14ac:dyDescent="0.35">
      <c r="C29035" s="2"/>
    </row>
    <row r="29036" spans="3:3" x14ac:dyDescent="0.35">
      <c r="C29036" s="2"/>
    </row>
    <row r="29037" spans="3:3" x14ac:dyDescent="0.35">
      <c r="C29037" s="2"/>
    </row>
    <row r="29038" spans="3:3" x14ac:dyDescent="0.35">
      <c r="C29038" s="2"/>
    </row>
    <row r="29039" spans="3:3" x14ac:dyDescent="0.35">
      <c r="C29039" s="2"/>
    </row>
    <row r="29040" spans="3:3" x14ac:dyDescent="0.35">
      <c r="C29040" s="2"/>
    </row>
    <row r="29041" spans="3:3" x14ac:dyDescent="0.35">
      <c r="C29041" s="2"/>
    </row>
    <row r="29042" spans="3:3" x14ac:dyDescent="0.35">
      <c r="C29042" s="2"/>
    </row>
    <row r="29043" spans="3:3" x14ac:dyDescent="0.35">
      <c r="C29043" s="2"/>
    </row>
    <row r="29044" spans="3:3" x14ac:dyDescent="0.35">
      <c r="C29044" s="2"/>
    </row>
    <row r="29045" spans="3:3" x14ac:dyDescent="0.35">
      <c r="C29045" s="2"/>
    </row>
    <row r="29046" spans="3:3" x14ac:dyDescent="0.35">
      <c r="C29046" s="2"/>
    </row>
    <row r="29047" spans="3:3" x14ac:dyDescent="0.35">
      <c r="C29047" s="2"/>
    </row>
    <row r="29048" spans="3:3" x14ac:dyDescent="0.35">
      <c r="C29048" s="2"/>
    </row>
    <row r="29049" spans="3:3" x14ac:dyDescent="0.35">
      <c r="C29049" s="2"/>
    </row>
    <row r="29050" spans="3:3" x14ac:dyDescent="0.35">
      <c r="C29050" s="2"/>
    </row>
    <row r="29051" spans="3:3" x14ac:dyDescent="0.35">
      <c r="C29051" s="2"/>
    </row>
    <row r="29052" spans="3:3" x14ac:dyDescent="0.35">
      <c r="C29052" s="2"/>
    </row>
    <row r="29053" spans="3:3" x14ac:dyDescent="0.35">
      <c r="C29053" s="2"/>
    </row>
    <row r="29054" spans="3:3" x14ac:dyDescent="0.35">
      <c r="C29054" s="2"/>
    </row>
    <row r="29055" spans="3:3" x14ac:dyDescent="0.35">
      <c r="C29055" s="2"/>
    </row>
    <row r="29056" spans="3:3" x14ac:dyDescent="0.35">
      <c r="C29056" s="2"/>
    </row>
    <row r="29057" spans="3:3" x14ac:dyDescent="0.35">
      <c r="C29057" s="2"/>
    </row>
    <row r="29058" spans="3:3" x14ac:dyDescent="0.35">
      <c r="C29058" s="2"/>
    </row>
    <row r="29059" spans="3:3" x14ac:dyDescent="0.35">
      <c r="C29059" s="2"/>
    </row>
    <row r="29060" spans="3:3" x14ac:dyDescent="0.35">
      <c r="C29060" s="2"/>
    </row>
    <row r="29061" spans="3:3" x14ac:dyDescent="0.35">
      <c r="C29061" s="2"/>
    </row>
    <row r="29062" spans="3:3" x14ac:dyDescent="0.35">
      <c r="C29062" s="2"/>
    </row>
    <row r="29063" spans="3:3" x14ac:dyDescent="0.35">
      <c r="C29063" s="2"/>
    </row>
    <row r="29064" spans="3:3" x14ac:dyDescent="0.35">
      <c r="C29064" s="2"/>
    </row>
    <row r="29065" spans="3:3" x14ac:dyDescent="0.35">
      <c r="C29065" s="2"/>
    </row>
    <row r="29066" spans="3:3" x14ac:dyDescent="0.35">
      <c r="C29066" s="2"/>
    </row>
    <row r="29067" spans="3:3" x14ac:dyDescent="0.35">
      <c r="C29067" s="2"/>
    </row>
    <row r="29068" spans="3:3" x14ac:dyDescent="0.35">
      <c r="C29068" s="2"/>
    </row>
    <row r="29069" spans="3:3" x14ac:dyDescent="0.35">
      <c r="C29069" s="2"/>
    </row>
    <row r="29070" spans="3:3" x14ac:dyDescent="0.35">
      <c r="C29070" s="2"/>
    </row>
    <row r="29071" spans="3:3" x14ac:dyDescent="0.35">
      <c r="C29071" s="2"/>
    </row>
    <row r="29072" spans="3:3" x14ac:dyDescent="0.35">
      <c r="C29072" s="2"/>
    </row>
    <row r="29073" spans="3:3" x14ac:dyDescent="0.35">
      <c r="C29073" s="2"/>
    </row>
    <row r="29074" spans="3:3" x14ac:dyDescent="0.35">
      <c r="C29074" s="2"/>
    </row>
    <row r="29075" spans="3:3" x14ac:dyDescent="0.35">
      <c r="C29075" s="2"/>
    </row>
    <row r="29076" spans="3:3" x14ac:dyDescent="0.35">
      <c r="C29076" s="2"/>
    </row>
    <row r="29077" spans="3:3" x14ac:dyDescent="0.35">
      <c r="C29077" s="2"/>
    </row>
    <row r="29078" spans="3:3" x14ac:dyDescent="0.35">
      <c r="C29078" s="2"/>
    </row>
    <row r="29079" spans="3:3" x14ac:dyDescent="0.35">
      <c r="C29079" s="2"/>
    </row>
    <row r="29080" spans="3:3" x14ac:dyDescent="0.35">
      <c r="C29080" s="2"/>
    </row>
    <row r="29081" spans="3:3" x14ac:dyDescent="0.35">
      <c r="C29081" s="2"/>
    </row>
    <row r="29082" spans="3:3" x14ac:dyDescent="0.35">
      <c r="C29082" s="2"/>
    </row>
    <row r="29083" spans="3:3" x14ac:dyDescent="0.35">
      <c r="C29083" s="2"/>
    </row>
    <row r="29084" spans="3:3" x14ac:dyDescent="0.35">
      <c r="C29084" s="2"/>
    </row>
    <row r="29085" spans="3:3" x14ac:dyDescent="0.35">
      <c r="C29085" s="2"/>
    </row>
    <row r="29086" spans="3:3" x14ac:dyDescent="0.35">
      <c r="C29086" s="2"/>
    </row>
    <row r="29087" spans="3:3" x14ac:dyDescent="0.35">
      <c r="C29087" s="2"/>
    </row>
    <row r="29088" spans="3:3" x14ac:dyDescent="0.35">
      <c r="C29088" s="2"/>
    </row>
    <row r="29089" spans="3:3" x14ac:dyDescent="0.35">
      <c r="C29089" s="2"/>
    </row>
    <row r="29090" spans="3:3" x14ac:dyDescent="0.35">
      <c r="C29090" s="2"/>
    </row>
    <row r="29091" spans="3:3" x14ac:dyDescent="0.35">
      <c r="C29091" s="2"/>
    </row>
    <row r="29092" spans="3:3" x14ac:dyDescent="0.35">
      <c r="C29092" s="2"/>
    </row>
    <row r="29093" spans="3:3" x14ac:dyDescent="0.35">
      <c r="C29093" s="2"/>
    </row>
    <row r="29094" spans="3:3" x14ac:dyDescent="0.35">
      <c r="C29094" s="2"/>
    </row>
    <row r="29095" spans="3:3" x14ac:dyDescent="0.35">
      <c r="C29095" s="2"/>
    </row>
    <row r="29096" spans="3:3" x14ac:dyDescent="0.35">
      <c r="C29096" s="2"/>
    </row>
    <row r="29097" spans="3:3" x14ac:dyDescent="0.35">
      <c r="C29097" s="2"/>
    </row>
    <row r="29098" spans="3:3" x14ac:dyDescent="0.35">
      <c r="C29098" s="2"/>
    </row>
    <row r="29099" spans="3:3" x14ac:dyDescent="0.35">
      <c r="C29099" s="2"/>
    </row>
    <row r="29100" spans="3:3" x14ac:dyDescent="0.35">
      <c r="C29100" s="2"/>
    </row>
    <row r="29101" spans="3:3" x14ac:dyDescent="0.35">
      <c r="C29101" s="2"/>
    </row>
    <row r="29102" spans="3:3" x14ac:dyDescent="0.35">
      <c r="C29102" s="2"/>
    </row>
    <row r="29103" spans="3:3" x14ac:dyDescent="0.35">
      <c r="C29103" s="2"/>
    </row>
    <row r="29104" spans="3:3" x14ac:dyDescent="0.35">
      <c r="C29104" s="2"/>
    </row>
    <row r="29105" spans="3:3" x14ac:dyDescent="0.35">
      <c r="C29105" s="2"/>
    </row>
    <row r="29106" spans="3:3" x14ac:dyDescent="0.35">
      <c r="C29106" s="2"/>
    </row>
    <row r="29107" spans="3:3" x14ac:dyDescent="0.35">
      <c r="C29107" s="2"/>
    </row>
    <row r="29108" spans="3:3" x14ac:dyDescent="0.35">
      <c r="C29108" s="2"/>
    </row>
    <row r="29109" spans="3:3" x14ac:dyDescent="0.35">
      <c r="C29109" s="2"/>
    </row>
    <row r="29110" spans="3:3" x14ac:dyDescent="0.35">
      <c r="C29110" s="2"/>
    </row>
    <row r="29111" spans="3:3" x14ac:dyDescent="0.35">
      <c r="C29111" s="2"/>
    </row>
    <row r="29112" spans="3:3" x14ac:dyDescent="0.35">
      <c r="C29112" s="2"/>
    </row>
    <row r="29113" spans="3:3" x14ac:dyDescent="0.35">
      <c r="C29113" s="2"/>
    </row>
    <row r="29114" spans="3:3" x14ac:dyDescent="0.35">
      <c r="C29114" s="2"/>
    </row>
    <row r="29115" spans="3:3" x14ac:dyDescent="0.35">
      <c r="C29115" s="2"/>
    </row>
    <row r="29116" spans="3:3" x14ac:dyDescent="0.35">
      <c r="C29116" s="2"/>
    </row>
    <row r="29117" spans="3:3" x14ac:dyDescent="0.35">
      <c r="C29117" s="2"/>
    </row>
    <row r="29118" spans="3:3" x14ac:dyDescent="0.35">
      <c r="C29118" s="2"/>
    </row>
    <row r="29119" spans="3:3" x14ac:dyDescent="0.35">
      <c r="C29119" s="2"/>
    </row>
    <row r="29120" spans="3:3" x14ac:dyDescent="0.35">
      <c r="C29120" s="2"/>
    </row>
    <row r="29121" spans="3:3" x14ac:dyDescent="0.35">
      <c r="C29121" s="2"/>
    </row>
    <row r="29122" spans="3:3" x14ac:dyDescent="0.35">
      <c r="C29122" s="2"/>
    </row>
    <row r="29123" spans="3:3" x14ac:dyDescent="0.35">
      <c r="C29123" s="2"/>
    </row>
    <row r="29124" spans="3:3" x14ac:dyDescent="0.35">
      <c r="C29124" s="2"/>
    </row>
    <row r="29125" spans="3:3" x14ac:dyDescent="0.35">
      <c r="C29125" s="2"/>
    </row>
    <row r="29126" spans="3:3" x14ac:dyDescent="0.35">
      <c r="C29126" s="2"/>
    </row>
    <row r="29127" spans="3:3" x14ac:dyDescent="0.35">
      <c r="C29127" s="2"/>
    </row>
    <row r="29128" spans="3:3" x14ac:dyDescent="0.35">
      <c r="C29128" s="2"/>
    </row>
    <row r="29129" spans="3:3" x14ac:dyDescent="0.35">
      <c r="C29129" s="2"/>
    </row>
    <row r="29130" spans="3:3" x14ac:dyDescent="0.35">
      <c r="C29130" s="2"/>
    </row>
    <row r="29131" spans="3:3" x14ac:dyDescent="0.35">
      <c r="C29131" s="2"/>
    </row>
    <row r="29132" spans="3:3" x14ac:dyDescent="0.35">
      <c r="C29132" s="2"/>
    </row>
    <row r="29133" spans="3:3" x14ac:dyDescent="0.35">
      <c r="C29133" s="2"/>
    </row>
    <row r="29134" spans="3:3" x14ac:dyDescent="0.35">
      <c r="C29134" s="2"/>
    </row>
    <row r="29135" spans="3:3" x14ac:dyDescent="0.35">
      <c r="C29135" s="2"/>
    </row>
    <row r="29136" spans="3:3" x14ac:dyDescent="0.35">
      <c r="C29136" s="2"/>
    </row>
    <row r="29137" spans="3:3" x14ac:dyDescent="0.35">
      <c r="C29137" s="2"/>
    </row>
    <row r="29138" spans="3:3" x14ac:dyDescent="0.35">
      <c r="C29138" s="2"/>
    </row>
    <row r="29139" spans="3:3" x14ac:dyDescent="0.35">
      <c r="C29139" s="2"/>
    </row>
    <row r="29140" spans="3:3" x14ac:dyDescent="0.35">
      <c r="C29140" s="2"/>
    </row>
    <row r="29141" spans="3:3" x14ac:dyDescent="0.35">
      <c r="C29141" s="2"/>
    </row>
    <row r="29142" spans="3:3" x14ac:dyDescent="0.35">
      <c r="C29142" s="2"/>
    </row>
    <row r="29143" spans="3:3" x14ac:dyDescent="0.35">
      <c r="C29143" s="2"/>
    </row>
    <row r="29144" spans="3:3" x14ac:dyDescent="0.35">
      <c r="C29144" s="2"/>
    </row>
    <row r="29145" spans="3:3" x14ac:dyDescent="0.35">
      <c r="C29145" s="2"/>
    </row>
    <row r="29146" spans="3:3" x14ac:dyDescent="0.35">
      <c r="C29146" s="2"/>
    </row>
    <row r="29147" spans="3:3" x14ac:dyDescent="0.35">
      <c r="C29147" s="2"/>
    </row>
    <row r="29148" spans="3:3" x14ac:dyDescent="0.35">
      <c r="C29148" s="2"/>
    </row>
    <row r="29149" spans="3:3" x14ac:dyDescent="0.35">
      <c r="C29149" s="2"/>
    </row>
    <row r="29150" spans="3:3" x14ac:dyDescent="0.35">
      <c r="C29150" s="2"/>
    </row>
    <row r="29151" spans="3:3" x14ac:dyDescent="0.35">
      <c r="C29151" s="2"/>
    </row>
    <row r="29152" spans="3:3" x14ac:dyDescent="0.35">
      <c r="C29152" s="2"/>
    </row>
    <row r="29153" spans="3:3" x14ac:dyDescent="0.35">
      <c r="C29153" s="2"/>
    </row>
    <row r="29154" spans="3:3" x14ac:dyDescent="0.35">
      <c r="C29154" s="2"/>
    </row>
    <row r="29155" spans="3:3" x14ac:dyDescent="0.35">
      <c r="C29155" s="2"/>
    </row>
    <row r="29156" spans="3:3" x14ac:dyDescent="0.35">
      <c r="C29156" s="2"/>
    </row>
    <row r="29157" spans="3:3" x14ac:dyDescent="0.35">
      <c r="C29157" s="2"/>
    </row>
    <row r="29158" spans="3:3" x14ac:dyDescent="0.35">
      <c r="C29158" s="2"/>
    </row>
    <row r="29159" spans="3:3" x14ac:dyDescent="0.35">
      <c r="C29159" s="2"/>
    </row>
    <row r="29160" spans="3:3" x14ac:dyDescent="0.35">
      <c r="C29160" s="2"/>
    </row>
    <row r="29161" spans="3:3" x14ac:dyDescent="0.35">
      <c r="C29161" s="2"/>
    </row>
    <row r="29162" spans="3:3" x14ac:dyDescent="0.35">
      <c r="C29162" s="2"/>
    </row>
    <row r="29163" spans="3:3" x14ac:dyDescent="0.35">
      <c r="C29163" s="2"/>
    </row>
    <row r="29164" spans="3:3" x14ac:dyDescent="0.35">
      <c r="C29164" s="2"/>
    </row>
    <row r="29165" spans="3:3" x14ac:dyDescent="0.35">
      <c r="C29165" s="2"/>
    </row>
    <row r="29166" spans="3:3" x14ac:dyDescent="0.35">
      <c r="C29166" s="2"/>
    </row>
    <row r="29167" spans="3:3" x14ac:dyDescent="0.35">
      <c r="C29167" s="2"/>
    </row>
    <row r="29168" spans="3:3" x14ac:dyDescent="0.35">
      <c r="C29168" s="2"/>
    </row>
    <row r="29169" spans="3:3" x14ac:dyDescent="0.35">
      <c r="C29169" s="2"/>
    </row>
    <row r="29170" spans="3:3" x14ac:dyDescent="0.35">
      <c r="C29170" s="2"/>
    </row>
    <row r="29171" spans="3:3" x14ac:dyDescent="0.35">
      <c r="C29171" s="2"/>
    </row>
    <row r="29172" spans="3:3" x14ac:dyDescent="0.35">
      <c r="C29172" s="2"/>
    </row>
    <row r="29173" spans="3:3" x14ac:dyDescent="0.35">
      <c r="C29173" s="2"/>
    </row>
    <row r="29174" spans="3:3" x14ac:dyDescent="0.35">
      <c r="C29174" s="2"/>
    </row>
    <row r="29175" spans="3:3" x14ac:dyDescent="0.35">
      <c r="C29175" s="2"/>
    </row>
    <row r="29176" spans="3:3" x14ac:dyDescent="0.35">
      <c r="C29176" s="2"/>
    </row>
    <row r="29177" spans="3:3" x14ac:dyDescent="0.35">
      <c r="C29177" s="2"/>
    </row>
    <row r="29178" spans="3:3" x14ac:dyDescent="0.35">
      <c r="C29178" s="2"/>
    </row>
    <row r="29179" spans="3:3" x14ac:dyDescent="0.35">
      <c r="C29179" s="2"/>
    </row>
    <row r="29180" spans="3:3" x14ac:dyDescent="0.35">
      <c r="C29180" s="2"/>
    </row>
    <row r="29181" spans="3:3" x14ac:dyDescent="0.35">
      <c r="C29181" s="2"/>
    </row>
    <row r="29182" spans="3:3" x14ac:dyDescent="0.35">
      <c r="C29182" s="2"/>
    </row>
    <row r="29183" spans="3:3" x14ac:dyDescent="0.35">
      <c r="C29183" s="2"/>
    </row>
    <row r="29184" spans="3:3" x14ac:dyDescent="0.35">
      <c r="C29184" s="2"/>
    </row>
    <row r="29185" spans="3:3" x14ac:dyDescent="0.35">
      <c r="C29185" s="2"/>
    </row>
    <row r="29186" spans="3:3" x14ac:dyDescent="0.35">
      <c r="C29186" s="2"/>
    </row>
    <row r="29187" spans="3:3" x14ac:dyDescent="0.35">
      <c r="C29187" s="2"/>
    </row>
    <row r="29188" spans="3:3" x14ac:dyDescent="0.35">
      <c r="C29188" s="2"/>
    </row>
    <row r="29189" spans="3:3" x14ac:dyDescent="0.35">
      <c r="C29189" s="2"/>
    </row>
    <row r="29190" spans="3:3" x14ac:dyDescent="0.35">
      <c r="C29190" s="2"/>
    </row>
    <row r="29191" spans="3:3" x14ac:dyDescent="0.35">
      <c r="C29191" s="2"/>
    </row>
    <row r="29192" spans="3:3" x14ac:dyDescent="0.35">
      <c r="C29192" s="2"/>
    </row>
    <row r="29193" spans="3:3" x14ac:dyDescent="0.35">
      <c r="C29193" s="2"/>
    </row>
    <row r="29194" spans="3:3" x14ac:dyDescent="0.35">
      <c r="C29194" s="2"/>
    </row>
    <row r="29195" spans="3:3" x14ac:dyDescent="0.35">
      <c r="C29195" s="2"/>
    </row>
    <row r="29196" spans="3:3" x14ac:dyDescent="0.35">
      <c r="C29196" s="2"/>
    </row>
    <row r="29197" spans="3:3" x14ac:dyDescent="0.35">
      <c r="C29197" s="2"/>
    </row>
    <row r="29198" spans="3:3" x14ac:dyDescent="0.35">
      <c r="C29198" s="2"/>
    </row>
    <row r="29199" spans="3:3" x14ac:dyDescent="0.35">
      <c r="C29199" s="2"/>
    </row>
    <row r="29200" spans="3:3" x14ac:dyDescent="0.35">
      <c r="C29200" s="2"/>
    </row>
    <row r="29201" spans="3:3" x14ac:dyDescent="0.35">
      <c r="C29201" s="2"/>
    </row>
    <row r="29202" spans="3:3" x14ac:dyDescent="0.35">
      <c r="C29202" s="2"/>
    </row>
    <row r="29203" spans="3:3" x14ac:dyDescent="0.35">
      <c r="C29203" s="2"/>
    </row>
    <row r="29204" spans="3:3" x14ac:dyDescent="0.35">
      <c r="C29204" s="2"/>
    </row>
    <row r="29205" spans="3:3" x14ac:dyDescent="0.35">
      <c r="C29205" s="2"/>
    </row>
    <row r="29206" spans="3:3" x14ac:dyDescent="0.35">
      <c r="C29206" s="2"/>
    </row>
    <row r="29207" spans="3:3" x14ac:dyDescent="0.35">
      <c r="C29207" s="2"/>
    </row>
    <row r="29208" spans="3:3" x14ac:dyDescent="0.35">
      <c r="C29208" s="2"/>
    </row>
    <row r="29209" spans="3:3" x14ac:dyDescent="0.35">
      <c r="C29209" s="2"/>
    </row>
    <row r="29210" spans="3:3" x14ac:dyDescent="0.35">
      <c r="C29210" s="2"/>
    </row>
    <row r="29211" spans="3:3" x14ac:dyDescent="0.35">
      <c r="C29211" s="2"/>
    </row>
    <row r="29212" spans="3:3" x14ac:dyDescent="0.35">
      <c r="C29212" s="2"/>
    </row>
    <row r="29213" spans="3:3" x14ac:dyDescent="0.35">
      <c r="C29213" s="2"/>
    </row>
    <row r="29214" spans="3:3" x14ac:dyDescent="0.35">
      <c r="C29214" s="2"/>
    </row>
    <row r="29215" spans="3:3" x14ac:dyDescent="0.35">
      <c r="C29215" s="2"/>
    </row>
    <row r="29216" spans="3:3" x14ac:dyDescent="0.35">
      <c r="C29216" s="2"/>
    </row>
    <row r="29217" spans="3:3" x14ac:dyDescent="0.35">
      <c r="C29217" s="2"/>
    </row>
    <row r="29218" spans="3:3" x14ac:dyDescent="0.35">
      <c r="C29218" s="2"/>
    </row>
    <row r="29219" spans="3:3" x14ac:dyDescent="0.35">
      <c r="C29219" s="2"/>
    </row>
    <row r="29220" spans="3:3" x14ac:dyDescent="0.35">
      <c r="C29220" s="2"/>
    </row>
    <row r="29221" spans="3:3" x14ac:dyDescent="0.35">
      <c r="C29221" s="2"/>
    </row>
    <row r="29222" spans="3:3" x14ac:dyDescent="0.35">
      <c r="C29222" s="2"/>
    </row>
    <row r="29223" spans="3:3" x14ac:dyDescent="0.35">
      <c r="C29223" s="2"/>
    </row>
    <row r="29224" spans="3:3" x14ac:dyDescent="0.35">
      <c r="C29224" s="2"/>
    </row>
    <row r="29225" spans="3:3" x14ac:dyDescent="0.35">
      <c r="C29225" s="2"/>
    </row>
    <row r="29226" spans="3:3" x14ac:dyDescent="0.35">
      <c r="C29226" s="2"/>
    </row>
    <row r="29227" spans="3:3" x14ac:dyDescent="0.35">
      <c r="C29227" s="2"/>
    </row>
    <row r="29228" spans="3:3" x14ac:dyDescent="0.35">
      <c r="C29228" s="2"/>
    </row>
    <row r="29229" spans="3:3" x14ac:dyDescent="0.35">
      <c r="C29229" s="2"/>
    </row>
    <row r="29230" spans="3:3" x14ac:dyDescent="0.35">
      <c r="C29230" s="2"/>
    </row>
    <row r="29231" spans="3:3" x14ac:dyDescent="0.35">
      <c r="C29231" s="2"/>
    </row>
    <row r="29232" spans="3:3" x14ac:dyDescent="0.35">
      <c r="C29232" s="2"/>
    </row>
    <row r="29233" spans="3:3" x14ac:dyDescent="0.35">
      <c r="C29233" s="2"/>
    </row>
    <row r="29234" spans="3:3" x14ac:dyDescent="0.35">
      <c r="C29234" s="2"/>
    </row>
    <row r="29235" spans="3:3" x14ac:dyDescent="0.35">
      <c r="C29235" s="2"/>
    </row>
    <row r="29236" spans="3:3" x14ac:dyDescent="0.35">
      <c r="C29236" s="2"/>
    </row>
    <row r="29237" spans="3:3" x14ac:dyDescent="0.35">
      <c r="C29237" s="2"/>
    </row>
    <row r="29238" spans="3:3" x14ac:dyDescent="0.35">
      <c r="C29238" s="2"/>
    </row>
    <row r="29239" spans="3:3" x14ac:dyDescent="0.35">
      <c r="C29239" s="2"/>
    </row>
    <row r="29240" spans="3:3" x14ac:dyDescent="0.35">
      <c r="C29240" s="2"/>
    </row>
    <row r="29241" spans="3:3" x14ac:dyDescent="0.35">
      <c r="C29241" s="2"/>
    </row>
    <row r="29242" spans="3:3" x14ac:dyDescent="0.35">
      <c r="C29242" s="2"/>
    </row>
    <row r="29243" spans="3:3" x14ac:dyDescent="0.35">
      <c r="C29243" s="2"/>
    </row>
    <row r="29244" spans="3:3" x14ac:dyDescent="0.35">
      <c r="C29244" s="2"/>
    </row>
    <row r="29245" spans="3:3" x14ac:dyDescent="0.35">
      <c r="C29245" s="2"/>
    </row>
    <row r="29246" spans="3:3" x14ac:dyDescent="0.35">
      <c r="C29246" s="2"/>
    </row>
    <row r="29247" spans="3:3" x14ac:dyDescent="0.35">
      <c r="C29247" s="2"/>
    </row>
    <row r="29248" spans="3:3" x14ac:dyDescent="0.35">
      <c r="C29248" s="2"/>
    </row>
    <row r="29249" spans="3:3" x14ac:dyDescent="0.35">
      <c r="C29249" s="2"/>
    </row>
    <row r="29250" spans="3:3" x14ac:dyDescent="0.35">
      <c r="C29250" s="2"/>
    </row>
    <row r="29251" spans="3:3" x14ac:dyDescent="0.35">
      <c r="C29251" s="2"/>
    </row>
    <row r="29252" spans="3:3" x14ac:dyDescent="0.35">
      <c r="C29252" s="2"/>
    </row>
    <row r="29253" spans="3:3" x14ac:dyDescent="0.35">
      <c r="C29253" s="2"/>
    </row>
    <row r="29254" spans="3:3" x14ac:dyDescent="0.35">
      <c r="C29254" s="2"/>
    </row>
    <row r="29255" spans="3:3" x14ac:dyDescent="0.35">
      <c r="C29255" s="2"/>
    </row>
    <row r="29256" spans="3:3" x14ac:dyDescent="0.35">
      <c r="C29256" s="2"/>
    </row>
    <row r="29257" spans="3:3" x14ac:dyDescent="0.35">
      <c r="C29257" s="2"/>
    </row>
    <row r="29258" spans="3:3" x14ac:dyDescent="0.35">
      <c r="C29258" s="2"/>
    </row>
    <row r="29259" spans="3:3" x14ac:dyDescent="0.35">
      <c r="C29259" s="2"/>
    </row>
    <row r="29260" spans="3:3" x14ac:dyDescent="0.35">
      <c r="C29260" s="2"/>
    </row>
    <row r="29261" spans="3:3" x14ac:dyDescent="0.35">
      <c r="C29261" s="2"/>
    </row>
    <row r="29262" spans="3:3" x14ac:dyDescent="0.35">
      <c r="C29262" s="2"/>
    </row>
    <row r="29263" spans="3:3" x14ac:dyDescent="0.35">
      <c r="C29263" s="2"/>
    </row>
    <row r="29264" spans="3:3" x14ac:dyDescent="0.35">
      <c r="C29264" s="2"/>
    </row>
    <row r="29265" spans="3:3" x14ac:dyDescent="0.35">
      <c r="C29265" s="2"/>
    </row>
    <row r="29266" spans="3:3" x14ac:dyDescent="0.35">
      <c r="C29266" s="2"/>
    </row>
    <row r="29267" spans="3:3" x14ac:dyDescent="0.35">
      <c r="C29267" s="2"/>
    </row>
    <row r="29268" spans="3:3" x14ac:dyDescent="0.35">
      <c r="C29268" s="2"/>
    </row>
    <row r="29269" spans="3:3" x14ac:dyDescent="0.35">
      <c r="C29269" s="2"/>
    </row>
    <row r="29270" spans="3:3" x14ac:dyDescent="0.35">
      <c r="C29270" s="2"/>
    </row>
    <row r="29271" spans="3:3" x14ac:dyDescent="0.35">
      <c r="C29271" s="2"/>
    </row>
    <row r="29272" spans="3:3" x14ac:dyDescent="0.35">
      <c r="C29272" s="2"/>
    </row>
    <row r="29273" spans="3:3" x14ac:dyDescent="0.35">
      <c r="C29273" s="2"/>
    </row>
    <row r="29274" spans="3:3" x14ac:dyDescent="0.35">
      <c r="C29274" s="2"/>
    </row>
    <row r="29275" spans="3:3" x14ac:dyDescent="0.35">
      <c r="C29275" s="2"/>
    </row>
    <row r="29276" spans="3:3" x14ac:dyDescent="0.35">
      <c r="C29276" s="2"/>
    </row>
    <row r="29277" spans="3:3" x14ac:dyDescent="0.35">
      <c r="C29277" s="2"/>
    </row>
    <row r="29278" spans="3:3" x14ac:dyDescent="0.35">
      <c r="C29278" s="2"/>
    </row>
    <row r="29279" spans="3:3" x14ac:dyDescent="0.35">
      <c r="C29279" s="2"/>
    </row>
    <row r="29280" spans="3:3" x14ac:dyDescent="0.35">
      <c r="C29280" s="2"/>
    </row>
    <row r="29281" spans="3:3" x14ac:dyDescent="0.35">
      <c r="C29281" s="2"/>
    </row>
    <row r="29282" spans="3:3" x14ac:dyDescent="0.35">
      <c r="C29282" s="2"/>
    </row>
    <row r="29283" spans="3:3" x14ac:dyDescent="0.35">
      <c r="C29283" s="2"/>
    </row>
    <row r="29284" spans="3:3" x14ac:dyDescent="0.35">
      <c r="C29284" s="2"/>
    </row>
    <row r="29285" spans="3:3" x14ac:dyDescent="0.35">
      <c r="C29285" s="2"/>
    </row>
    <row r="29286" spans="3:3" x14ac:dyDescent="0.35">
      <c r="C29286" s="2"/>
    </row>
    <row r="29287" spans="3:3" x14ac:dyDescent="0.35">
      <c r="C29287" s="2"/>
    </row>
    <row r="29288" spans="3:3" x14ac:dyDescent="0.35">
      <c r="C29288" s="2"/>
    </row>
    <row r="29289" spans="3:3" x14ac:dyDescent="0.35">
      <c r="C29289" s="2"/>
    </row>
    <row r="29290" spans="3:3" x14ac:dyDescent="0.35">
      <c r="C29290" s="2"/>
    </row>
    <row r="29291" spans="3:3" x14ac:dyDescent="0.35">
      <c r="C29291" s="2"/>
    </row>
    <row r="29292" spans="3:3" x14ac:dyDescent="0.35">
      <c r="C29292" s="2"/>
    </row>
    <row r="29293" spans="3:3" x14ac:dyDescent="0.35">
      <c r="C29293" s="2"/>
    </row>
    <row r="29294" spans="3:3" x14ac:dyDescent="0.35">
      <c r="C29294" s="2"/>
    </row>
    <row r="29295" spans="3:3" x14ac:dyDescent="0.35">
      <c r="C29295" s="2"/>
    </row>
    <row r="29296" spans="3:3" x14ac:dyDescent="0.35">
      <c r="C29296" s="2"/>
    </row>
    <row r="29297" spans="3:3" x14ac:dyDescent="0.35">
      <c r="C29297" s="2"/>
    </row>
    <row r="29298" spans="3:3" x14ac:dyDescent="0.35">
      <c r="C29298" s="2"/>
    </row>
    <row r="29299" spans="3:3" x14ac:dyDescent="0.35">
      <c r="C29299" s="2"/>
    </row>
    <row r="29300" spans="3:3" x14ac:dyDescent="0.35">
      <c r="C29300" s="2"/>
    </row>
    <row r="29301" spans="3:3" x14ac:dyDescent="0.35">
      <c r="C29301" s="2"/>
    </row>
    <row r="29302" spans="3:3" x14ac:dyDescent="0.35">
      <c r="C29302" s="2"/>
    </row>
    <row r="29303" spans="3:3" x14ac:dyDescent="0.35">
      <c r="C29303" s="2"/>
    </row>
    <row r="29304" spans="3:3" x14ac:dyDescent="0.35">
      <c r="C29304" s="2"/>
    </row>
    <row r="29305" spans="3:3" x14ac:dyDescent="0.35">
      <c r="C29305" s="2"/>
    </row>
    <row r="29306" spans="3:3" x14ac:dyDescent="0.35">
      <c r="C29306" s="2"/>
    </row>
    <row r="29307" spans="3:3" x14ac:dyDescent="0.35">
      <c r="C29307" s="2"/>
    </row>
    <row r="29308" spans="3:3" x14ac:dyDescent="0.35">
      <c r="C29308" s="2"/>
    </row>
    <row r="29309" spans="3:3" x14ac:dyDescent="0.35">
      <c r="C29309" s="2"/>
    </row>
    <row r="29310" spans="3:3" x14ac:dyDescent="0.35">
      <c r="C29310" s="2"/>
    </row>
    <row r="29311" spans="3:3" x14ac:dyDescent="0.35">
      <c r="C29311" s="2"/>
    </row>
    <row r="29312" spans="3:3" x14ac:dyDescent="0.35">
      <c r="C29312" s="2"/>
    </row>
    <row r="29313" spans="3:3" x14ac:dyDescent="0.35">
      <c r="C29313" s="2"/>
    </row>
    <row r="29314" spans="3:3" x14ac:dyDescent="0.35">
      <c r="C29314" s="2"/>
    </row>
    <row r="29315" spans="3:3" x14ac:dyDescent="0.35">
      <c r="C29315" s="2"/>
    </row>
    <row r="29316" spans="3:3" x14ac:dyDescent="0.35">
      <c r="C29316" s="2"/>
    </row>
    <row r="29317" spans="3:3" x14ac:dyDescent="0.35">
      <c r="C29317" s="2"/>
    </row>
    <row r="29318" spans="3:3" x14ac:dyDescent="0.35">
      <c r="C29318" s="2"/>
    </row>
    <row r="29319" spans="3:3" x14ac:dyDescent="0.35">
      <c r="C29319" s="2"/>
    </row>
    <row r="29320" spans="3:3" x14ac:dyDescent="0.35">
      <c r="C29320" s="2"/>
    </row>
    <row r="29321" spans="3:3" x14ac:dyDescent="0.35">
      <c r="C29321" s="2"/>
    </row>
    <row r="29322" spans="3:3" x14ac:dyDescent="0.35">
      <c r="C29322" s="2"/>
    </row>
    <row r="29323" spans="3:3" x14ac:dyDescent="0.35">
      <c r="C29323" s="2"/>
    </row>
    <row r="29324" spans="3:3" x14ac:dyDescent="0.35">
      <c r="C29324" s="2"/>
    </row>
    <row r="29325" spans="3:3" x14ac:dyDescent="0.35">
      <c r="C29325" s="2"/>
    </row>
    <row r="29326" spans="3:3" x14ac:dyDescent="0.35">
      <c r="C29326" s="2"/>
    </row>
    <row r="29327" spans="3:3" x14ac:dyDescent="0.35">
      <c r="C29327" s="2"/>
    </row>
    <row r="29328" spans="3:3" x14ac:dyDescent="0.35">
      <c r="C29328" s="2"/>
    </row>
    <row r="29329" spans="3:3" x14ac:dyDescent="0.35">
      <c r="C29329" s="2"/>
    </row>
    <row r="29330" spans="3:3" x14ac:dyDescent="0.35">
      <c r="C29330" s="2"/>
    </row>
    <row r="29331" spans="3:3" x14ac:dyDescent="0.35">
      <c r="C29331" s="2"/>
    </row>
    <row r="29332" spans="3:3" x14ac:dyDescent="0.35">
      <c r="C29332" s="2"/>
    </row>
    <row r="29333" spans="3:3" x14ac:dyDescent="0.35">
      <c r="C29333" s="2"/>
    </row>
    <row r="29334" spans="3:3" x14ac:dyDescent="0.35">
      <c r="C29334" s="2"/>
    </row>
    <row r="29335" spans="3:3" x14ac:dyDescent="0.35">
      <c r="C29335" s="2"/>
    </row>
    <row r="29336" spans="3:3" x14ac:dyDescent="0.35">
      <c r="C29336" s="2"/>
    </row>
    <row r="29337" spans="3:3" x14ac:dyDescent="0.35">
      <c r="C29337" s="2"/>
    </row>
    <row r="29338" spans="3:3" x14ac:dyDescent="0.35">
      <c r="C29338" s="2"/>
    </row>
    <row r="29339" spans="3:3" x14ac:dyDescent="0.35">
      <c r="C29339" s="2"/>
    </row>
    <row r="29340" spans="3:3" x14ac:dyDescent="0.35">
      <c r="C29340" s="2"/>
    </row>
    <row r="29341" spans="3:3" x14ac:dyDescent="0.35">
      <c r="C29341" s="2"/>
    </row>
    <row r="29342" spans="3:3" x14ac:dyDescent="0.35">
      <c r="C29342" s="2"/>
    </row>
    <row r="29343" spans="3:3" x14ac:dyDescent="0.35">
      <c r="C29343" s="2"/>
    </row>
    <row r="29344" spans="3:3" x14ac:dyDescent="0.35">
      <c r="C29344" s="2"/>
    </row>
    <row r="29345" spans="3:3" x14ac:dyDescent="0.35">
      <c r="C29345" s="2"/>
    </row>
    <row r="29346" spans="3:3" x14ac:dyDescent="0.35">
      <c r="C29346" s="2"/>
    </row>
    <row r="29347" spans="3:3" x14ac:dyDescent="0.35">
      <c r="C29347" s="2"/>
    </row>
    <row r="29348" spans="3:3" x14ac:dyDescent="0.35">
      <c r="C29348" s="2"/>
    </row>
    <row r="29349" spans="3:3" x14ac:dyDescent="0.35">
      <c r="C29349" s="2"/>
    </row>
    <row r="29350" spans="3:3" x14ac:dyDescent="0.35">
      <c r="C29350" s="2"/>
    </row>
    <row r="29351" spans="3:3" x14ac:dyDescent="0.35">
      <c r="C29351" s="2"/>
    </row>
    <row r="29352" spans="3:3" x14ac:dyDescent="0.35">
      <c r="C29352" s="2"/>
    </row>
    <row r="29353" spans="3:3" x14ac:dyDescent="0.35">
      <c r="C29353" s="2"/>
    </row>
    <row r="29354" spans="3:3" x14ac:dyDescent="0.35">
      <c r="C29354" s="2"/>
    </row>
    <row r="29355" spans="3:3" x14ac:dyDescent="0.35">
      <c r="C29355" s="2"/>
    </row>
    <row r="29356" spans="3:3" x14ac:dyDescent="0.35">
      <c r="C29356" s="2"/>
    </row>
    <row r="29357" spans="3:3" x14ac:dyDescent="0.35">
      <c r="C29357" s="2"/>
    </row>
    <row r="29358" spans="3:3" x14ac:dyDescent="0.35">
      <c r="C29358" s="2"/>
    </row>
    <row r="29359" spans="3:3" x14ac:dyDescent="0.35">
      <c r="C29359" s="2"/>
    </row>
    <row r="29360" spans="3:3" x14ac:dyDescent="0.35">
      <c r="C29360" s="2"/>
    </row>
    <row r="29361" spans="3:3" x14ac:dyDescent="0.35">
      <c r="C29361" s="2"/>
    </row>
    <row r="29362" spans="3:3" x14ac:dyDescent="0.35">
      <c r="C29362" s="2"/>
    </row>
    <row r="29363" spans="3:3" x14ac:dyDescent="0.35">
      <c r="C29363" s="2"/>
    </row>
    <row r="29364" spans="3:3" x14ac:dyDescent="0.35">
      <c r="C29364" s="2"/>
    </row>
    <row r="29365" spans="3:3" x14ac:dyDescent="0.35">
      <c r="C29365" s="2"/>
    </row>
    <row r="29366" spans="3:3" x14ac:dyDescent="0.35">
      <c r="C29366" s="2"/>
    </row>
    <row r="29367" spans="3:3" x14ac:dyDescent="0.35">
      <c r="C29367" s="2"/>
    </row>
    <row r="29368" spans="3:3" x14ac:dyDescent="0.35">
      <c r="C29368" s="2"/>
    </row>
    <row r="29369" spans="3:3" x14ac:dyDescent="0.35">
      <c r="C29369" s="2"/>
    </row>
    <row r="29370" spans="3:3" x14ac:dyDescent="0.35">
      <c r="C29370" s="2"/>
    </row>
    <row r="29371" spans="3:3" x14ac:dyDescent="0.35">
      <c r="C29371" s="2"/>
    </row>
    <row r="29372" spans="3:3" x14ac:dyDescent="0.35">
      <c r="C29372" s="2"/>
    </row>
    <row r="29373" spans="3:3" x14ac:dyDescent="0.35">
      <c r="C29373" s="2"/>
    </row>
    <row r="29374" spans="3:3" x14ac:dyDescent="0.35">
      <c r="C29374" s="2"/>
    </row>
    <row r="29375" spans="3:3" x14ac:dyDescent="0.35">
      <c r="C29375" s="2"/>
    </row>
    <row r="29376" spans="3:3" x14ac:dyDescent="0.35">
      <c r="C29376" s="2"/>
    </row>
    <row r="29377" spans="3:3" x14ac:dyDescent="0.35">
      <c r="C29377" s="2"/>
    </row>
    <row r="29378" spans="3:3" x14ac:dyDescent="0.35">
      <c r="C29378" s="2"/>
    </row>
    <row r="29379" spans="3:3" x14ac:dyDescent="0.35">
      <c r="C29379" s="2"/>
    </row>
    <row r="29380" spans="3:3" x14ac:dyDescent="0.35">
      <c r="C29380" s="2"/>
    </row>
    <row r="29381" spans="3:3" x14ac:dyDescent="0.35">
      <c r="C29381" s="2"/>
    </row>
    <row r="29382" spans="3:3" x14ac:dyDescent="0.35">
      <c r="C29382" s="2"/>
    </row>
    <row r="29383" spans="3:3" x14ac:dyDescent="0.35">
      <c r="C29383" s="2"/>
    </row>
    <row r="29384" spans="3:3" x14ac:dyDescent="0.35">
      <c r="C29384" s="2"/>
    </row>
    <row r="29385" spans="3:3" x14ac:dyDescent="0.35">
      <c r="C29385" s="2"/>
    </row>
    <row r="29386" spans="3:3" x14ac:dyDescent="0.35">
      <c r="C29386" s="2"/>
    </row>
    <row r="29387" spans="3:3" x14ac:dyDescent="0.35">
      <c r="C29387" s="2"/>
    </row>
    <row r="29388" spans="3:3" x14ac:dyDescent="0.35">
      <c r="C29388" s="2"/>
    </row>
    <row r="29389" spans="3:3" x14ac:dyDescent="0.35">
      <c r="C29389" s="2"/>
    </row>
    <row r="29390" spans="3:3" x14ac:dyDescent="0.35">
      <c r="C29390" s="2"/>
    </row>
    <row r="29391" spans="3:3" x14ac:dyDescent="0.35">
      <c r="C29391" s="2"/>
    </row>
    <row r="29392" spans="3:3" x14ac:dyDescent="0.35">
      <c r="C29392" s="2"/>
    </row>
    <row r="29393" spans="3:3" x14ac:dyDescent="0.35">
      <c r="C29393" s="2"/>
    </row>
    <row r="29394" spans="3:3" x14ac:dyDescent="0.35">
      <c r="C29394" s="2"/>
    </row>
    <row r="29395" spans="3:3" x14ac:dyDescent="0.35">
      <c r="C29395" s="2"/>
    </row>
    <row r="29396" spans="3:3" x14ac:dyDescent="0.35">
      <c r="C29396" s="2"/>
    </row>
    <row r="29397" spans="3:3" x14ac:dyDescent="0.35">
      <c r="C29397" s="2"/>
    </row>
    <row r="29398" spans="3:3" x14ac:dyDescent="0.35">
      <c r="C29398" s="2"/>
    </row>
    <row r="29399" spans="3:3" x14ac:dyDescent="0.35">
      <c r="C29399" s="2"/>
    </row>
    <row r="29400" spans="3:3" x14ac:dyDescent="0.35">
      <c r="C29400" s="2"/>
    </row>
    <row r="29401" spans="3:3" x14ac:dyDescent="0.35">
      <c r="C29401" s="2"/>
    </row>
    <row r="29402" spans="3:3" x14ac:dyDescent="0.35">
      <c r="C29402" s="2"/>
    </row>
    <row r="29403" spans="3:3" x14ac:dyDescent="0.35">
      <c r="C29403" s="2"/>
    </row>
    <row r="29404" spans="3:3" x14ac:dyDescent="0.35">
      <c r="C29404" s="2"/>
    </row>
    <row r="29405" spans="3:3" x14ac:dyDescent="0.35">
      <c r="C29405" s="2"/>
    </row>
    <row r="29406" spans="3:3" x14ac:dyDescent="0.35">
      <c r="C29406" s="2"/>
    </row>
    <row r="29407" spans="3:3" x14ac:dyDescent="0.35">
      <c r="C29407" s="2"/>
    </row>
    <row r="29408" spans="3:3" x14ac:dyDescent="0.35">
      <c r="C29408" s="2"/>
    </row>
    <row r="29409" spans="3:3" x14ac:dyDescent="0.35">
      <c r="C29409" s="2"/>
    </row>
    <row r="29410" spans="3:3" x14ac:dyDescent="0.35">
      <c r="C29410" s="2"/>
    </row>
    <row r="29411" spans="3:3" x14ac:dyDescent="0.35">
      <c r="C29411" s="2"/>
    </row>
    <row r="29412" spans="3:3" x14ac:dyDescent="0.35">
      <c r="C29412" s="2"/>
    </row>
    <row r="29413" spans="3:3" x14ac:dyDescent="0.35">
      <c r="C29413" s="2"/>
    </row>
    <row r="29414" spans="3:3" x14ac:dyDescent="0.35">
      <c r="C29414" s="2"/>
    </row>
    <row r="29415" spans="3:3" x14ac:dyDescent="0.35">
      <c r="C29415" s="2"/>
    </row>
    <row r="29416" spans="3:3" x14ac:dyDescent="0.35">
      <c r="C29416" s="2"/>
    </row>
    <row r="29417" spans="3:3" x14ac:dyDescent="0.35">
      <c r="C29417" s="2"/>
    </row>
    <row r="29418" spans="3:3" x14ac:dyDescent="0.35">
      <c r="C29418" s="2"/>
    </row>
    <row r="29419" spans="3:3" x14ac:dyDescent="0.35">
      <c r="C29419" s="2"/>
    </row>
    <row r="29420" spans="3:3" x14ac:dyDescent="0.35">
      <c r="C29420" s="2"/>
    </row>
    <row r="29421" spans="3:3" x14ac:dyDescent="0.35">
      <c r="C29421" s="2"/>
    </row>
    <row r="29422" spans="3:3" x14ac:dyDescent="0.35">
      <c r="C29422" s="2"/>
    </row>
    <row r="29423" spans="3:3" x14ac:dyDescent="0.35">
      <c r="C29423" s="2"/>
    </row>
    <row r="29424" spans="3:3" x14ac:dyDescent="0.35">
      <c r="C29424" s="2"/>
    </row>
    <row r="29425" spans="3:3" x14ac:dyDescent="0.35">
      <c r="C29425" s="2"/>
    </row>
    <row r="29426" spans="3:3" x14ac:dyDescent="0.35">
      <c r="C29426" s="2"/>
    </row>
    <row r="29427" spans="3:3" x14ac:dyDescent="0.35">
      <c r="C29427" s="2"/>
    </row>
    <row r="29428" spans="3:3" x14ac:dyDescent="0.35">
      <c r="C29428" s="2"/>
    </row>
    <row r="29429" spans="3:3" x14ac:dyDescent="0.35">
      <c r="C29429" s="2"/>
    </row>
    <row r="29430" spans="3:3" x14ac:dyDescent="0.35">
      <c r="C29430" s="2"/>
    </row>
    <row r="29431" spans="3:3" x14ac:dyDescent="0.35">
      <c r="C29431" s="2"/>
    </row>
    <row r="29432" spans="3:3" x14ac:dyDescent="0.35">
      <c r="C29432" s="2"/>
    </row>
    <row r="29433" spans="3:3" x14ac:dyDescent="0.35">
      <c r="C29433" s="2"/>
    </row>
    <row r="29434" spans="3:3" x14ac:dyDescent="0.35">
      <c r="C29434" s="2"/>
    </row>
    <row r="29435" spans="3:3" x14ac:dyDescent="0.35">
      <c r="C29435" s="2"/>
    </row>
    <row r="29436" spans="3:3" x14ac:dyDescent="0.35">
      <c r="C29436" s="2"/>
    </row>
    <row r="29437" spans="3:3" x14ac:dyDescent="0.35">
      <c r="C29437" s="2"/>
    </row>
    <row r="29438" spans="3:3" x14ac:dyDescent="0.35">
      <c r="C29438" s="2"/>
    </row>
    <row r="29439" spans="3:3" x14ac:dyDescent="0.35">
      <c r="C29439" s="2"/>
    </row>
    <row r="29440" spans="3:3" x14ac:dyDescent="0.35">
      <c r="C29440" s="2"/>
    </row>
    <row r="29441" spans="3:3" x14ac:dyDescent="0.35">
      <c r="C29441" s="2"/>
    </row>
    <row r="29442" spans="3:3" x14ac:dyDescent="0.35">
      <c r="C29442" s="2"/>
    </row>
    <row r="29443" spans="3:3" x14ac:dyDescent="0.35">
      <c r="C29443" s="2"/>
    </row>
    <row r="29444" spans="3:3" x14ac:dyDescent="0.35">
      <c r="C29444" s="2"/>
    </row>
    <row r="29445" spans="3:3" x14ac:dyDescent="0.35">
      <c r="C29445" s="2"/>
    </row>
    <row r="29446" spans="3:3" x14ac:dyDescent="0.35">
      <c r="C29446" s="2"/>
    </row>
    <row r="29447" spans="3:3" x14ac:dyDescent="0.35">
      <c r="C29447" s="2"/>
    </row>
    <row r="29448" spans="3:3" x14ac:dyDescent="0.35">
      <c r="C29448" s="2"/>
    </row>
    <row r="29449" spans="3:3" x14ac:dyDescent="0.35">
      <c r="C29449" s="2"/>
    </row>
    <row r="29450" spans="3:3" x14ac:dyDescent="0.35">
      <c r="C29450" s="2"/>
    </row>
    <row r="29451" spans="3:3" x14ac:dyDescent="0.35">
      <c r="C29451" s="2"/>
    </row>
    <row r="29452" spans="3:3" x14ac:dyDescent="0.35">
      <c r="C29452" s="2"/>
    </row>
    <row r="29453" spans="3:3" x14ac:dyDescent="0.35">
      <c r="C29453" s="2"/>
    </row>
    <row r="29454" spans="3:3" x14ac:dyDescent="0.35">
      <c r="C29454" s="2"/>
    </row>
    <row r="29455" spans="3:3" x14ac:dyDescent="0.35">
      <c r="C29455" s="2"/>
    </row>
    <row r="29456" spans="3:3" x14ac:dyDescent="0.35">
      <c r="C29456" s="2"/>
    </row>
    <row r="29457" spans="3:3" x14ac:dyDescent="0.35">
      <c r="C29457" s="2"/>
    </row>
    <row r="29458" spans="3:3" x14ac:dyDescent="0.35">
      <c r="C29458" s="2"/>
    </row>
    <row r="29459" spans="3:3" x14ac:dyDescent="0.35">
      <c r="C29459" s="2"/>
    </row>
    <row r="29460" spans="3:3" x14ac:dyDescent="0.35">
      <c r="C29460" s="2"/>
    </row>
    <row r="29461" spans="3:3" x14ac:dyDescent="0.35">
      <c r="C29461" s="2"/>
    </row>
    <row r="29462" spans="3:3" x14ac:dyDescent="0.35">
      <c r="C29462" s="2"/>
    </row>
    <row r="29463" spans="3:3" x14ac:dyDescent="0.35">
      <c r="C29463" s="2"/>
    </row>
    <row r="29464" spans="3:3" x14ac:dyDescent="0.35">
      <c r="C29464" s="2"/>
    </row>
    <row r="29465" spans="3:3" x14ac:dyDescent="0.35">
      <c r="C29465" s="2"/>
    </row>
    <row r="29466" spans="3:3" x14ac:dyDescent="0.35">
      <c r="C29466" s="2"/>
    </row>
    <row r="29467" spans="3:3" x14ac:dyDescent="0.35">
      <c r="C29467" s="2"/>
    </row>
    <row r="29468" spans="3:3" x14ac:dyDescent="0.35">
      <c r="C29468" s="2"/>
    </row>
    <row r="29469" spans="3:3" x14ac:dyDescent="0.35">
      <c r="C29469" s="2"/>
    </row>
    <row r="29470" spans="3:3" x14ac:dyDescent="0.35">
      <c r="C29470" s="2"/>
    </row>
    <row r="29471" spans="3:3" x14ac:dyDescent="0.35">
      <c r="C29471" s="2"/>
    </row>
    <row r="29472" spans="3:3" x14ac:dyDescent="0.35">
      <c r="C29472" s="2"/>
    </row>
    <row r="29473" spans="3:3" x14ac:dyDescent="0.35">
      <c r="C29473" s="2"/>
    </row>
    <row r="29474" spans="3:3" x14ac:dyDescent="0.35">
      <c r="C29474" s="2"/>
    </row>
    <row r="29475" spans="3:3" x14ac:dyDescent="0.35">
      <c r="C29475" s="2"/>
    </row>
    <row r="29476" spans="3:3" x14ac:dyDescent="0.35">
      <c r="C29476" s="2"/>
    </row>
    <row r="29477" spans="3:3" x14ac:dyDescent="0.35">
      <c r="C29477" s="2"/>
    </row>
    <row r="29478" spans="3:3" x14ac:dyDescent="0.35">
      <c r="C29478" s="2"/>
    </row>
    <row r="29479" spans="3:3" x14ac:dyDescent="0.35">
      <c r="C29479" s="2"/>
    </row>
    <row r="29480" spans="3:3" x14ac:dyDescent="0.35">
      <c r="C29480" s="2"/>
    </row>
    <row r="29481" spans="3:3" x14ac:dyDescent="0.35">
      <c r="C29481" s="2"/>
    </row>
    <row r="29482" spans="3:3" x14ac:dyDescent="0.35">
      <c r="C29482" s="2"/>
    </row>
    <row r="29483" spans="3:3" x14ac:dyDescent="0.35">
      <c r="C29483" s="2"/>
    </row>
    <row r="29484" spans="3:3" x14ac:dyDescent="0.35">
      <c r="C29484" s="2"/>
    </row>
    <row r="29485" spans="3:3" x14ac:dyDescent="0.35">
      <c r="C29485" s="2"/>
    </row>
    <row r="29486" spans="3:3" x14ac:dyDescent="0.35">
      <c r="C29486" s="2"/>
    </row>
    <row r="29487" spans="3:3" x14ac:dyDescent="0.35">
      <c r="C29487" s="2"/>
    </row>
    <row r="29488" spans="3:3" x14ac:dyDescent="0.35">
      <c r="C29488" s="2"/>
    </row>
    <row r="29489" spans="3:3" x14ac:dyDescent="0.35">
      <c r="C29489" s="2"/>
    </row>
    <row r="29490" spans="3:3" x14ac:dyDescent="0.35">
      <c r="C29490" s="2"/>
    </row>
    <row r="29491" spans="3:3" x14ac:dyDescent="0.35">
      <c r="C29491" s="2"/>
    </row>
    <row r="29492" spans="3:3" x14ac:dyDescent="0.35">
      <c r="C29492" s="2"/>
    </row>
    <row r="29493" spans="3:3" x14ac:dyDescent="0.35">
      <c r="C29493" s="2"/>
    </row>
    <row r="29494" spans="3:3" x14ac:dyDescent="0.35">
      <c r="C29494" s="2"/>
    </row>
    <row r="29495" spans="3:3" x14ac:dyDescent="0.35">
      <c r="C29495" s="2"/>
    </row>
    <row r="29496" spans="3:3" x14ac:dyDescent="0.35">
      <c r="C29496" s="2"/>
    </row>
    <row r="29497" spans="3:3" x14ac:dyDescent="0.35">
      <c r="C29497" s="2"/>
    </row>
    <row r="29498" spans="3:3" x14ac:dyDescent="0.35">
      <c r="C29498" s="2"/>
    </row>
    <row r="29499" spans="3:3" x14ac:dyDescent="0.35">
      <c r="C29499" s="2"/>
    </row>
    <row r="29500" spans="3:3" x14ac:dyDescent="0.35">
      <c r="C29500" s="2"/>
    </row>
    <row r="29501" spans="3:3" x14ac:dyDescent="0.35">
      <c r="C29501" s="2"/>
    </row>
    <row r="29502" spans="3:3" x14ac:dyDescent="0.35">
      <c r="C29502" s="2"/>
    </row>
    <row r="29503" spans="3:3" x14ac:dyDescent="0.35">
      <c r="C29503" s="2"/>
    </row>
    <row r="29504" spans="3:3" x14ac:dyDescent="0.35">
      <c r="C29504" s="2"/>
    </row>
    <row r="29505" spans="3:3" x14ac:dyDescent="0.35">
      <c r="C29505" s="2"/>
    </row>
    <row r="29506" spans="3:3" x14ac:dyDescent="0.35">
      <c r="C29506" s="2"/>
    </row>
    <row r="29507" spans="3:3" x14ac:dyDescent="0.35">
      <c r="C29507" s="2"/>
    </row>
    <row r="29508" spans="3:3" x14ac:dyDescent="0.35">
      <c r="C29508" s="2"/>
    </row>
    <row r="29509" spans="3:3" x14ac:dyDescent="0.35">
      <c r="C29509" s="2"/>
    </row>
    <row r="29510" spans="3:3" x14ac:dyDescent="0.35">
      <c r="C29510" s="2"/>
    </row>
    <row r="29511" spans="3:3" x14ac:dyDescent="0.35">
      <c r="C29511" s="2"/>
    </row>
    <row r="29512" spans="3:3" x14ac:dyDescent="0.35">
      <c r="C29512" s="2"/>
    </row>
    <row r="29513" spans="3:3" x14ac:dyDescent="0.35">
      <c r="C29513" s="2"/>
    </row>
    <row r="29514" spans="3:3" x14ac:dyDescent="0.35">
      <c r="C29514" s="2"/>
    </row>
    <row r="29515" spans="3:3" x14ac:dyDescent="0.35">
      <c r="C29515" s="2"/>
    </row>
    <row r="29516" spans="3:3" x14ac:dyDescent="0.35">
      <c r="C29516" s="2"/>
    </row>
    <row r="29517" spans="3:3" x14ac:dyDescent="0.35">
      <c r="C29517" s="2"/>
    </row>
    <row r="29518" spans="3:3" x14ac:dyDescent="0.35">
      <c r="C29518" s="2"/>
    </row>
    <row r="29519" spans="3:3" x14ac:dyDescent="0.35">
      <c r="C29519" s="2"/>
    </row>
    <row r="29520" spans="3:3" x14ac:dyDescent="0.35">
      <c r="C29520" s="2"/>
    </row>
    <row r="29521" spans="3:3" x14ac:dyDescent="0.35">
      <c r="C29521" s="2"/>
    </row>
    <row r="29522" spans="3:3" x14ac:dyDescent="0.35">
      <c r="C29522" s="2"/>
    </row>
    <row r="29523" spans="3:3" x14ac:dyDescent="0.35">
      <c r="C29523" s="2"/>
    </row>
    <row r="29524" spans="3:3" x14ac:dyDescent="0.35">
      <c r="C29524" s="2"/>
    </row>
    <row r="29525" spans="3:3" x14ac:dyDescent="0.35">
      <c r="C29525" s="2"/>
    </row>
    <row r="29526" spans="3:3" x14ac:dyDescent="0.35">
      <c r="C29526" s="2"/>
    </row>
    <row r="29527" spans="3:3" x14ac:dyDescent="0.35">
      <c r="C29527" s="2"/>
    </row>
    <row r="29528" spans="3:3" x14ac:dyDescent="0.35">
      <c r="C29528" s="2"/>
    </row>
    <row r="29529" spans="3:3" x14ac:dyDescent="0.35">
      <c r="C29529" s="2"/>
    </row>
    <row r="29530" spans="3:3" x14ac:dyDescent="0.35">
      <c r="C29530" s="2"/>
    </row>
    <row r="29531" spans="3:3" x14ac:dyDescent="0.35">
      <c r="C29531" s="2"/>
    </row>
    <row r="29532" spans="3:3" x14ac:dyDescent="0.35">
      <c r="C29532" s="2"/>
    </row>
    <row r="29533" spans="3:3" x14ac:dyDescent="0.35">
      <c r="C29533" s="2"/>
    </row>
    <row r="29534" spans="3:3" x14ac:dyDescent="0.35">
      <c r="C29534" s="2"/>
    </row>
    <row r="29535" spans="3:3" x14ac:dyDescent="0.35">
      <c r="C29535" s="2"/>
    </row>
    <row r="29536" spans="3:3" x14ac:dyDescent="0.35">
      <c r="C29536" s="2"/>
    </row>
    <row r="29537" spans="3:3" x14ac:dyDescent="0.35">
      <c r="C29537" s="2"/>
    </row>
    <row r="29538" spans="3:3" x14ac:dyDescent="0.35">
      <c r="C29538" s="2"/>
    </row>
    <row r="29539" spans="3:3" x14ac:dyDescent="0.35">
      <c r="C29539" s="2"/>
    </row>
    <row r="29540" spans="3:3" x14ac:dyDescent="0.35">
      <c r="C29540" s="2"/>
    </row>
    <row r="29541" spans="3:3" x14ac:dyDescent="0.35">
      <c r="C29541" s="2"/>
    </row>
    <row r="29542" spans="3:3" x14ac:dyDescent="0.35">
      <c r="C29542" s="2"/>
    </row>
    <row r="29543" spans="3:3" x14ac:dyDescent="0.35">
      <c r="C29543" s="2"/>
    </row>
    <row r="29544" spans="3:3" x14ac:dyDescent="0.35">
      <c r="C29544" s="2"/>
    </row>
    <row r="29545" spans="3:3" x14ac:dyDescent="0.35">
      <c r="C29545" s="2"/>
    </row>
    <row r="29546" spans="3:3" x14ac:dyDescent="0.35">
      <c r="C29546" s="2"/>
    </row>
    <row r="29547" spans="3:3" x14ac:dyDescent="0.35">
      <c r="C29547" s="2"/>
    </row>
    <row r="29548" spans="3:3" x14ac:dyDescent="0.35">
      <c r="C29548" s="2"/>
    </row>
    <row r="29549" spans="3:3" x14ac:dyDescent="0.35">
      <c r="C29549" s="2"/>
    </row>
    <row r="29550" spans="3:3" x14ac:dyDescent="0.35">
      <c r="C29550" s="2"/>
    </row>
    <row r="29551" spans="3:3" x14ac:dyDescent="0.35">
      <c r="C29551" s="2"/>
    </row>
    <row r="29552" spans="3:3" x14ac:dyDescent="0.35">
      <c r="C29552" s="2"/>
    </row>
    <row r="29553" spans="3:3" x14ac:dyDescent="0.35">
      <c r="C29553" s="2"/>
    </row>
    <row r="29554" spans="3:3" x14ac:dyDescent="0.35">
      <c r="C29554" s="2"/>
    </row>
    <row r="29555" spans="3:3" x14ac:dyDescent="0.35">
      <c r="C29555" s="2"/>
    </row>
    <row r="29556" spans="3:3" x14ac:dyDescent="0.35">
      <c r="C29556" s="2"/>
    </row>
    <row r="29557" spans="3:3" x14ac:dyDescent="0.35">
      <c r="C29557" s="2"/>
    </row>
    <row r="29558" spans="3:3" x14ac:dyDescent="0.35">
      <c r="C29558" s="2"/>
    </row>
    <row r="29559" spans="3:3" x14ac:dyDescent="0.35">
      <c r="C29559" s="2"/>
    </row>
    <row r="29560" spans="3:3" x14ac:dyDescent="0.35">
      <c r="C29560" s="2"/>
    </row>
    <row r="29561" spans="3:3" x14ac:dyDescent="0.35">
      <c r="C29561" s="2"/>
    </row>
    <row r="29562" spans="3:3" x14ac:dyDescent="0.35">
      <c r="C29562" s="2"/>
    </row>
    <row r="29563" spans="3:3" x14ac:dyDescent="0.35">
      <c r="C29563" s="2"/>
    </row>
    <row r="29564" spans="3:3" x14ac:dyDescent="0.35">
      <c r="C29564" s="2"/>
    </row>
    <row r="29565" spans="3:3" x14ac:dyDescent="0.35">
      <c r="C29565" s="2"/>
    </row>
    <row r="29566" spans="3:3" x14ac:dyDescent="0.35">
      <c r="C29566" s="2"/>
    </row>
    <row r="29567" spans="3:3" x14ac:dyDescent="0.35">
      <c r="C29567" s="2"/>
    </row>
    <row r="29568" spans="3:3" x14ac:dyDescent="0.35">
      <c r="C29568" s="2"/>
    </row>
    <row r="29569" spans="3:3" x14ac:dyDescent="0.35">
      <c r="C29569" s="2"/>
    </row>
    <row r="29570" spans="3:3" x14ac:dyDescent="0.35">
      <c r="C29570" s="2"/>
    </row>
    <row r="29571" spans="3:3" x14ac:dyDescent="0.35">
      <c r="C29571" s="2"/>
    </row>
    <row r="29572" spans="3:3" x14ac:dyDescent="0.35">
      <c r="C29572" s="2"/>
    </row>
    <row r="29573" spans="3:3" x14ac:dyDescent="0.35">
      <c r="C29573" s="2"/>
    </row>
    <row r="29574" spans="3:3" x14ac:dyDescent="0.35">
      <c r="C29574" s="2"/>
    </row>
    <row r="29575" spans="3:3" x14ac:dyDescent="0.35">
      <c r="C29575" s="2"/>
    </row>
    <row r="29576" spans="3:3" x14ac:dyDescent="0.35">
      <c r="C29576" s="2"/>
    </row>
    <row r="29577" spans="3:3" x14ac:dyDescent="0.35">
      <c r="C29577" s="2"/>
    </row>
    <row r="29578" spans="3:3" x14ac:dyDescent="0.35">
      <c r="C29578" s="2"/>
    </row>
    <row r="29579" spans="3:3" x14ac:dyDescent="0.35">
      <c r="C29579" s="2"/>
    </row>
    <row r="29580" spans="3:3" x14ac:dyDescent="0.35">
      <c r="C29580" s="2"/>
    </row>
    <row r="29581" spans="3:3" x14ac:dyDescent="0.35">
      <c r="C29581" s="2"/>
    </row>
    <row r="29582" spans="3:3" x14ac:dyDescent="0.35">
      <c r="C29582" s="2"/>
    </row>
    <row r="29583" spans="3:3" x14ac:dyDescent="0.35">
      <c r="C29583" s="2"/>
    </row>
    <row r="29584" spans="3:3" x14ac:dyDescent="0.35">
      <c r="C29584" s="2"/>
    </row>
    <row r="29585" spans="3:3" x14ac:dyDescent="0.35">
      <c r="C29585" s="2"/>
    </row>
    <row r="29586" spans="3:3" x14ac:dyDescent="0.35">
      <c r="C29586" s="2"/>
    </row>
    <row r="29587" spans="3:3" x14ac:dyDescent="0.35">
      <c r="C29587" s="2"/>
    </row>
    <row r="29588" spans="3:3" x14ac:dyDescent="0.35">
      <c r="C29588" s="2"/>
    </row>
    <row r="29589" spans="3:3" x14ac:dyDescent="0.35">
      <c r="C29589" s="2"/>
    </row>
    <row r="29590" spans="3:3" x14ac:dyDescent="0.35">
      <c r="C29590" s="2"/>
    </row>
    <row r="29591" spans="3:3" x14ac:dyDescent="0.35">
      <c r="C29591" s="2"/>
    </row>
    <row r="29592" spans="3:3" x14ac:dyDescent="0.35">
      <c r="C29592" s="2"/>
    </row>
    <row r="29593" spans="3:3" x14ac:dyDescent="0.35">
      <c r="C29593" s="2"/>
    </row>
    <row r="29594" spans="3:3" x14ac:dyDescent="0.35">
      <c r="C29594" s="2"/>
    </row>
    <row r="29595" spans="3:3" x14ac:dyDescent="0.35">
      <c r="C29595" s="2"/>
    </row>
    <row r="29596" spans="3:3" x14ac:dyDescent="0.35">
      <c r="C29596" s="2"/>
    </row>
    <row r="29597" spans="3:3" x14ac:dyDescent="0.35">
      <c r="C29597" s="2"/>
    </row>
    <row r="29598" spans="3:3" x14ac:dyDescent="0.35">
      <c r="C29598" s="2"/>
    </row>
    <row r="29599" spans="3:3" x14ac:dyDescent="0.35">
      <c r="C29599" s="2"/>
    </row>
    <row r="29600" spans="3:3" x14ac:dyDescent="0.35">
      <c r="C29600" s="2"/>
    </row>
    <row r="29601" spans="3:3" x14ac:dyDescent="0.35">
      <c r="C29601" s="2"/>
    </row>
    <row r="29602" spans="3:3" x14ac:dyDescent="0.35">
      <c r="C29602" s="2"/>
    </row>
    <row r="29603" spans="3:3" x14ac:dyDescent="0.35">
      <c r="C29603" s="2"/>
    </row>
    <row r="29604" spans="3:3" x14ac:dyDescent="0.35">
      <c r="C29604" s="2"/>
    </row>
    <row r="29605" spans="3:3" x14ac:dyDescent="0.35">
      <c r="C29605" s="2"/>
    </row>
    <row r="29606" spans="3:3" x14ac:dyDescent="0.35">
      <c r="C29606" s="2"/>
    </row>
    <row r="29607" spans="3:3" x14ac:dyDescent="0.35">
      <c r="C29607" s="2"/>
    </row>
    <row r="29608" spans="3:3" x14ac:dyDescent="0.35">
      <c r="C29608" s="2"/>
    </row>
    <row r="29609" spans="3:3" x14ac:dyDescent="0.35">
      <c r="C29609" s="2"/>
    </row>
    <row r="29610" spans="3:3" x14ac:dyDescent="0.35">
      <c r="C29610" s="2"/>
    </row>
    <row r="29611" spans="3:3" x14ac:dyDescent="0.35">
      <c r="C29611" s="2"/>
    </row>
    <row r="29612" spans="3:3" x14ac:dyDescent="0.35">
      <c r="C29612" s="2"/>
    </row>
    <row r="29613" spans="3:3" x14ac:dyDescent="0.35">
      <c r="C29613" s="2"/>
    </row>
    <row r="29614" spans="3:3" x14ac:dyDescent="0.35">
      <c r="C29614" s="2"/>
    </row>
    <row r="29615" spans="3:3" x14ac:dyDescent="0.35">
      <c r="C29615" s="2"/>
    </row>
    <row r="29616" spans="3:3" x14ac:dyDescent="0.35">
      <c r="C29616" s="2"/>
    </row>
    <row r="29617" spans="3:3" x14ac:dyDescent="0.35">
      <c r="C29617" s="2"/>
    </row>
    <row r="29618" spans="3:3" x14ac:dyDescent="0.35">
      <c r="C29618" s="2"/>
    </row>
    <row r="29619" spans="3:3" x14ac:dyDescent="0.35">
      <c r="C29619" s="2"/>
    </row>
    <row r="29620" spans="3:3" x14ac:dyDescent="0.35">
      <c r="C29620" s="2"/>
    </row>
    <row r="29621" spans="3:3" x14ac:dyDescent="0.35">
      <c r="C29621" s="2"/>
    </row>
    <row r="29622" spans="3:3" x14ac:dyDescent="0.35">
      <c r="C29622" s="2"/>
    </row>
    <row r="29623" spans="3:3" x14ac:dyDescent="0.35">
      <c r="C29623" s="2"/>
    </row>
    <row r="29624" spans="3:3" x14ac:dyDescent="0.35">
      <c r="C29624" s="2"/>
    </row>
    <row r="29625" spans="3:3" x14ac:dyDescent="0.35">
      <c r="C29625" s="2"/>
    </row>
    <row r="29626" spans="3:3" x14ac:dyDescent="0.35">
      <c r="C29626" s="2"/>
    </row>
    <row r="29627" spans="3:3" x14ac:dyDescent="0.35">
      <c r="C29627" s="2"/>
    </row>
    <row r="29628" spans="3:3" x14ac:dyDescent="0.35">
      <c r="C29628" s="2"/>
    </row>
    <row r="29629" spans="3:3" x14ac:dyDescent="0.35">
      <c r="C29629" s="2"/>
    </row>
    <row r="29630" spans="3:3" x14ac:dyDescent="0.35">
      <c r="C29630" s="2"/>
    </row>
    <row r="29631" spans="3:3" x14ac:dyDescent="0.35">
      <c r="C29631" s="2"/>
    </row>
    <row r="29632" spans="3:3" x14ac:dyDescent="0.35">
      <c r="C29632" s="2"/>
    </row>
    <row r="29633" spans="3:3" x14ac:dyDescent="0.35">
      <c r="C29633" s="2"/>
    </row>
    <row r="29634" spans="3:3" x14ac:dyDescent="0.35">
      <c r="C29634" s="2"/>
    </row>
    <row r="29635" spans="3:3" x14ac:dyDescent="0.35">
      <c r="C29635" s="2"/>
    </row>
    <row r="29636" spans="3:3" x14ac:dyDescent="0.35">
      <c r="C29636" s="2"/>
    </row>
    <row r="29637" spans="3:3" x14ac:dyDescent="0.35">
      <c r="C29637" s="2"/>
    </row>
    <row r="29638" spans="3:3" x14ac:dyDescent="0.35">
      <c r="C29638" s="2"/>
    </row>
    <row r="29639" spans="3:3" x14ac:dyDescent="0.35">
      <c r="C29639" s="2"/>
    </row>
    <row r="29640" spans="3:3" x14ac:dyDescent="0.35">
      <c r="C29640" s="2"/>
    </row>
    <row r="29641" spans="3:3" x14ac:dyDescent="0.35">
      <c r="C29641" s="2"/>
    </row>
    <row r="29642" spans="3:3" x14ac:dyDescent="0.35">
      <c r="C29642" s="2"/>
    </row>
    <row r="29643" spans="3:3" x14ac:dyDescent="0.35">
      <c r="C29643" s="2"/>
    </row>
    <row r="29644" spans="3:3" x14ac:dyDescent="0.35">
      <c r="C29644" s="2"/>
    </row>
    <row r="29645" spans="3:3" x14ac:dyDescent="0.35">
      <c r="C29645" s="2"/>
    </row>
    <row r="29646" spans="3:3" x14ac:dyDescent="0.35">
      <c r="C29646" s="2"/>
    </row>
    <row r="29647" spans="3:3" x14ac:dyDescent="0.35">
      <c r="C29647" s="2"/>
    </row>
    <row r="29648" spans="3:3" x14ac:dyDescent="0.35">
      <c r="C29648" s="2"/>
    </row>
    <row r="29649" spans="3:3" x14ac:dyDescent="0.35">
      <c r="C29649" s="2"/>
    </row>
    <row r="29650" spans="3:3" x14ac:dyDescent="0.35">
      <c r="C29650" s="2"/>
    </row>
    <row r="29651" spans="3:3" x14ac:dyDescent="0.35">
      <c r="C29651" s="2"/>
    </row>
    <row r="29652" spans="3:3" x14ac:dyDescent="0.35">
      <c r="C29652" s="2"/>
    </row>
    <row r="29653" spans="3:3" x14ac:dyDescent="0.35">
      <c r="C29653" s="2"/>
    </row>
    <row r="29654" spans="3:3" x14ac:dyDescent="0.35">
      <c r="C29654" s="2"/>
    </row>
    <row r="29655" spans="3:3" x14ac:dyDescent="0.35">
      <c r="C29655" s="2"/>
    </row>
    <row r="29656" spans="3:3" x14ac:dyDescent="0.35">
      <c r="C29656" s="2"/>
    </row>
    <row r="29657" spans="3:3" x14ac:dyDescent="0.35">
      <c r="C29657" s="2"/>
    </row>
    <row r="29658" spans="3:3" x14ac:dyDescent="0.35">
      <c r="C29658" s="2"/>
    </row>
    <row r="29659" spans="3:3" x14ac:dyDescent="0.35">
      <c r="C29659" s="2"/>
    </row>
    <row r="29660" spans="3:3" x14ac:dyDescent="0.35">
      <c r="C29660" s="2"/>
    </row>
    <row r="29661" spans="3:3" x14ac:dyDescent="0.35">
      <c r="C29661" s="2"/>
    </row>
    <row r="29662" spans="3:3" x14ac:dyDescent="0.35">
      <c r="C29662" s="2"/>
    </row>
    <row r="29663" spans="3:3" x14ac:dyDescent="0.35">
      <c r="C29663" s="2"/>
    </row>
    <row r="29664" spans="3:3" x14ac:dyDescent="0.35">
      <c r="C29664" s="2"/>
    </row>
    <row r="29665" spans="3:3" x14ac:dyDescent="0.35">
      <c r="C29665" s="2"/>
    </row>
    <row r="29666" spans="3:3" x14ac:dyDescent="0.35">
      <c r="C29666" s="2"/>
    </row>
    <row r="29667" spans="3:3" x14ac:dyDescent="0.35">
      <c r="C29667" s="2"/>
    </row>
    <row r="29668" spans="3:3" x14ac:dyDescent="0.35">
      <c r="C29668" s="2"/>
    </row>
    <row r="29669" spans="3:3" x14ac:dyDescent="0.35">
      <c r="C29669" s="2"/>
    </row>
    <row r="29670" spans="3:3" x14ac:dyDescent="0.35">
      <c r="C29670" s="2"/>
    </row>
    <row r="29671" spans="3:3" x14ac:dyDescent="0.35">
      <c r="C29671" s="2"/>
    </row>
    <row r="29672" spans="3:3" x14ac:dyDescent="0.35">
      <c r="C29672" s="2"/>
    </row>
    <row r="29673" spans="3:3" x14ac:dyDescent="0.35">
      <c r="C29673" s="2"/>
    </row>
    <row r="29674" spans="3:3" x14ac:dyDescent="0.35">
      <c r="C29674" s="2"/>
    </row>
    <row r="29675" spans="3:3" x14ac:dyDescent="0.35">
      <c r="C29675" s="2"/>
    </row>
    <row r="29676" spans="3:3" x14ac:dyDescent="0.35">
      <c r="C29676" s="2"/>
    </row>
    <row r="29677" spans="3:3" x14ac:dyDescent="0.35">
      <c r="C29677" s="2"/>
    </row>
    <row r="29678" spans="3:3" x14ac:dyDescent="0.35">
      <c r="C29678" s="2"/>
    </row>
    <row r="29679" spans="3:3" x14ac:dyDescent="0.35">
      <c r="C29679" s="2"/>
    </row>
    <row r="29680" spans="3:3" x14ac:dyDescent="0.35">
      <c r="C29680" s="2"/>
    </row>
    <row r="29681" spans="3:3" x14ac:dyDescent="0.35">
      <c r="C29681" s="2"/>
    </row>
    <row r="29682" spans="3:3" x14ac:dyDescent="0.35">
      <c r="C29682" s="2"/>
    </row>
    <row r="29683" spans="3:3" x14ac:dyDescent="0.35">
      <c r="C29683" s="2"/>
    </row>
    <row r="29684" spans="3:3" x14ac:dyDescent="0.35">
      <c r="C29684" s="2"/>
    </row>
    <row r="29685" spans="3:3" x14ac:dyDescent="0.35">
      <c r="C29685" s="2"/>
    </row>
    <row r="29686" spans="3:3" x14ac:dyDescent="0.35">
      <c r="C29686" s="2"/>
    </row>
    <row r="29687" spans="3:3" x14ac:dyDescent="0.35">
      <c r="C29687" s="2"/>
    </row>
    <row r="29688" spans="3:3" x14ac:dyDescent="0.35">
      <c r="C29688" s="2"/>
    </row>
    <row r="29689" spans="3:3" x14ac:dyDescent="0.35">
      <c r="C29689" s="2"/>
    </row>
    <row r="29690" spans="3:3" x14ac:dyDescent="0.35">
      <c r="C29690" s="2"/>
    </row>
    <row r="29691" spans="3:3" x14ac:dyDescent="0.35">
      <c r="C29691" s="2"/>
    </row>
    <row r="29692" spans="3:3" x14ac:dyDescent="0.35">
      <c r="C29692" s="2"/>
    </row>
    <row r="29693" spans="3:3" x14ac:dyDescent="0.35">
      <c r="C29693" s="2"/>
    </row>
    <row r="29694" spans="3:3" x14ac:dyDescent="0.35">
      <c r="C29694" s="2"/>
    </row>
    <row r="29695" spans="3:3" x14ac:dyDescent="0.35">
      <c r="C29695" s="2"/>
    </row>
    <row r="29696" spans="3:3" x14ac:dyDescent="0.35">
      <c r="C29696" s="2"/>
    </row>
    <row r="29697" spans="3:3" x14ac:dyDescent="0.35">
      <c r="C29697" s="2"/>
    </row>
    <row r="29698" spans="3:3" x14ac:dyDescent="0.35">
      <c r="C29698" s="2"/>
    </row>
    <row r="29699" spans="3:3" x14ac:dyDescent="0.35">
      <c r="C29699" s="2"/>
    </row>
    <row r="29700" spans="3:3" x14ac:dyDescent="0.35">
      <c r="C29700" s="2"/>
    </row>
    <row r="29701" spans="3:3" x14ac:dyDescent="0.35">
      <c r="C29701" s="2"/>
    </row>
    <row r="29702" spans="3:3" x14ac:dyDescent="0.35">
      <c r="C29702" s="2"/>
    </row>
    <row r="29703" spans="3:3" x14ac:dyDescent="0.35">
      <c r="C29703" s="2"/>
    </row>
    <row r="29704" spans="3:3" x14ac:dyDescent="0.35">
      <c r="C29704" s="2"/>
    </row>
    <row r="29705" spans="3:3" x14ac:dyDescent="0.35">
      <c r="C29705" s="2"/>
    </row>
    <row r="29706" spans="3:3" x14ac:dyDescent="0.35">
      <c r="C29706" s="2"/>
    </row>
    <row r="29707" spans="3:3" x14ac:dyDescent="0.35">
      <c r="C29707" s="2"/>
    </row>
    <row r="29708" spans="3:3" x14ac:dyDescent="0.35">
      <c r="C29708" s="2"/>
    </row>
    <row r="29709" spans="3:3" x14ac:dyDescent="0.35">
      <c r="C29709" s="2"/>
    </row>
    <row r="29710" spans="3:3" x14ac:dyDescent="0.35">
      <c r="C29710" s="2"/>
    </row>
    <row r="29711" spans="3:3" x14ac:dyDescent="0.35">
      <c r="C29711" s="2"/>
    </row>
    <row r="29712" spans="3:3" x14ac:dyDescent="0.35">
      <c r="C29712" s="2"/>
    </row>
    <row r="29713" spans="3:3" x14ac:dyDescent="0.35">
      <c r="C29713" s="2"/>
    </row>
    <row r="29714" spans="3:3" x14ac:dyDescent="0.35">
      <c r="C29714" s="2"/>
    </row>
    <row r="29715" spans="3:3" x14ac:dyDescent="0.35">
      <c r="C29715" s="2"/>
    </row>
    <row r="29716" spans="3:3" x14ac:dyDescent="0.35">
      <c r="C29716" s="2"/>
    </row>
    <row r="29717" spans="3:3" x14ac:dyDescent="0.35">
      <c r="C29717" s="2"/>
    </row>
    <row r="29718" spans="3:3" x14ac:dyDescent="0.35">
      <c r="C29718" s="2"/>
    </row>
    <row r="29719" spans="3:3" x14ac:dyDescent="0.35">
      <c r="C29719" s="2"/>
    </row>
    <row r="29720" spans="3:3" x14ac:dyDescent="0.35">
      <c r="C29720" s="2"/>
    </row>
    <row r="29721" spans="3:3" x14ac:dyDescent="0.35">
      <c r="C29721" s="2"/>
    </row>
    <row r="29722" spans="3:3" x14ac:dyDescent="0.35">
      <c r="C29722" s="2"/>
    </row>
    <row r="29723" spans="3:3" x14ac:dyDescent="0.35">
      <c r="C29723" s="2"/>
    </row>
    <row r="29724" spans="3:3" x14ac:dyDescent="0.35">
      <c r="C29724" s="2"/>
    </row>
    <row r="29725" spans="3:3" x14ac:dyDescent="0.35">
      <c r="C29725" s="2"/>
    </row>
    <row r="29726" spans="3:3" x14ac:dyDescent="0.35">
      <c r="C29726" s="2"/>
    </row>
    <row r="29727" spans="3:3" x14ac:dyDescent="0.35">
      <c r="C29727" s="2"/>
    </row>
    <row r="29728" spans="3:3" x14ac:dyDescent="0.35">
      <c r="C29728" s="2"/>
    </row>
    <row r="29729" spans="3:3" x14ac:dyDescent="0.35">
      <c r="C29729" s="2"/>
    </row>
    <row r="29730" spans="3:3" x14ac:dyDescent="0.35">
      <c r="C29730" s="2"/>
    </row>
    <row r="29731" spans="3:3" x14ac:dyDescent="0.35">
      <c r="C29731" s="2"/>
    </row>
    <row r="29732" spans="3:3" x14ac:dyDescent="0.35">
      <c r="C29732" s="2"/>
    </row>
    <row r="29733" spans="3:3" x14ac:dyDescent="0.35">
      <c r="C29733" s="2"/>
    </row>
    <row r="29734" spans="3:3" x14ac:dyDescent="0.35">
      <c r="C29734" s="2"/>
    </row>
    <row r="29735" spans="3:3" x14ac:dyDescent="0.35">
      <c r="C29735" s="2"/>
    </row>
    <row r="29736" spans="3:3" x14ac:dyDescent="0.35">
      <c r="C29736" s="2"/>
    </row>
    <row r="29737" spans="3:3" x14ac:dyDescent="0.35">
      <c r="C29737" s="2"/>
    </row>
    <row r="29738" spans="3:3" x14ac:dyDescent="0.35">
      <c r="C29738" s="2"/>
    </row>
    <row r="29739" spans="3:3" x14ac:dyDescent="0.35">
      <c r="C29739" s="2"/>
    </row>
    <row r="29740" spans="3:3" x14ac:dyDescent="0.35">
      <c r="C29740" s="2"/>
    </row>
    <row r="29741" spans="3:3" x14ac:dyDescent="0.35">
      <c r="C29741" s="2"/>
    </row>
    <row r="29742" spans="3:3" x14ac:dyDescent="0.35">
      <c r="C29742" s="2"/>
    </row>
    <row r="29743" spans="3:3" x14ac:dyDescent="0.35">
      <c r="C29743" s="2"/>
    </row>
    <row r="29744" spans="3:3" x14ac:dyDescent="0.35">
      <c r="C29744" s="2"/>
    </row>
    <row r="29745" spans="3:3" x14ac:dyDescent="0.35">
      <c r="C29745" s="2"/>
    </row>
    <row r="29746" spans="3:3" x14ac:dyDescent="0.35">
      <c r="C29746" s="2"/>
    </row>
    <row r="29747" spans="3:3" x14ac:dyDescent="0.35">
      <c r="C29747" s="2"/>
    </row>
    <row r="29748" spans="3:3" x14ac:dyDescent="0.35">
      <c r="C29748" s="2"/>
    </row>
    <row r="29749" spans="3:3" x14ac:dyDescent="0.35">
      <c r="C29749" s="2"/>
    </row>
    <row r="29750" spans="3:3" x14ac:dyDescent="0.35">
      <c r="C29750" s="2"/>
    </row>
    <row r="29751" spans="3:3" x14ac:dyDescent="0.35">
      <c r="C29751" s="2"/>
    </row>
    <row r="29752" spans="3:3" x14ac:dyDescent="0.35">
      <c r="C29752" s="2"/>
    </row>
    <row r="29753" spans="3:3" x14ac:dyDescent="0.35">
      <c r="C29753" s="2"/>
    </row>
    <row r="29754" spans="3:3" x14ac:dyDescent="0.35">
      <c r="C29754" s="2"/>
    </row>
    <row r="29755" spans="3:3" x14ac:dyDescent="0.35">
      <c r="C29755" s="2"/>
    </row>
    <row r="29756" spans="3:3" x14ac:dyDescent="0.35">
      <c r="C29756" s="2"/>
    </row>
    <row r="29757" spans="3:3" x14ac:dyDescent="0.35">
      <c r="C29757" s="2"/>
    </row>
    <row r="29758" spans="3:3" x14ac:dyDescent="0.35">
      <c r="C29758" s="2"/>
    </row>
    <row r="29759" spans="3:3" x14ac:dyDescent="0.35">
      <c r="C29759" s="2"/>
    </row>
    <row r="29760" spans="3:3" x14ac:dyDescent="0.35">
      <c r="C29760" s="2"/>
    </row>
    <row r="29761" spans="3:3" x14ac:dyDescent="0.35">
      <c r="C29761" s="2"/>
    </row>
    <row r="29762" spans="3:3" x14ac:dyDescent="0.35">
      <c r="C29762" s="2"/>
    </row>
    <row r="29763" spans="3:3" x14ac:dyDescent="0.35">
      <c r="C29763" s="2"/>
    </row>
    <row r="29764" spans="3:3" x14ac:dyDescent="0.35">
      <c r="C29764" s="2"/>
    </row>
    <row r="29765" spans="3:3" x14ac:dyDescent="0.35">
      <c r="C29765" s="2"/>
    </row>
    <row r="29766" spans="3:3" x14ac:dyDescent="0.35">
      <c r="C29766" s="2"/>
    </row>
    <row r="29767" spans="3:3" x14ac:dyDescent="0.35">
      <c r="C29767" s="2"/>
    </row>
    <row r="29768" spans="3:3" x14ac:dyDescent="0.35">
      <c r="C29768" s="2"/>
    </row>
    <row r="29769" spans="3:3" x14ac:dyDescent="0.35">
      <c r="C29769" s="2"/>
    </row>
    <row r="29770" spans="3:3" x14ac:dyDescent="0.35">
      <c r="C29770" s="2"/>
    </row>
    <row r="29771" spans="3:3" x14ac:dyDescent="0.35">
      <c r="C29771" s="2"/>
    </row>
    <row r="29772" spans="3:3" x14ac:dyDescent="0.35">
      <c r="C29772" s="2"/>
    </row>
    <row r="29773" spans="3:3" x14ac:dyDescent="0.35">
      <c r="C29773" s="2"/>
    </row>
    <row r="29774" spans="3:3" x14ac:dyDescent="0.35">
      <c r="C29774" s="2"/>
    </row>
    <row r="29775" spans="3:3" x14ac:dyDescent="0.35">
      <c r="C29775" s="2"/>
    </row>
    <row r="29776" spans="3:3" x14ac:dyDescent="0.35">
      <c r="C29776" s="2"/>
    </row>
    <row r="29777" spans="3:3" x14ac:dyDescent="0.35">
      <c r="C29777" s="2"/>
    </row>
    <row r="29778" spans="3:3" x14ac:dyDescent="0.35">
      <c r="C29778" s="2"/>
    </row>
    <row r="29779" spans="3:3" x14ac:dyDescent="0.35">
      <c r="C29779" s="2"/>
    </row>
    <row r="29780" spans="3:3" x14ac:dyDescent="0.35">
      <c r="C29780" s="2"/>
    </row>
    <row r="29781" spans="3:3" x14ac:dyDescent="0.35">
      <c r="C29781" s="2"/>
    </row>
    <row r="29782" spans="3:3" x14ac:dyDescent="0.35">
      <c r="C29782" s="2"/>
    </row>
    <row r="29783" spans="3:3" x14ac:dyDescent="0.35">
      <c r="C29783" s="2"/>
    </row>
    <row r="29784" spans="3:3" x14ac:dyDescent="0.35">
      <c r="C29784" s="2"/>
    </row>
    <row r="29785" spans="3:3" x14ac:dyDescent="0.35">
      <c r="C29785" s="2"/>
    </row>
    <row r="29786" spans="3:3" x14ac:dyDescent="0.35">
      <c r="C29786" s="2"/>
    </row>
    <row r="29787" spans="3:3" x14ac:dyDescent="0.35">
      <c r="C29787" s="2"/>
    </row>
    <row r="29788" spans="3:3" x14ac:dyDescent="0.35">
      <c r="C29788" s="2"/>
    </row>
    <row r="29789" spans="3:3" x14ac:dyDescent="0.35">
      <c r="C29789" s="2"/>
    </row>
    <row r="29790" spans="3:3" x14ac:dyDescent="0.35">
      <c r="C29790" s="2"/>
    </row>
    <row r="29791" spans="3:3" x14ac:dyDescent="0.35">
      <c r="C29791" s="2"/>
    </row>
    <row r="29792" spans="3:3" x14ac:dyDescent="0.35">
      <c r="C29792" s="2"/>
    </row>
    <row r="29793" spans="3:3" x14ac:dyDescent="0.35">
      <c r="C29793" s="2"/>
    </row>
    <row r="29794" spans="3:3" x14ac:dyDescent="0.35">
      <c r="C29794" s="2"/>
    </row>
    <row r="29795" spans="3:3" x14ac:dyDescent="0.35">
      <c r="C29795" s="2"/>
    </row>
    <row r="29796" spans="3:3" x14ac:dyDescent="0.35">
      <c r="C29796" s="2"/>
    </row>
    <row r="29797" spans="3:3" x14ac:dyDescent="0.35">
      <c r="C29797" s="2"/>
    </row>
    <row r="29798" spans="3:3" x14ac:dyDescent="0.35">
      <c r="C29798" s="2"/>
    </row>
    <row r="29799" spans="3:3" x14ac:dyDescent="0.35">
      <c r="C29799" s="2"/>
    </row>
    <row r="29800" spans="3:3" x14ac:dyDescent="0.35">
      <c r="C29800" s="2"/>
    </row>
    <row r="29801" spans="3:3" x14ac:dyDescent="0.35">
      <c r="C29801" s="2"/>
    </row>
    <row r="29802" spans="3:3" x14ac:dyDescent="0.35">
      <c r="C29802" s="2"/>
    </row>
    <row r="29803" spans="3:3" x14ac:dyDescent="0.35">
      <c r="C29803" s="2"/>
    </row>
    <row r="29804" spans="3:3" x14ac:dyDescent="0.35">
      <c r="C29804" s="2"/>
    </row>
    <row r="29805" spans="3:3" x14ac:dyDescent="0.35">
      <c r="C29805" s="2"/>
    </row>
    <row r="29806" spans="3:3" x14ac:dyDescent="0.35">
      <c r="C29806" s="2"/>
    </row>
    <row r="29807" spans="3:3" x14ac:dyDescent="0.35">
      <c r="C29807" s="2"/>
    </row>
    <row r="29808" spans="3:3" x14ac:dyDescent="0.35">
      <c r="C29808" s="2"/>
    </row>
    <row r="29809" spans="3:3" x14ac:dyDescent="0.35">
      <c r="C29809" s="2"/>
    </row>
    <row r="29810" spans="3:3" x14ac:dyDescent="0.35">
      <c r="C29810" s="2"/>
    </row>
    <row r="29811" spans="3:3" x14ac:dyDescent="0.35">
      <c r="C29811" s="2"/>
    </row>
    <row r="29812" spans="3:3" x14ac:dyDescent="0.35">
      <c r="C29812" s="2"/>
    </row>
    <row r="29813" spans="3:3" x14ac:dyDescent="0.35">
      <c r="C29813" s="2"/>
    </row>
    <row r="29814" spans="3:3" x14ac:dyDescent="0.35">
      <c r="C29814" s="2"/>
    </row>
    <row r="29815" spans="3:3" x14ac:dyDescent="0.35">
      <c r="C29815" s="2"/>
    </row>
    <row r="29816" spans="3:3" x14ac:dyDescent="0.35">
      <c r="C29816" s="2"/>
    </row>
    <row r="29817" spans="3:3" x14ac:dyDescent="0.35">
      <c r="C29817" s="2"/>
    </row>
    <row r="29818" spans="3:3" x14ac:dyDescent="0.35">
      <c r="C29818" s="2"/>
    </row>
    <row r="29819" spans="3:3" x14ac:dyDescent="0.35">
      <c r="C29819" s="2"/>
    </row>
    <row r="29820" spans="3:3" x14ac:dyDescent="0.35">
      <c r="C29820" s="2"/>
    </row>
    <row r="29821" spans="3:3" x14ac:dyDescent="0.35">
      <c r="C29821" s="2"/>
    </row>
    <row r="29822" spans="3:3" x14ac:dyDescent="0.35">
      <c r="C29822" s="2"/>
    </row>
    <row r="29823" spans="3:3" x14ac:dyDescent="0.35">
      <c r="C29823" s="2"/>
    </row>
    <row r="29824" spans="3:3" x14ac:dyDescent="0.35">
      <c r="C29824" s="2"/>
    </row>
    <row r="29825" spans="3:3" x14ac:dyDescent="0.35">
      <c r="C29825" s="2"/>
    </row>
    <row r="29826" spans="3:3" x14ac:dyDescent="0.35">
      <c r="C29826" s="2"/>
    </row>
    <row r="29827" spans="3:3" x14ac:dyDescent="0.35">
      <c r="C29827" s="2"/>
    </row>
    <row r="29828" spans="3:3" x14ac:dyDescent="0.35">
      <c r="C29828" s="2"/>
    </row>
    <row r="29829" spans="3:3" x14ac:dyDescent="0.35">
      <c r="C29829" s="2"/>
    </row>
    <row r="29830" spans="3:3" x14ac:dyDescent="0.35">
      <c r="C29830" s="2"/>
    </row>
    <row r="29831" spans="3:3" x14ac:dyDescent="0.35">
      <c r="C29831" s="2"/>
    </row>
    <row r="29832" spans="3:3" x14ac:dyDescent="0.35">
      <c r="C29832" s="2"/>
    </row>
    <row r="29833" spans="3:3" x14ac:dyDescent="0.35">
      <c r="C29833" s="2"/>
    </row>
    <row r="29834" spans="3:3" x14ac:dyDescent="0.35">
      <c r="C29834" s="2"/>
    </row>
    <row r="29835" spans="3:3" x14ac:dyDescent="0.35">
      <c r="C29835" s="2"/>
    </row>
    <row r="29836" spans="3:3" x14ac:dyDescent="0.35">
      <c r="C29836" s="2"/>
    </row>
    <row r="29837" spans="3:3" x14ac:dyDescent="0.35">
      <c r="C29837" s="2"/>
    </row>
    <row r="29838" spans="3:3" x14ac:dyDescent="0.35">
      <c r="C29838" s="2"/>
    </row>
    <row r="29839" spans="3:3" x14ac:dyDescent="0.35">
      <c r="C29839" s="2"/>
    </row>
    <row r="29840" spans="3:3" x14ac:dyDescent="0.35">
      <c r="C29840" s="2"/>
    </row>
    <row r="29841" spans="3:3" x14ac:dyDescent="0.35">
      <c r="C29841" s="2"/>
    </row>
    <row r="29842" spans="3:3" x14ac:dyDescent="0.35">
      <c r="C29842" s="2"/>
    </row>
    <row r="29843" spans="3:3" x14ac:dyDescent="0.35">
      <c r="C29843" s="2"/>
    </row>
    <row r="29844" spans="3:3" x14ac:dyDescent="0.35">
      <c r="C29844" s="2"/>
    </row>
    <row r="29845" spans="3:3" x14ac:dyDescent="0.35">
      <c r="C29845" s="2"/>
    </row>
    <row r="29846" spans="3:3" x14ac:dyDescent="0.35">
      <c r="C29846" s="2"/>
    </row>
    <row r="29847" spans="3:3" x14ac:dyDescent="0.35">
      <c r="C29847" s="2"/>
    </row>
    <row r="29848" spans="3:3" x14ac:dyDescent="0.35">
      <c r="C29848" s="2"/>
    </row>
    <row r="29849" spans="3:3" x14ac:dyDescent="0.35">
      <c r="C29849" s="2"/>
    </row>
    <row r="29850" spans="3:3" x14ac:dyDescent="0.35">
      <c r="C29850" s="2"/>
    </row>
    <row r="29851" spans="3:3" x14ac:dyDescent="0.35">
      <c r="C29851" s="2"/>
    </row>
    <row r="29852" spans="3:3" x14ac:dyDescent="0.35">
      <c r="C29852" s="2"/>
    </row>
    <row r="29853" spans="3:3" x14ac:dyDescent="0.35">
      <c r="C29853" s="2"/>
    </row>
    <row r="29854" spans="3:3" x14ac:dyDescent="0.35">
      <c r="C29854" s="2"/>
    </row>
    <row r="29855" spans="3:3" x14ac:dyDescent="0.35">
      <c r="C29855" s="2"/>
    </row>
    <row r="29856" spans="3:3" x14ac:dyDescent="0.35">
      <c r="C29856" s="2"/>
    </row>
    <row r="29857" spans="3:3" x14ac:dyDescent="0.35">
      <c r="C29857" s="2"/>
    </row>
    <row r="29858" spans="3:3" x14ac:dyDescent="0.35">
      <c r="C29858" s="2"/>
    </row>
    <row r="29859" spans="3:3" x14ac:dyDescent="0.35">
      <c r="C29859" s="2"/>
    </row>
    <row r="29860" spans="3:3" x14ac:dyDescent="0.35">
      <c r="C29860" s="2"/>
    </row>
    <row r="29861" spans="3:3" x14ac:dyDescent="0.35">
      <c r="C29861" s="2"/>
    </row>
    <row r="29862" spans="3:3" x14ac:dyDescent="0.35">
      <c r="C29862" s="2"/>
    </row>
    <row r="29863" spans="3:3" x14ac:dyDescent="0.35">
      <c r="C29863" s="2"/>
    </row>
    <row r="29864" spans="3:3" x14ac:dyDescent="0.35">
      <c r="C29864" s="2"/>
    </row>
    <row r="29865" spans="3:3" x14ac:dyDescent="0.35">
      <c r="C29865" s="2"/>
    </row>
    <row r="29866" spans="3:3" x14ac:dyDescent="0.35">
      <c r="C29866" s="2"/>
    </row>
    <row r="29867" spans="3:3" x14ac:dyDescent="0.35">
      <c r="C29867" s="2"/>
    </row>
    <row r="29868" spans="3:3" x14ac:dyDescent="0.35">
      <c r="C29868" s="2"/>
    </row>
    <row r="29869" spans="3:3" x14ac:dyDescent="0.35">
      <c r="C29869" s="2"/>
    </row>
    <row r="29870" spans="3:3" x14ac:dyDescent="0.35">
      <c r="C29870" s="2"/>
    </row>
    <row r="29871" spans="3:3" x14ac:dyDescent="0.35">
      <c r="C29871" s="2"/>
    </row>
    <row r="29872" spans="3:3" x14ac:dyDescent="0.35">
      <c r="C29872" s="2"/>
    </row>
    <row r="29873" spans="3:3" x14ac:dyDescent="0.35">
      <c r="C29873" s="2"/>
    </row>
    <row r="29874" spans="3:3" x14ac:dyDescent="0.35">
      <c r="C29874" s="2"/>
    </row>
    <row r="29875" spans="3:3" x14ac:dyDescent="0.35">
      <c r="C29875" s="2"/>
    </row>
    <row r="29876" spans="3:3" x14ac:dyDescent="0.35">
      <c r="C29876" s="2"/>
    </row>
    <row r="29877" spans="3:3" x14ac:dyDescent="0.35">
      <c r="C29877" s="2"/>
    </row>
    <row r="29878" spans="3:3" x14ac:dyDescent="0.35">
      <c r="C29878" s="2"/>
    </row>
    <row r="29879" spans="3:3" x14ac:dyDescent="0.35">
      <c r="C29879" s="2"/>
    </row>
    <row r="29880" spans="3:3" x14ac:dyDescent="0.35">
      <c r="C29880" s="2"/>
    </row>
    <row r="29881" spans="3:3" x14ac:dyDescent="0.35">
      <c r="C29881" s="2"/>
    </row>
    <row r="29882" spans="3:3" x14ac:dyDescent="0.35">
      <c r="C29882" s="2"/>
    </row>
    <row r="29883" spans="3:3" x14ac:dyDescent="0.35">
      <c r="C29883" s="2"/>
    </row>
    <row r="29884" spans="3:3" x14ac:dyDescent="0.35">
      <c r="C29884" s="2"/>
    </row>
    <row r="29885" spans="3:3" x14ac:dyDescent="0.35">
      <c r="C29885" s="2"/>
    </row>
    <row r="29886" spans="3:3" x14ac:dyDescent="0.35">
      <c r="C29886" s="2"/>
    </row>
    <row r="29887" spans="3:3" x14ac:dyDescent="0.35">
      <c r="C29887" s="2"/>
    </row>
    <row r="29888" spans="3:3" x14ac:dyDescent="0.35">
      <c r="C29888" s="2"/>
    </row>
    <row r="29889" spans="3:3" x14ac:dyDescent="0.35">
      <c r="C29889" s="2"/>
    </row>
    <row r="29890" spans="3:3" x14ac:dyDescent="0.35">
      <c r="C29890" s="2"/>
    </row>
    <row r="29891" spans="3:3" x14ac:dyDescent="0.35">
      <c r="C29891" s="2"/>
    </row>
    <row r="29892" spans="3:3" x14ac:dyDescent="0.35">
      <c r="C29892" s="2"/>
    </row>
    <row r="29893" spans="3:3" x14ac:dyDescent="0.35">
      <c r="C29893" s="2"/>
    </row>
    <row r="29894" spans="3:3" x14ac:dyDescent="0.35">
      <c r="C29894" s="2"/>
    </row>
    <row r="29895" spans="3:3" x14ac:dyDescent="0.35">
      <c r="C29895" s="2"/>
    </row>
    <row r="29896" spans="3:3" x14ac:dyDescent="0.35">
      <c r="C29896" s="2"/>
    </row>
    <row r="29897" spans="3:3" x14ac:dyDescent="0.35">
      <c r="C29897" s="2"/>
    </row>
    <row r="29898" spans="3:3" x14ac:dyDescent="0.35">
      <c r="C29898" s="2"/>
    </row>
    <row r="29899" spans="3:3" x14ac:dyDescent="0.35">
      <c r="C29899" s="2"/>
    </row>
    <row r="29900" spans="3:3" x14ac:dyDescent="0.35">
      <c r="C29900" s="2"/>
    </row>
    <row r="29901" spans="3:3" x14ac:dyDescent="0.35">
      <c r="C29901" s="2"/>
    </row>
    <row r="29902" spans="3:3" x14ac:dyDescent="0.35">
      <c r="C29902" s="2"/>
    </row>
    <row r="29903" spans="3:3" x14ac:dyDescent="0.35">
      <c r="C29903" s="2"/>
    </row>
    <row r="29904" spans="3:3" x14ac:dyDescent="0.35">
      <c r="C29904" s="2"/>
    </row>
    <row r="29905" spans="3:3" x14ac:dyDescent="0.35">
      <c r="C29905" s="2"/>
    </row>
    <row r="29906" spans="3:3" x14ac:dyDescent="0.35">
      <c r="C29906" s="2"/>
    </row>
    <row r="29907" spans="3:3" x14ac:dyDescent="0.35">
      <c r="C29907" s="2"/>
    </row>
    <row r="29908" spans="3:3" x14ac:dyDescent="0.35">
      <c r="C29908" s="2"/>
    </row>
    <row r="29909" spans="3:3" x14ac:dyDescent="0.35">
      <c r="C29909" s="2"/>
    </row>
    <row r="29910" spans="3:3" x14ac:dyDescent="0.35">
      <c r="C29910" s="2"/>
    </row>
    <row r="29911" spans="3:3" x14ac:dyDescent="0.35">
      <c r="C29911" s="2"/>
    </row>
    <row r="29912" spans="3:3" x14ac:dyDescent="0.35">
      <c r="C29912" s="2"/>
    </row>
    <row r="29913" spans="3:3" x14ac:dyDescent="0.35">
      <c r="C29913" s="2"/>
    </row>
    <row r="29914" spans="3:3" x14ac:dyDescent="0.35">
      <c r="C29914" s="2"/>
    </row>
    <row r="29915" spans="3:3" x14ac:dyDescent="0.35">
      <c r="C29915" s="2"/>
    </row>
    <row r="29916" spans="3:3" x14ac:dyDescent="0.35">
      <c r="C29916" s="2"/>
    </row>
    <row r="29917" spans="3:3" x14ac:dyDescent="0.35">
      <c r="C29917" s="2"/>
    </row>
    <row r="29918" spans="3:3" x14ac:dyDescent="0.35">
      <c r="C29918" s="2"/>
    </row>
    <row r="29919" spans="3:3" x14ac:dyDescent="0.35">
      <c r="C29919" s="2"/>
    </row>
    <row r="29920" spans="3:3" x14ac:dyDescent="0.35">
      <c r="C29920" s="2"/>
    </row>
    <row r="29921" spans="3:3" x14ac:dyDescent="0.35">
      <c r="C29921" s="2"/>
    </row>
    <row r="29922" spans="3:3" x14ac:dyDescent="0.35">
      <c r="C29922" s="2"/>
    </row>
    <row r="29923" spans="3:3" x14ac:dyDescent="0.35">
      <c r="C29923" s="2"/>
    </row>
    <row r="29924" spans="3:3" x14ac:dyDescent="0.35">
      <c r="C29924" s="2"/>
    </row>
    <row r="29925" spans="3:3" x14ac:dyDescent="0.35">
      <c r="C29925" s="2"/>
    </row>
    <row r="29926" spans="3:3" x14ac:dyDescent="0.35">
      <c r="C29926" s="2"/>
    </row>
    <row r="29927" spans="3:3" x14ac:dyDescent="0.35">
      <c r="C29927" s="2"/>
    </row>
    <row r="29928" spans="3:3" x14ac:dyDescent="0.35">
      <c r="C29928" s="2"/>
    </row>
    <row r="29929" spans="3:3" x14ac:dyDescent="0.35">
      <c r="C29929" s="2"/>
    </row>
    <row r="29930" spans="3:3" x14ac:dyDescent="0.35">
      <c r="C29930" s="2"/>
    </row>
    <row r="29931" spans="3:3" x14ac:dyDescent="0.35">
      <c r="C29931" s="2"/>
    </row>
    <row r="29932" spans="3:3" x14ac:dyDescent="0.35">
      <c r="C29932" s="2"/>
    </row>
    <row r="29933" spans="3:3" x14ac:dyDescent="0.35">
      <c r="C29933" s="2"/>
    </row>
    <row r="29934" spans="3:3" x14ac:dyDescent="0.35">
      <c r="C29934" s="2"/>
    </row>
    <row r="29935" spans="3:3" x14ac:dyDescent="0.35">
      <c r="C29935" s="2"/>
    </row>
    <row r="29936" spans="3:3" x14ac:dyDescent="0.35">
      <c r="C29936" s="2"/>
    </row>
    <row r="29937" spans="3:3" x14ac:dyDescent="0.35">
      <c r="C29937" s="2"/>
    </row>
    <row r="29938" spans="3:3" x14ac:dyDescent="0.35">
      <c r="C29938" s="2"/>
    </row>
    <row r="29939" spans="3:3" x14ac:dyDescent="0.35">
      <c r="C29939" s="2"/>
    </row>
    <row r="29940" spans="3:3" x14ac:dyDescent="0.35">
      <c r="C29940" s="2"/>
    </row>
    <row r="29941" spans="3:3" x14ac:dyDescent="0.35">
      <c r="C29941" s="2"/>
    </row>
    <row r="29942" spans="3:3" x14ac:dyDescent="0.35">
      <c r="C29942" s="2"/>
    </row>
    <row r="29943" spans="3:3" x14ac:dyDescent="0.35">
      <c r="C29943" s="2"/>
    </row>
    <row r="29944" spans="3:3" x14ac:dyDescent="0.35">
      <c r="C29944" s="2"/>
    </row>
    <row r="29945" spans="3:3" x14ac:dyDescent="0.35">
      <c r="C29945" s="2"/>
    </row>
    <row r="29946" spans="3:3" x14ac:dyDescent="0.35">
      <c r="C29946" s="2"/>
    </row>
    <row r="29947" spans="3:3" x14ac:dyDescent="0.35">
      <c r="C29947" s="2"/>
    </row>
    <row r="29948" spans="3:3" x14ac:dyDescent="0.35">
      <c r="C29948" s="2"/>
    </row>
    <row r="29949" spans="3:3" x14ac:dyDescent="0.35">
      <c r="C29949" s="2"/>
    </row>
    <row r="29950" spans="3:3" x14ac:dyDescent="0.35">
      <c r="C29950" s="2"/>
    </row>
    <row r="29951" spans="3:3" x14ac:dyDescent="0.35">
      <c r="C29951" s="2"/>
    </row>
    <row r="29952" spans="3:3" x14ac:dyDescent="0.35">
      <c r="C29952" s="2"/>
    </row>
    <row r="29953" spans="3:3" x14ac:dyDescent="0.35">
      <c r="C29953" s="2"/>
    </row>
    <row r="29954" spans="3:3" x14ac:dyDescent="0.35">
      <c r="C29954" s="2"/>
    </row>
    <row r="29955" spans="3:3" x14ac:dyDescent="0.35">
      <c r="C29955" s="2"/>
    </row>
    <row r="29956" spans="3:3" x14ac:dyDescent="0.35">
      <c r="C29956" s="2"/>
    </row>
    <row r="29957" spans="3:3" x14ac:dyDescent="0.35">
      <c r="C29957" s="2"/>
    </row>
    <row r="29958" spans="3:3" x14ac:dyDescent="0.35">
      <c r="C29958" s="2"/>
    </row>
    <row r="29959" spans="3:3" x14ac:dyDescent="0.35">
      <c r="C29959" s="2"/>
    </row>
    <row r="29960" spans="3:3" x14ac:dyDescent="0.35">
      <c r="C29960" s="2"/>
    </row>
    <row r="29961" spans="3:3" x14ac:dyDescent="0.35">
      <c r="C29961" s="2"/>
    </row>
    <row r="29962" spans="3:3" x14ac:dyDescent="0.35">
      <c r="C29962" s="2"/>
    </row>
    <row r="29963" spans="3:3" x14ac:dyDescent="0.35">
      <c r="C29963" s="2"/>
    </row>
    <row r="29964" spans="3:3" x14ac:dyDescent="0.35">
      <c r="C29964" s="2"/>
    </row>
    <row r="29965" spans="3:3" x14ac:dyDescent="0.35">
      <c r="C29965" s="2"/>
    </row>
    <row r="29966" spans="3:3" x14ac:dyDescent="0.35">
      <c r="C29966" s="2"/>
    </row>
    <row r="29967" spans="3:3" x14ac:dyDescent="0.35">
      <c r="C29967" s="2"/>
    </row>
    <row r="29968" spans="3:3" x14ac:dyDescent="0.35">
      <c r="C29968" s="2"/>
    </row>
    <row r="29969" spans="3:3" x14ac:dyDescent="0.35">
      <c r="C29969" s="2"/>
    </row>
    <row r="29970" spans="3:3" x14ac:dyDescent="0.35">
      <c r="C29970" s="2"/>
    </row>
    <row r="29971" spans="3:3" x14ac:dyDescent="0.35">
      <c r="C29971" s="2"/>
    </row>
    <row r="29972" spans="3:3" x14ac:dyDescent="0.35">
      <c r="C29972" s="2"/>
    </row>
    <row r="29973" spans="3:3" x14ac:dyDescent="0.35">
      <c r="C29973" s="2"/>
    </row>
    <row r="29974" spans="3:3" x14ac:dyDescent="0.35">
      <c r="C29974" s="2"/>
    </row>
    <row r="29975" spans="3:3" x14ac:dyDescent="0.35">
      <c r="C29975" s="2"/>
    </row>
    <row r="29976" spans="3:3" x14ac:dyDescent="0.35">
      <c r="C29976" s="2"/>
    </row>
    <row r="29977" spans="3:3" x14ac:dyDescent="0.35">
      <c r="C29977" s="2"/>
    </row>
    <row r="29978" spans="3:3" x14ac:dyDescent="0.35">
      <c r="C29978" s="2"/>
    </row>
    <row r="29979" spans="3:3" x14ac:dyDescent="0.35">
      <c r="C29979" s="2"/>
    </row>
    <row r="29980" spans="3:3" x14ac:dyDescent="0.35">
      <c r="C29980" s="2"/>
    </row>
    <row r="29981" spans="3:3" x14ac:dyDescent="0.35">
      <c r="C29981" s="2"/>
    </row>
    <row r="29982" spans="3:3" x14ac:dyDescent="0.35">
      <c r="C29982" s="2"/>
    </row>
    <row r="29983" spans="3:3" x14ac:dyDescent="0.35">
      <c r="C29983" s="2"/>
    </row>
    <row r="29984" spans="3:3" x14ac:dyDescent="0.35">
      <c r="C29984" s="2"/>
    </row>
    <row r="29985" spans="3:3" x14ac:dyDescent="0.35">
      <c r="C29985" s="2"/>
    </row>
    <row r="29986" spans="3:3" x14ac:dyDescent="0.35">
      <c r="C29986" s="2"/>
    </row>
    <row r="29987" spans="3:3" x14ac:dyDescent="0.35">
      <c r="C29987" s="2"/>
    </row>
    <row r="29988" spans="3:3" x14ac:dyDescent="0.35">
      <c r="C29988" s="2"/>
    </row>
    <row r="29989" spans="3:3" x14ac:dyDescent="0.35">
      <c r="C29989" s="2"/>
    </row>
    <row r="29990" spans="3:3" x14ac:dyDescent="0.35">
      <c r="C29990" s="2"/>
    </row>
    <row r="29991" spans="3:3" x14ac:dyDescent="0.35">
      <c r="C29991" s="2"/>
    </row>
    <row r="29992" spans="3:3" x14ac:dyDescent="0.35">
      <c r="C29992" s="2"/>
    </row>
    <row r="29993" spans="3:3" x14ac:dyDescent="0.35">
      <c r="C29993" s="2"/>
    </row>
    <row r="29994" spans="3:3" x14ac:dyDescent="0.35">
      <c r="C29994" s="2"/>
    </row>
    <row r="29995" spans="3:3" x14ac:dyDescent="0.35">
      <c r="C29995" s="2"/>
    </row>
    <row r="29996" spans="3:3" x14ac:dyDescent="0.35">
      <c r="C29996" s="2"/>
    </row>
    <row r="29997" spans="3:3" x14ac:dyDescent="0.35">
      <c r="C29997" s="2"/>
    </row>
    <row r="29998" spans="3:3" x14ac:dyDescent="0.35">
      <c r="C29998" s="2"/>
    </row>
    <row r="29999" spans="3:3" x14ac:dyDescent="0.35">
      <c r="C29999" s="2"/>
    </row>
    <row r="30000" spans="3:3" x14ac:dyDescent="0.35">
      <c r="C30000" s="2"/>
    </row>
    <row r="30001" spans="3:3" x14ac:dyDescent="0.35">
      <c r="C30001" s="2"/>
    </row>
    <row r="30002" spans="3:3" x14ac:dyDescent="0.35">
      <c r="C30002" s="2"/>
    </row>
    <row r="30003" spans="3:3" x14ac:dyDescent="0.35">
      <c r="C30003" s="2"/>
    </row>
    <row r="30004" spans="3:3" x14ac:dyDescent="0.35">
      <c r="C30004" s="2"/>
    </row>
    <row r="30005" spans="3:3" x14ac:dyDescent="0.35">
      <c r="C30005" s="2"/>
    </row>
    <row r="30006" spans="3:3" x14ac:dyDescent="0.35">
      <c r="C30006" s="2"/>
    </row>
    <row r="30007" spans="3:3" x14ac:dyDescent="0.35">
      <c r="C30007" s="2"/>
    </row>
    <row r="30008" spans="3:3" x14ac:dyDescent="0.35">
      <c r="C30008" s="2"/>
    </row>
    <row r="30009" spans="3:3" x14ac:dyDescent="0.35">
      <c r="C30009" s="2"/>
    </row>
    <row r="30010" spans="3:3" x14ac:dyDescent="0.35">
      <c r="C30010" s="2"/>
    </row>
    <row r="30011" spans="3:3" x14ac:dyDescent="0.35">
      <c r="C30011" s="2"/>
    </row>
    <row r="30012" spans="3:3" x14ac:dyDescent="0.35">
      <c r="C30012" s="2"/>
    </row>
    <row r="30013" spans="3:3" x14ac:dyDescent="0.35">
      <c r="C30013" s="2"/>
    </row>
    <row r="30014" spans="3:3" x14ac:dyDescent="0.35">
      <c r="C30014" s="2"/>
    </row>
    <row r="30015" spans="3:3" x14ac:dyDescent="0.35">
      <c r="C30015" s="2"/>
    </row>
    <row r="30016" spans="3:3" x14ac:dyDescent="0.35">
      <c r="C30016" s="2"/>
    </row>
    <row r="30017" spans="3:3" x14ac:dyDescent="0.35">
      <c r="C30017" s="2"/>
    </row>
    <row r="30018" spans="3:3" x14ac:dyDescent="0.35">
      <c r="C30018" s="2"/>
    </row>
    <row r="30019" spans="3:3" x14ac:dyDescent="0.35">
      <c r="C30019" s="2"/>
    </row>
    <row r="30020" spans="3:3" x14ac:dyDescent="0.35">
      <c r="C30020" s="2"/>
    </row>
    <row r="30021" spans="3:3" x14ac:dyDescent="0.35">
      <c r="C30021" s="2"/>
    </row>
    <row r="30022" spans="3:3" x14ac:dyDescent="0.35">
      <c r="C30022" s="2"/>
    </row>
    <row r="30023" spans="3:3" x14ac:dyDescent="0.35">
      <c r="C30023" s="2"/>
    </row>
    <row r="30024" spans="3:3" x14ac:dyDescent="0.35">
      <c r="C30024" s="2"/>
    </row>
    <row r="30025" spans="3:3" x14ac:dyDescent="0.35">
      <c r="C30025" s="2"/>
    </row>
    <row r="30026" spans="3:3" x14ac:dyDescent="0.35">
      <c r="C30026" s="2"/>
    </row>
    <row r="30027" spans="3:3" x14ac:dyDescent="0.35">
      <c r="C30027" s="2"/>
    </row>
    <row r="30028" spans="3:3" x14ac:dyDescent="0.35">
      <c r="C30028" s="2"/>
    </row>
    <row r="30029" spans="3:3" x14ac:dyDescent="0.35">
      <c r="C30029" s="2"/>
    </row>
    <row r="30030" spans="3:3" x14ac:dyDescent="0.35">
      <c r="C30030" s="2"/>
    </row>
    <row r="30031" spans="3:3" x14ac:dyDescent="0.35">
      <c r="C30031" s="2"/>
    </row>
    <row r="30032" spans="3:3" x14ac:dyDescent="0.35">
      <c r="C30032" s="2"/>
    </row>
    <row r="30033" spans="3:3" x14ac:dyDescent="0.35">
      <c r="C30033" s="2"/>
    </row>
    <row r="30034" spans="3:3" x14ac:dyDescent="0.35">
      <c r="C30034" s="2"/>
    </row>
    <row r="30035" spans="3:3" x14ac:dyDescent="0.35">
      <c r="C30035" s="2"/>
    </row>
    <row r="30036" spans="3:3" x14ac:dyDescent="0.35">
      <c r="C30036" s="2"/>
    </row>
    <row r="30037" spans="3:3" x14ac:dyDescent="0.35">
      <c r="C30037" s="2"/>
    </row>
    <row r="30038" spans="3:3" x14ac:dyDescent="0.35">
      <c r="C30038" s="2"/>
    </row>
    <row r="30039" spans="3:3" x14ac:dyDescent="0.35">
      <c r="C30039" s="2"/>
    </row>
    <row r="30040" spans="3:3" x14ac:dyDescent="0.35">
      <c r="C30040" s="2"/>
    </row>
    <row r="30041" spans="3:3" x14ac:dyDescent="0.35">
      <c r="C30041" s="2"/>
    </row>
    <row r="30042" spans="3:3" x14ac:dyDescent="0.35">
      <c r="C30042" s="2"/>
    </row>
    <row r="30043" spans="3:3" x14ac:dyDescent="0.35">
      <c r="C30043" s="2"/>
    </row>
    <row r="30044" spans="3:3" x14ac:dyDescent="0.35">
      <c r="C30044" s="2"/>
    </row>
    <row r="30045" spans="3:3" x14ac:dyDescent="0.35">
      <c r="C30045" s="2"/>
    </row>
    <row r="30046" spans="3:3" x14ac:dyDescent="0.35">
      <c r="C30046" s="2"/>
    </row>
    <row r="30047" spans="3:3" x14ac:dyDescent="0.35">
      <c r="C30047" s="2"/>
    </row>
    <row r="30048" spans="3:3" x14ac:dyDescent="0.35">
      <c r="C30048" s="2"/>
    </row>
    <row r="30049" spans="3:3" x14ac:dyDescent="0.35">
      <c r="C30049" s="2"/>
    </row>
    <row r="30050" spans="3:3" x14ac:dyDescent="0.35">
      <c r="C30050" s="2"/>
    </row>
    <row r="30051" spans="3:3" x14ac:dyDescent="0.35">
      <c r="C30051" s="2"/>
    </row>
    <row r="30052" spans="3:3" x14ac:dyDescent="0.35">
      <c r="C30052" s="2"/>
    </row>
    <row r="30053" spans="3:3" x14ac:dyDescent="0.35">
      <c r="C30053" s="2"/>
    </row>
    <row r="30054" spans="3:3" x14ac:dyDescent="0.35">
      <c r="C30054" s="2"/>
    </row>
    <row r="30055" spans="3:3" x14ac:dyDescent="0.35">
      <c r="C30055" s="2"/>
    </row>
    <row r="30056" spans="3:3" x14ac:dyDescent="0.35">
      <c r="C30056" s="2"/>
    </row>
    <row r="30057" spans="3:3" x14ac:dyDescent="0.35">
      <c r="C30057" s="2"/>
    </row>
    <row r="30058" spans="3:3" x14ac:dyDescent="0.35">
      <c r="C30058" s="2"/>
    </row>
    <row r="30059" spans="3:3" x14ac:dyDescent="0.35">
      <c r="C30059" s="2"/>
    </row>
    <row r="30060" spans="3:3" x14ac:dyDescent="0.35">
      <c r="C30060" s="2"/>
    </row>
    <row r="30061" spans="3:3" x14ac:dyDescent="0.35">
      <c r="C30061" s="2"/>
    </row>
    <row r="30062" spans="3:3" x14ac:dyDescent="0.35">
      <c r="C30062" s="2"/>
    </row>
    <row r="30063" spans="3:3" x14ac:dyDescent="0.35">
      <c r="C30063" s="2"/>
    </row>
    <row r="30064" spans="3:3" x14ac:dyDescent="0.35">
      <c r="C30064" s="2"/>
    </row>
    <row r="30065" spans="3:3" x14ac:dyDescent="0.35">
      <c r="C30065" s="2"/>
    </row>
    <row r="30066" spans="3:3" x14ac:dyDescent="0.35">
      <c r="C30066" s="2"/>
    </row>
    <row r="30067" spans="3:3" x14ac:dyDescent="0.35">
      <c r="C30067" s="2"/>
    </row>
    <row r="30068" spans="3:3" x14ac:dyDescent="0.35">
      <c r="C30068" s="2"/>
    </row>
    <row r="30069" spans="3:3" x14ac:dyDescent="0.35">
      <c r="C30069" s="2"/>
    </row>
    <row r="30070" spans="3:3" x14ac:dyDescent="0.35">
      <c r="C30070" s="2"/>
    </row>
    <row r="30071" spans="3:3" x14ac:dyDescent="0.35">
      <c r="C30071" s="2"/>
    </row>
    <row r="30072" spans="3:3" x14ac:dyDescent="0.35">
      <c r="C30072" s="2"/>
    </row>
    <row r="30073" spans="3:3" x14ac:dyDescent="0.35">
      <c r="C30073" s="2"/>
    </row>
    <row r="30074" spans="3:3" x14ac:dyDescent="0.35">
      <c r="C30074" s="2"/>
    </row>
    <row r="30075" spans="3:3" x14ac:dyDescent="0.35">
      <c r="C30075" s="2"/>
    </row>
    <row r="30076" spans="3:3" x14ac:dyDescent="0.35">
      <c r="C30076" s="2"/>
    </row>
    <row r="30077" spans="3:3" x14ac:dyDescent="0.35">
      <c r="C30077" s="2"/>
    </row>
    <row r="30078" spans="3:3" x14ac:dyDescent="0.35">
      <c r="C30078" s="2"/>
    </row>
    <row r="30079" spans="3:3" x14ac:dyDescent="0.35">
      <c r="C30079" s="2"/>
    </row>
    <row r="30080" spans="3:3" x14ac:dyDescent="0.35">
      <c r="C30080" s="2"/>
    </row>
    <row r="30081" spans="3:3" x14ac:dyDescent="0.35">
      <c r="C30081" s="2"/>
    </row>
    <row r="30082" spans="3:3" x14ac:dyDescent="0.35">
      <c r="C30082" s="2"/>
    </row>
    <row r="30083" spans="3:3" x14ac:dyDescent="0.35">
      <c r="C30083" s="2"/>
    </row>
    <row r="30084" spans="3:3" x14ac:dyDescent="0.35">
      <c r="C30084" s="2"/>
    </row>
    <row r="30085" spans="3:3" x14ac:dyDescent="0.35">
      <c r="C30085" s="2"/>
    </row>
    <row r="30086" spans="3:3" x14ac:dyDescent="0.35">
      <c r="C30086" s="2"/>
    </row>
    <row r="30087" spans="3:3" x14ac:dyDescent="0.35">
      <c r="C30087" s="2"/>
    </row>
    <row r="30088" spans="3:3" x14ac:dyDescent="0.35">
      <c r="C30088" s="2"/>
    </row>
    <row r="30089" spans="3:3" x14ac:dyDescent="0.35">
      <c r="C30089" s="2"/>
    </row>
    <row r="30090" spans="3:3" x14ac:dyDescent="0.35">
      <c r="C30090" s="2"/>
    </row>
    <row r="30091" spans="3:3" x14ac:dyDescent="0.35">
      <c r="C30091" s="2"/>
    </row>
    <row r="30092" spans="3:3" x14ac:dyDescent="0.35">
      <c r="C30092" s="2"/>
    </row>
    <row r="30093" spans="3:3" x14ac:dyDescent="0.35">
      <c r="C30093" s="2"/>
    </row>
    <row r="30094" spans="3:3" x14ac:dyDescent="0.35">
      <c r="C30094" s="2"/>
    </row>
    <row r="30095" spans="3:3" x14ac:dyDescent="0.35">
      <c r="C30095" s="2"/>
    </row>
    <row r="30096" spans="3:3" x14ac:dyDescent="0.35">
      <c r="C30096" s="2"/>
    </row>
    <row r="30097" spans="3:3" x14ac:dyDescent="0.35">
      <c r="C30097" s="2"/>
    </row>
    <row r="30098" spans="3:3" x14ac:dyDescent="0.35">
      <c r="C30098" s="2"/>
    </row>
    <row r="30099" spans="3:3" x14ac:dyDescent="0.35">
      <c r="C30099" s="2"/>
    </row>
    <row r="30100" spans="3:3" x14ac:dyDescent="0.35">
      <c r="C30100" s="2"/>
    </row>
    <row r="30101" spans="3:3" x14ac:dyDescent="0.35">
      <c r="C30101" s="2"/>
    </row>
    <row r="30102" spans="3:3" x14ac:dyDescent="0.35">
      <c r="C30102" s="2"/>
    </row>
    <row r="30103" spans="3:3" x14ac:dyDescent="0.35">
      <c r="C30103" s="2"/>
    </row>
    <row r="30104" spans="3:3" x14ac:dyDescent="0.35">
      <c r="C30104" s="2"/>
    </row>
    <row r="30105" spans="3:3" x14ac:dyDescent="0.35">
      <c r="C30105" s="2"/>
    </row>
    <row r="30106" spans="3:3" x14ac:dyDescent="0.35">
      <c r="C30106" s="2"/>
    </row>
    <row r="30107" spans="3:3" x14ac:dyDescent="0.35">
      <c r="C30107" s="2"/>
    </row>
    <row r="30108" spans="3:3" x14ac:dyDescent="0.35">
      <c r="C30108" s="2"/>
    </row>
    <row r="30109" spans="3:3" x14ac:dyDescent="0.35">
      <c r="C30109" s="2"/>
    </row>
    <row r="30110" spans="3:3" x14ac:dyDescent="0.35">
      <c r="C30110" s="2"/>
    </row>
    <row r="30111" spans="3:3" x14ac:dyDescent="0.35">
      <c r="C30111" s="2"/>
    </row>
    <row r="30112" spans="3:3" x14ac:dyDescent="0.35">
      <c r="C30112" s="2"/>
    </row>
    <row r="30113" spans="3:3" x14ac:dyDescent="0.35">
      <c r="C30113" s="2"/>
    </row>
    <row r="30114" spans="3:3" x14ac:dyDescent="0.35">
      <c r="C30114" s="2"/>
    </row>
    <row r="30115" spans="3:3" x14ac:dyDescent="0.35">
      <c r="C30115" s="2"/>
    </row>
    <row r="30116" spans="3:3" x14ac:dyDescent="0.35">
      <c r="C30116" s="2"/>
    </row>
    <row r="30117" spans="3:3" x14ac:dyDescent="0.35">
      <c r="C30117" s="2"/>
    </row>
    <row r="30118" spans="3:3" x14ac:dyDescent="0.35">
      <c r="C30118" s="2"/>
    </row>
    <row r="30119" spans="3:3" x14ac:dyDescent="0.35">
      <c r="C30119" s="2"/>
    </row>
    <row r="30120" spans="3:3" x14ac:dyDescent="0.35">
      <c r="C30120" s="2"/>
    </row>
    <row r="30121" spans="3:3" x14ac:dyDescent="0.35">
      <c r="C30121" s="2"/>
    </row>
    <row r="30122" spans="3:3" x14ac:dyDescent="0.35">
      <c r="C30122" s="2"/>
    </row>
    <row r="30123" spans="3:3" x14ac:dyDescent="0.35">
      <c r="C30123" s="2"/>
    </row>
    <row r="30124" spans="3:3" x14ac:dyDescent="0.35">
      <c r="C30124" s="2"/>
    </row>
    <row r="30125" spans="3:3" x14ac:dyDescent="0.35">
      <c r="C30125" s="2"/>
    </row>
    <row r="30126" spans="3:3" x14ac:dyDescent="0.35">
      <c r="C30126" s="2"/>
    </row>
    <row r="30127" spans="3:3" x14ac:dyDescent="0.35">
      <c r="C30127" s="2"/>
    </row>
    <row r="30128" spans="3:3" x14ac:dyDescent="0.35">
      <c r="C30128" s="2"/>
    </row>
    <row r="30129" spans="3:3" x14ac:dyDescent="0.35">
      <c r="C30129" s="2"/>
    </row>
    <row r="30130" spans="3:3" x14ac:dyDescent="0.35">
      <c r="C30130" s="2"/>
    </row>
    <row r="30131" spans="3:3" x14ac:dyDescent="0.35">
      <c r="C30131" s="2"/>
    </row>
    <row r="30132" spans="3:3" x14ac:dyDescent="0.35">
      <c r="C30132" s="2"/>
    </row>
    <row r="30133" spans="3:3" x14ac:dyDescent="0.35">
      <c r="C30133" s="2"/>
    </row>
    <row r="30134" spans="3:3" x14ac:dyDescent="0.35">
      <c r="C30134" s="2"/>
    </row>
    <row r="30135" spans="3:3" x14ac:dyDescent="0.35">
      <c r="C30135" s="2"/>
    </row>
    <row r="30136" spans="3:3" x14ac:dyDescent="0.35">
      <c r="C30136" s="2"/>
    </row>
    <row r="30137" spans="3:3" x14ac:dyDescent="0.35">
      <c r="C30137" s="2"/>
    </row>
    <row r="30138" spans="3:3" x14ac:dyDescent="0.35">
      <c r="C30138" s="2"/>
    </row>
    <row r="30139" spans="3:3" x14ac:dyDescent="0.35">
      <c r="C30139" s="2"/>
    </row>
    <row r="30140" spans="3:3" x14ac:dyDescent="0.35">
      <c r="C30140" s="2"/>
    </row>
    <row r="30141" spans="3:3" x14ac:dyDescent="0.35">
      <c r="C30141" s="2"/>
    </row>
    <row r="30142" spans="3:3" x14ac:dyDescent="0.35">
      <c r="C30142" s="2"/>
    </row>
    <row r="30143" spans="3:3" x14ac:dyDescent="0.35">
      <c r="C30143" s="2"/>
    </row>
    <row r="30144" spans="3:3" x14ac:dyDescent="0.35">
      <c r="C30144" s="2"/>
    </row>
    <row r="30145" spans="3:3" x14ac:dyDescent="0.35">
      <c r="C30145" s="2"/>
    </row>
    <row r="30146" spans="3:3" x14ac:dyDescent="0.35">
      <c r="C30146" s="2"/>
    </row>
    <row r="30147" spans="3:3" x14ac:dyDescent="0.35">
      <c r="C30147" s="2"/>
    </row>
    <row r="30148" spans="3:3" x14ac:dyDescent="0.35">
      <c r="C30148" s="2"/>
    </row>
    <row r="30149" spans="3:3" x14ac:dyDescent="0.35">
      <c r="C30149" s="2"/>
    </row>
    <row r="30150" spans="3:3" x14ac:dyDescent="0.35">
      <c r="C30150" s="2"/>
    </row>
    <row r="30151" spans="3:3" x14ac:dyDescent="0.35">
      <c r="C30151" s="2"/>
    </row>
    <row r="30152" spans="3:3" x14ac:dyDescent="0.35">
      <c r="C30152" s="2"/>
    </row>
    <row r="30153" spans="3:3" x14ac:dyDescent="0.35">
      <c r="C30153" s="2"/>
    </row>
    <row r="30154" spans="3:3" x14ac:dyDescent="0.35">
      <c r="C30154" s="2"/>
    </row>
    <row r="30155" spans="3:3" x14ac:dyDescent="0.35">
      <c r="C30155" s="2"/>
    </row>
    <row r="30156" spans="3:3" x14ac:dyDescent="0.35">
      <c r="C30156" s="2"/>
    </row>
    <row r="30157" spans="3:3" x14ac:dyDescent="0.35">
      <c r="C30157" s="2"/>
    </row>
    <row r="30158" spans="3:3" x14ac:dyDescent="0.35">
      <c r="C30158" s="2"/>
    </row>
    <row r="30159" spans="3:3" x14ac:dyDescent="0.35">
      <c r="C30159" s="2"/>
    </row>
    <row r="30160" spans="3:3" x14ac:dyDescent="0.35">
      <c r="C30160" s="2"/>
    </row>
    <row r="30161" spans="3:3" x14ac:dyDescent="0.35">
      <c r="C30161" s="2"/>
    </row>
    <row r="30162" spans="3:3" x14ac:dyDescent="0.35">
      <c r="C30162" s="2"/>
    </row>
    <row r="30163" spans="3:3" x14ac:dyDescent="0.35">
      <c r="C30163" s="2"/>
    </row>
    <row r="30164" spans="3:3" x14ac:dyDescent="0.35">
      <c r="C30164" s="2"/>
    </row>
    <row r="30165" spans="3:3" x14ac:dyDescent="0.35">
      <c r="C30165" s="2"/>
    </row>
    <row r="30166" spans="3:3" x14ac:dyDescent="0.35">
      <c r="C30166" s="2"/>
    </row>
    <row r="30167" spans="3:3" x14ac:dyDescent="0.35">
      <c r="C30167" s="2"/>
    </row>
    <row r="30168" spans="3:3" x14ac:dyDescent="0.35">
      <c r="C30168" s="2"/>
    </row>
    <row r="30169" spans="3:3" x14ac:dyDescent="0.35">
      <c r="C30169" s="2"/>
    </row>
    <row r="30170" spans="3:3" x14ac:dyDescent="0.35">
      <c r="C30170" s="2"/>
    </row>
    <row r="30171" spans="3:3" x14ac:dyDescent="0.35">
      <c r="C30171" s="2"/>
    </row>
    <row r="30172" spans="3:3" x14ac:dyDescent="0.35">
      <c r="C30172" s="2"/>
    </row>
    <row r="30173" spans="3:3" x14ac:dyDescent="0.35">
      <c r="C30173" s="2"/>
    </row>
    <row r="30174" spans="3:3" x14ac:dyDescent="0.35">
      <c r="C30174" s="2"/>
    </row>
    <row r="30175" spans="3:3" x14ac:dyDescent="0.35">
      <c r="C30175" s="2"/>
    </row>
    <row r="30176" spans="3:3" x14ac:dyDescent="0.35">
      <c r="C30176" s="2"/>
    </row>
    <row r="30177" spans="3:3" x14ac:dyDescent="0.35">
      <c r="C30177" s="2"/>
    </row>
    <row r="30178" spans="3:3" x14ac:dyDescent="0.35">
      <c r="C30178" s="2"/>
    </row>
    <row r="30179" spans="3:3" x14ac:dyDescent="0.35">
      <c r="C30179" s="2"/>
    </row>
    <row r="30180" spans="3:3" x14ac:dyDescent="0.35">
      <c r="C30180" s="2"/>
    </row>
    <row r="30181" spans="3:3" x14ac:dyDescent="0.35">
      <c r="C30181" s="2"/>
    </row>
    <row r="30182" spans="3:3" x14ac:dyDescent="0.35">
      <c r="C30182" s="2"/>
    </row>
    <row r="30183" spans="3:3" x14ac:dyDescent="0.35">
      <c r="C30183" s="2"/>
    </row>
    <row r="30184" spans="3:3" x14ac:dyDescent="0.35">
      <c r="C30184" s="2"/>
    </row>
    <row r="30185" spans="3:3" x14ac:dyDescent="0.35">
      <c r="C30185" s="2"/>
    </row>
    <row r="30186" spans="3:3" x14ac:dyDescent="0.35">
      <c r="C30186" s="2"/>
    </row>
    <row r="30187" spans="3:3" x14ac:dyDescent="0.35">
      <c r="C30187" s="2"/>
    </row>
    <row r="30188" spans="3:3" x14ac:dyDescent="0.35">
      <c r="C30188" s="2"/>
    </row>
    <row r="30189" spans="3:3" x14ac:dyDescent="0.35">
      <c r="C30189" s="2"/>
    </row>
    <row r="30190" spans="3:3" x14ac:dyDescent="0.35">
      <c r="C30190" s="2"/>
    </row>
    <row r="30191" spans="3:3" x14ac:dyDescent="0.35">
      <c r="C30191" s="2"/>
    </row>
    <row r="30192" spans="3:3" x14ac:dyDescent="0.35">
      <c r="C30192" s="2"/>
    </row>
    <row r="30193" spans="3:3" x14ac:dyDescent="0.35">
      <c r="C30193" s="2"/>
    </row>
    <row r="30194" spans="3:3" x14ac:dyDescent="0.35">
      <c r="C30194" s="2"/>
    </row>
    <row r="30195" spans="3:3" x14ac:dyDescent="0.35">
      <c r="C30195" s="2"/>
    </row>
    <row r="30196" spans="3:3" x14ac:dyDescent="0.35">
      <c r="C30196" s="2"/>
    </row>
    <row r="30197" spans="3:3" x14ac:dyDescent="0.35">
      <c r="C30197" s="2"/>
    </row>
    <row r="30198" spans="3:3" x14ac:dyDescent="0.35">
      <c r="C30198" s="2"/>
    </row>
    <row r="30199" spans="3:3" x14ac:dyDescent="0.35">
      <c r="C30199" s="2"/>
    </row>
    <row r="30200" spans="3:3" x14ac:dyDescent="0.35">
      <c r="C30200" s="2"/>
    </row>
    <row r="30201" spans="3:3" x14ac:dyDescent="0.35">
      <c r="C30201" s="2"/>
    </row>
    <row r="30202" spans="3:3" x14ac:dyDescent="0.35">
      <c r="C30202" s="2"/>
    </row>
    <row r="30203" spans="3:3" x14ac:dyDescent="0.35">
      <c r="C30203" s="2"/>
    </row>
    <row r="30204" spans="3:3" x14ac:dyDescent="0.35">
      <c r="C30204" s="2"/>
    </row>
    <row r="30205" spans="3:3" x14ac:dyDescent="0.35">
      <c r="C30205" s="2"/>
    </row>
    <row r="30206" spans="3:3" x14ac:dyDescent="0.35">
      <c r="C30206" s="2"/>
    </row>
    <row r="30207" spans="3:3" x14ac:dyDescent="0.35">
      <c r="C30207" s="2"/>
    </row>
    <row r="30208" spans="3:3" x14ac:dyDescent="0.35">
      <c r="C30208" s="2"/>
    </row>
    <row r="30209" spans="3:3" x14ac:dyDescent="0.35">
      <c r="C30209" s="2"/>
    </row>
    <row r="30210" spans="3:3" x14ac:dyDescent="0.35">
      <c r="C30210" s="2"/>
    </row>
    <row r="30211" spans="3:3" x14ac:dyDescent="0.35">
      <c r="C30211" s="2"/>
    </row>
    <row r="30212" spans="3:3" x14ac:dyDescent="0.35">
      <c r="C30212" s="2"/>
    </row>
    <row r="30213" spans="3:3" x14ac:dyDescent="0.35">
      <c r="C30213" s="2"/>
    </row>
    <row r="30214" spans="3:3" x14ac:dyDescent="0.35">
      <c r="C30214" s="2"/>
    </row>
    <row r="30215" spans="3:3" x14ac:dyDescent="0.35">
      <c r="C30215" s="2"/>
    </row>
    <row r="30216" spans="3:3" x14ac:dyDescent="0.35">
      <c r="C30216" s="2"/>
    </row>
    <row r="30217" spans="3:3" x14ac:dyDescent="0.35">
      <c r="C30217" s="2"/>
    </row>
    <row r="30218" spans="3:3" x14ac:dyDescent="0.35">
      <c r="C30218" s="2"/>
    </row>
    <row r="30219" spans="3:3" x14ac:dyDescent="0.35">
      <c r="C30219" s="2"/>
    </row>
    <row r="30220" spans="3:3" x14ac:dyDescent="0.35">
      <c r="C30220" s="2"/>
    </row>
    <row r="30221" spans="3:3" x14ac:dyDescent="0.35">
      <c r="C30221" s="2"/>
    </row>
    <row r="30222" spans="3:3" x14ac:dyDescent="0.35">
      <c r="C30222" s="2"/>
    </row>
    <row r="30223" spans="3:3" x14ac:dyDescent="0.35">
      <c r="C30223" s="2"/>
    </row>
    <row r="30224" spans="3:3" x14ac:dyDescent="0.35">
      <c r="C30224" s="2"/>
    </row>
    <row r="30225" spans="3:3" x14ac:dyDescent="0.35">
      <c r="C30225" s="2"/>
    </row>
    <row r="30226" spans="3:3" x14ac:dyDescent="0.35">
      <c r="C30226" s="2"/>
    </row>
    <row r="30227" spans="3:3" x14ac:dyDescent="0.35">
      <c r="C30227" s="2"/>
    </row>
    <row r="30228" spans="3:3" x14ac:dyDescent="0.35">
      <c r="C30228" s="2"/>
    </row>
    <row r="30229" spans="3:3" x14ac:dyDescent="0.35">
      <c r="C30229" s="2"/>
    </row>
    <row r="30230" spans="3:3" x14ac:dyDescent="0.35">
      <c r="C30230" s="2"/>
    </row>
    <row r="30231" spans="3:3" x14ac:dyDescent="0.35">
      <c r="C30231" s="2"/>
    </row>
    <row r="30232" spans="3:3" x14ac:dyDescent="0.35">
      <c r="C30232" s="2"/>
    </row>
    <row r="30233" spans="3:3" x14ac:dyDescent="0.35">
      <c r="C30233" s="2"/>
    </row>
    <row r="30234" spans="3:3" x14ac:dyDescent="0.35">
      <c r="C30234" s="2"/>
    </row>
    <row r="30235" spans="3:3" x14ac:dyDescent="0.35">
      <c r="C30235" s="2"/>
    </row>
    <row r="30236" spans="3:3" x14ac:dyDescent="0.35">
      <c r="C30236" s="2"/>
    </row>
    <row r="30237" spans="3:3" x14ac:dyDescent="0.35">
      <c r="C30237" s="2"/>
    </row>
    <row r="30238" spans="3:3" x14ac:dyDescent="0.35">
      <c r="C30238" s="2"/>
    </row>
    <row r="30239" spans="3:3" x14ac:dyDescent="0.35">
      <c r="C30239" s="2"/>
    </row>
    <row r="30240" spans="3:3" x14ac:dyDescent="0.35">
      <c r="C30240" s="2"/>
    </row>
    <row r="30241" spans="3:3" x14ac:dyDescent="0.35">
      <c r="C30241" s="2"/>
    </row>
    <row r="30242" spans="3:3" x14ac:dyDescent="0.35">
      <c r="C30242" s="2"/>
    </row>
    <row r="30243" spans="3:3" x14ac:dyDescent="0.35">
      <c r="C30243" s="2"/>
    </row>
    <row r="30244" spans="3:3" x14ac:dyDescent="0.35">
      <c r="C30244" s="2"/>
    </row>
    <row r="30245" spans="3:3" x14ac:dyDescent="0.35">
      <c r="C30245" s="2"/>
    </row>
    <row r="30246" spans="3:3" x14ac:dyDescent="0.35">
      <c r="C30246" s="2"/>
    </row>
    <row r="30247" spans="3:3" x14ac:dyDescent="0.35">
      <c r="C30247" s="2"/>
    </row>
    <row r="30248" spans="3:3" x14ac:dyDescent="0.35">
      <c r="C30248" s="2"/>
    </row>
    <row r="30249" spans="3:3" x14ac:dyDescent="0.35">
      <c r="C30249" s="2"/>
    </row>
    <row r="30250" spans="3:3" x14ac:dyDescent="0.35">
      <c r="C30250" s="2"/>
    </row>
    <row r="30251" spans="3:3" x14ac:dyDescent="0.35">
      <c r="C30251" s="2"/>
    </row>
    <row r="30252" spans="3:3" x14ac:dyDescent="0.35">
      <c r="C30252" s="2"/>
    </row>
    <row r="30253" spans="3:3" x14ac:dyDescent="0.35">
      <c r="C30253" s="2"/>
    </row>
    <row r="30254" spans="3:3" x14ac:dyDescent="0.35">
      <c r="C30254" s="2"/>
    </row>
    <row r="30255" spans="3:3" x14ac:dyDescent="0.35">
      <c r="C30255" s="2"/>
    </row>
    <row r="30256" spans="3:3" x14ac:dyDescent="0.35">
      <c r="C30256" s="2"/>
    </row>
    <row r="30257" spans="3:3" x14ac:dyDescent="0.35">
      <c r="C30257" s="2"/>
    </row>
    <row r="30258" spans="3:3" x14ac:dyDescent="0.35">
      <c r="C30258" s="2"/>
    </row>
    <row r="30259" spans="3:3" x14ac:dyDescent="0.35">
      <c r="C30259" s="2"/>
    </row>
    <row r="30260" spans="3:3" x14ac:dyDescent="0.35">
      <c r="C30260" s="2"/>
    </row>
    <row r="30261" spans="3:3" x14ac:dyDescent="0.35">
      <c r="C30261" s="2"/>
    </row>
    <row r="30262" spans="3:3" x14ac:dyDescent="0.35">
      <c r="C30262" s="2"/>
    </row>
    <row r="30263" spans="3:3" x14ac:dyDescent="0.35">
      <c r="C30263" s="2"/>
    </row>
    <row r="30264" spans="3:3" x14ac:dyDescent="0.35">
      <c r="C30264" s="2"/>
    </row>
    <row r="30265" spans="3:3" x14ac:dyDescent="0.35">
      <c r="C30265" s="2"/>
    </row>
    <row r="30266" spans="3:3" x14ac:dyDescent="0.35">
      <c r="C30266" s="2"/>
    </row>
    <row r="30267" spans="3:3" x14ac:dyDescent="0.35">
      <c r="C30267" s="2"/>
    </row>
    <row r="30268" spans="3:3" x14ac:dyDescent="0.35">
      <c r="C30268" s="2"/>
    </row>
    <row r="30269" spans="3:3" x14ac:dyDescent="0.35">
      <c r="C30269" s="2"/>
    </row>
    <row r="30270" spans="3:3" x14ac:dyDescent="0.35">
      <c r="C30270" s="2"/>
    </row>
    <row r="30271" spans="3:3" x14ac:dyDescent="0.35">
      <c r="C30271" s="2"/>
    </row>
    <row r="30272" spans="3:3" x14ac:dyDescent="0.35">
      <c r="C30272" s="2"/>
    </row>
    <row r="30273" spans="3:3" x14ac:dyDescent="0.35">
      <c r="C30273" s="2"/>
    </row>
    <row r="30274" spans="3:3" x14ac:dyDescent="0.35">
      <c r="C30274" s="2"/>
    </row>
    <row r="30275" spans="3:3" x14ac:dyDescent="0.35">
      <c r="C30275" s="2"/>
    </row>
    <row r="30276" spans="3:3" x14ac:dyDescent="0.35">
      <c r="C30276" s="2"/>
    </row>
    <row r="30277" spans="3:3" x14ac:dyDescent="0.35">
      <c r="C30277" s="2"/>
    </row>
    <row r="30278" spans="3:3" x14ac:dyDescent="0.35">
      <c r="C30278" s="2"/>
    </row>
    <row r="30279" spans="3:3" x14ac:dyDescent="0.35">
      <c r="C30279" s="2"/>
    </row>
    <row r="30280" spans="3:3" x14ac:dyDescent="0.35">
      <c r="C30280" s="2"/>
    </row>
    <row r="30281" spans="3:3" x14ac:dyDescent="0.35">
      <c r="C30281" s="2"/>
    </row>
    <row r="30282" spans="3:3" x14ac:dyDescent="0.35">
      <c r="C30282" s="2"/>
    </row>
    <row r="30283" spans="3:3" x14ac:dyDescent="0.35">
      <c r="C30283" s="2"/>
    </row>
    <row r="30284" spans="3:3" x14ac:dyDescent="0.35">
      <c r="C30284" s="2"/>
    </row>
    <row r="30285" spans="3:3" x14ac:dyDescent="0.35">
      <c r="C30285" s="2"/>
    </row>
    <row r="30286" spans="3:3" x14ac:dyDescent="0.35">
      <c r="C30286" s="2"/>
    </row>
    <row r="30287" spans="3:3" x14ac:dyDescent="0.35">
      <c r="C30287" s="2"/>
    </row>
    <row r="30288" spans="3:3" x14ac:dyDescent="0.35">
      <c r="C30288" s="2"/>
    </row>
    <row r="30289" spans="3:3" x14ac:dyDescent="0.35">
      <c r="C30289" s="2"/>
    </row>
    <row r="30290" spans="3:3" x14ac:dyDescent="0.35">
      <c r="C30290" s="2"/>
    </row>
    <row r="30291" spans="3:3" x14ac:dyDescent="0.35">
      <c r="C30291" s="2"/>
    </row>
    <row r="30292" spans="3:3" x14ac:dyDescent="0.35">
      <c r="C30292" s="2"/>
    </row>
    <row r="30293" spans="3:3" x14ac:dyDescent="0.35">
      <c r="C30293" s="2"/>
    </row>
    <row r="30294" spans="3:3" x14ac:dyDescent="0.35">
      <c r="C30294" s="2"/>
    </row>
    <row r="30295" spans="3:3" x14ac:dyDescent="0.35">
      <c r="C30295" s="2"/>
    </row>
    <row r="30296" spans="3:3" x14ac:dyDescent="0.35">
      <c r="C30296" s="2"/>
    </row>
    <row r="30297" spans="3:3" x14ac:dyDescent="0.35">
      <c r="C30297" s="2"/>
    </row>
    <row r="30298" spans="3:3" x14ac:dyDescent="0.35">
      <c r="C30298" s="2"/>
    </row>
    <row r="30299" spans="3:3" x14ac:dyDescent="0.35">
      <c r="C30299" s="2"/>
    </row>
    <row r="30300" spans="3:3" x14ac:dyDescent="0.35">
      <c r="C30300" s="2"/>
    </row>
    <row r="30301" spans="3:3" x14ac:dyDescent="0.35">
      <c r="C30301" s="2"/>
    </row>
    <row r="30302" spans="3:3" x14ac:dyDescent="0.35">
      <c r="C30302" s="2"/>
    </row>
    <row r="30303" spans="3:3" x14ac:dyDescent="0.35">
      <c r="C30303" s="2"/>
    </row>
    <row r="30304" spans="3:3" x14ac:dyDescent="0.35">
      <c r="C30304" s="2"/>
    </row>
    <row r="30305" spans="3:3" x14ac:dyDescent="0.35">
      <c r="C30305" s="2"/>
    </row>
    <row r="30306" spans="3:3" x14ac:dyDescent="0.35">
      <c r="C30306" s="2"/>
    </row>
    <row r="30307" spans="3:3" x14ac:dyDescent="0.35">
      <c r="C30307" s="2"/>
    </row>
    <row r="30308" spans="3:3" x14ac:dyDescent="0.35">
      <c r="C30308" s="2"/>
    </row>
    <row r="30309" spans="3:3" x14ac:dyDescent="0.35">
      <c r="C30309" s="2"/>
    </row>
    <row r="30310" spans="3:3" x14ac:dyDescent="0.35">
      <c r="C30310" s="2"/>
    </row>
    <row r="30311" spans="3:3" x14ac:dyDescent="0.35">
      <c r="C30311" s="2"/>
    </row>
    <row r="30312" spans="3:3" x14ac:dyDescent="0.35">
      <c r="C30312" s="2"/>
    </row>
    <row r="30313" spans="3:3" x14ac:dyDescent="0.35">
      <c r="C30313" s="2"/>
    </row>
    <row r="30314" spans="3:3" x14ac:dyDescent="0.35">
      <c r="C30314" s="2"/>
    </row>
    <row r="30315" spans="3:3" x14ac:dyDescent="0.35">
      <c r="C30315" s="2"/>
    </row>
    <row r="30316" spans="3:3" x14ac:dyDescent="0.35">
      <c r="C30316" s="2"/>
    </row>
    <row r="30317" spans="3:3" x14ac:dyDescent="0.35">
      <c r="C30317" s="2"/>
    </row>
    <row r="30318" spans="3:3" x14ac:dyDescent="0.35">
      <c r="C30318" s="2"/>
    </row>
    <row r="30319" spans="3:3" x14ac:dyDescent="0.35">
      <c r="C30319" s="2"/>
    </row>
    <row r="30320" spans="3:3" x14ac:dyDescent="0.35">
      <c r="C30320" s="2"/>
    </row>
    <row r="30321" spans="3:3" x14ac:dyDescent="0.35">
      <c r="C30321" s="2"/>
    </row>
    <row r="30322" spans="3:3" x14ac:dyDescent="0.35">
      <c r="C30322" s="2"/>
    </row>
    <row r="30323" spans="3:3" x14ac:dyDescent="0.35">
      <c r="C30323" s="2"/>
    </row>
    <row r="30324" spans="3:3" x14ac:dyDescent="0.35">
      <c r="C30324" s="2"/>
    </row>
    <row r="30325" spans="3:3" x14ac:dyDescent="0.35">
      <c r="C30325" s="2"/>
    </row>
    <row r="30326" spans="3:3" x14ac:dyDescent="0.35">
      <c r="C30326" s="2"/>
    </row>
    <row r="30327" spans="3:3" x14ac:dyDescent="0.35">
      <c r="C30327" s="2"/>
    </row>
    <row r="30328" spans="3:3" x14ac:dyDescent="0.35">
      <c r="C30328" s="2"/>
    </row>
    <row r="30329" spans="3:3" x14ac:dyDescent="0.35">
      <c r="C30329" s="2"/>
    </row>
    <row r="30330" spans="3:3" x14ac:dyDescent="0.35">
      <c r="C30330" s="2"/>
    </row>
    <row r="30331" spans="3:3" x14ac:dyDescent="0.35">
      <c r="C30331" s="2"/>
    </row>
    <row r="30332" spans="3:3" x14ac:dyDescent="0.35">
      <c r="C30332" s="2"/>
    </row>
    <row r="30333" spans="3:3" x14ac:dyDescent="0.35">
      <c r="C30333" s="2"/>
    </row>
    <row r="30334" spans="3:3" x14ac:dyDescent="0.35">
      <c r="C30334" s="2"/>
    </row>
    <row r="30335" spans="3:3" x14ac:dyDescent="0.35">
      <c r="C30335" s="2"/>
    </row>
    <row r="30336" spans="3:3" x14ac:dyDescent="0.35">
      <c r="C30336" s="2"/>
    </row>
    <row r="30337" spans="3:3" x14ac:dyDescent="0.35">
      <c r="C30337" s="2"/>
    </row>
    <row r="30338" spans="3:3" x14ac:dyDescent="0.35">
      <c r="C30338" s="2"/>
    </row>
    <row r="30339" spans="3:3" x14ac:dyDescent="0.35">
      <c r="C30339" s="2"/>
    </row>
    <row r="30340" spans="3:3" x14ac:dyDescent="0.35">
      <c r="C30340" s="2"/>
    </row>
    <row r="30341" spans="3:3" x14ac:dyDescent="0.35">
      <c r="C30341" s="2"/>
    </row>
    <row r="30342" spans="3:3" x14ac:dyDescent="0.35">
      <c r="C30342" s="2"/>
    </row>
    <row r="30343" spans="3:3" x14ac:dyDescent="0.35">
      <c r="C30343" s="2"/>
    </row>
    <row r="30344" spans="3:3" x14ac:dyDescent="0.35">
      <c r="C30344" s="2"/>
    </row>
    <row r="30345" spans="3:3" x14ac:dyDescent="0.35">
      <c r="C30345" s="2"/>
    </row>
    <row r="30346" spans="3:3" x14ac:dyDescent="0.35">
      <c r="C30346" s="2"/>
    </row>
    <row r="30347" spans="3:3" x14ac:dyDescent="0.35">
      <c r="C30347" s="2"/>
    </row>
    <row r="30348" spans="3:3" x14ac:dyDescent="0.35">
      <c r="C30348" s="2"/>
    </row>
    <row r="30349" spans="3:3" x14ac:dyDescent="0.35">
      <c r="C30349" s="2"/>
    </row>
    <row r="30350" spans="3:3" x14ac:dyDescent="0.35">
      <c r="C30350" s="2"/>
    </row>
    <row r="30351" spans="3:3" x14ac:dyDescent="0.35">
      <c r="C30351" s="2"/>
    </row>
    <row r="30352" spans="3:3" x14ac:dyDescent="0.35">
      <c r="C30352" s="2"/>
    </row>
    <row r="30353" spans="3:3" x14ac:dyDescent="0.35">
      <c r="C30353" s="2"/>
    </row>
    <row r="30354" spans="3:3" x14ac:dyDescent="0.35">
      <c r="C30354" s="2"/>
    </row>
    <row r="30355" spans="3:3" x14ac:dyDescent="0.35">
      <c r="C30355" s="2"/>
    </row>
    <row r="30356" spans="3:3" x14ac:dyDescent="0.35">
      <c r="C30356" s="2"/>
    </row>
    <row r="30357" spans="3:3" x14ac:dyDescent="0.35">
      <c r="C30357" s="2"/>
    </row>
    <row r="30358" spans="3:3" x14ac:dyDescent="0.35">
      <c r="C30358" s="2"/>
    </row>
    <row r="30359" spans="3:3" x14ac:dyDescent="0.35">
      <c r="C30359" s="2"/>
    </row>
    <row r="30360" spans="3:3" x14ac:dyDescent="0.35">
      <c r="C30360" s="2"/>
    </row>
    <row r="30361" spans="3:3" x14ac:dyDescent="0.35">
      <c r="C30361" s="2"/>
    </row>
    <row r="30362" spans="3:3" x14ac:dyDescent="0.35">
      <c r="C30362" s="2"/>
    </row>
    <row r="30363" spans="3:3" x14ac:dyDescent="0.35">
      <c r="C30363" s="2"/>
    </row>
    <row r="30364" spans="3:3" x14ac:dyDescent="0.35">
      <c r="C30364" s="2"/>
    </row>
    <row r="30365" spans="3:3" x14ac:dyDescent="0.35">
      <c r="C30365" s="2"/>
    </row>
    <row r="30366" spans="3:3" x14ac:dyDescent="0.35">
      <c r="C30366" s="2"/>
    </row>
    <row r="30367" spans="3:3" x14ac:dyDescent="0.35">
      <c r="C30367" s="2"/>
    </row>
    <row r="30368" spans="3:3" x14ac:dyDescent="0.35">
      <c r="C30368" s="2"/>
    </row>
    <row r="30369" spans="3:3" x14ac:dyDescent="0.35">
      <c r="C30369" s="2"/>
    </row>
    <row r="30370" spans="3:3" x14ac:dyDescent="0.35">
      <c r="C30370" s="2"/>
    </row>
    <row r="30371" spans="3:3" x14ac:dyDescent="0.35">
      <c r="C30371" s="2"/>
    </row>
    <row r="30372" spans="3:3" x14ac:dyDescent="0.35">
      <c r="C30372" s="2"/>
    </row>
    <row r="30373" spans="3:3" x14ac:dyDescent="0.35">
      <c r="C30373" s="2"/>
    </row>
    <row r="30374" spans="3:3" x14ac:dyDescent="0.35">
      <c r="C30374" s="2"/>
    </row>
    <row r="30375" spans="3:3" x14ac:dyDescent="0.35">
      <c r="C30375" s="2"/>
    </row>
    <row r="30376" spans="3:3" x14ac:dyDescent="0.35">
      <c r="C30376" s="2"/>
    </row>
    <row r="30377" spans="3:3" x14ac:dyDescent="0.35">
      <c r="C30377" s="2"/>
    </row>
    <row r="30378" spans="3:3" x14ac:dyDescent="0.35">
      <c r="C30378" s="2"/>
    </row>
    <row r="30379" spans="3:3" x14ac:dyDescent="0.35">
      <c r="C30379" s="2"/>
    </row>
    <row r="30380" spans="3:3" x14ac:dyDescent="0.35">
      <c r="C30380" s="2"/>
    </row>
    <row r="30381" spans="3:3" x14ac:dyDescent="0.35">
      <c r="C30381" s="2"/>
    </row>
    <row r="30382" spans="3:3" x14ac:dyDescent="0.35">
      <c r="C30382" s="2"/>
    </row>
    <row r="30383" spans="3:3" x14ac:dyDescent="0.35">
      <c r="C30383" s="2"/>
    </row>
    <row r="30384" spans="3:3" x14ac:dyDescent="0.35">
      <c r="C30384" s="2"/>
    </row>
    <row r="30385" spans="3:3" x14ac:dyDescent="0.35">
      <c r="C30385" s="2"/>
    </row>
    <row r="30386" spans="3:3" x14ac:dyDescent="0.35">
      <c r="C30386" s="2"/>
    </row>
    <row r="30387" spans="3:3" x14ac:dyDescent="0.35">
      <c r="C30387" s="2"/>
    </row>
    <row r="30388" spans="3:3" x14ac:dyDescent="0.35">
      <c r="C30388" s="2"/>
    </row>
    <row r="30389" spans="3:3" x14ac:dyDescent="0.35">
      <c r="C30389" s="2"/>
    </row>
    <row r="30390" spans="3:3" x14ac:dyDescent="0.35">
      <c r="C30390" s="2"/>
    </row>
    <row r="30391" spans="3:3" x14ac:dyDescent="0.35">
      <c r="C30391" s="2"/>
    </row>
    <row r="30392" spans="3:3" x14ac:dyDescent="0.35">
      <c r="C30392" s="2"/>
    </row>
    <row r="30393" spans="3:3" x14ac:dyDescent="0.35">
      <c r="C30393" s="2"/>
    </row>
    <row r="30394" spans="3:3" x14ac:dyDescent="0.35">
      <c r="C30394" s="2"/>
    </row>
    <row r="30395" spans="3:3" x14ac:dyDescent="0.35">
      <c r="C30395" s="2"/>
    </row>
    <row r="30396" spans="3:3" x14ac:dyDescent="0.35">
      <c r="C30396" s="2"/>
    </row>
    <row r="30397" spans="3:3" x14ac:dyDescent="0.35">
      <c r="C30397" s="2"/>
    </row>
    <row r="30398" spans="3:3" x14ac:dyDescent="0.35">
      <c r="C30398" s="2"/>
    </row>
    <row r="30399" spans="3:3" x14ac:dyDescent="0.35">
      <c r="C30399" s="2"/>
    </row>
    <row r="30400" spans="3:3" x14ac:dyDescent="0.35">
      <c r="C30400" s="2"/>
    </row>
    <row r="30401" spans="3:3" x14ac:dyDescent="0.35">
      <c r="C30401" s="2"/>
    </row>
    <row r="30402" spans="3:3" x14ac:dyDescent="0.35">
      <c r="C30402" s="2"/>
    </row>
    <row r="30403" spans="3:3" x14ac:dyDescent="0.35">
      <c r="C30403" s="2"/>
    </row>
    <row r="30404" spans="3:3" x14ac:dyDescent="0.35">
      <c r="C30404" s="2"/>
    </row>
    <row r="30405" spans="3:3" x14ac:dyDescent="0.35">
      <c r="C30405" s="2"/>
    </row>
    <row r="30406" spans="3:3" x14ac:dyDescent="0.35">
      <c r="C30406" s="2"/>
    </row>
    <row r="30407" spans="3:3" x14ac:dyDescent="0.35">
      <c r="C30407" s="2"/>
    </row>
    <row r="30408" spans="3:3" x14ac:dyDescent="0.35">
      <c r="C30408" s="2"/>
    </row>
    <row r="30409" spans="3:3" x14ac:dyDescent="0.35">
      <c r="C30409" s="2"/>
    </row>
    <row r="30410" spans="3:3" x14ac:dyDescent="0.35">
      <c r="C30410" s="2"/>
    </row>
    <row r="30411" spans="3:3" x14ac:dyDescent="0.35">
      <c r="C30411" s="2"/>
    </row>
    <row r="30412" spans="3:3" x14ac:dyDescent="0.35">
      <c r="C30412" s="2"/>
    </row>
    <row r="30413" spans="3:3" x14ac:dyDescent="0.35">
      <c r="C30413" s="2"/>
    </row>
    <row r="30414" spans="3:3" x14ac:dyDescent="0.35">
      <c r="C30414" s="2"/>
    </row>
    <row r="30415" spans="3:3" x14ac:dyDescent="0.35">
      <c r="C30415" s="2"/>
    </row>
    <row r="30416" spans="3:3" x14ac:dyDescent="0.35">
      <c r="C30416" s="2"/>
    </row>
    <row r="30417" spans="3:3" x14ac:dyDescent="0.35">
      <c r="C30417" s="2"/>
    </row>
    <row r="30418" spans="3:3" x14ac:dyDescent="0.35">
      <c r="C30418" s="2"/>
    </row>
    <row r="30419" spans="3:3" x14ac:dyDescent="0.35">
      <c r="C30419" s="2"/>
    </row>
    <row r="30420" spans="3:3" x14ac:dyDescent="0.35">
      <c r="C30420" s="2"/>
    </row>
    <row r="30421" spans="3:3" x14ac:dyDescent="0.35">
      <c r="C30421" s="2"/>
    </row>
    <row r="30422" spans="3:3" x14ac:dyDescent="0.35">
      <c r="C30422" s="2"/>
    </row>
    <row r="30423" spans="3:3" x14ac:dyDescent="0.35">
      <c r="C30423" s="2"/>
    </row>
    <row r="30424" spans="3:3" x14ac:dyDescent="0.35">
      <c r="C30424" s="2"/>
    </row>
    <row r="30425" spans="3:3" x14ac:dyDescent="0.35">
      <c r="C30425" s="2"/>
    </row>
    <row r="30426" spans="3:3" x14ac:dyDescent="0.35">
      <c r="C30426" s="2"/>
    </row>
    <row r="30427" spans="3:3" x14ac:dyDescent="0.35">
      <c r="C30427" s="2"/>
    </row>
    <row r="30428" spans="3:3" x14ac:dyDescent="0.35">
      <c r="C30428" s="2"/>
    </row>
    <row r="30429" spans="3:3" x14ac:dyDescent="0.35">
      <c r="C30429" s="2"/>
    </row>
    <row r="30430" spans="3:3" x14ac:dyDescent="0.35">
      <c r="C30430" s="2"/>
    </row>
    <row r="30431" spans="3:3" x14ac:dyDescent="0.35">
      <c r="C30431" s="2"/>
    </row>
    <row r="30432" spans="3:3" x14ac:dyDescent="0.35">
      <c r="C30432" s="2"/>
    </row>
    <row r="30433" spans="3:3" x14ac:dyDescent="0.35">
      <c r="C30433" s="2"/>
    </row>
    <row r="30434" spans="3:3" x14ac:dyDescent="0.35">
      <c r="C30434" s="2"/>
    </row>
    <row r="30435" spans="3:3" x14ac:dyDescent="0.35">
      <c r="C30435" s="2"/>
    </row>
    <row r="30436" spans="3:3" x14ac:dyDescent="0.35">
      <c r="C30436" s="2"/>
    </row>
    <row r="30437" spans="3:3" x14ac:dyDescent="0.35">
      <c r="C30437" s="2"/>
    </row>
    <row r="30438" spans="3:3" x14ac:dyDescent="0.35">
      <c r="C30438" s="2"/>
    </row>
    <row r="30439" spans="3:3" x14ac:dyDescent="0.35">
      <c r="C30439" s="2"/>
    </row>
    <row r="30440" spans="3:3" x14ac:dyDescent="0.35">
      <c r="C30440" s="2"/>
    </row>
    <row r="30441" spans="3:3" x14ac:dyDescent="0.35">
      <c r="C30441" s="2"/>
    </row>
    <row r="30442" spans="3:3" x14ac:dyDescent="0.35">
      <c r="C30442" s="2"/>
    </row>
    <row r="30443" spans="3:3" x14ac:dyDescent="0.35">
      <c r="C30443" s="2"/>
    </row>
    <row r="30444" spans="3:3" x14ac:dyDescent="0.35">
      <c r="C30444" s="2"/>
    </row>
    <row r="30445" spans="3:3" x14ac:dyDescent="0.35">
      <c r="C30445" s="2"/>
    </row>
    <row r="30446" spans="3:3" x14ac:dyDescent="0.35">
      <c r="C30446" s="2"/>
    </row>
    <row r="30447" spans="3:3" x14ac:dyDescent="0.35">
      <c r="C30447" s="2"/>
    </row>
    <row r="30448" spans="3:3" x14ac:dyDescent="0.35">
      <c r="C30448" s="2"/>
    </row>
    <row r="30449" spans="3:3" x14ac:dyDescent="0.35">
      <c r="C30449" s="2"/>
    </row>
    <row r="30450" spans="3:3" x14ac:dyDescent="0.35">
      <c r="C30450" s="2"/>
    </row>
    <row r="30451" spans="3:3" x14ac:dyDescent="0.35">
      <c r="C30451" s="2"/>
    </row>
    <row r="30452" spans="3:3" x14ac:dyDescent="0.35">
      <c r="C30452" s="2"/>
    </row>
    <row r="30453" spans="3:3" x14ac:dyDescent="0.35">
      <c r="C30453" s="2"/>
    </row>
    <row r="30454" spans="3:3" x14ac:dyDescent="0.35">
      <c r="C30454" s="2"/>
    </row>
    <row r="30455" spans="3:3" x14ac:dyDescent="0.35">
      <c r="C30455" s="2"/>
    </row>
    <row r="30456" spans="3:3" x14ac:dyDescent="0.35">
      <c r="C30456" s="2"/>
    </row>
    <row r="30457" spans="3:3" x14ac:dyDescent="0.35">
      <c r="C30457" s="2"/>
    </row>
    <row r="30458" spans="3:3" x14ac:dyDescent="0.35">
      <c r="C30458" s="2"/>
    </row>
    <row r="30459" spans="3:3" x14ac:dyDescent="0.35">
      <c r="C30459" s="2"/>
    </row>
    <row r="30460" spans="3:3" x14ac:dyDescent="0.35">
      <c r="C30460" s="2"/>
    </row>
    <row r="30461" spans="3:3" x14ac:dyDescent="0.35">
      <c r="C30461" s="2"/>
    </row>
    <row r="30462" spans="3:3" x14ac:dyDescent="0.35">
      <c r="C30462" s="2"/>
    </row>
    <row r="30463" spans="3:3" x14ac:dyDescent="0.35">
      <c r="C30463" s="2"/>
    </row>
    <row r="30464" spans="3:3" x14ac:dyDescent="0.35">
      <c r="C30464" s="2"/>
    </row>
    <row r="30465" spans="3:3" x14ac:dyDescent="0.35">
      <c r="C30465" s="2"/>
    </row>
    <row r="30466" spans="3:3" x14ac:dyDescent="0.35">
      <c r="C30466" s="2"/>
    </row>
    <row r="30467" spans="3:3" x14ac:dyDescent="0.35">
      <c r="C30467" s="2"/>
    </row>
    <row r="30468" spans="3:3" x14ac:dyDescent="0.35">
      <c r="C30468" s="2"/>
    </row>
    <row r="30469" spans="3:3" x14ac:dyDescent="0.35">
      <c r="C30469" s="2"/>
    </row>
    <row r="30470" spans="3:3" x14ac:dyDescent="0.35">
      <c r="C30470" s="2"/>
    </row>
    <row r="30471" spans="3:3" x14ac:dyDescent="0.35">
      <c r="C30471" s="2"/>
    </row>
    <row r="30472" spans="3:3" x14ac:dyDescent="0.35">
      <c r="C30472" s="2"/>
    </row>
    <row r="30473" spans="3:3" x14ac:dyDescent="0.35">
      <c r="C30473" s="2"/>
    </row>
    <row r="30474" spans="3:3" x14ac:dyDescent="0.35">
      <c r="C30474" s="2"/>
    </row>
    <row r="30475" spans="3:3" x14ac:dyDescent="0.35">
      <c r="C30475" s="2"/>
    </row>
    <row r="30476" spans="3:3" x14ac:dyDescent="0.35">
      <c r="C30476" s="2"/>
    </row>
    <row r="30477" spans="3:3" x14ac:dyDescent="0.35">
      <c r="C30477" s="2"/>
    </row>
    <row r="30478" spans="3:3" x14ac:dyDescent="0.35">
      <c r="C30478" s="2"/>
    </row>
    <row r="30479" spans="3:3" x14ac:dyDescent="0.35">
      <c r="C30479" s="2"/>
    </row>
    <row r="30480" spans="3:3" x14ac:dyDescent="0.35">
      <c r="C30480" s="2"/>
    </row>
    <row r="30481" spans="3:3" x14ac:dyDescent="0.35">
      <c r="C30481" s="2"/>
    </row>
    <row r="30482" spans="3:3" x14ac:dyDescent="0.35">
      <c r="C30482" s="2"/>
    </row>
    <row r="30483" spans="3:3" x14ac:dyDescent="0.35">
      <c r="C30483" s="2"/>
    </row>
    <row r="30484" spans="3:3" x14ac:dyDescent="0.35">
      <c r="C30484" s="2"/>
    </row>
    <row r="30485" spans="3:3" x14ac:dyDescent="0.35">
      <c r="C30485" s="2"/>
    </row>
    <row r="30486" spans="3:3" x14ac:dyDescent="0.35">
      <c r="C30486" s="2"/>
    </row>
    <row r="30487" spans="3:3" x14ac:dyDescent="0.35">
      <c r="C30487" s="2"/>
    </row>
    <row r="30488" spans="3:3" x14ac:dyDescent="0.35">
      <c r="C30488" s="2"/>
    </row>
    <row r="30489" spans="3:3" x14ac:dyDescent="0.35">
      <c r="C30489" s="2"/>
    </row>
    <row r="30490" spans="3:3" x14ac:dyDescent="0.35">
      <c r="C30490" s="2"/>
    </row>
    <row r="30491" spans="3:3" x14ac:dyDescent="0.35">
      <c r="C30491" s="2"/>
    </row>
    <row r="30492" spans="3:3" x14ac:dyDescent="0.35">
      <c r="C30492" s="2"/>
    </row>
    <row r="30493" spans="3:3" x14ac:dyDescent="0.35">
      <c r="C30493" s="2"/>
    </row>
    <row r="30494" spans="3:3" x14ac:dyDescent="0.35">
      <c r="C30494" s="2"/>
    </row>
    <row r="30495" spans="3:3" x14ac:dyDescent="0.35">
      <c r="C30495" s="2"/>
    </row>
    <row r="30496" spans="3:3" x14ac:dyDescent="0.35">
      <c r="C30496" s="2"/>
    </row>
    <row r="30497" spans="3:3" x14ac:dyDescent="0.35">
      <c r="C30497" s="2"/>
    </row>
    <row r="30498" spans="3:3" x14ac:dyDescent="0.35">
      <c r="C30498" s="2"/>
    </row>
    <row r="30499" spans="3:3" x14ac:dyDescent="0.35">
      <c r="C30499" s="2"/>
    </row>
    <row r="30500" spans="3:3" x14ac:dyDescent="0.35">
      <c r="C30500" s="2"/>
    </row>
    <row r="30501" spans="3:3" x14ac:dyDescent="0.35">
      <c r="C30501" s="2"/>
    </row>
    <row r="30502" spans="3:3" x14ac:dyDescent="0.35">
      <c r="C30502" s="2"/>
    </row>
    <row r="30503" spans="3:3" x14ac:dyDescent="0.35">
      <c r="C30503" s="2"/>
    </row>
    <row r="30504" spans="3:3" x14ac:dyDescent="0.35">
      <c r="C30504" s="2"/>
    </row>
    <row r="30505" spans="3:3" x14ac:dyDescent="0.35">
      <c r="C30505" s="2"/>
    </row>
    <row r="30506" spans="3:3" x14ac:dyDescent="0.35">
      <c r="C30506" s="2"/>
    </row>
    <row r="30507" spans="3:3" x14ac:dyDescent="0.35">
      <c r="C30507" s="2"/>
    </row>
    <row r="30508" spans="3:3" x14ac:dyDescent="0.35">
      <c r="C30508" s="2"/>
    </row>
    <row r="30509" spans="3:3" x14ac:dyDescent="0.35">
      <c r="C30509" s="2"/>
    </row>
    <row r="30510" spans="3:3" x14ac:dyDescent="0.35">
      <c r="C30510" s="2"/>
    </row>
    <row r="30511" spans="3:3" x14ac:dyDescent="0.35">
      <c r="C30511" s="2"/>
    </row>
    <row r="30512" spans="3:3" x14ac:dyDescent="0.35">
      <c r="C30512" s="2"/>
    </row>
    <row r="30513" spans="3:3" x14ac:dyDescent="0.35">
      <c r="C30513" s="2"/>
    </row>
    <row r="30514" spans="3:3" x14ac:dyDescent="0.35">
      <c r="C30514" s="2"/>
    </row>
    <row r="30515" spans="3:3" x14ac:dyDescent="0.35">
      <c r="C30515" s="2"/>
    </row>
    <row r="30516" spans="3:3" x14ac:dyDescent="0.35">
      <c r="C30516" s="2"/>
    </row>
    <row r="30517" spans="3:3" x14ac:dyDescent="0.35">
      <c r="C30517" s="2"/>
    </row>
    <row r="30518" spans="3:3" x14ac:dyDescent="0.35">
      <c r="C30518" s="2"/>
    </row>
    <row r="30519" spans="3:3" x14ac:dyDescent="0.35">
      <c r="C30519" s="2"/>
    </row>
    <row r="30520" spans="3:3" x14ac:dyDescent="0.35">
      <c r="C30520" s="2"/>
    </row>
    <row r="30521" spans="3:3" x14ac:dyDescent="0.35">
      <c r="C30521" s="2"/>
    </row>
    <row r="30522" spans="3:3" x14ac:dyDescent="0.35">
      <c r="C30522" s="2"/>
    </row>
    <row r="30523" spans="3:3" x14ac:dyDescent="0.35">
      <c r="C30523" s="2"/>
    </row>
    <row r="30524" spans="3:3" x14ac:dyDescent="0.35">
      <c r="C30524" s="2"/>
    </row>
    <row r="30525" spans="3:3" x14ac:dyDescent="0.35">
      <c r="C30525" s="2"/>
    </row>
    <row r="30526" spans="3:3" x14ac:dyDescent="0.35">
      <c r="C30526" s="2"/>
    </row>
    <row r="30527" spans="3:3" x14ac:dyDescent="0.35">
      <c r="C30527" s="2"/>
    </row>
    <row r="30528" spans="3:3" x14ac:dyDescent="0.35">
      <c r="C30528" s="2"/>
    </row>
    <row r="30529" spans="3:3" x14ac:dyDescent="0.35">
      <c r="C30529" s="2"/>
    </row>
    <row r="30530" spans="3:3" x14ac:dyDescent="0.35">
      <c r="C30530" s="2"/>
    </row>
    <row r="30531" spans="3:3" x14ac:dyDescent="0.35">
      <c r="C30531" s="2"/>
    </row>
    <row r="30532" spans="3:3" x14ac:dyDescent="0.35">
      <c r="C30532" s="2"/>
    </row>
    <row r="30533" spans="3:3" x14ac:dyDescent="0.35">
      <c r="C30533" s="2"/>
    </row>
    <row r="30534" spans="3:3" x14ac:dyDescent="0.35">
      <c r="C30534" s="2"/>
    </row>
    <row r="30535" spans="3:3" x14ac:dyDescent="0.35">
      <c r="C30535" s="2"/>
    </row>
    <row r="30536" spans="3:3" x14ac:dyDescent="0.35">
      <c r="C30536" s="2"/>
    </row>
    <row r="30537" spans="3:3" x14ac:dyDescent="0.35">
      <c r="C30537" s="2"/>
    </row>
    <row r="30538" spans="3:3" x14ac:dyDescent="0.35">
      <c r="C30538" s="2"/>
    </row>
    <row r="30539" spans="3:3" x14ac:dyDescent="0.35">
      <c r="C30539" s="2"/>
    </row>
    <row r="30540" spans="3:3" x14ac:dyDescent="0.35">
      <c r="C30540" s="2"/>
    </row>
    <row r="30541" spans="3:3" x14ac:dyDescent="0.35">
      <c r="C30541" s="2"/>
    </row>
    <row r="30542" spans="3:3" x14ac:dyDescent="0.35">
      <c r="C30542" s="2"/>
    </row>
    <row r="30543" spans="3:3" x14ac:dyDescent="0.35">
      <c r="C30543" s="2"/>
    </row>
    <row r="30544" spans="3:3" x14ac:dyDescent="0.35">
      <c r="C30544" s="2"/>
    </row>
    <row r="30545" spans="3:3" x14ac:dyDescent="0.35">
      <c r="C30545" s="2"/>
    </row>
    <row r="30546" spans="3:3" x14ac:dyDescent="0.35">
      <c r="C30546" s="2"/>
    </row>
    <row r="30547" spans="3:3" x14ac:dyDescent="0.35">
      <c r="C30547" s="2"/>
    </row>
    <row r="30548" spans="3:3" x14ac:dyDescent="0.35">
      <c r="C30548" s="2"/>
    </row>
    <row r="30549" spans="3:3" x14ac:dyDescent="0.35">
      <c r="C30549" s="2"/>
    </row>
    <row r="30550" spans="3:3" x14ac:dyDescent="0.35">
      <c r="C30550" s="2"/>
    </row>
    <row r="30551" spans="3:3" x14ac:dyDescent="0.35">
      <c r="C30551" s="2"/>
    </row>
    <row r="30552" spans="3:3" x14ac:dyDescent="0.35">
      <c r="C30552" s="2"/>
    </row>
    <row r="30553" spans="3:3" x14ac:dyDescent="0.35">
      <c r="C30553" s="2"/>
    </row>
    <row r="30554" spans="3:3" x14ac:dyDescent="0.35">
      <c r="C30554" s="2"/>
    </row>
    <row r="30555" spans="3:3" x14ac:dyDescent="0.35">
      <c r="C30555" s="2"/>
    </row>
    <row r="30556" spans="3:3" x14ac:dyDescent="0.35">
      <c r="C30556" s="2"/>
    </row>
    <row r="30557" spans="3:3" x14ac:dyDescent="0.35">
      <c r="C30557" s="2"/>
    </row>
    <row r="30558" spans="3:3" x14ac:dyDescent="0.35">
      <c r="C30558" s="2"/>
    </row>
    <row r="30559" spans="3:3" x14ac:dyDescent="0.35">
      <c r="C30559" s="2"/>
    </row>
    <row r="30560" spans="3:3" x14ac:dyDescent="0.35">
      <c r="C30560" s="2"/>
    </row>
    <row r="30561" spans="3:3" x14ac:dyDescent="0.35">
      <c r="C30561" s="2"/>
    </row>
    <row r="30562" spans="3:3" x14ac:dyDescent="0.35">
      <c r="C30562" s="2"/>
    </row>
    <row r="30563" spans="3:3" x14ac:dyDescent="0.35">
      <c r="C30563" s="2"/>
    </row>
    <row r="30564" spans="3:3" x14ac:dyDescent="0.35">
      <c r="C30564" s="2"/>
    </row>
    <row r="30565" spans="3:3" x14ac:dyDescent="0.35">
      <c r="C30565" s="2"/>
    </row>
    <row r="30566" spans="3:3" x14ac:dyDescent="0.35">
      <c r="C30566" s="2"/>
    </row>
    <row r="30567" spans="3:3" x14ac:dyDescent="0.35">
      <c r="C30567" s="2"/>
    </row>
    <row r="30568" spans="3:3" x14ac:dyDescent="0.35">
      <c r="C30568" s="2"/>
    </row>
    <row r="30569" spans="3:3" x14ac:dyDescent="0.35">
      <c r="C30569" s="2"/>
    </row>
    <row r="30570" spans="3:3" x14ac:dyDescent="0.35">
      <c r="C30570" s="2"/>
    </row>
    <row r="30571" spans="3:3" x14ac:dyDescent="0.35">
      <c r="C30571" s="2"/>
    </row>
    <row r="30572" spans="3:3" x14ac:dyDescent="0.35">
      <c r="C30572" s="2"/>
    </row>
    <row r="30573" spans="3:3" x14ac:dyDescent="0.35">
      <c r="C30573" s="2"/>
    </row>
    <row r="30574" spans="3:3" x14ac:dyDescent="0.35">
      <c r="C30574" s="2"/>
    </row>
    <row r="30575" spans="3:3" x14ac:dyDescent="0.35">
      <c r="C30575" s="2"/>
    </row>
    <row r="30576" spans="3:3" x14ac:dyDescent="0.35">
      <c r="C30576" s="2"/>
    </row>
    <row r="30577" spans="3:3" x14ac:dyDescent="0.35">
      <c r="C30577" s="2"/>
    </row>
    <row r="30578" spans="3:3" x14ac:dyDescent="0.35">
      <c r="C30578" s="2"/>
    </row>
    <row r="30579" spans="3:3" x14ac:dyDescent="0.35">
      <c r="C30579" s="2"/>
    </row>
    <row r="30580" spans="3:3" x14ac:dyDescent="0.35">
      <c r="C30580" s="2"/>
    </row>
    <row r="30581" spans="3:3" x14ac:dyDescent="0.35">
      <c r="C30581" s="2"/>
    </row>
    <row r="30582" spans="3:3" x14ac:dyDescent="0.35">
      <c r="C30582" s="2"/>
    </row>
    <row r="30583" spans="3:3" x14ac:dyDescent="0.35">
      <c r="C30583" s="2"/>
    </row>
    <row r="30584" spans="3:3" x14ac:dyDescent="0.35">
      <c r="C30584" s="2"/>
    </row>
    <row r="30585" spans="3:3" x14ac:dyDescent="0.35">
      <c r="C30585" s="2"/>
    </row>
    <row r="30586" spans="3:3" x14ac:dyDescent="0.35">
      <c r="C30586" s="2"/>
    </row>
    <row r="30587" spans="3:3" x14ac:dyDescent="0.35">
      <c r="C30587" s="2"/>
    </row>
    <row r="30588" spans="3:3" x14ac:dyDescent="0.35">
      <c r="C30588" s="2"/>
    </row>
    <row r="30589" spans="3:3" x14ac:dyDescent="0.35">
      <c r="C30589" s="2"/>
    </row>
    <row r="30590" spans="3:3" x14ac:dyDescent="0.35">
      <c r="C30590" s="2"/>
    </row>
    <row r="30591" spans="3:3" x14ac:dyDescent="0.35">
      <c r="C30591" s="2"/>
    </row>
    <row r="30592" spans="3:3" x14ac:dyDescent="0.35">
      <c r="C30592" s="2"/>
    </row>
    <row r="30593" spans="3:3" x14ac:dyDescent="0.35">
      <c r="C30593" s="2"/>
    </row>
    <row r="30594" spans="3:3" x14ac:dyDescent="0.35">
      <c r="C30594" s="2"/>
    </row>
    <row r="30595" spans="3:3" x14ac:dyDescent="0.35">
      <c r="C30595" s="2"/>
    </row>
    <row r="30596" spans="3:3" x14ac:dyDescent="0.35">
      <c r="C30596" s="2"/>
    </row>
    <row r="30597" spans="3:3" x14ac:dyDescent="0.35">
      <c r="C30597" s="2"/>
    </row>
    <row r="30598" spans="3:3" x14ac:dyDescent="0.35">
      <c r="C30598" s="2"/>
    </row>
    <row r="30599" spans="3:3" x14ac:dyDescent="0.35">
      <c r="C30599" s="2"/>
    </row>
    <row r="30600" spans="3:3" x14ac:dyDescent="0.35">
      <c r="C30600" s="2"/>
    </row>
    <row r="30601" spans="3:3" x14ac:dyDescent="0.35">
      <c r="C30601" s="2"/>
    </row>
    <row r="30602" spans="3:3" x14ac:dyDescent="0.35">
      <c r="C30602" s="2"/>
    </row>
    <row r="30603" spans="3:3" x14ac:dyDescent="0.35">
      <c r="C30603" s="2"/>
    </row>
    <row r="30604" spans="3:3" x14ac:dyDescent="0.35">
      <c r="C30604" s="2"/>
    </row>
    <row r="30605" spans="3:3" x14ac:dyDescent="0.35">
      <c r="C30605" s="2"/>
    </row>
    <row r="30606" spans="3:3" x14ac:dyDescent="0.35">
      <c r="C30606" s="2"/>
    </row>
    <row r="30607" spans="3:3" x14ac:dyDescent="0.35">
      <c r="C30607" s="2"/>
    </row>
    <row r="30608" spans="3:3" x14ac:dyDescent="0.35">
      <c r="C30608" s="2"/>
    </row>
    <row r="30609" spans="3:3" x14ac:dyDescent="0.35">
      <c r="C30609" s="2"/>
    </row>
    <row r="30610" spans="3:3" x14ac:dyDescent="0.35">
      <c r="C30610" s="2"/>
    </row>
    <row r="30611" spans="3:3" x14ac:dyDescent="0.35">
      <c r="C30611" s="2"/>
    </row>
    <row r="30612" spans="3:3" x14ac:dyDescent="0.35">
      <c r="C30612" s="2"/>
    </row>
    <row r="30613" spans="3:3" x14ac:dyDescent="0.35">
      <c r="C30613" s="2"/>
    </row>
    <row r="30614" spans="3:3" x14ac:dyDescent="0.35">
      <c r="C30614" s="2"/>
    </row>
    <row r="30615" spans="3:3" x14ac:dyDescent="0.35">
      <c r="C30615" s="2"/>
    </row>
    <row r="30616" spans="3:3" x14ac:dyDescent="0.35">
      <c r="C30616" s="2"/>
    </row>
    <row r="30617" spans="3:3" x14ac:dyDescent="0.35">
      <c r="C30617" s="2"/>
    </row>
    <row r="30618" spans="3:3" x14ac:dyDescent="0.35">
      <c r="C30618" s="2"/>
    </row>
    <row r="30619" spans="3:3" x14ac:dyDescent="0.35">
      <c r="C30619" s="2"/>
    </row>
    <row r="30620" spans="3:3" x14ac:dyDescent="0.35">
      <c r="C30620" s="2"/>
    </row>
    <row r="30621" spans="3:3" x14ac:dyDescent="0.35">
      <c r="C30621" s="2"/>
    </row>
    <row r="30622" spans="3:3" x14ac:dyDescent="0.35">
      <c r="C30622" s="2"/>
    </row>
    <row r="30623" spans="3:3" x14ac:dyDescent="0.35">
      <c r="C30623" s="2"/>
    </row>
    <row r="30624" spans="3:3" x14ac:dyDescent="0.35">
      <c r="C30624" s="2"/>
    </row>
    <row r="30625" spans="3:3" x14ac:dyDescent="0.35">
      <c r="C30625" s="2"/>
    </row>
    <row r="30626" spans="3:3" x14ac:dyDescent="0.35">
      <c r="C30626" s="2"/>
    </row>
    <row r="30627" spans="3:3" x14ac:dyDescent="0.35">
      <c r="C30627" s="2"/>
    </row>
    <row r="30628" spans="3:3" x14ac:dyDescent="0.35">
      <c r="C30628" s="2"/>
    </row>
    <row r="30629" spans="3:3" x14ac:dyDescent="0.35">
      <c r="C30629" s="2"/>
    </row>
    <row r="30630" spans="3:3" x14ac:dyDescent="0.35">
      <c r="C30630" s="2"/>
    </row>
    <row r="30631" spans="3:3" x14ac:dyDescent="0.35">
      <c r="C30631" s="2"/>
    </row>
    <row r="30632" spans="3:3" x14ac:dyDescent="0.35">
      <c r="C30632" s="2"/>
    </row>
    <row r="30633" spans="3:3" x14ac:dyDescent="0.35">
      <c r="C30633" s="2"/>
    </row>
    <row r="30634" spans="3:3" x14ac:dyDescent="0.35">
      <c r="C30634" s="2"/>
    </row>
    <row r="30635" spans="3:3" x14ac:dyDescent="0.35">
      <c r="C30635" s="2"/>
    </row>
    <row r="30636" spans="3:3" x14ac:dyDescent="0.35">
      <c r="C30636" s="2"/>
    </row>
    <row r="30637" spans="3:3" x14ac:dyDescent="0.35">
      <c r="C30637" s="2"/>
    </row>
    <row r="30638" spans="3:3" x14ac:dyDescent="0.35">
      <c r="C30638" s="2"/>
    </row>
    <row r="30639" spans="3:3" x14ac:dyDescent="0.35">
      <c r="C30639" s="2"/>
    </row>
    <row r="30640" spans="3:3" x14ac:dyDescent="0.35">
      <c r="C30640" s="2"/>
    </row>
    <row r="30641" spans="3:3" x14ac:dyDescent="0.35">
      <c r="C30641" s="2"/>
    </row>
    <row r="30642" spans="3:3" x14ac:dyDescent="0.35">
      <c r="C30642" s="2"/>
    </row>
    <row r="30643" spans="3:3" x14ac:dyDescent="0.35">
      <c r="C30643" s="2"/>
    </row>
    <row r="30644" spans="3:3" x14ac:dyDescent="0.35">
      <c r="C30644" s="2"/>
    </row>
    <row r="30645" spans="3:3" x14ac:dyDescent="0.35">
      <c r="C30645" s="2"/>
    </row>
    <row r="30646" spans="3:3" x14ac:dyDescent="0.35">
      <c r="C30646" s="2"/>
    </row>
    <row r="30647" spans="3:3" x14ac:dyDescent="0.35">
      <c r="C30647" s="2"/>
    </row>
    <row r="30648" spans="3:3" x14ac:dyDescent="0.35">
      <c r="C30648" s="2"/>
    </row>
    <row r="30649" spans="3:3" x14ac:dyDescent="0.35">
      <c r="C30649" s="2"/>
    </row>
    <row r="30650" spans="3:3" x14ac:dyDescent="0.35">
      <c r="C30650" s="2"/>
    </row>
    <row r="30651" spans="3:3" x14ac:dyDescent="0.35">
      <c r="C30651" s="2"/>
    </row>
    <row r="30652" spans="3:3" x14ac:dyDescent="0.35">
      <c r="C30652" s="2"/>
    </row>
    <row r="30653" spans="3:3" x14ac:dyDescent="0.35">
      <c r="C30653" s="2"/>
    </row>
    <row r="30654" spans="3:3" x14ac:dyDescent="0.35">
      <c r="C30654" s="2"/>
    </row>
    <row r="30655" spans="3:3" x14ac:dyDescent="0.35">
      <c r="C30655" s="2"/>
    </row>
    <row r="30656" spans="3:3" x14ac:dyDescent="0.35">
      <c r="C30656" s="2"/>
    </row>
    <row r="30657" spans="3:3" x14ac:dyDescent="0.35">
      <c r="C30657" s="2"/>
    </row>
    <row r="30658" spans="3:3" x14ac:dyDescent="0.35">
      <c r="C30658" s="2"/>
    </row>
    <row r="30659" spans="3:3" x14ac:dyDescent="0.35">
      <c r="C30659" s="2"/>
    </row>
    <row r="30660" spans="3:3" x14ac:dyDescent="0.35">
      <c r="C30660" s="2"/>
    </row>
    <row r="30661" spans="3:3" x14ac:dyDescent="0.35">
      <c r="C30661" s="2"/>
    </row>
    <row r="30662" spans="3:3" x14ac:dyDescent="0.35">
      <c r="C30662" s="2"/>
    </row>
    <row r="30663" spans="3:3" x14ac:dyDescent="0.35">
      <c r="C30663" s="2"/>
    </row>
    <row r="30664" spans="3:3" x14ac:dyDescent="0.35">
      <c r="C30664" s="2"/>
    </row>
    <row r="30665" spans="3:3" x14ac:dyDescent="0.35">
      <c r="C30665" s="2"/>
    </row>
    <row r="30666" spans="3:3" x14ac:dyDescent="0.35">
      <c r="C30666" s="2"/>
    </row>
    <row r="30667" spans="3:3" x14ac:dyDescent="0.35">
      <c r="C30667" s="2"/>
    </row>
    <row r="30668" spans="3:3" x14ac:dyDescent="0.35">
      <c r="C30668" s="2"/>
    </row>
    <row r="30669" spans="3:3" x14ac:dyDescent="0.35">
      <c r="C30669" s="2"/>
    </row>
    <row r="30670" spans="3:3" x14ac:dyDescent="0.35">
      <c r="C30670" s="2"/>
    </row>
    <row r="30671" spans="3:3" x14ac:dyDescent="0.35">
      <c r="C30671" s="2"/>
    </row>
    <row r="30672" spans="3:3" x14ac:dyDescent="0.35">
      <c r="C30672" s="2"/>
    </row>
    <row r="30673" spans="3:3" x14ac:dyDescent="0.35">
      <c r="C30673" s="2"/>
    </row>
    <row r="30674" spans="3:3" x14ac:dyDescent="0.35">
      <c r="C30674" s="2"/>
    </row>
    <row r="30675" spans="3:3" x14ac:dyDescent="0.35">
      <c r="C30675" s="2"/>
    </row>
    <row r="30676" spans="3:3" x14ac:dyDescent="0.35">
      <c r="C30676" s="2"/>
    </row>
    <row r="30677" spans="3:3" x14ac:dyDescent="0.35">
      <c r="C30677" s="2"/>
    </row>
    <row r="30678" spans="3:3" x14ac:dyDescent="0.35">
      <c r="C30678" s="2"/>
    </row>
    <row r="30679" spans="3:3" x14ac:dyDescent="0.35">
      <c r="C30679" s="2"/>
    </row>
    <row r="30680" spans="3:3" x14ac:dyDescent="0.35">
      <c r="C30680" s="2"/>
    </row>
    <row r="30681" spans="3:3" x14ac:dyDescent="0.35">
      <c r="C30681" s="2"/>
    </row>
    <row r="30682" spans="3:3" x14ac:dyDescent="0.35">
      <c r="C30682" s="2"/>
    </row>
    <row r="30683" spans="3:3" x14ac:dyDescent="0.35">
      <c r="C30683" s="2"/>
    </row>
    <row r="30684" spans="3:3" x14ac:dyDescent="0.35">
      <c r="C30684" s="2"/>
    </row>
    <row r="30685" spans="3:3" x14ac:dyDescent="0.35">
      <c r="C30685" s="2"/>
    </row>
    <row r="30686" spans="3:3" x14ac:dyDescent="0.35">
      <c r="C30686" s="2"/>
    </row>
    <row r="30687" spans="3:3" x14ac:dyDescent="0.35">
      <c r="C30687" s="2"/>
    </row>
    <row r="30688" spans="3:3" x14ac:dyDescent="0.35">
      <c r="C30688" s="2"/>
    </row>
    <row r="30689" spans="3:3" x14ac:dyDescent="0.35">
      <c r="C30689" s="2"/>
    </row>
    <row r="30690" spans="3:3" x14ac:dyDescent="0.35">
      <c r="C30690" s="2"/>
    </row>
    <row r="30691" spans="3:3" x14ac:dyDescent="0.35">
      <c r="C30691" s="2"/>
    </row>
    <row r="30692" spans="3:3" x14ac:dyDescent="0.35">
      <c r="C30692" s="2"/>
    </row>
    <row r="30693" spans="3:3" x14ac:dyDescent="0.35">
      <c r="C30693" s="2"/>
    </row>
    <row r="30694" spans="3:3" x14ac:dyDescent="0.35">
      <c r="C30694" s="2"/>
    </row>
    <row r="30695" spans="3:3" x14ac:dyDescent="0.35">
      <c r="C30695" s="2"/>
    </row>
    <row r="30696" spans="3:3" x14ac:dyDescent="0.35">
      <c r="C30696" s="2"/>
    </row>
    <row r="30697" spans="3:3" x14ac:dyDescent="0.35">
      <c r="C30697" s="2"/>
    </row>
    <row r="30698" spans="3:3" x14ac:dyDescent="0.35">
      <c r="C30698" s="2"/>
    </row>
    <row r="30699" spans="3:3" x14ac:dyDescent="0.35">
      <c r="C30699" s="2"/>
    </row>
    <row r="30700" spans="3:3" x14ac:dyDescent="0.35">
      <c r="C30700" s="2"/>
    </row>
    <row r="30701" spans="3:3" x14ac:dyDescent="0.35">
      <c r="C30701" s="2"/>
    </row>
    <row r="30702" spans="3:3" x14ac:dyDescent="0.35">
      <c r="C30702" s="2"/>
    </row>
    <row r="30703" spans="3:3" x14ac:dyDescent="0.35">
      <c r="C30703" s="2"/>
    </row>
    <row r="30704" spans="3:3" x14ac:dyDescent="0.35">
      <c r="C30704" s="2"/>
    </row>
    <row r="30705" spans="3:3" x14ac:dyDescent="0.35">
      <c r="C30705" s="2"/>
    </row>
    <row r="30706" spans="3:3" x14ac:dyDescent="0.35">
      <c r="C30706" s="2"/>
    </row>
    <row r="30707" spans="3:3" x14ac:dyDescent="0.35">
      <c r="C30707" s="2"/>
    </row>
    <row r="30708" spans="3:3" x14ac:dyDescent="0.35">
      <c r="C30708" s="2"/>
    </row>
    <row r="30709" spans="3:3" x14ac:dyDescent="0.35">
      <c r="C30709" s="2"/>
    </row>
    <row r="30710" spans="3:3" x14ac:dyDescent="0.35">
      <c r="C30710" s="2"/>
    </row>
    <row r="30711" spans="3:3" x14ac:dyDescent="0.35">
      <c r="C30711" s="2"/>
    </row>
    <row r="30712" spans="3:3" x14ac:dyDescent="0.35">
      <c r="C30712" s="2"/>
    </row>
    <row r="30713" spans="3:3" x14ac:dyDescent="0.35">
      <c r="C30713" s="2"/>
    </row>
    <row r="30714" spans="3:3" x14ac:dyDescent="0.35">
      <c r="C30714" s="2"/>
    </row>
    <row r="30715" spans="3:3" x14ac:dyDescent="0.35">
      <c r="C30715" s="2"/>
    </row>
    <row r="30716" spans="3:3" x14ac:dyDescent="0.35">
      <c r="C30716" s="2"/>
    </row>
    <row r="30717" spans="3:3" x14ac:dyDescent="0.35">
      <c r="C30717" s="2"/>
    </row>
    <row r="30718" spans="3:3" x14ac:dyDescent="0.35">
      <c r="C30718" s="2"/>
    </row>
    <row r="30719" spans="3:3" x14ac:dyDescent="0.35">
      <c r="C30719" s="2"/>
    </row>
    <row r="30720" spans="3:3" x14ac:dyDescent="0.35">
      <c r="C30720" s="2"/>
    </row>
    <row r="30721" spans="3:3" x14ac:dyDescent="0.35">
      <c r="C30721" s="2"/>
    </row>
    <row r="30722" spans="3:3" x14ac:dyDescent="0.35">
      <c r="C30722" s="2"/>
    </row>
    <row r="30723" spans="3:3" x14ac:dyDescent="0.35">
      <c r="C30723" s="2"/>
    </row>
    <row r="30724" spans="3:3" x14ac:dyDescent="0.35">
      <c r="C30724" s="2"/>
    </row>
    <row r="30725" spans="3:3" x14ac:dyDescent="0.35">
      <c r="C30725" s="2"/>
    </row>
    <row r="30726" spans="3:3" x14ac:dyDescent="0.35">
      <c r="C30726" s="2"/>
    </row>
    <row r="30727" spans="3:3" x14ac:dyDescent="0.35">
      <c r="C30727" s="2"/>
    </row>
    <row r="30728" spans="3:3" x14ac:dyDescent="0.35">
      <c r="C30728" s="2"/>
    </row>
    <row r="30729" spans="3:3" x14ac:dyDescent="0.35">
      <c r="C30729" s="2"/>
    </row>
    <row r="30730" spans="3:3" x14ac:dyDescent="0.35">
      <c r="C30730" s="2"/>
    </row>
    <row r="30731" spans="3:3" x14ac:dyDescent="0.35">
      <c r="C30731" s="2"/>
    </row>
    <row r="30732" spans="3:3" x14ac:dyDescent="0.35">
      <c r="C30732" s="2"/>
    </row>
    <row r="30733" spans="3:3" x14ac:dyDescent="0.35">
      <c r="C30733" s="2"/>
    </row>
    <row r="30734" spans="3:3" x14ac:dyDescent="0.35">
      <c r="C30734" s="2"/>
    </row>
    <row r="30735" spans="3:3" x14ac:dyDescent="0.35">
      <c r="C30735" s="2"/>
    </row>
    <row r="30736" spans="3:3" x14ac:dyDescent="0.35">
      <c r="C30736" s="2"/>
    </row>
    <row r="30737" spans="3:3" x14ac:dyDescent="0.35">
      <c r="C30737" s="2"/>
    </row>
    <row r="30738" spans="3:3" x14ac:dyDescent="0.35">
      <c r="C30738" s="2"/>
    </row>
    <row r="30739" spans="3:3" x14ac:dyDescent="0.35">
      <c r="C30739" s="2"/>
    </row>
    <row r="30740" spans="3:3" x14ac:dyDescent="0.35">
      <c r="C30740" s="2"/>
    </row>
    <row r="30741" spans="3:3" x14ac:dyDescent="0.35">
      <c r="C30741" s="2"/>
    </row>
    <row r="30742" spans="3:3" x14ac:dyDescent="0.35">
      <c r="C30742" s="2"/>
    </row>
    <row r="30743" spans="3:3" x14ac:dyDescent="0.35">
      <c r="C30743" s="2"/>
    </row>
    <row r="30744" spans="3:3" x14ac:dyDescent="0.35">
      <c r="C30744" s="2"/>
    </row>
    <row r="30745" spans="3:3" x14ac:dyDescent="0.35">
      <c r="C30745" s="2"/>
    </row>
    <row r="30746" spans="3:3" x14ac:dyDescent="0.35">
      <c r="C30746" s="2"/>
    </row>
    <row r="30747" spans="3:3" x14ac:dyDescent="0.35">
      <c r="C30747" s="2"/>
    </row>
    <row r="30748" spans="3:3" x14ac:dyDescent="0.35">
      <c r="C30748" s="2"/>
    </row>
    <row r="30749" spans="3:3" x14ac:dyDescent="0.35">
      <c r="C30749" s="2"/>
    </row>
    <row r="30750" spans="3:3" x14ac:dyDescent="0.35">
      <c r="C30750" s="2"/>
    </row>
    <row r="30751" spans="3:3" x14ac:dyDescent="0.35">
      <c r="C30751" s="2"/>
    </row>
    <row r="30752" spans="3:3" x14ac:dyDescent="0.35">
      <c r="C30752" s="2"/>
    </row>
    <row r="30753" spans="3:3" x14ac:dyDescent="0.35">
      <c r="C30753" s="2"/>
    </row>
    <row r="30754" spans="3:3" x14ac:dyDescent="0.35">
      <c r="C30754" s="2"/>
    </row>
    <row r="30755" spans="3:3" x14ac:dyDescent="0.35">
      <c r="C30755" s="2"/>
    </row>
    <row r="30756" spans="3:3" x14ac:dyDescent="0.35">
      <c r="C30756" s="2"/>
    </row>
    <row r="30757" spans="3:3" x14ac:dyDescent="0.35">
      <c r="C30757" s="2"/>
    </row>
    <row r="30758" spans="3:3" x14ac:dyDescent="0.35">
      <c r="C30758" s="2"/>
    </row>
    <row r="30759" spans="3:3" x14ac:dyDescent="0.35">
      <c r="C30759" s="2"/>
    </row>
    <row r="30760" spans="3:3" x14ac:dyDescent="0.35">
      <c r="C30760" s="2"/>
    </row>
    <row r="30761" spans="3:3" x14ac:dyDescent="0.35">
      <c r="C30761" s="2"/>
    </row>
    <row r="30762" spans="3:3" x14ac:dyDescent="0.35">
      <c r="C30762" s="2"/>
    </row>
    <row r="30763" spans="3:3" x14ac:dyDescent="0.35">
      <c r="C30763" s="2"/>
    </row>
    <row r="30764" spans="3:3" x14ac:dyDescent="0.35">
      <c r="C30764" s="2"/>
    </row>
    <row r="30765" spans="3:3" x14ac:dyDescent="0.35">
      <c r="C30765" s="2"/>
    </row>
    <row r="30766" spans="3:3" x14ac:dyDescent="0.35">
      <c r="C30766" s="2"/>
    </row>
    <row r="30767" spans="3:3" x14ac:dyDescent="0.35">
      <c r="C30767" s="2"/>
    </row>
    <row r="30768" spans="3:3" x14ac:dyDescent="0.35">
      <c r="C30768" s="2"/>
    </row>
    <row r="30769" spans="3:3" x14ac:dyDescent="0.35">
      <c r="C30769" s="2"/>
    </row>
    <row r="30770" spans="3:3" x14ac:dyDescent="0.35">
      <c r="C30770" s="2"/>
    </row>
    <row r="30771" spans="3:3" x14ac:dyDescent="0.35">
      <c r="C30771" s="2"/>
    </row>
    <row r="30772" spans="3:3" x14ac:dyDescent="0.35">
      <c r="C30772" s="2"/>
    </row>
    <row r="30773" spans="3:3" x14ac:dyDescent="0.35">
      <c r="C30773" s="2"/>
    </row>
    <row r="30774" spans="3:3" x14ac:dyDescent="0.35">
      <c r="C30774" s="2"/>
    </row>
    <row r="30775" spans="3:3" x14ac:dyDescent="0.35">
      <c r="C30775" s="2"/>
    </row>
    <row r="30776" spans="3:3" x14ac:dyDescent="0.35">
      <c r="C30776" s="2"/>
    </row>
    <row r="30777" spans="3:3" x14ac:dyDescent="0.35">
      <c r="C30777" s="2"/>
    </row>
    <row r="30778" spans="3:3" x14ac:dyDescent="0.35">
      <c r="C30778" s="2"/>
    </row>
    <row r="30779" spans="3:3" x14ac:dyDescent="0.35">
      <c r="C30779" s="2"/>
    </row>
    <row r="30780" spans="3:3" x14ac:dyDescent="0.35">
      <c r="C30780" s="2"/>
    </row>
    <row r="30781" spans="3:3" x14ac:dyDescent="0.35">
      <c r="C30781" s="2"/>
    </row>
    <row r="30782" spans="3:3" x14ac:dyDescent="0.35">
      <c r="C30782" s="2"/>
    </row>
    <row r="30783" spans="3:3" x14ac:dyDescent="0.35">
      <c r="C30783" s="2"/>
    </row>
    <row r="30784" spans="3:3" x14ac:dyDescent="0.35">
      <c r="C30784" s="2"/>
    </row>
    <row r="30785" spans="3:3" x14ac:dyDescent="0.35">
      <c r="C30785" s="2"/>
    </row>
    <row r="30786" spans="3:3" x14ac:dyDescent="0.35">
      <c r="C30786" s="2"/>
    </row>
    <row r="30787" spans="3:3" x14ac:dyDescent="0.35">
      <c r="C30787" s="2"/>
    </row>
    <row r="30788" spans="3:3" x14ac:dyDescent="0.35">
      <c r="C30788" s="2"/>
    </row>
    <row r="30789" spans="3:3" x14ac:dyDescent="0.35">
      <c r="C30789" s="2"/>
    </row>
    <row r="30790" spans="3:3" x14ac:dyDescent="0.35">
      <c r="C30790" s="2"/>
    </row>
    <row r="30791" spans="3:3" x14ac:dyDescent="0.35">
      <c r="C30791" s="2"/>
    </row>
    <row r="30792" spans="3:3" x14ac:dyDescent="0.35">
      <c r="C30792" s="2"/>
    </row>
    <row r="30793" spans="3:3" x14ac:dyDescent="0.35">
      <c r="C30793" s="2"/>
    </row>
    <row r="30794" spans="3:3" x14ac:dyDescent="0.35">
      <c r="C30794" s="2"/>
    </row>
    <row r="30795" spans="3:3" x14ac:dyDescent="0.35">
      <c r="C30795" s="2"/>
    </row>
    <row r="30796" spans="3:3" x14ac:dyDescent="0.35">
      <c r="C30796" s="2"/>
    </row>
    <row r="30797" spans="3:3" x14ac:dyDescent="0.35">
      <c r="C30797" s="2"/>
    </row>
    <row r="30798" spans="3:3" x14ac:dyDescent="0.35">
      <c r="C30798" s="2"/>
    </row>
    <row r="30799" spans="3:3" x14ac:dyDescent="0.35">
      <c r="C30799" s="2"/>
    </row>
    <row r="30800" spans="3:3" x14ac:dyDescent="0.35">
      <c r="C30800" s="2"/>
    </row>
    <row r="30801" spans="3:3" x14ac:dyDescent="0.35">
      <c r="C30801" s="2"/>
    </row>
    <row r="30802" spans="3:3" x14ac:dyDescent="0.35">
      <c r="C30802" s="2"/>
    </row>
    <row r="30803" spans="3:3" x14ac:dyDescent="0.35">
      <c r="C30803" s="2"/>
    </row>
    <row r="30804" spans="3:3" x14ac:dyDescent="0.35">
      <c r="C30804" s="2"/>
    </row>
    <row r="30805" spans="3:3" x14ac:dyDescent="0.35">
      <c r="C30805" s="2"/>
    </row>
    <row r="30806" spans="3:3" x14ac:dyDescent="0.35">
      <c r="C30806" s="2"/>
    </row>
    <row r="30807" spans="3:3" x14ac:dyDescent="0.35">
      <c r="C30807" s="2"/>
    </row>
    <row r="30808" spans="3:3" x14ac:dyDescent="0.35">
      <c r="C30808" s="2"/>
    </row>
    <row r="30809" spans="3:3" x14ac:dyDescent="0.35">
      <c r="C30809" s="2"/>
    </row>
    <row r="30810" spans="3:3" x14ac:dyDescent="0.35">
      <c r="C30810" s="2"/>
    </row>
    <row r="30811" spans="3:3" x14ac:dyDescent="0.35">
      <c r="C30811" s="2"/>
    </row>
    <row r="30812" spans="3:3" x14ac:dyDescent="0.35">
      <c r="C30812" s="2"/>
    </row>
    <row r="30813" spans="3:3" x14ac:dyDescent="0.35">
      <c r="C30813" s="2"/>
    </row>
    <row r="30814" spans="3:3" x14ac:dyDescent="0.35">
      <c r="C30814" s="2"/>
    </row>
    <row r="30815" spans="3:3" x14ac:dyDescent="0.35">
      <c r="C30815" s="2"/>
    </row>
    <row r="30816" spans="3:3" x14ac:dyDescent="0.35">
      <c r="C30816" s="2"/>
    </row>
    <row r="30817" spans="3:3" x14ac:dyDescent="0.35">
      <c r="C30817" s="2"/>
    </row>
    <row r="30818" spans="3:3" x14ac:dyDescent="0.35">
      <c r="C30818" s="2"/>
    </row>
    <row r="30819" spans="3:3" x14ac:dyDescent="0.35">
      <c r="C30819" s="2"/>
    </row>
    <row r="30820" spans="3:3" x14ac:dyDescent="0.35">
      <c r="C30820" s="2"/>
    </row>
    <row r="30821" spans="3:3" x14ac:dyDescent="0.35">
      <c r="C30821" s="2"/>
    </row>
    <row r="30822" spans="3:3" x14ac:dyDescent="0.35">
      <c r="C30822" s="2"/>
    </row>
    <row r="30823" spans="3:3" x14ac:dyDescent="0.35">
      <c r="C30823" s="2"/>
    </row>
    <row r="30824" spans="3:3" x14ac:dyDescent="0.35">
      <c r="C30824" s="2"/>
    </row>
    <row r="30825" spans="3:3" x14ac:dyDescent="0.35">
      <c r="C30825" s="2"/>
    </row>
    <row r="30826" spans="3:3" x14ac:dyDescent="0.35">
      <c r="C30826" s="2"/>
    </row>
    <row r="30827" spans="3:3" x14ac:dyDescent="0.35">
      <c r="C30827" s="2"/>
    </row>
    <row r="30828" spans="3:3" x14ac:dyDescent="0.35">
      <c r="C30828" s="2"/>
    </row>
    <row r="30829" spans="3:3" x14ac:dyDescent="0.35">
      <c r="C30829" s="2"/>
    </row>
    <row r="30830" spans="3:3" x14ac:dyDescent="0.35">
      <c r="C30830" s="2"/>
    </row>
    <row r="30831" spans="3:3" x14ac:dyDescent="0.35">
      <c r="C30831" s="2"/>
    </row>
    <row r="30832" spans="3:3" x14ac:dyDescent="0.35">
      <c r="C30832" s="2"/>
    </row>
    <row r="30833" spans="3:3" x14ac:dyDescent="0.35">
      <c r="C30833" s="2"/>
    </row>
    <row r="30834" spans="3:3" x14ac:dyDescent="0.35">
      <c r="C30834" s="2"/>
    </row>
    <row r="30835" spans="3:3" x14ac:dyDescent="0.35">
      <c r="C30835" s="2"/>
    </row>
    <row r="30836" spans="3:3" x14ac:dyDescent="0.35">
      <c r="C30836" s="2"/>
    </row>
    <row r="30837" spans="3:3" x14ac:dyDescent="0.35">
      <c r="C30837" s="2"/>
    </row>
    <row r="30838" spans="3:3" x14ac:dyDescent="0.35">
      <c r="C30838" s="2"/>
    </row>
    <row r="30839" spans="3:3" x14ac:dyDescent="0.35">
      <c r="C30839" s="2"/>
    </row>
    <row r="30840" spans="3:3" x14ac:dyDescent="0.35">
      <c r="C30840" s="2"/>
    </row>
    <row r="30841" spans="3:3" x14ac:dyDescent="0.35">
      <c r="C30841" s="2"/>
    </row>
    <row r="30842" spans="3:3" x14ac:dyDescent="0.35">
      <c r="C30842" s="2"/>
    </row>
    <row r="30843" spans="3:3" x14ac:dyDescent="0.35">
      <c r="C30843" s="2"/>
    </row>
    <row r="30844" spans="3:3" x14ac:dyDescent="0.35">
      <c r="C30844" s="2"/>
    </row>
    <row r="30845" spans="3:3" x14ac:dyDescent="0.35">
      <c r="C30845" s="2"/>
    </row>
    <row r="30846" spans="3:3" x14ac:dyDescent="0.35">
      <c r="C30846" s="2"/>
    </row>
    <row r="30847" spans="3:3" x14ac:dyDescent="0.35">
      <c r="C30847" s="2"/>
    </row>
    <row r="30848" spans="3:3" x14ac:dyDescent="0.35">
      <c r="C30848" s="2"/>
    </row>
    <row r="30849" spans="3:3" x14ac:dyDescent="0.35">
      <c r="C30849" s="2"/>
    </row>
    <row r="30850" spans="3:3" x14ac:dyDescent="0.35">
      <c r="C30850" s="2"/>
    </row>
    <row r="30851" spans="3:3" x14ac:dyDescent="0.35">
      <c r="C30851" s="2"/>
    </row>
    <row r="30852" spans="3:3" x14ac:dyDescent="0.35">
      <c r="C30852" s="2"/>
    </row>
    <row r="30853" spans="3:3" x14ac:dyDescent="0.35">
      <c r="C30853" s="2"/>
    </row>
    <row r="30854" spans="3:3" x14ac:dyDescent="0.35">
      <c r="C30854" s="2"/>
    </row>
    <row r="30855" spans="3:3" x14ac:dyDescent="0.35">
      <c r="C30855" s="2"/>
    </row>
    <row r="30856" spans="3:3" x14ac:dyDescent="0.35">
      <c r="C30856" s="2"/>
    </row>
    <row r="30857" spans="3:3" x14ac:dyDescent="0.35">
      <c r="C30857" s="2"/>
    </row>
    <row r="30858" spans="3:3" x14ac:dyDescent="0.35">
      <c r="C30858" s="2"/>
    </row>
    <row r="30859" spans="3:3" x14ac:dyDescent="0.35">
      <c r="C30859" s="2"/>
    </row>
    <row r="30860" spans="3:3" x14ac:dyDescent="0.35">
      <c r="C30860" s="2"/>
    </row>
    <row r="30861" spans="3:3" x14ac:dyDescent="0.35">
      <c r="C30861" s="2"/>
    </row>
    <row r="30862" spans="3:3" x14ac:dyDescent="0.35">
      <c r="C30862" s="2"/>
    </row>
    <row r="30863" spans="3:3" x14ac:dyDescent="0.35">
      <c r="C30863" s="2"/>
    </row>
    <row r="30864" spans="3:3" x14ac:dyDescent="0.35">
      <c r="C30864" s="2"/>
    </row>
    <row r="30865" spans="3:3" x14ac:dyDescent="0.35">
      <c r="C30865" s="2"/>
    </row>
    <row r="30866" spans="3:3" x14ac:dyDescent="0.35">
      <c r="C30866" s="2"/>
    </row>
    <row r="30867" spans="3:3" x14ac:dyDescent="0.35">
      <c r="C30867" s="2"/>
    </row>
    <row r="30868" spans="3:3" x14ac:dyDescent="0.35">
      <c r="C30868" s="2"/>
    </row>
    <row r="30869" spans="3:3" x14ac:dyDescent="0.35">
      <c r="C30869" s="2"/>
    </row>
    <row r="30870" spans="3:3" x14ac:dyDescent="0.35">
      <c r="C30870" s="2"/>
    </row>
    <row r="30871" spans="3:3" x14ac:dyDescent="0.35">
      <c r="C30871" s="2"/>
    </row>
    <row r="30872" spans="3:3" x14ac:dyDescent="0.35">
      <c r="C30872" s="2"/>
    </row>
    <row r="30873" spans="3:3" x14ac:dyDescent="0.35">
      <c r="C30873" s="2"/>
    </row>
    <row r="30874" spans="3:3" x14ac:dyDescent="0.35">
      <c r="C30874" s="2"/>
    </row>
    <row r="30875" spans="3:3" x14ac:dyDescent="0.35">
      <c r="C30875" s="2"/>
    </row>
    <row r="30876" spans="3:3" x14ac:dyDescent="0.35">
      <c r="C30876" s="2"/>
    </row>
    <row r="30877" spans="3:3" x14ac:dyDescent="0.35">
      <c r="C30877" s="2"/>
    </row>
    <row r="30878" spans="3:3" x14ac:dyDescent="0.35">
      <c r="C30878" s="2"/>
    </row>
    <row r="30879" spans="3:3" x14ac:dyDescent="0.35">
      <c r="C30879" s="2"/>
    </row>
    <row r="30880" spans="3:3" x14ac:dyDescent="0.35">
      <c r="C30880" s="2"/>
    </row>
    <row r="30881" spans="3:3" x14ac:dyDescent="0.35">
      <c r="C30881" s="2"/>
    </row>
    <row r="30882" spans="3:3" x14ac:dyDescent="0.35">
      <c r="C30882" s="2"/>
    </row>
    <row r="30883" spans="3:3" x14ac:dyDescent="0.35">
      <c r="C30883" s="2"/>
    </row>
    <row r="30884" spans="3:3" x14ac:dyDescent="0.35">
      <c r="C30884" s="2"/>
    </row>
    <row r="30885" spans="3:3" x14ac:dyDescent="0.35">
      <c r="C30885" s="2"/>
    </row>
    <row r="30886" spans="3:3" x14ac:dyDescent="0.35">
      <c r="C30886" s="2"/>
    </row>
    <row r="30887" spans="3:3" x14ac:dyDescent="0.35">
      <c r="C30887" s="2"/>
    </row>
    <row r="30888" spans="3:3" x14ac:dyDescent="0.35">
      <c r="C30888" s="2"/>
    </row>
    <row r="30889" spans="3:3" x14ac:dyDescent="0.35">
      <c r="C30889" s="2"/>
    </row>
    <row r="30890" spans="3:3" x14ac:dyDescent="0.35">
      <c r="C30890" s="2"/>
    </row>
    <row r="30891" spans="3:3" x14ac:dyDescent="0.35">
      <c r="C30891" s="2"/>
    </row>
    <row r="30892" spans="3:3" x14ac:dyDescent="0.35">
      <c r="C30892" s="2"/>
    </row>
    <row r="30893" spans="3:3" x14ac:dyDescent="0.35">
      <c r="C30893" s="2"/>
    </row>
    <row r="30894" spans="3:3" x14ac:dyDescent="0.35">
      <c r="C30894" s="2"/>
    </row>
    <row r="30895" spans="3:3" x14ac:dyDescent="0.35">
      <c r="C30895" s="2"/>
    </row>
    <row r="30896" spans="3:3" x14ac:dyDescent="0.35">
      <c r="C30896" s="2"/>
    </row>
    <row r="30897" spans="3:3" x14ac:dyDescent="0.35">
      <c r="C30897" s="2"/>
    </row>
    <row r="30898" spans="3:3" x14ac:dyDescent="0.35">
      <c r="C30898" s="2"/>
    </row>
    <row r="30899" spans="3:3" x14ac:dyDescent="0.35">
      <c r="C30899" s="2"/>
    </row>
    <row r="30900" spans="3:3" x14ac:dyDescent="0.35">
      <c r="C30900" s="2"/>
    </row>
    <row r="30901" spans="3:3" x14ac:dyDescent="0.35">
      <c r="C30901" s="2"/>
    </row>
    <row r="30902" spans="3:3" x14ac:dyDescent="0.35">
      <c r="C30902" s="2"/>
    </row>
    <row r="30903" spans="3:3" x14ac:dyDescent="0.35">
      <c r="C30903" s="2"/>
    </row>
    <row r="30904" spans="3:3" x14ac:dyDescent="0.35">
      <c r="C30904" s="2"/>
    </row>
    <row r="30905" spans="3:3" x14ac:dyDescent="0.35">
      <c r="C30905" s="2"/>
    </row>
    <row r="30906" spans="3:3" x14ac:dyDescent="0.35">
      <c r="C30906" s="2"/>
    </row>
    <row r="30907" spans="3:3" x14ac:dyDescent="0.35">
      <c r="C30907" s="2"/>
    </row>
    <row r="30908" spans="3:3" x14ac:dyDescent="0.35">
      <c r="C30908" s="2"/>
    </row>
    <row r="30909" spans="3:3" x14ac:dyDescent="0.35">
      <c r="C30909" s="2"/>
    </row>
    <row r="30910" spans="3:3" x14ac:dyDescent="0.35">
      <c r="C30910" s="2"/>
    </row>
    <row r="30911" spans="3:3" x14ac:dyDescent="0.35">
      <c r="C30911" s="2"/>
    </row>
    <row r="30912" spans="3:3" x14ac:dyDescent="0.35">
      <c r="C30912" s="2"/>
    </row>
    <row r="30913" spans="3:3" x14ac:dyDescent="0.35">
      <c r="C30913" s="2"/>
    </row>
    <row r="30914" spans="3:3" x14ac:dyDescent="0.35">
      <c r="C30914" s="2"/>
    </row>
    <row r="30915" spans="3:3" x14ac:dyDescent="0.35">
      <c r="C30915" s="2"/>
    </row>
    <row r="30916" spans="3:3" x14ac:dyDescent="0.35">
      <c r="C30916" s="2"/>
    </row>
    <row r="30917" spans="3:3" x14ac:dyDescent="0.35">
      <c r="C30917" s="2"/>
    </row>
    <row r="30918" spans="3:3" x14ac:dyDescent="0.35">
      <c r="C30918" s="2"/>
    </row>
    <row r="30919" spans="3:3" x14ac:dyDescent="0.35">
      <c r="C30919" s="2"/>
    </row>
    <row r="30920" spans="3:3" x14ac:dyDescent="0.35">
      <c r="C30920" s="2"/>
    </row>
    <row r="30921" spans="3:3" x14ac:dyDescent="0.35">
      <c r="C30921" s="2"/>
    </row>
    <row r="30922" spans="3:3" x14ac:dyDescent="0.35">
      <c r="C30922" s="2"/>
    </row>
    <row r="30923" spans="3:3" x14ac:dyDescent="0.35">
      <c r="C30923" s="2"/>
    </row>
    <row r="30924" spans="3:3" x14ac:dyDescent="0.35">
      <c r="C30924" s="2"/>
    </row>
    <row r="30925" spans="3:3" x14ac:dyDescent="0.35">
      <c r="C30925" s="2"/>
    </row>
    <row r="30926" spans="3:3" x14ac:dyDescent="0.35">
      <c r="C30926" s="2"/>
    </row>
    <row r="30927" spans="3:3" x14ac:dyDescent="0.35">
      <c r="C30927" s="2"/>
    </row>
    <row r="30928" spans="3:3" x14ac:dyDescent="0.35">
      <c r="C30928" s="2"/>
    </row>
    <row r="30929" spans="3:3" x14ac:dyDescent="0.35">
      <c r="C30929" s="2"/>
    </row>
    <row r="30930" spans="3:3" x14ac:dyDescent="0.35">
      <c r="C30930" s="2"/>
    </row>
    <row r="30931" spans="3:3" x14ac:dyDescent="0.35">
      <c r="C30931" s="2"/>
    </row>
    <row r="30932" spans="3:3" x14ac:dyDescent="0.35">
      <c r="C30932" s="2"/>
    </row>
    <row r="30933" spans="3:3" x14ac:dyDescent="0.35">
      <c r="C30933" s="2"/>
    </row>
    <row r="30934" spans="3:3" x14ac:dyDescent="0.35">
      <c r="C30934" s="2"/>
    </row>
    <row r="30935" spans="3:3" x14ac:dyDescent="0.35">
      <c r="C30935" s="2"/>
    </row>
    <row r="30936" spans="3:3" x14ac:dyDescent="0.35">
      <c r="C30936" s="2"/>
    </row>
    <row r="30937" spans="3:3" x14ac:dyDescent="0.35">
      <c r="C30937" s="2"/>
    </row>
    <row r="30938" spans="3:3" x14ac:dyDescent="0.35">
      <c r="C30938" s="2"/>
    </row>
    <row r="30939" spans="3:3" x14ac:dyDescent="0.35">
      <c r="C30939" s="2"/>
    </row>
    <row r="30940" spans="3:3" x14ac:dyDescent="0.35">
      <c r="C30940" s="2"/>
    </row>
    <row r="30941" spans="3:3" x14ac:dyDescent="0.35">
      <c r="C30941" s="2"/>
    </row>
    <row r="30942" spans="3:3" x14ac:dyDescent="0.35">
      <c r="C30942" s="2"/>
    </row>
    <row r="30943" spans="3:3" x14ac:dyDescent="0.35">
      <c r="C30943" s="2"/>
    </row>
    <row r="30944" spans="3:3" x14ac:dyDescent="0.35">
      <c r="C30944" s="2"/>
    </row>
    <row r="30945" spans="3:3" x14ac:dyDescent="0.35">
      <c r="C30945" s="2"/>
    </row>
    <row r="30946" spans="3:3" x14ac:dyDescent="0.35">
      <c r="C30946" s="2"/>
    </row>
    <row r="30947" spans="3:3" x14ac:dyDescent="0.35">
      <c r="C30947" s="2"/>
    </row>
    <row r="30948" spans="3:3" x14ac:dyDescent="0.35">
      <c r="C30948" s="2"/>
    </row>
    <row r="30949" spans="3:3" x14ac:dyDescent="0.35">
      <c r="C30949" s="2"/>
    </row>
    <row r="30950" spans="3:3" x14ac:dyDescent="0.35">
      <c r="C30950" s="2"/>
    </row>
    <row r="30951" spans="3:3" x14ac:dyDescent="0.35">
      <c r="C30951" s="2"/>
    </row>
    <row r="30952" spans="3:3" x14ac:dyDescent="0.35">
      <c r="C30952" s="2"/>
    </row>
    <row r="30953" spans="3:3" x14ac:dyDescent="0.35">
      <c r="C30953" s="2"/>
    </row>
    <row r="30954" spans="3:3" x14ac:dyDescent="0.35">
      <c r="C30954" s="2"/>
    </row>
    <row r="30955" spans="3:3" x14ac:dyDescent="0.35">
      <c r="C30955" s="2"/>
    </row>
    <row r="30956" spans="3:3" x14ac:dyDescent="0.35">
      <c r="C30956" s="2"/>
    </row>
    <row r="30957" spans="3:3" x14ac:dyDescent="0.35">
      <c r="C30957" s="2"/>
    </row>
    <row r="30958" spans="3:3" x14ac:dyDescent="0.35">
      <c r="C30958" s="2"/>
    </row>
    <row r="30959" spans="3:3" x14ac:dyDescent="0.35">
      <c r="C30959" s="2"/>
    </row>
    <row r="30960" spans="3:3" x14ac:dyDescent="0.35">
      <c r="C30960" s="2"/>
    </row>
    <row r="30961" spans="3:3" x14ac:dyDescent="0.35">
      <c r="C30961" s="2"/>
    </row>
    <row r="30962" spans="3:3" x14ac:dyDescent="0.35">
      <c r="C30962" s="2"/>
    </row>
    <row r="30963" spans="3:3" x14ac:dyDescent="0.35">
      <c r="C30963" s="2"/>
    </row>
    <row r="30964" spans="3:3" x14ac:dyDescent="0.35">
      <c r="C30964" s="2"/>
    </row>
    <row r="30965" spans="3:3" x14ac:dyDescent="0.35">
      <c r="C30965" s="2"/>
    </row>
    <row r="30966" spans="3:3" x14ac:dyDescent="0.35">
      <c r="C30966" s="2"/>
    </row>
    <row r="30967" spans="3:3" x14ac:dyDescent="0.35">
      <c r="C30967" s="2"/>
    </row>
    <row r="30968" spans="3:3" x14ac:dyDescent="0.35">
      <c r="C30968" s="2"/>
    </row>
    <row r="30969" spans="3:3" x14ac:dyDescent="0.35">
      <c r="C30969" s="2"/>
    </row>
    <row r="30970" spans="3:3" x14ac:dyDescent="0.35">
      <c r="C30970" s="2"/>
    </row>
    <row r="30971" spans="3:3" x14ac:dyDescent="0.35">
      <c r="C30971" s="2"/>
    </row>
    <row r="30972" spans="3:3" x14ac:dyDescent="0.35">
      <c r="C30972" s="2"/>
    </row>
    <row r="30973" spans="3:3" x14ac:dyDescent="0.35">
      <c r="C30973" s="2"/>
    </row>
    <row r="30974" spans="3:3" x14ac:dyDescent="0.35">
      <c r="C30974" s="2"/>
    </row>
    <row r="30975" spans="3:3" x14ac:dyDescent="0.35">
      <c r="C30975" s="2"/>
    </row>
    <row r="30976" spans="3:3" x14ac:dyDescent="0.35">
      <c r="C30976" s="2"/>
    </row>
    <row r="30977" spans="3:3" x14ac:dyDescent="0.35">
      <c r="C30977" s="2"/>
    </row>
    <row r="30978" spans="3:3" x14ac:dyDescent="0.35">
      <c r="C30978" s="2"/>
    </row>
    <row r="30979" spans="3:3" x14ac:dyDescent="0.35">
      <c r="C30979" s="2"/>
    </row>
    <row r="30980" spans="3:3" x14ac:dyDescent="0.35">
      <c r="C30980" s="2"/>
    </row>
    <row r="30981" spans="3:3" x14ac:dyDescent="0.35">
      <c r="C30981" s="2"/>
    </row>
    <row r="30982" spans="3:3" x14ac:dyDescent="0.35">
      <c r="C30982" s="2"/>
    </row>
    <row r="30983" spans="3:3" x14ac:dyDescent="0.35">
      <c r="C30983" s="2"/>
    </row>
    <row r="30984" spans="3:3" x14ac:dyDescent="0.35">
      <c r="C30984" s="2"/>
    </row>
    <row r="30985" spans="3:3" x14ac:dyDescent="0.35">
      <c r="C30985" s="2"/>
    </row>
    <row r="30986" spans="3:3" x14ac:dyDescent="0.35">
      <c r="C30986" s="2"/>
    </row>
    <row r="30987" spans="3:3" x14ac:dyDescent="0.35">
      <c r="C30987" s="2"/>
    </row>
    <row r="30988" spans="3:3" x14ac:dyDescent="0.35">
      <c r="C30988" s="2"/>
    </row>
    <row r="30989" spans="3:3" x14ac:dyDescent="0.35">
      <c r="C30989" s="2"/>
    </row>
    <row r="30990" spans="3:3" x14ac:dyDescent="0.35">
      <c r="C30990" s="2"/>
    </row>
    <row r="30991" spans="3:3" x14ac:dyDescent="0.35">
      <c r="C30991" s="2"/>
    </row>
    <row r="30992" spans="3:3" x14ac:dyDescent="0.35">
      <c r="C30992" s="2"/>
    </row>
    <row r="30993" spans="3:3" x14ac:dyDescent="0.35">
      <c r="C30993" s="2"/>
    </row>
    <row r="30994" spans="3:3" x14ac:dyDescent="0.35">
      <c r="C30994" s="2"/>
    </row>
    <row r="30995" spans="3:3" x14ac:dyDescent="0.35">
      <c r="C30995" s="2"/>
    </row>
    <row r="30996" spans="3:3" x14ac:dyDescent="0.35">
      <c r="C30996" s="2"/>
    </row>
    <row r="30997" spans="3:3" x14ac:dyDescent="0.35">
      <c r="C30997" s="2"/>
    </row>
    <row r="30998" spans="3:3" x14ac:dyDescent="0.35">
      <c r="C30998" s="2"/>
    </row>
    <row r="30999" spans="3:3" x14ac:dyDescent="0.35">
      <c r="C30999" s="2"/>
    </row>
    <row r="31000" spans="3:3" x14ac:dyDescent="0.35">
      <c r="C31000" s="2"/>
    </row>
    <row r="31001" spans="3:3" x14ac:dyDescent="0.35">
      <c r="C31001" s="2"/>
    </row>
    <row r="31002" spans="3:3" x14ac:dyDescent="0.35">
      <c r="C31002" s="2"/>
    </row>
    <row r="31003" spans="3:3" x14ac:dyDescent="0.35">
      <c r="C31003" s="2"/>
    </row>
    <row r="31004" spans="3:3" x14ac:dyDescent="0.35">
      <c r="C31004" s="2"/>
    </row>
    <row r="31005" spans="3:3" x14ac:dyDescent="0.35">
      <c r="C31005" s="2"/>
    </row>
    <row r="31006" spans="3:3" x14ac:dyDescent="0.35">
      <c r="C31006" s="2"/>
    </row>
    <row r="31007" spans="3:3" x14ac:dyDescent="0.35">
      <c r="C31007" s="2"/>
    </row>
    <row r="31008" spans="3:3" x14ac:dyDescent="0.35">
      <c r="C31008" s="2"/>
    </row>
    <row r="31009" spans="3:3" x14ac:dyDescent="0.35">
      <c r="C31009" s="2"/>
    </row>
    <row r="31010" spans="3:3" x14ac:dyDescent="0.35">
      <c r="C31010" s="2"/>
    </row>
    <row r="31011" spans="3:3" x14ac:dyDescent="0.35">
      <c r="C31011" s="2"/>
    </row>
    <row r="31012" spans="3:3" x14ac:dyDescent="0.35">
      <c r="C31012" s="2"/>
    </row>
    <row r="31013" spans="3:3" x14ac:dyDescent="0.35">
      <c r="C31013" s="2"/>
    </row>
    <row r="31014" spans="3:3" x14ac:dyDescent="0.35">
      <c r="C31014" s="2"/>
    </row>
    <row r="31015" spans="3:3" x14ac:dyDescent="0.35">
      <c r="C31015" s="2"/>
    </row>
    <row r="31016" spans="3:3" x14ac:dyDescent="0.35">
      <c r="C31016" s="2"/>
    </row>
    <row r="31017" spans="3:3" x14ac:dyDescent="0.35">
      <c r="C31017" s="2"/>
    </row>
    <row r="31018" spans="3:3" x14ac:dyDescent="0.35">
      <c r="C31018" s="2"/>
    </row>
    <row r="31019" spans="3:3" x14ac:dyDescent="0.35">
      <c r="C31019" s="2"/>
    </row>
    <row r="31020" spans="3:3" x14ac:dyDescent="0.35">
      <c r="C31020" s="2"/>
    </row>
    <row r="31021" spans="3:3" x14ac:dyDescent="0.35">
      <c r="C31021" s="2"/>
    </row>
    <row r="31022" spans="3:3" x14ac:dyDescent="0.35">
      <c r="C31022" s="2"/>
    </row>
    <row r="31023" spans="3:3" x14ac:dyDescent="0.35">
      <c r="C31023" s="2"/>
    </row>
    <row r="31024" spans="3:3" x14ac:dyDescent="0.35">
      <c r="C31024" s="2"/>
    </row>
    <row r="31025" spans="3:3" x14ac:dyDescent="0.35">
      <c r="C31025" s="2"/>
    </row>
    <row r="31026" spans="3:3" x14ac:dyDescent="0.35">
      <c r="C31026" s="2"/>
    </row>
    <row r="31027" spans="3:3" x14ac:dyDescent="0.35">
      <c r="C31027" s="2"/>
    </row>
    <row r="31028" spans="3:3" x14ac:dyDescent="0.35">
      <c r="C31028" s="2"/>
    </row>
    <row r="31029" spans="3:3" x14ac:dyDescent="0.35">
      <c r="C31029" s="2"/>
    </row>
    <row r="31030" spans="3:3" x14ac:dyDescent="0.35">
      <c r="C31030" s="2"/>
    </row>
    <row r="31031" spans="3:3" x14ac:dyDescent="0.35">
      <c r="C31031" s="2"/>
    </row>
    <row r="31032" spans="3:3" x14ac:dyDescent="0.35">
      <c r="C31032" s="2"/>
    </row>
    <row r="31033" spans="3:3" x14ac:dyDescent="0.35">
      <c r="C31033" s="2"/>
    </row>
    <row r="31034" spans="3:3" x14ac:dyDescent="0.35">
      <c r="C31034" s="2"/>
    </row>
    <row r="31035" spans="3:3" x14ac:dyDescent="0.35">
      <c r="C31035" s="2"/>
    </row>
    <row r="31036" spans="3:3" x14ac:dyDescent="0.35">
      <c r="C31036" s="2"/>
    </row>
    <row r="31037" spans="3:3" x14ac:dyDescent="0.35">
      <c r="C31037" s="2"/>
    </row>
    <row r="31038" spans="3:3" x14ac:dyDescent="0.35">
      <c r="C31038" s="2"/>
    </row>
    <row r="31039" spans="3:3" x14ac:dyDescent="0.35">
      <c r="C31039" s="2"/>
    </row>
    <row r="31040" spans="3:3" x14ac:dyDescent="0.35">
      <c r="C31040" s="2"/>
    </row>
    <row r="31041" spans="3:3" x14ac:dyDescent="0.35">
      <c r="C31041" s="2"/>
    </row>
    <row r="31042" spans="3:3" x14ac:dyDescent="0.35">
      <c r="C31042" s="2"/>
    </row>
    <row r="31043" spans="3:3" x14ac:dyDescent="0.35">
      <c r="C31043" s="2"/>
    </row>
    <row r="31044" spans="3:3" x14ac:dyDescent="0.35">
      <c r="C31044" s="2"/>
    </row>
    <row r="31045" spans="3:3" x14ac:dyDescent="0.35">
      <c r="C31045" s="2"/>
    </row>
    <row r="31046" spans="3:3" x14ac:dyDescent="0.35">
      <c r="C31046" s="2"/>
    </row>
    <row r="31047" spans="3:3" x14ac:dyDescent="0.35">
      <c r="C31047" s="2"/>
    </row>
    <row r="31048" spans="3:3" x14ac:dyDescent="0.35">
      <c r="C31048" s="2"/>
    </row>
    <row r="31049" spans="3:3" x14ac:dyDescent="0.35">
      <c r="C31049" s="2"/>
    </row>
    <row r="31050" spans="3:3" x14ac:dyDescent="0.35">
      <c r="C31050" s="2"/>
    </row>
    <row r="31051" spans="3:3" x14ac:dyDescent="0.35">
      <c r="C31051" s="2"/>
    </row>
    <row r="31052" spans="3:3" x14ac:dyDescent="0.35">
      <c r="C31052" s="2"/>
    </row>
    <row r="31053" spans="3:3" x14ac:dyDescent="0.35">
      <c r="C31053" s="2"/>
    </row>
    <row r="31054" spans="3:3" x14ac:dyDescent="0.35">
      <c r="C31054" s="2"/>
    </row>
    <row r="31055" spans="3:3" x14ac:dyDescent="0.35">
      <c r="C31055" s="2"/>
    </row>
    <row r="31056" spans="3:3" x14ac:dyDescent="0.35">
      <c r="C31056" s="2"/>
    </row>
    <row r="31057" spans="3:3" x14ac:dyDescent="0.35">
      <c r="C31057" s="2"/>
    </row>
    <row r="31058" spans="3:3" x14ac:dyDescent="0.35">
      <c r="C31058" s="2"/>
    </row>
    <row r="31059" spans="3:3" x14ac:dyDescent="0.35">
      <c r="C31059" s="2"/>
    </row>
    <row r="31060" spans="3:3" x14ac:dyDescent="0.35">
      <c r="C31060" s="2"/>
    </row>
    <row r="31061" spans="3:3" x14ac:dyDescent="0.35">
      <c r="C31061" s="2"/>
    </row>
    <row r="31062" spans="3:3" x14ac:dyDescent="0.35">
      <c r="C31062" s="2"/>
    </row>
    <row r="31063" spans="3:3" x14ac:dyDescent="0.35">
      <c r="C31063" s="2"/>
    </row>
    <row r="31064" spans="3:3" x14ac:dyDescent="0.35">
      <c r="C31064" s="2"/>
    </row>
    <row r="31065" spans="3:3" x14ac:dyDescent="0.35">
      <c r="C31065" s="2"/>
    </row>
    <row r="31066" spans="3:3" x14ac:dyDescent="0.35">
      <c r="C31066" s="2"/>
    </row>
    <row r="31067" spans="3:3" x14ac:dyDescent="0.35">
      <c r="C31067" s="2"/>
    </row>
    <row r="31068" spans="3:3" x14ac:dyDescent="0.35">
      <c r="C31068" s="2"/>
    </row>
    <row r="31069" spans="3:3" x14ac:dyDescent="0.35">
      <c r="C31069" s="2"/>
    </row>
    <row r="31070" spans="3:3" x14ac:dyDescent="0.35">
      <c r="C31070" s="2"/>
    </row>
    <row r="31071" spans="3:3" x14ac:dyDescent="0.35">
      <c r="C31071" s="2"/>
    </row>
    <row r="31072" spans="3:3" x14ac:dyDescent="0.35">
      <c r="C31072" s="2"/>
    </row>
    <row r="31073" spans="3:3" x14ac:dyDescent="0.35">
      <c r="C31073" s="2"/>
    </row>
    <row r="31074" spans="3:3" x14ac:dyDescent="0.35">
      <c r="C31074" s="2"/>
    </row>
    <row r="31075" spans="3:3" x14ac:dyDescent="0.35">
      <c r="C31075" s="2"/>
    </row>
    <row r="31076" spans="3:3" x14ac:dyDescent="0.35">
      <c r="C31076" s="2"/>
    </row>
    <row r="31077" spans="3:3" x14ac:dyDescent="0.35">
      <c r="C31077" s="2"/>
    </row>
    <row r="31078" spans="3:3" x14ac:dyDescent="0.35">
      <c r="C31078" s="2"/>
    </row>
    <row r="31079" spans="3:3" x14ac:dyDescent="0.35">
      <c r="C31079" s="2"/>
    </row>
    <row r="31080" spans="3:3" x14ac:dyDescent="0.35">
      <c r="C31080" s="2"/>
    </row>
    <row r="31081" spans="3:3" x14ac:dyDescent="0.35">
      <c r="C31081" s="2"/>
    </row>
    <row r="31082" spans="3:3" x14ac:dyDescent="0.35">
      <c r="C31082" s="2"/>
    </row>
    <row r="31083" spans="3:3" x14ac:dyDescent="0.35">
      <c r="C31083" s="2"/>
    </row>
    <row r="31084" spans="3:3" x14ac:dyDescent="0.35">
      <c r="C31084" s="2"/>
    </row>
    <row r="31085" spans="3:3" x14ac:dyDescent="0.35">
      <c r="C31085" s="2"/>
    </row>
    <row r="31086" spans="3:3" x14ac:dyDescent="0.35">
      <c r="C31086" s="2"/>
    </row>
    <row r="31087" spans="3:3" x14ac:dyDescent="0.35">
      <c r="C31087" s="2"/>
    </row>
    <row r="31088" spans="3:3" x14ac:dyDescent="0.35">
      <c r="C31088" s="2"/>
    </row>
    <row r="31089" spans="3:3" x14ac:dyDescent="0.35">
      <c r="C31089" s="2"/>
    </row>
    <row r="31090" spans="3:3" x14ac:dyDescent="0.35">
      <c r="C31090" s="2"/>
    </row>
    <row r="31091" spans="3:3" x14ac:dyDescent="0.35">
      <c r="C31091" s="2"/>
    </row>
    <row r="31092" spans="3:3" x14ac:dyDescent="0.35">
      <c r="C31092" s="2"/>
    </row>
    <row r="31093" spans="3:3" x14ac:dyDescent="0.35">
      <c r="C31093" s="2"/>
    </row>
    <row r="31094" spans="3:3" x14ac:dyDescent="0.35">
      <c r="C31094" s="2"/>
    </row>
    <row r="31095" spans="3:3" x14ac:dyDescent="0.35">
      <c r="C31095" s="2"/>
    </row>
    <row r="31096" spans="3:3" x14ac:dyDescent="0.35">
      <c r="C31096" s="2"/>
    </row>
    <row r="31097" spans="3:3" x14ac:dyDescent="0.35">
      <c r="C31097" s="2"/>
    </row>
    <row r="31098" spans="3:3" x14ac:dyDescent="0.35">
      <c r="C31098" s="2"/>
    </row>
    <row r="31099" spans="3:3" x14ac:dyDescent="0.35">
      <c r="C31099" s="2"/>
    </row>
    <row r="31100" spans="3:3" x14ac:dyDescent="0.35">
      <c r="C31100" s="2"/>
    </row>
    <row r="31101" spans="3:3" x14ac:dyDescent="0.35">
      <c r="C31101" s="2"/>
    </row>
    <row r="31102" spans="3:3" x14ac:dyDescent="0.35">
      <c r="C31102" s="2"/>
    </row>
    <row r="31103" spans="3:3" x14ac:dyDescent="0.35">
      <c r="C31103" s="2"/>
    </row>
    <row r="31104" spans="3:3" x14ac:dyDescent="0.35">
      <c r="C31104" s="2"/>
    </row>
    <row r="31105" spans="3:3" x14ac:dyDescent="0.35">
      <c r="C31105" s="2"/>
    </row>
    <row r="31106" spans="3:3" x14ac:dyDescent="0.35">
      <c r="C31106" s="2"/>
    </row>
    <row r="31107" spans="3:3" x14ac:dyDescent="0.35">
      <c r="C31107" s="2"/>
    </row>
    <row r="31108" spans="3:3" x14ac:dyDescent="0.35">
      <c r="C31108" s="2"/>
    </row>
    <row r="31109" spans="3:3" x14ac:dyDescent="0.35">
      <c r="C31109" s="2"/>
    </row>
    <row r="31110" spans="3:3" x14ac:dyDescent="0.35">
      <c r="C31110" s="2"/>
    </row>
    <row r="31111" spans="3:3" x14ac:dyDescent="0.35">
      <c r="C31111" s="2"/>
    </row>
    <row r="31112" spans="3:3" x14ac:dyDescent="0.35">
      <c r="C31112" s="2"/>
    </row>
    <row r="31113" spans="3:3" x14ac:dyDescent="0.35">
      <c r="C31113" s="2"/>
    </row>
    <row r="31114" spans="3:3" x14ac:dyDescent="0.35">
      <c r="C31114" s="2"/>
    </row>
    <row r="31115" spans="3:3" x14ac:dyDescent="0.35">
      <c r="C31115" s="2"/>
    </row>
    <row r="31116" spans="3:3" x14ac:dyDescent="0.35">
      <c r="C31116" s="2"/>
    </row>
    <row r="31117" spans="3:3" x14ac:dyDescent="0.35">
      <c r="C31117" s="2"/>
    </row>
    <row r="31118" spans="3:3" x14ac:dyDescent="0.35">
      <c r="C31118" s="2"/>
    </row>
    <row r="31119" spans="3:3" x14ac:dyDescent="0.35">
      <c r="C31119" s="2"/>
    </row>
    <row r="31120" spans="3:3" x14ac:dyDescent="0.35">
      <c r="C31120" s="2"/>
    </row>
    <row r="31121" spans="3:3" x14ac:dyDescent="0.35">
      <c r="C31121" s="2"/>
    </row>
    <row r="31122" spans="3:3" x14ac:dyDescent="0.35">
      <c r="C31122" s="2"/>
    </row>
    <row r="31123" spans="3:3" x14ac:dyDescent="0.35">
      <c r="C31123" s="2"/>
    </row>
    <row r="31124" spans="3:3" x14ac:dyDescent="0.35">
      <c r="C31124" s="2"/>
    </row>
    <row r="31125" spans="3:3" x14ac:dyDescent="0.35">
      <c r="C31125" s="2"/>
    </row>
    <row r="31126" spans="3:3" x14ac:dyDescent="0.35">
      <c r="C31126" s="2"/>
    </row>
    <row r="31127" spans="3:3" x14ac:dyDescent="0.35">
      <c r="C31127" s="2"/>
    </row>
    <row r="31128" spans="3:3" x14ac:dyDescent="0.35">
      <c r="C31128" s="2"/>
    </row>
    <row r="31129" spans="3:3" x14ac:dyDescent="0.35">
      <c r="C31129" s="2"/>
    </row>
    <row r="31130" spans="3:3" x14ac:dyDescent="0.35">
      <c r="C31130" s="2"/>
    </row>
    <row r="31131" spans="3:3" x14ac:dyDescent="0.35">
      <c r="C31131" s="2"/>
    </row>
    <row r="31132" spans="3:3" x14ac:dyDescent="0.35">
      <c r="C31132" s="2"/>
    </row>
    <row r="31133" spans="3:3" x14ac:dyDescent="0.35">
      <c r="C31133" s="2"/>
    </row>
    <row r="31134" spans="3:3" x14ac:dyDescent="0.35">
      <c r="C31134" s="2"/>
    </row>
    <row r="31135" spans="3:3" x14ac:dyDescent="0.35">
      <c r="C31135" s="2"/>
    </row>
    <row r="31136" spans="3:3" x14ac:dyDescent="0.35">
      <c r="C31136" s="2"/>
    </row>
    <row r="31137" spans="3:3" x14ac:dyDescent="0.35">
      <c r="C31137" s="2"/>
    </row>
    <row r="31138" spans="3:3" x14ac:dyDescent="0.35">
      <c r="C31138" s="2"/>
    </row>
    <row r="31139" spans="3:3" x14ac:dyDescent="0.35">
      <c r="C31139" s="2"/>
    </row>
    <row r="31140" spans="3:3" x14ac:dyDescent="0.35">
      <c r="C31140" s="2"/>
    </row>
    <row r="31141" spans="3:3" x14ac:dyDescent="0.35">
      <c r="C31141" s="2"/>
    </row>
    <row r="31142" spans="3:3" x14ac:dyDescent="0.35">
      <c r="C31142" s="2"/>
    </row>
    <row r="31143" spans="3:3" x14ac:dyDescent="0.35">
      <c r="C31143" s="2"/>
    </row>
    <row r="31144" spans="3:3" x14ac:dyDescent="0.35">
      <c r="C31144" s="2"/>
    </row>
    <row r="31145" spans="3:3" x14ac:dyDescent="0.35">
      <c r="C31145" s="2"/>
    </row>
    <row r="31146" spans="3:3" x14ac:dyDescent="0.35">
      <c r="C31146" s="2"/>
    </row>
    <row r="31147" spans="3:3" x14ac:dyDescent="0.35">
      <c r="C31147" s="2"/>
    </row>
    <row r="31148" spans="3:3" x14ac:dyDescent="0.35">
      <c r="C31148" s="2"/>
    </row>
    <row r="31149" spans="3:3" x14ac:dyDescent="0.35">
      <c r="C31149" s="2"/>
    </row>
    <row r="31150" spans="3:3" x14ac:dyDescent="0.35">
      <c r="C31150" s="2"/>
    </row>
    <row r="31151" spans="3:3" x14ac:dyDescent="0.35">
      <c r="C31151" s="2"/>
    </row>
    <row r="31152" spans="3:3" x14ac:dyDescent="0.35">
      <c r="C31152" s="2"/>
    </row>
    <row r="31153" spans="3:3" x14ac:dyDescent="0.35">
      <c r="C31153" s="2"/>
    </row>
    <row r="31154" spans="3:3" x14ac:dyDescent="0.35">
      <c r="C31154" s="2"/>
    </row>
    <row r="31155" spans="3:3" x14ac:dyDescent="0.35">
      <c r="C31155" s="2"/>
    </row>
    <row r="31156" spans="3:3" x14ac:dyDescent="0.35">
      <c r="C31156" s="2"/>
    </row>
    <row r="31157" spans="3:3" x14ac:dyDescent="0.35">
      <c r="C31157" s="2"/>
    </row>
    <row r="31158" spans="3:3" x14ac:dyDescent="0.35">
      <c r="C31158" s="2"/>
    </row>
    <row r="31159" spans="3:3" x14ac:dyDescent="0.35">
      <c r="C31159" s="2"/>
    </row>
    <row r="31160" spans="3:3" x14ac:dyDescent="0.35">
      <c r="C31160" s="2"/>
    </row>
    <row r="31161" spans="3:3" x14ac:dyDescent="0.35">
      <c r="C31161" s="2"/>
    </row>
    <row r="31162" spans="3:3" x14ac:dyDescent="0.35">
      <c r="C31162" s="2"/>
    </row>
    <row r="31163" spans="3:3" x14ac:dyDescent="0.35">
      <c r="C31163" s="2"/>
    </row>
    <row r="31164" spans="3:3" x14ac:dyDescent="0.35">
      <c r="C31164" s="2"/>
    </row>
    <row r="31165" spans="3:3" x14ac:dyDescent="0.35">
      <c r="C31165" s="2"/>
    </row>
    <row r="31166" spans="3:3" x14ac:dyDescent="0.35">
      <c r="C31166" s="2"/>
    </row>
    <row r="31167" spans="3:3" x14ac:dyDescent="0.35">
      <c r="C31167" s="2"/>
    </row>
    <row r="31168" spans="3:3" x14ac:dyDescent="0.35">
      <c r="C31168" s="2"/>
    </row>
    <row r="31169" spans="3:3" x14ac:dyDescent="0.35">
      <c r="C31169" s="2"/>
    </row>
    <row r="31170" spans="3:3" x14ac:dyDescent="0.35">
      <c r="C31170" s="2"/>
    </row>
    <row r="31171" spans="3:3" x14ac:dyDescent="0.35">
      <c r="C31171" s="2"/>
    </row>
    <row r="31172" spans="3:3" x14ac:dyDescent="0.35">
      <c r="C31172" s="2"/>
    </row>
    <row r="31173" spans="3:3" x14ac:dyDescent="0.35">
      <c r="C31173" s="2"/>
    </row>
    <row r="31174" spans="3:3" x14ac:dyDescent="0.35">
      <c r="C31174" s="2"/>
    </row>
    <row r="31175" spans="3:3" x14ac:dyDescent="0.35">
      <c r="C31175" s="2"/>
    </row>
    <row r="31176" spans="3:3" x14ac:dyDescent="0.35">
      <c r="C31176" s="2"/>
    </row>
    <row r="31177" spans="3:3" x14ac:dyDescent="0.35">
      <c r="C31177" s="2"/>
    </row>
    <row r="31178" spans="3:3" x14ac:dyDescent="0.35">
      <c r="C31178" s="2"/>
    </row>
    <row r="31179" spans="3:3" x14ac:dyDescent="0.35">
      <c r="C31179" s="2"/>
    </row>
    <row r="31180" spans="3:3" x14ac:dyDescent="0.35">
      <c r="C31180" s="2"/>
    </row>
    <row r="31181" spans="3:3" x14ac:dyDescent="0.35">
      <c r="C31181" s="2"/>
    </row>
    <row r="31182" spans="3:3" x14ac:dyDescent="0.35">
      <c r="C31182" s="2"/>
    </row>
    <row r="31183" spans="3:3" x14ac:dyDescent="0.35">
      <c r="C31183" s="2"/>
    </row>
    <row r="31184" spans="3:3" x14ac:dyDescent="0.35">
      <c r="C31184" s="2"/>
    </row>
    <row r="31185" spans="3:3" x14ac:dyDescent="0.35">
      <c r="C31185" s="2"/>
    </row>
    <row r="31186" spans="3:3" x14ac:dyDescent="0.35">
      <c r="C31186" s="2"/>
    </row>
    <row r="31187" spans="3:3" x14ac:dyDescent="0.35">
      <c r="C31187" s="2"/>
    </row>
    <row r="31188" spans="3:3" x14ac:dyDescent="0.35">
      <c r="C31188" s="2"/>
    </row>
    <row r="31189" spans="3:3" x14ac:dyDescent="0.35">
      <c r="C31189" s="2"/>
    </row>
    <row r="31190" spans="3:3" x14ac:dyDescent="0.35">
      <c r="C31190" s="2"/>
    </row>
    <row r="31191" spans="3:3" x14ac:dyDescent="0.35">
      <c r="C31191" s="2"/>
    </row>
    <row r="31192" spans="3:3" x14ac:dyDescent="0.35">
      <c r="C31192" s="2"/>
    </row>
    <row r="31193" spans="3:3" x14ac:dyDescent="0.35">
      <c r="C31193" s="2"/>
    </row>
    <row r="31194" spans="3:3" x14ac:dyDescent="0.35">
      <c r="C31194" s="2"/>
    </row>
    <row r="31195" spans="3:3" x14ac:dyDescent="0.35">
      <c r="C31195" s="2"/>
    </row>
    <row r="31196" spans="3:3" x14ac:dyDescent="0.35">
      <c r="C31196" s="2"/>
    </row>
    <row r="31197" spans="3:3" x14ac:dyDescent="0.35">
      <c r="C31197" s="2"/>
    </row>
    <row r="31198" spans="3:3" x14ac:dyDescent="0.35">
      <c r="C31198" s="2"/>
    </row>
    <row r="31199" spans="3:3" x14ac:dyDescent="0.35">
      <c r="C31199" s="2"/>
    </row>
    <row r="31200" spans="3:3" x14ac:dyDescent="0.35">
      <c r="C31200" s="2"/>
    </row>
    <row r="31201" spans="3:3" x14ac:dyDescent="0.35">
      <c r="C31201" s="2"/>
    </row>
    <row r="31202" spans="3:3" x14ac:dyDescent="0.35">
      <c r="C31202" s="2"/>
    </row>
    <row r="31203" spans="3:3" x14ac:dyDescent="0.35">
      <c r="C31203" s="2"/>
    </row>
    <row r="31204" spans="3:3" x14ac:dyDescent="0.35">
      <c r="C31204" s="2"/>
    </row>
    <row r="31205" spans="3:3" x14ac:dyDescent="0.35">
      <c r="C31205" s="2"/>
    </row>
    <row r="31206" spans="3:3" x14ac:dyDescent="0.35">
      <c r="C31206" s="2"/>
    </row>
    <row r="31207" spans="3:3" x14ac:dyDescent="0.35">
      <c r="C31207" s="2"/>
    </row>
    <row r="31208" spans="3:3" x14ac:dyDescent="0.35">
      <c r="C31208" s="2"/>
    </row>
    <row r="31209" spans="3:3" x14ac:dyDescent="0.35">
      <c r="C31209" s="2"/>
    </row>
    <row r="31210" spans="3:3" x14ac:dyDescent="0.35">
      <c r="C31210" s="2"/>
    </row>
    <row r="31211" spans="3:3" x14ac:dyDescent="0.35">
      <c r="C31211" s="2"/>
    </row>
    <row r="31212" spans="3:3" x14ac:dyDescent="0.35">
      <c r="C31212" s="2"/>
    </row>
    <row r="31213" spans="3:3" x14ac:dyDescent="0.35">
      <c r="C31213" s="2"/>
    </row>
    <row r="31214" spans="3:3" x14ac:dyDescent="0.35">
      <c r="C31214" s="2"/>
    </row>
    <row r="31215" spans="3:3" x14ac:dyDescent="0.35">
      <c r="C31215" s="2"/>
    </row>
    <row r="31216" spans="3:3" x14ac:dyDescent="0.35">
      <c r="C31216" s="2"/>
    </row>
    <row r="31217" spans="3:3" x14ac:dyDescent="0.35">
      <c r="C31217" s="2"/>
    </row>
    <row r="31218" spans="3:3" x14ac:dyDescent="0.35">
      <c r="C31218" s="2"/>
    </row>
    <row r="31219" spans="3:3" x14ac:dyDescent="0.35">
      <c r="C31219" s="2"/>
    </row>
    <row r="31220" spans="3:3" x14ac:dyDescent="0.35">
      <c r="C31220" s="2"/>
    </row>
    <row r="31221" spans="3:3" x14ac:dyDescent="0.35">
      <c r="C31221" s="2"/>
    </row>
    <row r="31222" spans="3:3" x14ac:dyDescent="0.35">
      <c r="C31222" s="2"/>
    </row>
    <row r="31223" spans="3:3" x14ac:dyDescent="0.35">
      <c r="C31223" s="2"/>
    </row>
    <row r="31224" spans="3:3" x14ac:dyDescent="0.35">
      <c r="C31224" s="2"/>
    </row>
    <row r="31225" spans="3:3" x14ac:dyDescent="0.35">
      <c r="C31225" s="2"/>
    </row>
    <row r="31226" spans="3:3" x14ac:dyDescent="0.35">
      <c r="C31226" s="2"/>
    </row>
    <row r="31227" spans="3:3" x14ac:dyDescent="0.35">
      <c r="C31227" s="2"/>
    </row>
    <row r="31228" spans="3:3" x14ac:dyDescent="0.35">
      <c r="C31228" s="2"/>
    </row>
    <row r="31229" spans="3:3" x14ac:dyDescent="0.35">
      <c r="C31229" s="2"/>
    </row>
    <row r="31230" spans="3:3" x14ac:dyDescent="0.35">
      <c r="C31230" s="2"/>
    </row>
    <row r="31231" spans="3:3" x14ac:dyDescent="0.35">
      <c r="C31231" s="2"/>
    </row>
    <row r="31232" spans="3:3" x14ac:dyDescent="0.35">
      <c r="C31232" s="2"/>
    </row>
    <row r="31233" spans="3:3" x14ac:dyDescent="0.35">
      <c r="C31233" s="2"/>
    </row>
    <row r="31234" spans="3:3" x14ac:dyDescent="0.35">
      <c r="C31234" s="2"/>
    </row>
    <row r="31235" spans="3:3" x14ac:dyDescent="0.35">
      <c r="C31235" s="2"/>
    </row>
    <row r="31236" spans="3:3" x14ac:dyDescent="0.35">
      <c r="C31236" s="2"/>
    </row>
    <row r="31237" spans="3:3" x14ac:dyDescent="0.35">
      <c r="C31237" s="2"/>
    </row>
    <row r="31238" spans="3:3" x14ac:dyDescent="0.35">
      <c r="C31238" s="2"/>
    </row>
    <row r="31239" spans="3:3" x14ac:dyDescent="0.35">
      <c r="C31239" s="2"/>
    </row>
    <row r="31240" spans="3:3" x14ac:dyDescent="0.35">
      <c r="C31240" s="2"/>
    </row>
    <row r="31241" spans="3:3" x14ac:dyDescent="0.35">
      <c r="C31241" s="2"/>
    </row>
    <row r="31242" spans="3:3" x14ac:dyDescent="0.35">
      <c r="C31242" s="2"/>
    </row>
    <row r="31243" spans="3:3" x14ac:dyDescent="0.35">
      <c r="C31243" s="2"/>
    </row>
    <row r="31244" spans="3:3" x14ac:dyDescent="0.35">
      <c r="C31244" s="2"/>
    </row>
    <row r="31245" spans="3:3" x14ac:dyDescent="0.35">
      <c r="C31245" s="2"/>
    </row>
    <row r="31246" spans="3:3" x14ac:dyDescent="0.35">
      <c r="C31246" s="2"/>
    </row>
    <row r="31247" spans="3:3" x14ac:dyDescent="0.35">
      <c r="C31247" s="2"/>
    </row>
    <row r="31248" spans="3:3" x14ac:dyDescent="0.35">
      <c r="C31248" s="2"/>
    </row>
    <row r="31249" spans="3:3" x14ac:dyDescent="0.35">
      <c r="C31249" s="2"/>
    </row>
    <row r="31250" spans="3:3" x14ac:dyDescent="0.35">
      <c r="C31250" s="2"/>
    </row>
    <row r="31251" spans="3:3" x14ac:dyDescent="0.35">
      <c r="C31251" s="2"/>
    </row>
    <row r="31252" spans="3:3" x14ac:dyDescent="0.35">
      <c r="C31252" s="2"/>
    </row>
    <row r="31253" spans="3:3" x14ac:dyDescent="0.35">
      <c r="C31253" s="2"/>
    </row>
    <row r="31254" spans="3:3" x14ac:dyDescent="0.35">
      <c r="C31254" s="2"/>
    </row>
    <row r="31255" spans="3:3" x14ac:dyDescent="0.35">
      <c r="C31255" s="2"/>
    </row>
    <row r="31256" spans="3:3" x14ac:dyDescent="0.35">
      <c r="C31256" s="2"/>
    </row>
    <row r="31257" spans="3:3" x14ac:dyDescent="0.35">
      <c r="C31257" s="2"/>
    </row>
    <row r="31258" spans="3:3" x14ac:dyDescent="0.35">
      <c r="C31258" s="2"/>
    </row>
    <row r="31259" spans="3:3" x14ac:dyDescent="0.35">
      <c r="C31259" s="2"/>
    </row>
    <row r="31260" spans="3:3" x14ac:dyDescent="0.35">
      <c r="C31260" s="2"/>
    </row>
    <row r="31261" spans="3:3" x14ac:dyDescent="0.35">
      <c r="C31261" s="2"/>
    </row>
    <row r="31262" spans="3:3" x14ac:dyDescent="0.35">
      <c r="C31262" s="2"/>
    </row>
    <row r="31263" spans="3:3" x14ac:dyDescent="0.35">
      <c r="C31263" s="2"/>
    </row>
    <row r="31264" spans="3:3" x14ac:dyDescent="0.35">
      <c r="C31264" s="2"/>
    </row>
    <row r="31265" spans="3:3" x14ac:dyDescent="0.35">
      <c r="C31265" s="2"/>
    </row>
    <row r="31266" spans="3:3" x14ac:dyDescent="0.35">
      <c r="C31266" s="2"/>
    </row>
    <row r="31267" spans="3:3" x14ac:dyDescent="0.35">
      <c r="C31267" s="2"/>
    </row>
    <row r="31268" spans="3:3" x14ac:dyDescent="0.35">
      <c r="C31268" s="2"/>
    </row>
    <row r="31269" spans="3:3" x14ac:dyDescent="0.35">
      <c r="C31269" s="2"/>
    </row>
    <row r="31270" spans="3:3" x14ac:dyDescent="0.35">
      <c r="C31270" s="2"/>
    </row>
    <row r="31271" spans="3:3" x14ac:dyDescent="0.35">
      <c r="C31271" s="2"/>
    </row>
    <row r="31272" spans="3:3" x14ac:dyDescent="0.35">
      <c r="C31272" s="2"/>
    </row>
    <row r="31273" spans="3:3" x14ac:dyDescent="0.35">
      <c r="C31273" s="2"/>
    </row>
    <row r="31274" spans="3:3" x14ac:dyDescent="0.35">
      <c r="C31274" s="2"/>
    </row>
    <row r="31275" spans="3:3" x14ac:dyDescent="0.35">
      <c r="C31275" s="2"/>
    </row>
    <row r="31276" spans="3:3" x14ac:dyDescent="0.35">
      <c r="C31276" s="2"/>
    </row>
    <row r="31277" spans="3:3" x14ac:dyDescent="0.35">
      <c r="C31277" s="2"/>
    </row>
    <row r="31278" spans="3:3" x14ac:dyDescent="0.35">
      <c r="C31278" s="2"/>
    </row>
    <row r="31279" spans="3:3" x14ac:dyDescent="0.35">
      <c r="C31279" s="2"/>
    </row>
    <row r="31280" spans="3:3" x14ac:dyDescent="0.35">
      <c r="C31280" s="2"/>
    </row>
    <row r="31281" spans="3:3" x14ac:dyDescent="0.35">
      <c r="C31281" s="2"/>
    </row>
    <row r="31282" spans="3:3" x14ac:dyDescent="0.35">
      <c r="C31282" s="2"/>
    </row>
    <row r="31283" spans="3:3" x14ac:dyDescent="0.35">
      <c r="C31283" s="2"/>
    </row>
    <row r="31284" spans="3:3" x14ac:dyDescent="0.35">
      <c r="C31284" s="2"/>
    </row>
    <row r="31285" spans="3:3" x14ac:dyDescent="0.35">
      <c r="C31285" s="2"/>
    </row>
    <row r="31286" spans="3:3" x14ac:dyDescent="0.35">
      <c r="C31286" s="2"/>
    </row>
    <row r="31287" spans="3:3" x14ac:dyDescent="0.35">
      <c r="C31287" s="2"/>
    </row>
    <row r="31288" spans="3:3" x14ac:dyDescent="0.35">
      <c r="C31288" s="2"/>
    </row>
    <row r="31289" spans="3:3" x14ac:dyDescent="0.35">
      <c r="C31289" s="2"/>
    </row>
    <row r="31290" spans="3:3" x14ac:dyDescent="0.35">
      <c r="C31290" s="2"/>
    </row>
    <row r="31291" spans="3:3" x14ac:dyDescent="0.35">
      <c r="C31291" s="2"/>
    </row>
    <row r="31292" spans="3:3" x14ac:dyDescent="0.35">
      <c r="C31292" s="2"/>
    </row>
    <row r="31293" spans="3:3" x14ac:dyDescent="0.35">
      <c r="C31293" s="2"/>
    </row>
    <row r="31294" spans="3:3" x14ac:dyDescent="0.35">
      <c r="C31294" s="2"/>
    </row>
    <row r="31295" spans="3:3" x14ac:dyDescent="0.35">
      <c r="C31295" s="2"/>
    </row>
    <row r="31296" spans="3:3" x14ac:dyDescent="0.35">
      <c r="C31296" s="2"/>
    </row>
    <row r="31297" spans="3:3" x14ac:dyDescent="0.35">
      <c r="C31297" s="2"/>
    </row>
    <row r="31298" spans="3:3" x14ac:dyDescent="0.35">
      <c r="C31298" s="2"/>
    </row>
    <row r="31299" spans="3:3" x14ac:dyDescent="0.35">
      <c r="C31299" s="2"/>
    </row>
    <row r="31300" spans="3:3" x14ac:dyDescent="0.35">
      <c r="C31300" s="2"/>
    </row>
    <row r="31301" spans="3:3" x14ac:dyDescent="0.35">
      <c r="C31301" s="2"/>
    </row>
    <row r="31302" spans="3:3" x14ac:dyDescent="0.35">
      <c r="C31302" s="2"/>
    </row>
    <row r="31303" spans="3:3" x14ac:dyDescent="0.35">
      <c r="C31303" s="2"/>
    </row>
    <row r="31304" spans="3:3" x14ac:dyDescent="0.35">
      <c r="C31304" s="2"/>
    </row>
    <row r="31305" spans="3:3" x14ac:dyDescent="0.35">
      <c r="C31305" s="2"/>
    </row>
    <row r="31306" spans="3:3" x14ac:dyDescent="0.35">
      <c r="C31306" s="2"/>
    </row>
    <row r="31307" spans="3:3" x14ac:dyDescent="0.35">
      <c r="C31307" s="2"/>
    </row>
    <row r="31308" spans="3:3" x14ac:dyDescent="0.35">
      <c r="C31308" s="2"/>
    </row>
    <row r="31309" spans="3:3" x14ac:dyDescent="0.35">
      <c r="C31309" s="2"/>
    </row>
    <row r="31310" spans="3:3" x14ac:dyDescent="0.35">
      <c r="C31310" s="2"/>
    </row>
    <row r="31311" spans="3:3" x14ac:dyDescent="0.35">
      <c r="C31311" s="2"/>
    </row>
    <row r="31312" spans="3:3" x14ac:dyDescent="0.35">
      <c r="C31312" s="2"/>
    </row>
    <row r="31313" spans="3:3" x14ac:dyDescent="0.35">
      <c r="C31313" s="2"/>
    </row>
    <row r="31314" spans="3:3" x14ac:dyDescent="0.35">
      <c r="C31314" s="2"/>
    </row>
    <row r="31315" spans="3:3" x14ac:dyDescent="0.35">
      <c r="C31315" s="2"/>
    </row>
    <row r="31316" spans="3:3" x14ac:dyDescent="0.35">
      <c r="C31316" s="2"/>
    </row>
    <row r="31317" spans="3:3" x14ac:dyDescent="0.35">
      <c r="C31317" s="2"/>
    </row>
    <row r="31318" spans="3:3" x14ac:dyDescent="0.35">
      <c r="C31318" s="2"/>
    </row>
    <row r="31319" spans="3:3" x14ac:dyDescent="0.35">
      <c r="C31319" s="2"/>
    </row>
    <row r="31320" spans="3:3" x14ac:dyDescent="0.35">
      <c r="C31320" s="2"/>
    </row>
    <row r="31321" spans="3:3" x14ac:dyDescent="0.35">
      <c r="C31321" s="2"/>
    </row>
    <row r="31322" spans="3:3" x14ac:dyDescent="0.35">
      <c r="C31322" s="2"/>
    </row>
    <row r="31323" spans="3:3" x14ac:dyDescent="0.35">
      <c r="C31323" s="2"/>
    </row>
    <row r="31324" spans="3:3" x14ac:dyDescent="0.35">
      <c r="C31324" s="2"/>
    </row>
    <row r="31325" spans="3:3" x14ac:dyDescent="0.35">
      <c r="C31325" s="2"/>
    </row>
    <row r="31326" spans="3:3" x14ac:dyDescent="0.35">
      <c r="C31326" s="2"/>
    </row>
    <row r="31327" spans="3:3" x14ac:dyDescent="0.35">
      <c r="C31327" s="2"/>
    </row>
    <row r="31328" spans="3:3" x14ac:dyDescent="0.35">
      <c r="C31328" s="2"/>
    </row>
    <row r="31329" spans="3:3" x14ac:dyDescent="0.35">
      <c r="C31329" s="2"/>
    </row>
    <row r="31330" spans="3:3" x14ac:dyDescent="0.35">
      <c r="C31330" s="2"/>
    </row>
    <row r="31331" spans="3:3" x14ac:dyDescent="0.35">
      <c r="C31331" s="2"/>
    </row>
    <row r="31332" spans="3:3" x14ac:dyDescent="0.35">
      <c r="C31332" s="2"/>
    </row>
    <row r="31333" spans="3:3" x14ac:dyDescent="0.35">
      <c r="C31333" s="2"/>
    </row>
    <row r="31334" spans="3:3" x14ac:dyDescent="0.35">
      <c r="C31334" s="2"/>
    </row>
    <row r="31335" spans="3:3" x14ac:dyDescent="0.35">
      <c r="C31335" s="2"/>
    </row>
    <row r="31336" spans="3:3" x14ac:dyDescent="0.35">
      <c r="C31336" s="2"/>
    </row>
    <row r="31337" spans="3:3" x14ac:dyDescent="0.35">
      <c r="C31337" s="2"/>
    </row>
    <row r="31338" spans="3:3" x14ac:dyDescent="0.35">
      <c r="C31338" s="2"/>
    </row>
    <row r="31339" spans="3:3" x14ac:dyDescent="0.35">
      <c r="C31339" s="2"/>
    </row>
    <row r="31340" spans="3:3" x14ac:dyDescent="0.35">
      <c r="C31340" s="2"/>
    </row>
    <row r="31341" spans="3:3" x14ac:dyDescent="0.35">
      <c r="C31341" s="2"/>
    </row>
    <row r="31342" spans="3:3" x14ac:dyDescent="0.35">
      <c r="C31342" s="2"/>
    </row>
    <row r="31343" spans="3:3" x14ac:dyDescent="0.35">
      <c r="C31343" s="2"/>
    </row>
    <row r="31344" spans="3:3" x14ac:dyDescent="0.35">
      <c r="C31344" s="2"/>
    </row>
    <row r="31345" spans="3:3" x14ac:dyDescent="0.35">
      <c r="C31345" s="2"/>
    </row>
    <row r="31346" spans="3:3" x14ac:dyDescent="0.35">
      <c r="C31346" s="2"/>
    </row>
    <row r="31347" spans="3:3" x14ac:dyDescent="0.35">
      <c r="C31347" s="2"/>
    </row>
    <row r="31348" spans="3:3" x14ac:dyDescent="0.35">
      <c r="C31348" s="2"/>
    </row>
    <row r="31349" spans="3:3" x14ac:dyDescent="0.35">
      <c r="C31349" s="2"/>
    </row>
    <row r="31350" spans="3:3" x14ac:dyDescent="0.35">
      <c r="C31350" s="2"/>
    </row>
    <row r="31351" spans="3:3" x14ac:dyDescent="0.35">
      <c r="C31351" s="2"/>
    </row>
    <row r="31352" spans="3:3" x14ac:dyDescent="0.35">
      <c r="C31352" s="2"/>
    </row>
    <row r="31353" spans="3:3" x14ac:dyDescent="0.35">
      <c r="C31353" s="2"/>
    </row>
    <row r="31354" spans="3:3" x14ac:dyDescent="0.35">
      <c r="C31354" s="2"/>
    </row>
    <row r="31355" spans="3:3" x14ac:dyDescent="0.35">
      <c r="C31355" s="2"/>
    </row>
    <row r="31356" spans="3:3" x14ac:dyDescent="0.35">
      <c r="C31356" s="2"/>
    </row>
    <row r="31357" spans="3:3" x14ac:dyDescent="0.35">
      <c r="C31357" s="2"/>
    </row>
    <row r="31358" spans="3:3" x14ac:dyDescent="0.35">
      <c r="C31358" s="2"/>
    </row>
    <row r="31359" spans="3:3" x14ac:dyDescent="0.35">
      <c r="C31359" s="2"/>
    </row>
    <row r="31360" spans="3:3" x14ac:dyDescent="0.35">
      <c r="C31360" s="2"/>
    </row>
    <row r="31361" spans="3:3" x14ac:dyDescent="0.35">
      <c r="C31361" s="2"/>
    </row>
    <row r="31362" spans="3:3" x14ac:dyDescent="0.35">
      <c r="C31362" s="2"/>
    </row>
    <row r="31363" spans="3:3" x14ac:dyDescent="0.35">
      <c r="C31363" s="2"/>
    </row>
    <row r="31364" spans="3:3" x14ac:dyDescent="0.35">
      <c r="C31364" s="2"/>
    </row>
    <row r="31365" spans="3:3" x14ac:dyDescent="0.35">
      <c r="C31365" s="2"/>
    </row>
    <row r="31366" spans="3:3" x14ac:dyDescent="0.35">
      <c r="C31366" s="2"/>
    </row>
    <row r="31367" spans="3:3" x14ac:dyDescent="0.35">
      <c r="C31367" s="2"/>
    </row>
    <row r="31368" spans="3:3" x14ac:dyDescent="0.35">
      <c r="C31368" s="2"/>
    </row>
    <row r="31369" spans="3:3" x14ac:dyDescent="0.35">
      <c r="C31369" s="2"/>
    </row>
    <row r="31370" spans="3:3" x14ac:dyDescent="0.35">
      <c r="C31370" s="2"/>
    </row>
    <row r="31371" spans="3:3" x14ac:dyDescent="0.35">
      <c r="C31371" s="2"/>
    </row>
    <row r="31372" spans="3:3" x14ac:dyDescent="0.35">
      <c r="C31372" s="2"/>
    </row>
    <row r="31373" spans="3:3" x14ac:dyDescent="0.35">
      <c r="C31373" s="2"/>
    </row>
    <row r="31374" spans="3:3" x14ac:dyDescent="0.35">
      <c r="C31374" s="2"/>
    </row>
    <row r="31375" spans="3:3" x14ac:dyDescent="0.35">
      <c r="C31375" s="2"/>
    </row>
    <row r="31376" spans="3:3" x14ac:dyDescent="0.35">
      <c r="C31376" s="2"/>
    </row>
    <row r="31377" spans="3:3" x14ac:dyDescent="0.35">
      <c r="C31377" s="2"/>
    </row>
    <row r="31378" spans="3:3" x14ac:dyDescent="0.35">
      <c r="C31378" s="2"/>
    </row>
    <row r="31379" spans="3:3" x14ac:dyDescent="0.35">
      <c r="C31379" s="2"/>
    </row>
    <row r="31380" spans="3:3" x14ac:dyDescent="0.35">
      <c r="C31380" s="2"/>
    </row>
    <row r="31381" spans="3:3" x14ac:dyDescent="0.35">
      <c r="C31381" s="2"/>
    </row>
    <row r="31382" spans="3:3" x14ac:dyDescent="0.35">
      <c r="C31382" s="2"/>
    </row>
    <row r="31383" spans="3:3" x14ac:dyDescent="0.35">
      <c r="C31383" s="2"/>
    </row>
    <row r="31384" spans="3:3" x14ac:dyDescent="0.35">
      <c r="C31384" s="2"/>
    </row>
    <row r="31385" spans="3:3" x14ac:dyDescent="0.35">
      <c r="C31385" s="2"/>
    </row>
    <row r="31386" spans="3:3" x14ac:dyDescent="0.35">
      <c r="C31386" s="2"/>
    </row>
    <row r="31387" spans="3:3" x14ac:dyDescent="0.35">
      <c r="C31387" s="2"/>
    </row>
    <row r="31388" spans="3:3" x14ac:dyDescent="0.35">
      <c r="C31388" s="2"/>
    </row>
    <row r="31389" spans="3:3" x14ac:dyDescent="0.35">
      <c r="C31389" s="2"/>
    </row>
    <row r="31390" spans="3:3" x14ac:dyDescent="0.35">
      <c r="C31390" s="2"/>
    </row>
    <row r="31391" spans="3:3" x14ac:dyDescent="0.35">
      <c r="C31391" s="2"/>
    </row>
    <row r="31392" spans="3:3" x14ac:dyDescent="0.35">
      <c r="C31392" s="2"/>
    </row>
    <row r="31393" spans="3:3" x14ac:dyDescent="0.35">
      <c r="C31393" s="2"/>
    </row>
    <row r="31394" spans="3:3" x14ac:dyDescent="0.35">
      <c r="C31394" s="2"/>
    </row>
    <row r="31395" spans="3:3" x14ac:dyDescent="0.35">
      <c r="C31395" s="2"/>
    </row>
    <row r="31396" spans="3:3" x14ac:dyDescent="0.35">
      <c r="C31396" s="2"/>
    </row>
    <row r="31397" spans="3:3" x14ac:dyDescent="0.35">
      <c r="C31397" s="2"/>
    </row>
    <row r="31398" spans="3:3" x14ac:dyDescent="0.35">
      <c r="C31398" s="2"/>
    </row>
    <row r="31399" spans="3:3" x14ac:dyDescent="0.35">
      <c r="C31399" s="2"/>
    </row>
    <row r="31400" spans="3:3" x14ac:dyDescent="0.35">
      <c r="C31400" s="2"/>
    </row>
    <row r="31401" spans="3:3" x14ac:dyDescent="0.35">
      <c r="C31401" s="2"/>
    </row>
    <row r="31402" spans="3:3" x14ac:dyDescent="0.35">
      <c r="C31402" s="2"/>
    </row>
    <row r="31403" spans="3:3" x14ac:dyDescent="0.35">
      <c r="C31403" s="2"/>
    </row>
    <row r="31404" spans="3:3" x14ac:dyDescent="0.35">
      <c r="C31404" s="2"/>
    </row>
    <row r="31405" spans="3:3" x14ac:dyDescent="0.35">
      <c r="C31405" s="2"/>
    </row>
    <row r="31406" spans="3:3" x14ac:dyDescent="0.35">
      <c r="C31406" s="2"/>
    </row>
    <row r="31407" spans="3:3" x14ac:dyDescent="0.35">
      <c r="C31407" s="2"/>
    </row>
    <row r="31408" spans="3:3" x14ac:dyDescent="0.35">
      <c r="C31408" s="2"/>
    </row>
    <row r="31409" spans="3:3" x14ac:dyDescent="0.35">
      <c r="C31409" s="2"/>
    </row>
    <row r="31410" spans="3:3" x14ac:dyDescent="0.35">
      <c r="C31410" s="2"/>
    </row>
    <row r="31411" spans="3:3" x14ac:dyDescent="0.35">
      <c r="C31411" s="2"/>
    </row>
    <row r="31412" spans="3:3" x14ac:dyDescent="0.35">
      <c r="C31412" s="2"/>
    </row>
    <row r="31413" spans="3:3" x14ac:dyDescent="0.35">
      <c r="C31413" s="2"/>
    </row>
    <row r="31414" spans="3:3" x14ac:dyDescent="0.35">
      <c r="C31414" s="2"/>
    </row>
    <row r="31415" spans="3:3" x14ac:dyDescent="0.35">
      <c r="C31415" s="2"/>
    </row>
    <row r="31416" spans="3:3" x14ac:dyDescent="0.35">
      <c r="C31416" s="2"/>
    </row>
    <row r="31417" spans="3:3" x14ac:dyDescent="0.35">
      <c r="C31417" s="2"/>
    </row>
    <row r="31418" spans="3:3" x14ac:dyDescent="0.35">
      <c r="C31418" s="2"/>
    </row>
    <row r="31419" spans="3:3" x14ac:dyDescent="0.35">
      <c r="C31419" s="2"/>
    </row>
    <row r="31420" spans="3:3" x14ac:dyDescent="0.35">
      <c r="C31420" s="2"/>
    </row>
    <row r="31421" spans="3:3" x14ac:dyDescent="0.35">
      <c r="C31421" s="2"/>
    </row>
    <row r="31422" spans="3:3" x14ac:dyDescent="0.35">
      <c r="C31422" s="2"/>
    </row>
    <row r="31423" spans="3:3" x14ac:dyDescent="0.35">
      <c r="C31423" s="2"/>
    </row>
    <row r="31424" spans="3:3" x14ac:dyDescent="0.35">
      <c r="C31424" s="2"/>
    </row>
    <row r="31425" spans="3:3" x14ac:dyDescent="0.35">
      <c r="C31425" s="2"/>
    </row>
    <row r="31426" spans="3:3" x14ac:dyDescent="0.35">
      <c r="C31426" s="2"/>
    </row>
    <row r="31427" spans="3:3" x14ac:dyDescent="0.35">
      <c r="C31427" s="2"/>
    </row>
    <row r="31428" spans="3:3" x14ac:dyDescent="0.35">
      <c r="C31428" s="2"/>
    </row>
    <row r="31429" spans="3:3" x14ac:dyDescent="0.35">
      <c r="C31429" s="2"/>
    </row>
    <row r="31430" spans="3:3" x14ac:dyDescent="0.35">
      <c r="C31430" s="2"/>
    </row>
    <row r="31431" spans="3:3" x14ac:dyDescent="0.35">
      <c r="C31431" s="2"/>
    </row>
    <row r="31432" spans="3:3" x14ac:dyDescent="0.35">
      <c r="C31432" s="2"/>
    </row>
    <row r="31433" spans="3:3" x14ac:dyDescent="0.35">
      <c r="C31433" s="2"/>
    </row>
    <row r="31434" spans="3:3" x14ac:dyDescent="0.35">
      <c r="C31434" s="2"/>
    </row>
    <row r="31435" spans="3:3" x14ac:dyDescent="0.35">
      <c r="C31435" s="2"/>
    </row>
    <row r="31436" spans="3:3" x14ac:dyDescent="0.35">
      <c r="C31436" s="2"/>
    </row>
    <row r="31437" spans="3:3" x14ac:dyDescent="0.35">
      <c r="C31437" s="2"/>
    </row>
    <row r="31438" spans="3:3" x14ac:dyDescent="0.35">
      <c r="C31438" s="2"/>
    </row>
    <row r="31439" spans="3:3" x14ac:dyDescent="0.35">
      <c r="C31439" s="2"/>
    </row>
    <row r="31440" spans="3:3" x14ac:dyDescent="0.35">
      <c r="C31440" s="2"/>
    </row>
    <row r="31441" spans="3:3" x14ac:dyDescent="0.35">
      <c r="C31441" s="2"/>
    </row>
    <row r="31442" spans="3:3" x14ac:dyDescent="0.35">
      <c r="C31442" s="2"/>
    </row>
    <row r="31443" spans="3:3" x14ac:dyDescent="0.35">
      <c r="C31443" s="2"/>
    </row>
    <row r="31444" spans="3:3" x14ac:dyDescent="0.35">
      <c r="C31444" s="2"/>
    </row>
    <row r="31445" spans="3:3" x14ac:dyDescent="0.35">
      <c r="C31445" s="2"/>
    </row>
    <row r="31446" spans="3:3" x14ac:dyDescent="0.35">
      <c r="C31446" s="2"/>
    </row>
    <row r="31447" spans="3:3" x14ac:dyDescent="0.35">
      <c r="C31447" s="2"/>
    </row>
    <row r="31448" spans="3:3" x14ac:dyDescent="0.35">
      <c r="C31448" s="2"/>
    </row>
    <row r="31449" spans="3:3" x14ac:dyDescent="0.35">
      <c r="C31449" s="2"/>
    </row>
    <row r="31450" spans="3:3" x14ac:dyDescent="0.35">
      <c r="C31450" s="2"/>
    </row>
    <row r="31451" spans="3:3" x14ac:dyDescent="0.35">
      <c r="C31451" s="2"/>
    </row>
    <row r="31452" spans="3:3" x14ac:dyDescent="0.35">
      <c r="C31452" s="2"/>
    </row>
    <row r="31453" spans="3:3" x14ac:dyDescent="0.35">
      <c r="C31453" s="2"/>
    </row>
    <row r="31454" spans="3:3" x14ac:dyDescent="0.35">
      <c r="C31454" s="2"/>
    </row>
    <row r="31455" spans="3:3" x14ac:dyDescent="0.35">
      <c r="C31455" s="2"/>
    </row>
    <row r="31456" spans="3:3" x14ac:dyDescent="0.35">
      <c r="C31456" s="2"/>
    </row>
    <row r="31457" spans="3:3" x14ac:dyDescent="0.35">
      <c r="C31457" s="2"/>
    </row>
    <row r="31458" spans="3:3" x14ac:dyDescent="0.35">
      <c r="C31458" s="2"/>
    </row>
    <row r="31459" spans="3:3" x14ac:dyDescent="0.35">
      <c r="C31459" s="2"/>
    </row>
    <row r="31460" spans="3:3" x14ac:dyDescent="0.35">
      <c r="C31460" s="2"/>
    </row>
    <row r="31461" spans="3:3" x14ac:dyDescent="0.35">
      <c r="C31461" s="2"/>
    </row>
    <row r="31462" spans="3:3" x14ac:dyDescent="0.35">
      <c r="C31462" s="2"/>
    </row>
    <row r="31463" spans="3:3" x14ac:dyDescent="0.35">
      <c r="C31463" s="2"/>
    </row>
    <row r="31464" spans="3:3" x14ac:dyDescent="0.35">
      <c r="C31464" s="2"/>
    </row>
    <row r="31465" spans="3:3" x14ac:dyDescent="0.35">
      <c r="C31465" s="2"/>
    </row>
    <row r="31466" spans="3:3" x14ac:dyDescent="0.35">
      <c r="C31466" s="2"/>
    </row>
    <row r="31467" spans="3:3" x14ac:dyDescent="0.35">
      <c r="C31467" s="2"/>
    </row>
    <row r="31468" spans="3:3" x14ac:dyDescent="0.35">
      <c r="C31468" s="2"/>
    </row>
    <row r="31469" spans="3:3" x14ac:dyDescent="0.35">
      <c r="C31469" s="2"/>
    </row>
    <row r="31470" spans="3:3" x14ac:dyDescent="0.35">
      <c r="C31470" s="2"/>
    </row>
    <row r="31471" spans="3:3" x14ac:dyDescent="0.35">
      <c r="C31471" s="2"/>
    </row>
    <row r="31472" spans="3:3" x14ac:dyDescent="0.35">
      <c r="C31472" s="2"/>
    </row>
    <row r="31473" spans="3:3" x14ac:dyDescent="0.35">
      <c r="C31473" s="2"/>
    </row>
    <row r="31474" spans="3:3" x14ac:dyDescent="0.35">
      <c r="C31474" s="2"/>
    </row>
    <row r="31475" spans="3:3" x14ac:dyDescent="0.35">
      <c r="C31475" s="2"/>
    </row>
    <row r="31476" spans="3:3" x14ac:dyDescent="0.35">
      <c r="C31476" s="2"/>
    </row>
    <row r="31477" spans="3:3" x14ac:dyDescent="0.35">
      <c r="C31477" s="2"/>
    </row>
    <row r="31478" spans="3:3" x14ac:dyDescent="0.35">
      <c r="C31478" s="2"/>
    </row>
    <row r="31479" spans="3:3" x14ac:dyDescent="0.35">
      <c r="C31479" s="2"/>
    </row>
    <row r="31480" spans="3:3" x14ac:dyDescent="0.35">
      <c r="C31480" s="2"/>
    </row>
    <row r="31481" spans="3:3" x14ac:dyDescent="0.35">
      <c r="C31481" s="2"/>
    </row>
    <row r="31482" spans="3:3" x14ac:dyDescent="0.35">
      <c r="C31482" s="2"/>
    </row>
    <row r="31483" spans="3:3" x14ac:dyDescent="0.35">
      <c r="C31483" s="2"/>
    </row>
    <row r="31484" spans="3:3" x14ac:dyDescent="0.35">
      <c r="C31484" s="2"/>
    </row>
    <row r="31485" spans="3:3" x14ac:dyDescent="0.35">
      <c r="C31485" s="2"/>
    </row>
    <row r="31486" spans="3:3" x14ac:dyDescent="0.35">
      <c r="C31486" s="2"/>
    </row>
    <row r="31487" spans="3:3" x14ac:dyDescent="0.35">
      <c r="C31487" s="2"/>
    </row>
    <row r="31488" spans="3:3" x14ac:dyDescent="0.35">
      <c r="C31488" s="2"/>
    </row>
    <row r="31489" spans="3:3" x14ac:dyDescent="0.35">
      <c r="C31489" s="2"/>
    </row>
    <row r="31490" spans="3:3" x14ac:dyDescent="0.35">
      <c r="C31490" s="2"/>
    </row>
    <row r="31491" spans="3:3" x14ac:dyDescent="0.35">
      <c r="C31491" s="2"/>
    </row>
    <row r="31492" spans="3:3" x14ac:dyDescent="0.35">
      <c r="C31492" s="2"/>
    </row>
    <row r="31493" spans="3:3" x14ac:dyDescent="0.35">
      <c r="C31493" s="2"/>
    </row>
    <row r="31494" spans="3:3" x14ac:dyDescent="0.35">
      <c r="C31494" s="2"/>
    </row>
    <row r="31495" spans="3:3" x14ac:dyDescent="0.35">
      <c r="C31495" s="2"/>
    </row>
    <row r="31496" spans="3:3" x14ac:dyDescent="0.35">
      <c r="C31496" s="2"/>
    </row>
    <row r="31497" spans="3:3" x14ac:dyDescent="0.35">
      <c r="C31497" s="2"/>
    </row>
    <row r="31498" spans="3:3" x14ac:dyDescent="0.35">
      <c r="C31498" s="2"/>
    </row>
    <row r="31499" spans="3:3" x14ac:dyDescent="0.35">
      <c r="C31499" s="2"/>
    </row>
    <row r="31500" spans="3:3" x14ac:dyDescent="0.35">
      <c r="C31500" s="2"/>
    </row>
    <row r="31501" spans="3:3" x14ac:dyDescent="0.35">
      <c r="C31501" s="2"/>
    </row>
    <row r="31502" spans="3:3" x14ac:dyDescent="0.35">
      <c r="C31502" s="2"/>
    </row>
    <row r="31503" spans="3:3" x14ac:dyDescent="0.35">
      <c r="C31503" s="2"/>
    </row>
    <row r="31504" spans="3:3" x14ac:dyDescent="0.35">
      <c r="C31504" s="2"/>
    </row>
    <row r="31505" spans="3:3" x14ac:dyDescent="0.35">
      <c r="C31505" s="2"/>
    </row>
    <row r="31506" spans="3:3" x14ac:dyDescent="0.35">
      <c r="C31506" s="2"/>
    </row>
    <row r="31507" spans="3:3" x14ac:dyDescent="0.35">
      <c r="C31507" s="2"/>
    </row>
    <row r="31508" spans="3:3" x14ac:dyDescent="0.35">
      <c r="C31508" s="2"/>
    </row>
    <row r="31509" spans="3:3" x14ac:dyDescent="0.35">
      <c r="C31509" s="2"/>
    </row>
    <row r="31510" spans="3:3" x14ac:dyDescent="0.35">
      <c r="C31510" s="2"/>
    </row>
    <row r="31511" spans="3:3" x14ac:dyDescent="0.35">
      <c r="C31511" s="2"/>
    </row>
    <row r="31512" spans="3:3" x14ac:dyDescent="0.35">
      <c r="C31512" s="2"/>
    </row>
    <row r="31513" spans="3:3" x14ac:dyDescent="0.35">
      <c r="C31513" s="2"/>
    </row>
    <row r="31514" spans="3:3" x14ac:dyDescent="0.35">
      <c r="C31514" s="2"/>
    </row>
    <row r="31515" spans="3:3" x14ac:dyDescent="0.35">
      <c r="C31515" s="2"/>
    </row>
    <row r="31516" spans="3:3" x14ac:dyDescent="0.35">
      <c r="C31516" s="2"/>
    </row>
    <row r="31517" spans="3:3" x14ac:dyDescent="0.35">
      <c r="C31517" s="2"/>
    </row>
    <row r="31518" spans="3:3" x14ac:dyDescent="0.35">
      <c r="C31518" s="2"/>
    </row>
    <row r="31519" spans="3:3" x14ac:dyDescent="0.35">
      <c r="C31519" s="2"/>
    </row>
    <row r="31520" spans="3:3" x14ac:dyDescent="0.35">
      <c r="C31520" s="2"/>
    </row>
    <row r="31521" spans="3:3" x14ac:dyDescent="0.35">
      <c r="C31521" s="2"/>
    </row>
    <row r="31522" spans="3:3" x14ac:dyDescent="0.35">
      <c r="C31522" s="2"/>
    </row>
    <row r="31523" spans="3:3" x14ac:dyDescent="0.35">
      <c r="C31523" s="2"/>
    </row>
    <row r="31524" spans="3:3" x14ac:dyDescent="0.35">
      <c r="C31524" s="2"/>
    </row>
    <row r="31525" spans="3:3" x14ac:dyDescent="0.35">
      <c r="C31525" s="2"/>
    </row>
    <row r="31526" spans="3:3" x14ac:dyDescent="0.35">
      <c r="C31526" s="2"/>
    </row>
    <row r="31527" spans="3:3" x14ac:dyDescent="0.35">
      <c r="C31527" s="2"/>
    </row>
    <row r="31528" spans="3:3" x14ac:dyDescent="0.35">
      <c r="C31528" s="2"/>
    </row>
    <row r="31529" spans="3:3" x14ac:dyDescent="0.35">
      <c r="C31529" s="2"/>
    </row>
    <row r="31530" spans="3:3" x14ac:dyDescent="0.35">
      <c r="C31530" s="2"/>
    </row>
    <row r="31531" spans="3:3" x14ac:dyDescent="0.35">
      <c r="C31531" s="2"/>
    </row>
    <row r="31532" spans="3:3" x14ac:dyDescent="0.35">
      <c r="C31532" s="2"/>
    </row>
    <row r="31533" spans="3:3" x14ac:dyDescent="0.35">
      <c r="C31533" s="2"/>
    </row>
    <row r="31534" spans="3:3" x14ac:dyDescent="0.35">
      <c r="C31534" s="2"/>
    </row>
    <row r="31535" spans="3:3" x14ac:dyDescent="0.35">
      <c r="C31535" s="2"/>
    </row>
    <row r="31536" spans="3:3" x14ac:dyDescent="0.35">
      <c r="C31536" s="2"/>
    </row>
    <row r="31537" spans="3:3" x14ac:dyDescent="0.35">
      <c r="C31537" s="2"/>
    </row>
    <row r="31538" spans="3:3" x14ac:dyDescent="0.35">
      <c r="C31538" s="2"/>
    </row>
    <row r="31539" spans="3:3" x14ac:dyDescent="0.35">
      <c r="C31539" s="2"/>
    </row>
    <row r="31540" spans="3:3" x14ac:dyDescent="0.35">
      <c r="C31540" s="2"/>
    </row>
    <row r="31541" spans="3:3" x14ac:dyDescent="0.35">
      <c r="C31541" s="2"/>
    </row>
    <row r="31542" spans="3:3" x14ac:dyDescent="0.35">
      <c r="C31542" s="2"/>
    </row>
    <row r="31543" spans="3:3" x14ac:dyDescent="0.35">
      <c r="C31543" s="2"/>
    </row>
    <row r="31544" spans="3:3" x14ac:dyDescent="0.35">
      <c r="C31544" s="2"/>
    </row>
    <row r="31545" spans="3:3" x14ac:dyDescent="0.35">
      <c r="C31545" s="2"/>
    </row>
    <row r="31546" spans="3:3" x14ac:dyDescent="0.35">
      <c r="C31546" s="2"/>
    </row>
    <row r="31547" spans="3:3" x14ac:dyDescent="0.35">
      <c r="C31547" s="2"/>
    </row>
    <row r="31548" spans="3:3" x14ac:dyDescent="0.35">
      <c r="C31548" s="2"/>
    </row>
    <row r="31549" spans="3:3" x14ac:dyDescent="0.35">
      <c r="C31549" s="2"/>
    </row>
    <row r="31550" spans="3:3" x14ac:dyDescent="0.35">
      <c r="C31550" s="2"/>
    </row>
    <row r="31551" spans="3:3" x14ac:dyDescent="0.35">
      <c r="C31551" s="2"/>
    </row>
    <row r="31552" spans="3:3" x14ac:dyDescent="0.35">
      <c r="C31552" s="2"/>
    </row>
    <row r="31553" spans="3:3" x14ac:dyDescent="0.35">
      <c r="C31553" s="2"/>
    </row>
    <row r="31554" spans="3:3" x14ac:dyDescent="0.35">
      <c r="C31554" s="2"/>
    </row>
    <row r="31555" spans="3:3" x14ac:dyDescent="0.35">
      <c r="C31555" s="2"/>
    </row>
    <row r="31556" spans="3:3" x14ac:dyDescent="0.35">
      <c r="C31556" s="2"/>
    </row>
    <row r="31557" spans="3:3" x14ac:dyDescent="0.35">
      <c r="C31557" s="2"/>
    </row>
    <row r="31558" spans="3:3" x14ac:dyDescent="0.35">
      <c r="C31558" s="2"/>
    </row>
    <row r="31559" spans="3:3" x14ac:dyDescent="0.35">
      <c r="C31559" s="2"/>
    </row>
    <row r="31560" spans="3:3" x14ac:dyDescent="0.35">
      <c r="C31560" s="2"/>
    </row>
    <row r="31561" spans="3:3" x14ac:dyDescent="0.35">
      <c r="C31561" s="2"/>
    </row>
    <row r="31562" spans="3:3" x14ac:dyDescent="0.35">
      <c r="C31562" s="2"/>
    </row>
    <row r="31563" spans="3:3" x14ac:dyDescent="0.35">
      <c r="C31563" s="2"/>
    </row>
    <row r="31564" spans="3:3" x14ac:dyDescent="0.35">
      <c r="C31564" s="2"/>
    </row>
    <row r="31565" spans="3:3" x14ac:dyDescent="0.35">
      <c r="C31565" s="2"/>
    </row>
    <row r="31566" spans="3:3" x14ac:dyDescent="0.35">
      <c r="C31566" s="2"/>
    </row>
    <row r="31567" spans="3:3" x14ac:dyDescent="0.35">
      <c r="C31567" s="2"/>
    </row>
    <row r="31568" spans="3:3" x14ac:dyDescent="0.35">
      <c r="C31568" s="2"/>
    </row>
    <row r="31569" spans="3:3" x14ac:dyDescent="0.35">
      <c r="C31569" s="2"/>
    </row>
    <row r="31570" spans="3:3" x14ac:dyDescent="0.35">
      <c r="C31570" s="2"/>
    </row>
    <row r="31571" spans="3:3" x14ac:dyDescent="0.35">
      <c r="C31571" s="2"/>
    </row>
    <row r="31572" spans="3:3" x14ac:dyDescent="0.35">
      <c r="C31572" s="2"/>
    </row>
    <row r="31573" spans="3:3" x14ac:dyDescent="0.35">
      <c r="C31573" s="2"/>
    </row>
    <row r="31574" spans="3:3" x14ac:dyDescent="0.35">
      <c r="C31574" s="2"/>
    </row>
    <row r="31575" spans="3:3" x14ac:dyDescent="0.35">
      <c r="C31575" s="2"/>
    </row>
    <row r="31576" spans="3:3" x14ac:dyDescent="0.35">
      <c r="C31576" s="2"/>
    </row>
    <row r="31577" spans="3:3" x14ac:dyDescent="0.35">
      <c r="C31577" s="2"/>
    </row>
    <row r="31578" spans="3:3" x14ac:dyDescent="0.35">
      <c r="C31578" s="2"/>
    </row>
    <row r="31579" spans="3:3" x14ac:dyDescent="0.35">
      <c r="C31579" s="2"/>
    </row>
    <row r="31580" spans="3:3" x14ac:dyDescent="0.35">
      <c r="C31580" s="2"/>
    </row>
    <row r="31581" spans="3:3" x14ac:dyDescent="0.35">
      <c r="C31581" s="2"/>
    </row>
    <row r="31582" spans="3:3" x14ac:dyDescent="0.35">
      <c r="C31582" s="2"/>
    </row>
    <row r="31583" spans="3:3" x14ac:dyDescent="0.35">
      <c r="C31583" s="2"/>
    </row>
    <row r="31584" spans="3:3" x14ac:dyDescent="0.35">
      <c r="C31584" s="2"/>
    </row>
    <row r="31585" spans="3:3" x14ac:dyDescent="0.35">
      <c r="C31585" s="2"/>
    </row>
    <row r="31586" spans="3:3" x14ac:dyDescent="0.35">
      <c r="C31586" s="2"/>
    </row>
    <row r="31587" spans="3:3" x14ac:dyDescent="0.35">
      <c r="C31587" s="2"/>
    </row>
    <row r="31588" spans="3:3" x14ac:dyDescent="0.35">
      <c r="C31588" s="2"/>
    </row>
    <row r="31589" spans="3:3" x14ac:dyDescent="0.35">
      <c r="C31589" s="2"/>
    </row>
    <row r="31590" spans="3:3" x14ac:dyDescent="0.35">
      <c r="C31590" s="2"/>
    </row>
    <row r="31591" spans="3:3" x14ac:dyDescent="0.35">
      <c r="C31591" s="2"/>
    </row>
    <row r="31592" spans="3:3" x14ac:dyDescent="0.35">
      <c r="C31592" s="2"/>
    </row>
    <row r="31593" spans="3:3" x14ac:dyDescent="0.35">
      <c r="C31593" s="2"/>
    </row>
    <row r="31594" spans="3:3" x14ac:dyDescent="0.35">
      <c r="C31594" s="2"/>
    </row>
    <row r="31595" spans="3:3" x14ac:dyDescent="0.35">
      <c r="C31595" s="2"/>
    </row>
    <row r="31596" spans="3:3" x14ac:dyDescent="0.35">
      <c r="C31596" s="2"/>
    </row>
    <row r="31597" spans="3:3" x14ac:dyDescent="0.35">
      <c r="C31597" s="2"/>
    </row>
    <row r="31598" spans="3:3" x14ac:dyDescent="0.35">
      <c r="C31598" s="2"/>
    </row>
    <row r="31599" spans="3:3" x14ac:dyDescent="0.35">
      <c r="C31599" s="2"/>
    </row>
    <row r="31600" spans="3:3" x14ac:dyDescent="0.35">
      <c r="C31600" s="2"/>
    </row>
    <row r="31601" spans="3:3" x14ac:dyDescent="0.35">
      <c r="C31601" s="2"/>
    </row>
    <row r="31602" spans="3:3" x14ac:dyDescent="0.35">
      <c r="C31602" s="2"/>
    </row>
    <row r="31603" spans="3:3" x14ac:dyDescent="0.35">
      <c r="C31603" s="2"/>
    </row>
    <row r="31604" spans="3:3" x14ac:dyDescent="0.35">
      <c r="C31604" s="2"/>
    </row>
    <row r="31605" spans="3:3" x14ac:dyDescent="0.35">
      <c r="C31605" s="2"/>
    </row>
    <row r="31606" spans="3:3" x14ac:dyDescent="0.35">
      <c r="C31606" s="2"/>
    </row>
    <row r="31607" spans="3:3" x14ac:dyDescent="0.35">
      <c r="C31607" s="2"/>
    </row>
    <row r="31608" spans="3:3" x14ac:dyDescent="0.35">
      <c r="C31608" s="2"/>
    </row>
    <row r="31609" spans="3:3" x14ac:dyDescent="0.35">
      <c r="C31609" s="2"/>
    </row>
    <row r="31610" spans="3:3" x14ac:dyDescent="0.35">
      <c r="C31610" s="2"/>
    </row>
    <row r="31611" spans="3:3" x14ac:dyDescent="0.35">
      <c r="C31611" s="2"/>
    </row>
    <row r="31612" spans="3:3" x14ac:dyDescent="0.35">
      <c r="C31612" s="2"/>
    </row>
    <row r="31613" spans="3:3" x14ac:dyDescent="0.35">
      <c r="C31613" s="2"/>
    </row>
    <row r="31614" spans="3:3" x14ac:dyDescent="0.35">
      <c r="C31614" s="2"/>
    </row>
    <row r="31615" spans="3:3" x14ac:dyDescent="0.35">
      <c r="C31615" s="2"/>
    </row>
    <row r="31616" spans="3:3" x14ac:dyDescent="0.35">
      <c r="C31616" s="2"/>
    </row>
    <row r="31617" spans="3:3" x14ac:dyDescent="0.35">
      <c r="C31617" s="2"/>
    </row>
    <row r="31618" spans="3:3" x14ac:dyDescent="0.35">
      <c r="C31618" s="2"/>
    </row>
    <row r="31619" spans="3:3" x14ac:dyDescent="0.35">
      <c r="C31619" s="2"/>
    </row>
    <row r="31620" spans="3:3" x14ac:dyDescent="0.35">
      <c r="C31620" s="2"/>
    </row>
    <row r="31621" spans="3:3" x14ac:dyDescent="0.35">
      <c r="C31621" s="2"/>
    </row>
    <row r="31622" spans="3:3" x14ac:dyDescent="0.35">
      <c r="C31622" s="2"/>
    </row>
    <row r="31623" spans="3:3" x14ac:dyDescent="0.35">
      <c r="C31623" s="2"/>
    </row>
    <row r="31624" spans="3:3" x14ac:dyDescent="0.35">
      <c r="C31624" s="2"/>
    </row>
    <row r="31625" spans="3:3" x14ac:dyDescent="0.35">
      <c r="C31625" s="2"/>
    </row>
    <row r="31626" spans="3:3" x14ac:dyDescent="0.35">
      <c r="C31626" s="2"/>
    </row>
    <row r="31627" spans="3:3" x14ac:dyDescent="0.35">
      <c r="C31627" s="2"/>
    </row>
    <row r="31628" spans="3:3" x14ac:dyDescent="0.35">
      <c r="C31628" s="2"/>
    </row>
    <row r="31629" spans="3:3" x14ac:dyDescent="0.35">
      <c r="C31629" s="2"/>
    </row>
    <row r="31630" spans="3:3" x14ac:dyDescent="0.35">
      <c r="C31630" s="2"/>
    </row>
    <row r="31631" spans="3:3" x14ac:dyDescent="0.35">
      <c r="C31631" s="2"/>
    </row>
    <row r="31632" spans="3:3" x14ac:dyDescent="0.35">
      <c r="C31632" s="2"/>
    </row>
    <row r="31633" spans="3:3" x14ac:dyDescent="0.35">
      <c r="C31633" s="2"/>
    </row>
    <row r="31634" spans="3:3" x14ac:dyDescent="0.35">
      <c r="C31634" s="2"/>
    </row>
    <row r="31635" spans="3:3" x14ac:dyDescent="0.35">
      <c r="C31635" s="2"/>
    </row>
    <row r="31636" spans="3:3" x14ac:dyDescent="0.35">
      <c r="C31636" s="2"/>
    </row>
    <row r="31637" spans="3:3" x14ac:dyDescent="0.35">
      <c r="C31637" s="2"/>
    </row>
    <row r="31638" spans="3:3" x14ac:dyDescent="0.35">
      <c r="C31638" s="2"/>
    </row>
    <row r="31639" spans="3:3" x14ac:dyDescent="0.35">
      <c r="C31639" s="2"/>
    </row>
    <row r="31640" spans="3:3" x14ac:dyDescent="0.35">
      <c r="C31640" s="2"/>
    </row>
    <row r="31641" spans="3:3" x14ac:dyDescent="0.35">
      <c r="C31641" s="2"/>
    </row>
    <row r="31642" spans="3:3" x14ac:dyDescent="0.35">
      <c r="C31642" s="2"/>
    </row>
    <row r="31643" spans="3:3" x14ac:dyDescent="0.35">
      <c r="C31643" s="2"/>
    </row>
    <row r="31644" spans="3:3" x14ac:dyDescent="0.35">
      <c r="C31644" s="2"/>
    </row>
    <row r="31645" spans="3:3" x14ac:dyDescent="0.35">
      <c r="C31645" s="2"/>
    </row>
    <row r="31646" spans="3:3" x14ac:dyDescent="0.35">
      <c r="C31646" s="2"/>
    </row>
    <row r="31647" spans="3:3" x14ac:dyDescent="0.35">
      <c r="C31647" s="2"/>
    </row>
    <row r="31648" spans="3:3" x14ac:dyDescent="0.35">
      <c r="C31648" s="2"/>
    </row>
    <row r="31649" spans="3:3" x14ac:dyDescent="0.35">
      <c r="C31649" s="2"/>
    </row>
    <row r="31650" spans="3:3" x14ac:dyDescent="0.35">
      <c r="C31650" s="2"/>
    </row>
    <row r="31651" spans="3:3" x14ac:dyDescent="0.35">
      <c r="C31651" s="2"/>
    </row>
    <row r="31652" spans="3:3" x14ac:dyDescent="0.35">
      <c r="C31652" s="2"/>
    </row>
    <row r="31653" spans="3:3" x14ac:dyDescent="0.35">
      <c r="C31653" s="2"/>
    </row>
    <row r="31654" spans="3:3" x14ac:dyDescent="0.35">
      <c r="C31654" s="2"/>
    </row>
    <row r="31655" spans="3:3" x14ac:dyDescent="0.35">
      <c r="C31655" s="2"/>
    </row>
    <row r="31656" spans="3:3" x14ac:dyDescent="0.35">
      <c r="C31656" s="2"/>
    </row>
    <row r="31657" spans="3:3" x14ac:dyDescent="0.35">
      <c r="C31657" s="2"/>
    </row>
    <row r="31658" spans="3:3" x14ac:dyDescent="0.35">
      <c r="C31658" s="2"/>
    </row>
    <row r="31659" spans="3:3" x14ac:dyDescent="0.35">
      <c r="C31659" s="2"/>
    </row>
    <row r="31660" spans="3:3" x14ac:dyDescent="0.35">
      <c r="C31660" s="2"/>
    </row>
    <row r="31661" spans="3:3" x14ac:dyDescent="0.35">
      <c r="C31661" s="2"/>
    </row>
    <row r="31662" spans="3:3" x14ac:dyDescent="0.35">
      <c r="C31662" s="2"/>
    </row>
    <row r="31663" spans="3:3" x14ac:dyDescent="0.35">
      <c r="C31663" s="2"/>
    </row>
    <row r="31664" spans="3:3" x14ac:dyDescent="0.35">
      <c r="C31664" s="2"/>
    </row>
    <row r="31665" spans="3:3" x14ac:dyDescent="0.35">
      <c r="C31665" s="2"/>
    </row>
    <row r="31666" spans="3:3" x14ac:dyDescent="0.35">
      <c r="C31666" s="2"/>
    </row>
    <row r="31667" spans="3:3" x14ac:dyDescent="0.35">
      <c r="C31667" s="2"/>
    </row>
    <row r="31668" spans="3:3" x14ac:dyDescent="0.35">
      <c r="C31668" s="2"/>
    </row>
    <row r="31669" spans="3:3" x14ac:dyDescent="0.35">
      <c r="C31669" s="2"/>
    </row>
    <row r="31670" spans="3:3" x14ac:dyDescent="0.35">
      <c r="C31670" s="2"/>
    </row>
    <row r="31671" spans="3:3" x14ac:dyDescent="0.35">
      <c r="C31671" s="2"/>
    </row>
    <row r="31672" spans="3:3" x14ac:dyDescent="0.35">
      <c r="C31672" s="2"/>
    </row>
    <row r="31673" spans="3:3" x14ac:dyDescent="0.35">
      <c r="C31673" s="2"/>
    </row>
    <row r="31674" spans="3:3" x14ac:dyDescent="0.35">
      <c r="C31674" s="2"/>
    </row>
    <row r="31675" spans="3:3" x14ac:dyDescent="0.35">
      <c r="C31675" s="2"/>
    </row>
    <row r="31676" spans="3:3" x14ac:dyDescent="0.35">
      <c r="C31676" s="2"/>
    </row>
    <row r="31677" spans="3:3" x14ac:dyDescent="0.35">
      <c r="C31677" s="2"/>
    </row>
    <row r="31678" spans="3:3" x14ac:dyDescent="0.35">
      <c r="C31678" s="2"/>
    </row>
    <row r="31679" spans="3:3" x14ac:dyDescent="0.35">
      <c r="C31679" s="2"/>
    </row>
    <row r="31680" spans="3:3" x14ac:dyDescent="0.35">
      <c r="C31680" s="2"/>
    </row>
    <row r="31681" spans="3:3" x14ac:dyDescent="0.35">
      <c r="C31681" s="2"/>
    </row>
    <row r="31682" spans="3:3" x14ac:dyDescent="0.35">
      <c r="C31682" s="2"/>
    </row>
    <row r="31683" spans="3:3" x14ac:dyDescent="0.35">
      <c r="C31683" s="2"/>
    </row>
    <row r="31684" spans="3:3" x14ac:dyDescent="0.35">
      <c r="C31684" s="2"/>
    </row>
    <row r="31685" spans="3:3" x14ac:dyDescent="0.35">
      <c r="C31685" s="2"/>
    </row>
    <row r="31686" spans="3:3" x14ac:dyDescent="0.35">
      <c r="C31686" s="2"/>
    </row>
    <row r="31687" spans="3:3" x14ac:dyDescent="0.35">
      <c r="C31687" s="2"/>
    </row>
    <row r="31688" spans="3:3" x14ac:dyDescent="0.35">
      <c r="C31688" s="2"/>
    </row>
    <row r="31689" spans="3:3" x14ac:dyDescent="0.35">
      <c r="C31689" s="2"/>
    </row>
    <row r="31690" spans="3:3" x14ac:dyDescent="0.35">
      <c r="C31690" s="2"/>
    </row>
    <row r="31691" spans="3:3" x14ac:dyDescent="0.35">
      <c r="C31691" s="2"/>
    </row>
    <row r="31692" spans="3:3" x14ac:dyDescent="0.35">
      <c r="C31692" s="2"/>
    </row>
    <row r="31693" spans="3:3" x14ac:dyDescent="0.35">
      <c r="C31693" s="2"/>
    </row>
    <row r="31694" spans="3:3" x14ac:dyDescent="0.35">
      <c r="C31694" s="2"/>
    </row>
    <row r="31695" spans="3:3" x14ac:dyDescent="0.35">
      <c r="C31695" s="2"/>
    </row>
    <row r="31696" spans="3:3" x14ac:dyDescent="0.35">
      <c r="C31696" s="2"/>
    </row>
    <row r="31697" spans="3:3" x14ac:dyDescent="0.35">
      <c r="C31697" s="2"/>
    </row>
    <row r="31698" spans="3:3" x14ac:dyDescent="0.35">
      <c r="C31698" s="2"/>
    </row>
    <row r="31699" spans="3:3" x14ac:dyDescent="0.35">
      <c r="C31699" s="2"/>
    </row>
    <row r="31700" spans="3:3" x14ac:dyDescent="0.35">
      <c r="C31700" s="2"/>
    </row>
    <row r="31701" spans="3:3" x14ac:dyDescent="0.35">
      <c r="C31701" s="2"/>
    </row>
    <row r="31702" spans="3:3" x14ac:dyDescent="0.35">
      <c r="C31702" s="2"/>
    </row>
    <row r="31703" spans="3:3" x14ac:dyDescent="0.35">
      <c r="C31703" s="2"/>
    </row>
    <row r="31704" spans="3:3" x14ac:dyDescent="0.35">
      <c r="C31704" s="2"/>
    </row>
    <row r="31705" spans="3:3" x14ac:dyDescent="0.35">
      <c r="C31705" s="2"/>
    </row>
    <row r="31706" spans="3:3" x14ac:dyDescent="0.35">
      <c r="C31706" s="2"/>
    </row>
    <row r="31707" spans="3:3" x14ac:dyDescent="0.35">
      <c r="C31707" s="2"/>
    </row>
    <row r="31708" spans="3:3" x14ac:dyDescent="0.35">
      <c r="C31708" s="2"/>
    </row>
    <row r="31709" spans="3:3" x14ac:dyDescent="0.35">
      <c r="C31709" s="2"/>
    </row>
    <row r="31710" spans="3:3" x14ac:dyDescent="0.35">
      <c r="C31710" s="2"/>
    </row>
    <row r="31711" spans="3:3" x14ac:dyDescent="0.35">
      <c r="C31711" s="2"/>
    </row>
    <row r="31712" spans="3:3" x14ac:dyDescent="0.35">
      <c r="C31712" s="2"/>
    </row>
    <row r="31713" spans="3:3" x14ac:dyDescent="0.35">
      <c r="C31713" s="2"/>
    </row>
    <row r="31714" spans="3:3" x14ac:dyDescent="0.35">
      <c r="C31714" s="2"/>
    </row>
    <row r="31715" spans="3:3" x14ac:dyDescent="0.35">
      <c r="C31715" s="2"/>
    </row>
    <row r="31716" spans="3:3" x14ac:dyDescent="0.35">
      <c r="C31716" s="2"/>
    </row>
    <row r="31717" spans="3:3" x14ac:dyDescent="0.35">
      <c r="C31717" s="2"/>
    </row>
    <row r="31718" spans="3:3" x14ac:dyDescent="0.35">
      <c r="C31718" s="2"/>
    </row>
    <row r="31719" spans="3:3" x14ac:dyDescent="0.35">
      <c r="C31719" s="2"/>
    </row>
    <row r="31720" spans="3:3" x14ac:dyDescent="0.35">
      <c r="C31720" s="2"/>
    </row>
    <row r="31721" spans="3:3" x14ac:dyDescent="0.35">
      <c r="C31721" s="2"/>
    </row>
    <row r="31722" spans="3:3" x14ac:dyDescent="0.35">
      <c r="C31722" s="2"/>
    </row>
    <row r="31723" spans="3:3" x14ac:dyDescent="0.35">
      <c r="C31723" s="2"/>
    </row>
    <row r="31724" spans="3:3" x14ac:dyDescent="0.35">
      <c r="C31724" s="2"/>
    </row>
    <row r="31725" spans="3:3" x14ac:dyDescent="0.35">
      <c r="C31725" s="2"/>
    </row>
    <row r="31726" spans="3:3" x14ac:dyDescent="0.35">
      <c r="C31726" s="2"/>
    </row>
    <row r="31727" spans="3:3" x14ac:dyDescent="0.35">
      <c r="C31727" s="2"/>
    </row>
    <row r="31728" spans="3:3" x14ac:dyDescent="0.35">
      <c r="C31728" s="2"/>
    </row>
    <row r="31729" spans="3:3" x14ac:dyDescent="0.35">
      <c r="C31729" s="2"/>
    </row>
    <row r="31730" spans="3:3" x14ac:dyDescent="0.35">
      <c r="C31730" s="2"/>
    </row>
    <row r="31731" spans="3:3" x14ac:dyDescent="0.35">
      <c r="C31731" s="2"/>
    </row>
    <row r="31732" spans="3:3" x14ac:dyDescent="0.35">
      <c r="C31732" s="2"/>
    </row>
    <row r="31733" spans="3:3" x14ac:dyDescent="0.35">
      <c r="C31733" s="2"/>
    </row>
    <row r="31734" spans="3:3" x14ac:dyDescent="0.35">
      <c r="C31734" s="2"/>
    </row>
    <row r="31735" spans="3:3" x14ac:dyDescent="0.35">
      <c r="C31735" s="2"/>
    </row>
    <row r="31736" spans="3:3" x14ac:dyDescent="0.35">
      <c r="C31736" s="2"/>
    </row>
    <row r="31737" spans="3:3" x14ac:dyDescent="0.35">
      <c r="C31737" s="2"/>
    </row>
    <row r="31738" spans="3:3" x14ac:dyDescent="0.35">
      <c r="C31738" s="2"/>
    </row>
    <row r="31739" spans="3:3" x14ac:dyDescent="0.35">
      <c r="C31739" s="2"/>
    </row>
    <row r="31740" spans="3:3" x14ac:dyDescent="0.35">
      <c r="C31740" s="2"/>
    </row>
    <row r="31741" spans="3:3" x14ac:dyDescent="0.35">
      <c r="C31741" s="2"/>
    </row>
    <row r="31742" spans="3:3" x14ac:dyDescent="0.35">
      <c r="C31742" s="2"/>
    </row>
    <row r="31743" spans="3:3" x14ac:dyDescent="0.35">
      <c r="C31743" s="2"/>
    </row>
    <row r="31744" spans="3:3" x14ac:dyDescent="0.35">
      <c r="C31744" s="2"/>
    </row>
    <row r="31745" spans="3:3" x14ac:dyDescent="0.35">
      <c r="C31745" s="2"/>
    </row>
    <row r="31746" spans="3:3" x14ac:dyDescent="0.35">
      <c r="C31746" s="2"/>
    </row>
    <row r="31747" spans="3:3" x14ac:dyDescent="0.35">
      <c r="C31747" s="2"/>
    </row>
    <row r="31748" spans="3:3" x14ac:dyDescent="0.35">
      <c r="C31748" s="2"/>
    </row>
    <row r="31749" spans="3:3" x14ac:dyDescent="0.35">
      <c r="C31749" s="2"/>
    </row>
    <row r="31750" spans="3:3" x14ac:dyDescent="0.35">
      <c r="C31750" s="2"/>
    </row>
    <row r="31751" spans="3:3" x14ac:dyDescent="0.35">
      <c r="C31751" s="2"/>
    </row>
    <row r="31752" spans="3:3" x14ac:dyDescent="0.35">
      <c r="C31752" s="2"/>
    </row>
    <row r="31753" spans="3:3" x14ac:dyDescent="0.35">
      <c r="C31753" s="2"/>
    </row>
    <row r="31754" spans="3:3" x14ac:dyDescent="0.35">
      <c r="C31754" s="2"/>
    </row>
    <row r="31755" spans="3:3" x14ac:dyDescent="0.35">
      <c r="C31755" s="2"/>
    </row>
    <row r="31756" spans="3:3" x14ac:dyDescent="0.35">
      <c r="C31756" s="2"/>
    </row>
    <row r="31757" spans="3:3" x14ac:dyDescent="0.35">
      <c r="C31757" s="2"/>
    </row>
    <row r="31758" spans="3:3" x14ac:dyDescent="0.35">
      <c r="C31758" s="2"/>
    </row>
    <row r="31759" spans="3:3" x14ac:dyDescent="0.35">
      <c r="C31759" s="2"/>
    </row>
    <row r="31760" spans="3:3" x14ac:dyDescent="0.35">
      <c r="C31760" s="2"/>
    </row>
    <row r="31761" spans="3:3" x14ac:dyDescent="0.35">
      <c r="C31761" s="2"/>
    </row>
    <row r="31762" spans="3:3" x14ac:dyDescent="0.35">
      <c r="C31762" s="2"/>
    </row>
    <row r="31763" spans="3:3" x14ac:dyDescent="0.35">
      <c r="C31763" s="2"/>
    </row>
    <row r="31764" spans="3:3" x14ac:dyDescent="0.35">
      <c r="C31764" s="2"/>
    </row>
    <row r="31765" spans="3:3" x14ac:dyDescent="0.35">
      <c r="C31765" s="2"/>
    </row>
    <row r="31766" spans="3:3" x14ac:dyDescent="0.35">
      <c r="C31766" s="2"/>
    </row>
    <row r="31767" spans="3:3" x14ac:dyDescent="0.35">
      <c r="C31767" s="2"/>
    </row>
    <row r="31768" spans="3:3" x14ac:dyDescent="0.35">
      <c r="C31768" s="2"/>
    </row>
    <row r="31769" spans="3:3" x14ac:dyDescent="0.35">
      <c r="C31769" s="2"/>
    </row>
    <row r="31770" spans="3:3" x14ac:dyDescent="0.35">
      <c r="C31770" s="2"/>
    </row>
    <row r="31771" spans="3:3" x14ac:dyDescent="0.35">
      <c r="C31771" s="2"/>
    </row>
    <row r="31772" spans="3:3" x14ac:dyDescent="0.35">
      <c r="C31772" s="2"/>
    </row>
    <row r="31773" spans="3:3" x14ac:dyDescent="0.35">
      <c r="C31773" s="2"/>
    </row>
    <row r="31774" spans="3:3" x14ac:dyDescent="0.35">
      <c r="C31774" s="2"/>
    </row>
    <row r="31775" spans="3:3" x14ac:dyDescent="0.35">
      <c r="C31775" s="2"/>
    </row>
    <row r="31776" spans="3:3" x14ac:dyDescent="0.35">
      <c r="C31776" s="2"/>
    </row>
    <row r="31777" spans="3:3" x14ac:dyDescent="0.35">
      <c r="C31777" s="2"/>
    </row>
    <row r="31778" spans="3:3" x14ac:dyDescent="0.35">
      <c r="C31778" s="2"/>
    </row>
    <row r="31779" spans="3:3" x14ac:dyDescent="0.35">
      <c r="C31779" s="2"/>
    </row>
    <row r="31780" spans="3:3" x14ac:dyDescent="0.35">
      <c r="C31780" s="2"/>
    </row>
    <row r="31781" spans="3:3" x14ac:dyDescent="0.35">
      <c r="C31781" s="2"/>
    </row>
    <row r="31782" spans="3:3" x14ac:dyDescent="0.35">
      <c r="C31782" s="2"/>
    </row>
    <row r="31783" spans="3:3" x14ac:dyDescent="0.35">
      <c r="C31783" s="2"/>
    </row>
    <row r="31784" spans="3:3" x14ac:dyDescent="0.35">
      <c r="C31784" s="2"/>
    </row>
    <row r="31785" spans="3:3" x14ac:dyDescent="0.35">
      <c r="C31785" s="2"/>
    </row>
    <row r="31786" spans="3:3" x14ac:dyDescent="0.35">
      <c r="C31786" s="2"/>
    </row>
    <row r="31787" spans="3:3" x14ac:dyDescent="0.35">
      <c r="C31787" s="2"/>
    </row>
    <row r="31788" spans="3:3" x14ac:dyDescent="0.35">
      <c r="C31788" s="2"/>
    </row>
    <row r="31789" spans="3:3" x14ac:dyDescent="0.35">
      <c r="C31789" s="2"/>
    </row>
    <row r="31790" spans="3:3" x14ac:dyDescent="0.35">
      <c r="C31790" s="2"/>
    </row>
    <row r="31791" spans="3:3" x14ac:dyDescent="0.35">
      <c r="C31791" s="2"/>
    </row>
    <row r="31792" spans="3:3" x14ac:dyDescent="0.35">
      <c r="C31792" s="2"/>
    </row>
    <row r="31793" spans="3:3" x14ac:dyDescent="0.35">
      <c r="C31793" s="2"/>
    </row>
    <row r="31794" spans="3:3" x14ac:dyDescent="0.35">
      <c r="C31794" s="2"/>
    </row>
    <row r="31795" spans="3:3" x14ac:dyDescent="0.35">
      <c r="C31795" s="2"/>
    </row>
    <row r="31796" spans="3:3" x14ac:dyDescent="0.35">
      <c r="C31796" s="2"/>
    </row>
    <row r="31797" spans="3:3" x14ac:dyDescent="0.35">
      <c r="C31797" s="2"/>
    </row>
    <row r="31798" spans="3:3" x14ac:dyDescent="0.35">
      <c r="C31798" s="2"/>
    </row>
    <row r="31799" spans="3:3" x14ac:dyDescent="0.35">
      <c r="C31799" s="2"/>
    </row>
    <row r="31800" spans="3:3" x14ac:dyDescent="0.35">
      <c r="C31800" s="2"/>
    </row>
    <row r="31801" spans="3:3" x14ac:dyDescent="0.35">
      <c r="C31801" s="2"/>
    </row>
    <row r="31802" spans="3:3" x14ac:dyDescent="0.35">
      <c r="C31802" s="2"/>
    </row>
    <row r="31803" spans="3:3" x14ac:dyDescent="0.35">
      <c r="C31803" s="2"/>
    </row>
    <row r="31804" spans="3:3" x14ac:dyDescent="0.35">
      <c r="C31804" s="2"/>
    </row>
    <row r="31805" spans="3:3" x14ac:dyDescent="0.35">
      <c r="C31805" s="2"/>
    </row>
    <row r="31806" spans="3:3" x14ac:dyDescent="0.35">
      <c r="C31806" s="2"/>
    </row>
    <row r="31807" spans="3:3" x14ac:dyDescent="0.35">
      <c r="C31807" s="2"/>
    </row>
    <row r="31808" spans="3:3" x14ac:dyDescent="0.35">
      <c r="C31808" s="2"/>
    </row>
    <row r="31809" spans="3:3" x14ac:dyDescent="0.35">
      <c r="C31809" s="2"/>
    </row>
    <row r="31810" spans="3:3" x14ac:dyDescent="0.35">
      <c r="C31810" s="2"/>
    </row>
    <row r="31811" spans="3:3" x14ac:dyDescent="0.35">
      <c r="C31811" s="2"/>
    </row>
    <row r="31812" spans="3:3" x14ac:dyDescent="0.35">
      <c r="C31812" s="2"/>
    </row>
    <row r="31813" spans="3:3" x14ac:dyDescent="0.35">
      <c r="C31813" s="2"/>
    </row>
    <row r="31814" spans="3:3" x14ac:dyDescent="0.35">
      <c r="C31814" s="2"/>
    </row>
    <row r="31815" spans="3:3" x14ac:dyDescent="0.35">
      <c r="C31815" s="2"/>
    </row>
    <row r="31816" spans="3:3" x14ac:dyDescent="0.35">
      <c r="C31816" s="2"/>
    </row>
    <row r="31817" spans="3:3" x14ac:dyDescent="0.35">
      <c r="C31817" s="2"/>
    </row>
    <row r="31818" spans="3:3" x14ac:dyDescent="0.35">
      <c r="C31818" s="2"/>
    </row>
    <row r="31819" spans="3:3" x14ac:dyDescent="0.35">
      <c r="C31819" s="2"/>
    </row>
    <row r="31820" spans="3:3" x14ac:dyDescent="0.35">
      <c r="C31820" s="2"/>
    </row>
    <row r="31821" spans="3:3" x14ac:dyDescent="0.35">
      <c r="C31821" s="2"/>
    </row>
    <row r="31822" spans="3:3" x14ac:dyDescent="0.35">
      <c r="C31822" s="2"/>
    </row>
    <row r="31823" spans="3:3" x14ac:dyDescent="0.35">
      <c r="C31823" s="2"/>
    </row>
    <row r="31824" spans="3:3" x14ac:dyDescent="0.35">
      <c r="C31824" s="2"/>
    </row>
    <row r="31825" spans="3:3" x14ac:dyDescent="0.35">
      <c r="C31825" s="2"/>
    </row>
    <row r="31826" spans="3:3" x14ac:dyDescent="0.35">
      <c r="C31826" s="2"/>
    </row>
    <row r="31827" spans="3:3" x14ac:dyDescent="0.35">
      <c r="C31827" s="2"/>
    </row>
    <row r="31828" spans="3:3" x14ac:dyDescent="0.35">
      <c r="C31828" s="2"/>
    </row>
    <row r="31829" spans="3:3" x14ac:dyDescent="0.35">
      <c r="C31829" s="2"/>
    </row>
    <row r="31830" spans="3:3" x14ac:dyDescent="0.35">
      <c r="C31830" s="2"/>
    </row>
    <row r="31831" spans="3:3" x14ac:dyDescent="0.35">
      <c r="C31831" s="2"/>
    </row>
    <row r="31832" spans="3:3" x14ac:dyDescent="0.35">
      <c r="C31832" s="2"/>
    </row>
    <row r="31833" spans="3:3" x14ac:dyDescent="0.35">
      <c r="C31833" s="2"/>
    </row>
    <row r="31834" spans="3:3" x14ac:dyDescent="0.35">
      <c r="C31834" s="2"/>
    </row>
    <row r="31835" spans="3:3" x14ac:dyDescent="0.35">
      <c r="C31835" s="2"/>
    </row>
    <row r="31836" spans="3:3" x14ac:dyDescent="0.35">
      <c r="C31836" s="2"/>
    </row>
    <row r="31837" spans="3:3" x14ac:dyDescent="0.35">
      <c r="C31837" s="2"/>
    </row>
    <row r="31838" spans="3:3" x14ac:dyDescent="0.35">
      <c r="C31838" s="2"/>
    </row>
    <row r="31839" spans="3:3" x14ac:dyDescent="0.35">
      <c r="C31839" s="2"/>
    </row>
    <row r="31840" spans="3:3" x14ac:dyDescent="0.35">
      <c r="C31840" s="2"/>
    </row>
    <row r="31841" spans="3:3" x14ac:dyDescent="0.35">
      <c r="C31841" s="2"/>
    </row>
    <row r="31842" spans="3:3" x14ac:dyDescent="0.35">
      <c r="C31842" s="2"/>
    </row>
    <row r="31843" spans="3:3" x14ac:dyDescent="0.35">
      <c r="C31843" s="2"/>
    </row>
    <row r="31844" spans="3:3" x14ac:dyDescent="0.35">
      <c r="C31844" s="2"/>
    </row>
    <row r="31845" spans="3:3" x14ac:dyDescent="0.35">
      <c r="C31845" s="2"/>
    </row>
    <row r="31846" spans="3:3" x14ac:dyDescent="0.35">
      <c r="C31846" s="2"/>
    </row>
    <row r="31847" spans="3:3" x14ac:dyDescent="0.35">
      <c r="C31847" s="2"/>
    </row>
    <row r="31848" spans="3:3" x14ac:dyDescent="0.35">
      <c r="C31848" s="2"/>
    </row>
    <row r="31849" spans="3:3" x14ac:dyDescent="0.35">
      <c r="C31849" s="2"/>
    </row>
    <row r="31850" spans="3:3" x14ac:dyDescent="0.35">
      <c r="C31850" s="2"/>
    </row>
    <row r="31851" spans="3:3" x14ac:dyDescent="0.35">
      <c r="C31851" s="2"/>
    </row>
    <row r="31852" spans="3:3" x14ac:dyDescent="0.35">
      <c r="C31852" s="2"/>
    </row>
    <row r="31853" spans="3:3" x14ac:dyDescent="0.35">
      <c r="C31853" s="2"/>
    </row>
    <row r="31854" spans="3:3" x14ac:dyDescent="0.35">
      <c r="C31854" s="2"/>
    </row>
    <row r="31855" spans="3:3" x14ac:dyDescent="0.35">
      <c r="C31855" s="2"/>
    </row>
    <row r="31856" spans="3:3" x14ac:dyDescent="0.35">
      <c r="C31856" s="2"/>
    </row>
    <row r="31857" spans="3:3" x14ac:dyDescent="0.35">
      <c r="C31857" s="2"/>
    </row>
    <row r="31858" spans="3:3" x14ac:dyDescent="0.35">
      <c r="C31858" s="2"/>
    </row>
    <row r="31859" spans="3:3" x14ac:dyDescent="0.35">
      <c r="C31859" s="2"/>
    </row>
    <row r="31860" spans="3:3" x14ac:dyDescent="0.35">
      <c r="C31860" s="2"/>
    </row>
    <row r="31861" spans="3:3" x14ac:dyDescent="0.35">
      <c r="C31861" s="2"/>
    </row>
    <row r="31862" spans="3:3" x14ac:dyDescent="0.35">
      <c r="C31862" s="2"/>
    </row>
    <row r="31863" spans="3:3" x14ac:dyDescent="0.35">
      <c r="C31863" s="2"/>
    </row>
    <row r="31864" spans="3:3" x14ac:dyDescent="0.35">
      <c r="C31864" s="2"/>
    </row>
    <row r="31865" spans="3:3" x14ac:dyDescent="0.35">
      <c r="C31865" s="2"/>
    </row>
    <row r="31866" spans="3:3" x14ac:dyDescent="0.35">
      <c r="C31866" s="2"/>
    </row>
    <row r="31867" spans="3:3" x14ac:dyDescent="0.35">
      <c r="C31867" s="2"/>
    </row>
    <row r="31868" spans="3:3" x14ac:dyDescent="0.35">
      <c r="C31868" s="2"/>
    </row>
    <row r="31869" spans="3:3" x14ac:dyDescent="0.35">
      <c r="C31869" s="2"/>
    </row>
    <row r="31870" spans="3:3" x14ac:dyDescent="0.35">
      <c r="C31870" s="2"/>
    </row>
    <row r="31871" spans="3:3" x14ac:dyDescent="0.35">
      <c r="C31871" s="2"/>
    </row>
    <row r="31872" spans="3:3" x14ac:dyDescent="0.35">
      <c r="C31872" s="2"/>
    </row>
    <row r="31873" spans="3:3" x14ac:dyDescent="0.35">
      <c r="C31873" s="2"/>
    </row>
    <row r="31874" spans="3:3" x14ac:dyDescent="0.35">
      <c r="C31874" s="2"/>
    </row>
    <row r="31875" spans="3:3" x14ac:dyDescent="0.35">
      <c r="C31875" s="2"/>
    </row>
    <row r="31876" spans="3:3" x14ac:dyDescent="0.35">
      <c r="C31876" s="2"/>
    </row>
    <row r="31877" spans="3:3" x14ac:dyDescent="0.35">
      <c r="C31877" s="2"/>
    </row>
    <row r="31878" spans="3:3" x14ac:dyDescent="0.35">
      <c r="C31878" s="2"/>
    </row>
    <row r="31879" spans="3:3" x14ac:dyDescent="0.35">
      <c r="C31879" s="2"/>
    </row>
    <row r="31880" spans="3:3" x14ac:dyDescent="0.35">
      <c r="C31880" s="2"/>
    </row>
    <row r="31881" spans="3:3" x14ac:dyDescent="0.35">
      <c r="C31881" s="2"/>
    </row>
    <row r="31882" spans="3:3" x14ac:dyDescent="0.35">
      <c r="C31882" s="2"/>
    </row>
    <row r="31883" spans="3:3" x14ac:dyDescent="0.35">
      <c r="C31883" s="2"/>
    </row>
    <row r="31884" spans="3:3" x14ac:dyDescent="0.35">
      <c r="C31884" s="2"/>
    </row>
    <row r="31885" spans="3:3" x14ac:dyDescent="0.35">
      <c r="C31885" s="2"/>
    </row>
    <row r="31886" spans="3:3" x14ac:dyDescent="0.35">
      <c r="C31886" s="2"/>
    </row>
    <row r="31887" spans="3:3" x14ac:dyDescent="0.35">
      <c r="C31887" s="2"/>
    </row>
    <row r="31888" spans="3:3" x14ac:dyDescent="0.35">
      <c r="C31888" s="2"/>
    </row>
    <row r="31889" spans="3:3" x14ac:dyDescent="0.35">
      <c r="C31889" s="2"/>
    </row>
    <row r="31890" spans="3:3" x14ac:dyDescent="0.35">
      <c r="C31890" s="2"/>
    </row>
    <row r="31891" spans="3:3" x14ac:dyDescent="0.35">
      <c r="C31891" s="2"/>
    </row>
    <row r="31892" spans="3:3" x14ac:dyDescent="0.35">
      <c r="C31892" s="2"/>
    </row>
    <row r="31893" spans="3:3" x14ac:dyDescent="0.35">
      <c r="C31893" s="2"/>
    </row>
    <row r="31894" spans="3:3" x14ac:dyDescent="0.35">
      <c r="C31894" s="2"/>
    </row>
    <row r="31895" spans="3:3" x14ac:dyDescent="0.35">
      <c r="C31895" s="2"/>
    </row>
    <row r="31896" spans="3:3" x14ac:dyDescent="0.35">
      <c r="C31896" s="2"/>
    </row>
    <row r="31897" spans="3:3" x14ac:dyDescent="0.35">
      <c r="C31897" s="2"/>
    </row>
    <row r="31898" spans="3:3" x14ac:dyDescent="0.35">
      <c r="C31898" s="2"/>
    </row>
    <row r="31899" spans="3:3" x14ac:dyDescent="0.35">
      <c r="C31899" s="2"/>
    </row>
    <row r="31900" spans="3:3" x14ac:dyDescent="0.35">
      <c r="C31900" s="2"/>
    </row>
    <row r="31901" spans="3:3" x14ac:dyDescent="0.35">
      <c r="C31901" s="2"/>
    </row>
    <row r="31902" spans="3:3" x14ac:dyDescent="0.35">
      <c r="C31902" s="2"/>
    </row>
    <row r="31903" spans="3:3" x14ac:dyDescent="0.35">
      <c r="C31903" s="2"/>
    </row>
    <row r="31904" spans="3:3" x14ac:dyDescent="0.35">
      <c r="C31904" s="2"/>
    </row>
    <row r="31905" spans="3:3" x14ac:dyDescent="0.35">
      <c r="C31905" s="2"/>
    </row>
    <row r="31906" spans="3:3" x14ac:dyDescent="0.35">
      <c r="C31906" s="2"/>
    </row>
    <row r="31907" spans="3:3" x14ac:dyDescent="0.35">
      <c r="C31907" s="2"/>
    </row>
    <row r="31908" spans="3:3" x14ac:dyDescent="0.35">
      <c r="C31908" s="2"/>
    </row>
    <row r="31909" spans="3:3" x14ac:dyDescent="0.35">
      <c r="C31909" s="2"/>
    </row>
    <row r="31910" spans="3:3" x14ac:dyDescent="0.35">
      <c r="C31910" s="2"/>
    </row>
    <row r="31911" spans="3:3" x14ac:dyDescent="0.35">
      <c r="C31911" s="2"/>
    </row>
    <row r="31912" spans="3:3" x14ac:dyDescent="0.35">
      <c r="C31912" s="2"/>
    </row>
    <row r="31913" spans="3:3" x14ac:dyDescent="0.35">
      <c r="C31913" s="2"/>
    </row>
    <row r="31914" spans="3:3" x14ac:dyDescent="0.35">
      <c r="C31914" s="2"/>
    </row>
    <row r="31915" spans="3:3" x14ac:dyDescent="0.35">
      <c r="C31915" s="2"/>
    </row>
    <row r="31916" spans="3:3" x14ac:dyDescent="0.35">
      <c r="C31916" s="2"/>
    </row>
    <row r="31917" spans="3:3" x14ac:dyDescent="0.35">
      <c r="C31917" s="2"/>
    </row>
    <row r="31918" spans="3:3" x14ac:dyDescent="0.35">
      <c r="C31918" s="2"/>
    </row>
    <row r="31919" spans="3:3" x14ac:dyDescent="0.35">
      <c r="C31919" s="2"/>
    </row>
    <row r="31920" spans="3:3" x14ac:dyDescent="0.35">
      <c r="C31920" s="2"/>
    </row>
    <row r="31921" spans="3:3" x14ac:dyDescent="0.35">
      <c r="C31921" s="2"/>
    </row>
    <row r="31922" spans="3:3" x14ac:dyDescent="0.35">
      <c r="C31922" s="2"/>
    </row>
    <row r="31923" spans="3:3" x14ac:dyDescent="0.35">
      <c r="C31923" s="2"/>
    </row>
    <row r="31924" spans="3:3" x14ac:dyDescent="0.35">
      <c r="C31924" s="2"/>
    </row>
    <row r="31925" spans="3:3" x14ac:dyDescent="0.35">
      <c r="C31925" s="2"/>
    </row>
    <row r="31926" spans="3:3" x14ac:dyDescent="0.35">
      <c r="C31926" s="2"/>
    </row>
    <row r="31927" spans="3:3" x14ac:dyDescent="0.35">
      <c r="C31927" s="2"/>
    </row>
    <row r="31928" spans="3:3" x14ac:dyDescent="0.35">
      <c r="C31928" s="2"/>
    </row>
    <row r="31929" spans="3:3" x14ac:dyDescent="0.35">
      <c r="C31929" s="2"/>
    </row>
    <row r="31930" spans="3:3" x14ac:dyDescent="0.35">
      <c r="C31930" s="2"/>
    </row>
    <row r="31931" spans="3:3" x14ac:dyDescent="0.35">
      <c r="C31931" s="2"/>
    </row>
    <row r="31932" spans="3:3" x14ac:dyDescent="0.35">
      <c r="C31932" s="2"/>
    </row>
    <row r="31933" spans="3:3" x14ac:dyDescent="0.35">
      <c r="C31933" s="2"/>
    </row>
    <row r="31934" spans="3:3" x14ac:dyDescent="0.35">
      <c r="C31934" s="2"/>
    </row>
    <row r="31935" spans="3:3" x14ac:dyDescent="0.35">
      <c r="C31935" s="2"/>
    </row>
    <row r="31936" spans="3:3" x14ac:dyDescent="0.35">
      <c r="C31936" s="2"/>
    </row>
    <row r="31937" spans="3:3" x14ac:dyDescent="0.35">
      <c r="C31937" s="2"/>
    </row>
    <row r="31938" spans="3:3" x14ac:dyDescent="0.35">
      <c r="C31938" s="2"/>
    </row>
    <row r="31939" spans="3:3" x14ac:dyDescent="0.35">
      <c r="C31939" s="2"/>
    </row>
    <row r="31940" spans="3:3" x14ac:dyDescent="0.35">
      <c r="C31940" s="2"/>
    </row>
    <row r="31941" spans="3:3" x14ac:dyDescent="0.35">
      <c r="C31941" s="2"/>
    </row>
    <row r="31942" spans="3:3" x14ac:dyDescent="0.35">
      <c r="C31942" s="2"/>
    </row>
    <row r="31943" spans="3:3" x14ac:dyDescent="0.35">
      <c r="C31943" s="2"/>
    </row>
    <row r="31944" spans="3:3" x14ac:dyDescent="0.35">
      <c r="C31944" s="2"/>
    </row>
    <row r="31945" spans="3:3" x14ac:dyDescent="0.35">
      <c r="C31945" s="2"/>
    </row>
    <row r="31946" spans="3:3" x14ac:dyDescent="0.35">
      <c r="C31946" s="2"/>
    </row>
    <row r="31947" spans="3:3" x14ac:dyDescent="0.35">
      <c r="C31947" s="2"/>
    </row>
    <row r="31948" spans="3:3" x14ac:dyDescent="0.35">
      <c r="C31948" s="2"/>
    </row>
    <row r="31949" spans="3:3" x14ac:dyDescent="0.35">
      <c r="C31949" s="2"/>
    </row>
    <row r="31950" spans="3:3" x14ac:dyDescent="0.35">
      <c r="C31950" s="2"/>
    </row>
    <row r="31951" spans="3:3" x14ac:dyDescent="0.35">
      <c r="C31951" s="2"/>
    </row>
    <row r="31952" spans="3:3" x14ac:dyDescent="0.35">
      <c r="C31952" s="2"/>
    </row>
    <row r="31953" spans="3:3" x14ac:dyDescent="0.35">
      <c r="C31953" s="2"/>
    </row>
    <row r="31954" spans="3:3" x14ac:dyDescent="0.35">
      <c r="C31954" s="2"/>
    </row>
    <row r="31955" spans="3:3" x14ac:dyDescent="0.35">
      <c r="C31955" s="2"/>
    </row>
    <row r="31956" spans="3:3" x14ac:dyDescent="0.35">
      <c r="C31956" s="2"/>
    </row>
    <row r="31957" spans="3:3" x14ac:dyDescent="0.35">
      <c r="C31957" s="2"/>
    </row>
    <row r="31958" spans="3:3" x14ac:dyDescent="0.35">
      <c r="C31958" s="2"/>
    </row>
    <row r="31959" spans="3:3" x14ac:dyDescent="0.35">
      <c r="C31959" s="2"/>
    </row>
    <row r="31960" spans="3:3" x14ac:dyDescent="0.35">
      <c r="C31960" s="2"/>
    </row>
    <row r="31961" spans="3:3" x14ac:dyDescent="0.35">
      <c r="C31961" s="2"/>
    </row>
    <row r="31962" spans="3:3" x14ac:dyDescent="0.35">
      <c r="C31962" s="2"/>
    </row>
    <row r="31963" spans="3:3" x14ac:dyDescent="0.35">
      <c r="C31963" s="2"/>
    </row>
    <row r="31964" spans="3:3" x14ac:dyDescent="0.35">
      <c r="C31964" s="2"/>
    </row>
    <row r="31965" spans="3:3" x14ac:dyDescent="0.35">
      <c r="C31965" s="2"/>
    </row>
    <row r="31966" spans="3:3" x14ac:dyDescent="0.35">
      <c r="C31966" s="2"/>
    </row>
    <row r="31967" spans="3:3" x14ac:dyDescent="0.35">
      <c r="C31967" s="2"/>
    </row>
    <row r="31968" spans="3:3" x14ac:dyDescent="0.35">
      <c r="C31968" s="2"/>
    </row>
    <row r="31969" spans="3:3" x14ac:dyDescent="0.35">
      <c r="C31969" s="2"/>
    </row>
    <row r="31970" spans="3:3" x14ac:dyDescent="0.35">
      <c r="C31970" s="2"/>
    </row>
    <row r="31971" spans="3:3" x14ac:dyDescent="0.35">
      <c r="C31971" s="2"/>
    </row>
    <row r="31972" spans="3:3" x14ac:dyDescent="0.35">
      <c r="C31972" s="2"/>
    </row>
    <row r="31973" spans="3:3" x14ac:dyDescent="0.35">
      <c r="C31973" s="2"/>
    </row>
    <row r="31974" spans="3:3" x14ac:dyDescent="0.35">
      <c r="C31974" s="2"/>
    </row>
    <row r="31975" spans="3:3" x14ac:dyDescent="0.35">
      <c r="C31975" s="2"/>
    </row>
    <row r="31976" spans="3:3" x14ac:dyDescent="0.35">
      <c r="C31976" s="2"/>
    </row>
    <row r="31977" spans="3:3" x14ac:dyDescent="0.35">
      <c r="C31977" s="2"/>
    </row>
    <row r="31978" spans="3:3" x14ac:dyDescent="0.35">
      <c r="C31978" s="2"/>
    </row>
    <row r="31979" spans="3:3" x14ac:dyDescent="0.35">
      <c r="C31979" s="2"/>
    </row>
    <row r="31980" spans="3:3" x14ac:dyDescent="0.35">
      <c r="C31980" s="2"/>
    </row>
    <row r="31981" spans="3:3" x14ac:dyDescent="0.35">
      <c r="C31981" s="2"/>
    </row>
    <row r="31982" spans="3:3" x14ac:dyDescent="0.35">
      <c r="C31982" s="2"/>
    </row>
    <row r="31983" spans="3:3" x14ac:dyDescent="0.35">
      <c r="C31983" s="2"/>
    </row>
    <row r="31984" spans="3:3" x14ac:dyDescent="0.35">
      <c r="C31984" s="2"/>
    </row>
    <row r="31985" spans="3:3" x14ac:dyDescent="0.35">
      <c r="C31985" s="2"/>
    </row>
    <row r="31986" spans="3:3" x14ac:dyDescent="0.35">
      <c r="C31986" s="2"/>
    </row>
    <row r="31987" spans="3:3" x14ac:dyDescent="0.35">
      <c r="C31987" s="2"/>
    </row>
    <row r="31988" spans="3:3" x14ac:dyDescent="0.35">
      <c r="C31988" s="2"/>
    </row>
    <row r="31989" spans="3:3" x14ac:dyDescent="0.35">
      <c r="C31989" s="2"/>
    </row>
    <row r="31990" spans="3:3" x14ac:dyDescent="0.35">
      <c r="C31990" s="2"/>
    </row>
    <row r="31991" spans="3:3" x14ac:dyDescent="0.35">
      <c r="C31991" s="2"/>
    </row>
    <row r="31992" spans="3:3" x14ac:dyDescent="0.35">
      <c r="C31992" s="2"/>
    </row>
    <row r="31993" spans="3:3" x14ac:dyDescent="0.35">
      <c r="C31993" s="2"/>
    </row>
    <row r="31994" spans="3:3" x14ac:dyDescent="0.35">
      <c r="C31994" s="2"/>
    </row>
    <row r="31995" spans="3:3" x14ac:dyDescent="0.35">
      <c r="C31995" s="2"/>
    </row>
    <row r="31996" spans="3:3" x14ac:dyDescent="0.35">
      <c r="C31996" s="2"/>
    </row>
    <row r="31997" spans="3:3" x14ac:dyDescent="0.35">
      <c r="C31997" s="2"/>
    </row>
    <row r="31998" spans="3:3" x14ac:dyDescent="0.35">
      <c r="C31998" s="2"/>
    </row>
    <row r="31999" spans="3:3" x14ac:dyDescent="0.35">
      <c r="C31999" s="2"/>
    </row>
    <row r="32000" spans="3:3" x14ac:dyDescent="0.35">
      <c r="C32000" s="2"/>
    </row>
    <row r="32001" spans="3:3" x14ac:dyDescent="0.35">
      <c r="C32001" s="2"/>
    </row>
    <row r="32002" spans="3:3" x14ac:dyDescent="0.35">
      <c r="C32002" s="2"/>
    </row>
    <row r="32003" spans="3:3" x14ac:dyDescent="0.35">
      <c r="C32003" s="2"/>
    </row>
    <row r="32004" spans="3:3" x14ac:dyDescent="0.35">
      <c r="C32004" s="2"/>
    </row>
    <row r="32005" spans="3:3" x14ac:dyDescent="0.35">
      <c r="C32005" s="2"/>
    </row>
    <row r="32006" spans="3:3" x14ac:dyDescent="0.35">
      <c r="C32006" s="2"/>
    </row>
    <row r="32007" spans="3:3" x14ac:dyDescent="0.35">
      <c r="C32007" s="2"/>
    </row>
    <row r="32008" spans="3:3" x14ac:dyDescent="0.35">
      <c r="C32008" s="2"/>
    </row>
    <row r="32009" spans="3:3" x14ac:dyDescent="0.35">
      <c r="C32009" s="2"/>
    </row>
    <row r="32010" spans="3:3" x14ac:dyDescent="0.35">
      <c r="C32010" s="2"/>
    </row>
    <row r="32011" spans="3:3" x14ac:dyDescent="0.35">
      <c r="C32011" s="2"/>
    </row>
    <row r="32012" spans="3:3" x14ac:dyDescent="0.35">
      <c r="C32012" s="2"/>
    </row>
    <row r="32013" spans="3:3" x14ac:dyDescent="0.35">
      <c r="C32013" s="2"/>
    </row>
    <row r="32014" spans="3:3" x14ac:dyDescent="0.35">
      <c r="C32014" s="2"/>
    </row>
    <row r="32015" spans="3:3" x14ac:dyDescent="0.35">
      <c r="C32015" s="2"/>
    </row>
    <row r="32016" spans="3:3" x14ac:dyDescent="0.35">
      <c r="C32016" s="2"/>
    </row>
    <row r="32017" spans="3:3" x14ac:dyDescent="0.35">
      <c r="C32017" s="2"/>
    </row>
    <row r="32018" spans="3:3" x14ac:dyDescent="0.35">
      <c r="C32018" s="2"/>
    </row>
    <row r="32019" spans="3:3" x14ac:dyDescent="0.35">
      <c r="C32019" s="2"/>
    </row>
    <row r="32020" spans="3:3" x14ac:dyDescent="0.35">
      <c r="C32020" s="2"/>
    </row>
    <row r="32021" spans="3:3" x14ac:dyDescent="0.35">
      <c r="C32021" s="2"/>
    </row>
    <row r="32022" spans="3:3" x14ac:dyDescent="0.35">
      <c r="C32022" s="2"/>
    </row>
    <row r="32023" spans="3:3" x14ac:dyDescent="0.35">
      <c r="C32023" s="2"/>
    </row>
    <row r="32024" spans="3:3" x14ac:dyDescent="0.35">
      <c r="C32024" s="2"/>
    </row>
    <row r="32025" spans="3:3" x14ac:dyDescent="0.35">
      <c r="C32025" s="2"/>
    </row>
    <row r="32026" spans="3:3" x14ac:dyDescent="0.35">
      <c r="C32026" s="2"/>
    </row>
    <row r="32027" spans="3:3" x14ac:dyDescent="0.35">
      <c r="C32027" s="2"/>
    </row>
    <row r="32028" spans="3:3" x14ac:dyDescent="0.35">
      <c r="C32028" s="2"/>
    </row>
    <row r="32029" spans="3:3" x14ac:dyDescent="0.35">
      <c r="C32029" s="2"/>
    </row>
    <row r="32030" spans="3:3" x14ac:dyDescent="0.35">
      <c r="C32030" s="2"/>
    </row>
    <row r="32031" spans="3:3" x14ac:dyDescent="0.35">
      <c r="C32031" s="2"/>
    </row>
    <row r="32032" spans="3:3" x14ac:dyDescent="0.35">
      <c r="C32032" s="2"/>
    </row>
    <row r="32033" spans="3:3" x14ac:dyDescent="0.35">
      <c r="C32033" s="2"/>
    </row>
    <row r="32034" spans="3:3" x14ac:dyDescent="0.35">
      <c r="C32034" s="2"/>
    </row>
    <row r="32035" spans="3:3" x14ac:dyDescent="0.35">
      <c r="C32035" s="2"/>
    </row>
    <row r="32036" spans="3:3" x14ac:dyDescent="0.35">
      <c r="C32036" s="2"/>
    </row>
    <row r="32037" spans="3:3" x14ac:dyDescent="0.35">
      <c r="C32037" s="2"/>
    </row>
    <row r="32038" spans="3:3" x14ac:dyDescent="0.35">
      <c r="C32038" s="2"/>
    </row>
    <row r="32039" spans="3:3" x14ac:dyDescent="0.35">
      <c r="C32039" s="2"/>
    </row>
    <row r="32040" spans="3:3" x14ac:dyDescent="0.35">
      <c r="C32040" s="2"/>
    </row>
    <row r="32041" spans="3:3" x14ac:dyDescent="0.35">
      <c r="C32041" s="2"/>
    </row>
    <row r="32042" spans="3:3" x14ac:dyDescent="0.35">
      <c r="C32042" s="2"/>
    </row>
    <row r="32043" spans="3:3" x14ac:dyDescent="0.35">
      <c r="C32043" s="2"/>
    </row>
    <row r="32044" spans="3:3" x14ac:dyDescent="0.35">
      <c r="C32044" s="2"/>
    </row>
    <row r="32045" spans="3:3" x14ac:dyDescent="0.35">
      <c r="C32045" s="2"/>
    </row>
    <row r="32046" spans="3:3" x14ac:dyDescent="0.35">
      <c r="C32046" s="2"/>
    </row>
    <row r="32047" spans="3:3" x14ac:dyDescent="0.35">
      <c r="C32047" s="2"/>
    </row>
    <row r="32048" spans="3:3" x14ac:dyDescent="0.35">
      <c r="C32048" s="2"/>
    </row>
    <row r="32049" spans="3:3" x14ac:dyDescent="0.35">
      <c r="C32049" s="2"/>
    </row>
    <row r="32050" spans="3:3" x14ac:dyDescent="0.35">
      <c r="C32050" s="2"/>
    </row>
    <row r="32051" spans="3:3" x14ac:dyDescent="0.35">
      <c r="C32051" s="2"/>
    </row>
    <row r="32052" spans="3:3" x14ac:dyDescent="0.35">
      <c r="C32052" s="2"/>
    </row>
    <row r="32053" spans="3:3" x14ac:dyDescent="0.35">
      <c r="C32053" s="2"/>
    </row>
    <row r="32054" spans="3:3" x14ac:dyDescent="0.35">
      <c r="C32054" s="2"/>
    </row>
    <row r="32055" spans="3:3" x14ac:dyDescent="0.35">
      <c r="C32055" s="2"/>
    </row>
    <row r="32056" spans="3:3" x14ac:dyDescent="0.35">
      <c r="C32056" s="2"/>
    </row>
    <row r="32057" spans="3:3" x14ac:dyDescent="0.35">
      <c r="C32057" s="2"/>
    </row>
    <row r="32058" spans="3:3" x14ac:dyDescent="0.35">
      <c r="C32058" s="2"/>
    </row>
    <row r="32059" spans="3:3" x14ac:dyDescent="0.35">
      <c r="C32059" s="2"/>
    </row>
    <row r="32060" spans="3:3" x14ac:dyDescent="0.35">
      <c r="C32060" s="2"/>
    </row>
    <row r="32061" spans="3:3" x14ac:dyDescent="0.35">
      <c r="C32061" s="2"/>
    </row>
    <row r="32062" spans="3:3" x14ac:dyDescent="0.35">
      <c r="C32062" s="2"/>
    </row>
    <row r="32063" spans="3:3" x14ac:dyDescent="0.35">
      <c r="C32063" s="2"/>
    </row>
    <row r="32064" spans="3:3" x14ac:dyDescent="0.35">
      <c r="C32064" s="2"/>
    </row>
    <row r="32065" spans="3:3" x14ac:dyDescent="0.35">
      <c r="C32065" s="2"/>
    </row>
    <row r="32066" spans="3:3" x14ac:dyDescent="0.35">
      <c r="C32066" s="2"/>
    </row>
    <row r="32067" spans="3:3" x14ac:dyDescent="0.35">
      <c r="C32067" s="2"/>
    </row>
    <row r="32068" spans="3:3" x14ac:dyDescent="0.35">
      <c r="C32068" s="2"/>
    </row>
    <row r="32069" spans="3:3" x14ac:dyDescent="0.35">
      <c r="C32069" s="2"/>
    </row>
    <row r="32070" spans="3:3" x14ac:dyDescent="0.35">
      <c r="C32070" s="2"/>
    </row>
    <row r="32071" spans="3:3" x14ac:dyDescent="0.35">
      <c r="C32071" s="2"/>
    </row>
    <row r="32072" spans="3:3" x14ac:dyDescent="0.35">
      <c r="C32072" s="2"/>
    </row>
    <row r="32073" spans="3:3" x14ac:dyDescent="0.35">
      <c r="C32073" s="2"/>
    </row>
    <row r="32074" spans="3:3" x14ac:dyDescent="0.35">
      <c r="C32074" s="2"/>
    </row>
    <row r="32075" spans="3:3" x14ac:dyDescent="0.35">
      <c r="C32075" s="2"/>
    </row>
    <row r="32076" spans="3:3" x14ac:dyDescent="0.35">
      <c r="C32076" s="2"/>
    </row>
    <row r="32077" spans="3:3" x14ac:dyDescent="0.35">
      <c r="C32077" s="2"/>
    </row>
    <row r="32078" spans="3:3" x14ac:dyDescent="0.35">
      <c r="C32078" s="2"/>
    </row>
    <row r="32079" spans="3:3" x14ac:dyDescent="0.35">
      <c r="C32079" s="2"/>
    </row>
    <row r="32080" spans="3:3" x14ac:dyDescent="0.35">
      <c r="C32080" s="2"/>
    </row>
    <row r="32081" spans="3:3" x14ac:dyDescent="0.35">
      <c r="C32081" s="2"/>
    </row>
    <row r="32082" spans="3:3" x14ac:dyDescent="0.35">
      <c r="C32082" s="2"/>
    </row>
    <row r="32083" spans="3:3" x14ac:dyDescent="0.35">
      <c r="C32083" s="2"/>
    </row>
    <row r="32084" spans="3:3" x14ac:dyDescent="0.35">
      <c r="C32084" s="2"/>
    </row>
    <row r="32085" spans="3:3" x14ac:dyDescent="0.35">
      <c r="C32085" s="2"/>
    </row>
    <row r="32086" spans="3:3" x14ac:dyDescent="0.35">
      <c r="C32086" s="2"/>
    </row>
    <row r="32087" spans="3:3" x14ac:dyDescent="0.35">
      <c r="C32087" s="2"/>
    </row>
    <row r="32088" spans="3:3" x14ac:dyDescent="0.35">
      <c r="C32088" s="2"/>
    </row>
    <row r="32089" spans="3:3" x14ac:dyDescent="0.35">
      <c r="C32089" s="2"/>
    </row>
    <row r="32090" spans="3:3" x14ac:dyDescent="0.35">
      <c r="C32090" s="2"/>
    </row>
    <row r="32091" spans="3:3" x14ac:dyDescent="0.35">
      <c r="C32091" s="2"/>
    </row>
    <row r="32092" spans="3:3" x14ac:dyDescent="0.35">
      <c r="C32092" s="2"/>
    </row>
    <row r="32093" spans="3:3" x14ac:dyDescent="0.35">
      <c r="C32093" s="2"/>
    </row>
    <row r="32094" spans="3:3" x14ac:dyDescent="0.35">
      <c r="C32094" s="2"/>
    </row>
    <row r="32095" spans="3:3" x14ac:dyDescent="0.35">
      <c r="C32095" s="2"/>
    </row>
    <row r="32096" spans="3:3" x14ac:dyDescent="0.35">
      <c r="C32096" s="2"/>
    </row>
    <row r="32097" spans="3:3" x14ac:dyDescent="0.35">
      <c r="C32097" s="2"/>
    </row>
    <row r="32098" spans="3:3" x14ac:dyDescent="0.35">
      <c r="C32098" s="2"/>
    </row>
    <row r="32099" spans="3:3" x14ac:dyDescent="0.35">
      <c r="C32099" s="2"/>
    </row>
    <row r="32100" spans="3:3" x14ac:dyDescent="0.35">
      <c r="C32100" s="2"/>
    </row>
    <row r="32101" spans="3:3" x14ac:dyDescent="0.35">
      <c r="C32101" s="2"/>
    </row>
    <row r="32102" spans="3:3" x14ac:dyDescent="0.35">
      <c r="C32102" s="2"/>
    </row>
    <row r="32103" spans="3:3" x14ac:dyDescent="0.35">
      <c r="C32103" s="2"/>
    </row>
    <row r="32104" spans="3:3" x14ac:dyDescent="0.35">
      <c r="C32104" s="2"/>
    </row>
    <row r="32105" spans="3:3" x14ac:dyDescent="0.35">
      <c r="C32105" s="2"/>
    </row>
    <row r="32106" spans="3:3" x14ac:dyDescent="0.35">
      <c r="C32106" s="2"/>
    </row>
    <row r="32107" spans="3:3" x14ac:dyDescent="0.35">
      <c r="C32107" s="2"/>
    </row>
    <row r="32108" spans="3:3" x14ac:dyDescent="0.35">
      <c r="C32108" s="2"/>
    </row>
    <row r="32109" spans="3:3" x14ac:dyDescent="0.35">
      <c r="C32109" s="2"/>
    </row>
    <row r="32110" spans="3:3" x14ac:dyDescent="0.35">
      <c r="C32110" s="2"/>
    </row>
    <row r="32111" spans="3:3" x14ac:dyDescent="0.35">
      <c r="C32111" s="2"/>
    </row>
    <row r="32112" spans="3:3" x14ac:dyDescent="0.35">
      <c r="C32112" s="2"/>
    </row>
    <row r="32113" spans="3:3" x14ac:dyDescent="0.35">
      <c r="C32113" s="2"/>
    </row>
    <row r="32114" spans="3:3" x14ac:dyDescent="0.35">
      <c r="C32114" s="2"/>
    </row>
    <row r="32115" spans="3:3" x14ac:dyDescent="0.35">
      <c r="C32115" s="2"/>
    </row>
    <row r="32116" spans="3:3" x14ac:dyDescent="0.35">
      <c r="C32116" s="2"/>
    </row>
    <row r="32117" spans="3:3" x14ac:dyDescent="0.35">
      <c r="C32117" s="2"/>
    </row>
    <row r="32118" spans="3:3" x14ac:dyDescent="0.35">
      <c r="C32118" s="2"/>
    </row>
    <row r="32119" spans="3:3" x14ac:dyDescent="0.35">
      <c r="C32119" s="2"/>
    </row>
    <row r="32120" spans="3:3" x14ac:dyDescent="0.35">
      <c r="C32120" s="2"/>
    </row>
    <row r="32121" spans="3:3" x14ac:dyDescent="0.35">
      <c r="C32121" s="2"/>
    </row>
    <row r="32122" spans="3:3" x14ac:dyDescent="0.35">
      <c r="C32122" s="2"/>
    </row>
    <row r="32123" spans="3:3" x14ac:dyDescent="0.35">
      <c r="C32123" s="2"/>
    </row>
    <row r="32124" spans="3:3" x14ac:dyDescent="0.35">
      <c r="C32124" s="2"/>
    </row>
    <row r="32125" spans="3:3" x14ac:dyDescent="0.35">
      <c r="C32125" s="2"/>
    </row>
    <row r="32126" spans="3:3" x14ac:dyDescent="0.35">
      <c r="C32126" s="2"/>
    </row>
    <row r="32127" spans="3:3" x14ac:dyDescent="0.35">
      <c r="C32127" s="2"/>
    </row>
    <row r="32128" spans="3:3" x14ac:dyDescent="0.35">
      <c r="C32128" s="2"/>
    </row>
    <row r="32129" spans="3:3" x14ac:dyDescent="0.35">
      <c r="C32129" s="2"/>
    </row>
    <row r="32130" spans="3:3" x14ac:dyDescent="0.35">
      <c r="C32130" s="2"/>
    </row>
    <row r="32131" spans="3:3" x14ac:dyDescent="0.35">
      <c r="C32131" s="2"/>
    </row>
    <row r="32132" spans="3:3" x14ac:dyDescent="0.35">
      <c r="C32132" s="2"/>
    </row>
    <row r="32133" spans="3:3" x14ac:dyDescent="0.35">
      <c r="C32133" s="2"/>
    </row>
    <row r="32134" spans="3:3" x14ac:dyDescent="0.35">
      <c r="C32134" s="2"/>
    </row>
    <row r="32135" spans="3:3" x14ac:dyDescent="0.35">
      <c r="C32135" s="2"/>
    </row>
    <row r="32136" spans="3:3" x14ac:dyDescent="0.35">
      <c r="C32136" s="2"/>
    </row>
    <row r="32137" spans="3:3" x14ac:dyDescent="0.35">
      <c r="C32137" s="2"/>
    </row>
    <row r="32138" spans="3:3" x14ac:dyDescent="0.35">
      <c r="C32138" s="2"/>
    </row>
    <row r="32139" spans="3:3" x14ac:dyDescent="0.35">
      <c r="C32139" s="2"/>
    </row>
    <row r="32140" spans="3:3" x14ac:dyDescent="0.35">
      <c r="C32140" s="2"/>
    </row>
    <row r="32141" spans="3:3" x14ac:dyDescent="0.35">
      <c r="C32141" s="2"/>
    </row>
    <row r="32142" spans="3:3" x14ac:dyDescent="0.35">
      <c r="C32142" s="2"/>
    </row>
    <row r="32143" spans="3:3" x14ac:dyDescent="0.35">
      <c r="C32143" s="2"/>
    </row>
    <row r="32144" spans="3:3" x14ac:dyDescent="0.35">
      <c r="C32144" s="2"/>
    </row>
    <row r="32145" spans="3:3" x14ac:dyDescent="0.35">
      <c r="C32145" s="2"/>
    </row>
    <row r="32146" spans="3:3" x14ac:dyDescent="0.35">
      <c r="C32146" s="2"/>
    </row>
    <row r="32147" spans="3:3" x14ac:dyDescent="0.35">
      <c r="C32147" s="2"/>
    </row>
    <row r="32148" spans="3:3" x14ac:dyDescent="0.35">
      <c r="C32148" s="2"/>
    </row>
    <row r="32149" spans="3:3" x14ac:dyDescent="0.35">
      <c r="C32149" s="2"/>
    </row>
    <row r="32150" spans="3:3" x14ac:dyDescent="0.35">
      <c r="C32150" s="2"/>
    </row>
    <row r="32151" spans="3:3" x14ac:dyDescent="0.35">
      <c r="C32151" s="2"/>
    </row>
    <row r="32152" spans="3:3" x14ac:dyDescent="0.35">
      <c r="C32152" s="2"/>
    </row>
    <row r="32153" spans="3:3" x14ac:dyDescent="0.35">
      <c r="C32153" s="2"/>
    </row>
    <row r="32154" spans="3:3" x14ac:dyDescent="0.35">
      <c r="C32154" s="2"/>
    </row>
    <row r="32155" spans="3:3" x14ac:dyDescent="0.35">
      <c r="C32155" s="2"/>
    </row>
    <row r="32156" spans="3:3" x14ac:dyDescent="0.35">
      <c r="C32156" s="2"/>
    </row>
    <row r="32157" spans="3:3" x14ac:dyDescent="0.35">
      <c r="C32157" s="2"/>
    </row>
    <row r="32158" spans="3:3" x14ac:dyDescent="0.35">
      <c r="C32158" s="2"/>
    </row>
    <row r="32159" spans="3:3" x14ac:dyDescent="0.35">
      <c r="C32159" s="2"/>
    </row>
    <row r="32160" spans="3:3" x14ac:dyDescent="0.35">
      <c r="C32160" s="2"/>
    </row>
    <row r="32161" spans="3:3" x14ac:dyDescent="0.35">
      <c r="C32161" s="2"/>
    </row>
    <row r="32162" spans="3:3" x14ac:dyDescent="0.35">
      <c r="C32162" s="2"/>
    </row>
    <row r="32163" spans="3:3" x14ac:dyDescent="0.35">
      <c r="C32163" s="2"/>
    </row>
    <row r="32164" spans="3:3" x14ac:dyDescent="0.35">
      <c r="C32164" s="2"/>
    </row>
    <row r="32165" spans="3:3" x14ac:dyDescent="0.35">
      <c r="C32165" s="2"/>
    </row>
    <row r="32166" spans="3:3" x14ac:dyDescent="0.35">
      <c r="C32166" s="2"/>
    </row>
    <row r="32167" spans="3:3" x14ac:dyDescent="0.35">
      <c r="C32167" s="2"/>
    </row>
    <row r="32168" spans="3:3" x14ac:dyDescent="0.35">
      <c r="C32168" s="2"/>
    </row>
    <row r="32169" spans="3:3" x14ac:dyDescent="0.35">
      <c r="C32169" s="2"/>
    </row>
    <row r="32170" spans="3:3" x14ac:dyDescent="0.35">
      <c r="C32170" s="2"/>
    </row>
    <row r="32171" spans="3:3" x14ac:dyDescent="0.35">
      <c r="C32171" s="2"/>
    </row>
    <row r="32172" spans="3:3" x14ac:dyDescent="0.35">
      <c r="C32172" s="2"/>
    </row>
    <row r="32173" spans="3:3" x14ac:dyDescent="0.35">
      <c r="C32173" s="2"/>
    </row>
    <row r="32174" spans="3:3" x14ac:dyDescent="0.35">
      <c r="C32174" s="2"/>
    </row>
    <row r="32175" spans="3:3" x14ac:dyDescent="0.35">
      <c r="C32175" s="2"/>
    </row>
    <row r="32176" spans="3:3" x14ac:dyDescent="0.35">
      <c r="C32176" s="2"/>
    </row>
    <row r="32177" spans="3:3" x14ac:dyDescent="0.35">
      <c r="C32177" s="2"/>
    </row>
    <row r="32178" spans="3:3" x14ac:dyDescent="0.35">
      <c r="C32178" s="2"/>
    </row>
    <row r="32179" spans="3:3" x14ac:dyDescent="0.35">
      <c r="C32179" s="2"/>
    </row>
    <row r="32180" spans="3:3" x14ac:dyDescent="0.35">
      <c r="C32180" s="2"/>
    </row>
    <row r="32181" spans="3:3" x14ac:dyDescent="0.35">
      <c r="C32181" s="2"/>
    </row>
    <row r="32182" spans="3:3" x14ac:dyDescent="0.35">
      <c r="C32182" s="2"/>
    </row>
    <row r="32183" spans="3:3" x14ac:dyDescent="0.35">
      <c r="C32183" s="2"/>
    </row>
    <row r="32184" spans="3:3" x14ac:dyDescent="0.35">
      <c r="C32184" s="2"/>
    </row>
    <row r="32185" spans="3:3" x14ac:dyDescent="0.35">
      <c r="C32185" s="2"/>
    </row>
    <row r="32186" spans="3:3" x14ac:dyDescent="0.35">
      <c r="C32186" s="2"/>
    </row>
    <row r="32187" spans="3:3" x14ac:dyDescent="0.35">
      <c r="C32187" s="2"/>
    </row>
    <row r="32188" spans="3:3" x14ac:dyDescent="0.35">
      <c r="C32188" s="2"/>
    </row>
    <row r="32189" spans="3:3" x14ac:dyDescent="0.35">
      <c r="C32189" s="2"/>
    </row>
    <row r="32190" spans="3:3" x14ac:dyDescent="0.35">
      <c r="C32190" s="2"/>
    </row>
    <row r="32191" spans="3:3" x14ac:dyDescent="0.35">
      <c r="C32191" s="2"/>
    </row>
    <row r="32192" spans="3:3" x14ac:dyDescent="0.35">
      <c r="C32192" s="2"/>
    </row>
    <row r="32193" spans="3:3" x14ac:dyDescent="0.35">
      <c r="C32193" s="2"/>
    </row>
    <row r="32194" spans="3:3" x14ac:dyDescent="0.35">
      <c r="C32194" s="2"/>
    </row>
    <row r="32195" spans="3:3" x14ac:dyDescent="0.35">
      <c r="C32195" s="2"/>
    </row>
    <row r="32196" spans="3:3" x14ac:dyDescent="0.35">
      <c r="C32196" s="2"/>
    </row>
    <row r="32197" spans="3:3" x14ac:dyDescent="0.35">
      <c r="C32197" s="2"/>
    </row>
    <row r="32198" spans="3:3" x14ac:dyDescent="0.35">
      <c r="C32198" s="2"/>
    </row>
    <row r="32199" spans="3:3" x14ac:dyDescent="0.35">
      <c r="C32199" s="2"/>
    </row>
    <row r="32200" spans="3:3" x14ac:dyDescent="0.35">
      <c r="C32200" s="2"/>
    </row>
    <row r="32201" spans="3:3" x14ac:dyDescent="0.35">
      <c r="C32201" s="2"/>
    </row>
    <row r="32202" spans="3:3" x14ac:dyDescent="0.35">
      <c r="C32202" s="2"/>
    </row>
    <row r="32203" spans="3:3" x14ac:dyDescent="0.35">
      <c r="C32203" s="2"/>
    </row>
    <row r="32204" spans="3:3" x14ac:dyDescent="0.35">
      <c r="C32204" s="2"/>
    </row>
    <row r="32205" spans="3:3" x14ac:dyDescent="0.35">
      <c r="C32205" s="2"/>
    </row>
    <row r="32206" spans="3:3" x14ac:dyDescent="0.35">
      <c r="C32206" s="2"/>
    </row>
    <row r="32207" spans="3:3" x14ac:dyDescent="0.35">
      <c r="C32207" s="2"/>
    </row>
    <row r="32208" spans="3:3" x14ac:dyDescent="0.35">
      <c r="C32208" s="2"/>
    </row>
    <row r="32209" spans="3:3" x14ac:dyDescent="0.35">
      <c r="C32209" s="2"/>
    </row>
    <row r="32210" spans="3:3" x14ac:dyDescent="0.35">
      <c r="C32210" s="2"/>
    </row>
    <row r="32211" spans="3:3" x14ac:dyDescent="0.35">
      <c r="C32211" s="2"/>
    </row>
    <row r="32212" spans="3:3" x14ac:dyDescent="0.35">
      <c r="C32212" s="2"/>
    </row>
    <row r="32213" spans="3:3" x14ac:dyDescent="0.35">
      <c r="C32213" s="2"/>
    </row>
    <row r="32214" spans="3:3" x14ac:dyDescent="0.35">
      <c r="C32214" s="2"/>
    </row>
    <row r="32215" spans="3:3" x14ac:dyDescent="0.35">
      <c r="C32215" s="2"/>
    </row>
    <row r="32216" spans="3:3" x14ac:dyDescent="0.35">
      <c r="C32216" s="2"/>
    </row>
    <row r="32217" spans="3:3" x14ac:dyDescent="0.35">
      <c r="C32217" s="2"/>
    </row>
    <row r="32218" spans="3:3" x14ac:dyDescent="0.35">
      <c r="C32218" s="2"/>
    </row>
    <row r="32219" spans="3:3" x14ac:dyDescent="0.35">
      <c r="C32219" s="2"/>
    </row>
    <row r="32220" spans="3:3" x14ac:dyDescent="0.35">
      <c r="C32220" s="2"/>
    </row>
    <row r="32221" spans="3:3" x14ac:dyDescent="0.35">
      <c r="C32221" s="2"/>
    </row>
    <row r="32222" spans="3:3" x14ac:dyDescent="0.35">
      <c r="C32222" s="2"/>
    </row>
    <row r="32223" spans="3:3" x14ac:dyDescent="0.35">
      <c r="C32223" s="2"/>
    </row>
    <row r="32224" spans="3:3" x14ac:dyDescent="0.35">
      <c r="C32224" s="2"/>
    </row>
    <row r="32225" spans="3:3" x14ac:dyDescent="0.35">
      <c r="C32225" s="2"/>
    </row>
    <row r="32226" spans="3:3" x14ac:dyDescent="0.35">
      <c r="C32226" s="2"/>
    </row>
    <row r="32227" spans="3:3" x14ac:dyDescent="0.35">
      <c r="C32227" s="2"/>
    </row>
    <row r="32228" spans="3:3" x14ac:dyDescent="0.35">
      <c r="C32228" s="2"/>
    </row>
    <row r="32229" spans="3:3" x14ac:dyDescent="0.35">
      <c r="C32229" s="2"/>
    </row>
    <row r="32230" spans="3:3" x14ac:dyDescent="0.35">
      <c r="C32230" s="2"/>
    </row>
    <row r="32231" spans="3:3" x14ac:dyDescent="0.35">
      <c r="C32231" s="2"/>
    </row>
    <row r="32232" spans="3:3" x14ac:dyDescent="0.35">
      <c r="C32232" s="2"/>
    </row>
    <row r="32233" spans="3:3" x14ac:dyDescent="0.35">
      <c r="C32233" s="2"/>
    </row>
    <row r="32234" spans="3:3" x14ac:dyDescent="0.35">
      <c r="C32234" s="2"/>
    </row>
    <row r="32235" spans="3:3" x14ac:dyDescent="0.35">
      <c r="C32235" s="2"/>
    </row>
    <row r="32236" spans="3:3" x14ac:dyDescent="0.35">
      <c r="C32236" s="2"/>
    </row>
    <row r="32237" spans="3:3" x14ac:dyDescent="0.35">
      <c r="C32237" s="2"/>
    </row>
    <row r="32238" spans="3:3" x14ac:dyDescent="0.35">
      <c r="C32238" s="2"/>
    </row>
    <row r="32239" spans="3:3" x14ac:dyDescent="0.35">
      <c r="C32239" s="2"/>
    </row>
    <row r="32240" spans="3:3" x14ac:dyDescent="0.35">
      <c r="C32240" s="2"/>
    </row>
    <row r="32241" spans="3:3" x14ac:dyDescent="0.35">
      <c r="C32241" s="2"/>
    </row>
    <row r="32242" spans="3:3" x14ac:dyDescent="0.35">
      <c r="C32242" s="2"/>
    </row>
    <row r="32243" spans="3:3" x14ac:dyDescent="0.35">
      <c r="C32243" s="2"/>
    </row>
    <row r="32244" spans="3:3" x14ac:dyDescent="0.35">
      <c r="C32244" s="2"/>
    </row>
    <row r="32245" spans="3:3" x14ac:dyDescent="0.35">
      <c r="C32245" s="2"/>
    </row>
    <row r="32246" spans="3:3" x14ac:dyDescent="0.35">
      <c r="C32246" s="2"/>
    </row>
    <row r="32247" spans="3:3" x14ac:dyDescent="0.35">
      <c r="C32247" s="2"/>
    </row>
    <row r="32248" spans="3:3" x14ac:dyDescent="0.35">
      <c r="C32248" s="2"/>
    </row>
    <row r="32249" spans="3:3" x14ac:dyDescent="0.35">
      <c r="C32249" s="2"/>
    </row>
    <row r="32250" spans="3:3" x14ac:dyDescent="0.35">
      <c r="C32250" s="2"/>
    </row>
    <row r="32251" spans="3:3" x14ac:dyDescent="0.35">
      <c r="C32251" s="2"/>
    </row>
    <row r="32252" spans="3:3" x14ac:dyDescent="0.35">
      <c r="C32252" s="2"/>
    </row>
    <row r="32253" spans="3:3" x14ac:dyDescent="0.35">
      <c r="C32253" s="2"/>
    </row>
    <row r="32254" spans="3:3" x14ac:dyDescent="0.35">
      <c r="C32254" s="2"/>
    </row>
    <row r="32255" spans="3:3" x14ac:dyDescent="0.35">
      <c r="C32255" s="2"/>
    </row>
    <row r="32256" spans="3:3" x14ac:dyDescent="0.35">
      <c r="C32256" s="2"/>
    </row>
    <row r="32257" spans="3:3" x14ac:dyDescent="0.35">
      <c r="C32257" s="2"/>
    </row>
    <row r="32258" spans="3:3" x14ac:dyDescent="0.35">
      <c r="C32258" s="2"/>
    </row>
    <row r="32259" spans="3:3" x14ac:dyDescent="0.35">
      <c r="C32259" s="2"/>
    </row>
    <row r="32260" spans="3:3" x14ac:dyDescent="0.35">
      <c r="C32260" s="2"/>
    </row>
    <row r="32261" spans="3:3" x14ac:dyDescent="0.35">
      <c r="C32261" s="2"/>
    </row>
    <row r="32262" spans="3:3" x14ac:dyDescent="0.35">
      <c r="C32262" s="2"/>
    </row>
    <row r="32263" spans="3:3" x14ac:dyDescent="0.35">
      <c r="C32263" s="2"/>
    </row>
    <row r="32264" spans="3:3" x14ac:dyDescent="0.35">
      <c r="C32264" s="2"/>
    </row>
    <row r="32265" spans="3:3" x14ac:dyDescent="0.35">
      <c r="C32265" s="2"/>
    </row>
    <row r="32266" spans="3:3" x14ac:dyDescent="0.35">
      <c r="C32266" s="2"/>
    </row>
    <row r="32267" spans="3:3" x14ac:dyDescent="0.35">
      <c r="C32267" s="2"/>
    </row>
    <row r="32268" spans="3:3" x14ac:dyDescent="0.35">
      <c r="C32268" s="2"/>
    </row>
    <row r="32269" spans="3:3" x14ac:dyDescent="0.35">
      <c r="C32269" s="2"/>
    </row>
    <row r="32270" spans="3:3" x14ac:dyDescent="0.35">
      <c r="C32270" s="2"/>
    </row>
    <row r="32271" spans="3:3" x14ac:dyDescent="0.35">
      <c r="C32271" s="2"/>
    </row>
    <row r="32272" spans="3:3" x14ac:dyDescent="0.35">
      <c r="C32272" s="2"/>
    </row>
    <row r="32273" spans="3:3" x14ac:dyDescent="0.35">
      <c r="C32273" s="2"/>
    </row>
    <row r="32274" spans="3:3" x14ac:dyDescent="0.35">
      <c r="C32274" s="2"/>
    </row>
    <row r="32275" spans="3:3" x14ac:dyDescent="0.35">
      <c r="C32275" s="2"/>
    </row>
    <row r="32276" spans="3:3" x14ac:dyDescent="0.35">
      <c r="C32276" s="2"/>
    </row>
    <row r="32277" spans="3:3" x14ac:dyDescent="0.35">
      <c r="C32277" s="2"/>
    </row>
    <row r="32278" spans="3:3" x14ac:dyDescent="0.35">
      <c r="C32278" s="2"/>
    </row>
    <row r="32279" spans="3:3" x14ac:dyDescent="0.35">
      <c r="C32279" s="2"/>
    </row>
    <row r="32280" spans="3:3" x14ac:dyDescent="0.35">
      <c r="C32280" s="2"/>
    </row>
    <row r="32281" spans="3:3" x14ac:dyDescent="0.35">
      <c r="C32281" s="2"/>
    </row>
    <row r="32282" spans="3:3" x14ac:dyDescent="0.35">
      <c r="C32282" s="2"/>
    </row>
    <row r="32283" spans="3:3" x14ac:dyDescent="0.35">
      <c r="C32283" s="2"/>
    </row>
    <row r="32284" spans="3:3" x14ac:dyDescent="0.35">
      <c r="C32284" s="2"/>
    </row>
    <row r="32285" spans="3:3" x14ac:dyDescent="0.35">
      <c r="C32285" s="2"/>
    </row>
    <row r="32286" spans="3:3" x14ac:dyDescent="0.35">
      <c r="C32286" s="2"/>
    </row>
    <row r="32287" spans="3:3" x14ac:dyDescent="0.35">
      <c r="C32287" s="2"/>
    </row>
    <row r="32288" spans="3:3" x14ac:dyDescent="0.35">
      <c r="C32288" s="2"/>
    </row>
    <row r="32289" spans="3:3" x14ac:dyDescent="0.35">
      <c r="C32289" s="2"/>
    </row>
    <row r="32290" spans="3:3" x14ac:dyDescent="0.35">
      <c r="C32290" s="2"/>
    </row>
    <row r="32291" spans="3:3" x14ac:dyDescent="0.35">
      <c r="C32291" s="2"/>
    </row>
    <row r="32292" spans="3:3" x14ac:dyDescent="0.35">
      <c r="C32292" s="2"/>
    </row>
    <row r="32293" spans="3:3" x14ac:dyDescent="0.35">
      <c r="C32293" s="2"/>
    </row>
    <row r="32294" spans="3:3" x14ac:dyDescent="0.35">
      <c r="C32294" s="2"/>
    </row>
    <row r="32295" spans="3:3" x14ac:dyDescent="0.35">
      <c r="C32295" s="2"/>
    </row>
    <row r="32296" spans="3:3" x14ac:dyDescent="0.35">
      <c r="C32296" s="2"/>
    </row>
    <row r="32297" spans="3:3" x14ac:dyDescent="0.35">
      <c r="C32297" s="2"/>
    </row>
    <row r="32298" spans="3:3" x14ac:dyDescent="0.35">
      <c r="C32298" s="2"/>
    </row>
    <row r="32299" spans="3:3" x14ac:dyDescent="0.35">
      <c r="C32299" s="2"/>
    </row>
    <row r="32300" spans="3:3" x14ac:dyDescent="0.35">
      <c r="C32300" s="2"/>
    </row>
    <row r="32301" spans="3:3" x14ac:dyDescent="0.35">
      <c r="C32301" s="2"/>
    </row>
    <row r="32302" spans="3:3" x14ac:dyDescent="0.35">
      <c r="C32302" s="2"/>
    </row>
    <row r="32303" spans="3:3" x14ac:dyDescent="0.35">
      <c r="C32303" s="2"/>
    </row>
    <row r="32304" spans="3:3" x14ac:dyDescent="0.35">
      <c r="C32304" s="2"/>
    </row>
    <row r="32305" spans="3:3" x14ac:dyDescent="0.35">
      <c r="C32305" s="2"/>
    </row>
    <row r="32306" spans="3:3" x14ac:dyDescent="0.35">
      <c r="C32306" s="2"/>
    </row>
    <row r="32307" spans="3:3" x14ac:dyDescent="0.35">
      <c r="C32307" s="2"/>
    </row>
    <row r="32308" spans="3:3" x14ac:dyDescent="0.35">
      <c r="C32308" s="2"/>
    </row>
    <row r="32309" spans="3:3" x14ac:dyDescent="0.35">
      <c r="C32309" s="2"/>
    </row>
    <row r="32310" spans="3:3" x14ac:dyDescent="0.35">
      <c r="C32310" s="2"/>
    </row>
    <row r="32311" spans="3:3" x14ac:dyDescent="0.35">
      <c r="C32311" s="2"/>
    </row>
    <row r="32312" spans="3:3" x14ac:dyDescent="0.35">
      <c r="C32312" s="2"/>
    </row>
    <row r="32313" spans="3:3" x14ac:dyDescent="0.35">
      <c r="C32313" s="2"/>
    </row>
    <row r="32314" spans="3:3" x14ac:dyDescent="0.35">
      <c r="C32314" s="2"/>
    </row>
    <row r="32315" spans="3:3" x14ac:dyDescent="0.35">
      <c r="C32315" s="2"/>
    </row>
    <row r="32316" spans="3:3" x14ac:dyDescent="0.35">
      <c r="C32316" s="2"/>
    </row>
    <row r="32317" spans="3:3" x14ac:dyDescent="0.35">
      <c r="C32317" s="2"/>
    </row>
    <row r="32318" spans="3:3" x14ac:dyDescent="0.35">
      <c r="C32318" s="2"/>
    </row>
    <row r="32319" spans="3:3" x14ac:dyDescent="0.35">
      <c r="C32319" s="2"/>
    </row>
    <row r="32320" spans="3:3" x14ac:dyDescent="0.35">
      <c r="C32320" s="2"/>
    </row>
    <row r="32321" spans="3:3" x14ac:dyDescent="0.35">
      <c r="C32321" s="2"/>
    </row>
    <row r="32322" spans="3:3" x14ac:dyDescent="0.35">
      <c r="C32322" s="2"/>
    </row>
    <row r="32323" spans="3:3" x14ac:dyDescent="0.35">
      <c r="C32323" s="2"/>
    </row>
    <row r="32324" spans="3:3" x14ac:dyDescent="0.35">
      <c r="C32324" s="2"/>
    </row>
    <row r="32325" spans="3:3" x14ac:dyDescent="0.35">
      <c r="C32325" s="2"/>
    </row>
    <row r="32326" spans="3:3" x14ac:dyDescent="0.35">
      <c r="C32326" s="2"/>
    </row>
    <row r="32327" spans="3:3" x14ac:dyDescent="0.35">
      <c r="C32327" s="2"/>
    </row>
    <row r="32328" spans="3:3" x14ac:dyDescent="0.35">
      <c r="C32328" s="2"/>
    </row>
    <row r="32329" spans="3:3" x14ac:dyDescent="0.35">
      <c r="C32329" s="2"/>
    </row>
    <row r="32330" spans="3:3" x14ac:dyDescent="0.35">
      <c r="C32330" s="2"/>
    </row>
    <row r="32331" spans="3:3" x14ac:dyDescent="0.35">
      <c r="C32331" s="2"/>
    </row>
    <row r="32332" spans="3:3" x14ac:dyDescent="0.35">
      <c r="C32332" s="2"/>
    </row>
    <row r="32333" spans="3:3" x14ac:dyDescent="0.35">
      <c r="C32333" s="2"/>
    </row>
    <row r="32334" spans="3:3" x14ac:dyDescent="0.35">
      <c r="C32334" s="2"/>
    </row>
    <row r="32335" spans="3:3" x14ac:dyDescent="0.35">
      <c r="C32335" s="2"/>
    </row>
    <row r="32336" spans="3:3" x14ac:dyDescent="0.35">
      <c r="C32336" s="2"/>
    </row>
    <row r="32337" spans="3:3" x14ac:dyDescent="0.35">
      <c r="C32337" s="2"/>
    </row>
    <row r="32338" spans="3:3" x14ac:dyDescent="0.35">
      <c r="C32338" s="2"/>
    </row>
    <row r="32339" spans="3:3" x14ac:dyDescent="0.35">
      <c r="C32339" s="2"/>
    </row>
    <row r="32340" spans="3:3" x14ac:dyDescent="0.35">
      <c r="C32340" s="2"/>
    </row>
    <row r="32341" spans="3:3" x14ac:dyDescent="0.35">
      <c r="C32341" s="2"/>
    </row>
    <row r="32342" spans="3:3" x14ac:dyDescent="0.35">
      <c r="C32342" s="2"/>
    </row>
    <row r="32343" spans="3:3" x14ac:dyDescent="0.35">
      <c r="C32343" s="2"/>
    </row>
    <row r="32344" spans="3:3" x14ac:dyDescent="0.35">
      <c r="C32344" s="2"/>
    </row>
    <row r="32345" spans="3:3" x14ac:dyDescent="0.35">
      <c r="C32345" s="2"/>
    </row>
    <row r="32346" spans="3:3" x14ac:dyDescent="0.35">
      <c r="C32346" s="2"/>
    </row>
    <row r="32347" spans="3:3" x14ac:dyDescent="0.35">
      <c r="C32347" s="2"/>
    </row>
    <row r="32348" spans="3:3" x14ac:dyDescent="0.35">
      <c r="C32348" s="2"/>
    </row>
    <row r="32349" spans="3:3" x14ac:dyDescent="0.35">
      <c r="C32349" s="2"/>
    </row>
    <row r="32350" spans="3:3" x14ac:dyDescent="0.35">
      <c r="C32350" s="2"/>
    </row>
    <row r="32351" spans="3:3" x14ac:dyDescent="0.35">
      <c r="C32351" s="2"/>
    </row>
    <row r="32352" spans="3:3" x14ac:dyDescent="0.35">
      <c r="C32352" s="2"/>
    </row>
    <row r="32353" spans="3:3" x14ac:dyDescent="0.35">
      <c r="C32353" s="2"/>
    </row>
    <row r="32354" spans="3:3" x14ac:dyDescent="0.35">
      <c r="C32354" s="2"/>
    </row>
    <row r="32355" spans="3:3" x14ac:dyDescent="0.35">
      <c r="C32355" s="2"/>
    </row>
    <row r="32356" spans="3:3" x14ac:dyDescent="0.35">
      <c r="C32356" s="2"/>
    </row>
    <row r="32357" spans="3:3" x14ac:dyDescent="0.35">
      <c r="C32357" s="2"/>
    </row>
    <row r="32358" spans="3:3" x14ac:dyDescent="0.35">
      <c r="C32358" s="2"/>
    </row>
    <row r="32359" spans="3:3" x14ac:dyDescent="0.35">
      <c r="C32359" s="2"/>
    </row>
    <row r="32360" spans="3:3" x14ac:dyDescent="0.35">
      <c r="C32360" s="2"/>
    </row>
    <row r="32361" spans="3:3" x14ac:dyDescent="0.35">
      <c r="C32361" s="2"/>
    </row>
    <row r="32362" spans="3:3" x14ac:dyDescent="0.35">
      <c r="C32362" s="2"/>
    </row>
    <row r="32363" spans="3:3" x14ac:dyDescent="0.35">
      <c r="C32363" s="2"/>
    </row>
    <row r="32364" spans="3:3" x14ac:dyDescent="0.35">
      <c r="C32364" s="2"/>
    </row>
    <row r="32365" spans="3:3" x14ac:dyDescent="0.35">
      <c r="C32365" s="2"/>
    </row>
    <row r="32366" spans="3:3" x14ac:dyDescent="0.35">
      <c r="C32366" s="2"/>
    </row>
    <row r="32367" spans="3:3" x14ac:dyDescent="0.35">
      <c r="C32367" s="2"/>
    </row>
    <row r="32368" spans="3:3" x14ac:dyDescent="0.35">
      <c r="C32368" s="2"/>
    </row>
    <row r="32369" spans="3:3" x14ac:dyDescent="0.35">
      <c r="C32369" s="2"/>
    </row>
    <row r="32370" spans="3:3" x14ac:dyDescent="0.35">
      <c r="C32370" s="2"/>
    </row>
    <row r="32371" spans="3:3" x14ac:dyDescent="0.35">
      <c r="C32371" s="2"/>
    </row>
    <row r="32372" spans="3:3" x14ac:dyDescent="0.35">
      <c r="C32372" s="2"/>
    </row>
    <row r="32373" spans="3:3" x14ac:dyDescent="0.35">
      <c r="C32373" s="2"/>
    </row>
    <row r="32374" spans="3:3" x14ac:dyDescent="0.35">
      <c r="C32374" s="2"/>
    </row>
    <row r="32375" spans="3:3" x14ac:dyDescent="0.35">
      <c r="C32375" s="2"/>
    </row>
    <row r="32376" spans="3:3" x14ac:dyDescent="0.35">
      <c r="C32376" s="2"/>
    </row>
    <row r="32377" spans="3:3" x14ac:dyDescent="0.35">
      <c r="C32377" s="2"/>
    </row>
    <row r="32378" spans="3:3" x14ac:dyDescent="0.35">
      <c r="C32378" s="2"/>
    </row>
    <row r="32379" spans="3:3" x14ac:dyDescent="0.35">
      <c r="C32379" s="2"/>
    </row>
    <row r="32380" spans="3:3" x14ac:dyDescent="0.35">
      <c r="C32380" s="2"/>
    </row>
    <row r="32381" spans="3:3" x14ac:dyDescent="0.35">
      <c r="C32381" s="2"/>
    </row>
    <row r="32382" spans="3:3" x14ac:dyDescent="0.35">
      <c r="C32382" s="2"/>
    </row>
    <row r="32383" spans="3:3" x14ac:dyDescent="0.35">
      <c r="C32383" s="2"/>
    </row>
    <row r="32384" spans="3:3" x14ac:dyDescent="0.35">
      <c r="C32384" s="2"/>
    </row>
    <row r="32385" spans="3:3" x14ac:dyDescent="0.35">
      <c r="C32385" s="2"/>
    </row>
    <row r="32386" spans="3:3" x14ac:dyDescent="0.35">
      <c r="C32386" s="2"/>
    </row>
    <row r="32387" spans="3:3" x14ac:dyDescent="0.35">
      <c r="C32387" s="2"/>
    </row>
    <row r="32388" spans="3:3" x14ac:dyDescent="0.35">
      <c r="C32388" s="2"/>
    </row>
    <row r="32389" spans="3:3" x14ac:dyDescent="0.35">
      <c r="C32389" s="2"/>
    </row>
    <row r="32390" spans="3:3" x14ac:dyDescent="0.35">
      <c r="C32390" s="2"/>
    </row>
    <row r="32391" spans="3:3" x14ac:dyDescent="0.35">
      <c r="C32391" s="2"/>
    </row>
    <row r="32392" spans="3:3" x14ac:dyDescent="0.35">
      <c r="C32392" s="2"/>
    </row>
    <row r="32393" spans="3:3" x14ac:dyDescent="0.35">
      <c r="C32393" s="2"/>
    </row>
    <row r="32394" spans="3:3" x14ac:dyDescent="0.35">
      <c r="C32394" s="2"/>
    </row>
    <row r="32395" spans="3:3" x14ac:dyDescent="0.35">
      <c r="C32395" s="2"/>
    </row>
    <row r="32396" spans="3:3" x14ac:dyDescent="0.35">
      <c r="C32396" s="2"/>
    </row>
    <row r="32397" spans="3:3" x14ac:dyDescent="0.35">
      <c r="C32397" s="2"/>
    </row>
    <row r="32398" spans="3:3" x14ac:dyDescent="0.35">
      <c r="C32398" s="2"/>
    </row>
    <row r="32399" spans="3:3" x14ac:dyDescent="0.35">
      <c r="C32399" s="2"/>
    </row>
    <row r="32400" spans="3:3" x14ac:dyDescent="0.35">
      <c r="C32400" s="2"/>
    </row>
    <row r="32401" spans="3:3" x14ac:dyDescent="0.35">
      <c r="C32401" s="2"/>
    </row>
    <row r="32402" spans="3:3" x14ac:dyDescent="0.35">
      <c r="C32402" s="2"/>
    </row>
    <row r="32403" spans="3:3" x14ac:dyDescent="0.35">
      <c r="C32403" s="2"/>
    </row>
    <row r="32404" spans="3:3" x14ac:dyDescent="0.35">
      <c r="C32404" s="2"/>
    </row>
    <row r="32405" spans="3:3" x14ac:dyDescent="0.35">
      <c r="C32405" s="2"/>
    </row>
    <row r="32406" spans="3:3" x14ac:dyDescent="0.35">
      <c r="C32406" s="2"/>
    </row>
    <row r="32407" spans="3:3" x14ac:dyDescent="0.35">
      <c r="C32407" s="2"/>
    </row>
    <row r="32408" spans="3:3" x14ac:dyDescent="0.35">
      <c r="C32408" s="2"/>
    </row>
    <row r="32409" spans="3:3" x14ac:dyDescent="0.35">
      <c r="C32409" s="2"/>
    </row>
    <row r="32410" spans="3:3" x14ac:dyDescent="0.35">
      <c r="C32410" s="2"/>
    </row>
    <row r="32411" spans="3:3" x14ac:dyDescent="0.35">
      <c r="C32411" s="2"/>
    </row>
    <row r="32412" spans="3:3" x14ac:dyDescent="0.35">
      <c r="C32412" s="2"/>
    </row>
    <row r="32413" spans="3:3" x14ac:dyDescent="0.35">
      <c r="C32413" s="2"/>
    </row>
    <row r="32414" spans="3:3" x14ac:dyDescent="0.35">
      <c r="C32414" s="2"/>
    </row>
    <row r="32415" spans="3:3" x14ac:dyDescent="0.35">
      <c r="C32415" s="2"/>
    </row>
    <row r="32416" spans="3:3" x14ac:dyDescent="0.35">
      <c r="C32416" s="2"/>
    </row>
    <row r="32417" spans="3:3" x14ac:dyDescent="0.35">
      <c r="C32417" s="2"/>
    </row>
    <row r="32418" spans="3:3" x14ac:dyDescent="0.35">
      <c r="C32418" s="2"/>
    </row>
    <row r="32419" spans="3:3" x14ac:dyDescent="0.35">
      <c r="C32419" s="2"/>
    </row>
    <row r="32420" spans="3:3" x14ac:dyDescent="0.35">
      <c r="C32420" s="2"/>
    </row>
    <row r="32421" spans="3:3" x14ac:dyDescent="0.35">
      <c r="C32421" s="2"/>
    </row>
    <row r="32422" spans="3:3" x14ac:dyDescent="0.35">
      <c r="C32422" s="2"/>
    </row>
    <row r="32423" spans="3:3" x14ac:dyDescent="0.35">
      <c r="C32423" s="2"/>
    </row>
    <row r="32424" spans="3:3" x14ac:dyDescent="0.35">
      <c r="C32424" s="2"/>
    </row>
    <row r="32425" spans="3:3" x14ac:dyDescent="0.35">
      <c r="C32425" s="2"/>
    </row>
    <row r="32426" spans="3:3" x14ac:dyDescent="0.35">
      <c r="C32426" s="2"/>
    </row>
    <row r="32427" spans="3:3" x14ac:dyDescent="0.35">
      <c r="C32427" s="2"/>
    </row>
    <row r="32428" spans="3:3" x14ac:dyDescent="0.35">
      <c r="C32428" s="2"/>
    </row>
    <row r="32429" spans="3:3" x14ac:dyDescent="0.35">
      <c r="C32429" s="2"/>
    </row>
    <row r="32430" spans="3:3" x14ac:dyDescent="0.35">
      <c r="C32430" s="2"/>
    </row>
    <row r="32431" spans="3:3" x14ac:dyDescent="0.35">
      <c r="C32431" s="2"/>
    </row>
    <row r="32432" spans="3:3" x14ac:dyDescent="0.35">
      <c r="C32432" s="2"/>
    </row>
    <row r="32433" spans="3:3" x14ac:dyDescent="0.35">
      <c r="C32433" s="2"/>
    </row>
    <row r="32434" spans="3:3" x14ac:dyDescent="0.35">
      <c r="C32434" s="2"/>
    </row>
    <row r="32435" spans="3:3" x14ac:dyDescent="0.35">
      <c r="C32435" s="2"/>
    </row>
    <row r="32436" spans="3:3" x14ac:dyDescent="0.35">
      <c r="C32436" s="2"/>
    </row>
    <row r="32437" spans="3:3" x14ac:dyDescent="0.35">
      <c r="C32437" s="2"/>
    </row>
    <row r="32438" spans="3:3" x14ac:dyDescent="0.35">
      <c r="C32438" s="2"/>
    </row>
    <row r="32439" spans="3:3" x14ac:dyDescent="0.35">
      <c r="C32439" s="2"/>
    </row>
    <row r="32440" spans="3:3" x14ac:dyDescent="0.35">
      <c r="C32440" s="2"/>
    </row>
    <row r="32441" spans="3:3" x14ac:dyDescent="0.35">
      <c r="C32441" s="2"/>
    </row>
    <row r="32442" spans="3:3" x14ac:dyDescent="0.35">
      <c r="C32442" s="2"/>
    </row>
    <row r="32443" spans="3:3" x14ac:dyDescent="0.35">
      <c r="C32443" s="2"/>
    </row>
    <row r="32444" spans="3:3" x14ac:dyDescent="0.35">
      <c r="C32444" s="2"/>
    </row>
    <row r="32445" spans="3:3" x14ac:dyDescent="0.35">
      <c r="C32445" s="2"/>
    </row>
    <row r="32446" spans="3:3" x14ac:dyDescent="0.35">
      <c r="C32446" s="2"/>
    </row>
    <row r="32447" spans="3:3" x14ac:dyDescent="0.35">
      <c r="C32447" s="2"/>
    </row>
    <row r="32448" spans="3:3" x14ac:dyDescent="0.35">
      <c r="C32448" s="2"/>
    </row>
    <row r="32449" spans="3:3" x14ac:dyDescent="0.35">
      <c r="C32449" s="2"/>
    </row>
    <row r="32450" spans="3:3" x14ac:dyDescent="0.35">
      <c r="C32450" s="2"/>
    </row>
    <row r="32451" spans="3:3" x14ac:dyDescent="0.35">
      <c r="C32451" s="2"/>
    </row>
    <row r="32452" spans="3:3" x14ac:dyDescent="0.35">
      <c r="C32452" s="2"/>
    </row>
    <row r="32453" spans="3:3" x14ac:dyDescent="0.35">
      <c r="C32453" s="2"/>
    </row>
    <row r="32454" spans="3:3" x14ac:dyDescent="0.35">
      <c r="C32454" s="2"/>
    </row>
    <row r="32455" spans="3:3" x14ac:dyDescent="0.35">
      <c r="C32455" s="2"/>
    </row>
    <row r="32456" spans="3:3" x14ac:dyDescent="0.35">
      <c r="C32456" s="2"/>
    </row>
    <row r="32457" spans="3:3" x14ac:dyDescent="0.35">
      <c r="C32457" s="2"/>
    </row>
    <row r="32458" spans="3:3" x14ac:dyDescent="0.35">
      <c r="C32458" s="2"/>
    </row>
    <row r="32459" spans="3:3" x14ac:dyDescent="0.35">
      <c r="C32459" s="2"/>
    </row>
    <row r="32460" spans="3:3" x14ac:dyDescent="0.35">
      <c r="C32460" s="2"/>
    </row>
    <row r="32461" spans="3:3" x14ac:dyDescent="0.35">
      <c r="C32461" s="2"/>
    </row>
    <row r="32462" spans="3:3" x14ac:dyDescent="0.35">
      <c r="C32462" s="2"/>
    </row>
    <row r="32463" spans="3:3" x14ac:dyDescent="0.35">
      <c r="C32463" s="2"/>
    </row>
    <row r="32464" spans="3:3" x14ac:dyDescent="0.35">
      <c r="C32464" s="2"/>
    </row>
    <row r="32465" spans="3:3" x14ac:dyDescent="0.35">
      <c r="C32465" s="2"/>
    </row>
    <row r="32466" spans="3:3" x14ac:dyDescent="0.35">
      <c r="C32466" s="2"/>
    </row>
    <row r="32467" spans="3:3" x14ac:dyDescent="0.35">
      <c r="C32467" s="2"/>
    </row>
    <row r="32468" spans="3:3" x14ac:dyDescent="0.35">
      <c r="C32468" s="2"/>
    </row>
    <row r="32469" spans="3:3" x14ac:dyDescent="0.35">
      <c r="C32469" s="2"/>
    </row>
    <row r="32470" spans="3:3" x14ac:dyDescent="0.35">
      <c r="C32470" s="2"/>
    </row>
    <row r="32471" spans="3:3" x14ac:dyDescent="0.35">
      <c r="C32471" s="2"/>
    </row>
    <row r="32472" spans="3:3" x14ac:dyDescent="0.35">
      <c r="C32472" s="2"/>
    </row>
    <row r="32473" spans="3:3" x14ac:dyDescent="0.35">
      <c r="C32473" s="2"/>
    </row>
    <row r="32474" spans="3:3" x14ac:dyDescent="0.35">
      <c r="C32474" s="2"/>
    </row>
    <row r="32475" spans="3:3" x14ac:dyDescent="0.35">
      <c r="C32475" s="2"/>
    </row>
    <row r="32476" spans="3:3" x14ac:dyDescent="0.35">
      <c r="C32476" s="2"/>
    </row>
    <row r="32477" spans="3:3" x14ac:dyDescent="0.35">
      <c r="C32477" s="2"/>
    </row>
    <row r="32478" spans="3:3" x14ac:dyDescent="0.35">
      <c r="C32478" s="2"/>
    </row>
    <row r="32479" spans="3:3" x14ac:dyDescent="0.35">
      <c r="C32479" s="2"/>
    </row>
    <row r="32480" spans="3:3" x14ac:dyDescent="0.35">
      <c r="C32480" s="2"/>
    </row>
    <row r="32481" spans="3:3" x14ac:dyDescent="0.35">
      <c r="C32481" s="2"/>
    </row>
    <row r="32482" spans="3:3" x14ac:dyDescent="0.35">
      <c r="C32482" s="2"/>
    </row>
    <row r="32483" spans="3:3" x14ac:dyDescent="0.35">
      <c r="C32483" s="2"/>
    </row>
    <row r="32484" spans="3:3" x14ac:dyDescent="0.35">
      <c r="C32484" s="2"/>
    </row>
    <row r="32485" spans="3:3" x14ac:dyDescent="0.35">
      <c r="C32485" s="2"/>
    </row>
    <row r="32486" spans="3:3" x14ac:dyDescent="0.35">
      <c r="C32486" s="2"/>
    </row>
    <row r="32487" spans="3:3" x14ac:dyDescent="0.35">
      <c r="C32487" s="2"/>
    </row>
    <row r="32488" spans="3:3" x14ac:dyDescent="0.35">
      <c r="C32488" s="2"/>
    </row>
    <row r="32489" spans="3:3" x14ac:dyDescent="0.35">
      <c r="C32489" s="2"/>
    </row>
    <row r="32490" spans="3:3" x14ac:dyDescent="0.35">
      <c r="C32490" s="2"/>
    </row>
    <row r="32491" spans="3:3" x14ac:dyDescent="0.35">
      <c r="C32491" s="2"/>
    </row>
    <row r="32492" spans="3:3" x14ac:dyDescent="0.35">
      <c r="C32492" s="2"/>
    </row>
    <row r="32493" spans="3:3" x14ac:dyDescent="0.35">
      <c r="C32493" s="2"/>
    </row>
    <row r="32494" spans="3:3" x14ac:dyDescent="0.35">
      <c r="C32494" s="2"/>
    </row>
    <row r="32495" spans="3:3" x14ac:dyDescent="0.35">
      <c r="C32495" s="2"/>
    </row>
    <row r="32496" spans="3:3" x14ac:dyDescent="0.35">
      <c r="C32496" s="2"/>
    </row>
    <row r="32497" spans="3:3" x14ac:dyDescent="0.35">
      <c r="C32497" s="2"/>
    </row>
    <row r="32498" spans="3:3" x14ac:dyDescent="0.35">
      <c r="C32498" s="2"/>
    </row>
    <row r="32499" spans="3:3" x14ac:dyDescent="0.35">
      <c r="C32499" s="2"/>
    </row>
    <row r="32500" spans="3:3" x14ac:dyDescent="0.35">
      <c r="C32500" s="2"/>
    </row>
    <row r="32501" spans="3:3" x14ac:dyDescent="0.35">
      <c r="C32501" s="2"/>
    </row>
    <row r="32502" spans="3:3" x14ac:dyDescent="0.35">
      <c r="C32502" s="2"/>
    </row>
    <row r="32503" spans="3:3" x14ac:dyDescent="0.35">
      <c r="C32503" s="2"/>
    </row>
    <row r="32504" spans="3:3" x14ac:dyDescent="0.35">
      <c r="C32504" s="2"/>
    </row>
    <row r="32505" spans="3:3" x14ac:dyDescent="0.35">
      <c r="C32505" s="2"/>
    </row>
    <row r="32506" spans="3:3" x14ac:dyDescent="0.35">
      <c r="C32506" s="2"/>
    </row>
    <row r="32507" spans="3:3" x14ac:dyDescent="0.35">
      <c r="C32507" s="2"/>
    </row>
    <row r="32508" spans="3:3" x14ac:dyDescent="0.35">
      <c r="C32508" s="2"/>
    </row>
    <row r="32509" spans="3:3" x14ac:dyDescent="0.35">
      <c r="C32509" s="2"/>
    </row>
    <row r="32510" spans="3:3" x14ac:dyDescent="0.35">
      <c r="C32510" s="2"/>
    </row>
    <row r="32511" spans="3:3" x14ac:dyDescent="0.35">
      <c r="C32511" s="2"/>
    </row>
    <row r="32512" spans="3:3" x14ac:dyDescent="0.35">
      <c r="C32512" s="2"/>
    </row>
    <row r="32513" spans="3:3" x14ac:dyDescent="0.35">
      <c r="C32513" s="2"/>
    </row>
    <row r="32514" spans="3:3" x14ac:dyDescent="0.35">
      <c r="C32514" s="2"/>
    </row>
    <row r="32515" spans="3:3" x14ac:dyDescent="0.35">
      <c r="C32515" s="2"/>
    </row>
    <row r="32516" spans="3:3" x14ac:dyDescent="0.35">
      <c r="C32516" s="2"/>
    </row>
    <row r="32517" spans="3:3" x14ac:dyDescent="0.35">
      <c r="C32517" s="2"/>
    </row>
    <row r="32518" spans="3:3" x14ac:dyDescent="0.35">
      <c r="C32518" s="2"/>
    </row>
    <row r="32519" spans="3:3" x14ac:dyDescent="0.35">
      <c r="C32519" s="2"/>
    </row>
    <row r="32520" spans="3:3" x14ac:dyDescent="0.35">
      <c r="C32520" s="2"/>
    </row>
    <row r="32521" spans="3:3" x14ac:dyDescent="0.35">
      <c r="C32521" s="2"/>
    </row>
    <row r="32522" spans="3:3" x14ac:dyDescent="0.35">
      <c r="C32522" s="2"/>
    </row>
    <row r="32523" spans="3:3" x14ac:dyDescent="0.35">
      <c r="C32523" s="2"/>
    </row>
    <row r="32524" spans="3:3" x14ac:dyDescent="0.35">
      <c r="C32524" s="2"/>
    </row>
    <row r="32525" spans="3:3" x14ac:dyDescent="0.35">
      <c r="C32525" s="2"/>
    </row>
    <row r="32526" spans="3:3" x14ac:dyDescent="0.35">
      <c r="C32526" s="2"/>
    </row>
    <row r="32527" spans="3:3" x14ac:dyDescent="0.35">
      <c r="C32527" s="2"/>
    </row>
    <row r="32528" spans="3:3" x14ac:dyDescent="0.35">
      <c r="C32528" s="2"/>
    </row>
    <row r="32529" spans="3:3" x14ac:dyDescent="0.35">
      <c r="C32529" s="2"/>
    </row>
    <row r="32530" spans="3:3" x14ac:dyDescent="0.35">
      <c r="C32530" s="2"/>
    </row>
    <row r="32531" spans="3:3" x14ac:dyDescent="0.35">
      <c r="C32531" s="2"/>
    </row>
    <row r="32532" spans="3:3" x14ac:dyDescent="0.35">
      <c r="C32532" s="2"/>
    </row>
    <row r="32533" spans="3:3" x14ac:dyDescent="0.35">
      <c r="C32533" s="2"/>
    </row>
    <row r="32534" spans="3:3" x14ac:dyDescent="0.35">
      <c r="C32534" s="2"/>
    </row>
    <row r="32535" spans="3:3" x14ac:dyDescent="0.35">
      <c r="C32535" s="2"/>
    </row>
    <row r="32536" spans="3:3" x14ac:dyDescent="0.35">
      <c r="C32536" s="2"/>
    </row>
    <row r="32537" spans="3:3" x14ac:dyDescent="0.35">
      <c r="C32537" s="2"/>
    </row>
    <row r="32538" spans="3:3" x14ac:dyDescent="0.35">
      <c r="C32538" s="2"/>
    </row>
    <row r="32539" spans="3:3" x14ac:dyDescent="0.35">
      <c r="C32539" s="2"/>
    </row>
    <row r="32540" spans="3:3" x14ac:dyDescent="0.35">
      <c r="C32540" s="2"/>
    </row>
    <row r="32541" spans="3:3" x14ac:dyDescent="0.35">
      <c r="C32541" s="2"/>
    </row>
    <row r="32542" spans="3:3" x14ac:dyDescent="0.35">
      <c r="C32542" s="2"/>
    </row>
    <row r="32543" spans="3:3" x14ac:dyDescent="0.35">
      <c r="C32543" s="2"/>
    </row>
    <row r="32544" spans="3:3" x14ac:dyDescent="0.35">
      <c r="C32544" s="2"/>
    </row>
    <row r="32545" spans="3:3" x14ac:dyDescent="0.35">
      <c r="C32545" s="2"/>
    </row>
    <row r="32546" spans="3:3" x14ac:dyDescent="0.35">
      <c r="C32546" s="2"/>
    </row>
    <row r="32547" spans="3:3" x14ac:dyDescent="0.35">
      <c r="C32547" s="2"/>
    </row>
    <row r="32548" spans="3:3" x14ac:dyDescent="0.35">
      <c r="C32548" s="2"/>
    </row>
    <row r="32549" spans="3:3" x14ac:dyDescent="0.35">
      <c r="C32549" s="2"/>
    </row>
    <row r="32550" spans="3:3" x14ac:dyDescent="0.35">
      <c r="C32550" s="2"/>
    </row>
    <row r="32551" spans="3:3" x14ac:dyDescent="0.35">
      <c r="C32551" s="2"/>
    </row>
    <row r="32552" spans="3:3" x14ac:dyDescent="0.35">
      <c r="C32552" s="2"/>
    </row>
    <row r="32553" spans="3:3" x14ac:dyDescent="0.35">
      <c r="C32553" s="2"/>
    </row>
    <row r="32554" spans="3:3" x14ac:dyDescent="0.35">
      <c r="C32554" s="2"/>
    </row>
    <row r="32555" spans="3:3" x14ac:dyDescent="0.35">
      <c r="C32555" s="2"/>
    </row>
    <row r="32556" spans="3:3" x14ac:dyDescent="0.35">
      <c r="C32556" s="2"/>
    </row>
    <row r="32557" spans="3:3" x14ac:dyDescent="0.35">
      <c r="C32557" s="2"/>
    </row>
    <row r="32558" spans="3:3" x14ac:dyDescent="0.35">
      <c r="C32558" s="2"/>
    </row>
    <row r="32559" spans="3:3" x14ac:dyDescent="0.35">
      <c r="C32559" s="2"/>
    </row>
    <row r="32560" spans="3:3" x14ac:dyDescent="0.35">
      <c r="C32560" s="2"/>
    </row>
    <row r="32561" spans="3:3" x14ac:dyDescent="0.35">
      <c r="C32561" s="2"/>
    </row>
    <row r="32562" spans="3:3" x14ac:dyDescent="0.35">
      <c r="C32562" s="2"/>
    </row>
    <row r="32563" spans="3:3" x14ac:dyDescent="0.35">
      <c r="C32563" s="2"/>
    </row>
    <row r="32564" spans="3:3" x14ac:dyDescent="0.35">
      <c r="C32564" s="2"/>
    </row>
    <row r="32565" spans="3:3" x14ac:dyDescent="0.35">
      <c r="C32565" s="2"/>
    </row>
    <row r="32566" spans="3:3" x14ac:dyDescent="0.35">
      <c r="C32566" s="2"/>
    </row>
    <row r="32567" spans="3:3" x14ac:dyDescent="0.35">
      <c r="C32567" s="2"/>
    </row>
    <row r="32568" spans="3:3" x14ac:dyDescent="0.35">
      <c r="C32568" s="2"/>
    </row>
    <row r="32569" spans="3:3" x14ac:dyDescent="0.35">
      <c r="C32569" s="2"/>
    </row>
    <row r="32570" spans="3:3" x14ac:dyDescent="0.35">
      <c r="C32570" s="2"/>
    </row>
    <row r="32571" spans="3:3" x14ac:dyDescent="0.35">
      <c r="C32571" s="2"/>
    </row>
    <row r="32572" spans="3:3" x14ac:dyDescent="0.35">
      <c r="C32572" s="2"/>
    </row>
    <row r="32573" spans="3:3" x14ac:dyDescent="0.35">
      <c r="C32573" s="2"/>
    </row>
    <row r="32574" spans="3:3" x14ac:dyDescent="0.35">
      <c r="C32574" s="2"/>
    </row>
    <row r="32575" spans="3:3" x14ac:dyDescent="0.35">
      <c r="C32575" s="2"/>
    </row>
    <row r="32576" spans="3:3" x14ac:dyDescent="0.35">
      <c r="C32576" s="2"/>
    </row>
    <row r="32577" spans="3:3" x14ac:dyDescent="0.35">
      <c r="C32577" s="2"/>
    </row>
    <row r="32578" spans="3:3" x14ac:dyDescent="0.35">
      <c r="C32578" s="2"/>
    </row>
    <row r="32579" spans="3:3" x14ac:dyDescent="0.35">
      <c r="C32579" s="2"/>
    </row>
    <row r="32580" spans="3:3" x14ac:dyDescent="0.35">
      <c r="C32580" s="2"/>
    </row>
    <row r="32581" spans="3:3" x14ac:dyDescent="0.35">
      <c r="C32581" s="2"/>
    </row>
    <row r="32582" spans="3:3" x14ac:dyDescent="0.35">
      <c r="C32582" s="2"/>
    </row>
    <row r="32583" spans="3:3" x14ac:dyDescent="0.35">
      <c r="C32583" s="2"/>
    </row>
    <row r="32584" spans="3:3" x14ac:dyDescent="0.35">
      <c r="C32584" s="2"/>
    </row>
    <row r="32585" spans="3:3" x14ac:dyDescent="0.35">
      <c r="C32585" s="2"/>
    </row>
    <row r="32586" spans="3:3" x14ac:dyDescent="0.35">
      <c r="C32586" s="2"/>
    </row>
    <row r="32587" spans="3:3" x14ac:dyDescent="0.35">
      <c r="C32587" s="2"/>
    </row>
    <row r="32588" spans="3:3" x14ac:dyDescent="0.35">
      <c r="C32588" s="2"/>
    </row>
    <row r="32589" spans="3:3" x14ac:dyDescent="0.35">
      <c r="C32589" s="2"/>
    </row>
    <row r="32590" spans="3:3" x14ac:dyDescent="0.35">
      <c r="C32590" s="2"/>
    </row>
    <row r="32591" spans="3:3" x14ac:dyDescent="0.35">
      <c r="C32591" s="2"/>
    </row>
    <row r="32592" spans="3:3" x14ac:dyDescent="0.35">
      <c r="C32592" s="2"/>
    </row>
    <row r="32593" spans="3:3" x14ac:dyDescent="0.35">
      <c r="C32593" s="2"/>
    </row>
    <row r="32594" spans="3:3" x14ac:dyDescent="0.35">
      <c r="C32594" s="2"/>
    </row>
    <row r="32595" spans="3:3" x14ac:dyDescent="0.35">
      <c r="C32595" s="2"/>
    </row>
    <row r="32596" spans="3:3" x14ac:dyDescent="0.35">
      <c r="C32596" s="2"/>
    </row>
    <row r="32597" spans="3:3" x14ac:dyDescent="0.35">
      <c r="C32597" s="2"/>
    </row>
    <row r="32598" spans="3:3" x14ac:dyDescent="0.35">
      <c r="C32598" s="2"/>
    </row>
    <row r="32599" spans="3:3" x14ac:dyDescent="0.35">
      <c r="C32599" s="2"/>
    </row>
    <row r="32600" spans="3:3" x14ac:dyDescent="0.35">
      <c r="C32600" s="2"/>
    </row>
    <row r="32601" spans="3:3" x14ac:dyDescent="0.35">
      <c r="C32601" s="2"/>
    </row>
    <row r="32602" spans="3:3" x14ac:dyDescent="0.35">
      <c r="C32602" s="2"/>
    </row>
    <row r="32603" spans="3:3" x14ac:dyDescent="0.35">
      <c r="C32603" s="2"/>
    </row>
    <row r="32604" spans="3:3" x14ac:dyDescent="0.35">
      <c r="C32604" s="2"/>
    </row>
    <row r="32605" spans="3:3" x14ac:dyDescent="0.35">
      <c r="C32605" s="2"/>
    </row>
    <row r="32606" spans="3:3" x14ac:dyDescent="0.35">
      <c r="C32606" s="2"/>
    </row>
    <row r="32607" spans="3:3" x14ac:dyDescent="0.35">
      <c r="C32607" s="2"/>
    </row>
    <row r="32608" spans="3:3" x14ac:dyDescent="0.35">
      <c r="C32608" s="2"/>
    </row>
    <row r="32609" spans="3:3" x14ac:dyDescent="0.35">
      <c r="C32609" s="2"/>
    </row>
    <row r="32610" spans="3:3" x14ac:dyDescent="0.35">
      <c r="C32610" s="2"/>
    </row>
    <row r="32611" spans="3:3" x14ac:dyDescent="0.35">
      <c r="C32611" s="2"/>
    </row>
    <row r="32612" spans="3:3" x14ac:dyDescent="0.35">
      <c r="C32612" s="2"/>
    </row>
    <row r="32613" spans="3:3" x14ac:dyDescent="0.35">
      <c r="C32613" s="2"/>
    </row>
    <row r="32614" spans="3:3" x14ac:dyDescent="0.35">
      <c r="C32614" s="2"/>
    </row>
    <row r="32615" spans="3:3" x14ac:dyDescent="0.35">
      <c r="C32615" s="2"/>
    </row>
    <row r="32616" spans="3:3" x14ac:dyDescent="0.35">
      <c r="C32616" s="2"/>
    </row>
    <row r="32617" spans="3:3" x14ac:dyDescent="0.35">
      <c r="C32617" s="2"/>
    </row>
    <row r="32618" spans="3:3" x14ac:dyDescent="0.35">
      <c r="C32618" s="2"/>
    </row>
    <row r="32619" spans="3:3" x14ac:dyDescent="0.35">
      <c r="C32619" s="2"/>
    </row>
    <row r="32620" spans="3:3" x14ac:dyDescent="0.35">
      <c r="C32620" s="2"/>
    </row>
    <row r="32621" spans="3:3" x14ac:dyDescent="0.35">
      <c r="C32621" s="2"/>
    </row>
    <row r="32622" spans="3:3" x14ac:dyDescent="0.35">
      <c r="C32622" s="2"/>
    </row>
    <row r="32623" spans="3:3" x14ac:dyDescent="0.35">
      <c r="C32623" s="2"/>
    </row>
    <row r="32624" spans="3:3" x14ac:dyDescent="0.35">
      <c r="C32624" s="2"/>
    </row>
    <row r="32625" spans="3:3" x14ac:dyDescent="0.35">
      <c r="C32625" s="2"/>
    </row>
    <row r="32626" spans="3:3" x14ac:dyDescent="0.35">
      <c r="C32626" s="2"/>
    </row>
    <row r="32627" spans="3:3" x14ac:dyDescent="0.35">
      <c r="C32627" s="2"/>
    </row>
    <row r="32628" spans="3:3" x14ac:dyDescent="0.35">
      <c r="C32628" s="2"/>
    </row>
    <row r="32629" spans="3:3" x14ac:dyDescent="0.35">
      <c r="C32629" s="2"/>
    </row>
    <row r="32630" spans="3:3" x14ac:dyDescent="0.35">
      <c r="C32630" s="2"/>
    </row>
    <row r="32631" spans="3:3" x14ac:dyDescent="0.35">
      <c r="C32631" s="2"/>
    </row>
    <row r="32632" spans="3:3" x14ac:dyDescent="0.35">
      <c r="C32632" s="2"/>
    </row>
    <row r="32633" spans="3:3" x14ac:dyDescent="0.35">
      <c r="C32633" s="2"/>
    </row>
    <row r="32634" spans="3:3" x14ac:dyDescent="0.35">
      <c r="C32634" s="2"/>
    </row>
    <row r="32635" spans="3:3" x14ac:dyDescent="0.35">
      <c r="C32635" s="2"/>
    </row>
    <row r="32636" spans="3:3" x14ac:dyDescent="0.35">
      <c r="C32636" s="2"/>
    </row>
    <row r="32637" spans="3:3" x14ac:dyDescent="0.35">
      <c r="C32637" s="2"/>
    </row>
    <row r="32638" spans="3:3" x14ac:dyDescent="0.35">
      <c r="C32638" s="2"/>
    </row>
    <row r="32639" spans="3:3" x14ac:dyDescent="0.35">
      <c r="C32639" s="2"/>
    </row>
    <row r="32640" spans="3:3" x14ac:dyDescent="0.35">
      <c r="C32640" s="2"/>
    </row>
    <row r="32641" spans="3:3" x14ac:dyDescent="0.35">
      <c r="C32641" s="2"/>
    </row>
    <row r="32642" spans="3:3" x14ac:dyDescent="0.35">
      <c r="C32642" s="2"/>
    </row>
    <row r="32643" spans="3:3" x14ac:dyDescent="0.35">
      <c r="C32643" s="2"/>
    </row>
    <row r="32644" spans="3:3" x14ac:dyDescent="0.35">
      <c r="C32644" s="2"/>
    </row>
    <row r="32645" spans="3:3" x14ac:dyDescent="0.35">
      <c r="C32645" s="2"/>
    </row>
    <row r="32646" spans="3:3" x14ac:dyDescent="0.35">
      <c r="C32646" s="2"/>
    </row>
    <row r="32647" spans="3:3" x14ac:dyDescent="0.35">
      <c r="C32647" s="2"/>
    </row>
    <row r="32648" spans="3:3" x14ac:dyDescent="0.35">
      <c r="C32648" s="2"/>
    </row>
    <row r="32649" spans="3:3" x14ac:dyDescent="0.35">
      <c r="C32649" s="2"/>
    </row>
    <row r="32650" spans="3:3" x14ac:dyDescent="0.35">
      <c r="C32650" s="2"/>
    </row>
    <row r="32651" spans="3:3" x14ac:dyDescent="0.35">
      <c r="C32651" s="2"/>
    </row>
    <row r="32652" spans="3:3" x14ac:dyDescent="0.35">
      <c r="C32652" s="2"/>
    </row>
    <row r="32653" spans="3:3" x14ac:dyDescent="0.35">
      <c r="C32653" s="2"/>
    </row>
    <row r="32654" spans="3:3" x14ac:dyDescent="0.35">
      <c r="C32654" s="2"/>
    </row>
    <row r="32655" spans="3:3" x14ac:dyDescent="0.35">
      <c r="C32655" s="2"/>
    </row>
    <row r="32656" spans="3:3" x14ac:dyDescent="0.35">
      <c r="C32656" s="2"/>
    </row>
    <row r="32657" spans="3:3" x14ac:dyDescent="0.35">
      <c r="C32657" s="2"/>
    </row>
    <row r="32658" spans="3:3" x14ac:dyDescent="0.35">
      <c r="C32658" s="2"/>
    </row>
    <row r="32659" spans="3:3" x14ac:dyDescent="0.35">
      <c r="C32659" s="2"/>
    </row>
    <row r="32660" spans="3:3" x14ac:dyDescent="0.35">
      <c r="C32660" s="2"/>
    </row>
    <row r="32661" spans="3:3" x14ac:dyDescent="0.35">
      <c r="C32661" s="2"/>
    </row>
    <row r="32662" spans="3:3" x14ac:dyDescent="0.35">
      <c r="C32662" s="2"/>
    </row>
    <row r="32663" spans="3:3" x14ac:dyDescent="0.35">
      <c r="C32663" s="2"/>
    </row>
    <row r="32664" spans="3:3" x14ac:dyDescent="0.35">
      <c r="C32664" s="2"/>
    </row>
    <row r="32665" spans="3:3" x14ac:dyDescent="0.35">
      <c r="C32665" s="2"/>
    </row>
    <row r="32666" spans="3:3" x14ac:dyDescent="0.35">
      <c r="C32666" s="2"/>
    </row>
    <row r="32667" spans="3:3" x14ac:dyDescent="0.35">
      <c r="C32667" s="2"/>
    </row>
    <row r="32668" spans="3:3" x14ac:dyDescent="0.35">
      <c r="C32668" s="2"/>
    </row>
    <row r="32669" spans="3:3" x14ac:dyDescent="0.35">
      <c r="C32669" s="2"/>
    </row>
    <row r="32670" spans="3:3" x14ac:dyDescent="0.35">
      <c r="C32670" s="2"/>
    </row>
    <row r="32671" spans="3:3" x14ac:dyDescent="0.35">
      <c r="C32671" s="2"/>
    </row>
    <row r="32672" spans="3:3" x14ac:dyDescent="0.35">
      <c r="C32672" s="2"/>
    </row>
    <row r="32673" spans="3:3" x14ac:dyDescent="0.35">
      <c r="C32673" s="2"/>
    </row>
    <row r="32674" spans="3:3" x14ac:dyDescent="0.35">
      <c r="C32674" s="2"/>
    </row>
    <row r="32675" spans="3:3" x14ac:dyDescent="0.35">
      <c r="C32675" s="2"/>
    </row>
    <row r="32676" spans="3:3" x14ac:dyDescent="0.35">
      <c r="C32676" s="2"/>
    </row>
    <row r="32677" spans="3:3" x14ac:dyDescent="0.35">
      <c r="C32677" s="2"/>
    </row>
    <row r="32678" spans="3:3" x14ac:dyDescent="0.35">
      <c r="C32678" s="2"/>
    </row>
    <row r="32679" spans="3:3" x14ac:dyDescent="0.35">
      <c r="C32679" s="2"/>
    </row>
    <row r="32680" spans="3:3" x14ac:dyDescent="0.35">
      <c r="C32680" s="2"/>
    </row>
    <row r="32681" spans="3:3" x14ac:dyDescent="0.35">
      <c r="C32681" s="2"/>
    </row>
    <row r="32682" spans="3:3" x14ac:dyDescent="0.35">
      <c r="C32682" s="2"/>
    </row>
    <row r="32683" spans="3:3" x14ac:dyDescent="0.35">
      <c r="C32683" s="2"/>
    </row>
    <row r="32684" spans="3:3" x14ac:dyDescent="0.35">
      <c r="C32684" s="2"/>
    </row>
    <row r="32685" spans="3:3" x14ac:dyDescent="0.35">
      <c r="C32685" s="2"/>
    </row>
    <row r="32686" spans="3:3" x14ac:dyDescent="0.35">
      <c r="C32686" s="2"/>
    </row>
    <row r="32687" spans="3:3" x14ac:dyDescent="0.35">
      <c r="C32687" s="2"/>
    </row>
    <row r="32688" spans="3:3" x14ac:dyDescent="0.35">
      <c r="C32688" s="2"/>
    </row>
    <row r="32689" spans="3:3" x14ac:dyDescent="0.35">
      <c r="C32689" s="2"/>
    </row>
    <row r="32690" spans="3:3" x14ac:dyDescent="0.35">
      <c r="C32690" s="2"/>
    </row>
    <row r="32691" spans="3:3" x14ac:dyDescent="0.35">
      <c r="C32691" s="2"/>
    </row>
    <row r="32692" spans="3:3" x14ac:dyDescent="0.35">
      <c r="C32692" s="2"/>
    </row>
    <row r="32693" spans="3:3" x14ac:dyDescent="0.35">
      <c r="C32693" s="2"/>
    </row>
    <row r="32694" spans="3:3" x14ac:dyDescent="0.35">
      <c r="C32694" s="2"/>
    </row>
    <row r="32695" spans="3:3" x14ac:dyDescent="0.35">
      <c r="C32695" s="2"/>
    </row>
    <row r="32696" spans="3:3" x14ac:dyDescent="0.35">
      <c r="C32696" s="2"/>
    </row>
    <row r="32697" spans="3:3" x14ac:dyDescent="0.35">
      <c r="C32697" s="2"/>
    </row>
    <row r="32698" spans="3:3" x14ac:dyDescent="0.35">
      <c r="C32698" s="2"/>
    </row>
    <row r="32699" spans="3:3" x14ac:dyDescent="0.35">
      <c r="C32699" s="2"/>
    </row>
    <row r="32700" spans="3:3" x14ac:dyDescent="0.35">
      <c r="C32700" s="2"/>
    </row>
    <row r="32701" spans="3:3" x14ac:dyDescent="0.35">
      <c r="C32701" s="2"/>
    </row>
    <row r="32702" spans="3:3" x14ac:dyDescent="0.35">
      <c r="C32702" s="2"/>
    </row>
    <row r="32703" spans="3:3" x14ac:dyDescent="0.35">
      <c r="C32703" s="2"/>
    </row>
    <row r="32704" spans="3:3" x14ac:dyDescent="0.35">
      <c r="C32704" s="2"/>
    </row>
    <row r="32705" spans="3:3" x14ac:dyDescent="0.35">
      <c r="C32705" s="2"/>
    </row>
    <row r="32706" spans="3:3" x14ac:dyDescent="0.35">
      <c r="C32706" s="2"/>
    </row>
    <row r="32707" spans="3:3" x14ac:dyDescent="0.35">
      <c r="C32707" s="2"/>
    </row>
    <row r="32708" spans="3:3" x14ac:dyDescent="0.35">
      <c r="C32708" s="2"/>
    </row>
    <row r="32709" spans="3:3" x14ac:dyDescent="0.35">
      <c r="C32709" s="2"/>
    </row>
    <row r="32710" spans="3:3" x14ac:dyDescent="0.35">
      <c r="C32710" s="2"/>
    </row>
    <row r="32711" spans="3:3" x14ac:dyDescent="0.35">
      <c r="C32711" s="2"/>
    </row>
    <row r="32712" spans="3:3" x14ac:dyDescent="0.35">
      <c r="C32712" s="2"/>
    </row>
    <row r="32713" spans="3:3" x14ac:dyDescent="0.35">
      <c r="C32713" s="2"/>
    </row>
    <row r="32714" spans="3:3" x14ac:dyDescent="0.35">
      <c r="C32714" s="2"/>
    </row>
    <row r="32715" spans="3:3" x14ac:dyDescent="0.35">
      <c r="C32715" s="2"/>
    </row>
    <row r="32716" spans="3:3" x14ac:dyDescent="0.35">
      <c r="C32716" s="2"/>
    </row>
    <row r="32717" spans="3:3" x14ac:dyDescent="0.35">
      <c r="C32717" s="2"/>
    </row>
    <row r="32718" spans="3:3" x14ac:dyDescent="0.35">
      <c r="C32718" s="2"/>
    </row>
    <row r="32719" spans="3:3" x14ac:dyDescent="0.35">
      <c r="C32719" s="2"/>
    </row>
    <row r="32720" spans="3:3" x14ac:dyDescent="0.35">
      <c r="C32720" s="2"/>
    </row>
    <row r="32721" spans="3:3" x14ac:dyDescent="0.35">
      <c r="C32721" s="2"/>
    </row>
    <row r="32722" spans="3:3" x14ac:dyDescent="0.35">
      <c r="C32722" s="2"/>
    </row>
    <row r="32723" spans="3:3" x14ac:dyDescent="0.35">
      <c r="C32723" s="2"/>
    </row>
    <row r="32724" spans="3:3" x14ac:dyDescent="0.35">
      <c r="C32724" s="2"/>
    </row>
    <row r="32725" spans="3:3" x14ac:dyDescent="0.35">
      <c r="C32725" s="2"/>
    </row>
    <row r="32726" spans="3:3" x14ac:dyDescent="0.35">
      <c r="C32726" s="2"/>
    </row>
    <row r="32727" spans="3:3" x14ac:dyDescent="0.35">
      <c r="C32727" s="2"/>
    </row>
    <row r="32728" spans="3:3" x14ac:dyDescent="0.35">
      <c r="C32728" s="2"/>
    </row>
    <row r="32729" spans="3:3" x14ac:dyDescent="0.35">
      <c r="C32729" s="2"/>
    </row>
    <row r="32730" spans="3:3" x14ac:dyDescent="0.35">
      <c r="C32730" s="2"/>
    </row>
    <row r="32731" spans="3:3" x14ac:dyDescent="0.35">
      <c r="C32731" s="2"/>
    </row>
    <row r="32732" spans="3:3" x14ac:dyDescent="0.35">
      <c r="C32732" s="2"/>
    </row>
    <row r="32733" spans="3:3" x14ac:dyDescent="0.35">
      <c r="C32733" s="2"/>
    </row>
    <row r="32734" spans="3:3" x14ac:dyDescent="0.35">
      <c r="C32734" s="2"/>
    </row>
    <row r="32735" spans="3:3" x14ac:dyDescent="0.35">
      <c r="C32735" s="2"/>
    </row>
    <row r="32736" spans="3:3" x14ac:dyDescent="0.35">
      <c r="C32736" s="2"/>
    </row>
    <row r="32737" spans="3:3" x14ac:dyDescent="0.35">
      <c r="C32737" s="2"/>
    </row>
    <row r="32738" spans="3:3" x14ac:dyDescent="0.35">
      <c r="C32738" s="2"/>
    </row>
    <row r="32739" spans="3:3" x14ac:dyDescent="0.35">
      <c r="C32739" s="2"/>
    </row>
    <row r="32740" spans="3:3" x14ac:dyDescent="0.35">
      <c r="C32740" s="2"/>
    </row>
    <row r="32741" spans="3:3" x14ac:dyDescent="0.35">
      <c r="C32741" s="2"/>
    </row>
    <row r="32742" spans="3:3" x14ac:dyDescent="0.35">
      <c r="C32742" s="2"/>
    </row>
    <row r="32743" spans="3:3" x14ac:dyDescent="0.35">
      <c r="C32743" s="2"/>
    </row>
    <row r="32744" spans="3:3" x14ac:dyDescent="0.35">
      <c r="C32744" s="2"/>
    </row>
    <row r="32745" spans="3:3" x14ac:dyDescent="0.35">
      <c r="C32745" s="2"/>
    </row>
    <row r="32746" spans="3:3" x14ac:dyDescent="0.35">
      <c r="C32746" s="2"/>
    </row>
    <row r="32747" spans="3:3" x14ac:dyDescent="0.35">
      <c r="C32747" s="2"/>
    </row>
    <row r="32748" spans="3:3" x14ac:dyDescent="0.35">
      <c r="C32748" s="2"/>
    </row>
    <row r="32749" spans="3:3" x14ac:dyDescent="0.35">
      <c r="C32749" s="2"/>
    </row>
    <row r="32750" spans="3:3" x14ac:dyDescent="0.35">
      <c r="C32750" s="2"/>
    </row>
    <row r="32751" spans="3:3" x14ac:dyDescent="0.35">
      <c r="C32751" s="2"/>
    </row>
    <row r="32752" spans="3:3" x14ac:dyDescent="0.35">
      <c r="C32752" s="2"/>
    </row>
    <row r="32753" spans="3:3" x14ac:dyDescent="0.35">
      <c r="C32753" s="2"/>
    </row>
    <row r="32754" spans="3:3" x14ac:dyDescent="0.35">
      <c r="C32754" s="2"/>
    </row>
    <row r="32755" spans="3:3" x14ac:dyDescent="0.35">
      <c r="C32755" s="2"/>
    </row>
    <row r="32756" spans="3:3" x14ac:dyDescent="0.35">
      <c r="C32756" s="2"/>
    </row>
    <row r="32757" spans="3:3" x14ac:dyDescent="0.35">
      <c r="C32757" s="2"/>
    </row>
    <row r="32758" spans="3:3" x14ac:dyDescent="0.35">
      <c r="C32758" s="2"/>
    </row>
    <row r="32759" spans="3:3" x14ac:dyDescent="0.35">
      <c r="C32759" s="2"/>
    </row>
    <row r="32760" spans="3:3" x14ac:dyDescent="0.35">
      <c r="C32760" s="2"/>
    </row>
    <row r="32761" spans="3:3" x14ac:dyDescent="0.35">
      <c r="C32761" s="2"/>
    </row>
    <row r="32762" spans="3:3" x14ac:dyDescent="0.35">
      <c r="C32762" s="2"/>
    </row>
    <row r="32763" spans="3:3" x14ac:dyDescent="0.35">
      <c r="C32763" s="2"/>
    </row>
    <row r="32764" spans="3:3" x14ac:dyDescent="0.35">
      <c r="C32764" s="2"/>
    </row>
    <row r="32765" spans="3:3" x14ac:dyDescent="0.35">
      <c r="C32765" s="2"/>
    </row>
    <row r="32766" spans="3:3" x14ac:dyDescent="0.35">
      <c r="C32766" s="2"/>
    </row>
    <row r="32767" spans="3:3" x14ac:dyDescent="0.35">
      <c r="C32767" s="2"/>
    </row>
    <row r="32768" spans="3:3" x14ac:dyDescent="0.35">
      <c r="C32768" s="2"/>
    </row>
    <row r="32769" spans="3:3" x14ac:dyDescent="0.35">
      <c r="C32769" s="2"/>
    </row>
    <row r="32770" spans="3:3" x14ac:dyDescent="0.35">
      <c r="C32770" s="2"/>
    </row>
    <row r="32771" spans="3:3" x14ac:dyDescent="0.35">
      <c r="C32771" s="2"/>
    </row>
    <row r="32772" spans="3:3" x14ac:dyDescent="0.35">
      <c r="C32772" s="2"/>
    </row>
    <row r="32773" spans="3:3" x14ac:dyDescent="0.35">
      <c r="C32773" s="2"/>
    </row>
    <row r="32774" spans="3:3" x14ac:dyDescent="0.35">
      <c r="C32774" s="2"/>
    </row>
    <row r="32775" spans="3:3" x14ac:dyDescent="0.35">
      <c r="C32775" s="2"/>
    </row>
    <row r="32776" spans="3:3" x14ac:dyDescent="0.35">
      <c r="C32776" s="2"/>
    </row>
    <row r="32777" spans="3:3" x14ac:dyDescent="0.35">
      <c r="C32777" s="2"/>
    </row>
    <row r="32778" spans="3:3" x14ac:dyDescent="0.35">
      <c r="C32778" s="2"/>
    </row>
    <row r="32779" spans="3:3" x14ac:dyDescent="0.35">
      <c r="C32779" s="2"/>
    </row>
    <row r="32780" spans="3:3" x14ac:dyDescent="0.35">
      <c r="C32780" s="2"/>
    </row>
    <row r="32781" spans="3:3" x14ac:dyDescent="0.35">
      <c r="C32781" s="2"/>
    </row>
    <row r="32782" spans="3:3" x14ac:dyDescent="0.35">
      <c r="C32782" s="2"/>
    </row>
    <row r="32783" spans="3:3" x14ac:dyDescent="0.35">
      <c r="C32783" s="2"/>
    </row>
    <row r="32784" spans="3:3" x14ac:dyDescent="0.35">
      <c r="C32784" s="2"/>
    </row>
    <row r="32785" spans="3:3" x14ac:dyDescent="0.35">
      <c r="C32785" s="2"/>
    </row>
    <row r="32786" spans="3:3" x14ac:dyDescent="0.35">
      <c r="C32786" s="2"/>
    </row>
    <row r="32787" spans="3:3" x14ac:dyDescent="0.35">
      <c r="C32787" s="2"/>
    </row>
    <row r="32788" spans="3:3" x14ac:dyDescent="0.35">
      <c r="C32788" s="2"/>
    </row>
    <row r="32789" spans="3:3" x14ac:dyDescent="0.35">
      <c r="C32789" s="2"/>
    </row>
    <row r="32790" spans="3:3" x14ac:dyDescent="0.35">
      <c r="C32790" s="2"/>
    </row>
    <row r="32791" spans="3:3" x14ac:dyDescent="0.35">
      <c r="C32791" s="2"/>
    </row>
    <row r="32792" spans="3:3" x14ac:dyDescent="0.35">
      <c r="C32792" s="2"/>
    </row>
    <row r="32793" spans="3:3" x14ac:dyDescent="0.35">
      <c r="C32793" s="2"/>
    </row>
    <row r="32794" spans="3:3" x14ac:dyDescent="0.35">
      <c r="C32794" s="2"/>
    </row>
    <row r="32795" spans="3:3" x14ac:dyDescent="0.35">
      <c r="C32795" s="2"/>
    </row>
    <row r="32796" spans="3:3" x14ac:dyDescent="0.35">
      <c r="C32796" s="2"/>
    </row>
    <row r="32797" spans="3:3" x14ac:dyDescent="0.35">
      <c r="C32797" s="2"/>
    </row>
    <row r="32798" spans="3:3" x14ac:dyDescent="0.35">
      <c r="C32798" s="2"/>
    </row>
    <row r="32799" spans="3:3" x14ac:dyDescent="0.35">
      <c r="C32799" s="2"/>
    </row>
    <row r="32800" spans="3:3" x14ac:dyDescent="0.35">
      <c r="C32800" s="2"/>
    </row>
    <row r="32801" spans="3:3" x14ac:dyDescent="0.35">
      <c r="C32801" s="2"/>
    </row>
    <row r="32802" spans="3:3" x14ac:dyDescent="0.35">
      <c r="C32802" s="2"/>
    </row>
    <row r="32803" spans="3:3" x14ac:dyDescent="0.35">
      <c r="C32803" s="2"/>
    </row>
    <row r="32804" spans="3:3" x14ac:dyDescent="0.35">
      <c r="C32804" s="2"/>
    </row>
    <row r="32805" spans="3:3" x14ac:dyDescent="0.35">
      <c r="C32805" s="2"/>
    </row>
    <row r="32806" spans="3:3" x14ac:dyDescent="0.35">
      <c r="C32806" s="2"/>
    </row>
    <row r="32807" spans="3:3" x14ac:dyDescent="0.35">
      <c r="C32807" s="2"/>
    </row>
    <row r="32808" spans="3:3" x14ac:dyDescent="0.35">
      <c r="C32808" s="2"/>
    </row>
    <row r="32809" spans="3:3" x14ac:dyDescent="0.35">
      <c r="C32809" s="2"/>
    </row>
    <row r="32810" spans="3:3" x14ac:dyDescent="0.35">
      <c r="C32810" s="2"/>
    </row>
    <row r="32811" spans="3:3" x14ac:dyDescent="0.35">
      <c r="C32811" s="2"/>
    </row>
    <row r="32812" spans="3:3" x14ac:dyDescent="0.35">
      <c r="C32812" s="2"/>
    </row>
    <row r="32813" spans="3:3" x14ac:dyDescent="0.35">
      <c r="C32813" s="2"/>
    </row>
    <row r="32814" spans="3:3" x14ac:dyDescent="0.35">
      <c r="C32814" s="2"/>
    </row>
    <row r="32815" spans="3:3" x14ac:dyDescent="0.35">
      <c r="C32815" s="2"/>
    </row>
    <row r="32816" spans="3:3" x14ac:dyDescent="0.35">
      <c r="C32816" s="2"/>
    </row>
    <row r="32817" spans="3:3" x14ac:dyDescent="0.35">
      <c r="C32817" s="2"/>
    </row>
    <row r="32818" spans="3:3" x14ac:dyDescent="0.35">
      <c r="C32818" s="2"/>
    </row>
    <row r="32819" spans="3:3" x14ac:dyDescent="0.35">
      <c r="C32819" s="2"/>
    </row>
    <row r="32820" spans="3:3" x14ac:dyDescent="0.35">
      <c r="C32820" s="2"/>
    </row>
    <row r="32821" spans="3:3" x14ac:dyDescent="0.35">
      <c r="C32821" s="2"/>
    </row>
    <row r="32822" spans="3:3" x14ac:dyDescent="0.35">
      <c r="C32822" s="2"/>
    </row>
    <row r="32823" spans="3:3" x14ac:dyDescent="0.35">
      <c r="C32823" s="2"/>
    </row>
    <row r="32824" spans="3:3" x14ac:dyDescent="0.35">
      <c r="C32824" s="2"/>
    </row>
    <row r="32825" spans="3:3" x14ac:dyDescent="0.35">
      <c r="C32825" s="2"/>
    </row>
    <row r="32826" spans="3:3" x14ac:dyDescent="0.35">
      <c r="C32826" s="2"/>
    </row>
    <row r="32827" spans="3:3" x14ac:dyDescent="0.35">
      <c r="C32827" s="2"/>
    </row>
    <row r="32828" spans="3:3" x14ac:dyDescent="0.35">
      <c r="C32828" s="2"/>
    </row>
    <row r="32829" spans="3:3" x14ac:dyDescent="0.35">
      <c r="C32829" s="2"/>
    </row>
    <row r="32830" spans="3:3" x14ac:dyDescent="0.35">
      <c r="C32830" s="2"/>
    </row>
    <row r="32831" spans="3:3" x14ac:dyDescent="0.35">
      <c r="C32831" s="2"/>
    </row>
    <row r="32832" spans="3:3" x14ac:dyDescent="0.35">
      <c r="C32832" s="2"/>
    </row>
    <row r="32833" spans="3:3" x14ac:dyDescent="0.35">
      <c r="C32833" s="2"/>
    </row>
    <row r="32834" spans="3:3" x14ac:dyDescent="0.35">
      <c r="C32834" s="2"/>
    </row>
    <row r="32835" spans="3:3" x14ac:dyDescent="0.35">
      <c r="C32835" s="2"/>
    </row>
    <row r="32836" spans="3:3" x14ac:dyDescent="0.35">
      <c r="C32836" s="2"/>
    </row>
    <row r="32837" spans="3:3" x14ac:dyDescent="0.35">
      <c r="C32837" s="2"/>
    </row>
    <row r="32838" spans="3:3" x14ac:dyDescent="0.35">
      <c r="C32838" s="2"/>
    </row>
    <row r="32839" spans="3:3" x14ac:dyDescent="0.35">
      <c r="C32839" s="2"/>
    </row>
    <row r="32840" spans="3:3" x14ac:dyDescent="0.35">
      <c r="C32840" s="2"/>
    </row>
    <row r="32841" spans="3:3" x14ac:dyDescent="0.35">
      <c r="C32841" s="2"/>
    </row>
    <row r="32842" spans="3:3" x14ac:dyDescent="0.35">
      <c r="C32842" s="2"/>
    </row>
    <row r="32843" spans="3:3" x14ac:dyDescent="0.35">
      <c r="C32843" s="2"/>
    </row>
    <row r="32844" spans="3:3" x14ac:dyDescent="0.35">
      <c r="C32844" s="2"/>
    </row>
    <row r="32845" spans="3:3" x14ac:dyDescent="0.35">
      <c r="C32845" s="2"/>
    </row>
    <row r="32846" spans="3:3" x14ac:dyDescent="0.35">
      <c r="C32846" s="2"/>
    </row>
    <row r="32847" spans="3:3" x14ac:dyDescent="0.35">
      <c r="C32847" s="2"/>
    </row>
    <row r="32848" spans="3:3" x14ac:dyDescent="0.35">
      <c r="C32848" s="2"/>
    </row>
    <row r="32849" spans="3:3" x14ac:dyDescent="0.35">
      <c r="C32849" s="2"/>
    </row>
    <row r="32850" spans="3:3" x14ac:dyDescent="0.35">
      <c r="C32850" s="2"/>
    </row>
    <row r="32851" spans="3:3" x14ac:dyDescent="0.35">
      <c r="C32851" s="2"/>
    </row>
    <row r="32852" spans="3:3" x14ac:dyDescent="0.35">
      <c r="C32852" s="2"/>
    </row>
    <row r="32853" spans="3:3" x14ac:dyDescent="0.35">
      <c r="C32853" s="2"/>
    </row>
    <row r="32854" spans="3:3" x14ac:dyDescent="0.35">
      <c r="C32854" s="2"/>
    </row>
    <row r="32855" spans="3:3" x14ac:dyDescent="0.35">
      <c r="C32855" s="2"/>
    </row>
    <row r="32856" spans="3:3" x14ac:dyDescent="0.35">
      <c r="C32856" s="2"/>
    </row>
    <row r="32857" spans="3:3" x14ac:dyDescent="0.35">
      <c r="C32857" s="2"/>
    </row>
    <row r="32858" spans="3:3" x14ac:dyDescent="0.35">
      <c r="C32858" s="2"/>
    </row>
    <row r="32859" spans="3:3" x14ac:dyDescent="0.35">
      <c r="C32859" s="2"/>
    </row>
    <row r="32860" spans="3:3" x14ac:dyDescent="0.35">
      <c r="C32860" s="2"/>
    </row>
    <row r="32861" spans="3:3" x14ac:dyDescent="0.35">
      <c r="C32861" s="2"/>
    </row>
    <row r="32862" spans="3:3" x14ac:dyDescent="0.35">
      <c r="C32862" s="2"/>
    </row>
    <row r="32863" spans="3:3" x14ac:dyDescent="0.35">
      <c r="C32863" s="2"/>
    </row>
    <row r="32864" spans="3:3" x14ac:dyDescent="0.35">
      <c r="C32864" s="2"/>
    </row>
    <row r="32865" spans="3:3" x14ac:dyDescent="0.35">
      <c r="C32865" s="2"/>
    </row>
    <row r="32866" spans="3:3" x14ac:dyDescent="0.35">
      <c r="C32866" s="2"/>
    </row>
    <row r="32867" spans="3:3" x14ac:dyDescent="0.35">
      <c r="C32867" s="2"/>
    </row>
    <row r="32868" spans="3:3" x14ac:dyDescent="0.35">
      <c r="C32868" s="2"/>
    </row>
    <row r="32869" spans="3:3" x14ac:dyDescent="0.35">
      <c r="C32869" s="2"/>
    </row>
    <row r="32870" spans="3:3" x14ac:dyDescent="0.35">
      <c r="C32870" s="2"/>
    </row>
    <row r="32871" spans="3:3" x14ac:dyDescent="0.35">
      <c r="C32871" s="2"/>
    </row>
    <row r="32872" spans="3:3" x14ac:dyDescent="0.35">
      <c r="C32872" s="2"/>
    </row>
    <row r="32873" spans="3:3" x14ac:dyDescent="0.35">
      <c r="C32873" s="2"/>
    </row>
    <row r="32874" spans="3:3" x14ac:dyDescent="0.35">
      <c r="C32874" s="2"/>
    </row>
    <row r="32875" spans="3:3" x14ac:dyDescent="0.35">
      <c r="C32875" s="2"/>
    </row>
    <row r="32876" spans="3:3" x14ac:dyDescent="0.35">
      <c r="C32876" s="2"/>
    </row>
    <row r="32877" spans="3:3" x14ac:dyDescent="0.35">
      <c r="C32877" s="2"/>
    </row>
    <row r="32878" spans="3:3" x14ac:dyDescent="0.35">
      <c r="C32878" s="2"/>
    </row>
    <row r="32879" spans="3:3" x14ac:dyDescent="0.35">
      <c r="C32879" s="2"/>
    </row>
    <row r="32880" spans="3:3" x14ac:dyDescent="0.35">
      <c r="C32880" s="2"/>
    </row>
    <row r="32881" spans="3:3" x14ac:dyDescent="0.35">
      <c r="C32881" s="2"/>
    </row>
    <row r="32882" spans="3:3" x14ac:dyDescent="0.35">
      <c r="C32882" s="2"/>
    </row>
    <row r="32883" spans="3:3" x14ac:dyDescent="0.35">
      <c r="C32883" s="2"/>
    </row>
    <row r="32884" spans="3:3" x14ac:dyDescent="0.35">
      <c r="C32884" s="2"/>
    </row>
    <row r="32885" spans="3:3" x14ac:dyDescent="0.35">
      <c r="C32885" s="2"/>
    </row>
    <row r="32886" spans="3:3" x14ac:dyDescent="0.35">
      <c r="C32886" s="2"/>
    </row>
    <row r="32887" spans="3:3" x14ac:dyDescent="0.35">
      <c r="C32887" s="2"/>
    </row>
    <row r="32888" spans="3:3" x14ac:dyDescent="0.35">
      <c r="C32888" s="2"/>
    </row>
    <row r="32889" spans="3:3" x14ac:dyDescent="0.35">
      <c r="C32889" s="2"/>
    </row>
    <row r="32890" spans="3:3" x14ac:dyDescent="0.35">
      <c r="C32890" s="2"/>
    </row>
    <row r="32891" spans="3:3" x14ac:dyDescent="0.35">
      <c r="C32891" s="2"/>
    </row>
    <row r="32892" spans="3:3" x14ac:dyDescent="0.35">
      <c r="C32892" s="2"/>
    </row>
    <row r="32893" spans="3:3" x14ac:dyDescent="0.35">
      <c r="C32893" s="2"/>
    </row>
    <row r="32894" spans="3:3" x14ac:dyDescent="0.35">
      <c r="C32894" s="2"/>
    </row>
    <row r="32895" spans="3:3" x14ac:dyDescent="0.35">
      <c r="C32895" s="2"/>
    </row>
    <row r="32896" spans="3:3" x14ac:dyDescent="0.35">
      <c r="C32896" s="2"/>
    </row>
    <row r="32897" spans="3:3" x14ac:dyDescent="0.35">
      <c r="C32897" s="2"/>
    </row>
    <row r="32898" spans="3:3" x14ac:dyDescent="0.35">
      <c r="C32898" s="2"/>
    </row>
    <row r="32899" spans="3:3" x14ac:dyDescent="0.35">
      <c r="C32899" s="2"/>
    </row>
    <row r="32900" spans="3:3" x14ac:dyDescent="0.35">
      <c r="C32900" s="2"/>
    </row>
    <row r="32901" spans="3:3" x14ac:dyDescent="0.35">
      <c r="C32901" s="2"/>
    </row>
    <row r="32902" spans="3:3" x14ac:dyDescent="0.35">
      <c r="C32902" s="2"/>
    </row>
    <row r="32903" spans="3:3" x14ac:dyDescent="0.35">
      <c r="C32903" s="2"/>
    </row>
    <row r="32904" spans="3:3" x14ac:dyDescent="0.35">
      <c r="C32904" s="2"/>
    </row>
    <row r="32905" spans="3:3" x14ac:dyDescent="0.35">
      <c r="C32905" s="2"/>
    </row>
    <row r="32906" spans="3:3" x14ac:dyDescent="0.35">
      <c r="C32906" s="2"/>
    </row>
    <row r="32907" spans="3:3" x14ac:dyDescent="0.35">
      <c r="C32907" s="2"/>
    </row>
    <row r="32908" spans="3:3" x14ac:dyDescent="0.35">
      <c r="C32908" s="2"/>
    </row>
    <row r="32909" spans="3:3" x14ac:dyDescent="0.35">
      <c r="C32909" s="2"/>
    </row>
    <row r="32910" spans="3:3" x14ac:dyDescent="0.35">
      <c r="C32910" s="2"/>
    </row>
    <row r="32911" spans="3:3" x14ac:dyDescent="0.35">
      <c r="C32911" s="2"/>
    </row>
    <row r="32912" spans="3:3" x14ac:dyDescent="0.35">
      <c r="C32912" s="2"/>
    </row>
    <row r="32913" spans="3:3" x14ac:dyDescent="0.35">
      <c r="C32913" s="2"/>
    </row>
    <row r="32914" spans="3:3" x14ac:dyDescent="0.35">
      <c r="C32914" s="2"/>
    </row>
    <row r="32915" spans="3:3" x14ac:dyDescent="0.35">
      <c r="C32915" s="2"/>
    </row>
    <row r="32916" spans="3:3" x14ac:dyDescent="0.35">
      <c r="C32916" s="2"/>
    </row>
    <row r="32917" spans="3:3" x14ac:dyDescent="0.35">
      <c r="C32917" s="2"/>
    </row>
    <row r="32918" spans="3:3" x14ac:dyDescent="0.35">
      <c r="C32918" s="2"/>
    </row>
    <row r="32919" spans="3:3" x14ac:dyDescent="0.35">
      <c r="C32919" s="2"/>
    </row>
    <row r="32920" spans="3:3" x14ac:dyDescent="0.35">
      <c r="C32920" s="2"/>
    </row>
    <row r="32921" spans="3:3" x14ac:dyDescent="0.35">
      <c r="C32921" s="2"/>
    </row>
    <row r="32922" spans="3:3" x14ac:dyDescent="0.35">
      <c r="C32922" s="2"/>
    </row>
    <row r="32923" spans="3:3" x14ac:dyDescent="0.35">
      <c r="C32923" s="2"/>
    </row>
    <row r="32924" spans="3:3" x14ac:dyDescent="0.35">
      <c r="C32924" s="2"/>
    </row>
    <row r="32925" spans="3:3" x14ac:dyDescent="0.35">
      <c r="C32925" s="2"/>
    </row>
    <row r="32926" spans="3:3" x14ac:dyDescent="0.35">
      <c r="C32926" s="2"/>
    </row>
    <row r="32927" spans="3:3" x14ac:dyDescent="0.35">
      <c r="C32927" s="2"/>
    </row>
    <row r="32928" spans="3:3" x14ac:dyDescent="0.35">
      <c r="C32928" s="2"/>
    </row>
    <row r="32929" spans="3:3" x14ac:dyDescent="0.35">
      <c r="C32929" s="2"/>
    </row>
    <row r="32930" spans="3:3" x14ac:dyDescent="0.35">
      <c r="C32930" s="2"/>
    </row>
    <row r="32931" spans="3:3" x14ac:dyDescent="0.35">
      <c r="C32931" s="2"/>
    </row>
    <row r="32932" spans="3:3" x14ac:dyDescent="0.35">
      <c r="C32932" s="2"/>
    </row>
    <row r="32933" spans="3:3" x14ac:dyDescent="0.35">
      <c r="C32933" s="2"/>
    </row>
    <row r="32934" spans="3:3" x14ac:dyDescent="0.35">
      <c r="C32934" s="2"/>
    </row>
    <row r="32935" spans="3:3" x14ac:dyDescent="0.35">
      <c r="C32935" s="2"/>
    </row>
    <row r="32936" spans="3:3" x14ac:dyDescent="0.35">
      <c r="C32936" s="2"/>
    </row>
    <row r="32937" spans="3:3" x14ac:dyDescent="0.35">
      <c r="C32937" s="2"/>
    </row>
    <row r="32938" spans="3:3" x14ac:dyDescent="0.35">
      <c r="C32938" s="2"/>
    </row>
    <row r="32939" spans="3:3" x14ac:dyDescent="0.35">
      <c r="C32939" s="2"/>
    </row>
    <row r="32940" spans="3:3" x14ac:dyDescent="0.35">
      <c r="C32940" s="2"/>
    </row>
    <row r="32941" spans="3:3" x14ac:dyDescent="0.35">
      <c r="C32941" s="2"/>
    </row>
    <row r="32942" spans="3:3" x14ac:dyDescent="0.35">
      <c r="C32942" s="2"/>
    </row>
    <row r="32943" spans="3:3" x14ac:dyDescent="0.35">
      <c r="C32943" s="2"/>
    </row>
    <row r="32944" spans="3:3" x14ac:dyDescent="0.35">
      <c r="C32944" s="2"/>
    </row>
    <row r="32945" spans="3:3" x14ac:dyDescent="0.35">
      <c r="C32945" s="2"/>
    </row>
    <row r="32946" spans="3:3" x14ac:dyDescent="0.35">
      <c r="C32946" s="2"/>
    </row>
    <row r="32947" spans="3:3" x14ac:dyDescent="0.35">
      <c r="C32947" s="2"/>
    </row>
    <row r="32948" spans="3:3" x14ac:dyDescent="0.35">
      <c r="C32948" s="2"/>
    </row>
    <row r="32949" spans="3:3" x14ac:dyDescent="0.35">
      <c r="C32949" s="2"/>
    </row>
    <row r="32950" spans="3:3" x14ac:dyDescent="0.35">
      <c r="C32950" s="2"/>
    </row>
    <row r="32951" spans="3:3" x14ac:dyDescent="0.35">
      <c r="C32951" s="2"/>
    </row>
    <row r="32952" spans="3:3" x14ac:dyDescent="0.35">
      <c r="C32952" s="2"/>
    </row>
    <row r="32953" spans="3:3" x14ac:dyDescent="0.35">
      <c r="C32953" s="2"/>
    </row>
    <row r="32954" spans="3:3" x14ac:dyDescent="0.35">
      <c r="C32954" s="2"/>
    </row>
    <row r="32955" spans="3:3" x14ac:dyDescent="0.35">
      <c r="C32955" s="2"/>
    </row>
    <row r="32956" spans="3:3" x14ac:dyDescent="0.35">
      <c r="C32956" s="2"/>
    </row>
    <row r="32957" spans="3:3" x14ac:dyDescent="0.35">
      <c r="C32957" s="2"/>
    </row>
    <row r="32958" spans="3:3" x14ac:dyDescent="0.35">
      <c r="C32958" s="2"/>
    </row>
    <row r="32959" spans="3:3" x14ac:dyDescent="0.35">
      <c r="C32959" s="2"/>
    </row>
    <row r="32960" spans="3:3" x14ac:dyDescent="0.35">
      <c r="C32960" s="2"/>
    </row>
    <row r="32961" spans="3:3" x14ac:dyDescent="0.35">
      <c r="C32961" s="2"/>
    </row>
    <row r="32962" spans="3:3" x14ac:dyDescent="0.35">
      <c r="C32962" s="2"/>
    </row>
    <row r="32963" spans="3:3" x14ac:dyDescent="0.35">
      <c r="C32963" s="2"/>
    </row>
    <row r="32964" spans="3:3" x14ac:dyDescent="0.35">
      <c r="C32964" s="2"/>
    </row>
    <row r="32965" spans="3:3" x14ac:dyDescent="0.35">
      <c r="C32965" s="2"/>
    </row>
    <row r="32966" spans="3:3" x14ac:dyDescent="0.35">
      <c r="C32966" s="2"/>
    </row>
    <row r="32967" spans="3:3" x14ac:dyDescent="0.35">
      <c r="C32967" s="2"/>
    </row>
    <row r="32968" spans="3:3" x14ac:dyDescent="0.35">
      <c r="C32968" s="2"/>
    </row>
    <row r="32969" spans="3:3" x14ac:dyDescent="0.35">
      <c r="C32969" s="2"/>
    </row>
    <row r="32970" spans="3:3" x14ac:dyDescent="0.35">
      <c r="C32970" s="2"/>
    </row>
    <row r="32971" spans="3:3" x14ac:dyDescent="0.35">
      <c r="C32971" s="2"/>
    </row>
    <row r="32972" spans="3:3" x14ac:dyDescent="0.35">
      <c r="C32972" s="2"/>
    </row>
    <row r="32973" spans="3:3" x14ac:dyDescent="0.35">
      <c r="C32973" s="2"/>
    </row>
    <row r="32974" spans="3:3" x14ac:dyDescent="0.35">
      <c r="C32974" s="2"/>
    </row>
    <row r="32975" spans="3:3" x14ac:dyDescent="0.35">
      <c r="C32975" s="2"/>
    </row>
    <row r="32976" spans="3:3" x14ac:dyDescent="0.35">
      <c r="C32976" s="2"/>
    </row>
    <row r="32977" spans="3:3" x14ac:dyDescent="0.35">
      <c r="C32977" s="2"/>
    </row>
    <row r="32978" spans="3:3" x14ac:dyDescent="0.35">
      <c r="C32978" s="2"/>
    </row>
    <row r="32979" spans="3:3" x14ac:dyDescent="0.35">
      <c r="C32979" s="2"/>
    </row>
    <row r="32980" spans="3:3" x14ac:dyDescent="0.35">
      <c r="C32980" s="2"/>
    </row>
    <row r="32981" spans="3:3" x14ac:dyDescent="0.35">
      <c r="C32981" s="2"/>
    </row>
    <row r="32982" spans="3:3" x14ac:dyDescent="0.35">
      <c r="C32982" s="2"/>
    </row>
    <row r="32983" spans="3:3" x14ac:dyDescent="0.35">
      <c r="C32983" s="2"/>
    </row>
    <row r="32984" spans="3:3" x14ac:dyDescent="0.35">
      <c r="C32984" s="2"/>
    </row>
    <row r="32985" spans="3:3" x14ac:dyDescent="0.35">
      <c r="C32985" s="2"/>
    </row>
    <row r="32986" spans="3:3" x14ac:dyDescent="0.35">
      <c r="C32986" s="2"/>
    </row>
    <row r="32987" spans="3:3" x14ac:dyDescent="0.35">
      <c r="C32987" s="2"/>
    </row>
    <row r="32988" spans="3:3" x14ac:dyDescent="0.35">
      <c r="C32988" s="2"/>
    </row>
    <row r="32989" spans="3:3" x14ac:dyDescent="0.35">
      <c r="C32989" s="2"/>
    </row>
    <row r="32990" spans="3:3" x14ac:dyDescent="0.35">
      <c r="C32990" s="2"/>
    </row>
    <row r="32991" spans="3:3" x14ac:dyDescent="0.35">
      <c r="C32991" s="2"/>
    </row>
    <row r="32992" spans="3:3" x14ac:dyDescent="0.35">
      <c r="C32992" s="2"/>
    </row>
    <row r="32993" spans="3:3" x14ac:dyDescent="0.35">
      <c r="C32993" s="2"/>
    </row>
    <row r="32994" spans="3:3" x14ac:dyDescent="0.35">
      <c r="C32994" s="2"/>
    </row>
    <row r="32995" spans="3:3" x14ac:dyDescent="0.35">
      <c r="C32995" s="2"/>
    </row>
    <row r="32996" spans="3:3" x14ac:dyDescent="0.35">
      <c r="C32996" s="2"/>
    </row>
    <row r="32997" spans="3:3" x14ac:dyDescent="0.35">
      <c r="C32997" s="2"/>
    </row>
    <row r="32998" spans="3:3" x14ac:dyDescent="0.35">
      <c r="C32998" s="2"/>
    </row>
    <row r="32999" spans="3:3" x14ac:dyDescent="0.35">
      <c r="C32999" s="2"/>
    </row>
    <row r="33000" spans="3:3" x14ac:dyDescent="0.35">
      <c r="C33000" s="2"/>
    </row>
    <row r="33001" spans="3:3" x14ac:dyDescent="0.35">
      <c r="C33001" s="2"/>
    </row>
    <row r="33002" spans="3:3" x14ac:dyDescent="0.35">
      <c r="C33002" s="2"/>
    </row>
    <row r="33003" spans="3:3" x14ac:dyDescent="0.35">
      <c r="C33003" s="2"/>
    </row>
    <row r="33004" spans="3:3" x14ac:dyDescent="0.35">
      <c r="C33004" s="2"/>
    </row>
    <row r="33005" spans="3:3" x14ac:dyDescent="0.35">
      <c r="C33005" s="2"/>
    </row>
    <row r="33006" spans="3:3" x14ac:dyDescent="0.35">
      <c r="C33006" s="2"/>
    </row>
    <row r="33007" spans="3:3" x14ac:dyDescent="0.35">
      <c r="C33007" s="2"/>
    </row>
    <row r="33008" spans="3:3" x14ac:dyDescent="0.35">
      <c r="C33008" s="2"/>
    </row>
    <row r="33009" spans="3:3" x14ac:dyDescent="0.35">
      <c r="C33009" s="2"/>
    </row>
    <row r="33010" spans="3:3" x14ac:dyDescent="0.35">
      <c r="C33010" s="2"/>
    </row>
    <row r="33011" spans="3:3" x14ac:dyDescent="0.35">
      <c r="C33011" s="2"/>
    </row>
    <row r="33012" spans="3:3" x14ac:dyDescent="0.35">
      <c r="C33012" s="2"/>
    </row>
    <row r="33013" spans="3:3" x14ac:dyDescent="0.35">
      <c r="C33013" s="2"/>
    </row>
    <row r="33014" spans="3:3" x14ac:dyDescent="0.35">
      <c r="C33014" s="2"/>
    </row>
    <row r="33015" spans="3:3" x14ac:dyDescent="0.35">
      <c r="C33015" s="2"/>
    </row>
    <row r="33016" spans="3:3" x14ac:dyDescent="0.35">
      <c r="C33016" s="2"/>
    </row>
    <row r="33017" spans="3:3" x14ac:dyDescent="0.35">
      <c r="C33017" s="2"/>
    </row>
    <row r="33018" spans="3:3" x14ac:dyDescent="0.35">
      <c r="C33018" s="2"/>
    </row>
    <row r="33019" spans="3:3" x14ac:dyDescent="0.35">
      <c r="C33019" s="2"/>
    </row>
    <row r="33020" spans="3:3" x14ac:dyDescent="0.35">
      <c r="C33020" s="2"/>
    </row>
    <row r="33021" spans="3:3" x14ac:dyDescent="0.35">
      <c r="C33021" s="2"/>
    </row>
    <row r="33022" spans="3:3" x14ac:dyDescent="0.35">
      <c r="C33022" s="2"/>
    </row>
    <row r="33023" spans="3:3" x14ac:dyDescent="0.35">
      <c r="C33023" s="2"/>
    </row>
    <row r="33024" spans="3:3" x14ac:dyDescent="0.35">
      <c r="C33024" s="2"/>
    </row>
    <row r="33025" spans="3:3" x14ac:dyDescent="0.35">
      <c r="C33025" s="2"/>
    </row>
    <row r="33026" spans="3:3" x14ac:dyDescent="0.35">
      <c r="C33026" s="2"/>
    </row>
    <row r="33027" spans="3:3" x14ac:dyDescent="0.35">
      <c r="C33027" s="2"/>
    </row>
    <row r="33028" spans="3:3" x14ac:dyDescent="0.35">
      <c r="C33028" s="2"/>
    </row>
    <row r="33029" spans="3:3" x14ac:dyDescent="0.35">
      <c r="C33029" s="2"/>
    </row>
    <row r="33030" spans="3:3" x14ac:dyDescent="0.35">
      <c r="C33030" s="2"/>
    </row>
    <row r="33031" spans="3:3" x14ac:dyDescent="0.35">
      <c r="C33031" s="2"/>
    </row>
    <row r="33032" spans="3:3" x14ac:dyDescent="0.35">
      <c r="C33032" s="2"/>
    </row>
    <row r="33033" spans="3:3" x14ac:dyDescent="0.35">
      <c r="C33033" s="2"/>
    </row>
    <row r="33034" spans="3:3" x14ac:dyDescent="0.35">
      <c r="C33034" s="2"/>
    </row>
    <row r="33035" spans="3:3" x14ac:dyDescent="0.35">
      <c r="C33035" s="2"/>
    </row>
    <row r="33036" spans="3:3" x14ac:dyDescent="0.35">
      <c r="C33036" s="2"/>
    </row>
    <row r="33037" spans="3:3" x14ac:dyDescent="0.35">
      <c r="C33037" s="2"/>
    </row>
    <row r="33038" spans="3:3" x14ac:dyDescent="0.35">
      <c r="C33038" s="2"/>
    </row>
    <row r="33039" spans="3:3" x14ac:dyDescent="0.35">
      <c r="C33039" s="2"/>
    </row>
    <row r="33040" spans="3:3" x14ac:dyDescent="0.35">
      <c r="C33040" s="2"/>
    </row>
    <row r="33041" spans="3:3" x14ac:dyDescent="0.35">
      <c r="C33041" s="2"/>
    </row>
    <row r="33042" spans="3:3" x14ac:dyDescent="0.35">
      <c r="C33042" s="2"/>
    </row>
    <row r="33043" spans="3:3" x14ac:dyDescent="0.35">
      <c r="C33043" s="2"/>
    </row>
    <row r="33044" spans="3:3" x14ac:dyDescent="0.35">
      <c r="C33044" s="2"/>
    </row>
    <row r="33045" spans="3:3" x14ac:dyDescent="0.35">
      <c r="C33045" s="2"/>
    </row>
    <row r="33046" spans="3:3" x14ac:dyDescent="0.35">
      <c r="C33046" s="2"/>
    </row>
    <row r="33047" spans="3:3" x14ac:dyDescent="0.35">
      <c r="C33047" s="2"/>
    </row>
    <row r="33048" spans="3:3" x14ac:dyDescent="0.35">
      <c r="C33048" s="2"/>
    </row>
    <row r="33049" spans="3:3" x14ac:dyDescent="0.35">
      <c r="C33049" s="2"/>
    </row>
    <row r="33050" spans="3:3" x14ac:dyDescent="0.35">
      <c r="C33050" s="2"/>
    </row>
    <row r="33051" spans="3:3" x14ac:dyDescent="0.35">
      <c r="C33051" s="2"/>
    </row>
    <row r="33052" spans="3:3" x14ac:dyDescent="0.35">
      <c r="C33052" s="2"/>
    </row>
    <row r="33053" spans="3:3" x14ac:dyDescent="0.35">
      <c r="C33053" s="2"/>
    </row>
    <row r="33054" spans="3:3" x14ac:dyDescent="0.35">
      <c r="C33054" s="2"/>
    </row>
    <row r="33055" spans="3:3" x14ac:dyDescent="0.35">
      <c r="C33055" s="2"/>
    </row>
    <row r="33056" spans="3:3" x14ac:dyDescent="0.35">
      <c r="C33056" s="2"/>
    </row>
    <row r="33057" spans="3:3" x14ac:dyDescent="0.35">
      <c r="C33057" s="2"/>
    </row>
    <row r="33058" spans="3:3" x14ac:dyDescent="0.35">
      <c r="C33058" s="2"/>
    </row>
    <row r="33059" spans="3:3" x14ac:dyDescent="0.35">
      <c r="C33059" s="2"/>
    </row>
    <row r="33060" spans="3:3" x14ac:dyDescent="0.35">
      <c r="C33060" s="2"/>
    </row>
    <row r="33061" spans="3:3" x14ac:dyDescent="0.35">
      <c r="C33061" s="2"/>
    </row>
    <row r="33062" spans="3:3" x14ac:dyDescent="0.35">
      <c r="C33062" s="2"/>
    </row>
    <row r="33063" spans="3:3" x14ac:dyDescent="0.35">
      <c r="C33063" s="2"/>
    </row>
    <row r="33064" spans="3:3" x14ac:dyDescent="0.35">
      <c r="C33064" s="2"/>
    </row>
    <row r="33065" spans="3:3" x14ac:dyDescent="0.35">
      <c r="C33065" s="2"/>
    </row>
    <row r="33066" spans="3:3" x14ac:dyDescent="0.35">
      <c r="C33066" s="2"/>
    </row>
    <row r="33067" spans="3:3" x14ac:dyDescent="0.35">
      <c r="C33067" s="2"/>
    </row>
    <row r="33068" spans="3:3" x14ac:dyDescent="0.35">
      <c r="C33068" s="2"/>
    </row>
    <row r="33069" spans="3:3" x14ac:dyDescent="0.35">
      <c r="C33069" s="2"/>
    </row>
    <row r="33070" spans="3:3" x14ac:dyDescent="0.35">
      <c r="C33070" s="2"/>
    </row>
    <row r="33071" spans="3:3" x14ac:dyDescent="0.35">
      <c r="C33071" s="2"/>
    </row>
    <row r="33072" spans="3:3" x14ac:dyDescent="0.35">
      <c r="C33072" s="2"/>
    </row>
    <row r="33073" spans="3:3" x14ac:dyDescent="0.35">
      <c r="C33073" s="2"/>
    </row>
    <row r="33074" spans="3:3" x14ac:dyDescent="0.35">
      <c r="C33074" s="2"/>
    </row>
    <row r="33075" spans="3:3" x14ac:dyDescent="0.35">
      <c r="C33075" s="2"/>
    </row>
    <row r="33076" spans="3:3" x14ac:dyDescent="0.35">
      <c r="C33076" s="2"/>
    </row>
    <row r="33077" spans="3:3" x14ac:dyDescent="0.35">
      <c r="C33077" s="2"/>
    </row>
    <row r="33078" spans="3:3" x14ac:dyDescent="0.35">
      <c r="C33078" s="2"/>
    </row>
    <row r="33079" spans="3:3" x14ac:dyDescent="0.35">
      <c r="C33079" s="2"/>
    </row>
    <row r="33080" spans="3:3" x14ac:dyDescent="0.35">
      <c r="C33080" s="2"/>
    </row>
    <row r="33081" spans="3:3" x14ac:dyDescent="0.35">
      <c r="C33081" s="2"/>
    </row>
    <row r="33082" spans="3:3" x14ac:dyDescent="0.35">
      <c r="C33082" s="2"/>
    </row>
    <row r="33083" spans="3:3" x14ac:dyDescent="0.35">
      <c r="C33083" s="2"/>
    </row>
    <row r="33084" spans="3:3" x14ac:dyDescent="0.35">
      <c r="C33084" s="2"/>
    </row>
    <row r="33085" spans="3:3" x14ac:dyDescent="0.35">
      <c r="C33085" s="2"/>
    </row>
    <row r="33086" spans="3:3" x14ac:dyDescent="0.35">
      <c r="C33086" s="2"/>
    </row>
    <row r="33087" spans="3:3" x14ac:dyDescent="0.35">
      <c r="C33087" s="2"/>
    </row>
    <row r="33088" spans="3:3" x14ac:dyDescent="0.35">
      <c r="C33088" s="2"/>
    </row>
    <row r="33089" spans="3:3" x14ac:dyDescent="0.35">
      <c r="C33089" s="2"/>
    </row>
    <row r="33090" spans="3:3" x14ac:dyDescent="0.35">
      <c r="C33090" s="2"/>
    </row>
    <row r="33091" spans="3:3" x14ac:dyDescent="0.35">
      <c r="C33091" s="2"/>
    </row>
    <row r="33092" spans="3:3" x14ac:dyDescent="0.35">
      <c r="C33092" s="2"/>
    </row>
    <row r="33093" spans="3:3" x14ac:dyDescent="0.35">
      <c r="C33093" s="2"/>
    </row>
    <row r="33094" spans="3:3" x14ac:dyDescent="0.35">
      <c r="C33094" s="2"/>
    </row>
    <row r="33095" spans="3:3" x14ac:dyDescent="0.35">
      <c r="C33095" s="2"/>
    </row>
    <row r="33096" spans="3:3" x14ac:dyDescent="0.35">
      <c r="C33096" s="2"/>
    </row>
    <row r="33097" spans="3:3" x14ac:dyDescent="0.35">
      <c r="C33097" s="2"/>
    </row>
    <row r="33098" spans="3:3" x14ac:dyDescent="0.35">
      <c r="C33098" s="2"/>
    </row>
    <row r="33099" spans="3:3" x14ac:dyDescent="0.35">
      <c r="C33099" s="2"/>
    </row>
    <row r="33100" spans="3:3" x14ac:dyDescent="0.35">
      <c r="C33100" s="2"/>
    </row>
    <row r="33101" spans="3:3" x14ac:dyDescent="0.35">
      <c r="C33101" s="2"/>
    </row>
    <row r="33102" spans="3:3" x14ac:dyDescent="0.35">
      <c r="C33102" s="2"/>
    </row>
    <row r="33103" spans="3:3" x14ac:dyDescent="0.35">
      <c r="C33103" s="2"/>
    </row>
    <row r="33104" spans="3:3" x14ac:dyDescent="0.35">
      <c r="C33104" s="2"/>
    </row>
    <row r="33105" spans="3:3" x14ac:dyDescent="0.35">
      <c r="C33105" s="2"/>
    </row>
    <row r="33106" spans="3:3" x14ac:dyDescent="0.35">
      <c r="C33106" s="2"/>
    </row>
    <row r="33107" spans="3:3" x14ac:dyDescent="0.35">
      <c r="C33107" s="2"/>
    </row>
    <row r="33108" spans="3:3" x14ac:dyDescent="0.35">
      <c r="C33108" s="2"/>
    </row>
    <row r="33109" spans="3:3" x14ac:dyDescent="0.35">
      <c r="C33109" s="2"/>
    </row>
    <row r="33110" spans="3:3" x14ac:dyDescent="0.35">
      <c r="C33110" s="2"/>
    </row>
    <row r="33111" spans="3:3" x14ac:dyDescent="0.35">
      <c r="C33111" s="2"/>
    </row>
    <row r="33112" spans="3:3" x14ac:dyDescent="0.35">
      <c r="C33112" s="2"/>
    </row>
    <row r="33113" spans="3:3" x14ac:dyDescent="0.35">
      <c r="C33113" s="2"/>
    </row>
    <row r="33114" spans="3:3" x14ac:dyDescent="0.35">
      <c r="C33114" s="2"/>
    </row>
    <row r="33115" spans="3:3" x14ac:dyDescent="0.35">
      <c r="C33115" s="2"/>
    </row>
    <row r="33116" spans="3:3" x14ac:dyDescent="0.35">
      <c r="C33116" s="2"/>
    </row>
    <row r="33117" spans="3:3" x14ac:dyDescent="0.35">
      <c r="C33117" s="2"/>
    </row>
    <row r="33118" spans="3:3" x14ac:dyDescent="0.35">
      <c r="C33118" s="2"/>
    </row>
    <row r="33119" spans="3:3" x14ac:dyDescent="0.35">
      <c r="C33119" s="2"/>
    </row>
    <row r="33120" spans="3:3" x14ac:dyDescent="0.35">
      <c r="C33120" s="2"/>
    </row>
    <row r="33121" spans="3:3" x14ac:dyDescent="0.35">
      <c r="C33121" s="2"/>
    </row>
    <row r="33122" spans="3:3" x14ac:dyDescent="0.35">
      <c r="C33122" s="2"/>
    </row>
    <row r="33123" spans="3:3" x14ac:dyDescent="0.35">
      <c r="C33123" s="2"/>
    </row>
    <row r="33124" spans="3:3" x14ac:dyDescent="0.35">
      <c r="C33124" s="2"/>
    </row>
    <row r="33125" spans="3:3" x14ac:dyDescent="0.35">
      <c r="C33125" s="2"/>
    </row>
    <row r="33126" spans="3:3" x14ac:dyDescent="0.35">
      <c r="C33126" s="2"/>
    </row>
    <row r="33127" spans="3:3" x14ac:dyDescent="0.35">
      <c r="C33127" s="2"/>
    </row>
    <row r="33128" spans="3:3" x14ac:dyDescent="0.35">
      <c r="C33128" s="2"/>
    </row>
    <row r="33129" spans="3:3" x14ac:dyDescent="0.35">
      <c r="C33129" s="2"/>
    </row>
    <row r="33130" spans="3:3" x14ac:dyDescent="0.35">
      <c r="C33130" s="2"/>
    </row>
    <row r="33131" spans="3:3" x14ac:dyDescent="0.35">
      <c r="C33131" s="2"/>
    </row>
    <row r="33132" spans="3:3" x14ac:dyDescent="0.35">
      <c r="C33132" s="2"/>
    </row>
    <row r="33133" spans="3:3" x14ac:dyDescent="0.35">
      <c r="C33133" s="2"/>
    </row>
    <row r="33134" spans="3:3" x14ac:dyDescent="0.35">
      <c r="C33134" s="2"/>
    </row>
    <row r="33135" spans="3:3" x14ac:dyDescent="0.35">
      <c r="C33135" s="2"/>
    </row>
    <row r="33136" spans="3:3" x14ac:dyDescent="0.35">
      <c r="C33136" s="2"/>
    </row>
    <row r="33137" spans="3:3" x14ac:dyDescent="0.35">
      <c r="C33137" s="2"/>
    </row>
    <row r="33138" spans="3:3" x14ac:dyDescent="0.35">
      <c r="C33138" s="2"/>
    </row>
    <row r="33139" spans="3:3" x14ac:dyDescent="0.35">
      <c r="C33139" s="2"/>
    </row>
    <row r="33140" spans="3:3" x14ac:dyDescent="0.35">
      <c r="C33140" s="2"/>
    </row>
    <row r="33141" spans="3:3" x14ac:dyDescent="0.35">
      <c r="C33141" s="2"/>
    </row>
    <row r="33142" spans="3:3" x14ac:dyDescent="0.35">
      <c r="C33142" s="2"/>
    </row>
    <row r="33143" spans="3:3" x14ac:dyDescent="0.35">
      <c r="C33143" s="2"/>
    </row>
    <row r="33144" spans="3:3" x14ac:dyDescent="0.35">
      <c r="C33144" s="2"/>
    </row>
    <row r="33145" spans="3:3" x14ac:dyDescent="0.35">
      <c r="C33145" s="2"/>
    </row>
    <row r="33146" spans="3:3" x14ac:dyDescent="0.35">
      <c r="C33146" s="2"/>
    </row>
    <row r="33147" spans="3:3" x14ac:dyDescent="0.35">
      <c r="C33147" s="2"/>
    </row>
    <row r="33148" spans="3:3" x14ac:dyDescent="0.35">
      <c r="C33148" s="2"/>
    </row>
    <row r="33149" spans="3:3" x14ac:dyDescent="0.35">
      <c r="C33149" s="2"/>
    </row>
    <row r="33150" spans="3:3" x14ac:dyDescent="0.35">
      <c r="C33150" s="2"/>
    </row>
    <row r="33151" spans="3:3" x14ac:dyDescent="0.35">
      <c r="C33151" s="2"/>
    </row>
    <row r="33152" spans="3:3" x14ac:dyDescent="0.35">
      <c r="C33152" s="2"/>
    </row>
    <row r="33153" spans="3:3" x14ac:dyDescent="0.35">
      <c r="C33153" s="2"/>
    </row>
    <row r="33154" spans="3:3" x14ac:dyDescent="0.35">
      <c r="C33154" s="2"/>
    </row>
    <row r="33155" spans="3:3" x14ac:dyDescent="0.35">
      <c r="C33155" s="2"/>
    </row>
    <row r="33156" spans="3:3" x14ac:dyDescent="0.35">
      <c r="C33156" s="2"/>
    </row>
    <row r="33157" spans="3:3" x14ac:dyDescent="0.35">
      <c r="C33157" s="2"/>
    </row>
    <row r="33158" spans="3:3" x14ac:dyDescent="0.35">
      <c r="C33158" s="2"/>
    </row>
    <row r="33159" spans="3:3" x14ac:dyDescent="0.35">
      <c r="C33159" s="2"/>
    </row>
    <row r="33160" spans="3:3" x14ac:dyDescent="0.35">
      <c r="C33160" s="2"/>
    </row>
    <row r="33161" spans="3:3" x14ac:dyDescent="0.35">
      <c r="C33161" s="2"/>
    </row>
    <row r="33162" spans="3:3" x14ac:dyDescent="0.35">
      <c r="C33162" s="2"/>
    </row>
    <row r="33163" spans="3:3" x14ac:dyDescent="0.35">
      <c r="C33163" s="2"/>
    </row>
    <row r="33164" spans="3:3" x14ac:dyDescent="0.35">
      <c r="C33164" s="2"/>
    </row>
    <row r="33165" spans="3:3" x14ac:dyDescent="0.35">
      <c r="C33165" s="2"/>
    </row>
    <row r="33166" spans="3:3" x14ac:dyDescent="0.35">
      <c r="C33166" s="2"/>
    </row>
    <row r="33167" spans="3:3" x14ac:dyDescent="0.35">
      <c r="C33167" s="2"/>
    </row>
    <row r="33168" spans="3:3" x14ac:dyDescent="0.35">
      <c r="C33168" s="2"/>
    </row>
    <row r="33169" spans="3:3" x14ac:dyDescent="0.35">
      <c r="C33169" s="2"/>
    </row>
    <row r="33170" spans="3:3" x14ac:dyDescent="0.35">
      <c r="C33170" s="2"/>
    </row>
    <row r="33171" spans="3:3" x14ac:dyDescent="0.35">
      <c r="C33171" s="2"/>
    </row>
    <row r="33172" spans="3:3" x14ac:dyDescent="0.35">
      <c r="C33172" s="2"/>
    </row>
    <row r="33173" spans="3:3" x14ac:dyDescent="0.35">
      <c r="C33173" s="2"/>
    </row>
    <row r="33174" spans="3:3" x14ac:dyDescent="0.35">
      <c r="C33174" s="2"/>
    </row>
    <row r="33175" spans="3:3" x14ac:dyDescent="0.35">
      <c r="C33175" s="2"/>
    </row>
    <row r="33176" spans="3:3" x14ac:dyDescent="0.35">
      <c r="C33176" s="2"/>
    </row>
    <row r="33177" spans="3:3" x14ac:dyDescent="0.35">
      <c r="C33177" s="2"/>
    </row>
    <row r="33178" spans="3:3" x14ac:dyDescent="0.35">
      <c r="C33178" s="2"/>
    </row>
    <row r="33179" spans="3:3" x14ac:dyDescent="0.35">
      <c r="C33179" s="2"/>
    </row>
    <row r="33180" spans="3:3" x14ac:dyDescent="0.35">
      <c r="C33180" s="2"/>
    </row>
    <row r="33181" spans="3:3" x14ac:dyDescent="0.35">
      <c r="C33181" s="2"/>
    </row>
    <row r="33182" spans="3:3" x14ac:dyDescent="0.35">
      <c r="C33182" s="2"/>
    </row>
    <row r="33183" spans="3:3" x14ac:dyDescent="0.35">
      <c r="C33183" s="2"/>
    </row>
    <row r="33184" spans="3:3" x14ac:dyDescent="0.35">
      <c r="C33184" s="2"/>
    </row>
    <row r="33185" spans="3:3" x14ac:dyDescent="0.35">
      <c r="C33185" s="2"/>
    </row>
    <row r="33186" spans="3:3" x14ac:dyDescent="0.35">
      <c r="C33186" s="2"/>
    </row>
    <row r="33187" spans="3:3" x14ac:dyDescent="0.35">
      <c r="C33187" s="2"/>
    </row>
    <row r="33188" spans="3:3" x14ac:dyDescent="0.35">
      <c r="C33188" s="2"/>
    </row>
    <row r="33189" spans="3:3" x14ac:dyDescent="0.35">
      <c r="C33189" s="2"/>
    </row>
    <row r="33190" spans="3:3" x14ac:dyDescent="0.35">
      <c r="C33190" s="2"/>
    </row>
    <row r="33191" spans="3:3" x14ac:dyDescent="0.35">
      <c r="C33191" s="2"/>
    </row>
    <row r="33192" spans="3:3" x14ac:dyDescent="0.35">
      <c r="C33192" s="2"/>
    </row>
    <row r="33193" spans="3:3" x14ac:dyDescent="0.35">
      <c r="C33193" s="2"/>
    </row>
    <row r="33194" spans="3:3" x14ac:dyDescent="0.35">
      <c r="C33194" s="2"/>
    </row>
    <row r="33195" spans="3:3" x14ac:dyDescent="0.35">
      <c r="C33195" s="2"/>
    </row>
    <row r="33196" spans="3:3" x14ac:dyDescent="0.35">
      <c r="C33196" s="2"/>
    </row>
    <row r="33197" spans="3:3" x14ac:dyDescent="0.35">
      <c r="C33197" s="2"/>
    </row>
    <row r="33198" spans="3:3" x14ac:dyDescent="0.35">
      <c r="C33198" s="2"/>
    </row>
    <row r="33199" spans="3:3" x14ac:dyDescent="0.35">
      <c r="C33199" s="2"/>
    </row>
    <row r="33200" spans="3:3" x14ac:dyDescent="0.35">
      <c r="C33200" s="2"/>
    </row>
    <row r="33201" spans="3:3" x14ac:dyDescent="0.35">
      <c r="C33201" s="2"/>
    </row>
    <row r="33202" spans="3:3" x14ac:dyDescent="0.35">
      <c r="C33202" s="2"/>
    </row>
    <row r="33203" spans="3:3" x14ac:dyDescent="0.35">
      <c r="C33203" s="2"/>
    </row>
    <row r="33204" spans="3:3" x14ac:dyDescent="0.35">
      <c r="C33204" s="2"/>
    </row>
    <row r="33205" spans="3:3" x14ac:dyDescent="0.35">
      <c r="C33205" s="2"/>
    </row>
    <row r="33206" spans="3:3" x14ac:dyDescent="0.35">
      <c r="C33206" s="2"/>
    </row>
    <row r="33207" spans="3:3" x14ac:dyDescent="0.35">
      <c r="C33207" s="2"/>
    </row>
    <row r="33208" spans="3:3" x14ac:dyDescent="0.35">
      <c r="C33208" s="2"/>
    </row>
    <row r="33209" spans="3:3" x14ac:dyDescent="0.35">
      <c r="C33209" s="2"/>
    </row>
    <row r="33210" spans="3:3" x14ac:dyDescent="0.35">
      <c r="C33210" s="2"/>
    </row>
    <row r="33211" spans="3:3" x14ac:dyDescent="0.35">
      <c r="C33211" s="2"/>
    </row>
    <row r="33212" spans="3:3" x14ac:dyDescent="0.35">
      <c r="C33212" s="2"/>
    </row>
    <row r="33213" spans="3:3" x14ac:dyDescent="0.35">
      <c r="C33213" s="2"/>
    </row>
    <row r="33214" spans="3:3" x14ac:dyDescent="0.35">
      <c r="C33214" s="2"/>
    </row>
    <row r="33215" spans="3:3" x14ac:dyDescent="0.35">
      <c r="C33215" s="2"/>
    </row>
    <row r="33216" spans="3:3" x14ac:dyDescent="0.35">
      <c r="C33216" s="2"/>
    </row>
    <row r="33217" spans="3:3" x14ac:dyDescent="0.35">
      <c r="C33217" s="2"/>
    </row>
    <row r="33218" spans="3:3" x14ac:dyDescent="0.35">
      <c r="C33218" s="2"/>
    </row>
    <row r="33219" spans="3:3" x14ac:dyDescent="0.35">
      <c r="C33219" s="2"/>
    </row>
    <row r="33220" spans="3:3" x14ac:dyDescent="0.35">
      <c r="C33220" s="2"/>
    </row>
    <row r="33221" spans="3:3" x14ac:dyDescent="0.35">
      <c r="C33221" s="2"/>
    </row>
    <row r="33222" spans="3:3" x14ac:dyDescent="0.35">
      <c r="C33222" s="2"/>
    </row>
    <row r="33223" spans="3:3" x14ac:dyDescent="0.35">
      <c r="C33223" s="2"/>
    </row>
    <row r="33224" spans="3:3" x14ac:dyDescent="0.35">
      <c r="C33224" s="2"/>
    </row>
    <row r="33225" spans="3:3" x14ac:dyDescent="0.35">
      <c r="C33225" s="2"/>
    </row>
    <row r="33226" spans="3:3" x14ac:dyDescent="0.35">
      <c r="C33226" s="2"/>
    </row>
    <row r="33227" spans="3:3" x14ac:dyDescent="0.35">
      <c r="C33227" s="2"/>
    </row>
    <row r="33228" spans="3:3" x14ac:dyDescent="0.35">
      <c r="C33228" s="2"/>
    </row>
    <row r="33229" spans="3:3" x14ac:dyDescent="0.35">
      <c r="C33229" s="2"/>
    </row>
    <row r="33230" spans="3:3" x14ac:dyDescent="0.35">
      <c r="C33230" s="2"/>
    </row>
    <row r="33231" spans="3:3" x14ac:dyDescent="0.35">
      <c r="C33231" s="2"/>
    </row>
    <row r="33232" spans="3:3" x14ac:dyDescent="0.35">
      <c r="C33232" s="2"/>
    </row>
    <row r="33233" spans="3:3" x14ac:dyDescent="0.35">
      <c r="C33233" s="2"/>
    </row>
    <row r="33234" spans="3:3" x14ac:dyDescent="0.35">
      <c r="C33234" s="2"/>
    </row>
    <row r="33235" spans="3:3" x14ac:dyDescent="0.35">
      <c r="C33235" s="2"/>
    </row>
    <row r="33236" spans="3:3" x14ac:dyDescent="0.35">
      <c r="C33236" s="2"/>
    </row>
    <row r="33237" spans="3:3" x14ac:dyDescent="0.35">
      <c r="C33237" s="2"/>
    </row>
    <row r="33238" spans="3:3" x14ac:dyDescent="0.35">
      <c r="C33238" s="2"/>
    </row>
    <row r="33239" spans="3:3" x14ac:dyDescent="0.35">
      <c r="C33239" s="2"/>
    </row>
    <row r="33240" spans="3:3" x14ac:dyDescent="0.35">
      <c r="C33240" s="2"/>
    </row>
    <row r="33241" spans="3:3" x14ac:dyDescent="0.35">
      <c r="C33241" s="2"/>
    </row>
    <row r="33242" spans="3:3" x14ac:dyDescent="0.35">
      <c r="C33242" s="2"/>
    </row>
    <row r="33243" spans="3:3" x14ac:dyDescent="0.35">
      <c r="C33243" s="2"/>
    </row>
    <row r="33244" spans="3:3" x14ac:dyDescent="0.35">
      <c r="C33244" s="2"/>
    </row>
    <row r="33245" spans="3:3" x14ac:dyDescent="0.35">
      <c r="C33245" s="2"/>
    </row>
    <row r="33246" spans="3:3" x14ac:dyDescent="0.35">
      <c r="C33246" s="2"/>
    </row>
    <row r="33247" spans="3:3" x14ac:dyDescent="0.35">
      <c r="C33247" s="2"/>
    </row>
    <row r="33248" spans="3:3" x14ac:dyDescent="0.35">
      <c r="C33248" s="2"/>
    </row>
    <row r="33249" spans="3:3" x14ac:dyDescent="0.35">
      <c r="C33249" s="2"/>
    </row>
    <row r="33250" spans="3:3" x14ac:dyDescent="0.35">
      <c r="C33250" s="2"/>
    </row>
    <row r="33251" spans="3:3" x14ac:dyDescent="0.35">
      <c r="C33251" s="2"/>
    </row>
    <row r="33252" spans="3:3" x14ac:dyDescent="0.35">
      <c r="C33252" s="2"/>
    </row>
    <row r="33253" spans="3:3" x14ac:dyDescent="0.35">
      <c r="C33253" s="2"/>
    </row>
    <row r="33254" spans="3:3" x14ac:dyDescent="0.35">
      <c r="C33254" s="2"/>
    </row>
    <row r="33255" spans="3:3" x14ac:dyDescent="0.35">
      <c r="C33255" s="2"/>
    </row>
    <row r="33256" spans="3:3" x14ac:dyDescent="0.35">
      <c r="C33256" s="2"/>
    </row>
    <row r="33257" spans="3:3" x14ac:dyDescent="0.35">
      <c r="C33257" s="2"/>
    </row>
    <row r="33258" spans="3:3" x14ac:dyDescent="0.35">
      <c r="C33258" s="2"/>
    </row>
    <row r="33259" spans="3:3" x14ac:dyDescent="0.35">
      <c r="C33259" s="2"/>
    </row>
    <row r="33260" spans="3:3" x14ac:dyDescent="0.35">
      <c r="C33260" s="2"/>
    </row>
    <row r="33261" spans="3:3" x14ac:dyDescent="0.35">
      <c r="C33261" s="2"/>
    </row>
    <row r="33262" spans="3:3" x14ac:dyDescent="0.35">
      <c r="C33262" s="2"/>
    </row>
    <row r="33263" spans="3:3" x14ac:dyDescent="0.35">
      <c r="C33263" s="2"/>
    </row>
    <row r="33264" spans="3:3" x14ac:dyDescent="0.35">
      <c r="C33264" s="2"/>
    </row>
    <row r="33265" spans="3:3" x14ac:dyDescent="0.35">
      <c r="C33265" s="2"/>
    </row>
    <row r="33266" spans="3:3" x14ac:dyDescent="0.35">
      <c r="C33266" s="2"/>
    </row>
    <row r="33267" spans="3:3" x14ac:dyDescent="0.35">
      <c r="C33267" s="2"/>
    </row>
    <row r="33268" spans="3:3" x14ac:dyDescent="0.35">
      <c r="C33268" s="2"/>
    </row>
    <row r="33269" spans="3:3" x14ac:dyDescent="0.35">
      <c r="C33269" s="2"/>
    </row>
    <row r="33270" spans="3:3" x14ac:dyDescent="0.35">
      <c r="C33270" s="2"/>
    </row>
    <row r="33271" spans="3:3" x14ac:dyDescent="0.35">
      <c r="C33271" s="2"/>
    </row>
    <row r="33272" spans="3:3" x14ac:dyDescent="0.35">
      <c r="C33272" s="2"/>
    </row>
    <row r="33273" spans="3:3" x14ac:dyDescent="0.35">
      <c r="C33273" s="2"/>
    </row>
    <row r="33274" spans="3:3" x14ac:dyDescent="0.35">
      <c r="C33274" s="2"/>
    </row>
    <row r="33275" spans="3:3" x14ac:dyDescent="0.35">
      <c r="C33275" s="2"/>
    </row>
    <row r="33276" spans="3:3" x14ac:dyDescent="0.35">
      <c r="C33276" s="2"/>
    </row>
    <row r="33277" spans="3:3" x14ac:dyDescent="0.35">
      <c r="C33277" s="2"/>
    </row>
    <row r="33278" spans="3:3" x14ac:dyDescent="0.35">
      <c r="C33278" s="2"/>
    </row>
    <row r="33279" spans="3:3" x14ac:dyDescent="0.35">
      <c r="C33279" s="2"/>
    </row>
    <row r="33280" spans="3:3" x14ac:dyDescent="0.35">
      <c r="C33280" s="2"/>
    </row>
    <row r="33281" spans="3:3" x14ac:dyDescent="0.35">
      <c r="C33281" s="2"/>
    </row>
    <row r="33282" spans="3:3" x14ac:dyDescent="0.35">
      <c r="C33282" s="2"/>
    </row>
    <row r="33283" spans="3:3" x14ac:dyDescent="0.35">
      <c r="C33283" s="2"/>
    </row>
    <row r="33284" spans="3:3" x14ac:dyDescent="0.35">
      <c r="C33284" s="2"/>
    </row>
    <row r="33285" spans="3:3" x14ac:dyDescent="0.35">
      <c r="C33285" s="2"/>
    </row>
    <row r="33286" spans="3:3" x14ac:dyDescent="0.35">
      <c r="C33286" s="2"/>
    </row>
    <row r="33287" spans="3:3" x14ac:dyDescent="0.35">
      <c r="C33287" s="2"/>
    </row>
    <row r="33288" spans="3:3" x14ac:dyDescent="0.35">
      <c r="C33288" s="2"/>
    </row>
    <row r="33289" spans="3:3" x14ac:dyDescent="0.35">
      <c r="C33289" s="2"/>
    </row>
    <row r="33290" spans="3:3" x14ac:dyDescent="0.35">
      <c r="C33290" s="2"/>
    </row>
    <row r="33291" spans="3:3" x14ac:dyDescent="0.35">
      <c r="C33291" s="2"/>
    </row>
    <row r="33292" spans="3:3" x14ac:dyDescent="0.35">
      <c r="C33292" s="2"/>
    </row>
    <row r="33293" spans="3:3" x14ac:dyDescent="0.35">
      <c r="C33293" s="2"/>
    </row>
    <row r="33294" spans="3:3" x14ac:dyDescent="0.35">
      <c r="C33294" s="2"/>
    </row>
    <row r="33295" spans="3:3" x14ac:dyDescent="0.35">
      <c r="C33295" s="2"/>
    </row>
    <row r="33296" spans="3:3" x14ac:dyDescent="0.35">
      <c r="C33296" s="2"/>
    </row>
    <row r="33297" spans="3:3" x14ac:dyDescent="0.35">
      <c r="C33297" s="2"/>
    </row>
    <row r="33298" spans="3:3" x14ac:dyDescent="0.35">
      <c r="C33298" s="2"/>
    </row>
    <row r="33299" spans="3:3" x14ac:dyDescent="0.35">
      <c r="C33299" s="2"/>
    </row>
    <row r="33300" spans="3:3" x14ac:dyDescent="0.35">
      <c r="C33300" s="2"/>
    </row>
    <row r="33301" spans="3:3" x14ac:dyDescent="0.35">
      <c r="C33301" s="2"/>
    </row>
    <row r="33302" spans="3:3" x14ac:dyDescent="0.35">
      <c r="C33302" s="2"/>
    </row>
    <row r="33303" spans="3:3" x14ac:dyDescent="0.35">
      <c r="C33303" s="2"/>
    </row>
    <row r="33304" spans="3:3" x14ac:dyDescent="0.35">
      <c r="C33304" s="2"/>
    </row>
    <row r="33305" spans="3:3" x14ac:dyDescent="0.35">
      <c r="C33305" s="2"/>
    </row>
    <row r="33306" spans="3:3" x14ac:dyDescent="0.35">
      <c r="C33306" s="2"/>
    </row>
    <row r="33307" spans="3:3" x14ac:dyDescent="0.35">
      <c r="C33307" s="2"/>
    </row>
    <row r="33308" spans="3:3" x14ac:dyDescent="0.35">
      <c r="C33308" s="2"/>
    </row>
    <row r="33309" spans="3:3" x14ac:dyDescent="0.35">
      <c r="C33309" s="2"/>
    </row>
    <row r="33310" spans="3:3" x14ac:dyDescent="0.35">
      <c r="C33310" s="2"/>
    </row>
    <row r="33311" spans="3:3" x14ac:dyDescent="0.35">
      <c r="C33311" s="2"/>
    </row>
    <row r="33312" spans="3:3" x14ac:dyDescent="0.35">
      <c r="C33312" s="2"/>
    </row>
    <row r="33313" spans="3:3" x14ac:dyDescent="0.35">
      <c r="C33313" s="2"/>
    </row>
    <row r="33314" spans="3:3" x14ac:dyDescent="0.35">
      <c r="C33314" s="2"/>
    </row>
    <row r="33315" spans="3:3" x14ac:dyDescent="0.35">
      <c r="C33315" s="2"/>
    </row>
    <row r="33316" spans="3:3" x14ac:dyDescent="0.35">
      <c r="C33316" s="2"/>
    </row>
    <row r="33317" spans="3:3" x14ac:dyDescent="0.35">
      <c r="C33317" s="2"/>
    </row>
    <row r="33318" spans="3:3" x14ac:dyDescent="0.35">
      <c r="C33318" s="2"/>
    </row>
    <row r="33319" spans="3:3" x14ac:dyDescent="0.35">
      <c r="C33319" s="2"/>
    </row>
    <row r="33320" spans="3:3" x14ac:dyDescent="0.35">
      <c r="C33320" s="2"/>
    </row>
    <row r="33321" spans="3:3" x14ac:dyDescent="0.35">
      <c r="C33321" s="2"/>
    </row>
    <row r="33322" spans="3:3" x14ac:dyDescent="0.35">
      <c r="C33322" s="2"/>
    </row>
    <row r="33323" spans="3:3" x14ac:dyDescent="0.35">
      <c r="C33323" s="2"/>
    </row>
    <row r="33324" spans="3:3" x14ac:dyDescent="0.35">
      <c r="C33324" s="2"/>
    </row>
    <row r="33325" spans="3:3" x14ac:dyDescent="0.35">
      <c r="C33325" s="2"/>
    </row>
    <row r="33326" spans="3:3" x14ac:dyDescent="0.35">
      <c r="C33326" s="2"/>
    </row>
    <row r="33327" spans="3:3" x14ac:dyDescent="0.35">
      <c r="C33327" s="2"/>
    </row>
    <row r="33328" spans="3:3" x14ac:dyDescent="0.35">
      <c r="C33328" s="2"/>
    </row>
    <row r="33329" spans="3:3" x14ac:dyDescent="0.35">
      <c r="C33329" s="2"/>
    </row>
    <row r="33330" spans="3:3" x14ac:dyDescent="0.35">
      <c r="C33330" s="2"/>
    </row>
    <row r="33331" spans="3:3" x14ac:dyDescent="0.35">
      <c r="C33331" s="2"/>
    </row>
    <row r="33332" spans="3:3" x14ac:dyDescent="0.35">
      <c r="C33332" s="2"/>
    </row>
    <row r="33333" spans="3:3" x14ac:dyDescent="0.35">
      <c r="C33333" s="2"/>
    </row>
    <row r="33334" spans="3:3" x14ac:dyDescent="0.35">
      <c r="C33334" s="2"/>
    </row>
    <row r="33335" spans="3:3" x14ac:dyDescent="0.35">
      <c r="C33335" s="2"/>
    </row>
    <row r="33336" spans="3:3" x14ac:dyDescent="0.35">
      <c r="C33336" s="2"/>
    </row>
    <row r="33337" spans="3:3" x14ac:dyDescent="0.35">
      <c r="C33337" s="2"/>
    </row>
    <row r="33338" spans="3:3" x14ac:dyDescent="0.35">
      <c r="C33338" s="2"/>
    </row>
    <row r="33339" spans="3:3" x14ac:dyDescent="0.35">
      <c r="C33339" s="2"/>
    </row>
    <row r="33340" spans="3:3" x14ac:dyDescent="0.35">
      <c r="C33340" s="2"/>
    </row>
    <row r="33341" spans="3:3" x14ac:dyDescent="0.35">
      <c r="C33341" s="2"/>
    </row>
    <row r="33342" spans="3:3" x14ac:dyDescent="0.35">
      <c r="C33342" s="2"/>
    </row>
    <row r="33343" spans="3:3" x14ac:dyDescent="0.35">
      <c r="C33343" s="2"/>
    </row>
    <row r="33344" spans="3:3" x14ac:dyDescent="0.35">
      <c r="C33344" s="2"/>
    </row>
    <row r="33345" spans="3:3" x14ac:dyDescent="0.35">
      <c r="C33345" s="2"/>
    </row>
    <row r="33346" spans="3:3" x14ac:dyDescent="0.35">
      <c r="C33346" s="2"/>
    </row>
    <row r="33347" spans="3:3" x14ac:dyDescent="0.35">
      <c r="C33347" s="2"/>
    </row>
    <row r="33348" spans="3:3" x14ac:dyDescent="0.35">
      <c r="C33348" s="2"/>
    </row>
    <row r="33349" spans="3:3" x14ac:dyDescent="0.35">
      <c r="C33349" s="2"/>
    </row>
    <row r="33350" spans="3:3" x14ac:dyDescent="0.35">
      <c r="C33350" s="2"/>
    </row>
    <row r="33351" spans="3:3" x14ac:dyDescent="0.35">
      <c r="C33351" s="2"/>
    </row>
    <row r="33352" spans="3:3" x14ac:dyDescent="0.35">
      <c r="C33352" s="2"/>
    </row>
    <row r="33353" spans="3:3" x14ac:dyDescent="0.35">
      <c r="C33353" s="2"/>
    </row>
    <row r="33354" spans="3:3" x14ac:dyDescent="0.35">
      <c r="C33354" s="2"/>
    </row>
    <row r="33355" spans="3:3" x14ac:dyDescent="0.35">
      <c r="C33355" s="2"/>
    </row>
    <row r="33356" spans="3:3" x14ac:dyDescent="0.35">
      <c r="C33356" s="2"/>
    </row>
    <row r="33357" spans="3:3" x14ac:dyDescent="0.35">
      <c r="C33357" s="2"/>
    </row>
    <row r="33358" spans="3:3" x14ac:dyDescent="0.35">
      <c r="C33358" s="2"/>
    </row>
    <row r="33359" spans="3:3" x14ac:dyDescent="0.35">
      <c r="C33359" s="2"/>
    </row>
    <row r="33360" spans="3:3" x14ac:dyDescent="0.35">
      <c r="C33360" s="2"/>
    </row>
    <row r="33361" spans="3:3" x14ac:dyDescent="0.35">
      <c r="C33361" s="2"/>
    </row>
    <row r="33362" spans="3:3" x14ac:dyDescent="0.35">
      <c r="C33362" s="2"/>
    </row>
    <row r="33363" spans="3:3" x14ac:dyDescent="0.35">
      <c r="C33363" s="2"/>
    </row>
    <row r="33364" spans="3:3" x14ac:dyDescent="0.35">
      <c r="C33364" s="2"/>
    </row>
    <row r="33365" spans="3:3" x14ac:dyDescent="0.35">
      <c r="C33365" s="2"/>
    </row>
    <row r="33366" spans="3:3" x14ac:dyDescent="0.35">
      <c r="C33366" s="2"/>
    </row>
    <row r="33367" spans="3:3" x14ac:dyDescent="0.35">
      <c r="C33367" s="2"/>
    </row>
    <row r="33368" spans="3:3" x14ac:dyDescent="0.35">
      <c r="C33368" s="2"/>
    </row>
    <row r="33369" spans="3:3" x14ac:dyDescent="0.35">
      <c r="C33369" s="2"/>
    </row>
    <row r="33370" spans="3:3" x14ac:dyDescent="0.35">
      <c r="C33370" s="2"/>
    </row>
    <row r="33371" spans="3:3" x14ac:dyDescent="0.35">
      <c r="C33371" s="2"/>
    </row>
    <row r="33372" spans="3:3" x14ac:dyDescent="0.35">
      <c r="C33372" s="2"/>
    </row>
    <row r="33373" spans="3:3" x14ac:dyDescent="0.35">
      <c r="C33373" s="2"/>
    </row>
    <row r="33374" spans="3:3" x14ac:dyDescent="0.35">
      <c r="C33374" s="2"/>
    </row>
    <row r="33375" spans="3:3" x14ac:dyDescent="0.35">
      <c r="C33375" s="2"/>
    </row>
    <row r="33376" spans="3:3" x14ac:dyDescent="0.35">
      <c r="C33376" s="2"/>
    </row>
    <row r="33377" spans="3:3" x14ac:dyDescent="0.35">
      <c r="C33377" s="2"/>
    </row>
    <row r="33378" spans="3:3" x14ac:dyDescent="0.35">
      <c r="C33378" s="2"/>
    </row>
    <row r="33379" spans="3:3" x14ac:dyDescent="0.35">
      <c r="C33379" s="2"/>
    </row>
    <row r="33380" spans="3:3" x14ac:dyDescent="0.35">
      <c r="C33380" s="2"/>
    </row>
    <row r="33381" spans="3:3" x14ac:dyDescent="0.35">
      <c r="C33381" s="2"/>
    </row>
    <row r="33382" spans="3:3" x14ac:dyDescent="0.35">
      <c r="C33382" s="2"/>
    </row>
    <row r="33383" spans="3:3" x14ac:dyDescent="0.35">
      <c r="C33383" s="2"/>
    </row>
    <row r="33384" spans="3:3" x14ac:dyDescent="0.35">
      <c r="C33384" s="2"/>
    </row>
    <row r="33385" spans="3:3" x14ac:dyDescent="0.35">
      <c r="C33385" s="2"/>
    </row>
    <row r="33386" spans="3:3" x14ac:dyDescent="0.35">
      <c r="C33386" s="2"/>
    </row>
    <row r="33387" spans="3:3" x14ac:dyDescent="0.35">
      <c r="C33387" s="2"/>
    </row>
    <row r="33388" spans="3:3" x14ac:dyDescent="0.35">
      <c r="C33388" s="2"/>
    </row>
    <row r="33389" spans="3:3" x14ac:dyDescent="0.35">
      <c r="C33389" s="2"/>
    </row>
    <row r="33390" spans="3:3" x14ac:dyDescent="0.35">
      <c r="C33390" s="2"/>
    </row>
    <row r="33391" spans="3:3" x14ac:dyDescent="0.35">
      <c r="C33391" s="2"/>
    </row>
    <row r="33392" spans="3:3" x14ac:dyDescent="0.35">
      <c r="C33392" s="2"/>
    </row>
    <row r="33393" spans="3:3" x14ac:dyDescent="0.35">
      <c r="C33393" s="2"/>
    </row>
    <row r="33394" spans="3:3" x14ac:dyDescent="0.35">
      <c r="C33394" s="2"/>
    </row>
    <row r="33395" spans="3:3" x14ac:dyDescent="0.35">
      <c r="C33395" s="2"/>
    </row>
    <row r="33396" spans="3:3" x14ac:dyDescent="0.35">
      <c r="C33396" s="2"/>
    </row>
    <row r="33397" spans="3:3" x14ac:dyDescent="0.35">
      <c r="C33397" s="2"/>
    </row>
    <row r="33398" spans="3:3" x14ac:dyDescent="0.35">
      <c r="C33398" s="2"/>
    </row>
    <row r="33399" spans="3:3" x14ac:dyDescent="0.35">
      <c r="C33399" s="2"/>
    </row>
    <row r="33400" spans="3:3" x14ac:dyDescent="0.35">
      <c r="C33400" s="2"/>
    </row>
    <row r="33401" spans="3:3" x14ac:dyDescent="0.35">
      <c r="C33401" s="2"/>
    </row>
    <row r="33402" spans="3:3" x14ac:dyDescent="0.35">
      <c r="C33402" s="2"/>
    </row>
    <row r="33403" spans="3:3" x14ac:dyDescent="0.35">
      <c r="C33403" s="2"/>
    </row>
    <row r="33404" spans="3:3" x14ac:dyDescent="0.35">
      <c r="C33404" s="2"/>
    </row>
    <row r="33405" spans="3:3" x14ac:dyDescent="0.35">
      <c r="C33405" s="2"/>
    </row>
    <row r="33406" spans="3:3" x14ac:dyDescent="0.35">
      <c r="C33406" s="2"/>
    </row>
    <row r="33407" spans="3:3" x14ac:dyDescent="0.35">
      <c r="C33407" s="2"/>
    </row>
    <row r="33408" spans="3:3" x14ac:dyDescent="0.35">
      <c r="C33408" s="2"/>
    </row>
    <row r="33409" spans="3:3" x14ac:dyDescent="0.35">
      <c r="C33409" s="2"/>
    </row>
    <row r="33410" spans="3:3" x14ac:dyDescent="0.35">
      <c r="C33410" s="2"/>
    </row>
    <row r="33411" spans="3:3" x14ac:dyDescent="0.35">
      <c r="C33411" s="2"/>
    </row>
    <row r="33412" spans="3:3" x14ac:dyDescent="0.35">
      <c r="C33412" s="2"/>
    </row>
    <row r="33413" spans="3:3" x14ac:dyDescent="0.35">
      <c r="C33413" s="2"/>
    </row>
    <row r="33414" spans="3:3" x14ac:dyDescent="0.35">
      <c r="C33414" s="2"/>
    </row>
    <row r="33415" spans="3:3" x14ac:dyDescent="0.35">
      <c r="C33415" s="2"/>
    </row>
    <row r="33416" spans="3:3" x14ac:dyDescent="0.35">
      <c r="C33416" s="2"/>
    </row>
    <row r="33417" spans="3:3" x14ac:dyDescent="0.35">
      <c r="C33417" s="2"/>
    </row>
    <row r="33418" spans="3:3" x14ac:dyDescent="0.35">
      <c r="C33418" s="2"/>
    </row>
    <row r="33419" spans="3:3" x14ac:dyDescent="0.35">
      <c r="C33419" s="2"/>
    </row>
    <row r="33420" spans="3:3" x14ac:dyDescent="0.35">
      <c r="C33420" s="2"/>
    </row>
    <row r="33421" spans="3:3" x14ac:dyDescent="0.35">
      <c r="C33421" s="2"/>
    </row>
    <row r="33422" spans="3:3" x14ac:dyDescent="0.35">
      <c r="C33422" s="2"/>
    </row>
    <row r="33423" spans="3:3" x14ac:dyDescent="0.35">
      <c r="C33423" s="2"/>
    </row>
    <row r="33424" spans="3:3" x14ac:dyDescent="0.35">
      <c r="C33424" s="2"/>
    </row>
    <row r="33425" spans="3:3" x14ac:dyDescent="0.35">
      <c r="C33425" s="2"/>
    </row>
    <row r="33426" spans="3:3" x14ac:dyDescent="0.35">
      <c r="C33426" s="2"/>
    </row>
    <row r="33427" spans="3:3" x14ac:dyDescent="0.35">
      <c r="C33427" s="2"/>
    </row>
    <row r="33428" spans="3:3" x14ac:dyDescent="0.35">
      <c r="C33428" s="2"/>
    </row>
    <row r="33429" spans="3:3" x14ac:dyDescent="0.35">
      <c r="C33429" s="2"/>
    </row>
    <row r="33430" spans="3:3" x14ac:dyDescent="0.35">
      <c r="C33430" s="2"/>
    </row>
    <row r="33431" spans="3:3" x14ac:dyDescent="0.35">
      <c r="C33431" s="2"/>
    </row>
    <row r="33432" spans="3:3" x14ac:dyDescent="0.35">
      <c r="C33432" s="2"/>
    </row>
    <row r="33433" spans="3:3" x14ac:dyDescent="0.35">
      <c r="C33433" s="2"/>
    </row>
    <row r="33434" spans="3:3" x14ac:dyDescent="0.35">
      <c r="C33434" s="2"/>
    </row>
    <row r="33435" spans="3:3" x14ac:dyDescent="0.35">
      <c r="C33435" s="2"/>
    </row>
    <row r="33436" spans="3:3" x14ac:dyDescent="0.35">
      <c r="C33436" s="2"/>
    </row>
    <row r="33437" spans="3:3" x14ac:dyDescent="0.35">
      <c r="C33437" s="2"/>
    </row>
    <row r="33438" spans="3:3" x14ac:dyDescent="0.35">
      <c r="C33438" s="2"/>
    </row>
    <row r="33439" spans="3:3" x14ac:dyDescent="0.35">
      <c r="C33439" s="2"/>
    </row>
    <row r="33440" spans="3:3" x14ac:dyDescent="0.35">
      <c r="C33440" s="2"/>
    </row>
    <row r="33441" spans="3:3" x14ac:dyDescent="0.35">
      <c r="C33441" s="2"/>
    </row>
    <row r="33442" spans="3:3" x14ac:dyDescent="0.35">
      <c r="C33442" s="2"/>
    </row>
    <row r="33443" spans="3:3" x14ac:dyDescent="0.35">
      <c r="C33443" s="2"/>
    </row>
    <row r="33444" spans="3:3" x14ac:dyDescent="0.35">
      <c r="C33444" s="2"/>
    </row>
    <row r="33445" spans="3:3" x14ac:dyDescent="0.35">
      <c r="C33445" s="2"/>
    </row>
    <row r="33446" spans="3:3" x14ac:dyDescent="0.35">
      <c r="C33446" s="2"/>
    </row>
    <row r="33447" spans="3:3" x14ac:dyDescent="0.35">
      <c r="C33447" s="2"/>
    </row>
    <row r="33448" spans="3:3" x14ac:dyDescent="0.35">
      <c r="C33448" s="2"/>
    </row>
    <row r="33449" spans="3:3" x14ac:dyDescent="0.35">
      <c r="C33449" s="2"/>
    </row>
    <row r="33450" spans="3:3" x14ac:dyDescent="0.35">
      <c r="C33450" s="2"/>
    </row>
    <row r="33451" spans="3:3" x14ac:dyDescent="0.35">
      <c r="C33451" s="2"/>
    </row>
    <row r="33452" spans="3:3" x14ac:dyDescent="0.35">
      <c r="C33452" s="2"/>
    </row>
    <row r="33453" spans="3:3" x14ac:dyDescent="0.35">
      <c r="C33453" s="2"/>
    </row>
    <row r="33454" spans="3:3" x14ac:dyDescent="0.35">
      <c r="C33454" s="2"/>
    </row>
    <row r="33455" spans="3:3" x14ac:dyDescent="0.35">
      <c r="C33455" s="2"/>
    </row>
    <row r="33456" spans="3:3" x14ac:dyDescent="0.35">
      <c r="C33456" s="2"/>
    </row>
    <row r="33457" spans="3:3" x14ac:dyDescent="0.35">
      <c r="C33457" s="2"/>
    </row>
    <row r="33458" spans="3:3" x14ac:dyDescent="0.35">
      <c r="C33458" s="2"/>
    </row>
    <row r="33459" spans="3:3" x14ac:dyDescent="0.35">
      <c r="C33459" s="2"/>
    </row>
    <row r="33460" spans="3:3" x14ac:dyDescent="0.35">
      <c r="C33460" s="2"/>
    </row>
    <row r="33461" spans="3:3" x14ac:dyDescent="0.35">
      <c r="C33461" s="2"/>
    </row>
    <row r="33462" spans="3:3" x14ac:dyDescent="0.35">
      <c r="C33462" s="2"/>
    </row>
    <row r="33463" spans="3:3" x14ac:dyDescent="0.35">
      <c r="C33463" s="2"/>
    </row>
    <row r="33464" spans="3:3" x14ac:dyDescent="0.35">
      <c r="C33464" s="2"/>
    </row>
    <row r="33465" spans="3:3" x14ac:dyDescent="0.35">
      <c r="C33465" s="2"/>
    </row>
    <row r="33466" spans="3:3" x14ac:dyDescent="0.35">
      <c r="C33466" s="2"/>
    </row>
    <row r="33467" spans="3:3" x14ac:dyDescent="0.35">
      <c r="C33467" s="2"/>
    </row>
    <row r="33468" spans="3:3" x14ac:dyDescent="0.35">
      <c r="C33468" s="2"/>
    </row>
    <row r="33469" spans="3:3" x14ac:dyDescent="0.35">
      <c r="C33469" s="2"/>
    </row>
    <row r="33470" spans="3:3" x14ac:dyDescent="0.35">
      <c r="C33470" s="2"/>
    </row>
    <row r="33471" spans="3:3" x14ac:dyDescent="0.35">
      <c r="C33471" s="2"/>
    </row>
    <row r="33472" spans="3:3" x14ac:dyDescent="0.35">
      <c r="C33472" s="2"/>
    </row>
    <row r="33473" spans="3:3" x14ac:dyDescent="0.35">
      <c r="C33473" s="2"/>
    </row>
    <row r="33474" spans="3:3" x14ac:dyDescent="0.35">
      <c r="C33474" s="2"/>
    </row>
    <row r="33475" spans="3:3" x14ac:dyDescent="0.35">
      <c r="C33475" s="2"/>
    </row>
    <row r="33476" spans="3:3" x14ac:dyDescent="0.35">
      <c r="C33476" s="2"/>
    </row>
    <row r="33477" spans="3:3" x14ac:dyDescent="0.35">
      <c r="C33477" s="2"/>
    </row>
    <row r="33478" spans="3:3" x14ac:dyDescent="0.35">
      <c r="C33478" s="2"/>
    </row>
    <row r="33479" spans="3:3" x14ac:dyDescent="0.35">
      <c r="C33479" s="2"/>
    </row>
    <row r="33480" spans="3:3" x14ac:dyDescent="0.35">
      <c r="C33480" s="2"/>
    </row>
    <row r="33481" spans="3:3" x14ac:dyDescent="0.35">
      <c r="C33481" s="2"/>
    </row>
    <row r="33482" spans="3:3" x14ac:dyDescent="0.35">
      <c r="C33482" s="2"/>
    </row>
    <row r="33483" spans="3:3" x14ac:dyDescent="0.35">
      <c r="C33483" s="2"/>
    </row>
    <row r="33484" spans="3:3" x14ac:dyDescent="0.35">
      <c r="C33484" s="2"/>
    </row>
    <row r="33485" spans="3:3" x14ac:dyDescent="0.35">
      <c r="C33485" s="2"/>
    </row>
    <row r="33486" spans="3:3" x14ac:dyDescent="0.35">
      <c r="C33486" s="2"/>
    </row>
    <row r="33487" spans="3:3" x14ac:dyDescent="0.35">
      <c r="C33487" s="2"/>
    </row>
    <row r="33488" spans="3:3" x14ac:dyDescent="0.35">
      <c r="C33488" s="2"/>
    </row>
    <row r="33489" spans="3:3" x14ac:dyDescent="0.35">
      <c r="C33489" s="2"/>
    </row>
    <row r="33490" spans="3:3" x14ac:dyDescent="0.35">
      <c r="C33490" s="2"/>
    </row>
    <row r="33491" spans="3:3" x14ac:dyDescent="0.35">
      <c r="C33491" s="2"/>
    </row>
    <row r="33492" spans="3:3" x14ac:dyDescent="0.35">
      <c r="C33492" s="2"/>
    </row>
    <row r="33493" spans="3:3" x14ac:dyDescent="0.35">
      <c r="C33493" s="2"/>
    </row>
    <row r="33494" spans="3:3" x14ac:dyDescent="0.35">
      <c r="C33494" s="2"/>
    </row>
    <row r="33495" spans="3:3" x14ac:dyDescent="0.35">
      <c r="C33495" s="2"/>
    </row>
    <row r="33496" spans="3:3" x14ac:dyDescent="0.35">
      <c r="C33496" s="2"/>
    </row>
    <row r="33497" spans="3:3" x14ac:dyDescent="0.35">
      <c r="C33497" s="2"/>
    </row>
    <row r="33498" spans="3:3" x14ac:dyDescent="0.35">
      <c r="C33498" s="2"/>
    </row>
    <row r="33499" spans="3:3" x14ac:dyDescent="0.35">
      <c r="C33499" s="2"/>
    </row>
    <row r="33500" spans="3:3" x14ac:dyDescent="0.35">
      <c r="C33500" s="2"/>
    </row>
    <row r="33501" spans="3:3" x14ac:dyDescent="0.35">
      <c r="C33501" s="2"/>
    </row>
    <row r="33502" spans="3:3" x14ac:dyDescent="0.35">
      <c r="C33502" s="2"/>
    </row>
    <row r="33503" spans="3:3" x14ac:dyDescent="0.35">
      <c r="C33503" s="2"/>
    </row>
    <row r="33504" spans="3:3" x14ac:dyDescent="0.35">
      <c r="C33504" s="2"/>
    </row>
    <row r="33505" spans="3:3" x14ac:dyDescent="0.35">
      <c r="C33505" s="2"/>
    </row>
    <row r="33506" spans="3:3" x14ac:dyDescent="0.35">
      <c r="C33506" s="2"/>
    </row>
    <row r="33507" spans="3:3" x14ac:dyDescent="0.35">
      <c r="C33507" s="2"/>
    </row>
    <row r="33508" spans="3:3" x14ac:dyDescent="0.35">
      <c r="C33508" s="2"/>
    </row>
    <row r="33509" spans="3:3" x14ac:dyDescent="0.35">
      <c r="C33509" s="2"/>
    </row>
    <row r="33510" spans="3:3" x14ac:dyDescent="0.35">
      <c r="C33510" s="2"/>
    </row>
    <row r="33511" spans="3:3" x14ac:dyDescent="0.35">
      <c r="C33511" s="2"/>
    </row>
    <row r="33512" spans="3:3" x14ac:dyDescent="0.35">
      <c r="C33512" s="2"/>
    </row>
    <row r="33513" spans="3:3" x14ac:dyDescent="0.35">
      <c r="C33513" s="2"/>
    </row>
    <row r="33514" spans="3:3" x14ac:dyDescent="0.35">
      <c r="C33514" s="2"/>
    </row>
    <row r="33515" spans="3:3" x14ac:dyDescent="0.35">
      <c r="C33515" s="2"/>
    </row>
    <row r="33516" spans="3:3" x14ac:dyDescent="0.35">
      <c r="C33516" s="2"/>
    </row>
    <row r="33517" spans="3:3" x14ac:dyDescent="0.35">
      <c r="C33517" s="2"/>
    </row>
    <row r="33518" spans="3:3" x14ac:dyDescent="0.35">
      <c r="C33518" s="2"/>
    </row>
    <row r="33519" spans="3:3" x14ac:dyDescent="0.35">
      <c r="C33519" s="2"/>
    </row>
    <row r="33520" spans="3:3" x14ac:dyDescent="0.35">
      <c r="C33520" s="2"/>
    </row>
    <row r="33521" spans="3:3" x14ac:dyDescent="0.35">
      <c r="C33521" s="2"/>
    </row>
    <row r="33522" spans="3:3" x14ac:dyDescent="0.35">
      <c r="C33522" s="2"/>
    </row>
    <row r="33523" spans="3:3" x14ac:dyDescent="0.35">
      <c r="C33523" s="2"/>
    </row>
    <row r="33524" spans="3:3" x14ac:dyDescent="0.35">
      <c r="C33524" s="2"/>
    </row>
    <row r="33525" spans="3:3" x14ac:dyDescent="0.35">
      <c r="C33525" s="2"/>
    </row>
    <row r="33526" spans="3:3" x14ac:dyDescent="0.35">
      <c r="C33526" s="2"/>
    </row>
    <row r="33527" spans="3:3" x14ac:dyDescent="0.35">
      <c r="C33527" s="2"/>
    </row>
    <row r="33528" spans="3:3" x14ac:dyDescent="0.35">
      <c r="C33528" s="2"/>
    </row>
    <row r="33529" spans="3:3" x14ac:dyDescent="0.35">
      <c r="C33529" s="2"/>
    </row>
    <row r="33530" spans="3:3" x14ac:dyDescent="0.35">
      <c r="C33530" s="2"/>
    </row>
    <row r="33531" spans="3:3" x14ac:dyDescent="0.35">
      <c r="C33531" s="2"/>
    </row>
    <row r="33532" spans="3:3" x14ac:dyDescent="0.35">
      <c r="C33532" s="2"/>
    </row>
    <row r="33533" spans="3:3" x14ac:dyDescent="0.35">
      <c r="C33533" s="2"/>
    </row>
    <row r="33534" spans="3:3" x14ac:dyDescent="0.35">
      <c r="C33534" s="2"/>
    </row>
    <row r="33535" spans="3:3" x14ac:dyDescent="0.35">
      <c r="C33535" s="2"/>
    </row>
    <row r="33536" spans="3:3" x14ac:dyDescent="0.35">
      <c r="C33536" s="2"/>
    </row>
    <row r="33537" spans="3:3" x14ac:dyDescent="0.35">
      <c r="C33537" s="2"/>
    </row>
    <row r="33538" spans="3:3" x14ac:dyDescent="0.35">
      <c r="C33538" s="2"/>
    </row>
    <row r="33539" spans="3:3" x14ac:dyDescent="0.35">
      <c r="C33539" s="2"/>
    </row>
    <row r="33540" spans="3:3" x14ac:dyDescent="0.35">
      <c r="C33540" s="2"/>
    </row>
    <row r="33541" spans="3:3" x14ac:dyDescent="0.35">
      <c r="C33541" s="2"/>
    </row>
    <row r="33542" spans="3:3" x14ac:dyDescent="0.35">
      <c r="C33542" s="2"/>
    </row>
    <row r="33543" spans="3:3" x14ac:dyDescent="0.35">
      <c r="C33543" s="2"/>
    </row>
    <row r="33544" spans="3:3" x14ac:dyDescent="0.35">
      <c r="C33544" s="2"/>
    </row>
    <row r="33545" spans="3:3" x14ac:dyDescent="0.35">
      <c r="C33545" s="2"/>
    </row>
    <row r="33546" spans="3:3" x14ac:dyDescent="0.35">
      <c r="C33546" s="2"/>
    </row>
    <row r="33547" spans="3:3" x14ac:dyDescent="0.35">
      <c r="C33547" s="2"/>
    </row>
    <row r="33548" spans="3:3" x14ac:dyDescent="0.35">
      <c r="C33548" s="2"/>
    </row>
    <row r="33549" spans="3:3" x14ac:dyDescent="0.35">
      <c r="C33549" s="2"/>
    </row>
    <row r="33550" spans="3:3" x14ac:dyDescent="0.35">
      <c r="C33550" s="2"/>
    </row>
    <row r="33551" spans="3:3" x14ac:dyDescent="0.35">
      <c r="C33551" s="2"/>
    </row>
    <row r="33552" spans="3:3" x14ac:dyDescent="0.35">
      <c r="C33552" s="2"/>
    </row>
    <row r="33553" spans="3:3" x14ac:dyDescent="0.35">
      <c r="C33553" s="2"/>
    </row>
    <row r="33554" spans="3:3" x14ac:dyDescent="0.35">
      <c r="C33554" s="2"/>
    </row>
    <row r="33555" spans="3:3" x14ac:dyDescent="0.35">
      <c r="C33555" s="2"/>
    </row>
    <row r="33556" spans="3:3" x14ac:dyDescent="0.35">
      <c r="C33556" s="2"/>
    </row>
    <row r="33557" spans="3:3" x14ac:dyDescent="0.35">
      <c r="C33557" s="2"/>
    </row>
    <row r="33558" spans="3:3" x14ac:dyDescent="0.35">
      <c r="C33558" s="2"/>
    </row>
    <row r="33559" spans="3:3" x14ac:dyDescent="0.35">
      <c r="C33559" s="2"/>
    </row>
    <row r="33560" spans="3:3" x14ac:dyDescent="0.35">
      <c r="C33560" s="2"/>
    </row>
    <row r="33561" spans="3:3" x14ac:dyDescent="0.35">
      <c r="C33561" s="2"/>
    </row>
    <row r="33562" spans="3:3" x14ac:dyDescent="0.35">
      <c r="C33562" s="2"/>
    </row>
    <row r="33563" spans="3:3" x14ac:dyDescent="0.35">
      <c r="C33563" s="2"/>
    </row>
    <row r="33564" spans="3:3" x14ac:dyDescent="0.35">
      <c r="C33564" s="2"/>
    </row>
    <row r="33565" spans="3:3" x14ac:dyDescent="0.35">
      <c r="C33565" s="2"/>
    </row>
    <row r="33566" spans="3:3" x14ac:dyDescent="0.35">
      <c r="C33566" s="2"/>
    </row>
    <row r="33567" spans="3:3" x14ac:dyDescent="0.35">
      <c r="C33567" s="2"/>
    </row>
    <row r="33568" spans="3:3" x14ac:dyDescent="0.35">
      <c r="C33568" s="2"/>
    </row>
    <row r="33569" spans="3:3" x14ac:dyDescent="0.35">
      <c r="C33569" s="2"/>
    </row>
    <row r="33570" spans="3:3" x14ac:dyDescent="0.35">
      <c r="C33570" s="2"/>
    </row>
    <row r="33571" spans="3:3" x14ac:dyDescent="0.35">
      <c r="C33571" s="2"/>
    </row>
    <row r="33572" spans="3:3" x14ac:dyDescent="0.35">
      <c r="C33572" s="2"/>
    </row>
    <row r="33573" spans="3:3" x14ac:dyDescent="0.35">
      <c r="C33573" s="2"/>
    </row>
    <row r="33574" spans="3:3" x14ac:dyDescent="0.35">
      <c r="C33574" s="2"/>
    </row>
    <row r="33575" spans="3:3" x14ac:dyDescent="0.35">
      <c r="C33575" s="2"/>
    </row>
    <row r="33576" spans="3:3" x14ac:dyDescent="0.35">
      <c r="C33576" s="2"/>
    </row>
    <row r="33577" spans="3:3" x14ac:dyDescent="0.35">
      <c r="C33577" s="2"/>
    </row>
    <row r="33578" spans="3:3" x14ac:dyDescent="0.35">
      <c r="C33578" s="2"/>
    </row>
    <row r="33579" spans="3:3" x14ac:dyDescent="0.35">
      <c r="C33579" s="2"/>
    </row>
    <row r="33580" spans="3:3" x14ac:dyDescent="0.35">
      <c r="C33580" s="2"/>
    </row>
    <row r="33581" spans="3:3" x14ac:dyDescent="0.35">
      <c r="C33581" s="2"/>
    </row>
    <row r="33582" spans="3:3" x14ac:dyDescent="0.35">
      <c r="C33582" s="2"/>
    </row>
    <row r="33583" spans="3:3" x14ac:dyDescent="0.35">
      <c r="C33583" s="2"/>
    </row>
    <row r="33584" spans="3:3" x14ac:dyDescent="0.35">
      <c r="C33584" s="2"/>
    </row>
    <row r="33585" spans="3:3" x14ac:dyDescent="0.35">
      <c r="C33585" s="2"/>
    </row>
    <row r="33586" spans="3:3" x14ac:dyDescent="0.35">
      <c r="C33586" s="2"/>
    </row>
    <row r="33587" spans="3:3" x14ac:dyDescent="0.35">
      <c r="C33587" s="2"/>
    </row>
    <row r="33588" spans="3:3" x14ac:dyDescent="0.35">
      <c r="C33588" s="2"/>
    </row>
    <row r="33589" spans="3:3" x14ac:dyDescent="0.35">
      <c r="C33589" s="2"/>
    </row>
    <row r="33590" spans="3:3" x14ac:dyDescent="0.35">
      <c r="C33590" s="2"/>
    </row>
    <row r="33591" spans="3:3" x14ac:dyDescent="0.35">
      <c r="C33591" s="2"/>
    </row>
    <row r="33592" spans="3:3" x14ac:dyDescent="0.35">
      <c r="C33592" s="2"/>
    </row>
    <row r="33593" spans="3:3" x14ac:dyDescent="0.35">
      <c r="C33593" s="2"/>
    </row>
    <row r="33594" spans="3:3" x14ac:dyDescent="0.35">
      <c r="C33594" s="2"/>
    </row>
    <row r="33595" spans="3:3" x14ac:dyDescent="0.35">
      <c r="C33595" s="2"/>
    </row>
    <row r="33596" spans="3:3" x14ac:dyDescent="0.35">
      <c r="C33596" s="2"/>
    </row>
    <row r="33597" spans="3:3" x14ac:dyDescent="0.35">
      <c r="C33597" s="2"/>
    </row>
    <row r="33598" spans="3:3" x14ac:dyDescent="0.35">
      <c r="C33598" s="2"/>
    </row>
    <row r="33599" spans="3:3" x14ac:dyDescent="0.35">
      <c r="C33599" s="2"/>
    </row>
    <row r="33600" spans="3:3" x14ac:dyDescent="0.35">
      <c r="C33600" s="2"/>
    </row>
    <row r="33601" spans="3:3" x14ac:dyDescent="0.35">
      <c r="C33601" s="2"/>
    </row>
    <row r="33602" spans="3:3" x14ac:dyDescent="0.35">
      <c r="C33602" s="2"/>
    </row>
    <row r="33603" spans="3:3" x14ac:dyDescent="0.35">
      <c r="C33603" s="2"/>
    </row>
    <row r="33604" spans="3:3" x14ac:dyDescent="0.35">
      <c r="C33604" s="2"/>
    </row>
    <row r="33605" spans="3:3" x14ac:dyDescent="0.35">
      <c r="C33605" s="2"/>
    </row>
    <row r="33606" spans="3:3" x14ac:dyDescent="0.35">
      <c r="C33606" s="2"/>
    </row>
    <row r="33607" spans="3:3" x14ac:dyDescent="0.35">
      <c r="C33607" s="2"/>
    </row>
    <row r="33608" spans="3:3" x14ac:dyDescent="0.35">
      <c r="C33608" s="2"/>
    </row>
    <row r="33609" spans="3:3" x14ac:dyDescent="0.35">
      <c r="C33609" s="2"/>
    </row>
    <row r="33610" spans="3:3" x14ac:dyDescent="0.35">
      <c r="C33610" s="2"/>
    </row>
    <row r="33611" spans="3:3" x14ac:dyDescent="0.35">
      <c r="C33611" s="2"/>
    </row>
    <row r="33612" spans="3:3" x14ac:dyDescent="0.35">
      <c r="C33612" s="2"/>
    </row>
    <row r="33613" spans="3:3" x14ac:dyDescent="0.35">
      <c r="C33613" s="2"/>
    </row>
    <row r="33614" spans="3:3" x14ac:dyDescent="0.35">
      <c r="C33614" s="2"/>
    </row>
    <row r="33615" spans="3:3" x14ac:dyDescent="0.35">
      <c r="C33615" s="2"/>
    </row>
    <row r="33616" spans="3:3" x14ac:dyDescent="0.35">
      <c r="C33616" s="2"/>
    </row>
    <row r="33617" spans="3:3" x14ac:dyDescent="0.35">
      <c r="C33617" s="2"/>
    </row>
    <row r="33618" spans="3:3" x14ac:dyDescent="0.35">
      <c r="C33618" s="2"/>
    </row>
    <row r="33619" spans="3:3" x14ac:dyDescent="0.35">
      <c r="C33619" s="2"/>
    </row>
    <row r="33620" spans="3:3" x14ac:dyDescent="0.35">
      <c r="C33620" s="2"/>
    </row>
    <row r="33621" spans="3:3" x14ac:dyDescent="0.35">
      <c r="C33621" s="2"/>
    </row>
    <row r="33622" spans="3:3" x14ac:dyDescent="0.35">
      <c r="C33622" s="2"/>
    </row>
    <row r="33623" spans="3:3" x14ac:dyDescent="0.35">
      <c r="C33623" s="2"/>
    </row>
    <row r="33624" spans="3:3" x14ac:dyDescent="0.35">
      <c r="C33624" s="2"/>
    </row>
    <row r="33625" spans="3:3" x14ac:dyDescent="0.35">
      <c r="C33625" s="2"/>
    </row>
    <row r="33626" spans="3:3" x14ac:dyDescent="0.35">
      <c r="C33626" s="2"/>
    </row>
    <row r="33627" spans="3:3" x14ac:dyDescent="0.35">
      <c r="C33627" s="2"/>
    </row>
    <row r="33628" spans="3:3" x14ac:dyDescent="0.35">
      <c r="C33628" s="2"/>
    </row>
    <row r="33629" spans="3:3" x14ac:dyDescent="0.35">
      <c r="C33629" s="2"/>
    </row>
    <row r="33630" spans="3:3" x14ac:dyDescent="0.35">
      <c r="C33630" s="2"/>
    </row>
    <row r="33631" spans="3:3" x14ac:dyDescent="0.35">
      <c r="C33631" s="2"/>
    </row>
    <row r="33632" spans="3:3" x14ac:dyDescent="0.35">
      <c r="C33632" s="2"/>
    </row>
    <row r="33633" spans="3:3" x14ac:dyDescent="0.35">
      <c r="C33633" s="2"/>
    </row>
    <row r="33634" spans="3:3" x14ac:dyDescent="0.35">
      <c r="C33634" s="2"/>
    </row>
    <row r="33635" spans="3:3" x14ac:dyDescent="0.35">
      <c r="C33635" s="2"/>
    </row>
    <row r="33636" spans="3:3" x14ac:dyDescent="0.35">
      <c r="C33636" s="2"/>
    </row>
    <row r="33637" spans="3:3" x14ac:dyDescent="0.35">
      <c r="C33637" s="2"/>
    </row>
    <row r="33638" spans="3:3" x14ac:dyDescent="0.35">
      <c r="C33638" s="2"/>
    </row>
    <row r="33639" spans="3:3" x14ac:dyDescent="0.35">
      <c r="C33639" s="2"/>
    </row>
    <row r="33640" spans="3:3" x14ac:dyDescent="0.35">
      <c r="C33640" s="2"/>
    </row>
    <row r="33641" spans="3:3" x14ac:dyDescent="0.35">
      <c r="C33641" s="2"/>
    </row>
    <row r="33642" spans="3:3" x14ac:dyDescent="0.35">
      <c r="C33642" s="2"/>
    </row>
    <row r="33643" spans="3:3" x14ac:dyDescent="0.35">
      <c r="C33643" s="2"/>
    </row>
    <row r="33644" spans="3:3" x14ac:dyDescent="0.35">
      <c r="C33644" s="2"/>
    </row>
    <row r="33645" spans="3:3" x14ac:dyDescent="0.35">
      <c r="C33645" s="2"/>
    </row>
    <row r="33646" spans="3:3" x14ac:dyDescent="0.35">
      <c r="C33646" s="2"/>
    </row>
    <row r="33647" spans="3:3" x14ac:dyDescent="0.35">
      <c r="C33647" s="2"/>
    </row>
    <row r="33648" spans="3:3" x14ac:dyDescent="0.35">
      <c r="C33648" s="2"/>
    </row>
    <row r="33649" spans="3:3" x14ac:dyDescent="0.35">
      <c r="C33649" s="2"/>
    </row>
    <row r="33650" spans="3:3" x14ac:dyDescent="0.35">
      <c r="C33650" s="2"/>
    </row>
    <row r="33651" spans="3:3" x14ac:dyDescent="0.35">
      <c r="C33651" s="2"/>
    </row>
    <row r="33652" spans="3:3" x14ac:dyDescent="0.35">
      <c r="C33652" s="2"/>
    </row>
    <row r="33653" spans="3:3" x14ac:dyDescent="0.35">
      <c r="C33653" s="2"/>
    </row>
    <row r="33654" spans="3:3" x14ac:dyDescent="0.35">
      <c r="C33654" s="2"/>
    </row>
    <row r="33655" spans="3:3" x14ac:dyDescent="0.35">
      <c r="C33655" s="2"/>
    </row>
    <row r="33656" spans="3:3" x14ac:dyDescent="0.35">
      <c r="C33656" s="2"/>
    </row>
    <row r="33657" spans="3:3" x14ac:dyDescent="0.35">
      <c r="C33657" s="2"/>
    </row>
    <row r="33658" spans="3:3" x14ac:dyDescent="0.35">
      <c r="C33658" s="2"/>
    </row>
    <row r="33659" spans="3:3" x14ac:dyDescent="0.35">
      <c r="C33659" s="2"/>
    </row>
    <row r="33660" spans="3:3" x14ac:dyDescent="0.35">
      <c r="C33660" s="2"/>
    </row>
    <row r="33661" spans="3:3" x14ac:dyDescent="0.35">
      <c r="C33661" s="2"/>
    </row>
    <row r="33662" spans="3:3" x14ac:dyDescent="0.35">
      <c r="C33662" s="2"/>
    </row>
    <row r="33663" spans="3:3" x14ac:dyDescent="0.35">
      <c r="C33663" s="2"/>
    </row>
    <row r="33664" spans="3:3" x14ac:dyDescent="0.35">
      <c r="C33664" s="2"/>
    </row>
    <row r="33665" spans="3:3" x14ac:dyDescent="0.35">
      <c r="C33665" s="2"/>
    </row>
    <row r="33666" spans="3:3" x14ac:dyDescent="0.35">
      <c r="C33666" s="2"/>
    </row>
    <row r="33667" spans="3:3" x14ac:dyDescent="0.35">
      <c r="C33667" s="2"/>
    </row>
    <row r="33668" spans="3:3" x14ac:dyDescent="0.35">
      <c r="C33668" s="2"/>
    </row>
    <row r="33669" spans="3:3" x14ac:dyDescent="0.35">
      <c r="C33669" s="2"/>
    </row>
    <row r="33670" spans="3:3" x14ac:dyDescent="0.35">
      <c r="C33670" s="2"/>
    </row>
    <row r="33671" spans="3:3" x14ac:dyDescent="0.35">
      <c r="C33671" s="2"/>
    </row>
    <row r="33672" spans="3:3" x14ac:dyDescent="0.35">
      <c r="C33672" s="2"/>
    </row>
    <row r="33673" spans="3:3" x14ac:dyDescent="0.35">
      <c r="C33673" s="2"/>
    </row>
    <row r="33674" spans="3:3" x14ac:dyDescent="0.35">
      <c r="C33674" s="2"/>
    </row>
    <row r="33675" spans="3:3" x14ac:dyDescent="0.35">
      <c r="C33675" s="2"/>
    </row>
    <row r="33676" spans="3:3" x14ac:dyDescent="0.35">
      <c r="C33676" s="2"/>
    </row>
    <row r="33677" spans="3:3" x14ac:dyDescent="0.35">
      <c r="C33677" s="2"/>
    </row>
    <row r="33678" spans="3:3" x14ac:dyDescent="0.35">
      <c r="C33678" s="2"/>
    </row>
    <row r="33679" spans="3:3" x14ac:dyDescent="0.35">
      <c r="C33679" s="2"/>
    </row>
    <row r="33680" spans="3:3" x14ac:dyDescent="0.35">
      <c r="C33680" s="2"/>
    </row>
    <row r="33681" spans="3:3" x14ac:dyDescent="0.35">
      <c r="C33681" s="2"/>
    </row>
    <row r="33682" spans="3:3" x14ac:dyDescent="0.35">
      <c r="C33682" s="2"/>
    </row>
    <row r="33683" spans="3:3" x14ac:dyDescent="0.35">
      <c r="C33683" s="2"/>
    </row>
    <row r="33684" spans="3:3" x14ac:dyDescent="0.35">
      <c r="C33684" s="2"/>
    </row>
    <row r="33685" spans="3:3" x14ac:dyDescent="0.35">
      <c r="C33685" s="2"/>
    </row>
    <row r="33686" spans="3:3" x14ac:dyDescent="0.35">
      <c r="C33686" s="2"/>
    </row>
    <row r="33687" spans="3:3" x14ac:dyDescent="0.35">
      <c r="C33687" s="2"/>
    </row>
    <row r="33688" spans="3:3" x14ac:dyDescent="0.35">
      <c r="C33688" s="2"/>
    </row>
    <row r="33689" spans="3:3" x14ac:dyDescent="0.35">
      <c r="C33689" s="2"/>
    </row>
    <row r="33690" spans="3:3" x14ac:dyDescent="0.35">
      <c r="C33690" s="2"/>
    </row>
    <row r="33691" spans="3:3" x14ac:dyDescent="0.35">
      <c r="C33691" s="2"/>
    </row>
    <row r="33692" spans="3:3" x14ac:dyDescent="0.35">
      <c r="C33692" s="2"/>
    </row>
    <row r="33693" spans="3:3" x14ac:dyDescent="0.35">
      <c r="C33693" s="2"/>
    </row>
    <row r="33694" spans="3:3" x14ac:dyDescent="0.35">
      <c r="C33694" s="2"/>
    </row>
    <row r="33695" spans="3:3" x14ac:dyDescent="0.35">
      <c r="C33695" s="2"/>
    </row>
    <row r="33696" spans="3:3" x14ac:dyDescent="0.35">
      <c r="C33696" s="2"/>
    </row>
    <row r="33697" spans="3:3" x14ac:dyDescent="0.35">
      <c r="C33697" s="2"/>
    </row>
    <row r="33698" spans="3:3" x14ac:dyDescent="0.35">
      <c r="C33698" s="2"/>
    </row>
    <row r="33699" spans="3:3" x14ac:dyDescent="0.35">
      <c r="C33699" s="2"/>
    </row>
    <row r="33700" spans="3:3" x14ac:dyDescent="0.35">
      <c r="C33700" s="2"/>
    </row>
    <row r="33701" spans="3:3" x14ac:dyDescent="0.35">
      <c r="C33701" s="2"/>
    </row>
    <row r="33702" spans="3:3" x14ac:dyDescent="0.35">
      <c r="C33702" s="2"/>
    </row>
    <row r="33703" spans="3:3" x14ac:dyDescent="0.35">
      <c r="C33703" s="2"/>
    </row>
    <row r="33704" spans="3:3" x14ac:dyDescent="0.35">
      <c r="C33704" s="2"/>
    </row>
    <row r="33705" spans="3:3" x14ac:dyDescent="0.35">
      <c r="C33705" s="2"/>
    </row>
    <row r="33706" spans="3:3" x14ac:dyDescent="0.35">
      <c r="C33706" s="2"/>
    </row>
    <row r="33707" spans="3:3" x14ac:dyDescent="0.35">
      <c r="C33707" s="2"/>
    </row>
    <row r="33708" spans="3:3" x14ac:dyDescent="0.35">
      <c r="C33708" s="2"/>
    </row>
    <row r="33709" spans="3:3" x14ac:dyDescent="0.35">
      <c r="C33709" s="2"/>
    </row>
    <row r="33710" spans="3:3" x14ac:dyDescent="0.35">
      <c r="C33710" s="2"/>
    </row>
    <row r="33711" spans="3:3" x14ac:dyDescent="0.35">
      <c r="C33711" s="2"/>
    </row>
    <row r="33712" spans="3:3" x14ac:dyDescent="0.35">
      <c r="C33712" s="2"/>
    </row>
    <row r="33713" spans="3:3" x14ac:dyDescent="0.35">
      <c r="C33713" s="2"/>
    </row>
    <row r="33714" spans="3:3" x14ac:dyDescent="0.35">
      <c r="C33714" s="2"/>
    </row>
    <row r="33715" spans="3:3" x14ac:dyDescent="0.35">
      <c r="C33715" s="2"/>
    </row>
    <row r="33716" spans="3:3" x14ac:dyDescent="0.35">
      <c r="C33716" s="2"/>
    </row>
    <row r="33717" spans="3:3" x14ac:dyDescent="0.35">
      <c r="C33717" s="2"/>
    </row>
    <row r="33718" spans="3:3" x14ac:dyDescent="0.35">
      <c r="C33718" s="2"/>
    </row>
    <row r="33719" spans="3:3" x14ac:dyDescent="0.35">
      <c r="C33719" s="2"/>
    </row>
    <row r="33720" spans="3:3" x14ac:dyDescent="0.35">
      <c r="C33720" s="2"/>
    </row>
    <row r="33721" spans="3:3" x14ac:dyDescent="0.35">
      <c r="C33721" s="2"/>
    </row>
    <row r="33722" spans="3:3" x14ac:dyDescent="0.35">
      <c r="C33722" s="2"/>
    </row>
    <row r="33723" spans="3:3" x14ac:dyDescent="0.35">
      <c r="C33723" s="2"/>
    </row>
    <row r="33724" spans="3:3" x14ac:dyDescent="0.35">
      <c r="C33724" s="2"/>
    </row>
    <row r="33725" spans="3:3" x14ac:dyDescent="0.35">
      <c r="C33725" s="2"/>
    </row>
    <row r="33726" spans="3:3" x14ac:dyDescent="0.35">
      <c r="C33726" s="2"/>
    </row>
    <row r="33727" spans="3:3" x14ac:dyDescent="0.35">
      <c r="C33727" s="2"/>
    </row>
    <row r="33728" spans="3:3" x14ac:dyDescent="0.35">
      <c r="C33728" s="2"/>
    </row>
    <row r="33729" spans="3:3" x14ac:dyDescent="0.35">
      <c r="C33729" s="2"/>
    </row>
    <row r="33730" spans="3:3" x14ac:dyDescent="0.35">
      <c r="C33730" s="2"/>
    </row>
    <row r="33731" spans="3:3" x14ac:dyDescent="0.35">
      <c r="C33731" s="2"/>
    </row>
    <row r="33732" spans="3:3" x14ac:dyDescent="0.35">
      <c r="C33732" s="2"/>
    </row>
    <row r="33733" spans="3:3" x14ac:dyDescent="0.35">
      <c r="C33733" s="2"/>
    </row>
    <row r="33734" spans="3:3" x14ac:dyDescent="0.35">
      <c r="C33734" s="2"/>
    </row>
    <row r="33735" spans="3:3" x14ac:dyDescent="0.35">
      <c r="C33735" s="2"/>
    </row>
    <row r="33736" spans="3:3" x14ac:dyDescent="0.35">
      <c r="C33736" s="2"/>
    </row>
    <row r="33737" spans="3:3" x14ac:dyDescent="0.35">
      <c r="C33737" s="2"/>
    </row>
    <row r="33738" spans="3:3" x14ac:dyDescent="0.35">
      <c r="C33738" s="2"/>
    </row>
    <row r="33739" spans="3:3" x14ac:dyDescent="0.35">
      <c r="C33739" s="2"/>
    </row>
    <row r="33740" spans="3:3" x14ac:dyDescent="0.35">
      <c r="C33740" s="2"/>
    </row>
    <row r="33741" spans="3:3" x14ac:dyDescent="0.35">
      <c r="C33741" s="2"/>
    </row>
    <row r="33742" spans="3:3" x14ac:dyDescent="0.35">
      <c r="C33742" s="2"/>
    </row>
    <row r="33743" spans="3:3" x14ac:dyDescent="0.35">
      <c r="C33743" s="2"/>
    </row>
    <row r="33744" spans="3:3" x14ac:dyDescent="0.35">
      <c r="C33744" s="2"/>
    </row>
    <row r="33745" spans="3:3" x14ac:dyDescent="0.35">
      <c r="C33745" s="2"/>
    </row>
    <row r="33746" spans="3:3" x14ac:dyDescent="0.35">
      <c r="C33746" s="2"/>
    </row>
    <row r="33747" spans="3:3" x14ac:dyDescent="0.35">
      <c r="C33747" s="2"/>
    </row>
    <row r="33748" spans="3:3" x14ac:dyDescent="0.35">
      <c r="C33748" s="2"/>
    </row>
    <row r="33749" spans="3:3" x14ac:dyDescent="0.35">
      <c r="C33749" s="2"/>
    </row>
    <row r="33750" spans="3:3" x14ac:dyDescent="0.35">
      <c r="C33750" s="2"/>
    </row>
    <row r="33751" spans="3:3" x14ac:dyDescent="0.35">
      <c r="C33751" s="2"/>
    </row>
    <row r="33752" spans="3:3" x14ac:dyDescent="0.35">
      <c r="C33752" s="2"/>
    </row>
    <row r="33753" spans="3:3" x14ac:dyDescent="0.35">
      <c r="C33753" s="2"/>
    </row>
    <row r="33754" spans="3:3" x14ac:dyDescent="0.35">
      <c r="C33754" s="2"/>
    </row>
    <row r="33755" spans="3:3" x14ac:dyDescent="0.35">
      <c r="C33755" s="2"/>
    </row>
    <row r="33756" spans="3:3" x14ac:dyDescent="0.35">
      <c r="C33756" s="2"/>
    </row>
    <row r="33757" spans="3:3" x14ac:dyDescent="0.35">
      <c r="C33757" s="2"/>
    </row>
    <row r="33758" spans="3:3" x14ac:dyDescent="0.35">
      <c r="C33758" s="2"/>
    </row>
    <row r="33759" spans="3:3" x14ac:dyDescent="0.35">
      <c r="C33759" s="2"/>
    </row>
    <row r="33760" spans="3:3" x14ac:dyDescent="0.35">
      <c r="C33760" s="2"/>
    </row>
    <row r="33761" spans="3:3" x14ac:dyDescent="0.35">
      <c r="C33761" s="2"/>
    </row>
    <row r="33762" spans="3:3" x14ac:dyDescent="0.35">
      <c r="C33762" s="2"/>
    </row>
    <row r="33763" spans="3:3" x14ac:dyDescent="0.35">
      <c r="C33763" s="2"/>
    </row>
    <row r="33764" spans="3:3" x14ac:dyDescent="0.35">
      <c r="C33764" s="2"/>
    </row>
    <row r="33765" spans="3:3" x14ac:dyDescent="0.35">
      <c r="C33765" s="2"/>
    </row>
    <row r="33766" spans="3:3" x14ac:dyDescent="0.35">
      <c r="C33766" s="2"/>
    </row>
    <row r="33767" spans="3:3" x14ac:dyDescent="0.35">
      <c r="C33767" s="2"/>
    </row>
    <row r="33768" spans="3:3" x14ac:dyDescent="0.35">
      <c r="C33768" s="2"/>
    </row>
    <row r="33769" spans="3:3" x14ac:dyDescent="0.35">
      <c r="C33769" s="2"/>
    </row>
    <row r="33770" spans="3:3" x14ac:dyDescent="0.35">
      <c r="C33770" s="2"/>
    </row>
    <row r="33771" spans="3:3" x14ac:dyDescent="0.35">
      <c r="C33771" s="2"/>
    </row>
    <row r="33772" spans="3:3" x14ac:dyDescent="0.35">
      <c r="C33772" s="2"/>
    </row>
    <row r="33773" spans="3:3" x14ac:dyDescent="0.35">
      <c r="C33773" s="2"/>
    </row>
    <row r="33774" spans="3:3" x14ac:dyDescent="0.35">
      <c r="C33774" s="2"/>
    </row>
    <row r="33775" spans="3:3" x14ac:dyDescent="0.35">
      <c r="C33775" s="2"/>
    </row>
    <row r="33776" spans="3:3" x14ac:dyDescent="0.35">
      <c r="C33776" s="2"/>
    </row>
    <row r="33777" spans="3:3" x14ac:dyDescent="0.35">
      <c r="C33777" s="2"/>
    </row>
    <row r="33778" spans="3:3" x14ac:dyDescent="0.35">
      <c r="C33778" s="2"/>
    </row>
    <row r="33779" spans="3:3" x14ac:dyDescent="0.35">
      <c r="C33779" s="2"/>
    </row>
    <row r="33780" spans="3:3" x14ac:dyDescent="0.35">
      <c r="C33780" s="2"/>
    </row>
    <row r="33781" spans="3:3" x14ac:dyDescent="0.35">
      <c r="C33781" s="2"/>
    </row>
    <row r="33782" spans="3:3" x14ac:dyDescent="0.35">
      <c r="C33782" s="2"/>
    </row>
    <row r="33783" spans="3:3" x14ac:dyDescent="0.35">
      <c r="C33783" s="2"/>
    </row>
    <row r="33784" spans="3:3" x14ac:dyDescent="0.35">
      <c r="C33784" s="2"/>
    </row>
    <row r="33785" spans="3:3" x14ac:dyDescent="0.35">
      <c r="C33785" s="2"/>
    </row>
    <row r="33786" spans="3:3" x14ac:dyDescent="0.35">
      <c r="C33786" s="2"/>
    </row>
    <row r="33787" spans="3:3" x14ac:dyDescent="0.35">
      <c r="C33787" s="2"/>
    </row>
    <row r="33788" spans="3:3" x14ac:dyDescent="0.35">
      <c r="C33788" s="2"/>
    </row>
    <row r="33789" spans="3:3" x14ac:dyDescent="0.35">
      <c r="C33789" s="2"/>
    </row>
    <row r="33790" spans="3:3" x14ac:dyDescent="0.35">
      <c r="C33790" s="2"/>
    </row>
    <row r="33791" spans="3:3" x14ac:dyDescent="0.35">
      <c r="C33791" s="2"/>
    </row>
    <row r="33792" spans="3:3" x14ac:dyDescent="0.35">
      <c r="C33792" s="2"/>
    </row>
    <row r="33793" spans="3:3" x14ac:dyDescent="0.35">
      <c r="C33793" s="2"/>
    </row>
    <row r="33794" spans="3:3" x14ac:dyDescent="0.35">
      <c r="C33794" s="2"/>
    </row>
    <row r="33795" spans="3:3" x14ac:dyDescent="0.35">
      <c r="C33795" s="2"/>
    </row>
    <row r="33796" spans="3:3" x14ac:dyDescent="0.35">
      <c r="C33796" s="2"/>
    </row>
    <row r="33797" spans="3:3" x14ac:dyDescent="0.35">
      <c r="C33797" s="2"/>
    </row>
    <row r="33798" spans="3:3" x14ac:dyDescent="0.35">
      <c r="C33798" s="2"/>
    </row>
    <row r="33799" spans="3:3" x14ac:dyDescent="0.35">
      <c r="C33799" s="2"/>
    </row>
    <row r="33800" spans="3:3" x14ac:dyDescent="0.35">
      <c r="C33800" s="2"/>
    </row>
    <row r="33801" spans="3:3" x14ac:dyDescent="0.35">
      <c r="C33801" s="2"/>
    </row>
    <row r="33802" spans="3:3" x14ac:dyDescent="0.35">
      <c r="C33802" s="2"/>
    </row>
    <row r="33803" spans="3:3" x14ac:dyDescent="0.35">
      <c r="C33803" s="2"/>
    </row>
    <row r="33804" spans="3:3" x14ac:dyDescent="0.35">
      <c r="C33804" s="2"/>
    </row>
    <row r="33805" spans="3:3" x14ac:dyDescent="0.35">
      <c r="C33805" s="2"/>
    </row>
    <row r="33806" spans="3:3" x14ac:dyDescent="0.35">
      <c r="C33806" s="2"/>
    </row>
    <row r="33807" spans="3:3" x14ac:dyDescent="0.35">
      <c r="C33807" s="2"/>
    </row>
    <row r="33808" spans="3:3" x14ac:dyDescent="0.35">
      <c r="C33808" s="2"/>
    </row>
    <row r="33809" spans="3:3" x14ac:dyDescent="0.35">
      <c r="C33809" s="2"/>
    </row>
    <row r="33810" spans="3:3" x14ac:dyDescent="0.35">
      <c r="C33810" s="2"/>
    </row>
    <row r="33811" spans="3:3" x14ac:dyDescent="0.35">
      <c r="C33811" s="2"/>
    </row>
    <row r="33812" spans="3:3" x14ac:dyDescent="0.35">
      <c r="C33812" s="2"/>
    </row>
    <row r="33813" spans="3:3" x14ac:dyDescent="0.35">
      <c r="C33813" s="2"/>
    </row>
    <row r="33814" spans="3:3" x14ac:dyDescent="0.35">
      <c r="C33814" s="2"/>
    </row>
    <row r="33815" spans="3:3" x14ac:dyDescent="0.35">
      <c r="C33815" s="2"/>
    </row>
    <row r="33816" spans="3:3" x14ac:dyDescent="0.35">
      <c r="C33816" s="2"/>
    </row>
    <row r="33817" spans="3:3" x14ac:dyDescent="0.35">
      <c r="C33817" s="2"/>
    </row>
    <row r="33818" spans="3:3" x14ac:dyDescent="0.35">
      <c r="C33818" s="2"/>
    </row>
    <row r="33819" spans="3:3" x14ac:dyDescent="0.35">
      <c r="C33819" s="2"/>
    </row>
    <row r="33820" spans="3:3" x14ac:dyDescent="0.35">
      <c r="C33820" s="2"/>
    </row>
    <row r="33821" spans="3:3" x14ac:dyDescent="0.35">
      <c r="C33821" s="2"/>
    </row>
    <row r="33822" spans="3:3" x14ac:dyDescent="0.35">
      <c r="C33822" s="2"/>
    </row>
    <row r="33823" spans="3:3" x14ac:dyDescent="0.35">
      <c r="C33823" s="2"/>
    </row>
    <row r="33824" spans="3:3" x14ac:dyDescent="0.35">
      <c r="C33824" s="2"/>
    </row>
    <row r="33825" spans="3:3" x14ac:dyDescent="0.35">
      <c r="C33825" s="2"/>
    </row>
    <row r="33826" spans="3:3" x14ac:dyDescent="0.35">
      <c r="C33826" s="2"/>
    </row>
    <row r="33827" spans="3:3" x14ac:dyDescent="0.35">
      <c r="C33827" s="2"/>
    </row>
    <row r="33828" spans="3:3" x14ac:dyDescent="0.35">
      <c r="C33828" s="2"/>
    </row>
    <row r="33829" spans="3:3" x14ac:dyDescent="0.35">
      <c r="C33829" s="2"/>
    </row>
    <row r="33830" spans="3:3" x14ac:dyDescent="0.35">
      <c r="C33830" s="2"/>
    </row>
    <row r="33831" spans="3:3" x14ac:dyDescent="0.35">
      <c r="C33831" s="2"/>
    </row>
    <row r="33832" spans="3:3" x14ac:dyDescent="0.35">
      <c r="C33832" s="2"/>
    </row>
    <row r="33833" spans="3:3" x14ac:dyDescent="0.35">
      <c r="C33833" s="2"/>
    </row>
    <row r="33834" spans="3:3" x14ac:dyDescent="0.35">
      <c r="C33834" s="2"/>
    </row>
    <row r="33835" spans="3:3" x14ac:dyDescent="0.35">
      <c r="C33835" s="2"/>
    </row>
    <row r="33836" spans="3:3" x14ac:dyDescent="0.35">
      <c r="C33836" s="2"/>
    </row>
    <row r="33837" spans="3:3" x14ac:dyDescent="0.35">
      <c r="C33837" s="2"/>
    </row>
    <row r="33838" spans="3:3" x14ac:dyDescent="0.35">
      <c r="C33838" s="2"/>
    </row>
    <row r="33839" spans="3:3" x14ac:dyDescent="0.35">
      <c r="C33839" s="2"/>
    </row>
    <row r="33840" spans="3:3" x14ac:dyDescent="0.35">
      <c r="C33840" s="2"/>
    </row>
    <row r="33841" spans="3:3" x14ac:dyDescent="0.35">
      <c r="C33841" s="2"/>
    </row>
    <row r="33842" spans="3:3" x14ac:dyDescent="0.35">
      <c r="C33842" s="2"/>
    </row>
    <row r="33843" spans="3:3" x14ac:dyDescent="0.35">
      <c r="C33843" s="2"/>
    </row>
    <row r="33844" spans="3:3" x14ac:dyDescent="0.35">
      <c r="C33844" s="2"/>
    </row>
    <row r="33845" spans="3:3" x14ac:dyDescent="0.35">
      <c r="C33845" s="2"/>
    </row>
    <row r="33846" spans="3:3" x14ac:dyDescent="0.35">
      <c r="C33846" s="2"/>
    </row>
    <row r="33847" spans="3:3" x14ac:dyDescent="0.35">
      <c r="C33847" s="2"/>
    </row>
    <row r="33848" spans="3:3" x14ac:dyDescent="0.35">
      <c r="C33848" s="2"/>
    </row>
    <row r="33849" spans="3:3" x14ac:dyDescent="0.35">
      <c r="C33849" s="2"/>
    </row>
    <row r="33850" spans="3:3" x14ac:dyDescent="0.35">
      <c r="C33850" s="2"/>
    </row>
    <row r="33851" spans="3:3" x14ac:dyDescent="0.35">
      <c r="C33851" s="2"/>
    </row>
    <row r="33852" spans="3:3" x14ac:dyDescent="0.35">
      <c r="C33852" s="2"/>
    </row>
    <row r="33853" spans="3:3" x14ac:dyDescent="0.35">
      <c r="C33853" s="2"/>
    </row>
    <row r="33854" spans="3:3" x14ac:dyDescent="0.35">
      <c r="C33854" s="2"/>
    </row>
    <row r="33855" spans="3:3" x14ac:dyDescent="0.35">
      <c r="C33855" s="2"/>
    </row>
    <row r="33856" spans="3:3" x14ac:dyDescent="0.35">
      <c r="C33856" s="2"/>
    </row>
    <row r="33857" spans="3:3" x14ac:dyDescent="0.35">
      <c r="C33857" s="2"/>
    </row>
    <row r="33858" spans="3:3" x14ac:dyDescent="0.35">
      <c r="C33858" s="2"/>
    </row>
    <row r="33859" spans="3:3" x14ac:dyDescent="0.35">
      <c r="C33859" s="2"/>
    </row>
    <row r="33860" spans="3:3" x14ac:dyDescent="0.35">
      <c r="C33860" s="2"/>
    </row>
    <row r="33861" spans="3:3" x14ac:dyDescent="0.35">
      <c r="C33861" s="2"/>
    </row>
    <row r="33862" spans="3:3" x14ac:dyDescent="0.35">
      <c r="C33862" s="2"/>
    </row>
    <row r="33863" spans="3:3" x14ac:dyDescent="0.35">
      <c r="C33863" s="2"/>
    </row>
    <row r="33864" spans="3:3" x14ac:dyDescent="0.35">
      <c r="C33864" s="2"/>
    </row>
    <row r="33865" spans="3:3" x14ac:dyDescent="0.35">
      <c r="C33865" s="2"/>
    </row>
    <row r="33866" spans="3:3" x14ac:dyDescent="0.35">
      <c r="C33866" s="2"/>
    </row>
    <row r="33867" spans="3:3" x14ac:dyDescent="0.35">
      <c r="C33867" s="2"/>
    </row>
    <row r="33868" spans="3:3" x14ac:dyDescent="0.35">
      <c r="C33868" s="2"/>
    </row>
    <row r="33869" spans="3:3" x14ac:dyDescent="0.35">
      <c r="C33869" s="2"/>
    </row>
    <row r="33870" spans="3:3" x14ac:dyDescent="0.35">
      <c r="C33870" s="2"/>
    </row>
    <row r="33871" spans="3:3" x14ac:dyDescent="0.35">
      <c r="C33871" s="2"/>
    </row>
    <row r="33872" spans="3:3" x14ac:dyDescent="0.35">
      <c r="C33872" s="2"/>
    </row>
    <row r="33873" spans="3:3" x14ac:dyDescent="0.35">
      <c r="C33873" s="2"/>
    </row>
    <row r="33874" spans="3:3" x14ac:dyDescent="0.35">
      <c r="C33874" s="2"/>
    </row>
    <row r="33875" spans="3:3" x14ac:dyDescent="0.35">
      <c r="C33875" s="2"/>
    </row>
    <row r="33876" spans="3:3" x14ac:dyDescent="0.35">
      <c r="C33876" s="2"/>
    </row>
    <row r="33877" spans="3:3" x14ac:dyDescent="0.35">
      <c r="C33877" s="2"/>
    </row>
    <row r="33878" spans="3:3" x14ac:dyDescent="0.35">
      <c r="C33878" s="2"/>
    </row>
    <row r="33879" spans="3:3" x14ac:dyDescent="0.35">
      <c r="C33879" s="2"/>
    </row>
    <row r="33880" spans="3:3" x14ac:dyDescent="0.35">
      <c r="C33880" s="2"/>
    </row>
    <row r="33881" spans="3:3" x14ac:dyDescent="0.35">
      <c r="C33881" s="2"/>
    </row>
    <row r="33882" spans="3:3" x14ac:dyDescent="0.35">
      <c r="C33882" s="2"/>
    </row>
    <row r="33883" spans="3:3" x14ac:dyDescent="0.35">
      <c r="C33883" s="2"/>
    </row>
    <row r="33884" spans="3:3" x14ac:dyDescent="0.35">
      <c r="C33884" s="2"/>
    </row>
    <row r="33885" spans="3:3" x14ac:dyDescent="0.35">
      <c r="C33885" s="2"/>
    </row>
    <row r="33886" spans="3:3" x14ac:dyDescent="0.35">
      <c r="C33886" s="2"/>
    </row>
    <row r="33887" spans="3:3" x14ac:dyDescent="0.35">
      <c r="C33887" s="2"/>
    </row>
    <row r="33888" spans="3:3" x14ac:dyDescent="0.35">
      <c r="C33888" s="2"/>
    </row>
    <row r="33889" spans="3:3" x14ac:dyDescent="0.35">
      <c r="C33889" s="2"/>
    </row>
    <row r="33890" spans="3:3" x14ac:dyDescent="0.35">
      <c r="C33890" s="2"/>
    </row>
    <row r="33891" spans="3:3" x14ac:dyDescent="0.35">
      <c r="C33891" s="2"/>
    </row>
    <row r="33892" spans="3:3" x14ac:dyDescent="0.35">
      <c r="C33892" s="2"/>
    </row>
    <row r="33893" spans="3:3" x14ac:dyDescent="0.35">
      <c r="C33893" s="2"/>
    </row>
    <row r="33894" spans="3:3" x14ac:dyDescent="0.35">
      <c r="C33894" s="2"/>
    </row>
    <row r="33895" spans="3:3" x14ac:dyDescent="0.35">
      <c r="C33895" s="2"/>
    </row>
    <row r="33896" spans="3:3" x14ac:dyDescent="0.35">
      <c r="C33896" s="2"/>
    </row>
    <row r="33897" spans="3:3" x14ac:dyDescent="0.35">
      <c r="C33897" s="2"/>
    </row>
    <row r="33898" spans="3:3" x14ac:dyDescent="0.35">
      <c r="C33898" s="2"/>
    </row>
    <row r="33899" spans="3:3" x14ac:dyDescent="0.35">
      <c r="C33899" s="2"/>
    </row>
    <row r="33900" spans="3:3" x14ac:dyDescent="0.35">
      <c r="C33900" s="2"/>
    </row>
    <row r="33901" spans="3:3" x14ac:dyDescent="0.35">
      <c r="C33901" s="2"/>
    </row>
    <row r="33902" spans="3:3" x14ac:dyDescent="0.35">
      <c r="C33902" s="2"/>
    </row>
    <row r="33903" spans="3:3" x14ac:dyDescent="0.35">
      <c r="C33903" s="2"/>
    </row>
    <row r="33904" spans="3:3" x14ac:dyDescent="0.35">
      <c r="C33904" s="2"/>
    </row>
    <row r="33905" spans="3:3" x14ac:dyDescent="0.35">
      <c r="C33905" s="2"/>
    </row>
    <row r="33906" spans="3:3" x14ac:dyDescent="0.35">
      <c r="C33906" s="2"/>
    </row>
    <row r="33907" spans="3:3" x14ac:dyDescent="0.35">
      <c r="C33907" s="2"/>
    </row>
    <row r="33908" spans="3:3" x14ac:dyDescent="0.35">
      <c r="C33908" s="2"/>
    </row>
    <row r="33909" spans="3:3" x14ac:dyDescent="0.35">
      <c r="C33909" s="2"/>
    </row>
    <row r="33910" spans="3:3" x14ac:dyDescent="0.35">
      <c r="C33910" s="2"/>
    </row>
    <row r="33911" spans="3:3" x14ac:dyDescent="0.35">
      <c r="C33911" s="2"/>
    </row>
    <row r="33912" spans="3:3" x14ac:dyDescent="0.35">
      <c r="C33912" s="2"/>
    </row>
    <row r="33913" spans="3:3" x14ac:dyDescent="0.35">
      <c r="C33913" s="2"/>
    </row>
    <row r="33914" spans="3:3" x14ac:dyDescent="0.35">
      <c r="C33914" s="2"/>
    </row>
    <row r="33915" spans="3:3" x14ac:dyDescent="0.35">
      <c r="C33915" s="2"/>
    </row>
    <row r="33916" spans="3:3" x14ac:dyDescent="0.35">
      <c r="C33916" s="2"/>
    </row>
    <row r="33917" spans="3:3" x14ac:dyDescent="0.35">
      <c r="C33917" s="2"/>
    </row>
    <row r="33918" spans="3:3" x14ac:dyDescent="0.35">
      <c r="C33918" s="2"/>
    </row>
    <row r="33919" spans="3:3" x14ac:dyDescent="0.35">
      <c r="C33919" s="2"/>
    </row>
    <row r="33920" spans="3:3" x14ac:dyDescent="0.35">
      <c r="C33920" s="2"/>
    </row>
    <row r="33921" spans="3:3" x14ac:dyDescent="0.35">
      <c r="C33921" s="2"/>
    </row>
    <row r="33922" spans="3:3" x14ac:dyDescent="0.35">
      <c r="C33922" s="2"/>
    </row>
    <row r="33923" spans="3:3" x14ac:dyDescent="0.35">
      <c r="C33923" s="2"/>
    </row>
    <row r="33924" spans="3:3" x14ac:dyDescent="0.35">
      <c r="C33924" s="2"/>
    </row>
    <row r="33925" spans="3:3" x14ac:dyDescent="0.35">
      <c r="C33925" s="2"/>
    </row>
    <row r="33926" spans="3:3" x14ac:dyDescent="0.35">
      <c r="C33926" s="2"/>
    </row>
    <row r="33927" spans="3:3" x14ac:dyDescent="0.35">
      <c r="C33927" s="2"/>
    </row>
    <row r="33928" spans="3:3" x14ac:dyDescent="0.35">
      <c r="C33928" s="2"/>
    </row>
    <row r="33929" spans="3:3" x14ac:dyDescent="0.35">
      <c r="C33929" s="2"/>
    </row>
    <row r="33930" spans="3:3" x14ac:dyDescent="0.35">
      <c r="C33930" s="2"/>
    </row>
    <row r="33931" spans="3:3" x14ac:dyDescent="0.35">
      <c r="C33931" s="2"/>
    </row>
    <row r="33932" spans="3:3" x14ac:dyDescent="0.35">
      <c r="C33932" s="2"/>
    </row>
    <row r="33933" spans="3:3" x14ac:dyDescent="0.35">
      <c r="C33933" s="2"/>
    </row>
    <row r="33934" spans="3:3" x14ac:dyDescent="0.35">
      <c r="C33934" s="2"/>
    </row>
    <row r="33935" spans="3:3" x14ac:dyDescent="0.35">
      <c r="C33935" s="2"/>
    </row>
    <row r="33936" spans="3:3" x14ac:dyDescent="0.35">
      <c r="C33936" s="2"/>
    </row>
    <row r="33937" spans="3:3" x14ac:dyDescent="0.35">
      <c r="C33937" s="2"/>
    </row>
    <row r="33938" spans="3:3" x14ac:dyDescent="0.35">
      <c r="C33938" s="2"/>
    </row>
    <row r="33939" spans="3:3" x14ac:dyDescent="0.35">
      <c r="C33939" s="2"/>
    </row>
    <row r="33940" spans="3:3" x14ac:dyDescent="0.35">
      <c r="C33940" s="2"/>
    </row>
    <row r="33941" spans="3:3" x14ac:dyDescent="0.35">
      <c r="C33941" s="2"/>
    </row>
    <row r="33942" spans="3:3" x14ac:dyDescent="0.35">
      <c r="C33942" s="2"/>
    </row>
    <row r="33943" spans="3:3" x14ac:dyDescent="0.35">
      <c r="C33943" s="2"/>
    </row>
    <row r="33944" spans="3:3" x14ac:dyDescent="0.35">
      <c r="C33944" s="2"/>
    </row>
    <row r="33945" spans="3:3" x14ac:dyDescent="0.35">
      <c r="C33945" s="2"/>
    </row>
    <row r="33946" spans="3:3" x14ac:dyDescent="0.35">
      <c r="C33946" s="2"/>
    </row>
    <row r="33947" spans="3:3" x14ac:dyDescent="0.35">
      <c r="C33947" s="2"/>
    </row>
    <row r="33948" spans="3:3" x14ac:dyDescent="0.35">
      <c r="C33948" s="2"/>
    </row>
    <row r="33949" spans="3:3" x14ac:dyDescent="0.35">
      <c r="C33949" s="2"/>
    </row>
    <row r="33950" spans="3:3" x14ac:dyDescent="0.35">
      <c r="C33950" s="2"/>
    </row>
    <row r="33951" spans="3:3" x14ac:dyDescent="0.35">
      <c r="C33951" s="2"/>
    </row>
    <row r="33952" spans="3:3" x14ac:dyDescent="0.35">
      <c r="C33952" s="2"/>
    </row>
    <row r="33953" spans="3:3" x14ac:dyDescent="0.35">
      <c r="C33953" s="2"/>
    </row>
    <row r="33954" spans="3:3" x14ac:dyDescent="0.35">
      <c r="C33954" s="2"/>
    </row>
    <row r="33955" spans="3:3" x14ac:dyDescent="0.35">
      <c r="C33955" s="2"/>
    </row>
    <row r="33956" spans="3:3" x14ac:dyDescent="0.35">
      <c r="C33956" s="2"/>
    </row>
    <row r="33957" spans="3:3" x14ac:dyDescent="0.35">
      <c r="C33957" s="2"/>
    </row>
    <row r="33958" spans="3:3" x14ac:dyDescent="0.35">
      <c r="C33958" s="2"/>
    </row>
    <row r="33959" spans="3:3" x14ac:dyDescent="0.35">
      <c r="C33959" s="2"/>
    </row>
    <row r="33960" spans="3:3" x14ac:dyDescent="0.35">
      <c r="C33960" s="2"/>
    </row>
    <row r="33961" spans="3:3" x14ac:dyDescent="0.35">
      <c r="C33961" s="2"/>
    </row>
    <row r="33962" spans="3:3" x14ac:dyDescent="0.35">
      <c r="C33962" s="2"/>
    </row>
    <row r="33963" spans="3:3" x14ac:dyDescent="0.35">
      <c r="C33963" s="2"/>
    </row>
    <row r="33964" spans="3:3" x14ac:dyDescent="0.35">
      <c r="C33964" s="2"/>
    </row>
    <row r="33965" spans="3:3" x14ac:dyDescent="0.35">
      <c r="C33965" s="2"/>
    </row>
    <row r="33966" spans="3:3" x14ac:dyDescent="0.35">
      <c r="C33966" s="2"/>
    </row>
    <row r="33967" spans="3:3" x14ac:dyDescent="0.35">
      <c r="C33967" s="2"/>
    </row>
    <row r="33968" spans="3:3" x14ac:dyDescent="0.35">
      <c r="C33968" s="2"/>
    </row>
    <row r="33969" spans="3:3" x14ac:dyDescent="0.35">
      <c r="C33969" s="2"/>
    </row>
    <row r="33970" spans="3:3" x14ac:dyDescent="0.35">
      <c r="C33970" s="2"/>
    </row>
    <row r="33971" spans="3:3" x14ac:dyDescent="0.35">
      <c r="C33971" s="2"/>
    </row>
    <row r="33972" spans="3:3" x14ac:dyDescent="0.35">
      <c r="C33972" s="2"/>
    </row>
    <row r="33973" spans="3:3" x14ac:dyDescent="0.35">
      <c r="C33973" s="2"/>
    </row>
    <row r="33974" spans="3:3" x14ac:dyDescent="0.35">
      <c r="C33974" s="2"/>
    </row>
    <row r="33975" spans="3:3" x14ac:dyDescent="0.35">
      <c r="C33975" s="2"/>
    </row>
    <row r="33976" spans="3:3" x14ac:dyDescent="0.35">
      <c r="C33976" s="2"/>
    </row>
    <row r="33977" spans="3:3" x14ac:dyDescent="0.35">
      <c r="C33977" s="2"/>
    </row>
    <row r="33978" spans="3:3" x14ac:dyDescent="0.35">
      <c r="C33978" s="2"/>
    </row>
    <row r="33979" spans="3:3" x14ac:dyDescent="0.35">
      <c r="C33979" s="2"/>
    </row>
    <row r="33980" spans="3:3" x14ac:dyDescent="0.35">
      <c r="C33980" s="2"/>
    </row>
    <row r="33981" spans="3:3" x14ac:dyDescent="0.35">
      <c r="C33981" s="2"/>
    </row>
    <row r="33982" spans="3:3" x14ac:dyDescent="0.35">
      <c r="C33982" s="2"/>
    </row>
    <row r="33983" spans="3:3" x14ac:dyDescent="0.35">
      <c r="C33983" s="2"/>
    </row>
    <row r="33984" spans="3:3" x14ac:dyDescent="0.35">
      <c r="C33984" s="2"/>
    </row>
    <row r="33985" spans="3:3" x14ac:dyDescent="0.35">
      <c r="C33985" s="2"/>
    </row>
    <row r="33986" spans="3:3" x14ac:dyDescent="0.35">
      <c r="C33986" s="2"/>
    </row>
    <row r="33987" spans="3:3" x14ac:dyDescent="0.35">
      <c r="C33987" s="2"/>
    </row>
    <row r="33988" spans="3:3" x14ac:dyDescent="0.35">
      <c r="C33988" s="2"/>
    </row>
    <row r="33989" spans="3:3" x14ac:dyDescent="0.35">
      <c r="C33989" s="2"/>
    </row>
    <row r="33990" spans="3:3" x14ac:dyDescent="0.35">
      <c r="C33990" s="2"/>
    </row>
    <row r="33991" spans="3:3" x14ac:dyDescent="0.35">
      <c r="C33991" s="2"/>
    </row>
    <row r="33992" spans="3:3" x14ac:dyDescent="0.35">
      <c r="C33992" s="2"/>
    </row>
    <row r="33993" spans="3:3" x14ac:dyDescent="0.35">
      <c r="C33993" s="2"/>
    </row>
    <row r="33994" spans="3:3" x14ac:dyDescent="0.35">
      <c r="C33994" s="2"/>
    </row>
    <row r="33995" spans="3:3" x14ac:dyDescent="0.35">
      <c r="C33995" s="2"/>
    </row>
    <row r="33996" spans="3:3" x14ac:dyDescent="0.35">
      <c r="C33996" s="2"/>
    </row>
    <row r="33997" spans="3:3" x14ac:dyDescent="0.35">
      <c r="C33997" s="2"/>
    </row>
    <row r="33998" spans="3:3" x14ac:dyDescent="0.35">
      <c r="C33998" s="2"/>
    </row>
    <row r="33999" spans="3:3" x14ac:dyDescent="0.35">
      <c r="C33999" s="2"/>
    </row>
    <row r="34000" spans="3:3" x14ac:dyDescent="0.35">
      <c r="C34000" s="2"/>
    </row>
    <row r="34001" spans="3:3" x14ac:dyDescent="0.35">
      <c r="C34001" s="2"/>
    </row>
    <row r="34002" spans="3:3" x14ac:dyDescent="0.35">
      <c r="C34002" s="2"/>
    </row>
    <row r="34003" spans="3:3" x14ac:dyDescent="0.35">
      <c r="C34003" s="2"/>
    </row>
    <row r="34004" spans="3:3" x14ac:dyDescent="0.35">
      <c r="C34004" s="2"/>
    </row>
    <row r="34005" spans="3:3" x14ac:dyDescent="0.35">
      <c r="C34005" s="2"/>
    </row>
    <row r="34006" spans="3:3" x14ac:dyDescent="0.35">
      <c r="C34006" s="2"/>
    </row>
    <row r="34007" spans="3:3" x14ac:dyDescent="0.35">
      <c r="C34007" s="2"/>
    </row>
    <row r="34008" spans="3:3" x14ac:dyDescent="0.35">
      <c r="C34008" s="2"/>
    </row>
    <row r="34009" spans="3:3" x14ac:dyDescent="0.35">
      <c r="C34009" s="2"/>
    </row>
    <row r="34010" spans="3:3" x14ac:dyDescent="0.35">
      <c r="C34010" s="2"/>
    </row>
    <row r="34011" spans="3:3" x14ac:dyDescent="0.35">
      <c r="C34011" s="2"/>
    </row>
    <row r="34012" spans="3:3" x14ac:dyDescent="0.35">
      <c r="C34012" s="2"/>
    </row>
    <row r="34013" spans="3:3" x14ac:dyDescent="0.35">
      <c r="C34013" s="2"/>
    </row>
    <row r="34014" spans="3:3" x14ac:dyDescent="0.35">
      <c r="C34014" s="2"/>
    </row>
    <row r="34015" spans="3:3" x14ac:dyDescent="0.35">
      <c r="C34015" s="2"/>
    </row>
    <row r="34016" spans="3:3" x14ac:dyDescent="0.35">
      <c r="C34016" s="2"/>
    </row>
    <row r="34017" spans="3:3" x14ac:dyDescent="0.35">
      <c r="C34017" s="2"/>
    </row>
    <row r="34018" spans="3:3" x14ac:dyDescent="0.35">
      <c r="C34018" s="2"/>
    </row>
    <row r="34019" spans="3:3" x14ac:dyDescent="0.35">
      <c r="C34019" s="2"/>
    </row>
    <row r="34020" spans="3:3" x14ac:dyDescent="0.35">
      <c r="C34020" s="2"/>
    </row>
    <row r="34021" spans="3:3" x14ac:dyDescent="0.35">
      <c r="C34021" s="2"/>
    </row>
    <row r="34022" spans="3:3" x14ac:dyDescent="0.35">
      <c r="C34022" s="2"/>
    </row>
    <row r="34023" spans="3:3" x14ac:dyDescent="0.35">
      <c r="C34023" s="2"/>
    </row>
    <row r="34024" spans="3:3" x14ac:dyDescent="0.35">
      <c r="C34024" s="2"/>
    </row>
    <row r="34025" spans="3:3" x14ac:dyDescent="0.35">
      <c r="C34025" s="2"/>
    </row>
    <row r="34026" spans="3:3" x14ac:dyDescent="0.35">
      <c r="C34026" s="2"/>
    </row>
    <row r="34027" spans="3:3" x14ac:dyDescent="0.35">
      <c r="C34027" s="2"/>
    </row>
    <row r="34028" spans="3:3" x14ac:dyDescent="0.35">
      <c r="C34028" s="2"/>
    </row>
    <row r="34029" spans="3:3" x14ac:dyDescent="0.35">
      <c r="C34029" s="2"/>
    </row>
    <row r="34030" spans="3:3" x14ac:dyDescent="0.35">
      <c r="C34030" s="2"/>
    </row>
    <row r="34031" spans="3:3" x14ac:dyDescent="0.35">
      <c r="C34031" s="2"/>
    </row>
    <row r="34032" spans="3:3" x14ac:dyDescent="0.35">
      <c r="C34032" s="2"/>
    </row>
    <row r="34033" spans="3:3" x14ac:dyDescent="0.35">
      <c r="C34033" s="2"/>
    </row>
    <row r="34034" spans="3:3" x14ac:dyDescent="0.35">
      <c r="C34034" s="2"/>
    </row>
    <row r="34035" spans="3:3" x14ac:dyDescent="0.35">
      <c r="C34035" s="2"/>
    </row>
    <row r="34036" spans="3:3" x14ac:dyDescent="0.35">
      <c r="C34036" s="2"/>
    </row>
    <row r="34037" spans="3:3" x14ac:dyDescent="0.35">
      <c r="C34037" s="2"/>
    </row>
    <row r="34038" spans="3:3" x14ac:dyDescent="0.35">
      <c r="C34038" s="2"/>
    </row>
    <row r="34039" spans="3:3" x14ac:dyDescent="0.35">
      <c r="C34039" s="2"/>
    </row>
    <row r="34040" spans="3:3" x14ac:dyDescent="0.35">
      <c r="C34040" s="2"/>
    </row>
    <row r="34041" spans="3:3" x14ac:dyDescent="0.35">
      <c r="C34041" s="2"/>
    </row>
    <row r="34042" spans="3:3" x14ac:dyDescent="0.35">
      <c r="C34042" s="2"/>
    </row>
    <row r="34043" spans="3:3" x14ac:dyDescent="0.35">
      <c r="C34043" s="2"/>
    </row>
    <row r="34044" spans="3:3" x14ac:dyDescent="0.35">
      <c r="C34044" s="2"/>
    </row>
    <row r="34045" spans="3:3" x14ac:dyDescent="0.35">
      <c r="C34045" s="2"/>
    </row>
    <row r="34046" spans="3:3" x14ac:dyDescent="0.35">
      <c r="C34046" s="2"/>
    </row>
    <row r="34047" spans="3:3" x14ac:dyDescent="0.35">
      <c r="C34047" s="2"/>
    </row>
    <row r="34048" spans="3:3" x14ac:dyDescent="0.35">
      <c r="C34048" s="2"/>
    </row>
    <row r="34049" spans="3:3" x14ac:dyDescent="0.35">
      <c r="C34049" s="2"/>
    </row>
    <row r="34050" spans="3:3" x14ac:dyDescent="0.35">
      <c r="C34050" s="2"/>
    </row>
    <row r="34051" spans="3:3" x14ac:dyDescent="0.35">
      <c r="C34051" s="2"/>
    </row>
    <row r="34052" spans="3:3" x14ac:dyDescent="0.35">
      <c r="C34052" s="2"/>
    </row>
    <row r="34053" spans="3:3" x14ac:dyDescent="0.35">
      <c r="C34053" s="2"/>
    </row>
    <row r="34054" spans="3:3" x14ac:dyDescent="0.35">
      <c r="C34054" s="2"/>
    </row>
    <row r="34055" spans="3:3" x14ac:dyDescent="0.35">
      <c r="C34055" s="2"/>
    </row>
    <row r="34056" spans="3:3" x14ac:dyDescent="0.35">
      <c r="C34056" s="2"/>
    </row>
    <row r="34057" spans="3:3" x14ac:dyDescent="0.35">
      <c r="C34057" s="2"/>
    </row>
    <row r="34058" spans="3:3" x14ac:dyDescent="0.35">
      <c r="C34058" s="2"/>
    </row>
    <row r="34059" spans="3:3" x14ac:dyDescent="0.35">
      <c r="C34059" s="2"/>
    </row>
    <row r="34060" spans="3:3" x14ac:dyDescent="0.35">
      <c r="C34060" s="2"/>
    </row>
    <row r="34061" spans="3:3" x14ac:dyDescent="0.35">
      <c r="C34061" s="2"/>
    </row>
    <row r="34062" spans="3:3" x14ac:dyDescent="0.35">
      <c r="C34062" s="2"/>
    </row>
    <row r="34063" spans="3:3" x14ac:dyDescent="0.35">
      <c r="C34063" s="2"/>
    </row>
    <row r="34064" spans="3:3" x14ac:dyDescent="0.35">
      <c r="C34064" s="2"/>
    </row>
    <row r="34065" spans="3:3" x14ac:dyDescent="0.35">
      <c r="C34065" s="2"/>
    </row>
    <row r="34066" spans="3:3" x14ac:dyDescent="0.35">
      <c r="C34066" s="2"/>
    </row>
    <row r="34067" spans="3:3" x14ac:dyDescent="0.35">
      <c r="C34067" s="2"/>
    </row>
    <row r="34068" spans="3:3" x14ac:dyDescent="0.35">
      <c r="C34068" s="2"/>
    </row>
    <row r="34069" spans="3:3" x14ac:dyDescent="0.35">
      <c r="C34069" s="2"/>
    </row>
    <row r="34070" spans="3:3" x14ac:dyDescent="0.35">
      <c r="C34070" s="2"/>
    </row>
    <row r="34071" spans="3:3" x14ac:dyDescent="0.35">
      <c r="C34071" s="2"/>
    </row>
    <row r="34072" spans="3:3" x14ac:dyDescent="0.35">
      <c r="C34072" s="2"/>
    </row>
    <row r="34073" spans="3:3" x14ac:dyDescent="0.35">
      <c r="C34073" s="2"/>
    </row>
    <row r="34074" spans="3:3" x14ac:dyDescent="0.35">
      <c r="C34074" s="2"/>
    </row>
    <row r="34075" spans="3:3" x14ac:dyDescent="0.35">
      <c r="C34075" s="2"/>
    </row>
    <row r="34076" spans="3:3" x14ac:dyDescent="0.35">
      <c r="C34076" s="2"/>
    </row>
    <row r="34077" spans="3:3" x14ac:dyDescent="0.35">
      <c r="C34077" s="2"/>
    </row>
    <row r="34078" spans="3:3" x14ac:dyDescent="0.35">
      <c r="C34078" s="2"/>
    </row>
    <row r="34079" spans="3:3" x14ac:dyDescent="0.35">
      <c r="C34079" s="2"/>
    </row>
    <row r="34080" spans="3:3" x14ac:dyDescent="0.35">
      <c r="C34080" s="2"/>
    </row>
    <row r="34081" spans="3:3" x14ac:dyDescent="0.35">
      <c r="C34081" s="2"/>
    </row>
    <row r="34082" spans="3:3" x14ac:dyDescent="0.35">
      <c r="C34082" s="2"/>
    </row>
    <row r="34083" spans="3:3" x14ac:dyDescent="0.35">
      <c r="C34083" s="2"/>
    </row>
    <row r="34084" spans="3:3" x14ac:dyDescent="0.35">
      <c r="C34084" s="2"/>
    </row>
    <row r="34085" spans="3:3" x14ac:dyDescent="0.35">
      <c r="C34085" s="2"/>
    </row>
    <row r="34086" spans="3:3" x14ac:dyDescent="0.35">
      <c r="C34086" s="2"/>
    </row>
    <row r="34087" spans="3:3" x14ac:dyDescent="0.35">
      <c r="C34087" s="2"/>
    </row>
    <row r="34088" spans="3:3" x14ac:dyDescent="0.35">
      <c r="C34088" s="2"/>
    </row>
    <row r="34089" spans="3:3" x14ac:dyDescent="0.35">
      <c r="C34089" s="2"/>
    </row>
    <row r="34090" spans="3:3" x14ac:dyDescent="0.35">
      <c r="C34090" s="2"/>
    </row>
    <row r="34091" spans="3:3" x14ac:dyDescent="0.35">
      <c r="C34091" s="2"/>
    </row>
    <row r="34092" spans="3:3" x14ac:dyDescent="0.35">
      <c r="C34092" s="2"/>
    </row>
    <row r="34093" spans="3:3" x14ac:dyDescent="0.35">
      <c r="C34093" s="2"/>
    </row>
    <row r="34094" spans="3:3" x14ac:dyDescent="0.35">
      <c r="C34094" s="2"/>
    </row>
    <row r="34095" spans="3:3" x14ac:dyDescent="0.35">
      <c r="C34095" s="2"/>
    </row>
    <row r="34096" spans="3:3" x14ac:dyDescent="0.35">
      <c r="C34096" s="2"/>
    </row>
    <row r="34097" spans="3:3" x14ac:dyDescent="0.35">
      <c r="C34097" s="2"/>
    </row>
    <row r="34098" spans="3:3" x14ac:dyDescent="0.35">
      <c r="C34098" s="2"/>
    </row>
    <row r="34099" spans="3:3" x14ac:dyDescent="0.35">
      <c r="C34099" s="2"/>
    </row>
    <row r="34100" spans="3:3" x14ac:dyDescent="0.35">
      <c r="C34100" s="2"/>
    </row>
    <row r="34101" spans="3:3" x14ac:dyDescent="0.35">
      <c r="C34101" s="2"/>
    </row>
    <row r="34102" spans="3:3" x14ac:dyDescent="0.35">
      <c r="C34102" s="2"/>
    </row>
    <row r="34103" spans="3:3" x14ac:dyDescent="0.35">
      <c r="C34103" s="2"/>
    </row>
    <row r="34104" spans="3:3" x14ac:dyDescent="0.35">
      <c r="C34104" s="2"/>
    </row>
    <row r="34105" spans="3:3" x14ac:dyDescent="0.35">
      <c r="C34105" s="2"/>
    </row>
    <row r="34106" spans="3:3" x14ac:dyDescent="0.35">
      <c r="C34106" s="2"/>
    </row>
    <row r="34107" spans="3:3" x14ac:dyDescent="0.35">
      <c r="C34107" s="2"/>
    </row>
    <row r="34108" spans="3:3" x14ac:dyDescent="0.35">
      <c r="C34108" s="2"/>
    </row>
    <row r="34109" spans="3:3" x14ac:dyDescent="0.35">
      <c r="C34109" s="2"/>
    </row>
    <row r="34110" spans="3:3" x14ac:dyDescent="0.35">
      <c r="C34110" s="2"/>
    </row>
    <row r="34111" spans="3:3" x14ac:dyDescent="0.35">
      <c r="C34111" s="2"/>
    </row>
    <row r="34112" spans="3:3" x14ac:dyDescent="0.35">
      <c r="C34112" s="2"/>
    </row>
    <row r="34113" spans="3:3" x14ac:dyDescent="0.35">
      <c r="C34113" s="2"/>
    </row>
    <row r="34114" spans="3:3" x14ac:dyDescent="0.35">
      <c r="C34114" s="2"/>
    </row>
    <row r="34115" spans="3:3" x14ac:dyDescent="0.35">
      <c r="C34115" s="2"/>
    </row>
    <row r="34116" spans="3:3" x14ac:dyDescent="0.35">
      <c r="C34116" s="2"/>
    </row>
    <row r="34117" spans="3:3" x14ac:dyDescent="0.35">
      <c r="C34117" s="2"/>
    </row>
    <row r="34118" spans="3:3" x14ac:dyDescent="0.35">
      <c r="C34118" s="2"/>
    </row>
    <row r="34119" spans="3:3" x14ac:dyDescent="0.35">
      <c r="C34119" s="2"/>
    </row>
    <row r="34120" spans="3:3" x14ac:dyDescent="0.35">
      <c r="C34120" s="2"/>
    </row>
    <row r="34121" spans="3:3" x14ac:dyDescent="0.35">
      <c r="C34121" s="2"/>
    </row>
    <row r="34122" spans="3:3" x14ac:dyDescent="0.35">
      <c r="C34122" s="2"/>
    </row>
    <row r="34123" spans="3:3" x14ac:dyDescent="0.35">
      <c r="C34123" s="2"/>
    </row>
    <row r="34124" spans="3:3" x14ac:dyDescent="0.35">
      <c r="C34124" s="2"/>
    </row>
    <row r="34125" spans="3:3" x14ac:dyDescent="0.35">
      <c r="C34125" s="2"/>
    </row>
    <row r="34126" spans="3:3" x14ac:dyDescent="0.35">
      <c r="C34126" s="2"/>
    </row>
    <row r="34127" spans="3:3" x14ac:dyDescent="0.35">
      <c r="C34127" s="2"/>
    </row>
    <row r="34128" spans="3:3" x14ac:dyDescent="0.35">
      <c r="C34128" s="2"/>
    </row>
    <row r="34129" spans="3:3" x14ac:dyDescent="0.35">
      <c r="C34129" s="2"/>
    </row>
    <row r="34130" spans="3:3" x14ac:dyDescent="0.35">
      <c r="C34130" s="2"/>
    </row>
    <row r="34131" spans="3:3" x14ac:dyDescent="0.35">
      <c r="C34131" s="2"/>
    </row>
    <row r="34132" spans="3:3" x14ac:dyDescent="0.35">
      <c r="C34132" s="2"/>
    </row>
    <row r="34133" spans="3:3" x14ac:dyDescent="0.35">
      <c r="C34133" s="2"/>
    </row>
    <row r="34134" spans="3:3" x14ac:dyDescent="0.35">
      <c r="C34134" s="2"/>
    </row>
    <row r="34135" spans="3:3" x14ac:dyDescent="0.35">
      <c r="C34135" s="2"/>
    </row>
    <row r="34136" spans="3:3" x14ac:dyDescent="0.35">
      <c r="C34136" s="2"/>
    </row>
    <row r="34137" spans="3:3" x14ac:dyDescent="0.35">
      <c r="C34137" s="2"/>
    </row>
    <row r="34138" spans="3:3" x14ac:dyDescent="0.35">
      <c r="C34138" s="2"/>
    </row>
    <row r="34139" spans="3:3" x14ac:dyDescent="0.35">
      <c r="C34139" s="2"/>
    </row>
    <row r="34140" spans="3:3" x14ac:dyDescent="0.35">
      <c r="C34140" s="2"/>
    </row>
    <row r="34141" spans="3:3" x14ac:dyDescent="0.35">
      <c r="C34141" s="2"/>
    </row>
    <row r="34142" spans="3:3" x14ac:dyDescent="0.35">
      <c r="C34142" s="2"/>
    </row>
    <row r="34143" spans="3:3" x14ac:dyDescent="0.35">
      <c r="C34143" s="2"/>
    </row>
    <row r="34144" spans="3:3" x14ac:dyDescent="0.35">
      <c r="C34144" s="2"/>
    </row>
    <row r="34145" spans="3:3" x14ac:dyDescent="0.35">
      <c r="C34145" s="2"/>
    </row>
    <row r="34146" spans="3:3" x14ac:dyDescent="0.35">
      <c r="C34146" s="2"/>
    </row>
    <row r="34147" spans="3:3" x14ac:dyDescent="0.35">
      <c r="C34147" s="2"/>
    </row>
    <row r="34148" spans="3:3" x14ac:dyDescent="0.35">
      <c r="C34148" s="2"/>
    </row>
    <row r="34149" spans="3:3" x14ac:dyDescent="0.35">
      <c r="C34149" s="2"/>
    </row>
    <row r="34150" spans="3:3" x14ac:dyDescent="0.35">
      <c r="C34150" s="2"/>
    </row>
    <row r="34151" spans="3:3" x14ac:dyDescent="0.35">
      <c r="C34151" s="2"/>
    </row>
    <row r="34152" spans="3:3" x14ac:dyDescent="0.35">
      <c r="C34152" s="2"/>
    </row>
    <row r="34153" spans="3:3" x14ac:dyDescent="0.35">
      <c r="C34153" s="2"/>
    </row>
    <row r="34154" spans="3:3" x14ac:dyDescent="0.35">
      <c r="C34154" s="2"/>
    </row>
    <row r="34155" spans="3:3" x14ac:dyDescent="0.35">
      <c r="C34155" s="2"/>
    </row>
    <row r="34156" spans="3:3" x14ac:dyDescent="0.35">
      <c r="C34156" s="2"/>
    </row>
    <row r="34157" spans="3:3" x14ac:dyDescent="0.35">
      <c r="C34157" s="2"/>
    </row>
    <row r="34158" spans="3:3" x14ac:dyDescent="0.35">
      <c r="C34158" s="2"/>
    </row>
    <row r="34159" spans="3:3" x14ac:dyDescent="0.35">
      <c r="C34159" s="2"/>
    </row>
    <row r="34160" spans="3:3" x14ac:dyDescent="0.35">
      <c r="C34160" s="2"/>
    </row>
    <row r="34161" spans="3:3" x14ac:dyDescent="0.35">
      <c r="C34161" s="2"/>
    </row>
    <row r="34162" spans="3:3" x14ac:dyDescent="0.35">
      <c r="C34162" s="2"/>
    </row>
    <row r="34163" spans="3:3" x14ac:dyDescent="0.35">
      <c r="C34163" s="2"/>
    </row>
    <row r="34164" spans="3:3" x14ac:dyDescent="0.35">
      <c r="C34164" s="2"/>
    </row>
    <row r="34165" spans="3:3" x14ac:dyDescent="0.35">
      <c r="C34165" s="2"/>
    </row>
    <row r="34166" spans="3:3" x14ac:dyDescent="0.35">
      <c r="C34166" s="2"/>
    </row>
    <row r="34167" spans="3:3" x14ac:dyDescent="0.35">
      <c r="C34167" s="2"/>
    </row>
    <row r="34168" spans="3:3" x14ac:dyDescent="0.35">
      <c r="C34168" s="2"/>
    </row>
    <row r="34169" spans="3:3" x14ac:dyDescent="0.35">
      <c r="C34169" s="2"/>
    </row>
    <row r="34170" spans="3:3" x14ac:dyDescent="0.35">
      <c r="C34170" s="2"/>
    </row>
    <row r="34171" spans="3:3" x14ac:dyDescent="0.35">
      <c r="C34171" s="2"/>
    </row>
    <row r="34172" spans="3:3" x14ac:dyDescent="0.35">
      <c r="C34172" s="2"/>
    </row>
    <row r="34173" spans="3:3" x14ac:dyDescent="0.35">
      <c r="C34173" s="2"/>
    </row>
    <row r="34174" spans="3:3" x14ac:dyDescent="0.35">
      <c r="C34174" s="2"/>
    </row>
    <row r="34175" spans="3:3" x14ac:dyDescent="0.35">
      <c r="C34175" s="2"/>
    </row>
    <row r="34176" spans="3:3" x14ac:dyDescent="0.35">
      <c r="C34176" s="2"/>
    </row>
    <row r="34177" spans="3:3" x14ac:dyDescent="0.35">
      <c r="C34177" s="2"/>
    </row>
    <row r="34178" spans="3:3" x14ac:dyDescent="0.35">
      <c r="C34178" s="2"/>
    </row>
    <row r="34179" spans="3:3" x14ac:dyDescent="0.35">
      <c r="C34179" s="2"/>
    </row>
    <row r="34180" spans="3:3" x14ac:dyDescent="0.35">
      <c r="C34180" s="2"/>
    </row>
    <row r="34181" spans="3:3" x14ac:dyDescent="0.35">
      <c r="C34181" s="2"/>
    </row>
    <row r="34182" spans="3:3" x14ac:dyDescent="0.35">
      <c r="C34182" s="2"/>
    </row>
    <row r="34183" spans="3:3" x14ac:dyDescent="0.35">
      <c r="C34183" s="2"/>
    </row>
    <row r="34184" spans="3:3" x14ac:dyDescent="0.35">
      <c r="C34184" s="2"/>
    </row>
    <row r="34185" spans="3:3" x14ac:dyDescent="0.35">
      <c r="C34185" s="2"/>
    </row>
    <row r="34186" spans="3:3" x14ac:dyDescent="0.35">
      <c r="C34186" s="2"/>
    </row>
    <row r="34187" spans="3:3" x14ac:dyDescent="0.35">
      <c r="C34187" s="2"/>
    </row>
    <row r="34188" spans="3:3" x14ac:dyDescent="0.35">
      <c r="C34188" s="2"/>
    </row>
    <row r="34189" spans="3:3" x14ac:dyDescent="0.35">
      <c r="C34189" s="2"/>
    </row>
    <row r="34190" spans="3:3" x14ac:dyDescent="0.35">
      <c r="C34190" s="2"/>
    </row>
    <row r="34191" spans="3:3" x14ac:dyDescent="0.35">
      <c r="C34191" s="2"/>
    </row>
    <row r="34192" spans="3:3" x14ac:dyDescent="0.35">
      <c r="C34192" s="2"/>
    </row>
    <row r="34193" spans="3:3" x14ac:dyDescent="0.35">
      <c r="C34193" s="2"/>
    </row>
    <row r="34194" spans="3:3" x14ac:dyDescent="0.35">
      <c r="C34194" s="2"/>
    </row>
    <row r="34195" spans="3:3" x14ac:dyDescent="0.35">
      <c r="C34195" s="2"/>
    </row>
    <row r="34196" spans="3:3" x14ac:dyDescent="0.35">
      <c r="C34196" s="2"/>
    </row>
    <row r="34197" spans="3:3" x14ac:dyDescent="0.35">
      <c r="C34197" s="2"/>
    </row>
    <row r="34198" spans="3:3" x14ac:dyDescent="0.35">
      <c r="C34198" s="2"/>
    </row>
    <row r="34199" spans="3:3" x14ac:dyDescent="0.35">
      <c r="C34199" s="2"/>
    </row>
    <row r="34200" spans="3:3" x14ac:dyDescent="0.35">
      <c r="C34200" s="2"/>
    </row>
    <row r="34201" spans="3:3" x14ac:dyDescent="0.35">
      <c r="C34201" s="2"/>
    </row>
    <row r="34202" spans="3:3" x14ac:dyDescent="0.35">
      <c r="C34202" s="2"/>
    </row>
    <row r="34203" spans="3:3" x14ac:dyDescent="0.35">
      <c r="C34203" s="2"/>
    </row>
    <row r="34204" spans="3:3" x14ac:dyDescent="0.35">
      <c r="C34204" s="2"/>
    </row>
    <row r="34205" spans="3:3" x14ac:dyDescent="0.35">
      <c r="C34205" s="2"/>
    </row>
    <row r="34206" spans="3:3" x14ac:dyDescent="0.35">
      <c r="C34206" s="2"/>
    </row>
    <row r="34207" spans="3:3" x14ac:dyDescent="0.35">
      <c r="C34207" s="2"/>
    </row>
    <row r="34208" spans="3:3" x14ac:dyDescent="0.35">
      <c r="C34208" s="2"/>
    </row>
    <row r="34209" spans="3:3" x14ac:dyDescent="0.35">
      <c r="C34209" s="2"/>
    </row>
    <row r="34210" spans="3:3" x14ac:dyDescent="0.35">
      <c r="C34210" s="2"/>
    </row>
    <row r="34211" spans="3:3" x14ac:dyDescent="0.35">
      <c r="C34211" s="2"/>
    </row>
    <row r="34212" spans="3:3" x14ac:dyDescent="0.35">
      <c r="C34212" s="2"/>
    </row>
    <row r="34213" spans="3:3" x14ac:dyDescent="0.35">
      <c r="C34213" s="2"/>
    </row>
    <row r="34214" spans="3:3" x14ac:dyDescent="0.35">
      <c r="C34214" s="2"/>
    </row>
    <row r="34215" spans="3:3" x14ac:dyDescent="0.35">
      <c r="C34215" s="2"/>
    </row>
    <row r="34216" spans="3:3" x14ac:dyDescent="0.35">
      <c r="C34216" s="2"/>
    </row>
    <row r="34217" spans="3:3" x14ac:dyDescent="0.35">
      <c r="C34217" s="2"/>
    </row>
    <row r="34218" spans="3:3" x14ac:dyDescent="0.35">
      <c r="C34218" s="2"/>
    </row>
    <row r="34219" spans="3:3" x14ac:dyDescent="0.35">
      <c r="C34219" s="2"/>
    </row>
    <row r="34220" spans="3:3" x14ac:dyDescent="0.35">
      <c r="C34220" s="2"/>
    </row>
    <row r="34221" spans="3:3" x14ac:dyDescent="0.35">
      <c r="C34221" s="2"/>
    </row>
    <row r="34222" spans="3:3" x14ac:dyDescent="0.35">
      <c r="C34222" s="2"/>
    </row>
    <row r="34223" spans="3:3" x14ac:dyDescent="0.35">
      <c r="C34223" s="2"/>
    </row>
    <row r="34224" spans="3:3" x14ac:dyDescent="0.35">
      <c r="C34224" s="2"/>
    </row>
    <row r="34225" spans="3:3" x14ac:dyDescent="0.35">
      <c r="C34225" s="2"/>
    </row>
    <row r="34226" spans="3:3" x14ac:dyDescent="0.35">
      <c r="C34226" s="2"/>
    </row>
    <row r="34227" spans="3:3" x14ac:dyDescent="0.35">
      <c r="C34227" s="2"/>
    </row>
    <row r="34228" spans="3:3" x14ac:dyDescent="0.35">
      <c r="C34228" s="2"/>
    </row>
    <row r="34229" spans="3:3" x14ac:dyDescent="0.35">
      <c r="C34229" s="2"/>
    </row>
    <row r="34230" spans="3:3" x14ac:dyDescent="0.35">
      <c r="C34230" s="2"/>
    </row>
    <row r="34231" spans="3:3" x14ac:dyDescent="0.35">
      <c r="C34231" s="2"/>
    </row>
    <row r="34232" spans="3:3" x14ac:dyDescent="0.35">
      <c r="C34232" s="2"/>
    </row>
    <row r="34233" spans="3:3" x14ac:dyDescent="0.35">
      <c r="C34233" s="2"/>
    </row>
    <row r="34234" spans="3:3" x14ac:dyDescent="0.35">
      <c r="C34234" s="2"/>
    </row>
    <row r="34235" spans="3:3" x14ac:dyDescent="0.35">
      <c r="C34235" s="2"/>
    </row>
    <row r="34236" spans="3:3" x14ac:dyDescent="0.35">
      <c r="C34236" s="2"/>
    </row>
    <row r="34237" spans="3:3" x14ac:dyDescent="0.35">
      <c r="C34237" s="2"/>
    </row>
    <row r="34238" spans="3:3" x14ac:dyDescent="0.35">
      <c r="C34238" s="2"/>
    </row>
    <row r="34239" spans="3:3" x14ac:dyDescent="0.35">
      <c r="C34239" s="2"/>
    </row>
    <row r="34240" spans="3:3" x14ac:dyDescent="0.35">
      <c r="C34240" s="2"/>
    </row>
    <row r="34241" spans="3:3" x14ac:dyDescent="0.35">
      <c r="C34241" s="2"/>
    </row>
    <row r="34242" spans="3:3" x14ac:dyDescent="0.35">
      <c r="C34242" s="2"/>
    </row>
    <row r="34243" spans="3:3" x14ac:dyDescent="0.35">
      <c r="C34243" s="2"/>
    </row>
    <row r="34244" spans="3:3" x14ac:dyDescent="0.35">
      <c r="C34244" s="2"/>
    </row>
    <row r="34245" spans="3:3" x14ac:dyDescent="0.35">
      <c r="C34245" s="2"/>
    </row>
    <row r="34246" spans="3:3" x14ac:dyDescent="0.35">
      <c r="C34246" s="2"/>
    </row>
    <row r="34247" spans="3:3" x14ac:dyDescent="0.35">
      <c r="C34247" s="2"/>
    </row>
    <row r="34248" spans="3:3" x14ac:dyDescent="0.35">
      <c r="C34248" s="2"/>
    </row>
    <row r="34249" spans="3:3" x14ac:dyDescent="0.35">
      <c r="C34249" s="2"/>
    </row>
    <row r="34250" spans="3:3" x14ac:dyDescent="0.35">
      <c r="C34250" s="2"/>
    </row>
    <row r="34251" spans="3:3" x14ac:dyDescent="0.35">
      <c r="C34251" s="2"/>
    </row>
    <row r="34252" spans="3:3" x14ac:dyDescent="0.35">
      <c r="C34252" s="2"/>
    </row>
    <row r="34253" spans="3:3" x14ac:dyDescent="0.35">
      <c r="C34253" s="2"/>
    </row>
    <row r="34254" spans="3:3" x14ac:dyDescent="0.35">
      <c r="C34254" s="2"/>
    </row>
    <row r="34255" spans="3:3" x14ac:dyDescent="0.35">
      <c r="C34255" s="2"/>
    </row>
    <row r="34256" spans="3:3" x14ac:dyDescent="0.35">
      <c r="C34256" s="2"/>
    </row>
    <row r="34257" spans="3:3" x14ac:dyDescent="0.35">
      <c r="C34257" s="2"/>
    </row>
    <row r="34258" spans="3:3" x14ac:dyDescent="0.35">
      <c r="C34258" s="2"/>
    </row>
    <row r="34259" spans="3:3" x14ac:dyDescent="0.35">
      <c r="C34259" s="2"/>
    </row>
    <row r="34260" spans="3:3" x14ac:dyDescent="0.35">
      <c r="C34260" s="2"/>
    </row>
    <row r="34261" spans="3:3" x14ac:dyDescent="0.35">
      <c r="C34261" s="2"/>
    </row>
    <row r="34262" spans="3:3" x14ac:dyDescent="0.35">
      <c r="C34262" s="2"/>
    </row>
    <row r="34263" spans="3:3" x14ac:dyDescent="0.35">
      <c r="C34263" s="2"/>
    </row>
    <row r="34264" spans="3:3" x14ac:dyDescent="0.35">
      <c r="C34264" s="2"/>
    </row>
    <row r="34265" spans="3:3" x14ac:dyDescent="0.35">
      <c r="C34265" s="2"/>
    </row>
    <row r="34266" spans="3:3" x14ac:dyDescent="0.35">
      <c r="C34266" s="2"/>
    </row>
    <row r="34267" spans="3:3" x14ac:dyDescent="0.35">
      <c r="C34267" s="2"/>
    </row>
    <row r="34268" spans="3:3" x14ac:dyDescent="0.35">
      <c r="C34268" s="2"/>
    </row>
    <row r="34269" spans="3:3" x14ac:dyDescent="0.35">
      <c r="C34269" s="2"/>
    </row>
    <row r="34270" spans="3:3" x14ac:dyDescent="0.35">
      <c r="C34270" s="2"/>
    </row>
    <row r="34271" spans="3:3" x14ac:dyDescent="0.35">
      <c r="C34271" s="2"/>
    </row>
    <row r="34272" spans="3:3" x14ac:dyDescent="0.35">
      <c r="C34272" s="2"/>
    </row>
    <row r="34273" spans="3:3" x14ac:dyDescent="0.35">
      <c r="C34273" s="2"/>
    </row>
    <row r="34274" spans="3:3" x14ac:dyDescent="0.35">
      <c r="C34274" s="2"/>
    </row>
    <row r="34275" spans="3:3" x14ac:dyDescent="0.35">
      <c r="C34275" s="2"/>
    </row>
    <row r="34276" spans="3:3" x14ac:dyDescent="0.35">
      <c r="C34276" s="2"/>
    </row>
    <row r="34277" spans="3:3" x14ac:dyDescent="0.35">
      <c r="C34277" s="2"/>
    </row>
    <row r="34278" spans="3:3" x14ac:dyDescent="0.35">
      <c r="C34278" s="2"/>
    </row>
    <row r="34279" spans="3:3" x14ac:dyDescent="0.35">
      <c r="C34279" s="2"/>
    </row>
    <row r="34280" spans="3:3" x14ac:dyDescent="0.35">
      <c r="C34280" s="2"/>
    </row>
    <row r="34281" spans="3:3" x14ac:dyDescent="0.35">
      <c r="C34281" s="2"/>
    </row>
    <row r="34282" spans="3:3" x14ac:dyDescent="0.35">
      <c r="C34282" s="2"/>
    </row>
    <row r="34283" spans="3:3" x14ac:dyDescent="0.35">
      <c r="C34283" s="2"/>
    </row>
    <row r="34284" spans="3:3" x14ac:dyDescent="0.35">
      <c r="C34284" s="2"/>
    </row>
    <row r="34285" spans="3:3" x14ac:dyDescent="0.35">
      <c r="C34285" s="2"/>
    </row>
    <row r="34286" spans="3:3" x14ac:dyDescent="0.35">
      <c r="C34286" s="2"/>
    </row>
    <row r="34287" spans="3:3" x14ac:dyDescent="0.35">
      <c r="C34287" s="2"/>
    </row>
    <row r="34288" spans="3:3" x14ac:dyDescent="0.35">
      <c r="C34288" s="2"/>
    </row>
    <row r="34289" spans="3:3" x14ac:dyDescent="0.35">
      <c r="C34289" s="2"/>
    </row>
    <row r="34290" spans="3:3" x14ac:dyDescent="0.35">
      <c r="C34290" s="2"/>
    </row>
    <row r="34291" spans="3:3" x14ac:dyDescent="0.35">
      <c r="C34291" s="2"/>
    </row>
    <row r="34292" spans="3:3" x14ac:dyDescent="0.35">
      <c r="C34292" s="2"/>
    </row>
    <row r="34293" spans="3:3" x14ac:dyDescent="0.35">
      <c r="C34293" s="2"/>
    </row>
    <row r="34294" spans="3:3" x14ac:dyDescent="0.35">
      <c r="C34294" s="2"/>
    </row>
    <row r="34295" spans="3:3" x14ac:dyDescent="0.35">
      <c r="C34295" s="2"/>
    </row>
    <row r="34296" spans="3:3" x14ac:dyDescent="0.35">
      <c r="C34296" s="2"/>
    </row>
    <row r="34297" spans="3:3" x14ac:dyDescent="0.35">
      <c r="C34297" s="2"/>
    </row>
    <row r="34298" spans="3:3" x14ac:dyDescent="0.35">
      <c r="C34298" s="2"/>
    </row>
    <row r="34299" spans="3:3" x14ac:dyDescent="0.35">
      <c r="C34299" s="2"/>
    </row>
    <row r="34300" spans="3:3" x14ac:dyDescent="0.35">
      <c r="C34300" s="2"/>
    </row>
    <row r="34301" spans="3:3" x14ac:dyDescent="0.35">
      <c r="C34301" s="2"/>
    </row>
    <row r="34302" spans="3:3" x14ac:dyDescent="0.35">
      <c r="C34302" s="2"/>
    </row>
    <row r="34303" spans="3:3" x14ac:dyDescent="0.35">
      <c r="C34303" s="2"/>
    </row>
    <row r="34304" spans="3:3" x14ac:dyDescent="0.35">
      <c r="C34304" s="2"/>
    </row>
    <row r="34305" spans="3:3" x14ac:dyDescent="0.35">
      <c r="C34305" s="2"/>
    </row>
    <row r="34306" spans="3:3" x14ac:dyDescent="0.35">
      <c r="C34306" s="2"/>
    </row>
    <row r="34307" spans="3:3" x14ac:dyDescent="0.35">
      <c r="C34307" s="2"/>
    </row>
    <row r="34308" spans="3:3" x14ac:dyDescent="0.35">
      <c r="C34308" s="2"/>
    </row>
    <row r="34309" spans="3:3" x14ac:dyDescent="0.35">
      <c r="C34309" s="2"/>
    </row>
    <row r="34310" spans="3:3" x14ac:dyDescent="0.35">
      <c r="C34310" s="2"/>
    </row>
    <row r="34311" spans="3:3" x14ac:dyDescent="0.35">
      <c r="C34311" s="2"/>
    </row>
    <row r="34312" spans="3:3" x14ac:dyDescent="0.35">
      <c r="C34312" s="2"/>
    </row>
    <row r="34313" spans="3:3" x14ac:dyDescent="0.35">
      <c r="C34313" s="2"/>
    </row>
    <row r="34314" spans="3:3" x14ac:dyDescent="0.35">
      <c r="C34314" s="2"/>
    </row>
    <row r="34315" spans="3:3" x14ac:dyDescent="0.35">
      <c r="C34315" s="2"/>
    </row>
    <row r="34316" spans="3:3" x14ac:dyDescent="0.35">
      <c r="C34316" s="2"/>
    </row>
    <row r="34317" spans="3:3" x14ac:dyDescent="0.35">
      <c r="C34317" s="2"/>
    </row>
    <row r="34318" spans="3:3" x14ac:dyDescent="0.35">
      <c r="C34318" s="2"/>
    </row>
    <row r="34319" spans="3:3" x14ac:dyDescent="0.35">
      <c r="C34319" s="2"/>
    </row>
    <row r="34320" spans="3:3" x14ac:dyDescent="0.35">
      <c r="C34320" s="2"/>
    </row>
    <row r="34321" spans="3:3" x14ac:dyDescent="0.35">
      <c r="C34321" s="2"/>
    </row>
    <row r="34322" spans="3:3" x14ac:dyDescent="0.35">
      <c r="C34322" s="2"/>
    </row>
    <row r="34323" spans="3:3" x14ac:dyDescent="0.35">
      <c r="C34323" s="2"/>
    </row>
    <row r="34324" spans="3:3" x14ac:dyDescent="0.35">
      <c r="C34324" s="2"/>
    </row>
    <row r="34325" spans="3:3" x14ac:dyDescent="0.35">
      <c r="C34325" s="2"/>
    </row>
    <row r="34326" spans="3:3" x14ac:dyDescent="0.35">
      <c r="C34326" s="2"/>
    </row>
    <row r="34327" spans="3:3" x14ac:dyDescent="0.35">
      <c r="C34327" s="2"/>
    </row>
    <row r="34328" spans="3:3" x14ac:dyDescent="0.35">
      <c r="C34328" s="2"/>
    </row>
    <row r="34329" spans="3:3" x14ac:dyDescent="0.35">
      <c r="C34329" s="2"/>
    </row>
    <row r="34330" spans="3:3" x14ac:dyDescent="0.35">
      <c r="C34330" s="2"/>
    </row>
    <row r="34331" spans="3:3" x14ac:dyDescent="0.35">
      <c r="C34331" s="2"/>
    </row>
    <row r="34332" spans="3:3" x14ac:dyDescent="0.35">
      <c r="C34332" s="2"/>
    </row>
    <row r="34333" spans="3:3" x14ac:dyDescent="0.35">
      <c r="C34333" s="2"/>
    </row>
    <row r="34334" spans="3:3" x14ac:dyDescent="0.35">
      <c r="C34334" s="2"/>
    </row>
    <row r="34335" spans="3:3" x14ac:dyDescent="0.35">
      <c r="C34335" s="2"/>
    </row>
    <row r="34336" spans="3:3" x14ac:dyDescent="0.35">
      <c r="C34336" s="2"/>
    </row>
    <row r="34337" spans="3:3" x14ac:dyDescent="0.35">
      <c r="C34337" s="2"/>
    </row>
    <row r="34338" spans="3:3" x14ac:dyDescent="0.35">
      <c r="C34338" s="2"/>
    </row>
    <row r="34339" spans="3:3" x14ac:dyDescent="0.35">
      <c r="C34339" s="2"/>
    </row>
    <row r="34340" spans="3:3" x14ac:dyDescent="0.35">
      <c r="C34340" s="2"/>
    </row>
    <row r="34341" spans="3:3" x14ac:dyDescent="0.35">
      <c r="C34341" s="2"/>
    </row>
    <row r="34342" spans="3:3" x14ac:dyDescent="0.35">
      <c r="C34342" s="2"/>
    </row>
    <row r="34343" spans="3:3" x14ac:dyDescent="0.35">
      <c r="C34343" s="2"/>
    </row>
    <row r="34344" spans="3:3" x14ac:dyDescent="0.35">
      <c r="C34344" s="2"/>
    </row>
    <row r="34345" spans="3:3" x14ac:dyDescent="0.35">
      <c r="C34345" s="2"/>
    </row>
    <row r="34346" spans="3:3" x14ac:dyDescent="0.35">
      <c r="C34346" s="2"/>
    </row>
    <row r="34347" spans="3:3" x14ac:dyDescent="0.35">
      <c r="C34347" s="2"/>
    </row>
    <row r="34348" spans="3:3" x14ac:dyDescent="0.35">
      <c r="C34348" s="2"/>
    </row>
    <row r="34349" spans="3:3" x14ac:dyDescent="0.35">
      <c r="C34349" s="2"/>
    </row>
    <row r="34350" spans="3:3" x14ac:dyDescent="0.35">
      <c r="C34350" s="2"/>
    </row>
    <row r="34351" spans="3:3" x14ac:dyDescent="0.35">
      <c r="C34351" s="2"/>
    </row>
    <row r="34352" spans="3:3" x14ac:dyDescent="0.35">
      <c r="C34352" s="2"/>
    </row>
    <row r="34353" spans="3:3" x14ac:dyDescent="0.35">
      <c r="C34353" s="2"/>
    </row>
    <row r="34354" spans="3:3" x14ac:dyDescent="0.35">
      <c r="C34354" s="2"/>
    </row>
    <row r="34355" spans="3:3" x14ac:dyDescent="0.35">
      <c r="C34355" s="2"/>
    </row>
    <row r="34356" spans="3:3" x14ac:dyDescent="0.35">
      <c r="C34356" s="2"/>
    </row>
    <row r="34357" spans="3:3" x14ac:dyDescent="0.35">
      <c r="C34357" s="2"/>
    </row>
    <row r="34358" spans="3:3" x14ac:dyDescent="0.35">
      <c r="C34358" s="2"/>
    </row>
    <row r="34359" spans="3:3" x14ac:dyDescent="0.35">
      <c r="C34359" s="2"/>
    </row>
    <row r="34360" spans="3:3" x14ac:dyDescent="0.35">
      <c r="C34360" s="2"/>
    </row>
    <row r="34361" spans="3:3" x14ac:dyDescent="0.35">
      <c r="C34361" s="2"/>
    </row>
    <row r="34362" spans="3:3" x14ac:dyDescent="0.35">
      <c r="C34362" s="2"/>
    </row>
    <row r="34363" spans="3:3" x14ac:dyDescent="0.35">
      <c r="C34363" s="2"/>
    </row>
    <row r="34364" spans="3:3" x14ac:dyDescent="0.35">
      <c r="C34364" s="2"/>
    </row>
    <row r="34365" spans="3:3" x14ac:dyDescent="0.35">
      <c r="C34365" s="2"/>
    </row>
    <row r="34366" spans="3:3" x14ac:dyDescent="0.35">
      <c r="C34366" s="2"/>
    </row>
    <row r="34367" spans="3:3" x14ac:dyDescent="0.35">
      <c r="C34367" s="2"/>
    </row>
    <row r="34368" spans="3:3" x14ac:dyDescent="0.35">
      <c r="C34368" s="2"/>
    </row>
    <row r="34369" spans="3:3" x14ac:dyDescent="0.35">
      <c r="C34369" s="2"/>
    </row>
    <row r="34370" spans="3:3" x14ac:dyDescent="0.35">
      <c r="C34370" s="2"/>
    </row>
    <row r="34371" spans="3:3" x14ac:dyDescent="0.35">
      <c r="C34371" s="2"/>
    </row>
    <row r="34372" spans="3:3" x14ac:dyDescent="0.35">
      <c r="C34372" s="2"/>
    </row>
    <row r="34373" spans="3:3" x14ac:dyDescent="0.35">
      <c r="C34373" s="2"/>
    </row>
    <row r="34374" spans="3:3" x14ac:dyDescent="0.35">
      <c r="C34374" s="2"/>
    </row>
    <row r="34375" spans="3:3" x14ac:dyDescent="0.35">
      <c r="C34375" s="2"/>
    </row>
    <row r="34376" spans="3:3" x14ac:dyDescent="0.35">
      <c r="C34376" s="2"/>
    </row>
    <row r="34377" spans="3:3" x14ac:dyDescent="0.35">
      <c r="C34377" s="2"/>
    </row>
    <row r="34378" spans="3:3" x14ac:dyDescent="0.35">
      <c r="C34378" s="2"/>
    </row>
    <row r="34379" spans="3:3" x14ac:dyDescent="0.35">
      <c r="C34379" s="2"/>
    </row>
    <row r="34380" spans="3:3" x14ac:dyDescent="0.35">
      <c r="C34380" s="2"/>
    </row>
    <row r="34381" spans="3:3" x14ac:dyDescent="0.35">
      <c r="C34381" s="2"/>
    </row>
    <row r="34382" spans="3:3" x14ac:dyDescent="0.35">
      <c r="C34382" s="2"/>
    </row>
    <row r="34383" spans="3:3" x14ac:dyDescent="0.35">
      <c r="C34383" s="2"/>
    </row>
    <row r="34384" spans="3:3" x14ac:dyDescent="0.35">
      <c r="C34384" s="2"/>
    </row>
    <row r="34385" spans="3:3" x14ac:dyDescent="0.35">
      <c r="C34385" s="2"/>
    </row>
    <row r="34386" spans="3:3" x14ac:dyDescent="0.35">
      <c r="C34386" s="2"/>
    </row>
    <row r="34387" spans="3:3" x14ac:dyDescent="0.35">
      <c r="C34387" s="2"/>
    </row>
    <row r="34388" spans="3:3" x14ac:dyDescent="0.35">
      <c r="C34388" s="2"/>
    </row>
    <row r="34389" spans="3:3" x14ac:dyDescent="0.35">
      <c r="C34389" s="2"/>
    </row>
    <row r="34390" spans="3:3" x14ac:dyDescent="0.35">
      <c r="C34390" s="2"/>
    </row>
    <row r="34391" spans="3:3" x14ac:dyDescent="0.35">
      <c r="C34391" s="2"/>
    </row>
    <row r="34392" spans="3:3" x14ac:dyDescent="0.35">
      <c r="C34392" s="2"/>
    </row>
    <row r="34393" spans="3:3" x14ac:dyDescent="0.35">
      <c r="C34393" s="2"/>
    </row>
    <row r="34394" spans="3:3" x14ac:dyDescent="0.35">
      <c r="C34394" s="2"/>
    </row>
    <row r="34395" spans="3:3" x14ac:dyDescent="0.35">
      <c r="C34395" s="2"/>
    </row>
    <row r="34396" spans="3:3" x14ac:dyDescent="0.35">
      <c r="C34396" s="2"/>
    </row>
    <row r="34397" spans="3:3" x14ac:dyDescent="0.35">
      <c r="C34397" s="2"/>
    </row>
    <row r="34398" spans="3:3" x14ac:dyDescent="0.35">
      <c r="C34398" s="2"/>
    </row>
    <row r="34399" spans="3:3" x14ac:dyDescent="0.35">
      <c r="C34399" s="2"/>
    </row>
    <row r="34400" spans="3:3" x14ac:dyDescent="0.35">
      <c r="C34400" s="2"/>
    </row>
    <row r="34401" spans="3:3" x14ac:dyDescent="0.35">
      <c r="C34401" s="2"/>
    </row>
    <row r="34402" spans="3:3" x14ac:dyDescent="0.35">
      <c r="C34402" s="2"/>
    </row>
    <row r="34403" spans="3:3" x14ac:dyDescent="0.35">
      <c r="C34403" s="2"/>
    </row>
    <row r="34404" spans="3:3" x14ac:dyDescent="0.35">
      <c r="C34404" s="2"/>
    </row>
    <row r="34405" spans="3:3" x14ac:dyDescent="0.35">
      <c r="C34405" s="2"/>
    </row>
    <row r="34406" spans="3:3" x14ac:dyDescent="0.35">
      <c r="C34406" s="2"/>
    </row>
    <row r="34407" spans="3:3" x14ac:dyDescent="0.35">
      <c r="C34407" s="2"/>
    </row>
    <row r="34408" spans="3:3" x14ac:dyDescent="0.35">
      <c r="C34408" s="2"/>
    </row>
    <row r="34409" spans="3:3" x14ac:dyDescent="0.35">
      <c r="C34409" s="2"/>
    </row>
    <row r="34410" spans="3:3" x14ac:dyDescent="0.35">
      <c r="C34410" s="2"/>
    </row>
    <row r="34411" spans="3:3" x14ac:dyDescent="0.35">
      <c r="C34411" s="2"/>
    </row>
    <row r="34412" spans="3:3" x14ac:dyDescent="0.35">
      <c r="C34412" s="2"/>
    </row>
    <row r="34413" spans="3:3" x14ac:dyDescent="0.35">
      <c r="C34413" s="2"/>
    </row>
    <row r="34414" spans="3:3" x14ac:dyDescent="0.35">
      <c r="C34414" s="2"/>
    </row>
    <row r="34415" spans="3:3" x14ac:dyDescent="0.35">
      <c r="C34415" s="2"/>
    </row>
    <row r="34416" spans="3:3" x14ac:dyDescent="0.35">
      <c r="C34416" s="2"/>
    </row>
    <row r="34417" spans="3:3" x14ac:dyDescent="0.35">
      <c r="C34417" s="2"/>
    </row>
    <row r="34418" spans="3:3" x14ac:dyDescent="0.35">
      <c r="C34418" s="2"/>
    </row>
    <row r="34419" spans="3:3" x14ac:dyDescent="0.35">
      <c r="C34419" s="2"/>
    </row>
    <row r="34420" spans="3:3" x14ac:dyDescent="0.35">
      <c r="C34420" s="2"/>
    </row>
    <row r="34421" spans="3:3" x14ac:dyDescent="0.35">
      <c r="C34421" s="2"/>
    </row>
    <row r="34422" spans="3:3" x14ac:dyDescent="0.35">
      <c r="C34422" s="2"/>
    </row>
    <row r="34423" spans="3:3" x14ac:dyDescent="0.35">
      <c r="C34423" s="2"/>
    </row>
    <row r="34424" spans="3:3" x14ac:dyDescent="0.35">
      <c r="C34424" s="2"/>
    </row>
    <row r="34425" spans="3:3" x14ac:dyDescent="0.35">
      <c r="C34425" s="2"/>
    </row>
    <row r="34426" spans="3:3" x14ac:dyDescent="0.35">
      <c r="C34426" s="2"/>
    </row>
    <row r="34427" spans="3:3" x14ac:dyDescent="0.35">
      <c r="C34427" s="2"/>
    </row>
    <row r="34428" spans="3:3" x14ac:dyDescent="0.35">
      <c r="C34428" s="2"/>
    </row>
    <row r="34429" spans="3:3" x14ac:dyDescent="0.35">
      <c r="C34429" s="2"/>
    </row>
    <row r="34430" spans="3:3" x14ac:dyDescent="0.35">
      <c r="C34430" s="2"/>
    </row>
    <row r="34431" spans="3:3" x14ac:dyDescent="0.35">
      <c r="C34431" s="2"/>
    </row>
    <row r="34432" spans="3:3" x14ac:dyDescent="0.35">
      <c r="C34432" s="2"/>
    </row>
    <row r="34433" spans="3:3" x14ac:dyDescent="0.35">
      <c r="C34433" s="2"/>
    </row>
    <row r="34434" spans="3:3" x14ac:dyDescent="0.35">
      <c r="C34434" s="2"/>
    </row>
    <row r="34435" spans="3:3" x14ac:dyDescent="0.35">
      <c r="C34435" s="2"/>
    </row>
    <row r="34436" spans="3:3" x14ac:dyDescent="0.35">
      <c r="C34436" s="2"/>
    </row>
    <row r="34437" spans="3:3" x14ac:dyDescent="0.35">
      <c r="C34437" s="2"/>
    </row>
    <row r="34438" spans="3:3" x14ac:dyDescent="0.35">
      <c r="C34438" s="2"/>
    </row>
    <row r="34439" spans="3:3" x14ac:dyDescent="0.35">
      <c r="C34439" s="2"/>
    </row>
    <row r="34440" spans="3:3" x14ac:dyDescent="0.35">
      <c r="C34440" s="2"/>
    </row>
    <row r="34441" spans="3:3" x14ac:dyDescent="0.35">
      <c r="C34441" s="2"/>
    </row>
    <row r="34442" spans="3:3" x14ac:dyDescent="0.35">
      <c r="C34442" s="2"/>
    </row>
    <row r="34443" spans="3:3" x14ac:dyDescent="0.35">
      <c r="C34443" s="2"/>
    </row>
    <row r="34444" spans="3:3" x14ac:dyDescent="0.35">
      <c r="C34444" s="2"/>
    </row>
    <row r="34445" spans="3:3" x14ac:dyDescent="0.35">
      <c r="C34445" s="2"/>
    </row>
    <row r="34446" spans="3:3" x14ac:dyDescent="0.35">
      <c r="C34446" s="2"/>
    </row>
    <row r="34447" spans="3:3" x14ac:dyDescent="0.35">
      <c r="C34447" s="2"/>
    </row>
    <row r="34448" spans="3:3" x14ac:dyDescent="0.35">
      <c r="C34448" s="2"/>
    </row>
    <row r="34449" spans="3:3" x14ac:dyDescent="0.35">
      <c r="C34449" s="2"/>
    </row>
    <row r="34450" spans="3:3" x14ac:dyDescent="0.35">
      <c r="C34450" s="2"/>
    </row>
    <row r="34451" spans="3:3" x14ac:dyDescent="0.35">
      <c r="C34451" s="2"/>
    </row>
    <row r="34452" spans="3:3" x14ac:dyDescent="0.35">
      <c r="C34452" s="2"/>
    </row>
    <row r="34453" spans="3:3" x14ac:dyDescent="0.35">
      <c r="C34453" s="2"/>
    </row>
    <row r="34454" spans="3:3" x14ac:dyDescent="0.35">
      <c r="C34454" s="2"/>
    </row>
    <row r="34455" spans="3:3" x14ac:dyDescent="0.35">
      <c r="C34455" s="2"/>
    </row>
    <row r="34456" spans="3:3" x14ac:dyDescent="0.35">
      <c r="C34456" s="2"/>
    </row>
    <row r="34457" spans="3:3" x14ac:dyDescent="0.35">
      <c r="C34457" s="2"/>
    </row>
    <row r="34458" spans="3:3" x14ac:dyDescent="0.35">
      <c r="C34458" s="2"/>
    </row>
    <row r="34459" spans="3:3" x14ac:dyDescent="0.35">
      <c r="C34459" s="2"/>
    </row>
    <row r="34460" spans="3:3" x14ac:dyDescent="0.35">
      <c r="C34460" s="2"/>
    </row>
    <row r="34461" spans="3:3" x14ac:dyDescent="0.35">
      <c r="C34461" s="2"/>
    </row>
    <row r="34462" spans="3:3" x14ac:dyDescent="0.35">
      <c r="C34462" s="2"/>
    </row>
    <row r="34463" spans="3:3" x14ac:dyDescent="0.35">
      <c r="C34463" s="2"/>
    </row>
    <row r="34464" spans="3:3" x14ac:dyDescent="0.35">
      <c r="C34464" s="2"/>
    </row>
    <row r="34465" spans="3:3" x14ac:dyDescent="0.35">
      <c r="C34465" s="2"/>
    </row>
    <row r="34466" spans="3:3" x14ac:dyDescent="0.35">
      <c r="C34466" s="2"/>
    </row>
    <row r="34467" spans="3:3" x14ac:dyDescent="0.35">
      <c r="C34467" s="2"/>
    </row>
    <row r="34468" spans="3:3" x14ac:dyDescent="0.35">
      <c r="C34468" s="2"/>
    </row>
    <row r="34469" spans="3:3" x14ac:dyDescent="0.35">
      <c r="C34469" s="2"/>
    </row>
    <row r="34470" spans="3:3" x14ac:dyDescent="0.35">
      <c r="C34470" s="2"/>
    </row>
    <row r="34471" spans="3:3" x14ac:dyDescent="0.35">
      <c r="C34471" s="2"/>
    </row>
    <row r="34472" spans="3:3" x14ac:dyDescent="0.35">
      <c r="C34472" s="2"/>
    </row>
    <row r="34473" spans="3:3" x14ac:dyDescent="0.35">
      <c r="C34473" s="2"/>
    </row>
    <row r="34474" spans="3:3" x14ac:dyDescent="0.35">
      <c r="C34474" s="2"/>
    </row>
    <row r="34475" spans="3:3" x14ac:dyDescent="0.35">
      <c r="C34475" s="2"/>
    </row>
    <row r="34476" spans="3:3" x14ac:dyDescent="0.35">
      <c r="C34476" s="2"/>
    </row>
    <row r="34477" spans="3:3" x14ac:dyDescent="0.35">
      <c r="C34477" s="2"/>
    </row>
    <row r="34478" spans="3:3" x14ac:dyDescent="0.35">
      <c r="C34478" s="2"/>
    </row>
    <row r="34479" spans="3:3" x14ac:dyDescent="0.35">
      <c r="C34479" s="2"/>
    </row>
    <row r="34480" spans="3:3" x14ac:dyDescent="0.35">
      <c r="C34480" s="2"/>
    </row>
    <row r="34481" spans="3:3" x14ac:dyDescent="0.35">
      <c r="C34481" s="2"/>
    </row>
    <row r="34482" spans="3:3" x14ac:dyDescent="0.35">
      <c r="C34482" s="2"/>
    </row>
    <row r="34483" spans="3:3" x14ac:dyDescent="0.35">
      <c r="C34483" s="2"/>
    </row>
    <row r="34484" spans="3:3" x14ac:dyDescent="0.35">
      <c r="C34484" s="2"/>
    </row>
    <row r="34485" spans="3:3" x14ac:dyDescent="0.35">
      <c r="C34485" s="2"/>
    </row>
    <row r="34486" spans="3:3" x14ac:dyDescent="0.35">
      <c r="C34486" s="2"/>
    </row>
    <row r="34487" spans="3:3" x14ac:dyDescent="0.35">
      <c r="C34487" s="2"/>
    </row>
    <row r="34488" spans="3:3" x14ac:dyDescent="0.35">
      <c r="C34488" s="2"/>
    </row>
    <row r="34489" spans="3:3" x14ac:dyDescent="0.35">
      <c r="C34489" s="2"/>
    </row>
    <row r="34490" spans="3:3" x14ac:dyDescent="0.35">
      <c r="C34490" s="2"/>
    </row>
    <row r="34491" spans="3:3" x14ac:dyDescent="0.35">
      <c r="C34491" s="2"/>
    </row>
    <row r="34492" spans="3:3" x14ac:dyDescent="0.35">
      <c r="C34492" s="2"/>
    </row>
    <row r="34493" spans="3:3" x14ac:dyDescent="0.35">
      <c r="C34493" s="2"/>
    </row>
    <row r="34494" spans="3:3" x14ac:dyDescent="0.35">
      <c r="C34494" s="2"/>
    </row>
    <row r="34495" spans="3:3" x14ac:dyDescent="0.35">
      <c r="C34495" s="2"/>
    </row>
    <row r="34496" spans="3:3" x14ac:dyDescent="0.35">
      <c r="C34496" s="2"/>
    </row>
    <row r="34497" spans="3:3" x14ac:dyDescent="0.35">
      <c r="C34497" s="2"/>
    </row>
    <row r="34498" spans="3:3" x14ac:dyDescent="0.35">
      <c r="C34498" s="2"/>
    </row>
    <row r="34499" spans="3:3" x14ac:dyDescent="0.35">
      <c r="C34499" s="2"/>
    </row>
    <row r="34500" spans="3:3" x14ac:dyDescent="0.35">
      <c r="C34500" s="2"/>
    </row>
    <row r="34501" spans="3:3" x14ac:dyDescent="0.35">
      <c r="C34501" s="2"/>
    </row>
    <row r="34502" spans="3:3" x14ac:dyDescent="0.35">
      <c r="C34502" s="2"/>
    </row>
    <row r="34503" spans="3:3" x14ac:dyDescent="0.35">
      <c r="C34503" s="2"/>
    </row>
    <row r="34504" spans="3:3" x14ac:dyDescent="0.35">
      <c r="C34504" s="2"/>
    </row>
    <row r="34505" spans="3:3" x14ac:dyDescent="0.35">
      <c r="C34505" s="2"/>
    </row>
    <row r="34506" spans="3:3" x14ac:dyDescent="0.35">
      <c r="C34506" s="2"/>
    </row>
    <row r="34507" spans="3:3" x14ac:dyDescent="0.35">
      <c r="C34507" s="2"/>
    </row>
    <row r="34508" spans="3:3" x14ac:dyDescent="0.35">
      <c r="C34508" s="2"/>
    </row>
    <row r="34509" spans="3:3" x14ac:dyDescent="0.35">
      <c r="C34509" s="2"/>
    </row>
    <row r="34510" spans="3:3" x14ac:dyDescent="0.35">
      <c r="C34510" s="2"/>
    </row>
    <row r="34511" spans="3:3" x14ac:dyDescent="0.35">
      <c r="C34511" s="2"/>
    </row>
    <row r="34512" spans="3:3" x14ac:dyDescent="0.35">
      <c r="C34512" s="2"/>
    </row>
    <row r="34513" spans="3:3" x14ac:dyDescent="0.35">
      <c r="C34513" s="2"/>
    </row>
    <row r="34514" spans="3:3" x14ac:dyDescent="0.35">
      <c r="C34514" s="2"/>
    </row>
    <row r="34515" spans="3:3" x14ac:dyDescent="0.35">
      <c r="C34515" s="2"/>
    </row>
    <row r="34516" spans="3:3" x14ac:dyDescent="0.35">
      <c r="C34516" s="2"/>
    </row>
    <row r="34517" spans="3:3" x14ac:dyDescent="0.35">
      <c r="C34517" s="2"/>
    </row>
    <row r="34518" spans="3:3" x14ac:dyDescent="0.35">
      <c r="C34518" s="2"/>
    </row>
    <row r="34519" spans="3:3" x14ac:dyDescent="0.35">
      <c r="C34519" s="2"/>
    </row>
    <row r="34520" spans="3:3" x14ac:dyDescent="0.35">
      <c r="C34520" s="2"/>
    </row>
    <row r="34521" spans="3:3" x14ac:dyDescent="0.35">
      <c r="C34521" s="2"/>
    </row>
    <row r="34522" spans="3:3" x14ac:dyDescent="0.35">
      <c r="C34522" s="2"/>
    </row>
    <row r="34523" spans="3:3" x14ac:dyDescent="0.35">
      <c r="C34523" s="2"/>
    </row>
    <row r="34524" spans="3:3" x14ac:dyDescent="0.35">
      <c r="C34524" s="2"/>
    </row>
    <row r="34525" spans="3:3" x14ac:dyDescent="0.35">
      <c r="C34525" s="2"/>
    </row>
    <row r="34526" spans="3:3" x14ac:dyDescent="0.35">
      <c r="C34526" s="2"/>
    </row>
    <row r="34527" spans="3:3" x14ac:dyDescent="0.35">
      <c r="C34527" s="2"/>
    </row>
    <row r="34528" spans="3:3" x14ac:dyDescent="0.35">
      <c r="C34528" s="2"/>
    </row>
    <row r="34529" spans="3:3" x14ac:dyDescent="0.35">
      <c r="C34529" s="2"/>
    </row>
    <row r="34530" spans="3:3" x14ac:dyDescent="0.35">
      <c r="C34530" s="2"/>
    </row>
    <row r="34531" spans="3:3" x14ac:dyDescent="0.35">
      <c r="C34531" s="2"/>
    </row>
    <row r="34532" spans="3:3" x14ac:dyDescent="0.35">
      <c r="C34532" s="2"/>
    </row>
    <row r="34533" spans="3:3" x14ac:dyDescent="0.35">
      <c r="C34533" s="2"/>
    </row>
    <row r="34534" spans="3:3" x14ac:dyDescent="0.35">
      <c r="C34534" s="2"/>
    </row>
    <row r="34535" spans="3:3" x14ac:dyDescent="0.35">
      <c r="C34535" s="2"/>
    </row>
    <row r="34536" spans="3:3" x14ac:dyDescent="0.35">
      <c r="C34536" s="2"/>
    </row>
    <row r="34537" spans="3:3" x14ac:dyDescent="0.35">
      <c r="C34537" s="2"/>
    </row>
    <row r="34538" spans="3:3" x14ac:dyDescent="0.35">
      <c r="C34538" s="2"/>
    </row>
    <row r="34539" spans="3:3" x14ac:dyDescent="0.35">
      <c r="C34539" s="2"/>
    </row>
    <row r="34540" spans="3:3" x14ac:dyDescent="0.35">
      <c r="C34540" s="2"/>
    </row>
    <row r="34541" spans="3:3" x14ac:dyDescent="0.35">
      <c r="C34541" s="2"/>
    </row>
    <row r="34542" spans="3:3" x14ac:dyDescent="0.35">
      <c r="C34542" s="2"/>
    </row>
    <row r="34543" spans="3:3" x14ac:dyDescent="0.35">
      <c r="C34543" s="2"/>
    </row>
    <row r="34544" spans="3:3" x14ac:dyDescent="0.35">
      <c r="C34544" s="2"/>
    </row>
    <row r="34545" spans="3:3" x14ac:dyDescent="0.35">
      <c r="C34545" s="2"/>
    </row>
    <row r="34546" spans="3:3" x14ac:dyDescent="0.35">
      <c r="C34546" s="2"/>
    </row>
    <row r="34547" spans="3:3" x14ac:dyDescent="0.35">
      <c r="C34547" s="2"/>
    </row>
    <row r="34548" spans="3:3" x14ac:dyDescent="0.35">
      <c r="C34548" s="2"/>
    </row>
    <row r="34549" spans="3:3" x14ac:dyDescent="0.35">
      <c r="C34549" s="2"/>
    </row>
    <row r="34550" spans="3:3" x14ac:dyDescent="0.35">
      <c r="C34550" s="2"/>
    </row>
    <row r="34551" spans="3:3" x14ac:dyDescent="0.35">
      <c r="C34551" s="2"/>
    </row>
    <row r="34552" spans="3:3" x14ac:dyDescent="0.35">
      <c r="C34552" s="2"/>
    </row>
    <row r="34553" spans="3:3" x14ac:dyDescent="0.35">
      <c r="C34553" s="2"/>
    </row>
    <row r="34554" spans="3:3" x14ac:dyDescent="0.35">
      <c r="C34554" s="2"/>
    </row>
    <row r="34555" spans="3:3" x14ac:dyDescent="0.35">
      <c r="C34555" s="2"/>
    </row>
    <row r="34556" spans="3:3" x14ac:dyDescent="0.35">
      <c r="C34556" s="2"/>
    </row>
    <row r="34557" spans="3:3" x14ac:dyDescent="0.35">
      <c r="C34557" s="2"/>
    </row>
    <row r="34558" spans="3:3" x14ac:dyDescent="0.35">
      <c r="C34558" s="2"/>
    </row>
    <row r="34559" spans="3:3" x14ac:dyDescent="0.35">
      <c r="C34559" s="2"/>
    </row>
    <row r="34560" spans="3:3" x14ac:dyDescent="0.35">
      <c r="C34560" s="2"/>
    </row>
    <row r="34561" spans="3:3" x14ac:dyDescent="0.35">
      <c r="C34561" s="2"/>
    </row>
    <row r="34562" spans="3:3" x14ac:dyDescent="0.35">
      <c r="C34562" s="2"/>
    </row>
    <row r="34563" spans="3:3" x14ac:dyDescent="0.35">
      <c r="C34563" s="2"/>
    </row>
    <row r="34564" spans="3:3" x14ac:dyDescent="0.35">
      <c r="C34564" s="2"/>
    </row>
    <row r="34565" spans="3:3" x14ac:dyDescent="0.35">
      <c r="C34565" s="2"/>
    </row>
    <row r="34566" spans="3:3" x14ac:dyDescent="0.35">
      <c r="C34566" s="2"/>
    </row>
    <row r="34567" spans="3:3" x14ac:dyDescent="0.35">
      <c r="C34567" s="2"/>
    </row>
    <row r="34568" spans="3:3" x14ac:dyDescent="0.35">
      <c r="C34568" s="2"/>
    </row>
    <row r="34569" spans="3:3" x14ac:dyDescent="0.35">
      <c r="C34569" s="2"/>
    </row>
    <row r="34570" spans="3:3" x14ac:dyDescent="0.35">
      <c r="C34570" s="2"/>
    </row>
    <row r="34571" spans="3:3" x14ac:dyDescent="0.35">
      <c r="C34571" s="2"/>
    </row>
    <row r="34572" spans="3:3" x14ac:dyDescent="0.35">
      <c r="C34572" s="2"/>
    </row>
    <row r="34573" spans="3:3" x14ac:dyDescent="0.35">
      <c r="C34573" s="2"/>
    </row>
    <row r="34574" spans="3:3" x14ac:dyDescent="0.35">
      <c r="C34574" s="2"/>
    </row>
    <row r="34575" spans="3:3" x14ac:dyDescent="0.35">
      <c r="C34575" s="2"/>
    </row>
    <row r="34576" spans="3:3" x14ac:dyDescent="0.35">
      <c r="C34576" s="2"/>
    </row>
    <row r="34577" spans="3:3" x14ac:dyDescent="0.35">
      <c r="C34577" s="2"/>
    </row>
    <row r="34578" spans="3:3" x14ac:dyDescent="0.35">
      <c r="C34578" s="2"/>
    </row>
    <row r="34579" spans="3:3" x14ac:dyDescent="0.35">
      <c r="C34579" s="2"/>
    </row>
    <row r="34580" spans="3:3" x14ac:dyDescent="0.35">
      <c r="C34580" s="2"/>
    </row>
    <row r="34581" spans="3:3" x14ac:dyDescent="0.35">
      <c r="C34581" s="2"/>
    </row>
    <row r="34582" spans="3:3" x14ac:dyDescent="0.35">
      <c r="C34582" s="2"/>
    </row>
    <row r="34583" spans="3:3" x14ac:dyDescent="0.35">
      <c r="C34583" s="2"/>
    </row>
    <row r="34584" spans="3:3" x14ac:dyDescent="0.35">
      <c r="C34584" s="2"/>
    </row>
    <row r="34585" spans="3:3" x14ac:dyDescent="0.35">
      <c r="C34585" s="2"/>
    </row>
    <row r="34586" spans="3:3" x14ac:dyDescent="0.35">
      <c r="C34586" s="2"/>
    </row>
    <row r="34587" spans="3:3" x14ac:dyDescent="0.35">
      <c r="C34587" s="2"/>
    </row>
    <row r="34588" spans="3:3" x14ac:dyDescent="0.35">
      <c r="C34588" s="2"/>
    </row>
    <row r="34589" spans="3:3" x14ac:dyDescent="0.35">
      <c r="C34589" s="2"/>
    </row>
    <row r="34590" spans="3:3" x14ac:dyDescent="0.35">
      <c r="C34590" s="2"/>
    </row>
    <row r="34591" spans="3:3" x14ac:dyDescent="0.35">
      <c r="C34591" s="2"/>
    </row>
    <row r="34592" spans="3:3" x14ac:dyDescent="0.35">
      <c r="C34592" s="2"/>
    </row>
    <row r="34593" spans="3:3" x14ac:dyDescent="0.35">
      <c r="C34593" s="2"/>
    </row>
    <row r="34594" spans="3:3" x14ac:dyDescent="0.35">
      <c r="C34594" s="2"/>
    </row>
    <row r="34595" spans="3:3" x14ac:dyDescent="0.35">
      <c r="C34595" s="2"/>
    </row>
    <row r="34596" spans="3:3" x14ac:dyDescent="0.35">
      <c r="C34596" s="2"/>
    </row>
    <row r="34597" spans="3:3" x14ac:dyDescent="0.35">
      <c r="C34597" s="2"/>
    </row>
    <row r="34598" spans="3:3" x14ac:dyDescent="0.35">
      <c r="C34598" s="2"/>
    </row>
    <row r="34599" spans="3:3" x14ac:dyDescent="0.35">
      <c r="C34599" s="2"/>
    </row>
    <row r="34600" spans="3:3" x14ac:dyDescent="0.35">
      <c r="C34600" s="2"/>
    </row>
    <row r="34601" spans="3:3" x14ac:dyDescent="0.35">
      <c r="C34601" s="2"/>
    </row>
    <row r="34602" spans="3:3" x14ac:dyDescent="0.35">
      <c r="C34602" s="2"/>
    </row>
    <row r="34603" spans="3:3" x14ac:dyDescent="0.35">
      <c r="C34603" s="2"/>
    </row>
    <row r="34604" spans="3:3" x14ac:dyDescent="0.35">
      <c r="C34604" s="2"/>
    </row>
    <row r="34605" spans="3:3" x14ac:dyDescent="0.35">
      <c r="C34605" s="2"/>
    </row>
    <row r="34606" spans="3:3" x14ac:dyDescent="0.35">
      <c r="C34606" s="2"/>
    </row>
    <row r="34607" spans="3:3" x14ac:dyDescent="0.35">
      <c r="C34607" s="2"/>
    </row>
    <row r="34608" spans="3:3" x14ac:dyDescent="0.35">
      <c r="C34608" s="2"/>
    </row>
    <row r="34609" spans="3:3" x14ac:dyDescent="0.35">
      <c r="C34609" s="2"/>
    </row>
    <row r="34610" spans="3:3" x14ac:dyDescent="0.35">
      <c r="C34610" s="2"/>
    </row>
    <row r="34611" spans="3:3" x14ac:dyDescent="0.35">
      <c r="C34611" s="2"/>
    </row>
    <row r="34612" spans="3:3" x14ac:dyDescent="0.35">
      <c r="C34612" s="2"/>
    </row>
    <row r="34613" spans="3:3" x14ac:dyDescent="0.35">
      <c r="C34613" s="2"/>
    </row>
    <row r="34614" spans="3:3" x14ac:dyDescent="0.35">
      <c r="C34614" s="2"/>
    </row>
    <row r="34615" spans="3:3" x14ac:dyDescent="0.35">
      <c r="C34615" s="2"/>
    </row>
    <row r="34616" spans="3:3" x14ac:dyDescent="0.35">
      <c r="C34616" s="2"/>
    </row>
    <row r="34617" spans="3:3" x14ac:dyDescent="0.35">
      <c r="C34617" s="2"/>
    </row>
    <row r="34618" spans="3:3" x14ac:dyDescent="0.35">
      <c r="C34618" s="2"/>
    </row>
    <row r="34619" spans="3:3" x14ac:dyDescent="0.35">
      <c r="C34619" s="2"/>
    </row>
    <row r="34620" spans="3:3" x14ac:dyDescent="0.35">
      <c r="C34620" s="2"/>
    </row>
    <row r="34621" spans="3:3" x14ac:dyDescent="0.35">
      <c r="C34621" s="2"/>
    </row>
    <row r="34622" spans="3:3" x14ac:dyDescent="0.35">
      <c r="C34622" s="2"/>
    </row>
    <row r="34623" spans="3:3" x14ac:dyDescent="0.35">
      <c r="C34623" s="2"/>
    </row>
    <row r="34624" spans="3:3" x14ac:dyDescent="0.35">
      <c r="C34624" s="2"/>
    </row>
    <row r="34625" spans="3:3" x14ac:dyDescent="0.35">
      <c r="C34625" s="2"/>
    </row>
    <row r="34626" spans="3:3" x14ac:dyDescent="0.35">
      <c r="C34626" s="2"/>
    </row>
    <row r="34627" spans="3:3" x14ac:dyDescent="0.35">
      <c r="C34627" s="2"/>
    </row>
    <row r="34628" spans="3:3" x14ac:dyDescent="0.35">
      <c r="C34628" s="2"/>
    </row>
    <row r="34629" spans="3:3" x14ac:dyDescent="0.35">
      <c r="C34629" s="2"/>
    </row>
    <row r="34630" spans="3:3" x14ac:dyDescent="0.35">
      <c r="C34630" s="2"/>
    </row>
    <row r="34631" spans="3:3" x14ac:dyDescent="0.35">
      <c r="C34631" s="2"/>
    </row>
    <row r="34632" spans="3:3" x14ac:dyDescent="0.35">
      <c r="C34632" s="2"/>
    </row>
    <row r="34633" spans="3:3" x14ac:dyDescent="0.35">
      <c r="C34633" s="2"/>
    </row>
    <row r="34634" spans="3:3" x14ac:dyDescent="0.35">
      <c r="C34634" s="2"/>
    </row>
    <row r="34635" spans="3:3" x14ac:dyDescent="0.35">
      <c r="C34635" s="2"/>
    </row>
    <row r="34636" spans="3:3" x14ac:dyDescent="0.35">
      <c r="C34636" s="2"/>
    </row>
    <row r="34637" spans="3:3" x14ac:dyDescent="0.35">
      <c r="C34637" s="2"/>
    </row>
    <row r="34638" spans="3:3" x14ac:dyDescent="0.35">
      <c r="C34638" s="2"/>
    </row>
    <row r="34639" spans="3:3" x14ac:dyDescent="0.35">
      <c r="C34639" s="2"/>
    </row>
    <row r="34640" spans="3:3" x14ac:dyDescent="0.35">
      <c r="C34640" s="2"/>
    </row>
    <row r="34641" spans="3:3" x14ac:dyDescent="0.35">
      <c r="C34641" s="2"/>
    </row>
    <row r="34642" spans="3:3" x14ac:dyDescent="0.35">
      <c r="C34642" s="2"/>
    </row>
    <row r="34643" spans="3:3" x14ac:dyDescent="0.35">
      <c r="C34643" s="2"/>
    </row>
    <row r="34644" spans="3:3" x14ac:dyDescent="0.35">
      <c r="C34644" s="2"/>
    </row>
    <row r="34645" spans="3:3" x14ac:dyDescent="0.35">
      <c r="C34645" s="2"/>
    </row>
    <row r="34646" spans="3:3" x14ac:dyDescent="0.35">
      <c r="C34646" s="2"/>
    </row>
    <row r="34647" spans="3:3" x14ac:dyDescent="0.35">
      <c r="C34647" s="2"/>
    </row>
    <row r="34648" spans="3:3" x14ac:dyDescent="0.35">
      <c r="C34648" s="2"/>
    </row>
    <row r="34649" spans="3:3" x14ac:dyDescent="0.35">
      <c r="C34649" s="2"/>
    </row>
    <row r="34650" spans="3:3" x14ac:dyDescent="0.35">
      <c r="C34650" s="2"/>
    </row>
    <row r="34651" spans="3:3" x14ac:dyDescent="0.35">
      <c r="C34651" s="2"/>
    </row>
    <row r="34652" spans="3:3" x14ac:dyDescent="0.35">
      <c r="C34652" s="2"/>
    </row>
    <row r="34653" spans="3:3" x14ac:dyDescent="0.35">
      <c r="C34653" s="2"/>
    </row>
    <row r="34654" spans="3:3" x14ac:dyDescent="0.35">
      <c r="C34654" s="2"/>
    </row>
    <row r="34655" spans="3:3" x14ac:dyDescent="0.35">
      <c r="C34655" s="2"/>
    </row>
    <row r="34656" spans="3:3" x14ac:dyDescent="0.35">
      <c r="C34656" s="2"/>
    </row>
    <row r="34657" spans="3:3" x14ac:dyDescent="0.35">
      <c r="C34657" s="2"/>
    </row>
    <row r="34658" spans="3:3" x14ac:dyDescent="0.35">
      <c r="C34658" s="2"/>
    </row>
    <row r="34659" spans="3:3" x14ac:dyDescent="0.35">
      <c r="C34659" s="2"/>
    </row>
    <row r="34660" spans="3:3" x14ac:dyDescent="0.35">
      <c r="C34660" s="2"/>
    </row>
    <row r="34661" spans="3:3" x14ac:dyDescent="0.35">
      <c r="C34661" s="2"/>
    </row>
    <row r="34662" spans="3:3" x14ac:dyDescent="0.35">
      <c r="C34662" s="2"/>
    </row>
    <row r="34663" spans="3:3" x14ac:dyDescent="0.35">
      <c r="C34663" s="2"/>
    </row>
    <row r="34664" spans="3:3" x14ac:dyDescent="0.35">
      <c r="C34664" s="2"/>
    </row>
    <row r="34665" spans="3:3" x14ac:dyDescent="0.35">
      <c r="C34665" s="2"/>
    </row>
    <row r="34666" spans="3:3" x14ac:dyDescent="0.35">
      <c r="C34666" s="2"/>
    </row>
    <row r="34667" spans="3:3" x14ac:dyDescent="0.35">
      <c r="C34667" s="2"/>
    </row>
    <row r="34668" spans="3:3" x14ac:dyDescent="0.35">
      <c r="C34668" s="2"/>
    </row>
    <row r="34669" spans="3:3" x14ac:dyDescent="0.35">
      <c r="C34669" s="2"/>
    </row>
    <row r="34670" spans="3:3" x14ac:dyDescent="0.35">
      <c r="C34670" s="2"/>
    </row>
    <row r="34671" spans="3:3" x14ac:dyDescent="0.35">
      <c r="C34671" s="2"/>
    </row>
    <row r="34672" spans="3:3" x14ac:dyDescent="0.35">
      <c r="C34672" s="2"/>
    </row>
    <row r="34673" spans="3:3" x14ac:dyDescent="0.35">
      <c r="C34673" s="2"/>
    </row>
    <row r="34674" spans="3:3" x14ac:dyDescent="0.35">
      <c r="C34674" s="2"/>
    </row>
    <row r="34675" spans="3:3" x14ac:dyDescent="0.35">
      <c r="C34675" s="2"/>
    </row>
    <row r="34676" spans="3:3" x14ac:dyDescent="0.35">
      <c r="C34676" s="2"/>
    </row>
    <row r="34677" spans="3:3" x14ac:dyDescent="0.35">
      <c r="C34677" s="2"/>
    </row>
    <row r="34678" spans="3:3" x14ac:dyDescent="0.35">
      <c r="C34678" s="2"/>
    </row>
    <row r="34679" spans="3:3" x14ac:dyDescent="0.35">
      <c r="C34679" s="2"/>
    </row>
    <row r="34680" spans="3:3" x14ac:dyDescent="0.35">
      <c r="C34680" s="2"/>
    </row>
    <row r="34681" spans="3:3" x14ac:dyDescent="0.35">
      <c r="C34681" s="2"/>
    </row>
    <row r="34682" spans="3:3" x14ac:dyDescent="0.35">
      <c r="C34682" s="2"/>
    </row>
    <row r="34683" spans="3:3" x14ac:dyDescent="0.35">
      <c r="C34683" s="2"/>
    </row>
    <row r="34684" spans="3:3" x14ac:dyDescent="0.35">
      <c r="C34684" s="2"/>
    </row>
    <row r="34685" spans="3:3" x14ac:dyDescent="0.35">
      <c r="C34685" s="2"/>
    </row>
    <row r="34686" spans="3:3" x14ac:dyDescent="0.35">
      <c r="C34686" s="2"/>
    </row>
    <row r="34687" spans="3:3" x14ac:dyDescent="0.35">
      <c r="C34687" s="2"/>
    </row>
    <row r="34688" spans="3:3" x14ac:dyDescent="0.35">
      <c r="C34688" s="2"/>
    </row>
    <row r="34689" spans="3:3" x14ac:dyDescent="0.35">
      <c r="C34689" s="2"/>
    </row>
    <row r="34690" spans="3:3" x14ac:dyDescent="0.35">
      <c r="C34690" s="2"/>
    </row>
    <row r="34691" spans="3:3" x14ac:dyDescent="0.35">
      <c r="C34691" s="2"/>
    </row>
    <row r="34692" spans="3:3" x14ac:dyDescent="0.35">
      <c r="C34692" s="2"/>
    </row>
    <row r="34693" spans="3:3" x14ac:dyDescent="0.35">
      <c r="C34693" s="2"/>
    </row>
    <row r="34694" spans="3:3" x14ac:dyDescent="0.35">
      <c r="C34694" s="2"/>
    </row>
    <row r="34695" spans="3:3" x14ac:dyDescent="0.35">
      <c r="C34695" s="2"/>
    </row>
    <row r="34696" spans="3:3" x14ac:dyDescent="0.35">
      <c r="C34696" s="2"/>
    </row>
    <row r="34697" spans="3:3" x14ac:dyDescent="0.35">
      <c r="C34697" s="2"/>
    </row>
    <row r="34698" spans="3:3" x14ac:dyDescent="0.35">
      <c r="C34698" s="2"/>
    </row>
    <row r="34699" spans="3:3" x14ac:dyDescent="0.35">
      <c r="C34699" s="2"/>
    </row>
    <row r="34700" spans="3:3" x14ac:dyDescent="0.35">
      <c r="C34700" s="2"/>
    </row>
    <row r="34701" spans="3:3" x14ac:dyDescent="0.35">
      <c r="C34701" s="2"/>
    </row>
    <row r="34702" spans="3:3" x14ac:dyDescent="0.35">
      <c r="C34702" s="2"/>
    </row>
    <row r="34703" spans="3:3" x14ac:dyDescent="0.35">
      <c r="C34703" s="2"/>
    </row>
    <row r="34704" spans="3:3" x14ac:dyDescent="0.35">
      <c r="C34704" s="2"/>
    </row>
    <row r="34705" spans="3:3" x14ac:dyDescent="0.35">
      <c r="C34705" s="2"/>
    </row>
    <row r="34706" spans="3:3" x14ac:dyDescent="0.35">
      <c r="C34706" s="2"/>
    </row>
    <row r="34707" spans="3:3" x14ac:dyDescent="0.35">
      <c r="C34707" s="2"/>
    </row>
    <row r="34708" spans="3:3" x14ac:dyDescent="0.35">
      <c r="C34708" s="2"/>
    </row>
    <row r="34709" spans="3:3" x14ac:dyDescent="0.35">
      <c r="C34709" s="2"/>
    </row>
    <row r="34710" spans="3:3" x14ac:dyDescent="0.35">
      <c r="C34710" s="2"/>
    </row>
    <row r="34711" spans="3:3" x14ac:dyDescent="0.35">
      <c r="C34711" s="2"/>
    </row>
    <row r="34712" spans="3:3" x14ac:dyDescent="0.35">
      <c r="C34712" s="2"/>
    </row>
    <row r="34713" spans="3:3" x14ac:dyDescent="0.35">
      <c r="C34713" s="2"/>
    </row>
    <row r="34714" spans="3:3" x14ac:dyDescent="0.35">
      <c r="C34714" s="2"/>
    </row>
    <row r="34715" spans="3:3" x14ac:dyDescent="0.35">
      <c r="C34715" s="2"/>
    </row>
    <row r="34716" spans="3:3" x14ac:dyDescent="0.35">
      <c r="C34716" s="2"/>
    </row>
    <row r="34717" spans="3:3" x14ac:dyDescent="0.35">
      <c r="C34717" s="2"/>
    </row>
    <row r="34718" spans="3:3" x14ac:dyDescent="0.35">
      <c r="C34718" s="2"/>
    </row>
    <row r="34719" spans="3:3" x14ac:dyDescent="0.35">
      <c r="C34719" s="2"/>
    </row>
    <row r="34720" spans="3:3" x14ac:dyDescent="0.35">
      <c r="C34720" s="2"/>
    </row>
    <row r="34721" spans="3:3" x14ac:dyDescent="0.35">
      <c r="C34721" s="2"/>
    </row>
    <row r="34722" spans="3:3" x14ac:dyDescent="0.35">
      <c r="C34722" s="2"/>
    </row>
    <row r="34723" spans="3:3" x14ac:dyDescent="0.35">
      <c r="C34723" s="2"/>
    </row>
    <row r="34724" spans="3:3" x14ac:dyDescent="0.35">
      <c r="C34724" s="2"/>
    </row>
    <row r="34725" spans="3:3" x14ac:dyDescent="0.35">
      <c r="C34725" s="2"/>
    </row>
    <row r="34726" spans="3:3" x14ac:dyDescent="0.35">
      <c r="C34726" s="2"/>
    </row>
    <row r="34727" spans="3:3" x14ac:dyDescent="0.35">
      <c r="C34727" s="2"/>
    </row>
    <row r="34728" spans="3:3" x14ac:dyDescent="0.35">
      <c r="C34728" s="2"/>
    </row>
    <row r="34729" spans="3:3" x14ac:dyDescent="0.35">
      <c r="C34729" s="2"/>
    </row>
    <row r="34730" spans="3:3" x14ac:dyDescent="0.35">
      <c r="C34730" s="2"/>
    </row>
    <row r="34731" spans="3:3" x14ac:dyDescent="0.35">
      <c r="C34731" s="2"/>
    </row>
    <row r="34732" spans="3:3" x14ac:dyDescent="0.35">
      <c r="C34732" s="2"/>
    </row>
    <row r="34733" spans="3:3" x14ac:dyDescent="0.35">
      <c r="C34733" s="2"/>
    </row>
    <row r="34734" spans="3:3" x14ac:dyDescent="0.35">
      <c r="C34734" s="2"/>
    </row>
    <row r="34735" spans="3:3" x14ac:dyDescent="0.35">
      <c r="C34735" s="2"/>
    </row>
    <row r="34736" spans="3:3" x14ac:dyDescent="0.35">
      <c r="C34736" s="2"/>
    </row>
    <row r="34737" spans="3:3" x14ac:dyDescent="0.35">
      <c r="C34737" s="2"/>
    </row>
    <row r="34738" spans="3:3" x14ac:dyDescent="0.35">
      <c r="C34738" s="2"/>
    </row>
    <row r="34739" spans="3:3" x14ac:dyDescent="0.35">
      <c r="C34739" s="2"/>
    </row>
    <row r="34740" spans="3:3" x14ac:dyDescent="0.35">
      <c r="C34740" s="2"/>
    </row>
    <row r="34741" spans="3:3" x14ac:dyDescent="0.35">
      <c r="C34741" s="2"/>
    </row>
    <row r="34742" spans="3:3" x14ac:dyDescent="0.35">
      <c r="C34742" s="2"/>
    </row>
    <row r="34743" spans="3:3" x14ac:dyDescent="0.35">
      <c r="C34743" s="2"/>
    </row>
    <row r="34744" spans="3:3" x14ac:dyDescent="0.35">
      <c r="C34744" s="2"/>
    </row>
    <row r="34745" spans="3:3" x14ac:dyDescent="0.35">
      <c r="C34745" s="2"/>
    </row>
    <row r="34746" spans="3:3" x14ac:dyDescent="0.35">
      <c r="C34746" s="2"/>
    </row>
    <row r="34747" spans="3:3" x14ac:dyDescent="0.35">
      <c r="C34747" s="2"/>
    </row>
    <row r="34748" spans="3:3" x14ac:dyDescent="0.35">
      <c r="C34748" s="2"/>
    </row>
    <row r="34749" spans="3:3" x14ac:dyDescent="0.35">
      <c r="C34749" s="2"/>
    </row>
    <row r="34750" spans="3:3" x14ac:dyDescent="0.35">
      <c r="C34750" s="2"/>
    </row>
    <row r="34751" spans="3:3" x14ac:dyDescent="0.35">
      <c r="C34751" s="2"/>
    </row>
    <row r="34752" spans="3:3" x14ac:dyDescent="0.35">
      <c r="C34752" s="2"/>
    </row>
    <row r="34753" spans="3:3" x14ac:dyDescent="0.35">
      <c r="C34753" s="2"/>
    </row>
    <row r="34754" spans="3:3" x14ac:dyDescent="0.35">
      <c r="C34754" s="2"/>
    </row>
    <row r="34755" spans="3:3" x14ac:dyDescent="0.35">
      <c r="C34755" s="2"/>
    </row>
    <row r="34756" spans="3:3" x14ac:dyDescent="0.35">
      <c r="C34756" s="2"/>
    </row>
    <row r="34757" spans="3:3" x14ac:dyDescent="0.35">
      <c r="C34757" s="2"/>
    </row>
    <row r="34758" spans="3:3" x14ac:dyDescent="0.35">
      <c r="C34758" s="2"/>
    </row>
    <row r="34759" spans="3:3" x14ac:dyDescent="0.35">
      <c r="C34759" s="2"/>
    </row>
    <row r="34760" spans="3:3" x14ac:dyDescent="0.35">
      <c r="C34760" s="2"/>
    </row>
    <row r="34761" spans="3:3" x14ac:dyDescent="0.35">
      <c r="C34761" s="2"/>
    </row>
    <row r="34762" spans="3:3" x14ac:dyDescent="0.35">
      <c r="C34762" s="2"/>
    </row>
    <row r="34763" spans="3:3" x14ac:dyDescent="0.35">
      <c r="C34763" s="2"/>
    </row>
    <row r="34764" spans="3:3" x14ac:dyDescent="0.35">
      <c r="C34764" s="2"/>
    </row>
    <row r="34765" spans="3:3" x14ac:dyDescent="0.35">
      <c r="C34765" s="2"/>
    </row>
    <row r="34766" spans="3:3" x14ac:dyDescent="0.35">
      <c r="C34766" s="2"/>
    </row>
    <row r="34767" spans="3:3" x14ac:dyDescent="0.35">
      <c r="C34767" s="2"/>
    </row>
    <row r="34768" spans="3:3" x14ac:dyDescent="0.35">
      <c r="C34768" s="2"/>
    </row>
    <row r="34769" spans="3:3" x14ac:dyDescent="0.35">
      <c r="C34769" s="2"/>
    </row>
    <row r="34770" spans="3:3" x14ac:dyDescent="0.35">
      <c r="C34770" s="2"/>
    </row>
    <row r="34771" spans="3:3" x14ac:dyDescent="0.35">
      <c r="C34771" s="2"/>
    </row>
    <row r="34772" spans="3:3" x14ac:dyDescent="0.35">
      <c r="C34772" s="2"/>
    </row>
    <row r="34773" spans="3:3" x14ac:dyDescent="0.35">
      <c r="C34773" s="2"/>
    </row>
    <row r="34774" spans="3:3" x14ac:dyDescent="0.35">
      <c r="C34774" s="2"/>
    </row>
    <row r="34775" spans="3:3" x14ac:dyDescent="0.35">
      <c r="C34775" s="2"/>
    </row>
    <row r="34776" spans="3:3" x14ac:dyDescent="0.35">
      <c r="C34776" s="2"/>
    </row>
    <row r="34777" spans="3:3" x14ac:dyDescent="0.35">
      <c r="C34777" s="2"/>
    </row>
    <row r="34778" spans="3:3" x14ac:dyDescent="0.35">
      <c r="C34778" s="2"/>
    </row>
    <row r="34779" spans="3:3" x14ac:dyDescent="0.35">
      <c r="C34779" s="2"/>
    </row>
    <row r="34780" spans="3:3" x14ac:dyDescent="0.35">
      <c r="C34780" s="2"/>
    </row>
    <row r="34781" spans="3:3" x14ac:dyDescent="0.35">
      <c r="C34781" s="2"/>
    </row>
    <row r="34782" spans="3:3" x14ac:dyDescent="0.35">
      <c r="C34782" s="2"/>
    </row>
    <row r="34783" spans="3:3" x14ac:dyDescent="0.35">
      <c r="C34783" s="2"/>
    </row>
    <row r="34784" spans="3:3" x14ac:dyDescent="0.35">
      <c r="C34784" s="2"/>
    </row>
    <row r="34785" spans="3:3" x14ac:dyDescent="0.35">
      <c r="C34785" s="2"/>
    </row>
    <row r="34786" spans="3:3" x14ac:dyDescent="0.35">
      <c r="C34786" s="2"/>
    </row>
    <row r="34787" spans="3:3" x14ac:dyDescent="0.35">
      <c r="C34787" s="2"/>
    </row>
    <row r="34788" spans="3:3" x14ac:dyDescent="0.35">
      <c r="C34788" s="2"/>
    </row>
    <row r="34789" spans="3:3" x14ac:dyDescent="0.35">
      <c r="C34789" s="2"/>
    </row>
    <row r="34790" spans="3:3" x14ac:dyDescent="0.35">
      <c r="C34790" s="2"/>
    </row>
    <row r="34791" spans="3:3" x14ac:dyDescent="0.35">
      <c r="C34791" s="2"/>
    </row>
    <row r="34792" spans="3:3" x14ac:dyDescent="0.35">
      <c r="C34792" s="2"/>
    </row>
    <row r="34793" spans="3:3" x14ac:dyDescent="0.35">
      <c r="C34793" s="2"/>
    </row>
    <row r="34794" spans="3:3" x14ac:dyDescent="0.35">
      <c r="C34794" s="2"/>
    </row>
    <row r="34795" spans="3:3" x14ac:dyDescent="0.35">
      <c r="C34795" s="2"/>
    </row>
    <row r="34796" spans="3:3" x14ac:dyDescent="0.35">
      <c r="C34796" s="2"/>
    </row>
    <row r="34797" spans="3:3" x14ac:dyDescent="0.35">
      <c r="C34797" s="2"/>
    </row>
    <row r="34798" spans="3:3" x14ac:dyDescent="0.35">
      <c r="C34798" s="2"/>
    </row>
    <row r="34799" spans="3:3" x14ac:dyDescent="0.35">
      <c r="C34799" s="2"/>
    </row>
    <row r="34800" spans="3:3" x14ac:dyDescent="0.35">
      <c r="C34800" s="2"/>
    </row>
    <row r="34801" spans="3:3" x14ac:dyDescent="0.35">
      <c r="C34801" s="2"/>
    </row>
    <row r="34802" spans="3:3" x14ac:dyDescent="0.35">
      <c r="C34802" s="2"/>
    </row>
    <row r="34803" spans="3:3" x14ac:dyDescent="0.35">
      <c r="C34803" s="2"/>
    </row>
    <row r="34804" spans="3:3" x14ac:dyDescent="0.35">
      <c r="C34804" s="2"/>
    </row>
    <row r="34805" spans="3:3" x14ac:dyDescent="0.35">
      <c r="C34805" s="2"/>
    </row>
    <row r="34806" spans="3:3" x14ac:dyDescent="0.35">
      <c r="C34806" s="2"/>
    </row>
    <row r="34807" spans="3:3" x14ac:dyDescent="0.35">
      <c r="C34807" s="2"/>
    </row>
    <row r="34808" spans="3:3" x14ac:dyDescent="0.35">
      <c r="C34808" s="2"/>
    </row>
    <row r="34809" spans="3:3" x14ac:dyDescent="0.35">
      <c r="C34809" s="2"/>
    </row>
    <row r="34810" spans="3:3" x14ac:dyDescent="0.35">
      <c r="C34810" s="2"/>
    </row>
    <row r="34811" spans="3:3" x14ac:dyDescent="0.35">
      <c r="C34811" s="2"/>
    </row>
    <row r="34812" spans="3:3" x14ac:dyDescent="0.35">
      <c r="C34812" s="2"/>
    </row>
    <row r="34813" spans="3:3" x14ac:dyDescent="0.35">
      <c r="C34813" s="2"/>
    </row>
    <row r="34814" spans="3:3" x14ac:dyDescent="0.35">
      <c r="C34814" s="2"/>
    </row>
    <row r="34815" spans="3:3" x14ac:dyDescent="0.35">
      <c r="C34815" s="2"/>
    </row>
    <row r="34816" spans="3:3" x14ac:dyDescent="0.35">
      <c r="C34816" s="2"/>
    </row>
    <row r="34817" spans="3:3" x14ac:dyDescent="0.35">
      <c r="C34817" s="2"/>
    </row>
    <row r="34818" spans="3:3" x14ac:dyDescent="0.35">
      <c r="C34818" s="2"/>
    </row>
    <row r="34819" spans="3:3" x14ac:dyDescent="0.35">
      <c r="C34819" s="2"/>
    </row>
    <row r="34820" spans="3:3" x14ac:dyDescent="0.35">
      <c r="C34820" s="2"/>
    </row>
    <row r="34821" spans="3:3" x14ac:dyDescent="0.35">
      <c r="C34821" s="2"/>
    </row>
    <row r="34822" spans="3:3" x14ac:dyDescent="0.35">
      <c r="C34822" s="2"/>
    </row>
    <row r="34823" spans="3:3" x14ac:dyDescent="0.35">
      <c r="C34823" s="2"/>
    </row>
    <row r="34824" spans="3:3" x14ac:dyDescent="0.35">
      <c r="C34824" s="2"/>
    </row>
    <row r="34825" spans="3:3" x14ac:dyDescent="0.35">
      <c r="C34825" s="2"/>
    </row>
    <row r="34826" spans="3:3" x14ac:dyDescent="0.35">
      <c r="C34826" s="2"/>
    </row>
    <row r="34827" spans="3:3" x14ac:dyDescent="0.35">
      <c r="C34827" s="2"/>
    </row>
    <row r="34828" spans="3:3" x14ac:dyDescent="0.35">
      <c r="C34828" s="2"/>
    </row>
    <row r="34829" spans="3:3" x14ac:dyDescent="0.35">
      <c r="C34829" s="2"/>
    </row>
    <row r="34830" spans="3:3" x14ac:dyDescent="0.35">
      <c r="C34830" s="2"/>
    </row>
    <row r="34831" spans="3:3" x14ac:dyDescent="0.35">
      <c r="C34831" s="2"/>
    </row>
    <row r="34832" spans="3:3" x14ac:dyDescent="0.35">
      <c r="C34832" s="2"/>
    </row>
    <row r="34833" spans="3:3" x14ac:dyDescent="0.35">
      <c r="C34833" s="2"/>
    </row>
    <row r="34834" spans="3:3" x14ac:dyDescent="0.35">
      <c r="C34834" s="2"/>
    </row>
    <row r="34835" spans="3:3" x14ac:dyDescent="0.35">
      <c r="C34835" s="2"/>
    </row>
    <row r="34836" spans="3:3" x14ac:dyDescent="0.35">
      <c r="C34836" s="2"/>
    </row>
    <row r="34837" spans="3:3" x14ac:dyDescent="0.35">
      <c r="C34837" s="2"/>
    </row>
    <row r="34838" spans="3:3" x14ac:dyDescent="0.35">
      <c r="C34838" s="2"/>
    </row>
    <row r="34839" spans="3:3" x14ac:dyDescent="0.35">
      <c r="C34839" s="2"/>
    </row>
    <row r="34840" spans="3:3" x14ac:dyDescent="0.35">
      <c r="C34840" s="2"/>
    </row>
    <row r="34841" spans="3:3" x14ac:dyDescent="0.35">
      <c r="C34841" s="2"/>
    </row>
    <row r="34842" spans="3:3" x14ac:dyDescent="0.35">
      <c r="C34842" s="2"/>
    </row>
    <row r="34843" spans="3:3" x14ac:dyDescent="0.35">
      <c r="C34843" s="2"/>
    </row>
    <row r="34844" spans="3:3" x14ac:dyDescent="0.35">
      <c r="C34844" s="2"/>
    </row>
    <row r="34845" spans="3:3" x14ac:dyDescent="0.35">
      <c r="C34845" s="2"/>
    </row>
    <row r="34846" spans="3:3" x14ac:dyDescent="0.35">
      <c r="C34846" s="2"/>
    </row>
    <row r="34847" spans="3:3" x14ac:dyDescent="0.35">
      <c r="C34847" s="2"/>
    </row>
    <row r="34848" spans="3:3" x14ac:dyDescent="0.35">
      <c r="C34848" s="2"/>
    </row>
    <row r="34849" spans="3:3" x14ac:dyDescent="0.35">
      <c r="C34849" s="2"/>
    </row>
    <row r="34850" spans="3:3" x14ac:dyDescent="0.35">
      <c r="C34850" s="2"/>
    </row>
    <row r="34851" spans="3:3" x14ac:dyDescent="0.35">
      <c r="C34851" s="2"/>
    </row>
    <row r="34852" spans="3:3" x14ac:dyDescent="0.35">
      <c r="C34852" s="2"/>
    </row>
    <row r="34853" spans="3:3" x14ac:dyDescent="0.35">
      <c r="C34853" s="2"/>
    </row>
    <row r="34854" spans="3:3" x14ac:dyDescent="0.35">
      <c r="C34854" s="2"/>
    </row>
    <row r="34855" spans="3:3" x14ac:dyDescent="0.35">
      <c r="C34855" s="2"/>
    </row>
    <row r="34856" spans="3:3" x14ac:dyDescent="0.35">
      <c r="C34856" s="2"/>
    </row>
    <row r="34857" spans="3:3" x14ac:dyDescent="0.35">
      <c r="C34857" s="2"/>
    </row>
    <row r="34858" spans="3:3" x14ac:dyDescent="0.35">
      <c r="C34858" s="2"/>
    </row>
    <row r="34859" spans="3:3" x14ac:dyDescent="0.35">
      <c r="C34859" s="2"/>
    </row>
    <row r="34860" spans="3:3" x14ac:dyDescent="0.35">
      <c r="C34860" s="2"/>
    </row>
    <row r="34861" spans="3:3" x14ac:dyDescent="0.35">
      <c r="C34861" s="2"/>
    </row>
    <row r="34862" spans="3:3" x14ac:dyDescent="0.35">
      <c r="C34862" s="2"/>
    </row>
    <row r="34863" spans="3:3" x14ac:dyDescent="0.35">
      <c r="C34863" s="2"/>
    </row>
    <row r="34864" spans="3:3" x14ac:dyDescent="0.35">
      <c r="C34864" s="2"/>
    </row>
    <row r="34865" spans="3:3" x14ac:dyDescent="0.35">
      <c r="C34865" s="2"/>
    </row>
    <row r="34866" spans="3:3" x14ac:dyDescent="0.35">
      <c r="C34866" s="2"/>
    </row>
    <row r="34867" spans="3:3" x14ac:dyDescent="0.35">
      <c r="C34867" s="2"/>
    </row>
    <row r="34868" spans="3:3" x14ac:dyDescent="0.35">
      <c r="C34868" s="2"/>
    </row>
    <row r="34869" spans="3:3" x14ac:dyDescent="0.35">
      <c r="C34869" s="2"/>
    </row>
    <row r="34870" spans="3:3" x14ac:dyDescent="0.35">
      <c r="C34870" s="2"/>
    </row>
    <row r="34871" spans="3:3" x14ac:dyDescent="0.35">
      <c r="C34871" s="2"/>
    </row>
    <row r="34872" spans="3:3" x14ac:dyDescent="0.35">
      <c r="C34872" s="2"/>
    </row>
    <row r="34873" spans="3:3" x14ac:dyDescent="0.35">
      <c r="C34873" s="2"/>
    </row>
    <row r="34874" spans="3:3" x14ac:dyDescent="0.35">
      <c r="C34874" s="2"/>
    </row>
    <row r="34875" spans="3:3" x14ac:dyDescent="0.35">
      <c r="C34875" s="2"/>
    </row>
    <row r="34876" spans="3:3" x14ac:dyDescent="0.35">
      <c r="C34876" s="2"/>
    </row>
    <row r="34877" spans="3:3" x14ac:dyDescent="0.35">
      <c r="C34877" s="2"/>
    </row>
    <row r="34878" spans="3:3" x14ac:dyDescent="0.35">
      <c r="C34878" s="2"/>
    </row>
    <row r="34879" spans="3:3" x14ac:dyDescent="0.35">
      <c r="C34879" s="2"/>
    </row>
    <row r="34880" spans="3:3" x14ac:dyDescent="0.35">
      <c r="C34880" s="2"/>
    </row>
    <row r="34881" spans="3:3" x14ac:dyDescent="0.35">
      <c r="C34881" s="2"/>
    </row>
    <row r="34882" spans="3:3" x14ac:dyDescent="0.35">
      <c r="C34882" s="2"/>
    </row>
    <row r="34883" spans="3:3" x14ac:dyDescent="0.35">
      <c r="C34883" s="2"/>
    </row>
    <row r="34884" spans="3:3" x14ac:dyDescent="0.35">
      <c r="C34884" s="2"/>
    </row>
    <row r="34885" spans="3:3" x14ac:dyDescent="0.35">
      <c r="C34885" s="2"/>
    </row>
    <row r="34886" spans="3:3" x14ac:dyDescent="0.35">
      <c r="C34886" s="2"/>
    </row>
    <row r="34887" spans="3:3" x14ac:dyDescent="0.35">
      <c r="C34887" s="2"/>
    </row>
    <row r="34888" spans="3:3" x14ac:dyDescent="0.35">
      <c r="C34888" s="2"/>
    </row>
    <row r="34889" spans="3:3" x14ac:dyDescent="0.35">
      <c r="C34889" s="2"/>
    </row>
    <row r="34890" spans="3:3" x14ac:dyDescent="0.35">
      <c r="C34890" s="2"/>
    </row>
    <row r="34891" spans="3:3" x14ac:dyDescent="0.35">
      <c r="C34891" s="2"/>
    </row>
    <row r="34892" spans="3:3" x14ac:dyDescent="0.35">
      <c r="C34892" s="2"/>
    </row>
    <row r="34893" spans="3:3" x14ac:dyDescent="0.35">
      <c r="C34893" s="2"/>
    </row>
    <row r="34894" spans="3:3" x14ac:dyDescent="0.35">
      <c r="C34894" s="2"/>
    </row>
    <row r="34895" spans="3:3" x14ac:dyDescent="0.35">
      <c r="C34895" s="2"/>
    </row>
    <row r="34896" spans="3:3" x14ac:dyDescent="0.35">
      <c r="C34896" s="2"/>
    </row>
    <row r="34897" spans="3:3" x14ac:dyDescent="0.35">
      <c r="C34897" s="2"/>
    </row>
    <row r="34898" spans="3:3" x14ac:dyDescent="0.35">
      <c r="C34898" s="2"/>
    </row>
    <row r="34899" spans="3:3" x14ac:dyDescent="0.35">
      <c r="C34899" s="2"/>
    </row>
    <row r="34900" spans="3:3" x14ac:dyDescent="0.35">
      <c r="C34900" s="2"/>
    </row>
    <row r="34901" spans="3:3" x14ac:dyDescent="0.35">
      <c r="C34901" s="2"/>
    </row>
    <row r="34902" spans="3:3" x14ac:dyDescent="0.35">
      <c r="C34902" s="2"/>
    </row>
    <row r="34903" spans="3:3" x14ac:dyDescent="0.35">
      <c r="C34903" s="2"/>
    </row>
    <row r="34904" spans="3:3" x14ac:dyDescent="0.35">
      <c r="C34904" s="2"/>
    </row>
    <row r="34905" spans="3:3" x14ac:dyDescent="0.35">
      <c r="C34905" s="2"/>
    </row>
    <row r="34906" spans="3:3" x14ac:dyDescent="0.35">
      <c r="C34906" s="2"/>
    </row>
    <row r="34907" spans="3:3" x14ac:dyDescent="0.35">
      <c r="C34907" s="2"/>
    </row>
    <row r="34908" spans="3:3" x14ac:dyDescent="0.35">
      <c r="C34908" s="2"/>
    </row>
    <row r="34909" spans="3:3" x14ac:dyDescent="0.35">
      <c r="C34909" s="2"/>
    </row>
    <row r="34910" spans="3:3" x14ac:dyDescent="0.35">
      <c r="C34910" s="2"/>
    </row>
    <row r="34911" spans="3:3" x14ac:dyDescent="0.35">
      <c r="C34911" s="2"/>
    </row>
    <row r="34912" spans="3:3" x14ac:dyDescent="0.35">
      <c r="C34912" s="2"/>
    </row>
    <row r="34913" spans="3:3" x14ac:dyDescent="0.35">
      <c r="C34913" s="2"/>
    </row>
    <row r="34914" spans="3:3" x14ac:dyDescent="0.35">
      <c r="C34914" s="2"/>
    </row>
    <row r="34915" spans="3:3" x14ac:dyDescent="0.35">
      <c r="C34915" s="2"/>
    </row>
    <row r="34916" spans="3:3" x14ac:dyDescent="0.35">
      <c r="C34916" s="2"/>
    </row>
    <row r="34917" spans="3:3" x14ac:dyDescent="0.35">
      <c r="C34917" s="2"/>
    </row>
    <row r="34918" spans="3:3" x14ac:dyDescent="0.35">
      <c r="C34918" s="2"/>
    </row>
    <row r="34919" spans="3:3" x14ac:dyDescent="0.35">
      <c r="C34919" s="2"/>
    </row>
    <row r="34920" spans="3:3" x14ac:dyDescent="0.35">
      <c r="C34920" s="2"/>
    </row>
    <row r="34921" spans="3:3" x14ac:dyDescent="0.35">
      <c r="C34921" s="2"/>
    </row>
    <row r="34922" spans="3:3" x14ac:dyDescent="0.35">
      <c r="C34922" s="2"/>
    </row>
    <row r="34923" spans="3:3" x14ac:dyDescent="0.35">
      <c r="C34923" s="2"/>
    </row>
    <row r="34924" spans="3:3" x14ac:dyDescent="0.35">
      <c r="C34924" s="2"/>
    </row>
    <row r="34925" spans="3:3" x14ac:dyDescent="0.35">
      <c r="C34925" s="2"/>
    </row>
    <row r="34926" spans="3:3" x14ac:dyDescent="0.35">
      <c r="C34926" s="2"/>
    </row>
    <row r="34927" spans="3:3" x14ac:dyDescent="0.35">
      <c r="C34927" s="2"/>
    </row>
    <row r="34928" spans="3:3" x14ac:dyDescent="0.35">
      <c r="C34928" s="2"/>
    </row>
    <row r="34929" spans="3:3" x14ac:dyDescent="0.35">
      <c r="C34929" s="2"/>
    </row>
    <row r="34930" spans="3:3" x14ac:dyDescent="0.35">
      <c r="C34930" s="2"/>
    </row>
    <row r="34931" spans="3:3" x14ac:dyDescent="0.35">
      <c r="C34931" s="2"/>
    </row>
    <row r="34932" spans="3:3" x14ac:dyDescent="0.35">
      <c r="C34932" s="2"/>
    </row>
    <row r="34933" spans="3:3" x14ac:dyDescent="0.35">
      <c r="C34933" s="2"/>
    </row>
    <row r="34934" spans="3:3" x14ac:dyDescent="0.35">
      <c r="C34934" s="2"/>
    </row>
    <row r="34935" spans="3:3" x14ac:dyDescent="0.35">
      <c r="C34935" s="2"/>
    </row>
    <row r="34936" spans="3:3" x14ac:dyDescent="0.35">
      <c r="C34936" s="2"/>
    </row>
    <row r="34937" spans="3:3" x14ac:dyDescent="0.35">
      <c r="C34937" s="2"/>
    </row>
    <row r="34938" spans="3:3" x14ac:dyDescent="0.35">
      <c r="C34938" s="2"/>
    </row>
    <row r="34939" spans="3:3" x14ac:dyDescent="0.35">
      <c r="C34939" s="2"/>
    </row>
    <row r="34940" spans="3:3" x14ac:dyDescent="0.35">
      <c r="C34940" s="2"/>
    </row>
    <row r="34941" spans="3:3" x14ac:dyDescent="0.35">
      <c r="C34941" s="2"/>
    </row>
    <row r="34942" spans="3:3" x14ac:dyDescent="0.35">
      <c r="C34942" s="2"/>
    </row>
    <row r="34943" spans="3:3" x14ac:dyDescent="0.35">
      <c r="C34943" s="2"/>
    </row>
    <row r="34944" spans="3:3" x14ac:dyDescent="0.35">
      <c r="C34944" s="2"/>
    </row>
    <row r="34945" spans="3:3" x14ac:dyDescent="0.35">
      <c r="C34945" s="2"/>
    </row>
    <row r="34946" spans="3:3" x14ac:dyDescent="0.35">
      <c r="C34946" s="2"/>
    </row>
    <row r="34947" spans="3:3" x14ac:dyDescent="0.35">
      <c r="C34947" s="2"/>
    </row>
    <row r="34948" spans="3:3" x14ac:dyDescent="0.35">
      <c r="C34948" s="2"/>
    </row>
    <row r="34949" spans="3:3" x14ac:dyDescent="0.35">
      <c r="C34949" s="2"/>
    </row>
    <row r="34950" spans="3:3" x14ac:dyDescent="0.35">
      <c r="C34950" s="2"/>
    </row>
    <row r="34951" spans="3:3" x14ac:dyDescent="0.35">
      <c r="C34951" s="2"/>
    </row>
    <row r="34952" spans="3:3" x14ac:dyDescent="0.35">
      <c r="C34952" s="2"/>
    </row>
    <row r="34953" spans="3:3" x14ac:dyDescent="0.35">
      <c r="C34953" s="2"/>
    </row>
    <row r="34954" spans="3:3" x14ac:dyDescent="0.35">
      <c r="C34954" s="2"/>
    </row>
    <row r="34955" spans="3:3" x14ac:dyDescent="0.35">
      <c r="C34955" s="2"/>
    </row>
    <row r="34956" spans="3:3" x14ac:dyDescent="0.35">
      <c r="C34956" s="2"/>
    </row>
    <row r="34957" spans="3:3" x14ac:dyDescent="0.35">
      <c r="C34957" s="2"/>
    </row>
    <row r="34958" spans="3:3" x14ac:dyDescent="0.35">
      <c r="C34958" s="2"/>
    </row>
    <row r="34959" spans="3:3" x14ac:dyDescent="0.35">
      <c r="C34959" s="2"/>
    </row>
    <row r="34960" spans="3:3" x14ac:dyDescent="0.35">
      <c r="C34960" s="2"/>
    </row>
    <row r="34961" spans="3:3" x14ac:dyDescent="0.35">
      <c r="C34961" s="2"/>
    </row>
    <row r="34962" spans="3:3" x14ac:dyDescent="0.35">
      <c r="C34962" s="2"/>
    </row>
    <row r="34963" spans="3:3" x14ac:dyDescent="0.35">
      <c r="C34963" s="2"/>
    </row>
    <row r="34964" spans="3:3" x14ac:dyDescent="0.35">
      <c r="C34964" s="2"/>
    </row>
    <row r="34965" spans="3:3" x14ac:dyDescent="0.35">
      <c r="C34965" s="2"/>
    </row>
    <row r="34966" spans="3:3" x14ac:dyDescent="0.35">
      <c r="C34966" s="2"/>
    </row>
    <row r="34967" spans="3:3" x14ac:dyDescent="0.35">
      <c r="C34967" s="2"/>
    </row>
    <row r="34968" spans="3:3" x14ac:dyDescent="0.35">
      <c r="C34968" s="2"/>
    </row>
    <row r="34969" spans="3:3" x14ac:dyDescent="0.35">
      <c r="C34969" s="2"/>
    </row>
    <row r="34970" spans="3:3" x14ac:dyDescent="0.35">
      <c r="C34970" s="2"/>
    </row>
    <row r="34971" spans="3:3" x14ac:dyDescent="0.35">
      <c r="C34971" s="2"/>
    </row>
    <row r="34972" spans="3:3" x14ac:dyDescent="0.35">
      <c r="C34972" s="2"/>
    </row>
    <row r="34973" spans="3:3" x14ac:dyDescent="0.35">
      <c r="C34973" s="2"/>
    </row>
    <row r="34974" spans="3:3" x14ac:dyDescent="0.35">
      <c r="C34974" s="2"/>
    </row>
    <row r="34975" spans="3:3" x14ac:dyDescent="0.35">
      <c r="C34975" s="2"/>
    </row>
    <row r="34976" spans="3:3" x14ac:dyDescent="0.35">
      <c r="C34976" s="2"/>
    </row>
    <row r="34977" spans="3:3" x14ac:dyDescent="0.35">
      <c r="C34977" s="2"/>
    </row>
    <row r="34978" spans="3:3" x14ac:dyDescent="0.35">
      <c r="C34978" s="2"/>
    </row>
    <row r="34979" spans="3:3" x14ac:dyDescent="0.35">
      <c r="C34979" s="2"/>
    </row>
    <row r="34980" spans="3:3" x14ac:dyDescent="0.35">
      <c r="C34980" s="2"/>
    </row>
    <row r="34981" spans="3:3" x14ac:dyDescent="0.35">
      <c r="C34981" s="2"/>
    </row>
    <row r="34982" spans="3:3" x14ac:dyDescent="0.35">
      <c r="C34982" s="2"/>
    </row>
    <row r="34983" spans="3:3" x14ac:dyDescent="0.35">
      <c r="C34983" s="2"/>
    </row>
    <row r="34984" spans="3:3" x14ac:dyDescent="0.35">
      <c r="C34984" s="2"/>
    </row>
    <row r="34985" spans="3:3" x14ac:dyDescent="0.35">
      <c r="C34985" s="2"/>
    </row>
    <row r="34986" spans="3:3" x14ac:dyDescent="0.35">
      <c r="C34986" s="2"/>
    </row>
    <row r="34987" spans="3:3" x14ac:dyDescent="0.35">
      <c r="C34987" s="2"/>
    </row>
    <row r="34988" spans="3:3" x14ac:dyDescent="0.35">
      <c r="C34988" s="2"/>
    </row>
    <row r="34989" spans="3:3" x14ac:dyDescent="0.35">
      <c r="C34989" s="2"/>
    </row>
    <row r="34990" spans="3:3" x14ac:dyDescent="0.35">
      <c r="C34990" s="2"/>
    </row>
    <row r="34991" spans="3:3" x14ac:dyDescent="0.35">
      <c r="C34991" s="2"/>
    </row>
    <row r="34992" spans="3:3" x14ac:dyDescent="0.35">
      <c r="C34992" s="2"/>
    </row>
    <row r="34993" spans="3:3" x14ac:dyDescent="0.35">
      <c r="C34993" s="2"/>
    </row>
    <row r="34994" spans="3:3" x14ac:dyDescent="0.35">
      <c r="C34994" s="2"/>
    </row>
    <row r="34995" spans="3:3" x14ac:dyDescent="0.35">
      <c r="C34995" s="2"/>
    </row>
    <row r="34996" spans="3:3" x14ac:dyDescent="0.35">
      <c r="C34996" s="2"/>
    </row>
    <row r="34997" spans="3:3" x14ac:dyDescent="0.35">
      <c r="C34997" s="2"/>
    </row>
    <row r="34998" spans="3:3" x14ac:dyDescent="0.35">
      <c r="C34998" s="2"/>
    </row>
    <row r="34999" spans="3:3" x14ac:dyDescent="0.35">
      <c r="C34999" s="2"/>
    </row>
    <row r="35000" spans="3:3" x14ac:dyDescent="0.35">
      <c r="C35000" s="2"/>
    </row>
    <row r="35001" spans="3:3" x14ac:dyDescent="0.35">
      <c r="C35001" s="2"/>
    </row>
    <row r="35002" spans="3:3" x14ac:dyDescent="0.35">
      <c r="C35002" s="2"/>
    </row>
    <row r="35003" spans="3:3" x14ac:dyDescent="0.35">
      <c r="C35003" s="2"/>
    </row>
    <row r="35004" spans="3:3" x14ac:dyDescent="0.35">
      <c r="C35004" s="2"/>
    </row>
    <row r="35005" spans="3:3" x14ac:dyDescent="0.35">
      <c r="C35005" s="2"/>
    </row>
    <row r="35006" spans="3:3" x14ac:dyDescent="0.35">
      <c r="C35006" s="2"/>
    </row>
    <row r="35007" spans="3:3" x14ac:dyDescent="0.35">
      <c r="C35007" s="2"/>
    </row>
    <row r="35008" spans="3:3" x14ac:dyDescent="0.35">
      <c r="C35008" s="2"/>
    </row>
    <row r="35009" spans="3:3" x14ac:dyDescent="0.35">
      <c r="C35009" s="2"/>
    </row>
    <row r="35010" spans="3:3" x14ac:dyDescent="0.35">
      <c r="C35010" s="2"/>
    </row>
    <row r="35011" spans="3:3" x14ac:dyDescent="0.35">
      <c r="C35011" s="2"/>
    </row>
    <row r="35012" spans="3:3" x14ac:dyDescent="0.35">
      <c r="C35012" s="2"/>
    </row>
    <row r="35013" spans="3:3" x14ac:dyDescent="0.35">
      <c r="C35013" s="2"/>
    </row>
    <row r="35014" spans="3:3" x14ac:dyDescent="0.35">
      <c r="C35014" s="2"/>
    </row>
    <row r="35015" spans="3:3" x14ac:dyDescent="0.35">
      <c r="C35015" s="2"/>
    </row>
    <row r="35016" spans="3:3" x14ac:dyDescent="0.35">
      <c r="C35016" s="2"/>
    </row>
    <row r="35017" spans="3:3" x14ac:dyDescent="0.35">
      <c r="C35017" s="2"/>
    </row>
    <row r="35018" spans="3:3" x14ac:dyDescent="0.35">
      <c r="C35018" s="2"/>
    </row>
    <row r="35019" spans="3:3" x14ac:dyDescent="0.35">
      <c r="C35019" s="2"/>
    </row>
    <row r="35020" spans="3:3" x14ac:dyDescent="0.35">
      <c r="C35020" s="2"/>
    </row>
    <row r="35021" spans="3:3" x14ac:dyDescent="0.35">
      <c r="C35021" s="2"/>
    </row>
    <row r="35022" spans="3:3" x14ac:dyDescent="0.35">
      <c r="C35022" s="2"/>
    </row>
    <row r="35023" spans="3:3" x14ac:dyDescent="0.35">
      <c r="C35023" s="2"/>
    </row>
    <row r="35024" spans="3:3" x14ac:dyDescent="0.35">
      <c r="C35024" s="2"/>
    </row>
    <row r="35025" spans="3:3" x14ac:dyDescent="0.35">
      <c r="C35025" s="2"/>
    </row>
    <row r="35026" spans="3:3" x14ac:dyDescent="0.35">
      <c r="C35026" s="2"/>
    </row>
    <row r="35027" spans="3:3" x14ac:dyDescent="0.35">
      <c r="C35027" s="2"/>
    </row>
    <row r="35028" spans="3:3" x14ac:dyDescent="0.35">
      <c r="C35028" s="2"/>
    </row>
    <row r="35029" spans="3:3" x14ac:dyDescent="0.35">
      <c r="C35029" s="2"/>
    </row>
    <row r="35030" spans="3:3" x14ac:dyDescent="0.35">
      <c r="C35030" s="2"/>
    </row>
    <row r="35031" spans="3:3" x14ac:dyDescent="0.35">
      <c r="C35031" s="2"/>
    </row>
    <row r="35032" spans="3:3" x14ac:dyDescent="0.35">
      <c r="C35032" s="2"/>
    </row>
    <row r="35033" spans="3:3" x14ac:dyDescent="0.35">
      <c r="C35033" s="2"/>
    </row>
    <row r="35034" spans="3:3" x14ac:dyDescent="0.35">
      <c r="C35034" s="2"/>
    </row>
    <row r="35035" spans="3:3" x14ac:dyDescent="0.35">
      <c r="C35035" s="2"/>
    </row>
    <row r="35036" spans="3:3" x14ac:dyDescent="0.35">
      <c r="C35036" s="2"/>
    </row>
    <row r="35037" spans="3:3" x14ac:dyDescent="0.35">
      <c r="C35037" s="2"/>
    </row>
    <row r="35038" spans="3:3" x14ac:dyDescent="0.35">
      <c r="C35038" s="2"/>
    </row>
    <row r="35039" spans="3:3" x14ac:dyDescent="0.35">
      <c r="C35039" s="2"/>
    </row>
    <row r="35040" spans="3:3" x14ac:dyDescent="0.35">
      <c r="C35040" s="2"/>
    </row>
    <row r="35041" spans="3:3" x14ac:dyDescent="0.35">
      <c r="C35041" s="2"/>
    </row>
    <row r="35042" spans="3:3" x14ac:dyDescent="0.35">
      <c r="C35042" s="2"/>
    </row>
    <row r="35043" spans="3:3" x14ac:dyDescent="0.35">
      <c r="C35043" s="2"/>
    </row>
    <row r="35044" spans="3:3" x14ac:dyDescent="0.35">
      <c r="C35044" s="2"/>
    </row>
    <row r="35045" spans="3:3" x14ac:dyDescent="0.35">
      <c r="C35045" s="2"/>
    </row>
    <row r="35046" spans="3:3" x14ac:dyDescent="0.35">
      <c r="C35046" s="2"/>
    </row>
    <row r="35047" spans="3:3" x14ac:dyDescent="0.35">
      <c r="C35047" s="2"/>
    </row>
    <row r="35048" spans="3:3" x14ac:dyDescent="0.35">
      <c r="C35048" s="2"/>
    </row>
    <row r="35049" spans="3:3" x14ac:dyDescent="0.35">
      <c r="C35049" s="2"/>
    </row>
    <row r="35050" spans="3:3" x14ac:dyDescent="0.35">
      <c r="C35050" s="2"/>
    </row>
    <row r="35051" spans="3:3" x14ac:dyDescent="0.35">
      <c r="C35051" s="2"/>
    </row>
    <row r="35052" spans="3:3" x14ac:dyDescent="0.35">
      <c r="C35052" s="2"/>
    </row>
    <row r="35053" spans="3:3" x14ac:dyDescent="0.35">
      <c r="C35053" s="2"/>
    </row>
    <row r="35054" spans="3:3" x14ac:dyDescent="0.35">
      <c r="C35054" s="2"/>
    </row>
    <row r="35055" spans="3:3" x14ac:dyDescent="0.35">
      <c r="C35055" s="2"/>
    </row>
    <row r="35056" spans="3:3" x14ac:dyDescent="0.35">
      <c r="C35056" s="2"/>
    </row>
    <row r="35057" spans="3:3" x14ac:dyDescent="0.35">
      <c r="C35057" s="2"/>
    </row>
    <row r="35058" spans="3:3" x14ac:dyDescent="0.35">
      <c r="C35058" s="2"/>
    </row>
    <row r="35059" spans="3:3" x14ac:dyDescent="0.35">
      <c r="C35059" s="2"/>
    </row>
    <row r="35060" spans="3:3" x14ac:dyDescent="0.35">
      <c r="C35060" s="2"/>
    </row>
    <row r="35061" spans="3:3" x14ac:dyDescent="0.35">
      <c r="C35061" s="2"/>
    </row>
    <row r="35062" spans="3:3" x14ac:dyDescent="0.35">
      <c r="C35062" s="2"/>
    </row>
    <row r="35063" spans="3:3" x14ac:dyDescent="0.35">
      <c r="C35063" s="2"/>
    </row>
    <row r="35064" spans="3:3" x14ac:dyDescent="0.35">
      <c r="C35064" s="2"/>
    </row>
    <row r="35065" spans="3:3" x14ac:dyDescent="0.35">
      <c r="C35065" s="2"/>
    </row>
    <row r="35066" spans="3:3" x14ac:dyDescent="0.35">
      <c r="C35066" s="2"/>
    </row>
    <row r="35067" spans="3:3" x14ac:dyDescent="0.35">
      <c r="C35067" s="2"/>
    </row>
    <row r="35068" spans="3:3" x14ac:dyDescent="0.35">
      <c r="C35068" s="2"/>
    </row>
    <row r="35069" spans="3:3" x14ac:dyDescent="0.35">
      <c r="C35069" s="2"/>
    </row>
    <row r="35070" spans="3:3" x14ac:dyDescent="0.35">
      <c r="C35070" s="2"/>
    </row>
    <row r="35071" spans="3:3" x14ac:dyDescent="0.35">
      <c r="C35071" s="2"/>
    </row>
    <row r="35072" spans="3:3" x14ac:dyDescent="0.35">
      <c r="C35072" s="2"/>
    </row>
    <row r="35073" spans="3:3" x14ac:dyDescent="0.35">
      <c r="C35073" s="2"/>
    </row>
    <row r="35074" spans="3:3" x14ac:dyDescent="0.35">
      <c r="C35074" s="2"/>
    </row>
    <row r="35075" spans="3:3" x14ac:dyDescent="0.35">
      <c r="C35075" s="2"/>
    </row>
    <row r="35076" spans="3:3" x14ac:dyDescent="0.35">
      <c r="C35076" s="2"/>
    </row>
    <row r="35077" spans="3:3" x14ac:dyDescent="0.35">
      <c r="C35077" s="2"/>
    </row>
    <row r="35078" spans="3:3" x14ac:dyDescent="0.35">
      <c r="C35078" s="2"/>
    </row>
    <row r="35079" spans="3:3" x14ac:dyDescent="0.35">
      <c r="C35079" s="2"/>
    </row>
    <row r="35080" spans="3:3" x14ac:dyDescent="0.35">
      <c r="C35080" s="2"/>
    </row>
    <row r="35081" spans="3:3" x14ac:dyDescent="0.35">
      <c r="C35081" s="2"/>
    </row>
    <row r="35082" spans="3:3" x14ac:dyDescent="0.35">
      <c r="C35082" s="2"/>
    </row>
    <row r="35083" spans="3:3" x14ac:dyDescent="0.35">
      <c r="C35083" s="2"/>
    </row>
    <row r="35084" spans="3:3" x14ac:dyDescent="0.35">
      <c r="C35084" s="2"/>
    </row>
    <row r="35085" spans="3:3" x14ac:dyDescent="0.35">
      <c r="C35085" s="2"/>
    </row>
    <row r="35086" spans="3:3" x14ac:dyDescent="0.35">
      <c r="C35086" s="2"/>
    </row>
    <row r="35087" spans="3:3" x14ac:dyDescent="0.35">
      <c r="C35087" s="2"/>
    </row>
    <row r="35088" spans="3:3" x14ac:dyDescent="0.35">
      <c r="C35088" s="2"/>
    </row>
    <row r="35089" spans="3:3" x14ac:dyDescent="0.35">
      <c r="C35089" s="2"/>
    </row>
    <row r="35090" spans="3:3" x14ac:dyDescent="0.35">
      <c r="C35090" s="2"/>
    </row>
    <row r="35091" spans="3:3" x14ac:dyDescent="0.35">
      <c r="C35091" s="2"/>
    </row>
    <row r="35092" spans="3:3" x14ac:dyDescent="0.35">
      <c r="C35092" s="2"/>
    </row>
    <row r="35093" spans="3:3" x14ac:dyDescent="0.35">
      <c r="C35093" s="2"/>
    </row>
    <row r="35094" spans="3:3" x14ac:dyDescent="0.35">
      <c r="C35094" s="2"/>
    </row>
    <row r="35095" spans="3:3" x14ac:dyDescent="0.35">
      <c r="C35095" s="2"/>
    </row>
    <row r="35096" spans="3:3" x14ac:dyDescent="0.35">
      <c r="C35096" s="2"/>
    </row>
    <row r="35097" spans="3:3" x14ac:dyDescent="0.35">
      <c r="C35097" s="2"/>
    </row>
    <row r="35098" spans="3:3" x14ac:dyDescent="0.35">
      <c r="C35098" s="2"/>
    </row>
    <row r="35099" spans="3:3" x14ac:dyDescent="0.35">
      <c r="C35099" s="2"/>
    </row>
    <row r="35100" spans="3:3" x14ac:dyDescent="0.35">
      <c r="C35100" s="2"/>
    </row>
    <row r="35101" spans="3:3" x14ac:dyDescent="0.35">
      <c r="C35101" s="2"/>
    </row>
    <row r="35102" spans="3:3" x14ac:dyDescent="0.35">
      <c r="C35102" s="2"/>
    </row>
    <row r="35103" spans="3:3" x14ac:dyDescent="0.35">
      <c r="C35103" s="2"/>
    </row>
    <row r="35104" spans="3:3" x14ac:dyDescent="0.35">
      <c r="C35104" s="2"/>
    </row>
    <row r="35105" spans="3:3" x14ac:dyDescent="0.35">
      <c r="C35105" s="2"/>
    </row>
    <row r="35106" spans="3:3" x14ac:dyDescent="0.35">
      <c r="C35106" s="2"/>
    </row>
    <row r="35107" spans="3:3" x14ac:dyDescent="0.35">
      <c r="C35107" s="2"/>
    </row>
    <row r="35108" spans="3:3" x14ac:dyDescent="0.35">
      <c r="C35108" s="2"/>
    </row>
    <row r="35109" spans="3:3" x14ac:dyDescent="0.35">
      <c r="C35109" s="2"/>
    </row>
    <row r="35110" spans="3:3" x14ac:dyDescent="0.35">
      <c r="C35110" s="2"/>
    </row>
    <row r="35111" spans="3:3" x14ac:dyDescent="0.35">
      <c r="C35111" s="2"/>
    </row>
    <row r="35112" spans="3:3" x14ac:dyDescent="0.35">
      <c r="C35112" s="2"/>
    </row>
    <row r="35113" spans="3:3" x14ac:dyDescent="0.35">
      <c r="C35113" s="2"/>
    </row>
    <row r="35114" spans="3:3" x14ac:dyDescent="0.35">
      <c r="C35114" s="2"/>
    </row>
    <row r="35115" spans="3:3" x14ac:dyDescent="0.35">
      <c r="C35115" s="2"/>
    </row>
    <row r="35116" spans="3:3" x14ac:dyDescent="0.35">
      <c r="C35116" s="2"/>
    </row>
    <row r="35117" spans="3:3" x14ac:dyDescent="0.35">
      <c r="C35117" s="2"/>
    </row>
    <row r="35118" spans="3:3" x14ac:dyDescent="0.35">
      <c r="C35118" s="2"/>
    </row>
    <row r="35119" spans="3:3" x14ac:dyDescent="0.35">
      <c r="C35119" s="2"/>
    </row>
    <row r="35120" spans="3:3" x14ac:dyDescent="0.35">
      <c r="C35120" s="2"/>
    </row>
    <row r="35121" spans="3:3" x14ac:dyDescent="0.35">
      <c r="C35121" s="2"/>
    </row>
    <row r="35122" spans="3:3" x14ac:dyDescent="0.35">
      <c r="C35122" s="2"/>
    </row>
    <row r="35123" spans="3:3" x14ac:dyDescent="0.35">
      <c r="C35123" s="2"/>
    </row>
    <row r="35124" spans="3:3" x14ac:dyDescent="0.35">
      <c r="C35124" s="2"/>
    </row>
    <row r="35125" spans="3:3" x14ac:dyDescent="0.35">
      <c r="C35125" s="2"/>
    </row>
    <row r="35126" spans="3:3" x14ac:dyDescent="0.35">
      <c r="C35126" s="2"/>
    </row>
    <row r="35127" spans="3:3" x14ac:dyDescent="0.35">
      <c r="C35127" s="2"/>
    </row>
    <row r="35128" spans="3:3" x14ac:dyDescent="0.35">
      <c r="C35128" s="2"/>
    </row>
    <row r="35129" spans="3:3" x14ac:dyDescent="0.35">
      <c r="C35129" s="2"/>
    </row>
    <row r="35130" spans="3:3" x14ac:dyDescent="0.35">
      <c r="C35130" s="2"/>
    </row>
    <row r="35131" spans="3:3" x14ac:dyDescent="0.35">
      <c r="C35131" s="2"/>
    </row>
    <row r="35132" spans="3:3" x14ac:dyDescent="0.35">
      <c r="C35132" s="2"/>
    </row>
    <row r="35133" spans="3:3" x14ac:dyDescent="0.35">
      <c r="C35133" s="2"/>
    </row>
    <row r="35134" spans="3:3" x14ac:dyDescent="0.35">
      <c r="C35134" s="2"/>
    </row>
    <row r="35135" spans="3:3" x14ac:dyDescent="0.35">
      <c r="C35135" s="2"/>
    </row>
    <row r="35136" spans="3:3" x14ac:dyDescent="0.35">
      <c r="C35136" s="2"/>
    </row>
    <row r="35137" spans="3:3" x14ac:dyDescent="0.35">
      <c r="C35137" s="2"/>
    </row>
    <row r="35138" spans="3:3" x14ac:dyDescent="0.35">
      <c r="C35138" s="2"/>
    </row>
    <row r="35139" spans="3:3" x14ac:dyDescent="0.35">
      <c r="C35139" s="2"/>
    </row>
    <row r="35140" spans="3:3" x14ac:dyDescent="0.35">
      <c r="C35140" s="2"/>
    </row>
    <row r="35141" spans="3:3" x14ac:dyDescent="0.35">
      <c r="C35141" s="2"/>
    </row>
    <row r="35142" spans="3:3" x14ac:dyDescent="0.35">
      <c r="C35142" s="2"/>
    </row>
    <row r="35143" spans="3:3" x14ac:dyDescent="0.35">
      <c r="C35143" s="2"/>
    </row>
    <row r="35144" spans="3:3" x14ac:dyDescent="0.35">
      <c r="C35144" s="2"/>
    </row>
    <row r="35145" spans="3:3" x14ac:dyDescent="0.35">
      <c r="C35145" s="2"/>
    </row>
    <row r="35146" spans="3:3" x14ac:dyDescent="0.35">
      <c r="C35146" s="2"/>
    </row>
    <row r="35147" spans="3:3" x14ac:dyDescent="0.35">
      <c r="C35147" s="2"/>
    </row>
    <row r="35148" spans="3:3" x14ac:dyDescent="0.35">
      <c r="C35148" s="2"/>
    </row>
    <row r="35149" spans="3:3" x14ac:dyDescent="0.35">
      <c r="C35149" s="2"/>
    </row>
    <row r="35150" spans="3:3" x14ac:dyDescent="0.35">
      <c r="C35150" s="2"/>
    </row>
    <row r="35151" spans="3:3" x14ac:dyDescent="0.35">
      <c r="C35151" s="2"/>
    </row>
    <row r="35152" spans="3:3" x14ac:dyDescent="0.35">
      <c r="C35152" s="2"/>
    </row>
    <row r="35153" spans="3:3" x14ac:dyDescent="0.35">
      <c r="C35153" s="2"/>
    </row>
    <row r="35154" spans="3:3" x14ac:dyDescent="0.35">
      <c r="C35154" s="2"/>
    </row>
    <row r="35155" spans="3:3" x14ac:dyDescent="0.35">
      <c r="C35155" s="2"/>
    </row>
    <row r="35156" spans="3:3" x14ac:dyDescent="0.35">
      <c r="C35156" s="2"/>
    </row>
    <row r="35157" spans="3:3" x14ac:dyDescent="0.35">
      <c r="C35157" s="2"/>
    </row>
    <row r="35158" spans="3:3" x14ac:dyDescent="0.35">
      <c r="C35158" s="2"/>
    </row>
    <row r="35159" spans="3:3" x14ac:dyDescent="0.35">
      <c r="C35159" s="2"/>
    </row>
    <row r="35160" spans="3:3" x14ac:dyDescent="0.35">
      <c r="C35160" s="2"/>
    </row>
    <row r="35161" spans="3:3" x14ac:dyDescent="0.35">
      <c r="C35161" s="2"/>
    </row>
    <row r="35162" spans="3:3" x14ac:dyDescent="0.35">
      <c r="C35162" s="2"/>
    </row>
    <row r="35163" spans="3:3" x14ac:dyDescent="0.35">
      <c r="C35163" s="2"/>
    </row>
    <row r="35164" spans="3:3" x14ac:dyDescent="0.35">
      <c r="C35164" s="2"/>
    </row>
    <row r="35165" spans="3:3" x14ac:dyDescent="0.35">
      <c r="C35165" s="2"/>
    </row>
    <row r="35166" spans="3:3" x14ac:dyDescent="0.35">
      <c r="C35166" s="2"/>
    </row>
    <row r="35167" spans="3:3" x14ac:dyDescent="0.35">
      <c r="C35167" s="2"/>
    </row>
    <row r="35168" spans="3:3" x14ac:dyDescent="0.35">
      <c r="C35168" s="2"/>
    </row>
    <row r="35169" spans="3:3" x14ac:dyDescent="0.35">
      <c r="C35169" s="2"/>
    </row>
    <row r="35170" spans="3:3" x14ac:dyDescent="0.35">
      <c r="C35170" s="2"/>
    </row>
    <row r="35171" spans="3:3" x14ac:dyDescent="0.35">
      <c r="C35171" s="2"/>
    </row>
    <row r="35172" spans="3:3" x14ac:dyDescent="0.35">
      <c r="C35172" s="2"/>
    </row>
    <row r="35173" spans="3:3" x14ac:dyDescent="0.35">
      <c r="C35173" s="2"/>
    </row>
    <row r="35174" spans="3:3" x14ac:dyDescent="0.35">
      <c r="C35174" s="2"/>
    </row>
    <row r="35175" spans="3:3" x14ac:dyDescent="0.35">
      <c r="C35175" s="2"/>
    </row>
    <row r="35176" spans="3:3" x14ac:dyDescent="0.35">
      <c r="C35176" s="2"/>
    </row>
    <row r="35177" spans="3:3" x14ac:dyDescent="0.35">
      <c r="C35177" s="2"/>
    </row>
    <row r="35178" spans="3:3" x14ac:dyDescent="0.35">
      <c r="C35178" s="2"/>
    </row>
    <row r="35179" spans="3:3" x14ac:dyDescent="0.35">
      <c r="C35179" s="2"/>
    </row>
    <row r="35180" spans="3:3" x14ac:dyDescent="0.35">
      <c r="C35180" s="2"/>
    </row>
    <row r="35181" spans="3:3" x14ac:dyDescent="0.35">
      <c r="C35181" s="2"/>
    </row>
    <row r="35182" spans="3:3" x14ac:dyDescent="0.35">
      <c r="C35182" s="2"/>
    </row>
    <row r="35183" spans="3:3" x14ac:dyDescent="0.35">
      <c r="C35183" s="2"/>
    </row>
    <row r="35184" spans="3:3" x14ac:dyDescent="0.35">
      <c r="C35184" s="2"/>
    </row>
    <row r="35185" spans="3:3" x14ac:dyDescent="0.35">
      <c r="C35185" s="2"/>
    </row>
    <row r="35186" spans="3:3" x14ac:dyDescent="0.35">
      <c r="C35186" s="2"/>
    </row>
    <row r="35187" spans="3:3" x14ac:dyDescent="0.35">
      <c r="C35187" s="2"/>
    </row>
    <row r="35188" spans="3:3" x14ac:dyDescent="0.35">
      <c r="C35188" s="2"/>
    </row>
    <row r="35189" spans="3:3" x14ac:dyDescent="0.35">
      <c r="C35189" s="2"/>
    </row>
    <row r="35190" spans="3:3" x14ac:dyDescent="0.35">
      <c r="C35190" s="2"/>
    </row>
    <row r="35191" spans="3:3" x14ac:dyDescent="0.35">
      <c r="C35191" s="2"/>
    </row>
    <row r="35192" spans="3:3" x14ac:dyDescent="0.35">
      <c r="C35192" s="2"/>
    </row>
    <row r="35193" spans="3:3" x14ac:dyDescent="0.35">
      <c r="C35193" s="2"/>
    </row>
    <row r="35194" spans="3:3" x14ac:dyDescent="0.35">
      <c r="C35194" s="2"/>
    </row>
    <row r="35195" spans="3:3" x14ac:dyDescent="0.35">
      <c r="C35195" s="2"/>
    </row>
    <row r="35196" spans="3:3" x14ac:dyDescent="0.35">
      <c r="C35196" s="2"/>
    </row>
    <row r="35197" spans="3:3" x14ac:dyDescent="0.35">
      <c r="C35197" s="2"/>
    </row>
    <row r="35198" spans="3:3" x14ac:dyDescent="0.35">
      <c r="C35198" s="2"/>
    </row>
    <row r="35199" spans="3:3" x14ac:dyDescent="0.35">
      <c r="C35199" s="2"/>
    </row>
    <row r="35200" spans="3:3" x14ac:dyDescent="0.35">
      <c r="C35200" s="2"/>
    </row>
    <row r="35201" spans="3:3" x14ac:dyDescent="0.35">
      <c r="C35201" s="2"/>
    </row>
    <row r="35202" spans="3:3" x14ac:dyDescent="0.35">
      <c r="C35202" s="2"/>
    </row>
    <row r="35203" spans="3:3" x14ac:dyDescent="0.35">
      <c r="C35203" s="2"/>
    </row>
    <row r="35204" spans="3:3" x14ac:dyDescent="0.35">
      <c r="C35204" s="2"/>
    </row>
    <row r="35205" spans="3:3" x14ac:dyDescent="0.35">
      <c r="C35205" s="2"/>
    </row>
    <row r="35206" spans="3:3" x14ac:dyDescent="0.35">
      <c r="C35206" s="2"/>
    </row>
    <row r="35207" spans="3:3" x14ac:dyDescent="0.35">
      <c r="C35207" s="2"/>
    </row>
    <row r="35208" spans="3:3" x14ac:dyDescent="0.35">
      <c r="C35208" s="2"/>
    </row>
    <row r="35209" spans="3:3" x14ac:dyDescent="0.35">
      <c r="C35209" s="2"/>
    </row>
    <row r="35210" spans="3:3" x14ac:dyDescent="0.35">
      <c r="C35210" s="2"/>
    </row>
    <row r="35211" spans="3:3" x14ac:dyDescent="0.35">
      <c r="C35211" s="2"/>
    </row>
    <row r="35212" spans="3:3" x14ac:dyDescent="0.35">
      <c r="C35212" s="2"/>
    </row>
    <row r="35213" spans="3:3" x14ac:dyDescent="0.35">
      <c r="C35213" s="2"/>
    </row>
    <row r="35214" spans="3:3" x14ac:dyDescent="0.35">
      <c r="C35214" s="2"/>
    </row>
    <row r="35215" spans="3:3" x14ac:dyDescent="0.35">
      <c r="C35215" s="2"/>
    </row>
    <row r="35216" spans="3:3" x14ac:dyDescent="0.35">
      <c r="C35216" s="2"/>
    </row>
    <row r="35217" spans="3:3" x14ac:dyDescent="0.35">
      <c r="C35217" s="2"/>
    </row>
    <row r="35218" spans="3:3" x14ac:dyDescent="0.35">
      <c r="C35218" s="2"/>
    </row>
    <row r="35219" spans="3:3" x14ac:dyDescent="0.35">
      <c r="C35219" s="2"/>
    </row>
    <row r="35220" spans="3:3" x14ac:dyDescent="0.35">
      <c r="C35220" s="2"/>
    </row>
    <row r="35221" spans="3:3" x14ac:dyDescent="0.35">
      <c r="C35221" s="2"/>
    </row>
    <row r="35222" spans="3:3" x14ac:dyDescent="0.35">
      <c r="C35222" s="2"/>
    </row>
    <row r="35223" spans="3:3" x14ac:dyDescent="0.35">
      <c r="C35223" s="2"/>
    </row>
    <row r="35224" spans="3:3" x14ac:dyDescent="0.35">
      <c r="C35224" s="2"/>
    </row>
    <row r="35225" spans="3:3" x14ac:dyDescent="0.35">
      <c r="C35225" s="2"/>
    </row>
    <row r="35226" spans="3:3" x14ac:dyDescent="0.35">
      <c r="C35226" s="2"/>
    </row>
    <row r="35227" spans="3:3" x14ac:dyDescent="0.35">
      <c r="C35227" s="2"/>
    </row>
    <row r="35228" spans="3:3" x14ac:dyDescent="0.35">
      <c r="C35228" s="2"/>
    </row>
    <row r="35229" spans="3:3" x14ac:dyDescent="0.35">
      <c r="C35229" s="2"/>
    </row>
    <row r="35230" spans="3:3" x14ac:dyDescent="0.35">
      <c r="C35230" s="2"/>
    </row>
    <row r="35231" spans="3:3" x14ac:dyDescent="0.35">
      <c r="C35231" s="2"/>
    </row>
    <row r="35232" spans="3:3" x14ac:dyDescent="0.35">
      <c r="C35232" s="2"/>
    </row>
    <row r="35233" spans="3:3" x14ac:dyDescent="0.35">
      <c r="C35233" s="2"/>
    </row>
    <row r="35234" spans="3:3" x14ac:dyDescent="0.35">
      <c r="C35234" s="2"/>
    </row>
    <row r="35235" spans="3:3" x14ac:dyDescent="0.35">
      <c r="C35235" s="2"/>
    </row>
    <row r="35236" spans="3:3" x14ac:dyDescent="0.35">
      <c r="C35236" s="2"/>
    </row>
    <row r="35237" spans="3:3" x14ac:dyDescent="0.35">
      <c r="C35237" s="2"/>
    </row>
    <row r="35238" spans="3:3" x14ac:dyDescent="0.35">
      <c r="C35238" s="2"/>
    </row>
    <row r="35239" spans="3:3" x14ac:dyDescent="0.35">
      <c r="C35239" s="2"/>
    </row>
    <row r="35240" spans="3:3" x14ac:dyDescent="0.35">
      <c r="C35240" s="2"/>
    </row>
    <row r="35241" spans="3:3" x14ac:dyDescent="0.35">
      <c r="C35241" s="2"/>
    </row>
    <row r="35242" spans="3:3" x14ac:dyDescent="0.35">
      <c r="C35242" s="2"/>
    </row>
    <row r="35243" spans="3:3" x14ac:dyDescent="0.35">
      <c r="C35243" s="2"/>
    </row>
    <row r="35244" spans="3:3" x14ac:dyDescent="0.35">
      <c r="C35244" s="2"/>
    </row>
    <row r="35245" spans="3:3" x14ac:dyDescent="0.35">
      <c r="C35245" s="2"/>
    </row>
    <row r="35246" spans="3:3" x14ac:dyDescent="0.35">
      <c r="C35246" s="2"/>
    </row>
    <row r="35247" spans="3:3" x14ac:dyDescent="0.35">
      <c r="C35247" s="2"/>
    </row>
    <row r="35248" spans="3:3" x14ac:dyDescent="0.35">
      <c r="C35248" s="2"/>
    </row>
    <row r="35249" spans="3:3" x14ac:dyDescent="0.35">
      <c r="C35249" s="2"/>
    </row>
    <row r="35250" spans="3:3" x14ac:dyDescent="0.35">
      <c r="C35250" s="2"/>
    </row>
    <row r="35251" spans="3:3" x14ac:dyDescent="0.35">
      <c r="C35251" s="2"/>
    </row>
    <row r="35252" spans="3:3" x14ac:dyDescent="0.35">
      <c r="C35252" s="2"/>
    </row>
    <row r="35253" spans="3:3" x14ac:dyDescent="0.35">
      <c r="C35253" s="2"/>
    </row>
    <row r="35254" spans="3:3" x14ac:dyDescent="0.35">
      <c r="C35254" s="2"/>
    </row>
    <row r="35255" spans="3:3" x14ac:dyDescent="0.35">
      <c r="C35255" s="2"/>
    </row>
    <row r="35256" spans="3:3" x14ac:dyDescent="0.35">
      <c r="C35256" s="2"/>
    </row>
    <row r="35257" spans="3:3" x14ac:dyDescent="0.35">
      <c r="C35257" s="2"/>
    </row>
    <row r="35258" spans="3:3" x14ac:dyDescent="0.35">
      <c r="C35258" s="2"/>
    </row>
    <row r="35259" spans="3:3" x14ac:dyDescent="0.35">
      <c r="C35259" s="2"/>
    </row>
    <row r="35260" spans="3:3" x14ac:dyDescent="0.35">
      <c r="C35260" s="2"/>
    </row>
    <row r="35261" spans="3:3" x14ac:dyDescent="0.35">
      <c r="C35261" s="2"/>
    </row>
    <row r="35262" spans="3:3" x14ac:dyDescent="0.35">
      <c r="C35262" s="2"/>
    </row>
    <row r="35263" spans="3:3" x14ac:dyDescent="0.35">
      <c r="C35263" s="2"/>
    </row>
    <row r="35264" spans="3:3" x14ac:dyDescent="0.35">
      <c r="C35264" s="2"/>
    </row>
    <row r="35265" spans="3:3" x14ac:dyDescent="0.35">
      <c r="C35265" s="2"/>
    </row>
    <row r="35266" spans="3:3" x14ac:dyDescent="0.35">
      <c r="C35266" s="2"/>
    </row>
    <row r="35267" spans="3:3" x14ac:dyDescent="0.35">
      <c r="C35267" s="2"/>
    </row>
    <row r="35268" spans="3:3" x14ac:dyDescent="0.35">
      <c r="C35268" s="2"/>
    </row>
    <row r="35269" spans="3:3" x14ac:dyDescent="0.35">
      <c r="C35269" s="2"/>
    </row>
    <row r="35270" spans="3:3" x14ac:dyDescent="0.35">
      <c r="C35270" s="2"/>
    </row>
    <row r="35271" spans="3:3" x14ac:dyDescent="0.35">
      <c r="C35271" s="2"/>
    </row>
    <row r="35272" spans="3:3" x14ac:dyDescent="0.35">
      <c r="C35272" s="2"/>
    </row>
    <row r="35273" spans="3:3" x14ac:dyDescent="0.35">
      <c r="C35273" s="2"/>
    </row>
    <row r="35274" spans="3:3" x14ac:dyDescent="0.35">
      <c r="C35274" s="2"/>
    </row>
    <row r="35275" spans="3:3" x14ac:dyDescent="0.35">
      <c r="C35275" s="2"/>
    </row>
    <row r="35276" spans="3:3" x14ac:dyDescent="0.35">
      <c r="C35276" s="2"/>
    </row>
    <row r="35277" spans="3:3" x14ac:dyDescent="0.35">
      <c r="C35277" s="2"/>
    </row>
    <row r="35278" spans="3:3" x14ac:dyDescent="0.35">
      <c r="C35278" s="2"/>
    </row>
    <row r="35279" spans="3:3" x14ac:dyDescent="0.35">
      <c r="C35279" s="2"/>
    </row>
    <row r="35280" spans="3:3" x14ac:dyDescent="0.35">
      <c r="C35280" s="2"/>
    </row>
    <row r="35281" spans="3:3" x14ac:dyDescent="0.35">
      <c r="C35281" s="2"/>
    </row>
    <row r="35282" spans="3:3" x14ac:dyDescent="0.35">
      <c r="C35282" s="2"/>
    </row>
    <row r="35283" spans="3:3" x14ac:dyDescent="0.35">
      <c r="C35283" s="2"/>
    </row>
    <row r="35284" spans="3:3" x14ac:dyDescent="0.35">
      <c r="C35284" s="2"/>
    </row>
    <row r="35285" spans="3:3" x14ac:dyDescent="0.35">
      <c r="C35285" s="2"/>
    </row>
    <row r="35286" spans="3:3" x14ac:dyDescent="0.35">
      <c r="C35286" s="2"/>
    </row>
    <row r="35287" spans="3:3" x14ac:dyDescent="0.35">
      <c r="C35287" s="2"/>
    </row>
    <row r="35288" spans="3:3" x14ac:dyDescent="0.35">
      <c r="C35288" s="2"/>
    </row>
    <row r="35289" spans="3:3" x14ac:dyDescent="0.35">
      <c r="C35289" s="2"/>
    </row>
    <row r="35290" spans="3:3" x14ac:dyDescent="0.35">
      <c r="C35290" s="2"/>
    </row>
    <row r="35291" spans="3:3" x14ac:dyDescent="0.35">
      <c r="C35291" s="2"/>
    </row>
    <row r="35292" spans="3:3" x14ac:dyDescent="0.35">
      <c r="C35292" s="2"/>
    </row>
    <row r="35293" spans="3:3" x14ac:dyDescent="0.35">
      <c r="C35293" s="2"/>
    </row>
    <row r="35294" spans="3:3" x14ac:dyDescent="0.35">
      <c r="C35294" s="2"/>
    </row>
    <row r="35295" spans="3:3" x14ac:dyDescent="0.35">
      <c r="C35295" s="2"/>
    </row>
    <row r="35296" spans="3:3" x14ac:dyDescent="0.35">
      <c r="C35296" s="2"/>
    </row>
    <row r="35297" spans="3:3" x14ac:dyDescent="0.35">
      <c r="C35297" s="2"/>
    </row>
    <row r="35298" spans="3:3" x14ac:dyDescent="0.35">
      <c r="C35298" s="2"/>
    </row>
    <row r="35299" spans="3:3" x14ac:dyDescent="0.35">
      <c r="C35299" s="2"/>
    </row>
    <row r="35300" spans="3:3" x14ac:dyDescent="0.35">
      <c r="C35300" s="2"/>
    </row>
    <row r="35301" spans="3:3" x14ac:dyDescent="0.35">
      <c r="C35301" s="2"/>
    </row>
    <row r="35302" spans="3:3" x14ac:dyDescent="0.35">
      <c r="C35302" s="2"/>
    </row>
    <row r="35303" spans="3:3" x14ac:dyDescent="0.35">
      <c r="C35303" s="2"/>
    </row>
    <row r="35304" spans="3:3" x14ac:dyDescent="0.35">
      <c r="C35304" s="2"/>
    </row>
    <row r="35305" spans="3:3" x14ac:dyDescent="0.35">
      <c r="C35305" s="2"/>
    </row>
    <row r="35306" spans="3:3" x14ac:dyDescent="0.35">
      <c r="C35306" s="2"/>
    </row>
    <row r="35307" spans="3:3" x14ac:dyDescent="0.35">
      <c r="C35307" s="2"/>
    </row>
    <row r="35308" spans="3:3" x14ac:dyDescent="0.35">
      <c r="C35308" s="2"/>
    </row>
    <row r="35309" spans="3:3" x14ac:dyDescent="0.35">
      <c r="C35309" s="2"/>
    </row>
    <row r="35310" spans="3:3" x14ac:dyDescent="0.35">
      <c r="C35310" s="2"/>
    </row>
    <row r="35311" spans="3:3" x14ac:dyDescent="0.35">
      <c r="C35311" s="2"/>
    </row>
    <row r="35312" spans="3:3" x14ac:dyDescent="0.35">
      <c r="C35312" s="2"/>
    </row>
    <row r="35313" spans="3:3" x14ac:dyDescent="0.35">
      <c r="C35313" s="2"/>
    </row>
    <row r="35314" spans="3:3" x14ac:dyDescent="0.35">
      <c r="C35314" s="2"/>
    </row>
    <row r="35315" spans="3:3" x14ac:dyDescent="0.35">
      <c r="C35315" s="2"/>
    </row>
    <row r="35316" spans="3:3" x14ac:dyDescent="0.35">
      <c r="C35316" s="2"/>
    </row>
    <row r="35317" spans="3:3" x14ac:dyDescent="0.35">
      <c r="C35317" s="2"/>
    </row>
    <row r="35318" spans="3:3" x14ac:dyDescent="0.35">
      <c r="C35318" s="2"/>
    </row>
    <row r="35319" spans="3:3" x14ac:dyDescent="0.35">
      <c r="C35319" s="2"/>
    </row>
    <row r="35320" spans="3:3" x14ac:dyDescent="0.35">
      <c r="C35320" s="2"/>
    </row>
    <row r="35321" spans="3:3" x14ac:dyDescent="0.35">
      <c r="C35321" s="2"/>
    </row>
    <row r="35322" spans="3:3" x14ac:dyDescent="0.35">
      <c r="C35322" s="2"/>
    </row>
    <row r="35323" spans="3:3" x14ac:dyDescent="0.35">
      <c r="C35323" s="2"/>
    </row>
    <row r="35324" spans="3:3" x14ac:dyDescent="0.35">
      <c r="C35324" s="2"/>
    </row>
    <row r="35325" spans="3:3" x14ac:dyDescent="0.35">
      <c r="C35325" s="2"/>
    </row>
    <row r="35326" spans="3:3" x14ac:dyDescent="0.35">
      <c r="C35326" s="2"/>
    </row>
    <row r="35327" spans="3:3" x14ac:dyDescent="0.35">
      <c r="C35327" s="2"/>
    </row>
    <row r="35328" spans="3:3" x14ac:dyDescent="0.35">
      <c r="C35328" s="2"/>
    </row>
    <row r="35329" spans="3:3" x14ac:dyDescent="0.35">
      <c r="C35329" s="2"/>
    </row>
    <row r="35330" spans="3:3" x14ac:dyDescent="0.35">
      <c r="C35330" s="2"/>
    </row>
    <row r="35331" spans="3:3" x14ac:dyDescent="0.35">
      <c r="C35331" s="2"/>
    </row>
    <row r="35332" spans="3:3" x14ac:dyDescent="0.35">
      <c r="C35332" s="2"/>
    </row>
    <row r="35333" spans="3:3" x14ac:dyDescent="0.35">
      <c r="C35333" s="2"/>
    </row>
    <row r="35334" spans="3:3" x14ac:dyDescent="0.35">
      <c r="C35334" s="2"/>
    </row>
    <row r="35335" spans="3:3" x14ac:dyDescent="0.35">
      <c r="C35335" s="2"/>
    </row>
    <row r="35336" spans="3:3" x14ac:dyDescent="0.35">
      <c r="C35336" s="2"/>
    </row>
    <row r="35337" spans="3:3" x14ac:dyDescent="0.35">
      <c r="C35337" s="2"/>
    </row>
    <row r="35338" spans="3:3" x14ac:dyDescent="0.35">
      <c r="C35338" s="2"/>
    </row>
    <row r="35339" spans="3:3" x14ac:dyDescent="0.35">
      <c r="C35339" s="2"/>
    </row>
    <row r="35340" spans="3:3" x14ac:dyDescent="0.35">
      <c r="C35340" s="2"/>
    </row>
    <row r="35341" spans="3:3" x14ac:dyDescent="0.35">
      <c r="C35341" s="2"/>
    </row>
    <row r="35342" spans="3:3" x14ac:dyDescent="0.35">
      <c r="C35342" s="2"/>
    </row>
    <row r="35343" spans="3:3" x14ac:dyDescent="0.35">
      <c r="C35343" s="2"/>
    </row>
    <row r="35344" spans="3:3" x14ac:dyDescent="0.35">
      <c r="C35344" s="2"/>
    </row>
    <row r="35345" spans="3:3" x14ac:dyDescent="0.35">
      <c r="C35345" s="2"/>
    </row>
    <row r="35346" spans="3:3" x14ac:dyDescent="0.35">
      <c r="C35346" s="2"/>
    </row>
    <row r="35347" spans="3:3" x14ac:dyDescent="0.35">
      <c r="C35347" s="2"/>
    </row>
    <row r="35348" spans="3:3" x14ac:dyDescent="0.35">
      <c r="C35348" s="2"/>
    </row>
    <row r="35349" spans="3:3" x14ac:dyDescent="0.35">
      <c r="C35349" s="2"/>
    </row>
    <row r="35350" spans="3:3" x14ac:dyDescent="0.35">
      <c r="C35350" s="2"/>
    </row>
    <row r="35351" spans="3:3" x14ac:dyDescent="0.35">
      <c r="C35351" s="2"/>
    </row>
    <row r="35352" spans="3:3" x14ac:dyDescent="0.35">
      <c r="C35352" s="2"/>
    </row>
    <row r="35353" spans="3:3" x14ac:dyDescent="0.35">
      <c r="C35353" s="2"/>
    </row>
    <row r="35354" spans="3:3" x14ac:dyDescent="0.35">
      <c r="C35354" s="2"/>
    </row>
    <row r="35355" spans="3:3" x14ac:dyDescent="0.35">
      <c r="C35355" s="2"/>
    </row>
    <row r="35356" spans="3:3" x14ac:dyDescent="0.35">
      <c r="C35356" s="2"/>
    </row>
    <row r="35357" spans="3:3" x14ac:dyDescent="0.35">
      <c r="C35357" s="2"/>
    </row>
    <row r="35358" spans="3:3" x14ac:dyDescent="0.35">
      <c r="C35358" s="2"/>
    </row>
    <row r="35359" spans="3:3" x14ac:dyDescent="0.35">
      <c r="C35359" s="2"/>
    </row>
    <row r="35360" spans="3:3" x14ac:dyDescent="0.35">
      <c r="C35360" s="2"/>
    </row>
    <row r="35361" spans="3:3" x14ac:dyDescent="0.35">
      <c r="C35361" s="2"/>
    </row>
    <row r="35362" spans="3:3" x14ac:dyDescent="0.35">
      <c r="C35362" s="2"/>
    </row>
    <row r="35363" spans="3:3" x14ac:dyDescent="0.35">
      <c r="C35363" s="2"/>
    </row>
    <row r="35364" spans="3:3" x14ac:dyDescent="0.35">
      <c r="C35364" s="2"/>
    </row>
    <row r="35365" spans="3:3" x14ac:dyDescent="0.35">
      <c r="C35365" s="2"/>
    </row>
    <row r="35366" spans="3:3" x14ac:dyDescent="0.35">
      <c r="C35366" s="2"/>
    </row>
    <row r="35367" spans="3:3" x14ac:dyDescent="0.35">
      <c r="C35367" s="2"/>
    </row>
    <row r="35368" spans="3:3" x14ac:dyDescent="0.35">
      <c r="C35368" s="2"/>
    </row>
    <row r="35369" spans="3:3" x14ac:dyDescent="0.35">
      <c r="C35369" s="2"/>
    </row>
    <row r="35370" spans="3:3" x14ac:dyDescent="0.35">
      <c r="C35370" s="2"/>
    </row>
    <row r="35371" spans="3:3" x14ac:dyDescent="0.35">
      <c r="C35371" s="2"/>
    </row>
    <row r="35372" spans="3:3" x14ac:dyDescent="0.35">
      <c r="C35372" s="2"/>
    </row>
    <row r="35373" spans="3:3" x14ac:dyDescent="0.35">
      <c r="C35373" s="2"/>
    </row>
    <row r="35374" spans="3:3" x14ac:dyDescent="0.35">
      <c r="C35374" s="2"/>
    </row>
    <row r="35375" spans="3:3" x14ac:dyDescent="0.35">
      <c r="C35375" s="2"/>
    </row>
    <row r="35376" spans="3:3" x14ac:dyDescent="0.35">
      <c r="C35376" s="2"/>
    </row>
    <row r="35377" spans="3:3" x14ac:dyDescent="0.35">
      <c r="C35377" s="2"/>
    </row>
    <row r="35378" spans="3:3" x14ac:dyDescent="0.35">
      <c r="C35378" s="2"/>
    </row>
    <row r="35379" spans="3:3" x14ac:dyDescent="0.35">
      <c r="C35379" s="2"/>
    </row>
    <row r="35380" spans="3:3" x14ac:dyDescent="0.35">
      <c r="C35380" s="2"/>
    </row>
    <row r="35381" spans="3:3" x14ac:dyDescent="0.35">
      <c r="C35381" s="2"/>
    </row>
    <row r="35382" spans="3:3" x14ac:dyDescent="0.35">
      <c r="C35382" s="2"/>
    </row>
    <row r="35383" spans="3:3" x14ac:dyDescent="0.35">
      <c r="C35383" s="2"/>
    </row>
    <row r="35384" spans="3:3" x14ac:dyDescent="0.35">
      <c r="C35384" s="2"/>
    </row>
    <row r="35385" spans="3:3" x14ac:dyDescent="0.35">
      <c r="C35385" s="2"/>
    </row>
    <row r="35386" spans="3:3" x14ac:dyDescent="0.35">
      <c r="C35386" s="2"/>
    </row>
    <row r="35387" spans="3:3" x14ac:dyDescent="0.35">
      <c r="C35387" s="2"/>
    </row>
    <row r="35388" spans="3:3" x14ac:dyDescent="0.35">
      <c r="C35388" s="2"/>
    </row>
    <row r="35389" spans="3:3" x14ac:dyDescent="0.35">
      <c r="C35389" s="2"/>
    </row>
    <row r="35390" spans="3:3" x14ac:dyDescent="0.35">
      <c r="C35390" s="2"/>
    </row>
    <row r="35391" spans="3:3" x14ac:dyDescent="0.35">
      <c r="C35391" s="2"/>
    </row>
    <row r="35392" spans="3:3" x14ac:dyDescent="0.35">
      <c r="C35392" s="2"/>
    </row>
    <row r="35393" spans="3:3" x14ac:dyDescent="0.35">
      <c r="C35393" s="2"/>
    </row>
    <row r="35394" spans="3:3" x14ac:dyDescent="0.35">
      <c r="C35394" s="2"/>
    </row>
    <row r="35395" spans="3:3" x14ac:dyDescent="0.35">
      <c r="C35395" s="2"/>
    </row>
    <row r="35396" spans="3:3" x14ac:dyDescent="0.35">
      <c r="C35396" s="2"/>
    </row>
    <row r="35397" spans="3:3" x14ac:dyDescent="0.35">
      <c r="C35397" s="2"/>
    </row>
    <row r="35398" spans="3:3" x14ac:dyDescent="0.35">
      <c r="C35398" s="2"/>
    </row>
    <row r="35399" spans="3:3" x14ac:dyDescent="0.35">
      <c r="C35399" s="2"/>
    </row>
    <row r="35400" spans="3:3" x14ac:dyDescent="0.35">
      <c r="C35400" s="2"/>
    </row>
    <row r="35401" spans="3:3" x14ac:dyDescent="0.35">
      <c r="C35401" s="2"/>
    </row>
    <row r="35402" spans="3:3" x14ac:dyDescent="0.35">
      <c r="C35402" s="2"/>
    </row>
    <row r="35403" spans="3:3" x14ac:dyDescent="0.35">
      <c r="C35403" s="2"/>
    </row>
    <row r="35404" spans="3:3" x14ac:dyDescent="0.35">
      <c r="C35404" s="2"/>
    </row>
    <row r="35405" spans="3:3" x14ac:dyDescent="0.35">
      <c r="C35405" s="2"/>
    </row>
    <row r="35406" spans="3:3" x14ac:dyDescent="0.35">
      <c r="C35406" s="2"/>
    </row>
    <row r="35407" spans="3:3" x14ac:dyDescent="0.35">
      <c r="C35407" s="2"/>
    </row>
    <row r="35408" spans="3:3" x14ac:dyDescent="0.35">
      <c r="C35408" s="2"/>
    </row>
    <row r="35409" spans="3:3" x14ac:dyDescent="0.35">
      <c r="C35409" s="2"/>
    </row>
    <row r="35410" spans="3:3" x14ac:dyDescent="0.35">
      <c r="C35410" s="2"/>
    </row>
    <row r="35411" spans="3:3" x14ac:dyDescent="0.35">
      <c r="C35411" s="2"/>
    </row>
    <row r="35412" spans="3:3" x14ac:dyDescent="0.35">
      <c r="C35412" s="2"/>
    </row>
    <row r="35413" spans="3:3" x14ac:dyDescent="0.35">
      <c r="C35413" s="2"/>
    </row>
    <row r="35414" spans="3:3" x14ac:dyDescent="0.35">
      <c r="C35414" s="2"/>
    </row>
    <row r="35415" spans="3:3" x14ac:dyDescent="0.35">
      <c r="C35415" s="2"/>
    </row>
    <row r="35416" spans="3:3" x14ac:dyDescent="0.35">
      <c r="C35416" s="2"/>
    </row>
    <row r="35417" spans="3:3" x14ac:dyDescent="0.35">
      <c r="C35417" s="2"/>
    </row>
    <row r="35418" spans="3:3" x14ac:dyDescent="0.35">
      <c r="C35418" s="2"/>
    </row>
    <row r="35419" spans="3:3" x14ac:dyDescent="0.35">
      <c r="C35419" s="2"/>
    </row>
    <row r="35420" spans="3:3" x14ac:dyDescent="0.35">
      <c r="C35420" s="2"/>
    </row>
    <row r="35421" spans="3:3" x14ac:dyDescent="0.35">
      <c r="C35421" s="2"/>
    </row>
    <row r="35422" spans="3:3" x14ac:dyDescent="0.35">
      <c r="C35422" s="2"/>
    </row>
    <row r="35423" spans="3:3" x14ac:dyDescent="0.35">
      <c r="C35423" s="2"/>
    </row>
    <row r="35424" spans="3:3" x14ac:dyDescent="0.35">
      <c r="C35424" s="2"/>
    </row>
    <row r="35425" spans="3:3" x14ac:dyDescent="0.35">
      <c r="C35425" s="2"/>
    </row>
    <row r="35426" spans="3:3" x14ac:dyDescent="0.35">
      <c r="C35426" s="2"/>
    </row>
    <row r="35427" spans="3:3" x14ac:dyDescent="0.35">
      <c r="C35427" s="2"/>
    </row>
    <row r="35428" spans="3:3" x14ac:dyDescent="0.35">
      <c r="C35428" s="2"/>
    </row>
    <row r="35429" spans="3:3" x14ac:dyDescent="0.35">
      <c r="C35429" s="2"/>
    </row>
    <row r="35430" spans="3:3" x14ac:dyDescent="0.35">
      <c r="C35430" s="2"/>
    </row>
    <row r="35431" spans="3:3" x14ac:dyDescent="0.35">
      <c r="C35431" s="2"/>
    </row>
    <row r="35432" spans="3:3" x14ac:dyDescent="0.35">
      <c r="C35432" s="2"/>
    </row>
    <row r="35433" spans="3:3" x14ac:dyDescent="0.35">
      <c r="C35433" s="2"/>
    </row>
    <row r="35434" spans="3:3" x14ac:dyDescent="0.35">
      <c r="C35434" s="2"/>
    </row>
    <row r="35435" spans="3:3" x14ac:dyDescent="0.35">
      <c r="C35435" s="2"/>
    </row>
    <row r="35436" spans="3:3" x14ac:dyDescent="0.35">
      <c r="C35436" s="2"/>
    </row>
    <row r="35437" spans="3:3" x14ac:dyDescent="0.35">
      <c r="C35437" s="2"/>
    </row>
    <row r="35438" spans="3:3" x14ac:dyDescent="0.35">
      <c r="C35438" s="2"/>
    </row>
    <row r="35439" spans="3:3" x14ac:dyDescent="0.35">
      <c r="C35439" s="2"/>
    </row>
    <row r="35440" spans="3:3" x14ac:dyDescent="0.35">
      <c r="C35440" s="2"/>
    </row>
    <row r="35441" spans="3:3" x14ac:dyDescent="0.35">
      <c r="C35441" s="2"/>
    </row>
    <row r="35442" spans="3:3" x14ac:dyDescent="0.35">
      <c r="C35442" s="2"/>
    </row>
    <row r="35443" spans="3:3" x14ac:dyDescent="0.35">
      <c r="C35443" s="2"/>
    </row>
    <row r="35444" spans="3:3" x14ac:dyDescent="0.35">
      <c r="C35444" s="2"/>
    </row>
    <row r="35445" spans="3:3" x14ac:dyDescent="0.35">
      <c r="C35445" s="2"/>
    </row>
    <row r="35446" spans="3:3" x14ac:dyDescent="0.35">
      <c r="C35446" s="2"/>
    </row>
    <row r="35447" spans="3:3" x14ac:dyDescent="0.35">
      <c r="C35447" s="2"/>
    </row>
    <row r="35448" spans="3:3" x14ac:dyDescent="0.35">
      <c r="C35448" s="2"/>
    </row>
    <row r="35449" spans="3:3" x14ac:dyDescent="0.35">
      <c r="C35449" s="2"/>
    </row>
    <row r="35450" spans="3:3" x14ac:dyDescent="0.35">
      <c r="C35450" s="2"/>
    </row>
    <row r="35451" spans="3:3" x14ac:dyDescent="0.35">
      <c r="C35451" s="2"/>
    </row>
    <row r="35452" spans="3:3" x14ac:dyDescent="0.35">
      <c r="C35452" s="2"/>
    </row>
    <row r="35453" spans="3:3" x14ac:dyDescent="0.35">
      <c r="C35453" s="2"/>
    </row>
    <row r="35454" spans="3:3" x14ac:dyDescent="0.35">
      <c r="C35454" s="2"/>
    </row>
    <row r="35455" spans="3:3" x14ac:dyDescent="0.35">
      <c r="C35455" s="2"/>
    </row>
    <row r="35456" spans="3:3" x14ac:dyDescent="0.35">
      <c r="C35456" s="2"/>
    </row>
    <row r="35457" spans="3:3" x14ac:dyDescent="0.35">
      <c r="C35457" s="2"/>
    </row>
    <row r="35458" spans="3:3" x14ac:dyDescent="0.35">
      <c r="C35458" s="2"/>
    </row>
    <row r="35459" spans="3:3" x14ac:dyDescent="0.35">
      <c r="C35459" s="2"/>
    </row>
    <row r="35460" spans="3:3" x14ac:dyDescent="0.35">
      <c r="C35460" s="2"/>
    </row>
    <row r="35461" spans="3:3" x14ac:dyDescent="0.35">
      <c r="C35461" s="2"/>
    </row>
    <row r="35462" spans="3:3" x14ac:dyDescent="0.35">
      <c r="C35462" s="2"/>
    </row>
    <row r="35463" spans="3:3" x14ac:dyDescent="0.35">
      <c r="C35463" s="2"/>
    </row>
    <row r="35464" spans="3:3" x14ac:dyDescent="0.35">
      <c r="C35464" s="2"/>
    </row>
    <row r="35465" spans="3:3" x14ac:dyDescent="0.35">
      <c r="C35465" s="2"/>
    </row>
    <row r="35466" spans="3:3" x14ac:dyDescent="0.35">
      <c r="C35466" s="2"/>
    </row>
    <row r="35467" spans="3:3" x14ac:dyDescent="0.35">
      <c r="C35467" s="2"/>
    </row>
    <row r="35468" spans="3:3" x14ac:dyDescent="0.35">
      <c r="C35468" s="2"/>
    </row>
    <row r="35469" spans="3:3" x14ac:dyDescent="0.35">
      <c r="C35469" s="2"/>
    </row>
    <row r="35470" spans="3:3" x14ac:dyDescent="0.35">
      <c r="C35470" s="2"/>
    </row>
    <row r="35471" spans="3:3" x14ac:dyDescent="0.35">
      <c r="C35471" s="2"/>
    </row>
    <row r="35472" spans="3:3" x14ac:dyDescent="0.35">
      <c r="C35472" s="2"/>
    </row>
    <row r="35473" spans="3:3" x14ac:dyDescent="0.35">
      <c r="C35473" s="2"/>
    </row>
    <row r="35474" spans="3:3" x14ac:dyDescent="0.35">
      <c r="C35474" s="2"/>
    </row>
    <row r="35475" spans="3:3" x14ac:dyDescent="0.35">
      <c r="C35475" s="2"/>
    </row>
    <row r="35476" spans="3:3" x14ac:dyDescent="0.35">
      <c r="C35476" s="2"/>
    </row>
    <row r="35477" spans="3:3" x14ac:dyDescent="0.35">
      <c r="C35477" s="2"/>
    </row>
    <row r="35478" spans="3:3" x14ac:dyDescent="0.35">
      <c r="C35478" s="2"/>
    </row>
    <row r="35479" spans="3:3" x14ac:dyDescent="0.35">
      <c r="C35479" s="2"/>
    </row>
    <row r="35480" spans="3:3" x14ac:dyDescent="0.35">
      <c r="C35480" s="2"/>
    </row>
    <row r="35481" spans="3:3" x14ac:dyDescent="0.35">
      <c r="C35481" s="2"/>
    </row>
    <row r="35482" spans="3:3" x14ac:dyDescent="0.35">
      <c r="C35482" s="2"/>
    </row>
    <row r="35483" spans="3:3" x14ac:dyDescent="0.35">
      <c r="C35483" s="2"/>
    </row>
    <row r="35484" spans="3:3" x14ac:dyDescent="0.35">
      <c r="C35484" s="2"/>
    </row>
    <row r="35485" spans="3:3" x14ac:dyDescent="0.35">
      <c r="C35485" s="2"/>
    </row>
    <row r="35486" spans="3:3" x14ac:dyDescent="0.35">
      <c r="C35486" s="2"/>
    </row>
    <row r="35487" spans="3:3" x14ac:dyDescent="0.35">
      <c r="C35487" s="2"/>
    </row>
    <row r="35488" spans="3:3" x14ac:dyDescent="0.35">
      <c r="C35488" s="2"/>
    </row>
    <row r="35489" spans="3:3" x14ac:dyDescent="0.35">
      <c r="C35489" s="2"/>
    </row>
    <row r="35490" spans="3:3" x14ac:dyDescent="0.35">
      <c r="C35490" s="2"/>
    </row>
    <row r="35491" spans="3:3" x14ac:dyDescent="0.35">
      <c r="C35491" s="2"/>
    </row>
    <row r="35492" spans="3:3" x14ac:dyDescent="0.35">
      <c r="C35492" s="2"/>
    </row>
    <row r="35493" spans="3:3" x14ac:dyDescent="0.35">
      <c r="C35493" s="2"/>
    </row>
    <row r="35494" spans="3:3" x14ac:dyDescent="0.35">
      <c r="C35494" s="2"/>
    </row>
    <row r="35495" spans="3:3" x14ac:dyDescent="0.35">
      <c r="C35495" s="2"/>
    </row>
    <row r="35496" spans="3:3" x14ac:dyDescent="0.35">
      <c r="C35496" s="2"/>
    </row>
    <row r="35497" spans="3:3" x14ac:dyDescent="0.35">
      <c r="C35497" s="2"/>
    </row>
    <row r="35498" spans="3:3" x14ac:dyDescent="0.35">
      <c r="C35498" s="2"/>
    </row>
    <row r="35499" spans="3:3" x14ac:dyDescent="0.35">
      <c r="C35499" s="2"/>
    </row>
    <row r="35500" spans="3:3" x14ac:dyDescent="0.35">
      <c r="C35500" s="2"/>
    </row>
    <row r="35501" spans="3:3" x14ac:dyDescent="0.35">
      <c r="C35501" s="2"/>
    </row>
    <row r="35502" spans="3:3" x14ac:dyDescent="0.35">
      <c r="C35502" s="2"/>
    </row>
    <row r="35503" spans="3:3" x14ac:dyDescent="0.35">
      <c r="C35503" s="2"/>
    </row>
    <row r="35504" spans="3:3" x14ac:dyDescent="0.35">
      <c r="C35504" s="2"/>
    </row>
    <row r="35505" spans="3:3" x14ac:dyDescent="0.35">
      <c r="C35505" s="2"/>
    </row>
    <row r="35506" spans="3:3" x14ac:dyDescent="0.35">
      <c r="C35506" s="2"/>
    </row>
    <row r="35507" spans="3:3" x14ac:dyDescent="0.35">
      <c r="C35507" s="2"/>
    </row>
    <row r="35508" spans="3:3" x14ac:dyDescent="0.35">
      <c r="C35508" s="2"/>
    </row>
    <row r="35509" spans="3:3" x14ac:dyDescent="0.35">
      <c r="C35509" s="2"/>
    </row>
    <row r="35510" spans="3:3" x14ac:dyDescent="0.35">
      <c r="C35510" s="2"/>
    </row>
    <row r="35511" spans="3:3" x14ac:dyDescent="0.35">
      <c r="C35511" s="2"/>
    </row>
    <row r="35512" spans="3:3" x14ac:dyDescent="0.35">
      <c r="C35512" s="2"/>
    </row>
    <row r="35513" spans="3:3" x14ac:dyDescent="0.35">
      <c r="C35513" s="2"/>
    </row>
    <row r="35514" spans="3:3" x14ac:dyDescent="0.35">
      <c r="C35514" s="2"/>
    </row>
    <row r="35515" spans="3:3" x14ac:dyDescent="0.35">
      <c r="C35515" s="2"/>
    </row>
    <row r="35516" spans="3:3" x14ac:dyDescent="0.35">
      <c r="C35516" s="2"/>
    </row>
    <row r="35517" spans="3:3" x14ac:dyDescent="0.35">
      <c r="C35517" s="2"/>
    </row>
    <row r="35518" spans="3:3" x14ac:dyDescent="0.35">
      <c r="C35518" s="2"/>
    </row>
    <row r="35519" spans="3:3" x14ac:dyDescent="0.35">
      <c r="C35519" s="2"/>
    </row>
    <row r="35520" spans="3:3" x14ac:dyDescent="0.35">
      <c r="C35520" s="2"/>
    </row>
    <row r="35521" spans="3:3" x14ac:dyDescent="0.35">
      <c r="C35521" s="2"/>
    </row>
    <row r="35522" spans="3:3" x14ac:dyDescent="0.35">
      <c r="C35522" s="2"/>
    </row>
    <row r="35523" spans="3:3" x14ac:dyDescent="0.35">
      <c r="C35523" s="2"/>
    </row>
    <row r="35524" spans="3:3" x14ac:dyDescent="0.35">
      <c r="C35524" s="2"/>
    </row>
    <row r="35525" spans="3:3" x14ac:dyDescent="0.35">
      <c r="C35525" s="2"/>
    </row>
    <row r="35526" spans="3:3" x14ac:dyDescent="0.35">
      <c r="C35526" s="2"/>
    </row>
    <row r="35527" spans="3:3" x14ac:dyDescent="0.35">
      <c r="C35527" s="2"/>
    </row>
    <row r="35528" spans="3:3" x14ac:dyDescent="0.35">
      <c r="C35528" s="2"/>
    </row>
    <row r="35529" spans="3:3" x14ac:dyDescent="0.35">
      <c r="C35529" s="2"/>
    </row>
    <row r="35530" spans="3:3" x14ac:dyDescent="0.35">
      <c r="C35530" s="2"/>
    </row>
    <row r="35531" spans="3:3" x14ac:dyDescent="0.35">
      <c r="C35531" s="2"/>
    </row>
    <row r="35532" spans="3:3" x14ac:dyDescent="0.35">
      <c r="C35532" s="2"/>
    </row>
    <row r="35533" spans="3:3" x14ac:dyDescent="0.35">
      <c r="C35533" s="2"/>
    </row>
    <row r="35534" spans="3:3" x14ac:dyDescent="0.35">
      <c r="C35534" s="2"/>
    </row>
    <row r="35535" spans="3:3" x14ac:dyDescent="0.35">
      <c r="C35535" s="2"/>
    </row>
    <row r="35536" spans="3:3" x14ac:dyDescent="0.35">
      <c r="C35536" s="2"/>
    </row>
    <row r="35537" spans="3:3" x14ac:dyDescent="0.35">
      <c r="C35537" s="2"/>
    </row>
    <row r="35538" spans="3:3" x14ac:dyDescent="0.35">
      <c r="C35538" s="2"/>
    </row>
    <row r="35539" spans="3:3" x14ac:dyDescent="0.35">
      <c r="C35539" s="2"/>
    </row>
    <row r="35540" spans="3:3" x14ac:dyDescent="0.35">
      <c r="C35540" s="2"/>
    </row>
    <row r="35541" spans="3:3" x14ac:dyDescent="0.35">
      <c r="C35541" s="2"/>
    </row>
    <row r="35542" spans="3:3" x14ac:dyDescent="0.35">
      <c r="C35542" s="2"/>
    </row>
    <row r="35543" spans="3:3" x14ac:dyDescent="0.35">
      <c r="C35543" s="2"/>
    </row>
    <row r="35544" spans="3:3" x14ac:dyDescent="0.35">
      <c r="C35544" s="2"/>
    </row>
    <row r="35545" spans="3:3" x14ac:dyDescent="0.35">
      <c r="C35545" s="2"/>
    </row>
    <row r="35546" spans="3:3" x14ac:dyDescent="0.35">
      <c r="C35546" s="2"/>
    </row>
    <row r="35547" spans="3:3" x14ac:dyDescent="0.35">
      <c r="C35547" s="2"/>
    </row>
    <row r="35548" spans="3:3" x14ac:dyDescent="0.35">
      <c r="C35548" s="2"/>
    </row>
    <row r="35549" spans="3:3" x14ac:dyDescent="0.35">
      <c r="C35549" s="2"/>
    </row>
    <row r="35550" spans="3:3" x14ac:dyDescent="0.35">
      <c r="C35550" s="2"/>
    </row>
    <row r="35551" spans="3:3" x14ac:dyDescent="0.35">
      <c r="C35551" s="2"/>
    </row>
    <row r="35552" spans="3:3" x14ac:dyDescent="0.35">
      <c r="C35552" s="2"/>
    </row>
    <row r="35553" spans="3:3" x14ac:dyDescent="0.35">
      <c r="C35553" s="2"/>
    </row>
    <row r="35554" spans="3:3" x14ac:dyDescent="0.35">
      <c r="C35554" s="2"/>
    </row>
    <row r="35555" spans="3:3" x14ac:dyDescent="0.35">
      <c r="C35555" s="2"/>
    </row>
    <row r="35556" spans="3:3" x14ac:dyDescent="0.35">
      <c r="C35556" s="2"/>
    </row>
    <row r="35557" spans="3:3" x14ac:dyDescent="0.35">
      <c r="C35557" s="2"/>
    </row>
    <row r="35558" spans="3:3" x14ac:dyDescent="0.35">
      <c r="C35558" s="2"/>
    </row>
    <row r="35559" spans="3:3" x14ac:dyDescent="0.35">
      <c r="C35559" s="2"/>
    </row>
    <row r="35560" spans="3:3" x14ac:dyDescent="0.35">
      <c r="C35560" s="2"/>
    </row>
    <row r="35561" spans="3:3" x14ac:dyDescent="0.35">
      <c r="C35561" s="2"/>
    </row>
    <row r="35562" spans="3:3" x14ac:dyDescent="0.35">
      <c r="C35562" s="2"/>
    </row>
    <row r="35563" spans="3:3" x14ac:dyDescent="0.35">
      <c r="C35563" s="2"/>
    </row>
    <row r="35564" spans="3:3" x14ac:dyDescent="0.35">
      <c r="C35564" s="2"/>
    </row>
    <row r="35565" spans="3:3" x14ac:dyDescent="0.35">
      <c r="C35565" s="2"/>
    </row>
    <row r="35566" spans="3:3" x14ac:dyDescent="0.35">
      <c r="C35566" s="2"/>
    </row>
    <row r="35567" spans="3:3" x14ac:dyDescent="0.35">
      <c r="C35567" s="2"/>
    </row>
    <row r="35568" spans="3:3" x14ac:dyDescent="0.35">
      <c r="C35568" s="2"/>
    </row>
    <row r="35569" spans="3:3" x14ac:dyDescent="0.35">
      <c r="C35569" s="2"/>
    </row>
    <row r="35570" spans="3:3" x14ac:dyDescent="0.35">
      <c r="C35570" s="2"/>
    </row>
    <row r="35571" spans="3:3" x14ac:dyDescent="0.35">
      <c r="C35571" s="2"/>
    </row>
    <row r="35572" spans="3:3" x14ac:dyDescent="0.35">
      <c r="C35572" s="2"/>
    </row>
    <row r="35573" spans="3:3" x14ac:dyDescent="0.35">
      <c r="C35573" s="2"/>
    </row>
    <row r="35574" spans="3:3" x14ac:dyDescent="0.35">
      <c r="C35574" s="2"/>
    </row>
    <row r="35575" spans="3:3" x14ac:dyDescent="0.35">
      <c r="C35575" s="2"/>
    </row>
    <row r="35576" spans="3:3" x14ac:dyDescent="0.35">
      <c r="C35576" s="2"/>
    </row>
    <row r="35577" spans="3:3" x14ac:dyDescent="0.35">
      <c r="C35577" s="2"/>
    </row>
    <row r="35578" spans="3:3" x14ac:dyDescent="0.35">
      <c r="C35578" s="2"/>
    </row>
    <row r="35579" spans="3:3" x14ac:dyDescent="0.35">
      <c r="C35579" s="2"/>
    </row>
    <row r="35580" spans="3:3" x14ac:dyDescent="0.35">
      <c r="C35580" s="2"/>
    </row>
    <row r="35581" spans="3:3" x14ac:dyDescent="0.35">
      <c r="C35581" s="2"/>
    </row>
    <row r="35582" spans="3:3" x14ac:dyDescent="0.35">
      <c r="C35582" s="2"/>
    </row>
    <row r="35583" spans="3:3" x14ac:dyDescent="0.35">
      <c r="C35583" s="2"/>
    </row>
    <row r="35584" spans="3:3" x14ac:dyDescent="0.35">
      <c r="C35584" s="2"/>
    </row>
    <row r="35585" spans="3:3" x14ac:dyDescent="0.35">
      <c r="C35585" s="2"/>
    </row>
    <row r="35586" spans="3:3" x14ac:dyDescent="0.35">
      <c r="C35586" s="2"/>
    </row>
    <row r="35587" spans="3:3" x14ac:dyDescent="0.35">
      <c r="C35587" s="2"/>
    </row>
    <row r="35588" spans="3:3" x14ac:dyDescent="0.35">
      <c r="C35588" s="2"/>
    </row>
    <row r="35589" spans="3:3" x14ac:dyDescent="0.35">
      <c r="C35589" s="2"/>
    </row>
    <row r="35590" spans="3:3" x14ac:dyDescent="0.35">
      <c r="C35590" s="2"/>
    </row>
    <row r="35591" spans="3:3" x14ac:dyDescent="0.35">
      <c r="C35591" s="2"/>
    </row>
    <row r="35592" spans="3:3" x14ac:dyDescent="0.35">
      <c r="C35592" s="2"/>
    </row>
    <row r="35593" spans="3:3" x14ac:dyDescent="0.35">
      <c r="C35593" s="2"/>
    </row>
    <row r="35594" spans="3:3" x14ac:dyDescent="0.35">
      <c r="C35594" s="2"/>
    </row>
    <row r="35595" spans="3:3" x14ac:dyDescent="0.35">
      <c r="C35595" s="2"/>
    </row>
    <row r="35596" spans="3:3" x14ac:dyDescent="0.35">
      <c r="C35596" s="2"/>
    </row>
    <row r="35597" spans="3:3" x14ac:dyDescent="0.35">
      <c r="C35597" s="2"/>
    </row>
    <row r="35598" spans="3:3" x14ac:dyDescent="0.35">
      <c r="C35598" s="2"/>
    </row>
    <row r="35599" spans="3:3" x14ac:dyDescent="0.35">
      <c r="C35599" s="2"/>
    </row>
    <row r="35600" spans="3:3" x14ac:dyDescent="0.35">
      <c r="C35600" s="2"/>
    </row>
    <row r="35601" spans="3:3" x14ac:dyDescent="0.35">
      <c r="C35601" s="2"/>
    </row>
    <row r="35602" spans="3:3" x14ac:dyDescent="0.35">
      <c r="C35602" s="2"/>
    </row>
    <row r="35603" spans="3:3" x14ac:dyDescent="0.35">
      <c r="C35603" s="2"/>
    </row>
    <row r="35604" spans="3:3" x14ac:dyDescent="0.35">
      <c r="C35604" s="2"/>
    </row>
    <row r="35605" spans="3:3" x14ac:dyDescent="0.35">
      <c r="C35605" s="2"/>
    </row>
    <row r="35606" spans="3:3" x14ac:dyDescent="0.35">
      <c r="C35606" s="2"/>
    </row>
    <row r="35607" spans="3:3" x14ac:dyDescent="0.35">
      <c r="C35607" s="2"/>
    </row>
    <row r="35608" spans="3:3" x14ac:dyDescent="0.35">
      <c r="C35608" s="2"/>
    </row>
    <row r="35609" spans="3:3" x14ac:dyDescent="0.35">
      <c r="C35609" s="2"/>
    </row>
    <row r="35610" spans="3:3" x14ac:dyDescent="0.35">
      <c r="C35610" s="2"/>
    </row>
    <row r="35611" spans="3:3" x14ac:dyDescent="0.35">
      <c r="C35611" s="2"/>
    </row>
    <row r="35612" spans="3:3" x14ac:dyDescent="0.35">
      <c r="C35612" s="2"/>
    </row>
    <row r="35613" spans="3:3" x14ac:dyDescent="0.35">
      <c r="C35613" s="2"/>
    </row>
    <row r="35614" spans="3:3" x14ac:dyDescent="0.35">
      <c r="C35614" s="2"/>
    </row>
    <row r="35615" spans="3:3" x14ac:dyDescent="0.35">
      <c r="C35615" s="2"/>
    </row>
    <row r="35616" spans="3:3" x14ac:dyDescent="0.35">
      <c r="C35616" s="2"/>
    </row>
    <row r="35617" spans="3:3" x14ac:dyDescent="0.35">
      <c r="C35617" s="2"/>
    </row>
    <row r="35618" spans="3:3" x14ac:dyDescent="0.35">
      <c r="C35618" s="2"/>
    </row>
    <row r="35619" spans="3:3" x14ac:dyDescent="0.35">
      <c r="C35619" s="2"/>
    </row>
    <row r="35620" spans="3:3" x14ac:dyDescent="0.35">
      <c r="C35620" s="2"/>
    </row>
    <row r="35621" spans="3:3" x14ac:dyDescent="0.35">
      <c r="C35621" s="2"/>
    </row>
    <row r="35622" spans="3:3" x14ac:dyDescent="0.35">
      <c r="C35622" s="2"/>
    </row>
    <row r="35623" spans="3:3" x14ac:dyDescent="0.35">
      <c r="C35623" s="2"/>
    </row>
    <row r="35624" spans="3:3" x14ac:dyDescent="0.35">
      <c r="C35624" s="2"/>
    </row>
    <row r="35625" spans="3:3" x14ac:dyDescent="0.35">
      <c r="C35625" s="2"/>
    </row>
    <row r="35626" spans="3:3" x14ac:dyDescent="0.35">
      <c r="C35626" s="2"/>
    </row>
    <row r="35627" spans="3:3" x14ac:dyDescent="0.35">
      <c r="C35627" s="2"/>
    </row>
    <row r="35628" spans="3:3" x14ac:dyDescent="0.35">
      <c r="C35628" s="2"/>
    </row>
    <row r="35629" spans="3:3" x14ac:dyDescent="0.35">
      <c r="C35629" s="2"/>
    </row>
    <row r="35630" spans="3:3" x14ac:dyDescent="0.35">
      <c r="C35630" s="2"/>
    </row>
    <row r="35631" spans="3:3" x14ac:dyDescent="0.35">
      <c r="C35631" s="2"/>
    </row>
    <row r="35632" spans="3:3" x14ac:dyDescent="0.35">
      <c r="C35632" s="2"/>
    </row>
    <row r="35633" spans="3:3" x14ac:dyDescent="0.35">
      <c r="C35633" s="2"/>
    </row>
    <row r="35634" spans="3:3" x14ac:dyDescent="0.35">
      <c r="C35634" s="2"/>
    </row>
    <row r="35635" spans="3:3" x14ac:dyDescent="0.35">
      <c r="C35635" s="2"/>
    </row>
    <row r="35636" spans="3:3" x14ac:dyDescent="0.35">
      <c r="C35636" s="2"/>
    </row>
    <row r="35637" spans="3:3" x14ac:dyDescent="0.35">
      <c r="C35637" s="2"/>
    </row>
    <row r="35638" spans="3:3" x14ac:dyDescent="0.35">
      <c r="C35638" s="2"/>
    </row>
    <row r="35639" spans="3:3" x14ac:dyDescent="0.35">
      <c r="C35639" s="2"/>
    </row>
    <row r="35640" spans="3:3" x14ac:dyDescent="0.35">
      <c r="C35640" s="2"/>
    </row>
    <row r="35641" spans="3:3" x14ac:dyDescent="0.35">
      <c r="C35641" s="2"/>
    </row>
    <row r="35642" spans="3:3" x14ac:dyDescent="0.35">
      <c r="C35642" s="2"/>
    </row>
    <row r="35643" spans="3:3" x14ac:dyDescent="0.35">
      <c r="C35643" s="2"/>
    </row>
    <row r="35644" spans="3:3" x14ac:dyDescent="0.35">
      <c r="C35644" s="2"/>
    </row>
    <row r="35645" spans="3:3" x14ac:dyDescent="0.35">
      <c r="C35645" s="2"/>
    </row>
    <row r="35646" spans="3:3" x14ac:dyDescent="0.35">
      <c r="C35646" s="2"/>
    </row>
    <row r="35647" spans="3:3" x14ac:dyDescent="0.35">
      <c r="C35647" s="2"/>
    </row>
    <row r="35648" spans="3:3" x14ac:dyDescent="0.35">
      <c r="C35648" s="2"/>
    </row>
    <row r="35649" spans="3:3" x14ac:dyDescent="0.35">
      <c r="C35649" s="2"/>
    </row>
    <row r="35650" spans="3:3" x14ac:dyDescent="0.35">
      <c r="C35650" s="2"/>
    </row>
    <row r="35651" spans="3:3" x14ac:dyDescent="0.35">
      <c r="C35651" s="2"/>
    </row>
    <row r="35652" spans="3:3" x14ac:dyDescent="0.35">
      <c r="C35652" s="2"/>
    </row>
    <row r="35653" spans="3:3" x14ac:dyDescent="0.35">
      <c r="C35653" s="2"/>
    </row>
    <row r="35654" spans="3:3" x14ac:dyDescent="0.35">
      <c r="C35654" s="2"/>
    </row>
    <row r="35655" spans="3:3" x14ac:dyDescent="0.35">
      <c r="C35655" s="2"/>
    </row>
    <row r="35656" spans="3:3" x14ac:dyDescent="0.35">
      <c r="C35656" s="2"/>
    </row>
    <row r="35657" spans="3:3" x14ac:dyDescent="0.35">
      <c r="C35657" s="2"/>
    </row>
    <row r="35658" spans="3:3" x14ac:dyDescent="0.35">
      <c r="C35658" s="2"/>
    </row>
    <row r="35659" spans="3:3" x14ac:dyDescent="0.35">
      <c r="C35659" s="2"/>
    </row>
    <row r="35660" spans="3:3" x14ac:dyDescent="0.35">
      <c r="C35660" s="2"/>
    </row>
    <row r="35661" spans="3:3" x14ac:dyDescent="0.35">
      <c r="C35661" s="2"/>
    </row>
    <row r="35662" spans="3:3" x14ac:dyDescent="0.35">
      <c r="C35662" s="2"/>
    </row>
    <row r="35663" spans="3:3" x14ac:dyDescent="0.35">
      <c r="C35663" s="2"/>
    </row>
    <row r="35664" spans="3:3" x14ac:dyDescent="0.35">
      <c r="C35664" s="2"/>
    </row>
    <row r="35665" spans="3:3" x14ac:dyDescent="0.35">
      <c r="C35665" s="2"/>
    </row>
    <row r="35666" spans="3:3" x14ac:dyDescent="0.35">
      <c r="C35666" s="2"/>
    </row>
    <row r="35667" spans="3:3" x14ac:dyDescent="0.35">
      <c r="C35667" s="2"/>
    </row>
    <row r="35668" spans="3:3" x14ac:dyDescent="0.35">
      <c r="C35668" s="2"/>
    </row>
    <row r="35669" spans="3:3" x14ac:dyDescent="0.35">
      <c r="C35669" s="2"/>
    </row>
    <row r="35670" spans="3:3" x14ac:dyDescent="0.35">
      <c r="C35670" s="2"/>
    </row>
    <row r="35671" spans="3:3" x14ac:dyDescent="0.35">
      <c r="C35671" s="2"/>
    </row>
    <row r="35672" spans="3:3" x14ac:dyDescent="0.35">
      <c r="C35672" s="2"/>
    </row>
    <row r="35673" spans="3:3" x14ac:dyDescent="0.35">
      <c r="C35673" s="2"/>
    </row>
    <row r="35674" spans="3:3" x14ac:dyDescent="0.35">
      <c r="C35674" s="2"/>
    </row>
    <row r="35675" spans="3:3" x14ac:dyDescent="0.35">
      <c r="C35675" s="2"/>
    </row>
    <row r="35676" spans="3:3" x14ac:dyDescent="0.35">
      <c r="C35676" s="2"/>
    </row>
    <row r="35677" spans="3:3" x14ac:dyDescent="0.35">
      <c r="C35677" s="2"/>
    </row>
    <row r="35678" spans="3:3" x14ac:dyDescent="0.35">
      <c r="C35678" s="2"/>
    </row>
    <row r="35679" spans="3:3" x14ac:dyDescent="0.35">
      <c r="C35679" s="2"/>
    </row>
    <row r="35680" spans="3:3" x14ac:dyDescent="0.35">
      <c r="C35680" s="2"/>
    </row>
    <row r="35681" spans="3:3" x14ac:dyDescent="0.35">
      <c r="C35681" s="2"/>
    </row>
    <row r="35682" spans="3:3" x14ac:dyDescent="0.35">
      <c r="C35682" s="2"/>
    </row>
    <row r="35683" spans="3:3" x14ac:dyDescent="0.35">
      <c r="C35683" s="2"/>
    </row>
    <row r="35684" spans="3:3" x14ac:dyDescent="0.35">
      <c r="C35684" s="2"/>
    </row>
    <row r="35685" spans="3:3" x14ac:dyDescent="0.35">
      <c r="C35685" s="2"/>
    </row>
    <row r="35686" spans="3:3" x14ac:dyDescent="0.35">
      <c r="C35686" s="2"/>
    </row>
    <row r="35687" spans="3:3" x14ac:dyDescent="0.35">
      <c r="C35687" s="2"/>
    </row>
    <row r="35688" spans="3:3" x14ac:dyDescent="0.35">
      <c r="C35688" s="2"/>
    </row>
    <row r="35689" spans="3:3" x14ac:dyDescent="0.35">
      <c r="C35689" s="2"/>
    </row>
    <row r="35690" spans="3:3" x14ac:dyDescent="0.35">
      <c r="C35690" s="2"/>
    </row>
    <row r="35691" spans="3:3" x14ac:dyDescent="0.35">
      <c r="C35691" s="2"/>
    </row>
    <row r="35692" spans="3:3" x14ac:dyDescent="0.35">
      <c r="C35692" s="2"/>
    </row>
    <row r="35693" spans="3:3" x14ac:dyDescent="0.35">
      <c r="C35693" s="2"/>
    </row>
    <row r="35694" spans="3:3" x14ac:dyDescent="0.35">
      <c r="C35694" s="2"/>
    </row>
    <row r="35695" spans="3:3" x14ac:dyDescent="0.35">
      <c r="C35695" s="2"/>
    </row>
    <row r="35696" spans="3:3" x14ac:dyDescent="0.35">
      <c r="C35696" s="2"/>
    </row>
    <row r="35697" spans="3:3" x14ac:dyDescent="0.35">
      <c r="C35697" s="2"/>
    </row>
    <row r="35698" spans="3:3" x14ac:dyDescent="0.35">
      <c r="C35698" s="2"/>
    </row>
    <row r="35699" spans="3:3" x14ac:dyDescent="0.35">
      <c r="C35699" s="2"/>
    </row>
    <row r="35700" spans="3:3" x14ac:dyDescent="0.35">
      <c r="C35700" s="2"/>
    </row>
    <row r="35701" spans="3:3" x14ac:dyDescent="0.35">
      <c r="C35701" s="2"/>
    </row>
    <row r="35702" spans="3:3" x14ac:dyDescent="0.35">
      <c r="C35702" s="2"/>
    </row>
    <row r="35703" spans="3:3" x14ac:dyDescent="0.35">
      <c r="C35703" s="2"/>
    </row>
    <row r="35704" spans="3:3" x14ac:dyDescent="0.35">
      <c r="C35704" s="2"/>
    </row>
    <row r="35705" spans="3:3" x14ac:dyDescent="0.35">
      <c r="C35705" s="2"/>
    </row>
    <row r="35706" spans="3:3" x14ac:dyDescent="0.35">
      <c r="C35706" s="2"/>
    </row>
    <row r="35707" spans="3:3" x14ac:dyDescent="0.35">
      <c r="C35707" s="2"/>
    </row>
    <row r="35708" spans="3:3" x14ac:dyDescent="0.35">
      <c r="C35708" s="2"/>
    </row>
    <row r="35709" spans="3:3" x14ac:dyDescent="0.35">
      <c r="C35709" s="2"/>
    </row>
    <row r="35710" spans="3:3" x14ac:dyDescent="0.35">
      <c r="C35710" s="2"/>
    </row>
    <row r="35711" spans="3:3" x14ac:dyDescent="0.35">
      <c r="C35711" s="2"/>
    </row>
    <row r="35712" spans="3:3" x14ac:dyDescent="0.35">
      <c r="C35712" s="2"/>
    </row>
    <row r="35713" spans="3:3" x14ac:dyDescent="0.35">
      <c r="C35713" s="2"/>
    </row>
    <row r="35714" spans="3:3" x14ac:dyDescent="0.35">
      <c r="C35714" s="2"/>
    </row>
    <row r="35715" spans="3:3" x14ac:dyDescent="0.35">
      <c r="C35715" s="2"/>
    </row>
    <row r="35716" spans="3:3" x14ac:dyDescent="0.35">
      <c r="C35716" s="2"/>
    </row>
    <row r="35717" spans="3:3" x14ac:dyDescent="0.35">
      <c r="C35717" s="2"/>
    </row>
    <row r="35718" spans="3:3" x14ac:dyDescent="0.35">
      <c r="C35718" s="2"/>
    </row>
    <row r="35719" spans="3:3" x14ac:dyDescent="0.35">
      <c r="C35719" s="2"/>
    </row>
    <row r="35720" spans="3:3" x14ac:dyDescent="0.35">
      <c r="C35720" s="2"/>
    </row>
    <row r="35721" spans="3:3" x14ac:dyDescent="0.35">
      <c r="C35721" s="2"/>
    </row>
    <row r="35722" spans="3:3" x14ac:dyDescent="0.35">
      <c r="C35722" s="2"/>
    </row>
    <row r="35723" spans="3:3" x14ac:dyDescent="0.35">
      <c r="C35723" s="2"/>
    </row>
    <row r="35724" spans="3:3" x14ac:dyDescent="0.35">
      <c r="C35724" s="2"/>
    </row>
    <row r="35725" spans="3:3" x14ac:dyDescent="0.35">
      <c r="C35725" s="2"/>
    </row>
    <row r="35726" spans="3:3" x14ac:dyDescent="0.35">
      <c r="C35726" s="2"/>
    </row>
    <row r="35727" spans="3:3" x14ac:dyDescent="0.35">
      <c r="C35727" s="2"/>
    </row>
    <row r="35728" spans="3:3" x14ac:dyDescent="0.35">
      <c r="C35728" s="2"/>
    </row>
    <row r="35729" spans="3:3" x14ac:dyDescent="0.35">
      <c r="C35729" s="2"/>
    </row>
    <row r="35730" spans="3:3" x14ac:dyDescent="0.35">
      <c r="C35730" s="2"/>
    </row>
    <row r="35731" spans="3:3" x14ac:dyDescent="0.35">
      <c r="C35731" s="2"/>
    </row>
    <row r="35732" spans="3:3" x14ac:dyDescent="0.35">
      <c r="C35732" s="2"/>
    </row>
    <row r="35733" spans="3:3" x14ac:dyDescent="0.35">
      <c r="C35733" s="2"/>
    </row>
    <row r="35734" spans="3:3" x14ac:dyDescent="0.35">
      <c r="C35734" s="2"/>
    </row>
    <row r="35735" spans="3:3" x14ac:dyDescent="0.35">
      <c r="C35735" s="2"/>
    </row>
    <row r="35736" spans="3:3" x14ac:dyDescent="0.35">
      <c r="C35736" s="2"/>
    </row>
    <row r="35737" spans="3:3" x14ac:dyDescent="0.35">
      <c r="C35737" s="2"/>
    </row>
    <row r="35738" spans="3:3" x14ac:dyDescent="0.35">
      <c r="C35738" s="2"/>
    </row>
    <row r="35739" spans="3:3" x14ac:dyDescent="0.35">
      <c r="C35739" s="2"/>
    </row>
    <row r="35740" spans="3:3" x14ac:dyDescent="0.35">
      <c r="C35740" s="2"/>
    </row>
    <row r="35741" spans="3:3" x14ac:dyDescent="0.35">
      <c r="C35741" s="2"/>
    </row>
    <row r="35742" spans="3:3" x14ac:dyDescent="0.35">
      <c r="C35742" s="2"/>
    </row>
    <row r="35743" spans="3:3" x14ac:dyDescent="0.35">
      <c r="C35743" s="2"/>
    </row>
    <row r="35744" spans="3:3" x14ac:dyDescent="0.35">
      <c r="C35744" s="2"/>
    </row>
    <row r="35745" spans="3:3" x14ac:dyDescent="0.35">
      <c r="C35745" s="2"/>
    </row>
    <row r="35746" spans="3:3" x14ac:dyDescent="0.35">
      <c r="C35746" s="2"/>
    </row>
    <row r="35747" spans="3:3" x14ac:dyDescent="0.35">
      <c r="C35747" s="2"/>
    </row>
    <row r="35748" spans="3:3" x14ac:dyDescent="0.35">
      <c r="C35748" s="2"/>
    </row>
    <row r="35749" spans="3:3" x14ac:dyDescent="0.35">
      <c r="C35749" s="2"/>
    </row>
    <row r="35750" spans="3:3" x14ac:dyDescent="0.35">
      <c r="C35750" s="2"/>
    </row>
    <row r="35751" spans="3:3" x14ac:dyDescent="0.35">
      <c r="C35751" s="2"/>
    </row>
    <row r="35752" spans="3:3" x14ac:dyDescent="0.35">
      <c r="C35752" s="2"/>
    </row>
    <row r="35753" spans="3:3" x14ac:dyDescent="0.35">
      <c r="C35753" s="2"/>
    </row>
    <row r="35754" spans="3:3" x14ac:dyDescent="0.35">
      <c r="C35754" s="2"/>
    </row>
    <row r="35755" spans="3:3" x14ac:dyDescent="0.35">
      <c r="C35755" s="2"/>
    </row>
    <row r="35756" spans="3:3" x14ac:dyDescent="0.35">
      <c r="C35756" s="2"/>
    </row>
    <row r="35757" spans="3:3" x14ac:dyDescent="0.35">
      <c r="C35757" s="2"/>
    </row>
    <row r="35758" spans="3:3" x14ac:dyDescent="0.35">
      <c r="C35758" s="2"/>
    </row>
    <row r="35759" spans="3:3" x14ac:dyDescent="0.35">
      <c r="C35759" s="2"/>
    </row>
    <row r="35760" spans="3:3" x14ac:dyDescent="0.35">
      <c r="C35760" s="2"/>
    </row>
    <row r="35761" spans="3:3" x14ac:dyDescent="0.35">
      <c r="C35761" s="2"/>
    </row>
    <row r="35762" spans="3:3" x14ac:dyDescent="0.35">
      <c r="C35762" s="2"/>
    </row>
    <row r="35763" spans="3:3" x14ac:dyDescent="0.35">
      <c r="C35763" s="2"/>
    </row>
    <row r="35764" spans="3:3" x14ac:dyDescent="0.35">
      <c r="C35764" s="2"/>
    </row>
    <row r="35765" spans="3:3" x14ac:dyDescent="0.35">
      <c r="C35765" s="2"/>
    </row>
    <row r="35766" spans="3:3" x14ac:dyDescent="0.35">
      <c r="C35766" s="2"/>
    </row>
    <row r="35767" spans="3:3" x14ac:dyDescent="0.35">
      <c r="C35767" s="2"/>
    </row>
    <row r="35768" spans="3:3" x14ac:dyDescent="0.35">
      <c r="C35768" s="2"/>
    </row>
    <row r="35769" spans="3:3" x14ac:dyDescent="0.35">
      <c r="C35769" s="2"/>
    </row>
    <row r="35770" spans="3:3" x14ac:dyDescent="0.35">
      <c r="C35770" s="2"/>
    </row>
    <row r="35771" spans="3:3" x14ac:dyDescent="0.35">
      <c r="C35771" s="2"/>
    </row>
    <row r="35772" spans="3:3" x14ac:dyDescent="0.35">
      <c r="C35772" s="2"/>
    </row>
    <row r="35773" spans="3:3" x14ac:dyDescent="0.35">
      <c r="C35773" s="2"/>
    </row>
    <row r="35774" spans="3:3" x14ac:dyDescent="0.35">
      <c r="C35774" s="2"/>
    </row>
    <row r="35775" spans="3:3" x14ac:dyDescent="0.35">
      <c r="C35775" s="2"/>
    </row>
    <row r="35776" spans="3:3" x14ac:dyDescent="0.35">
      <c r="C35776" s="2"/>
    </row>
    <row r="35777" spans="3:3" x14ac:dyDescent="0.35">
      <c r="C35777" s="2"/>
    </row>
    <row r="35778" spans="3:3" x14ac:dyDescent="0.35">
      <c r="C35778" s="2"/>
    </row>
    <row r="35779" spans="3:3" x14ac:dyDescent="0.35">
      <c r="C35779" s="2"/>
    </row>
    <row r="35780" spans="3:3" x14ac:dyDescent="0.35">
      <c r="C35780" s="2"/>
    </row>
    <row r="35781" spans="3:3" x14ac:dyDescent="0.35">
      <c r="C35781" s="2"/>
    </row>
    <row r="35782" spans="3:3" x14ac:dyDescent="0.35">
      <c r="C35782" s="2"/>
    </row>
    <row r="35783" spans="3:3" x14ac:dyDescent="0.35">
      <c r="C35783" s="2"/>
    </row>
    <row r="35784" spans="3:3" x14ac:dyDescent="0.35">
      <c r="C35784" s="2"/>
    </row>
    <row r="35785" spans="3:3" x14ac:dyDescent="0.35">
      <c r="C35785" s="2"/>
    </row>
    <row r="35786" spans="3:3" x14ac:dyDescent="0.35">
      <c r="C35786" s="2"/>
    </row>
    <row r="35787" spans="3:3" x14ac:dyDescent="0.35">
      <c r="C35787" s="2"/>
    </row>
    <row r="35788" spans="3:3" x14ac:dyDescent="0.35">
      <c r="C35788" s="2"/>
    </row>
    <row r="35789" spans="3:3" x14ac:dyDescent="0.35">
      <c r="C35789" s="2"/>
    </row>
    <row r="35790" spans="3:3" x14ac:dyDescent="0.35">
      <c r="C35790" s="2"/>
    </row>
    <row r="35791" spans="3:3" x14ac:dyDescent="0.35">
      <c r="C35791" s="2"/>
    </row>
    <row r="35792" spans="3:3" x14ac:dyDescent="0.35">
      <c r="C35792" s="2"/>
    </row>
    <row r="35793" spans="3:3" x14ac:dyDescent="0.35">
      <c r="C35793" s="2"/>
    </row>
    <row r="35794" spans="3:3" x14ac:dyDescent="0.35">
      <c r="C35794" s="2"/>
    </row>
    <row r="35795" spans="3:3" x14ac:dyDescent="0.35">
      <c r="C35795" s="2"/>
    </row>
    <row r="35796" spans="3:3" x14ac:dyDescent="0.35">
      <c r="C35796" s="2"/>
    </row>
    <row r="35797" spans="3:3" x14ac:dyDescent="0.35">
      <c r="C35797" s="2"/>
    </row>
    <row r="35798" spans="3:3" x14ac:dyDescent="0.35">
      <c r="C35798" s="2"/>
    </row>
    <row r="35799" spans="3:3" x14ac:dyDescent="0.35">
      <c r="C35799" s="2"/>
    </row>
    <row r="35800" spans="3:3" x14ac:dyDescent="0.35">
      <c r="C35800" s="2"/>
    </row>
    <row r="35801" spans="3:3" x14ac:dyDescent="0.35">
      <c r="C35801" s="2"/>
    </row>
    <row r="35802" spans="3:3" x14ac:dyDescent="0.35">
      <c r="C35802" s="2"/>
    </row>
    <row r="35803" spans="3:3" x14ac:dyDescent="0.35">
      <c r="C35803" s="2"/>
    </row>
    <row r="35804" spans="3:3" x14ac:dyDescent="0.35">
      <c r="C35804" s="2"/>
    </row>
    <row r="35805" spans="3:3" x14ac:dyDescent="0.35">
      <c r="C35805" s="2"/>
    </row>
    <row r="35806" spans="3:3" x14ac:dyDescent="0.35">
      <c r="C35806" s="2"/>
    </row>
    <row r="35807" spans="3:3" x14ac:dyDescent="0.35">
      <c r="C35807" s="2"/>
    </row>
    <row r="35808" spans="3:3" x14ac:dyDescent="0.35">
      <c r="C35808" s="2"/>
    </row>
    <row r="35809" spans="3:3" x14ac:dyDescent="0.35">
      <c r="C35809" s="2"/>
    </row>
    <row r="35810" spans="3:3" x14ac:dyDescent="0.35">
      <c r="C35810" s="2"/>
    </row>
    <row r="35811" spans="3:3" x14ac:dyDescent="0.35">
      <c r="C35811" s="2"/>
    </row>
    <row r="35812" spans="3:3" x14ac:dyDescent="0.35">
      <c r="C35812" s="2"/>
    </row>
    <row r="35813" spans="3:3" x14ac:dyDescent="0.35">
      <c r="C35813" s="2"/>
    </row>
    <row r="35814" spans="3:3" x14ac:dyDescent="0.35">
      <c r="C35814" s="2"/>
    </row>
    <row r="35815" spans="3:3" x14ac:dyDescent="0.35">
      <c r="C35815" s="2"/>
    </row>
    <row r="35816" spans="3:3" x14ac:dyDescent="0.35">
      <c r="C35816" s="2"/>
    </row>
    <row r="35817" spans="3:3" x14ac:dyDescent="0.35">
      <c r="C35817" s="2"/>
    </row>
    <row r="35818" spans="3:3" x14ac:dyDescent="0.35">
      <c r="C35818" s="2"/>
    </row>
    <row r="35819" spans="3:3" x14ac:dyDescent="0.35">
      <c r="C35819" s="2"/>
    </row>
    <row r="35820" spans="3:3" x14ac:dyDescent="0.35">
      <c r="C35820" s="2"/>
    </row>
    <row r="35821" spans="3:3" x14ac:dyDescent="0.35">
      <c r="C35821" s="2"/>
    </row>
    <row r="35822" spans="3:3" x14ac:dyDescent="0.35">
      <c r="C35822" s="2"/>
    </row>
    <row r="35823" spans="3:3" x14ac:dyDescent="0.35">
      <c r="C35823" s="2"/>
    </row>
    <row r="35824" spans="3:3" x14ac:dyDescent="0.35">
      <c r="C35824" s="2"/>
    </row>
    <row r="35825" spans="3:3" x14ac:dyDescent="0.35">
      <c r="C35825" s="2"/>
    </row>
    <row r="35826" spans="3:3" x14ac:dyDescent="0.35">
      <c r="C35826" s="2"/>
    </row>
    <row r="35827" spans="3:3" x14ac:dyDescent="0.35">
      <c r="C35827" s="2"/>
    </row>
    <row r="35828" spans="3:3" x14ac:dyDescent="0.35">
      <c r="C35828" s="2"/>
    </row>
    <row r="35829" spans="3:3" x14ac:dyDescent="0.35">
      <c r="C35829" s="2"/>
    </row>
    <row r="35830" spans="3:3" x14ac:dyDescent="0.35">
      <c r="C35830" s="2"/>
    </row>
    <row r="35831" spans="3:3" x14ac:dyDescent="0.35">
      <c r="C35831" s="2"/>
    </row>
    <row r="35832" spans="3:3" x14ac:dyDescent="0.35">
      <c r="C35832" s="2"/>
    </row>
    <row r="35833" spans="3:3" x14ac:dyDescent="0.35">
      <c r="C35833" s="2"/>
    </row>
    <row r="35834" spans="3:3" x14ac:dyDescent="0.35">
      <c r="C35834" s="2"/>
    </row>
    <row r="35835" spans="3:3" x14ac:dyDescent="0.35">
      <c r="C35835" s="2"/>
    </row>
    <row r="35836" spans="3:3" x14ac:dyDescent="0.35">
      <c r="C35836" s="2"/>
    </row>
    <row r="35837" spans="3:3" x14ac:dyDescent="0.35">
      <c r="C35837" s="2"/>
    </row>
    <row r="35838" spans="3:3" x14ac:dyDescent="0.35">
      <c r="C35838" s="2"/>
    </row>
    <row r="35839" spans="3:3" x14ac:dyDescent="0.35">
      <c r="C35839" s="2"/>
    </row>
    <row r="35840" spans="3:3" x14ac:dyDescent="0.35">
      <c r="C35840" s="2"/>
    </row>
    <row r="35841" spans="3:3" x14ac:dyDescent="0.35">
      <c r="C35841" s="2"/>
    </row>
    <row r="35842" spans="3:3" x14ac:dyDescent="0.35">
      <c r="C35842" s="2"/>
    </row>
    <row r="35843" spans="3:3" x14ac:dyDescent="0.35">
      <c r="C35843" s="2"/>
    </row>
    <row r="35844" spans="3:3" x14ac:dyDescent="0.35">
      <c r="C35844" s="2"/>
    </row>
    <row r="35845" spans="3:3" x14ac:dyDescent="0.35">
      <c r="C35845" s="2"/>
    </row>
    <row r="35846" spans="3:3" x14ac:dyDescent="0.35">
      <c r="C35846" s="2"/>
    </row>
    <row r="35847" spans="3:3" x14ac:dyDescent="0.35">
      <c r="C35847" s="2"/>
    </row>
    <row r="35848" spans="3:3" x14ac:dyDescent="0.35">
      <c r="C35848" s="2"/>
    </row>
    <row r="35849" spans="3:3" x14ac:dyDescent="0.35">
      <c r="C35849" s="2"/>
    </row>
    <row r="35850" spans="3:3" x14ac:dyDescent="0.35">
      <c r="C35850" s="2"/>
    </row>
    <row r="35851" spans="3:3" x14ac:dyDescent="0.35">
      <c r="C35851" s="2"/>
    </row>
    <row r="35852" spans="3:3" x14ac:dyDescent="0.35">
      <c r="C35852" s="2"/>
    </row>
    <row r="35853" spans="3:3" x14ac:dyDescent="0.35">
      <c r="C35853" s="2"/>
    </row>
    <row r="35854" spans="3:3" x14ac:dyDescent="0.35">
      <c r="C35854" s="2"/>
    </row>
    <row r="35855" spans="3:3" x14ac:dyDescent="0.35">
      <c r="C35855" s="2"/>
    </row>
    <row r="35856" spans="3:3" x14ac:dyDescent="0.35">
      <c r="C35856" s="2"/>
    </row>
    <row r="35857" spans="3:3" x14ac:dyDescent="0.35">
      <c r="C35857" s="2"/>
    </row>
    <row r="35858" spans="3:3" x14ac:dyDescent="0.35">
      <c r="C35858" s="2"/>
    </row>
    <row r="35859" spans="3:3" x14ac:dyDescent="0.35">
      <c r="C35859" s="2"/>
    </row>
    <row r="35860" spans="3:3" x14ac:dyDescent="0.35">
      <c r="C35860" s="2"/>
    </row>
    <row r="35861" spans="3:3" x14ac:dyDescent="0.35">
      <c r="C35861" s="2"/>
    </row>
    <row r="35862" spans="3:3" x14ac:dyDescent="0.35">
      <c r="C35862" s="2"/>
    </row>
    <row r="35863" spans="3:3" x14ac:dyDescent="0.35">
      <c r="C35863" s="2"/>
    </row>
    <row r="35864" spans="3:3" x14ac:dyDescent="0.35">
      <c r="C35864" s="2"/>
    </row>
    <row r="35865" spans="3:3" x14ac:dyDescent="0.35">
      <c r="C35865" s="2"/>
    </row>
    <row r="35866" spans="3:3" x14ac:dyDescent="0.35">
      <c r="C35866" s="2"/>
    </row>
    <row r="35867" spans="3:3" x14ac:dyDescent="0.35">
      <c r="C35867" s="2"/>
    </row>
    <row r="35868" spans="3:3" x14ac:dyDescent="0.35">
      <c r="C35868" s="2"/>
    </row>
    <row r="35869" spans="3:3" x14ac:dyDescent="0.35">
      <c r="C35869" s="2"/>
    </row>
    <row r="35870" spans="3:3" x14ac:dyDescent="0.35">
      <c r="C35870" s="2"/>
    </row>
    <row r="35871" spans="3:3" x14ac:dyDescent="0.35">
      <c r="C35871" s="2"/>
    </row>
    <row r="35872" spans="3:3" x14ac:dyDescent="0.35">
      <c r="C35872" s="2"/>
    </row>
    <row r="35873" spans="3:3" x14ac:dyDescent="0.35">
      <c r="C35873" s="2"/>
    </row>
    <row r="35874" spans="3:3" x14ac:dyDescent="0.35">
      <c r="C35874" s="2"/>
    </row>
    <row r="35875" spans="3:3" x14ac:dyDescent="0.35">
      <c r="C35875" s="2"/>
    </row>
    <row r="35876" spans="3:3" x14ac:dyDescent="0.35">
      <c r="C35876" s="2"/>
    </row>
    <row r="35877" spans="3:3" x14ac:dyDescent="0.35">
      <c r="C35877" s="2"/>
    </row>
    <row r="35878" spans="3:3" x14ac:dyDescent="0.35">
      <c r="C35878" s="2"/>
    </row>
    <row r="35879" spans="3:3" x14ac:dyDescent="0.35">
      <c r="C35879" s="2"/>
    </row>
    <row r="35880" spans="3:3" x14ac:dyDescent="0.35">
      <c r="C35880" s="2"/>
    </row>
    <row r="35881" spans="3:3" x14ac:dyDescent="0.35">
      <c r="C35881" s="2"/>
    </row>
    <row r="35882" spans="3:3" x14ac:dyDescent="0.35">
      <c r="C35882" s="2"/>
    </row>
    <row r="35883" spans="3:3" x14ac:dyDescent="0.35">
      <c r="C35883" s="2"/>
    </row>
    <row r="35884" spans="3:3" x14ac:dyDescent="0.35">
      <c r="C35884" s="2"/>
    </row>
    <row r="35885" spans="3:3" x14ac:dyDescent="0.35">
      <c r="C35885" s="2"/>
    </row>
    <row r="35886" spans="3:3" x14ac:dyDescent="0.35">
      <c r="C35886" s="2"/>
    </row>
    <row r="35887" spans="3:3" x14ac:dyDescent="0.35">
      <c r="C35887" s="2"/>
    </row>
    <row r="35888" spans="3:3" x14ac:dyDescent="0.35">
      <c r="C35888" s="2"/>
    </row>
    <row r="35889" spans="3:3" x14ac:dyDescent="0.35">
      <c r="C35889" s="2"/>
    </row>
    <row r="35890" spans="3:3" x14ac:dyDescent="0.35">
      <c r="C35890" s="2"/>
    </row>
    <row r="35891" spans="3:3" x14ac:dyDescent="0.35">
      <c r="C35891" s="2"/>
    </row>
    <row r="35892" spans="3:3" x14ac:dyDescent="0.35">
      <c r="C35892" s="2"/>
    </row>
    <row r="35893" spans="3:3" x14ac:dyDescent="0.35">
      <c r="C35893" s="2"/>
    </row>
    <row r="35894" spans="3:3" x14ac:dyDescent="0.35">
      <c r="C35894" s="2"/>
    </row>
    <row r="35895" spans="3:3" x14ac:dyDescent="0.35">
      <c r="C35895" s="2"/>
    </row>
    <row r="35896" spans="3:3" x14ac:dyDescent="0.35">
      <c r="C35896" s="2"/>
    </row>
    <row r="35897" spans="3:3" x14ac:dyDescent="0.35">
      <c r="C35897" s="2"/>
    </row>
    <row r="35898" spans="3:3" x14ac:dyDescent="0.35">
      <c r="C35898" s="2"/>
    </row>
    <row r="35899" spans="3:3" x14ac:dyDescent="0.35">
      <c r="C35899" s="2"/>
    </row>
    <row r="35900" spans="3:3" x14ac:dyDescent="0.35">
      <c r="C35900" s="2"/>
    </row>
    <row r="35901" spans="3:3" x14ac:dyDescent="0.35">
      <c r="C35901" s="2"/>
    </row>
    <row r="35902" spans="3:3" x14ac:dyDescent="0.35">
      <c r="C35902" s="2"/>
    </row>
    <row r="35903" spans="3:3" x14ac:dyDescent="0.35">
      <c r="C35903" s="2"/>
    </row>
    <row r="35904" spans="3:3" x14ac:dyDescent="0.35">
      <c r="C35904" s="2"/>
    </row>
    <row r="35905" spans="3:3" x14ac:dyDescent="0.35">
      <c r="C35905" s="2"/>
    </row>
    <row r="35906" spans="3:3" x14ac:dyDescent="0.35">
      <c r="C35906" s="2"/>
    </row>
    <row r="35907" spans="3:3" x14ac:dyDescent="0.35">
      <c r="C35907" s="2"/>
    </row>
    <row r="35908" spans="3:3" x14ac:dyDescent="0.35">
      <c r="C35908" s="2"/>
    </row>
    <row r="35909" spans="3:3" x14ac:dyDescent="0.35">
      <c r="C35909" s="2"/>
    </row>
    <row r="35910" spans="3:3" x14ac:dyDescent="0.35">
      <c r="C35910" s="2"/>
    </row>
    <row r="35911" spans="3:3" x14ac:dyDescent="0.35">
      <c r="C35911" s="2"/>
    </row>
    <row r="35912" spans="3:3" x14ac:dyDescent="0.35">
      <c r="C35912" s="2"/>
    </row>
    <row r="35913" spans="3:3" x14ac:dyDescent="0.35">
      <c r="C35913" s="2"/>
    </row>
    <row r="35914" spans="3:3" x14ac:dyDescent="0.35">
      <c r="C35914" s="2"/>
    </row>
    <row r="35915" spans="3:3" x14ac:dyDescent="0.35">
      <c r="C35915" s="2"/>
    </row>
    <row r="35916" spans="3:3" x14ac:dyDescent="0.35">
      <c r="C35916" s="2"/>
    </row>
    <row r="35917" spans="3:3" x14ac:dyDescent="0.35">
      <c r="C35917" s="2"/>
    </row>
    <row r="35918" spans="3:3" x14ac:dyDescent="0.35">
      <c r="C35918" s="2"/>
    </row>
    <row r="35919" spans="3:3" x14ac:dyDescent="0.35">
      <c r="C35919" s="2"/>
    </row>
    <row r="35920" spans="3:3" x14ac:dyDescent="0.35">
      <c r="C35920" s="2"/>
    </row>
    <row r="35921" spans="3:3" x14ac:dyDescent="0.35">
      <c r="C35921" s="2"/>
    </row>
    <row r="35922" spans="3:3" x14ac:dyDescent="0.35">
      <c r="C35922" s="2"/>
    </row>
    <row r="35923" spans="3:3" x14ac:dyDescent="0.35">
      <c r="C35923" s="2"/>
    </row>
    <row r="35924" spans="3:3" x14ac:dyDescent="0.35">
      <c r="C35924" s="2"/>
    </row>
    <row r="35925" spans="3:3" x14ac:dyDescent="0.35">
      <c r="C35925" s="2"/>
    </row>
    <row r="35926" spans="3:3" x14ac:dyDescent="0.35">
      <c r="C35926" s="2"/>
    </row>
    <row r="35927" spans="3:3" x14ac:dyDescent="0.35">
      <c r="C35927" s="2"/>
    </row>
    <row r="35928" spans="3:3" x14ac:dyDescent="0.35">
      <c r="C35928" s="2"/>
    </row>
    <row r="35929" spans="3:3" x14ac:dyDescent="0.35">
      <c r="C35929" s="2"/>
    </row>
    <row r="35930" spans="3:3" x14ac:dyDescent="0.35">
      <c r="C35930" s="2"/>
    </row>
    <row r="35931" spans="3:3" x14ac:dyDescent="0.35">
      <c r="C35931" s="2"/>
    </row>
    <row r="35932" spans="3:3" x14ac:dyDescent="0.35">
      <c r="C35932" s="2"/>
    </row>
    <row r="35933" spans="3:3" x14ac:dyDescent="0.35">
      <c r="C35933" s="2"/>
    </row>
    <row r="35934" spans="3:3" x14ac:dyDescent="0.35">
      <c r="C35934" s="2"/>
    </row>
    <row r="35935" spans="3:3" x14ac:dyDescent="0.35">
      <c r="C35935" s="2"/>
    </row>
    <row r="35936" spans="3:3" x14ac:dyDescent="0.35">
      <c r="C35936" s="2"/>
    </row>
    <row r="35937" spans="3:3" x14ac:dyDescent="0.35">
      <c r="C35937" s="2"/>
    </row>
    <row r="35938" spans="3:3" x14ac:dyDescent="0.35">
      <c r="C35938" s="2"/>
    </row>
    <row r="35939" spans="3:3" x14ac:dyDescent="0.35">
      <c r="C35939" s="2"/>
    </row>
    <row r="35940" spans="3:3" x14ac:dyDescent="0.35">
      <c r="C35940" s="2"/>
    </row>
    <row r="35941" spans="3:3" x14ac:dyDescent="0.35">
      <c r="C35941" s="2"/>
    </row>
    <row r="35942" spans="3:3" x14ac:dyDescent="0.35">
      <c r="C35942" s="2"/>
    </row>
    <row r="35943" spans="3:3" x14ac:dyDescent="0.35">
      <c r="C35943" s="2"/>
    </row>
    <row r="35944" spans="3:3" x14ac:dyDescent="0.35">
      <c r="C35944" s="2"/>
    </row>
    <row r="35945" spans="3:3" x14ac:dyDescent="0.35">
      <c r="C35945" s="2"/>
    </row>
    <row r="35946" spans="3:3" x14ac:dyDescent="0.35">
      <c r="C35946" s="2"/>
    </row>
    <row r="35947" spans="3:3" x14ac:dyDescent="0.35">
      <c r="C35947" s="2"/>
    </row>
    <row r="35948" spans="3:3" x14ac:dyDescent="0.35">
      <c r="C35948" s="2"/>
    </row>
    <row r="35949" spans="3:3" x14ac:dyDescent="0.35">
      <c r="C35949" s="2"/>
    </row>
    <row r="35950" spans="3:3" x14ac:dyDescent="0.35">
      <c r="C35950" s="2"/>
    </row>
    <row r="35951" spans="3:3" x14ac:dyDescent="0.35">
      <c r="C35951" s="2"/>
    </row>
    <row r="35952" spans="3:3" x14ac:dyDescent="0.35">
      <c r="C35952" s="2"/>
    </row>
    <row r="35953" spans="3:3" x14ac:dyDescent="0.35">
      <c r="C35953" s="2"/>
    </row>
    <row r="35954" spans="3:3" x14ac:dyDescent="0.35">
      <c r="C35954" s="2"/>
    </row>
    <row r="35955" spans="3:3" x14ac:dyDescent="0.35">
      <c r="C35955" s="2"/>
    </row>
    <row r="35956" spans="3:3" x14ac:dyDescent="0.35">
      <c r="C35956" s="2"/>
    </row>
    <row r="35957" spans="3:3" x14ac:dyDescent="0.35">
      <c r="C35957" s="2"/>
    </row>
    <row r="35958" spans="3:3" x14ac:dyDescent="0.35">
      <c r="C35958" s="2"/>
    </row>
    <row r="35959" spans="3:3" x14ac:dyDescent="0.35">
      <c r="C35959" s="2"/>
    </row>
    <row r="35960" spans="3:3" x14ac:dyDescent="0.35">
      <c r="C35960" s="2"/>
    </row>
    <row r="35961" spans="3:3" x14ac:dyDescent="0.35">
      <c r="C35961" s="2"/>
    </row>
    <row r="35962" spans="3:3" x14ac:dyDescent="0.35">
      <c r="C35962" s="2"/>
    </row>
    <row r="35963" spans="3:3" x14ac:dyDescent="0.35">
      <c r="C35963" s="2"/>
    </row>
    <row r="35964" spans="3:3" x14ac:dyDescent="0.35">
      <c r="C35964" s="2"/>
    </row>
    <row r="35965" spans="3:3" x14ac:dyDescent="0.35">
      <c r="C35965" s="2"/>
    </row>
    <row r="35966" spans="3:3" x14ac:dyDescent="0.35">
      <c r="C35966" s="2"/>
    </row>
    <row r="35967" spans="3:3" x14ac:dyDescent="0.35">
      <c r="C35967" s="2"/>
    </row>
    <row r="35968" spans="3:3" x14ac:dyDescent="0.35">
      <c r="C35968" s="2"/>
    </row>
    <row r="35969" spans="3:3" x14ac:dyDescent="0.35">
      <c r="C35969" s="2"/>
    </row>
    <row r="35970" spans="3:3" x14ac:dyDescent="0.35">
      <c r="C35970" s="2"/>
    </row>
    <row r="35971" spans="3:3" x14ac:dyDescent="0.35">
      <c r="C35971" s="2"/>
    </row>
    <row r="35972" spans="3:3" x14ac:dyDescent="0.35">
      <c r="C35972" s="2"/>
    </row>
    <row r="35973" spans="3:3" x14ac:dyDescent="0.35">
      <c r="C35973" s="2"/>
    </row>
    <row r="35974" spans="3:3" x14ac:dyDescent="0.35">
      <c r="C35974" s="2"/>
    </row>
    <row r="35975" spans="3:3" x14ac:dyDescent="0.35">
      <c r="C35975" s="2"/>
    </row>
    <row r="35976" spans="3:3" x14ac:dyDescent="0.35">
      <c r="C35976" s="2"/>
    </row>
    <row r="35977" spans="3:3" x14ac:dyDescent="0.35">
      <c r="C35977" s="2"/>
    </row>
    <row r="35978" spans="3:3" x14ac:dyDescent="0.35">
      <c r="C35978" s="2"/>
    </row>
    <row r="35979" spans="3:3" x14ac:dyDescent="0.35">
      <c r="C35979" s="2"/>
    </row>
    <row r="35980" spans="3:3" x14ac:dyDescent="0.35">
      <c r="C35980" s="2"/>
    </row>
    <row r="35981" spans="3:3" x14ac:dyDescent="0.35">
      <c r="C35981" s="2"/>
    </row>
    <row r="35982" spans="3:3" x14ac:dyDescent="0.35">
      <c r="C35982" s="2"/>
    </row>
    <row r="35983" spans="3:3" x14ac:dyDescent="0.35">
      <c r="C35983" s="2"/>
    </row>
    <row r="35984" spans="3:3" x14ac:dyDescent="0.35">
      <c r="C35984" s="2"/>
    </row>
    <row r="35985" spans="3:3" x14ac:dyDescent="0.35">
      <c r="C35985" s="2"/>
    </row>
    <row r="35986" spans="3:3" x14ac:dyDescent="0.35">
      <c r="C35986" s="2"/>
    </row>
    <row r="35987" spans="3:3" x14ac:dyDescent="0.35">
      <c r="C35987" s="2"/>
    </row>
    <row r="35988" spans="3:3" x14ac:dyDescent="0.35">
      <c r="C35988" s="2"/>
    </row>
    <row r="35989" spans="3:3" x14ac:dyDescent="0.35">
      <c r="C35989" s="2"/>
    </row>
    <row r="35990" spans="3:3" x14ac:dyDescent="0.35">
      <c r="C35990" s="2"/>
    </row>
    <row r="35991" spans="3:3" x14ac:dyDescent="0.35">
      <c r="C35991" s="2"/>
    </row>
    <row r="35992" spans="3:3" x14ac:dyDescent="0.35">
      <c r="C35992" s="2"/>
    </row>
    <row r="35993" spans="3:3" x14ac:dyDescent="0.35">
      <c r="C35993" s="2"/>
    </row>
    <row r="35994" spans="3:3" x14ac:dyDescent="0.35">
      <c r="C35994" s="2"/>
    </row>
    <row r="35995" spans="3:3" x14ac:dyDescent="0.35">
      <c r="C35995" s="2"/>
    </row>
    <row r="35996" spans="3:3" x14ac:dyDescent="0.35">
      <c r="C35996" s="2"/>
    </row>
    <row r="35997" spans="3:3" x14ac:dyDescent="0.35">
      <c r="C35997" s="2"/>
    </row>
    <row r="35998" spans="3:3" x14ac:dyDescent="0.35">
      <c r="C35998" s="2"/>
    </row>
    <row r="35999" spans="3:3" x14ac:dyDescent="0.35">
      <c r="C35999" s="2"/>
    </row>
    <row r="36000" spans="3:3" x14ac:dyDescent="0.35">
      <c r="C36000" s="2"/>
    </row>
    <row r="36001" spans="3:3" x14ac:dyDescent="0.35">
      <c r="C36001" s="2"/>
    </row>
    <row r="36002" spans="3:3" x14ac:dyDescent="0.35">
      <c r="C36002" s="2"/>
    </row>
    <row r="36003" spans="3:3" x14ac:dyDescent="0.35">
      <c r="C36003" s="2"/>
    </row>
    <row r="36004" spans="3:3" x14ac:dyDescent="0.35">
      <c r="C36004" s="2"/>
    </row>
    <row r="36005" spans="3:3" x14ac:dyDescent="0.35">
      <c r="C36005" s="2"/>
    </row>
    <row r="36006" spans="3:3" x14ac:dyDescent="0.35">
      <c r="C36006" s="2"/>
    </row>
    <row r="36007" spans="3:3" x14ac:dyDescent="0.35">
      <c r="C36007" s="2"/>
    </row>
    <row r="36008" spans="3:3" x14ac:dyDescent="0.35">
      <c r="C36008" s="2"/>
    </row>
    <row r="36009" spans="3:3" x14ac:dyDescent="0.35">
      <c r="C36009" s="2"/>
    </row>
    <row r="36010" spans="3:3" x14ac:dyDescent="0.35">
      <c r="C36010" s="2"/>
    </row>
    <row r="36011" spans="3:3" x14ac:dyDescent="0.35">
      <c r="C36011" s="2"/>
    </row>
    <row r="36012" spans="3:3" x14ac:dyDescent="0.35">
      <c r="C36012" s="2"/>
    </row>
    <row r="36013" spans="3:3" x14ac:dyDescent="0.35">
      <c r="C36013" s="2"/>
    </row>
    <row r="36014" spans="3:3" x14ac:dyDescent="0.35">
      <c r="C36014" s="2"/>
    </row>
    <row r="36015" spans="3:3" x14ac:dyDescent="0.35">
      <c r="C36015" s="2"/>
    </row>
    <row r="36016" spans="3:3" x14ac:dyDescent="0.35">
      <c r="C36016" s="2"/>
    </row>
    <row r="36017" spans="3:3" x14ac:dyDescent="0.35">
      <c r="C36017" s="2"/>
    </row>
    <row r="36018" spans="3:3" x14ac:dyDescent="0.35">
      <c r="C36018" s="2"/>
    </row>
    <row r="36019" spans="3:3" x14ac:dyDescent="0.35">
      <c r="C36019" s="2"/>
    </row>
    <row r="36020" spans="3:3" x14ac:dyDescent="0.35">
      <c r="C36020" s="2"/>
    </row>
    <row r="36021" spans="3:3" x14ac:dyDescent="0.35">
      <c r="C36021" s="2"/>
    </row>
    <row r="36022" spans="3:3" x14ac:dyDescent="0.35">
      <c r="C36022" s="2"/>
    </row>
    <row r="36023" spans="3:3" x14ac:dyDescent="0.35">
      <c r="C36023" s="2"/>
    </row>
    <row r="36024" spans="3:3" x14ac:dyDescent="0.35">
      <c r="C36024" s="2"/>
    </row>
    <row r="36025" spans="3:3" x14ac:dyDescent="0.35">
      <c r="C36025" s="2"/>
    </row>
    <row r="36026" spans="3:3" x14ac:dyDescent="0.35">
      <c r="C36026" s="2"/>
    </row>
    <row r="36027" spans="3:3" x14ac:dyDescent="0.35">
      <c r="C36027" s="2"/>
    </row>
    <row r="36028" spans="3:3" x14ac:dyDescent="0.35">
      <c r="C36028" s="2"/>
    </row>
    <row r="36029" spans="3:3" x14ac:dyDescent="0.35">
      <c r="C36029" s="2"/>
    </row>
    <row r="36030" spans="3:3" x14ac:dyDescent="0.35">
      <c r="C36030" s="2"/>
    </row>
    <row r="36031" spans="3:3" x14ac:dyDescent="0.35">
      <c r="C36031" s="2"/>
    </row>
    <row r="36032" spans="3:3" x14ac:dyDescent="0.35">
      <c r="C36032" s="2"/>
    </row>
    <row r="36033" spans="3:3" x14ac:dyDescent="0.35">
      <c r="C36033" s="2"/>
    </row>
    <row r="36034" spans="3:3" x14ac:dyDescent="0.35">
      <c r="C36034" s="2"/>
    </row>
    <row r="36035" spans="3:3" x14ac:dyDescent="0.35">
      <c r="C36035" s="2"/>
    </row>
    <row r="36036" spans="3:3" x14ac:dyDescent="0.35">
      <c r="C36036" s="2"/>
    </row>
    <row r="36037" spans="3:3" x14ac:dyDescent="0.35">
      <c r="C36037" s="2"/>
    </row>
    <row r="36038" spans="3:3" x14ac:dyDescent="0.35">
      <c r="C36038" s="2"/>
    </row>
    <row r="36039" spans="3:3" x14ac:dyDescent="0.35">
      <c r="C36039" s="2"/>
    </row>
    <row r="36040" spans="3:3" x14ac:dyDescent="0.35">
      <c r="C36040" s="2"/>
    </row>
    <row r="36041" spans="3:3" x14ac:dyDescent="0.35">
      <c r="C36041" s="2"/>
    </row>
    <row r="36042" spans="3:3" x14ac:dyDescent="0.35">
      <c r="C36042" s="2"/>
    </row>
    <row r="36043" spans="3:3" x14ac:dyDescent="0.35">
      <c r="C36043" s="2"/>
    </row>
    <row r="36044" spans="3:3" x14ac:dyDescent="0.35">
      <c r="C36044" s="2"/>
    </row>
    <row r="36045" spans="3:3" x14ac:dyDescent="0.35">
      <c r="C36045" s="2"/>
    </row>
    <row r="36046" spans="3:3" x14ac:dyDescent="0.35">
      <c r="C36046" s="2"/>
    </row>
    <row r="36047" spans="3:3" x14ac:dyDescent="0.35">
      <c r="C36047" s="2"/>
    </row>
    <row r="36048" spans="3:3" x14ac:dyDescent="0.35">
      <c r="C36048" s="2"/>
    </row>
    <row r="36049" spans="3:3" x14ac:dyDescent="0.35">
      <c r="C36049" s="2"/>
    </row>
    <row r="36050" spans="3:3" x14ac:dyDescent="0.35">
      <c r="C36050" s="2"/>
    </row>
    <row r="36051" spans="3:3" x14ac:dyDescent="0.35">
      <c r="C36051" s="2"/>
    </row>
    <row r="36052" spans="3:3" x14ac:dyDescent="0.35">
      <c r="C36052" s="2"/>
    </row>
    <row r="36053" spans="3:3" x14ac:dyDescent="0.35">
      <c r="C36053" s="2"/>
    </row>
    <row r="36054" spans="3:3" x14ac:dyDescent="0.35">
      <c r="C36054" s="2"/>
    </row>
    <row r="36055" spans="3:3" x14ac:dyDescent="0.35">
      <c r="C36055" s="2"/>
    </row>
    <row r="36056" spans="3:3" x14ac:dyDescent="0.35">
      <c r="C36056" s="2"/>
    </row>
    <row r="36057" spans="3:3" x14ac:dyDescent="0.35">
      <c r="C36057" s="2"/>
    </row>
    <row r="36058" spans="3:3" x14ac:dyDescent="0.35">
      <c r="C36058" s="2"/>
    </row>
    <row r="36059" spans="3:3" x14ac:dyDescent="0.35">
      <c r="C36059" s="2"/>
    </row>
    <row r="36060" spans="3:3" x14ac:dyDescent="0.35">
      <c r="C36060" s="2"/>
    </row>
    <row r="36061" spans="3:3" x14ac:dyDescent="0.35">
      <c r="C36061" s="2"/>
    </row>
    <row r="36062" spans="3:3" x14ac:dyDescent="0.35">
      <c r="C36062" s="2"/>
    </row>
    <row r="36063" spans="3:3" x14ac:dyDescent="0.35">
      <c r="C36063" s="2"/>
    </row>
    <row r="36064" spans="3:3" x14ac:dyDescent="0.35">
      <c r="C36064" s="2"/>
    </row>
    <row r="36065" spans="3:3" x14ac:dyDescent="0.35">
      <c r="C36065" s="2"/>
    </row>
    <row r="36066" spans="3:3" x14ac:dyDescent="0.35">
      <c r="C36066" s="2"/>
    </row>
    <row r="36067" spans="3:3" x14ac:dyDescent="0.35">
      <c r="C36067" s="2"/>
    </row>
    <row r="36068" spans="3:3" x14ac:dyDescent="0.35">
      <c r="C36068" s="2"/>
    </row>
    <row r="36069" spans="3:3" x14ac:dyDescent="0.35">
      <c r="C36069" s="2"/>
    </row>
    <row r="36070" spans="3:3" x14ac:dyDescent="0.35">
      <c r="C36070" s="2"/>
    </row>
    <row r="36071" spans="3:3" x14ac:dyDescent="0.35">
      <c r="C36071" s="2"/>
    </row>
    <row r="36072" spans="3:3" x14ac:dyDescent="0.35">
      <c r="C36072" s="2"/>
    </row>
    <row r="36073" spans="3:3" x14ac:dyDescent="0.35">
      <c r="C36073" s="2"/>
    </row>
    <row r="36074" spans="3:3" x14ac:dyDescent="0.35">
      <c r="C36074" s="2"/>
    </row>
    <row r="36075" spans="3:3" x14ac:dyDescent="0.35">
      <c r="C36075" s="2"/>
    </row>
    <row r="36076" spans="3:3" x14ac:dyDescent="0.35">
      <c r="C36076" s="2"/>
    </row>
    <row r="36077" spans="3:3" x14ac:dyDescent="0.35">
      <c r="C36077" s="2"/>
    </row>
    <row r="36078" spans="3:3" x14ac:dyDescent="0.35">
      <c r="C36078" s="2"/>
    </row>
    <row r="36079" spans="3:3" x14ac:dyDescent="0.35">
      <c r="C36079" s="2"/>
    </row>
    <row r="36080" spans="3:3" x14ac:dyDescent="0.35">
      <c r="C36080" s="2"/>
    </row>
    <row r="36081" spans="3:3" x14ac:dyDescent="0.35">
      <c r="C36081" s="2"/>
    </row>
    <row r="36082" spans="3:3" x14ac:dyDescent="0.35">
      <c r="C36082" s="2"/>
    </row>
    <row r="36083" spans="3:3" x14ac:dyDescent="0.35">
      <c r="C36083" s="2"/>
    </row>
    <row r="36084" spans="3:3" x14ac:dyDescent="0.35">
      <c r="C36084" s="2"/>
    </row>
    <row r="36085" spans="3:3" x14ac:dyDescent="0.35">
      <c r="C36085" s="2"/>
    </row>
    <row r="36086" spans="3:3" x14ac:dyDescent="0.35">
      <c r="C36086" s="2"/>
    </row>
    <row r="36087" spans="3:3" x14ac:dyDescent="0.35">
      <c r="C36087" s="2"/>
    </row>
    <row r="36088" spans="3:3" x14ac:dyDescent="0.35">
      <c r="C36088" s="2"/>
    </row>
    <row r="36089" spans="3:3" x14ac:dyDescent="0.35">
      <c r="C36089" s="2"/>
    </row>
    <row r="36090" spans="3:3" x14ac:dyDescent="0.35">
      <c r="C36090" s="2"/>
    </row>
    <row r="36091" spans="3:3" x14ac:dyDescent="0.35">
      <c r="C36091" s="2"/>
    </row>
    <row r="36092" spans="3:3" x14ac:dyDescent="0.35">
      <c r="C36092" s="2"/>
    </row>
    <row r="36093" spans="3:3" x14ac:dyDescent="0.35">
      <c r="C36093" s="2"/>
    </row>
    <row r="36094" spans="3:3" x14ac:dyDescent="0.35">
      <c r="C36094" s="2"/>
    </row>
    <row r="36095" spans="3:3" x14ac:dyDescent="0.35">
      <c r="C36095" s="2"/>
    </row>
    <row r="36096" spans="3:3" x14ac:dyDescent="0.35">
      <c r="C36096" s="2"/>
    </row>
    <row r="36097" spans="3:3" x14ac:dyDescent="0.35">
      <c r="C36097" s="2"/>
    </row>
    <row r="36098" spans="3:3" x14ac:dyDescent="0.35">
      <c r="C36098" s="2"/>
    </row>
    <row r="36099" spans="3:3" x14ac:dyDescent="0.35">
      <c r="C36099" s="2"/>
    </row>
    <row r="36100" spans="3:3" x14ac:dyDescent="0.35">
      <c r="C36100" s="2"/>
    </row>
    <row r="36101" spans="3:3" x14ac:dyDescent="0.35">
      <c r="C36101" s="2"/>
    </row>
    <row r="36102" spans="3:3" x14ac:dyDescent="0.35">
      <c r="C36102" s="2"/>
    </row>
    <row r="36103" spans="3:3" x14ac:dyDescent="0.35">
      <c r="C36103" s="2"/>
    </row>
    <row r="36104" spans="3:3" x14ac:dyDescent="0.35">
      <c r="C36104" s="2"/>
    </row>
    <row r="36105" spans="3:3" x14ac:dyDescent="0.35">
      <c r="C36105" s="2"/>
    </row>
    <row r="36106" spans="3:3" x14ac:dyDescent="0.35">
      <c r="C36106" s="2"/>
    </row>
    <row r="36107" spans="3:3" x14ac:dyDescent="0.35">
      <c r="C36107" s="2"/>
    </row>
    <row r="36108" spans="3:3" x14ac:dyDescent="0.35">
      <c r="C36108" s="2"/>
    </row>
    <row r="36109" spans="3:3" x14ac:dyDescent="0.35">
      <c r="C36109" s="2"/>
    </row>
    <row r="36110" spans="3:3" x14ac:dyDescent="0.35">
      <c r="C36110" s="2"/>
    </row>
    <row r="36111" spans="3:3" x14ac:dyDescent="0.35">
      <c r="C36111" s="2"/>
    </row>
    <row r="36112" spans="3:3" x14ac:dyDescent="0.35">
      <c r="C36112" s="2"/>
    </row>
    <row r="36113" spans="3:3" x14ac:dyDescent="0.35">
      <c r="C36113" s="2"/>
    </row>
    <row r="36114" spans="3:3" x14ac:dyDescent="0.35">
      <c r="C36114" s="2"/>
    </row>
    <row r="36115" spans="3:3" x14ac:dyDescent="0.35">
      <c r="C36115" s="2"/>
    </row>
    <row r="36116" spans="3:3" x14ac:dyDescent="0.35">
      <c r="C36116" s="2"/>
    </row>
    <row r="36117" spans="3:3" x14ac:dyDescent="0.35">
      <c r="C36117" s="2"/>
    </row>
    <row r="36118" spans="3:3" x14ac:dyDescent="0.35">
      <c r="C36118" s="2"/>
    </row>
    <row r="36119" spans="3:3" x14ac:dyDescent="0.35">
      <c r="C36119" s="2"/>
    </row>
    <row r="36120" spans="3:3" x14ac:dyDescent="0.35">
      <c r="C36120" s="2"/>
    </row>
    <row r="36121" spans="3:3" x14ac:dyDescent="0.35">
      <c r="C36121" s="2"/>
    </row>
    <row r="36122" spans="3:3" x14ac:dyDescent="0.35">
      <c r="C36122" s="2"/>
    </row>
    <row r="36123" spans="3:3" x14ac:dyDescent="0.35">
      <c r="C36123" s="2"/>
    </row>
    <row r="36124" spans="3:3" x14ac:dyDescent="0.35">
      <c r="C36124" s="2"/>
    </row>
    <row r="36125" spans="3:3" x14ac:dyDescent="0.35">
      <c r="C36125" s="2"/>
    </row>
    <row r="36126" spans="3:3" x14ac:dyDescent="0.35">
      <c r="C36126" s="2"/>
    </row>
    <row r="36127" spans="3:3" x14ac:dyDescent="0.35">
      <c r="C36127" s="2"/>
    </row>
    <row r="36128" spans="3:3" x14ac:dyDescent="0.35">
      <c r="C36128" s="2"/>
    </row>
    <row r="36129" spans="3:3" x14ac:dyDescent="0.35">
      <c r="C36129" s="2"/>
    </row>
    <row r="36130" spans="3:3" x14ac:dyDescent="0.35">
      <c r="C36130" s="2"/>
    </row>
    <row r="36131" spans="3:3" x14ac:dyDescent="0.35">
      <c r="C36131" s="2"/>
    </row>
    <row r="36132" spans="3:3" x14ac:dyDescent="0.35">
      <c r="C36132" s="2"/>
    </row>
    <row r="36133" spans="3:3" x14ac:dyDescent="0.35">
      <c r="C36133" s="2"/>
    </row>
    <row r="36134" spans="3:3" x14ac:dyDescent="0.35">
      <c r="C36134" s="2"/>
    </row>
    <row r="36135" spans="3:3" x14ac:dyDescent="0.35">
      <c r="C36135" s="2"/>
    </row>
    <row r="36136" spans="3:3" x14ac:dyDescent="0.35">
      <c r="C36136" s="2"/>
    </row>
    <row r="36137" spans="3:3" x14ac:dyDescent="0.35">
      <c r="C36137" s="2"/>
    </row>
    <row r="36138" spans="3:3" x14ac:dyDescent="0.35">
      <c r="C36138" s="2"/>
    </row>
    <row r="36139" spans="3:3" x14ac:dyDescent="0.35">
      <c r="C36139" s="2"/>
    </row>
    <row r="36140" spans="3:3" x14ac:dyDescent="0.35">
      <c r="C36140" s="2"/>
    </row>
    <row r="36141" spans="3:3" x14ac:dyDescent="0.35">
      <c r="C36141" s="2"/>
    </row>
    <row r="36142" spans="3:3" x14ac:dyDescent="0.35">
      <c r="C36142" s="2"/>
    </row>
    <row r="36143" spans="3:3" x14ac:dyDescent="0.35">
      <c r="C36143" s="2"/>
    </row>
    <row r="36144" spans="3:3" x14ac:dyDescent="0.35">
      <c r="C36144" s="2"/>
    </row>
    <row r="36145" spans="3:3" x14ac:dyDescent="0.35">
      <c r="C36145" s="2"/>
    </row>
    <row r="36146" spans="3:3" x14ac:dyDescent="0.35">
      <c r="C36146" s="2"/>
    </row>
    <row r="36147" spans="3:3" x14ac:dyDescent="0.35">
      <c r="C36147" s="2"/>
    </row>
    <row r="36148" spans="3:3" x14ac:dyDescent="0.35">
      <c r="C36148" s="2"/>
    </row>
    <row r="36149" spans="3:3" x14ac:dyDescent="0.35">
      <c r="C36149" s="2"/>
    </row>
    <row r="36150" spans="3:3" x14ac:dyDescent="0.35">
      <c r="C36150" s="2"/>
    </row>
    <row r="36151" spans="3:3" x14ac:dyDescent="0.35">
      <c r="C36151" s="2"/>
    </row>
    <row r="36152" spans="3:3" x14ac:dyDescent="0.35">
      <c r="C36152" s="2"/>
    </row>
    <row r="36153" spans="3:3" x14ac:dyDescent="0.35">
      <c r="C36153" s="2"/>
    </row>
    <row r="36154" spans="3:3" x14ac:dyDescent="0.35">
      <c r="C36154" s="2"/>
    </row>
    <row r="36155" spans="3:3" x14ac:dyDescent="0.35">
      <c r="C36155" s="2"/>
    </row>
    <row r="36156" spans="3:3" x14ac:dyDescent="0.35">
      <c r="C36156" s="2"/>
    </row>
    <row r="36157" spans="3:3" x14ac:dyDescent="0.35">
      <c r="C36157" s="2"/>
    </row>
    <row r="36158" spans="3:3" x14ac:dyDescent="0.35">
      <c r="C36158" s="2"/>
    </row>
    <row r="36159" spans="3:3" x14ac:dyDescent="0.35">
      <c r="C36159" s="2"/>
    </row>
    <row r="36160" spans="3:3" x14ac:dyDescent="0.35">
      <c r="C36160" s="2"/>
    </row>
    <row r="36161" spans="3:3" x14ac:dyDescent="0.35">
      <c r="C36161" s="2"/>
    </row>
    <row r="36162" spans="3:3" x14ac:dyDescent="0.35">
      <c r="C36162" s="2"/>
    </row>
    <row r="36163" spans="3:3" x14ac:dyDescent="0.35">
      <c r="C36163" s="2"/>
    </row>
    <row r="36164" spans="3:3" x14ac:dyDescent="0.35">
      <c r="C36164" s="2"/>
    </row>
    <row r="36165" spans="3:3" x14ac:dyDescent="0.35">
      <c r="C36165" s="2"/>
    </row>
    <row r="36166" spans="3:3" x14ac:dyDescent="0.35">
      <c r="C36166" s="2"/>
    </row>
    <row r="36167" spans="3:3" x14ac:dyDescent="0.35">
      <c r="C36167" s="2"/>
    </row>
    <row r="36168" spans="3:3" x14ac:dyDescent="0.35">
      <c r="C36168" s="2"/>
    </row>
    <row r="36169" spans="3:3" x14ac:dyDescent="0.35">
      <c r="C36169" s="2"/>
    </row>
    <row r="36170" spans="3:3" x14ac:dyDescent="0.35">
      <c r="C36170" s="2"/>
    </row>
    <row r="36171" spans="3:3" x14ac:dyDescent="0.35">
      <c r="C36171" s="2"/>
    </row>
    <row r="36172" spans="3:3" x14ac:dyDescent="0.35">
      <c r="C36172" s="2"/>
    </row>
    <row r="36173" spans="3:3" x14ac:dyDescent="0.35">
      <c r="C36173" s="2"/>
    </row>
    <row r="36174" spans="3:3" x14ac:dyDescent="0.35">
      <c r="C36174" s="2"/>
    </row>
    <row r="36175" spans="3:3" x14ac:dyDescent="0.35">
      <c r="C36175" s="2"/>
    </row>
    <row r="36176" spans="3:3" x14ac:dyDescent="0.35">
      <c r="C36176" s="2"/>
    </row>
    <row r="36177" spans="3:3" x14ac:dyDescent="0.35">
      <c r="C36177" s="2"/>
    </row>
    <row r="36178" spans="3:3" x14ac:dyDescent="0.35">
      <c r="C36178" s="2"/>
    </row>
    <row r="36179" spans="3:3" x14ac:dyDescent="0.35">
      <c r="C36179" s="2"/>
    </row>
    <row r="36180" spans="3:3" x14ac:dyDescent="0.35">
      <c r="C36180" s="2"/>
    </row>
    <row r="36181" spans="3:3" x14ac:dyDescent="0.35">
      <c r="C36181" s="2"/>
    </row>
    <row r="36182" spans="3:3" x14ac:dyDescent="0.35">
      <c r="C36182" s="2"/>
    </row>
    <row r="36183" spans="3:3" x14ac:dyDescent="0.35">
      <c r="C36183" s="2"/>
    </row>
    <row r="36184" spans="3:3" x14ac:dyDescent="0.35">
      <c r="C36184" s="2"/>
    </row>
    <row r="36185" spans="3:3" x14ac:dyDescent="0.35">
      <c r="C36185" s="2"/>
    </row>
    <row r="36186" spans="3:3" x14ac:dyDescent="0.35">
      <c r="C36186" s="2"/>
    </row>
    <row r="36187" spans="3:3" x14ac:dyDescent="0.35">
      <c r="C36187" s="2"/>
    </row>
    <row r="36188" spans="3:3" x14ac:dyDescent="0.35">
      <c r="C36188" s="2"/>
    </row>
    <row r="36189" spans="3:3" x14ac:dyDescent="0.35">
      <c r="C36189" s="2"/>
    </row>
    <row r="36190" spans="3:3" x14ac:dyDescent="0.35">
      <c r="C36190" s="2"/>
    </row>
    <row r="36191" spans="3:3" x14ac:dyDescent="0.35">
      <c r="C36191" s="2"/>
    </row>
    <row r="36192" spans="3:3" x14ac:dyDescent="0.35">
      <c r="C36192" s="2"/>
    </row>
    <row r="36193" spans="3:3" x14ac:dyDescent="0.35">
      <c r="C36193" s="2"/>
    </row>
    <row r="36194" spans="3:3" x14ac:dyDescent="0.35">
      <c r="C36194" s="2"/>
    </row>
    <row r="36195" spans="3:3" x14ac:dyDescent="0.35">
      <c r="C36195" s="2"/>
    </row>
    <row r="36196" spans="3:3" x14ac:dyDescent="0.35">
      <c r="C36196" s="2"/>
    </row>
    <row r="36197" spans="3:3" x14ac:dyDescent="0.35">
      <c r="C36197" s="2"/>
    </row>
    <row r="36198" spans="3:3" x14ac:dyDescent="0.35">
      <c r="C36198" s="2"/>
    </row>
    <row r="36199" spans="3:3" x14ac:dyDescent="0.35">
      <c r="C36199" s="2"/>
    </row>
    <row r="36200" spans="3:3" x14ac:dyDescent="0.35">
      <c r="C36200" s="2"/>
    </row>
    <row r="36201" spans="3:3" x14ac:dyDescent="0.35">
      <c r="C36201" s="2"/>
    </row>
    <row r="36202" spans="3:3" x14ac:dyDescent="0.35">
      <c r="C36202" s="2"/>
    </row>
    <row r="36203" spans="3:3" x14ac:dyDescent="0.35">
      <c r="C36203" s="2"/>
    </row>
    <row r="36204" spans="3:3" x14ac:dyDescent="0.35">
      <c r="C36204" s="2"/>
    </row>
    <row r="36205" spans="3:3" x14ac:dyDescent="0.35">
      <c r="C36205" s="2"/>
    </row>
    <row r="36206" spans="3:3" x14ac:dyDescent="0.35">
      <c r="C36206" s="2"/>
    </row>
    <row r="36207" spans="3:3" x14ac:dyDescent="0.35">
      <c r="C36207" s="2"/>
    </row>
    <row r="36208" spans="3:3" x14ac:dyDescent="0.35">
      <c r="C36208" s="2"/>
    </row>
    <row r="36209" spans="3:3" x14ac:dyDescent="0.35">
      <c r="C36209" s="2"/>
    </row>
    <row r="36210" spans="3:3" x14ac:dyDescent="0.35">
      <c r="C36210" s="2"/>
    </row>
    <row r="36211" spans="3:3" x14ac:dyDescent="0.35">
      <c r="C36211" s="2"/>
    </row>
    <row r="36212" spans="3:3" x14ac:dyDescent="0.35">
      <c r="C36212" s="2"/>
    </row>
    <row r="36213" spans="3:3" x14ac:dyDescent="0.35">
      <c r="C36213" s="2"/>
    </row>
    <row r="36214" spans="3:3" x14ac:dyDescent="0.35">
      <c r="C36214" s="2"/>
    </row>
    <row r="36215" spans="3:3" x14ac:dyDescent="0.35">
      <c r="C36215" s="2"/>
    </row>
    <row r="36216" spans="3:3" x14ac:dyDescent="0.35">
      <c r="C36216" s="2"/>
    </row>
    <row r="36217" spans="3:3" x14ac:dyDescent="0.35">
      <c r="C36217" s="2"/>
    </row>
    <row r="36218" spans="3:3" x14ac:dyDescent="0.35">
      <c r="C36218" s="2"/>
    </row>
    <row r="36219" spans="3:3" x14ac:dyDescent="0.35">
      <c r="C36219" s="2"/>
    </row>
    <row r="36220" spans="3:3" x14ac:dyDescent="0.35">
      <c r="C36220" s="2"/>
    </row>
    <row r="36221" spans="3:3" x14ac:dyDescent="0.35">
      <c r="C36221" s="2"/>
    </row>
    <row r="36222" spans="3:3" x14ac:dyDescent="0.35">
      <c r="C36222" s="2"/>
    </row>
    <row r="36223" spans="3:3" x14ac:dyDescent="0.35">
      <c r="C36223" s="2"/>
    </row>
    <row r="36224" spans="3:3" x14ac:dyDescent="0.35">
      <c r="C36224" s="2"/>
    </row>
    <row r="36225" spans="3:3" x14ac:dyDescent="0.35">
      <c r="C36225" s="2"/>
    </row>
    <row r="36226" spans="3:3" x14ac:dyDescent="0.35">
      <c r="C36226" s="2"/>
    </row>
    <row r="36227" spans="3:3" x14ac:dyDescent="0.35">
      <c r="C36227" s="2"/>
    </row>
    <row r="36228" spans="3:3" x14ac:dyDescent="0.35">
      <c r="C36228" s="2"/>
    </row>
    <row r="36229" spans="3:3" x14ac:dyDescent="0.35">
      <c r="C36229" s="2"/>
    </row>
    <row r="36230" spans="3:3" x14ac:dyDescent="0.35">
      <c r="C36230" s="2"/>
    </row>
    <row r="36231" spans="3:3" x14ac:dyDescent="0.35">
      <c r="C36231" s="2"/>
    </row>
    <row r="36232" spans="3:3" x14ac:dyDescent="0.35">
      <c r="C36232" s="2"/>
    </row>
    <row r="36233" spans="3:3" x14ac:dyDescent="0.35">
      <c r="C36233" s="2"/>
    </row>
    <row r="36234" spans="3:3" x14ac:dyDescent="0.35">
      <c r="C36234" s="2"/>
    </row>
    <row r="36235" spans="3:3" x14ac:dyDescent="0.35">
      <c r="C36235" s="2"/>
    </row>
    <row r="36236" spans="3:3" x14ac:dyDescent="0.35">
      <c r="C36236" s="2"/>
    </row>
    <row r="36237" spans="3:3" x14ac:dyDescent="0.35">
      <c r="C36237" s="2"/>
    </row>
    <row r="36238" spans="3:3" x14ac:dyDescent="0.35">
      <c r="C36238" s="2"/>
    </row>
    <row r="36239" spans="3:3" x14ac:dyDescent="0.35">
      <c r="C36239" s="2"/>
    </row>
    <row r="36240" spans="3:3" x14ac:dyDescent="0.35">
      <c r="C36240" s="2"/>
    </row>
    <row r="36241" spans="3:3" x14ac:dyDescent="0.35">
      <c r="C36241" s="2"/>
    </row>
    <row r="36242" spans="3:3" x14ac:dyDescent="0.35">
      <c r="C36242" s="2"/>
    </row>
    <row r="36243" spans="3:3" x14ac:dyDescent="0.35">
      <c r="C36243" s="2"/>
    </row>
    <row r="36244" spans="3:3" x14ac:dyDescent="0.35">
      <c r="C36244" s="2"/>
    </row>
    <row r="36245" spans="3:3" x14ac:dyDescent="0.35">
      <c r="C36245" s="2"/>
    </row>
    <row r="36246" spans="3:3" x14ac:dyDescent="0.35">
      <c r="C36246" s="2"/>
    </row>
    <row r="36247" spans="3:3" x14ac:dyDescent="0.35">
      <c r="C36247" s="2"/>
    </row>
    <row r="36248" spans="3:3" x14ac:dyDescent="0.35">
      <c r="C36248" s="2"/>
    </row>
    <row r="36249" spans="3:3" x14ac:dyDescent="0.35">
      <c r="C36249" s="2"/>
    </row>
    <row r="36250" spans="3:3" x14ac:dyDescent="0.35">
      <c r="C36250" s="2"/>
    </row>
    <row r="36251" spans="3:3" x14ac:dyDescent="0.35">
      <c r="C36251" s="2"/>
    </row>
    <row r="36252" spans="3:3" x14ac:dyDescent="0.35">
      <c r="C36252" s="2"/>
    </row>
    <row r="36253" spans="3:3" x14ac:dyDescent="0.35">
      <c r="C36253" s="2"/>
    </row>
    <row r="36254" spans="3:3" x14ac:dyDescent="0.35">
      <c r="C36254" s="2"/>
    </row>
    <row r="36255" spans="3:3" x14ac:dyDescent="0.35">
      <c r="C36255" s="2"/>
    </row>
    <row r="36256" spans="3:3" x14ac:dyDescent="0.35">
      <c r="C36256" s="2"/>
    </row>
    <row r="36257" spans="3:3" x14ac:dyDescent="0.35">
      <c r="C36257" s="2"/>
    </row>
    <row r="36258" spans="3:3" x14ac:dyDescent="0.35">
      <c r="C36258" s="2"/>
    </row>
    <row r="36259" spans="3:3" x14ac:dyDescent="0.35">
      <c r="C36259" s="2"/>
    </row>
    <row r="36260" spans="3:3" x14ac:dyDescent="0.35">
      <c r="C36260" s="2"/>
    </row>
    <row r="36261" spans="3:3" x14ac:dyDescent="0.35">
      <c r="C36261" s="2"/>
    </row>
    <row r="36262" spans="3:3" x14ac:dyDescent="0.35">
      <c r="C36262" s="2"/>
    </row>
    <row r="36263" spans="3:3" x14ac:dyDescent="0.35">
      <c r="C36263" s="2"/>
    </row>
    <row r="36264" spans="3:3" x14ac:dyDescent="0.35">
      <c r="C36264" s="2"/>
    </row>
    <row r="36265" spans="3:3" x14ac:dyDescent="0.35">
      <c r="C36265" s="2"/>
    </row>
    <row r="36266" spans="3:3" x14ac:dyDescent="0.35">
      <c r="C36266" s="2"/>
    </row>
    <row r="36267" spans="3:3" x14ac:dyDescent="0.35">
      <c r="C36267" s="2"/>
    </row>
    <row r="36268" spans="3:3" x14ac:dyDescent="0.35">
      <c r="C36268" s="2"/>
    </row>
    <row r="36269" spans="3:3" x14ac:dyDescent="0.35">
      <c r="C36269" s="2"/>
    </row>
    <row r="36270" spans="3:3" x14ac:dyDescent="0.35">
      <c r="C36270" s="2"/>
    </row>
    <row r="36271" spans="3:3" x14ac:dyDescent="0.35">
      <c r="C36271" s="2"/>
    </row>
    <row r="36272" spans="3:3" x14ac:dyDescent="0.35">
      <c r="C36272" s="2"/>
    </row>
    <row r="36273" spans="3:3" x14ac:dyDescent="0.35">
      <c r="C36273" s="2"/>
    </row>
    <row r="36274" spans="3:3" x14ac:dyDescent="0.35">
      <c r="C36274" s="2"/>
    </row>
    <row r="36275" spans="3:3" x14ac:dyDescent="0.35">
      <c r="C36275" s="2"/>
    </row>
    <row r="36276" spans="3:3" x14ac:dyDescent="0.35">
      <c r="C36276" s="2"/>
    </row>
    <row r="36277" spans="3:3" x14ac:dyDescent="0.35">
      <c r="C36277" s="2"/>
    </row>
    <row r="36278" spans="3:3" x14ac:dyDescent="0.35">
      <c r="C36278" s="2"/>
    </row>
    <row r="36279" spans="3:3" x14ac:dyDescent="0.35">
      <c r="C36279" s="2"/>
    </row>
    <row r="36280" spans="3:3" x14ac:dyDescent="0.35">
      <c r="C36280" s="2"/>
    </row>
    <row r="36281" spans="3:3" x14ac:dyDescent="0.35">
      <c r="C36281" s="2"/>
    </row>
    <row r="36282" spans="3:3" x14ac:dyDescent="0.35">
      <c r="C36282" s="2"/>
    </row>
    <row r="36283" spans="3:3" x14ac:dyDescent="0.35">
      <c r="C36283" s="2"/>
    </row>
    <row r="36284" spans="3:3" x14ac:dyDescent="0.35">
      <c r="C36284" s="2"/>
    </row>
    <row r="36285" spans="3:3" x14ac:dyDescent="0.35">
      <c r="C36285" s="2"/>
    </row>
    <row r="36286" spans="3:3" x14ac:dyDescent="0.35">
      <c r="C36286" s="2"/>
    </row>
    <row r="36287" spans="3:3" x14ac:dyDescent="0.35">
      <c r="C36287" s="2"/>
    </row>
    <row r="36288" spans="3:3" x14ac:dyDescent="0.35">
      <c r="C36288" s="2"/>
    </row>
    <row r="36289" spans="3:3" x14ac:dyDescent="0.35">
      <c r="C36289" s="2"/>
    </row>
    <row r="36290" spans="3:3" x14ac:dyDescent="0.35">
      <c r="C36290" s="2"/>
    </row>
    <row r="36291" spans="3:3" x14ac:dyDescent="0.35">
      <c r="C36291" s="2"/>
    </row>
    <row r="36292" spans="3:3" x14ac:dyDescent="0.35">
      <c r="C36292" s="2"/>
    </row>
    <row r="36293" spans="3:3" x14ac:dyDescent="0.35">
      <c r="C36293" s="2"/>
    </row>
    <row r="36294" spans="3:3" x14ac:dyDescent="0.35">
      <c r="C36294" s="2"/>
    </row>
    <row r="36295" spans="3:3" x14ac:dyDescent="0.35">
      <c r="C36295" s="2"/>
    </row>
    <row r="36296" spans="3:3" x14ac:dyDescent="0.35">
      <c r="C36296" s="2"/>
    </row>
    <row r="36297" spans="3:3" x14ac:dyDescent="0.35">
      <c r="C36297" s="2"/>
    </row>
    <row r="36298" spans="3:3" x14ac:dyDescent="0.35">
      <c r="C36298" s="2"/>
    </row>
    <row r="36299" spans="3:3" x14ac:dyDescent="0.35">
      <c r="C36299" s="2"/>
    </row>
    <row r="36300" spans="3:3" x14ac:dyDescent="0.35">
      <c r="C36300" s="2"/>
    </row>
    <row r="36301" spans="3:3" x14ac:dyDescent="0.35">
      <c r="C36301" s="2"/>
    </row>
    <row r="36302" spans="3:3" x14ac:dyDescent="0.35">
      <c r="C36302" s="2"/>
    </row>
    <row r="36303" spans="3:3" x14ac:dyDescent="0.35">
      <c r="C36303" s="2"/>
    </row>
    <row r="36304" spans="3:3" x14ac:dyDescent="0.35">
      <c r="C36304" s="2"/>
    </row>
    <row r="36305" spans="3:3" x14ac:dyDescent="0.35">
      <c r="C36305" s="2"/>
    </row>
    <row r="36306" spans="3:3" x14ac:dyDescent="0.35">
      <c r="C36306" s="2"/>
    </row>
    <row r="36307" spans="3:3" x14ac:dyDescent="0.35">
      <c r="C36307" s="2"/>
    </row>
    <row r="36308" spans="3:3" x14ac:dyDescent="0.35">
      <c r="C36308" s="2"/>
    </row>
    <row r="36309" spans="3:3" x14ac:dyDescent="0.35">
      <c r="C36309" s="2"/>
    </row>
    <row r="36310" spans="3:3" x14ac:dyDescent="0.35">
      <c r="C36310" s="2"/>
    </row>
    <row r="36311" spans="3:3" x14ac:dyDescent="0.35">
      <c r="C36311" s="2"/>
    </row>
    <row r="36312" spans="3:3" x14ac:dyDescent="0.35">
      <c r="C36312" s="2"/>
    </row>
    <row r="36313" spans="3:3" x14ac:dyDescent="0.35">
      <c r="C36313" s="2"/>
    </row>
    <row r="36314" spans="3:3" x14ac:dyDescent="0.35">
      <c r="C36314" s="2"/>
    </row>
    <row r="36315" spans="3:3" x14ac:dyDescent="0.35">
      <c r="C36315" s="2"/>
    </row>
    <row r="36316" spans="3:3" x14ac:dyDescent="0.35">
      <c r="C36316" s="2"/>
    </row>
    <row r="36317" spans="3:3" x14ac:dyDescent="0.35">
      <c r="C36317" s="2"/>
    </row>
    <row r="36318" spans="3:3" x14ac:dyDescent="0.35">
      <c r="C36318" s="2"/>
    </row>
    <row r="36319" spans="3:3" x14ac:dyDescent="0.35">
      <c r="C36319" s="2"/>
    </row>
    <row r="36320" spans="3:3" x14ac:dyDescent="0.35">
      <c r="C36320" s="2"/>
    </row>
    <row r="36321" spans="3:3" x14ac:dyDescent="0.35">
      <c r="C36321" s="2"/>
    </row>
    <row r="36322" spans="3:3" x14ac:dyDescent="0.35">
      <c r="C36322" s="2"/>
    </row>
    <row r="36323" spans="3:3" x14ac:dyDescent="0.35">
      <c r="C36323" s="2"/>
    </row>
    <row r="36324" spans="3:3" x14ac:dyDescent="0.35">
      <c r="C36324" s="2"/>
    </row>
    <row r="36325" spans="3:3" x14ac:dyDescent="0.35">
      <c r="C36325" s="2"/>
    </row>
    <row r="36326" spans="3:3" x14ac:dyDescent="0.35">
      <c r="C36326" s="2"/>
    </row>
    <row r="36327" spans="3:3" x14ac:dyDescent="0.35">
      <c r="C36327" s="2"/>
    </row>
    <row r="36328" spans="3:3" x14ac:dyDescent="0.35">
      <c r="C36328" s="2"/>
    </row>
    <row r="36329" spans="3:3" x14ac:dyDescent="0.35">
      <c r="C36329" s="2"/>
    </row>
    <row r="36330" spans="3:3" x14ac:dyDescent="0.35">
      <c r="C36330" s="2"/>
    </row>
    <row r="36331" spans="3:3" x14ac:dyDescent="0.35">
      <c r="C36331" s="2"/>
    </row>
    <row r="36332" spans="3:3" x14ac:dyDescent="0.35">
      <c r="C36332" s="2"/>
    </row>
    <row r="36333" spans="3:3" x14ac:dyDescent="0.35">
      <c r="C36333" s="2"/>
    </row>
    <row r="36334" spans="3:3" x14ac:dyDescent="0.35">
      <c r="C36334" s="2"/>
    </row>
    <row r="36335" spans="3:3" x14ac:dyDescent="0.35">
      <c r="C36335" s="2"/>
    </row>
    <row r="36336" spans="3:3" x14ac:dyDescent="0.35">
      <c r="C36336" s="2"/>
    </row>
    <row r="36337" spans="3:3" x14ac:dyDescent="0.35">
      <c r="C36337" s="2"/>
    </row>
    <row r="36338" spans="3:3" x14ac:dyDescent="0.35">
      <c r="C36338" s="2"/>
    </row>
    <row r="36339" spans="3:3" x14ac:dyDescent="0.35">
      <c r="C36339" s="2"/>
    </row>
    <row r="36340" spans="3:3" x14ac:dyDescent="0.35">
      <c r="C36340" s="2"/>
    </row>
    <row r="36341" spans="3:3" x14ac:dyDescent="0.35">
      <c r="C36341" s="2"/>
    </row>
    <row r="36342" spans="3:3" x14ac:dyDescent="0.35">
      <c r="C36342" s="2"/>
    </row>
    <row r="36343" spans="3:3" x14ac:dyDescent="0.35">
      <c r="C36343" s="2"/>
    </row>
    <row r="36344" spans="3:3" x14ac:dyDescent="0.35">
      <c r="C36344" s="2"/>
    </row>
    <row r="36345" spans="3:3" x14ac:dyDescent="0.35">
      <c r="C36345" s="2"/>
    </row>
    <row r="36346" spans="3:3" x14ac:dyDescent="0.35">
      <c r="C36346" s="2"/>
    </row>
    <row r="36347" spans="3:3" x14ac:dyDescent="0.35">
      <c r="C36347" s="2"/>
    </row>
    <row r="36348" spans="3:3" x14ac:dyDescent="0.35">
      <c r="C36348" s="2"/>
    </row>
    <row r="36349" spans="3:3" x14ac:dyDescent="0.35">
      <c r="C36349" s="2"/>
    </row>
    <row r="36350" spans="3:3" x14ac:dyDescent="0.35">
      <c r="C36350" s="2"/>
    </row>
    <row r="36351" spans="3:3" x14ac:dyDescent="0.35">
      <c r="C36351" s="2"/>
    </row>
    <row r="36352" spans="3:3" x14ac:dyDescent="0.35">
      <c r="C36352" s="2"/>
    </row>
    <row r="36353" spans="3:3" x14ac:dyDescent="0.35">
      <c r="C36353" s="2"/>
    </row>
    <row r="36354" spans="3:3" x14ac:dyDescent="0.35">
      <c r="C36354" s="2"/>
    </row>
    <row r="36355" spans="3:3" x14ac:dyDescent="0.35">
      <c r="C36355" s="2"/>
    </row>
    <row r="36356" spans="3:3" x14ac:dyDescent="0.35">
      <c r="C36356" s="2"/>
    </row>
    <row r="36357" spans="3:3" x14ac:dyDescent="0.35">
      <c r="C36357" s="2"/>
    </row>
    <row r="36358" spans="3:3" x14ac:dyDescent="0.35">
      <c r="C36358" s="2"/>
    </row>
    <row r="36359" spans="3:3" x14ac:dyDescent="0.35">
      <c r="C36359" s="2"/>
    </row>
    <row r="36360" spans="3:3" x14ac:dyDescent="0.35">
      <c r="C36360" s="2"/>
    </row>
    <row r="36361" spans="3:3" x14ac:dyDescent="0.35">
      <c r="C36361" s="2"/>
    </row>
    <row r="36362" spans="3:3" x14ac:dyDescent="0.35">
      <c r="C36362" s="2"/>
    </row>
    <row r="36363" spans="3:3" x14ac:dyDescent="0.35">
      <c r="C36363" s="2"/>
    </row>
    <row r="36364" spans="3:3" x14ac:dyDescent="0.35">
      <c r="C36364" s="2"/>
    </row>
    <row r="36365" spans="3:3" x14ac:dyDescent="0.35">
      <c r="C36365" s="2"/>
    </row>
    <row r="36366" spans="3:3" x14ac:dyDescent="0.35">
      <c r="C36366" s="2"/>
    </row>
    <row r="36367" spans="3:3" x14ac:dyDescent="0.35">
      <c r="C36367" s="2"/>
    </row>
    <row r="36368" spans="3:3" x14ac:dyDescent="0.35">
      <c r="C36368" s="2"/>
    </row>
    <row r="36369" spans="3:3" x14ac:dyDescent="0.35">
      <c r="C36369" s="2"/>
    </row>
    <row r="36370" spans="3:3" x14ac:dyDescent="0.35">
      <c r="C36370" s="2"/>
    </row>
    <row r="36371" spans="3:3" x14ac:dyDescent="0.35">
      <c r="C36371" s="2"/>
    </row>
    <row r="36372" spans="3:3" x14ac:dyDescent="0.35">
      <c r="C36372" s="2"/>
    </row>
    <row r="36373" spans="3:3" x14ac:dyDescent="0.35">
      <c r="C36373" s="2"/>
    </row>
    <row r="36374" spans="3:3" x14ac:dyDescent="0.35">
      <c r="C36374" s="2"/>
    </row>
    <row r="36375" spans="3:3" x14ac:dyDescent="0.35">
      <c r="C36375" s="2"/>
    </row>
    <row r="36376" spans="3:3" x14ac:dyDescent="0.35">
      <c r="C36376" s="2"/>
    </row>
    <row r="36377" spans="3:3" x14ac:dyDescent="0.35">
      <c r="C36377" s="2"/>
    </row>
    <row r="36378" spans="3:3" x14ac:dyDescent="0.35">
      <c r="C36378" s="2"/>
    </row>
    <row r="36379" spans="3:3" x14ac:dyDescent="0.35">
      <c r="C36379" s="2"/>
    </row>
    <row r="36380" spans="3:3" x14ac:dyDescent="0.35">
      <c r="C36380" s="2"/>
    </row>
    <row r="36381" spans="3:3" x14ac:dyDescent="0.35">
      <c r="C36381" s="2"/>
    </row>
    <row r="36382" spans="3:3" x14ac:dyDescent="0.35">
      <c r="C36382" s="2"/>
    </row>
    <row r="36383" spans="3:3" x14ac:dyDescent="0.35">
      <c r="C36383" s="2"/>
    </row>
    <row r="36384" spans="3:3" x14ac:dyDescent="0.35">
      <c r="C36384" s="2"/>
    </row>
    <row r="36385" spans="3:3" x14ac:dyDescent="0.35">
      <c r="C36385" s="2"/>
    </row>
    <row r="36386" spans="3:3" x14ac:dyDescent="0.35">
      <c r="C36386" s="2"/>
    </row>
    <row r="36387" spans="3:3" x14ac:dyDescent="0.35">
      <c r="C36387" s="2"/>
    </row>
    <row r="36388" spans="3:3" x14ac:dyDescent="0.35">
      <c r="C36388" s="2"/>
    </row>
    <row r="36389" spans="3:3" x14ac:dyDescent="0.35">
      <c r="C36389" s="2"/>
    </row>
    <row r="36390" spans="3:3" x14ac:dyDescent="0.35">
      <c r="C36390" s="2"/>
    </row>
    <row r="36391" spans="3:3" x14ac:dyDescent="0.35">
      <c r="C36391" s="2"/>
    </row>
    <row r="36392" spans="3:3" x14ac:dyDescent="0.35">
      <c r="C36392" s="2"/>
    </row>
    <row r="36393" spans="3:3" x14ac:dyDescent="0.35">
      <c r="C36393" s="2"/>
    </row>
    <row r="36394" spans="3:3" x14ac:dyDescent="0.35">
      <c r="C36394" s="2"/>
    </row>
    <row r="36395" spans="3:3" x14ac:dyDescent="0.35">
      <c r="C36395" s="2"/>
    </row>
    <row r="36396" spans="3:3" x14ac:dyDescent="0.35">
      <c r="C36396" s="2"/>
    </row>
    <row r="36397" spans="3:3" x14ac:dyDescent="0.35">
      <c r="C36397" s="2"/>
    </row>
    <row r="36398" spans="3:3" x14ac:dyDescent="0.35">
      <c r="C36398" s="2"/>
    </row>
    <row r="36399" spans="3:3" x14ac:dyDescent="0.35">
      <c r="C36399" s="2"/>
    </row>
    <row r="36400" spans="3:3" x14ac:dyDescent="0.35">
      <c r="C36400" s="2"/>
    </row>
    <row r="36401" spans="3:3" x14ac:dyDescent="0.35">
      <c r="C36401" s="2"/>
    </row>
    <row r="36402" spans="3:3" x14ac:dyDescent="0.35">
      <c r="C36402" s="2"/>
    </row>
    <row r="36403" spans="3:3" x14ac:dyDescent="0.35">
      <c r="C36403" s="2"/>
    </row>
    <row r="36404" spans="3:3" x14ac:dyDescent="0.35">
      <c r="C36404" s="2"/>
    </row>
    <row r="36405" spans="3:3" x14ac:dyDescent="0.35">
      <c r="C36405" s="2"/>
    </row>
    <row r="36406" spans="3:3" x14ac:dyDescent="0.35">
      <c r="C36406" s="2"/>
    </row>
    <row r="36407" spans="3:3" x14ac:dyDescent="0.35">
      <c r="C36407" s="2"/>
    </row>
    <row r="36408" spans="3:3" x14ac:dyDescent="0.35">
      <c r="C36408" s="2"/>
    </row>
    <row r="36409" spans="3:3" x14ac:dyDescent="0.35">
      <c r="C36409" s="2"/>
    </row>
    <row r="36410" spans="3:3" x14ac:dyDescent="0.35">
      <c r="C36410" s="2"/>
    </row>
    <row r="36411" spans="3:3" x14ac:dyDescent="0.35">
      <c r="C36411" s="2"/>
    </row>
    <row r="36412" spans="3:3" x14ac:dyDescent="0.35">
      <c r="C36412" s="2"/>
    </row>
    <row r="36413" spans="3:3" x14ac:dyDescent="0.35">
      <c r="C36413" s="2"/>
    </row>
    <row r="36414" spans="3:3" x14ac:dyDescent="0.35">
      <c r="C36414" s="2"/>
    </row>
    <row r="36415" spans="3:3" x14ac:dyDescent="0.35">
      <c r="C36415" s="2"/>
    </row>
    <row r="36416" spans="3:3" x14ac:dyDescent="0.35">
      <c r="C36416" s="2"/>
    </row>
    <row r="36417" spans="3:3" x14ac:dyDescent="0.35">
      <c r="C36417" s="2"/>
    </row>
    <row r="36418" spans="3:3" x14ac:dyDescent="0.35">
      <c r="C36418" s="2"/>
    </row>
    <row r="36419" spans="3:3" x14ac:dyDescent="0.35">
      <c r="C36419" s="2"/>
    </row>
    <row r="36420" spans="3:3" x14ac:dyDescent="0.35">
      <c r="C36420" s="2"/>
    </row>
    <row r="36421" spans="3:3" x14ac:dyDescent="0.35">
      <c r="C36421" s="2"/>
    </row>
    <row r="36422" spans="3:3" x14ac:dyDescent="0.35">
      <c r="C36422" s="2"/>
    </row>
    <row r="36423" spans="3:3" x14ac:dyDescent="0.35">
      <c r="C36423" s="2"/>
    </row>
    <row r="36424" spans="3:3" x14ac:dyDescent="0.35">
      <c r="C36424" s="2"/>
    </row>
    <row r="36425" spans="3:3" x14ac:dyDescent="0.35">
      <c r="C36425" s="2"/>
    </row>
    <row r="36426" spans="3:3" x14ac:dyDescent="0.35">
      <c r="C36426" s="2"/>
    </row>
    <row r="36427" spans="3:3" x14ac:dyDescent="0.35">
      <c r="C36427" s="2"/>
    </row>
    <row r="36428" spans="3:3" x14ac:dyDescent="0.35">
      <c r="C36428" s="2"/>
    </row>
    <row r="36429" spans="3:3" x14ac:dyDescent="0.35">
      <c r="C36429" s="2"/>
    </row>
    <row r="36430" spans="3:3" x14ac:dyDescent="0.35">
      <c r="C36430" s="2"/>
    </row>
    <row r="36431" spans="3:3" x14ac:dyDescent="0.35">
      <c r="C36431" s="2"/>
    </row>
    <row r="36432" spans="3:3" x14ac:dyDescent="0.35">
      <c r="C36432" s="2"/>
    </row>
    <row r="36433" spans="3:3" x14ac:dyDescent="0.35">
      <c r="C36433" s="2"/>
    </row>
    <row r="36434" spans="3:3" x14ac:dyDescent="0.35">
      <c r="C36434" s="2"/>
    </row>
    <row r="36435" spans="3:3" x14ac:dyDescent="0.35">
      <c r="C36435" s="2"/>
    </row>
    <row r="36436" spans="3:3" x14ac:dyDescent="0.35">
      <c r="C36436" s="2"/>
    </row>
    <row r="36437" spans="3:3" x14ac:dyDescent="0.35">
      <c r="C36437" s="2"/>
    </row>
    <row r="36438" spans="3:3" x14ac:dyDescent="0.35">
      <c r="C36438" s="2"/>
    </row>
    <row r="36439" spans="3:3" x14ac:dyDescent="0.35">
      <c r="C36439" s="2"/>
    </row>
    <row r="36440" spans="3:3" x14ac:dyDescent="0.35">
      <c r="C36440" s="2"/>
    </row>
    <row r="36441" spans="3:3" x14ac:dyDescent="0.35">
      <c r="C36441" s="2"/>
    </row>
    <row r="36442" spans="3:3" x14ac:dyDescent="0.35">
      <c r="C36442" s="2"/>
    </row>
    <row r="36443" spans="3:3" x14ac:dyDescent="0.35">
      <c r="C36443" s="2"/>
    </row>
    <row r="36444" spans="3:3" x14ac:dyDescent="0.35">
      <c r="C36444" s="2"/>
    </row>
    <row r="36445" spans="3:3" x14ac:dyDescent="0.35">
      <c r="C36445" s="2"/>
    </row>
    <row r="36446" spans="3:3" x14ac:dyDescent="0.35">
      <c r="C36446" s="2"/>
    </row>
    <row r="36447" spans="3:3" x14ac:dyDescent="0.35">
      <c r="C36447" s="2"/>
    </row>
    <row r="36448" spans="3:3" x14ac:dyDescent="0.35">
      <c r="C36448" s="2"/>
    </row>
    <row r="36449" spans="3:3" x14ac:dyDescent="0.35">
      <c r="C36449" s="2"/>
    </row>
    <row r="36450" spans="3:3" x14ac:dyDescent="0.35">
      <c r="C36450" s="2"/>
    </row>
    <row r="36451" spans="3:3" x14ac:dyDescent="0.35">
      <c r="C36451" s="2"/>
    </row>
    <row r="36452" spans="3:3" x14ac:dyDescent="0.35">
      <c r="C36452" s="2"/>
    </row>
    <row r="36453" spans="3:3" x14ac:dyDescent="0.35">
      <c r="C36453" s="2"/>
    </row>
    <row r="36454" spans="3:3" x14ac:dyDescent="0.35">
      <c r="C36454" s="2"/>
    </row>
    <row r="36455" spans="3:3" x14ac:dyDescent="0.35">
      <c r="C36455" s="2"/>
    </row>
    <row r="36456" spans="3:3" x14ac:dyDescent="0.35">
      <c r="C36456" s="2"/>
    </row>
    <row r="36457" spans="3:3" x14ac:dyDescent="0.35">
      <c r="C36457" s="2"/>
    </row>
    <row r="36458" spans="3:3" x14ac:dyDescent="0.35">
      <c r="C36458" s="2"/>
    </row>
    <row r="36459" spans="3:3" x14ac:dyDescent="0.35">
      <c r="C36459" s="2"/>
    </row>
    <row r="36460" spans="3:3" x14ac:dyDescent="0.35">
      <c r="C36460" s="2"/>
    </row>
    <row r="36461" spans="3:3" x14ac:dyDescent="0.35">
      <c r="C36461" s="2"/>
    </row>
    <row r="36462" spans="3:3" x14ac:dyDescent="0.35">
      <c r="C36462" s="2"/>
    </row>
    <row r="36463" spans="3:3" x14ac:dyDescent="0.35">
      <c r="C36463" s="2"/>
    </row>
    <row r="36464" spans="3:3" x14ac:dyDescent="0.35">
      <c r="C36464" s="2"/>
    </row>
    <row r="36465" spans="3:3" x14ac:dyDescent="0.35">
      <c r="C36465" s="2"/>
    </row>
    <row r="36466" spans="3:3" x14ac:dyDescent="0.35">
      <c r="C36466" s="2"/>
    </row>
    <row r="36467" spans="3:3" x14ac:dyDescent="0.35">
      <c r="C36467" s="2"/>
    </row>
    <row r="36468" spans="3:3" x14ac:dyDescent="0.35">
      <c r="C36468" s="2"/>
    </row>
    <row r="36469" spans="3:3" x14ac:dyDescent="0.35">
      <c r="C36469" s="2"/>
    </row>
    <row r="36470" spans="3:3" x14ac:dyDescent="0.35">
      <c r="C36470" s="2"/>
    </row>
    <row r="36471" spans="3:3" x14ac:dyDescent="0.35">
      <c r="C36471" s="2"/>
    </row>
    <row r="36472" spans="3:3" x14ac:dyDescent="0.35">
      <c r="C36472" s="2"/>
    </row>
    <row r="36473" spans="3:3" x14ac:dyDescent="0.35">
      <c r="C36473" s="2"/>
    </row>
    <row r="36474" spans="3:3" x14ac:dyDescent="0.35">
      <c r="C36474" s="2"/>
    </row>
    <row r="36475" spans="3:3" x14ac:dyDescent="0.35">
      <c r="C36475" s="2"/>
    </row>
    <row r="36476" spans="3:3" x14ac:dyDescent="0.35">
      <c r="C36476" s="2"/>
    </row>
    <row r="36477" spans="3:3" x14ac:dyDescent="0.35">
      <c r="C36477" s="2"/>
    </row>
    <row r="36478" spans="3:3" x14ac:dyDescent="0.35">
      <c r="C36478" s="2"/>
    </row>
    <row r="36479" spans="3:3" x14ac:dyDescent="0.35">
      <c r="C36479" s="2"/>
    </row>
    <row r="36480" spans="3:3" x14ac:dyDescent="0.35">
      <c r="C36480" s="2"/>
    </row>
    <row r="36481" spans="3:3" x14ac:dyDescent="0.35">
      <c r="C36481" s="2"/>
    </row>
    <row r="36482" spans="3:3" x14ac:dyDescent="0.35">
      <c r="C36482" s="2"/>
    </row>
    <row r="36483" spans="3:3" x14ac:dyDescent="0.35">
      <c r="C36483" s="2"/>
    </row>
    <row r="36484" spans="3:3" x14ac:dyDescent="0.35">
      <c r="C36484" s="2"/>
    </row>
    <row r="36485" spans="3:3" x14ac:dyDescent="0.35">
      <c r="C36485" s="2"/>
    </row>
    <row r="36486" spans="3:3" x14ac:dyDescent="0.35">
      <c r="C36486" s="2"/>
    </row>
    <row r="36487" spans="3:3" x14ac:dyDescent="0.35">
      <c r="C36487" s="2"/>
    </row>
    <row r="36488" spans="3:3" x14ac:dyDescent="0.35">
      <c r="C36488" s="2"/>
    </row>
    <row r="36489" spans="3:3" x14ac:dyDescent="0.35">
      <c r="C36489" s="2"/>
    </row>
    <row r="36490" spans="3:3" x14ac:dyDescent="0.35">
      <c r="C36490" s="2"/>
    </row>
    <row r="36491" spans="3:3" x14ac:dyDescent="0.35">
      <c r="C36491" s="2"/>
    </row>
    <row r="36492" spans="3:3" x14ac:dyDescent="0.35">
      <c r="C36492" s="2"/>
    </row>
    <row r="36493" spans="3:3" x14ac:dyDescent="0.35">
      <c r="C36493" s="2"/>
    </row>
    <row r="36494" spans="3:3" x14ac:dyDescent="0.35">
      <c r="C36494" s="2"/>
    </row>
    <row r="36495" spans="3:3" x14ac:dyDescent="0.35">
      <c r="C36495" s="2"/>
    </row>
    <row r="36496" spans="3:3" x14ac:dyDescent="0.35">
      <c r="C36496" s="2"/>
    </row>
    <row r="36497" spans="3:3" x14ac:dyDescent="0.35">
      <c r="C36497" s="2"/>
    </row>
    <row r="36498" spans="3:3" x14ac:dyDescent="0.35">
      <c r="C36498" s="2"/>
    </row>
    <row r="36499" spans="3:3" x14ac:dyDescent="0.35">
      <c r="C36499" s="2"/>
    </row>
    <row r="36500" spans="3:3" x14ac:dyDescent="0.35">
      <c r="C36500" s="2"/>
    </row>
    <row r="36501" spans="3:3" x14ac:dyDescent="0.35">
      <c r="C36501" s="2"/>
    </row>
    <row r="36502" spans="3:3" x14ac:dyDescent="0.35">
      <c r="C36502" s="2"/>
    </row>
    <row r="36503" spans="3:3" x14ac:dyDescent="0.35">
      <c r="C36503" s="2"/>
    </row>
    <row r="36504" spans="3:3" x14ac:dyDescent="0.35">
      <c r="C36504" s="2"/>
    </row>
    <row r="36505" spans="3:3" x14ac:dyDescent="0.35">
      <c r="C36505" s="2"/>
    </row>
    <row r="36506" spans="3:3" x14ac:dyDescent="0.35">
      <c r="C36506" s="2"/>
    </row>
    <row r="36507" spans="3:3" x14ac:dyDescent="0.35">
      <c r="C36507" s="2"/>
    </row>
    <row r="36508" spans="3:3" x14ac:dyDescent="0.35">
      <c r="C36508" s="2"/>
    </row>
    <row r="36509" spans="3:3" x14ac:dyDescent="0.35">
      <c r="C36509" s="2"/>
    </row>
    <row r="36510" spans="3:3" x14ac:dyDescent="0.35">
      <c r="C36510" s="2"/>
    </row>
    <row r="36511" spans="3:3" x14ac:dyDescent="0.35">
      <c r="C36511" s="2"/>
    </row>
    <row r="36512" spans="3:3" x14ac:dyDescent="0.35">
      <c r="C36512" s="2"/>
    </row>
    <row r="36513" spans="3:3" x14ac:dyDescent="0.35">
      <c r="C36513" s="2"/>
    </row>
    <row r="36514" spans="3:3" x14ac:dyDescent="0.35">
      <c r="C36514" s="2"/>
    </row>
    <row r="36515" spans="3:3" x14ac:dyDescent="0.35">
      <c r="C36515" s="2"/>
    </row>
    <row r="36516" spans="3:3" x14ac:dyDescent="0.35">
      <c r="C36516" s="2"/>
    </row>
    <row r="36517" spans="3:3" x14ac:dyDescent="0.35">
      <c r="C36517" s="2"/>
    </row>
    <row r="36518" spans="3:3" x14ac:dyDescent="0.35">
      <c r="C36518" s="2"/>
    </row>
    <row r="36519" spans="3:3" x14ac:dyDescent="0.35">
      <c r="C36519" s="2"/>
    </row>
    <row r="36520" spans="3:3" x14ac:dyDescent="0.35">
      <c r="C36520" s="2"/>
    </row>
    <row r="36521" spans="3:3" x14ac:dyDescent="0.35">
      <c r="C36521" s="2"/>
    </row>
    <row r="36522" spans="3:3" x14ac:dyDescent="0.35">
      <c r="C36522" s="2"/>
    </row>
    <row r="36523" spans="3:3" x14ac:dyDescent="0.35">
      <c r="C36523" s="2"/>
    </row>
    <row r="36524" spans="3:3" x14ac:dyDescent="0.35">
      <c r="C36524" s="2"/>
    </row>
    <row r="36525" spans="3:3" x14ac:dyDescent="0.35">
      <c r="C36525" s="2"/>
    </row>
    <row r="36526" spans="3:3" x14ac:dyDescent="0.35">
      <c r="C36526" s="2"/>
    </row>
    <row r="36527" spans="3:3" x14ac:dyDescent="0.35">
      <c r="C36527" s="2"/>
    </row>
    <row r="36528" spans="3:3" x14ac:dyDescent="0.35">
      <c r="C36528" s="2"/>
    </row>
    <row r="36529" spans="3:3" x14ac:dyDescent="0.35">
      <c r="C36529" s="2"/>
    </row>
    <row r="36530" spans="3:3" x14ac:dyDescent="0.35">
      <c r="C36530" s="2"/>
    </row>
    <row r="36531" spans="3:3" x14ac:dyDescent="0.35">
      <c r="C36531" s="2"/>
    </row>
    <row r="36532" spans="3:3" x14ac:dyDescent="0.35">
      <c r="C36532" s="2"/>
    </row>
    <row r="36533" spans="3:3" x14ac:dyDescent="0.35">
      <c r="C36533" s="2"/>
    </row>
    <row r="36534" spans="3:3" x14ac:dyDescent="0.35">
      <c r="C36534" s="2"/>
    </row>
    <row r="36535" spans="3:3" x14ac:dyDescent="0.35">
      <c r="C36535" s="2"/>
    </row>
    <row r="36536" spans="3:3" x14ac:dyDescent="0.35">
      <c r="C36536" s="2"/>
    </row>
    <row r="36537" spans="3:3" x14ac:dyDescent="0.35">
      <c r="C36537" s="2"/>
    </row>
    <row r="36538" spans="3:3" x14ac:dyDescent="0.35">
      <c r="C36538" s="2"/>
    </row>
    <row r="36539" spans="3:3" x14ac:dyDescent="0.35">
      <c r="C36539" s="2"/>
    </row>
    <row r="36540" spans="3:3" x14ac:dyDescent="0.35">
      <c r="C36540" s="2"/>
    </row>
    <row r="36541" spans="3:3" x14ac:dyDescent="0.35">
      <c r="C36541" s="2"/>
    </row>
    <row r="36542" spans="3:3" x14ac:dyDescent="0.35">
      <c r="C36542" s="2"/>
    </row>
    <row r="36543" spans="3:3" x14ac:dyDescent="0.35">
      <c r="C36543" s="2"/>
    </row>
    <row r="36544" spans="3:3" x14ac:dyDescent="0.35">
      <c r="C36544" s="2"/>
    </row>
    <row r="36545" spans="3:3" x14ac:dyDescent="0.35">
      <c r="C36545" s="2"/>
    </row>
    <row r="36546" spans="3:3" x14ac:dyDescent="0.35">
      <c r="C36546" s="2"/>
    </row>
    <row r="36547" spans="3:3" x14ac:dyDescent="0.35">
      <c r="C36547" s="2"/>
    </row>
    <row r="36548" spans="3:3" x14ac:dyDescent="0.35">
      <c r="C36548" s="2"/>
    </row>
    <row r="36549" spans="3:3" x14ac:dyDescent="0.35">
      <c r="C36549" s="2"/>
    </row>
    <row r="36550" spans="3:3" x14ac:dyDescent="0.35">
      <c r="C36550" s="2"/>
    </row>
    <row r="36551" spans="3:3" x14ac:dyDescent="0.35">
      <c r="C36551" s="2"/>
    </row>
    <row r="36552" spans="3:3" x14ac:dyDescent="0.35">
      <c r="C36552" s="2"/>
    </row>
    <row r="36553" spans="3:3" x14ac:dyDescent="0.35">
      <c r="C36553" s="2"/>
    </row>
    <row r="36554" spans="3:3" x14ac:dyDescent="0.35">
      <c r="C36554" s="2"/>
    </row>
    <row r="36555" spans="3:3" x14ac:dyDescent="0.35">
      <c r="C36555" s="2"/>
    </row>
    <row r="36556" spans="3:3" x14ac:dyDescent="0.35">
      <c r="C36556" s="2"/>
    </row>
    <row r="36557" spans="3:3" x14ac:dyDescent="0.35">
      <c r="C36557" s="2"/>
    </row>
    <row r="36558" spans="3:3" x14ac:dyDescent="0.35">
      <c r="C36558" s="2"/>
    </row>
    <row r="36559" spans="3:3" x14ac:dyDescent="0.35">
      <c r="C36559" s="2"/>
    </row>
    <row r="36560" spans="3:3" x14ac:dyDescent="0.35">
      <c r="C36560" s="2"/>
    </row>
    <row r="36561" spans="3:3" x14ac:dyDescent="0.35">
      <c r="C36561" s="2"/>
    </row>
    <row r="36562" spans="3:3" x14ac:dyDescent="0.35">
      <c r="C36562" s="2"/>
    </row>
    <row r="36563" spans="3:3" x14ac:dyDescent="0.35">
      <c r="C36563" s="2"/>
    </row>
    <row r="36564" spans="3:3" x14ac:dyDescent="0.35">
      <c r="C36564" s="2"/>
    </row>
    <row r="36565" spans="3:3" x14ac:dyDescent="0.35">
      <c r="C36565" s="2"/>
    </row>
    <row r="36566" spans="3:3" x14ac:dyDescent="0.35">
      <c r="C36566" s="2"/>
    </row>
    <row r="36567" spans="3:3" x14ac:dyDescent="0.35">
      <c r="C36567" s="2"/>
    </row>
    <row r="36568" spans="3:3" x14ac:dyDescent="0.35">
      <c r="C36568" s="2"/>
    </row>
    <row r="36569" spans="3:3" x14ac:dyDescent="0.35">
      <c r="C36569" s="2"/>
    </row>
    <row r="36570" spans="3:3" x14ac:dyDescent="0.35">
      <c r="C36570" s="2"/>
    </row>
    <row r="36571" spans="3:3" x14ac:dyDescent="0.35">
      <c r="C36571" s="2"/>
    </row>
    <row r="36572" spans="3:3" x14ac:dyDescent="0.35">
      <c r="C36572" s="2"/>
    </row>
    <row r="36573" spans="3:3" x14ac:dyDescent="0.35">
      <c r="C36573" s="2"/>
    </row>
    <row r="36574" spans="3:3" x14ac:dyDescent="0.35">
      <c r="C36574" s="2"/>
    </row>
    <row r="36575" spans="3:3" x14ac:dyDescent="0.35">
      <c r="C36575" s="2"/>
    </row>
    <row r="36576" spans="3:3" x14ac:dyDescent="0.35">
      <c r="C36576" s="2"/>
    </row>
    <row r="36577" spans="3:3" x14ac:dyDescent="0.35">
      <c r="C36577" s="2"/>
    </row>
    <row r="36578" spans="3:3" x14ac:dyDescent="0.35">
      <c r="C36578" s="2"/>
    </row>
    <row r="36579" spans="3:3" x14ac:dyDescent="0.35">
      <c r="C36579" s="2"/>
    </row>
    <row r="36580" spans="3:3" x14ac:dyDescent="0.35">
      <c r="C36580" s="2"/>
    </row>
    <row r="36581" spans="3:3" x14ac:dyDescent="0.35">
      <c r="C36581" s="2"/>
    </row>
    <row r="36582" spans="3:3" x14ac:dyDescent="0.35">
      <c r="C36582" s="2"/>
    </row>
    <row r="36583" spans="3:3" x14ac:dyDescent="0.35">
      <c r="C36583" s="2"/>
    </row>
    <row r="36584" spans="3:3" x14ac:dyDescent="0.35">
      <c r="C36584" s="2"/>
    </row>
    <row r="36585" spans="3:3" x14ac:dyDescent="0.35">
      <c r="C36585" s="2"/>
    </row>
    <row r="36586" spans="3:3" x14ac:dyDescent="0.35">
      <c r="C36586" s="2"/>
    </row>
    <row r="36587" spans="3:3" x14ac:dyDescent="0.35">
      <c r="C36587" s="2"/>
    </row>
    <row r="36588" spans="3:3" x14ac:dyDescent="0.35">
      <c r="C36588" s="2"/>
    </row>
    <row r="36589" spans="3:3" x14ac:dyDescent="0.35">
      <c r="C36589" s="2"/>
    </row>
    <row r="36590" spans="3:3" x14ac:dyDescent="0.35">
      <c r="C36590" s="2"/>
    </row>
    <row r="36591" spans="3:3" x14ac:dyDescent="0.35">
      <c r="C36591" s="2"/>
    </row>
    <row r="36592" spans="3:3" x14ac:dyDescent="0.35">
      <c r="C36592" s="2"/>
    </row>
    <row r="36593" spans="3:3" x14ac:dyDescent="0.35">
      <c r="C36593" s="2"/>
    </row>
    <row r="36594" spans="3:3" x14ac:dyDescent="0.35">
      <c r="C36594" s="2"/>
    </row>
    <row r="36595" spans="3:3" x14ac:dyDescent="0.35">
      <c r="C36595" s="2"/>
    </row>
    <row r="36596" spans="3:3" x14ac:dyDescent="0.35">
      <c r="C36596" s="2"/>
    </row>
    <row r="36597" spans="3:3" x14ac:dyDescent="0.35">
      <c r="C36597" s="2"/>
    </row>
    <row r="36598" spans="3:3" x14ac:dyDescent="0.35">
      <c r="C36598" s="2"/>
    </row>
    <row r="36599" spans="3:3" x14ac:dyDescent="0.35">
      <c r="C36599" s="2"/>
    </row>
    <row r="36600" spans="3:3" x14ac:dyDescent="0.35">
      <c r="C36600" s="2"/>
    </row>
    <row r="36601" spans="3:3" x14ac:dyDescent="0.35">
      <c r="C36601" s="2"/>
    </row>
    <row r="36602" spans="3:3" x14ac:dyDescent="0.35">
      <c r="C36602" s="2"/>
    </row>
    <row r="36603" spans="3:3" x14ac:dyDescent="0.35">
      <c r="C36603" s="2"/>
    </row>
    <row r="36604" spans="3:3" x14ac:dyDescent="0.35">
      <c r="C36604" s="2"/>
    </row>
    <row r="36605" spans="3:3" x14ac:dyDescent="0.35">
      <c r="C36605" s="2"/>
    </row>
    <row r="36606" spans="3:3" x14ac:dyDescent="0.35">
      <c r="C36606" s="2"/>
    </row>
    <row r="36607" spans="3:3" x14ac:dyDescent="0.35">
      <c r="C36607" s="2"/>
    </row>
    <row r="36608" spans="3:3" x14ac:dyDescent="0.35">
      <c r="C36608" s="2"/>
    </row>
    <row r="36609" spans="3:3" x14ac:dyDescent="0.35">
      <c r="C36609" s="2"/>
    </row>
    <row r="36610" spans="3:3" x14ac:dyDescent="0.35">
      <c r="C36610" s="2"/>
    </row>
    <row r="36611" spans="3:3" x14ac:dyDescent="0.35">
      <c r="C36611" s="2"/>
    </row>
    <row r="36612" spans="3:3" x14ac:dyDescent="0.35">
      <c r="C36612" s="2"/>
    </row>
    <row r="36613" spans="3:3" x14ac:dyDescent="0.35">
      <c r="C36613" s="2"/>
    </row>
    <row r="36614" spans="3:3" x14ac:dyDescent="0.35">
      <c r="C36614" s="2"/>
    </row>
    <row r="36615" spans="3:3" x14ac:dyDescent="0.35">
      <c r="C36615" s="2"/>
    </row>
    <row r="36616" spans="3:3" x14ac:dyDescent="0.35">
      <c r="C36616" s="2"/>
    </row>
    <row r="36617" spans="3:3" x14ac:dyDescent="0.35">
      <c r="C36617" s="2"/>
    </row>
    <row r="36618" spans="3:3" x14ac:dyDescent="0.35">
      <c r="C36618" s="2"/>
    </row>
    <row r="36619" spans="3:3" x14ac:dyDescent="0.35">
      <c r="C36619" s="2"/>
    </row>
    <row r="36620" spans="3:3" x14ac:dyDescent="0.35">
      <c r="C36620" s="2"/>
    </row>
    <row r="36621" spans="3:3" x14ac:dyDescent="0.35">
      <c r="C36621" s="2"/>
    </row>
    <row r="36622" spans="3:3" x14ac:dyDescent="0.35">
      <c r="C36622" s="2"/>
    </row>
    <row r="36623" spans="3:3" x14ac:dyDescent="0.35">
      <c r="C36623" s="2"/>
    </row>
    <row r="36624" spans="3:3" x14ac:dyDescent="0.35">
      <c r="C36624" s="2"/>
    </row>
    <row r="36625" spans="3:3" x14ac:dyDescent="0.35">
      <c r="C36625" s="2"/>
    </row>
    <row r="36626" spans="3:3" x14ac:dyDescent="0.35">
      <c r="C36626" s="2"/>
    </row>
    <row r="36627" spans="3:3" x14ac:dyDescent="0.35">
      <c r="C36627" s="2"/>
    </row>
    <row r="36628" spans="3:3" x14ac:dyDescent="0.35">
      <c r="C36628" s="2"/>
    </row>
    <row r="36629" spans="3:3" x14ac:dyDescent="0.35">
      <c r="C36629" s="2"/>
    </row>
    <row r="36630" spans="3:3" x14ac:dyDescent="0.35">
      <c r="C36630" s="2"/>
    </row>
    <row r="36631" spans="3:3" x14ac:dyDescent="0.35">
      <c r="C36631" s="2"/>
    </row>
    <row r="36632" spans="3:3" x14ac:dyDescent="0.35">
      <c r="C36632" s="2"/>
    </row>
    <row r="36633" spans="3:3" x14ac:dyDescent="0.35">
      <c r="C36633" s="2"/>
    </row>
    <row r="36634" spans="3:3" x14ac:dyDescent="0.35">
      <c r="C36634" s="2"/>
    </row>
    <row r="36635" spans="3:3" x14ac:dyDescent="0.35">
      <c r="C36635" s="2"/>
    </row>
    <row r="36636" spans="3:3" x14ac:dyDescent="0.35">
      <c r="C36636" s="2"/>
    </row>
    <row r="36637" spans="3:3" x14ac:dyDescent="0.35">
      <c r="C36637" s="2"/>
    </row>
    <row r="36638" spans="3:3" x14ac:dyDescent="0.35">
      <c r="C36638" s="2"/>
    </row>
    <row r="36639" spans="3:3" x14ac:dyDescent="0.35">
      <c r="C36639" s="2"/>
    </row>
    <row r="36640" spans="3:3" x14ac:dyDescent="0.35">
      <c r="C36640" s="2"/>
    </row>
    <row r="36641" spans="3:3" x14ac:dyDescent="0.35">
      <c r="C36641" s="2"/>
    </row>
    <row r="36642" spans="3:3" x14ac:dyDescent="0.35">
      <c r="C36642" s="2"/>
    </row>
    <row r="36643" spans="3:3" x14ac:dyDescent="0.35">
      <c r="C36643" s="2"/>
    </row>
    <row r="36644" spans="3:3" x14ac:dyDescent="0.35">
      <c r="C36644" s="2"/>
    </row>
    <row r="36645" spans="3:3" x14ac:dyDescent="0.35">
      <c r="C36645" s="2"/>
    </row>
    <row r="36646" spans="3:3" x14ac:dyDescent="0.35">
      <c r="C36646" s="2"/>
    </row>
    <row r="36647" spans="3:3" x14ac:dyDescent="0.35">
      <c r="C36647" s="2"/>
    </row>
    <row r="36648" spans="3:3" x14ac:dyDescent="0.35">
      <c r="C36648" s="2"/>
    </row>
    <row r="36649" spans="3:3" x14ac:dyDescent="0.35">
      <c r="C36649" s="2"/>
    </row>
    <row r="36650" spans="3:3" x14ac:dyDescent="0.35">
      <c r="C36650" s="2"/>
    </row>
    <row r="36651" spans="3:3" x14ac:dyDescent="0.35">
      <c r="C36651" s="2"/>
    </row>
    <row r="36652" spans="3:3" x14ac:dyDescent="0.35">
      <c r="C36652" s="2"/>
    </row>
    <row r="36653" spans="3:3" x14ac:dyDescent="0.35">
      <c r="C36653" s="2"/>
    </row>
    <row r="36654" spans="3:3" x14ac:dyDescent="0.35">
      <c r="C36654" s="2"/>
    </row>
    <row r="36655" spans="3:3" x14ac:dyDescent="0.35">
      <c r="C36655" s="2"/>
    </row>
    <row r="36656" spans="3:3" x14ac:dyDescent="0.35">
      <c r="C36656" s="2"/>
    </row>
    <row r="36657" spans="3:3" x14ac:dyDescent="0.35">
      <c r="C36657" s="2"/>
    </row>
    <row r="36658" spans="3:3" x14ac:dyDescent="0.35">
      <c r="C36658" s="2"/>
    </row>
    <row r="36659" spans="3:3" x14ac:dyDescent="0.35">
      <c r="C36659" s="2"/>
    </row>
    <row r="36660" spans="3:3" x14ac:dyDescent="0.35">
      <c r="C36660" s="2"/>
    </row>
    <row r="36661" spans="3:3" x14ac:dyDescent="0.35">
      <c r="C36661" s="2"/>
    </row>
    <row r="36662" spans="3:3" x14ac:dyDescent="0.35">
      <c r="C36662" s="2"/>
    </row>
    <row r="36663" spans="3:3" x14ac:dyDescent="0.35">
      <c r="C36663" s="2"/>
    </row>
    <row r="36664" spans="3:3" x14ac:dyDescent="0.35">
      <c r="C36664" s="2"/>
    </row>
    <row r="36665" spans="3:3" x14ac:dyDescent="0.35">
      <c r="C36665" s="2"/>
    </row>
    <row r="36666" spans="3:3" x14ac:dyDescent="0.35">
      <c r="C36666" s="2"/>
    </row>
    <row r="36667" spans="3:3" x14ac:dyDescent="0.35">
      <c r="C36667" s="2"/>
    </row>
    <row r="36668" spans="3:3" x14ac:dyDescent="0.35">
      <c r="C36668" s="2"/>
    </row>
    <row r="36669" spans="3:3" x14ac:dyDescent="0.35">
      <c r="C36669" s="2"/>
    </row>
    <row r="36670" spans="3:3" x14ac:dyDescent="0.35">
      <c r="C36670" s="2"/>
    </row>
    <row r="36671" spans="3:3" x14ac:dyDescent="0.35">
      <c r="C36671" s="2"/>
    </row>
    <row r="36672" spans="3:3" x14ac:dyDescent="0.35">
      <c r="C36672" s="2"/>
    </row>
    <row r="36673" spans="3:3" x14ac:dyDescent="0.35">
      <c r="C36673" s="2"/>
    </row>
    <row r="36674" spans="3:3" x14ac:dyDescent="0.35">
      <c r="C36674" s="2"/>
    </row>
    <row r="36675" spans="3:3" x14ac:dyDescent="0.35">
      <c r="C36675" s="2"/>
    </row>
    <row r="36676" spans="3:3" x14ac:dyDescent="0.35">
      <c r="C36676" s="2"/>
    </row>
    <row r="36677" spans="3:3" x14ac:dyDescent="0.35">
      <c r="C36677" s="2"/>
    </row>
    <row r="36678" spans="3:3" x14ac:dyDescent="0.35">
      <c r="C36678" s="2"/>
    </row>
    <row r="36679" spans="3:3" x14ac:dyDescent="0.35">
      <c r="C36679" s="2"/>
    </row>
    <row r="36680" spans="3:3" x14ac:dyDescent="0.35">
      <c r="C36680" s="2"/>
    </row>
    <row r="36681" spans="3:3" x14ac:dyDescent="0.35">
      <c r="C36681" s="2"/>
    </row>
    <row r="36682" spans="3:3" x14ac:dyDescent="0.35">
      <c r="C36682" s="2"/>
    </row>
    <row r="36683" spans="3:3" x14ac:dyDescent="0.35">
      <c r="C36683" s="2"/>
    </row>
    <row r="36684" spans="3:3" x14ac:dyDescent="0.35">
      <c r="C36684" s="2"/>
    </row>
    <row r="36685" spans="3:3" x14ac:dyDescent="0.35">
      <c r="C36685" s="2"/>
    </row>
    <row r="36686" spans="3:3" x14ac:dyDescent="0.35">
      <c r="C36686" s="2"/>
    </row>
    <row r="36687" spans="3:3" x14ac:dyDescent="0.35">
      <c r="C36687" s="2"/>
    </row>
    <row r="36688" spans="3:3" x14ac:dyDescent="0.35">
      <c r="C36688" s="2"/>
    </row>
    <row r="36689" spans="3:3" x14ac:dyDescent="0.35">
      <c r="C36689" s="2"/>
    </row>
    <row r="36690" spans="3:3" x14ac:dyDescent="0.35">
      <c r="C36690" s="2"/>
    </row>
    <row r="36691" spans="3:3" x14ac:dyDescent="0.35">
      <c r="C36691" s="2"/>
    </row>
    <row r="36692" spans="3:3" x14ac:dyDescent="0.35">
      <c r="C36692" s="2"/>
    </row>
    <row r="36693" spans="3:3" x14ac:dyDescent="0.35">
      <c r="C36693" s="2"/>
    </row>
    <row r="36694" spans="3:3" x14ac:dyDescent="0.35">
      <c r="C36694" s="2"/>
    </row>
    <row r="36695" spans="3:3" x14ac:dyDescent="0.35">
      <c r="C36695" s="2"/>
    </row>
    <row r="36696" spans="3:3" x14ac:dyDescent="0.35">
      <c r="C36696" s="2"/>
    </row>
    <row r="36697" spans="3:3" x14ac:dyDescent="0.35">
      <c r="C36697" s="2"/>
    </row>
    <row r="36698" spans="3:3" x14ac:dyDescent="0.35">
      <c r="C36698" s="2"/>
    </row>
    <row r="36699" spans="3:3" x14ac:dyDescent="0.35">
      <c r="C36699" s="2"/>
    </row>
    <row r="36700" spans="3:3" x14ac:dyDescent="0.35">
      <c r="C36700" s="2"/>
    </row>
    <row r="36701" spans="3:3" x14ac:dyDescent="0.35">
      <c r="C36701" s="2"/>
    </row>
    <row r="36702" spans="3:3" x14ac:dyDescent="0.35">
      <c r="C36702" s="2"/>
    </row>
    <row r="36703" spans="3:3" x14ac:dyDescent="0.35">
      <c r="C36703" s="2"/>
    </row>
    <row r="36704" spans="3:3" x14ac:dyDescent="0.35">
      <c r="C36704" s="2"/>
    </row>
    <row r="36705" spans="3:3" x14ac:dyDescent="0.35">
      <c r="C36705" s="2"/>
    </row>
    <row r="36706" spans="3:3" x14ac:dyDescent="0.35">
      <c r="C36706" s="2"/>
    </row>
    <row r="36707" spans="3:3" x14ac:dyDescent="0.35">
      <c r="C36707" s="2"/>
    </row>
    <row r="36708" spans="3:3" x14ac:dyDescent="0.35">
      <c r="C36708" s="2"/>
    </row>
    <row r="36709" spans="3:3" x14ac:dyDescent="0.35">
      <c r="C36709" s="2"/>
    </row>
    <row r="36710" spans="3:3" x14ac:dyDescent="0.35">
      <c r="C36710" s="2"/>
    </row>
    <row r="36711" spans="3:3" x14ac:dyDescent="0.35">
      <c r="C36711" s="2"/>
    </row>
    <row r="36712" spans="3:3" x14ac:dyDescent="0.35">
      <c r="C36712" s="2"/>
    </row>
    <row r="36713" spans="3:3" x14ac:dyDescent="0.35">
      <c r="C36713" s="2"/>
    </row>
    <row r="36714" spans="3:3" x14ac:dyDescent="0.35">
      <c r="C36714" s="2"/>
    </row>
    <row r="36715" spans="3:3" x14ac:dyDescent="0.35">
      <c r="C36715" s="2"/>
    </row>
    <row r="36716" spans="3:3" x14ac:dyDescent="0.35">
      <c r="C36716" s="2"/>
    </row>
    <row r="36717" spans="3:3" x14ac:dyDescent="0.35">
      <c r="C36717" s="2"/>
    </row>
    <row r="36718" spans="3:3" x14ac:dyDescent="0.35">
      <c r="C36718" s="2"/>
    </row>
    <row r="36719" spans="3:3" x14ac:dyDescent="0.35">
      <c r="C36719" s="2"/>
    </row>
    <row r="36720" spans="3:3" x14ac:dyDescent="0.35">
      <c r="C36720" s="2"/>
    </row>
    <row r="36721" spans="3:3" x14ac:dyDescent="0.35">
      <c r="C36721" s="2"/>
    </row>
    <row r="36722" spans="3:3" x14ac:dyDescent="0.35">
      <c r="C36722" s="2"/>
    </row>
    <row r="36723" spans="3:3" x14ac:dyDescent="0.35">
      <c r="C36723" s="2"/>
    </row>
    <row r="36724" spans="3:3" x14ac:dyDescent="0.35">
      <c r="C36724" s="2"/>
    </row>
    <row r="36725" spans="3:3" x14ac:dyDescent="0.35">
      <c r="C36725" s="2"/>
    </row>
    <row r="36726" spans="3:3" x14ac:dyDescent="0.35">
      <c r="C36726" s="2"/>
    </row>
    <row r="36727" spans="3:3" x14ac:dyDescent="0.35">
      <c r="C36727" s="2"/>
    </row>
    <row r="36728" spans="3:3" x14ac:dyDescent="0.35">
      <c r="C36728" s="2"/>
    </row>
    <row r="36729" spans="3:3" x14ac:dyDescent="0.35">
      <c r="C36729" s="2"/>
    </row>
    <row r="36730" spans="3:3" x14ac:dyDescent="0.35">
      <c r="C36730" s="2"/>
    </row>
    <row r="36731" spans="3:3" x14ac:dyDescent="0.35">
      <c r="C36731" s="2"/>
    </row>
    <row r="36732" spans="3:3" x14ac:dyDescent="0.35">
      <c r="C36732" s="2"/>
    </row>
    <row r="36733" spans="3:3" x14ac:dyDescent="0.35">
      <c r="C36733" s="2"/>
    </row>
    <row r="36734" spans="3:3" x14ac:dyDescent="0.35">
      <c r="C36734" s="2"/>
    </row>
    <row r="36735" spans="3:3" x14ac:dyDescent="0.35">
      <c r="C36735" s="2"/>
    </row>
    <row r="36736" spans="3:3" x14ac:dyDescent="0.35">
      <c r="C36736" s="2"/>
    </row>
    <row r="36737" spans="3:3" x14ac:dyDescent="0.35">
      <c r="C36737" s="2"/>
    </row>
    <row r="36738" spans="3:3" x14ac:dyDescent="0.35">
      <c r="C36738" s="2"/>
    </row>
    <row r="36739" spans="3:3" x14ac:dyDescent="0.35">
      <c r="C36739" s="2"/>
    </row>
    <row r="36740" spans="3:3" x14ac:dyDescent="0.35">
      <c r="C36740" s="2"/>
    </row>
    <row r="36741" spans="3:3" x14ac:dyDescent="0.35">
      <c r="C36741" s="2"/>
    </row>
    <row r="36742" spans="3:3" x14ac:dyDescent="0.35">
      <c r="C36742" s="2"/>
    </row>
    <row r="36743" spans="3:3" x14ac:dyDescent="0.35">
      <c r="C36743" s="2"/>
    </row>
    <row r="36744" spans="3:3" x14ac:dyDescent="0.35">
      <c r="C36744" s="2"/>
    </row>
    <row r="36745" spans="3:3" x14ac:dyDescent="0.35">
      <c r="C36745" s="2"/>
    </row>
    <row r="36746" spans="3:3" x14ac:dyDescent="0.35">
      <c r="C36746" s="2"/>
    </row>
    <row r="36747" spans="3:3" x14ac:dyDescent="0.35">
      <c r="C36747" s="2"/>
    </row>
    <row r="36748" spans="3:3" x14ac:dyDescent="0.35">
      <c r="C36748" s="2"/>
    </row>
    <row r="36749" spans="3:3" x14ac:dyDescent="0.35">
      <c r="C36749" s="2"/>
    </row>
    <row r="36750" spans="3:3" x14ac:dyDescent="0.35">
      <c r="C36750" s="2"/>
    </row>
    <row r="36751" spans="3:3" x14ac:dyDescent="0.35">
      <c r="C36751" s="2"/>
    </row>
    <row r="36752" spans="3:3" x14ac:dyDescent="0.35">
      <c r="C36752" s="2"/>
    </row>
    <row r="36753" spans="3:3" x14ac:dyDescent="0.35">
      <c r="C36753" s="2"/>
    </row>
    <row r="36754" spans="3:3" x14ac:dyDescent="0.35">
      <c r="C36754" s="2"/>
    </row>
    <row r="36755" spans="3:3" x14ac:dyDescent="0.35">
      <c r="C36755" s="2"/>
    </row>
    <row r="36756" spans="3:3" x14ac:dyDescent="0.35">
      <c r="C36756" s="2"/>
    </row>
    <row r="36757" spans="3:3" x14ac:dyDescent="0.35">
      <c r="C36757" s="2"/>
    </row>
    <row r="36758" spans="3:3" x14ac:dyDescent="0.35">
      <c r="C36758" s="2"/>
    </row>
    <row r="36759" spans="3:3" x14ac:dyDescent="0.35">
      <c r="C36759" s="2"/>
    </row>
    <row r="36760" spans="3:3" x14ac:dyDescent="0.35">
      <c r="C36760" s="2"/>
    </row>
    <row r="36761" spans="3:3" x14ac:dyDescent="0.35">
      <c r="C36761" s="2"/>
    </row>
    <row r="36762" spans="3:3" x14ac:dyDescent="0.35">
      <c r="C36762" s="2"/>
    </row>
    <row r="36763" spans="3:3" x14ac:dyDescent="0.35">
      <c r="C36763" s="2"/>
    </row>
    <row r="36764" spans="3:3" x14ac:dyDescent="0.35">
      <c r="C36764" s="2"/>
    </row>
    <row r="36765" spans="3:3" x14ac:dyDescent="0.35">
      <c r="C36765" s="2"/>
    </row>
    <row r="36766" spans="3:3" x14ac:dyDescent="0.35">
      <c r="C36766" s="2"/>
    </row>
    <row r="36767" spans="3:3" x14ac:dyDescent="0.35">
      <c r="C36767" s="2"/>
    </row>
    <row r="36768" spans="3:3" x14ac:dyDescent="0.35">
      <c r="C36768" s="2"/>
    </row>
    <row r="36769" spans="3:3" x14ac:dyDescent="0.35">
      <c r="C36769" s="2"/>
    </row>
    <row r="36770" spans="3:3" x14ac:dyDescent="0.35">
      <c r="C36770" s="2"/>
    </row>
    <row r="36771" spans="3:3" x14ac:dyDescent="0.35">
      <c r="C36771" s="2"/>
    </row>
    <row r="36772" spans="3:3" x14ac:dyDescent="0.35">
      <c r="C36772" s="2"/>
    </row>
    <row r="36773" spans="3:3" x14ac:dyDescent="0.35">
      <c r="C36773" s="2"/>
    </row>
    <row r="36774" spans="3:3" x14ac:dyDescent="0.35">
      <c r="C36774" s="2"/>
    </row>
    <row r="36775" spans="3:3" x14ac:dyDescent="0.35">
      <c r="C36775" s="2"/>
    </row>
    <row r="36776" spans="3:3" x14ac:dyDescent="0.35">
      <c r="C36776" s="2"/>
    </row>
    <row r="36777" spans="3:3" x14ac:dyDescent="0.35">
      <c r="C36777" s="2"/>
    </row>
    <row r="36778" spans="3:3" x14ac:dyDescent="0.35">
      <c r="C36778" s="2"/>
    </row>
    <row r="36779" spans="3:3" x14ac:dyDescent="0.35">
      <c r="C36779" s="2"/>
    </row>
    <row r="36780" spans="3:3" x14ac:dyDescent="0.35">
      <c r="C36780" s="2"/>
    </row>
    <row r="36781" spans="3:3" x14ac:dyDescent="0.35">
      <c r="C36781" s="2"/>
    </row>
    <row r="36782" spans="3:3" x14ac:dyDescent="0.35">
      <c r="C36782" s="2"/>
    </row>
    <row r="36783" spans="3:3" x14ac:dyDescent="0.35">
      <c r="C36783" s="2"/>
    </row>
    <row r="36784" spans="3:3" x14ac:dyDescent="0.35">
      <c r="C36784" s="2"/>
    </row>
    <row r="36785" spans="3:3" x14ac:dyDescent="0.35">
      <c r="C36785" s="2"/>
    </row>
    <row r="36786" spans="3:3" x14ac:dyDescent="0.35">
      <c r="C36786" s="2"/>
    </row>
    <row r="36787" spans="3:3" x14ac:dyDescent="0.35">
      <c r="C36787" s="2"/>
    </row>
    <row r="36788" spans="3:3" x14ac:dyDescent="0.35">
      <c r="C36788" s="2"/>
    </row>
    <row r="36789" spans="3:3" x14ac:dyDescent="0.35">
      <c r="C36789" s="2"/>
    </row>
    <row r="36790" spans="3:3" x14ac:dyDescent="0.35">
      <c r="C36790" s="2"/>
    </row>
    <row r="36791" spans="3:3" x14ac:dyDescent="0.35">
      <c r="C36791" s="2"/>
    </row>
    <row r="36792" spans="3:3" x14ac:dyDescent="0.35">
      <c r="C36792" s="2"/>
    </row>
    <row r="36793" spans="3:3" x14ac:dyDescent="0.35">
      <c r="C36793" s="2"/>
    </row>
    <row r="36794" spans="3:3" x14ac:dyDescent="0.35">
      <c r="C36794" s="2"/>
    </row>
    <row r="36795" spans="3:3" x14ac:dyDescent="0.35">
      <c r="C36795" s="2"/>
    </row>
    <row r="36796" spans="3:3" x14ac:dyDescent="0.35">
      <c r="C36796" s="2"/>
    </row>
    <row r="36797" spans="3:3" x14ac:dyDescent="0.35">
      <c r="C36797" s="2"/>
    </row>
    <row r="36798" spans="3:3" x14ac:dyDescent="0.35">
      <c r="C36798" s="2"/>
    </row>
    <row r="36799" spans="3:3" x14ac:dyDescent="0.35">
      <c r="C36799" s="2"/>
    </row>
    <row r="36800" spans="3:3" x14ac:dyDescent="0.35">
      <c r="C36800" s="2"/>
    </row>
    <row r="36801" spans="3:3" x14ac:dyDescent="0.35">
      <c r="C36801" s="2"/>
    </row>
    <row r="36802" spans="3:3" x14ac:dyDescent="0.35">
      <c r="C36802" s="2"/>
    </row>
    <row r="36803" spans="3:3" x14ac:dyDescent="0.35">
      <c r="C36803" s="2"/>
    </row>
    <row r="36804" spans="3:3" x14ac:dyDescent="0.35">
      <c r="C36804" s="2"/>
    </row>
    <row r="36805" spans="3:3" x14ac:dyDescent="0.35">
      <c r="C36805" s="2"/>
    </row>
    <row r="36806" spans="3:3" x14ac:dyDescent="0.35">
      <c r="C36806" s="2"/>
    </row>
    <row r="36807" spans="3:3" x14ac:dyDescent="0.35">
      <c r="C36807" s="2"/>
    </row>
    <row r="36808" spans="3:3" x14ac:dyDescent="0.35">
      <c r="C36808" s="2"/>
    </row>
    <row r="36809" spans="3:3" x14ac:dyDescent="0.35">
      <c r="C36809" s="2"/>
    </row>
    <row r="36810" spans="3:3" x14ac:dyDescent="0.35">
      <c r="C36810" s="2"/>
    </row>
    <row r="36811" spans="3:3" x14ac:dyDescent="0.35">
      <c r="C36811" s="2"/>
    </row>
    <row r="36812" spans="3:3" x14ac:dyDescent="0.35">
      <c r="C36812" s="2"/>
    </row>
    <row r="36813" spans="3:3" x14ac:dyDescent="0.35">
      <c r="C36813" s="2"/>
    </row>
    <row r="36814" spans="3:3" x14ac:dyDescent="0.35">
      <c r="C36814" s="2"/>
    </row>
    <row r="36815" spans="3:3" x14ac:dyDescent="0.35">
      <c r="C36815" s="2"/>
    </row>
    <row r="36816" spans="3:3" x14ac:dyDescent="0.35">
      <c r="C36816" s="2"/>
    </row>
    <row r="36817" spans="3:3" x14ac:dyDescent="0.35">
      <c r="C36817" s="2"/>
    </row>
    <row r="36818" spans="3:3" x14ac:dyDescent="0.35">
      <c r="C36818" s="2"/>
    </row>
    <row r="36819" spans="3:3" x14ac:dyDescent="0.35">
      <c r="C36819" s="2"/>
    </row>
    <row r="36820" spans="3:3" x14ac:dyDescent="0.35">
      <c r="C36820" s="2"/>
    </row>
    <row r="36821" spans="3:3" x14ac:dyDescent="0.35">
      <c r="C36821" s="2"/>
    </row>
    <row r="36822" spans="3:3" x14ac:dyDescent="0.35">
      <c r="C36822" s="2"/>
    </row>
    <row r="36823" spans="3:3" x14ac:dyDescent="0.35">
      <c r="C36823" s="2"/>
    </row>
    <row r="36824" spans="3:3" x14ac:dyDescent="0.35">
      <c r="C36824" s="2"/>
    </row>
    <row r="36825" spans="3:3" x14ac:dyDescent="0.35">
      <c r="C36825" s="2"/>
    </row>
    <row r="36826" spans="3:3" x14ac:dyDescent="0.35">
      <c r="C36826" s="2"/>
    </row>
    <row r="36827" spans="3:3" x14ac:dyDescent="0.35">
      <c r="C36827" s="2"/>
    </row>
    <row r="36828" spans="3:3" x14ac:dyDescent="0.35">
      <c r="C36828" s="2"/>
    </row>
    <row r="36829" spans="3:3" x14ac:dyDescent="0.35">
      <c r="C36829" s="2"/>
    </row>
    <row r="36830" spans="3:3" x14ac:dyDescent="0.35">
      <c r="C36830" s="2"/>
    </row>
    <row r="36831" spans="3:3" x14ac:dyDescent="0.35">
      <c r="C36831" s="2"/>
    </row>
    <row r="36832" spans="3:3" x14ac:dyDescent="0.35">
      <c r="C36832" s="2"/>
    </row>
    <row r="36833" spans="3:3" x14ac:dyDescent="0.35">
      <c r="C36833" s="2"/>
    </row>
    <row r="36834" spans="3:3" x14ac:dyDescent="0.35">
      <c r="C36834" s="2"/>
    </row>
    <row r="36835" spans="3:3" x14ac:dyDescent="0.35">
      <c r="C36835" s="2"/>
    </row>
    <row r="36836" spans="3:3" x14ac:dyDescent="0.35">
      <c r="C36836" s="2"/>
    </row>
    <row r="36837" spans="3:3" x14ac:dyDescent="0.35">
      <c r="C36837" s="2"/>
    </row>
    <row r="36838" spans="3:3" x14ac:dyDescent="0.35">
      <c r="C36838" s="2"/>
    </row>
    <row r="36839" spans="3:3" x14ac:dyDescent="0.35">
      <c r="C36839" s="2"/>
    </row>
    <row r="36840" spans="3:3" x14ac:dyDescent="0.35">
      <c r="C36840" s="2"/>
    </row>
    <row r="36841" spans="3:3" x14ac:dyDescent="0.35">
      <c r="C36841" s="2"/>
    </row>
    <row r="36842" spans="3:3" x14ac:dyDescent="0.35">
      <c r="C36842" s="2"/>
    </row>
    <row r="36843" spans="3:3" x14ac:dyDescent="0.35">
      <c r="C36843" s="2"/>
    </row>
    <row r="36844" spans="3:3" x14ac:dyDescent="0.35">
      <c r="C36844" s="2"/>
    </row>
    <row r="36845" spans="3:3" x14ac:dyDescent="0.35">
      <c r="C36845" s="2"/>
    </row>
    <row r="36846" spans="3:3" x14ac:dyDescent="0.35">
      <c r="C36846" s="2"/>
    </row>
    <row r="36847" spans="3:3" x14ac:dyDescent="0.35">
      <c r="C36847" s="2"/>
    </row>
    <row r="36848" spans="3:3" x14ac:dyDescent="0.35">
      <c r="C36848" s="2"/>
    </row>
    <row r="36849" spans="3:3" x14ac:dyDescent="0.35">
      <c r="C36849" s="2"/>
    </row>
    <row r="36850" spans="3:3" x14ac:dyDescent="0.35">
      <c r="C36850" s="2"/>
    </row>
    <row r="36851" spans="3:3" x14ac:dyDescent="0.35">
      <c r="C36851" s="2"/>
    </row>
    <row r="36852" spans="3:3" x14ac:dyDescent="0.35">
      <c r="C36852" s="2"/>
    </row>
    <row r="36853" spans="3:3" x14ac:dyDescent="0.35">
      <c r="C36853" s="2"/>
    </row>
    <row r="36854" spans="3:3" x14ac:dyDescent="0.35">
      <c r="C36854" s="2"/>
    </row>
    <row r="36855" spans="3:3" x14ac:dyDescent="0.35">
      <c r="C36855" s="2"/>
    </row>
    <row r="36856" spans="3:3" x14ac:dyDescent="0.35">
      <c r="C36856" s="2"/>
    </row>
    <row r="36857" spans="3:3" x14ac:dyDescent="0.35">
      <c r="C36857" s="2"/>
    </row>
    <row r="36858" spans="3:3" x14ac:dyDescent="0.35">
      <c r="C36858" s="2"/>
    </row>
    <row r="36859" spans="3:3" x14ac:dyDescent="0.35">
      <c r="C36859" s="2"/>
    </row>
    <row r="36860" spans="3:3" x14ac:dyDescent="0.35">
      <c r="C36860" s="2"/>
    </row>
    <row r="36861" spans="3:3" x14ac:dyDescent="0.35">
      <c r="C36861" s="2"/>
    </row>
    <row r="36862" spans="3:3" x14ac:dyDescent="0.35">
      <c r="C36862" s="2"/>
    </row>
    <row r="36863" spans="3:3" x14ac:dyDescent="0.35">
      <c r="C36863" s="2"/>
    </row>
    <row r="36864" spans="3:3" x14ac:dyDescent="0.35">
      <c r="C36864" s="2"/>
    </row>
    <row r="36865" spans="3:3" x14ac:dyDescent="0.35">
      <c r="C36865" s="2"/>
    </row>
    <row r="36866" spans="3:3" x14ac:dyDescent="0.35">
      <c r="C36866" s="2"/>
    </row>
    <row r="36867" spans="3:3" x14ac:dyDescent="0.35">
      <c r="C36867" s="2"/>
    </row>
    <row r="36868" spans="3:3" x14ac:dyDescent="0.35">
      <c r="C36868" s="2"/>
    </row>
    <row r="36869" spans="3:3" x14ac:dyDescent="0.35">
      <c r="C36869" s="2"/>
    </row>
    <row r="36870" spans="3:3" x14ac:dyDescent="0.35">
      <c r="C36870" s="2"/>
    </row>
    <row r="36871" spans="3:3" x14ac:dyDescent="0.35">
      <c r="C36871" s="2"/>
    </row>
    <row r="36872" spans="3:3" x14ac:dyDescent="0.35">
      <c r="C36872" s="2"/>
    </row>
    <row r="36873" spans="3:3" x14ac:dyDescent="0.35">
      <c r="C36873" s="2"/>
    </row>
    <row r="36874" spans="3:3" x14ac:dyDescent="0.35">
      <c r="C36874" s="2"/>
    </row>
    <row r="36875" spans="3:3" x14ac:dyDescent="0.35">
      <c r="C36875" s="2"/>
    </row>
    <row r="36876" spans="3:3" x14ac:dyDescent="0.35">
      <c r="C36876" s="2"/>
    </row>
    <row r="36877" spans="3:3" x14ac:dyDescent="0.35">
      <c r="C36877" s="2"/>
    </row>
    <row r="36878" spans="3:3" x14ac:dyDescent="0.35">
      <c r="C36878" s="2"/>
    </row>
    <row r="36879" spans="3:3" x14ac:dyDescent="0.35">
      <c r="C36879" s="2"/>
    </row>
    <row r="36880" spans="3:3" x14ac:dyDescent="0.35">
      <c r="C36880" s="2"/>
    </row>
    <row r="36881" spans="3:3" x14ac:dyDescent="0.35">
      <c r="C36881" s="2"/>
    </row>
    <row r="36882" spans="3:3" x14ac:dyDescent="0.35">
      <c r="C36882" s="2"/>
    </row>
    <row r="36883" spans="3:3" x14ac:dyDescent="0.35">
      <c r="C36883" s="2"/>
    </row>
    <row r="36884" spans="3:3" x14ac:dyDescent="0.35">
      <c r="C36884" s="2"/>
    </row>
    <row r="36885" spans="3:3" x14ac:dyDescent="0.35">
      <c r="C36885" s="2"/>
    </row>
    <row r="36886" spans="3:3" x14ac:dyDescent="0.35">
      <c r="C36886" s="2"/>
    </row>
    <row r="36887" spans="3:3" x14ac:dyDescent="0.35">
      <c r="C36887" s="2"/>
    </row>
    <row r="36888" spans="3:3" x14ac:dyDescent="0.35">
      <c r="C36888" s="2"/>
    </row>
    <row r="36889" spans="3:3" x14ac:dyDescent="0.35">
      <c r="C36889" s="2"/>
    </row>
    <row r="36890" spans="3:3" x14ac:dyDescent="0.35">
      <c r="C36890" s="2"/>
    </row>
    <row r="36891" spans="3:3" x14ac:dyDescent="0.35">
      <c r="C36891" s="2"/>
    </row>
    <row r="36892" spans="3:3" x14ac:dyDescent="0.35">
      <c r="C36892" s="2"/>
    </row>
    <row r="36893" spans="3:3" x14ac:dyDescent="0.35">
      <c r="C36893" s="2"/>
    </row>
    <row r="36894" spans="3:3" x14ac:dyDescent="0.35">
      <c r="C36894" s="2"/>
    </row>
    <row r="36895" spans="3:3" x14ac:dyDescent="0.35">
      <c r="C36895" s="2"/>
    </row>
    <row r="36896" spans="3:3" x14ac:dyDescent="0.35">
      <c r="C36896" s="2"/>
    </row>
    <row r="36897" spans="3:3" x14ac:dyDescent="0.35">
      <c r="C36897" s="2"/>
    </row>
    <row r="36898" spans="3:3" x14ac:dyDescent="0.35">
      <c r="C36898" s="2"/>
    </row>
    <row r="36899" spans="3:3" x14ac:dyDescent="0.35">
      <c r="C36899" s="2"/>
    </row>
    <row r="36900" spans="3:3" x14ac:dyDescent="0.35">
      <c r="C36900" s="2"/>
    </row>
    <row r="36901" spans="3:3" x14ac:dyDescent="0.35">
      <c r="C36901" s="2"/>
    </row>
    <row r="36902" spans="3:3" x14ac:dyDescent="0.35">
      <c r="C36902" s="2"/>
    </row>
    <row r="36903" spans="3:3" x14ac:dyDescent="0.35">
      <c r="C36903" s="2"/>
    </row>
    <row r="36904" spans="3:3" x14ac:dyDescent="0.35">
      <c r="C36904" s="2"/>
    </row>
    <row r="36905" spans="3:3" x14ac:dyDescent="0.35">
      <c r="C36905" s="2"/>
    </row>
    <row r="36906" spans="3:3" x14ac:dyDescent="0.35">
      <c r="C36906" s="2"/>
    </row>
    <row r="36907" spans="3:3" x14ac:dyDescent="0.35">
      <c r="C36907" s="2"/>
    </row>
    <row r="36908" spans="3:3" x14ac:dyDescent="0.35">
      <c r="C36908" s="2"/>
    </row>
    <row r="36909" spans="3:3" x14ac:dyDescent="0.35">
      <c r="C36909" s="2"/>
    </row>
    <row r="36910" spans="3:3" x14ac:dyDescent="0.35">
      <c r="C36910" s="2"/>
    </row>
    <row r="36911" spans="3:3" x14ac:dyDescent="0.35">
      <c r="C36911" s="2"/>
    </row>
    <row r="36912" spans="3:3" x14ac:dyDescent="0.35">
      <c r="C36912" s="2"/>
    </row>
    <row r="36913" spans="3:3" x14ac:dyDescent="0.35">
      <c r="C36913" s="2"/>
    </row>
    <row r="36914" spans="3:3" x14ac:dyDescent="0.35">
      <c r="C36914" s="2"/>
    </row>
    <row r="36915" spans="3:3" x14ac:dyDescent="0.35">
      <c r="C36915" s="2"/>
    </row>
    <row r="36916" spans="3:3" x14ac:dyDescent="0.35">
      <c r="C36916" s="2"/>
    </row>
    <row r="36917" spans="3:3" x14ac:dyDescent="0.35">
      <c r="C36917" s="2"/>
    </row>
    <row r="36918" spans="3:3" x14ac:dyDescent="0.35">
      <c r="C36918" s="2"/>
    </row>
    <row r="36919" spans="3:3" x14ac:dyDescent="0.35">
      <c r="C36919" s="2"/>
    </row>
    <row r="36920" spans="3:3" x14ac:dyDescent="0.35">
      <c r="C36920" s="2"/>
    </row>
    <row r="36921" spans="3:3" x14ac:dyDescent="0.35">
      <c r="C36921" s="2"/>
    </row>
    <row r="36922" spans="3:3" x14ac:dyDescent="0.35">
      <c r="C36922" s="2"/>
    </row>
    <row r="36923" spans="3:3" x14ac:dyDescent="0.35">
      <c r="C36923" s="2"/>
    </row>
    <row r="36924" spans="3:3" x14ac:dyDescent="0.35">
      <c r="C36924" s="2"/>
    </row>
    <row r="36925" spans="3:3" x14ac:dyDescent="0.35">
      <c r="C36925" s="2"/>
    </row>
    <row r="36926" spans="3:3" x14ac:dyDescent="0.35">
      <c r="C36926" s="2"/>
    </row>
    <row r="36927" spans="3:3" x14ac:dyDescent="0.35">
      <c r="C36927" s="2"/>
    </row>
    <row r="36928" spans="3:3" x14ac:dyDescent="0.35">
      <c r="C36928" s="2"/>
    </row>
    <row r="36929" spans="3:3" x14ac:dyDescent="0.35">
      <c r="C36929" s="2"/>
    </row>
    <row r="36930" spans="3:3" x14ac:dyDescent="0.35">
      <c r="C36930" s="2"/>
    </row>
    <row r="36931" spans="3:3" x14ac:dyDescent="0.35">
      <c r="C36931" s="2"/>
    </row>
    <row r="36932" spans="3:3" x14ac:dyDescent="0.35">
      <c r="C36932" s="2"/>
    </row>
    <row r="36933" spans="3:3" x14ac:dyDescent="0.35">
      <c r="C36933" s="2"/>
    </row>
    <row r="36934" spans="3:3" x14ac:dyDescent="0.35">
      <c r="C36934" s="2"/>
    </row>
    <row r="36935" spans="3:3" x14ac:dyDescent="0.35">
      <c r="C36935" s="2"/>
    </row>
    <row r="36936" spans="3:3" x14ac:dyDescent="0.35">
      <c r="C36936" s="2"/>
    </row>
    <row r="36937" spans="3:3" x14ac:dyDescent="0.35">
      <c r="C36937" s="2"/>
    </row>
    <row r="36938" spans="3:3" x14ac:dyDescent="0.35">
      <c r="C36938" s="2"/>
    </row>
    <row r="36939" spans="3:3" x14ac:dyDescent="0.35">
      <c r="C36939" s="2"/>
    </row>
    <row r="36940" spans="3:3" x14ac:dyDescent="0.35">
      <c r="C36940" s="2"/>
    </row>
    <row r="36941" spans="3:3" x14ac:dyDescent="0.35">
      <c r="C36941" s="2"/>
    </row>
    <row r="36942" spans="3:3" x14ac:dyDescent="0.35">
      <c r="C36942" s="2"/>
    </row>
    <row r="36943" spans="3:3" x14ac:dyDescent="0.35">
      <c r="C36943" s="2"/>
    </row>
    <row r="36944" spans="3:3" x14ac:dyDescent="0.35">
      <c r="C36944" s="2"/>
    </row>
    <row r="36945" spans="3:3" x14ac:dyDescent="0.35">
      <c r="C36945" s="2"/>
    </row>
    <row r="36946" spans="3:3" x14ac:dyDescent="0.35">
      <c r="C36946" s="2"/>
    </row>
    <row r="36947" spans="3:3" x14ac:dyDescent="0.35">
      <c r="C36947" s="2"/>
    </row>
    <row r="36948" spans="3:3" x14ac:dyDescent="0.35">
      <c r="C36948" s="2"/>
    </row>
    <row r="36949" spans="3:3" x14ac:dyDescent="0.35">
      <c r="C36949" s="2"/>
    </row>
    <row r="36950" spans="3:3" x14ac:dyDescent="0.35">
      <c r="C36950" s="2"/>
    </row>
    <row r="36951" spans="3:3" x14ac:dyDescent="0.35">
      <c r="C36951" s="2"/>
    </row>
    <row r="36952" spans="3:3" x14ac:dyDescent="0.35">
      <c r="C36952" s="2"/>
    </row>
    <row r="36953" spans="3:3" x14ac:dyDescent="0.35">
      <c r="C36953" s="2"/>
    </row>
    <row r="36954" spans="3:3" x14ac:dyDescent="0.35">
      <c r="C36954" s="2"/>
    </row>
    <row r="36955" spans="3:3" x14ac:dyDescent="0.35">
      <c r="C36955" s="2"/>
    </row>
    <row r="36956" spans="3:3" x14ac:dyDescent="0.35">
      <c r="C36956" s="2"/>
    </row>
    <row r="36957" spans="3:3" x14ac:dyDescent="0.35">
      <c r="C36957" s="2"/>
    </row>
    <row r="36958" spans="3:3" x14ac:dyDescent="0.35">
      <c r="C36958" s="2"/>
    </row>
    <row r="36959" spans="3:3" x14ac:dyDescent="0.35">
      <c r="C36959" s="2"/>
    </row>
    <row r="36960" spans="3:3" x14ac:dyDescent="0.35">
      <c r="C36960" s="2"/>
    </row>
    <row r="36961" spans="3:3" x14ac:dyDescent="0.35">
      <c r="C36961" s="2"/>
    </row>
    <row r="36962" spans="3:3" x14ac:dyDescent="0.35">
      <c r="C36962" s="2"/>
    </row>
    <row r="36963" spans="3:3" x14ac:dyDescent="0.35">
      <c r="C36963" s="2"/>
    </row>
    <row r="36964" spans="3:3" x14ac:dyDescent="0.35">
      <c r="C36964" s="2"/>
    </row>
    <row r="36965" spans="3:3" x14ac:dyDescent="0.35">
      <c r="C36965" s="2"/>
    </row>
    <row r="36966" spans="3:3" x14ac:dyDescent="0.35">
      <c r="C36966" s="2"/>
    </row>
    <row r="36967" spans="3:3" x14ac:dyDescent="0.35">
      <c r="C36967" s="2"/>
    </row>
    <row r="36968" spans="3:3" x14ac:dyDescent="0.35">
      <c r="C36968" s="2"/>
    </row>
    <row r="36969" spans="3:3" x14ac:dyDescent="0.35">
      <c r="C36969" s="2"/>
    </row>
    <row r="36970" spans="3:3" x14ac:dyDescent="0.35">
      <c r="C36970" s="2"/>
    </row>
    <row r="36971" spans="3:3" x14ac:dyDescent="0.35">
      <c r="C36971" s="2"/>
    </row>
    <row r="36972" spans="3:3" x14ac:dyDescent="0.35">
      <c r="C36972" s="2"/>
    </row>
    <row r="36973" spans="3:3" x14ac:dyDescent="0.35">
      <c r="C36973" s="2"/>
    </row>
    <row r="36974" spans="3:3" x14ac:dyDescent="0.35">
      <c r="C36974" s="2"/>
    </row>
    <row r="36975" spans="3:3" x14ac:dyDescent="0.35">
      <c r="C36975" s="2"/>
    </row>
    <row r="36976" spans="3:3" x14ac:dyDescent="0.35">
      <c r="C36976" s="2"/>
    </row>
    <row r="36977" spans="3:3" x14ac:dyDescent="0.35">
      <c r="C36977" s="2"/>
    </row>
    <row r="36978" spans="3:3" x14ac:dyDescent="0.35">
      <c r="C36978" s="2"/>
    </row>
    <row r="36979" spans="3:3" x14ac:dyDescent="0.35">
      <c r="C36979" s="2"/>
    </row>
    <row r="36980" spans="3:3" x14ac:dyDescent="0.35">
      <c r="C36980" s="2"/>
    </row>
    <row r="36981" spans="3:3" x14ac:dyDescent="0.35">
      <c r="C36981" s="2"/>
    </row>
    <row r="36982" spans="3:3" x14ac:dyDescent="0.35">
      <c r="C36982" s="2"/>
    </row>
    <row r="36983" spans="3:3" x14ac:dyDescent="0.35">
      <c r="C36983" s="2"/>
    </row>
    <row r="36984" spans="3:3" x14ac:dyDescent="0.35">
      <c r="C36984" s="2"/>
    </row>
    <row r="36985" spans="3:3" x14ac:dyDescent="0.35">
      <c r="C36985" s="2"/>
    </row>
    <row r="36986" spans="3:3" x14ac:dyDescent="0.35">
      <c r="C36986" s="2"/>
    </row>
    <row r="36987" spans="3:3" x14ac:dyDescent="0.35">
      <c r="C36987" s="2"/>
    </row>
    <row r="36988" spans="3:3" x14ac:dyDescent="0.35">
      <c r="C36988" s="2"/>
    </row>
    <row r="36989" spans="3:3" x14ac:dyDescent="0.35">
      <c r="C36989" s="2"/>
    </row>
    <row r="36990" spans="3:3" x14ac:dyDescent="0.35">
      <c r="C36990" s="2"/>
    </row>
    <row r="36991" spans="3:3" x14ac:dyDescent="0.35">
      <c r="C36991" s="2"/>
    </row>
    <row r="36992" spans="3:3" x14ac:dyDescent="0.35">
      <c r="C36992" s="2"/>
    </row>
    <row r="36993" spans="3:3" x14ac:dyDescent="0.35">
      <c r="C36993" s="2"/>
    </row>
    <row r="36994" spans="3:3" x14ac:dyDescent="0.35">
      <c r="C36994" s="2"/>
    </row>
    <row r="36995" spans="3:3" x14ac:dyDescent="0.35">
      <c r="C36995" s="2"/>
    </row>
    <row r="36996" spans="3:3" x14ac:dyDescent="0.35">
      <c r="C36996" s="2"/>
    </row>
    <row r="36997" spans="3:3" x14ac:dyDescent="0.35">
      <c r="C36997" s="2"/>
    </row>
    <row r="36998" spans="3:3" x14ac:dyDescent="0.35">
      <c r="C36998" s="2"/>
    </row>
    <row r="36999" spans="3:3" x14ac:dyDescent="0.35">
      <c r="C36999" s="2"/>
    </row>
    <row r="37000" spans="3:3" x14ac:dyDescent="0.35">
      <c r="C37000" s="2"/>
    </row>
    <row r="37001" spans="3:3" x14ac:dyDescent="0.35">
      <c r="C37001" s="2"/>
    </row>
    <row r="37002" spans="3:3" x14ac:dyDescent="0.35">
      <c r="C37002" s="2"/>
    </row>
    <row r="37003" spans="3:3" x14ac:dyDescent="0.35">
      <c r="C37003" s="2"/>
    </row>
    <row r="37004" spans="3:3" x14ac:dyDescent="0.35">
      <c r="C37004" s="2"/>
    </row>
    <row r="37005" spans="3:3" x14ac:dyDescent="0.35">
      <c r="C37005" s="2"/>
    </row>
    <row r="37006" spans="3:3" x14ac:dyDescent="0.35">
      <c r="C37006" s="2"/>
    </row>
    <row r="37007" spans="3:3" x14ac:dyDescent="0.35">
      <c r="C37007" s="2"/>
    </row>
    <row r="37008" spans="3:3" x14ac:dyDescent="0.35">
      <c r="C37008" s="2"/>
    </row>
    <row r="37009" spans="3:3" x14ac:dyDescent="0.35">
      <c r="C37009" s="2"/>
    </row>
    <row r="37010" spans="3:3" x14ac:dyDescent="0.35">
      <c r="C37010" s="2"/>
    </row>
    <row r="37011" spans="3:3" x14ac:dyDescent="0.35">
      <c r="C37011" s="2"/>
    </row>
    <row r="37012" spans="3:3" x14ac:dyDescent="0.35">
      <c r="C37012" s="2"/>
    </row>
    <row r="37013" spans="3:3" x14ac:dyDescent="0.35">
      <c r="C37013" s="2"/>
    </row>
    <row r="37014" spans="3:3" x14ac:dyDescent="0.35">
      <c r="C37014" s="2"/>
    </row>
    <row r="37015" spans="3:3" x14ac:dyDescent="0.35">
      <c r="C37015" s="2"/>
    </row>
    <row r="37016" spans="3:3" x14ac:dyDescent="0.35">
      <c r="C37016" s="2"/>
    </row>
    <row r="37017" spans="3:3" x14ac:dyDescent="0.35">
      <c r="C37017" s="2"/>
    </row>
    <row r="37018" spans="3:3" x14ac:dyDescent="0.35">
      <c r="C37018" s="2"/>
    </row>
    <row r="37019" spans="3:3" x14ac:dyDescent="0.35">
      <c r="C37019" s="2"/>
    </row>
    <row r="37020" spans="3:3" x14ac:dyDescent="0.35">
      <c r="C37020" s="2"/>
    </row>
    <row r="37021" spans="3:3" x14ac:dyDescent="0.35">
      <c r="C37021" s="2"/>
    </row>
    <row r="37022" spans="3:3" x14ac:dyDescent="0.35">
      <c r="C37022" s="2"/>
    </row>
    <row r="37023" spans="3:3" x14ac:dyDescent="0.35">
      <c r="C37023" s="2"/>
    </row>
    <row r="37024" spans="3:3" x14ac:dyDescent="0.35">
      <c r="C37024" s="2"/>
    </row>
    <row r="37025" spans="3:3" x14ac:dyDescent="0.35">
      <c r="C37025" s="2"/>
    </row>
    <row r="37026" spans="3:3" x14ac:dyDescent="0.35">
      <c r="C37026" s="2"/>
    </row>
    <row r="37027" spans="3:3" x14ac:dyDescent="0.35">
      <c r="C37027" s="2"/>
    </row>
    <row r="37028" spans="3:3" x14ac:dyDescent="0.35">
      <c r="C37028" s="2"/>
    </row>
    <row r="37029" spans="3:3" x14ac:dyDescent="0.35">
      <c r="C37029" s="2"/>
    </row>
    <row r="37030" spans="3:3" x14ac:dyDescent="0.35">
      <c r="C37030" s="2"/>
    </row>
    <row r="37031" spans="3:3" x14ac:dyDescent="0.35">
      <c r="C37031" s="2"/>
    </row>
    <row r="37032" spans="3:3" x14ac:dyDescent="0.35">
      <c r="C37032" s="2"/>
    </row>
    <row r="37033" spans="3:3" x14ac:dyDescent="0.35">
      <c r="C37033" s="2"/>
    </row>
    <row r="37034" spans="3:3" x14ac:dyDescent="0.35">
      <c r="C37034" s="2"/>
    </row>
    <row r="37035" spans="3:3" x14ac:dyDescent="0.35">
      <c r="C37035" s="2"/>
    </row>
    <row r="37036" spans="3:3" x14ac:dyDescent="0.35">
      <c r="C37036" s="2"/>
    </row>
    <row r="37037" spans="3:3" x14ac:dyDescent="0.35">
      <c r="C37037" s="2"/>
    </row>
    <row r="37038" spans="3:3" x14ac:dyDescent="0.35">
      <c r="C37038" s="2"/>
    </row>
    <row r="37039" spans="3:3" x14ac:dyDescent="0.35">
      <c r="C37039" s="2"/>
    </row>
    <row r="37040" spans="3:3" x14ac:dyDescent="0.35">
      <c r="C37040" s="2"/>
    </row>
    <row r="37041" spans="3:3" x14ac:dyDescent="0.35">
      <c r="C37041" s="2"/>
    </row>
    <row r="37042" spans="3:3" x14ac:dyDescent="0.35">
      <c r="C37042" s="2"/>
    </row>
    <row r="37043" spans="3:3" x14ac:dyDescent="0.35">
      <c r="C37043" s="2"/>
    </row>
    <row r="37044" spans="3:3" x14ac:dyDescent="0.35">
      <c r="C37044" s="2"/>
    </row>
    <row r="37045" spans="3:3" x14ac:dyDescent="0.35">
      <c r="C37045" s="2"/>
    </row>
    <row r="37046" spans="3:3" x14ac:dyDescent="0.35">
      <c r="C37046" s="2"/>
    </row>
    <row r="37047" spans="3:3" x14ac:dyDescent="0.35">
      <c r="C37047" s="2"/>
    </row>
    <row r="37048" spans="3:3" x14ac:dyDescent="0.35">
      <c r="C37048" s="2"/>
    </row>
    <row r="37049" spans="3:3" x14ac:dyDescent="0.35">
      <c r="C37049" s="2"/>
    </row>
    <row r="37050" spans="3:3" x14ac:dyDescent="0.35">
      <c r="C37050" s="2"/>
    </row>
    <row r="37051" spans="3:3" x14ac:dyDescent="0.35">
      <c r="C37051" s="2"/>
    </row>
    <row r="37052" spans="3:3" x14ac:dyDescent="0.35">
      <c r="C37052" s="2"/>
    </row>
    <row r="37053" spans="3:3" x14ac:dyDescent="0.35">
      <c r="C37053" s="2"/>
    </row>
    <row r="37054" spans="3:3" x14ac:dyDescent="0.35">
      <c r="C37054" s="2"/>
    </row>
    <row r="37055" spans="3:3" x14ac:dyDescent="0.35">
      <c r="C37055" s="2"/>
    </row>
    <row r="37056" spans="3:3" x14ac:dyDescent="0.35">
      <c r="C37056" s="2"/>
    </row>
    <row r="37057" spans="3:3" x14ac:dyDescent="0.35">
      <c r="C37057" s="2"/>
    </row>
    <row r="37058" spans="3:3" x14ac:dyDescent="0.35">
      <c r="C37058" s="2"/>
    </row>
    <row r="37059" spans="3:3" x14ac:dyDescent="0.35">
      <c r="C37059" s="2"/>
    </row>
    <row r="37060" spans="3:3" x14ac:dyDescent="0.35">
      <c r="C37060" s="2"/>
    </row>
    <row r="37061" spans="3:3" x14ac:dyDescent="0.35">
      <c r="C37061" s="2"/>
    </row>
    <row r="37062" spans="3:3" x14ac:dyDescent="0.35">
      <c r="C37062" s="2"/>
    </row>
    <row r="37063" spans="3:3" x14ac:dyDescent="0.35">
      <c r="C37063" s="2"/>
    </row>
    <row r="37064" spans="3:3" x14ac:dyDescent="0.35">
      <c r="C37064" s="2"/>
    </row>
    <row r="37065" spans="3:3" x14ac:dyDescent="0.35">
      <c r="C37065" s="2"/>
    </row>
    <row r="37066" spans="3:3" x14ac:dyDescent="0.35">
      <c r="C37066" s="2"/>
    </row>
    <row r="37067" spans="3:3" x14ac:dyDescent="0.35">
      <c r="C37067" s="2"/>
    </row>
    <row r="37068" spans="3:3" x14ac:dyDescent="0.35">
      <c r="C37068" s="2"/>
    </row>
    <row r="37069" spans="3:3" x14ac:dyDescent="0.35">
      <c r="C37069" s="2"/>
    </row>
    <row r="37070" spans="3:3" x14ac:dyDescent="0.35">
      <c r="C37070" s="2"/>
    </row>
    <row r="37071" spans="3:3" x14ac:dyDescent="0.35">
      <c r="C37071" s="2"/>
    </row>
    <row r="37072" spans="3:3" x14ac:dyDescent="0.35">
      <c r="C37072" s="2"/>
    </row>
    <row r="37073" spans="3:3" x14ac:dyDescent="0.35">
      <c r="C37073" s="2"/>
    </row>
    <row r="37074" spans="3:3" x14ac:dyDescent="0.35">
      <c r="C37074" s="2"/>
    </row>
    <row r="37075" spans="3:3" x14ac:dyDescent="0.35">
      <c r="C37075" s="2"/>
    </row>
    <row r="37076" spans="3:3" x14ac:dyDescent="0.35">
      <c r="C37076" s="2"/>
    </row>
    <row r="37077" spans="3:3" x14ac:dyDescent="0.35">
      <c r="C37077" s="2"/>
    </row>
    <row r="37078" spans="3:3" x14ac:dyDescent="0.35">
      <c r="C37078" s="2"/>
    </row>
    <row r="37079" spans="3:3" x14ac:dyDescent="0.35">
      <c r="C37079" s="2"/>
    </row>
    <row r="37080" spans="3:3" x14ac:dyDescent="0.35">
      <c r="C37080" s="2"/>
    </row>
    <row r="37081" spans="3:3" x14ac:dyDescent="0.35">
      <c r="C37081" s="2"/>
    </row>
    <row r="37082" spans="3:3" x14ac:dyDescent="0.35">
      <c r="C37082" s="2"/>
    </row>
    <row r="37083" spans="3:3" x14ac:dyDescent="0.35">
      <c r="C37083" s="2"/>
    </row>
    <row r="37084" spans="3:3" x14ac:dyDescent="0.35">
      <c r="C37084" s="2"/>
    </row>
    <row r="37085" spans="3:3" x14ac:dyDescent="0.35">
      <c r="C37085" s="2"/>
    </row>
    <row r="37086" spans="3:3" x14ac:dyDescent="0.35">
      <c r="C37086" s="2"/>
    </row>
    <row r="37087" spans="3:3" x14ac:dyDescent="0.35">
      <c r="C37087" s="2"/>
    </row>
    <row r="37088" spans="3:3" x14ac:dyDescent="0.35">
      <c r="C37088" s="2"/>
    </row>
    <row r="37089" spans="3:3" x14ac:dyDescent="0.35">
      <c r="C37089" s="2"/>
    </row>
    <row r="37090" spans="3:3" x14ac:dyDescent="0.35">
      <c r="C37090" s="2"/>
    </row>
    <row r="37091" spans="3:3" x14ac:dyDescent="0.35">
      <c r="C37091" s="2"/>
    </row>
    <row r="37092" spans="3:3" x14ac:dyDescent="0.35">
      <c r="C37092" s="2"/>
    </row>
    <row r="37093" spans="3:3" x14ac:dyDescent="0.35">
      <c r="C37093" s="2"/>
    </row>
    <row r="37094" spans="3:3" x14ac:dyDescent="0.35">
      <c r="C37094" s="2"/>
    </row>
    <row r="37095" spans="3:3" x14ac:dyDescent="0.35">
      <c r="C37095" s="2"/>
    </row>
    <row r="37096" spans="3:3" x14ac:dyDescent="0.35">
      <c r="C37096" s="2"/>
    </row>
    <row r="37097" spans="3:3" x14ac:dyDescent="0.35">
      <c r="C37097" s="2"/>
    </row>
    <row r="37098" spans="3:3" x14ac:dyDescent="0.35">
      <c r="C37098" s="2"/>
    </row>
    <row r="37099" spans="3:3" x14ac:dyDescent="0.35">
      <c r="C37099" s="2"/>
    </row>
    <row r="37100" spans="3:3" x14ac:dyDescent="0.35">
      <c r="C37100" s="2"/>
    </row>
    <row r="37101" spans="3:3" x14ac:dyDescent="0.35">
      <c r="C37101" s="2"/>
    </row>
    <row r="37102" spans="3:3" x14ac:dyDescent="0.35">
      <c r="C37102" s="2"/>
    </row>
    <row r="37103" spans="3:3" x14ac:dyDescent="0.35">
      <c r="C37103" s="2"/>
    </row>
    <row r="37104" spans="3:3" x14ac:dyDescent="0.35">
      <c r="C37104" s="2"/>
    </row>
    <row r="37105" spans="3:3" x14ac:dyDescent="0.35">
      <c r="C37105" s="2"/>
    </row>
    <row r="37106" spans="3:3" x14ac:dyDescent="0.35">
      <c r="C37106" s="2"/>
    </row>
    <row r="37107" spans="3:3" x14ac:dyDescent="0.35">
      <c r="C37107" s="2"/>
    </row>
    <row r="37108" spans="3:3" x14ac:dyDescent="0.35">
      <c r="C37108" s="2"/>
    </row>
    <row r="37109" spans="3:3" x14ac:dyDescent="0.35">
      <c r="C37109" s="2"/>
    </row>
    <row r="37110" spans="3:3" x14ac:dyDescent="0.35">
      <c r="C37110" s="2"/>
    </row>
    <row r="37111" spans="3:3" x14ac:dyDescent="0.35">
      <c r="C37111" s="2"/>
    </row>
    <row r="37112" spans="3:3" x14ac:dyDescent="0.35">
      <c r="C37112" s="2"/>
    </row>
    <row r="37113" spans="3:3" x14ac:dyDescent="0.35">
      <c r="C37113" s="2"/>
    </row>
    <row r="37114" spans="3:3" x14ac:dyDescent="0.35">
      <c r="C37114" s="2"/>
    </row>
    <row r="37115" spans="3:3" x14ac:dyDescent="0.35">
      <c r="C37115" s="2"/>
    </row>
    <row r="37116" spans="3:3" x14ac:dyDescent="0.35">
      <c r="C37116" s="2"/>
    </row>
    <row r="37117" spans="3:3" x14ac:dyDescent="0.35">
      <c r="C37117" s="2"/>
    </row>
    <row r="37118" spans="3:3" x14ac:dyDescent="0.35">
      <c r="C37118" s="2"/>
    </row>
    <row r="37119" spans="3:3" x14ac:dyDescent="0.35">
      <c r="C37119" s="2"/>
    </row>
    <row r="37120" spans="3:3" x14ac:dyDescent="0.35">
      <c r="C37120" s="2"/>
    </row>
    <row r="37121" spans="3:3" x14ac:dyDescent="0.35">
      <c r="C37121" s="2"/>
    </row>
    <row r="37122" spans="3:3" x14ac:dyDescent="0.35">
      <c r="C37122" s="2"/>
    </row>
    <row r="37123" spans="3:3" x14ac:dyDescent="0.35">
      <c r="C37123" s="2"/>
    </row>
    <row r="37124" spans="3:3" x14ac:dyDescent="0.35">
      <c r="C37124" s="2"/>
    </row>
    <row r="37125" spans="3:3" x14ac:dyDescent="0.35">
      <c r="C37125" s="2"/>
    </row>
    <row r="37126" spans="3:3" x14ac:dyDescent="0.35">
      <c r="C37126" s="2"/>
    </row>
    <row r="37127" spans="3:3" x14ac:dyDescent="0.35">
      <c r="C37127" s="2"/>
    </row>
    <row r="37128" spans="3:3" x14ac:dyDescent="0.35">
      <c r="C37128" s="2"/>
    </row>
    <row r="37129" spans="3:3" x14ac:dyDescent="0.35">
      <c r="C37129" s="2"/>
    </row>
    <row r="37130" spans="3:3" x14ac:dyDescent="0.35">
      <c r="C37130" s="2"/>
    </row>
    <row r="37131" spans="3:3" x14ac:dyDescent="0.35">
      <c r="C37131" s="2"/>
    </row>
    <row r="37132" spans="3:3" x14ac:dyDescent="0.35">
      <c r="C37132" s="2"/>
    </row>
    <row r="37133" spans="3:3" x14ac:dyDescent="0.35">
      <c r="C37133" s="2"/>
    </row>
    <row r="37134" spans="3:3" x14ac:dyDescent="0.35">
      <c r="C37134" s="2"/>
    </row>
    <row r="37135" spans="3:3" x14ac:dyDescent="0.35">
      <c r="C37135" s="2"/>
    </row>
    <row r="37136" spans="3:3" x14ac:dyDescent="0.35">
      <c r="C37136" s="2"/>
    </row>
    <row r="37137" spans="3:3" x14ac:dyDescent="0.35">
      <c r="C37137" s="2"/>
    </row>
    <row r="37138" spans="3:3" x14ac:dyDescent="0.35">
      <c r="C37138" s="2"/>
    </row>
    <row r="37139" spans="3:3" x14ac:dyDescent="0.35">
      <c r="C37139" s="2"/>
    </row>
    <row r="37140" spans="3:3" x14ac:dyDescent="0.35">
      <c r="C37140" s="2"/>
    </row>
    <row r="37141" spans="3:3" x14ac:dyDescent="0.35">
      <c r="C37141" s="2"/>
    </row>
    <row r="37142" spans="3:3" x14ac:dyDescent="0.35">
      <c r="C37142" s="2"/>
    </row>
    <row r="37143" spans="3:3" x14ac:dyDescent="0.35">
      <c r="C37143" s="2"/>
    </row>
    <row r="37144" spans="3:3" x14ac:dyDescent="0.35">
      <c r="C37144" s="2"/>
    </row>
    <row r="37145" spans="3:3" x14ac:dyDescent="0.35">
      <c r="C37145" s="2"/>
    </row>
    <row r="37146" spans="3:3" x14ac:dyDescent="0.35">
      <c r="C37146" s="2"/>
    </row>
    <row r="37147" spans="3:3" x14ac:dyDescent="0.35">
      <c r="C37147" s="2"/>
    </row>
    <row r="37148" spans="3:3" x14ac:dyDescent="0.35">
      <c r="C37148" s="2"/>
    </row>
    <row r="37149" spans="3:3" x14ac:dyDescent="0.35">
      <c r="C37149" s="2"/>
    </row>
    <row r="37150" spans="3:3" x14ac:dyDescent="0.35">
      <c r="C37150" s="2"/>
    </row>
    <row r="37151" spans="3:3" x14ac:dyDescent="0.35">
      <c r="C37151" s="2"/>
    </row>
    <row r="37152" spans="3:3" x14ac:dyDescent="0.35">
      <c r="C37152" s="2"/>
    </row>
    <row r="37153" spans="3:3" x14ac:dyDescent="0.35">
      <c r="C37153" s="2"/>
    </row>
    <row r="37154" spans="3:3" x14ac:dyDescent="0.35">
      <c r="C37154" s="2"/>
    </row>
    <row r="37155" spans="3:3" x14ac:dyDescent="0.35">
      <c r="C37155" s="2"/>
    </row>
    <row r="37156" spans="3:3" x14ac:dyDescent="0.35">
      <c r="C37156" s="2"/>
    </row>
    <row r="37157" spans="3:3" x14ac:dyDescent="0.35">
      <c r="C37157" s="2"/>
    </row>
    <row r="37158" spans="3:3" x14ac:dyDescent="0.35">
      <c r="C37158" s="2"/>
    </row>
    <row r="37159" spans="3:3" x14ac:dyDescent="0.35">
      <c r="C37159" s="2"/>
    </row>
    <row r="37160" spans="3:3" x14ac:dyDescent="0.35">
      <c r="C37160" s="2"/>
    </row>
    <row r="37161" spans="3:3" x14ac:dyDescent="0.35">
      <c r="C37161" s="2"/>
    </row>
    <row r="37162" spans="3:3" x14ac:dyDescent="0.35">
      <c r="C37162" s="2"/>
    </row>
    <row r="37163" spans="3:3" x14ac:dyDescent="0.35">
      <c r="C37163" s="2"/>
    </row>
    <row r="37164" spans="3:3" x14ac:dyDescent="0.35">
      <c r="C37164" s="2"/>
    </row>
    <row r="37165" spans="3:3" x14ac:dyDescent="0.35">
      <c r="C37165" s="2"/>
    </row>
    <row r="37166" spans="3:3" x14ac:dyDescent="0.35">
      <c r="C37166" s="2"/>
    </row>
    <row r="37167" spans="3:3" x14ac:dyDescent="0.35">
      <c r="C37167" s="2"/>
    </row>
    <row r="37168" spans="3:3" x14ac:dyDescent="0.35">
      <c r="C37168" s="2"/>
    </row>
    <row r="37169" spans="3:3" x14ac:dyDescent="0.35">
      <c r="C37169" s="2"/>
    </row>
    <row r="37170" spans="3:3" x14ac:dyDescent="0.35">
      <c r="C37170" s="2"/>
    </row>
    <row r="37171" spans="3:3" x14ac:dyDescent="0.35">
      <c r="C37171" s="2"/>
    </row>
    <row r="37172" spans="3:3" x14ac:dyDescent="0.35">
      <c r="C37172" s="2"/>
    </row>
    <row r="37173" spans="3:3" x14ac:dyDescent="0.35">
      <c r="C37173" s="2"/>
    </row>
    <row r="37174" spans="3:3" x14ac:dyDescent="0.35">
      <c r="C37174" s="2"/>
    </row>
    <row r="37175" spans="3:3" x14ac:dyDescent="0.35">
      <c r="C37175" s="2"/>
    </row>
    <row r="37176" spans="3:3" x14ac:dyDescent="0.35">
      <c r="C37176" s="2"/>
    </row>
    <row r="37177" spans="3:3" x14ac:dyDescent="0.35">
      <c r="C37177" s="2"/>
    </row>
    <row r="37178" spans="3:3" x14ac:dyDescent="0.35">
      <c r="C37178" s="2"/>
    </row>
    <row r="37179" spans="3:3" x14ac:dyDescent="0.35">
      <c r="C37179" s="2"/>
    </row>
    <row r="37180" spans="3:3" x14ac:dyDescent="0.35">
      <c r="C37180" s="2"/>
    </row>
    <row r="37181" spans="3:3" x14ac:dyDescent="0.35">
      <c r="C37181" s="2"/>
    </row>
    <row r="37182" spans="3:3" x14ac:dyDescent="0.35">
      <c r="C37182" s="2"/>
    </row>
    <row r="37183" spans="3:3" x14ac:dyDescent="0.35">
      <c r="C37183" s="2"/>
    </row>
    <row r="37184" spans="3:3" x14ac:dyDescent="0.35">
      <c r="C37184" s="2"/>
    </row>
    <row r="37185" spans="3:3" x14ac:dyDescent="0.35">
      <c r="C37185" s="2"/>
    </row>
    <row r="37186" spans="3:3" x14ac:dyDescent="0.35">
      <c r="C37186" s="2"/>
    </row>
    <row r="37187" spans="3:3" x14ac:dyDescent="0.35">
      <c r="C37187" s="2"/>
    </row>
    <row r="37188" spans="3:3" x14ac:dyDescent="0.35">
      <c r="C37188" s="2"/>
    </row>
    <row r="37189" spans="3:3" x14ac:dyDescent="0.35">
      <c r="C37189" s="2"/>
    </row>
    <row r="37190" spans="3:3" x14ac:dyDescent="0.35">
      <c r="C37190" s="2"/>
    </row>
    <row r="37191" spans="3:3" x14ac:dyDescent="0.35">
      <c r="C37191" s="2"/>
    </row>
    <row r="37192" spans="3:3" x14ac:dyDescent="0.35">
      <c r="C37192" s="2"/>
    </row>
    <row r="37193" spans="3:3" x14ac:dyDescent="0.35">
      <c r="C37193" s="2"/>
    </row>
    <row r="37194" spans="3:3" x14ac:dyDescent="0.35">
      <c r="C37194" s="2"/>
    </row>
    <row r="37195" spans="3:3" x14ac:dyDescent="0.35">
      <c r="C37195" s="2"/>
    </row>
    <row r="37196" spans="3:3" x14ac:dyDescent="0.35">
      <c r="C37196" s="2"/>
    </row>
    <row r="37197" spans="3:3" x14ac:dyDescent="0.35">
      <c r="C37197" s="2"/>
    </row>
    <row r="37198" spans="3:3" x14ac:dyDescent="0.35">
      <c r="C37198" s="2"/>
    </row>
    <row r="37199" spans="3:3" x14ac:dyDescent="0.35">
      <c r="C37199" s="2"/>
    </row>
    <row r="37200" spans="3:3" x14ac:dyDescent="0.35">
      <c r="C37200" s="2"/>
    </row>
    <row r="37201" spans="3:3" x14ac:dyDescent="0.35">
      <c r="C37201" s="2"/>
    </row>
    <row r="37202" spans="3:3" x14ac:dyDescent="0.35">
      <c r="C37202" s="2"/>
    </row>
    <row r="37203" spans="3:3" x14ac:dyDescent="0.35">
      <c r="C37203" s="2"/>
    </row>
    <row r="37204" spans="3:3" x14ac:dyDescent="0.35">
      <c r="C37204" s="2"/>
    </row>
    <row r="37205" spans="3:3" x14ac:dyDescent="0.35">
      <c r="C37205" s="2"/>
    </row>
    <row r="37206" spans="3:3" x14ac:dyDescent="0.35">
      <c r="C37206" s="2"/>
    </row>
    <row r="37207" spans="3:3" x14ac:dyDescent="0.35">
      <c r="C37207" s="2"/>
    </row>
    <row r="37208" spans="3:3" x14ac:dyDescent="0.35">
      <c r="C37208" s="2"/>
    </row>
    <row r="37209" spans="3:3" x14ac:dyDescent="0.35">
      <c r="C37209" s="2"/>
    </row>
    <row r="37210" spans="3:3" x14ac:dyDescent="0.35">
      <c r="C37210" s="2"/>
    </row>
    <row r="37211" spans="3:3" x14ac:dyDescent="0.35">
      <c r="C37211" s="2"/>
    </row>
    <row r="37212" spans="3:3" x14ac:dyDescent="0.35">
      <c r="C37212" s="2"/>
    </row>
    <row r="37213" spans="3:3" x14ac:dyDescent="0.35">
      <c r="C37213" s="2"/>
    </row>
    <row r="37214" spans="3:3" x14ac:dyDescent="0.35">
      <c r="C37214" s="2"/>
    </row>
    <row r="37215" spans="3:3" x14ac:dyDescent="0.35">
      <c r="C37215" s="2"/>
    </row>
    <row r="37216" spans="3:3" x14ac:dyDescent="0.35">
      <c r="C37216" s="2"/>
    </row>
    <row r="37217" spans="3:3" x14ac:dyDescent="0.35">
      <c r="C37217" s="2"/>
    </row>
    <row r="37218" spans="3:3" x14ac:dyDescent="0.35">
      <c r="C37218" s="2"/>
    </row>
    <row r="37219" spans="3:3" x14ac:dyDescent="0.35">
      <c r="C37219" s="2"/>
    </row>
    <row r="37220" spans="3:3" x14ac:dyDescent="0.35">
      <c r="C37220" s="2"/>
    </row>
    <row r="37221" spans="3:3" x14ac:dyDescent="0.35">
      <c r="C37221" s="2"/>
    </row>
    <row r="37222" spans="3:3" x14ac:dyDescent="0.35">
      <c r="C37222" s="2"/>
    </row>
    <row r="37223" spans="3:3" x14ac:dyDescent="0.35">
      <c r="C37223" s="2"/>
    </row>
    <row r="37224" spans="3:3" x14ac:dyDescent="0.35">
      <c r="C37224" s="2"/>
    </row>
    <row r="37225" spans="3:3" x14ac:dyDescent="0.35">
      <c r="C37225" s="2"/>
    </row>
    <row r="37226" spans="3:3" x14ac:dyDescent="0.35">
      <c r="C37226" s="2"/>
    </row>
    <row r="37227" spans="3:3" x14ac:dyDescent="0.35">
      <c r="C37227" s="2"/>
    </row>
    <row r="37228" spans="3:3" x14ac:dyDescent="0.35">
      <c r="C37228" s="2"/>
    </row>
    <row r="37229" spans="3:3" x14ac:dyDescent="0.35">
      <c r="C37229" s="2"/>
    </row>
    <row r="37230" spans="3:3" x14ac:dyDescent="0.35">
      <c r="C37230" s="2"/>
    </row>
    <row r="37231" spans="3:3" x14ac:dyDescent="0.35">
      <c r="C37231" s="2"/>
    </row>
    <row r="37232" spans="3:3" x14ac:dyDescent="0.35">
      <c r="C37232" s="2"/>
    </row>
    <row r="37233" spans="3:3" x14ac:dyDescent="0.35">
      <c r="C37233" s="2"/>
    </row>
    <row r="37234" spans="3:3" x14ac:dyDescent="0.35">
      <c r="C37234" s="2"/>
    </row>
    <row r="37235" spans="3:3" x14ac:dyDescent="0.35">
      <c r="C37235" s="2"/>
    </row>
    <row r="37236" spans="3:3" x14ac:dyDescent="0.35">
      <c r="C37236" s="2"/>
    </row>
    <row r="37237" spans="3:3" x14ac:dyDescent="0.35">
      <c r="C37237" s="2"/>
    </row>
    <row r="37238" spans="3:3" x14ac:dyDescent="0.35">
      <c r="C37238" s="2"/>
    </row>
    <row r="37239" spans="3:3" x14ac:dyDescent="0.35">
      <c r="C37239" s="2"/>
    </row>
    <row r="37240" spans="3:3" x14ac:dyDescent="0.35">
      <c r="C37240" s="2"/>
    </row>
    <row r="37241" spans="3:3" x14ac:dyDescent="0.35">
      <c r="C37241" s="2"/>
    </row>
    <row r="37242" spans="3:3" x14ac:dyDescent="0.35">
      <c r="C37242" s="2"/>
    </row>
    <row r="37243" spans="3:3" x14ac:dyDescent="0.35">
      <c r="C37243" s="2"/>
    </row>
    <row r="37244" spans="3:3" x14ac:dyDescent="0.35">
      <c r="C37244" s="2"/>
    </row>
    <row r="37245" spans="3:3" x14ac:dyDescent="0.35">
      <c r="C37245" s="2"/>
    </row>
    <row r="37246" spans="3:3" x14ac:dyDescent="0.35">
      <c r="C37246" s="2"/>
    </row>
    <row r="37247" spans="3:3" x14ac:dyDescent="0.35">
      <c r="C37247" s="2"/>
    </row>
    <row r="37248" spans="3:3" x14ac:dyDescent="0.35">
      <c r="C37248" s="2"/>
    </row>
    <row r="37249" spans="3:3" x14ac:dyDescent="0.35">
      <c r="C37249" s="2"/>
    </row>
    <row r="37250" spans="3:3" x14ac:dyDescent="0.35">
      <c r="C37250" s="2"/>
    </row>
    <row r="37251" spans="3:3" x14ac:dyDescent="0.35">
      <c r="C37251" s="2"/>
    </row>
    <row r="37252" spans="3:3" x14ac:dyDescent="0.35">
      <c r="C37252" s="2"/>
    </row>
    <row r="37253" spans="3:3" x14ac:dyDescent="0.35">
      <c r="C37253" s="2"/>
    </row>
    <row r="37254" spans="3:3" x14ac:dyDescent="0.35">
      <c r="C37254" s="2"/>
    </row>
    <row r="37255" spans="3:3" x14ac:dyDescent="0.35">
      <c r="C37255" s="2"/>
    </row>
    <row r="37256" spans="3:3" x14ac:dyDescent="0.35">
      <c r="C37256" s="2"/>
    </row>
    <row r="37257" spans="3:3" x14ac:dyDescent="0.35">
      <c r="C37257" s="2"/>
    </row>
    <row r="37258" spans="3:3" x14ac:dyDescent="0.35">
      <c r="C37258" s="2"/>
    </row>
    <row r="37259" spans="3:3" x14ac:dyDescent="0.35">
      <c r="C37259" s="2"/>
    </row>
    <row r="37260" spans="3:3" x14ac:dyDescent="0.35">
      <c r="C37260" s="2"/>
    </row>
    <row r="37261" spans="3:3" x14ac:dyDescent="0.35">
      <c r="C37261" s="2"/>
    </row>
    <row r="37262" spans="3:3" x14ac:dyDescent="0.35">
      <c r="C37262" s="2"/>
    </row>
    <row r="37263" spans="3:3" x14ac:dyDescent="0.35">
      <c r="C37263" s="2"/>
    </row>
    <row r="37264" spans="3:3" x14ac:dyDescent="0.35">
      <c r="C37264" s="2"/>
    </row>
    <row r="37265" spans="3:3" x14ac:dyDescent="0.35">
      <c r="C37265" s="2"/>
    </row>
    <row r="37266" spans="3:3" x14ac:dyDescent="0.35">
      <c r="C37266" s="2"/>
    </row>
    <row r="37267" spans="3:3" x14ac:dyDescent="0.35">
      <c r="C37267" s="2"/>
    </row>
    <row r="37268" spans="3:3" x14ac:dyDescent="0.35">
      <c r="C37268" s="2"/>
    </row>
    <row r="37269" spans="3:3" x14ac:dyDescent="0.35">
      <c r="C37269" s="2"/>
    </row>
    <row r="37270" spans="3:3" x14ac:dyDescent="0.35">
      <c r="C37270" s="2"/>
    </row>
    <row r="37271" spans="3:3" x14ac:dyDescent="0.35">
      <c r="C37271" s="2"/>
    </row>
    <row r="37272" spans="3:3" x14ac:dyDescent="0.35">
      <c r="C37272" s="2"/>
    </row>
    <row r="37273" spans="3:3" x14ac:dyDescent="0.35">
      <c r="C37273" s="2"/>
    </row>
    <row r="37274" spans="3:3" x14ac:dyDescent="0.35">
      <c r="C37274" s="2"/>
    </row>
    <row r="37275" spans="3:3" x14ac:dyDescent="0.35">
      <c r="C37275" s="2"/>
    </row>
    <row r="37276" spans="3:3" x14ac:dyDescent="0.35">
      <c r="C37276" s="2"/>
    </row>
    <row r="37277" spans="3:3" x14ac:dyDescent="0.35">
      <c r="C37277" s="2"/>
    </row>
    <row r="37278" spans="3:3" x14ac:dyDescent="0.35">
      <c r="C37278" s="2"/>
    </row>
    <row r="37279" spans="3:3" x14ac:dyDescent="0.35">
      <c r="C37279" s="2"/>
    </row>
    <row r="37280" spans="3:3" x14ac:dyDescent="0.35">
      <c r="C37280" s="2"/>
    </row>
    <row r="37281" spans="3:3" x14ac:dyDescent="0.35">
      <c r="C37281" s="2"/>
    </row>
    <row r="37282" spans="3:3" x14ac:dyDescent="0.35">
      <c r="C37282" s="2"/>
    </row>
    <row r="37283" spans="3:3" x14ac:dyDescent="0.35">
      <c r="C37283" s="2"/>
    </row>
    <row r="37284" spans="3:3" x14ac:dyDescent="0.35">
      <c r="C37284" s="2"/>
    </row>
    <row r="37285" spans="3:3" x14ac:dyDescent="0.35">
      <c r="C37285" s="2"/>
    </row>
    <row r="37286" spans="3:3" x14ac:dyDescent="0.35">
      <c r="C37286" s="2"/>
    </row>
    <row r="37287" spans="3:3" x14ac:dyDescent="0.35">
      <c r="C37287" s="2"/>
    </row>
    <row r="37288" spans="3:3" x14ac:dyDescent="0.35">
      <c r="C37288" s="2"/>
    </row>
    <row r="37289" spans="3:3" x14ac:dyDescent="0.35">
      <c r="C37289" s="2"/>
    </row>
    <row r="37290" spans="3:3" x14ac:dyDescent="0.35">
      <c r="C37290" s="2"/>
    </row>
    <row r="37291" spans="3:3" x14ac:dyDescent="0.35">
      <c r="C37291" s="2"/>
    </row>
    <row r="37292" spans="3:3" x14ac:dyDescent="0.35">
      <c r="C37292" s="2"/>
    </row>
    <row r="37293" spans="3:3" x14ac:dyDescent="0.35">
      <c r="C37293" s="2"/>
    </row>
    <row r="37294" spans="3:3" x14ac:dyDescent="0.35">
      <c r="C37294" s="2"/>
    </row>
    <row r="37295" spans="3:3" x14ac:dyDescent="0.35">
      <c r="C37295" s="2"/>
    </row>
    <row r="37296" spans="3:3" x14ac:dyDescent="0.35">
      <c r="C37296" s="2"/>
    </row>
    <row r="37297" spans="3:3" x14ac:dyDescent="0.35">
      <c r="C37297" s="2"/>
    </row>
    <row r="37298" spans="3:3" x14ac:dyDescent="0.35">
      <c r="C37298" s="2"/>
    </row>
    <row r="37299" spans="3:3" x14ac:dyDescent="0.35">
      <c r="C37299" s="2"/>
    </row>
    <row r="37300" spans="3:3" x14ac:dyDescent="0.35">
      <c r="C37300" s="2"/>
    </row>
    <row r="37301" spans="3:3" x14ac:dyDescent="0.35">
      <c r="C37301" s="2"/>
    </row>
    <row r="37302" spans="3:3" x14ac:dyDescent="0.35">
      <c r="C37302" s="2"/>
    </row>
    <row r="37303" spans="3:3" x14ac:dyDescent="0.35">
      <c r="C37303" s="2"/>
    </row>
    <row r="37304" spans="3:3" x14ac:dyDescent="0.35">
      <c r="C37304" s="2"/>
    </row>
    <row r="37305" spans="3:3" x14ac:dyDescent="0.35">
      <c r="C37305" s="2"/>
    </row>
    <row r="37306" spans="3:3" x14ac:dyDescent="0.35">
      <c r="C37306" s="2"/>
    </row>
    <row r="37307" spans="3:3" x14ac:dyDescent="0.35">
      <c r="C37307" s="2"/>
    </row>
    <row r="37308" spans="3:3" x14ac:dyDescent="0.35">
      <c r="C37308" s="2"/>
    </row>
    <row r="37309" spans="3:3" x14ac:dyDescent="0.35">
      <c r="C37309" s="2"/>
    </row>
    <row r="37310" spans="3:3" x14ac:dyDescent="0.35">
      <c r="C37310" s="2"/>
    </row>
    <row r="37311" spans="3:3" x14ac:dyDescent="0.35">
      <c r="C37311" s="2"/>
    </row>
    <row r="37312" spans="3:3" x14ac:dyDescent="0.35">
      <c r="C37312" s="2"/>
    </row>
    <row r="37313" spans="3:3" x14ac:dyDescent="0.35">
      <c r="C37313" s="2"/>
    </row>
    <row r="37314" spans="3:3" x14ac:dyDescent="0.35">
      <c r="C37314" s="2"/>
    </row>
    <row r="37315" spans="3:3" x14ac:dyDescent="0.35">
      <c r="C37315" s="2"/>
    </row>
    <row r="37316" spans="3:3" x14ac:dyDescent="0.35">
      <c r="C37316" s="2"/>
    </row>
    <row r="37317" spans="3:3" x14ac:dyDescent="0.35">
      <c r="C37317" s="2"/>
    </row>
    <row r="37318" spans="3:3" x14ac:dyDescent="0.35">
      <c r="C37318" s="2"/>
    </row>
    <row r="37319" spans="3:3" x14ac:dyDescent="0.35">
      <c r="C37319" s="2"/>
    </row>
    <row r="37320" spans="3:3" x14ac:dyDescent="0.35">
      <c r="C37320" s="2"/>
    </row>
    <row r="37321" spans="3:3" x14ac:dyDescent="0.35">
      <c r="C37321" s="2"/>
    </row>
    <row r="37322" spans="3:3" x14ac:dyDescent="0.35">
      <c r="C37322" s="2"/>
    </row>
    <row r="37323" spans="3:3" x14ac:dyDescent="0.35">
      <c r="C37323" s="2"/>
    </row>
    <row r="37324" spans="3:3" x14ac:dyDescent="0.35">
      <c r="C37324" s="2"/>
    </row>
    <row r="37325" spans="3:3" x14ac:dyDescent="0.35">
      <c r="C37325" s="2"/>
    </row>
    <row r="37326" spans="3:3" x14ac:dyDescent="0.35">
      <c r="C37326" s="2"/>
    </row>
    <row r="37327" spans="3:3" x14ac:dyDescent="0.35">
      <c r="C37327" s="2"/>
    </row>
    <row r="37328" spans="3:3" x14ac:dyDescent="0.35">
      <c r="C37328" s="2"/>
    </row>
    <row r="37329" spans="3:3" x14ac:dyDescent="0.35">
      <c r="C37329" s="2"/>
    </row>
    <row r="37330" spans="3:3" x14ac:dyDescent="0.35">
      <c r="C37330" s="2"/>
    </row>
    <row r="37331" spans="3:3" x14ac:dyDescent="0.35">
      <c r="C37331" s="2"/>
    </row>
    <row r="37332" spans="3:3" x14ac:dyDescent="0.35">
      <c r="C37332" s="2"/>
    </row>
    <row r="37333" spans="3:3" x14ac:dyDescent="0.35">
      <c r="C37333" s="2"/>
    </row>
    <row r="37334" spans="3:3" x14ac:dyDescent="0.35">
      <c r="C37334" s="2"/>
    </row>
    <row r="37335" spans="3:3" x14ac:dyDescent="0.35">
      <c r="C37335" s="2"/>
    </row>
    <row r="37336" spans="3:3" x14ac:dyDescent="0.35">
      <c r="C37336" s="2"/>
    </row>
    <row r="37337" spans="3:3" x14ac:dyDescent="0.35">
      <c r="C37337" s="2"/>
    </row>
    <row r="37338" spans="3:3" x14ac:dyDescent="0.35">
      <c r="C37338" s="2"/>
    </row>
    <row r="37339" spans="3:3" x14ac:dyDescent="0.35">
      <c r="C37339" s="2"/>
    </row>
    <row r="37340" spans="3:3" x14ac:dyDescent="0.35">
      <c r="C37340" s="2"/>
    </row>
    <row r="37341" spans="3:3" x14ac:dyDescent="0.35">
      <c r="C37341" s="2"/>
    </row>
    <row r="37342" spans="3:3" x14ac:dyDescent="0.35">
      <c r="C37342" s="2"/>
    </row>
    <row r="37343" spans="3:3" x14ac:dyDescent="0.35">
      <c r="C37343" s="2"/>
    </row>
    <row r="37344" spans="3:3" x14ac:dyDescent="0.35">
      <c r="C37344" s="2"/>
    </row>
    <row r="37345" spans="3:3" x14ac:dyDescent="0.35">
      <c r="C37345" s="2"/>
    </row>
    <row r="37346" spans="3:3" x14ac:dyDescent="0.35">
      <c r="C37346" s="2"/>
    </row>
    <row r="37347" spans="3:3" x14ac:dyDescent="0.35">
      <c r="C37347" s="2"/>
    </row>
    <row r="37348" spans="3:3" x14ac:dyDescent="0.35">
      <c r="C37348" s="2"/>
    </row>
    <row r="37349" spans="3:3" x14ac:dyDescent="0.35">
      <c r="C37349" s="2"/>
    </row>
    <row r="37350" spans="3:3" x14ac:dyDescent="0.35">
      <c r="C37350" s="2"/>
    </row>
    <row r="37351" spans="3:3" x14ac:dyDescent="0.35">
      <c r="C37351" s="2"/>
    </row>
    <row r="37352" spans="3:3" x14ac:dyDescent="0.35">
      <c r="C37352" s="2"/>
    </row>
    <row r="37353" spans="3:3" x14ac:dyDescent="0.35">
      <c r="C37353" s="2"/>
    </row>
    <row r="37354" spans="3:3" x14ac:dyDescent="0.35">
      <c r="C37354" s="2"/>
    </row>
    <row r="37355" spans="3:3" x14ac:dyDescent="0.35">
      <c r="C37355" s="2"/>
    </row>
    <row r="37356" spans="3:3" x14ac:dyDescent="0.35">
      <c r="C37356" s="2"/>
    </row>
    <row r="37357" spans="3:3" x14ac:dyDescent="0.35">
      <c r="C37357" s="2"/>
    </row>
    <row r="37358" spans="3:3" x14ac:dyDescent="0.35">
      <c r="C37358" s="2"/>
    </row>
    <row r="37359" spans="3:3" x14ac:dyDescent="0.35">
      <c r="C37359" s="2"/>
    </row>
    <row r="37360" spans="3:3" x14ac:dyDescent="0.35">
      <c r="C37360" s="2"/>
    </row>
    <row r="37361" spans="3:3" x14ac:dyDescent="0.35">
      <c r="C37361" s="2"/>
    </row>
    <row r="37362" spans="3:3" x14ac:dyDescent="0.35">
      <c r="C37362" s="2"/>
    </row>
    <row r="37363" spans="3:3" x14ac:dyDescent="0.35">
      <c r="C37363" s="2"/>
    </row>
    <row r="37364" spans="3:3" x14ac:dyDescent="0.35">
      <c r="C37364" s="2"/>
    </row>
    <row r="37365" spans="3:3" x14ac:dyDescent="0.35">
      <c r="C37365" s="2"/>
    </row>
    <row r="37366" spans="3:3" x14ac:dyDescent="0.35">
      <c r="C37366" s="2"/>
    </row>
    <row r="37367" spans="3:3" x14ac:dyDescent="0.35">
      <c r="C37367" s="2"/>
    </row>
    <row r="37368" spans="3:3" x14ac:dyDescent="0.35">
      <c r="C37368" s="2"/>
    </row>
    <row r="37369" spans="3:3" x14ac:dyDescent="0.35">
      <c r="C37369" s="2"/>
    </row>
    <row r="37370" spans="3:3" x14ac:dyDescent="0.35">
      <c r="C37370" s="2"/>
    </row>
    <row r="37371" spans="3:3" x14ac:dyDescent="0.35">
      <c r="C37371" s="2"/>
    </row>
    <row r="37372" spans="3:3" x14ac:dyDescent="0.35">
      <c r="C37372" s="2"/>
    </row>
    <row r="37373" spans="3:3" x14ac:dyDescent="0.35">
      <c r="C37373" s="2"/>
    </row>
    <row r="37374" spans="3:3" x14ac:dyDescent="0.35">
      <c r="C37374" s="2"/>
    </row>
    <row r="37375" spans="3:3" x14ac:dyDescent="0.35">
      <c r="C37375" s="2"/>
    </row>
    <row r="37376" spans="3:3" x14ac:dyDescent="0.35">
      <c r="C37376" s="2"/>
    </row>
    <row r="37377" spans="3:3" x14ac:dyDescent="0.35">
      <c r="C37377" s="2"/>
    </row>
    <row r="37378" spans="3:3" x14ac:dyDescent="0.35">
      <c r="C37378" s="2"/>
    </row>
    <row r="37379" spans="3:3" x14ac:dyDescent="0.35">
      <c r="C37379" s="2"/>
    </row>
    <row r="37380" spans="3:3" x14ac:dyDescent="0.35">
      <c r="C37380" s="2"/>
    </row>
    <row r="37381" spans="3:3" x14ac:dyDescent="0.35">
      <c r="C37381" s="2"/>
    </row>
    <row r="37382" spans="3:3" x14ac:dyDescent="0.35">
      <c r="C37382" s="2"/>
    </row>
    <row r="37383" spans="3:3" x14ac:dyDescent="0.35">
      <c r="C37383" s="2"/>
    </row>
    <row r="37384" spans="3:3" x14ac:dyDescent="0.35">
      <c r="C37384" s="2"/>
    </row>
    <row r="37385" spans="3:3" x14ac:dyDescent="0.35">
      <c r="C37385" s="2"/>
    </row>
    <row r="37386" spans="3:3" x14ac:dyDescent="0.35">
      <c r="C37386" s="2"/>
    </row>
    <row r="37387" spans="3:3" x14ac:dyDescent="0.35">
      <c r="C37387" s="2"/>
    </row>
    <row r="37388" spans="3:3" x14ac:dyDescent="0.35">
      <c r="C37388" s="2"/>
    </row>
    <row r="37389" spans="3:3" x14ac:dyDescent="0.35">
      <c r="C37389" s="2"/>
    </row>
    <row r="37390" spans="3:3" x14ac:dyDescent="0.35">
      <c r="C37390" s="2"/>
    </row>
    <row r="37391" spans="3:3" x14ac:dyDescent="0.35">
      <c r="C37391" s="2"/>
    </row>
    <row r="37392" spans="3:3" x14ac:dyDescent="0.35">
      <c r="C37392" s="2"/>
    </row>
    <row r="37393" spans="3:3" x14ac:dyDescent="0.35">
      <c r="C37393" s="2"/>
    </row>
    <row r="37394" spans="3:3" x14ac:dyDescent="0.35">
      <c r="C37394" s="2"/>
    </row>
    <row r="37395" spans="3:3" x14ac:dyDescent="0.35">
      <c r="C37395" s="2"/>
    </row>
    <row r="37396" spans="3:3" x14ac:dyDescent="0.35">
      <c r="C37396" s="2"/>
    </row>
    <row r="37397" spans="3:3" x14ac:dyDescent="0.35">
      <c r="C37397" s="2"/>
    </row>
    <row r="37398" spans="3:3" x14ac:dyDescent="0.35">
      <c r="C37398" s="2"/>
    </row>
    <row r="37399" spans="3:3" x14ac:dyDescent="0.35">
      <c r="C37399" s="2"/>
    </row>
    <row r="37400" spans="3:3" x14ac:dyDescent="0.35">
      <c r="C37400" s="2"/>
    </row>
    <row r="37401" spans="3:3" x14ac:dyDescent="0.35">
      <c r="C37401" s="2"/>
    </row>
    <row r="37402" spans="3:3" x14ac:dyDescent="0.35">
      <c r="C37402" s="2"/>
    </row>
    <row r="37403" spans="3:3" x14ac:dyDescent="0.35">
      <c r="C37403" s="2"/>
    </row>
    <row r="37404" spans="3:3" x14ac:dyDescent="0.35">
      <c r="C37404" s="2"/>
    </row>
    <row r="37405" spans="3:3" x14ac:dyDescent="0.35">
      <c r="C37405" s="2"/>
    </row>
    <row r="37406" spans="3:3" x14ac:dyDescent="0.35">
      <c r="C37406" s="2"/>
    </row>
    <row r="37407" spans="3:3" x14ac:dyDescent="0.35">
      <c r="C37407" s="2"/>
    </row>
    <row r="37408" spans="3:3" x14ac:dyDescent="0.35">
      <c r="C37408" s="2"/>
    </row>
    <row r="37409" spans="3:3" x14ac:dyDescent="0.35">
      <c r="C37409" s="2"/>
    </row>
    <row r="37410" spans="3:3" x14ac:dyDescent="0.35">
      <c r="C37410" s="2"/>
    </row>
    <row r="37411" spans="3:3" x14ac:dyDescent="0.35">
      <c r="C37411" s="2"/>
    </row>
    <row r="37412" spans="3:3" x14ac:dyDescent="0.35">
      <c r="C37412" s="2"/>
    </row>
    <row r="37413" spans="3:3" x14ac:dyDescent="0.35">
      <c r="C37413" s="2"/>
    </row>
    <row r="37414" spans="3:3" x14ac:dyDescent="0.35">
      <c r="C37414" s="2"/>
    </row>
    <row r="37415" spans="3:3" x14ac:dyDescent="0.35">
      <c r="C37415" s="2"/>
    </row>
    <row r="37416" spans="3:3" x14ac:dyDescent="0.35">
      <c r="C37416" s="2"/>
    </row>
    <row r="37417" spans="3:3" x14ac:dyDescent="0.35">
      <c r="C37417" s="2"/>
    </row>
    <row r="37418" spans="3:3" x14ac:dyDescent="0.35">
      <c r="C37418" s="2"/>
    </row>
    <row r="37419" spans="3:3" x14ac:dyDescent="0.35">
      <c r="C37419" s="2"/>
    </row>
    <row r="37420" spans="3:3" x14ac:dyDescent="0.35">
      <c r="C37420" s="2"/>
    </row>
    <row r="37421" spans="3:3" x14ac:dyDescent="0.35">
      <c r="C37421" s="2"/>
    </row>
    <row r="37422" spans="3:3" x14ac:dyDescent="0.35">
      <c r="C37422" s="2"/>
    </row>
    <row r="37423" spans="3:3" x14ac:dyDescent="0.35">
      <c r="C37423" s="2"/>
    </row>
    <row r="37424" spans="3:3" x14ac:dyDescent="0.35">
      <c r="C37424" s="2"/>
    </row>
    <row r="37425" spans="3:3" x14ac:dyDescent="0.35">
      <c r="C37425" s="2"/>
    </row>
    <row r="37426" spans="3:3" x14ac:dyDescent="0.35">
      <c r="C37426" s="2"/>
    </row>
    <row r="37427" spans="3:3" x14ac:dyDescent="0.35">
      <c r="C37427" s="2"/>
    </row>
    <row r="37428" spans="3:3" x14ac:dyDescent="0.35">
      <c r="C37428" s="2"/>
    </row>
    <row r="37429" spans="3:3" x14ac:dyDescent="0.35">
      <c r="C37429" s="2"/>
    </row>
    <row r="37430" spans="3:3" x14ac:dyDescent="0.35">
      <c r="C37430" s="2"/>
    </row>
    <row r="37431" spans="3:3" x14ac:dyDescent="0.35">
      <c r="C37431" s="2"/>
    </row>
    <row r="37432" spans="3:3" x14ac:dyDescent="0.35">
      <c r="C37432" s="2"/>
    </row>
    <row r="37433" spans="3:3" x14ac:dyDescent="0.35">
      <c r="C37433" s="2"/>
    </row>
    <row r="37434" spans="3:3" x14ac:dyDescent="0.35">
      <c r="C37434" s="2"/>
    </row>
    <row r="37435" spans="3:3" x14ac:dyDescent="0.35">
      <c r="C37435" s="2"/>
    </row>
    <row r="37436" spans="3:3" x14ac:dyDescent="0.35">
      <c r="C37436" s="2"/>
    </row>
    <row r="37437" spans="3:3" x14ac:dyDescent="0.35">
      <c r="C37437" s="2"/>
    </row>
    <row r="37438" spans="3:3" x14ac:dyDescent="0.35">
      <c r="C37438" s="2"/>
    </row>
    <row r="37439" spans="3:3" x14ac:dyDescent="0.35">
      <c r="C37439" s="2"/>
    </row>
    <row r="37440" spans="3:3" x14ac:dyDescent="0.35">
      <c r="C37440" s="2"/>
    </row>
    <row r="37441" spans="3:3" x14ac:dyDescent="0.35">
      <c r="C37441" s="2"/>
    </row>
    <row r="37442" spans="3:3" x14ac:dyDescent="0.35">
      <c r="C37442" s="2"/>
    </row>
    <row r="37443" spans="3:3" x14ac:dyDescent="0.35">
      <c r="C37443" s="2"/>
    </row>
    <row r="37444" spans="3:3" x14ac:dyDescent="0.35">
      <c r="C37444" s="2"/>
    </row>
    <row r="37445" spans="3:3" x14ac:dyDescent="0.35">
      <c r="C37445" s="2"/>
    </row>
    <row r="37446" spans="3:3" x14ac:dyDescent="0.35">
      <c r="C37446" s="2"/>
    </row>
    <row r="37447" spans="3:3" x14ac:dyDescent="0.35">
      <c r="C37447" s="2"/>
    </row>
    <row r="37448" spans="3:3" x14ac:dyDescent="0.35">
      <c r="C37448" s="2"/>
    </row>
    <row r="37449" spans="3:3" x14ac:dyDescent="0.35">
      <c r="C37449" s="2"/>
    </row>
    <row r="37450" spans="3:3" x14ac:dyDescent="0.35">
      <c r="C37450" s="2"/>
    </row>
    <row r="37451" spans="3:3" x14ac:dyDescent="0.35">
      <c r="C37451" s="2"/>
    </row>
    <row r="37452" spans="3:3" x14ac:dyDescent="0.35">
      <c r="C37452" s="2"/>
    </row>
    <row r="37453" spans="3:3" x14ac:dyDescent="0.35">
      <c r="C37453" s="2"/>
    </row>
    <row r="37454" spans="3:3" x14ac:dyDescent="0.35">
      <c r="C37454" s="2"/>
    </row>
    <row r="37455" spans="3:3" x14ac:dyDescent="0.35">
      <c r="C37455" s="2"/>
    </row>
    <row r="37456" spans="3:3" x14ac:dyDescent="0.35">
      <c r="C37456" s="2"/>
    </row>
    <row r="37457" spans="3:3" x14ac:dyDescent="0.35">
      <c r="C37457" s="2"/>
    </row>
    <row r="37458" spans="3:3" x14ac:dyDescent="0.35">
      <c r="C37458" s="2"/>
    </row>
    <row r="37459" spans="3:3" x14ac:dyDescent="0.35">
      <c r="C37459" s="2"/>
    </row>
    <row r="37460" spans="3:3" x14ac:dyDescent="0.35">
      <c r="C37460" s="2"/>
    </row>
    <row r="37461" spans="3:3" x14ac:dyDescent="0.35">
      <c r="C37461" s="2"/>
    </row>
    <row r="37462" spans="3:3" x14ac:dyDescent="0.35">
      <c r="C37462" s="2"/>
    </row>
    <row r="37463" spans="3:3" x14ac:dyDescent="0.35">
      <c r="C37463" s="2"/>
    </row>
    <row r="37464" spans="3:3" x14ac:dyDescent="0.35">
      <c r="C37464" s="2"/>
    </row>
    <row r="37465" spans="3:3" x14ac:dyDescent="0.35">
      <c r="C37465" s="2"/>
    </row>
    <row r="37466" spans="3:3" x14ac:dyDescent="0.35">
      <c r="C37466" s="2"/>
    </row>
    <row r="37467" spans="3:3" x14ac:dyDescent="0.35">
      <c r="C37467" s="2"/>
    </row>
    <row r="37468" spans="3:3" x14ac:dyDescent="0.35">
      <c r="C37468" s="2"/>
    </row>
    <row r="37469" spans="3:3" x14ac:dyDescent="0.35">
      <c r="C37469" s="2"/>
    </row>
    <row r="37470" spans="3:3" x14ac:dyDescent="0.35">
      <c r="C37470" s="2"/>
    </row>
    <row r="37471" spans="3:3" x14ac:dyDescent="0.35">
      <c r="C37471" s="2"/>
    </row>
    <row r="37472" spans="3:3" x14ac:dyDescent="0.35">
      <c r="C37472" s="2"/>
    </row>
    <row r="37473" spans="3:3" x14ac:dyDescent="0.35">
      <c r="C37473" s="2"/>
    </row>
    <row r="37474" spans="3:3" x14ac:dyDescent="0.35">
      <c r="C37474" s="2"/>
    </row>
    <row r="37475" spans="3:3" x14ac:dyDescent="0.35">
      <c r="C37475" s="2"/>
    </row>
    <row r="37476" spans="3:3" x14ac:dyDescent="0.35">
      <c r="C37476" s="2"/>
    </row>
    <row r="37477" spans="3:3" x14ac:dyDescent="0.35">
      <c r="C37477" s="2"/>
    </row>
    <row r="37478" spans="3:3" x14ac:dyDescent="0.35">
      <c r="C37478" s="2"/>
    </row>
    <row r="37479" spans="3:3" x14ac:dyDescent="0.35">
      <c r="C37479" s="2"/>
    </row>
    <row r="37480" spans="3:3" x14ac:dyDescent="0.35">
      <c r="C37480" s="2"/>
    </row>
    <row r="37481" spans="3:3" x14ac:dyDescent="0.35">
      <c r="C37481" s="2"/>
    </row>
    <row r="37482" spans="3:3" x14ac:dyDescent="0.35">
      <c r="C37482" s="2"/>
    </row>
    <row r="37483" spans="3:3" x14ac:dyDescent="0.35">
      <c r="C37483" s="2"/>
    </row>
    <row r="37484" spans="3:3" x14ac:dyDescent="0.35">
      <c r="C37484" s="2"/>
    </row>
    <row r="37485" spans="3:3" x14ac:dyDescent="0.35">
      <c r="C37485" s="2"/>
    </row>
    <row r="37486" spans="3:3" x14ac:dyDescent="0.35">
      <c r="C37486" s="2"/>
    </row>
    <row r="37487" spans="3:3" x14ac:dyDescent="0.35">
      <c r="C37487" s="2"/>
    </row>
    <row r="37488" spans="3:3" x14ac:dyDescent="0.35">
      <c r="C37488" s="2"/>
    </row>
    <row r="37489" spans="3:3" x14ac:dyDescent="0.35">
      <c r="C37489" s="2"/>
    </row>
    <row r="37490" spans="3:3" x14ac:dyDescent="0.35">
      <c r="C37490" s="2"/>
    </row>
    <row r="37491" spans="3:3" x14ac:dyDescent="0.35">
      <c r="C37491" s="2"/>
    </row>
    <row r="37492" spans="3:3" x14ac:dyDescent="0.35">
      <c r="C37492" s="2"/>
    </row>
    <row r="37493" spans="3:3" x14ac:dyDescent="0.35">
      <c r="C37493" s="2"/>
    </row>
    <row r="37494" spans="3:3" x14ac:dyDescent="0.35">
      <c r="C37494" s="2"/>
    </row>
    <row r="37495" spans="3:3" x14ac:dyDescent="0.35">
      <c r="C37495" s="2"/>
    </row>
    <row r="37496" spans="3:3" x14ac:dyDescent="0.35">
      <c r="C37496" s="2"/>
    </row>
    <row r="37497" spans="3:3" x14ac:dyDescent="0.35">
      <c r="C37497" s="2"/>
    </row>
    <row r="37498" spans="3:3" x14ac:dyDescent="0.35">
      <c r="C37498" s="2"/>
    </row>
    <row r="37499" spans="3:3" x14ac:dyDescent="0.35">
      <c r="C37499" s="2"/>
    </row>
    <row r="37500" spans="3:3" x14ac:dyDescent="0.35">
      <c r="C37500" s="2"/>
    </row>
    <row r="37501" spans="3:3" x14ac:dyDescent="0.35">
      <c r="C37501" s="2"/>
    </row>
    <row r="37502" spans="3:3" x14ac:dyDescent="0.35">
      <c r="C37502" s="2"/>
    </row>
    <row r="37503" spans="3:3" x14ac:dyDescent="0.35">
      <c r="C37503" s="2"/>
    </row>
    <row r="37504" spans="3:3" x14ac:dyDescent="0.35">
      <c r="C37504" s="2"/>
    </row>
    <row r="37505" spans="3:3" x14ac:dyDescent="0.35">
      <c r="C37505" s="2"/>
    </row>
    <row r="37506" spans="3:3" x14ac:dyDescent="0.35">
      <c r="C37506" s="2"/>
    </row>
    <row r="37507" spans="3:3" x14ac:dyDescent="0.35">
      <c r="C37507" s="2"/>
    </row>
    <row r="37508" spans="3:3" x14ac:dyDescent="0.35">
      <c r="C37508" s="2"/>
    </row>
    <row r="37509" spans="3:3" x14ac:dyDescent="0.35">
      <c r="C37509" s="2"/>
    </row>
    <row r="37510" spans="3:3" x14ac:dyDescent="0.35">
      <c r="C37510" s="2"/>
    </row>
    <row r="37511" spans="3:3" x14ac:dyDescent="0.35">
      <c r="C37511" s="2"/>
    </row>
    <row r="37512" spans="3:3" x14ac:dyDescent="0.35">
      <c r="C37512" s="2"/>
    </row>
    <row r="37513" spans="3:3" x14ac:dyDescent="0.35">
      <c r="C37513" s="2"/>
    </row>
    <row r="37514" spans="3:3" x14ac:dyDescent="0.35">
      <c r="C37514" s="2"/>
    </row>
    <row r="37515" spans="3:3" x14ac:dyDescent="0.35">
      <c r="C37515" s="2"/>
    </row>
    <row r="37516" spans="3:3" x14ac:dyDescent="0.35">
      <c r="C37516" s="2"/>
    </row>
    <row r="37517" spans="3:3" x14ac:dyDescent="0.35">
      <c r="C37517" s="2"/>
    </row>
    <row r="37518" spans="3:3" x14ac:dyDescent="0.35">
      <c r="C37518" s="2"/>
    </row>
    <row r="37519" spans="3:3" x14ac:dyDescent="0.35">
      <c r="C37519" s="2"/>
    </row>
    <row r="37520" spans="3:3" x14ac:dyDescent="0.35">
      <c r="C37520" s="2"/>
    </row>
    <row r="37521" spans="3:3" x14ac:dyDescent="0.35">
      <c r="C37521" s="2"/>
    </row>
    <row r="37522" spans="3:3" x14ac:dyDescent="0.35">
      <c r="C37522" s="2"/>
    </row>
    <row r="37523" spans="3:3" x14ac:dyDescent="0.35">
      <c r="C37523" s="2"/>
    </row>
    <row r="37524" spans="3:3" x14ac:dyDescent="0.35">
      <c r="C37524" s="2"/>
    </row>
    <row r="37525" spans="3:3" x14ac:dyDescent="0.35">
      <c r="C37525" s="2"/>
    </row>
    <row r="37526" spans="3:3" x14ac:dyDescent="0.35">
      <c r="C37526" s="2"/>
    </row>
    <row r="37527" spans="3:3" x14ac:dyDescent="0.35">
      <c r="C37527" s="2"/>
    </row>
    <row r="37528" spans="3:3" x14ac:dyDescent="0.35">
      <c r="C37528" s="2"/>
    </row>
    <row r="37529" spans="3:3" x14ac:dyDescent="0.35">
      <c r="C37529" s="2"/>
    </row>
    <row r="37530" spans="3:3" x14ac:dyDescent="0.35">
      <c r="C37530" s="2"/>
    </row>
    <row r="37531" spans="3:3" x14ac:dyDescent="0.35">
      <c r="C37531" s="2"/>
    </row>
    <row r="37532" spans="3:3" x14ac:dyDescent="0.35">
      <c r="C37532" s="2"/>
    </row>
    <row r="37533" spans="3:3" x14ac:dyDescent="0.35">
      <c r="C37533" s="2"/>
    </row>
    <row r="37534" spans="3:3" x14ac:dyDescent="0.35">
      <c r="C37534" s="2"/>
    </row>
    <row r="37535" spans="3:3" x14ac:dyDescent="0.35">
      <c r="C37535" s="2"/>
    </row>
    <row r="37536" spans="3:3" x14ac:dyDescent="0.35">
      <c r="C37536" s="2"/>
    </row>
    <row r="37537" spans="3:3" x14ac:dyDescent="0.35">
      <c r="C37537" s="2"/>
    </row>
    <row r="37538" spans="3:3" x14ac:dyDescent="0.35">
      <c r="C37538" s="2"/>
    </row>
    <row r="37539" spans="3:3" x14ac:dyDescent="0.35">
      <c r="C37539" s="2"/>
    </row>
    <row r="37540" spans="3:3" x14ac:dyDescent="0.35">
      <c r="C37540" s="2"/>
    </row>
    <row r="37541" spans="3:3" x14ac:dyDescent="0.35">
      <c r="C37541" s="2"/>
    </row>
    <row r="37542" spans="3:3" x14ac:dyDescent="0.35">
      <c r="C37542" s="2"/>
    </row>
    <row r="37543" spans="3:3" x14ac:dyDescent="0.35">
      <c r="C37543" s="2"/>
    </row>
    <row r="37544" spans="3:3" x14ac:dyDescent="0.35">
      <c r="C37544" s="2"/>
    </row>
    <row r="37545" spans="3:3" x14ac:dyDescent="0.35">
      <c r="C37545" s="2"/>
    </row>
    <row r="37546" spans="3:3" x14ac:dyDescent="0.35">
      <c r="C37546" s="2"/>
    </row>
    <row r="37547" spans="3:3" x14ac:dyDescent="0.35">
      <c r="C37547" s="2"/>
    </row>
    <row r="37548" spans="3:3" x14ac:dyDescent="0.35">
      <c r="C37548" s="2"/>
    </row>
    <row r="37549" spans="3:3" x14ac:dyDescent="0.35">
      <c r="C37549" s="2"/>
    </row>
    <row r="37550" spans="3:3" x14ac:dyDescent="0.35">
      <c r="C37550" s="2"/>
    </row>
    <row r="37551" spans="3:3" x14ac:dyDescent="0.35">
      <c r="C37551" s="2"/>
    </row>
    <row r="37552" spans="3:3" x14ac:dyDescent="0.35">
      <c r="C37552" s="2"/>
    </row>
    <row r="37553" spans="3:3" x14ac:dyDescent="0.35">
      <c r="C37553" s="2"/>
    </row>
    <row r="37554" spans="3:3" x14ac:dyDescent="0.35">
      <c r="C37554" s="2"/>
    </row>
    <row r="37555" spans="3:3" x14ac:dyDescent="0.35">
      <c r="C37555" s="2"/>
    </row>
    <row r="37556" spans="3:3" x14ac:dyDescent="0.35">
      <c r="C37556" s="2"/>
    </row>
    <row r="37557" spans="3:3" x14ac:dyDescent="0.35">
      <c r="C37557" s="2"/>
    </row>
    <row r="37558" spans="3:3" x14ac:dyDescent="0.35">
      <c r="C37558" s="2"/>
    </row>
    <row r="37559" spans="3:3" x14ac:dyDescent="0.35">
      <c r="C37559" s="2"/>
    </row>
    <row r="37560" spans="3:3" x14ac:dyDescent="0.35">
      <c r="C37560" s="2"/>
    </row>
    <row r="37561" spans="3:3" x14ac:dyDescent="0.35">
      <c r="C37561" s="2"/>
    </row>
    <row r="37562" spans="3:3" x14ac:dyDescent="0.35">
      <c r="C37562" s="2"/>
    </row>
    <row r="37563" spans="3:3" x14ac:dyDescent="0.35">
      <c r="C37563" s="2"/>
    </row>
    <row r="37564" spans="3:3" x14ac:dyDescent="0.35">
      <c r="C37564" s="2"/>
    </row>
    <row r="37565" spans="3:3" x14ac:dyDescent="0.35">
      <c r="C37565" s="2"/>
    </row>
    <row r="37566" spans="3:3" x14ac:dyDescent="0.35">
      <c r="C37566" s="2"/>
    </row>
    <row r="37567" spans="3:3" x14ac:dyDescent="0.35">
      <c r="C37567" s="2"/>
    </row>
    <row r="37568" spans="3:3" x14ac:dyDescent="0.35">
      <c r="C37568" s="2"/>
    </row>
    <row r="37569" spans="3:3" x14ac:dyDescent="0.35">
      <c r="C37569" s="2"/>
    </row>
    <row r="37570" spans="3:3" x14ac:dyDescent="0.35">
      <c r="C37570" s="2"/>
    </row>
    <row r="37571" spans="3:3" x14ac:dyDescent="0.35">
      <c r="C37571" s="2"/>
    </row>
    <row r="37572" spans="3:3" x14ac:dyDescent="0.35">
      <c r="C37572" s="2"/>
    </row>
    <row r="37573" spans="3:3" x14ac:dyDescent="0.35">
      <c r="C37573" s="2"/>
    </row>
    <row r="37574" spans="3:3" x14ac:dyDescent="0.35">
      <c r="C37574" s="2"/>
    </row>
    <row r="37575" spans="3:3" x14ac:dyDescent="0.35">
      <c r="C37575" s="2"/>
    </row>
    <row r="37576" spans="3:3" x14ac:dyDescent="0.35">
      <c r="C37576" s="2"/>
    </row>
    <row r="37577" spans="3:3" x14ac:dyDescent="0.35">
      <c r="C37577" s="2"/>
    </row>
    <row r="37578" spans="3:3" x14ac:dyDescent="0.35">
      <c r="C37578" s="2"/>
    </row>
    <row r="37579" spans="3:3" x14ac:dyDescent="0.35">
      <c r="C37579" s="2"/>
    </row>
    <row r="37580" spans="3:3" x14ac:dyDescent="0.35">
      <c r="C37580" s="2"/>
    </row>
    <row r="37581" spans="3:3" x14ac:dyDescent="0.35">
      <c r="C37581" s="2"/>
    </row>
    <row r="37582" spans="3:3" x14ac:dyDescent="0.35">
      <c r="C37582" s="2"/>
    </row>
    <row r="37583" spans="3:3" x14ac:dyDescent="0.35">
      <c r="C37583" s="2"/>
    </row>
    <row r="37584" spans="3:3" x14ac:dyDescent="0.35">
      <c r="C37584" s="2"/>
    </row>
    <row r="37585" spans="3:3" x14ac:dyDescent="0.35">
      <c r="C37585" s="2"/>
    </row>
    <row r="37586" spans="3:3" x14ac:dyDescent="0.35">
      <c r="C37586" s="2"/>
    </row>
    <row r="37587" spans="3:3" x14ac:dyDescent="0.35">
      <c r="C37587" s="2"/>
    </row>
    <row r="37588" spans="3:3" x14ac:dyDescent="0.35">
      <c r="C37588" s="2"/>
    </row>
    <row r="37589" spans="3:3" x14ac:dyDescent="0.35">
      <c r="C37589" s="2"/>
    </row>
    <row r="37590" spans="3:3" x14ac:dyDescent="0.35">
      <c r="C37590" s="2"/>
    </row>
    <row r="37591" spans="3:3" x14ac:dyDescent="0.35">
      <c r="C37591" s="2"/>
    </row>
    <row r="37592" spans="3:3" x14ac:dyDescent="0.35">
      <c r="C37592" s="2"/>
    </row>
    <row r="37593" spans="3:3" x14ac:dyDescent="0.35">
      <c r="C37593" s="2"/>
    </row>
    <row r="37594" spans="3:3" x14ac:dyDescent="0.35">
      <c r="C37594" s="2"/>
    </row>
    <row r="37595" spans="3:3" x14ac:dyDescent="0.35">
      <c r="C37595" s="2"/>
    </row>
    <row r="37596" spans="3:3" x14ac:dyDescent="0.35">
      <c r="C37596" s="2"/>
    </row>
    <row r="37597" spans="3:3" x14ac:dyDescent="0.35">
      <c r="C37597" s="2"/>
    </row>
    <row r="37598" spans="3:3" x14ac:dyDescent="0.35">
      <c r="C37598" s="2"/>
    </row>
    <row r="37599" spans="3:3" x14ac:dyDescent="0.35">
      <c r="C37599" s="2"/>
    </row>
    <row r="37600" spans="3:3" x14ac:dyDescent="0.35">
      <c r="C37600" s="2"/>
    </row>
    <row r="37601" spans="3:3" x14ac:dyDescent="0.35">
      <c r="C37601" s="2"/>
    </row>
    <row r="37602" spans="3:3" x14ac:dyDescent="0.35">
      <c r="C37602" s="2"/>
    </row>
    <row r="37603" spans="3:3" x14ac:dyDescent="0.35">
      <c r="C37603" s="2"/>
    </row>
    <row r="37604" spans="3:3" x14ac:dyDescent="0.35">
      <c r="C37604" s="2"/>
    </row>
    <row r="37605" spans="3:3" x14ac:dyDescent="0.35">
      <c r="C37605" s="2"/>
    </row>
    <row r="37606" spans="3:3" x14ac:dyDescent="0.35">
      <c r="C37606" s="2"/>
    </row>
    <row r="37607" spans="3:3" x14ac:dyDescent="0.35">
      <c r="C37607" s="2"/>
    </row>
    <row r="37608" spans="3:3" x14ac:dyDescent="0.35">
      <c r="C37608" s="2"/>
    </row>
    <row r="37609" spans="3:3" x14ac:dyDescent="0.35">
      <c r="C37609" s="2"/>
    </row>
    <row r="37610" spans="3:3" x14ac:dyDescent="0.35">
      <c r="C37610" s="2"/>
    </row>
    <row r="37611" spans="3:3" x14ac:dyDescent="0.35">
      <c r="C37611" s="2"/>
    </row>
    <row r="37612" spans="3:3" x14ac:dyDescent="0.35">
      <c r="C37612" s="2"/>
    </row>
    <row r="37613" spans="3:3" x14ac:dyDescent="0.35">
      <c r="C37613" s="2"/>
    </row>
    <row r="37614" spans="3:3" x14ac:dyDescent="0.35">
      <c r="C37614" s="2"/>
    </row>
    <row r="37615" spans="3:3" x14ac:dyDescent="0.35">
      <c r="C37615" s="2"/>
    </row>
    <row r="37616" spans="3:3" x14ac:dyDescent="0.35">
      <c r="C37616" s="2"/>
    </row>
    <row r="37617" spans="3:3" x14ac:dyDescent="0.35">
      <c r="C37617" s="2"/>
    </row>
    <row r="37618" spans="3:3" x14ac:dyDescent="0.35">
      <c r="C37618" s="2"/>
    </row>
    <row r="37619" spans="3:3" x14ac:dyDescent="0.35">
      <c r="C37619" s="2"/>
    </row>
    <row r="37620" spans="3:3" x14ac:dyDescent="0.35">
      <c r="C37620" s="2"/>
    </row>
    <row r="37621" spans="3:3" x14ac:dyDescent="0.35">
      <c r="C37621" s="2"/>
    </row>
    <row r="37622" spans="3:3" x14ac:dyDescent="0.35">
      <c r="C37622" s="2"/>
    </row>
    <row r="37623" spans="3:3" x14ac:dyDescent="0.35">
      <c r="C37623" s="2"/>
    </row>
    <row r="37624" spans="3:3" x14ac:dyDescent="0.35">
      <c r="C37624" s="2"/>
    </row>
    <row r="37625" spans="3:3" x14ac:dyDescent="0.35">
      <c r="C37625" s="2"/>
    </row>
    <row r="37626" spans="3:3" x14ac:dyDescent="0.35">
      <c r="C37626" s="2"/>
    </row>
    <row r="37627" spans="3:3" x14ac:dyDescent="0.35">
      <c r="C37627" s="2"/>
    </row>
    <row r="37628" spans="3:3" x14ac:dyDescent="0.35">
      <c r="C37628" s="2"/>
    </row>
    <row r="37629" spans="3:3" x14ac:dyDescent="0.35">
      <c r="C37629" s="2"/>
    </row>
    <row r="37630" spans="3:3" x14ac:dyDescent="0.35">
      <c r="C37630" s="2"/>
    </row>
    <row r="37631" spans="3:3" x14ac:dyDescent="0.35">
      <c r="C37631" s="2"/>
    </row>
    <row r="37632" spans="3:3" x14ac:dyDescent="0.35">
      <c r="C37632" s="2"/>
    </row>
    <row r="37633" spans="3:3" x14ac:dyDescent="0.35">
      <c r="C37633" s="2"/>
    </row>
    <row r="37634" spans="3:3" x14ac:dyDescent="0.35">
      <c r="C37634" s="2"/>
    </row>
    <row r="37635" spans="3:3" x14ac:dyDescent="0.35">
      <c r="C37635" s="2"/>
    </row>
    <row r="37636" spans="3:3" x14ac:dyDescent="0.35">
      <c r="C37636" s="2"/>
    </row>
    <row r="37637" spans="3:3" x14ac:dyDescent="0.35">
      <c r="C37637" s="2"/>
    </row>
    <row r="37638" spans="3:3" x14ac:dyDescent="0.35">
      <c r="C37638" s="2"/>
    </row>
    <row r="37639" spans="3:3" x14ac:dyDescent="0.35">
      <c r="C37639" s="2"/>
    </row>
    <row r="37640" spans="3:3" x14ac:dyDescent="0.35">
      <c r="C37640" s="2"/>
    </row>
    <row r="37641" spans="3:3" x14ac:dyDescent="0.35">
      <c r="C37641" s="2"/>
    </row>
    <row r="37642" spans="3:3" x14ac:dyDescent="0.35">
      <c r="C37642" s="2"/>
    </row>
    <row r="37643" spans="3:3" x14ac:dyDescent="0.35">
      <c r="C37643" s="2"/>
    </row>
    <row r="37644" spans="3:3" x14ac:dyDescent="0.35">
      <c r="C37644" s="2"/>
    </row>
    <row r="37645" spans="3:3" x14ac:dyDescent="0.35">
      <c r="C37645" s="2"/>
    </row>
    <row r="37646" spans="3:3" x14ac:dyDescent="0.35">
      <c r="C37646" s="2"/>
    </row>
    <row r="37647" spans="3:3" x14ac:dyDescent="0.35">
      <c r="C37647" s="2"/>
    </row>
    <row r="37648" spans="3:3" x14ac:dyDescent="0.35">
      <c r="C37648" s="2"/>
    </row>
    <row r="37649" spans="3:3" x14ac:dyDescent="0.35">
      <c r="C37649" s="2"/>
    </row>
    <row r="37650" spans="3:3" x14ac:dyDescent="0.35">
      <c r="C37650" s="2"/>
    </row>
    <row r="37651" spans="3:3" x14ac:dyDescent="0.35">
      <c r="C37651" s="2"/>
    </row>
    <row r="37652" spans="3:3" x14ac:dyDescent="0.35">
      <c r="C37652" s="2"/>
    </row>
    <row r="37653" spans="3:3" x14ac:dyDescent="0.35">
      <c r="C37653" s="2"/>
    </row>
    <row r="37654" spans="3:3" x14ac:dyDescent="0.35">
      <c r="C37654" s="2"/>
    </row>
    <row r="37655" spans="3:3" x14ac:dyDescent="0.35">
      <c r="C37655" s="2"/>
    </row>
    <row r="37656" spans="3:3" x14ac:dyDescent="0.35">
      <c r="C37656" s="2"/>
    </row>
    <row r="37657" spans="3:3" x14ac:dyDescent="0.35">
      <c r="C37657" s="2"/>
    </row>
    <row r="37658" spans="3:3" x14ac:dyDescent="0.35">
      <c r="C37658" s="2"/>
    </row>
    <row r="37659" spans="3:3" x14ac:dyDescent="0.35">
      <c r="C37659" s="2"/>
    </row>
    <row r="37660" spans="3:3" x14ac:dyDescent="0.35">
      <c r="C37660" s="2"/>
    </row>
    <row r="37661" spans="3:3" x14ac:dyDescent="0.35">
      <c r="C37661" s="2"/>
    </row>
    <row r="37662" spans="3:3" x14ac:dyDescent="0.35">
      <c r="C37662" s="2"/>
    </row>
    <row r="37663" spans="3:3" x14ac:dyDescent="0.35">
      <c r="C37663" s="2"/>
    </row>
    <row r="37664" spans="3:3" x14ac:dyDescent="0.35">
      <c r="C37664" s="2"/>
    </row>
    <row r="37665" spans="3:3" x14ac:dyDescent="0.35">
      <c r="C37665" s="2"/>
    </row>
    <row r="37666" spans="3:3" x14ac:dyDescent="0.35">
      <c r="C37666" s="2"/>
    </row>
    <row r="37667" spans="3:3" x14ac:dyDescent="0.35">
      <c r="C37667" s="2"/>
    </row>
    <row r="37668" spans="3:3" x14ac:dyDescent="0.35">
      <c r="C37668" s="2"/>
    </row>
    <row r="37669" spans="3:3" x14ac:dyDescent="0.35">
      <c r="C37669" s="2"/>
    </row>
    <row r="37670" spans="3:3" x14ac:dyDescent="0.35">
      <c r="C37670" s="2"/>
    </row>
    <row r="37671" spans="3:3" x14ac:dyDescent="0.35">
      <c r="C37671" s="2"/>
    </row>
    <row r="37672" spans="3:3" x14ac:dyDescent="0.35">
      <c r="C37672" s="2"/>
    </row>
    <row r="37673" spans="3:3" x14ac:dyDescent="0.35">
      <c r="C37673" s="2"/>
    </row>
    <row r="37674" spans="3:3" x14ac:dyDescent="0.35">
      <c r="C37674" s="2"/>
    </row>
    <row r="37675" spans="3:3" x14ac:dyDescent="0.35">
      <c r="C37675" s="2"/>
    </row>
    <row r="37676" spans="3:3" x14ac:dyDescent="0.35">
      <c r="C37676" s="2"/>
    </row>
    <row r="37677" spans="3:3" x14ac:dyDescent="0.35">
      <c r="C37677" s="2"/>
    </row>
    <row r="37678" spans="3:3" x14ac:dyDescent="0.35">
      <c r="C37678" s="2"/>
    </row>
    <row r="37679" spans="3:3" x14ac:dyDescent="0.35">
      <c r="C37679" s="2"/>
    </row>
    <row r="37680" spans="3:3" x14ac:dyDescent="0.35">
      <c r="C37680" s="2"/>
    </row>
    <row r="37681" spans="3:3" x14ac:dyDescent="0.35">
      <c r="C37681" s="2"/>
    </row>
    <row r="37682" spans="3:3" x14ac:dyDescent="0.35">
      <c r="C37682" s="2"/>
    </row>
    <row r="37683" spans="3:3" x14ac:dyDescent="0.35">
      <c r="C37683" s="2"/>
    </row>
    <row r="37684" spans="3:3" x14ac:dyDescent="0.35">
      <c r="C37684" s="2"/>
    </row>
    <row r="37685" spans="3:3" x14ac:dyDescent="0.35">
      <c r="C37685" s="2"/>
    </row>
    <row r="37686" spans="3:3" x14ac:dyDescent="0.35">
      <c r="C37686" s="2"/>
    </row>
    <row r="37687" spans="3:3" x14ac:dyDescent="0.35">
      <c r="C37687" s="2"/>
    </row>
    <row r="37688" spans="3:3" x14ac:dyDescent="0.35">
      <c r="C37688" s="2"/>
    </row>
    <row r="37689" spans="3:3" x14ac:dyDescent="0.35">
      <c r="C37689" s="2"/>
    </row>
    <row r="37690" spans="3:3" x14ac:dyDescent="0.35">
      <c r="C37690" s="2"/>
    </row>
    <row r="37691" spans="3:3" x14ac:dyDescent="0.35">
      <c r="C37691" s="2"/>
    </row>
    <row r="37692" spans="3:3" x14ac:dyDescent="0.35">
      <c r="C37692" s="2"/>
    </row>
    <row r="37693" spans="3:3" x14ac:dyDescent="0.35">
      <c r="C37693" s="2"/>
    </row>
    <row r="37694" spans="3:3" x14ac:dyDescent="0.35">
      <c r="C37694" s="2"/>
    </row>
    <row r="37695" spans="3:3" x14ac:dyDescent="0.35">
      <c r="C37695" s="2"/>
    </row>
    <row r="37696" spans="3:3" x14ac:dyDescent="0.35">
      <c r="C37696" s="2"/>
    </row>
    <row r="37697" spans="3:3" x14ac:dyDescent="0.35">
      <c r="C37697" s="2"/>
    </row>
    <row r="37698" spans="3:3" x14ac:dyDescent="0.35">
      <c r="C37698" s="2"/>
    </row>
    <row r="37699" spans="3:3" x14ac:dyDescent="0.35">
      <c r="C37699" s="2"/>
    </row>
    <row r="37700" spans="3:3" x14ac:dyDescent="0.35">
      <c r="C37700" s="2"/>
    </row>
    <row r="37701" spans="3:3" x14ac:dyDescent="0.35">
      <c r="C37701" s="2"/>
    </row>
    <row r="37702" spans="3:3" x14ac:dyDescent="0.35">
      <c r="C37702" s="2"/>
    </row>
    <row r="37703" spans="3:3" x14ac:dyDescent="0.35">
      <c r="C37703" s="2"/>
    </row>
    <row r="37704" spans="3:3" x14ac:dyDescent="0.35">
      <c r="C37704" s="2"/>
    </row>
    <row r="37705" spans="3:3" x14ac:dyDescent="0.35">
      <c r="C37705" s="2"/>
    </row>
    <row r="37706" spans="3:3" x14ac:dyDescent="0.35">
      <c r="C37706" s="2"/>
    </row>
    <row r="37707" spans="3:3" x14ac:dyDescent="0.35">
      <c r="C37707" s="2"/>
    </row>
    <row r="37708" spans="3:3" x14ac:dyDescent="0.35">
      <c r="C37708" s="2"/>
    </row>
    <row r="37709" spans="3:3" x14ac:dyDescent="0.35">
      <c r="C37709" s="2"/>
    </row>
    <row r="37710" spans="3:3" x14ac:dyDescent="0.35">
      <c r="C37710" s="2"/>
    </row>
    <row r="37711" spans="3:3" x14ac:dyDescent="0.35">
      <c r="C37711" s="2"/>
    </row>
    <row r="37712" spans="3:3" x14ac:dyDescent="0.35">
      <c r="C37712" s="2"/>
    </row>
    <row r="37713" spans="3:3" x14ac:dyDescent="0.35">
      <c r="C37713" s="2"/>
    </row>
    <row r="37714" spans="3:3" x14ac:dyDescent="0.35">
      <c r="C37714" s="2"/>
    </row>
    <row r="37715" spans="3:3" x14ac:dyDescent="0.35">
      <c r="C37715" s="2"/>
    </row>
    <row r="37716" spans="3:3" x14ac:dyDescent="0.35">
      <c r="C37716" s="2"/>
    </row>
    <row r="37717" spans="3:3" x14ac:dyDescent="0.35">
      <c r="C37717" s="2"/>
    </row>
    <row r="37718" spans="3:3" x14ac:dyDescent="0.35">
      <c r="C37718" s="2"/>
    </row>
    <row r="37719" spans="3:3" x14ac:dyDescent="0.35">
      <c r="C37719" s="2"/>
    </row>
    <row r="37720" spans="3:3" x14ac:dyDescent="0.35">
      <c r="C37720" s="2"/>
    </row>
    <row r="37721" spans="3:3" x14ac:dyDescent="0.35">
      <c r="C37721" s="2"/>
    </row>
    <row r="37722" spans="3:3" x14ac:dyDescent="0.35">
      <c r="C37722" s="2"/>
    </row>
    <row r="37723" spans="3:3" x14ac:dyDescent="0.35">
      <c r="C37723" s="2"/>
    </row>
    <row r="37724" spans="3:3" x14ac:dyDescent="0.35">
      <c r="C37724" s="2"/>
    </row>
    <row r="37725" spans="3:3" x14ac:dyDescent="0.35">
      <c r="C37725" s="2"/>
    </row>
    <row r="37726" spans="3:3" x14ac:dyDescent="0.35">
      <c r="C37726" s="2"/>
    </row>
    <row r="37727" spans="3:3" x14ac:dyDescent="0.35">
      <c r="C37727" s="2"/>
    </row>
    <row r="37728" spans="3:3" x14ac:dyDescent="0.35">
      <c r="C37728" s="2"/>
    </row>
    <row r="37729" spans="3:3" x14ac:dyDescent="0.35">
      <c r="C37729" s="2"/>
    </row>
    <row r="37730" spans="3:3" x14ac:dyDescent="0.35">
      <c r="C37730" s="2"/>
    </row>
    <row r="37731" spans="3:3" x14ac:dyDescent="0.35">
      <c r="C37731" s="2"/>
    </row>
    <row r="37732" spans="3:3" x14ac:dyDescent="0.35">
      <c r="C37732" s="2"/>
    </row>
    <row r="37733" spans="3:3" x14ac:dyDescent="0.35">
      <c r="C37733" s="2"/>
    </row>
    <row r="37734" spans="3:3" x14ac:dyDescent="0.35">
      <c r="C37734" s="2"/>
    </row>
    <row r="37735" spans="3:3" x14ac:dyDescent="0.35">
      <c r="C37735" s="2"/>
    </row>
    <row r="37736" spans="3:3" x14ac:dyDescent="0.35">
      <c r="C37736" s="2"/>
    </row>
    <row r="37737" spans="3:3" x14ac:dyDescent="0.35">
      <c r="C37737" s="2"/>
    </row>
    <row r="37738" spans="3:3" x14ac:dyDescent="0.35">
      <c r="C37738" s="2"/>
    </row>
    <row r="37739" spans="3:3" x14ac:dyDescent="0.35">
      <c r="C37739" s="2"/>
    </row>
    <row r="37740" spans="3:3" x14ac:dyDescent="0.35">
      <c r="C37740" s="2"/>
    </row>
    <row r="37741" spans="3:3" x14ac:dyDescent="0.35">
      <c r="C37741" s="2"/>
    </row>
    <row r="37742" spans="3:3" x14ac:dyDescent="0.35">
      <c r="C37742" s="2"/>
    </row>
    <row r="37743" spans="3:3" x14ac:dyDescent="0.35">
      <c r="C37743" s="2"/>
    </row>
    <row r="37744" spans="3:3" x14ac:dyDescent="0.35">
      <c r="C37744" s="2"/>
    </row>
    <row r="37745" spans="3:3" x14ac:dyDescent="0.35">
      <c r="C37745" s="2"/>
    </row>
    <row r="37746" spans="3:3" x14ac:dyDescent="0.35">
      <c r="C37746" s="2"/>
    </row>
    <row r="37747" spans="3:3" x14ac:dyDescent="0.35">
      <c r="C37747" s="2"/>
    </row>
    <row r="37748" spans="3:3" x14ac:dyDescent="0.35">
      <c r="C37748" s="2"/>
    </row>
    <row r="37749" spans="3:3" x14ac:dyDescent="0.35">
      <c r="C37749" s="2"/>
    </row>
    <row r="37750" spans="3:3" x14ac:dyDescent="0.35">
      <c r="C37750" s="2"/>
    </row>
    <row r="37751" spans="3:3" x14ac:dyDescent="0.35">
      <c r="C37751" s="2"/>
    </row>
    <row r="37752" spans="3:3" x14ac:dyDescent="0.35">
      <c r="C37752" s="2"/>
    </row>
    <row r="37753" spans="3:3" x14ac:dyDescent="0.35">
      <c r="C37753" s="2"/>
    </row>
    <row r="37754" spans="3:3" x14ac:dyDescent="0.35">
      <c r="C37754" s="2"/>
    </row>
    <row r="37755" spans="3:3" x14ac:dyDescent="0.35">
      <c r="C37755" s="2"/>
    </row>
    <row r="37756" spans="3:3" x14ac:dyDescent="0.35">
      <c r="C37756" s="2"/>
    </row>
    <row r="37757" spans="3:3" x14ac:dyDescent="0.35">
      <c r="C37757" s="2"/>
    </row>
    <row r="37758" spans="3:3" x14ac:dyDescent="0.35">
      <c r="C37758" s="2"/>
    </row>
    <row r="37759" spans="3:3" x14ac:dyDescent="0.35">
      <c r="C37759" s="2"/>
    </row>
    <row r="37760" spans="3:3" x14ac:dyDescent="0.35">
      <c r="C37760" s="2"/>
    </row>
    <row r="37761" spans="3:3" x14ac:dyDescent="0.35">
      <c r="C37761" s="2"/>
    </row>
    <row r="37762" spans="3:3" x14ac:dyDescent="0.35">
      <c r="C37762" s="2"/>
    </row>
    <row r="37763" spans="3:3" x14ac:dyDescent="0.35">
      <c r="C37763" s="2"/>
    </row>
    <row r="37764" spans="3:3" x14ac:dyDescent="0.35">
      <c r="C37764" s="2"/>
    </row>
    <row r="37765" spans="3:3" x14ac:dyDescent="0.35">
      <c r="C37765" s="2"/>
    </row>
    <row r="37766" spans="3:3" x14ac:dyDescent="0.35">
      <c r="C37766" s="2"/>
    </row>
    <row r="37767" spans="3:3" x14ac:dyDescent="0.35">
      <c r="C37767" s="2"/>
    </row>
    <row r="37768" spans="3:3" x14ac:dyDescent="0.35">
      <c r="C37768" s="2"/>
    </row>
    <row r="37769" spans="3:3" x14ac:dyDescent="0.35">
      <c r="C37769" s="2"/>
    </row>
    <row r="37770" spans="3:3" x14ac:dyDescent="0.35">
      <c r="C37770" s="2"/>
    </row>
    <row r="37771" spans="3:3" x14ac:dyDescent="0.35">
      <c r="C37771" s="2"/>
    </row>
    <row r="37772" spans="3:3" x14ac:dyDescent="0.35">
      <c r="C37772" s="2"/>
    </row>
    <row r="37773" spans="3:3" x14ac:dyDescent="0.35">
      <c r="C37773" s="2"/>
    </row>
    <row r="37774" spans="3:3" x14ac:dyDescent="0.35">
      <c r="C37774" s="2"/>
    </row>
    <row r="37775" spans="3:3" x14ac:dyDescent="0.35">
      <c r="C37775" s="2"/>
    </row>
    <row r="37776" spans="3:3" x14ac:dyDescent="0.35">
      <c r="C37776" s="2"/>
    </row>
    <row r="37777" spans="3:3" x14ac:dyDescent="0.35">
      <c r="C37777" s="2"/>
    </row>
    <row r="37778" spans="3:3" x14ac:dyDescent="0.35">
      <c r="C37778" s="2"/>
    </row>
    <row r="37779" spans="3:3" x14ac:dyDescent="0.35">
      <c r="C37779" s="2"/>
    </row>
    <row r="37780" spans="3:3" x14ac:dyDescent="0.35">
      <c r="C37780" s="2"/>
    </row>
    <row r="37781" spans="3:3" x14ac:dyDescent="0.35">
      <c r="C37781" s="2"/>
    </row>
    <row r="37782" spans="3:3" x14ac:dyDescent="0.35">
      <c r="C37782" s="2"/>
    </row>
    <row r="37783" spans="3:3" x14ac:dyDescent="0.35">
      <c r="C37783" s="2"/>
    </row>
    <row r="37784" spans="3:3" x14ac:dyDescent="0.35">
      <c r="C37784" s="2"/>
    </row>
    <row r="37785" spans="3:3" x14ac:dyDescent="0.35">
      <c r="C37785" s="2"/>
    </row>
    <row r="37786" spans="3:3" x14ac:dyDescent="0.35">
      <c r="C37786" s="2"/>
    </row>
    <row r="37787" spans="3:3" x14ac:dyDescent="0.35">
      <c r="C37787" s="2"/>
    </row>
    <row r="37788" spans="3:3" x14ac:dyDescent="0.35">
      <c r="C37788" s="2"/>
    </row>
    <row r="37789" spans="3:3" x14ac:dyDescent="0.35">
      <c r="C37789" s="2"/>
    </row>
    <row r="37790" spans="3:3" x14ac:dyDescent="0.35">
      <c r="C37790" s="2"/>
    </row>
    <row r="37791" spans="3:3" x14ac:dyDescent="0.35">
      <c r="C37791" s="2"/>
    </row>
    <row r="37792" spans="3:3" x14ac:dyDescent="0.35">
      <c r="C37792" s="2"/>
    </row>
    <row r="37793" spans="3:3" x14ac:dyDescent="0.35">
      <c r="C37793" s="2"/>
    </row>
    <row r="37794" spans="3:3" x14ac:dyDescent="0.35">
      <c r="C37794" s="2"/>
    </row>
    <row r="37795" spans="3:3" x14ac:dyDescent="0.35">
      <c r="C37795" s="2"/>
    </row>
    <row r="37796" spans="3:3" x14ac:dyDescent="0.35">
      <c r="C37796" s="2"/>
    </row>
    <row r="37797" spans="3:3" x14ac:dyDescent="0.35">
      <c r="C37797" s="2"/>
    </row>
    <row r="37798" spans="3:3" x14ac:dyDescent="0.35">
      <c r="C37798" s="2"/>
    </row>
    <row r="37799" spans="3:3" x14ac:dyDescent="0.35">
      <c r="C37799" s="2"/>
    </row>
    <row r="37800" spans="3:3" x14ac:dyDescent="0.35">
      <c r="C37800" s="2"/>
    </row>
    <row r="37801" spans="3:3" x14ac:dyDescent="0.35">
      <c r="C37801" s="2"/>
    </row>
    <row r="37802" spans="3:3" x14ac:dyDescent="0.35">
      <c r="C37802" s="2"/>
    </row>
    <row r="37803" spans="3:3" x14ac:dyDescent="0.35">
      <c r="C37803" s="2"/>
    </row>
    <row r="37804" spans="3:3" x14ac:dyDescent="0.35">
      <c r="C37804" s="2"/>
    </row>
    <row r="37805" spans="3:3" x14ac:dyDescent="0.35">
      <c r="C37805" s="2"/>
    </row>
    <row r="37806" spans="3:3" x14ac:dyDescent="0.35">
      <c r="C37806" s="2"/>
    </row>
    <row r="37807" spans="3:3" x14ac:dyDescent="0.35">
      <c r="C37807" s="2"/>
    </row>
    <row r="37808" spans="3:3" x14ac:dyDescent="0.35">
      <c r="C37808" s="2"/>
    </row>
    <row r="37809" spans="3:3" x14ac:dyDescent="0.35">
      <c r="C37809" s="2"/>
    </row>
    <row r="37810" spans="3:3" x14ac:dyDescent="0.35">
      <c r="C37810" s="2"/>
    </row>
    <row r="37811" spans="3:3" x14ac:dyDescent="0.35">
      <c r="C37811" s="2"/>
    </row>
    <row r="37812" spans="3:3" x14ac:dyDescent="0.35">
      <c r="C37812" s="2"/>
    </row>
    <row r="37813" spans="3:3" x14ac:dyDescent="0.35">
      <c r="C37813" s="2"/>
    </row>
    <row r="37814" spans="3:3" x14ac:dyDescent="0.35">
      <c r="C37814" s="2"/>
    </row>
    <row r="37815" spans="3:3" x14ac:dyDescent="0.35">
      <c r="C37815" s="2"/>
    </row>
    <row r="37816" spans="3:3" x14ac:dyDescent="0.35">
      <c r="C37816" s="2"/>
    </row>
    <row r="37817" spans="3:3" x14ac:dyDescent="0.35">
      <c r="C37817" s="2"/>
    </row>
    <row r="37818" spans="3:3" x14ac:dyDescent="0.35">
      <c r="C37818" s="2"/>
    </row>
    <row r="37819" spans="3:3" x14ac:dyDescent="0.35">
      <c r="C37819" s="2"/>
    </row>
    <row r="37820" spans="3:3" x14ac:dyDescent="0.35">
      <c r="C37820" s="2"/>
    </row>
    <row r="37821" spans="3:3" x14ac:dyDescent="0.35">
      <c r="C37821" s="2"/>
    </row>
    <row r="37822" spans="3:3" x14ac:dyDescent="0.35">
      <c r="C37822" s="2"/>
    </row>
    <row r="37823" spans="3:3" x14ac:dyDescent="0.35">
      <c r="C37823" s="2"/>
    </row>
    <row r="37824" spans="3:3" x14ac:dyDescent="0.35">
      <c r="C37824" s="2"/>
    </row>
    <row r="37825" spans="3:3" x14ac:dyDescent="0.35">
      <c r="C37825" s="2"/>
    </row>
    <row r="37826" spans="3:3" x14ac:dyDescent="0.35">
      <c r="C37826" s="2"/>
    </row>
    <row r="37827" spans="3:3" x14ac:dyDescent="0.35">
      <c r="C37827" s="2"/>
    </row>
    <row r="37828" spans="3:3" x14ac:dyDescent="0.35">
      <c r="C37828" s="2"/>
    </row>
    <row r="37829" spans="3:3" x14ac:dyDescent="0.35">
      <c r="C37829" s="2"/>
    </row>
    <row r="37830" spans="3:3" x14ac:dyDescent="0.35">
      <c r="C37830" s="2"/>
    </row>
    <row r="37831" spans="3:3" x14ac:dyDescent="0.35">
      <c r="C37831" s="2"/>
    </row>
    <row r="37832" spans="3:3" x14ac:dyDescent="0.35">
      <c r="C37832" s="2"/>
    </row>
    <row r="37833" spans="3:3" x14ac:dyDescent="0.35">
      <c r="C37833" s="2"/>
    </row>
    <row r="37834" spans="3:3" x14ac:dyDescent="0.35">
      <c r="C37834" s="2"/>
    </row>
    <row r="37835" spans="3:3" x14ac:dyDescent="0.35">
      <c r="C37835" s="2"/>
    </row>
    <row r="37836" spans="3:3" x14ac:dyDescent="0.35">
      <c r="C37836" s="2"/>
    </row>
    <row r="37837" spans="3:3" x14ac:dyDescent="0.35">
      <c r="C37837" s="2"/>
    </row>
    <row r="37838" spans="3:3" x14ac:dyDescent="0.35">
      <c r="C37838" s="2"/>
    </row>
    <row r="37839" spans="3:3" x14ac:dyDescent="0.35">
      <c r="C37839" s="2"/>
    </row>
    <row r="37840" spans="3:3" x14ac:dyDescent="0.35">
      <c r="C37840" s="2"/>
    </row>
    <row r="37841" spans="3:3" x14ac:dyDescent="0.35">
      <c r="C37841" s="2"/>
    </row>
    <row r="37842" spans="3:3" x14ac:dyDescent="0.35">
      <c r="C37842" s="2"/>
    </row>
    <row r="37843" spans="3:3" x14ac:dyDescent="0.35">
      <c r="C37843" s="2"/>
    </row>
    <row r="37844" spans="3:3" x14ac:dyDescent="0.35">
      <c r="C37844" s="2"/>
    </row>
    <row r="37845" spans="3:3" x14ac:dyDescent="0.35">
      <c r="C37845" s="2"/>
    </row>
    <row r="37846" spans="3:3" x14ac:dyDescent="0.35">
      <c r="C37846" s="2"/>
    </row>
    <row r="37847" spans="3:3" x14ac:dyDescent="0.35">
      <c r="C37847" s="2"/>
    </row>
    <row r="37848" spans="3:3" x14ac:dyDescent="0.35">
      <c r="C37848" s="2"/>
    </row>
    <row r="37849" spans="3:3" x14ac:dyDescent="0.35">
      <c r="C37849" s="2"/>
    </row>
    <row r="37850" spans="3:3" x14ac:dyDescent="0.35">
      <c r="C37850" s="2"/>
    </row>
    <row r="37851" spans="3:3" x14ac:dyDescent="0.35">
      <c r="C37851" s="2"/>
    </row>
    <row r="37852" spans="3:3" x14ac:dyDescent="0.35">
      <c r="C37852" s="2"/>
    </row>
    <row r="37853" spans="3:3" x14ac:dyDescent="0.35">
      <c r="C37853" s="2"/>
    </row>
    <row r="37854" spans="3:3" x14ac:dyDescent="0.35">
      <c r="C37854" s="2"/>
    </row>
    <row r="37855" spans="3:3" x14ac:dyDescent="0.35">
      <c r="C37855" s="2"/>
    </row>
    <row r="37856" spans="3:3" x14ac:dyDescent="0.35">
      <c r="C37856" s="2"/>
    </row>
    <row r="37857" spans="3:3" x14ac:dyDescent="0.35">
      <c r="C37857" s="2"/>
    </row>
    <row r="37858" spans="3:3" x14ac:dyDescent="0.35">
      <c r="C37858" s="2"/>
    </row>
    <row r="37859" spans="3:3" x14ac:dyDescent="0.35">
      <c r="C37859" s="2"/>
    </row>
    <row r="37860" spans="3:3" x14ac:dyDescent="0.35">
      <c r="C37860" s="2"/>
    </row>
    <row r="37861" spans="3:3" x14ac:dyDescent="0.35">
      <c r="C37861" s="2"/>
    </row>
    <row r="37862" spans="3:3" x14ac:dyDescent="0.35">
      <c r="C37862" s="2"/>
    </row>
    <row r="37863" spans="3:3" x14ac:dyDescent="0.35">
      <c r="C37863" s="2"/>
    </row>
    <row r="37864" spans="3:3" x14ac:dyDescent="0.35">
      <c r="C37864" s="2"/>
    </row>
    <row r="37865" spans="3:3" x14ac:dyDescent="0.35">
      <c r="C37865" s="2"/>
    </row>
    <row r="37866" spans="3:3" x14ac:dyDescent="0.35">
      <c r="C37866" s="2"/>
    </row>
    <row r="37867" spans="3:3" x14ac:dyDescent="0.35">
      <c r="C37867" s="2"/>
    </row>
    <row r="37868" spans="3:3" x14ac:dyDescent="0.35">
      <c r="C37868" s="2"/>
    </row>
    <row r="37869" spans="3:3" x14ac:dyDescent="0.35">
      <c r="C37869" s="2"/>
    </row>
    <row r="37870" spans="3:3" x14ac:dyDescent="0.35">
      <c r="C37870" s="2"/>
    </row>
    <row r="37871" spans="3:3" x14ac:dyDescent="0.35">
      <c r="C37871" s="2"/>
    </row>
    <row r="37872" spans="3:3" x14ac:dyDescent="0.35">
      <c r="C37872" s="2"/>
    </row>
    <row r="37873" spans="3:3" x14ac:dyDescent="0.35">
      <c r="C37873" s="2"/>
    </row>
    <row r="37874" spans="3:3" x14ac:dyDescent="0.35">
      <c r="C37874" s="2"/>
    </row>
    <row r="37875" spans="3:3" x14ac:dyDescent="0.35">
      <c r="C37875" s="2"/>
    </row>
    <row r="37876" spans="3:3" x14ac:dyDescent="0.35">
      <c r="C37876" s="2"/>
    </row>
    <row r="37877" spans="3:3" x14ac:dyDescent="0.35">
      <c r="C37877" s="2"/>
    </row>
    <row r="37878" spans="3:3" x14ac:dyDescent="0.35">
      <c r="C37878" s="2"/>
    </row>
    <row r="37879" spans="3:3" x14ac:dyDescent="0.35">
      <c r="C37879" s="2"/>
    </row>
    <row r="37880" spans="3:3" x14ac:dyDescent="0.35">
      <c r="C37880" s="2"/>
    </row>
    <row r="37881" spans="3:3" x14ac:dyDescent="0.35">
      <c r="C37881" s="2"/>
    </row>
    <row r="37882" spans="3:3" x14ac:dyDescent="0.35">
      <c r="C37882" s="2"/>
    </row>
    <row r="37883" spans="3:3" x14ac:dyDescent="0.35">
      <c r="C37883" s="2"/>
    </row>
    <row r="37884" spans="3:3" x14ac:dyDescent="0.35">
      <c r="C37884" s="2"/>
    </row>
    <row r="37885" spans="3:3" x14ac:dyDescent="0.35">
      <c r="C37885" s="2"/>
    </row>
    <row r="37886" spans="3:3" x14ac:dyDescent="0.35">
      <c r="C37886" s="2"/>
    </row>
    <row r="37887" spans="3:3" x14ac:dyDescent="0.35">
      <c r="C37887" s="2"/>
    </row>
    <row r="37888" spans="3:3" x14ac:dyDescent="0.35">
      <c r="C37888" s="2"/>
    </row>
    <row r="37889" spans="3:3" x14ac:dyDescent="0.35">
      <c r="C37889" s="2"/>
    </row>
    <row r="37890" spans="3:3" x14ac:dyDescent="0.35">
      <c r="C37890" s="2"/>
    </row>
    <row r="37891" spans="3:3" x14ac:dyDescent="0.35">
      <c r="C37891" s="2"/>
    </row>
    <row r="37892" spans="3:3" x14ac:dyDescent="0.35">
      <c r="C37892" s="2"/>
    </row>
    <row r="37893" spans="3:3" x14ac:dyDescent="0.35">
      <c r="C37893" s="2"/>
    </row>
    <row r="37894" spans="3:3" x14ac:dyDescent="0.35">
      <c r="C37894" s="2"/>
    </row>
    <row r="37895" spans="3:3" x14ac:dyDescent="0.35">
      <c r="C37895" s="2"/>
    </row>
    <row r="37896" spans="3:3" x14ac:dyDescent="0.35">
      <c r="C37896" s="2"/>
    </row>
    <row r="37897" spans="3:3" x14ac:dyDescent="0.35">
      <c r="C37897" s="2"/>
    </row>
    <row r="37898" spans="3:3" x14ac:dyDescent="0.35">
      <c r="C37898" s="2"/>
    </row>
    <row r="37899" spans="3:3" x14ac:dyDescent="0.35">
      <c r="C37899" s="2"/>
    </row>
    <row r="37900" spans="3:3" x14ac:dyDescent="0.35">
      <c r="C37900" s="2"/>
    </row>
    <row r="37901" spans="3:3" x14ac:dyDescent="0.35">
      <c r="C37901" s="2"/>
    </row>
    <row r="37902" spans="3:3" x14ac:dyDescent="0.35">
      <c r="C37902" s="2"/>
    </row>
    <row r="37903" spans="3:3" x14ac:dyDescent="0.35">
      <c r="C37903" s="2"/>
    </row>
    <row r="37904" spans="3:3" x14ac:dyDescent="0.35">
      <c r="C37904" s="2"/>
    </row>
    <row r="37905" spans="3:3" x14ac:dyDescent="0.35">
      <c r="C37905" s="2"/>
    </row>
    <row r="37906" spans="3:3" x14ac:dyDescent="0.35">
      <c r="C37906" s="2"/>
    </row>
    <row r="37907" spans="3:3" x14ac:dyDescent="0.35">
      <c r="C37907" s="2"/>
    </row>
    <row r="37908" spans="3:3" x14ac:dyDescent="0.35">
      <c r="C37908" s="2"/>
    </row>
    <row r="37909" spans="3:3" x14ac:dyDescent="0.35">
      <c r="C37909" s="2"/>
    </row>
    <row r="37910" spans="3:3" x14ac:dyDescent="0.35">
      <c r="C37910" s="2"/>
    </row>
    <row r="37911" spans="3:3" x14ac:dyDescent="0.35">
      <c r="C37911" s="2"/>
    </row>
    <row r="37912" spans="3:3" x14ac:dyDescent="0.35">
      <c r="C37912" s="2"/>
    </row>
    <row r="37913" spans="3:3" x14ac:dyDescent="0.35">
      <c r="C37913" s="2"/>
    </row>
    <row r="37914" spans="3:3" x14ac:dyDescent="0.35">
      <c r="C37914" s="2"/>
    </row>
    <row r="37915" spans="3:3" x14ac:dyDescent="0.35">
      <c r="C37915" s="2"/>
    </row>
    <row r="37916" spans="3:3" x14ac:dyDescent="0.35">
      <c r="C37916" s="2"/>
    </row>
    <row r="37917" spans="3:3" x14ac:dyDescent="0.35">
      <c r="C37917" s="2"/>
    </row>
    <row r="37918" spans="3:3" x14ac:dyDescent="0.35">
      <c r="C37918" s="2"/>
    </row>
    <row r="37919" spans="3:3" x14ac:dyDescent="0.35">
      <c r="C37919" s="2"/>
    </row>
    <row r="37920" spans="3:3" x14ac:dyDescent="0.35">
      <c r="C37920" s="2"/>
    </row>
    <row r="37921" spans="3:3" x14ac:dyDescent="0.35">
      <c r="C37921" s="2"/>
    </row>
    <row r="37922" spans="3:3" x14ac:dyDescent="0.35">
      <c r="C37922" s="2"/>
    </row>
    <row r="37923" spans="3:3" x14ac:dyDescent="0.35">
      <c r="C37923" s="2"/>
    </row>
    <row r="37924" spans="3:3" x14ac:dyDescent="0.35">
      <c r="C37924" s="2"/>
    </row>
    <row r="37925" spans="3:3" x14ac:dyDescent="0.35">
      <c r="C37925" s="2"/>
    </row>
    <row r="37926" spans="3:3" x14ac:dyDescent="0.35">
      <c r="C37926" s="2"/>
    </row>
    <row r="37927" spans="3:3" x14ac:dyDescent="0.35">
      <c r="C37927" s="2"/>
    </row>
    <row r="37928" spans="3:3" x14ac:dyDescent="0.35">
      <c r="C37928" s="2"/>
    </row>
    <row r="37929" spans="3:3" x14ac:dyDescent="0.35">
      <c r="C37929" s="2"/>
    </row>
    <row r="37930" spans="3:3" x14ac:dyDescent="0.35">
      <c r="C37930" s="2"/>
    </row>
    <row r="37931" spans="3:3" x14ac:dyDescent="0.35">
      <c r="C37931" s="2"/>
    </row>
    <row r="37932" spans="3:3" x14ac:dyDescent="0.35">
      <c r="C37932" s="2"/>
    </row>
    <row r="37933" spans="3:3" x14ac:dyDescent="0.35">
      <c r="C37933" s="2"/>
    </row>
    <row r="37934" spans="3:3" x14ac:dyDescent="0.35">
      <c r="C37934" s="2"/>
    </row>
    <row r="37935" spans="3:3" x14ac:dyDescent="0.35">
      <c r="C37935" s="2"/>
    </row>
    <row r="37936" spans="3:3" x14ac:dyDescent="0.35">
      <c r="C37936" s="2"/>
    </row>
    <row r="37937" spans="3:3" x14ac:dyDescent="0.35">
      <c r="C37937" s="2"/>
    </row>
    <row r="37938" spans="3:3" x14ac:dyDescent="0.35">
      <c r="C37938" s="2"/>
    </row>
    <row r="37939" spans="3:3" x14ac:dyDescent="0.35">
      <c r="C37939" s="2"/>
    </row>
    <row r="37940" spans="3:3" x14ac:dyDescent="0.35">
      <c r="C37940" s="2"/>
    </row>
    <row r="37941" spans="3:3" x14ac:dyDescent="0.35">
      <c r="C37941" s="2"/>
    </row>
    <row r="37942" spans="3:3" x14ac:dyDescent="0.35">
      <c r="C37942" s="2"/>
    </row>
    <row r="37943" spans="3:3" x14ac:dyDescent="0.35">
      <c r="C37943" s="2"/>
    </row>
    <row r="37944" spans="3:3" x14ac:dyDescent="0.35">
      <c r="C37944" s="2"/>
    </row>
    <row r="37945" spans="3:3" x14ac:dyDescent="0.35">
      <c r="C37945" s="2"/>
    </row>
    <row r="37946" spans="3:3" x14ac:dyDescent="0.35">
      <c r="C37946" s="2"/>
    </row>
    <row r="37947" spans="3:3" x14ac:dyDescent="0.35">
      <c r="C37947" s="2"/>
    </row>
    <row r="37948" spans="3:3" x14ac:dyDescent="0.35">
      <c r="C37948" s="2"/>
    </row>
    <row r="37949" spans="3:3" x14ac:dyDescent="0.35">
      <c r="C37949" s="2"/>
    </row>
    <row r="37950" spans="3:3" x14ac:dyDescent="0.35">
      <c r="C37950" s="2"/>
    </row>
    <row r="37951" spans="3:3" x14ac:dyDescent="0.35">
      <c r="C37951" s="2"/>
    </row>
    <row r="37952" spans="3:3" x14ac:dyDescent="0.35">
      <c r="C37952" s="2"/>
    </row>
    <row r="37953" spans="3:3" x14ac:dyDescent="0.35">
      <c r="C37953" s="2"/>
    </row>
    <row r="37954" spans="3:3" x14ac:dyDescent="0.35">
      <c r="C37954" s="2"/>
    </row>
    <row r="37955" spans="3:3" x14ac:dyDescent="0.35">
      <c r="C37955" s="2"/>
    </row>
    <row r="37956" spans="3:3" x14ac:dyDescent="0.35">
      <c r="C37956" s="2"/>
    </row>
    <row r="37957" spans="3:3" x14ac:dyDescent="0.35">
      <c r="C37957" s="2"/>
    </row>
    <row r="37958" spans="3:3" x14ac:dyDescent="0.35">
      <c r="C37958" s="2"/>
    </row>
    <row r="37959" spans="3:3" x14ac:dyDescent="0.35">
      <c r="C37959" s="2"/>
    </row>
    <row r="37960" spans="3:3" x14ac:dyDescent="0.35">
      <c r="C37960" s="2"/>
    </row>
    <row r="37961" spans="3:3" x14ac:dyDescent="0.35">
      <c r="C37961" s="2"/>
    </row>
    <row r="37962" spans="3:3" x14ac:dyDescent="0.35">
      <c r="C37962" s="2"/>
    </row>
    <row r="37963" spans="3:3" x14ac:dyDescent="0.35">
      <c r="C37963" s="2"/>
    </row>
    <row r="37964" spans="3:3" x14ac:dyDescent="0.35">
      <c r="C37964" s="2"/>
    </row>
    <row r="37965" spans="3:3" x14ac:dyDescent="0.35">
      <c r="C37965" s="2"/>
    </row>
    <row r="37966" spans="3:3" x14ac:dyDescent="0.35">
      <c r="C37966" s="2"/>
    </row>
    <row r="37967" spans="3:3" x14ac:dyDescent="0.35">
      <c r="C37967" s="2"/>
    </row>
    <row r="37968" spans="3:3" x14ac:dyDescent="0.35">
      <c r="C37968" s="2"/>
    </row>
    <row r="37969" spans="3:3" x14ac:dyDescent="0.35">
      <c r="C37969" s="2"/>
    </row>
    <row r="37970" spans="3:3" x14ac:dyDescent="0.35">
      <c r="C37970" s="2"/>
    </row>
    <row r="37971" spans="3:3" x14ac:dyDescent="0.35">
      <c r="C37971" s="2"/>
    </row>
    <row r="37972" spans="3:3" x14ac:dyDescent="0.35">
      <c r="C37972" s="2"/>
    </row>
    <row r="37973" spans="3:3" x14ac:dyDescent="0.35">
      <c r="C37973" s="2"/>
    </row>
    <row r="37974" spans="3:3" x14ac:dyDescent="0.35">
      <c r="C37974" s="2"/>
    </row>
    <row r="37975" spans="3:3" x14ac:dyDescent="0.35">
      <c r="C37975" s="2"/>
    </row>
    <row r="37976" spans="3:3" x14ac:dyDescent="0.35">
      <c r="C37976" s="2"/>
    </row>
    <row r="37977" spans="3:3" x14ac:dyDescent="0.35">
      <c r="C37977" s="2"/>
    </row>
    <row r="37978" spans="3:3" x14ac:dyDescent="0.35">
      <c r="C37978" s="2"/>
    </row>
    <row r="37979" spans="3:3" x14ac:dyDescent="0.35">
      <c r="C37979" s="2"/>
    </row>
    <row r="37980" spans="3:3" x14ac:dyDescent="0.35">
      <c r="C37980" s="2"/>
    </row>
    <row r="37981" spans="3:3" x14ac:dyDescent="0.35">
      <c r="C37981" s="2"/>
    </row>
    <row r="37982" spans="3:3" x14ac:dyDescent="0.35">
      <c r="C37982" s="2"/>
    </row>
    <row r="37983" spans="3:3" x14ac:dyDescent="0.35">
      <c r="C37983" s="2"/>
    </row>
    <row r="37984" spans="3:3" x14ac:dyDescent="0.35">
      <c r="C37984" s="2"/>
    </row>
    <row r="37985" spans="3:3" x14ac:dyDescent="0.35">
      <c r="C37985" s="2"/>
    </row>
    <row r="37986" spans="3:3" x14ac:dyDescent="0.35">
      <c r="C37986" s="2"/>
    </row>
    <row r="37987" spans="3:3" x14ac:dyDescent="0.35">
      <c r="C37987" s="2"/>
    </row>
    <row r="37988" spans="3:3" x14ac:dyDescent="0.35">
      <c r="C37988" s="2"/>
    </row>
    <row r="37989" spans="3:3" x14ac:dyDescent="0.35">
      <c r="C37989" s="2"/>
    </row>
    <row r="37990" spans="3:3" x14ac:dyDescent="0.35">
      <c r="C37990" s="2"/>
    </row>
    <row r="37991" spans="3:3" x14ac:dyDescent="0.35">
      <c r="C37991" s="2"/>
    </row>
    <row r="37992" spans="3:3" x14ac:dyDescent="0.35">
      <c r="C37992" s="2"/>
    </row>
    <row r="37993" spans="3:3" x14ac:dyDescent="0.35">
      <c r="C37993" s="2"/>
    </row>
    <row r="37994" spans="3:3" x14ac:dyDescent="0.35">
      <c r="C37994" s="2"/>
    </row>
    <row r="37995" spans="3:3" x14ac:dyDescent="0.35">
      <c r="C37995" s="2"/>
    </row>
    <row r="37996" spans="3:3" x14ac:dyDescent="0.35">
      <c r="C37996" s="2"/>
    </row>
    <row r="37997" spans="3:3" x14ac:dyDescent="0.35">
      <c r="C37997" s="2"/>
    </row>
    <row r="37998" spans="3:3" x14ac:dyDescent="0.35">
      <c r="C37998" s="2"/>
    </row>
    <row r="37999" spans="3:3" x14ac:dyDescent="0.35">
      <c r="C37999" s="2"/>
    </row>
    <row r="38000" spans="3:3" x14ac:dyDescent="0.35">
      <c r="C38000" s="2"/>
    </row>
    <row r="38001" spans="3:3" x14ac:dyDescent="0.35">
      <c r="C38001" s="2"/>
    </row>
    <row r="38002" spans="3:3" x14ac:dyDescent="0.35">
      <c r="C38002" s="2"/>
    </row>
    <row r="38003" spans="3:3" x14ac:dyDescent="0.35">
      <c r="C38003" s="2"/>
    </row>
    <row r="38004" spans="3:3" x14ac:dyDescent="0.35">
      <c r="C38004" s="2"/>
    </row>
    <row r="38005" spans="3:3" x14ac:dyDescent="0.35">
      <c r="C38005" s="2"/>
    </row>
    <row r="38006" spans="3:3" x14ac:dyDescent="0.35">
      <c r="C38006" s="2"/>
    </row>
    <row r="38007" spans="3:3" x14ac:dyDescent="0.35">
      <c r="C38007" s="2"/>
    </row>
    <row r="38008" spans="3:3" x14ac:dyDescent="0.35">
      <c r="C38008" s="2"/>
    </row>
    <row r="38009" spans="3:3" x14ac:dyDescent="0.35">
      <c r="C38009" s="2"/>
    </row>
    <row r="38010" spans="3:3" x14ac:dyDescent="0.35">
      <c r="C38010" s="2"/>
    </row>
    <row r="38011" spans="3:3" x14ac:dyDescent="0.35">
      <c r="C38011" s="2"/>
    </row>
    <row r="38012" spans="3:3" x14ac:dyDescent="0.35">
      <c r="C38012" s="2"/>
    </row>
    <row r="38013" spans="3:3" x14ac:dyDescent="0.35">
      <c r="C38013" s="2"/>
    </row>
    <row r="38014" spans="3:3" x14ac:dyDescent="0.35">
      <c r="C38014" s="2"/>
    </row>
    <row r="38015" spans="3:3" x14ac:dyDescent="0.35">
      <c r="C38015" s="2"/>
    </row>
    <row r="38016" spans="3:3" x14ac:dyDescent="0.35">
      <c r="C38016" s="2"/>
    </row>
    <row r="38017" spans="3:3" x14ac:dyDescent="0.35">
      <c r="C38017" s="2"/>
    </row>
    <row r="38018" spans="3:3" x14ac:dyDescent="0.35">
      <c r="C38018" s="2"/>
    </row>
    <row r="38019" spans="3:3" x14ac:dyDescent="0.35">
      <c r="C38019" s="2"/>
    </row>
    <row r="38020" spans="3:3" x14ac:dyDescent="0.35">
      <c r="C38020" s="2"/>
    </row>
    <row r="38021" spans="3:3" x14ac:dyDescent="0.35">
      <c r="C38021" s="2"/>
    </row>
    <row r="38022" spans="3:3" x14ac:dyDescent="0.35">
      <c r="C38022" s="2"/>
    </row>
    <row r="38023" spans="3:3" x14ac:dyDescent="0.35">
      <c r="C38023" s="2"/>
    </row>
    <row r="38024" spans="3:3" x14ac:dyDescent="0.35">
      <c r="C38024" s="2"/>
    </row>
    <row r="38025" spans="3:3" x14ac:dyDescent="0.35">
      <c r="C38025" s="2"/>
    </row>
    <row r="38026" spans="3:3" x14ac:dyDescent="0.35">
      <c r="C38026" s="2"/>
    </row>
    <row r="38027" spans="3:3" x14ac:dyDescent="0.35">
      <c r="C38027" s="2"/>
    </row>
    <row r="38028" spans="3:3" x14ac:dyDescent="0.35">
      <c r="C38028" s="2"/>
    </row>
    <row r="38029" spans="3:3" x14ac:dyDescent="0.35">
      <c r="C38029" s="2"/>
    </row>
    <row r="38030" spans="3:3" x14ac:dyDescent="0.35">
      <c r="C38030" s="2"/>
    </row>
    <row r="38031" spans="3:3" x14ac:dyDescent="0.35">
      <c r="C38031" s="2"/>
    </row>
    <row r="38032" spans="3:3" x14ac:dyDescent="0.35">
      <c r="C38032" s="2"/>
    </row>
    <row r="38033" spans="3:3" x14ac:dyDescent="0.35">
      <c r="C38033" s="2"/>
    </row>
    <row r="38034" spans="3:3" x14ac:dyDescent="0.35">
      <c r="C38034" s="2"/>
    </row>
    <row r="38035" spans="3:3" x14ac:dyDescent="0.35">
      <c r="C38035" s="2"/>
    </row>
    <row r="38036" spans="3:3" x14ac:dyDescent="0.35">
      <c r="C38036" s="2"/>
    </row>
    <row r="38037" spans="3:3" x14ac:dyDescent="0.35">
      <c r="C38037" s="2"/>
    </row>
    <row r="38038" spans="3:3" x14ac:dyDescent="0.35">
      <c r="C38038" s="2"/>
    </row>
    <row r="38039" spans="3:3" x14ac:dyDescent="0.35">
      <c r="C38039" s="2"/>
    </row>
    <row r="38040" spans="3:3" x14ac:dyDescent="0.35">
      <c r="C38040" s="2"/>
    </row>
    <row r="38041" spans="3:3" x14ac:dyDescent="0.35">
      <c r="C38041" s="2"/>
    </row>
    <row r="38042" spans="3:3" x14ac:dyDescent="0.35">
      <c r="C38042" s="2"/>
    </row>
    <row r="38043" spans="3:3" x14ac:dyDescent="0.35">
      <c r="C38043" s="2"/>
    </row>
    <row r="38044" spans="3:3" x14ac:dyDescent="0.35">
      <c r="C38044" s="2"/>
    </row>
    <row r="38045" spans="3:3" x14ac:dyDescent="0.35">
      <c r="C38045" s="2"/>
    </row>
    <row r="38046" spans="3:3" x14ac:dyDescent="0.35">
      <c r="C38046" s="2"/>
    </row>
    <row r="38047" spans="3:3" x14ac:dyDescent="0.35">
      <c r="C38047" s="2"/>
    </row>
    <row r="38048" spans="3:3" x14ac:dyDescent="0.35">
      <c r="C38048" s="2"/>
    </row>
    <row r="38049" spans="3:3" x14ac:dyDescent="0.35">
      <c r="C38049" s="2"/>
    </row>
    <row r="38050" spans="3:3" x14ac:dyDescent="0.35">
      <c r="C38050" s="2"/>
    </row>
    <row r="38051" spans="3:3" x14ac:dyDescent="0.35">
      <c r="C38051" s="2"/>
    </row>
    <row r="38052" spans="3:3" x14ac:dyDescent="0.35">
      <c r="C38052" s="2"/>
    </row>
    <row r="38053" spans="3:3" x14ac:dyDescent="0.35">
      <c r="C38053" s="2"/>
    </row>
    <row r="38054" spans="3:3" x14ac:dyDescent="0.35">
      <c r="C38054" s="2"/>
    </row>
    <row r="38055" spans="3:3" x14ac:dyDescent="0.35">
      <c r="C38055" s="2"/>
    </row>
    <row r="38056" spans="3:3" x14ac:dyDescent="0.35">
      <c r="C38056" s="2"/>
    </row>
    <row r="38057" spans="3:3" x14ac:dyDescent="0.35">
      <c r="C38057" s="2"/>
    </row>
    <row r="38058" spans="3:3" x14ac:dyDescent="0.35">
      <c r="C38058" s="2"/>
    </row>
    <row r="38059" spans="3:3" x14ac:dyDescent="0.35">
      <c r="C38059" s="2"/>
    </row>
    <row r="38060" spans="3:3" x14ac:dyDescent="0.35">
      <c r="C38060" s="2"/>
    </row>
    <row r="38061" spans="3:3" x14ac:dyDescent="0.35">
      <c r="C38061" s="2"/>
    </row>
    <row r="38062" spans="3:3" x14ac:dyDescent="0.35">
      <c r="C38062" s="2"/>
    </row>
    <row r="38063" spans="3:3" x14ac:dyDescent="0.35">
      <c r="C38063" s="2"/>
    </row>
    <row r="38064" spans="3:3" x14ac:dyDescent="0.35">
      <c r="C38064" s="2"/>
    </row>
    <row r="38065" spans="3:3" x14ac:dyDescent="0.35">
      <c r="C38065" s="2"/>
    </row>
    <row r="38066" spans="3:3" x14ac:dyDescent="0.35">
      <c r="C38066" s="2"/>
    </row>
    <row r="38067" spans="3:3" x14ac:dyDescent="0.35">
      <c r="C38067" s="2"/>
    </row>
    <row r="38068" spans="3:3" x14ac:dyDescent="0.35">
      <c r="C38068" s="2"/>
    </row>
    <row r="38069" spans="3:3" x14ac:dyDescent="0.35">
      <c r="C38069" s="2"/>
    </row>
    <row r="38070" spans="3:3" x14ac:dyDescent="0.35">
      <c r="C38070" s="2"/>
    </row>
    <row r="38071" spans="3:3" x14ac:dyDescent="0.35">
      <c r="C38071" s="2"/>
    </row>
    <row r="38072" spans="3:3" x14ac:dyDescent="0.35">
      <c r="C38072" s="2"/>
    </row>
    <row r="38073" spans="3:3" x14ac:dyDescent="0.35">
      <c r="C38073" s="2"/>
    </row>
    <row r="38074" spans="3:3" x14ac:dyDescent="0.35">
      <c r="C38074" s="2"/>
    </row>
    <row r="38075" spans="3:3" x14ac:dyDescent="0.35">
      <c r="C38075" s="2"/>
    </row>
    <row r="38076" spans="3:3" x14ac:dyDescent="0.35">
      <c r="C38076" s="2"/>
    </row>
    <row r="38077" spans="3:3" x14ac:dyDescent="0.35">
      <c r="C38077" s="2"/>
    </row>
    <row r="38078" spans="3:3" x14ac:dyDescent="0.35">
      <c r="C38078" s="2"/>
    </row>
    <row r="38079" spans="3:3" x14ac:dyDescent="0.35">
      <c r="C38079" s="2"/>
    </row>
    <row r="38080" spans="3:3" x14ac:dyDescent="0.35">
      <c r="C38080" s="2"/>
    </row>
    <row r="38081" spans="3:3" x14ac:dyDescent="0.35">
      <c r="C38081" s="2"/>
    </row>
    <row r="38082" spans="3:3" x14ac:dyDescent="0.35">
      <c r="C38082" s="2"/>
    </row>
    <row r="38083" spans="3:3" x14ac:dyDescent="0.35">
      <c r="C38083" s="2"/>
    </row>
    <row r="38084" spans="3:3" x14ac:dyDescent="0.35">
      <c r="C38084" s="2"/>
    </row>
    <row r="38085" spans="3:3" x14ac:dyDescent="0.35">
      <c r="C38085" s="2"/>
    </row>
    <row r="38086" spans="3:3" x14ac:dyDescent="0.35">
      <c r="C38086" s="2"/>
    </row>
    <row r="38087" spans="3:3" x14ac:dyDescent="0.35">
      <c r="C38087" s="2"/>
    </row>
    <row r="38088" spans="3:3" x14ac:dyDescent="0.35">
      <c r="C38088" s="2"/>
    </row>
    <row r="38089" spans="3:3" x14ac:dyDescent="0.35">
      <c r="C38089" s="2"/>
    </row>
    <row r="38090" spans="3:3" x14ac:dyDescent="0.35">
      <c r="C38090" s="2"/>
    </row>
    <row r="38091" spans="3:3" x14ac:dyDescent="0.35">
      <c r="C38091" s="2"/>
    </row>
    <row r="38092" spans="3:3" x14ac:dyDescent="0.35">
      <c r="C38092" s="2"/>
    </row>
    <row r="38093" spans="3:3" x14ac:dyDescent="0.35">
      <c r="C38093" s="2"/>
    </row>
    <row r="38094" spans="3:3" x14ac:dyDescent="0.35">
      <c r="C38094" s="2"/>
    </row>
    <row r="38095" spans="3:3" x14ac:dyDescent="0.35">
      <c r="C38095" s="2"/>
    </row>
    <row r="38096" spans="3:3" x14ac:dyDescent="0.35">
      <c r="C38096" s="2"/>
    </row>
    <row r="38097" spans="3:3" x14ac:dyDescent="0.35">
      <c r="C38097" s="2"/>
    </row>
    <row r="38098" spans="3:3" x14ac:dyDescent="0.35">
      <c r="C38098" s="2"/>
    </row>
    <row r="38099" spans="3:3" x14ac:dyDescent="0.35">
      <c r="C38099" s="2"/>
    </row>
    <row r="38100" spans="3:3" x14ac:dyDescent="0.35">
      <c r="C38100" s="2"/>
    </row>
    <row r="38101" spans="3:3" x14ac:dyDescent="0.35">
      <c r="C38101" s="2"/>
    </row>
    <row r="38102" spans="3:3" x14ac:dyDescent="0.35">
      <c r="C38102" s="2"/>
    </row>
    <row r="38103" spans="3:3" x14ac:dyDescent="0.35">
      <c r="C38103" s="2"/>
    </row>
    <row r="38104" spans="3:3" x14ac:dyDescent="0.35">
      <c r="C38104" s="2"/>
    </row>
    <row r="38105" spans="3:3" x14ac:dyDescent="0.35">
      <c r="C38105" s="2"/>
    </row>
    <row r="38106" spans="3:3" x14ac:dyDescent="0.35">
      <c r="C38106" s="2"/>
    </row>
    <row r="38107" spans="3:3" x14ac:dyDescent="0.35">
      <c r="C38107" s="2"/>
    </row>
    <row r="38108" spans="3:3" x14ac:dyDescent="0.35">
      <c r="C38108" s="2"/>
    </row>
    <row r="38109" spans="3:3" x14ac:dyDescent="0.35">
      <c r="C38109" s="2"/>
    </row>
    <row r="38110" spans="3:3" x14ac:dyDescent="0.35">
      <c r="C38110" s="2"/>
    </row>
    <row r="38111" spans="3:3" x14ac:dyDescent="0.35">
      <c r="C38111" s="2"/>
    </row>
    <row r="38112" spans="3:3" x14ac:dyDescent="0.35">
      <c r="C38112" s="2"/>
    </row>
    <row r="38113" spans="3:3" x14ac:dyDescent="0.35">
      <c r="C38113" s="2"/>
    </row>
    <row r="38114" spans="3:3" x14ac:dyDescent="0.35">
      <c r="C38114" s="2"/>
    </row>
    <row r="38115" spans="3:3" x14ac:dyDescent="0.35">
      <c r="C38115" s="2"/>
    </row>
    <row r="38116" spans="3:3" x14ac:dyDescent="0.35">
      <c r="C38116" s="2"/>
    </row>
    <row r="38117" spans="3:3" x14ac:dyDescent="0.35">
      <c r="C38117" s="2"/>
    </row>
    <row r="38118" spans="3:3" x14ac:dyDescent="0.35">
      <c r="C38118" s="2"/>
    </row>
    <row r="38119" spans="3:3" x14ac:dyDescent="0.35">
      <c r="C38119" s="2"/>
    </row>
    <row r="38120" spans="3:3" x14ac:dyDescent="0.35">
      <c r="C38120" s="2"/>
    </row>
    <row r="38121" spans="3:3" x14ac:dyDescent="0.35">
      <c r="C38121" s="2"/>
    </row>
    <row r="38122" spans="3:3" x14ac:dyDescent="0.35">
      <c r="C38122" s="2"/>
    </row>
    <row r="38123" spans="3:3" x14ac:dyDescent="0.35">
      <c r="C38123" s="2"/>
    </row>
    <row r="38124" spans="3:3" x14ac:dyDescent="0.35">
      <c r="C38124" s="2"/>
    </row>
    <row r="38125" spans="3:3" x14ac:dyDescent="0.35">
      <c r="C38125" s="2"/>
    </row>
    <row r="38126" spans="3:3" x14ac:dyDescent="0.35">
      <c r="C38126" s="2"/>
    </row>
    <row r="38127" spans="3:3" x14ac:dyDescent="0.35">
      <c r="C38127" s="2"/>
    </row>
    <row r="38128" spans="3:3" x14ac:dyDescent="0.35">
      <c r="C38128" s="2"/>
    </row>
    <row r="38129" spans="3:3" x14ac:dyDescent="0.35">
      <c r="C38129" s="2"/>
    </row>
    <row r="38130" spans="3:3" x14ac:dyDescent="0.35">
      <c r="C38130" s="2"/>
    </row>
    <row r="38131" spans="3:3" x14ac:dyDescent="0.35">
      <c r="C38131" s="2"/>
    </row>
    <row r="38132" spans="3:3" x14ac:dyDescent="0.35">
      <c r="C38132" s="2"/>
    </row>
    <row r="38133" spans="3:3" x14ac:dyDescent="0.35">
      <c r="C38133" s="2"/>
    </row>
    <row r="38134" spans="3:3" x14ac:dyDescent="0.35">
      <c r="C38134" s="2"/>
    </row>
    <row r="38135" spans="3:3" x14ac:dyDescent="0.35">
      <c r="C38135" s="2"/>
    </row>
    <row r="38136" spans="3:3" x14ac:dyDescent="0.35">
      <c r="C38136" s="2"/>
    </row>
    <row r="38137" spans="3:3" x14ac:dyDescent="0.35">
      <c r="C38137" s="2"/>
    </row>
    <row r="38138" spans="3:3" x14ac:dyDescent="0.35">
      <c r="C38138" s="2"/>
    </row>
    <row r="38139" spans="3:3" x14ac:dyDescent="0.35">
      <c r="C38139" s="2"/>
    </row>
    <row r="38140" spans="3:3" x14ac:dyDescent="0.35">
      <c r="C38140" s="2"/>
    </row>
    <row r="38141" spans="3:3" x14ac:dyDescent="0.35">
      <c r="C38141" s="2"/>
    </row>
    <row r="38142" spans="3:3" x14ac:dyDescent="0.35">
      <c r="C38142" s="2"/>
    </row>
    <row r="38143" spans="3:3" x14ac:dyDescent="0.35">
      <c r="C38143" s="2"/>
    </row>
    <row r="38144" spans="3:3" x14ac:dyDescent="0.35">
      <c r="C38144" s="2"/>
    </row>
    <row r="38145" spans="3:3" x14ac:dyDescent="0.35">
      <c r="C38145" s="2"/>
    </row>
    <row r="38146" spans="3:3" x14ac:dyDescent="0.35">
      <c r="C38146" s="2"/>
    </row>
    <row r="38147" spans="3:3" x14ac:dyDescent="0.35">
      <c r="C38147" s="2"/>
    </row>
    <row r="38148" spans="3:3" x14ac:dyDescent="0.35">
      <c r="C38148" s="2"/>
    </row>
    <row r="38149" spans="3:3" x14ac:dyDescent="0.35">
      <c r="C38149" s="2"/>
    </row>
    <row r="38150" spans="3:3" x14ac:dyDescent="0.35">
      <c r="C38150" s="2"/>
    </row>
    <row r="38151" spans="3:3" x14ac:dyDescent="0.35">
      <c r="C38151" s="2"/>
    </row>
    <row r="38152" spans="3:3" x14ac:dyDescent="0.35">
      <c r="C38152" s="2"/>
    </row>
    <row r="38153" spans="3:3" x14ac:dyDescent="0.35">
      <c r="C38153" s="2"/>
    </row>
    <row r="38154" spans="3:3" x14ac:dyDescent="0.35">
      <c r="C38154" s="2"/>
    </row>
    <row r="38155" spans="3:3" x14ac:dyDescent="0.35">
      <c r="C38155" s="2"/>
    </row>
    <row r="38156" spans="3:3" x14ac:dyDescent="0.35">
      <c r="C38156" s="2"/>
    </row>
    <row r="38157" spans="3:3" x14ac:dyDescent="0.35">
      <c r="C38157" s="2"/>
    </row>
    <row r="38158" spans="3:3" x14ac:dyDescent="0.35">
      <c r="C38158" s="2"/>
    </row>
    <row r="38159" spans="3:3" x14ac:dyDescent="0.35">
      <c r="C38159" s="2"/>
    </row>
    <row r="38160" spans="3:3" x14ac:dyDescent="0.35">
      <c r="C38160" s="2"/>
    </row>
    <row r="38161" spans="3:3" x14ac:dyDescent="0.35">
      <c r="C38161" s="2"/>
    </row>
    <row r="38162" spans="3:3" x14ac:dyDescent="0.35">
      <c r="C38162" s="2"/>
    </row>
    <row r="38163" spans="3:3" x14ac:dyDescent="0.35">
      <c r="C38163" s="2"/>
    </row>
    <row r="38164" spans="3:3" x14ac:dyDescent="0.35">
      <c r="C38164" s="2"/>
    </row>
    <row r="38165" spans="3:3" x14ac:dyDescent="0.35">
      <c r="C38165" s="2"/>
    </row>
    <row r="38166" spans="3:3" x14ac:dyDescent="0.35">
      <c r="C38166" s="2"/>
    </row>
    <row r="38167" spans="3:3" x14ac:dyDescent="0.35">
      <c r="C38167" s="2"/>
    </row>
    <row r="38168" spans="3:3" x14ac:dyDescent="0.35">
      <c r="C38168" s="2"/>
    </row>
    <row r="38169" spans="3:3" x14ac:dyDescent="0.35">
      <c r="C38169" s="2"/>
    </row>
    <row r="38170" spans="3:3" x14ac:dyDescent="0.35">
      <c r="C38170" s="2"/>
    </row>
    <row r="38171" spans="3:3" x14ac:dyDescent="0.35">
      <c r="C38171" s="2"/>
    </row>
    <row r="38172" spans="3:3" x14ac:dyDescent="0.35">
      <c r="C38172" s="2"/>
    </row>
    <row r="38173" spans="3:3" x14ac:dyDescent="0.35">
      <c r="C38173" s="2"/>
    </row>
    <row r="38174" spans="3:3" x14ac:dyDescent="0.35">
      <c r="C38174" s="2"/>
    </row>
    <row r="38175" spans="3:3" x14ac:dyDescent="0.35">
      <c r="C38175" s="2"/>
    </row>
    <row r="38176" spans="3:3" x14ac:dyDescent="0.35">
      <c r="C38176" s="2"/>
    </row>
    <row r="38177" spans="3:3" x14ac:dyDescent="0.35">
      <c r="C38177" s="2"/>
    </row>
    <row r="38178" spans="3:3" x14ac:dyDescent="0.35">
      <c r="C38178" s="2"/>
    </row>
    <row r="38179" spans="3:3" x14ac:dyDescent="0.35">
      <c r="C38179" s="2"/>
    </row>
    <row r="38180" spans="3:3" x14ac:dyDescent="0.35">
      <c r="C38180" s="2"/>
    </row>
    <row r="38181" spans="3:3" x14ac:dyDescent="0.35">
      <c r="C38181" s="2"/>
    </row>
    <row r="38182" spans="3:3" x14ac:dyDescent="0.35">
      <c r="C38182" s="2"/>
    </row>
    <row r="38183" spans="3:3" x14ac:dyDescent="0.35">
      <c r="C38183" s="2"/>
    </row>
    <row r="38184" spans="3:3" x14ac:dyDescent="0.35">
      <c r="C38184" s="2"/>
    </row>
    <row r="38185" spans="3:3" x14ac:dyDescent="0.35">
      <c r="C38185" s="2"/>
    </row>
    <row r="38186" spans="3:3" x14ac:dyDescent="0.35">
      <c r="C38186" s="2"/>
    </row>
    <row r="38187" spans="3:3" x14ac:dyDescent="0.35">
      <c r="C38187" s="2"/>
    </row>
    <row r="38188" spans="3:3" x14ac:dyDescent="0.35">
      <c r="C38188" s="2"/>
    </row>
    <row r="38189" spans="3:3" x14ac:dyDescent="0.35">
      <c r="C38189" s="2"/>
    </row>
    <row r="38190" spans="3:3" x14ac:dyDescent="0.35">
      <c r="C38190" s="2"/>
    </row>
    <row r="38191" spans="3:3" x14ac:dyDescent="0.35">
      <c r="C38191" s="2"/>
    </row>
    <row r="38192" spans="3:3" x14ac:dyDescent="0.35">
      <c r="C38192" s="2"/>
    </row>
    <row r="38193" spans="3:3" x14ac:dyDescent="0.35">
      <c r="C38193" s="2"/>
    </row>
    <row r="38194" spans="3:3" x14ac:dyDescent="0.35">
      <c r="C38194" s="2"/>
    </row>
    <row r="38195" spans="3:3" x14ac:dyDescent="0.35">
      <c r="C38195" s="2"/>
    </row>
    <row r="38196" spans="3:3" x14ac:dyDescent="0.35">
      <c r="C38196" s="2"/>
    </row>
    <row r="38197" spans="3:3" x14ac:dyDescent="0.35">
      <c r="C38197" s="2"/>
    </row>
    <row r="38198" spans="3:3" x14ac:dyDescent="0.35">
      <c r="C38198" s="2"/>
    </row>
    <row r="38199" spans="3:3" x14ac:dyDescent="0.35">
      <c r="C38199" s="2"/>
    </row>
    <row r="38200" spans="3:3" x14ac:dyDescent="0.35">
      <c r="C38200" s="2"/>
    </row>
    <row r="38201" spans="3:3" x14ac:dyDescent="0.35">
      <c r="C38201" s="2"/>
    </row>
    <row r="38202" spans="3:3" x14ac:dyDescent="0.35">
      <c r="C38202" s="2"/>
    </row>
    <row r="38203" spans="3:3" x14ac:dyDescent="0.35">
      <c r="C38203" s="2"/>
    </row>
    <row r="38204" spans="3:3" x14ac:dyDescent="0.35">
      <c r="C38204" s="2"/>
    </row>
    <row r="38205" spans="3:3" x14ac:dyDescent="0.35">
      <c r="C38205" s="2"/>
    </row>
    <row r="38206" spans="3:3" x14ac:dyDescent="0.35">
      <c r="C38206" s="2"/>
    </row>
    <row r="38207" spans="3:3" x14ac:dyDescent="0.35">
      <c r="C38207" s="2"/>
    </row>
    <row r="38208" spans="3:3" x14ac:dyDescent="0.35">
      <c r="C38208" s="2"/>
    </row>
    <row r="38209" spans="3:3" x14ac:dyDescent="0.35">
      <c r="C38209" s="2"/>
    </row>
    <row r="38210" spans="3:3" x14ac:dyDescent="0.35">
      <c r="C38210" s="2"/>
    </row>
    <row r="38211" spans="3:3" x14ac:dyDescent="0.35">
      <c r="C38211" s="2"/>
    </row>
    <row r="38212" spans="3:3" x14ac:dyDescent="0.35">
      <c r="C38212" s="2"/>
    </row>
    <row r="38213" spans="3:3" x14ac:dyDescent="0.35">
      <c r="C38213" s="2"/>
    </row>
    <row r="38214" spans="3:3" x14ac:dyDescent="0.35">
      <c r="C38214" s="2"/>
    </row>
    <row r="38215" spans="3:3" x14ac:dyDescent="0.35">
      <c r="C38215" s="2"/>
    </row>
    <row r="38216" spans="3:3" x14ac:dyDescent="0.35">
      <c r="C38216" s="2"/>
    </row>
    <row r="38217" spans="3:3" x14ac:dyDescent="0.35">
      <c r="C38217" s="2"/>
    </row>
    <row r="38218" spans="3:3" x14ac:dyDescent="0.35">
      <c r="C38218" s="2"/>
    </row>
    <row r="38219" spans="3:3" x14ac:dyDescent="0.35">
      <c r="C38219" s="2"/>
    </row>
    <row r="38220" spans="3:3" x14ac:dyDescent="0.35">
      <c r="C38220" s="2"/>
    </row>
    <row r="38221" spans="3:3" x14ac:dyDescent="0.35">
      <c r="C38221" s="2"/>
    </row>
    <row r="38222" spans="3:3" x14ac:dyDescent="0.35">
      <c r="C38222" s="2"/>
    </row>
    <row r="38223" spans="3:3" x14ac:dyDescent="0.35">
      <c r="C38223" s="2"/>
    </row>
    <row r="38224" spans="3:3" x14ac:dyDescent="0.35">
      <c r="C38224" s="2"/>
    </row>
    <row r="38225" spans="3:3" x14ac:dyDescent="0.35">
      <c r="C38225" s="2"/>
    </row>
    <row r="38226" spans="3:3" x14ac:dyDescent="0.35">
      <c r="C38226" s="2"/>
    </row>
    <row r="38227" spans="3:3" x14ac:dyDescent="0.35">
      <c r="C38227" s="2"/>
    </row>
    <row r="38228" spans="3:3" x14ac:dyDescent="0.35">
      <c r="C38228" s="2"/>
    </row>
    <row r="38229" spans="3:3" x14ac:dyDescent="0.35">
      <c r="C38229" s="2"/>
    </row>
    <row r="38230" spans="3:3" x14ac:dyDescent="0.35">
      <c r="C38230" s="2"/>
    </row>
    <row r="38231" spans="3:3" x14ac:dyDescent="0.35">
      <c r="C38231" s="2"/>
    </row>
    <row r="38232" spans="3:3" x14ac:dyDescent="0.35">
      <c r="C38232" s="2"/>
    </row>
    <row r="38233" spans="3:3" x14ac:dyDescent="0.35">
      <c r="C38233" s="2"/>
    </row>
    <row r="38234" spans="3:3" x14ac:dyDescent="0.35">
      <c r="C38234" s="2"/>
    </row>
    <row r="38235" spans="3:3" x14ac:dyDescent="0.35">
      <c r="C38235" s="2"/>
    </row>
    <row r="38236" spans="3:3" x14ac:dyDescent="0.35">
      <c r="C38236" s="2"/>
    </row>
    <row r="38237" spans="3:3" x14ac:dyDescent="0.35">
      <c r="C38237" s="2"/>
    </row>
    <row r="38238" spans="3:3" x14ac:dyDescent="0.35">
      <c r="C38238" s="2"/>
    </row>
    <row r="38239" spans="3:3" x14ac:dyDescent="0.35">
      <c r="C38239" s="2"/>
    </row>
    <row r="38240" spans="3:3" x14ac:dyDescent="0.35">
      <c r="C38240" s="2"/>
    </row>
    <row r="38241" spans="3:3" x14ac:dyDescent="0.35">
      <c r="C38241" s="2"/>
    </row>
    <row r="38242" spans="3:3" x14ac:dyDescent="0.35">
      <c r="C38242" s="2"/>
    </row>
    <row r="38243" spans="3:3" x14ac:dyDescent="0.35">
      <c r="C38243" s="2"/>
    </row>
    <row r="38244" spans="3:3" x14ac:dyDescent="0.35">
      <c r="C38244" s="2"/>
    </row>
    <row r="38245" spans="3:3" x14ac:dyDescent="0.35">
      <c r="C38245" s="2"/>
    </row>
    <row r="38246" spans="3:3" x14ac:dyDescent="0.35">
      <c r="C38246" s="2"/>
    </row>
    <row r="38247" spans="3:3" x14ac:dyDescent="0.35">
      <c r="C38247" s="2"/>
    </row>
    <row r="38248" spans="3:3" x14ac:dyDescent="0.35">
      <c r="C38248" s="2"/>
    </row>
    <row r="38249" spans="3:3" x14ac:dyDescent="0.35">
      <c r="C38249" s="2"/>
    </row>
    <row r="38250" spans="3:3" x14ac:dyDescent="0.35">
      <c r="C38250" s="2"/>
    </row>
    <row r="38251" spans="3:3" x14ac:dyDescent="0.35">
      <c r="C38251" s="2"/>
    </row>
    <row r="38252" spans="3:3" x14ac:dyDescent="0.35">
      <c r="C38252" s="2"/>
    </row>
    <row r="38253" spans="3:3" x14ac:dyDescent="0.35">
      <c r="C38253" s="2"/>
    </row>
    <row r="38254" spans="3:3" x14ac:dyDescent="0.35">
      <c r="C38254" s="2"/>
    </row>
    <row r="38255" spans="3:3" x14ac:dyDescent="0.35">
      <c r="C38255" s="2"/>
    </row>
    <row r="38256" spans="3:3" x14ac:dyDescent="0.35">
      <c r="C38256" s="2"/>
    </row>
    <row r="38257" spans="3:3" x14ac:dyDescent="0.35">
      <c r="C38257" s="2"/>
    </row>
    <row r="38258" spans="3:3" x14ac:dyDescent="0.35">
      <c r="C38258" s="2"/>
    </row>
    <row r="38259" spans="3:3" x14ac:dyDescent="0.35">
      <c r="C38259" s="2"/>
    </row>
    <row r="38260" spans="3:3" x14ac:dyDescent="0.35">
      <c r="C38260" s="2"/>
    </row>
    <row r="38261" spans="3:3" x14ac:dyDescent="0.35">
      <c r="C38261" s="2"/>
    </row>
    <row r="38262" spans="3:3" x14ac:dyDescent="0.35">
      <c r="C38262" s="2"/>
    </row>
    <row r="38263" spans="3:3" x14ac:dyDescent="0.35">
      <c r="C38263" s="2"/>
    </row>
    <row r="38264" spans="3:3" x14ac:dyDescent="0.35">
      <c r="C38264" s="2"/>
    </row>
    <row r="38265" spans="3:3" x14ac:dyDescent="0.35">
      <c r="C38265" s="2"/>
    </row>
    <row r="38266" spans="3:3" x14ac:dyDescent="0.35">
      <c r="C38266" s="2"/>
    </row>
    <row r="38267" spans="3:3" x14ac:dyDescent="0.35">
      <c r="C38267" s="2"/>
    </row>
    <row r="38268" spans="3:3" x14ac:dyDescent="0.35">
      <c r="C38268" s="2"/>
    </row>
    <row r="38269" spans="3:3" x14ac:dyDescent="0.35">
      <c r="C38269" s="2"/>
    </row>
    <row r="38270" spans="3:3" x14ac:dyDescent="0.35">
      <c r="C38270" s="2"/>
    </row>
    <row r="38271" spans="3:3" x14ac:dyDescent="0.35">
      <c r="C38271" s="2"/>
    </row>
    <row r="38272" spans="3:3" x14ac:dyDescent="0.35">
      <c r="C38272" s="2"/>
    </row>
    <row r="38273" spans="3:3" x14ac:dyDescent="0.35">
      <c r="C38273" s="2"/>
    </row>
    <row r="38274" spans="3:3" x14ac:dyDescent="0.35">
      <c r="C38274" s="2"/>
    </row>
    <row r="38275" spans="3:3" x14ac:dyDescent="0.35">
      <c r="C38275" s="2"/>
    </row>
    <row r="38276" spans="3:3" x14ac:dyDescent="0.35">
      <c r="C38276" s="2"/>
    </row>
    <row r="38277" spans="3:3" x14ac:dyDescent="0.35">
      <c r="C38277" s="2"/>
    </row>
    <row r="38278" spans="3:3" x14ac:dyDescent="0.35">
      <c r="C38278" s="2"/>
    </row>
    <row r="38279" spans="3:3" x14ac:dyDescent="0.35">
      <c r="C38279" s="2"/>
    </row>
    <row r="38280" spans="3:3" x14ac:dyDescent="0.35">
      <c r="C38280" s="2"/>
    </row>
    <row r="38281" spans="3:3" x14ac:dyDescent="0.35">
      <c r="C38281" s="2"/>
    </row>
    <row r="38282" spans="3:3" x14ac:dyDescent="0.35">
      <c r="C38282" s="2"/>
    </row>
    <row r="38283" spans="3:3" x14ac:dyDescent="0.35">
      <c r="C38283" s="2"/>
    </row>
    <row r="38284" spans="3:3" x14ac:dyDescent="0.35">
      <c r="C38284" s="2"/>
    </row>
    <row r="38285" spans="3:3" x14ac:dyDescent="0.35">
      <c r="C38285" s="2"/>
    </row>
    <row r="38286" spans="3:3" x14ac:dyDescent="0.35">
      <c r="C38286" s="2"/>
    </row>
    <row r="38287" spans="3:3" x14ac:dyDescent="0.35">
      <c r="C38287" s="2"/>
    </row>
    <row r="38288" spans="3:3" x14ac:dyDescent="0.35">
      <c r="C38288" s="2"/>
    </row>
    <row r="38289" spans="3:3" x14ac:dyDescent="0.35">
      <c r="C38289" s="2"/>
    </row>
    <row r="38290" spans="3:3" x14ac:dyDescent="0.35">
      <c r="C38290" s="2"/>
    </row>
    <row r="38291" spans="3:3" x14ac:dyDescent="0.35">
      <c r="C38291" s="2"/>
    </row>
    <row r="38292" spans="3:3" x14ac:dyDescent="0.35">
      <c r="C38292" s="2"/>
    </row>
    <row r="38293" spans="3:3" x14ac:dyDescent="0.35">
      <c r="C38293" s="2"/>
    </row>
    <row r="38294" spans="3:3" x14ac:dyDescent="0.35">
      <c r="C38294" s="2"/>
    </row>
    <row r="38295" spans="3:3" x14ac:dyDescent="0.35">
      <c r="C38295" s="2"/>
    </row>
    <row r="38296" spans="3:3" x14ac:dyDescent="0.35">
      <c r="C38296" s="2"/>
    </row>
    <row r="38297" spans="3:3" x14ac:dyDescent="0.35">
      <c r="C38297" s="2"/>
    </row>
    <row r="38298" spans="3:3" x14ac:dyDescent="0.35">
      <c r="C38298" s="2"/>
    </row>
    <row r="38299" spans="3:3" x14ac:dyDescent="0.35">
      <c r="C38299" s="2"/>
    </row>
    <row r="38300" spans="3:3" x14ac:dyDescent="0.35">
      <c r="C38300" s="2"/>
    </row>
    <row r="38301" spans="3:3" x14ac:dyDescent="0.35">
      <c r="C38301" s="2"/>
    </row>
    <row r="38302" spans="3:3" x14ac:dyDescent="0.35">
      <c r="C38302" s="2"/>
    </row>
    <row r="38303" spans="3:3" x14ac:dyDescent="0.35">
      <c r="C38303" s="2"/>
    </row>
    <row r="38304" spans="3:3" x14ac:dyDescent="0.35">
      <c r="C38304" s="2"/>
    </row>
    <row r="38305" spans="3:3" x14ac:dyDescent="0.35">
      <c r="C38305" s="2"/>
    </row>
    <row r="38306" spans="3:3" x14ac:dyDescent="0.35">
      <c r="C38306" s="2"/>
    </row>
    <row r="38307" spans="3:3" x14ac:dyDescent="0.35">
      <c r="C38307" s="2"/>
    </row>
    <row r="38308" spans="3:3" x14ac:dyDescent="0.35">
      <c r="C38308" s="2"/>
    </row>
    <row r="38309" spans="3:3" x14ac:dyDescent="0.35">
      <c r="C38309" s="2"/>
    </row>
    <row r="38310" spans="3:3" x14ac:dyDescent="0.35">
      <c r="C38310" s="2"/>
    </row>
    <row r="38311" spans="3:3" x14ac:dyDescent="0.35">
      <c r="C38311" s="2"/>
    </row>
    <row r="38312" spans="3:3" x14ac:dyDescent="0.35">
      <c r="C38312" s="2"/>
    </row>
    <row r="38313" spans="3:3" x14ac:dyDescent="0.35">
      <c r="C38313" s="2"/>
    </row>
    <row r="38314" spans="3:3" x14ac:dyDescent="0.35">
      <c r="C38314" s="2"/>
    </row>
    <row r="38315" spans="3:3" x14ac:dyDescent="0.35">
      <c r="C38315" s="2"/>
    </row>
    <row r="38316" spans="3:3" x14ac:dyDescent="0.35">
      <c r="C38316" s="2"/>
    </row>
    <row r="38317" spans="3:3" x14ac:dyDescent="0.35">
      <c r="C38317" s="2"/>
    </row>
    <row r="38318" spans="3:3" x14ac:dyDescent="0.35">
      <c r="C38318" s="2"/>
    </row>
    <row r="38319" spans="3:3" x14ac:dyDescent="0.35">
      <c r="C38319" s="2"/>
    </row>
    <row r="38320" spans="3:3" x14ac:dyDescent="0.35">
      <c r="C38320" s="2"/>
    </row>
    <row r="38321" spans="3:3" x14ac:dyDescent="0.35">
      <c r="C38321" s="2"/>
    </row>
    <row r="38322" spans="3:3" x14ac:dyDescent="0.35">
      <c r="C38322" s="2"/>
    </row>
    <row r="38323" spans="3:3" x14ac:dyDescent="0.35">
      <c r="C38323" s="2"/>
    </row>
    <row r="38324" spans="3:3" x14ac:dyDescent="0.35">
      <c r="C38324" s="2"/>
    </row>
    <row r="38325" spans="3:3" x14ac:dyDescent="0.35">
      <c r="C38325" s="2"/>
    </row>
    <row r="38326" spans="3:3" x14ac:dyDescent="0.35">
      <c r="C38326" s="2"/>
    </row>
    <row r="38327" spans="3:3" x14ac:dyDescent="0.35">
      <c r="C38327" s="2"/>
    </row>
    <row r="38328" spans="3:3" x14ac:dyDescent="0.35">
      <c r="C38328" s="2"/>
    </row>
    <row r="38329" spans="3:3" x14ac:dyDescent="0.35">
      <c r="C38329" s="2"/>
    </row>
    <row r="38330" spans="3:3" x14ac:dyDescent="0.35">
      <c r="C38330" s="2"/>
    </row>
    <row r="38331" spans="3:3" x14ac:dyDescent="0.35">
      <c r="C38331" s="2"/>
    </row>
    <row r="38332" spans="3:3" x14ac:dyDescent="0.35">
      <c r="C38332" s="2"/>
    </row>
    <row r="38333" spans="3:3" x14ac:dyDescent="0.35">
      <c r="C38333" s="2"/>
    </row>
    <row r="38334" spans="3:3" x14ac:dyDescent="0.35">
      <c r="C38334" s="2"/>
    </row>
    <row r="38335" spans="3:3" x14ac:dyDescent="0.35">
      <c r="C38335" s="2"/>
    </row>
    <row r="38336" spans="3:3" x14ac:dyDescent="0.35">
      <c r="C38336" s="2"/>
    </row>
    <row r="38337" spans="3:3" x14ac:dyDescent="0.35">
      <c r="C38337" s="2"/>
    </row>
    <row r="38338" spans="3:3" x14ac:dyDescent="0.35">
      <c r="C38338" s="2"/>
    </row>
    <row r="38339" spans="3:3" x14ac:dyDescent="0.35">
      <c r="C38339" s="2"/>
    </row>
    <row r="38340" spans="3:3" x14ac:dyDescent="0.35">
      <c r="C38340" s="2"/>
    </row>
    <row r="38341" spans="3:3" x14ac:dyDescent="0.35">
      <c r="C38341" s="2"/>
    </row>
    <row r="38342" spans="3:3" x14ac:dyDescent="0.35">
      <c r="C38342" s="2"/>
    </row>
    <row r="38343" spans="3:3" x14ac:dyDescent="0.35">
      <c r="C38343" s="2"/>
    </row>
    <row r="38344" spans="3:3" x14ac:dyDescent="0.35">
      <c r="C38344" s="2"/>
    </row>
    <row r="38345" spans="3:3" x14ac:dyDescent="0.35">
      <c r="C38345" s="2"/>
    </row>
    <row r="38346" spans="3:3" x14ac:dyDescent="0.35">
      <c r="C38346" s="2"/>
    </row>
    <row r="38347" spans="3:3" x14ac:dyDescent="0.35">
      <c r="C38347" s="2"/>
    </row>
    <row r="38348" spans="3:3" x14ac:dyDescent="0.35">
      <c r="C38348" s="2"/>
    </row>
    <row r="38349" spans="3:3" x14ac:dyDescent="0.35">
      <c r="C38349" s="2"/>
    </row>
    <row r="38350" spans="3:3" x14ac:dyDescent="0.35">
      <c r="C38350" s="2"/>
    </row>
    <row r="38351" spans="3:3" x14ac:dyDescent="0.35">
      <c r="C38351" s="2"/>
    </row>
    <row r="38352" spans="3:3" x14ac:dyDescent="0.35">
      <c r="C38352" s="2"/>
    </row>
    <row r="38353" spans="3:3" x14ac:dyDescent="0.35">
      <c r="C38353" s="2"/>
    </row>
    <row r="38354" spans="3:3" x14ac:dyDescent="0.35">
      <c r="C38354" s="2"/>
    </row>
    <row r="38355" spans="3:3" x14ac:dyDescent="0.35">
      <c r="C38355" s="2"/>
    </row>
    <row r="38356" spans="3:3" x14ac:dyDescent="0.35">
      <c r="C38356" s="2"/>
    </row>
    <row r="38357" spans="3:3" x14ac:dyDescent="0.35">
      <c r="C38357" s="2"/>
    </row>
    <row r="38358" spans="3:3" x14ac:dyDescent="0.35">
      <c r="C38358" s="2"/>
    </row>
    <row r="38359" spans="3:3" x14ac:dyDescent="0.35">
      <c r="C38359" s="2"/>
    </row>
    <row r="38360" spans="3:3" x14ac:dyDescent="0.35">
      <c r="C38360" s="2"/>
    </row>
    <row r="38361" spans="3:3" x14ac:dyDescent="0.35">
      <c r="C38361" s="2"/>
    </row>
    <row r="38362" spans="3:3" x14ac:dyDescent="0.35">
      <c r="C38362" s="2"/>
    </row>
    <row r="38363" spans="3:3" x14ac:dyDescent="0.35">
      <c r="C38363" s="2"/>
    </row>
    <row r="38364" spans="3:3" x14ac:dyDescent="0.35">
      <c r="C38364" s="2"/>
    </row>
    <row r="38365" spans="3:3" x14ac:dyDescent="0.35">
      <c r="C38365" s="2"/>
    </row>
    <row r="38366" spans="3:3" x14ac:dyDescent="0.35">
      <c r="C38366" s="2"/>
    </row>
    <row r="38367" spans="3:3" x14ac:dyDescent="0.35">
      <c r="C38367" s="2"/>
    </row>
    <row r="38368" spans="3:3" x14ac:dyDescent="0.35">
      <c r="C38368" s="2"/>
    </row>
    <row r="38369" spans="3:3" x14ac:dyDescent="0.35">
      <c r="C38369" s="2"/>
    </row>
    <row r="38370" spans="3:3" x14ac:dyDescent="0.35">
      <c r="C38370" s="2"/>
    </row>
    <row r="38371" spans="3:3" x14ac:dyDescent="0.35">
      <c r="C38371" s="2"/>
    </row>
    <row r="38372" spans="3:3" x14ac:dyDescent="0.35">
      <c r="C38372" s="2"/>
    </row>
    <row r="38373" spans="3:3" x14ac:dyDescent="0.35">
      <c r="C38373" s="2"/>
    </row>
    <row r="38374" spans="3:3" x14ac:dyDescent="0.35">
      <c r="C38374" s="2"/>
    </row>
    <row r="38375" spans="3:3" x14ac:dyDescent="0.35">
      <c r="C38375" s="2"/>
    </row>
    <row r="38376" spans="3:3" x14ac:dyDescent="0.35">
      <c r="C38376" s="2"/>
    </row>
    <row r="38377" spans="3:3" x14ac:dyDescent="0.35">
      <c r="C38377" s="2"/>
    </row>
    <row r="38378" spans="3:3" x14ac:dyDescent="0.35">
      <c r="C38378" s="2"/>
    </row>
    <row r="38379" spans="3:3" x14ac:dyDescent="0.35">
      <c r="C38379" s="2"/>
    </row>
    <row r="38380" spans="3:3" x14ac:dyDescent="0.35">
      <c r="C38380" s="2"/>
    </row>
    <row r="38381" spans="3:3" x14ac:dyDescent="0.35">
      <c r="C38381" s="2"/>
    </row>
    <row r="38382" spans="3:3" x14ac:dyDescent="0.35">
      <c r="C38382" s="2"/>
    </row>
    <row r="38383" spans="3:3" x14ac:dyDescent="0.35">
      <c r="C38383" s="2"/>
    </row>
    <row r="38384" spans="3:3" x14ac:dyDescent="0.35">
      <c r="C38384" s="2"/>
    </row>
    <row r="38385" spans="3:3" x14ac:dyDescent="0.35">
      <c r="C38385" s="2"/>
    </row>
    <row r="38386" spans="3:3" x14ac:dyDescent="0.35">
      <c r="C38386" s="2"/>
    </row>
    <row r="38387" spans="3:3" x14ac:dyDescent="0.35">
      <c r="C38387" s="2"/>
    </row>
    <row r="38388" spans="3:3" x14ac:dyDescent="0.35">
      <c r="C38388" s="2"/>
    </row>
    <row r="38389" spans="3:3" x14ac:dyDescent="0.35">
      <c r="C38389" s="2"/>
    </row>
    <row r="38390" spans="3:3" x14ac:dyDescent="0.35">
      <c r="C38390" s="2"/>
    </row>
    <row r="38391" spans="3:3" x14ac:dyDescent="0.35">
      <c r="C38391" s="2"/>
    </row>
    <row r="38392" spans="3:3" x14ac:dyDescent="0.35">
      <c r="C38392" s="2"/>
    </row>
    <row r="38393" spans="3:3" x14ac:dyDescent="0.35">
      <c r="C38393" s="2"/>
    </row>
    <row r="38394" spans="3:3" x14ac:dyDescent="0.35">
      <c r="C38394" s="2"/>
    </row>
    <row r="38395" spans="3:3" x14ac:dyDescent="0.35">
      <c r="C38395" s="2"/>
    </row>
    <row r="38396" spans="3:3" x14ac:dyDescent="0.35">
      <c r="C38396" s="2"/>
    </row>
    <row r="38397" spans="3:3" x14ac:dyDescent="0.35">
      <c r="C38397" s="2"/>
    </row>
    <row r="38398" spans="3:3" x14ac:dyDescent="0.35">
      <c r="C38398" s="2"/>
    </row>
    <row r="38399" spans="3:3" x14ac:dyDescent="0.35">
      <c r="C38399" s="2"/>
    </row>
    <row r="38400" spans="3:3" x14ac:dyDescent="0.35">
      <c r="C38400" s="2"/>
    </row>
    <row r="38401" spans="3:3" x14ac:dyDescent="0.35">
      <c r="C38401" s="2"/>
    </row>
    <row r="38402" spans="3:3" x14ac:dyDescent="0.35">
      <c r="C38402" s="2"/>
    </row>
    <row r="38403" spans="3:3" x14ac:dyDescent="0.35">
      <c r="C38403" s="2"/>
    </row>
    <row r="38404" spans="3:3" x14ac:dyDescent="0.35">
      <c r="C38404" s="2"/>
    </row>
    <row r="38405" spans="3:3" x14ac:dyDescent="0.35">
      <c r="C38405" s="2"/>
    </row>
    <row r="38406" spans="3:3" x14ac:dyDescent="0.35">
      <c r="C38406" s="2"/>
    </row>
    <row r="38407" spans="3:3" x14ac:dyDescent="0.35">
      <c r="C38407" s="2"/>
    </row>
    <row r="38408" spans="3:3" x14ac:dyDescent="0.35">
      <c r="C38408" s="2"/>
    </row>
    <row r="38409" spans="3:3" x14ac:dyDescent="0.35">
      <c r="C38409" s="2"/>
    </row>
    <row r="38410" spans="3:3" x14ac:dyDescent="0.35">
      <c r="C38410" s="2"/>
    </row>
    <row r="38411" spans="3:3" x14ac:dyDescent="0.35">
      <c r="C38411" s="2"/>
    </row>
    <row r="38412" spans="3:3" x14ac:dyDescent="0.35">
      <c r="C38412" s="2"/>
    </row>
    <row r="38413" spans="3:3" x14ac:dyDescent="0.35">
      <c r="C38413" s="2"/>
    </row>
    <row r="38414" spans="3:3" x14ac:dyDescent="0.35">
      <c r="C38414" s="2"/>
    </row>
    <row r="38415" spans="3:3" x14ac:dyDescent="0.35">
      <c r="C38415" s="2"/>
    </row>
    <row r="38416" spans="3:3" x14ac:dyDescent="0.35">
      <c r="C38416" s="2"/>
    </row>
    <row r="38417" spans="3:3" x14ac:dyDescent="0.35">
      <c r="C38417" s="2"/>
    </row>
    <row r="38418" spans="3:3" x14ac:dyDescent="0.35">
      <c r="C38418" s="2"/>
    </row>
    <row r="38419" spans="3:3" x14ac:dyDescent="0.35">
      <c r="C38419" s="2"/>
    </row>
    <row r="38420" spans="3:3" x14ac:dyDescent="0.35">
      <c r="C38420" s="2"/>
    </row>
    <row r="38421" spans="3:3" x14ac:dyDescent="0.35">
      <c r="C38421" s="2"/>
    </row>
    <row r="38422" spans="3:3" x14ac:dyDescent="0.35">
      <c r="C38422" s="2"/>
    </row>
    <row r="38423" spans="3:3" x14ac:dyDescent="0.35">
      <c r="C38423" s="2"/>
    </row>
    <row r="38424" spans="3:3" x14ac:dyDescent="0.35">
      <c r="C38424" s="2"/>
    </row>
    <row r="38425" spans="3:3" x14ac:dyDescent="0.35">
      <c r="C38425" s="2"/>
    </row>
    <row r="38426" spans="3:3" x14ac:dyDescent="0.35">
      <c r="C38426" s="2"/>
    </row>
    <row r="38427" spans="3:3" x14ac:dyDescent="0.35">
      <c r="C38427" s="2"/>
    </row>
    <row r="38428" spans="3:3" x14ac:dyDescent="0.35">
      <c r="C38428" s="2"/>
    </row>
    <row r="38429" spans="3:3" x14ac:dyDescent="0.35">
      <c r="C38429" s="2"/>
    </row>
    <row r="38430" spans="3:3" x14ac:dyDescent="0.35">
      <c r="C38430" s="2"/>
    </row>
    <row r="38431" spans="3:3" x14ac:dyDescent="0.35">
      <c r="C38431" s="2"/>
    </row>
    <row r="38432" spans="3:3" x14ac:dyDescent="0.35">
      <c r="C38432" s="2"/>
    </row>
    <row r="38433" spans="3:3" x14ac:dyDescent="0.35">
      <c r="C38433" s="2"/>
    </row>
    <row r="38434" spans="3:3" x14ac:dyDescent="0.35">
      <c r="C38434" s="2"/>
    </row>
    <row r="38435" spans="3:3" x14ac:dyDescent="0.35">
      <c r="C38435" s="2"/>
    </row>
    <row r="38436" spans="3:3" x14ac:dyDescent="0.35">
      <c r="C38436" s="2"/>
    </row>
    <row r="38437" spans="3:3" x14ac:dyDescent="0.35">
      <c r="C38437" s="2"/>
    </row>
    <row r="38438" spans="3:3" x14ac:dyDescent="0.35">
      <c r="C38438" s="2"/>
    </row>
    <row r="38439" spans="3:3" x14ac:dyDescent="0.35">
      <c r="C38439" s="2"/>
    </row>
    <row r="38440" spans="3:3" x14ac:dyDescent="0.35">
      <c r="C38440" s="2"/>
    </row>
    <row r="38441" spans="3:3" x14ac:dyDescent="0.35">
      <c r="C38441" s="2"/>
    </row>
    <row r="38442" spans="3:3" x14ac:dyDescent="0.35">
      <c r="C38442" s="2"/>
    </row>
    <row r="38443" spans="3:3" x14ac:dyDescent="0.35">
      <c r="C38443" s="2"/>
    </row>
    <row r="38444" spans="3:3" x14ac:dyDescent="0.35">
      <c r="C38444" s="2"/>
    </row>
    <row r="38445" spans="3:3" x14ac:dyDescent="0.35">
      <c r="C38445" s="2"/>
    </row>
    <row r="38446" spans="3:3" x14ac:dyDescent="0.35">
      <c r="C38446" s="2"/>
    </row>
    <row r="38447" spans="3:3" x14ac:dyDescent="0.35">
      <c r="C38447" s="2"/>
    </row>
    <row r="38448" spans="3:3" x14ac:dyDescent="0.35">
      <c r="C38448" s="2"/>
    </row>
    <row r="38449" spans="3:3" x14ac:dyDescent="0.35">
      <c r="C38449" s="2"/>
    </row>
    <row r="38450" spans="3:3" x14ac:dyDescent="0.35">
      <c r="C38450" s="2"/>
    </row>
    <row r="38451" spans="3:3" x14ac:dyDescent="0.35">
      <c r="C38451" s="2"/>
    </row>
    <row r="38452" spans="3:3" x14ac:dyDescent="0.35">
      <c r="C38452" s="2"/>
    </row>
    <row r="38453" spans="3:3" x14ac:dyDescent="0.35">
      <c r="C38453" s="2"/>
    </row>
    <row r="38454" spans="3:3" x14ac:dyDescent="0.35">
      <c r="C38454" s="2"/>
    </row>
    <row r="38455" spans="3:3" x14ac:dyDescent="0.35">
      <c r="C38455" s="2"/>
    </row>
    <row r="38456" spans="3:3" x14ac:dyDescent="0.35">
      <c r="C38456" s="2"/>
    </row>
    <row r="38457" spans="3:3" x14ac:dyDescent="0.35">
      <c r="C38457" s="2"/>
    </row>
    <row r="38458" spans="3:3" x14ac:dyDescent="0.35">
      <c r="C38458" s="2"/>
    </row>
    <row r="38459" spans="3:3" x14ac:dyDescent="0.35">
      <c r="C38459" s="2"/>
    </row>
    <row r="38460" spans="3:3" x14ac:dyDescent="0.35">
      <c r="C38460" s="2"/>
    </row>
    <row r="38461" spans="3:3" x14ac:dyDescent="0.35">
      <c r="C38461" s="2"/>
    </row>
    <row r="38462" spans="3:3" x14ac:dyDescent="0.35">
      <c r="C38462" s="2"/>
    </row>
    <row r="38463" spans="3:3" x14ac:dyDescent="0.35">
      <c r="C38463" s="2"/>
    </row>
    <row r="38464" spans="3:3" x14ac:dyDescent="0.35">
      <c r="C38464" s="2"/>
    </row>
    <row r="38465" spans="3:3" x14ac:dyDescent="0.35">
      <c r="C38465" s="2"/>
    </row>
    <row r="38466" spans="3:3" x14ac:dyDescent="0.35">
      <c r="C38466" s="2"/>
    </row>
    <row r="38467" spans="3:3" x14ac:dyDescent="0.35">
      <c r="C38467" s="2"/>
    </row>
    <row r="38468" spans="3:3" x14ac:dyDescent="0.35">
      <c r="C38468" s="2"/>
    </row>
    <row r="38469" spans="3:3" x14ac:dyDescent="0.35">
      <c r="C38469" s="2"/>
    </row>
    <row r="38470" spans="3:3" x14ac:dyDescent="0.35">
      <c r="C38470" s="2"/>
    </row>
    <row r="38471" spans="3:3" x14ac:dyDescent="0.35">
      <c r="C38471" s="2"/>
    </row>
    <row r="38472" spans="3:3" x14ac:dyDescent="0.35">
      <c r="C38472" s="2"/>
    </row>
    <row r="38473" spans="3:3" x14ac:dyDescent="0.35">
      <c r="C38473" s="2"/>
    </row>
    <row r="38474" spans="3:3" x14ac:dyDescent="0.35">
      <c r="C38474" s="2"/>
    </row>
    <row r="38475" spans="3:3" x14ac:dyDescent="0.35">
      <c r="C38475" s="2"/>
    </row>
    <row r="38476" spans="3:3" x14ac:dyDescent="0.35">
      <c r="C38476" s="2"/>
    </row>
    <row r="38477" spans="3:3" x14ac:dyDescent="0.35">
      <c r="C38477" s="2"/>
    </row>
    <row r="38478" spans="3:3" x14ac:dyDescent="0.35">
      <c r="C38478" s="2"/>
    </row>
    <row r="38479" spans="3:3" x14ac:dyDescent="0.35">
      <c r="C38479" s="2"/>
    </row>
    <row r="38480" spans="3:3" x14ac:dyDescent="0.35">
      <c r="C38480" s="2"/>
    </row>
    <row r="38481" spans="3:3" x14ac:dyDescent="0.35">
      <c r="C38481" s="2"/>
    </row>
    <row r="38482" spans="3:3" x14ac:dyDescent="0.35">
      <c r="C38482" s="2"/>
    </row>
    <row r="38483" spans="3:3" x14ac:dyDescent="0.35">
      <c r="C38483" s="2"/>
    </row>
    <row r="38484" spans="3:3" x14ac:dyDescent="0.35">
      <c r="C38484" s="2"/>
    </row>
    <row r="38485" spans="3:3" x14ac:dyDescent="0.35">
      <c r="C38485" s="2"/>
    </row>
    <row r="38486" spans="3:3" x14ac:dyDescent="0.35">
      <c r="C38486" s="2"/>
    </row>
    <row r="38487" spans="3:3" x14ac:dyDescent="0.35">
      <c r="C38487" s="2"/>
    </row>
    <row r="38488" spans="3:3" x14ac:dyDescent="0.35">
      <c r="C38488" s="2"/>
    </row>
    <row r="38489" spans="3:3" x14ac:dyDescent="0.35">
      <c r="C38489" s="2"/>
    </row>
    <row r="38490" spans="3:3" x14ac:dyDescent="0.35">
      <c r="C38490" s="2"/>
    </row>
    <row r="38491" spans="3:3" x14ac:dyDescent="0.35">
      <c r="C38491" s="2"/>
    </row>
    <row r="38492" spans="3:3" x14ac:dyDescent="0.35">
      <c r="C38492" s="2"/>
    </row>
    <row r="38493" spans="3:3" x14ac:dyDescent="0.35">
      <c r="C38493" s="2"/>
    </row>
    <row r="38494" spans="3:3" x14ac:dyDescent="0.35">
      <c r="C38494" s="2"/>
    </row>
    <row r="38495" spans="3:3" x14ac:dyDescent="0.35">
      <c r="C38495" s="2"/>
    </row>
    <row r="38496" spans="3:3" x14ac:dyDescent="0.35">
      <c r="C38496" s="2"/>
    </row>
    <row r="38497" spans="3:3" x14ac:dyDescent="0.35">
      <c r="C38497" s="2"/>
    </row>
    <row r="38498" spans="3:3" x14ac:dyDescent="0.35">
      <c r="C38498" s="2"/>
    </row>
    <row r="38499" spans="3:3" x14ac:dyDescent="0.35">
      <c r="C38499" s="2"/>
    </row>
    <row r="38500" spans="3:3" x14ac:dyDescent="0.35">
      <c r="C38500" s="2"/>
    </row>
    <row r="38501" spans="3:3" x14ac:dyDescent="0.35">
      <c r="C38501" s="2"/>
    </row>
    <row r="38502" spans="3:3" x14ac:dyDescent="0.35">
      <c r="C38502" s="2"/>
    </row>
    <row r="38503" spans="3:3" x14ac:dyDescent="0.35">
      <c r="C38503" s="2"/>
    </row>
    <row r="38504" spans="3:3" x14ac:dyDescent="0.35">
      <c r="C38504" s="2"/>
    </row>
    <row r="38505" spans="3:3" x14ac:dyDescent="0.35">
      <c r="C38505" s="2"/>
    </row>
    <row r="38506" spans="3:3" x14ac:dyDescent="0.35">
      <c r="C38506" s="2"/>
    </row>
    <row r="38507" spans="3:3" x14ac:dyDescent="0.35">
      <c r="C38507" s="2"/>
    </row>
    <row r="38508" spans="3:3" x14ac:dyDescent="0.35">
      <c r="C38508" s="2"/>
    </row>
    <row r="38509" spans="3:3" x14ac:dyDescent="0.35">
      <c r="C38509" s="2"/>
    </row>
    <row r="38510" spans="3:3" x14ac:dyDescent="0.35">
      <c r="C38510" s="2"/>
    </row>
    <row r="38511" spans="3:3" x14ac:dyDescent="0.35">
      <c r="C38511" s="2"/>
    </row>
    <row r="38512" spans="3:3" x14ac:dyDescent="0.35">
      <c r="C38512" s="2"/>
    </row>
    <row r="38513" spans="3:3" x14ac:dyDescent="0.35">
      <c r="C38513" s="2"/>
    </row>
    <row r="38514" spans="3:3" x14ac:dyDescent="0.35">
      <c r="C38514" s="2"/>
    </row>
    <row r="38515" spans="3:3" x14ac:dyDescent="0.35">
      <c r="C38515" s="2"/>
    </row>
    <row r="38516" spans="3:3" x14ac:dyDescent="0.35">
      <c r="C38516" s="2"/>
    </row>
    <row r="38517" spans="3:3" x14ac:dyDescent="0.35">
      <c r="C38517" s="2"/>
    </row>
    <row r="38518" spans="3:3" x14ac:dyDescent="0.35">
      <c r="C38518" s="2"/>
    </row>
    <row r="38519" spans="3:3" x14ac:dyDescent="0.35">
      <c r="C38519" s="2"/>
    </row>
    <row r="38520" spans="3:3" x14ac:dyDescent="0.35">
      <c r="C38520" s="2"/>
    </row>
    <row r="38521" spans="3:3" x14ac:dyDescent="0.35">
      <c r="C38521" s="2"/>
    </row>
    <row r="38522" spans="3:3" x14ac:dyDescent="0.35">
      <c r="C38522" s="2"/>
    </row>
    <row r="38523" spans="3:3" x14ac:dyDescent="0.35">
      <c r="C38523" s="2"/>
    </row>
    <row r="38524" spans="3:3" x14ac:dyDescent="0.35">
      <c r="C38524" s="2"/>
    </row>
    <row r="38525" spans="3:3" x14ac:dyDescent="0.35">
      <c r="C38525" s="2"/>
    </row>
    <row r="38526" spans="3:3" x14ac:dyDescent="0.35">
      <c r="C38526" s="2"/>
    </row>
    <row r="38527" spans="3:3" x14ac:dyDescent="0.35">
      <c r="C38527" s="2"/>
    </row>
    <row r="38528" spans="3:3" x14ac:dyDescent="0.35">
      <c r="C38528" s="2"/>
    </row>
    <row r="38529" spans="3:3" x14ac:dyDescent="0.35">
      <c r="C38529" s="2"/>
    </row>
    <row r="38530" spans="3:3" x14ac:dyDescent="0.35">
      <c r="C38530" s="2"/>
    </row>
    <row r="38531" spans="3:3" x14ac:dyDescent="0.35">
      <c r="C38531" s="2"/>
    </row>
    <row r="38532" spans="3:3" x14ac:dyDescent="0.35">
      <c r="C38532" s="2"/>
    </row>
    <row r="38533" spans="3:3" x14ac:dyDescent="0.35">
      <c r="C38533" s="2"/>
    </row>
    <row r="38534" spans="3:3" x14ac:dyDescent="0.35">
      <c r="C38534" s="2"/>
    </row>
    <row r="38535" spans="3:3" x14ac:dyDescent="0.35">
      <c r="C38535" s="2"/>
    </row>
    <row r="38536" spans="3:3" x14ac:dyDescent="0.35">
      <c r="C38536" s="2"/>
    </row>
    <row r="38537" spans="3:3" x14ac:dyDescent="0.35">
      <c r="C38537" s="2"/>
    </row>
    <row r="38538" spans="3:3" x14ac:dyDescent="0.35">
      <c r="C38538" s="2"/>
    </row>
    <row r="38539" spans="3:3" x14ac:dyDescent="0.35">
      <c r="C38539" s="2"/>
    </row>
    <row r="38540" spans="3:3" x14ac:dyDescent="0.35">
      <c r="C38540" s="2"/>
    </row>
    <row r="38541" spans="3:3" x14ac:dyDescent="0.35">
      <c r="C38541" s="2"/>
    </row>
    <row r="38542" spans="3:3" x14ac:dyDescent="0.35">
      <c r="C38542" s="2"/>
    </row>
    <row r="38543" spans="3:3" x14ac:dyDescent="0.35">
      <c r="C38543" s="2"/>
    </row>
    <row r="38544" spans="3:3" x14ac:dyDescent="0.35">
      <c r="C38544" s="2"/>
    </row>
    <row r="38545" spans="3:3" x14ac:dyDescent="0.35">
      <c r="C38545" s="2"/>
    </row>
    <row r="38546" spans="3:3" x14ac:dyDescent="0.35">
      <c r="C38546" s="2"/>
    </row>
    <row r="38547" spans="3:3" x14ac:dyDescent="0.35">
      <c r="C38547" s="2"/>
    </row>
    <row r="38548" spans="3:3" x14ac:dyDescent="0.35">
      <c r="C38548" s="2"/>
    </row>
    <row r="38549" spans="3:3" x14ac:dyDescent="0.35">
      <c r="C38549" s="2"/>
    </row>
    <row r="38550" spans="3:3" x14ac:dyDescent="0.35">
      <c r="C38550" s="2"/>
    </row>
    <row r="38551" spans="3:3" x14ac:dyDescent="0.35">
      <c r="C38551" s="2"/>
    </row>
    <row r="38552" spans="3:3" x14ac:dyDescent="0.35">
      <c r="C38552" s="2"/>
    </row>
    <row r="38553" spans="3:3" x14ac:dyDescent="0.35">
      <c r="C38553" s="2"/>
    </row>
    <row r="38554" spans="3:3" x14ac:dyDescent="0.35">
      <c r="C38554" s="2"/>
    </row>
    <row r="38555" spans="3:3" x14ac:dyDescent="0.35">
      <c r="C38555" s="2"/>
    </row>
    <row r="38556" spans="3:3" x14ac:dyDescent="0.35">
      <c r="C38556" s="2"/>
    </row>
    <row r="38557" spans="3:3" x14ac:dyDescent="0.35">
      <c r="C38557" s="2"/>
    </row>
    <row r="38558" spans="3:3" x14ac:dyDescent="0.35">
      <c r="C38558" s="2"/>
    </row>
    <row r="38559" spans="3:3" x14ac:dyDescent="0.35">
      <c r="C38559" s="2"/>
    </row>
    <row r="38560" spans="3:3" x14ac:dyDescent="0.35">
      <c r="C38560" s="2"/>
    </row>
    <row r="38561" spans="3:3" x14ac:dyDescent="0.35">
      <c r="C38561" s="2"/>
    </row>
    <row r="38562" spans="3:3" x14ac:dyDescent="0.35">
      <c r="C38562" s="2"/>
    </row>
    <row r="38563" spans="3:3" x14ac:dyDescent="0.35">
      <c r="C38563" s="2"/>
    </row>
    <row r="38564" spans="3:3" x14ac:dyDescent="0.35">
      <c r="C38564" s="2"/>
    </row>
    <row r="38565" spans="3:3" x14ac:dyDescent="0.35">
      <c r="C38565" s="2"/>
    </row>
    <row r="38566" spans="3:3" x14ac:dyDescent="0.35">
      <c r="C38566" s="2"/>
    </row>
    <row r="38567" spans="3:3" x14ac:dyDescent="0.35">
      <c r="C38567" s="2"/>
    </row>
    <row r="38568" spans="3:3" x14ac:dyDescent="0.35">
      <c r="C38568" s="2"/>
    </row>
    <row r="38569" spans="3:3" x14ac:dyDescent="0.35">
      <c r="C38569" s="2"/>
    </row>
    <row r="38570" spans="3:3" x14ac:dyDescent="0.35">
      <c r="C38570" s="2"/>
    </row>
    <row r="38571" spans="3:3" x14ac:dyDescent="0.35">
      <c r="C38571" s="2"/>
    </row>
    <row r="38572" spans="3:3" x14ac:dyDescent="0.35">
      <c r="C38572" s="2"/>
    </row>
    <row r="38573" spans="3:3" x14ac:dyDescent="0.35">
      <c r="C38573" s="2"/>
    </row>
    <row r="38574" spans="3:3" x14ac:dyDescent="0.35">
      <c r="C38574" s="2"/>
    </row>
    <row r="38575" spans="3:3" x14ac:dyDescent="0.35">
      <c r="C38575" s="2"/>
    </row>
    <row r="38576" spans="3:3" x14ac:dyDescent="0.35">
      <c r="C38576" s="2"/>
    </row>
    <row r="38577" spans="3:3" x14ac:dyDescent="0.35">
      <c r="C38577" s="2"/>
    </row>
    <row r="38578" spans="3:3" x14ac:dyDescent="0.35">
      <c r="C38578" s="2"/>
    </row>
    <row r="38579" spans="3:3" x14ac:dyDescent="0.35">
      <c r="C38579" s="2"/>
    </row>
    <row r="38580" spans="3:3" x14ac:dyDescent="0.35">
      <c r="C38580" s="2"/>
    </row>
    <row r="38581" spans="3:3" x14ac:dyDescent="0.35">
      <c r="C38581" s="2"/>
    </row>
    <row r="38582" spans="3:3" x14ac:dyDescent="0.35">
      <c r="C38582" s="2"/>
    </row>
    <row r="38583" spans="3:3" x14ac:dyDescent="0.35">
      <c r="C38583" s="2"/>
    </row>
    <row r="38584" spans="3:3" x14ac:dyDescent="0.35">
      <c r="C38584" s="2"/>
    </row>
    <row r="38585" spans="3:3" x14ac:dyDescent="0.35">
      <c r="C38585" s="2"/>
    </row>
    <row r="38586" spans="3:3" x14ac:dyDescent="0.35">
      <c r="C38586" s="2"/>
    </row>
    <row r="38587" spans="3:3" x14ac:dyDescent="0.35">
      <c r="C38587" s="2"/>
    </row>
    <row r="38588" spans="3:3" x14ac:dyDescent="0.35">
      <c r="C38588" s="2"/>
    </row>
    <row r="38589" spans="3:3" x14ac:dyDescent="0.35">
      <c r="C38589" s="2"/>
    </row>
    <row r="38590" spans="3:3" x14ac:dyDescent="0.35">
      <c r="C38590" s="2"/>
    </row>
    <row r="38591" spans="3:3" x14ac:dyDescent="0.35">
      <c r="C38591" s="2"/>
    </row>
    <row r="38592" spans="3:3" x14ac:dyDescent="0.35">
      <c r="C38592" s="2"/>
    </row>
    <row r="38593" spans="3:3" x14ac:dyDescent="0.35">
      <c r="C38593" s="2"/>
    </row>
    <row r="38594" spans="3:3" x14ac:dyDescent="0.35">
      <c r="C38594" s="2"/>
    </row>
    <row r="38595" spans="3:3" x14ac:dyDescent="0.35">
      <c r="C38595" s="2"/>
    </row>
    <row r="38596" spans="3:3" x14ac:dyDescent="0.35">
      <c r="C38596" s="2"/>
    </row>
    <row r="38597" spans="3:3" x14ac:dyDescent="0.35">
      <c r="C38597" s="2"/>
    </row>
    <row r="38598" spans="3:3" x14ac:dyDescent="0.35">
      <c r="C38598" s="2"/>
    </row>
    <row r="38599" spans="3:3" x14ac:dyDescent="0.35">
      <c r="C38599" s="2"/>
    </row>
    <row r="38600" spans="3:3" x14ac:dyDescent="0.35">
      <c r="C38600" s="2"/>
    </row>
    <row r="38601" spans="3:3" x14ac:dyDescent="0.35">
      <c r="C38601" s="2"/>
    </row>
    <row r="38602" spans="3:3" x14ac:dyDescent="0.35">
      <c r="C38602" s="2"/>
    </row>
    <row r="38603" spans="3:3" x14ac:dyDescent="0.35">
      <c r="C38603" s="2"/>
    </row>
    <row r="38604" spans="3:3" x14ac:dyDescent="0.35">
      <c r="C38604" s="2"/>
    </row>
    <row r="38605" spans="3:3" x14ac:dyDescent="0.35">
      <c r="C38605" s="2"/>
    </row>
    <row r="38606" spans="3:3" x14ac:dyDescent="0.35">
      <c r="C38606" s="2"/>
    </row>
    <row r="38607" spans="3:3" x14ac:dyDescent="0.35">
      <c r="C38607" s="2"/>
    </row>
    <row r="38608" spans="3:3" x14ac:dyDescent="0.35">
      <c r="C38608" s="2"/>
    </row>
    <row r="38609" spans="3:3" x14ac:dyDescent="0.35">
      <c r="C38609" s="2"/>
    </row>
    <row r="38610" spans="3:3" x14ac:dyDescent="0.35">
      <c r="C38610" s="2"/>
    </row>
    <row r="38611" spans="3:3" x14ac:dyDescent="0.35">
      <c r="C38611" s="2"/>
    </row>
    <row r="38612" spans="3:3" x14ac:dyDescent="0.35">
      <c r="C38612" s="2"/>
    </row>
    <row r="38613" spans="3:3" x14ac:dyDescent="0.35">
      <c r="C38613" s="2"/>
    </row>
    <row r="38614" spans="3:3" x14ac:dyDescent="0.35">
      <c r="C38614" s="2"/>
    </row>
    <row r="38615" spans="3:3" x14ac:dyDescent="0.35">
      <c r="C38615" s="2"/>
    </row>
    <row r="38616" spans="3:3" x14ac:dyDescent="0.35">
      <c r="C38616" s="2"/>
    </row>
    <row r="38617" spans="3:3" x14ac:dyDescent="0.35">
      <c r="C38617" s="2"/>
    </row>
    <row r="38618" spans="3:3" x14ac:dyDescent="0.35">
      <c r="C38618" s="2"/>
    </row>
    <row r="38619" spans="3:3" x14ac:dyDescent="0.35">
      <c r="C38619" s="2"/>
    </row>
    <row r="38620" spans="3:3" x14ac:dyDescent="0.35">
      <c r="C38620" s="2"/>
    </row>
    <row r="38621" spans="3:3" x14ac:dyDescent="0.35">
      <c r="C38621" s="2"/>
    </row>
    <row r="38622" spans="3:3" x14ac:dyDescent="0.35">
      <c r="C38622" s="2"/>
    </row>
    <row r="38623" spans="3:3" x14ac:dyDescent="0.35">
      <c r="C38623" s="2"/>
    </row>
    <row r="38624" spans="3:3" x14ac:dyDescent="0.35">
      <c r="C38624" s="2"/>
    </row>
    <row r="38625" spans="3:3" x14ac:dyDescent="0.35">
      <c r="C38625" s="2"/>
    </row>
    <row r="38626" spans="3:3" x14ac:dyDescent="0.35">
      <c r="C38626" s="2"/>
    </row>
    <row r="38627" spans="3:3" x14ac:dyDescent="0.35">
      <c r="C38627" s="2"/>
    </row>
    <row r="38628" spans="3:3" x14ac:dyDescent="0.35">
      <c r="C38628" s="2"/>
    </row>
    <row r="38629" spans="3:3" x14ac:dyDescent="0.35">
      <c r="C38629" s="2"/>
    </row>
    <row r="38630" spans="3:3" x14ac:dyDescent="0.35">
      <c r="C38630" s="2"/>
    </row>
    <row r="38631" spans="3:3" x14ac:dyDescent="0.35">
      <c r="C38631" s="2"/>
    </row>
    <row r="38632" spans="3:3" x14ac:dyDescent="0.35">
      <c r="C38632" s="2"/>
    </row>
    <row r="38633" spans="3:3" x14ac:dyDescent="0.35">
      <c r="C38633" s="2"/>
    </row>
    <row r="38634" spans="3:3" x14ac:dyDescent="0.35">
      <c r="C38634" s="2"/>
    </row>
    <row r="38635" spans="3:3" x14ac:dyDescent="0.35">
      <c r="C38635" s="2"/>
    </row>
    <row r="38636" spans="3:3" x14ac:dyDescent="0.35">
      <c r="C38636" s="2"/>
    </row>
    <row r="38637" spans="3:3" x14ac:dyDescent="0.35">
      <c r="C38637" s="2"/>
    </row>
    <row r="38638" spans="3:3" x14ac:dyDescent="0.35">
      <c r="C38638" s="2"/>
    </row>
    <row r="38639" spans="3:3" x14ac:dyDescent="0.35">
      <c r="C38639" s="2"/>
    </row>
    <row r="38640" spans="3:3" x14ac:dyDescent="0.35">
      <c r="C38640" s="2"/>
    </row>
    <row r="38641" spans="3:3" x14ac:dyDescent="0.35">
      <c r="C38641" s="2"/>
    </row>
    <row r="38642" spans="3:3" x14ac:dyDescent="0.35">
      <c r="C38642" s="2"/>
    </row>
    <row r="38643" spans="3:3" x14ac:dyDescent="0.35">
      <c r="C38643" s="2"/>
    </row>
    <row r="38644" spans="3:3" x14ac:dyDescent="0.35">
      <c r="C38644" s="2"/>
    </row>
    <row r="38645" spans="3:3" x14ac:dyDescent="0.35">
      <c r="C38645" s="2"/>
    </row>
    <row r="38646" spans="3:3" x14ac:dyDescent="0.35">
      <c r="C38646" s="2"/>
    </row>
    <row r="38647" spans="3:3" x14ac:dyDescent="0.35">
      <c r="C38647" s="2"/>
    </row>
    <row r="38648" spans="3:3" x14ac:dyDescent="0.35">
      <c r="C38648" s="2"/>
    </row>
    <row r="38649" spans="3:3" x14ac:dyDescent="0.35">
      <c r="C38649" s="2"/>
    </row>
    <row r="38650" spans="3:3" x14ac:dyDescent="0.35">
      <c r="C38650" s="2"/>
    </row>
    <row r="38651" spans="3:3" x14ac:dyDescent="0.35">
      <c r="C38651" s="2"/>
    </row>
    <row r="38652" spans="3:3" x14ac:dyDescent="0.35">
      <c r="C38652" s="2"/>
    </row>
    <row r="38653" spans="3:3" x14ac:dyDescent="0.35">
      <c r="C38653" s="2"/>
    </row>
    <row r="38654" spans="3:3" x14ac:dyDescent="0.35">
      <c r="C38654" s="2"/>
    </row>
    <row r="38655" spans="3:3" x14ac:dyDescent="0.35">
      <c r="C38655" s="2"/>
    </row>
    <row r="38656" spans="3:3" x14ac:dyDescent="0.35">
      <c r="C38656" s="2"/>
    </row>
    <row r="38657" spans="3:3" x14ac:dyDescent="0.35">
      <c r="C38657" s="2"/>
    </row>
    <row r="38658" spans="3:3" x14ac:dyDescent="0.35">
      <c r="C38658" s="2"/>
    </row>
    <row r="38659" spans="3:3" x14ac:dyDescent="0.35">
      <c r="C38659" s="2"/>
    </row>
    <row r="38660" spans="3:3" x14ac:dyDescent="0.35">
      <c r="C38660" s="2"/>
    </row>
    <row r="38661" spans="3:3" x14ac:dyDescent="0.35">
      <c r="C38661" s="2"/>
    </row>
    <row r="38662" spans="3:3" x14ac:dyDescent="0.35">
      <c r="C38662" s="2"/>
    </row>
    <row r="38663" spans="3:3" x14ac:dyDescent="0.35">
      <c r="C38663" s="2"/>
    </row>
    <row r="38664" spans="3:3" x14ac:dyDescent="0.35">
      <c r="C38664" s="2"/>
    </row>
    <row r="38665" spans="3:3" x14ac:dyDescent="0.35">
      <c r="C38665" s="2"/>
    </row>
    <row r="38666" spans="3:3" x14ac:dyDescent="0.35">
      <c r="C38666" s="2"/>
    </row>
    <row r="38667" spans="3:3" x14ac:dyDescent="0.35">
      <c r="C38667" s="2"/>
    </row>
    <row r="38668" spans="3:3" x14ac:dyDescent="0.35">
      <c r="C38668" s="2"/>
    </row>
    <row r="38669" spans="3:3" x14ac:dyDescent="0.35">
      <c r="C38669" s="2"/>
    </row>
    <row r="38670" spans="3:3" x14ac:dyDescent="0.35">
      <c r="C38670" s="2"/>
    </row>
    <row r="38671" spans="3:3" x14ac:dyDescent="0.35">
      <c r="C38671" s="2"/>
    </row>
    <row r="38672" spans="3:3" x14ac:dyDescent="0.35">
      <c r="C38672" s="2"/>
    </row>
    <row r="38673" spans="3:3" x14ac:dyDescent="0.35">
      <c r="C38673" s="2"/>
    </row>
    <row r="38674" spans="3:3" x14ac:dyDescent="0.35">
      <c r="C38674" s="2"/>
    </row>
    <row r="38675" spans="3:3" x14ac:dyDescent="0.35">
      <c r="C38675" s="2"/>
    </row>
    <row r="38676" spans="3:3" x14ac:dyDescent="0.35">
      <c r="C38676" s="2"/>
    </row>
    <row r="38677" spans="3:3" x14ac:dyDescent="0.35">
      <c r="C38677" s="2"/>
    </row>
    <row r="38678" spans="3:3" x14ac:dyDescent="0.35">
      <c r="C38678" s="2"/>
    </row>
    <row r="38679" spans="3:3" x14ac:dyDescent="0.35">
      <c r="C38679" s="2"/>
    </row>
    <row r="38680" spans="3:3" x14ac:dyDescent="0.35">
      <c r="C38680" s="2"/>
    </row>
    <row r="38681" spans="3:3" x14ac:dyDescent="0.35">
      <c r="C38681" s="2"/>
    </row>
    <row r="38682" spans="3:3" x14ac:dyDescent="0.35">
      <c r="C38682" s="2"/>
    </row>
    <row r="38683" spans="3:3" x14ac:dyDescent="0.35">
      <c r="C38683" s="2"/>
    </row>
    <row r="38684" spans="3:3" x14ac:dyDescent="0.35">
      <c r="C38684" s="2"/>
    </row>
    <row r="38685" spans="3:3" x14ac:dyDescent="0.35">
      <c r="C38685" s="2"/>
    </row>
    <row r="38686" spans="3:3" x14ac:dyDescent="0.35">
      <c r="C38686" s="2"/>
    </row>
    <row r="38687" spans="3:3" x14ac:dyDescent="0.35">
      <c r="C38687" s="2"/>
    </row>
    <row r="38688" spans="3:3" x14ac:dyDescent="0.35">
      <c r="C38688" s="2"/>
    </row>
    <row r="38689" spans="3:3" x14ac:dyDescent="0.35">
      <c r="C38689" s="2"/>
    </row>
    <row r="38690" spans="3:3" x14ac:dyDescent="0.35">
      <c r="C38690" s="2"/>
    </row>
    <row r="38691" spans="3:3" x14ac:dyDescent="0.35">
      <c r="C38691" s="2"/>
    </row>
    <row r="38692" spans="3:3" x14ac:dyDescent="0.35">
      <c r="C38692" s="2"/>
    </row>
    <row r="38693" spans="3:3" x14ac:dyDescent="0.35">
      <c r="C38693" s="2"/>
    </row>
    <row r="38694" spans="3:3" x14ac:dyDescent="0.35">
      <c r="C38694" s="2"/>
    </row>
    <row r="38695" spans="3:3" x14ac:dyDescent="0.35">
      <c r="C38695" s="2"/>
    </row>
    <row r="38696" spans="3:3" x14ac:dyDescent="0.35">
      <c r="C38696" s="2"/>
    </row>
    <row r="38697" spans="3:3" x14ac:dyDescent="0.35">
      <c r="C38697" s="2"/>
    </row>
    <row r="38698" spans="3:3" x14ac:dyDescent="0.35">
      <c r="C38698" s="2"/>
    </row>
    <row r="38699" spans="3:3" x14ac:dyDescent="0.35">
      <c r="C38699" s="2"/>
    </row>
    <row r="38700" spans="3:3" x14ac:dyDescent="0.35">
      <c r="C38700" s="2"/>
    </row>
    <row r="38701" spans="3:3" x14ac:dyDescent="0.35">
      <c r="C38701" s="2"/>
    </row>
    <row r="38702" spans="3:3" x14ac:dyDescent="0.35">
      <c r="C38702" s="2"/>
    </row>
    <row r="38703" spans="3:3" x14ac:dyDescent="0.35">
      <c r="C38703" s="2"/>
    </row>
    <row r="38704" spans="3:3" x14ac:dyDescent="0.35">
      <c r="C38704" s="2"/>
    </row>
    <row r="38705" spans="3:3" x14ac:dyDescent="0.35">
      <c r="C38705" s="2"/>
    </row>
    <row r="38706" spans="3:3" x14ac:dyDescent="0.35">
      <c r="C38706" s="2"/>
    </row>
    <row r="38707" spans="3:3" x14ac:dyDescent="0.35">
      <c r="C38707" s="2"/>
    </row>
    <row r="38708" spans="3:3" x14ac:dyDescent="0.35">
      <c r="C38708" s="2"/>
    </row>
    <row r="38709" spans="3:3" x14ac:dyDescent="0.35">
      <c r="C38709" s="2"/>
    </row>
    <row r="38710" spans="3:3" x14ac:dyDescent="0.35">
      <c r="C38710" s="2"/>
    </row>
    <row r="38711" spans="3:3" x14ac:dyDescent="0.35">
      <c r="C38711" s="2"/>
    </row>
    <row r="38712" spans="3:3" x14ac:dyDescent="0.35">
      <c r="C38712" s="2"/>
    </row>
    <row r="38713" spans="3:3" x14ac:dyDescent="0.35">
      <c r="C38713" s="2"/>
    </row>
    <row r="38714" spans="3:3" x14ac:dyDescent="0.35">
      <c r="C38714" s="2"/>
    </row>
    <row r="38715" spans="3:3" x14ac:dyDescent="0.35">
      <c r="C38715" s="2"/>
    </row>
    <row r="38716" spans="3:3" x14ac:dyDescent="0.35">
      <c r="C38716" s="2"/>
    </row>
    <row r="38717" spans="3:3" x14ac:dyDescent="0.35">
      <c r="C38717" s="2"/>
    </row>
    <row r="38718" spans="3:3" x14ac:dyDescent="0.35">
      <c r="C38718" s="2"/>
    </row>
    <row r="38719" spans="3:3" x14ac:dyDescent="0.35">
      <c r="C38719" s="2"/>
    </row>
    <row r="38720" spans="3:3" x14ac:dyDescent="0.35">
      <c r="C38720" s="2"/>
    </row>
    <row r="38721" spans="3:3" x14ac:dyDescent="0.35">
      <c r="C38721" s="2"/>
    </row>
    <row r="38722" spans="3:3" x14ac:dyDescent="0.35">
      <c r="C38722" s="2"/>
    </row>
    <row r="38723" spans="3:3" x14ac:dyDescent="0.35">
      <c r="C38723" s="2"/>
    </row>
    <row r="38724" spans="3:3" x14ac:dyDescent="0.35">
      <c r="C38724" s="2"/>
    </row>
    <row r="38725" spans="3:3" x14ac:dyDescent="0.35">
      <c r="C38725" s="2"/>
    </row>
    <row r="38726" spans="3:3" x14ac:dyDescent="0.35">
      <c r="C38726" s="2"/>
    </row>
    <row r="38727" spans="3:3" x14ac:dyDescent="0.35">
      <c r="C38727" s="2"/>
    </row>
    <row r="38728" spans="3:3" x14ac:dyDescent="0.35">
      <c r="C38728" s="2"/>
    </row>
    <row r="38729" spans="3:3" x14ac:dyDescent="0.35">
      <c r="C38729" s="2"/>
    </row>
    <row r="38730" spans="3:3" x14ac:dyDescent="0.35">
      <c r="C38730" s="2"/>
    </row>
    <row r="38731" spans="3:3" x14ac:dyDescent="0.35">
      <c r="C38731" s="2"/>
    </row>
    <row r="38732" spans="3:3" x14ac:dyDescent="0.35">
      <c r="C38732" s="2"/>
    </row>
    <row r="38733" spans="3:3" x14ac:dyDescent="0.35">
      <c r="C38733" s="2"/>
    </row>
    <row r="38734" spans="3:3" x14ac:dyDescent="0.35">
      <c r="C38734" s="2"/>
    </row>
    <row r="38735" spans="3:3" x14ac:dyDescent="0.35">
      <c r="C38735" s="2"/>
    </row>
    <row r="38736" spans="3:3" x14ac:dyDescent="0.35">
      <c r="C38736" s="2"/>
    </row>
    <row r="38737" spans="3:3" x14ac:dyDescent="0.35">
      <c r="C38737" s="2"/>
    </row>
    <row r="38738" spans="3:3" x14ac:dyDescent="0.35">
      <c r="C38738" s="2"/>
    </row>
    <row r="38739" spans="3:3" x14ac:dyDescent="0.35">
      <c r="C38739" s="2"/>
    </row>
    <row r="38740" spans="3:3" x14ac:dyDescent="0.35">
      <c r="C38740" s="2"/>
    </row>
    <row r="38741" spans="3:3" x14ac:dyDescent="0.35">
      <c r="C38741" s="2"/>
    </row>
    <row r="38742" spans="3:3" x14ac:dyDescent="0.35">
      <c r="C38742" s="2"/>
    </row>
    <row r="38743" spans="3:3" x14ac:dyDescent="0.35">
      <c r="C38743" s="2"/>
    </row>
    <row r="38744" spans="3:3" x14ac:dyDescent="0.35">
      <c r="C38744" s="2"/>
    </row>
    <row r="38745" spans="3:3" x14ac:dyDescent="0.35">
      <c r="C38745" s="2"/>
    </row>
    <row r="38746" spans="3:3" x14ac:dyDescent="0.35">
      <c r="C38746" s="2"/>
    </row>
    <row r="38747" spans="3:3" x14ac:dyDescent="0.35">
      <c r="C38747" s="2"/>
    </row>
    <row r="38748" spans="3:3" x14ac:dyDescent="0.35">
      <c r="C38748" s="2"/>
    </row>
    <row r="38749" spans="3:3" x14ac:dyDescent="0.35">
      <c r="C38749" s="2"/>
    </row>
    <row r="38750" spans="3:3" x14ac:dyDescent="0.35">
      <c r="C38750" s="2"/>
    </row>
    <row r="38751" spans="3:3" x14ac:dyDescent="0.35">
      <c r="C38751" s="2"/>
    </row>
    <row r="38752" spans="3:3" x14ac:dyDescent="0.35">
      <c r="C38752" s="2"/>
    </row>
    <row r="38753" spans="3:3" x14ac:dyDescent="0.35">
      <c r="C38753" s="2"/>
    </row>
    <row r="38754" spans="3:3" x14ac:dyDescent="0.35">
      <c r="C38754" s="2"/>
    </row>
    <row r="38755" spans="3:3" x14ac:dyDescent="0.35">
      <c r="C38755" s="2"/>
    </row>
    <row r="38756" spans="3:3" x14ac:dyDescent="0.35">
      <c r="C38756" s="2"/>
    </row>
    <row r="38757" spans="3:3" x14ac:dyDescent="0.35">
      <c r="C38757" s="2"/>
    </row>
    <row r="38758" spans="3:3" x14ac:dyDescent="0.35">
      <c r="C38758" s="2"/>
    </row>
    <row r="38759" spans="3:3" x14ac:dyDescent="0.35">
      <c r="C38759" s="2"/>
    </row>
    <row r="38760" spans="3:3" x14ac:dyDescent="0.35">
      <c r="C38760" s="2"/>
    </row>
    <row r="38761" spans="3:3" x14ac:dyDescent="0.35">
      <c r="C38761" s="2"/>
    </row>
    <row r="38762" spans="3:3" x14ac:dyDescent="0.35">
      <c r="C38762" s="2"/>
    </row>
    <row r="38763" spans="3:3" x14ac:dyDescent="0.35">
      <c r="C38763" s="2"/>
    </row>
    <row r="38764" spans="3:3" x14ac:dyDescent="0.35">
      <c r="C38764" s="2"/>
    </row>
    <row r="38765" spans="3:3" x14ac:dyDescent="0.35">
      <c r="C38765" s="2"/>
    </row>
    <row r="38766" spans="3:3" x14ac:dyDescent="0.35">
      <c r="C38766" s="2"/>
    </row>
    <row r="38767" spans="3:3" x14ac:dyDescent="0.35">
      <c r="C38767" s="2"/>
    </row>
    <row r="38768" spans="3:3" x14ac:dyDescent="0.35">
      <c r="C38768" s="2"/>
    </row>
    <row r="38769" spans="3:3" x14ac:dyDescent="0.35">
      <c r="C38769" s="2"/>
    </row>
    <row r="38770" spans="3:3" x14ac:dyDescent="0.35">
      <c r="C38770" s="2"/>
    </row>
    <row r="38771" spans="3:3" x14ac:dyDescent="0.35">
      <c r="C38771" s="2"/>
    </row>
    <row r="38772" spans="3:3" x14ac:dyDescent="0.35">
      <c r="C38772" s="2"/>
    </row>
    <row r="38773" spans="3:3" x14ac:dyDescent="0.35">
      <c r="C38773" s="2"/>
    </row>
    <row r="38774" spans="3:3" x14ac:dyDescent="0.35">
      <c r="C38774" s="2"/>
    </row>
    <row r="38775" spans="3:3" x14ac:dyDescent="0.35">
      <c r="C38775" s="2"/>
    </row>
    <row r="38776" spans="3:3" x14ac:dyDescent="0.35">
      <c r="C38776" s="2"/>
    </row>
    <row r="38777" spans="3:3" x14ac:dyDescent="0.35">
      <c r="C38777" s="2"/>
    </row>
    <row r="38778" spans="3:3" x14ac:dyDescent="0.35">
      <c r="C38778" s="2"/>
    </row>
    <row r="38779" spans="3:3" x14ac:dyDescent="0.35">
      <c r="C38779" s="2"/>
    </row>
    <row r="38780" spans="3:3" x14ac:dyDescent="0.35">
      <c r="C38780" s="2"/>
    </row>
    <row r="38781" spans="3:3" x14ac:dyDescent="0.35">
      <c r="C38781" s="2"/>
    </row>
    <row r="38782" spans="3:3" x14ac:dyDescent="0.35">
      <c r="C38782" s="2"/>
    </row>
    <row r="38783" spans="3:3" x14ac:dyDescent="0.35">
      <c r="C38783" s="2"/>
    </row>
    <row r="38784" spans="3:3" x14ac:dyDescent="0.35">
      <c r="C38784" s="2"/>
    </row>
    <row r="38785" spans="3:3" x14ac:dyDescent="0.35">
      <c r="C38785" s="2"/>
    </row>
    <row r="38786" spans="3:3" x14ac:dyDescent="0.35">
      <c r="C38786" s="2"/>
    </row>
    <row r="38787" spans="3:3" x14ac:dyDescent="0.35">
      <c r="C38787" s="2"/>
    </row>
    <row r="38788" spans="3:3" x14ac:dyDescent="0.35">
      <c r="C38788" s="2"/>
    </row>
    <row r="38789" spans="3:3" x14ac:dyDescent="0.35">
      <c r="C38789" s="2"/>
    </row>
    <row r="38790" spans="3:3" x14ac:dyDescent="0.35">
      <c r="C38790" s="2"/>
    </row>
    <row r="38791" spans="3:3" x14ac:dyDescent="0.35">
      <c r="C38791" s="2"/>
    </row>
    <row r="38792" spans="3:3" x14ac:dyDescent="0.35">
      <c r="C38792" s="2"/>
    </row>
    <row r="38793" spans="3:3" x14ac:dyDescent="0.35">
      <c r="C38793" s="2"/>
    </row>
    <row r="38794" spans="3:3" x14ac:dyDescent="0.35">
      <c r="C38794" s="2"/>
    </row>
    <row r="38795" spans="3:3" x14ac:dyDescent="0.35">
      <c r="C38795" s="2"/>
    </row>
    <row r="38796" spans="3:3" x14ac:dyDescent="0.35">
      <c r="C38796" s="2"/>
    </row>
    <row r="38797" spans="3:3" x14ac:dyDescent="0.35">
      <c r="C38797" s="2"/>
    </row>
    <row r="38798" spans="3:3" x14ac:dyDescent="0.35">
      <c r="C38798" s="2"/>
    </row>
    <row r="38799" spans="3:3" x14ac:dyDescent="0.35">
      <c r="C38799" s="2"/>
    </row>
    <row r="38800" spans="3:3" x14ac:dyDescent="0.35">
      <c r="C38800" s="2"/>
    </row>
    <row r="38801" spans="3:3" x14ac:dyDescent="0.35">
      <c r="C38801" s="2"/>
    </row>
    <row r="38802" spans="3:3" x14ac:dyDescent="0.35">
      <c r="C38802" s="2"/>
    </row>
    <row r="38803" spans="3:3" x14ac:dyDescent="0.35">
      <c r="C38803" s="2"/>
    </row>
    <row r="38804" spans="3:3" x14ac:dyDescent="0.35">
      <c r="C38804" s="2"/>
    </row>
    <row r="38805" spans="3:3" x14ac:dyDescent="0.35">
      <c r="C38805" s="2"/>
    </row>
    <row r="38806" spans="3:3" x14ac:dyDescent="0.35">
      <c r="C38806" s="2"/>
    </row>
    <row r="38807" spans="3:3" x14ac:dyDescent="0.35">
      <c r="C38807" s="2"/>
    </row>
    <row r="38808" spans="3:3" x14ac:dyDescent="0.35">
      <c r="C38808" s="2"/>
    </row>
    <row r="38809" spans="3:3" x14ac:dyDescent="0.35">
      <c r="C38809" s="2"/>
    </row>
    <row r="38810" spans="3:3" x14ac:dyDescent="0.35">
      <c r="C38810" s="2"/>
    </row>
    <row r="38811" spans="3:3" x14ac:dyDescent="0.35">
      <c r="C38811" s="2"/>
    </row>
    <row r="38812" spans="3:3" x14ac:dyDescent="0.35">
      <c r="C38812" s="2"/>
    </row>
    <row r="38813" spans="3:3" x14ac:dyDescent="0.35">
      <c r="C38813" s="2"/>
    </row>
    <row r="38814" spans="3:3" x14ac:dyDescent="0.35">
      <c r="C38814" s="2"/>
    </row>
    <row r="38815" spans="3:3" x14ac:dyDescent="0.35">
      <c r="C38815" s="2"/>
    </row>
    <row r="38816" spans="3:3" x14ac:dyDescent="0.35">
      <c r="C38816" s="2"/>
    </row>
    <row r="38817" spans="3:3" x14ac:dyDescent="0.35">
      <c r="C38817" s="2"/>
    </row>
    <row r="38818" spans="3:3" x14ac:dyDescent="0.35">
      <c r="C38818" s="2"/>
    </row>
    <row r="38819" spans="3:3" x14ac:dyDescent="0.35">
      <c r="C38819" s="2"/>
    </row>
    <row r="38820" spans="3:3" x14ac:dyDescent="0.35">
      <c r="C38820" s="2"/>
    </row>
    <row r="38821" spans="3:3" x14ac:dyDescent="0.35">
      <c r="C38821" s="2"/>
    </row>
    <row r="38822" spans="3:3" x14ac:dyDescent="0.35">
      <c r="C38822" s="2"/>
    </row>
    <row r="38823" spans="3:3" x14ac:dyDescent="0.35">
      <c r="C38823" s="2"/>
    </row>
    <row r="38824" spans="3:3" x14ac:dyDescent="0.35">
      <c r="C38824" s="2"/>
    </row>
    <row r="38825" spans="3:3" x14ac:dyDescent="0.35">
      <c r="C38825" s="2"/>
    </row>
    <row r="38826" spans="3:3" x14ac:dyDescent="0.35">
      <c r="C38826" s="2"/>
    </row>
    <row r="38827" spans="3:3" x14ac:dyDescent="0.35">
      <c r="C38827" s="2"/>
    </row>
    <row r="38828" spans="3:3" x14ac:dyDescent="0.35">
      <c r="C38828" s="2"/>
    </row>
    <row r="38829" spans="3:3" x14ac:dyDescent="0.35">
      <c r="C38829" s="2"/>
    </row>
    <row r="38830" spans="3:3" x14ac:dyDescent="0.35">
      <c r="C38830" s="2"/>
    </row>
    <row r="38831" spans="3:3" x14ac:dyDescent="0.35">
      <c r="C38831" s="2"/>
    </row>
    <row r="38832" spans="3:3" x14ac:dyDescent="0.35">
      <c r="C38832" s="2"/>
    </row>
    <row r="38833" spans="3:3" x14ac:dyDescent="0.35">
      <c r="C38833" s="2"/>
    </row>
    <row r="38834" spans="3:3" x14ac:dyDescent="0.35">
      <c r="C38834" s="2"/>
    </row>
    <row r="38835" spans="3:3" x14ac:dyDescent="0.35">
      <c r="C38835" s="2"/>
    </row>
    <row r="38836" spans="3:3" x14ac:dyDescent="0.35">
      <c r="C38836" s="2"/>
    </row>
    <row r="38837" spans="3:3" x14ac:dyDescent="0.35">
      <c r="C38837" s="2"/>
    </row>
    <row r="38838" spans="3:3" x14ac:dyDescent="0.35">
      <c r="C38838" s="2"/>
    </row>
    <row r="38839" spans="3:3" x14ac:dyDescent="0.35">
      <c r="C38839" s="2"/>
    </row>
    <row r="38840" spans="3:3" x14ac:dyDescent="0.35">
      <c r="C38840" s="2"/>
    </row>
    <row r="38841" spans="3:3" x14ac:dyDescent="0.35">
      <c r="C38841" s="2"/>
    </row>
    <row r="38842" spans="3:3" x14ac:dyDescent="0.35">
      <c r="C38842" s="2"/>
    </row>
    <row r="38843" spans="3:3" x14ac:dyDescent="0.35">
      <c r="C38843" s="2"/>
    </row>
    <row r="38844" spans="3:3" x14ac:dyDescent="0.35">
      <c r="C38844" s="2"/>
    </row>
    <row r="38845" spans="3:3" x14ac:dyDescent="0.35">
      <c r="C38845" s="2"/>
    </row>
    <row r="38846" spans="3:3" x14ac:dyDescent="0.35">
      <c r="C38846" s="2"/>
    </row>
    <row r="38847" spans="3:3" x14ac:dyDescent="0.35">
      <c r="C38847" s="2"/>
    </row>
    <row r="38848" spans="3:3" x14ac:dyDescent="0.35">
      <c r="C38848" s="2"/>
    </row>
    <row r="38849" spans="3:3" x14ac:dyDescent="0.35">
      <c r="C38849" s="2"/>
    </row>
    <row r="38850" spans="3:3" x14ac:dyDescent="0.35">
      <c r="C38850" s="2"/>
    </row>
    <row r="38851" spans="3:3" x14ac:dyDescent="0.35">
      <c r="C38851" s="2"/>
    </row>
    <row r="38852" spans="3:3" x14ac:dyDescent="0.35">
      <c r="C38852" s="2"/>
    </row>
    <row r="38853" spans="3:3" x14ac:dyDescent="0.35">
      <c r="C38853" s="2"/>
    </row>
    <row r="38854" spans="3:3" x14ac:dyDescent="0.35">
      <c r="C38854" s="2"/>
    </row>
    <row r="38855" spans="3:3" x14ac:dyDescent="0.35">
      <c r="C38855" s="2"/>
    </row>
    <row r="38856" spans="3:3" x14ac:dyDescent="0.35">
      <c r="C38856" s="2"/>
    </row>
    <row r="38857" spans="3:3" x14ac:dyDescent="0.35">
      <c r="C38857" s="2"/>
    </row>
    <row r="38858" spans="3:3" x14ac:dyDescent="0.35">
      <c r="C38858" s="2"/>
    </row>
    <row r="38859" spans="3:3" x14ac:dyDescent="0.35">
      <c r="C38859" s="2"/>
    </row>
    <row r="38860" spans="3:3" x14ac:dyDescent="0.35">
      <c r="C38860" s="2"/>
    </row>
    <row r="38861" spans="3:3" x14ac:dyDescent="0.35">
      <c r="C38861" s="2"/>
    </row>
    <row r="38862" spans="3:3" x14ac:dyDescent="0.35">
      <c r="C38862" s="2"/>
    </row>
    <row r="38863" spans="3:3" x14ac:dyDescent="0.35">
      <c r="C38863" s="2"/>
    </row>
    <row r="38864" spans="3:3" x14ac:dyDescent="0.35">
      <c r="C38864" s="2"/>
    </row>
    <row r="38865" spans="3:3" x14ac:dyDescent="0.35">
      <c r="C38865" s="2"/>
    </row>
    <row r="38866" spans="3:3" x14ac:dyDescent="0.35">
      <c r="C38866" s="2"/>
    </row>
    <row r="38867" spans="3:3" x14ac:dyDescent="0.35">
      <c r="C38867" s="2"/>
    </row>
    <row r="38868" spans="3:3" x14ac:dyDescent="0.35">
      <c r="C38868" s="2"/>
    </row>
    <row r="38869" spans="3:3" x14ac:dyDescent="0.35">
      <c r="C38869" s="2"/>
    </row>
    <row r="38870" spans="3:3" x14ac:dyDescent="0.35">
      <c r="C38870" s="2"/>
    </row>
    <row r="38871" spans="3:3" x14ac:dyDescent="0.35">
      <c r="C38871" s="2"/>
    </row>
    <row r="38872" spans="3:3" x14ac:dyDescent="0.35">
      <c r="C38872" s="2"/>
    </row>
    <row r="38873" spans="3:3" x14ac:dyDescent="0.35">
      <c r="C38873" s="2"/>
    </row>
    <row r="38874" spans="3:3" x14ac:dyDescent="0.35">
      <c r="C38874" s="2"/>
    </row>
    <row r="38875" spans="3:3" x14ac:dyDescent="0.35">
      <c r="C38875" s="2"/>
    </row>
    <row r="38876" spans="3:3" x14ac:dyDescent="0.35">
      <c r="C38876" s="2"/>
    </row>
    <row r="38877" spans="3:3" x14ac:dyDescent="0.35">
      <c r="C38877" s="2"/>
    </row>
    <row r="38878" spans="3:3" x14ac:dyDescent="0.35">
      <c r="C38878" s="2"/>
    </row>
    <row r="38879" spans="3:3" x14ac:dyDescent="0.35">
      <c r="C38879" s="2"/>
    </row>
    <row r="38880" spans="3:3" x14ac:dyDescent="0.35">
      <c r="C38880" s="2"/>
    </row>
    <row r="38881" spans="3:3" x14ac:dyDescent="0.35">
      <c r="C38881" s="2"/>
    </row>
    <row r="38882" spans="3:3" x14ac:dyDescent="0.35">
      <c r="C38882" s="2"/>
    </row>
    <row r="38883" spans="3:3" x14ac:dyDescent="0.35">
      <c r="C38883" s="2"/>
    </row>
    <row r="38884" spans="3:3" x14ac:dyDescent="0.35">
      <c r="C38884" s="2"/>
    </row>
    <row r="38885" spans="3:3" x14ac:dyDescent="0.35">
      <c r="C38885" s="2"/>
    </row>
    <row r="38886" spans="3:3" x14ac:dyDescent="0.35">
      <c r="C38886" s="2"/>
    </row>
    <row r="38887" spans="3:3" x14ac:dyDescent="0.35">
      <c r="C38887" s="2"/>
    </row>
    <row r="38888" spans="3:3" x14ac:dyDescent="0.35">
      <c r="C38888" s="2"/>
    </row>
    <row r="38889" spans="3:3" x14ac:dyDescent="0.35">
      <c r="C38889" s="2"/>
    </row>
    <row r="38890" spans="3:3" x14ac:dyDescent="0.35">
      <c r="C38890" s="2"/>
    </row>
    <row r="38891" spans="3:3" x14ac:dyDescent="0.35">
      <c r="C38891" s="2"/>
    </row>
    <row r="38892" spans="3:3" x14ac:dyDescent="0.35">
      <c r="C38892" s="2"/>
    </row>
    <row r="38893" spans="3:3" x14ac:dyDescent="0.35">
      <c r="C38893" s="2"/>
    </row>
    <row r="38894" spans="3:3" x14ac:dyDescent="0.35">
      <c r="C38894" s="2"/>
    </row>
    <row r="38895" spans="3:3" x14ac:dyDescent="0.35">
      <c r="C38895" s="2"/>
    </row>
    <row r="38896" spans="3:3" x14ac:dyDescent="0.35">
      <c r="C38896" s="2"/>
    </row>
    <row r="38897" spans="3:3" x14ac:dyDescent="0.35">
      <c r="C38897" s="2"/>
    </row>
    <row r="38898" spans="3:3" x14ac:dyDescent="0.35">
      <c r="C38898" s="2"/>
    </row>
    <row r="38899" spans="3:3" x14ac:dyDescent="0.35">
      <c r="C38899" s="2"/>
    </row>
    <row r="38900" spans="3:3" x14ac:dyDescent="0.35">
      <c r="C38900" s="2"/>
    </row>
    <row r="38901" spans="3:3" x14ac:dyDescent="0.35">
      <c r="C38901" s="2"/>
    </row>
    <row r="38902" spans="3:3" x14ac:dyDescent="0.35">
      <c r="C38902" s="2"/>
    </row>
    <row r="38903" spans="3:3" x14ac:dyDescent="0.35">
      <c r="C38903" s="2"/>
    </row>
    <row r="38904" spans="3:3" x14ac:dyDescent="0.35">
      <c r="C38904" s="2"/>
    </row>
    <row r="38905" spans="3:3" x14ac:dyDescent="0.35">
      <c r="C38905" s="2"/>
    </row>
    <row r="38906" spans="3:3" x14ac:dyDescent="0.35">
      <c r="C38906" s="2"/>
    </row>
    <row r="38907" spans="3:3" x14ac:dyDescent="0.35">
      <c r="C38907" s="2"/>
    </row>
    <row r="38908" spans="3:3" x14ac:dyDescent="0.35">
      <c r="C38908" s="2"/>
    </row>
    <row r="38909" spans="3:3" x14ac:dyDescent="0.35">
      <c r="C38909" s="2"/>
    </row>
    <row r="38910" spans="3:3" x14ac:dyDescent="0.35">
      <c r="C38910" s="2"/>
    </row>
    <row r="38911" spans="3:3" x14ac:dyDescent="0.35">
      <c r="C38911" s="2"/>
    </row>
    <row r="38912" spans="3:3" x14ac:dyDescent="0.35">
      <c r="C38912" s="2"/>
    </row>
    <row r="38913" spans="3:3" x14ac:dyDescent="0.35">
      <c r="C38913" s="2"/>
    </row>
    <row r="38914" spans="3:3" x14ac:dyDescent="0.35">
      <c r="C38914" s="2"/>
    </row>
    <row r="38915" spans="3:3" x14ac:dyDescent="0.35">
      <c r="C38915" s="2"/>
    </row>
    <row r="38916" spans="3:3" x14ac:dyDescent="0.35">
      <c r="C38916" s="2"/>
    </row>
    <row r="38917" spans="3:3" x14ac:dyDescent="0.35">
      <c r="C38917" s="2"/>
    </row>
    <row r="38918" spans="3:3" x14ac:dyDescent="0.35">
      <c r="C38918" s="2"/>
    </row>
    <row r="38919" spans="3:3" x14ac:dyDescent="0.35">
      <c r="C38919" s="2"/>
    </row>
    <row r="38920" spans="3:3" x14ac:dyDescent="0.35">
      <c r="C38920" s="2"/>
    </row>
    <row r="38921" spans="3:3" x14ac:dyDescent="0.35">
      <c r="C38921" s="2"/>
    </row>
    <row r="38922" spans="3:3" x14ac:dyDescent="0.35">
      <c r="C38922" s="2"/>
    </row>
    <row r="38923" spans="3:3" x14ac:dyDescent="0.35">
      <c r="C38923" s="2"/>
    </row>
    <row r="38924" spans="3:3" x14ac:dyDescent="0.35">
      <c r="C38924" s="2"/>
    </row>
    <row r="38925" spans="3:3" x14ac:dyDescent="0.35">
      <c r="C38925" s="2"/>
    </row>
    <row r="38926" spans="3:3" x14ac:dyDescent="0.35">
      <c r="C38926" s="2"/>
    </row>
    <row r="38927" spans="3:3" x14ac:dyDescent="0.35">
      <c r="C38927" s="2"/>
    </row>
    <row r="38928" spans="3:3" x14ac:dyDescent="0.35">
      <c r="C38928" s="2"/>
    </row>
    <row r="38929" spans="3:3" x14ac:dyDescent="0.35">
      <c r="C38929" s="2"/>
    </row>
    <row r="38930" spans="3:3" x14ac:dyDescent="0.35">
      <c r="C38930" s="2"/>
    </row>
    <row r="38931" spans="3:3" x14ac:dyDescent="0.35">
      <c r="C38931" s="2"/>
    </row>
    <row r="38932" spans="3:3" x14ac:dyDescent="0.35">
      <c r="C38932" s="2"/>
    </row>
    <row r="38933" spans="3:3" x14ac:dyDescent="0.35">
      <c r="C38933" s="2"/>
    </row>
    <row r="38934" spans="3:3" x14ac:dyDescent="0.35">
      <c r="C38934" s="2"/>
    </row>
    <row r="38935" spans="3:3" x14ac:dyDescent="0.35">
      <c r="C38935" s="2"/>
    </row>
    <row r="38936" spans="3:3" x14ac:dyDescent="0.35">
      <c r="C38936" s="2"/>
    </row>
    <row r="38937" spans="3:3" x14ac:dyDescent="0.35">
      <c r="C38937" s="2"/>
    </row>
    <row r="38938" spans="3:3" x14ac:dyDescent="0.35">
      <c r="C38938" s="2"/>
    </row>
    <row r="38939" spans="3:3" x14ac:dyDescent="0.35">
      <c r="C38939" s="2"/>
    </row>
    <row r="38940" spans="3:3" x14ac:dyDescent="0.35">
      <c r="C38940" s="2"/>
    </row>
    <row r="38941" spans="3:3" x14ac:dyDescent="0.35">
      <c r="C38941" s="2"/>
    </row>
    <row r="38942" spans="3:3" x14ac:dyDescent="0.35">
      <c r="C38942" s="2"/>
    </row>
    <row r="38943" spans="3:3" x14ac:dyDescent="0.35">
      <c r="C38943" s="2"/>
    </row>
    <row r="38944" spans="3:3" x14ac:dyDescent="0.35">
      <c r="C38944" s="2"/>
    </row>
    <row r="38945" spans="3:3" x14ac:dyDescent="0.35">
      <c r="C38945" s="2"/>
    </row>
    <row r="38946" spans="3:3" x14ac:dyDescent="0.35">
      <c r="C38946" s="2"/>
    </row>
    <row r="38947" spans="3:3" x14ac:dyDescent="0.35">
      <c r="C38947" s="2"/>
    </row>
    <row r="38948" spans="3:3" x14ac:dyDescent="0.35">
      <c r="C38948" s="2"/>
    </row>
    <row r="38949" spans="3:3" x14ac:dyDescent="0.35">
      <c r="C38949" s="2"/>
    </row>
    <row r="38950" spans="3:3" x14ac:dyDescent="0.35">
      <c r="C38950" s="2"/>
    </row>
    <row r="38951" spans="3:3" x14ac:dyDescent="0.35">
      <c r="C38951" s="2"/>
    </row>
    <row r="38952" spans="3:3" x14ac:dyDescent="0.35">
      <c r="C38952" s="2"/>
    </row>
    <row r="38953" spans="3:3" x14ac:dyDescent="0.35">
      <c r="C38953" s="2"/>
    </row>
    <row r="38954" spans="3:3" x14ac:dyDescent="0.35">
      <c r="C38954" s="2"/>
    </row>
    <row r="38955" spans="3:3" x14ac:dyDescent="0.35">
      <c r="C38955" s="2"/>
    </row>
    <row r="38956" spans="3:3" x14ac:dyDescent="0.35">
      <c r="C38956" s="2"/>
    </row>
    <row r="38957" spans="3:3" x14ac:dyDescent="0.35">
      <c r="C38957" s="2"/>
    </row>
    <row r="38958" spans="3:3" x14ac:dyDescent="0.35">
      <c r="C38958" s="2"/>
    </row>
    <row r="38959" spans="3:3" x14ac:dyDescent="0.35">
      <c r="C38959" s="2"/>
    </row>
    <row r="38960" spans="3:3" x14ac:dyDescent="0.35">
      <c r="C38960" s="2"/>
    </row>
    <row r="38961" spans="3:3" x14ac:dyDescent="0.35">
      <c r="C38961" s="2"/>
    </row>
    <row r="38962" spans="3:3" x14ac:dyDescent="0.35">
      <c r="C38962" s="2"/>
    </row>
    <row r="38963" spans="3:3" x14ac:dyDescent="0.35">
      <c r="C38963" s="2"/>
    </row>
    <row r="38964" spans="3:3" x14ac:dyDescent="0.35">
      <c r="C38964" s="2"/>
    </row>
    <row r="38965" spans="3:3" x14ac:dyDescent="0.35">
      <c r="C38965" s="2"/>
    </row>
    <row r="38966" spans="3:3" x14ac:dyDescent="0.35">
      <c r="C38966" s="2"/>
    </row>
    <row r="38967" spans="3:3" x14ac:dyDescent="0.35">
      <c r="C38967" s="2"/>
    </row>
    <row r="38968" spans="3:3" x14ac:dyDescent="0.35">
      <c r="C38968" s="2"/>
    </row>
    <row r="38969" spans="3:3" x14ac:dyDescent="0.35">
      <c r="C38969" s="2"/>
    </row>
    <row r="38970" spans="3:3" x14ac:dyDescent="0.35">
      <c r="C38970" s="2"/>
    </row>
    <row r="38971" spans="3:3" x14ac:dyDescent="0.35">
      <c r="C38971" s="2"/>
    </row>
    <row r="38972" spans="3:3" x14ac:dyDescent="0.35">
      <c r="C38972" s="2"/>
    </row>
    <row r="38973" spans="3:3" x14ac:dyDescent="0.35">
      <c r="C38973" s="2"/>
    </row>
    <row r="38974" spans="3:3" x14ac:dyDescent="0.35">
      <c r="C38974" s="2"/>
    </row>
    <row r="38975" spans="3:3" x14ac:dyDescent="0.35">
      <c r="C38975" s="2"/>
    </row>
    <row r="38976" spans="3:3" x14ac:dyDescent="0.35">
      <c r="C38976" s="2"/>
    </row>
    <row r="38977" spans="3:3" x14ac:dyDescent="0.35">
      <c r="C38977" s="2"/>
    </row>
    <row r="38978" spans="3:3" x14ac:dyDescent="0.35">
      <c r="C38978" s="2"/>
    </row>
    <row r="38979" spans="3:3" x14ac:dyDescent="0.35">
      <c r="C38979" s="2"/>
    </row>
    <row r="38980" spans="3:3" x14ac:dyDescent="0.35">
      <c r="C38980" s="2"/>
    </row>
    <row r="38981" spans="3:3" x14ac:dyDescent="0.35">
      <c r="C38981" s="2"/>
    </row>
    <row r="38982" spans="3:3" x14ac:dyDescent="0.35">
      <c r="C38982" s="2"/>
    </row>
    <row r="38983" spans="3:3" x14ac:dyDescent="0.35">
      <c r="C38983" s="2"/>
    </row>
    <row r="38984" spans="3:3" x14ac:dyDescent="0.35">
      <c r="C38984" s="2"/>
    </row>
    <row r="38985" spans="3:3" x14ac:dyDescent="0.35">
      <c r="C38985" s="2"/>
    </row>
    <row r="38986" spans="3:3" x14ac:dyDescent="0.35">
      <c r="C38986" s="2"/>
    </row>
    <row r="38987" spans="3:3" x14ac:dyDescent="0.35">
      <c r="C38987" s="2"/>
    </row>
    <row r="38988" spans="3:3" x14ac:dyDescent="0.35">
      <c r="C38988" s="2"/>
    </row>
    <row r="38989" spans="3:3" x14ac:dyDescent="0.35">
      <c r="C38989" s="2"/>
    </row>
    <row r="38990" spans="3:3" x14ac:dyDescent="0.35">
      <c r="C38990" s="2"/>
    </row>
    <row r="38991" spans="3:3" x14ac:dyDescent="0.35">
      <c r="C38991" s="2"/>
    </row>
    <row r="38992" spans="3:3" x14ac:dyDescent="0.35">
      <c r="C38992" s="2"/>
    </row>
    <row r="38993" spans="3:3" x14ac:dyDescent="0.35">
      <c r="C38993" s="2"/>
    </row>
    <row r="38994" spans="3:3" x14ac:dyDescent="0.35">
      <c r="C38994" s="2"/>
    </row>
    <row r="38995" spans="3:3" x14ac:dyDescent="0.35">
      <c r="C38995" s="2"/>
    </row>
    <row r="38996" spans="3:3" x14ac:dyDescent="0.35">
      <c r="C38996" s="2"/>
    </row>
    <row r="38997" spans="3:3" x14ac:dyDescent="0.35">
      <c r="C38997" s="2"/>
    </row>
    <row r="38998" spans="3:3" x14ac:dyDescent="0.35">
      <c r="C38998" s="2"/>
    </row>
    <row r="38999" spans="3:3" x14ac:dyDescent="0.35">
      <c r="C38999" s="2"/>
    </row>
    <row r="39000" spans="3:3" x14ac:dyDescent="0.35">
      <c r="C39000" s="2"/>
    </row>
    <row r="39001" spans="3:3" x14ac:dyDescent="0.35">
      <c r="C39001" s="2"/>
    </row>
    <row r="39002" spans="3:3" x14ac:dyDescent="0.35">
      <c r="C39002" s="2"/>
    </row>
    <row r="39003" spans="3:3" x14ac:dyDescent="0.35">
      <c r="C39003" s="2"/>
    </row>
    <row r="39004" spans="3:3" x14ac:dyDescent="0.35">
      <c r="C39004" s="2"/>
    </row>
    <row r="39005" spans="3:3" x14ac:dyDescent="0.35">
      <c r="C39005" s="2"/>
    </row>
    <row r="39006" spans="3:3" x14ac:dyDescent="0.35">
      <c r="C39006" s="2"/>
    </row>
    <row r="39007" spans="3:3" x14ac:dyDescent="0.35">
      <c r="C39007" s="2"/>
    </row>
    <row r="39008" spans="3:3" x14ac:dyDescent="0.35">
      <c r="C39008" s="2"/>
    </row>
    <row r="39009" spans="3:3" x14ac:dyDescent="0.35">
      <c r="C39009" s="2"/>
    </row>
    <row r="39010" spans="3:3" x14ac:dyDescent="0.35">
      <c r="C39010" s="2"/>
    </row>
    <row r="39011" spans="3:3" x14ac:dyDescent="0.35">
      <c r="C39011" s="2"/>
    </row>
    <row r="39012" spans="3:3" x14ac:dyDescent="0.35">
      <c r="C39012" s="2"/>
    </row>
    <row r="39013" spans="3:3" x14ac:dyDescent="0.35">
      <c r="C39013" s="2"/>
    </row>
    <row r="39014" spans="3:3" x14ac:dyDescent="0.35">
      <c r="C39014" s="2"/>
    </row>
    <row r="39015" spans="3:3" x14ac:dyDescent="0.35">
      <c r="C39015" s="2"/>
    </row>
    <row r="39016" spans="3:3" x14ac:dyDescent="0.35">
      <c r="C39016" s="2"/>
    </row>
    <row r="39017" spans="3:3" x14ac:dyDescent="0.35">
      <c r="C39017" s="2"/>
    </row>
    <row r="39018" spans="3:3" x14ac:dyDescent="0.35">
      <c r="C39018" s="2"/>
    </row>
    <row r="39019" spans="3:3" x14ac:dyDescent="0.35">
      <c r="C39019" s="2"/>
    </row>
    <row r="39020" spans="3:3" x14ac:dyDescent="0.35">
      <c r="C39020" s="2"/>
    </row>
    <row r="39021" spans="3:3" x14ac:dyDescent="0.35">
      <c r="C39021" s="2"/>
    </row>
    <row r="39022" spans="3:3" x14ac:dyDescent="0.35">
      <c r="C39022" s="2"/>
    </row>
    <row r="39023" spans="3:3" x14ac:dyDescent="0.35">
      <c r="C39023" s="2"/>
    </row>
    <row r="39024" spans="3:3" x14ac:dyDescent="0.35">
      <c r="C39024" s="2"/>
    </row>
    <row r="39025" spans="3:3" x14ac:dyDescent="0.35">
      <c r="C39025" s="2"/>
    </row>
    <row r="39026" spans="3:3" x14ac:dyDescent="0.35">
      <c r="C39026" s="2"/>
    </row>
    <row r="39027" spans="3:3" x14ac:dyDescent="0.35">
      <c r="C39027" s="2"/>
    </row>
    <row r="39028" spans="3:3" x14ac:dyDescent="0.35">
      <c r="C39028" s="2"/>
    </row>
    <row r="39029" spans="3:3" x14ac:dyDescent="0.35">
      <c r="C39029" s="2"/>
    </row>
    <row r="39030" spans="3:3" x14ac:dyDescent="0.35">
      <c r="C39030" s="2"/>
    </row>
    <row r="39031" spans="3:3" x14ac:dyDescent="0.35">
      <c r="C39031" s="2"/>
    </row>
    <row r="39032" spans="3:3" x14ac:dyDescent="0.35">
      <c r="C39032" s="2"/>
    </row>
    <row r="39033" spans="3:3" x14ac:dyDescent="0.35">
      <c r="C39033" s="2"/>
    </row>
    <row r="39034" spans="3:3" x14ac:dyDescent="0.35">
      <c r="C39034" s="2"/>
    </row>
    <row r="39035" spans="3:3" x14ac:dyDescent="0.35">
      <c r="C39035" s="2"/>
    </row>
    <row r="39036" spans="3:3" x14ac:dyDescent="0.35">
      <c r="C39036" s="2"/>
    </row>
    <row r="39037" spans="3:3" x14ac:dyDescent="0.35">
      <c r="C39037" s="2"/>
    </row>
    <row r="39038" spans="3:3" x14ac:dyDescent="0.35">
      <c r="C39038" s="2"/>
    </row>
    <row r="39039" spans="3:3" x14ac:dyDescent="0.35">
      <c r="C39039" s="2"/>
    </row>
    <row r="39040" spans="3:3" x14ac:dyDescent="0.35">
      <c r="C39040" s="2"/>
    </row>
    <row r="39041" spans="3:3" x14ac:dyDescent="0.35">
      <c r="C39041" s="2"/>
    </row>
    <row r="39042" spans="3:3" x14ac:dyDescent="0.35">
      <c r="C39042" s="2"/>
    </row>
    <row r="39043" spans="3:3" x14ac:dyDescent="0.35">
      <c r="C39043" s="2"/>
    </row>
    <row r="39044" spans="3:3" x14ac:dyDescent="0.35">
      <c r="C39044" s="2"/>
    </row>
    <row r="39045" spans="3:3" x14ac:dyDescent="0.35">
      <c r="C39045" s="2"/>
    </row>
    <row r="39046" spans="3:3" x14ac:dyDescent="0.35">
      <c r="C39046" s="2"/>
    </row>
    <row r="39047" spans="3:3" x14ac:dyDescent="0.35">
      <c r="C39047" s="2"/>
    </row>
    <row r="39048" spans="3:3" x14ac:dyDescent="0.35">
      <c r="C39048" s="2"/>
    </row>
    <row r="39049" spans="3:3" x14ac:dyDescent="0.35">
      <c r="C39049" s="2"/>
    </row>
    <row r="39050" spans="3:3" x14ac:dyDescent="0.35">
      <c r="C39050" s="2"/>
    </row>
    <row r="39051" spans="3:3" x14ac:dyDescent="0.35">
      <c r="C39051" s="2"/>
    </row>
    <row r="39052" spans="3:3" x14ac:dyDescent="0.35">
      <c r="C39052" s="2"/>
    </row>
    <row r="39053" spans="3:3" x14ac:dyDescent="0.35">
      <c r="C39053" s="2"/>
    </row>
    <row r="39054" spans="3:3" x14ac:dyDescent="0.35">
      <c r="C39054" s="2"/>
    </row>
    <row r="39055" spans="3:3" x14ac:dyDescent="0.35">
      <c r="C39055" s="2"/>
    </row>
    <row r="39056" spans="3:3" x14ac:dyDescent="0.35">
      <c r="C39056" s="2"/>
    </row>
    <row r="39057" spans="3:3" x14ac:dyDescent="0.35">
      <c r="C39057" s="2"/>
    </row>
    <row r="39058" spans="3:3" x14ac:dyDescent="0.35">
      <c r="C39058" s="2"/>
    </row>
    <row r="39059" spans="3:3" x14ac:dyDescent="0.35">
      <c r="C39059" s="2"/>
    </row>
    <row r="39060" spans="3:3" x14ac:dyDescent="0.35">
      <c r="C39060" s="2"/>
    </row>
    <row r="39061" spans="3:3" x14ac:dyDescent="0.35">
      <c r="C39061" s="2"/>
    </row>
    <row r="39062" spans="3:3" x14ac:dyDescent="0.35">
      <c r="C39062" s="2"/>
    </row>
    <row r="39063" spans="3:3" x14ac:dyDescent="0.35">
      <c r="C39063" s="2"/>
    </row>
    <row r="39064" spans="3:3" x14ac:dyDescent="0.35">
      <c r="C39064" s="2"/>
    </row>
    <row r="39065" spans="3:3" x14ac:dyDescent="0.35">
      <c r="C39065" s="2"/>
    </row>
    <row r="39066" spans="3:3" x14ac:dyDescent="0.35">
      <c r="C39066" s="2"/>
    </row>
    <row r="39067" spans="3:3" x14ac:dyDescent="0.35">
      <c r="C39067" s="2"/>
    </row>
    <row r="39068" spans="3:3" x14ac:dyDescent="0.35">
      <c r="C39068" s="2"/>
    </row>
    <row r="39069" spans="3:3" x14ac:dyDescent="0.35">
      <c r="C39069" s="2"/>
    </row>
    <row r="39070" spans="3:3" x14ac:dyDescent="0.35">
      <c r="C39070" s="2"/>
    </row>
    <row r="39071" spans="3:3" x14ac:dyDescent="0.35">
      <c r="C39071" s="2"/>
    </row>
    <row r="39072" spans="3:3" x14ac:dyDescent="0.35">
      <c r="C39072" s="2"/>
    </row>
    <row r="39073" spans="3:3" x14ac:dyDescent="0.35">
      <c r="C39073" s="2"/>
    </row>
    <row r="39074" spans="3:3" x14ac:dyDescent="0.35">
      <c r="C39074" s="2"/>
    </row>
    <row r="39075" spans="3:3" x14ac:dyDescent="0.35">
      <c r="C39075" s="2"/>
    </row>
    <row r="39076" spans="3:3" x14ac:dyDescent="0.35">
      <c r="C39076" s="2"/>
    </row>
    <row r="39077" spans="3:3" x14ac:dyDescent="0.35">
      <c r="C39077" s="2"/>
    </row>
    <row r="39078" spans="3:3" x14ac:dyDescent="0.35">
      <c r="C39078" s="2"/>
    </row>
    <row r="39079" spans="3:3" x14ac:dyDescent="0.35">
      <c r="C39079" s="2"/>
    </row>
    <row r="39080" spans="3:3" x14ac:dyDescent="0.35">
      <c r="C39080" s="2"/>
    </row>
    <row r="39081" spans="3:3" x14ac:dyDescent="0.35">
      <c r="C39081" s="2"/>
    </row>
    <row r="39082" spans="3:3" x14ac:dyDescent="0.35">
      <c r="C39082" s="2"/>
    </row>
    <row r="39083" spans="3:3" x14ac:dyDescent="0.35">
      <c r="C39083" s="2"/>
    </row>
    <row r="39084" spans="3:3" x14ac:dyDescent="0.35">
      <c r="C39084" s="2"/>
    </row>
    <row r="39085" spans="3:3" x14ac:dyDescent="0.35">
      <c r="C39085" s="2"/>
    </row>
    <row r="39086" spans="3:3" x14ac:dyDescent="0.35">
      <c r="C39086" s="2"/>
    </row>
    <row r="39087" spans="3:3" x14ac:dyDescent="0.35">
      <c r="C39087" s="2"/>
    </row>
    <row r="39088" spans="3:3" x14ac:dyDescent="0.35">
      <c r="C39088" s="2"/>
    </row>
    <row r="39089" spans="3:3" x14ac:dyDescent="0.35">
      <c r="C39089" s="2"/>
    </row>
    <row r="39090" spans="3:3" x14ac:dyDescent="0.35">
      <c r="C39090" s="2"/>
    </row>
    <row r="39091" spans="3:3" x14ac:dyDescent="0.35">
      <c r="C39091" s="2"/>
    </row>
    <row r="39092" spans="3:3" x14ac:dyDescent="0.35">
      <c r="C39092" s="2"/>
    </row>
    <row r="39093" spans="3:3" x14ac:dyDescent="0.35">
      <c r="C39093" s="2"/>
    </row>
    <row r="39094" spans="3:3" x14ac:dyDescent="0.35">
      <c r="C39094" s="2"/>
    </row>
    <row r="39095" spans="3:3" x14ac:dyDescent="0.35">
      <c r="C39095" s="2"/>
    </row>
    <row r="39096" spans="3:3" x14ac:dyDescent="0.35">
      <c r="C39096" s="2"/>
    </row>
    <row r="39097" spans="3:3" x14ac:dyDescent="0.35">
      <c r="C39097" s="2"/>
    </row>
    <row r="39098" spans="3:3" x14ac:dyDescent="0.35">
      <c r="C39098" s="2"/>
    </row>
    <row r="39099" spans="3:3" x14ac:dyDescent="0.35">
      <c r="C39099" s="2"/>
    </row>
    <row r="39100" spans="3:3" x14ac:dyDescent="0.35">
      <c r="C39100" s="2"/>
    </row>
    <row r="39101" spans="3:3" x14ac:dyDescent="0.35">
      <c r="C39101" s="2"/>
    </row>
    <row r="39102" spans="3:3" x14ac:dyDescent="0.35">
      <c r="C39102" s="2"/>
    </row>
    <row r="39103" spans="3:3" x14ac:dyDescent="0.35">
      <c r="C39103" s="2"/>
    </row>
    <row r="39104" spans="3:3" x14ac:dyDescent="0.35">
      <c r="C39104" s="2"/>
    </row>
    <row r="39105" spans="3:3" x14ac:dyDescent="0.35">
      <c r="C39105" s="2"/>
    </row>
    <row r="39106" spans="3:3" x14ac:dyDescent="0.35">
      <c r="C39106" s="2"/>
    </row>
    <row r="39107" spans="3:3" x14ac:dyDescent="0.35">
      <c r="C39107" s="2"/>
    </row>
    <row r="39108" spans="3:3" x14ac:dyDescent="0.35">
      <c r="C39108" s="2"/>
    </row>
    <row r="39109" spans="3:3" x14ac:dyDescent="0.35">
      <c r="C39109" s="2"/>
    </row>
    <row r="39110" spans="3:3" x14ac:dyDescent="0.35">
      <c r="C39110" s="2"/>
    </row>
    <row r="39111" spans="3:3" x14ac:dyDescent="0.35">
      <c r="C39111" s="2"/>
    </row>
    <row r="39112" spans="3:3" x14ac:dyDescent="0.35">
      <c r="C39112" s="2"/>
    </row>
    <row r="39113" spans="3:3" x14ac:dyDescent="0.35">
      <c r="C39113" s="2"/>
    </row>
    <row r="39114" spans="3:3" x14ac:dyDescent="0.35">
      <c r="C39114" s="2"/>
    </row>
    <row r="39115" spans="3:3" x14ac:dyDescent="0.35">
      <c r="C39115" s="2"/>
    </row>
    <row r="39116" spans="3:3" x14ac:dyDescent="0.35">
      <c r="C39116" s="2"/>
    </row>
    <row r="39117" spans="3:3" x14ac:dyDescent="0.35">
      <c r="C39117" s="2"/>
    </row>
    <row r="39118" spans="3:3" x14ac:dyDescent="0.35">
      <c r="C39118" s="2"/>
    </row>
    <row r="39119" spans="3:3" x14ac:dyDescent="0.35">
      <c r="C39119" s="2"/>
    </row>
    <row r="39120" spans="3:3" x14ac:dyDescent="0.35">
      <c r="C39120" s="2"/>
    </row>
    <row r="39121" spans="3:3" x14ac:dyDescent="0.35">
      <c r="C39121" s="2"/>
    </row>
    <row r="39122" spans="3:3" x14ac:dyDescent="0.35">
      <c r="C39122" s="2"/>
    </row>
    <row r="39123" spans="3:3" x14ac:dyDescent="0.35">
      <c r="C39123" s="2"/>
    </row>
    <row r="39124" spans="3:3" x14ac:dyDescent="0.35">
      <c r="C39124" s="2"/>
    </row>
    <row r="39125" spans="3:3" x14ac:dyDescent="0.35">
      <c r="C39125" s="2"/>
    </row>
    <row r="39126" spans="3:3" x14ac:dyDescent="0.35">
      <c r="C39126" s="2"/>
    </row>
    <row r="39127" spans="3:3" x14ac:dyDescent="0.35">
      <c r="C39127" s="2"/>
    </row>
    <row r="39128" spans="3:3" x14ac:dyDescent="0.35">
      <c r="C39128" s="2"/>
    </row>
    <row r="39129" spans="3:3" x14ac:dyDescent="0.35">
      <c r="C39129" s="2"/>
    </row>
    <row r="39130" spans="3:3" x14ac:dyDescent="0.35">
      <c r="C39130" s="2"/>
    </row>
    <row r="39131" spans="3:3" x14ac:dyDescent="0.35">
      <c r="C39131" s="2"/>
    </row>
    <row r="39132" spans="3:3" x14ac:dyDescent="0.35">
      <c r="C39132" s="2"/>
    </row>
    <row r="39133" spans="3:3" x14ac:dyDescent="0.35">
      <c r="C39133" s="2"/>
    </row>
    <row r="39134" spans="3:3" x14ac:dyDescent="0.35">
      <c r="C39134" s="2"/>
    </row>
    <row r="39135" spans="3:3" x14ac:dyDescent="0.35">
      <c r="C39135" s="2"/>
    </row>
    <row r="39136" spans="3:3" x14ac:dyDescent="0.35">
      <c r="C39136" s="2"/>
    </row>
    <row r="39137" spans="3:3" x14ac:dyDescent="0.35">
      <c r="C39137" s="2"/>
    </row>
    <row r="39138" spans="3:3" x14ac:dyDescent="0.35">
      <c r="C39138" s="2"/>
    </row>
    <row r="39139" spans="3:3" x14ac:dyDescent="0.35">
      <c r="C39139" s="2"/>
    </row>
    <row r="39140" spans="3:3" x14ac:dyDescent="0.35">
      <c r="C39140" s="2"/>
    </row>
    <row r="39141" spans="3:3" x14ac:dyDescent="0.35">
      <c r="C39141" s="2"/>
    </row>
    <row r="39142" spans="3:3" x14ac:dyDescent="0.35">
      <c r="C39142" s="2"/>
    </row>
    <row r="39143" spans="3:3" x14ac:dyDescent="0.35">
      <c r="C39143" s="2"/>
    </row>
    <row r="39144" spans="3:3" x14ac:dyDescent="0.35">
      <c r="C39144" s="2"/>
    </row>
    <row r="39145" spans="3:3" x14ac:dyDescent="0.35">
      <c r="C39145" s="2"/>
    </row>
    <row r="39146" spans="3:3" x14ac:dyDescent="0.35">
      <c r="C39146" s="2"/>
    </row>
    <row r="39147" spans="3:3" x14ac:dyDescent="0.35">
      <c r="C39147" s="2"/>
    </row>
    <row r="39148" spans="3:3" x14ac:dyDescent="0.35">
      <c r="C39148" s="2"/>
    </row>
    <row r="39149" spans="3:3" x14ac:dyDescent="0.35">
      <c r="C39149" s="2"/>
    </row>
    <row r="39150" spans="3:3" x14ac:dyDescent="0.35">
      <c r="C39150" s="2"/>
    </row>
    <row r="39151" spans="3:3" x14ac:dyDescent="0.35">
      <c r="C39151" s="2"/>
    </row>
    <row r="39152" spans="3:3" x14ac:dyDescent="0.35">
      <c r="C39152" s="2"/>
    </row>
    <row r="39153" spans="3:3" x14ac:dyDescent="0.35">
      <c r="C39153" s="2"/>
    </row>
    <row r="39154" spans="3:3" x14ac:dyDescent="0.35">
      <c r="C39154" s="2"/>
    </row>
    <row r="39155" spans="3:3" x14ac:dyDescent="0.35">
      <c r="C39155" s="2"/>
    </row>
    <row r="39156" spans="3:3" x14ac:dyDescent="0.35">
      <c r="C39156" s="2"/>
    </row>
    <row r="39157" spans="3:3" x14ac:dyDescent="0.35">
      <c r="C39157" s="2"/>
    </row>
    <row r="39158" spans="3:3" x14ac:dyDescent="0.35">
      <c r="C39158" s="2"/>
    </row>
    <row r="39159" spans="3:3" x14ac:dyDescent="0.35">
      <c r="C39159" s="2"/>
    </row>
    <row r="39160" spans="3:3" x14ac:dyDescent="0.35">
      <c r="C39160" s="2"/>
    </row>
    <row r="39161" spans="3:3" x14ac:dyDescent="0.35">
      <c r="C39161" s="2"/>
    </row>
    <row r="39162" spans="3:3" x14ac:dyDescent="0.35">
      <c r="C39162" s="2"/>
    </row>
    <row r="39163" spans="3:3" x14ac:dyDescent="0.35">
      <c r="C39163" s="2"/>
    </row>
    <row r="39164" spans="3:3" x14ac:dyDescent="0.35">
      <c r="C39164" s="2"/>
    </row>
    <row r="39165" spans="3:3" x14ac:dyDescent="0.35">
      <c r="C39165" s="2"/>
    </row>
    <row r="39166" spans="3:3" x14ac:dyDescent="0.35">
      <c r="C39166" s="2"/>
    </row>
    <row r="39167" spans="3:3" x14ac:dyDescent="0.35">
      <c r="C39167" s="2"/>
    </row>
    <row r="39168" spans="3:3" x14ac:dyDescent="0.35">
      <c r="C39168" s="2"/>
    </row>
    <row r="39169" spans="3:3" x14ac:dyDescent="0.35">
      <c r="C39169" s="2"/>
    </row>
    <row r="39170" spans="3:3" x14ac:dyDescent="0.35">
      <c r="C39170" s="2"/>
    </row>
    <row r="39171" spans="3:3" x14ac:dyDescent="0.35">
      <c r="C39171" s="2"/>
    </row>
    <row r="39172" spans="3:3" x14ac:dyDescent="0.35">
      <c r="C39172" s="2"/>
    </row>
    <row r="39173" spans="3:3" x14ac:dyDescent="0.35">
      <c r="C39173" s="2"/>
    </row>
    <row r="39174" spans="3:3" x14ac:dyDescent="0.35">
      <c r="C39174" s="2"/>
    </row>
    <row r="39175" spans="3:3" x14ac:dyDescent="0.35">
      <c r="C39175" s="2"/>
    </row>
    <row r="39176" spans="3:3" x14ac:dyDescent="0.35">
      <c r="C39176" s="2"/>
    </row>
    <row r="39177" spans="3:3" x14ac:dyDescent="0.35">
      <c r="C39177" s="2"/>
    </row>
    <row r="39178" spans="3:3" x14ac:dyDescent="0.35">
      <c r="C39178" s="2"/>
    </row>
    <row r="39179" spans="3:3" x14ac:dyDescent="0.35">
      <c r="C39179" s="2"/>
    </row>
    <row r="39180" spans="3:3" x14ac:dyDescent="0.35">
      <c r="C39180" s="2"/>
    </row>
    <row r="39181" spans="3:3" x14ac:dyDescent="0.35">
      <c r="C39181" s="2"/>
    </row>
    <row r="39182" spans="3:3" x14ac:dyDescent="0.35">
      <c r="C39182" s="2"/>
    </row>
    <row r="39183" spans="3:3" x14ac:dyDescent="0.35">
      <c r="C39183" s="2"/>
    </row>
    <row r="39184" spans="3:3" x14ac:dyDescent="0.35">
      <c r="C39184" s="2"/>
    </row>
    <row r="39185" spans="3:3" x14ac:dyDescent="0.35">
      <c r="C39185" s="2"/>
    </row>
    <row r="39186" spans="3:3" x14ac:dyDescent="0.35">
      <c r="C39186" s="2"/>
    </row>
    <row r="39187" spans="3:3" x14ac:dyDescent="0.35">
      <c r="C39187" s="2"/>
    </row>
    <row r="39188" spans="3:3" x14ac:dyDescent="0.35">
      <c r="C39188" s="2"/>
    </row>
    <row r="39189" spans="3:3" x14ac:dyDescent="0.35">
      <c r="C39189" s="2"/>
    </row>
    <row r="39190" spans="3:3" x14ac:dyDescent="0.35">
      <c r="C39190" s="2"/>
    </row>
    <row r="39191" spans="3:3" x14ac:dyDescent="0.35">
      <c r="C39191" s="2"/>
    </row>
    <row r="39192" spans="3:3" x14ac:dyDescent="0.35">
      <c r="C39192" s="2"/>
    </row>
    <row r="39193" spans="3:3" x14ac:dyDescent="0.35">
      <c r="C39193" s="2"/>
    </row>
    <row r="39194" spans="3:3" x14ac:dyDescent="0.35">
      <c r="C39194" s="2"/>
    </row>
    <row r="39195" spans="3:3" x14ac:dyDescent="0.35">
      <c r="C39195" s="2"/>
    </row>
    <row r="39196" spans="3:3" x14ac:dyDescent="0.35">
      <c r="C39196" s="2"/>
    </row>
    <row r="39197" spans="3:3" x14ac:dyDescent="0.35">
      <c r="C39197" s="2"/>
    </row>
    <row r="39198" spans="3:3" x14ac:dyDescent="0.35">
      <c r="C39198" s="2"/>
    </row>
    <row r="39199" spans="3:3" x14ac:dyDescent="0.35">
      <c r="C39199" s="2"/>
    </row>
    <row r="39200" spans="3:3" x14ac:dyDescent="0.35">
      <c r="C39200" s="2"/>
    </row>
    <row r="39201" spans="3:3" x14ac:dyDescent="0.35">
      <c r="C39201" s="2"/>
    </row>
    <row r="39202" spans="3:3" x14ac:dyDescent="0.35">
      <c r="C39202" s="2"/>
    </row>
    <row r="39203" spans="3:3" x14ac:dyDescent="0.35">
      <c r="C39203" s="2"/>
    </row>
    <row r="39204" spans="3:3" x14ac:dyDescent="0.35">
      <c r="C39204" s="2"/>
    </row>
    <row r="39205" spans="3:3" x14ac:dyDescent="0.35">
      <c r="C39205" s="2"/>
    </row>
    <row r="39206" spans="3:3" x14ac:dyDescent="0.35">
      <c r="C39206" s="2"/>
    </row>
    <row r="39207" spans="3:3" x14ac:dyDescent="0.35">
      <c r="C39207" s="2"/>
    </row>
    <row r="39208" spans="3:3" x14ac:dyDescent="0.35">
      <c r="C39208" s="2"/>
    </row>
    <row r="39209" spans="3:3" x14ac:dyDescent="0.35">
      <c r="C39209" s="2"/>
    </row>
    <row r="39210" spans="3:3" x14ac:dyDescent="0.35">
      <c r="C39210" s="2"/>
    </row>
    <row r="39211" spans="3:3" x14ac:dyDescent="0.35">
      <c r="C39211" s="2"/>
    </row>
    <row r="39212" spans="3:3" x14ac:dyDescent="0.35">
      <c r="C39212" s="2"/>
    </row>
    <row r="39213" spans="3:3" x14ac:dyDescent="0.35">
      <c r="C39213" s="2"/>
    </row>
    <row r="39214" spans="3:3" x14ac:dyDescent="0.35">
      <c r="C39214" s="2"/>
    </row>
    <row r="39215" spans="3:3" x14ac:dyDescent="0.35">
      <c r="C39215" s="2"/>
    </row>
    <row r="39216" spans="3:3" x14ac:dyDescent="0.35">
      <c r="C39216" s="2"/>
    </row>
    <row r="39217" spans="3:3" x14ac:dyDescent="0.35">
      <c r="C39217" s="2"/>
    </row>
    <row r="39218" spans="3:3" x14ac:dyDescent="0.35">
      <c r="C39218" s="2"/>
    </row>
    <row r="39219" spans="3:3" x14ac:dyDescent="0.35">
      <c r="C39219" s="2"/>
    </row>
    <row r="39220" spans="3:3" x14ac:dyDescent="0.35">
      <c r="C39220" s="2"/>
    </row>
    <row r="39221" spans="3:3" x14ac:dyDescent="0.35">
      <c r="C39221" s="2"/>
    </row>
    <row r="39222" spans="3:3" x14ac:dyDescent="0.35">
      <c r="C39222" s="2"/>
    </row>
    <row r="39223" spans="3:3" x14ac:dyDescent="0.35">
      <c r="C39223" s="2"/>
    </row>
    <row r="39224" spans="3:3" x14ac:dyDescent="0.35">
      <c r="C39224" s="2"/>
    </row>
    <row r="39225" spans="3:3" x14ac:dyDescent="0.35">
      <c r="C39225" s="2"/>
    </row>
    <row r="39226" spans="3:3" x14ac:dyDescent="0.35">
      <c r="C39226" s="2"/>
    </row>
    <row r="39227" spans="3:3" x14ac:dyDescent="0.35">
      <c r="C39227" s="2"/>
    </row>
    <row r="39228" spans="3:3" x14ac:dyDescent="0.35">
      <c r="C39228" s="2"/>
    </row>
    <row r="39229" spans="3:3" x14ac:dyDescent="0.35">
      <c r="C39229" s="2"/>
    </row>
    <row r="39230" spans="3:3" x14ac:dyDescent="0.35">
      <c r="C39230" s="2"/>
    </row>
    <row r="39231" spans="3:3" x14ac:dyDescent="0.35">
      <c r="C39231" s="2"/>
    </row>
    <row r="39232" spans="3:3" x14ac:dyDescent="0.35">
      <c r="C39232" s="2"/>
    </row>
    <row r="39233" spans="3:3" x14ac:dyDescent="0.35">
      <c r="C39233" s="2"/>
    </row>
    <row r="39234" spans="3:3" x14ac:dyDescent="0.35">
      <c r="C39234" s="2"/>
    </row>
    <row r="39235" spans="3:3" x14ac:dyDescent="0.35">
      <c r="C39235" s="2"/>
    </row>
    <row r="39236" spans="3:3" x14ac:dyDescent="0.35">
      <c r="C39236" s="2"/>
    </row>
    <row r="39237" spans="3:3" x14ac:dyDescent="0.35">
      <c r="C39237" s="2"/>
    </row>
    <row r="39238" spans="3:3" x14ac:dyDescent="0.35">
      <c r="C39238" s="2"/>
    </row>
    <row r="39239" spans="3:3" x14ac:dyDescent="0.35">
      <c r="C39239" s="2"/>
    </row>
    <row r="39240" spans="3:3" x14ac:dyDescent="0.35">
      <c r="C39240" s="2"/>
    </row>
    <row r="39241" spans="3:3" x14ac:dyDescent="0.35">
      <c r="C39241" s="2"/>
    </row>
    <row r="39242" spans="3:3" x14ac:dyDescent="0.35">
      <c r="C39242" s="2"/>
    </row>
    <row r="39243" spans="3:3" x14ac:dyDescent="0.35">
      <c r="C39243" s="2"/>
    </row>
    <row r="39244" spans="3:3" x14ac:dyDescent="0.35">
      <c r="C39244" s="2"/>
    </row>
    <row r="39245" spans="3:3" x14ac:dyDescent="0.35">
      <c r="C39245" s="2"/>
    </row>
    <row r="39246" spans="3:3" x14ac:dyDescent="0.35">
      <c r="C39246" s="2"/>
    </row>
    <row r="39247" spans="3:3" x14ac:dyDescent="0.35">
      <c r="C39247" s="2"/>
    </row>
    <row r="39248" spans="3:3" x14ac:dyDescent="0.35">
      <c r="C39248" s="2"/>
    </row>
    <row r="39249" spans="3:3" x14ac:dyDescent="0.35">
      <c r="C39249" s="2"/>
    </row>
    <row r="39250" spans="3:3" x14ac:dyDescent="0.35">
      <c r="C39250" s="2"/>
    </row>
    <row r="39251" spans="3:3" x14ac:dyDescent="0.35">
      <c r="C39251" s="2"/>
    </row>
    <row r="39252" spans="3:3" x14ac:dyDescent="0.35">
      <c r="C39252" s="2"/>
    </row>
    <row r="39253" spans="3:3" x14ac:dyDescent="0.35">
      <c r="C39253" s="2"/>
    </row>
    <row r="39254" spans="3:3" x14ac:dyDescent="0.35">
      <c r="C39254" s="2"/>
    </row>
    <row r="39255" spans="3:3" x14ac:dyDescent="0.35">
      <c r="C39255" s="2"/>
    </row>
    <row r="39256" spans="3:3" x14ac:dyDescent="0.35">
      <c r="C39256" s="2"/>
    </row>
    <row r="39257" spans="3:3" x14ac:dyDescent="0.35">
      <c r="C39257" s="2"/>
    </row>
    <row r="39258" spans="3:3" x14ac:dyDescent="0.35">
      <c r="C39258" s="2"/>
    </row>
    <row r="39259" spans="3:3" x14ac:dyDescent="0.35">
      <c r="C39259" s="2"/>
    </row>
    <row r="39260" spans="3:3" x14ac:dyDescent="0.35">
      <c r="C39260" s="2"/>
    </row>
    <row r="39261" spans="3:3" x14ac:dyDescent="0.35">
      <c r="C39261" s="2"/>
    </row>
    <row r="39262" spans="3:3" x14ac:dyDescent="0.35">
      <c r="C39262" s="2"/>
    </row>
    <row r="39263" spans="3:3" x14ac:dyDescent="0.35">
      <c r="C39263" s="2"/>
    </row>
    <row r="39264" spans="3:3" x14ac:dyDescent="0.35">
      <c r="C39264" s="2"/>
    </row>
    <row r="39265" spans="3:3" x14ac:dyDescent="0.35">
      <c r="C39265" s="2"/>
    </row>
    <row r="39266" spans="3:3" x14ac:dyDescent="0.35">
      <c r="C39266" s="2"/>
    </row>
    <row r="39267" spans="3:3" x14ac:dyDescent="0.35">
      <c r="C39267" s="2"/>
    </row>
    <row r="39268" spans="3:3" x14ac:dyDescent="0.35">
      <c r="C39268" s="2"/>
    </row>
    <row r="39269" spans="3:3" x14ac:dyDescent="0.35">
      <c r="C39269" s="2"/>
    </row>
    <row r="39270" spans="3:3" x14ac:dyDescent="0.35">
      <c r="C39270" s="2"/>
    </row>
    <row r="39271" spans="3:3" x14ac:dyDescent="0.35">
      <c r="C39271" s="2"/>
    </row>
    <row r="39272" spans="3:3" x14ac:dyDescent="0.35">
      <c r="C39272" s="2"/>
    </row>
    <row r="39273" spans="3:3" x14ac:dyDescent="0.35">
      <c r="C39273" s="2"/>
    </row>
    <row r="39274" spans="3:3" x14ac:dyDescent="0.35">
      <c r="C39274" s="2"/>
    </row>
    <row r="39275" spans="3:3" x14ac:dyDescent="0.35">
      <c r="C39275" s="2"/>
    </row>
    <row r="39276" spans="3:3" x14ac:dyDescent="0.35">
      <c r="C39276" s="2"/>
    </row>
    <row r="39277" spans="3:3" x14ac:dyDescent="0.35">
      <c r="C39277" s="2"/>
    </row>
    <row r="39278" spans="3:3" x14ac:dyDescent="0.35">
      <c r="C39278" s="2"/>
    </row>
    <row r="39279" spans="3:3" x14ac:dyDescent="0.35">
      <c r="C39279" s="2"/>
    </row>
    <row r="39280" spans="3:3" x14ac:dyDescent="0.35">
      <c r="C39280" s="2"/>
    </row>
    <row r="39281" spans="3:3" x14ac:dyDescent="0.35">
      <c r="C39281" s="2"/>
    </row>
    <row r="39282" spans="3:3" x14ac:dyDescent="0.35">
      <c r="C39282" s="2"/>
    </row>
    <row r="39283" spans="3:3" x14ac:dyDescent="0.35">
      <c r="C39283" s="2"/>
    </row>
    <row r="39284" spans="3:3" x14ac:dyDescent="0.35">
      <c r="C39284" s="2"/>
    </row>
    <row r="39285" spans="3:3" x14ac:dyDescent="0.35">
      <c r="C39285" s="2"/>
    </row>
    <row r="39286" spans="3:3" x14ac:dyDescent="0.35">
      <c r="C39286" s="2"/>
    </row>
    <row r="39287" spans="3:3" x14ac:dyDescent="0.35">
      <c r="C39287" s="2"/>
    </row>
    <row r="39288" spans="3:3" x14ac:dyDescent="0.35">
      <c r="C39288" s="2"/>
    </row>
    <row r="39289" spans="3:3" x14ac:dyDescent="0.35">
      <c r="C39289" s="2"/>
    </row>
    <row r="39290" spans="3:3" x14ac:dyDescent="0.35">
      <c r="C39290" s="2"/>
    </row>
    <row r="39291" spans="3:3" x14ac:dyDescent="0.35">
      <c r="C39291" s="2"/>
    </row>
    <row r="39292" spans="3:3" x14ac:dyDescent="0.35">
      <c r="C39292" s="2"/>
    </row>
    <row r="39293" spans="3:3" x14ac:dyDescent="0.35">
      <c r="C39293" s="2"/>
    </row>
    <row r="39294" spans="3:3" x14ac:dyDescent="0.35">
      <c r="C39294" s="2"/>
    </row>
    <row r="39295" spans="3:3" x14ac:dyDescent="0.35">
      <c r="C39295" s="2"/>
    </row>
    <row r="39296" spans="3:3" x14ac:dyDescent="0.35">
      <c r="C39296" s="2"/>
    </row>
    <row r="39297" spans="3:3" x14ac:dyDescent="0.35">
      <c r="C39297" s="2"/>
    </row>
    <row r="39298" spans="3:3" x14ac:dyDescent="0.35">
      <c r="C39298" s="2"/>
    </row>
    <row r="39299" spans="3:3" x14ac:dyDescent="0.35">
      <c r="C39299" s="2"/>
    </row>
    <row r="39300" spans="3:3" x14ac:dyDescent="0.35">
      <c r="C39300" s="2"/>
    </row>
    <row r="39301" spans="3:3" x14ac:dyDescent="0.35">
      <c r="C39301" s="2"/>
    </row>
    <row r="39302" spans="3:3" x14ac:dyDescent="0.35">
      <c r="C39302" s="2"/>
    </row>
    <row r="39303" spans="3:3" x14ac:dyDescent="0.35">
      <c r="C39303" s="2"/>
    </row>
    <row r="39304" spans="3:3" x14ac:dyDescent="0.35">
      <c r="C39304" s="2"/>
    </row>
    <row r="39305" spans="3:3" x14ac:dyDescent="0.35">
      <c r="C39305" s="2"/>
    </row>
    <row r="39306" spans="3:3" x14ac:dyDescent="0.35">
      <c r="C39306" s="2"/>
    </row>
    <row r="39307" spans="3:3" x14ac:dyDescent="0.35">
      <c r="C39307" s="2"/>
    </row>
    <row r="39308" spans="3:3" x14ac:dyDescent="0.35">
      <c r="C39308" s="2"/>
    </row>
    <row r="39309" spans="3:3" x14ac:dyDescent="0.35">
      <c r="C39309" s="2"/>
    </row>
    <row r="39310" spans="3:3" x14ac:dyDescent="0.35">
      <c r="C39310" s="2"/>
    </row>
    <row r="39311" spans="3:3" x14ac:dyDescent="0.35">
      <c r="C39311" s="2"/>
    </row>
    <row r="39312" spans="3:3" x14ac:dyDescent="0.35">
      <c r="C39312" s="2"/>
    </row>
    <row r="39313" spans="3:3" x14ac:dyDescent="0.35">
      <c r="C39313" s="2"/>
    </row>
    <row r="39314" spans="3:3" x14ac:dyDescent="0.35">
      <c r="C39314" s="2"/>
    </row>
    <row r="39315" spans="3:3" x14ac:dyDescent="0.35">
      <c r="C39315" s="2"/>
    </row>
    <row r="39316" spans="3:3" x14ac:dyDescent="0.35">
      <c r="C39316" s="2"/>
    </row>
    <row r="39317" spans="3:3" x14ac:dyDescent="0.35">
      <c r="C39317" s="2"/>
    </row>
    <row r="39318" spans="3:3" x14ac:dyDescent="0.35">
      <c r="C39318" s="2"/>
    </row>
    <row r="39319" spans="3:3" x14ac:dyDescent="0.35">
      <c r="C39319" s="2"/>
    </row>
    <row r="39320" spans="3:3" x14ac:dyDescent="0.35">
      <c r="C39320" s="2"/>
    </row>
    <row r="39321" spans="3:3" x14ac:dyDescent="0.35">
      <c r="C39321" s="2"/>
    </row>
    <row r="39322" spans="3:3" x14ac:dyDescent="0.35">
      <c r="C39322" s="2"/>
    </row>
    <row r="39323" spans="3:3" x14ac:dyDescent="0.35">
      <c r="C39323" s="2"/>
    </row>
    <row r="39324" spans="3:3" x14ac:dyDescent="0.35">
      <c r="C39324" s="2"/>
    </row>
    <row r="39325" spans="3:3" x14ac:dyDescent="0.35">
      <c r="C39325" s="2"/>
    </row>
    <row r="39326" spans="3:3" x14ac:dyDescent="0.35">
      <c r="C39326" s="2"/>
    </row>
    <row r="39327" spans="3:3" x14ac:dyDescent="0.35">
      <c r="C39327" s="2"/>
    </row>
    <row r="39328" spans="3:3" x14ac:dyDescent="0.35">
      <c r="C39328" s="2"/>
    </row>
    <row r="39329" spans="3:3" x14ac:dyDescent="0.35">
      <c r="C39329" s="2"/>
    </row>
    <row r="39330" spans="3:3" x14ac:dyDescent="0.35">
      <c r="C39330" s="2"/>
    </row>
    <row r="39331" spans="3:3" x14ac:dyDescent="0.35">
      <c r="C39331" s="2"/>
    </row>
    <row r="39332" spans="3:3" x14ac:dyDescent="0.35">
      <c r="C39332" s="2"/>
    </row>
    <row r="39333" spans="3:3" x14ac:dyDescent="0.35">
      <c r="C39333" s="2"/>
    </row>
    <row r="39334" spans="3:3" x14ac:dyDescent="0.35">
      <c r="C39334" s="2"/>
    </row>
    <row r="39335" spans="3:3" x14ac:dyDescent="0.35">
      <c r="C39335" s="2"/>
    </row>
    <row r="39336" spans="3:3" x14ac:dyDescent="0.35">
      <c r="C39336" s="2"/>
    </row>
    <row r="39337" spans="3:3" x14ac:dyDescent="0.35">
      <c r="C39337" s="2"/>
    </row>
    <row r="39338" spans="3:3" x14ac:dyDescent="0.35">
      <c r="C39338" s="2"/>
    </row>
    <row r="39339" spans="3:3" x14ac:dyDescent="0.35">
      <c r="C39339" s="2"/>
    </row>
    <row r="39340" spans="3:3" x14ac:dyDescent="0.35">
      <c r="C39340" s="2"/>
    </row>
    <row r="39341" spans="3:3" x14ac:dyDescent="0.35">
      <c r="C39341" s="2"/>
    </row>
    <row r="39342" spans="3:3" x14ac:dyDescent="0.35">
      <c r="C39342" s="2"/>
    </row>
    <row r="39343" spans="3:3" x14ac:dyDescent="0.35">
      <c r="C39343" s="2"/>
    </row>
    <row r="39344" spans="3:3" x14ac:dyDescent="0.35">
      <c r="C39344" s="2"/>
    </row>
    <row r="39345" spans="3:3" x14ac:dyDescent="0.35">
      <c r="C39345" s="2"/>
    </row>
    <row r="39346" spans="3:3" x14ac:dyDescent="0.35">
      <c r="C39346" s="2"/>
    </row>
    <row r="39347" spans="3:3" x14ac:dyDescent="0.35">
      <c r="C39347" s="2"/>
    </row>
    <row r="39348" spans="3:3" x14ac:dyDescent="0.35">
      <c r="C39348" s="2"/>
    </row>
    <row r="39349" spans="3:3" x14ac:dyDescent="0.35">
      <c r="C39349" s="2"/>
    </row>
    <row r="39350" spans="3:3" x14ac:dyDescent="0.35">
      <c r="C39350" s="2"/>
    </row>
    <row r="39351" spans="3:3" x14ac:dyDescent="0.35">
      <c r="C39351" s="2"/>
    </row>
    <row r="39352" spans="3:3" x14ac:dyDescent="0.35">
      <c r="C39352" s="2"/>
    </row>
    <row r="39353" spans="3:3" x14ac:dyDescent="0.35">
      <c r="C39353" s="2"/>
    </row>
    <row r="39354" spans="3:3" x14ac:dyDescent="0.35">
      <c r="C39354" s="2"/>
    </row>
    <row r="39355" spans="3:3" x14ac:dyDescent="0.35">
      <c r="C39355" s="2"/>
    </row>
    <row r="39356" spans="3:3" x14ac:dyDescent="0.35">
      <c r="C39356" s="2"/>
    </row>
    <row r="39357" spans="3:3" x14ac:dyDescent="0.35">
      <c r="C39357" s="2"/>
    </row>
    <row r="39358" spans="3:3" x14ac:dyDescent="0.35">
      <c r="C39358" s="2"/>
    </row>
    <row r="39359" spans="3:3" x14ac:dyDescent="0.35">
      <c r="C39359" s="2"/>
    </row>
    <row r="39360" spans="3:3" x14ac:dyDescent="0.35">
      <c r="C39360" s="2"/>
    </row>
    <row r="39361" spans="3:3" x14ac:dyDescent="0.35">
      <c r="C39361" s="2"/>
    </row>
    <row r="39362" spans="3:3" x14ac:dyDescent="0.35">
      <c r="C39362" s="2"/>
    </row>
    <row r="39363" spans="3:3" x14ac:dyDescent="0.35">
      <c r="C39363" s="2"/>
    </row>
    <row r="39364" spans="3:3" x14ac:dyDescent="0.35">
      <c r="C39364" s="2"/>
    </row>
    <row r="39365" spans="3:3" x14ac:dyDescent="0.35">
      <c r="C39365" s="2"/>
    </row>
    <row r="39366" spans="3:3" x14ac:dyDescent="0.35">
      <c r="C39366" s="2"/>
    </row>
    <row r="39367" spans="3:3" x14ac:dyDescent="0.35">
      <c r="C39367" s="2"/>
    </row>
    <row r="39368" spans="3:3" x14ac:dyDescent="0.35">
      <c r="C39368" s="2"/>
    </row>
    <row r="39369" spans="3:3" x14ac:dyDescent="0.35">
      <c r="C39369" s="2"/>
    </row>
    <row r="39370" spans="3:3" x14ac:dyDescent="0.35">
      <c r="C39370" s="2"/>
    </row>
    <row r="39371" spans="3:3" x14ac:dyDescent="0.35">
      <c r="C39371" s="2"/>
    </row>
    <row r="39372" spans="3:3" x14ac:dyDescent="0.35">
      <c r="C39372" s="2"/>
    </row>
    <row r="39373" spans="3:3" x14ac:dyDescent="0.35">
      <c r="C39373" s="2"/>
    </row>
    <row r="39374" spans="3:3" x14ac:dyDescent="0.35">
      <c r="C39374" s="2"/>
    </row>
    <row r="39375" spans="3:3" x14ac:dyDescent="0.35">
      <c r="C39375" s="2"/>
    </row>
    <row r="39376" spans="3:3" x14ac:dyDescent="0.35">
      <c r="C39376" s="2"/>
    </row>
    <row r="39377" spans="3:3" x14ac:dyDescent="0.35">
      <c r="C39377" s="2"/>
    </row>
    <row r="39378" spans="3:3" x14ac:dyDescent="0.35">
      <c r="C39378" s="2"/>
    </row>
    <row r="39379" spans="3:3" x14ac:dyDescent="0.35">
      <c r="C39379" s="2"/>
    </row>
    <row r="39380" spans="3:3" x14ac:dyDescent="0.35">
      <c r="C39380" s="2"/>
    </row>
    <row r="39381" spans="3:3" x14ac:dyDescent="0.35">
      <c r="C39381" s="2"/>
    </row>
    <row r="39382" spans="3:3" x14ac:dyDescent="0.35">
      <c r="C39382" s="2"/>
    </row>
    <row r="39383" spans="3:3" x14ac:dyDescent="0.35">
      <c r="C39383" s="2"/>
    </row>
    <row r="39384" spans="3:3" x14ac:dyDescent="0.35">
      <c r="C39384" s="2"/>
    </row>
    <row r="39385" spans="3:3" x14ac:dyDescent="0.35">
      <c r="C39385" s="2"/>
    </row>
    <row r="39386" spans="3:3" x14ac:dyDescent="0.35">
      <c r="C39386" s="2"/>
    </row>
    <row r="39387" spans="3:3" x14ac:dyDescent="0.35">
      <c r="C39387" s="2"/>
    </row>
    <row r="39388" spans="3:3" x14ac:dyDescent="0.35">
      <c r="C39388" s="2"/>
    </row>
    <row r="39389" spans="3:3" x14ac:dyDescent="0.35">
      <c r="C39389" s="2"/>
    </row>
    <row r="39390" spans="3:3" x14ac:dyDescent="0.35">
      <c r="C39390" s="2"/>
    </row>
    <row r="39391" spans="3:3" x14ac:dyDescent="0.35">
      <c r="C39391" s="2"/>
    </row>
    <row r="39392" spans="3:3" x14ac:dyDescent="0.35">
      <c r="C39392" s="2"/>
    </row>
    <row r="39393" spans="3:3" x14ac:dyDescent="0.35">
      <c r="C39393" s="2"/>
    </row>
    <row r="39394" spans="3:3" x14ac:dyDescent="0.35">
      <c r="C39394" s="2"/>
    </row>
    <row r="39395" spans="3:3" x14ac:dyDescent="0.35">
      <c r="C39395" s="2"/>
    </row>
    <row r="39396" spans="3:3" x14ac:dyDescent="0.35">
      <c r="C39396" s="2"/>
    </row>
    <row r="39397" spans="3:3" x14ac:dyDescent="0.35">
      <c r="C39397" s="2"/>
    </row>
    <row r="39398" spans="3:3" x14ac:dyDescent="0.35">
      <c r="C39398" s="2"/>
    </row>
    <row r="39399" spans="3:3" x14ac:dyDescent="0.35">
      <c r="C39399" s="2"/>
    </row>
    <row r="39400" spans="3:3" x14ac:dyDescent="0.35">
      <c r="C39400" s="2"/>
    </row>
    <row r="39401" spans="3:3" x14ac:dyDescent="0.35">
      <c r="C39401" s="2"/>
    </row>
    <row r="39402" spans="3:3" x14ac:dyDescent="0.35">
      <c r="C39402" s="2"/>
    </row>
    <row r="39403" spans="3:3" x14ac:dyDescent="0.35">
      <c r="C39403" s="2"/>
    </row>
    <row r="39404" spans="3:3" x14ac:dyDescent="0.35">
      <c r="C39404" s="2"/>
    </row>
    <row r="39405" spans="3:3" x14ac:dyDescent="0.35">
      <c r="C39405" s="2"/>
    </row>
    <row r="39406" spans="3:3" x14ac:dyDescent="0.35">
      <c r="C39406" s="2"/>
    </row>
    <row r="39407" spans="3:3" x14ac:dyDescent="0.35">
      <c r="C39407" s="2"/>
    </row>
    <row r="39408" spans="3:3" x14ac:dyDescent="0.35">
      <c r="C39408" s="2"/>
    </row>
    <row r="39409" spans="3:3" x14ac:dyDescent="0.35">
      <c r="C39409" s="2"/>
    </row>
    <row r="39410" spans="3:3" x14ac:dyDescent="0.35">
      <c r="C39410" s="2"/>
    </row>
    <row r="39411" spans="3:3" x14ac:dyDescent="0.35">
      <c r="C39411" s="2"/>
    </row>
    <row r="39412" spans="3:3" x14ac:dyDescent="0.35">
      <c r="C39412" s="2"/>
    </row>
    <row r="39413" spans="3:3" x14ac:dyDescent="0.35">
      <c r="C39413" s="2"/>
    </row>
    <row r="39414" spans="3:3" x14ac:dyDescent="0.35">
      <c r="C39414" s="2"/>
    </row>
    <row r="39415" spans="3:3" x14ac:dyDescent="0.35">
      <c r="C39415" s="2"/>
    </row>
    <row r="39416" spans="3:3" x14ac:dyDescent="0.35">
      <c r="C39416" s="2"/>
    </row>
    <row r="39417" spans="3:3" x14ac:dyDescent="0.35">
      <c r="C39417" s="2"/>
    </row>
    <row r="39418" spans="3:3" x14ac:dyDescent="0.35">
      <c r="C39418" s="2"/>
    </row>
    <row r="39419" spans="3:3" x14ac:dyDescent="0.35">
      <c r="C39419" s="2"/>
    </row>
    <row r="39420" spans="3:3" x14ac:dyDescent="0.35">
      <c r="C39420" s="2"/>
    </row>
    <row r="39421" spans="3:3" x14ac:dyDescent="0.35">
      <c r="C39421" s="2"/>
    </row>
    <row r="39422" spans="3:3" x14ac:dyDescent="0.35">
      <c r="C39422" s="2"/>
    </row>
    <row r="39423" spans="3:3" x14ac:dyDescent="0.35">
      <c r="C39423" s="2"/>
    </row>
    <row r="39424" spans="3:3" x14ac:dyDescent="0.35">
      <c r="C39424" s="2"/>
    </row>
    <row r="39425" spans="3:3" x14ac:dyDescent="0.35">
      <c r="C39425" s="2"/>
    </row>
    <row r="39426" spans="3:3" x14ac:dyDescent="0.35">
      <c r="C39426" s="2"/>
    </row>
    <row r="39427" spans="3:3" x14ac:dyDescent="0.35">
      <c r="C39427" s="2"/>
    </row>
    <row r="39428" spans="3:3" x14ac:dyDescent="0.35">
      <c r="C39428" s="2"/>
    </row>
    <row r="39429" spans="3:3" x14ac:dyDescent="0.35">
      <c r="C39429" s="2"/>
    </row>
    <row r="39430" spans="3:3" x14ac:dyDescent="0.35">
      <c r="C39430" s="2"/>
    </row>
    <row r="39431" spans="3:3" x14ac:dyDescent="0.35">
      <c r="C39431" s="2"/>
    </row>
    <row r="39432" spans="3:3" x14ac:dyDescent="0.35">
      <c r="C39432" s="2"/>
    </row>
    <row r="39433" spans="3:3" x14ac:dyDescent="0.35">
      <c r="C39433" s="2"/>
    </row>
    <row r="39434" spans="3:3" x14ac:dyDescent="0.35">
      <c r="C39434" s="2"/>
    </row>
    <row r="39435" spans="3:3" x14ac:dyDescent="0.35">
      <c r="C39435" s="2"/>
    </row>
    <row r="39436" spans="3:3" x14ac:dyDescent="0.35">
      <c r="C39436" s="2"/>
    </row>
    <row r="39437" spans="3:3" x14ac:dyDescent="0.35">
      <c r="C39437" s="2"/>
    </row>
    <row r="39438" spans="3:3" x14ac:dyDescent="0.35">
      <c r="C39438" s="2"/>
    </row>
    <row r="39439" spans="3:3" x14ac:dyDescent="0.35">
      <c r="C39439" s="2"/>
    </row>
    <row r="39440" spans="3:3" x14ac:dyDescent="0.35">
      <c r="C39440" s="2"/>
    </row>
    <row r="39441" spans="3:3" x14ac:dyDescent="0.35">
      <c r="C39441" s="2"/>
    </row>
    <row r="39442" spans="3:3" x14ac:dyDescent="0.35">
      <c r="C39442" s="2"/>
    </row>
    <row r="39443" spans="3:3" x14ac:dyDescent="0.35">
      <c r="C39443" s="2"/>
    </row>
    <row r="39444" spans="3:3" x14ac:dyDescent="0.35">
      <c r="C39444" s="2"/>
    </row>
    <row r="39445" spans="3:3" x14ac:dyDescent="0.35">
      <c r="C39445" s="2"/>
    </row>
    <row r="39446" spans="3:3" x14ac:dyDescent="0.35">
      <c r="C39446" s="2"/>
    </row>
    <row r="39447" spans="3:3" x14ac:dyDescent="0.35">
      <c r="C39447" s="2"/>
    </row>
    <row r="39448" spans="3:3" x14ac:dyDescent="0.35">
      <c r="C39448" s="2"/>
    </row>
    <row r="39449" spans="3:3" x14ac:dyDescent="0.35">
      <c r="C39449" s="2"/>
    </row>
    <row r="39450" spans="3:3" x14ac:dyDescent="0.35">
      <c r="C39450" s="2"/>
    </row>
    <row r="39451" spans="3:3" x14ac:dyDescent="0.35">
      <c r="C39451" s="2"/>
    </row>
    <row r="39452" spans="3:3" x14ac:dyDescent="0.35">
      <c r="C39452" s="2"/>
    </row>
    <row r="39453" spans="3:3" x14ac:dyDescent="0.35">
      <c r="C39453" s="2"/>
    </row>
    <row r="39454" spans="3:3" x14ac:dyDescent="0.35">
      <c r="C39454" s="2"/>
    </row>
    <row r="39455" spans="3:3" x14ac:dyDescent="0.35">
      <c r="C39455" s="2"/>
    </row>
    <row r="39456" spans="3:3" x14ac:dyDescent="0.35">
      <c r="C39456" s="2"/>
    </row>
    <row r="39457" spans="3:3" x14ac:dyDescent="0.35">
      <c r="C39457" s="2"/>
    </row>
    <row r="39458" spans="3:3" x14ac:dyDescent="0.35">
      <c r="C39458" s="2"/>
    </row>
    <row r="39459" spans="3:3" x14ac:dyDescent="0.35">
      <c r="C39459" s="2"/>
    </row>
    <row r="39460" spans="3:3" x14ac:dyDescent="0.35">
      <c r="C39460" s="2"/>
    </row>
    <row r="39461" spans="3:3" x14ac:dyDescent="0.35">
      <c r="C39461" s="2"/>
    </row>
    <row r="39462" spans="3:3" x14ac:dyDescent="0.35">
      <c r="C39462" s="2"/>
    </row>
    <row r="39463" spans="3:3" x14ac:dyDescent="0.35">
      <c r="C39463" s="2"/>
    </row>
    <row r="39464" spans="3:3" x14ac:dyDescent="0.35">
      <c r="C39464" s="2"/>
    </row>
    <row r="39465" spans="3:3" x14ac:dyDescent="0.35">
      <c r="C39465" s="2"/>
    </row>
    <row r="39466" spans="3:3" x14ac:dyDescent="0.35">
      <c r="C39466" s="2"/>
    </row>
    <row r="39467" spans="3:3" x14ac:dyDescent="0.35">
      <c r="C39467" s="2"/>
    </row>
    <row r="39468" spans="3:3" x14ac:dyDescent="0.35">
      <c r="C39468" s="2"/>
    </row>
    <row r="39469" spans="3:3" x14ac:dyDescent="0.35">
      <c r="C39469" s="2"/>
    </row>
    <row r="39470" spans="3:3" x14ac:dyDescent="0.35">
      <c r="C39470" s="2"/>
    </row>
    <row r="39471" spans="3:3" x14ac:dyDescent="0.35">
      <c r="C39471" s="2"/>
    </row>
    <row r="39472" spans="3:3" x14ac:dyDescent="0.35">
      <c r="C39472" s="2"/>
    </row>
    <row r="39473" spans="3:3" x14ac:dyDescent="0.35">
      <c r="C39473" s="2"/>
    </row>
    <row r="39474" spans="3:3" x14ac:dyDescent="0.35">
      <c r="C39474" s="2"/>
    </row>
    <row r="39475" spans="3:3" x14ac:dyDescent="0.35">
      <c r="C39475" s="2"/>
    </row>
    <row r="39476" spans="3:3" x14ac:dyDescent="0.35">
      <c r="C39476" s="2"/>
    </row>
    <row r="39477" spans="3:3" x14ac:dyDescent="0.35">
      <c r="C39477" s="2"/>
    </row>
    <row r="39478" spans="3:3" x14ac:dyDescent="0.35">
      <c r="C39478" s="2"/>
    </row>
    <row r="39479" spans="3:3" x14ac:dyDescent="0.35">
      <c r="C39479" s="2"/>
    </row>
    <row r="39480" spans="3:3" x14ac:dyDescent="0.35">
      <c r="C39480" s="2"/>
    </row>
    <row r="39481" spans="3:3" x14ac:dyDescent="0.35">
      <c r="C39481" s="2"/>
    </row>
    <row r="39482" spans="3:3" x14ac:dyDescent="0.35">
      <c r="C39482" s="2"/>
    </row>
    <row r="39483" spans="3:3" x14ac:dyDescent="0.35">
      <c r="C39483" s="2"/>
    </row>
    <row r="39484" spans="3:3" x14ac:dyDescent="0.35">
      <c r="C39484" s="2"/>
    </row>
    <row r="39485" spans="3:3" x14ac:dyDescent="0.35">
      <c r="C39485" s="2"/>
    </row>
    <row r="39486" spans="3:3" x14ac:dyDescent="0.35">
      <c r="C39486" s="2"/>
    </row>
    <row r="39487" spans="3:3" x14ac:dyDescent="0.35">
      <c r="C39487" s="2"/>
    </row>
    <row r="39488" spans="3:3" x14ac:dyDescent="0.35">
      <c r="C39488" s="2"/>
    </row>
    <row r="39489" spans="3:3" x14ac:dyDescent="0.35">
      <c r="C39489" s="2"/>
    </row>
    <row r="39490" spans="3:3" x14ac:dyDescent="0.35">
      <c r="C39490" s="2"/>
    </row>
    <row r="39491" spans="3:3" x14ac:dyDescent="0.35">
      <c r="C39491" s="2"/>
    </row>
    <row r="39492" spans="3:3" x14ac:dyDescent="0.35">
      <c r="C39492" s="2"/>
    </row>
    <row r="39493" spans="3:3" x14ac:dyDescent="0.35">
      <c r="C39493" s="2"/>
    </row>
    <row r="39494" spans="3:3" x14ac:dyDescent="0.35">
      <c r="C39494" s="2"/>
    </row>
    <row r="39495" spans="3:3" x14ac:dyDescent="0.35">
      <c r="C39495" s="2"/>
    </row>
    <row r="39496" spans="3:3" x14ac:dyDescent="0.35">
      <c r="C39496" s="2"/>
    </row>
    <row r="39497" spans="3:3" x14ac:dyDescent="0.35">
      <c r="C39497" s="2"/>
    </row>
    <row r="39498" spans="3:3" x14ac:dyDescent="0.35">
      <c r="C39498" s="2"/>
    </row>
    <row r="39499" spans="3:3" x14ac:dyDescent="0.35">
      <c r="C39499" s="2"/>
    </row>
    <row r="39500" spans="3:3" x14ac:dyDescent="0.35">
      <c r="C39500" s="2"/>
    </row>
    <row r="39501" spans="3:3" x14ac:dyDescent="0.35">
      <c r="C39501" s="2"/>
    </row>
    <row r="39502" spans="3:3" x14ac:dyDescent="0.35">
      <c r="C39502" s="2"/>
    </row>
    <row r="39503" spans="3:3" x14ac:dyDescent="0.35">
      <c r="C39503" s="2"/>
    </row>
    <row r="39504" spans="3:3" x14ac:dyDescent="0.35">
      <c r="C39504" s="2"/>
    </row>
    <row r="39505" spans="3:3" x14ac:dyDescent="0.35">
      <c r="C39505" s="2"/>
    </row>
    <row r="39506" spans="3:3" x14ac:dyDescent="0.35">
      <c r="C39506" s="2"/>
    </row>
    <row r="39507" spans="3:3" x14ac:dyDescent="0.35">
      <c r="C39507" s="2"/>
    </row>
    <row r="39508" spans="3:3" x14ac:dyDescent="0.35">
      <c r="C39508" s="2"/>
    </row>
    <row r="39509" spans="3:3" x14ac:dyDescent="0.35">
      <c r="C39509" s="2"/>
    </row>
    <row r="39510" spans="3:3" x14ac:dyDescent="0.35">
      <c r="C39510" s="2"/>
    </row>
    <row r="39511" spans="3:3" x14ac:dyDescent="0.35">
      <c r="C39511" s="2"/>
    </row>
    <row r="39512" spans="3:3" x14ac:dyDescent="0.35">
      <c r="C39512" s="2"/>
    </row>
    <row r="39513" spans="3:3" x14ac:dyDescent="0.35">
      <c r="C39513" s="2"/>
    </row>
    <row r="39514" spans="3:3" x14ac:dyDescent="0.35">
      <c r="C39514" s="2"/>
    </row>
    <row r="39515" spans="3:3" x14ac:dyDescent="0.35">
      <c r="C39515" s="2"/>
    </row>
    <row r="39516" spans="3:3" x14ac:dyDescent="0.35">
      <c r="C39516" s="2"/>
    </row>
    <row r="39517" spans="3:3" x14ac:dyDescent="0.35">
      <c r="C39517" s="2"/>
    </row>
    <row r="39518" spans="3:3" x14ac:dyDescent="0.35">
      <c r="C39518" s="2"/>
    </row>
    <row r="39519" spans="3:3" x14ac:dyDescent="0.35">
      <c r="C39519" s="2"/>
    </row>
    <row r="39520" spans="3:3" x14ac:dyDescent="0.35">
      <c r="C39520" s="2"/>
    </row>
    <row r="39521" spans="3:3" x14ac:dyDescent="0.35">
      <c r="C39521" s="2"/>
    </row>
    <row r="39522" spans="3:3" x14ac:dyDescent="0.35">
      <c r="C39522" s="2"/>
    </row>
    <row r="39523" spans="3:3" x14ac:dyDescent="0.35">
      <c r="C39523" s="2"/>
    </row>
    <row r="39524" spans="3:3" x14ac:dyDescent="0.35">
      <c r="C39524" s="2"/>
    </row>
    <row r="39525" spans="3:3" x14ac:dyDescent="0.35">
      <c r="C39525" s="2"/>
    </row>
    <row r="39526" spans="3:3" x14ac:dyDescent="0.35">
      <c r="C39526" s="2"/>
    </row>
    <row r="39527" spans="3:3" x14ac:dyDescent="0.35">
      <c r="C39527" s="2"/>
    </row>
    <row r="39528" spans="3:3" x14ac:dyDescent="0.35">
      <c r="C39528" s="2"/>
    </row>
    <row r="39529" spans="3:3" x14ac:dyDescent="0.35">
      <c r="C39529" s="2"/>
    </row>
    <row r="39530" spans="3:3" x14ac:dyDescent="0.35">
      <c r="C39530" s="2"/>
    </row>
    <row r="39531" spans="3:3" x14ac:dyDescent="0.35">
      <c r="C39531" s="2"/>
    </row>
    <row r="39532" spans="3:3" x14ac:dyDescent="0.35">
      <c r="C39532" s="2"/>
    </row>
    <row r="39533" spans="3:3" x14ac:dyDescent="0.35">
      <c r="C39533" s="2"/>
    </row>
    <row r="39534" spans="3:3" x14ac:dyDescent="0.35">
      <c r="C39534" s="2"/>
    </row>
    <row r="39535" spans="3:3" x14ac:dyDescent="0.35">
      <c r="C39535" s="2"/>
    </row>
    <row r="39536" spans="3:3" x14ac:dyDescent="0.35">
      <c r="C39536" s="2"/>
    </row>
    <row r="39537" spans="3:3" x14ac:dyDescent="0.35">
      <c r="C39537" s="2"/>
    </row>
    <row r="39538" spans="3:3" x14ac:dyDescent="0.35">
      <c r="C39538" s="2"/>
    </row>
    <row r="39539" spans="3:3" x14ac:dyDescent="0.35">
      <c r="C39539" s="2"/>
    </row>
    <row r="39540" spans="3:3" x14ac:dyDescent="0.35">
      <c r="C39540" s="2"/>
    </row>
    <row r="39541" spans="3:3" x14ac:dyDescent="0.35">
      <c r="C39541" s="2"/>
    </row>
    <row r="39542" spans="3:3" x14ac:dyDescent="0.35">
      <c r="C39542" s="2"/>
    </row>
    <row r="39543" spans="3:3" x14ac:dyDescent="0.35">
      <c r="C39543" s="2"/>
    </row>
    <row r="39544" spans="3:3" x14ac:dyDescent="0.35">
      <c r="C39544" s="2"/>
    </row>
    <row r="39545" spans="3:3" x14ac:dyDescent="0.35">
      <c r="C39545" s="2"/>
    </row>
    <row r="39546" spans="3:3" x14ac:dyDescent="0.35">
      <c r="C39546" s="2"/>
    </row>
    <row r="39547" spans="3:3" x14ac:dyDescent="0.35">
      <c r="C39547" s="2"/>
    </row>
    <row r="39548" spans="3:3" x14ac:dyDescent="0.35">
      <c r="C39548" s="2"/>
    </row>
    <row r="39549" spans="3:3" x14ac:dyDescent="0.35">
      <c r="C39549" s="2"/>
    </row>
    <row r="39550" spans="3:3" x14ac:dyDescent="0.35">
      <c r="C39550" s="2"/>
    </row>
    <row r="39551" spans="3:3" x14ac:dyDescent="0.35">
      <c r="C39551" s="2"/>
    </row>
    <row r="39552" spans="3:3" x14ac:dyDescent="0.35">
      <c r="C39552" s="2"/>
    </row>
    <row r="39553" spans="3:3" x14ac:dyDescent="0.35">
      <c r="C39553" s="2"/>
    </row>
    <row r="39554" spans="3:3" x14ac:dyDescent="0.35">
      <c r="C39554" s="2"/>
    </row>
    <row r="39555" spans="3:3" x14ac:dyDescent="0.35">
      <c r="C39555" s="2"/>
    </row>
    <row r="39556" spans="3:3" x14ac:dyDescent="0.35">
      <c r="C39556" s="2"/>
    </row>
    <row r="39557" spans="3:3" x14ac:dyDescent="0.35">
      <c r="C39557" s="2"/>
    </row>
    <row r="39558" spans="3:3" x14ac:dyDescent="0.35">
      <c r="C39558" s="2"/>
    </row>
    <row r="39559" spans="3:3" x14ac:dyDescent="0.35">
      <c r="C39559" s="2"/>
    </row>
    <row r="39560" spans="3:3" x14ac:dyDescent="0.35">
      <c r="C39560" s="2"/>
    </row>
    <row r="39561" spans="3:3" x14ac:dyDescent="0.35">
      <c r="C39561" s="2"/>
    </row>
    <row r="39562" spans="3:3" x14ac:dyDescent="0.35">
      <c r="C39562" s="2"/>
    </row>
    <row r="39563" spans="3:3" x14ac:dyDescent="0.35">
      <c r="C39563" s="2"/>
    </row>
    <row r="39564" spans="3:3" x14ac:dyDescent="0.35">
      <c r="C39564" s="2"/>
    </row>
    <row r="39565" spans="3:3" x14ac:dyDescent="0.35">
      <c r="C39565" s="2"/>
    </row>
    <row r="39566" spans="3:3" x14ac:dyDescent="0.35">
      <c r="C39566" s="2"/>
    </row>
    <row r="39567" spans="3:3" x14ac:dyDescent="0.35">
      <c r="C39567" s="2"/>
    </row>
    <row r="39568" spans="3:3" x14ac:dyDescent="0.35">
      <c r="C39568" s="2"/>
    </row>
    <row r="39569" spans="3:3" x14ac:dyDescent="0.35">
      <c r="C39569" s="2"/>
    </row>
    <row r="39570" spans="3:3" x14ac:dyDescent="0.35">
      <c r="C39570" s="2"/>
    </row>
    <row r="39571" spans="3:3" x14ac:dyDescent="0.35">
      <c r="C39571" s="2"/>
    </row>
    <row r="39572" spans="3:3" x14ac:dyDescent="0.35">
      <c r="C39572" s="2"/>
    </row>
    <row r="39573" spans="3:3" x14ac:dyDescent="0.35">
      <c r="C39573" s="2"/>
    </row>
    <row r="39574" spans="3:3" x14ac:dyDescent="0.35">
      <c r="C39574" s="2"/>
    </row>
    <row r="39575" spans="3:3" x14ac:dyDescent="0.35">
      <c r="C39575" s="2"/>
    </row>
    <row r="39576" spans="3:3" x14ac:dyDescent="0.35">
      <c r="C39576" s="2"/>
    </row>
    <row r="39577" spans="3:3" x14ac:dyDescent="0.35">
      <c r="C39577" s="2"/>
    </row>
    <row r="39578" spans="3:3" x14ac:dyDescent="0.35">
      <c r="C39578" s="2"/>
    </row>
    <row r="39579" spans="3:3" x14ac:dyDescent="0.35">
      <c r="C39579" s="2"/>
    </row>
    <row r="39580" spans="3:3" x14ac:dyDescent="0.35">
      <c r="C39580" s="2"/>
    </row>
    <row r="39581" spans="3:3" x14ac:dyDescent="0.35">
      <c r="C39581" s="2"/>
    </row>
    <row r="39582" spans="3:3" x14ac:dyDescent="0.35">
      <c r="C39582" s="2"/>
    </row>
    <row r="39583" spans="3:3" x14ac:dyDescent="0.35">
      <c r="C39583" s="2"/>
    </row>
    <row r="39584" spans="3:3" x14ac:dyDescent="0.35">
      <c r="C39584" s="2"/>
    </row>
    <row r="39585" spans="3:3" x14ac:dyDescent="0.35">
      <c r="C39585" s="2"/>
    </row>
    <row r="39586" spans="3:3" x14ac:dyDescent="0.35">
      <c r="C39586" s="2"/>
    </row>
    <row r="39587" spans="3:3" x14ac:dyDescent="0.35">
      <c r="C39587" s="2"/>
    </row>
    <row r="39588" spans="3:3" x14ac:dyDescent="0.35">
      <c r="C39588" s="2"/>
    </row>
    <row r="39589" spans="3:3" x14ac:dyDescent="0.35">
      <c r="C39589" s="2"/>
    </row>
    <row r="39590" spans="3:3" x14ac:dyDescent="0.35">
      <c r="C39590" s="2"/>
    </row>
    <row r="39591" spans="3:3" x14ac:dyDescent="0.35">
      <c r="C39591" s="2"/>
    </row>
    <row r="39592" spans="3:3" x14ac:dyDescent="0.35">
      <c r="C39592" s="2"/>
    </row>
    <row r="39593" spans="3:3" x14ac:dyDescent="0.35">
      <c r="C39593" s="2"/>
    </row>
    <row r="39594" spans="3:3" x14ac:dyDescent="0.35">
      <c r="C39594" s="2"/>
    </row>
    <row r="39595" spans="3:3" x14ac:dyDescent="0.35">
      <c r="C39595" s="2"/>
    </row>
    <row r="39596" spans="3:3" x14ac:dyDescent="0.35">
      <c r="C39596" s="2"/>
    </row>
    <row r="39597" spans="3:3" x14ac:dyDescent="0.35">
      <c r="C39597" s="2"/>
    </row>
    <row r="39598" spans="3:3" x14ac:dyDescent="0.35">
      <c r="C39598" s="2"/>
    </row>
    <row r="39599" spans="3:3" x14ac:dyDescent="0.35">
      <c r="C39599" s="2"/>
    </row>
    <row r="39600" spans="3:3" x14ac:dyDescent="0.35">
      <c r="C39600" s="2"/>
    </row>
    <row r="39601" spans="3:3" x14ac:dyDescent="0.35">
      <c r="C39601" s="2"/>
    </row>
    <row r="39602" spans="3:3" x14ac:dyDescent="0.35">
      <c r="C39602" s="2"/>
    </row>
    <row r="39603" spans="3:3" x14ac:dyDescent="0.35">
      <c r="C39603" s="2"/>
    </row>
    <row r="39604" spans="3:3" x14ac:dyDescent="0.35">
      <c r="C39604" s="2"/>
    </row>
    <row r="39605" spans="3:3" x14ac:dyDescent="0.35">
      <c r="C39605" s="2"/>
    </row>
    <row r="39606" spans="3:3" x14ac:dyDescent="0.35">
      <c r="C39606" s="2"/>
    </row>
    <row r="39607" spans="3:3" x14ac:dyDescent="0.35">
      <c r="C39607" s="2"/>
    </row>
    <row r="39608" spans="3:3" x14ac:dyDescent="0.35">
      <c r="C39608" s="2"/>
    </row>
    <row r="39609" spans="3:3" x14ac:dyDescent="0.35">
      <c r="C39609" s="2"/>
    </row>
    <row r="39610" spans="3:3" x14ac:dyDescent="0.35">
      <c r="C39610" s="2"/>
    </row>
    <row r="39611" spans="3:3" x14ac:dyDescent="0.35">
      <c r="C39611" s="2"/>
    </row>
    <row r="39612" spans="3:3" x14ac:dyDescent="0.35">
      <c r="C39612" s="2"/>
    </row>
    <row r="39613" spans="3:3" x14ac:dyDescent="0.35">
      <c r="C39613" s="2"/>
    </row>
    <row r="39614" spans="3:3" x14ac:dyDescent="0.35">
      <c r="C39614" s="2"/>
    </row>
    <row r="39615" spans="3:3" x14ac:dyDescent="0.35">
      <c r="C39615" s="2"/>
    </row>
    <row r="39616" spans="3:3" x14ac:dyDescent="0.35">
      <c r="C39616" s="2"/>
    </row>
    <row r="39617" spans="3:3" x14ac:dyDescent="0.35">
      <c r="C39617" s="2"/>
    </row>
    <row r="39618" spans="3:3" x14ac:dyDescent="0.35">
      <c r="C39618" s="2"/>
    </row>
    <row r="39619" spans="3:3" x14ac:dyDescent="0.35">
      <c r="C39619" s="2"/>
    </row>
    <row r="39620" spans="3:3" x14ac:dyDescent="0.35">
      <c r="C39620" s="2"/>
    </row>
    <row r="39621" spans="3:3" x14ac:dyDescent="0.35">
      <c r="C39621" s="2"/>
    </row>
    <row r="39622" spans="3:3" x14ac:dyDescent="0.35">
      <c r="C39622" s="2"/>
    </row>
    <row r="39623" spans="3:3" x14ac:dyDescent="0.35">
      <c r="C39623" s="2"/>
    </row>
    <row r="39624" spans="3:3" x14ac:dyDescent="0.35">
      <c r="C39624" s="2"/>
    </row>
    <row r="39625" spans="3:3" x14ac:dyDescent="0.35">
      <c r="C39625" s="2"/>
    </row>
    <row r="39626" spans="3:3" x14ac:dyDescent="0.35">
      <c r="C39626" s="2"/>
    </row>
    <row r="39627" spans="3:3" x14ac:dyDescent="0.35">
      <c r="C39627" s="2"/>
    </row>
    <row r="39628" spans="3:3" x14ac:dyDescent="0.35">
      <c r="C39628" s="2"/>
    </row>
    <row r="39629" spans="3:3" x14ac:dyDescent="0.35">
      <c r="C39629" s="2"/>
    </row>
    <row r="39630" spans="3:3" x14ac:dyDescent="0.35">
      <c r="C39630" s="2"/>
    </row>
    <row r="39631" spans="3:3" x14ac:dyDescent="0.35">
      <c r="C39631" s="2"/>
    </row>
    <row r="39632" spans="3:3" x14ac:dyDescent="0.35">
      <c r="C39632" s="2"/>
    </row>
    <row r="39633" spans="3:3" x14ac:dyDescent="0.35">
      <c r="C39633" s="2"/>
    </row>
    <row r="39634" spans="3:3" x14ac:dyDescent="0.35">
      <c r="C39634" s="2"/>
    </row>
    <row r="39635" spans="3:3" x14ac:dyDescent="0.35">
      <c r="C39635" s="2"/>
    </row>
    <row r="39636" spans="3:3" x14ac:dyDescent="0.35">
      <c r="C39636" s="2"/>
    </row>
    <row r="39637" spans="3:3" x14ac:dyDescent="0.35">
      <c r="C39637" s="2"/>
    </row>
    <row r="39638" spans="3:3" x14ac:dyDescent="0.35">
      <c r="C39638" s="2"/>
    </row>
    <row r="39639" spans="3:3" x14ac:dyDescent="0.35">
      <c r="C39639" s="2"/>
    </row>
    <row r="39640" spans="3:3" x14ac:dyDescent="0.35">
      <c r="C39640" s="2"/>
    </row>
    <row r="39641" spans="3:3" x14ac:dyDescent="0.35">
      <c r="C39641" s="2"/>
    </row>
    <row r="39642" spans="3:3" x14ac:dyDescent="0.35">
      <c r="C39642" s="2"/>
    </row>
    <row r="39643" spans="3:3" x14ac:dyDescent="0.35">
      <c r="C39643" s="2"/>
    </row>
    <row r="39644" spans="3:3" x14ac:dyDescent="0.35">
      <c r="C39644" s="2"/>
    </row>
    <row r="39645" spans="3:3" x14ac:dyDescent="0.35">
      <c r="C39645" s="2"/>
    </row>
    <row r="39646" spans="3:3" x14ac:dyDescent="0.35">
      <c r="C39646" s="2"/>
    </row>
    <row r="39647" spans="3:3" x14ac:dyDescent="0.35">
      <c r="C39647" s="2"/>
    </row>
    <row r="39648" spans="3:3" x14ac:dyDescent="0.35">
      <c r="C39648" s="2"/>
    </row>
    <row r="39649" spans="3:3" x14ac:dyDescent="0.35">
      <c r="C39649" s="2"/>
    </row>
    <row r="39650" spans="3:3" x14ac:dyDescent="0.35">
      <c r="C39650" s="2"/>
    </row>
    <row r="39651" spans="3:3" x14ac:dyDescent="0.35">
      <c r="C39651" s="2"/>
    </row>
    <row r="39652" spans="3:3" x14ac:dyDescent="0.35">
      <c r="C39652" s="2"/>
    </row>
    <row r="39653" spans="3:3" x14ac:dyDescent="0.35">
      <c r="C39653" s="2"/>
    </row>
    <row r="39654" spans="3:3" x14ac:dyDescent="0.35">
      <c r="C39654" s="2"/>
    </row>
    <row r="39655" spans="3:3" x14ac:dyDescent="0.35">
      <c r="C39655" s="2"/>
    </row>
    <row r="39656" spans="3:3" x14ac:dyDescent="0.35">
      <c r="C39656" s="2"/>
    </row>
    <row r="39657" spans="3:3" x14ac:dyDescent="0.35">
      <c r="C39657" s="2"/>
    </row>
    <row r="39658" spans="3:3" x14ac:dyDescent="0.35">
      <c r="C39658" s="2"/>
    </row>
    <row r="39659" spans="3:3" x14ac:dyDescent="0.35">
      <c r="C39659" s="2"/>
    </row>
    <row r="39660" spans="3:3" x14ac:dyDescent="0.35">
      <c r="C39660" s="2"/>
    </row>
    <row r="39661" spans="3:3" x14ac:dyDescent="0.35">
      <c r="C39661" s="2"/>
    </row>
    <row r="39662" spans="3:3" x14ac:dyDescent="0.35">
      <c r="C39662" s="2"/>
    </row>
    <row r="39663" spans="3:3" x14ac:dyDescent="0.35">
      <c r="C39663" s="2"/>
    </row>
    <row r="39664" spans="3:3" x14ac:dyDescent="0.35">
      <c r="C39664" s="2"/>
    </row>
    <row r="39665" spans="3:3" x14ac:dyDescent="0.35">
      <c r="C39665" s="2"/>
    </row>
    <row r="39666" spans="3:3" x14ac:dyDescent="0.35">
      <c r="C39666" s="2"/>
    </row>
    <row r="39667" spans="3:3" x14ac:dyDescent="0.35">
      <c r="C39667" s="2"/>
    </row>
    <row r="39668" spans="3:3" x14ac:dyDescent="0.35">
      <c r="C39668" s="2"/>
    </row>
    <row r="39669" spans="3:3" x14ac:dyDescent="0.35">
      <c r="C39669" s="2"/>
    </row>
    <row r="39670" spans="3:3" x14ac:dyDescent="0.35">
      <c r="C39670" s="2"/>
    </row>
    <row r="39671" spans="3:3" x14ac:dyDescent="0.35">
      <c r="C39671" s="2"/>
    </row>
    <row r="39672" spans="3:3" x14ac:dyDescent="0.35">
      <c r="C39672" s="2"/>
    </row>
    <row r="39673" spans="3:3" x14ac:dyDescent="0.35">
      <c r="C39673" s="2"/>
    </row>
    <row r="39674" spans="3:3" x14ac:dyDescent="0.35">
      <c r="C39674" s="2"/>
    </row>
    <row r="39675" spans="3:3" x14ac:dyDescent="0.35">
      <c r="C39675" s="2"/>
    </row>
    <row r="39676" spans="3:3" x14ac:dyDescent="0.35">
      <c r="C39676" s="2"/>
    </row>
    <row r="39677" spans="3:3" x14ac:dyDescent="0.35">
      <c r="C39677" s="2"/>
    </row>
    <row r="39678" spans="3:3" x14ac:dyDescent="0.35">
      <c r="C39678" s="2"/>
    </row>
    <row r="39679" spans="3:3" x14ac:dyDescent="0.35">
      <c r="C39679" s="2"/>
    </row>
    <row r="39680" spans="3:3" x14ac:dyDescent="0.35">
      <c r="C39680" s="2"/>
    </row>
    <row r="39681" spans="3:3" x14ac:dyDescent="0.35">
      <c r="C39681" s="2"/>
    </row>
    <row r="39682" spans="3:3" x14ac:dyDescent="0.35">
      <c r="C39682" s="2"/>
    </row>
    <row r="39683" spans="3:3" x14ac:dyDescent="0.35">
      <c r="C39683" s="2"/>
    </row>
    <row r="39684" spans="3:3" x14ac:dyDescent="0.35">
      <c r="C39684" s="2"/>
    </row>
    <row r="39685" spans="3:3" x14ac:dyDescent="0.35">
      <c r="C39685" s="2"/>
    </row>
    <row r="39686" spans="3:3" x14ac:dyDescent="0.35">
      <c r="C39686" s="2"/>
    </row>
    <row r="39687" spans="3:3" x14ac:dyDescent="0.35">
      <c r="C39687" s="2"/>
    </row>
    <row r="39688" spans="3:3" x14ac:dyDescent="0.35">
      <c r="C39688" s="2"/>
    </row>
    <row r="39689" spans="3:3" x14ac:dyDescent="0.35">
      <c r="C39689" s="2"/>
    </row>
    <row r="39690" spans="3:3" x14ac:dyDescent="0.35">
      <c r="C39690" s="2"/>
    </row>
    <row r="39691" spans="3:3" x14ac:dyDescent="0.35">
      <c r="C39691" s="2"/>
    </row>
    <row r="39692" spans="3:3" x14ac:dyDescent="0.35">
      <c r="C39692" s="2"/>
    </row>
    <row r="39693" spans="3:3" x14ac:dyDescent="0.35">
      <c r="C39693" s="2"/>
    </row>
    <row r="39694" spans="3:3" x14ac:dyDescent="0.35">
      <c r="C39694" s="2"/>
    </row>
    <row r="39695" spans="3:3" x14ac:dyDescent="0.35">
      <c r="C39695" s="2"/>
    </row>
    <row r="39696" spans="3:3" x14ac:dyDescent="0.35">
      <c r="C39696" s="2"/>
    </row>
    <row r="39697" spans="3:3" x14ac:dyDescent="0.35">
      <c r="C39697" s="2"/>
    </row>
    <row r="39698" spans="3:3" x14ac:dyDescent="0.35">
      <c r="C39698" s="2"/>
    </row>
    <row r="39699" spans="3:3" x14ac:dyDescent="0.35">
      <c r="C39699" s="2"/>
    </row>
    <row r="39700" spans="3:3" x14ac:dyDescent="0.35">
      <c r="C39700" s="2"/>
    </row>
    <row r="39701" spans="3:3" x14ac:dyDescent="0.35">
      <c r="C39701" s="2"/>
    </row>
    <row r="39702" spans="3:3" x14ac:dyDescent="0.35">
      <c r="C39702" s="2"/>
    </row>
    <row r="39703" spans="3:3" x14ac:dyDescent="0.35">
      <c r="C39703" s="2"/>
    </row>
    <row r="39704" spans="3:3" x14ac:dyDescent="0.35">
      <c r="C39704" s="2"/>
    </row>
    <row r="39705" spans="3:3" x14ac:dyDescent="0.35">
      <c r="C39705" s="2"/>
    </row>
    <row r="39706" spans="3:3" x14ac:dyDescent="0.35">
      <c r="C39706" s="2"/>
    </row>
    <row r="39707" spans="3:3" x14ac:dyDescent="0.35">
      <c r="C39707" s="2"/>
    </row>
    <row r="39708" spans="3:3" x14ac:dyDescent="0.35">
      <c r="C39708" s="2"/>
    </row>
    <row r="39709" spans="3:3" x14ac:dyDescent="0.35">
      <c r="C39709" s="2"/>
    </row>
    <row r="39710" spans="3:3" x14ac:dyDescent="0.35">
      <c r="C39710" s="2"/>
    </row>
    <row r="39711" spans="3:3" x14ac:dyDescent="0.35">
      <c r="C39711" s="2"/>
    </row>
    <row r="39712" spans="3:3" x14ac:dyDescent="0.35">
      <c r="C39712" s="2"/>
    </row>
    <row r="39713" spans="3:3" x14ac:dyDescent="0.35">
      <c r="C39713" s="2"/>
    </row>
    <row r="39714" spans="3:3" x14ac:dyDescent="0.35">
      <c r="C39714" s="2"/>
    </row>
    <row r="39715" spans="3:3" x14ac:dyDescent="0.35">
      <c r="C39715" s="2"/>
    </row>
    <row r="39716" spans="3:3" x14ac:dyDescent="0.35">
      <c r="C39716" s="2"/>
    </row>
    <row r="39717" spans="3:3" x14ac:dyDescent="0.35">
      <c r="C39717" s="2"/>
    </row>
    <row r="39718" spans="3:3" x14ac:dyDescent="0.35">
      <c r="C39718" s="2"/>
    </row>
    <row r="39719" spans="3:3" x14ac:dyDescent="0.35">
      <c r="C39719" s="2"/>
    </row>
    <row r="39720" spans="3:3" x14ac:dyDescent="0.35">
      <c r="C39720" s="2"/>
    </row>
    <row r="39721" spans="3:3" x14ac:dyDescent="0.35">
      <c r="C39721" s="2"/>
    </row>
    <row r="39722" spans="3:3" x14ac:dyDescent="0.35">
      <c r="C39722" s="2"/>
    </row>
    <row r="39723" spans="3:3" x14ac:dyDescent="0.35">
      <c r="C39723" s="2"/>
    </row>
    <row r="39724" spans="3:3" x14ac:dyDescent="0.35">
      <c r="C39724" s="2"/>
    </row>
    <row r="39725" spans="3:3" x14ac:dyDescent="0.35">
      <c r="C39725" s="2"/>
    </row>
    <row r="39726" spans="3:3" x14ac:dyDescent="0.35">
      <c r="C39726" s="2"/>
    </row>
    <row r="39727" spans="3:3" x14ac:dyDescent="0.35">
      <c r="C39727" s="2"/>
    </row>
    <row r="39728" spans="3:3" x14ac:dyDescent="0.35">
      <c r="C39728" s="2"/>
    </row>
    <row r="39729" spans="3:3" x14ac:dyDescent="0.35">
      <c r="C39729" s="2"/>
    </row>
    <row r="39730" spans="3:3" x14ac:dyDescent="0.35">
      <c r="C39730" s="2"/>
    </row>
    <row r="39731" spans="3:3" x14ac:dyDescent="0.35">
      <c r="C39731" s="2"/>
    </row>
    <row r="39732" spans="3:3" x14ac:dyDescent="0.35">
      <c r="C39732" s="2"/>
    </row>
    <row r="39733" spans="3:3" x14ac:dyDescent="0.35">
      <c r="C39733" s="2"/>
    </row>
    <row r="39734" spans="3:3" x14ac:dyDescent="0.35">
      <c r="C39734" s="2"/>
    </row>
    <row r="39735" spans="3:3" x14ac:dyDescent="0.35">
      <c r="C39735" s="2"/>
    </row>
    <row r="39736" spans="3:3" x14ac:dyDescent="0.35">
      <c r="C39736" s="2"/>
    </row>
    <row r="39737" spans="3:3" x14ac:dyDescent="0.35">
      <c r="C39737" s="2"/>
    </row>
    <row r="39738" spans="3:3" x14ac:dyDescent="0.35">
      <c r="C39738" s="2"/>
    </row>
    <row r="39739" spans="3:3" x14ac:dyDescent="0.35">
      <c r="C39739" s="2"/>
    </row>
    <row r="39740" spans="3:3" x14ac:dyDescent="0.35">
      <c r="C39740" s="2"/>
    </row>
    <row r="39741" spans="3:3" x14ac:dyDescent="0.35">
      <c r="C39741" s="2"/>
    </row>
    <row r="39742" spans="3:3" x14ac:dyDescent="0.35">
      <c r="C39742" s="2"/>
    </row>
    <row r="39743" spans="3:3" x14ac:dyDescent="0.35">
      <c r="C39743" s="2"/>
    </row>
    <row r="39744" spans="3:3" x14ac:dyDescent="0.35">
      <c r="C39744" s="2"/>
    </row>
    <row r="39745" spans="3:3" x14ac:dyDescent="0.35">
      <c r="C39745" s="2"/>
    </row>
    <row r="39746" spans="3:3" x14ac:dyDescent="0.35">
      <c r="C39746" s="2"/>
    </row>
    <row r="39747" spans="3:3" x14ac:dyDescent="0.35">
      <c r="C39747" s="2"/>
    </row>
    <row r="39748" spans="3:3" x14ac:dyDescent="0.35">
      <c r="C39748" s="2"/>
    </row>
    <row r="39749" spans="3:3" x14ac:dyDescent="0.35">
      <c r="C39749" s="2"/>
    </row>
    <row r="39750" spans="3:3" x14ac:dyDescent="0.35">
      <c r="C39750" s="2"/>
    </row>
    <row r="39751" spans="3:3" x14ac:dyDescent="0.35">
      <c r="C39751" s="2"/>
    </row>
    <row r="39752" spans="3:3" x14ac:dyDescent="0.35">
      <c r="C39752" s="2"/>
    </row>
    <row r="39753" spans="3:3" x14ac:dyDescent="0.35">
      <c r="C39753" s="2"/>
    </row>
    <row r="39754" spans="3:3" x14ac:dyDescent="0.35">
      <c r="C39754" s="2"/>
    </row>
    <row r="39755" spans="3:3" x14ac:dyDescent="0.35">
      <c r="C39755" s="2"/>
    </row>
    <row r="39756" spans="3:3" x14ac:dyDescent="0.35">
      <c r="C39756" s="2"/>
    </row>
    <row r="39757" spans="3:3" x14ac:dyDescent="0.35">
      <c r="C39757" s="2"/>
    </row>
    <row r="39758" spans="3:3" x14ac:dyDescent="0.35">
      <c r="C39758" s="2"/>
    </row>
    <row r="39759" spans="3:3" x14ac:dyDescent="0.35">
      <c r="C39759" s="2"/>
    </row>
    <row r="39760" spans="3:3" x14ac:dyDescent="0.35">
      <c r="C39760" s="2"/>
    </row>
    <row r="39761" spans="3:3" x14ac:dyDescent="0.35">
      <c r="C39761" s="2"/>
    </row>
    <row r="39762" spans="3:3" x14ac:dyDescent="0.35">
      <c r="C39762" s="2"/>
    </row>
    <row r="39763" spans="3:3" x14ac:dyDescent="0.35">
      <c r="C39763" s="2"/>
    </row>
    <row r="39764" spans="3:3" x14ac:dyDescent="0.35">
      <c r="C39764" s="2"/>
    </row>
    <row r="39765" spans="3:3" x14ac:dyDescent="0.35">
      <c r="C39765" s="2"/>
    </row>
    <row r="39766" spans="3:3" x14ac:dyDescent="0.35">
      <c r="C39766" s="2"/>
    </row>
    <row r="39767" spans="3:3" x14ac:dyDescent="0.35">
      <c r="C39767" s="2"/>
    </row>
    <row r="39768" spans="3:3" x14ac:dyDescent="0.35">
      <c r="C39768" s="2"/>
    </row>
    <row r="39769" spans="3:3" x14ac:dyDescent="0.35">
      <c r="C39769" s="2"/>
    </row>
    <row r="39770" spans="3:3" x14ac:dyDescent="0.35">
      <c r="C39770" s="2"/>
    </row>
    <row r="39771" spans="3:3" x14ac:dyDescent="0.35">
      <c r="C39771" s="2"/>
    </row>
    <row r="39772" spans="3:3" x14ac:dyDescent="0.35">
      <c r="C39772" s="2"/>
    </row>
    <row r="39773" spans="3:3" x14ac:dyDescent="0.35">
      <c r="C39773" s="2"/>
    </row>
    <row r="39774" spans="3:3" x14ac:dyDescent="0.35">
      <c r="C39774" s="2"/>
    </row>
    <row r="39775" spans="3:3" x14ac:dyDescent="0.35">
      <c r="C39775" s="2"/>
    </row>
    <row r="39776" spans="3:3" x14ac:dyDescent="0.35">
      <c r="C39776" s="2"/>
    </row>
    <row r="39777" spans="3:3" x14ac:dyDescent="0.35">
      <c r="C39777" s="2"/>
    </row>
    <row r="39778" spans="3:3" x14ac:dyDescent="0.35">
      <c r="C39778" s="2"/>
    </row>
    <row r="39779" spans="3:3" x14ac:dyDescent="0.35">
      <c r="C39779" s="2"/>
    </row>
    <row r="39780" spans="3:3" x14ac:dyDescent="0.35">
      <c r="C39780" s="2"/>
    </row>
    <row r="39781" spans="3:3" x14ac:dyDescent="0.35">
      <c r="C39781" s="2"/>
    </row>
    <row r="39782" spans="3:3" x14ac:dyDescent="0.35">
      <c r="C39782" s="2"/>
    </row>
    <row r="39783" spans="3:3" x14ac:dyDescent="0.35">
      <c r="C39783" s="2"/>
    </row>
    <row r="39784" spans="3:3" x14ac:dyDescent="0.35">
      <c r="C39784" s="2"/>
    </row>
    <row r="39785" spans="3:3" x14ac:dyDescent="0.35">
      <c r="C39785" s="2"/>
    </row>
    <row r="39786" spans="3:3" x14ac:dyDescent="0.35">
      <c r="C39786" s="2"/>
    </row>
    <row r="39787" spans="3:3" x14ac:dyDescent="0.35">
      <c r="C39787" s="2"/>
    </row>
    <row r="39788" spans="3:3" x14ac:dyDescent="0.35">
      <c r="C39788" s="2"/>
    </row>
    <row r="39789" spans="3:3" x14ac:dyDescent="0.35">
      <c r="C39789" s="2"/>
    </row>
    <row r="39790" spans="3:3" x14ac:dyDescent="0.35">
      <c r="C39790" s="2"/>
    </row>
    <row r="39791" spans="3:3" x14ac:dyDescent="0.35">
      <c r="C39791" s="2"/>
    </row>
    <row r="39792" spans="3:3" x14ac:dyDescent="0.35">
      <c r="C39792" s="2"/>
    </row>
    <row r="39793" spans="3:3" x14ac:dyDescent="0.35">
      <c r="C39793" s="2"/>
    </row>
    <row r="39794" spans="3:3" x14ac:dyDescent="0.35">
      <c r="C39794" s="2"/>
    </row>
    <row r="39795" spans="3:3" x14ac:dyDescent="0.35">
      <c r="C39795" s="2"/>
    </row>
    <row r="39796" spans="3:3" x14ac:dyDescent="0.35">
      <c r="C39796" s="2"/>
    </row>
    <row r="39797" spans="3:3" x14ac:dyDescent="0.35">
      <c r="C39797" s="2"/>
    </row>
    <row r="39798" spans="3:3" x14ac:dyDescent="0.35">
      <c r="C39798" s="2"/>
    </row>
    <row r="39799" spans="3:3" x14ac:dyDescent="0.35">
      <c r="C39799" s="2"/>
    </row>
    <row r="39800" spans="3:3" x14ac:dyDescent="0.35">
      <c r="C39800" s="2"/>
    </row>
    <row r="39801" spans="3:3" x14ac:dyDescent="0.35">
      <c r="C39801" s="2"/>
    </row>
    <row r="39802" spans="3:3" x14ac:dyDescent="0.35">
      <c r="C39802" s="2"/>
    </row>
    <row r="39803" spans="3:3" x14ac:dyDescent="0.35">
      <c r="C39803" s="2"/>
    </row>
    <row r="39804" spans="3:3" x14ac:dyDescent="0.35">
      <c r="C39804" s="2"/>
    </row>
    <row r="39805" spans="3:3" x14ac:dyDescent="0.35">
      <c r="C39805" s="2"/>
    </row>
    <row r="39806" spans="3:3" x14ac:dyDescent="0.35">
      <c r="C39806" s="2"/>
    </row>
    <row r="39807" spans="3:3" x14ac:dyDescent="0.35">
      <c r="C39807" s="2"/>
    </row>
    <row r="39808" spans="3:3" x14ac:dyDescent="0.35">
      <c r="C39808" s="2"/>
    </row>
    <row r="39809" spans="3:3" x14ac:dyDescent="0.35">
      <c r="C39809" s="2"/>
    </row>
    <row r="39810" spans="3:3" x14ac:dyDescent="0.35">
      <c r="C39810" s="2"/>
    </row>
    <row r="39811" spans="3:3" x14ac:dyDescent="0.35">
      <c r="C39811" s="2"/>
    </row>
    <row r="39812" spans="3:3" x14ac:dyDescent="0.35">
      <c r="C39812" s="2"/>
    </row>
    <row r="39813" spans="3:3" x14ac:dyDescent="0.35">
      <c r="C39813" s="2"/>
    </row>
    <row r="39814" spans="3:3" x14ac:dyDescent="0.35">
      <c r="C39814" s="2"/>
    </row>
    <row r="39815" spans="3:3" x14ac:dyDescent="0.35">
      <c r="C39815" s="2"/>
    </row>
    <row r="39816" spans="3:3" x14ac:dyDescent="0.35">
      <c r="C39816" s="2"/>
    </row>
    <row r="39817" spans="3:3" x14ac:dyDescent="0.35">
      <c r="C39817" s="2"/>
    </row>
    <row r="39818" spans="3:3" x14ac:dyDescent="0.35">
      <c r="C39818" s="2"/>
    </row>
    <row r="39819" spans="3:3" x14ac:dyDescent="0.35">
      <c r="C39819" s="2"/>
    </row>
    <row r="39820" spans="3:3" x14ac:dyDescent="0.35">
      <c r="C39820" s="2"/>
    </row>
    <row r="39821" spans="3:3" x14ac:dyDescent="0.35">
      <c r="C39821" s="2"/>
    </row>
    <row r="39822" spans="3:3" x14ac:dyDescent="0.35">
      <c r="C39822" s="2"/>
    </row>
    <row r="39823" spans="3:3" x14ac:dyDescent="0.35">
      <c r="C39823" s="2"/>
    </row>
    <row r="39824" spans="3:3" x14ac:dyDescent="0.35">
      <c r="C39824" s="2"/>
    </row>
    <row r="39825" spans="3:3" x14ac:dyDescent="0.35">
      <c r="C39825" s="2"/>
    </row>
    <row r="39826" spans="3:3" x14ac:dyDescent="0.35">
      <c r="C39826" s="2"/>
    </row>
    <row r="39827" spans="3:3" x14ac:dyDescent="0.35">
      <c r="C39827" s="2"/>
    </row>
    <row r="39828" spans="3:3" x14ac:dyDescent="0.35">
      <c r="C39828" s="2"/>
    </row>
    <row r="39829" spans="3:3" x14ac:dyDescent="0.35">
      <c r="C39829" s="2"/>
    </row>
    <row r="39830" spans="3:3" x14ac:dyDescent="0.35">
      <c r="C39830" s="2"/>
    </row>
    <row r="39831" spans="3:3" x14ac:dyDescent="0.35">
      <c r="C39831" s="2"/>
    </row>
    <row r="39832" spans="3:3" x14ac:dyDescent="0.35">
      <c r="C39832" s="2"/>
    </row>
    <row r="39833" spans="3:3" x14ac:dyDescent="0.35">
      <c r="C39833" s="2"/>
    </row>
    <row r="39834" spans="3:3" x14ac:dyDescent="0.35">
      <c r="C39834" s="2"/>
    </row>
    <row r="39835" spans="3:3" x14ac:dyDescent="0.35">
      <c r="C39835" s="2"/>
    </row>
    <row r="39836" spans="3:3" x14ac:dyDescent="0.35">
      <c r="C39836" s="2"/>
    </row>
    <row r="39837" spans="3:3" x14ac:dyDescent="0.35">
      <c r="C39837" s="2"/>
    </row>
    <row r="39838" spans="3:3" x14ac:dyDescent="0.35">
      <c r="C39838" s="2"/>
    </row>
    <row r="39839" spans="3:3" x14ac:dyDescent="0.35">
      <c r="C39839" s="2"/>
    </row>
    <row r="39840" spans="3:3" x14ac:dyDescent="0.35">
      <c r="C39840" s="2"/>
    </row>
    <row r="39841" spans="3:3" x14ac:dyDescent="0.35">
      <c r="C39841" s="2"/>
    </row>
    <row r="39842" spans="3:3" x14ac:dyDescent="0.35">
      <c r="C39842" s="2"/>
    </row>
    <row r="39843" spans="3:3" x14ac:dyDescent="0.35">
      <c r="C39843" s="2"/>
    </row>
    <row r="39844" spans="3:3" x14ac:dyDescent="0.35">
      <c r="C39844" s="2"/>
    </row>
    <row r="39845" spans="3:3" x14ac:dyDescent="0.35">
      <c r="C39845" s="2"/>
    </row>
    <row r="39846" spans="3:3" x14ac:dyDescent="0.35">
      <c r="C39846" s="2"/>
    </row>
    <row r="39847" spans="3:3" x14ac:dyDescent="0.35">
      <c r="C39847" s="2"/>
    </row>
    <row r="39848" spans="3:3" x14ac:dyDescent="0.35">
      <c r="C39848" s="2"/>
    </row>
    <row r="39849" spans="3:3" x14ac:dyDescent="0.35">
      <c r="C39849" s="2"/>
    </row>
    <row r="39850" spans="3:3" x14ac:dyDescent="0.35">
      <c r="C39850" s="2"/>
    </row>
    <row r="39851" spans="3:3" x14ac:dyDescent="0.35">
      <c r="C39851" s="2"/>
    </row>
    <row r="39852" spans="3:3" x14ac:dyDescent="0.35">
      <c r="C39852" s="2"/>
    </row>
    <row r="39853" spans="3:3" x14ac:dyDescent="0.35">
      <c r="C39853" s="2"/>
    </row>
    <row r="39854" spans="3:3" x14ac:dyDescent="0.35">
      <c r="C39854" s="2"/>
    </row>
    <row r="39855" spans="3:3" x14ac:dyDescent="0.35">
      <c r="C39855" s="2"/>
    </row>
    <row r="39856" spans="3:3" x14ac:dyDescent="0.35">
      <c r="C39856" s="2"/>
    </row>
    <row r="39857" spans="3:3" x14ac:dyDescent="0.35">
      <c r="C39857" s="2"/>
    </row>
    <row r="39858" spans="3:3" x14ac:dyDescent="0.35">
      <c r="C39858" s="2"/>
    </row>
    <row r="39859" spans="3:3" x14ac:dyDescent="0.35">
      <c r="C39859" s="2"/>
    </row>
    <row r="39860" spans="3:3" x14ac:dyDescent="0.35">
      <c r="C39860" s="2"/>
    </row>
    <row r="39861" spans="3:3" x14ac:dyDescent="0.35">
      <c r="C39861" s="2"/>
    </row>
    <row r="39862" spans="3:3" x14ac:dyDescent="0.35">
      <c r="C39862" s="2"/>
    </row>
    <row r="39863" spans="3:3" x14ac:dyDescent="0.35">
      <c r="C39863" s="2"/>
    </row>
    <row r="39864" spans="3:3" x14ac:dyDescent="0.35">
      <c r="C39864" s="2"/>
    </row>
    <row r="39865" spans="3:3" x14ac:dyDescent="0.35">
      <c r="C39865" s="2"/>
    </row>
    <row r="39866" spans="3:3" x14ac:dyDescent="0.35">
      <c r="C39866" s="2"/>
    </row>
    <row r="39867" spans="3:3" x14ac:dyDescent="0.35">
      <c r="C39867" s="2"/>
    </row>
    <row r="39868" spans="3:3" x14ac:dyDescent="0.35">
      <c r="C39868" s="2"/>
    </row>
    <row r="39869" spans="3:3" x14ac:dyDescent="0.35">
      <c r="C39869" s="2"/>
    </row>
    <row r="39870" spans="3:3" x14ac:dyDescent="0.35">
      <c r="C39870" s="2"/>
    </row>
    <row r="39871" spans="3:3" x14ac:dyDescent="0.35">
      <c r="C39871" s="2"/>
    </row>
    <row r="39872" spans="3:3" x14ac:dyDescent="0.35">
      <c r="C39872" s="2"/>
    </row>
    <row r="39873" spans="3:3" x14ac:dyDescent="0.35">
      <c r="C39873" s="2"/>
    </row>
    <row r="39874" spans="3:3" x14ac:dyDescent="0.35">
      <c r="C39874" s="2"/>
    </row>
    <row r="39875" spans="3:3" x14ac:dyDescent="0.35">
      <c r="C39875" s="2"/>
    </row>
    <row r="39876" spans="3:3" x14ac:dyDescent="0.35">
      <c r="C39876" s="2"/>
    </row>
    <row r="39877" spans="3:3" x14ac:dyDescent="0.35">
      <c r="C39877" s="2"/>
    </row>
    <row r="39878" spans="3:3" x14ac:dyDescent="0.35">
      <c r="C39878" s="2"/>
    </row>
    <row r="39879" spans="3:3" x14ac:dyDescent="0.35">
      <c r="C39879" s="2"/>
    </row>
    <row r="39880" spans="3:3" x14ac:dyDescent="0.35">
      <c r="C39880" s="2"/>
    </row>
    <row r="39881" spans="3:3" x14ac:dyDescent="0.35">
      <c r="C39881" s="2"/>
    </row>
    <row r="39882" spans="3:3" x14ac:dyDescent="0.35">
      <c r="C39882" s="2"/>
    </row>
    <row r="39883" spans="3:3" x14ac:dyDescent="0.35">
      <c r="C39883" s="2"/>
    </row>
    <row r="39884" spans="3:3" x14ac:dyDescent="0.35">
      <c r="C39884" s="2"/>
    </row>
    <row r="39885" spans="3:3" x14ac:dyDescent="0.35">
      <c r="C39885" s="2"/>
    </row>
    <row r="39886" spans="3:3" x14ac:dyDescent="0.35">
      <c r="C39886" s="2"/>
    </row>
    <row r="39887" spans="3:3" x14ac:dyDescent="0.35">
      <c r="C39887" s="2"/>
    </row>
    <row r="39888" spans="3:3" x14ac:dyDescent="0.35">
      <c r="C39888" s="2"/>
    </row>
    <row r="39889" spans="3:3" x14ac:dyDescent="0.35">
      <c r="C39889" s="2"/>
    </row>
    <row r="39890" spans="3:3" x14ac:dyDescent="0.35">
      <c r="C39890" s="2"/>
    </row>
    <row r="39891" spans="3:3" x14ac:dyDescent="0.35">
      <c r="C39891" s="2"/>
    </row>
    <row r="39892" spans="3:3" x14ac:dyDescent="0.35">
      <c r="C39892" s="2"/>
    </row>
    <row r="39893" spans="3:3" x14ac:dyDescent="0.35">
      <c r="C39893" s="2"/>
    </row>
    <row r="39894" spans="3:3" x14ac:dyDescent="0.35">
      <c r="C39894" s="2"/>
    </row>
    <row r="39895" spans="3:3" x14ac:dyDescent="0.35">
      <c r="C39895" s="2"/>
    </row>
    <row r="39896" spans="3:3" x14ac:dyDescent="0.35">
      <c r="C39896" s="2"/>
    </row>
    <row r="39897" spans="3:3" x14ac:dyDescent="0.35">
      <c r="C39897" s="2"/>
    </row>
    <row r="39898" spans="3:3" x14ac:dyDescent="0.35">
      <c r="C39898" s="2"/>
    </row>
    <row r="39899" spans="3:3" x14ac:dyDescent="0.35">
      <c r="C39899" s="2"/>
    </row>
    <row r="39900" spans="3:3" x14ac:dyDescent="0.35">
      <c r="C39900" s="2"/>
    </row>
    <row r="39901" spans="3:3" x14ac:dyDescent="0.35">
      <c r="C39901" s="2"/>
    </row>
    <row r="39902" spans="3:3" x14ac:dyDescent="0.35">
      <c r="C39902" s="2"/>
    </row>
    <row r="39903" spans="3:3" x14ac:dyDescent="0.35">
      <c r="C39903" s="2"/>
    </row>
    <row r="39904" spans="3:3" x14ac:dyDescent="0.35">
      <c r="C39904" s="2"/>
    </row>
    <row r="39905" spans="3:3" x14ac:dyDescent="0.35">
      <c r="C39905" s="2"/>
    </row>
    <row r="39906" spans="3:3" x14ac:dyDescent="0.35">
      <c r="C39906" s="2"/>
    </row>
    <row r="39907" spans="3:3" x14ac:dyDescent="0.35">
      <c r="C39907" s="2"/>
    </row>
    <row r="39908" spans="3:3" x14ac:dyDescent="0.35">
      <c r="C39908" s="2"/>
    </row>
    <row r="39909" spans="3:3" x14ac:dyDescent="0.35">
      <c r="C39909" s="2"/>
    </row>
    <row r="39910" spans="3:3" x14ac:dyDescent="0.35">
      <c r="C39910" s="2"/>
    </row>
    <row r="39911" spans="3:3" x14ac:dyDescent="0.35">
      <c r="C39911" s="2"/>
    </row>
    <row r="39912" spans="3:3" x14ac:dyDescent="0.35">
      <c r="C39912" s="2"/>
    </row>
    <row r="39913" spans="3:3" x14ac:dyDescent="0.35">
      <c r="C39913" s="2"/>
    </row>
    <row r="39914" spans="3:3" x14ac:dyDescent="0.35">
      <c r="C39914" s="2"/>
    </row>
    <row r="39915" spans="3:3" x14ac:dyDescent="0.35">
      <c r="C39915" s="2"/>
    </row>
    <row r="39916" spans="3:3" x14ac:dyDescent="0.35">
      <c r="C39916" s="2"/>
    </row>
    <row r="39917" spans="3:3" x14ac:dyDescent="0.35">
      <c r="C39917" s="2"/>
    </row>
    <row r="39918" spans="3:3" x14ac:dyDescent="0.35">
      <c r="C39918" s="2"/>
    </row>
    <row r="39919" spans="3:3" x14ac:dyDescent="0.35">
      <c r="C39919" s="2"/>
    </row>
    <row r="39920" spans="3:3" x14ac:dyDescent="0.35">
      <c r="C39920" s="2"/>
    </row>
    <row r="39921" spans="3:3" x14ac:dyDescent="0.35">
      <c r="C39921" s="2"/>
    </row>
    <row r="39922" spans="3:3" x14ac:dyDescent="0.35">
      <c r="C39922" s="2"/>
    </row>
    <row r="39923" spans="3:3" x14ac:dyDescent="0.35">
      <c r="C39923" s="2"/>
    </row>
    <row r="39924" spans="3:3" x14ac:dyDescent="0.35">
      <c r="C39924" s="2"/>
    </row>
    <row r="39925" spans="3:3" x14ac:dyDescent="0.35">
      <c r="C39925" s="2"/>
    </row>
    <row r="39926" spans="3:3" x14ac:dyDescent="0.35">
      <c r="C39926" s="2"/>
    </row>
    <row r="39927" spans="3:3" x14ac:dyDescent="0.35">
      <c r="C39927" s="2"/>
    </row>
    <row r="39928" spans="3:3" x14ac:dyDescent="0.35">
      <c r="C39928" s="2"/>
    </row>
    <row r="39929" spans="3:3" x14ac:dyDescent="0.35">
      <c r="C39929" s="2"/>
    </row>
    <row r="39930" spans="3:3" x14ac:dyDescent="0.35">
      <c r="C39930" s="2"/>
    </row>
    <row r="39931" spans="3:3" x14ac:dyDescent="0.35">
      <c r="C39931" s="2"/>
    </row>
    <row r="39932" spans="3:3" x14ac:dyDescent="0.35">
      <c r="C39932" s="2"/>
    </row>
    <row r="39933" spans="3:3" x14ac:dyDescent="0.35">
      <c r="C39933" s="2"/>
    </row>
    <row r="39934" spans="3:3" x14ac:dyDescent="0.35">
      <c r="C39934" s="2"/>
    </row>
    <row r="39935" spans="3:3" x14ac:dyDescent="0.35">
      <c r="C39935" s="2"/>
    </row>
    <row r="39936" spans="3:3" x14ac:dyDescent="0.35">
      <c r="C39936" s="2"/>
    </row>
    <row r="39937" spans="3:3" x14ac:dyDescent="0.35">
      <c r="C39937" s="2"/>
    </row>
    <row r="39938" spans="3:3" x14ac:dyDescent="0.35">
      <c r="C39938" s="2"/>
    </row>
    <row r="39939" spans="3:3" x14ac:dyDescent="0.35">
      <c r="C39939" s="2"/>
    </row>
    <row r="39940" spans="3:3" x14ac:dyDescent="0.35">
      <c r="C39940" s="2"/>
    </row>
    <row r="39941" spans="3:3" x14ac:dyDescent="0.35">
      <c r="C39941" s="2"/>
    </row>
    <row r="39942" spans="3:3" x14ac:dyDescent="0.35">
      <c r="C39942" s="2"/>
    </row>
    <row r="39943" spans="3:3" x14ac:dyDescent="0.35">
      <c r="C39943" s="2"/>
    </row>
    <row r="39944" spans="3:3" x14ac:dyDescent="0.35">
      <c r="C39944" s="2"/>
    </row>
    <row r="39945" spans="3:3" x14ac:dyDescent="0.35">
      <c r="C39945" s="2"/>
    </row>
    <row r="39946" spans="3:3" x14ac:dyDescent="0.35">
      <c r="C39946" s="2"/>
    </row>
    <row r="39947" spans="3:3" x14ac:dyDescent="0.35">
      <c r="C39947" s="2"/>
    </row>
    <row r="39948" spans="3:3" x14ac:dyDescent="0.35">
      <c r="C39948" s="2"/>
    </row>
    <row r="39949" spans="3:3" x14ac:dyDescent="0.35">
      <c r="C39949" s="2"/>
    </row>
    <row r="39950" spans="3:3" x14ac:dyDescent="0.35">
      <c r="C39950" s="2"/>
    </row>
    <row r="39951" spans="3:3" x14ac:dyDescent="0.35">
      <c r="C39951" s="2"/>
    </row>
    <row r="39952" spans="3:3" x14ac:dyDescent="0.35">
      <c r="C39952" s="2"/>
    </row>
    <row r="39953" spans="3:3" x14ac:dyDescent="0.35">
      <c r="C39953" s="2"/>
    </row>
    <row r="39954" spans="3:3" x14ac:dyDescent="0.35">
      <c r="C39954" s="2"/>
    </row>
    <row r="39955" spans="3:3" x14ac:dyDescent="0.35">
      <c r="C39955" s="2"/>
    </row>
    <row r="39956" spans="3:3" x14ac:dyDescent="0.35">
      <c r="C39956" s="2"/>
    </row>
    <row r="39957" spans="3:3" x14ac:dyDescent="0.35">
      <c r="C39957" s="2"/>
    </row>
    <row r="39958" spans="3:3" x14ac:dyDescent="0.35">
      <c r="C39958" s="2"/>
    </row>
    <row r="39959" spans="3:3" x14ac:dyDescent="0.35">
      <c r="C39959" s="2"/>
    </row>
    <row r="39960" spans="3:3" x14ac:dyDescent="0.35">
      <c r="C39960" s="2"/>
    </row>
    <row r="39961" spans="3:3" x14ac:dyDescent="0.35">
      <c r="C39961" s="2"/>
    </row>
    <row r="39962" spans="3:3" x14ac:dyDescent="0.35">
      <c r="C39962" s="2"/>
    </row>
    <row r="39963" spans="3:3" x14ac:dyDescent="0.35">
      <c r="C39963" s="2"/>
    </row>
    <row r="39964" spans="3:3" x14ac:dyDescent="0.35">
      <c r="C39964" s="2"/>
    </row>
    <row r="39965" spans="3:3" x14ac:dyDescent="0.35">
      <c r="C39965" s="2"/>
    </row>
    <row r="39966" spans="3:3" x14ac:dyDescent="0.35">
      <c r="C39966" s="2"/>
    </row>
    <row r="39967" spans="3:3" x14ac:dyDescent="0.35">
      <c r="C39967" s="2"/>
    </row>
    <row r="39968" spans="3:3" x14ac:dyDescent="0.35">
      <c r="C39968" s="2"/>
    </row>
    <row r="39969" spans="3:3" x14ac:dyDescent="0.35">
      <c r="C39969" s="2"/>
    </row>
    <row r="39970" spans="3:3" x14ac:dyDescent="0.35">
      <c r="C39970" s="2"/>
    </row>
    <row r="39971" spans="3:3" x14ac:dyDescent="0.35">
      <c r="C39971" s="2"/>
    </row>
    <row r="39972" spans="3:3" x14ac:dyDescent="0.35">
      <c r="C39972" s="2"/>
    </row>
    <row r="39973" spans="3:3" x14ac:dyDescent="0.35">
      <c r="C39973" s="2"/>
    </row>
    <row r="39974" spans="3:3" x14ac:dyDescent="0.35">
      <c r="C39974" s="2"/>
    </row>
    <row r="39975" spans="3:3" x14ac:dyDescent="0.35">
      <c r="C39975" s="2"/>
    </row>
    <row r="39976" spans="3:3" x14ac:dyDescent="0.35">
      <c r="C39976" s="2"/>
    </row>
    <row r="39977" spans="3:3" x14ac:dyDescent="0.35">
      <c r="C39977" s="2"/>
    </row>
    <row r="39978" spans="3:3" x14ac:dyDescent="0.35">
      <c r="C39978" s="2"/>
    </row>
    <row r="39979" spans="3:3" x14ac:dyDescent="0.35">
      <c r="C39979" s="2"/>
    </row>
    <row r="39980" spans="3:3" x14ac:dyDescent="0.35">
      <c r="C39980" s="2"/>
    </row>
    <row r="39981" spans="3:3" x14ac:dyDescent="0.35">
      <c r="C39981" s="2"/>
    </row>
    <row r="39982" spans="3:3" x14ac:dyDescent="0.35">
      <c r="C39982" s="2"/>
    </row>
    <row r="39983" spans="3:3" x14ac:dyDescent="0.35">
      <c r="C39983" s="2"/>
    </row>
    <row r="39984" spans="3:3" x14ac:dyDescent="0.35">
      <c r="C39984" s="2"/>
    </row>
    <row r="39985" spans="3:3" x14ac:dyDescent="0.35">
      <c r="C39985" s="2"/>
    </row>
    <row r="39986" spans="3:3" x14ac:dyDescent="0.35">
      <c r="C39986" s="2"/>
    </row>
    <row r="39987" spans="3:3" x14ac:dyDescent="0.35">
      <c r="C39987" s="2"/>
    </row>
    <row r="39988" spans="3:3" x14ac:dyDescent="0.35">
      <c r="C39988" s="2"/>
    </row>
    <row r="39989" spans="3:3" x14ac:dyDescent="0.35">
      <c r="C39989" s="2"/>
    </row>
    <row r="39990" spans="3:3" x14ac:dyDescent="0.35">
      <c r="C39990" s="2"/>
    </row>
    <row r="39991" spans="3:3" x14ac:dyDescent="0.35">
      <c r="C39991" s="2"/>
    </row>
    <row r="39992" spans="3:3" x14ac:dyDescent="0.35">
      <c r="C39992" s="2"/>
    </row>
    <row r="39993" spans="3:3" x14ac:dyDescent="0.35">
      <c r="C39993" s="2"/>
    </row>
    <row r="39994" spans="3:3" x14ac:dyDescent="0.35">
      <c r="C39994" s="2"/>
    </row>
    <row r="39995" spans="3:3" x14ac:dyDescent="0.35">
      <c r="C39995" s="2"/>
    </row>
    <row r="39996" spans="3:3" x14ac:dyDescent="0.35">
      <c r="C39996" s="2"/>
    </row>
    <row r="39997" spans="3:3" x14ac:dyDescent="0.35">
      <c r="C39997" s="2"/>
    </row>
    <row r="39998" spans="3:3" x14ac:dyDescent="0.35">
      <c r="C39998" s="2"/>
    </row>
    <row r="39999" spans="3:3" x14ac:dyDescent="0.35">
      <c r="C39999" s="2"/>
    </row>
    <row r="40000" spans="3:3" x14ac:dyDescent="0.35">
      <c r="C40000" s="2"/>
    </row>
    <row r="40001" spans="3:3" x14ac:dyDescent="0.35">
      <c r="C40001" s="2"/>
    </row>
    <row r="40002" spans="3:3" x14ac:dyDescent="0.35">
      <c r="C40002" s="2"/>
    </row>
    <row r="40003" spans="3:3" x14ac:dyDescent="0.35">
      <c r="C40003" s="2"/>
    </row>
    <row r="40004" spans="3:3" x14ac:dyDescent="0.35">
      <c r="C40004" s="2"/>
    </row>
    <row r="40005" spans="3:3" x14ac:dyDescent="0.35">
      <c r="C40005" s="2"/>
    </row>
    <row r="40006" spans="3:3" x14ac:dyDescent="0.35">
      <c r="C40006" s="2"/>
    </row>
    <row r="40007" spans="3:3" x14ac:dyDescent="0.35">
      <c r="C40007" s="2"/>
    </row>
    <row r="40008" spans="3:3" x14ac:dyDescent="0.35">
      <c r="C40008" s="2"/>
    </row>
    <row r="40009" spans="3:3" x14ac:dyDescent="0.35">
      <c r="C40009" s="2"/>
    </row>
    <row r="40010" spans="3:3" x14ac:dyDescent="0.35">
      <c r="C40010" s="2"/>
    </row>
    <row r="40011" spans="3:3" x14ac:dyDescent="0.35">
      <c r="C40011" s="2"/>
    </row>
    <row r="40012" spans="3:3" x14ac:dyDescent="0.35">
      <c r="C40012" s="2"/>
    </row>
    <row r="40013" spans="3:3" x14ac:dyDescent="0.35">
      <c r="C40013" s="2"/>
    </row>
    <row r="40014" spans="3:3" x14ac:dyDescent="0.35">
      <c r="C40014" s="2"/>
    </row>
    <row r="40015" spans="3:3" x14ac:dyDescent="0.35">
      <c r="C40015" s="2"/>
    </row>
    <row r="40016" spans="3:3" x14ac:dyDescent="0.35">
      <c r="C40016" s="2"/>
    </row>
    <row r="40017" spans="3:3" x14ac:dyDescent="0.35">
      <c r="C40017" s="2"/>
    </row>
    <row r="40018" spans="3:3" x14ac:dyDescent="0.35">
      <c r="C40018" s="2"/>
    </row>
    <row r="40019" spans="3:3" x14ac:dyDescent="0.35">
      <c r="C40019" s="2"/>
    </row>
    <row r="40020" spans="3:3" x14ac:dyDescent="0.35">
      <c r="C40020" s="2"/>
    </row>
    <row r="40021" spans="3:3" x14ac:dyDescent="0.35">
      <c r="C40021" s="2"/>
    </row>
    <row r="40022" spans="3:3" x14ac:dyDescent="0.35">
      <c r="C40022" s="2"/>
    </row>
    <row r="40023" spans="3:3" x14ac:dyDescent="0.35">
      <c r="C40023" s="2"/>
    </row>
    <row r="40024" spans="3:3" x14ac:dyDescent="0.35">
      <c r="C40024" s="2"/>
    </row>
    <row r="40025" spans="3:3" x14ac:dyDescent="0.35">
      <c r="C40025" s="2"/>
    </row>
    <row r="40026" spans="3:3" x14ac:dyDescent="0.35">
      <c r="C40026" s="2"/>
    </row>
    <row r="40027" spans="3:3" x14ac:dyDescent="0.35">
      <c r="C40027" s="2"/>
    </row>
    <row r="40028" spans="3:3" x14ac:dyDescent="0.35">
      <c r="C40028" s="2"/>
    </row>
    <row r="40029" spans="3:3" x14ac:dyDescent="0.35">
      <c r="C40029" s="2"/>
    </row>
    <row r="40030" spans="3:3" x14ac:dyDescent="0.35">
      <c r="C40030" s="2"/>
    </row>
    <row r="40031" spans="3:3" x14ac:dyDescent="0.35">
      <c r="C40031" s="2"/>
    </row>
    <row r="40032" spans="3:3" x14ac:dyDescent="0.35">
      <c r="C40032" s="2"/>
    </row>
    <row r="40033" spans="3:3" x14ac:dyDescent="0.35">
      <c r="C40033" s="2"/>
    </row>
    <row r="40034" spans="3:3" x14ac:dyDescent="0.35">
      <c r="C40034" s="2"/>
    </row>
    <row r="40035" spans="3:3" x14ac:dyDescent="0.35">
      <c r="C40035" s="2"/>
    </row>
    <row r="40036" spans="3:3" x14ac:dyDescent="0.35">
      <c r="C40036" s="2"/>
    </row>
    <row r="40037" spans="3:3" x14ac:dyDescent="0.35">
      <c r="C40037" s="2"/>
    </row>
    <row r="40038" spans="3:3" x14ac:dyDescent="0.35">
      <c r="C40038" s="2"/>
    </row>
    <row r="40039" spans="3:3" x14ac:dyDescent="0.35">
      <c r="C40039" s="2"/>
    </row>
    <row r="40040" spans="3:3" x14ac:dyDescent="0.35">
      <c r="C40040" s="2"/>
    </row>
    <row r="40041" spans="3:3" x14ac:dyDescent="0.35">
      <c r="C40041" s="2"/>
    </row>
    <row r="40042" spans="3:3" x14ac:dyDescent="0.35">
      <c r="C40042" s="2"/>
    </row>
    <row r="40043" spans="3:3" x14ac:dyDescent="0.35">
      <c r="C40043" s="2"/>
    </row>
    <row r="40044" spans="3:3" x14ac:dyDescent="0.35">
      <c r="C40044" s="2"/>
    </row>
    <row r="40045" spans="3:3" x14ac:dyDescent="0.35">
      <c r="C40045" s="2"/>
    </row>
    <row r="40046" spans="3:3" x14ac:dyDescent="0.35">
      <c r="C40046" s="2"/>
    </row>
    <row r="40047" spans="3:3" x14ac:dyDescent="0.35">
      <c r="C40047" s="2"/>
    </row>
    <row r="40048" spans="3:3" x14ac:dyDescent="0.35">
      <c r="C40048" s="2"/>
    </row>
    <row r="40049" spans="3:3" x14ac:dyDescent="0.35">
      <c r="C40049" s="2"/>
    </row>
    <row r="40050" spans="3:3" x14ac:dyDescent="0.35">
      <c r="C40050" s="2"/>
    </row>
    <row r="40051" spans="3:3" x14ac:dyDescent="0.35">
      <c r="C40051" s="2"/>
    </row>
    <row r="40052" spans="3:3" x14ac:dyDescent="0.35">
      <c r="C40052" s="2"/>
    </row>
    <row r="40053" spans="3:3" x14ac:dyDescent="0.35">
      <c r="C40053" s="2"/>
    </row>
    <row r="40054" spans="3:3" x14ac:dyDescent="0.35">
      <c r="C40054" s="2"/>
    </row>
    <row r="40055" spans="3:3" x14ac:dyDescent="0.35">
      <c r="C40055" s="2"/>
    </row>
    <row r="40056" spans="3:3" x14ac:dyDescent="0.35">
      <c r="C40056" s="2"/>
    </row>
    <row r="40057" spans="3:3" x14ac:dyDescent="0.35">
      <c r="C40057" s="2"/>
    </row>
    <row r="40058" spans="3:3" x14ac:dyDescent="0.35">
      <c r="C40058" s="2"/>
    </row>
    <row r="40059" spans="3:3" x14ac:dyDescent="0.35">
      <c r="C40059" s="2"/>
    </row>
    <row r="40060" spans="3:3" x14ac:dyDescent="0.35">
      <c r="C40060" s="2"/>
    </row>
    <row r="40061" spans="3:3" x14ac:dyDescent="0.35">
      <c r="C40061" s="2"/>
    </row>
    <row r="40062" spans="3:3" x14ac:dyDescent="0.35">
      <c r="C40062" s="2"/>
    </row>
    <row r="40063" spans="3:3" x14ac:dyDescent="0.35">
      <c r="C40063" s="2"/>
    </row>
    <row r="40064" spans="3:3" x14ac:dyDescent="0.35">
      <c r="C40064" s="2"/>
    </row>
    <row r="40065" spans="3:3" x14ac:dyDescent="0.35">
      <c r="C40065" s="2"/>
    </row>
    <row r="40066" spans="3:3" x14ac:dyDescent="0.35">
      <c r="C40066" s="2"/>
    </row>
    <row r="40067" spans="3:3" x14ac:dyDescent="0.35">
      <c r="C40067" s="2"/>
    </row>
    <row r="40068" spans="3:3" x14ac:dyDescent="0.35">
      <c r="C40068" s="2"/>
    </row>
    <row r="40069" spans="3:3" x14ac:dyDescent="0.35">
      <c r="C40069" s="2"/>
    </row>
    <row r="40070" spans="3:3" x14ac:dyDescent="0.35">
      <c r="C40070" s="2"/>
    </row>
    <row r="40071" spans="3:3" x14ac:dyDescent="0.35">
      <c r="C40071" s="2"/>
    </row>
    <row r="40072" spans="3:3" x14ac:dyDescent="0.35">
      <c r="C40072" s="2"/>
    </row>
    <row r="40073" spans="3:3" x14ac:dyDescent="0.35">
      <c r="C40073" s="2"/>
    </row>
    <row r="40074" spans="3:3" x14ac:dyDescent="0.35">
      <c r="C40074" s="2"/>
    </row>
    <row r="40075" spans="3:3" x14ac:dyDescent="0.35">
      <c r="C40075" s="2"/>
    </row>
    <row r="40076" spans="3:3" x14ac:dyDescent="0.35">
      <c r="C40076" s="2"/>
    </row>
    <row r="40077" spans="3:3" x14ac:dyDescent="0.35">
      <c r="C40077" s="2"/>
    </row>
    <row r="40078" spans="3:3" x14ac:dyDescent="0.35">
      <c r="C40078" s="2"/>
    </row>
    <row r="40079" spans="3:3" x14ac:dyDescent="0.35">
      <c r="C40079" s="2"/>
    </row>
    <row r="40080" spans="3:3" x14ac:dyDescent="0.35">
      <c r="C40080" s="2"/>
    </row>
    <row r="40081" spans="3:3" x14ac:dyDescent="0.35">
      <c r="C40081" s="2"/>
    </row>
    <row r="40082" spans="3:3" x14ac:dyDescent="0.35">
      <c r="C40082" s="2"/>
    </row>
    <row r="40083" spans="3:3" x14ac:dyDescent="0.35">
      <c r="C40083" s="2"/>
    </row>
    <row r="40084" spans="3:3" x14ac:dyDescent="0.35">
      <c r="C40084" s="2"/>
    </row>
    <row r="40085" spans="3:3" x14ac:dyDescent="0.35">
      <c r="C40085" s="2"/>
    </row>
    <row r="40086" spans="3:3" x14ac:dyDescent="0.35">
      <c r="C40086" s="2"/>
    </row>
    <row r="40087" spans="3:3" x14ac:dyDescent="0.35">
      <c r="C40087" s="2"/>
    </row>
    <row r="40088" spans="3:3" x14ac:dyDescent="0.35">
      <c r="C40088" s="2"/>
    </row>
    <row r="40089" spans="3:3" x14ac:dyDescent="0.35">
      <c r="C40089" s="2"/>
    </row>
    <row r="40090" spans="3:3" x14ac:dyDescent="0.35">
      <c r="C40090" s="2"/>
    </row>
    <row r="40091" spans="3:3" x14ac:dyDescent="0.35">
      <c r="C40091" s="2"/>
    </row>
    <row r="40092" spans="3:3" x14ac:dyDescent="0.35">
      <c r="C40092" s="2"/>
    </row>
    <row r="40093" spans="3:3" x14ac:dyDescent="0.35">
      <c r="C40093" s="2"/>
    </row>
    <row r="40094" spans="3:3" x14ac:dyDescent="0.35">
      <c r="C40094" s="2"/>
    </row>
    <row r="40095" spans="3:3" x14ac:dyDescent="0.35">
      <c r="C40095" s="2"/>
    </row>
    <row r="40096" spans="3:3" x14ac:dyDescent="0.35">
      <c r="C40096" s="2"/>
    </row>
    <row r="40097" spans="3:3" x14ac:dyDescent="0.35">
      <c r="C40097" s="2"/>
    </row>
    <row r="40098" spans="3:3" x14ac:dyDescent="0.35">
      <c r="C40098" s="2"/>
    </row>
    <row r="40099" spans="3:3" x14ac:dyDescent="0.35">
      <c r="C40099" s="2"/>
    </row>
    <row r="40100" spans="3:3" x14ac:dyDescent="0.35">
      <c r="C40100" s="2"/>
    </row>
    <row r="40101" spans="3:3" x14ac:dyDescent="0.35">
      <c r="C40101" s="2"/>
    </row>
    <row r="40102" spans="3:3" x14ac:dyDescent="0.35">
      <c r="C40102" s="2"/>
    </row>
    <row r="40103" spans="3:3" x14ac:dyDescent="0.35">
      <c r="C40103" s="2"/>
    </row>
    <row r="40104" spans="3:3" x14ac:dyDescent="0.35">
      <c r="C40104" s="2"/>
    </row>
    <row r="40105" spans="3:3" x14ac:dyDescent="0.35">
      <c r="C40105" s="2"/>
    </row>
    <row r="40106" spans="3:3" x14ac:dyDescent="0.35">
      <c r="C40106" s="2"/>
    </row>
    <row r="40107" spans="3:3" x14ac:dyDescent="0.35">
      <c r="C40107" s="2"/>
    </row>
    <row r="40108" spans="3:3" x14ac:dyDescent="0.35">
      <c r="C40108" s="2"/>
    </row>
    <row r="40109" spans="3:3" x14ac:dyDescent="0.35">
      <c r="C40109" s="2"/>
    </row>
    <row r="40110" spans="3:3" x14ac:dyDescent="0.35">
      <c r="C40110" s="2"/>
    </row>
    <row r="40111" spans="3:3" x14ac:dyDescent="0.35">
      <c r="C40111" s="2"/>
    </row>
    <row r="40112" spans="3:3" x14ac:dyDescent="0.35">
      <c r="C40112" s="2"/>
    </row>
    <row r="40113" spans="3:3" x14ac:dyDescent="0.35">
      <c r="C40113" s="2"/>
    </row>
    <row r="40114" spans="3:3" x14ac:dyDescent="0.35">
      <c r="C40114" s="2"/>
    </row>
    <row r="40115" spans="3:3" x14ac:dyDescent="0.35">
      <c r="C40115" s="2"/>
    </row>
    <row r="40116" spans="3:3" x14ac:dyDescent="0.35">
      <c r="C40116" s="2"/>
    </row>
    <row r="40117" spans="3:3" x14ac:dyDescent="0.35">
      <c r="C40117" s="2"/>
    </row>
    <row r="40118" spans="3:3" x14ac:dyDescent="0.35">
      <c r="C40118" s="2"/>
    </row>
    <row r="40119" spans="3:3" x14ac:dyDescent="0.35">
      <c r="C40119" s="2"/>
    </row>
    <row r="40120" spans="3:3" x14ac:dyDescent="0.35">
      <c r="C40120" s="2"/>
    </row>
    <row r="40121" spans="3:3" x14ac:dyDescent="0.35">
      <c r="C40121" s="2"/>
    </row>
    <row r="40122" spans="3:3" x14ac:dyDescent="0.35">
      <c r="C40122" s="2"/>
    </row>
    <row r="40123" spans="3:3" x14ac:dyDescent="0.35">
      <c r="C40123" s="2"/>
    </row>
    <row r="40124" spans="3:3" x14ac:dyDescent="0.35">
      <c r="C40124" s="2"/>
    </row>
    <row r="40125" spans="3:3" x14ac:dyDescent="0.35">
      <c r="C40125" s="2"/>
    </row>
    <row r="40126" spans="3:3" x14ac:dyDescent="0.35">
      <c r="C40126" s="2"/>
    </row>
    <row r="40127" spans="3:3" x14ac:dyDescent="0.35">
      <c r="C40127" s="2"/>
    </row>
    <row r="40128" spans="3:3" x14ac:dyDescent="0.35">
      <c r="C40128" s="2"/>
    </row>
    <row r="40129" spans="3:3" x14ac:dyDescent="0.35">
      <c r="C40129" s="2"/>
    </row>
    <row r="40130" spans="3:3" x14ac:dyDescent="0.35">
      <c r="C40130" s="2"/>
    </row>
    <row r="40131" spans="3:3" x14ac:dyDescent="0.35">
      <c r="C40131" s="2"/>
    </row>
    <row r="40132" spans="3:3" x14ac:dyDescent="0.35">
      <c r="C40132" s="2"/>
    </row>
    <row r="40133" spans="3:3" x14ac:dyDescent="0.35">
      <c r="C40133" s="2"/>
    </row>
    <row r="40134" spans="3:3" x14ac:dyDescent="0.35">
      <c r="C40134" s="2"/>
    </row>
    <row r="40135" spans="3:3" x14ac:dyDescent="0.35">
      <c r="C40135" s="2"/>
    </row>
    <row r="40136" spans="3:3" x14ac:dyDescent="0.35">
      <c r="C40136" s="2"/>
    </row>
    <row r="40137" spans="3:3" x14ac:dyDescent="0.35">
      <c r="C40137" s="2"/>
    </row>
    <row r="40138" spans="3:3" x14ac:dyDescent="0.35">
      <c r="C40138" s="2"/>
    </row>
    <row r="40139" spans="3:3" x14ac:dyDescent="0.35">
      <c r="C40139" s="2"/>
    </row>
    <row r="40140" spans="3:3" x14ac:dyDescent="0.35">
      <c r="C40140" s="2"/>
    </row>
    <row r="40141" spans="3:3" x14ac:dyDescent="0.35">
      <c r="C40141" s="2"/>
    </row>
    <row r="40142" spans="3:3" x14ac:dyDescent="0.35">
      <c r="C40142" s="2"/>
    </row>
    <row r="40143" spans="3:3" x14ac:dyDescent="0.35">
      <c r="C40143" s="2"/>
    </row>
    <row r="40144" spans="3:3" x14ac:dyDescent="0.35">
      <c r="C40144" s="2"/>
    </row>
    <row r="40145" spans="3:3" x14ac:dyDescent="0.35">
      <c r="C40145" s="2"/>
    </row>
    <row r="40146" spans="3:3" x14ac:dyDescent="0.35">
      <c r="C40146" s="2"/>
    </row>
    <row r="40147" spans="3:3" x14ac:dyDescent="0.35">
      <c r="C40147" s="2"/>
    </row>
    <row r="40148" spans="3:3" x14ac:dyDescent="0.35">
      <c r="C40148" s="2"/>
    </row>
    <row r="40149" spans="3:3" x14ac:dyDescent="0.35">
      <c r="C40149" s="2"/>
    </row>
    <row r="40150" spans="3:3" x14ac:dyDescent="0.35">
      <c r="C40150" s="2"/>
    </row>
    <row r="40151" spans="3:3" x14ac:dyDescent="0.35">
      <c r="C40151" s="2"/>
    </row>
    <row r="40152" spans="3:3" x14ac:dyDescent="0.35">
      <c r="C40152" s="2"/>
    </row>
    <row r="40153" spans="3:3" x14ac:dyDescent="0.35">
      <c r="C40153" s="2"/>
    </row>
    <row r="40154" spans="3:3" x14ac:dyDescent="0.35">
      <c r="C40154" s="2"/>
    </row>
    <row r="40155" spans="3:3" x14ac:dyDescent="0.35">
      <c r="C40155" s="2"/>
    </row>
    <row r="40156" spans="3:3" x14ac:dyDescent="0.35">
      <c r="C40156" s="2"/>
    </row>
    <row r="40157" spans="3:3" x14ac:dyDescent="0.35">
      <c r="C40157" s="2"/>
    </row>
    <row r="40158" spans="3:3" x14ac:dyDescent="0.35">
      <c r="C40158" s="2"/>
    </row>
    <row r="40159" spans="3:3" x14ac:dyDescent="0.35">
      <c r="C40159" s="2"/>
    </row>
    <row r="40160" spans="3:3" x14ac:dyDescent="0.35">
      <c r="C40160" s="2"/>
    </row>
    <row r="40161" spans="3:3" x14ac:dyDescent="0.35">
      <c r="C40161" s="2"/>
    </row>
    <row r="40162" spans="3:3" x14ac:dyDescent="0.35">
      <c r="C40162" s="2"/>
    </row>
    <row r="40163" spans="3:3" x14ac:dyDescent="0.35">
      <c r="C40163" s="2"/>
    </row>
    <row r="40164" spans="3:3" x14ac:dyDescent="0.35">
      <c r="C40164" s="2"/>
    </row>
    <row r="40165" spans="3:3" x14ac:dyDescent="0.35">
      <c r="C40165" s="2"/>
    </row>
    <row r="40166" spans="3:3" x14ac:dyDescent="0.35">
      <c r="C40166" s="2"/>
    </row>
    <row r="40167" spans="3:3" x14ac:dyDescent="0.35">
      <c r="C40167" s="2"/>
    </row>
    <row r="40168" spans="3:3" x14ac:dyDescent="0.35">
      <c r="C40168" s="2"/>
    </row>
    <row r="40169" spans="3:3" x14ac:dyDescent="0.35">
      <c r="C40169" s="2"/>
    </row>
    <row r="40170" spans="3:3" x14ac:dyDescent="0.35">
      <c r="C40170" s="2"/>
    </row>
    <row r="40171" spans="3:3" x14ac:dyDescent="0.35">
      <c r="C40171" s="2"/>
    </row>
    <row r="40172" spans="3:3" x14ac:dyDescent="0.35">
      <c r="C40172" s="2"/>
    </row>
    <row r="40173" spans="3:3" x14ac:dyDescent="0.35">
      <c r="C40173" s="2"/>
    </row>
    <row r="40174" spans="3:3" x14ac:dyDescent="0.35">
      <c r="C40174" s="2"/>
    </row>
    <row r="40175" spans="3:3" x14ac:dyDescent="0.35">
      <c r="C40175" s="2"/>
    </row>
    <row r="40176" spans="3:3" x14ac:dyDescent="0.35">
      <c r="C40176" s="2"/>
    </row>
    <row r="40177" spans="3:3" x14ac:dyDescent="0.35">
      <c r="C40177" s="2"/>
    </row>
    <row r="40178" spans="3:3" x14ac:dyDescent="0.35">
      <c r="C40178" s="2"/>
    </row>
    <row r="40179" spans="3:3" x14ac:dyDescent="0.35">
      <c r="C40179" s="2"/>
    </row>
    <row r="40180" spans="3:3" x14ac:dyDescent="0.35">
      <c r="C40180" s="2"/>
    </row>
    <row r="40181" spans="3:3" x14ac:dyDescent="0.35">
      <c r="C40181" s="2"/>
    </row>
    <row r="40182" spans="3:3" x14ac:dyDescent="0.35">
      <c r="C40182" s="2"/>
    </row>
    <row r="40183" spans="3:3" x14ac:dyDescent="0.35">
      <c r="C40183" s="2"/>
    </row>
    <row r="40184" spans="3:3" x14ac:dyDescent="0.35">
      <c r="C40184" s="2"/>
    </row>
    <row r="40185" spans="3:3" x14ac:dyDescent="0.35">
      <c r="C40185" s="2"/>
    </row>
    <row r="40186" spans="3:3" x14ac:dyDescent="0.35">
      <c r="C40186" s="2"/>
    </row>
    <row r="40187" spans="3:3" x14ac:dyDescent="0.35">
      <c r="C40187" s="2"/>
    </row>
    <row r="40188" spans="3:3" x14ac:dyDescent="0.35">
      <c r="C40188" s="2"/>
    </row>
    <row r="40189" spans="3:3" x14ac:dyDescent="0.35">
      <c r="C40189" s="2"/>
    </row>
    <row r="40190" spans="3:3" x14ac:dyDescent="0.35">
      <c r="C40190" s="2"/>
    </row>
    <row r="40191" spans="3:3" x14ac:dyDescent="0.35">
      <c r="C40191" s="2"/>
    </row>
    <row r="40192" spans="3:3" x14ac:dyDescent="0.35">
      <c r="C40192" s="2"/>
    </row>
    <row r="40193" spans="3:3" x14ac:dyDescent="0.35">
      <c r="C40193" s="2"/>
    </row>
    <row r="40194" spans="3:3" x14ac:dyDescent="0.35">
      <c r="C40194" s="2"/>
    </row>
    <row r="40195" spans="3:3" x14ac:dyDescent="0.35">
      <c r="C40195" s="2"/>
    </row>
    <row r="40196" spans="3:3" x14ac:dyDescent="0.35">
      <c r="C40196" s="2"/>
    </row>
    <row r="40197" spans="3:3" x14ac:dyDescent="0.35">
      <c r="C40197" s="2"/>
    </row>
    <row r="40198" spans="3:3" x14ac:dyDescent="0.35">
      <c r="C40198" s="2"/>
    </row>
    <row r="40199" spans="3:3" x14ac:dyDescent="0.35">
      <c r="C40199" s="2"/>
    </row>
    <row r="40200" spans="3:3" x14ac:dyDescent="0.35">
      <c r="C40200" s="2"/>
    </row>
    <row r="40201" spans="3:3" x14ac:dyDescent="0.35">
      <c r="C40201" s="2"/>
    </row>
    <row r="40202" spans="3:3" x14ac:dyDescent="0.35">
      <c r="C40202" s="2"/>
    </row>
    <row r="40203" spans="3:3" x14ac:dyDescent="0.35">
      <c r="C40203" s="2"/>
    </row>
    <row r="40204" spans="3:3" x14ac:dyDescent="0.35">
      <c r="C40204" s="2"/>
    </row>
    <row r="40205" spans="3:3" x14ac:dyDescent="0.35">
      <c r="C40205" s="2"/>
    </row>
    <row r="40206" spans="3:3" x14ac:dyDescent="0.35">
      <c r="C40206" s="2"/>
    </row>
    <row r="40207" spans="3:3" x14ac:dyDescent="0.35">
      <c r="C40207" s="2"/>
    </row>
    <row r="40208" spans="3:3" x14ac:dyDescent="0.35">
      <c r="C40208" s="2"/>
    </row>
    <row r="40209" spans="3:3" x14ac:dyDescent="0.35">
      <c r="C40209" s="2"/>
    </row>
    <row r="40210" spans="3:3" x14ac:dyDescent="0.35">
      <c r="C40210" s="2"/>
    </row>
    <row r="40211" spans="3:3" x14ac:dyDescent="0.35">
      <c r="C40211" s="2"/>
    </row>
    <row r="40212" spans="3:3" x14ac:dyDescent="0.35">
      <c r="C40212" s="2"/>
    </row>
    <row r="40213" spans="3:3" x14ac:dyDescent="0.35">
      <c r="C40213" s="2"/>
    </row>
    <row r="40214" spans="3:3" x14ac:dyDescent="0.35">
      <c r="C40214" s="2"/>
    </row>
    <row r="40215" spans="3:3" x14ac:dyDescent="0.35">
      <c r="C40215" s="2"/>
    </row>
    <row r="40216" spans="3:3" x14ac:dyDescent="0.35">
      <c r="C40216" s="2"/>
    </row>
    <row r="40217" spans="3:3" x14ac:dyDescent="0.35">
      <c r="C40217" s="2"/>
    </row>
    <row r="40218" spans="3:3" x14ac:dyDescent="0.35">
      <c r="C40218" s="2"/>
    </row>
    <row r="40219" spans="3:3" x14ac:dyDescent="0.35">
      <c r="C40219" s="2"/>
    </row>
    <row r="40220" spans="3:3" x14ac:dyDescent="0.35">
      <c r="C40220" s="2"/>
    </row>
    <row r="40221" spans="3:3" x14ac:dyDescent="0.35">
      <c r="C40221" s="2"/>
    </row>
    <row r="40222" spans="3:3" x14ac:dyDescent="0.35">
      <c r="C40222" s="2"/>
    </row>
    <row r="40223" spans="3:3" x14ac:dyDescent="0.35">
      <c r="C40223" s="2"/>
    </row>
    <row r="40224" spans="3:3" x14ac:dyDescent="0.35">
      <c r="C40224" s="2"/>
    </row>
    <row r="40225" spans="3:3" x14ac:dyDescent="0.35">
      <c r="C40225" s="2"/>
    </row>
    <row r="40226" spans="3:3" x14ac:dyDescent="0.35">
      <c r="C40226" s="2"/>
    </row>
    <row r="40227" spans="3:3" x14ac:dyDescent="0.35">
      <c r="C40227" s="2"/>
    </row>
    <row r="40228" spans="3:3" x14ac:dyDescent="0.35">
      <c r="C40228" s="2"/>
    </row>
    <row r="40229" spans="3:3" x14ac:dyDescent="0.35">
      <c r="C40229" s="2"/>
    </row>
    <row r="40230" spans="3:3" x14ac:dyDescent="0.35">
      <c r="C40230" s="2"/>
    </row>
    <row r="40231" spans="3:3" x14ac:dyDescent="0.35">
      <c r="C40231" s="2"/>
    </row>
    <row r="40232" spans="3:3" x14ac:dyDescent="0.35">
      <c r="C40232" s="2"/>
    </row>
    <row r="40233" spans="3:3" x14ac:dyDescent="0.35">
      <c r="C40233" s="2"/>
    </row>
    <row r="40234" spans="3:3" x14ac:dyDescent="0.35">
      <c r="C40234" s="2"/>
    </row>
    <row r="40235" spans="3:3" x14ac:dyDescent="0.35">
      <c r="C40235" s="2"/>
    </row>
    <row r="40236" spans="3:3" x14ac:dyDescent="0.35">
      <c r="C40236" s="2"/>
    </row>
    <row r="40237" spans="3:3" x14ac:dyDescent="0.35">
      <c r="C40237" s="2"/>
    </row>
    <row r="40238" spans="3:3" x14ac:dyDescent="0.35">
      <c r="C40238" s="2"/>
    </row>
    <row r="40239" spans="3:3" x14ac:dyDescent="0.35">
      <c r="C40239" s="2"/>
    </row>
    <row r="40240" spans="3:3" x14ac:dyDescent="0.35">
      <c r="C40240" s="2"/>
    </row>
    <row r="40241" spans="3:3" x14ac:dyDescent="0.35">
      <c r="C40241" s="2"/>
    </row>
    <row r="40242" spans="3:3" x14ac:dyDescent="0.35">
      <c r="C40242" s="2"/>
    </row>
    <row r="40243" spans="3:3" x14ac:dyDescent="0.35">
      <c r="C40243" s="2"/>
    </row>
    <row r="40244" spans="3:3" x14ac:dyDescent="0.35">
      <c r="C40244" s="2"/>
    </row>
    <row r="40245" spans="3:3" x14ac:dyDescent="0.35">
      <c r="C40245" s="2"/>
    </row>
    <row r="40246" spans="3:3" x14ac:dyDescent="0.35">
      <c r="C40246" s="2"/>
    </row>
    <row r="40247" spans="3:3" x14ac:dyDescent="0.35">
      <c r="C40247" s="2"/>
    </row>
    <row r="40248" spans="3:3" x14ac:dyDescent="0.35">
      <c r="C40248" s="2"/>
    </row>
    <row r="40249" spans="3:3" x14ac:dyDescent="0.35">
      <c r="C40249" s="2"/>
    </row>
    <row r="40250" spans="3:3" x14ac:dyDescent="0.35">
      <c r="C40250" s="2"/>
    </row>
    <row r="40251" spans="3:3" x14ac:dyDescent="0.35">
      <c r="C40251" s="2"/>
    </row>
    <row r="40252" spans="3:3" x14ac:dyDescent="0.35">
      <c r="C40252" s="2"/>
    </row>
    <row r="40253" spans="3:3" x14ac:dyDescent="0.35">
      <c r="C40253" s="2"/>
    </row>
    <row r="40254" spans="3:3" x14ac:dyDescent="0.35">
      <c r="C40254" s="2"/>
    </row>
    <row r="40255" spans="3:3" x14ac:dyDescent="0.35">
      <c r="C40255" s="2"/>
    </row>
    <row r="40256" spans="3:3" x14ac:dyDescent="0.35">
      <c r="C40256" s="2"/>
    </row>
    <row r="40257" spans="3:3" x14ac:dyDescent="0.35">
      <c r="C40257" s="2"/>
    </row>
    <row r="40258" spans="3:3" x14ac:dyDescent="0.35">
      <c r="C40258" s="2"/>
    </row>
    <row r="40259" spans="3:3" x14ac:dyDescent="0.35">
      <c r="C40259" s="2"/>
    </row>
    <row r="40260" spans="3:3" x14ac:dyDescent="0.35">
      <c r="C40260" s="2"/>
    </row>
    <row r="40261" spans="3:3" x14ac:dyDescent="0.35">
      <c r="C40261" s="2"/>
    </row>
    <row r="40262" spans="3:3" x14ac:dyDescent="0.35">
      <c r="C40262" s="2"/>
    </row>
    <row r="40263" spans="3:3" x14ac:dyDescent="0.35">
      <c r="C40263" s="2"/>
    </row>
    <row r="40264" spans="3:3" x14ac:dyDescent="0.35">
      <c r="C40264" s="2"/>
    </row>
    <row r="40265" spans="3:3" x14ac:dyDescent="0.35">
      <c r="C40265" s="2"/>
    </row>
    <row r="40266" spans="3:3" x14ac:dyDescent="0.35">
      <c r="C40266" s="2"/>
    </row>
    <row r="40267" spans="3:3" x14ac:dyDescent="0.35">
      <c r="C40267" s="2"/>
    </row>
    <row r="40268" spans="3:3" x14ac:dyDescent="0.35">
      <c r="C40268" s="2"/>
    </row>
    <row r="40269" spans="3:3" x14ac:dyDescent="0.35">
      <c r="C40269" s="2"/>
    </row>
    <row r="40270" spans="3:3" x14ac:dyDescent="0.35">
      <c r="C40270" s="2"/>
    </row>
    <row r="40271" spans="3:3" x14ac:dyDescent="0.35">
      <c r="C40271" s="2"/>
    </row>
    <row r="40272" spans="3:3" x14ac:dyDescent="0.35">
      <c r="C40272" s="2"/>
    </row>
    <row r="40273" spans="3:3" x14ac:dyDescent="0.35">
      <c r="C40273" s="2"/>
    </row>
    <row r="40274" spans="3:3" x14ac:dyDescent="0.35">
      <c r="C40274" s="2"/>
    </row>
    <row r="40275" spans="3:3" x14ac:dyDescent="0.35">
      <c r="C40275" s="2"/>
    </row>
    <row r="40276" spans="3:3" x14ac:dyDescent="0.35">
      <c r="C40276" s="2"/>
    </row>
    <row r="40277" spans="3:3" x14ac:dyDescent="0.35">
      <c r="C40277" s="2"/>
    </row>
    <row r="40278" spans="3:3" x14ac:dyDescent="0.35">
      <c r="C40278" s="2"/>
    </row>
    <row r="40279" spans="3:3" x14ac:dyDescent="0.35">
      <c r="C40279" s="2"/>
    </row>
    <row r="40280" spans="3:3" x14ac:dyDescent="0.35">
      <c r="C40280" s="2"/>
    </row>
    <row r="40281" spans="3:3" x14ac:dyDescent="0.35">
      <c r="C40281" s="2"/>
    </row>
    <row r="40282" spans="3:3" x14ac:dyDescent="0.35">
      <c r="C40282" s="2"/>
    </row>
    <row r="40283" spans="3:3" x14ac:dyDescent="0.35">
      <c r="C40283" s="2"/>
    </row>
    <row r="40284" spans="3:3" x14ac:dyDescent="0.35">
      <c r="C40284" s="2"/>
    </row>
    <row r="40285" spans="3:3" x14ac:dyDescent="0.35">
      <c r="C40285" s="2"/>
    </row>
    <row r="40286" spans="3:3" x14ac:dyDescent="0.35">
      <c r="C40286" s="2"/>
    </row>
    <row r="40287" spans="3:3" x14ac:dyDescent="0.35">
      <c r="C40287" s="2"/>
    </row>
    <row r="40288" spans="3:3" x14ac:dyDescent="0.35">
      <c r="C40288" s="2"/>
    </row>
    <row r="40289" spans="3:3" x14ac:dyDescent="0.35">
      <c r="C40289" s="2"/>
    </row>
    <row r="40290" spans="3:3" x14ac:dyDescent="0.35">
      <c r="C40290" s="2"/>
    </row>
    <row r="40291" spans="3:3" x14ac:dyDescent="0.35">
      <c r="C40291" s="2"/>
    </row>
    <row r="40292" spans="3:3" x14ac:dyDescent="0.35">
      <c r="C40292" s="2"/>
    </row>
    <row r="40293" spans="3:3" x14ac:dyDescent="0.35">
      <c r="C40293" s="2"/>
    </row>
    <row r="40294" spans="3:3" x14ac:dyDescent="0.35">
      <c r="C40294" s="2"/>
    </row>
    <row r="40295" spans="3:3" x14ac:dyDescent="0.35">
      <c r="C40295" s="2"/>
    </row>
    <row r="40296" spans="3:3" x14ac:dyDescent="0.35">
      <c r="C40296" s="2"/>
    </row>
    <row r="40297" spans="3:3" x14ac:dyDescent="0.35">
      <c r="C40297" s="2"/>
    </row>
    <row r="40298" spans="3:3" x14ac:dyDescent="0.35">
      <c r="C40298" s="2"/>
    </row>
    <row r="40299" spans="3:3" x14ac:dyDescent="0.35">
      <c r="C40299" s="2"/>
    </row>
    <row r="40300" spans="3:3" x14ac:dyDescent="0.35">
      <c r="C40300" s="2"/>
    </row>
    <row r="40301" spans="3:3" x14ac:dyDescent="0.35">
      <c r="C40301" s="2"/>
    </row>
    <row r="40302" spans="3:3" x14ac:dyDescent="0.35">
      <c r="C40302" s="2"/>
    </row>
    <row r="40303" spans="3:3" x14ac:dyDescent="0.35">
      <c r="C40303" s="2"/>
    </row>
    <row r="40304" spans="3:3" x14ac:dyDescent="0.35">
      <c r="C40304" s="2"/>
    </row>
    <row r="40305" spans="3:3" x14ac:dyDescent="0.35">
      <c r="C40305" s="2"/>
    </row>
    <row r="40306" spans="3:3" x14ac:dyDescent="0.35">
      <c r="C40306" s="2"/>
    </row>
    <row r="40307" spans="3:3" x14ac:dyDescent="0.35">
      <c r="C40307" s="2"/>
    </row>
    <row r="40308" spans="3:3" x14ac:dyDescent="0.35">
      <c r="C40308" s="2"/>
    </row>
    <row r="40309" spans="3:3" x14ac:dyDescent="0.35">
      <c r="C40309" s="2"/>
    </row>
    <row r="40310" spans="3:3" x14ac:dyDescent="0.35">
      <c r="C40310" s="2"/>
    </row>
    <row r="40311" spans="3:3" x14ac:dyDescent="0.35">
      <c r="C40311" s="2"/>
    </row>
    <row r="40312" spans="3:3" x14ac:dyDescent="0.35">
      <c r="C40312" s="2"/>
    </row>
    <row r="40313" spans="3:3" x14ac:dyDescent="0.35">
      <c r="C40313" s="2"/>
    </row>
    <row r="40314" spans="3:3" x14ac:dyDescent="0.35">
      <c r="C40314" s="2"/>
    </row>
    <row r="40315" spans="3:3" x14ac:dyDescent="0.35">
      <c r="C40315" s="2"/>
    </row>
    <row r="40316" spans="3:3" x14ac:dyDescent="0.35">
      <c r="C40316" s="2"/>
    </row>
    <row r="40317" spans="3:3" x14ac:dyDescent="0.35">
      <c r="C40317" s="2"/>
    </row>
    <row r="40318" spans="3:3" x14ac:dyDescent="0.35">
      <c r="C40318" s="2"/>
    </row>
    <row r="40319" spans="3:3" x14ac:dyDescent="0.35">
      <c r="C40319" s="2"/>
    </row>
    <row r="40320" spans="3:3" x14ac:dyDescent="0.35">
      <c r="C40320" s="2"/>
    </row>
    <row r="40321" spans="3:3" x14ac:dyDescent="0.35">
      <c r="C40321" s="2"/>
    </row>
    <row r="40322" spans="3:3" x14ac:dyDescent="0.35">
      <c r="C40322" s="2"/>
    </row>
    <row r="40323" spans="3:3" x14ac:dyDescent="0.35">
      <c r="C40323" s="2"/>
    </row>
    <row r="40324" spans="3:3" x14ac:dyDescent="0.35">
      <c r="C40324" s="2"/>
    </row>
    <row r="40325" spans="3:3" x14ac:dyDescent="0.35">
      <c r="C40325" s="2"/>
    </row>
    <row r="40326" spans="3:3" x14ac:dyDescent="0.35">
      <c r="C40326" s="2"/>
    </row>
    <row r="40327" spans="3:3" x14ac:dyDescent="0.35">
      <c r="C40327" s="2"/>
    </row>
    <row r="40328" spans="3:3" x14ac:dyDescent="0.35">
      <c r="C40328" s="2"/>
    </row>
    <row r="40329" spans="3:3" x14ac:dyDescent="0.35">
      <c r="C40329" s="2"/>
    </row>
    <row r="40330" spans="3:3" x14ac:dyDescent="0.35">
      <c r="C40330" s="2"/>
    </row>
    <row r="40331" spans="3:3" x14ac:dyDescent="0.35">
      <c r="C40331" s="2"/>
    </row>
    <row r="40332" spans="3:3" x14ac:dyDescent="0.35">
      <c r="C40332" s="2"/>
    </row>
    <row r="40333" spans="3:3" x14ac:dyDescent="0.35">
      <c r="C40333" s="2"/>
    </row>
    <row r="40334" spans="3:3" x14ac:dyDescent="0.35">
      <c r="C40334" s="2"/>
    </row>
    <row r="40335" spans="3:3" x14ac:dyDescent="0.35">
      <c r="C40335" s="2"/>
    </row>
    <row r="40336" spans="3:3" x14ac:dyDescent="0.35">
      <c r="C40336" s="2"/>
    </row>
    <row r="40337" spans="3:3" x14ac:dyDescent="0.35">
      <c r="C40337" s="2"/>
    </row>
    <row r="40338" spans="3:3" x14ac:dyDescent="0.35">
      <c r="C40338" s="2"/>
    </row>
    <row r="40339" spans="3:3" x14ac:dyDescent="0.35">
      <c r="C40339" s="2"/>
    </row>
    <row r="40340" spans="3:3" x14ac:dyDescent="0.35">
      <c r="C40340" s="2"/>
    </row>
    <row r="40341" spans="3:3" x14ac:dyDescent="0.35">
      <c r="C40341" s="2"/>
    </row>
    <row r="40342" spans="3:3" x14ac:dyDescent="0.35">
      <c r="C40342" s="2"/>
    </row>
    <row r="40343" spans="3:3" x14ac:dyDescent="0.35">
      <c r="C40343" s="2"/>
    </row>
    <row r="40344" spans="3:3" x14ac:dyDescent="0.35">
      <c r="C40344" s="2"/>
    </row>
    <row r="40345" spans="3:3" x14ac:dyDescent="0.35">
      <c r="C40345" s="2"/>
    </row>
    <row r="40346" spans="3:3" x14ac:dyDescent="0.35">
      <c r="C40346" s="2"/>
    </row>
    <row r="40347" spans="3:3" x14ac:dyDescent="0.35">
      <c r="C40347" s="2"/>
    </row>
    <row r="40348" spans="3:3" x14ac:dyDescent="0.35">
      <c r="C40348" s="2"/>
    </row>
    <row r="40349" spans="3:3" x14ac:dyDescent="0.35">
      <c r="C40349" s="2"/>
    </row>
    <row r="40350" spans="3:3" x14ac:dyDescent="0.35">
      <c r="C40350" s="2"/>
    </row>
    <row r="40351" spans="3:3" x14ac:dyDescent="0.35">
      <c r="C40351" s="2"/>
    </row>
    <row r="40352" spans="3:3" x14ac:dyDescent="0.35">
      <c r="C40352" s="2"/>
    </row>
    <row r="40353" spans="3:3" x14ac:dyDescent="0.35">
      <c r="C40353" s="2"/>
    </row>
    <row r="40354" spans="3:3" x14ac:dyDescent="0.35">
      <c r="C40354" s="2"/>
    </row>
    <row r="40355" spans="3:3" x14ac:dyDescent="0.35">
      <c r="C40355" s="2"/>
    </row>
    <row r="40356" spans="3:3" x14ac:dyDescent="0.35">
      <c r="C40356" s="2"/>
    </row>
    <row r="40357" spans="3:3" x14ac:dyDescent="0.35">
      <c r="C40357" s="2"/>
    </row>
    <row r="40358" spans="3:3" x14ac:dyDescent="0.35">
      <c r="C40358" s="2"/>
    </row>
    <row r="40359" spans="3:3" x14ac:dyDescent="0.35">
      <c r="C40359" s="2"/>
    </row>
    <row r="40360" spans="3:3" x14ac:dyDescent="0.35">
      <c r="C40360" s="2"/>
    </row>
    <row r="40361" spans="3:3" x14ac:dyDescent="0.35">
      <c r="C40361" s="2"/>
    </row>
    <row r="40362" spans="3:3" x14ac:dyDescent="0.35">
      <c r="C40362" s="2"/>
    </row>
    <row r="40363" spans="3:3" x14ac:dyDescent="0.35">
      <c r="C40363" s="2"/>
    </row>
    <row r="40364" spans="3:3" x14ac:dyDescent="0.35">
      <c r="C40364" s="2"/>
    </row>
    <row r="40365" spans="3:3" x14ac:dyDescent="0.35">
      <c r="C40365" s="2"/>
    </row>
    <row r="40366" spans="3:3" x14ac:dyDescent="0.35">
      <c r="C40366" s="2"/>
    </row>
    <row r="40367" spans="3:3" x14ac:dyDescent="0.35">
      <c r="C40367" s="2"/>
    </row>
    <row r="40368" spans="3:3" x14ac:dyDescent="0.35">
      <c r="C40368" s="2"/>
    </row>
    <row r="40369" spans="3:3" x14ac:dyDescent="0.35">
      <c r="C40369" s="2"/>
    </row>
    <row r="40370" spans="3:3" x14ac:dyDescent="0.35">
      <c r="C40370" s="2"/>
    </row>
    <row r="40371" spans="3:3" x14ac:dyDescent="0.35">
      <c r="C40371" s="2"/>
    </row>
    <row r="40372" spans="3:3" x14ac:dyDescent="0.35">
      <c r="C40372" s="2"/>
    </row>
    <row r="40373" spans="3:3" x14ac:dyDescent="0.35">
      <c r="C40373" s="2"/>
    </row>
    <row r="40374" spans="3:3" x14ac:dyDescent="0.35">
      <c r="C40374" s="2"/>
    </row>
    <row r="40375" spans="3:3" x14ac:dyDescent="0.35">
      <c r="C40375" s="2"/>
    </row>
    <row r="40376" spans="3:3" x14ac:dyDescent="0.35">
      <c r="C40376" s="2"/>
    </row>
    <row r="40377" spans="3:3" x14ac:dyDescent="0.35">
      <c r="C40377" s="2"/>
    </row>
    <row r="40378" spans="3:3" x14ac:dyDescent="0.35">
      <c r="C40378" s="2"/>
    </row>
    <row r="40379" spans="3:3" x14ac:dyDescent="0.35">
      <c r="C40379" s="2"/>
    </row>
    <row r="40380" spans="3:3" x14ac:dyDescent="0.35">
      <c r="C40380" s="2"/>
    </row>
    <row r="40381" spans="3:3" x14ac:dyDescent="0.35">
      <c r="C40381" s="2"/>
    </row>
    <row r="40382" spans="3:3" x14ac:dyDescent="0.35">
      <c r="C40382" s="2"/>
    </row>
    <row r="40383" spans="3:3" x14ac:dyDescent="0.35">
      <c r="C40383" s="2"/>
    </row>
    <row r="40384" spans="3:3" x14ac:dyDescent="0.35">
      <c r="C40384" s="2"/>
    </row>
    <row r="40385" spans="3:3" x14ac:dyDescent="0.35">
      <c r="C40385" s="2"/>
    </row>
    <row r="40386" spans="3:3" x14ac:dyDescent="0.35">
      <c r="C40386" s="2"/>
    </row>
    <row r="40387" spans="3:3" x14ac:dyDescent="0.35">
      <c r="C40387" s="2"/>
    </row>
    <row r="40388" spans="3:3" x14ac:dyDescent="0.35">
      <c r="C40388" s="2"/>
    </row>
    <row r="40389" spans="3:3" x14ac:dyDescent="0.35">
      <c r="C40389" s="2"/>
    </row>
    <row r="40390" spans="3:3" x14ac:dyDescent="0.35">
      <c r="C40390" s="2"/>
    </row>
    <row r="40391" spans="3:3" x14ac:dyDescent="0.35">
      <c r="C40391" s="2"/>
    </row>
    <row r="40392" spans="3:3" x14ac:dyDescent="0.35">
      <c r="C40392" s="2"/>
    </row>
    <row r="40393" spans="3:3" x14ac:dyDescent="0.35">
      <c r="C40393" s="2"/>
    </row>
    <row r="40394" spans="3:3" x14ac:dyDescent="0.35">
      <c r="C40394" s="2"/>
    </row>
    <row r="40395" spans="3:3" x14ac:dyDescent="0.35">
      <c r="C40395" s="2"/>
    </row>
    <row r="40396" spans="3:3" x14ac:dyDescent="0.35">
      <c r="C40396" s="2"/>
    </row>
    <row r="40397" spans="3:3" x14ac:dyDescent="0.35">
      <c r="C40397" s="2"/>
    </row>
    <row r="40398" spans="3:3" x14ac:dyDescent="0.35">
      <c r="C40398" s="2"/>
    </row>
    <row r="40399" spans="3:3" x14ac:dyDescent="0.35">
      <c r="C40399" s="2"/>
    </row>
    <row r="40400" spans="3:3" x14ac:dyDescent="0.35">
      <c r="C40400" s="2"/>
    </row>
    <row r="40401" spans="3:3" x14ac:dyDescent="0.35">
      <c r="C40401" s="2"/>
    </row>
    <row r="40402" spans="3:3" x14ac:dyDescent="0.35">
      <c r="C40402" s="2"/>
    </row>
    <row r="40403" spans="3:3" x14ac:dyDescent="0.35">
      <c r="C40403" s="2"/>
    </row>
    <row r="40404" spans="3:3" x14ac:dyDescent="0.35">
      <c r="C40404" s="2"/>
    </row>
    <row r="40405" spans="3:3" x14ac:dyDescent="0.35">
      <c r="C40405" s="2"/>
    </row>
    <row r="40406" spans="3:3" x14ac:dyDescent="0.35">
      <c r="C40406" s="2"/>
    </row>
    <row r="40407" spans="3:3" x14ac:dyDescent="0.35">
      <c r="C40407" s="2"/>
    </row>
    <row r="40408" spans="3:3" x14ac:dyDescent="0.35">
      <c r="C40408" s="2"/>
    </row>
    <row r="40409" spans="3:3" x14ac:dyDescent="0.35">
      <c r="C40409" s="2"/>
    </row>
    <row r="40410" spans="3:3" x14ac:dyDescent="0.35">
      <c r="C40410" s="2"/>
    </row>
    <row r="40411" spans="3:3" x14ac:dyDescent="0.35">
      <c r="C40411" s="2"/>
    </row>
    <row r="40412" spans="3:3" x14ac:dyDescent="0.35">
      <c r="C40412" s="2"/>
    </row>
    <row r="40413" spans="3:3" x14ac:dyDescent="0.35">
      <c r="C40413" s="2"/>
    </row>
    <row r="40414" spans="3:3" x14ac:dyDescent="0.35">
      <c r="C40414" s="2"/>
    </row>
    <row r="40415" spans="3:3" x14ac:dyDescent="0.35">
      <c r="C40415" s="2"/>
    </row>
    <row r="40416" spans="3:3" x14ac:dyDescent="0.35">
      <c r="C40416" s="2"/>
    </row>
    <row r="40417" spans="3:3" x14ac:dyDescent="0.35">
      <c r="C40417" s="2"/>
    </row>
    <row r="40418" spans="3:3" x14ac:dyDescent="0.35">
      <c r="C40418" s="2"/>
    </row>
    <row r="40419" spans="3:3" x14ac:dyDescent="0.35">
      <c r="C40419" s="2"/>
    </row>
    <row r="40420" spans="3:3" x14ac:dyDescent="0.35">
      <c r="C40420" s="2"/>
    </row>
    <row r="40421" spans="3:3" x14ac:dyDescent="0.35">
      <c r="C40421" s="2"/>
    </row>
    <row r="40422" spans="3:3" x14ac:dyDescent="0.35">
      <c r="C40422" s="2"/>
    </row>
    <row r="40423" spans="3:3" x14ac:dyDescent="0.35">
      <c r="C40423" s="2"/>
    </row>
    <row r="40424" spans="3:3" x14ac:dyDescent="0.35">
      <c r="C40424" s="2"/>
    </row>
    <row r="40425" spans="3:3" x14ac:dyDescent="0.35">
      <c r="C40425" s="2"/>
    </row>
    <row r="40426" spans="3:3" x14ac:dyDescent="0.35">
      <c r="C40426" s="2"/>
    </row>
    <row r="40427" spans="3:3" x14ac:dyDescent="0.35">
      <c r="C40427" s="2"/>
    </row>
    <row r="40428" spans="3:3" x14ac:dyDescent="0.35">
      <c r="C40428" s="2"/>
    </row>
    <row r="40429" spans="3:3" x14ac:dyDescent="0.35">
      <c r="C40429" s="2"/>
    </row>
    <row r="40430" spans="3:3" x14ac:dyDescent="0.35">
      <c r="C40430" s="2"/>
    </row>
    <row r="40431" spans="3:3" x14ac:dyDescent="0.35">
      <c r="C40431" s="2"/>
    </row>
    <row r="40432" spans="3:3" x14ac:dyDescent="0.35">
      <c r="C40432" s="2"/>
    </row>
    <row r="40433" spans="3:3" x14ac:dyDescent="0.35">
      <c r="C40433" s="2"/>
    </row>
    <row r="40434" spans="3:3" x14ac:dyDescent="0.35">
      <c r="C40434" s="2"/>
    </row>
    <row r="40435" spans="3:3" x14ac:dyDescent="0.35">
      <c r="C40435" s="2"/>
    </row>
    <row r="40436" spans="3:3" x14ac:dyDescent="0.35">
      <c r="C40436" s="2"/>
    </row>
    <row r="40437" spans="3:3" x14ac:dyDescent="0.35">
      <c r="C40437" s="2"/>
    </row>
    <row r="40438" spans="3:3" x14ac:dyDescent="0.35">
      <c r="C40438" s="2"/>
    </row>
    <row r="40439" spans="3:3" x14ac:dyDescent="0.35">
      <c r="C40439" s="2"/>
    </row>
    <row r="40440" spans="3:3" x14ac:dyDescent="0.35">
      <c r="C40440" s="2"/>
    </row>
    <row r="40441" spans="3:3" x14ac:dyDescent="0.35">
      <c r="C40441" s="2"/>
    </row>
    <row r="40442" spans="3:3" x14ac:dyDescent="0.35">
      <c r="C40442" s="2"/>
    </row>
    <row r="40443" spans="3:3" x14ac:dyDescent="0.35">
      <c r="C40443" s="2"/>
    </row>
    <row r="40444" spans="3:3" x14ac:dyDescent="0.35">
      <c r="C40444" s="2"/>
    </row>
    <row r="40445" spans="3:3" x14ac:dyDescent="0.35">
      <c r="C40445" s="2"/>
    </row>
    <row r="40446" spans="3:3" x14ac:dyDescent="0.35">
      <c r="C40446" s="2"/>
    </row>
    <row r="40447" spans="3:3" x14ac:dyDescent="0.35">
      <c r="C40447" s="2"/>
    </row>
    <row r="40448" spans="3:3" x14ac:dyDescent="0.35">
      <c r="C40448" s="2"/>
    </row>
    <row r="40449" spans="3:3" x14ac:dyDescent="0.35">
      <c r="C40449" s="2"/>
    </row>
    <row r="40450" spans="3:3" x14ac:dyDescent="0.35">
      <c r="C40450" s="2"/>
    </row>
    <row r="40451" spans="3:3" x14ac:dyDescent="0.35">
      <c r="C40451" s="2"/>
    </row>
    <row r="40452" spans="3:3" x14ac:dyDescent="0.35">
      <c r="C40452" s="2"/>
    </row>
    <row r="40453" spans="3:3" x14ac:dyDescent="0.35">
      <c r="C40453" s="2"/>
    </row>
    <row r="40454" spans="3:3" x14ac:dyDescent="0.35">
      <c r="C40454" s="2"/>
    </row>
    <row r="40455" spans="3:3" x14ac:dyDescent="0.35">
      <c r="C40455" s="2"/>
    </row>
    <row r="40456" spans="3:3" x14ac:dyDescent="0.35">
      <c r="C40456" s="2"/>
    </row>
    <row r="40457" spans="3:3" x14ac:dyDescent="0.35">
      <c r="C40457" s="2"/>
    </row>
    <row r="40458" spans="3:3" x14ac:dyDescent="0.35">
      <c r="C40458" s="2"/>
    </row>
    <row r="40459" spans="3:3" x14ac:dyDescent="0.35">
      <c r="C40459" s="2"/>
    </row>
    <row r="40460" spans="3:3" x14ac:dyDescent="0.35">
      <c r="C40460" s="2"/>
    </row>
    <row r="40461" spans="3:3" x14ac:dyDescent="0.35">
      <c r="C40461" s="2"/>
    </row>
    <row r="40462" spans="3:3" x14ac:dyDescent="0.35">
      <c r="C40462" s="2"/>
    </row>
    <row r="40463" spans="3:3" x14ac:dyDescent="0.35">
      <c r="C40463" s="2"/>
    </row>
    <row r="40464" spans="3:3" x14ac:dyDescent="0.35">
      <c r="C40464" s="2"/>
    </row>
    <row r="40465" spans="3:3" x14ac:dyDescent="0.35">
      <c r="C40465" s="2"/>
    </row>
    <row r="40466" spans="3:3" x14ac:dyDescent="0.35">
      <c r="C40466" s="2"/>
    </row>
    <row r="40467" spans="3:3" x14ac:dyDescent="0.35">
      <c r="C40467" s="2"/>
    </row>
    <row r="40468" spans="3:3" x14ac:dyDescent="0.35">
      <c r="C40468" s="2"/>
    </row>
    <row r="40469" spans="3:3" x14ac:dyDescent="0.35">
      <c r="C40469" s="2"/>
    </row>
    <row r="40470" spans="3:3" x14ac:dyDescent="0.35">
      <c r="C40470" s="2"/>
    </row>
    <row r="40471" spans="3:3" x14ac:dyDescent="0.35">
      <c r="C40471" s="2"/>
    </row>
    <row r="40472" spans="3:3" x14ac:dyDescent="0.35">
      <c r="C40472" s="2"/>
    </row>
    <row r="40473" spans="3:3" x14ac:dyDescent="0.35">
      <c r="C40473" s="2"/>
    </row>
    <row r="40474" spans="3:3" x14ac:dyDescent="0.35">
      <c r="C40474" s="2"/>
    </row>
    <row r="40475" spans="3:3" x14ac:dyDescent="0.35">
      <c r="C40475" s="2"/>
    </row>
    <row r="40476" spans="3:3" x14ac:dyDescent="0.35">
      <c r="C40476" s="2"/>
    </row>
    <row r="40477" spans="3:3" x14ac:dyDescent="0.35">
      <c r="C40477" s="2"/>
    </row>
    <row r="40478" spans="3:3" x14ac:dyDescent="0.35">
      <c r="C40478" s="2"/>
    </row>
    <row r="40479" spans="3:3" x14ac:dyDescent="0.35">
      <c r="C40479" s="2"/>
    </row>
    <row r="40480" spans="3:3" x14ac:dyDescent="0.35">
      <c r="C40480" s="2"/>
    </row>
    <row r="40481" spans="3:3" x14ac:dyDescent="0.35">
      <c r="C40481" s="2"/>
    </row>
    <row r="40482" spans="3:3" x14ac:dyDescent="0.35">
      <c r="C40482" s="2"/>
    </row>
    <row r="40483" spans="3:3" x14ac:dyDescent="0.35">
      <c r="C40483" s="2"/>
    </row>
    <row r="40484" spans="3:3" x14ac:dyDescent="0.35">
      <c r="C40484" s="2"/>
    </row>
    <row r="40485" spans="3:3" x14ac:dyDescent="0.35">
      <c r="C40485" s="2"/>
    </row>
    <row r="40486" spans="3:3" x14ac:dyDescent="0.35">
      <c r="C40486" s="2"/>
    </row>
    <row r="40487" spans="3:3" x14ac:dyDescent="0.35">
      <c r="C40487" s="2"/>
    </row>
    <row r="40488" spans="3:3" x14ac:dyDescent="0.35">
      <c r="C40488" s="2"/>
    </row>
    <row r="40489" spans="3:3" x14ac:dyDescent="0.35">
      <c r="C40489" s="2"/>
    </row>
    <row r="40490" spans="3:3" x14ac:dyDescent="0.35">
      <c r="C40490" s="2"/>
    </row>
    <row r="40491" spans="3:3" x14ac:dyDescent="0.35">
      <c r="C40491" s="2"/>
    </row>
    <row r="40492" spans="3:3" x14ac:dyDescent="0.35">
      <c r="C40492" s="2"/>
    </row>
    <row r="40493" spans="3:3" x14ac:dyDescent="0.35">
      <c r="C40493" s="2"/>
    </row>
    <row r="40494" spans="3:3" x14ac:dyDescent="0.35">
      <c r="C40494" s="2"/>
    </row>
    <row r="40495" spans="3:3" x14ac:dyDescent="0.35">
      <c r="C40495" s="2"/>
    </row>
    <row r="40496" spans="3:3" x14ac:dyDescent="0.35">
      <c r="C40496" s="2"/>
    </row>
    <row r="40497" spans="3:3" x14ac:dyDescent="0.35">
      <c r="C40497" s="2"/>
    </row>
    <row r="40498" spans="3:3" x14ac:dyDescent="0.35">
      <c r="C40498" s="2"/>
    </row>
    <row r="40499" spans="3:3" x14ac:dyDescent="0.35">
      <c r="C40499" s="2"/>
    </row>
    <row r="40500" spans="3:3" x14ac:dyDescent="0.35">
      <c r="C40500" s="2"/>
    </row>
    <row r="40501" spans="3:3" x14ac:dyDescent="0.35">
      <c r="C40501" s="2"/>
    </row>
    <row r="40502" spans="3:3" x14ac:dyDescent="0.35">
      <c r="C40502" s="2"/>
    </row>
    <row r="40503" spans="3:3" x14ac:dyDescent="0.35">
      <c r="C40503" s="2"/>
    </row>
    <row r="40504" spans="3:3" x14ac:dyDescent="0.35">
      <c r="C40504" s="2"/>
    </row>
    <row r="40505" spans="3:3" x14ac:dyDescent="0.35">
      <c r="C40505" s="2"/>
    </row>
    <row r="40506" spans="3:3" x14ac:dyDescent="0.35">
      <c r="C40506" s="2"/>
    </row>
    <row r="40507" spans="3:3" x14ac:dyDescent="0.35">
      <c r="C40507" s="2"/>
    </row>
    <row r="40508" spans="3:3" x14ac:dyDescent="0.35">
      <c r="C40508" s="2"/>
    </row>
    <row r="40509" spans="3:3" x14ac:dyDescent="0.35">
      <c r="C40509" s="2"/>
    </row>
    <row r="40510" spans="3:3" x14ac:dyDescent="0.35">
      <c r="C40510" s="2"/>
    </row>
    <row r="40511" spans="3:3" x14ac:dyDescent="0.35">
      <c r="C40511" s="2"/>
    </row>
    <row r="40512" spans="3:3" x14ac:dyDescent="0.35">
      <c r="C40512" s="2"/>
    </row>
    <row r="40513" spans="3:3" x14ac:dyDescent="0.35">
      <c r="C40513" s="2"/>
    </row>
    <row r="40514" spans="3:3" x14ac:dyDescent="0.35">
      <c r="C40514" s="2"/>
    </row>
    <row r="40515" spans="3:3" x14ac:dyDescent="0.35">
      <c r="C40515" s="2"/>
    </row>
    <row r="40516" spans="3:3" x14ac:dyDescent="0.35">
      <c r="C40516" s="2"/>
    </row>
    <row r="40517" spans="3:3" x14ac:dyDescent="0.35">
      <c r="C40517" s="2"/>
    </row>
    <row r="40518" spans="3:3" x14ac:dyDescent="0.35">
      <c r="C40518" s="2"/>
    </row>
    <row r="40519" spans="3:3" x14ac:dyDescent="0.35">
      <c r="C40519" s="2"/>
    </row>
    <row r="40520" spans="3:3" x14ac:dyDescent="0.35">
      <c r="C40520" s="2"/>
    </row>
    <row r="40521" spans="3:3" x14ac:dyDescent="0.35">
      <c r="C40521" s="2"/>
    </row>
    <row r="40522" spans="3:3" x14ac:dyDescent="0.35">
      <c r="C40522" s="2"/>
    </row>
    <row r="40523" spans="3:3" x14ac:dyDescent="0.35">
      <c r="C40523" s="2"/>
    </row>
    <row r="40524" spans="3:3" x14ac:dyDescent="0.35">
      <c r="C40524" s="2"/>
    </row>
    <row r="40525" spans="3:3" x14ac:dyDescent="0.35">
      <c r="C40525" s="2"/>
    </row>
    <row r="40526" spans="3:3" x14ac:dyDescent="0.35">
      <c r="C40526" s="2"/>
    </row>
    <row r="40527" spans="3:3" x14ac:dyDescent="0.35">
      <c r="C40527" s="2"/>
    </row>
    <row r="40528" spans="3:3" x14ac:dyDescent="0.35">
      <c r="C40528" s="2"/>
    </row>
    <row r="40529" spans="3:3" x14ac:dyDescent="0.35">
      <c r="C40529" s="2"/>
    </row>
    <row r="40530" spans="3:3" x14ac:dyDescent="0.35">
      <c r="C40530" s="2"/>
    </row>
    <row r="40531" spans="3:3" x14ac:dyDescent="0.35">
      <c r="C40531" s="2"/>
    </row>
    <row r="40532" spans="3:3" x14ac:dyDescent="0.35">
      <c r="C40532" s="2"/>
    </row>
    <row r="40533" spans="3:3" x14ac:dyDescent="0.35">
      <c r="C40533" s="2"/>
    </row>
    <row r="40534" spans="3:3" x14ac:dyDescent="0.35">
      <c r="C40534" s="2"/>
    </row>
    <row r="40535" spans="3:3" x14ac:dyDescent="0.35">
      <c r="C40535" s="2"/>
    </row>
    <row r="40536" spans="3:3" x14ac:dyDescent="0.35">
      <c r="C40536" s="2"/>
    </row>
    <row r="40537" spans="3:3" x14ac:dyDescent="0.35">
      <c r="C40537" s="2"/>
    </row>
    <row r="40538" spans="3:3" x14ac:dyDescent="0.35">
      <c r="C40538" s="2"/>
    </row>
    <row r="40539" spans="3:3" x14ac:dyDescent="0.35">
      <c r="C40539" s="2"/>
    </row>
    <row r="40540" spans="3:3" x14ac:dyDescent="0.35">
      <c r="C40540" s="2"/>
    </row>
    <row r="40541" spans="3:3" x14ac:dyDescent="0.35">
      <c r="C40541" s="2"/>
    </row>
    <row r="40542" spans="3:3" x14ac:dyDescent="0.35">
      <c r="C40542" s="2"/>
    </row>
    <row r="40543" spans="3:3" x14ac:dyDescent="0.35">
      <c r="C40543" s="2"/>
    </row>
    <row r="40544" spans="3:3" x14ac:dyDescent="0.35">
      <c r="C40544" s="2"/>
    </row>
    <row r="40545" spans="3:3" x14ac:dyDescent="0.35">
      <c r="C40545" s="2"/>
    </row>
    <row r="40546" spans="3:3" x14ac:dyDescent="0.35">
      <c r="C40546" s="2"/>
    </row>
    <row r="40547" spans="3:3" x14ac:dyDescent="0.35">
      <c r="C40547" s="2"/>
    </row>
    <row r="40548" spans="3:3" x14ac:dyDescent="0.35">
      <c r="C40548" s="2"/>
    </row>
    <row r="40549" spans="3:3" x14ac:dyDescent="0.35">
      <c r="C40549" s="2"/>
    </row>
    <row r="40550" spans="3:3" x14ac:dyDescent="0.35">
      <c r="C40550" s="2"/>
    </row>
    <row r="40551" spans="3:3" x14ac:dyDescent="0.35">
      <c r="C40551" s="2"/>
    </row>
    <row r="40552" spans="3:3" x14ac:dyDescent="0.35">
      <c r="C40552" s="2"/>
    </row>
    <row r="40553" spans="3:3" x14ac:dyDescent="0.35">
      <c r="C40553" s="2"/>
    </row>
    <row r="40554" spans="3:3" x14ac:dyDescent="0.35">
      <c r="C40554" s="2"/>
    </row>
    <row r="40555" spans="3:3" x14ac:dyDescent="0.35">
      <c r="C40555" s="2"/>
    </row>
    <row r="40556" spans="3:3" x14ac:dyDescent="0.35">
      <c r="C40556" s="2"/>
    </row>
    <row r="40557" spans="3:3" x14ac:dyDescent="0.35">
      <c r="C40557" s="2"/>
    </row>
    <row r="40558" spans="3:3" x14ac:dyDescent="0.35">
      <c r="C40558" s="2"/>
    </row>
    <row r="40559" spans="3:3" x14ac:dyDescent="0.35">
      <c r="C40559" s="2"/>
    </row>
    <row r="40560" spans="3:3" x14ac:dyDescent="0.35">
      <c r="C40560" s="2"/>
    </row>
    <row r="40561" spans="3:3" x14ac:dyDescent="0.35">
      <c r="C40561" s="2"/>
    </row>
    <row r="40562" spans="3:3" x14ac:dyDescent="0.35">
      <c r="C40562" s="2"/>
    </row>
    <row r="40563" spans="3:3" x14ac:dyDescent="0.35">
      <c r="C40563" s="2"/>
    </row>
    <row r="40564" spans="3:3" x14ac:dyDescent="0.35">
      <c r="C40564" s="2"/>
    </row>
    <row r="40565" spans="3:3" x14ac:dyDescent="0.35">
      <c r="C40565" s="2"/>
    </row>
    <row r="40566" spans="3:3" x14ac:dyDescent="0.35">
      <c r="C40566" s="2"/>
    </row>
    <row r="40567" spans="3:3" x14ac:dyDescent="0.35">
      <c r="C40567" s="2"/>
    </row>
    <row r="40568" spans="3:3" x14ac:dyDescent="0.35">
      <c r="C40568" s="2"/>
    </row>
    <row r="40569" spans="3:3" x14ac:dyDescent="0.35">
      <c r="C40569" s="2"/>
    </row>
    <row r="40570" spans="3:3" x14ac:dyDescent="0.35">
      <c r="C40570" s="2"/>
    </row>
    <row r="40571" spans="3:3" x14ac:dyDescent="0.35">
      <c r="C40571" s="2"/>
    </row>
    <row r="40572" spans="3:3" x14ac:dyDescent="0.35">
      <c r="C40572" s="2"/>
    </row>
    <row r="40573" spans="3:3" x14ac:dyDescent="0.35">
      <c r="C40573" s="2"/>
    </row>
    <row r="40574" spans="3:3" x14ac:dyDescent="0.35">
      <c r="C40574" s="2"/>
    </row>
    <row r="40575" spans="3:3" x14ac:dyDescent="0.35">
      <c r="C40575" s="2"/>
    </row>
    <row r="40576" spans="3:3" x14ac:dyDescent="0.35">
      <c r="C40576" s="2"/>
    </row>
    <row r="40577" spans="3:3" x14ac:dyDescent="0.35">
      <c r="C40577" s="2"/>
    </row>
    <row r="40578" spans="3:3" x14ac:dyDescent="0.35">
      <c r="C40578" s="2"/>
    </row>
    <row r="40579" spans="3:3" x14ac:dyDescent="0.35">
      <c r="C40579" s="2"/>
    </row>
    <row r="40580" spans="3:3" x14ac:dyDescent="0.35">
      <c r="C40580" s="2"/>
    </row>
    <row r="40581" spans="3:3" x14ac:dyDescent="0.35">
      <c r="C40581" s="2"/>
    </row>
    <row r="40582" spans="3:3" x14ac:dyDescent="0.35">
      <c r="C40582" s="2"/>
    </row>
    <row r="40583" spans="3:3" x14ac:dyDescent="0.35">
      <c r="C40583" s="2"/>
    </row>
    <row r="40584" spans="3:3" x14ac:dyDescent="0.35">
      <c r="C40584" s="2"/>
    </row>
    <row r="40585" spans="3:3" x14ac:dyDescent="0.35">
      <c r="C40585" s="2"/>
    </row>
    <row r="40586" spans="3:3" x14ac:dyDescent="0.35">
      <c r="C40586" s="2"/>
    </row>
    <row r="40587" spans="3:3" x14ac:dyDescent="0.35">
      <c r="C40587" s="2"/>
    </row>
    <row r="40588" spans="3:3" x14ac:dyDescent="0.35">
      <c r="C40588" s="2"/>
    </row>
    <row r="40589" spans="3:3" x14ac:dyDescent="0.35">
      <c r="C40589" s="2"/>
    </row>
    <row r="40590" spans="3:3" x14ac:dyDescent="0.35">
      <c r="C40590" s="2"/>
    </row>
    <row r="40591" spans="3:3" x14ac:dyDescent="0.35">
      <c r="C40591" s="2"/>
    </row>
    <row r="40592" spans="3:3" x14ac:dyDescent="0.35">
      <c r="C40592" s="2"/>
    </row>
    <row r="40593" spans="3:3" x14ac:dyDescent="0.35">
      <c r="C40593" s="2"/>
    </row>
    <row r="40594" spans="3:3" x14ac:dyDescent="0.35">
      <c r="C40594" s="2"/>
    </row>
    <row r="40595" spans="3:3" x14ac:dyDescent="0.35">
      <c r="C40595" s="2"/>
    </row>
    <row r="40596" spans="3:3" x14ac:dyDescent="0.35">
      <c r="C40596" s="2"/>
    </row>
    <row r="40597" spans="3:3" x14ac:dyDescent="0.35">
      <c r="C40597" s="2"/>
    </row>
    <row r="40598" spans="3:3" x14ac:dyDescent="0.35">
      <c r="C40598" s="2"/>
    </row>
    <row r="40599" spans="3:3" x14ac:dyDescent="0.35">
      <c r="C40599" s="2"/>
    </row>
    <row r="40600" spans="3:3" x14ac:dyDescent="0.35">
      <c r="C40600" s="2"/>
    </row>
    <row r="40601" spans="3:3" x14ac:dyDescent="0.35">
      <c r="C40601" s="2"/>
    </row>
    <row r="40602" spans="3:3" x14ac:dyDescent="0.35">
      <c r="C40602" s="2"/>
    </row>
    <row r="40603" spans="3:3" x14ac:dyDescent="0.35">
      <c r="C40603" s="2"/>
    </row>
    <row r="40604" spans="3:3" x14ac:dyDescent="0.35">
      <c r="C40604" s="2"/>
    </row>
    <row r="40605" spans="3:3" x14ac:dyDescent="0.35">
      <c r="C40605" s="2"/>
    </row>
    <row r="40606" spans="3:3" x14ac:dyDescent="0.35">
      <c r="C40606" s="2"/>
    </row>
    <row r="40607" spans="3:3" x14ac:dyDescent="0.35">
      <c r="C40607" s="2"/>
    </row>
    <row r="40608" spans="3:3" x14ac:dyDescent="0.35">
      <c r="C40608" s="2"/>
    </row>
    <row r="40609" spans="3:3" x14ac:dyDescent="0.35">
      <c r="C40609" s="2"/>
    </row>
    <row r="40610" spans="3:3" x14ac:dyDescent="0.35">
      <c r="C40610" s="2"/>
    </row>
    <row r="40611" spans="3:3" x14ac:dyDescent="0.35">
      <c r="C40611" s="2"/>
    </row>
    <row r="40612" spans="3:3" x14ac:dyDescent="0.35">
      <c r="C40612" s="2"/>
    </row>
    <row r="40613" spans="3:3" x14ac:dyDescent="0.35">
      <c r="C40613" s="2"/>
    </row>
    <row r="40614" spans="3:3" x14ac:dyDescent="0.35">
      <c r="C40614" s="2"/>
    </row>
    <row r="40615" spans="3:3" x14ac:dyDescent="0.35">
      <c r="C40615" s="2"/>
    </row>
    <row r="40616" spans="3:3" x14ac:dyDescent="0.35">
      <c r="C40616" s="2"/>
    </row>
    <row r="40617" spans="3:3" x14ac:dyDescent="0.35">
      <c r="C40617" s="2"/>
    </row>
    <row r="40618" spans="3:3" x14ac:dyDescent="0.35">
      <c r="C40618" s="2"/>
    </row>
    <row r="40619" spans="3:3" x14ac:dyDescent="0.35">
      <c r="C40619" s="2"/>
    </row>
    <row r="40620" spans="3:3" x14ac:dyDescent="0.35">
      <c r="C40620" s="2"/>
    </row>
    <row r="40621" spans="3:3" x14ac:dyDescent="0.35">
      <c r="C40621" s="2"/>
    </row>
    <row r="40622" spans="3:3" x14ac:dyDescent="0.35">
      <c r="C40622" s="2"/>
    </row>
    <row r="40623" spans="3:3" x14ac:dyDescent="0.35">
      <c r="C40623" s="2"/>
    </row>
    <row r="40624" spans="3:3" x14ac:dyDescent="0.35">
      <c r="C40624" s="2"/>
    </row>
    <row r="40625" spans="3:3" x14ac:dyDescent="0.35">
      <c r="C40625" s="2"/>
    </row>
    <row r="40626" spans="3:3" x14ac:dyDescent="0.35">
      <c r="C40626" s="2"/>
    </row>
    <row r="40627" spans="3:3" x14ac:dyDescent="0.35">
      <c r="C40627" s="2"/>
    </row>
    <row r="40628" spans="3:3" x14ac:dyDescent="0.35">
      <c r="C40628" s="2"/>
    </row>
    <row r="40629" spans="3:3" x14ac:dyDescent="0.35">
      <c r="C40629" s="2"/>
    </row>
    <row r="40630" spans="3:3" x14ac:dyDescent="0.35">
      <c r="C40630" s="2"/>
    </row>
    <row r="40631" spans="3:3" x14ac:dyDescent="0.35">
      <c r="C40631" s="2"/>
    </row>
    <row r="40632" spans="3:3" x14ac:dyDescent="0.35">
      <c r="C40632" s="2"/>
    </row>
    <row r="40633" spans="3:3" x14ac:dyDescent="0.35">
      <c r="C40633" s="2"/>
    </row>
    <row r="40634" spans="3:3" x14ac:dyDescent="0.35">
      <c r="C40634" s="2"/>
    </row>
    <row r="40635" spans="3:3" x14ac:dyDescent="0.35">
      <c r="C40635" s="2"/>
    </row>
    <row r="40636" spans="3:3" x14ac:dyDescent="0.35">
      <c r="C40636" s="2"/>
    </row>
    <row r="40637" spans="3:3" x14ac:dyDescent="0.35">
      <c r="C40637" s="2"/>
    </row>
    <row r="40638" spans="3:3" x14ac:dyDescent="0.35">
      <c r="C40638" s="2"/>
    </row>
    <row r="40639" spans="3:3" x14ac:dyDescent="0.35">
      <c r="C40639" s="2"/>
    </row>
    <row r="40640" spans="3:3" x14ac:dyDescent="0.35">
      <c r="C40640" s="2"/>
    </row>
    <row r="40641" spans="3:3" x14ac:dyDescent="0.35">
      <c r="C40641" s="2"/>
    </row>
    <row r="40642" spans="3:3" x14ac:dyDescent="0.35">
      <c r="C40642" s="2"/>
    </row>
    <row r="40643" spans="3:3" x14ac:dyDescent="0.35">
      <c r="C40643" s="2"/>
    </row>
    <row r="40644" spans="3:3" x14ac:dyDescent="0.35">
      <c r="C40644" s="2"/>
    </row>
    <row r="40645" spans="3:3" x14ac:dyDescent="0.35">
      <c r="C40645" s="2"/>
    </row>
    <row r="40646" spans="3:3" x14ac:dyDescent="0.35">
      <c r="C40646" s="2"/>
    </row>
    <row r="40647" spans="3:3" x14ac:dyDescent="0.35">
      <c r="C40647" s="2"/>
    </row>
    <row r="40648" spans="3:3" x14ac:dyDescent="0.35">
      <c r="C40648" s="2"/>
    </row>
    <row r="40649" spans="3:3" x14ac:dyDescent="0.35">
      <c r="C40649" s="2"/>
    </row>
    <row r="40650" spans="3:3" x14ac:dyDescent="0.35">
      <c r="C40650" s="2"/>
    </row>
    <row r="40651" spans="3:3" x14ac:dyDescent="0.35">
      <c r="C40651" s="2"/>
    </row>
    <row r="40652" spans="3:3" x14ac:dyDescent="0.35">
      <c r="C40652" s="2"/>
    </row>
    <row r="40653" spans="3:3" x14ac:dyDescent="0.35">
      <c r="C40653" s="2"/>
    </row>
    <row r="40654" spans="3:3" x14ac:dyDescent="0.35">
      <c r="C40654" s="2"/>
    </row>
    <row r="40655" spans="3:3" x14ac:dyDescent="0.35">
      <c r="C40655" s="2"/>
    </row>
    <row r="40656" spans="3:3" x14ac:dyDescent="0.35">
      <c r="C40656" s="2"/>
    </row>
    <row r="40657" spans="3:3" x14ac:dyDescent="0.35">
      <c r="C40657" s="2"/>
    </row>
    <row r="40658" spans="3:3" x14ac:dyDescent="0.35">
      <c r="C40658" s="2"/>
    </row>
    <row r="40659" spans="3:3" x14ac:dyDescent="0.35">
      <c r="C40659" s="2"/>
    </row>
    <row r="40660" spans="3:3" x14ac:dyDescent="0.35">
      <c r="C40660" s="2"/>
    </row>
    <row r="40661" spans="3:3" x14ac:dyDescent="0.35">
      <c r="C40661" s="2"/>
    </row>
    <row r="40662" spans="3:3" x14ac:dyDescent="0.35">
      <c r="C40662" s="2"/>
    </row>
    <row r="40663" spans="3:3" x14ac:dyDescent="0.35">
      <c r="C40663" s="2"/>
    </row>
    <row r="40664" spans="3:3" x14ac:dyDescent="0.35">
      <c r="C40664" s="2"/>
    </row>
    <row r="40665" spans="3:3" x14ac:dyDescent="0.35">
      <c r="C40665" s="2"/>
    </row>
    <row r="40666" spans="3:3" x14ac:dyDescent="0.35">
      <c r="C40666" s="2"/>
    </row>
    <row r="40667" spans="3:3" x14ac:dyDescent="0.35">
      <c r="C40667" s="2"/>
    </row>
    <row r="40668" spans="3:3" x14ac:dyDescent="0.35">
      <c r="C40668" s="2"/>
    </row>
    <row r="40669" spans="3:3" x14ac:dyDescent="0.35">
      <c r="C40669" s="2"/>
    </row>
    <row r="40670" spans="3:3" x14ac:dyDescent="0.35">
      <c r="C40670" s="2"/>
    </row>
    <row r="40671" spans="3:3" x14ac:dyDescent="0.35">
      <c r="C40671" s="2"/>
    </row>
    <row r="40672" spans="3:3" x14ac:dyDescent="0.35">
      <c r="C40672" s="2"/>
    </row>
    <row r="40673" spans="3:3" x14ac:dyDescent="0.35">
      <c r="C40673" s="2"/>
    </row>
    <row r="40674" spans="3:3" x14ac:dyDescent="0.35">
      <c r="C40674" s="2"/>
    </row>
    <row r="40675" spans="3:3" x14ac:dyDescent="0.35">
      <c r="C40675" s="2"/>
    </row>
    <row r="40676" spans="3:3" x14ac:dyDescent="0.35">
      <c r="C40676" s="2"/>
    </row>
    <row r="40677" spans="3:3" x14ac:dyDescent="0.35">
      <c r="C40677" s="2"/>
    </row>
    <row r="40678" spans="3:3" x14ac:dyDescent="0.35">
      <c r="C40678" s="2"/>
    </row>
    <row r="40679" spans="3:3" x14ac:dyDescent="0.35">
      <c r="C40679" s="2"/>
    </row>
    <row r="40680" spans="3:3" x14ac:dyDescent="0.35">
      <c r="C40680" s="2"/>
    </row>
    <row r="40681" spans="3:3" x14ac:dyDescent="0.35">
      <c r="C40681" s="2"/>
    </row>
    <row r="40682" spans="3:3" x14ac:dyDescent="0.35">
      <c r="C40682" s="2"/>
    </row>
    <row r="40683" spans="3:3" x14ac:dyDescent="0.35">
      <c r="C40683" s="2"/>
    </row>
    <row r="40684" spans="3:3" x14ac:dyDescent="0.35">
      <c r="C40684" s="2"/>
    </row>
    <row r="40685" spans="3:3" x14ac:dyDescent="0.35">
      <c r="C40685" s="2"/>
    </row>
    <row r="40686" spans="3:3" x14ac:dyDescent="0.35">
      <c r="C40686" s="2"/>
    </row>
    <row r="40687" spans="3:3" x14ac:dyDescent="0.35">
      <c r="C40687" s="2"/>
    </row>
    <row r="40688" spans="3:3" x14ac:dyDescent="0.35">
      <c r="C40688" s="2"/>
    </row>
    <row r="40689" spans="3:3" x14ac:dyDescent="0.35">
      <c r="C40689" s="2"/>
    </row>
    <row r="40690" spans="3:3" x14ac:dyDescent="0.35">
      <c r="C40690" s="2"/>
    </row>
    <row r="40691" spans="3:3" x14ac:dyDescent="0.35">
      <c r="C40691" s="2"/>
    </row>
    <row r="40692" spans="3:3" x14ac:dyDescent="0.35">
      <c r="C40692" s="2"/>
    </row>
    <row r="40693" spans="3:3" x14ac:dyDescent="0.35">
      <c r="C40693" s="2"/>
    </row>
    <row r="40694" spans="3:3" x14ac:dyDescent="0.35">
      <c r="C40694" s="2"/>
    </row>
    <row r="40695" spans="3:3" x14ac:dyDescent="0.35">
      <c r="C40695" s="2"/>
    </row>
    <row r="40696" spans="3:3" x14ac:dyDescent="0.35">
      <c r="C40696" s="2"/>
    </row>
    <row r="40697" spans="3:3" x14ac:dyDescent="0.35">
      <c r="C40697" s="2"/>
    </row>
    <row r="40698" spans="3:3" x14ac:dyDescent="0.35">
      <c r="C40698" s="2"/>
    </row>
    <row r="40699" spans="3:3" x14ac:dyDescent="0.35">
      <c r="C40699" s="2"/>
    </row>
    <row r="40700" spans="3:3" x14ac:dyDescent="0.35">
      <c r="C40700" s="2"/>
    </row>
    <row r="40701" spans="3:3" x14ac:dyDescent="0.35">
      <c r="C40701" s="2"/>
    </row>
    <row r="40702" spans="3:3" x14ac:dyDescent="0.35">
      <c r="C40702" s="2"/>
    </row>
    <row r="40703" spans="3:3" x14ac:dyDescent="0.35">
      <c r="C40703" s="2"/>
    </row>
    <row r="40704" spans="3:3" x14ac:dyDescent="0.35">
      <c r="C40704" s="2"/>
    </row>
    <row r="40705" spans="3:3" x14ac:dyDescent="0.35">
      <c r="C40705" s="2"/>
    </row>
    <row r="40706" spans="3:3" x14ac:dyDescent="0.35">
      <c r="C40706" s="2"/>
    </row>
    <row r="40707" spans="3:3" x14ac:dyDescent="0.35">
      <c r="C40707" s="2"/>
    </row>
    <row r="40708" spans="3:3" x14ac:dyDescent="0.35">
      <c r="C40708" s="2"/>
    </row>
    <row r="40709" spans="3:3" x14ac:dyDescent="0.35">
      <c r="C40709" s="2"/>
    </row>
    <row r="40710" spans="3:3" x14ac:dyDescent="0.35">
      <c r="C40710" s="2"/>
    </row>
    <row r="40711" spans="3:3" x14ac:dyDescent="0.35">
      <c r="C40711" s="2"/>
    </row>
    <row r="40712" spans="3:3" x14ac:dyDescent="0.35">
      <c r="C40712" s="2"/>
    </row>
    <row r="40713" spans="3:3" x14ac:dyDescent="0.35">
      <c r="C40713" s="2"/>
    </row>
    <row r="40714" spans="3:3" x14ac:dyDescent="0.35">
      <c r="C40714" s="2"/>
    </row>
    <row r="40715" spans="3:3" x14ac:dyDescent="0.35">
      <c r="C40715" s="2"/>
    </row>
    <row r="40716" spans="3:3" x14ac:dyDescent="0.35">
      <c r="C40716" s="2"/>
    </row>
    <row r="40717" spans="3:3" x14ac:dyDescent="0.35">
      <c r="C40717" s="2"/>
    </row>
    <row r="40718" spans="3:3" x14ac:dyDescent="0.35">
      <c r="C40718" s="2"/>
    </row>
    <row r="40719" spans="3:3" x14ac:dyDescent="0.35">
      <c r="C40719" s="2"/>
    </row>
    <row r="40720" spans="3:3" x14ac:dyDescent="0.35">
      <c r="C40720" s="2"/>
    </row>
    <row r="40721" spans="3:3" x14ac:dyDescent="0.35">
      <c r="C40721" s="2"/>
    </row>
    <row r="40722" spans="3:3" x14ac:dyDescent="0.35">
      <c r="C40722" s="2"/>
    </row>
    <row r="40723" spans="3:3" x14ac:dyDescent="0.35">
      <c r="C40723" s="2"/>
    </row>
    <row r="40724" spans="3:3" x14ac:dyDescent="0.35">
      <c r="C40724" s="2"/>
    </row>
    <row r="40725" spans="3:3" x14ac:dyDescent="0.35">
      <c r="C40725" s="2"/>
    </row>
    <row r="40726" spans="3:3" x14ac:dyDescent="0.35">
      <c r="C40726" s="2"/>
    </row>
    <row r="40727" spans="3:3" x14ac:dyDescent="0.35">
      <c r="C40727" s="2"/>
    </row>
    <row r="40728" spans="3:3" x14ac:dyDescent="0.35">
      <c r="C40728" s="2"/>
    </row>
    <row r="40729" spans="3:3" x14ac:dyDescent="0.35">
      <c r="C40729" s="2"/>
    </row>
    <row r="40730" spans="3:3" x14ac:dyDescent="0.35">
      <c r="C40730" s="2"/>
    </row>
    <row r="40731" spans="3:3" x14ac:dyDescent="0.35">
      <c r="C40731" s="2"/>
    </row>
    <row r="40732" spans="3:3" x14ac:dyDescent="0.35">
      <c r="C40732" s="2"/>
    </row>
    <row r="40733" spans="3:3" x14ac:dyDescent="0.35">
      <c r="C40733" s="2"/>
    </row>
    <row r="40734" spans="3:3" x14ac:dyDescent="0.35">
      <c r="C40734" s="2"/>
    </row>
    <row r="40735" spans="3:3" x14ac:dyDescent="0.35">
      <c r="C40735" s="2"/>
    </row>
    <row r="40736" spans="3:3" x14ac:dyDescent="0.35">
      <c r="C40736" s="2"/>
    </row>
    <row r="40737" spans="3:3" x14ac:dyDescent="0.35">
      <c r="C40737" s="2"/>
    </row>
    <row r="40738" spans="3:3" x14ac:dyDescent="0.35">
      <c r="C40738" s="2"/>
    </row>
    <row r="40739" spans="3:3" x14ac:dyDescent="0.35">
      <c r="C40739" s="2"/>
    </row>
    <row r="40740" spans="3:3" x14ac:dyDescent="0.35">
      <c r="C40740" s="2"/>
    </row>
    <row r="40741" spans="3:3" x14ac:dyDescent="0.35">
      <c r="C40741" s="2"/>
    </row>
    <row r="40742" spans="3:3" x14ac:dyDescent="0.35">
      <c r="C40742" s="2"/>
    </row>
    <row r="40743" spans="3:3" x14ac:dyDescent="0.35">
      <c r="C40743" s="2"/>
    </row>
    <row r="40744" spans="3:3" x14ac:dyDescent="0.35">
      <c r="C40744" s="2"/>
    </row>
    <row r="40745" spans="3:3" x14ac:dyDescent="0.35">
      <c r="C40745" s="2"/>
    </row>
    <row r="40746" spans="3:3" x14ac:dyDescent="0.35">
      <c r="C40746" s="2"/>
    </row>
    <row r="40747" spans="3:3" x14ac:dyDescent="0.35">
      <c r="C40747" s="2"/>
    </row>
    <row r="40748" spans="3:3" x14ac:dyDescent="0.35">
      <c r="C40748" s="2"/>
    </row>
    <row r="40749" spans="3:3" x14ac:dyDescent="0.35">
      <c r="C40749" s="2"/>
    </row>
    <row r="40750" spans="3:3" x14ac:dyDescent="0.35">
      <c r="C40750" s="2"/>
    </row>
    <row r="40751" spans="3:3" x14ac:dyDescent="0.35">
      <c r="C40751" s="2"/>
    </row>
    <row r="40752" spans="3:3" x14ac:dyDescent="0.35">
      <c r="C40752" s="2"/>
    </row>
    <row r="40753" spans="3:3" x14ac:dyDescent="0.35">
      <c r="C40753" s="2"/>
    </row>
    <row r="40754" spans="3:3" x14ac:dyDescent="0.35">
      <c r="C40754" s="2"/>
    </row>
    <row r="40755" spans="3:3" x14ac:dyDescent="0.35">
      <c r="C40755" s="2"/>
    </row>
    <row r="40756" spans="3:3" x14ac:dyDescent="0.35">
      <c r="C40756" s="2"/>
    </row>
    <row r="40757" spans="3:3" x14ac:dyDescent="0.35">
      <c r="C40757" s="2"/>
    </row>
    <row r="40758" spans="3:3" x14ac:dyDescent="0.35">
      <c r="C40758" s="2"/>
    </row>
    <row r="40759" spans="3:3" x14ac:dyDescent="0.35">
      <c r="C40759" s="2"/>
    </row>
    <row r="40760" spans="3:3" x14ac:dyDescent="0.35">
      <c r="C40760" s="2"/>
    </row>
    <row r="40761" spans="3:3" x14ac:dyDescent="0.35">
      <c r="C40761" s="2"/>
    </row>
    <row r="40762" spans="3:3" x14ac:dyDescent="0.35">
      <c r="C40762" s="2"/>
    </row>
    <row r="40763" spans="3:3" x14ac:dyDescent="0.35">
      <c r="C40763" s="2"/>
    </row>
    <row r="40764" spans="3:3" x14ac:dyDescent="0.35">
      <c r="C40764" s="2"/>
    </row>
    <row r="40765" spans="3:3" x14ac:dyDescent="0.35">
      <c r="C40765" s="2"/>
    </row>
    <row r="40766" spans="3:3" x14ac:dyDescent="0.35">
      <c r="C40766" s="2"/>
    </row>
    <row r="40767" spans="3:3" x14ac:dyDescent="0.35">
      <c r="C40767" s="2"/>
    </row>
    <row r="40768" spans="3:3" x14ac:dyDescent="0.35">
      <c r="C40768" s="2"/>
    </row>
    <row r="40769" spans="3:3" x14ac:dyDescent="0.35">
      <c r="C40769" s="2"/>
    </row>
    <row r="40770" spans="3:3" x14ac:dyDescent="0.35">
      <c r="C40770" s="2"/>
    </row>
    <row r="40771" spans="3:3" x14ac:dyDescent="0.35">
      <c r="C40771" s="2"/>
    </row>
    <row r="40772" spans="3:3" x14ac:dyDescent="0.35">
      <c r="C40772" s="2"/>
    </row>
    <row r="40773" spans="3:3" x14ac:dyDescent="0.35">
      <c r="C40773" s="2"/>
    </row>
    <row r="40774" spans="3:3" x14ac:dyDescent="0.35">
      <c r="C40774" s="2"/>
    </row>
    <row r="40775" spans="3:3" x14ac:dyDescent="0.35">
      <c r="C40775" s="2"/>
    </row>
    <row r="40776" spans="3:3" x14ac:dyDescent="0.35">
      <c r="C40776" s="2"/>
    </row>
    <row r="40777" spans="3:3" x14ac:dyDescent="0.35">
      <c r="C40777" s="2"/>
    </row>
    <row r="40778" spans="3:3" x14ac:dyDescent="0.35">
      <c r="C40778" s="2"/>
    </row>
    <row r="40779" spans="3:3" x14ac:dyDescent="0.35">
      <c r="C40779" s="2"/>
    </row>
    <row r="40780" spans="3:3" x14ac:dyDescent="0.35">
      <c r="C40780" s="2"/>
    </row>
    <row r="40781" spans="3:3" x14ac:dyDescent="0.35">
      <c r="C40781" s="2"/>
    </row>
    <row r="40782" spans="3:3" x14ac:dyDescent="0.35">
      <c r="C40782" s="2"/>
    </row>
    <row r="40783" spans="3:3" x14ac:dyDescent="0.35">
      <c r="C40783" s="2"/>
    </row>
    <row r="40784" spans="3:3" x14ac:dyDescent="0.35">
      <c r="C40784" s="2"/>
    </row>
    <row r="40785" spans="3:3" x14ac:dyDescent="0.35">
      <c r="C40785" s="2"/>
    </row>
    <row r="40786" spans="3:3" x14ac:dyDescent="0.35">
      <c r="C40786" s="2"/>
    </row>
    <row r="40787" spans="3:3" x14ac:dyDescent="0.35">
      <c r="C40787" s="2"/>
    </row>
    <row r="40788" spans="3:3" x14ac:dyDescent="0.35">
      <c r="C40788" s="2"/>
    </row>
    <row r="40789" spans="3:3" x14ac:dyDescent="0.35">
      <c r="C40789" s="2"/>
    </row>
    <row r="40790" spans="3:3" x14ac:dyDescent="0.35">
      <c r="C40790" s="2"/>
    </row>
    <row r="40791" spans="3:3" x14ac:dyDescent="0.35">
      <c r="C40791" s="2"/>
    </row>
    <row r="40792" spans="3:3" x14ac:dyDescent="0.35">
      <c r="C40792" s="2"/>
    </row>
    <row r="40793" spans="3:3" x14ac:dyDescent="0.35">
      <c r="C40793" s="2"/>
    </row>
    <row r="40794" spans="3:3" x14ac:dyDescent="0.35">
      <c r="C40794" s="2"/>
    </row>
    <row r="40795" spans="3:3" x14ac:dyDescent="0.35">
      <c r="C40795" s="2"/>
    </row>
    <row r="40796" spans="3:3" x14ac:dyDescent="0.35">
      <c r="C40796" s="2"/>
    </row>
    <row r="40797" spans="3:3" x14ac:dyDescent="0.35">
      <c r="C40797" s="2"/>
    </row>
    <row r="40798" spans="3:3" x14ac:dyDescent="0.35">
      <c r="C40798" s="2"/>
    </row>
    <row r="40799" spans="3:3" x14ac:dyDescent="0.35">
      <c r="C40799" s="2"/>
    </row>
    <row r="40800" spans="3:3" x14ac:dyDescent="0.35">
      <c r="C40800" s="2"/>
    </row>
    <row r="40801" spans="3:3" x14ac:dyDescent="0.35">
      <c r="C40801" s="2"/>
    </row>
    <row r="40802" spans="3:3" x14ac:dyDescent="0.35">
      <c r="C40802" s="2"/>
    </row>
    <row r="40803" spans="3:3" x14ac:dyDescent="0.35">
      <c r="C40803" s="2"/>
    </row>
    <row r="40804" spans="3:3" x14ac:dyDescent="0.35">
      <c r="C40804" s="2"/>
    </row>
    <row r="40805" spans="3:3" x14ac:dyDescent="0.35">
      <c r="C40805" s="2"/>
    </row>
    <row r="40806" spans="3:3" x14ac:dyDescent="0.35">
      <c r="C40806" s="2"/>
    </row>
    <row r="40807" spans="3:3" x14ac:dyDescent="0.35">
      <c r="C40807" s="2"/>
    </row>
    <row r="40808" spans="3:3" x14ac:dyDescent="0.35">
      <c r="C40808" s="2"/>
    </row>
    <row r="40809" spans="3:3" x14ac:dyDescent="0.35">
      <c r="C40809" s="2"/>
    </row>
    <row r="40810" spans="3:3" x14ac:dyDescent="0.35">
      <c r="C40810" s="2"/>
    </row>
    <row r="40811" spans="3:3" x14ac:dyDescent="0.35">
      <c r="C40811" s="2"/>
    </row>
    <row r="40812" spans="3:3" x14ac:dyDescent="0.35">
      <c r="C40812" s="2"/>
    </row>
    <row r="40813" spans="3:3" x14ac:dyDescent="0.35">
      <c r="C40813" s="2"/>
    </row>
    <row r="40814" spans="3:3" x14ac:dyDescent="0.35">
      <c r="C40814" s="2"/>
    </row>
    <row r="40815" spans="3:3" x14ac:dyDescent="0.35">
      <c r="C40815" s="2"/>
    </row>
    <row r="40816" spans="3:3" x14ac:dyDescent="0.35">
      <c r="C40816" s="2"/>
    </row>
    <row r="40817" spans="3:3" x14ac:dyDescent="0.35">
      <c r="C40817" s="2"/>
    </row>
    <row r="40818" spans="3:3" x14ac:dyDescent="0.35">
      <c r="C40818" s="2"/>
    </row>
    <row r="40819" spans="3:3" x14ac:dyDescent="0.35">
      <c r="C40819" s="2"/>
    </row>
    <row r="40820" spans="3:3" x14ac:dyDescent="0.35">
      <c r="C40820" s="2"/>
    </row>
    <row r="40821" spans="3:3" x14ac:dyDescent="0.35">
      <c r="C40821" s="2"/>
    </row>
    <row r="40822" spans="3:3" x14ac:dyDescent="0.35">
      <c r="C40822" s="2"/>
    </row>
    <row r="40823" spans="3:3" x14ac:dyDescent="0.35">
      <c r="C40823" s="2"/>
    </row>
    <row r="40824" spans="3:3" x14ac:dyDescent="0.35">
      <c r="C40824" s="2"/>
    </row>
    <row r="40825" spans="3:3" x14ac:dyDescent="0.35">
      <c r="C40825" s="2"/>
    </row>
    <row r="40826" spans="3:3" x14ac:dyDescent="0.35">
      <c r="C40826" s="2"/>
    </row>
    <row r="40827" spans="3:3" x14ac:dyDescent="0.35">
      <c r="C40827" s="2"/>
    </row>
    <row r="40828" spans="3:3" x14ac:dyDescent="0.35">
      <c r="C40828" s="2"/>
    </row>
    <row r="40829" spans="3:3" x14ac:dyDescent="0.35">
      <c r="C40829" s="2"/>
    </row>
    <row r="40830" spans="3:3" x14ac:dyDescent="0.35">
      <c r="C40830" s="2"/>
    </row>
    <row r="40831" spans="3:3" x14ac:dyDescent="0.35">
      <c r="C40831" s="2"/>
    </row>
    <row r="40832" spans="3:3" x14ac:dyDescent="0.35">
      <c r="C40832" s="2"/>
    </row>
    <row r="40833" spans="3:3" x14ac:dyDescent="0.35">
      <c r="C40833" s="2"/>
    </row>
    <row r="40834" spans="3:3" x14ac:dyDescent="0.35">
      <c r="C40834" s="2"/>
    </row>
    <row r="40835" spans="3:3" x14ac:dyDescent="0.35">
      <c r="C40835" s="2"/>
    </row>
    <row r="40836" spans="3:3" x14ac:dyDescent="0.35">
      <c r="C40836" s="2"/>
    </row>
    <row r="40837" spans="3:3" x14ac:dyDescent="0.35">
      <c r="C40837" s="2"/>
    </row>
    <row r="40838" spans="3:3" x14ac:dyDescent="0.35">
      <c r="C40838" s="2"/>
    </row>
    <row r="40839" spans="3:3" x14ac:dyDescent="0.35">
      <c r="C40839" s="2"/>
    </row>
    <row r="40840" spans="3:3" x14ac:dyDescent="0.35">
      <c r="C40840" s="2"/>
    </row>
    <row r="40841" spans="3:3" x14ac:dyDescent="0.35">
      <c r="C40841" s="2"/>
    </row>
    <row r="40842" spans="3:3" x14ac:dyDescent="0.35">
      <c r="C40842" s="2"/>
    </row>
    <row r="40843" spans="3:3" x14ac:dyDescent="0.35">
      <c r="C40843" s="2"/>
    </row>
    <row r="40844" spans="3:3" x14ac:dyDescent="0.35">
      <c r="C40844" s="2"/>
    </row>
    <row r="40845" spans="3:3" x14ac:dyDescent="0.35">
      <c r="C40845" s="2"/>
    </row>
    <row r="40846" spans="3:3" x14ac:dyDescent="0.35">
      <c r="C40846" s="2"/>
    </row>
    <row r="40847" spans="3:3" x14ac:dyDescent="0.35">
      <c r="C40847" s="2"/>
    </row>
    <row r="40848" spans="3:3" x14ac:dyDescent="0.35">
      <c r="C40848" s="2"/>
    </row>
    <row r="40849" spans="3:3" x14ac:dyDescent="0.35">
      <c r="C40849" s="2"/>
    </row>
    <row r="40850" spans="3:3" x14ac:dyDescent="0.35">
      <c r="C40850" s="2"/>
    </row>
    <row r="40851" spans="3:3" x14ac:dyDescent="0.35">
      <c r="C40851" s="2"/>
    </row>
    <row r="40852" spans="3:3" x14ac:dyDescent="0.35">
      <c r="C40852" s="2"/>
    </row>
    <row r="40853" spans="3:3" x14ac:dyDescent="0.35">
      <c r="C40853" s="2"/>
    </row>
    <row r="40854" spans="3:3" x14ac:dyDescent="0.35">
      <c r="C40854" s="2"/>
    </row>
    <row r="40855" spans="3:3" x14ac:dyDescent="0.35">
      <c r="C40855" s="2"/>
    </row>
    <row r="40856" spans="3:3" x14ac:dyDescent="0.35">
      <c r="C40856" s="2"/>
    </row>
    <row r="40857" spans="3:3" x14ac:dyDescent="0.35">
      <c r="C40857" s="2"/>
    </row>
    <row r="40858" spans="3:3" x14ac:dyDescent="0.35">
      <c r="C40858" s="2"/>
    </row>
    <row r="40859" spans="3:3" x14ac:dyDescent="0.35">
      <c r="C40859" s="2"/>
    </row>
    <row r="40860" spans="3:3" x14ac:dyDescent="0.35">
      <c r="C40860" s="2"/>
    </row>
    <row r="40861" spans="3:3" x14ac:dyDescent="0.35">
      <c r="C40861" s="2"/>
    </row>
    <row r="40862" spans="3:3" x14ac:dyDescent="0.35">
      <c r="C40862" s="2"/>
    </row>
    <row r="40863" spans="3:3" x14ac:dyDescent="0.35">
      <c r="C40863" s="2"/>
    </row>
    <row r="40864" spans="3:3" x14ac:dyDescent="0.35">
      <c r="C40864" s="2"/>
    </row>
    <row r="40865" spans="3:3" x14ac:dyDescent="0.35">
      <c r="C40865" s="2"/>
    </row>
    <row r="40866" spans="3:3" x14ac:dyDescent="0.35">
      <c r="C40866" s="2"/>
    </row>
    <row r="40867" spans="3:3" x14ac:dyDescent="0.35">
      <c r="C40867" s="2"/>
    </row>
    <row r="40868" spans="3:3" x14ac:dyDescent="0.35">
      <c r="C40868" s="2"/>
    </row>
    <row r="40869" spans="3:3" x14ac:dyDescent="0.35">
      <c r="C40869" s="2"/>
    </row>
    <row r="40870" spans="3:3" x14ac:dyDescent="0.35">
      <c r="C40870" s="2"/>
    </row>
    <row r="40871" spans="3:3" x14ac:dyDescent="0.35">
      <c r="C40871" s="2"/>
    </row>
    <row r="40872" spans="3:3" x14ac:dyDescent="0.35">
      <c r="C40872" s="2"/>
    </row>
    <row r="40873" spans="3:3" x14ac:dyDescent="0.35">
      <c r="C40873" s="2"/>
    </row>
    <row r="40874" spans="3:3" x14ac:dyDescent="0.35">
      <c r="C40874" s="2"/>
    </row>
    <row r="40875" spans="3:3" x14ac:dyDescent="0.35">
      <c r="C40875" s="2"/>
    </row>
    <row r="40876" spans="3:3" x14ac:dyDescent="0.35">
      <c r="C40876" s="2"/>
    </row>
    <row r="40877" spans="3:3" x14ac:dyDescent="0.35">
      <c r="C40877" s="2"/>
    </row>
    <row r="40878" spans="3:3" x14ac:dyDescent="0.35">
      <c r="C40878" s="2"/>
    </row>
    <row r="40879" spans="3:3" x14ac:dyDescent="0.35">
      <c r="C40879" s="2"/>
    </row>
    <row r="40880" spans="3:3" x14ac:dyDescent="0.35">
      <c r="C40880" s="2"/>
    </row>
    <row r="40881" spans="3:3" x14ac:dyDescent="0.35">
      <c r="C40881" s="2"/>
    </row>
    <row r="40882" spans="3:3" x14ac:dyDescent="0.35">
      <c r="C40882" s="2"/>
    </row>
    <row r="40883" spans="3:3" x14ac:dyDescent="0.35">
      <c r="C40883" s="2"/>
    </row>
    <row r="40884" spans="3:3" x14ac:dyDescent="0.35">
      <c r="C40884" s="2"/>
    </row>
    <row r="40885" spans="3:3" x14ac:dyDescent="0.35">
      <c r="C40885" s="2"/>
    </row>
    <row r="40886" spans="3:3" x14ac:dyDescent="0.35">
      <c r="C40886" s="2"/>
    </row>
    <row r="40887" spans="3:3" x14ac:dyDescent="0.35">
      <c r="C40887" s="2"/>
    </row>
    <row r="40888" spans="3:3" x14ac:dyDescent="0.35">
      <c r="C40888" s="2"/>
    </row>
    <row r="40889" spans="3:3" x14ac:dyDescent="0.35">
      <c r="C40889" s="2"/>
    </row>
    <row r="40890" spans="3:3" x14ac:dyDescent="0.35">
      <c r="C40890" s="2"/>
    </row>
    <row r="40891" spans="3:3" x14ac:dyDescent="0.35">
      <c r="C40891" s="2"/>
    </row>
    <row r="40892" spans="3:3" x14ac:dyDescent="0.35">
      <c r="C40892" s="2"/>
    </row>
    <row r="40893" spans="3:3" x14ac:dyDescent="0.35">
      <c r="C40893" s="2"/>
    </row>
    <row r="40894" spans="3:3" x14ac:dyDescent="0.35">
      <c r="C40894" s="2"/>
    </row>
    <row r="40895" spans="3:3" x14ac:dyDescent="0.35">
      <c r="C40895" s="2"/>
    </row>
    <row r="40896" spans="3:3" x14ac:dyDescent="0.35">
      <c r="C40896" s="2"/>
    </row>
    <row r="40897" spans="3:3" x14ac:dyDescent="0.35">
      <c r="C40897" s="2"/>
    </row>
    <row r="40898" spans="3:3" x14ac:dyDescent="0.35">
      <c r="C40898" s="2"/>
    </row>
    <row r="40899" spans="3:3" x14ac:dyDescent="0.35">
      <c r="C40899" s="2"/>
    </row>
    <row r="40900" spans="3:3" x14ac:dyDescent="0.35">
      <c r="C40900" s="2"/>
    </row>
    <row r="40901" spans="3:3" x14ac:dyDescent="0.35">
      <c r="C40901" s="2"/>
    </row>
    <row r="40902" spans="3:3" x14ac:dyDescent="0.35">
      <c r="C40902" s="2"/>
    </row>
    <row r="40903" spans="3:3" x14ac:dyDescent="0.35">
      <c r="C40903" s="2"/>
    </row>
    <row r="40904" spans="3:3" x14ac:dyDescent="0.35">
      <c r="C40904" s="2"/>
    </row>
    <row r="40905" spans="3:3" x14ac:dyDescent="0.35">
      <c r="C40905" s="2"/>
    </row>
    <row r="40906" spans="3:3" x14ac:dyDescent="0.35">
      <c r="C40906" s="2"/>
    </row>
    <row r="40907" spans="3:3" x14ac:dyDescent="0.35">
      <c r="C40907" s="2"/>
    </row>
    <row r="40908" spans="3:3" x14ac:dyDescent="0.35">
      <c r="C40908" s="2"/>
    </row>
    <row r="40909" spans="3:3" x14ac:dyDescent="0.35">
      <c r="C40909" s="2"/>
    </row>
    <row r="40910" spans="3:3" x14ac:dyDescent="0.35">
      <c r="C40910" s="2"/>
    </row>
    <row r="40911" spans="3:3" x14ac:dyDescent="0.35">
      <c r="C40911" s="2"/>
    </row>
    <row r="40912" spans="3:3" x14ac:dyDescent="0.35">
      <c r="C40912" s="2"/>
    </row>
    <row r="40913" spans="3:3" x14ac:dyDescent="0.35">
      <c r="C40913" s="2"/>
    </row>
    <row r="40914" spans="3:3" x14ac:dyDescent="0.35">
      <c r="C40914" s="2"/>
    </row>
    <row r="40915" spans="3:3" x14ac:dyDescent="0.35">
      <c r="C40915" s="2"/>
    </row>
    <row r="40916" spans="3:3" x14ac:dyDescent="0.35">
      <c r="C40916" s="2"/>
    </row>
    <row r="40917" spans="3:3" x14ac:dyDescent="0.35">
      <c r="C40917" s="2"/>
    </row>
    <row r="40918" spans="3:3" x14ac:dyDescent="0.35">
      <c r="C40918" s="2"/>
    </row>
    <row r="40919" spans="3:3" x14ac:dyDescent="0.35">
      <c r="C40919" s="2"/>
    </row>
    <row r="40920" spans="3:3" x14ac:dyDescent="0.35">
      <c r="C40920" s="2"/>
    </row>
    <row r="40921" spans="3:3" x14ac:dyDescent="0.35">
      <c r="C40921" s="2"/>
    </row>
    <row r="40922" spans="3:3" x14ac:dyDescent="0.35">
      <c r="C40922" s="2"/>
    </row>
    <row r="40923" spans="3:3" x14ac:dyDescent="0.35">
      <c r="C40923" s="2"/>
    </row>
    <row r="40924" spans="3:3" x14ac:dyDescent="0.35">
      <c r="C40924" s="2"/>
    </row>
    <row r="40925" spans="3:3" x14ac:dyDescent="0.35">
      <c r="C40925" s="2"/>
    </row>
    <row r="40926" spans="3:3" x14ac:dyDescent="0.35">
      <c r="C40926" s="2"/>
    </row>
    <row r="40927" spans="3:3" x14ac:dyDescent="0.35">
      <c r="C40927" s="2"/>
    </row>
    <row r="40928" spans="3:3" x14ac:dyDescent="0.35">
      <c r="C40928" s="2"/>
    </row>
    <row r="40929" spans="3:3" x14ac:dyDescent="0.35">
      <c r="C40929" s="2"/>
    </row>
    <row r="40930" spans="3:3" x14ac:dyDescent="0.35">
      <c r="C40930" s="2"/>
    </row>
    <row r="40931" spans="3:3" x14ac:dyDescent="0.35">
      <c r="C40931" s="2"/>
    </row>
    <row r="40932" spans="3:3" x14ac:dyDescent="0.35">
      <c r="C40932" s="2"/>
    </row>
    <row r="40933" spans="3:3" x14ac:dyDescent="0.35">
      <c r="C40933" s="2"/>
    </row>
    <row r="40934" spans="3:3" x14ac:dyDescent="0.35">
      <c r="C40934" s="2"/>
    </row>
    <row r="40935" spans="3:3" x14ac:dyDescent="0.35">
      <c r="C40935" s="2"/>
    </row>
    <row r="40936" spans="3:3" x14ac:dyDescent="0.35">
      <c r="C40936" s="2"/>
    </row>
    <row r="40937" spans="3:3" x14ac:dyDescent="0.35">
      <c r="C40937" s="2"/>
    </row>
    <row r="40938" spans="3:3" x14ac:dyDescent="0.35">
      <c r="C40938" s="2"/>
    </row>
    <row r="40939" spans="3:3" x14ac:dyDescent="0.35">
      <c r="C40939" s="2"/>
    </row>
    <row r="40940" spans="3:3" x14ac:dyDescent="0.35">
      <c r="C40940" s="2"/>
    </row>
    <row r="40941" spans="3:3" x14ac:dyDescent="0.35">
      <c r="C40941" s="2"/>
    </row>
    <row r="40942" spans="3:3" x14ac:dyDescent="0.35">
      <c r="C40942" s="2"/>
    </row>
    <row r="40943" spans="3:3" x14ac:dyDescent="0.35">
      <c r="C40943" s="2"/>
    </row>
    <row r="40944" spans="3:3" x14ac:dyDescent="0.35">
      <c r="C40944" s="2"/>
    </row>
    <row r="40945" spans="3:3" x14ac:dyDescent="0.35">
      <c r="C40945" s="2"/>
    </row>
    <row r="40946" spans="3:3" x14ac:dyDescent="0.35">
      <c r="C40946" s="2"/>
    </row>
    <row r="40947" spans="3:3" x14ac:dyDescent="0.35">
      <c r="C40947" s="2"/>
    </row>
    <row r="40948" spans="3:3" x14ac:dyDescent="0.35">
      <c r="C40948" s="2"/>
    </row>
    <row r="40949" spans="3:3" x14ac:dyDescent="0.35">
      <c r="C40949" s="2"/>
    </row>
    <row r="40950" spans="3:3" x14ac:dyDescent="0.35">
      <c r="C40950" s="2"/>
    </row>
    <row r="40951" spans="3:3" x14ac:dyDescent="0.35">
      <c r="C40951" s="2"/>
    </row>
    <row r="40952" spans="3:3" x14ac:dyDescent="0.35">
      <c r="C40952" s="2"/>
    </row>
    <row r="40953" spans="3:3" x14ac:dyDescent="0.35">
      <c r="C40953" s="2"/>
    </row>
    <row r="40954" spans="3:3" x14ac:dyDescent="0.35">
      <c r="C40954" s="2"/>
    </row>
    <row r="40955" spans="3:3" x14ac:dyDescent="0.35">
      <c r="C40955" s="2"/>
    </row>
    <row r="40956" spans="3:3" x14ac:dyDescent="0.35">
      <c r="C40956" s="2"/>
    </row>
    <row r="40957" spans="3:3" x14ac:dyDescent="0.35">
      <c r="C40957" s="2"/>
    </row>
    <row r="40958" spans="3:3" x14ac:dyDescent="0.35">
      <c r="C40958" s="2"/>
    </row>
    <row r="40959" spans="3:3" x14ac:dyDescent="0.35">
      <c r="C40959" s="2"/>
    </row>
    <row r="40960" spans="3:3" x14ac:dyDescent="0.35">
      <c r="C40960" s="2"/>
    </row>
    <row r="40961" spans="3:3" x14ac:dyDescent="0.35">
      <c r="C40961" s="2"/>
    </row>
    <row r="40962" spans="3:3" x14ac:dyDescent="0.35">
      <c r="C40962" s="2"/>
    </row>
    <row r="40963" spans="3:3" x14ac:dyDescent="0.35">
      <c r="C40963" s="2"/>
    </row>
    <row r="40964" spans="3:3" x14ac:dyDescent="0.35">
      <c r="C40964" s="2"/>
    </row>
    <row r="40965" spans="3:3" x14ac:dyDescent="0.35">
      <c r="C40965" s="2"/>
    </row>
    <row r="40966" spans="3:3" x14ac:dyDescent="0.35">
      <c r="C40966" s="2"/>
    </row>
    <row r="40967" spans="3:3" x14ac:dyDescent="0.35">
      <c r="C40967" s="2"/>
    </row>
    <row r="40968" spans="3:3" x14ac:dyDescent="0.35">
      <c r="C40968" s="2"/>
    </row>
    <row r="40969" spans="3:3" x14ac:dyDescent="0.35">
      <c r="C40969" s="2"/>
    </row>
    <row r="40970" spans="3:3" x14ac:dyDescent="0.35">
      <c r="C40970" s="2"/>
    </row>
    <row r="40971" spans="3:3" x14ac:dyDescent="0.35">
      <c r="C40971" s="2"/>
    </row>
    <row r="40972" spans="3:3" x14ac:dyDescent="0.35">
      <c r="C40972" s="2"/>
    </row>
    <row r="40973" spans="3:3" x14ac:dyDescent="0.35">
      <c r="C40973" s="2"/>
    </row>
    <row r="40974" spans="3:3" x14ac:dyDescent="0.35">
      <c r="C40974" s="2"/>
    </row>
    <row r="40975" spans="3:3" x14ac:dyDescent="0.35">
      <c r="C40975" s="2"/>
    </row>
    <row r="40976" spans="3:3" x14ac:dyDescent="0.35">
      <c r="C40976" s="2"/>
    </row>
    <row r="40977" spans="3:3" x14ac:dyDescent="0.35">
      <c r="C40977" s="2"/>
    </row>
    <row r="40978" spans="3:3" x14ac:dyDescent="0.35">
      <c r="C40978" s="2"/>
    </row>
    <row r="40979" spans="3:3" x14ac:dyDescent="0.35">
      <c r="C40979" s="2"/>
    </row>
    <row r="40980" spans="3:3" x14ac:dyDescent="0.35">
      <c r="C40980" s="2"/>
    </row>
    <row r="40981" spans="3:3" x14ac:dyDescent="0.35">
      <c r="C40981" s="2"/>
    </row>
    <row r="40982" spans="3:3" x14ac:dyDescent="0.35">
      <c r="C40982" s="2"/>
    </row>
    <row r="40983" spans="3:3" x14ac:dyDescent="0.35">
      <c r="C40983" s="2"/>
    </row>
    <row r="40984" spans="3:3" x14ac:dyDescent="0.35">
      <c r="C40984" s="2"/>
    </row>
    <row r="40985" spans="3:3" x14ac:dyDescent="0.35">
      <c r="C40985" s="2"/>
    </row>
    <row r="40986" spans="3:3" x14ac:dyDescent="0.35">
      <c r="C40986" s="2"/>
    </row>
    <row r="40987" spans="3:3" x14ac:dyDescent="0.35">
      <c r="C40987" s="2"/>
    </row>
    <row r="40988" spans="3:3" x14ac:dyDescent="0.35">
      <c r="C40988" s="2"/>
    </row>
    <row r="40989" spans="3:3" x14ac:dyDescent="0.35">
      <c r="C40989" s="2"/>
    </row>
    <row r="40990" spans="3:3" x14ac:dyDescent="0.35">
      <c r="C40990" s="2"/>
    </row>
    <row r="40991" spans="3:3" x14ac:dyDescent="0.35">
      <c r="C40991" s="2"/>
    </row>
    <row r="40992" spans="3:3" x14ac:dyDescent="0.35">
      <c r="C40992" s="2"/>
    </row>
    <row r="40993" spans="3:3" x14ac:dyDescent="0.35">
      <c r="C40993" s="2"/>
    </row>
    <row r="40994" spans="3:3" x14ac:dyDescent="0.35">
      <c r="C40994" s="2"/>
    </row>
    <row r="40995" spans="3:3" x14ac:dyDescent="0.35">
      <c r="C40995" s="2"/>
    </row>
    <row r="40996" spans="3:3" x14ac:dyDescent="0.35">
      <c r="C40996" s="2"/>
    </row>
    <row r="40997" spans="3:3" x14ac:dyDescent="0.35">
      <c r="C40997" s="2"/>
    </row>
    <row r="40998" spans="3:3" x14ac:dyDescent="0.35">
      <c r="C40998" s="2"/>
    </row>
    <row r="40999" spans="3:3" x14ac:dyDescent="0.35">
      <c r="C40999" s="2"/>
    </row>
    <row r="41000" spans="3:3" x14ac:dyDescent="0.35">
      <c r="C41000" s="2"/>
    </row>
    <row r="41001" spans="3:3" x14ac:dyDescent="0.35">
      <c r="C41001" s="2"/>
    </row>
    <row r="41002" spans="3:3" x14ac:dyDescent="0.35">
      <c r="C41002" s="2"/>
    </row>
    <row r="41003" spans="3:3" x14ac:dyDescent="0.35">
      <c r="C41003" s="2"/>
    </row>
    <row r="41004" spans="3:3" x14ac:dyDescent="0.35">
      <c r="C41004" s="2"/>
    </row>
    <row r="41005" spans="3:3" x14ac:dyDescent="0.35">
      <c r="C41005" s="2"/>
    </row>
    <row r="41006" spans="3:3" x14ac:dyDescent="0.35">
      <c r="C41006" s="2"/>
    </row>
    <row r="41007" spans="3:3" x14ac:dyDescent="0.35">
      <c r="C41007" s="2"/>
    </row>
    <row r="41008" spans="3:3" x14ac:dyDescent="0.35">
      <c r="C41008" s="2"/>
    </row>
    <row r="41009" spans="3:3" x14ac:dyDescent="0.35">
      <c r="C41009" s="2"/>
    </row>
    <row r="41010" spans="3:3" x14ac:dyDescent="0.35">
      <c r="C41010" s="2"/>
    </row>
    <row r="41011" spans="3:3" x14ac:dyDescent="0.35">
      <c r="C41011" s="2"/>
    </row>
    <row r="41012" spans="3:3" x14ac:dyDescent="0.35">
      <c r="C41012" s="2"/>
    </row>
    <row r="41013" spans="3:3" x14ac:dyDescent="0.35">
      <c r="C41013" s="2"/>
    </row>
    <row r="41014" spans="3:3" x14ac:dyDescent="0.35">
      <c r="C41014" s="2"/>
    </row>
    <row r="41015" spans="3:3" x14ac:dyDescent="0.35">
      <c r="C41015" s="2"/>
    </row>
    <row r="41016" spans="3:3" x14ac:dyDescent="0.35">
      <c r="C41016" s="2"/>
    </row>
    <row r="41017" spans="3:3" x14ac:dyDescent="0.35">
      <c r="C41017" s="2"/>
    </row>
    <row r="41018" spans="3:3" x14ac:dyDescent="0.35">
      <c r="C41018" s="2"/>
    </row>
    <row r="41019" spans="3:3" x14ac:dyDescent="0.35">
      <c r="C41019" s="2"/>
    </row>
    <row r="41020" spans="3:3" x14ac:dyDescent="0.35">
      <c r="C41020" s="2"/>
    </row>
    <row r="41021" spans="3:3" x14ac:dyDescent="0.35">
      <c r="C41021" s="2"/>
    </row>
    <row r="41022" spans="3:3" x14ac:dyDescent="0.35">
      <c r="C41022" s="2"/>
    </row>
    <row r="41023" spans="3:3" x14ac:dyDescent="0.35">
      <c r="C41023" s="2"/>
    </row>
    <row r="41024" spans="3:3" x14ac:dyDescent="0.35">
      <c r="C41024" s="2"/>
    </row>
    <row r="41025" spans="3:3" x14ac:dyDescent="0.35">
      <c r="C41025" s="2"/>
    </row>
    <row r="41026" spans="3:3" x14ac:dyDescent="0.35">
      <c r="C41026" s="2"/>
    </row>
    <row r="41027" spans="3:3" x14ac:dyDescent="0.35">
      <c r="C41027" s="2"/>
    </row>
    <row r="41028" spans="3:3" x14ac:dyDescent="0.35">
      <c r="C41028" s="2"/>
    </row>
    <row r="41029" spans="3:3" x14ac:dyDescent="0.35">
      <c r="C41029" s="2"/>
    </row>
    <row r="41030" spans="3:3" x14ac:dyDescent="0.35">
      <c r="C41030" s="2"/>
    </row>
    <row r="41031" spans="3:3" x14ac:dyDescent="0.35">
      <c r="C41031" s="2"/>
    </row>
    <row r="41032" spans="3:3" x14ac:dyDescent="0.35">
      <c r="C41032" s="2"/>
    </row>
    <row r="41033" spans="3:3" x14ac:dyDescent="0.35">
      <c r="C41033" s="2"/>
    </row>
    <row r="41034" spans="3:3" x14ac:dyDescent="0.35">
      <c r="C41034" s="2"/>
    </row>
    <row r="41035" spans="3:3" x14ac:dyDescent="0.35">
      <c r="C41035" s="2"/>
    </row>
    <row r="41036" spans="3:3" x14ac:dyDescent="0.35">
      <c r="C41036" s="2"/>
    </row>
    <row r="41037" spans="3:3" x14ac:dyDescent="0.35">
      <c r="C41037" s="2"/>
    </row>
    <row r="41038" spans="3:3" x14ac:dyDescent="0.35">
      <c r="C41038" s="2"/>
    </row>
    <row r="41039" spans="3:3" x14ac:dyDescent="0.35">
      <c r="C41039" s="2"/>
    </row>
    <row r="41040" spans="3:3" x14ac:dyDescent="0.35">
      <c r="C41040" s="2"/>
    </row>
    <row r="41041" spans="3:3" x14ac:dyDescent="0.35">
      <c r="C41041" s="2"/>
    </row>
    <row r="41042" spans="3:3" x14ac:dyDescent="0.35">
      <c r="C41042" s="2"/>
    </row>
    <row r="41043" spans="3:3" x14ac:dyDescent="0.35">
      <c r="C41043" s="2"/>
    </row>
    <row r="41044" spans="3:3" x14ac:dyDescent="0.35">
      <c r="C41044" s="2"/>
    </row>
    <row r="41045" spans="3:3" x14ac:dyDescent="0.35">
      <c r="C41045" s="2"/>
    </row>
    <row r="41046" spans="3:3" x14ac:dyDescent="0.35">
      <c r="C41046" s="2"/>
    </row>
    <row r="41047" spans="3:3" x14ac:dyDescent="0.35">
      <c r="C41047" s="2"/>
    </row>
    <row r="41048" spans="3:3" x14ac:dyDescent="0.35">
      <c r="C41048" s="2"/>
    </row>
    <row r="41049" spans="3:3" x14ac:dyDescent="0.35">
      <c r="C41049" s="2"/>
    </row>
    <row r="41050" spans="3:3" x14ac:dyDescent="0.35">
      <c r="C41050" s="2"/>
    </row>
    <row r="41051" spans="3:3" x14ac:dyDescent="0.35">
      <c r="C41051" s="2"/>
    </row>
    <row r="41052" spans="3:3" x14ac:dyDescent="0.35">
      <c r="C41052" s="2"/>
    </row>
    <row r="41053" spans="3:3" x14ac:dyDescent="0.35">
      <c r="C41053" s="2"/>
    </row>
    <row r="41054" spans="3:3" x14ac:dyDescent="0.35">
      <c r="C41054" s="2"/>
    </row>
    <row r="41055" spans="3:3" x14ac:dyDescent="0.35">
      <c r="C41055" s="2"/>
    </row>
    <row r="41056" spans="3:3" x14ac:dyDescent="0.35">
      <c r="C41056" s="2"/>
    </row>
    <row r="41057" spans="3:3" x14ac:dyDescent="0.35">
      <c r="C41057" s="2"/>
    </row>
    <row r="41058" spans="3:3" x14ac:dyDescent="0.35">
      <c r="C41058" s="2"/>
    </row>
    <row r="41059" spans="3:3" x14ac:dyDescent="0.35">
      <c r="C41059" s="2"/>
    </row>
    <row r="41060" spans="3:3" x14ac:dyDescent="0.35">
      <c r="C41060" s="2"/>
    </row>
    <row r="41061" spans="3:3" x14ac:dyDescent="0.35">
      <c r="C41061" s="2"/>
    </row>
    <row r="41062" spans="3:3" x14ac:dyDescent="0.35">
      <c r="C41062" s="2"/>
    </row>
    <row r="41063" spans="3:3" x14ac:dyDescent="0.35">
      <c r="C41063" s="2"/>
    </row>
    <row r="41064" spans="3:3" x14ac:dyDescent="0.35">
      <c r="C41064" s="2"/>
    </row>
    <row r="41065" spans="3:3" x14ac:dyDescent="0.35">
      <c r="C41065" s="2"/>
    </row>
    <row r="41066" spans="3:3" x14ac:dyDescent="0.35">
      <c r="C41066" s="2"/>
    </row>
    <row r="41067" spans="3:3" x14ac:dyDescent="0.35">
      <c r="C41067" s="2"/>
    </row>
    <row r="41068" spans="3:3" x14ac:dyDescent="0.35">
      <c r="C41068" s="2"/>
    </row>
    <row r="41069" spans="3:3" x14ac:dyDescent="0.35">
      <c r="C41069" s="2"/>
    </row>
    <row r="41070" spans="3:3" x14ac:dyDescent="0.35">
      <c r="C41070" s="2"/>
    </row>
    <row r="41071" spans="3:3" x14ac:dyDescent="0.35">
      <c r="C41071" s="2"/>
    </row>
    <row r="41072" spans="3:3" x14ac:dyDescent="0.35">
      <c r="C41072" s="2"/>
    </row>
    <row r="41073" spans="3:3" x14ac:dyDescent="0.35">
      <c r="C41073" s="2"/>
    </row>
    <row r="41074" spans="3:3" x14ac:dyDescent="0.35">
      <c r="C41074" s="2"/>
    </row>
    <row r="41075" spans="3:3" x14ac:dyDescent="0.35">
      <c r="C41075" s="2"/>
    </row>
    <row r="41076" spans="3:3" x14ac:dyDescent="0.35">
      <c r="C41076" s="2"/>
    </row>
    <row r="41077" spans="3:3" x14ac:dyDescent="0.35">
      <c r="C41077" s="2"/>
    </row>
    <row r="41078" spans="3:3" x14ac:dyDescent="0.35">
      <c r="C41078" s="2"/>
    </row>
    <row r="41079" spans="3:3" x14ac:dyDescent="0.35">
      <c r="C41079" s="2"/>
    </row>
    <row r="41080" spans="3:3" x14ac:dyDescent="0.35">
      <c r="C41080" s="2"/>
    </row>
    <row r="41081" spans="3:3" x14ac:dyDescent="0.35">
      <c r="C41081" s="2"/>
    </row>
    <row r="41082" spans="3:3" x14ac:dyDescent="0.35">
      <c r="C41082" s="2"/>
    </row>
    <row r="41083" spans="3:3" x14ac:dyDescent="0.35">
      <c r="C41083" s="2"/>
    </row>
    <row r="41084" spans="3:3" x14ac:dyDescent="0.35">
      <c r="C41084" s="2"/>
    </row>
    <row r="41085" spans="3:3" x14ac:dyDescent="0.35">
      <c r="C41085" s="2"/>
    </row>
    <row r="41086" spans="3:3" x14ac:dyDescent="0.35">
      <c r="C41086" s="2"/>
    </row>
    <row r="41087" spans="3:3" x14ac:dyDescent="0.35">
      <c r="C41087" s="2"/>
    </row>
    <row r="41088" spans="3:3" x14ac:dyDescent="0.35">
      <c r="C41088" s="2"/>
    </row>
    <row r="41089" spans="3:3" x14ac:dyDescent="0.35">
      <c r="C41089" s="2"/>
    </row>
    <row r="41090" spans="3:3" x14ac:dyDescent="0.35">
      <c r="C41090" s="2"/>
    </row>
    <row r="41091" spans="3:3" x14ac:dyDescent="0.35">
      <c r="C41091" s="2"/>
    </row>
    <row r="41092" spans="3:3" x14ac:dyDescent="0.35">
      <c r="C41092" s="2"/>
    </row>
    <row r="41093" spans="3:3" x14ac:dyDescent="0.35">
      <c r="C41093" s="2"/>
    </row>
    <row r="41094" spans="3:3" x14ac:dyDescent="0.35">
      <c r="C41094" s="2"/>
    </row>
    <row r="41095" spans="3:3" x14ac:dyDescent="0.35">
      <c r="C41095" s="2"/>
    </row>
    <row r="41096" spans="3:3" x14ac:dyDescent="0.35">
      <c r="C41096" s="2"/>
    </row>
    <row r="41097" spans="3:3" x14ac:dyDescent="0.35">
      <c r="C41097" s="2"/>
    </row>
    <row r="41098" spans="3:3" x14ac:dyDescent="0.35">
      <c r="C41098" s="2"/>
    </row>
    <row r="41099" spans="3:3" x14ac:dyDescent="0.35">
      <c r="C41099" s="2"/>
    </row>
    <row r="41100" spans="3:3" x14ac:dyDescent="0.35">
      <c r="C41100" s="2"/>
    </row>
    <row r="41101" spans="3:3" x14ac:dyDescent="0.35">
      <c r="C41101" s="2"/>
    </row>
    <row r="41102" spans="3:3" x14ac:dyDescent="0.35">
      <c r="C41102" s="2"/>
    </row>
    <row r="41103" spans="3:3" x14ac:dyDescent="0.35">
      <c r="C41103" s="2"/>
    </row>
    <row r="41104" spans="3:3" x14ac:dyDescent="0.35">
      <c r="C41104" s="2"/>
    </row>
    <row r="41105" spans="3:3" x14ac:dyDescent="0.35">
      <c r="C41105" s="2"/>
    </row>
    <row r="41106" spans="3:3" x14ac:dyDescent="0.35">
      <c r="C41106" s="2"/>
    </row>
    <row r="41107" spans="3:3" x14ac:dyDescent="0.35">
      <c r="C41107" s="2"/>
    </row>
    <row r="41108" spans="3:3" x14ac:dyDescent="0.35">
      <c r="C41108" s="2"/>
    </row>
    <row r="41109" spans="3:3" x14ac:dyDescent="0.35">
      <c r="C41109" s="2"/>
    </row>
    <row r="41110" spans="3:3" x14ac:dyDescent="0.35">
      <c r="C41110" s="2"/>
    </row>
    <row r="41111" spans="3:3" x14ac:dyDescent="0.35">
      <c r="C41111" s="2"/>
    </row>
    <row r="41112" spans="3:3" x14ac:dyDescent="0.35">
      <c r="C41112" s="2"/>
    </row>
    <row r="41113" spans="3:3" x14ac:dyDescent="0.35">
      <c r="C41113" s="2"/>
    </row>
    <row r="41114" spans="3:3" x14ac:dyDescent="0.35">
      <c r="C41114" s="2"/>
    </row>
    <row r="41115" spans="3:3" x14ac:dyDescent="0.35">
      <c r="C41115" s="2"/>
    </row>
    <row r="41116" spans="3:3" x14ac:dyDescent="0.35">
      <c r="C41116" s="2"/>
    </row>
    <row r="41117" spans="3:3" x14ac:dyDescent="0.35">
      <c r="C41117" s="2"/>
    </row>
    <row r="41118" spans="3:3" x14ac:dyDescent="0.35">
      <c r="C41118" s="2"/>
    </row>
    <row r="41119" spans="3:3" x14ac:dyDescent="0.35">
      <c r="C41119" s="2"/>
    </row>
    <row r="41120" spans="3:3" x14ac:dyDescent="0.35">
      <c r="C41120" s="2"/>
    </row>
    <row r="41121" spans="3:3" x14ac:dyDescent="0.35">
      <c r="C41121" s="2"/>
    </row>
    <row r="41122" spans="3:3" x14ac:dyDescent="0.35">
      <c r="C41122" s="2"/>
    </row>
    <row r="41123" spans="3:3" x14ac:dyDescent="0.35">
      <c r="C41123" s="2"/>
    </row>
    <row r="41124" spans="3:3" x14ac:dyDescent="0.35">
      <c r="C41124" s="2"/>
    </row>
    <row r="41125" spans="3:3" x14ac:dyDescent="0.35">
      <c r="C41125" s="2"/>
    </row>
    <row r="41126" spans="3:3" x14ac:dyDescent="0.35">
      <c r="C41126" s="2"/>
    </row>
    <row r="41127" spans="3:3" x14ac:dyDescent="0.35">
      <c r="C41127" s="2"/>
    </row>
    <row r="41128" spans="3:3" x14ac:dyDescent="0.35">
      <c r="C41128" s="2"/>
    </row>
    <row r="41129" spans="3:3" x14ac:dyDescent="0.35">
      <c r="C41129" s="2"/>
    </row>
    <row r="41130" spans="3:3" x14ac:dyDescent="0.35">
      <c r="C41130" s="2"/>
    </row>
    <row r="41131" spans="3:3" x14ac:dyDescent="0.35">
      <c r="C41131" s="2"/>
    </row>
    <row r="41132" spans="3:3" x14ac:dyDescent="0.35">
      <c r="C41132" s="2"/>
    </row>
    <row r="41133" spans="3:3" x14ac:dyDescent="0.35">
      <c r="C41133" s="2"/>
    </row>
    <row r="41134" spans="3:3" x14ac:dyDescent="0.35">
      <c r="C41134" s="2"/>
    </row>
    <row r="41135" spans="3:3" x14ac:dyDescent="0.35">
      <c r="C41135" s="2"/>
    </row>
    <row r="41136" spans="3:3" x14ac:dyDescent="0.35">
      <c r="C41136" s="2"/>
    </row>
    <row r="41137" spans="3:3" x14ac:dyDescent="0.35">
      <c r="C41137" s="2"/>
    </row>
    <row r="41138" spans="3:3" x14ac:dyDescent="0.35">
      <c r="C41138" s="2"/>
    </row>
    <row r="41139" spans="3:3" x14ac:dyDescent="0.35">
      <c r="C41139" s="2"/>
    </row>
    <row r="41140" spans="3:3" x14ac:dyDescent="0.35">
      <c r="C41140" s="2"/>
    </row>
    <row r="41141" spans="3:3" x14ac:dyDescent="0.35">
      <c r="C41141" s="2"/>
    </row>
    <row r="41142" spans="3:3" x14ac:dyDescent="0.35">
      <c r="C41142" s="2"/>
    </row>
    <row r="41143" spans="3:3" x14ac:dyDescent="0.35">
      <c r="C41143" s="2"/>
    </row>
    <row r="41144" spans="3:3" x14ac:dyDescent="0.35">
      <c r="C41144" s="2"/>
    </row>
    <row r="41145" spans="3:3" x14ac:dyDescent="0.35">
      <c r="C41145" s="2"/>
    </row>
    <row r="41146" spans="3:3" x14ac:dyDescent="0.35">
      <c r="C41146" s="2"/>
    </row>
    <row r="41147" spans="3:3" x14ac:dyDescent="0.35">
      <c r="C41147" s="2"/>
    </row>
    <row r="41148" spans="3:3" x14ac:dyDescent="0.35">
      <c r="C41148" s="2"/>
    </row>
    <row r="41149" spans="3:3" x14ac:dyDescent="0.35">
      <c r="C41149" s="2"/>
    </row>
    <row r="41150" spans="3:3" x14ac:dyDescent="0.35">
      <c r="C41150" s="2"/>
    </row>
    <row r="41151" spans="3:3" x14ac:dyDescent="0.35">
      <c r="C41151" s="2"/>
    </row>
    <row r="41152" spans="3:3" x14ac:dyDescent="0.35">
      <c r="C41152" s="2"/>
    </row>
    <row r="41153" spans="3:3" x14ac:dyDescent="0.35">
      <c r="C41153" s="2"/>
    </row>
    <row r="41154" spans="3:3" x14ac:dyDescent="0.35">
      <c r="C41154" s="2"/>
    </row>
    <row r="41155" spans="3:3" x14ac:dyDescent="0.35">
      <c r="C41155" s="2"/>
    </row>
    <row r="41156" spans="3:3" x14ac:dyDescent="0.35">
      <c r="C41156" s="2"/>
    </row>
    <row r="41157" spans="3:3" x14ac:dyDescent="0.35">
      <c r="C41157" s="2"/>
    </row>
    <row r="41158" spans="3:3" x14ac:dyDescent="0.35">
      <c r="C41158" s="2"/>
    </row>
    <row r="41159" spans="3:3" x14ac:dyDescent="0.35">
      <c r="C41159" s="2"/>
    </row>
    <row r="41160" spans="3:3" x14ac:dyDescent="0.35">
      <c r="C41160" s="2"/>
    </row>
    <row r="41161" spans="3:3" x14ac:dyDescent="0.35">
      <c r="C41161" s="2"/>
    </row>
    <row r="41162" spans="3:3" x14ac:dyDescent="0.35">
      <c r="C41162" s="2"/>
    </row>
    <row r="41163" spans="3:3" x14ac:dyDescent="0.35">
      <c r="C41163" s="2"/>
    </row>
    <row r="41164" spans="3:3" x14ac:dyDescent="0.35">
      <c r="C41164" s="2"/>
    </row>
    <row r="41165" spans="3:3" x14ac:dyDescent="0.35">
      <c r="C41165" s="2"/>
    </row>
    <row r="41166" spans="3:3" x14ac:dyDescent="0.35">
      <c r="C41166" s="2"/>
    </row>
    <row r="41167" spans="3:3" x14ac:dyDescent="0.35">
      <c r="C41167" s="2"/>
    </row>
    <row r="41168" spans="3:3" x14ac:dyDescent="0.35">
      <c r="C41168" s="2"/>
    </row>
    <row r="41169" spans="3:3" x14ac:dyDescent="0.35">
      <c r="C41169" s="2"/>
    </row>
    <row r="41170" spans="3:3" x14ac:dyDescent="0.35">
      <c r="C41170" s="2"/>
    </row>
    <row r="41171" spans="3:3" x14ac:dyDescent="0.35">
      <c r="C41171" s="2"/>
    </row>
    <row r="41172" spans="3:3" x14ac:dyDescent="0.35">
      <c r="C41172" s="2"/>
    </row>
    <row r="41173" spans="3:3" x14ac:dyDescent="0.35">
      <c r="C41173" s="2"/>
    </row>
    <row r="41174" spans="3:3" x14ac:dyDescent="0.35">
      <c r="C41174" s="2"/>
    </row>
    <row r="41175" spans="3:3" x14ac:dyDescent="0.35">
      <c r="C41175" s="2"/>
    </row>
    <row r="41176" spans="3:3" x14ac:dyDescent="0.35">
      <c r="C41176" s="2"/>
    </row>
    <row r="41177" spans="3:3" x14ac:dyDescent="0.35">
      <c r="C41177" s="2"/>
    </row>
    <row r="41178" spans="3:3" x14ac:dyDescent="0.35">
      <c r="C41178" s="2"/>
    </row>
    <row r="41179" spans="3:3" x14ac:dyDescent="0.35">
      <c r="C41179" s="2"/>
    </row>
    <row r="41180" spans="3:3" x14ac:dyDescent="0.35">
      <c r="C41180" s="2"/>
    </row>
    <row r="41181" spans="3:3" x14ac:dyDescent="0.35">
      <c r="C41181" s="2"/>
    </row>
    <row r="41182" spans="3:3" x14ac:dyDescent="0.35">
      <c r="C41182" s="2"/>
    </row>
    <row r="41183" spans="3:3" x14ac:dyDescent="0.35">
      <c r="C41183" s="2"/>
    </row>
    <row r="41184" spans="3:3" x14ac:dyDescent="0.35">
      <c r="C41184" s="2"/>
    </row>
    <row r="41185" spans="3:3" x14ac:dyDescent="0.35">
      <c r="C41185" s="2"/>
    </row>
    <row r="41186" spans="3:3" x14ac:dyDescent="0.35">
      <c r="C41186" s="2"/>
    </row>
    <row r="41187" spans="3:3" x14ac:dyDescent="0.35">
      <c r="C41187" s="2"/>
    </row>
    <row r="41188" spans="3:3" x14ac:dyDescent="0.35">
      <c r="C41188" s="2"/>
    </row>
    <row r="41189" spans="3:3" x14ac:dyDescent="0.35">
      <c r="C41189" s="2"/>
    </row>
    <row r="41190" spans="3:3" x14ac:dyDescent="0.35">
      <c r="C41190" s="2"/>
    </row>
    <row r="41191" spans="3:3" x14ac:dyDescent="0.35">
      <c r="C41191" s="2"/>
    </row>
    <row r="41192" spans="3:3" x14ac:dyDescent="0.35">
      <c r="C41192" s="2"/>
    </row>
    <row r="41193" spans="3:3" x14ac:dyDescent="0.35">
      <c r="C41193" s="2"/>
    </row>
    <row r="41194" spans="3:3" x14ac:dyDescent="0.35">
      <c r="C41194" s="2"/>
    </row>
    <row r="41195" spans="3:3" x14ac:dyDescent="0.35">
      <c r="C41195" s="2"/>
    </row>
    <row r="41196" spans="3:3" x14ac:dyDescent="0.35">
      <c r="C41196" s="2"/>
    </row>
    <row r="41197" spans="3:3" x14ac:dyDescent="0.35">
      <c r="C41197" s="2"/>
    </row>
    <row r="41198" spans="3:3" x14ac:dyDescent="0.35">
      <c r="C41198" s="2"/>
    </row>
    <row r="41199" spans="3:3" x14ac:dyDescent="0.35">
      <c r="C41199" s="2"/>
    </row>
    <row r="41200" spans="3:3" x14ac:dyDescent="0.35">
      <c r="C41200" s="2"/>
    </row>
    <row r="41201" spans="3:3" x14ac:dyDescent="0.35">
      <c r="C41201" s="2"/>
    </row>
    <row r="41202" spans="3:3" x14ac:dyDescent="0.35">
      <c r="C41202" s="2"/>
    </row>
    <row r="41203" spans="3:3" x14ac:dyDescent="0.35">
      <c r="C41203" s="2"/>
    </row>
    <row r="41204" spans="3:3" x14ac:dyDescent="0.35">
      <c r="C41204" s="2"/>
    </row>
    <row r="41205" spans="3:3" x14ac:dyDescent="0.35">
      <c r="C41205" s="2"/>
    </row>
    <row r="41206" spans="3:3" x14ac:dyDescent="0.35">
      <c r="C41206" s="2"/>
    </row>
    <row r="41207" spans="3:3" x14ac:dyDescent="0.35">
      <c r="C41207" s="2"/>
    </row>
    <row r="41208" spans="3:3" x14ac:dyDescent="0.35">
      <c r="C41208" s="2"/>
    </row>
    <row r="41209" spans="3:3" x14ac:dyDescent="0.35">
      <c r="C41209" s="2"/>
    </row>
    <row r="41210" spans="3:3" x14ac:dyDescent="0.35">
      <c r="C41210" s="2"/>
    </row>
    <row r="41211" spans="3:3" x14ac:dyDescent="0.35">
      <c r="C41211" s="2"/>
    </row>
    <row r="41212" spans="3:3" x14ac:dyDescent="0.35">
      <c r="C41212" s="2"/>
    </row>
    <row r="41213" spans="3:3" x14ac:dyDescent="0.35">
      <c r="C41213" s="2"/>
    </row>
    <row r="41214" spans="3:3" x14ac:dyDescent="0.35">
      <c r="C41214" s="2"/>
    </row>
    <row r="41215" spans="3:3" x14ac:dyDescent="0.35">
      <c r="C41215" s="2"/>
    </row>
    <row r="41216" spans="3:3" x14ac:dyDescent="0.35">
      <c r="C41216" s="2"/>
    </row>
    <row r="41217" spans="3:3" x14ac:dyDescent="0.35">
      <c r="C41217" s="2"/>
    </row>
    <row r="41218" spans="3:3" x14ac:dyDescent="0.35">
      <c r="C41218" s="2"/>
    </row>
    <row r="41219" spans="3:3" x14ac:dyDescent="0.35">
      <c r="C41219" s="2"/>
    </row>
    <row r="41220" spans="3:3" x14ac:dyDescent="0.35">
      <c r="C41220" s="2"/>
    </row>
    <row r="41221" spans="3:3" x14ac:dyDescent="0.35">
      <c r="C41221" s="2"/>
    </row>
    <row r="41222" spans="3:3" x14ac:dyDescent="0.35">
      <c r="C41222" s="2"/>
    </row>
    <row r="41223" spans="3:3" x14ac:dyDescent="0.35">
      <c r="C41223" s="2"/>
    </row>
    <row r="41224" spans="3:3" x14ac:dyDescent="0.35">
      <c r="C41224" s="2"/>
    </row>
    <row r="41225" spans="3:3" x14ac:dyDescent="0.35">
      <c r="C41225" s="2"/>
    </row>
    <row r="41226" spans="3:3" x14ac:dyDescent="0.35">
      <c r="C41226" s="2"/>
    </row>
    <row r="41227" spans="3:3" x14ac:dyDescent="0.35">
      <c r="C41227" s="2"/>
    </row>
    <row r="41228" spans="3:3" x14ac:dyDescent="0.35">
      <c r="C41228" s="2"/>
    </row>
    <row r="41229" spans="3:3" x14ac:dyDescent="0.35">
      <c r="C41229" s="2"/>
    </row>
    <row r="41230" spans="3:3" x14ac:dyDescent="0.35">
      <c r="C41230" s="2"/>
    </row>
    <row r="41231" spans="3:3" x14ac:dyDescent="0.35">
      <c r="C41231" s="2"/>
    </row>
    <row r="41232" spans="3:3" x14ac:dyDescent="0.35">
      <c r="C41232" s="2"/>
    </row>
    <row r="41233" spans="3:3" x14ac:dyDescent="0.35">
      <c r="C41233" s="2"/>
    </row>
    <row r="41234" spans="3:3" x14ac:dyDescent="0.35">
      <c r="C41234" s="2"/>
    </row>
    <row r="41235" spans="3:3" x14ac:dyDescent="0.35">
      <c r="C41235" s="2"/>
    </row>
    <row r="41236" spans="3:3" x14ac:dyDescent="0.35">
      <c r="C41236" s="2"/>
    </row>
    <row r="41237" spans="3:3" x14ac:dyDescent="0.35">
      <c r="C41237" s="2"/>
    </row>
    <row r="41238" spans="3:3" x14ac:dyDescent="0.35">
      <c r="C41238" s="2"/>
    </row>
    <row r="41239" spans="3:3" x14ac:dyDescent="0.35">
      <c r="C41239" s="2"/>
    </row>
    <row r="41240" spans="3:3" x14ac:dyDescent="0.35">
      <c r="C41240" s="2"/>
    </row>
    <row r="41241" spans="3:3" x14ac:dyDescent="0.35">
      <c r="C41241" s="2"/>
    </row>
    <row r="41242" spans="3:3" x14ac:dyDescent="0.35">
      <c r="C41242" s="2"/>
    </row>
    <row r="41243" spans="3:3" x14ac:dyDescent="0.35">
      <c r="C41243" s="2"/>
    </row>
    <row r="41244" spans="3:3" x14ac:dyDescent="0.35">
      <c r="C41244" s="2"/>
    </row>
    <row r="41245" spans="3:3" x14ac:dyDescent="0.35">
      <c r="C41245" s="2"/>
    </row>
    <row r="41246" spans="3:3" x14ac:dyDescent="0.35">
      <c r="C41246" s="2"/>
    </row>
    <row r="41247" spans="3:3" x14ac:dyDescent="0.35">
      <c r="C41247" s="2"/>
    </row>
    <row r="41248" spans="3:3" x14ac:dyDescent="0.35">
      <c r="C41248" s="2"/>
    </row>
    <row r="41249" spans="3:3" x14ac:dyDescent="0.35">
      <c r="C41249" s="2"/>
    </row>
    <row r="41250" spans="3:3" x14ac:dyDescent="0.35">
      <c r="C41250" s="2"/>
    </row>
    <row r="41251" spans="3:3" x14ac:dyDescent="0.35">
      <c r="C41251" s="2"/>
    </row>
    <row r="41252" spans="3:3" x14ac:dyDescent="0.35">
      <c r="C41252" s="2"/>
    </row>
    <row r="41253" spans="3:3" x14ac:dyDescent="0.35">
      <c r="C41253" s="2"/>
    </row>
    <row r="41254" spans="3:3" x14ac:dyDescent="0.35">
      <c r="C41254" s="2"/>
    </row>
    <row r="41255" spans="3:3" x14ac:dyDescent="0.35">
      <c r="C41255" s="2"/>
    </row>
    <row r="41256" spans="3:3" x14ac:dyDescent="0.35">
      <c r="C41256" s="2"/>
    </row>
    <row r="41257" spans="3:3" x14ac:dyDescent="0.35">
      <c r="C41257" s="2"/>
    </row>
    <row r="41258" spans="3:3" x14ac:dyDescent="0.35">
      <c r="C41258" s="2"/>
    </row>
    <row r="41259" spans="3:3" x14ac:dyDescent="0.35">
      <c r="C41259" s="2"/>
    </row>
    <row r="41260" spans="3:3" x14ac:dyDescent="0.35">
      <c r="C41260" s="2"/>
    </row>
    <row r="41261" spans="3:3" x14ac:dyDescent="0.35">
      <c r="C41261" s="2"/>
    </row>
    <row r="41262" spans="3:3" x14ac:dyDescent="0.35">
      <c r="C41262" s="2"/>
    </row>
    <row r="41263" spans="3:3" x14ac:dyDescent="0.35">
      <c r="C41263" s="2"/>
    </row>
    <row r="41264" spans="3:3" x14ac:dyDescent="0.35">
      <c r="C41264" s="2"/>
    </row>
    <row r="41265" spans="3:3" x14ac:dyDescent="0.35">
      <c r="C41265" s="2"/>
    </row>
    <row r="41266" spans="3:3" x14ac:dyDescent="0.35">
      <c r="C41266" s="2"/>
    </row>
    <row r="41267" spans="3:3" x14ac:dyDescent="0.35">
      <c r="C41267" s="2"/>
    </row>
    <row r="41268" spans="3:3" x14ac:dyDescent="0.35">
      <c r="C41268" s="2"/>
    </row>
    <row r="41269" spans="3:3" x14ac:dyDescent="0.35">
      <c r="C41269" s="2"/>
    </row>
    <row r="41270" spans="3:3" x14ac:dyDescent="0.35">
      <c r="C41270" s="2"/>
    </row>
    <row r="41271" spans="3:3" x14ac:dyDescent="0.35">
      <c r="C41271" s="2"/>
    </row>
    <row r="41272" spans="3:3" x14ac:dyDescent="0.35">
      <c r="C41272" s="2"/>
    </row>
    <row r="41273" spans="3:3" x14ac:dyDescent="0.35">
      <c r="C41273" s="2"/>
    </row>
    <row r="41274" spans="3:3" x14ac:dyDescent="0.35">
      <c r="C41274" s="2"/>
    </row>
    <row r="41275" spans="3:3" x14ac:dyDescent="0.35">
      <c r="C41275" s="2"/>
    </row>
    <row r="41276" spans="3:3" x14ac:dyDescent="0.35">
      <c r="C41276" s="2"/>
    </row>
    <row r="41277" spans="3:3" x14ac:dyDescent="0.35">
      <c r="C41277" s="2"/>
    </row>
    <row r="41278" spans="3:3" x14ac:dyDescent="0.35">
      <c r="C41278" s="2"/>
    </row>
    <row r="41279" spans="3:3" x14ac:dyDescent="0.35">
      <c r="C41279" s="2"/>
    </row>
    <row r="41280" spans="3:3" x14ac:dyDescent="0.35">
      <c r="C41280" s="2"/>
    </row>
    <row r="41281" spans="3:3" x14ac:dyDescent="0.35">
      <c r="C41281" s="2"/>
    </row>
    <row r="41282" spans="3:3" x14ac:dyDescent="0.35">
      <c r="C41282" s="2"/>
    </row>
    <row r="41283" spans="3:3" x14ac:dyDescent="0.35">
      <c r="C41283" s="2"/>
    </row>
    <row r="41284" spans="3:3" x14ac:dyDescent="0.35">
      <c r="C41284" s="2"/>
    </row>
    <row r="41285" spans="3:3" x14ac:dyDescent="0.35">
      <c r="C41285" s="2"/>
    </row>
    <row r="41286" spans="3:3" x14ac:dyDescent="0.35">
      <c r="C41286" s="2"/>
    </row>
    <row r="41287" spans="3:3" x14ac:dyDescent="0.35">
      <c r="C41287" s="2"/>
    </row>
    <row r="41288" spans="3:3" x14ac:dyDescent="0.35">
      <c r="C41288" s="2"/>
    </row>
    <row r="41289" spans="3:3" x14ac:dyDescent="0.35">
      <c r="C41289" s="2"/>
    </row>
    <row r="41290" spans="3:3" x14ac:dyDescent="0.35">
      <c r="C41290" s="2"/>
    </row>
    <row r="41291" spans="3:3" x14ac:dyDescent="0.35">
      <c r="C41291" s="2"/>
    </row>
    <row r="41292" spans="3:3" x14ac:dyDescent="0.35">
      <c r="C41292" s="2"/>
    </row>
    <row r="41293" spans="3:3" x14ac:dyDescent="0.35">
      <c r="C41293" s="2"/>
    </row>
    <row r="41294" spans="3:3" x14ac:dyDescent="0.35">
      <c r="C41294" s="2"/>
    </row>
    <row r="41295" spans="3:3" x14ac:dyDescent="0.35">
      <c r="C41295" s="2"/>
    </row>
    <row r="41296" spans="3:3" x14ac:dyDescent="0.35">
      <c r="C41296" s="2"/>
    </row>
    <row r="41297" spans="3:3" x14ac:dyDescent="0.35">
      <c r="C41297" s="2"/>
    </row>
    <row r="41298" spans="3:3" x14ac:dyDescent="0.35">
      <c r="C41298" s="2"/>
    </row>
    <row r="41299" spans="3:3" x14ac:dyDescent="0.35">
      <c r="C41299" s="2"/>
    </row>
    <row r="41300" spans="3:3" x14ac:dyDescent="0.35">
      <c r="C41300" s="2"/>
    </row>
    <row r="41301" spans="3:3" x14ac:dyDescent="0.35">
      <c r="C41301" s="2"/>
    </row>
    <row r="41302" spans="3:3" x14ac:dyDescent="0.35">
      <c r="C41302" s="2"/>
    </row>
    <row r="41303" spans="3:3" x14ac:dyDescent="0.35">
      <c r="C41303" s="2"/>
    </row>
    <row r="41304" spans="3:3" x14ac:dyDescent="0.35">
      <c r="C41304" s="2"/>
    </row>
    <row r="41305" spans="3:3" x14ac:dyDescent="0.35">
      <c r="C41305" s="2"/>
    </row>
    <row r="41306" spans="3:3" x14ac:dyDescent="0.35">
      <c r="C41306" s="2"/>
    </row>
    <row r="41307" spans="3:3" x14ac:dyDescent="0.35">
      <c r="C41307" s="2"/>
    </row>
    <row r="41308" spans="3:3" x14ac:dyDescent="0.35">
      <c r="C41308" s="2"/>
    </row>
    <row r="41309" spans="3:3" x14ac:dyDescent="0.35">
      <c r="C41309" s="2"/>
    </row>
    <row r="41310" spans="3:3" x14ac:dyDescent="0.35">
      <c r="C41310" s="2"/>
    </row>
    <row r="41311" spans="3:3" x14ac:dyDescent="0.35">
      <c r="C41311" s="2"/>
    </row>
    <row r="41312" spans="3:3" x14ac:dyDescent="0.35">
      <c r="C41312" s="2"/>
    </row>
    <row r="41313" spans="3:3" x14ac:dyDescent="0.35">
      <c r="C41313" s="2"/>
    </row>
    <row r="41314" spans="3:3" x14ac:dyDescent="0.35">
      <c r="C41314" s="2"/>
    </row>
    <row r="41315" spans="3:3" x14ac:dyDescent="0.35">
      <c r="C41315" s="2"/>
    </row>
    <row r="41316" spans="3:3" x14ac:dyDescent="0.35">
      <c r="C41316" s="2"/>
    </row>
    <row r="41317" spans="3:3" x14ac:dyDescent="0.35">
      <c r="C41317" s="2"/>
    </row>
    <row r="41318" spans="3:3" x14ac:dyDescent="0.35">
      <c r="C41318" s="2"/>
    </row>
    <row r="41319" spans="3:3" x14ac:dyDescent="0.35">
      <c r="C41319" s="2"/>
    </row>
    <row r="41320" spans="3:3" x14ac:dyDescent="0.35">
      <c r="C41320" s="2"/>
    </row>
    <row r="41321" spans="3:3" x14ac:dyDescent="0.35">
      <c r="C41321" s="2"/>
    </row>
    <row r="41322" spans="3:3" x14ac:dyDescent="0.35">
      <c r="C41322" s="2"/>
    </row>
    <row r="41323" spans="3:3" x14ac:dyDescent="0.35">
      <c r="C41323" s="2"/>
    </row>
    <row r="41324" spans="3:3" x14ac:dyDescent="0.35">
      <c r="C41324" s="2"/>
    </row>
    <row r="41325" spans="3:3" x14ac:dyDescent="0.35">
      <c r="C41325" s="2"/>
    </row>
    <row r="41326" spans="3:3" x14ac:dyDescent="0.35">
      <c r="C41326" s="2"/>
    </row>
    <row r="41327" spans="3:3" x14ac:dyDescent="0.35">
      <c r="C41327" s="2"/>
    </row>
    <row r="41328" spans="3:3" x14ac:dyDescent="0.35">
      <c r="C41328" s="2"/>
    </row>
    <row r="41329" spans="3:3" x14ac:dyDescent="0.35">
      <c r="C41329" s="2"/>
    </row>
    <row r="41330" spans="3:3" x14ac:dyDescent="0.35">
      <c r="C41330" s="2"/>
    </row>
    <row r="41331" spans="3:3" x14ac:dyDescent="0.35">
      <c r="C41331" s="2"/>
    </row>
    <row r="41332" spans="3:3" x14ac:dyDescent="0.35">
      <c r="C41332" s="2"/>
    </row>
    <row r="41333" spans="3:3" x14ac:dyDescent="0.35">
      <c r="C41333" s="2"/>
    </row>
    <row r="41334" spans="3:3" x14ac:dyDescent="0.35">
      <c r="C41334" s="2"/>
    </row>
    <row r="41335" spans="3:3" x14ac:dyDescent="0.35">
      <c r="C41335" s="2"/>
    </row>
    <row r="41336" spans="3:3" x14ac:dyDescent="0.35">
      <c r="C41336" s="2"/>
    </row>
    <row r="41337" spans="3:3" x14ac:dyDescent="0.35">
      <c r="C41337" s="2"/>
    </row>
    <row r="41338" spans="3:3" x14ac:dyDescent="0.35">
      <c r="C41338" s="2"/>
    </row>
    <row r="41339" spans="3:3" x14ac:dyDescent="0.35">
      <c r="C41339" s="2"/>
    </row>
    <row r="41340" spans="3:3" x14ac:dyDescent="0.35">
      <c r="C41340" s="2"/>
    </row>
    <row r="41341" spans="3:3" x14ac:dyDescent="0.35">
      <c r="C41341" s="2"/>
    </row>
    <row r="41342" spans="3:3" x14ac:dyDescent="0.35">
      <c r="C41342" s="2"/>
    </row>
    <row r="41343" spans="3:3" x14ac:dyDescent="0.35">
      <c r="C41343" s="2"/>
    </row>
    <row r="41344" spans="3:3" x14ac:dyDescent="0.35">
      <c r="C41344" s="2"/>
    </row>
    <row r="41345" spans="3:3" x14ac:dyDescent="0.35">
      <c r="C41345" s="2"/>
    </row>
    <row r="41346" spans="3:3" x14ac:dyDescent="0.35">
      <c r="C41346" s="2"/>
    </row>
    <row r="41347" spans="3:3" x14ac:dyDescent="0.35">
      <c r="C41347" s="2"/>
    </row>
    <row r="41348" spans="3:3" x14ac:dyDescent="0.35">
      <c r="C41348" s="2"/>
    </row>
    <row r="41349" spans="3:3" x14ac:dyDescent="0.35">
      <c r="C41349" s="2"/>
    </row>
    <row r="41350" spans="3:3" x14ac:dyDescent="0.35">
      <c r="C41350" s="2"/>
    </row>
    <row r="41351" spans="3:3" x14ac:dyDescent="0.35">
      <c r="C41351" s="2"/>
    </row>
    <row r="41352" spans="3:3" x14ac:dyDescent="0.35">
      <c r="C41352" s="2"/>
    </row>
    <row r="41353" spans="3:3" x14ac:dyDescent="0.35">
      <c r="C41353" s="2"/>
    </row>
    <row r="41354" spans="3:3" x14ac:dyDescent="0.35">
      <c r="C41354" s="2"/>
    </row>
    <row r="41355" spans="3:3" x14ac:dyDescent="0.35">
      <c r="C41355" s="2"/>
    </row>
    <row r="41356" spans="3:3" x14ac:dyDescent="0.35">
      <c r="C41356" s="2"/>
    </row>
    <row r="41357" spans="3:3" x14ac:dyDescent="0.35">
      <c r="C41357" s="2"/>
    </row>
    <row r="41358" spans="3:3" x14ac:dyDescent="0.35">
      <c r="C41358" s="2"/>
    </row>
    <row r="41359" spans="3:3" x14ac:dyDescent="0.35">
      <c r="C41359" s="2"/>
    </row>
    <row r="41360" spans="3:3" x14ac:dyDescent="0.35">
      <c r="C41360" s="2"/>
    </row>
    <row r="41361" spans="3:3" x14ac:dyDescent="0.35">
      <c r="C41361" s="2"/>
    </row>
    <row r="41362" spans="3:3" x14ac:dyDescent="0.35">
      <c r="C41362" s="2"/>
    </row>
    <row r="41363" spans="3:3" x14ac:dyDescent="0.35">
      <c r="C41363" s="2"/>
    </row>
    <row r="41364" spans="3:3" x14ac:dyDescent="0.35">
      <c r="C41364" s="2"/>
    </row>
    <row r="41365" spans="3:3" x14ac:dyDescent="0.35">
      <c r="C41365" s="2"/>
    </row>
    <row r="41366" spans="3:3" x14ac:dyDescent="0.35">
      <c r="C41366" s="2"/>
    </row>
    <row r="41367" spans="3:3" x14ac:dyDescent="0.35">
      <c r="C41367" s="2"/>
    </row>
    <row r="41368" spans="3:3" x14ac:dyDescent="0.35">
      <c r="C41368" s="2"/>
    </row>
    <row r="41369" spans="3:3" x14ac:dyDescent="0.35">
      <c r="C41369" s="2"/>
    </row>
    <row r="41370" spans="3:3" x14ac:dyDescent="0.35">
      <c r="C41370" s="2"/>
    </row>
    <row r="41371" spans="3:3" x14ac:dyDescent="0.35">
      <c r="C41371" s="2"/>
    </row>
    <row r="41372" spans="3:3" x14ac:dyDescent="0.35">
      <c r="C41372" s="2"/>
    </row>
    <row r="41373" spans="3:3" x14ac:dyDescent="0.35">
      <c r="C41373" s="2"/>
    </row>
    <row r="41374" spans="3:3" x14ac:dyDescent="0.35">
      <c r="C41374" s="2"/>
    </row>
    <row r="41375" spans="3:3" x14ac:dyDescent="0.35">
      <c r="C41375" s="2"/>
    </row>
    <row r="41376" spans="3:3" x14ac:dyDescent="0.35">
      <c r="C41376" s="2"/>
    </row>
    <row r="41377" spans="3:3" x14ac:dyDescent="0.35">
      <c r="C41377" s="2"/>
    </row>
    <row r="41378" spans="3:3" x14ac:dyDescent="0.35">
      <c r="C41378" s="2"/>
    </row>
    <row r="41379" spans="3:3" x14ac:dyDescent="0.35">
      <c r="C41379" s="2"/>
    </row>
    <row r="41380" spans="3:3" x14ac:dyDescent="0.35">
      <c r="C41380" s="2"/>
    </row>
    <row r="41381" spans="3:3" x14ac:dyDescent="0.35">
      <c r="C41381" s="2"/>
    </row>
    <row r="41382" spans="3:3" x14ac:dyDescent="0.35">
      <c r="C41382" s="2"/>
    </row>
    <row r="41383" spans="3:3" x14ac:dyDescent="0.35">
      <c r="C41383" s="2"/>
    </row>
    <row r="41384" spans="3:3" x14ac:dyDescent="0.35">
      <c r="C41384" s="2"/>
    </row>
    <row r="41385" spans="3:3" x14ac:dyDescent="0.35">
      <c r="C41385" s="2"/>
    </row>
    <row r="41386" spans="3:3" x14ac:dyDescent="0.35">
      <c r="C41386" s="2"/>
    </row>
    <row r="41387" spans="3:3" x14ac:dyDescent="0.35">
      <c r="C41387" s="2"/>
    </row>
    <row r="41388" spans="3:3" x14ac:dyDescent="0.35">
      <c r="C41388" s="2"/>
    </row>
    <row r="41389" spans="3:3" x14ac:dyDescent="0.35">
      <c r="C41389" s="2"/>
    </row>
    <row r="41390" spans="3:3" x14ac:dyDescent="0.35">
      <c r="C41390" s="2"/>
    </row>
    <row r="41391" spans="3:3" x14ac:dyDescent="0.35">
      <c r="C41391" s="2"/>
    </row>
    <row r="41392" spans="3:3" x14ac:dyDescent="0.35">
      <c r="C41392" s="2"/>
    </row>
    <row r="41393" spans="3:3" x14ac:dyDescent="0.35">
      <c r="C41393" s="2"/>
    </row>
    <row r="41394" spans="3:3" x14ac:dyDescent="0.35">
      <c r="C41394" s="2"/>
    </row>
    <row r="41395" spans="3:3" x14ac:dyDescent="0.35">
      <c r="C41395" s="2"/>
    </row>
    <row r="41396" spans="3:3" x14ac:dyDescent="0.35">
      <c r="C41396" s="2"/>
    </row>
    <row r="41397" spans="3:3" x14ac:dyDescent="0.35">
      <c r="C41397" s="2"/>
    </row>
    <row r="41398" spans="3:3" x14ac:dyDescent="0.35">
      <c r="C41398" s="2"/>
    </row>
    <row r="41399" spans="3:3" x14ac:dyDescent="0.35">
      <c r="C41399" s="2"/>
    </row>
    <row r="41400" spans="3:3" x14ac:dyDescent="0.35">
      <c r="C41400" s="2"/>
    </row>
    <row r="41401" spans="3:3" x14ac:dyDescent="0.35">
      <c r="C41401" s="2"/>
    </row>
    <row r="41402" spans="3:3" x14ac:dyDescent="0.35">
      <c r="C41402" s="2"/>
    </row>
    <row r="41403" spans="3:3" x14ac:dyDescent="0.35">
      <c r="C41403" s="2"/>
    </row>
    <row r="41404" spans="3:3" x14ac:dyDescent="0.35">
      <c r="C41404" s="2"/>
    </row>
    <row r="41405" spans="3:3" x14ac:dyDescent="0.35">
      <c r="C41405" s="2"/>
    </row>
    <row r="41406" spans="3:3" x14ac:dyDescent="0.35">
      <c r="C41406" s="2"/>
    </row>
    <row r="41407" spans="3:3" x14ac:dyDescent="0.35">
      <c r="C41407" s="2"/>
    </row>
    <row r="41408" spans="3:3" x14ac:dyDescent="0.35">
      <c r="C41408" s="2"/>
    </row>
    <row r="41409" spans="3:3" x14ac:dyDescent="0.35">
      <c r="C41409" s="2"/>
    </row>
    <row r="41410" spans="3:3" x14ac:dyDescent="0.35">
      <c r="C41410" s="2"/>
    </row>
    <row r="41411" spans="3:3" x14ac:dyDescent="0.35">
      <c r="C41411" s="2"/>
    </row>
    <row r="41412" spans="3:3" x14ac:dyDescent="0.35">
      <c r="C41412" s="2"/>
    </row>
    <row r="41413" spans="3:3" x14ac:dyDescent="0.35">
      <c r="C41413" s="2"/>
    </row>
    <row r="41414" spans="3:3" x14ac:dyDescent="0.35">
      <c r="C41414" s="2"/>
    </row>
    <row r="41415" spans="3:3" x14ac:dyDescent="0.35">
      <c r="C41415" s="2"/>
    </row>
    <row r="41416" spans="3:3" x14ac:dyDescent="0.35">
      <c r="C41416" s="2"/>
    </row>
    <row r="41417" spans="3:3" x14ac:dyDescent="0.35">
      <c r="C41417" s="2"/>
    </row>
    <row r="41418" spans="3:3" x14ac:dyDescent="0.35">
      <c r="C41418" s="2"/>
    </row>
    <row r="41419" spans="3:3" x14ac:dyDescent="0.35">
      <c r="C41419" s="2"/>
    </row>
    <row r="41420" spans="3:3" x14ac:dyDescent="0.35">
      <c r="C41420" s="2"/>
    </row>
    <row r="41421" spans="3:3" x14ac:dyDescent="0.35">
      <c r="C41421" s="2"/>
    </row>
    <row r="41422" spans="3:3" x14ac:dyDescent="0.35">
      <c r="C41422" s="2"/>
    </row>
    <row r="41423" spans="3:3" x14ac:dyDescent="0.35">
      <c r="C41423" s="2"/>
    </row>
    <row r="41424" spans="3:3" x14ac:dyDescent="0.35">
      <c r="C41424" s="2"/>
    </row>
    <row r="41425" spans="3:3" x14ac:dyDescent="0.35">
      <c r="C41425" s="2"/>
    </row>
    <row r="41426" spans="3:3" x14ac:dyDescent="0.35">
      <c r="C41426" s="2"/>
    </row>
    <row r="41427" spans="3:3" x14ac:dyDescent="0.35">
      <c r="C41427" s="2"/>
    </row>
    <row r="41428" spans="3:3" x14ac:dyDescent="0.35">
      <c r="C41428" s="2"/>
    </row>
    <row r="41429" spans="3:3" x14ac:dyDescent="0.35">
      <c r="C41429" s="2"/>
    </row>
    <row r="41430" spans="3:3" x14ac:dyDescent="0.35">
      <c r="C41430" s="2"/>
    </row>
    <row r="41431" spans="3:3" x14ac:dyDescent="0.35">
      <c r="C41431" s="2"/>
    </row>
    <row r="41432" spans="3:3" x14ac:dyDescent="0.35">
      <c r="C41432" s="2"/>
    </row>
    <row r="41433" spans="3:3" x14ac:dyDescent="0.35">
      <c r="C41433" s="2"/>
    </row>
    <row r="41434" spans="3:3" x14ac:dyDescent="0.35">
      <c r="C41434" s="2"/>
    </row>
    <row r="41435" spans="3:3" x14ac:dyDescent="0.35">
      <c r="C41435" s="2"/>
    </row>
    <row r="41436" spans="3:3" x14ac:dyDescent="0.35">
      <c r="C41436" s="2"/>
    </row>
    <row r="41437" spans="3:3" x14ac:dyDescent="0.35">
      <c r="C41437" s="2"/>
    </row>
    <row r="41438" spans="3:3" x14ac:dyDescent="0.35">
      <c r="C41438" s="2"/>
    </row>
    <row r="41439" spans="3:3" x14ac:dyDescent="0.35">
      <c r="C41439" s="2"/>
    </row>
    <row r="41440" spans="3:3" x14ac:dyDescent="0.35">
      <c r="C41440" s="2"/>
    </row>
    <row r="41441" spans="3:3" x14ac:dyDescent="0.35">
      <c r="C41441" s="2"/>
    </row>
    <row r="41442" spans="3:3" x14ac:dyDescent="0.35">
      <c r="C41442" s="2"/>
    </row>
    <row r="41443" spans="3:3" x14ac:dyDescent="0.35">
      <c r="C41443" s="2"/>
    </row>
    <row r="41444" spans="3:3" x14ac:dyDescent="0.35">
      <c r="C41444" s="2"/>
    </row>
    <row r="41445" spans="3:3" x14ac:dyDescent="0.35">
      <c r="C41445" s="2"/>
    </row>
    <row r="41446" spans="3:3" x14ac:dyDescent="0.35">
      <c r="C41446" s="2"/>
    </row>
    <row r="41447" spans="3:3" x14ac:dyDescent="0.35">
      <c r="C41447" s="2"/>
    </row>
    <row r="41448" spans="3:3" x14ac:dyDescent="0.35">
      <c r="C41448" s="2"/>
    </row>
    <row r="41449" spans="3:3" x14ac:dyDescent="0.35">
      <c r="C41449" s="2"/>
    </row>
    <row r="41450" spans="3:3" x14ac:dyDescent="0.35">
      <c r="C41450" s="2"/>
    </row>
    <row r="41451" spans="3:3" x14ac:dyDescent="0.35">
      <c r="C41451" s="2"/>
    </row>
    <row r="41452" spans="3:3" x14ac:dyDescent="0.35">
      <c r="C41452" s="2"/>
    </row>
    <row r="41453" spans="3:3" x14ac:dyDescent="0.35">
      <c r="C41453" s="2"/>
    </row>
    <row r="41454" spans="3:3" x14ac:dyDescent="0.35">
      <c r="C41454" s="2"/>
    </row>
    <row r="41455" spans="3:3" x14ac:dyDescent="0.35">
      <c r="C41455" s="2"/>
    </row>
    <row r="41456" spans="3:3" x14ac:dyDescent="0.35">
      <c r="C41456" s="2"/>
    </row>
    <row r="41457" spans="3:3" x14ac:dyDescent="0.35">
      <c r="C41457" s="2"/>
    </row>
    <row r="41458" spans="3:3" x14ac:dyDescent="0.35">
      <c r="C41458" s="2"/>
    </row>
    <row r="41459" spans="3:3" x14ac:dyDescent="0.35">
      <c r="C41459" s="2"/>
    </row>
    <row r="41460" spans="3:3" x14ac:dyDescent="0.35">
      <c r="C41460" s="2"/>
    </row>
    <row r="41461" spans="3:3" x14ac:dyDescent="0.35">
      <c r="C41461" s="2"/>
    </row>
    <row r="41462" spans="3:3" x14ac:dyDescent="0.35">
      <c r="C41462" s="2"/>
    </row>
    <row r="41463" spans="3:3" x14ac:dyDescent="0.35">
      <c r="C41463" s="2"/>
    </row>
    <row r="41464" spans="3:3" x14ac:dyDescent="0.35">
      <c r="C41464" s="2"/>
    </row>
    <row r="41465" spans="3:3" x14ac:dyDescent="0.35">
      <c r="C41465" s="2"/>
    </row>
    <row r="41466" spans="3:3" x14ac:dyDescent="0.35">
      <c r="C41466" s="2"/>
    </row>
    <row r="41467" spans="3:3" x14ac:dyDescent="0.35">
      <c r="C41467" s="2"/>
    </row>
    <row r="41468" spans="3:3" x14ac:dyDescent="0.35">
      <c r="C41468" s="2"/>
    </row>
    <row r="41469" spans="3:3" x14ac:dyDescent="0.35">
      <c r="C41469" s="2"/>
    </row>
    <row r="41470" spans="3:3" x14ac:dyDescent="0.35">
      <c r="C41470" s="2"/>
    </row>
    <row r="41471" spans="3:3" x14ac:dyDescent="0.35">
      <c r="C41471" s="2"/>
    </row>
    <row r="41472" spans="3:3" x14ac:dyDescent="0.35">
      <c r="C41472" s="2"/>
    </row>
    <row r="41473" spans="3:3" x14ac:dyDescent="0.35">
      <c r="C41473" s="2"/>
    </row>
    <row r="41474" spans="3:3" x14ac:dyDescent="0.35">
      <c r="C41474" s="2"/>
    </row>
    <row r="41475" spans="3:3" x14ac:dyDescent="0.35">
      <c r="C41475" s="2"/>
    </row>
    <row r="41476" spans="3:3" x14ac:dyDescent="0.35">
      <c r="C41476" s="2"/>
    </row>
    <row r="41477" spans="3:3" x14ac:dyDescent="0.35">
      <c r="C41477" s="2"/>
    </row>
    <row r="41478" spans="3:3" x14ac:dyDescent="0.35">
      <c r="C41478" s="2"/>
    </row>
    <row r="41479" spans="3:3" x14ac:dyDescent="0.35">
      <c r="C41479" s="2"/>
    </row>
    <row r="41480" spans="3:3" x14ac:dyDescent="0.35">
      <c r="C41480" s="2"/>
    </row>
    <row r="41481" spans="3:3" x14ac:dyDescent="0.35">
      <c r="C41481" s="2"/>
    </row>
    <row r="41482" spans="3:3" x14ac:dyDescent="0.35">
      <c r="C41482" s="2"/>
    </row>
    <row r="41483" spans="3:3" x14ac:dyDescent="0.35">
      <c r="C41483" s="2"/>
    </row>
    <row r="41484" spans="3:3" x14ac:dyDescent="0.35">
      <c r="C41484" s="2"/>
    </row>
    <row r="41485" spans="3:3" x14ac:dyDescent="0.35">
      <c r="C41485" s="2"/>
    </row>
    <row r="41486" spans="3:3" x14ac:dyDescent="0.35">
      <c r="C41486" s="2"/>
    </row>
    <row r="41487" spans="3:3" x14ac:dyDescent="0.35">
      <c r="C41487" s="2"/>
    </row>
    <row r="41488" spans="3:3" x14ac:dyDescent="0.35">
      <c r="C41488" s="2"/>
    </row>
    <row r="41489" spans="3:3" x14ac:dyDescent="0.35">
      <c r="C41489" s="2"/>
    </row>
    <row r="41490" spans="3:3" x14ac:dyDescent="0.35">
      <c r="C41490" s="2"/>
    </row>
    <row r="41491" spans="3:3" x14ac:dyDescent="0.35">
      <c r="C41491" s="2"/>
    </row>
    <row r="41492" spans="3:3" x14ac:dyDescent="0.35">
      <c r="C41492" s="2"/>
    </row>
    <row r="41493" spans="3:3" x14ac:dyDescent="0.35">
      <c r="C41493" s="2"/>
    </row>
    <row r="41494" spans="3:3" x14ac:dyDescent="0.35">
      <c r="C41494" s="2"/>
    </row>
    <row r="41495" spans="3:3" x14ac:dyDescent="0.35">
      <c r="C41495" s="2"/>
    </row>
    <row r="41496" spans="3:3" x14ac:dyDescent="0.35">
      <c r="C41496" s="2"/>
    </row>
    <row r="41497" spans="3:3" x14ac:dyDescent="0.35">
      <c r="C41497" s="2"/>
    </row>
    <row r="41498" spans="3:3" x14ac:dyDescent="0.35">
      <c r="C41498" s="2"/>
    </row>
    <row r="41499" spans="3:3" x14ac:dyDescent="0.35">
      <c r="C41499" s="2"/>
    </row>
    <row r="41500" spans="3:3" x14ac:dyDescent="0.35">
      <c r="C41500" s="2"/>
    </row>
    <row r="41501" spans="3:3" x14ac:dyDescent="0.35">
      <c r="C41501" s="2"/>
    </row>
    <row r="41502" spans="3:3" x14ac:dyDescent="0.35">
      <c r="C41502" s="2"/>
    </row>
    <row r="41503" spans="3:3" x14ac:dyDescent="0.35">
      <c r="C41503" s="2"/>
    </row>
    <row r="41504" spans="3:3" x14ac:dyDescent="0.35">
      <c r="C41504" s="2"/>
    </row>
    <row r="41505" spans="3:3" x14ac:dyDescent="0.35">
      <c r="C41505" s="2"/>
    </row>
    <row r="41506" spans="3:3" x14ac:dyDescent="0.35">
      <c r="C41506" s="2"/>
    </row>
    <row r="41507" spans="3:3" x14ac:dyDescent="0.35">
      <c r="C41507" s="2"/>
    </row>
    <row r="41508" spans="3:3" x14ac:dyDescent="0.35">
      <c r="C41508" s="2"/>
    </row>
    <row r="41509" spans="3:3" x14ac:dyDescent="0.35">
      <c r="C41509" s="2"/>
    </row>
    <row r="41510" spans="3:3" x14ac:dyDescent="0.35">
      <c r="C41510" s="2"/>
    </row>
    <row r="41511" spans="3:3" x14ac:dyDescent="0.35">
      <c r="C41511" s="2"/>
    </row>
    <row r="41512" spans="3:3" x14ac:dyDescent="0.35">
      <c r="C41512" s="2"/>
    </row>
    <row r="41513" spans="3:3" x14ac:dyDescent="0.35">
      <c r="C41513" s="2"/>
    </row>
    <row r="41514" spans="3:3" x14ac:dyDescent="0.35">
      <c r="C41514" s="2"/>
    </row>
    <row r="41515" spans="3:3" x14ac:dyDescent="0.35">
      <c r="C41515" s="2"/>
    </row>
    <row r="41516" spans="3:3" x14ac:dyDescent="0.35">
      <c r="C41516" s="2"/>
    </row>
    <row r="41517" spans="3:3" x14ac:dyDescent="0.35">
      <c r="C41517" s="2"/>
    </row>
    <row r="41518" spans="3:3" x14ac:dyDescent="0.35">
      <c r="C41518" s="2"/>
    </row>
    <row r="41519" spans="3:3" x14ac:dyDescent="0.35">
      <c r="C41519" s="2"/>
    </row>
    <row r="41520" spans="3:3" x14ac:dyDescent="0.35">
      <c r="C41520" s="2"/>
    </row>
    <row r="41521" spans="3:3" x14ac:dyDescent="0.35">
      <c r="C41521" s="2"/>
    </row>
    <row r="41522" spans="3:3" x14ac:dyDescent="0.35">
      <c r="C41522" s="2"/>
    </row>
    <row r="41523" spans="3:3" x14ac:dyDescent="0.35">
      <c r="C41523" s="2"/>
    </row>
    <row r="41524" spans="3:3" x14ac:dyDescent="0.35">
      <c r="C41524" s="2"/>
    </row>
    <row r="41525" spans="3:3" x14ac:dyDescent="0.35">
      <c r="C41525" s="2"/>
    </row>
    <row r="41526" spans="3:3" x14ac:dyDescent="0.35">
      <c r="C41526" s="2"/>
    </row>
    <row r="41527" spans="3:3" x14ac:dyDescent="0.35">
      <c r="C41527" s="2"/>
    </row>
    <row r="41528" spans="3:3" x14ac:dyDescent="0.35">
      <c r="C41528" s="2"/>
    </row>
    <row r="41529" spans="3:3" x14ac:dyDescent="0.35">
      <c r="C41529" s="2"/>
    </row>
    <row r="41530" spans="3:3" x14ac:dyDescent="0.35">
      <c r="C41530" s="2"/>
    </row>
    <row r="41531" spans="3:3" x14ac:dyDescent="0.35">
      <c r="C41531" s="2"/>
    </row>
    <row r="41532" spans="3:3" x14ac:dyDescent="0.35">
      <c r="C41532" s="2"/>
    </row>
    <row r="41533" spans="3:3" x14ac:dyDescent="0.35">
      <c r="C41533" s="2"/>
    </row>
    <row r="41534" spans="3:3" x14ac:dyDescent="0.35">
      <c r="C41534" s="2"/>
    </row>
    <row r="41535" spans="3:3" x14ac:dyDescent="0.35">
      <c r="C41535" s="2"/>
    </row>
    <row r="41536" spans="3:3" x14ac:dyDescent="0.35">
      <c r="C41536" s="2"/>
    </row>
    <row r="41537" spans="3:3" x14ac:dyDescent="0.35">
      <c r="C41537" s="2"/>
    </row>
    <row r="41538" spans="3:3" x14ac:dyDescent="0.35">
      <c r="C41538" s="2"/>
    </row>
    <row r="41539" spans="3:3" x14ac:dyDescent="0.35">
      <c r="C41539" s="2"/>
    </row>
    <row r="41540" spans="3:3" x14ac:dyDescent="0.35">
      <c r="C41540" s="2"/>
    </row>
    <row r="41541" spans="3:3" x14ac:dyDescent="0.35">
      <c r="C41541" s="2"/>
    </row>
    <row r="41542" spans="3:3" x14ac:dyDescent="0.35">
      <c r="C41542" s="2"/>
    </row>
    <row r="41543" spans="3:3" x14ac:dyDescent="0.35">
      <c r="C41543" s="2"/>
    </row>
    <row r="41544" spans="3:3" x14ac:dyDescent="0.35">
      <c r="C41544" s="2"/>
    </row>
    <row r="41545" spans="3:3" x14ac:dyDescent="0.35">
      <c r="C41545" s="2"/>
    </row>
    <row r="41546" spans="3:3" x14ac:dyDescent="0.35">
      <c r="C41546" s="2"/>
    </row>
    <row r="41547" spans="3:3" x14ac:dyDescent="0.35">
      <c r="C41547" s="2"/>
    </row>
    <row r="41548" spans="3:3" x14ac:dyDescent="0.35">
      <c r="C41548" s="2"/>
    </row>
    <row r="41549" spans="3:3" x14ac:dyDescent="0.35">
      <c r="C41549" s="2"/>
    </row>
    <row r="41550" spans="3:3" x14ac:dyDescent="0.35">
      <c r="C41550" s="2"/>
    </row>
    <row r="41551" spans="3:3" x14ac:dyDescent="0.35">
      <c r="C41551" s="2"/>
    </row>
    <row r="41552" spans="3:3" x14ac:dyDescent="0.35">
      <c r="C41552" s="2"/>
    </row>
    <row r="41553" spans="3:3" x14ac:dyDescent="0.35">
      <c r="C41553" s="2"/>
    </row>
    <row r="41554" spans="3:3" x14ac:dyDescent="0.35">
      <c r="C41554" s="2"/>
    </row>
    <row r="41555" spans="3:3" x14ac:dyDescent="0.35">
      <c r="C41555" s="2"/>
    </row>
    <row r="41556" spans="3:3" x14ac:dyDescent="0.35">
      <c r="C41556" s="2"/>
    </row>
    <row r="41557" spans="3:3" x14ac:dyDescent="0.35">
      <c r="C41557" s="2"/>
    </row>
    <row r="41558" spans="3:3" x14ac:dyDescent="0.35">
      <c r="C41558" s="2"/>
    </row>
    <row r="41559" spans="3:3" x14ac:dyDescent="0.35">
      <c r="C41559" s="2"/>
    </row>
    <row r="41560" spans="3:3" x14ac:dyDescent="0.35">
      <c r="C41560" s="2"/>
    </row>
    <row r="41561" spans="3:3" x14ac:dyDescent="0.35">
      <c r="C41561" s="2"/>
    </row>
    <row r="41562" spans="3:3" x14ac:dyDescent="0.35">
      <c r="C41562" s="2"/>
    </row>
    <row r="41563" spans="3:3" x14ac:dyDescent="0.35">
      <c r="C41563" s="2"/>
    </row>
    <row r="41564" spans="3:3" x14ac:dyDescent="0.35">
      <c r="C41564" s="2"/>
    </row>
    <row r="41565" spans="3:3" x14ac:dyDescent="0.35">
      <c r="C41565" s="2"/>
    </row>
    <row r="41566" spans="3:3" x14ac:dyDescent="0.35">
      <c r="C41566" s="2"/>
    </row>
    <row r="41567" spans="3:3" x14ac:dyDescent="0.35">
      <c r="C41567" s="2"/>
    </row>
    <row r="41568" spans="3:3" x14ac:dyDescent="0.35">
      <c r="C41568" s="2"/>
    </row>
    <row r="41569" spans="3:3" x14ac:dyDescent="0.35">
      <c r="C41569" s="2"/>
    </row>
    <row r="41570" spans="3:3" x14ac:dyDescent="0.35">
      <c r="C41570" s="2"/>
    </row>
    <row r="41571" spans="3:3" x14ac:dyDescent="0.35">
      <c r="C41571" s="2"/>
    </row>
    <row r="41572" spans="3:3" x14ac:dyDescent="0.35">
      <c r="C41572" s="2"/>
    </row>
    <row r="41573" spans="3:3" x14ac:dyDescent="0.35">
      <c r="C41573" s="2"/>
    </row>
    <row r="41574" spans="3:3" x14ac:dyDescent="0.35">
      <c r="C41574" s="2"/>
    </row>
    <row r="41575" spans="3:3" x14ac:dyDescent="0.35">
      <c r="C41575" s="2"/>
    </row>
    <row r="41576" spans="3:3" x14ac:dyDescent="0.35">
      <c r="C41576" s="2"/>
    </row>
    <row r="41577" spans="3:3" x14ac:dyDescent="0.35">
      <c r="C41577" s="2"/>
    </row>
    <row r="41578" spans="3:3" x14ac:dyDescent="0.35">
      <c r="C41578" s="2"/>
    </row>
    <row r="41579" spans="3:3" x14ac:dyDescent="0.35">
      <c r="C41579" s="2"/>
    </row>
    <row r="41580" spans="3:3" x14ac:dyDescent="0.35">
      <c r="C41580" s="2"/>
    </row>
    <row r="41581" spans="3:3" x14ac:dyDescent="0.35">
      <c r="C41581" s="2"/>
    </row>
    <row r="41582" spans="3:3" x14ac:dyDescent="0.35">
      <c r="C41582" s="2"/>
    </row>
    <row r="41583" spans="3:3" x14ac:dyDescent="0.35">
      <c r="C41583" s="2"/>
    </row>
    <row r="41584" spans="3:3" x14ac:dyDescent="0.35">
      <c r="C41584" s="2"/>
    </row>
    <row r="41585" spans="3:3" x14ac:dyDescent="0.35">
      <c r="C41585" s="2"/>
    </row>
    <row r="41586" spans="3:3" x14ac:dyDescent="0.35">
      <c r="C41586" s="2"/>
    </row>
    <row r="41587" spans="3:3" x14ac:dyDescent="0.35">
      <c r="C41587" s="2"/>
    </row>
    <row r="41588" spans="3:3" x14ac:dyDescent="0.35">
      <c r="C41588" s="2"/>
    </row>
    <row r="41589" spans="3:3" x14ac:dyDescent="0.35">
      <c r="C41589" s="2"/>
    </row>
    <row r="41590" spans="3:3" x14ac:dyDescent="0.35">
      <c r="C41590" s="2"/>
    </row>
    <row r="41591" spans="3:3" x14ac:dyDescent="0.35">
      <c r="C41591" s="2"/>
    </row>
    <row r="41592" spans="3:3" x14ac:dyDescent="0.35">
      <c r="C41592" s="2"/>
    </row>
    <row r="41593" spans="3:3" x14ac:dyDescent="0.35">
      <c r="C41593" s="2"/>
    </row>
    <row r="41594" spans="3:3" x14ac:dyDescent="0.35">
      <c r="C41594" s="2"/>
    </row>
    <row r="41595" spans="3:3" x14ac:dyDescent="0.35">
      <c r="C41595" s="2"/>
    </row>
    <row r="41596" spans="3:3" x14ac:dyDescent="0.35">
      <c r="C41596" s="2"/>
    </row>
    <row r="41597" spans="3:3" x14ac:dyDescent="0.35">
      <c r="C41597" s="2"/>
    </row>
    <row r="41598" spans="3:3" x14ac:dyDescent="0.35">
      <c r="C41598" s="2"/>
    </row>
    <row r="41599" spans="3:3" x14ac:dyDescent="0.35">
      <c r="C41599" s="2"/>
    </row>
    <row r="41600" spans="3:3" x14ac:dyDescent="0.35">
      <c r="C41600" s="2"/>
    </row>
    <row r="41601" spans="3:3" x14ac:dyDescent="0.35">
      <c r="C41601" s="2"/>
    </row>
    <row r="41602" spans="3:3" x14ac:dyDescent="0.35">
      <c r="C41602" s="2"/>
    </row>
    <row r="41603" spans="3:3" x14ac:dyDescent="0.35">
      <c r="C41603" s="2"/>
    </row>
    <row r="41604" spans="3:3" x14ac:dyDescent="0.35">
      <c r="C41604" s="2"/>
    </row>
    <row r="41605" spans="3:3" x14ac:dyDescent="0.35">
      <c r="C41605" s="2"/>
    </row>
    <row r="41606" spans="3:3" x14ac:dyDescent="0.35">
      <c r="C41606" s="2"/>
    </row>
    <row r="41607" spans="3:3" x14ac:dyDescent="0.35">
      <c r="C41607" s="2"/>
    </row>
    <row r="41608" spans="3:3" x14ac:dyDescent="0.35">
      <c r="C41608" s="2"/>
    </row>
    <row r="41609" spans="3:3" x14ac:dyDescent="0.35">
      <c r="C41609" s="2"/>
    </row>
    <row r="41610" spans="3:3" x14ac:dyDescent="0.35">
      <c r="C41610" s="2"/>
    </row>
    <row r="41611" spans="3:3" x14ac:dyDescent="0.35">
      <c r="C41611" s="2"/>
    </row>
    <row r="41612" spans="3:3" x14ac:dyDescent="0.35">
      <c r="C41612" s="2"/>
    </row>
    <row r="41613" spans="3:3" x14ac:dyDescent="0.35">
      <c r="C41613" s="2"/>
    </row>
    <row r="41614" spans="3:3" x14ac:dyDescent="0.35">
      <c r="C41614" s="2"/>
    </row>
    <row r="41615" spans="3:3" x14ac:dyDescent="0.35">
      <c r="C41615" s="2"/>
    </row>
    <row r="41616" spans="3:3" x14ac:dyDescent="0.35">
      <c r="C41616" s="2"/>
    </row>
    <row r="41617" spans="3:3" x14ac:dyDescent="0.35">
      <c r="C41617" s="2"/>
    </row>
    <row r="41618" spans="3:3" x14ac:dyDescent="0.35">
      <c r="C41618" s="2"/>
    </row>
    <row r="41619" spans="3:3" x14ac:dyDescent="0.35">
      <c r="C41619" s="2"/>
    </row>
    <row r="41620" spans="3:3" x14ac:dyDescent="0.35">
      <c r="C41620" s="2"/>
    </row>
    <row r="41621" spans="3:3" x14ac:dyDescent="0.35">
      <c r="C41621" s="2"/>
    </row>
    <row r="41622" spans="3:3" x14ac:dyDescent="0.35">
      <c r="C41622" s="2"/>
    </row>
    <row r="41623" spans="3:3" x14ac:dyDescent="0.35">
      <c r="C41623" s="2"/>
    </row>
    <row r="41624" spans="3:3" x14ac:dyDescent="0.35">
      <c r="C41624" s="2"/>
    </row>
    <row r="41625" spans="3:3" x14ac:dyDescent="0.35">
      <c r="C41625" s="2"/>
    </row>
    <row r="41626" spans="3:3" x14ac:dyDescent="0.35">
      <c r="C41626" s="2"/>
    </row>
    <row r="41627" spans="3:3" x14ac:dyDescent="0.35">
      <c r="C41627" s="2"/>
    </row>
    <row r="41628" spans="3:3" x14ac:dyDescent="0.35">
      <c r="C41628" s="2"/>
    </row>
    <row r="41629" spans="3:3" x14ac:dyDescent="0.35">
      <c r="C41629" s="2"/>
    </row>
    <row r="41630" spans="3:3" x14ac:dyDescent="0.35">
      <c r="C41630" s="2"/>
    </row>
    <row r="41631" spans="3:3" x14ac:dyDescent="0.35">
      <c r="C41631" s="2"/>
    </row>
    <row r="41632" spans="3:3" x14ac:dyDescent="0.35">
      <c r="C41632" s="2"/>
    </row>
    <row r="41633" spans="3:3" x14ac:dyDescent="0.35">
      <c r="C41633" s="2"/>
    </row>
    <row r="41634" spans="3:3" x14ac:dyDescent="0.35">
      <c r="C41634" s="2"/>
    </row>
    <row r="41635" spans="3:3" x14ac:dyDescent="0.35">
      <c r="C41635" s="2"/>
    </row>
    <row r="41636" spans="3:3" x14ac:dyDescent="0.35">
      <c r="C41636" s="2"/>
    </row>
    <row r="41637" spans="3:3" x14ac:dyDescent="0.35">
      <c r="C41637" s="2"/>
    </row>
    <row r="41638" spans="3:3" x14ac:dyDescent="0.35">
      <c r="C41638" s="2"/>
    </row>
    <row r="41639" spans="3:3" x14ac:dyDescent="0.35">
      <c r="C41639" s="2"/>
    </row>
    <row r="41640" spans="3:3" x14ac:dyDescent="0.35">
      <c r="C41640" s="2"/>
    </row>
    <row r="41641" spans="3:3" x14ac:dyDescent="0.35">
      <c r="C41641" s="2"/>
    </row>
    <row r="41642" spans="3:3" x14ac:dyDescent="0.35">
      <c r="C41642" s="2"/>
    </row>
    <row r="41643" spans="3:3" x14ac:dyDescent="0.35">
      <c r="C41643" s="2"/>
    </row>
    <row r="41644" spans="3:3" x14ac:dyDescent="0.35">
      <c r="C41644" s="2"/>
    </row>
    <row r="41645" spans="3:3" x14ac:dyDescent="0.35">
      <c r="C41645" s="2"/>
    </row>
    <row r="41646" spans="3:3" x14ac:dyDescent="0.35">
      <c r="C41646" s="2"/>
    </row>
    <row r="41647" spans="3:3" x14ac:dyDescent="0.35">
      <c r="C41647" s="2"/>
    </row>
    <row r="41648" spans="3:3" x14ac:dyDescent="0.35">
      <c r="C41648" s="2"/>
    </row>
    <row r="41649" spans="3:3" x14ac:dyDescent="0.35">
      <c r="C41649" s="2"/>
    </row>
    <row r="41650" spans="3:3" x14ac:dyDescent="0.35">
      <c r="C41650" s="2"/>
    </row>
    <row r="41651" spans="3:3" x14ac:dyDescent="0.35">
      <c r="C41651" s="2"/>
    </row>
    <row r="41652" spans="3:3" x14ac:dyDescent="0.35">
      <c r="C41652" s="2"/>
    </row>
    <row r="41653" spans="3:3" x14ac:dyDescent="0.35">
      <c r="C41653" s="2"/>
    </row>
    <row r="41654" spans="3:3" x14ac:dyDescent="0.35">
      <c r="C41654" s="2"/>
    </row>
    <row r="41655" spans="3:3" x14ac:dyDescent="0.35">
      <c r="C41655" s="2"/>
    </row>
    <row r="41656" spans="3:3" x14ac:dyDescent="0.35">
      <c r="C41656" s="2"/>
    </row>
    <row r="41657" spans="3:3" x14ac:dyDescent="0.35">
      <c r="C41657" s="2"/>
    </row>
    <row r="41658" spans="3:3" x14ac:dyDescent="0.35">
      <c r="C41658" s="2"/>
    </row>
    <row r="41659" spans="3:3" x14ac:dyDescent="0.35">
      <c r="C41659" s="2"/>
    </row>
    <row r="41660" spans="3:3" x14ac:dyDescent="0.35">
      <c r="C41660" s="2"/>
    </row>
    <row r="41661" spans="3:3" x14ac:dyDescent="0.35">
      <c r="C41661" s="2"/>
    </row>
    <row r="41662" spans="3:3" x14ac:dyDescent="0.35">
      <c r="C41662" s="2"/>
    </row>
    <row r="41663" spans="3:3" x14ac:dyDescent="0.35">
      <c r="C41663" s="2"/>
    </row>
    <row r="41664" spans="3:3" x14ac:dyDescent="0.35">
      <c r="C41664" s="2"/>
    </row>
    <row r="41665" spans="3:3" x14ac:dyDescent="0.35">
      <c r="C41665" s="2"/>
    </row>
    <row r="41666" spans="3:3" x14ac:dyDescent="0.35">
      <c r="C41666" s="2"/>
    </row>
    <row r="41667" spans="3:3" x14ac:dyDescent="0.35">
      <c r="C41667" s="2"/>
    </row>
    <row r="41668" spans="3:3" x14ac:dyDescent="0.35">
      <c r="C41668" s="2"/>
    </row>
    <row r="41669" spans="3:3" x14ac:dyDescent="0.35">
      <c r="C41669" s="2"/>
    </row>
    <row r="41670" spans="3:3" x14ac:dyDescent="0.35">
      <c r="C41670" s="2"/>
    </row>
    <row r="41671" spans="3:3" x14ac:dyDescent="0.35">
      <c r="C41671" s="2"/>
    </row>
    <row r="41672" spans="3:3" x14ac:dyDescent="0.35">
      <c r="C41672" s="2"/>
    </row>
    <row r="41673" spans="3:3" x14ac:dyDescent="0.35">
      <c r="C41673" s="2"/>
    </row>
    <row r="41674" spans="3:3" x14ac:dyDescent="0.35">
      <c r="C41674" s="2"/>
    </row>
    <row r="41675" spans="3:3" x14ac:dyDescent="0.35">
      <c r="C41675" s="2"/>
    </row>
    <row r="41676" spans="3:3" x14ac:dyDescent="0.35">
      <c r="C41676" s="2"/>
    </row>
    <row r="41677" spans="3:3" x14ac:dyDescent="0.35">
      <c r="C41677" s="2"/>
    </row>
    <row r="41678" spans="3:3" x14ac:dyDescent="0.35">
      <c r="C41678" s="2"/>
    </row>
    <row r="41679" spans="3:3" x14ac:dyDescent="0.35">
      <c r="C41679" s="2"/>
    </row>
    <row r="41680" spans="3:3" x14ac:dyDescent="0.35">
      <c r="C41680" s="2"/>
    </row>
    <row r="41681" spans="3:3" x14ac:dyDescent="0.35">
      <c r="C41681" s="2"/>
    </row>
    <row r="41682" spans="3:3" x14ac:dyDescent="0.35">
      <c r="C41682" s="2"/>
    </row>
    <row r="41683" spans="3:3" x14ac:dyDescent="0.35">
      <c r="C41683" s="2"/>
    </row>
    <row r="41684" spans="3:3" x14ac:dyDescent="0.35">
      <c r="C41684" s="2"/>
    </row>
    <row r="41685" spans="3:3" x14ac:dyDescent="0.35">
      <c r="C41685" s="2"/>
    </row>
    <row r="41686" spans="3:3" x14ac:dyDescent="0.35">
      <c r="C41686" s="2"/>
    </row>
    <row r="41687" spans="3:3" x14ac:dyDescent="0.35">
      <c r="C41687" s="2"/>
    </row>
    <row r="41688" spans="3:3" x14ac:dyDescent="0.35">
      <c r="C41688" s="2"/>
    </row>
    <row r="41689" spans="3:3" x14ac:dyDescent="0.35">
      <c r="C41689" s="2"/>
    </row>
    <row r="41690" spans="3:3" x14ac:dyDescent="0.35">
      <c r="C41690" s="2"/>
    </row>
    <row r="41691" spans="3:3" x14ac:dyDescent="0.35">
      <c r="C41691" s="2"/>
    </row>
    <row r="41692" spans="3:3" x14ac:dyDescent="0.35">
      <c r="C41692" s="2"/>
    </row>
    <row r="41693" spans="3:3" x14ac:dyDescent="0.35">
      <c r="C41693" s="2"/>
    </row>
    <row r="41694" spans="3:3" x14ac:dyDescent="0.35">
      <c r="C41694" s="2"/>
    </row>
    <row r="41695" spans="3:3" x14ac:dyDescent="0.35">
      <c r="C41695" s="2"/>
    </row>
    <row r="41696" spans="3:3" x14ac:dyDescent="0.35">
      <c r="C41696" s="2"/>
    </row>
    <row r="41697" spans="3:3" x14ac:dyDescent="0.35">
      <c r="C41697" s="2"/>
    </row>
    <row r="41698" spans="3:3" x14ac:dyDescent="0.35">
      <c r="C41698" s="2"/>
    </row>
    <row r="41699" spans="3:3" x14ac:dyDescent="0.35">
      <c r="C41699" s="2"/>
    </row>
    <row r="41700" spans="3:3" x14ac:dyDescent="0.35">
      <c r="C41700" s="2"/>
    </row>
    <row r="41701" spans="3:3" x14ac:dyDescent="0.35">
      <c r="C41701" s="2"/>
    </row>
    <row r="41702" spans="3:3" x14ac:dyDescent="0.35">
      <c r="C41702" s="2"/>
    </row>
    <row r="41703" spans="3:3" x14ac:dyDescent="0.35">
      <c r="C41703" s="2"/>
    </row>
    <row r="41704" spans="3:3" x14ac:dyDescent="0.35">
      <c r="C41704" s="2"/>
    </row>
    <row r="41705" spans="3:3" x14ac:dyDescent="0.35">
      <c r="C41705" s="2"/>
    </row>
    <row r="41706" spans="3:3" x14ac:dyDescent="0.35">
      <c r="C41706" s="2"/>
    </row>
    <row r="41707" spans="3:3" x14ac:dyDescent="0.35">
      <c r="C41707" s="2"/>
    </row>
    <row r="41708" spans="3:3" x14ac:dyDescent="0.35">
      <c r="C41708" s="2"/>
    </row>
    <row r="41709" spans="3:3" x14ac:dyDescent="0.35">
      <c r="C41709" s="2"/>
    </row>
    <row r="41710" spans="3:3" x14ac:dyDescent="0.35">
      <c r="C41710" s="2"/>
    </row>
    <row r="41711" spans="3:3" x14ac:dyDescent="0.35">
      <c r="C41711" s="2"/>
    </row>
    <row r="41712" spans="3:3" x14ac:dyDescent="0.35">
      <c r="C41712" s="2"/>
    </row>
    <row r="41713" spans="3:3" x14ac:dyDescent="0.35">
      <c r="C41713" s="2"/>
    </row>
    <row r="41714" spans="3:3" x14ac:dyDescent="0.35">
      <c r="C41714" s="2"/>
    </row>
    <row r="41715" spans="3:3" x14ac:dyDescent="0.35">
      <c r="C41715" s="2"/>
    </row>
    <row r="41716" spans="3:3" x14ac:dyDescent="0.35">
      <c r="C41716" s="2"/>
    </row>
    <row r="41717" spans="3:3" x14ac:dyDescent="0.35">
      <c r="C41717" s="2"/>
    </row>
    <row r="41718" spans="3:3" x14ac:dyDescent="0.35">
      <c r="C41718" s="2"/>
    </row>
    <row r="41719" spans="3:3" x14ac:dyDescent="0.35">
      <c r="C41719" s="2"/>
    </row>
    <row r="41720" spans="3:3" x14ac:dyDescent="0.35">
      <c r="C41720" s="2"/>
    </row>
    <row r="41721" spans="3:3" x14ac:dyDescent="0.35">
      <c r="C41721" s="2"/>
    </row>
    <row r="41722" spans="3:3" x14ac:dyDescent="0.35">
      <c r="C41722" s="2"/>
    </row>
    <row r="41723" spans="3:3" x14ac:dyDescent="0.35">
      <c r="C41723" s="2"/>
    </row>
    <row r="41724" spans="3:3" x14ac:dyDescent="0.35">
      <c r="C41724" s="2"/>
    </row>
    <row r="41725" spans="3:3" x14ac:dyDescent="0.35">
      <c r="C41725" s="2"/>
    </row>
    <row r="41726" spans="3:3" x14ac:dyDescent="0.35">
      <c r="C41726" s="2"/>
    </row>
    <row r="41727" spans="3:3" x14ac:dyDescent="0.35">
      <c r="C41727" s="2"/>
    </row>
    <row r="41728" spans="3:3" x14ac:dyDescent="0.35">
      <c r="C41728" s="2"/>
    </row>
    <row r="41729" spans="3:3" x14ac:dyDescent="0.35">
      <c r="C41729" s="2"/>
    </row>
    <row r="41730" spans="3:3" x14ac:dyDescent="0.35">
      <c r="C41730" s="2"/>
    </row>
    <row r="41731" spans="3:3" x14ac:dyDescent="0.35">
      <c r="C41731" s="2"/>
    </row>
    <row r="41732" spans="3:3" x14ac:dyDescent="0.35">
      <c r="C41732" s="2"/>
    </row>
    <row r="41733" spans="3:3" x14ac:dyDescent="0.35">
      <c r="C41733" s="2"/>
    </row>
    <row r="41734" spans="3:3" x14ac:dyDescent="0.35">
      <c r="C41734" s="2"/>
    </row>
    <row r="41735" spans="3:3" x14ac:dyDescent="0.35">
      <c r="C41735" s="2"/>
    </row>
    <row r="41736" spans="3:3" x14ac:dyDescent="0.35">
      <c r="C41736" s="2"/>
    </row>
    <row r="41737" spans="3:3" x14ac:dyDescent="0.35">
      <c r="C41737" s="2"/>
    </row>
    <row r="41738" spans="3:3" x14ac:dyDescent="0.35">
      <c r="C41738" s="2"/>
    </row>
    <row r="41739" spans="3:3" x14ac:dyDescent="0.35">
      <c r="C41739" s="2"/>
    </row>
    <row r="41740" spans="3:3" x14ac:dyDescent="0.35">
      <c r="C41740" s="2"/>
    </row>
    <row r="41741" spans="3:3" x14ac:dyDescent="0.35">
      <c r="C41741" s="2"/>
    </row>
    <row r="41742" spans="3:3" x14ac:dyDescent="0.35">
      <c r="C41742" s="2"/>
    </row>
    <row r="41743" spans="3:3" x14ac:dyDescent="0.35">
      <c r="C41743" s="2"/>
    </row>
    <row r="41744" spans="3:3" x14ac:dyDescent="0.35">
      <c r="C41744" s="2"/>
    </row>
    <row r="41745" spans="3:3" x14ac:dyDescent="0.35">
      <c r="C41745" s="2"/>
    </row>
    <row r="41746" spans="3:3" x14ac:dyDescent="0.35">
      <c r="C41746" s="2"/>
    </row>
    <row r="41747" spans="3:3" x14ac:dyDescent="0.35">
      <c r="C41747" s="2"/>
    </row>
    <row r="41748" spans="3:3" x14ac:dyDescent="0.35">
      <c r="C41748" s="2"/>
    </row>
    <row r="41749" spans="3:3" x14ac:dyDescent="0.35">
      <c r="C41749" s="2"/>
    </row>
    <row r="41750" spans="3:3" x14ac:dyDescent="0.35">
      <c r="C41750" s="2"/>
    </row>
    <row r="41751" spans="3:3" x14ac:dyDescent="0.35">
      <c r="C41751" s="2"/>
    </row>
    <row r="41752" spans="3:3" x14ac:dyDescent="0.35">
      <c r="C41752" s="2"/>
    </row>
    <row r="41753" spans="3:3" x14ac:dyDescent="0.35">
      <c r="C41753" s="2"/>
    </row>
    <row r="41754" spans="3:3" x14ac:dyDescent="0.35">
      <c r="C41754" s="2"/>
    </row>
    <row r="41755" spans="3:3" x14ac:dyDescent="0.35">
      <c r="C41755" s="2"/>
    </row>
    <row r="41756" spans="3:3" x14ac:dyDescent="0.35">
      <c r="C41756" s="2"/>
    </row>
    <row r="41757" spans="3:3" x14ac:dyDescent="0.35">
      <c r="C41757" s="2"/>
    </row>
    <row r="41758" spans="3:3" x14ac:dyDescent="0.35">
      <c r="C41758" s="2"/>
    </row>
    <row r="41759" spans="3:3" x14ac:dyDescent="0.35">
      <c r="C41759" s="2"/>
    </row>
    <row r="41760" spans="3:3" x14ac:dyDescent="0.35">
      <c r="C41760" s="2"/>
    </row>
    <row r="41761" spans="3:3" x14ac:dyDescent="0.35">
      <c r="C41761" s="2"/>
    </row>
    <row r="41762" spans="3:3" x14ac:dyDescent="0.35">
      <c r="C41762" s="2"/>
    </row>
    <row r="41763" spans="3:3" x14ac:dyDescent="0.35">
      <c r="C41763" s="2"/>
    </row>
    <row r="41764" spans="3:3" x14ac:dyDescent="0.35">
      <c r="C41764" s="2"/>
    </row>
    <row r="41765" spans="3:3" x14ac:dyDescent="0.35">
      <c r="C41765" s="2"/>
    </row>
    <row r="41766" spans="3:3" x14ac:dyDescent="0.35">
      <c r="C41766" s="2"/>
    </row>
    <row r="41767" spans="3:3" x14ac:dyDescent="0.35">
      <c r="C41767" s="2"/>
    </row>
    <row r="41768" spans="3:3" x14ac:dyDescent="0.35">
      <c r="C41768" s="2"/>
    </row>
    <row r="41769" spans="3:3" x14ac:dyDescent="0.35">
      <c r="C41769" s="2"/>
    </row>
    <row r="41770" spans="3:3" x14ac:dyDescent="0.35">
      <c r="C41770" s="2"/>
    </row>
    <row r="41771" spans="3:3" x14ac:dyDescent="0.35">
      <c r="C41771" s="2"/>
    </row>
    <row r="41772" spans="3:3" x14ac:dyDescent="0.35">
      <c r="C41772" s="2"/>
    </row>
    <row r="41773" spans="3:3" x14ac:dyDescent="0.35">
      <c r="C41773" s="2"/>
    </row>
    <row r="41774" spans="3:3" x14ac:dyDescent="0.35">
      <c r="C41774" s="2"/>
    </row>
    <row r="41775" spans="3:3" x14ac:dyDescent="0.35">
      <c r="C41775" s="2"/>
    </row>
    <row r="41776" spans="3:3" x14ac:dyDescent="0.35">
      <c r="C41776" s="2"/>
    </row>
    <row r="41777" spans="3:3" x14ac:dyDescent="0.35">
      <c r="C41777" s="2"/>
    </row>
    <row r="41778" spans="3:3" x14ac:dyDescent="0.35">
      <c r="C41778" s="2"/>
    </row>
    <row r="41779" spans="3:3" x14ac:dyDescent="0.35">
      <c r="C41779" s="2"/>
    </row>
    <row r="41780" spans="3:3" x14ac:dyDescent="0.35">
      <c r="C41780" s="2"/>
    </row>
    <row r="41781" spans="3:3" x14ac:dyDescent="0.35">
      <c r="C41781" s="2"/>
    </row>
    <row r="41782" spans="3:3" x14ac:dyDescent="0.35">
      <c r="C41782" s="2"/>
    </row>
    <row r="41783" spans="3:3" x14ac:dyDescent="0.35">
      <c r="C41783" s="2"/>
    </row>
    <row r="41784" spans="3:3" x14ac:dyDescent="0.35">
      <c r="C41784" s="2"/>
    </row>
    <row r="41785" spans="3:3" x14ac:dyDescent="0.35">
      <c r="C41785" s="2"/>
    </row>
    <row r="41786" spans="3:3" x14ac:dyDescent="0.35">
      <c r="C41786" s="2"/>
    </row>
    <row r="41787" spans="3:3" x14ac:dyDescent="0.35">
      <c r="C41787" s="2"/>
    </row>
    <row r="41788" spans="3:3" x14ac:dyDescent="0.35">
      <c r="C41788" s="2"/>
    </row>
    <row r="41789" spans="3:3" x14ac:dyDescent="0.35">
      <c r="C41789" s="2"/>
    </row>
    <row r="41790" spans="3:3" x14ac:dyDescent="0.35">
      <c r="C41790" s="2"/>
    </row>
    <row r="41791" spans="3:3" x14ac:dyDescent="0.35">
      <c r="C41791" s="2"/>
    </row>
    <row r="41792" spans="3:3" x14ac:dyDescent="0.35">
      <c r="C41792" s="2"/>
    </row>
    <row r="41793" spans="3:3" x14ac:dyDescent="0.35">
      <c r="C41793" s="2"/>
    </row>
    <row r="41794" spans="3:3" x14ac:dyDescent="0.35">
      <c r="C41794" s="2"/>
    </row>
    <row r="41795" spans="3:3" x14ac:dyDescent="0.35">
      <c r="C41795" s="2"/>
    </row>
    <row r="41796" spans="3:3" x14ac:dyDescent="0.35">
      <c r="C41796" s="2"/>
    </row>
    <row r="41797" spans="3:3" x14ac:dyDescent="0.35">
      <c r="C41797" s="2"/>
    </row>
    <row r="41798" spans="3:3" x14ac:dyDescent="0.35">
      <c r="C41798" s="2"/>
    </row>
    <row r="41799" spans="3:3" x14ac:dyDescent="0.35">
      <c r="C41799" s="2"/>
    </row>
    <row r="41800" spans="3:3" x14ac:dyDescent="0.35">
      <c r="C41800" s="2"/>
    </row>
    <row r="41801" spans="3:3" x14ac:dyDescent="0.35">
      <c r="C41801" s="2"/>
    </row>
    <row r="41802" spans="3:3" x14ac:dyDescent="0.35">
      <c r="C41802" s="2"/>
    </row>
    <row r="41803" spans="3:3" x14ac:dyDescent="0.35">
      <c r="C41803" s="2"/>
    </row>
    <row r="41804" spans="3:3" x14ac:dyDescent="0.35">
      <c r="C41804" s="2"/>
    </row>
    <row r="41805" spans="3:3" x14ac:dyDescent="0.35">
      <c r="C41805" s="2"/>
    </row>
    <row r="41806" spans="3:3" x14ac:dyDescent="0.35">
      <c r="C41806" s="2"/>
    </row>
    <row r="41807" spans="3:3" x14ac:dyDescent="0.35">
      <c r="C41807" s="2"/>
    </row>
    <row r="41808" spans="3:3" x14ac:dyDescent="0.35">
      <c r="C41808" s="2"/>
    </row>
    <row r="41809" spans="3:3" x14ac:dyDescent="0.35">
      <c r="C41809" s="2"/>
    </row>
    <row r="41810" spans="3:3" x14ac:dyDescent="0.35">
      <c r="C41810" s="2"/>
    </row>
    <row r="41811" spans="3:3" x14ac:dyDescent="0.35">
      <c r="C41811" s="2"/>
    </row>
    <row r="41812" spans="3:3" x14ac:dyDescent="0.35">
      <c r="C41812" s="2"/>
    </row>
    <row r="41813" spans="3:3" x14ac:dyDescent="0.35">
      <c r="C41813" s="2"/>
    </row>
    <row r="41814" spans="3:3" x14ac:dyDescent="0.35">
      <c r="C41814" s="2"/>
    </row>
    <row r="41815" spans="3:3" x14ac:dyDescent="0.35">
      <c r="C41815" s="2"/>
    </row>
    <row r="41816" spans="3:3" x14ac:dyDescent="0.35">
      <c r="C41816" s="2"/>
    </row>
    <row r="41817" spans="3:3" x14ac:dyDescent="0.35">
      <c r="C41817" s="2"/>
    </row>
    <row r="41818" spans="3:3" x14ac:dyDescent="0.35">
      <c r="C41818" s="2"/>
    </row>
    <row r="41819" spans="3:3" x14ac:dyDescent="0.35">
      <c r="C41819" s="2"/>
    </row>
    <row r="41820" spans="3:3" x14ac:dyDescent="0.35">
      <c r="C41820" s="2"/>
    </row>
    <row r="41821" spans="3:3" x14ac:dyDescent="0.35">
      <c r="C41821" s="2"/>
    </row>
    <row r="41822" spans="3:3" x14ac:dyDescent="0.35">
      <c r="C41822" s="2"/>
    </row>
    <row r="41823" spans="3:3" x14ac:dyDescent="0.35">
      <c r="C41823" s="2"/>
    </row>
    <row r="41824" spans="3:3" x14ac:dyDescent="0.35">
      <c r="C41824" s="2"/>
    </row>
    <row r="41825" spans="3:3" x14ac:dyDescent="0.35">
      <c r="C41825" s="2"/>
    </row>
    <row r="41826" spans="3:3" x14ac:dyDescent="0.35">
      <c r="C41826" s="2"/>
    </row>
    <row r="41827" spans="3:3" x14ac:dyDescent="0.35">
      <c r="C41827" s="2"/>
    </row>
    <row r="41828" spans="3:3" x14ac:dyDescent="0.35">
      <c r="C41828" s="2"/>
    </row>
    <row r="41829" spans="3:3" x14ac:dyDescent="0.35">
      <c r="C41829" s="2"/>
    </row>
    <row r="41830" spans="3:3" x14ac:dyDescent="0.35">
      <c r="C41830" s="2"/>
    </row>
    <row r="41831" spans="3:3" x14ac:dyDescent="0.35">
      <c r="C41831" s="2"/>
    </row>
    <row r="41832" spans="3:3" x14ac:dyDescent="0.35">
      <c r="C41832" s="2"/>
    </row>
    <row r="41833" spans="3:3" x14ac:dyDescent="0.35">
      <c r="C41833" s="2"/>
    </row>
    <row r="41834" spans="3:3" x14ac:dyDescent="0.35">
      <c r="C41834" s="2"/>
    </row>
    <row r="41835" spans="3:3" x14ac:dyDescent="0.35">
      <c r="C41835" s="2"/>
    </row>
    <row r="41836" spans="3:3" x14ac:dyDescent="0.35">
      <c r="C41836" s="2"/>
    </row>
    <row r="41837" spans="3:3" x14ac:dyDescent="0.35">
      <c r="C41837" s="2"/>
    </row>
    <row r="41838" spans="3:3" x14ac:dyDescent="0.35">
      <c r="C41838" s="2"/>
    </row>
    <row r="41839" spans="3:3" x14ac:dyDescent="0.35">
      <c r="C41839" s="2"/>
    </row>
    <row r="41840" spans="3:3" x14ac:dyDescent="0.35">
      <c r="C41840" s="2"/>
    </row>
    <row r="41841" spans="3:3" x14ac:dyDescent="0.35">
      <c r="C41841" s="2"/>
    </row>
    <row r="41842" spans="3:3" x14ac:dyDescent="0.35">
      <c r="C41842" s="2"/>
    </row>
    <row r="41843" spans="3:3" x14ac:dyDescent="0.35">
      <c r="C41843" s="2"/>
    </row>
    <row r="41844" spans="3:3" x14ac:dyDescent="0.35">
      <c r="C41844" s="2"/>
    </row>
    <row r="41845" spans="3:3" x14ac:dyDescent="0.35">
      <c r="C41845" s="2"/>
    </row>
    <row r="41846" spans="3:3" x14ac:dyDescent="0.35">
      <c r="C41846" s="2"/>
    </row>
    <row r="41847" spans="3:3" x14ac:dyDescent="0.35">
      <c r="C41847" s="2"/>
    </row>
    <row r="41848" spans="3:3" x14ac:dyDescent="0.35">
      <c r="C41848" s="2"/>
    </row>
    <row r="41849" spans="3:3" x14ac:dyDescent="0.35">
      <c r="C41849" s="2"/>
    </row>
    <row r="41850" spans="3:3" x14ac:dyDescent="0.35">
      <c r="C41850" s="2"/>
    </row>
    <row r="41851" spans="3:3" x14ac:dyDescent="0.35">
      <c r="C41851" s="2"/>
    </row>
    <row r="41852" spans="3:3" x14ac:dyDescent="0.35">
      <c r="C41852" s="2"/>
    </row>
    <row r="41853" spans="3:3" x14ac:dyDescent="0.35">
      <c r="C41853" s="2"/>
    </row>
    <row r="41854" spans="3:3" x14ac:dyDescent="0.35">
      <c r="C41854" s="2"/>
    </row>
    <row r="41855" spans="3:3" x14ac:dyDescent="0.35">
      <c r="C41855" s="2"/>
    </row>
    <row r="41856" spans="3:3" x14ac:dyDescent="0.35">
      <c r="C41856" s="2"/>
    </row>
    <row r="41857" spans="3:3" x14ac:dyDescent="0.35">
      <c r="C41857" s="2"/>
    </row>
    <row r="41858" spans="3:3" x14ac:dyDescent="0.35">
      <c r="C41858" s="2"/>
    </row>
    <row r="41859" spans="3:3" x14ac:dyDescent="0.35">
      <c r="C41859" s="2"/>
    </row>
    <row r="41860" spans="3:3" x14ac:dyDescent="0.35">
      <c r="C41860" s="2"/>
    </row>
    <row r="41861" spans="3:3" x14ac:dyDescent="0.35">
      <c r="C41861" s="2"/>
    </row>
    <row r="41862" spans="3:3" x14ac:dyDescent="0.35">
      <c r="C41862" s="2"/>
    </row>
    <row r="41863" spans="3:3" x14ac:dyDescent="0.35">
      <c r="C41863" s="2"/>
    </row>
    <row r="41864" spans="3:3" x14ac:dyDescent="0.35">
      <c r="C41864" s="2"/>
    </row>
    <row r="41865" spans="3:3" x14ac:dyDescent="0.35">
      <c r="C41865" s="2"/>
    </row>
    <row r="41866" spans="3:3" x14ac:dyDescent="0.35">
      <c r="C41866" s="2"/>
    </row>
    <row r="41867" spans="3:3" x14ac:dyDescent="0.35">
      <c r="C41867" s="2"/>
    </row>
    <row r="41868" spans="3:3" x14ac:dyDescent="0.35">
      <c r="C41868" s="2"/>
    </row>
    <row r="41869" spans="3:3" x14ac:dyDescent="0.35">
      <c r="C41869" s="2"/>
    </row>
    <row r="41870" spans="3:3" x14ac:dyDescent="0.35">
      <c r="C41870" s="2"/>
    </row>
    <row r="41871" spans="3:3" x14ac:dyDescent="0.35">
      <c r="C41871" s="2"/>
    </row>
    <row r="41872" spans="3:3" x14ac:dyDescent="0.35">
      <c r="C41872" s="2"/>
    </row>
    <row r="41873" spans="3:3" x14ac:dyDescent="0.35">
      <c r="C41873" s="2"/>
    </row>
    <row r="41874" spans="3:3" x14ac:dyDescent="0.35">
      <c r="C41874" s="2"/>
    </row>
    <row r="41875" spans="3:3" x14ac:dyDescent="0.35">
      <c r="C41875" s="2"/>
    </row>
    <row r="41876" spans="3:3" x14ac:dyDescent="0.35">
      <c r="C41876" s="2"/>
    </row>
    <row r="41877" spans="3:3" x14ac:dyDescent="0.35">
      <c r="C41877" s="2"/>
    </row>
    <row r="41878" spans="3:3" x14ac:dyDescent="0.35">
      <c r="C41878" s="2"/>
    </row>
    <row r="41879" spans="3:3" x14ac:dyDescent="0.35">
      <c r="C41879" s="2"/>
    </row>
    <row r="41880" spans="3:3" x14ac:dyDescent="0.35">
      <c r="C41880" s="2"/>
    </row>
    <row r="41881" spans="3:3" x14ac:dyDescent="0.35">
      <c r="C41881" s="2"/>
    </row>
    <row r="41882" spans="3:3" x14ac:dyDescent="0.35">
      <c r="C41882" s="2"/>
    </row>
    <row r="41883" spans="3:3" x14ac:dyDescent="0.35">
      <c r="C41883" s="2"/>
    </row>
    <row r="41884" spans="3:3" x14ac:dyDescent="0.35">
      <c r="C41884" s="2"/>
    </row>
    <row r="41885" spans="3:3" x14ac:dyDescent="0.35">
      <c r="C41885" s="2"/>
    </row>
    <row r="41886" spans="3:3" x14ac:dyDescent="0.35">
      <c r="C41886" s="2"/>
    </row>
    <row r="41887" spans="3:3" x14ac:dyDescent="0.35">
      <c r="C41887" s="2"/>
    </row>
    <row r="41888" spans="3:3" x14ac:dyDescent="0.35">
      <c r="C41888" s="2"/>
    </row>
    <row r="41889" spans="3:3" x14ac:dyDescent="0.35">
      <c r="C41889" s="2"/>
    </row>
    <row r="41890" spans="3:3" x14ac:dyDescent="0.35">
      <c r="C41890" s="2"/>
    </row>
    <row r="41891" spans="3:3" x14ac:dyDescent="0.35">
      <c r="C41891" s="2"/>
    </row>
    <row r="41892" spans="3:3" x14ac:dyDescent="0.35">
      <c r="C41892" s="2"/>
    </row>
    <row r="41893" spans="3:3" x14ac:dyDescent="0.35">
      <c r="C41893" s="2"/>
    </row>
    <row r="41894" spans="3:3" x14ac:dyDescent="0.35">
      <c r="C41894" s="2"/>
    </row>
    <row r="41895" spans="3:3" x14ac:dyDescent="0.35">
      <c r="C41895" s="2"/>
    </row>
    <row r="41896" spans="3:3" x14ac:dyDescent="0.35">
      <c r="C41896" s="2"/>
    </row>
    <row r="41897" spans="3:3" x14ac:dyDescent="0.35">
      <c r="C41897" s="2"/>
    </row>
    <row r="41898" spans="3:3" x14ac:dyDescent="0.35">
      <c r="C41898" s="2"/>
    </row>
    <row r="41899" spans="3:3" x14ac:dyDescent="0.35">
      <c r="C41899" s="2"/>
    </row>
    <row r="41900" spans="3:3" x14ac:dyDescent="0.35">
      <c r="C41900" s="2"/>
    </row>
    <row r="41901" spans="3:3" x14ac:dyDescent="0.35">
      <c r="C41901" s="2"/>
    </row>
    <row r="41902" spans="3:3" x14ac:dyDescent="0.35">
      <c r="C41902" s="2"/>
    </row>
    <row r="41903" spans="3:3" x14ac:dyDescent="0.35">
      <c r="C41903" s="2"/>
    </row>
    <row r="41904" spans="3:3" x14ac:dyDescent="0.35">
      <c r="C41904" s="2"/>
    </row>
    <row r="41905" spans="3:3" x14ac:dyDescent="0.35">
      <c r="C41905" s="2"/>
    </row>
    <row r="41906" spans="3:3" x14ac:dyDescent="0.35">
      <c r="C41906" s="2"/>
    </row>
    <row r="41907" spans="3:3" x14ac:dyDescent="0.35">
      <c r="C41907" s="2"/>
    </row>
    <row r="41908" spans="3:3" x14ac:dyDescent="0.35">
      <c r="C41908" s="2"/>
    </row>
    <row r="41909" spans="3:3" x14ac:dyDescent="0.35">
      <c r="C41909" s="2"/>
    </row>
    <row r="41910" spans="3:3" x14ac:dyDescent="0.35">
      <c r="C41910" s="2"/>
    </row>
    <row r="41911" spans="3:3" x14ac:dyDescent="0.35">
      <c r="C41911" s="2"/>
    </row>
    <row r="41912" spans="3:3" x14ac:dyDescent="0.35">
      <c r="C41912" s="2"/>
    </row>
    <row r="41913" spans="3:3" x14ac:dyDescent="0.35">
      <c r="C41913" s="2"/>
    </row>
    <row r="41914" spans="3:3" x14ac:dyDescent="0.35">
      <c r="C41914" s="2"/>
    </row>
    <row r="41915" spans="3:3" x14ac:dyDescent="0.35">
      <c r="C41915" s="2"/>
    </row>
    <row r="41916" spans="3:3" x14ac:dyDescent="0.35">
      <c r="C41916" s="2"/>
    </row>
    <row r="41917" spans="3:3" x14ac:dyDescent="0.35">
      <c r="C41917" s="2"/>
    </row>
    <row r="41918" spans="3:3" x14ac:dyDescent="0.35">
      <c r="C41918" s="2"/>
    </row>
    <row r="41919" spans="3:3" x14ac:dyDescent="0.35">
      <c r="C41919" s="2"/>
    </row>
    <row r="41920" spans="3:3" x14ac:dyDescent="0.35">
      <c r="C41920" s="2"/>
    </row>
    <row r="41921" spans="3:3" x14ac:dyDescent="0.35">
      <c r="C41921" s="2"/>
    </row>
    <row r="41922" spans="3:3" x14ac:dyDescent="0.35">
      <c r="C41922" s="2"/>
    </row>
    <row r="41923" spans="3:3" x14ac:dyDescent="0.35">
      <c r="C41923" s="2"/>
    </row>
    <row r="41924" spans="3:3" x14ac:dyDescent="0.35">
      <c r="C41924" s="2"/>
    </row>
    <row r="41925" spans="3:3" x14ac:dyDescent="0.35">
      <c r="C41925" s="2"/>
    </row>
    <row r="41926" spans="3:3" x14ac:dyDescent="0.35">
      <c r="C41926" s="2"/>
    </row>
    <row r="41927" spans="3:3" x14ac:dyDescent="0.35">
      <c r="C41927" s="2"/>
    </row>
    <row r="41928" spans="3:3" x14ac:dyDescent="0.35">
      <c r="C41928" s="2"/>
    </row>
    <row r="41929" spans="3:3" x14ac:dyDescent="0.35">
      <c r="C41929" s="2"/>
    </row>
    <row r="41930" spans="3:3" x14ac:dyDescent="0.35">
      <c r="C41930" s="2"/>
    </row>
    <row r="41931" spans="3:3" x14ac:dyDescent="0.35">
      <c r="C41931" s="2"/>
    </row>
    <row r="41932" spans="3:3" x14ac:dyDescent="0.35">
      <c r="C41932" s="2"/>
    </row>
    <row r="41933" spans="3:3" x14ac:dyDescent="0.35">
      <c r="C41933" s="2"/>
    </row>
    <row r="41934" spans="3:3" x14ac:dyDescent="0.35">
      <c r="C41934" s="2"/>
    </row>
    <row r="41935" spans="3:3" x14ac:dyDescent="0.35">
      <c r="C41935" s="2"/>
    </row>
    <row r="41936" spans="3:3" x14ac:dyDescent="0.35">
      <c r="C41936" s="2"/>
    </row>
    <row r="41937" spans="3:3" x14ac:dyDescent="0.35">
      <c r="C41937" s="2"/>
    </row>
    <row r="41938" spans="3:3" x14ac:dyDescent="0.35">
      <c r="C41938" s="2"/>
    </row>
    <row r="41939" spans="3:3" x14ac:dyDescent="0.35">
      <c r="C41939" s="2"/>
    </row>
    <row r="41940" spans="3:3" x14ac:dyDescent="0.35">
      <c r="C41940" s="2"/>
    </row>
    <row r="41941" spans="3:3" x14ac:dyDescent="0.35">
      <c r="C41941" s="2"/>
    </row>
    <row r="41942" spans="3:3" x14ac:dyDescent="0.35">
      <c r="C41942" s="2"/>
    </row>
    <row r="41943" spans="3:3" x14ac:dyDescent="0.35">
      <c r="C41943" s="2"/>
    </row>
    <row r="41944" spans="3:3" x14ac:dyDescent="0.35">
      <c r="C41944" s="2"/>
    </row>
    <row r="41945" spans="3:3" x14ac:dyDescent="0.35">
      <c r="C41945" s="2"/>
    </row>
    <row r="41946" spans="3:3" x14ac:dyDescent="0.35">
      <c r="C41946" s="2"/>
    </row>
    <row r="41947" spans="3:3" x14ac:dyDescent="0.35">
      <c r="C41947" s="2"/>
    </row>
    <row r="41948" spans="3:3" x14ac:dyDescent="0.35">
      <c r="C41948" s="2"/>
    </row>
    <row r="41949" spans="3:3" x14ac:dyDescent="0.35">
      <c r="C41949" s="2"/>
    </row>
    <row r="41950" spans="3:3" x14ac:dyDescent="0.35">
      <c r="C41950" s="2"/>
    </row>
    <row r="41951" spans="3:3" x14ac:dyDescent="0.35">
      <c r="C41951" s="2"/>
    </row>
    <row r="41952" spans="3:3" x14ac:dyDescent="0.35">
      <c r="C41952" s="2"/>
    </row>
    <row r="41953" spans="3:3" x14ac:dyDescent="0.35">
      <c r="C41953" s="2"/>
    </row>
    <row r="41954" spans="3:3" x14ac:dyDescent="0.35">
      <c r="C41954" s="2"/>
    </row>
    <row r="41955" spans="3:3" x14ac:dyDescent="0.35">
      <c r="C41955" s="2"/>
    </row>
    <row r="41956" spans="3:3" x14ac:dyDescent="0.35">
      <c r="C41956" s="2"/>
    </row>
    <row r="41957" spans="3:3" x14ac:dyDescent="0.35">
      <c r="C41957" s="2"/>
    </row>
    <row r="41958" spans="3:3" x14ac:dyDescent="0.35">
      <c r="C41958" s="2"/>
    </row>
    <row r="41959" spans="3:3" x14ac:dyDescent="0.35">
      <c r="C41959" s="2"/>
    </row>
    <row r="41960" spans="3:3" x14ac:dyDescent="0.35">
      <c r="C41960" s="2"/>
    </row>
    <row r="41961" spans="3:3" x14ac:dyDescent="0.35">
      <c r="C41961" s="2"/>
    </row>
    <row r="41962" spans="3:3" x14ac:dyDescent="0.35">
      <c r="C41962" s="2"/>
    </row>
    <row r="41963" spans="3:3" x14ac:dyDescent="0.35">
      <c r="C41963" s="2"/>
    </row>
    <row r="41964" spans="3:3" x14ac:dyDescent="0.35">
      <c r="C41964" s="2"/>
    </row>
    <row r="41965" spans="3:3" x14ac:dyDescent="0.35">
      <c r="C41965" s="2"/>
    </row>
    <row r="41966" spans="3:3" x14ac:dyDescent="0.35">
      <c r="C41966" s="2"/>
    </row>
    <row r="41967" spans="3:3" x14ac:dyDescent="0.35">
      <c r="C41967" s="2"/>
    </row>
    <row r="41968" spans="3:3" x14ac:dyDescent="0.35">
      <c r="C41968" s="2"/>
    </row>
    <row r="41969" spans="3:3" x14ac:dyDescent="0.35">
      <c r="C41969" s="2"/>
    </row>
    <row r="41970" spans="3:3" x14ac:dyDescent="0.35">
      <c r="C41970" s="2"/>
    </row>
    <row r="41971" spans="3:3" x14ac:dyDescent="0.35">
      <c r="C41971" s="2"/>
    </row>
    <row r="41972" spans="3:3" x14ac:dyDescent="0.35">
      <c r="C41972" s="2"/>
    </row>
    <row r="41973" spans="3:3" x14ac:dyDescent="0.35">
      <c r="C41973" s="2"/>
    </row>
    <row r="41974" spans="3:3" x14ac:dyDescent="0.35">
      <c r="C41974" s="2"/>
    </row>
    <row r="41975" spans="3:3" x14ac:dyDescent="0.35">
      <c r="C41975" s="2"/>
    </row>
    <row r="41976" spans="3:3" x14ac:dyDescent="0.35">
      <c r="C41976" s="2"/>
    </row>
    <row r="41977" spans="3:3" x14ac:dyDescent="0.35">
      <c r="C41977" s="2"/>
    </row>
    <row r="41978" spans="3:3" x14ac:dyDescent="0.35">
      <c r="C41978" s="2"/>
    </row>
    <row r="41979" spans="3:3" x14ac:dyDescent="0.35">
      <c r="C41979" s="2"/>
    </row>
    <row r="41980" spans="3:3" x14ac:dyDescent="0.35">
      <c r="C41980" s="2"/>
    </row>
    <row r="41981" spans="3:3" x14ac:dyDescent="0.35">
      <c r="C41981" s="2"/>
    </row>
    <row r="41982" spans="3:3" x14ac:dyDescent="0.35">
      <c r="C41982" s="2"/>
    </row>
    <row r="41983" spans="3:3" x14ac:dyDescent="0.35">
      <c r="C41983" s="2"/>
    </row>
    <row r="41984" spans="3:3" x14ac:dyDescent="0.35">
      <c r="C41984" s="2"/>
    </row>
    <row r="41985" spans="3:3" x14ac:dyDescent="0.35">
      <c r="C41985" s="2"/>
    </row>
    <row r="41986" spans="3:3" x14ac:dyDescent="0.35">
      <c r="C41986" s="2"/>
    </row>
    <row r="41987" spans="3:3" x14ac:dyDescent="0.35">
      <c r="C41987" s="2"/>
    </row>
    <row r="41988" spans="3:3" x14ac:dyDescent="0.35">
      <c r="C41988" s="2"/>
    </row>
    <row r="41989" spans="3:3" x14ac:dyDescent="0.35">
      <c r="C41989" s="2"/>
    </row>
    <row r="41990" spans="3:3" x14ac:dyDescent="0.35">
      <c r="C41990" s="2"/>
    </row>
    <row r="41991" spans="3:3" x14ac:dyDescent="0.35">
      <c r="C41991" s="2"/>
    </row>
    <row r="41992" spans="3:3" x14ac:dyDescent="0.35">
      <c r="C41992" s="2"/>
    </row>
    <row r="41993" spans="3:3" x14ac:dyDescent="0.35">
      <c r="C41993" s="2"/>
    </row>
    <row r="41994" spans="3:3" x14ac:dyDescent="0.35">
      <c r="C41994" s="2"/>
    </row>
    <row r="41995" spans="3:3" x14ac:dyDescent="0.35">
      <c r="C41995" s="2"/>
    </row>
    <row r="41996" spans="3:3" x14ac:dyDescent="0.35">
      <c r="C41996" s="2"/>
    </row>
    <row r="41997" spans="3:3" x14ac:dyDescent="0.35">
      <c r="C41997" s="2"/>
    </row>
    <row r="41998" spans="3:3" x14ac:dyDescent="0.35">
      <c r="C41998" s="2"/>
    </row>
    <row r="41999" spans="3:3" x14ac:dyDescent="0.35">
      <c r="C41999" s="2"/>
    </row>
    <row r="42000" spans="3:3" x14ac:dyDescent="0.35">
      <c r="C42000" s="2"/>
    </row>
    <row r="42001" spans="3:3" x14ac:dyDescent="0.35">
      <c r="C42001" s="2"/>
    </row>
    <row r="42002" spans="3:3" x14ac:dyDescent="0.35">
      <c r="C42002" s="2"/>
    </row>
    <row r="42003" spans="3:3" x14ac:dyDescent="0.35">
      <c r="C42003" s="2"/>
    </row>
    <row r="42004" spans="3:3" x14ac:dyDescent="0.35">
      <c r="C42004" s="2"/>
    </row>
    <row r="42005" spans="3:3" x14ac:dyDescent="0.35">
      <c r="C42005" s="2"/>
    </row>
    <row r="42006" spans="3:3" x14ac:dyDescent="0.35">
      <c r="C42006" s="2"/>
    </row>
    <row r="42007" spans="3:3" x14ac:dyDescent="0.35">
      <c r="C42007" s="2"/>
    </row>
    <row r="42008" spans="3:3" x14ac:dyDescent="0.35">
      <c r="C42008" s="2"/>
    </row>
    <row r="42009" spans="3:3" x14ac:dyDescent="0.35">
      <c r="C42009" s="2"/>
    </row>
    <row r="42010" spans="3:3" x14ac:dyDescent="0.35">
      <c r="C42010" s="2"/>
    </row>
    <row r="42011" spans="3:3" x14ac:dyDescent="0.35">
      <c r="C42011" s="2"/>
    </row>
    <row r="42012" spans="3:3" x14ac:dyDescent="0.35">
      <c r="C42012" s="2"/>
    </row>
    <row r="42013" spans="3:3" x14ac:dyDescent="0.35">
      <c r="C42013" s="2"/>
    </row>
    <row r="42014" spans="3:3" x14ac:dyDescent="0.35">
      <c r="C42014" s="2"/>
    </row>
    <row r="42015" spans="3:3" x14ac:dyDescent="0.35">
      <c r="C42015" s="2"/>
    </row>
    <row r="42016" spans="3:3" x14ac:dyDescent="0.35">
      <c r="C42016" s="2"/>
    </row>
    <row r="42017" spans="3:3" x14ac:dyDescent="0.35">
      <c r="C42017" s="2"/>
    </row>
    <row r="42018" spans="3:3" x14ac:dyDescent="0.35">
      <c r="C42018" s="2"/>
    </row>
    <row r="42019" spans="3:3" x14ac:dyDescent="0.35">
      <c r="C42019" s="2"/>
    </row>
    <row r="42020" spans="3:3" x14ac:dyDescent="0.35">
      <c r="C42020" s="2"/>
    </row>
    <row r="42021" spans="3:3" x14ac:dyDescent="0.35">
      <c r="C42021" s="2"/>
    </row>
    <row r="42022" spans="3:3" x14ac:dyDescent="0.35">
      <c r="C42022" s="2"/>
    </row>
    <row r="42023" spans="3:3" x14ac:dyDescent="0.35">
      <c r="C42023" s="2"/>
    </row>
    <row r="42024" spans="3:3" x14ac:dyDescent="0.35">
      <c r="C42024" s="2"/>
    </row>
    <row r="42025" spans="3:3" x14ac:dyDescent="0.35">
      <c r="C42025" s="2"/>
    </row>
    <row r="42026" spans="3:3" x14ac:dyDescent="0.35">
      <c r="C42026" s="2"/>
    </row>
    <row r="42027" spans="3:3" x14ac:dyDescent="0.35">
      <c r="C42027" s="2"/>
    </row>
    <row r="42028" spans="3:3" x14ac:dyDescent="0.35">
      <c r="C42028" s="2"/>
    </row>
    <row r="42029" spans="3:3" x14ac:dyDescent="0.35">
      <c r="C42029" s="2"/>
    </row>
    <row r="42030" spans="3:3" x14ac:dyDescent="0.35">
      <c r="C42030" s="2"/>
    </row>
    <row r="42031" spans="3:3" x14ac:dyDescent="0.35">
      <c r="C42031" s="2"/>
    </row>
    <row r="42032" spans="3:3" x14ac:dyDescent="0.35">
      <c r="C42032" s="2"/>
    </row>
    <row r="42033" spans="3:3" x14ac:dyDescent="0.35">
      <c r="C42033" s="2"/>
    </row>
    <row r="42034" spans="3:3" x14ac:dyDescent="0.35">
      <c r="C42034" s="2"/>
    </row>
    <row r="42035" spans="3:3" x14ac:dyDescent="0.35">
      <c r="C42035" s="2"/>
    </row>
    <row r="42036" spans="3:3" x14ac:dyDescent="0.35">
      <c r="C42036" s="2"/>
    </row>
    <row r="42037" spans="3:3" x14ac:dyDescent="0.35">
      <c r="C42037" s="2"/>
    </row>
    <row r="42038" spans="3:3" x14ac:dyDescent="0.35">
      <c r="C42038" s="2"/>
    </row>
    <row r="42039" spans="3:3" x14ac:dyDescent="0.35">
      <c r="C42039" s="2"/>
    </row>
    <row r="42040" spans="3:3" x14ac:dyDescent="0.35">
      <c r="C42040" s="2"/>
    </row>
    <row r="42041" spans="3:3" x14ac:dyDescent="0.35">
      <c r="C42041" s="2"/>
    </row>
    <row r="42042" spans="3:3" x14ac:dyDescent="0.35">
      <c r="C42042" s="2"/>
    </row>
    <row r="42043" spans="3:3" x14ac:dyDescent="0.35">
      <c r="C42043" s="2"/>
    </row>
    <row r="42044" spans="3:3" x14ac:dyDescent="0.35">
      <c r="C42044" s="2"/>
    </row>
    <row r="42045" spans="3:3" x14ac:dyDescent="0.35">
      <c r="C42045" s="2"/>
    </row>
    <row r="42046" spans="3:3" x14ac:dyDescent="0.35">
      <c r="C42046" s="2"/>
    </row>
    <row r="42047" spans="3:3" x14ac:dyDescent="0.35">
      <c r="C42047" s="2"/>
    </row>
    <row r="42048" spans="3:3" x14ac:dyDescent="0.35">
      <c r="C42048" s="2"/>
    </row>
    <row r="42049" spans="3:3" x14ac:dyDescent="0.35">
      <c r="C42049" s="2"/>
    </row>
    <row r="42050" spans="3:3" x14ac:dyDescent="0.35">
      <c r="C42050" s="2"/>
    </row>
    <row r="42051" spans="3:3" x14ac:dyDescent="0.35">
      <c r="C42051" s="2"/>
    </row>
    <row r="42052" spans="3:3" x14ac:dyDescent="0.35">
      <c r="C42052" s="2"/>
    </row>
    <row r="42053" spans="3:3" x14ac:dyDescent="0.35">
      <c r="C42053" s="2"/>
    </row>
    <row r="42054" spans="3:3" x14ac:dyDescent="0.35">
      <c r="C42054" s="2"/>
    </row>
    <row r="42055" spans="3:3" x14ac:dyDescent="0.35">
      <c r="C42055" s="2"/>
    </row>
    <row r="42056" spans="3:3" x14ac:dyDescent="0.35">
      <c r="C42056" s="2"/>
    </row>
    <row r="42057" spans="3:3" x14ac:dyDescent="0.35">
      <c r="C42057" s="2"/>
    </row>
    <row r="42058" spans="3:3" x14ac:dyDescent="0.35">
      <c r="C42058" s="2"/>
    </row>
    <row r="42059" spans="3:3" x14ac:dyDescent="0.35">
      <c r="C42059" s="2"/>
    </row>
    <row r="42060" spans="3:3" x14ac:dyDescent="0.35">
      <c r="C42060" s="2"/>
    </row>
    <row r="42061" spans="3:3" x14ac:dyDescent="0.35">
      <c r="C42061" s="2"/>
    </row>
    <row r="42062" spans="3:3" x14ac:dyDescent="0.35">
      <c r="C42062" s="2"/>
    </row>
    <row r="42063" spans="3:3" x14ac:dyDescent="0.35">
      <c r="C42063" s="2"/>
    </row>
    <row r="42064" spans="3:3" x14ac:dyDescent="0.35">
      <c r="C42064" s="2"/>
    </row>
    <row r="42065" spans="3:3" x14ac:dyDescent="0.35">
      <c r="C42065" s="2"/>
    </row>
    <row r="42066" spans="3:3" x14ac:dyDescent="0.35">
      <c r="C42066" s="2"/>
    </row>
    <row r="42067" spans="3:3" x14ac:dyDescent="0.35">
      <c r="C42067" s="2"/>
    </row>
    <row r="42068" spans="3:3" x14ac:dyDescent="0.35">
      <c r="C42068" s="2"/>
    </row>
    <row r="42069" spans="3:3" x14ac:dyDescent="0.35">
      <c r="C42069" s="2"/>
    </row>
    <row r="42070" spans="3:3" x14ac:dyDescent="0.35">
      <c r="C42070" s="2"/>
    </row>
    <row r="42071" spans="3:3" x14ac:dyDescent="0.35">
      <c r="C42071" s="2"/>
    </row>
    <row r="42072" spans="3:3" x14ac:dyDescent="0.35">
      <c r="C42072" s="2"/>
    </row>
    <row r="42073" spans="3:3" x14ac:dyDescent="0.35">
      <c r="C42073" s="2"/>
    </row>
    <row r="42074" spans="3:3" x14ac:dyDescent="0.35">
      <c r="C42074" s="2"/>
    </row>
    <row r="42075" spans="3:3" x14ac:dyDescent="0.35">
      <c r="C42075" s="2"/>
    </row>
    <row r="42076" spans="3:3" x14ac:dyDescent="0.35">
      <c r="C42076" s="2"/>
    </row>
    <row r="42077" spans="3:3" x14ac:dyDescent="0.35">
      <c r="C42077" s="2"/>
    </row>
    <row r="42078" spans="3:3" x14ac:dyDescent="0.35">
      <c r="C42078" s="2"/>
    </row>
    <row r="42079" spans="3:3" x14ac:dyDescent="0.35">
      <c r="C42079" s="2"/>
    </row>
    <row r="42080" spans="3:3" x14ac:dyDescent="0.35">
      <c r="C42080" s="2"/>
    </row>
    <row r="42081" spans="3:3" x14ac:dyDescent="0.35">
      <c r="C42081" s="2"/>
    </row>
    <row r="42082" spans="3:3" x14ac:dyDescent="0.35">
      <c r="C42082" s="2"/>
    </row>
    <row r="42083" spans="3:3" x14ac:dyDescent="0.35">
      <c r="C42083" s="2"/>
    </row>
    <row r="42084" spans="3:3" x14ac:dyDescent="0.35">
      <c r="C42084" s="2"/>
    </row>
    <row r="42085" spans="3:3" x14ac:dyDescent="0.35">
      <c r="C42085" s="2"/>
    </row>
    <row r="42086" spans="3:3" x14ac:dyDescent="0.35">
      <c r="C42086" s="2"/>
    </row>
    <row r="42087" spans="3:3" x14ac:dyDescent="0.35">
      <c r="C42087" s="2"/>
    </row>
    <row r="42088" spans="3:3" x14ac:dyDescent="0.35">
      <c r="C42088" s="2"/>
    </row>
    <row r="42089" spans="3:3" x14ac:dyDescent="0.35">
      <c r="C42089" s="2"/>
    </row>
    <row r="42090" spans="3:3" x14ac:dyDescent="0.35">
      <c r="C42090" s="2"/>
    </row>
    <row r="42091" spans="3:3" x14ac:dyDescent="0.35">
      <c r="C42091" s="2"/>
    </row>
    <row r="42092" spans="3:3" x14ac:dyDescent="0.35">
      <c r="C42092" s="2"/>
    </row>
    <row r="42093" spans="3:3" x14ac:dyDescent="0.35">
      <c r="C42093" s="2"/>
    </row>
    <row r="42094" spans="3:3" x14ac:dyDescent="0.35">
      <c r="C42094" s="2"/>
    </row>
    <row r="42095" spans="3:3" x14ac:dyDescent="0.35">
      <c r="C42095" s="2"/>
    </row>
    <row r="42096" spans="3:3" x14ac:dyDescent="0.35">
      <c r="C42096" s="2"/>
    </row>
    <row r="42097" spans="3:3" x14ac:dyDescent="0.35">
      <c r="C42097" s="2"/>
    </row>
    <row r="42098" spans="3:3" x14ac:dyDescent="0.35">
      <c r="C42098" s="2"/>
    </row>
    <row r="42099" spans="3:3" x14ac:dyDescent="0.35">
      <c r="C42099" s="2"/>
    </row>
    <row r="42100" spans="3:3" x14ac:dyDescent="0.35">
      <c r="C42100" s="2"/>
    </row>
    <row r="42101" spans="3:3" x14ac:dyDescent="0.35">
      <c r="C42101" s="2"/>
    </row>
    <row r="42102" spans="3:3" x14ac:dyDescent="0.35">
      <c r="C42102" s="2"/>
    </row>
    <row r="42103" spans="3:3" x14ac:dyDescent="0.35">
      <c r="C42103" s="2"/>
    </row>
    <row r="42104" spans="3:3" x14ac:dyDescent="0.35">
      <c r="C42104" s="2"/>
    </row>
    <row r="42105" spans="3:3" x14ac:dyDescent="0.35">
      <c r="C42105" s="2"/>
    </row>
    <row r="42106" spans="3:3" x14ac:dyDescent="0.35">
      <c r="C42106" s="2"/>
    </row>
    <row r="42107" spans="3:3" x14ac:dyDescent="0.35">
      <c r="C42107" s="2"/>
    </row>
    <row r="42108" spans="3:3" x14ac:dyDescent="0.35">
      <c r="C42108" s="2"/>
    </row>
    <row r="42109" spans="3:3" x14ac:dyDescent="0.35">
      <c r="C42109" s="2"/>
    </row>
    <row r="42110" spans="3:3" x14ac:dyDescent="0.35">
      <c r="C42110" s="2"/>
    </row>
    <row r="42111" spans="3:3" x14ac:dyDescent="0.35">
      <c r="C42111" s="2"/>
    </row>
    <row r="42112" spans="3:3" x14ac:dyDescent="0.35">
      <c r="C42112" s="2"/>
    </row>
    <row r="42113" spans="3:3" x14ac:dyDescent="0.35">
      <c r="C42113" s="2"/>
    </row>
    <row r="42114" spans="3:3" x14ac:dyDescent="0.35">
      <c r="C42114" s="2"/>
    </row>
    <row r="42115" spans="3:3" x14ac:dyDescent="0.35">
      <c r="C42115" s="2"/>
    </row>
    <row r="42116" spans="3:3" x14ac:dyDescent="0.35">
      <c r="C42116" s="2"/>
    </row>
    <row r="42117" spans="3:3" x14ac:dyDescent="0.35">
      <c r="C42117" s="2"/>
    </row>
    <row r="42118" spans="3:3" x14ac:dyDescent="0.35">
      <c r="C42118" s="2"/>
    </row>
    <row r="42119" spans="3:3" x14ac:dyDescent="0.35">
      <c r="C42119" s="2"/>
    </row>
    <row r="42120" spans="3:3" x14ac:dyDescent="0.35">
      <c r="C42120" s="2"/>
    </row>
    <row r="42121" spans="3:3" x14ac:dyDescent="0.35">
      <c r="C42121" s="2"/>
    </row>
    <row r="42122" spans="3:3" x14ac:dyDescent="0.35">
      <c r="C42122" s="2"/>
    </row>
    <row r="42123" spans="3:3" x14ac:dyDescent="0.35">
      <c r="C42123" s="2"/>
    </row>
    <row r="42124" spans="3:3" x14ac:dyDescent="0.35">
      <c r="C42124" s="2"/>
    </row>
    <row r="42125" spans="3:3" x14ac:dyDescent="0.35">
      <c r="C42125" s="2"/>
    </row>
    <row r="42126" spans="3:3" x14ac:dyDescent="0.35">
      <c r="C42126" s="2"/>
    </row>
    <row r="42127" spans="3:3" x14ac:dyDescent="0.35">
      <c r="C42127" s="2"/>
    </row>
    <row r="42128" spans="3:3" x14ac:dyDescent="0.35">
      <c r="C42128" s="2"/>
    </row>
    <row r="42129" spans="3:3" x14ac:dyDescent="0.35">
      <c r="C42129" s="2"/>
    </row>
    <row r="42130" spans="3:3" x14ac:dyDescent="0.35">
      <c r="C42130" s="2"/>
    </row>
    <row r="42131" spans="3:3" x14ac:dyDescent="0.35">
      <c r="C42131" s="2"/>
    </row>
    <row r="42132" spans="3:3" x14ac:dyDescent="0.35">
      <c r="C42132" s="2"/>
    </row>
    <row r="42133" spans="3:3" x14ac:dyDescent="0.35">
      <c r="C42133" s="2"/>
    </row>
    <row r="42134" spans="3:3" x14ac:dyDescent="0.35">
      <c r="C42134" s="2"/>
    </row>
    <row r="42135" spans="3:3" x14ac:dyDescent="0.35">
      <c r="C42135" s="2"/>
    </row>
    <row r="42136" spans="3:3" x14ac:dyDescent="0.35">
      <c r="C42136" s="2"/>
    </row>
    <row r="42137" spans="3:3" x14ac:dyDescent="0.35">
      <c r="C42137" s="2"/>
    </row>
    <row r="42138" spans="3:3" x14ac:dyDescent="0.35">
      <c r="C42138" s="2"/>
    </row>
    <row r="42139" spans="3:3" x14ac:dyDescent="0.35">
      <c r="C42139" s="2"/>
    </row>
    <row r="42140" spans="3:3" x14ac:dyDescent="0.35">
      <c r="C42140" s="2"/>
    </row>
    <row r="42141" spans="3:3" x14ac:dyDescent="0.35">
      <c r="C42141" s="2"/>
    </row>
    <row r="42142" spans="3:3" x14ac:dyDescent="0.35">
      <c r="C42142" s="2"/>
    </row>
    <row r="42143" spans="3:3" x14ac:dyDescent="0.35">
      <c r="C42143" s="2"/>
    </row>
    <row r="42144" spans="3:3" x14ac:dyDescent="0.35">
      <c r="C42144" s="2"/>
    </row>
    <row r="42145" spans="3:3" x14ac:dyDescent="0.35">
      <c r="C42145" s="2"/>
    </row>
    <row r="42146" spans="3:3" x14ac:dyDescent="0.35">
      <c r="C42146" s="2"/>
    </row>
    <row r="42147" spans="3:3" x14ac:dyDescent="0.35">
      <c r="C42147" s="2"/>
    </row>
    <row r="42148" spans="3:3" x14ac:dyDescent="0.35">
      <c r="C42148" s="2"/>
    </row>
    <row r="42149" spans="3:3" x14ac:dyDescent="0.35">
      <c r="C42149" s="2"/>
    </row>
    <row r="42150" spans="3:3" x14ac:dyDescent="0.35">
      <c r="C42150" s="2"/>
    </row>
    <row r="42151" spans="3:3" x14ac:dyDescent="0.35">
      <c r="C42151" s="2"/>
    </row>
    <row r="42152" spans="3:3" x14ac:dyDescent="0.35">
      <c r="C42152" s="2"/>
    </row>
    <row r="42153" spans="3:3" x14ac:dyDescent="0.35">
      <c r="C42153" s="2"/>
    </row>
    <row r="42154" spans="3:3" x14ac:dyDescent="0.35">
      <c r="C42154" s="2"/>
    </row>
    <row r="42155" spans="3:3" x14ac:dyDescent="0.35">
      <c r="C42155" s="2"/>
    </row>
    <row r="42156" spans="3:3" x14ac:dyDescent="0.35">
      <c r="C42156" s="2"/>
    </row>
    <row r="42157" spans="3:3" x14ac:dyDescent="0.35">
      <c r="C42157" s="2"/>
    </row>
    <row r="42158" spans="3:3" x14ac:dyDescent="0.35">
      <c r="C42158" s="2"/>
    </row>
    <row r="42159" spans="3:3" x14ac:dyDescent="0.35">
      <c r="C42159" s="2"/>
    </row>
    <row r="42160" spans="3:3" x14ac:dyDescent="0.35">
      <c r="C42160" s="2"/>
    </row>
    <row r="42161" spans="3:3" x14ac:dyDescent="0.35">
      <c r="C42161" s="2"/>
    </row>
    <row r="42162" spans="3:3" x14ac:dyDescent="0.35">
      <c r="C42162" s="2"/>
    </row>
    <row r="42163" spans="3:3" x14ac:dyDescent="0.35">
      <c r="C42163" s="2"/>
    </row>
    <row r="42164" spans="3:3" x14ac:dyDescent="0.35">
      <c r="C42164" s="2"/>
    </row>
    <row r="42165" spans="3:3" x14ac:dyDescent="0.35">
      <c r="C42165" s="2"/>
    </row>
    <row r="42166" spans="3:3" x14ac:dyDescent="0.35">
      <c r="C42166" s="2"/>
    </row>
    <row r="42167" spans="3:3" x14ac:dyDescent="0.35">
      <c r="C42167" s="2"/>
    </row>
    <row r="42168" spans="3:3" x14ac:dyDescent="0.35">
      <c r="C42168" s="2"/>
    </row>
    <row r="42169" spans="3:3" x14ac:dyDescent="0.35">
      <c r="C42169" s="2"/>
    </row>
    <row r="42170" spans="3:3" x14ac:dyDescent="0.35">
      <c r="C42170" s="2"/>
    </row>
    <row r="42171" spans="3:3" x14ac:dyDescent="0.35">
      <c r="C42171" s="2"/>
    </row>
    <row r="42172" spans="3:3" x14ac:dyDescent="0.35">
      <c r="C42172" s="2"/>
    </row>
    <row r="42173" spans="3:3" x14ac:dyDescent="0.35">
      <c r="C42173" s="2"/>
    </row>
    <row r="42174" spans="3:3" x14ac:dyDescent="0.35">
      <c r="C42174" s="2"/>
    </row>
    <row r="42175" spans="3:3" x14ac:dyDescent="0.35">
      <c r="C42175" s="2"/>
    </row>
    <row r="42176" spans="3:3" x14ac:dyDescent="0.35">
      <c r="C42176" s="2"/>
    </row>
    <row r="42177" spans="3:3" x14ac:dyDescent="0.35">
      <c r="C42177" s="2"/>
    </row>
    <row r="42178" spans="3:3" x14ac:dyDescent="0.35">
      <c r="C42178" s="2"/>
    </row>
    <row r="42179" spans="3:3" x14ac:dyDescent="0.35">
      <c r="C42179" s="2"/>
    </row>
    <row r="42180" spans="3:3" x14ac:dyDescent="0.35">
      <c r="C42180" s="2"/>
    </row>
    <row r="42181" spans="3:3" x14ac:dyDescent="0.35">
      <c r="C42181" s="2"/>
    </row>
    <row r="42182" spans="3:3" x14ac:dyDescent="0.35">
      <c r="C42182" s="2"/>
    </row>
    <row r="42183" spans="3:3" x14ac:dyDescent="0.35">
      <c r="C42183" s="2"/>
    </row>
    <row r="42184" spans="3:3" x14ac:dyDescent="0.35">
      <c r="C42184" s="2"/>
    </row>
    <row r="42185" spans="3:3" x14ac:dyDescent="0.35">
      <c r="C42185" s="2"/>
    </row>
    <row r="42186" spans="3:3" x14ac:dyDescent="0.35">
      <c r="C42186" s="2"/>
    </row>
    <row r="42187" spans="3:3" x14ac:dyDescent="0.35">
      <c r="C42187" s="2"/>
    </row>
    <row r="42188" spans="3:3" x14ac:dyDescent="0.35">
      <c r="C42188" s="2"/>
    </row>
    <row r="42189" spans="3:3" x14ac:dyDescent="0.35">
      <c r="C42189" s="2"/>
    </row>
    <row r="42190" spans="3:3" x14ac:dyDescent="0.35">
      <c r="C42190" s="2"/>
    </row>
    <row r="42191" spans="3:3" x14ac:dyDescent="0.35">
      <c r="C42191" s="2"/>
    </row>
    <row r="42192" spans="3:3" x14ac:dyDescent="0.35">
      <c r="C42192" s="2"/>
    </row>
    <row r="42193" spans="3:3" x14ac:dyDescent="0.35">
      <c r="C42193" s="2"/>
    </row>
    <row r="42194" spans="3:3" x14ac:dyDescent="0.35">
      <c r="C42194" s="2"/>
    </row>
    <row r="42195" spans="3:3" x14ac:dyDescent="0.35">
      <c r="C42195" s="2"/>
    </row>
    <row r="42196" spans="3:3" x14ac:dyDescent="0.35">
      <c r="C42196" s="2"/>
    </row>
    <row r="42197" spans="3:3" x14ac:dyDescent="0.35">
      <c r="C42197" s="2"/>
    </row>
    <row r="42198" spans="3:3" x14ac:dyDescent="0.35">
      <c r="C42198" s="2"/>
    </row>
    <row r="42199" spans="3:3" x14ac:dyDescent="0.35">
      <c r="C42199" s="2"/>
    </row>
    <row r="42200" spans="3:3" x14ac:dyDescent="0.35">
      <c r="C42200" s="2"/>
    </row>
    <row r="42201" spans="3:3" x14ac:dyDescent="0.35">
      <c r="C42201" s="2"/>
    </row>
    <row r="42202" spans="3:3" x14ac:dyDescent="0.35">
      <c r="C42202" s="2"/>
    </row>
    <row r="42203" spans="3:3" x14ac:dyDescent="0.35">
      <c r="C42203" s="2"/>
    </row>
    <row r="42204" spans="3:3" x14ac:dyDescent="0.35">
      <c r="C42204" s="2"/>
    </row>
    <row r="42205" spans="3:3" x14ac:dyDescent="0.35">
      <c r="C42205" s="2"/>
    </row>
    <row r="42206" spans="3:3" x14ac:dyDescent="0.35">
      <c r="C42206" s="2"/>
    </row>
    <row r="42207" spans="3:3" x14ac:dyDescent="0.35">
      <c r="C42207" s="2"/>
    </row>
    <row r="42208" spans="3:3" x14ac:dyDescent="0.35">
      <c r="C42208" s="2"/>
    </row>
    <row r="42209" spans="3:3" x14ac:dyDescent="0.35">
      <c r="C42209" s="2"/>
    </row>
    <row r="42210" spans="3:3" x14ac:dyDescent="0.35">
      <c r="C42210" s="2"/>
    </row>
    <row r="42211" spans="3:3" x14ac:dyDescent="0.35">
      <c r="C42211" s="2"/>
    </row>
    <row r="42212" spans="3:3" x14ac:dyDescent="0.35">
      <c r="C42212" s="2"/>
    </row>
    <row r="42213" spans="3:3" x14ac:dyDescent="0.35">
      <c r="C42213" s="2"/>
    </row>
    <row r="42214" spans="3:3" x14ac:dyDescent="0.35">
      <c r="C42214" s="2"/>
    </row>
    <row r="42215" spans="3:3" x14ac:dyDescent="0.35">
      <c r="C42215" s="2"/>
    </row>
    <row r="42216" spans="3:3" x14ac:dyDescent="0.35">
      <c r="C42216" s="2"/>
    </row>
    <row r="42217" spans="3:3" x14ac:dyDescent="0.35">
      <c r="C42217" s="2"/>
    </row>
    <row r="42218" spans="3:3" x14ac:dyDescent="0.35">
      <c r="C42218" s="2"/>
    </row>
    <row r="42219" spans="3:3" x14ac:dyDescent="0.35">
      <c r="C42219" s="2"/>
    </row>
    <row r="42220" spans="3:3" x14ac:dyDescent="0.35">
      <c r="C42220" s="2"/>
    </row>
    <row r="42221" spans="3:3" x14ac:dyDescent="0.35">
      <c r="C42221" s="2"/>
    </row>
    <row r="42222" spans="3:3" x14ac:dyDescent="0.35">
      <c r="C42222" s="2"/>
    </row>
    <row r="42223" spans="3:3" x14ac:dyDescent="0.35">
      <c r="C42223" s="2"/>
    </row>
    <row r="42224" spans="3:3" x14ac:dyDescent="0.35">
      <c r="C42224" s="2"/>
    </row>
    <row r="42225" spans="3:3" x14ac:dyDescent="0.35">
      <c r="C42225" s="2"/>
    </row>
    <row r="42226" spans="3:3" x14ac:dyDescent="0.35">
      <c r="C42226" s="2"/>
    </row>
    <row r="42227" spans="3:3" x14ac:dyDescent="0.35">
      <c r="C42227" s="2"/>
    </row>
    <row r="42228" spans="3:3" x14ac:dyDescent="0.35">
      <c r="C42228" s="2"/>
    </row>
    <row r="42229" spans="3:3" x14ac:dyDescent="0.35">
      <c r="C42229" s="2"/>
    </row>
    <row r="42230" spans="3:3" x14ac:dyDescent="0.35">
      <c r="C42230" s="2"/>
    </row>
    <row r="42231" spans="3:3" x14ac:dyDescent="0.35">
      <c r="C42231" s="2"/>
    </row>
    <row r="42232" spans="3:3" x14ac:dyDescent="0.35">
      <c r="C42232" s="2"/>
    </row>
    <row r="42233" spans="3:3" x14ac:dyDescent="0.35">
      <c r="C42233" s="2"/>
    </row>
    <row r="42234" spans="3:3" x14ac:dyDescent="0.35">
      <c r="C42234" s="2"/>
    </row>
    <row r="42235" spans="3:3" x14ac:dyDescent="0.35">
      <c r="C42235" s="2"/>
    </row>
    <row r="42236" spans="3:3" x14ac:dyDescent="0.35">
      <c r="C42236" s="2"/>
    </row>
    <row r="42237" spans="3:3" x14ac:dyDescent="0.35">
      <c r="C42237" s="2"/>
    </row>
    <row r="42238" spans="3:3" x14ac:dyDescent="0.35">
      <c r="C42238" s="2"/>
    </row>
    <row r="42239" spans="3:3" x14ac:dyDescent="0.35">
      <c r="C42239" s="2"/>
    </row>
    <row r="42240" spans="3:3" x14ac:dyDescent="0.35">
      <c r="C42240" s="2"/>
    </row>
    <row r="42241" spans="3:3" x14ac:dyDescent="0.35">
      <c r="C42241" s="2"/>
    </row>
    <row r="42242" spans="3:3" x14ac:dyDescent="0.35">
      <c r="C42242" s="2"/>
    </row>
    <row r="42243" spans="3:3" x14ac:dyDescent="0.35">
      <c r="C42243" s="2"/>
    </row>
    <row r="42244" spans="3:3" x14ac:dyDescent="0.35">
      <c r="C42244" s="2"/>
    </row>
    <row r="42245" spans="3:3" x14ac:dyDescent="0.35">
      <c r="C42245" s="2"/>
    </row>
    <row r="42246" spans="3:3" x14ac:dyDescent="0.35">
      <c r="C42246" s="2"/>
    </row>
    <row r="42247" spans="3:3" x14ac:dyDescent="0.35">
      <c r="C42247" s="2"/>
    </row>
    <row r="42248" spans="3:3" x14ac:dyDescent="0.35">
      <c r="C42248" s="2"/>
    </row>
    <row r="42249" spans="3:3" x14ac:dyDescent="0.35">
      <c r="C42249" s="2"/>
    </row>
    <row r="42250" spans="3:3" x14ac:dyDescent="0.35">
      <c r="C42250" s="2"/>
    </row>
    <row r="42251" spans="3:3" x14ac:dyDescent="0.35">
      <c r="C42251" s="2"/>
    </row>
    <row r="42252" spans="3:3" x14ac:dyDescent="0.35">
      <c r="C42252" s="2"/>
    </row>
    <row r="42253" spans="3:3" x14ac:dyDescent="0.35">
      <c r="C42253" s="2"/>
    </row>
    <row r="42254" spans="3:3" x14ac:dyDescent="0.35">
      <c r="C42254" s="2"/>
    </row>
    <row r="42255" spans="3:3" x14ac:dyDescent="0.35">
      <c r="C42255" s="2"/>
    </row>
    <row r="42256" spans="3:3" x14ac:dyDescent="0.35">
      <c r="C42256" s="2"/>
    </row>
    <row r="42257" spans="3:3" x14ac:dyDescent="0.35">
      <c r="C42257" s="2"/>
    </row>
    <row r="42258" spans="3:3" x14ac:dyDescent="0.35">
      <c r="C42258" s="2"/>
    </row>
    <row r="42259" spans="3:3" x14ac:dyDescent="0.35">
      <c r="C42259" s="2"/>
    </row>
    <row r="42260" spans="3:3" x14ac:dyDescent="0.35">
      <c r="C42260" s="2"/>
    </row>
    <row r="42261" spans="3:3" x14ac:dyDescent="0.35">
      <c r="C42261" s="2"/>
    </row>
    <row r="42262" spans="3:3" x14ac:dyDescent="0.35">
      <c r="C42262" s="2"/>
    </row>
    <row r="42263" spans="3:3" x14ac:dyDescent="0.35">
      <c r="C42263" s="2"/>
    </row>
    <row r="42264" spans="3:3" x14ac:dyDescent="0.35">
      <c r="C42264" s="2"/>
    </row>
    <row r="42265" spans="3:3" x14ac:dyDescent="0.35">
      <c r="C42265" s="2"/>
    </row>
    <row r="42266" spans="3:3" x14ac:dyDescent="0.35">
      <c r="C42266" s="2"/>
    </row>
    <row r="42267" spans="3:3" x14ac:dyDescent="0.35">
      <c r="C42267" s="2"/>
    </row>
    <row r="42268" spans="3:3" x14ac:dyDescent="0.35">
      <c r="C42268" s="2"/>
    </row>
    <row r="42269" spans="3:3" x14ac:dyDescent="0.35">
      <c r="C42269" s="2"/>
    </row>
    <row r="42270" spans="3:3" x14ac:dyDescent="0.35">
      <c r="C42270" s="2"/>
    </row>
    <row r="42271" spans="3:3" x14ac:dyDescent="0.35">
      <c r="C42271" s="2"/>
    </row>
    <row r="42272" spans="3:3" x14ac:dyDescent="0.35">
      <c r="C42272" s="2"/>
    </row>
    <row r="42273" spans="3:3" x14ac:dyDescent="0.35">
      <c r="C42273" s="2"/>
    </row>
    <row r="42274" spans="3:3" x14ac:dyDescent="0.35">
      <c r="C42274" s="2"/>
    </row>
    <row r="42275" spans="3:3" x14ac:dyDescent="0.35">
      <c r="C42275" s="2"/>
    </row>
    <row r="42276" spans="3:3" x14ac:dyDescent="0.35">
      <c r="C42276" s="2"/>
    </row>
    <row r="42277" spans="3:3" x14ac:dyDescent="0.35">
      <c r="C42277" s="2"/>
    </row>
    <row r="42278" spans="3:3" x14ac:dyDescent="0.35">
      <c r="C42278" s="2"/>
    </row>
    <row r="42279" spans="3:3" x14ac:dyDescent="0.35">
      <c r="C42279" s="2"/>
    </row>
    <row r="42280" spans="3:3" x14ac:dyDescent="0.35">
      <c r="C42280" s="2"/>
    </row>
    <row r="42281" spans="3:3" x14ac:dyDescent="0.35">
      <c r="C42281" s="2"/>
    </row>
    <row r="42282" spans="3:3" x14ac:dyDescent="0.35">
      <c r="C42282" s="2"/>
    </row>
    <row r="42283" spans="3:3" x14ac:dyDescent="0.35">
      <c r="C42283" s="2"/>
    </row>
    <row r="42284" spans="3:3" x14ac:dyDescent="0.35">
      <c r="C42284" s="2"/>
    </row>
    <row r="42285" spans="3:3" x14ac:dyDescent="0.35">
      <c r="C42285" s="2"/>
    </row>
    <row r="42286" spans="3:3" x14ac:dyDescent="0.35">
      <c r="C42286" s="2"/>
    </row>
    <row r="42287" spans="3:3" x14ac:dyDescent="0.35">
      <c r="C42287" s="2"/>
    </row>
    <row r="42288" spans="3:3" x14ac:dyDescent="0.35">
      <c r="C42288" s="2"/>
    </row>
    <row r="42289" spans="3:3" x14ac:dyDescent="0.35">
      <c r="C42289" s="2"/>
    </row>
    <row r="42290" spans="3:3" x14ac:dyDescent="0.35">
      <c r="C42290" s="2"/>
    </row>
    <row r="42291" spans="3:3" x14ac:dyDescent="0.35">
      <c r="C42291" s="2"/>
    </row>
    <row r="42292" spans="3:3" x14ac:dyDescent="0.35">
      <c r="C42292" s="2"/>
    </row>
    <row r="42293" spans="3:3" x14ac:dyDescent="0.35">
      <c r="C42293" s="2"/>
    </row>
    <row r="42294" spans="3:3" x14ac:dyDescent="0.35">
      <c r="C42294" s="2"/>
    </row>
    <row r="42295" spans="3:3" x14ac:dyDescent="0.35">
      <c r="C42295" s="2"/>
    </row>
    <row r="42296" spans="3:3" x14ac:dyDescent="0.35">
      <c r="C42296" s="2"/>
    </row>
    <row r="42297" spans="3:3" x14ac:dyDescent="0.35">
      <c r="C42297" s="2"/>
    </row>
    <row r="42298" spans="3:3" x14ac:dyDescent="0.35">
      <c r="C42298" s="2"/>
    </row>
    <row r="42299" spans="3:3" x14ac:dyDescent="0.35">
      <c r="C42299" s="2"/>
    </row>
    <row r="42300" spans="3:3" x14ac:dyDescent="0.35">
      <c r="C42300" s="2"/>
    </row>
    <row r="42301" spans="3:3" x14ac:dyDescent="0.35">
      <c r="C42301" s="2"/>
    </row>
    <row r="42302" spans="3:3" x14ac:dyDescent="0.35">
      <c r="C42302" s="2"/>
    </row>
    <row r="42303" spans="3:3" x14ac:dyDescent="0.35">
      <c r="C42303" s="2"/>
    </row>
    <row r="42304" spans="3:3" x14ac:dyDescent="0.35">
      <c r="C42304" s="2"/>
    </row>
    <row r="42305" spans="3:3" x14ac:dyDescent="0.35">
      <c r="C42305" s="2"/>
    </row>
    <row r="42306" spans="3:3" x14ac:dyDescent="0.35">
      <c r="C42306" s="2"/>
    </row>
    <row r="42307" spans="3:3" x14ac:dyDescent="0.35">
      <c r="C42307" s="2"/>
    </row>
    <row r="42308" spans="3:3" x14ac:dyDescent="0.35">
      <c r="C42308" s="2"/>
    </row>
    <row r="42309" spans="3:3" x14ac:dyDescent="0.35">
      <c r="C42309" s="2"/>
    </row>
    <row r="42310" spans="3:3" x14ac:dyDescent="0.35">
      <c r="C42310" s="2"/>
    </row>
    <row r="42311" spans="3:3" x14ac:dyDescent="0.35">
      <c r="C42311" s="2"/>
    </row>
    <row r="42312" spans="3:3" x14ac:dyDescent="0.35">
      <c r="C42312" s="2"/>
    </row>
    <row r="42313" spans="3:3" x14ac:dyDescent="0.35">
      <c r="C42313" s="2"/>
    </row>
    <row r="42314" spans="3:3" x14ac:dyDescent="0.35">
      <c r="C42314" s="2"/>
    </row>
    <row r="42315" spans="3:3" x14ac:dyDescent="0.35">
      <c r="C42315" s="2"/>
    </row>
    <row r="42316" spans="3:3" x14ac:dyDescent="0.35">
      <c r="C42316" s="2"/>
    </row>
    <row r="42317" spans="3:3" x14ac:dyDescent="0.35">
      <c r="C42317" s="2"/>
    </row>
    <row r="42318" spans="3:3" x14ac:dyDescent="0.35">
      <c r="C42318" s="2"/>
    </row>
    <row r="42319" spans="3:3" x14ac:dyDescent="0.35">
      <c r="C42319" s="2"/>
    </row>
    <row r="42320" spans="3:3" x14ac:dyDescent="0.35">
      <c r="C42320" s="2"/>
    </row>
    <row r="42321" spans="3:3" x14ac:dyDescent="0.35">
      <c r="C42321" s="2"/>
    </row>
    <row r="42322" spans="3:3" x14ac:dyDescent="0.35">
      <c r="C42322" s="2"/>
    </row>
    <row r="42323" spans="3:3" x14ac:dyDescent="0.35">
      <c r="C42323" s="2"/>
    </row>
    <row r="42324" spans="3:3" x14ac:dyDescent="0.35">
      <c r="C42324" s="2"/>
    </row>
    <row r="42325" spans="3:3" x14ac:dyDescent="0.35">
      <c r="C42325" s="2"/>
    </row>
    <row r="42326" spans="3:3" x14ac:dyDescent="0.35">
      <c r="C42326" s="2"/>
    </row>
    <row r="42327" spans="3:3" x14ac:dyDescent="0.35">
      <c r="C42327" s="2"/>
    </row>
    <row r="42328" spans="3:3" x14ac:dyDescent="0.35">
      <c r="C42328" s="2"/>
    </row>
    <row r="42329" spans="3:3" x14ac:dyDescent="0.35">
      <c r="C42329" s="2"/>
    </row>
    <row r="42330" spans="3:3" x14ac:dyDescent="0.35">
      <c r="C42330" s="2"/>
    </row>
    <row r="42331" spans="3:3" x14ac:dyDescent="0.35">
      <c r="C42331" s="2"/>
    </row>
    <row r="42332" spans="3:3" x14ac:dyDescent="0.35">
      <c r="C42332" s="2"/>
    </row>
    <row r="42333" spans="3:3" x14ac:dyDescent="0.35">
      <c r="C42333" s="2"/>
    </row>
    <row r="42334" spans="3:3" x14ac:dyDescent="0.35">
      <c r="C42334" s="2"/>
    </row>
    <row r="42335" spans="3:3" x14ac:dyDescent="0.35">
      <c r="C42335" s="2"/>
    </row>
    <row r="42336" spans="3:3" x14ac:dyDescent="0.35">
      <c r="C42336" s="2"/>
    </row>
    <row r="42337" spans="3:3" x14ac:dyDescent="0.35">
      <c r="C42337" s="2"/>
    </row>
    <row r="42338" spans="3:3" x14ac:dyDescent="0.35">
      <c r="C42338" s="2"/>
    </row>
    <row r="42339" spans="3:3" x14ac:dyDescent="0.35">
      <c r="C42339" s="2"/>
    </row>
    <row r="42340" spans="3:3" x14ac:dyDescent="0.35">
      <c r="C42340" s="2"/>
    </row>
    <row r="42341" spans="3:3" x14ac:dyDescent="0.35">
      <c r="C42341" s="2"/>
    </row>
    <row r="42342" spans="3:3" x14ac:dyDescent="0.35">
      <c r="C42342" s="2"/>
    </row>
    <row r="42343" spans="3:3" x14ac:dyDescent="0.35">
      <c r="C42343" s="2"/>
    </row>
    <row r="42344" spans="3:3" x14ac:dyDescent="0.35">
      <c r="C42344" s="2"/>
    </row>
    <row r="42345" spans="3:3" x14ac:dyDescent="0.35">
      <c r="C42345" s="2"/>
    </row>
    <row r="42346" spans="3:3" x14ac:dyDescent="0.35">
      <c r="C42346" s="2"/>
    </row>
    <row r="42347" spans="3:3" x14ac:dyDescent="0.35">
      <c r="C42347" s="2"/>
    </row>
    <row r="42348" spans="3:3" x14ac:dyDescent="0.35">
      <c r="C42348" s="2"/>
    </row>
    <row r="42349" spans="3:3" x14ac:dyDescent="0.35">
      <c r="C42349" s="2"/>
    </row>
    <row r="42350" spans="3:3" x14ac:dyDescent="0.35">
      <c r="C42350" s="2"/>
    </row>
    <row r="42351" spans="3:3" x14ac:dyDescent="0.35">
      <c r="C42351" s="2"/>
    </row>
    <row r="42352" spans="3:3" x14ac:dyDescent="0.35">
      <c r="C42352" s="2"/>
    </row>
    <row r="42353" spans="3:3" x14ac:dyDescent="0.35">
      <c r="C42353" s="2"/>
    </row>
    <row r="42354" spans="3:3" x14ac:dyDescent="0.35">
      <c r="C42354" s="2"/>
    </row>
    <row r="42355" spans="3:3" x14ac:dyDescent="0.35">
      <c r="C42355" s="2"/>
    </row>
    <row r="42356" spans="3:3" x14ac:dyDescent="0.35">
      <c r="C42356" s="2"/>
    </row>
    <row r="42357" spans="3:3" x14ac:dyDescent="0.35">
      <c r="C42357" s="2"/>
    </row>
    <row r="42358" spans="3:3" x14ac:dyDescent="0.35">
      <c r="C42358" s="2"/>
    </row>
    <row r="42359" spans="3:3" x14ac:dyDescent="0.35">
      <c r="C42359" s="2"/>
    </row>
    <row r="42360" spans="3:3" x14ac:dyDescent="0.35">
      <c r="C42360" s="2"/>
    </row>
    <row r="42361" spans="3:3" x14ac:dyDescent="0.35">
      <c r="C42361" s="2"/>
    </row>
    <row r="42362" spans="3:3" x14ac:dyDescent="0.35">
      <c r="C42362" s="2"/>
    </row>
    <row r="42363" spans="3:3" x14ac:dyDescent="0.35">
      <c r="C42363" s="2"/>
    </row>
    <row r="42364" spans="3:3" x14ac:dyDescent="0.35">
      <c r="C42364" s="2"/>
    </row>
    <row r="42365" spans="3:3" x14ac:dyDescent="0.35">
      <c r="C42365" s="2"/>
    </row>
    <row r="42366" spans="3:3" x14ac:dyDescent="0.35">
      <c r="C42366" s="2"/>
    </row>
    <row r="42367" spans="3:3" x14ac:dyDescent="0.35">
      <c r="C42367" s="2"/>
    </row>
    <row r="42368" spans="3:3" x14ac:dyDescent="0.35">
      <c r="C42368" s="2"/>
    </row>
    <row r="42369" spans="3:3" x14ac:dyDescent="0.35">
      <c r="C42369" s="2"/>
    </row>
    <row r="42370" spans="3:3" x14ac:dyDescent="0.35">
      <c r="C42370" s="2"/>
    </row>
    <row r="42371" spans="3:3" x14ac:dyDescent="0.35">
      <c r="C42371" s="2"/>
    </row>
    <row r="42372" spans="3:3" x14ac:dyDescent="0.35">
      <c r="C42372" s="2"/>
    </row>
    <row r="42373" spans="3:3" x14ac:dyDescent="0.35">
      <c r="C42373" s="2"/>
    </row>
    <row r="42374" spans="3:3" x14ac:dyDescent="0.35">
      <c r="C42374" s="2"/>
    </row>
    <row r="42375" spans="3:3" x14ac:dyDescent="0.35">
      <c r="C42375" s="2"/>
    </row>
    <row r="42376" spans="3:3" x14ac:dyDescent="0.35">
      <c r="C42376" s="2"/>
    </row>
    <row r="42377" spans="3:3" x14ac:dyDescent="0.35">
      <c r="C42377" s="2"/>
    </row>
    <row r="42378" spans="3:3" x14ac:dyDescent="0.35">
      <c r="C42378" s="2"/>
    </row>
    <row r="42379" spans="3:3" x14ac:dyDescent="0.35">
      <c r="C42379" s="2"/>
    </row>
    <row r="42380" spans="3:3" x14ac:dyDescent="0.35">
      <c r="C42380" s="2"/>
    </row>
    <row r="42381" spans="3:3" x14ac:dyDescent="0.35">
      <c r="C42381" s="2"/>
    </row>
    <row r="42382" spans="3:3" x14ac:dyDescent="0.35">
      <c r="C42382" s="2"/>
    </row>
    <row r="42383" spans="3:3" x14ac:dyDescent="0.35">
      <c r="C42383" s="2"/>
    </row>
    <row r="42384" spans="3:3" x14ac:dyDescent="0.35">
      <c r="C42384" s="2"/>
    </row>
    <row r="42385" spans="3:3" x14ac:dyDescent="0.35">
      <c r="C42385" s="2"/>
    </row>
    <row r="42386" spans="3:3" x14ac:dyDescent="0.35">
      <c r="C42386" s="2"/>
    </row>
    <row r="42387" spans="3:3" x14ac:dyDescent="0.35">
      <c r="C42387" s="2"/>
    </row>
    <row r="42388" spans="3:3" x14ac:dyDescent="0.35">
      <c r="C42388" s="2"/>
    </row>
    <row r="42389" spans="3:3" x14ac:dyDescent="0.35">
      <c r="C42389" s="2"/>
    </row>
    <row r="42390" spans="3:3" x14ac:dyDescent="0.35">
      <c r="C42390" s="2"/>
    </row>
    <row r="42391" spans="3:3" x14ac:dyDescent="0.35">
      <c r="C42391" s="2"/>
    </row>
    <row r="42392" spans="3:3" x14ac:dyDescent="0.35">
      <c r="C42392" s="2"/>
    </row>
    <row r="42393" spans="3:3" x14ac:dyDescent="0.35">
      <c r="C42393" s="2"/>
    </row>
    <row r="42394" spans="3:3" x14ac:dyDescent="0.35">
      <c r="C42394" s="2"/>
    </row>
    <row r="42395" spans="3:3" x14ac:dyDescent="0.35">
      <c r="C42395" s="2"/>
    </row>
    <row r="42396" spans="3:3" x14ac:dyDescent="0.35">
      <c r="C42396" s="2"/>
    </row>
    <row r="42397" spans="3:3" x14ac:dyDescent="0.35">
      <c r="C42397" s="2"/>
    </row>
    <row r="42398" spans="3:3" x14ac:dyDescent="0.35">
      <c r="C42398" s="2"/>
    </row>
    <row r="42399" spans="3:3" x14ac:dyDescent="0.35">
      <c r="C42399" s="2"/>
    </row>
    <row r="42400" spans="3:3" x14ac:dyDescent="0.35">
      <c r="C42400" s="2"/>
    </row>
    <row r="42401" spans="3:3" x14ac:dyDescent="0.35">
      <c r="C42401" s="2"/>
    </row>
    <row r="42402" spans="3:3" x14ac:dyDescent="0.35">
      <c r="C42402" s="2"/>
    </row>
    <row r="42403" spans="3:3" x14ac:dyDescent="0.35">
      <c r="C42403" s="2"/>
    </row>
    <row r="42404" spans="3:3" x14ac:dyDescent="0.35">
      <c r="C42404" s="2"/>
    </row>
    <row r="42405" spans="3:3" x14ac:dyDescent="0.35">
      <c r="C42405" s="2"/>
    </row>
    <row r="42406" spans="3:3" x14ac:dyDescent="0.35">
      <c r="C42406" s="2"/>
    </row>
    <row r="42407" spans="3:3" x14ac:dyDescent="0.35">
      <c r="C42407" s="2"/>
    </row>
    <row r="42408" spans="3:3" x14ac:dyDescent="0.35">
      <c r="C42408" s="2"/>
    </row>
    <row r="42409" spans="3:3" x14ac:dyDescent="0.35">
      <c r="C42409" s="2"/>
    </row>
    <row r="42410" spans="3:3" x14ac:dyDescent="0.35">
      <c r="C42410" s="2"/>
    </row>
    <row r="42411" spans="3:3" x14ac:dyDescent="0.35">
      <c r="C42411" s="2"/>
    </row>
    <row r="42412" spans="3:3" x14ac:dyDescent="0.35">
      <c r="C42412" s="2"/>
    </row>
    <row r="42413" spans="3:3" x14ac:dyDescent="0.35">
      <c r="C42413" s="2"/>
    </row>
    <row r="42414" spans="3:3" x14ac:dyDescent="0.35">
      <c r="C42414" s="2"/>
    </row>
    <row r="42415" spans="3:3" x14ac:dyDescent="0.35">
      <c r="C42415" s="2"/>
    </row>
    <row r="42416" spans="3:3" x14ac:dyDescent="0.35">
      <c r="C42416" s="2"/>
    </row>
    <row r="42417" spans="3:3" x14ac:dyDescent="0.35">
      <c r="C42417" s="2"/>
    </row>
    <row r="42418" spans="3:3" x14ac:dyDescent="0.35">
      <c r="C42418" s="2"/>
    </row>
    <row r="42419" spans="3:3" x14ac:dyDescent="0.35">
      <c r="C42419" s="2"/>
    </row>
    <row r="42420" spans="3:3" x14ac:dyDescent="0.35">
      <c r="C42420" s="2"/>
    </row>
    <row r="42421" spans="3:3" x14ac:dyDescent="0.35">
      <c r="C42421" s="2"/>
    </row>
    <row r="42422" spans="3:3" x14ac:dyDescent="0.35">
      <c r="C42422" s="2"/>
    </row>
    <row r="42423" spans="3:3" x14ac:dyDescent="0.35">
      <c r="C42423" s="2"/>
    </row>
    <row r="42424" spans="3:3" x14ac:dyDescent="0.35">
      <c r="C42424" s="2"/>
    </row>
    <row r="42425" spans="3:3" x14ac:dyDescent="0.35">
      <c r="C42425" s="2"/>
    </row>
    <row r="42426" spans="3:3" x14ac:dyDescent="0.35">
      <c r="C42426" s="2"/>
    </row>
    <row r="42427" spans="3:3" x14ac:dyDescent="0.35">
      <c r="C42427" s="2"/>
    </row>
    <row r="42428" spans="3:3" x14ac:dyDescent="0.35">
      <c r="C42428" s="2"/>
    </row>
    <row r="42429" spans="3:3" x14ac:dyDescent="0.35">
      <c r="C42429" s="2"/>
    </row>
    <row r="42430" spans="3:3" x14ac:dyDescent="0.35">
      <c r="C42430" s="2"/>
    </row>
    <row r="42431" spans="3:3" x14ac:dyDescent="0.35">
      <c r="C42431" s="2"/>
    </row>
    <row r="42432" spans="3:3" x14ac:dyDescent="0.35">
      <c r="C42432" s="2"/>
    </row>
    <row r="42433" spans="3:3" x14ac:dyDescent="0.35">
      <c r="C42433" s="2"/>
    </row>
    <row r="42434" spans="3:3" x14ac:dyDescent="0.35">
      <c r="C42434" s="2"/>
    </row>
    <row r="42435" spans="3:3" x14ac:dyDescent="0.35">
      <c r="C42435" s="2"/>
    </row>
    <row r="42436" spans="3:3" x14ac:dyDescent="0.35">
      <c r="C42436" s="2"/>
    </row>
    <row r="42437" spans="3:3" x14ac:dyDescent="0.35">
      <c r="C42437" s="2"/>
    </row>
    <row r="42438" spans="3:3" x14ac:dyDescent="0.35">
      <c r="C42438" s="2"/>
    </row>
    <row r="42439" spans="3:3" x14ac:dyDescent="0.35">
      <c r="C42439" s="2"/>
    </row>
    <row r="42440" spans="3:3" x14ac:dyDescent="0.35">
      <c r="C42440" s="2"/>
    </row>
    <row r="42441" spans="3:3" x14ac:dyDescent="0.35">
      <c r="C42441" s="2"/>
    </row>
    <row r="42442" spans="3:3" x14ac:dyDescent="0.35">
      <c r="C42442" s="2"/>
    </row>
    <row r="42443" spans="3:3" x14ac:dyDescent="0.35">
      <c r="C42443" s="2"/>
    </row>
    <row r="42444" spans="3:3" x14ac:dyDescent="0.35">
      <c r="C42444" s="2"/>
    </row>
    <row r="42445" spans="3:3" x14ac:dyDescent="0.35">
      <c r="C42445" s="2"/>
    </row>
    <row r="42446" spans="3:3" x14ac:dyDescent="0.35">
      <c r="C42446" s="2"/>
    </row>
    <row r="42447" spans="3:3" x14ac:dyDescent="0.35">
      <c r="C42447" s="2"/>
    </row>
    <row r="42448" spans="3:3" x14ac:dyDescent="0.35">
      <c r="C42448" s="2"/>
    </row>
    <row r="42449" spans="3:3" x14ac:dyDescent="0.35">
      <c r="C42449" s="2"/>
    </row>
    <row r="42450" spans="3:3" x14ac:dyDescent="0.35">
      <c r="C42450" s="2"/>
    </row>
    <row r="42451" spans="3:3" x14ac:dyDescent="0.35">
      <c r="C42451" s="2"/>
    </row>
    <row r="42452" spans="3:3" x14ac:dyDescent="0.35">
      <c r="C42452" s="2"/>
    </row>
    <row r="42453" spans="3:3" x14ac:dyDescent="0.35">
      <c r="C42453" s="2"/>
    </row>
    <row r="42454" spans="3:3" x14ac:dyDescent="0.35">
      <c r="C42454" s="2"/>
    </row>
    <row r="42455" spans="3:3" x14ac:dyDescent="0.35">
      <c r="C42455" s="2"/>
    </row>
    <row r="42456" spans="3:3" x14ac:dyDescent="0.35">
      <c r="C42456" s="2"/>
    </row>
    <row r="42457" spans="3:3" x14ac:dyDescent="0.35">
      <c r="C42457" s="2"/>
    </row>
    <row r="42458" spans="3:3" x14ac:dyDescent="0.35">
      <c r="C42458" s="2"/>
    </row>
    <row r="42459" spans="3:3" x14ac:dyDescent="0.35">
      <c r="C42459" s="2"/>
    </row>
    <row r="42460" spans="3:3" x14ac:dyDescent="0.35">
      <c r="C42460" s="2"/>
    </row>
    <row r="42461" spans="3:3" x14ac:dyDescent="0.35">
      <c r="C42461" s="2"/>
    </row>
    <row r="42462" spans="3:3" x14ac:dyDescent="0.35">
      <c r="C42462" s="2"/>
    </row>
    <row r="42463" spans="3:3" x14ac:dyDescent="0.35">
      <c r="C42463" s="2"/>
    </row>
    <row r="42464" spans="3:3" x14ac:dyDescent="0.35">
      <c r="C42464" s="2"/>
    </row>
    <row r="42465" spans="3:3" x14ac:dyDescent="0.35">
      <c r="C42465" s="2"/>
    </row>
    <row r="42466" spans="3:3" x14ac:dyDescent="0.35">
      <c r="C42466" s="2"/>
    </row>
    <row r="42467" spans="3:3" x14ac:dyDescent="0.35">
      <c r="C42467" s="2"/>
    </row>
    <row r="42468" spans="3:3" x14ac:dyDescent="0.35">
      <c r="C42468" s="2"/>
    </row>
    <row r="42469" spans="3:3" x14ac:dyDescent="0.35">
      <c r="C42469" s="2"/>
    </row>
    <row r="42470" spans="3:3" x14ac:dyDescent="0.35">
      <c r="C42470" s="2"/>
    </row>
    <row r="42471" spans="3:3" x14ac:dyDescent="0.35">
      <c r="C42471" s="2"/>
    </row>
    <row r="42472" spans="3:3" x14ac:dyDescent="0.35">
      <c r="C42472" s="2"/>
    </row>
    <row r="42473" spans="3:3" x14ac:dyDescent="0.35">
      <c r="C42473" s="2"/>
    </row>
    <row r="42474" spans="3:3" x14ac:dyDescent="0.35">
      <c r="C42474" s="2"/>
    </row>
    <row r="42475" spans="3:3" x14ac:dyDescent="0.35">
      <c r="C42475" s="2"/>
    </row>
    <row r="42476" spans="3:3" x14ac:dyDescent="0.35">
      <c r="C42476" s="2"/>
    </row>
    <row r="42477" spans="3:3" x14ac:dyDescent="0.35">
      <c r="C42477" s="2"/>
    </row>
    <row r="42478" spans="3:3" x14ac:dyDescent="0.35">
      <c r="C42478" s="2"/>
    </row>
    <row r="42479" spans="3:3" x14ac:dyDescent="0.35">
      <c r="C42479" s="2"/>
    </row>
    <row r="42480" spans="3:3" x14ac:dyDescent="0.35">
      <c r="C42480" s="2"/>
    </row>
    <row r="42481" spans="3:3" x14ac:dyDescent="0.35">
      <c r="C42481" s="2"/>
    </row>
    <row r="42482" spans="3:3" x14ac:dyDescent="0.35">
      <c r="C42482" s="2"/>
    </row>
    <row r="42483" spans="3:3" x14ac:dyDescent="0.35">
      <c r="C42483" s="2"/>
    </row>
    <row r="42484" spans="3:3" x14ac:dyDescent="0.35">
      <c r="C42484" s="2"/>
    </row>
    <row r="42485" spans="3:3" x14ac:dyDescent="0.35">
      <c r="C42485" s="2"/>
    </row>
    <row r="42486" spans="3:3" x14ac:dyDescent="0.35">
      <c r="C42486" s="2"/>
    </row>
    <row r="42487" spans="3:3" x14ac:dyDescent="0.35">
      <c r="C42487" s="2"/>
    </row>
    <row r="42488" spans="3:3" x14ac:dyDescent="0.35">
      <c r="C42488" s="2"/>
    </row>
    <row r="42489" spans="3:3" x14ac:dyDescent="0.35">
      <c r="C42489" s="2"/>
    </row>
    <row r="42490" spans="3:3" x14ac:dyDescent="0.35">
      <c r="C42490" s="2"/>
    </row>
    <row r="42491" spans="3:3" x14ac:dyDescent="0.35">
      <c r="C42491" s="2"/>
    </row>
    <row r="42492" spans="3:3" x14ac:dyDescent="0.35">
      <c r="C42492" s="2"/>
    </row>
    <row r="42493" spans="3:3" x14ac:dyDescent="0.35">
      <c r="C42493" s="2"/>
    </row>
    <row r="42494" spans="3:3" x14ac:dyDescent="0.35">
      <c r="C42494" s="2"/>
    </row>
    <row r="42495" spans="3:3" x14ac:dyDescent="0.35">
      <c r="C42495" s="2"/>
    </row>
    <row r="42496" spans="3:3" x14ac:dyDescent="0.35">
      <c r="C42496" s="2"/>
    </row>
    <row r="42497" spans="3:3" x14ac:dyDescent="0.35">
      <c r="C42497" s="2"/>
    </row>
    <row r="42498" spans="3:3" x14ac:dyDescent="0.35">
      <c r="C42498" s="2"/>
    </row>
    <row r="42499" spans="3:3" x14ac:dyDescent="0.35">
      <c r="C42499" s="2"/>
    </row>
    <row r="42500" spans="3:3" x14ac:dyDescent="0.35">
      <c r="C42500" s="2"/>
    </row>
    <row r="42501" spans="3:3" x14ac:dyDescent="0.35">
      <c r="C42501" s="2"/>
    </row>
    <row r="42502" spans="3:3" x14ac:dyDescent="0.35">
      <c r="C42502" s="2"/>
    </row>
    <row r="42503" spans="3:3" x14ac:dyDescent="0.35">
      <c r="C42503" s="2"/>
    </row>
    <row r="42504" spans="3:3" x14ac:dyDescent="0.35">
      <c r="C42504" s="2"/>
    </row>
    <row r="42505" spans="3:3" x14ac:dyDescent="0.35">
      <c r="C42505" s="2"/>
    </row>
    <row r="42506" spans="3:3" x14ac:dyDescent="0.35">
      <c r="C42506" s="2"/>
    </row>
    <row r="42507" spans="3:3" x14ac:dyDescent="0.35">
      <c r="C42507" s="2"/>
    </row>
    <row r="42508" spans="3:3" x14ac:dyDescent="0.35">
      <c r="C42508" s="2"/>
    </row>
    <row r="42509" spans="3:3" x14ac:dyDescent="0.35">
      <c r="C42509" s="2"/>
    </row>
    <row r="42510" spans="3:3" x14ac:dyDescent="0.35">
      <c r="C42510" s="2"/>
    </row>
    <row r="42511" spans="3:3" x14ac:dyDescent="0.35">
      <c r="C42511" s="2"/>
    </row>
    <row r="42512" spans="3:3" x14ac:dyDescent="0.35">
      <c r="C42512" s="2"/>
    </row>
    <row r="42513" spans="3:3" x14ac:dyDescent="0.35">
      <c r="C42513" s="2"/>
    </row>
    <row r="42514" spans="3:3" x14ac:dyDescent="0.35">
      <c r="C42514" s="2"/>
    </row>
    <row r="42515" spans="3:3" x14ac:dyDescent="0.35">
      <c r="C42515" s="2"/>
    </row>
    <row r="42516" spans="3:3" x14ac:dyDescent="0.35">
      <c r="C42516" s="2"/>
    </row>
    <row r="42517" spans="3:3" x14ac:dyDescent="0.35">
      <c r="C42517" s="2"/>
    </row>
    <row r="42518" spans="3:3" x14ac:dyDescent="0.35">
      <c r="C42518" s="2"/>
    </row>
    <row r="42519" spans="3:3" x14ac:dyDescent="0.35">
      <c r="C42519" s="2"/>
    </row>
    <row r="42520" spans="3:3" x14ac:dyDescent="0.35">
      <c r="C42520" s="2"/>
    </row>
    <row r="42521" spans="3:3" x14ac:dyDescent="0.35">
      <c r="C42521" s="2"/>
    </row>
    <row r="42522" spans="3:3" x14ac:dyDescent="0.35">
      <c r="C42522" s="2"/>
    </row>
    <row r="42523" spans="3:3" x14ac:dyDescent="0.35">
      <c r="C42523" s="2"/>
    </row>
    <row r="42524" spans="3:3" x14ac:dyDescent="0.35">
      <c r="C42524" s="2"/>
    </row>
    <row r="42525" spans="3:3" x14ac:dyDescent="0.35">
      <c r="C42525" s="2"/>
    </row>
    <row r="42526" spans="3:3" x14ac:dyDescent="0.35">
      <c r="C42526" s="2"/>
    </row>
    <row r="42527" spans="3:3" x14ac:dyDescent="0.35">
      <c r="C42527" s="2"/>
    </row>
    <row r="42528" spans="3:3" x14ac:dyDescent="0.35">
      <c r="C42528" s="2"/>
    </row>
    <row r="42529" spans="3:3" x14ac:dyDescent="0.35">
      <c r="C42529" s="2"/>
    </row>
    <row r="42530" spans="3:3" x14ac:dyDescent="0.35">
      <c r="C42530" s="2"/>
    </row>
    <row r="42531" spans="3:3" x14ac:dyDescent="0.35">
      <c r="C42531" s="2"/>
    </row>
    <row r="42532" spans="3:3" x14ac:dyDescent="0.35">
      <c r="C42532" s="2"/>
    </row>
    <row r="42533" spans="3:3" x14ac:dyDescent="0.35">
      <c r="C42533" s="2"/>
    </row>
    <row r="42534" spans="3:3" x14ac:dyDescent="0.35">
      <c r="C42534" s="2"/>
    </row>
    <row r="42535" spans="3:3" x14ac:dyDescent="0.35">
      <c r="C42535" s="2"/>
    </row>
    <row r="42536" spans="3:3" x14ac:dyDescent="0.35">
      <c r="C42536" s="2"/>
    </row>
    <row r="42537" spans="3:3" x14ac:dyDescent="0.35">
      <c r="C42537" s="2"/>
    </row>
    <row r="42538" spans="3:3" x14ac:dyDescent="0.35">
      <c r="C42538" s="2"/>
    </row>
    <row r="42539" spans="3:3" x14ac:dyDescent="0.35">
      <c r="C42539" s="2"/>
    </row>
    <row r="42540" spans="3:3" x14ac:dyDescent="0.35">
      <c r="C42540" s="2"/>
    </row>
    <row r="42541" spans="3:3" x14ac:dyDescent="0.35">
      <c r="C42541" s="2"/>
    </row>
    <row r="42542" spans="3:3" x14ac:dyDescent="0.35">
      <c r="C42542" s="2"/>
    </row>
    <row r="42543" spans="3:3" x14ac:dyDescent="0.35">
      <c r="C42543" s="2"/>
    </row>
    <row r="42544" spans="3:3" x14ac:dyDescent="0.35">
      <c r="C42544" s="2"/>
    </row>
    <row r="42545" spans="3:3" x14ac:dyDescent="0.35">
      <c r="C42545" s="2"/>
    </row>
    <row r="42546" spans="3:3" x14ac:dyDescent="0.35">
      <c r="C42546" s="2"/>
    </row>
    <row r="42547" spans="3:3" x14ac:dyDescent="0.35">
      <c r="C42547" s="2"/>
    </row>
    <row r="42548" spans="3:3" x14ac:dyDescent="0.35">
      <c r="C42548" s="2"/>
    </row>
    <row r="42549" spans="3:3" x14ac:dyDescent="0.35">
      <c r="C42549" s="2"/>
    </row>
    <row r="42550" spans="3:3" x14ac:dyDescent="0.35">
      <c r="C42550" s="2"/>
    </row>
    <row r="42551" spans="3:3" x14ac:dyDescent="0.35">
      <c r="C42551" s="2"/>
    </row>
    <row r="42552" spans="3:3" x14ac:dyDescent="0.35">
      <c r="C42552" s="2"/>
    </row>
    <row r="42553" spans="3:3" x14ac:dyDescent="0.35">
      <c r="C42553" s="2"/>
    </row>
    <row r="42554" spans="3:3" x14ac:dyDescent="0.35">
      <c r="C42554" s="2"/>
    </row>
    <row r="42555" spans="3:3" x14ac:dyDescent="0.35">
      <c r="C42555" s="2"/>
    </row>
    <row r="42556" spans="3:3" x14ac:dyDescent="0.35">
      <c r="C42556" s="2"/>
    </row>
    <row r="42557" spans="3:3" x14ac:dyDescent="0.35">
      <c r="C42557" s="2"/>
    </row>
    <row r="42558" spans="3:3" x14ac:dyDescent="0.35">
      <c r="C42558" s="2"/>
    </row>
    <row r="42559" spans="3:3" x14ac:dyDescent="0.35">
      <c r="C42559" s="2"/>
    </row>
    <row r="42560" spans="3:3" x14ac:dyDescent="0.35">
      <c r="C42560" s="2"/>
    </row>
    <row r="42561" spans="3:3" x14ac:dyDescent="0.35">
      <c r="C42561" s="2"/>
    </row>
    <row r="42562" spans="3:3" x14ac:dyDescent="0.35">
      <c r="C42562" s="2"/>
    </row>
    <row r="42563" spans="3:3" x14ac:dyDescent="0.35">
      <c r="C42563" s="2"/>
    </row>
    <row r="42564" spans="3:3" x14ac:dyDescent="0.35">
      <c r="C42564" s="2"/>
    </row>
    <row r="42565" spans="3:3" x14ac:dyDescent="0.35">
      <c r="C42565" s="2"/>
    </row>
    <row r="42566" spans="3:3" x14ac:dyDescent="0.35">
      <c r="C42566" s="2"/>
    </row>
    <row r="42567" spans="3:3" x14ac:dyDescent="0.35">
      <c r="C42567" s="2"/>
    </row>
    <row r="42568" spans="3:3" x14ac:dyDescent="0.35">
      <c r="C42568" s="2"/>
    </row>
    <row r="42569" spans="3:3" x14ac:dyDescent="0.35">
      <c r="C42569" s="2"/>
    </row>
    <row r="42570" spans="3:3" x14ac:dyDescent="0.35">
      <c r="C42570" s="2"/>
    </row>
    <row r="42571" spans="3:3" x14ac:dyDescent="0.35">
      <c r="C42571" s="2"/>
    </row>
    <row r="42572" spans="3:3" x14ac:dyDescent="0.35">
      <c r="C42572" s="2"/>
    </row>
    <row r="42573" spans="3:3" x14ac:dyDescent="0.35">
      <c r="C42573" s="2"/>
    </row>
    <row r="42574" spans="3:3" x14ac:dyDescent="0.35">
      <c r="C42574" s="2"/>
    </row>
    <row r="42575" spans="3:3" x14ac:dyDescent="0.35">
      <c r="C42575" s="2"/>
    </row>
    <row r="42576" spans="3:3" x14ac:dyDescent="0.35">
      <c r="C42576" s="2"/>
    </row>
    <row r="42577" spans="3:3" x14ac:dyDescent="0.35">
      <c r="C42577" s="2"/>
    </row>
    <row r="42578" spans="3:3" x14ac:dyDescent="0.35">
      <c r="C42578" s="2"/>
    </row>
    <row r="42579" spans="3:3" x14ac:dyDescent="0.35">
      <c r="C42579" s="2"/>
    </row>
    <row r="42580" spans="3:3" x14ac:dyDescent="0.35">
      <c r="C42580" s="2"/>
    </row>
    <row r="42581" spans="3:3" x14ac:dyDescent="0.35">
      <c r="C42581" s="2"/>
    </row>
    <row r="42582" spans="3:3" x14ac:dyDescent="0.35">
      <c r="C42582" s="2"/>
    </row>
    <row r="42583" spans="3:3" x14ac:dyDescent="0.35">
      <c r="C42583" s="2"/>
    </row>
    <row r="42584" spans="3:3" x14ac:dyDescent="0.35">
      <c r="C42584" s="2"/>
    </row>
    <row r="42585" spans="3:3" x14ac:dyDescent="0.35">
      <c r="C42585" s="2"/>
    </row>
    <row r="42586" spans="3:3" x14ac:dyDescent="0.35">
      <c r="C42586" s="2"/>
    </row>
    <row r="42587" spans="3:3" x14ac:dyDescent="0.35">
      <c r="C42587" s="2"/>
    </row>
    <row r="42588" spans="3:3" x14ac:dyDescent="0.35">
      <c r="C42588" s="2"/>
    </row>
    <row r="42589" spans="3:3" x14ac:dyDescent="0.35">
      <c r="C42589" s="2"/>
    </row>
    <row r="42590" spans="3:3" x14ac:dyDescent="0.35">
      <c r="C42590" s="2"/>
    </row>
    <row r="42591" spans="3:3" x14ac:dyDescent="0.35">
      <c r="C42591" s="2"/>
    </row>
    <row r="42592" spans="3:3" x14ac:dyDescent="0.35">
      <c r="C42592" s="2"/>
    </row>
    <row r="42593" spans="3:3" x14ac:dyDescent="0.35">
      <c r="C42593" s="2"/>
    </row>
    <row r="42594" spans="3:3" x14ac:dyDescent="0.35">
      <c r="C42594" s="2"/>
    </row>
    <row r="42595" spans="3:3" x14ac:dyDescent="0.35">
      <c r="C42595" s="2"/>
    </row>
    <row r="42596" spans="3:3" x14ac:dyDescent="0.35">
      <c r="C42596" s="2"/>
    </row>
    <row r="42597" spans="3:3" x14ac:dyDescent="0.35">
      <c r="C42597" s="2"/>
    </row>
    <row r="42598" spans="3:3" x14ac:dyDescent="0.35">
      <c r="C42598" s="2"/>
    </row>
    <row r="42599" spans="3:3" x14ac:dyDescent="0.35">
      <c r="C42599" s="2"/>
    </row>
    <row r="42600" spans="3:3" x14ac:dyDescent="0.35">
      <c r="C42600" s="2"/>
    </row>
    <row r="42601" spans="3:3" x14ac:dyDescent="0.35">
      <c r="C42601" s="2"/>
    </row>
    <row r="42602" spans="3:3" x14ac:dyDescent="0.35">
      <c r="C42602" s="2"/>
    </row>
    <row r="42603" spans="3:3" x14ac:dyDescent="0.35">
      <c r="C42603" s="2"/>
    </row>
    <row r="42604" spans="3:3" x14ac:dyDescent="0.35">
      <c r="C42604" s="2"/>
    </row>
    <row r="42605" spans="3:3" x14ac:dyDescent="0.35">
      <c r="C42605" s="2"/>
    </row>
    <row r="42606" spans="3:3" x14ac:dyDescent="0.35">
      <c r="C42606" s="2"/>
    </row>
    <row r="42607" spans="3:3" x14ac:dyDescent="0.35">
      <c r="C42607" s="2"/>
    </row>
    <row r="42608" spans="3:3" x14ac:dyDescent="0.35">
      <c r="C42608" s="2"/>
    </row>
    <row r="42609" spans="3:3" x14ac:dyDescent="0.35">
      <c r="C42609" s="2"/>
    </row>
    <row r="42610" spans="3:3" x14ac:dyDescent="0.35">
      <c r="C42610" s="2"/>
    </row>
    <row r="42611" spans="3:3" x14ac:dyDescent="0.35">
      <c r="C42611" s="2"/>
    </row>
    <row r="42612" spans="3:3" x14ac:dyDescent="0.35">
      <c r="C42612" s="2"/>
    </row>
    <row r="42613" spans="3:3" x14ac:dyDescent="0.35">
      <c r="C42613" s="2"/>
    </row>
    <row r="42614" spans="3:3" x14ac:dyDescent="0.35">
      <c r="C42614" s="2"/>
    </row>
    <row r="42615" spans="3:3" x14ac:dyDescent="0.35">
      <c r="C42615" s="2"/>
    </row>
    <row r="42616" spans="3:3" x14ac:dyDescent="0.35">
      <c r="C42616" s="2"/>
    </row>
    <row r="42617" spans="3:3" x14ac:dyDescent="0.35">
      <c r="C42617" s="2"/>
    </row>
    <row r="42618" spans="3:3" x14ac:dyDescent="0.35">
      <c r="C42618" s="2"/>
    </row>
    <row r="42619" spans="3:3" x14ac:dyDescent="0.35">
      <c r="C42619" s="2"/>
    </row>
    <row r="42620" spans="3:3" x14ac:dyDescent="0.35">
      <c r="C42620" s="2"/>
    </row>
    <row r="42621" spans="3:3" x14ac:dyDescent="0.35">
      <c r="C42621" s="2"/>
    </row>
    <row r="42622" spans="3:3" x14ac:dyDescent="0.35">
      <c r="C42622" s="2"/>
    </row>
    <row r="42623" spans="3:3" x14ac:dyDescent="0.35">
      <c r="C42623" s="2"/>
    </row>
    <row r="42624" spans="3:3" x14ac:dyDescent="0.35">
      <c r="C42624" s="2"/>
    </row>
    <row r="42625" spans="3:3" x14ac:dyDescent="0.35">
      <c r="C42625" s="2"/>
    </row>
    <row r="42626" spans="3:3" x14ac:dyDescent="0.35">
      <c r="C42626" s="2"/>
    </row>
    <row r="42627" spans="3:3" x14ac:dyDescent="0.35">
      <c r="C42627" s="2"/>
    </row>
    <row r="42628" spans="3:3" x14ac:dyDescent="0.35">
      <c r="C42628" s="2"/>
    </row>
    <row r="42629" spans="3:3" x14ac:dyDescent="0.35">
      <c r="C42629" s="2"/>
    </row>
    <row r="42630" spans="3:3" x14ac:dyDescent="0.35">
      <c r="C42630" s="2"/>
    </row>
    <row r="42631" spans="3:3" x14ac:dyDescent="0.35">
      <c r="C42631" s="2"/>
    </row>
    <row r="42632" spans="3:3" x14ac:dyDescent="0.35">
      <c r="C42632" s="2"/>
    </row>
    <row r="42633" spans="3:3" x14ac:dyDescent="0.35">
      <c r="C42633" s="2"/>
    </row>
    <row r="42634" spans="3:3" x14ac:dyDescent="0.35">
      <c r="C42634" s="2"/>
    </row>
    <row r="42635" spans="3:3" x14ac:dyDescent="0.35">
      <c r="C42635" s="2"/>
    </row>
    <row r="42636" spans="3:3" x14ac:dyDescent="0.35">
      <c r="C42636" s="2"/>
    </row>
    <row r="42637" spans="3:3" x14ac:dyDescent="0.35">
      <c r="C42637" s="2"/>
    </row>
    <row r="42638" spans="3:3" x14ac:dyDescent="0.35">
      <c r="C42638" s="2"/>
    </row>
    <row r="42639" spans="3:3" x14ac:dyDescent="0.35">
      <c r="C42639" s="2"/>
    </row>
    <row r="42640" spans="3:3" x14ac:dyDescent="0.35">
      <c r="C42640" s="2"/>
    </row>
    <row r="42641" spans="3:3" x14ac:dyDescent="0.35">
      <c r="C42641" s="2"/>
    </row>
    <row r="42642" spans="3:3" x14ac:dyDescent="0.35">
      <c r="C42642" s="2"/>
    </row>
    <row r="42643" spans="3:3" x14ac:dyDescent="0.35">
      <c r="C42643" s="2"/>
    </row>
    <row r="42644" spans="3:3" x14ac:dyDescent="0.35">
      <c r="C42644" s="2"/>
    </row>
    <row r="42645" spans="3:3" x14ac:dyDescent="0.35">
      <c r="C42645" s="2"/>
    </row>
    <row r="42646" spans="3:3" x14ac:dyDescent="0.35">
      <c r="C42646" s="2"/>
    </row>
    <row r="42647" spans="3:3" x14ac:dyDescent="0.35">
      <c r="C42647" s="2"/>
    </row>
    <row r="42648" spans="3:3" x14ac:dyDescent="0.35">
      <c r="C42648" s="2"/>
    </row>
    <row r="42649" spans="3:3" x14ac:dyDescent="0.35">
      <c r="C42649" s="2"/>
    </row>
    <row r="42650" spans="3:3" x14ac:dyDescent="0.35">
      <c r="C42650" s="2"/>
    </row>
    <row r="42651" spans="3:3" x14ac:dyDescent="0.35">
      <c r="C42651" s="2"/>
    </row>
    <row r="42652" spans="3:3" x14ac:dyDescent="0.35">
      <c r="C42652" s="2"/>
    </row>
    <row r="42653" spans="3:3" x14ac:dyDescent="0.35">
      <c r="C42653" s="2"/>
    </row>
    <row r="42654" spans="3:3" x14ac:dyDescent="0.35">
      <c r="C42654" s="2"/>
    </row>
    <row r="42655" spans="3:3" x14ac:dyDescent="0.35">
      <c r="C42655" s="2"/>
    </row>
    <row r="42656" spans="3:3" x14ac:dyDescent="0.35">
      <c r="C42656" s="2"/>
    </row>
    <row r="42657" spans="3:3" x14ac:dyDescent="0.35">
      <c r="C42657" s="2"/>
    </row>
    <row r="42658" spans="3:3" x14ac:dyDescent="0.35">
      <c r="C42658" s="2"/>
    </row>
    <row r="42659" spans="3:3" x14ac:dyDescent="0.35">
      <c r="C42659" s="2"/>
    </row>
    <row r="42660" spans="3:3" x14ac:dyDescent="0.35">
      <c r="C42660" s="2"/>
    </row>
    <row r="42661" spans="3:3" x14ac:dyDescent="0.35">
      <c r="C42661" s="2"/>
    </row>
    <row r="42662" spans="3:3" x14ac:dyDescent="0.35">
      <c r="C42662" s="2"/>
    </row>
    <row r="42663" spans="3:3" x14ac:dyDescent="0.35">
      <c r="C42663" s="2"/>
    </row>
    <row r="42664" spans="3:3" x14ac:dyDescent="0.35">
      <c r="C42664" s="2"/>
    </row>
    <row r="42665" spans="3:3" x14ac:dyDescent="0.35">
      <c r="C42665" s="2"/>
    </row>
    <row r="42666" spans="3:3" x14ac:dyDescent="0.35">
      <c r="C42666" s="2"/>
    </row>
    <row r="42667" spans="3:3" x14ac:dyDescent="0.35">
      <c r="C42667" s="2"/>
    </row>
    <row r="42668" spans="3:3" x14ac:dyDescent="0.35">
      <c r="C42668" s="2"/>
    </row>
    <row r="42669" spans="3:3" x14ac:dyDescent="0.35">
      <c r="C42669" s="2"/>
    </row>
    <row r="42670" spans="3:3" x14ac:dyDescent="0.35">
      <c r="C42670" s="2"/>
    </row>
    <row r="42671" spans="3:3" x14ac:dyDescent="0.35">
      <c r="C42671" s="2"/>
    </row>
    <row r="42672" spans="3:3" x14ac:dyDescent="0.35">
      <c r="C42672" s="2"/>
    </row>
    <row r="42673" spans="3:3" x14ac:dyDescent="0.35">
      <c r="C42673" s="2"/>
    </row>
    <row r="42674" spans="3:3" x14ac:dyDescent="0.35">
      <c r="C42674" s="2"/>
    </row>
    <row r="42675" spans="3:3" x14ac:dyDescent="0.35">
      <c r="C42675" s="2"/>
    </row>
    <row r="42676" spans="3:3" x14ac:dyDescent="0.35">
      <c r="C42676" s="2"/>
    </row>
    <row r="42677" spans="3:3" x14ac:dyDescent="0.35">
      <c r="C42677" s="2"/>
    </row>
    <row r="42678" spans="3:3" x14ac:dyDescent="0.35">
      <c r="C42678" s="2"/>
    </row>
    <row r="42679" spans="3:3" x14ac:dyDescent="0.35">
      <c r="C42679" s="2"/>
    </row>
    <row r="42680" spans="3:3" x14ac:dyDescent="0.35">
      <c r="C42680" s="2"/>
    </row>
    <row r="42681" spans="3:3" x14ac:dyDescent="0.35">
      <c r="C42681" s="2"/>
    </row>
    <row r="42682" spans="3:3" x14ac:dyDescent="0.35">
      <c r="C42682" s="2"/>
    </row>
    <row r="42683" spans="3:3" x14ac:dyDescent="0.35">
      <c r="C42683" s="2"/>
    </row>
    <row r="42684" spans="3:3" x14ac:dyDescent="0.35">
      <c r="C42684" s="2"/>
    </row>
    <row r="42685" spans="3:3" x14ac:dyDescent="0.35">
      <c r="C42685" s="2"/>
    </row>
    <row r="42686" spans="3:3" x14ac:dyDescent="0.35">
      <c r="C42686" s="2"/>
    </row>
    <row r="42687" spans="3:3" x14ac:dyDescent="0.35">
      <c r="C42687" s="2"/>
    </row>
    <row r="42688" spans="3:3" x14ac:dyDescent="0.35">
      <c r="C42688" s="2"/>
    </row>
    <row r="42689" spans="3:3" x14ac:dyDescent="0.35">
      <c r="C42689" s="2"/>
    </row>
    <row r="42690" spans="3:3" x14ac:dyDescent="0.35">
      <c r="C42690" s="2"/>
    </row>
    <row r="42691" spans="3:3" x14ac:dyDescent="0.35">
      <c r="C42691" s="2"/>
    </row>
    <row r="42692" spans="3:3" x14ac:dyDescent="0.35">
      <c r="C42692" s="2"/>
    </row>
    <row r="42693" spans="3:3" x14ac:dyDescent="0.35">
      <c r="C42693" s="2"/>
    </row>
    <row r="42694" spans="3:3" x14ac:dyDescent="0.35">
      <c r="C42694" s="2"/>
    </row>
    <row r="42695" spans="3:3" x14ac:dyDescent="0.35">
      <c r="C42695" s="2"/>
    </row>
    <row r="42696" spans="3:3" x14ac:dyDescent="0.35">
      <c r="C42696" s="2"/>
    </row>
    <row r="42697" spans="3:3" x14ac:dyDescent="0.35">
      <c r="C42697" s="2"/>
    </row>
    <row r="42698" spans="3:3" x14ac:dyDescent="0.35">
      <c r="C42698" s="2"/>
    </row>
    <row r="42699" spans="3:3" x14ac:dyDescent="0.35">
      <c r="C42699" s="2"/>
    </row>
    <row r="42700" spans="3:3" x14ac:dyDescent="0.35">
      <c r="C42700" s="2"/>
    </row>
    <row r="42701" spans="3:3" x14ac:dyDescent="0.35">
      <c r="C42701" s="2"/>
    </row>
    <row r="42702" spans="3:3" x14ac:dyDescent="0.35">
      <c r="C42702" s="2"/>
    </row>
    <row r="42703" spans="3:3" x14ac:dyDescent="0.35">
      <c r="C42703" s="2"/>
    </row>
    <row r="42704" spans="3:3" x14ac:dyDescent="0.35">
      <c r="C42704" s="2"/>
    </row>
    <row r="42705" spans="3:3" x14ac:dyDescent="0.35">
      <c r="C42705" s="2"/>
    </row>
    <row r="42706" spans="3:3" x14ac:dyDescent="0.35">
      <c r="C42706" s="2"/>
    </row>
    <row r="42707" spans="3:3" x14ac:dyDescent="0.35">
      <c r="C42707" s="2"/>
    </row>
    <row r="42708" spans="3:3" x14ac:dyDescent="0.35">
      <c r="C42708" s="2"/>
    </row>
    <row r="42709" spans="3:3" x14ac:dyDescent="0.35">
      <c r="C42709" s="2"/>
    </row>
    <row r="42710" spans="3:3" x14ac:dyDescent="0.35">
      <c r="C42710" s="2"/>
    </row>
    <row r="42711" spans="3:3" x14ac:dyDescent="0.35">
      <c r="C42711" s="2"/>
    </row>
    <row r="42712" spans="3:3" x14ac:dyDescent="0.35">
      <c r="C42712" s="2"/>
    </row>
    <row r="42713" spans="3:3" x14ac:dyDescent="0.35">
      <c r="C42713" s="2"/>
    </row>
    <row r="42714" spans="3:3" x14ac:dyDescent="0.35">
      <c r="C42714" s="2"/>
    </row>
    <row r="42715" spans="3:3" x14ac:dyDescent="0.35">
      <c r="C42715" s="2"/>
    </row>
    <row r="42716" spans="3:3" x14ac:dyDescent="0.35">
      <c r="C42716" s="2"/>
    </row>
    <row r="42717" spans="3:3" x14ac:dyDescent="0.35">
      <c r="C42717" s="2"/>
    </row>
    <row r="42718" spans="3:3" x14ac:dyDescent="0.35">
      <c r="C42718" s="2"/>
    </row>
    <row r="42719" spans="3:3" x14ac:dyDescent="0.35">
      <c r="C42719" s="2"/>
    </row>
    <row r="42720" spans="3:3" x14ac:dyDescent="0.35">
      <c r="C42720" s="2"/>
    </row>
    <row r="42721" spans="3:3" x14ac:dyDescent="0.35">
      <c r="C42721" s="2"/>
    </row>
    <row r="42722" spans="3:3" x14ac:dyDescent="0.35">
      <c r="C42722" s="2"/>
    </row>
    <row r="42723" spans="3:3" x14ac:dyDescent="0.35">
      <c r="C42723" s="2"/>
    </row>
    <row r="42724" spans="3:3" x14ac:dyDescent="0.35">
      <c r="C42724" s="2"/>
    </row>
    <row r="42725" spans="3:3" x14ac:dyDescent="0.35">
      <c r="C42725" s="2"/>
    </row>
    <row r="42726" spans="3:3" x14ac:dyDescent="0.35">
      <c r="C42726" s="2"/>
    </row>
    <row r="42727" spans="3:3" x14ac:dyDescent="0.35">
      <c r="C42727" s="2"/>
    </row>
    <row r="42728" spans="3:3" x14ac:dyDescent="0.35">
      <c r="C42728" s="2"/>
    </row>
    <row r="42729" spans="3:3" x14ac:dyDescent="0.35">
      <c r="C42729" s="2"/>
    </row>
    <row r="42730" spans="3:3" x14ac:dyDescent="0.35">
      <c r="C42730" s="2"/>
    </row>
    <row r="42731" spans="3:3" x14ac:dyDescent="0.35">
      <c r="C42731" s="2"/>
    </row>
    <row r="42732" spans="3:3" x14ac:dyDescent="0.35">
      <c r="C42732" s="2"/>
    </row>
    <row r="42733" spans="3:3" x14ac:dyDescent="0.35">
      <c r="C42733" s="2"/>
    </row>
    <row r="42734" spans="3:3" x14ac:dyDescent="0.35">
      <c r="C42734" s="2"/>
    </row>
    <row r="42735" spans="3:3" x14ac:dyDescent="0.35">
      <c r="C42735" s="2"/>
    </row>
    <row r="42736" spans="3:3" x14ac:dyDescent="0.35">
      <c r="C42736" s="2"/>
    </row>
    <row r="42737" spans="3:3" x14ac:dyDescent="0.35">
      <c r="C42737" s="2"/>
    </row>
    <row r="42738" spans="3:3" x14ac:dyDescent="0.35">
      <c r="C42738" s="2"/>
    </row>
    <row r="42739" spans="3:3" x14ac:dyDescent="0.35">
      <c r="C42739" s="2"/>
    </row>
    <row r="42740" spans="3:3" x14ac:dyDescent="0.35">
      <c r="C42740" s="2"/>
    </row>
    <row r="42741" spans="3:3" x14ac:dyDescent="0.35">
      <c r="C42741" s="2"/>
    </row>
    <row r="42742" spans="3:3" x14ac:dyDescent="0.35">
      <c r="C42742" s="2"/>
    </row>
    <row r="42743" spans="3:3" x14ac:dyDescent="0.35">
      <c r="C42743" s="2"/>
    </row>
    <row r="42744" spans="3:3" x14ac:dyDescent="0.35">
      <c r="C42744" s="2"/>
    </row>
    <row r="42745" spans="3:3" x14ac:dyDescent="0.35">
      <c r="C42745" s="2"/>
    </row>
    <row r="42746" spans="3:3" x14ac:dyDescent="0.35">
      <c r="C42746" s="2"/>
    </row>
    <row r="42747" spans="3:3" x14ac:dyDescent="0.35">
      <c r="C42747" s="2"/>
    </row>
    <row r="42748" spans="3:3" x14ac:dyDescent="0.35">
      <c r="C42748" s="2"/>
    </row>
    <row r="42749" spans="3:3" x14ac:dyDescent="0.35">
      <c r="C42749" s="2"/>
    </row>
    <row r="42750" spans="3:3" x14ac:dyDescent="0.35">
      <c r="C42750" s="2"/>
    </row>
    <row r="42751" spans="3:3" x14ac:dyDescent="0.35">
      <c r="C42751" s="2"/>
    </row>
    <row r="42752" spans="3:3" x14ac:dyDescent="0.35">
      <c r="C42752" s="2"/>
    </row>
    <row r="42753" spans="3:3" x14ac:dyDescent="0.35">
      <c r="C42753" s="2"/>
    </row>
    <row r="42754" spans="3:3" x14ac:dyDescent="0.35">
      <c r="C42754" s="2"/>
    </row>
    <row r="42755" spans="3:3" x14ac:dyDescent="0.35">
      <c r="C42755" s="2"/>
    </row>
    <row r="42756" spans="3:3" x14ac:dyDescent="0.35">
      <c r="C42756" s="2"/>
    </row>
    <row r="42757" spans="3:3" x14ac:dyDescent="0.35">
      <c r="C42757" s="2"/>
    </row>
    <row r="42758" spans="3:3" x14ac:dyDescent="0.35">
      <c r="C42758" s="2"/>
    </row>
    <row r="42759" spans="3:3" x14ac:dyDescent="0.35">
      <c r="C42759" s="2"/>
    </row>
    <row r="42760" spans="3:3" x14ac:dyDescent="0.35">
      <c r="C42760" s="2"/>
    </row>
    <row r="42761" spans="3:3" x14ac:dyDescent="0.35">
      <c r="C42761" s="2"/>
    </row>
    <row r="42762" spans="3:3" x14ac:dyDescent="0.35">
      <c r="C42762" s="2"/>
    </row>
    <row r="42763" spans="3:3" x14ac:dyDescent="0.35">
      <c r="C42763" s="2"/>
    </row>
    <row r="42764" spans="3:3" x14ac:dyDescent="0.35">
      <c r="C42764" s="2"/>
    </row>
    <row r="42765" spans="3:3" x14ac:dyDescent="0.35">
      <c r="C42765" s="2"/>
    </row>
    <row r="42766" spans="3:3" x14ac:dyDescent="0.35">
      <c r="C42766" s="2"/>
    </row>
    <row r="42767" spans="3:3" x14ac:dyDescent="0.35">
      <c r="C42767" s="2"/>
    </row>
    <row r="42768" spans="3:3" x14ac:dyDescent="0.35">
      <c r="C42768" s="2"/>
    </row>
    <row r="42769" spans="3:3" x14ac:dyDescent="0.35">
      <c r="C42769" s="2"/>
    </row>
    <row r="42770" spans="3:3" x14ac:dyDescent="0.35">
      <c r="C42770" s="2"/>
    </row>
    <row r="42771" spans="3:3" x14ac:dyDescent="0.35">
      <c r="C42771" s="2"/>
    </row>
    <row r="42772" spans="3:3" x14ac:dyDescent="0.35">
      <c r="C42772" s="2"/>
    </row>
    <row r="42773" spans="3:3" x14ac:dyDescent="0.35">
      <c r="C42773" s="2"/>
    </row>
    <row r="42774" spans="3:3" x14ac:dyDescent="0.35">
      <c r="C42774" s="2"/>
    </row>
    <row r="42775" spans="3:3" x14ac:dyDescent="0.35">
      <c r="C42775" s="2"/>
    </row>
    <row r="42776" spans="3:3" x14ac:dyDescent="0.35">
      <c r="C42776" s="2"/>
    </row>
    <row r="42777" spans="3:3" x14ac:dyDescent="0.35">
      <c r="C42777" s="2"/>
    </row>
    <row r="42778" spans="3:3" x14ac:dyDescent="0.35">
      <c r="C42778" s="2"/>
    </row>
    <row r="42779" spans="3:3" x14ac:dyDescent="0.35">
      <c r="C42779" s="2"/>
    </row>
    <row r="42780" spans="3:3" x14ac:dyDescent="0.35">
      <c r="C42780" s="2"/>
    </row>
    <row r="42781" spans="3:3" x14ac:dyDescent="0.35">
      <c r="C42781" s="2"/>
    </row>
    <row r="42782" spans="3:3" x14ac:dyDescent="0.35">
      <c r="C42782" s="2"/>
    </row>
    <row r="42783" spans="3:3" x14ac:dyDescent="0.35">
      <c r="C42783" s="2"/>
    </row>
    <row r="42784" spans="3:3" x14ac:dyDescent="0.35">
      <c r="C42784" s="2"/>
    </row>
    <row r="42785" spans="3:3" x14ac:dyDescent="0.35">
      <c r="C42785" s="2"/>
    </row>
    <row r="42786" spans="3:3" x14ac:dyDescent="0.35">
      <c r="C42786" s="2"/>
    </row>
    <row r="42787" spans="3:3" x14ac:dyDescent="0.35">
      <c r="C42787" s="2"/>
    </row>
    <row r="42788" spans="3:3" x14ac:dyDescent="0.35">
      <c r="C42788" s="2"/>
    </row>
    <row r="42789" spans="3:3" x14ac:dyDescent="0.35">
      <c r="C42789" s="2"/>
    </row>
    <row r="42790" spans="3:3" x14ac:dyDescent="0.35">
      <c r="C42790" s="2"/>
    </row>
    <row r="42791" spans="3:3" x14ac:dyDescent="0.35">
      <c r="C42791" s="2"/>
    </row>
    <row r="42792" spans="3:3" x14ac:dyDescent="0.35">
      <c r="C42792" s="2"/>
    </row>
    <row r="42793" spans="3:3" x14ac:dyDescent="0.35">
      <c r="C42793" s="2"/>
    </row>
    <row r="42794" spans="3:3" x14ac:dyDescent="0.35">
      <c r="C42794" s="2"/>
    </row>
    <row r="42795" spans="3:3" x14ac:dyDescent="0.35">
      <c r="C42795" s="2"/>
    </row>
    <row r="42796" spans="3:3" x14ac:dyDescent="0.35">
      <c r="C42796" s="2"/>
    </row>
    <row r="42797" spans="3:3" x14ac:dyDescent="0.35">
      <c r="C42797" s="2"/>
    </row>
    <row r="42798" spans="3:3" x14ac:dyDescent="0.35">
      <c r="C42798" s="2"/>
    </row>
    <row r="42799" spans="3:3" x14ac:dyDescent="0.35">
      <c r="C42799" s="2"/>
    </row>
    <row r="42800" spans="3:3" x14ac:dyDescent="0.35">
      <c r="C42800" s="2"/>
    </row>
    <row r="42801" spans="3:3" x14ac:dyDescent="0.35">
      <c r="C42801" s="2"/>
    </row>
    <row r="42802" spans="3:3" x14ac:dyDescent="0.35">
      <c r="C42802" s="2"/>
    </row>
    <row r="42803" spans="3:3" x14ac:dyDescent="0.35">
      <c r="C42803" s="2"/>
    </row>
    <row r="42804" spans="3:3" x14ac:dyDescent="0.35">
      <c r="C42804" s="2"/>
    </row>
    <row r="42805" spans="3:3" x14ac:dyDescent="0.35">
      <c r="C42805" s="2"/>
    </row>
    <row r="42806" spans="3:3" x14ac:dyDescent="0.35">
      <c r="C42806" s="2"/>
    </row>
    <row r="42807" spans="3:3" x14ac:dyDescent="0.35">
      <c r="C42807" s="2"/>
    </row>
    <row r="42808" spans="3:3" x14ac:dyDescent="0.35">
      <c r="C42808" s="2"/>
    </row>
    <row r="42809" spans="3:3" x14ac:dyDescent="0.35">
      <c r="C42809" s="2"/>
    </row>
    <row r="42810" spans="3:3" x14ac:dyDescent="0.35">
      <c r="C42810" s="2"/>
    </row>
    <row r="42811" spans="3:3" x14ac:dyDescent="0.35">
      <c r="C42811" s="2"/>
    </row>
    <row r="42812" spans="3:3" x14ac:dyDescent="0.35">
      <c r="C42812" s="2"/>
    </row>
    <row r="42813" spans="3:3" x14ac:dyDescent="0.35">
      <c r="C42813" s="2"/>
    </row>
    <row r="42814" spans="3:3" x14ac:dyDescent="0.35">
      <c r="C42814" s="2"/>
    </row>
    <row r="42815" spans="3:3" x14ac:dyDescent="0.35">
      <c r="C42815" s="2"/>
    </row>
    <row r="42816" spans="3:3" x14ac:dyDescent="0.35">
      <c r="C42816" s="2"/>
    </row>
    <row r="42817" spans="3:3" x14ac:dyDescent="0.35">
      <c r="C42817" s="2"/>
    </row>
    <row r="42818" spans="3:3" x14ac:dyDescent="0.35">
      <c r="C42818" s="2"/>
    </row>
    <row r="42819" spans="3:3" x14ac:dyDescent="0.35">
      <c r="C42819" s="2"/>
    </row>
    <row r="42820" spans="3:3" x14ac:dyDescent="0.35">
      <c r="C42820" s="2"/>
    </row>
    <row r="42821" spans="3:3" x14ac:dyDescent="0.35">
      <c r="C42821" s="2"/>
    </row>
    <row r="42822" spans="3:3" x14ac:dyDescent="0.35">
      <c r="C42822" s="2"/>
    </row>
    <row r="42823" spans="3:3" x14ac:dyDescent="0.35">
      <c r="C42823" s="2"/>
    </row>
    <row r="42824" spans="3:3" x14ac:dyDescent="0.35">
      <c r="C42824" s="2"/>
    </row>
    <row r="42825" spans="3:3" x14ac:dyDescent="0.35">
      <c r="C42825" s="2"/>
    </row>
    <row r="42826" spans="3:3" x14ac:dyDescent="0.35">
      <c r="C42826" s="2"/>
    </row>
    <row r="42827" spans="3:3" x14ac:dyDescent="0.35">
      <c r="C42827" s="2"/>
    </row>
    <row r="42828" spans="3:3" x14ac:dyDescent="0.35">
      <c r="C42828" s="2"/>
    </row>
    <row r="42829" spans="3:3" x14ac:dyDescent="0.35">
      <c r="C42829" s="2"/>
    </row>
    <row r="42830" spans="3:3" x14ac:dyDescent="0.35">
      <c r="C42830" s="2"/>
    </row>
    <row r="42831" spans="3:3" x14ac:dyDescent="0.35">
      <c r="C42831" s="2"/>
    </row>
    <row r="42832" spans="3:3" x14ac:dyDescent="0.35">
      <c r="C42832" s="2"/>
    </row>
    <row r="42833" spans="3:3" x14ac:dyDescent="0.35">
      <c r="C42833" s="2"/>
    </row>
    <row r="42834" spans="3:3" x14ac:dyDescent="0.35">
      <c r="C42834" s="2"/>
    </row>
    <row r="42835" spans="3:3" x14ac:dyDescent="0.35">
      <c r="C42835" s="2"/>
    </row>
    <row r="42836" spans="3:3" x14ac:dyDescent="0.35">
      <c r="C42836" s="2"/>
    </row>
    <row r="42837" spans="3:3" x14ac:dyDescent="0.35">
      <c r="C42837" s="2"/>
    </row>
    <row r="42838" spans="3:3" x14ac:dyDescent="0.35">
      <c r="C42838" s="2"/>
    </row>
    <row r="42839" spans="3:3" x14ac:dyDescent="0.35">
      <c r="C42839" s="2"/>
    </row>
    <row r="42840" spans="3:3" x14ac:dyDescent="0.35">
      <c r="C42840" s="2"/>
    </row>
    <row r="42841" spans="3:3" x14ac:dyDescent="0.35">
      <c r="C42841" s="2"/>
    </row>
    <row r="42842" spans="3:3" x14ac:dyDescent="0.35">
      <c r="C42842" s="2"/>
    </row>
    <row r="42843" spans="3:3" x14ac:dyDescent="0.35">
      <c r="C42843" s="2"/>
    </row>
    <row r="42844" spans="3:3" x14ac:dyDescent="0.35">
      <c r="C42844" s="2"/>
    </row>
    <row r="42845" spans="3:3" x14ac:dyDescent="0.35">
      <c r="C42845" s="2"/>
    </row>
    <row r="42846" spans="3:3" x14ac:dyDescent="0.35">
      <c r="C42846" s="2"/>
    </row>
    <row r="42847" spans="3:3" x14ac:dyDescent="0.35">
      <c r="C42847" s="2"/>
    </row>
    <row r="42848" spans="3:3" x14ac:dyDescent="0.35">
      <c r="C42848" s="2"/>
    </row>
    <row r="42849" spans="3:3" x14ac:dyDescent="0.35">
      <c r="C42849" s="2"/>
    </row>
    <row r="42850" spans="3:3" x14ac:dyDescent="0.35">
      <c r="C42850" s="2"/>
    </row>
    <row r="42851" spans="3:3" x14ac:dyDescent="0.35">
      <c r="C42851" s="2"/>
    </row>
    <row r="42852" spans="3:3" x14ac:dyDescent="0.35">
      <c r="C42852" s="2"/>
    </row>
    <row r="42853" spans="3:3" x14ac:dyDescent="0.35">
      <c r="C42853" s="2"/>
    </row>
    <row r="42854" spans="3:3" x14ac:dyDescent="0.35">
      <c r="C42854" s="2"/>
    </row>
    <row r="42855" spans="3:3" x14ac:dyDescent="0.35">
      <c r="C42855" s="2"/>
    </row>
    <row r="42856" spans="3:3" x14ac:dyDescent="0.35">
      <c r="C42856" s="2"/>
    </row>
    <row r="42857" spans="3:3" x14ac:dyDescent="0.35">
      <c r="C42857" s="2"/>
    </row>
    <row r="42858" spans="3:3" x14ac:dyDescent="0.35">
      <c r="C42858" s="2"/>
    </row>
    <row r="42859" spans="3:3" x14ac:dyDescent="0.35">
      <c r="C42859" s="2"/>
    </row>
    <row r="42860" spans="3:3" x14ac:dyDescent="0.35">
      <c r="C42860" s="2"/>
    </row>
    <row r="42861" spans="3:3" x14ac:dyDescent="0.35">
      <c r="C42861" s="2"/>
    </row>
    <row r="42862" spans="3:3" x14ac:dyDescent="0.35">
      <c r="C42862" s="2"/>
    </row>
    <row r="42863" spans="3:3" x14ac:dyDescent="0.35">
      <c r="C42863" s="2"/>
    </row>
    <row r="42864" spans="3:3" x14ac:dyDescent="0.35">
      <c r="C42864" s="2"/>
    </row>
    <row r="42865" spans="3:3" x14ac:dyDescent="0.35">
      <c r="C42865" s="2"/>
    </row>
    <row r="42866" spans="3:3" x14ac:dyDescent="0.35">
      <c r="C42866" s="2"/>
    </row>
    <row r="42867" spans="3:3" x14ac:dyDescent="0.35">
      <c r="C42867" s="2"/>
    </row>
    <row r="42868" spans="3:3" x14ac:dyDescent="0.35">
      <c r="C42868" s="2"/>
    </row>
    <row r="42869" spans="3:3" x14ac:dyDescent="0.35">
      <c r="C42869" s="2"/>
    </row>
    <row r="42870" spans="3:3" x14ac:dyDescent="0.35">
      <c r="C42870" s="2"/>
    </row>
    <row r="42871" spans="3:3" x14ac:dyDescent="0.35">
      <c r="C42871" s="2"/>
    </row>
    <row r="42872" spans="3:3" x14ac:dyDescent="0.35">
      <c r="C42872" s="2"/>
    </row>
    <row r="42873" spans="3:3" x14ac:dyDescent="0.35">
      <c r="C42873" s="2"/>
    </row>
    <row r="42874" spans="3:3" x14ac:dyDescent="0.35">
      <c r="C42874" s="2"/>
    </row>
    <row r="42875" spans="3:3" x14ac:dyDescent="0.35">
      <c r="C42875" s="2"/>
    </row>
    <row r="42876" spans="3:3" x14ac:dyDescent="0.35">
      <c r="C42876" s="2"/>
    </row>
    <row r="42877" spans="3:3" x14ac:dyDescent="0.35">
      <c r="C42877" s="2"/>
    </row>
    <row r="42878" spans="3:3" x14ac:dyDescent="0.35">
      <c r="C42878" s="2"/>
    </row>
    <row r="42879" spans="3:3" x14ac:dyDescent="0.35">
      <c r="C42879" s="2"/>
    </row>
    <row r="42880" spans="3:3" x14ac:dyDescent="0.35">
      <c r="C42880" s="2"/>
    </row>
    <row r="42881" spans="3:3" x14ac:dyDescent="0.35">
      <c r="C42881" s="2"/>
    </row>
    <row r="42882" spans="3:3" x14ac:dyDescent="0.35">
      <c r="C42882" s="2"/>
    </row>
    <row r="42883" spans="3:3" x14ac:dyDescent="0.35">
      <c r="C42883" s="2"/>
    </row>
    <row r="42884" spans="3:3" x14ac:dyDescent="0.35">
      <c r="C42884" s="2"/>
    </row>
    <row r="42885" spans="3:3" x14ac:dyDescent="0.35">
      <c r="C42885" s="2"/>
    </row>
    <row r="42886" spans="3:3" x14ac:dyDescent="0.35">
      <c r="C42886" s="2"/>
    </row>
    <row r="42887" spans="3:3" x14ac:dyDescent="0.35">
      <c r="C42887" s="2"/>
    </row>
    <row r="42888" spans="3:3" x14ac:dyDescent="0.35">
      <c r="C42888" s="2"/>
    </row>
    <row r="42889" spans="3:3" x14ac:dyDescent="0.35">
      <c r="C42889" s="2"/>
    </row>
    <row r="42890" spans="3:3" x14ac:dyDescent="0.35">
      <c r="C42890" s="2"/>
    </row>
    <row r="42891" spans="3:3" x14ac:dyDescent="0.35">
      <c r="C42891" s="2"/>
    </row>
    <row r="42892" spans="3:3" x14ac:dyDescent="0.35">
      <c r="C42892" s="2"/>
    </row>
    <row r="42893" spans="3:3" x14ac:dyDescent="0.35">
      <c r="C42893" s="2"/>
    </row>
    <row r="42894" spans="3:3" x14ac:dyDescent="0.35">
      <c r="C42894" s="2"/>
    </row>
    <row r="42895" spans="3:3" x14ac:dyDescent="0.35">
      <c r="C42895" s="2"/>
    </row>
    <row r="42896" spans="3:3" x14ac:dyDescent="0.35">
      <c r="C42896" s="2"/>
    </row>
    <row r="42897" spans="3:3" x14ac:dyDescent="0.35">
      <c r="C42897" s="2"/>
    </row>
    <row r="42898" spans="3:3" x14ac:dyDescent="0.35">
      <c r="C42898" s="2"/>
    </row>
    <row r="42899" spans="3:3" x14ac:dyDescent="0.35">
      <c r="C42899" s="2"/>
    </row>
    <row r="42900" spans="3:3" x14ac:dyDescent="0.35">
      <c r="C42900" s="2"/>
    </row>
    <row r="42901" spans="3:3" x14ac:dyDescent="0.35">
      <c r="C42901" s="2"/>
    </row>
    <row r="42902" spans="3:3" x14ac:dyDescent="0.35">
      <c r="C42902" s="2"/>
    </row>
    <row r="42903" spans="3:3" x14ac:dyDescent="0.35">
      <c r="C42903" s="2"/>
    </row>
    <row r="42904" spans="3:3" x14ac:dyDescent="0.35">
      <c r="C42904" s="2"/>
    </row>
    <row r="42905" spans="3:3" x14ac:dyDescent="0.35">
      <c r="C42905" s="2"/>
    </row>
    <row r="42906" spans="3:3" x14ac:dyDescent="0.35">
      <c r="C42906" s="2"/>
    </row>
    <row r="42907" spans="3:3" x14ac:dyDescent="0.35">
      <c r="C42907" s="2"/>
    </row>
    <row r="42908" spans="3:3" x14ac:dyDescent="0.35">
      <c r="C42908" s="2"/>
    </row>
    <row r="42909" spans="3:3" x14ac:dyDescent="0.35">
      <c r="C42909" s="2"/>
    </row>
    <row r="42910" spans="3:3" x14ac:dyDescent="0.35">
      <c r="C42910" s="2"/>
    </row>
    <row r="42911" spans="3:3" x14ac:dyDescent="0.35">
      <c r="C42911" s="2"/>
    </row>
    <row r="42912" spans="3:3" x14ac:dyDescent="0.35">
      <c r="C42912" s="2"/>
    </row>
    <row r="42913" spans="3:3" x14ac:dyDescent="0.35">
      <c r="C42913" s="2"/>
    </row>
    <row r="42914" spans="3:3" x14ac:dyDescent="0.35">
      <c r="C42914" s="2"/>
    </row>
    <row r="42915" spans="3:3" x14ac:dyDescent="0.35">
      <c r="C42915" s="2"/>
    </row>
    <row r="42916" spans="3:3" x14ac:dyDescent="0.35">
      <c r="C42916" s="2"/>
    </row>
    <row r="42917" spans="3:3" x14ac:dyDescent="0.35">
      <c r="C42917" s="2"/>
    </row>
    <row r="42918" spans="3:3" x14ac:dyDescent="0.35">
      <c r="C42918" s="2"/>
    </row>
    <row r="42919" spans="3:3" x14ac:dyDescent="0.35">
      <c r="C42919" s="2"/>
    </row>
    <row r="42920" spans="3:3" x14ac:dyDescent="0.35">
      <c r="C42920" s="2"/>
    </row>
    <row r="42921" spans="3:3" x14ac:dyDescent="0.35">
      <c r="C42921" s="2"/>
    </row>
    <row r="42922" spans="3:3" x14ac:dyDescent="0.35">
      <c r="C42922" s="2"/>
    </row>
    <row r="42923" spans="3:3" x14ac:dyDescent="0.35">
      <c r="C42923" s="2"/>
    </row>
    <row r="42924" spans="3:3" x14ac:dyDescent="0.35">
      <c r="C42924" s="2"/>
    </row>
    <row r="42925" spans="3:3" x14ac:dyDescent="0.35">
      <c r="C42925" s="2"/>
    </row>
    <row r="42926" spans="3:3" x14ac:dyDescent="0.35">
      <c r="C42926" s="2"/>
    </row>
    <row r="42927" spans="3:3" x14ac:dyDescent="0.35">
      <c r="C42927" s="2"/>
    </row>
    <row r="42928" spans="3:3" x14ac:dyDescent="0.35">
      <c r="C42928" s="2"/>
    </row>
    <row r="42929" spans="3:3" x14ac:dyDescent="0.35">
      <c r="C42929" s="2"/>
    </row>
    <row r="42930" spans="3:3" x14ac:dyDescent="0.35">
      <c r="C42930" s="2"/>
    </row>
    <row r="42931" spans="3:3" x14ac:dyDescent="0.35">
      <c r="C42931" s="2"/>
    </row>
    <row r="42932" spans="3:3" x14ac:dyDescent="0.35">
      <c r="C42932" s="2"/>
    </row>
    <row r="42933" spans="3:3" x14ac:dyDescent="0.35">
      <c r="C42933" s="2"/>
    </row>
    <row r="42934" spans="3:3" x14ac:dyDescent="0.35">
      <c r="C42934" s="2"/>
    </row>
    <row r="42935" spans="3:3" x14ac:dyDescent="0.35">
      <c r="C42935" s="2"/>
    </row>
    <row r="42936" spans="3:3" x14ac:dyDescent="0.35">
      <c r="C42936" s="2"/>
    </row>
    <row r="42937" spans="3:3" x14ac:dyDescent="0.35">
      <c r="C42937" s="2"/>
    </row>
    <row r="42938" spans="3:3" x14ac:dyDescent="0.35">
      <c r="C42938" s="2"/>
    </row>
    <row r="42939" spans="3:3" x14ac:dyDescent="0.35">
      <c r="C42939" s="2"/>
    </row>
    <row r="42940" spans="3:3" x14ac:dyDescent="0.35">
      <c r="C42940" s="2"/>
    </row>
    <row r="42941" spans="3:3" x14ac:dyDescent="0.35">
      <c r="C42941" s="2"/>
    </row>
    <row r="42942" spans="3:3" x14ac:dyDescent="0.35">
      <c r="C42942" s="2"/>
    </row>
    <row r="42943" spans="3:3" x14ac:dyDescent="0.35">
      <c r="C42943" s="2"/>
    </row>
    <row r="42944" spans="3:3" x14ac:dyDescent="0.35">
      <c r="C42944" s="2"/>
    </row>
    <row r="42945" spans="3:3" x14ac:dyDescent="0.35">
      <c r="C42945" s="2"/>
    </row>
    <row r="42946" spans="3:3" x14ac:dyDescent="0.35">
      <c r="C42946" s="2"/>
    </row>
    <row r="42947" spans="3:3" x14ac:dyDescent="0.35">
      <c r="C42947" s="2"/>
    </row>
    <row r="42948" spans="3:3" x14ac:dyDescent="0.35">
      <c r="C42948" s="2"/>
    </row>
    <row r="42949" spans="3:3" x14ac:dyDescent="0.35">
      <c r="C42949" s="2"/>
    </row>
    <row r="42950" spans="3:3" x14ac:dyDescent="0.35">
      <c r="C42950" s="2"/>
    </row>
    <row r="42951" spans="3:3" x14ac:dyDescent="0.35">
      <c r="C42951" s="2"/>
    </row>
    <row r="42952" spans="3:3" x14ac:dyDescent="0.35">
      <c r="C42952" s="2"/>
    </row>
    <row r="42953" spans="3:3" x14ac:dyDescent="0.35">
      <c r="C42953" s="2"/>
    </row>
    <row r="42954" spans="3:3" x14ac:dyDescent="0.35">
      <c r="C42954" s="2"/>
    </row>
    <row r="42955" spans="3:3" x14ac:dyDescent="0.35">
      <c r="C42955" s="2"/>
    </row>
    <row r="42956" spans="3:3" x14ac:dyDescent="0.35">
      <c r="C42956" s="2"/>
    </row>
    <row r="42957" spans="3:3" x14ac:dyDescent="0.35">
      <c r="C42957" s="2"/>
    </row>
    <row r="42958" spans="3:3" x14ac:dyDescent="0.35">
      <c r="C42958" s="2"/>
    </row>
    <row r="42959" spans="3:3" x14ac:dyDescent="0.35">
      <c r="C42959" s="2"/>
    </row>
    <row r="42960" spans="3:3" x14ac:dyDescent="0.35">
      <c r="C42960" s="2"/>
    </row>
    <row r="42961" spans="3:3" x14ac:dyDescent="0.35">
      <c r="C42961" s="2"/>
    </row>
    <row r="42962" spans="3:3" x14ac:dyDescent="0.35">
      <c r="C42962" s="2"/>
    </row>
    <row r="42963" spans="3:3" x14ac:dyDescent="0.35">
      <c r="C42963" s="2"/>
    </row>
    <row r="42964" spans="3:3" x14ac:dyDescent="0.35">
      <c r="C42964" s="2"/>
    </row>
    <row r="42965" spans="3:3" x14ac:dyDescent="0.35">
      <c r="C42965" s="2"/>
    </row>
    <row r="42966" spans="3:3" x14ac:dyDescent="0.35">
      <c r="C42966" s="2"/>
    </row>
    <row r="42967" spans="3:3" x14ac:dyDescent="0.35">
      <c r="C42967" s="2"/>
    </row>
    <row r="42968" spans="3:3" x14ac:dyDescent="0.35">
      <c r="C42968" s="2"/>
    </row>
    <row r="42969" spans="3:3" x14ac:dyDescent="0.35">
      <c r="C42969" s="2"/>
    </row>
    <row r="42970" spans="3:3" x14ac:dyDescent="0.35">
      <c r="C42970" s="2"/>
    </row>
    <row r="42971" spans="3:3" x14ac:dyDescent="0.35">
      <c r="C42971" s="2"/>
    </row>
    <row r="42972" spans="3:3" x14ac:dyDescent="0.35">
      <c r="C42972" s="2"/>
    </row>
    <row r="42973" spans="3:3" x14ac:dyDescent="0.35">
      <c r="C42973" s="2"/>
    </row>
    <row r="42974" spans="3:3" x14ac:dyDescent="0.35">
      <c r="C42974" s="2"/>
    </row>
    <row r="42975" spans="3:3" x14ac:dyDescent="0.35">
      <c r="C42975" s="2"/>
    </row>
    <row r="42976" spans="3:3" x14ac:dyDescent="0.35">
      <c r="C42976" s="2"/>
    </row>
    <row r="42977" spans="3:3" x14ac:dyDescent="0.35">
      <c r="C42977" s="2"/>
    </row>
    <row r="42978" spans="3:3" x14ac:dyDescent="0.35">
      <c r="C42978" s="2"/>
    </row>
    <row r="42979" spans="3:3" x14ac:dyDescent="0.35">
      <c r="C42979" s="2"/>
    </row>
    <row r="42980" spans="3:3" x14ac:dyDescent="0.35">
      <c r="C42980" s="2"/>
    </row>
    <row r="42981" spans="3:3" x14ac:dyDescent="0.35">
      <c r="C42981" s="2"/>
    </row>
    <row r="42982" spans="3:3" x14ac:dyDescent="0.35">
      <c r="C42982" s="2"/>
    </row>
    <row r="42983" spans="3:3" x14ac:dyDescent="0.35">
      <c r="C42983" s="2"/>
    </row>
    <row r="42984" spans="3:3" x14ac:dyDescent="0.35">
      <c r="C42984" s="2"/>
    </row>
    <row r="42985" spans="3:3" x14ac:dyDescent="0.35">
      <c r="C42985" s="2"/>
    </row>
    <row r="42986" spans="3:3" x14ac:dyDescent="0.35">
      <c r="C42986" s="2"/>
    </row>
    <row r="42987" spans="3:3" x14ac:dyDescent="0.35">
      <c r="C42987" s="2"/>
    </row>
    <row r="42988" spans="3:3" x14ac:dyDescent="0.35">
      <c r="C42988" s="2"/>
    </row>
    <row r="42989" spans="3:3" x14ac:dyDescent="0.35">
      <c r="C42989" s="2"/>
    </row>
    <row r="42990" spans="3:3" x14ac:dyDescent="0.35">
      <c r="C42990" s="2"/>
    </row>
    <row r="42991" spans="3:3" x14ac:dyDescent="0.35">
      <c r="C42991" s="2"/>
    </row>
    <row r="42992" spans="3:3" x14ac:dyDescent="0.35">
      <c r="C42992" s="2"/>
    </row>
    <row r="42993" spans="3:3" x14ac:dyDescent="0.35">
      <c r="C42993" s="2"/>
    </row>
    <row r="42994" spans="3:3" x14ac:dyDescent="0.35">
      <c r="C42994" s="2"/>
    </row>
    <row r="42995" spans="3:3" x14ac:dyDescent="0.35">
      <c r="C42995" s="2"/>
    </row>
    <row r="42996" spans="3:3" x14ac:dyDescent="0.35">
      <c r="C42996" s="2"/>
    </row>
    <row r="42997" spans="3:3" x14ac:dyDescent="0.35">
      <c r="C42997" s="2"/>
    </row>
    <row r="42998" spans="3:3" x14ac:dyDescent="0.35">
      <c r="C42998" s="2"/>
    </row>
    <row r="42999" spans="3:3" x14ac:dyDescent="0.35">
      <c r="C42999" s="2"/>
    </row>
    <row r="43000" spans="3:3" x14ac:dyDescent="0.35">
      <c r="C43000" s="2"/>
    </row>
    <row r="43001" spans="3:3" x14ac:dyDescent="0.35">
      <c r="C43001" s="2"/>
    </row>
    <row r="43002" spans="3:3" x14ac:dyDescent="0.35">
      <c r="C43002" s="2"/>
    </row>
    <row r="43003" spans="3:3" x14ac:dyDescent="0.35">
      <c r="C43003" s="2"/>
    </row>
    <row r="43004" spans="3:3" x14ac:dyDescent="0.35">
      <c r="C43004" s="2"/>
    </row>
    <row r="43005" spans="3:3" x14ac:dyDescent="0.35">
      <c r="C43005" s="2"/>
    </row>
    <row r="43006" spans="3:3" x14ac:dyDescent="0.35">
      <c r="C43006" s="2"/>
    </row>
    <row r="43007" spans="3:3" x14ac:dyDescent="0.35">
      <c r="C43007" s="2"/>
    </row>
    <row r="43008" spans="3:3" x14ac:dyDescent="0.35">
      <c r="C43008" s="2"/>
    </row>
    <row r="43009" spans="3:3" x14ac:dyDescent="0.35">
      <c r="C43009" s="2"/>
    </row>
    <row r="43010" spans="3:3" x14ac:dyDescent="0.35">
      <c r="C43010" s="2"/>
    </row>
    <row r="43011" spans="3:3" x14ac:dyDescent="0.35">
      <c r="C43011" s="2"/>
    </row>
    <row r="43012" spans="3:3" x14ac:dyDescent="0.35">
      <c r="C43012" s="2"/>
    </row>
    <row r="43013" spans="3:3" x14ac:dyDescent="0.35">
      <c r="C43013" s="2"/>
    </row>
    <row r="43014" spans="3:3" x14ac:dyDescent="0.35">
      <c r="C43014" s="2"/>
    </row>
    <row r="43015" spans="3:3" x14ac:dyDescent="0.35">
      <c r="C43015" s="2"/>
    </row>
    <row r="43016" spans="3:3" x14ac:dyDescent="0.35">
      <c r="C43016" s="2"/>
    </row>
    <row r="43017" spans="3:3" x14ac:dyDescent="0.35">
      <c r="C43017" s="2"/>
    </row>
    <row r="43018" spans="3:3" x14ac:dyDescent="0.35">
      <c r="C43018" s="2"/>
    </row>
    <row r="43019" spans="3:3" x14ac:dyDescent="0.35">
      <c r="C43019" s="2"/>
    </row>
    <row r="43020" spans="3:3" x14ac:dyDescent="0.35">
      <c r="C43020" s="2"/>
    </row>
    <row r="43021" spans="3:3" x14ac:dyDescent="0.35">
      <c r="C43021" s="2"/>
    </row>
    <row r="43022" spans="3:3" x14ac:dyDescent="0.35">
      <c r="C43022" s="2"/>
    </row>
    <row r="43023" spans="3:3" x14ac:dyDescent="0.35">
      <c r="C43023" s="2"/>
    </row>
    <row r="43024" spans="3:3" x14ac:dyDescent="0.35">
      <c r="C43024" s="2"/>
    </row>
    <row r="43025" spans="3:3" x14ac:dyDescent="0.35">
      <c r="C43025" s="2"/>
    </row>
    <row r="43026" spans="3:3" x14ac:dyDescent="0.35">
      <c r="C43026" s="2"/>
    </row>
    <row r="43027" spans="3:3" x14ac:dyDescent="0.35">
      <c r="C43027" s="2"/>
    </row>
    <row r="43028" spans="3:3" x14ac:dyDescent="0.35">
      <c r="C43028" s="2"/>
    </row>
    <row r="43029" spans="3:3" x14ac:dyDescent="0.35">
      <c r="C43029" s="2"/>
    </row>
    <row r="43030" spans="3:3" x14ac:dyDescent="0.35">
      <c r="C43030" s="2"/>
    </row>
    <row r="43031" spans="3:3" x14ac:dyDescent="0.35">
      <c r="C43031" s="2"/>
    </row>
    <row r="43032" spans="3:3" x14ac:dyDescent="0.35">
      <c r="C43032" s="2"/>
    </row>
    <row r="43033" spans="3:3" x14ac:dyDescent="0.35">
      <c r="C43033" s="2"/>
    </row>
    <row r="43034" spans="3:3" x14ac:dyDescent="0.35">
      <c r="C43034" s="2"/>
    </row>
    <row r="43035" spans="3:3" x14ac:dyDescent="0.35">
      <c r="C43035" s="2"/>
    </row>
    <row r="43036" spans="3:3" x14ac:dyDescent="0.35">
      <c r="C43036" s="2"/>
    </row>
    <row r="43037" spans="3:3" x14ac:dyDescent="0.35">
      <c r="C43037" s="2"/>
    </row>
    <row r="43038" spans="3:3" x14ac:dyDescent="0.35">
      <c r="C43038" s="2"/>
    </row>
    <row r="43039" spans="3:3" x14ac:dyDescent="0.35">
      <c r="C43039" s="2"/>
    </row>
    <row r="43040" spans="3:3" x14ac:dyDescent="0.35">
      <c r="C43040" s="2"/>
    </row>
    <row r="43041" spans="3:3" x14ac:dyDescent="0.35">
      <c r="C43041" s="2"/>
    </row>
    <row r="43042" spans="3:3" x14ac:dyDescent="0.35">
      <c r="C43042" s="2"/>
    </row>
    <row r="43043" spans="3:3" x14ac:dyDescent="0.35">
      <c r="C43043" s="2"/>
    </row>
    <row r="43044" spans="3:3" x14ac:dyDescent="0.35">
      <c r="C43044" s="2"/>
    </row>
    <row r="43045" spans="3:3" x14ac:dyDescent="0.35">
      <c r="C43045" s="2"/>
    </row>
    <row r="43046" spans="3:3" x14ac:dyDescent="0.35">
      <c r="C43046" s="2"/>
    </row>
    <row r="43047" spans="3:3" x14ac:dyDescent="0.35">
      <c r="C43047" s="2"/>
    </row>
    <row r="43048" spans="3:3" x14ac:dyDescent="0.35">
      <c r="C43048" s="2"/>
    </row>
    <row r="43049" spans="3:3" x14ac:dyDescent="0.35">
      <c r="C43049" s="2"/>
    </row>
    <row r="43050" spans="3:3" x14ac:dyDescent="0.35">
      <c r="C43050" s="2"/>
    </row>
    <row r="43051" spans="3:3" x14ac:dyDescent="0.35">
      <c r="C43051" s="2"/>
    </row>
    <row r="43052" spans="3:3" x14ac:dyDescent="0.35">
      <c r="C43052" s="2"/>
    </row>
    <row r="43053" spans="3:3" x14ac:dyDescent="0.35">
      <c r="C43053" s="2"/>
    </row>
    <row r="43054" spans="3:3" x14ac:dyDescent="0.35">
      <c r="C43054" s="2"/>
    </row>
    <row r="43055" spans="3:3" x14ac:dyDescent="0.35">
      <c r="C43055" s="2"/>
    </row>
    <row r="43056" spans="3:3" x14ac:dyDescent="0.35">
      <c r="C43056" s="2"/>
    </row>
    <row r="43057" spans="3:3" x14ac:dyDescent="0.35">
      <c r="C43057" s="2"/>
    </row>
    <row r="43058" spans="3:3" x14ac:dyDescent="0.35">
      <c r="C43058" s="2"/>
    </row>
    <row r="43059" spans="3:3" x14ac:dyDescent="0.35">
      <c r="C43059" s="2"/>
    </row>
    <row r="43060" spans="3:3" x14ac:dyDescent="0.35">
      <c r="C43060" s="2"/>
    </row>
    <row r="43061" spans="3:3" x14ac:dyDescent="0.35">
      <c r="C43061" s="2"/>
    </row>
    <row r="43062" spans="3:3" x14ac:dyDescent="0.35">
      <c r="C43062" s="2"/>
    </row>
    <row r="43063" spans="3:3" x14ac:dyDescent="0.35">
      <c r="C43063" s="2"/>
    </row>
    <row r="43064" spans="3:3" x14ac:dyDescent="0.35">
      <c r="C43064" s="2"/>
    </row>
    <row r="43065" spans="3:3" x14ac:dyDescent="0.35">
      <c r="C43065" s="2"/>
    </row>
    <row r="43066" spans="3:3" x14ac:dyDescent="0.35">
      <c r="C43066" s="2"/>
    </row>
    <row r="43067" spans="3:3" x14ac:dyDescent="0.35">
      <c r="C43067" s="2"/>
    </row>
    <row r="43068" spans="3:3" x14ac:dyDescent="0.35">
      <c r="C43068" s="2"/>
    </row>
    <row r="43069" spans="3:3" x14ac:dyDescent="0.35">
      <c r="C43069" s="2"/>
    </row>
    <row r="43070" spans="3:3" x14ac:dyDescent="0.35">
      <c r="C43070" s="2"/>
    </row>
    <row r="43071" spans="3:3" x14ac:dyDescent="0.35">
      <c r="C43071" s="2"/>
    </row>
    <row r="43072" spans="3:3" x14ac:dyDescent="0.35">
      <c r="C43072" s="2"/>
    </row>
    <row r="43073" spans="3:3" x14ac:dyDescent="0.35">
      <c r="C43073" s="2"/>
    </row>
    <row r="43074" spans="3:3" x14ac:dyDescent="0.35">
      <c r="C43074" s="2"/>
    </row>
    <row r="43075" spans="3:3" x14ac:dyDescent="0.35">
      <c r="C43075" s="2"/>
    </row>
    <row r="43076" spans="3:3" x14ac:dyDescent="0.35">
      <c r="C43076" s="2"/>
    </row>
    <row r="43077" spans="3:3" x14ac:dyDescent="0.35">
      <c r="C43077" s="2"/>
    </row>
    <row r="43078" spans="3:3" x14ac:dyDescent="0.35">
      <c r="C43078" s="2"/>
    </row>
    <row r="43079" spans="3:3" x14ac:dyDescent="0.35">
      <c r="C43079" s="2"/>
    </row>
    <row r="43080" spans="3:3" x14ac:dyDescent="0.35">
      <c r="C43080" s="2"/>
    </row>
    <row r="43081" spans="3:3" x14ac:dyDescent="0.35">
      <c r="C43081" s="2"/>
    </row>
    <row r="43082" spans="3:3" x14ac:dyDescent="0.35">
      <c r="C43082" s="2"/>
    </row>
    <row r="43083" spans="3:3" x14ac:dyDescent="0.35">
      <c r="C43083" s="2"/>
    </row>
    <row r="43084" spans="3:3" x14ac:dyDescent="0.35">
      <c r="C43084" s="2"/>
    </row>
    <row r="43085" spans="3:3" x14ac:dyDescent="0.35">
      <c r="C43085" s="2"/>
    </row>
    <row r="43086" spans="3:3" x14ac:dyDescent="0.35">
      <c r="C43086" s="2"/>
    </row>
    <row r="43087" spans="3:3" x14ac:dyDescent="0.35">
      <c r="C43087" s="2"/>
    </row>
    <row r="43088" spans="3:3" x14ac:dyDescent="0.35">
      <c r="C43088" s="2"/>
    </row>
    <row r="43089" spans="3:3" x14ac:dyDescent="0.35">
      <c r="C43089" s="2"/>
    </row>
    <row r="43090" spans="3:3" x14ac:dyDescent="0.35">
      <c r="C43090" s="2"/>
    </row>
    <row r="43091" spans="3:3" x14ac:dyDescent="0.35">
      <c r="C43091" s="2"/>
    </row>
    <row r="43092" spans="3:3" x14ac:dyDescent="0.35">
      <c r="C43092" s="2"/>
    </row>
    <row r="43093" spans="3:3" x14ac:dyDescent="0.35">
      <c r="C43093" s="2"/>
    </row>
    <row r="43094" spans="3:3" x14ac:dyDescent="0.35">
      <c r="C43094" s="2"/>
    </row>
    <row r="43095" spans="3:3" x14ac:dyDescent="0.35">
      <c r="C43095" s="2"/>
    </row>
    <row r="43096" spans="3:3" x14ac:dyDescent="0.35">
      <c r="C43096" s="2"/>
    </row>
    <row r="43097" spans="3:3" x14ac:dyDescent="0.35">
      <c r="C43097" s="2"/>
    </row>
    <row r="43098" spans="3:3" x14ac:dyDescent="0.35">
      <c r="C43098" s="2"/>
    </row>
    <row r="43099" spans="3:3" x14ac:dyDescent="0.35">
      <c r="C43099" s="2"/>
    </row>
    <row r="43100" spans="3:3" x14ac:dyDescent="0.35">
      <c r="C43100" s="2"/>
    </row>
    <row r="43101" spans="3:3" x14ac:dyDescent="0.35">
      <c r="C43101" s="2"/>
    </row>
    <row r="43102" spans="3:3" x14ac:dyDescent="0.35">
      <c r="C43102" s="2"/>
    </row>
    <row r="43103" spans="3:3" x14ac:dyDescent="0.35">
      <c r="C43103" s="2"/>
    </row>
    <row r="43104" spans="3:3" x14ac:dyDescent="0.35">
      <c r="C43104" s="2"/>
    </row>
    <row r="43105" spans="3:3" x14ac:dyDescent="0.35">
      <c r="C43105" s="2"/>
    </row>
    <row r="43106" spans="3:3" x14ac:dyDescent="0.35">
      <c r="C43106" s="2"/>
    </row>
    <row r="43107" spans="3:3" x14ac:dyDescent="0.35">
      <c r="C43107" s="2"/>
    </row>
    <row r="43108" spans="3:3" x14ac:dyDescent="0.35">
      <c r="C43108" s="2"/>
    </row>
    <row r="43109" spans="3:3" x14ac:dyDescent="0.35">
      <c r="C43109" s="2"/>
    </row>
    <row r="43110" spans="3:3" x14ac:dyDescent="0.35">
      <c r="C43110" s="2"/>
    </row>
    <row r="43111" spans="3:3" x14ac:dyDescent="0.35">
      <c r="C43111" s="2"/>
    </row>
    <row r="43112" spans="3:3" x14ac:dyDescent="0.35">
      <c r="C43112" s="2"/>
    </row>
    <row r="43113" spans="3:3" x14ac:dyDescent="0.35">
      <c r="C43113" s="2"/>
    </row>
    <row r="43114" spans="3:3" x14ac:dyDescent="0.35">
      <c r="C43114" s="2"/>
    </row>
    <row r="43115" spans="3:3" x14ac:dyDescent="0.35">
      <c r="C43115" s="2"/>
    </row>
    <row r="43116" spans="3:3" x14ac:dyDescent="0.35">
      <c r="C43116" s="2"/>
    </row>
    <row r="43117" spans="3:3" x14ac:dyDescent="0.35">
      <c r="C43117" s="2"/>
    </row>
    <row r="43118" spans="3:3" x14ac:dyDescent="0.35">
      <c r="C43118" s="2"/>
    </row>
    <row r="43119" spans="3:3" x14ac:dyDescent="0.35">
      <c r="C43119" s="2"/>
    </row>
    <row r="43120" spans="3:3" x14ac:dyDescent="0.35">
      <c r="C43120" s="2"/>
    </row>
    <row r="43121" spans="3:3" x14ac:dyDescent="0.35">
      <c r="C43121" s="2"/>
    </row>
    <row r="43122" spans="3:3" x14ac:dyDescent="0.35">
      <c r="C43122" s="2"/>
    </row>
    <row r="43123" spans="3:3" x14ac:dyDescent="0.35">
      <c r="C43123" s="2"/>
    </row>
    <row r="43124" spans="3:3" x14ac:dyDescent="0.35">
      <c r="C43124" s="2"/>
    </row>
    <row r="43125" spans="3:3" x14ac:dyDescent="0.35">
      <c r="C43125" s="2"/>
    </row>
    <row r="43126" spans="3:3" x14ac:dyDescent="0.35">
      <c r="C43126" s="2"/>
    </row>
    <row r="43127" spans="3:3" x14ac:dyDescent="0.35">
      <c r="C43127" s="2"/>
    </row>
    <row r="43128" spans="3:3" x14ac:dyDescent="0.35">
      <c r="C43128" s="2"/>
    </row>
    <row r="43129" spans="3:3" x14ac:dyDescent="0.35">
      <c r="C43129" s="2"/>
    </row>
    <row r="43130" spans="3:3" x14ac:dyDescent="0.35">
      <c r="C43130" s="2"/>
    </row>
    <row r="43131" spans="3:3" x14ac:dyDescent="0.35">
      <c r="C43131" s="2"/>
    </row>
    <row r="43132" spans="3:3" x14ac:dyDescent="0.35">
      <c r="C43132" s="2"/>
    </row>
    <row r="43133" spans="3:3" x14ac:dyDescent="0.35">
      <c r="C43133" s="2"/>
    </row>
    <row r="43134" spans="3:3" x14ac:dyDescent="0.35">
      <c r="C43134" s="2"/>
    </row>
    <row r="43135" spans="3:3" x14ac:dyDescent="0.35">
      <c r="C43135" s="2"/>
    </row>
    <row r="43136" spans="3:3" x14ac:dyDescent="0.35">
      <c r="C43136" s="2"/>
    </row>
    <row r="43137" spans="3:3" x14ac:dyDescent="0.35">
      <c r="C43137" s="2"/>
    </row>
    <row r="43138" spans="3:3" x14ac:dyDescent="0.35">
      <c r="C43138" s="2"/>
    </row>
    <row r="43139" spans="3:3" x14ac:dyDescent="0.35">
      <c r="C43139" s="2"/>
    </row>
    <row r="43140" spans="3:3" x14ac:dyDescent="0.35">
      <c r="C43140" s="2"/>
    </row>
    <row r="43141" spans="3:3" x14ac:dyDescent="0.35">
      <c r="C43141" s="2"/>
    </row>
    <row r="43142" spans="3:3" x14ac:dyDescent="0.35">
      <c r="C43142" s="2"/>
    </row>
    <row r="43143" spans="3:3" x14ac:dyDescent="0.35">
      <c r="C43143" s="2"/>
    </row>
    <row r="43144" spans="3:3" x14ac:dyDescent="0.35">
      <c r="C43144" s="2"/>
    </row>
    <row r="43145" spans="3:3" x14ac:dyDescent="0.35">
      <c r="C43145" s="2"/>
    </row>
    <row r="43146" spans="3:3" x14ac:dyDescent="0.35">
      <c r="C43146" s="2"/>
    </row>
    <row r="43147" spans="3:3" x14ac:dyDescent="0.35">
      <c r="C43147" s="2"/>
    </row>
    <row r="43148" spans="3:3" x14ac:dyDescent="0.35">
      <c r="C43148" s="2"/>
    </row>
    <row r="43149" spans="3:3" x14ac:dyDescent="0.35">
      <c r="C43149" s="2"/>
    </row>
    <row r="43150" spans="3:3" x14ac:dyDescent="0.35">
      <c r="C43150" s="2"/>
    </row>
    <row r="43151" spans="3:3" x14ac:dyDescent="0.35">
      <c r="C43151" s="2"/>
    </row>
    <row r="43152" spans="3:3" x14ac:dyDescent="0.35">
      <c r="C43152" s="2"/>
    </row>
    <row r="43153" spans="3:3" x14ac:dyDescent="0.35">
      <c r="C43153" s="2"/>
    </row>
    <row r="43154" spans="3:3" x14ac:dyDescent="0.35">
      <c r="C43154" s="2"/>
    </row>
    <row r="43155" spans="3:3" x14ac:dyDescent="0.35">
      <c r="C43155" s="2"/>
    </row>
    <row r="43156" spans="3:3" x14ac:dyDescent="0.35">
      <c r="C43156" s="2"/>
    </row>
    <row r="43157" spans="3:3" x14ac:dyDescent="0.35">
      <c r="C43157" s="2"/>
    </row>
    <row r="43158" spans="3:3" x14ac:dyDescent="0.35">
      <c r="C43158" s="2"/>
    </row>
    <row r="43159" spans="3:3" x14ac:dyDescent="0.35">
      <c r="C43159" s="2"/>
    </row>
    <row r="43160" spans="3:3" x14ac:dyDescent="0.35">
      <c r="C43160" s="2"/>
    </row>
    <row r="43161" spans="3:3" x14ac:dyDescent="0.35">
      <c r="C43161" s="2"/>
    </row>
    <row r="43162" spans="3:3" x14ac:dyDescent="0.35">
      <c r="C43162" s="2"/>
    </row>
    <row r="43163" spans="3:3" x14ac:dyDescent="0.35">
      <c r="C43163" s="2"/>
    </row>
    <row r="43164" spans="3:3" x14ac:dyDescent="0.35">
      <c r="C43164" s="2"/>
    </row>
    <row r="43165" spans="3:3" x14ac:dyDescent="0.35">
      <c r="C43165" s="2"/>
    </row>
    <row r="43166" spans="3:3" x14ac:dyDescent="0.35">
      <c r="C43166" s="2"/>
    </row>
    <row r="43167" spans="3:3" x14ac:dyDescent="0.35">
      <c r="C43167" s="2"/>
    </row>
    <row r="43168" spans="3:3" x14ac:dyDescent="0.35">
      <c r="C43168" s="2"/>
    </row>
    <row r="43169" spans="3:3" x14ac:dyDescent="0.35">
      <c r="C43169" s="2"/>
    </row>
    <row r="43170" spans="3:3" x14ac:dyDescent="0.35">
      <c r="C43170" s="2"/>
    </row>
    <row r="43171" spans="3:3" x14ac:dyDescent="0.35">
      <c r="C43171" s="2"/>
    </row>
    <row r="43172" spans="3:3" x14ac:dyDescent="0.35">
      <c r="C43172" s="2"/>
    </row>
    <row r="43173" spans="3:3" x14ac:dyDescent="0.35">
      <c r="C43173" s="2"/>
    </row>
    <row r="43174" spans="3:3" x14ac:dyDescent="0.35">
      <c r="C43174" s="2"/>
    </row>
    <row r="43175" spans="3:3" x14ac:dyDescent="0.35">
      <c r="C43175" s="2"/>
    </row>
    <row r="43176" spans="3:3" x14ac:dyDescent="0.35">
      <c r="C43176" s="2"/>
    </row>
    <row r="43177" spans="3:3" x14ac:dyDescent="0.35">
      <c r="C43177" s="2"/>
    </row>
    <row r="43178" spans="3:3" x14ac:dyDescent="0.35">
      <c r="C43178" s="2"/>
    </row>
    <row r="43179" spans="3:3" x14ac:dyDescent="0.35">
      <c r="C43179" s="2"/>
    </row>
    <row r="43180" spans="3:3" x14ac:dyDescent="0.35">
      <c r="C43180" s="2"/>
    </row>
    <row r="43181" spans="3:3" x14ac:dyDescent="0.35">
      <c r="C43181" s="2"/>
    </row>
    <row r="43182" spans="3:3" x14ac:dyDescent="0.35">
      <c r="C43182" s="2"/>
    </row>
    <row r="43183" spans="3:3" x14ac:dyDescent="0.35">
      <c r="C43183" s="2"/>
    </row>
    <row r="43184" spans="3:3" x14ac:dyDescent="0.35">
      <c r="C43184" s="2"/>
    </row>
    <row r="43185" spans="3:3" x14ac:dyDescent="0.35">
      <c r="C43185" s="2"/>
    </row>
    <row r="43186" spans="3:3" x14ac:dyDescent="0.35">
      <c r="C43186" s="2"/>
    </row>
    <row r="43187" spans="3:3" x14ac:dyDescent="0.35">
      <c r="C43187" s="2"/>
    </row>
    <row r="43188" spans="3:3" x14ac:dyDescent="0.35">
      <c r="C43188" s="2"/>
    </row>
    <row r="43189" spans="3:3" x14ac:dyDescent="0.35">
      <c r="C43189" s="2"/>
    </row>
    <row r="43190" spans="3:3" x14ac:dyDescent="0.35">
      <c r="C43190" s="2"/>
    </row>
    <row r="43191" spans="3:3" x14ac:dyDescent="0.35">
      <c r="C43191" s="2"/>
    </row>
    <row r="43192" spans="3:3" x14ac:dyDescent="0.35">
      <c r="C43192" s="2"/>
    </row>
    <row r="43193" spans="3:3" x14ac:dyDescent="0.35">
      <c r="C43193" s="2"/>
    </row>
    <row r="43194" spans="3:3" x14ac:dyDescent="0.35">
      <c r="C43194" s="2"/>
    </row>
    <row r="43195" spans="3:3" x14ac:dyDescent="0.35">
      <c r="C43195" s="2"/>
    </row>
    <row r="43196" spans="3:3" x14ac:dyDescent="0.35">
      <c r="C43196" s="2"/>
    </row>
    <row r="43197" spans="3:3" x14ac:dyDescent="0.35">
      <c r="C43197" s="2"/>
    </row>
    <row r="43198" spans="3:3" x14ac:dyDescent="0.35">
      <c r="C43198" s="2"/>
    </row>
    <row r="43199" spans="3:3" x14ac:dyDescent="0.35">
      <c r="C43199" s="2"/>
    </row>
    <row r="43200" spans="3:3" x14ac:dyDescent="0.35">
      <c r="C43200" s="2"/>
    </row>
    <row r="43201" spans="3:3" x14ac:dyDescent="0.35">
      <c r="C43201" s="2"/>
    </row>
    <row r="43202" spans="3:3" x14ac:dyDescent="0.35">
      <c r="C43202" s="2"/>
    </row>
    <row r="43203" spans="3:3" x14ac:dyDescent="0.35">
      <c r="C43203" s="2"/>
    </row>
    <row r="43204" spans="3:3" x14ac:dyDescent="0.35">
      <c r="C43204" s="2"/>
    </row>
    <row r="43205" spans="3:3" x14ac:dyDescent="0.35">
      <c r="C43205" s="2"/>
    </row>
    <row r="43206" spans="3:3" x14ac:dyDescent="0.35">
      <c r="C43206" s="2"/>
    </row>
    <row r="43207" spans="3:3" x14ac:dyDescent="0.35">
      <c r="C43207" s="2"/>
    </row>
    <row r="43208" spans="3:3" x14ac:dyDescent="0.35">
      <c r="C43208" s="2"/>
    </row>
    <row r="43209" spans="3:3" x14ac:dyDescent="0.35">
      <c r="C43209" s="2"/>
    </row>
    <row r="43210" spans="3:3" x14ac:dyDescent="0.35">
      <c r="C43210" s="2"/>
    </row>
    <row r="43211" spans="3:3" x14ac:dyDescent="0.35">
      <c r="C43211" s="2"/>
    </row>
    <row r="43212" spans="3:3" x14ac:dyDescent="0.35">
      <c r="C43212" s="2"/>
    </row>
    <row r="43213" spans="3:3" x14ac:dyDescent="0.35">
      <c r="C43213" s="2"/>
    </row>
    <row r="43214" spans="3:3" x14ac:dyDescent="0.35">
      <c r="C43214" s="2"/>
    </row>
    <row r="43215" spans="3:3" x14ac:dyDescent="0.35">
      <c r="C43215" s="2"/>
    </row>
    <row r="43216" spans="3:3" x14ac:dyDescent="0.35">
      <c r="C43216" s="2"/>
    </row>
    <row r="43217" spans="3:3" x14ac:dyDescent="0.35">
      <c r="C43217" s="2"/>
    </row>
    <row r="43218" spans="3:3" x14ac:dyDescent="0.35">
      <c r="C43218" s="2"/>
    </row>
    <row r="43219" spans="3:3" x14ac:dyDescent="0.35">
      <c r="C43219" s="2"/>
    </row>
    <row r="43220" spans="3:3" x14ac:dyDescent="0.35">
      <c r="C43220" s="2"/>
    </row>
    <row r="43221" spans="3:3" x14ac:dyDescent="0.35">
      <c r="C43221" s="2"/>
    </row>
    <row r="43222" spans="3:3" x14ac:dyDescent="0.35">
      <c r="C43222" s="2"/>
    </row>
    <row r="43223" spans="3:3" x14ac:dyDescent="0.35">
      <c r="C43223" s="2"/>
    </row>
    <row r="43224" spans="3:3" x14ac:dyDescent="0.35">
      <c r="C43224" s="2"/>
    </row>
    <row r="43225" spans="3:3" x14ac:dyDescent="0.35">
      <c r="C43225" s="2"/>
    </row>
    <row r="43226" spans="3:3" x14ac:dyDescent="0.35">
      <c r="C43226" s="2"/>
    </row>
    <row r="43227" spans="3:3" x14ac:dyDescent="0.35">
      <c r="C43227" s="2"/>
    </row>
    <row r="43228" spans="3:3" x14ac:dyDescent="0.35">
      <c r="C43228" s="2"/>
    </row>
    <row r="43229" spans="3:3" x14ac:dyDescent="0.35">
      <c r="C43229" s="2"/>
    </row>
    <row r="43230" spans="3:3" x14ac:dyDescent="0.35">
      <c r="C43230" s="2"/>
    </row>
    <row r="43231" spans="3:3" x14ac:dyDescent="0.35">
      <c r="C43231" s="2"/>
    </row>
    <row r="43232" spans="3:3" x14ac:dyDescent="0.35">
      <c r="C43232" s="2"/>
    </row>
    <row r="43233" spans="3:3" x14ac:dyDescent="0.35">
      <c r="C43233" s="2"/>
    </row>
    <row r="43234" spans="3:3" x14ac:dyDescent="0.35">
      <c r="C43234" s="2"/>
    </row>
    <row r="43235" spans="3:3" x14ac:dyDescent="0.35">
      <c r="C43235" s="2"/>
    </row>
    <row r="43236" spans="3:3" x14ac:dyDescent="0.35">
      <c r="C43236" s="2"/>
    </row>
    <row r="43237" spans="3:3" x14ac:dyDescent="0.35">
      <c r="C43237" s="2"/>
    </row>
    <row r="43238" spans="3:3" x14ac:dyDescent="0.35">
      <c r="C43238" s="2"/>
    </row>
    <row r="43239" spans="3:3" x14ac:dyDescent="0.35">
      <c r="C43239" s="2"/>
    </row>
    <row r="43240" spans="3:3" x14ac:dyDescent="0.35">
      <c r="C43240" s="2"/>
    </row>
    <row r="43241" spans="3:3" x14ac:dyDescent="0.35">
      <c r="C43241" s="2"/>
    </row>
    <row r="43242" spans="3:3" x14ac:dyDescent="0.35">
      <c r="C43242" s="2"/>
    </row>
    <row r="43243" spans="3:3" x14ac:dyDescent="0.35">
      <c r="C43243" s="2"/>
    </row>
    <row r="43244" spans="3:3" x14ac:dyDescent="0.35">
      <c r="C43244" s="2"/>
    </row>
    <row r="43245" spans="3:3" x14ac:dyDescent="0.35">
      <c r="C43245" s="2"/>
    </row>
    <row r="43246" spans="3:3" x14ac:dyDescent="0.35">
      <c r="C43246" s="2"/>
    </row>
    <row r="43247" spans="3:3" x14ac:dyDescent="0.35">
      <c r="C43247" s="2"/>
    </row>
    <row r="43248" spans="3:3" x14ac:dyDescent="0.35">
      <c r="C43248" s="2"/>
    </row>
    <row r="43249" spans="3:3" x14ac:dyDescent="0.35">
      <c r="C43249" s="2"/>
    </row>
    <row r="43250" spans="3:3" x14ac:dyDescent="0.35">
      <c r="C43250" s="2"/>
    </row>
    <row r="43251" spans="3:3" x14ac:dyDescent="0.35">
      <c r="C43251" s="2"/>
    </row>
    <row r="43252" spans="3:3" x14ac:dyDescent="0.35">
      <c r="C43252" s="2"/>
    </row>
    <row r="43253" spans="3:3" x14ac:dyDescent="0.35">
      <c r="C43253" s="2"/>
    </row>
    <row r="43254" spans="3:3" x14ac:dyDescent="0.35">
      <c r="C43254" s="2"/>
    </row>
    <row r="43255" spans="3:3" x14ac:dyDescent="0.35">
      <c r="C43255" s="2"/>
    </row>
    <row r="43256" spans="3:3" x14ac:dyDescent="0.35">
      <c r="C43256" s="2"/>
    </row>
    <row r="43257" spans="3:3" x14ac:dyDescent="0.35">
      <c r="C43257" s="2"/>
    </row>
    <row r="43258" spans="3:3" x14ac:dyDescent="0.35">
      <c r="C43258" s="2"/>
    </row>
    <row r="43259" spans="3:3" x14ac:dyDescent="0.35">
      <c r="C43259" s="2"/>
    </row>
    <row r="43260" spans="3:3" x14ac:dyDescent="0.35">
      <c r="C43260" s="2"/>
    </row>
    <row r="43261" spans="3:3" x14ac:dyDescent="0.35">
      <c r="C43261" s="2"/>
    </row>
    <row r="43262" spans="3:3" x14ac:dyDescent="0.35">
      <c r="C43262" s="2"/>
    </row>
    <row r="43263" spans="3:3" x14ac:dyDescent="0.35">
      <c r="C43263" s="2"/>
    </row>
    <row r="43264" spans="3:3" x14ac:dyDescent="0.35">
      <c r="C43264" s="2"/>
    </row>
    <row r="43265" spans="3:3" x14ac:dyDescent="0.35">
      <c r="C43265" s="2"/>
    </row>
    <row r="43266" spans="3:3" x14ac:dyDescent="0.35">
      <c r="C43266" s="2"/>
    </row>
    <row r="43267" spans="3:3" x14ac:dyDescent="0.35">
      <c r="C43267" s="2"/>
    </row>
    <row r="43268" spans="3:3" x14ac:dyDescent="0.35">
      <c r="C43268" s="2"/>
    </row>
    <row r="43269" spans="3:3" x14ac:dyDescent="0.35">
      <c r="C43269" s="2"/>
    </row>
    <row r="43270" spans="3:3" x14ac:dyDescent="0.35">
      <c r="C43270" s="2"/>
    </row>
    <row r="43271" spans="3:3" x14ac:dyDescent="0.35">
      <c r="C43271" s="2"/>
    </row>
    <row r="43272" spans="3:3" x14ac:dyDescent="0.35">
      <c r="C43272" s="2"/>
    </row>
    <row r="43273" spans="3:3" x14ac:dyDescent="0.35">
      <c r="C43273" s="2"/>
    </row>
    <row r="43274" spans="3:3" x14ac:dyDescent="0.35">
      <c r="C43274" s="2"/>
    </row>
    <row r="43275" spans="3:3" x14ac:dyDescent="0.35">
      <c r="C43275" s="2"/>
    </row>
    <row r="43276" spans="3:3" x14ac:dyDescent="0.35">
      <c r="C43276" s="2"/>
    </row>
    <row r="43277" spans="3:3" x14ac:dyDescent="0.35">
      <c r="C43277" s="2"/>
    </row>
    <row r="43278" spans="3:3" x14ac:dyDescent="0.35">
      <c r="C43278" s="2"/>
    </row>
    <row r="43279" spans="3:3" x14ac:dyDescent="0.35">
      <c r="C43279" s="2"/>
    </row>
    <row r="43280" spans="3:3" x14ac:dyDescent="0.35">
      <c r="C43280" s="2"/>
    </row>
    <row r="43281" spans="3:3" x14ac:dyDescent="0.35">
      <c r="C43281" s="2"/>
    </row>
    <row r="43282" spans="3:3" x14ac:dyDescent="0.35">
      <c r="C43282" s="2"/>
    </row>
    <row r="43283" spans="3:3" x14ac:dyDescent="0.35">
      <c r="C43283" s="2"/>
    </row>
    <row r="43284" spans="3:3" x14ac:dyDescent="0.35">
      <c r="C43284" s="2"/>
    </row>
    <row r="43285" spans="3:3" x14ac:dyDescent="0.35">
      <c r="C43285" s="2"/>
    </row>
    <row r="43286" spans="3:3" x14ac:dyDescent="0.35">
      <c r="C43286" s="2"/>
    </row>
    <row r="43287" spans="3:3" x14ac:dyDescent="0.35">
      <c r="C43287" s="2"/>
    </row>
    <row r="43288" spans="3:3" x14ac:dyDescent="0.35">
      <c r="C43288" s="2"/>
    </row>
    <row r="43289" spans="3:3" x14ac:dyDescent="0.35">
      <c r="C43289" s="2"/>
    </row>
    <row r="43290" spans="3:3" x14ac:dyDescent="0.35">
      <c r="C43290" s="2"/>
    </row>
    <row r="43291" spans="3:3" x14ac:dyDescent="0.35">
      <c r="C43291" s="2"/>
    </row>
    <row r="43292" spans="3:3" x14ac:dyDescent="0.35">
      <c r="C43292" s="2"/>
    </row>
    <row r="43293" spans="3:3" x14ac:dyDescent="0.35">
      <c r="C43293" s="2"/>
    </row>
    <row r="43294" spans="3:3" x14ac:dyDescent="0.35">
      <c r="C43294" s="2"/>
    </row>
    <row r="43295" spans="3:3" x14ac:dyDescent="0.35">
      <c r="C43295" s="2"/>
    </row>
    <row r="43296" spans="3:3" x14ac:dyDescent="0.35">
      <c r="C43296" s="2"/>
    </row>
    <row r="43297" spans="3:3" x14ac:dyDescent="0.35">
      <c r="C43297" s="2"/>
    </row>
    <row r="43298" spans="3:3" x14ac:dyDescent="0.35">
      <c r="C43298" s="2"/>
    </row>
    <row r="43299" spans="3:3" x14ac:dyDescent="0.35">
      <c r="C43299" s="2"/>
    </row>
    <row r="43300" spans="3:3" x14ac:dyDescent="0.35">
      <c r="C43300" s="2"/>
    </row>
    <row r="43301" spans="3:3" x14ac:dyDescent="0.35">
      <c r="C43301" s="2"/>
    </row>
    <row r="43302" spans="3:3" x14ac:dyDescent="0.35">
      <c r="C43302" s="2"/>
    </row>
    <row r="43303" spans="3:3" x14ac:dyDescent="0.35">
      <c r="C43303" s="2"/>
    </row>
    <row r="43304" spans="3:3" x14ac:dyDescent="0.35">
      <c r="C43304" s="2"/>
    </row>
    <row r="43305" spans="3:3" x14ac:dyDescent="0.35">
      <c r="C43305" s="2"/>
    </row>
    <row r="43306" spans="3:3" x14ac:dyDescent="0.35">
      <c r="C43306" s="2"/>
    </row>
    <row r="43307" spans="3:3" x14ac:dyDescent="0.35">
      <c r="C43307" s="2"/>
    </row>
    <row r="43308" spans="3:3" x14ac:dyDescent="0.35">
      <c r="C43308" s="2"/>
    </row>
    <row r="43309" spans="3:3" x14ac:dyDescent="0.35">
      <c r="C43309" s="2"/>
    </row>
    <row r="43310" spans="3:3" x14ac:dyDescent="0.35">
      <c r="C43310" s="2"/>
    </row>
    <row r="43311" spans="3:3" x14ac:dyDescent="0.35">
      <c r="C43311" s="2"/>
    </row>
    <row r="43312" spans="3:3" x14ac:dyDescent="0.35">
      <c r="C43312" s="2"/>
    </row>
    <row r="43313" spans="3:3" x14ac:dyDescent="0.35">
      <c r="C43313" s="2"/>
    </row>
    <row r="43314" spans="3:3" x14ac:dyDescent="0.35">
      <c r="C43314" s="2"/>
    </row>
    <row r="43315" spans="3:3" x14ac:dyDescent="0.35">
      <c r="C43315" s="2"/>
    </row>
    <row r="43316" spans="3:3" x14ac:dyDescent="0.35">
      <c r="C43316" s="2"/>
    </row>
    <row r="43317" spans="3:3" x14ac:dyDescent="0.35">
      <c r="C43317" s="2"/>
    </row>
    <row r="43318" spans="3:3" x14ac:dyDescent="0.35">
      <c r="C43318" s="2"/>
    </row>
    <row r="43319" spans="3:3" x14ac:dyDescent="0.35">
      <c r="C43319" s="2"/>
    </row>
    <row r="43320" spans="3:3" x14ac:dyDescent="0.35">
      <c r="C43320" s="2"/>
    </row>
    <row r="43321" spans="3:3" x14ac:dyDescent="0.35">
      <c r="C43321" s="2"/>
    </row>
    <row r="43322" spans="3:3" x14ac:dyDescent="0.35">
      <c r="C43322" s="2"/>
    </row>
    <row r="43323" spans="3:3" x14ac:dyDescent="0.35">
      <c r="C43323" s="2"/>
    </row>
    <row r="43324" spans="3:3" x14ac:dyDescent="0.35">
      <c r="C43324" s="2"/>
    </row>
    <row r="43325" spans="3:3" x14ac:dyDescent="0.35">
      <c r="C43325" s="2"/>
    </row>
    <row r="43326" spans="3:3" x14ac:dyDescent="0.35">
      <c r="C43326" s="2"/>
    </row>
    <row r="43327" spans="3:3" x14ac:dyDescent="0.35">
      <c r="C43327" s="2"/>
    </row>
    <row r="43328" spans="3:3" x14ac:dyDescent="0.35">
      <c r="C43328" s="2"/>
    </row>
    <row r="43329" spans="3:3" x14ac:dyDescent="0.35">
      <c r="C43329" s="2"/>
    </row>
    <row r="43330" spans="3:3" x14ac:dyDescent="0.35">
      <c r="C43330" s="2"/>
    </row>
    <row r="43331" spans="3:3" x14ac:dyDescent="0.35">
      <c r="C43331" s="2"/>
    </row>
    <row r="43332" spans="3:3" x14ac:dyDescent="0.35">
      <c r="C43332" s="2"/>
    </row>
    <row r="43333" spans="3:3" x14ac:dyDescent="0.35">
      <c r="C43333" s="2"/>
    </row>
    <row r="43334" spans="3:3" x14ac:dyDescent="0.35">
      <c r="C43334" s="2"/>
    </row>
    <row r="43335" spans="3:3" x14ac:dyDescent="0.35">
      <c r="C43335" s="2"/>
    </row>
    <row r="43336" spans="3:3" x14ac:dyDescent="0.35">
      <c r="C43336" s="2"/>
    </row>
    <row r="43337" spans="3:3" x14ac:dyDescent="0.35">
      <c r="C43337" s="2"/>
    </row>
    <row r="43338" spans="3:3" x14ac:dyDescent="0.35">
      <c r="C43338" s="2"/>
    </row>
    <row r="43339" spans="3:3" x14ac:dyDescent="0.35">
      <c r="C43339" s="2"/>
    </row>
    <row r="43340" spans="3:3" x14ac:dyDescent="0.35">
      <c r="C43340" s="2"/>
    </row>
    <row r="43341" spans="3:3" x14ac:dyDescent="0.35">
      <c r="C43341" s="2"/>
    </row>
    <row r="43342" spans="3:3" x14ac:dyDescent="0.35">
      <c r="C43342" s="2"/>
    </row>
    <row r="43343" spans="3:3" x14ac:dyDescent="0.35">
      <c r="C43343" s="2"/>
    </row>
    <row r="43344" spans="3:3" x14ac:dyDescent="0.35">
      <c r="C43344" s="2"/>
    </row>
    <row r="43345" spans="3:3" x14ac:dyDescent="0.35">
      <c r="C43345" s="2"/>
    </row>
    <row r="43346" spans="3:3" x14ac:dyDescent="0.35">
      <c r="C43346" s="2"/>
    </row>
    <row r="43347" spans="3:3" x14ac:dyDescent="0.35">
      <c r="C43347" s="2"/>
    </row>
    <row r="43348" spans="3:3" x14ac:dyDescent="0.35">
      <c r="C43348" s="2"/>
    </row>
    <row r="43349" spans="3:3" x14ac:dyDescent="0.35">
      <c r="C43349" s="2"/>
    </row>
    <row r="43350" spans="3:3" x14ac:dyDescent="0.35">
      <c r="C43350" s="2"/>
    </row>
    <row r="43351" spans="3:3" x14ac:dyDescent="0.35">
      <c r="C43351" s="2"/>
    </row>
    <row r="43352" spans="3:3" x14ac:dyDescent="0.35">
      <c r="C43352" s="2"/>
    </row>
    <row r="43353" spans="3:3" x14ac:dyDescent="0.35">
      <c r="C43353" s="2"/>
    </row>
    <row r="43354" spans="3:3" x14ac:dyDescent="0.35">
      <c r="C43354" s="2"/>
    </row>
    <row r="43355" spans="3:3" x14ac:dyDescent="0.35">
      <c r="C43355" s="2"/>
    </row>
    <row r="43356" spans="3:3" x14ac:dyDescent="0.35">
      <c r="C43356" s="2"/>
    </row>
    <row r="43357" spans="3:3" x14ac:dyDescent="0.35">
      <c r="C43357" s="2"/>
    </row>
    <row r="43358" spans="3:3" x14ac:dyDescent="0.35">
      <c r="C43358" s="2"/>
    </row>
    <row r="43359" spans="3:3" x14ac:dyDescent="0.35">
      <c r="C43359" s="2"/>
    </row>
    <row r="43360" spans="3:3" x14ac:dyDescent="0.35">
      <c r="C43360" s="2"/>
    </row>
    <row r="43361" spans="3:3" x14ac:dyDescent="0.35">
      <c r="C43361" s="2"/>
    </row>
    <row r="43362" spans="3:3" x14ac:dyDescent="0.35">
      <c r="C43362" s="2"/>
    </row>
    <row r="43363" spans="3:3" x14ac:dyDescent="0.35">
      <c r="C43363" s="2"/>
    </row>
    <row r="43364" spans="3:3" x14ac:dyDescent="0.35">
      <c r="C43364" s="2"/>
    </row>
    <row r="43365" spans="3:3" x14ac:dyDescent="0.35">
      <c r="C43365" s="2"/>
    </row>
    <row r="43366" spans="3:3" x14ac:dyDescent="0.35">
      <c r="C43366" s="2"/>
    </row>
    <row r="43367" spans="3:3" x14ac:dyDescent="0.35">
      <c r="C43367" s="2"/>
    </row>
    <row r="43368" spans="3:3" x14ac:dyDescent="0.35">
      <c r="C43368" s="2"/>
    </row>
    <row r="43369" spans="3:3" x14ac:dyDescent="0.35">
      <c r="C43369" s="2"/>
    </row>
    <row r="43370" spans="3:3" x14ac:dyDescent="0.35">
      <c r="C43370" s="2"/>
    </row>
    <row r="43371" spans="3:3" x14ac:dyDescent="0.35">
      <c r="C43371" s="2"/>
    </row>
    <row r="43372" spans="3:3" x14ac:dyDescent="0.35">
      <c r="C43372" s="2"/>
    </row>
    <row r="43373" spans="3:3" x14ac:dyDescent="0.35">
      <c r="C43373" s="2"/>
    </row>
    <row r="43374" spans="3:3" x14ac:dyDescent="0.35">
      <c r="C43374" s="2"/>
    </row>
    <row r="43375" spans="3:3" x14ac:dyDescent="0.35">
      <c r="C43375" s="2"/>
    </row>
    <row r="43376" spans="3:3" x14ac:dyDescent="0.35">
      <c r="C43376" s="2"/>
    </row>
    <row r="43377" spans="3:3" x14ac:dyDescent="0.35">
      <c r="C43377" s="2"/>
    </row>
    <row r="43378" spans="3:3" x14ac:dyDescent="0.35">
      <c r="C43378" s="2"/>
    </row>
    <row r="43379" spans="3:3" x14ac:dyDescent="0.35">
      <c r="C43379" s="2"/>
    </row>
    <row r="43380" spans="3:3" x14ac:dyDescent="0.35">
      <c r="C43380" s="2"/>
    </row>
    <row r="43381" spans="3:3" x14ac:dyDescent="0.35">
      <c r="C43381" s="2"/>
    </row>
    <row r="43382" spans="3:3" x14ac:dyDescent="0.35">
      <c r="C43382" s="2"/>
    </row>
    <row r="43383" spans="3:3" x14ac:dyDescent="0.35">
      <c r="C43383" s="2"/>
    </row>
    <row r="43384" spans="3:3" x14ac:dyDescent="0.35">
      <c r="C43384" s="2"/>
    </row>
    <row r="43385" spans="3:3" x14ac:dyDescent="0.35">
      <c r="C43385" s="2"/>
    </row>
    <row r="43386" spans="3:3" x14ac:dyDescent="0.35">
      <c r="C43386" s="2"/>
    </row>
    <row r="43387" spans="3:3" x14ac:dyDescent="0.35">
      <c r="C43387" s="2"/>
    </row>
    <row r="43388" spans="3:3" x14ac:dyDescent="0.35">
      <c r="C43388" s="2"/>
    </row>
    <row r="43389" spans="3:3" x14ac:dyDescent="0.35">
      <c r="C43389" s="2"/>
    </row>
    <row r="43390" spans="3:3" x14ac:dyDescent="0.35">
      <c r="C43390" s="2"/>
    </row>
    <row r="43391" spans="3:3" x14ac:dyDescent="0.35">
      <c r="C43391" s="2"/>
    </row>
    <row r="43392" spans="3:3" x14ac:dyDescent="0.35">
      <c r="C43392" s="2"/>
    </row>
    <row r="43393" spans="3:3" x14ac:dyDescent="0.35">
      <c r="C43393" s="2"/>
    </row>
    <row r="43394" spans="3:3" x14ac:dyDescent="0.35">
      <c r="C43394" s="2"/>
    </row>
    <row r="43395" spans="3:3" x14ac:dyDescent="0.35">
      <c r="C43395" s="2"/>
    </row>
    <row r="43396" spans="3:3" x14ac:dyDescent="0.35">
      <c r="C43396" s="2"/>
    </row>
    <row r="43397" spans="3:3" x14ac:dyDescent="0.35">
      <c r="C43397" s="2"/>
    </row>
    <row r="43398" spans="3:3" x14ac:dyDescent="0.35">
      <c r="C43398" s="2"/>
    </row>
    <row r="43399" spans="3:3" x14ac:dyDescent="0.35">
      <c r="C43399" s="2"/>
    </row>
    <row r="43400" spans="3:3" x14ac:dyDescent="0.35">
      <c r="C43400" s="2"/>
    </row>
    <row r="43401" spans="3:3" x14ac:dyDescent="0.35">
      <c r="C43401" s="2"/>
    </row>
    <row r="43402" spans="3:3" x14ac:dyDescent="0.35">
      <c r="C43402" s="2"/>
    </row>
    <row r="43403" spans="3:3" x14ac:dyDescent="0.35">
      <c r="C43403" s="2"/>
    </row>
    <row r="43404" spans="3:3" x14ac:dyDescent="0.35">
      <c r="C43404" s="2"/>
    </row>
    <row r="43405" spans="3:3" x14ac:dyDescent="0.35">
      <c r="C43405" s="2"/>
    </row>
    <row r="43406" spans="3:3" x14ac:dyDescent="0.35">
      <c r="C43406" s="2"/>
    </row>
    <row r="43407" spans="3:3" x14ac:dyDescent="0.35">
      <c r="C43407" s="2"/>
    </row>
    <row r="43408" spans="3:3" x14ac:dyDescent="0.35">
      <c r="C43408" s="2"/>
    </row>
    <row r="43409" spans="3:3" x14ac:dyDescent="0.35">
      <c r="C43409" s="2"/>
    </row>
    <row r="43410" spans="3:3" x14ac:dyDescent="0.35">
      <c r="C43410" s="2"/>
    </row>
    <row r="43411" spans="3:3" x14ac:dyDescent="0.35">
      <c r="C43411" s="2"/>
    </row>
    <row r="43412" spans="3:3" x14ac:dyDescent="0.35">
      <c r="C43412" s="2"/>
    </row>
    <row r="43413" spans="3:3" x14ac:dyDescent="0.35">
      <c r="C43413" s="2"/>
    </row>
    <row r="43414" spans="3:3" x14ac:dyDescent="0.35">
      <c r="C43414" s="2"/>
    </row>
    <row r="43415" spans="3:3" x14ac:dyDescent="0.35">
      <c r="C43415" s="2"/>
    </row>
    <row r="43416" spans="3:3" x14ac:dyDescent="0.35">
      <c r="C43416" s="2"/>
    </row>
    <row r="43417" spans="3:3" x14ac:dyDescent="0.35">
      <c r="C43417" s="2"/>
    </row>
    <row r="43418" spans="3:3" x14ac:dyDescent="0.35">
      <c r="C43418" s="2"/>
    </row>
    <row r="43419" spans="3:3" x14ac:dyDescent="0.35">
      <c r="C43419" s="2"/>
    </row>
    <row r="43420" spans="3:3" x14ac:dyDescent="0.35">
      <c r="C43420" s="2"/>
    </row>
    <row r="43421" spans="3:3" x14ac:dyDescent="0.35">
      <c r="C43421" s="2"/>
    </row>
    <row r="43422" spans="3:3" x14ac:dyDescent="0.35">
      <c r="C43422" s="2"/>
    </row>
    <row r="43423" spans="3:3" x14ac:dyDescent="0.35">
      <c r="C43423" s="2"/>
    </row>
    <row r="43424" spans="3:3" x14ac:dyDescent="0.35">
      <c r="C43424" s="2"/>
    </row>
    <row r="43425" spans="3:3" x14ac:dyDescent="0.35">
      <c r="C43425" s="2"/>
    </row>
    <row r="43426" spans="3:3" x14ac:dyDescent="0.35">
      <c r="C43426" s="2"/>
    </row>
    <row r="43427" spans="3:3" x14ac:dyDescent="0.35">
      <c r="C43427" s="2"/>
    </row>
    <row r="43428" spans="3:3" x14ac:dyDescent="0.35">
      <c r="C43428" s="2"/>
    </row>
    <row r="43429" spans="3:3" x14ac:dyDescent="0.35">
      <c r="C43429" s="2"/>
    </row>
    <row r="43430" spans="3:3" x14ac:dyDescent="0.35">
      <c r="C43430" s="2"/>
    </row>
    <row r="43431" spans="3:3" x14ac:dyDescent="0.35">
      <c r="C43431" s="2"/>
    </row>
    <row r="43432" spans="3:3" x14ac:dyDescent="0.35">
      <c r="C43432" s="2"/>
    </row>
    <row r="43433" spans="3:3" x14ac:dyDescent="0.35">
      <c r="C43433" s="2"/>
    </row>
    <row r="43434" spans="3:3" x14ac:dyDescent="0.35">
      <c r="C43434" s="2"/>
    </row>
    <row r="43435" spans="3:3" x14ac:dyDescent="0.35">
      <c r="C43435" s="2"/>
    </row>
    <row r="43436" spans="3:3" x14ac:dyDescent="0.35">
      <c r="C43436" s="2"/>
    </row>
    <row r="43437" spans="3:3" x14ac:dyDescent="0.35">
      <c r="C43437" s="2"/>
    </row>
    <row r="43438" spans="3:3" x14ac:dyDescent="0.35">
      <c r="C43438" s="2"/>
    </row>
    <row r="43439" spans="3:3" x14ac:dyDescent="0.35">
      <c r="C43439" s="2"/>
    </row>
    <row r="43440" spans="3:3" x14ac:dyDescent="0.35">
      <c r="C43440" s="2"/>
    </row>
    <row r="43441" spans="3:3" x14ac:dyDescent="0.35">
      <c r="C43441" s="2"/>
    </row>
    <row r="43442" spans="3:3" x14ac:dyDescent="0.35">
      <c r="C43442" s="2"/>
    </row>
    <row r="43443" spans="3:3" x14ac:dyDescent="0.35">
      <c r="C43443" s="2"/>
    </row>
    <row r="43444" spans="3:3" x14ac:dyDescent="0.35">
      <c r="C43444" s="2"/>
    </row>
    <row r="43445" spans="3:3" x14ac:dyDescent="0.35">
      <c r="C43445" s="2"/>
    </row>
    <row r="43446" spans="3:3" x14ac:dyDescent="0.35">
      <c r="C43446" s="2"/>
    </row>
    <row r="43447" spans="3:3" x14ac:dyDescent="0.35">
      <c r="C43447" s="2"/>
    </row>
    <row r="43448" spans="3:3" x14ac:dyDescent="0.35">
      <c r="C43448" s="2"/>
    </row>
    <row r="43449" spans="3:3" x14ac:dyDescent="0.35">
      <c r="C43449" s="2"/>
    </row>
    <row r="43450" spans="3:3" x14ac:dyDescent="0.35">
      <c r="C43450" s="2"/>
    </row>
    <row r="43451" spans="3:3" x14ac:dyDescent="0.35">
      <c r="C43451" s="2"/>
    </row>
    <row r="43452" spans="3:3" x14ac:dyDescent="0.35">
      <c r="C43452" s="2"/>
    </row>
    <row r="43453" spans="3:3" x14ac:dyDescent="0.35">
      <c r="C43453" s="2"/>
    </row>
    <row r="43454" spans="3:3" x14ac:dyDescent="0.35">
      <c r="C43454" s="2"/>
    </row>
    <row r="43455" spans="3:3" x14ac:dyDescent="0.35">
      <c r="C43455" s="2"/>
    </row>
    <row r="43456" spans="3:3" x14ac:dyDescent="0.35">
      <c r="C43456" s="2"/>
    </row>
    <row r="43457" spans="3:3" x14ac:dyDescent="0.35">
      <c r="C43457" s="2"/>
    </row>
    <row r="43458" spans="3:3" x14ac:dyDescent="0.35">
      <c r="C43458" s="2"/>
    </row>
    <row r="43459" spans="3:3" x14ac:dyDescent="0.35">
      <c r="C43459" s="2"/>
    </row>
    <row r="43460" spans="3:3" x14ac:dyDescent="0.35">
      <c r="C43460" s="2"/>
    </row>
    <row r="43461" spans="3:3" x14ac:dyDescent="0.35">
      <c r="C43461" s="2"/>
    </row>
    <row r="43462" spans="3:3" x14ac:dyDescent="0.35">
      <c r="C43462" s="2"/>
    </row>
    <row r="43463" spans="3:3" x14ac:dyDescent="0.35">
      <c r="C43463" s="2"/>
    </row>
    <row r="43464" spans="3:3" x14ac:dyDescent="0.35">
      <c r="C43464" s="2"/>
    </row>
    <row r="43465" spans="3:3" x14ac:dyDescent="0.35">
      <c r="C43465" s="2"/>
    </row>
    <row r="43466" spans="3:3" x14ac:dyDescent="0.35">
      <c r="C43466" s="2"/>
    </row>
    <row r="43467" spans="3:3" x14ac:dyDescent="0.35">
      <c r="C43467" s="2"/>
    </row>
    <row r="43468" spans="3:3" x14ac:dyDescent="0.35">
      <c r="C43468" s="2"/>
    </row>
    <row r="43469" spans="3:3" x14ac:dyDescent="0.35">
      <c r="C43469" s="2"/>
    </row>
    <row r="43470" spans="3:3" x14ac:dyDescent="0.35">
      <c r="C43470" s="2"/>
    </row>
    <row r="43471" spans="3:3" x14ac:dyDescent="0.35">
      <c r="C43471" s="2"/>
    </row>
    <row r="43472" spans="3:3" x14ac:dyDescent="0.35">
      <c r="C43472" s="2"/>
    </row>
    <row r="43473" spans="3:3" x14ac:dyDescent="0.35">
      <c r="C43473" s="2"/>
    </row>
    <row r="43474" spans="3:3" x14ac:dyDescent="0.35">
      <c r="C43474" s="2"/>
    </row>
    <row r="43475" spans="3:3" x14ac:dyDescent="0.35">
      <c r="C43475" s="2"/>
    </row>
    <row r="43476" spans="3:3" x14ac:dyDescent="0.35">
      <c r="C43476" s="2"/>
    </row>
    <row r="43477" spans="3:3" x14ac:dyDescent="0.35">
      <c r="C43477" s="2"/>
    </row>
    <row r="43478" spans="3:3" x14ac:dyDescent="0.35">
      <c r="C43478" s="2"/>
    </row>
    <row r="43479" spans="3:3" x14ac:dyDescent="0.35">
      <c r="C43479" s="2"/>
    </row>
    <row r="43480" spans="3:3" x14ac:dyDescent="0.35">
      <c r="C43480" s="2"/>
    </row>
    <row r="43481" spans="3:3" x14ac:dyDescent="0.35">
      <c r="C43481" s="2"/>
    </row>
    <row r="43482" spans="3:3" x14ac:dyDescent="0.35">
      <c r="C43482" s="2"/>
    </row>
    <row r="43483" spans="3:3" x14ac:dyDescent="0.35">
      <c r="C43483" s="2"/>
    </row>
    <row r="43484" spans="3:3" x14ac:dyDescent="0.35">
      <c r="C43484" s="2"/>
    </row>
    <row r="43485" spans="3:3" x14ac:dyDescent="0.35">
      <c r="C43485" s="2"/>
    </row>
    <row r="43486" spans="3:3" x14ac:dyDescent="0.35">
      <c r="C43486" s="2"/>
    </row>
    <row r="43487" spans="3:3" x14ac:dyDescent="0.35">
      <c r="C43487" s="2"/>
    </row>
    <row r="43488" spans="3:3" x14ac:dyDescent="0.35">
      <c r="C43488" s="2"/>
    </row>
    <row r="43489" spans="3:3" x14ac:dyDescent="0.35">
      <c r="C43489" s="2"/>
    </row>
    <row r="43490" spans="3:3" x14ac:dyDescent="0.35">
      <c r="C43490" s="2"/>
    </row>
    <row r="43491" spans="3:3" x14ac:dyDescent="0.35">
      <c r="C43491" s="2"/>
    </row>
    <row r="43492" spans="3:3" x14ac:dyDescent="0.35">
      <c r="C43492" s="2"/>
    </row>
    <row r="43493" spans="3:3" x14ac:dyDescent="0.35">
      <c r="C43493" s="2"/>
    </row>
    <row r="43494" spans="3:3" x14ac:dyDescent="0.35">
      <c r="C43494" s="2"/>
    </row>
    <row r="43495" spans="3:3" x14ac:dyDescent="0.35">
      <c r="C43495" s="2"/>
    </row>
    <row r="43496" spans="3:3" x14ac:dyDescent="0.35">
      <c r="C43496" s="2"/>
    </row>
    <row r="43497" spans="3:3" x14ac:dyDescent="0.35">
      <c r="C43497" s="2"/>
    </row>
    <row r="43498" spans="3:3" x14ac:dyDescent="0.35">
      <c r="C43498" s="2"/>
    </row>
    <row r="43499" spans="3:3" x14ac:dyDescent="0.35">
      <c r="C43499" s="2"/>
    </row>
    <row r="43500" spans="3:3" x14ac:dyDescent="0.35">
      <c r="C43500" s="2"/>
    </row>
    <row r="43501" spans="3:3" x14ac:dyDescent="0.35">
      <c r="C43501" s="2"/>
    </row>
    <row r="43502" spans="3:3" x14ac:dyDescent="0.35">
      <c r="C43502" s="2"/>
    </row>
    <row r="43503" spans="3:3" x14ac:dyDescent="0.35">
      <c r="C43503" s="2"/>
    </row>
    <row r="43504" spans="3:3" x14ac:dyDescent="0.35">
      <c r="C43504" s="2"/>
    </row>
    <row r="43505" spans="3:3" x14ac:dyDescent="0.35">
      <c r="C43505" s="2"/>
    </row>
    <row r="43506" spans="3:3" x14ac:dyDescent="0.35">
      <c r="C43506" s="2"/>
    </row>
    <row r="43507" spans="3:3" x14ac:dyDescent="0.35">
      <c r="C43507" s="2"/>
    </row>
    <row r="43508" spans="3:3" x14ac:dyDescent="0.35">
      <c r="C43508" s="2"/>
    </row>
    <row r="43509" spans="3:3" x14ac:dyDescent="0.35">
      <c r="C43509" s="2"/>
    </row>
    <row r="43510" spans="3:3" x14ac:dyDescent="0.35">
      <c r="C43510" s="2"/>
    </row>
    <row r="43511" spans="3:3" x14ac:dyDescent="0.35">
      <c r="C43511" s="2"/>
    </row>
    <row r="43512" spans="3:3" x14ac:dyDescent="0.35">
      <c r="C43512" s="2"/>
    </row>
    <row r="43513" spans="3:3" x14ac:dyDescent="0.35">
      <c r="C43513" s="2"/>
    </row>
    <row r="43514" spans="3:3" x14ac:dyDescent="0.35">
      <c r="C43514" s="2"/>
    </row>
    <row r="43515" spans="3:3" x14ac:dyDescent="0.35">
      <c r="C43515" s="2"/>
    </row>
    <row r="43516" spans="3:3" x14ac:dyDescent="0.35">
      <c r="C43516" s="2"/>
    </row>
    <row r="43517" spans="3:3" x14ac:dyDescent="0.35">
      <c r="C43517" s="2"/>
    </row>
    <row r="43518" spans="3:3" x14ac:dyDescent="0.35">
      <c r="C43518" s="2"/>
    </row>
    <row r="43519" spans="3:3" x14ac:dyDescent="0.35">
      <c r="C43519" s="2"/>
    </row>
    <row r="43520" spans="3:3" x14ac:dyDescent="0.35">
      <c r="C43520" s="2"/>
    </row>
    <row r="43521" spans="3:3" x14ac:dyDescent="0.35">
      <c r="C43521" s="2"/>
    </row>
    <row r="43522" spans="3:3" x14ac:dyDescent="0.35">
      <c r="C43522" s="2"/>
    </row>
    <row r="43523" spans="3:3" x14ac:dyDescent="0.35">
      <c r="C43523" s="2"/>
    </row>
    <row r="43524" spans="3:3" x14ac:dyDescent="0.35">
      <c r="C43524" s="2"/>
    </row>
    <row r="43525" spans="3:3" x14ac:dyDescent="0.35">
      <c r="C43525" s="2"/>
    </row>
    <row r="43526" spans="3:3" x14ac:dyDescent="0.35">
      <c r="C43526" s="2"/>
    </row>
    <row r="43527" spans="3:3" x14ac:dyDescent="0.35">
      <c r="C43527" s="2"/>
    </row>
    <row r="43528" spans="3:3" x14ac:dyDescent="0.35">
      <c r="C43528" s="2"/>
    </row>
    <row r="43529" spans="3:3" x14ac:dyDescent="0.35">
      <c r="C43529" s="2"/>
    </row>
    <row r="43530" spans="3:3" x14ac:dyDescent="0.35">
      <c r="C43530" s="2"/>
    </row>
    <row r="43531" spans="3:3" x14ac:dyDescent="0.35">
      <c r="C43531" s="2"/>
    </row>
    <row r="43532" spans="3:3" x14ac:dyDescent="0.35">
      <c r="C43532" s="2"/>
    </row>
    <row r="43533" spans="3:3" x14ac:dyDescent="0.35">
      <c r="C43533" s="2"/>
    </row>
    <row r="43534" spans="3:3" x14ac:dyDescent="0.35">
      <c r="C43534" s="2"/>
    </row>
    <row r="43535" spans="3:3" x14ac:dyDescent="0.35">
      <c r="C43535" s="2"/>
    </row>
    <row r="43536" spans="3:3" x14ac:dyDescent="0.35">
      <c r="C43536" s="2"/>
    </row>
    <row r="43537" spans="3:3" x14ac:dyDescent="0.35">
      <c r="C43537" s="2"/>
    </row>
    <row r="43538" spans="3:3" x14ac:dyDescent="0.35">
      <c r="C43538" s="2"/>
    </row>
    <row r="43539" spans="3:3" x14ac:dyDescent="0.35">
      <c r="C43539" s="2"/>
    </row>
    <row r="43540" spans="3:3" x14ac:dyDescent="0.35">
      <c r="C43540" s="2"/>
    </row>
    <row r="43541" spans="3:3" x14ac:dyDescent="0.35">
      <c r="C43541" s="2"/>
    </row>
    <row r="43542" spans="3:3" x14ac:dyDescent="0.35">
      <c r="C43542" s="2"/>
    </row>
    <row r="43543" spans="3:3" x14ac:dyDescent="0.35">
      <c r="C43543" s="2"/>
    </row>
    <row r="43544" spans="3:3" x14ac:dyDescent="0.35">
      <c r="C43544" s="2"/>
    </row>
    <row r="43545" spans="3:3" x14ac:dyDescent="0.35">
      <c r="C43545" s="2"/>
    </row>
    <row r="43546" spans="3:3" x14ac:dyDescent="0.35">
      <c r="C43546" s="2"/>
    </row>
    <row r="43547" spans="3:3" x14ac:dyDescent="0.35">
      <c r="C43547" s="2"/>
    </row>
    <row r="43548" spans="3:3" x14ac:dyDescent="0.35">
      <c r="C43548" s="2"/>
    </row>
    <row r="43549" spans="3:3" x14ac:dyDescent="0.35">
      <c r="C43549" s="2"/>
    </row>
    <row r="43550" spans="3:3" x14ac:dyDescent="0.35">
      <c r="C43550" s="2"/>
    </row>
    <row r="43551" spans="3:3" x14ac:dyDescent="0.35">
      <c r="C43551" s="2"/>
    </row>
    <row r="43552" spans="3:3" x14ac:dyDescent="0.35">
      <c r="C43552" s="2"/>
    </row>
    <row r="43553" spans="3:3" x14ac:dyDescent="0.35">
      <c r="C43553" s="2"/>
    </row>
    <row r="43554" spans="3:3" x14ac:dyDescent="0.35">
      <c r="C43554" s="2"/>
    </row>
    <row r="43555" spans="3:3" x14ac:dyDescent="0.35">
      <c r="C43555" s="2"/>
    </row>
    <row r="43556" spans="3:3" x14ac:dyDescent="0.35">
      <c r="C43556" s="2"/>
    </row>
    <row r="43557" spans="3:3" x14ac:dyDescent="0.35">
      <c r="C43557" s="2"/>
    </row>
    <row r="43558" spans="3:3" x14ac:dyDescent="0.35">
      <c r="C43558" s="2"/>
    </row>
    <row r="43559" spans="3:3" x14ac:dyDescent="0.35">
      <c r="C43559" s="2"/>
    </row>
    <row r="43560" spans="3:3" x14ac:dyDescent="0.35">
      <c r="C43560" s="2"/>
    </row>
    <row r="43561" spans="3:3" x14ac:dyDescent="0.35">
      <c r="C43561" s="2"/>
    </row>
    <row r="43562" spans="3:3" x14ac:dyDescent="0.35">
      <c r="C43562" s="2"/>
    </row>
    <row r="43563" spans="3:3" x14ac:dyDescent="0.35">
      <c r="C43563" s="2"/>
    </row>
    <row r="43564" spans="3:3" x14ac:dyDescent="0.35">
      <c r="C43564" s="2"/>
    </row>
    <row r="43565" spans="3:3" x14ac:dyDescent="0.35">
      <c r="C43565" s="2"/>
    </row>
    <row r="43566" spans="3:3" x14ac:dyDescent="0.35">
      <c r="C43566" s="2"/>
    </row>
    <row r="43567" spans="3:3" x14ac:dyDescent="0.35">
      <c r="C43567" s="2"/>
    </row>
    <row r="43568" spans="3:3" x14ac:dyDescent="0.35">
      <c r="C43568" s="2"/>
    </row>
    <row r="43569" spans="3:3" x14ac:dyDescent="0.35">
      <c r="C43569" s="2"/>
    </row>
    <row r="43570" spans="3:3" x14ac:dyDescent="0.35">
      <c r="C43570" s="2"/>
    </row>
    <row r="43571" spans="3:3" x14ac:dyDescent="0.35">
      <c r="C43571" s="2"/>
    </row>
    <row r="43572" spans="3:3" x14ac:dyDescent="0.35">
      <c r="C43572" s="2"/>
    </row>
    <row r="43573" spans="3:3" x14ac:dyDescent="0.35">
      <c r="C43573" s="2"/>
    </row>
    <row r="43574" spans="3:3" x14ac:dyDescent="0.35">
      <c r="C43574" s="2"/>
    </row>
    <row r="43575" spans="3:3" x14ac:dyDescent="0.35">
      <c r="C43575" s="2"/>
    </row>
    <row r="43576" spans="3:3" x14ac:dyDescent="0.35">
      <c r="C43576" s="2"/>
    </row>
    <row r="43577" spans="3:3" x14ac:dyDescent="0.35">
      <c r="C43577" s="2"/>
    </row>
    <row r="43578" spans="3:3" x14ac:dyDescent="0.35">
      <c r="C43578" s="2"/>
    </row>
    <row r="43579" spans="3:3" x14ac:dyDescent="0.35">
      <c r="C43579" s="2"/>
    </row>
    <row r="43580" spans="3:3" x14ac:dyDescent="0.35">
      <c r="C43580" s="2"/>
    </row>
    <row r="43581" spans="3:3" x14ac:dyDescent="0.35">
      <c r="C43581" s="2"/>
    </row>
    <row r="43582" spans="3:3" x14ac:dyDescent="0.35">
      <c r="C43582" s="2"/>
    </row>
    <row r="43583" spans="3:3" x14ac:dyDescent="0.35">
      <c r="C43583" s="2"/>
    </row>
    <row r="43584" spans="3:3" x14ac:dyDescent="0.35">
      <c r="C43584" s="2"/>
    </row>
    <row r="43585" spans="3:3" x14ac:dyDescent="0.35">
      <c r="C43585" s="2"/>
    </row>
    <row r="43586" spans="3:3" x14ac:dyDescent="0.35">
      <c r="C43586" s="2"/>
    </row>
    <row r="43587" spans="3:3" x14ac:dyDescent="0.35">
      <c r="C43587" s="2"/>
    </row>
    <row r="43588" spans="3:3" x14ac:dyDescent="0.35">
      <c r="C43588" s="2"/>
    </row>
    <row r="43589" spans="3:3" x14ac:dyDescent="0.35">
      <c r="C43589" s="2"/>
    </row>
    <row r="43590" spans="3:3" x14ac:dyDescent="0.35">
      <c r="C43590" s="2"/>
    </row>
    <row r="43591" spans="3:3" x14ac:dyDescent="0.35">
      <c r="C43591" s="2"/>
    </row>
    <row r="43592" spans="3:3" x14ac:dyDescent="0.35">
      <c r="C43592" s="2"/>
    </row>
    <row r="43593" spans="3:3" x14ac:dyDescent="0.35">
      <c r="C43593" s="2"/>
    </row>
    <row r="43594" spans="3:3" x14ac:dyDescent="0.35">
      <c r="C43594" s="2"/>
    </row>
    <row r="43595" spans="3:3" x14ac:dyDescent="0.35">
      <c r="C43595" s="2"/>
    </row>
    <row r="43596" spans="3:3" x14ac:dyDescent="0.35">
      <c r="C43596" s="2"/>
    </row>
    <row r="43597" spans="3:3" x14ac:dyDescent="0.35">
      <c r="C43597" s="2"/>
    </row>
    <row r="43598" spans="3:3" x14ac:dyDescent="0.35">
      <c r="C43598" s="2"/>
    </row>
    <row r="43599" spans="3:3" x14ac:dyDescent="0.35">
      <c r="C43599" s="2"/>
    </row>
    <row r="43600" spans="3:3" x14ac:dyDescent="0.35">
      <c r="C43600" s="2"/>
    </row>
    <row r="43601" spans="3:3" x14ac:dyDescent="0.35">
      <c r="C43601" s="2"/>
    </row>
    <row r="43602" spans="3:3" x14ac:dyDescent="0.35">
      <c r="C43602" s="2"/>
    </row>
    <row r="43603" spans="3:3" x14ac:dyDescent="0.35">
      <c r="C43603" s="2"/>
    </row>
    <row r="43604" spans="3:3" x14ac:dyDescent="0.35">
      <c r="C43604" s="2"/>
    </row>
    <row r="43605" spans="3:3" x14ac:dyDescent="0.35">
      <c r="C43605" s="2"/>
    </row>
    <row r="43606" spans="3:3" x14ac:dyDescent="0.35">
      <c r="C43606" s="2"/>
    </row>
    <row r="43607" spans="3:3" x14ac:dyDescent="0.35">
      <c r="C43607" s="2"/>
    </row>
    <row r="43608" spans="3:3" x14ac:dyDescent="0.35">
      <c r="C43608" s="2"/>
    </row>
    <row r="43609" spans="3:3" x14ac:dyDescent="0.35">
      <c r="C43609" s="2"/>
    </row>
    <row r="43610" spans="3:3" x14ac:dyDescent="0.35">
      <c r="C43610" s="2"/>
    </row>
    <row r="43611" spans="3:3" x14ac:dyDescent="0.35">
      <c r="C43611" s="2"/>
    </row>
    <row r="43612" spans="3:3" x14ac:dyDescent="0.35">
      <c r="C43612" s="2"/>
    </row>
    <row r="43613" spans="3:3" x14ac:dyDescent="0.35">
      <c r="C43613" s="2"/>
    </row>
    <row r="43614" spans="3:3" x14ac:dyDescent="0.35">
      <c r="C43614" s="2"/>
    </row>
    <row r="43615" spans="3:3" x14ac:dyDescent="0.35">
      <c r="C43615" s="2"/>
    </row>
    <row r="43616" spans="3:3" x14ac:dyDescent="0.35">
      <c r="C43616" s="2"/>
    </row>
    <row r="43617" spans="3:3" x14ac:dyDescent="0.35">
      <c r="C43617" s="2"/>
    </row>
    <row r="43618" spans="3:3" x14ac:dyDescent="0.35">
      <c r="C43618" s="2"/>
    </row>
    <row r="43619" spans="3:3" x14ac:dyDescent="0.35">
      <c r="C43619" s="2"/>
    </row>
    <row r="43620" spans="3:3" x14ac:dyDescent="0.35">
      <c r="C43620" s="2"/>
    </row>
    <row r="43621" spans="3:3" x14ac:dyDescent="0.35">
      <c r="C43621" s="2"/>
    </row>
    <row r="43622" spans="3:3" x14ac:dyDescent="0.35">
      <c r="C43622" s="2"/>
    </row>
    <row r="43623" spans="3:3" x14ac:dyDescent="0.35">
      <c r="C43623" s="2"/>
    </row>
    <row r="43624" spans="3:3" x14ac:dyDescent="0.35">
      <c r="C43624" s="2"/>
    </row>
    <row r="43625" spans="3:3" x14ac:dyDescent="0.35">
      <c r="C43625" s="2"/>
    </row>
    <row r="43626" spans="3:3" x14ac:dyDescent="0.35">
      <c r="C43626" s="2"/>
    </row>
    <row r="43627" spans="3:3" x14ac:dyDescent="0.35">
      <c r="C43627" s="2"/>
    </row>
    <row r="43628" spans="3:3" x14ac:dyDescent="0.35">
      <c r="C43628" s="2"/>
    </row>
    <row r="43629" spans="3:3" x14ac:dyDescent="0.35">
      <c r="C43629" s="2"/>
    </row>
    <row r="43630" spans="3:3" x14ac:dyDescent="0.35">
      <c r="C43630" s="2"/>
    </row>
    <row r="43631" spans="3:3" x14ac:dyDescent="0.35">
      <c r="C43631" s="2"/>
    </row>
    <row r="43632" spans="3:3" x14ac:dyDescent="0.35">
      <c r="C43632" s="2"/>
    </row>
    <row r="43633" spans="3:3" x14ac:dyDescent="0.35">
      <c r="C43633" s="2"/>
    </row>
    <row r="43634" spans="3:3" x14ac:dyDescent="0.35">
      <c r="C43634" s="2"/>
    </row>
    <row r="43635" spans="3:3" x14ac:dyDescent="0.35">
      <c r="C43635" s="2"/>
    </row>
    <row r="43636" spans="3:3" x14ac:dyDescent="0.35">
      <c r="C43636" s="2"/>
    </row>
    <row r="43637" spans="3:3" x14ac:dyDescent="0.35">
      <c r="C43637" s="2"/>
    </row>
    <row r="43638" spans="3:3" x14ac:dyDescent="0.35">
      <c r="C43638" s="2"/>
    </row>
    <row r="43639" spans="3:3" x14ac:dyDescent="0.35">
      <c r="C43639" s="2"/>
    </row>
    <row r="43640" spans="3:3" x14ac:dyDescent="0.35">
      <c r="C43640" s="2"/>
    </row>
    <row r="43641" spans="3:3" x14ac:dyDescent="0.35">
      <c r="C43641" s="2"/>
    </row>
    <row r="43642" spans="3:3" x14ac:dyDescent="0.35">
      <c r="C43642" s="2"/>
    </row>
    <row r="43643" spans="3:3" x14ac:dyDescent="0.35">
      <c r="C43643" s="2"/>
    </row>
    <row r="43644" spans="3:3" x14ac:dyDescent="0.35">
      <c r="C43644" s="2"/>
    </row>
    <row r="43645" spans="3:3" x14ac:dyDescent="0.35">
      <c r="C43645" s="2"/>
    </row>
    <row r="43646" spans="3:3" x14ac:dyDescent="0.35">
      <c r="C43646" s="2"/>
    </row>
    <row r="43647" spans="3:3" x14ac:dyDescent="0.35">
      <c r="C43647" s="2"/>
    </row>
    <row r="43648" spans="3:3" x14ac:dyDescent="0.35">
      <c r="C43648" s="2"/>
    </row>
    <row r="43649" spans="3:3" x14ac:dyDescent="0.35">
      <c r="C43649" s="2"/>
    </row>
    <row r="43650" spans="3:3" x14ac:dyDescent="0.35">
      <c r="C43650" s="2"/>
    </row>
    <row r="43651" spans="3:3" x14ac:dyDescent="0.35">
      <c r="C43651" s="2"/>
    </row>
    <row r="43652" spans="3:3" x14ac:dyDescent="0.35">
      <c r="C43652" s="2"/>
    </row>
    <row r="43653" spans="3:3" x14ac:dyDescent="0.35">
      <c r="C43653" s="2"/>
    </row>
    <row r="43654" spans="3:3" x14ac:dyDescent="0.35">
      <c r="C43654" s="2"/>
    </row>
    <row r="43655" spans="3:3" x14ac:dyDescent="0.35">
      <c r="C43655" s="2"/>
    </row>
    <row r="43656" spans="3:3" x14ac:dyDescent="0.35">
      <c r="C43656" s="2"/>
    </row>
    <row r="43657" spans="3:3" x14ac:dyDescent="0.35">
      <c r="C43657" s="2"/>
    </row>
    <row r="43658" spans="3:3" x14ac:dyDescent="0.35">
      <c r="C43658" s="2"/>
    </row>
    <row r="43659" spans="3:3" x14ac:dyDescent="0.35">
      <c r="C43659" s="2"/>
    </row>
    <row r="43660" spans="3:3" x14ac:dyDescent="0.35">
      <c r="C43660" s="2"/>
    </row>
    <row r="43661" spans="3:3" x14ac:dyDescent="0.35">
      <c r="C43661" s="2"/>
    </row>
    <row r="43662" spans="3:3" x14ac:dyDescent="0.35">
      <c r="C43662" s="2"/>
    </row>
    <row r="43663" spans="3:3" x14ac:dyDescent="0.35">
      <c r="C43663" s="2"/>
    </row>
    <row r="43664" spans="3:3" x14ac:dyDescent="0.35">
      <c r="C43664" s="2"/>
    </row>
    <row r="43665" spans="3:3" x14ac:dyDescent="0.35">
      <c r="C43665" s="2"/>
    </row>
    <row r="43666" spans="3:3" x14ac:dyDescent="0.35">
      <c r="C43666" s="2"/>
    </row>
    <row r="43667" spans="3:3" x14ac:dyDescent="0.35">
      <c r="C43667" s="2"/>
    </row>
    <row r="43668" spans="3:3" x14ac:dyDescent="0.35">
      <c r="C43668" s="2"/>
    </row>
    <row r="43669" spans="3:3" x14ac:dyDescent="0.35">
      <c r="C43669" s="2"/>
    </row>
    <row r="43670" spans="3:3" x14ac:dyDescent="0.35">
      <c r="C43670" s="2"/>
    </row>
    <row r="43671" spans="3:3" x14ac:dyDescent="0.35">
      <c r="C43671" s="2"/>
    </row>
    <row r="43672" spans="3:3" x14ac:dyDescent="0.35">
      <c r="C43672" s="2"/>
    </row>
    <row r="43673" spans="3:3" x14ac:dyDescent="0.35">
      <c r="C43673" s="2"/>
    </row>
    <row r="43674" spans="3:3" x14ac:dyDescent="0.35">
      <c r="C43674" s="2"/>
    </row>
    <row r="43675" spans="3:3" x14ac:dyDescent="0.35">
      <c r="C43675" s="2"/>
    </row>
    <row r="43676" spans="3:3" x14ac:dyDescent="0.35">
      <c r="C43676" s="2"/>
    </row>
    <row r="43677" spans="3:3" x14ac:dyDescent="0.35">
      <c r="C43677" s="2"/>
    </row>
    <row r="43678" spans="3:3" x14ac:dyDescent="0.35">
      <c r="C43678" s="2"/>
    </row>
    <row r="43679" spans="3:3" x14ac:dyDescent="0.35">
      <c r="C43679" s="2"/>
    </row>
    <row r="43680" spans="3:3" x14ac:dyDescent="0.35">
      <c r="C43680" s="2"/>
    </row>
    <row r="43681" spans="3:3" x14ac:dyDescent="0.35">
      <c r="C43681" s="2"/>
    </row>
    <row r="43682" spans="3:3" x14ac:dyDescent="0.35">
      <c r="C43682" s="2"/>
    </row>
    <row r="43683" spans="3:3" x14ac:dyDescent="0.35">
      <c r="C43683" s="2"/>
    </row>
    <row r="43684" spans="3:3" x14ac:dyDescent="0.35">
      <c r="C43684" s="2"/>
    </row>
    <row r="43685" spans="3:3" x14ac:dyDescent="0.35">
      <c r="C43685" s="2"/>
    </row>
    <row r="43686" spans="3:3" x14ac:dyDescent="0.35">
      <c r="C43686" s="2"/>
    </row>
    <row r="43687" spans="3:3" x14ac:dyDescent="0.35">
      <c r="C43687" s="2"/>
    </row>
    <row r="43688" spans="3:3" x14ac:dyDescent="0.35">
      <c r="C43688" s="2"/>
    </row>
    <row r="43689" spans="3:3" x14ac:dyDescent="0.35">
      <c r="C43689" s="2"/>
    </row>
    <row r="43690" spans="3:3" x14ac:dyDescent="0.35">
      <c r="C43690" s="2"/>
    </row>
    <row r="43691" spans="3:3" x14ac:dyDescent="0.35">
      <c r="C43691" s="2"/>
    </row>
    <row r="43692" spans="3:3" x14ac:dyDescent="0.35">
      <c r="C43692" s="2"/>
    </row>
    <row r="43693" spans="3:3" x14ac:dyDescent="0.35">
      <c r="C43693" s="2"/>
    </row>
    <row r="43694" spans="3:3" x14ac:dyDescent="0.35">
      <c r="C43694" s="2"/>
    </row>
    <row r="43695" spans="3:3" x14ac:dyDescent="0.35">
      <c r="C43695" s="2"/>
    </row>
    <row r="43696" spans="3:3" x14ac:dyDescent="0.35">
      <c r="C43696" s="2"/>
    </row>
    <row r="43697" spans="3:3" x14ac:dyDescent="0.35">
      <c r="C43697" s="2"/>
    </row>
    <row r="43698" spans="3:3" x14ac:dyDescent="0.35">
      <c r="C43698" s="2"/>
    </row>
    <row r="43699" spans="3:3" x14ac:dyDescent="0.35">
      <c r="C43699" s="2"/>
    </row>
    <row r="43700" spans="3:3" x14ac:dyDescent="0.35">
      <c r="C43700" s="2"/>
    </row>
    <row r="43701" spans="3:3" x14ac:dyDescent="0.35">
      <c r="C43701" s="2"/>
    </row>
    <row r="43702" spans="3:3" x14ac:dyDescent="0.35">
      <c r="C43702" s="2"/>
    </row>
    <row r="43703" spans="3:3" x14ac:dyDescent="0.35">
      <c r="C43703" s="2"/>
    </row>
    <row r="43704" spans="3:3" x14ac:dyDescent="0.35">
      <c r="C43704" s="2"/>
    </row>
    <row r="43705" spans="3:3" x14ac:dyDescent="0.35">
      <c r="C43705" s="2"/>
    </row>
    <row r="43706" spans="3:3" x14ac:dyDescent="0.35">
      <c r="C43706" s="2"/>
    </row>
    <row r="43707" spans="3:3" x14ac:dyDescent="0.35">
      <c r="C43707" s="2"/>
    </row>
    <row r="43708" spans="3:3" x14ac:dyDescent="0.35">
      <c r="C43708" s="2"/>
    </row>
    <row r="43709" spans="3:3" x14ac:dyDescent="0.35">
      <c r="C43709" s="2"/>
    </row>
    <row r="43710" spans="3:3" x14ac:dyDescent="0.35">
      <c r="C43710" s="2"/>
    </row>
    <row r="43711" spans="3:3" x14ac:dyDescent="0.35">
      <c r="C43711" s="2"/>
    </row>
    <row r="43712" spans="3:3" x14ac:dyDescent="0.35">
      <c r="C43712" s="2"/>
    </row>
    <row r="43713" spans="3:3" x14ac:dyDescent="0.35">
      <c r="C43713" s="2"/>
    </row>
    <row r="43714" spans="3:3" x14ac:dyDescent="0.35">
      <c r="C43714" s="2"/>
    </row>
    <row r="43715" spans="3:3" x14ac:dyDescent="0.35">
      <c r="C43715" s="2"/>
    </row>
    <row r="43716" spans="3:3" x14ac:dyDescent="0.35">
      <c r="C43716" s="2"/>
    </row>
    <row r="43717" spans="3:3" x14ac:dyDescent="0.35">
      <c r="C43717" s="2"/>
    </row>
    <row r="43718" spans="3:3" x14ac:dyDescent="0.35">
      <c r="C43718" s="2"/>
    </row>
    <row r="43719" spans="3:3" x14ac:dyDescent="0.35">
      <c r="C43719" s="2"/>
    </row>
    <row r="43720" spans="3:3" x14ac:dyDescent="0.35">
      <c r="C43720" s="2"/>
    </row>
    <row r="43721" spans="3:3" x14ac:dyDescent="0.35">
      <c r="C43721" s="2"/>
    </row>
    <row r="43722" spans="3:3" x14ac:dyDescent="0.35">
      <c r="C43722" s="2"/>
    </row>
    <row r="43723" spans="3:3" x14ac:dyDescent="0.35">
      <c r="C43723" s="2"/>
    </row>
    <row r="43724" spans="3:3" x14ac:dyDescent="0.35">
      <c r="C43724" s="2"/>
    </row>
    <row r="43725" spans="3:3" x14ac:dyDescent="0.35">
      <c r="C43725" s="2"/>
    </row>
    <row r="43726" spans="3:3" x14ac:dyDescent="0.35">
      <c r="C43726" s="2"/>
    </row>
    <row r="43727" spans="3:3" x14ac:dyDescent="0.35">
      <c r="C43727" s="2"/>
    </row>
    <row r="43728" spans="3:3" x14ac:dyDescent="0.35">
      <c r="C43728" s="2"/>
    </row>
    <row r="43729" spans="3:3" x14ac:dyDescent="0.35">
      <c r="C43729" s="2"/>
    </row>
    <row r="43730" spans="3:3" x14ac:dyDescent="0.35">
      <c r="C43730" s="2"/>
    </row>
    <row r="43731" spans="3:3" x14ac:dyDescent="0.35">
      <c r="C43731" s="2"/>
    </row>
    <row r="43732" spans="3:3" x14ac:dyDescent="0.35">
      <c r="C43732" s="2"/>
    </row>
    <row r="43733" spans="3:3" x14ac:dyDescent="0.35">
      <c r="C43733" s="2"/>
    </row>
    <row r="43734" spans="3:3" x14ac:dyDescent="0.35">
      <c r="C43734" s="2"/>
    </row>
    <row r="43735" spans="3:3" x14ac:dyDescent="0.35">
      <c r="C43735" s="2"/>
    </row>
    <row r="43736" spans="3:3" x14ac:dyDescent="0.35">
      <c r="C43736" s="2"/>
    </row>
    <row r="43737" spans="3:3" x14ac:dyDescent="0.35">
      <c r="C43737" s="2"/>
    </row>
    <row r="43738" spans="3:3" x14ac:dyDescent="0.35">
      <c r="C43738" s="2"/>
    </row>
    <row r="43739" spans="3:3" x14ac:dyDescent="0.35">
      <c r="C43739" s="2"/>
    </row>
    <row r="43740" spans="3:3" x14ac:dyDescent="0.35">
      <c r="C43740" s="2"/>
    </row>
    <row r="43741" spans="3:3" x14ac:dyDescent="0.35">
      <c r="C43741" s="2"/>
    </row>
    <row r="43742" spans="3:3" x14ac:dyDescent="0.35">
      <c r="C43742" s="2"/>
    </row>
    <row r="43743" spans="3:3" x14ac:dyDescent="0.35">
      <c r="C43743" s="2"/>
    </row>
    <row r="43744" spans="3:3" x14ac:dyDescent="0.35">
      <c r="C43744" s="2"/>
    </row>
    <row r="43745" spans="3:3" x14ac:dyDescent="0.35">
      <c r="C43745" s="2"/>
    </row>
    <row r="43746" spans="3:3" x14ac:dyDescent="0.35">
      <c r="C43746" s="2"/>
    </row>
    <row r="43747" spans="3:3" x14ac:dyDescent="0.35">
      <c r="C43747" s="2"/>
    </row>
    <row r="43748" spans="3:3" x14ac:dyDescent="0.35">
      <c r="C43748" s="2"/>
    </row>
    <row r="43749" spans="3:3" x14ac:dyDescent="0.35">
      <c r="C43749" s="2"/>
    </row>
    <row r="43750" spans="3:3" x14ac:dyDescent="0.35">
      <c r="C43750" s="2"/>
    </row>
    <row r="43751" spans="3:3" x14ac:dyDescent="0.35">
      <c r="C43751" s="2"/>
    </row>
    <row r="43752" spans="3:3" x14ac:dyDescent="0.35">
      <c r="C43752" s="2"/>
    </row>
    <row r="43753" spans="3:3" x14ac:dyDescent="0.35">
      <c r="C43753" s="2"/>
    </row>
    <row r="43754" spans="3:3" x14ac:dyDescent="0.35">
      <c r="C43754" s="2"/>
    </row>
    <row r="43755" spans="3:3" x14ac:dyDescent="0.35">
      <c r="C43755" s="2"/>
    </row>
    <row r="43756" spans="3:3" x14ac:dyDescent="0.35">
      <c r="C43756" s="2"/>
    </row>
    <row r="43757" spans="3:3" x14ac:dyDescent="0.35">
      <c r="C43757" s="2"/>
    </row>
    <row r="43758" spans="3:3" x14ac:dyDescent="0.35">
      <c r="C43758" s="2"/>
    </row>
    <row r="43759" spans="3:3" x14ac:dyDescent="0.35">
      <c r="C43759" s="2"/>
    </row>
    <row r="43760" spans="3:3" x14ac:dyDescent="0.35">
      <c r="C43760" s="2"/>
    </row>
    <row r="43761" spans="3:3" x14ac:dyDescent="0.35">
      <c r="C43761" s="2"/>
    </row>
    <row r="43762" spans="3:3" x14ac:dyDescent="0.35">
      <c r="C43762" s="2"/>
    </row>
    <row r="43763" spans="3:3" x14ac:dyDescent="0.35">
      <c r="C43763" s="2"/>
    </row>
    <row r="43764" spans="3:3" x14ac:dyDescent="0.35">
      <c r="C43764" s="2"/>
    </row>
    <row r="43765" spans="3:3" x14ac:dyDescent="0.35">
      <c r="C43765" s="2"/>
    </row>
    <row r="43766" spans="3:3" x14ac:dyDescent="0.35">
      <c r="C43766" s="2"/>
    </row>
    <row r="43767" spans="3:3" x14ac:dyDescent="0.35">
      <c r="C43767" s="2"/>
    </row>
    <row r="43768" spans="3:3" x14ac:dyDescent="0.35">
      <c r="C43768" s="2"/>
    </row>
    <row r="43769" spans="3:3" x14ac:dyDescent="0.35">
      <c r="C43769" s="2"/>
    </row>
    <row r="43770" spans="3:3" x14ac:dyDescent="0.35">
      <c r="C43770" s="2"/>
    </row>
    <row r="43771" spans="3:3" x14ac:dyDescent="0.35">
      <c r="C43771" s="2"/>
    </row>
    <row r="43772" spans="3:3" x14ac:dyDescent="0.35">
      <c r="C43772" s="2"/>
    </row>
    <row r="43773" spans="3:3" x14ac:dyDescent="0.35">
      <c r="C43773" s="2"/>
    </row>
    <row r="43774" spans="3:3" x14ac:dyDescent="0.35">
      <c r="C43774" s="2"/>
    </row>
    <row r="43775" spans="3:3" x14ac:dyDescent="0.35">
      <c r="C43775" s="2"/>
    </row>
    <row r="43776" spans="3:3" x14ac:dyDescent="0.35">
      <c r="C43776" s="2"/>
    </row>
    <row r="43777" spans="3:3" x14ac:dyDescent="0.35">
      <c r="C43777" s="2"/>
    </row>
    <row r="43778" spans="3:3" x14ac:dyDescent="0.35">
      <c r="C43778" s="2"/>
    </row>
    <row r="43779" spans="3:3" x14ac:dyDescent="0.35">
      <c r="C43779" s="2"/>
    </row>
    <row r="43780" spans="3:3" x14ac:dyDescent="0.35">
      <c r="C43780" s="2"/>
    </row>
    <row r="43781" spans="3:3" x14ac:dyDescent="0.35">
      <c r="C43781" s="2"/>
    </row>
    <row r="43782" spans="3:3" x14ac:dyDescent="0.35">
      <c r="C43782" s="2"/>
    </row>
    <row r="43783" spans="3:3" x14ac:dyDescent="0.35">
      <c r="C43783" s="2"/>
    </row>
    <row r="43784" spans="3:3" x14ac:dyDescent="0.35">
      <c r="C43784" s="2"/>
    </row>
    <row r="43785" spans="3:3" x14ac:dyDescent="0.35">
      <c r="C43785" s="2"/>
    </row>
    <row r="43786" spans="3:3" x14ac:dyDescent="0.35">
      <c r="C43786" s="2"/>
    </row>
    <row r="43787" spans="3:3" x14ac:dyDescent="0.35">
      <c r="C43787" s="2"/>
    </row>
    <row r="43788" spans="3:3" x14ac:dyDescent="0.35">
      <c r="C43788" s="2"/>
    </row>
    <row r="43789" spans="3:3" x14ac:dyDescent="0.35">
      <c r="C43789" s="2"/>
    </row>
    <row r="43790" spans="3:3" x14ac:dyDescent="0.35">
      <c r="C43790" s="2"/>
    </row>
    <row r="43791" spans="3:3" x14ac:dyDescent="0.35">
      <c r="C43791" s="2"/>
    </row>
    <row r="43792" spans="3:3" x14ac:dyDescent="0.35">
      <c r="C43792" s="2"/>
    </row>
    <row r="43793" spans="3:3" x14ac:dyDescent="0.35">
      <c r="C43793" s="2"/>
    </row>
    <row r="43794" spans="3:3" x14ac:dyDescent="0.35">
      <c r="C43794" s="2"/>
    </row>
    <row r="43795" spans="3:3" x14ac:dyDescent="0.35">
      <c r="C43795" s="2"/>
    </row>
    <row r="43796" spans="3:3" x14ac:dyDescent="0.35">
      <c r="C43796" s="2"/>
    </row>
    <row r="43797" spans="3:3" x14ac:dyDescent="0.35">
      <c r="C43797" s="2"/>
    </row>
    <row r="43798" spans="3:3" x14ac:dyDescent="0.35">
      <c r="C43798" s="2"/>
    </row>
    <row r="43799" spans="3:3" x14ac:dyDescent="0.35">
      <c r="C43799" s="2"/>
    </row>
    <row r="43800" spans="3:3" x14ac:dyDescent="0.35">
      <c r="C43800" s="2"/>
    </row>
    <row r="43801" spans="3:3" x14ac:dyDescent="0.35">
      <c r="C43801" s="2"/>
    </row>
    <row r="43802" spans="3:3" x14ac:dyDescent="0.35">
      <c r="C43802" s="2"/>
    </row>
    <row r="43803" spans="3:3" x14ac:dyDescent="0.35">
      <c r="C43803" s="2"/>
    </row>
    <row r="43804" spans="3:3" x14ac:dyDescent="0.35">
      <c r="C43804" s="2"/>
    </row>
    <row r="43805" spans="3:3" x14ac:dyDescent="0.35">
      <c r="C43805" s="2"/>
    </row>
    <row r="43806" spans="3:3" x14ac:dyDescent="0.35">
      <c r="C43806" s="2"/>
    </row>
    <row r="43807" spans="3:3" x14ac:dyDescent="0.35">
      <c r="C43807" s="2"/>
    </row>
    <row r="43808" spans="3:3" x14ac:dyDescent="0.35">
      <c r="C43808" s="2"/>
    </row>
    <row r="43809" spans="3:3" x14ac:dyDescent="0.35">
      <c r="C43809" s="2"/>
    </row>
    <row r="43810" spans="3:3" x14ac:dyDescent="0.35">
      <c r="C43810" s="2"/>
    </row>
    <row r="43811" spans="3:3" x14ac:dyDescent="0.35">
      <c r="C43811" s="2"/>
    </row>
    <row r="43812" spans="3:3" x14ac:dyDescent="0.35">
      <c r="C43812" s="2"/>
    </row>
    <row r="43813" spans="3:3" x14ac:dyDescent="0.35">
      <c r="C43813" s="2"/>
    </row>
    <row r="43814" spans="3:3" x14ac:dyDescent="0.35">
      <c r="C43814" s="2"/>
    </row>
    <row r="43815" spans="3:3" x14ac:dyDescent="0.35">
      <c r="C43815" s="2"/>
    </row>
    <row r="43816" spans="3:3" x14ac:dyDescent="0.35">
      <c r="C43816" s="2"/>
    </row>
    <row r="43817" spans="3:3" x14ac:dyDescent="0.35">
      <c r="C43817" s="2"/>
    </row>
    <row r="43818" spans="3:3" x14ac:dyDescent="0.35">
      <c r="C43818" s="2"/>
    </row>
    <row r="43819" spans="3:3" x14ac:dyDescent="0.35">
      <c r="C43819" s="2"/>
    </row>
    <row r="43820" spans="3:3" x14ac:dyDescent="0.35">
      <c r="C43820" s="2"/>
    </row>
    <row r="43821" spans="3:3" x14ac:dyDescent="0.35">
      <c r="C43821" s="2"/>
    </row>
    <row r="43822" spans="3:3" x14ac:dyDescent="0.35">
      <c r="C43822" s="2"/>
    </row>
    <row r="43823" spans="3:3" x14ac:dyDescent="0.35">
      <c r="C43823" s="2"/>
    </row>
    <row r="43824" spans="3:3" x14ac:dyDescent="0.35">
      <c r="C43824" s="2"/>
    </row>
    <row r="43825" spans="3:3" x14ac:dyDescent="0.35">
      <c r="C43825" s="2"/>
    </row>
    <row r="43826" spans="3:3" x14ac:dyDescent="0.35">
      <c r="C43826" s="2"/>
    </row>
    <row r="43827" spans="3:3" x14ac:dyDescent="0.35">
      <c r="C43827" s="2"/>
    </row>
    <row r="43828" spans="3:3" x14ac:dyDescent="0.35">
      <c r="C43828" s="2"/>
    </row>
    <row r="43829" spans="3:3" x14ac:dyDescent="0.35">
      <c r="C43829" s="2"/>
    </row>
    <row r="43830" spans="3:3" x14ac:dyDescent="0.35">
      <c r="C43830" s="2"/>
    </row>
    <row r="43831" spans="3:3" x14ac:dyDescent="0.35">
      <c r="C43831" s="2"/>
    </row>
    <row r="43832" spans="3:3" x14ac:dyDescent="0.35">
      <c r="C43832" s="2"/>
    </row>
    <row r="43833" spans="3:3" x14ac:dyDescent="0.35">
      <c r="C43833" s="2"/>
    </row>
    <row r="43834" spans="3:3" x14ac:dyDescent="0.35">
      <c r="C43834" s="2"/>
    </row>
    <row r="43835" spans="3:3" x14ac:dyDescent="0.35">
      <c r="C43835" s="2"/>
    </row>
    <row r="43836" spans="3:3" x14ac:dyDescent="0.35">
      <c r="C43836" s="2"/>
    </row>
    <row r="43837" spans="3:3" x14ac:dyDescent="0.35">
      <c r="C43837" s="2"/>
    </row>
    <row r="43838" spans="3:3" x14ac:dyDescent="0.35">
      <c r="C43838" s="2"/>
    </row>
    <row r="43839" spans="3:3" x14ac:dyDescent="0.35">
      <c r="C43839" s="2"/>
    </row>
    <row r="43840" spans="3:3" x14ac:dyDescent="0.35">
      <c r="C43840" s="2"/>
    </row>
    <row r="43841" spans="3:3" x14ac:dyDescent="0.35">
      <c r="C43841" s="2"/>
    </row>
    <row r="43842" spans="3:3" x14ac:dyDescent="0.35">
      <c r="C43842" s="2"/>
    </row>
    <row r="43843" spans="3:3" x14ac:dyDescent="0.35">
      <c r="C43843" s="2"/>
    </row>
    <row r="43844" spans="3:3" x14ac:dyDescent="0.35">
      <c r="C43844" s="2"/>
    </row>
    <row r="43845" spans="3:3" x14ac:dyDescent="0.35">
      <c r="C43845" s="2"/>
    </row>
    <row r="43846" spans="3:3" x14ac:dyDescent="0.35">
      <c r="C43846" s="2"/>
    </row>
    <row r="43847" spans="3:3" x14ac:dyDescent="0.35">
      <c r="C43847" s="2"/>
    </row>
    <row r="43848" spans="3:3" x14ac:dyDescent="0.35">
      <c r="C43848" s="2"/>
    </row>
    <row r="43849" spans="3:3" x14ac:dyDescent="0.35">
      <c r="C43849" s="2"/>
    </row>
    <row r="43850" spans="3:3" x14ac:dyDescent="0.35">
      <c r="C43850" s="2"/>
    </row>
    <row r="43851" spans="3:3" x14ac:dyDescent="0.35">
      <c r="C43851" s="2"/>
    </row>
    <row r="43852" spans="3:3" x14ac:dyDescent="0.35">
      <c r="C43852" s="2"/>
    </row>
    <row r="43853" spans="3:3" x14ac:dyDescent="0.35">
      <c r="C43853" s="2"/>
    </row>
    <row r="43854" spans="3:3" x14ac:dyDescent="0.35">
      <c r="C43854" s="2"/>
    </row>
    <row r="43855" spans="3:3" x14ac:dyDescent="0.35">
      <c r="C43855" s="2"/>
    </row>
    <row r="43856" spans="3:3" x14ac:dyDescent="0.35">
      <c r="C43856" s="2"/>
    </row>
    <row r="43857" spans="3:3" x14ac:dyDescent="0.35">
      <c r="C43857" s="2"/>
    </row>
    <row r="43858" spans="3:3" x14ac:dyDescent="0.35">
      <c r="C43858" s="2"/>
    </row>
    <row r="43859" spans="3:3" x14ac:dyDescent="0.35">
      <c r="C43859" s="2"/>
    </row>
    <row r="43860" spans="3:3" x14ac:dyDescent="0.35">
      <c r="C43860" s="2"/>
    </row>
    <row r="43861" spans="3:3" x14ac:dyDescent="0.35">
      <c r="C43861" s="2"/>
    </row>
    <row r="43862" spans="3:3" x14ac:dyDescent="0.35">
      <c r="C43862" s="2"/>
    </row>
    <row r="43863" spans="3:3" x14ac:dyDescent="0.35">
      <c r="C43863" s="2"/>
    </row>
    <row r="43864" spans="3:3" x14ac:dyDescent="0.35">
      <c r="C43864" s="2"/>
    </row>
    <row r="43865" spans="3:3" x14ac:dyDescent="0.35">
      <c r="C43865" s="2"/>
    </row>
    <row r="43866" spans="3:3" x14ac:dyDescent="0.35">
      <c r="C43866" s="2"/>
    </row>
    <row r="43867" spans="3:3" x14ac:dyDescent="0.35">
      <c r="C43867" s="2"/>
    </row>
    <row r="43868" spans="3:3" x14ac:dyDescent="0.35">
      <c r="C43868" s="2"/>
    </row>
    <row r="43869" spans="3:3" x14ac:dyDescent="0.35">
      <c r="C43869" s="2"/>
    </row>
    <row r="43870" spans="3:3" x14ac:dyDescent="0.35">
      <c r="C43870" s="2"/>
    </row>
    <row r="43871" spans="3:3" x14ac:dyDescent="0.35">
      <c r="C43871" s="2"/>
    </row>
    <row r="43872" spans="3:3" x14ac:dyDescent="0.35">
      <c r="C43872" s="2"/>
    </row>
    <row r="43873" spans="3:3" x14ac:dyDescent="0.35">
      <c r="C43873" s="2"/>
    </row>
    <row r="43874" spans="3:3" x14ac:dyDescent="0.35">
      <c r="C43874" s="2"/>
    </row>
    <row r="43875" spans="3:3" x14ac:dyDescent="0.35">
      <c r="C43875" s="2"/>
    </row>
    <row r="43876" spans="3:3" x14ac:dyDescent="0.35">
      <c r="C43876" s="2"/>
    </row>
    <row r="43877" spans="3:3" x14ac:dyDescent="0.35">
      <c r="C43877" s="2"/>
    </row>
    <row r="43878" spans="3:3" x14ac:dyDescent="0.35">
      <c r="C43878" s="2"/>
    </row>
    <row r="43879" spans="3:3" x14ac:dyDescent="0.35">
      <c r="C43879" s="2"/>
    </row>
    <row r="43880" spans="3:3" x14ac:dyDescent="0.35">
      <c r="C43880" s="2"/>
    </row>
    <row r="43881" spans="3:3" x14ac:dyDescent="0.35">
      <c r="C43881" s="2"/>
    </row>
    <row r="43882" spans="3:3" x14ac:dyDescent="0.35">
      <c r="C43882" s="2"/>
    </row>
    <row r="43883" spans="3:3" x14ac:dyDescent="0.35">
      <c r="C43883" s="2"/>
    </row>
    <row r="43884" spans="3:3" x14ac:dyDescent="0.35">
      <c r="C43884" s="2"/>
    </row>
    <row r="43885" spans="3:3" x14ac:dyDescent="0.35">
      <c r="C43885" s="2"/>
    </row>
    <row r="43886" spans="3:3" x14ac:dyDescent="0.35">
      <c r="C43886" s="2"/>
    </row>
    <row r="43887" spans="3:3" x14ac:dyDescent="0.35">
      <c r="C43887" s="2"/>
    </row>
    <row r="43888" spans="3:3" x14ac:dyDescent="0.35">
      <c r="C43888" s="2"/>
    </row>
    <row r="43889" spans="3:3" x14ac:dyDescent="0.35">
      <c r="C43889" s="2"/>
    </row>
    <row r="43890" spans="3:3" x14ac:dyDescent="0.35">
      <c r="C43890" s="2"/>
    </row>
    <row r="43891" spans="3:3" x14ac:dyDescent="0.35">
      <c r="C43891" s="2"/>
    </row>
    <row r="43892" spans="3:3" x14ac:dyDescent="0.35">
      <c r="C43892" s="2"/>
    </row>
    <row r="43893" spans="3:3" x14ac:dyDescent="0.35">
      <c r="C43893" s="2"/>
    </row>
    <row r="43894" spans="3:3" x14ac:dyDescent="0.35">
      <c r="C43894" s="2"/>
    </row>
    <row r="43895" spans="3:3" x14ac:dyDescent="0.35">
      <c r="C43895" s="2"/>
    </row>
    <row r="43896" spans="3:3" x14ac:dyDescent="0.35">
      <c r="C43896" s="2"/>
    </row>
    <row r="43897" spans="3:3" x14ac:dyDescent="0.35">
      <c r="C43897" s="2"/>
    </row>
    <row r="43898" spans="3:3" x14ac:dyDescent="0.35">
      <c r="C43898" s="2"/>
    </row>
    <row r="43899" spans="3:3" x14ac:dyDescent="0.35">
      <c r="C43899" s="2"/>
    </row>
    <row r="43900" spans="3:3" x14ac:dyDescent="0.35">
      <c r="C43900" s="2"/>
    </row>
    <row r="43901" spans="3:3" x14ac:dyDescent="0.35">
      <c r="C43901" s="2"/>
    </row>
    <row r="43902" spans="3:3" x14ac:dyDescent="0.35">
      <c r="C43902" s="2"/>
    </row>
    <row r="43903" spans="3:3" x14ac:dyDescent="0.35">
      <c r="C43903" s="2"/>
    </row>
    <row r="43904" spans="3:3" x14ac:dyDescent="0.35">
      <c r="C43904" s="2"/>
    </row>
    <row r="43905" spans="3:3" x14ac:dyDescent="0.35">
      <c r="C43905" s="2"/>
    </row>
    <row r="43906" spans="3:3" x14ac:dyDescent="0.35">
      <c r="C43906" s="2"/>
    </row>
    <row r="43907" spans="3:3" x14ac:dyDescent="0.35">
      <c r="C43907" s="2"/>
    </row>
    <row r="43908" spans="3:3" x14ac:dyDescent="0.35">
      <c r="C43908" s="2"/>
    </row>
    <row r="43909" spans="3:3" x14ac:dyDescent="0.35">
      <c r="C43909" s="2"/>
    </row>
    <row r="43910" spans="3:3" x14ac:dyDescent="0.35">
      <c r="C43910" s="2"/>
    </row>
    <row r="43911" spans="3:3" x14ac:dyDescent="0.35">
      <c r="C43911" s="2"/>
    </row>
    <row r="43912" spans="3:3" x14ac:dyDescent="0.35">
      <c r="C43912" s="2"/>
    </row>
    <row r="43913" spans="3:3" x14ac:dyDescent="0.35">
      <c r="C43913" s="2"/>
    </row>
    <row r="43914" spans="3:3" x14ac:dyDescent="0.35">
      <c r="C43914" s="2"/>
    </row>
    <row r="43915" spans="3:3" x14ac:dyDescent="0.35">
      <c r="C43915" s="2"/>
    </row>
    <row r="43916" spans="3:3" x14ac:dyDescent="0.35">
      <c r="C43916" s="2"/>
    </row>
    <row r="43917" spans="3:3" x14ac:dyDescent="0.35">
      <c r="C43917" s="2"/>
    </row>
    <row r="43918" spans="3:3" x14ac:dyDescent="0.35">
      <c r="C43918" s="2"/>
    </row>
    <row r="43919" spans="3:3" x14ac:dyDescent="0.35">
      <c r="C43919" s="2"/>
    </row>
    <row r="43920" spans="3:3" x14ac:dyDescent="0.35">
      <c r="C43920" s="2"/>
    </row>
    <row r="43921" spans="3:3" x14ac:dyDescent="0.35">
      <c r="C43921" s="2"/>
    </row>
    <row r="43922" spans="3:3" x14ac:dyDescent="0.35">
      <c r="C43922" s="2"/>
    </row>
    <row r="43923" spans="3:3" x14ac:dyDescent="0.35">
      <c r="C43923" s="2"/>
    </row>
    <row r="43924" spans="3:3" x14ac:dyDescent="0.35">
      <c r="C43924" s="2"/>
    </row>
    <row r="43925" spans="3:3" x14ac:dyDescent="0.35">
      <c r="C43925" s="2"/>
    </row>
    <row r="43926" spans="3:3" x14ac:dyDescent="0.35">
      <c r="C43926" s="2"/>
    </row>
    <row r="43927" spans="3:3" x14ac:dyDescent="0.35">
      <c r="C43927" s="2"/>
    </row>
    <row r="43928" spans="3:3" x14ac:dyDescent="0.35">
      <c r="C43928" s="2"/>
    </row>
    <row r="43929" spans="3:3" x14ac:dyDescent="0.35">
      <c r="C43929" s="2"/>
    </row>
    <row r="43930" spans="3:3" x14ac:dyDescent="0.35">
      <c r="C43930" s="2"/>
    </row>
    <row r="43931" spans="3:3" x14ac:dyDescent="0.35">
      <c r="C43931" s="2"/>
    </row>
    <row r="43932" spans="3:3" x14ac:dyDescent="0.35">
      <c r="C43932" s="2"/>
    </row>
    <row r="43933" spans="3:3" x14ac:dyDescent="0.35">
      <c r="C43933" s="2"/>
    </row>
    <row r="43934" spans="3:3" x14ac:dyDescent="0.35">
      <c r="C43934" s="2"/>
    </row>
    <row r="43935" spans="3:3" x14ac:dyDescent="0.35">
      <c r="C43935" s="2"/>
    </row>
    <row r="43936" spans="3:3" x14ac:dyDescent="0.35">
      <c r="C43936" s="2"/>
    </row>
    <row r="43937" spans="3:3" x14ac:dyDescent="0.35">
      <c r="C43937" s="2"/>
    </row>
    <row r="43938" spans="3:3" x14ac:dyDescent="0.35">
      <c r="C43938" s="2"/>
    </row>
    <row r="43939" spans="3:3" x14ac:dyDescent="0.35">
      <c r="C43939" s="2"/>
    </row>
    <row r="43940" spans="3:3" x14ac:dyDescent="0.35">
      <c r="C43940" s="2"/>
    </row>
    <row r="43941" spans="3:3" x14ac:dyDescent="0.35">
      <c r="C43941" s="2"/>
    </row>
    <row r="43942" spans="3:3" x14ac:dyDescent="0.35">
      <c r="C43942" s="2"/>
    </row>
    <row r="43943" spans="3:3" x14ac:dyDescent="0.35">
      <c r="C43943" s="2"/>
    </row>
    <row r="43944" spans="3:3" x14ac:dyDescent="0.35">
      <c r="C43944" s="2"/>
    </row>
    <row r="43945" spans="3:3" x14ac:dyDescent="0.35">
      <c r="C43945" s="2"/>
    </row>
    <row r="43946" spans="3:3" x14ac:dyDescent="0.35">
      <c r="C43946" s="2"/>
    </row>
    <row r="43947" spans="3:3" x14ac:dyDescent="0.35">
      <c r="C43947" s="2"/>
    </row>
    <row r="43948" spans="3:3" x14ac:dyDescent="0.35">
      <c r="C43948" s="2"/>
    </row>
    <row r="43949" spans="3:3" x14ac:dyDescent="0.35">
      <c r="C43949" s="2"/>
    </row>
    <row r="43950" spans="3:3" x14ac:dyDescent="0.35">
      <c r="C43950" s="2"/>
    </row>
    <row r="43951" spans="3:3" x14ac:dyDescent="0.35">
      <c r="C43951" s="2"/>
    </row>
    <row r="43952" spans="3:3" x14ac:dyDescent="0.35">
      <c r="C43952" s="2"/>
    </row>
    <row r="43953" spans="3:3" x14ac:dyDescent="0.35">
      <c r="C43953" s="2"/>
    </row>
    <row r="43954" spans="3:3" x14ac:dyDescent="0.35">
      <c r="C43954" s="2"/>
    </row>
    <row r="43955" spans="3:3" x14ac:dyDescent="0.35">
      <c r="C43955" s="2"/>
    </row>
    <row r="43956" spans="3:3" x14ac:dyDescent="0.35">
      <c r="C43956" s="2"/>
    </row>
    <row r="43957" spans="3:3" x14ac:dyDescent="0.35">
      <c r="C43957" s="2"/>
    </row>
    <row r="43958" spans="3:3" x14ac:dyDescent="0.35">
      <c r="C43958" s="2"/>
    </row>
    <row r="43959" spans="3:3" x14ac:dyDescent="0.35">
      <c r="C43959" s="2"/>
    </row>
    <row r="43960" spans="3:3" x14ac:dyDescent="0.35">
      <c r="C43960" s="2"/>
    </row>
    <row r="43961" spans="3:3" x14ac:dyDescent="0.35">
      <c r="C43961" s="2"/>
    </row>
    <row r="43962" spans="3:3" x14ac:dyDescent="0.35">
      <c r="C43962" s="2"/>
    </row>
    <row r="43963" spans="3:3" x14ac:dyDescent="0.35">
      <c r="C43963" s="2"/>
    </row>
    <row r="43964" spans="3:3" x14ac:dyDescent="0.35">
      <c r="C43964" s="2"/>
    </row>
    <row r="43965" spans="3:3" x14ac:dyDescent="0.35">
      <c r="C43965" s="2"/>
    </row>
    <row r="43966" spans="3:3" x14ac:dyDescent="0.35">
      <c r="C43966" s="2"/>
    </row>
    <row r="43967" spans="3:3" x14ac:dyDescent="0.35">
      <c r="C43967" s="2"/>
    </row>
    <row r="43968" spans="3:3" x14ac:dyDescent="0.35">
      <c r="C43968" s="2"/>
    </row>
    <row r="43969" spans="3:3" x14ac:dyDescent="0.35">
      <c r="C43969" s="2"/>
    </row>
    <row r="43970" spans="3:3" x14ac:dyDescent="0.35">
      <c r="C43970" s="2"/>
    </row>
    <row r="43971" spans="3:3" x14ac:dyDescent="0.35">
      <c r="C43971" s="2"/>
    </row>
    <row r="43972" spans="3:3" x14ac:dyDescent="0.35">
      <c r="C43972" s="2"/>
    </row>
    <row r="43973" spans="3:3" x14ac:dyDescent="0.35">
      <c r="C43973" s="2"/>
    </row>
    <row r="43974" spans="3:3" x14ac:dyDescent="0.35">
      <c r="C43974" s="2"/>
    </row>
    <row r="43975" spans="3:3" x14ac:dyDescent="0.35">
      <c r="C43975" s="2"/>
    </row>
    <row r="43976" spans="3:3" x14ac:dyDescent="0.35">
      <c r="C43976" s="2"/>
    </row>
    <row r="43977" spans="3:3" x14ac:dyDescent="0.35">
      <c r="C43977" s="2"/>
    </row>
    <row r="43978" spans="3:3" x14ac:dyDescent="0.35">
      <c r="C43978" s="2"/>
    </row>
    <row r="43979" spans="3:3" x14ac:dyDescent="0.35">
      <c r="C43979" s="2"/>
    </row>
    <row r="43980" spans="3:3" x14ac:dyDescent="0.35">
      <c r="C43980" s="2"/>
    </row>
    <row r="43981" spans="3:3" x14ac:dyDescent="0.35">
      <c r="C43981" s="2"/>
    </row>
    <row r="43982" spans="3:3" x14ac:dyDescent="0.35">
      <c r="C43982" s="2"/>
    </row>
    <row r="43983" spans="3:3" x14ac:dyDescent="0.35">
      <c r="C43983" s="2"/>
    </row>
    <row r="43984" spans="3:3" x14ac:dyDescent="0.35">
      <c r="C43984" s="2"/>
    </row>
    <row r="43985" spans="3:3" x14ac:dyDescent="0.35">
      <c r="C43985" s="2"/>
    </row>
    <row r="43986" spans="3:3" x14ac:dyDescent="0.35">
      <c r="C43986" s="2"/>
    </row>
    <row r="43987" spans="3:3" x14ac:dyDescent="0.35">
      <c r="C43987" s="2"/>
    </row>
    <row r="43988" spans="3:3" x14ac:dyDescent="0.35">
      <c r="C43988" s="2"/>
    </row>
    <row r="43989" spans="3:3" x14ac:dyDescent="0.35">
      <c r="C43989" s="2"/>
    </row>
    <row r="43990" spans="3:3" x14ac:dyDescent="0.35">
      <c r="C43990" s="2"/>
    </row>
    <row r="43991" spans="3:3" x14ac:dyDescent="0.35">
      <c r="C43991" s="2"/>
    </row>
    <row r="43992" spans="3:3" x14ac:dyDescent="0.35">
      <c r="C43992" s="2"/>
    </row>
    <row r="43993" spans="3:3" x14ac:dyDescent="0.35">
      <c r="C43993" s="2"/>
    </row>
    <row r="43994" spans="3:3" x14ac:dyDescent="0.35">
      <c r="C43994" s="2"/>
    </row>
    <row r="43995" spans="3:3" x14ac:dyDescent="0.35">
      <c r="C43995" s="2"/>
    </row>
    <row r="43996" spans="3:3" x14ac:dyDescent="0.35">
      <c r="C43996" s="2"/>
    </row>
    <row r="43997" spans="3:3" x14ac:dyDescent="0.35">
      <c r="C43997" s="2"/>
    </row>
    <row r="43998" spans="3:3" x14ac:dyDescent="0.35">
      <c r="C43998" s="2"/>
    </row>
    <row r="43999" spans="3:3" x14ac:dyDescent="0.35">
      <c r="C43999" s="2"/>
    </row>
    <row r="44000" spans="3:3" x14ac:dyDescent="0.35">
      <c r="C44000" s="2"/>
    </row>
    <row r="44001" spans="3:3" x14ac:dyDescent="0.35">
      <c r="C44001" s="2"/>
    </row>
    <row r="44002" spans="3:3" x14ac:dyDescent="0.35">
      <c r="C44002" s="2"/>
    </row>
    <row r="44003" spans="3:3" x14ac:dyDescent="0.35">
      <c r="C44003" s="2"/>
    </row>
    <row r="44004" spans="3:3" x14ac:dyDescent="0.35">
      <c r="C44004" s="2"/>
    </row>
    <row r="44005" spans="3:3" x14ac:dyDescent="0.35">
      <c r="C44005" s="2"/>
    </row>
    <row r="44006" spans="3:3" x14ac:dyDescent="0.35">
      <c r="C44006" s="2"/>
    </row>
    <row r="44007" spans="3:3" x14ac:dyDescent="0.35">
      <c r="C44007" s="2"/>
    </row>
    <row r="44008" spans="3:3" x14ac:dyDescent="0.35">
      <c r="C44008" s="2"/>
    </row>
    <row r="44009" spans="3:3" x14ac:dyDescent="0.35">
      <c r="C44009" s="2"/>
    </row>
    <row r="44010" spans="3:3" x14ac:dyDescent="0.35">
      <c r="C44010" s="2"/>
    </row>
    <row r="44011" spans="3:3" x14ac:dyDescent="0.35">
      <c r="C44011" s="2"/>
    </row>
    <row r="44012" spans="3:3" x14ac:dyDescent="0.35">
      <c r="C44012" s="2"/>
    </row>
    <row r="44013" spans="3:3" x14ac:dyDescent="0.35">
      <c r="C44013" s="2"/>
    </row>
    <row r="44014" spans="3:3" x14ac:dyDescent="0.35">
      <c r="C44014" s="2"/>
    </row>
    <row r="44015" spans="3:3" x14ac:dyDescent="0.35">
      <c r="C44015" s="2"/>
    </row>
    <row r="44016" spans="3:3" x14ac:dyDescent="0.35">
      <c r="C44016" s="2"/>
    </row>
    <row r="44017" spans="3:3" x14ac:dyDescent="0.35">
      <c r="C44017" s="2"/>
    </row>
    <row r="44018" spans="3:3" x14ac:dyDescent="0.35">
      <c r="C44018" s="2"/>
    </row>
    <row r="44019" spans="3:3" x14ac:dyDescent="0.35">
      <c r="C44019" s="2"/>
    </row>
    <row r="44020" spans="3:3" x14ac:dyDescent="0.35">
      <c r="C44020" s="2"/>
    </row>
    <row r="44021" spans="3:3" x14ac:dyDescent="0.35">
      <c r="C44021" s="2"/>
    </row>
    <row r="44022" spans="3:3" x14ac:dyDescent="0.35">
      <c r="C44022" s="2"/>
    </row>
    <row r="44023" spans="3:3" x14ac:dyDescent="0.35">
      <c r="C44023" s="2"/>
    </row>
    <row r="44024" spans="3:3" x14ac:dyDescent="0.35">
      <c r="C44024" s="2"/>
    </row>
    <row r="44025" spans="3:3" x14ac:dyDescent="0.35">
      <c r="C44025" s="2"/>
    </row>
    <row r="44026" spans="3:3" x14ac:dyDescent="0.35">
      <c r="C44026" s="2"/>
    </row>
    <row r="44027" spans="3:3" x14ac:dyDescent="0.35">
      <c r="C44027" s="2"/>
    </row>
    <row r="44028" spans="3:3" x14ac:dyDescent="0.35">
      <c r="C44028" s="2"/>
    </row>
    <row r="44029" spans="3:3" x14ac:dyDescent="0.35">
      <c r="C44029" s="2"/>
    </row>
    <row r="44030" spans="3:3" x14ac:dyDescent="0.35">
      <c r="C44030" s="2"/>
    </row>
    <row r="44031" spans="3:3" x14ac:dyDescent="0.35">
      <c r="C44031" s="2"/>
    </row>
    <row r="44032" spans="3:3" x14ac:dyDescent="0.35">
      <c r="C44032" s="2"/>
    </row>
    <row r="44033" spans="3:3" x14ac:dyDescent="0.35">
      <c r="C44033" s="2"/>
    </row>
    <row r="44034" spans="3:3" x14ac:dyDescent="0.35">
      <c r="C44034" s="2"/>
    </row>
    <row r="44035" spans="3:3" x14ac:dyDescent="0.35">
      <c r="C44035" s="2"/>
    </row>
    <row r="44036" spans="3:3" x14ac:dyDescent="0.35">
      <c r="C44036" s="2"/>
    </row>
    <row r="44037" spans="3:3" x14ac:dyDescent="0.35">
      <c r="C44037" s="2"/>
    </row>
    <row r="44038" spans="3:3" x14ac:dyDescent="0.35">
      <c r="C44038" s="2"/>
    </row>
    <row r="44039" spans="3:3" x14ac:dyDescent="0.35">
      <c r="C44039" s="2"/>
    </row>
    <row r="44040" spans="3:3" x14ac:dyDescent="0.35">
      <c r="C44040" s="2"/>
    </row>
    <row r="44041" spans="3:3" x14ac:dyDescent="0.35">
      <c r="C44041" s="2"/>
    </row>
    <row r="44042" spans="3:3" x14ac:dyDescent="0.35">
      <c r="C44042" s="2"/>
    </row>
    <row r="44043" spans="3:3" x14ac:dyDescent="0.35">
      <c r="C44043" s="2"/>
    </row>
    <row r="44044" spans="3:3" x14ac:dyDescent="0.35">
      <c r="C44044" s="2"/>
    </row>
    <row r="44045" spans="3:3" x14ac:dyDescent="0.35">
      <c r="C44045" s="2"/>
    </row>
    <row r="44046" spans="3:3" x14ac:dyDescent="0.35">
      <c r="C44046" s="2"/>
    </row>
    <row r="44047" spans="3:3" x14ac:dyDescent="0.35">
      <c r="C44047" s="2"/>
    </row>
    <row r="44048" spans="3:3" x14ac:dyDescent="0.35">
      <c r="C44048" s="2"/>
    </row>
    <row r="44049" spans="3:3" x14ac:dyDescent="0.35">
      <c r="C44049" s="2"/>
    </row>
    <row r="44050" spans="3:3" x14ac:dyDescent="0.35">
      <c r="C44050" s="2"/>
    </row>
    <row r="44051" spans="3:3" x14ac:dyDescent="0.35">
      <c r="C44051" s="2"/>
    </row>
    <row r="44052" spans="3:3" x14ac:dyDescent="0.35">
      <c r="C44052" s="2"/>
    </row>
    <row r="44053" spans="3:3" x14ac:dyDescent="0.35">
      <c r="C44053" s="2"/>
    </row>
    <row r="44054" spans="3:3" x14ac:dyDescent="0.35">
      <c r="C44054" s="2"/>
    </row>
    <row r="44055" spans="3:3" x14ac:dyDescent="0.35">
      <c r="C44055" s="2"/>
    </row>
    <row r="44056" spans="3:3" x14ac:dyDescent="0.35">
      <c r="C44056" s="2"/>
    </row>
    <row r="44057" spans="3:3" x14ac:dyDescent="0.35">
      <c r="C44057" s="2"/>
    </row>
    <row r="44058" spans="3:3" x14ac:dyDescent="0.35">
      <c r="C44058" s="2"/>
    </row>
    <row r="44059" spans="3:3" x14ac:dyDescent="0.35">
      <c r="C44059" s="2"/>
    </row>
    <row r="44060" spans="3:3" x14ac:dyDescent="0.35">
      <c r="C44060" s="2"/>
    </row>
    <row r="44061" spans="3:3" x14ac:dyDescent="0.35">
      <c r="C44061" s="2"/>
    </row>
    <row r="44062" spans="3:3" x14ac:dyDescent="0.35">
      <c r="C44062" s="2"/>
    </row>
    <row r="44063" spans="3:3" x14ac:dyDescent="0.35">
      <c r="C44063" s="2"/>
    </row>
    <row r="44064" spans="3:3" x14ac:dyDescent="0.35">
      <c r="C44064" s="2"/>
    </row>
    <row r="44065" spans="3:3" x14ac:dyDescent="0.35">
      <c r="C44065" s="2"/>
    </row>
    <row r="44066" spans="3:3" x14ac:dyDescent="0.35">
      <c r="C44066" s="2"/>
    </row>
    <row r="44067" spans="3:3" x14ac:dyDescent="0.35">
      <c r="C44067" s="2"/>
    </row>
    <row r="44068" spans="3:3" x14ac:dyDescent="0.35">
      <c r="C44068" s="2"/>
    </row>
    <row r="44069" spans="3:3" x14ac:dyDescent="0.35">
      <c r="C44069" s="2"/>
    </row>
    <row r="44070" spans="3:3" x14ac:dyDescent="0.35">
      <c r="C44070" s="2"/>
    </row>
    <row r="44071" spans="3:3" x14ac:dyDescent="0.35">
      <c r="C44071" s="2"/>
    </row>
    <row r="44072" spans="3:3" x14ac:dyDescent="0.35">
      <c r="C44072" s="2"/>
    </row>
    <row r="44073" spans="3:3" x14ac:dyDescent="0.35">
      <c r="C44073" s="2"/>
    </row>
    <row r="44074" spans="3:3" x14ac:dyDescent="0.35">
      <c r="C44074" s="2"/>
    </row>
    <row r="44075" spans="3:3" x14ac:dyDescent="0.35">
      <c r="C44075" s="2"/>
    </row>
    <row r="44076" spans="3:3" x14ac:dyDescent="0.35">
      <c r="C44076" s="2"/>
    </row>
    <row r="44077" spans="3:3" x14ac:dyDescent="0.35">
      <c r="C44077" s="2"/>
    </row>
    <row r="44078" spans="3:3" x14ac:dyDescent="0.35">
      <c r="C44078" s="2"/>
    </row>
    <row r="44079" spans="3:3" x14ac:dyDescent="0.35">
      <c r="C44079" s="2"/>
    </row>
    <row r="44080" spans="3:3" x14ac:dyDescent="0.35">
      <c r="C44080" s="2"/>
    </row>
    <row r="44081" spans="3:3" x14ac:dyDescent="0.35">
      <c r="C44081" s="2"/>
    </row>
    <row r="44082" spans="3:3" x14ac:dyDescent="0.35">
      <c r="C44082" s="2"/>
    </row>
    <row r="44083" spans="3:3" x14ac:dyDescent="0.35">
      <c r="C44083" s="2"/>
    </row>
    <row r="44084" spans="3:3" x14ac:dyDescent="0.35">
      <c r="C44084" s="2"/>
    </row>
    <row r="44085" spans="3:3" x14ac:dyDescent="0.35">
      <c r="C44085" s="2"/>
    </row>
    <row r="44086" spans="3:3" x14ac:dyDescent="0.35">
      <c r="C44086" s="2"/>
    </row>
    <row r="44087" spans="3:3" x14ac:dyDescent="0.35">
      <c r="C44087" s="2"/>
    </row>
    <row r="44088" spans="3:3" x14ac:dyDescent="0.35">
      <c r="C44088" s="2"/>
    </row>
    <row r="44089" spans="3:3" x14ac:dyDescent="0.35">
      <c r="C44089" s="2"/>
    </row>
    <row r="44090" spans="3:3" x14ac:dyDescent="0.35">
      <c r="C44090" s="2"/>
    </row>
    <row r="44091" spans="3:3" x14ac:dyDescent="0.35">
      <c r="C44091" s="2"/>
    </row>
    <row r="44092" spans="3:3" x14ac:dyDescent="0.35">
      <c r="C44092" s="2"/>
    </row>
    <row r="44093" spans="3:3" x14ac:dyDescent="0.35">
      <c r="C44093" s="2"/>
    </row>
    <row r="44094" spans="3:3" x14ac:dyDescent="0.35">
      <c r="C44094" s="2"/>
    </row>
    <row r="44095" spans="3:3" x14ac:dyDescent="0.35">
      <c r="C44095" s="2"/>
    </row>
    <row r="44096" spans="3:3" x14ac:dyDescent="0.35">
      <c r="C44096" s="2"/>
    </row>
    <row r="44097" spans="3:3" x14ac:dyDescent="0.35">
      <c r="C44097" s="2"/>
    </row>
    <row r="44098" spans="3:3" x14ac:dyDescent="0.35">
      <c r="C44098" s="2"/>
    </row>
    <row r="44099" spans="3:3" x14ac:dyDescent="0.35">
      <c r="C44099" s="2"/>
    </row>
    <row r="44100" spans="3:3" x14ac:dyDescent="0.35">
      <c r="C44100" s="2"/>
    </row>
    <row r="44101" spans="3:3" x14ac:dyDescent="0.35">
      <c r="C44101" s="2"/>
    </row>
    <row r="44102" spans="3:3" x14ac:dyDescent="0.35">
      <c r="C44102" s="2"/>
    </row>
    <row r="44103" spans="3:3" x14ac:dyDescent="0.35">
      <c r="C44103" s="2"/>
    </row>
    <row r="44104" spans="3:3" x14ac:dyDescent="0.35">
      <c r="C44104" s="2"/>
    </row>
    <row r="44105" spans="3:3" x14ac:dyDescent="0.35">
      <c r="C44105" s="2"/>
    </row>
    <row r="44106" spans="3:3" x14ac:dyDescent="0.35">
      <c r="C44106" s="2"/>
    </row>
    <row r="44107" spans="3:3" x14ac:dyDescent="0.35">
      <c r="C44107" s="2"/>
    </row>
    <row r="44108" spans="3:3" x14ac:dyDescent="0.35">
      <c r="C44108" s="2"/>
    </row>
    <row r="44109" spans="3:3" x14ac:dyDescent="0.35">
      <c r="C44109" s="2"/>
    </row>
    <row r="44110" spans="3:3" x14ac:dyDescent="0.35">
      <c r="C44110" s="2"/>
    </row>
    <row r="44111" spans="3:3" x14ac:dyDescent="0.35">
      <c r="C44111" s="2"/>
    </row>
    <row r="44112" spans="3:3" x14ac:dyDescent="0.35">
      <c r="C44112" s="2"/>
    </row>
    <row r="44113" spans="3:3" x14ac:dyDescent="0.35">
      <c r="C44113" s="2"/>
    </row>
    <row r="44114" spans="3:3" x14ac:dyDescent="0.35">
      <c r="C44114" s="2"/>
    </row>
    <row r="44115" spans="3:3" x14ac:dyDescent="0.35">
      <c r="C44115" s="2"/>
    </row>
    <row r="44116" spans="3:3" x14ac:dyDescent="0.35">
      <c r="C44116" s="2"/>
    </row>
    <row r="44117" spans="3:3" x14ac:dyDescent="0.35">
      <c r="C44117" s="2"/>
    </row>
    <row r="44118" spans="3:3" x14ac:dyDescent="0.35">
      <c r="C44118" s="2"/>
    </row>
    <row r="44119" spans="3:3" x14ac:dyDescent="0.35">
      <c r="C44119" s="2"/>
    </row>
    <row r="44120" spans="3:3" x14ac:dyDescent="0.35">
      <c r="C44120" s="2"/>
    </row>
    <row r="44121" spans="3:3" x14ac:dyDescent="0.35">
      <c r="C44121" s="2"/>
    </row>
    <row r="44122" spans="3:3" x14ac:dyDescent="0.35">
      <c r="C44122" s="2"/>
    </row>
    <row r="44123" spans="3:3" x14ac:dyDescent="0.35">
      <c r="C44123" s="2"/>
    </row>
    <row r="44124" spans="3:3" x14ac:dyDescent="0.35">
      <c r="C44124" s="2"/>
    </row>
    <row r="44125" spans="3:3" x14ac:dyDescent="0.35">
      <c r="C44125" s="2"/>
    </row>
    <row r="44126" spans="3:3" x14ac:dyDescent="0.35">
      <c r="C44126" s="2"/>
    </row>
    <row r="44127" spans="3:3" x14ac:dyDescent="0.35">
      <c r="C44127" s="2"/>
    </row>
    <row r="44128" spans="3:3" x14ac:dyDescent="0.35">
      <c r="C44128" s="2"/>
    </row>
    <row r="44129" spans="3:3" x14ac:dyDescent="0.35">
      <c r="C44129" s="2"/>
    </row>
    <row r="44130" spans="3:3" x14ac:dyDescent="0.35">
      <c r="C44130" s="2"/>
    </row>
    <row r="44131" spans="3:3" x14ac:dyDescent="0.35">
      <c r="C44131" s="2"/>
    </row>
    <row r="44132" spans="3:3" x14ac:dyDescent="0.35">
      <c r="C44132" s="2"/>
    </row>
    <row r="44133" spans="3:3" x14ac:dyDescent="0.35">
      <c r="C44133" s="2"/>
    </row>
    <row r="44134" spans="3:3" x14ac:dyDescent="0.35">
      <c r="C44134" s="2"/>
    </row>
    <row r="44135" spans="3:3" x14ac:dyDescent="0.35">
      <c r="C44135" s="2"/>
    </row>
    <row r="44136" spans="3:3" x14ac:dyDescent="0.35">
      <c r="C44136" s="2"/>
    </row>
    <row r="44137" spans="3:3" x14ac:dyDescent="0.35">
      <c r="C44137" s="2"/>
    </row>
    <row r="44138" spans="3:3" x14ac:dyDescent="0.35">
      <c r="C44138" s="2"/>
    </row>
    <row r="44139" spans="3:3" x14ac:dyDescent="0.35">
      <c r="C44139" s="2"/>
    </row>
    <row r="44140" spans="3:3" x14ac:dyDescent="0.35">
      <c r="C44140" s="2"/>
    </row>
    <row r="44141" spans="3:3" x14ac:dyDescent="0.35">
      <c r="C44141" s="2"/>
    </row>
    <row r="44142" spans="3:3" x14ac:dyDescent="0.35">
      <c r="C44142" s="2"/>
    </row>
    <row r="44143" spans="3:3" x14ac:dyDescent="0.35">
      <c r="C44143" s="2"/>
    </row>
    <row r="44144" spans="3:3" x14ac:dyDescent="0.35">
      <c r="C44144" s="2"/>
    </row>
    <row r="44145" spans="3:3" x14ac:dyDescent="0.35">
      <c r="C44145" s="2"/>
    </row>
    <row r="44146" spans="3:3" x14ac:dyDescent="0.35">
      <c r="C44146" s="2"/>
    </row>
    <row r="44147" spans="3:3" x14ac:dyDescent="0.35">
      <c r="C44147" s="2"/>
    </row>
    <row r="44148" spans="3:3" x14ac:dyDescent="0.35">
      <c r="C44148" s="2"/>
    </row>
    <row r="44149" spans="3:3" x14ac:dyDescent="0.35">
      <c r="C44149" s="2"/>
    </row>
    <row r="44150" spans="3:3" x14ac:dyDescent="0.35">
      <c r="C44150" s="2"/>
    </row>
    <row r="44151" spans="3:3" x14ac:dyDescent="0.35">
      <c r="C44151" s="2"/>
    </row>
    <row r="44152" spans="3:3" x14ac:dyDescent="0.35">
      <c r="C44152" s="2"/>
    </row>
    <row r="44153" spans="3:3" x14ac:dyDescent="0.35">
      <c r="C44153" s="2"/>
    </row>
    <row r="44154" spans="3:3" x14ac:dyDescent="0.35">
      <c r="C44154" s="2"/>
    </row>
    <row r="44155" spans="3:3" x14ac:dyDescent="0.35">
      <c r="C44155" s="2"/>
    </row>
    <row r="44156" spans="3:3" x14ac:dyDescent="0.35">
      <c r="C44156" s="2"/>
    </row>
    <row r="44157" spans="3:3" x14ac:dyDescent="0.35">
      <c r="C44157" s="2"/>
    </row>
    <row r="44158" spans="3:3" x14ac:dyDescent="0.35">
      <c r="C44158" s="2"/>
    </row>
    <row r="44159" spans="3:3" x14ac:dyDescent="0.35">
      <c r="C44159" s="2"/>
    </row>
    <row r="44160" spans="3:3" x14ac:dyDescent="0.35">
      <c r="C44160" s="2"/>
    </row>
    <row r="44161" spans="3:3" x14ac:dyDescent="0.35">
      <c r="C44161" s="2"/>
    </row>
    <row r="44162" spans="3:3" x14ac:dyDescent="0.35">
      <c r="C44162" s="2"/>
    </row>
    <row r="44163" spans="3:3" x14ac:dyDescent="0.35">
      <c r="C44163" s="2"/>
    </row>
    <row r="44164" spans="3:3" x14ac:dyDescent="0.35">
      <c r="C44164" s="2"/>
    </row>
    <row r="44165" spans="3:3" x14ac:dyDescent="0.35">
      <c r="C44165" s="2"/>
    </row>
    <row r="44166" spans="3:3" x14ac:dyDescent="0.35">
      <c r="C44166" s="2"/>
    </row>
    <row r="44167" spans="3:3" x14ac:dyDescent="0.35">
      <c r="C44167" s="2"/>
    </row>
    <row r="44168" spans="3:3" x14ac:dyDescent="0.35">
      <c r="C44168" s="2"/>
    </row>
    <row r="44169" spans="3:3" x14ac:dyDescent="0.35">
      <c r="C44169" s="2"/>
    </row>
    <row r="44170" spans="3:3" x14ac:dyDescent="0.35">
      <c r="C44170" s="2"/>
    </row>
    <row r="44171" spans="3:3" x14ac:dyDescent="0.35">
      <c r="C44171" s="2"/>
    </row>
    <row r="44172" spans="3:3" x14ac:dyDescent="0.35">
      <c r="C44172" s="2"/>
    </row>
    <row r="44173" spans="3:3" x14ac:dyDescent="0.35">
      <c r="C44173" s="2"/>
    </row>
    <row r="44174" spans="3:3" x14ac:dyDescent="0.35">
      <c r="C44174" s="2"/>
    </row>
    <row r="44175" spans="3:3" x14ac:dyDescent="0.35">
      <c r="C44175" s="2"/>
    </row>
    <row r="44176" spans="3:3" x14ac:dyDescent="0.35">
      <c r="C44176" s="2"/>
    </row>
    <row r="44177" spans="3:3" x14ac:dyDescent="0.35">
      <c r="C44177" s="2"/>
    </row>
    <row r="44178" spans="3:3" x14ac:dyDescent="0.35">
      <c r="C44178" s="2"/>
    </row>
    <row r="44179" spans="3:3" x14ac:dyDescent="0.35">
      <c r="C44179" s="2"/>
    </row>
    <row r="44180" spans="3:3" x14ac:dyDescent="0.35">
      <c r="C44180" s="2"/>
    </row>
    <row r="44181" spans="3:3" x14ac:dyDescent="0.35">
      <c r="C44181" s="2"/>
    </row>
    <row r="44182" spans="3:3" x14ac:dyDescent="0.35">
      <c r="C44182" s="2"/>
    </row>
    <row r="44183" spans="3:3" x14ac:dyDescent="0.35">
      <c r="C44183" s="2"/>
    </row>
    <row r="44184" spans="3:3" x14ac:dyDescent="0.35">
      <c r="C44184" s="2"/>
    </row>
    <row r="44185" spans="3:3" x14ac:dyDescent="0.35">
      <c r="C44185" s="2"/>
    </row>
    <row r="44186" spans="3:3" x14ac:dyDescent="0.35">
      <c r="C44186" s="2"/>
    </row>
    <row r="44187" spans="3:3" x14ac:dyDescent="0.35">
      <c r="C44187" s="2"/>
    </row>
    <row r="44188" spans="3:3" x14ac:dyDescent="0.35">
      <c r="C44188" s="2"/>
    </row>
    <row r="44189" spans="3:3" x14ac:dyDescent="0.35">
      <c r="C44189" s="2"/>
    </row>
    <row r="44190" spans="3:3" x14ac:dyDescent="0.35">
      <c r="C44190" s="2"/>
    </row>
    <row r="44191" spans="3:3" x14ac:dyDescent="0.35">
      <c r="C44191" s="2"/>
    </row>
    <row r="44192" spans="3:3" x14ac:dyDescent="0.35">
      <c r="C44192" s="2"/>
    </row>
    <row r="44193" spans="3:3" x14ac:dyDescent="0.35">
      <c r="C44193" s="2"/>
    </row>
    <row r="44194" spans="3:3" x14ac:dyDescent="0.35">
      <c r="C44194" s="2"/>
    </row>
    <row r="44195" spans="3:3" x14ac:dyDescent="0.35">
      <c r="C44195" s="2"/>
    </row>
    <row r="44196" spans="3:3" x14ac:dyDescent="0.35">
      <c r="C44196" s="2"/>
    </row>
    <row r="44197" spans="3:3" x14ac:dyDescent="0.35">
      <c r="C44197" s="2"/>
    </row>
    <row r="44198" spans="3:3" x14ac:dyDescent="0.35">
      <c r="C44198" s="2"/>
    </row>
    <row r="44199" spans="3:3" x14ac:dyDescent="0.35">
      <c r="C44199" s="2"/>
    </row>
    <row r="44200" spans="3:3" x14ac:dyDescent="0.35">
      <c r="C44200" s="2"/>
    </row>
    <row r="44201" spans="3:3" x14ac:dyDescent="0.35">
      <c r="C44201" s="2"/>
    </row>
    <row r="44202" spans="3:3" x14ac:dyDescent="0.35">
      <c r="C44202" s="2"/>
    </row>
    <row r="44203" spans="3:3" x14ac:dyDescent="0.35">
      <c r="C44203" s="2"/>
    </row>
    <row r="44204" spans="3:3" x14ac:dyDescent="0.35">
      <c r="C44204" s="2"/>
    </row>
    <row r="44205" spans="3:3" x14ac:dyDescent="0.35">
      <c r="C44205" s="2"/>
    </row>
    <row r="44206" spans="3:3" x14ac:dyDescent="0.35">
      <c r="C44206" s="2"/>
    </row>
    <row r="44207" spans="3:3" x14ac:dyDescent="0.35">
      <c r="C44207" s="2"/>
    </row>
    <row r="44208" spans="3:3" x14ac:dyDescent="0.35">
      <c r="C44208" s="2"/>
    </row>
    <row r="44209" spans="3:3" x14ac:dyDescent="0.35">
      <c r="C44209" s="2"/>
    </row>
    <row r="44210" spans="3:3" x14ac:dyDescent="0.35">
      <c r="C44210" s="2"/>
    </row>
    <row r="44211" spans="3:3" x14ac:dyDescent="0.35">
      <c r="C44211" s="2"/>
    </row>
    <row r="44212" spans="3:3" x14ac:dyDescent="0.35">
      <c r="C44212" s="2"/>
    </row>
    <row r="44213" spans="3:3" x14ac:dyDescent="0.35">
      <c r="C44213" s="2"/>
    </row>
    <row r="44214" spans="3:3" x14ac:dyDescent="0.35">
      <c r="C44214" s="2"/>
    </row>
    <row r="44215" spans="3:3" x14ac:dyDescent="0.35">
      <c r="C44215" s="2"/>
    </row>
    <row r="44216" spans="3:3" x14ac:dyDescent="0.35">
      <c r="C44216" s="2"/>
    </row>
    <row r="44217" spans="3:3" x14ac:dyDescent="0.35">
      <c r="C44217" s="2"/>
    </row>
    <row r="44218" spans="3:3" x14ac:dyDescent="0.35">
      <c r="C44218" s="2"/>
    </row>
    <row r="44219" spans="3:3" x14ac:dyDescent="0.35">
      <c r="C44219" s="2"/>
    </row>
    <row r="44220" spans="3:3" x14ac:dyDescent="0.35">
      <c r="C44220" s="2"/>
    </row>
    <row r="44221" spans="3:3" x14ac:dyDescent="0.35">
      <c r="C44221" s="2"/>
    </row>
    <row r="44222" spans="3:3" x14ac:dyDescent="0.35">
      <c r="C44222" s="2"/>
    </row>
    <row r="44223" spans="3:3" x14ac:dyDescent="0.35">
      <c r="C44223" s="2"/>
    </row>
    <row r="44224" spans="3:3" x14ac:dyDescent="0.35">
      <c r="C44224" s="2"/>
    </row>
    <row r="44225" spans="3:3" x14ac:dyDescent="0.35">
      <c r="C44225" s="2"/>
    </row>
    <row r="44226" spans="3:3" x14ac:dyDescent="0.35">
      <c r="C44226" s="2"/>
    </row>
    <row r="44227" spans="3:3" x14ac:dyDescent="0.35">
      <c r="C44227" s="2"/>
    </row>
    <row r="44228" spans="3:3" x14ac:dyDescent="0.35">
      <c r="C44228" s="2"/>
    </row>
    <row r="44229" spans="3:3" x14ac:dyDescent="0.35">
      <c r="C44229" s="2"/>
    </row>
    <row r="44230" spans="3:3" x14ac:dyDescent="0.35">
      <c r="C44230" s="2"/>
    </row>
    <row r="44231" spans="3:3" x14ac:dyDescent="0.35">
      <c r="C44231" s="2"/>
    </row>
    <row r="44232" spans="3:3" x14ac:dyDescent="0.35">
      <c r="C44232" s="2"/>
    </row>
    <row r="44233" spans="3:3" x14ac:dyDescent="0.35">
      <c r="C44233" s="2"/>
    </row>
    <row r="44234" spans="3:3" x14ac:dyDescent="0.35">
      <c r="C44234" s="2"/>
    </row>
    <row r="44235" spans="3:3" x14ac:dyDescent="0.35">
      <c r="C44235" s="2"/>
    </row>
    <row r="44236" spans="3:3" x14ac:dyDescent="0.35">
      <c r="C44236" s="2"/>
    </row>
    <row r="44237" spans="3:3" x14ac:dyDescent="0.35">
      <c r="C44237" s="2"/>
    </row>
    <row r="44238" spans="3:3" x14ac:dyDescent="0.35">
      <c r="C44238" s="2"/>
    </row>
    <row r="44239" spans="3:3" x14ac:dyDescent="0.35">
      <c r="C44239" s="2"/>
    </row>
    <row r="44240" spans="3:3" x14ac:dyDescent="0.35">
      <c r="C44240" s="2"/>
    </row>
    <row r="44241" spans="3:3" x14ac:dyDescent="0.35">
      <c r="C44241" s="2"/>
    </row>
    <row r="44242" spans="3:3" x14ac:dyDescent="0.35">
      <c r="C44242" s="2"/>
    </row>
    <row r="44243" spans="3:3" x14ac:dyDescent="0.35">
      <c r="C44243" s="2"/>
    </row>
    <row r="44244" spans="3:3" x14ac:dyDescent="0.35">
      <c r="C44244" s="2"/>
    </row>
    <row r="44245" spans="3:3" x14ac:dyDescent="0.35">
      <c r="C44245" s="2"/>
    </row>
    <row r="44246" spans="3:3" x14ac:dyDescent="0.35">
      <c r="C44246" s="2"/>
    </row>
    <row r="44247" spans="3:3" x14ac:dyDescent="0.35">
      <c r="C44247" s="2"/>
    </row>
    <row r="44248" spans="3:3" x14ac:dyDescent="0.35">
      <c r="C44248" s="2"/>
    </row>
    <row r="44249" spans="3:3" x14ac:dyDescent="0.35">
      <c r="C44249" s="2"/>
    </row>
    <row r="44250" spans="3:3" x14ac:dyDescent="0.35">
      <c r="C44250" s="2"/>
    </row>
    <row r="44251" spans="3:3" x14ac:dyDescent="0.35">
      <c r="C44251" s="2"/>
    </row>
    <row r="44252" spans="3:3" x14ac:dyDescent="0.35">
      <c r="C44252" s="2"/>
    </row>
    <row r="44253" spans="3:3" x14ac:dyDescent="0.35">
      <c r="C44253" s="2"/>
    </row>
    <row r="44254" spans="3:3" x14ac:dyDescent="0.35">
      <c r="C44254" s="2"/>
    </row>
    <row r="44255" spans="3:3" x14ac:dyDescent="0.35">
      <c r="C44255" s="2"/>
    </row>
    <row r="44256" spans="3:3" x14ac:dyDescent="0.35">
      <c r="C44256" s="2"/>
    </row>
    <row r="44257" spans="3:3" x14ac:dyDescent="0.35">
      <c r="C44257" s="2"/>
    </row>
    <row r="44258" spans="3:3" x14ac:dyDescent="0.35">
      <c r="C44258" s="2"/>
    </row>
    <row r="44259" spans="3:3" x14ac:dyDescent="0.35">
      <c r="C44259" s="2"/>
    </row>
    <row r="44260" spans="3:3" x14ac:dyDescent="0.35">
      <c r="C44260" s="2"/>
    </row>
    <row r="44261" spans="3:3" x14ac:dyDescent="0.35">
      <c r="C44261" s="2"/>
    </row>
    <row r="44262" spans="3:3" x14ac:dyDescent="0.35">
      <c r="C44262" s="2"/>
    </row>
    <row r="44263" spans="3:3" x14ac:dyDescent="0.35">
      <c r="C44263" s="2"/>
    </row>
    <row r="44264" spans="3:3" x14ac:dyDescent="0.35">
      <c r="C44264" s="2"/>
    </row>
    <row r="44265" spans="3:3" x14ac:dyDescent="0.35">
      <c r="C44265" s="2"/>
    </row>
    <row r="44266" spans="3:3" x14ac:dyDescent="0.35">
      <c r="C44266" s="2"/>
    </row>
    <row r="44267" spans="3:3" x14ac:dyDescent="0.35">
      <c r="C44267" s="2"/>
    </row>
    <row r="44268" spans="3:3" x14ac:dyDescent="0.35">
      <c r="C44268" s="2"/>
    </row>
    <row r="44269" spans="3:3" x14ac:dyDescent="0.35">
      <c r="C44269" s="2"/>
    </row>
    <row r="44270" spans="3:3" x14ac:dyDescent="0.35">
      <c r="C44270" s="2"/>
    </row>
    <row r="44271" spans="3:3" x14ac:dyDescent="0.35">
      <c r="C44271" s="2"/>
    </row>
    <row r="44272" spans="3:3" x14ac:dyDescent="0.35">
      <c r="C44272" s="2"/>
    </row>
    <row r="44273" spans="3:3" x14ac:dyDescent="0.35">
      <c r="C44273" s="2"/>
    </row>
    <row r="44274" spans="3:3" x14ac:dyDescent="0.35">
      <c r="C44274" s="2"/>
    </row>
    <row r="44275" spans="3:3" x14ac:dyDescent="0.35">
      <c r="C44275" s="2"/>
    </row>
    <row r="44276" spans="3:3" x14ac:dyDescent="0.35">
      <c r="C44276" s="2"/>
    </row>
    <row r="44277" spans="3:3" x14ac:dyDescent="0.35">
      <c r="C44277" s="2"/>
    </row>
    <row r="44278" spans="3:3" x14ac:dyDescent="0.35">
      <c r="C44278" s="2"/>
    </row>
    <row r="44279" spans="3:3" x14ac:dyDescent="0.35">
      <c r="C44279" s="2"/>
    </row>
    <row r="44280" spans="3:3" x14ac:dyDescent="0.35">
      <c r="C44280" s="2"/>
    </row>
    <row r="44281" spans="3:3" x14ac:dyDescent="0.35">
      <c r="C44281" s="2"/>
    </row>
    <row r="44282" spans="3:3" x14ac:dyDescent="0.35">
      <c r="C44282" s="2"/>
    </row>
    <row r="44283" spans="3:3" x14ac:dyDescent="0.35">
      <c r="C44283" s="2"/>
    </row>
    <row r="44284" spans="3:3" x14ac:dyDescent="0.35">
      <c r="C44284" s="2"/>
    </row>
    <row r="44285" spans="3:3" x14ac:dyDescent="0.35">
      <c r="C44285" s="2"/>
    </row>
    <row r="44286" spans="3:3" x14ac:dyDescent="0.35">
      <c r="C44286" s="2"/>
    </row>
    <row r="44287" spans="3:3" x14ac:dyDescent="0.35">
      <c r="C44287" s="2"/>
    </row>
    <row r="44288" spans="3:3" x14ac:dyDescent="0.35">
      <c r="C44288" s="2"/>
    </row>
    <row r="44289" spans="3:3" x14ac:dyDescent="0.35">
      <c r="C44289" s="2"/>
    </row>
    <row r="44290" spans="3:3" x14ac:dyDescent="0.35">
      <c r="C44290" s="2"/>
    </row>
    <row r="44291" spans="3:3" x14ac:dyDescent="0.35">
      <c r="C44291" s="2"/>
    </row>
    <row r="44292" spans="3:3" x14ac:dyDescent="0.35">
      <c r="C44292" s="2"/>
    </row>
    <row r="44293" spans="3:3" x14ac:dyDescent="0.35">
      <c r="C44293" s="2"/>
    </row>
    <row r="44294" spans="3:3" x14ac:dyDescent="0.35">
      <c r="C44294" s="2"/>
    </row>
    <row r="44295" spans="3:3" x14ac:dyDescent="0.35">
      <c r="C44295" s="2"/>
    </row>
    <row r="44296" spans="3:3" x14ac:dyDescent="0.35">
      <c r="C44296" s="2"/>
    </row>
    <row r="44297" spans="3:3" x14ac:dyDescent="0.35">
      <c r="C44297" s="2"/>
    </row>
    <row r="44298" spans="3:3" x14ac:dyDescent="0.35">
      <c r="C44298" s="2"/>
    </row>
    <row r="44299" spans="3:3" x14ac:dyDescent="0.35">
      <c r="C44299" s="2"/>
    </row>
    <row r="44300" spans="3:3" x14ac:dyDescent="0.35">
      <c r="C44300" s="2"/>
    </row>
    <row r="44301" spans="3:3" x14ac:dyDescent="0.35">
      <c r="C44301" s="2"/>
    </row>
    <row r="44302" spans="3:3" x14ac:dyDescent="0.35">
      <c r="C44302" s="2"/>
    </row>
    <row r="44303" spans="3:3" x14ac:dyDescent="0.35">
      <c r="C44303" s="2"/>
    </row>
    <row r="44304" spans="3:3" x14ac:dyDescent="0.35">
      <c r="C44304" s="2"/>
    </row>
    <row r="44305" spans="3:3" x14ac:dyDescent="0.35">
      <c r="C44305" s="2"/>
    </row>
    <row r="44306" spans="3:3" x14ac:dyDescent="0.35">
      <c r="C44306" s="2"/>
    </row>
    <row r="44307" spans="3:3" x14ac:dyDescent="0.35">
      <c r="C44307" s="2"/>
    </row>
    <row r="44308" spans="3:3" x14ac:dyDescent="0.35">
      <c r="C44308" s="2"/>
    </row>
    <row r="44309" spans="3:3" x14ac:dyDescent="0.35">
      <c r="C44309" s="2"/>
    </row>
    <row r="44310" spans="3:3" x14ac:dyDescent="0.35">
      <c r="C44310" s="2"/>
    </row>
    <row r="44311" spans="3:3" x14ac:dyDescent="0.35">
      <c r="C44311" s="2"/>
    </row>
    <row r="44312" spans="3:3" x14ac:dyDescent="0.35">
      <c r="C44312" s="2"/>
    </row>
    <row r="44313" spans="3:3" x14ac:dyDescent="0.35">
      <c r="C44313" s="2"/>
    </row>
    <row r="44314" spans="3:3" x14ac:dyDescent="0.35">
      <c r="C44314" s="2"/>
    </row>
    <row r="44315" spans="3:3" x14ac:dyDescent="0.35">
      <c r="C44315" s="2"/>
    </row>
    <row r="44316" spans="3:3" x14ac:dyDescent="0.35">
      <c r="C44316" s="2"/>
    </row>
    <row r="44317" spans="3:3" x14ac:dyDescent="0.35">
      <c r="C44317" s="2"/>
    </row>
    <row r="44318" spans="3:3" x14ac:dyDescent="0.35">
      <c r="C44318" s="2"/>
    </row>
    <row r="44319" spans="3:3" x14ac:dyDescent="0.35">
      <c r="C44319" s="2"/>
    </row>
    <row r="44320" spans="3:3" x14ac:dyDescent="0.35">
      <c r="C44320" s="2"/>
    </row>
    <row r="44321" spans="3:3" x14ac:dyDescent="0.35">
      <c r="C44321" s="2"/>
    </row>
    <row r="44322" spans="3:3" x14ac:dyDescent="0.35">
      <c r="C44322" s="2"/>
    </row>
    <row r="44323" spans="3:3" x14ac:dyDescent="0.35">
      <c r="C44323" s="2"/>
    </row>
    <row r="44324" spans="3:3" x14ac:dyDescent="0.35">
      <c r="C44324" s="2"/>
    </row>
    <row r="44325" spans="3:3" x14ac:dyDescent="0.35">
      <c r="C44325" s="2"/>
    </row>
    <row r="44326" spans="3:3" x14ac:dyDescent="0.35">
      <c r="C44326" s="2"/>
    </row>
    <row r="44327" spans="3:3" x14ac:dyDescent="0.35">
      <c r="C44327" s="2"/>
    </row>
    <row r="44328" spans="3:3" x14ac:dyDescent="0.35">
      <c r="C44328" s="2"/>
    </row>
    <row r="44329" spans="3:3" x14ac:dyDescent="0.35">
      <c r="C44329" s="2"/>
    </row>
    <row r="44330" spans="3:3" x14ac:dyDescent="0.35">
      <c r="C44330" s="2"/>
    </row>
    <row r="44331" spans="3:3" x14ac:dyDescent="0.35">
      <c r="C44331" s="2"/>
    </row>
    <row r="44332" spans="3:3" x14ac:dyDescent="0.35">
      <c r="C44332" s="2"/>
    </row>
    <row r="44333" spans="3:3" x14ac:dyDescent="0.35">
      <c r="C44333" s="2"/>
    </row>
    <row r="44334" spans="3:3" x14ac:dyDescent="0.35">
      <c r="C44334" s="2"/>
    </row>
    <row r="44335" spans="3:3" x14ac:dyDescent="0.35">
      <c r="C44335" s="2"/>
    </row>
    <row r="44336" spans="3:3" x14ac:dyDescent="0.35">
      <c r="C44336" s="2"/>
    </row>
    <row r="44337" spans="3:3" x14ac:dyDescent="0.35">
      <c r="C44337" s="2"/>
    </row>
    <row r="44338" spans="3:3" x14ac:dyDescent="0.35">
      <c r="C44338" s="2"/>
    </row>
    <row r="44339" spans="3:3" x14ac:dyDescent="0.35">
      <c r="C44339" s="2"/>
    </row>
    <row r="44340" spans="3:3" x14ac:dyDescent="0.35">
      <c r="C44340" s="2"/>
    </row>
    <row r="44341" spans="3:3" x14ac:dyDescent="0.35">
      <c r="C44341" s="2"/>
    </row>
    <row r="44342" spans="3:3" x14ac:dyDescent="0.35">
      <c r="C44342" s="2"/>
    </row>
    <row r="44343" spans="3:3" x14ac:dyDescent="0.35">
      <c r="C44343" s="2"/>
    </row>
    <row r="44344" spans="3:3" x14ac:dyDescent="0.35">
      <c r="C44344" s="2"/>
    </row>
    <row r="44345" spans="3:3" x14ac:dyDescent="0.35">
      <c r="C44345" s="2"/>
    </row>
    <row r="44346" spans="3:3" x14ac:dyDescent="0.35">
      <c r="C44346" s="2"/>
    </row>
    <row r="44347" spans="3:3" x14ac:dyDescent="0.35">
      <c r="C44347" s="2"/>
    </row>
    <row r="44348" spans="3:3" x14ac:dyDescent="0.35">
      <c r="C44348" s="2"/>
    </row>
    <row r="44349" spans="3:3" x14ac:dyDescent="0.35">
      <c r="C44349" s="2"/>
    </row>
    <row r="44350" spans="3:3" x14ac:dyDescent="0.35">
      <c r="C44350" s="2"/>
    </row>
    <row r="44351" spans="3:3" x14ac:dyDescent="0.35">
      <c r="C44351" s="2"/>
    </row>
    <row r="44352" spans="3:3" x14ac:dyDescent="0.35">
      <c r="C44352" s="2"/>
    </row>
    <row r="44353" spans="3:3" x14ac:dyDescent="0.35">
      <c r="C44353" s="2"/>
    </row>
    <row r="44354" spans="3:3" x14ac:dyDescent="0.35">
      <c r="C44354" s="2"/>
    </row>
    <row r="44355" spans="3:3" x14ac:dyDescent="0.35">
      <c r="C44355" s="2"/>
    </row>
    <row r="44356" spans="3:3" x14ac:dyDescent="0.35">
      <c r="C44356" s="2"/>
    </row>
    <row r="44357" spans="3:3" x14ac:dyDescent="0.35">
      <c r="C44357" s="2"/>
    </row>
    <row r="44358" spans="3:3" x14ac:dyDescent="0.35">
      <c r="C44358" s="2"/>
    </row>
    <row r="44359" spans="3:3" x14ac:dyDescent="0.35">
      <c r="C44359" s="2"/>
    </row>
    <row r="44360" spans="3:3" x14ac:dyDescent="0.35">
      <c r="C44360" s="2"/>
    </row>
    <row r="44361" spans="3:3" x14ac:dyDescent="0.35">
      <c r="C44361" s="2"/>
    </row>
    <row r="44362" spans="3:3" x14ac:dyDescent="0.35">
      <c r="C44362" s="2"/>
    </row>
    <row r="44363" spans="3:3" x14ac:dyDescent="0.35">
      <c r="C44363" s="2"/>
    </row>
    <row r="44364" spans="3:3" x14ac:dyDescent="0.35">
      <c r="C44364" s="2"/>
    </row>
    <row r="44365" spans="3:3" x14ac:dyDescent="0.35">
      <c r="C44365" s="2"/>
    </row>
    <row r="44366" spans="3:3" x14ac:dyDescent="0.35">
      <c r="C44366" s="2"/>
    </row>
    <row r="44367" spans="3:3" x14ac:dyDescent="0.35">
      <c r="C44367" s="2"/>
    </row>
    <row r="44368" spans="3:3" x14ac:dyDescent="0.35">
      <c r="C44368" s="2"/>
    </row>
    <row r="44369" spans="3:3" x14ac:dyDescent="0.35">
      <c r="C44369" s="2"/>
    </row>
    <row r="44370" spans="3:3" x14ac:dyDescent="0.35">
      <c r="C44370" s="2"/>
    </row>
    <row r="44371" spans="3:3" x14ac:dyDescent="0.35">
      <c r="C44371" s="2"/>
    </row>
    <row r="44372" spans="3:3" x14ac:dyDescent="0.35">
      <c r="C44372" s="2"/>
    </row>
    <row r="44373" spans="3:3" x14ac:dyDescent="0.35">
      <c r="C44373" s="2"/>
    </row>
    <row r="44374" spans="3:3" x14ac:dyDescent="0.35">
      <c r="C44374" s="2"/>
    </row>
    <row r="44375" spans="3:3" x14ac:dyDescent="0.35">
      <c r="C44375" s="2"/>
    </row>
    <row r="44376" spans="3:3" x14ac:dyDescent="0.35">
      <c r="C44376" s="2"/>
    </row>
    <row r="44377" spans="3:3" x14ac:dyDescent="0.35">
      <c r="C44377" s="2"/>
    </row>
    <row r="44378" spans="3:3" x14ac:dyDescent="0.35">
      <c r="C44378" s="2"/>
    </row>
    <row r="44379" spans="3:3" x14ac:dyDescent="0.35">
      <c r="C44379" s="2"/>
    </row>
    <row r="44380" spans="3:3" x14ac:dyDescent="0.35">
      <c r="C44380" s="2"/>
    </row>
    <row r="44381" spans="3:3" x14ac:dyDescent="0.35">
      <c r="C44381" s="2"/>
    </row>
    <row r="44382" spans="3:3" x14ac:dyDescent="0.35">
      <c r="C44382" s="2"/>
    </row>
    <row r="44383" spans="3:3" x14ac:dyDescent="0.35">
      <c r="C44383" s="2"/>
    </row>
    <row r="44384" spans="3:3" x14ac:dyDescent="0.35">
      <c r="C44384" s="2"/>
    </row>
    <row r="44385" spans="3:3" x14ac:dyDescent="0.35">
      <c r="C44385" s="2"/>
    </row>
    <row r="44386" spans="3:3" x14ac:dyDescent="0.35">
      <c r="C44386" s="2"/>
    </row>
    <row r="44387" spans="3:3" x14ac:dyDescent="0.35">
      <c r="C44387" s="2"/>
    </row>
    <row r="44388" spans="3:3" x14ac:dyDescent="0.35">
      <c r="C44388" s="2"/>
    </row>
    <row r="44389" spans="3:3" x14ac:dyDescent="0.35">
      <c r="C44389" s="2"/>
    </row>
    <row r="44390" spans="3:3" x14ac:dyDescent="0.35">
      <c r="C44390" s="2"/>
    </row>
    <row r="44391" spans="3:3" x14ac:dyDescent="0.35">
      <c r="C44391" s="2"/>
    </row>
    <row r="44392" spans="3:3" x14ac:dyDescent="0.35">
      <c r="C44392" s="2"/>
    </row>
    <row r="44393" spans="3:3" x14ac:dyDescent="0.35">
      <c r="C44393" s="2"/>
    </row>
    <row r="44394" spans="3:3" x14ac:dyDescent="0.35">
      <c r="C44394" s="2"/>
    </row>
    <row r="44395" spans="3:3" x14ac:dyDescent="0.35">
      <c r="C44395" s="2"/>
    </row>
    <row r="44396" spans="3:3" x14ac:dyDescent="0.35">
      <c r="C44396" s="2"/>
    </row>
    <row r="44397" spans="3:3" x14ac:dyDescent="0.35">
      <c r="C44397" s="2"/>
    </row>
    <row r="44398" spans="3:3" x14ac:dyDescent="0.35">
      <c r="C44398" s="2"/>
    </row>
    <row r="44399" spans="3:3" x14ac:dyDescent="0.35">
      <c r="C44399" s="2"/>
    </row>
    <row r="44400" spans="3:3" x14ac:dyDescent="0.35">
      <c r="C44400" s="2"/>
    </row>
    <row r="44401" spans="3:3" x14ac:dyDescent="0.35">
      <c r="C44401" s="2"/>
    </row>
    <row r="44402" spans="3:3" x14ac:dyDescent="0.35">
      <c r="C44402" s="2"/>
    </row>
    <row r="44403" spans="3:3" x14ac:dyDescent="0.35">
      <c r="C44403" s="2"/>
    </row>
    <row r="44404" spans="3:3" x14ac:dyDescent="0.35">
      <c r="C44404" s="2"/>
    </row>
    <row r="44405" spans="3:3" x14ac:dyDescent="0.35">
      <c r="C44405" s="2"/>
    </row>
    <row r="44406" spans="3:3" x14ac:dyDescent="0.35">
      <c r="C44406" s="2"/>
    </row>
    <row r="44407" spans="3:3" x14ac:dyDescent="0.35">
      <c r="C44407" s="2"/>
    </row>
    <row r="44408" spans="3:3" x14ac:dyDescent="0.35">
      <c r="C44408" s="2"/>
    </row>
    <row r="44409" spans="3:3" x14ac:dyDescent="0.35">
      <c r="C44409" s="2"/>
    </row>
    <row r="44410" spans="3:3" x14ac:dyDescent="0.35">
      <c r="C44410" s="2"/>
    </row>
    <row r="44411" spans="3:3" x14ac:dyDescent="0.35">
      <c r="C44411" s="2"/>
    </row>
    <row r="44412" spans="3:3" x14ac:dyDescent="0.35">
      <c r="C44412" s="2"/>
    </row>
    <row r="44413" spans="3:3" x14ac:dyDescent="0.35">
      <c r="C44413" s="2"/>
    </row>
    <row r="44414" spans="3:3" x14ac:dyDescent="0.35">
      <c r="C44414" s="2"/>
    </row>
    <row r="44415" spans="3:3" x14ac:dyDescent="0.35">
      <c r="C44415" s="2"/>
    </row>
    <row r="44416" spans="3:3" x14ac:dyDescent="0.35">
      <c r="C44416" s="2"/>
    </row>
    <row r="44417" spans="3:3" x14ac:dyDescent="0.35">
      <c r="C44417" s="2"/>
    </row>
    <row r="44418" spans="3:3" x14ac:dyDescent="0.35">
      <c r="C44418" s="2"/>
    </row>
    <row r="44419" spans="3:3" x14ac:dyDescent="0.35">
      <c r="C44419" s="2"/>
    </row>
    <row r="44420" spans="3:3" x14ac:dyDescent="0.35">
      <c r="C44420" s="2"/>
    </row>
    <row r="44421" spans="3:3" x14ac:dyDescent="0.35">
      <c r="C44421" s="2"/>
    </row>
    <row r="44422" spans="3:3" x14ac:dyDescent="0.35">
      <c r="C44422" s="2"/>
    </row>
    <row r="44423" spans="3:3" x14ac:dyDescent="0.35">
      <c r="C44423" s="2"/>
    </row>
    <row r="44424" spans="3:3" x14ac:dyDescent="0.35">
      <c r="C44424" s="2"/>
    </row>
    <row r="44425" spans="3:3" x14ac:dyDescent="0.35">
      <c r="C44425" s="2"/>
    </row>
    <row r="44426" spans="3:3" x14ac:dyDescent="0.35">
      <c r="C44426" s="2"/>
    </row>
    <row r="44427" spans="3:3" x14ac:dyDescent="0.35">
      <c r="C44427" s="2"/>
    </row>
    <row r="44428" spans="3:3" x14ac:dyDescent="0.35">
      <c r="C44428" s="2"/>
    </row>
    <row r="44429" spans="3:3" x14ac:dyDescent="0.35">
      <c r="C44429" s="2"/>
    </row>
    <row r="44430" spans="3:3" x14ac:dyDescent="0.35">
      <c r="C44430" s="2"/>
    </row>
    <row r="44431" spans="3:3" x14ac:dyDescent="0.35">
      <c r="C44431" s="2"/>
    </row>
    <row r="44432" spans="3:3" x14ac:dyDescent="0.35">
      <c r="C44432" s="2"/>
    </row>
    <row r="44433" spans="3:3" x14ac:dyDescent="0.35">
      <c r="C44433" s="2"/>
    </row>
    <row r="44434" spans="3:3" x14ac:dyDescent="0.35">
      <c r="C44434" s="2"/>
    </row>
    <row r="44435" spans="3:3" x14ac:dyDescent="0.35">
      <c r="C44435" s="2"/>
    </row>
    <row r="44436" spans="3:3" x14ac:dyDescent="0.35">
      <c r="C44436" s="2"/>
    </row>
    <row r="44437" spans="3:3" x14ac:dyDescent="0.35">
      <c r="C44437" s="2"/>
    </row>
    <row r="44438" spans="3:3" x14ac:dyDescent="0.35">
      <c r="C44438" s="2"/>
    </row>
    <row r="44439" spans="3:3" x14ac:dyDescent="0.35">
      <c r="C44439" s="2"/>
    </row>
    <row r="44440" spans="3:3" x14ac:dyDescent="0.35">
      <c r="C44440" s="2"/>
    </row>
    <row r="44441" spans="3:3" x14ac:dyDescent="0.35">
      <c r="C44441" s="2"/>
    </row>
    <row r="44442" spans="3:3" x14ac:dyDescent="0.35">
      <c r="C44442" s="2"/>
    </row>
    <row r="44443" spans="3:3" x14ac:dyDescent="0.35">
      <c r="C44443" s="2"/>
    </row>
    <row r="44444" spans="3:3" x14ac:dyDescent="0.35">
      <c r="C44444" s="2"/>
    </row>
    <row r="44445" spans="3:3" x14ac:dyDescent="0.35">
      <c r="C44445" s="2"/>
    </row>
    <row r="44446" spans="3:3" x14ac:dyDescent="0.35">
      <c r="C44446" s="2"/>
    </row>
    <row r="44447" spans="3:3" x14ac:dyDescent="0.35">
      <c r="C44447" s="2"/>
    </row>
    <row r="44448" spans="3:3" x14ac:dyDescent="0.35">
      <c r="C44448" s="2"/>
    </row>
    <row r="44449" spans="3:3" x14ac:dyDescent="0.35">
      <c r="C44449" s="2"/>
    </row>
    <row r="44450" spans="3:3" x14ac:dyDescent="0.35">
      <c r="C44450" s="2"/>
    </row>
    <row r="44451" spans="3:3" x14ac:dyDescent="0.35">
      <c r="C44451" s="2"/>
    </row>
    <row r="44452" spans="3:3" x14ac:dyDescent="0.35">
      <c r="C44452" s="2"/>
    </row>
    <row r="44453" spans="3:3" x14ac:dyDescent="0.35">
      <c r="C44453" s="2"/>
    </row>
    <row r="44454" spans="3:3" x14ac:dyDescent="0.35">
      <c r="C44454" s="2"/>
    </row>
    <row r="44455" spans="3:3" x14ac:dyDescent="0.35">
      <c r="C44455" s="2"/>
    </row>
    <row r="44456" spans="3:3" x14ac:dyDescent="0.35">
      <c r="C44456" s="2"/>
    </row>
    <row r="44457" spans="3:3" x14ac:dyDescent="0.35">
      <c r="C44457" s="2"/>
    </row>
    <row r="44458" spans="3:3" x14ac:dyDescent="0.35">
      <c r="C44458" s="2"/>
    </row>
    <row r="44459" spans="3:3" x14ac:dyDescent="0.35">
      <c r="C44459" s="2"/>
    </row>
    <row r="44460" spans="3:3" x14ac:dyDescent="0.35">
      <c r="C44460" s="2"/>
    </row>
    <row r="44461" spans="3:3" x14ac:dyDescent="0.35">
      <c r="C44461" s="2"/>
    </row>
    <row r="44462" spans="3:3" x14ac:dyDescent="0.35">
      <c r="C44462" s="2"/>
    </row>
    <row r="44463" spans="3:3" x14ac:dyDescent="0.35">
      <c r="C44463" s="2"/>
    </row>
    <row r="44464" spans="3:3" x14ac:dyDescent="0.35">
      <c r="C44464" s="2"/>
    </row>
    <row r="44465" spans="3:3" x14ac:dyDescent="0.35">
      <c r="C44465" s="2"/>
    </row>
    <row r="44466" spans="3:3" x14ac:dyDescent="0.35">
      <c r="C44466" s="2"/>
    </row>
    <row r="44467" spans="3:3" x14ac:dyDescent="0.35">
      <c r="C44467" s="2"/>
    </row>
    <row r="44468" spans="3:3" x14ac:dyDescent="0.35">
      <c r="C44468" s="2"/>
    </row>
    <row r="44469" spans="3:3" x14ac:dyDescent="0.35">
      <c r="C44469" s="2"/>
    </row>
    <row r="44470" spans="3:3" x14ac:dyDescent="0.35">
      <c r="C44470" s="2"/>
    </row>
    <row r="44471" spans="3:3" x14ac:dyDescent="0.35">
      <c r="C44471" s="2"/>
    </row>
    <row r="44472" spans="3:3" x14ac:dyDescent="0.35">
      <c r="C44472" s="2"/>
    </row>
    <row r="44473" spans="3:3" x14ac:dyDescent="0.35">
      <c r="C44473" s="2"/>
    </row>
    <row r="44474" spans="3:3" x14ac:dyDescent="0.35">
      <c r="C44474" s="2"/>
    </row>
    <row r="44475" spans="3:3" x14ac:dyDescent="0.35">
      <c r="C44475" s="2"/>
    </row>
    <row r="44476" spans="3:3" x14ac:dyDescent="0.35">
      <c r="C44476" s="2"/>
    </row>
    <row r="44477" spans="3:3" x14ac:dyDescent="0.35">
      <c r="C44477" s="2"/>
    </row>
    <row r="44478" spans="3:3" x14ac:dyDescent="0.35">
      <c r="C44478" s="2"/>
    </row>
    <row r="44479" spans="3:3" x14ac:dyDescent="0.35">
      <c r="C44479" s="2"/>
    </row>
    <row r="44480" spans="3:3" x14ac:dyDescent="0.35">
      <c r="C44480" s="2"/>
    </row>
    <row r="44481" spans="3:3" x14ac:dyDescent="0.35">
      <c r="C44481" s="2"/>
    </row>
    <row r="44482" spans="3:3" x14ac:dyDescent="0.35">
      <c r="C44482" s="2"/>
    </row>
    <row r="44483" spans="3:3" x14ac:dyDescent="0.35">
      <c r="C44483" s="2"/>
    </row>
    <row r="44484" spans="3:3" x14ac:dyDescent="0.35">
      <c r="C44484" s="2"/>
    </row>
    <row r="44485" spans="3:3" x14ac:dyDescent="0.35">
      <c r="C44485" s="2"/>
    </row>
    <row r="44486" spans="3:3" x14ac:dyDescent="0.35">
      <c r="C44486" s="2"/>
    </row>
    <row r="44487" spans="3:3" x14ac:dyDescent="0.35">
      <c r="C44487" s="2"/>
    </row>
    <row r="44488" spans="3:3" x14ac:dyDescent="0.35">
      <c r="C44488" s="2"/>
    </row>
    <row r="44489" spans="3:3" x14ac:dyDescent="0.35">
      <c r="C44489" s="2"/>
    </row>
    <row r="44490" spans="3:3" x14ac:dyDescent="0.35">
      <c r="C44490" s="2"/>
    </row>
    <row r="44491" spans="3:3" x14ac:dyDescent="0.35">
      <c r="C44491" s="2"/>
    </row>
    <row r="44492" spans="3:3" x14ac:dyDescent="0.35">
      <c r="C44492" s="2"/>
    </row>
    <row r="44493" spans="3:3" x14ac:dyDescent="0.35">
      <c r="C44493" s="2"/>
    </row>
    <row r="44494" spans="3:3" x14ac:dyDescent="0.35">
      <c r="C44494" s="2"/>
    </row>
    <row r="44495" spans="3:3" x14ac:dyDescent="0.35">
      <c r="C44495" s="2"/>
    </row>
    <row r="44496" spans="3:3" x14ac:dyDescent="0.35">
      <c r="C44496" s="2"/>
    </row>
    <row r="44497" spans="3:3" x14ac:dyDescent="0.35">
      <c r="C44497" s="2"/>
    </row>
    <row r="44498" spans="3:3" x14ac:dyDescent="0.35">
      <c r="C44498" s="2"/>
    </row>
    <row r="44499" spans="3:3" x14ac:dyDescent="0.35">
      <c r="C44499" s="2"/>
    </row>
    <row r="44500" spans="3:3" x14ac:dyDescent="0.35">
      <c r="C44500" s="2"/>
    </row>
    <row r="44501" spans="3:3" x14ac:dyDescent="0.35">
      <c r="C44501" s="2"/>
    </row>
    <row r="44502" spans="3:3" x14ac:dyDescent="0.35">
      <c r="C44502" s="2"/>
    </row>
    <row r="44503" spans="3:3" x14ac:dyDescent="0.35">
      <c r="C44503" s="2"/>
    </row>
    <row r="44504" spans="3:3" x14ac:dyDescent="0.35">
      <c r="C44504" s="2"/>
    </row>
    <row r="44505" spans="3:3" x14ac:dyDescent="0.35">
      <c r="C44505" s="2"/>
    </row>
    <row r="44506" spans="3:3" x14ac:dyDescent="0.35">
      <c r="C44506" s="2"/>
    </row>
    <row r="44507" spans="3:3" x14ac:dyDescent="0.35">
      <c r="C44507" s="2"/>
    </row>
    <row r="44508" spans="3:3" x14ac:dyDescent="0.35">
      <c r="C44508" s="2"/>
    </row>
    <row r="44509" spans="3:3" x14ac:dyDescent="0.35">
      <c r="C44509" s="2"/>
    </row>
    <row r="44510" spans="3:3" x14ac:dyDescent="0.35">
      <c r="C44510" s="2"/>
    </row>
    <row r="44511" spans="3:3" x14ac:dyDescent="0.35">
      <c r="C44511" s="2"/>
    </row>
    <row r="44512" spans="3:3" x14ac:dyDescent="0.35">
      <c r="C44512" s="2"/>
    </row>
    <row r="44513" spans="3:3" x14ac:dyDescent="0.35">
      <c r="C44513" s="2"/>
    </row>
    <row r="44514" spans="3:3" x14ac:dyDescent="0.35">
      <c r="C44514" s="2"/>
    </row>
    <row r="44515" spans="3:3" x14ac:dyDescent="0.35">
      <c r="C44515" s="2"/>
    </row>
    <row r="44516" spans="3:3" x14ac:dyDescent="0.35">
      <c r="C44516" s="2"/>
    </row>
    <row r="44517" spans="3:3" x14ac:dyDescent="0.35">
      <c r="C44517" s="2"/>
    </row>
    <row r="44518" spans="3:3" x14ac:dyDescent="0.35">
      <c r="C44518" s="2"/>
    </row>
    <row r="44519" spans="3:3" x14ac:dyDescent="0.35">
      <c r="C44519" s="2"/>
    </row>
    <row r="44520" spans="3:3" x14ac:dyDescent="0.35">
      <c r="C44520" s="2"/>
    </row>
    <row r="44521" spans="3:3" x14ac:dyDescent="0.35">
      <c r="C44521" s="2"/>
    </row>
    <row r="44522" spans="3:3" x14ac:dyDescent="0.35">
      <c r="C44522" s="2"/>
    </row>
    <row r="44523" spans="3:3" x14ac:dyDescent="0.35">
      <c r="C44523" s="2"/>
    </row>
    <row r="44524" spans="3:3" x14ac:dyDescent="0.35">
      <c r="C44524" s="2"/>
    </row>
    <row r="44525" spans="3:3" x14ac:dyDescent="0.35">
      <c r="C44525" s="2"/>
    </row>
    <row r="44526" spans="3:3" x14ac:dyDescent="0.35">
      <c r="C44526" s="2"/>
    </row>
    <row r="44527" spans="3:3" x14ac:dyDescent="0.35">
      <c r="C44527" s="2"/>
    </row>
    <row r="44528" spans="3:3" x14ac:dyDescent="0.35">
      <c r="C44528" s="2"/>
    </row>
    <row r="44529" spans="3:3" x14ac:dyDescent="0.35">
      <c r="C44529" s="2"/>
    </row>
    <row r="44530" spans="3:3" x14ac:dyDescent="0.35">
      <c r="C44530" s="2"/>
    </row>
    <row r="44531" spans="3:3" x14ac:dyDescent="0.35">
      <c r="C44531" s="2"/>
    </row>
    <row r="44532" spans="3:3" x14ac:dyDescent="0.35">
      <c r="C44532" s="2"/>
    </row>
    <row r="44533" spans="3:3" x14ac:dyDescent="0.35">
      <c r="C44533" s="2"/>
    </row>
    <row r="44534" spans="3:3" x14ac:dyDescent="0.35">
      <c r="C44534" s="2"/>
    </row>
    <row r="44535" spans="3:3" x14ac:dyDescent="0.35">
      <c r="C44535" s="2"/>
    </row>
    <row r="44536" spans="3:3" x14ac:dyDescent="0.35">
      <c r="C44536" s="2"/>
    </row>
    <row r="44537" spans="3:3" x14ac:dyDescent="0.35">
      <c r="C44537" s="2"/>
    </row>
    <row r="44538" spans="3:3" x14ac:dyDescent="0.35">
      <c r="C44538" s="2"/>
    </row>
    <row r="44539" spans="3:3" x14ac:dyDescent="0.35">
      <c r="C44539" s="2"/>
    </row>
    <row r="44540" spans="3:3" x14ac:dyDescent="0.35">
      <c r="C44540" s="2"/>
    </row>
    <row r="44541" spans="3:3" x14ac:dyDescent="0.35">
      <c r="C44541" s="2"/>
    </row>
    <row r="44542" spans="3:3" x14ac:dyDescent="0.35">
      <c r="C44542" s="2"/>
    </row>
    <row r="44543" spans="3:3" x14ac:dyDescent="0.35">
      <c r="C44543" s="2"/>
    </row>
    <row r="44544" spans="3:3" x14ac:dyDescent="0.35">
      <c r="C44544" s="2"/>
    </row>
    <row r="44545" spans="3:3" x14ac:dyDescent="0.35">
      <c r="C44545" s="2"/>
    </row>
    <row r="44546" spans="3:3" x14ac:dyDescent="0.35">
      <c r="C44546" s="2"/>
    </row>
    <row r="44547" spans="3:3" x14ac:dyDescent="0.35">
      <c r="C44547" s="2"/>
    </row>
    <row r="44548" spans="3:3" x14ac:dyDescent="0.35">
      <c r="C44548" s="2"/>
    </row>
    <row r="44549" spans="3:3" x14ac:dyDescent="0.35">
      <c r="C44549" s="2"/>
    </row>
    <row r="44550" spans="3:3" x14ac:dyDescent="0.35">
      <c r="C44550" s="2"/>
    </row>
    <row r="44551" spans="3:3" x14ac:dyDescent="0.35">
      <c r="C44551" s="2"/>
    </row>
    <row r="44552" spans="3:3" x14ac:dyDescent="0.35">
      <c r="C44552" s="2"/>
    </row>
    <row r="44553" spans="3:3" x14ac:dyDescent="0.35">
      <c r="C44553" s="2"/>
    </row>
    <row r="44554" spans="3:3" x14ac:dyDescent="0.35">
      <c r="C44554" s="2"/>
    </row>
    <row r="44555" spans="3:3" x14ac:dyDescent="0.35">
      <c r="C44555" s="2"/>
    </row>
    <row r="44556" spans="3:3" x14ac:dyDescent="0.35">
      <c r="C44556" s="2"/>
    </row>
    <row r="44557" spans="3:3" x14ac:dyDescent="0.35">
      <c r="C44557" s="2"/>
    </row>
    <row r="44558" spans="3:3" x14ac:dyDescent="0.35">
      <c r="C44558" s="2"/>
    </row>
    <row r="44559" spans="3:3" x14ac:dyDescent="0.35">
      <c r="C44559" s="2"/>
    </row>
    <row r="44560" spans="3:3" x14ac:dyDescent="0.35">
      <c r="C44560" s="2"/>
    </row>
    <row r="44561" spans="3:3" x14ac:dyDescent="0.35">
      <c r="C44561" s="2"/>
    </row>
    <row r="44562" spans="3:3" x14ac:dyDescent="0.35">
      <c r="C44562" s="2"/>
    </row>
    <row r="44563" spans="3:3" x14ac:dyDescent="0.35">
      <c r="C44563" s="2"/>
    </row>
    <row r="44564" spans="3:3" x14ac:dyDescent="0.35">
      <c r="C44564" s="2"/>
    </row>
    <row r="44565" spans="3:3" x14ac:dyDescent="0.35">
      <c r="C44565" s="2"/>
    </row>
    <row r="44566" spans="3:3" x14ac:dyDescent="0.35">
      <c r="C44566" s="2"/>
    </row>
    <row r="44567" spans="3:3" x14ac:dyDescent="0.35">
      <c r="C44567" s="2"/>
    </row>
    <row r="44568" spans="3:3" x14ac:dyDescent="0.35">
      <c r="C44568" s="2"/>
    </row>
    <row r="44569" spans="3:3" x14ac:dyDescent="0.35">
      <c r="C44569" s="2"/>
    </row>
    <row r="44570" spans="3:3" x14ac:dyDescent="0.35">
      <c r="C44570" s="2"/>
    </row>
    <row r="44571" spans="3:3" x14ac:dyDescent="0.35">
      <c r="C44571" s="2"/>
    </row>
    <row r="44572" spans="3:3" x14ac:dyDescent="0.35">
      <c r="C44572" s="2"/>
    </row>
    <row r="44573" spans="3:3" x14ac:dyDescent="0.35">
      <c r="C44573" s="2"/>
    </row>
    <row r="44574" spans="3:3" x14ac:dyDescent="0.35">
      <c r="C44574" s="2"/>
    </row>
    <row r="44575" spans="3:3" x14ac:dyDescent="0.35">
      <c r="C44575" s="2"/>
    </row>
    <row r="44576" spans="3:3" x14ac:dyDescent="0.35">
      <c r="C44576" s="2"/>
    </row>
    <row r="44577" spans="3:3" x14ac:dyDescent="0.35">
      <c r="C44577" s="2"/>
    </row>
    <row r="44578" spans="3:3" x14ac:dyDescent="0.35">
      <c r="C44578" s="2"/>
    </row>
    <row r="44579" spans="3:3" x14ac:dyDescent="0.35">
      <c r="C44579" s="2"/>
    </row>
    <row r="44580" spans="3:3" x14ac:dyDescent="0.35">
      <c r="C44580" s="2"/>
    </row>
    <row r="44581" spans="3:3" x14ac:dyDescent="0.35">
      <c r="C44581" s="2"/>
    </row>
    <row r="44582" spans="3:3" x14ac:dyDescent="0.35">
      <c r="C44582" s="2"/>
    </row>
    <row r="44583" spans="3:3" x14ac:dyDescent="0.35">
      <c r="C44583" s="2"/>
    </row>
    <row r="44584" spans="3:3" x14ac:dyDescent="0.35">
      <c r="C44584" s="2"/>
    </row>
    <row r="44585" spans="3:3" x14ac:dyDescent="0.35">
      <c r="C44585" s="2"/>
    </row>
    <row r="44586" spans="3:3" x14ac:dyDescent="0.35">
      <c r="C44586" s="2"/>
    </row>
    <row r="44587" spans="3:3" x14ac:dyDescent="0.35">
      <c r="C44587" s="2"/>
    </row>
    <row r="44588" spans="3:3" x14ac:dyDescent="0.35">
      <c r="C44588" s="2"/>
    </row>
    <row r="44589" spans="3:3" x14ac:dyDescent="0.35">
      <c r="C44589" s="2"/>
    </row>
    <row r="44590" spans="3:3" x14ac:dyDescent="0.35">
      <c r="C44590" s="2"/>
    </row>
    <row r="44591" spans="3:3" x14ac:dyDescent="0.35">
      <c r="C44591" s="2"/>
    </row>
    <row r="44592" spans="3:3" x14ac:dyDescent="0.35">
      <c r="C44592" s="2"/>
    </row>
    <row r="44593" spans="3:3" x14ac:dyDescent="0.35">
      <c r="C44593" s="2"/>
    </row>
    <row r="44594" spans="3:3" x14ac:dyDescent="0.35">
      <c r="C44594" s="2"/>
    </row>
    <row r="44595" spans="3:3" x14ac:dyDescent="0.35">
      <c r="C44595" s="2"/>
    </row>
    <row r="44596" spans="3:3" x14ac:dyDescent="0.35">
      <c r="C44596" s="2"/>
    </row>
    <row r="44597" spans="3:3" x14ac:dyDescent="0.35">
      <c r="C44597" s="2"/>
    </row>
    <row r="44598" spans="3:3" x14ac:dyDescent="0.35">
      <c r="C44598" s="2"/>
    </row>
    <row r="44599" spans="3:3" x14ac:dyDescent="0.35">
      <c r="C44599" s="2"/>
    </row>
    <row r="44600" spans="3:3" x14ac:dyDescent="0.35">
      <c r="C44600" s="2"/>
    </row>
    <row r="44601" spans="3:3" x14ac:dyDescent="0.35">
      <c r="C44601" s="2"/>
    </row>
    <row r="44602" spans="3:3" x14ac:dyDescent="0.35">
      <c r="C44602" s="2"/>
    </row>
    <row r="44603" spans="3:3" x14ac:dyDescent="0.35">
      <c r="C44603" s="2"/>
    </row>
    <row r="44604" spans="3:3" x14ac:dyDescent="0.35">
      <c r="C44604" s="2"/>
    </row>
    <row r="44605" spans="3:3" x14ac:dyDescent="0.35">
      <c r="C44605" s="2"/>
    </row>
    <row r="44606" spans="3:3" x14ac:dyDescent="0.35">
      <c r="C44606" s="2"/>
    </row>
    <row r="44607" spans="3:3" x14ac:dyDescent="0.35">
      <c r="C44607" s="2"/>
    </row>
    <row r="44608" spans="3:3" x14ac:dyDescent="0.35">
      <c r="C44608" s="2"/>
    </row>
    <row r="44609" spans="3:3" x14ac:dyDescent="0.35">
      <c r="C44609" s="2"/>
    </row>
    <row r="44610" spans="3:3" x14ac:dyDescent="0.35">
      <c r="C44610" s="2"/>
    </row>
    <row r="44611" spans="3:3" x14ac:dyDescent="0.35">
      <c r="C44611" s="2"/>
    </row>
    <row r="44612" spans="3:3" x14ac:dyDescent="0.35">
      <c r="C44612" s="2"/>
    </row>
    <row r="44613" spans="3:3" x14ac:dyDescent="0.35">
      <c r="C44613" s="2"/>
    </row>
    <row r="44614" spans="3:3" x14ac:dyDescent="0.35">
      <c r="C44614" s="2"/>
    </row>
    <row r="44615" spans="3:3" x14ac:dyDescent="0.35">
      <c r="C44615" s="2"/>
    </row>
    <row r="44616" spans="3:3" x14ac:dyDescent="0.35">
      <c r="C44616" s="2"/>
    </row>
    <row r="44617" spans="3:3" x14ac:dyDescent="0.35">
      <c r="C44617" s="2"/>
    </row>
    <row r="44618" spans="3:3" x14ac:dyDescent="0.35">
      <c r="C44618" s="2"/>
    </row>
    <row r="44619" spans="3:3" x14ac:dyDescent="0.35">
      <c r="C44619" s="2"/>
    </row>
    <row r="44620" spans="3:3" x14ac:dyDescent="0.35">
      <c r="C44620" s="2"/>
    </row>
    <row r="44621" spans="3:3" x14ac:dyDescent="0.35">
      <c r="C44621" s="2"/>
    </row>
    <row r="44622" spans="3:3" x14ac:dyDescent="0.35">
      <c r="C44622" s="2"/>
    </row>
    <row r="44623" spans="3:3" x14ac:dyDescent="0.35">
      <c r="C44623" s="2"/>
    </row>
    <row r="44624" spans="3:3" x14ac:dyDescent="0.35">
      <c r="C44624" s="2"/>
    </row>
    <row r="44625" spans="3:3" x14ac:dyDescent="0.35">
      <c r="C44625" s="2"/>
    </row>
    <row r="44626" spans="3:3" x14ac:dyDescent="0.35">
      <c r="C44626" s="2"/>
    </row>
    <row r="44627" spans="3:3" x14ac:dyDescent="0.35">
      <c r="C44627" s="2"/>
    </row>
    <row r="44628" spans="3:3" x14ac:dyDescent="0.35">
      <c r="C44628" s="2"/>
    </row>
    <row r="44629" spans="3:3" x14ac:dyDescent="0.35">
      <c r="C44629" s="2"/>
    </row>
    <row r="44630" spans="3:3" x14ac:dyDescent="0.35">
      <c r="C44630" s="2"/>
    </row>
    <row r="44631" spans="3:3" x14ac:dyDescent="0.35">
      <c r="C44631" s="2"/>
    </row>
    <row r="44632" spans="3:3" x14ac:dyDescent="0.35">
      <c r="C44632" s="2"/>
    </row>
    <row r="44633" spans="3:3" x14ac:dyDescent="0.35">
      <c r="C44633" s="2"/>
    </row>
    <row r="44634" spans="3:3" x14ac:dyDescent="0.35">
      <c r="C44634" s="2"/>
    </row>
    <row r="44635" spans="3:3" x14ac:dyDescent="0.35">
      <c r="C44635" s="2"/>
    </row>
    <row r="44636" spans="3:3" x14ac:dyDescent="0.35">
      <c r="C44636" s="2"/>
    </row>
    <row r="44637" spans="3:3" x14ac:dyDescent="0.35">
      <c r="C44637" s="2"/>
    </row>
    <row r="44638" spans="3:3" x14ac:dyDescent="0.35">
      <c r="C44638" s="2"/>
    </row>
    <row r="44639" spans="3:3" x14ac:dyDescent="0.35">
      <c r="C44639" s="2"/>
    </row>
    <row r="44640" spans="3:3" x14ac:dyDescent="0.35">
      <c r="C44640" s="2"/>
    </row>
    <row r="44641" spans="3:3" x14ac:dyDescent="0.35">
      <c r="C44641" s="2"/>
    </row>
    <row r="44642" spans="3:3" x14ac:dyDescent="0.35">
      <c r="C44642" s="2"/>
    </row>
    <row r="44643" spans="3:3" x14ac:dyDescent="0.35">
      <c r="C44643" s="2"/>
    </row>
    <row r="44644" spans="3:3" x14ac:dyDescent="0.35">
      <c r="C44644" s="2"/>
    </row>
    <row r="44645" spans="3:3" x14ac:dyDescent="0.35">
      <c r="C44645" s="2"/>
    </row>
    <row r="44646" spans="3:3" x14ac:dyDescent="0.35">
      <c r="C44646" s="2"/>
    </row>
    <row r="44647" spans="3:3" x14ac:dyDescent="0.35">
      <c r="C44647" s="2"/>
    </row>
    <row r="44648" spans="3:3" x14ac:dyDescent="0.35">
      <c r="C44648" s="2"/>
    </row>
    <row r="44649" spans="3:3" x14ac:dyDescent="0.35">
      <c r="C44649" s="2"/>
    </row>
    <row r="44650" spans="3:3" x14ac:dyDescent="0.35">
      <c r="C44650" s="2"/>
    </row>
    <row r="44651" spans="3:3" x14ac:dyDescent="0.35">
      <c r="C44651" s="2"/>
    </row>
    <row r="44652" spans="3:3" x14ac:dyDescent="0.35">
      <c r="C44652" s="2"/>
    </row>
    <row r="44653" spans="3:3" x14ac:dyDescent="0.35">
      <c r="C44653" s="2"/>
    </row>
    <row r="44654" spans="3:3" x14ac:dyDescent="0.35">
      <c r="C44654" s="2"/>
    </row>
    <row r="44655" spans="3:3" x14ac:dyDescent="0.35">
      <c r="C44655" s="2"/>
    </row>
    <row r="44656" spans="3:3" x14ac:dyDescent="0.35">
      <c r="C44656" s="2"/>
    </row>
    <row r="44657" spans="3:3" x14ac:dyDescent="0.35">
      <c r="C44657" s="2"/>
    </row>
    <row r="44658" spans="3:3" x14ac:dyDescent="0.35">
      <c r="C44658" s="2"/>
    </row>
    <row r="44659" spans="3:3" x14ac:dyDescent="0.35">
      <c r="C44659" s="2"/>
    </row>
    <row r="44660" spans="3:3" x14ac:dyDescent="0.35">
      <c r="C44660" s="2"/>
    </row>
    <row r="44661" spans="3:3" x14ac:dyDescent="0.35">
      <c r="C44661" s="2"/>
    </row>
    <row r="44662" spans="3:3" x14ac:dyDescent="0.35">
      <c r="C44662" s="2"/>
    </row>
    <row r="44663" spans="3:3" x14ac:dyDescent="0.35">
      <c r="C44663" s="2"/>
    </row>
    <row r="44664" spans="3:3" x14ac:dyDescent="0.35">
      <c r="C44664" s="2"/>
    </row>
    <row r="44665" spans="3:3" x14ac:dyDescent="0.35">
      <c r="C44665" s="2"/>
    </row>
    <row r="44666" spans="3:3" x14ac:dyDescent="0.35">
      <c r="C44666" s="2"/>
    </row>
    <row r="44667" spans="3:3" x14ac:dyDescent="0.35">
      <c r="C44667" s="2"/>
    </row>
    <row r="44668" spans="3:3" x14ac:dyDescent="0.35">
      <c r="C44668" s="2"/>
    </row>
    <row r="44669" spans="3:3" x14ac:dyDescent="0.35">
      <c r="C44669" s="2"/>
    </row>
    <row r="44670" spans="3:3" x14ac:dyDescent="0.35">
      <c r="C44670" s="2"/>
    </row>
    <row r="44671" spans="3:3" x14ac:dyDescent="0.35">
      <c r="C44671" s="2"/>
    </row>
    <row r="44672" spans="3:3" x14ac:dyDescent="0.35">
      <c r="C44672" s="2"/>
    </row>
    <row r="44673" spans="3:3" x14ac:dyDescent="0.35">
      <c r="C44673" s="2"/>
    </row>
    <row r="44674" spans="3:3" x14ac:dyDescent="0.35">
      <c r="C44674" s="2"/>
    </row>
    <row r="44675" spans="3:3" x14ac:dyDescent="0.35">
      <c r="C44675" s="2"/>
    </row>
    <row r="44676" spans="3:3" x14ac:dyDescent="0.35">
      <c r="C44676" s="2"/>
    </row>
    <row r="44677" spans="3:3" x14ac:dyDescent="0.35">
      <c r="C44677" s="2"/>
    </row>
    <row r="44678" spans="3:3" x14ac:dyDescent="0.35">
      <c r="C44678" s="2"/>
    </row>
    <row r="44679" spans="3:3" x14ac:dyDescent="0.35">
      <c r="C44679" s="2"/>
    </row>
    <row r="44680" spans="3:3" x14ac:dyDescent="0.35">
      <c r="C44680" s="2"/>
    </row>
    <row r="44681" spans="3:3" x14ac:dyDescent="0.35">
      <c r="C44681" s="2"/>
    </row>
    <row r="44682" spans="3:3" x14ac:dyDescent="0.35">
      <c r="C44682" s="2"/>
    </row>
    <row r="44683" spans="3:3" x14ac:dyDescent="0.35">
      <c r="C44683" s="2"/>
    </row>
    <row r="44684" spans="3:3" x14ac:dyDescent="0.35">
      <c r="C44684" s="2"/>
    </row>
    <row r="44685" spans="3:3" x14ac:dyDescent="0.35">
      <c r="C44685" s="2"/>
    </row>
    <row r="44686" spans="3:3" x14ac:dyDescent="0.35">
      <c r="C44686" s="2"/>
    </row>
    <row r="44687" spans="3:3" x14ac:dyDescent="0.35">
      <c r="C44687" s="2"/>
    </row>
    <row r="44688" spans="3:3" x14ac:dyDescent="0.35">
      <c r="C44688" s="2"/>
    </row>
    <row r="44689" spans="3:3" x14ac:dyDescent="0.35">
      <c r="C44689" s="2"/>
    </row>
    <row r="44690" spans="3:3" x14ac:dyDescent="0.35">
      <c r="C44690" s="2"/>
    </row>
    <row r="44691" spans="3:3" x14ac:dyDescent="0.35">
      <c r="C44691" s="2"/>
    </row>
    <row r="44692" spans="3:3" x14ac:dyDescent="0.35">
      <c r="C44692" s="2"/>
    </row>
    <row r="44693" spans="3:3" x14ac:dyDescent="0.35">
      <c r="C44693" s="2"/>
    </row>
    <row r="44694" spans="3:3" x14ac:dyDescent="0.35">
      <c r="C44694" s="2"/>
    </row>
    <row r="44695" spans="3:3" x14ac:dyDescent="0.35">
      <c r="C44695" s="2"/>
    </row>
    <row r="44696" spans="3:3" x14ac:dyDescent="0.35">
      <c r="C44696" s="2"/>
    </row>
    <row r="44697" spans="3:3" x14ac:dyDescent="0.35">
      <c r="C44697" s="2"/>
    </row>
    <row r="44698" spans="3:3" x14ac:dyDescent="0.35">
      <c r="C44698" s="2"/>
    </row>
    <row r="44699" spans="3:3" x14ac:dyDescent="0.35">
      <c r="C44699" s="2"/>
    </row>
    <row r="44700" spans="3:3" x14ac:dyDescent="0.35">
      <c r="C44700" s="2"/>
    </row>
    <row r="44701" spans="3:3" x14ac:dyDescent="0.35">
      <c r="C44701" s="2"/>
    </row>
    <row r="44702" spans="3:3" x14ac:dyDescent="0.35">
      <c r="C44702" s="2"/>
    </row>
    <row r="44703" spans="3:3" x14ac:dyDescent="0.35">
      <c r="C44703" s="2"/>
    </row>
    <row r="44704" spans="3:3" x14ac:dyDescent="0.35">
      <c r="C44704" s="2"/>
    </row>
    <row r="44705" spans="3:3" x14ac:dyDescent="0.35">
      <c r="C44705" s="2"/>
    </row>
    <row r="44706" spans="3:3" x14ac:dyDescent="0.35">
      <c r="C44706" s="2"/>
    </row>
    <row r="44707" spans="3:3" x14ac:dyDescent="0.35">
      <c r="C44707" s="2"/>
    </row>
    <row r="44708" spans="3:3" x14ac:dyDescent="0.35">
      <c r="C44708" s="2"/>
    </row>
    <row r="44709" spans="3:3" x14ac:dyDescent="0.35">
      <c r="C44709" s="2"/>
    </row>
    <row r="44710" spans="3:3" x14ac:dyDescent="0.35">
      <c r="C44710" s="2"/>
    </row>
    <row r="44711" spans="3:3" x14ac:dyDescent="0.35">
      <c r="C44711" s="2"/>
    </row>
    <row r="44712" spans="3:3" x14ac:dyDescent="0.35">
      <c r="C44712" s="2"/>
    </row>
    <row r="44713" spans="3:3" x14ac:dyDescent="0.35">
      <c r="C44713" s="2"/>
    </row>
    <row r="44714" spans="3:3" x14ac:dyDescent="0.35">
      <c r="C44714" s="2"/>
    </row>
    <row r="44715" spans="3:3" x14ac:dyDescent="0.35">
      <c r="C44715" s="2"/>
    </row>
    <row r="44716" spans="3:3" x14ac:dyDescent="0.35">
      <c r="C44716" s="2"/>
    </row>
    <row r="44717" spans="3:3" x14ac:dyDescent="0.35">
      <c r="C44717" s="2"/>
    </row>
    <row r="44718" spans="3:3" x14ac:dyDescent="0.35">
      <c r="C44718" s="2"/>
    </row>
    <row r="44719" spans="3:3" x14ac:dyDescent="0.35">
      <c r="C44719" s="2"/>
    </row>
    <row r="44720" spans="3:3" x14ac:dyDescent="0.35">
      <c r="C44720" s="2"/>
    </row>
    <row r="44721" spans="3:3" x14ac:dyDescent="0.35">
      <c r="C44721" s="2"/>
    </row>
    <row r="44722" spans="3:3" x14ac:dyDescent="0.35">
      <c r="C44722" s="2"/>
    </row>
    <row r="44723" spans="3:3" x14ac:dyDescent="0.35">
      <c r="C44723" s="2"/>
    </row>
    <row r="44724" spans="3:3" x14ac:dyDescent="0.35">
      <c r="C44724" s="2"/>
    </row>
    <row r="44725" spans="3:3" x14ac:dyDescent="0.35">
      <c r="C44725" s="2"/>
    </row>
    <row r="44726" spans="3:3" x14ac:dyDescent="0.35">
      <c r="C44726" s="2"/>
    </row>
    <row r="44727" spans="3:3" x14ac:dyDescent="0.35">
      <c r="C44727" s="2"/>
    </row>
    <row r="44728" spans="3:3" x14ac:dyDescent="0.35">
      <c r="C44728" s="2"/>
    </row>
    <row r="44729" spans="3:3" x14ac:dyDescent="0.35">
      <c r="C44729" s="2"/>
    </row>
    <row r="44730" spans="3:3" x14ac:dyDescent="0.35">
      <c r="C44730" s="2"/>
    </row>
    <row r="44731" spans="3:3" x14ac:dyDescent="0.35">
      <c r="C44731" s="2"/>
    </row>
    <row r="44732" spans="3:3" x14ac:dyDescent="0.35">
      <c r="C44732" s="2"/>
    </row>
    <row r="44733" spans="3:3" x14ac:dyDescent="0.35">
      <c r="C44733" s="2"/>
    </row>
    <row r="44734" spans="3:3" x14ac:dyDescent="0.35">
      <c r="C44734" s="2"/>
    </row>
    <row r="44735" spans="3:3" x14ac:dyDescent="0.35">
      <c r="C44735" s="2"/>
    </row>
    <row r="44736" spans="3:3" x14ac:dyDescent="0.35">
      <c r="C44736" s="2"/>
    </row>
    <row r="44737" spans="3:3" x14ac:dyDescent="0.35">
      <c r="C44737" s="2"/>
    </row>
    <row r="44738" spans="3:3" x14ac:dyDescent="0.35">
      <c r="C44738" s="2"/>
    </row>
    <row r="44739" spans="3:3" x14ac:dyDescent="0.35">
      <c r="C44739" s="2"/>
    </row>
    <row r="44740" spans="3:3" x14ac:dyDescent="0.35">
      <c r="C44740" s="2"/>
    </row>
    <row r="44741" spans="3:3" x14ac:dyDescent="0.35">
      <c r="C44741" s="2"/>
    </row>
    <row r="44742" spans="3:3" x14ac:dyDescent="0.35">
      <c r="C44742" s="2"/>
    </row>
    <row r="44743" spans="3:3" x14ac:dyDescent="0.35">
      <c r="C44743" s="2"/>
    </row>
    <row r="44744" spans="3:3" x14ac:dyDescent="0.35">
      <c r="C44744" s="2"/>
    </row>
    <row r="44745" spans="3:3" x14ac:dyDescent="0.35">
      <c r="C44745" s="2"/>
    </row>
    <row r="44746" spans="3:3" x14ac:dyDescent="0.35">
      <c r="C44746" s="2"/>
    </row>
    <row r="44747" spans="3:3" x14ac:dyDescent="0.35">
      <c r="C44747" s="2"/>
    </row>
    <row r="44748" spans="3:3" x14ac:dyDescent="0.35">
      <c r="C44748" s="2"/>
    </row>
    <row r="44749" spans="3:3" x14ac:dyDescent="0.35">
      <c r="C44749" s="2"/>
    </row>
    <row r="44750" spans="3:3" x14ac:dyDescent="0.35">
      <c r="C44750" s="2"/>
    </row>
    <row r="44751" spans="3:3" x14ac:dyDescent="0.35">
      <c r="C44751" s="2"/>
    </row>
    <row r="44752" spans="3:3" x14ac:dyDescent="0.35">
      <c r="C44752" s="2"/>
    </row>
    <row r="44753" spans="3:3" x14ac:dyDescent="0.35">
      <c r="C44753" s="2"/>
    </row>
    <row r="44754" spans="3:3" x14ac:dyDescent="0.35">
      <c r="C44754" s="2"/>
    </row>
    <row r="44755" spans="3:3" x14ac:dyDescent="0.35">
      <c r="C44755" s="2"/>
    </row>
    <row r="44756" spans="3:3" x14ac:dyDescent="0.35">
      <c r="C44756" s="2"/>
    </row>
    <row r="44757" spans="3:3" x14ac:dyDescent="0.35">
      <c r="C44757" s="2"/>
    </row>
    <row r="44758" spans="3:3" x14ac:dyDescent="0.35">
      <c r="C44758" s="2"/>
    </row>
    <row r="44759" spans="3:3" x14ac:dyDescent="0.35">
      <c r="C44759" s="2"/>
    </row>
    <row r="44760" spans="3:3" x14ac:dyDescent="0.35">
      <c r="C44760" s="2"/>
    </row>
    <row r="44761" spans="3:3" x14ac:dyDescent="0.35">
      <c r="C44761" s="2"/>
    </row>
    <row r="44762" spans="3:3" x14ac:dyDescent="0.35">
      <c r="C44762" s="2"/>
    </row>
    <row r="44763" spans="3:3" x14ac:dyDescent="0.35">
      <c r="C44763" s="2"/>
    </row>
    <row r="44764" spans="3:3" x14ac:dyDescent="0.35">
      <c r="C44764" s="2"/>
    </row>
    <row r="44765" spans="3:3" x14ac:dyDescent="0.35">
      <c r="C44765" s="2"/>
    </row>
    <row r="44766" spans="3:3" x14ac:dyDescent="0.35">
      <c r="C44766" s="2"/>
    </row>
    <row r="44767" spans="3:3" x14ac:dyDescent="0.35">
      <c r="C44767" s="2"/>
    </row>
    <row r="44768" spans="3:3" x14ac:dyDescent="0.35">
      <c r="C44768" s="2"/>
    </row>
    <row r="44769" spans="3:3" x14ac:dyDescent="0.35">
      <c r="C44769" s="2"/>
    </row>
    <row r="44770" spans="3:3" x14ac:dyDescent="0.35">
      <c r="C44770" s="2"/>
    </row>
    <row r="44771" spans="3:3" x14ac:dyDescent="0.35">
      <c r="C44771" s="2"/>
    </row>
    <row r="44772" spans="3:3" x14ac:dyDescent="0.35">
      <c r="C44772" s="2"/>
    </row>
    <row r="44773" spans="3:3" x14ac:dyDescent="0.35">
      <c r="C44773" s="2"/>
    </row>
    <row r="44774" spans="3:3" x14ac:dyDescent="0.35">
      <c r="C44774" s="2"/>
    </row>
    <row r="44775" spans="3:3" x14ac:dyDescent="0.35">
      <c r="C44775" s="2"/>
    </row>
    <row r="44776" spans="3:3" x14ac:dyDescent="0.35">
      <c r="C44776" s="2"/>
    </row>
    <row r="44777" spans="3:3" x14ac:dyDescent="0.35">
      <c r="C44777" s="2"/>
    </row>
    <row r="44778" spans="3:3" x14ac:dyDescent="0.35">
      <c r="C44778" s="2"/>
    </row>
    <row r="44779" spans="3:3" x14ac:dyDescent="0.35">
      <c r="C44779" s="2"/>
    </row>
    <row r="44780" spans="3:3" x14ac:dyDescent="0.35">
      <c r="C44780" s="2"/>
    </row>
    <row r="44781" spans="3:3" x14ac:dyDescent="0.35">
      <c r="C44781" s="2"/>
    </row>
    <row r="44782" spans="3:3" x14ac:dyDescent="0.35">
      <c r="C44782" s="2"/>
    </row>
    <row r="44783" spans="3:3" x14ac:dyDescent="0.35">
      <c r="C44783" s="2"/>
    </row>
    <row r="44784" spans="3:3" x14ac:dyDescent="0.35">
      <c r="C44784" s="2"/>
    </row>
    <row r="44785" spans="3:3" x14ac:dyDescent="0.35">
      <c r="C44785" s="2"/>
    </row>
    <row r="44786" spans="3:3" x14ac:dyDescent="0.35">
      <c r="C44786" s="2"/>
    </row>
    <row r="44787" spans="3:3" x14ac:dyDescent="0.35">
      <c r="C44787" s="2"/>
    </row>
    <row r="44788" spans="3:3" x14ac:dyDescent="0.35">
      <c r="C44788" s="2"/>
    </row>
    <row r="44789" spans="3:3" x14ac:dyDescent="0.35">
      <c r="C44789" s="2"/>
    </row>
    <row r="44790" spans="3:3" x14ac:dyDescent="0.35">
      <c r="C44790" s="2"/>
    </row>
    <row r="44791" spans="3:3" x14ac:dyDescent="0.35">
      <c r="C44791" s="2"/>
    </row>
    <row r="44792" spans="3:3" x14ac:dyDescent="0.35">
      <c r="C44792" s="2"/>
    </row>
    <row r="44793" spans="3:3" x14ac:dyDescent="0.35">
      <c r="C44793" s="2"/>
    </row>
    <row r="44794" spans="3:3" x14ac:dyDescent="0.35">
      <c r="C44794" s="2"/>
    </row>
    <row r="44795" spans="3:3" x14ac:dyDescent="0.35">
      <c r="C44795" s="2"/>
    </row>
    <row r="44796" spans="3:3" x14ac:dyDescent="0.35">
      <c r="C44796" s="2"/>
    </row>
    <row r="44797" spans="3:3" x14ac:dyDescent="0.35">
      <c r="C44797" s="2"/>
    </row>
    <row r="44798" spans="3:3" x14ac:dyDescent="0.35">
      <c r="C44798" s="2"/>
    </row>
    <row r="44799" spans="3:3" x14ac:dyDescent="0.35">
      <c r="C44799" s="2"/>
    </row>
    <row r="44800" spans="3:3" x14ac:dyDescent="0.35">
      <c r="C44800" s="2"/>
    </row>
    <row r="44801" spans="3:3" x14ac:dyDescent="0.35">
      <c r="C44801" s="2"/>
    </row>
    <row r="44802" spans="3:3" x14ac:dyDescent="0.35">
      <c r="C44802" s="2"/>
    </row>
    <row r="44803" spans="3:3" x14ac:dyDescent="0.35">
      <c r="C44803" s="2"/>
    </row>
    <row r="44804" spans="3:3" x14ac:dyDescent="0.35">
      <c r="C44804" s="2"/>
    </row>
    <row r="44805" spans="3:3" x14ac:dyDescent="0.35">
      <c r="C44805" s="2"/>
    </row>
    <row r="44806" spans="3:3" x14ac:dyDescent="0.35">
      <c r="C44806" s="2"/>
    </row>
    <row r="44807" spans="3:3" x14ac:dyDescent="0.35">
      <c r="C44807" s="2"/>
    </row>
    <row r="44808" spans="3:3" x14ac:dyDescent="0.35">
      <c r="C44808" s="2"/>
    </row>
    <row r="44809" spans="3:3" x14ac:dyDescent="0.35">
      <c r="C44809" s="2"/>
    </row>
    <row r="44810" spans="3:3" x14ac:dyDescent="0.35">
      <c r="C44810" s="2"/>
    </row>
    <row r="44811" spans="3:3" x14ac:dyDescent="0.35">
      <c r="C44811" s="2"/>
    </row>
    <row r="44812" spans="3:3" x14ac:dyDescent="0.35">
      <c r="C44812" s="2"/>
    </row>
    <row r="44813" spans="3:3" x14ac:dyDescent="0.35">
      <c r="C44813" s="2"/>
    </row>
    <row r="44814" spans="3:3" x14ac:dyDescent="0.35">
      <c r="C44814" s="2"/>
    </row>
    <row r="44815" spans="3:3" x14ac:dyDescent="0.35">
      <c r="C44815" s="2"/>
    </row>
    <row r="44816" spans="3:3" x14ac:dyDescent="0.35">
      <c r="C44816" s="2"/>
    </row>
    <row r="44817" spans="3:3" x14ac:dyDescent="0.35">
      <c r="C44817" s="2"/>
    </row>
    <row r="44818" spans="3:3" x14ac:dyDescent="0.35">
      <c r="C44818" s="2"/>
    </row>
    <row r="44819" spans="3:3" x14ac:dyDescent="0.35">
      <c r="C44819" s="2"/>
    </row>
    <row r="44820" spans="3:3" x14ac:dyDescent="0.35">
      <c r="C44820" s="2"/>
    </row>
    <row r="44821" spans="3:3" x14ac:dyDescent="0.35">
      <c r="C44821" s="2"/>
    </row>
    <row r="44822" spans="3:3" x14ac:dyDescent="0.35">
      <c r="C44822" s="2"/>
    </row>
    <row r="44823" spans="3:3" x14ac:dyDescent="0.35">
      <c r="C44823" s="2"/>
    </row>
    <row r="44824" spans="3:3" x14ac:dyDescent="0.35">
      <c r="C44824" s="2"/>
    </row>
    <row r="44825" spans="3:3" x14ac:dyDescent="0.35">
      <c r="C44825" s="2"/>
    </row>
    <row r="44826" spans="3:3" x14ac:dyDescent="0.35">
      <c r="C44826" s="2"/>
    </row>
    <row r="44827" spans="3:3" x14ac:dyDescent="0.35">
      <c r="C44827" s="2"/>
    </row>
    <row r="44828" spans="3:3" x14ac:dyDescent="0.35">
      <c r="C44828" s="2"/>
    </row>
    <row r="44829" spans="3:3" x14ac:dyDescent="0.35">
      <c r="C44829" s="2"/>
    </row>
    <row r="44830" spans="3:3" x14ac:dyDescent="0.35">
      <c r="C44830" s="2"/>
    </row>
    <row r="44831" spans="3:3" x14ac:dyDescent="0.35">
      <c r="C44831" s="2"/>
    </row>
    <row r="44832" spans="3:3" x14ac:dyDescent="0.35">
      <c r="C44832" s="2"/>
    </row>
    <row r="44833" spans="3:3" x14ac:dyDescent="0.35">
      <c r="C44833" s="2"/>
    </row>
    <row r="44834" spans="3:3" x14ac:dyDescent="0.35">
      <c r="C44834" s="2"/>
    </row>
    <row r="44835" spans="3:3" x14ac:dyDescent="0.35">
      <c r="C44835" s="2"/>
    </row>
    <row r="44836" spans="3:3" x14ac:dyDescent="0.35">
      <c r="C44836" s="2"/>
    </row>
    <row r="44837" spans="3:3" x14ac:dyDescent="0.35">
      <c r="C44837" s="2"/>
    </row>
    <row r="44838" spans="3:3" x14ac:dyDescent="0.35">
      <c r="C44838" s="2"/>
    </row>
    <row r="44839" spans="3:3" x14ac:dyDescent="0.35">
      <c r="C44839" s="2"/>
    </row>
    <row r="44840" spans="3:3" x14ac:dyDescent="0.35">
      <c r="C44840" s="2"/>
    </row>
    <row r="44841" spans="3:3" x14ac:dyDescent="0.35">
      <c r="C44841" s="2"/>
    </row>
    <row r="44842" spans="3:3" x14ac:dyDescent="0.35">
      <c r="C44842" s="2"/>
    </row>
    <row r="44843" spans="3:3" x14ac:dyDescent="0.35">
      <c r="C44843" s="2"/>
    </row>
    <row r="44844" spans="3:3" x14ac:dyDescent="0.35">
      <c r="C44844" s="2"/>
    </row>
    <row r="44845" spans="3:3" x14ac:dyDescent="0.35">
      <c r="C44845" s="2"/>
    </row>
    <row r="44846" spans="3:3" x14ac:dyDescent="0.35">
      <c r="C44846" s="2"/>
    </row>
    <row r="44847" spans="3:3" x14ac:dyDescent="0.35">
      <c r="C44847" s="2"/>
    </row>
    <row r="44848" spans="3:3" x14ac:dyDescent="0.35">
      <c r="C44848" s="2"/>
    </row>
    <row r="44849" spans="3:3" x14ac:dyDescent="0.35">
      <c r="C44849" s="2"/>
    </row>
    <row r="44850" spans="3:3" x14ac:dyDescent="0.35">
      <c r="C44850" s="2"/>
    </row>
    <row r="44851" spans="3:3" x14ac:dyDescent="0.35">
      <c r="C44851" s="2"/>
    </row>
    <row r="44852" spans="3:3" x14ac:dyDescent="0.35">
      <c r="C44852" s="2"/>
    </row>
    <row r="44853" spans="3:3" x14ac:dyDescent="0.35">
      <c r="C44853" s="2"/>
    </row>
    <row r="44854" spans="3:3" x14ac:dyDescent="0.35">
      <c r="C44854" s="2"/>
    </row>
    <row r="44855" spans="3:3" x14ac:dyDescent="0.35">
      <c r="C44855" s="2"/>
    </row>
    <row r="44856" spans="3:3" x14ac:dyDescent="0.35">
      <c r="C44856" s="2"/>
    </row>
    <row r="44857" spans="3:3" x14ac:dyDescent="0.35">
      <c r="C44857" s="2"/>
    </row>
    <row r="44858" spans="3:3" x14ac:dyDescent="0.35">
      <c r="C44858" s="2"/>
    </row>
    <row r="44859" spans="3:3" x14ac:dyDescent="0.35">
      <c r="C44859" s="2"/>
    </row>
    <row r="44860" spans="3:3" x14ac:dyDescent="0.35">
      <c r="C44860" s="2"/>
    </row>
    <row r="44861" spans="3:3" x14ac:dyDescent="0.35">
      <c r="C44861" s="2"/>
    </row>
    <row r="44862" spans="3:3" x14ac:dyDescent="0.35">
      <c r="C44862" s="2"/>
    </row>
    <row r="44863" spans="3:3" x14ac:dyDescent="0.35">
      <c r="C44863" s="2"/>
    </row>
    <row r="44864" spans="3:3" x14ac:dyDescent="0.35">
      <c r="C44864" s="2"/>
    </row>
    <row r="44865" spans="3:3" x14ac:dyDescent="0.35">
      <c r="C44865" s="2"/>
    </row>
    <row r="44866" spans="3:3" x14ac:dyDescent="0.35">
      <c r="C44866" s="2"/>
    </row>
    <row r="44867" spans="3:3" x14ac:dyDescent="0.35">
      <c r="C44867" s="2"/>
    </row>
    <row r="44868" spans="3:3" x14ac:dyDescent="0.35">
      <c r="C44868" s="2"/>
    </row>
    <row r="44869" spans="3:3" x14ac:dyDescent="0.35">
      <c r="C44869" s="2"/>
    </row>
    <row r="44870" spans="3:3" x14ac:dyDescent="0.35">
      <c r="C44870" s="2"/>
    </row>
    <row r="44871" spans="3:3" x14ac:dyDescent="0.35">
      <c r="C44871" s="2"/>
    </row>
    <row r="44872" spans="3:3" x14ac:dyDescent="0.35">
      <c r="C44872" s="2"/>
    </row>
    <row r="44873" spans="3:3" x14ac:dyDescent="0.35">
      <c r="C44873" s="2"/>
    </row>
    <row r="44874" spans="3:3" x14ac:dyDescent="0.35">
      <c r="C44874" s="2"/>
    </row>
    <row r="44875" spans="3:3" x14ac:dyDescent="0.35">
      <c r="C44875" s="2"/>
    </row>
    <row r="44876" spans="3:3" x14ac:dyDescent="0.35">
      <c r="C44876" s="2"/>
    </row>
    <row r="44877" spans="3:3" x14ac:dyDescent="0.35">
      <c r="C44877" s="2"/>
    </row>
    <row r="44878" spans="3:3" x14ac:dyDescent="0.35">
      <c r="C44878" s="2"/>
    </row>
    <row r="44879" spans="3:3" x14ac:dyDescent="0.35">
      <c r="C44879" s="2"/>
    </row>
    <row r="44880" spans="3:3" x14ac:dyDescent="0.35">
      <c r="C44880" s="2"/>
    </row>
    <row r="44881" spans="3:3" x14ac:dyDescent="0.35">
      <c r="C44881" s="2"/>
    </row>
    <row r="44882" spans="3:3" x14ac:dyDescent="0.35">
      <c r="C44882" s="2"/>
    </row>
    <row r="44883" spans="3:3" x14ac:dyDescent="0.35">
      <c r="C44883" s="2"/>
    </row>
    <row r="44884" spans="3:3" x14ac:dyDescent="0.35">
      <c r="C44884" s="2"/>
    </row>
    <row r="44885" spans="3:3" x14ac:dyDescent="0.35">
      <c r="C44885" s="2"/>
    </row>
    <row r="44886" spans="3:3" x14ac:dyDescent="0.35">
      <c r="C44886" s="2"/>
    </row>
    <row r="44887" spans="3:3" x14ac:dyDescent="0.35">
      <c r="C44887" s="2"/>
    </row>
    <row r="44888" spans="3:3" x14ac:dyDescent="0.35">
      <c r="C44888" s="2"/>
    </row>
    <row r="44889" spans="3:3" x14ac:dyDescent="0.35">
      <c r="C44889" s="2"/>
    </row>
    <row r="44890" spans="3:3" x14ac:dyDescent="0.35">
      <c r="C44890" s="2"/>
    </row>
    <row r="44891" spans="3:3" x14ac:dyDescent="0.35">
      <c r="C44891" s="2"/>
    </row>
    <row r="44892" spans="3:3" x14ac:dyDescent="0.35">
      <c r="C44892" s="2"/>
    </row>
    <row r="44893" spans="3:3" x14ac:dyDescent="0.35">
      <c r="C44893" s="2"/>
    </row>
    <row r="44894" spans="3:3" x14ac:dyDescent="0.35">
      <c r="C44894" s="2"/>
    </row>
    <row r="44895" spans="3:3" x14ac:dyDescent="0.35">
      <c r="C44895" s="2"/>
    </row>
    <row r="44896" spans="3:3" x14ac:dyDescent="0.35">
      <c r="C44896" s="2"/>
    </row>
    <row r="44897" spans="3:3" x14ac:dyDescent="0.35">
      <c r="C44897" s="2"/>
    </row>
    <row r="44898" spans="3:3" x14ac:dyDescent="0.35">
      <c r="C44898" s="2"/>
    </row>
    <row r="44899" spans="3:3" x14ac:dyDescent="0.35">
      <c r="C44899" s="2"/>
    </row>
    <row r="44900" spans="3:3" x14ac:dyDescent="0.35">
      <c r="C44900" s="2"/>
    </row>
    <row r="44901" spans="3:3" x14ac:dyDescent="0.35">
      <c r="C44901" s="2"/>
    </row>
    <row r="44902" spans="3:3" x14ac:dyDescent="0.35">
      <c r="C44902" s="2"/>
    </row>
    <row r="44903" spans="3:3" x14ac:dyDescent="0.35">
      <c r="C44903" s="2"/>
    </row>
    <row r="44904" spans="3:3" x14ac:dyDescent="0.35">
      <c r="C44904" s="2"/>
    </row>
    <row r="44905" spans="3:3" x14ac:dyDescent="0.35">
      <c r="C44905" s="2"/>
    </row>
    <row r="44906" spans="3:3" x14ac:dyDescent="0.35">
      <c r="C44906" s="2"/>
    </row>
    <row r="44907" spans="3:3" x14ac:dyDescent="0.35">
      <c r="C44907" s="2"/>
    </row>
    <row r="44908" spans="3:3" x14ac:dyDescent="0.35">
      <c r="C44908" s="2"/>
    </row>
    <row r="44909" spans="3:3" x14ac:dyDescent="0.35">
      <c r="C44909" s="2"/>
    </row>
    <row r="44910" spans="3:3" x14ac:dyDescent="0.35">
      <c r="C44910" s="2"/>
    </row>
    <row r="44911" spans="3:3" x14ac:dyDescent="0.35">
      <c r="C44911" s="2"/>
    </row>
    <row r="44912" spans="3:3" x14ac:dyDescent="0.35">
      <c r="C44912" s="2"/>
    </row>
    <row r="44913" spans="3:3" x14ac:dyDescent="0.35">
      <c r="C44913" s="2"/>
    </row>
    <row r="44914" spans="3:3" x14ac:dyDescent="0.35">
      <c r="C44914" s="2"/>
    </row>
    <row r="44915" spans="3:3" x14ac:dyDescent="0.35">
      <c r="C44915" s="2"/>
    </row>
    <row r="44916" spans="3:3" x14ac:dyDescent="0.35">
      <c r="C44916" s="2"/>
    </row>
    <row r="44917" spans="3:3" x14ac:dyDescent="0.35">
      <c r="C44917" s="2"/>
    </row>
    <row r="44918" spans="3:3" x14ac:dyDescent="0.35">
      <c r="C44918" s="2"/>
    </row>
    <row r="44919" spans="3:3" x14ac:dyDescent="0.35">
      <c r="C44919" s="2"/>
    </row>
    <row r="44920" spans="3:3" x14ac:dyDescent="0.35">
      <c r="C44920" s="2"/>
    </row>
    <row r="44921" spans="3:3" x14ac:dyDescent="0.35">
      <c r="C44921" s="2"/>
    </row>
    <row r="44922" spans="3:3" x14ac:dyDescent="0.35">
      <c r="C44922" s="2"/>
    </row>
    <row r="44923" spans="3:3" x14ac:dyDescent="0.35">
      <c r="C44923" s="2"/>
    </row>
    <row r="44924" spans="3:3" x14ac:dyDescent="0.35">
      <c r="C44924" s="2"/>
    </row>
    <row r="44925" spans="3:3" x14ac:dyDescent="0.35">
      <c r="C44925" s="2"/>
    </row>
    <row r="44926" spans="3:3" x14ac:dyDescent="0.35">
      <c r="C44926" s="2"/>
    </row>
    <row r="44927" spans="3:3" x14ac:dyDescent="0.35">
      <c r="C44927" s="2"/>
    </row>
    <row r="44928" spans="3:3" x14ac:dyDescent="0.35">
      <c r="C44928" s="2"/>
    </row>
    <row r="44929" spans="3:3" x14ac:dyDescent="0.35">
      <c r="C44929" s="2"/>
    </row>
    <row r="44930" spans="3:3" x14ac:dyDescent="0.35">
      <c r="C44930" s="2"/>
    </row>
    <row r="44931" spans="3:3" x14ac:dyDescent="0.35">
      <c r="C44931" s="2"/>
    </row>
    <row r="44932" spans="3:3" x14ac:dyDescent="0.35">
      <c r="C44932" s="2"/>
    </row>
    <row r="44933" spans="3:3" x14ac:dyDescent="0.35">
      <c r="C44933" s="2"/>
    </row>
    <row r="44934" spans="3:3" x14ac:dyDescent="0.35">
      <c r="C44934" s="2"/>
    </row>
    <row r="44935" spans="3:3" x14ac:dyDescent="0.35">
      <c r="C44935" s="2"/>
    </row>
    <row r="44936" spans="3:3" x14ac:dyDescent="0.35">
      <c r="C44936" s="2"/>
    </row>
    <row r="44937" spans="3:3" x14ac:dyDescent="0.35">
      <c r="C44937" s="2"/>
    </row>
    <row r="44938" spans="3:3" x14ac:dyDescent="0.35">
      <c r="C44938" s="2"/>
    </row>
    <row r="44939" spans="3:3" x14ac:dyDescent="0.35">
      <c r="C44939" s="2"/>
    </row>
    <row r="44940" spans="3:3" x14ac:dyDescent="0.35">
      <c r="C44940" s="2"/>
    </row>
    <row r="44941" spans="3:3" x14ac:dyDescent="0.35">
      <c r="C44941" s="2"/>
    </row>
    <row r="44942" spans="3:3" x14ac:dyDescent="0.35">
      <c r="C44942" s="2"/>
    </row>
    <row r="44943" spans="3:3" x14ac:dyDescent="0.35">
      <c r="C44943" s="2"/>
    </row>
    <row r="44944" spans="3:3" x14ac:dyDescent="0.35">
      <c r="C44944" s="2"/>
    </row>
    <row r="44945" spans="3:3" x14ac:dyDescent="0.35">
      <c r="C44945" s="2"/>
    </row>
    <row r="44946" spans="3:3" x14ac:dyDescent="0.35">
      <c r="C44946" s="2"/>
    </row>
    <row r="44947" spans="3:3" x14ac:dyDescent="0.35">
      <c r="C44947" s="2"/>
    </row>
    <row r="44948" spans="3:3" x14ac:dyDescent="0.35">
      <c r="C44948" s="2"/>
    </row>
    <row r="44949" spans="3:3" x14ac:dyDescent="0.35">
      <c r="C44949" s="2"/>
    </row>
    <row r="44950" spans="3:3" x14ac:dyDescent="0.35">
      <c r="C44950" s="2"/>
    </row>
    <row r="44951" spans="3:3" x14ac:dyDescent="0.35">
      <c r="C44951" s="2"/>
    </row>
    <row r="44952" spans="3:3" x14ac:dyDescent="0.35">
      <c r="C44952" s="2"/>
    </row>
    <row r="44953" spans="3:3" x14ac:dyDescent="0.35">
      <c r="C44953" s="2"/>
    </row>
    <row r="44954" spans="3:3" x14ac:dyDescent="0.35">
      <c r="C44954" s="2"/>
    </row>
    <row r="44955" spans="3:3" x14ac:dyDescent="0.35">
      <c r="C44955" s="2"/>
    </row>
    <row r="44956" spans="3:3" x14ac:dyDescent="0.35">
      <c r="C44956" s="2"/>
    </row>
    <row r="44957" spans="3:3" x14ac:dyDescent="0.35">
      <c r="C44957" s="2"/>
    </row>
    <row r="44958" spans="3:3" x14ac:dyDescent="0.35">
      <c r="C44958" s="2"/>
    </row>
    <row r="44959" spans="3:3" x14ac:dyDescent="0.35">
      <c r="C44959" s="2"/>
    </row>
    <row r="44960" spans="3:3" x14ac:dyDescent="0.35">
      <c r="C44960" s="2"/>
    </row>
    <row r="44961" spans="3:3" x14ac:dyDescent="0.35">
      <c r="C44961" s="2"/>
    </row>
    <row r="44962" spans="3:3" x14ac:dyDescent="0.35">
      <c r="C44962" s="2"/>
    </row>
    <row r="44963" spans="3:3" x14ac:dyDescent="0.35">
      <c r="C44963" s="2"/>
    </row>
    <row r="44964" spans="3:3" x14ac:dyDescent="0.35">
      <c r="C44964" s="2"/>
    </row>
    <row r="44965" spans="3:3" x14ac:dyDescent="0.35">
      <c r="C44965" s="2"/>
    </row>
    <row r="44966" spans="3:3" x14ac:dyDescent="0.35">
      <c r="C44966" s="2"/>
    </row>
    <row r="44967" spans="3:3" x14ac:dyDescent="0.35">
      <c r="C44967" s="2"/>
    </row>
    <row r="44968" spans="3:3" x14ac:dyDescent="0.35">
      <c r="C44968" s="2"/>
    </row>
    <row r="44969" spans="3:3" x14ac:dyDescent="0.35">
      <c r="C44969" s="2"/>
    </row>
    <row r="44970" spans="3:3" x14ac:dyDescent="0.35">
      <c r="C44970" s="2"/>
    </row>
    <row r="44971" spans="3:3" x14ac:dyDescent="0.35">
      <c r="C44971" s="2"/>
    </row>
    <row r="44972" spans="3:3" x14ac:dyDescent="0.35">
      <c r="C44972" s="2"/>
    </row>
    <row r="44973" spans="3:3" x14ac:dyDescent="0.35">
      <c r="C44973" s="2"/>
    </row>
    <row r="44974" spans="3:3" x14ac:dyDescent="0.35">
      <c r="C44974" s="2"/>
    </row>
    <row r="44975" spans="3:3" x14ac:dyDescent="0.35">
      <c r="C44975" s="2"/>
    </row>
    <row r="44976" spans="3:3" x14ac:dyDescent="0.35">
      <c r="C44976" s="2"/>
    </row>
    <row r="44977" spans="3:3" x14ac:dyDescent="0.35">
      <c r="C44977" s="2"/>
    </row>
    <row r="44978" spans="3:3" x14ac:dyDescent="0.35">
      <c r="C44978" s="2"/>
    </row>
    <row r="44979" spans="3:3" x14ac:dyDescent="0.35">
      <c r="C44979" s="2"/>
    </row>
    <row r="44980" spans="3:3" x14ac:dyDescent="0.35">
      <c r="C44980" s="2"/>
    </row>
    <row r="44981" spans="3:3" x14ac:dyDescent="0.35">
      <c r="C44981" s="2"/>
    </row>
    <row r="44982" spans="3:3" x14ac:dyDescent="0.35">
      <c r="C44982" s="2"/>
    </row>
    <row r="44983" spans="3:3" x14ac:dyDescent="0.35">
      <c r="C44983" s="2"/>
    </row>
    <row r="44984" spans="3:3" x14ac:dyDescent="0.35">
      <c r="C44984" s="2"/>
    </row>
    <row r="44985" spans="3:3" x14ac:dyDescent="0.35">
      <c r="C44985" s="2"/>
    </row>
    <row r="44986" spans="3:3" x14ac:dyDescent="0.35">
      <c r="C44986" s="2"/>
    </row>
    <row r="44987" spans="3:3" x14ac:dyDescent="0.35">
      <c r="C44987" s="2"/>
    </row>
    <row r="44988" spans="3:3" x14ac:dyDescent="0.35">
      <c r="C44988" s="2"/>
    </row>
    <row r="44989" spans="3:3" x14ac:dyDescent="0.35">
      <c r="C44989" s="2"/>
    </row>
    <row r="44990" spans="3:3" x14ac:dyDescent="0.35">
      <c r="C44990" s="2"/>
    </row>
    <row r="44991" spans="3:3" x14ac:dyDescent="0.35">
      <c r="C44991" s="2"/>
    </row>
    <row r="44992" spans="3:3" x14ac:dyDescent="0.35">
      <c r="C44992" s="2"/>
    </row>
    <row r="44993" spans="3:3" x14ac:dyDescent="0.35">
      <c r="C44993" s="2"/>
    </row>
    <row r="44994" spans="3:3" x14ac:dyDescent="0.35">
      <c r="C44994" s="2"/>
    </row>
    <row r="44995" spans="3:3" x14ac:dyDescent="0.35">
      <c r="C44995" s="2"/>
    </row>
    <row r="44996" spans="3:3" x14ac:dyDescent="0.35">
      <c r="C44996" s="2"/>
    </row>
    <row r="44997" spans="3:3" x14ac:dyDescent="0.35">
      <c r="C44997" s="2"/>
    </row>
    <row r="44998" spans="3:3" x14ac:dyDescent="0.35">
      <c r="C44998" s="2"/>
    </row>
    <row r="44999" spans="3:3" x14ac:dyDescent="0.35">
      <c r="C44999" s="2"/>
    </row>
    <row r="45000" spans="3:3" x14ac:dyDescent="0.35">
      <c r="C45000" s="2"/>
    </row>
    <row r="45001" spans="3:3" x14ac:dyDescent="0.35">
      <c r="C45001" s="2"/>
    </row>
    <row r="45002" spans="3:3" x14ac:dyDescent="0.35">
      <c r="C45002" s="2"/>
    </row>
    <row r="45003" spans="3:3" x14ac:dyDescent="0.35">
      <c r="C45003" s="2"/>
    </row>
    <row r="45004" spans="3:3" x14ac:dyDescent="0.35">
      <c r="C45004" s="2"/>
    </row>
    <row r="45005" spans="3:3" x14ac:dyDescent="0.35">
      <c r="C45005" s="2"/>
    </row>
    <row r="45006" spans="3:3" x14ac:dyDescent="0.35">
      <c r="C45006" s="2"/>
    </row>
    <row r="45007" spans="3:3" x14ac:dyDescent="0.35">
      <c r="C45007" s="2"/>
    </row>
    <row r="45008" spans="3:3" x14ac:dyDescent="0.35">
      <c r="C45008" s="2"/>
    </row>
    <row r="45009" spans="3:3" x14ac:dyDescent="0.35">
      <c r="C45009" s="2"/>
    </row>
    <row r="45010" spans="3:3" x14ac:dyDescent="0.35">
      <c r="C45010" s="2"/>
    </row>
    <row r="45011" spans="3:3" x14ac:dyDescent="0.35">
      <c r="C45011" s="2"/>
    </row>
    <row r="45012" spans="3:3" x14ac:dyDescent="0.35">
      <c r="C45012" s="2"/>
    </row>
    <row r="45013" spans="3:3" x14ac:dyDescent="0.35">
      <c r="C45013" s="2"/>
    </row>
    <row r="45014" spans="3:3" x14ac:dyDescent="0.35">
      <c r="C45014" s="2"/>
    </row>
    <row r="45015" spans="3:3" x14ac:dyDescent="0.35">
      <c r="C45015" s="2"/>
    </row>
    <row r="45016" spans="3:3" x14ac:dyDescent="0.35">
      <c r="C45016" s="2"/>
    </row>
    <row r="45017" spans="3:3" x14ac:dyDescent="0.35">
      <c r="C45017" s="2"/>
    </row>
    <row r="45018" spans="3:3" x14ac:dyDescent="0.35">
      <c r="C45018" s="2"/>
    </row>
    <row r="45019" spans="3:3" x14ac:dyDescent="0.35">
      <c r="C45019" s="2"/>
    </row>
    <row r="45020" spans="3:3" x14ac:dyDescent="0.35">
      <c r="C45020" s="2"/>
    </row>
    <row r="45021" spans="3:3" x14ac:dyDescent="0.35">
      <c r="C45021" s="2"/>
    </row>
    <row r="45022" spans="3:3" x14ac:dyDescent="0.35">
      <c r="C45022" s="2"/>
    </row>
    <row r="45023" spans="3:3" x14ac:dyDescent="0.35">
      <c r="C45023" s="2"/>
    </row>
    <row r="45024" spans="3:3" x14ac:dyDescent="0.35">
      <c r="C45024" s="2"/>
    </row>
    <row r="45025" spans="3:3" x14ac:dyDescent="0.35">
      <c r="C45025" s="2"/>
    </row>
    <row r="45026" spans="3:3" x14ac:dyDescent="0.35">
      <c r="C45026" s="2"/>
    </row>
    <row r="45027" spans="3:3" x14ac:dyDescent="0.35">
      <c r="C45027" s="2"/>
    </row>
    <row r="45028" spans="3:3" x14ac:dyDescent="0.35">
      <c r="C45028" s="2"/>
    </row>
    <row r="45029" spans="3:3" x14ac:dyDescent="0.35">
      <c r="C45029" s="2"/>
    </row>
    <row r="45030" spans="3:3" x14ac:dyDescent="0.35">
      <c r="C45030" s="2"/>
    </row>
    <row r="45031" spans="3:3" x14ac:dyDescent="0.35">
      <c r="C45031" s="2"/>
    </row>
    <row r="45032" spans="3:3" x14ac:dyDescent="0.35">
      <c r="C45032" s="2"/>
    </row>
    <row r="45033" spans="3:3" x14ac:dyDescent="0.35">
      <c r="C45033" s="2"/>
    </row>
    <row r="45034" spans="3:3" x14ac:dyDescent="0.35">
      <c r="C45034" s="2"/>
    </row>
    <row r="45035" spans="3:3" x14ac:dyDescent="0.35">
      <c r="C45035" s="2"/>
    </row>
    <row r="45036" spans="3:3" x14ac:dyDescent="0.35">
      <c r="C45036" s="2"/>
    </row>
    <row r="45037" spans="3:3" x14ac:dyDescent="0.35">
      <c r="C45037" s="2"/>
    </row>
    <row r="45038" spans="3:3" x14ac:dyDescent="0.35">
      <c r="C45038" s="2"/>
    </row>
    <row r="45039" spans="3:3" x14ac:dyDescent="0.35">
      <c r="C45039" s="2"/>
    </row>
    <row r="45040" spans="3:3" x14ac:dyDescent="0.35">
      <c r="C45040" s="2"/>
    </row>
    <row r="45041" spans="3:3" x14ac:dyDescent="0.35">
      <c r="C45041" s="2"/>
    </row>
    <row r="45042" spans="3:3" x14ac:dyDescent="0.35">
      <c r="C45042" s="2"/>
    </row>
    <row r="45043" spans="3:3" x14ac:dyDescent="0.35">
      <c r="C45043" s="2"/>
    </row>
    <row r="45044" spans="3:3" x14ac:dyDescent="0.35">
      <c r="C45044" s="2"/>
    </row>
    <row r="45045" spans="3:3" x14ac:dyDescent="0.35">
      <c r="C45045" s="2"/>
    </row>
    <row r="45046" spans="3:3" x14ac:dyDescent="0.35">
      <c r="C45046" s="2"/>
    </row>
    <row r="45047" spans="3:3" x14ac:dyDescent="0.35">
      <c r="C45047" s="2"/>
    </row>
    <row r="45048" spans="3:3" x14ac:dyDescent="0.35">
      <c r="C45048" s="2"/>
    </row>
    <row r="45049" spans="3:3" x14ac:dyDescent="0.35">
      <c r="C45049" s="2"/>
    </row>
    <row r="45050" spans="3:3" x14ac:dyDescent="0.35">
      <c r="C45050" s="2"/>
    </row>
    <row r="45051" spans="3:3" x14ac:dyDescent="0.35">
      <c r="C45051" s="2"/>
    </row>
    <row r="45052" spans="3:3" x14ac:dyDescent="0.35">
      <c r="C45052" s="2"/>
    </row>
    <row r="45053" spans="3:3" x14ac:dyDescent="0.35">
      <c r="C45053" s="2"/>
    </row>
    <row r="45054" spans="3:3" x14ac:dyDescent="0.35">
      <c r="C45054" s="2"/>
    </row>
    <row r="45055" spans="3:3" x14ac:dyDescent="0.35">
      <c r="C45055" s="2"/>
    </row>
    <row r="45056" spans="3:3" x14ac:dyDescent="0.35">
      <c r="C45056" s="2"/>
    </row>
    <row r="45057" spans="3:3" x14ac:dyDescent="0.35">
      <c r="C45057" s="2"/>
    </row>
    <row r="45058" spans="3:3" x14ac:dyDescent="0.35">
      <c r="C45058" s="2"/>
    </row>
    <row r="45059" spans="3:3" x14ac:dyDescent="0.35">
      <c r="C45059" s="2"/>
    </row>
    <row r="45060" spans="3:3" x14ac:dyDescent="0.35">
      <c r="C45060" s="2"/>
    </row>
    <row r="45061" spans="3:3" x14ac:dyDescent="0.35">
      <c r="C45061" s="2"/>
    </row>
    <row r="45062" spans="3:3" x14ac:dyDescent="0.35">
      <c r="C45062" s="2"/>
    </row>
    <row r="45063" spans="3:3" x14ac:dyDescent="0.35">
      <c r="C45063" s="2"/>
    </row>
    <row r="45064" spans="3:3" x14ac:dyDescent="0.35">
      <c r="C45064" s="2"/>
    </row>
    <row r="45065" spans="3:3" x14ac:dyDescent="0.35">
      <c r="C45065" s="2"/>
    </row>
    <row r="45066" spans="3:3" x14ac:dyDescent="0.35">
      <c r="C45066" s="2"/>
    </row>
    <row r="45067" spans="3:3" x14ac:dyDescent="0.35">
      <c r="C45067" s="2"/>
    </row>
    <row r="45068" spans="3:3" x14ac:dyDescent="0.35">
      <c r="C45068" s="2"/>
    </row>
    <row r="45069" spans="3:3" x14ac:dyDescent="0.35">
      <c r="C45069" s="2"/>
    </row>
    <row r="45070" spans="3:3" x14ac:dyDescent="0.35">
      <c r="C45070" s="2"/>
    </row>
    <row r="45071" spans="3:3" x14ac:dyDescent="0.35">
      <c r="C45071" s="2"/>
    </row>
    <row r="45072" spans="3:3" x14ac:dyDescent="0.35">
      <c r="C45072" s="2"/>
    </row>
    <row r="45073" spans="3:3" x14ac:dyDescent="0.35">
      <c r="C45073" s="2"/>
    </row>
    <row r="45074" spans="3:3" x14ac:dyDescent="0.35">
      <c r="C45074" s="2"/>
    </row>
    <row r="45075" spans="3:3" x14ac:dyDescent="0.35">
      <c r="C45075" s="2"/>
    </row>
    <row r="45076" spans="3:3" x14ac:dyDescent="0.35">
      <c r="C45076" s="2"/>
    </row>
    <row r="45077" spans="3:3" x14ac:dyDescent="0.35">
      <c r="C45077" s="2"/>
    </row>
    <row r="45078" spans="3:3" x14ac:dyDescent="0.35">
      <c r="C45078" s="2"/>
    </row>
    <row r="45079" spans="3:3" x14ac:dyDescent="0.35">
      <c r="C45079" s="2"/>
    </row>
    <row r="45080" spans="3:3" x14ac:dyDescent="0.35">
      <c r="C45080" s="2"/>
    </row>
    <row r="45081" spans="3:3" x14ac:dyDescent="0.35">
      <c r="C45081" s="2"/>
    </row>
    <row r="45082" spans="3:3" x14ac:dyDescent="0.35">
      <c r="C45082" s="2"/>
    </row>
    <row r="45083" spans="3:3" x14ac:dyDescent="0.35">
      <c r="C45083" s="2"/>
    </row>
    <row r="45084" spans="3:3" x14ac:dyDescent="0.35">
      <c r="C45084" s="2"/>
    </row>
    <row r="45085" spans="3:3" x14ac:dyDescent="0.35">
      <c r="C45085" s="2"/>
    </row>
    <row r="45086" spans="3:3" x14ac:dyDescent="0.35">
      <c r="C45086" s="2"/>
    </row>
    <row r="45087" spans="3:3" x14ac:dyDescent="0.35">
      <c r="C45087" s="2"/>
    </row>
    <row r="45088" spans="3:3" x14ac:dyDescent="0.35">
      <c r="C45088" s="2"/>
    </row>
    <row r="45089" spans="3:3" x14ac:dyDescent="0.35">
      <c r="C45089" s="2"/>
    </row>
    <row r="45090" spans="3:3" x14ac:dyDescent="0.35">
      <c r="C45090" s="2"/>
    </row>
    <row r="45091" spans="3:3" x14ac:dyDescent="0.35">
      <c r="C45091" s="2"/>
    </row>
    <row r="45092" spans="3:3" x14ac:dyDescent="0.35">
      <c r="C45092" s="2"/>
    </row>
    <row r="45093" spans="3:3" x14ac:dyDescent="0.35">
      <c r="C45093" s="2"/>
    </row>
    <row r="45094" spans="3:3" x14ac:dyDescent="0.35">
      <c r="C45094" s="2"/>
    </row>
    <row r="45095" spans="3:3" x14ac:dyDescent="0.35">
      <c r="C45095" s="2"/>
    </row>
    <row r="45096" spans="3:3" x14ac:dyDescent="0.35">
      <c r="C45096" s="2"/>
    </row>
    <row r="45097" spans="3:3" x14ac:dyDescent="0.35">
      <c r="C45097" s="2"/>
    </row>
    <row r="45098" spans="3:3" x14ac:dyDescent="0.35">
      <c r="C45098" s="2"/>
    </row>
    <row r="45099" spans="3:3" x14ac:dyDescent="0.35">
      <c r="C45099" s="2"/>
    </row>
    <row r="45100" spans="3:3" x14ac:dyDescent="0.35">
      <c r="C45100" s="2"/>
    </row>
    <row r="45101" spans="3:3" x14ac:dyDescent="0.35">
      <c r="C45101" s="2"/>
    </row>
    <row r="45102" spans="3:3" x14ac:dyDescent="0.35">
      <c r="C45102" s="2"/>
    </row>
    <row r="45103" spans="3:3" x14ac:dyDescent="0.35">
      <c r="C45103" s="2"/>
    </row>
    <row r="45104" spans="3:3" x14ac:dyDescent="0.35">
      <c r="C45104" s="2"/>
    </row>
    <row r="45105" spans="3:3" x14ac:dyDescent="0.35">
      <c r="C45105" s="2"/>
    </row>
    <row r="45106" spans="3:3" x14ac:dyDescent="0.35">
      <c r="C45106" s="2"/>
    </row>
    <row r="45107" spans="3:3" x14ac:dyDescent="0.35">
      <c r="C45107" s="2"/>
    </row>
    <row r="45108" spans="3:3" x14ac:dyDescent="0.35">
      <c r="C45108" s="2"/>
    </row>
    <row r="45109" spans="3:3" x14ac:dyDescent="0.35">
      <c r="C45109" s="2"/>
    </row>
    <row r="45110" spans="3:3" x14ac:dyDescent="0.35">
      <c r="C45110" s="2"/>
    </row>
    <row r="45111" spans="3:3" x14ac:dyDescent="0.35">
      <c r="C45111" s="2"/>
    </row>
    <row r="45112" spans="3:3" x14ac:dyDescent="0.35">
      <c r="C45112" s="2"/>
    </row>
    <row r="45113" spans="3:3" x14ac:dyDescent="0.35">
      <c r="C45113" s="2"/>
    </row>
    <row r="45114" spans="3:3" x14ac:dyDescent="0.35">
      <c r="C45114" s="2"/>
    </row>
    <row r="45115" spans="3:3" x14ac:dyDescent="0.35">
      <c r="C45115" s="2"/>
    </row>
    <row r="45116" spans="3:3" x14ac:dyDescent="0.35">
      <c r="C45116" s="2"/>
    </row>
    <row r="45117" spans="3:3" x14ac:dyDescent="0.35">
      <c r="C45117" s="2"/>
    </row>
    <row r="45118" spans="3:3" x14ac:dyDescent="0.35">
      <c r="C45118" s="2"/>
    </row>
    <row r="45119" spans="3:3" x14ac:dyDescent="0.35">
      <c r="C45119" s="2"/>
    </row>
    <row r="45120" spans="3:3" x14ac:dyDescent="0.35">
      <c r="C45120" s="2"/>
    </row>
    <row r="45121" spans="3:3" x14ac:dyDescent="0.35">
      <c r="C45121" s="2"/>
    </row>
    <row r="45122" spans="3:3" x14ac:dyDescent="0.35">
      <c r="C45122" s="2"/>
    </row>
    <row r="45123" spans="3:3" x14ac:dyDescent="0.35">
      <c r="C45123" s="2"/>
    </row>
    <row r="45124" spans="3:3" x14ac:dyDescent="0.35">
      <c r="C45124" s="2"/>
    </row>
    <row r="45125" spans="3:3" x14ac:dyDescent="0.35">
      <c r="C45125" s="2"/>
    </row>
    <row r="45126" spans="3:3" x14ac:dyDescent="0.35">
      <c r="C45126" s="2"/>
    </row>
    <row r="45127" spans="3:3" x14ac:dyDescent="0.35">
      <c r="C45127" s="2"/>
    </row>
    <row r="45128" spans="3:3" x14ac:dyDescent="0.35">
      <c r="C45128" s="2"/>
    </row>
    <row r="45129" spans="3:3" x14ac:dyDescent="0.35">
      <c r="C45129" s="2"/>
    </row>
    <row r="45130" spans="3:3" x14ac:dyDescent="0.35">
      <c r="C45130" s="2"/>
    </row>
    <row r="45131" spans="3:3" x14ac:dyDescent="0.35">
      <c r="C45131" s="2"/>
    </row>
    <row r="45132" spans="3:3" x14ac:dyDescent="0.35">
      <c r="C45132" s="2"/>
    </row>
    <row r="45133" spans="3:3" x14ac:dyDescent="0.35">
      <c r="C45133" s="2"/>
    </row>
    <row r="45134" spans="3:3" x14ac:dyDescent="0.35">
      <c r="C45134" s="2"/>
    </row>
    <row r="45135" spans="3:3" x14ac:dyDescent="0.35">
      <c r="C45135" s="2"/>
    </row>
    <row r="45136" spans="3:3" x14ac:dyDescent="0.35">
      <c r="C45136" s="2"/>
    </row>
    <row r="45137" spans="3:3" x14ac:dyDescent="0.35">
      <c r="C45137" s="2"/>
    </row>
    <row r="45138" spans="3:3" x14ac:dyDescent="0.35">
      <c r="C45138" s="2"/>
    </row>
    <row r="45139" spans="3:3" x14ac:dyDescent="0.35">
      <c r="C45139" s="2"/>
    </row>
    <row r="45140" spans="3:3" x14ac:dyDescent="0.35">
      <c r="C45140" s="2"/>
    </row>
    <row r="45141" spans="3:3" x14ac:dyDescent="0.35">
      <c r="C45141" s="2"/>
    </row>
    <row r="45142" spans="3:3" x14ac:dyDescent="0.35">
      <c r="C45142" s="2"/>
    </row>
    <row r="45143" spans="3:3" x14ac:dyDescent="0.35">
      <c r="C45143" s="2"/>
    </row>
    <row r="45144" spans="3:3" x14ac:dyDescent="0.35">
      <c r="C45144" s="2"/>
    </row>
    <row r="45145" spans="3:3" x14ac:dyDescent="0.35">
      <c r="C45145" s="2"/>
    </row>
    <row r="45146" spans="3:3" x14ac:dyDescent="0.35">
      <c r="C45146" s="2"/>
    </row>
    <row r="45147" spans="3:3" x14ac:dyDescent="0.35">
      <c r="C45147" s="2"/>
    </row>
    <row r="45148" spans="3:3" x14ac:dyDescent="0.35">
      <c r="C45148" s="2"/>
    </row>
    <row r="45149" spans="3:3" x14ac:dyDescent="0.35">
      <c r="C45149" s="2"/>
    </row>
    <row r="45150" spans="3:3" x14ac:dyDescent="0.35">
      <c r="C45150" s="2"/>
    </row>
    <row r="45151" spans="3:3" x14ac:dyDescent="0.35">
      <c r="C45151" s="2"/>
    </row>
    <row r="45152" spans="3:3" x14ac:dyDescent="0.35">
      <c r="C45152" s="2"/>
    </row>
    <row r="45153" spans="3:3" x14ac:dyDescent="0.35">
      <c r="C45153" s="2"/>
    </row>
    <row r="45154" spans="3:3" x14ac:dyDescent="0.35">
      <c r="C45154" s="2"/>
    </row>
    <row r="45155" spans="3:3" x14ac:dyDescent="0.35">
      <c r="C45155" s="2"/>
    </row>
    <row r="45156" spans="3:3" x14ac:dyDescent="0.35">
      <c r="C45156" s="2"/>
    </row>
    <row r="45157" spans="3:3" x14ac:dyDescent="0.35">
      <c r="C45157" s="2"/>
    </row>
    <row r="45158" spans="3:3" x14ac:dyDescent="0.35">
      <c r="C45158" s="2"/>
    </row>
    <row r="45159" spans="3:3" x14ac:dyDescent="0.35">
      <c r="C45159" s="2"/>
    </row>
    <row r="45160" spans="3:3" x14ac:dyDescent="0.35">
      <c r="C45160" s="2"/>
    </row>
    <row r="45161" spans="3:3" x14ac:dyDescent="0.35">
      <c r="C45161" s="2"/>
    </row>
    <row r="45162" spans="3:3" x14ac:dyDescent="0.35">
      <c r="C45162" s="2"/>
    </row>
    <row r="45163" spans="3:3" x14ac:dyDescent="0.35">
      <c r="C45163" s="2"/>
    </row>
    <row r="45164" spans="3:3" x14ac:dyDescent="0.35">
      <c r="C45164" s="2"/>
    </row>
    <row r="45165" spans="3:3" x14ac:dyDescent="0.35">
      <c r="C45165" s="2"/>
    </row>
    <row r="45166" spans="3:3" x14ac:dyDescent="0.35">
      <c r="C45166" s="2"/>
    </row>
    <row r="45167" spans="3:3" x14ac:dyDescent="0.35">
      <c r="C45167" s="2"/>
    </row>
    <row r="45168" spans="3:3" x14ac:dyDescent="0.35">
      <c r="C45168" s="2"/>
    </row>
    <row r="45169" spans="3:3" x14ac:dyDescent="0.35">
      <c r="C45169" s="2"/>
    </row>
    <row r="45170" spans="3:3" x14ac:dyDescent="0.35">
      <c r="C45170" s="2"/>
    </row>
    <row r="45171" spans="3:3" x14ac:dyDescent="0.35">
      <c r="C45171" s="2"/>
    </row>
    <row r="45172" spans="3:3" x14ac:dyDescent="0.35">
      <c r="C45172" s="2"/>
    </row>
    <row r="45173" spans="3:3" x14ac:dyDescent="0.35">
      <c r="C45173" s="2"/>
    </row>
    <row r="45174" spans="3:3" x14ac:dyDescent="0.35">
      <c r="C45174" s="2"/>
    </row>
    <row r="45175" spans="3:3" x14ac:dyDescent="0.35">
      <c r="C45175" s="2"/>
    </row>
    <row r="45176" spans="3:3" x14ac:dyDescent="0.35">
      <c r="C45176" s="2"/>
    </row>
    <row r="45177" spans="3:3" x14ac:dyDescent="0.35">
      <c r="C45177" s="2"/>
    </row>
    <row r="45178" spans="3:3" x14ac:dyDescent="0.35">
      <c r="C45178" s="2"/>
    </row>
    <row r="45179" spans="3:3" x14ac:dyDescent="0.35">
      <c r="C45179" s="2"/>
    </row>
    <row r="45180" spans="3:3" x14ac:dyDescent="0.35">
      <c r="C45180" s="2"/>
    </row>
    <row r="45181" spans="3:3" x14ac:dyDescent="0.35">
      <c r="C45181" s="2"/>
    </row>
    <row r="45182" spans="3:3" x14ac:dyDescent="0.35">
      <c r="C45182" s="2"/>
    </row>
    <row r="45183" spans="3:3" x14ac:dyDescent="0.35">
      <c r="C45183" s="2"/>
    </row>
    <row r="45184" spans="3:3" x14ac:dyDescent="0.35">
      <c r="C45184" s="2"/>
    </row>
    <row r="45185" spans="3:3" x14ac:dyDescent="0.35">
      <c r="C45185" s="2"/>
    </row>
    <row r="45186" spans="3:3" x14ac:dyDescent="0.35">
      <c r="C45186" s="2"/>
    </row>
    <row r="45187" spans="3:3" x14ac:dyDescent="0.35">
      <c r="C45187" s="2"/>
    </row>
    <row r="45188" spans="3:3" x14ac:dyDescent="0.35">
      <c r="C45188" s="2"/>
    </row>
    <row r="45189" spans="3:3" x14ac:dyDescent="0.35">
      <c r="C45189" s="2"/>
    </row>
    <row r="45190" spans="3:3" x14ac:dyDescent="0.35">
      <c r="C45190" s="2"/>
    </row>
    <row r="45191" spans="3:3" x14ac:dyDescent="0.35">
      <c r="C45191" s="2"/>
    </row>
    <row r="45192" spans="3:3" x14ac:dyDescent="0.35">
      <c r="C45192" s="2"/>
    </row>
    <row r="45193" spans="3:3" x14ac:dyDescent="0.35">
      <c r="C45193" s="2"/>
    </row>
    <row r="45194" spans="3:3" x14ac:dyDescent="0.35">
      <c r="C45194" s="2"/>
    </row>
    <row r="45195" spans="3:3" x14ac:dyDescent="0.35">
      <c r="C45195" s="2"/>
    </row>
    <row r="45196" spans="3:3" x14ac:dyDescent="0.35">
      <c r="C45196" s="2"/>
    </row>
    <row r="45197" spans="3:3" x14ac:dyDescent="0.35">
      <c r="C45197" s="2"/>
    </row>
    <row r="45198" spans="3:3" x14ac:dyDescent="0.35">
      <c r="C45198" s="2"/>
    </row>
    <row r="45199" spans="3:3" x14ac:dyDescent="0.35">
      <c r="C45199" s="2"/>
    </row>
    <row r="45200" spans="3:3" x14ac:dyDescent="0.35">
      <c r="C45200" s="2"/>
    </row>
    <row r="45201" spans="3:3" x14ac:dyDescent="0.35">
      <c r="C45201" s="2"/>
    </row>
    <row r="45202" spans="3:3" x14ac:dyDescent="0.35">
      <c r="C45202" s="2"/>
    </row>
    <row r="45203" spans="3:3" x14ac:dyDescent="0.35">
      <c r="C45203" s="2"/>
    </row>
    <row r="45204" spans="3:3" x14ac:dyDescent="0.35">
      <c r="C45204" s="2"/>
    </row>
    <row r="45205" spans="3:3" x14ac:dyDescent="0.35">
      <c r="C45205" s="2"/>
    </row>
    <row r="45206" spans="3:3" x14ac:dyDescent="0.35">
      <c r="C45206" s="2"/>
    </row>
    <row r="45207" spans="3:3" x14ac:dyDescent="0.35">
      <c r="C45207" s="2"/>
    </row>
    <row r="45208" spans="3:3" x14ac:dyDescent="0.35">
      <c r="C45208" s="2"/>
    </row>
    <row r="45209" spans="3:3" x14ac:dyDescent="0.35">
      <c r="C45209" s="2"/>
    </row>
    <row r="45210" spans="3:3" x14ac:dyDescent="0.35">
      <c r="C45210" s="2"/>
    </row>
    <row r="45211" spans="3:3" x14ac:dyDescent="0.35">
      <c r="C45211" s="2"/>
    </row>
    <row r="45212" spans="3:3" x14ac:dyDescent="0.35">
      <c r="C45212" s="2"/>
    </row>
    <row r="45213" spans="3:3" x14ac:dyDescent="0.35">
      <c r="C45213" s="2"/>
    </row>
    <row r="45214" spans="3:3" x14ac:dyDescent="0.35">
      <c r="C45214" s="2"/>
    </row>
    <row r="45215" spans="3:3" x14ac:dyDescent="0.35">
      <c r="C45215" s="2"/>
    </row>
    <row r="45216" spans="3:3" x14ac:dyDescent="0.35">
      <c r="C45216" s="2"/>
    </row>
    <row r="45217" spans="3:3" x14ac:dyDescent="0.35">
      <c r="C45217" s="2"/>
    </row>
    <row r="45218" spans="3:3" x14ac:dyDescent="0.35">
      <c r="C45218" s="2"/>
    </row>
    <row r="45219" spans="3:3" x14ac:dyDescent="0.35">
      <c r="C45219" s="2"/>
    </row>
    <row r="45220" spans="3:3" x14ac:dyDescent="0.35">
      <c r="C45220" s="2"/>
    </row>
    <row r="45221" spans="3:3" x14ac:dyDescent="0.35">
      <c r="C45221" s="2"/>
    </row>
    <row r="45222" spans="3:3" x14ac:dyDescent="0.35">
      <c r="C45222" s="2"/>
    </row>
    <row r="45223" spans="3:3" x14ac:dyDescent="0.35">
      <c r="C45223" s="2"/>
    </row>
    <row r="45224" spans="3:3" x14ac:dyDescent="0.35">
      <c r="C45224" s="2"/>
    </row>
    <row r="45225" spans="3:3" x14ac:dyDescent="0.35">
      <c r="C45225" s="2"/>
    </row>
    <row r="45226" spans="3:3" x14ac:dyDescent="0.35">
      <c r="C45226" s="2"/>
    </row>
    <row r="45227" spans="3:3" x14ac:dyDescent="0.35">
      <c r="C45227" s="2"/>
    </row>
    <row r="45228" spans="3:3" x14ac:dyDescent="0.35">
      <c r="C45228" s="2"/>
    </row>
    <row r="45229" spans="3:3" x14ac:dyDescent="0.35">
      <c r="C45229" s="2"/>
    </row>
    <row r="45230" spans="3:3" x14ac:dyDescent="0.35">
      <c r="C45230" s="2"/>
    </row>
    <row r="45231" spans="3:3" x14ac:dyDescent="0.35">
      <c r="C45231" s="2"/>
    </row>
    <row r="45232" spans="3:3" x14ac:dyDescent="0.35">
      <c r="C45232" s="2"/>
    </row>
    <row r="45233" spans="3:3" x14ac:dyDescent="0.35">
      <c r="C45233" s="2"/>
    </row>
    <row r="45234" spans="3:3" x14ac:dyDescent="0.35">
      <c r="C45234" s="2"/>
    </row>
    <row r="45235" spans="3:3" x14ac:dyDescent="0.35">
      <c r="C45235" s="2"/>
    </row>
    <row r="45236" spans="3:3" x14ac:dyDescent="0.35">
      <c r="C45236" s="2"/>
    </row>
    <row r="45237" spans="3:3" x14ac:dyDescent="0.35">
      <c r="C45237" s="2"/>
    </row>
    <row r="45238" spans="3:3" x14ac:dyDescent="0.35">
      <c r="C45238" s="2"/>
    </row>
    <row r="45239" spans="3:3" x14ac:dyDescent="0.35">
      <c r="C45239" s="2"/>
    </row>
    <row r="45240" spans="3:3" x14ac:dyDescent="0.35">
      <c r="C45240" s="2"/>
    </row>
    <row r="45241" spans="3:3" x14ac:dyDescent="0.35">
      <c r="C45241" s="2"/>
    </row>
    <row r="45242" spans="3:3" x14ac:dyDescent="0.35">
      <c r="C45242" s="2"/>
    </row>
    <row r="45243" spans="3:3" x14ac:dyDescent="0.35">
      <c r="C45243" s="2"/>
    </row>
    <row r="45244" spans="3:3" x14ac:dyDescent="0.35">
      <c r="C45244" s="2"/>
    </row>
    <row r="45245" spans="3:3" x14ac:dyDescent="0.35">
      <c r="C45245" s="2"/>
    </row>
    <row r="45246" spans="3:3" x14ac:dyDescent="0.35">
      <c r="C45246" s="2"/>
    </row>
    <row r="45247" spans="3:3" x14ac:dyDescent="0.35">
      <c r="C45247" s="2"/>
    </row>
    <row r="45248" spans="3:3" x14ac:dyDescent="0.35">
      <c r="C45248" s="2"/>
    </row>
    <row r="45249" spans="3:3" x14ac:dyDescent="0.35">
      <c r="C45249" s="2"/>
    </row>
    <row r="45250" spans="3:3" x14ac:dyDescent="0.35">
      <c r="C45250" s="2"/>
    </row>
    <row r="45251" spans="3:3" x14ac:dyDescent="0.35">
      <c r="C45251" s="2"/>
    </row>
    <row r="45252" spans="3:3" x14ac:dyDescent="0.35">
      <c r="C45252" s="2"/>
    </row>
    <row r="45253" spans="3:3" x14ac:dyDescent="0.35">
      <c r="C45253" s="2"/>
    </row>
    <row r="45254" spans="3:3" x14ac:dyDescent="0.35">
      <c r="C45254" s="2"/>
    </row>
    <row r="45255" spans="3:3" x14ac:dyDescent="0.35">
      <c r="C45255" s="2"/>
    </row>
    <row r="45256" spans="3:3" x14ac:dyDescent="0.35">
      <c r="C45256" s="2"/>
    </row>
    <row r="45257" spans="3:3" x14ac:dyDescent="0.35">
      <c r="C45257" s="2"/>
    </row>
    <row r="45258" spans="3:3" x14ac:dyDescent="0.35">
      <c r="C45258" s="2"/>
    </row>
    <row r="45259" spans="3:3" x14ac:dyDescent="0.35">
      <c r="C45259" s="2"/>
    </row>
    <row r="45260" spans="3:3" x14ac:dyDescent="0.35">
      <c r="C45260" s="2"/>
    </row>
    <row r="45261" spans="3:3" x14ac:dyDescent="0.35">
      <c r="C45261" s="2"/>
    </row>
    <row r="45262" spans="3:3" x14ac:dyDescent="0.35">
      <c r="C45262" s="2"/>
    </row>
    <row r="45263" spans="3:3" x14ac:dyDescent="0.35">
      <c r="C45263" s="2"/>
    </row>
    <row r="45264" spans="3:3" x14ac:dyDescent="0.35">
      <c r="C45264" s="2"/>
    </row>
    <row r="45265" spans="3:3" x14ac:dyDescent="0.35">
      <c r="C45265" s="2"/>
    </row>
    <row r="45266" spans="3:3" x14ac:dyDescent="0.35">
      <c r="C45266" s="2"/>
    </row>
    <row r="45267" spans="3:3" x14ac:dyDescent="0.35">
      <c r="C45267" s="2"/>
    </row>
    <row r="45268" spans="3:3" x14ac:dyDescent="0.35">
      <c r="C45268" s="2"/>
    </row>
    <row r="45269" spans="3:3" x14ac:dyDescent="0.35">
      <c r="C45269" s="2"/>
    </row>
    <row r="45270" spans="3:3" x14ac:dyDescent="0.35">
      <c r="C45270" s="2"/>
    </row>
    <row r="45271" spans="3:3" x14ac:dyDescent="0.35">
      <c r="C45271" s="2"/>
    </row>
    <row r="45272" spans="3:3" x14ac:dyDescent="0.35">
      <c r="C45272" s="2"/>
    </row>
    <row r="45273" spans="3:3" x14ac:dyDescent="0.35">
      <c r="C45273" s="2"/>
    </row>
    <row r="45274" spans="3:3" x14ac:dyDescent="0.35">
      <c r="C45274" s="2"/>
    </row>
    <row r="45275" spans="3:3" x14ac:dyDescent="0.35">
      <c r="C45275" s="2"/>
    </row>
    <row r="45276" spans="3:3" x14ac:dyDescent="0.35">
      <c r="C45276" s="2"/>
    </row>
    <row r="45277" spans="3:3" x14ac:dyDescent="0.35">
      <c r="C45277" s="2"/>
    </row>
    <row r="45278" spans="3:3" x14ac:dyDescent="0.35">
      <c r="C45278" s="2"/>
    </row>
    <row r="45279" spans="3:3" x14ac:dyDescent="0.35">
      <c r="C45279" s="2"/>
    </row>
    <row r="45280" spans="3:3" x14ac:dyDescent="0.35">
      <c r="C45280" s="2"/>
    </row>
    <row r="45281" spans="3:3" x14ac:dyDescent="0.35">
      <c r="C45281" s="2"/>
    </row>
    <row r="45282" spans="3:3" x14ac:dyDescent="0.35">
      <c r="C45282" s="2"/>
    </row>
    <row r="45283" spans="3:3" x14ac:dyDescent="0.35">
      <c r="C45283" s="2"/>
    </row>
    <row r="45284" spans="3:3" x14ac:dyDescent="0.35">
      <c r="C45284" s="2"/>
    </row>
    <row r="45285" spans="3:3" x14ac:dyDescent="0.35">
      <c r="C45285" s="2"/>
    </row>
    <row r="45286" spans="3:3" x14ac:dyDescent="0.35">
      <c r="C45286" s="2"/>
    </row>
    <row r="45287" spans="3:3" x14ac:dyDescent="0.35">
      <c r="C45287" s="2"/>
    </row>
    <row r="45288" spans="3:3" x14ac:dyDescent="0.35">
      <c r="C45288" s="2"/>
    </row>
    <row r="45289" spans="3:3" x14ac:dyDescent="0.35">
      <c r="C45289" s="2"/>
    </row>
    <row r="45290" spans="3:3" x14ac:dyDescent="0.35">
      <c r="C45290" s="2"/>
    </row>
    <row r="45291" spans="3:3" x14ac:dyDescent="0.35">
      <c r="C45291" s="2"/>
    </row>
    <row r="45292" spans="3:3" x14ac:dyDescent="0.35">
      <c r="C45292" s="2"/>
    </row>
    <row r="45293" spans="3:3" x14ac:dyDescent="0.35">
      <c r="C45293" s="2"/>
    </row>
    <row r="45294" spans="3:3" x14ac:dyDescent="0.35">
      <c r="C45294" s="2"/>
    </row>
    <row r="45295" spans="3:3" x14ac:dyDescent="0.35">
      <c r="C45295" s="2"/>
    </row>
    <row r="45296" spans="3:3" x14ac:dyDescent="0.35">
      <c r="C45296" s="2"/>
    </row>
    <row r="45297" spans="3:3" x14ac:dyDescent="0.35">
      <c r="C45297" s="2"/>
    </row>
    <row r="45298" spans="3:3" x14ac:dyDescent="0.35">
      <c r="C45298" s="2"/>
    </row>
    <row r="45299" spans="3:3" x14ac:dyDescent="0.35">
      <c r="C45299" s="2"/>
    </row>
    <row r="45300" spans="3:3" x14ac:dyDescent="0.35">
      <c r="C45300" s="2"/>
    </row>
    <row r="45301" spans="3:3" x14ac:dyDescent="0.35">
      <c r="C45301" s="2"/>
    </row>
    <row r="45302" spans="3:3" x14ac:dyDescent="0.35">
      <c r="C45302" s="2"/>
    </row>
    <row r="45303" spans="3:3" x14ac:dyDescent="0.35">
      <c r="C45303" s="2"/>
    </row>
    <row r="45304" spans="3:3" x14ac:dyDescent="0.35">
      <c r="C45304" s="2"/>
    </row>
    <row r="45305" spans="3:3" x14ac:dyDescent="0.35">
      <c r="C45305" s="2"/>
    </row>
    <row r="45306" spans="3:3" x14ac:dyDescent="0.35">
      <c r="C45306" s="2"/>
    </row>
    <row r="45307" spans="3:3" x14ac:dyDescent="0.35">
      <c r="C45307" s="2"/>
    </row>
    <row r="45308" spans="3:3" x14ac:dyDescent="0.35">
      <c r="C45308" s="2"/>
    </row>
    <row r="45309" spans="3:3" x14ac:dyDescent="0.35">
      <c r="C45309" s="2"/>
    </row>
    <row r="45310" spans="3:3" x14ac:dyDescent="0.35">
      <c r="C45310" s="2"/>
    </row>
    <row r="45311" spans="3:3" x14ac:dyDescent="0.35">
      <c r="C45311" s="2"/>
    </row>
    <row r="45312" spans="3:3" x14ac:dyDescent="0.35">
      <c r="C45312" s="2"/>
    </row>
    <row r="45313" spans="3:3" x14ac:dyDescent="0.35">
      <c r="C45313" s="2"/>
    </row>
    <row r="45314" spans="3:3" x14ac:dyDescent="0.35">
      <c r="C45314" s="2"/>
    </row>
    <row r="45315" spans="3:3" x14ac:dyDescent="0.35">
      <c r="C45315" s="2"/>
    </row>
    <row r="45316" spans="3:3" x14ac:dyDescent="0.35">
      <c r="C45316" s="2"/>
    </row>
    <row r="45317" spans="3:3" x14ac:dyDescent="0.35">
      <c r="C45317" s="2"/>
    </row>
    <row r="45318" spans="3:3" x14ac:dyDescent="0.35">
      <c r="C45318" s="2"/>
    </row>
    <row r="45319" spans="3:3" x14ac:dyDescent="0.35">
      <c r="C45319" s="2"/>
    </row>
    <row r="45320" spans="3:3" x14ac:dyDescent="0.35">
      <c r="C45320" s="2"/>
    </row>
    <row r="45321" spans="3:3" x14ac:dyDescent="0.35">
      <c r="C45321" s="2"/>
    </row>
    <row r="45322" spans="3:3" x14ac:dyDescent="0.35">
      <c r="C45322" s="2"/>
    </row>
    <row r="45323" spans="3:3" x14ac:dyDescent="0.35">
      <c r="C45323" s="2"/>
    </row>
    <row r="45324" spans="3:3" x14ac:dyDescent="0.35">
      <c r="C45324" s="2"/>
    </row>
    <row r="45325" spans="3:3" x14ac:dyDescent="0.35">
      <c r="C45325" s="2"/>
    </row>
    <row r="45326" spans="3:3" x14ac:dyDescent="0.35">
      <c r="C45326" s="2"/>
    </row>
    <row r="45327" spans="3:3" x14ac:dyDescent="0.35">
      <c r="C45327" s="2"/>
    </row>
    <row r="45328" spans="3:3" x14ac:dyDescent="0.35">
      <c r="C45328" s="2"/>
    </row>
    <row r="45329" spans="3:3" x14ac:dyDescent="0.35">
      <c r="C45329" s="2"/>
    </row>
    <row r="45330" spans="3:3" x14ac:dyDescent="0.35">
      <c r="C45330" s="2"/>
    </row>
    <row r="45331" spans="3:3" x14ac:dyDescent="0.35">
      <c r="C45331" s="2"/>
    </row>
    <row r="45332" spans="3:3" x14ac:dyDescent="0.35">
      <c r="C45332" s="2"/>
    </row>
    <row r="45333" spans="3:3" x14ac:dyDescent="0.35">
      <c r="C45333" s="2"/>
    </row>
    <row r="45334" spans="3:3" x14ac:dyDescent="0.35">
      <c r="C45334" s="2"/>
    </row>
    <row r="45335" spans="3:3" x14ac:dyDescent="0.35">
      <c r="C45335" s="2"/>
    </row>
    <row r="45336" spans="3:3" x14ac:dyDescent="0.35">
      <c r="C45336" s="2"/>
    </row>
    <row r="45337" spans="3:3" x14ac:dyDescent="0.35">
      <c r="C45337" s="2"/>
    </row>
    <row r="45338" spans="3:3" x14ac:dyDescent="0.35">
      <c r="C45338" s="2"/>
    </row>
    <row r="45339" spans="3:3" x14ac:dyDescent="0.35">
      <c r="C45339" s="2"/>
    </row>
    <row r="45340" spans="3:3" x14ac:dyDescent="0.35">
      <c r="C45340" s="2"/>
    </row>
    <row r="45341" spans="3:3" x14ac:dyDescent="0.35">
      <c r="C45341" s="2"/>
    </row>
    <row r="45342" spans="3:3" x14ac:dyDescent="0.35">
      <c r="C45342" s="2"/>
    </row>
    <row r="45343" spans="3:3" x14ac:dyDescent="0.35">
      <c r="C45343" s="2"/>
    </row>
    <row r="45344" spans="3:3" x14ac:dyDescent="0.35">
      <c r="C45344" s="2"/>
    </row>
    <row r="45345" spans="3:3" x14ac:dyDescent="0.35">
      <c r="C45345" s="2"/>
    </row>
    <row r="45346" spans="3:3" x14ac:dyDescent="0.35">
      <c r="C45346" s="2"/>
    </row>
    <row r="45347" spans="3:3" x14ac:dyDescent="0.35">
      <c r="C45347" s="2"/>
    </row>
    <row r="45348" spans="3:3" x14ac:dyDescent="0.35">
      <c r="C45348" s="2"/>
    </row>
    <row r="45349" spans="3:3" x14ac:dyDescent="0.35">
      <c r="C45349" s="2"/>
    </row>
    <row r="45350" spans="3:3" x14ac:dyDescent="0.35">
      <c r="C45350" s="2"/>
    </row>
    <row r="45351" spans="3:3" x14ac:dyDescent="0.35">
      <c r="C45351" s="2"/>
    </row>
    <row r="45352" spans="3:3" x14ac:dyDescent="0.35">
      <c r="C45352" s="2"/>
    </row>
    <row r="45353" spans="3:3" x14ac:dyDescent="0.35">
      <c r="C45353" s="2"/>
    </row>
    <row r="45354" spans="3:3" x14ac:dyDescent="0.35">
      <c r="C45354" s="2"/>
    </row>
    <row r="45355" spans="3:3" x14ac:dyDescent="0.35">
      <c r="C45355" s="2"/>
    </row>
    <row r="45356" spans="3:3" x14ac:dyDescent="0.35">
      <c r="C45356" s="2"/>
    </row>
    <row r="45357" spans="3:3" x14ac:dyDescent="0.35">
      <c r="C45357" s="2"/>
    </row>
    <row r="45358" spans="3:3" x14ac:dyDescent="0.35">
      <c r="C45358" s="2"/>
    </row>
    <row r="45359" spans="3:3" x14ac:dyDescent="0.35">
      <c r="C45359" s="2"/>
    </row>
    <row r="45360" spans="3:3" x14ac:dyDescent="0.35">
      <c r="C45360" s="2"/>
    </row>
    <row r="45361" spans="3:3" x14ac:dyDescent="0.35">
      <c r="C45361" s="2"/>
    </row>
    <row r="45362" spans="3:3" x14ac:dyDescent="0.35">
      <c r="C45362" s="2"/>
    </row>
    <row r="45363" spans="3:3" x14ac:dyDescent="0.35">
      <c r="C45363" s="2"/>
    </row>
    <row r="45364" spans="3:3" x14ac:dyDescent="0.35">
      <c r="C45364" s="2"/>
    </row>
    <row r="45365" spans="3:3" x14ac:dyDescent="0.35">
      <c r="C45365" s="2"/>
    </row>
    <row r="45366" spans="3:3" x14ac:dyDescent="0.35">
      <c r="C45366" s="2"/>
    </row>
    <row r="45367" spans="3:3" x14ac:dyDescent="0.35">
      <c r="C45367" s="2"/>
    </row>
    <row r="45368" spans="3:3" x14ac:dyDescent="0.35">
      <c r="C45368" s="2"/>
    </row>
    <row r="45369" spans="3:3" x14ac:dyDescent="0.35">
      <c r="C45369" s="2"/>
    </row>
    <row r="45370" spans="3:3" x14ac:dyDescent="0.35">
      <c r="C45370" s="2"/>
    </row>
    <row r="45371" spans="3:3" x14ac:dyDescent="0.35">
      <c r="C45371" s="2"/>
    </row>
    <row r="45372" spans="3:3" x14ac:dyDescent="0.35">
      <c r="C45372" s="2"/>
    </row>
    <row r="45373" spans="3:3" x14ac:dyDescent="0.35">
      <c r="C45373" s="2"/>
    </row>
    <row r="45374" spans="3:3" x14ac:dyDescent="0.35">
      <c r="C45374" s="2"/>
    </row>
    <row r="45375" spans="3:3" x14ac:dyDescent="0.35">
      <c r="C45375" s="2"/>
    </row>
    <row r="45376" spans="3:3" x14ac:dyDescent="0.35">
      <c r="C45376" s="2"/>
    </row>
    <row r="45377" spans="3:3" x14ac:dyDescent="0.35">
      <c r="C45377" s="2"/>
    </row>
    <row r="45378" spans="3:3" x14ac:dyDescent="0.35">
      <c r="C45378" s="2"/>
    </row>
    <row r="45379" spans="3:3" x14ac:dyDescent="0.35">
      <c r="C45379" s="2"/>
    </row>
    <row r="45380" spans="3:3" x14ac:dyDescent="0.35">
      <c r="C45380" s="2"/>
    </row>
    <row r="45381" spans="3:3" x14ac:dyDescent="0.35">
      <c r="C45381" s="2"/>
    </row>
    <row r="45382" spans="3:3" x14ac:dyDescent="0.35">
      <c r="C45382" s="2"/>
    </row>
    <row r="45383" spans="3:3" x14ac:dyDescent="0.35">
      <c r="C45383" s="2"/>
    </row>
    <row r="45384" spans="3:3" x14ac:dyDescent="0.35">
      <c r="C45384" s="2"/>
    </row>
    <row r="45385" spans="3:3" x14ac:dyDescent="0.35">
      <c r="C45385" s="2"/>
    </row>
    <row r="45386" spans="3:3" x14ac:dyDescent="0.35">
      <c r="C45386" s="2"/>
    </row>
    <row r="45387" spans="3:3" x14ac:dyDescent="0.35">
      <c r="C45387" s="2"/>
    </row>
    <row r="45388" spans="3:3" x14ac:dyDescent="0.35">
      <c r="C45388" s="2"/>
    </row>
    <row r="45389" spans="3:3" x14ac:dyDescent="0.35">
      <c r="C45389" s="2"/>
    </row>
    <row r="45390" spans="3:3" x14ac:dyDescent="0.35">
      <c r="C45390" s="2"/>
    </row>
    <row r="45391" spans="3:3" x14ac:dyDescent="0.35">
      <c r="C45391" s="2"/>
    </row>
    <row r="45392" spans="3:3" x14ac:dyDescent="0.35">
      <c r="C45392" s="2"/>
    </row>
    <row r="45393" spans="3:3" x14ac:dyDescent="0.35">
      <c r="C45393" s="2"/>
    </row>
    <row r="45394" spans="3:3" x14ac:dyDescent="0.35">
      <c r="C45394" s="2"/>
    </row>
    <row r="45395" spans="3:3" x14ac:dyDescent="0.35">
      <c r="C45395" s="2"/>
    </row>
    <row r="45396" spans="3:3" x14ac:dyDescent="0.35">
      <c r="C45396" s="2"/>
    </row>
    <row r="45397" spans="3:3" x14ac:dyDescent="0.35">
      <c r="C45397" s="2"/>
    </row>
    <row r="45398" spans="3:3" x14ac:dyDescent="0.35">
      <c r="C45398" s="2"/>
    </row>
    <row r="45399" spans="3:3" x14ac:dyDescent="0.35">
      <c r="C45399" s="2"/>
    </row>
    <row r="45400" spans="3:3" x14ac:dyDescent="0.35">
      <c r="C45400" s="2"/>
    </row>
    <row r="45401" spans="3:3" x14ac:dyDescent="0.35">
      <c r="C45401" s="2"/>
    </row>
    <row r="45402" spans="3:3" x14ac:dyDescent="0.35">
      <c r="C45402" s="2"/>
    </row>
    <row r="45403" spans="3:3" x14ac:dyDescent="0.35">
      <c r="C45403" s="2"/>
    </row>
    <row r="45404" spans="3:3" x14ac:dyDescent="0.35">
      <c r="C45404" s="2"/>
    </row>
    <row r="45405" spans="3:3" x14ac:dyDescent="0.35">
      <c r="C45405" s="2"/>
    </row>
    <row r="45406" spans="3:3" x14ac:dyDescent="0.35">
      <c r="C45406" s="2"/>
    </row>
    <row r="45407" spans="3:3" x14ac:dyDescent="0.35">
      <c r="C45407" s="2"/>
    </row>
    <row r="45408" spans="3:3" x14ac:dyDescent="0.35">
      <c r="C45408" s="2"/>
    </row>
    <row r="45409" spans="3:3" x14ac:dyDescent="0.35">
      <c r="C45409" s="2"/>
    </row>
    <row r="45410" spans="3:3" x14ac:dyDescent="0.35">
      <c r="C45410" s="2"/>
    </row>
    <row r="45411" spans="3:3" x14ac:dyDescent="0.35">
      <c r="C45411" s="2"/>
    </row>
    <row r="45412" spans="3:3" x14ac:dyDescent="0.35">
      <c r="C45412" s="2"/>
    </row>
    <row r="45413" spans="3:3" x14ac:dyDescent="0.35">
      <c r="C45413" s="2"/>
    </row>
    <row r="45414" spans="3:3" x14ac:dyDescent="0.35">
      <c r="C45414" s="2"/>
    </row>
    <row r="45415" spans="3:3" x14ac:dyDescent="0.35">
      <c r="C45415" s="2"/>
    </row>
    <row r="45416" spans="3:3" x14ac:dyDescent="0.35">
      <c r="C45416" s="2"/>
    </row>
    <row r="45417" spans="3:3" x14ac:dyDescent="0.35">
      <c r="C45417" s="2"/>
    </row>
    <row r="45418" spans="3:3" x14ac:dyDescent="0.35">
      <c r="C45418" s="2"/>
    </row>
    <row r="45419" spans="3:3" x14ac:dyDescent="0.35">
      <c r="C45419" s="2"/>
    </row>
    <row r="45420" spans="3:3" x14ac:dyDescent="0.35">
      <c r="C45420" s="2"/>
    </row>
    <row r="45421" spans="3:3" x14ac:dyDescent="0.35">
      <c r="C45421" s="2"/>
    </row>
    <row r="45422" spans="3:3" x14ac:dyDescent="0.35">
      <c r="C45422" s="2"/>
    </row>
    <row r="45423" spans="3:3" x14ac:dyDescent="0.35">
      <c r="C45423" s="2"/>
    </row>
    <row r="45424" spans="3:3" x14ac:dyDescent="0.35">
      <c r="C45424" s="2"/>
    </row>
    <row r="45425" spans="3:3" x14ac:dyDescent="0.35">
      <c r="C45425" s="2"/>
    </row>
    <row r="45426" spans="3:3" x14ac:dyDescent="0.35">
      <c r="C45426" s="2"/>
    </row>
    <row r="45427" spans="3:3" x14ac:dyDescent="0.35">
      <c r="C45427" s="2"/>
    </row>
    <row r="45428" spans="3:3" x14ac:dyDescent="0.35">
      <c r="C45428" s="2"/>
    </row>
    <row r="45429" spans="3:3" x14ac:dyDescent="0.35">
      <c r="C45429" s="2"/>
    </row>
    <row r="45430" spans="3:3" x14ac:dyDescent="0.35">
      <c r="C45430" s="2"/>
    </row>
    <row r="45431" spans="3:3" x14ac:dyDescent="0.35">
      <c r="C45431" s="2"/>
    </row>
    <row r="45432" spans="3:3" x14ac:dyDescent="0.35">
      <c r="C45432" s="2"/>
    </row>
    <row r="45433" spans="3:3" x14ac:dyDescent="0.35">
      <c r="C45433" s="2"/>
    </row>
    <row r="45434" spans="3:3" x14ac:dyDescent="0.35">
      <c r="C45434" s="2"/>
    </row>
    <row r="45435" spans="3:3" x14ac:dyDescent="0.35">
      <c r="C45435" s="2"/>
    </row>
    <row r="45436" spans="3:3" x14ac:dyDescent="0.35">
      <c r="C45436" s="2"/>
    </row>
    <row r="45437" spans="3:3" x14ac:dyDescent="0.35">
      <c r="C45437" s="2"/>
    </row>
    <row r="45438" spans="3:3" x14ac:dyDescent="0.35">
      <c r="C45438" s="2"/>
    </row>
    <row r="45439" spans="3:3" x14ac:dyDescent="0.35">
      <c r="C45439" s="2"/>
    </row>
    <row r="45440" spans="3:3" x14ac:dyDescent="0.35">
      <c r="C45440" s="2"/>
    </row>
    <row r="45441" spans="3:3" x14ac:dyDescent="0.35">
      <c r="C45441" s="2"/>
    </row>
    <row r="45442" spans="3:3" x14ac:dyDescent="0.35">
      <c r="C45442" s="2"/>
    </row>
    <row r="45443" spans="3:3" x14ac:dyDescent="0.35">
      <c r="C45443" s="2"/>
    </row>
    <row r="45444" spans="3:3" x14ac:dyDescent="0.35">
      <c r="C45444" s="2"/>
    </row>
    <row r="45445" spans="3:3" x14ac:dyDescent="0.35">
      <c r="C45445" s="2"/>
    </row>
    <row r="45446" spans="3:3" x14ac:dyDescent="0.35">
      <c r="C45446" s="2"/>
    </row>
    <row r="45447" spans="3:3" x14ac:dyDescent="0.35">
      <c r="C45447" s="2"/>
    </row>
    <row r="45448" spans="3:3" x14ac:dyDescent="0.35">
      <c r="C45448" s="2"/>
    </row>
    <row r="45449" spans="3:3" x14ac:dyDescent="0.35">
      <c r="C45449" s="2"/>
    </row>
    <row r="45450" spans="3:3" x14ac:dyDescent="0.35">
      <c r="C45450" s="2"/>
    </row>
    <row r="45451" spans="3:3" x14ac:dyDescent="0.35">
      <c r="C45451" s="2"/>
    </row>
    <row r="45452" spans="3:3" x14ac:dyDescent="0.35">
      <c r="C45452" s="2"/>
    </row>
    <row r="45453" spans="3:3" x14ac:dyDescent="0.35">
      <c r="C45453" s="2"/>
    </row>
    <row r="45454" spans="3:3" x14ac:dyDescent="0.35">
      <c r="C45454" s="2"/>
    </row>
    <row r="45455" spans="3:3" x14ac:dyDescent="0.35">
      <c r="C45455" s="2"/>
    </row>
    <row r="45456" spans="3:3" x14ac:dyDescent="0.35">
      <c r="C45456" s="2"/>
    </row>
    <row r="45457" spans="3:3" x14ac:dyDescent="0.35">
      <c r="C45457" s="2"/>
    </row>
    <row r="45458" spans="3:3" x14ac:dyDescent="0.35">
      <c r="C45458" s="2"/>
    </row>
    <row r="45459" spans="3:3" x14ac:dyDescent="0.35">
      <c r="C45459" s="2"/>
    </row>
    <row r="45460" spans="3:3" x14ac:dyDescent="0.35">
      <c r="C45460" s="2"/>
    </row>
    <row r="45461" spans="3:3" x14ac:dyDescent="0.35">
      <c r="C45461" s="2"/>
    </row>
    <row r="45462" spans="3:3" x14ac:dyDescent="0.35">
      <c r="C45462" s="2"/>
    </row>
    <row r="45463" spans="3:3" x14ac:dyDescent="0.35">
      <c r="C45463" s="2"/>
    </row>
    <row r="45464" spans="3:3" x14ac:dyDescent="0.35">
      <c r="C45464" s="2"/>
    </row>
    <row r="45465" spans="3:3" x14ac:dyDescent="0.35">
      <c r="C45465" s="2"/>
    </row>
    <row r="45466" spans="3:3" x14ac:dyDescent="0.35">
      <c r="C45466" s="2"/>
    </row>
    <row r="45467" spans="3:3" x14ac:dyDescent="0.35">
      <c r="C45467" s="2"/>
    </row>
    <row r="45468" spans="3:3" x14ac:dyDescent="0.35">
      <c r="C45468" s="2"/>
    </row>
    <row r="45469" spans="3:3" x14ac:dyDescent="0.35">
      <c r="C45469" s="2"/>
    </row>
    <row r="45470" spans="3:3" x14ac:dyDescent="0.35">
      <c r="C45470" s="2"/>
    </row>
    <row r="45471" spans="3:3" x14ac:dyDescent="0.35">
      <c r="C45471" s="2"/>
    </row>
    <row r="45472" spans="3:3" x14ac:dyDescent="0.35">
      <c r="C45472" s="2"/>
    </row>
    <row r="45473" spans="3:3" x14ac:dyDescent="0.35">
      <c r="C45473" s="2"/>
    </row>
    <row r="45474" spans="3:3" x14ac:dyDescent="0.35">
      <c r="C45474" s="2"/>
    </row>
    <row r="45475" spans="3:3" x14ac:dyDescent="0.35">
      <c r="C45475" s="2"/>
    </row>
    <row r="45476" spans="3:3" x14ac:dyDescent="0.35">
      <c r="C45476" s="2"/>
    </row>
    <row r="45477" spans="3:3" x14ac:dyDescent="0.35">
      <c r="C45477" s="2"/>
    </row>
    <row r="45478" spans="3:3" x14ac:dyDescent="0.35">
      <c r="C45478" s="2"/>
    </row>
    <row r="45479" spans="3:3" x14ac:dyDescent="0.35">
      <c r="C45479" s="2"/>
    </row>
    <row r="45480" spans="3:3" x14ac:dyDescent="0.35">
      <c r="C45480" s="2"/>
    </row>
    <row r="45481" spans="3:3" x14ac:dyDescent="0.35">
      <c r="C45481" s="2"/>
    </row>
    <row r="45482" spans="3:3" x14ac:dyDescent="0.35">
      <c r="C45482" s="2"/>
    </row>
    <row r="45483" spans="3:3" x14ac:dyDescent="0.35">
      <c r="C45483" s="2"/>
    </row>
    <row r="45484" spans="3:3" x14ac:dyDescent="0.35">
      <c r="C45484" s="2"/>
    </row>
    <row r="45485" spans="3:3" x14ac:dyDescent="0.35">
      <c r="C45485" s="2"/>
    </row>
    <row r="45486" spans="3:3" x14ac:dyDescent="0.35">
      <c r="C45486" s="2"/>
    </row>
    <row r="45487" spans="3:3" x14ac:dyDescent="0.35">
      <c r="C45487" s="2"/>
    </row>
    <row r="45488" spans="3:3" x14ac:dyDescent="0.35">
      <c r="C45488" s="2"/>
    </row>
    <row r="45489" spans="3:3" x14ac:dyDescent="0.35">
      <c r="C45489" s="2"/>
    </row>
    <row r="45490" spans="3:3" x14ac:dyDescent="0.35">
      <c r="C45490" s="2"/>
    </row>
    <row r="45491" spans="3:3" x14ac:dyDescent="0.35">
      <c r="C45491" s="2"/>
    </row>
    <row r="45492" spans="3:3" x14ac:dyDescent="0.35">
      <c r="C45492" s="2"/>
    </row>
    <row r="45493" spans="3:3" x14ac:dyDescent="0.35">
      <c r="C45493" s="2"/>
    </row>
    <row r="45494" spans="3:3" x14ac:dyDescent="0.35">
      <c r="C45494" s="2"/>
    </row>
    <row r="45495" spans="3:3" x14ac:dyDescent="0.35">
      <c r="C45495" s="2"/>
    </row>
    <row r="45496" spans="3:3" x14ac:dyDescent="0.35">
      <c r="C45496" s="2"/>
    </row>
    <row r="45497" spans="3:3" x14ac:dyDescent="0.35">
      <c r="C45497" s="2"/>
    </row>
    <row r="45498" spans="3:3" x14ac:dyDescent="0.35">
      <c r="C45498" s="2"/>
    </row>
    <row r="45499" spans="3:3" x14ac:dyDescent="0.35">
      <c r="C45499" s="2"/>
    </row>
    <row r="45500" spans="3:3" x14ac:dyDescent="0.35">
      <c r="C45500" s="2"/>
    </row>
    <row r="45501" spans="3:3" x14ac:dyDescent="0.35">
      <c r="C45501" s="2"/>
    </row>
    <row r="45502" spans="3:3" x14ac:dyDescent="0.35">
      <c r="C45502" s="2"/>
    </row>
    <row r="45503" spans="3:3" x14ac:dyDescent="0.35">
      <c r="C45503" s="2"/>
    </row>
    <row r="45504" spans="3:3" x14ac:dyDescent="0.35">
      <c r="C45504" s="2"/>
    </row>
    <row r="45505" spans="3:3" x14ac:dyDescent="0.35">
      <c r="C45505" s="2"/>
    </row>
    <row r="45506" spans="3:3" x14ac:dyDescent="0.35">
      <c r="C45506" s="2"/>
    </row>
    <row r="45507" spans="3:3" x14ac:dyDescent="0.35">
      <c r="C45507" s="2"/>
    </row>
    <row r="45508" spans="3:3" x14ac:dyDescent="0.35">
      <c r="C45508" s="2"/>
    </row>
    <row r="45509" spans="3:3" x14ac:dyDescent="0.35">
      <c r="C45509" s="2"/>
    </row>
    <row r="45510" spans="3:3" x14ac:dyDescent="0.35">
      <c r="C45510" s="2"/>
    </row>
    <row r="45511" spans="3:3" x14ac:dyDescent="0.35">
      <c r="C45511" s="2"/>
    </row>
    <row r="45512" spans="3:3" x14ac:dyDescent="0.35">
      <c r="C45512" s="2"/>
    </row>
    <row r="45513" spans="3:3" x14ac:dyDescent="0.35">
      <c r="C45513" s="2"/>
    </row>
    <row r="45514" spans="3:3" x14ac:dyDescent="0.35">
      <c r="C45514" s="2"/>
    </row>
    <row r="45515" spans="3:3" x14ac:dyDescent="0.35">
      <c r="C45515" s="2"/>
    </row>
    <row r="45516" spans="3:3" x14ac:dyDescent="0.35">
      <c r="C45516" s="2"/>
    </row>
    <row r="45517" spans="3:3" x14ac:dyDescent="0.35">
      <c r="C45517" s="2"/>
    </row>
    <row r="45518" spans="3:3" x14ac:dyDescent="0.35">
      <c r="C45518" s="2"/>
    </row>
    <row r="45519" spans="3:3" x14ac:dyDescent="0.35">
      <c r="C45519" s="2"/>
    </row>
    <row r="45520" spans="3:3" x14ac:dyDescent="0.35">
      <c r="C45520" s="2"/>
    </row>
    <row r="45521" spans="3:3" x14ac:dyDescent="0.35">
      <c r="C45521" s="2"/>
    </row>
    <row r="45522" spans="3:3" x14ac:dyDescent="0.35">
      <c r="C45522" s="2"/>
    </row>
    <row r="45523" spans="3:3" x14ac:dyDescent="0.35">
      <c r="C45523" s="2"/>
    </row>
    <row r="45524" spans="3:3" x14ac:dyDescent="0.35">
      <c r="C45524" s="2"/>
    </row>
    <row r="45525" spans="3:3" x14ac:dyDescent="0.35">
      <c r="C45525" s="2"/>
    </row>
    <row r="45526" spans="3:3" x14ac:dyDescent="0.35">
      <c r="C45526" s="2"/>
    </row>
    <row r="45527" spans="3:3" x14ac:dyDescent="0.35">
      <c r="C45527" s="2"/>
    </row>
    <row r="45528" spans="3:3" x14ac:dyDescent="0.35">
      <c r="C45528" s="2"/>
    </row>
    <row r="45529" spans="3:3" x14ac:dyDescent="0.35">
      <c r="C45529" s="2"/>
    </row>
    <row r="45530" spans="3:3" x14ac:dyDescent="0.35">
      <c r="C45530" s="2"/>
    </row>
    <row r="45531" spans="3:3" x14ac:dyDescent="0.35">
      <c r="C45531" s="2"/>
    </row>
    <row r="45532" spans="3:3" x14ac:dyDescent="0.35">
      <c r="C45532" s="2"/>
    </row>
    <row r="45533" spans="3:3" x14ac:dyDescent="0.35">
      <c r="C45533" s="2"/>
    </row>
    <row r="45534" spans="3:3" x14ac:dyDescent="0.35">
      <c r="C45534" s="2"/>
    </row>
    <row r="45535" spans="3:3" x14ac:dyDescent="0.35">
      <c r="C45535" s="2"/>
    </row>
    <row r="45536" spans="3:3" x14ac:dyDescent="0.35">
      <c r="C45536" s="2"/>
    </row>
    <row r="45537" spans="3:3" x14ac:dyDescent="0.35">
      <c r="C45537" s="2"/>
    </row>
    <row r="45538" spans="3:3" x14ac:dyDescent="0.35">
      <c r="C45538" s="2"/>
    </row>
    <row r="45539" spans="3:3" x14ac:dyDescent="0.35">
      <c r="C45539" s="2"/>
    </row>
    <row r="45540" spans="3:3" x14ac:dyDescent="0.35">
      <c r="C45540" s="2"/>
    </row>
    <row r="45541" spans="3:3" x14ac:dyDescent="0.35">
      <c r="C45541" s="2"/>
    </row>
    <row r="45542" spans="3:3" x14ac:dyDescent="0.35">
      <c r="C45542" s="2"/>
    </row>
    <row r="45543" spans="3:3" x14ac:dyDescent="0.35">
      <c r="C45543" s="2"/>
    </row>
    <row r="45544" spans="3:3" x14ac:dyDescent="0.35">
      <c r="C45544" s="2"/>
    </row>
    <row r="45545" spans="3:3" x14ac:dyDescent="0.35">
      <c r="C45545" s="2"/>
    </row>
    <row r="45546" spans="3:3" x14ac:dyDescent="0.35">
      <c r="C45546" s="2"/>
    </row>
    <row r="45547" spans="3:3" x14ac:dyDescent="0.35">
      <c r="C45547" s="2"/>
    </row>
    <row r="45548" spans="3:3" x14ac:dyDescent="0.35">
      <c r="C45548" s="2"/>
    </row>
    <row r="45549" spans="3:3" x14ac:dyDescent="0.35">
      <c r="C45549" s="2"/>
    </row>
    <row r="45550" spans="3:3" x14ac:dyDescent="0.35">
      <c r="C45550" s="2"/>
    </row>
    <row r="45551" spans="3:3" x14ac:dyDescent="0.35">
      <c r="C45551" s="2"/>
    </row>
    <row r="45552" spans="3:3" x14ac:dyDescent="0.35">
      <c r="C45552" s="2"/>
    </row>
    <row r="45553" spans="3:3" x14ac:dyDescent="0.35">
      <c r="C45553" s="2"/>
    </row>
    <row r="45554" spans="3:3" x14ac:dyDescent="0.35">
      <c r="C45554" s="2"/>
    </row>
    <row r="45555" spans="3:3" x14ac:dyDescent="0.35">
      <c r="C45555" s="2"/>
    </row>
    <row r="45556" spans="3:3" x14ac:dyDescent="0.35">
      <c r="C45556" s="2"/>
    </row>
    <row r="45557" spans="3:3" x14ac:dyDescent="0.35">
      <c r="C45557" s="2"/>
    </row>
    <row r="45558" spans="3:3" x14ac:dyDescent="0.35">
      <c r="C45558" s="2"/>
    </row>
    <row r="45559" spans="3:3" x14ac:dyDescent="0.35">
      <c r="C45559" s="2"/>
    </row>
    <row r="45560" spans="3:3" x14ac:dyDescent="0.35">
      <c r="C45560" s="2"/>
    </row>
    <row r="45561" spans="3:3" x14ac:dyDescent="0.35">
      <c r="C45561" s="2"/>
    </row>
    <row r="45562" spans="3:3" x14ac:dyDescent="0.35">
      <c r="C45562" s="2"/>
    </row>
    <row r="45563" spans="3:3" x14ac:dyDescent="0.35">
      <c r="C45563" s="2"/>
    </row>
    <row r="45564" spans="3:3" x14ac:dyDescent="0.35">
      <c r="C45564" s="2"/>
    </row>
    <row r="45565" spans="3:3" x14ac:dyDescent="0.35">
      <c r="C45565" s="2"/>
    </row>
    <row r="45566" spans="3:3" x14ac:dyDescent="0.35">
      <c r="C45566" s="2"/>
    </row>
    <row r="45567" spans="3:3" x14ac:dyDescent="0.35">
      <c r="C45567" s="2"/>
    </row>
    <row r="45568" spans="3:3" x14ac:dyDescent="0.35">
      <c r="C45568" s="2"/>
    </row>
    <row r="45569" spans="3:3" x14ac:dyDescent="0.35">
      <c r="C45569" s="2"/>
    </row>
    <row r="45570" spans="3:3" x14ac:dyDescent="0.35">
      <c r="C45570" s="2"/>
    </row>
    <row r="45571" spans="3:3" x14ac:dyDescent="0.35">
      <c r="C45571" s="2"/>
    </row>
    <row r="45572" spans="3:3" x14ac:dyDescent="0.35">
      <c r="C45572" s="2"/>
    </row>
    <row r="45573" spans="3:3" x14ac:dyDescent="0.35">
      <c r="C45573" s="2"/>
    </row>
    <row r="45574" spans="3:3" x14ac:dyDescent="0.35">
      <c r="C45574" s="2"/>
    </row>
    <row r="45575" spans="3:3" x14ac:dyDescent="0.35">
      <c r="C45575" s="2"/>
    </row>
    <row r="45576" spans="3:3" x14ac:dyDescent="0.35">
      <c r="C45576" s="2"/>
    </row>
    <row r="45577" spans="3:3" x14ac:dyDescent="0.35">
      <c r="C45577" s="2"/>
    </row>
    <row r="45578" spans="3:3" x14ac:dyDescent="0.35">
      <c r="C45578" s="2"/>
    </row>
    <row r="45579" spans="3:3" x14ac:dyDescent="0.35">
      <c r="C45579" s="2"/>
    </row>
    <row r="45580" spans="3:3" x14ac:dyDescent="0.35">
      <c r="C45580" s="2"/>
    </row>
    <row r="45581" spans="3:3" x14ac:dyDescent="0.35">
      <c r="C45581" s="2"/>
    </row>
    <row r="45582" spans="3:3" x14ac:dyDescent="0.35">
      <c r="C45582" s="2"/>
    </row>
    <row r="45583" spans="3:3" x14ac:dyDescent="0.35">
      <c r="C45583" s="2"/>
    </row>
    <row r="45584" spans="3:3" x14ac:dyDescent="0.35">
      <c r="C45584" s="2"/>
    </row>
    <row r="45585" spans="3:3" x14ac:dyDescent="0.35">
      <c r="C45585" s="2"/>
    </row>
    <row r="45586" spans="3:3" x14ac:dyDescent="0.35">
      <c r="C45586" s="2"/>
    </row>
    <row r="45587" spans="3:3" x14ac:dyDescent="0.35">
      <c r="C45587" s="2"/>
    </row>
    <row r="45588" spans="3:3" x14ac:dyDescent="0.35">
      <c r="C45588" s="2"/>
    </row>
    <row r="45589" spans="3:3" x14ac:dyDescent="0.35">
      <c r="C45589" s="2"/>
    </row>
    <row r="45590" spans="3:3" x14ac:dyDescent="0.35">
      <c r="C45590" s="2"/>
    </row>
    <row r="45591" spans="3:3" x14ac:dyDescent="0.35">
      <c r="C45591" s="2"/>
    </row>
    <row r="45592" spans="3:3" x14ac:dyDescent="0.35">
      <c r="C45592" s="2"/>
    </row>
    <row r="45593" spans="3:3" x14ac:dyDescent="0.35">
      <c r="C45593" s="2"/>
    </row>
    <row r="45594" spans="3:3" x14ac:dyDescent="0.35">
      <c r="C45594" s="2"/>
    </row>
    <row r="45595" spans="3:3" x14ac:dyDescent="0.35">
      <c r="C45595" s="2"/>
    </row>
    <row r="45596" spans="3:3" x14ac:dyDescent="0.35">
      <c r="C45596" s="2"/>
    </row>
    <row r="45597" spans="3:3" x14ac:dyDescent="0.35">
      <c r="C45597" s="2"/>
    </row>
    <row r="45598" spans="3:3" x14ac:dyDescent="0.35">
      <c r="C45598" s="2"/>
    </row>
    <row r="45599" spans="3:3" x14ac:dyDescent="0.35">
      <c r="C45599" s="2"/>
    </row>
    <row r="45600" spans="3:3" x14ac:dyDescent="0.35">
      <c r="C45600" s="2"/>
    </row>
    <row r="45601" spans="3:3" x14ac:dyDescent="0.35">
      <c r="C45601" s="2"/>
    </row>
    <row r="45602" spans="3:3" x14ac:dyDescent="0.35">
      <c r="C45602" s="2"/>
    </row>
    <row r="45603" spans="3:3" x14ac:dyDescent="0.35">
      <c r="C45603" s="2"/>
    </row>
    <row r="45604" spans="3:3" x14ac:dyDescent="0.35">
      <c r="C45604" s="2"/>
    </row>
    <row r="45605" spans="3:3" x14ac:dyDescent="0.35">
      <c r="C45605" s="2"/>
    </row>
    <row r="45606" spans="3:3" x14ac:dyDescent="0.35">
      <c r="C45606" s="2"/>
    </row>
    <row r="45607" spans="3:3" x14ac:dyDescent="0.35">
      <c r="C45607" s="2"/>
    </row>
    <row r="45608" spans="3:3" x14ac:dyDescent="0.35">
      <c r="C45608" s="2"/>
    </row>
    <row r="45609" spans="3:3" x14ac:dyDescent="0.35">
      <c r="C45609" s="2"/>
    </row>
    <row r="45610" spans="3:3" x14ac:dyDescent="0.35">
      <c r="C45610" s="2"/>
    </row>
    <row r="45611" spans="3:3" x14ac:dyDescent="0.35">
      <c r="C45611" s="2"/>
    </row>
    <row r="45612" spans="3:3" x14ac:dyDescent="0.35">
      <c r="C45612" s="2"/>
    </row>
    <row r="45613" spans="3:3" x14ac:dyDescent="0.35">
      <c r="C45613" s="2"/>
    </row>
    <row r="45614" spans="3:3" x14ac:dyDescent="0.35">
      <c r="C45614" s="2"/>
    </row>
    <row r="45615" spans="3:3" x14ac:dyDescent="0.35">
      <c r="C45615" s="2"/>
    </row>
    <row r="45616" spans="3:3" x14ac:dyDescent="0.35">
      <c r="C45616" s="2"/>
    </row>
    <row r="45617" spans="3:3" x14ac:dyDescent="0.35">
      <c r="C45617" s="2"/>
    </row>
    <row r="45618" spans="3:3" x14ac:dyDescent="0.35">
      <c r="C45618" s="2"/>
    </row>
    <row r="45619" spans="3:3" x14ac:dyDescent="0.35">
      <c r="C45619" s="2"/>
    </row>
    <row r="45620" spans="3:3" x14ac:dyDescent="0.35">
      <c r="C45620" s="2"/>
    </row>
    <row r="45621" spans="3:3" x14ac:dyDescent="0.35">
      <c r="C45621" s="2"/>
    </row>
    <row r="45622" spans="3:3" x14ac:dyDescent="0.35">
      <c r="C45622" s="2"/>
    </row>
    <row r="45623" spans="3:3" x14ac:dyDescent="0.35">
      <c r="C45623" s="2"/>
    </row>
    <row r="45624" spans="3:3" x14ac:dyDescent="0.35">
      <c r="C45624" s="2"/>
    </row>
    <row r="45625" spans="3:3" x14ac:dyDescent="0.35">
      <c r="C45625" s="2"/>
    </row>
    <row r="45626" spans="3:3" x14ac:dyDescent="0.35">
      <c r="C45626" s="2"/>
    </row>
    <row r="45627" spans="3:3" x14ac:dyDescent="0.35">
      <c r="C45627" s="2"/>
    </row>
    <row r="45628" spans="3:3" x14ac:dyDescent="0.35">
      <c r="C45628" s="2"/>
    </row>
    <row r="45629" spans="3:3" x14ac:dyDescent="0.35">
      <c r="C45629" s="2"/>
    </row>
    <row r="45630" spans="3:3" x14ac:dyDescent="0.35">
      <c r="C45630" s="2"/>
    </row>
    <row r="45631" spans="3:3" x14ac:dyDescent="0.35">
      <c r="C45631" s="2"/>
    </row>
    <row r="45632" spans="3:3" x14ac:dyDescent="0.35">
      <c r="C45632" s="2"/>
    </row>
    <row r="45633" spans="3:3" x14ac:dyDescent="0.35">
      <c r="C45633" s="2"/>
    </row>
    <row r="45634" spans="3:3" x14ac:dyDescent="0.35">
      <c r="C45634" s="2"/>
    </row>
    <row r="45635" spans="3:3" x14ac:dyDescent="0.35">
      <c r="C45635" s="2"/>
    </row>
    <row r="45636" spans="3:3" x14ac:dyDescent="0.35">
      <c r="C45636" s="2"/>
    </row>
    <row r="45637" spans="3:3" x14ac:dyDescent="0.35">
      <c r="C45637" s="2"/>
    </row>
    <row r="45638" spans="3:3" x14ac:dyDescent="0.35">
      <c r="C45638" s="2"/>
    </row>
    <row r="45639" spans="3:3" x14ac:dyDescent="0.35">
      <c r="C45639" s="2"/>
    </row>
    <row r="45640" spans="3:3" x14ac:dyDescent="0.35">
      <c r="C45640" s="2"/>
    </row>
    <row r="45641" spans="3:3" x14ac:dyDescent="0.35">
      <c r="C45641" s="2"/>
    </row>
    <row r="45642" spans="3:3" x14ac:dyDescent="0.35">
      <c r="C45642" s="2"/>
    </row>
    <row r="45643" spans="3:3" x14ac:dyDescent="0.35">
      <c r="C45643" s="2"/>
    </row>
    <row r="45644" spans="3:3" x14ac:dyDescent="0.35">
      <c r="C45644" s="2"/>
    </row>
    <row r="45645" spans="3:3" x14ac:dyDescent="0.35">
      <c r="C45645" s="2"/>
    </row>
    <row r="45646" spans="3:3" x14ac:dyDescent="0.35">
      <c r="C45646" s="2"/>
    </row>
    <row r="45647" spans="3:3" x14ac:dyDescent="0.35">
      <c r="C45647" s="2"/>
    </row>
    <row r="45648" spans="3:3" x14ac:dyDescent="0.35">
      <c r="C45648" s="2"/>
    </row>
    <row r="45649" spans="3:3" x14ac:dyDescent="0.35">
      <c r="C45649" s="2"/>
    </row>
    <row r="45650" spans="3:3" x14ac:dyDescent="0.35">
      <c r="C45650" s="2"/>
    </row>
    <row r="45651" spans="3:3" x14ac:dyDescent="0.35">
      <c r="C45651" s="2"/>
    </row>
    <row r="45652" spans="3:3" x14ac:dyDescent="0.35">
      <c r="C45652" s="2"/>
    </row>
    <row r="45653" spans="3:3" x14ac:dyDescent="0.35">
      <c r="C45653" s="2"/>
    </row>
    <row r="45654" spans="3:3" x14ac:dyDescent="0.35">
      <c r="C45654" s="2"/>
    </row>
    <row r="45655" spans="3:3" x14ac:dyDescent="0.35">
      <c r="C45655" s="2"/>
    </row>
    <row r="45656" spans="3:3" x14ac:dyDescent="0.35">
      <c r="C45656" s="2"/>
    </row>
    <row r="45657" spans="3:3" x14ac:dyDescent="0.35">
      <c r="C45657" s="2"/>
    </row>
    <row r="45658" spans="3:3" x14ac:dyDescent="0.35">
      <c r="C45658" s="2"/>
    </row>
    <row r="45659" spans="3:3" x14ac:dyDescent="0.35">
      <c r="C45659" s="2"/>
    </row>
    <row r="45660" spans="3:3" x14ac:dyDescent="0.35">
      <c r="C45660" s="2"/>
    </row>
    <row r="45661" spans="3:3" x14ac:dyDescent="0.35">
      <c r="C45661" s="2"/>
    </row>
    <row r="45662" spans="3:3" x14ac:dyDescent="0.35">
      <c r="C45662" s="2"/>
    </row>
    <row r="45663" spans="3:3" x14ac:dyDescent="0.35">
      <c r="C45663" s="2"/>
    </row>
    <row r="45664" spans="3:3" x14ac:dyDescent="0.35">
      <c r="C45664" s="2"/>
    </row>
    <row r="45665" spans="3:3" x14ac:dyDescent="0.35">
      <c r="C45665" s="2"/>
    </row>
    <row r="45666" spans="3:3" x14ac:dyDescent="0.35">
      <c r="C45666" s="2"/>
    </row>
    <row r="45667" spans="3:3" x14ac:dyDescent="0.35">
      <c r="C45667" s="2"/>
    </row>
    <row r="45668" spans="3:3" x14ac:dyDescent="0.35">
      <c r="C45668" s="2"/>
    </row>
    <row r="45669" spans="3:3" x14ac:dyDescent="0.35">
      <c r="C45669" s="2"/>
    </row>
    <row r="45670" spans="3:3" x14ac:dyDescent="0.35">
      <c r="C45670" s="2"/>
    </row>
    <row r="45671" spans="3:3" x14ac:dyDescent="0.35">
      <c r="C45671" s="2"/>
    </row>
    <row r="45672" spans="3:3" x14ac:dyDescent="0.35">
      <c r="C45672" s="2"/>
    </row>
    <row r="45673" spans="3:3" x14ac:dyDescent="0.35">
      <c r="C45673" s="2"/>
    </row>
    <row r="45674" spans="3:3" x14ac:dyDescent="0.35">
      <c r="C45674" s="2"/>
    </row>
    <row r="45675" spans="3:3" x14ac:dyDescent="0.35">
      <c r="C45675" s="2"/>
    </row>
    <row r="45676" spans="3:3" x14ac:dyDescent="0.35">
      <c r="C45676" s="2"/>
    </row>
    <row r="45677" spans="3:3" x14ac:dyDescent="0.35">
      <c r="C45677" s="2"/>
    </row>
    <row r="45678" spans="3:3" x14ac:dyDescent="0.35">
      <c r="C45678" s="2"/>
    </row>
    <row r="45679" spans="3:3" x14ac:dyDescent="0.35">
      <c r="C45679" s="2"/>
    </row>
    <row r="45680" spans="3:3" x14ac:dyDescent="0.35">
      <c r="C45680" s="2"/>
    </row>
    <row r="45681" spans="3:3" x14ac:dyDescent="0.35">
      <c r="C45681" s="2"/>
    </row>
    <row r="45682" spans="3:3" x14ac:dyDescent="0.35">
      <c r="C45682" s="2"/>
    </row>
    <row r="45683" spans="3:3" x14ac:dyDescent="0.35">
      <c r="C45683" s="2"/>
    </row>
    <row r="45684" spans="3:3" x14ac:dyDescent="0.35">
      <c r="C45684" s="2"/>
    </row>
    <row r="45685" spans="3:3" x14ac:dyDescent="0.35">
      <c r="C45685" s="2"/>
    </row>
    <row r="45686" spans="3:3" x14ac:dyDescent="0.35">
      <c r="C45686" s="2"/>
    </row>
    <row r="45687" spans="3:3" x14ac:dyDescent="0.35">
      <c r="C45687" s="2"/>
    </row>
    <row r="45688" spans="3:3" x14ac:dyDescent="0.35">
      <c r="C45688" s="2"/>
    </row>
    <row r="45689" spans="3:3" x14ac:dyDescent="0.35">
      <c r="C45689" s="2"/>
    </row>
    <row r="45690" spans="3:3" x14ac:dyDescent="0.35">
      <c r="C45690" s="2"/>
    </row>
    <row r="45691" spans="3:3" x14ac:dyDescent="0.35">
      <c r="C45691" s="2"/>
    </row>
    <row r="45692" spans="3:3" x14ac:dyDescent="0.35">
      <c r="C45692" s="2"/>
    </row>
    <row r="45693" spans="3:3" x14ac:dyDescent="0.35">
      <c r="C45693" s="2"/>
    </row>
    <row r="45694" spans="3:3" x14ac:dyDescent="0.35">
      <c r="C45694" s="2"/>
    </row>
    <row r="45695" spans="3:3" x14ac:dyDescent="0.35">
      <c r="C45695" s="2"/>
    </row>
    <row r="45696" spans="3:3" x14ac:dyDescent="0.35">
      <c r="C45696" s="2"/>
    </row>
    <row r="45697" spans="3:3" x14ac:dyDescent="0.35">
      <c r="C45697" s="2"/>
    </row>
    <row r="45698" spans="3:3" x14ac:dyDescent="0.35">
      <c r="C45698" s="2"/>
    </row>
    <row r="45699" spans="3:3" x14ac:dyDescent="0.35">
      <c r="C45699" s="2"/>
    </row>
    <row r="45700" spans="3:3" x14ac:dyDescent="0.35">
      <c r="C45700" s="2"/>
    </row>
    <row r="45701" spans="3:3" x14ac:dyDescent="0.35">
      <c r="C45701" s="2"/>
    </row>
    <row r="45702" spans="3:3" x14ac:dyDescent="0.35">
      <c r="C45702" s="2"/>
    </row>
    <row r="45703" spans="3:3" x14ac:dyDescent="0.35">
      <c r="C45703" s="2"/>
    </row>
    <row r="45704" spans="3:3" x14ac:dyDescent="0.35">
      <c r="C45704" s="2"/>
    </row>
    <row r="45705" spans="3:3" x14ac:dyDescent="0.35">
      <c r="C45705" s="2"/>
    </row>
    <row r="45706" spans="3:3" x14ac:dyDescent="0.35">
      <c r="C45706" s="2"/>
    </row>
    <row r="45707" spans="3:3" x14ac:dyDescent="0.35">
      <c r="C45707" s="2"/>
    </row>
    <row r="45708" spans="3:3" x14ac:dyDescent="0.35">
      <c r="C45708" s="2"/>
    </row>
    <row r="45709" spans="3:3" x14ac:dyDescent="0.35">
      <c r="C45709" s="2"/>
    </row>
    <row r="45710" spans="3:3" x14ac:dyDescent="0.35">
      <c r="C45710" s="2"/>
    </row>
    <row r="45711" spans="3:3" x14ac:dyDescent="0.35">
      <c r="C45711" s="2"/>
    </row>
    <row r="45712" spans="3:3" x14ac:dyDescent="0.35">
      <c r="C45712" s="2"/>
    </row>
    <row r="45713" spans="3:3" x14ac:dyDescent="0.35">
      <c r="C45713" s="2"/>
    </row>
    <row r="45714" spans="3:3" x14ac:dyDescent="0.35">
      <c r="C45714" s="2"/>
    </row>
    <row r="45715" spans="3:3" x14ac:dyDescent="0.35">
      <c r="C45715" s="2"/>
    </row>
    <row r="45716" spans="3:3" x14ac:dyDescent="0.35">
      <c r="C45716" s="2"/>
    </row>
    <row r="45717" spans="3:3" x14ac:dyDescent="0.35">
      <c r="C45717" s="2"/>
    </row>
    <row r="45718" spans="3:3" x14ac:dyDescent="0.35">
      <c r="C45718" s="2"/>
    </row>
    <row r="45719" spans="3:3" x14ac:dyDescent="0.35">
      <c r="C45719" s="2"/>
    </row>
    <row r="45720" spans="3:3" x14ac:dyDescent="0.35">
      <c r="C45720" s="2"/>
    </row>
    <row r="45721" spans="3:3" x14ac:dyDescent="0.35">
      <c r="C45721" s="2"/>
    </row>
    <row r="45722" spans="3:3" x14ac:dyDescent="0.35">
      <c r="C45722" s="2"/>
    </row>
    <row r="45723" spans="3:3" x14ac:dyDescent="0.35">
      <c r="C45723" s="2"/>
    </row>
    <row r="45724" spans="3:3" x14ac:dyDescent="0.35">
      <c r="C45724" s="2"/>
    </row>
    <row r="45725" spans="3:3" x14ac:dyDescent="0.35">
      <c r="C45725" s="2"/>
    </row>
    <row r="45726" spans="3:3" x14ac:dyDescent="0.35">
      <c r="C45726" s="2"/>
    </row>
    <row r="45727" spans="3:3" x14ac:dyDescent="0.35">
      <c r="C45727" s="2"/>
    </row>
    <row r="45728" spans="3:3" x14ac:dyDescent="0.35">
      <c r="C45728" s="2"/>
    </row>
    <row r="45729" spans="3:3" x14ac:dyDescent="0.35">
      <c r="C45729" s="2"/>
    </row>
    <row r="45730" spans="3:3" x14ac:dyDescent="0.35">
      <c r="C45730" s="2"/>
    </row>
    <row r="45731" spans="3:3" x14ac:dyDescent="0.35">
      <c r="C45731" s="2"/>
    </row>
    <row r="45732" spans="3:3" x14ac:dyDescent="0.35">
      <c r="C45732" s="2"/>
    </row>
    <row r="45733" spans="3:3" x14ac:dyDescent="0.35">
      <c r="C45733" s="2"/>
    </row>
    <row r="45734" spans="3:3" x14ac:dyDescent="0.35">
      <c r="C45734" s="2"/>
    </row>
    <row r="45735" spans="3:3" x14ac:dyDescent="0.35">
      <c r="C45735" s="2"/>
    </row>
    <row r="45736" spans="3:3" x14ac:dyDescent="0.35">
      <c r="C45736" s="2"/>
    </row>
    <row r="45737" spans="3:3" x14ac:dyDescent="0.35">
      <c r="C45737" s="2"/>
    </row>
    <row r="45738" spans="3:3" x14ac:dyDescent="0.35">
      <c r="C45738" s="2"/>
    </row>
    <row r="45739" spans="3:3" x14ac:dyDescent="0.35">
      <c r="C45739" s="2"/>
    </row>
    <row r="45740" spans="3:3" x14ac:dyDescent="0.35">
      <c r="C45740" s="2"/>
    </row>
    <row r="45741" spans="3:3" x14ac:dyDescent="0.35">
      <c r="C45741" s="2"/>
    </row>
    <row r="45742" spans="3:3" x14ac:dyDescent="0.35">
      <c r="C45742" s="2"/>
    </row>
    <row r="45743" spans="3:3" x14ac:dyDescent="0.35">
      <c r="C45743" s="2"/>
    </row>
    <row r="45744" spans="3:3" x14ac:dyDescent="0.35">
      <c r="C45744" s="2"/>
    </row>
    <row r="45745" spans="3:3" x14ac:dyDescent="0.35">
      <c r="C45745" s="2"/>
    </row>
    <row r="45746" spans="3:3" x14ac:dyDescent="0.35">
      <c r="C45746" s="2"/>
    </row>
    <row r="45747" spans="3:3" x14ac:dyDescent="0.35">
      <c r="C45747" s="2"/>
    </row>
    <row r="45748" spans="3:3" x14ac:dyDescent="0.35">
      <c r="C45748" s="2"/>
    </row>
    <row r="45749" spans="3:3" x14ac:dyDescent="0.35">
      <c r="C45749" s="2"/>
    </row>
    <row r="45750" spans="3:3" x14ac:dyDescent="0.35">
      <c r="C45750" s="2"/>
    </row>
    <row r="45751" spans="3:3" x14ac:dyDescent="0.35">
      <c r="C45751" s="2"/>
    </row>
    <row r="45752" spans="3:3" x14ac:dyDescent="0.35">
      <c r="C45752" s="2"/>
    </row>
    <row r="45753" spans="3:3" x14ac:dyDescent="0.35">
      <c r="C45753" s="2"/>
    </row>
    <row r="45754" spans="3:3" x14ac:dyDescent="0.35">
      <c r="C45754" s="2"/>
    </row>
    <row r="45755" spans="3:3" x14ac:dyDescent="0.35">
      <c r="C45755" s="2"/>
    </row>
    <row r="45756" spans="3:3" x14ac:dyDescent="0.35">
      <c r="C45756" s="2"/>
    </row>
    <row r="45757" spans="3:3" x14ac:dyDescent="0.35">
      <c r="C45757" s="2"/>
    </row>
    <row r="45758" spans="3:3" x14ac:dyDescent="0.35">
      <c r="C45758" s="2"/>
    </row>
    <row r="45759" spans="3:3" x14ac:dyDescent="0.35">
      <c r="C45759" s="2"/>
    </row>
    <row r="45760" spans="3:3" x14ac:dyDescent="0.35">
      <c r="C45760" s="2"/>
    </row>
    <row r="45761" spans="3:3" x14ac:dyDescent="0.35">
      <c r="C45761" s="2"/>
    </row>
    <row r="45762" spans="3:3" x14ac:dyDescent="0.35">
      <c r="C45762" s="2"/>
    </row>
    <row r="45763" spans="3:3" x14ac:dyDescent="0.35">
      <c r="C45763" s="2"/>
    </row>
    <row r="45764" spans="3:3" x14ac:dyDescent="0.35">
      <c r="C45764" s="2"/>
    </row>
    <row r="45765" spans="3:3" x14ac:dyDescent="0.35">
      <c r="C45765" s="2"/>
    </row>
    <row r="45766" spans="3:3" x14ac:dyDescent="0.35">
      <c r="C45766" s="2"/>
    </row>
    <row r="45767" spans="3:3" x14ac:dyDescent="0.35">
      <c r="C45767" s="2"/>
    </row>
    <row r="45768" spans="3:3" x14ac:dyDescent="0.35">
      <c r="C45768" s="2"/>
    </row>
    <row r="45769" spans="3:3" x14ac:dyDescent="0.35">
      <c r="C45769" s="2"/>
    </row>
    <row r="45770" spans="3:3" x14ac:dyDescent="0.35">
      <c r="C45770" s="2"/>
    </row>
    <row r="45771" spans="3:3" x14ac:dyDescent="0.35">
      <c r="C45771" s="2"/>
    </row>
    <row r="45772" spans="3:3" x14ac:dyDescent="0.35">
      <c r="C45772" s="2"/>
    </row>
    <row r="45773" spans="3:3" x14ac:dyDescent="0.35">
      <c r="C45773" s="2"/>
    </row>
    <row r="45774" spans="3:3" x14ac:dyDescent="0.35">
      <c r="C45774" s="2"/>
    </row>
    <row r="45775" spans="3:3" x14ac:dyDescent="0.35">
      <c r="C45775" s="2"/>
    </row>
    <row r="45776" spans="3:3" x14ac:dyDescent="0.35">
      <c r="C45776" s="2"/>
    </row>
    <row r="45777" spans="3:3" x14ac:dyDescent="0.35">
      <c r="C45777" s="2"/>
    </row>
    <row r="45778" spans="3:3" x14ac:dyDescent="0.35">
      <c r="C45778" s="2"/>
    </row>
    <row r="45779" spans="3:3" x14ac:dyDescent="0.35">
      <c r="C45779" s="2"/>
    </row>
    <row r="45780" spans="3:3" x14ac:dyDescent="0.35">
      <c r="C45780" s="2"/>
    </row>
    <row r="45781" spans="3:3" x14ac:dyDescent="0.35">
      <c r="C45781" s="2"/>
    </row>
    <row r="45782" spans="3:3" x14ac:dyDescent="0.35">
      <c r="C45782" s="2"/>
    </row>
    <row r="45783" spans="3:3" x14ac:dyDescent="0.35">
      <c r="C45783" s="2"/>
    </row>
    <row r="45784" spans="3:3" x14ac:dyDescent="0.35">
      <c r="C45784" s="2"/>
    </row>
    <row r="45785" spans="3:3" x14ac:dyDescent="0.35">
      <c r="C45785" s="2"/>
    </row>
    <row r="45786" spans="3:3" x14ac:dyDescent="0.35">
      <c r="C45786" s="2"/>
    </row>
    <row r="45787" spans="3:3" x14ac:dyDescent="0.35">
      <c r="C45787" s="2"/>
    </row>
    <row r="45788" spans="3:3" x14ac:dyDescent="0.35">
      <c r="C45788" s="2"/>
    </row>
    <row r="45789" spans="3:3" x14ac:dyDescent="0.35">
      <c r="C45789" s="2"/>
    </row>
    <row r="45790" spans="3:3" x14ac:dyDescent="0.35">
      <c r="C45790" s="2"/>
    </row>
    <row r="45791" spans="3:3" x14ac:dyDescent="0.35">
      <c r="C45791" s="2"/>
    </row>
    <row r="45792" spans="3:3" x14ac:dyDescent="0.35">
      <c r="C45792" s="2"/>
    </row>
    <row r="45793" spans="3:3" x14ac:dyDescent="0.35">
      <c r="C45793" s="2"/>
    </row>
    <row r="45794" spans="3:3" x14ac:dyDescent="0.35">
      <c r="C45794" s="2"/>
    </row>
    <row r="45795" spans="3:3" x14ac:dyDescent="0.35">
      <c r="C45795" s="2"/>
    </row>
    <row r="45796" spans="3:3" x14ac:dyDescent="0.35">
      <c r="C45796" s="2"/>
    </row>
    <row r="45797" spans="3:3" x14ac:dyDescent="0.35">
      <c r="C45797" s="2"/>
    </row>
    <row r="45798" spans="3:3" x14ac:dyDescent="0.35">
      <c r="C45798" s="2"/>
    </row>
    <row r="45799" spans="3:3" x14ac:dyDescent="0.35">
      <c r="C45799" s="2"/>
    </row>
    <row r="45800" spans="3:3" x14ac:dyDescent="0.35">
      <c r="C45800" s="2"/>
    </row>
    <row r="45801" spans="3:3" x14ac:dyDescent="0.35">
      <c r="C45801" s="2"/>
    </row>
    <row r="45802" spans="3:3" x14ac:dyDescent="0.35">
      <c r="C45802" s="2"/>
    </row>
    <row r="45803" spans="3:3" x14ac:dyDescent="0.35">
      <c r="C45803" s="2"/>
    </row>
    <row r="45804" spans="3:3" x14ac:dyDescent="0.35">
      <c r="C45804" s="2"/>
    </row>
    <row r="45805" spans="3:3" x14ac:dyDescent="0.35">
      <c r="C45805" s="2"/>
    </row>
    <row r="45806" spans="3:3" x14ac:dyDescent="0.35">
      <c r="C45806" s="2"/>
    </row>
    <row r="45807" spans="3:3" x14ac:dyDescent="0.35">
      <c r="C45807" s="2"/>
    </row>
    <row r="45808" spans="3:3" x14ac:dyDescent="0.35">
      <c r="C45808" s="2"/>
    </row>
    <row r="45809" spans="3:3" x14ac:dyDescent="0.35">
      <c r="C45809" s="2"/>
    </row>
    <row r="45810" spans="3:3" x14ac:dyDescent="0.35">
      <c r="C45810" s="2"/>
    </row>
    <row r="45811" spans="3:3" x14ac:dyDescent="0.35">
      <c r="C45811" s="2"/>
    </row>
    <row r="45812" spans="3:3" x14ac:dyDescent="0.35">
      <c r="C45812" s="2"/>
    </row>
    <row r="45813" spans="3:3" x14ac:dyDescent="0.35">
      <c r="C45813" s="2"/>
    </row>
    <row r="45814" spans="3:3" x14ac:dyDescent="0.35">
      <c r="C45814" s="2"/>
    </row>
    <row r="45815" spans="3:3" x14ac:dyDescent="0.35">
      <c r="C45815" s="2"/>
    </row>
    <row r="45816" spans="3:3" x14ac:dyDescent="0.35">
      <c r="C45816" s="2"/>
    </row>
    <row r="45817" spans="3:3" x14ac:dyDescent="0.35">
      <c r="C45817" s="2"/>
    </row>
    <row r="45818" spans="3:3" x14ac:dyDescent="0.35">
      <c r="C45818" s="2"/>
    </row>
    <row r="45819" spans="3:3" x14ac:dyDescent="0.35">
      <c r="C45819" s="2"/>
    </row>
    <row r="45820" spans="3:3" x14ac:dyDescent="0.35">
      <c r="C45820" s="2"/>
    </row>
    <row r="45821" spans="3:3" x14ac:dyDescent="0.35">
      <c r="C45821" s="2"/>
    </row>
    <row r="45822" spans="3:3" x14ac:dyDescent="0.35">
      <c r="C45822" s="2"/>
    </row>
    <row r="45823" spans="3:3" x14ac:dyDescent="0.35">
      <c r="C45823" s="2"/>
    </row>
    <row r="45824" spans="3:3" x14ac:dyDescent="0.35">
      <c r="C45824" s="2"/>
    </row>
    <row r="45825" spans="3:3" x14ac:dyDescent="0.35">
      <c r="C45825" s="2"/>
    </row>
    <row r="45826" spans="3:3" x14ac:dyDescent="0.35">
      <c r="C45826" s="2"/>
    </row>
    <row r="45827" spans="3:3" x14ac:dyDescent="0.35">
      <c r="C45827" s="2"/>
    </row>
    <row r="45828" spans="3:3" x14ac:dyDescent="0.35">
      <c r="C45828" s="2"/>
    </row>
    <row r="45829" spans="3:3" x14ac:dyDescent="0.35">
      <c r="C45829" s="2"/>
    </row>
    <row r="45830" spans="3:3" x14ac:dyDescent="0.35">
      <c r="C45830" s="2"/>
    </row>
    <row r="45831" spans="3:3" x14ac:dyDescent="0.35">
      <c r="C45831" s="2"/>
    </row>
    <row r="45832" spans="3:3" x14ac:dyDescent="0.35">
      <c r="C45832" s="2"/>
    </row>
    <row r="45833" spans="3:3" x14ac:dyDescent="0.35">
      <c r="C45833" s="2"/>
    </row>
    <row r="45834" spans="3:3" x14ac:dyDescent="0.35">
      <c r="C45834" s="2"/>
    </row>
    <row r="45835" spans="3:3" x14ac:dyDescent="0.35">
      <c r="C45835" s="2"/>
    </row>
    <row r="45836" spans="3:3" x14ac:dyDescent="0.35">
      <c r="C45836" s="2"/>
    </row>
    <row r="45837" spans="3:3" x14ac:dyDescent="0.35">
      <c r="C45837" s="2"/>
    </row>
    <row r="45838" spans="3:3" x14ac:dyDescent="0.35">
      <c r="C45838" s="2"/>
    </row>
    <row r="45839" spans="3:3" x14ac:dyDescent="0.35">
      <c r="C45839" s="2"/>
    </row>
    <row r="45840" spans="3:3" x14ac:dyDescent="0.35">
      <c r="C45840" s="2"/>
    </row>
    <row r="45841" spans="3:3" x14ac:dyDescent="0.35">
      <c r="C45841" s="2"/>
    </row>
    <row r="45842" spans="3:3" x14ac:dyDescent="0.35">
      <c r="C45842" s="2"/>
    </row>
    <row r="45843" spans="3:3" x14ac:dyDescent="0.35">
      <c r="C45843" s="2"/>
    </row>
    <row r="45844" spans="3:3" x14ac:dyDescent="0.35">
      <c r="C45844" s="2"/>
    </row>
    <row r="45845" spans="3:3" x14ac:dyDescent="0.35">
      <c r="C45845" s="2"/>
    </row>
    <row r="45846" spans="3:3" x14ac:dyDescent="0.35">
      <c r="C45846" s="2"/>
    </row>
    <row r="45847" spans="3:3" x14ac:dyDescent="0.35">
      <c r="C45847" s="2"/>
    </row>
    <row r="45848" spans="3:3" x14ac:dyDescent="0.35">
      <c r="C45848" s="2"/>
    </row>
    <row r="45849" spans="3:3" x14ac:dyDescent="0.35">
      <c r="C45849" s="2"/>
    </row>
    <row r="45850" spans="3:3" x14ac:dyDescent="0.35">
      <c r="C45850" s="2"/>
    </row>
    <row r="45851" spans="3:3" x14ac:dyDescent="0.35">
      <c r="C45851" s="2"/>
    </row>
    <row r="45852" spans="3:3" x14ac:dyDescent="0.35">
      <c r="C45852" s="2"/>
    </row>
    <row r="45853" spans="3:3" x14ac:dyDescent="0.35">
      <c r="C45853" s="2"/>
    </row>
    <row r="45854" spans="3:3" x14ac:dyDescent="0.35">
      <c r="C45854" s="2"/>
    </row>
    <row r="45855" spans="3:3" x14ac:dyDescent="0.35">
      <c r="C45855" s="2"/>
    </row>
    <row r="45856" spans="3:3" x14ac:dyDescent="0.35">
      <c r="C45856" s="2"/>
    </row>
    <row r="45857" spans="3:3" x14ac:dyDescent="0.35">
      <c r="C45857" s="2"/>
    </row>
    <row r="45858" spans="3:3" x14ac:dyDescent="0.35">
      <c r="C45858" s="2"/>
    </row>
    <row r="45859" spans="3:3" x14ac:dyDescent="0.35">
      <c r="C45859" s="2"/>
    </row>
    <row r="45860" spans="3:3" x14ac:dyDescent="0.35">
      <c r="C45860" s="2"/>
    </row>
    <row r="45861" spans="3:3" x14ac:dyDescent="0.35">
      <c r="C45861" s="2"/>
    </row>
    <row r="45862" spans="3:3" x14ac:dyDescent="0.35">
      <c r="C45862" s="2"/>
    </row>
    <row r="45863" spans="3:3" x14ac:dyDescent="0.35">
      <c r="C45863" s="2"/>
    </row>
    <row r="45864" spans="3:3" x14ac:dyDescent="0.35">
      <c r="C45864" s="2"/>
    </row>
    <row r="45865" spans="3:3" x14ac:dyDescent="0.35">
      <c r="C45865" s="2"/>
    </row>
    <row r="45866" spans="3:3" x14ac:dyDescent="0.35">
      <c r="C45866" s="2"/>
    </row>
    <row r="45867" spans="3:3" x14ac:dyDescent="0.35">
      <c r="C45867" s="2"/>
    </row>
    <row r="45868" spans="3:3" x14ac:dyDescent="0.35">
      <c r="C45868" s="2"/>
    </row>
    <row r="45869" spans="3:3" x14ac:dyDescent="0.35">
      <c r="C45869" s="2"/>
    </row>
    <row r="45870" spans="3:3" x14ac:dyDescent="0.35">
      <c r="C45870" s="2"/>
    </row>
    <row r="45871" spans="3:3" x14ac:dyDescent="0.35">
      <c r="C45871" s="2"/>
    </row>
    <row r="45872" spans="3:3" x14ac:dyDescent="0.35">
      <c r="C45872" s="2"/>
    </row>
    <row r="45873" spans="3:3" x14ac:dyDescent="0.35">
      <c r="C45873" s="2"/>
    </row>
    <row r="45874" spans="3:3" x14ac:dyDescent="0.35">
      <c r="C45874" s="2"/>
    </row>
    <row r="45875" spans="3:3" x14ac:dyDescent="0.35">
      <c r="C45875" s="2"/>
    </row>
    <row r="45876" spans="3:3" x14ac:dyDescent="0.35">
      <c r="C45876" s="2"/>
    </row>
    <row r="45877" spans="3:3" x14ac:dyDescent="0.35">
      <c r="C45877" s="2"/>
    </row>
    <row r="45878" spans="3:3" x14ac:dyDescent="0.35">
      <c r="C45878" s="2"/>
    </row>
    <row r="45879" spans="3:3" x14ac:dyDescent="0.35">
      <c r="C45879" s="2"/>
    </row>
    <row r="45880" spans="3:3" x14ac:dyDescent="0.35">
      <c r="C45880" s="2"/>
    </row>
    <row r="45881" spans="3:3" x14ac:dyDescent="0.35">
      <c r="C45881" s="2"/>
    </row>
    <row r="45882" spans="3:3" x14ac:dyDescent="0.35">
      <c r="C45882" s="2"/>
    </row>
    <row r="45883" spans="3:3" x14ac:dyDescent="0.35">
      <c r="C45883" s="2"/>
    </row>
    <row r="45884" spans="3:3" x14ac:dyDescent="0.35">
      <c r="C45884" s="2"/>
    </row>
    <row r="45885" spans="3:3" x14ac:dyDescent="0.35">
      <c r="C45885" s="2"/>
    </row>
    <row r="45886" spans="3:3" x14ac:dyDescent="0.35">
      <c r="C45886" s="2"/>
    </row>
    <row r="45887" spans="3:3" x14ac:dyDescent="0.35">
      <c r="C45887" s="2"/>
    </row>
    <row r="45888" spans="3:3" x14ac:dyDescent="0.35">
      <c r="C45888" s="2"/>
    </row>
    <row r="45889" spans="3:3" x14ac:dyDescent="0.35">
      <c r="C45889" s="2"/>
    </row>
    <row r="45890" spans="3:3" x14ac:dyDescent="0.35">
      <c r="C45890" s="2"/>
    </row>
    <row r="45891" spans="3:3" x14ac:dyDescent="0.35">
      <c r="C45891" s="2"/>
    </row>
    <row r="45892" spans="3:3" x14ac:dyDescent="0.35">
      <c r="C45892" s="2"/>
    </row>
    <row r="45893" spans="3:3" x14ac:dyDescent="0.35">
      <c r="C45893" s="2"/>
    </row>
    <row r="45894" spans="3:3" x14ac:dyDescent="0.35">
      <c r="C45894" s="2"/>
    </row>
    <row r="45895" spans="3:3" x14ac:dyDescent="0.35">
      <c r="C45895" s="2"/>
    </row>
    <row r="45896" spans="3:3" x14ac:dyDescent="0.35">
      <c r="C45896" s="2"/>
    </row>
    <row r="45897" spans="3:3" x14ac:dyDescent="0.35">
      <c r="C45897" s="2"/>
    </row>
    <row r="45898" spans="3:3" x14ac:dyDescent="0.35">
      <c r="C45898" s="2"/>
    </row>
    <row r="45899" spans="3:3" x14ac:dyDescent="0.35">
      <c r="C45899" s="2"/>
    </row>
    <row r="45900" spans="3:3" x14ac:dyDescent="0.35">
      <c r="C45900" s="2"/>
    </row>
    <row r="45901" spans="3:3" x14ac:dyDescent="0.35">
      <c r="C45901" s="2"/>
    </row>
    <row r="45902" spans="3:3" x14ac:dyDescent="0.35">
      <c r="C45902" s="2"/>
    </row>
    <row r="45903" spans="3:3" x14ac:dyDescent="0.35">
      <c r="C45903" s="2"/>
    </row>
    <row r="45904" spans="3:3" x14ac:dyDescent="0.35">
      <c r="C45904" s="2"/>
    </row>
    <row r="45905" spans="3:3" x14ac:dyDescent="0.35">
      <c r="C45905" s="2"/>
    </row>
    <row r="45906" spans="3:3" x14ac:dyDescent="0.35">
      <c r="C45906" s="2"/>
    </row>
    <row r="45907" spans="3:3" x14ac:dyDescent="0.35">
      <c r="C45907" s="2"/>
    </row>
    <row r="45908" spans="3:3" x14ac:dyDescent="0.35">
      <c r="C45908" s="2"/>
    </row>
    <row r="45909" spans="3:3" x14ac:dyDescent="0.35">
      <c r="C45909" s="2"/>
    </row>
    <row r="45910" spans="3:3" x14ac:dyDescent="0.35">
      <c r="C45910" s="2"/>
    </row>
    <row r="45911" spans="3:3" x14ac:dyDescent="0.35">
      <c r="C45911" s="2"/>
    </row>
    <row r="45912" spans="3:3" x14ac:dyDescent="0.35">
      <c r="C45912" s="2"/>
    </row>
    <row r="45913" spans="3:3" x14ac:dyDescent="0.35">
      <c r="C45913" s="2"/>
    </row>
    <row r="45914" spans="3:3" x14ac:dyDescent="0.35">
      <c r="C45914" s="2"/>
    </row>
    <row r="45915" spans="3:3" x14ac:dyDescent="0.35">
      <c r="C45915" s="2"/>
    </row>
    <row r="45916" spans="3:3" x14ac:dyDescent="0.35">
      <c r="C45916" s="2"/>
    </row>
    <row r="45917" spans="3:3" x14ac:dyDescent="0.35">
      <c r="C45917" s="2"/>
    </row>
    <row r="45918" spans="3:3" x14ac:dyDescent="0.35">
      <c r="C45918" s="2"/>
    </row>
    <row r="45919" spans="3:3" x14ac:dyDescent="0.35">
      <c r="C45919" s="2"/>
    </row>
    <row r="45920" spans="3:3" x14ac:dyDescent="0.35">
      <c r="C45920" s="2"/>
    </row>
    <row r="45921" spans="3:3" x14ac:dyDescent="0.35">
      <c r="C45921" s="2"/>
    </row>
    <row r="45922" spans="3:3" x14ac:dyDescent="0.35">
      <c r="C45922" s="2"/>
    </row>
    <row r="45923" spans="3:3" x14ac:dyDescent="0.35">
      <c r="C45923" s="2"/>
    </row>
    <row r="45924" spans="3:3" x14ac:dyDescent="0.35">
      <c r="C45924" s="2"/>
    </row>
    <row r="45925" spans="3:3" x14ac:dyDescent="0.35">
      <c r="C45925" s="2"/>
    </row>
    <row r="45926" spans="3:3" x14ac:dyDescent="0.35">
      <c r="C45926" s="2"/>
    </row>
    <row r="45927" spans="3:3" x14ac:dyDescent="0.35">
      <c r="C45927" s="2"/>
    </row>
    <row r="45928" spans="3:3" x14ac:dyDescent="0.35">
      <c r="C45928" s="2"/>
    </row>
    <row r="45929" spans="3:3" x14ac:dyDescent="0.35">
      <c r="C45929" s="2"/>
    </row>
    <row r="45930" spans="3:3" x14ac:dyDescent="0.35">
      <c r="C45930" s="2"/>
    </row>
    <row r="45931" spans="3:3" x14ac:dyDescent="0.35">
      <c r="C45931" s="2"/>
    </row>
    <row r="45932" spans="3:3" x14ac:dyDescent="0.35">
      <c r="C45932" s="2"/>
    </row>
    <row r="45933" spans="3:3" x14ac:dyDescent="0.35">
      <c r="C45933" s="2"/>
    </row>
    <row r="45934" spans="3:3" x14ac:dyDescent="0.35">
      <c r="C45934" s="2"/>
    </row>
    <row r="45935" spans="3:3" x14ac:dyDescent="0.35">
      <c r="C45935" s="2"/>
    </row>
    <row r="45936" spans="3:3" x14ac:dyDescent="0.35">
      <c r="C45936" s="2"/>
    </row>
    <row r="45937" spans="3:3" x14ac:dyDescent="0.35">
      <c r="C45937" s="2"/>
    </row>
    <row r="45938" spans="3:3" x14ac:dyDescent="0.35">
      <c r="C45938" s="2"/>
    </row>
    <row r="45939" spans="3:3" x14ac:dyDescent="0.35">
      <c r="C45939" s="2"/>
    </row>
    <row r="45940" spans="3:3" x14ac:dyDescent="0.35">
      <c r="C45940" s="2"/>
    </row>
    <row r="45941" spans="3:3" x14ac:dyDescent="0.35">
      <c r="C45941" s="2"/>
    </row>
    <row r="45942" spans="3:3" x14ac:dyDescent="0.35">
      <c r="C45942" s="2"/>
    </row>
    <row r="45943" spans="3:3" x14ac:dyDescent="0.35">
      <c r="C45943" s="2"/>
    </row>
    <row r="45944" spans="3:3" x14ac:dyDescent="0.35">
      <c r="C45944" s="2"/>
    </row>
    <row r="45945" spans="3:3" x14ac:dyDescent="0.35">
      <c r="C45945" s="2"/>
    </row>
    <row r="45946" spans="3:3" x14ac:dyDescent="0.35">
      <c r="C45946" s="2"/>
    </row>
    <row r="45947" spans="3:3" x14ac:dyDescent="0.35">
      <c r="C45947" s="2"/>
    </row>
    <row r="45948" spans="3:3" x14ac:dyDescent="0.35">
      <c r="C45948" s="2"/>
    </row>
    <row r="45949" spans="3:3" x14ac:dyDescent="0.35">
      <c r="C45949" s="2"/>
    </row>
    <row r="45950" spans="3:3" x14ac:dyDescent="0.35">
      <c r="C45950" s="2"/>
    </row>
    <row r="45951" spans="3:3" x14ac:dyDescent="0.35">
      <c r="C45951" s="2"/>
    </row>
    <row r="45952" spans="3:3" x14ac:dyDescent="0.35">
      <c r="C45952" s="2"/>
    </row>
    <row r="45953" spans="3:3" x14ac:dyDescent="0.35">
      <c r="C45953" s="2"/>
    </row>
    <row r="45954" spans="3:3" x14ac:dyDescent="0.35">
      <c r="C45954" s="2"/>
    </row>
    <row r="45955" spans="3:3" x14ac:dyDescent="0.35">
      <c r="C45955" s="2"/>
    </row>
    <row r="45956" spans="3:3" x14ac:dyDescent="0.35">
      <c r="C45956" s="2"/>
    </row>
    <row r="45957" spans="3:3" x14ac:dyDescent="0.35">
      <c r="C45957" s="2"/>
    </row>
    <row r="45958" spans="3:3" x14ac:dyDescent="0.35">
      <c r="C45958" s="2"/>
    </row>
    <row r="45959" spans="3:3" x14ac:dyDescent="0.35">
      <c r="C45959" s="2"/>
    </row>
    <row r="45960" spans="3:3" x14ac:dyDescent="0.35">
      <c r="C45960" s="2"/>
    </row>
    <row r="45961" spans="3:3" x14ac:dyDescent="0.35">
      <c r="C45961" s="2"/>
    </row>
    <row r="45962" spans="3:3" x14ac:dyDescent="0.35">
      <c r="C45962" s="2"/>
    </row>
    <row r="45963" spans="3:3" x14ac:dyDescent="0.35">
      <c r="C45963" s="2"/>
    </row>
    <row r="45964" spans="3:3" x14ac:dyDescent="0.35">
      <c r="C45964" s="2"/>
    </row>
    <row r="45965" spans="3:3" x14ac:dyDescent="0.35">
      <c r="C45965" s="2"/>
    </row>
    <row r="45966" spans="3:3" x14ac:dyDescent="0.35">
      <c r="C45966" s="2"/>
    </row>
    <row r="45967" spans="3:3" x14ac:dyDescent="0.35">
      <c r="C45967" s="2"/>
    </row>
    <row r="45968" spans="3:3" x14ac:dyDescent="0.35">
      <c r="C45968" s="2"/>
    </row>
    <row r="45969" spans="3:3" x14ac:dyDescent="0.35">
      <c r="C45969" s="2"/>
    </row>
    <row r="45970" spans="3:3" x14ac:dyDescent="0.35">
      <c r="C45970" s="2"/>
    </row>
    <row r="45971" spans="3:3" x14ac:dyDescent="0.35">
      <c r="C45971" s="2"/>
    </row>
    <row r="45972" spans="3:3" x14ac:dyDescent="0.35">
      <c r="C45972" s="2"/>
    </row>
    <row r="45973" spans="3:3" x14ac:dyDescent="0.35">
      <c r="C45973" s="2"/>
    </row>
    <row r="45974" spans="3:3" x14ac:dyDescent="0.35">
      <c r="C45974" s="2"/>
    </row>
    <row r="45975" spans="3:3" x14ac:dyDescent="0.35">
      <c r="C45975" s="2"/>
    </row>
    <row r="45976" spans="3:3" x14ac:dyDescent="0.35">
      <c r="C45976" s="2"/>
    </row>
    <row r="45977" spans="3:3" x14ac:dyDescent="0.35">
      <c r="C45977" s="2"/>
    </row>
    <row r="45978" spans="3:3" x14ac:dyDescent="0.35">
      <c r="C45978" s="2"/>
    </row>
    <row r="45979" spans="3:3" x14ac:dyDescent="0.35">
      <c r="C45979" s="2"/>
    </row>
    <row r="45980" spans="3:3" x14ac:dyDescent="0.35">
      <c r="C45980" s="2"/>
    </row>
    <row r="45981" spans="3:3" x14ac:dyDescent="0.35">
      <c r="C45981" s="2"/>
    </row>
    <row r="45982" spans="3:3" x14ac:dyDescent="0.35">
      <c r="C45982" s="2"/>
    </row>
    <row r="45983" spans="3:3" x14ac:dyDescent="0.35">
      <c r="C45983" s="2"/>
    </row>
    <row r="45984" spans="3:3" x14ac:dyDescent="0.35">
      <c r="C45984" s="2"/>
    </row>
    <row r="45985" spans="3:3" x14ac:dyDescent="0.35">
      <c r="C45985" s="2"/>
    </row>
    <row r="45986" spans="3:3" x14ac:dyDescent="0.35">
      <c r="C45986" s="2"/>
    </row>
    <row r="45987" spans="3:3" x14ac:dyDescent="0.35">
      <c r="C45987" s="2"/>
    </row>
    <row r="45988" spans="3:3" x14ac:dyDescent="0.35">
      <c r="C45988" s="2"/>
    </row>
    <row r="45989" spans="3:3" x14ac:dyDescent="0.35">
      <c r="C45989" s="2"/>
    </row>
    <row r="45990" spans="3:3" x14ac:dyDescent="0.35">
      <c r="C45990" s="2"/>
    </row>
    <row r="45991" spans="3:3" x14ac:dyDescent="0.35">
      <c r="C45991" s="2"/>
    </row>
    <row r="45992" spans="3:3" x14ac:dyDescent="0.35">
      <c r="C45992" s="2"/>
    </row>
    <row r="45993" spans="3:3" x14ac:dyDescent="0.35">
      <c r="C45993" s="2"/>
    </row>
    <row r="45994" spans="3:3" x14ac:dyDescent="0.35">
      <c r="C45994" s="2"/>
    </row>
    <row r="45995" spans="3:3" x14ac:dyDescent="0.35">
      <c r="C45995" s="2"/>
    </row>
    <row r="45996" spans="3:3" x14ac:dyDescent="0.35">
      <c r="C45996" s="2"/>
    </row>
    <row r="45997" spans="3:3" x14ac:dyDescent="0.35">
      <c r="C45997" s="2"/>
    </row>
    <row r="45998" spans="3:3" x14ac:dyDescent="0.35">
      <c r="C45998" s="2"/>
    </row>
    <row r="45999" spans="3:3" x14ac:dyDescent="0.35">
      <c r="C45999" s="2"/>
    </row>
    <row r="46000" spans="3:3" x14ac:dyDescent="0.35">
      <c r="C46000" s="2"/>
    </row>
    <row r="46001" spans="3:3" x14ac:dyDescent="0.35">
      <c r="C46001" s="2"/>
    </row>
    <row r="46002" spans="3:3" x14ac:dyDescent="0.35">
      <c r="C46002" s="2"/>
    </row>
    <row r="46003" spans="3:3" x14ac:dyDescent="0.35">
      <c r="C46003" s="2"/>
    </row>
    <row r="46004" spans="3:3" x14ac:dyDescent="0.35">
      <c r="C46004" s="2"/>
    </row>
    <row r="46005" spans="3:3" x14ac:dyDescent="0.35">
      <c r="C46005" s="2"/>
    </row>
    <row r="46006" spans="3:3" x14ac:dyDescent="0.35">
      <c r="C46006" s="2"/>
    </row>
    <row r="46007" spans="3:3" x14ac:dyDescent="0.35">
      <c r="C46007" s="2"/>
    </row>
    <row r="46008" spans="3:3" x14ac:dyDescent="0.35">
      <c r="C46008" s="2"/>
    </row>
    <row r="46009" spans="3:3" x14ac:dyDescent="0.35">
      <c r="C46009" s="2"/>
    </row>
    <row r="46010" spans="3:3" x14ac:dyDescent="0.35">
      <c r="C46010" s="2"/>
    </row>
    <row r="46011" spans="3:3" x14ac:dyDescent="0.35">
      <c r="C46011" s="2"/>
    </row>
    <row r="46012" spans="3:3" x14ac:dyDescent="0.35">
      <c r="C46012" s="2"/>
    </row>
    <row r="46013" spans="3:3" x14ac:dyDescent="0.35">
      <c r="C46013" s="2"/>
    </row>
    <row r="46014" spans="3:3" x14ac:dyDescent="0.35">
      <c r="C46014" s="2"/>
    </row>
    <row r="46015" spans="3:3" x14ac:dyDescent="0.35">
      <c r="C46015" s="2"/>
    </row>
    <row r="46016" spans="3:3" x14ac:dyDescent="0.35">
      <c r="C46016" s="2"/>
    </row>
    <row r="46017" spans="3:3" x14ac:dyDescent="0.35">
      <c r="C46017" s="2"/>
    </row>
    <row r="46018" spans="3:3" x14ac:dyDescent="0.35">
      <c r="C46018" s="2"/>
    </row>
    <row r="46019" spans="3:3" x14ac:dyDescent="0.35">
      <c r="C46019" s="2"/>
    </row>
    <row r="46020" spans="3:3" x14ac:dyDescent="0.35">
      <c r="C46020" s="2"/>
    </row>
    <row r="46021" spans="3:3" x14ac:dyDescent="0.35">
      <c r="C46021" s="2"/>
    </row>
    <row r="46022" spans="3:3" x14ac:dyDescent="0.35">
      <c r="C46022" s="2"/>
    </row>
    <row r="46023" spans="3:3" x14ac:dyDescent="0.35">
      <c r="C46023" s="2"/>
    </row>
    <row r="46024" spans="3:3" x14ac:dyDescent="0.35">
      <c r="C46024" s="2"/>
    </row>
    <row r="46025" spans="3:3" x14ac:dyDescent="0.35">
      <c r="C46025" s="2"/>
    </row>
    <row r="46026" spans="3:3" x14ac:dyDescent="0.35">
      <c r="C46026" s="2"/>
    </row>
    <row r="46027" spans="3:3" x14ac:dyDescent="0.35">
      <c r="C46027" s="2"/>
    </row>
    <row r="46028" spans="3:3" x14ac:dyDescent="0.35">
      <c r="C46028" s="2"/>
    </row>
    <row r="46029" spans="3:3" x14ac:dyDescent="0.35">
      <c r="C46029" s="2"/>
    </row>
    <row r="46030" spans="3:3" x14ac:dyDescent="0.35">
      <c r="C46030" s="2"/>
    </row>
    <row r="46031" spans="3:3" x14ac:dyDescent="0.35">
      <c r="C46031" s="2"/>
    </row>
    <row r="46032" spans="3:3" x14ac:dyDescent="0.35">
      <c r="C46032" s="2"/>
    </row>
    <row r="46033" spans="3:3" x14ac:dyDescent="0.35">
      <c r="C46033" s="2"/>
    </row>
    <row r="46034" spans="3:3" x14ac:dyDescent="0.35">
      <c r="C46034" s="2"/>
    </row>
    <row r="46035" spans="3:3" x14ac:dyDescent="0.35">
      <c r="C46035" s="2"/>
    </row>
    <row r="46036" spans="3:3" x14ac:dyDescent="0.35">
      <c r="C46036" s="2"/>
    </row>
    <row r="46037" spans="3:3" x14ac:dyDescent="0.35">
      <c r="C46037" s="2"/>
    </row>
    <row r="46038" spans="3:3" x14ac:dyDescent="0.35">
      <c r="C46038" s="2"/>
    </row>
    <row r="46039" spans="3:3" x14ac:dyDescent="0.35">
      <c r="C46039" s="2"/>
    </row>
    <row r="46040" spans="3:3" x14ac:dyDescent="0.35">
      <c r="C46040" s="2"/>
    </row>
    <row r="46041" spans="3:3" x14ac:dyDescent="0.35">
      <c r="C46041" s="2"/>
    </row>
    <row r="46042" spans="3:3" x14ac:dyDescent="0.35">
      <c r="C46042" s="2"/>
    </row>
    <row r="46043" spans="3:3" x14ac:dyDescent="0.35">
      <c r="C46043" s="2"/>
    </row>
    <row r="46044" spans="3:3" x14ac:dyDescent="0.35">
      <c r="C46044" s="2"/>
    </row>
    <row r="46045" spans="3:3" x14ac:dyDescent="0.35">
      <c r="C46045" s="2"/>
    </row>
    <row r="46046" spans="3:3" x14ac:dyDescent="0.35">
      <c r="C46046" s="2"/>
    </row>
    <row r="46047" spans="3:3" x14ac:dyDescent="0.35">
      <c r="C46047" s="2"/>
    </row>
    <row r="46048" spans="3:3" x14ac:dyDescent="0.35">
      <c r="C46048" s="2"/>
    </row>
    <row r="46049" spans="3:3" x14ac:dyDescent="0.35">
      <c r="C46049" s="2"/>
    </row>
    <row r="46050" spans="3:3" x14ac:dyDescent="0.35">
      <c r="C46050" s="2"/>
    </row>
    <row r="46051" spans="3:3" x14ac:dyDescent="0.35">
      <c r="C46051" s="2"/>
    </row>
    <row r="46052" spans="3:3" x14ac:dyDescent="0.35">
      <c r="C46052" s="2"/>
    </row>
    <row r="46053" spans="3:3" x14ac:dyDescent="0.35">
      <c r="C46053" s="2"/>
    </row>
    <row r="46054" spans="3:3" x14ac:dyDescent="0.35">
      <c r="C46054" s="2"/>
    </row>
    <row r="46055" spans="3:3" x14ac:dyDescent="0.35">
      <c r="C46055" s="2"/>
    </row>
    <row r="46056" spans="3:3" x14ac:dyDescent="0.35">
      <c r="C46056" s="2"/>
    </row>
    <row r="46057" spans="3:3" x14ac:dyDescent="0.35">
      <c r="C46057" s="2"/>
    </row>
    <row r="46058" spans="3:3" x14ac:dyDescent="0.35">
      <c r="C46058" s="2"/>
    </row>
    <row r="46059" spans="3:3" x14ac:dyDescent="0.35">
      <c r="C46059" s="2"/>
    </row>
    <row r="46060" spans="3:3" x14ac:dyDescent="0.35">
      <c r="C46060" s="2"/>
    </row>
    <row r="46061" spans="3:3" x14ac:dyDescent="0.35">
      <c r="C46061" s="2"/>
    </row>
    <row r="46062" spans="3:3" x14ac:dyDescent="0.35">
      <c r="C46062" s="2"/>
    </row>
    <row r="46063" spans="3:3" x14ac:dyDescent="0.35">
      <c r="C46063" s="2"/>
    </row>
    <row r="46064" spans="3:3" x14ac:dyDescent="0.35">
      <c r="C46064" s="2"/>
    </row>
    <row r="46065" spans="3:3" x14ac:dyDescent="0.35">
      <c r="C46065" s="2"/>
    </row>
    <row r="46066" spans="3:3" x14ac:dyDescent="0.35">
      <c r="C46066" s="2"/>
    </row>
    <row r="46067" spans="3:3" x14ac:dyDescent="0.35">
      <c r="C46067" s="2"/>
    </row>
    <row r="46068" spans="3:3" x14ac:dyDescent="0.35">
      <c r="C46068" s="2"/>
    </row>
    <row r="46069" spans="3:3" x14ac:dyDescent="0.35">
      <c r="C46069" s="2"/>
    </row>
    <row r="46070" spans="3:3" x14ac:dyDescent="0.35">
      <c r="C46070" s="2"/>
    </row>
    <row r="46071" spans="3:3" x14ac:dyDescent="0.35">
      <c r="C46071" s="2"/>
    </row>
    <row r="46072" spans="3:3" x14ac:dyDescent="0.35">
      <c r="C46072" s="2"/>
    </row>
    <row r="46073" spans="3:3" x14ac:dyDescent="0.35">
      <c r="C46073" s="2"/>
    </row>
    <row r="46074" spans="3:3" x14ac:dyDescent="0.35">
      <c r="C46074" s="2"/>
    </row>
    <row r="46075" spans="3:3" x14ac:dyDescent="0.35">
      <c r="C46075" s="2"/>
    </row>
    <row r="46076" spans="3:3" x14ac:dyDescent="0.35">
      <c r="C46076" s="2"/>
    </row>
    <row r="46077" spans="3:3" x14ac:dyDescent="0.35">
      <c r="C46077" s="2"/>
    </row>
    <row r="46078" spans="3:3" x14ac:dyDescent="0.35">
      <c r="C46078" s="2"/>
    </row>
    <row r="46079" spans="3:3" x14ac:dyDescent="0.35">
      <c r="C46079" s="2"/>
    </row>
    <row r="46080" spans="3:3" x14ac:dyDescent="0.35">
      <c r="C46080" s="2"/>
    </row>
    <row r="46081" spans="3:3" x14ac:dyDescent="0.35">
      <c r="C46081" s="2"/>
    </row>
    <row r="46082" spans="3:3" x14ac:dyDescent="0.35">
      <c r="C46082" s="2"/>
    </row>
    <row r="46083" spans="3:3" x14ac:dyDescent="0.35">
      <c r="C46083" s="2"/>
    </row>
    <row r="46084" spans="3:3" x14ac:dyDescent="0.35">
      <c r="C46084" s="2"/>
    </row>
    <row r="46085" spans="3:3" x14ac:dyDescent="0.35">
      <c r="C46085" s="2"/>
    </row>
    <row r="46086" spans="3:3" x14ac:dyDescent="0.35">
      <c r="C46086" s="2"/>
    </row>
    <row r="46087" spans="3:3" x14ac:dyDescent="0.35">
      <c r="C46087" s="2"/>
    </row>
    <row r="46088" spans="3:3" x14ac:dyDescent="0.35">
      <c r="C46088" s="2"/>
    </row>
    <row r="46089" spans="3:3" x14ac:dyDescent="0.35">
      <c r="C46089" s="2"/>
    </row>
    <row r="46090" spans="3:3" x14ac:dyDescent="0.35">
      <c r="C46090" s="2"/>
    </row>
    <row r="46091" spans="3:3" x14ac:dyDescent="0.35">
      <c r="C46091" s="2"/>
    </row>
    <row r="46092" spans="3:3" x14ac:dyDescent="0.35">
      <c r="C46092" s="2"/>
    </row>
    <row r="46093" spans="3:3" x14ac:dyDescent="0.35">
      <c r="C46093" s="2"/>
    </row>
    <row r="46094" spans="3:3" x14ac:dyDescent="0.35">
      <c r="C46094" s="2"/>
    </row>
    <row r="46095" spans="3:3" x14ac:dyDescent="0.35">
      <c r="C46095" s="2"/>
    </row>
    <row r="46096" spans="3:3" x14ac:dyDescent="0.35">
      <c r="C46096" s="2"/>
    </row>
    <row r="46097" spans="3:3" x14ac:dyDescent="0.35">
      <c r="C46097" s="2"/>
    </row>
    <row r="46098" spans="3:3" x14ac:dyDescent="0.35">
      <c r="C46098" s="2"/>
    </row>
    <row r="46099" spans="3:3" x14ac:dyDescent="0.35">
      <c r="C46099" s="2"/>
    </row>
    <row r="46100" spans="3:3" x14ac:dyDescent="0.35">
      <c r="C46100" s="2"/>
    </row>
    <row r="46101" spans="3:3" x14ac:dyDescent="0.35">
      <c r="C46101" s="2"/>
    </row>
    <row r="46102" spans="3:3" x14ac:dyDescent="0.35">
      <c r="C46102" s="2"/>
    </row>
    <row r="46103" spans="3:3" x14ac:dyDescent="0.35">
      <c r="C46103" s="2"/>
    </row>
    <row r="46104" spans="3:3" x14ac:dyDescent="0.35">
      <c r="C46104" s="2"/>
    </row>
    <row r="46105" spans="3:3" x14ac:dyDescent="0.35">
      <c r="C46105" s="2"/>
    </row>
    <row r="46106" spans="3:3" x14ac:dyDescent="0.35">
      <c r="C46106" s="2"/>
    </row>
    <row r="46107" spans="3:3" x14ac:dyDescent="0.35">
      <c r="C46107" s="2"/>
    </row>
    <row r="46108" spans="3:3" x14ac:dyDescent="0.35">
      <c r="C46108" s="2"/>
    </row>
    <row r="46109" spans="3:3" x14ac:dyDescent="0.35">
      <c r="C46109" s="2"/>
    </row>
    <row r="46110" spans="3:3" x14ac:dyDescent="0.35">
      <c r="C46110" s="2"/>
    </row>
    <row r="46111" spans="3:3" x14ac:dyDescent="0.35">
      <c r="C46111" s="2"/>
    </row>
    <row r="46112" spans="3:3" x14ac:dyDescent="0.35">
      <c r="C46112" s="2"/>
    </row>
    <row r="46113" spans="3:3" x14ac:dyDescent="0.35">
      <c r="C46113" s="2"/>
    </row>
    <row r="46114" spans="3:3" x14ac:dyDescent="0.35">
      <c r="C46114" s="2"/>
    </row>
    <row r="46115" spans="3:3" x14ac:dyDescent="0.35">
      <c r="C46115" s="2"/>
    </row>
    <row r="46116" spans="3:3" x14ac:dyDescent="0.35">
      <c r="C46116" s="2"/>
    </row>
    <row r="46117" spans="3:3" x14ac:dyDescent="0.35">
      <c r="C46117" s="2"/>
    </row>
    <row r="46118" spans="3:3" x14ac:dyDescent="0.35">
      <c r="C46118" s="2"/>
    </row>
    <row r="46119" spans="3:3" x14ac:dyDescent="0.35">
      <c r="C46119" s="2"/>
    </row>
    <row r="46120" spans="3:3" x14ac:dyDescent="0.35">
      <c r="C46120" s="2"/>
    </row>
    <row r="46121" spans="3:3" x14ac:dyDescent="0.35">
      <c r="C46121" s="2"/>
    </row>
    <row r="46122" spans="3:3" x14ac:dyDescent="0.35">
      <c r="C46122" s="2"/>
    </row>
    <row r="46123" spans="3:3" x14ac:dyDescent="0.35">
      <c r="C46123" s="2"/>
    </row>
    <row r="46124" spans="3:3" x14ac:dyDescent="0.35">
      <c r="C46124" s="2"/>
    </row>
    <row r="46125" spans="3:3" x14ac:dyDescent="0.35">
      <c r="C46125" s="2"/>
    </row>
    <row r="46126" spans="3:3" x14ac:dyDescent="0.35">
      <c r="C46126" s="2"/>
    </row>
    <row r="46127" spans="3:3" x14ac:dyDescent="0.35">
      <c r="C46127" s="2"/>
    </row>
    <row r="46128" spans="3:3" x14ac:dyDescent="0.35">
      <c r="C46128" s="2"/>
    </row>
    <row r="46129" spans="3:3" x14ac:dyDescent="0.35">
      <c r="C46129" s="2"/>
    </row>
    <row r="46130" spans="3:3" x14ac:dyDescent="0.35">
      <c r="C46130" s="2"/>
    </row>
    <row r="46131" spans="3:3" x14ac:dyDescent="0.35">
      <c r="C46131" s="2"/>
    </row>
    <row r="46132" spans="3:3" x14ac:dyDescent="0.35">
      <c r="C46132" s="2"/>
    </row>
    <row r="46133" spans="3:3" x14ac:dyDescent="0.35">
      <c r="C46133" s="2"/>
    </row>
    <row r="46134" spans="3:3" x14ac:dyDescent="0.35">
      <c r="C46134" s="2"/>
    </row>
    <row r="46135" spans="3:3" x14ac:dyDescent="0.35">
      <c r="C46135" s="2"/>
    </row>
    <row r="46136" spans="3:3" x14ac:dyDescent="0.35">
      <c r="C46136" s="2"/>
    </row>
    <row r="46137" spans="3:3" x14ac:dyDescent="0.35">
      <c r="C46137" s="2"/>
    </row>
    <row r="46138" spans="3:3" x14ac:dyDescent="0.35">
      <c r="C46138" s="2"/>
    </row>
    <row r="46139" spans="3:3" x14ac:dyDescent="0.35">
      <c r="C46139" s="2"/>
    </row>
    <row r="46140" spans="3:3" x14ac:dyDescent="0.35">
      <c r="C46140" s="2"/>
    </row>
    <row r="46141" spans="3:3" x14ac:dyDescent="0.35">
      <c r="C46141" s="2"/>
    </row>
    <row r="46142" spans="3:3" x14ac:dyDescent="0.35">
      <c r="C46142" s="2"/>
    </row>
    <row r="46143" spans="3:3" x14ac:dyDescent="0.35">
      <c r="C46143" s="2"/>
    </row>
    <row r="46144" spans="3:3" x14ac:dyDescent="0.35">
      <c r="C46144" s="2"/>
    </row>
    <row r="46145" spans="3:3" x14ac:dyDescent="0.35">
      <c r="C46145" s="2"/>
    </row>
    <row r="46146" spans="3:3" x14ac:dyDescent="0.35">
      <c r="C46146" s="2"/>
    </row>
    <row r="46147" spans="3:3" x14ac:dyDescent="0.35">
      <c r="C46147" s="2"/>
    </row>
    <row r="46148" spans="3:3" x14ac:dyDescent="0.35">
      <c r="C46148" s="2"/>
    </row>
    <row r="46149" spans="3:3" x14ac:dyDescent="0.35">
      <c r="C46149" s="2"/>
    </row>
    <row r="46150" spans="3:3" x14ac:dyDescent="0.35">
      <c r="C46150" s="2"/>
    </row>
    <row r="46151" spans="3:3" x14ac:dyDescent="0.35">
      <c r="C46151" s="2"/>
    </row>
    <row r="46152" spans="3:3" x14ac:dyDescent="0.35">
      <c r="C46152" s="2"/>
    </row>
    <row r="46153" spans="3:3" x14ac:dyDescent="0.35">
      <c r="C46153" s="2"/>
    </row>
    <row r="46154" spans="3:3" x14ac:dyDescent="0.35">
      <c r="C46154" s="2"/>
    </row>
    <row r="46155" spans="3:3" x14ac:dyDescent="0.35">
      <c r="C46155" s="2"/>
    </row>
    <row r="46156" spans="3:3" x14ac:dyDescent="0.35">
      <c r="C46156" s="2"/>
    </row>
    <row r="46157" spans="3:3" x14ac:dyDescent="0.35">
      <c r="C46157" s="2"/>
    </row>
    <row r="46158" spans="3:3" x14ac:dyDescent="0.35">
      <c r="C46158" s="2"/>
    </row>
    <row r="46159" spans="3:3" x14ac:dyDescent="0.35">
      <c r="C46159" s="2"/>
    </row>
    <row r="46160" spans="3:3" x14ac:dyDescent="0.35">
      <c r="C46160" s="2"/>
    </row>
    <row r="46161" spans="3:3" x14ac:dyDescent="0.35">
      <c r="C46161" s="2"/>
    </row>
    <row r="46162" spans="3:3" x14ac:dyDescent="0.35">
      <c r="C46162" s="2"/>
    </row>
    <row r="46163" spans="3:3" x14ac:dyDescent="0.35">
      <c r="C46163" s="2"/>
    </row>
    <row r="46164" spans="3:3" x14ac:dyDescent="0.35">
      <c r="C46164" s="2"/>
    </row>
    <row r="46165" spans="3:3" x14ac:dyDescent="0.35">
      <c r="C46165" s="2"/>
    </row>
    <row r="46166" spans="3:3" x14ac:dyDescent="0.35">
      <c r="C46166" s="2"/>
    </row>
    <row r="46167" spans="3:3" x14ac:dyDescent="0.35">
      <c r="C46167" s="2"/>
    </row>
    <row r="46168" spans="3:3" x14ac:dyDescent="0.35">
      <c r="C46168" s="2"/>
    </row>
    <row r="46169" spans="3:3" x14ac:dyDescent="0.35">
      <c r="C46169" s="2"/>
    </row>
    <row r="46170" spans="3:3" x14ac:dyDescent="0.35">
      <c r="C46170" s="2"/>
    </row>
    <row r="46171" spans="3:3" x14ac:dyDescent="0.35">
      <c r="C46171" s="2"/>
    </row>
    <row r="46172" spans="3:3" x14ac:dyDescent="0.35">
      <c r="C46172" s="2"/>
    </row>
    <row r="46173" spans="3:3" x14ac:dyDescent="0.35">
      <c r="C46173" s="2"/>
    </row>
    <row r="46174" spans="3:3" x14ac:dyDescent="0.35">
      <c r="C46174" s="2"/>
    </row>
    <row r="46175" spans="3:3" x14ac:dyDescent="0.35">
      <c r="C46175" s="2"/>
    </row>
    <row r="46176" spans="3:3" x14ac:dyDescent="0.35">
      <c r="C46176" s="2"/>
    </row>
    <row r="46177" spans="3:3" x14ac:dyDescent="0.35">
      <c r="C46177" s="2"/>
    </row>
    <row r="46178" spans="3:3" x14ac:dyDescent="0.35">
      <c r="C46178" s="2"/>
    </row>
    <row r="46179" spans="3:3" x14ac:dyDescent="0.35">
      <c r="C46179" s="2"/>
    </row>
    <row r="46180" spans="3:3" x14ac:dyDescent="0.35">
      <c r="C46180" s="2"/>
    </row>
    <row r="46181" spans="3:3" x14ac:dyDescent="0.35">
      <c r="C46181" s="2"/>
    </row>
    <row r="46182" spans="3:3" x14ac:dyDescent="0.35">
      <c r="C46182" s="2"/>
    </row>
    <row r="46183" spans="3:3" x14ac:dyDescent="0.35">
      <c r="C46183" s="2"/>
    </row>
    <row r="46184" spans="3:3" x14ac:dyDescent="0.35">
      <c r="C46184" s="2"/>
    </row>
    <row r="46185" spans="3:3" x14ac:dyDescent="0.35">
      <c r="C46185" s="2"/>
    </row>
    <row r="46186" spans="3:3" x14ac:dyDescent="0.35">
      <c r="C46186" s="2"/>
    </row>
    <row r="46187" spans="3:3" x14ac:dyDescent="0.35">
      <c r="C46187" s="2"/>
    </row>
    <row r="46188" spans="3:3" x14ac:dyDescent="0.35">
      <c r="C46188" s="2"/>
    </row>
    <row r="46189" spans="3:3" x14ac:dyDescent="0.35">
      <c r="C46189" s="2"/>
    </row>
    <row r="46190" spans="3:3" x14ac:dyDescent="0.35">
      <c r="C46190" s="2"/>
    </row>
    <row r="46191" spans="3:3" x14ac:dyDescent="0.35">
      <c r="C46191" s="2"/>
    </row>
    <row r="46192" spans="3:3" x14ac:dyDescent="0.35">
      <c r="C46192" s="2"/>
    </row>
    <row r="46193" spans="3:3" x14ac:dyDescent="0.35">
      <c r="C46193" s="2"/>
    </row>
    <row r="46194" spans="3:3" x14ac:dyDescent="0.35">
      <c r="C46194" s="2"/>
    </row>
    <row r="46195" spans="3:3" x14ac:dyDescent="0.35">
      <c r="C46195" s="2"/>
    </row>
    <row r="46196" spans="3:3" x14ac:dyDescent="0.35">
      <c r="C46196" s="2"/>
    </row>
    <row r="46197" spans="3:3" x14ac:dyDescent="0.35">
      <c r="C46197" s="2"/>
    </row>
    <row r="46198" spans="3:3" x14ac:dyDescent="0.35">
      <c r="C46198" s="2"/>
    </row>
    <row r="46199" spans="3:3" x14ac:dyDescent="0.35">
      <c r="C46199" s="2"/>
    </row>
    <row r="46200" spans="3:3" x14ac:dyDescent="0.35">
      <c r="C46200" s="2"/>
    </row>
    <row r="46201" spans="3:3" x14ac:dyDescent="0.35">
      <c r="C46201" s="2"/>
    </row>
    <row r="46202" spans="3:3" x14ac:dyDescent="0.35">
      <c r="C46202" s="2"/>
    </row>
    <row r="46203" spans="3:3" x14ac:dyDescent="0.35">
      <c r="C46203" s="2"/>
    </row>
    <row r="46204" spans="3:3" x14ac:dyDescent="0.35">
      <c r="C46204" s="2"/>
    </row>
    <row r="46205" spans="3:3" x14ac:dyDescent="0.35">
      <c r="C46205" s="2"/>
    </row>
    <row r="46206" spans="3:3" x14ac:dyDescent="0.35">
      <c r="C46206" s="2"/>
    </row>
    <row r="46207" spans="3:3" x14ac:dyDescent="0.35">
      <c r="C46207" s="2"/>
    </row>
    <row r="46208" spans="3:3" x14ac:dyDescent="0.35">
      <c r="C46208" s="2"/>
    </row>
    <row r="46209" spans="3:3" x14ac:dyDescent="0.35">
      <c r="C46209" s="2"/>
    </row>
    <row r="46210" spans="3:3" x14ac:dyDescent="0.35">
      <c r="C46210" s="2"/>
    </row>
    <row r="46211" spans="3:3" x14ac:dyDescent="0.35">
      <c r="C46211" s="2"/>
    </row>
    <row r="46212" spans="3:3" x14ac:dyDescent="0.35">
      <c r="C46212" s="2"/>
    </row>
    <row r="46213" spans="3:3" x14ac:dyDescent="0.35">
      <c r="C46213" s="2"/>
    </row>
    <row r="46214" spans="3:3" x14ac:dyDescent="0.35">
      <c r="C46214" s="2"/>
    </row>
    <row r="46215" spans="3:3" x14ac:dyDescent="0.35">
      <c r="C46215" s="2"/>
    </row>
    <row r="46216" spans="3:3" x14ac:dyDescent="0.35">
      <c r="C46216" s="2"/>
    </row>
    <row r="46217" spans="3:3" x14ac:dyDescent="0.35">
      <c r="C46217" s="2"/>
    </row>
    <row r="46218" spans="3:3" x14ac:dyDescent="0.35">
      <c r="C46218" s="2"/>
    </row>
    <row r="46219" spans="3:3" x14ac:dyDescent="0.35">
      <c r="C46219" s="2"/>
    </row>
    <row r="46220" spans="3:3" x14ac:dyDescent="0.35">
      <c r="C46220" s="2"/>
    </row>
    <row r="46221" spans="3:3" x14ac:dyDescent="0.35">
      <c r="C46221" s="2"/>
    </row>
    <row r="46222" spans="3:3" x14ac:dyDescent="0.35">
      <c r="C46222" s="2"/>
    </row>
    <row r="46223" spans="3:3" x14ac:dyDescent="0.35">
      <c r="C46223" s="2"/>
    </row>
    <row r="46224" spans="3:3" x14ac:dyDescent="0.35">
      <c r="C46224" s="2"/>
    </row>
    <row r="46225" spans="3:3" x14ac:dyDescent="0.35">
      <c r="C46225" s="2"/>
    </row>
    <row r="46226" spans="3:3" x14ac:dyDescent="0.35">
      <c r="C46226" s="2"/>
    </row>
    <row r="46227" spans="3:3" x14ac:dyDescent="0.35">
      <c r="C46227" s="2"/>
    </row>
    <row r="46228" spans="3:3" x14ac:dyDescent="0.35">
      <c r="C46228" s="2"/>
    </row>
    <row r="46229" spans="3:3" x14ac:dyDescent="0.35">
      <c r="C46229" s="2"/>
    </row>
    <row r="46230" spans="3:3" x14ac:dyDescent="0.35">
      <c r="C46230" s="2"/>
    </row>
    <row r="46231" spans="3:3" x14ac:dyDescent="0.35">
      <c r="C46231" s="2"/>
    </row>
    <row r="46232" spans="3:3" x14ac:dyDescent="0.35">
      <c r="C46232" s="2"/>
    </row>
    <row r="46233" spans="3:3" x14ac:dyDescent="0.35">
      <c r="C46233" s="2"/>
    </row>
    <row r="46234" spans="3:3" x14ac:dyDescent="0.35">
      <c r="C46234" s="2"/>
    </row>
    <row r="46235" spans="3:3" x14ac:dyDescent="0.35">
      <c r="C46235" s="2"/>
    </row>
    <row r="46236" spans="3:3" x14ac:dyDescent="0.35">
      <c r="C46236" s="2"/>
    </row>
    <row r="46237" spans="3:3" x14ac:dyDescent="0.35">
      <c r="C46237" s="2"/>
    </row>
    <row r="46238" spans="3:3" x14ac:dyDescent="0.35">
      <c r="C46238" s="2"/>
    </row>
    <row r="46239" spans="3:3" x14ac:dyDescent="0.35">
      <c r="C46239" s="2"/>
    </row>
    <row r="46240" spans="3:3" x14ac:dyDescent="0.35">
      <c r="C46240" s="2"/>
    </row>
    <row r="46241" spans="3:3" x14ac:dyDescent="0.35">
      <c r="C46241" s="2"/>
    </row>
    <row r="46242" spans="3:3" x14ac:dyDescent="0.35">
      <c r="C46242" s="2"/>
    </row>
    <row r="46243" spans="3:3" x14ac:dyDescent="0.35">
      <c r="C46243" s="2"/>
    </row>
    <row r="46244" spans="3:3" x14ac:dyDescent="0.35">
      <c r="C46244" s="2"/>
    </row>
    <row r="46245" spans="3:3" x14ac:dyDescent="0.35">
      <c r="C46245" s="2"/>
    </row>
    <row r="46246" spans="3:3" x14ac:dyDescent="0.35">
      <c r="C46246" s="2"/>
    </row>
    <row r="46247" spans="3:3" x14ac:dyDescent="0.35">
      <c r="C46247" s="2"/>
    </row>
    <row r="46248" spans="3:3" x14ac:dyDescent="0.35">
      <c r="C46248" s="2"/>
    </row>
    <row r="46249" spans="3:3" x14ac:dyDescent="0.35">
      <c r="C46249" s="2"/>
    </row>
    <row r="46250" spans="3:3" x14ac:dyDescent="0.35">
      <c r="C46250" s="2"/>
    </row>
    <row r="46251" spans="3:3" x14ac:dyDescent="0.35">
      <c r="C46251" s="2"/>
    </row>
    <row r="46252" spans="3:3" x14ac:dyDescent="0.35">
      <c r="C46252" s="2"/>
    </row>
    <row r="46253" spans="3:3" x14ac:dyDescent="0.35">
      <c r="C46253" s="2"/>
    </row>
    <row r="46254" spans="3:3" x14ac:dyDescent="0.35">
      <c r="C46254" s="2"/>
    </row>
    <row r="46255" spans="3:3" x14ac:dyDescent="0.35">
      <c r="C46255" s="2"/>
    </row>
    <row r="46256" spans="3:3" x14ac:dyDescent="0.35">
      <c r="C46256" s="2"/>
    </row>
    <row r="46257" spans="3:3" x14ac:dyDescent="0.35">
      <c r="C46257" s="2"/>
    </row>
    <row r="46258" spans="3:3" x14ac:dyDescent="0.35">
      <c r="C46258" s="2"/>
    </row>
    <row r="46259" spans="3:3" x14ac:dyDescent="0.35">
      <c r="C46259" s="2"/>
    </row>
    <row r="46260" spans="3:3" x14ac:dyDescent="0.35">
      <c r="C46260" s="2"/>
    </row>
    <row r="46261" spans="3:3" x14ac:dyDescent="0.35">
      <c r="C46261" s="2"/>
    </row>
    <row r="46262" spans="3:3" x14ac:dyDescent="0.35">
      <c r="C46262" s="2"/>
    </row>
    <row r="46263" spans="3:3" x14ac:dyDescent="0.35">
      <c r="C46263" s="2"/>
    </row>
    <row r="46264" spans="3:3" x14ac:dyDescent="0.35">
      <c r="C46264" s="2"/>
    </row>
    <row r="46265" spans="3:3" x14ac:dyDescent="0.35">
      <c r="C46265" s="2"/>
    </row>
    <row r="46266" spans="3:3" x14ac:dyDescent="0.35">
      <c r="C46266" s="2"/>
    </row>
    <row r="46267" spans="3:3" x14ac:dyDescent="0.35">
      <c r="C46267" s="2"/>
    </row>
    <row r="46268" spans="3:3" x14ac:dyDescent="0.35">
      <c r="C46268" s="2"/>
    </row>
    <row r="46269" spans="3:3" x14ac:dyDescent="0.35">
      <c r="C46269" s="2"/>
    </row>
    <row r="46270" spans="3:3" x14ac:dyDescent="0.35">
      <c r="C46270" s="2"/>
    </row>
    <row r="46271" spans="3:3" x14ac:dyDescent="0.35">
      <c r="C46271" s="2"/>
    </row>
    <row r="46272" spans="3:3" x14ac:dyDescent="0.35">
      <c r="C46272" s="2"/>
    </row>
    <row r="46273" spans="3:3" x14ac:dyDescent="0.35">
      <c r="C46273" s="2"/>
    </row>
    <row r="46274" spans="3:3" x14ac:dyDescent="0.35">
      <c r="C46274" s="2"/>
    </row>
    <row r="46275" spans="3:3" x14ac:dyDescent="0.35">
      <c r="C46275" s="2"/>
    </row>
    <row r="46276" spans="3:3" x14ac:dyDescent="0.35">
      <c r="C46276" s="2"/>
    </row>
    <row r="46277" spans="3:3" x14ac:dyDescent="0.35">
      <c r="C46277" s="2"/>
    </row>
    <row r="46278" spans="3:3" x14ac:dyDescent="0.35">
      <c r="C46278" s="2"/>
    </row>
    <row r="46279" spans="3:3" x14ac:dyDescent="0.35">
      <c r="C46279" s="2"/>
    </row>
    <row r="46280" spans="3:3" x14ac:dyDescent="0.35">
      <c r="C46280" s="2"/>
    </row>
    <row r="46281" spans="3:3" x14ac:dyDescent="0.35">
      <c r="C46281" s="2"/>
    </row>
    <row r="46282" spans="3:3" x14ac:dyDescent="0.35">
      <c r="C46282" s="2"/>
    </row>
    <row r="46283" spans="3:3" x14ac:dyDescent="0.35">
      <c r="C46283" s="2"/>
    </row>
    <row r="46284" spans="3:3" x14ac:dyDescent="0.35">
      <c r="C46284" s="2"/>
    </row>
    <row r="46285" spans="3:3" x14ac:dyDescent="0.35">
      <c r="C46285" s="2"/>
    </row>
    <row r="46286" spans="3:3" x14ac:dyDescent="0.35">
      <c r="C46286" s="2"/>
    </row>
    <row r="46287" spans="3:3" x14ac:dyDescent="0.35">
      <c r="C46287" s="2"/>
    </row>
    <row r="46288" spans="3:3" x14ac:dyDescent="0.35">
      <c r="C46288" s="2"/>
    </row>
    <row r="46289" spans="3:3" x14ac:dyDescent="0.35">
      <c r="C46289" s="2"/>
    </row>
    <row r="46290" spans="3:3" x14ac:dyDescent="0.35">
      <c r="C46290" s="2"/>
    </row>
    <row r="46291" spans="3:3" x14ac:dyDescent="0.35">
      <c r="C46291" s="2"/>
    </row>
    <row r="46292" spans="3:3" x14ac:dyDescent="0.35">
      <c r="C46292" s="2"/>
    </row>
    <row r="46293" spans="3:3" x14ac:dyDescent="0.35">
      <c r="C46293" s="2"/>
    </row>
    <row r="46294" spans="3:3" x14ac:dyDescent="0.35">
      <c r="C46294" s="2"/>
    </row>
    <row r="46295" spans="3:3" x14ac:dyDescent="0.35">
      <c r="C46295" s="2"/>
    </row>
    <row r="46296" spans="3:3" x14ac:dyDescent="0.35">
      <c r="C46296" s="2"/>
    </row>
    <row r="46297" spans="3:3" x14ac:dyDescent="0.35">
      <c r="C46297" s="2"/>
    </row>
    <row r="46298" spans="3:3" x14ac:dyDescent="0.35">
      <c r="C46298" s="2"/>
    </row>
    <row r="46299" spans="3:3" x14ac:dyDescent="0.35">
      <c r="C46299" s="2"/>
    </row>
    <row r="46300" spans="3:3" x14ac:dyDescent="0.35">
      <c r="C46300" s="2"/>
    </row>
    <row r="46301" spans="3:3" x14ac:dyDescent="0.35">
      <c r="C46301" s="2"/>
    </row>
    <row r="46302" spans="3:3" x14ac:dyDescent="0.35">
      <c r="C46302" s="2"/>
    </row>
    <row r="46303" spans="3:3" x14ac:dyDescent="0.35">
      <c r="C46303" s="2"/>
    </row>
    <row r="46304" spans="3:3" x14ac:dyDescent="0.35">
      <c r="C46304" s="2"/>
    </row>
    <row r="46305" spans="3:3" x14ac:dyDescent="0.35">
      <c r="C46305" s="2"/>
    </row>
    <row r="46306" spans="3:3" x14ac:dyDescent="0.35">
      <c r="C46306" s="2"/>
    </row>
    <row r="46307" spans="3:3" x14ac:dyDescent="0.35">
      <c r="C46307" s="2"/>
    </row>
    <row r="46308" spans="3:3" x14ac:dyDescent="0.35">
      <c r="C46308" s="2"/>
    </row>
    <row r="46309" spans="3:3" x14ac:dyDescent="0.35">
      <c r="C46309" s="2"/>
    </row>
    <row r="46310" spans="3:3" x14ac:dyDescent="0.35">
      <c r="C46310" s="2"/>
    </row>
    <row r="46311" spans="3:3" x14ac:dyDescent="0.35">
      <c r="C46311" s="2"/>
    </row>
    <row r="46312" spans="3:3" x14ac:dyDescent="0.35">
      <c r="C46312" s="2"/>
    </row>
    <row r="46313" spans="3:3" x14ac:dyDescent="0.35">
      <c r="C46313" s="2"/>
    </row>
    <row r="46314" spans="3:3" x14ac:dyDescent="0.35">
      <c r="C46314" s="2"/>
    </row>
    <row r="46315" spans="3:3" x14ac:dyDescent="0.35">
      <c r="C46315" s="2"/>
    </row>
    <row r="46316" spans="3:3" x14ac:dyDescent="0.35">
      <c r="C46316" s="2"/>
    </row>
    <row r="46317" spans="3:3" x14ac:dyDescent="0.35">
      <c r="C46317" s="2"/>
    </row>
    <row r="46318" spans="3:3" x14ac:dyDescent="0.35">
      <c r="C46318" s="2"/>
    </row>
    <row r="46319" spans="3:3" x14ac:dyDescent="0.35">
      <c r="C46319" s="2"/>
    </row>
    <row r="46320" spans="3:3" x14ac:dyDescent="0.35">
      <c r="C46320" s="2"/>
    </row>
    <row r="46321" spans="3:3" x14ac:dyDescent="0.35">
      <c r="C46321" s="2"/>
    </row>
    <row r="46322" spans="3:3" x14ac:dyDescent="0.35">
      <c r="C46322" s="2"/>
    </row>
    <row r="46323" spans="3:3" x14ac:dyDescent="0.35">
      <c r="C46323" s="2"/>
    </row>
    <row r="46324" spans="3:3" x14ac:dyDescent="0.35">
      <c r="C46324" s="2"/>
    </row>
    <row r="46325" spans="3:3" x14ac:dyDescent="0.35">
      <c r="C46325" s="2"/>
    </row>
    <row r="46326" spans="3:3" x14ac:dyDescent="0.35">
      <c r="C46326" s="2"/>
    </row>
    <row r="46327" spans="3:3" x14ac:dyDescent="0.35">
      <c r="C46327" s="2"/>
    </row>
    <row r="46328" spans="3:3" x14ac:dyDescent="0.35">
      <c r="C46328" s="2"/>
    </row>
    <row r="46329" spans="3:3" x14ac:dyDescent="0.35">
      <c r="C46329" s="2"/>
    </row>
    <row r="46330" spans="3:3" x14ac:dyDescent="0.35">
      <c r="C46330" s="2"/>
    </row>
    <row r="46331" spans="3:3" x14ac:dyDescent="0.35">
      <c r="C46331" s="2"/>
    </row>
    <row r="46332" spans="3:3" x14ac:dyDescent="0.35">
      <c r="C46332" s="2"/>
    </row>
    <row r="46333" spans="3:3" x14ac:dyDescent="0.35">
      <c r="C46333" s="2"/>
    </row>
    <row r="46334" spans="3:3" x14ac:dyDescent="0.35">
      <c r="C46334" s="2"/>
    </row>
    <row r="46335" spans="3:3" x14ac:dyDescent="0.35">
      <c r="C46335" s="2"/>
    </row>
    <row r="46336" spans="3:3" x14ac:dyDescent="0.35">
      <c r="C46336" s="2"/>
    </row>
    <row r="46337" spans="3:3" x14ac:dyDescent="0.35">
      <c r="C46337" s="2"/>
    </row>
    <row r="46338" spans="3:3" x14ac:dyDescent="0.35">
      <c r="C46338" s="2"/>
    </row>
    <row r="46339" spans="3:3" x14ac:dyDescent="0.35">
      <c r="C46339" s="2"/>
    </row>
    <row r="46340" spans="3:3" x14ac:dyDescent="0.35">
      <c r="C46340" s="2"/>
    </row>
    <row r="46341" spans="3:3" x14ac:dyDescent="0.35">
      <c r="C46341" s="2"/>
    </row>
    <row r="46342" spans="3:3" x14ac:dyDescent="0.35">
      <c r="C46342" s="2"/>
    </row>
    <row r="46343" spans="3:3" x14ac:dyDescent="0.35">
      <c r="C46343" s="2"/>
    </row>
    <row r="46344" spans="3:3" x14ac:dyDescent="0.35">
      <c r="C46344" s="2"/>
    </row>
    <row r="46345" spans="3:3" x14ac:dyDescent="0.35">
      <c r="C46345" s="2"/>
    </row>
    <row r="46346" spans="3:3" x14ac:dyDescent="0.35">
      <c r="C46346" s="2"/>
    </row>
    <row r="46347" spans="3:3" x14ac:dyDescent="0.35">
      <c r="C46347" s="2"/>
    </row>
    <row r="46348" spans="3:3" x14ac:dyDescent="0.35">
      <c r="C46348" s="2"/>
    </row>
    <row r="46349" spans="3:3" x14ac:dyDescent="0.35">
      <c r="C46349" s="2"/>
    </row>
    <row r="46350" spans="3:3" x14ac:dyDescent="0.35">
      <c r="C46350" s="2"/>
    </row>
    <row r="46351" spans="3:3" x14ac:dyDescent="0.35">
      <c r="C46351" s="2"/>
    </row>
    <row r="46352" spans="3:3" x14ac:dyDescent="0.35">
      <c r="C46352" s="2"/>
    </row>
    <row r="46353" spans="3:3" x14ac:dyDescent="0.35">
      <c r="C46353" s="2"/>
    </row>
    <row r="46354" spans="3:3" x14ac:dyDescent="0.35">
      <c r="C46354" s="2"/>
    </row>
    <row r="46355" spans="3:3" x14ac:dyDescent="0.35">
      <c r="C46355" s="2"/>
    </row>
    <row r="46356" spans="3:3" x14ac:dyDescent="0.35">
      <c r="C46356" s="2"/>
    </row>
    <row r="46357" spans="3:3" x14ac:dyDescent="0.35">
      <c r="C46357" s="2"/>
    </row>
    <row r="46358" spans="3:3" x14ac:dyDescent="0.35">
      <c r="C46358" s="2"/>
    </row>
    <row r="46359" spans="3:3" x14ac:dyDescent="0.35">
      <c r="C46359" s="2"/>
    </row>
    <row r="46360" spans="3:3" x14ac:dyDescent="0.35">
      <c r="C46360" s="2"/>
    </row>
    <row r="46361" spans="3:3" x14ac:dyDescent="0.35">
      <c r="C46361" s="2"/>
    </row>
    <row r="46362" spans="3:3" x14ac:dyDescent="0.35">
      <c r="C46362" s="2"/>
    </row>
    <row r="46363" spans="3:3" x14ac:dyDescent="0.35">
      <c r="C46363" s="2"/>
    </row>
    <row r="46364" spans="3:3" x14ac:dyDescent="0.35">
      <c r="C46364" s="2"/>
    </row>
    <row r="46365" spans="3:3" x14ac:dyDescent="0.35">
      <c r="C46365" s="2"/>
    </row>
    <row r="46366" spans="3:3" x14ac:dyDescent="0.35">
      <c r="C46366" s="2"/>
    </row>
    <row r="46367" spans="3:3" x14ac:dyDescent="0.35">
      <c r="C46367" s="2"/>
    </row>
    <row r="46368" spans="3:3" x14ac:dyDescent="0.35">
      <c r="C46368" s="2"/>
    </row>
    <row r="46369" spans="3:3" x14ac:dyDescent="0.35">
      <c r="C46369" s="2"/>
    </row>
    <row r="46370" spans="3:3" x14ac:dyDescent="0.35">
      <c r="C46370" s="2"/>
    </row>
    <row r="46371" spans="3:3" x14ac:dyDescent="0.35">
      <c r="C46371" s="2"/>
    </row>
    <row r="46372" spans="3:3" x14ac:dyDescent="0.35">
      <c r="C46372" s="2"/>
    </row>
    <row r="46373" spans="3:3" x14ac:dyDescent="0.35">
      <c r="C46373" s="2"/>
    </row>
    <row r="46374" spans="3:3" x14ac:dyDescent="0.35">
      <c r="C46374" s="2"/>
    </row>
    <row r="46375" spans="3:3" x14ac:dyDescent="0.35">
      <c r="C46375" s="2"/>
    </row>
    <row r="46376" spans="3:3" x14ac:dyDescent="0.35">
      <c r="C46376" s="2"/>
    </row>
    <row r="46377" spans="3:3" x14ac:dyDescent="0.35">
      <c r="C46377" s="2"/>
    </row>
    <row r="46378" spans="3:3" x14ac:dyDescent="0.35">
      <c r="C46378" s="2"/>
    </row>
    <row r="46379" spans="3:3" x14ac:dyDescent="0.35">
      <c r="C46379" s="2"/>
    </row>
    <row r="46380" spans="3:3" x14ac:dyDescent="0.35">
      <c r="C46380" s="2"/>
    </row>
    <row r="46381" spans="3:3" x14ac:dyDescent="0.35">
      <c r="C46381" s="2"/>
    </row>
    <row r="46382" spans="3:3" x14ac:dyDescent="0.35">
      <c r="C46382" s="2"/>
    </row>
    <row r="46383" spans="3:3" x14ac:dyDescent="0.35">
      <c r="C46383" s="2"/>
    </row>
    <row r="46384" spans="3:3" x14ac:dyDescent="0.35">
      <c r="C46384" s="2"/>
    </row>
    <row r="46385" spans="3:3" x14ac:dyDescent="0.35">
      <c r="C46385" s="2"/>
    </row>
    <row r="46386" spans="3:3" x14ac:dyDescent="0.35">
      <c r="C46386" s="2"/>
    </row>
    <row r="46387" spans="3:3" x14ac:dyDescent="0.35">
      <c r="C46387" s="2"/>
    </row>
    <row r="46388" spans="3:3" x14ac:dyDescent="0.35">
      <c r="C46388" s="2"/>
    </row>
    <row r="46389" spans="3:3" x14ac:dyDescent="0.35">
      <c r="C46389" s="2"/>
    </row>
    <row r="46390" spans="3:3" x14ac:dyDescent="0.35">
      <c r="C46390" s="2"/>
    </row>
    <row r="46391" spans="3:3" x14ac:dyDescent="0.35">
      <c r="C46391" s="2"/>
    </row>
    <row r="46392" spans="3:3" x14ac:dyDescent="0.35">
      <c r="C46392" s="2"/>
    </row>
    <row r="46393" spans="3:3" x14ac:dyDescent="0.35">
      <c r="C46393" s="2"/>
    </row>
    <row r="46394" spans="3:3" x14ac:dyDescent="0.35">
      <c r="C46394" s="2"/>
    </row>
    <row r="46395" spans="3:3" x14ac:dyDescent="0.35">
      <c r="C46395" s="2"/>
    </row>
    <row r="46396" spans="3:3" x14ac:dyDescent="0.35">
      <c r="C46396" s="2"/>
    </row>
    <row r="46397" spans="3:3" x14ac:dyDescent="0.35">
      <c r="C46397" s="2"/>
    </row>
    <row r="46398" spans="3:3" x14ac:dyDescent="0.35">
      <c r="C46398" s="2"/>
    </row>
    <row r="46399" spans="3:3" x14ac:dyDescent="0.35">
      <c r="C46399" s="2"/>
    </row>
    <row r="46400" spans="3:3" x14ac:dyDescent="0.35">
      <c r="C46400" s="2"/>
    </row>
    <row r="46401" spans="3:3" x14ac:dyDescent="0.35">
      <c r="C46401" s="2"/>
    </row>
    <row r="46402" spans="3:3" x14ac:dyDescent="0.35">
      <c r="C46402" s="2"/>
    </row>
    <row r="46403" spans="3:3" x14ac:dyDescent="0.35">
      <c r="C46403" s="2"/>
    </row>
    <row r="46404" spans="3:3" x14ac:dyDescent="0.35">
      <c r="C46404" s="2"/>
    </row>
    <row r="46405" spans="3:3" x14ac:dyDescent="0.35">
      <c r="C46405" s="2"/>
    </row>
    <row r="46406" spans="3:3" x14ac:dyDescent="0.35">
      <c r="C46406" s="2"/>
    </row>
    <row r="46407" spans="3:3" x14ac:dyDescent="0.35">
      <c r="C46407" s="2"/>
    </row>
    <row r="46408" spans="3:3" x14ac:dyDescent="0.35">
      <c r="C46408" s="2"/>
    </row>
    <row r="46409" spans="3:3" x14ac:dyDescent="0.35">
      <c r="C46409" s="2"/>
    </row>
    <row r="46410" spans="3:3" x14ac:dyDescent="0.35">
      <c r="C46410" s="2"/>
    </row>
    <row r="46411" spans="3:3" x14ac:dyDescent="0.35">
      <c r="C46411" s="2"/>
    </row>
    <row r="46412" spans="3:3" x14ac:dyDescent="0.35">
      <c r="C46412" s="2"/>
    </row>
    <row r="46413" spans="3:3" x14ac:dyDescent="0.35">
      <c r="C46413" s="2"/>
    </row>
    <row r="46414" spans="3:3" x14ac:dyDescent="0.35">
      <c r="C46414" s="2"/>
    </row>
    <row r="46415" spans="3:3" x14ac:dyDescent="0.35">
      <c r="C46415" s="2"/>
    </row>
    <row r="46416" spans="3:3" x14ac:dyDescent="0.35">
      <c r="C46416" s="2"/>
    </row>
    <row r="46417" spans="3:3" x14ac:dyDescent="0.35">
      <c r="C46417" s="2"/>
    </row>
    <row r="46418" spans="3:3" x14ac:dyDescent="0.35">
      <c r="C46418" s="2"/>
    </row>
    <row r="46419" spans="3:3" x14ac:dyDescent="0.35">
      <c r="C46419" s="2"/>
    </row>
    <row r="46420" spans="3:3" x14ac:dyDescent="0.35">
      <c r="C46420" s="2"/>
    </row>
    <row r="46421" spans="3:3" x14ac:dyDescent="0.35">
      <c r="C46421" s="2"/>
    </row>
    <row r="46422" spans="3:3" x14ac:dyDescent="0.35">
      <c r="C46422" s="2"/>
    </row>
    <row r="46423" spans="3:3" x14ac:dyDescent="0.35">
      <c r="C46423" s="2"/>
    </row>
    <row r="46424" spans="3:3" x14ac:dyDescent="0.35">
      <c r="C46424" s="2"/>
    </row>
    <row r="46425" spans="3:3" x14ac:dyDescent="0.35">
      <c r="C46425" s="2"/>
    </row>
    <row r="46426" spans="3:3" x14ac:dyDescent="0.35">
      <c r="C46426" s="2"/>
    </row>
    <row r="46427" spans="3:3" x14ac:dyDescent="0.35">
      <c r="C46427" s="2"/>
    </row>
    <row r="46428" spans="3:3" x14ac:dyDescent="0.35">
      <c r="C46428" s="2"/>
    </row>
    <row r="46429" spans="3:3" x14ac:dyDescent="0.35">
      <c r="C46429" s="2"/>
    </row>
    <row r="46430" spans="3:3" x14ac:dyDescent="0.35">
      <c r="C46430" s="2"/>
    </row>
    <row r="46431" spans="3:3" x14ac:dyDescent="0.35">
      <c r="C46431" s="2"/>
    </row>
    <row r="46432" spans="3:3" x14ac:dyDescent="0.35">
      <c r="C46432" s="2"/>
    </row>
    <row r="46433" spans="3:3" x14ac:dyDescent="0.35">
      <c r="C46433" s="2"/>
    </row>
    <row r="46434" spans="3:3" x14ac:dyDescent="0.35">
      <c r="C46434" s="2"/>
    </row>
    <row r="46435" spans="3:3" x14ac:dyDescent="0.35">
      <c r="C46435" s="2"/>
    </row>
    <row r="46436" spans="3:3" x14ac:dyDescent="0.35">
      <c r="C46436" s="2"/>
    </row>
    <row r="46437" spans="3:3" x14ac:dyDescent="0.35">
      <c r="C46437" s="2"/>
    </row>
    <row r="46438" spans="3:3" x14ac:dyDescent="0.35">
      <c r="C46438" s="2"/>
    </row>
    <row r="46439" spans="3:3" x14ac:dyDescent="0.35">
      <c r="C46439" s="2"/>
    </row>
    <row r="46440" spans="3:3" x14ac:dyDescent="0.35">
      <c r="C46440" s="2"/>
    </row>
    <row r="46441" spans="3:3" x14ac:dyDescent="0.35">
      <c r="C46441" s="2"/>
    </row>
    <row r="46442" spans="3:3" x14ac:dyDescent="0.35">
      <c r="C46442" s="2"/>
    </row>
    <row r="46443" spans="3:3" x14ac:dyDescent="0.35">
      <c r="C46443" s="2"/>
    </row>
    <row r="46444" spans="3:3" x14ac:dyDescent="0.35">
      <c r="C46444" s="2"/>
    </row>
    <row r="46445" spans="3:3" x14ac:dyDescent="0.35">
      <c r="C46445" s="2"/>
    </row>
    <row r="46446" spans="3:3" x14ac:dyDescent="0.35">
      <c r="C46446" s="2"/>
    </row>
    <row r="46447" spans="3:3" x14ac:dyDescent="0.35">
      <c r="C46447" s="2"/>
    </row>
    <row r="46448" spans="3:3" x14ac:dyDescent="0.35">
      <c r="C46448" s="2"/>
    </row>
    <row r="46449" spans="3:3" x14ac:dyDescent="0.35">
      <c r="C46449" s="2"/>
    </row>
    <row r="46450" spans="3:3" x14ac:dyDescent="0.35">
      <c r="C46450" s="2"/>
    </row>
    <row r="46451" spans="3:3" x14ac:dyDescent="0.35">
      <c r="C46451" s="2"/>
    </row>
    <row r="46452" spans="3:3" x14ac:dyDescent="0.35">
      <c r="C46452" s="2"/>
    </row>
    <row r="46453" spans="3:3" x14ac:dyDescent="0.35">
      <c r="C46453" s="2"/>
    </row>
    <row r="46454" spans="3:3" x14ac:dyDescent="0.35">
      <c r="C46454" s="2"/>
    </row>
    <row r="46455" spans="3:3" x14ac:dyDescent="0.35">
      <c r="C46455" s="2"/>
    </row>
    <row r="46456" spans="3:3" x14ac:dyDescent="0.35">
      <c r="C46456" s="2"/>
    </row>
    <row r="46457" spans="3:3" x14ac:dyDescent="0.35">
      <c r="C46457" s="2"/>
    </row>
    <row r="46458" spans="3:3" x14ac:dyDescent="0.35">
      <c r="C46458" s="2"/>
    </row>
    <row r="46459" spans="3:3" x14ac:dyDescent="0.35">
      <c r="C46459" s="2"/>
    </row>
    <row r="46460" spans="3:3" x14ac:dyDescent="0.35">
      <c r="C46460" s="2"/>
    </row>
    <row r="46461" spans="3:3" x14ac:dyDescent="0.35">
      <c r="C46461" s="2"/>
    </row>
    <row r="46462" spans="3:3" x14ac:dyDescent="0.35">
      <c r="C46462" s="2"/>
    </row>
    <row r="46463" spans="3:3" x14ac:dyDescent="0.35">
      <c r="C46463" s="2"/>
    </row>
    <row r="46464" spans="3:3" x14ac:dyDescent="0.35">
      <c r="C46464" s="2"/>
    </row>
    <row r="46465" spans="3:3" x14ac:dyDescent="0.35">
      <c r="C46465" s="2"/>
    </row>
    <row r="46466" spans="3:3" x14ac:dyDescent="0.35">
      <c r="C46466" s="2"/>
    </row>
    <row r="46467" spans="3:3" x14ac:dyDescent="0.35">
      <c r="C46467" s="2"/>
    </row>
    <row r="46468" spans="3:3" x14ac:dyDescent="0.35">
      <c r="C46468" s="2"/>
    </row>
    <row r="46469" spans="3:3" x14ac:dyDescent="0.35">
      <c r="C46469" s="2"/>
    </row>
    <row r="46470" spans="3:3" x14ac:dyDescent="0.35">
      <c r="C46470" s="2"/>
    </row>
    <row r="46471" spans="3:3" x14ac:dyDescent="0.35">
      <c r="C46471" s="2"/>
    </row>
    <row r="46472" spans="3:3" x14ac:dyDescent="0.35">
      <c r="C46472" s="2"/>
    </row>
    <row r="46473" spans="3:3" x14ac:dyDescent="0.35">
      <c r="C46473" s="2"/>
    </row>
    <row r="46474" spans="3:3" x14ac:dyDescent="0.35">
      <c r="C46474" s="2"/>
    </row>
    <row r="46475" spans="3:3" x14ac:dyDescent="0.35">
      <c r="C46475" s="2"/>
    </row>
    <row r="46476" spans="3:3" x14ac:dyDescent="0.35">
      <c r="C46476" s="2"/>
    </row>
    <row r="46477" spans="3:3" x14ac:dyDescent="0.35">
      <c r="C46477" s="2"/>
    </row>
    <row r="46478" spans="3:3" x14ac:dyDescent="0.35">
      <c r="C46478" s="2"/>
    </row>
    <row r="46479" spans="3:3" x14ac:dyDescent="0.35">
      <c r="C46479" s="2"/>
    </row>
    <row r="46480" spans="3:3" x14ac:dyDescent="0.35">
      <c r="C46480" s="2"/>
    </row>
    <row r="46481" spans="3:3" x14ac:dyDescent="0.35">
      <c r="C46481" s="2"/>
    </row>
    <row r="46482" spans="3:3" x14ac:dyDescent="0.35">
      <c r="C46482" s="2"/>
    </row>
    <row r="46483" spans="3:3" x14ac:dyDescent="0.35">
      <c r="C46483" s="2"/>
    </row>
    <row r="46484" spans="3:3" x14ac:dyDescent="0.35">
      <c r="C46484" s="2"/>
    </row>
    <row r="46485" spans="3:3" x14ac:dyDescent="0.35">
      <c r="C46485" s="2"/>
    </row>
    <row r="46486" spans="3:3" x14ac:dyDescent="0.35">
      <c r="C46486" s="2"/>
    </row>
    <row r="46487" spans="3:3" x14ac:dyDescent="0.35">
      <c r="C46487" s="2"/>
    </row>
    <row r="46488" spans="3:3" x14ac:dyDescent="0.35">
      <c r="C46488" s="2"/>
    </row>
    <row r="46489" spans="3:3" x14ac:dyDescent="0.35">
      <c r="C46489" s="2"/>
    </row>
    <row r="46490" spans="3:3" x14ac:dyDescent="0.35">
      <c r="C46490" s="2"/>
    </row>
    <row r="46491" spans="3:3" x14ac:dyDescent="0.35">
      <c r="C46491" s="2"/>
    </row>
    <row r="46492" spans="3:3" x14ac:dyDescent="0.35">
      <c r="C46492" s="2"/>
    </row>
    <row r="46493" spans="3:3" x14ac:dyDescent="0.35">
      <c r="C46493" s="2"/>
    </row>
    <row r="46494" spans="3:3" x14ac:dyDescent="0.35">
      <c r="C46494" s="2"/>
    </row>
    <row r="46495" spans="3:3" x14ac:dyDescent="0.35">
      <c r="C46495" s="2"/>
    </row>
    <row r="46496" spans="3:3" x14ac:dyDescent="0.35">
      <c r="C46496" s="2"/>
    </row>
    <row r="46497" spans="3:3" x14ac:dyDescent="0.35">
      <c r="C46497" s="2"/>
    </row>
    <row r="46498" spans="3:3" x14ac:dyDescent="0.35">
      <c r="C46498" s="2"/>
    </row>
    <row r="46499" spans="3:3" x14ac:dyDescent="0.35">
      <c r="C46499" s="2"/>
    </row>
    <row r="46500" spans="3:3" x14ac:dyDescent="0.35">
      <c r="C46500" s="2"/>
    </row>
    <row r="46501" spans="3:3" x14ac:dyDescent="0.35">
      <c r="C46501" s="2"/>
    </row>
    <row r="46502" spans="3:3" x14ac:dyDescent="0.35">
      <c r="C46502" s="2"/>
    </row>
    <row r="46503" spans="3:3" x14ac:dyDescent="0.35">
      <c r="C46503" s="2"/>
    </row>
    <row r="46504" spans="3:3" x14ac:dyDescent="0.35">
      <c r="C46504" s="2"/>
    </row>
    <row r="46505" spans="3:3" x14ac:dyDescent="0.35">
      <c r="C46505" s="2"/>
    </row>
    <row r="46506" spans="3:3" x14ac:dyDescent="0.35">
      <c r="C46506" s="2"/>
    </row>
    <row r="46507" spans="3:3" x14ac:dyDescent="0.35">
      <c r="C46507" s="2"/>
    </row>
    <row r="46508" spans="3:3" x14ac:dyDescent="0.35">
      <c r="C46508" s="2"/>
    </row>
    <row r="46509" spans="3:3" x14ac:dyDescent="0.35">
      <c r="C46509" s="2"/>
    </row>
    <row r="46510" spans="3:3" x14ac:dyDescent="0.35">
      <c r="C46510" s="2"/>
    </row>
    <row r="46511" spans="3:3" x14ac:dyDescent="0.35">
      <c r="C46511" s="2"/>
    </row>
    <row r="46512" spans="3:3" x14ac:dyDescent="0.35">
      <c r="C46512" s="2"/>
    </row>
    <row r="46513" spans="3:3" x14ac:dyDescent="0.35">
      <c r="C46513" s="2"/>
    </row>
    <row r="46514" spans="3:3" x14ac:dyDescent="0.35">
      <c r="C46514" s="2"/>
    </row>
    <row r="46515" spans="3:3" x14ac:dyDescent="0.35">
      <c r="C46515" s="2"/>
    </row>
    <row r="46516" spans="3:3" x14ac:dyDescent="0.35">
      <c r="C46516" s="2"/>
    </row>
    <row r="46517" spans="3:3" x14ac:dyDescent="0.35">
      <c r="C46517" s="2"/>
    </row>
    <row r="46518" spans="3:3" x14ac:dyDescent="0.35">
      <c r="C46518" s="2"/>
    </row>
    <row r="46519" spans="3:3" x14ac:dyDescent="0.35">
      <c r="C46519" s="2"/>
    </row>
    <row r="46520" spans="3:3" x14ac:dyDescent="0.35">
      <c r="C46520" s="2"/>
    </row>
    <row r="46521" spans="3:3" x14ac:dyDescent="0.35">
      <c r="C46521" s="2"/>
    </row>
    <row r="46522" spans="3:3" x14ac:dyDescent="0.35">
      <c r="C46522" s="2"/>
    </row>
    <row r="46523" spans="3:3" x14ac:dyDescent="0.35">
      <c r="C46523" s="2"/>
    </row>
    <row r="46524" spans="3:3" x14ac:dyDescent="0.35">
      <c r="C46524" s="2"/>
    </row>
    <row r="46525" spans="3:3" x14ac:dyDescent="0.35">
      <c r="C46525" s="2"/>
    </row>
    <row r="46526" spans="3:3" x14ac:dyDescent="0.35">
      <c r="C46526" s="2"/>
    </row>
    <row r="46527" spans="3:3" x14ac:dyDescent="0.35">
      <c r="C46527" s="2"/>
    </row>
    <row r="46528" spans="3:3" x14ac:dyDescent="0.35">
      <c r="C46528" s="2"/>
    </row>
    <row r="46529" spans="3:3" x14ac:dyDescent="0.35">
      <c r="C46529" s="2"/>
    </row>
    <row r="46530" spans="3:3" x14ac:dyDescent="0.35">
      <c r="C46530" s="2"/>
    </row>
    <row r="46531" spans="3:3" x14ac:dyDescent="0.35">
      <c r="C46531" s="2"/>
    </row>
    <row r="46532" spans="3:3" x14ac:dyDescent="0.35">
      <c r="C46532" s="2"/>
    </row>
    <row r="46533" spans="3:3" x14ac:dyDescent="0.35">
      <c r="C46533" s="2"/>
    </row>
    <row r="46534" spans="3:3" x14ac:dyDescent="0.35">
      <c r="C46534" s="2"/>
    </row>
    <row r="46535" spans="3:3" x14ac:dyDescent="0.35">
      <c r="C46535" s="2"/>
    </row>
    <row r="46536" spans="3:3" x14ac:dyDescent="0.35">
      <c r="C46536" s="2"/>
    </row>
    <row r="46537" spans="3:3" x14ac:dyDescent="0.35">
      <c r="C46537" s="2"/>
    </row>
    <row r="46538" spans="3:3" x14ac:dyDescent="0.35">
      <c r="C46538" s="2"/>
    </row>
    <row r="46539" spans="3:3" x14ac:dyDescent="0.35">
      <c r="C46539" s="2"/>
    </row>
    <row r="46540" spans="3:3" x14ac:dyDescent="0.35">
      <c r="C46540" s="2"/>
    </row>
    <row r="46541" spans="3:3" x14ac:dyDescent="0.35">
      <c r="C46541" s="2"/>
    </row>
    <row r="46542" spans="3:3" x14ac:dyDescent="0.35">
      <c r="C46542" s="2"/>
    </row>
    <row r="46543" spans="3:3" x14ac:dyDescent="0.35">
      <c r="C46543" s="2"/>
    </row>
    <row r="46544" spans="3:3" x14ac:dyDescent="0.35">
      <c r="C46544" s="2"/>
    </row>
    <row r="46545" spans="3:3" x14ac:dyDescent="0.35">
      <c r="C46545" s="2"/>
    </row>
    <row r="46546" spans="3:3" x14ac:dyDescent="0.35">
      <c r="C46546" s="2"/>
    </row>
    <row r="46547" spans="3:3" x14ac:dyDescent="0.35">
      <c r="C46547" s="2"/>
    </row>
    <row r="46548" spans="3:3" x14ac:dyDescent="0.35">
      <c r="C46548" s="2"/>
    </row>
    <row r="46549" spans="3:3" x14ac:dyDescent="0.35">
      <c r="C46549" s="2"/>
    </row>
    <row r="46550" spans="3:3" x14ac:dyDescent="0.35">
      <c r="C46550" s="2"/>
    </row>
    <row r="46551" spans="3:3" x14ac:dyDescent="0.35">
      <c r="C46551" s="2"/>
    </row>
    <row r="46552" spans="3:3" x14ac:dyDescent="0.35">
      <c r="C46552" s="2"/>
    </row>
    <row r="46553" spans="3:3" x14ac:dyDescent="0.35">
      <c r="C46553" s="2"/>
    </row>
    <row r="46554" spans="3:3" x14ac:dyDescent="0.35">
      <c r="C46554" s="2"/>
    </row>
    <row r="46555" spans="3:3" x14ac:dyDescent="0.35">
      <c r="C46555" s="2"/>
    </row>
    <row r="46556" spans="3:3" x14ac:dyDescent="0.35">
      <c r="C46556" s="2"/>
    </row>
    <row r="46557" spans="3:3" x14ac:dyDescent="0.35">
      <c r="C46557" s="2"/>
    </row>
    <row r="46558" spans="3:3" x14ac:dyDescent="0.35">
      <c r="C46558" s="2"/>
    </row>
    <row r="46559" spans="3:3" x14ac:dyDescent="0.35">
      <c r="C46559" s="2"/>
    </row>
    <row r="46560" spans="3:3" x14ac:dyDescent="0.35">
      <c r="C46560" s="2"/>
    </row>
    <row r="46561" spans="3:3" x14ac:dyDescent="0.35">
      <c r="C46561" s="2"/>
    </row>
    <row r="46562" spans="3:3" x14ac:dyDescent="0.35">
      <c r="C46562" s="2"/>
    </row>
    <row r="46563" spans="3:3" x14ac:dyDescent="0.35">
      <c r="C46563" s="2"/>
    </row>
    <row r="46564" spans="3:3" x14ac:dyDescent="0.35">
      <c r="C46564" s="2"/>
    </row>
    <row r="46565" spans="3:3" x14ac:dyDescent="0.35">
      <c r="C46565" s="2"/>
    </row>
    <row r="46566" spans="3:3" x14ac:dyDescent="0.35">
      <c r="C46566" s="2"/>
    </row>
    <row r="46567" spans="3:3" x14ac:dyDescent="0.35">
      <c r="C46567" s="2"/>
    </row>
    <row r="46568" spans="3:3" x14ac:dyDescent="0.35">
      <c r="C46568" s="2"/>
    </row>
    <row r="46569" spans="3:3" x14ac:dyDescent="0.35">
      <c r="C46569" s="2"/>
    </row>
    <row r="46570" spans="3:3" x14ac:dyDescent="0.35">
      <c r="C46570" s="2"/>
    </row>
    <row r="46571" spans="3:3" x14ac:dyDescent="0.35">
      <c r="C46571" s="2"/>
    </row>
    <row r="46572" spans="3:3" x14ac:dyDescent="0.35">
      <c r="C46572" s="2"/>
    </row>
    <row r="46573" spans="3:3" x14ac:dyDescent="0.35">
      <c r="C46573" s="2"/>
    </row>
    <row r="46574" spans="3:3" x14ac:dyDescent="0.35">
      <c r="C46574" s="2"/>
    </row>
    <row r="46575" spans="3:3" x14ac:dyDescent="0.35">
      <c r="C46575" s="2"/>
    </row>
    <row r="46576" spans="3:3" x14ac:dyDescent="0.35">
      <c r="C46576" s="2"/>
    </row>
    <row r="46577" spans="3:3" x14ac:dyDescent="0.35">
      <c r="C46577" s="2"/>
    </row>
    <row r="46578" spans="3:3" x14ac:dyDescent="0.35">
      <c r="C46578" s="2"/>
    </row>
    <row r="46579" spans="3:3" x14ac:dyDescent="0.35">
      <c r="C46579" s="2"/>
    </row>
    <row r="46580" spans="3:3" x14ac:dyDescent="0.35">
      <c r="C46580" s="2"/>
    </row>
    <row r="46581" spans="3:3" x14ac:dyDescent="0.35">
      <c r="C46581" s="2"/>
    </row>
    <row r="46582" spans="3:3" x14ac:dyDescent="0.35">
      <c r="C46582" s="2"/>
    </row>
    <row r="46583" spans="3:3" x14ac:dyDescent="0.35">
      <c r="C46583" s="2"/>
    </row>
    <row r="46584" spans="3:3" x14ac:dyDescent="0.35">
      <c r="C46584" s="2"/>
    </row>
    <row r="46585" spans="3:3" x14ac:dyDescent="0.35">
      <c r="C46585" s="2"/>
    </row>
    <row r="46586" spans="3:3" x14ac:dyDescent="0.35">
      <c r="C46586" s="2"/>
    </row>
    <row r="46587" spans="3:3" x14ac:dyDescent="0.35">
      <c r="C46587" s="2"/>
    </row>
    <row r="46588" spans="3:3" x14ac:dyDescent="0.35">
      <c r="C46588" s="2"/>
    </row>
    <row r="46589" spans="3:3" x14ac:dyDescent="0.35">
      <c r="C46589" s="2"/>
    </row>
    <row r="46590" spans="3:3" x14ac:dyDescent="0.35">
      <c r="C46590" s="2"/>
    </row>
    <row r="46591" spans="3:3" x14ac:dyDescent="0.35">
      <c r="C46591" s="2"/>
    </row>
    <row r="46592" spans="3:3" x14ac:dyDescent="0.35">
      <c r="C46592" s="2"/>
    </row>
    <row r="46593" spans="3:3" x14ac:dyDescent="0.35">
      <c r="C46593" s="2"/>
    </row>
    <row r="46594" spans="3:3" x14ac:dyDescent="0.35">
      <c r="C46594" s="2"/>
    </row>
    <row r="46595" spans="3:3" x14ac:dyDescent="0.35">
      <c r="C46595" s="2"/>
    </row>
    <row r="46596" spans="3:3" x14ac:dyDescent="0.35">
      <c r="C46596" s="2"/>
    </row>
    <row r="46597" spans="3:3" x14ac:dyDescent="0.35">
      <c r="C46597" s="2"/>
    </row>
    <row r="46598" spans="3:3" x14ac:dyDescent="0.35">
      <c r="C46598" s="2"/>
    </row>
    <row r="46599" spans="3:3" x14ac:dyDescent="0.35">
      <c r="C46599" s="2"/>
    </row>
    <row r="46600" spans="3:3" x14ac:dyDescent="0.35">
      <c r="C46600" s="2"/>
    </row>
    <row r="46601" spans="3:3" x14ac:dyDescent="0.35">
      <c r="C46601" s="2"/>
    </row>
    <row r="46602" spans="3:3" x14ac:dyDescent="0.35">
      <c r="C46602" s="2"/>
    </row>
    <row r="46603" spans="3:3" x14ac:dyDescent="0.35">
      <c r="C46603" s="2"/>
    </row>
    <row r="46604" spans="3:3" x14ac:dyDescent="0.35">
      <c r="C46604" s="2"/>
    </row>
    <row r="46605" spans="3:3" x14ac:dyDescent="0.35">
      <c r="C46605" s="2"/>
    </row>
    <row r="46606" spans="3:3" x14ac:dyDescent="0.35">
      <c r="C46606" s="2"/>
    </row>
    <row r="46607" spans="3:3" x14ac:dyDescent="0.35">
      <c r="C46607" s="2"/>
    </row>
    <row r="46608" spans="3:3" x14ac:dyDescent="0.35">
      <c r="C46608" s="2"/>
    </row>
    <row r="46609" spans="3:3" x14ac:dyDescent="0.35">
      <c r="C46609" s="2"/>
    </row>
    <row r="46610" spans="3:3" x14ac:dyDescent="0.35">
      <c r="C46610" s="2"/>
    </row>
    <row r="46611" spans="3:3" x14ac:dyDescent="0.35">
      <c r="C46611" s="2"/>
    </row>
    <row r="46612" spans="3:3" x14ac:dyDescent="0.35">
      <c r="C46612" s="2"/>
    </row>
    <row r="46613" spans="3:3" x14ac:dyDescent="0.35">
      <c r="C46613" s="2"/>
    </row>
    <row r="46614" spans="3:3" x14ac:dyDescent="0.35">
      <c r="C46614" s="2"/>
    </row>
    <row r="46615" spans="3:3" x14ac:dyDescent="0.35">
      <c r="C46615" s="2"/>
    </row>
    <row r="46616" spans="3:3" x14ac:dyDescent="0.35">
      <c r="C46616" s="2"/>
    </row>
    <row r="46617" spans="3:3" x14ac:dyDescent="0.35">
      <c r="C46617" s="2"/>
    </row>
    <row r="46618" spans="3:3" x14ac:dyDescent="0.35">
      <c r="C46618" s="2"/>
    </row>
    <row r="46619" spans="3:3" x14ac:dyDescent="0.35">
      <c r="C46619" s="2"/>
    </row>
    <row r="46620" spans="3:3" x14ac:dyDescent="0.35">
      <c r="C46620" s="2"/>
    </row>
    <row r="46621" spans="3:3" x14ac:dyDescent="0.35">
      <c r="C46621" s="2"/>
    </row>
    <row r="46622" spans="3:3" x14ac:dyDescent="0.35">
      <c r="C46622" s="2"/>
    </row>
    <row r="46623" spans="3:3" x14ac:dyDescent="0.35">
      <c r="C46623" s="2"/>
    </row>
    <row r="46624" spans="3:3" x14ac:dyDescent="0.35">
      <c r="C46624" s="2"/>
    </row>
    <row r="46625" spans="3:3" x14ac:dyDescent="0.35">
      <c r="C46625" s="2"/>
    </row>
    <row r="46626" spans="3:3" x14ac:dyDescent="0.35">
      <c r="C46626" s="2"/>
    </row>
    <row r="46627" spans="3:3" x14ac:dyDescent="0.35">
      <c r="C46627" s="2"/>
    </row>
    <row r="46628" spans="3:3" x14ac:dyDescent="0.35">
      <c r="C46628" s="2"/>
    </row>
    <row r="46629" spans="3:3" x14ac:dyDescent="0.35">
      <c r="C46629" s="2"/>
    </row>
    <row r="46630" spans="3:3" x14ac:dyDescent="0.35">
      <c r="C46630" s="2"/>
    </row>
    <row r="46631" spans="3:3" x14ac:dyDescent="0.35">
      <c r="C46631" s="2"/>
    </row>
    <row r="46632" spans="3:3" x14ac:dyDescent="0.35">
      <c r="C46632" s="2"/>
    </row>
    <row r="46633" spans="3:3" x14ac:dyDescent="0.35">
      <c r="C46633" s="2"/>
    </row>
    <row r="46634" spans="3:3" x14ac:dyDescent="0.35">
      <c r="C46634" s="2"/>
    </row>
    <row r="46635" spans="3:3" x14ac:dyDescent="0.35">
      <c r="C46635" s="2"/>
    </row>
    <row r="46636" spans="3:3" x14ac:dyDescent="0.35">
      <c r="C46636" s="2"/>
    </row>
    <row r="46637" spans="3:3" x14ac:dyDescent="0.35">
      <c r="C46637" s="2"/>
    </row>
    <row r="46638" spans="3:3" x14ac:dyDescent="0.35">
      <c r="C46638" s="2"/>
    </row>
    <row r="46639" spans="3:3" x14ac:dyDescent="0.35">
      <c r="C46639" s="2"/>
    </row>
    <row r="46640" spans="3:3" x14ac:dyDescent="0.35">
      <c r="C46640" s="2"/>
    </row>
    <row r="46641" spans="3:3" x14ac:dyDescent="0.35">
      <c r="C46641" s="2"/>
    </row>
    <row r="46642" spans="3:3" x14ac:dyDescent="0.35">
      <c r="C46642" s="2"/>
    </row>
    <row r="46643" spans="3:3" x14ac:dyDescent="0.35">
      <c r="C46643" s="2"/>
    </row>
    <row r="46644" spans="3:3" x14ac:dyDescent="0.35">
      <c r="C46644" s="2"/>
    </row>
    <row r="46645" spans="3:3" x14ac:dyDescent="0.35">
      <c r="C46645" s="2"/>
    </row>
    <row r="46646" spans="3:3" x14ac:dyDescent="0.35">
      <c r="C46646" s="2"/>
    </row>
    <row r="46647" spans="3:3" x14ac:dyDescent="0.35">
      <c r="C46647" s="2"/>
    </row>
    <row r="46648" spans="3:3" x14ac:dyDescent="0.35">
      <c r="C46648" s="2"/>
    </row>
    <row r="46649" spans="3:3" x14ac:dyDescent="0.35">
      <c r="C46649" s="2"/>
    </row>
    <row r="46650" spans="3:3" x14ac:dyDescent="0.35">
      <c r="C46650" s="2"/>
    </row>
    <row r="46651" spans="3:3" x14ac:dyDescent="0.35">
      <c r="C46651" s="2"/>
    </row>
    <row r="46652" spans="3:3" x14ac:dyDescent="0.35">
      <c r="C46652" s="2"/>
    </row>
    <row r="46653" spans="3:3" x14ac:dyDescent="0.35">
      <c r="C46653" s="2"/>
    </row>
    <row r="46654" spans="3:3" x14ac:dyDescent="0.35">
      <c r="C46654" s="2"/>
    </row>
    <row r="46655" spans="3:3" x14ac:dyDescent="0.35">
      <c r="C46655" s="2"/>
    </row>
    <row r="46656" spans="3:3" x14ac:dyDescent="0.35">
      <c r="C46656" s="2"/>
    </row>
    <row r="46657" spans="3:3" x14ac:dyDescent="0.35">
      <c r="C46657" s="2"/>
    </row>
    <row r="46658" spans="3:3" x14ac:dyDescent="0.35">
      <c r="C46658" s="2"/>
    </row>
    <row r="46659" spans="3:3" x14ac:dyDescent="0.35">
      <c r="C46659" s="2"/>
    </row>
    <row r="46660" spans="3:3" x14ac:dyDescent="0.35">
      <c r="C46660" s="2"/>
    </row>
    <row r="46661" spans="3:3" x14ac:dyDescent="0.35">
      <c r="C46661" s="2"/>
    </row>
    <row r="46662" spans="3:3" x14ac:dyDescent="0.35">
      <c r="C46662" s="2"/>
    </row>
    <row r="46663" spans="3:3" x14ac:dyDescent="0.35">
      <c r="C46663" s="2"/>
    </row>
    <row r="46664" spans="3:3" x14ac:dyDescent="0.35">
      <c r="C46664" s="2"/>
    </row>
    <row r="46665" spans="3:3" x14ac:dyDescent="0.35">
      <c r="C46665" s="2"/>
    </row>
    <row r="46666" spans="3:3" x14ac:dyDescent="0.35">
      <c r="C46666" s="2"/>
    </row>
    <row r="46667" spans="3:3" x14ac:dyDescent="0.35">
      <c r="C46667" s="2"/>
    </row>
    <row r="46668" spans="3:3" x14ac:dyDescent="0.35">
      <c r="C46668" s="2"/>
    </row>
    <row r="46669" spans="3:3" x14ac:dyDescent="0.35">
      <c r="C46669" s="2"/>
    </row>
    <row r="46670" spans="3:3" x14ac:dyDescent="0.35">
      <c r="C46670" s="2"/>
    </row>
    <row r="46671" spans="3:3" x14ac:dyDescent="0.35">
      <c r="C46671" s="2"/>
    </row>
    <row r="46672" spans="3:3" x14ac:dyDescent="0.35">
      <c r="C46672" s="2"/>
    </row>
    <row r="46673" spans="3:3" x14ac:dyDescent="0.35">
      <c r="C46673" s="2"/>
    </row>
    <row r="46674" spans="3:3" x14ac:dyDescent="0.35">
      <c r="C46674" s="2"/>
    </row>
    <row r="46675" spans="3:3" x14ac:dyDescent="0.35">
      <c r="C46675" s="2"/>
    </row>
    <row r="46676" spans="3:3" x14ac:dyDescent="0.35">
      <c r="C46676" s="2"/>
    </row>
    <row r="46677" spans="3:3" x14ac:dyDescent="0.35">
      <c r="C46677" s="2"/>
    </row>
    <row r="46678" spans="3:3" x14ac:dyDescent="0.35">
      <c r="C46678" s="2"/>
    </row>
    <row r="46679" spans="3:3" x14ac:dyDescent="0.35">
      <c r="C46679" s="2"/>
    </row>
    <row r="46680" spans="3:3" x14ac:dyDescent="0.35">
      <c r="C46680" s="2"/>
    </row>
    <row r="46681" spans="3:3" x14ac:dyDescent="0.35">
      <c r="C46681" s="2"/>
    </row>
    <row r="46682" spans="3:3" x14ac:dyDescent="0.35">
      <c r="C46682" s="2"/>
    </row>
    <row r="46683" spans="3:3" x14ac:dyDescent="0.35">
      <c r="C46683" s="2"/>
    </row>
    <row r="46684" spans="3:3" x14ac:dyDescent="0.35">
      <c r="C46684" s="2"/>
    </row>
    <row r="46685" spans="3:3" x14ac:dyDescent="0.35">
      <c r="C46685" s="2"/>
    </row>
    <row r="46686" spans="3:3" x14ac:dyDescent="0.35">
      <c r="C46686" s="2"/>
    </row>
    <row r="46687" spans="3:3" x14ac:dyDescent="0.35">
      <c r="C46687" s="2"/>
    </row>
    <row r="46688" spans="3:3" x14ac:dyDescent="0.35">
      <c r="C46688" s="2"/>
    </row>
    <row r="46689" spans="3:3" x14ac:dyDescent="0.35">
      <c r="C46689" s="2"/>
    </row>
    <row r="46690" spans="3:3" x14ac:dyDescent="0.35">
      <c r="C46690" s="2"/>
    </row>
    <row r="46691" spans="3:3" x14ac:dyDescent="0.35">
      <c r="C46691" s="2"/>
    </row>
    <row r="46692" spans="3:3" x14ac:dyDescent="0.35">
      <c r="C46692" s="2"/>
    </row>
    <row r="46693" spans="3:3" x14ac:dyDescent="0.35">
      <c r="C46693" s="2"/>
    </row>
    <row r="46694" spans="3:3" x14ac:dyDescent="0.35">
      <c r="C46694" s="2"/>
    </row>
    <row r="46695" spans="3:3" x14ac:dyDescent="0.35">
      <c r="C46695" s="2"/>
    </row>
    <row r="46696" spans="3:3" x14ac:dyDescent="0.35">
      <c r="C46696" s="2"/>
    </row>
    <row r="46697" spans="3:3" x14ac:dyDescent="0.35">
      <c r="C46697" s="2"/>
    </row>
    <row r="46698" spans="3:3" x14ac:dyDescent="0.35">
      <c r="C46698" s="2"/>
    </row>
    <row r="46699" spans="3:3" x14ac:dyDescent="0.35">
      <c r="C46699" s="2"/>
    </row>
    <row r="46700" spans="3:3" x14ac:dyDescent="0.35">
      <c r="C46700" s="2"/>
    </row>
    <row r="46701" spans="3:3" x14ac:dyDescent="0.35">
      <c r="C46701" s="2"/>
    </row>
    <row r="46702" spans="3:3" x14ac:dyDescent="0.35">
      <c r="C46702" s="2"/>
    </row>
    <row r="46703" spans="3:3" x14ac:dyDescent="0.35">
      <c r="C46703" s="2"/>
    </row>
    <row r="46704" spans="3:3" x14ac:dyDescent="0.35">
      <c r="C46704" s="2"/>
    </row>
    <row r="46705" spans="3:3" x14ac:dyDescent="0.35">
      <c r="C46705" s="2"/>
    </row>
    <row r="46706" spans="3:3" x14ac:dyDescent="0.35">
      <c r="C46706" s="2"/>
    </row>
    <row r="46707" spans="3:3" x14ac:dyDescent="0.35">
      <c r="C46707" s="2"/>
    </row>
    <row r="46708" spans="3:3" x14ac:dyDescent="0.35">
      <c r="C46708" s="2"/>
    </row>
    <row r="46709" spans="3:3" x14ac:dyDescent="0.35">
      <c r="C46709" s="2"/>
    </row>
    <row r="46710" spans="3:3" x14ac:dyDescent="0.35">
      <c r="C46710" s="2"/>
    </row>
    <row r="46711" spans="3:3" x14ac:dyDescent="0.35">
      <c r="C46711" s="2"/>
    </row>
    <row r="46712" spans="3:3" x14ac:dyDescent="0.35">
      <c r="C46712" s="2"/>
    </row>
    <row r="46713" spans="3:3" x14ac:dyDescent="0.35">
      <c r="C46713" s="2"/>
    </row>
    <row r="46714" spans="3:3" x14ac:dyDescent="0.35">
      <c r="C46714" s="2"/>
    </row>
    <row r="46715" spans="3:3" x14ac:dyDescent="0.35">
      <c r="C46715" s="2"/>
    </row>
    <row r="46716" spans="3:3" x14ac:dyDescent="0.35">
      <c r="C46716" s="2"/>
    </row>
    <row r="46717" spans="3:3" x14ac:dyDescent="0.35">
      <c r="C46717" s="2"/>
    </row>
    <row r="46718" spans="3:3" x14ac:dyDescent="0.35">
      <c r="C46718" s="2"/>
    </row>
    <row r="46719" spans="3:3" x14ac:dyDescent="0.35">
      <c r="C46719" s="2"/>
    </row>
    <row r="46720" spans="3:3" x14ac:dyDescent="0.35">
      <c r="C46720" s="2"/>
    </row>
    <row r="46721" spans="3:3" x14ac:dyDescent="0.35">
      <c r="C46721" s="2"/>
    </row>
    <row r="46722" spans="3:3" x14ac:dyDescent="0.35">
      <c r="C46722" s="2"/>
    </row>
    <row r="46723" spans="3:3" x14ac:dyDescent="0.35">
      <c r="C46723" s="2"/>
    </row>
    <row r="46724" spans="3:3" x14ac:dyDescent="0.35">
      <c r="C46724" s="2"/>
    </row>
    <row r="46725" spans="3:3" x14ac:dyDescent="0.35">
      <c r="C46725" s="2"/>
    </row>
    <row r="46726" spans="3:3" x14ac:dyDescent="0.35">
      <c r="C46726" s="2"/>
    </row>
    <row r="46727" spans="3:3" x14ac:dyDescent="0.35">
      <c r="C46727" s="2"/>
    </row>
    <row r="46728" spans="3:3" x14ac:dyDescent="0.35">
      <c r="C46728" s="2"/>
    </row>
    <row r="46729" spans="3:3" x14ac:dyDescent="0.35">
      <c r="C46729" s="2"/>
    </row>
    <row r="46730" spans="3:3" x14ac:dyDescent="0.35">
      <c r="C46730" s="2"/>
    </row>
    <row r="46731" spans="3:3" x14ac:dyDescent="0.35">
      <c r="C46731" s="2"/>
    </row>
    <row r="46732" spans="3:3" x14ac:dyDescent="0.35">
      <c r="C46732" s="2"/>
    </row>
    <row r="46733" spans="3:3" x14ac:dyDescent="0.35">
      <c r="C46733" s="2"/>
    </row>
    <row r="46734" spans="3:3" x14ac:dyDescent="0.35">
      <c r="C46734" s="2"/>
    </row>
    <row r="46735" spans="3:3" x14ac:dyDescent="0.35">
      <c r="C46735" s="2"/>
    </row>
    <row r="46736" spans="3:3" x14ac:dyDescent="0.35">
      <c r="C46736" s="2"/>
    </row>
    <row r="46737" spans="3:3" x14ac:dyDescent="0.35">
      <c r="C46737" s="2"/>
    </row>
    <row r="46738" spans="3:3" x14ac:dyDescent="0.35">
      <c r="C46738" s="2"/>
    </row>
    <row r="46739" spans="3:3" x14ac:dyDescent="0.35">
      <c r="C46739" s="2"/>
    </row>
    <row r="46740" spans="3:3" x14ac:dyDescent="0.35">
      <c r="C46740" s="2"/>
    </row>
    <row r="46741" spans="3:3" x14ac:dyDescent="0.35">
      <c r="C46741" s="2"/>
    </row>
    <row r="46742" spans="3:3" x14ac:dyDescent="0.35">
      <c r="C46742" s="2"/>
    </row>
    <row r="46743" spans="3:3" x14ac:dyDescent="0.35">
      <c r="C46743" s="2"/>
    </row>
    <row r="46744" spans="3:3" x14ac:dyDescent="0.35">
      <c r="C46744" s="2"/>
    </row>
    <row r="46745" spans="3:3" x14ac:dyDescent="0.35">
      <c r="C46745" s="2"/>
    </row>
    <row r="46746" spans="3:3" x14ac:dyDescent="0.35">
      <c r="C46746" s="2"/>
    </row>
    <row r="46747" spans="3:3" x14ac:dyDescent="0.35">
      <c r="C46747" s="2"/>
    </row>
    <row r="46748" spans="3:3" x14ac:dyDescent="0.35">
      <c r="C46748" s="2"/>
    </row>
    <row r="46749" spans="3:3" x14ac:dyDescent="0.35">
      <c r="C46749" s="2"/>
    </row>
    <row r="46750" spans="3:3" x14ac:dyDescent="0.35">
      <c r="C46750" s="2"/>
    </row>
    <row r="46751" spans="3:3" x14ac:dyDescent="0.35">
      <c r="C46751" s="2"/>
    </row>
    <row r="46752" spans="3:3" x14ac:dyDescent="0.35">
      <c r="C46752" s="2"/>
    </row>
    <row r="46753" spans="3:3" x14ac:dyDescent="0.35">
      <c r="C46753" s="2"/>
    </row>
    <row r="46754" spans="3:3" x14ac:dyDescent="0.35">
      <c r="C46754" s="2"/>
    </row>
    <row r="46755" spans="3:3" x14ac:dyDescent="0.35">
      <c r="C46755" s="2"/>
    </row>
    <row r="46756" spans="3:3" x14ac:dyDescent="0.35">
      <c r="C46756" s="2"/>
    </row>
    <row r="46757" spans="3:3" x14ac:dyDescent="0.35">
      <c r="C46757" s="2"/>
    </row>
    <row r="46758" spans="3:3" x14ac:dyDescent="0.35">
      <c r="C46758" s="2"/>
    </row>
    <row r="46759" spans="3:3" x14ac:dyDescent="0.35">
      <c r="C46759" s="2"/>
    </row>
    <row r="46760" spans="3:3" x14ac:dyDescent="0.35">
      <c r="C46760" s="2"/>
    </row>
    <row r="46761" spans="3:3" x14ac:dyDescent="0.35">
      <c r="C46761" s="2"/>
    </row>
    <row r="46762" spans="3:3" x14ac:dyDescent="0.35">
      <c r="C46762" s="2"/>
    </row>
    <row r="46763" spans="3:3" x14ac:dyDescent="0.35">
      <c r="C46763" s="2"/>
    </row>
    <row r="46764" spans="3:3" x14ac:dyDescent="0.35">
      <c r="C46764" s="2"/>
    </row>
    <row r="46765" spans="3:3" x14ac:dyDescent="0.35">
      <c r="C46765" s="2"/>
    </row>
    <row r="46766" spans="3:3" x14ac:dyDescent="0.35">
      <c r="C46766" s="2"/>
    </row>
    <row r="46767" spans="3:3" x14ac:dyDescent="0.35">
      <c r="C46767" s="2"/>
    </row>
    <row r="46768" spans="3:3" x14ac:dyDescent="0.35">
      <c r="C46768" s="2"/>
    </row>
    <row r="46769" spans="3:3" x14ac:dyDescent="0.35">
      <c r="C46769" s="2"/>
    </row>
    <row r="46770" spans="3:3" x14ac:dyDescent="0.35">
      <c r="C46770" s="2"/>
    </row>
    <row r="46771" spans="3:3" x14ac:dyDescent="0.35">
      <c r="C46771" s="2"/>
    </row>
    <row r="46772" spans="3:3" x14ac:dyDescent="0.35">
      <c r="C46772" s="2"/>
    </row>
    <row r="46773" spans="3:3" x14ac:dyDescent="0.35">
      <c r="C46773" s="2"/>
    </row>
    <row r="46774" spans="3:3" x14ac:dyDescent="0.35">
      <c r="C46774" s="2"/>
    </row>
    <row r="46775" spans="3:3" x14ac:dyDescent="0.35">
      <c r="C46775" s="2"/>
    </row>
    <row r="46776" spans="3:3" x14ac:dyDescent="0.35">
      <c r="C46776" s="2"/>
    </row>
    <row r="46777" spans="3:3" x14ac:dyDescent="0.35">
      <c r="C46777" s="2"/>
    </row>
    <row r="46778" spans="3:3" x14ac:dyDescent="0.35">
      <c r="C46778" s="2"/>
    </row>
    <row r="46779" spans="3:3" x14ac:dyDescent="0.35">
      <c r="C46779" s="2"/>
    </row>
    <row r="46780" spans="3:3" x14ac:dyDescent="0.35">
      <c r="C46780" s="2"/>
    </row>
    <row r="46781" spans="3:3" x14ac:dyDescent="0.35">
      <c r="C46781" s="2"/>
    </row>
    <row r="46782" spans="3:3" x14ac:dyDescent="0.35">
      <c r="C46782" s="2"/>
    </row>
    <row r="46783" spans="3:3" x14ac:dyDescent="0.35">
      <c r="C46783" s="2"/>
    </row>
    <row r="46784" spans="3:3" x14ac:dyDescent="0.35">
      <c r="C46784" s="2"/>
    </row>
    <row r="46785" spans="3:3" x14ac:dyDescent="0.35">
      <c r="C46785" s="2"/>
    </row>
    <row r="46786" spans="3:3" x14ac:dyDescent="0.35">
      <c r="C46786" s="2"/>
    </row>
    <row r="46787" spans="3:3" x14ac:dyDescent="0.35">
      <c r="C46787" s="2"/>
    </row>
    <row r="46788" spans="3:3" x14ac:dyDescent="0.35">
      <c r="C46788" s="2"/>
    </row>
    <row r="46789" spans="3:3" x14ac:dyDescent="0.35">
      <c r="C46789" s="2"/>
    </row>
    <row r="46790" spans="3:3" x14ac:dyDescent="0.35">
      <c r="C46790" s="2"/>
    </row>
    <row r="46791" spans="3:3" x14ac:dyDescent="0.35">
      <c r="C46791" s="2"/>
    </row>
    <row r="46792" spans="3:3" x14ac:dyDescent="0.35">
      <c r="C46792" s="2"/>
    </row>
    <row r="46793" spans="3:3" x14ac:dyDescent="0.35">
      <c r="C46793" s="2"/>
    </row>
    <row r="46794" spans="3:3" x14ac:dyDescent="0.35">
      <c r="C46794" s="2"/>
    </row>
    <row r="46795" spans="3:3" x14ac:dyDescent="0.35">
      <c r="C46795" s="2"/>
    </row>
    <row r="46796" spans="3:3" x14ac:dyDescent="0.35">
      <c r="C46796" s="2"/>
    </row>
    <row r="46797" spans="3:3" x14ac:dyDescent="0.35">
      <c r="C46797" s="2"/>
    </row>
    <row r="46798" spans="3:3" x14ac:dyDescent="0.35">
      <c r="C46798" s="2"/>
    </row>
    <row r="46799" spans="3:3" x14ac:dyDescent="0.35">
      <c r="C46799" s="2"/>
    </row>
    <row r="46800" spans="3:3" x14ac:dyDescent="0.35">
      <c r="C46800" s="2"/>
    </row>
    <row r="46801" spans="3:3" x14ac:dyDescent="0.35">
      <c r="C46801" s="2"/>
    </row>
    <row r="46802" spans="3:3" x14ac:dyDescent="0.35">
      <c r="C46802" s="2"/>
    </row>
    <row r="46803" spans="3:3" x14ac:dyDescent="0.35">
      <c r="C46803" s="2"/>
    </row>
    <row r="46804" spans="3:3" x14ac:dyDescent="0.35">
      <c r="C46804" s="2"/>
    </row>
    <row r="46805" spans="3:3" x14ac:dyDescent="0.35">
      <c r="C46805" s="2"/>
    </row>
    <row r="46806" spans="3:3" x14ac:dyDescent="0.35">
      <c r="C46806" s="2"/>
    </row>
    <row r="46807" spans="3:3" x14ac:dyDescent="0.35">
      <c r="C46807" s="2"/>
    </row>
    <row r="46808" spans="3:3" x14ac:dyDescent="0.35">
      <c r="C46808" s="2"/>
    </row>
    <row r="46809" spans="3:3" x14ac:dyDescent="0.35">
      <c r="C46809" s="2"/>
    </row>
    <row r="46810" spans="3:3" x14ac:dyDescent="0.35">
      <c r="C46810" s="2"/>
    </row>
    <row r="46811" spans="3:3" x14ac:dyDescent="0.35">
      <c r="C46811" s="2"/>
    </row>
    <row r="46812" spans="3:3" x14ac:dyDescent="0.35">
      <c r="C46812" s="2"/>
    </row>
    <row r="46813" spans="3:3" x14ac:dyDescent="0.35">
      <c r="C46813" s="2"/>
    </row>
    <row r="46814" spans="3:3" x14ac:dyDescent="0.35">
      <c r="C46814" s="2"/>
    </row>
    <row r="46815" spans="3:3" x14ac:dyDescent="0.35">
      <c r="C46815" s="2"/>
    </row>
    <row r="46816" spans="3:3" x14ac:dyDescent="0.35">
      <c r="C46816" s="2"/>
    </row>
    <row r="46817" spans="3:3" x14ac:dyDescent="0.35">
      <c r="C46817" s="2"/>
    </row>
    <row r="46818" spans="3:3" x14ac:dyDescent="0.35">
      <c r="C46818" s="2"/>
    </row>
    <row r="46819" spans="3:3" x14ac:dyDescent="0.35">
      <c r="C46819" s="2"/>
    </row>
    <row r="46820" spans="3:3" x14ac:dyDescent="0.35">
      <c r="C46820" s="2"/>
    </row>
    <row r="46821" spans="3:3" x14ac:dyDescent="0.35">
      <c r="C46821" s="2"/>
    </row>
    <row r="46822" spans="3:3" x14ac:dyDescent="0.35">
      <c r="C46822" s="2"/>
    </row>
    <row r="46823" spans="3:3" x14ac:dyDescent="0.35">
      <c r="C46823" s="2"/>
    </row>
    <row r="46824" spans="3:3" x14ac:dyDescent="0.35">
      <c r="C46824" s="2"/>
    </row>
    <row r="46825" spans="3:3" x14ac:dyDescent="0.35">
      <c r="C46825" s="2"/>
    </row>
    <row r="46826" spans="3:3" x14ac:dyDescent="0.35">
      <c r="C46826" s="2"/>
    </row>
    <row r="46827" spans="3:3" x14ac:dyDescent="0.35">
      <c r="C46827" s="2"/>
    </row>
    <row r="46828" spans="3:3" x14ac:dyDescent="0.35">
      <c r="C46828" s="2"/>
    </row>
    <row r="46829" spans="3:3" x14ac:dyDescent="0.35">
      <c r="C46829" s="2"/>
    </row>
    <row r="46830" spans="3:3" x14ac:dyDescent="0.35">
      <c r="C46830" s="2"/>
    </row>
    <row r="46831" spans="3:3" x14ac:dyDescent="0.35">
      <c r="C46831" s="2"/>
    </row>
    <row r="46832" spans="3:3" x14ac:dyDescent="0.35">
      <c r="C46832" s="2"/>
    </row>
    <row r="46833" spans="3:3" x14ac:dyDescent="0.35">
      <c r="C46833" s="2"/>
    </row>
    <row r="46834" spans="3:3" x14ac:dyDescent="0.35">
      <c r="C46834" s="2"/>
    </row>
    <row r="46835" spans="3:3" x14ac:dyDescent="0.35">
      <c r="C46835" s="2"/>
    </row>
    <row r="46836" spans="3:3" x14ac:dyDescent="0.35">
      <c r="C46836" s="2"/>
    </row>
    <row r="46837" spans="3:3" x14ac:dyDescent="0.35">
      <c r="C46837" s="2"/>
    </row>
    <row r="46838" spans="3:3" x14ac:dyDescent="0.35">
      <c r="C46838" s="2"/>
    </row>
    <row r="46839" spans="3:3" x14ac:dyDescent="0.35">
      <c r="C46839" s="2"/>
    </row>
    <row r="46840" spans="3:3" x14ac:dyDescent="0.35">
      <c r="C46840" s="2"/>
    </row>
    <row r="46841" spans="3:3" x14ac:dyDescent="0.35">
      <c r="C46841" s="2"/>
    </row>
    <row r="46842" spans="3:3" x14ac:dyDescent="0.35">
      <c r="C46842" s="2"/>
    </row>
    <row r="46843" spans="3:3" x14ac:dyDescent="0.35">
      <c r="C46843" s="2"/>
    </row>
    <row r="46844" spans="3:3" x14ac:dyDescent="0.35">
      <c r="C46844" s="2"/>
    </row>
    <row r="46845" spans="3:3" x14ac:dyDescent="0.35">
      <c r="C46845" s="2"/>
    </row>
    <row r="46846" spans="3:3" x14ac:dyDescent="0.35">
      <c r="C46846" s="2"/>
    </row>
    <row r="46847" spans="3:3" x14ac:dyDescent="0.35">
      <c r="C46847" s="2"/>
    </row>
    <row r="46848" spans="3:3" x14ac:dyDescent="0.35">
      <c r="C46848" s="2"/>
    </row>
    <row r="46849" spans="3:3" x14ac:dyDescent="0.35">
      <c r="C46849" s="2"/>
    </row>
    <row r="46850" spans="3:3" x14ac:dyDescent="0.35">
      <c r="C46850" s="2"/>
    </row>
    <row r="46851" spans="3:3" x14ac:dyDescent="0.35">
      <c r="C46851" s="2"/>
    </row>
    <row r="46852" spans="3:3" x14ac:dyDescent="0.35">
      <c r="C46852" s="2"/>
    </row>
    <row r="46853" spans="3:3" x14ac:dyDescent="0.35">
      <c r="C46853" s="2"/>
    </row>
    <row r="46854" spans="3:3" x14ac:dyDescent="0.35">
      <c r="C46854" s="2"/>
    </row>
    <row r="46855" spans="3:3" x14ac:dyDescent="0.35">
      <c r="C46855" s="2"/>
    </row>
    <row r="46856" spans="3:3" x14ac:dyDescent="0.35">
      <c r="C46856" s="2"/>
    </row>
    <row r="46857" spans="3:3" x14ac:dyDescent="0.35">
      <c r="C46857" s="2"/>
    </row>
    <row r="46858" spans="3:3" x14ac:dyDescent="0.35">
      <c r="C46858" s="2"/>
    </row>
    <row r="46859" spans="3:3" x14ac:dyDescent="0.35">
      <c r="C46859" s="2"/>
    </row>
    <row r="46860" spans="3:3" x14ac:dyDescent="0.35">
      <c r="C46860" s="2"/>
    </row>
    <row r="46861" spans="3:3" x14ac:dyDescent="0.35">
      <c r="C46861" s="2"/>
    </row>
    <row r="46862" spans="3:3" x14ac:dyDescent="0.35">
      <c r="C46862" s="2"/>
    </row>
    <row r="46863" spans="3:3" x14ac:dyDescent="0.35">
      <c r="C46863" s="2"/>
    </row>
    <row r="46864" spans="3:3" x14ac:dyDescent="0.35">
      <c r="C46864" s="2"/>
    </row>
    <row r="46865" spans="3:3" x14ac:dyDescent="0.35">
      <c r="C46865" s="2"/>
    </row>
    <row r="46866" spans="3:3" x14ac:dyDescent="0.35">
      <c r="C46866" s="2"/>
    </row>
    <row r="46867" spans="3:3" x14ac:dyDescent="0.35">
      <c r="C46867" s="2"/>
    </row>
    <row r="46868" spans="3:3" x14ac:dyDescent="0.35">
      <c r="C46868" s="2"/>
    </row>
    <row r="46869" spans="3:3" x14ac:dyDescent="0.35">
      <c r="C46869" s="2"/>
    </row>
    <row r="46870" spans="3:3" x14ac:dyDescent="0.35">
      <c r="C46870" s="2"/>
    </row>
    <row r="46871" spans="3:3" x14ac:dyDescent="0.35">
      <c r="C46871" s="2"/>
    </row>
    <row r="46872" spans="3:3" x14ac:dyDescent="0.35">
      <c r="C46872" s="2"/>
    </row>
    <row r="46873" spans="3:3" x14ac:dyDescent="0.35">
      <c r="C46873" s="2"/>
    </row>
    <row r="46874" spans="3:3" x14ac:dyDescent="0.35">
      <c r="C46874" s="2"/>
    </row>
    <row r="46875" spans="3:3" x14ac:dyDescent="0.35">
      <c r="C46875" s="2"/>
    </row>
    <row r="46876" spans="3:3" x14ac:dyDescent="0.35">
      <c r="C46876" s="2"/>
    </row>
    <row r="46877" spans="3:3" x14ac:dyDescent="0.35">
      <c r="C46877" s="2"/>
    </row>
    <row r="46878" spans="3:3" x14ac:dyDescent="0.35">
      <c r="C46878" s="2"/>
    </row>
    <row r="46879" spans="3:3" x14ac:dyDescent="0.35">
      <c r="C46879" s="2"/>
    </row>
    <row r="46880" spans="3:3" x14ac:dyDescent="0.35">
      <c r="C46880" s="2"/>
    </row>
    <row r="46881" spans="3:3" x14ac:dyDescent="0.35">
      <c r="C46881" s="2"/>
    </row>
    <row r="46882" spans="3:3" x14ac:dyDescent="0.35">
      <c r="C46882" s="2"/>
    </row>
    <row r="46883" spans="3:3" x14ac:dyDescent="0.35">
      <c r="C46883" s="2"/>
    </row>
    <row r="46884" spans="3:3" x14ac:dyDescent="0.35">
      <c r="C46884" s="2"/>
    </row>
    <row r="46885" spans="3:3" x14ac:dyDescent="0.35">
      <c r="C46885" s="2"/>
    </row>
    <row r="46886" spans="3:3" x14ac:dyDescent="0.35">
      <c r="C46886" s="2"/>
    </row>
    <row r="46887" spans="3:3" x14ac:dyDescent="0.35">
      <c r="C46887" s="2"/>
    </row>
    <row r="46888" spans="3:3" x14ac:dyDescent="0.35">
      <c r="C46888" s="2"/>
    </row>
    <row r="46889" spans="3:3" x14ac:dyDescent="0.35">
      <c r="C46889" s="2"/>
    </row>
    <row r="46890" spans="3:3" x14ac:dyDescent="0.35">
      <c r="C46890" s="2"/>
    </row>
    <row r="46891" spans="3:3" x14ac:dyDescent="0.35">
      <c r="C46891" s="2"/>
    </row>
    <row r="46892" spans="3:3" x14ac:dyDescent="0.35">
      <c r="C46892" s="2"/>
    </row>
    <row r="46893" spans="3:3" x14ac:dyDescent="0.35">
      <c r="C46893" s="2"/>
    </row>
    <row r="46894" spans="3:3" x14ac:dyDescent="0.35">
      <c r="C46894" s="2"/>
    </row>
    <row r="46895" spans="3:3" x14ac:dyDescent="0.35">
      <c r="C46895" s="2"/>
    </row>
    <row r="46896" spans="3:3" x14ac:dyDescent="0.35">
      <c r="C46896" s="2"/>
    </row>
    <row r="46897" spans="3:3" x14ac:dyDescent="0.35">
      <c r="C46897" s="2"/>
    </row>
    <row r="46898" spans="3:3" x14ac:dyDescent="0.35">
      <c r="C46898" s="2"/>
    </row>
    <row r="46899" spans="3:3" x14ac:dyDescent="0.35">
      <c r="C46899" s="2"/>
    </row>
    <row r="46900" spans="3:3" x14ac:dyDescent="0.35">
      <c r="C46900" s="2"/>
    </row>
    <row r="46901" spans="3:3" x14ac:dyDescent="0.35">
      <c r="C46901" s="2"/>
    </row>
    <row r="46902" spans="3:3" x14ac:dyDescent="0.35">
      <c r="C46902" s="2"/>
    </row>
    <row r="46903" spans="3:3" x14ac:dyDescent="0.35">
      <c r="C46903" s="2"/>
    </row>
    <row r="46904" spans="3:3" x14ac:dyDescent="0.35">
      <c r="C46904" s="2"/>
    </row>
    <row r="46905" spans="3:3" x14ac:dyDescent="0.35">
      <c r="C46905" s="2"/>
    </row>
    <row r="46906" spans="3:3" x14ac:dyDescent="0.35">
      <c r="C46906" s="2"/>
    </row>
    <row r="46907" spans="3:3" x14ac:dyDescent="0.35">
      <c r="C46907" s="2"/>
    </row>
    <row r="46908" spans="3:3" x14ac:dyDescent="0.35">
      <c r="C46908" s="2"/>
    </row>
    <row r="46909" spans="3:3" x14ac:dyDescent="0.35">
      <c r="C46909" s="2"/>
    </row>
    <row r="46910" spans="3:3" x14ac:dyDescent="0.35">
      <c r="C46910" s="2"/>
    </row>
    <row r="46911" spans="3:3" x14ac:dyDescent="0.35">
      <c r="C46911" s="2"/>
    </row>
    <row r="46912" spans="3:3" x14ac:dyDescent="0.35">
      <c r="C46912" s="2"/>
    </row>
    <row r="46913" spans="3:3" x14ac:dyDescent="0.35">
      <c r="C46913" s="2"/>
    </row>
    <row r="46914" spans="3:3" x14ac:dyDescent="0.35">
      <c r="C46914" s="2"/>
    </row>
    <row r="46915" spans="3:3" x14ac:dyDescent="0.35">
      <c r="C46915" s="2"/>
    </row>
    <row r="46916" spans="3:3" x14ac:dyDescent="0.35">
      <c r="C46916" s="2"/>
    </row>
    <row r="46917" spans="3:3" x14ac:dyDescent="0.35">
      <c r="C46917" s="2"/>
    </row>
    <row r="46918" spans="3:3" x14ac:dyDescent="0.35">
      <c r="C46918" s="2"/>
    </row>
    <row r="46919" spans="3:3" x14ac:dyDescent="0.35">
      <c r="C46919" s="2"/>
    </row>
    <row r="46920" spans="3:3" x14ac:dyDescent="0.35">
      <c r="C46920" s="2"/>
    </row>
    <row r="46921" spans="3:3" x14ac:dyDescent="0.35">
      <c r="C46921" s="2"/>
    </row>
    <row r="46922" spans="3:3" x14ac:dyDescent="0.35">
      <c r="C46922" s="2"/>
    </row>
    <row r="46923" spans="3:3" x14ac:dyDescent="0.35">
      <c r="C46923" s="2"/>
    </row>
    <row r="46924" spans="3:3" x14ac:dyDescent="0.35">
      <c r="C46924" s="2"/>
    </row>
    <row r="46925" spans="3:3" x14ac:dyDescent="0.35">
      <c r="C46925" s="2"/>
    </row>
    <row r="46926" spans="3:3" x14ac:dyDescent="0.35">
      <c r="C46926" s="2"/>
    </row>
    <row r="46927" spans="3:3" x14ac:dyDescent="0.35">
      <c r="C46927" s="2"/>
    </row>
    <row r="46928" spans="3:3" x14ac:dyDescent="0.35">
      <c r="C46928" s="2"/>
    </row>
    <row r="46929" spans="3:3" x14ac:dyDescent="0.35">
      <c r="C46929" s="2"/>
    </row>
    <row r="46930" spans="3:3" x14ac:dyDescent="0.35">
      <c r="C46930" s="2"/>
    </row>
    <row r="46931" spans="3:3" x14ac:dyDescent="0.35">
      <c r="C46931" s="2"/>
    </row>
    <row r="46932" spans="3:3" x14ac:dyDescent="0.35">
      <c r="C46932" s="2"/>
    </row>
    <row r="46933" spans="3:3" x14ac:dyDescent="0.35">
      <c r="C46933" s="2"/>
    </row>
    <row r="46934" spans="3:3" x14ac:dyDescent="0.35">
      <c r="C46934" s="2"/>
    </row>
    <row r="46935" spans="3:3" x14ac:dyDescent="0.35">
      <c r="C46935" s="2"/>
    </row>
    <row r="46936" spans="3:3" x14ac:dyDescent="0.35">
      <c r="C46936" s="2"/>
    </row>
    <row r="46937" spans="3:3" x14ac:dyDescent="0.35">
      <c r="C46937" s="2"/>
    </row>
    <row r="46938" spans="3:3" x14ac:dyDescent="0.35">
      <c r="C46938" s="2"/>
    </row>
    <row r="46939" spans="3:3" x14ac:dyDescent="0.35">
      <c r="C46939" s="2"/>
    </row>
    <row r="46940" spans="3:3" x14ac:dyDescent="0.35">
      <c r="C46940" s="2"/>
    </row>
    <row r="46941" spans="3:3" x14ac:dyDescent="0.35">
      <c r="C46941" s="2"/>
    </row>
    <row r="46942" spans="3:3" x14ac:dyDescent="0.35">
      <c r="C46942" s="2"/>
    </row>
    <row r="46943" spans="3:3" x14ac:dyDescent="0.35">
      <c r="C46943" s="2"/>
    </row>
    <row r="46944" spans="3:3" x14ac:dyDescent="0.35">
      <c r="C46944" s="2"/>
    </row>
    <row r="46945" spans="3:3" x14ac:dyDescent="0.35">
      <c r="C46945" s="2"/>
    </row>
    <row r="46946" spans="3:3" x14ac:dyDescent="0.35">
      <c r="C46946" s="2"/>
    </row>
    <row r="46947" spans="3:3" x14ac:dyDescent="0.35">
      <c r="C46947" s="2"/>
    </row>
    <row r="46948" spans="3:3" x14ac:dyDescent="0.35">
      <c r="C46948" s="2"/>
    </row>
    <row r="46949" spans="3:3" x14ac:dyDescent="0.35">
      <c r="C46949" s="2"/>
    </row>
    <row r="46950" spans="3:3" x14ac:dyDescent="0.35">
      <c r="C46950" s="2"/>
    </row>
    <row r="46951" spans="3:3" x14ac:dyDescent="0.35">
      <c r="C46951" s="2"/>
    </row>
    <row r="46952" spans="3:3" x14ac:dyDescent="0.35">
      <c r="C46952" s="2"/>
    </row>
    <row r="46953" spans="3:3" x14ac:dyDescent="0.35">
      <c r="C46953" s="2"/>
    </row>
    <row r="46954" spans="3:3" x14ac:dyDescent="0.35">
      <c r="C46954" s="2"/>
    </row>
    <row r="46955" spans="3:3" x14ac:dyDescent="0.35">
      <c r="C46955" s="2"/>
    </row>
    <row r="46956" spans="3:3" x14ac:dyDescent="0.35">
      <c r="C46956" s="2"/>
    </row>
    <row r="46957" spans="3:3" x14ac:dyDescent="0.35">
      <c r="C46957" s="2"/>
    </row>
    <row r="46958" spans="3:3" x14ac:dyDescent="0.35">
      <c r="C46958" s="2"/>
    </row>
    <row r="46959" spans="3:3" x14ac:dyDescent="0.35">
      <c r="C46959" s="2"/>
    </row>
    <row r="46960" spans="3:3" x14ac:dyDescent="0.35">
      <c r="C46960" s="2"/>
    </row>
    <row r="46961" spans="3:3" x14ac:dyDescent="0.35">
      <c r="C46961" s="2"/>
    </row>
    <row r="46962" spans="3:3" x14ac:dyDescent="0.35">
      <c r="C46962" s="2"/>
    </row>
    <row r="46963" spans="3:3" x14ac:dyDescent="0.35">
      <c r="C46963" s="2"/>
    </row>
    <row r="46964" spans="3:3" x14ac:dyDescent="0.35">
      <c r="C46964" s="2"/>
    </row>
    <row r="46965" spans="3:3" x14ac:dyDescent="0.35">
      <c r="C46965" s="2"/>
    </row>
    <row r="46966" spans="3:3" x14ac:dyDescent="0.35">
      <c r="C46966" s="2"/>
    </row>
    <row r="46967" spans="3:3" x14ac:dyDescent="0.35">
      <c r="C46967" s="2"/>
    </row>
    <row r="46968" spans="3:3" x14ac:dyDescent="0.35">
      <c r="C46968" s="2"/>
    </row>
    <row r="46969" spans="3:3" x14ac:dyDescent="0.35">
      <c r="C46969" s="2"/>
    </row>
    <row r="46970" spans="3:3" x14ac:dyDescent="0.35">
      <c r="C46970" s="2"/>
    </row>
    <row r="46971" spans="3:3" x14ac:dyDescent="0.35">
      <c r="C46971" s="2"/>
    </row>
    <row r="46972" spans="3:3" x14ac:dyDescent="0.35">
      <c r="C46972" s="2"/>
    </row>
    <row r="46973" spans="3:3" x14ac:dyDescent="0.35">
      <c r="C46973" s="2"/>
    </row>
    <row r="46974" spans="3:3" x14ac:dyDescent="0.35">
      <c r="C46974" s="2"/>
    </row>
    <row r="46975" spans="3:3" x14ac:dyDescent="0.35">
      <c r="C46975" s="2"/>
    </row>
    <row r="46976" spans="3:3" x14ac:dyDescent="0.35">
      <c r="C46976" s="2"/>
    </row>
    <row r="46977" spans="3:3" x14ac:dyDescent="0.35">
      <c r="C46977" s="2"/>
    </row>
    <row r="46978" spans="3:3" x14ac:dyDescent="0.35">
      <c r="C46978" s="2"/>
    </row>
    <row r="46979" spans="3:3" x14ac:dyDescent="0.35">
      <c r="C46979" s="2"/>
    </row>
    <row r="46980" spans="3:3" x14ac:dyDescent="0.35">
      <c r="C46980" s="2"/>
    </row>
    <row r="46981" spans="3:3" x14ac:dyDescent="0.35">
      <c r="C46981" s="2"/>
    </row>
    <row r="46982" spans="3:3" x14ac:dyDescent="0.35">
      <c r="C46982" s="2"/>
    </row>
    <row r="46983" spans="3:3" x14ac:dyDescent="0.35">
      <c r="C46983" s="2"/>
    </row>
    <row r="46984" spans="3:3" x14ac:dyDescent="0.35">
      <c r="C46984" s="2"/>
    </row>
    <row r="46985" spans="3:3" x14ac:dyDescent="0.35">
      <c r="C46985" s="2"/>
    </row>
    <row r="46986" spans="3:3" x14ac:dyDescent="0.35">
      <c r="C46986" s="2"/>
    </row>
    <row r="46987" spans="3:3" x14ac:dyDescent="0.35">
      <c r="C46987" s="2"/>
    </row>
    <row r="46988" spans="3:3" x14ac:dyDescent="0.35">
      <c r="C46988" s="2"/>
    </row>
    <row r="46989" spans="3:3" x14ac:dyDescent="0.35">
      <c r="C46989" s="2"/>
    </row>
    <row r="46990" spans="3:3" x14ac:dyDescent="0.35">
      <c r="C46990" s="2"/>
    </row>
    <row r="46991" spans="3:3" x14ac:dyDescent="0.35">
      <c r="C46991" s="2"/>
    </row>
    <row r="46992" spans="3:3" x14ac:dyDescent="0.35">
      <c r="C46992" s="2"/>
    </row>
    <row r="46993" spans="3:3" x14ac:dyDescent="0.35">
      <c r="C46993" s="2"/>
    </row>
    <row r="46994" spans="3:3" x14ac:dyDescent="0.35">
      <c r="C46994" s="2"/>
    </row>
    <row r="46995" spans="3:3" x14ac:dyDescent="0.35">
      <c r="C46995" s="2"/>
    </row>
    <row r="46996" spans="3:3" x14ac:dyDescent="0.35">
      <c r="C46996" s="2"/>
    </row>
    <row r="46997" spans="3:3" x14ac:dyDescent="0.35">
      <c r="C46997" s="2"/>
    </row>
    <row r="46998" spans="3:3" x14ac:dyDescent="0.35">
      <c r="C46998" s="2"/>
    </row>
    <row r="46999" spans="3:3" x14ac:dyDescent="0.35">
      <c r="C46999" s="2"/>
    </row>
    <row r="47000" spans="3:3" x14ac:dyDescent="0.35">
      <c r="C47000" s="2"/>
    </row>
    <row r="47001" spans="3:3" x14ac:dyDescent="0.35">
      <c r="C47001" s="2"/>
    </row>
    <row r="47002" spans="3:3" x14ac:dyDescent="0.35">
      <c r="C47002" s="2"/>
    </row>
    <row r="47003" spans="3:3" x14ac:dyDescent="0.35">
      <c r="C47003" s="2"/>
    </row>
    <row r="47004" spans="3:3" x14ac:dyDescent="0.35">
      <c r="C47004" s="2"/>
    </row>
    <row r="47005" spans="3:3" x14ac:dyDescent="0.35">
      <c r="C47005" s="2"/>
    </row>
    <row r="47006" spans="3:3" x14ac:dyDescent="0.35">
      <c r="C47006" s="2"/>
    </row>
    <row r="47007" spans="3:3" x14ac:dyDescent="0.35">
      <c r="C47007" s="2"/>
    </row>
    <row r="47008" spans="3:3" x14ac:dyDescent="0.35">
      <c r="C47008" s="2"/>
    </row>
    <row r="47009" spans="3:3" x14ac:dyDescent="0.35">
      <c r="C47009" s="2"/>
    </row>
    <row r="47010" spans="3:3" x14ac:dyDescent="0.35">
      <c r="C47010" s="2"/>
    </row>
    <row r="47011" spans="3:3" x14ac:dyDescent="0.35">
      <c r="C47011" s="2"/>
    </row>
    <row r="47012" spans="3:3" x14ac:dyDescent="0.35">
      <c r="C47012" s="2"/>
    </row>
    <row r="47013" spans="3:3" x14ac:dyDescent="0.35">
      <c r="C47013" s="2"/>
    </row>
    <row r="47014" spans="3:3" x14ac:dyDescent="0.35">
      <c r="C47014" s="2"/>
    </row>
    <row r="47015" spans="3:3" x14ac:dyDescent="0.35">
      <c r="C47015" s="2"/>
    </row>
    <row r="47016" spans="3:3" x14ac:dyDescent="0.35">
      <c r="C47016" s="2"/>
    </row>
    <row r="47017" spans="3:3" x14ac:dyDescent="0.35">
      <c r="C47017" s="2"/>
    </row>
    <row r="47018" spans="3:3" x14ac:dyDescent="0.35">
      <c r="C47018" s="2"/>
    </row>
    <row r="47019" spans="3:3" x14ac:dyDescent="0.35">
      <c r="C47019" s="2"/>
    </row>
    <row r="47020" spans="3:3" x14ac:dyDescent="0.35">
      <c r="C47020" s="2"/>
    </row>
    <row r="47021" spans="3:3" x14ac:dyDescent="0.35">
      <c r="C47021" s="2"/>
    </row>
    <row r="47022" spans="3:3" x14ac:dyDescent="0.35">
      <c r="C47022" s="2"/>
    </row>
    <row r="47023" spans="3:3" x14ac:dyDescent="0.35">
      <c r="C47023" s="2"/>
    </row>
    <row r="47024" spans="3:3" x14ac:dyDescent="0.35">
      <c r="C47024" s="2"/>
    </row>
    <row r="47025" spans="3:3" x14ac:dyDescent="0.35">
      <c r="C47025" s="2"/>
    </row>
    <row r="47026" spans="3:3" x14ac:dyDescent="0.35">
      <c r="C47026" s="2"/>
    </row>
    <row r="47027" spans="3:3" x14ac:dyDescent="0.35">
      <c r="C47027" s="2"/>
    </row>
    <row r="47028" spans="3:3" x14ac:dyDescent="0.35">
      <c r="C47028" s="2"/>
    </row>
    <row r="47029" spans="3:3" x14ac:dyDescent="0.35">
      <c r="C47029" s="2"/>
    </row>
    <row r="47030" spans="3:3" x14ac:dyDescent="0.35">
      <c r="C47030" s="2"/>
    </row>
    <row r="47031" spans="3:3" x14ac:dyDescent="0.35">
      <c r="C47031" s="2"/>
    </row>
    <row r="47032" spans="3:3" x14ac:dyDescent="0.35">
      <c r="C47032" s="2"/>
    </row>
    <row r="47033" spans="3:3" x14ac:dyDescent="0.35">
      <c r="C47033" s="2"/>
    </row>
    <row r="47034" spans="3:3" x14ac:dyDescent="0.35">
      <c r="C47034" s="2"/>
    </row>
    <row r="47035" spans="3:3" x14ac:dyDescent="0.35">
      <c r="C47035" s="2"/>
    </row>
    <row r="47036" spans="3:3" x14ac:dyDescent="0.35">
      <c r="C47036" s="2"/>
    </row>
    <row r="47037" spans="3:3" x14ac:dyDescent="0.35">
      <c r="C47037" s="2"/>
    </row>
    <row r="47038" spans="3:3" x14ac:dyDescent="0.35">
      <c r="C47038" s="2"/>
    </row>
    <row r="47039" spans="3:3" x14ac:dyDescent="0.35">
      <c r="C47039" s="2"/>
    </row>
    <row r="47040" spans="3:3" x14ac:dyDescent="0.35">
      <c r="C47040" s="2"/>
    </row>
    <row r="47041" spans="3:3" x14ac:dyDescent="0.35">
      <c r="C47041" s="2"/>
    </row>
    <row r="47042" spans="3:3" x14ac:dyDescent="0.35">
      <c r="C47042" s="2"/>
    </row>
    <row r="47043" spans="3:3" x14ac:dyDescent="0.35">
      <c r="C47043" s="2"/>
    </row>
    <row r="47044" spans="3:3" x14ac:dyDescent="0.35">
      <c r="C47044" s="2"/>
    </row>
    <row r="47045" spans="3:3" x14ac:dyDescent="0.35">
      <c r="C47045" s="2"/>
    </row>
    <row r="47046" spans="3:3" x14ac:dyDescent="0.35">
      <c r="C47046" s="2"/>
    </row>
    <row r="47047" spans="3:3" x14ac:dyDescent="0.35">
      <c r="C47047" s="2"/>
    </row>
    <row r="47048" spans="3:3" x14ac:dyDescent="0.35">
      <c r="C47048" s="2"/>
    </row>
    <row r="47049" spans="3:3" x14ac:dyDescent="0.35">
      <c r="C47049" s="2"/>
    </row>
    <row r="47050" spans="3:3" x14ac:dyDescent="0.35">
      <c r="C47050" s="2"/>
    </row>
    <row r="47051" spans="3:3" x14ac:dyDescent="0.35">
      <c r="C47051" s="2"/>
    </row>
    <row r="47052" spans="3:3" x14ac:dyDescent="0.35">
      <c r="C47052" s="2"/>
    </row>
    <row r="47053" spans="3:3" x14ac:dyDescent="0.35">
      <c r="C47053" s="2"/>
    </row>
    <row r="47054" spans="3:3" x14ac:dyDescent="0.35">
      <c r="C47054" s="2"/>
    </row>
    <row r="47055" spans="3:3" x14ac:dyDescent="0.35">
      <c r="C47055" s="2"/>
    </row>
    <row r="47056" spans="3:3" x14ac:dyDescent="0.35">
      <c r="C47056" s="2"/>
    </row>
    <row r="47057" spans="3:3" x14ac:dyDescent="0.35">
      <c r="C47057" s="2"/>
    </row>
    <row r="47058" spans="3:3" x14ac:dyDescent="0.35">
      <c r="C47058" s="2"/>
    </row>
    <row r="47059" spans="3:3" x14ac:dyDescent="0.35">
      <c r="C47059" s="2"/>
    </row>
    <row r="47060" spans="3:3" x14ac:dyDescent="0.35">
      <c r="C47060" s="2"/>
    </row>
    <row r="47061" spans="3:3" x14ac:dyDescent="0.35">
      <c r="C47061" s="2"/>
    </row>
    <row r="47062" spans="3:3" x14ac:dyDescent="0.35">
      <c r="C47062" s="2"/>
    </row>
    <row r="47063" spans="3:3" x14ac:dyDescent="0.35">
      <c r="C47063" s="2"/>
    </row>
    <row r="47064" spans="3:3" x14ac:dyDescent="0.35">
      <c r="C47064" s="2"/>
    </row>
    <row r="47065" spans="3:3" x14ac:dyDescent="0.35">
      <c r="C47065" s="2"/>
    </row>
    <row r="47066" spans="3:3" x14ac:dyDescent="0.35">
      <c r="C47066" s="2"/>
    </row>
    <row r="47067" spans="3:3" x14ac:dyDescent="0.35">
      <c r="C47067" s="2"/>
    </row>
    <row r="47068" spans="3:3" x14ac:dyDescent="0.35">
      <c r="C47068" s="2"/>
    </row>
    <row r="47069" spans="3:3" x14ac:dyDescent="0.35">
      <c r="C47069" s="2"/>
    </row>
    <row r="47070" spans="3:3" x14ac:dyDescent="0.35">
      <c r="C47070" s="2"/>
    </row>
    <row r="47071" spans="3:3" x14ac:dyDescent="0.35">
      <c r="C47071" s="2"/>
    </row>
    <row r="47072" spans="3:3" x14ac:dyDescent="0.35">
      <c r="C47072" s="2"/>
    </row>
    <row r="47073" spans="3:3" x14ac:dyDescent="0.35">
      <c r="C47073" s="2"/>
    </row>
    <row r="47074" spans="3:3" x14ac:dyDescent="0.35">
      <c r="C47074" s="2"/>
    </row>
    <row r="47075" spans="3:3" x14ac:dyDescent="0.35">
      <c r="C47075" s="2"/>
    </row>
    <row r="47076" spans="3:3" x14ac:dyDescent="0.35">
      <c r="C47076" s="2"/>
    </row>
    <row r="47077" spans="3:3" x14ac:dyDescent="0.35">
      <c r="C47077" s="2"/>
    </row>
    <row r="47078" spans="3:3" x14ac:dyDescent="0.35">
      <c r="C47078" s="2"/>
    </row>
    <row r="47079" spans="3:3" x14ac:dyDescent="0.35">
      <c r="C47079" s="2"/>
    </row>
    <row r="47080" spans="3:3" x14ac:dyDescent="0.35">
      <c r="C47080" s="2"/>
    </row>
    <row r="47081" spans="3:3" x14ac:dyDescent="0.35">
      <c r="C47081" s="2"/>
    </row>
    <row r="47082" spans="3:3" x14ac:dyDescent="0.35">
      <c r="C47082" s="2"/>
    </row>
    <row r="47083" spans="3:3" x14ac:dyDescent="0.35">
      <c r="C47083" s="2"/>
    </row>
    <row r="47084" spans="3:3" x14ac:dyDescent="0.35">
      <c r="C47084" s="2"/>
    </row>
    <row r="47085" spans="3:3" x14ac:dyDescent="0.35">
      <c r="C47085" s="2"/>
    </row>
    <row r="47086" spans="3:3" x14ac:dyDescent="0.35">
      <c r="C47086" s="2"/>
    </row>
    <row r="47087" spans="3:3" x14ac:dyDescent="0.35">
      <c r="C47087" s="2"/>
    </row>
    <row r="47088" spans="3:3" x14ac:dyDescent="0.35">
      <c r="C47088" s="2"/>
    </row>
    <row r="47089" spans="3:3" x14ac:dyDescent="0.35">
      <c r="C47089" s="2"/>
    </row>
    <row r="47090" spans="3:3" x14ac:dyDescent="0.35">
      <c r="C47090" s="2"/>
    </row>
    <row r="47091" spans="3:3" x14ac:dyDescent="0.35">
      <c r="C47091" s="2"/>
    </row>
    <row r="47092" spans="3:3" x14ac:dyDescent="0.35">
      <c r="C47092" s="2"/>
    </row>
    <row r="47093" spans="3:3" x14ac:dyDescent="0.35">
      <c r="C47093" s="2"/>
    </row>
    <row r="47094" spans="3:3" x14ac:dyDescent="0.35">
      <c r="C47094" s="2"/>
    </row>
    <row r="47095" spans="3:3" x14ac:dyDescent="0.35">
      <c r="C47095" s="2"/>
    </row>
    <row r="47096" spans="3:3" x14ac:dyDescent="0.35">
      <c r="C47096" s="2"/>
    </row>
    <row r="47097" spans="3:3" x14ac:dyDescent="0.35">
      <c r="C47097" s="2"/>
    </row>
    <row r="47098" spans="3:3" x14ac:dyDescent="0.35">
      <c r="C47098" s="2"/>
    </row>
    <row r="47099" spans="3:3" x14ac:dyDescent="0.35">
      <c r="C47099" s="2"/>
    </row>
    <row r="47100" spans="3:3" x14ac:dyDescent="0.35">
      <c r="C47100" s="2"/>
    </row>
    <row r="47101" spans="3:3" x14ac:dyDescent="0.35">
      <c r="C47101" s="2"/>
    </row>
    <row r="47102" spans="3:3" x14ac:dyDescent="0.35">
      <c r="C47102" s="2"/>
    </row>
    <row r="47103" spans="3:3" x14ac:dyDescent="0.35">
      <c r="C47103" s="2"/>
    </row>
    <row r="47104" spans="3:3" x14ac:dyDescent="0.35">
      <c r="C47104" s="2"/>
    </row>
    <row r="47105" spans="3:3" x14ac:dyDescent="0.35">
      <c r="C47105" s="2"/>
    </row>
    <row r="47106" spans="3:3" x14ac:dyDescent="0.35">
      <c r="C47106" s="2"/>
    </row>
    <row r="47107" spans="3:3" x14ac:dyDescent="0.35">
      <c r="C47107" s="2"/>
    </row>
    <row r="47108" spans="3:3" x14ac:dyDescent="0.35">
      <c r="C47108" s="2"/>
    </row>
    <row r="47109" spans="3:3" x14ac:dyDescent="0.35">
      <c r="C47109" s="2"/>
    </row>
    <row r="47110" spans="3:3" x14ac:dyDescent="0.35">
      <c r="C47110" s="2"/>
    </row>
    <row r="47111" spans="3:3" x14ac:dyDescent="0.35">
      <c r="C47111" s="2"/>
    </row>
    <row r="47112" spans="3:3" x14ac:dyDescent="0.35">
      <c r="C47112" s="2"/>
    </row>
    <row r="47113" spans="3:3" x14ac:dyDescent="0.35">
      <c r="C47113" s="2"/>
    </row>
    <row r="47114" spans="3:3" x14ac:dyDescent="0.35">
      <c r="C47114" s="2"/>
    </row>
    <row r="47115" spans="3:3" x14ac:dyDescent="0.35">
      <c r="C47115" s="2"/>
    </row>
    <row r="47116" spans="3:3" x14ac:dyDescent="0.35">
      <c r="C47116" s="2"/>
    </row>
    <row r="47117" spans="3:3" x14ac:dyDescent="0.35">
      <c r="C47117" s="2"/>
    </row>
    <row r="47118" spans="3:3" x14ac:dyDescent="0.35">
      <c r="C47118" s="2"/>
    </row>
    <row r="47119" spans="3:3" x14ac:dyDescent="0.35">
      <c r="C47119" s="2"/>
    </row>
    <row r="47120" spans="3:3" x14ac:dyDescent="0.35">
      <c r="C47120" s="2"/>
    </row>
    <row r="47121" spans="3:3" x14ac:dyDescent="0.35">
      <c r="C47121" s="2"/>
    </row>
    <row r="47122" spans="3:3" x14ac:dyDescent="0.35">
      <c r="C47122" s="2"/>
    </row>
    <row r="47123" spans="3:3" x14ac:dyDescent="0.35">
      <c r="C47123" s="2"/>
    </row>
    <row r="47124" spans="3:3" x14ac:dyDescent="0.35">
      <c r="C47124" s="2"/>
    </row>
    <row r="47125" spans="3:3" x14ac:dyDescent="0.35">
      <c r="C47125" s="2"/>
    </row>
    <row r="47126" spans="3:3" x14ac:dyDescent="0.35">
      <c r="C47126" s="2"/>
    </row>
    <row r="47127" spans="3:3" x14ac:dyDescent="0.35">
      <c r="C47127" s="2"/>
    </row>
    <row r="47128" spans="3:3" x14ac:dyDescent="0.35">
      <c r="C47128" s="2"/>
    </row>
    <row r="47129" spans="3:3" x14ac:dyDescent="0.35">
      <c r="C47129" s="2"/>
    </row>
    <row r="47130" spans="3:3" x14ac:dyDescent="0.35">
      <c r="C47130" s="2"/>
    </row>
    <row r="47131" spans="3:3" x14ac:dyDescent="0.35">
      <c r="C47131" s="2"/>
    </row>
    <row r="47132" spans="3:3" x14ac:dyDescent="0.35">
      <c r="C47132" s="2"/>
    </row>
    <row r="47133" spans="3:3" x14ac:dyDescent="0.35">
      <c r="C47133" s="2"/>
    </row>
    <row r="47134" spans="3:3" x14ac:dyDescent="0.35">
      <c r="C47134" s="2"/>
    </row>
    <row r="47135" spans="3:3" x14ac:dyDescent="0.35">
      <c r="C47135" s="2"/>
    </row>
    <row r="47136" spans="3:3" x14ac:dyDescent="0.35">
      <c r="C47136" s="2"/>
    </row>
    <row r="47137" spans="3:3" x14ac:dyDescent="0.35">
      <c r="C47137" s="2"/>
    </row>
    <row r="47138" spans="3:3" x14ac:dyDescent="0.35">
      <c r="C47138" s="2"/>
    </row>
    <row r="47139" spans="3:3" x14ac:dyDescent="0.35">
      <c r="C47139" s="2"/>
    </row>
    <row r="47140" spans="3:3" x14ac:dyDescent="0.35">
      <c r="C47140" s="2"/>
    </row>
    <row r="47141" spans="3:3" x14ac:dyDescent="0.35">
      <c r="C47141" s="2"/>
    </row>
    <row r="47142" spans="3:3" x14ac:dyDescent="0.35">
      <c r="C47142" s="2"/>
    </row>
    <row r="47143" spans="3:3" x14ac:dyDescent="0.35">
      <c r="C47143" s="2"/>
    </row>
    <row r="47144" spans="3:3" x14ac:dyDescent="0.35">
      <c r="C47144" s="2"/>
    </row>
    <row r="47145" spans="3:3" x14ac:dyDescent="0.35">
      <c r="C47145" s="2"/>
    </row>
    <row r="47146" spans="3:3" x14ac:dyDescent="0.35">
      <c r="C47146" s="2"/>
    </row>
    <row r="47147" spans="3:3" x14ac:dyDescent="0.35">
      <c r="C47147" s="2"/>
    </row>
    <row r="47148" spans="3:3" x14ac:dyDescent="0.35">
      <c r="C47148" s="2"/>
    </row>
    <row r="47149" spans="3:3" x14ac:dyDescent="0.35">
      <c r="C47149" s="2"/>
    </row>
    <row r="47150" spans="3:3" x14ac:dyDescent="0.35">
      <c r="C47150" s="2"/>
    </row>
    <row r="47151" spans="3:3" x14ac:dyDescent="0.35">
      <c r="C47151" s="2"/>
    </row>
    <row r="47152" spans="3:3" x14ac:dyDescent="0.35">
      <c r="C47152" s="2"/>
    </row>
    <row r="47153" spans="3:3" x14ac:dyDescent="0.35">
      <c r="C47153" s="2"/>
    </row>
    <row r="47154" spans="3:3" x14ac:dyDescent="0.35">
      <c r="C47154" s="2"/>
    </row>
    <row r="47155" spans="3:3" x14ac:dyDescent="0.35">
      <c r="C47155" s="2"/>
    </row>
    <row r="47156" spans="3:3" x14ac:dyDescent="0.35">
      <c r="C47156" s="2"/>
    </row>
    <row r="47157" spans="3:3" x14ac:dyDescent="0.35">
      <c r="C47157" s="2"/>
    </row>
    <row r="47158" spans="3:3" x14ac:dyDescent="0.35">
      <c r="C47158" s="2"/>
    </row>
    <row r="47159" spans="3:3" x14ac:dyDescent="0.35">
      <c r="C47159" s="2"/>
    </row>
    <row r="47160" spans="3:3" x14ac:dyDescent="0.35">
      <c r="C47160" s="2"/>
    </row>
    <row r="47161" spans="3:3" x14ac:dyDescent="0.35">
      <c r="C47161" s="2"/>
    </row>
    <row r="47162" spans="3:3" x14ac:dyDescent="0.35">
      <c r="C47162" s="2"/>
    </row>
    <row r="47163" spans="3:3" x14ac:dyDescent="0.35">
      <c r="C47163" s="2"/>
    </row>
    <row r="47164" spans="3:3" x14ac:dyDescent="0.35">
      <c r="C47164" s="2"/>
    </row>
    <row r="47165" spans="3:3" x14ac:dyDescent="0.35">
      <c r="C47165" s="2"/>
    </row>
    <row r="47166" spans="3:3" x14ac:dyDescent="0.35">
      <c r="C47166" s="2"/>
    </row>
    <row r="47167" spans="3:3" x14ac:dyDescent="0.35">
      <c r="C47167" s="2"/>
    </row>
    <row r="47168" spans="3:3" x14ac:dyDescent="0.35">
      <c r="C47168" s="2"/>
    </row>
    <row r="47169" spans="3:3" x14ac:dyDescent="0.35">
      <c r="C47169" s="2"/>
    </row>
    <row r="47170" spans="3:3" x14ac:dyDescent="0.35">
      <c r="C47170" s="2"/>
    </row>
    <row r="47171" spans="3:3" x14ac:dyDescent="0.35">
      <c r="C47171" s="2"/>
    </row>
    <row r="47172" spans="3:3" x14ac:dyDescent="0.35">
      <c r="C47172" s="2"/>
    </row>
    <row r="47173" spans="3:3" x14ac:dyDescent="0.35">
      <c r="C47173" s="2"/>
    </row>
    <row r="47174" spans="3:3" x14ac:dyDescent="0.35">
      <c r="C47174" s="2"/>
    </row>
    <row r="47175" spans="3:3" x14ac:dyDescent="0.35">
      <c r="C47175" s="2"/>
    </row>
    <row r="47176" spans="3:3" x14ac:dyDescent="0.35">
      <c r="C47176" s="2"/>
    </row>
    <row r="47177" spans="3:3" x14ac:dyDescent="0.35">
      <c r="C47177" s="2"/>
    </row>
    <row r="47178" spans="3:3" x14ac:dyDescent="0.35">
      <c r="C47178" s="2"/>
    </row>
    <row r="47179" spans="3:3" x14ac:dyDescent="0.35">
      <c r="C47179" s="2"/>
    </row>
    <row r="47180" spans="3:3" x14ac:dyDescent="0.35">
      <c r="C47180" s="2"/>
    </row>
    <row r="47181" spans="3:3" x14ac:dyDescent="0.35">
      <c r="C47181" s="2"/>
    </row>
    <row r="47182" spans="3:3" x14ac:dyDescent="0.35">
      <c r="C47182" s="2"/>
    </row>
    <row r="47183" spans="3:3" x14ac:dyDescent="0.35">
      <c r="C47183" s="2"/>
    </row>
    <row r="47184" spans="3:3" x14ac:dyDescent="0.35">
      <c r="C47184" s="2"/>
    </row>
    <row r="47185" spans="3:3" x14ac:dyDescent="0.35">
      <c r="C47185" s="2"/>
    </row>
    <row r="47186" spans="3:3" x14ac:dyDescent="0.35">
      <c r="C47186" s="2"/>
    </row>
    <row r="47187" spans="3:3" x14ac:dyDescent="0.35">
      <c r="C47187" s="2"/>
    </row>
    <row r="47188" spans="3:3" x14ac:dyDescent="0.35">
      <c r="C47188" s="2"/>
    </row>
    <row r="47189" spans="3:3" x14ac:dyDescent="0.35">
      <c r="C47189" s="2"/>
    </row>
    <row r="47190" spans="3:3" x14ac:dyDescent="0.35">
      <c r="C47190" s="2"/>
    </row>
    <row r="47191" spans="3:3" x14ac:dyDescent="0.35">
      <c r="C47191" s="2"/>
    </row>
    <row r="47192" spans="3:3" x14ac:dyDescent="0.35">
      <c r="C47192" s="2"/>
    </row>
    <row r="47193" spans="3:3" x14ac:dyDescent="0.35">
      <c r="C47193" s="2"/>
    </row>
    <row r="47194" spans="3:3" x14ac:dyDescent="0.35">
      <c r="C47194" s="2"/>
    </row>
    <row r="47195" spans="3:3" x14ac:dyDescent="0.35">
      <c r="C47195" s="2"/>
    </row>
    <row r="47196" spans="3:3" x14ac:dyDescent="0.35">
      <c r="C47196" s="2"/>
    </row>
    <row r="47197" spans="3:3" x14ac:dyDescent="0.35">
      <c r="C47197" s="2"/>
    </row>
    <row r="47198" spans="3:3" x14ac:dyDescent="0.35">
      <c r="C47198" s="2"/>
    </row>
    <row r="47199" spans="3:3" x14ac:dyDescent="0.35">
      <c r="C47199" s="2"/>
    </row>
    <row r="47200" spans="3:3" x14ac:dyDescent="0.35">
      <c r="C47200" s="2"/>
    </row>
    <row r="47201" spans="3:3" x14ac:dyDescent="0.35">
      <c r="C47201" s="2"/>
    </row>
    <row r="47202" spans="3:3" x14ac:dyDescent="0.35">
      <c r="C47202" s="2"/>
    </row>
    <row r="47203" spans="3:3" x14ac:dyDescent="0.35">
      <c r="C47203" s="2"/>
    </row>
    <row r="47204" spans="3:3" x14ac:dyDescent="0.35">
      <c r="C47204" s="2"/>
    </row>
    <row r="47205" spans="3:3" x14ac:dyDescent="0.35">
      <c r="C47205" s="2"/>
    </row>
    <row r="47206" spans="3:3" x14ac:dyDescent="0.35">
      <c r="C47206" s="2"/>
    </row>
    <row r="47207" spans="3:3" x14ac:dyDescent="0.35">
      <c r="C47207" s="2"/>
    </row>
    <row r="47208" spans="3:3" x14ac:dyDescent="0.35">
      <c r="C47208" s="2"/>
    </row>
    <row r="47209" spans="3:3" x14ac:dyDescent="0.35">
      <c r="C47209" s="2"/>
    </row>
    <row r="47210" spans="3:3" x14ac:dyDescent="0.35">
      <c r="C47210" s="2"/>
    </row>
    <row r="47211" spans="3:3" x14ac:dyDescent="0.35">
      <c r="C47211" s="2"/>
    </row>
    <row r="47212" spans="3:3" x14ac:dyDescent="0.35">
      <c r="C47212" s="2"/>
    </row>
    <row r="47213" spans="3:3" x14ac:dyDescent="0.35">
      <c r="C47213" s="2"/>
    </row>
    <row r="47214" spans="3:3" x14ac:dyDescent="0.35">
      <c r="C47214" s="2"/>
    </row>
    <row r="47215" spans="3:3" x14ac:dyDescent="0.35">
      <c r="C47215" s="2"/>
    </row>
    <row r="47216" spans="3:3" x14ac:dyDescent="0.35">
      <c r="C47216" s="2"/>
    </row>
    <row r="47217" spans="3:3" x14ac:dyDescent="0.35">
      <c r="C47217" s="2"/>
    </row>
    <row r="47218" spans="3:3" x14ac:dyDescent="0.35">
      <c r="C47218" s="2"/>
    </row>
    <row r="47219" spans="3:3" x14ac:dyDescent="0.35">
      <c r="C47219" s="2"/>
    </row>
    <row r="47220" spans="3:3" x14ac:dyDescent="0.35">
      <c r="C47220" s="2"/>
    </row>
    <row r="47221" spans="3:3" x14ac:dyDescent="0.35">
      <c r="C47221" s="2"/>
    </row>
    <row r="47222" spans="3:3" x14ac:dyDescent="0.35">
      <c r="C47222" s="2"/>
    </row>
    <row r="47223" spans="3:3" x14ac:dyDescent="0.35">
      <c r="C47223" s="2"/>
    </row>
    <row r="47224" spans="3:3" x14ac:dyDescent="0.35">
      <c r="C47224" s="2"/>
    </row>
    <row r="47225" spans="3:3" x14ac:dyDescent="0.35">
      <c r="C47225" s="2"/>
    </row>
    <row r="47226" spans="3:3" x14ac:dyDescent="0.35">
      <c r="C47226" s="2"/>
    </row>
    <row r="47227" spans="3:3" x14ac:dyDescent="0.35">
      <c r="C47227" s="2"/>
    </row>
    <row r="47228" spans="3:3" x14ac:dyDescent="0.35">
      <c r="C47228" s="2"/>
    </row>
    <row r="47229" spans="3:3" x14ac:dyDescent="0.35">
      <c r="C47229" s="2"/>
    </row>
    <row r="47230" spans="3:3" x14ac:dyDescent="0.35">
      <c r="C47230" s="2"/>
    </row>
    <row r="47231" spans="3:3" x14ac:dyDescent="0.35">
      <c r="C47231" s="2"/>
    </row>
    <row r="47232" spans="3:3" x14ac:dyDescent="0.35">
      <c r="C47232" s="2"/>
    </row>
    <row r="47233" spans="3:3" x14ac:dyDescent="0.35">
      <c r="C47233" s="2"/>
    </row>
    <row r="47234" spans="3:3" x14ac:dyDescent="0.35">
      <c r="C47234" s="2"/>
    </row>
    <row r="47235" spans="3:3" x14ac:dyDescent="0.35">
      <c r="C47235" s="2"/>
    </row>
    <row r="47236" spans="3:3" x14ac:dyDescent="0.35">
      <c r="C47236" s="2"/>
    </row>
    <row r="47237" spans="3:3" x14ac:dyDescent="0.35">
      <c r="C47237" s="2"/>
    </row>
    <row r="47238" spans="3:3" x14ac:dyDescent="0.35">
      <c r="C47238" s="2"/>
    </row>
    <row r="47239" spans="3:3" x14ac:dyDescent="0.35">
      <c r="C47239" s="2"/>
    </row>
    <row r="47240" spans="3:3" x14ac:dyDescent="0.35">
      <c r="C47240" s="2"/>
    </row>
    <row r="47241" spans="3:3" x14ac:dyDescent="0.35">
      <c r="C47241" s="2"/>
    </row>
    <row r="47242" spans="3:3" x14ac:dyDescent="0.35">
      <c r="C47242" s="2"/>
    </row>
    <row r="47243" spans="3:3" x14ac:dyDescent="0.35">
      <c r="C47243" s="2"/>
    </row>
    <row r="47244" spans="3:3" x14ac:dyDescent="0.35">
      <c r="C47244" s="2"/>
    </row>
    <row r="47245" spans="3:3" x14ac:dyDescent="0.35">
      <c r="C47245" s="2"/>
    </row>
    <row r="47246" spans="3:3" x14ac:dyDescent="0.35">
      <c r="C47246" s="2"/>
    </row>
    <row r="47247" spans="3:3" x14ac:dyDescent="0.35">
      <c r="C47247" s="2"/>
    </row>
    <row r="47248" spans="3:3" x14ac:dyDescent="0.35">
      <c r="C47248" s="2"/>
    </row>
    <row r="47249" spans="3:3" x14ac:dyDescent="0.35">
      <c r="C47249" s="2"/>
    </row>
    <row r="47250" spans="3:3" x14ac:dyDescent="0.35">
      <c r="C47250" s="2"/>
    </row>
    <row r="47251" spans="3:3" x14ac:dyDescent="0.35">
      <c r="C47251" s="2"/>
    </row>
    <row r="47252" spans="3:3" x14ac:dyDescent="0.35">
      <c r="C47252" s="2"/>
    </row>
    <row r="47253" spans="3:3" x14ac:dyDescent="0.35">
      <c r="C47253" s="2"/>
    </row>
    <row r="47254" spans="3:3" x14ac:dyDescent="0.35">
      <c r="C47254" s="2"/>
    </row>
    <row r="47255" spans="3:3" x14ac:dyDescent="0.35">
      <c r="C47255" s="2"/>
    </row>
    <row r="47256" spans="3:3" x14ac:dyDescent="0.35">
      <c r="C47256" s="2"/>
    </row>
    <row r="47257" spans="3:3" x14ac:dyDescent="0.35">
      <c r="C47257" s="2"/>
    </row>
    <row r="47258" spans="3:3" x14ac:dyDescent="0.35">
      <c r="C47258" s="2"/>
    </row>
    <row r="47259" spans="3:3" x14ac:dyDescent="0.35">
      <c r="C47259" s="2"/>
    </row>
    <row r="47260" spans="3:3" x14ac:dyDescent="0.35">
      <c r="C47260" s="2"/>
    </row>
    <row r="47261" spans="3:3" x14ac:dyDescent="0.35">
      <c r="C47261" s="2"/>
    </row>
    <row r="47262" spans="3:3" x14ac:dyDescent="0.35">
      <c r="C47262" s="2"/>
    </row>
    <row r="47263" spans="3:3" x14ac:dyDescent="0.35">
      <c r="C47263" s="2"/>
    </row>
    <row r="47264" spans="3:3" x14ac:dyDescent="0.35">
      <c r="C47264" s="2"/>
    </row>
    <row r="47265" spans="3:3" x14ac:dyDescent="0.35">
      <c r="C47265" s="2"/>
    </row>
    <row r="47266" spans="3:3" x14ac:dyDescent="0.35">
      <c r="C47266" s="2"/>
    </row>
    <row r="47267" spans="3:3" x14ac:dyDescent="0.35">
      <c r="C47267" s="2"/>
    </row>
    <row r="47268" spans="3:3" x14ac:dyDescent="0.35">
      <c r="C47268" s="2"/>
    </row>
    <row r="47269" spans="3:3" x14ac:dyDescent="0.35">
      <c r="C47269" s="2"/>
    </row>
    <row r="47270" spans="3:3" x14ac:dyDescent="0.35">
      <c r="C47270" s="2"/>
    </row>
    <row r="47271" spans="3:3" x14ac:dyDescent="0.35">
      <c r="C47271" s="2"/>
    </row>
    <row r="47272" spans="3:3" x14ac:dyDescent="0.35">
      <c r="C47272" s="2"/>
    </row>
    <row r="47273" spans="3:3" x14ac:dyDescent="0.35">
      <c r="C47273" s="2"/>
    </row>
    <row r="47274" spans="3:3" x14ac:dyDescent="0.35">
      <c r="C47274" s="2"/>
    </row>
    <row r="47275" spans="3:3" x14ac:dyDescent="0.35">
      <c r="C47275" s="2"/>
    </row>
    <row r="47276" spans="3:3" x14ac:dyDescent="0.35">
      <c r="C47276" s="2"/>
    </row>
    <row r="47277" spans="3:3" x14ac:dyDescent="0.35">
      <c r="C47277" s="2"/>
    </row>
    <row r="47278" spans="3:3" x14ac:dyDescent="0.35">
      <c r="C47278" s="2"/>
    </row>
    <row r="47279" spans="3:3" x14ac:dyDescent="0.35">
      <c r="C47279" s="2"/>
    </row>
    <row r="47280" spans="3:3" x14ac:dyDescent="0.35">
      <c r="C47280" s="2"/>
    </row>
    <row r="47281" spans="3:3" x14ac:dyDescent="0.35">
      <c r="C47281" s="2"/>
    </row>
    <row r="47282" spans="3:3" x14ac:dyDescent="0.35">
      <c r="C47282" s="2"/>
    </row>
    <row r="47283" spans="3:3" x14ac:dyDescent="0.35">
      <c r="C47283" s="2"/>
    </row>
    <row r="47284" spans="3:3" x14ac:dyDescent="0.35">
      <c r="C47284" s="2"/>
    </row>
    <row r="47285" spans="3:3" x14ac:dyDescent="0.35">
      <c r="C47285" s="2"/>
    </row>
    <row r="47286" spans="3:3" x14ac:dyDescent="0.35">
      <c r="C47286" s="2"/>
    </row>
    <row r="47287" spans="3:3" x14ac:dyDescent="0.35">
      <c r="C47287" s="2"/>
    </row>
    <row r="47288" spans="3:3" x14ac:dyDescent="0.35">
      <c r="C47288" s="2"/>
    </row>
    <row r="47289" spans="3:3" x14ac:dyDescent="0.35">
      <c r="C47289" s="2"/>
    </row>
    <row r="47290" spans="3:3" x14ac:dyDescent="0.35">
      <c r="C47290" s="2"/>
    </row>
    <row r="47291" spans="3:3" x14ac:dyDescent="0.35">
      <c r="C47291" s="2"/>
    </row>
    <row r="47292" spans="3:3" x14ac:dyDescent="0.35">
      <c r="C47292" s="2"/>
    </row>
    <row r="47293" spans="3:3" x14ac:dyDescent="0.35">
      <c r="C47293" s="2"/>
    </row>
    <row r="47294" spans="3:3" x14ac:dyDescent="0.35">
      <c r="C47294" s="2"/>
    </row>
    <row r="47295" spans="3:3" x14ac:dyDescent="0.35">
      <c r="C47295" s="2"/>
    </row>
    <row r="47296" spans="3:3" x14ac:dyDescent="0.35">
      <c r="C47296" s="2"/>
    </row>
    <row r="47297" spans="3:3" x14ac:dyDescent="0.35">
      <c r="C47297" s="2"/>
    </row>
    <row r="47298" spans="3:3" x14ac:dyDescent="0.35">
      <c r="C47298" s="2"/>
    </row>
    <row r="47299" spans="3:3" x14ac:dyDescent="0.35">
      <c r="C47299" s="2"/>
    </row>
    <row r="47300" spans="3:3" x14ac:dyDescent="0.35">
      <c r="C47300" s="2"/>
    </row>
    <row r="47301" spans="3:3" x14ac:dyDescent="0.35">
      <c r="C47301" s="2"/>
    </row>
    <row r="47302" spans="3:3" x14ac:dyDescent="0.35">
      <c r="C47302" s="2"/>
    </row>
    <row r="47303" spans="3:3" x14ac:dyDescent="0.35">
      <c r="C47303" s="2"/>
    </row>
    <row r="47304" spans="3:3" x14ac:dyDescent="0.35">
      <c r="C47304" s="2"/>
    </row>
    <row r="47305" spans="3:3" x14ac:dyDescent="0.35">
      <c r="C47305" s="2"/>
    </row>
    <row r="47306" spans="3:3" x14ac:dyDescent="0.35">
      <c r="C47306" s="2"/>
    </row>
    <row r="47307" spans="3:3" x14ac:dyDescent="0.35">
      <c r="C47307" s="2"/>
    </row>
    <row r="47308" spans="3:3" x14ac:dyDescent="0.35">
      <c r="C47308" s="2"/>
    </row>
    <row r="47309" spans="3:3" x14ac:dyDescent="0.35">
      <c r="C47309" s="2"/>
    </row>
    <row r="47310" spans="3:3" x14ac:dyDescent="0.35">
      <c r="C47310" s="2"/>
    </row>
    <row r="47311" spans="3:3" x14ac:dyDescent="0.35">
      <c r="C47311" s="2"/>
    </row>
    <row r="47312" spans="3:3" x14ac:dyDescent="0.35">
      <c r="C47312" s="2"/>
    </row>
    <row r="47313" spans="3:3" x14ac:dyDescent="0.35">
      <c r="C47313" s="2"/>
    </row>
    <row r="47314" spans="3:3" x14ac:dyDescent="0.35">
      <c r="C47314" s="2"/>
    </row>
    <row r="47315" spans="3:3" x14ac:dyDescent="0.35">
      <c r="C47315" s="2"/>
    </row>
    <row r="47316" spans="3:3" x14ac:dyDescent="0.35">
      <c r="C47316" s="2"/>
    </row>
    <row r="47317" spans="3:3" x14ac:dyDescent="0.35">
      <c r="C47317" s="2"/>
    </row>
    <row r="47318" spans="3:3" x14ac:dyDescent="0.35">
      <c r="C47318" s="2"/>
    </row>
    <row r="47319" spans="3:3" x14ac:dyDescent="0.35">
      <c r="C47319" s="2"/>
    </row>
    <row r="47320" spans="3:3" x14ac:dyDescent="0.35">
      <c r="C47320" s="2"/>
    </row>
    <row r="47321" spans="3:3" x14ac:dyDescent="0.35">
      <c r="C47321" s="2"/>
    </row>
    <row r="47322" spans="3:3" x14ac:dyDescent="0.35">
      <c r="C47322" s="2"/>
    </row>
    <row r="47323" spans="3:3" x14ac:dyDescent="0.35">
      <c r="C47323" s="2"/>
    </row>
    <row r="47324" spans="3:3" x14ac:dyDescent="0.35">
      <c r="C47324" s="2"/>
    </row>
    <row r="47325" spans="3:3" x14ac:dyDescent="0.35">
      <c r="C47325" s="2"/>
    </row>
    <row r="47326" spans="3:3" x14ac:dyDescent="0.35">
      <c r="C47326" s="2"/>
    </row>
    <row r="47327" spans="3:3" x14ac:dyDescent="0.35">
      <c r="C47327" s="2"/>
    </row>
    <row r="47328" spans="3:3" x14ac:dyDescent="0.35">
      <c r="C47328" s="2"/>
    </row>
    <row r="47329" spans="3:3" x14ac:dyDescent="0.35">
      <c r="C47329" s="2"/>
    </row>
    <row r="47330" spans="3:3" x14ac:dyDescent="0.35">
      <c r="C47330" s="2"/>
    </row>
    <row r="47331" spans="3:3" x14ac:dyDescent="0.35">
      <c r="C47331" s="2"/>
    </row>
    <row r="47332" spans="3:3" x14ac:dyDescent="0.35">
      <c r="C47332" s="2"/>
    </row>
    <row r="47333" spans="3:3" x14ac:dyDescent="0.35">
      <c r="C47333" s="2"/>
    </row>
    <row r="47334" spans="3:3" x14ac:dyDescent="0.35">
      <c r="C47334" s="2"/>
    </row>
    <row r="47335" spans="3:3" x14ac:dyDescent="0.35">
      <c r="C47335" s="2"/>
    </row>
    <row r="47336" spans="3:3" x14ac:dyDescent="0.35">
      <c r="C47336" s="2"/>
    </row>
    <row r="47337" spans="3:3" x14ac:dyDescent="0.35">
      <c r="C47337" s="2"/>
    </row>
    <row r="47338" spans="3:3" x14ac:dyDescent="0.35">
      <c r="C47338" s="2"/>
    </row>
    <row r="47339" spans="3:3" x14ac:dyDescent="0.35">
      <c r="C47339" s="2"/>
    </row>
    <row r="47340" spans="3:3" x14ac:dyDescent="0.35">
      <c r="C47340" s="2"/>
    </row>
    <row r="47341" spans="3:3" x14ac:dyDescent="0.35">
      <c r="C47341" s="2"/>
    </row>
    <row r="47342" spans="3:3" x14ac:dyDescent="0.35">
      <c r="C47342" s="2"/>
    </row>
    <row r="47343" spans="3:3" x14ac:dyDescent="0.35">
      <c r="C47343" s="2"/>
    </row>
    <row r="47344" spans="3:3" x14ac:dyDescent="0.35">
      <c r="C47344" s="2"/>
    </row>
    <row r="47345" spans="3:3" x14ac:dyDescent="0.35">
      <c r="C47345" s="2"/>
    </row>
    <row r="47346" spans="3:3" x14ac:dyDescent="0.35">
      <c r="C47346" s="2"/>
    </row>
    <row r="47347" spans="3:3" x14ac:dyDescent="0.35">
      <c r="C47347" s="2"/>
    </row>
    <row r="47348" spans="3:3" x14ac:dyDescent="0.35">
      <c r="C47348" s="2"/>
    </row>
    <row r="47349" spans="3:3" x14ac:dyDescent="0.35">
      <c r="C47349" s="2"/>
    </row>
    <row r="47350" spans="3:3" x14ac:dyDescent="0.35">
      <c r="C47350" s="2"/>
    </row>
    <row r="47351" spans="3:3" x14ac:dyDescent="0.35">
      <c r="C47351" s="2"/>
    </row>
    <row r="47352" spans="3:3" x14ac:dyDescent="0.35">
      <c r="C47352" s="2"/>
    </row>
    <row r="47353" spans="3:3" x14ac:dyDescent="0.35">
      <c r="C47353" s="2"/>
    </row>
    <row r="47354" spans="3:3" x14ac:dyDescent="0.35">
      <c r="C47354" s="2"/>
    </row>
    <row r="47355" spans="3:3" x14ac:dyDescent="0.35">
      <c r="C47355" s="2"/>
    </row>
    <row r="47356" spans="3:3" x14ac:dyDescent="0.35">
      <c r="C47356" s="2"/>
    </row>
    <row r="47357" spans="3:3" x14ac:dyDescent="0.35">
      <c r="C47357" s="2"/>
    </row>
    <row r="47358" spans="3:3" x14ac:dyDescent="0.35">
      <c r="C47358" s="2"/>
    </row>
    <row r="47359" spans="3:3" x14ac:dyDescent="0.35">
      <c r="C47359" s="2"/>
    </row>
    <row r="47360" spans="3:3" x14ac:dyDescent="0.35">
      <c r="C47360" s="2"/>
    </row>
    <row r="47361" spans="3:3" x14ac:dyDescent="0.35">
      <c r="C47361" s="2"/>
    </row>
    <row r="47362" spans="3:3" x14ac:dyDescent="0.35">
      <c r="C47362" s="2"/>
    </row>
    <row r="47363" spans="3:3" x14ac:dyDescent="0.35">
      <c r="C47363" s="2"/>
    </row>
    <row r="47364" spans="3:3" x14ac:dyDescent="0.35">
      <c r="C47364" s="2"/>
    </row>
    <row r="47365" spans="3:3" x14ac:dyDescent="0.35">
      <c r="C47365" s="2"/>
    </row>
    <row r="47366" spans="3:3" x14ac:dyDescent="0.35">
      <c r="C47366" s="2"/>
    </row>
    <row r="47367" spans="3:3" x14ac:dyDescent="0.35">
      <c r="C47367" s="2"/>
    </row>
    <row r="47368" spans="3:3" x14ac:dyDescent="0.35">
      <c r="C47368" s="2"/>
    </row>
    <row r="47369" spans="3:3" x14ac:dyDescent="0.35">
      <c r="C47369" s="2"/>
    </row>
    <row r="47370" spans="3:3" x14ac:dyDescent="0.35">
      <c r="C47370" s="2"/>
    </row>
    <row r="47371" spans="3:3" x14ac:dyDescent="0.35">
      <c r="C47371" s="2"/>
    </row>
    <row r="47372" spans="3:3" x14ac:dyDescent="0.35">
      <c r="C47372" s="2"/>
    </row>
    <row r="47373" spans="3:3" x14ac:dyDescent="0.35">
      <c r="C47373" s="2"/>
    </row>
    <row r="47374" spans="3:3" x14ac:dyDescent="0.35">
      <c r="C47374" s="2"/>
    </row>
    <row r="47375" spans="3:3" x14ac:dyDescent="0.35">
      <c r="C47375" s="2"/>
    </row>
    <row r="47376" spans="3:3" x14ac:dyDescent="0.35">
      <c r="C47376" s="2"/>
    </row>
    <row r="47377" spans="3:3" x14ac:dyDescent="0.35">
      <c r="C47377" s="2"/>
    </row>
    <row r="47378" spans="3:3" x14ac:dyDescent="0.35">
      <c r="C47378" s="2"/>
    </row>
    <row r="47379" spans="3:3" x14ac:dyDescent="0.35">
      <c r="C47379" s="2"/>
    </row>
    <row r="47380" spans="3:3" x14ac:dyDescent="0.35">
      <c r="C47380" s="2"/>
    </row>
    <row r="47381" spans="3:3" x14ac:dyDescent="0.35">
      <c r="C47381" s="2"/>
    </row>
    <row r="47382" spans="3:3" x14ac:dyDescent="0.35">
      <c r="C47382" s="2"/>
    </row>
    <row r="47383" spans="3:3" x14ac:dyDescent="0.35">
      <c r="C47383" s="2"/>
    </row>
    <row r="47384" spans="3:3" x14ac:dyDescent="0.35">
      <c r="C47384" s="2"/>
    </row>
    <row r="47385" spans="3:3" x14ac:dyDescent="0.35">
      <c r="C47385" s="2"/>
    </row>
    <row r="47386" spans="3:3" x14ac:dyDescent="0.35">
      <c r="C47386" s="2"/>
    </row>
    <row r="47387" spans="3:3" x14ac:dyDescent="0.35">
      <c r="C47387" s="2"/>
    </row>
    <row r="47388" spans="3:3" x14ac:dyDescent="0.35">
      <c r="C47388" s="2"/>
    </row>
    <row r="47389" spans="3:3" x14ac:dyDescent="0.35">
      <c r="C47389" s="2"/>
    </row>
    <row r="47390" spans="3:3" x14ac:dyDescent="0.35">
      <c r="C47390" s="2"/>
    </row>
    <row r="47391" spans="3:3" x14ac:dyDescent="0.35">
      <c r="C47391" s="2"/>
    </row>
    <row r="47392" spans="3:3" x14ac:dyDescent="0.35">
      <c r="C47392" s="2"/>
    </row>
    <row r="47393" spans="3:3" x14ac:dyDescent="0.35">
      <c r="C47393" s="2"/>
    </row>
    <row r="47394" spans="3:3" x14ac:dyDescent="0.35">
      <c r="C47394" s="2"/>
    </row>
    <row r="47395" spans="3:3" x14ac:dyDescent="0.35">
      <c r="C47395" s="2"/>
    </row>
    <row r="47396" spans="3:3" x14ac:dyDescent="0.35">
      <c r="C47396" s="2"/>
    </row>
    <row r="47397" spans="3:3" x14ac:dyDescent="0.35">
      <c r="C47397" s="2"/>
    </row>
    <row r="47398" spans="3:3" x14ac:dyDescent="0.35">
      <c r="C47398" s="2"/>
    </row>
    <row r="47399" spans="3:3" x14ac:dyDescent="0.35">
      <c r="C47399" s="2"/>
    </row>
    <row r="47400" spans="3:3" x14ac:dyDescent="0.35">
      <c r="C47400" s="2"/>
    </row>
    <row r="47401" spans="3:3" x14ac:dyDescent="0.35">
      <c r="C47401" s="2"/>
    </row>
    <row r="47402" spans="3:3" x14ac:dyDescent="0.35">
      <c r="C47402" s="2"/>
    </row>
    <row r="47403" spans="3:3" x14ac:dyDescent="0.35">
      <c r="C47403" s="2"/>
    </row>
    <row r="47404" spans="3:3" x14ac:dyDescent="0.35">
      <c r="C47404" s="2"/>
    </row>
    <row r="47405" spans="3:3" x14ac:dyDescent="0.35">
      <c r="C47405" s="2"/>
    </row>
    <row r="47406" spans="3:3" x14ac:dyDescent="0.35">
      <c r="C47406" s="2"/>
    </row>
    <row r="47407" spans="3:3" x14ac:dyDescent="0.35">
      <c r="C47407" s="2"/>
    </row>
    <row r="47408" spans="3:3" x14ac:dyDescent="0.35">
      <c r="C47408" s="2"/>
    </row>
    <row r="47409" spans="3:3" x14ac:dyDescent="0.35">
      <c r="C47409" s="2"/>
    </row>
    <row r="47410" spans="3:3" x14ac:dyDescent="0.35">
      <c r="C47410" s="2"/>
    </row>
    <row r="47411" spans="3:3" x14ac:dyDescent="0.35">
      <c r="C47411" s="2"/>
    </row>
    <row r="47412" spans="3:3" x14ac:dyDescent="0.35">
      <c r="C47412" s="2"/>
    </row>
    <row r="47413" spans="3:3" x14ac:dyDescent="0.35">
      <c r="C47413" s="2"/>
    </row>
    <row r="47414" spans="3:3" x14ac:dyDescent="0.35">
      <c r="C47414" s="2"/>
    </row>
    <row r="47415" spans="3:3" x14ac:dyDescent="0.35">
      <c r="C47415" s="2"/>
    </row>
    <row r="47416" spans="3:3" x14ac:dyDescent="0.35">
      <c r="C47416" s="2"/>
    </row>
    <row r="47417" spans="3:3" x14ac:dyDescent="0.35">
      <c r="C47417" s="2"/>
    </row>
    <row r="47418" spans="3:3" x14ac:dyDescent="0.35">
      <c r="C47418" s="2"/>
    </row>
    <row r="47419" spans="3:3" x14ac:dyDescent="0.35">
      <c r="C47419" s="2"/>
    </row>
    <row r="47420" spans="3:3" x14ac:dyDescent="0.35">
      <c r="C47420" s="2"/>
    </row>
    <row r="47421" spans="3:3" x14ac:dyDescent="0.35">
      <c r="C47421" s="2"/>
    </row>
    <row r="47422" spans="3:3" x14ac:dyDescent="0.35">
      <c r="C47422" s="2"/>
    </row>
    <row r="47423" spans="3:3" x14ac:dyDescent="0.35">
      <c r="C47423" s="2"/>
    </row>
    <row r="47424" spans="3:3" x14ac:dyDescent="0.35">
      <c r="C47424" s="2"/>
    </row>
    <row r="47425" spans="3:3" x14ac:dyDescent="0.35">
      <c r="C47425" s="2"/>
    </row>
    <row r="47426" spans="3:3" x14ac:dyDescent="0.35">
      <c r="C47426" s="2"/>
    </row>
    <row r="47427" spans="3:3" x14ac:dyDescent="0.35">
      <c r="C47427" s="2"/>
    </row>
    <row r="47428" spans="3:3" x14ac:dyDescent="0.35">
      <c r="C47428" s="2"/>
    </row>
    <row r="47429" spans="3:3" x14ac:dyDescent="0.35">
      <c r="C47429" s="2"/>
    </row>
    <row r="47430" spans="3:3" x14ac:dyDescent="0.35">
      <c r="C47430" s="2"/>
    </row>
    <row r="47431" spans="3:3" x14ac:dyDescent="0.35">
      <c r="C47431" s="2"/>
    </row>
    <row r="47432" spans="3:3" x14ac:dyDescent="0.35">
      <c r="C47432" s="2"/>
    </row>
    <row r="47433" spans="3:3" x14ac:dyDescent="0.35">
      <c r="C47433" s="2"/>
    </row>
    <row r="47434" spans="3:3" x14ac:dyDescent="0.35">
      <c r="C47434" s="2"/>
    </row>
    <row r="47435" spans="3:3" x14ac:dyDescent="0.35">
      <c r="C47435" s="2"/>
    </row>
    <row r="47436" spans="3:3" x14ac:dyDescent="0.35">
      <c r="C47436" s="2"/>
    </row>
    <row r="47437" spans="3:3" x14ac:dyDescent="0.35">
      <c r="C47437" s="2"/>
    </row>
    <row r="47438" spans="3:3" x14ac:dyDescent="0.35">
      <c r="C47438" s="2"/>
    </row>
    <row r="47439" spans="3:3" x14ac:dyDescent="0.35">
      <c r="C47439" s="2"/>
    </row>
    <row r="47440" spans="3:3" x14ac:dyDescent="0.35">
      <c r="C47440" s="2"/>
    </row>
    <row r="47441" spans="3:3" x14ac:dyDescent="0.35">
      <c r="C47441" s="2"/>
    </row>
    <row r="47442" spans="3:3" x14ac:dyDescent="0.35">
      <c r="C47442" s="2"/>
    </row>
    <row r="47443" spans="3:3" x14ac:dyDescent="0.35">
      <c r="C47443" s="2"/>
    </row>
    <row r="47444" spans="3:3" x14ac:dyDescent="0.35">
      <c r="C47444" s="2"/>
    </row>
    <row r="47445" spans="3:3" x14ac:dyDescent="0.35">
      <c r="C47445" s="2"/>
    </row>
    <row r="47446" spans="3:3" x14ac:dyDescent="0.35">
      <c r="C47446" s="2"/>
    </row>
    <row r="47447" spans="3:3" x14ac:dyDescent="0.35">
      <c r="C47447" s="2"/>
    </row>
    <row r="47448" spans="3:3" x14ac:dyDescent="0.35">
      <c r="C47448" s="2"/>
    </row>
    <row r="47449" spans="3:3" x14ac:dyDescent="0.35">
      <c r="C47449" s="2"/>
    </row>
    <row r="47450" spans="3:3" x14ac:dyDescent="0.35">
      <c r="C47450" s="2"/>
    </row>
    <row r="47451" spans="3:3" x14ac:dyDescent="0.35">
      <c r="C47451" s="2"/>
    </row>
    <row r="47452" spans="3:3" x14ac:dyDescent="0.35">
      <c r="C47452" s="2"/>
    </row>
    <row r="47453" spans="3:3" x14ac:dyDescent="0.35">
      <c r="C47453" s="2"/>
    </row>
    <row r="47454" spans="3:3" x14ac:dyDescent="0.35">
      <c r="C47454" s="2"/>
    </row>
    <row r="47455" spans="3:3" x14ac:dyDescent="0.35">
      <c r="C47455" s="2"/>
    </row>
    <row r="47456" spans="3:3" x14ac:dyDescent="0.35">
      <c r="C47456" s="2"/>
    </row>
    <row r="47457" spans="3:3" x14ac:dyDescent="0.35">
      <c r="C47457" s="2"/>
    </row>
    <row r="47458" spans="3:3" x14ac:dyDescent="0.35">
      <c r="C47458" s="2"/>
    </row>
    <row r="47459" spans="3:3" x14ac:dyDescent="0.35">
      <c r="C47459" s="2"/>
    </row>
    <row r="47460" spans="3:3" x14ac:dyDescent="0.35">
      <c r="C47460" s="2"/>
    </row>
    <row r="47461" spans="3:3" x14ac:dyDescent="0.35">
      <c r="C47461" s="2"/>
    </row>
    <row r="47462" spans="3:3" x14ac:dyDescent="0.35">
      <c r="C47462" s="2"/>
    </row>
    <row r="47463" spans="3:3" x14ac:dyDescent="0.35">
      <c r="C47463" s="2"/>
    </row>
    <row r="47464" spans="3:3" x14ac:dyDescent="0.35">
      <c r="C47464" s="2"/>
    </row>
    <row r="47465" spans="3:3" x14ac:dyDescent="0.35">
      <c r="C47465" s="2"/>
    </row>
    <row r="47466" spans="3:3" x14ac:dyDescent="0.35">
      <c r="C47466" s="2"/>
    </row>
    <row r="47467" spans="3:3" x14ac:dyDescent="0.35">
      <c r="C47467" s="2"/>
    </row>
    <row r="47468" spans="3:3" x14ac:dyDescent="0.35">
      <c r="C47468" s="2"/>
    </row>
    <row r="47469" spans="3:3" x14ac:dyDescent="0.35">
      <c r="C47469" s="2"/>
    </row>
    <row r="47470" spans="3:3" x14ac:dyDescent="0.35">
      <c r="C47470" s="2"/>
    </row>
    <row r="47471" spans="3:3" x14ac:dyDescent="0.35">
      <c r="C47471" s="2"/>
    </row>
    <row r="47472" spans="3:3" x14ac:dyDescent="0.35">
      <c r="C47472" s="2"/>
    </row>
    <row r="47473" spans="3:3" x14ac:dyDescent="0.35">
      <c r="C47473" s="2"/>
    </row>
    <row r="47474" spans="3:3" x14ac:dyDescent="0.35">
      <c r="C47474" s="2"/>
    </row>
    <row r="47475" spans="3:3" x14ac:dyDescent="0.35">
      <c r="C47475" s="2"/>
    </row>
    <row r="47476" spans="3:3" x14ac:dyDescent="0.35">
      <c r="C47476" s="2"/>
    </row>
    <row r="47477" spans="3:3" x14ac:dyDescent="0.35">
      <c r="C47477" s="2"/>
    </row>
    <row r="47478" spans="3:3" x14ac:dyDescent="0.35">
      <c r="C47478" s="2"/>
    </row>
    <row r="47479" spans="3:3" x14ac:dyDescent="0.35">
      <c r="C47479" s="2"/>
    </row>
    <row r="47480" spans="3:3" x14ac:dyDescent="0.35">
      <c r="C47480" s="2"/>
    </row>
    <row r="47481" spans="3:3" x14ac:dyDescent="0.35">
      <c r="C47481" s="2"/>
    </row>
    <row r="47482" spans="3:3" x14ac:dyDescent="0.35">
      <c r="C47482" s="2"/>
    </row>
    <row r="47483" spans="3:3" x14ac:dyDescent="0.35">
      <c r="C47483" s="2"/>
    </row>
    <row r="47484" spans="3:3" x14ac:dyDescent="0.35">
      <c r="C47484" s="2"/>
    </row>
    <row r="47485" spans="3:3" x14ac:dyDescent="0.35">
      <c r="C47485" s="2"/>
    </row>
    <row r="47486" spans="3:3" x14ac:dyDescent="0.35">
      <c r="C47486" s="2"/>
    </row>
    <row r="47487" spans="3:3" x14ac:dyDescent="0.35">
      <c r="C47487" s="2"/>
    </row>
    <row r="47488" spans="3:3" x14ac:dyDescent="0.35">
      <c r="C47488" s="2"/>
    </row>
    <row r="47489" spans="3:3" x14ac:dyDescent="0.35">
      <c r="C47489" s="2"/>
    </row>
    <row r="47490" spans="3:3" x14ac:dyDescent="0.35">
      <c r="C47490" s="2"/>
    </row>
    <row r="47491" spans="3:3" x14ac:dyDescent="0.35">
      <c r="C47491" s="2"/>
    </row>
    <row r="47492" spans="3:3" x14ac:dyDescent="0.35">
      <c r="C47492" s="2"/>
    </row>
    <row r="47493" spans="3:3" x14ac:dyDescent="0.35">
      <c r="C47493" s="2"/>
    </row>
    <row r="47494" spans="3:3" x14ac:dyDescent="0.35">
      <c r="C47494" s="2"/>
    </row>
    <row r="47495" spans="3:3" x14ac:dyDescent="0.35">
      <c r="C47495" s="2"/>
    </row>
    <row r="47496" spans="3:3" x14ac:dyDescent="0.35">
      <c r="C47496" s="2"/>
    </row>
    <row r="47497" spans="3:3" x14ac:dyDescent="0.35">
      <c r="C47497" s="2"/>
    </row>
    <row r="47498" spans="3:3" x14ac:dyDescent="0.35">
      <c r="C47498" s="2"/>
    </row>
    <row r="47499" spans="3:3" x14ac:dyDescent="0.35">
      <c r="C47499" s="2"/>
    </row>
    <row r="47500" spans="3:3" x14ac:dyDescent="0.35">
      <c r="C47500" s="2"/>
    </row>
    <row r="47501" spans="3:3" x14ac:dyDescent="0.35">
      <c r="C47501" s="2"/>
    </row>
    <row r="47502" spans="3:3" x14ac:dyDescent="0.35">
      <c r="C47502" s="2"/>
    </row>
    <row r="47503" spans="3:3" x14ac:dyDescent="0.35">
      <c r="C47503" s="2"/>
    </row>
    <row r="47504" spans="3:3" x14ac:dyDescent="0.35">
      <c r="C47504" s="2"/>
    </row>
    <row r="47505" spans="3:3" x14ac:dyDescent="0.35">
      <c r="C47505" s="2"/>
    </row>
    <row r="47506" spans="3:3" x14ac:dyDescent="0.35">
      <c r="C47506" s="2"/>
    </row>
    <row r="47507" spans="3:3" x14ac:dyDescent="0.35">
      <c r="C47507" s="2"/>
    </row>
    <row r="47508" spans="3:3" x14ac:dyDescent="0.35">
      <c r="C47508" s="2"/>
    </row>
    <row r="47509" spans="3:3" x14ac:dyDescent="0.35">
      <c r="C47509" s="2"/>
    </row>
    <row r="47510" spans="3:3" x14ac:dyDescent="0.35">
      <c r="C47510" s="2"/>
    </row>
    <row r="47511" spans="3:3" x14ac:dyDescent="0.35">
      <c r="C47511" s="2"/>
    </row>
    <row r="47512" spans="3:3" x14ac:dyDescent="0.35">
      <c r="C47512" s="2"/>
    </row>
    <row r="47513" spans="3:3" x14ac:dyDescent="0.35">
      <c r="C47513" s="2"/>
    </row>
    <row r="47514" spans="3:3" x14ac:dyDescent="0.35">
      <c r="C47514" s="2"/>
    </row>
    <row r="47515" spans="3:3" x14ac:dyDescent="0.35">
      <c r="C47515" s="2"/>
    </row>
    <row r="47516" spans="3:3" x14ac:dyDescent="0.35">
      <c r="C47516" s="2"/>
    </row>
    <row r="47517" spans="3:3" x14ac:dyDescent="0.35">
      <c r="C47517" s="2"/>
    </row>
    <row r="47518" spans="3:3" x14ac:dyDescent="0.35">
      <c r="C47518" s="2"/>
    </row>
    <row r="47519" spans="3:3" x14ac:dyDescent="0.35">
      <c r="C47519" s="2"/>
    </row>
    <row r="47520" spans="3:3" x14ac:dyDescent="0.35">
      <c r="C47520" s="2"/>
    </row>
    <row r="47521" spans="3:3" x14ac:dyDescent="0.35">
      <c r="C47521" s="2"/>
    </row>
    <row r="47522" spans="3:3" x14ac:dyDescent="0.35">
      <c r="C47522" s="2"/>
    </row>
    <row r="47523" spans="3:3" x14ac:dyDescent="0.35">
      <c r="C47523" s="2"/>
    </row>
    <row r="47524" spans="3:3" x14ac:dyDescent="0.35">
      <c r="C47524" s="2"/>
    </row>
    <row r="47525" spans="3:3" x14ac:dyDescent="0.35">
      <c r="C47525" s="2"/>
    </row>
    <row r="47526" spans="3:3" x14ac:dyDescent="0.35">
      <c r="C47526" s="2"/>
    </row>
    <row r="47527" spans="3:3" x14ac:dyDescent="0.35">
      <c r="C47527" s="2"/>
    </row>
    <row r="47528" spans="3:3" x14ac:dyDescent="0.35">
      <c r="C47528" s="2"/>
    </row>
    <row r="47529" spans="3:3" x14ac:dyDescent="0.35">
      <c r="C47529" s="2"/>
    </row>
    <row r="47530" spans="3:3" x14ac:dyDescent="0.35">
      <c r="C47530" s="2"/>
    </row>
    <row r="47531" spans="3:3" x14ac:dyDescent="0.35">
      <c r="C47531" s="2"/>
    </row>
    <row r="47532" spans="3:3" x14ac:dyDescent="0.35">
      <c r="C47532" s="2"/>
    </row>
    <row r="47533" spans="3:3" x14ac:dyDescent="0.35">
      <c r="C47533" s="2"/>
    </row>
    <row r="47534" spans="3:3" x14ac:dyDescent="0.35">
      <c r="C47534" s="2"/>
    </row>
    <row r="47535" spans="3:3" x14ac:dyDescent="0.35">
      <c r="C47535" s="2"/>
    </row>
    <row r="47536" spans="3:3" x14ac:dyDescent="0.35">
      <c r="C47536" s="2"/>
    </row>
    <row r="47537" spans="3:3" x14ac:dyDescent="0.35">
      <c r="C47537" s="2"/>
    </row>
    <row r="47538" spans="3:3" x14ac:dyDescent="0.35">
      <c r="C47538" s="2"/>
    </row>
    <row r="47539" spans="3:3" x14ac:dyDescent="0.35">
      <c r="C47539" s="2"/>
    </row>
    <row r="47540" spans="3:3" x14ac:dyDescent="0.35">
      <c r="C47540" s="2"/>
    </row>
    <row r="47541" spans="3:3" x14ac:dyDescent="0.35">
      <c r="C47541" s="2"/>
    </row>
    <row r="47542" spans="3:3" x14ac:dyDescent="0.35">
      <c r="C47542" s="2"/>
    </row>
    <row r="47543" spans="3:3" x14ac:dyDescent="0.35">
      <c r="C47543" s="2"/>
    </row>
    <row r="47544" spans="3:3" x14ac:dyDescent="0.35">
      <c r="C47544" s="2"/>
    </row>
    <row r="47545" spans="3:3" x14ac:dyDescent="0.35">
      <c r="C47545" s="2"/>
    </row>
    <row r="47546" spans="3:3" x14ac:dyDescent="0.35">
      <c r="C47546" s="2"/>
    </row>
    <row r="47547" spans="3:3" x14ac:dyDescent="0.35">
      <c r="C47547" s="2"/>
    </row>
    <row r="47548" spans="3:3" x14ac:dyDescent="0.35">
      <c r="C47548" s="2"/>
    </row>
    <row r="47549" spans="3:3" x14ac:dyDescent="0.35">
      <c r="C47549" s="2"/>
    </row>
    <row r="47550" spans="3:3" x14ac:dyDescent="0.35">
      <c r="C47550" s="2"/>
    </row>
    <row r="47551" spans="3:3" x14ac:dyDescent="0.35">
      <c r="C47551" s="2"/>
    </row>
    <row r="47552" spans="3:3" x14ac:dyDescent="0.35">
      <c r="C47552" s="2"/>
    </row>
    <row r="47553" spans="3:3" x14ac:dyDescent="0.35">
      <c r="C47553" s="2"/>
    </row>
    <row r="47554" spans="3:3" x14ac:dyDescent="0.35">
      <c r="C47554" s="2"/>
    </row>
    <row r="47555" spans="3:3" x14ac:dyDescent="0.35">
      <c r="C47555" s="2"/>
    </row>
    <row r="47556" spans="3:3" x14ac:dyDescent="0.35">
      <c r="C47556" s="2"/>
    </row>
    <row r="47557" spans="3:3" x14ac:dyDescent="0.35">
      <c r="C47557" s="2"/>
    </row>
    <row r="47558" spans="3:3" x14ac:dyDescent="0.35">
      <c r="C47558" s="2"/>
    </row>
    <row r="47559" spans="3:3" x14ac:dyDescent="0.35">
      <c r="C47559" s="2"/>
    </row>
    <row r="47560" spans="3:3" x14ac:dyDescent="0.35">
      <c r="C47560" s="2"/>
    </row>
    <row r="47561" spans="3:3" x14ac:dyDescent="0.35">
      <c r="C47561" s="2"/>
    </row>
    <row r="47562" spans="3:3" x14ac:dyDescent="0.35">
      <c r="C47562" s="2"/>
    </row>
    <row r="47563" spans="3:3" x14ac:dyDescent="0.35">
      <c r="C47563" s="2"/>
    </row>
    <row r="47564" spans="3:3" x14ac:dyDescent="0.35">
      <c r="C47564" s="2"/>
    </row>
    <row r="47565" spans="3:3" x14ac:dyDescent="0.35">
      <c r="C47565" s="2"/>
    </row>
    <row r="47566" spans="3:3" x14ac:dyDescent="0.35">
      <c r="C47566" s="2"/>
    </row>
    <row r="47567" spans="3:3" x14ac:dyDescent="0.35">
      <c r="C47567" s="2"/>
    </row>
    <row r="47568" spans="3:3" x14ac:dyDescent="0.35">
      <c r="C47568" s="2"/>
    </row>
    <row r="47569" spans="3:3" x14ac:dyDescent="0.35">
      <c r="C47569" s="2"/>
    </row>
    <row r="47570" spans="3:3" x14ac:dyDescent="0.35">
      <c r="C47570" s="2"/>
    </row>
    <row r="47571" spans="3:3" x14ac:dyDescent="0.35">
      <c r="C47571" s="2"/>
    </row>
    <row r="47572" spans="3:3" x14ac:dyDescent="0.35">
      <c r="C47572" s="2"/>
    </row>
    <row r="47573" spans="3:3" x14ac:dyDescent="0.35">
      <c r="C47573" s="2"/>
    </row>
    <row r="47574" spans="3:3" x14ac:dyDescent="0.35">
      <c r="C47574" s="2"/>
    </row>
    <row r="47575" spans="3:3" x14ac:dyDescent="0.35">
      <c r="C47575" s="2"/>
    </row>
    <row r="47576" spans="3:3" x14ac:dyDescent="0.35">
      <c r="C47576" s="2"/>
    </row>
    <row r="47577" spans="3:3" x14ac:dyDescent="0.35">
      <c r="C47577" s="2"/>
    </row>
    <row r="47578" spans="3:3" x14ac:dyDescent="0.35">
      <c r="C47578" s="2"/>
    </row>
    <row r="47579" spans="3:3" x14ac:dyDescent="0.35">
      <c r="C47579" s="2"/>
    </row>
    <row r="47580" spans="3:3" x14ac:dyDescent="0.35">
      <c r="C47580" s="2"/>
    </row>
    <row r="47581" spans="3:3" x14ac:dyDescent="0.35">
      <c r="C47581" s="2"/>
    </row>
    <row r="47582" spans="3:3" x14ac:dyDescent="0.35">
      <c r="C47582" s="2"/>
    </row>
    <row r="47583" spans="3:3" x14ac:dyDescent="0.35">
      <c r="C47583" s="2"/>
    </row>
    <row r="47584" spans="3:3" x14ac:dyDescent="0.35">
      <c r="C47584" s="2"/>
    </row>
    <row r="47585" spans="3:3" x14ac:dyDescent="0.35">
      <c r="C47585" s="2"/>
    </row>
    <row r="47586" spans="3:3" x14ac:dyDescent="0.35">
      <c r="C47586" s="2"/>
    </row>
    <row r="47587" spans="3:3" x14ac:dyDescent="0.35">
      <c r="C47587" s="2"/>
    </row>
    <row r="47588" spans="3:3" x14ac:dyDescent="0.35">
      <c r="C47588" s="2"/>
    </row>
    <row r="47589" spans="3:3" x14ac:dyDescent="0.35">
      <c r="C47589" s="2"/>
    </row>
    <row r="47590" spans="3:3" x14ac:dyDescent="0.35">
      <c r="C47590" s="2"/>
    </row>
    <row r="47591" spans="3:3" x14ac:dyDescent="0.35">
      <c r="C47591" s="2"/>
    </row>
    <row r="47592" spans="3:3" x14ac:dyDescent="0.35">
      <c r="C47592" s="2"/>
    </row>
    <row r="47593" spans="3:3" x14ac:dyDescent="0.35">
      <c r="C47593" s="2"/>
    </row>
    <row r="47594" spans="3:3" x14ac:dyDescent="0.35">
      <c r="C47594" s="2"/>
    </row>
    <row r="47595" spans="3:3" x14ac:dyDescent="0.35">
      <c r="C47595" s="2"/>
    </row>
    <row r="47596" spans="3:3" x14ac:dyDescent="0.35">
      <c r="C47596" s="2"/>
    </row>
    <row r="47597" spans="3:3" x14ac:dyDescent="0.35">
      <c r="C47597" s="2"/>
    </row>
    <row r="47598" spans="3:3" x14ac:dyDescent="0.35">
      <c r="C47598" s="2"/>
    </row>
    <row r="47599" spans="3:3" x14ac:dyDescent="0.35">
      <c r="C47599" s="2"/>
    </row>
    <row r="47600" spans="3:3" x14ac:dyDescent="0.35">
      <c r="C47600" s="2"/>
    </row>
    <row r="47601" spans="3:3" x14ac:dyDescent="0.35">
      <c r="C47601" s="2"/>
    </row>
    <row r="47602" spans="3:3" x14ac:dyDescent="0.35">
      <c r="C47602" s="2"/>
    </row>
    <row r="47603" spans="3:3" x14ac:dyDescent="0.35">
      <c r="C47603" s="2"/>
    </row>
    <row r="47604" spans="3:3" x14ac:dyDescent="0.35">
      <c r="C47604" s="2"/>
    </row>
    <row r="47605" spans="3:3" x14ac:dyDescent="0.35">
      <c r="C47605" s="2"/>
    </row>
    <row r="47606" spans="3:3" x14ac:dyDescent="0.35">
      <c r="C47606" s="2"/>
    </row>
    <row r="47607" spans="3:3" x14ac:dyDescent="0.35">
      <c r="C47607" s="2"/>
    </row>
    <row r="47608" spans="3:3" x14ac:dyDescent="0.35">
      <c r="C47608" s="2"/>
    </row>
    <row r="47609" spans="3:3" x14ac:dyDescent="0.35">
      <c r="C47609" s="2"/>
    </row>
    <row r="47610" spans="3:3" x14ac:dyDescent="0.35">
      <c r="C47610" s="2"/>
    </row>
    <row r="47611" spans="3:3" x14ac:dyDescent="0.35">
      <c r="C47611" s="2"/>
    </row>
    <row r="47612" spans="3:3" x14ac:dyDescent="0.35">
      <c r="C47612" s="2"/>
    </row>
    <row r="47613" spans="3:3" x14ac:dyDescent="0.35">
      <c r="C47613" s="2"/>
    </row>
    <row r="47614" spans="3:3" x14ac:dyDescent="0.35">
      <c r="C47614" s="2"/>
    </row>
    <row r="47615" spans="3:3" x14ac:dyDescent="0.35">
      <c r="C47615" s="2"/>
    </row>
    <row r="47616" spans="3:3" x14ac:dyDescent="0.35">
      <c r="C47616" s="2"/>
    </row>
    <row r="47617" spans="3:3" x14ac:dyDescent="0.35">
      <c r="C47617" s="2"/>
    </row>
    <row r="47618" spans="3:3" x14ac:dyDescent="0.35">
      <c r="C47618" s="2"/>
    </row>
    <row r="47619" spans="3:3" x14ac:dyDescent="0.35">
      <c r="C47619" s="2"/>
    </row>
    <row r="47620" spans="3:3" x14ac:dyDescent="0.35">
      <c r="C47620" s="2"/>
    </row>
    <row r="47621" spans="3:3" x14ac:dyDescent="0.35">
      <c r="C47621" s="2"/>
    </row>
    <row r="47622" spans="3:3" x14ac:dyDescent="0.35">
      <c r="C47622" s="2"/>
    </row>
    <row r="47623" spans="3:3" x14ac:dyDescent="0.35">
      <c r="C47623" s="2"/>
    </row>
    <row r="47624" spans="3:3" x14ac:dyDescent="0.35">
      <c r="C47624" s="2"/>
    </row>
    <row r="47625" spans="3:3" x14ac:dyDescent="0.35">
      <c r="C47625" s="2"/>
    </row>
    <row r="47626" spans="3:3" x14ac:dyDescent="0.35">
      <c r="C47626" s="2"/>
    </row>
    <row r="47627" spans="3:3" x14ac:dyDescent="0.35">
      <c r="C47627" s="2"/>
    </row>
    <row r="47628" spans="3:3" x14ac:dyDescent="0.35">
      <c r="C47628" s="2"/>
    </row>
    <row r="47629" spans="3:3" x14ac:dyDescent="0.35">
      <c r="C47629" s="2"/>
    </row>
    <row r="47630" spans="3:3" x14ac:dyDescent="0.35">
      <c r="C47630" s="2"/>
    </row>
    <row r="47631" spans="3:3" x14ac:dyDescent="0.35">
      <c r="C47631" s="2"/>
    </row>
    <row r="47632" spans="3:3" x14ac:dyDescent="0.35">
      <c r="C47632" s="2"/>
    </row>
    <row r="47633" spans="3:3" x14ac:dyDescent="0.35">
      <c r="C47633" s="2"/>
    </row>
    <row r="47634" spans="3:3" x14ac:dyDescent="0.35">
      <c r="C47634" s="2"/>
    </row>
    <row r="47635" spans="3:3" x14ac:dyDescent="0.35">
      <c r="C47635" s="2"/>
    </row>
    <row r="47636" spans="3:3" x14ac:dyDescent="0.35">
      <c r="C47636" s="2"/>
    </row>
    <row r="47637" spans="3:3" x14ac:dyDescent="0.35">
      <c r="C47637" s="2"/>
    </row>
    <row r="47638" spans="3:3" x14ac:dyDescent="0.35">
      <c r="C47638" s="2"/>
    </row>
    <row r="47639" spans="3:3" x14ac:dyDescent="0.35">
      <c r="C47639" s="2"/>
    </row>
    <row r="47640" spans="3:3" x14ac:dyDescent="0.35">
      <c r="C47640" s="2"/>
    </row>
    <row r="47641" spans="3:3" x14ac:dyDescent="0.35">
      <c r="C47641" s="2"/>
    </row>
    <row r="47642" spans="3:3" x14ac:dyDescent="0.35">
      <c r="C47642" s="2"/>
    </row>
    <row r="47643" spans="3:3" x14ac:dyDescent="0.35">
      <c r="C47643" s="2"/>
    </row>
    <row r="47644" spans="3:3" x14ac:dyDescent="0.35">
      <c r="C47644" s="2"/>
    </row>
    <row r="47645" spans="3:3" x14ac:dyDescent="0.35">
      <c r="C47645" s="2"/>
    </row>
    <row r="47646" spans="3:3" x14ac:dyDescent="0.35">
      <c r="C47646" s="2"/>
    </row>
    <row r="47647" spans="3:3" x14ac:dyDescent="0.35">
      <c r="C47647" s="2"/>
    </row>
    <row r="47648" spans="3:3" x14ac:dyDescent="0.35">
      <c r="C47648" s="2"/>
    </row>
    <row r="47649" spans="3:3" x14ac:dyDescent="0.35">
      <c r="C47649" s="2"/>
    </row>
    <row r="47650" spans="3:3" x14ac:dyDescent="0.35">
      <c r="C47650" s="2"/>
    </row>
    <row r="47651" spans="3:3" x14ac:dyDescent="0.35">
      <c r="C47651" s="2"/>
    </row>
    <row r="47652" spans="3:3" x14ac:dyDescent="0.35">
      <c r="C47652" s="2"/>
    </row>
    <row r="47653" spans="3:3" x14ac:dyDescent="0.35">
      <c r="C47653" s="2"/>
    </row>
    <row r="47654" spans="3:3" x14ac:dyDescent="0.35">
      <c r="C47654" s="2"/>
    </row>
    <row r="47655" spans="3:3" x14ac:dyDescent="0.35">
      <c r="C47655" s="2"/>
    </row>
    <row r="47656" spans="3:3" x14ac:dyDescent="0.35">
      <c r="C47656" s="2"/>
    </row>
    <row r="47657" spans="3:3" x14ac:dyDescent="0.35">
      <c r="C47657" s="2"/>
    </row>
    <row r="47658" spans="3:3" x14ac:dyDescent="0.35">
      <c r="C47658" s="2"/>
    </row>
    <row r="47659" spans="3:3" x14ac:dyDescent="0.35">
      <c r="C47659" s="2"/>
    </row>
    <row r="47660" spans="3:3" x14ac:dyDescent="0.35">
      <c r="C47660" s="2"/>
    </row>
    <row r="47661" spans="3:3" x14ac:dyDescent="0.35">
      <c r="C47661" s="2"/>
    </row>
    <row r="47662" spans="3:3" x14ac:dyDescent="0.35">
      <c r="C47662" s="2"/>
    </row>
    <row r="47663" spans="3:3" x14ac:dyDescent="0.35">
      <c r="C47663" s="2"/>
    </row>
    <row r="47664" spans="3:3" x14ac:dyDescent="0.35">
      <c r="C47664" s="2"/>
    </row>
    <row r="47665" spans="3:3" x14ac:dyDescent="0.35">
      <c r="C47665" s="2"/>
    </row>
    <row r="47666" spans="3:3" x14ac:dyDescent="0.35">
      <c r="C47666" s="2"/>
    </row>
    <row r="47667" spans="3:3" x14ac:dyDescent="0.35">
      <c r="C47667" s="2"/>
    </row>
    <row r="47668" spans="3:3" x14ac:dyDescent="0.35">
      <c r="C47668" s="2"/>
    </row>
    <row r="47669" spans="3:3" x14ac:dyDescent="0.35">
      <c r="C47669" s="2"/>
    </row>
    <row r="47670" spans="3:3" x14ac:dyDescent="0.35">
      <c r="C47670" s="2"/>
    </row>
    <row r="47671" spans="3:3" x14ac:dyDescent="0.35">
      <c r="C47671" s="2"/>
    </row>
    <row r="47672" spans="3:3" x14ac:dyDescent="0.35">
      <c r="C47672" s="2"/>
    </row>
    <row r="47673" spans="3:3" x14ac:dyDescent="0.35">
      <c r="C47673" s="2"/>
    </row>
    <row r="47674" spans="3:3" x14ac:dyDescent="0.35">
      <c r="C47674" s="2"/>
    </row>
    <row r="47675" spans="3:3" x14ac:dyDescent="0.35">
      <c r="C47675" s="2"/>
    </row>
    <row r="47676" spans="3:3" x14ac:dyDescent="0.35">
      <c r="C47676" s="2"/>
    </row>
    <row r="47677" spans="3:3" x14ac:dyDescent="0.35">
      <c r="C47677" s="2"/>
    </row>
    <row r="47678" spans="3:3" x14ac:dyDescent="0.35">
      <c r="C47678" s="2"/>
    </row>
    <row r="47679" spans="3:3" x14ac:dyDescent="0.35">
      <c r="C47679" s="2"/>
    </row>
    <row r="47680" spans="3:3" x14ac:dyDescent="0.35">
      <c r="C47680" s="2"/>
    </row>
    <row r="47681" spans="3:3" x14ac:dyDescent="0.35">
      <c r="C47681" s="2"/>
    </row>
    <row r="47682" spans="3:3" x14ac:dyDescent="0.35">
      <c r="C47682" s="2"/>
    </row>
    <row r="47683" spans="3:3" x14ac:dyDescent="0.35">
      <c r="C47683" s="2"/>
    </row>
    <row r="47684" spans="3:3" x14ac:dyDescent="0.35">
      <c r="C47684" s="2"/>
    </row>
    <row r="47685" spans="3:3" x14ac:dyDescent="0.35">
      <c r="C47685" s="2"/>
    </row>
    <row r="47686" spans="3:3" x14ac:dyDescent="0.35">
      <c r="C47686" s="2"/>
    </row>
    <row r="47687" spans="3:3" x14ac:dyDescent="0.35">
      <c r="C47687" s="2"/>
    </row>
    <row r="47688" spans="3:3" x14ac:dyDescent="0.35">
      <c r="C47688" s="2"/>
    </row>
    <row r="47689" spans="3:3" x14ac:dyDescent="0.35">
      <c r="C47689" s="2"/>
    </row>
    <row r="47690" spans="3:3" x14ac:dyDescent="0.35">
      <c r="C47690" s="2"/>
    </row>
    <row r="47691" spans="3:3" x14ac:dyDescent="0.35">
      <c r="C47691" s="2"/>
    </row>
    <row r="47692" spans="3:3" x14ac:dyDescent="0.35">
      <c r="C47692" s="2"/>
    </row>
    <row r="47693" spans="3:3" x14ac:dyDescent="0.35">
      <c r="C47693" s="2"/>
    </row>
    <row r="47694" spans="3:3" x14ac:dyDescent="0.35">
      <c r="C47694" s="2"/>
    </row>
    <row r="47695" spans="3:3" x14ac:dyDescent="0.35">
      <c r="C47695" s="2"/>
    </row>
    <row r="47696" spans="3:3" x14ac:dyDescent="0.35">
      <c r="C47696" s="2"/>
    </row>
    <row r="47697" spans="3:3" x14ac:dyDescent="0.35">
      <c r="C47697" s="2"/>
    </row>
    <row r="47698" spans="3:3" x14ac:dyDescent="0.35">
      <c r="C47698" s="2"/>
    </row>
    <row r="47699" spans="3:3" x14ac:dyDescent="0.35">
      <c r="C47699" s="2"/>
    </row>
    <row r="47700" spans="3:3" x14ac:dyDescent="0.35">
      <c r="C47700" s="2"/>
    </row>
    <row r="47701" spans="3:3" x14ac:dyDescent="0.35">
      <c r="C47701" s="2"/>
    </row>
    <row r="47702" spans="3:3" x14ac:dyDescent="0.35">
      <c r="C47702" s="2"/>
    </row>
    <row r="47703" spans="3:3" x14ac:dyDescent="0.35">
      <c r="C47703" s="2"/>
    </row>
    <row r="47704" spans="3:3" x14ac:dyDescent="0.35">
      <c r="C47704" s="2"/>
    </row>
    <row r="47705" spans="3:3" x14ac:dyDescent="0.35">
      <c r="C47705" s="2"/>
    </row>
    <row r="47706" spans="3:3" x14ac:dyDescent="0.35">
      <c r="C47706" s="2"/>
    </row>
    <row r="47707" spans="3:3" x14ac:dyDescent="0.35">
      <c r="C47707" s="2"/>
    </row>
    <row r="47708" spans="3:3" x14ac:dyDescent="0.35">
      <c r="C47708" s="2"/>
    </row>
    <row r="47709" spans="3:3" x14ac:dyDescent="0.35">
      <c r="C47709" s="2"/>
    </row>
    <row r="47710" spans="3:3" x14ac:dyDescent="0.35">
      <c r="C47710" s="2"/>
    </row>
    <row r="47711" spans="3:3" x14ac:dyDescent="0.35">
      <c r="C47711" s="2"/>
    </row>
    <row r="47712" spans="3:3" x14ac:dyDescent="0.35">
      <c r="C47712" s="2"/>
    </row>
    <row r="47713" spans="3:3" x14ac:dyDescent="0.35">
      <c r="C47713" s="2"/>
    </row>
    <row r="47714" spans="3:3" x14ac:dyDescent="0.35">
      <c r="C47714" s="2"/>
    </row>
    <row r="47715" spans="3:3" x14ac:dyDescent="0.35">
      <c r="C47715" s="2"/>
    </row>
    <row r="47716" spans="3:3" x14ac:dyDescent="0.35">
      <c r="C47716" s="2"/>
    </row>
    <row r="47717" spans="3:3" x14ac:dyDescent="0.35">
      <c r="C47717" s="2"/>
    </row>
    <row r="47718" spans="3:3" x14ac:dyDescent="0.35">
      <c r="C47718" s="2"/>
    </row>
    <row r="47719" spans="3:3" x14ac:dyDescent="0.35">
      <c r="C47719" s="2"/>
    </row>
    <row r="47720" spans="3:3" x14ac:dyDescent="0.35">
      <c r="C47720" s="2"/>
    </row>
    <row r="47721" spans="3:3" x14ac:dyDescent="0.35">
      <c r="C47721" s="2"/>
    </row>
    <row r="47722" spans="3:3" x14ac:dyDescent="0.35">
      <c r="C47722" s="2"/>
    </row>
    <row r="47723" spans="3:3" x14ac:dyDescent="0.35">
      <c r="C47723" s="2"/>
    </row>
    <row r="47724" spans="3:3" x14ac:dyDescent="0.35">
      <c r="C47724" s="2"/>
    </row>
    <row r="47725" spans="3:3" x14ac:dyDescent="0.35">
      <c r="C47725" s="2"/>
    </row>
    <row r="47726" spans="3:3" x14ac:dyDescent="0.35">
      <c r="C47726" s="2"/>
    </row>
    <row r="47727" spans="3:3" x14ac:dyDescent="0.35">
      <c r="C47727" s="2"/>
    </row>
    <row r="47728" spans="3:3" x14ac:dyDescent="0.35">
      <c r="C47728" s="2"/>
    </row>
    <row r="47729" spans="3:3" x14ac:dyDescent="0.35">
      <c r="C47729" s="2"/>
    </row>
    <row r="47730" spans="3:3" x14ac:dyDescent="0.35">
      <c r="C47730" s="2"/>
    </row>
    <row r="47731" spans="3:3" x14ac:dyDescent="0.35">
      <c r="C47731" s="2"/>
    </row>
    <row r="47732" spans="3:3" x14ac:dyDescent="0.35">
      <c r="C47732" s="2"/>
    </row>
    <row r="47733" spans="3:3" x14ac:dyDescent="0.35">
      <c r="C47733" s="2"/>
    </row>
    <row r="47734" spans="3:3" x14ac:dyDescent="0.35">
      <c r="C47734" s="2"/>
    </row>
    <row r="47735" spans="3:3" x14ac:dyDescent="0.35">
      <c r="C47735" s="2"/>
    </row>
    <row r="47736" spans="3:3" x14ac:dyDescent="0.35">
      <c r="C47736" s="2"/>
    </row>
    <row r="47737" spans="3:3" x14ac:dyDescent="0.35">
      <c r="C47737" s="2"/>
    </row>
    <row r="47738" spans="3:3" x14ac:dyDescent="0.35">
      <c r="C47738" s="2"/>
    </row>
    <row r="47739" spans="3:3" x14ac:dyDescent="0.35">
      <c r="C47739" s="2"/>
    </row>
    <row r="47740" spans="3:3" x14ac:dyDescent="0.35">
      <c r="C47740" s="2"/>
    </row>
    <row r="47741" spans="3:3" x14ac:dyDescent="0.35">
      <c r="C47741" s="2"/>
    </row>
    <row r="47742" spans="3:3" x14ac:dyDescent="0.35">
      <c r="C47742" s="2"/>
    </row>
    <row r="47743" spans="3:3" x14ac:dyDescent="0.35">
      <c r="C47743" s="2"/>
    </row>
    <row r="47744" spans="3:3" x14ac:dyDescent="0.35">
      <c r="C47744" s="2"/>
    </row>
    <row r="47745" spans="3:3" x14ac:dyDescent="0.35">
      <c r="C47745" s="2"/>
    </row>
    <row r="47746" spans="3:3" x14ac:dyDescent="0.35">
      <c r="C47746" s="2"/>
    </row>
    <row r="47747" spans="3:3" x14ac:dyDescent="0.35">
      <c r="C47747" s="2"/>
    </row>
    <row r="47748" spans="3:3" x14ac:dyDescent="0.35">
      <c r="C47748" s="2"/>
    </row>
    <row r="47749" spans="3:3" x14ac:dyDescent="0.35">
      <c r="C47749" s="2"/>
    </row>
    <row r="47750" spans="3:3" x14ac:dyDescent="0.35">
      <c r="C47750" s="2"/>
    </row>
    <row r="47751" spans="3:3" x14ac:dyDescent="0.35">
      <c r="C47751" s="2"/>
    </row>
    <row r="47752" spans="3:3" x14ac:dyDescent="0.35">
      <c r="C47752" s="2"/>
    </row>
    <row r="47753" spans="3:3" x14ac:dyDescent="0.35">
      <c r="C47753" s="2"/>
    </row>
    <row r="47754" spans="3:3" x14ac:dyDescent="0.35">
      <c r="C47754" s="2"/>
    </row>
    <row r="47755" spans="3:3" x14ac:dyDescent="0.35">
      <c r="C47755" s="2"/>
    </row>
    <row r="47756" spans="3:3" x14ac:dyDescent="0.35">
      <c r="C47756" s="2"/>
    </row>
    <row r="47757" spans="3:3" x14ac:dyDescent="0.35">
      <c r="C47757" s="2"/>
    </row>
    <row r="47758" spans="3:3" x14ac:dyDescent="0.35">
      <c r="C47758" s="2"/>
    </row>
    <row r="47759" spans="3:3" x14ac:dyDescent="0.35">
      <c r="C47759" s="2"/>
    </row>
    <row r="47760" spans="3:3" x14ac:dyDescent="0.35">
      <c r="C47760" s="2"/>
    </row>
    <row r="47761" spans="3:3" x14ac:dyDescent="0.35">
      <c r="C47761" s="2"/>
    </row>
    <row r="47762" spans="3:3" x14ac:dyDescent="0.35">
      <c r="C47762" s="2"/>
    </row>
    <row r="47763" spans="3:3" x14ac:dyDescent="0.35">
      <c r="C47763" s="2"/>
    </row>
    <row r="47764" spans="3:3" x14ac:dyDescent="0.35">
      <c r="C47764" s="2"/>
    </row>
    <row r="47765" spans="3:3" x14ac:dyDescent="0.35">
      <c r="C47765" s="2"/>
    </row>
    <row r="47766" spans="3:3" x14ac:dyDescent="0.35">
      <c r="C47766" s="2"/>
    </row>
    <row r="47767" spans="3:3" x14ac:dyDescent="0.35">
      <c r="C47767" s="2"/>
    </row>
    <row r="47768" spans="3:3" x14ac:dyDescent="0.35">
      <c r="C47768" s="2"/>
    </row>
    <row r="47769" spans="3:3" x14ac:dyDescent="0.35">
      <c r="C47769" s="2"/>
    </row>
    <row r="47770" spans="3:3" x14ac:dyDescent="0.35">
      <c r="C47770" s="2"/>
    </row>
    <row r="47771" spans="3:3" x14ac:dyDescent="0.35">
      <c r="C47771" s="2"/>
    </row>
    <row r="47772" spans="3:3" x14ac:dyDescent="0.35">
      <c r="C47772" s="2"/>
    </row>
    <row r="47773" spans="3:3" x14ac:dyDescent="0.35">
      <c r="C47773" s="2"/>
    </row>
    <row r="47774" spans="3:3" x14ac:dyDescent="0.35">
      <c r="C47774" s="2"/>
    </row>
    <row r="47775" spans="3:3" x14ac:dyDescent="0.35">
      <c r="C47775" s="2"/>
    </row>
    <row r="47776" spans="3:3" x14ac:dyDescent="0.35">
      <c r="C47776" s="2"/>
    </row>
    <row r="47777" spans="3:3" x14ac:dyDescent="0.35">
      <c r="C47777" s="2"/>
    </row>
    <row r="47778" spans="3:3" x14ac:dyDescent="0.35">
      <c r="C47778" s="2"/>
    </row>
    <row r="47779" spans="3:3" x14ac:dyDescent="0.35">
      <c r="C47779" s="2"/>
    </row>
    <row r="47780" spans="3:3" x14ac:dyDescent="0.35">
      <c r="C47780" s="2"/>
    </row>
    <row r="47781" spans="3:3" x14ac:dyDescent="0.35">
      <c r="C47781" s="2"/>
    </row>
    <row r="47782" spans="3:3" x14ac:dyDescent="0.35">
      <c r="C47782" s="2"/>
    </row>
    <row r="47783" spans="3:3" x14ac:dyDescent="0.35">
      <c r="C47783" s="2"/>
    </row>
    <row r="47784" spans="3:3" x14ac:dyDescent="0.35">
      <c r="C47784" s="2"/>
    </row>
    <row r="47785" spans="3:3" x14ac:dyDescent="0.35">
      <c r="C47785" s="2"/>
    </row>
    <row r="47786" spans="3:3" x14ac:dyDescent="0.35">
      <c r="C47786" s="2"/>
    </row>
    <row r="47787" spans="3:3" x14ac:dyDescent="0.35">
      <c r="C47787" s="2"/>
    </row>
    <row r="47788" spans="3:3" x14ac:dyDescent="0.35">
      <c r="C47788" s="2"/>
    </row>
    <row r="47789" spans="3:3" x14ac:dyDescent="0.35">
      <c r="C47789" s="2"/>
    </row>
    <row r="47790" spans="3:3" x14ac:dyDescent="0.35">
      <c r="C47790" s="2"/>
    </row>
    <row r="47791" spans="3:3" x14ac:dyDescent="0.35">
      <c r="C47791" s="2"/>
    </row>
    <row r="47792" spans="3:3" x14ac:dyDescent="0.35">
      <c r="C47792" s="2"/>
    </row>
    <row r="47793" spans="3:3" x14ac:dyDescent="0.35">
      <c r="C47793" s="2"/>
    </row>
    <row r="47794" spans="3:3" x14ac:dyDescent="0.35">
      <c r="C47794" s="2"/>
    </row>
    <row r="47795" spans="3:3" x14ac:dyDescent="0.35">
      <c r="C47795" s="2"/>
    </row>
    <row r="47796" spans="3:3" x14ac:dyDescent="0.35">
      <c r="C47796" s="2"/>
    </row>
    <row r="47797" spans="3:3" x14ac:dyDescent="0.35">
      <c r="C47797" s="2"/>
    </row>
    <row r="47798" spans="3:3" x14ac:dyDescent="0.35">
      <c r="C47798" s="2"/>
    </row>
    <row r="47799" spans="3:3" x14ac:dyDescent="0.35">
      <c r="C47799" s="2"/>
    </row>
    <row r="47800" spans="3:3" x14ac:dyDescent="0.35">
      <c r="C47800" s="2"/>
    </row>
    <row r="47801" spans="3:3" x14ac:dyDescent="0.35">
      <c r="C47801" s="2"/>
    </row>
    <row r="47802" spans="3:3" x14ac:dyDescent="0.35">
      <c r="C47802" s="2"/>
    </row>
    <row r="47803" spans="3:3" x14ac:dyDescent="0.35">
      <c r="C47803" s="2"/>
    </row>
    <row r="47804" spans="3:3" x14ac:dyDescent="0.35">
      <c r="C47804" s="2"/>
    </row>
    <row r="47805" spans="3:3" x14ac:dyDescent="0.35">
      <c r="C47805" s="2"/>
    </row>
    <row r="47806" spans="3:3" x14ac:dyDescent="0.35">
      <c r="C47806" s="2"/>
    </row>
    <row r="47807" spans="3:3" x14ac:dyDescent="0.35">
      <c r="C47807" s="2"/>
    </row>
    <row r="47808" spans="3:3" x14ac:dyDescent="0.35">
      <c r="C47808" s="2"/>
    </row>
    <row r="47809" spans="3:3" x14ac:dyDescent="0.35">
      <c r="C47809" s="2"/>
    </row>
    <row r="47810" spans="3:3" x14ac:dyDescent="0.35">
      <c r="C47810" s="2"/>
    </row>
    <row r="47811" spans="3:3" x14ac:dyDescent="0.35">
      <c r="C47811" s="2"/>
    </row>
    <row r="47812" spans="3:3" x14ac:dyDescent="0.35">
      <c r="C47812" s="2"/>
    </row>
    <row r="47813" spans="3:3" x14ac:dyDescent="0.35">
      <c r="C47813" s="2"/>
    </row>
    <row r="47814" spans="3:3" x14ac:dyDescent="0.35">
      <c r="C47814" s="2"/>
    </row>
    <row r="47815" spans="3:3" x14ac:dyDescent="0.35">
      <c r="C47815" s="2"/>
    </row>
    <row r="47816" spans="3:3" x14ac:dyDescent="0.35">
      <c r="C47816" s="2"/>
    </row>
    <row r="47817" spans="3:3" x14ac:dyDescent="0.35">
      <c r="C47817" s="2"/>
    </row>
    <row r="47818" spans="3:3" x14ac:dyDescent="0.35">
      <c r="C47818" s="2"/>
    </row>
    <row r="47819" spans="3:3" x14ac:dyDescent="0.35">
      <c r="C47819" s="2"/>
    </row>
    <row r="47820" spans="3:3" x14ac:dyDescent="0.35">
      <c r="C47820" s="2"/>
    </row>
    <row r="47821" spans="3:3" x14ac:dyDescent="0.35">
      <c r="C47821" s="2"/>
    </row>
    <row r="47822" spans="3:3" x14ac:dyDescent="0.35">
      <c r="C47822" s="2"/>
    </row>
    <row r="47823" spans="3:3" x14ac:dyDescent="0.35">
      <c r="C47823" s="2"/>
    </row>
    <row r="47824" spans="3:3" x14ac:dyDescent="0.35">
      <c r="C47824" s="2"/>
    </row>
    <row r="47825" spans="3:3" x14ac:dyDescent="0.35">
      <c r="C47825" s="2"/>
    </row>
    <row r="47826" spans="3:3" x14ac:dyDescent="0.35">
      <c r="C47826" s="2"/>
    </row>
    <row r="47827" spans="3:3" x14ac:dyDescent="0.35">
      <c r="C47827" s="2"/>
    </row>
    <row r="47828" spans="3:3" x14ac:dyDescent="0.35">
      <c r="C47828" s="2"/>
    </row>
    <row r="47829" spans="3:3" x14ac:dyDescent="0.35">
      <c r="C47829" s="2"/>
    </row>
    <row r="47830" spans="3:3" x14ac:dyDescent="0.35">
      <c r="C47830" s="2"/>
    </row>
    <row r="47831" spans="3:3" x14ac:dyDescent="0.35">
      <c r="C47831" s="2"/>
    </row>
    <row r="47832" spans="3:3" x14ac:dyDescent="0.35">
      <c r="C47832" s="2"/>
    </row>
    <row r="47833" spans="3:3" x14ac:dyDescent="0.35">
      <c r="C47833" s="2"/>
    </row>
    <row r="47834" spans="3:3" x14ac:dyDescent="0.35">
      <c r="C47834" s="2"/>
    </row>
    <row r="47835" spans="3:3" x14ac:dyDescent="0.35">
      <c r="C47835" s="2"/>
    </row>
    <row r="47836" spans="3:3" x14ac:dyDescent="0.35">
      <c r="C47836" s="2"/>
    </row>
    <row r="47837" spans="3:3" x14ac:dyDescent="0.35">
      <c r="C47837" s="2"/>
    </row>
    <row r="47838" spans="3:3" x14ac:dyDescent="0.35">
      <c r="C47838" s="2"/>
    </row>
    <row r="47839" spans="3:3" x14ac:dyDescent="0.35">
      <c r="C47839" s="2"/>
    </row>
    <row r="47840" spans="3:3" x14ac:dyDescent="0.35">
      <c r="C47840" s="2"/>
    </row>
    <row r="47841" spans="3:3" x14ac:dyDescent="0.35">
      <c r="C47841" s="2"/>
    </row>
    <row r="47842" spans="3:3" x14ac:dyDescent="0.35">
      <c r="C47842" s="2"/>
    </row>
    <row r="47843" spans="3:3" x14ac:dyDescent="0.35">
      <c r="C47843" s="2"/>
    </row>
    <row r="47844" spans="3:3" x14ac:dyDescent="0.35">
      <c r="C47844" s="2"/>
    </row>
    <row r="47845" spans="3:3" x14ac:dyDescent="0.35">
      <c r="C47845" s="2"/>
    </row>
    <row r="47846" spans="3:3" x14ac:dyDescent="0.35">
      <c r="C47846" s="2"/>
    </row>
    <row r="47847" spans="3:3" x14ac:dyDescent="0.35">
      <c r="C47847" s="2"/>
    </row>
    <row r="47848" spans="3:3" x14ac:dyDescent="0.35">
      <c r="C47848" s="2"/>
    </row>
    <row r="47849" spans="3:3" x14ac:dyDescent="0.35">
      <c r="C47849" s="2"/>
    </row>
    <row r="47850" spans="3:3" x14ac:dyDescent="0.35">
      <c r="C47850" s="2"/>
    </row>
    <row r="47851" spans="3:3" x14ac:dyDescent="0.35">
      <c r="C47851" s="2"/>
    </row>
    <row r="47852" spans="3:3" x14ac:dyDescent="0.35">
      <c r="C47852" s="2"/>
    </row>
    <row r="47853" spans="3:3" x14ac:dyDescent="0.35">
      <c r="C47853" s="2"/>
    </row>
    <row r="47854" spans="3:3" x14ac:dyDescent="0.35">
      <c r="C47854" s="2"/>
    </row>
    <row r="47855" spans="3:3" x14ac:dyDescent="0.35">
      <c r="C47855" s="2"/>
    </row>
    <row r="47856" spans="3:3" x14ac:dyDescent="0.35">
      <c r="C47856" s="2"/>
    </row>
    <row r="47857" spans="3:3" x14ac:dyDescent="0.35">
      <c r="C47857" s="2"/>
    </row>
    <row r="47858" spans="3:3" x14ac:dyDescent="0.35">
      <c r="C47858" s="2"/>
    </row>
    <row r="47859" spans="3:3" x14ac:dyDescent="0.35">
      <c r="C47859" s="2"/>
    </row>
    <row r="47860" spans="3:3" x14ac:dyDescent="0.35">
      <c r="C47860" s="2"/>
    </row>
    <row r="47861" spans="3:3" x14ac:dyDescent="0.35">
      <c r="C47861" s="2"/>
    </row>
    <row r="47862" spans="3:3" x14ac:dyDescent="0.35">
      <c r="C47862" s="2"/>
    </row>
    <row r="47863" spans="3:3" x14ac:dyDescent="0.35">
      <c r="C47863" s="2"/>
    </row>
    <row r="47864" spans="3:3" x14ac:dyDescent="0.35">
      <c r="C47864" s="2"/>
    </row>
    <row r="47865" spans="3:3" x14ac:dyDescent="0.35">
      <c r="C47865" s="2"/>
    </row>
    <row r="47866" spans="3:3" x14ac:dyDescent="0.35">
      <c r="C47866" s="2"/>
    </row>
    <row r="47867" spans="3:3" x14ac:dyDescent="0.35">
      <c r="C47867" s="2"/>
    </row>
    <row r="47868" spans="3:3" x14ac:dyDescent="0.35">
      <c r="C47868" s="2"/>
    </row>
    <row r="47869" spans="3:3" x14ac:dyDescent="0.35">
      <c r="C47869" s="2"/>
    </row>
    <row r="47870" spans="3:3" x14ac:dyDescent="0.35">
      <c r="C47870" s="2"/>
    </row>
    <row r="47871" spans="3:3" x14ac:dyDescent="0.35">
      <c r="C47871" s="2"/>
    </row>
    <row r="47872" spans="3:3" x14ac:dyDescent="0.35">
      <c r="C47872" s="2"/>
    </row>
    <row r="47873" spans="3:3" x14ac:dyDescent="0.35">
      <c r="C47873" s="2"/>
    </row>
    <row r="47874" spans="3:3" x14ac:dyDescent="0.35">
      <c r="C47874" s="2"/>
    </row>
    <row r="47875" spans="3:3" x14ac:dyDescent="0.35">
      <c r="C47875" s="2"/>
    </row>
    <row r="47876" spans="3:3" x14ac:dyDescent="0.35">
      <c r="C47876" s="2"/>
    </row>
    <row r="47877" spans="3:3" x14ac:dyDescent="0.35">
      <c r="C47877" s="2"/>
    </row>
    <row r="47878" spans="3:3" x14ac:dyDescent="0.35">
      <c r="C47878" s="2"/>
    </row>
    <row r="47879" spans="3:3" x14ac:dyDescent="0.35">
      <c r="C47879" s="2"/>
    </row>
    <row r="47880" spans="3:3" x14ac:dyDescent="0.35">
      <c r="C47880" s="2"/>
    </row>
    <row r="47881" spans="3:3" x14ac:dyDescent="0.35">
      <c r="C47881" s="2"/>
    </row>
    <row r="47882" spans="3:3" x14ac:dyDescent="0.35">
      <c r="C47882" s="2"/>
    </row>
    <row r="47883" spans="3:3" x14ac:dyDescent="0.35">
      <c r="C47883" s="2"/>
    </row>
    <row r="47884" spans="3:3" x14ac:dyDescent="0.35">
      <c r="C47884" s="2"/>
    </row>
    <row r="47885" spans="3:3" x14ac:dyDescent="0.35">
      <c r="C47885" s="2"/>
    </row>
    <row r="47886" spans="3:3" x14ac:dyDescent="0.35">
      <c r="C47886" s="2"/>
    </row>
    <row r="47887" spans="3:3" x14ac:dyDescent="0.35">
      <c r="C47887" s="2"/>
    </row>
    <row r="47888" spans="3:3" x14ac:dyDescent="0.35">
      <c r="C47888" s="2"/>
    </row>
    <row r="47889" spans="3:3" x14ac:dyDescent="0.35">
      <c r="C47889" s="2"/>
    </row>
    <row r="47890" spans="3:3" x14ac:dyDescent="0.35">
      <c r="C47890" s="2"/>
    </row>
    <row r="47891" spans="3:3" x14ac:dyDescent="0.35">
      <c r="C47891" s="2"/>
    </row>
    <row r="47892" spans="3:3" x14ac:dyDescent="0.35">
      <c r="C47892" s="2"/>
    </row>
    <row r="47893" spans="3:3" x14ac:dyDescent="0.35">
      <c r="C47893" s="2"/>
    </row>
    <row r="47894" spans="3:3" x14ac:dyDescent="0.35">
      <c r="C47894" s="2"/>
    </row>
    <row r="47895" spans="3:3" x14ac:dyDescent="0.35">
      <c r="C47895" s="2"/>
    </row>
    <row r="47896" spans="3:3" x14ac:dyDescent="0.35">
      <c r="C47896" s="2"/>
    </row>
    <row r="47897" spans="3:3" x14ac:dyDescent="0.35">
      <c r="C47897" s="2"/>
    </row>
    <row r="47898" spans="3:3" x14ac:dyDescent="0.35">
      <c r="C47898" s="2"/>
    </row>
    <row r="47899" spans="3:3" x14ac:dyDescent="0.35">
      <c r="C47899" s="2"/>
    </row>
    <row r="47900" spans="3:3" x14ac:dyDescent="0.35">
      <c r="C47900" s="2"/>
    </row>
    <row r="47901" spans="3:3" x14ac:dyDescent="0.35">
      <c r="C47901" s="2"/>
    </row>
    <row r="47902" spans="3:3" x14ac:dyDescent="0.35">
      <c r="C47902" s="2"/>
    </row>
    <row r="47903" spans="3:3" x14ac:dyDescent="0.35">
      <c r="C47903" s="2"/>
    </row>
    <row r="47904" spans="3:3" x14ac:dyDescent="0.35">
      <c r="C47904" s="2"/>
    </row>
    <row r="47905" spans="3:3" x14ac:dyDescent="0.35">
      <c r="C47905" s="2"/>
    </row>
    <row r="47906" spans="3:3" x14ac:dyDescent="0.35">
      <c r="C47906" s="2"/>
    </row>
    <row r="47907" spans="3:3" x14ac:dyDescent="0.35">
      <c r="C47907" s="2"/>
    </row>
    <row r="47908" spans="3:3" x14ac:dyDescent="0.35">
      <c r="C47908" s="2"/>
    </row>
    <row r="47909" spans="3:3" x14ac:dyDescent="0.35">
      <c r="C47909" s="2"/>
    </row>
    <row r="47910" spans="3:3" x14ac:dyDescent="0.35">
      <c r="C47910" s="2"/>
    </row>
    <row r="47911" spans="3:3" x14ac:dyDescent="0.35">
      <c r="C47911" s="2"/>
    </row>
    <row r="47912" spans="3:3" x14ac:dyDescent="0.35">
      <c r="C47912" s="2"/>
    </row>
    <row r="47913" spans="3:3" x14ac:dyDescent="0.35">
      <c r="C47913" s="2"/>
    </row>
    <row r="47914" spans="3:3" x14ac:dyDescent="0.35">
      <c r="C47914" s="2"/>
    </row>
    <row r="47915" spans="3:3" x14ac:dyDescent="0.35">
      <c r="C47915" s="2"/>
    </row>
    <row r="47916" spans="3:3" x14ac:dyDescent="0.35">
      <c r="C47916" s="2"/>
    </row>
    <row r="47917" spans="3:3" x14ac:dyDescent="0.35">
      <c r="C47917" s="2"/>
    </row>
    <row r="47918" spans="3:3" x14ac:dyDescent="0.35">
      <c r="C47918" s="2"/>
    </row>
    <row r="47919" spans="3:3" x14ac:dyDescent="0.35">
      <c r="C47919" s="2"/>
    </row>
    <row r="47920" spans="3:3" x14ac:dyDescent="0.35">
      <c r="C47920" s="2"/>
    </row>
    <row r="47921" spans="3:3" x14ac:dyDescent="0.35">
      <c r="C47921" s="2"/>
    </row>
    <row r="47922" spans="3:3" x14ac:dyDescent="0.35">
      <c r="C47922" s="2"/>
    </row>
    <row r="47923" spans="3:3" x14ac:dyDescent="0.35">
      <c r="C47923" s="2"/>
    </row>
    <row r="47924" spans="3:3" x14ac:dyDescent="0.35">
      <c r="C47924" s="2"/>
    </row>
    <row r="47925" spans="3:3" x14ac:dyDescent="0.35">
      <c r="C47925" s="2"/>
    </row>
    <row r="47926" spans="3:3" x14ac:dyDescent="0.35">
      <c r="C47926" s="2"/>
    </row>
    <row r="47927" spans="3:3" x14ac:dyDescent="0.35">
      <c r="C47927" s="2"/>
    </row>
    <row r="47928" spans="3:3" x14ac:dyDescent="0.35">
      <c r="C47928" s="2"/>
    </row>
    <row r="47929" spans="3:3" x14ac:dyDescent="0.35">
      <c r="C47929" s="2"/>
    </row>
    <row r="47930" spans="3:3" x14ac:dyDescent="0.35">
      <c r="C47930" s="2"/>
    </row>
    <row r="47931" spans="3:3" x14ac:dyDescent="0.35">
      <c r="C47931" s="2"/>
    </row>
    <row r="47932" spans="3:3" x14ac:dyDescent="0.35">
      <c r="C47932" s="2"/>
    </row>
    <row r="47933" spans="3:3" x14ac:dyDescent="0.35">
      <c r="C47933" s="2"/>
    </row>
    <row r="47934" spans="3:3" x14ac:dyDescent="0.35">
      <c r="C47934" s="2"/>
    </row>
    <row r="47935" spans="3:3" x14ac:dyDescent="0.35">
      <c r="C47935" s="2"/>
    </row>
    <row r="47936" spans="3:3" x14ac:dyDescent="0.35">
      <c r="C47936" s="2"/>
    </row>
    <row r="47937" spans="3:3" x14ac:dyDescent="0.35">
      <c r="C47937" s="2"/>
    </row>
    <row r="47938" spans="3:3" x14ac:dyDescent="0.35">
      <c r="C47938" s="2"/>
    </row>
    <row r="47939" spans="3:3" x14ac:dyDescent="0.35">
      <c r="C47939" s="2"/>
    </row>
    <row r="47940" spans="3:3" x14ac:dyDescent="0.35">
      <c r="C47940" s="2"/>
    </row>
    <row r="47941" spans="3:3" x14ac:dyDescent="0.35">
      <c r="C47941" s="2"/>
    </row>
    <row r="47942" spans="3:3" x14ac:dyDescent="0.35">
      <c r="C47942" s="2"/>
    </row>
    <row r="47943" spans="3:3" x14ac:dyDescent="0.35">
      <c r="C47943" s="2"/>
    </row>
    <row r="47944" spans="3:3" x14ac:dyDescent="0.35">
      <c r="C47944" s="2"/>
    </row>
    <row r="47945" spans="3:3" x14ac:dyDescent="0.35">
      <c r="C47945" s="2"/>
    </row>
    <row r="47946" spans="3:3" x14ac:dyDescent="0.35">
      <c r="C47946" s="2"/>
    </row>
    <row r="47947" spans="3:3" x14ac:dyDescent="0.35">
      <c r="C47947" s="2"/>
    </row>
    <row r="47948" spans="3:3" x14ac:dyDescent="0.35">
      <c r="C47948" s="2"/>
    </row>
    <row r="47949" spans="3:3" x14ac:dyDescent="0.35">
      <c r="C47949" s="2"/>
    </row>
    <row r="47950" spans="3:3" x14ac:dyDescent="0.35">
      <c r="C47950" s="2"/>
    </row>
    <row r="47951" spans="3:3" x14ac:dyDescent="0.35">
      <c r="C47951" s="2"/>
    </row>
    <row r="47952" spans="3:3" x14ac:dyDescent="0.35">
      <c r="C47952" s="2"/>
    </row>
    <row r="47953" spans="3:3" x14ac:dyDescent="0.35">
      <c r="C47953" s="2"/>
    </row>
    <row r="47954" spans="3:3" x14ac:dyDescent="0.35">
      <c r="C47954" s="2"/>
    </row>
    <row r="47955" spans="3:3" x14ac:dyDescent="0.35">
      <c r="C47955" s="2"/>
    </row>
    <row r="47956" spans="3:3" x14ac:dyDescent="0.35">
      <c r="C47956" s="2"/>
    </row>
    <row r="47957" spans="3:3" x14ac:dyDescent="0.35">
      <c r="C47957" s="2"/>
    </row>
    <row r="47958" spans="3:3" x14ac:dyDescent="0.35">
      <c r="C47958" s="2"/>
    </row>
    <row r="47959" spans="3:3" x14ac:dyDescent="0.35">
      <c r="C47959" s="2"/>
    </row>
    <row r="47960" spans="3:3" x14ac:dyDescent="0.35">
      <c r="C47960" s="2"/>
    </row>
    <row r="47961" spans="3:3" x14ac:dyDescent="0.35">
      <c r="C47961" s="2"/>
    </row>
    <row r="47962" spans="3:3" x14ac:dyDescent="0.35">
      <c r="C47962" s="2"/>
    </row>
    <row r="47963" spans="3:3" x14ac:dyDescent="0.35">
      <c r="C47963" s="2"/>
    </row>
    <row r="47964" spans="3:3" x14ac:dyDescent="0.35">
      <c r="C47964" s="2"/>
    </row>
    <row r="47965" spans="3:3" x14ac:dyDescent="0.35">
      <c r="C47965" s="2"/>
    </row>
    <row r="47966" spans="3:3" x14ac:dyDescent="0.35">
      <c r="C47966" s="2"/>
    </row>
    <row r="47967" spans="3:3" x14ac:dyDescent="0.35">
      <c r="C47967" s="2"/>
    </row>
    <row r="47968" spans="3:3" x14ac:dyDescent="0.35">
      <c r="C47968" s="2"/>
    </row>
    <row r="47969" spans="3:3" x14ac:dyDescent="0.35">
      <c r="C47969" s="2"/>
    </row>
    <row r="47970" spans="3:3" x14ac:dyDescent="0.35">
      <c r="C47970" s="2"/>
    </row>
    <row r="47971" spans="3:3" x14ac:dyDescent="0.35">
      <c r="C47971" s="2"/>
    </row>
    <row r="47972" spans="3:3" x14ac:dyDescent="0.35">
      <c r="C47972" s="2"/>
    </row>
    <row r="47973" spans="3:3" x14ac:dyDescent="0.35">
      <c r="C47973" s="2"/>
    </row>
    <row r="47974" spans="3:3" x14ac:dyDescent="0.35">
      <c r="C47974" s="2"/>
    </row>
    <row r="47975" spans="3:3" x14ac:dyDescent="0.35">
      <c r="C47975" s="2"/>
    </row>
    <row r="47976" spans="3:3" x14ac:dyDescent="0.35">
      <c r="C47976" s="2"/>
    </row>
    <row r="47977" spans="3:3" x14ac:dyDescent="0.35">
      <c r="C47977" s="2"/>
    </row>
    <row r="47978" spans="3:3" x14ac:dyDescent="0.35">
      <c r="C47978" s="2"/>
    </row>
    <row r="47979" spans="3:3" x14ac:dyDescent="0.35">
      <c r="C47979" s="2"/>
    </row>
    <row r="47980" spans="3:3" x14ac:dyDescent="0.35">
      <c r="C47980" s="2"/>
    </row>
    <row r="47981" spans="3:3" x14ac:dyDescent="0.35">
      <c r="C47981" s="2"/>
    </row>
    <row r="47982" spans="3:3" x14ac:dyDescent="0.35">
      <c r="C47982" s="2"/>
    </row>
    <row r="47983" spans="3:3" x14ac:dyDescent="0.35">
      <c r="C47983" s="2"/>
    </row>
    <row r="47984" spans="3:3" x14ac:dyDescent="0.35">
      <c r="C47984" s="2"/>
    </row>
    <row r="47985" spans="3:3" x14ac:dyDescent="0.35">
      <c r="C47985" s="2"/>
    </row>
    <row r="47986" spans="3:3" x14ac:dyDescent="0.35">
      <c r="C47986" s="2"/>
    </row>
    <row r="47987" spans="3:3" x14ac:dyDescent="0.35">
      <c r="C47987" s="2"/>
    </row>
    <row r="47988" spans="3:3" x14ac:dyDescent="0.35">
      <c r="C47988" s="2"/>
    </row>
    <row r="47989" spans="3:3" x14ac:dyDescent="0.35">
      <c r="C47989" s="2"/>
    </row>
    <row r="47990" spans="3:3" x14ac:dyDescent="0.35">
      <c r="C47990" s="2"/>
    </row>
    <row r="47991" spans="3:3" x14ac:dyDescent="0.35">
      <c r="C47991" s="2"/>
    </row>
    <row r="47992" spans="3:3" x14ac:dyDescent="0.35">
      <c r="C47992" s="2"/>
    </row>
    <row r="47993" spans="3:3" x14ac:dyDescent="0.35">
      <c r="C47993" s="2"/>
    </row>
    <row r="47994" spans="3:3" x14ac:dyDescent="0.35">
      <c r="C47994" s="2"/>
    </row>
    <row r="47995" spans="3:3" x14ac:dyDescent="0.35">
      <c r="C47995" s="2"/>
    </row>
    <row r="47996" spans="3:3" x14ac:dyDescent="0.35">
      <c r="C47996" s="2"/>
    </row>
    <row r="47997" spans="3:3" x14ac:dyDescent="0.35">
      <c r="C47997" s="2"/>
    </row>
    <row r="47998" spans="3:3" x14ac:dyDescent="0.35">
      <c r="C47998" s="2"/>
    </row>
    <row r="47999" spans="3:3" x14ac:dyDescent="0.35">
      <c r="C47999" s="2"/>
    </row>
    <row r="48000" spans="3:3" x14ac:dyDescent="0.35">
      <c r="C48000" s="2"/>
    </row>
    <row r="48001" spans="3:3" x14ac:dyDescent="0.35">
      <c r="C48001" s="2"/>
    </row>
    <row r="48002" spans="3:3" x14ac:dyDescent="0.35">
      <c r="C48002" s="2"/>
    </row>
    <row r="48003" spans="3:3" x14ac:dyDescent="0.35">
      <c r="C48003" s="2"/>
    </row>
    <row r="48004" spans="3:3" x14ac:dyDescent="0.35">
      <c r="C48004" s="2"/>
    </row>
    <row r="48005" spans="3:3" x14ac:dyDescent="0.35">
      <c r="C48005" s="2"/>
    </row>
    <row r="48006" spans="3:3" x14ac:dyDescent="0.35">
      <c r="C48006" s="2"/>
    </row>
    <row r="48007" spans="3:3" x14ac:dyDescent="0.35">
      <c r="C48007" s="2"/>
    </row>
    <row r="48008" spans="3:3" x14ac:dyDescent="0.35">
      <c r="C48008" s="2"/>
    </row>
    <row r="48009" spans="3:3" x14ac:dyDescent="0.35">
      <c r="C48009" s="2"/>
    </row>
    <row r="48010" spans="3:3" x14ac:dyDescent="0.35">
      <c r="C48010" s="2"/>
    </row>
    <row r="48011" spans="3:3" x14ac:dyDescent="0.35">
      <c r="C48011" s="2"/>
    </row>
    <row r="48012" spans="3:3" x14ac:dyDescent="0.35">
      <c r="C48012" s="2"/>
    </row>
    <row r="48013" spans="3:3" x14ac:dyDescent="0.35">
      <c r="C48013" s="2"/>
    </row>
    <row r="48014" spans="3:3" x14ac:dyDescent="0.35">
      <c r="C48014" s="2"/>
    </row>
    <row r="48015" spans="3:3" x14ac:dyDescent="0.35">
      <c r="C48015" s="2"/>
    </row>
    <row r="48016" spans="3:3" x14ac:dyDescent="0.35">
      <c r="C48016" s="2"/>
    </row>
    <row r="48017" spans="3:3" x14ac:dyDescent="0.35">
      <c r="C48017" s="2"/>
    </row>
    <row r="48018" spans="3:3" x14ac:dyDescent="0.35">
      <c r="C48018" s="2"/>
    </row>
    <row r="48019" spans="3:3" x14ac:dyDescent="0.35">
      <c r="C48019" s="2"/>
    </row>
    <row r="48020" spans="3:3" x14ac:dyDescent="0.35">
      <c r="C48020" s="2"/>
    </row>
    <row r="48021" spans="3:3" x14ac:dyDescent="0.35">
      <c r="C48021" s="2"/>
    </row>
    <row r="48022" spans="3:3" x14ac:dyDescent="0.35">
      <c r="C48022" s="2"/>
    </row>
    <row r="48023" spans="3:3" x14ac:dyDescent="0.35">
      <c r="C48023" s="2"/>
    </row>
    <row r="48024" spans="3:3" x14ac:dyDescent="0.35">
      <c r="C48024" s="2"/>
    </row>
    <row r="48025" spans="3:3" x14ac:dyDescent="0.35">
      <c r="C48025" s="2"/>
    </row>
    <row r="48026" spans="3:3" x14ac:dyDescent="0.35">
      <c r="C48026" s="2"/>
    </row>
    <row r="48027" spans="3:3" x14ac:dyDescent="0.35">
      <c r="C48027" s="2"/>
    </row>
    <row r="48028" spans="3:3" x14ac:dyDescent="0.35">
      <c r="C48028" s="2"/>
    </row>
    <row r="48029" spans="3:3" x14ac:dyDescent="0.35">
      <c r="C48029" s="2"/>
    </row>
    <row r="48030" spans="3:3" x14ac:dyDescent="0.35">
      <c r="C48030" s="2"/>
    </row>
    <row r="48031" spans="3:3" x14ac:dyDescent="0.35">
      <c r="C48031" s="2"/>
    </row>
    <row r="48032" spans="3:3" x14ac:dyDescent="0.35">
      <c r="C48032" s="2"/>
    </row>
    <row r="48033" spans="3:3" x14ac:dyDescent="0.35">
      <c r="C48033" s="2"/>
    </row>
    <row r="48034" spans="3:3" x14ac:dyDescent="0.35">
      <c r="C48034" s="2"/>
    </row>
    <row r="48035" spans="3:3" x14ac:dyDescent="0.35">
      <c r="C48035" s="2"/>
    </row>
    <row r="48036" spans="3:3" x14ac:dyDescent="0.35">
      <c r="C48036" s="2"/>
    </row>
    <row r="48037" spans="3:3" x14ac:dyDescent="0.35">
      <c r="C48037" s="2"/>
    </row>
    <row r="48038" spans="3:3" x14ac:dyDescent="0.35">
      <c r="C48038" s="2"/>
    </row>
    <row r="48039" spans="3:3" x14ac:dyDescent="0.35">
      <c r="C48039" s="2"/>
    </row>
    <row r="48040" spans="3:3" x14ac:dyDescent="0.35">
      <c r="C48040" s="2"/>
    </row>
    <row r="48041" spans="3:3" x14ac:dyDescent="0.35">
      <c r="C48041" s="2"/>
    </row>
    <row r="48042" spans="3:3" x14ac:dyDescent="0.35">
      <c r="C48042" s="2"/>
    </row>
    <row r="48043" spans="3:3" x14ac:dyDescent="0.35">
      <c r="C48043" s="2"/>
    </row>
    <row r="48044" spans="3:3" x14ac:dyDescent="0.35">
      <c r="C48044" s="2"/>
    </row>
    <row r="48045" spans="3:3" x14ac:dyDescent="0.35">
      <c r="C48045" s="2"/>
    </row>
    <row r="48046" spans="3:3" x14ac:dyDescent="0.35">
      <c r="C48046" s="2"/>
    </row>
    <row r="48047" spans="3:3" x14ac:dyDescent="0.35">
      <c r="C48047" s="2"/>
    </row>
    <row r="48048" spans="3:3" x14ac:dyDescent="0.35">
      <c r="C48048" s="2"/>
    </row>
    <row r="48049" spans="3:3" x14ac:dyDescent="0.35">
      <c r="C48049" s="2"/>
    </row>
    <row r="48050" spans="3:3" x14ac:dyDescent="0.35">
      <c r="C48050" s="2"/>
    </row>
    <row r="48051" spans="3:3" x14ac:dyDescent="0.35">
      <c r="C48051" s="2"/>
    </row>
    <row r="48052" spans="3:3" x14ac:dyDescent="0.35">
      <c r="C48052" s="2"/>
    </row>
    <row r="48053" spans="3:3" x14ac:dyDescent="0.35">
      <c r="C48053" s="2"/>
    </row>
    <row r="48054" spans="3:3" x14ac:dyDescent="0.35">
      <c r="C48054" s="2"/>
    </row>
    <row r="48055" spans="3:3" x14ac:dyDescent="0.35">
      <c r="C48055" s="2"/>
    </row>
    <row r="48056" spans="3:3" x14ac:dyDescent="0.35">
      <c r="C48056" s="2"/>
    </row>
    <row r="48057" spans="3:3" x14ac:dyDescent="0.35">
      <c r="C48057" s="2"/>
    </row>
    <row r="48058" spans="3:3" x14ac:dyDescent="0.35">
      <c r="C48058" s="2"/>
    </row>
    <row r="48059" spans="3:3" x14ac:dyDescent="0.35">
      <c r="C48059" s="2"/>
    </row>
    <row r="48060" spans="3:3" x14ac:dyDescent="0.35">
      <c r="C48060" s="2"/>
    </row>
    <row r="48061" spans="3:3" x14ac:dyDescent="0.35">
      <c r="C48061" s="2"/>
    </row>
    <row r="48062" spans="3:3" x14ac:dyDescent="0.35">
      <c r="C48062" s="2"/>
    </row>
    <row r="48063" spans="3:3" x14ac:dyDescent="0.35">
      <c r="C48063" s="2"/>
    </row>
    <row r="48064" spans="3:3" x14ac:dyDescent="0.35">
      <c r="C48064" s="2"/>
    </row>
    <row r="48065" spans="3:3" x14ac:dyDescent="0.35">
      <c r="C48065" s="2"/>
    </row>
    <row r="48066" spans="3:3" x14ac:dyDescent="0.35">
      <c r="C48066" s="2"/>
    </row>
    <row r="48067" spans="3:3" x14ac:dyDescent="0.35">
      <c r="C48067" s="2"/>
    </row>
    <row r="48068" spans="3:3" x14ac:dyDescent="0.35">
      <c r="C48068" s="2"/>
    </row>
    <row r="48069" spans="3:3" x14ac:dyDescent="0.35">
      <c r="C48069" s="2"/>
    </row>
    <row r="48070" spans="3:3" x14ac:dyDescent="0.35">
      <c r="C48070" s="2"/>
    </row>
    <row r="48071" spans="3:3" x14ac:dyDescent="0.35">
      <c r="C48071" s="2"/>
    </row>
    <row r="48072" spans="3:3" x14ac:dyDescent="0.35">
      <c r="C48072" s="2"/>
    </row>
    <row r="48073" spans="3:3" x14ac:dyDescent="0.35">
      <c r="C48073" s="2"/>
    </row>
    <row r="48074" spans="3:3" x14ac:dyDescent="0.35">
      <c r="C48074" s="2"/>
    </row>
    <row r="48075" spans="3:3" x14ac:dyDescent="0.35">
      <c r="C48075" s="2"/>
    </row>
    <row r="48076" spans="3:3" x14ac:dyDescent="0.35">
      <c r="C48076" s="2"/>
    </row>
    <row r="48077" spans="3:3" x14ac:dyDescent="0.35">
      <c r="C48077" s="2"/>
    </row>
    <row r="48078" spans="3:3" x14ac:dyDescent="0.35">
      <c r="C48078" s="2"/>
    </row>
    <row r="48079" spans="3:3" x14ac:dyDescent="0.35">
      <c r="C48079" s="2"/>
    </row>
    <row r="48080" spans="3:3" x14ac:dyDescent="0.35">
      <c r="C48080" s="2"/>
    </row>
    <row r="48081" spans="3:3" x14ac:dyDescent="0.35">
      <c r="C48081" s="2"/>
    </row>
    <row r="48082" spans="3:3" x14ac:dyDescent="0.35">
      <c r="C48082" s="2"/>
    </row>
    <row r="48083" spans="3:3" x14ac:dyDescent="0.35">
      <c r="C48083" s="2"/>
    </row>
    <row r="48084" spans="3:3" x14ac:dyDescent="0.35">
      <c r="C48084" s="2"/>
    </row>
    <row r="48085" spans="3:3" x14ac:dyDescent="0.35">
      <c r="C48085" s="2"/>
    </row>
    <row r="48086" spans="3:3" x14ac:dyDescent="0.35">
      <c r="C48086" s="2"/>
    </row>
    <row r="48087" spans="3:3" x14ac:dyDescent="0.35">
      <c r="C48087" s="2"/>
    </row>
    <row r="48088" spans="3:3" x14ac:dyDescent="0.35">
      <c r="C48088" s="2"/>
    </row>
    <row r="48089" spans="3:3" x14ac:dyDescent="0.35">
      <c r="C48089" s="2"/>
    </row>
    <row r="48090" spans="3:3" x14ac:dyDescent="0.35">
      <c r="C48090" s="2"/>
    </row>
    <row r="48091" spans="3:3" x14ac:dyDescent="0.35">
      <c r="C48091" s="2"/>
    </row>
    <row r="48092" spans="3:3" x14ac:dyDescent="0.35">
      <c r="C48092" s="2"/>
    </row>
    <row r="48093" spans="3:3" x14ac:dyDescent="0.35">
      <c r="C48093" s="2"/>
    </row>
    <row r="48094" spans="3:3" x14ac:dyDescent="0.35">
      <c r="C48094" s="2"/>
    </row>
    <row r="48095" spans="3:3" x14ac:dyDescent="0.35">
      <c r="C48095" s="2"/>
    </row>
    <row r="48096" spans="3:3" x14ac:dyDescent="0.35">
      <c r="C48096" s="2"/>
    </row>
    <row r="48097" spans="3:3" x14ac:dyDescent="0.35">
      <c r="C48097" s="2"/>
    </row>
    <row r="48098" spans="3:3" x14ac:dyDescent="0.35">
      <c r="C48098" s="2"/>
    </row>
    <row r="48099" spans="3:3" x14ac:dyDescent="0.35">
      <c r="C48099" s="2"/>
    </row>
    <row r="48100" spans="3:3" x14ac:dyDescent="0.35">
      <c r="C48100" s="2"/>
    </row>
    <row r="48101" spans="3:3" x14ac:dyDescent="0.35">
      <c r="C48101" s="2"/>
    </row>
    <row r="48102" spans="3:3" x14ac:dyDescent="0.35">
      <c r="C48102" s="2"/>
    </row>
    <row r="48103" spans="3:3" x14ac:dyDescent="0.35">
      <c r="C48103" s="2"/>
    </row>
    <row r="48104" spans="3:3" x14ac:dyDescent="0.35">
      <c r="C48104" s="2"/>
    </row>
    <row r="48105" spans="3:3" x14ac:dyDescent="0.35">
      <c r="C48105" s="2"/>
    </row>
    <row r="48106" spans="3:3" x14ac:dyDescent="0.35">
      <c r="C48106" s="2"/>
    </row>
    <row r="48107" spans="3:3" x14ac:dyDescent="0.35">
      <c r="C48107" s="2"/>
    </row>
    <row r="48108" spans="3:3" x14ac:dyDescent="0.35">
      <c r="C48108" s="2"/>
    </row>
    <row r="48109" spans="3:3" x14ac:dyDescent="0.35">
      <c r="C48109" s="2"/>
    </row>
    <row r="48110" spans="3:3" x14ac:dyDescent="0.35">
      <c r="C48110" s="2"/>
    </row>
    <row r="48111" spans="3:3" x14ac:dyDescent="0.35">
      <c r="C48111" s="2"/>
    </row>
    <row r="48112" spans="3:3" x14ac:dyDescent="0.35">
      <c r="C48112" s="2"/>
    </row>
    <row r="48113" spans="3:3" x14ac:dyDescent="0.35">
      <c r="C48113" s="2"/>
    </row>
    <row r="48114" spans="3:3" x14ac:dyDescent="0.35">
      <c r="C48114" s="2"/>
    </row>
    <row r="48115" spans="3:3" x14ac:dyDescent="0.35">
      <c r="C48115" s="2"/>
    </row>
    <row r="48116" spans="3:3" x14ac:dyDescent="0.35">
      <c r="C48116" s="2"/>
    </row>
    <row r="48117" spans="3:3" x14ac:dyDescent="0.35">
      <c r="C48117" s="2"/>
    </row>
    <row r="48118" spans="3:3" x14ac:dyDescent="0.35">
      <c r="C48118" s="2"/>
    </row>
    <row r="48119" spans="3:3" x14ac:dyDescent="0.35">
      <c r="C48119" s="2"/>
    </row>
    <row r="48120" spans="3:3" x14ac:dyDescent="0.35">
      <c r="C48120" s="2"/>
    </row>
    <row r="48121" spans="3:3" x14ac:dyDescent="0.35">
      <c r="C48121" s="2"/>
    </row>
    <row r="48122" spans="3:3" x14ac:dyDescent="0.35">
      <c r="C48122" s="2"/>
    </row>
    <row r="48123" spans="3:3" x14ac:dyDescent="0.35">
      <c r="C48123" s="2"/>
    </row>
    <row r="48124" spans="3:3" x14ac:dyDescent="0.35">
      <c r="C48124" s="2"/>
    </row>
    <row r="48125" spans="3:3" x14ac:dyDescent="0.35">
      <c r="C48125" s="2"/>
    </row>
    <row r="48126" spans="3:3" x14ac:dyDescent="0.35">
      <c r="C48126" s="2"/>
    </row>
    <row r="48127" spans="3:3" x14ac:dyDescent="0.35">
      <c r="C48127" s="2"/>
    </row>
    <row r="48128" spans="3:3" x14ac:dyDescent="0.35">
      <c r="C48128" s="2"/>
    </row>
    <row r="48129" spans="3:3" x14ac:dyDescent="0.35">
      <c r="C48129" s="2"/>
    </row>
    <row r="48130" spans="3:3" x14ac:dyDescent="0.35">
      <c r="C48130" s="2"/>
    </row>
    <row r="48131" spans="3:3" x14ac:dyDescent="0.35">
      <c r="C48131" s="2"/>
    </row>
    <row r="48132" spans="3:3" x14ac:dyDescent="0.35">
      <c r="C48132" s="2"/>
    </row>
    <row r="48133" spans="3:3" x14ac:dyDescent="0.35">
      <c r="C48133" s="2"/>
    </row>
    <row r="48134" spans="3:3" x14ac:dyDescent="0.35">
      <c r="C48134" s="2"/>
    </row>
    <row r="48135" spans="3:3" x14ac:dyDescent="0.35">
      <c r="C48135" s="2"/>
    </row>
    <row r="48136" spans="3:3" x14ac:dyDescent="0.35">
      <c r="C48136" s="2"/>
    </row>
    <row r="48137" spans="3:3" x14ac:dyDescent="0.35">
      <c r="C48137" s="2"/>
    </row>
    <row r="48138" spans="3:3" x14ac:dyDescent="0.35">
      <c r="C48138" s="2"/>
    </row>
    <row r="48139" spans="3:3" x14ac:dyDescent="0.35">
      <c r="C48139" s="2"/>
    </row>
    <row r="48140" spans="3:3" x14ac:dyDescent="0.35">
      <c r="C48140" s="2"/>
    </row>
    <row r="48141" spans="3:3" x14ac:dyDescent="0.35">
      <c r="C48141" s="2"/>
    </row>
    <row r="48142" spans="3:3" x14ac:dyDescent="0.35">
      <c r="C48142" s="2"/>
    </row>
    <row r="48143" spans="3:3" x14ac:dyDescent="0.35">
      <c r="C48143" s="2"/>
    </row>
    <row r="48144" spans="3:3" x14ac:dyDescent="0.35">
      <c r="C48144" s="2"/>
    </row>
    <row r="48145" spans="3:3" x14ac:dyDescent="0.35">
      <c r="C48145" s="2"/>
    </row>
    <row r="48146" spans="3:3" x14ac:dyDescent="0.35">
      <c r="C48146" s="2"/>
    </row>
    <row r="48147" spans="3:3" x14ac:dyDescent="0.35">
      <c r="C48147" s="2"/>
    </row>
    <row r="48148" spans="3:3" x14ac:dyDescent="0.35">
      <c r="C48148" s="2"/>
    </row>
    <row r="48149" spans="3:3" x14ac:dyDescent="0.35">
      <c r="C48149" s="2"/>
    </row>
    <row r="48150" spans="3:3" x14ac:dyDescent="0.35">
      <c r="C48150" s="2"/>
    </row>
    <row r="48151" spans="3:3" x14ac:dyDescent="0.35">
      <c r="C48151" s="2"/>
    </row>
    <row r="48152" spans="3:3" x14ac:dyDescent="0.35">
      <c r="C48152" s="2"/>
    </row>
    <row r="48153" spans="3:3" x14ac:dyDescent="0.35">
      <c r="C48153" s="2"/>
    </row>
    <row r="48154" spans="3:3" x14ac:dyDescent="0.35">
      <c r="C48154" s="2"/>
    </row>
    <row r="48155" spans="3:3" x14ac:dyDescent="0.35">
      <c r="C48155" s="2"/>
    </row>
    <row r="48156" spans="3:3" x14ac:dyDescent="0.35">
      <c r="C48156" s="2"/>
    </row>
    <row r="48157" spans="3:3" x14ac:dyDescent="0.35">
      <c r="C48157" s="2"/>
    </row>
    <row r="48158" spans="3:3" x14ac:dyDescent="0.35">
      <c r="C48158" s="2"/>
    </row>
    <row r="48159" spans="3:3" x14ac:dyDescent="0.35">
      <c r="C48159" s="2"/>
    </row>
    <row r="48160" spans="3:3" x14ac:dyDescent="0.35">
      <c r="C48160" s="2"/>
    </row>
    <row r="48161" spans="3:3" x14ac:dyDescent="0.35">
      <c r="C48161" s="2"/>
    </row>
    <row r="48162" spans="3:3" x14ac:dyDescent="0.35">
      <c r="C48162" s="2"/>
    </row>
    <row r="48163" spans="3:3" x14ac:dyDescent="0.35">
      <c r="C48163" s="2"/>
    </row>
    <row r="48164" spans="3:3" x14ac:dyDescent="0.35">
      <c r="C48164" s="2"/>
    </row>
    <row r="48165" spans="3:3" x14ac:dyDescent="0.35">
      <c r="C48165" s="2"/>
    </row>
    <row r="48166" spans="3:3" x14ac:dyDescent="0.35">
      <c r="C48166" s="2"/>
    </row>
    <row r="48167" spans="3:3" x14ac:dyDescent="0.35">
      <c r="C48167" s="2"/>
    </row>
    <row r="48168" spans="3:3" x14ac:dyDescent="0.35">
      <c r="C48168" s="2"/>
    </row>
    <row r="48169" spans="3:3" x14ac:dyDescent="0.35">
      <c r="C48169" s="2"/>
    </row>
    <row r="48170" spans="3:3" x14ac:dyDescent="0.35">
      <c r="C48170" s="2"/>
    </row>
    <row r="48171" spans="3:3" x14ac:dyDescent="0.35">
      <c r="C48171" s="2"/>
    </row>
    <row r="48172" spans="3:3" x14ac:dyDescent="0.35">
      <c r="C48172" s="2"/>
    </row>
    <row r="48173" spans="3:3" x14ac:dyDescent="0.35">
      <c r="C48173" s="2"/>
    </row>
    <row r="48174" spans="3:3" x14ac:dyDescent="0.35">
      <c r="C48174" s="2"/>
    </row>
    <row r="48175" spans="3:3" x14ac:dyDescent="0.35">
      <c r="C48175" s="2"/>
    </row>
    <row r="48176" spans="3:3" x14ac:dyDescent="0.35">
      <c r="C48176" s="2"/>
    </row>
    <row r="48177" spans="3:3" x14ac:dyDescent="0.35">
      <c r="C48177" s="2"/>
    </row>
    <row r="48178" spans="3:3" x14ac:dyDescent="0.35">
      <c r="C48178" s="2"/>
    </row>
    <row r="48179" spans="3:3" x14ac:dyDescent="0.35">
      <c r="C48179" s="2"/>
    </row>
    <row r="48180" spans="3:3" x14ac:dyDescent="0.35">
      <c r="C48180" s="2"/>
    </row>
    <row r="48181" spans="3:3" x14ac:dyDescent="0.35">
      <c r="C48181" s="2"/>
    </row>
    <row r="48182" spans="3:3" x14ac:dyDescent="0.35">
      <c r="C48182" s="2"/>
    </row>
    <row r="48183" spans="3:3" x14ac:dyDescent="0.35">
      <c r="C48183" s="2"/>
    </row>
    <row r="48184" spans="3:3" x14ac:dyDescent="0.35">
      <c r="C48184" s="2"/>
    </row>
    <row r="48185" spans="3:3" x14ac:dyDescent="0.35">
      <c r="C48185" s="2"/>
    </row>
    <row r="48186" spans="3:3" x14ac:dyDescent="0.35">
      <c r="C48186" s="2"/>
    </row>
    <row r="48187" spans="3:3" x14ac:dyDescent="0.35">
      <c r="C48187" s="2"/>
    </row>
    <row r="48188" spans="3:3" x14ac:dyDescent="0.35">
      <c r="C48188" s="2"/>
    </row>
    <row r="48189" spans="3:3" x14ac:dyDescent="0.35">
      <c r="C48189" s="2"/>
    </row>
    <row r="48190" spans="3:3" x14ac:dyDescent="0.35">
      <c r="C48190" s="2"/>
    </row>
    <row r="48191" spans="3:3" x14ac:dyDescent="0.35">
      <c r="C48191" s="2"/>
    </row>
    <row r="48192" spans="3:3" x14ac:dyDescent="0.35">
      <c r="C48192" s="2"/>
    </row>
    <row r="48193" spans="3:3" x14ac:dyDescent="0.35">
      <c r="C48193" s="2"/>
    </row>
    <row r="48194" spans="3:3" x14ac:dyDescent="0.35">
      <c r="C48194" s="2"/>
    </row>
    <row r="48195" spans="3:3" x14ac:dyDescent="0.35">
      <c r="C48195" s="2"/>
    </row>
    <row r="48196" spans="3:3" x14ac:dyDescent="0.35">
      <c r="C48196" s="2"/>
    </row>
    <row r="48197" spans="3:3" x14ac:dyDescent="0.35">
      <c r="C48197" s="2"/>
    </row>
    <row r="48198" spans="3:3" x14ac:dyDescent="0.35">
      <c r="C48198" s="2"/>
    </row>
    <row r="48199" spans="3:3" x14ac:dyDescent="0.35">
      <c r="C48199" s="2"/>
    </row>
    <row r="48200" spans="3:3" x14ac:dyDescent="0.35">
      <c r="C48200" s="2"/>
    </row>
    <row r="48201" spans="3:3" x14ac:dyDescent="0.35">
      <c r="C48201" s="2"/>
    </row>
    <row r="48202" spans="3:3" x14ac:dyDescent="0.35">
      <c r="C48202" s="2"/>
    </row>
    <row r="48203" spans="3:3" x14ac:dyDescent="0.35">
      <c r="C48203" s="2"/>
    </row>
    <row r="48204" spans="3:3" x14ac:dyDescent="0.35">
      <c r="C48204" s="2"/>
    </row>
    <row r="48205" spans="3:3" x14ac:dyDescent="0.35">
      <c r="C48205" s="2"/>
    </row>
    <row r="48206" spans="3:3" x14ac:dyDescent="0.35">
      <c r="C48206" s="2"/>
    </row>
    <row r="48207" spans="3:3" x14ac:dyDescent="0.35">
      <c r="C48207" s="2"/>
    </row>
    <row r="48208" spans="3:3" x14ac:dyDescent="0.35">
      <c r="C48208" s="2"/>
    </row>
    <row r="48209" spans="3:3" x14ac:dyDescent="0.35">
      <c r="C48209" s="2"/>
    </row>
    <row r="48210" spans="3:3" x14ac:dyDescent="0.35">
      <c r="C48210" s="2"/>
    </row>
    <row r="48211" spans="3:3" x14ac:dyDescent="0.35">
      <c r="C48211" s="2"/>
    </row>
    <row r="48212" spans="3:3" x14ac:dyDescent="0.35">
      <c r="C48212" s="2"/>
    </row>
    <row r="48213" spans="3:3" x14ac:dyDescent="0.35">
      <c r="C48213" s="2"/>
    </row>
    <row r="48214" spans="3:3" x14ac:dyDescent="0.35">
      <c r="C48214" s="2"/>
    </row>
    <row r="48215" spans="3:3" x14ac:dyDescent="0.35">
      <c r="C48215" s="2"/>
    </row>
    <row r="48216" spans="3:3" x14ac:dyDescent="0.35">
      <c r="C48216" s="2"/>
    </row>
    <row r="48217" spans="3:3" x14ac:dyDescent="0.35">
      <c r="C48217" s="2"/>
    </row>
    <row r="48218" spans="3:3" x14ac:dyDescent="0.35">
      <c r="C48218" s="2"/>
    </row>
    <row r="48219" spans="3:3" x14ac:dyDescent="0.35">
      <c r="C48219" s="2"/>
    </row>
    <row r="48220" spans="3:3" x14ac:dyDescent="0.35">
      <c r="C48220" s="2"/>
    </row>
    <row r="48221" spans="3:3" x14ac:dyDescent="0.35">
      <c r="C48221" s="2"/>
    </row>
    <row r="48222" spans="3:3" x14ac:dyDescent="0.35">
      <c r="C48222" s="2"/>
    </row>
    <row r="48223" spans="3:3" x14ac:dyDescent="0.35">
      <c r="C48223" s="2"/>
    </row>
    <row r="48224" spans="3:3" x14ac:dyDescent="0.35">
      <c r="C48224" s="2"/>
    </row>
    <row r="48225" spans="3:3" x14ac:dyDescent="0.35">
      <c r="C48225" s="2"/>
    </row>
    <row r="48226" spans="3:3" x14ac:dyDescent="0.35">
      <c r="C48226" s="2"/>
    </row>
    <row r="48227" spans="3:3" x14ac:dyDescent="0.35">
      <c r="C48227" s="2"/>
    </row>
    <row r="48228" spans="3:3" x14ac:dyDescent="0.35">
      <c r="C48228" s="2"/>
    </row>
    <row r="48229" spans="3:3" x14ac:dyDescent="0.35">
      <c r="C48229" s="2"/>
    </row>
    <row r="48230" spans="3:3" x14ac:dyDescent="0.35">
      <c r="C48230" s="2"/>
    </row>
    <row r="48231" spans="3:3" x14ac:dyDescent="0.35">
      <c r="C48231" s="2"/>
    </row>
    <row r="48232" spans="3:3" x14ac:dyDescent="0.35">
      <c r="C48232" s="2"/>
    </row>
    <row r="48233" spans="3:3" x14ac:dyDescent="0.35">
      <c r="C48233" s="2"/>
    </row>
    <row r="48234" spans="3:3" x14ac:dyDescent="0.35">
      <c r="C48234" s="2"/>
    </row>
    <row r="48235" spans="3:3" x14ac:dyDescent="0.35">
      <c r="C48235" s="2"/>
    </row>
    <row r="48236" spans="3:3" x14ac:dyDescent="0.35">
      <c r="C48236" s="2"/>
    </row>
    <row r="48237" spans="3:3" x14ac:dyDescent="0.35">
      <c r="C48237" s="2"/>
    </row>
    <row r="48238" spans="3:3" x14ac:dyDescent="0.35">
      <c r="C48238" s="2"/>
    </row>
    <row r="48239" spans="3:3" x14ac:dyDescent="0.35">
      <c r="C48239" s="2"/>
    </row>
    <row r="48240" spans="3:3" x14ac:dyDescent="0.35">
      <c r="C48240" s="2"/>
    </row>
    <row r="48241" spans="3:3" x14ac:dyDescent="0.35">
      <c r="C48241" s="2"/>
    </row>
    <row r="48242" spans="3:3" x14ac:dyDescent="0.35">
      <c r="C48242" s="2"/>
    </row>
    <row r="48243" spans="3:3" x14ac:dyDescent="0.35">
      <c r="C48243" s="2"/>
    </row>
    <row r="48244" spans="3:3" x14ac:dyDescent="0.35">
      <c r="C48244" s="2"/>
    </row>
    <row r="48245" spans="3:3" x14ac:dyDescent="0.35">
      <c r="C48245" s="2"/>
    </row>
    <row r="48246" spans="3:3" x14ac:dyDescent="0.35">
      <c r="C48246" s="2"/>
    </row>
    <row r="48247" spans="3:3" x14ac:dyDescent="0.35">
      <c r="C48247" s="2"/>
    </row>
    <row r="48248" spans="3:3" x14ac:dyDescent="0.35">
      <c r="C48248" s="2"/>
    </row>
    <row r="48249" spans="3:3" x14ac:dyDescent="0.35">
      <c r="C48249" s="2"/>
    </row>
    <row r="48250" spans="3:3" x14ac:dyDescent="0.35">
      <c r="C48250" s="2"/>
    </row>
    <row r="48251" spans="3:3" x14ac:dyDescent="0.35">
      <c r="C48251" s="2"/>
    </row>
    <row r="48252" spans="3:3" x14ac:dyDescent="0.35">
      <c r="C48252" s="2"/>
    </row>
    <row r="48253" spans="3:3" x14ac:dyDescent="0.35">
      <c r="C48253" s="2"/>
    </row>
    <row r="48254" spans="3:3" x14ac:dyDescent="0.35">
      <c r="C48254" s="2"/>
    </row>
    <row r="48255" spans="3:3" x14ac:dyDescent="0.35">
      <c r="C48255" s="2"/>
    </row>
    <row r="48256" spans="3:3" x14ac:dyDescent="0.35">
      <c r="C48256" s="2"/>
    </row>
    <row r="48257" spans="3:3" x14ac:dyDescent="0.35">
      <c r="C48257" s="2"/>
    </row>
    <row r="48258" spans="3:3" x14ac:dyDescent="0.35">
      <c r="C48258" s="2"/>
    </row>
    <row r="48259" spans="3:3" x14ac:dyDescent="0.35">
      <c r="C48259" s="2"/>
    </row>
    <row r="48260" spans="3:3" x14ac:dyDescent="0.35">
      <c r="C48260" s="2"/>
    </row>
    <row r="48261" spans="3:3" x14ac:dyDescent="0.35">
      <c r="C48261" s="2"/>
    </row>
    <row r="48262" spans="3:3" x14ac:dyDescent="0.35">
      <c r="C48262" s="2"/>
    </row>
    <row r="48263" spans="3:3" x14ac:dyDescent="0.35">
      <c r="C48263" s="2"/>
    </row>
    <row r="48264" spans="3:3" x14ac:dyDescent="0.35">
      <c r="C48264" s="2"/>
    </row>
    <row r="48265" spans="3:3" x14ac:dyDescent="0.35">
      <c r="C48265" s="2"/>
    </row>
    <row r="48266" spans="3:3" x14ac:dyDescent="0.35">
      <c r="C48266" s="2"/>
    </row>
    <row r="48267" spans="3:3" x14ac:dyDescent="0.35">
      <c r="C48267" s="2"/>
    </row>
    <row r="48268" spans="3:3" x14ac:dyDescent="0.35">
      <c r="C48268" s="2"/>
    </row>
    <row r="48269" spans="3:3" x14ac:dyDescent="0.35">
      <c r="C48269" s="2"/>
    </row>
    <row r="48270" spans="3:3" x14ac:dyDescent="0.35">
      <c r="C48270" s="2"/>
    </row>
    <row r="48271" spans="3:3" x14ac:dyDescent="0.35">
      <c r="C48271" s="2"/>
    </row>
    <row r="48272" spans="3:3" x14ac:dyDescent="0.35">
      <c r="C48272" s="2"/>
    </row>
    <row r="48273" spans="3:3" x14ac:dyDescent="0.35">
      <c r="C48273" s="2"/>
    </row>
    <row r="48274" spans="3:3" x14ac:dyDescent="0.35">
      <c r="C48274" s="2"/>
    </row>
    <row r="48275" spans="3:3" x14ac:dyDescent="0.35">
      <c r="C48275" s="2"/>
    </row>
    <row r="48276" spans="3:3" x14ac:dyDescent="0.35">
      <c r="C48276" s="2"/>
    </row>
    <row r="48277" spans="3:3" x14ac:dyDescent="0.35">
      <c r="C48277" s="2"/>
    </row>
    <row r="48278" spans="3:3" x14ac:dyDescent="0.35">
      <c r="C48278" s="2"/>
    </row>
    <row r="48279" spans="3:3" x14ac:dyDescent="0.35">
      <c r="C48279" s="2"/>
    </row>
    <row r="48280" spans="3:3" x14ac:dyDescent="0.35">
      <c r="C48280" s="2"/>
    </row>
    <row r="48281" spans="3:3" x14ac:dyDescent="0.35">
      <c r="C48281" s="2"/>
    </row>
    <row r="48282" spans="3:3" x14ac:dyDescent="0.35">
      <c r="C48282" s="2"/>
    </row>
    <row r="48283" spans="3:3" x14ac:dyDescent="0.35">
      <c r="C48283" s="2"/>
    </row>
    <row r="48284" spans="3:3" x14ac:dyDescent="0.35">
      <c r="C48284" s="2"/>
    </row>
    <row r="48285" spans="3:3" x14ac:dyDescent="0.35">
      <c r="C48285" s="2"/>
    </row>
    <row r="48286" spans="3:3" x14ac:dyDescent="0.35">
      <c r="C48286" s="2"/>
    </row>
    <row r="48287" spans="3:3" x14ac:dyDescent="0.35">
      <c r="C48287" s="2"/>
    </row>
    <row r="48288" spans="3:3" x14ac:dyDescent="0.35">
      <c r="C48288" s="2"/>
    </row>
    <row r="48289" spans="3:3" x14ac:dyDescent="0.35">
      <c r="C48289" s="2"/>
    </row>
    <row r="48290" spans="3:3" x14ac:dyDescent="0.35">
      <c r="C48290" s="2"/>
    </row>
    <row r="48291" spans="3:3" x14ac:dyDescent="0.35">
      <c r="C48291" s="2"/>
    </row>
    <row r="48292" spans="3:3" x14ac:dyDescent="0.35">
      <c r="C48292" s="2"/>
    </row>
    <row r="48293" spans="3:3" x14ac:dyDescent="0.35">
      <c r="C48293" s="2"/>
    </row>
    <row r="48294" spans="3:3" x14ac:dyDescent="0.35">
      <c r="C48294" s="2"/>
    </row>
    <row r="48295" spans="3:3" x14ac:dyDescent="0.35">
      <c r="C48295" s="2"/>
    </row>
    <row r="48296" spans="3:3" x14ac:dyDescent="0.35">
      <c r="C48296" s="2"/>
    </row>
    <row r="48297" spans="3:3" x14ac:dyDescent="0.35">
      <c r="C48297" s="2"/>
    </row>
    <row r="48298" spans="3:3" x14ac:dyDescent="0.35">
      <c r="C48298" s="2"/>
    </row>
    <row r="48299" spans="3:3" x14ac:dyDescent="0.35">
      <c r="C48299" s="2"/>
    </row>
    <row r="48300" spans="3:3" x14ac:dyDescent="0.35">
      <c r="C48300" s="2"/>
    </row>
    <row r="48301" spans="3:3" x14ac:dyDescent="0.35">
      <c r="C48301" s="2"/>
    </row>
    <row r="48302" spans="3:3" x14ac:dyDescent="0.35">
      <c r="C48302" s="2"/>
    </row>
    <row r="48303" spans="3:3" x14ac:dyDescent="0.35">
      <c r="C48303" s="2"/>
    </row>
    <row r="48304" spans="3:3" x14ac:dyDescent="0.35">
      <c r="C48304" s="2"/>
    </row>
    <row r="48305" spans="3:3" x14ac:dyDescent="0.35">
      <c r="C48305" s="2"/>
    </row>
    <row r="48306" spans="3:3" x14ac:dyDescent="0.35">
      <c r="C48306" s="2"/>
    </row>
    <row r="48307" spans="3:3" x14ac:dyDescent="0.35">
      <c r="C48307" s="2"/>
    </row>
    <row r="48308" spans="3:3" x14ac:dyDescent="0.35">
      <c r="C48308" s="2"/>
    </row>
    <row r="48309" spans="3:3" x14ac:dyDescent="0.35">
      <c r="C48309" s="2"/>
    </row>
    <row r="48310" spans="3:3" x14ac:dyDescent="0.35">
      <c r="C48310" s="2"/>
    </row>
    <row r="48311" spans="3:3" x14ac:dyDescent="0.35">
      <c r="C48311" s="2"/>
    </row>
    <row r="48312" spans="3:3" x14ac:dyDescent="0.35">
      <c r="C48312" s="2"/>
    </row>
    <row r="48313" spans="3:3" x14ac:dyDescent="0.35">
      <c r="C48313" s="2"/>
    </row>
    <row r="48314" spans="3:3" x14ac:dyDescent="0.35">
      <c r="C48314" s="2"/>
    </row>
    <row r="48315" spans="3:3" x14ac:dyDescent="0.35">
      <c r="C48315" s="2"/>
    </row>
    <row r="48316" spans="3:3" x14ac:dyDescent="0.35">
      <c r="C48316" s="2"/>
    </row>
    <row r="48317" spans="3:3" x14ac:dyDescent="0.35">
      <c r="C48317" s="2"/>
    </row>
    <row r="48318" spans="3:3" x14ac:dyDescent="0.35">
      <c r="C48318" s="2"/>
    </row>
    <row r="48319" spans="3:3" x14ac:dyDescent="0.35">
      <c r="C48319" s="2"/>
    </row>
    <row r="48320" spans="3:3" x14ac:dyDescent="0.35">
      <c r="C48320" s="2"/>
    </row>
    <row r="48321" spans="3:3" x14ac:dyDescent="0.35">
      <c r="C48321" s="2"/>
    </row>
    <row r="48322" spans="3:3" x14ac:dyDescent="0.35">
      <c r="C48322" s="2"/>
    </row>
    <row r="48323" spans="3:3" x14ac:dyDescent="0.35">
      <c r="C48323" s="2"/>
    </row>
    <row r="48324" spans="3:3" x14ac:dyDescent="0.35">
      <c r="C48324" s="2"/>
    </row>
    <row r="48325" spans="3:3" x14ac:dyDescent="0.35">
      <c r="C48325" s="2"/>
    </row>
    <row r="48326" spans="3:3" x14ac:dyDescent="0.35">
      <c r="C48326" s="2"/>
    </row>
    <row r="48327" spans="3:3" x14ac:dyDescent="0.35">
      <c r="C48327" s="2"/>
    </row>
    <row r="48328" spans="3:3" x14ac:dyDescent="0.35">
      <c r="C48328" s="2"/>
    </row>
    <row r="48329" spans="3:3" x14ac:dyDescent="0.35">
      <c r="C48329" s="2"/>
    </row>
    <row r="48330" spans="3:3" x14ac:dyDescent="0.35">
      <c r="C48330" s="2"/>
    </row>
    <row r="48331" spans="3:3" x14ac:dyDescent="0.35">
      <c r="C48331" s="2"/>
    </row>
    <row r="48332" spans="3:3" x14ac:dyDescent="0.35">
      <c r="C48332" s="2"/>
    </row>
    <row r="48333" spans="3:3" x14ac:dyDescent="0.35">
      <c r="C48333" s="2"/>
    </row>
    <row r="48334" spans="3:3" x14ac:dyDescent="0.35">
      <c r="C48334" s="2"/>
    </row>
    <row r="48335" spans="3:3" x14ac:dyDescent="0.35">
      <c r="C48335" s="2"/>
    </row>
    <row r="48336" spans="3:3" x14ac:dyDescent="0.35">
      <c r="C48336" s="2"/>
    </row>
    <row r="48337" spans="3:3" x14ac:dyDescent="0.35">
      <c r="C48337" s="2"/>
    </row>
    <row r="48338" spans="3:3" x14ac:dyDescent="0.35">
      <c r="C48338" s="2"/>
    </row>
    <row r="48339" spans="3:3" x14ac:dyDescent="0.35">
      <c r="C48339" s="2"/>
    </row>
    <row r="48340" spans="3:3" x14ac:dyDescent="0.35">
      <c r="C48340" s="2"/>
    </row>
    <row r="48341" spans="3:3" x14ac:dyDescent="0.35">
      <c r="C48341" s="2"/>
    </row>
    <row r="48342" spans="3:3" x14ac:dyDescent="0.35">
      <c r="C48342" s="2"/>
    </row>
    <row r="48343" spans="3:3" x14ac:dyDescent="0.35">
      <c r="C48343" s="2"/>
    </row>
    <row r="48344" spans="3:3" x14ac:dyDescent="0.35">
      <c r="C48344" s="2"/>
    </row>
    <row r="48345" spans="3:3" x14ac:dyDescent="0.35">
      <c r="C48345" s="2"/>
    </row>
    <row r="48346" spans="3:3" x14ac:dyDescent="0.35">
      <c r="C48346" s="2"/>
    </row>
    <row r="48347" spans="3:3" x14ac:dyDescent="0.35">
      <c r="C48347" s="2"/>
    </row>
    <row r="48348" spans="3:3" x14ac:dyDescent="0.35">
      <c r="C48348" s="2"/>
    </row>
    <row r="48349" spans="3:3" x14ac:dyDescent="0.35">
      <c r="C48349" s="2"/>
    </row>
    <row r="48350" spans="3:3" x14ac:dyDescent="0.35">
      <c r="C48350" s="2"/>
    </row>
    <row r="48351" spans="3:3" x14ac:dyDescent="0.35">
      <c r="C48351" s="2"/>
    </row>
    <row r="48352" spans="3:3" x14ac:dyDescent="0.35">
      <c r="C48352" s="2"/>
    </row>
    <row r="48353" spans="3:3" x14ac:dyDescent="0.35">
      <c r="C48353" s="2"/>
    </row>
    <row r="48354" spans="3:3" x14ac:dyDescent="0.35">
      <c r="C48354" s="2"/>
    </row>
    <row r="48355" spans="3:3" x14ac:dyDescent="0.35">
      <c r="C48355" s="2"/>
    </row>
    <row r="48356" spans="3:3" x14ac:dyDescent="0.35">
      <c r="C48356" s="2"/>
    </row>
    <row r="48357" spans="3:3" x14ac:dyDescent="0.35">
      <c r="C48357" s="2"/>
    </row>
    <row r="48358" spans="3:3" x14ac:dyDescent="0.35">
      <c r="C48358" s="2"/>
    </row>
    <row r="48359" spans="3:3" x14ac:dyDescent="0.35">
      <c r="C48359" s="2"/>
    </row>
    <row r="48360" spans="3:3" x14ac:dyDescent="0.35">
      <c r="C48360" s="2"/>
    </row>
    <row r="48361" spans="3:3" x14ac:dyDescent="0.35">
      <c r="C48361" s="2"/>
    </row>
    <row r="48362" spans="3:3" x14ac:dyDescent="0.35">
      <c r="C48362" s="2"/>
    </row>
    <row r="48363" spans="3:3" x14ac:dyDescent="0.35">
      <c r="C48363" s="2"/>
    </row>
    <row r="48364" spans="3:3" x14ac:dyDescent="0.35">
      <c r="C48364" s="2"/>
    </row>
    <row r="48365" spans="3:3" x14ac:dyDescent="0.35">
      <c r="C48365" s="2"/>
    </row>
    <row r="48366" spans="3:3" x14ac:dyDescent="0.35">
      <c r="C48366" s="2"/>
    </row>
    <row r="48367" spans="3:3" x14ac:dyDescent="0.35">
      <c r="C48367" s="2"/>
    </row>
    <row r="48368" spans="3:3" x14ac:dyDescent="0.35">
      <c r="C48368" s="2"/>
    </row>
    <row r="48369" spans="3:3" x14ac:dyDescent="0.35">
      <c r="C48369" s="2"/>
    </row>
    <row r="48370" spans="3:3" x14ac:dyDescent="0.35">
      <c r="C48370" s="2"/>
    </row>
    <row r="48371" spans="3:3" x14ac:dyDescent="0.35">
      <c r="C48371" s="2"/>
    </row>
    <row r="48372" spans="3:3" x14ac:dyDescent="0.35">
      <c r="C48372" s="2"/>
    </row>
    <row r="48373" spans="3:3" x14ac:dyDescent="0.35">
      <c r="C48373" s="2"/>
    </row>
    <row r="48374" spans="3:3" x14ac:dyDescent="0.35">
      <c r="C48374" s="2"/>
    </row>
    <row r="48375" spans="3:3" x14ac:dyDescent="0.35">
      <c r="C48375" s="2"/>
    </row>
    <row r="48376" spans="3:3" x14ac:dyDescent="0.35">
      <c r="C48376" s="2"/>
    </row>
    <row r="48377" spans="3:3" x14ac:dyDescent="0.35">
      <c r="C48377" s="2"/>
    </row>
    <row r="48378" spans="3:3" x14ac:dyDescent="0.35">
      <c r="C48378" s="2"/>
    </row>
    <row r="48379" spans="3:3" x14ac:dyDescent="0.35">
      <c r="C48379" s="2"/>
    </row>
    <row r="48380" spans="3:3" x14ac:dyDescent="0.35">
      <c r="C48380" s="2"/>
    </row>
    <row r="48381" spans="3:3" x14ac:dyDescent="0.35">
      <c r="C48381" s="2"/>
    </row>
    <row r="48382" spans="3:3" x14ac:dyDescent="0.35">
      <c r="C48382" s="2"/>
    </row>
    <row r="48383" spans="3:3" x14ac:dyDescent="0.35">
      <c r="C48383" s="2"/>
    </row>
    <row r="48384" spans="3:3" x14ac:dyDescent="0.35">
      <c r="C48384" s="2"/>
    </row>
    <row r="48385" spans="3:3" x14ac:dyDescent="0.35">
      <c r="C48385" s="2"/>
    </row>
    <row r="48386" spans="3:3" x14ac:dyDescent="0.35">
      <c r="C48386" s="2"/>
    </row>
    <row r="48387" spans="3:3" x14ac:dyDescent="0.35">
      <c r="C48387" s="2"/>
    </row>
    <row r="48388" spans="3:3" x14ac:dyDescent="0.35">
      <c r="C48388" s="2"/>
    </row>
    <row r="48389" spans="3:3" x14ac:dyDescent="0.35">
      <c r="C48389" s="2"/>
    </row>
    <row r="48390" spans="3:3" x14ac:dyDescent="0.35">
      <c r="C48390" s="2"/>
    </row>
    <row r="48391" spans="3:3" x14ac:dyDescent="0.35">
      <c r="C48391" s="2"/>
    </row>
    <row r="48392" spans="3:3" x14ac:dyDescent="0.35">
      <c r="C48392" s="2"/>
    </row>
    <row r="48393" spans="3:3" x14ac:dyDescent="0.35">
      <c r="C48393" s="2"/>
    </row>
    <row r="48394" spans="3:3" x14ac:dyDescent="0.35">
      <c r="C48394" s="2"/>
    </row>
    <row r="48395" spans="3:3" x14ac:dyDescent="0.35">
      <c r="C48395" s="2"/>
    </row>
    <row r="48396" spans="3:3" x14ac:dyDescent="0.35">
      <c r="C48396" s="2"/>
    </row>
    <row r="48397" spans="3:3" x14ac:dyDescent="0.35">
      <c r="C48397" s="2"/>
    </row>
    <row r="48398" spans="3:3" x14ac:dyDescent="0.35">
      <c r="C48398" s="2"/>
    </row>
    <row r="48399" spans="3:3" x14ac:dyDescent="0.35">
      <c r="C48399" s="2"/>
    </row>
    <row r="48400" spans="3:3" x14ac:dyDescent="0.35">
      <c r="C48400" s="2"/>
    </row>
    <row r="48401" spans="3:3" x14ac:dyDescent="0.35">
      <c r="C48401" s="2"/>
    </row>
    <row r="48402" spans="3:3" x14ac:dyDescent="0.35">
      <c r="C48402" s="2"/>
    </row>
    <row r="48403" spans="3:3" x14ac:dyDescent="0.35">
      <c r="C48403" s="2"/>
    </row>
    <row r="48404" spans="3:3" x14ac:dyDescent="0.35">
      <c r="C48404" s="2"/>
    </row>
    <row r="48405" spans="3:3" x14ac:dyDescent="0.35">
      <c r="C48405" s="2"/>
    </row>
    <row r="48406" spans="3:3" x14ac:dyDescent="0.35">
      <c r="C48406" s="2"/>
    </row>
    <row r="48407" spans="3:3" x14ac:dyDescent="0.35">
      <c r="C48407" s="2"/>
    </row>
    <row r="48408" spans="3:3" x14ac:dyDescent="0.35">
      <c r="C48408" s="2"/>
    </row>
    <row r="48409" spans="3:3" x14ac:dyDescent="0.35">
      <c r="C48409" s="2"/>
    </row>
    <row r="48410" spans="3:3" x14ac:dyDescent="0.35">
      <c r="C48410" s="2"/>
    </row>
    <row r="48411" spans="3:3" x14ac:dyDescent="0.35">
      <c r="C48411" s="2"/>
    </row>
    <row r="48412" spans="3:3" x14ac:dyDescent="0.35">
      <c r="C48412" s="2"/>
    </row>
    <row r="48413" spans="3:3" x14ac:dyDescent="0.35">
      <c r="C48413" s="2"/>
    </row>
    <row r="48414" spans="3:3" x14ac:dyDescent="0.35">
      <c r="C48414" s="2"/>
    </row>
    <row r="48415" spans="3:3" x14ac:dyDescent="0.35">
      <c r="C48415" s="2"/>
    </row>
    <row r="48416" spans="3:3" x14ac:dyDescent="0.35">
      <c r="C48416" s="2"/>
    </row>
    <row r="48417" spans="3:3" x14ac:dyDescent="0.35">
      <c r="C48417" s="2"/>
    </row>
    <row r="48418" spans="3:3" x14ac:dyDescent="0.35">
      <c r="C48418" s="2"/>
    </row>
    <row r="48419" spans="3:3" x14ac:dyDescent="0.35">
      <c r="C48419" s="2"/>
    </row>
    <row r="48420" spans="3:3" x14ac:dyDescent="0.35">
      <c r="C48420" s="2"/>
    </row>
    <row r="48421" spans="3:3" x14ac:dyDescent="0.35">
      <c r="C48421" s="2"/>
    </row>
    <row r="48422" spans="3:3" x14ac:dyDescent="0.35">
      <c r="C48422" s="2"/>
    </row>
    <row r="48423" spans="3:3" x14ac:dyDescent="0.35">
      <c r="C48423" s="2"/>
    </row>
    <row r="48424" spans="3:3" x14ac:dyDescent="0.35">
      <c r="C48424" s="2"/>
    </row>
    <row r="48425" spans="3:3" x14ac:dyDescent="0.35">
      <c r="C48425" s="2"/>
    </row>
    <row r="48426" spans="3:3" x14ac:dyDescent="0.35">
      <c r="C48426" s="2"/>
    </row>
    <row r="48427" spans="3:3" x14ac:dyDescent="0.35">
      <c r="C48427" s="2"/>
    </row>
    <row r="48428" spans="3:3" x14ac:dyDescent="0.35">
      <c r="C48428" s="2"/>
    </row>
    <row r="48429" spans="3:3" x14ac:dyDescent="0.35">
      <c r="C48429" s="2"/>
    </row>
    <row r="48430" spans="3:3" x14ac:dyDescent="0.35">
      <c r="C48430" s="2"/>
    </row>
    <row r="48431" spans="3:3" x14ac:dyDescent="0.35">
      <c r="C48431" s="2"/>
    </row>
    <row r="48432" spans="3:3" x14ac:dyDescent="0.35">
      <c r="C48432" s="2"/>
    </row>
    <row r="48433" spans="3:3" x14ac:dyDescent="0.35">
      <c r="C48433" s="2"/>
    </row>
    <row r="48434" spans="3:3" x14ac:dyDescent="0.35">
      <c r="C48434" s="2"/>
    </row>
    <row r="48435" spans="3:3" x14ac:dyDescent="0.35">
      <c r="C48435" s="2"/>
    </row>
    <row r="48436" spans="3:3" x14ac:dyDescent="0.35">
      <c r="C48436" s="2"/>
    </row>
    <row r="48437" spans="3:3" x14ac:dyDescent="0.35">
      <c r="C48437" s="2"/>
    </row>
    <row r="48438" spans="3:3" x14ac:dyDescent="0.35">
      <c r="C48438" s="2"/>
    </row>
    <row r="48439" spans="3:3" x14ac:dyDescent="0.35">
      <c r="C48439" s="2"/>
    </row>
    <row r="48440" spans="3:3" x14ac:dyDescent="0.35">
      <c r="C48440" s="2"/>
    </row>
    <row r="48441" spans="3:3" x14ac:dyDescent="0.35">
      <c r="C48441" s="2"/>
    </row>
    <row r="48442" spans="3:3" x14ac:dyDescent="0.35">
      <c r="C48442" s="2"/>
    </row>
    <row r="48443" spans="3:3" x14ac:dyDescent="0.35">
      <c r="C48443" s="2"/>
    </row>
    <row r="48444" spans="3:3" x14ac:dyDescent="0.35">
      <c r="C48444" s="2"/>
    </row>
    <row r="48445" spans="3:3" x14ac:dyDescent="0.35">
      <c r="C48445" s="2"/>
    </row>
    <row r="48446" spans="3:3" x14ac:dyDescent="0.35">
      <c r="C48446" s="2"/>
    </row>
    <row r="48447" spans="3:3" x14ac:dyDescent="0.35">
      <c r="C48447" s="2"/>
    </row>
    <row r="48448" spans="3:3" x14ac:dyDescent="0.35">
      <c r="C48448" s="2"/>
    </row>
    <row r="48449" spans="3:3" x14ac:dyDescent="0.35">
      <c r="C48449" s="2"/>
    </row>
    <row r="48450" spans="3:3" x14ac:dyDescent="0.35">
      <c r="C48450" s="2"/>
    </row>
    <row r="48451" spans="3:3" x14ac:dyDescent="0.35">
      <c r="C48451" s="2"/>
    </row>
    <row r="48452" spans="3:3" x14ac:dyDescent="0.35">
      <c r="C48452" s="2"/>
    </row>
    <row r="48453" spans="3:3" x14ac:dyDescent="0.35">
      <c r="C48453" s="2"/>
    </row>
    <row r="48454" spans="3:3" x14ac:dyDescent="0.35">
      <c r="C48454" s="2"/>
    </row>
    <row r="48455" spans="3:3" x14ac:dyDescent="0.35">
      <c r="C48455" s="2"/>
    </row>
    <row r="48456" spans="3:3" x14ac:dyDescent="0.35">
      <c r="C48456" s="2"/>
    </row>
    <row r="48457" spans="3:3" x14ac:dyDescent="0.35">
      <c r="C48457" s="2"/>
    </row>
    <row r="48458" spans="3:3" x14ac:dyDescent="0.35">
      <c r="C48458" s="2"/>
    </row>
    <row r="48459" spans="3:3" x14ac:dyDescent="0.35">
      <c r="C48459" s="2"/>
    </row>
    <row r="48460" spans="3:3" x14ac:dyDescent="0.35">
      <c r="C48460" s="2"/>
    </row>
    <row r="48461" spans="3:3" x14ac:dyDescent="0.35">
      <c r="C48461" s="2"/>
    </row>
    <row r="48462" spans="3:3" x14ac:dyDescent="0.35">
      <c r="C48462" s="2"/>
    </row>
    <row r="48463" spans="3:3" x14ac:dyDescent="0.35">
      <c r="C48463" s="2"/>
    </row>
    <row r="48464" spans="3:3" x14ac:dyDescent="0.35">
      <c r="C48464" s="2"/>
    </row>
    <row r="48465" spans="3:3" x14ac:dyDescent="0.35">
      <c r="C48465" s="2"/>
    </row>
    <row r="48466" spans="3:3" x14ac:dyDescent="0.35">
      <c r="C48466" s="2"/>
    </row>
    <row r="48467" spans="3:3" x14ac:dyDescent="0.35">
      <c r="C48467" s="2"/>
    </row>
    <row r="48468" spans="3:3" x14ac:dyDescent="0.35">
      <c r="C48468" s="2"/>
    </row>
    <row r="48469" spans="3:3" x14ac:dyDescent="0.35">
      <c r="C48469" s="2"/>
    </row>
    <row r="48470" spans="3:3" x14ac:dyDescent="0.35">
      <c r="C48470" s="2"/>
    </row>
    <row r="48471" spans="3:3" x14ac:dyDescent="0.35">
      <c r="C48471" s="2"/>
    </row>
    <row r="48472" spans="3:3" x14ac:dyDescent="0.35">
      <c r="C48472" s="2"/>
    </row>
    <row r="48473" spans="3:3" x14ac:dyDescent="0.35">
      <c r="C48473" s="2"/>
    </row>
    <row r="48474" spans="3:3" x14ac:dyDescent="0.35">
      <c r="C48474" s="2"/>
    </row>
    <row r="48475" spans="3:3" x14ac:dyDescent="0.35">
      <c r="C48475" s="2"/>
    </row>
    <row r="48476" spans="3:3" x14ac:dyDescent="0.35">
      <c r="C48476" s="2"/>
    </row>
    <row r="48477" spans="3:3" x14ac:dyDescent="0.35">
      <c r="C48477" s="2"/>
    </row>
    <row r="48478" spans="3:3" x14ac:dyDescent="0.35">
      <c r="C48478" s="2"/>
    </row>
    <row r="48479" spans="3:3" x14ac:dyDescent="0.35">
      <c r="C48479" s="2"/>
    </row>
    <row r="48480" spans="3:3" x14ac:dyDescent="0.35">
      <c r="C48480" s="2"/>
    </row>
    <row r="48481" spans="3:3" x14ac:dyDescent="0.35">
      <c r="C48481" s="2"/>
    </row>
    <row r="48482" spans="3:3" x14ac:dyDescent="0.35">
      <c r="C48482" s="2"/>
    </row>
    <row r="48483" spans="3:3" x14ac:dyDescent="0.35">
      <c r="C48483" s="2"/>
    </row>
    <row r="48484" spans="3:3" x14ac:dyDescent="0.35">
      <c r="C48484" s="2"/>
    </row>
    <row r="48485" spans="3:3" x14ac:dyDescent="0.35">
      <c r="C48485" s="2"/>
    </row>
    <row r="48486" spans="3:3" x14ac:dyDescent="0.35">
      <c r="C48486" s="2"/>
    </row>
    <row r="48487" spans="3:3" x14ac:dyDescent="0.35">
      <c r="C48487" s="2"/>
    </row>
    <row r="48488" spans="3:3" x14ac:dyDescent="0.35">
      <c r="C48488" s="2"/>
    </row>
    <row r="48489" spans="3:3" x14ac:dyDescent="0.35">
      <c r="C48489" s="2"/>
    </row>
    <row r="48490" spans="3:3" x14ac:dyDescent="0.35">
      <c r="C48490" s="2"/>
    </row>
    <row r="48491" spans="3:3" x14ac:dyDescent="0.35">
      <c r="C48491" s="2"/>
    </row>
    <row r="48492" spans="3:3" x14ac:dyDescent="0.35">
      <c r="C48492" s="2"/>
    </row>
    <row r="48493" spans="3:3" x14ac:dyDescent="0.35">
      <c r="C48493" s="2"/>
    </row>
    <row r="48494" spans="3:3" x14ac:dyDescent="0.35">
      <c r="C48494" s="2"/>
    </row>
    <row r="48495" spans="3:3" x14ac:dyDescent="0.35">
      <c r="C48495" s="2"/>
    </row>
    <row r="48496" spans="3:3" x14ac:dyDescent="0.35">
      <c r="C48496" s="2"/>
    </row>
    <row r="48497" spans="3:3" x14ac:dyDescent="0.35">
      <c r="C48497" s="2"/>
    </row>
    <row r="48498" spans="3:3" x14ac:dyDescent="0.35">
      <c r="C48498" s="2"/>
    </row>
    <row r="48499" spans="3:3" x14ac:dyDescent="0.35">
      <c r="C48499" s="2"/>
    </row>
    <row r="48500" spans="3:3" x14ac:dyDescent="0.35">
      <c r="C48500" s="2"/>
    </row>
    <row r="48501" spans="3:3" x14ac:dyDescent="0.35">
      <c r="C48501" s="2"/>
    </row>
    <row r="48502" spans="3:3" x14ac:dyDescent="0.35">
      <c r="C48502" s="2"/>
    </row>
    <row r="48503" spans="3:3" x14ac:dyDescent="0.35">
      <c r="C48503" s="2"/>
    </row>
    <row r="48504" spans="3:3" x14ac:dyDescent="0.35">
      <c r="C48504" s="2"/>
    </row>
    <row r="48505" spans="3:3" x14ac:dyDescent="0.35">
      <c r="C48505" s="2"/>
    </row>
    <row r="48506" spans="3:3" x14ac:dyDescent="0.35">
      <c r="C48506" s="2"/>
    </row>
    <row r="48507" spans="3:3" x14ac:dyDescent="0.35">
      <c r="C48507" s="2"/>
    </row>
    <row r="48508" spans="3:3" x14ac:dyDescent="0.35">
      <c r="C48508" s="2"/>
    </row>
    <row r="48509" spans="3:3" x14ac:dyDescent="0.35">
      <c r="C48509" s="2"/>
    </row>
    <row r="48510" spans="3:3" x14ac:dyDescent="0.35">
      <c r="C48510" s="2"/>
    </row>
    <row r="48511" spans="3:3" x14ac:dyDescent="0.35">
      <c r="C48511" s="2"/>
    </row>
    <row r="48512" spans="3:3" x14ac:dyDescent="0.35">
      <c r="C48512" s="2"/>
    </row>
    <row r="48513" spans="3:3" x14ac:dyDescent="0.35">
      <c r="C48513" s="2"/>
    </row>
    <row r="48514" spans="3:3" x14ac:dyDescent="0.35">
      <c r="C48514" s="2"/>
    </row>
    <row r="48515" spans="3:3" x14ac:dyDescent="0.35">
      <c r="C48515" s="2"/>
    </row>
    <row r="48516" spans="3:3" x14ac:dyDescent="0.35">
      <c r="C48516" s="2"/>
    </row>
    <row r="48517" spans="3:3" x14ac:dyDescent="0.35">
      <c r="C48517" s="2"/>
    </row>
    <row r="48518" spans="3:3" x14ac:dyDescent="0.35">
      <c r="C48518" s="2"/>
    </row>
    <row r="48519" spans="3:3" x14ac:dyDescent="0.35">
      <c r="C48519" s="2"/>
    </row>
    <row r="48520" spans="3:3" x14ac:dyDescent="0.35">
      <c r="C48520" s="2"/>
    </row>
    <row r="48521" spans="3:3" x14ac:dyDescent="0.35">
      <c r="C48521" s="2"/>
    </row>
    <row r="48522" spans="3:3" x14ac:dyDescent="0.35">
      <c r="C48522" s="2"/>
    </row>
    <row r="48523" spans="3:3" x14ac:dyDescent="0.35">
      <c r="C48523" s="2"/>
    </row>
    <row r="48524" spans="3:3" x14ac:dyDescent="0.35">
      <c r="C48524" s="2"/>
    </row>
    <row r="48525" spans="3:3" x14ac:dyDescent="0.35">
      <c r="C48525" s="2"/>
    </row>
    <row r="48526" spans="3:3" x14ac:dyDescent="0.35">
      <c r="C48526" s="2"/>
    </row>
    <row r="48527" spans="3:3" x14ac:dyDescent="0.35">
      <c r="C48527" s="2"/>
    </row>
    <row r="48528" spans="3:3" x14ac:dyDescent="0.35">
      <c r="C48528" s="2"/>
    </row>
    <row r="48529" spans="3:3" x14ac:dyDescent="0.35">
      <c r="C48529" s="2"/>
    </row>
    <row r="48530" spans="3:3" x14ac:dyDescent="0.35">
      <c r="C48530" s="2"/>
    </row>
    <row r="48531" spans="3:3" x14ac:dyDescent="0.35">
      <c r="C48531" s="2"/>
    </row>
    <row r="48532" spans="3:3" x14ac:dyDescent="0.35">
      <c r="C48532" s="2"/>
    </row>
    <row r="48533" spans="3:3" x14ac:dyDescent="0.35">
      <c r="C48533" s="2"/>
    </row>
    <row r="48534" spans="3:3" x14ac:dyDescent="0.35">
      <c r="C48534" s="2"/>
    </row>
    <row r="48535" spans="3:3" x14ac:dyDescent="0.35">
      <c r="C48535" s="2"/>
    </row>
    <row r="48536" spans="3:3" x14ac:dyDescent="0.35">
      <c r="C48536" s="2"/>
    </row>
    <row r="48537" spans="3:3" x14ac:dyDescent="0.35">
      <c r="C48537" s="2"/>
    </row>
    <row r="48538" spans="3:3" x14ac:dyDescent="0.35">
      <c r="C48538" s="2"/>
    </row>
    <row r="48539" spans="3:3" x14ac:dyDescent="0.35">
      <c r="C48539" s="2"/>
    </row>
    <row r="48540" spans="3:3" x14ac:dyDescent="0.35">
      <c r="C48540" s="2"/>
    </row>
    <row r="48541" spans="3:3" x14ac:dyDescent="0.35">
      <c r="C48541" s="2"/>
    </row>
    <row r="48542" spans="3:3" x14ac:dyDescent="0.35">
      <c r="C48542" s="2"/>
    </row>
    <row r="48543" spans="3:3" x14ac:dyDescent="0.35">
      <c r="C48543" s="2"/>
    </row>
    <row r="48544" spans="3:3" x14ac:dyDescent="0.35">
      <c r="C48544" s="2"/>
    </row>
    <row r="48545" spans="3:3" x14ac:dyDescent="0.35">
      <c r="C48545" s="2"/>
    </row>
    <row r="48546" spans="3:3" x14ac:dyDescent="0.35">
      <c r="C48546" s="2"/>
    </row>
    <row r="48547" spans="3:3" x14ac:dyDescent="0.35">
      <c r="C48547" s="2"/>
    </row>
    <row r="48548" spans="3:3" x14ac:dyDescent="0.35">
      <c r="C48548" s="2"/>
    </row>
    <row r="48549" spans="3:3" x14ac:dyDescent="0.35">
      <c r="C48549" s="2"/>
    </row>
    <row r="48550" spans="3:3" x14ac:dyDescent="0.35">
      <c r="C48550" s="2"/>
    </row>
    <row r="48551" spans="3:3" x14ac:dyDescent="0.35">
      <c r="C48551" s="2"/>
    </row>
    <row r="48552" spans="3:3" x14ac:dyDescent="0.35">
      <c r="C48552" s="2"/>
    </row>
    <row r="48553" spans="3:3" x14ac:dyDescent="0.35">
      <c r="C48553" s="2"/>
    </row>
    <row r="48554" spans="3:3" x14ac:dyDescent="0.35">
      <c r="C48554" s="2"/>
    </row>
    <row r="48555" spans="3:3" x14ac:dyDescent="0.35">
      <c r="C48555" s="2"/>
    </row>
    <row r="48556" spans="3:3" x14ac:dyDescent="0.35">
      <c r="C48556" s="2"/>
    </row>
    <row r="48557" spans="3:3" x14ac:dyDescent="0.35">
      <c r="C48557" s="2"/>
    </row>
    <row r="48558" spans="3:3" x14ac:dyDescent="0.35">
      <c r="C48558" s="2"/>
    </row>
    <row r="48559" spans="3:3" x14ac:dyDescent="0.35">
      <c r="C48559" s="2"/>
    </row>
    <row r="48560" spans="3:3" x14ac:dyDescent="0.35">
      <c r="C48560" s="2"/>
    </row>
    <row r="48561" spans="3:3" x14ac:dyDescent="0.35">
      <c r="C48561" s="2"/>
    </row>
    <row r="48562" spans="3:3" x14ac:dyDescent="0.35">
      <c r="C48562" s="2"/>
    </row>
    <row r="48563" spans="3:3" x14ac:dyDescent="0.35">
      <c r="C48563" s="2"/>
    </row>
    <row r="48564" spans="3:3" x14ac:dyDescent="0.35">
      <c r="C48564" s="2"/>
    </row>
    <row r="48565" spans="3:3" x14ac:dyDescent="0.35">
      <c r="C48565" s="2"/>
    </row>
    <row r="48566" spans="3:3" x14ac:dyDescent="0.35">
      <c r="C48566" s="2"/>
    </row>
    <row r="48567" spans="3:3" x14ac:dyDescent="0.35">
      <c r="C48567" s="2"/>
    </row>
    <row r="48568" spans="3:3" x14ac:dyDescent="0.35">
      <c r="C48568" s="2"/>
    </row>
    <row r="48569" spans="3:3" x14ac:dyDescent="0.35">
      <c r="C48569" s="2"/>
    </row>
    <row r="48570" spans="3:3" x14ac:dyDescent="0.35">
      <c r="C48570" s="2"/>
    </row>
    <row r="48571" spans="3:3" x14ac:dyDescent="0.35">
      <c r="C48571" s="2"/>
    </row>
    <row r="48572" spans="3:3" x14ac:dyDescent="0.35">
      <c r="C48572" s="2"/>
    </row>
    <row r="48573" spans="3:3" x14ac:dyDescent="0.35">
      <c r="C48573" s="2"/>
    </row>
    <row r="48574" spans="3:3" x14ac:dyDescent="0.35">
      <c r="C48574" s="2"/>
    </row>
    <row r="48575" spans="3:3" x14ac:dyDescent="0.35">
      <c r="C48575" s="2"/>
    </row>
    <row r="48576" spans="3:3" x14ac:dyDescent="0.35">
      <c r="C48576" s="2"/>
    </row>
    <row r="48577" spans="3:3" x14ac:dyDescent="0.35">
      <c r="C48577" s="2"/>
    </row>
    <row r="48578" spans="3:3" x14ac:dyDescent="0.35">
      <c r="C48578" s="2"/>
    </row>
    <row r="48579" spans="3:3" x14ac:dyDescent="0.35">
      <c r="C48579" s="2"/>
    </row>
    <row r="48580" spans="3:3" x14ac:dyDescent="0.35">
      <c r="C48580" s="2"/>
    </row>
    <row r="48581" spans="3:3" x14ac:dyDescent="0.35">
      <c r="C48581" s="2"/>
    </row>
    <row r="48582" spans="3:3" x14ac:dyDescent="0.35">
      <c r="C48582" s="2"/>
    </row>
    <row r="48583" spans="3:3" x14ac:dyDescent="0.35">
      <c r="C48583" s="2"/>
    </row>
    <row r="48584" spans="3:3" x14ac:dyDescent="0.35">
      <c r="C48584" s="2"/>
    </row>
    <row r="48585" spans="3:3" x14ac:dyDescent="0.35">
      <c r="C48585" s="2"/>
    </row>
    <row r="48586" spans="3:3" x14ac:dyDescent="0.35">
      <c r="C48586" s="2"/>
    </row>
    <row r="48587" spans="3:3" x14ac:dyDescent="0.35">
      <c r="C48587" s="2"/>
    </row>
    <row r="48588" spans="3:3" x14ac:dyDescent="0.35">
      <c r="C48588" s="2"/>
    </row>
    <row r="48589" spans="3:3" x14ac:dyDescent="0.35">
      <c r="C48589" s="2"/>
    </row>
    <row r="48590" spans="3:3" x14ac:dyDescent="0.35">
      <c r="C48590" s="2"/>
    </row>
    <row r="48591" spans="3:3" x14ac:dyDescent="0.35">
      <c r="C48591" s="2"/>
    </row>
    <row r="48592" spans="3:3" x14ac:dyDescent="0.35">
      <c r="C48592" s="2"/>
    </row>
    <row r="48593" spans="3:3" x14ac:dyDescent="0.35">
      <c r="C48593" s="2"/>
    </row>
    <row r="48594" spans="3:3" x14ac:dyDescent="0.35">
      <c r="C48594" s="2"/>
    </row>
    <row r="48595" spans="3:3" x14ac:dyDescent="0.35">
      <c r="C48595" s="2"/>
    </row>
    <row r="48596" spans="3:3" x14ac:dyDescent="0.35">
      <c r="C48596" s="2"/>
    </row>
    <row r="48597" spans="3:3" x14ac:dyDescent="0.35">
      <c r="C48597" s="2"/>
    </row>
    <row r="48598" spans="3:3" x14ac:dyDescent="0.35">
      <c r="C48598" s="2"/>
    </row>
    <row r="48599" spans="3:3" x14ac:dyDescent="0.35">
      <c r="C48599" s="2"/>
    </row>
    <row r="48600" spans="3:3" x14ac:dyDescent="0.35">
      <c r="C48600" s="2"/>
    </row>
    <row r="48601" spans="3:3" x14ac:dyDescent="0.35">
      <c r="C48601" s="2"/>
    </row>
    <row r="48602" spans="3:3" x14ac:dyDescent="0.35">
      <c r="C48602" s="2"/>
    </row>
    <row r="48603" spans="3:3" x14ac:dyDescent="0.35">
      <c r="C48603" s="2"/>
    </row>
    <row r="48604" spans="3:3" x14ac:dyDescent="0.35">
      <c r="C48604" s="2"/>
    </row>
    <row r="48605" spans="3:3" x14ac:dyDescent="0.35">
      <c r="C48605" s="2"/>
    </row>
    <row r="48606" spans="3:3" x14ac:dyDescent="0.35">
      <c r="C48606" s="2"/>
    </row>
    <row r="48607" spans="3:3" x14ac:dyDescent="0.35">
      <c r="C48607" s="2"/>
    </row>
    <row r="48608" spans="3:3" x14ac:dyDescent="0.35">
      <c r="C48608" s="2"/>
    </row>
    <row r="48609" spans="3:3" x14ac:dyDescent="0.35">
      <c r="C48609" s="2"/>
    </row>
    <row r="48610" spans="3:3" x14ac:dyDescent="0.35">
      <c r="C48610" s="2"/>
    </row>
    <row r="48611" spans="3:3" x14ac:dyDescent="0.35">
      <c r="C48611" s="2"/>
    </row>
    <row r="48612" spans="3:3" x14ac:dyDescent="0.35">
      <c r="C48612" s="2"/>
    </row>
    <row r="48613" spans="3:3" x14ac:dyDescent="0.35">
      <c r="C48613" s="2"/>
    </row>
    <row r="48614" spans="3:3" x14ac:dyDescent="0.35">
      <c r="C48614" s="2"/>
    </row>
    <row r="48615" spans="3:3" x14ac:dyDescent="0.35">
      <c r="C48615" s="2"/>
    </row>
    <row r="48616" spans="3:3" x14ac:dyDescent="0.35">
      <c r="C48616" s="2"/>
    </row>
    <row r="48617" spans="3:3" x14ac:dyDescent="0.35">
      <c r="C48617" s="2"/>
    </row>
    <row r="48618" spans="3:3" x14ac:dyDescent="0.35">
      <c r="C48618" s="2"/>
    </row>
    <row r="48619" spans="3:3" x14ac:dyDescent="0.35">
      <c r="C48619" s="2"/>
    </row>
    <row r="48620" spans="3:3" x14ac:dyDescent="0.35">
      <c r="C48620" s="2"/>
    </row>
    <row r="48621" spans="3:3" x14ac:dyDescent="0.35">
      <c r="C48621" s="2"/>
    </row>
    <row r="48622" spans="3:3" x14ac:dyDescent="0.35">
      <c r="C48622" s="2"/>
    </row>
    <row r="48623" spans="3:3" x14ac:dyDescent="0.35">
      <c r="C48623" s="2"/>
    </row>
    <row r="48624" spans="3:3" x14ac:dyDescent="0.35">
      <c r="C48624" s="2"/>
    </row>
    <row r="48625" spans="3:3" x14ac:dyDescent="0.35">
      <c r="C48625" s="2"/>
    </row>
    <row r="48626" spans="3:3" x14ac:dyDescent="0.35">
      <c r="C48626" s="2"/>
    </row>
    <row r="48627" spans="3:3" x14ac:dyDescent="0.35">
      <c r="C48627" s="2"/>
    </row>
    <row r="48628" spans="3:3" x14ac:dyDescent="0.35">
      <c r="C48628" s="2"/>
    </row>
    <row r="48629" spans="3:3" x14ac:dyDescent="0.35">
      <c r="C48629" s="2"/>
    </row>
    <row r="48630" spans="3:3" x14ac:dyDescent="0.35">
      <c r="C48630" s="2"/>
    </row>
    <row r="48631" spans="3:3" x14ac:dyDescent="0.35">
      <c r="C48631" s="2"/>
    </row>
    <row r="48632" spans="3:3" x14ac:dyDescent="0.35">
      <c r="C48632" s="2"/>
    </row>
    <row r="48633" spans="3:3" x14ac:dyDescent="0.35">
      <c r="C48633" s="2"/>
    </row>
    <row r="48634" spans="3:3" x14ac:dyDescent="0.35">
      <c r="C48634" s="2"/>
    </row>
    <row r="48635" spans="3:3" x14ac:dyDescent="0.35">
      <c r="C48635" s="2"/>
    </row>
    <row r="48636" spans="3:3" x14ac:dyDescent="0.35">
      <c r="C48636" s="2"/>
    </row>
    <row r="48637" spans="3:3" x14ac:dyDescent="0.35">
      <c r="C48637" s="2"/>
    </row>
    <row r="48638" spans="3:3" x14ac:dyDescent="0.35">
      <c r="C48638" s="2"/>
    </row>
    <row r="48639" spans="3:3" x14ac:dyDescent="0.35">
      <c r="C48639" s="2"/>
    </row>
    <row r="48640" spans="3:3" x14ac:dyDescent="0.35">
      <c r="C48640" s="2"/>
    </row>
    <row r="48641" spans="3:3" x14ac:dyDescent="0.35">
      <c r="C48641" s="2"/>
    </row>
    <row r="48642" spans="3:3" x14ac:dyDescent="0.35">
      <c r="C48642" s="2"/>
    </row>
    <row r="48643" spans="3:3" x14ac:dyDescent="0.35">
      <c r="C48643" s="2"/>
    </row>
    <row r="48644" spans="3:3" x14ac:dyDescent="0.35">
      <c r="C48644" s="2"/>
    </row>
    <row r="48645" spans="3:3" x14ac:dyDescent="0.35">
      <c r="C48645" s="2"/>
    </row>
    <row r="48646" spans="3:3" x14ac:dyDescent="0.35">
      <c r="C48646" s="2"/>
    </row>
    <row r="48647" spans="3:3" x14ac:dyDescent="0.35">
      <c r="C48647" s="2"/>
    </row>
    <row r="48648" spans="3:3" x14ac:dyDescent="0.35">
      <c r="C48648" s="2"/>
    </row>
    <row r="48649" spans="3:3" x14ac:dyDescent="0.35">
      <c r="C48649" s="2"/>
    </row>
    <row r="48650" spans="3:3" x14ac:dyDescent="0.35">
      <c r="C48650" s="2"/>
    </row>
    <row r="48651" spans="3:3" x14ac:dyDescent="0.35">
      <c r="C48651" s="2"/>
    </row>
    <row r="48652" spans="3:3" x14ac:dyDescent="0.35">
      <c r="C48652" s="2"/>
    </row>
    <row r="48653" spans="3:3" x14ac:dyDescent="0.35">
      <c r="C48653" s="2"/>
    </row>
    <row r="48654" spans="3:3" x14ac:dyDescent="0.35">
      <c r="C48654" s="2"/>
    </row>
    <row r="48655" spans="3:3" x14ac:dyDescent="0.35">
      <c r="C48655" s="2"/>
    </row>
    <row r="48656" spans="3:3" x14ac:dyDescent="0.35">
      <c r="C48656" s="2"/>
    </row>
    <row r="48657" spans="3:3" x14ac:dyDescent="0.35">
      <c r="C48657" s="2"/>
    </row>
    <row r="48658" spans="3:3" x14ac:dyDescent="0.35">
      <c r="C48658" s="2"/>
    </row>
    <row r="48659" spans="3:3" x14ac:dyDescent="0.35">
      <c r="C48659" s="2"/>
    </row>
    <row r="48660" spans="3:3" x14ac:dyDescent="0.35">
      <c r="C48660" s="2"/>
    </row>
    <row r="48661" spans="3:3" x14ac:dyDescent="0.35">
      <c r="C48661" s="2"/>
    </row>
    <row r="48662" spans="3:3" x14ac:dyDescent="0.35">
      <c r="C48662" s="2"/>
    </row>
    <row r="48663" spans="3:3" x14ac:dyDescent="0.35">
      <c r="C48663" s="2"/>
    </row>
    <row r="48664" spans="3:3" x14ac:dyDescent="0.35">
      <c r="C48664" s="2"/>
    </row>
    <row r="48665" spans="3:3" x14ac:dyDescent="0.35">
      <c r="C48665" s="2"/>
    </row>
    <row r="48666" spans="3:3" x14ac:dyDescent="0.35">
      <c r="C48666" s="2"/>
    </row>
    <row r="48667" spans="3:3" x14ac:dyDescent="0.35">
      <c r="C48667" s="2"/>
    </row>
    <row r="48668" spans="3:3" x14ac:dyDescent="0.35">
      <c r="C48668" s="2"/>
    </row>
    <row r="48669" spans="3:3" x14ac:dyDescent="0.35">
      <c r="C48669" s="2"/>
    </row>
    <row r="48670" spans="3:3" x14ac:dyDescent="0.35">
      <c r="C48670" s="2"/>
    </row>
    <row r="48671" spans="3:3" x14ac:dyDescent="0.35">
      <c r="C48671" s="2"/>
    </row>
    <row r="48672" spans="3:3" x14ac:dyDescent="0.35">
      <c r="C48672" s="2"/>
    </row>
    <row r="48673" spans="3:3" x14ac:dyDescent="0.35">
      <c r="C48673" s="2"/>
    </row>
    <row r="48674" spans="3:3" x14ac:dyDescent="0.35">
      <c r="C48674" s="2"/>
    </row>
    <row r="48675" spans="3:3" x14ac:dyDescent="0.35">
      <c r="C48675" s="2"/>
    </row>
    <row r="48676" spans="3:3" x14ac:dyDescent="0.35">
      <c r="C48676" s="2"/>
    </row>
    <row r="48677" spans="3:3" x14ac:dyDescent="0.35">
      <c r="C48677" s="2"/>
    </row>
    <row r="48678" spans="3:3" x14ac:dyDescent="0.35">
      <c r="C48678" s="2"/>
    </row>
    <row r="48679" spans="3:3" x14ac:dyDescent="0.35">
      <c r="C48679" s="2"/>
    </row>
    <row r="48680" spans="3:3" x14ac:dyDescent="0.35">
      <c r="C48680" s="2"/>
    </row>
    <row r="48681" spans="3:3" x14ac:dyDescent="0.35">
      <c r="C48681" s="2"/>
    </row>
    <row r="48682" spans="3:3" x14ac:dyDescent="0.35">
      <c r="C48682" s="2"/>
    </row>
    <row r="48683" spans="3:3" x14ac:dyDescent="0.35">
      <c r="C48683" s="2"/>
    </row>
    <row r="48684" spans="3:3" x14ac:dyDescent="0.35">
      <c r="C48684" s="2"/>
    </row>
    <row r="48685" spans="3:3" x14ac:dyDescent="0.35">
      <c r="C48685" s="2"/>
    </row>
    <row r="48686" spans="3:3" x14ac:dyDescent="0.35">
      <c r="C48686" s="2"/>
    </row>
    <row r="48687" spans="3:3" x14ac:dyDescent="0.35">
      <c r="C48687" s="2"/>
    </row>
    <row r="48688" spans="3:3" x14ac:dyDescent="0.35">
      <c r="C48688" s="2"/>
    </row>
    <row r="48689" spans="3:3" x14ac:dyDescent="0.35">
      <c r="C48689" s="2"/>
    </row>
    <row r="48690" spans="3:3" x14ac:dyDescent="0.35">
      <c r="C48690" s="2"/>
    </row>
    <row r="48691" spans="3:3" x14ac:dyDescent="0.35">
      <c r="C48691" s="2"/>
    </row>
    <row r="48692" spans="3:3" x14ac:dyDescent="0.35">
      <c r="C48692" s="2"/>
    </row>
    <row r="48693" spans="3:3" x14ac:dyDescent="0.35">
      <c r="C48693" s="2"/>
    </row>
    <row r="48694" spans="3:3" x14ac:dyDescent="0.35">
      <c r="C48694" s="2"/>
    </row>
    <row r="48695" spans="3:3" x14ac:dyDescent="0.35">
      <c r="C48695" s="2"/>
    </row>
    <row r="48696" spans="3:3" x14ac:dyDescent="0.35">
      <c r="C48696" s="2"/>
    </row>
    <row r="48697" spans="3:3" x14ac:dyDescent="0.35">
      <c r="C48697" s="2"/>
    </row>
    <row r="48698" spans="3:3" x14ac:dyDescent="0.35">
      <c r="C48698" s="2"/>
    </row>
    <row r="48699" spans="3:3" x14ac:dyDescent="0.35">
      <c r="C48699" s="2"/>
    </row>
    <row r="48700" spans="3:3" x14ac:dyDescent="0.35">
      <c r="C48700" s="2"/>
    </row>
    <row r="48701" spans="3:3" x14ac:dyDescent="0.35">
      <c r="C48701" s="2"/>
    </row>
    <row r="48702" spans="3:3" x14ac:dyDescent="0.35">
      <c r="C48702" s="2"/>
    </row>
    <row r="48703" spans="3:3" x14ac:dyDescent="0.35">
      <c r="C48703" s="2"/>
    </row>
    <row r="48704" spans="3:3" x14ac:dyDescent="0.35">
      <c r="C48704" s="2"/>
    </row>
    <row r="48705" spans="3:3" x14ac:dyDescent="0.35">
      <c r="C48705" s="2"/>
    </row>
    <row r="48706" spans="3:3" x14ac:dyDescent="0.35">
      <c r="C48706" s="2"/>
    </row>
    <row r="48707" spans="3:3" x14ac:dyDescent="0.35">
      <c r="C48707" s="2"/>
    </row>
    <row r="48708" spans="3:3" x14ac:dyDescent="0.35">
      <c r="C48708" s="2"/>
    </row>
    <row r="48709" spans="3:3" x14ac:dyDescent="0.35">
      <c r="C48709" s="2"/>
    </row>
    <row r="48710" spans="3:3" x14ac:dyDescent="0.35">
      <c r="C48710" s="2"/>
    </row>
    <row r="48711" spans="3:3" x14ac:dyDescent="0.35">
      <c r="C48711" s="2"/>
    </row>
    <row r="48712" spans="3:3" x14ac:dyDescent="0.35">
      <c r="C48712" s="2"/>
    </row>
    <row r="48713" spans="3:3" x14ac:dyDescent="0.35">
      <c r="C48713" s="2"/>
    </row>
    <row r="48714" spans="3:3" x14ac:dyDescent="0.35">
      <c r="C48714" s="2"/>
    </row>
    <row r="48715" spans="3:3" x14ac:dyDescent="0.35">
      <c r="C48715" s="2"/>
    </row>
    <row r="48716" spans="3:3" x14ac:dyDescent="0.35">
      <c r="C48716" s="2"/>
    </row>
    <row r="48717" spans="3:3" x14ac:dyDescent="0.35">
      <c r="C48717" s="2"/>
    </row>
    <row r="48718" spans="3:3" x14ac:dyDescent="0.35">
      <c r="C48718" s="2"/>
    </row>
    <row r="48719" spans="3:3" x14ac:dyDescent="0.35">
      <c r="C48719" s="2"/>
    </row>
    <row r="48720" spans="3:3" x14ac:dyDescent="0.35">
      <c r="C48720" s="2"/>
    </row>
    <row r="48721" spans="3:3" x14ac:dyDescent="0.35">
      <c r="C48721" s="2"/>
    </row>
    <row r="48722" spans="3:3" x14ac:dyDescent="0.35">
      <c r="C48722" s="2"/>
    </row>
    <row r="48723" spans="3:3" x14ac:dyDescent="0.35">
      <c r="C48723" s="2"/>
    </row>
    <row r="48724" spans="3:3" x14ac:dyDescent="0.35">
      <c r="C48724" s="2"/>
    </row>
    <row r="48725" spans="3:3" x14ac:dyDescent="0.35">
      <c r="C48725" s="2"/>
    </row>
    <row r="48726" spans="3:3" x14ac:dyDescent="0.35">
      <c r="C48726" s="2"/>
    </row>
    <row r="48727" spans="3:3" x14ac:dyDescent="0.35">
      <c r="C48727" s="2"/>
    </row>
    <row r="48728" spans="3:3" x14ac:dyDescent="0.35">
      <c r="C48728" s="2"/>
    </row>
    <row r="48729" spans="3:3" x14ac:dyDescent="0.35">
      <c r="C48729" s="2"/>
    </row>
    <row r="48730" spans="3:3" x14ac:dyDescent="0.35">
      <c r="C48730" s="2"/>
    </row>
    <row r="48731" spans="3:3" x14ac:dyDescent="0.35">
      <c r="C48731" s="2"/>
    </row>
    <row r="48732" spans="3:3" x14ac:dyDescent="0.35">
      <c r="C48732" s="2"/>
    </row>
    <row r="48733" spans="3:3" x14ac:dyDescent="0.35">
      <c r="C48733" s="2"/>
    </row>
    <row r="48734" spans="3:3" x14ac:dyDescent="0.35">
      <c r="C48734" s="2"/>
    </row>
    <row r="48735" spans="3:3" x14ac:dyDescent="0.35">
      <c r="C48735" s="2"/>
    </row>
    <row r="48736" spans="3:3" x14ac:dyDescent="0.35">
      <c r="C48736" s="2"/>
    </row>
    <row r="48737" spans="3:3" x14ac:dyDescent="0.35">
      <c r="C48737" s="2"/>
    </row>
    <row r="48738" spans="3:3" x14ac:dyDescent="0.35">
      <c r="C48738" s="2"/>
    </row>
    <row r="48739" spans="3:3" x14ac:dyDescent="0.35">
      <c r="C48739" s="2"/>
    </row>
    <row r="48740" spans="3:3" x14ac:dyDescent="0.35">
      <c r="C48740" s="2"/>
    </row>
    <row r="48741" spans="3:3" x14ac:dyDescent="0.35">
      <c r="C48741" s="2"/>
    </row>
    <row r="48742" spans="3:3" x14ac:dyDescent="0.35">
      <c r="C48742" s="2"/>
    </row>
    <row r="48743" spans="3:3" x14ac:dyDescent="0.35">
      <c r="C48743" s="2"/>
    </row>
    <row r="48744" spans="3:3" x14ac:dyDescent="0.35">
      <c r="C48744" s="2"/>
    </row>
    <row r="48745" spans="3:3" x14ac:dyDescent="0.35">
      <c r="C48745" s="2"/>
    </row>
    <row r="48746" spans="3:3" x14ac:dyDescent="0.35">
      <c r="C48746" s="2"/>
    </row>
    <row r="48747" spans="3:3" x14ac:dyDescent="0.35">
      <c r="C48747" s="2"/>
    </row>
    <row r="48748" spans="3:3" x14ac:dyDescent="0.35">
      <c r="C48748" s="2"/>
    </row>
    <row r="48749" spans="3:3" x14ac:dyDescent="0.35">
      <c r="C48749" s="2"/>
    </row>
    <row r="48750" spans="3:3" x14ac:dyDescent="0.35">
      <c r="C48750" s="2"/>
    </row>
    <row r="48751" spans="3:3" x14ac:dyDescent="0.35">
      <c r="C48751" s="2"/>
    </row>
    <row r="48752" spans="3:3" x14ac:dyDescent="0.35">
      <c r="C48752" s="2"/>
    </row>
    <row r="48753" spans="3:3" x14ac:dyDescent="0.35">
      <c r="C48753" s="2"/>
    </row>
    <row r="48754" spans="3:3" x14ac:dyDescent="0.35">
      <c r="C48754" s="2"/>
    </row>
    <row r="48755" spans="3:3" x14ac:dyDescent="0.35">
      <c r="C48755" s="2"/>
    </row>
    <row r="48756" spans="3:3" x14ac:dyDescent="0.35">
      <c r="C48756" s="2"/>
    </row>
    <row r="48757" spans="3:3" x14ac:dyDescent="0.35">
      <c r="C48757" s="2"/>
    </row>
    <row r="48758" spans="3:3" x14ac:dyDescent="0.35">
      <c r="C48758" s="2"/>
    </row>
    <row r="48759" spans="3:3" x14ac:dyDescent="0.35">
      <c r="C48759" s="2"/>
    </row>
    <row r="48760" spans="3:3" x14ac:dyDescent="0.35">
      <c r="C48760" s="2"/>
    </row>
    <row r="48761" spans="3:3" x14ac:dyDescent="0.35">
      <c r="C48761" s="2"/>
    </row>
    <row r="48762" spans="3:3" x14ac:dyDescent="0.35">
      <c r="C48762" s="2"/>
    </row>
    <row r="48763" spans="3:3" x14ac:dyDescent="0.35">
      <c r="C48763" s="2"/>
    </row>
    <row r="48764" spans="3:3" x14ac:dyDescent="0.35">
      <c r="C48764" s="2"/>
    </row>
    <row r="48765" spans="3:3" x14ac:dyDescent="0.35">
      <c r="C48765" s="2"/>
    </row>
    <row r="48766" spans="3:3" x14ac:dyDescent="0.35">
      <c r="C48766" s="2"/>
    </row>
    <row r="48767" spans="3:3" x14ac:dyDescent="0.35">
      <c r="C48767" s="2"/>
    </row>
    <row r="48768" spans="3:3" x14ac:dyDescent="0.35">
      <c r="C48768" s="2"/>
    </row>
    <row r="48769" spans="3:3" x14ac:dyDescent="0.35">
      <c r="C48769" s="2"/>
    </row>
    <row r="48770" spans="3:3" x14ac:dyDescent="0.35">
      <c r="C48770" s="2"/>
    </row>
    <row r="48771" spans="3:3" x14ac:dyDescent="0.35">
      <c r="C48771" s="2"/>
    </row>
    <row r="48772" spans="3:3" x14ac:dyDescent="0.35">
      <c r="C48772" s="2"/>
    </row>
    <row r="48773" spans="3:3" x14ac:dyDescent="0.35">
      <c r="C48773" s="2"/>
    </row>
    <row r="48774" spans="3:3" x14ac:dyDescent="0.35">
      <c r="C48774" s="2"/>
    </row>
    <row r="48775" spans="3:3" x14ac:dyDescent="0.35">
      <c r="C48775" s="2"/>
    </row>
    <row r="48776" spans="3:3" x14ac:dyDescent="0.35">
      <c r="C48776" s="2"/>
    </row>
    <row r="48777" spans="3:3" x14ac:dyDescent="0.35">
      <c r="C48777" s="2"/>
    </row>
    <row r="48778" spans="3:3" x14ac:dyDescent="0.35">
      <c r="C48778" s="2"/>
    </row>
    <row r="48779" spans="3:3" x14ac:dyDescent="0.35">
      <c r="C48779" s="2"/>
    </row>
    <row r="48780" spans="3:3" x14ac:dyDescent="0.35">
      <c r="C48780" s="2"/>
    </row>
    <row r="48781" spans="3:3" x14ac:dyDescent="0.35">
      <c r="C48781" s="2"/>
    </row>
    <row r="48782" spans="3:3" x14ac:dyDescent="0.35">
      <c r="C48782" s="2"/>
    </row>
    <row r="48783" spans="3:3" x14ac:dyDescent="0.35">
      <c r="C48783" s="2"/>
    </row>
    <row r="48784" spans="3:3" x14ac:dyDescent="0.35">
      <c r="C48784" s="2"/>
    </row>
    <row r="48785" spans="3:3" x14ac:dyDescent="0.35">
      <c r="C48785" s="2"/>
    </row>
    <row r="48786" spans="3:3" x14ac:dyDescent="0.35">
      <c r="C48786" s="2"/>
    </row>
    <row r="48787" spans="3:3" x14ac:dyDescent="0.35">
      <c r="C48787" s="2"/>
    </row>
    <row r="48788" spans="3:3" x14ac:dyDescent="0.35">
      <c r="C48788" s="2"/>
    </row>
    <row r="48789" spans="3:3" x14ac:dyDescent="0.35">
      <c r="C48789" s="2"/>
    </row>
    <row r="48790" spans="3:3" x14ac:dyDescent="0.35">
      <c r="C48790" s="2"/>
    </row>
    <row r="48791" spans="3:3" x14ac:dyDescent="0.35">
      <c r="C48791" s="2"/>
    </row>
    <row r="48792" spans="3:3" x14ac:dyDescent="0.35">
      <c r="C48792" s="2"/>
    </row>
    <row r="48793" spans="3:3" x14ac:dyDescent="0.35">
      <c r="C48793" s="2"/>
    </row>
    <row r="48794" spans="3:3" x14ac:dyDescent="0.35">
      <c r="C48794" s="2"/>
    </row>
    <row r="48795" spans="3:3" x14ac:dyDescent="0.35">
      <c r="C48795" s="2"/>
    </row>
    <row r="48796" spans="3:3" x14ac:dyDescent="0.35">
      <c r="C48796" s="2"/>
    </row>
    <row r="48797" spans="3:3" x14ac:dyDescent="0.35">
      <c r="C48797" s="2"/>
    </row>
    <row r="48798" spans="3:3" x14ac:dyDescent="0.35">
      <c r="C48798" s="2"/>
    </row>
    <row r="48799" spans="3:3" x14ac:dyDescent="0.35">
      <c r="C48799" s="2"/>
    </row>
    <row r="48800" spans="3:3" x14ac:dyDescent="0.35">
      <c r="C48800" s="2"/>
    </row>
    <row r="48801" spans="3:3" x14ac:dyDescent="0.35">
      <c r="C48801" s="2"/>
    </row>
    <row r="48802" spans="3:3" x14ac:dyDescent="0.35">
      <c r="C48802" s="2"/>
    </row>
    <row r="48803" spans="3:3" x14ac:dyDescent="0.35">
      <c r="C48803" s="2"/>
    </row>
    <row r="48804" spans="3:3" x14ac:dyDescent="0.35">
      <c r="C48804" s="2"/>
    </row>
    <row r="48805" spans="3:3" x14ac:dyDescent="0.35">
      <c r="C48805" s="2"/>
    </row>
    <row r="48806" spans="3:3" x14ac:dyDescent="0.35">
      <c r="C48806" s="2"/>
    </row>
    <row r="48807" spans="3:3" x14ac:dyDescent="0.35">
      <c r="C48807" s="2"/>
    </row>
    <row r="48808" spans="3:3" x14ac:dyDescent="0.35">
      <c r="C48808" s="2"/>
    </row>
    <row r="48809" spans="3:3" x14ac:dyDescent="0.35">
      <c r="C48809" s="2"/>
    </row>
    <row r="48810" spans="3:3" x14ac:dyDescent="0.35">
      <c r="C48810" s="2"/>
    </row>
    <row r="48811" spans="3:3" x14ac:dyDescent="0.35">
      <c r="C48811" s="2"/>
    </row>
    <row r="48812" spans="3:3" x14ac:dyDescent="0.35">
      <c r="C48812" s="2"/>
    </row>
    <row r="48813" spans="3:3" x14ac:dyDescent="0.35">
      <c r="C48813" s="2"/>
    </row>
    <row r="48814" spans="3:3" x14ac:dyDescent="0.35">
      <c r="C48814" s="2"/>
    </row>
    <row r="48815" spans="3:3" x14ac:dyDescent="0.35">
      <c r="C48815" s="2"/>
    </row>
    <row r="48816" spans="3:3" x14ac:dyDescent="0.35">
      <c r="C48816" s="2"/>
    </row>
    <row r="48817" spans="3:3" x14ac:dyDescent="0.35">
      <c r="C48817" s="2"/>
    </row>
    <row r="48818" spans="3:3" x14ac:dyDescent="0.35">
      <c r="C48818" s="2"/>
    </row>
    <row r="48819" spans="3:3" x14ac:dyDescent="0.35">
      <c r="C48819" s="2"/>
    </row>
    <row r="48820" spans="3:3" x14ac:dyDescent="0.35">
      <c r="C48820" s="2"/>
    </row>
    <row r="48821" spans="3:3" x14ac:dyDescent="0.35">
      <c r="C48821" s="2"/>
    </row>
    <row r="48822" spans="3:3" x14ac:dyDescent="0.35">
      <c r="C48822" s="2"/>
    </row>
    <row r="48823" spans="3:3" x14ac:dyDescent="0.35">
      <c r="C48823" s="2"/>
    </row>
    <row r="48824" spans="3:3" x14ac:dyDescent="0.35">
      <c r="C48824" s="2"/>
    </row>
    <row r="48825" spans="3:3" x14ac:dyDescent="0.35">
      <c r="C48825" s="2"/>
    </row>
    <row r="48826" spans="3:3" x14ac:dyDescent="0.35">
      <c r="C48826" s="2"/>
    </row>
    <row r="48827" spans="3:3" x14ac:dyDescent="0.35">
      <c r="C48827" s="2"/>
    </row>
    <row r="48828" spans="3:3" x14ac:dyDescent="0.35">
      <c r="C48828" s="2"/>
    </row>
    <row r="48829" spans="3:3" x14ac:dyDescent="0.35">
      <c r="C48829" s="2"/>
    </row>
    <row r="48830" spans="3:3" x14ac:dyDescent="0.35">
      <c r="C48830" s="2"/>
    </row>
    <row r="48831" spans="3:3" x14ac:dyDescent="0.35">
      <c r="C48831" s="2"/>
    </row>
    <row r="48832" spans="3:3" x14ac:dyDescent="0.35">
      <c r="C48832" s="2"/>
    </row>
    <row r="48833" spans="3:3" x14ac:dyDescent="0.35">
      <c r="C48833" s="2"/>
    </row>
    <row r="48834" spans="3:3" x14ac:dyDescent="0.35">
      <c r="C48834" s="2"/>
    </row>
    <row r="48835" spans="3:3" x14ac:dyDescent="0.35">
      <c r="C48835" s="2"/>
    </row>
    <row r="48836" spans="3:3" x14ac:dyDescent="0.35">
      <c r="C48836" s="2"/>
    </row>
    <row r="48837" spans="3:3" x14ac:dyDescent="0.35">
      <c r="C48837" s="2"/>
    </row>
    <row r="48838" spans="3:3" x14ac:dyDescent="0.35">
      <c r="C48838" s="2"/>
    </row>
    <row r="48839" spans="3:3" x14ac:dyDescent="0.35">
      <c r="C48839" s="2"/>
    </row>
    <row r="48840" spans="3:3" x14ac:dyDescent="0.35">
      <c r="C48840" s="2"/>
    </row>
    <row r="48841" spans="3:3" x14ac:dyDescent="0.35">
      <c r="C48841" s="2"/>
    </row>
    <row r="48842" spans="3:3" x14ac:dyDescent="0.35">
      <c r="C48842" s="2"/>
    </row>
    <row r="48843" spans="3:3" x14ac:dyDescent="0.35">
      <c r="C48843" s="2"/>
    </row>
    <row r="48844" spans="3:3" x14ac:dyDescent="0.35">
      <c r="C48844" s="2"/>
    </row>
    <row r="48845" spans="3:3" x14ac:dyDescent="0.35">
      <c r="C48845" s="2"/>
    </row>
    <row r="48846" spans="3:3" x14ac:dyDescent="0.35">
      <c r="C48846" s="2"/>
    </row>
    <row r="48847" spans="3:3" x14ac:dyDescent="0.35">
      <c r="C48847" s="2"/>
    </row>
    <row r="48848" spans="3:3" x14ac:dyDescent="0.35">
      <c r="C48848" s="2"/>
    </row>
    <row r="48849" spans="3:3" x14ac:dyDescent="0.35">
      <c r="C48849" s="2"/>
    </row>
    <row r="48850" spans="3:3" x14ac:dyDescent="0.35">
      <c r="C48850" s="2"/>
    </row>
    <row r="48851" spans="3:3" x14ac:dyDescent="0.35">
      <c r="C48851" s="2"/>
    </row>
    <row r="48852" spans="3:3" x14ac:dyDescent="0.35">
      <c r="C48852" s="2"/>
    </row>
    <row r="48853" spans="3:3" x14ac:dyDescent="0.35">
      <c r="C48853" s="2"/>
    </row>
    <row r="48854" spans="3:3" x14ac:dyDescent="0.35">
      <c r="C48854" s="2"/>
    </row>
    <row r="48855" spans="3:3" x14ac:dyDescent="0.35">
      <c r="C48855" s="2"/>
    </row>
    <row r="48856" spans="3:3" x14ac:dyDescent="0.35">
      <c r="C48856" s="2"/>
    </row>
    <row r="48857" spans="3:3" x14ac:dyDescent="0.35">
      <c r="C48857" s="2"/>
    </row>
    <row r="48858" spans="3:3" x14ac:dyDescent="0.35">
      <c r="C48858" s="2"/>
    </row>
    <row r="48859" spans="3:3" x14ac:dyDescent="0.35">
      <c r="C48859" s="2"/>
    </row>
    <row r="48860" spans="3:3" x14ac:dyDescent="0.35">
      <c r="C48860" s="2"/>
    </row>
    <row r="48861" spans="3:3" x14ac:dyDescent="0.35">
      <c r="C48861" s="2"/>
    </row>
    <row r="48862" spans="3:3" x14ac:dyDescent="0.35">
      <c r="C48862" s="2"/>
    </row>
    <row r="48863" spans="3:3" x14ac:dyDescent="0.35">
      <c r="C48863" s="2"/>
    </row>
    <row r="48864" spans="3:3" x14ac:dyDescent="0.35">
      <c r="C48864" s="2"/>
    </row>
    <row r="48865" spans="3:3" x14ac:dyDescent="0.35">
      <c r="C48865" s="2"/>
    </row>
    <row r="48866" spans="3:3" x14ac:dyDescent="0.35">
      <c r="C48866" s="2"/>
    </row>
    <row r="48867" spans="3:3" x14ac:dyDescent="0.35">
      <c r="C48867" s="2"/>
    </row>
    <row r="48868" spans="3:3" x14ac:dyDescent="0.35">
      <c r="C48868" s="2"/>
    </row>
    <row r="48869" spans="3:3" x14ac:dyDescent="0.35">
      <c r="C48869" s="2"/>
    </row>
    <row r="48870" spans="3:3" x14ac:dyDescent="0.35">
      <c r="C48870" s="2"/>
    </row>
    <row r="48871" spans="3:3" x14ac:dyDescent="0.35">
      <c r="C48871" s="2"/>
    </row>
    <row r="48872" spans="3:3" x14ac:dyDescent="0.35">
      <c r="C48872" s="2"/>
    </row>
    <row r="48873" spans="3:3" x14ac:dyDescent="0.35">
      <c r="C48873" s="2"/>
    </row>
    <row r="48874" spans="3:3" x14ac:dyDescent="0.35">
      <c r="C48874" s="2"/>
    </row>
    <row r="48875" spans="3:3" x14ac:dyDescent="0.35">
      <c r="C48875" s="2"/>
    </row>
    <row r="48876" spans="3:3" x14ac:dyDescent="0.35">
      <c r="C48876" s="2"/>
    </row>
    <row r="48877" spans="3:3" x14ac:dyDescent="0.35">
      <c r="C48877" s="2"/>
    </row>
    <row r="48878" spans="3:3" x14ac:dyDescent="0.35">
      <c r="C48878" s="2"/>
    </row>
    <row r="48879" spans="3:3" x14ac:dyDescent="0.35">
      <c r="C48879" s="2"/>
    </row>
    <row r="48880" spans="3:3" x14ac:dyDescent="0.35">
      <c r="C48880" s="2"/>
    </row>
    <row r="48881" spans="3:3" x14ac:dyDescent="0.35">
      <c r="C48881" s="2"/>
    </row>
    <row r="48882" spans="3:3" x14ac:dyDescent="0.35">
      <c r="C48882" s="2"/>
    </row>
    <row r="48883" spans="3:3" x14ac:dyDescent="0.35">
      <c r="C48883" s="2"/>
    </row>
    <row r="48884" spans="3:3" x14ac:dyDescent="0.35">
      <c r="C48884" s="2"/>
    </row>
    <row r="48885" spans="3:3" x14ac:dyDescent="0.35">
      <c r="C48885" s="2"/>
    </row>
    <row r="48886" spans="3:3" x14ac:dyDescent="0.35">
      <c r="C48886" s="2"/>
    </row>
    <row r="48887" spans="3:3" x14ac:dyDescent="0.35">
      <c r="C48887" s="2"/>
    </row>
    <row r="48888" spans="3:3" x14ac:dyDescent="0.35">
      <c r="C48888" s="2"/>
    </row>
    <row r="48889" spans="3:3" x14ac:dyDescent="0.35">
      <c r="C48889" s="2"/>
    </row>
    <row r="48890" spans="3:3" x14ac:dyDescent="0.35">
      <c r="C48890" s="2"/>
    </row>
    <row r="48891" spans="3:3" x14ac:dyDescent="0.35">
      <c r="C48891" s="2"/>
    </row>
    <row r="48892" spans="3:3" x14ac:dyDescent="0.35">
      <c r="C48892" s="2"/>
    </row>
    <row r="48893" spans="3:3" x14ac:dyDescent="0.35">
      <c r="C48893" s="2"/>
    </row>
    <row r="48894" spans="3:3" x14ac:dyDescent="0.35">
      <c r="C48894" s="2"/>
    </row>
    <row r="48895" spans="3:3" x14ac:dyDescent="0.35">
      <c r="C48895" s="2"/>
    </row>
    <row r="48896" spans="3:3" x14ac:dyDescent="0.35">
      <c r="C48896" s="2"/>
    </row>
    <row r="48897" spans="3:3" x14ac:dyDescent="0.35">
      <c r="C48897" s="2"/>
    </row>
    <row r="48898" spans="3:3" x14ac:dyDescent="0.35">
      <c r="C48898" s="2"/>
    </row>
    <row r="48899" spans="3:3" x14ac:dyDescent="0.35">
      <c r="C48899" s="2"/>
    </row>
    <row r="48900" spans="3:3" x14ac:dyDescent="0.35">
      <c r="C48900" s="2"/>
    </row>
    <row r="48901" spans="3:3" x14ac:dyDescent="0.35">
      <c r="C48901" s="2"/>
    </row>
    <row r="48902" spans="3:3" x14ac:dyDescent="0.35">
      <c r="C48902" s="2"/>
    </row>
    <row r="48903" spans="3:3" x14ac:dyDescent="0.35">
      <c r="C48903" s="2"/>
    </row>
    <row r="48904" spans="3:3" x14ac:dyDescent="0.35">
      <c r="C48904" s="2"/>
    </row>
    <row r="48905" spans="3:3" x14ac:dyDescent="0.35">
      <c r="C48905" s="2"/>
    </row>
    <row r="48906" spans="3:3" x14ac:dyDescent="0.35">
      <c r="C48906" s="2"/>
    </row>
    <row r="48907" spans="3:3" x14ac:dyDescent="0.35">
      <c r="C48907" s="2"/>
    </row>
    <row r="48908" spans="3:3" x14ac:dyDescent="0.35">
      <c r="C48908" s="2"/>
    </row>
    <row r="48909" spans="3:3" x14ac:dyDescent="0.35">
      <c r="C48909" s="2"/>
    </row>
    <row r="48910" spans="3:3" x14ac:dyDescent="0.35">
      <c r="C48910" s="2"/>
    </row>
    <row r="48911" spans="3:3" x14ac:dyDescent="0.35">
      <c r="C48911" s="2"/>
    </row>
    <row r="48912" spans="3:3" x14ac:dyDescent="0.35">
      <c r="C48912" s="2"/>
    </row>
    <row r="48913" spans="3:3" x14ac:dyDescent="0.35">
      <c r="C48913" s="2"/>
    </row>
    <row r="48914" spans="3:3" x14ac:dyDescent="0.35">
      <c r="C48914" s="2"/>
    </row>
    <row r="48915" spans="3:3" x14ac:dyDescent="0.35">
      <c r="C48915" s="2"/>
    </row>
    <row r="48916" spans="3:3" x14ac:dyDescent="0.35">
      <c r="C48916" s="2"/>
    </row>
    <row r="48917" spans="3:3" x14ac:dyDescent="0.35">
      <c r="C48917" s="2"/>
    </row>
    <row r="48918" spans="3:3" x14ac:dyDescent="0.35">
      <c r="C48918" s="2"/>
    </row>
    <row r="48919" spans="3:3" x14ac:dyDescent="0.35">
      <c r="C48919" s="2"/>
    </row>
    <row r="48920" spans="3:3" x14ac:dyDescent="0.35">
      <c r="C48920" s="2"/>
    </row>
    <row r="48921" spans="3:3" x14ac:dyDescent="0.35">
      <c r="C48921" s="2"/>
    </row>
    <row r="48922" spans="3:3" x14ac:dyDescent="0.35">
      <c r="C48922" s="2"/>
    </row>
    <row r="48923" spans="3:3" x14ac:dyDescent="0.35">
      <c r="C48923" s="2"/>
    </row>
    <row r="48924" spans="3:3" x14ac:dyDescent="0.35">
      <c r="C48924" s="2"/>
    </row>
    <row r="48925" spans="3:3" x14ac:dyDescent="0.35">
      <c r="C48925" s="2"/>
    </row>
    <row r="48926" spans="3:3" x14ac:dyDescent="0.35">
      <c r="C48926" s="2"/>
    </row>
    <row r="48927" spans="3:3" x14ac:dyDescent="0.35">
      <c r="C48927" s="2"/>
    </row>
    <row r="48928" spans="3:3" x14ac:dyDescent="0.35">
      <c r="C48928" s="2"/>
    </row>
    <row r="48929" spans="3:3" x14ac:dyDescent="0.35">
      <c r="C48929" s="2"/>
    </row>
    <row r="48930" spans="3:3" x14ac:dyDescent="0.35">
      <c r="C48930" s="2"/>
    </row>
    <row r="48931" spans="3:3" x14ac:dyDescent="0.35">
      <c r="C48931" s="2"/>
    </row>
    <row r="48932" spans="3:3" x14ac:dyDescent="0.35">
      <c r="C48932" s="2"/>
    </row>
    <row r="48933" spans="3:3" x14ac:dyDescent="0.35">
      <c r="C48933" s="2"/>
    </row>
    <row r="48934" spans="3:3" x14ac:dyDescent="0.35">
      <c r="C48934" s="2"/>
    </row>
    <row r="48935" spans="3:3" x14ac:dyDescent="0.35">
      <c r="C48935" s="2"/>
    </row>
    <row r="48936" spans="3:3" x14ac:dyDescent="0.35">
      <c r="C48936" s="2"/>
    </row>
    <row r="48937" spans="3:3" x14ac:dyDescent="0.35">
      <c r="C48937" s="2"/>
    </row>
    <row r="48938" spans="3:3" x14ac:dyDescent="0.35">
      <c r="C48938" s="2"/>
    </row>
    <row r="48939" spans="3:3" x14ac:dyDescent="0.35">
      <c r="C48939" s="2"/>
    </row>
    <row r="48940" spans="3:3" x14ac:dyDescent="0.35">
      <c r="C48940" s="2"/>
    </row>
    <row r="48941" spans="3:3" x14ac:dyDescent="0.35">
      <c r="C48941" s="2"/>
    </row>
    <row r="48942" spans="3:3" x14ac:dyDescent="0.35">
      <c r="C48942" s="2"/>
    </row>
    <row r="48943" spans="3:3" x14ac:dyDescent="0.35">
      <c r="C48943" s="2"/>
    </row>
    <row r="48944" spans="3:3" x14ac:dyDescent="0.35">
      <c r="C48944" s="2"/>
    </row>
    <row r="48945" spans="3:3" x14ac:dyDescent="0.35">
      <c r="C48945" s="2"/>
    </row>
    <row r="48946" spans="3:3" x14ac:dyDescent="0.35">
      <c r="C48946" s="2"/>
    </row>
    <row r="48947" spans="3:3" x14ac:dyDescent="0.35">
      <c r="C48947" s="2"/>
    </row>
    <row r="48948" spans="3:3" x14ac:dyDescent="0.35">
      <c r="C48948" s="2"/>
    </row>
    <row r="48949" spans="3:3" x14ac:dyDescent="0.35">
      <c r="C48949" s="2"/>
    </row>
    <row r="48950" spans="3:3" x14ac:dyDescent="0.35">
      <c r="C48950" s="2"/>
    </row>
    <row r="48951" spans="3:3" x14ac:dyDescent="0.35">
      <c r="C48951" s="2"/>
    </row>
    <row r="48952" spans="3:3" x14ac:dyDescent="0.35">
      <c r="C48952" s="2"/>
    </row>
    <row r="48953" spans="3:3" x14ac:dyDescent="0.35">
      <c r="C48953" s="2"/>
    </row>
    <row r="48954" spans="3:3" x14ac:dyDescent="0.35">
      <c r="C48954" s="2"/>
    </row>
    <row r="48955" spans="3:3" x14ac:dyDescent="0.35">
      <c r="C48955" s="2"/>
    </row>
    <row r="48956" spans="3:3" x14ac:dyDescent="0.35">
      <c r="C48956" s="2"/>
    </row>
    <row r="48957" spans="3:3" x14ac:dyDescent="0.35">
      <c r="C48957" s="2"/>
    </row>
    <row r="48958" spans="3:3" x14ac:dyDescent="0.35">
      <c r="C48958" s="2"/>
    </row>
    <row r="48959" spans="3:3" x14ac:dyDescent="0.35">
      <c r="C48959" s="2"/>
    </row>
    <row r="48960" spans="3:3" x14ac:dyDescent="0.35">
      <c r="C48960" s="2"/>
    </row>
    <row r="48961" spans="3:3" x14ac:dyDescent="0.35">
      <c r="C48961" s="2"/>
    </row>
    <row r="48962" spans="3:3" x14ac:dyDescent="0.35">
      <c r="C48962" s="2"/>
    </row>
    <row r="48963" spans="3:3" x14ac:dyDescent="0.35">
      <c r="C48963" s="2"/>
    </row>
    <row r="48964" spans="3:3" x14ac:dyDescent="0.35">
      <c r="C48964" s="2"/>
    </row>
    <row r="48965" spans="3:3" x14ac:dyDescent="0.35">
      <c r="C48965" s="2"/>
    </row>
    <row r="48966" spans="3:3" x14ac:dyDescent="0.35">
      <c r="C48966" s="2"/>
    </row>
    <row r="48967" spans="3:3" x14ac:dyDescent="0.35">
      <c r="C48967" s="2"/>
    </row>
    <row r="48968" spans="3:3" x14ac:dyDescent="0.35">
      <c r="C48968" s="2"/>
    </row>
    <row r="48969" spans="3:3" x14ac:dyDescent="0.35">
      <c r="C48969" s="2"/>
    </row>
    <row r="48970" spans="3:3" x14ac:dyDescent="0.35">
      <c r="C48970" s="2"/>
    </row>
    <row r="48971" spans="3:3" x14ac:dyDescent="0.35">
      <c r="C48971" s="2"/>
    </row>
    <row r="48972" spans="3:3" x14ac:dyDescent="0.35">
      <c r="C48972" s="2"/>
    </row>
    <row r="48973" spans="3:3" x14ac:dyDescent="0.35">
      <c r="C48973" s="2"/>
    </row>
    <row r="48974" spans="3:3" x14ac:dyDescent="0.35">
      <c r="C48974" s="2"/>
    </row>
    <row r="48975" spans="3:3" x14ac:dyDescent="0.35">
      <c r="C48975" s="2"/>
    </row>
    <row r="48976" spans="3:3" x14ac:dyDescent="0.35">
      <c r="C48976" s="2"/>
    </row>
    <row r="48977" spans="3:3" x14ac:dyDescent="0.35">
      <c r="C48977" s="2"/>
    </row>
    <row r="48978" spans="3:3" x14ac:dyDescent="0.35">
      <c r="C48978" s="2"/>
    </row>
    <row r="48979" spans="3:3" x14ac:dyDescent="0.35">
      <c r="C48979" s="2"/>
    </row>
    <row r="48980" spans="3:3" x14ac:dyDescent="0.35">
      <c r="C48980" s="2"/>
    </row>
    <row r="48981" spans="3:3" x14ac:dyDescent="0.35">
      <c r="C48981" s="2"/>
    </row>
    <row r="48982" spans="3:3" x14ac:dyDescent="0.35">
      <c r="C48982" s="2"/>
    </row>
    <row r="48983" spans="3:3" x14ac:dyDescent="0.35">
      <c r="C48983" s="2"/>
    </row>
    <row r="48984" spans="3:3" x14ac:dyDescent="0.35">
      <c r="C48984" s="2"/>
    </row>
    <row r="48985" spans="3:3" x14ac:dyDescent="0.35">
      <c r="C48985" s="2"/>
    </row>
    <row r="48986" spans="3:3" x14ac:dyDescent="0.35">
      <c r="C48986" s="2"/>
    </row>
    <row r="48987" spans="3:3" x14ac:dyDescent="0.35">
      <c r="C48987" s="2"/>
    </row>
    <row r="48988" spans="3:3" x14ac:dyDescent="0.35">
      <c r="C48988" s="2"/>
    </row>
    <row r="48989" spans="3:3" x14ac:dyDescent="0.35">
      <c r="C48989" s="2"/>
    </row>
    <row r="48990" spans="3:3" x14ac:dyDescent="0.35">
      <c r="C48990" s="2"/>
    </row>
    <row r="48991" spans="3:3" x14ac:dyDescent="0.35">
      <c r="C48991" s="2"/>
    </row>
    <row r="48992" spans="3:3" x14ac:dyDescent="0.35">
      <c r="C48992" s="2"/>
    </row>
    <row r="48993" spans="3:3" x14ac:dyDescent="0.35">
      <c r="C48993" s="2"/>
    </row>
    <row r="48994" spans="3:3" x14ac:dyDescent="0.35">
      <c r="C48994" s="2"/>
    </row>
    <row r="48995" spans="3:3" x14ac:dyDescent="0.35">
      <c r="C48995" s="2"/>
    </row>
    <row r="48996" spans="3:3" x14ac:dyDescent="0.35">
      <c r="C48996" s="2"/>
    </row>
    <row r="48997" spans="3:3" x14ac:dyDescent="0.35">
      <c r="C48997" s="2"/>
    </row>
    <row r="48998" spans="3:3" x14ac:dyDescent="0.35">
      <c r="C48998" s="2"/>
    </row>
    <row r="48999" spans="3:3" x14ac:dyDescent="0.35">
      <c r="C48999" s="2"/>
    </row>
    <row r="49000" spans="3:3" x14ac:dyDescent="0.35">
      <c r="C49000" s="2"/>
    </row>
    <row r="49001" spans="3:3" x14ac:dyDescent="0.35">
      <c r="C49001" s="2"/>
    </row>
    <row r="49002" spans="3:3" x14ac:dyDescent="0.35">
      <c r="C49002" s="2"/>
    </row>
    <row r="49003" spans="3:3" x14ac:dyDescent="0.35">
      <c r="C49003" s="2"/>
    </row>
    <row r="49004" spans="3:3" x14ac:dyDescent="0.35">
      <c r="C49004" s="2"/>
    </row>
    <row r="49005" spans="3:3" x14ac:dyDescent="0.35">
      <c r="C49005" s="2"/>
    </row>
    <row r="49006" spans="3:3" x14ac:dyDescent="0.35">
      <c r="C49006" s="2"/>
    </row>
    <row r="49007" spans="3:3" x14ac:dyDescent="0.35">
      <c r="C49007" s="2"/>
    </row>
    <row r="49008" spans="3:3" x14ac:dyDescent="0.35">
      <c r="C49008" s="2"/>
    </row>
    <row r="49009" spans="3:3" x14ac:dyDescent="0.35">
      <c r="C49009" s="2"/>
    </row>
    <row r="49010" spans="3:3" x14ac:dyDescent="0.35">
      <c r="C49010" s="2"/>
    </row>
    <row r="49011" spans="3:3" x14ac:dyDescent="0.35">
      <c r="C49011" s="2"/>
    </row>
    <row r="49012" spans="3:3" x14ac:dyDescent="0.35">
      <c r="C49012" s="2"/>
    </row>
    <row r="49013" spans="3:3" x14ac:dyDescent="0.35">
      <c r="C49013" s="2"/>
    </row>
    <row r="49014" spans="3:3" x14ac:dyDescent="0.35">
      <c r="C49014" s="2"/>
    </row>
    <row r="49015" spans="3:3" x14ac:dyDescent="0.35">
      <c r="C49015" s="2"/>
    </row>
    <row r="49016" spans="3:3" x14ac:dyDescent="0.35">
      <c r="C49016" s="2"/>
    </row>
    <row r="49017" spans="3:3" x14ac:dyDescent="0.35">
      <c r="C49017" s="2"/>
    </row>
    <row r="49018" spans="3:3" x14ac:dyDescent="0.35">
      <c r="C49018" s="2"/>
    </row>
    <row r="49019" spans="3:3" x14ac:dyDescent="0.35">
      <c r="C49019" s="2"/>
    </row>
    <row r="49020" spans="3:3" x14ac:dyDescent="0.35">
      <c r="C49020" s="2"/>
    </row>
    <row r="49021" spans="3:3" x14ac:dyDescent="0.35">
      <c r="C49021" s="2"/>
    </row>
    <row r="49022" spans="3:3" x14ac:dyDescent="0.35">
      <c r="C49022" s="2"/>
    </row>
    <row r="49023" spans="3:3" x14ac:dyDescent="0.35">
      <c r="C49023" s="2"/>
    </row>
    <row r="49024" spans="3:3" x14ac:dyDescent="0.35">
      <c r="C49024" s="2"/>
    </row>
    <row r="49025" spans="3:3" x14ac:dyDescent="0.35">
      <c r="C49025" s="2"/>
    </row>
    <row r="49026" spans="3:3" x14ac:dyDescent="0.35">
      <c r="C49026" s="2"/>
    </row>
    <row r="49027" spans="3:3" x14ac:dyDescent="0.35">
      <c r="C49027" s="2"/>
    </row>
    <row r="49028" spans="3:3" x14ac:dyDescent="0.35">
      <c r="C49028" s="2"/>
    </row>
    <row r="49029" spans="3:3" x14ac:dyDescent="0.35">
      <c r="C49029" s="2"/>
    </row>
    <row r="49030" spans="3:3" x14ac:dyDescent="0.35">
      <c r="C49030" s="2"/>
    </row>
    <row r="49031" spans="3:3" x14ac:dyDescent="0.35">
      <c r="C49031" s="2"/>
    </row>
    <row r="49032" spans="3:3" x14ac:dyDescent="0.35">
      <c r="C49032" s="2"/>
    </row>
    <row r="49033" spans="3:3" x14ac:dyDescent="0.35">
      <c r="C49033" s="2"/>
    </row>
    <row r="49034" spans="3:3" x14ac:dyDescent="0.35">
      <c r="C49034" s="2"/>
    </row>
    <row r="49035" spans="3:3" x14ac:dyDescent="0.35">
      <c r="C49035" s="2"/>
    </row>
    <row r="49036" spans="3:3" x14ac:dyDescent="0.35">
      <c r="C49036" s="2"/>
    </row>
    <row r="49037" spans="3:3" x14ac:dyDescent="0.35">
      <c r="C49037" s="2"/>
    </row>
    <row r="49038" spans="3:3" x14ac:dyDescent="0.35">
      <c r="C49038" s="2"/>
    </row>
    <row r="49039" spans="3:3" x14ac:dyDescent="0.35">
      <c r="C49039" s="2"/>
    </row>
    <row r="49040" spans="3:3" x14ac:dyDescent="0.35">
      <c r="C49040" s="2"/>
    </row>
    <row r="49041" spans="3:3" x14ac:dyDescent="0.35">
      <c r="C49041" s="2"/>
    </row>
    <row r="49042" spans="3:3" x14ac:dyDescent="0.35">
      <c r="C49042" s="2"/>
    </row>
    <row r="49043" spans="3:3" x14ac:dyDescent="0.35">
      <c r="C49043" s="2"/>
    </row>
    <row r="49044" spans="3:3" x14ac:dyDescent="0.35">
      <c r="C49044" s="2"/>
    </row>
    <row r="49045" spans="3:3" x14ac:dyDescent="0.35">
      <c r="C49045" s="2"/>
    </row>
    <row r="49046" spans="3:3" x14ac:dyDescent="0.35">
      <c r="C49046" s="2"/>
    </row>
    <row r="49047" spans="3:3" x14ac:dyDescent="0.35">
      <c r="C49047" s="2"/>
    </row>
    <row r="49048" spans="3:3" x14ac:dyDescent="0.35">
      <c r="C49048" s="2"/>
    </row>
    <row r="49049" spans="3:3" x14ac:dyDescent="0.35">
      <c r="C49049" s="2"/>
    </row>
    <row r="49050" spans="3:3" x14ac:dyDescent="0.35">
      <c r="C49050" s="2"/>
    </row>
    <row r="49051" spans="3:3" x14ac:dyDescent="0.35">
      <c r="C49051" s="2"/>
    </row>
    <row r="49052" spans="3:3" x14ac:dyDescent="0.35">
      <c r="C49052" s="2"/>
    </row>
    <row r="49053" spans="3:3" x14ac:dyDescent="0.35">
      <c r="C49053" s="2"/>
    </row>
    <row r="49054" spans="3:3" x14ac:dyDescent="0.35">
      <c r="C49054" s="2"/>
    </row>
    <row r="49055" spans="3:3" x14ac:dyDescent="0.35">
      <c r="C49055" s="2"/>
    </row>
    <row r="49056" spans="3:3" x14ac:dyDescent="0.35">
      <c r="C49056" s="2"/>
    </row>
    <row r="49057" spans="3:3" x14ac:dyDescent="0.35">
      <c r="C49057" s="2"/>
    </row>
    <row r="49058" spans="3:3" x14ac:dyDescent="0.35">
      <c r="C49058" s="2"/>
    </row>
    <row r="49059" spans="3:3" x14ac:dyDescent="0.35">
      <c r="C49059" s="2"/>
    </row>
    <row r="49060" spans="3:3" x14ac:dyDescent="0.35">
      <c r="C49060" s="2"/>
    </row>
    <row r="49061" spans="3:3" x14ac:dyDescent="0.35">
      <c r="C49061" s="2"/>
    </row>
    <row r="49062" spans="3:3" x14ac:dyDescent="0.35">
      <c r="C49062" s="2"/>
    </row>
    <row r="49063" spans="3:3" x14ac:dyDescent="0.35">
      <c r="C49063" s="2"/>
    </row>
    <row r="49064" spans="3:3" x14ac:dyDescent="0.35">
      <c r="C49064" s="2"/>
    </row>
    <row r="49065" spans="3:3" x14ac:dyDescent="0.35">
      <c r="C49065" s="2"/>
    </row>
    <row r="49066" spans="3:3" x14ac:dyDescent="0.35">
      <c r="C49066" s="2"/>
    </row>
    <row r="49067" spans="3:3" x14ac:dyDescent="0.35">
      <c r="C49067" s="2"/>
    </row>
    <row r="49068" spans="3:3" x14ac:dyDescent="0.35">
      <c r="C49068" s="2"/>
    </row>
    <row r="49069" spans="3:3" x14ac:dyDescent="0.35">
      <c r="C49069" s="2"/>
    </row>
    <row r="49070" spans="3:3" x14ac:dyDescent="0.35">
      <c r="C49070" s="2"/>
    </row>
    <row r="49071" spans="3:3" x14ac:dyDescent="0.35">
      <c r="C49071" s="2"/>
    </row>
    <row r="49072" spans="3:3" x14ac:dyDescent="0.35">
      <c r="C49072" s="2"/>
    </row>
    <row r="49073" spans="3:3" x14ac:dyDescent="0.35">
      <c r="C49073" s="2"/>
    </row>
    <row r="49074" spans="3:3" x14ac:dyDescent="0.35">
      <c r="C49074" s="2"/>
    </row>
    <row r="49075" spans="3:3" x14ac:dyDescent="0.35">
      <c r="C49075" s="2"/>
    </row>
    <row r="49076" spans="3:3" x14ac:dyDescent="0.35">
      <c r="C49076" s="2"/>
    </row>
    <row r="49077" spans="3:3" x14ac:dyDescent="0.35">
      <c r="C49077" s="2"/>
    </row>
    <row r="49078" spans="3:3" x14ac:dyDescent="0.35">
      <c r="C49078" s="2"/>
    </row>
    <row r="49079" spans="3:3" x14ac:dyDescent="0.35">
      <c r="C49079" s="2"/>
    </row>
    <row r="49080" spans="3:3" x14ac:dyDescent="0.35">
      <c r="C49080" s="2"/>
    </row>
    <row r="49081" spans="3:3" x14ac:dyDescent="0.35">
      <c r="C49081" s="2"/>
    </row>
    <row r="49082" spans="3:3" x14ac:dyDescent="0.35">
      <c r="C49082" s="2"/>
    </row>
    <row r="49083" spans="3:3" x14ac:dyDescent="0.35">
      <c r="C49083" s="2"/>
    </row>
    <row r="49084" spans="3:3" x14ac:dyDescent="0.35">
      <c r="C49084" s="2"/>
    </row>
    <row r="49085" spans="3:3" x14ac:dyDescent="0.35">
      <c r="C49085" s="2"/>
    </row>
    <row r="49086" spans="3:3" x14ac:dyDescent="0.35">
      <c r="C49086" s="2"/>
    </row>
    <row r="49087" spans="3:3" x14ac:dyDescent="0.35">
      <c r="C49087" s="2"/>
    </row>
    <row r="49088" spans="3:3" x14ac:dyDescent="0.35">
      <c r="C49088" s="2"/>
    </row>
    <row r="49089" spans="3:3" x14ac:dyDescent="0.35">
      <c r="C49089" s="2"/>
    </row>
    <row r="49090" spans="3:3" x14ac:dyDescent="0.35">
      <c r="C49090" s="2"/>
    </row>
    <row r="49091" spans="3:3" x14ac:dyDescent="0.35">
      <c r="C49091" s="2"/>
    </row>
    <row r="49092" spans="3:3" x14ac:dyDescent="0.35">
      <c r="C49092" s="2"/>
    </row>
    <row r="49093" spans="3:3" x14ac:dyDescent="0.35">
      <c r="C49093" s="2"/>
    </row>
    <row r="49094" spans="3:3" x14ac:dyDescent="0.35">
      <c r="C49094" s="2"/>
    </row>
    <row r="49095" spans="3:3" x14ac:dyDescent="0.35">
      <c r="C49095" s="2"/>
    </row>
    <row r="49096" spans="3:3" x14ac:dyDescent="0.35">
      <c r="C49096" s="2"/>
    </row>
    <row r="49097" spans="3:3" x14ac:dyDescent="0.35">
      <c r="C49097" s="2"/>
    </row>
    <row r="49098" spans="3:3" x14ac:dyDescent="0.35">
      <c r="C49098" s="2"/>
    </row>
    <row r="49099" spans="3:3" x14ac:dyDescent="0.35">
      <c r="C49099" s="2"/>
    </row>
    <row r="49100" spans="3:3" x14ac:dyDescent="0.35">
      <c r="C49100" s="2"/>
    </row>
    <row r="49101" spans="3:3" x14ac:dyDescent="0.35">
      <c r="C49101" s="2"/>
    </row>
    <row r="49102" spans="3:3" x14ac:dyDescent="0.35">
      <c r="C49102" s="2"/>
    </row>
    <row r="49103" spans="3:3" x14ac:dyDescent="0.35">
      <c r="C49103" s="2"/>
    </row>
    <row r="49104" spans="3:3" x14ac:dyDescent="0.35">
      <c r="C49104" s="2"/>
    </row>
    <row r="49105" spans="3:3" x14ac:dyDescent="0.35">
      <c r="C49105" s="2"/>
    </row>
    <row r="49106" spans="3:3" x14ac:dyDescent="0.35">
      <c r="C49106" s="2"/>
    </row>
    <row r="49107" spans="3:3" x14ac:dyDescent="0.35">
      <c r="C49107" s="2"/>
    </row>
    <row r="49108" spans="3:3" x14ac:dyDescent="0.35">
      <c r="C49108" s="2"/>
    </row>
    <row r="49109" spans="3:3" x14ac:dyDescent="0.35">
      <c r="C49109" s="2"/>
    </row>
    <row r="49110" spans="3:3" x14ac:dyDescent="0.35">
      <c r="C49110" s="2"/>
    </row>
    <row r="49111" spans="3:3" x14ac:dyDescent="0.35">
      <c r="C49111" s="2"/>
    </row>
    <row r="49112" spans="3:3" x14ac:dyDescent="0.35">
      <c r="C49112" s="2"/>
    </row>
    <row r="49113" spans="3:3" x14ac:dyDescent="0.35">
      <c r="C49113" s="2"/>
    </row>
    <row r="49114" spans="3:3" x14ac:dyDescent="0.35">
      <c r="C49114" s="2"/>
    </row>
    <row r="49115" spans="3:3" x14ac:dyDescent="0.35">
      <c r="C49115" s="2"/>
    </row>
    <row r="49116" spans="3:3" x14ac:dyDescent="0.35">
      <c r="C49116" s="2"/>
    </row>
    <row r="49117" spans="3:3" x14ac:dyDescent="0.35">
      <c r="C49117" s="2"/>
    </row>
    <row r="49118" spans="3:3" x14ac:dyDescent="0.35">
      <c r="C49118" s="2"/>
    </row>
    <row r="49119" spans="3:3" x14ac:dyDescent="0.35">
      <c r="C49119" s="2"/>
    </row>
    <row r="49120" spans="3:3" x14ac:dyDescent="0.35">
      <c r="C49120" s="2"/>
    </row>
    <row r="49121" spans="3:3" x14ac:dyDescent="0.35">
      <c r="C49121" s="2"/>
    </row>
    <row r="49122" spans="3:3" x14ac:dyDescent="0.35">
      <c r="C49122" s="2"/>
    </row>
    <row r="49123" spans="3:3" x14ac:dyDescent="0.35">
      <c r="C49123" s="2"/>
    </row>
    <row r="49124" spans="3:3" x14ac:dyDescent="0.35">
      <c r="C49124" s="2"/>
    </row>
    <row r="49125" spans="3:3" x14ac:dyDescent="0.35">
      <c r="C49125" s="2"/>
    </row>
    <row r="49126" spans="3:3" x14ac:dyDescent="0.35">
      <c r="C49126" s="2"/>
    </row>
    <row r="49127" spans="3:3" x14ac:dyDescent="0.35">
      <c r="C49127" s="2"/>
    </row>
    <row r="49128" spans="3:3" x14ac:dyDescent="0.35">
      <c r="C49128" s="2"/>
    </row>
    <row r="49129" spans="3:3" x14ac:dyDescent="0.35">
      <c r="C49129" s="2"/>
    </row>
    <row r="49130" spans="3:3" x14ac:dyDescent="0.35">
      <c r="C49130" s="2"/>
    </row>
    <row r="49131" spans="3:3" x14ac:dyDescent="0.35">
      <c r="C49131" s="2"/>
    </row>
    <row r="49132" spans="3:3" x14ac:dyDescent="0.35">
      <c r="C49132" s="2"/>
    </row>
    <row r="49133" spans="3:3" x14ac:dyDescent="0.35">
      <c r="C49133" s="2"/>
    </row>
    <row r="49134" spans="3:3" x14ac:dyDescent="0.35">
      <c r="C49134" s="2"/>
    </row>
    <row r="49135" spans="3:3" x14ac:dyDescent="0.35">
      <c r="C49135" s="2"/>
    </row>
    <row r="49136" spans="3:3" x14ac:dyDescent="0.35">
      <c r="C49136" s="2"/>
    </row>
    <row r="49137" spans="3:3" x14ac:dyDescent="0.35">
      <c r="C49137" s="2"/>
    </row>
    <row r="49138" spans="3:3" x14ac:dyDescent="0.35">
      <c r="C49138" s="2"/>
    </row>
    <row r="49139" spans="3:3" x14ac:dyDescent="0.35">
      <c r="C49139" s="2"/>
    </row>
    <row r="49140" spans="3:3" x14ac:dyDescent="0.35">
      <c r="C49140" s="2"/>
    </row>
    <row r="49141" spans="3:3" x14ac:dyDescent="0.35">
      <c r="C49141" s="2"/>
    </row>
    <row r="49142" spans="3:3" x14ac:dyDescent="0.35">
      <c r="C49142" s="2"/>
    </row>
    <row r="49143" spans="3:3" x14ac:dyDescent="0.35">
      <c r="C49143" s="2"/>
    </row>
    <row r="49144" spans="3:3" x14ac:dyDescent="0.35">
      <c r="C49144" s="2"/>
    </row>
    <row r="49145" spans="3:3" x14ac:dyDescent="0.35">
      <c r="C49145" s="2"/>
    </row>
    <row r="49146" spans="3:3" x14ac:dyDescent="0.35">
      <c r="C49146" s="2"/>
    </row>
    <row r="49147" spans="3:3" x14ac:dyDescent="0.35">
      <c r="C49147" s="2"/>
    </row>
    <row r="49148" spans="3:3" x14ac:dyDescent="0.35">
      <c r="C49148" s="2"/>
    </row>
    <row r="49149" spans="3:3" x14ac:dyDescent="0.35">
      <c r="C49149" s="2"/>
    </row>
    <row r="49150" spans="3:3" x14ac:dyDescent="0.35">
      <c r="C49150" s="2"/>
    </row>
    <row r="49151" spans="3:3" x14ac:dyDescent="0.35">
      <c r="C49151" s="2"/>
    </row>
    <row r="49152" spans="3:3" x14ac:dyDescent="0.35">
      <c r="C49152" s="2"/>
    </row>
    <row r="49153" spans="3:3" x14ac:dyDescent="0.35">
      <c r="C49153" s="2"/>
    </row>
    <row r="49154" spans="3:3" x14ac:dyDescent="0.35">
      <c r="C49154" s="2"/>
    </row>
    <row r="49155" spans="3:3" x14ac:dyDescent="0.35">
      <c r="C49155" s="2"/>
    </row>
    <row r="49156" spans="3:3" x14ac:dyDescent="0.35">
      <c r="C49156" s="2"/>
    </row>
    <row r="49157" spans="3:3" x14ac:dyDescent="0.35">
      <c r="C49157" s="2"/>
    </row>
    <row r="49158" spans="3:3" x14ac:dyDescent="0.35">
      <c r="C49158" s="2"/>
    </row>
    <row r="49159" spans="3:3" x14ac:dyDescent="0.35">
      <c r="C49159" s="2"/>
    </row>
    <row r="49160" spans="3:3" x14ac:dyDescent="0.35">
      <c r="C49160" s="2"/>
    </row>
    <row r="49161" spans="3:3" x14ac:dyDescent="0.35">
      <c r="C49161" s="2"/>
    </row>
    <row r="49162" spans="3:3" x14ac:dyDescent="0.35">
      <c r="C49162" s="2"/>
    </row>
    <row r="49163" spans="3:3" x14ac:dyDescent="0.35">
      <c r="C49163" s="2"/>
    </row>
    <row r="49164" spans="3:3" x14ac:dyDescent="0.35">
      <c r="C49164" s="2"/>
    </row>
    <row r="49165" spans="3:3" x14ac:dyDescent="0.35">
      <c r="C49165" s="2"/>
    </row>
    <row r="49166" spans="3:3" x14ac:dyDescent="0.35">
      <c r="C49166" s="2"/>
    </row>
    <row r="49167" spans="3:3" x14ac:dyDescent="0.35">
      <c r="C49167" s="2"/>
    </row>
    <row r="49168" spans="3:3" x14ac:dyDescent="0.35">
      <c r="C49168" s="2"/>
    </row>
    <row r="49169" spans="3:3" x14ac:dyDescent="0.35">
      <c r="C49169" s="2"/>
    </row>
    <row r="49170" spans="3:3" x14ac:dyDescent="0.35">
      <c r="C49170" s="2"/>
    </row>
    <row r="49171" spans="3:3" x14ac:dyDescent="0.35">
      <c r="C49171" s="2"/>
    </row>
    <row r="49172" spans="3:3" x14ac:dyDescent="0.35">
      <c r="C49172" s="2"/>
    </row>
    <row r="49173" spans="3:3" x14ac:dyDescent="0.35">
      <c r="C49173" s="2"/>
    </row>
    <row r="49174" spans="3:3" x14ac:dyDescent="0.35">
      <c r="C49174" s="2"/>
    </row>
    <row r="49175" spans="3:3" x14ac:dyDescent="0.35">
      <c r="C49175" s="2"/>
    </row>
    <row r="49176" spans="3:3" x14ac:dyDescent="0.35">
      <c r="C49176" s="2"/>
    </row>
    <row r="49177" spans="3:3" x14ac:dyDescent="0.35">
      <c r="C49177" s="2"/>
    </row>
    <row r="49178" spans="3:3" x14ac:dyDescent="0.35">
      <c r="C49178" s="2"/>
    </row>
    <row r="49179" spans="3:3" x14ac:dyDescent="0.35">
      <c r="C49179" s="2"/>
    </row>
    <row r="49180" spans="3:3" x14ac:dyDescent="0.35">
      <c r="C49180" s="2"/>
    </row>
    <row r="49181" spans="3:3" x14ac:dyDescent="0.35">
      <c r="C49181" s="2"/>
    </row>
    <row r="49182" spans="3:3" x14ac:dyDescent="0.35">
      <c r="C49182" s="2"/>
    </row>
    <row r="49183" spans="3:3" x14ac:dyDescent="0.35">
      <c r="C49183" s="2"/>
    </row>
    <row r="49184" spans="3:3" x14ac:dyDescent="0.35">
      <c r="C49184" s="2"/>
    </row>
    <row r="49185" spans="3:3" x14ac:dyDescent="0.35">
      <c r="C49185" s="2"/>
    </row>
    <row r="49186" spans="3:3" x14ac:dyDescent="0.35">
      <c r="C49186" s="2"/>
    </row>
    <row r="49187" spans="3:3" x14ac:dyDescent="0.35">
      <c r="C49187" s="2"/>
    </row>
    <row r="49188" spans="3:3" x14ac:dyDescent="0.35">
      <c r="C49188" s="2"/>
    </row>
    <row r="49189" spans="3:3" x14ac:dyDescent="0.35">
      <c r="C49189" s="2"/>
    </row>
    <row r="49190" spans="3:3" x14ac:dyDescent="0.35">
      <c r="C49190" s="2"/>
    </row>
    <row r="49191" spans="3:3" x14ac:dyDescent="0.35">
      <c r="C49191" s="2"/>
    </row>
    <row r="49192" spans="3:3" x14ac:dyDescent="0.35">
      <c r="C49192" s="2"/>
    </row>
    <row r="49193" spans="3:3" x14ac:dyDescent="0.35">
      <c r="C49193" s="2"/>
    </row>
    <row r="49194" spans="3:3" x14ac:dyDescent="0.35">
      <c r="C49194" s="2"/>
    </row>
    <row r="49195" spans="3:3" x14ac:dyDescent="0.35">
      <c r="C49195" s="2"/>
    </row>
    <row r="49196" spans="3:3" x14ac:dyDescent="0.35">
      <c r="C49196" s="2"/>
    </row>
    <row r="49197" spans="3:3" x14ac:dyDescent="0.35">
      <c r="C49197" s="2"/>
    </row>
    <row r="49198" spans="3:3" x14ac:dyDescent="0.35">
      <c r="C49198" s="2"/>
    </row>
    <row r="49199" spans="3:3" x14ac:dyDescent="0.35">
      <c r="C49199" s="2"/>
    </row>
    <row r="49200" spans="3:3" x14ac:dyDescent="0.35">
      <c r="C49200" s="2"/>
    </row>
    <row r="49201" spans="3:3" x14ac:dyDescent="0.35">
      <c r="C49201" s="2"/>
    </row>
    <row r="49202" spans="3:3" x14ac:dyDescent="0.35">
      <c r="C49202" s="2"/>
    </row>
    <row r="49203" spans="3:3" x14ac:dyDescent="0.35">
      <c r="C49203" s="2"/>
    </row>
    <row r="49204" spans="3:3" x14ac:dyDescent="0.35">
      <c r="C49204" s="2"/>
    </row>
    <row r="49205" spans="3:3" x14ac:dyDescent="0.35">
      <c r="C49205" s="2"/>
    </row>
    <row r="49206" spans="3:3" x14ac:dyDescent="0.35">
      <c r="C49206" s="2"/>
    </row>
    <row r="49207" spans="3:3" x14ac:dyDescent="0.35">
      <c r="C49207" s="2"/>
    </row>
    <row r="49208" spans="3:3" x14ac:dyDescent="0.35">
      <c r="C49208" s="2"/>
    </row>
    <row r="49209" spans="3:3" x14ac:dyDescent="0.35">
      <c r="C49209" s="2"/>
    </row>
    <row r="49210" spans="3:3" x14ac:dyDescent="0.35">
      <c r="C49210" s="2"/>
    </row>
    <row r="49211" spans="3:3" x14ac:dyDescent="0.35">
      <c r="C49211" s="2"/>
    </row>
    <row r="49212" spans="3:3" x14ac:dyDescent="0.35">
      <c r="C49212" s="2"/>
    </row>
    <row r="49213" spans="3:3" x14ac:dyDescent="0.35">
      <c r="C49213" s="2"/>
    </row>
    <row r="49214" spans="3:3" x14ac:dyDescent="0.35">
      <c r="C49214" s="2"/>
    </row>
    <row r="49215" spans="3:3" x14ac:dyDescent="0.35">
      <c r="C49215" s="2"/>
    </row>
    <row r="49216" spans="3:3" x14ac:dyDescent="0.35">
      <c r="C49216" s="2"/>
    </row>
    <row r="49217" spans="3:3" x14ac:dyDescent="0.35">
      <c r="C49217" s="2"/>
    </row>
    <row r="49218" spans="3:3" x14ac:dyDescent="0.35">
      <c r="C49218" s="2"/>
    </row>
    <row r="49219" spans="3:3" x14ac:dyDescent="0.35">
      <c r="C49219" s="2"/>
    </row>
    <row r="49220" spans="3:3" x14ac:dyDescent="0.35">
      <c r="C49220" s="2"/>
    </row>
    <row r="49221" spans="3:3" x14ac:dyDescent="0.35">
      <c r="C49221" s="2"/>
    </row>
    <row r="49222" spans="3:3" x14ac:dyDescent="0.35">
      <c r="C49222" s="2"/>
    </row>
    <row r="49223" spans="3:3" x14ac:dyDescent="0.35">
      <c r="C49223" s="2"/>
    </row>
    <row r="49224" spans="3:3" x14ac:dyDescent="0.35">
      <c r="C49224" s="2"/>
    </row>
    <row r="49225" spans="3:3" x14ac:dyDescent="0.35">
      <c r="C49225" s="2"/>
    </row>
    <row r="49226" spans="3:3" x14ac:dyDescent="0.35">
      <c r="C49226" s="2"/>
    </row>
    <row r="49227" spans="3:3" x14ac:dyDescent="0.35">
      <c r="C49227" s="2"/>
    </row>
    <row r="49228" spans="3:3" x14ac:dyDescent="0.35">
      <c r="C49228" s="2"/>
    </row>
    <row r="49229" spans="3:3" x14ac:dyDescent="0.35">
      <c r="C49229" s="2"/>
    </row>
    <row r="49230" spans="3:3" x14ac:dyDescent="0.35">
      <c r="C49230" s="2"/>
    </row>
    <row r="49231" spans="3:3" x14ac:dyDescent="0.35">
      <c r="C49231" s="2"/>
    </row>
    <row r="49232" spans="3:3" x14ac:dyDescent="0.35">
      <c r="C49232" s="2"/>
    </row>
    <row r="49233" spans="3:3" x14ac:dyDescent="0.35">
      <c r="C49233" s="2"/>
    </row>
    <row r="49234" spans="3:3" x14ac:dyDescent="0.35">
      <c r="C49234" s="2"/>
    </row>
    <row r="49235" spans="3:3" x14ac:dyDescent="0.35">
      <c r="C49235" s="2"/>
    </row>
    <row r="49236" spans="3:3" x14ac:dyDescent="0.35">
      <c r="C49236" s="2"/>
    </row>
    <row r="49237" spans="3:3" x14ac:dyDescent="0.35">
      <c r="C49237" s="2"/>
    </row>
    <row r="49238" spans="3:3" x14ac:dyDescent="0.35">
      <c r="C49238" s="2"/>
    </row>
    <row r="49239" spans="3:3" x14ac:dyDescent="0.35">
      <c r="C49239" s="2"/>
    </row>
    <row r="49240" spans="3:3" x14ac:dyDescent="0.35">
      <c r="C49240" s="2"/>
    </row>
    <row r="49241" spans="3:3" x14ac:dyDescent="0.35">
      <c r="C49241" s="2"/>
    </row>
    <row r="49242" spans="3:3" x14ac:dyDescent="0.35">
      <c r="C49242" s="2"/>
    </row>
    <row r="49243" spans="3:3" x14ac:dyDescent="0.35">
      <c r="C49243" s="2"/>
    </row>
    <row r="49244" spans="3:3" x14ac:dyDescent="0.35">
      <c r="C49244" s="2"/>
    </row>
    <row r="49245" spans="3:3" x14ac:dyDescent="0.35">
      <c r="C49245" s="2"/>
    </row>
    <row r="49246" spans="3:3" x14ac:dyDescent="0.35">
      <c r="C49246" s="2"/>
    </row>
    <row r="49247" spans="3:3" x14ac:dyDescent="0.35">
      <c r="C49247" s="2"/>
    </row>
    <row r="49248" spans="3:3" x14ac:dyDescent="0.35">
      <c r="C49248" s="2"/>
    </row>
    <row r="49249" spans="3:3" x14ac:dyDescent="0.35">
      <c r="C49249" s="2"/>
    </row>
    <row r="49250" spans="3:3" x14ac:dyDescent="0.35">
      <c r="C49250" s="2"/>
    </row>
    <row r="49251" spans="3:3" x14ac:dyDescent="0.35">
      <c r="C49251" s="2"/>
    </row>
    <row r="49252" spans="3:3" x14ac:dyDescent="0.35">
      <c r="C49252" s="2"/>
    </row>
    <row r="49253" spans="3:3" x14ac:dyDescent="0.35">
      <c r="C49253" s="2"/>
    </row>
    <row r="49254" spans="3:3" x14ac:dyDescent="0.35">
      <c r="C49254" s="2"/>
    </row>
    <row r="49255" spans="3:3" x14ac:dyDescent="0.35">
      <c r="C49255" s="2"/>
    </row>
    <row r="49256" spans="3:3" x14ac:dyDescent="0.35">
      <c r="C49256" s="2"/>
    </row>
    <row r="49257" spans="3:3" x14ac:dyDescent="0.35">
      <c r="C49257" s="2"/>
    </row>
    <row r="49258" spans="3:3" x14ac:dyDescent="0.35">
      <c r="C49258" s="2"/>
    </row>
    <row r="49259" spans="3:3" x14ac:dyDescent="0.35">
      <c r="C49259" s="2"/>
    </row>
    <row r="49260" spans="3:3" x14ac:dyDescent="0.35">
      <c r="C49260" s="2"/>
    </row>
    <row r="49261" spans="3:3" x14ac:dyDescent="0.35">
      <c r="C49261" s="2"/>
    </row>
    <row r="49262" spans="3:3" x14ac:dyDescent="0.35">
      <c r="C49262" s="2"/>
    </row>
    <row r="49263" spans="3:3" x14ac:dyDescent="0.35">
      <c r="C49263" s="2"/>
    </row>
    <row r="49264" spans="3:3" x14ac:dyDescent="0.35">
      <c r="C49264" s="2"/>
    </row>
    <row r="49265" spans="3:3" x14ac:dyDescent="0.35">
      <c r="C49265" s="2"/>
    </row>
    <row r="49266" spans="3:3" x14ac:dyDescent="0.35">
      <c r="C49266" s="2"/>
    </row>
    <row r="49267" spans="3:3" x14ac:dyDescent="0.35">
      <c r="C49267" s="2"/>
    </row>
    <row r="49268" spans="3:3" x14ac:dyDescent="0.35">
      <c r="C49268" s="2"/>
    </row>
    <row r="49269" spans="3:3" x14ac:dyDescent="0.35">
      <c r="C49269" s="2"/>
    </row>
    <row r="49270" spans="3:3" x14ac:dyDescent="0.35">
      <c r="C49270" s="2"/>
    </row>
    <row r="49271" spans="3:3" x14ac:dyDescent="0.35">
      <c r="C49271" s="2"/>
    </row>
    <row r="49272" spans="3:3" x14ac:dyDescent="0.35">
      <c r="C49272" s="2"/>
    </row>
    <row r="49273" spans="3:3" x14ac:dyDescent="0.35">
      <c r="C49273" s="2"/>
    </row>
    <row r="49274" spans="3:3" x14ac:dyDescent="0.35">
      <c r="C49274" s="2"/>
    </row>
    <row r="49275" spans="3:3" x14ac:dyDescent="0.35">
      <c r="C49275" s="2"/>
    </row>
    <row r="49276" spans="3:3" x14ac:dyDescent="0.35">
      <c r="C49276" s="2"/>
    </row>
    <row r="49277" spans="3:3" x14ac:dyDescent="0.35">
      <c r="C49277" s="2"/>
    </row>
    <row r="49278" spans="3:3" x14ac:dyDescent="0.35">
      <c r="C49278" s="2"/>
    </row>
    <row r="49279" spans="3:3" x14ac:dyDescent="0.35">
      <c r="C49279" s="2"/>
    </row>
    <row r="49280" spans="3:3" x14ac:dyDescent="0.35">
      <c r="C49280" s="2"/>
    </row>
    <row r="49281" spans="3:3" x14ac:dyDescent="0.35">
      <c r="C49281" s="2"/>
    </row>
    <row r="49282" spans="3:3" x14ac:dyDescent="0.35">
      <c r="C49282" s="2"/>
    </row>
    <row r="49283" spans="3:3" x14ac:dyDescent="0.35">
      <c r="C49283" s="2"/>
    </row>
    <row r="49284" spans="3:3" x14ac:dyDescent="0.35">
      <c r="C49284" s="2"/>
    </row>
    <row r="49285" spans="3:3" x14ac:dyDescent="0.35">
      <c r="C49285" s="2"/>
    </row>
    <row r="49286" spans="3:3" x14ac:dyDescent="0.35">
      <c r="C49286" s="2"/>
    </row>
    <row r="49287" spans="3:3" x14ac:dyDescent="0.35">
      <c r="C49287" s="2"/>
    </row>
    <row r="49288" spans="3:3" x14ac:dyDescent="0.35">
      <c r="C49288" s="2"/>
    </row>
    <row r="49289" spans="3:3" x14ac:dyDescent="0.35">
      <c r="C49289" s="2"/>
    </row>
    <row r="49290" spans="3:3" x14ac:dyDescent="0.35">
      <c r="C49290" s="2"/>
    </row>
    <row r="49291" spans="3:3" x14ac:dyDescent="0.35">
      <c r="C49291" s="2"/>
    </row>
    <row r="49292" spans="3:3" x14ac:dyDescent="0.35">
      <c r="C49292" s="2"/>
    </row>
    <row r="49293" spans="3:3" x14ac:dyDescent="0.35">
      <c r="C49293" s="2"/>
    </row>
    <row r="49294" spans="3:3" x14ac:dyDescent="0.35">
      <c r="C49294" s="2"/>
    </row>
    <row r="49295" spans="3:3" x14ac:dyDescent="0.35">
      <c r="C49295" s="2"/>
    </row>
    <row r="49296" spans="3:3" x14ac:dyDescent="0.35">
      <c r="C49296" s="2"/>
    </row>
    <row r="49297" spans="3:3" x14ac:dyDescent="0.35">
      <c r="C49297" s="2"/>
    </row>
    <row r="49298" spans="3:3" x14ac:dyDescent="0.35">
      <c r="C49298" s="2"/>
    </row>
    <row r="49299" spans="3:3" x14ac:dyDescent="0.35">
      <c r="C49299" s="2"/>
    </row>
    <row r="49300" spans="3:3" x14ac:dyDescent="0.35">
      <c r="C49300" s="2"/>
    </row>
    <row r="49301" spans="3:3" x14ac:dyDescent="0.35">
      <c r="C49301" s="2"/>
    </row>
    <row r="49302" spans="3:3" x14ac:dyDescent="0.35">
      <c r="C49302" s="2"/>
    </row>
    <row r="49303" spans="3:3" x14ac:dyDescent="0.35">
      <c r="C49303" s="2"/>
    </row>
    <row r="49304" spans="3:3" x14ac:dyDescent="0.35">
      <c r="C49304" s="2"/>
    </row>
    <row r="49305" spans="3:3" x14ac:dyDescent="0.35">
      <c r="C49305" s="2"/>
    </row>
    <row r="49306" spans="3:3" x14ac:dyDescent="0.35">
      <c r="C49306" s="2"/>
    </row>
    <row r="49307" spans="3:3" x14ac:dyDescent="0.35">
      <c r="C49307" s="2"/>
    </row>
    <row r="49308" spans="3:3" x14ac:dyDescent="0.35">
      <c r="C49308" s="2"/>
    </row>
    <row r="49309" spans="3:3" x14ac:dyDescent="0.35">
      <c r="C49309" s="2"/>
    </row>
    <row r="49310" spans="3:3" x14ac:dyDescent="0.35">
      <c r="C49310" s="2"/>
    </row>
    <row r="49311" spans="3:3" x14ac:dyDescent="0.35">
      <c r="C49311" s="2"/>
    </row>
    <row r="49312" spans="3:3" x14ac:dyDescent="0.35">
      <c r="C49312" s="2"/>
    </row>
    <row r="49313" spans="3:3" x14ac:dyDescent="0.35">
      <c r="C49313" s="2"/>
    </row>
    <row r="49314" spans="3:3" x14ac:dyDescent="0.35">
      <c r="C49314" s="2"/>
    </row>
    <row r="49315" spans="3:3" x14ac:dyDescent="0.35">
      <c r="C49315" s="2"/>
    </row>
    <row r="49316" spans="3:3" x14ac:dyDescent="0.35">
      <c r="C49316" s="2"/>
    </row>
    <row r="49317" spans="3:3" x14ac:dyDescent="0.35">
      <c r="C49317" s="2"/>
    </row>
    <row r="49318" spans="3:3" x14ac:dyDescent="0.35">
      <c r="C49318" s="2"/>
    </row>
    <row r="49319" spans="3:3" x14ac:dyDescent="0.35">
      <c r="C49319" s="2"/>
    </row>
    <row r="49320" spans="3:3" x14ac:dyDescent="0.35">
      <c r="C49320" s="2"/>
    </row>
    <row r="49321" spans="3:3" x14ac:dyDescent="0.35">
      <c r="C49321" s="2"/>
    </row>
    <row r="49322" spans="3:3" x14ac:dyDescent="0.35">
      <c r="C49322" s="2"/>
    </row>
    <row r="49323" spans="3:3" x14ac:dyDescent="0.35">
      <c r="C49323" s="2"/>
    </row>
    <row r="49324" spans="3:3" x14ac:dyDescent="0.35">
      <c r="C49324" s="2"/>
    </row>
    <row r="49325" spans="3:3" x14ac:dyDescent="0.35">
      <c r="C49325" s="2"/>
    </row>
    <row r="49326" spans="3:3" x14ac:dyDescent="0.35">
      <c r="C49326" s="2"/>
    </row>
    <row r="49327" spans="3:3" x14ac:dyDescent="0.35">
      <c r="C49327" s="2"/>
    </row>
    <row r="49328" spans="3:3" x14ac:dyDescent="0.35">
      <c r="C49328" s="2"/>
    </row>
    <row r="49329" spans="3:3" x14ac:dyDescent="0.35">
      <c r="C49329" s="2"/>
    </row>
    <row r="49330" spans="3:3" x14ac:dyDescent="0.35">
      <c r="C49330" s="2"/>
    </row>
    <row r="49331" spans="3:3" x14ac:dyDescent="0.35">
      <c r="C49331" s="2"/>
    </row>
    <row r="49332" spans="3:3" x14ac:dyDescent="0.35">
      <c r="C49332" s="2"/>
    </row>
    <row r="49333" spans="3:3" x14ac:dyDescent="0.35">
      <c r="C49333" s="2"/>
    </row>
    <row r="49334" spans="3:3" x14ac:dyDescent="0.35">
      <c r="C49334" s="2"/>
    </row>
    <row r="49335" spans="3:3" x14ac:dyDescent="0.35">
      <c r="C49335" s="2"/>
    </row>
    <row r="49336" spans="3:3" x14ac:dyDescent="0.35">
      <c r="C49336" s="2"/>
    </row>
    <row r="49337" spans="3:3" x14ac:dyDescent="0.35">
      <c r="C49337" s="2"/>
    </row>
    <row r="49338" spans="3:3" x14ac:dyDescent="0.35">
      <c r="C49338" s="2"/>
    </row>
    <row r="49339" spans="3:3" x14ac:dyDescent="0.35">
      <c r="C49339" s="2"/>
    </row>
    <row r="49340" spans="3:3" x14ac:dyDescent="0.35">
      <c r="C49340" s="2"/>
    </row>
    <row r="49341" spans="3:3" x14ac:dyDescent="0.35">
      <c r="C49341" s="2"/>
    </row>
    <row r="49342" spans="3:3" x14ac:dyDescent="0.35">
      <c r="C49342" s="2"/>
    </row>
    <row r="49343" spans="3:3" x14ac:dyDescent="0.35">
      <c r="C49343" s="2"/>
    </row>
    <row r="49344" spans="3:3" x14ac:dyDescent="0.35">
      <c r="C49344" s="2"/>
    </row>
    <row r="49345" spans="3:3" x14ac:dyDescent="0.35">
      <c r="C49345" s="2"/>
    </row>
    <row r="49346" spans="3:3" x14ac:dyDescent="0.35">
      <c r="C49346" s="2"/>
    </row>
    <row r="49347" spans="3:3" x14ac:dyDescent="0.35">
      <c r="C49347" s="2"/>
    </row>
    <row r="49348" spans="3:3" x14ac:dyDescent="0.35">
      <c r="C49348" s="2"/>
    </row>
    <row r="49349" spans="3:3" x14ac:dyDescent="0.35">
      <c r="C49349" s="2"/>
    </row>
    <row r="49350" spans="3:3" x14ac:dyDescent="0.35">
      <c r="C49350" s="2"/>
    </row>
    <row r="49351" spans="3:3" x14ac:dyDescent="0.35">
      <c r="C49351" s="2"/>
    </row>
    <row r="49352" spans="3:3" x14ac:dyDescent="0.35">
      <c r="C49352" s="2"/>
    </row>
    <row r="49353" spans="3:3" x14ac:dyDescent="0.35">
      <c r="C49353" s="2"/>
    </row>
    <row r="49354" spans="3:3" x14ac:dyDescent="0.35">
      <c r="C49354" s="2"/>
    </row>
    <row r="49355" spans="3:3" x14ac:dyDescent="0.35">
      <c r="C49355" s="2"/>
    </row>
    <row r="49356" spans="3:3" x14ac:dyDescent="0.35">
      <c r="C49356" s="2"/>
    </row>
    <row r="49357" spans="3:3" x14ac:dyDescent="0.35">
      <c r="C49357" s="2"/>
    </row>
    <row r="49358" spans="3:3" x14ac:dyDescent="0.35">
      <c r="C49358" s="2"/>
    </row>
    <row r="49359" spans="3:3" x14ac:dyDescent="0.35">
      <c r="C49359" s="2"/>
    </row>
    <row r="49360" spans="3:3" x14ac:dyDescent="0.35">
      <c r="C49360" s="2"/>
    </row>
    <row r="49361" spans="3:3" x14ac:dyDescent="0.35">
      <c r="C49361" s="2"/>
    </row>
    <row r="49362" spans="3:3" x14ac:dyDescent="0.35">
      <c r="C49362" s="2"/>
    </row>
    <row r="49363" spans="3:3" x14ac:dyDescent="0.35">
      <c r="C49363" s="2"/>
    </row>
    <row r="49364" spans="3:3" x14ac:dyDescent="0.35">
      <c r="C49364" s="2"/>
    </row>
    <row r="49365" spans="3:3" x14ac:dyDescent="0.35">
      <c r="C49365" s="2"/>
    </row>
    <row r="49366" spans="3:3" x14ac:dyDescent="0.35">
      <c r="C49366" s="2"/>
    </row>
    <row r="49367" spans="3:3" x14ac:dyDescent="0.35">
      <c r="C49367" s="2"/>
    </row>
    <row r="49368" spans="3:3" x14ac:dyDescent="0.35">
      <c r="C49368" s="2"/>
    </row>
    <row r="49369" spans="3:3" x14ac:dyDescent="0.35">
      <c r="C49369" s="2"/>
    </row>
    <row r="49370" spans="3:3" x14ac:dyDescent="0.35">
      <c r="C49370" s="2"/>
    </row>
    <row r="49371" spans="3:3" x14ac:dyDescent="0.35">
      <c r="C49371" s="2"/>
    </row>
    <row r="49372" spans="3:3" x14ac:dyDescent="0.35">
      <c r="C49372" s="2"/>
    </row>
    <row r="49373" spans="3:3" x14ac:dyDescent="0.35">
      <c r="C49373" s="2"/>
    </row>
    <row r="49374" spans="3:3" x14ac:dyDescent="0.35">
      <c r="C49374" s="2"/>
    </row>
    <row r="49375" spans="3:3" x14ac:dyDescent="0.35">
      <c r="C49375" s="2"/>
    </row>
    <row r="49376" spans="3:3" x14ac:dyDescent="0.35">
      <c r="C49376" s="2"/>
    </row>
    <row r="49377" spans="3:3" x14ac:dyDescent="0.35">
      <c r="C49377" s="2"/>
    </row>
    <row r="49378" spans="3:3" x14ac:dyDescent="0.35">
      <c r="C49378" s="2"/>
    </row>
    <row r="49379" spans="3:3" x14ac:dyDescent="0.35">
      <c r="C49379" s="2"/>
    </row>
    <row r="49380" spans="3:3" x14ac:dyDescent="0.35">
      <c r="C49380" s="2"/>
    </row>
    <row r="49381" spans="3:3" x14ac:dyDescent="0.35">
      <c r="C49381" s="2"/>
    </row>
    <row r="49382" spans="3:3" x14ac:dyDescent="0.35">
      <c r="C49382" s="2"/>
    </row>
    <row r="49383" spans="3:3" x14ac:dyDescent="0.35">
      <c r="C49383" s="2"/>
    </row>
    <row r="49384" spans="3:3" x14ac:dyDescent="0.35">
      <c r="C49384" s="2"/>
    </row>
    <row r="49385" spans="3:3" x14ac:dyDescent="0.35">
      <c r="C49385" s="2"/>
    </row>
    <row r="49386" spans="3:3" x14ac:dyDescent="0.35">
      <c r="C49386" s="2"/>
    </row>
    <row r="49387" spans="3:3" x14ac:dyDescent="0.35">
      <c r="C49387" s="2"/>
    </row>
    <row r="49388" spans="3:3" x14ac:dyDescent="0.35">
      <c r="C49388" s="2"/>
    </row>
    <row r="49389" spans="3:3" x14ac:dyDescent="0.35">
      <c r="C49389" s="2"/>
    </row>
    <row r="49390" spans="3:3" x14ac:dyDescent="0.35">
      <c r="C49390" s="2"/>
    </row>
    <row r="49391" spans="3:3" x14ac:dyDescent="0.35">
      <c r="C49391" s="2"/>
    </row>
    <row r="49392" spans="3:3" x14ac:dyDescent="0.35">
      <c r="C49392" s="2"/>
    </row>
    <row r="49393" spans="3:3" x14ac:dyDescent="0.35">
      <c r="C49393" s="2"/>
    </row>
    <row r="49394" spans="3:3" x14ac:dyDescent="0.35">
      <c r="C49394" s="2"/>
    </row>
    <row r="49395" spans="3:3" x14ac:dyDescent="0.35">
      <c r="C49395" s="2"/>
    </row>
    <row r="49396" spans="3:3" x14ac:dyDescent="0.35">
      <c r="C49396" s="2"/>
    </row>
    <row r="49397" spans="3:3" x14ac:dyDescent="0.35">
      <c r="C49397" s="2"/>
    </row>
    <row r="49398" spans="3:3" x14ac:dyDescent="0.35">
      <c r="C49398" s="2"/>
    </row>
    <row r="49399" spans="3:3" x14ac:dyDescent="0.35">
      <c r="C49399" s="2"/>
    </row>
    <row r="49400" spans="3:3" x14ac:dyDescent="0.35">
      <c r="C49400" s="2"/>
    </row>
    <row r="49401" spans="3:3" x14ac:dyDescent="0.35">
      <c r="C49401" s="2"/>
    </row>
    <row r="49402" spans="3:3" x14ac:dyDescent="0.35">
      <c r="C49402" s="2"/>
    </row>
    <row r="49403" spans="3:3" x14ac:dyDescent="0.35">
      <c r="C49403" s="2"/>
    </row>
    <row r="49404" spans="3:3" x14ac:dyDescent="0.35">
      <c r="C49404" s="2"/>
    </row>
    <row r="49405" spans="3:3" x14ac:dyDescent="0.35">
      <c r="C49405" s="2"/>
    </row>
    <row r="49406" spans="3:3" x14ac:dyDescent="0.35">
      <c r="C49406" s="2"/>
    </row>
    <row r="49407" spans="3:3" x14ac:dyDescent="0.35">
      <c r="C49407" s="2"/>
    </row>
    <row r="49408" spans="3:3" x14ac:dyDescent="0.35">
      <c r="C49408" s="2"/>
    </row>
    <row r="49409" spans="3:3" x14ac:dyDescent="0.35">
      <c r="C49409" s="2"/>
    </row>
    <row r="49410" spans="3:3" x14ac:dyDescent="0.35">
      <c r="C49410" s="2"/>
    </row>
    <row r="49411" spans="3:3" x14ac:dyDescent="0.35">
      <c r="C49411" s="2"/>
    </row>
    <row r="49412" spans="3:3" x14ac:dyDescent="0.35">
      <c r="C49412" s="2"/>
    </row>
    <row r="49413" spans="3:3" x14ac:dyDescent="0.35">
      <c r="C49413" s="2"/>
    </row>
    <row r="49414" spans="3:3" x14ac:dyDescent="0.35">
      <c r="C49414" s="2"/>
    </row>
    <row r="49415" spans="3:3" x14ac:dyDescent="0.35">
      <c r="C49415" s="2"/>
    </row>
    <row r="49416" spans="3:3" x14ac:dyDescent="0.35">
      <c r="C49416" s="2"/>
    </row>
    <row r="49417" spans="3:3" x14ac:dyDescent="0.35">
      <c r="C49417" s="2"/>
    </row>
    <row r="49418" spans="3:3" x14ac:dyDescent="0.35">
      <c r="C49418" s="2"/>
    </row>
    <row r="49419" spans="3:3" x14ac:dyDescent="0.35">
      <c r="C49419" s="2"/>
    </row>
    <row r="49420" spans="3:3" x14ac:dyDescent="0.35">
      <c r="C49420" s="2"/>
    </row>
    <row r="49421" spans="3:3" x14ac:dyDescent="0.35">
      <c r="C49421" s="2"/>
    </row>
    <row r="49422" spans="3:3" x14ac:dyDescent="0.35">
      <c r="C49422" s="2"/>
    </row>
    <row r="49423" spans="3:3" x14ac:dyDescent="0.35">
      <c r="C49423" s="2"/>
    </row>
    <row r="49424" spans="3:3" x14ac:dyDescent="0.35">
      <c r="C49424" s="2"/>
    </row>
    <row r="49425" spans="3:3" x14ac:dyDescent="0.35">
      <c r="C49425" s="2"/>
    </row>
    <row r="49426" spans="3:3" x14ac:dyDescent="0.35">
      <c r="C49426" s="2"/>
    </row>
    <row r="49427" spans="3:3" x14ac:dyDescent="0.35">
      <c r="C49427" s="2"/>
    </row>
    <row r="49428" spans="3:3" x14ac:dyDescent="0.35">
      <c r="C49428" s="2"/>
    </row>
    <row r="49429" spans="3:3" x14ac:dyDescent="0.35">
      <c r="C49429" s="2"/>
    </row>
    <row r="49430" spans="3:3" x14ac:dyDescent="0.35">
      <c r="C49430" s="2"/>
    </row>
    <row r="49431" spans="3:3" x14ac:dyDescent="0.35">
      <c r="C49431" s="2"/>
    </row>
    <row r="49432" spans="3:3" x14ac:dyDescent="0.35">
      <c r="C49432" s="2"/>
    </row>
    <row r="49433" spans="3:3" x14ac:dyDescent="0.35">
      <c r="C49433" s="2"/>
    </row>
    <row r="49434" spans="3:3" x14ac:dyDescent="0.35">
      <c r="C49434" s="2"/>
    </row>
    <row r="49435" spans="3:3" x14ac:dyDescent="0.35">
      <c r="C49435" s="2"/>
    </row>
    <row r="49436" spans="3:3" x14ac:dyDescent="0.35">
      <c r="C49436" s="2"/>
    </row>
    <row r="49437" spans="3:3" x14ac:dyDescent="0.35">
      <c r="C49437" s="2"/>
    </row>
    <row r="49438" spans="3:3" x14ac:dyDescent="0.35">
      <c r="C49438" s="2"/>
    </row>
    <row r="49439" spans="3:3" x14ac:dyDescent="0.35">
      <c r="C49439" s="2"/>
    </row>
    <row r="49440" spans="3:3" x14ac:dyDescent="0.35">
      <c r="C49440" s="2"/>
    </row>
    <row r="49441" spans="3:3" x14ac:dyDescent="0.35">
      <c r="C49441" s="2"/>
    </row>
    <row r="49442" spans="3:3" x14ac:dyDescent="0.35">
      <c r="C49442" s="2"/>
    </row>
    <row r="49443" spans="3:3" x14ac:dyDescent="0.35">
      <c r="C49443" s="2"/>
    </row>
    <row r="49444" spans="3:3" x14ac:dyDescent="0.35">
      <c r="C49444" s="2"/>
    </row>
    <row r="49445" spans="3:3" x14ac:dyDescent="0.35">
      <c r="C49445" s="2"/>
    </row>
    <row r="49446" spans="3:3" x14ac:dyDescent="0.35">
      <c r="C49446" s="2"/>
    </row>
    <row r="49447" spans="3:3" x14ac:dyDescent="0.35">
      <c r="C49447" s="2"/>
    </row>
    <row r="49448" spans="3:3" x14ac:dyDescent="0.35">
      <c r="C49448" s="2"/>
    </row>
    <row r="49449" spans="3:3" x14ac:dyDescent="0.35">
      <c r="C49449" s="2"/>
    </row>
    <row r="49450" spans="3:3" x14ac:dyDescent="0.35">
      <c r="C49450" s="2"/>
    </row>
    <row r="49451" spans="3:3" x14ac:dyDescent="0.35">
      <c r="C49451" s="2"/>
    </row>
    <row r="49452" spans="3:3" x14ac:dyDescent="0.35">
      <c r="C49452" s="2"/>
    </row>
    <row r="49453" spans="3:3" x14ac:dyDescent="0.35">
      <c r="C49453" s="2"/>
    </row>
    <row r="49454" spans="3:3" x14ac:dyDescent="0.35">
      <c r="C49454" s="2"/>
    </row>
    <row r="49455" spans="3:3" x14ac:dyDescent="0.35">
      <c r="C49455" s="2"/>
    </row>
    <row r="49456" spans="3:3" x14ac:dyDescent="0.35">
      <c r="C49456" s="2"/>
    </row>
    <row r="49457" spans="3:3" x14ac:dyDescent="0.35">
      <c r="C49457" s="2"/>
    </row>
    <row r="49458" spans="3:3" x14ac:dyDescent="0.35">
      <c r="C49458" s="2"/>
    </row>
    <row r="49459" spans="3:3" x14ac:dyDescent="0.35">
      <c r="C49459" s="2"/>
    </row>
    <row r="49460" spans="3:3" x14ac:dyDescent="0.35">
      <c r="C49460" s="2"/>
    </row>
    <row r="49461" spans="3:3" x14ac:dyDescent="0.35">
      <c r="C49461" s="2"/>
    </row>
    <row r="49462" spans="3:3" x14ac:dyDescent="0.35">
      <c r="C49462" s="2"/>
    </row>
    <row r="49463" spans="3:3" x14ac:dyDescent="0.35">
      <c r="C49463" s="2"/>
    </row>
    <row r="49464" spans="3:3" x14ac:dyDescent="0.35">
      <c r="C49464" s="2"/>
    </row>
    <row r="49465" spans="3:3" x14ac:dyDescent="0.35">
      <c r="C49465" s="2"/>
    </row>
    <row r="49466" spans="3:3" x14ac:dyDescent="0.35">
      <c r="C49466" s="2"/>
    </row>
    <row r="49467" spans="3:3" x14ac:dyDescent="0.35">
      <c r="C49467" s="2"/>
    </row>
    <row r="49468" spans="3:3" x14ac:dyDescent="0.35">
      <c r="C49468" s="2"/>
    </row>
    <row r="49469" spans="3:3" x14ac:dyDescent="0.35">
      <c r="C49469" s="2"/>
    </row>
    <row r="49470" spans="3:3" x14ac:dyDescent="0.35">
      <c r="C49470" s="2"/>
    </row>
    <row r="49471" spans="3:3" x14ac:dyDescent="0.35">
      <c r="C49471" s="2"/>
    </row>
    <row r="49472" spans="3:3" x14ac:dyDescent="0.35">
      <c r="C49472" s="2"/>
    </row>
    <row r="49473" spans="3:3" x14ac:dyDescent="0.35">
      <c r="C49473" s="2"/>
    </row>
    <row r="49474" spans="3:3" x14ac:dyDescent="0.35">
      <c r="C49474" s="2"/>
    </row>
    <row r="49475" spans="3:3" x14ac:dyDescent="0.35">
      <c r="C49475" s="2"/>
    </row>
    <row r="49476" spans="3:3" x14ac:dyDescent="0.35">
      <c r="C49476" s="2"/>
    </row>
    <row r="49477" spans="3:3" x14ac:dyDescent="0.35">
      <c r="C49477" s="2"/>
    </row>
    <row r="49478" spans="3:3" x14ac:dyDescent="0.35">
      <c r="C49478" s="2"/>
    </row>
    <row r="49479" spans="3:3" x14ac:dyDescent="0.35">
      <c r="C49479" s="2"/>
    </row>
    <row r="49480" spans="3:3" x14ac:dyDescent="0.35">
      <c r="C49480" s="2"/>
    </row>
    <row r="49481" spans="3:3" x14ac:dyDescent="0.35">
      <c r="C49481" s="2"/>
    </row>
    <row r="49482" spans="3:3" x14ac:dyDescent="0.35">
      <c r="C49482" s="2"/>
    </row>
    <row r="49483" spans="3:3" x14ac:dyDescent="0.35">
      <c r="C49483" s="2"/>
    </row>
    <row r="49484" spans="3:3" x14ac:dyDescent="0.35">
      <c r="C49484" s="2"/>
    </row>
    <row r="49485" spans="3:3" x14ac:dyDescent="0.35">
      <c r="C49485" s="2"/>
    </row>
    <row r="49486" spans="3:3" x14ac:dyDescent="0.35">
      <c r="C49486" s="2"/>
    </row>
    <row r="49487" spans="3:3" x14ac:dyDescent="0.35">
      <c r="C49487" s="2"/>
    </row>
    <row r="49488" spans="3:3" x14ac:dyDescent="0.35">
      <c r="C49488" s="2"/>
    </row>
    <row r="49489" spans="3:3" x14ac:dyDescent="0.35">
      <c r="C49489" s="2"/>
    </row>
    <row r="49490" spans="3:3" x14ac:dyDescent="0.35">
      <c r="C49490" s="2"/>
    </row>
    <row r="49491" spans="3:3" x14ac:dyDescent="0.35">
      <c r="C49491" s="2"/>
    </row>
    <row r="49492" spans="3:3" x14ac:dyDescent="0.35">
      <c r="C49492" s="2"/>
    </row>
    <row r="49493" spans="3:3" x14ac:dyDescent="0.35">
      <c r="C49493" s="2"/>
    </row>
    <row r="49494" spans="3:3" x14ac:dyDescent="0.35">
      <c r="C49494" s="2"/>
    </row>
    <row r="49495" spans="3:3" x14ac:dyDescent="0.35">
      <c r="C49495" s="2"/>
    </row>
    <row r="49496" spans="3:3" x14ac:dyDescent="0.35">
      <c r="C49496" s="2"/>
    </row>
    <row r="49497" spans="3:3" x14ac:dyDescent="0.35">
      <c r="C49497" s="2"/>
    </row>
    <row r="49498" spans="3:3" x14ac:dyDescent="0.35">
      <c r="C49498" s="2"/>
    </row>
    <row r="49499" spans="3:3" x14ac:dyDescent="0.35">
      <c r="C49499" s="2"/>
    </row>
    <row r="49500" spans="3:3" x14ac:dyDescent="0.35">
      <c r="C49500" s="2"/>
    </row>
    <row r="49501" spans="3:3" x14ac:dyDescent="0.35">
      <c r="C49501" s="2"/>
    </row>
    <row r="49502" spans="3:3" x14ac:dyDescent="0.35">
      <c r="C49502" s="2"/>
    </row>
    <row r="49503" spans="3:3" x14ac:dyDescent="0.35">
      <c r="C49503" s="2"/>
    </row>
    <row r="49504" spans="3:3" x14ac:dyDescent="0.35">
      <c r="C49504" s="2"/>
    </row>
    <row r="49505" spans="3:3" x14ac:dyDescent="0.35">
      <c r="C49505" s="2"/>
    </row>
    <row r="49506" spans="3:3" x14ac:dyDescent="0.35">
      <c r="C49506" s="2"/>
    </row>
    <row r="49507" spans="3:3" x14ac:dyDescent="0.35">
      <c r="C49507" s="2"/>
    </row>
    <row r="49508" spans="3:3" x14ac:dyDescent="0.35">
      <c r="C49508" s="2"/>
    </row>
    <row r="49509" spans="3:3" x14ac:dyDescent="0.35">
      <c r="C49509" s="2"/>
    </row>
    <row r="49510" spans="3:3" x14ac:dyDescent="0.35">
      <c r="C49510" s="2"/>
    </row>
    <row r="49511" spans="3:3" x14ac:dyDescent="0.35">
      <c r="C49511" s="2"/>
    </row>
    <row r="49512" spans="3:3" x14ac:dyDescent="0.35">
      <c r="C49512" s="2"/>
    </row>
    <row r="49513" spans="3:3" x14ac:dyDescent="0.35">
      <c r="C49513" s="2"/>
    </row>
    <row r="49514" spans="3:3" x14ac:dyDescent="0.35">
      <c r="C49514" s="2"/>
    </row>
    <row r="49515" spans="3:3" x14ac:dyDescent="0.35">
      <c r="C49515" s="2"/>
    </row>
    <row r="49516" spans="3:3" x14ac:dyDescent="0.35">
      <c r="C49516" s="2"/>
    </row>
    <row r="49517" spans="3:3" x14ac:dyDescent="0.35">
      <c r="C49517" s="2"/>
    </row>
    <row r="49518" spans="3:3" x14ac:dyDescent="0.35">
      <c r="C49518" s="2"/>
    </row>
    <row r="49519" spans="3:3" x14ac:dyDescent="0.35">
      <c r="C49519" s="2"/>
    </row>
    <row r="49520" spans="3:3" x14ac:dyDescent="0.35">
      <c r="C49520" s="2"/>
    </row>
    <row r="49521" spans="3:3" x14ac:dyDescent="0.35">
      <c r="C49521" s="2"/>
    </row>
    <row r="49522" spans="3:3" x14ac:dyDescent="0.35">
      <c r="C49522" s="2"/>
    </row>
    <row r="49523" spans="3:3" x14ac:dyDescent="0.35">
      <c r="C49523" s="2"/>
    </row>
    <row r="49524" spans="3:3" x14ac:dyDescent="0.35">
      <c r="C49524" s="2"/>
    </row>
    <row r="49525" spans="3:3" x14ac:dyDescent="0.35">
      <c r="C49525" s="2"/>
    </row>
    <row r="49526" spans="3:3" x14ac:dyDescent="0.35">
      <c r="C49526" s="2"/>
    </row>
    <row r="49527" spans="3:3" x14ac:dyDescent="0.35">
      <c r="C49527" s="2"/>
    </row>
    <row r="49528" spans="3:3" x14ac:dyDescent="0.35">
      <c r="C49528" s="2"/>
    </row>
    <row r="49529" spans="3:3" x14ac:dyDescent="0.35">
      <c r="C49529" s="2"/>
    </row>
    <row r="49530" spans="3:3" x14ac:dyDescent="0.35">
      <c r="C49530" s="2"/>
    </row>
    <row r="49531" spans="3:3" x14ac:dyDescent="0.35">
      <c r="C49531" s="2"/>
    </row>
    <row r="49532" spans="3:3" x14ac:dyDescent="0.35">
      <c r="C49532" s="2"/>
    </row>
    <row r="49533" spans="3:3" x14ac:dyDescent="0.35">
      <c r="C49533" s="2"/>
    </row>
    <row r="49534" spans="3:3" x14ac:dyDescent="0.35">
      <c r="C49534" s="2"/>
    </row>
    <row r="49535" spans="3:3" x14ac:dyDescent="0.35">
      <c r="C49535" s="2"/>
    </row>
    <row r="49536" spans="3:3" x14ac:dyDescent="0.35">
      <c r="C49536" s="2"/>
    </row>
    <row r="49537" spans="3:3" x14ac:dyDescent="0.35">
      <c r="C49537" s="2"/>
    </row>
    <row r="49538" spans="3:3" x14ac:dyDescent="0.35">
      <c r="C49538" s="2"/>
    </row>
    <row r="49539" spans="3:3" x14ac:dyDescent="0.35">
      <c r="C49539" s="2"/>
    </row>
    <row r="49540" spans="3:3" x14ac:dyDescent="0.35">
      <c r="C49540" s="2"/>
    </row>
    <row r="49541" spans="3:3" x14ac:dyDescent="0.35">
      <c r="C49541" s="2"/>
    </row>
    <row r="49542" spans="3:3" x14ac:dyDescent="0.35">
      <c r="C49542" s="2"/>
    </row>
    <row r="49543" spans="3:3" x14ac:dyDescent="0.35">
      <c r="C49543" s="2"/>
    </row>
    <row r="49544" spans="3:3" x14ac:dyDescent="0.35">
      <c r="C49544" s="2"/>
    </row>
    <row r="49545" spans="3:3" x14ac:dyDescent="0.35">
      <c r="C49545" s="2"/>
    </row>
    <row r="49546" spans="3:3" x14ac:dyDescent="0.35">
      <c r="C49546" s="2"/>
    </row>
    <row r="49547" spans="3:3" x14ac:dyDescent="0.35">
      <c r="C49547" s="2"/>
    </row>
    <row r="49548" spans="3:3" x14ac:dyDescent="0.35">
      <c r="C49548" s="2"/>
    </row>
    <row r="49549" spans="3:3" x14ac:dyDescent="0.35">
      <c r="C49549" s="2"/>
    </row>
    <row r="49550" spans="3:3" x14ac:dyDescent="0.35">
      <c r="C49550" s="2"/>
    </row>
    <row r="49551" spans="3:3" x14ac:dyDescent="0.35">
      <c r="C49551" s="2"/>
    </row>
    <row r="49552" spans="3:3" x14ac:dyDescent="0.35">
      <c r="C49552" s="2"/>
    </row>
    <row r="49553" spans="3:3" x14ac:dyDescent="0.35">
      <c r="C49553" s="2"/>
    </row>
    <row r="49554" spans="3:3" x14ac:dyDescent="0.35">
      <c r="C49554" s="2"/>
    </row>
    <row r="49555" spans="3:3" x14ac:dyDescent="0.35">
      <c r="C49555" s="2"/>
    </row>
    <row r="49556" spans="3:3" x14ac:dyDescent="0.35">
      <c r="C49556" s="2"/>
    </row>
    <row r="49557" spans="3:3" x14ac:dyDescent="0.35">
      <c r="C49557" s="2"/>
    </row>
    <row r="49558" spans="3:3" x14ac:dyDescent="0.35">
      <c r="C49558" s="2"/>
    </row>
    <row r="49559" spans="3:3" x14ac:dyDescent="0.35">
      <c r="C49559" s="2"/>
    </row>
    <row r="49560" spans="3:3" x14ac:dyDescent="0.35">
      <c r="C49560" s="2"/>
    </row>
    <row r="49561" spans="3:3" x14ac:dyDescent="0.35">
      <c r="C49561" s="2"/>
    </row>
    <row r="49562" spans="3:3" x14ac:dyDescent="0.35">
      <c r="C49562" s="2"/>
    </row>
    <row r="49563" spans="3:3" x14ac:dyDescent="0.35">
      <c r="C49563" s="2"/>
    </row>
    <row r="49564" spans="3:3" x14ac:dyDescent="0.35">
      <c r="C49564" s="2"/>
    </row>
    <row r="49565" spans="3:3" x14ac:dyDescent="0.35">
      <c r="C49565" s="2"/>
    </row>
    <row r="49566" spans="3:3" x14ac:dyDescent="0.35">
      <c r="C49566" s="2"/>
    </row>
    <row r="49567" spans="3:3" x14ac:dyDescent="0.35">
      <c r="C49567" s="2"/>
    </row>
    <row r="49568" spans="3:3" x14ac:dyDescent="0.35">
      <c r="C49568" s="2"/>
    </row>
    <row r="49569" spans="3:3" x14ac:dyDescent="0.35">
      <c r="C49569" s="2"/>
    </row>
    <row r="49570" spans="3:3" x14ac:dyDescent="0.35">
      <c r="C49570" s="2"/>
    </row>
    <row r="49571" spans="3:3" x14ac:dyDescent="0.35">
      <c r="C49571" s="2"/>
    </row>
    <row r="49572" spans="3:3" x14ac:dyDescent="0.35">
      <c r="C49572" s="2"/>
    </row>
    <row r="49573" spans="3:3" x14ac:dyDescent="0.35">
      <c r="C49573" s="2"/>
    </row>
    <row r="49574" spans="3:3" x14ac:dyDescent="0.35">
      <c r="C49574" s="2"/>
    </row>
    <row r="49575" spans="3:3" x14ac:dyDescent="0.35">
      <c r="C49575" s="2"/>
    </row>
    <row r="49576" spans="3:3" x14ac:dyDescent="0.35">
      <c r="C49576" s="2"/>
    </row>
    <row r="49577" spans="3:3" x14ac:dyDescent="0.35">
      <c r="C49577" s="2"/>
    </row>
    <row r="49578" spans="3:3" x14ac:dyDescent="0.35">
      <c r="C49578" s="2"/>
    </row>
    <row r="49579" spans="3:3" x14ac:dyDescent="0.35">
      <c r="C49579" s="2"/>
    </row>
    <row r="49580" spans="3:3" x14ac:dyDescent="0.35">
      <c r="C49580" s="2"/>
    </row>
    <row r="49581" spans="3:3" x14ac:dyDescent="0.35">
      <c r="C49581" s="2"/>
    </row>
    <row r="49582" spans="3:3" x14ac:dyDescent="0.35">
      <c r="C49582" s="2"/>
    </row>
    <row r="49583" spans="3:3" x14ac:dyDescent="0.35">
      <c r="C49583" s="2"/>
    </row>
    <row r="49584" spans="3:3" x14ac:dyDescent="0.35">
      <c r="C49584" s="2"/>
    </row>
    <row r="49585" spans="3:3" x14ac:dyDescent="0.35">
      <c r="C49585" s="2"/>
    </row>
    <row r="49586" spans="3:3" x14ac:dyDescent="0.35">
      <c r="C49586" s="2"/>
    </row>
    <row r="49587" spans="3:3" x14ac:dyDescent="0.35">
      <c r="C49587" s="2"/>
    </row>
    <row r="49588" spans="3:3" x14ac:dyDescent="0.35">
      <c r="C49588" s="2"/>
    </row>
    <row r="49589" spans="3:3" x14ac:dyDescent="0.35">
      <c r="C49589" s="2"/>
    </row>
    <row r="49590" spans="3:3" x14ac:dyDescent="0.35">
      <c r="C49590" s="2"/>
    </row>
    <row r="49591" spans="3:3" x14ac:dyDescent="0.35">
      <c r="C49591" s="2"/>
    </row>
    <row r="49592" spans="3:3" x14ac:dyDescent="0.35">
      <c r="C49592" s="2"/>
    </row>
    <row r="49593" spans="3:3" x14ac:dyDescent="0.35">
      <c r="C49593" s="2"/>
    </row>
    <row r="49594" spans="3:3" x14ac:dyDescent="0.35">
      <c r="C49594" s="2"/>
    </row>
    <row r="49595" spans="3:3" x14ac:dyDescent="0.35">
      <c r="C49595" s="2"/>
    </row>
    <row r="49596" spans="3:3" x14ac:dyDescent="0.35">
      <c r="C49596" s="2"/>
    </row>
    <row r="49597" spans="3:3" x14ac:dyDescent="0.35">
      <c r="C49597" s="2"/>
    </row>
    <row r="49598" spans="3:3" x14ac:dyDescent="0.35">
      <c r="C49598" s="2"/>
    </row>
    <row r="49599" spans="3:3" x14ac:dyDescent="0.35">
      <c r="C49599" s="2"/>
    </row>
    <row r="49600" spans="3:3" x14ac:dyDescent="0.35">
      <c r="C49600" s="2"/>
    </row>
    <row r="49601" spans="3:3" x14ac:dyDescent="0.35">
      <c r="C49601" s="2"/>
    </row>
    <row r="49602" spans="3:3" x14ac:dyDescent="0.35">
      <c r="C49602" s="2"/>
    </row>
    <row r="49603" spans="3:3" x14ac:dyDescent="0.35">
      <c r="C49603" s="2"/>
    </row>
    <row r="49604" spans="3:3" x14ac:dyDescent="0.35">
      <c r="C49604" s="2"/>
    </row>
    <row r="49605" spans="3:3" x14ac:dyDescent="0.35">
      <c r="C49605" s="2"/>
    </row>
    <row r="49606" spans="3:3" x14ac:dyDescent="0.35">
      <c r="C49606" s="2"/>
    </row>
    <row r="49607" spans="3:3" x14ac:dyDescent="0.35">
      <c r="C49607" s="2"/>
    </row>
    <row r="49608" spans="3:3" x14ac:dyDescent="0.35">
      <c r="C49608" s="2"/>
    </row>
    <row r="49609" spans="3:3" x14ac:dyDescent="0.35">
      <c r="C49609" s="2"/>
    </row>
    <row r="49610" spans="3:3" x14ac:dyDescent="0.35">
      <c r="C49610" s="2"/>
    </row>
    <row r="49611" spans="3:3" x14ac:dyDescent="0.35">
      <c r="C49611" s="2"/>
    </row>
    <row r="49612" spans="3:3" x14ac:dyDescent="0.35">
      <c r="C49612" s="2"/>
    </row>
    <row r="49613" spans="3:3" x14ac:dyDescent="0.35">
      <c r="C49613" s="2"/>
    </row>
    <row r="49614" spans="3:3" x14ac:dyDescent="0.35">
      <c r="C49614" s="2"/>
    </row>
    <row r="49615" spans="3:3" x14ac:dyDescent="0.35">
      <c r="C49615" s="2"/>
    </row>
    <row r="49616" spans="3:3" x14ac:dyDescent="0.35">
      <c r="C49616" s="2"/>
    </row>
    <row r="49617" spans="3:3" x14ac:dyDescent="0.35">
      <c r="C49617" s="2"/>
    </row>
    <row r="49618" spans="3:3" x14ac:dyDescent="0.35">
      <c r="C49618" s="2"/>
    </row>
    <row r="49619" spans="3:3" x14ac:dyDescent="0.35">
      <c r="C49619" s="2"/>
    </row>
    <row r="49620" spans="3:3" x14ac:dyDescent="0.35">
      <c r="C49620" s="2"/>
    </row>
    <row r="49621" spans="3:3" x14ac:dyDescent="0.35">
      <c r="C49621" s="2"/>
    </row>
    <row r="49622" spans="3:3" x14ac:dyDescent="0.35">
      <c r="C49622" s="2"/>
    </row>
    <row r="49623" spans="3:3" x14ac:dyDescent="0.35">
      <c r="C49623" s="2"/>
    </row>
    <row r="49624" spans="3:3" x14ac:dyDescent="0.35">
      <c r="C49624" s="2"/>
    </row>
    <row r="49625" spans="3:3" x14ac:dyDescent="0.35">
      <c r="C49625" s="2"/>
    </row>
    <row r="49626" spans="3:3" x14ac:dyDescent="0.35">
      <c r="C49626" s="2"/>
    </row>
    <row r="49627" spans="3:3" x14ac:dyDescent="0.35">
      <c r="C49627" s="2"/>
    </row>
    <row r="49628" spans="3:3" x14ac:dyDescent="0.35">
      <c r="C49628" s="2"/>
    </row>
    <row r="49629" spans="3:3" x14ac:dyDescent="0.35">
      <c r="C49629" s="2"/>
    </row>
    <row r="49630" spans="3:3" x14ac:dyDescent="0.35">
      <c r="C49630" s="2"/>
    </row>
    <row r="49631" spans="3:3" x14ac:dyDescent="0.35">
      <c r="C49631" s="2"/>
    </row>
    <row r="49632" spans="3:3" x14ac:dyDescent="0.35">
      <c r="C49632" s="2"/>
    </row>
    <row r="49633" spans="3:3" x14ac:dyDescent="0.35">
      <c r="C49633" s="2"/>
    </row>
    <row r="49634" spans="3:3" x14ac:dyDescent="0.35">
      <c r="C49634" s="2"/>
    </row>
    <row r="49635" spans="3:3" x14ac:dyDescent="0.35">
      <c r="C49635" s="2"/>
    </row>
    <row r="49636" spans="3:3" x14ac:dyDescent="0.35">
      <c r="C49636" s="2"/>
    </row>
    <row r="49637" spans="3:3" x14ac:dyDescent="0.35">
      <c r="C49637" s="2"/>
    </row>
    <row r="49638" spans="3:3" x14ac:dyDescent="0.35">
      <c r="C49638" s="2"/>
    </row>
    <row r="49639" spans="3:3" x14ac:dyDescent="0.35">
      <c r="C49639" s="2"/>
    </row>
    <row r="49640" spans="3:3" x14ac:dyDescent="0.35">
      <c r="C49640" s="2"/>
    </row>
    <row r="49641" spans="3:3" x14ac:dyDescent="0.35">
      <c r="C49641" s="2"/>
    </row>
    <row r="49642" spans="3:3" x14ac:dyDescent="0.35">
      <c r="C49642" s="2"/>
    </row>
    <row r="49643" spans="3:3" x14ac:dyDescent="0.35">
      <c r="C49643" s="2"/>
    </row>
    <row r="49644" spans="3:3" x14ac:dyDescent="0.35">
      <c r="C49644" s="2"/>
    </row>
    <row r="49645" spans="3:3" x14ac:dyDescent="0.35">
      <c r="C49645" s="2"/>
    </row>
    <row r="49646" spans="3:3" x14ac:dyDescent="0.35">
      <c r="C49646" s="2"/>
    </row>
    <row r="49647" spans="3:3" x14ac:dyDescent="0.35">
      <c r="C49647" s="2"/>
    </row>
    <row r="49648" spans="3:3" x14ac:dyDescent="0.35">
      <c r="C49648" s="2"/>
    </row>
    <row r="49649" spans="3:3" x14ac:dyDescent="0.35">
      <c r="C49649" s="2"/>
    </row>
    <row r="49650" spans="3:3" x14ac:dyDescent="0.35">
      <c r="C49650" s="2"/>
    </row>
    <row r="49651" spans="3:3" x14ac:dyDescent="0.35">
      <c r="C49651" s="2"/>
    </row>
    <row r="49652" spans="3:3" x14ac:dyDescent="0.35">
      <c r="C49652" s="2"/>
    </row>
    <row r="49653" spans="3:3" x14ac:dyDescent="0.35">
      <c r="C49653" s="2"/>
    </row>
    <row r="49654" spans="3:3" x14ac:dyDescent="0.35">
      <c r="C49654" s="2"/>
    </row>
    <row r="49655" spans="3:3" x14ac:dyDescent="0.35">
      <c r="C49655" s="2"/>
    </row>
    <row r="49656" spans="3:3" x14ac:dyDescent="0.35">
      <c r="C49656" s="2"/>
    </row>
    <row r="49657" spans="3:3" x14ac:dyDescent="0.35">
      <c r="C49657" s="2"/>
    </row>
    <row r="49658" spans="3:3" x14ac:dyDescent="0.35">
      <c r="C49658" s="2"/>
    </row>
    <row r="49659" spans="3:3" x14ac:dyDescent="0.35">
      <c r="C49659" s="2"/>
    </row>
    <row r="49660" spans="3:3" x14ac:dyDescent="0.35">
      <c r="C49660" s="2"/>
    </row>
    <row r="49661" spans="3:3" x14ac:dyDescent="0.35">
      <c r="C49661" s="2"/>
    </row>
    <row r="49662" spans="3:3" x14ac:dyDescent="0.35">
      <c r="C49662" s="2"/>
    </row>
    <row r="49663" spans="3:3" x14ac:dyDescent="0.35">
      <c r="C49663" s="2"/>
    </row>
    <row r="49664" spans="3:3" x14ac:dyDescent="0.35">
      <c r="C49664" s="2"/>
    </row>
    <row r="49665" spans="3:3" x14ac:dyDescent="0.35">
      <c r="C49665" s="2"/>
    </row>
    <row r="49666" spans="3:3" x14ac:dyDescent="0.35">
      <c r="C49666" s="2"/>
    </row>
    <row r="49667" spans="3:3" x14ac:dyDescent="0.35">
      <c r="C49667" s="2"/>
    </row>
    <row r="49668" spans="3:3" x14ac:dyDescent="0.35">
      <c r="C49668" s="2"/>
    </row>
    <row r="49669" spans="3:3" x14ac:dyDescent="0.35">
      <c r="C49669" s="2"/>
    </row>
    <row r="49670" spans="3:3" x14ac:dyDescent="0.35">
      <c r="C49670" s="2"/>
    </row>
    <row r="49671" spans="3:3" x14ac:dyDescent="0.35">
      <c r="C49671" s="2"/>
    </row>
    <row r="49672" spans="3:3" x14ac:dyDescent="0.35">
      <c r="C49672" s="2"/>
    </row>
    <row r="49673" spans="3:3" x14ac:dyDescent="0.35">
      <c r="C49673" s="2"/>
    </row>
    <row r="49674" spans="3:3" x14ac:dyDescent="0.35">
      <c r="C49674" s="2"/>
    </row>
    <row r="49675" spans="3:3" x14ac:dyDescent="0.35">
      <c r="C49675" s="2"/>
    </row>
    <row r="49676" spans="3:3" x14ac:dyDescent="0.35">
      <c r="C49676" s="2"/>
    </row>
    <row r="49677" spans="3:3" x14ac:dyDescent="0.35">
      <c r="C49677" s="2"/>
    </row>
    <row r="49678" spans="3:3" x14ac:dyDescent="0.35">
      <c r="C49678" s="2"/>
    </row>
    <row r="49679" spans="3:3" x14ac:dyDescent="0.35">
      <c r="C49679" s="2"/>
    </row>
    <row r="49680" spans="3:3" x14ac:dyDescent="0.35">
      <c r="C49680" s="2"/>
    </row>
    <row r="49681" spans="3:3" x14ac:dyDescent="0.35">
      <c r="C49681" s="2"/>
    </row>
    <row r="49682" spans="3:3" x14ac:dyDescent="0.35">
      <c r="C49682" s="2"/>
    </row>
    <row r="49683" spans="3:3" x14ac:dyDescent="0.35">
      <c r="C49683" s="2"/>
    </row>
    <row r="49684" spans="3:3" x14ac:dyDescent="0.35">
      <c r="C49684" s="2"/>
    </row>
    <row r="49685" spans="3:3" x14ac:dyDescent="0.35">
      <c r="C49685" s="2"/>
    </row>
    <row r="49686" spans="3:3" x14ac:dyDescent="0.35">
      <c r="C49686" s="2"/>
    </row>
    <row r="49687" spans="3:3" x14ac:dyDescent="0.35">
      <c r="C49687" s="2"/>
    </row>
    <row r="49688" spans="3:3" x14ac:dyDescent="0.35">
      <c r="C49688" s="2"/>
    </row>
    <row r="49689" spans="3:3" x14ac:dyDescent="0.35">
      <c r="C49689" s="2"/>
    </row>
    <row r="49690" spans="3:3" x14ac:dyDescent="0.35">
      <c r="C49690" s="2"/>
    </row>
    <row r="49691" spans="3:3" x14ac:dyDescent="0.35">
      <c r="C49691" s="2"/>
    </row>
    <row r="49692" spans="3:3" x14ac:dyDescent="0.35">
      <c r="C49692" s="2"/>
    </row>
    <row r="49693" spans="3:3" x14ac:dyDescent="0.35">
      <c r="C49693" s="2"/>
    </row>
    <row r="49694" spans="3:3" x14ac:dyDescent="0.35">
      <c r="C49694" s="2"/>
    </row>
    <row r="49695" spans="3:3" x14ac:dyDescent="0.35">
      <c r="C49695" s="2"/>
    </row>
    <row r="49696" spans="3:3" x14ac:dyDescent="0.35">
      <c r="C49696" s="2"/>
    </row>
    <row r="49697" spans="3:3" x14ac:dyDescent="0.35">
      <c r="C49697" s="2"/>
    </row>
    <row r="49698" spans="3:3" x14ac:dyDescent="0.35">
      <c r="C49698" s="2"/>
    </row>
    <row r="49699" spans="3:3" x14ac:dyDescent="0.35">
      <c r="C49699" s="2"/>
    </row>
    <row r="49700" spans="3:3" x14ac:dyDescent="0.35">
      <c r="C49700" s="2"/>
    </row>
    <row r="49701" spans="3:3" x14ac:dyDescent="0.35">
      <c r="C49701" s="2"/>
    </row>
    <row r="49702" spans="3:3" x14ac:dyDescent="0.35">
      <c r="C49702" s="2"/>
    </row>
    <row r="49703" spans="3:3" x14ac:dyDescent="0.35">
      <c r="C49703" s="2"/>
    </row>
    <row r="49704" spans="3:3" x14ac:dyDescent="0.35">
      <c r="C49704" s="2"/>
    </row>
    <row r="49705" spans="3:3" x14ac:dyDescent="0.35">
      <c r="C49705" s="2"/>
    </row>
    <row r="49706" spans="3:3" x14ac:dyDescent="0.35">
      <c r="C49706" s="2"/>
    </row>
    <row r="49707" spans="3:3" x14ac:dyDescent="0.35">
      <c r="C49707" s="2"/>
    </row>
    <row r="49708" spans="3:3" x14ac:dyDescent="0.35">
      <c r="C49708" s="2"/>
    </row>
    <row r="49709" spans="3:3" x14ac:dyDescent="0.35">
      <c r="C49709" s="2"/>
    </row>
    <row r="49710" spans="3:3" x14ac:dyDescent="0.35">
      <c r="C49710" s="2"/>
    </row>
    <row r="49711" spans="3:3" x14ac:dyDescent="0.35">
      <c r="C49711" s="2"/>
    </row>
    <row r="49712" spans="3:3" x14ac:dyDescent="0.35">
      <c r="C49712" s="2"/>
    </row>
    <row r="49713" spans="3:3" x14ac:dyDescent="0.35">
      <c r="C49713" s="2"/>
    </row>
    <row r="49714" spans="3:3" x14ac:dyDescent="0.35">
      <c r="C49714" s="2"/>
    </row>
    <row r="49715" spans="3:3" x14ac:dyDescent="0.35">
      <c r="C49715" s="2"/>
    </row>
    <row r="49716" spans="3:3" x14ac:dyDescent="0.35">
      <c r="C49716" s="2"/>
    </row>
    <row r="49717" spans="3:3" x14ac:dyDescent="0.35">
      <c r="C49717" s="2"/>
    </row>
    <row r="49718" spans="3:3" x14ac:dyDescent="0.35">
      <c r="C49718" s="2"/>
    </row>
    <row r="49719" spans="3:3" x14ac:dyDescent="0.35">
      <c r="C49719" s="2"/>
    </row>
    <row r="49720" spans="3:3" x14ac:dyDescent="0.35">
      <c r="C49720" s="2"/>
    </row>
    <row r="49721" spans="3:3" x14ac:dyDescent="0.35">
      <c r="C49721" s="2"/>
    </row>
    <row r="49722" spans="3:3" x14ac:dyDescent="0.35">
      <c r="C49722" s="2"/>
    </row>
    <row r="49723" spans="3:3" x14ac:dyDescent="0.35">
      <c r="C49723" s="2"/>
    </row>
    <row r="49724" spans="3:3" x14ac:dyDescent="0.35">
      <c r="C49724" s="2"/>
    </row>
    <row r="49725" spans="3:3" x14ac:dyDescent="0.35">
      <c r="C49725" s="2"/>
    </row>
    <row r="49726" spans="3:3" x14ac:dyDescent="0.35">
      <c r="C49726" s="2"/>
    </row>
    <row r="49727" spans="3:3" x14ac:dyDescent="0.35">
      <c r="C49727" s="2"/>
    </row>
    <row r="49728" spans="3:3" x14ac:dyDescent="0.35">
      <c r="C49728" s="2"/>
    </row>
    <row r="49729" spans="3:3" x14ac:dyDescent="0.35">
      <c r="C49729" s="2"/>
    </row>
    <row r="49730" spans="3:3" x14ac:dyDescent="0.35">
      <c r="C49730" s="2"/>
    </row>
    <row r="49731" spans="3:3" x14ac:dyDescent="0.35">
      <c r="C49731" s="2"/>
    </row>
    <row r="49732" spans="3:3" x14ac:dyDescent="0.35">
      <c r="C49732" s="2"/>
    </row>
    <row r="49733" spans="3:3" x14ac:dyDescent="0.35">
      <c r="C49733" s="2"/>
    </row>
    <row r="49734" spans="3:3" x14ac:dyDescent="0.35">
      <c r="C49734" s="2"/>
    </row>
    <row r="49735" spans="3:3" x14ac:dyDescent="0.35">
      <c r="C49735" s="2"/>
    </row>
    <row r="49736" spans="3:3" x14ac:dyDescent="0.35">
      <c r="C49736" s="2"/>
    </row>
    <row r="49737" spans="3:3" x14ac:dyDescent="0.35">
      <c r="C49737" s="2"/>
    </row>
    <row r="49738" spans="3:3" x14ac:dyDescent="0.35">
      <c r="C49738" s="2"/>
    </row>
    <row r="49739" spans="3:3" x14ac:dyDescent="0.35">
      <c r="C49739" s="2"/>
    </row>
    <row r="49740" spans="3:3" x14ac:dyDescent="0.35">
      <c r="C49740" s="2"/>
    </row>
    <row r="49741" spans="3:3" x14ac:dyDescent="0.35">
      <c r="C49741" s="2"/>
    </row>
    <row r="49742" spans="3:3" x14ac:dyDescent="0.35">
      <c r="C49742" s="2"/>
    </row>
    <row r="49743" spans="3:3" x14ac:dyDescent="0.35">
      <c r="C49743" s="2"/>
    </row>
    <row r="49744" spans="3:3" x14ac:dyDescent="0.35">
      <c r="C49744" s="2"/>
    </row>
    <row r="49745" spans="3:3" x14ac:dyDescent="0.35">
      <c r="C49745" s="2"/>
    </row>
    <row r="49746" spans="3:3" x14ac:dyDescent="0.35">
      <c r="C49746" s="2"/>
    </row>
    <row r="49747" spans="3:3" x14ac:dyDescent="0.35">
      <c r="C49747" s="2"/>
    </row>
    <row r="49748" spans="3:3" x14ac:dyDescent="0.35">
      <c r="C49748" s="2"/>
    </row>
    <row r="49749" spans="3:3" x14ac:dyDescent="0.35">
      <c r="C49749" s="2"/>
    </row>
    <row r="49750" spans="3:3" x14ac:dyDescent="0.35">
      <c r="C49750" s="2"/>
    </row>
    <row r="49751" spans="3:3" x14ac:dyDescent="0.35">
      <c r="C49751" s="2"/>
    </row>
    <row r="49752" spans="3:3" x14ac:dyDescent="0.35">
      <c r="C49752" s="2"/>
    </row>
    <row r="49753" spans="3:3" x14ac:dyDescent="0.35">
      <c r="C49753" s="2"/>
    </row>
    <row r="49754" spans="3:3" x14ac:dyDescent="0.35">
      <c r="C49754" s="2"/>
    </row>
    <row r="49755" spans="3:3" x14ac:dyDescent="0.35">
      <c r="C49755" s="2"/>
    </row>
    <row r="49756" spans="3:3" x14ac:dyDescent="0.35">
      <c r="C49756" s="2"/>
    </row>
    <row r="49757" spans="3:3" x14ac:dyDescent="0.35">
      <c r="C49757" s="2"/>
    </row>
    <row r="49758" spans="3:3" x14ac:dyDescent="0.35">
      <c r="C49758" s="2"/>
    </row>
    <row r="49759" spans="3:3" x14ac:dyDescent="0.35">
      <c r="C49759" s="2"/>
    </row>
    <row r="49760" spans="3:3" x14ac:dyDescent="0.35">
      <c r="C49760" s="2"/>
    </row>
    <row r="49761" spans="3:3" x14ac:dyDescent="0.35">
      <c r="C49761" s="2"/>
    </row>
    <row r="49762" spans="3:3" x14ac:dyDescent="0.35">
      <c r="C49762" s="2"/>
    </row>
    <row r="49763" spans="3:3" x14ac:dyDescent="0.35">
      <c r="C49763" s="2"/>
    </row>
    <row r="49764" spans="3:3" x14ac:dyDescent="0.35">
      <c r="C49764" s="2"/>
    </row>
    <row r="49765" spans="3:3" x14ac:dyDescent="0.35">
      <c r="C49765" s="2"/>
    </row>
    <row r="49766" spans="3:3" x14ac:dyDescent="0.35">
      <c r="C49766" s="2"/>
    </row>
    <row r="49767" spans="3:3" x14ac:dyDescent="0.35">
      <c r="C49767" s="2"/>
    </row>
    <row r="49768" spans="3:3" x14ac:dyDescent="0.35">
      <c r="C49768" s="2"/>
    </row>
    <row r="49769" spans="3:3" x14ac:dyDescent="0.35">
      <c r="C49769" s="2"/>
    </row>
    <row r="49770" spans="3:3" x14ac:dyDescent="0.35">
      <c r="C49770" s="2"/>
    </row>
    <row r="49771" spans="3:3" x14ac:dyDescent="0.35">
      <c r="C49771" s="2"/>
    </row>
    <row r="49772" spans="3:3" x14ac:dyDescent="0.35">
      <c r="C49772" s="2"/>
    </row>
    <row r="49773" spans="3:3" x14ac:dyDescent="0.35">
      <c r="C49773" s="2"/>
    </row>
    <row r="49774" spans="3:3" x14ac:dyDescent="0.35">
      <c r="C49774" s="2"/>
    </row>
    <row r="49775" spans="3:3" x14ac:dyDescent="0.35">
      <c r="C49775" s="2"/>
    </row>
    <row r="49776" spans="3:3" x14ac:dyDescent="0.35">
      <c r="C49776" s="2"/>
    </row>
    <row r="49777" spans="3:3" x14ac:dyDescent="0.35">
      <c r="C49777" s="2"/>
    </row>
    <row r="49778" spans="3:3" x14ac:dyDescent="0.35">
      <c r="C49778" s="2"/>
    </row>
    <row r="49779" spans="3:3" x14ac:dyDescent="0.35">
      <c r="C49779" s="2"/>
    </row>
    <row r="49780" spans="3:3" x14ac:dyDescent="0.35">
      <c r="C49780" s="2"/>
    </row>
    <row r="49781" spans="3:3" x14ac:dyDescent="0.35">
      <c r="C49781" s="2"/>
    </row>
    <row r="49782" spans="3:3" x14ac:dyDescent="0.35">
      <c r="C49782" s="2"/>
    </row>
    <row r="49783" spans="3:3" x14ac:dyDescent="0.35">
      <c r="C49783" s="2"/>
    </row>
    <row r="49784" spans="3:3" x14ac:dyDescent="0.35">
      <c r="C49784" s="2"/>
    </row>
    <row r="49785" spans="3:3" x14ac:dyDescent="0.35">
      <c r="C49785" s="2"/>
    </row>
    <row r="49786" spans="3:3" x14ac:dyDescent="0.35">
      <c r="C49786" s="2"/>
    </row>
    <row r="49787" spans="3:3" x14ac:dyDescent="0.35">
      <c r="C49787" s="2"/>
    </row>
    <row r="49788" spans="3:3" x14ac:dyDescent="0.35">
      <c r="C49788" s="2"/>
    </row>
    <row r="49789" spans="3:3" x14ac:dyDescent="0.35">
      <c r="C49789" s="2"/>
    </row>
    <row r="49790" spans="3:3" x14ac:dyDescent="0.35">
      <c r="C49790" s="2"/>
    </row>
    <row r="49791" spans="3:3" x14ac:dyDescent="0.35">
      <c r="C49791" s="2"/>
    </row>
    <row r="49792" spans="3:3" x14ac:dyDescent="0.35">
      <c r="C49792" s="2"/>
    </row>
    <row r="49793" spans="3:3" x14ac:dyDescent="0.35">
      <c r="C49793" s="2"/>
    </row>
    <row r="49794" spans="3:3" x14ac:dyDescent="0.35">
      <c r="C49794" s="2"/>
    </row>
    <row r="49795" spans="3:3" x14ac:dyDescent="0.35">
      <c r="C49795" s="2"/>
    </row>
    <row r="49796" spans="3:3" x14ac:dyDescent="0.35">
      <c r="C49796" s="2"/>
    </row>
    <row r="49797" spans="3:3" x14ac:dyDescent="0.35">
      <c r="C49797" s="2"/>
    </row>
    <row r="49798" spans="3:3" x14ac:dyDescent="0.35">
      <c r="C49798" s="2"/>
    </row>
    <row r="49799" spans="3:3" x14ac:dyDescent="0.35">
      <c r="C49799" s="2"/>
    </row>
    <row r="49800" spans="3:3" x14ac:dyDescent="0.35">
      <c r="C49800" s="2"/>
    </row>
    <row r="49801" spans="3:3" x14ac:dyDescent="0.35">
      <c r="C49801" s="2"/>
    </row>
    <row r="49802" spans="3:3" x14ac:dyDescent="0.35">
      <c r="C49802" s="2"/>
    </row>
    <row r="49803" spans="3:3" x14ac:dyDescent="0.35">
      <c r="C49803" s="2"/>
    </row>
    <row r="49804" spans="3:3" x14ac:dyDescent="0.35">
      <c r="C49804" s="2"/>
    </row>
    <row r="49805" spans="3:3" x14ac:dyDescent="0.35">
      <c r="C49805" s="2"/>
    </row>
    <row r="49806" spans="3:3" x14ac:dyDescent="0.35">
      <c r="C49806" s="2"/>
    </row>
    <row r="49807" spans="3:3" x14ac:dyDescent="0.35">
      <c r="C49807" s="2"/>
    </row>
    <row r="49808" spans="3:3" x14ac:dyDescent="0.35">
      <c r="C49808" s="2"/>
    </row>
    <row r="49809" spans="3:3" x14ac:dyDescent="0.35">
      <c r="C49809" s="2"/>
    </row>
    <row r="49810" spans="3:3" x14ac:dyDescent="0.35">
      <c r="C49810" s="2"/>
    </row>
    <row r="49811" spans="3:3" x14ac:dyDescent="0.35">
      <c r="C49811" s="2"/>
    </row>
    <row r="49812" spans="3:3" x14ac:dyDescent="0.35">
      <c r="C49812" s="2"/>
    </row>
    <row r="49813" spans="3:3" x14ac:dyDescent="0.35">
      <c r="C49813" s="2"/>
    </row>
    <row r="49814" spans="3:3" x14ac:dyDescent="0.35">
      <c r="C49814" s="2"/>
    </row>
    <row r="49815" spans="3:3" x14ac:dyDescent="0.35">
      <c r="C49815" s="2"/>
    </row>
    <row r="49816" spans="3:3" x14ac:dyDescent="0.35">
      <c r="C49816" s="2"/>
    </row>
    <row r="49817" spans="3:3" x14ac:dyDescent="0.35">
      <c r="C49817" s="2"/>
    </row>
    <row r="49818" spans="3:3" x14ac:dyDescent="0.35">
      <c r="C49818" s="2"/>
    </row>
    <row r="49819" spans="3:3" x14ac:dyDescent="0.35">
      <c r="C49819" s="2"/>
    </row>
    <row r="49820" spans="3:3" x14ac:dyDescent="0.35">
      <c r="C49820" s="2"/>
    </row>
    <row r="49821" spans="3:3" x14ac:dyDescent="0.35">
      <c r="C49821" s="2"/>
    </row>
    <row r="49822" spans="3:3" x14ac:dyDescent="0.35">
      <c r="C49822" s="2"/>
    </row>
    <row r="49823" spans="3:3" x14ac:dyDescent="0.35">
      <c r="C49823" s="2"/>
    </row>
    <row r="49824" spans="3:3" x14ac:dyDescent="0.35">
      <c r="C49824" s="2"/>
    </row>
    <row r="49825" spans="3:3" x14ac:dyDescent="0.35">
      <c r="C49825" s="2"/>
    </row>
    <row r="49826" spans="3:3" x14ac:dyDescent="0.35">
      <c r="C49826" s="2"/>
    </row>
    <row r="49827" spans="3:3" x14ac:dyDescent="0.35">
      <c r="C49827" s="2"/>
    </row>
    <row r="49828" spans="3:3" x14ac:dyDescent="0.35">
      <c r="C49828" s="2"/>
    </row>
    <row r="49829" spans="3:3" x14ac:dyDescent="0.35">
      <c r="C49829" s="2"/>
    </row>
    <row r="49830" spans="3:3" x14ac:dyDescent="0.35">
      <c r="C49830" s="2"/>
    </row>
    <row r="49831" spans="3:3" x14ac:dyDescent="0.35">
      <c r="C49831" s="2"/>
    </row>
    <row r="49832" spans="3:3" x14ac:dyDescent="0.35">
      <c r="C49832" s="2"/>
    </row>
    <row r="49833" spans="3:3" x14ac:dyDescent="0.35">
      <c r="C49833" s="2"/>
    </row>
    <row r="49834" spans="3:3" x14ac:dyDescent="0.35">
      <c r="C49834" s="2"/>
    </row>
    <row r="49835" spans="3:3" x14ac:dyDescent="0.35">
      <c r="C49835" s="2"/>
    </row>
    <row r="49836" spans="3:3" x14ac:dyDescent="0.35">
      <c r="C49836" s="2"/>
    </row>
    <row r="49837" spans="3:3" x14ac:dyDescent="0.35">
      <c r="C49837" s="2"/>
    </row>
    <row r="49838" spans="3:3" x14ac:dyDescent="0.35">
      <c r="C49838" s="2"/>
    </row>
    <row r="49839" spans="3:3" x14ac:dyDescent="0.35">
      <c r="C49839" s="2"/>
    </row>
    <row r="49840" spans="3:3" x14ac:dyDescent="0.35">
      <c r="C49840" s="2"/>
    </row>
    <row r="49841" spans="3:3" x14ac:dyDescent="0.35">
      <c r="C49841" s="2"/>
    </row>
    <row r="49842" spans="3:3" x14ac:dyDescent="0.35">
      <c r="C49842" s="2"/>
    </row>
    <row r="49843" spans="3:3" x14ac:dyDescent="0.35">
      <c r="C49843" s="2"/>
    </row>
    <row r="49844" spans="3:3" x14ac:dyDescent="0.35">
      <c r="C49844" s="2"/>
    </row>
    <row r="49845" spans="3:3" x14ac:dyDescent="0.35">
      <c r="C49845" s="2"/>
    </row>
    <row r="49846" spans="3:3" x14ac:dyDescent="0.35">
      <c r="C49846" s="2"/>
    </row>
    <row r="49847" spans="3:3" x14ac:dyDescent="0.35">
      <c r="C49847" s="2"/>
    </row>
    <row r="49848" spans="3:3" x14ac:dyDescent="0.35">
      <c r="C49848" s="2"/>
    </row>
    <row r="49849" spans="3:3" x14ac:dyDescent="0.35">
      <c r="C49849" s="2"/>
    </row>
    <row r="49850" spans="3:3" x14ac:dyDescent="0.35">
      <c r="C49850" s="2"/>
    </row>
    <row r="49851" spans="3:3" x14ac:dyDescent="0.35">
      <c r="C49851" s="2"/>
    </row>
    <row r="49852" spans="3:3" x14ac:dyDescent="0.35">
      <c r="C49852" s="2"/>
    </row>
    <row r="49853" spans="3:3" x14ac:dyDescent="0.35">
      <c r="C49853" s="2"/>
    </row>
    <row r="49854" spans="3:3" x14ac:dyDescent="0.35">
      <c r="C49854" s="2"/>
    </row>
    <row r="49855" spans="3:3" x14ac:dyDescent="0.35">
      <c r="C49855" s="2"/>
    </row>
    <row r="49856" spans="3:3" x14ac:dyDescent="0.35">
      <c r="C49856" s="2"/>
    </row>
    <row r="49857" spans="3:3" x14ac:dyDescent="0.35">
      <c r="C49857" s="2"/>
    </row>
    <row r="49858" spans="3:3" x14ac:dyDescent="0.35">
      <c r="C49858" s="2"/>
    </row>
    <row r="49859" spans="3:3" x14ac:dyDescent="0.35">
      <c r="C49859" s="2"/>
    </row>
    <row r="49860" spans="3:3" x14ac:dyDescent="0.35">
      <c r="C49860" s="2"/>
    </row>
    <row r="49861" spans="3:3" x14ac:dyDescent="0.35">
      <c r="C49861" s="2"/>
    </row>
    <row r="49862" spans="3:3" x14ac:dyDescent="0.35">
      <c r="C49862" s="2"/>
    </row>
    <row r="49863" spans="3:3" x14ac:dyDescent="0.35">
      <c r="C49863" s="2"/>
    </row>
    <row r="49864" spans="3:3" x14ac:dyDescent="0.35">
      <c r="C49864" s="2"/>
    </row>
    <row r="49865" spans="3:3" x14ac:dyDescent="0.35">
      <c r="C49865" s="2"/>
    </row>
    <row r="49866" spans="3:3" x14ac:dyDescent="0.35">
      <c r="C49866" s="2"/>
    </row>
    <row r="49867" spans="3:3" x14ac:dyDescent="0.35">
      <c r="C49867" s="2"/>
    </row>
    <row r="49868" spans="3:3" x14ac:dyDescent="0.35">
      <c r="C49868" s="2"/>
    </row>
    <row r="49869" spans="3:3" x14ac:dyDescent="0.35">
      <c r="C49869" s="2"/>
    </row>
    <row r="49870" spans="3:3" x14ac:dyDescent="0.35">
      <c r="C49870" s="2"/>
    </row>
    <row r="49871" spans="3:3" x14ac:dyDescent="0.35">
      <c r="C49871" s="2"/>
    </row>
    <row r="49872" spans="3:3" x14ac:dyDescent="0.35">
      <c r="C49872" s="2"/>
    </row>
    <row r="49873" spans="3:3" x14ac:dyDescent="0.35">
      <c r="C49873" s="2"/>
    </row>
    <row r="49874" spans="3:3" x14ac:dyDescent="0.35">
      <c r="C49874" s="2"/>
    </row>
    <row r="49875" spans="3:3" x14ac:dyDescent="0.35">
      <c r="C49875" s="2"/>
    </row>
    <row r="49876" spans="3:3" x14ac:dyDescent="0.35">
      <c r="C49876" s="2"/>
    </row>
    <row r="49877" spans="3:3" x14ac:dyDescent="0.35">
      <c r="C49877" s="2"/>
    </row>
    <row r="49878" spans="3:3" x14ac:dyDescent="0.35">
      <c r="C49878" s="2"/>
    </row>
    <row r="49879" spans="3:3" x14ac:dyDescent="0.35">
      <c r="C49879" s="2"/>
    </row>
    <row r="49880" spans="3:3" x14ac:dyDescent="0.35">
      <c r="C49880" s="2"/>
    </row>
    <row r="49881" spans="3:3" x14ac:dyDescent="0.35">
      <c r="C49881" s="2"/>
    </row>
    <row r="49882" spans="3:3" x14ac:dyDescent="0.35">
      <c r="C49882" s="2"/>
    </row>
    <row r="49883" spans="3:3" x14ac:dyDescent="0.35">
      <c r="C49883" s="2"/>
    </row>
    <row r="49884" spans="3:3" x14ac:dyDescent="0.35">
      <c r="C49884" s="2"/>
    </row>
    <row r="49885" spans="3:3" x14ac:dyDescent="0.35">
      <c r="C49885" s="2"/>
    </row>
    <row r="49886" spans="3:3" x14ac:dyDescent="0.35">
      <c r="C49886" s="2"/>
    </row>
    <row r="49887" spans="3:3" x14ac:dyDescent="0.35">
      <c r="C49887" s="2"/>
    </row>
    <row r="49888" spans="3:3" x14ac:dyDescent="0.35">
      <c r="C49888" s="2"/>
    </row>
    <row r="49889" spans="3:3" x14ac:dyDescent="0.35">
      <c r="C49889" s="2"/>
    </row>
    <row r="49890" spans="3:3" x14ac:dyDescent="0.35">
      <c r="C49890" s="2"/>
    </row>
    <row r="49891" spans="3:3" x14ac:dyDescent="0.35">
      <c r="C49891" s="2"/>
    </row>
    <row r="49892" spans="3:3" x14ac:dyDescent="0.35">
      <c r="C49892" s="2"/>
    </row>
    <row r="49893" spans="3:3" x14ac:dyDescent="0.35">
      <c r="C49893" s="2"/>
    </row>
    <row r="49894" spans="3:3" x14ac:dyDescent="0.35">
      <c r="C49894" s="2"/>
    </row>
    <row r="49895" spans="3:3" x14ac:dyDescent="0.35">
      <c r="C49895" s="2"/>
    </row>
    <row r="49896" spans="3:3" x14ac:dyDescent="0.35">
      <c r="C49896" s="2"/>
    </row>
    <row r="49897" spans="3:3" x14ac:dyDescent="0.35">
      <c r="C49897" s="2"/>
    </row>
    <row r="49898" spans="3:3" x14ac:dyDescent="0.35">
      <c r="C49898" s="2"/>
    </row>
    <row r="49899" spans="3:3" x14ac:dyDescent="0.35">
      <c r="C49899" s="2"/>
    </row>
    <row r="49900" spans="3:3" x14ac:dyDescent="0.35">
      <c r="C49900" s="2"/>
    </row>
    <row r="49901" spans="3:3" x14ac:dyDescent="0.35">
      <c r="C49901" s="2"/>
    </row>
    <row r="49902" spans="3:3" x14ac:dyDescent="0.35">
      <c r="C49902" s="2"/>
    </row>
    <row r="49903" spans="3:3" x14ac:dyDescent="0.35">
      <c r="C49903" s="2"/>
    </row>
    <row r="49904" spans="3:3" x14ac:dyDescent="0.35">
      <c r="C49904" s="2"/>
    </row>
    <row r="49905" spans="3:3" x14ac:dyDescent="0.35">
      <c r="C49905" s="2"/>
    </row>
    <row r="49906" spans="3:3" x14ac:dyDescent="0.35">
      <c r="C49906" s="2"/>
    </row>
    <row r="49907" spans="3:3" x14ac:dyDescent="0.35">
      <c r="C49907" s="2"/>
    </row>
    <row r="49908" spans="3:3" x14ac:dyDescent="0.35">
      <c r="C49908" s="2"/>
    </row>
    <row r="49909" spans="3:3" x14ac:dyDescent="0.35">
      <c r="C49909" s="2"/>
    </row>
    <row r="49910" spans="3:3" x14ac:dyDescent="0.35">
      <c r="C49910" s="2"/>
    </row>
    <row r="49911" spans="3:3" x14ac:dyDescent="0.35">
      <c r="C49911" s="2"/>
    </row>
    <row r="49912" spans="3:3" x14ac:dyDescent="0.35">
      <c r="C49912" s="2"/>
    </row>
    <row r="49913" spans="3:3" x14ac:dyDescent="0.35">
      <c r="C49913" s="2"/>
    </row>
    <row r="49914" spans="3:3" x14ac:dyDescent="0.35">
      <c r="C49914" s="2"/>
    </row>
    <row r="49915" spans="3:3" x14ac:dyDescent="0.35">
      <c r="C49915" s="2"/>
    </row>
    <row r="49916" spans="3:3" x14ac:dyDescent="0.35">
      <c r="C49916" s="2"/>
    </row>
    <row r="49917" spans="3:3" x14ac:dyDescent="0.35">
      <c r="C49917" s="2"/>
    </row>
    <row r="49918" spans="3:3" x14ac:dyDescent="0.35">
      <c r="C49918" s="2"/>
    </row>
    <row r="49919" spans="3:3" x14ac:dyDescent="0.35">
      <c r="C49919" s="2"/>
    </row>
    <row r="49920" spans="3:3" x14ac:dyDescent="0.35">
      <c r="C49920" s="2"/>
    </row>
    <row r="49921" spans="3:3" x14ac:dyDescent="0.35">
      <c r="C49921" s="2"/>
    </row>
    <row r="49922" spans="3:3" x14ac:dyDescent="0.35">
      <c r="C49922" s="2"/>
    </row>
    <row r="49923" spans="3:3" x14ac:dyDescent="0.35">
      <c r="C49923" s="2"/>
    </row>
    <row r="49924" spans="3:3" x14ac:dyDescent="0.35">
      <c r="C49924" s="2"/>
    </row>
    <row r="49925" spans="3:3" x14ac:dyDescent="0.35">
      <c r="C49925" s="2"/>
    </row>
    <row r="49926" spans="3:3" x14ac:dyDescent="0.35">
      <c r="C49926" s="2"/>
    </row>
    <row r="49927" spans="3:3" x14ac:dyDescent="0.35">
      <c r="C49927" s="2"/>
    </row>
    <row r="49928" spans="3:3" x14ac:dyDescent="0.35">
      <c r="C49928" s="2"/>
    </row>
    <row r="49929" spans="3:3" x14ac:dyDescent="0.35">
      <c r="C49929" s="2"/>
    </row>
    <row r="49930" spans="3:3" x14ac:dyDescent="0.35">
      <c r="C49930" s="2"/>
    </row>
    <row r="49931" spans="3:3" x14ac:dyDescent="0.35">
      <c r="C49931" s="2"/>
    </row>
    <row r="49932" spans="3:3" x14ac:dyDescent="0.35">
      <c r="C49932" s="2"/>
    </row>
    <row r="49933" spans="3:3" x14ac:dyDescent="0.35">
      <c r="C49933" s="2"/>
    </row>
    <row r="49934" spans="3:3" x14ac:dyDescent="0.35">
      <c r="C49934" s="2"/>
    </row>
    <row r="49935" spans="3:3" x14ac:dyDescent="0.35">
      <c r="C49935" s="2"/>
    </row>
    <row r="49936" spans="3:3" x14ac:dyDescent="0.35">
      <c r="C49936" s="2"/>
    </row>
    <row r="49937" spans="3:3" x14ac:dyDescent="0.35">
      <c r="C49937" s="2"/>
    </row>
    <row r="49938" spans="3:3" x14ac:dyDescent="0.35">
      <c r="C49938" s="2"/>
    </row>
    <row r="49939" spans="3:3" x14ac:dyDescent="0.35">
      <c r="C49939" s="2"/>
    </row>
    <row r="49940" spans="3:3" x14ac:dyDescent="0.35">
      <c r="C49940" s="2"/>
    </row>
    <row r="49941" spans="3:3" x14ac:dyDescent="0.35">
      <c r="C49941" s="2"/>
    </row>
    <row r="49942" spans="3:3" x14ac:dyDescent="0.35">
      <c r="C49942" s="2"/>
    </row>
    <row r="49943" spans="3:3" x14ac:dyDescent="0.35">
      <c r="C49943" s="2"/>
    </row>
    <row r="49944" spans="3:3" x14ac:dyDescent="0.35">
      <c r="C49944" s="2"/>
    </row>
    <row r="49945" spans="3:3" x14ac:dyDescent="0.35">
      <c r="C49945" s="2"/>
    </row>
    <row r="49946" spans="3:3" x14ac:dyDescent="0.35">
      <c r="C49946" s="2"/>
    </row>
    <row r="49947" spans="3:3" x14ac:dyDescent="0.35">
      <c r="C49947" s="2"/>
    </row>
    <row r="49948" spans="3:3" x14ac:dyDescent="0.35">
      <c r="C49948" s="2"/>
    </row>
    <row r="49949" spans="3:3" x14ac:dyDescent="0.35">
      <c r="C49949" s="2"/>
    </row>
    <row r="49950" spans="3:3" x14ac:dyDescent="0.35">
      <c r="C49950" s="2"/>
    </row>
    <row r="49951" spans="3:3" x14ac:dyDescent="0.35">
      <c r="C49951" s="2"/>
    </row>
    <row r="49952" spans="3:3" x14ac:dyDescent="0.35">
      <c r="C49952" s="2"/>
    </row>
    <row r="49953" spans="3:3" x14ac:dyDescent="0.35">
      <c r="C49953" s="2"/>
    </row>
    <row r="49954" spans="3:3" x14ac:dyDescent="0.35">
      <c r="C49954" s="2"/>
    </row>
    <row r="49955" spans="3:3" x14ac:dyDescent="0.35">
      <c r="C49955" s="2"/>
    </row>
    <row r="49956" spans="3:3" x14ac:dyDescent="0.35">
      <c r="C49956" s="2"/>
    </row>
    <row r="49957" spans="3:3" x14ac:dyDescent="0.35">
      <c r="C49957" s="2"/>
    </row>
    <row r="49958" spans="3:3" x14ac:dyDescent="0.35">
      <c r="C49958" s="2"/>
    </row>
    <row r="49959" spans="3:3" x14ac:dyDescent="0.35">
      <c r="C49959" s="2"/>
    </row>
    <row r="49960" spans="3:3" x14ac:dyDescent="0.35">
      <c r="C49960" s="2"/>
    </row>
    <row r="49961" spans="3:3" x14ac:dyDescent="0.35">
      <c r="C49961" s="2"/>
    </row>
    <row r="49962" spans="3:3" x14ac:dyDescent="0.35">
      <c r="C49962" s="2"/>
    </row>
    <row r="49963" spans="3:3" x14ac:dyDescent="0.35">
      <c r="C49963" s="2"/>
    </row>
    <row r="49964" spans="3:3" x14ac:dyDescent="0.35">
      <c r="C49964" s="2"/>
    </row>
    <row r="49965" spans="3:3" x14ac:dyDescent="0.35">
      <c r="C49965" s="2"/>
    </row>
    <row r="49966" spans="3:3" x14ac:dyDescent="0.35">
      <c r="C49966" s="2"/>
    </row>
    <row r="49967" spans="3:3" x14ac:dyDescent="0.35">
      <c r="C49967" s="2"/>
    </row>
    <row r="49968" spans="3:3" x14ac:dyDescent="0.35">
      <c r="C49968" s="2"/>
    </row>
    <row r="49969" spans="3:3" x14ac:dyDescent="0.35">
      <c r="C49969" s="2"/>
    </row>
    <row r="49970" spans="3:3" x14ac:dyDescent="0.35">
      <c r="C49970" s="2"/>
    </row>
    <row r="49971" spans="3:3" x14ac:dyDescent="0.35">
      <c r="C49971" s="2"/>
    </row>
    <row r="49972" spans="3:3" x14ac:dyDescent="0.35">
      <c r="C49972" s="2"/>
    </row>
    <row r="49973" spans="3:3" x14ac:dyDescent="0.35">
      <c r="C49973" s="2"/>
    </row>
    <row r="49974" spans="3:3" x14ac:dyDescent="0.35">
      <c r="C49974" s="2"/>
    </row>
    <row r="49975" spans="3:3" x14ac:dyDescent="0.35">
      <c r="C49975" s="2"/>
    </row>
    <row r="49976" spans="3:3" x14ac:dyDescent="0.35">
      <c r="C49976" s="2"/>
    </row>
    <row r="49977" spans="3:3" x14ac:dyDescent="0.35">
      <c r="C49977" s="2"/>
    </row>
    <row r="49978" spans="3:3" x14ac:dyDescent="0.35">
      <c r="C49978" s="2"/>
    </row>
    <row r="49979" spans="3:3" x14ac:dyDescent="0.35">
      <c r="C49979" s="2"/>
    </row>
    <row r="49980" spans="3:3" x14ac:dyDescent="0.35">
      <c r="C49980" s="2"/>
    </row>
    <row r="49981" spans="3:3" x14ac:dyDescent="0.35">
      <c r="C49981" s="2"/>
    </row>
    <row r="49982" spans="3:3" x14ac:dyDescent="0.35">
      <c r="C49982" s="2"/>
    </row>
    <row r="49983" spans="3:3" x14ac:dyDescent="0.35">
      <c r="C49983" s="2"/>
    </row>
    <row r="49984" spans="3:3" x14ac:dyDescent="0.35">
      <c r="C49984" s="2"/>
    </row>
    <row r="49985" spans="3:3" x14ac:dyDescent="0.35">
      <c r="C49985" s="2"/>
    </row>
    <row r="49986" spans="3:3" x14ac:dyDescent="0.35">
      <c r="C49986" s="2"/>
    </row>
    <row r="49987" spans="3:3" x14ac:dyDescent="0.35">
      <c r="C49987" s="2"/>
    </row>
    <row r="49988" spans="3:3" x14ac:dyDescent="0.35">
      <c r="C49988" s="2"/>
    </row>
    <row r="49989" spans="3:3" x14ac:dyDescent="0.35">
      <c r="C49989" s="2"/>
    </row>
    <row r="49990" spans="3:3" x14ac:dyDescent="0.35">
      <c r="C49990" s="2"/>
    </row>
    <row r="49991" spans="3:3" x14ac:dyDescent="0.35">
      <c r="C49991" s="2"/>
    </row>
    <row r="49992" spans="3:3" x14ac:dyDescent="0.35">
      <c r="C49992" s="2"/>
    </row>
    <row r="49993" spans="3:3" x14ac:dyDescent="0.35">
      <c r="C49993" s="2"/>
    </row>
    <row r="49994" spans="3:3" x14ac:dyDescent="0.35">
      <c r="C49994" s="2"/>
    </row>
    <row r="49995" spans="3:3" x14ac:dyDescent="0.35">
      <c r="C49995" s="2"/>
    </row>
    <row r="49996" spans="3:3" x14ac:dyDescent="0.35">
      <c r="C49996" s="2"/>
    </row>
    <row r="49997" spans="3:3" x14ac:dyDescent="0.35">
      <c r="C49997" s="2"/>
    </row>
    <row r="49998" spans="3:3" x14ac:dyDescent="0.35">
      <c r="C49998" s="2"/>
    </row>
    <row r="49999" spans="3:3" x14ac:dyDescent="0.35">
      <c r="C49999" s="2"/>
    </row>
    <row r="50000" spans="3:3" x14ac:dyDescent="0.35">
      <c r="C50000" s="2"/>
    </row>
    <row r="50001" spans="3:3" x14ac:dyDescent="0.35">
      <c r="C50001" s="2"/>
    </row>
    <row r="50002" spans="3:3" x14ac:dyDescent="0.35">
      <c r="C50002" s="2"/>
    </row>
    <row r="50003" spans="3:3" x14ac:dyDescent="0.35">
      <c r="C50003" s="2"/>
    </row>
    <row r="50004" spans="3:3" x14ac:dyDescent="0.35">
      <c r="C50004" s="2"/>
    </row>
    <row r="50005" spans="3:3" x14ac:dyDescent="0.35">
      <c r="C50005" s="2"/>
    </row>
    <row r="50006" spans="3:3" x14ac:dyDescent="0.35">
      <c r="C50006" s="2"/>
    </row>
    <row r="50007" spans="3:3" x14ac:dyDescent="0.35">
      <c r="C50007" s="2"/>
    </row>
    <row r="50008" spans="3:3" x14ac:dyDescent="0.35">
      <c r="C50008" s="2"/>
    </row>
    <row r="50009" spans="3:3" x14ac:dyDescent="0.35">
      <c r="C50009" s="2"/>
    </row>
    <row r="50010" spans="3:3" x14ac:dyDescent="0.35">
      <c r="C50010" s="2"/>
    </row>
    <row r="50011" spans="3:3" x14ac:dyDescent="0.35">
      <c r="C50011" s="2"/>
    </row>
    <row r="50012" spans="3:3" x14ac:dyDescent="0.35">
      <c r="C50012" s="2"/>
    </row>
    <row r="50013" spans="3:3" x14ac:dyDescent="0.35">
      <c r="C50013" s="2"/>
    </row>
    <row r="50014" spans="3:3" x14ac:dyDescent="0.35">
      <c r="C50014" s="2"/>
    </row>
    <row r="50015" spans="3:3" x14ac:dyDescent="0.35">
      <c r="C50015" s="2"/>
    </row>
    <row r="50016" spans="3:3" x14ac:dyDescent="0.35">
      <c r="C50016" s="2"/>
    </row>
    <row r="50017" spans="3:3" x14ac:dyDescent="0.35">
      <c r="C50017" s="2"/>
    </row>
    <row r="50018" spans="3:3" x14ac:dyDescent="0.35">
      <c r="C50018" s="2"/>
    </row>
    <row r="50019" spans="3:3" x14ac:dyDescent="0.35">
      <c r="C50019" s="2"/>
    </row>
    <row r="50020" spans="3:3" x14ac:dyDescent="0.35">
      <c r="C50020" s="2"/>
    </row>
    <row r="50021" spans="3:3" x14ac:dyDescent="0.35">
      <c r="C50021" s="2"/>
    </row>
    <row r="50022" spans="3:3" x14ac:dyDescent="0.35">
      <c r="C50022" s="2"/>
    </row>
    <row r="50023" spans="3:3" x14ac:dyDescent="0.35">
      <c r="C50023" s="2"/>
    </row>
    <row r="50024" spans="3:3" x14ac:dyDescent="0.35">
      <c r="C50024" s="2"/>
    </row>
    <row r="50025" spans="3:3" x14ac:dyDescent="0.35">
      <c r="C50025" s="2"/>
    </row>
    <row r="50026" spans="3:3" x14ac:dyDescent="0.35">
      <c r="C50026" s="2"/>
    </row>
    <row r="50027" spans="3:3" x14ac:dyDescent="0.35">
      <c r="C50027" s="2"/>
    </row>
    <row r="50028" spans="3:3" x14ac:dyDescent="0.35">
      <c r="C50028" s="2"/>
    </row>
    <row r="50029" spans="3:3" x14ac:dyDescent="0.35">
      <c r="C50029" s="2"/>
    </row>
    <row r="50030" spans="3:3" x14ac:dyDescent="0.35">
      <c r="C50030" s="2"/>
    </row>
    <row r="50031" spans="3:3" x14ac:dyDescent="0.35">
      <c r="C50031" s="2"/>
    </row>
    <row r="50032" spans="3:3" x14ac:dyDescent="0.35">
      <c r="C50032" s="2"/>
    </row>
    <row r="50033" spans="3:3" x14ac:dyDescent="0.35">
      <c r="C50033" s="2"/>
    </row>
    <row r="50034" spans="3:3" x14ac:dyDescent="0.35">
      <c r="C50034" s="2"/>
    </row>
    <row r="50035" spans="3:3" x14ac:dyDescent="0.35">
      <c r="C50035" s="2"/>
    </row>
    <row r="50036" spans="3:3" x14ac:dyDescent="0.35">
      <c r="C50036" s="2"/>
    </row>
    <row r="50037" spans="3:3" x14ac:dyDescent="0.35">
      <c r="C50037" s="2"/>
    </row>
    <row r="50038" spans="3:3" x14ac:dyDescent="0.35">
      <c r="C50038" s="2"/>
    </row>
    <row r="50039" spans="3:3" x14ac:dyDescent="0.35">
      <c r="C50039" s="2"/>
    </row>
    <row r="50040" spans="3:3" x14ac:dyDescent="0.35">
      <c r="C50040" s="2"/>
    </row>
    <row r="50041" spans="3:3" x14ac:dyDescent="0.35">
      <c r="C50041" s="2"/>
    </row>
    <row r="50042" spans="3:3" x14ac:dyDescent="0.35">
      <c r="C50042" s="2"/>
    </row>
    <row r="50043" spans="3:3" x14ac:dyDescent="0.35">
      <c r="C50043" s="2"/>
    </row>
    <row r="50044" spans="3:3" x14ac:dyDescent="0.35">
      <c r="C50044" s="2"/>
    </row>
    <row r="50045" spans="3:3" x14ac:dyDescent="0.35">
      <c r="C50045" s="2"/>
    </row>
    <row r="50046" spans="3:3" x14ac:dyDescent="0.35">
      <c r="C50046" s="2"/>
    </row>
    <row r="50047" spans="3:3" x14ac:dyDescent="0.35">
      <c r="C50047" s="2"/>
    </row>
    <row r="50048" spans="3:3" x14ac:dyDescent="0.35">
      <c r="C50048" s="2"/>
    </row>
    <row r="50049" spans="3:3" x14ac:dyDescent="0.35">
      <c r="C50049" s="2"/>
    </row>
    <row r="50050" spans="3:3" x14ac:dyDescent="0.35">
      <c r="C50050" s="2"/>
    </row>
    <row r="50051" spans="3:3" x14ac:dyDescent="0.35">
      <c r="C50051" s="2"/>
    </row>
    <row r="50052" spans="3:3" x14ac:dyDescent="0.35">
      <c r="C50052" s="2"/>
    </row>
    <row r="50053" spans="3:3" x14ac:dyDescent="0.35">
      <c r="C50053" s="2"/>
    </row>
    <row r="50054" spans="3:3" x14ac:dyDescent="0.35">
      <c r="C50054" s="2"/>
    </row>
    <row r="50055" spans="3:3" x14ac:dyDescent="0.35">
      <c r="C50055" s="2"/>
    </row>
    <row r="50056" spans="3:3" x14ac:dyDescent="0.35">
      <c r="C50056" s="2"/>
    </row>
    <row r="50057" spans="3:3" x14ac:dyDescent="0.35">
      <c r="C50057" s="2"/>
    </row>
    <row r="50058" spans="3:3" x14ac:dyDescent="0.35">
      <c r="C50058" s="2"/>
    </row>
    <row r="50059" spans="3:3" x14ac:dyDescent="0.35">
      <c r="C50059" s="2"/>
    </row>
    <row r="50060" spans="3:3" x14ac:dyDescent="0.35">
      <c r="C50060" s="2"/>
    </row>
    <row r="50061" spans="3:3" x14ac:dyDescent="0.35">
      <c r="C50061" s="2"/>
    </row>
    <row r="50062" spans="3:3" x14ac:dyDescent="0.35">
      <c r="C50062" s="2"/>
    </row>
    <row r="50063" spans="3:3" x14ac:dyDescent="0.35">
      <c r="C50063" s="2"/>
    </row>
    <row r="50064" spans="3:3" x14ac:dyDescent="0.35">
      <c r="C50064" s="2"/>
    </row>
    <row r="50065" spans="3:3" x14ac:dyDescent="0.35">
      <c r="C50065" s="2"/>
    </row>
    <row r="50066" spans="3:3" x14ac:dyDescent="0.35">
      <c r="C50066" s="2"/>
    </row>
    <row r="50067" spans="3:3" x14ac:dyDescent="0.35">
      <c r="C50067" s="2"/>
    </row>
    <row r="50068" spans="3:3" x14ac:dyDescent="0.35">
      <c r="C50068" s="2"/>
    </row>
    <row r="50069" spans="3:3" x14ac:dyDescent="0.35">
      <c r="C50069" s="2"/>
    </row>
    <row r="50070" spans="3:3" x14ac:dyDescent="0.35">
      <c r="C50070" s="2"/>
    </row>
    <row r="50071" spans="3:3" x14ac:dyDescent="0.35">
      <c r="C50071" s="2"/>
    </row>
    <row r="50072" spans="3:3" x14ac:dyDescent="0.35">
      <c r="C50072" s="2"/>
    </row>
    <row r="50073" spans="3:3" x14ac:dyDescent="0.35">
      <c r="C50073" s="2"/>
    </row>
    <row r="50074" spans="3:3" x14ac:dyDescent="0.35">
      <c r="C50074" s="2"/>
    </row>
    <row r="50075" spans="3:3" x14ac:dyDescent="0.35">
      <c r="C50075" s="2"/>
    </row>
    <row r="50076" spans="3:3" x14ac:dyDescent="0.35">
      <c r="C50076" s="2"/>
    </row>
    <row r="50077" spans="3:3" x14ac:dyDescent="0.35">
      <c r="C50077" s="2"/>
    </row>
    <row r="50078" spans="3:3" x14ac:dyDescent="0.35">
      <c r="C50078" s="2"/>
    </row>
    <row r="50079" spans="3:3" x14ac:dyDescent="0.35">
      <c r="C50079" s="2"/>
    </row>
    <row r="50080" spans="3:3" x14ac:dyDescent="0.35">
      <c r="C50080" s="2"/>
    </row>
    <row r="50081" spans="3:3" x14ac:dyDescent="0.35">
      <c r="C50081" s="2"/>
    </row>
    <row r="50082" spans="3:3" x14ac:dyDescent="0.35">
      <c r="C50082" s="2"/>
    </row>
    <row r="50083" spans="3:3" x14ac:dyDescent="0.35">
      <c r="C50083" s="2"/>
    </row>
    <row r="50084" spans="3:3" x14ac:dyDescent="0.35">
      <c r="C50084" s="2"/>
    </row>
    <row r="50085" spans="3:3" x14ac:dyDescent="0.35">
      <c r="C50085" s="2"/>
    </row>
    <row r="50086" spans="3:3" x14ac:dyDescent="0.35">
      <c r="C50086" s="2"/>
    </row>
    <row r="50087" spans="3:3" x14ac:dyDescent="0.35">
      <c r="C50087" s="2"/>
    </row>
    <row r="50088" spans="3:3" x14ac:dyDescent="0.35">
      <c r="C50088" s="2"/>
    </row>
    <row r="50089" spans="3:3" x14ac:dyDescent="0.35">
      <c r="C50089" s="2"/>
    </row>
    <row r="50090" spans="3:3" x14ac:dyDescent="0.35">
      <c r="C50090" s="2"/>
    </row>
    <row r="50091" spans="3:3" x14ac:dyDescent="0.35">
      <c r="C50091" s="2"/>
    </row>
    <row r="50092" spans="3:3" x14ac:dyDescent="0.35">
      <c r="C50092" s="2"/>
    </row>
    <row r="50093" spans="3:3" x14ac:dyDescent="0.35">
      <c r="C50093" s="2"/>
    </row>
    <row r="50094" spans="3:3" x14ac:dyDescent="0.35">
      <c r="C50094" s="2"/>
    </row>
    <row r="50095" spans="3:3" x14ac:dyDescent="0.35">
      <c r="C50095" s="2"/>
    </row>
    <row r="50096" spans="3:3" x14ac:dyDescent="0.35">
      <c r="C50096" s="2"/>
    </row>
    <row r="50097" spans="3:3" x14ac:dyDescent="0.35">
      <c r="C50097" s="2"/>
    </row>
    <row r="50098" spans="3:3" x14ac:dyDescent="0.35">
      <c r="C50098" s="2"/>
    </row>
    <row r="50099" spans="3:3" x14ac:dyDescent="0.35">
      <c r="C50099" s="2"/>
    </row>
    <row r="50100" spans="3:3" x14ac:dyDescent="0.35">
      <c r="C50100" s="2"/>
    </row>
    <row r="50101" spans="3:3" x14ac:dyDescent="0.35">
      <c r="C50101" s="2"/>
    </row>
    <row r="50102" spans="3:3" x14ac:dyDescent="0.35">
      <c r="C50102" s="2"/>
    </row>
    <row r="50103" spans="3:3" x14ac:dyDescent="0.35">
      <c r="C50103" s="2"/>
    </row>
    <row r="50104" spans="3:3" x14ac:dyDescent="0.35">
      <c r="C50104" s="2"/>
    </row>
    <row r="50105" spans="3:3" x14ac:dyDescent="0.35">
      <c r="C50105" s="2"/>
    </row>
    <row r="50106" spans="3:3" x14ac:dyDescent="0.35">
      <c r="C50106" s="2"/>
    </row>
    <row r="50107" spans="3:3" x14ac:dyDescent="0.35">
      <c r="C50107" s="2"/>
    </row>
    <row r="50108" spans="3:3" x14ac:dyDescent="0.35">
      <c r="C50108" s="2"/>
    </row>
    <row r="50109" spans="3:3" x14ac:dyDescent="0.35">
      <c r="C50109" s="2"/>
    </row>
    <row r="50110" spans="3:3" x14ac:dyDescent="0.35">
      <c r="C50110" s="2"/>
    </row>
    <row r="50111" spans="3:3" x14ac:dyDescent="0.35">
      <c r="C50111" s="2"/>
    </row>
    <row r="50112" spans="3:3" x14ac:dyDescent="0.35">
      <c r="C50112" s="2"/>
    </row>
    <row r="50113" spans="3:3" x14ac:dyDescent="0.35">
      <c r="C50113" s="2"/>
    </row>
    <row r="50114" spans="3:3" x14ac:dyDescent="0.35">
      <c r="C50114" s="2"/>
    </row>
    <row r="50115" spans="3:3" x14ac:dyDescent="0.35">
      <c r="C50115" s="2"/>
    </row>
    <row r="50116" spans="3:3" x14ac:dyDescent="0.35">
      <c r="C50116" s="2"/>
    </row>
    <row r="50117" spans="3:3" x14ac:dyDescent="0.35">
      <c r="C50117" s="2"/>
    </row>
    <row r="50118" spans="3:3" x14ac:dyDescent="0.35">
      <c r="C50118" s="2"/>
    </row>
    <row r="50119" spans="3:3" x14ac:dyDescent="0.35">
      <c r="C50119" s="2"/>
    </row>
    <row r="50120" spans="3:3" x14ac:dyDescent="0.35">
      <c r="C50120" s="2"/>
    </row>
    <row r="50121" spans="3:3" x14ac:dyDescent="0.35">
      <c r="C50121" s="2"/>
    </row>
    <row r="50122" spans="3:3" x14ac:dyDescent="0.35">
      <c r="C50122" s="2"/>
    </row>
    <row r="50123" spans="3:3" x14ac:dyDescent="0.35">
      <c r="C50123" s="2"/>
    </row>
    <row r="50124" spans="3:3" x14ac:dyDescent="0.35">
      <c r="C50124" s="2"/>
    </row>
    <row r="50125" spans="3:3" x14ac:dyDescent="0.35">
      <c r="C50125" s="2"/>
    </row>
    <row r="50126" spans="3:3" x14ac:dyDescent="0.35">
      <c r="C50126" s="2"/>
    </row>
    <row r="50127" spans="3:3" x14ac:dyDescent="0.35">
      <c r="C50127" s="2"/>
    </row>
    <row r="50128" spans="3:3" x14ac:dyDescent="0.35">
      <c r="C50128" s="2"/>
    </row>
    <row r="50129" spans="3:3" x14ac:dyDescent="0.35">
      <c r="C50129" s="2"/>
    </row>
    <row r="50130" spans="3:3" x14ac:dyDescent="0.35">
      <c r="C50130" s="2"/>
    </row>
    <row r="50131" spans="3:3" x14ac:dyDescent="0.35">
      <c r="C50131" s="2"/>
    </row>
    <row r="50132" spans="3:3" x14ac:dyDescent="0.35">
      <c r="C50132" s="2"/>
    </row>
    <row r="50133" spans="3:3" x14ac:dyDescent="0.35">
      <c r="C50133" s="2"/>
    </row>
    <row r="50134" spans="3:3" x14ac:dyDescent="0.35">
      <c r="C50134" s="2"/>
    </row>
    <row r="50135" spans="3:3" x14ac:dyDescent="0.35">
      <c r="C50135" s="2"/>
    </row>
    <row r="50136" spans="3:3" x14ac:dyDescent="0.35">
      <c r="C50136" s="2"/>
    </row>
    <row r="50137" spans="3:3" x14ac:dyDescent="0.35">
      <c r="C50137" s="2"/>
    </row>
    <row r="50138" spans="3:3" x14ac:dyDescent="0.35">
      <c r="C50138" s="2"/>
    </row>
    <row r="50139" spans="3:3" x14ac:dyDescent="0.35">
      <c r="C50139" s="2"/>
    </row>
    <row r="50140" spans="3:3" x14ac:dyDescent="0.35">
      <c r="C50140" s="2"/>
    </row>
    <row r="50141" spans="3:3" x14ac:dyDescent="0.35">
      <c r="C50141" s="2"/>
    </row>
    <row r="50142" spans="3:3" x14ac:dyDescent="0.35">
      <c r="C50142" s="2"/>
    </row>
    <row r="50143" spans="3:3" x14ac:dyDescent="0.35">
      <c r="C50143" s="2"/>
    </row>
    <row r="50144" spans="3:3" x14ac:dyDescent="0.35">
      <c r="C50144" s="2"/>
    </row>
    <row r="50145" spans="3:3" x14ac:dyDescent="0.35">
      <c r="C50145" s="2"/>
    </row>
    <row r="50146" spans="3:3" x14ac:dyDescent="0.35">
      <c r="C50146" s="2"/>
    </row>
    <row r="50147" spans="3:3" x14ac:dyDescent="0.35">
      <c r="C50147" s="2"/>
    </row>
    <row r="50148" spans="3:3" x14ac:dyDescent="0.35">
      <c r="C50148" s="2"/>
    </row>
    <row r="50149" spans="3:3" x14ac:dyDescent="0.35">
      <c r="C50149" s="2"/>
    </row>
    <row r="50150" spans="3:3" x14ac:dyDescent="0.35">
      <c r="C50150" s="2"/>
    </row>
    <row r="50151" spans="3:3" x14ac:dyDescent="0.35">
      <c r="C50151" s="2"/>
    </row>
    <row r="50152" spans="3:3" x14ac:dyDescent="0.35">
      <c r="C50152" s="2"/>
    </row>
    <row r="50153" spans="3:3" x14ac:dyDescent="0.35">
      <c r="C50153" s="2"/>
    </row>
    <row r="50154" spans="3:3" x14ac:dyDescent="0.35">
      <c r="C50154" s="2"/>
    </row>
    <row r="50155" spans="3:3" x14ac:dyDescent="0.35">
      <c r="C50155" s="2"/>
    </row>
    <row r="50156" spans="3:3" x14ac:dyDescent="0.35">
      <c r="C50156" s="2"/>
    </row>
    <row r="50157" spans="3:3" x14ac:dyDescent="0.35">
      <c r="C50157" s="2"/>
    </row>
    <row r="50158" spans="3:3" x14ac:dyDescent="0.35">
      <c r="C50158" s="2"/>
    </row>
    <row r="50159" spans="3:3" x14ac:dyDescent="0.35">
      <c r="C50159" s="2"/>
    </row>
    <row r="50160" spans="3:3" x14ac:dyDescent="0.35">
      <c r="C50160" s="2"/>
    </row>
    <row r="50161" spans="3:3" x14ac:dyDescent="0.35">
      <c r="C50161" s="2"/>
    </row>
    <row r="50162" spans="3:3" x14ac:dyDescent="0.35">
      <c r="C50162" s="2"/>
    </row>
    <row r="50163" spans="3:3" x14ac:dyDescent="0.35">
      <c r="C50163" s="2"/>
    </row>
    <row r="50164" spans="3:3" x14ac:dyDescent="0.35">
      <c r="C50164" s="2"/>
    </row>
    <row r="50165" spans="3:3" x14ac:dyDescent="0.35">
      <c r="C50165" s="2"/>
    </row>
    <row r="50166" spans="3:3" x14ac:dyDescent="0.35">
      <c r="C50166" s="2"/>
    </row>
    <row r="50167" spans="3:3" x14ac:dyDescent="0.35">
      <c r="C50167" s="2"/>
    </row>
    <row r="50168" spans="3:3" x14ac:dyDescent="0.35">
      <c r="C50168" s="2"/>
    </row>
    <row r="50169" spans="3:3" x14ac:dyDescent="0.35">
      <c r="C50169" s="2"/>
    </row>
    <row r="50170" spans="3:3" x14ac:dyDescent="0.35">
      <c r="C50170" s="2"/>
    </row>
    <row r="50171" spans="3:3" x14ac:dyDescent="0.35">
      <c r="C50171" s="2"/>
    </row>
    <row r="50172" spans="3:3" x14ac:dyDescent="0.35">
      <c r="C50172" s="2"/>
    </row>
    <row r="50173" spans="3:3" x14ac:dyDescent="0.35">
      <c r="C50173" s="2"/>
    </row>
    <row r="50174" spans="3:3" x14ac:dyDescent="0.35">
      <c r="C50174" s="2"/>
    </row>
    <row r="50175" spans="3:3" x14ac:dyDescent="0.35">
      <c r="C50175" s="2"/>
    </row>
    <row r="50176" spans="3:3" x14ac:dyDescent="0.35">
      <c r="C50176" s="2"/>
    </row>
    <row r="50177" spans="3:3" x14ac:dyDescent="0.35">
      <c r="C50177" s="2"/>
    </row>
    <row r="50178" spans="3:3" x14ac:dyDescent="0.35">
      <c r="C50178" s="2"/>
    </row>
    <row r="50179" spans="3:3" x14ac:dyDescent="0.35">
      <c r="C50179" s="2"/>
    </row>
    <row r="50180" spans="3:3" x14ac:dyDescent="0.35">
      <c r="C50180" s="2"/>
    </row>
    <row r="50181" spans="3:3" x14ac:dyDescent="0.35">
      <c r="C50181" s="2"/>
    </row>
    <row r="50182" spans="3:3" x14ac:dyDescent="0.35">
      <c r="C50182" s="2"/>
    </row>
    <row r="50183" spans="3:3" x14ac:dyDescent="0.35">
      <c r="C50183" s="2"/>
    </row>
    <row r="50184" spans="3:3" x14ac:dyDescent="0.35">
      <c r="C50184" s="2"/>
    </row>
    <row r="50185" spans="3:3" x14ac:dyDescent="0.35">
      <c r="C50185" s="2"/>
    </row>
    <row r="50186" spans="3:3" x14ac:dyDescent="0.35">
      <c r="C50186" s="2"/>
    </row>
    <row r="50187" spans="3:3" x14ac:dyDescent="0.35">
      <c r="C50187" s="2"/>
    </row>
    <row r="50188" spans="3:3" x14ac:dyDescent="0.35">
      <c r="C50188" s="2"/>
    </row>
    <row r="50189" spans="3:3" x14ac:dyDescent="0.35">
      <c r="C50189" s="2"/>
    </row>
    <row r="50190" spans="3:3" x14ac:dyDescent="0.35">
      <c r="C50190" s="2"/>
    </row>
    <row r="50191" spans="3:3" x14ac:dyDescent="0.35">
      <c r="C50191" s="2"/>
    </row>
    <row r="50192" spans="3:3" x14ac:dyDescent="0.35">
      <c r="C50192" s="2"/>
    </row>
    <row r="50193" spans="3:3" x14ac:dyDescent="0.35">
      <c r="C50193" s="2"/>
    </row>
    <row r="50194" spans="3:3" x14ac:dyDescent="0.35">
      <c r="C50194" s="2"/>
    </row>
    <row r="50195" spans="3:3" x14ac:dyDescent="0.35">
      <c r="C50195" s="2"/>
    </row>
    <row r="50196" spans="3:3" x14ac:dyDescent="0.35">
      <c r="C50196" s="2"/>
    </row>
    <row r="50197" spans="3:3" x14ac:dyDescent="0.35">
      <c r="C50197" s="2"/>
    </row>
    <row r="50198" spans="3:3" x14ac:dyDescent="0.35">
      <c r="C50198" s="2"/>
    </row>
    <row r="50199" spans="3:3" x14ac:dyDescent="0.35">
      <c r="C50199" s="2"/>
    </row>
    <row r="50200" spans="3:3" x14ac:dyDescent="0.35">
      <c r="C50200" s="2"/>
    </row>
    <row r="50201" spans="3:3" x14ac:dyDescent="0.35">
      <c r="C50201" s="2"/>
    </row>
    <row r="50202" spans="3:3" x14ac:dyDescent="0.35">
      <c r="C50202" s="2"/>
    </row>
    <row r="50203" spans="3:3" x14ac:dyDescent="0.35">
      <c r="C50203" s="2"/>
    </row>
    <row r="50204" spans="3:3" x14ac:dyDescent="0.35">
      <c r="C50204" s="2"/>
    </row>
    <row r="50205" spans="3:3" x14ac:dyDescent="0.35">
      <c r="C50205" s="2"/>
    </row>
    <row r="50206" spans="3:3" x14ac:dyDescent="0.35">
      <c r="C50206" s="2"/>
    </row>
    <row r="50207" spans="3:3" x14ac:dyDescent="0.35">
      <c r="C50207" s="2"/>
    </row>
    <row r="50208" spans="3:3" x14ac:dyDescent="0.35">
      <c r="C50208" s="2"/>
    </row>
    <row r="50209" spans="3:3" x14ac:dyDescent="0.35">
      <c r="C50209" s="2"/>
    </row>
    <row r="50210" spans="3:3" x14ac:dyDescent="0.35">
      <c r="C50210" s="2"/>
    </row>
    <row r="50211" spans="3:3" x14ac:dyDescent="0.35">
      <c r="C50211" s="2"/>
    </row>
    <row r="50212" spans="3:3" x14ac:dyDescent="0.35">
      <c r="C50212" s="2"/>
    </row>
    <row r="50213" spans="3:3" x14ac:dyDescent="0.35">
      <c r="C50213" s="2"/>
    </row>
    <row r="50214" spans="3:3" x14ac:dyDescent="0.35">
      <c r="C50214" s="2"/>
    </row>
    <row r="50215" spans="3:3" x14ac:dyDescent="0.35">
      <c r="C50215" s="2"/>
    </row>
    <row r="50216" spans="3:3" x14ac:dyDescent="0.35">
      <c r="C50216" s="2"/>
    </row>
    <row r="50217" spans="3:3" x14ac:dyDescent="0.35">
      <c r="C50217" s="2"/>
    </row>
    <row r="50218" spans="3:3" x14ac:dyDescent="0.35">
      <c r="C50218" s="2"/>
    </row>
    <row r="50219" spans="3:3" x14ac:dyDescent="0.35">
      <c r="C50219" s="2"/>
    </row>
    <row r="50220" spans="3:3" x14ac:dyDescent="0.35">
      <c r="C50220" s="2"/>
    </row>
    <row r="50221" spans="3:3" x14ac:dyDescent="0.35">
      <c r="C50221" s="2"/>
    </row>
    <row r="50222" spans="3:3" x14ac:dyDescent="0.35">
      <c r="C50222" s="2"/>
    </row>
    <row r="50223" spans="3:3" x14ac:dyDescent="0.35">
      <c r="C50223" s="2"/>
    </row>
    <row r="50224" spans="3:3" x14ac:dyDescent="0.35">
      <c r="C50224" s="2"/>
    </row>
    <row r="50225" spans="3:3" x14ac:dyDescent="0.35">
      <c r="C50225" s="2"/>
    </row>
    <row r="50226" spans="3:3" x14ac:dyDescent="0.35">
      <c r="C50226" s="2"/>
    </row>
    <row r="50227" spans="3:3" x14ac:dyDescent="0.35">
      <c r="C50227" s="2"/>
    </row>
    <row r="50228" spans="3:3" x14ac:dyDescent="0.35">
      <c r="C50228" s="2"/>
    </row>
    <row r="50229" spans="3:3" x14ac:dyDescent="0.35">
      <c r="C50229" s="2"/>
    </row>
    <row r="50230" spans="3:3" x14ac:dyDescent="0.35">
      <c r="C50230" s="2"/>
    </row>
    <row r="50231" spans="3:3" x14ac:dyDescent="0.35">
      <c r="C50231" s="2"/>
    </row>
    <row r="50232" spans="3:3" x14ac:dyDescent="0.35">
      <c r="C50232" s="2"/>
    </row>
    <row r="50233" spans="3:3" x14ac:dyDescent="0.35">
      <c r="C50233" s="2"/>
    </row>
    <row r="50234" spans="3:3" x14ac:dyDescent="0.35">
      <c r="C50234" s="2"/>
    </row>
    <row r="50235" spans="3:3" x14ac:dyDescent="0.35">
      <c r="C50235" s="2"/>
    </row>
    <row r="50236" spans="3:3" x14ac:dyDescent="0.35">
      <c r="C50236" s="2"/>
    </row>
    <row r="50237" spans="3:3" x14ac:dyDescent="0.35">
      <c r="C50237" s="2"/>
    </row>
    <row r="50238" spans="3:3" x14ac:dyDescent="0.35">
      <c r="C50238" s="2"/>
    </row>
    <row r="50239" spans="3:3" x14ac:dyDescent="0.35">
      <c r="C50239" s="2"/>
    </row>
    <row r="50240" spans="3:3" x14ac:dyDescent="0.35">
      <c r="C50240" s="2"/>
    </row>
    <row r="50241" spans="3:3" x14ac:dyDescent="0.35">
      <c r="C50241" s="2"/>
    </row>
    <row r="50242" spans="3:3" x14ac:dyDescent="0.35">
      <c r="C50242" s="2"/>
    </row>
    <row r="50243" spans="3:3" x14ac:dyDescent="0.35">
      <c r="C50243" s="2"/>
    </row>
    <row r="50244" spans="3:3" x14ac:dyDescent="0.35">
      <c r="C50244" s="2"/>
    </row>
    <row r="50245" spans="3:3" x14ac:dyDescent="0.35">
      <c r="C50245" s="2"/>
    </row>
    <row r="50246" spans="3:3" x14ac:dyDescent="0.35">
      <c r="C50246" s="2"/>
    </row>
    <row r="50247" spans="3:3" x14ac:dyDescent="0.35">
      <c r="C50247" s="2"/>
    </row>
    <row r="50248" spans="3:3" x14ac:dyDescent="0.35">
      <c r="C50248" s="2"/>
    </row>
    <row r="50249" spans="3:3" x14ac:dyDescent="0.35">
      <c r="C50249" s="2"/>
    </row>
    <row r="50250" spans="3:3" x14ac:dyDescent="0.35">
      <c r="C50250" s="2"/>
    </row>
    <row r="50251" spans="3:3" x14ac:dyDescent="0.35">
      <c r="C50251" s="2"/>
    </row>
    <row r="50252" spans="3:3" x14ac:dyDescent="0.35">
      <c r="C50252" s="2"/>
    </row>
    <row r="50253" spans="3:3" x14ac:dyDescent="0.35">
      <c r="C50253" s="2"/>
    </row>
    <row r="50254" spans="3:3" x14ac:dyDescent="0.35">
      <c r="C50254" s="2"/>
    </row>
    <row r="50255" spans="3:3" x14ac:dyDescent="0.35">
      <c r="C50255" s="2"/>
    </row>
    <row r="50256" spans="3:3" x14ac:dyDescent="0.35">
      <c r="C50256" s="2"/>
    </row>
    <row r="50257" spans="3:3" x14ac:dyDescent="0.35">
      <c r="C50257" s="2"/>
    </row>
    <row r="50258" spans="3:3" x14ac:dyDescent="0.35">
      <c r="C50258" s="2"/>
    </row>
    <row r="50259" spans="3:3" x14ac:dyDescent="0.35">
      <c r="C50259" s="2"/>
    </row>
    <row r="50260" spans="3:3" x14ac:dyDescent="0.35">
      <c r="C50260" s="2"/>
    </row>
    <row r="50261" spans="3:3" x14ac:dyDescent="0.35">
      <c r="C50261" s="2"/>
    </row>
    <row r="50262" spans="3:3" x14ac:dyDescent="0.35">
      <c r="C50262" s="2"/>
    </row>
    <row r="50263" spans="3:3" x14ac:dyDescent="0.35">
      <c r="C50263" s="2"/>
    </row>
    <row r="50264" spans="3:3" x14ac:dyDescent="0.35">
      <c r="C50264" s="2"/>
    </row>
    <row r="50265" spans="3:3" x14ac:dyDescent="0.35">
      <c r="C50265" s="2"/>
    </row>
    <row r="50266" spans="3:3" x14ac:dyDescent="0.35">
      <c r="C50266" s="2"/>
    </row>
    <row r="50267" spans="3:3" x14ac:dyDescent="0.35">
      <c r="C50267" s="2"/>
    </row>
    <row r="50268" spans="3:3" x14ac:dyDescent="0.35">
      <c r="C50268" s="2"/>
    </row>
    <row r="50269" spans="3:3" x14ac:dyDescent="0.35">
      <c r="C50269" s="2"/>
    </row>
    <row r="50270" spans="3:3" x14ac:dyDescent="0.35">
      <c r="C50270" s="2"/>
    </row>
    <row r="50271" spans="3:3" x14ac:dyDescent="0.35">
      <c r="C50271" s="2"/>
    </row>
    <row r="50272" spans="3:3" x14ac:dyDescent="0.35">
      <c r="C50272" s="2"/>
    </row>
    <row r="50273" spans="3:3" x14ac:dyDescent="0.35">
      <c r="C50273" s="2"/>
    </row>
    <row r="50274" spans="3:3" x14ac:dyDescent="0.35">
      <c r="C50274" s="2"/>
    </row>
    <row r="50275" spans="3:3" x14ac:dyDescent="0.35">
      <c r="C50275" s="2"/>
    </row>
    <row r="50276" spans="3:3" x14ac:dyDescent="0.35">
      <c r="C50276" s="2"/>
    </row>
    <row r="50277" spans="3:3" x14ac:dyDescent="0.35">
      <c r="C50277" s="2"/>
    </row>
    <row r="50278" spans="3:3" x14ac:dyDescent="0.35">
      <c r="C50278" s="2"/>
    </row>
    <row r="50279" spans="3:3" x14ac:dyDescent="0.35">
      <c r="C50279" s="2"/>
    </row>
    <row r="50280" spans="3:3" x14ac:dyDescent="0.35">
      <c r="C50280" s="2"/>
    </row>
    <row r="50281" spans="3:3" x14ac:dyDescent="0.35">
      <c r="C50281" s="2"/>
    </row>
    <row r="50282" spans="3:3" x14ac:dyDescent="0.35">
      <c r="C50282" s="2"/>
    </row>
    <row r="50283" spans="3:3" x14ac:dyDescent="0.35">
      <c r="C50283" s="2"/>
    </row>
    <row r="50284" spans="3:3" x14ac:dyDescent="0.35">
      <c r="C50284" s="2"/>
    </row>
    <row r="50285" spans="3:3" x14ac:dyDescent="0.35">
      <c r="C50285" s="2"/>
    </row>
    <row r="50286" spans="3:3" x14ac:dyDescent="0.35">
      <c r="C50286" s="2"/>
    </row>
    <row r="50287" spans="3:3" x14ac:dyDescent="0.35">
      <c r="C50287" s="2"/>
    </row>
    <row r="50288" spans="3:3" x14ac:dyDescent="0.35">
      <c r="C50288" s="2"/>
    </row>
    <row r="50289" spans="3:3" x14ac:dyDescent="0.35">
      <c r="C50289" s="2"/>
    </row>
    <row r="50290" spans="3:3" x14ac:dyDescent="0.35">
      <c r="C50290" s="2"/>
    </row>
    <row r="50291" spans="3:3" x14ac:dyDescent="0.35">
      <c r="C50291" s="2"/>
    </row>
    <row r="50292" spans="3:3" x14ac:dyDescent="0.35">
      <c r="C50292" s="2"/>
    </row>
    <row r="50293" spans="3:3" x14ac:dyDescent="0.35">
      <c r="C50293" s="2"/>
    </row>
    <row r="50294" spans="3:3" x14ac:dyDescent="0.35">
      <c r="C50294" s="2"/>
    </row>
    <row r="50295" spans="3:3" x14ac:dyDescent="0.35">
      <c r="C50295" s="2"/>
    </row>
    <row r="50296" spans="3:3" x14ac:dyDescent="0.35">
      <c r="C50296" s="2"/>
    </row>
    <row r="50297" spans="3:3" x14ac:dyDescent="0.35">
      <c r="C50297" s="2"/>
    </row>
    <row r="50298" spans="3:3" x14ac:dyDescent="0.35">
      <c r="C50298" s="2"/>
    </row>
    <row r="50299" spans="3:3" x14ac:dyDescent="0.35">
      <c r="C50299" s="2"/>
    </row>
    <row r="50300" spans="3:3" x14ac:dyDescent="0.35">
      <c r="C50300" s="2"/>
    </row>
    <row r="50301" spans="3:3" x14ac:dyDescent="0.35">
      <c r="C50301" s="2"/>
    </row>
    <row r="50302" spans="3:3" x14ac:dyDescent="0.35">
      <c r="C50302" s="2"/>
    </row>
    <row r="50303" spans="3:3" x14ac:dyDescent="0.35">
      <c r="C50303" s="2"/>
    </row>
    <row r="50304" spans="3:3" x14ac:dyDescent="0.35">
      <c r="C50304" s="2"/>
    </row>
    <row r="50305" spans="3:3" x14ac:dyDescent="0.35">
      <c r="C50305" s="2"/>
    </row>
    <row r="50306" spans="3:3" x14ac:dyDescent="0.35">
      <c r="C50306" s="2"/>
    </row>
    <row r="50307" spans="3:3" x14ac:dyDescent="0.35">
      <c r="C50307" s="2"/>
    </row>
    <row r="50308" spans="3:3" x14ac:dyDescent="0.35">
      <c r="C50308" s="2"/>
    </row>
    <row r="50309" spans="3:3" x14ac:dyDescent="0.35">
      <c r="C50309" s="2"/>
    </row>
    <row r="50310" spans="3:3" x14ac:dyDescent="0.35">
      <c r="C50310" s="2"/>
    </row>
    <row r="50311" spans="3:3" x14ac:dyDescent="0.35">
      <c r="C50311" s="2"/>
    </row>
    <row r="50312" spans="3:3" x14ac:dyDescent="0.35">
      <c r="C50312" s="2"/>
    </row>
    <row r="50313" spans="3:3" x14ac:dyDescent="0.35">
      <c r="C50313" s="2"/>
    </row>
    <row r="50314" spans="3:3" x14ac:dyDescent="0.35">
      <c r="C50314" s="2"/>
    </row>
    <row r="50315" spans="3:3" x14ac:dyDescent="0.35">
      <c r="C50315" s="2"/>
    </row>
    <row r="50316" spans="3:3" x14ac:dyDescent="0.35">
      <c r="C50316" s="2"/>
    </row>
    <row r="50317" spans="3:3" x14ac:dyDescent="0.35">
      <c r="C50317" s="2"/>
    </row>
    <row r="50318" spans="3:3" x14ac:dyDescent="0.35">
      <c r="C50318" s="2"/>
    </row>
    <row r="50319" spans="3:3" x14ac:dyDescent="0.35">
      <c r="C50319" s="2"/>
    </row>
    <row r="50320" spans="3:3" x14ac:dyDescent="0.35">
      <c r="C50320" s="2"/>
    </row>
    <row r="50321" spans="3:3" x14ac:dyDescent="0.35">
      <c r="C50321" s="2"/>
    </row>
    <row r="50322" spans="3:3" x14ac:dyDescent="0.35">
      <c r="C50322" s="2"/>
    </row>
    <row r="50323" spans="3:3" x14ac:dyDescent="0.35">
      <c r="C50323" s="2"/>
    </row>
    <row r="50324" spans="3:3" x14ac:dyDescent="0.35">
      <c r="C50324" s="2"/>
    </row>
    <row r="50325" spans="3:3" x14ac:dyDescent="0.35">
      <c r="C50325" s="2"/>
    </row>
    <row r="50326" spans="3:3" x14ac:dyDescent="0.35">
      <c r="C50326" s="2"/>
    </row>
    <row r="50327" spans="3:3" x14ac:dyDescent="0.35">
      <c r="C50327" s="2"/>
    </row>
    <row r="50328" spans="3:3" x14ac:dyDescent="0.35">
      <c r="C50328" s="2"/>
    </row>
    <row r="50329" spans="3:3" x14ac:dyDescent="0.35">
      <c r="C50329" s="2"/>
    </row>
    <row r="50330" spans="3:3" x14ac:dyDescent="0.35">
      <c r="C50330" s="2"/>
    </row>
    <row r="50331" spans="3:3" x14ac:dyDescent="0.35">
      <c r="C50331" s="2"/>
    </row>
    <row r="50332" spans="3:3" x14ac:dyDescent="0.35">
      <c r="C50332" s="2"/>
    </row>
    <row r="50333" spans="3:3" x14ac:dyDescent="0.35">
      <c r="C50333" s="2"/>
    </row>
    <row r="50334" spans="3:3" x14ac:dyDescent="0.35">
      <c r="C50334" s="2"/>
    </row>
    <row r="50335" spans="3:3" x14ac:dyDescent="0.35">
      <c r="C50335" s="2"/>
    </row>
    <row r="50336" spans="3:3" x14ac:dyDescent="0.35">
      <c r="C50336" s="2"/>
    </row>
    <row r="50337" spans="3:3" x14ac:dyDescent="0.35">
      <c r="C50337" s="2"/>
    </row>
    <row r="50338" spans="3:3" x14ac:dyDescent="0.35">
      <c r="C50338" s="2"/>
    </row>
    <row r="50339" spans="3:3" x14ac:dyDescent="0.35">
      <c r="C50339" s="2"/>
    </row>
    <row r="50340" spans="3:3" x14ac:dyDescent="0.35">
      <c r="C50340" s="2"/>
    </row>
    <row r="50341" spans="3:3" x14ac:dyDescent="0.35">
      <c r="C50341" s="2"/>
    </row>
    <row r="50342" spans="3:3" x14ac:dyDescent="0.35">
      <c r="C50342" s="2"/>
    </row>
    <row r="50343" spans="3:3" x14ac:dyDescent="0.35">
      <c r="C50343" s="2"/>
    </row>
    <row r="50344" spans="3:3" x14ac:dyDescent="0.35">
      <c r="C50344" s="2"/>
    </row>
    <row r="50345" spans="3:3" x14ac:dyDescent="0.35">
      <c r="C50345" s="2"/>
    </row>
    <row r="50346" spans="3:3" x14ac:dyDescent="0.35">
      <c r="C50346" s="2"/>
    </row>
    <row r="50347" spans="3:3" x14ac:dyDescent="0.35">
      <c r="C50347" s="2"/>
    </row>
    <row r="50348" spans="3:3" x14ac:dyDescent="0.35">
      <c r="C50348" s="2"/>
    </row>
    <row r="50349" spans="3:3" x14ac:dyDescent="0.35">
      <c r="C50349" s="2"/>
    </row>
    <row r="50350" spans="3:3" x14ac:dyDescent="0.35">
      <c r="C50350" s="2"/>
    </row>
    <row r="50351" spans="3:3" x14ac:dyDescent="0.35">
      <c r="C50351" s="2"/>
    </row>
    <row r="50352" spans="3:3" x14ac:dyDescent="0.35">
      <c r="C50352" s="2"/>
    </row>
    <row r="50353" spans="3:3" x14ac:dyDescent="0.35">
      <c r="C50353" s="2"/>
    </row>
    <row r="50354" spans="3:3" x14ac:dyDescent="0.35">
      <c r="C50354" s="2"/>
    </row>
    <row r="50355" spans="3:3" x14ac:dyDescent="0.35">
      <c r="C50355" s="2"/>
    </row>
    <row r="50356" spans="3:3" x14ac:dyDescent="0.35">
      <c r="C50356" s="2"/>
    </row>
    <row r="50357" spans="3:3" x14ac:dyDescent="0.35">
      <c r="C50357" s="2"/>
    </row>
    <row r="50358" spans="3:3" x14ac:dyDescent="0.35">
      <c r="C50358" s="2"/>
    </row>
    <row r="50359" spans="3:3" x14ac:dyDescent="0.35">
      <c r="C50359" s="2"/>
    </row>
    <row r="50360" spans="3:3" x14ac:dyDescent="0.35">
      <c r="C50360" s="2"/>
    </row>
    <row r="50361" spans="3:3" x14ac:dyDescent="0.35">
      <c r="C50361" s="2"/>
    </row>
    <row r="50362" spans="3:3" x14ac:dyDescent="0.35">
      <c r="C50362" s="2"/>
    </row>
    <row r="50363" spans="3:3" x14ac:dyDescent="0.35">
      <c r="C50363" s="2"/>
    </row>
    <row r="50364" spans="3:3" x14ac:dyDescent="0.35">
      <c r="C50364" s="2"/>
    </row>
    <row r="50365" spans="3:3" x14ac:dyDescent="0.35">
      <c r="C50365" s="2"/>
    </row>
    <row r="50366" spans="3:3" x14ac:dyDescent="0.35">
      <c r="C50366" s="2"/>
    </row>
    <row r="50367" spans="3:3" x14ac:dyDescent="0.35">
      <c r="C50367" s="2"/>
    </row>
    <row r="50368" spans="3:3" x14ac:dyDescent="0.35">
      <c r="C50368" s="2"/>
    </row>
    <row r="50369" spans="3:3" x14ac:dyDescent="0.35">
      <c r="C50369" s="2"/>
    </row>
    <row r="50370" spans="3:3" x14ac:dyDescent="0.35">
      <c r="C50370" s="2"/>
    </row>
    <row r="50371" spans="3:3" x14ac:dyDescent="0.35">
      <c r="C50371" s="2"/>
    </row>
    <row r="50372" spans="3:3" x14ac:dyDescent="0.35">
      <c r="C50372" s="2"/>
    </row>
    <row r="50373" spans="3:3" x14ac:dyDescent="0.35">
      <c r="C50373" s="2"/>
    </row>
    <row r="50374" spans="3:3" x14ac:dyDescent="0.35">
      <c r="C50374" s="2"/>
    </row>
    <row r="50375" spans="3:3" x14ac:dyDescent="0.35">
      <c r="C50375" s="2"/>
    </row>
    <row r="50376" spans="3:3" x14ac:dyDescent="0.35">
      <c r="C50376" s="2"/>
    </row>
    <row r="50377" spans="3:3" x14ac:dyDescent="0.35">
      <c r="C50377" s="2"/>
    </row>
    <row r="50378" spans="3:3" x14ac:dyDescent="0.35">
      <c r="C50378" s="2"/>
    </row>
    <row r="50379" spans="3:3" x14ac:dyDescent="0.35">
      <c r="C50379" s="2"/>
    </row>
    <row r="50380" spans="3:3" x14ac:dyDescent="0.35">
      <c r="C50380" s="2"/>
    </row>
    <row r="50381" spans="3:3" x14ac:dyDescent="0.35">
      <c r="C50381" s="2"/>
    </row>
    <row r="50382" spans="3:3" x14ac:dyDescent="0.35">
      <c r="C50382" s="2"/>
    </row>
    <row r="50383" spans="3:3" x14ac:dyDescent="0.35">
      <c r="C50383" s="2"/>
    </row>
    <row r="50384" spans="3:3" x14ac:dyDescent="0.35">
      <c r="C50384" s="2"/>
    </row>
    <row r="50385" spans="3:3" x14ac:dyDescent="0.35">
      <c r="C50385" s="2"/>
    </row>
    <row r="50386" spans="3:3" x14ac:dyDescent="0.35">
      <c r="C50386" s="2"/>
    </row>
    <row r="50387" spans="3:3" x14ac:dyDescent="0.35">
      <c r="C50387" s="2"/>
    </row>
    <row r="50388" spans="3:3" x14ac:dyDescent="0.35">
      <c r="C50388" s="2"/>
    </row>
    <row r="50389" spans="3:3" x14ac:dyDescent="0.35">
      <c r="C50389" s="2"/>
    </row>
    <row r="50390" spans="3:3" x14ac:dyDescent="0.35">
      <c r="C50390" s="2"/>
    </row>
    <row r="50391" spans="3:3" x14ac:dyDescent="0.35">
      <c r="C50391" s="2"/>
    </row>
    <row r="50392" spans="3:3" x14ac:dyDescent="0.35">
      <c r="C50392" s="2"/>
    </row>
    <row r="50393" spans="3:3" x14ac:dyDescent="0.35">
      <c r="C50393" s="2"/>
    </row>
    <row r="50394" spans="3:3" x14ac:dyDescent="0.35">
      <c r="C50394" s="2"/>
    </row>
    <row r="50395" spans="3:3" x14ac:dyDescent="0.35">
      <c r="C50395" s="2"/>
    </row>
    <row r="50396" spans="3:3" x14ac:dyDescent="0.35">
      <c r="C50396" s="2"/>
    </row>
    <row r="50397" spans="3:3" x14ac:dyDescent="0.35">
      <c r="C50397" s="2"/>
    </row>
    <row r="50398" spans="3:3" x14ac:dyDescent="0.35">
      <c r="C50398" s="2"/>
    </row>
    <row r="50399" spans="3:3" x14ac:dyDescent="0.35">
      <c r="C50399" s="2"/>
    </row>
    <row r="50400" spans="3:3" x14ac:dyDescent="0.35">
      <c r="C50400" s="2"/>
    </row>
    <row r="50401" spans="3:3" x14ac:dyDescent="0.35">
      <c r="C50401" s="2"/>
    </row>
    <row r="50402" spans="3:3" x14ac:dyDescent="0.35">
      <c r="C50402" s="2"/>
    </row>
    <row r="50403" spans="3:3" x14ac:dyDescent="0.35">
      <c r="C50403" s="2"/>
    </row>
    <row r="50404" spans="3:3" x14ac:dyDescent="0.35">
      <c r="C50404" s="2"/>
    </row>
    <row r="50405" spans="3:3" x14ac:dyDescent="0.35">
      <c r="C50405" s="2"/>
    </row>
    <row r="50406" spans="3:3" x14ac:dyDescent="0.35">
      <c r="C50406" s="2"/>
    </row>
    <row r="50407" spans="3:3" x14ac:dyDescent="0.35">
      <c r="C50407" s="2"/>
    </row>
    <row r="50408" spans="3:3" x14ac:dyDescent="0.35">
      <c r="C50408" s="2"/>
    </row>
    <row r="50409" spans="3:3" x14ac:dyDescent="0.35">
      <c r="C50409" s="2"/>
    </row>
    <row r="50410" spans="3:3" x14ac:dyDescent="0.35">
      <c r="C50410" s="2"/>
    </row>
    <row r="50411" spans="3:3" x14ac:dyDescent="0.35">
      <c r="C50411" s="2"/>
    </row>
    <row r="50412" spans="3:3" x14ac:dyDescent="0.35">
      <c r="C50412" s="2"/>
    </row>
    <row r="50413" spans="3:3" x14ac:dyDescent="0.35">
      <c r="C50413" s="2"/>
    </row>
    <row r="50414" spans="3:3" x14ac:dyDescent="0.35">
      <c r="C50414" s="2"/>
    </row>
    <row r="50415" spans="3:3" x14ac:dyDescent="0.35">
      <c r="C50415" s="2"/>
    </row>
    <row r="50416" spans="3:3" x14ac:dyDescent="0.35">
      <c r="C50416" s="2"/>
    </row>
    <row r="50417" spans="3:3" x14ac:dyDescent="0.35">
      <c r="C50417" s="2"/>
    </row>
    <row r="50418" spans="3:3" x14ac:dyDescent="0.35">
      <c r="C50418" s="2"/>
    </row>
    <row r="50419" spans="3:3" x14ac:dyDescent="0.35">
      <c r="C50419" s="2"/>
    </row>
    <row r="50420" spans="3:3" x14ac:dyDescent="0.35">
      <c r="C50420" s="2"/>
    </row>
    <row r="50421" spans="3:3" x14ac:dyDescent="0.35">
      <c r="C50421" s="2"/>
    </row>
    <row r="50422" spans="3:3" x14ac:dyDescent="0.35">
      <c r="C50422" s="2"/>
    </row>
    <row r="50423" spans="3:3" x14ac:dyDescent="0.35">
      <c r="C50423" s="2"/>
    </row>
    <row r="50424" spans="3:3" x14ac:dyDescent="0.35">
      <c r="C50424" s="2"/>
    </row>
    <row r="50425" spans="3:3" x14ac:dyDescent="0.35">
      <c r="C50425" s="2"/>
    </row>
    <row r="50426" spans="3:3" x14ac:dyDescent="0.35">
      <c r="C50426" s="2"/>
    </row>
    <row r="50427" spans="3:3" x14ac:dyDescent="0.35">
      <c r="C50427" s="2"/>
    </row>
    <row r="50428" spans="3:3" x14ac:dyDescent="0.35">
      <c r="C50428" s="2"/>
    </row>
    <row r="50429" spans="3:3" x14ac:dyDescent="0.35">
      <c r="C50429" s="2"/>
    </row>
    <row r="50430" spans="3:3" x14ac:dyDescent="0.35">
      <c r="C50430" s="2"/>
    </row>
    <row r="50431" spans="3:3" x14ac:dyDescent="0.35">
      <c r="C50431" s="2"/>
    </row>
    <row r="50432" spans="3:3" x14ac:dyDescent="0.35">
      <c r="C50432" s="2"/>
    </row>
    <row r="50433" spans="3:3" x14ac:dyDescent="0.35">
      <c r="C50433" s="2"/>
    </row>
    <row r="50434" spans="3:3" x14ac:dyDescent="0.35">
      <c r="C50434" s="2"/>
    </row>
    <row r="50435" spans="3:3" x14ac:dyDescent="0.35">
      <c r="C50435" s="2"/>
    </row>
    <row r="50436" spans="3:3" x14ac:dyDescent="0.35">
      <c r="C50436" s="2"/>
    </row>
    <row r="50437" spans="3:3" x14ac:dyDescent="0.35">
      <c r="C50437" s="2"/>
    </row>
    <row r="50438" spans="3:3" x14ac:dyDescent="0.35">
      <c r="C50438" s="2"/>
    </row>
    <row r="50439" spans="3:3" x14ac:dyDescent="0.35">
      <c r="C50439" s="2"/>
    </row>
    <row r="50440" spans="3:3" x14ac:dyDescent="0.35">
      <c r="C50440" s="2"/>
    </row>
    <row r="50441" spans="3:3" x14ac:dyDescent="0.35">
      <c r="C50441" s="2"/>
    </row>
    <row r="50442" spans="3:3" x14ac:dyDescent="0.35">
      <c r="C50442" s="2"/>
    </row>
    <row r="50443" spans="3:3" x14ac:dyDescent="0.35">
      <c r="C50443" s="2"/>
    </row>
    <row r="50444" spans="3:3" x14ac:dyDescent="0.35">
      <c r="C50444" s="2"/>
    </row>
    <row r="50445" spans="3:3" x14ac:dyDescent="0.35">
      <c r="C50445" s="2"/>
    </row>
    <row r="50446" spans="3:3" x14ac:dyDescent="0.35">
      <c r="C50446" s="2"/>
    </row>
    <row r="50447" spans="3:3" x14ac:dyDescent="0.35">
      <c r="C50447" s="2"/>
    </row>
    <row r="50448" spans="3:3" x14ac:dyDescent="0.35">
      <c r="C50448" s="2"/>
    </row>
    <row r="50449" spans="3:3" x14ac:dyDescent="0.35">
      <c r="C50449" s="2"/>
    </row>
    <row r="50450" spans="3:3" x14ac:dyDescent="0.35">
      <c r="C50450" s="2"/>
    </row>
    <row r="50451" spans="3:3" x14ac:dyDescent="0.35">
      <c r="C50451" s="2"/>
    </row>
    <row r="50452" spans="3:3" x14ac:dyDescent="0.35">
      <c r="C50452" s="2"/>
    </row>
    <row r="50453" spans="3:3" x14ac:dyDescent="0.35">
      <c r="C50453" s="2"/>
    </row>
    <row r="50454" spans="3:3" x14ac:dyDescent="0.35">
      <c r="C50454" s="2"/>
    </row>
    <row r="50455" spans="3:3" x14ac:dyDescent="0.35">
      <c r="C50455" s="2"/>
    </row>
    <row r="50456" spans="3:3" x14ac:dyDescent="0.35">
      <c r="C50456" s="2"/>
    </row>
    <row r="50457" spans="3:3" x14ac:dyDescent="0.35">
      <c r="C50457" s="2"/>
    </row>
    <row r="50458" spans="3:3" x14ac:dyDescent="0.35">
      <c r="C50458" s="2"/>
    </row>
    <row r="50459" spans="3:3" x14ac:dyDescent="0.35">
      <c r="C50459" s="2"/>
    </row>
    <row r="50460" spans="3:3" x14ac:dyDescent="0.35">
      <c r="C50460" s="2"/>
    </row>
    <row r="50461" spans="3:3" x14ac:dyDescent="0.35">
      <c r="C50461" s="2"/>
    </row>
    <row r="50462" spans="3:3" x14ac:dyDescent="0.35">
      <c r="C50462" s="2"/>
    </row>
    <row r="50463" spans="3:3" x14ac:dyDescent="0.35">
      <c r="C50463" s="2"/>
    </row>
    <row r="50464" spans="3:3" x14ac:dyDescent="0.35">
      <c r="C50464" s="2"/>
    </row>
    <row r="50465" spans="3:3" x14ac:dyDescent="0.35">
      <c r="C50465" s="2"/>
    </row>
    <row r="50466" spans="3:3" x14ac:dyDescent="0.35">
      <c r="C50466" s="2"/>
    </row>
    <row r="50467" spans="3:3" x14ac:dyDescent="0.35">
      <c r="C50467" s="2"/>
    </row>
    <row r="50468" spans="3:3" x14ac:dyDescent="0.35">
      <c r="C50468" s="2"/>
    </row>
    <row r="50469" spans="3:3" x14ac:dyDescent="0.35">
      <c r="C50469" s="2"/>
    </row>
    <row r="50470" spans="3:3" x14ac:dyDescent="0.35">
      <c r="C50470" s="2"/>
    </row>
    <row r="50471" spans="3:3" x14ac:dyDescent="0.35">
      <c r="C50471" s="2"/>
    </row>
    <row r="50472" spans="3:3" x14ac:dyDescent="0.35">
      <c r="C50472" s="2"/>
    </row>
    <row r="50473" spans="3:3" x14ac:dyDescent="0.35">
      <c r="C50473" s="2"/>
    </row>
    <row r="50474" spans="3:3" x14ac:dyDescent="0.35">
      <c r="C50474" s="2"/>
    </row>
    <row r="50475" spans="3:3" x14ac:dyDescent="0.35">
      <c r="C50475" s="2"/>
    </row>
    <row r="50476" spans="3:3" x14ac:dyDescent="0.35">
      <c r="C50476" s="2"/>
    </row>
    <row r="50477" spans="3:3" x14ac:dyDescent="0.35">
      <c r="C50477" s="2"/>
    </row>
    <row r="50478" spans="3:3" x14ac:dyDescent="0.35">
      <c r="C50478" s="2"/>
    </row>
    <row r="50479" spans="3:3" x14ac:dyDescent="0.35">
      <c r="C50479" s="2"/>
    </row>
    <row r="50480" spans="3:3" x14ac:dyDescent="0.35">
      <c r="C50480" s="2"/>
    </row>
    <row r="50481" spans="3:3" x14ac:dyDescent="0.35">
      <c r="C50481" s="2"/>
    </row>
    <row r="50482" spans="3:3" x14ac:dyDescent="0.35">
      <c r="C50482" s="2"/>
    </row>
    <row r="50483" spans="3:3" x14ac:dyDescent="0.35">
      <c r="C50483" s="2"/>
    </row>
    <row r="50484" spans="3:3" x14ac:dyDescent="0.35">
      <c r="C50484" s="2"/>
    </row>
    <row r="50485" spans="3:3" x14ac:dyDescent="0.35">
      <c r="C50485" s="2"/>
    </row>
    <row r="50486" spans="3:3" x14ac:dyDescent="0.35">
      <c r="C50486" s="2"/>
    </row>
    <row r="50487" spans="3:3" x14ac:dyDescent="0.35">
      <c r="C50487" s="2"/>
    </row>
    <row r="50488" spans="3:3" x14ac:dyDescent="0.35">
      <c r="C50488" s="2"/>
    </row>
    <row r="50489" spans="3:3" x14ac:dyDescent="0.35">
      <c r="C50489" s="2"/>
    </row>
    <row r="50490" spans="3:3" x14ac:dyDescent="0.35">
      <c r="C50490" s="2"/>
    </row>
    <row r="50491" spans="3:3" x14ac:dyDescent="0.35">
      <c r="C50491" s="2"/>
    </row>
    <row r="50492" spans="3:3" x14ac:dyDescent="0.35">
      <c r="C50492" s="2"/>
    </row>
    <row r="50493" spans="3:3" x14ac:dyDescent="0.35">
      <c r="C50493" s="2"/>
    </row>
    <row r="50494" spans="3:3" x14ac:dyDescent="0.35">
      <c r="C50494" s="2"/>
    </row>
    <row r="50495" spans="3:3" x14ac:dyDescent="0.35">
      <c r="C50495" s="2"/>
    </row>
    <row r="50496" spans="3:3" x14ac:dyDescent="0.35">
      <c r="C50496" s="2"/>
    </row>
    <row r="50497" spans="3:3" x14ac:dyDescent="0.35">
      <c r="C50497" s="2"/>
    </row>
    <row r="50498" spans="3:3" x14ac:dyDescent="0.35">
      <c r="C50498" s="2"/>
    </row>
    <row r="50499" spans="3:3" x14ac:dyDescent="0.35">
      <c r="C50499" s="2"/>
    </row>
    <row r="50500" spans="3:3" x14ac:dyDescent="0.35">
      <c r="C50500" s="2"/>
    </row>
    <row r="50501" spans="3:3" x14ac:dyDescent="0.35">
      <c r="C50501" s="2"/>
    </row>
    <row r="50502" spans="3:3" x14ac:dyDescent="0.35">
      <c r="C50502" s="2"/>
    </row>
    <row r="50503" spans="3:3" x14ac:dyDescent="0.35">
      <c r="C50503" s="2"/>
    </row>
    <row r="50504" spans="3:3" x14ac:dyDescent="0.35">
      <c r="C50504" s="2"/>
    </row>
    <row r="50505" spans="3:3" x14ac:dyDescent="0.35">
      <c r="C50505" s="2"/>
    </row>
    <row r="50506" spans="3:3" x14ac:dyDescent="0.35">
      <c r="C50506" s="2"/>
    </row>
    <row r="50507" spans="3:3" x14ac:dyDescent="0.35">
      <c r="C50507" s="2"/>
    </row>
    <row r="50508" spans="3:3" x14ac:dyDescent="0.35">
      <c r="C50508" s="2"/>
    </row>
    <row r="50509" spans="3:3" x14ac:dyDescent="0.35">
      <c r="C50509" s="2"/>
    </row>
    <row r="50510" spans="3:3" x14ac:dyDescent="0.35">
      <c r="C50510" s="2"/>
    </row>
    <row r="50511" spans="3:3" x14ac:dyDescent="0.35">
      <c r="C50511" s="2"/>
    </row>
    <row r="50512" spans="3:3" x14ac:dyDescent="0.35">
      <c r="C50512" s="2"/>
    </row>
    <row r="50513" spans="3:3" x14ac:dyDescent="0.35">
      <c r="C50513" s="2"/>
    </row>
    <row r="50514" spans="3:3" x14ac:dyDescent="0.35">
      <c r="C50514" s="2"/>
    </row>
    <row r="50515" spans="3:3" x14ac:dyDescent="0.35">
      <c r="C50515" s="2"/>
    </row>
    <row r="50516" spans="3:3" x14ac:dyDescent="0.35">
      <c r="C50516" s="2"/>
    </row>
    <row r="50517" spans="3:3" x14ac:dyDescent="0.35">
      <c r="C50517" s="2"/>
    </row>
    <row r="50518" spans="3:3" x14ac:dyDescent="0.35">
      <c r="C50518" s="2"/>
    </row>
    <row r="50519" spans="3:3" x14ac:dyDescent="0.35">
      <c r="C50519" s="2"/>
    </row>
    <row r="50520" spans="3:3" x14ac:dyDescent="0.35">
      <c r="C50520" s="2"/>
    </row>
    <row r="50521" spans="3:3" x14ac:dyDescent="0.35">
      <c r="C50521" s="2"/>
    </row>
    <row r="50522" spans="3:3" x14ac:dyDescent="0.35">
      <c r="C50522" s="2"/>
    </row>
    <row r="50523" spans="3:3" x14ac:dyDescent="0.35">
      <c r="C50523" s="2"/>
    </row>
    <row r="50524" spans="3:3" x14ac:dyDescent="0.35">
      <c r="C50524" s="2"/>
    </row>
    <row r="50525" spans="3:3" x14ac:dyDescent="0.35">
      <c r="C50525" s="2"/>
    </row>
    <row r="50526" spans="3:3" x14ac:dyDescent="0.35">
      <c r="C50526" s="2"/>
    </row>
    <row r="50527" spans="3:3" x14ac:dyDescent="0.35">
      <c r="C50527" s="2"/>
    </row>
    <row r="50528" spans="3:3" x14ac:dyDescent="0.35">
      <c r="C50528" s="2"/>
    </row>
    <row r="50529" spans="3:3" x14ac:dyDescent="0.35">
      <c r="C50529" s="2"/>
    </row>
    <row r="50530" spans="3:3" x14ac:dyDescent="0.35">
      <c r="C50530" s="2"/>
    </row>
    <row r="50531" spans="3:3" x14ac:dyDescent="0.35">
      <c r="C50531" s="2"/>
    </row>
    <row r="50532" spans="3:3" x14ac:dyDescent="0.35">
      <c r="C50532" s="2"/>
    </row>
    <row r="50533" spans="3:3" x14ac:dyDescent="0.35">
      <c r="C50533" s="2"/>
    </row>
    <row r="50534" spans="3:3" x14ac:dyDescent="0.35">
      <c r="C50534" s="2"/>
    </row>
    <row r="50535" spans="3:3" x14ac:dyDescent="0.35">
      <c r="C50535" s="2"/>
    </row>
    <row r="50536" spans="3:3" x14ac:dyDescent="0.35">
      <c r="C50536" s="2"/>
    </row>
    <row r="50537" spans="3:3" x14ac:dyDescent="0.35">
      <c r="C50537" s="2"/>
    </row>
    <row r="50538" spans="3:3" x14ac:dyDescent="0.35">
      <c r="C50538" s="2"/>
    </row>
    <row r="50539" spans="3:3" x14ac:dyDescent="0.35">
      <c r="C50539" s="2"/>
    </row>
    <row r="50540" spans="3:3" x14ac:dyDescent="0.35">
      <c r="C50540" s="2"/>
    </row>
    <row r="50541" spans="3:3" x14ac:dyDescent="0.35">
      <c r="C50541" s="2"/>
    </row>
    <row r="50542" spans="3:3" x14ac:dyDescent="0.35">
      <c r="C50542" s="2"/>
    </row>
    <row r="50543" spans="3:3" x14ac:dyDescent="0.35">
      <c r="C50543" s="2"/>
    </row>
    <row r="50544" spans="3:3" x14ac:dyDescent="0.35">
      <c r="C50544" s="2"/>
    </row>
    <row r="50545" spans="3:3" x14ac:dyDescent="0.35">
      <c r="C50545" s="2"/>
    </row>
    <row r="50546" spans="3:3" x14ac:dyDescent="0.35">
      <c r="C50546" s="2"/>
    </row>
    <row r="50547" spans="3:3" x14ac:dyDescent="0.35">
      <c r="C50547" s="2"/>
    </row>
    <row r="50548" spans="3:3" x14ac:dyDescent="0.35">
      <c r="C50548" s="2"/>
    </row>
    <row r="50549" spans="3:3" x14ac:dyDescent="0.35">
      <c r="C50549" s="2"/>
    </row>
    <row r="50550" spans="3:3" x14ac:dyDescent="0.35">
      <c r="C50550" s="2"/>
    </row>
    <row r="50551" spans="3:3" x14ac:dyDescent="0.35">
      <c r="C50551" s="2"/>
    </row>
    <row r="50552" spans="3:3" x14ac:dyDescent="0.35">
      <c r="C50552" s="2"/>
    </row>
    <row r="50553" spans="3:3" x14ac:dyDescent="0.35">
      <c r="C50553" s="2"/>
    </row>
    <row r="50554" spans="3:3" x14ac:dyDescent="0.35">
      <c r="C50554" s="2"/>
    </row>
    <row r="50555" spans="3:3" x14ac:dyDescent="0.35">
      <c r="C50555" s="2"/>
    </row>
    <row r="50556" spans="3:3" x14ac:dyDescent="0.35">
      <c r="C50556" s="2"/>
    </row>
    <row r="50557" spans="3:3" x14ac:dyDescent="0.35">
      <c r="C50557" s="2"/>
    </row>
    <row r="50558" spans="3:3" x14ac:dyDescent="0.35">
      <c r="C50558" s="2"/>
    </row>
    <row r="50559" spans="3:3" x14ac:dyDescent="0.35">
      <c r="C50559" s="2"/>
    </row>
    <row r="50560" spans="3:3" x14ac:dyDescent="0.35">
      <c r="C50560" s="2"/>
    </row>
    <row r="50561" spans="3:3" x14ac:dyDescent="0.35">
      <c r="C50561" s="2"/>
    </row>
    <row r="50562" spans="3:3" x14ac:dyDescent="0.35">
      <c r="C50562" s="2"/>
    </row>
    <row r="50563" spans="3:3" x14ac:dyDescent="0.35">
      <c r="C50563" s="2"/>
    </row>
    <row r="50564" spans="3:3" x14ac:dyDescent="0.35">
      <c r="C50564" s="2"/>
    </row>
    <row r="50565" spans="3:3" x14ac:dyDescent="0.35">
      <c r="C50565" s="2"/>
    </row>
    <row r="50566" spans="3:3" x14ac:dyDescent="0.35">
      <c r="C50566" s="2"/>
    </row>
    <row r="50567" spans="3:3" x14ac:dyDescent="0.35">
      <c r="C50567" s="2"/>
    </row>
    <row r="50568" spans="3:3" x14ac:dyDescent="0.35">
      <c r="C50568" s="2"/>
    </row>
    <row r="50569" spans="3:3" x14ac:dyDescent="0.35">
      <c r="C50569" s="2"/>
    </row>
    <row r="50570" spans="3:3" x14ac:dyDescent="0.35">
      <c r="C50570" s="2"/>
    </row>
    <row r="50571" spans="3:3" x14ac:dyDescent="0.35">
      <c r="C50571" s="2"/>
    </row>
    <row r="50572" spans="3:3" x14ac:dyDescent="0.35">
      <c r="C50572" s="2"/>
    </row>
    <row r="50573" spans="3:3" x14ac:dyDescent="0.35">
      <c r="C50573" s="2"/>
    </row>
    <row r="50574" spans="3:3" x14ac:dyDescent="0.35">
      <c r="C50574" s="2"/>
    </row>
    <row r="50575" spans="3:3" x14ac:dyDescent="0.35">
      <c r="C50575" s="2"/>
    </row>
    <row r="50576" spans="3:3" x14ac:dyDescent="0.35">
      <c r="C50576" s="2"/>
    </row>
    <row r="50577" spans="3:3" x14ac:dyDescent="0.35">
      <c r="C50577" s="2"/>
    </row>
    <row r="50578" spans="3:3" x14ac:dyDescent="0.35">
      <c r="C50578" s="2"/>
    </row>
    <row r="50579" spans="3:3" x14ac:dyDescent="0.35">
      <c r="C50579" s="2"/>
    </row>
    <row r="50580" spans="3:3" x14ac:dyDescent="0.35">
      <c r="C50580" s="2"/>
    </row>
    <row r="50581" spans="3:3" x14ac:dyDescent="0.35">
      <c r="C50581" s="2"/>
    </row>
    <row r="50582" spans="3:3" x14ac:dyDescent="0.35">
      <c r="C50582" s="2"/>
    </row>
    <row r="50583" spans="3:3" x14ac:dyDescent="0.35">
      <c r="C50583" s="2"/>
    </row>
    <row r="50584" spans="3:3" x14ac:dyDescent="0.35">
      <c r="C50584" s="2"/>
    </row>
    <row r="50585" spans="3:3" x14ac:dyDescent="0.35">
      <c r="C50585" s="2"/>
    </row>
    <row r="50586" spans="3:3" x14ac:dyDescent="0.35">
      <c r="C50586" s="2"/>
    </row>
    <row r="50587" spans="3:3" x14ac:dyDescent="0.35">
      <c r="C50587" s="2"/>
    </row>
    <row r="50588" spans="3:3" x14ac:dyDescent="0.35">
      <c r="C50588" s="2"/>
    </row>
    <row r="50589" spans="3:3" x14ac:dyDescent="0.35">
      <c r="C50589" s="2"/>
    </row>
    <row r="50590" spans="3:3" x14ac:dyDescent="0.35">
      <c r="C50590" s="2"/>
    </row>
    <row r="50591" spans="3:3" x14ac:dyDescent="0.35">
      <c r="C50591" s="2"/>
    </row>
    <row r="50592" spans="3:3" x14ac:dyDescent="0.35">
      <c r="C50592" s="2"/>
    </row>
    <row r="50593" spans="3:3" x14ac:dyDescent="0.35">
      <c r="C50593" s="2"/>
    </row>
    <row r="50594" spans="3:3" x14ac:dyDescent="0.35">
      <c r="C50594" s="2"/>
    </row>
    <row r="50595" spans="3:3" x14ac:dyDescent="0.35">
      <c r="C50595" s="2"/>
    </row>
    <row r="50596" spans="3:3" x14ac:dyDescent="0.35">
      <c r="C50596" s="2"/>
    </row>
    <row r="50597" spans="3:3" x14ac:dyDescent="0.35">
      <c r="C50597" s="2"/>
    </row>
    <row r="50598" spans="3:3" x14ac:dyDescent="0.35">
      <c r="C50598" s="2"/>
    </row>
    <row r="50599" spans="3:3" x14ac:dyDescent="0.35">
      <c r="C50599" s="2"/>
    </row>
    <row r="50600" spans="3:3" x14ac:dyDescent="0.35">
      <c r="C50600" s="2"/>
    </row>
    <row r="50601" spans="3:3" x14ac:dyDescent="0.35">
      <c r="C50601" s="2"/>
    </row>
    <row r="50602" spans="3:3" x14ac:dyDescent="0.35">
      <c r="C50602" s="2"/>
    </row>
    <row r="50603" spans="3:3" x14ac:dyDescent="0.35">
      <c r="C50603" s="2"/>
    </row>
    <row r="50604" spans="3:3" x14ac:dyDescent="0.35">
      <c r="C50604" s="2"/>
    </row>
    <row r="50605" spans="3:3" x14ac:dyDescent="0.35">
      <c r="C50605" s="2"/>
    </row>
    <row r="50606" spans="3:3" x14ac:dyDescent="0.35">
      <c r="C50606" s="2"/>
    </row>
    <row r="50607" spans="3:3" x14ac:dyDescent="0.35">
      <c r="C50607" s="2"/>
    </row>
    <row r="50608" spans="3:3" x14ac:dyDescent="0.35">
      <c r="C50608" s="2"/>
    </row>
    <row r="50609" spans="3:3" x14ac:dyDescent="0.35">
      <c r="C50609" s="2"/>
    </row>
    <row r="50610" spans="3:3" x14ac:dyDescent="0.35">
      <c r="C50610" s="2"/>
    </row>
    <row r="50611" spans="3:3" x14ac:dyDescent="0.35">
      <c r="C50611" s="2"/>
    </row>
    <row r="50612" spans="3:3" x14ac:dyDescent="0.35">
      <c r="C50612" s="2"/>
    </row>
    <row r="50613" spans="3:3" x14ac:dyDescent="0.35">
      <c r="C50613" s="2"/>
    </row>
    <row r="50614" spans="3:3" x14ac:dyDescent="0.35">
      <c r="C50614" s="2"/>
    </row>
    <row r="50615" spans="3:3" x14ac:dyDescent="0.35">
      <c r="C50615" s="2"/>
    </row>
    <row r="50616" spans="3:3" x14ac:dyDescent="0.35">
      <c r="C50616" s="2"/>
    </row>
    <row r="50617" spans="3:3" x14ac:dyDescent="0.35">
      <c r="C50617" s="2"/>
    </row>
    <row r="50618" spans="3:3" x14ac:dyDescent="0.35">
      <c r="C50618" s="2"/>
    </row>
    <row r="50619" spans="3:3" x14ac:dyDescent="0.35">
      <c r="C50619" s="2"/>
    </row>
    <row r="50620" spans="3:3" x14ac:dyDescent="0.35">
      <c r="C50620" s="2"/>
    </row>
    <row r="50621" spans="3:3" x14ac:dyDescent="0.35">
      <c r="C50621" s="2"/>
    </row>
    <row r="50622" spans="3:3" x14ac:dyDescent="0.35">
      <c r="C50622" s="2"/>
    </row>
    <row r="50623" spans="3:3" x14ac:dyDescent="0.35">
      <c r="C50623" s="2"/>
    </row>
    <row r="50624" spans="3:3" x14ac:dyDescent="0.35">
      <c r="C50624" s="2"/>
    </row>
    <row r="50625" spans="3:3" x14ac:dyDescent="0.35">
      <c r="C50625" s="2"/>
    </row>
    <row r="50626" spans="3:3" x14ac:dyDescent="0.35">
      <c r="C50626" s="2"/>
    </row>
    <row r="50627" spans="3:3" x14ac:dyDescent="0.35">
      <c r="C50627" s="2"/>
    </row>
    <row r="50628" spans="3:3" x14ac:dyDescent="0.35">
      <c r="C50628" s="2"/>
    </row>
    <row r="50629" spans="3:3" x14ac:dyDescent="0.35">
      <c r="C50629" s="2"/>
    </row>
    <row r="50630" spans="3:3" x14ac:dyDescent="0.35">
      <c r="C50630" s="2"/>
    </row>
    <row r="50631" spans="3:3" x14ac:dyDescent="0.35">
      <c r="C50631" s="2"/>
    </row>
    <row r="50632" spans="3:3" x14ac:dyDescent="0.35">
      <c r="C50632" s="2"/>
    </row>
    <row r="50633" spans="3:3" x14ac:dyDescent="0.35">
      <c r="C50633" s="2"/>
    </row>
    <row r="50634" spans="3:3" x14ac:dyDescent="0.35">
      <c r="C50634" s="2"/>
    </row>
    <row r="50635" spans="3:3" x14ac:dyDescent="0.35">
      <c r="C50635" s="2"/>
    </row>
    <row r="50636" spans="3:3" x14ac:dyDescent="0.35">
      <c r="C50636" s="2"/>
    </row>
    <row r="50637" spans="3:3" x14ac:dyDescent="0.35">
      <c r="C50637" s="2"/>
    </row>
    <row r="50638" spans="3:3" x14ac:dyDescent="0.35">
      <c r="C50638" s="2"/>
    </row>
    <row r="50639" spans="3:3" x14ac:dyDescent="0.35">
      <c r="C50639" s="2"/>
    </row>
    <row r="50640" spans="3:3" x14ac:dyDescent="0.35">
      <c r="C50640" s="2"/>
    </row>
    <row r="50641" spans="3:3" x14ac:dyDescent="0.35">
      <c r="C50641" s="2"/>
    </row>
    <row r="50642" spans="3:3" x14ac:dyDescent="0.35">
      <c r="C50642" s="2"/>
    </row>
    <row r="50643" spans="3:3" x14ac:dyDescent="0.35">
      <c r="C50643" s="2"/>
    </row>
    <row r="50644" spans="3:3" x14ac:dyDescent="0.35">
      <c r="C50644" s="2"/>
    </row>
    <row r="50645" spans="3:3" x14ac:dyDescent="0.35">
      <c r="C50645" s="2"/>
    </row>
    <row r="50646" spans="3:3" x14ac:dyDescent="0.35">
      <c r="C50646" s="2"/>
    </row>
    <row r="50647" spans="3:3" x14ac:dyDescent="0.35">
      <c r="C50647" s="2"/>
    </row>
    <row r="50648" spans="3:3" x14ac:dyDescent="0.35">
      <c r="C50648" s="2"/>
    </row>
    <row r="50649" spans="3:3" x14ac:dyDescent="0.35">
      <c r="C50649" s="2"/>
    </row>
    <row r="50650" spans="3:3" x14ac:dyDescent="0.35">
      <c r="C50650" s="2"/>
    </row>
    <row r="50651" spans="3:3" x14ac:dyDescent="0.35">
      <c r="C50651" s="2"/>
    </row>
    <row r="50652" spans="3:3" x14ac:dyDescent="0.35">
      <c r="C50652" s="2"/>
    </row>
    <row r="50653" spans="3:3" x14ac:dyDescent="0.35">
      <c r="C50653" s="2"/>
    </row>
    <row r="50654" spans="3:3" x14ac:dyDescent="0.35">
      <c r="C50654" s="2"/>
    </row>
    <row r="50655" spans="3:3" x14ac:dyDescent="0.35">
      <c r="C50655" s="2"/>
    </row>
    <row r="50656" spans="3:3" x14ac:dyDescent="0.35">
      <c r="C50656" s="2"/>
    </row>
    <row r="50657" spans="3:3" x14ac:dyDescent="0.35">
      <c r="C50657" s="2"/>
    </row>
    <row r="50658" spans="3:3" x14ac:dyDescent="0.35">
      <c r="C50658" s="2"/>
    </row>
    <row r="50659" spans="3:3" x14ac:dyDescent="0.35">
      <c r="C50659" s="2"/>
    </row>
    <row r="50660" spans="3:3" x14ac:dyDescent="0.35">
      <c r="C50660" s="2"/>
    </row>
    <row r="50661" spans="3:3" x14ac:dyDescent="0.35">
      <c r="C50661" s="2"/>
    </row>
    <row r="50662" spans="3:3" x14ac:dyDescent="0.35">
      <c r="C50662" s="2"/>
    </row>
    <row r="50663" spans="3:3" x14ac:dyDescent="0.35">
      <c r="C50663" s="2"/>
    </row>
    <row r="50664" spans="3:3" x14ac:dyDescent="0.35">
      <c r="C50664" s="2"/>
    </row>
    <row r="50665" spans="3:3" x14ac:dyDescent="0.35">
      <c r="C50665" s="2"/>
    </row>
    <row r="50666" spans="3:3" x14ac:dyDescent="0.35">
      <c r="C50666" s="2"/>
    </row>
    <row r="50667" spans="3:3" x14ac:dyDescent="0.35">
      <c r="C50667" s="2"/>
    </row>
    <row r="50668" spans="3:3" x14ac:dyDescent="0.35">
      <c r="C50668" s="2"/>
    </row>
    <row r="50669" spans="3:3" x14ac:dyDescent="0.35">
      <c r="C50669" s="2"/>
    </row>
    <row r="50670" spans="3:3" x14ac:dyDescent="0.35">
      <c r="C50670" s="2"/>
    </row>
    <row r="50671" spans="3:3" x14ac:dyDescent="0.35">
      <c r="C50671" s="2"/>
    </row>
    <row r="50672" spans="3:3" x14ac:dyDescent="0.35">
      <c r="C50672" s="2"/>
    </row>
    <row r="50673" spans="3:3" x14ac:dyDescent="0.35">
      <c r="C50673" s="2"/>
    </row>
    <row r="50674" spans="3:3" x14ac:dyDescent="0.35">
      <c r="C50674" s="2"/>
    </row>
    <row r="50675" spans="3:3" x14ac:dyDescent="0.35">
      <c r="C50675" s="2"/>
    </row>
    <row r="50676" spans="3:3" x14ac:dyDescent="0.35">
      <c r="C50676" s="2"/>
    </row>
    <row r="50677" spans="3:3" x14ac:dyDescent="0.35">
      <c r="C50677" s="2"/>
    </row>
    <row r="50678" spans="3:3" x14ac:dyDescent="0.35">
      <c r="C50678" s="2"/>
    </row>
    <row r="50679" spans="3:3" x14ac:dyDescent="0.35">
      <c r="C50679" s="2"/>
    </row>
    <row r="50680" spans="3:3" x14ac:dyDescent="0.35">
      <c r="C50680" s="2"/>
    </row>
    <row r="50681" spans="3:3" x14ac:dyDescent="0.35">
      <c r="C50681" s="2"/>
    </row>
    <row r="50682" spans="3:3" x14ac:dyDescent="0.35">
      <c r="C50682" s="2"/>
    </row>
    <row r="50683" spans="3:3" x14ac:dyDescent="0.35">
      <c r="C50683" s="2"/>
    </row>
    <row r="50684" spans="3:3" x14ac:dyDescent="0.35">
      <c r="C50684" s="2"/>
    </row>
    <row r="50685" spans="3:3" x14ac:dyDescent="0.35">
      <c r="C50685" s="2"/>
    </row>
    <row r="50686" spans="3:3" x14ac:dyDescent="0.35">
      <c r="C50686" s="2"/>
    </row>
    <row r="50687" spans="3:3" x14ac:dyDescent="0.35">
      <c r="C50687" s="2"/>
    </row>
    <row r="50688" spans="3:3" x14ac:dyDescent="0.35">
      <c r="C50688" s="2"/>
    </row>
    <row r="50689" spans="3:3" x14ac:dyDescent="0.35">
      <c r="C50689" s="2"/>
    </row>
    <row r="50690" spans="3:3" x14ac:dyDescent="0.35">
      <c r="C50690" s="2"/>
    </row>
    <row r="50691" spans="3:3" x14ac:dyDescent="0.35">
      <c r="C50691" s="2"/>
    </row>
    <row r="50692" spans="3:3" x14ac:dyDescent="0.35">
      <c r="C50692" s="2"/>
    </row>
    <row r="50693" spans="3:3" x14ac:dyDescent="0.35">
      <c r="C50693" s="2"/>
    </row>
    <row r="50694" spans="3:3" x14ac:dyDescent="0.35">
      <c r="C50694" s="2"/>
    </row>
    <row r="50695" spans="3:3" x14ac:dyDescent="0.35">
      <c r="C50695" s="2"/>
    </row>
    <row r="50696" spans="3:3" x14ac:dyDescent="0.35">
      <c r="C50696" s="2"/>
    </row>
    <row r="50697" spans="3:3" x14ac:dyDescent="0.35">
      <c r="C50697" s="2"/>
    </row>
    <row r="50698" spans="3:3" x14ac:dyDescent="0.35">
      <c r="C50698" s="2"/>
    </row>
    <row r="50699" spans="3:3" x14ac:dyDescent="0.35">
      <c r="C50699" s="2"/>
    </row>
    <row r="50700" spans="3:3" x14ac:dyDescent="0.35">
      <c r="C50700" s="2"/>
    </row>
    <row r="50701" spans="3:3" x14ac:dyDescent="0.35">
      <c r="C50701" s="2"/>
    </row>
    <row r="50702" spans="3:3" x14ac:dyDescent="0.35">
      <c r="C50702" s="2"/>
    </row>
    <row r="50703" spans="3:3" x14ac:dyDescent="0.35">
      <c r="C50703" s="2"/>
    </row>
    <row r="50704" spans="3:3" x14ac:dyDescent="0.35">
      <c r="C50704" s="2"/>
    </row>
    <row r="50705" spans="3:3" x14ac:dyDescent="0.35">
      <c r="C50705" s="2"/>
    </row>
    <row r="50706" spans="3:3" x14ac:dyDescent="0.35">
      <c r="C50706" s="2"/>
    </row>
    <row r="50707" spans="3:3" x14ac:dyDescent="0.35">
      <c r="C50707" s="2"/>
    </row>
    <row r="50708" spans="3:3" x14ac:dyDescent="0.35">
      <c r="C50708" s="2"/>
    </row>
    <row r="50709" spans="3:3" x14ac:dyDescent="0.35">
      <c r="C50709" s="2"/>
    </row>
    <row r="50710" spans="3:3" x14ac:dyDescent="0.35">
      <c r="C50710" s="2"/>
    </row>
    <row r="50711" spans="3:3" x14ac:dyDescent="0.35">
      <c r="C50711" s="2"/>
    </row>
    <row r="50712" spans="3:3" x14ac:dyDescent="0.35">
      <c r="C50712" s="2"/>
    </row>
    <row r="50713" spans="3:3" x14ac:dyDescent="0.35">
      <c r="C50713" s="2"/>
    </row>
    <row r="50714" spans="3:3" x14ac:dyDescent="0.35">
      <c r="C50714" s="2"/>
    </row>
    <row r="50715" spans="3:3" x14ac:dyDescent="0.35">
      <c r="C50715" s="2"/>
    </row>
    <row r="50716" spans="3:3" x14ac:dyDescent="0.35">
      <c r="C50716" s="2"/>
    </row>
    <row r="50717" spans="3:3" x14ac:dyDescent="0.35">
      <c r="C50717" s="2"/>
    </row>
    <row r="50718" spans="3:3" x14ac:dyDescent="0.35">
      <c r="C50718" s="2"/>
    </row>
    <row r="50719" spans="3:3" x14ac:dyDescent="0.35">
      <c r="C50719" s="2"/>
    </row>
    <row r="50720" spans="3:3" x14ac:dyDescent="0.35">
      <c r="C50720" s="2"/>
    </row>
    <row r="50721" spans="3:3" x14ac:dyDescent="0.35">
      <c r="C50721" s="2"/>
    </row>
    <row r="50722" spans="3:3" x14ac:dyDescent="0.35">
      <c r="C50722" s="2"/>
    </row>
    <row r="50723" spans="3:3" x14ac:dyDescent="0.35">
      <c r="C50723" s="2"/>
    </row>
    <row r="50724" spans="3:3" x14ac:dyDescent="0.35">
      <c r="C50724" s="2"/>
    </row>
    <row r="50725" spans="3:3" x14ac:dyDescent="0.35">
      <c r="C50725" s="2"/>
    </row>
    <row r="50726" spans="3:3" x14ac:dyDescent="0.35">
      <c r="C50726" s="2"/>
    </row>
    <row r="50727" spans="3:3" x14ac:dyDescent="0.35">
      <c r="C50727" s="2"/>
    </row>
    <row r="50728" spans="3:3" x14ac:dyDescent="0.35">
      <c r="C50728" s="2"/>
    </row>
    <row r="50729" spans="3:3" x14ac:dyDescent="0.35">
      <c r="C50729" s="2"/>
    </row>
    <row r="50730" spans="3:3" x14ac:dyDescent="0.35">
      <c r="C50730" s="2"/>
    </row>
    <row r="50731" spans="3:3" x14ac:dyDescent="0.35">
      <c r="C50731" s="2"/>
    </row>
    <row r="50732" spans="3:3" x14ac:dyDescent="0.35">
      <c r="C50732" s="2"/>
    </row>
    <row r="50733" spans="3:3" x14ac:dyDescent="0.35">
      <c r="C50733" s="2"/>
    </row>
    <row r="50734" spans="3:3" x14ac:dyDescent="0.35">
      <c r="C50734" s="2"/>
    </row>
    <row r="50735" spans="3:3" x14ac:dyDescent="0.35">
      <c r="C50735" s="2"/>
    </row>
    <row r="50736" spans="3:3" x14ac:dyDescent="0.35">
      <c r="C50736" s="2"/>
    </row>
    <row r="50737" spans="3:3" x14ac:dyDescent="0.35">
      <c r="C50737" s="2"/>
    </row>
    <row r="50738" spans="3:3" x14ac:dyDescent="0.35">
      <c r="C50738" s="2"/>
    </row>
    <row r="50739" spans="3:3" x14ac:dyDescent="0.35">
      <c r="C50739" s="2"/>
    </row>
    <row r="50740" spans="3:3" x14ac:dyDescent="0.35">
      <c r="C50740" s="2"/>
    </row>
    <row r="50741" spans="3:3" x14ac:dyDescent="0.35">
      <c r="C50741" s="2"/>
    </row>
    <row r="50742" spans="3:3" x14ac:dyDescent="0.35">
      <c r="C50742" s="2"/>
    </row>
    <row r="50743" spans="3:3" x14ac:dyDescent="0.35">
      <c r="C50743" s="2"/>
    </row>
    <row r="50744" spans="3:3" x14ac:dyDescent="0.35">
      <c r="C50744" s="2"/>
    </row>
    <row r="50745" spans="3:3" x14ac:dyDescent="0.35">
      <c r="C50745" s="2"/>
    </row>
    <row r="50746" spans="3:3" x14ac:dyDescent="0.35">
      <c r="C50746" s="2"/>
    </row>
    <row r="50747" spans="3:3" x14ac:dyDescent="0.35">
      <c r="C50747" s="2"/>
    </row>
    <row r="50748" spans="3:3" x14ac:dyDescent="0.35">
      <c r="C50748" s="2"/>
    </row>
    <row r="50749" spans="3:3" x14ac:dyDescent="0.35">
      <c r="C50749" s="2"/>
    </row>
    <row r="50750" spans="3:3" x14ac:dyDescent="0.35">
      <c r="C50750" s="2"/>
    </row>
    <row r="50751" spans="3:3" x14ac:dyDescent="0.35">
      <c r="C50751" s="2"/>
    </row>
    <row r="50752" spans="3:3" x14ac:dyDescent="0.35">
      <c r="C50752" s="2"/>
    </row>
    <row r="50753" spans="3:3" x14ac:dyDescent="0.35">
      <c r="C50753" s="2"/>
    </row>
    <row r="50754" spans="3:3" x14ac:dyDescent="0.35">
      <c r="C50754" s="2"/>
    </row>
    <row r="50755" spans="3:3" x14ac:dyDescent="0.35">
      <c r="C50755" s="2"/>
    </row>
    <row r="50756" spans="3:3" x14ac:dyDescent="0.35">
      <c r="C50756" s="2"/>
    </row>
    <row r="50757" spans="3:3" x14ac:dyDescent="0.35">
      <c r="C50757" s="2"/>
    </row>
    <row r="50758" spans="3:3" x14ac:dyDescent="0.35">
      <c r="C50758" s="2"/>
    </row>
    <row r="50759" spans="3:3" x14ac:dyDescent="0.35">
      <c r="C50759" s="2"/>
    </row>
    <row r="50760" spans="3:3" x14ac:dyDescent="0.35">
      <c r="C50760" s="2"/>
    </row>
    <row r="50761" spans="3:3" x14ac:dyDescent="0.35">
      <c r="C50761" s="2"/>
    </row>
    <row r="50762" spans="3:3" x14ac:dyDescent="0.35">
      <c r="C50762" s="2"/>
    </row>
    <row r="50763" spans="3:3" x14ac:dyDescent="0.35">
      <c r="C50763" s="2"/>
    </row>
    <row r="50764" spans="3:3" x14ac:dyDescent="0.35">
      <c r="C50764" s="2"/>
    </row>
    <row r="50765" spans="3:3" x14ac:dyDescent="0.35">
      <c r="C50765" s="2"/>
    </row>
    <row r="50766" spans="3:3" x14ac:dyDescent="0.35">
      <c r="C50766" s="2"/>
    </row>
    <row r="50767" spans="3:3" x14ac:dyDescent="0.35">
      <c r="C50767" s="2"/>
    </row>
    <row r="50768" spans="3:3" x14ac:dyDescent="0.35">
      <c r="C50768" s="2"/>
    </row>
    <row r="50769" spans="3:3" x14ac:dyDescent="0.35">
      <c r="C50769" s="2"/>
    </row>
    <row r="50770" spans="3:3" x14ac:dyDescent="0.35">
      <c r="C50770" s="2"/>
    </row>
    <row r="50771" spans="3:3" x14ac:dyDescent="0.35">
      <c r="C50771" s="2"/>
    </row>
    <row r="50772" spans="3:3" x14ac:dyDescent="0.35">
      <c r="C50772" s="2"/>
    </row>
    <row r="50773" spans="3:3" x14ac:dyDescent="0.35">
      <c r="C50773" s="2"/>
    </row>
    <row r="50774" spans="3:3" x14ac:dyDescent="0.35">
      <c r="C50774" s="2"/>
    </row>
    <row r="50775" spans="3:3" x14ac:dyDescent="0.35">
      <c r="C50775" s="2"/>
    </row>
    <row r="50776" spans="3:3" x14ac:dyDescent="0.35">
      <c r="C50776" s="2"/>
    </row>
    <row r="50777" spans="3:3" x14ac:dyDescent="0.35">
      <c r="C50777" s="2"/>
    </row>
    <row r="50778" spans="3:3" x14ac:dyDescent="0.35">
      <c r="C50778" s="2"/>
    </row>
    <row r="50779" spans="3:3" x14ac:dyDescent="0.35">
      <c r="C50779" s="2"/>
    </row>
    <row r="50780" spans="3:3" x14ac:dyDescent="0.35">
      <c r="C50780" s="2"/>
    </row>
    <row r="50781" spans="3:3" x14ac:dyDescent="0.35">
      <c r="C50781" s="2"/>
    </row>
    <row r="50782" spans="3:3" x14ac:dyDescent="0.35">
      <c r="C50782" s="2"/>
    </row>
    <row r="50783" spans="3:3" x14ac:dyDescent="0.35">
      <c r="C50783" s="2"/>
    </row>
    <row r="50784" spans="3:3" x14ac:dyDescent="0.35">
      <c r="C50784" s="2"/>
    </row>
    <row r="50785" spans="3:3" x14ac:dyDescent="0.35">
      <c r="C50785" s="2"/>
    </row>
    <row r="50786" spans="3:3" x14ac:dyDescent="0.35">
      <c r="C50786" s="2"/>
    </row>
    <row r="50787" spans="3:3" x14ac:dyDescent="0.35">
      <c r="C50787" s="2"/>
    </row>
    <row r="50788" spans="3:3" x14ac:dyDescent="0.35">
      <c r="C50788" s="2"/>
    </row>
    <row r="50789" spans="3:3" x14ac:dyDescent="0.35">
      <c r="C50789" s="2"/>
    </row>
    <row r="50790" spans="3:3" x14ac:dyDescent="0.35">
      <c r="C50790" s="2"/>
    </row>
    <row r="50791" spans="3:3" x14ac:dyDescent="0.35">
      <c r="C50791" s="2"/>
    </row>
    <row r="50792" spans="3:3" x14ac:dyDescent="0.35">
      <c r="C50792" s="2"/>
    </row>
    <row r="50793" spans="3:3" x14ac:dyDescent="0.35">
      <c r="C50793" s="2"/>
    </row>
    <row r="50794" spans="3:3" x14ac:dyDescent="0.35">
      <c r="C50794" s="2"/>
    </row>
    <row r="50795" spans="3:3" x14ac:dyDescent="0.35">
      <c r="C50795" s="2"/>
    </row>
    <row r="50796" spans="3:3" x14ac:dyDescent="0.35">
      <c r="C50796" s="2"/>
    </row>
    <row r="50797" spans="3:3" x14ac:dyDescent="0.35">
      <c r="C50797" s="2"/>
    </row>
    <row r="50798" spans="3:3" x14ac:dyDescent="0.35">
      <c r="C50798" s="2"/>
    </row>
    <row r="50799" spans="3:3" x14ac:dyDescent="0.35">
      <c r="C50799" s="2"/>
    </row>
    <row r="50800" spans="3:3" x14ac:dyDescent="0.35">
      <c r="C50800" s="2"/>
    </row>
    <row r="50801" spans="3:3" x14ac:dyDescent="0.35">
      <c r="C50801" s="2"/>
    </row>
    <row r="50802" spans="3:3" x14ac:dyDescent="0.35">
      <c r="C50802" s="2"/>
    </row>
    <row r="50803" spans="3:3" x14ac:dyDescent="0.35">
      <c r="C50803" s="2"/>
    </row>
    <row r="50804" spans="3:3" x14ac:dyDescent="0.35">
      <c r="C50804" s="2"/>
    </row>
    <row r="50805" spans="3:3" x14ac:dyDescent="0.35">
      <c r="C50805" s="2"/>
    </row>
    <row r="50806" spans="3:3" x14ac:dyDescent="0.35">
      <c r="C50806" s="2"/>
    </row>
    <row r="50807" spans="3:3" x14ac:dyDescent="0.35">
      <c r="C50807" s="2"/>
    </row>
    <row r="50808" spans="3:3" x14ac:dyDescent="0.35">
      <c r="C50808" s="2"/>
    </row>
    <row r="50809" spans="3:3" x14ac:dyDescent="0.35">
      <c r="C50809" s="2"/>
    </row>
    <row r="50810" spans="3:3" x14ac:dyDescent="0.35">
      <c r="C50810" s="2"/>
    </row>
    <row r="50811" spans="3:3" x14ac:dyDescent="0.35">
      <c r="C50811" s="2"/>
    </row>
    <row r="50812" spans="3:3" x14ac:dyDescent="0.35">
      <c r="C50812" s="2"/>
    </row>
    <row r="50813" spans="3:3" x14ac:dyDescent="0.35">
      <c r="C50813" s="2"/>
    </row>
    <row r="50814" spans="3:3" x14ac:dyDescent="0.35">
      <c r="C50814" s="2"/>
    </row>
    <row r="50815" spans="3:3" x14ac:dyDescent="0.35">
      <c r="C50815" s="2"/>
    </row>
    <row r="50816" spans="3:3" x14ac:dyDescent="0.35">
      <c r="C50816" s="2"/>
    </row>
    <row r="50817" spans="3:3" x14ac:dyDescent="0.35">
      <c r="C50817" s="2"/>
    </row>
    <row r="50818" spans="3:3" x14ac:dyDescent="0.35">
      <c r="C50818" s="2"/>
    </row>
    <row r="50819" spans="3:3" x14ac:dyDescent="0.35">
      <c r="C50819" s="2"/>
    </row>
    <row r="50820" spans="3:3" x14ac:dyDescent="0.35">
      <c r="C50820" s="2"/>
    </row>
    <row r="50821" spans="3:3" x14ac:dyDescent="0.35">
      <c r="C50821" s="2"/>
    </row>
    <row r="50822" spans="3:3" x14ac:dyDescent="0.35">
      <c r="C50822" s="2"/>
    </row>
    <row r="50823" spans="3:3" x14ac:dyDescent="0.35">
      <c r="C50823" s="2"/>
    </row>
    <row r="50824" spans="3:3" x14ac:dyDescent="0.35">
      <c r="C50824" s="2"/>
    </row>
    <row r="50825" spans="3:3" x14ac:dyDescent="0.35">
      <c r="C50825" s="2"/>
    </row>
    <row r="50826" spans="3:3" x14ac:dyDescent="0.35">
      <c r="C50826" s="2"/>
    </row>
    <row r="50827" spans="3:3" x14ac:dyDescent="0.35">
      <c r="C50827" s="2"/>
    </row>
    <row r="50828" spans="3:3" x14ac:dyDescent="0.35">
      <c r="C50828" s="2"/>
    </row>
    <row r="50829" spans="3:3" x14ac:dyDescent="0.35">
      <c r="C50829" s="2"/>
    </row>
    <row r="50830" spans="3:3" x14ac:dyDescent="0.35">
      <c r="C50830" s="2"/>
    </row>
    <row r="50831" spans="3:3" x14ac:dyDescent="0.35">
      <c r="C50831" s="2"/>
    </row>
    <row r="50832" spans="3:3" x14ac:dyDescent="0.35">
      <c r="C50832" s="2"/>
    </row>
    <row r="50833" spans="3:3" x14ac:dyDescent="0.35">
      <c r="C50833" s="2"/>
    </row>
    <row r="50834" spans="3:3" x14ac:dyDescent="0.35">
      <c r="C50834" s="2"/>
    </row>
    <row r="50835" spans="3:3" x14ac:dyDescent="0.35">
      <c r="C50835" s="2"/>
    </row>
    <row r="50836" spans="3:3" x14ac:dyDescent="0.35">
      <c r="C50836" s="2"/>
    </row>
    <row r="50837" spans="3:3" x14ac:dyDescent="0.35">
      <c r="C50837" s="2"/>
    </row>
    <row r="50838" spans="3:3" x14ac:dyDescent="0.35">
      <c r="C50838" s="2"/>
    </row>
    <row r="50839" spans="3:3" x14ac:dyDescent="0.35">
      <c r="C50839" s="2"/>
    </row>
    <row r="50840" spans="3:3" x14ac:dyDescent="0.35">
      <c r="C50840" s="2"/>
    </row>
    <row r="50841" spans="3:3" x14ac:dyDescent="0.35">
      <c r="C50841" s="2"/>
    </row>
    <row r="50842" spans="3:3" x14ac:dyDescent="0.35">
      <c r="C50842" s="2"/>
    </row>
    <row r="50843" spans="3:3" x14ac:dyDescent="0.35">
      <c r="C50843" s="2"/>
    </row>
    <row r="50844" spans="3:3" x14ac:dyDescent="0.35">
      <c r="C50844" s="2"/>
    </row>
    <row r="50845" spans="3:3" x14ac:dyDescent="0.35">
      <c r="C50845" s="2"/>
    </row>
    <row r="50846" spans="3:3" x14ac:dyDescent="0.35">
      <c r="C50846" s="2"/>
    </row>
    <row r="50847" spans="3:3" x14ac:dyDescent="0.35">
      <c r="C50847" s="2"/>
    </row>
    <row r="50848" spans="3:3" x14ac:dyDescent="0.35">
      <c r="C50848" s="2"/>
    </row>
    <row r="50849" spans="3:3" x14ac:dyDescent="0.35">
      <c r="C50849" s="2"/>
    </row>
    <row r="50850" spans="3:3" x14ac:dyDescent="0.35">
      <c r="C50850" s="2"/>
    </row>
    <row r="50851" spans="3:3" x14ac:dyDescent="0.35">
      <c r="C50851" s="2"/>
    </row>
    <row r="50852" spans="3:3" x14ac:dyDescent="0.35">
      <c r="C50852" s="2"/>
    </row>
    <row r="50853" spans="3:3" x14ac:dyDescent="0.35">
      <c r="C50853" s="2"/>
    </row>
    <row r="50854" spans="3:3" x14ac:dyDescent="0.35">
      <c r="C50854" s="2"/>
    </row>
    <row r="50855" spans="3:3" x14ac:dyDescent="0.35">
      <c r="C50855" s="2"/>
    </row>
    <row r="50856" spans="3:3" x14ac:dyDescent="0.35">
      <c r="C50856" s="2"/>
    </row>
    <row r="50857" spans="3:3" x14ac:dyDescent="0.35">
      <c r="C50857" s="2"/>
    </row>
    <row r="50858" spans="3:3" x14ac:dyDescent="0.35">
      <c r="C50858" s="2"/>
    </row>
    <row r="50859" spans="3:3" x14ac:dyDescent="0.35">
      <c r="C50859" s="2"/>
    </row>
    <row r="50860" spans="3:3" x14ac:dyDescent="0.35">
      <c r="C50860" s="2"/>
    </row>
    <row r="50861" spans="3:3" x14ac:dyDescent="0.35">
      <c r="C50861" s="2"/>
    </row>
    <row r="50862" spans="3:3" x14ac:dyDescent="0.35">
      <c r="C50862" s="2"/>
    </row>
    <row r="50863" spans="3:3" x14ac:dyDescent="0.35">
      <c r="C50863" s="2"/>
    </row>
    <row r="50864" spans="3:3" x14ac:dyDescent="0.35">
      <c r="C50864" s="2"/>
    </row>
    <row r="50865" spans="3:3" x14ac:dyDescent="0.35">
      <c r="C50865" s="2"/>
    </row>
    <row r="50866" spans="3:3" x14ac:dyDescent="0.35">
      <c r="C50866" s="2"/>
    </row>
    <row r="50867" spans="3:3" x14ac:dyDescent="0.35">
      <c r="C50867" s="2"/>
    </row>
    <row r="50868" spans="3:3" x14ac:dyDescent="0.35">
      <c r="C50868" s="2"/>
    </row>
    <row r="50869" spans="3:3" x14ac:dyDescent="0.35">
      <c r="C50869" s="2"/>
    </row>
    <row r="50870" spans="3:3" x14ac:dyDescent="0.35">
      <c r="C50870" s="2"/>
    </row>
    <row r="50871" spans="3:3" x14ac:dyDescent="0.35">
      <c r="C50871" s="2"/>
    </row>
    <row r="50872" spans="3:3" x14ac:dyDescent="0.35">
      <c r="C50872" s="2"/>
    </row>
    <row r="50873" spans="3:3" x14ac:dyDescent="0.35">
      <c r="C50873" s="2"/>
    </row>
    <row r="50874" spans="3:3" x14ac:dyDescent="0.35">
      <c r="C50874" s="2"/>
    </row>
    <row r="50875" spans="3:3" x14ac:dyDescent="0.35">
      <c r="C50875" s="2"/>
    </row>
    <row r="50876" spans="3:3" x14ac:dyDescent="0.35">
      <c r="C50876" s="2"/>
    </row>
    <row r="50877" spans="3:3" x14ac:dyDescent="0.35">
      <c r="C50877" s="2"/>
    </row>
    <row r="50878" spans="3:3" x14ac:dyDescent="0.35">
      <c r="C50878" s="2"/>
    </row>
    <row r="50879" spans="3:3" x14ac:dyDescent="0.35">
      <c r="C50879" s="2"/>
    </row>
    <row r="50880" spans="3:3" x14ac:dyDescent="0.35">
      <c r="C50880" s="2"/>
    </row>
    <row r="50881" spans="3:3" x14ac:dyDescent="0.35">
      <c r="C50881" s="2"/>
    </row>
    <row r="50882" spans="3:3" x14ac:dyDescent="0.35">
      <c r="C50882" s="2"/>
    </row>
    <row r="50883" spans="3:3" x14ac:dyDescent="0.35">
      <c r="C50883" s="2"/>
    </row>
    <row r="50884" spans="3:3" x14ac:dyDescent="0.35">
      <c r="C50884" s="2"/>
    </row>
    <row r="50885" spans="3:3" x14ac:dyDescent="0.35">
      <c r="C50885" s="2"/>
    </row>
    <row r="50886" spans="3:3" x14ac:dyDescent="0.35">
      <c r="C50886" s="2"/>
    </row>
    <row r="50887" spans="3:3" x14ac:dyDescent="0.35">
      <c r="C50887" s="2"/>
    </row>
    <row r="50888" spans="3:3" x14ac:dyDescent="0.35">
      <c r="C50888" s="2"/>
    </row>
    <row r="50889" spans="3:3" x14ac:dyDescent="0.35">
      <c r="C50889" s="2"/>
    </row>
    <row r="50890" spans="3:3" x14ac:dyDescent="0.35">
      <c r="C50890" s="2"/>
    </row>
    <row r="50891" spans="3:3" x14ac:dyDescent="0.35">
      <c r="C50891" s="2"/>
    </row>
    <row r="50892" spans="3:3" x14ac:dyDescent="0.35">
      <c r="C50892" s="2"/>
    </row>
    <row r="50893" spans="3:3" x14ac:dyDescent="0.35">
      <c r="C50893" s="2"/>
    </row>
    <row r="50894" spans="3:3" x14ac:dyDescent="0.35">
      <c r="C50894" s="2"/>
    </row>
    <row r="50895" spans="3:3" x14ac:dyDescent="0.35">
      <c r="C50895" s="2"/>
    </row>
    <row r="50896" spans="3:3" x14ac:dyDescent="0.35">
      <c r="C50896" s="2"/>
    </row>
    <row r="50897" spans="3:3" x14ac:dyDescent="0.35">
      <c r="C50897" s="2"/>
    </row>
    <row r="50898" spans="3:3" x14ac:dyDescent="0.35">
      <c r="C50898" s="2"/>
    </row>
    <row r="50899" spans="3:3" x14ac:dyDescent="0.35">
      <c r="C50899" s="2"/>
    </row>
    <row r="50900" spans="3:3" x14ac:dyDescent="0.35">
      <c r="C50900" s="2"/>
    </row>
    <row r="50901" spans="3:3" x14ac:dyDescent="0.35">
      <c r="C50901" s="2"/>
    </row>
    <row r="50902" spans="3:3" x14ac:dyDescent="0.35">
      <c r="C50902" s="2"/>
    </row>
    <row r="50903" spans="3:3" x14ac:dyDescent="0.35">
      <c r="C50903" s="2"/>
    </row>
    <row r="50904" spans="3:3" x14ac:dyDescent="0.35">
      <c r="C50904" s="2"/>
    </row>
    <row r="50905" spans="3:3" x14ac:dyDescent="0.35">
      <c r="C50905" s="2"/>
    </row>
    <row r="50906" spans="3:3" x14ac:dyDescent="0.35">
      <c r="C50906" s="2"/>
    </row>
    <row r="50907" spans="3:3" x14ac:dyDescent="0.35">
      <c r="C50907" s="2"/>
    </row>
    <row r="50908" spans="3:3" x14ac:dyDescent="0.35">
      <c r="C50908" s="2"/>
    </row>
    <row r="50909" spans="3:3" x14ac:dyDescent="0.35">
      <c r="C50909" s="2"/>
    </row>
    <row r="50910" spans="3:3" x14ac:dyDescent="0.35">
      <c r="C50910" s="2"/>
    </row>
    <row r="50911" spans="3:3" x14ac:dyDescent="0.35">
      <c r="C50911" s="2"/>
    </row>
    <row r="50912" spans="3:3" x14ac:dyDescent="0.35">
      <c r="C50912" s="2"/>
    </row>
    <row r="50913" spans="3:3" x14ac:dyDescent="0.35">
      <c r="C50913" s="2"/>
    </row>
    <row r="50914" spans="3:3" x14ac:dyDescent="0.35">
      <c r="C50914" s="2"/>
    </row>
    <row r="50915" spans="3:3" x14ac:dyDescent="0.35">
      <c r="C50915" s="2"/>
    </row>
    <row r="50916" spans="3:3" x14ac:dyDescent="0.35">
      <c r="C50916" s="2"/>
    </row>
    <row r="50917" spans="3:3" x14ac:dyDescent="0.35">
      <c r="C50917" s="2"/>
    </row>
    <row r="50918" spans="3:3" x14ac:dyDescent="0.35">
      <c r="C50918" s="2"/>
    </row>
    <row r="50919" spans="3:3" x14ac:dyDescent="0.35">
      <c r="C50919" s="2"/>
    </row>
    <row r="50920" spans="3:3" x14ac:dyDescent="0.35">
      <c r="C50920" s="2"/>
    </row>
    <row r="50921" spans="3:3" x14ac:dyDescent="0.35">
      <c r="C50921" s="2"/>
    </row>
    <row r="50922" spans="3:3" x14ac:dyDescent="0.35">
      <c r="C50922" s="2"/>
    </row>
    <row r="50923" spans="3:3" x14ac:dyDescent="0.35">
      <c r="C50923" s="2"/>
    </row>
    <row r="50924" spans="3:3" x14ac:dyDescent="0.35">
      <c r="C50924" s="2"/>
    </row>
    <row r="50925" spans="3:3" x14ac:dyDescent="0.35">
      <c r="C50925" s="2"/>
    </row>
    <row r="50926" spans="3:3" x14ac:dyDescent="0.35">
      <c r="C50926" s="2"/>
    </row>
    <row r="50927" spans="3:3" x14ac:dyDescent="0.35">
      <c r="C50927" s="2"/>
    </row>
    <row r="50928" spans="3:3" x14ac:dyDescent="0.35">
      <c r="C50928" s="2"/>
    </row>
    <row r="50929" spans="3:3" x14ac:dyDescent="0.35">
      <c r="C50929" s="2"/>
    </row>
    <row r="50930" spans="3:3" x14ac:dyDescent="0.35">
      <c r="C50930" s="2"/>
    </row>
    <row r="50931" spans="3:3" x14ac:dyDescent="0.35">
      <c r="C50931" s="2"/>
    </row>
    <row r="50932" spans="3:3" x14ac:dyDescent="0.35">
      <c r="C50932" s="2"/>
    </row>
    <row r="50933" spans="3:3" x14ac:dyDescent="0.35">
      <c r="C50933" s="2"/>
    </row>
    <row r="50934" spans="3:3" x14ac:dyDescent="0.35">
      <c r="C50934" s="2"/>
    </row>
    <row r="50935" spans="3:3" x14ac:dyDescent="0.35">
      <c r="C50935" s="2"/>
    </row>
    <row r="50936" spans="3:3" x14ac:dyDescent="0.35">
      <c r="C50936" s="2"/>
    </row>
    <row r="50937" spans="3:3" x14ac:dyDescent="0.35">
      <c r="C50937" s="2"/>
    </row>
    <row r="50938" spans="3:3" x14ac:dyDescent="0.35">
      <c r="C50938" s="2"/>
    </row>
    <row r="50939" spans="3:3" x14ac:dyDescent="0.35">
      <c r="C50939" s="2"/>
    </row>
    <row r="50940" spans="3:3" x14ac:dyDescent="0.35">
      <c r="C50940" s="2"/>
    </row>
    <row r="50941" spans="3:3" x14ac:dyDescent="0.35">
      <c r="C50941" s="2"/>
    </row>
    <row r="50942" spans="3:3" x14ac:dyDescent="0.35">
      <c r="C50942" s="2"/>
    </row>
    <row r="50943" spans="3:3" x14ac:dyDescent="0.35">
      <c r="C50943" s="2"/>
    </row>
    <row r="50944" spans="3:3" x14ac:dyDescent="0.35">
      <c r="C50944" s="2"/>
    </row>
    <row r="50945" spans="3:3" x14ac:dyDescent="0.35">
      <c r="C50945" s="2"/>
    </row>
    <row r="50946" spans="3:3" x14ac:dyDescent="0.35">
      <c r="C50946" s="2"/>
    </row>
    <row r="50947" spans="3:3" x14ac:dyDescent="0.35">
      <c r="C50947" s="2"/>
    </row>
    <row r="50948" spans="3:3" x14ac:dyDescent="0.35">
      <c r="C50948" s="2"/>
    </row>
    <row r="50949" spans="3:3" x14ac:dyDescent="0.35">
      <c r="C50949" s="2"/>
    </row>
    <row r="50950" spans="3:3" x14ac:dyDescent="0.35">
      <c r="C50950" s="2"/>
    </row>
    <row r="50951" spans="3:3" x14ac:dyDescent="0.35">
      <c r="C50951" s="2"/>
    </row>
    <row r="50952" spans="3:3" x14ac:dyDescent="0.35">
      <c r="C50952" s="2"/>
    </row>
    <row r="50953" spans="3:3" x14ac:dyDescent="0.35">
      <c r="C50953" s="2"/>
    </row>
    <row r="50954" spans="3:3" x14ac:dyDescent="0.35">
      <c r="C50954" s="2"/>
    </row>
    <row r="50955" spans="3:3" x14ac:dyDescent="0.35">
      <c r="C50955" s="2"/>
    </row>
    <row r="50956" spans="3:3" x14ac:dyDescent="0.35">
      <c r="C50956" s="2"/>
    </row>
    <row r="50957" spans="3:3" x14ac:dyDescent="0.35">
      <c r="C50957" s="2"/>
    </row>
    <row r="50958" spans="3:3" x14ac:dyDescent="0.35">
      <c r="C50958" s="2"/>
    </row>
    <row r="50959" spans="3:3" x14ac:dyDescent="0.35">
      <c r="C50959" s="2"/>
    </row>
    <row r="50960" spans="3:3" x14ac:dyDescent="0.35">
      <c r="C50960" s="2"/>
    </row>
    <row r="50961" spans="3:3" x14ac:dyDescent="0.35">
      <c r="C50961" s="2"/>
    </row>
    <row r="50962" spans="3:3" x14ac:dyDescent="0.35">
      <c r="C50962" s="2"/>
    </row>
    <row r="50963" spans="3:3" x14ac:dyDescent="0.35">
      <c r="C50963" s="2"/>
    </row>
    <row r="50964" spans="3:3" x14ac:dyDescent="0.35">
      <c r="C50964" s="2"/>
    </row>
    <row r="50965" spans="3:3" x14ac:dyDescent="0.35">
      <c r="C50965" s="2"/>
    </row>
    <row r="50966" spans="3:3" x14ac:dyDescent="0.35">
      <c r="C50966" s="2"/>
    </row>
    <row r="50967" spans="3:3" x14ac:dyDescent="0.35">
      <c r="C50967" s="2"/>
    </row>
    <row r="50968" spans="3:3" x14ac:dyDescent="0.35">
      <c r="C50968" s="2"/>
    </row>
    <row r="50969" spans="3:3" x14ac:dyDescent="0.35">
      <c r="C50969" s="2"/>
    </row>
    <row r="50970" spans="3:3" x14ac:dyDescent="0.35">
      <c r="C50970" s="2"/>
    </row>
    <row r="50971" spans="3:3" x14ac:dyDescent="0.35">
      <c r="C50971" s="2"/>
    </row>
    <row r="50972" spans="3:3" x14ac:dyDescent="0.35">
      <c r="C50972" s="2"/>
    </row>
    <row r="50973" spans="3:3" x14ac:dyDescent="0.35">
      <c r="C50973" s="2"/>
    </row>
    <row r="50974" spans="3:3" x14ac:dyDescent="0.35">
      <c r="C50974" s="2"/>
    </row>
    <row r="50975" spans="3:3" x14ac:dyDescent="0.35">
      <c r="C50975" s="2"/>
    </row>
    <row r="50976" spans="3:3" x14ac:dyDescent="0.35">
      <c r="C50976" s="2"/>
    </row>
    <row r="50977" spans="3:3" x14ac:dyDescent="0.35">
      <c r="C50977" s="2"/>
    </row>
    <row r="50978" spans="3:3" x14ac:dyDescent="0.35">
      <c r="C50978" s="2"/>
    </row>
    <row r="50979" spans="3:3" x14ac:dyDescent="0.35">
      <c r="C50979" s="2"/>
    </row>
    <row r="50980" spans="3:3" x14ac:dyDescent="0.35">
      <c r="C50980" s="2"/>
    </row>
    <row r="50981" spans="3:3" x14ac:dyDescent="0.35">
      <c r="C50981" s="2"/>
    </row>
    <row r="50982" spans="3:3" x14ac:dyDescent="0.35">
      <c r="C50982" s="2"/>
    </row>
    <row r="50983" spans="3:3" x14ac:dyDescent="0.35">
      <c r="C50983" s="2"/>
    </row>
    <row r="50984" spans="3:3" x14ac:dyDescent="0.35">
      <c r="C50984" s="2"/>
    </row>
    <row r="50985" spans="3:3" x14ac:dyDescent="0.35">
      <c r="C50985" s="2"/>
    </row>
    <row r="50986" spans="3:3" x14ac:dyDescent="0.35">
      <c r="C50986" s="2"/>
    </row>
    <row r="50987" spans="3:3" x14ac:dyDescent="0.35">
      <c r="C50987" s="2"/>
    </row>
    <row r="50988" spans="3:3" x14ac:dyDescent="0.35">
      <c r="C50988" s="2"/>
    </row>
    <row r="50989" spans="3:3" x14ac:dyDescent="0.35">
      <c r="C50989" s="2"/>
    </row>
    <row r="50990" spans="3:3" x14ac:dyDescent="0.35">
      <c r="C50990" s="2"/>
    </row>
    <row r="50991" spans="3:3" x14ac:dyDescent="0.35">
      <c r="C50991" s="2"/>
    </row>
    <row r="50992" spans="3:3" x14ac:dyDescent="0.35">
      <c r="C50992" s="2"/>
    </row>
    <row r="50993" spans="3:3" x14ac:dyDescent="0.35">
      <c r="C50993" s="2"/>
    </row>
    <row r="50994" spans="3:3" x14ac:dyDescent="0.35">
      <c r="C50994" s="2"/>
    </row>
    <row r="50995" spans="3:3" x14ac:dyDescent="0.35">
      <c r="C50995" s="2"/>
    </row>
    <row r="50996" spans="3:3" x14ac:dyDescent="0.35">
      <c r="C50996" s="2"/>
    </row>
    <row r="50997" spans="3:3" x14ac:dyDescent="0.35">
      <c r="C50997" s="2"/>
    </row>
    <row r="50998" spans="3:3" x14ac:dyDescent="0.35">
      <c r="C50998" s="2"/>
    </row>
    <row r="50999" spans="3:3" x14ac:dyDescent="0.35">
      <c r="C50999" s="2"/>
    </row>
    <row r="51000" spans="3:3" x14ac:dyDescent="0.35">
      <c r="C51000" s="2"/>
    </row>
    <row r="51001" spans="3:3" x14ac:dyDescent="0.35">
      <c r="C51001" s="2"/>
    </row>
    <row r="51002" spans="3:3" x14ac:dyDescent="0.35">
      <c r="C51002" s="2"/>
    </row>
    <row r="51003" spans="3:3" x14ac:dyDescent="0.35">
      <c r="C51003" s="2"/>
    </row>
    <row r="51004" spans="3:3" x14ac:dyDescent="0.35">
      <c r="C51004" s="2"/>
    </row>
    <row r="51005" spans="3:3" x14ac:dyDescent="0.35">
      <c r="C51005" s="2"/>
    </row>
    <row r="51006" spans="3:3" x14ac:dyDescent="0.35">
      <c r="C51006" s="2"/>
    </row>
    <row r="51007" spans="3:3" x14ac:dyDescent="0.35">
      <c r="C51007" s="2"/>
    </row>
    <row r="51008" spans="3:3" x14ac:dyDescent="0.35">
      <c r="C51008" s="2"/>
    </row>
    <row r="51009" spans="3:3" x14ac:dyDescent="0.35">
      <c r="C51009" s="2"/>
    </row>
    <row r="51010" spans="3:3" x14ac:dyDescent="0.35">
      <c r="C51010" s="2"/>
    </row>
    <row r="51011" spans="3:3" x14ac:dyDescent="0.35">
      <c r="C51011" s="2"/>
    </row>
    <row r="51012" spans="3:3" x14ac:dyDescent="0.35">
      <c r="C51012" s="2"/>
    </row>
    <row r="51013" spans="3:3" x14ac:dyDescent="0.35">
      <c r="C51013" s="2"/>
    </row>
    <row r="51014" spans="3:3" x14ac:dyDescent="0.35">
      <c r="C51014" s="2"/>
    </row>
    <row r="51015" spans="3:3" x14ac:dyDescent="0.35">
      <c r="C51015" s="2"/>
    </row>
    <row r="51016" spans="3:3" x14ac:dyDescent="0.35">
      <c r="C51016" s="2"/>
    </row>
    <row r="51017" spans="3:3" x14ac:dyDescent="0.35">
      <c r="C51017" s="2"/>
    </row>
    <row r="51018" spans="3:3" x14ac:dyDescent="0.35">
      <c r="C51018" s="2"/>
    </row>
    <row r="51019" spans="3:3" x14ac:dyDescent="0.35">
      <c r="C51019" s="2"/>
    </row>
    <row r="51020" spans="3:3" x14ac:dyDescent="0.35">
      <c r="C51020" s="2"/>
    </row>
    <row r="51021" spans="3:3" x14ac:dyDescent="0.35">
      <c r="C51021" s="2"/>
    </row>
    <row r="51022" spans="3:3" x14ac:dyDescent="0.35">
      <c r="C51022" s="2"/>
    </row>
    <row r="51023" spans="3:3" x14ac:dyDescent="0.35">
      <c r="C51023" s="2"/>
    </row>
    <row r="51024" spans="3:3" x14ac:dyDescent="0.35">
      <c r="C51024" s="2"/>
    </row>
    <row r="51025" spans="3:3" x14ac:dyDescent="0.35">
      <c r="C51025" s="2"/>
    </row>
    <row r="51026" spans="3:3" x14ac:dyDescent="0.35">
      <c r="C51026" s="2"/>
    </row>
    <row r="51027" spans="3:3" x14ac:dyDescent="0.35">
      <c r="C51027" s="2"/>
    </row>
    <row r="51028" spans="3:3" x14ac:dyDescent="0.35">
      <c r="C51028" s="2"/>
    </row>
    <row r="51029" spans="3:3" x14ac:dyDescent="0.35">
      <c r="C51029" s="2"/>
    </row>
    <row r="51030" spans="3:3" x14ac:dyDescent="0.35">
      <c r="C51030" s="2"/>
    </row>
    <row r="51031" spans="3:3" x14ac:dyDescent="0.35">
      <c r="C51031" s="2"/>
    </row>
    <row r="51032" spans="3:3" x14ac:dyDescent="0.35">
      <c r="C51032" s="2"/>
    </row>
    <row r="51033" spans="3:3" x14ac:dyDescent="0.35">
      <c r="C51033" s="2"/>
    </row>
    <row r="51034" spans="3:3" x14ac:dyDescent="0.35">
      <c r="C51034" s="2"/>
    </row>
    <row r="51035" spans="3:3" x14ac:dyDescent="0.35">
      <c r="C51035" s="2"/>
    </row>
    <row r="51036" spans="3:3" x14ac:dyDescent="0.35">
      <c r="C51036" s="2"/>
    </row>
    <row r="51037" spans="3:3" x14ac:dyDescent="0.35">
      <c r="C51037" s="2"/>
    </row>
    <row r="51038" spans="3:3" x14ac:dyDescent="0.35">
      <c r="C51038" s="2"/>
    </row>
    <row r="51039" spans="3:3" x14ac:dyDescent="0.35">
      <c r="C51039" s="2"/>
    </row>
    <row r="51040" spans="3:3" x14ac:dyDescent="0.35">
      <c r="C51040" s="2"/>
    </row>
    <row r="51041" spans="3:3" x14ac:dyDescent="0.35">
      <c r="C51041" s="2"/>
    </row>
    <row r="51042" spans="3:3" x14ac:dyDescent="0.35">
      <c r="C51042" s="2"/>
    </row>
    <row r="51043" spans="3:3" x14ac:dyDescent="0.35">
      <c r="C51043" s="2"/>
    </row>
    <row r="51044" spans="3:3" x14ac:dyDescent="0.35">
      <c r="C51044" s="2"/>
    </row>
    <row r="51045" spans="3:3" x14ac:dyDescent="0.35">
      <c r="C51045" s="2"/>
    </row>
    <row r="51046" spans="3:3" x14ac:dyDescent="0.35">
      <c r="C51046" s="2"/>
    </row>
    <row r="51047" spans="3:3" x14ac:dyDescent="0.35">
      <c r="C51047" s="2"/>
    </row>
    <row r="51048" spans="3:3" x14ac:dyDescent="0.35">
      <c r="C51048" s="2"/>
    </row>
    <row r="51049" spans="3:3" x14ac:dyDescent="0.35">
      <c r="C51049" s="2"/>
    </row>
    <row r="51050" spans="3:3" x14ac:dyDescent="0.35">
      <c r="C51050" s="2"/>
    </row>
    <row r="51051" spans="3:3" x14ac:dyDescent="0.35">
      <c r="C51051" s="2"/>
    </row>
    <row r="51052" spans="3:3" x14ac:dyDescent="0.35">
      <c r="C51052" s="2"/>
    </row>
    <row r="51053" spans="3:3" x14ac:dyDescent="0.35">
      <c r="C51053" s="2"/>
    </row>
    <row r="51054" spans="3:3" x14ac:dyDescent="0.35">
      <c r="C51054" s="2"/>
    </row>
    <row r="51055" spans="3:3" x14ac:dyDescent="0.35">
      <c r="C51055" s="2"/>
    </row>
    <row r="51056" spans="3:3" x14ac:dyDescent="0.35">
      <c r="C51056" s="2"/>
    </row>
    <row r="51057" spans="3:3" x14ac:dyDescent="0.35">
      <c r="C51057" s="2"/>
    </row>
    <row r="51058" spans="3:3" x14ac:dyDescent="0.35">
      <c r="C51058" s="2"/>
    </row>
    <row r="51059" spans="3:3" x14ac:dyDescent="0.35">
      <c r="C51059" s="2"/>
    </row>
    <row r="51060" spans="3:3" x14ac:dyDescent="0.35">
      <c r="C51060" s="2"/>
    </row>
    <row r="51061" spans="3:3" x14ac:dyDescent="0.35">
      <c r="C51061" s="2"/>
    </row>
    <row r="51062" spans="3:3" x14ac:dyDescent="0.35">
      <c r="C51062" s="2"/>
    </row>
    <row r="51063" spans="3:3" x14ac:dyDescent="0.35">
      <c r="C51063" s="2"/>
    </row>
    <row r="51064" spans="3:3" x14ac:dyDescent="0.35">
      <c r="C51064" s="2"/>
    </row>
    <row r="51065" spans="3:3" x14ac:dyDescent="0.35">
      <c r="C51065" s="2"/>
    </row>
    <row r="51066" spans="3:3" x14ac:dyDescent="0.35">
      <c r="C51066" s="2"/>
    </row>
    <row r="51067" spans="3:3" x14ac:dyDescent="0.35">
      <c r="C51067" s="2"/>
    </row>
    <row r="51068" spans="3:3" x14ac:dyDescent="0.35">
      <c r="C51068" s="2"/>
    </row>
    <row r="51069" spans="3:3" x14ac:dyDescent="0.35">
      <c r="C51069" s="2"/>
    </row>
    <row r="51070" spans="3:3" x14ac:dyDescent="0.35">
      <c r="C51070" s="2"/>
    </row>
    <row r="51071" spans="3:3" x14ac:dyDescent="0.35">
      <c r="C51071" s="2"/>
    </row>
    <row r="51072" spans="3:3" x14ac:dyDescent="0.35">
      <c r="C51072" s="2"/>
    </row>
    <row r="51073" spans="3:3" x14ac:dyDescent="0.35">
      <c r="C51073" s="2"/>
    </row>
    <row r="51074" spans="3:3" x14ac:dyDescent="0.35">
      <c r="C51074" s="2"/>
    </row>
    <row r="51075" spans="3:3" x14ac:dyDescent="0.35">
      <c r="C51075" s="2"/>
    </row>
    <row r="51076" spans="3:3" x14ac:dyDescent="0.35">
      <c r="C51076" s="2"/>
    </row>
    <row r="51077" spans="3:3" x14ac:dyDescent="0.35">
      <c r="C51077" s="2"/>
    </row>
    <row r="51078" spans="3:3" x14ac:dyDescent="0.35">
      <c r="C51078" s="2"/>
    </row>
    <row r="51079" spans="3:3" x14ac:dyDescent="0.35">
      <c r="C51079" s="2"/>
    </row>
    <row r="51080" spans="3:3" x14ac:dyDescent="0.35">
      <c r="C51080" s="2"/>
    </row>
    <row r="51081" spans="3:3" x14ac:dyDescent="0.35">
      <c r="C51081" s="2"/>
    </row>
    <row r="51082" spans="3:3" x14ac:dyDescent="0.35">
      <c r="C51082" s="2"/>
    </row>
    <row r="51083" spans="3:3" x14ac:dyDescent="0.35">
      <c r="C51083" s="2"/>
    </row>
    <row r="51084" spans="3:3" x14ac:dyDescent="0.35">
      <c r="C51084" s="2"/>
    </row>
    <row r="51085" spans="3:3" x14ac:dyDescent="0.35">
      <c r="C51085" s="2"/>
    </row>
    <row r="51086" spans="3:3" x14ac:dyDescent="0.35">
      <c r="C51086" s="2"/>
    </row>
    <row r="51087" spans="3:3" x14ac:dyDescent="0.35">
      <c r="C51087" s="2"/>
    </row>
    <row r="51088" spans="3:3" x14ac:dyDescent="0.35">
      <c r="C51088" s="2"/>
    </row>
    <row r="51089" spans="3:3" x14ac:dyDescent="0.35">
      <c r="C51089" s="2"/>
    </row>
    <row r="51090" spans="3:3" x14ac:dyDescent="0.35">
      <c r="C51090" s="2"/>
    </row>
    <row r="51091" spans="3:3" x14ac:dyDescent="0.35">
      <c r="C51091" s="2"/>
    </row>
    <row r="51092" spans="3:3" x14ac:dyDescent="0.35">
      <c r="C51092" s="2"/>
    </row>
    <row r="51093" spans="3:3" x14ac:dyDescent="0.35">
      <c r="C51093" s="2"/>
    </row>
    <row r="51094" spans="3:3" x14ac:dyDescent="0.35">
      <c r="C51094" s="2"/>
    </row>
    <row r="51095" spans="3:3" x14ac:dyDescent="0.35">
      <c r="C51095" s="2"/>
    </row>
    <row r="51096" spans="3:3" x14ac:dyDescent="0.35">
      <c r="C51096" s="2"/>
    </row>
    <row r="51097" spans="3:3" x14ac:dyDescent="0.35">
      <c r="C51097" s="2"/>
    </row>
    <row r="51098" spans="3:3" x14ac:dyDescent="0.35">
      <c r="C51098" s="2"/>
    </row>
    <row r="51099" spans="3:3" x14ac:dyDescent="0.35">
      <c r="C51099" s="2"/>
    </row>
    <row r="51100" spans="3:3" x14ac:dyDescent="0.35">
      <c r="C51100" s="2"/>
    </row>
    <row r="51101" spans="3:3" x14ac:dyDescent="0.35">
      <c r="C51101" s="2"/>
    </row>
    <row r="51102" spans="3:3" x14ac:dyDescent="0.35">
      <c r="C51102" s="2"/>
    </row>
    <row r="51103" spans="3:3" x14ac:dyDescent="0.35">
      <c r="C51103" s="2"/>
    </row>
    <row r="51104" spans="3:3" x14ac:dyDescent="0.35">
      <c r="C51104" s="2"/>
    </row>
    <row r="51105" spans="3:3" x14ac:dyDescent="0.35">
      <c r="C51105" s="2"/>
    </row>
    <row r="51106" spans="3:3" x14ac:dyDescent="0.35">
      <c r="C51106" s="2"/>
    </row>
    <row r="51107" spans="3:3" x14ac:dyDescent="0.35">
      <c r="C51107" s="2"/>
    </row>
    <row r="51108" spans="3:3" x14ac:dyDescent="0.35">
      <c r="C51108" s="2"/>
    </row>
    <row r="51109" spans="3:3" x14ac:dyDescent="0.35">
      <c r="C51109" s="2"/>
    </row>
    <row r="51110" spans="3:3" x14ac:dyDescent="0.35">
      <c r="C51110" s="2"/>
    </row>
    <row r="51111" spans="3:3" x14ac:dyDescent="0.35">
      <c r="C51111" s="2"/>
    </row>
    <row r="51112" spans="3:3" x14ac:dyDescent="0.35">
      <c r="C51112" s="2"/>
    </row>
    <row r="51113" spans="3:3" x14ac:dyDescent="0.35">
      <c r="C51113" s="2"/>
    </row>
    <row r="51114" spans="3:3" x14ac:dyDescent="0.35">
      <c r="C51114" s="2"/>
    </row>
    <row r="51115" spans="3:3" x14ac:dyDescent="0.35">
      <c r="C51115" s="2"/>
    </row>
    <row r="51116" spans="3:3" x14ac:dyDescent="0.35">
      <c r="C51116" s="2"/>
    </row>
    <row r="51117" spans="3:3" x14ac:dyDescent="0.35">
      <c r="C51117" s="2"/>
    </row>
    <row r="51118" spans="3:3" x14ac:dyDescent="0.35">
      <c r="C51118" s="2"/>
    </row>
    <row r="51119" spans="3:3" x14ac:dyDescent="0.35">
      <c r="C51119" s="2"/>
    </row>
    <row r="51120" spans="3:3" x14ac:dyDescent="0.35">
      <c r="C51120" s="2"/>
    </row>
    <row r="51121" spans="3:3" x14ac:dyDescent="0.35">
      <c r="C51121" s="2"/>
    </row>
    <row r="51122" spans="3:3" x14ac:dyDescent="0.35">
      <c r="C51122" s="2"/>
    </row>
    <row r="51123" spans="3:3" x14ac:dyDescent="0.35">
      <c r="C51123" s="2"/>
    </row>
    <row r="51124" spans="3:3" x14ac:dyDescent="0.35">
      <c r="C51124" s="2"/>
    </row>
    <row r="51125" spans="3:3" x14ac:dyDescent="0.35">
      <c r="C51125" s="2"/>
    </row>
    <row r="51126" spans="3:3" x14ac:dyDescent="0.35">
      <c r="C51126" s="2"/>
    </row>
    <row r="51127" spans="3:3" x14ac:dyDescent="0.35">
      <c r="C51127" s="2"/>
    </row>
    <row r="51128" spans="3:3" x14ac:dyDescent="0.35">
      <c r="C51128" s="2"/>
    </row>
    <row r="51129" spans="3:3" x14ac:dyDescent="0.35">
      <c r="C51129" s="2"/>
    </row>
    <row r="51130" spans="3:3" x14ac:dyDescent="0.35">
      <c r="C51130" s="2"/>
    </row>
    <row r="51131" spans="3:3" x14ac:dyDescent="0.35">
      <c r="C51131" s="2"/>
    </row>
    <row r="51132" spans="3:3" x14ac:dyDescent="0.35">
      <c r="C51132" s="2"/>
    </row>
    <row r="51133" spans="3:3" x14ac:dyDescent="0.35">
      <c r="C51133" s="2"/>
    </row>
    <row r="51134" spans="3:3" x14ac:dyDescent="0.35">
      <c r="C51134" s="2"/>
    </row>
    <row r="51135" spans="3:3" x14ac:dyDescent="0.35">
      <c r="C51135" s="2"/>
    </row>
    <row r="51136" spans="3:3" x14ac:dyDescent="0.35">
      <c r="C51136" s="2"/>
    </row>
    <row r="51137" spans="3:3" x14ac:dyDescent="0.35">
      <c r="C51137" s="2"/>
    </row>
    <row r="51138" spans="3:3" x14ac:dyDescent="0.35">
      <c r="C51138" s="2"/>
    </row>
    <row r="51139" spans="3:3" x14ac:dyDescent="0.35">
      <c r="C51139" s="2"/>
    </row>
    <row r="51140" spans="3:3" x14ac:dyDescent="0.35">
      <c r="C51140" s="2"/>
    </row>
    <row r="51141" spans="3:3" x14ac:dyDescent="0.35">
      <c r="C51141" s="2"/>
    </row>
    <row r="51142" spans="3:3" x14ac:dyDescent="0.35">
      <c r="C51142" s="2"/>
    </row>
    <row r="51143" spans="3:3" x14ac:dyDescent="0.35">
      <c r="C51143" s="2"/>
    </row>
    <row r="51144" spans="3:3" x14ac:dyDescent="0.35">
      <c r="C51144" s="2"/>
    </row>
    <row r="51145" spans="3:3" x14ac:dyDescent="0.35">
      <c r="C51145" s="2"/>
    </row>
    <row r="51146" spans="3:3" x14ac:dyDescent="0.35">
      <c r="C51146" s="2"/>
    </row>
    <row r="51147" spans="3:3" x14ac:dyDescent="0.35">
      <c r="C51147" s="2"/>
    </row>
    <row r="51148" spans="3:3" x14ac:dyDescent="0.35">
      <c r="C51148" s="2"/>
    </row>
    <row r="51149" spans="3:3" x14ac:dyDescent="0.35">
      <c r="C51149" s="2"/>
    </row>
    <row r="51150" spans="3:3" x14ac:dyDescent="0.35">
      <c r="C51150" s="2"/>
    </row>
    <row r="51151" spans="3:3" x14ac:dyDescent="0.35">
      <c r="C51151" s="2"/>
    </row>
    <row r="51152" spans="3:3" x14ac:dyDescent="0.35">
      <c r="C51152" s="2"/>
    </row>
    <row r="51153" spans="3:3" x14ac:dyDescent="0.35">
      <c r="C51153" s="2"/>
    </row>
    <row r="51154" spans="3:3" x14ac:dyDescent="0.35">
      <c r="C51154" s="2"/>
    </row>
    <row r="51155" spans="3:3" x14ac:dyDescent="0.35">
      <c r="C51155" s="2"/>
    </row>
    <row r="51156" spans="3:3" x14ac:dyDescent="0.35">
      <c r="C51156" s="2"/>
    </row>
    <row r="51157" spans="3:3" x14ac:dyDescent="0.35">
      <c r="C51157" s="2"/>
    </row>
    <row r="51158" spans="3:3" x14ac:dyDescent="0.35">
      <c r="C51158" s="2"/>
    </row>
    <row r="51159" spans="3:3" x14ac:dyDescent="0.35">
      <c r="C51159" s="2"/>
    </row>
    <row r="51160" spans="3:3" x14ac:dyDescent="0.35">
      <c r="C51160" s="2"/>
    </row>
    <row r="51161" spans="3:3" x14ac:dyDescent="0.35">
      <c r="C51161" s="2"/>
    </row>
    <row r="51162" spans="3:3" x14ac:dyDescent="0.35">
      <c r="C51162" s="2"/>
    </row>
    <row r="51163" spans="3:3" x14ac:dyDescent="0.35">
      <c r="C51163" s="2"/>
    </row>
    <row r="51164" spans="3:3" x14ac:dyDescent="0.35">
      <c r="C51164" s="2"/>
    </row>
    <row r="51165" spans="3:3" x14ac:dyDescent="0.35">
      <c r="C51165" s="2"/>
    </row>
    <row r="51166" spans="3:3" x14ac:dyDescent="0.35">
      <c r="C51166" s="2"/>
    </row>
    <row r="51167" spans="3:3" x14ac:dyDescent="0.35">
      <c r="C51167" s="2"/>
    </row>
    <row r="51168" spans="3:3" x14ac:dyDescent="0.35">
      <c r="C51168" s="2"/>
    </row>
    <row r="51169" spans="3:3" x14ac:dyDescent="0.35">
      <c r="C51169" s="2"/>
    </row>
    <row r="51170" spans="3:3" x14ac:dyDescent="0.35">
      <c r="C51170" s="2"/>
    </row>
    <row r="51171" spans="3:3" x14ac:dyDescent="0.35">
      <c r="C51171" s="2"/>
    </row>
    <row r="51172" spans="3:3" x14ac:dyDescent="0.35">
      <c r="C51172" s="2"/>
    </row>
    <row r="51173" spans="3:3" x14ac:dyDescent="0.35">
      <c r="C51173" s="2"/>
    </row>
    <row r="51174" spans="3:3" x14ac:dyDescent="0.35">
      <c r="C51174" s="2"/>
    </row>
    <row r="51175" spans="3:3" x14ac:dyDescent="0.35">
      <c r="C51175" s="2"/>
    </row>
    <row r="51176" spans="3:3" x14ac:dyDescent="0.35">
      <c r="C51176" s="2"/>
    </row>
    <row r="51177" spans="3:3" x14ac:dyDescent="0.35">
      <c r="C51177" s="2"/>
    </row>
    <row r="51178" spans="3:3" x14ac:dyDescent="0.35">
      <c r="C51178" s="2"/>
    </row>
    <row r="51179" spans="3:3" x14ac:dyDescent="0.35">
      <c r="C51179" s="2"/>
    </row>
    <row r="51180" spans="3:3" x14ac:dyDescent="0.35">
      <c r="C51180" s="2"/>
    </row>
    <row r="51181" spans="3:3" x14ac:dyDescent="0.35">
      <c r="C51181" s="2"/>
    </row>
    <row r="51182" spans="3:3" x14ac:dyDescent="0.35">
      <c r="C51182" s="2"/>
    </row>
    <row r="51183" spans="3:3" x14ac:dyDescent="0.35">
      <c r="C51183" s="2"/>
    </row>
    <row r="51184" spans="3:3" x14ac:dyDescent="0.35">
      <c r="C51184" s="2"/>
    </row>
    <row r="51185" spans="3:3" x14ac:dyDescent="0.35">
      <c r="C51185" s="2"/>
    </row>
    <row r="51186" spans="3:3" x14ac:dyDescent="0.35">
      <c r="C51186" s="2"/>
    </row>
    <row r="51187" spans="3:3" x14ac:dyDescent="0.35">
      <c r="C51187" s="2"/>
    </row>
    <row r="51188" spans="3:3" x14ac:dyDescent="0.35">
      <c r="C51188" s="2"/>
    </row>
    <row r="51189" spans="3:3" x14ac:dyDescent="0.35">
      <c r="C51189" s="2"/>
    </row>
    <row r="51190" spans="3:3" x14ac:dyDescent="0.35">
      <c r="C51190" s="2"/>
    </row>
    <row r="51191" spans="3:3" x14ac:dyDescent="0.35">
      <c r="C51191" s="2"/>
    </row>
    <row r="51192" spans="3:3" x14ac:dyDescent="0.35">
      <c r="C51192" s="2"/>
    </row>
    <row r="51193" spans="3:3" x14ac:dyDescent="0.35">
      <c r="C51193" s="2"/>
    </row>
    <row r="51194" spans="3:3" x14ac:dyDescent="0.35">
      <c r="C51194" s="2"/>
    </row>
    <row r="51195" spans="3:3" x14ac:dyDescent="0.35">
      <c r="C51195" s="2"/>
    </row>
    <row r="51196" spans="3:3" x14ac:dyDescent="0.35">
      <c r="C51196" s="2"/>
    </row>
    <row r="51197" spans="3:3" x14ac:dyDescent="0.35">
      <c r="C51197" s="2"/>
    </row>
    <row r="51198" spans="3:3" x14ac:dyDescent="0.35">
      <c r="C51198" s="2"/>
    </row>
    <row r="51199" spans="3:3" x14ac:dyDescent="0.35">
      <c r="C51199" s="2"/>
    </row>
    <row r="51200" spans="3:3" x14ac:dyDescent="0.35">
      <c r="C51200" s="2"/>
    </row>
    <row r="51201" spans="3:3" x14ac:dyDescent="0.35">
      <c r="C51201" s="2"/>
    </row>
    <row r="51202" spans="3:3" x14ac:dyDescent="0.35">
      <c r="C51202" s="2"/>
    </row>
    <row r="51203" spans="3:3" x14ac:dyDescent="0.35">
      <c r="C51203" s="2"/>
    </row>
    <row r="51204" spans="3:3" x14ac:dyDescent="0.35">
      <c r="C51204" s="2"/>
    </row>
    <row r="51205" spans="3:3" x14ac:dyDescent="0.35">
      <c r="C51205" s="2"/>
    </row>
    <row r="51206" spans="3:3" x14ac:dyDescent="0.35">
      <c r="C51206" s="2"/>
    </row>
    <row r="51207" spans="3:3" x14ac:dyDescent="0.35">
      <c r="C51207" s="2"/>
    </row>
    <row r="51208" spans="3:3" x14ac:dyDescent="0.35">
      <c r="C51208" s="2"/>
    </row>
    <row r="51209" spans="3:3" x14ac:dyDescent="0.35">
      <c r="C51209" s="2"/>
    </row>
    <row r="51210" spans="3:3" x14ac:dyDescent="0.35">
      <c r="C51210" s="2"/>
    </row>
    <row r="51211" spans="3:3" x14ac:dyDescent="0.35">
      <c r="C51211" s="2"/>
    </row>
    <row r="51212" spans="3:3" x14ac:dyDescent="0.35">
      <c r="C51212" s="2"/>
    </row>
    <row r="51213" spans="3:3" x14ac:dyDescent="0.35">
      <c r="C51213" s="2"/>
    </row>
    <row r="51214" spans="3:3" x14ac:dyDescent="0.35">
      <c r="C51214" s="2"/>
    </row>
    <row r="51215" spans="3:3" x14ac:dyDescent="0.35">
      <c r="C51215" s="2"/>
    </row>
    <row r="51216" spans="3:3" x14ac:dyDescent="0.35">
      <c r="C51216" s="2"/>
    </row>
    <row r="51217" spans="3:3" x14ac:dyDescent="0.35">
      <c r="C51217" s="2"/>
    </row>
    <row r="51218" spans="3:3" x14ac:dyDescent="0.35">
      <c r="C51218" s="2"/>
    </row>
    <row r="51219" spans="3:3" x14ac:dyDescent="0.35">
      <c r="C51219" s="2"/>
    </row>
    <row r="51220" spans="3:3" x14ac:dyDescent="0.35">
      <c r="C51220" s="2"/>
    </row>
    <row r="51221" spans="3:3" x14ac:dyDescent="0.35">
      <c r="C51221" s="2"/>
    </row>
    <row r="51222" spans="3:3" x14ac:dyDescent="0.35">
      <c r="C51222" s="2"/>
    </row>
    <row r="51223" spans="3:3" x14ac:dyDescent="0.35">
      <c r="C51223" s="2"/>
    </row>
    <row r="51224" spans="3:3" x14ac:dyDescent="0.35">
      <c r="C51224" s="2"/>
    </row>
    <row r="51225" spans="3:3" x14ac:dyDescent="0.35">
      <c r="C51225" s="2"/>
    </row>
    <row r="51226" spans="3:3" x14ac:dyDescent="0.35">
      <c r="C51226" s="2"/>
    </row>
    <row r="51227" spans="3:3" x14ac:dyDescent="0.35">
      <c r="C51227" s="2"/>
    </row>
    <row r="51228" spans="3:3" x14ac:dyDescent="0.35">
      <c r="C51228" s="2"/>
    </row>
    <row r="51229" spans="3:3" x14ac:dyDescent="0.35">
      <c r="C51229" s="2"/>
    </row>
    <row r="51230" spans="3:3" x14ac:dyDescent="0.35">
      <c r="C51230" s="2"/>
    </row>
    <row r="51231" spans="3:3" x14ac:dyDescent="0.35">
      <c r="C51231" s="2"/>
    </row>
    <row r="51232" spans="3:3" x14ac:dyDescent="0.35">
      <c r="C51232" s="2"/>
    </row>
    <row r="51233" spans="3:3" x14ac:dyDescent="0.35">
      <c r="C51233" s="2"/>
    </row>
    <row r="51234" spans="3:3" x14ac:dyDescent="0.35">
      <c r="C51234" s="2"/>
    </row>
    <row r="51235" spans="3:3" x14ac:dyDescent="0.35">
      <c r="C51235" s="2"/>
    </row>
    <row r="51236" spans="3:3" x14ac:dyDescent="0.35">
      <c r="C51236" s="2"/>
    </row>
    <row r="51237" spans="3:3" x14ac:dyDescent="0.35">
      <c r="C51237" s="2"/>
    </row>
    <row r="51238" spans="3:3" x14ac:dyDescent="0.35">
      <c r="C51238" s="2"/>
    </row>
    <row r="51239" spans="3:3" x14ac:dyDescent="0.35">
      <c r="C51239" s="2"/>
    </row>
    <row r="51240" spans="3:3" x14ac:dyDescent="0.35">
      <c r="C51240" s="2"/>
    </row>
    <row r="51241" spans="3:3" x14ac:dyDescent="0.35">
      <c r="C51241" s="2"/>
    </row>
    <row r="51242" spans="3:3" x14ac:dyDescent="0.35">
      <c r="C51242" s="2"/>
    </row>
    <row r="51243" spans="3:3" x14ac:dyDescent="0.35">
      <c r="C51243" s="2"/>
    </row>
    <row r="51244" spans="3:3" x14ac:dyDescent="0.35">
      <c r="C51244" s="2"/>
    </row>
    <row r="51245" spans="3:3" x14ac:dyDescent="0.35">
      <c r="C51245" s="2"/>
    </row>
    <row r="51246" spans="3:3" x14ac:dyDescent="0.35">
      <c r="C51246" s="2"/>
    </row>
    <row r="51247" spans="3:3" x14ac:dyDescent="0.35">
      <c r="C51247" s="2"/>
    </row>
    <row r="51248" spans="3:3" x14ac:dyDescent="0.35">
      <c r="C51248" s="2"/>
    </row>
    <row r="51249" spans="3:3" x14ac:dyDescent="0.35">
      <c r="C51249" s="2"/>
    </row>
    <row r="51250" spans="3:3" x14ac:dyDescent="0.35">
      <c r="C51250" s="2"/>
    </row>
    <row r="51251" spans="3:3" x14ac:dyDescent="0.35">
      <c r="C51251" s="2"/>
    </row>
    <row r="51252" spans="3:3" x14ac:dyDescent="0.35">
      <c r="C51252" s="2"/>
    </row>
    <row r="51253" spans="3:3" x14ac:dyDescent="0.35">
      <c r="C51253" s="2"/>
    </row>
    <row r="51254" spans="3:3" x14ac:dyDescent="0.35">
      <c r="C51254" s="2"/>
    </row>
    <row r="51255" spans="3:3" x14ac:dyDescent="0.35">
      <c r="C51255" s="2"/>
    </row>
    <row r="51256" spans="3:3" x14ac:dyDescent="0.35">
      <c r="C51256" s="2"/>
    </row>
    <row r="51257" spans="3:3" x14ac:dyDescent="0.35">
      <c r="C51257" s="2"/>
    </row>
    <row r="51258" spans="3:3" x14ac:dyDescent="0.35">
      <c r="C51258" s="2"/>
    </row>
    <row r="51259" spans="3:3" x14ac:dyDescent="0.35">
      <c r="C51259" s="2"/>
    </row>
    <row r="51260" spans="3:3" x14ac:dyDescent="0.35">
      <c r="C51260" s="2"/>
    </row>
    <row r="51261" spans="3:3" x14ac:dyDescent="0.35">
      <c r="C51261" s="2"/>
    </row>
    <row r="51262" spans="3:3" x14ac:dyDescent="0.35">
      <c r="C51262" s="2"/>
    </row>
    <row r="51263" spans="3:3" x14ac:dyDescent="0.35">
      <c r="C51263" s="2"/>
    </row>
    <row r="51264" spans="3:3" x14ac:dyDescent="0.35">
      <c r="C51264" s="2"/>
    </row>
    <row r="51265" spans="3:3" x14ac:dyDescent="0.35">
      <c r="C51265" s="2"/>
    </row>
    <row r="51266" spans="3:3" x14ac:dyDescent="0.35">
      <c r="C51266" s="2"/>
    </row>
    <row r="51267" spans="3:3" x14ac:dyDescent="0.35">
      <c r="C51267" s="2"/>
    </row>
    <row r="51268" spans="3:3" x14ac:dyDescent="0.35">
      <c r="C51268" s="2"/>
    </row>
    <row r="51269" spans="3:3" x14ac:dyDescent="0.35">
      <c r="C51269" s="2"/>
    </row>
    <row r="51270" spans="3:3" x14ac:dyDescent="0.35">
      <c r="C51270" s="2"/>
    </row>
    <row r="51271" spans="3:3" x14ac:dyDescent="0.35">
      <c r="C51271" s="2"/>
    </row>
    <row r="51272" spans="3:3" x14ac:dyDescent="0.35">
      <c r="C51272" s="2"/>
    </row>
    <row r="51273" spans="3:3" x14ac:dyDescent="0.35">
      <c r="C51273" s="2"/>
    </row>
    <row r="51274" spans="3:3" x14ac:dyDescent="0.35">
      <c r="C51274" s="2"/>
    </row>
    <row r="51275" spans="3:3" x14ac:dyDescent="0.35">
      <c r="C51275" s="2"/>
    </row>
    <row r="51276" spans="3:3" x14ac:dyDescent="0.35">
      <c r="C51276" s="2"/>
    </row>
    <row r="51277" spans="3:3" x14ac:dyDescent="0.35">
      <c r="C51277" s="2"/>
    </row>
    <row r="51278" spans="3:3" x14ac:dyDescent="0.35">
      <c r="C51278" s="2"/>
    </row>
    <row r="51279" spans="3:3" x14ac:dyDescent="0.35">
      <c r="C51279" s="2"/>
    </row>
    <row r="51280" spans="3:3" x14ac:dyDescent="0.35">
      <c r="C51280" s="2"/>
    </row>
    <row r="51281" spans="3:3" x14ac:dyDescent="0.35">
      <c r="C51281" s="2"/>
    </row>
    <row r="51282" spans="3:3" x14ac:dyDescent="0.35">
      <c r="C51282" s="2"/>
    </row>
    <row r="51283" spans="3:3" x14ac:dyDescent="0.35">
      <c r="C51283" s="2"/>
    </row>
    <row r="51284" spans="3:3" x14ac:dyDescent="0.35">
      <c r="C51284" s="2"/>
    </row>
    <row r="51285" spans="3:3" x14ac:dyDescent="0.35">
      <c r="C51285" s="2"/>
    </row>
    <row r="51286" spans="3:3" x14ac:dyDescent="0.35">
      <c r="C51286" s="2"/>
    </row>
    <row r="51287" spans="3:3" x14ac:dyDescent="0.35">
      <c r="C51287" s="2"/>
    </row>
    <row r="51288" spans="3:3" x14ac:dyDescent="0.35">
      <c r="C51288" s="2"/>
    </row>
    <row r="51289" spans="3:3" x14ac:dyDescent="0.35">
      <c r="C51289" s="2"/>
    </row>
    <row r="51290" spans="3:3" x14ac:dyDescent="0.35">
      <c r="C51290" s="2"/>
    </row>
    <row r="51291" spans="3:3" x14ac:dyDescent="0.35">
      <c r="C51291" s="2"/>
    </row>
    <row r="51292" spans="3:3" x14ac:dyDescent="0.35">
      <c r="C51292" s="2"/>
    </row>
    <row r="51293" spans="3:3" x14ac:dyDescent="0.35">
      <c r="C51293" s="2"/>
    </row>
    <row r="51294" spans="3:3" x14ac:dyDescent="0.35">
      <c r="C51294" s="2"/>
    </row>
    <row r="51295" spans="3:3" x14ac:dyDescent="0.35">
      <c r="C51295" s="2"/>
    </row>
    <row r="51296" spans="3:3" x14ac:dyDescent="0.35">
      <c r="C51296" s="2"/>
    </row>
    <row r="51297" spans="3:3" x14ac:dyDescent="0.35">
      <c r="C51297" s="2"/>
    </row>
    <row r="51298" spans="3:3" x14ac:dyDescent="0.35">
      <c r="C51298" s="2"/>
    </row>
    <row r="51299" spans="3:3" x14ac:dyDescent="0.35">
      <c r="C51299" s="2"/>
    </row>
    <row r="51300" spans="3:3" x14ac:dyDescent="0.35">
      <c r="C51300" s="2"/>
    </row>
    <row r="51301" spans="3:3" x14ac:dyDescent="0.35">
      <c r="C51301" s="2"/>
    </row>
    <row r="51302" spans="3:3" x14ac:dyDescent="0.35">
      <c r="C51302" s="2"/>
    </row>
    <row r="51303" spans="3:3" x14ac:dyDescent="0.35">
      <c r="C51303" s="2"/>
    </row>
    <row r="51304" spans="3:3" x14ac:dyDescent="0.35">
      <c r="C51304" s="2"/>
    </row>
    <row r="51305" spans="3:3" x14ac:dyDescent="0.35">
      <c r="C51305" s="2"/>
    </row>
    <row r="51306" spans="3:3" x14ac:dyDescent="0.35">
      <c r="C51306" s="2"/>
    </row>
    <row r="51307" spans="3:3" x14ac:dyDescent="0.35">
      <c r="C51307" s="2"/>
    </row>
    <row r="51308" spans="3:3" x14ac:dyDescent="0.35">
      <c r="C51308" s="2"/>
    </row>
    <row r="51309" spans="3:3" x14ac:dyDescent="0.35">
      <c r="C51309" s="2"/>
    </row>
    <row r="51310" spans="3:3" x14ac:dyDescent="0.35">
      <c r="C51310" s="2"/>
    </row>
    <row r="51311" spans="3:3" x14ac:dyDescent="0.35">
      <c r="C51311" s="2"/>
    </row>
    <row r="51312" spans="3:3" x14ac:dyDescent="0.35">
      <c r="C51312" s="2"/>
    </row>
    <row r="51313" spans="3:3" x14ac:dyDescent="0.35">
      <c r="C51313" s="2"/>
    </row>
    <row r="51314" spans="3:3" x14ac:dyDescent="0.35">
      <c r="C51314" s="2"/>
    </row>
    <row r="51315" spans="3:3" x14ac:dyDescent="0.35">
      <c r="C51315" s="2"/>
    </row>
    <row r="51316" spans="3:3" x14ac:dyDescent="0.35">
      <c r="C51316" s="2"/>
    </row>
    <row r="51317" spans="3:3" x14ac:dyDescent="0.35">
      <c r="C51317" s="2"/>
    </row>
    <row r="51318" spans="3:3" x14ac:dyDescent="0.35">
      <c r="C51318" s="2"/>
    </row>
    <row r="51319" spans="3:3" x14ac:dyDescent="0.35">
      <c r="C51319" s="2"/>
    </row>
    <row r="51320" spans="3:3" x14ac:dyDescent="0.35">
      <c r="C51320" s="2"/>
    </row>
    <row r="51321" spans="3:3" x14ac:dyDescent="0.35">
      <c r="C51321" s="2"/>
    </row>
    <row r="51322" spans="3:3" x14ac:dyDescent="0.35">
      <c r="C51322" s="2"/>
    </row>
    <row r="51323" spans="3:3" x14ac:dyDescent="0.35">
      <c r="C51323" s="2"/>
    </row>
    <row r="51324" spans="3:3" x14ac:dyDescent="0.35">
      <c r="C51324" s="2"/>
    </row>
    <row r="51325" spans="3:3" x14ac:dyDescent="0.35">
      <c r="C51325" s="2"/>
    </row>
    <row r="51326" spans="3:3" x14ac:dyDescent="0.35">
      <c r="C51326" s="2"/>
    </row>
    <row r="51327" spans="3:3" x14ac:dyDescent="0.35">
      <c r="C51327" s="2"/>
    </row>
    <row r="51328" spans="3:3" x14ac:dyDescent="0.35">
      <c r="C51328" s="2"/>
    </row>
    <row r="51329" spans="3:3" x14ac:dyDescent="0.35">
      <c r="C51329" s="2"/>
    </row>
    <row r="51330" spans="3:3" x14ac:dyDescent="0.35">
      <c r="C51330" s="2"/>
    </row>
    <row r="51331" spans="3:3" x14ac:dyDescent="0.35">
      <c r="C51331" s="2"/>
    </row>
    <row r="51332" spans="3:3" x14ac:dyDescent="0.35">
      <c r="C51332" s="2"/>
    </row>
    <row r="51333" spans="3:3" x14ac:dyDescent="0.35">
      <c r="C51333" s="2"/>
    </row>
    <row r="51334" spans="3:3" x14ac:dyDescent="0.35">
      <c r="C51334" s="2"/>
    </row>
    <row r="51335" spans="3:3" x14ac:dyDescent="0.35">
      <c r="C51335" s="2"/>
    </row>
    <row r="51336" spans="3:3" x14ac:dyDescent="0.35">
      <c r="C51336" s="2"/>
    </row>
    <row r="51337" spans="3:3" x14ac:dyDescent="0.35">
      <c r="C51337" s="2"/>
    </row>
    <row r="51338" spans="3:3" x14ac:dyDescent="0.35">
      <c r="C51338" s="2"/>
    </row>
    <row r="51339" spans="3:3" x14ac:dyDescent="0.35">
      <c r="C51339" s="2"/>
    </row>
    <row r="51340" spans="3:3" x14ac:dyDescent="0.35">
      <c r="C51340" s="2"/>
    </row>
    <row r="51341" spans="3:3" x14ac:dyDescent="0.35">
      <c r="C51341" s="2"/>
    </row>
    <row r="51342" spans="3:3" x14ac:dyDescent="0.35">
      <c r="C51342" s="2"/>
    </row>
    <row r="51343" spans="3:3" x14ac:dyDescent="0.35">
      <c r="C51343" s="2"/>
    </row>
    <row r="51344" spans="3:3" x14ac:dyDescent="0.35">
      <c r="C51344" s="2"/>
    </row>
    <row r="51345" spans="3:3" x14ac:dyDescent="0.35">
      <c r="C51345" s="2"/>
    </row>
    <row r="51346" spans="3:3" x14ac:dyDescent="0.35">
      <c r="C51346" s="2"/>
    </row>
    <row r="51347" spans="3:3" x14ac:dyDescent="0.35">
      <c r="C51347" s="2"/>
    </row>
    <row r="51348" spans="3:3" x14ac:dyDescent="0.35">
      <c r="C51348" s="2"/>
    </row>
    <row r="51349" spans="3:3" x14ac:dyDescent="0.35">
      <c r="C51349" s="2"/>
    </row>
    <row r="51350" spans="3:3" x14ac:dyDescent="0.35">
      <c r="C51350" s="2"/>
    </row>
    <row r="51351" spans="3:3" x14ac:dyDescent="0.35">
      <c r="C51351" s="2"/>
    </row>
    <row r="51352" spans="3:3" x14ac:dyDescent="0.35">
      <c r="C51352" s="2"/>
    </row>
    <row r="51353" spans="3:3" x14ac:dyDescent="0.35">
      <c r="C51353" s="2"/>
    </row>
    <row r="51354" spans="3:3" x14ac:dyDescent="0.35">
      <c r="C51354" s="2"/>
    </row>
    <row r="51355" spans="3:3" x14ac:dyDescent="0.35">
      <c r="C51355" s="2"/>
    </row>
    <row r="51356" spans="3:3" x14ac:dyDescent="0.35">
      <c r="C51356" s="2"/>
    </row>
    <row r="51357" spans="3:3" x14ac:dyDescent="0.35">
      <c r="C51357" s="2"/>
    </row>
    <row r="51358" spans="3:3" x14ac:dyDescent="0.35">
      <c r="C51358" s="2"/>
    </row>
    <row r="51359" spans="3:3" x14ac:dyDescent="0.35">
      <c r="C51359" s="2"/>
    </row>
    <row r="51360" spans="3:3" x14ac:dyDescent="0.35">
      <c r="C51360" s="2"/>
    </row>
    <row r="51361" spans="3:3" x14ac:dyDescent="0.35">
      <c r="C51361" s="2"/>
    </row>
    <row r="51362" spans="3:3" x14ac:dyDescent="0.35">
      <c r="C51362" s="2"/>
    </row>
    <row r="51363" spans="3:3" x14ac:dyDescent="0.35">
      <c r="C51363" s="2"/>
    </row>
    <row r="51364" spans="3:3" x14ac:dyDescent="0.35">
      <c r="C51364" s="2"/>
    </row>
    <row r="51365" spans="3:3" x14ac:dyDescent="0.35">
      <c r="C51365" s="2"/>
    </row>
    <row r="51366" spans="3:3" x14ac:dyDescent="0.35">
      <c r="C51366" s="2"/>
    </row>
    <row r="51367" spans="3:3" x14ac:dyDescent="0.35">
      <c r="C51367" s="2"/>
    </row>
    <row r="51368" spans="3:3" x14ac:dyDescent="0.35">
      <c r="C51368" s="2"/>
    </row>
    <row r="51369" spans="3:3" x14ac:dyDescent="0.35">
      <c r="C51369" s="2"/>
    </row>
    <row r="51370" spans="3:3" x14ac:dyDescent="0.35">
      <c r="C51370" s="2"/>
    </row>
    <row r="51371" spans="3:3" x14ac:dyDescent="0.35">
      <c r="C51371" s="2"/>
    </row>
    <row r="51372" spans="3:3" x14ac:dyDescent="0.35">
      <c r="C51372" s="2"/>
    </row>
    <row r="51373" spans="3:3" x14ac:dyDescent="0.35">
      <c r="C51373" s="2"/>
    </row>
    <row r="51374" spans="3:3" x14ac:dyDescent="0.35">
      <c r="C51374" s="2"/>
    </row>
    <row r="51375" spans="3:3" x14ac:dyDescent="0.35">
      <c r="C51375" s="2"/>
    </row>
    <row r="51376" spans="3:3" x14ac:dyDescent="0.35">
      <c r="C51376" s="2"/>
    </row>
    <row r="51377" spans="3:3" x14ac:dyDescent="0.35">
      <c r="C51377" s="2"/>
    </row>
    <row r="51378" spans="3:3" x14ac:dyDescent="0.35">
      <c r="C51378" s="2"/>
    </row>
    <row r="51379" spans="3:3" x14ac:dyDescent="0.35">
      <c r="C51379" s="2"/>
    </row>
    <row r="51380" spans="3:3" x14ac:dyDescent="0.35">
      <c r="C51380" s="2"/>
    </row>
    <row r="51381" spans="3:3" x14ac:dyDescent="0.35">
      <c r="C51381" s="2"/>
    </row>
    <row r="51382" spans="3:3" x14ac:dyDescent="0.35">
      <c r="C51382" s="2"/>
    </row>
    <row r="51383" spans="3:3" x14ac:dyDescent="0.35">
      <c r="C51383" s="2"/>
    </row>
    <row r="51384" spans="3:3" x14ac:dyDescent="0.35">
      <c r="C51384" s="2"/>
    </row>
    <row r="51385" spans="3:3" x14ac:dyDescent="0.35">
      <c r="C51385" s="2"/>
    </row>
    <row r="51386" spans="3:3" x14ac:dyDescent="0.35">
      <c r="C51386" s="2"/>
    </row>
    <row r="51387" spans="3:3" x14ac:dyDescent="0.35">
      <c r="C51387" s="2"/>
    </row>
    <row r="51388" spans="3:3" x14ac:dyDescent="0.35">
      <c r="C51388" s="2"/>
    </row>
    <row r="51389" spans="3:3" x14ac:dyDescent="0.35">
      <c r="C51389" s="2"/>
    </row>
    <row r="51390" spans="3:3" x14ac:dyDescent="0.35">
      <c r="C51390" s="2"/>
    </row>
    <row r="51391" spans="3:3" x14ac:dyDescent="0.35">
      <c r="C51391" s="2"/>
    </row>
    <row r="51392" spans="3:3" x14ac:dyDescent="0.35">
      <c r="C51392" s="2"/>
    </row>
    <row r="51393" spans="3:3" x14ac:dyDescent="0.35">
      <c r="C51393" s="2"/>
    </row>
    <row r="51394" spans="3:3" x14ac:dyDescent="0.35">
      <c r="C51394" s="2"/>
    </row>
    <row r="51395" spans="3:3" x14ac:dyDescent="0.35">
      <c r="C51395" s="2"/>
    </row>
    <row r="51396" spans="3:3" x14ac:dyDescent="0.35">
      <c r="C51396" s="2"/>
    </row>
    <row r="51397" spans="3:3" x14ac:dyDescent="0.35">
      <c r="C51397" s="2"/>
    </row>
    <row r="51398" spans="3:3" x14ac:dyDescent="0.35">
      <c r="C51398" s="2"/>
    </row>
    <row r="51399" spans="3:3" x14ac:dyDescent="0.35">
      <c r="C51399" s="2"/>
    </row>
    <row r="51400" spans="3:3" x14ac:dyDescent="0.35">
      <c r="C51400" s="2"/>
    </row>
    <row r="51401" spans="3:3" x14ac:dyDescent="0.35">
      <c r="C51401" s="2"/>
    </row>
    <row r="51402" spans="3:3" x14ac:dyDescent="0.35">
      <c r="C51402" s="2"/>
    </row>
    <row r="51403" spans="3:3" x14ac:dyDescent="0.35">
      <c r="C51403" s="2"/>
    </row>
    <row r="51404" spans="3:3" x14ac:dyDescent="0.35">
      <c r="C51404" s="2"/>
    </row>
    <row r="51405" spans="3:3" x14ac:dyDescent="0.35">
      <c r="C51405" s="2"/>
    </row>
    <row r="51406" spans="3:3" x14ac:dyDescent="0.35">
      <c r="C51406" s="2"/>
    </row>
    <row r="51407" spans="3:3" x14ac:dyDescent="0.35">
      <c r="C51407" s="2"/>
    </row>
    <row r="51408" spans="3:3" x14ac:dyDescent="0.35">
      <c r="C51408" s="2"/>
    </row>
    <row r="51409" spans="3:3" x14ac:dyDescent="0.35">
      <c r="C51409" s="2"/>
    </row>
    <row r="51410" spans="3:3" x14ac:dyDescent="0.35">
      <c r="C51410" s="2"/>
    </row>
    <row r="51411" spans="3:3" x14ac:dyDescent="0.35">
      <c r="C51411" s="2"/>
    </row>
    <row r="51412" spans="3:3" x14ac:dyDescent="0.35">
      <c r="C51412" s="2"/>
    </row>
    <row r="51413" spans="3:3" x14ac:dyDescent="0.35">
      <c r="C51413" s="2"/>
    </row>
    <row r="51414" spans="3:3" x14ac:dyDescent="0.35">
      <c r="C51414" s="2"/>
    </row>
    <row r="51415" spans="3:3" x14ac:dyDescent="0.35">
      <c r="C51415" s="2"/>
    </row>
    <row r="51416" spans="3:3" x14ac:dyDescent="0.35">
      <c r="C51416" s="2"/>
    </row>
    <row r="51417" spans="3:3" x14ac:dyDescent="0.35">
      <c r="C51417" s="2"/>
    </row>
    <row r="51418" spans="3:3" x14ac:dyDescent="0.35">
      <c r="C51418" s="2"/>
    </row>
    <row r="51419" spans="3:3" x14ac:dyDescent="0.35">
      <c r="C51419" s="2"/>
    </row>
    <row r="51420" spans="3:3" x14ac:dyDescent="0.35">
      <c r="C51420" s="2"/>
    </row>
    <row r="51421" spans="3:3" x14ac:dyDescent="0.35">
      <c r="C51421" s="2"/>
    </row>
    <row r="51422" spans="3:3" x14ac:dyDescent="0.35">
      <c r="C51422" s="2"/>
    </row>
    <row r="51423" spans="3:3" x14ac:dyDescent="0.35">
      <c r="C51423" s="2"/>
    </row>
    <row r="51424" spans="3:3" x14ac:dyDescent="0.35">
      <c r="C51424" s="2"/>
    </row>
    <row r="51425" spans="3:3" x14ac:dyDescent="0.35">
      <c r="C51425" s="2"/>
    </row>
    <row r="51426" spans="3:3" x14ac:dyDescent="0.35">
      <c r="C51426" s="2"/>
    </row>
    <row r="51427" spans="3:3" x14ac:dyDescent="0.35">
      <c r="C51427" s="2"/>
    </row>
    <row r="51428" spans="3:3" x14ac:dyDescent="0.35">
      <c r="C51428" s="2"/>
    </row>
    <row r="51429" spans="3:3" x14ac:dyDescent="0.35">
      <c r="C51429" s="2"/>
    </row>
    <row r="51430" spans="3:3" x14ac:dyDescent="0.35">
      <c r="C51430" s="2"/>
    </row>
    <row r="51431" spans="3:3" x14ac:dyDescent="0.35">
      <c r="C51431" s="2"/>
    </row>
    <row r="51432" spans="3:3" x14ac:dyDescent="0.35">
      <c r="C51432" s="2"/>
    </row>
    <row r="51433" spans="3:3" x14ac:dyDescent="0.35">
      <c r="C51433" s="2"/>
    </row>
    <row r="51434" spans="3:3" x14ac:dyDescent="0.35">
      <c r="C51434" s="2"/>
    </row>
    <row r="51435" spans="3:3" x14ac:dyDescent="0.35">
      <c r="C51435" s="2"/>
    </row>
    <row r="51436" spans="3:3" x14ac:dyDescent="0.35">
      <c r="C51436" s="2"/>
    </row>
    <row r="51437" spans="3:3" x14ac:dyDescent="0.35">
      <c r="C51437" s="2"/>
    </row>
    <row r="51438" spans="3:3" x14ac:dyDescent="0.35">
      <c r="C51438" s="2"/>
    </row>
    <row r="51439" spans="3:3" x14ac:dyDescent="0.35">
      <c r="C51439" s="2"/>
    </row>
    <row r="51440" spans="3:3" x14ac:dyDescent="0.35">
      <c r="C51440" s="2"/>
    </row>
    <row r="51441" spans="3:3" x14ac:dyDescent="0.35">
      <c r="C51441" s="2"/>
    </row>
    <row r="51442" spans="3:3" x14ac:dyDescent="0.35">
      <c r="C51442" s="2"/>
    </row>
    <row r="51443" spans="3:3" x14ac:dyDescent="0.35">
      <c r="C51443" s="2"/>
    </row>
    <row r="51444" spans="3:3" x14ac:dyDescent="0.35">
      <c r="C51444" s="2"/>
    </row>
    <row r="51445" spans="3:3" x14ac:dyDescent="0.35">
      <c r="C51445" s="2"/>
    </row>
    <row r="51446" spans="3:3" x14ac:dyDescent="0.35">
      <c r="C51446" s="2"/>
    </row>
    <row r="51447" spans="3:3" x14ac:dyDescent="0.35">
      <c r="C51447" s="2"/>
    </row>
    <row r="51448" spans="3:3" x14ac:dyDescent="0.35">
      <c r="C51448" s="2"/>
    </row>
    <row r="51449" spans="3:3" x14ac:dyDescent="0.35">
      <c r="C51449" s="2"/>
    </row>
    <row r="51450" spans="3:3" x14ac:dyDescent="0.35">
      <c r="C51450" s="2"/>
    </row>
    <row r="51451" spans="3:3" x14ac:dyDescent="0.35">
      <c r="C51451" s="2"/>
    </row>
    <row r="51452" spans="3:3" x14ac:dyDescent="0.35">
      <c r="C51452" s="2"/>
    </row>
    <row r="51453" spans="3:3" x14ac:dyDescent="0.35">
      <c r="C51453" s="2"/>
    </row>
    <row r="51454" spans="3:3" x14ac:dyDescent="0.35">
      <c r="C51454" s="2"/>
    </row>
    <row r="51455" spans="3:3" x14ac:dyDescent="0.35">
      <c r="C51455" s="2"/>
    </row>
    <row r="51456" spans="3:3" x14ac:dyDescent="0.35">
      <c r="C51456" s="2"/>
    </row>
    <row r="51457" spans="3:3" x14ac:dyDescent="0.35">
      <c r="C51457" s="2"/>
    </row>
    <row r="51458" spans="3:3" x14ac:dyDescent="0.35">
      <c r="C51458" s="2"/>
    </row>
    <row r="51459" spans="3:3" x14ac:dyDescent="0.35">
      <c r="C51459" s="2"/>
    </row>
    <row r="51460" spans="3:3" x14ac:dyDescent="0.35">
      <c r="C51460" s="2"/>
    </row>
    <row r="51461" spans="3:3" x14ac:dyDescent="0.35">
      <c r="C51461" s="2"/>
    </row>
    <row r="51462" spans="3:3" x14ac:dyDescent="0.35">
      <c r="C51462" s="2"/>
    </row>
    <row r="51463" spans="3:3" x14ac:dyDescent="0.35">
      <c r="C51463" s="2"/>
    </row>
    <row r="51464" spans="3:3" x14ac:dyDescent="0.35">
      <c r="C51464" s="2"/>
    </row>
    <row r="51465" spans="3:3" x14ac:dyDescent="0.35">
      <c r="C51465" s="2"/>
    </row>
    <row r="51466" spans="3:3" x14ac:dyDescent="0.35">
      <c r="C51466" s="2"/>
    </row>
    <row r="51467" spans="3:3" x14ac:dyDescent="0.35">
      <c r="C51467" s="2"/>
    </row>
    <row r="51468" spans="3:3" x14ac:dyDescent="0.35">
      <c r="C51468" s="2"/>
    </row>
    <row r="51469" spans="3:3" x14ac:dyDescent="0.35">
      <c r="C51469" s="2"/>
    </row>
    <row r="51470" spans="3:3" x14ac:dyDescent="0.35">
      <c r="C51470" s="2"/>
    </row>
    <row r="51471" spans="3:3" x14ac:dyDescent="0.35">
      <c r="C51471" s="2"/>
    </row>
    <row r="51472" spans="3:3" x14ac:dyDescent="0.35">
      <c r="C51472" s="2"/>
    </row>
    <row r="51473" spans="3:3" x14ac:dyDescent="0.35">
      <c r="C51473" s="2"/>
    </row>
    <row r="51474" spans="3:3" x14ac:dyDescent="0.35">
      <c r="C51474" s="2"/>
    </row>
    <row r="51475" spans="3:3" x14ac:dyDescent="0.35">
      <c r="C51475" s="2"/>
    </row>
    <row r="51476" spans="3:3" x14ac:dyDescent="0.35">
      <c r="C51476" s="2"/>
    </row>
    <row r="51477" spans="3:3" x14ac:dyDescent="0.35">
      <c r="C51477" s="2"/>
    </row>
    <row r="51478" spans="3:3" x14ac:dyDescent="0.35">
      <c r="C51478" s="2"/>
    </row>
    <row r="51479" spans="3:3" x14ac:dyDescent="0.35">
      <c r="C51479" s="2"/>
    </row>
    <row r="51480" spans="3:3" x14ac:dyDescent="0.35">
      <c r="C51480" s="2"/>
    </row>
    <row r="51481" spans="3:3" x14ac:dyDescent="0.35">
      <c r="C51481" s="2"/>
    </row>
    <row r="51482" spans="3:3" x14ac:dyDescent="0.35">
      <c r="C51482" s="2"/>
    </row>
    <row r="51483" spans="3:3" x14ac:dyDescent="0.35">
      <c r="C51483" s="2"/>
    </row>
    <row r="51484" spans="3:3" x14ac:dyDescent="0.35">
      <c r="C51484" s="2"/>
    </row>
    <row r="51485" spans="3:3" x14ac:dyDescent="0.35">
      <c r="C51485" s="2"/>
    </row>
    <row r="51486" spans="3:3" x14ac:dyDescent="0.35">
      <c r="C51486" s="2"/>
    </row>
    <row r="51487" spans="3:3" x14ac:dyDescent="0.35">
      <c r="C51487" s="2"/>
    </row>
    <row r="51488" spans="3:3" x14ac:dyDescent="0.35">
      <c r="C51488" s="2"/>
    </row>
    <row r="51489" spans="3:3" x14ac:dyDescent="0.35">
      <c r="C51489" s="2"/>
    </row>
    <row r="51490" spans="3:3" x14ac:dyDescent="0.35">
      <c r="C51490" s="2"/>
    </row>
    <row r="51491" spans="3:3" x14ac:dyDescent="0.35">
      <c r="C51491" s="2"/>
    </row>
    <row r="51492" spans="3:3" x14ac:dyDescent="0.35">
      <c r="C51492" s="2"/>
    </row>
    <row r="51493" spans="3:3" x14ac:dyDescent="0.35">
      <c r="C51493" s="2"/>
    </row>
    <row r="51494" spans="3:3" x14ac:dyDescent="0.35">
      <c r="C51494" s="2"/>
    </row>
    <row r="51495" spans="3:3" x14ac:dyDescent="0.35">
      <c r="C51495" s="2"/>
    </row>
    <row r="51496" spans="3:3" x14ac:dyDescent="0.35">
      <c r="C51496" s="2"/>
    </row>
    <row r="51497" spans="3:3" x14ac:dyDescent="0.35">
      <c r="C51497" s="2"/>
    </row>
    <row r="51498" spans="3:3" x14ac:dyDescent="0.35">
      <c r="C51498" s="2"/>
    </row>
    <row r="51499" spans="3:3" x14ac:dyDescent="0.35">
      <c r="C51499" s="2"/>
    </row>
    <row r="51500" spans="3:3" x14ac:dyDescent="0.35">
      <c r="C51500" s="2"/>
    </row>
    <row r="51501" spans="3:3" x14ac:dyDescent="0.35">
      <c r="C51501" s="2"/>
    </row>
    <row r="51502" spans="3:3" x14ac:dyDescent="0.35">
      <c r="C51502" s="2"/>
    </row>
    <row r="51503" spans="3:3" x14ac:dyDescent="0.35">
      <c r="C51503" s="2"/>
    </row>
    <row r="51504" spans="3:3" x14ac:dyDescent="0.35">
      <c r="C51504" s="2"/>
    </row>
    <row r="51505" spans="3:3" x14ac:dyDescent="0.35">
      <c r="C51505" s="2"/>
    </row>
    <row r="51506" spans="3:3" x14ac:dyDescent="0.35">
      <c r="C51506" s="2"/>
    </row>
    <row r="51507" spans="3:3" x14ac:dyDescent="0.35">
      <c r="C51507" s="2"/>
    </row>
    <row r="51508" spans="3:3" x14ac:dyDescent="0.35">
      <c r="C51508" s="2"/>
    </row>
    <row r="51509" spans="3:3" x14ac:dyDescent="0.35">
      <c r="C51509" s="2"/>
    </row>
    <row r="51510" spans="3:3" x14ac:dyDescent="0.35">
      <c r="C51510" s="2"/>
    </row>
    <row r="51511" spans="3:3" x14ac:dyDescent="0.35">
      <c r="C51511" s="2"/>
    </row>
    <row r="51512" spans="3:3" x14ac:dyDescent="0.35">
      <c r="C51512" s="2"/>
    </row>
    <row r="51513" spans="3:3" x14ac:dyDescent="0.35">
      <c r="C51513" s="2"/>
    </row>
    <row r="51514" spans="3:3" x14ac:dyDescent="0.35">
      <c r="C51514" s="2"/>
    </row>
    <row r="51515" spans="3:3" x14ac:dyDescent="0.35">
      <c r="C51515" s="2"/>
    </row>
    <row r="51516" spans="3:3" x14ac:dyDescent="0.35">
      <c r="C51516" s="2"/>
    </row>
    <row r="51517" spans="3:3" x14ac:dyDescent="0.35">
      <c r="C51517" s="2"/>
    </row>
    <row r="51518" spans="3:3" x14ac:dyDescent="0.35">
      <c r="C51518" s="2"/>
    </row>
    <row r="51519" spans="3:3" x14ac:dyDescent="0.35">
      <c r="C51519" s="2"/>
    </row>
    <row r="51520" spans="3:3" x14ac:dyDescent="0.35">
      <c r="C51520" s="2"/>
    </row>
    <row r="51521" spans="3:3" x14ac:dyDescent="0.35">
      <c r="C51521" s="2"/>
    </row>
    <row r="51522" spans="3:3" x14ac:dyDescent="0.35">
      <c r="C51522" s="2"/>
    </row>
    <row r="51523" spans="3:3" x14ac:dyDescent="0.35">
      <c r="C51523" s="2"/>
    </row>
    <row r="51524" spans="3:3" x14ac:dyDescent="0.35">
      <c r="C51524" s="2"/>
    </row>
    <row r="51525" spans="3:3" x14ac:dyDescent="0.35">
      <c r="C51525" s="2"/>
    </row>
    <row r="51526" spans="3:3" x14ac:dyDescent="0.35">
      <c r="C51526" s="2"/>
    </row>
    <row r="51527" spans="3:3" x14ac:dyDescent="0.35">
      <c r="C51527" s="2"/>
    </row>
    <row r="51528" spans="3:3" x14ac:dyDescent="0.35">
      <c r="C51528" s="2"/>
    </row>
    <row r="51529" spans="3:3" x14ac:dyDescent="0.35">
      <c r="C51529" s="2"/>
    </row>
    <row r="51530" spans="3:3" x14ac:dyDescent="0.35">
      <c r="C51530" s="2"/>
    </row>
    <row r="51531" spans="3:3" x14ac:dyDescent="0.35">
      <c r="C51531" s="2"/>
    </row>
    <row r="51532" spans="3:3" x14ac:dyDescent="0.35">
      <c r="C51532" s="2"/>
    </row>
    <row r="51533" spans="3:3" x14ac:dyDescent="0.35">
      <c r="C51533" s="2"/>
    </row>
    <row r="51534" spans="3:3" x14ac:dyDescent="0.35">
      <c r="C51534" s="2"/>
    </row>
    <row r="51535" spans="3:3" x14ac:dyDescent="0.35">
      <c r="C51535" s="2"/>
    </row>
    <row r="51536" spans="3:3" x14ac:dyDescent="0.35">
      <c r="C51536" s="2"/>
    </row>
    <row r="51537" spans="3:3" x14ac:dyDescent="0.35">
      <c r="C51537" s="2"/>
    </row>
    <row r="51538" spans="3:3" x14ac:dyDescent="0.35">
      <c r="C51538" s="2"/>
    </row>
    <row r="51539" spans="3:3" x14ac:dyDescent="0.35">
      <c r="C51539" s="2"/>
    </row>
    <row r="51540" spans="3:3" x14ac:dyDescent="0.35">
      <c r="C51540" s="2"/>
    </row>
    <row r="51541" spans="3:3" x14ac:dyDescent="0.35">
      <c r="C51541" s="2"/>
    </row>
    <row r="51542" spans="3:3" x14ac:dyDescent="0.35">
      <c r="C51542" s="2"/>
    </row>
    <row r="51543" spans="3:3" x14ac:dyDescent="0.35">
      <c r="C51543" s="2"/>
    </row>
    <row r="51544" spans="3:3" x14ac:dyDescent="0.35">
      <c r="C51544" s="2"/>
    </row>
    <row r="51545" spans="3:3" x14ac:dyDescent="0.35">
      <c r="C51545" s="2"/>
    </row>
    <row r="51546" spans="3:3" x14ac:dyDescent="0.35">
      <c r="C51546" s="2"/>
    </row>
    <row r="51547" spans="3:3" x14ac:dyDescent="0.35">
      <c r="C51547" s="2"/>
    </row>
    <row r="51548" spans="3:3" x14ac:dyDescent="0.35">
      <c r="C51548" s="2"/>
    </row>
    <row r="51549" spans="3:3" x14ac:dyDescent="0.35">
      <c r="C51549" s="2"/>
    </row>
    <row r="51550" spans="3:3" x14ac:dyDescent="0.35">
      <c r="C51550" s="2"/>
    </row>
    <row r="51551" spans="3:3" x14ac:dyDescent="0.35">
      <c r="C51551" s="2"/>
    </row>
    <row r="51552" spans="3:3" x14ac:dyDescent="0.35">
      <c r="C51552" s="2"/>
    </row>
    <row r="51553" spans="3:3" x14ac:dyDescent="0.35">
      <c r="C51553" s="2"/>
    </row>
    <row r="51554" spans="3:3" x14ac:dyDescent="0.35">
      <c r="C51554" s="2"/>
    </row>
    <row r="51555" spans="3:3" x14ac:dyDescent="0.35">
      <c r="C51555" s="2"/>
    </row>
    <row r="51556" spans="3:3" x14ac:dyDescent="0.35">
      <c r="C51556" s="2"/>
    </row>
    <row r="51557" spans="3:3" x14ac:dyDescent="0.35">
      <c r="C51557" s="2"/>
    </row>
    <row r="51558" spans="3:3" x14ac:dyDescent="0.35">
      <c r="C51558" s="2"/>
    </row>
    <row r="51559" spans="3:3" x14ac:dyDescent="0.35">
      <c r="C51559" s="2"/>
    </row>
    <row r="51560" spans="3:3" x14ac:dyDescent="0.35">
      <c r="C51560" s="2"/>
    </row>
    <row r="51561" spans="3:3" x14ac:dyDescent="0.35">
      <c r="C51561" s="2"/>
    </row>
    <row r="51562" spans="3:3" x14ac:dyDescent="0.35">
      <c r="C51562" s="2"/>
    </row>
    <row r="51563" spans="3:3" x14ac:dyDescent="0.35">
      <c r="C51563" s="2"/>
    </row>
    <row r="51564" spans="3:3" x14ac:dyDescent="0.35">
      <c r="C51564" s="2"/>
    </row>
    <row r="51565" spans="3:3" x14ac:dyDescent="0.35">
      <c r="C51565" s="2"/>
    </row>
    <row r="51566" spans="3:3" x14ac:dyDescent="0.35">
      <c r="C51566" s="2"/>
    </row>
    <row r="51567" spans="3:3" x14ac:dyDescent="0.35">
      <c r="C51567" s="2"/>
    </row>
    <row r="51568" spans="3:3" x14ac:dyDescent="0.35">
      <c r="C51568" s="2"/>
    </row>
    <row r="51569" spans="3:3" x14ac:dyDescent="0.35">
      <c r="C51569" s="2"/>
    </row>
    <row r="51570" spans="3:3" x14ac:dyDescent="0.35">
      <c r="C51570" s="2"/>
    </row>
    <row r="51571" spans="3:3" x14ac:dyDescent="0.35">
      <c r="C51571" s="2"/>
    </row>
    <row r="51572" spans="3:3" x14ac:dyDescent="0.35">
      <c r="C51572" s="2"/>
    </row>
    <row r="51573" spans="3:3" x14ac:dyDescent="0.35">
      <c r="C51573" s="2"/>
    </row>
    <row r="51574" spans="3:3" x14ac:dyDescent="0.35">
      <c r="C51574" s="2"/>
    </row>
    <row r="51575" spans="3:3" x14ac:dyDescent="0.35">
      <c r="C51575" s="2"/>
    </row>
    <row r="51576" spans="3:3" x14ac:dyDescent="0.35">
      <c r="C51576" s="2"/>
    </row>
    <row r="51577" spans="3:3" x14ac:dyDescent="0.35">
      <c r="C51577" s="2"/>
    </row>
    <row r="51578" spans="3:3" x14ac:dyDescent="0.35">
      <c r="C51578" s="2"/>
    </row>
    <row r="51579" spans="3:3" x14ac:dyDescent="0.35">
      <c r="C51579" s="2"/>
    </row>
    <row r="51580" spans="3:3" x14ac:dyDescent="0.35">
      <c r="C51580" s="2"/>
    </row>
    <row r="51581" spans="3:3" x14ac:dyDescent="0.35">
      <c r="C51581" s="2"/>
    </row>
    <row r="51582" spans="3:3" x14ac:dyDescent="0.35">
      <c r="C51582" s="2"/>
    </row>
    <row r="51583" spans="3:3" x14ac:dyDescent="0.35">
      <c r="C51583" s="2"/>
    </row>
    <row r="51584" spans="3:3" x14ac:dyDescent="0.35">
      <c r="C51584" s="2"/>
    </row>
    <row r="51585" spans="3:3" x14ac:dyDescent="0.35">
      <c r="C51585" s="2"/>
    </row>
    <row r="51586" spans="3:3" x14ac:dyDescent="0.35">
      <c r="C51586" s="2"/>
    </row>
    <row r="51587" spans="3:3" x14ac:dyDescent="0.35">
      <c r="C51587" s="2"/>
    </row>
    <row r="51588" spans="3:3" x14ac:dyDescent="0.35">
      <c r="C51588" s="2"/>
    </row>
    <row r="51589" spans="3:3" x14ac:dyDescent="0.35">
      <c r="C51589" s="2"/>
    </row>
    <row r="51590" spans="3:3" x14ac:dyDescent="0.35">
      <c r="C51590" s="2"/>
    </row>
    <row r="51591" spans="3:3" x14ac:dyDescent="0.35">
      <c r="C51591" s="2"/>
    </row>
    <row r="51592" spans="3:3" x14ac:dyDescent="0.35">
      <c r="C51592" s="2"/>
    </row>
    <row r="51593" spans="3:3" x14ac:dyDescent="0.35">
      <c r="C51593" s="2"/>
    </row>
    <row r="51594" spans="3:3" x14ac:dyDescent="0.35">
      <c r="C51594" s="2"/>
    </row>
    <row r="51595" spans="3:3" x14ac:dyDescent="0.35">
      <c r="C51595" s="2"/>
    </row>
    <row r="51596" spans="3:3" x14ac:dyDescent="0.35">
      <c r="C51596" s="2"/>
    </row>
    <row r="51597" spans="3:3" x14ac:dyDescent="0.35">
      <c r="C51597" s="2"/>
    </row>
    <row r="51598" spans="3:3" x14ac:dyDescent="0.35">
      <c r="C51598" s="2"/>
    </row>
    <row r="51599" spans="3:3" x14ac:dyDescent="0.35">
      <c r="C51599" s="2"/>
    </row>
    <row r="51600" spans="3:3" x14ac:dyDescent="0.35">
      <c r="C51600" s="2"/>
    </row>
    <row r="51601" spans="3:3" x14ac:dyDescent="0.35">
      <c r="C51601" s="2"/>
    </row>
    <row r="51602" spans="3:3" x14ac:dyDescent="0.35">
      <c r="C51602" s="2"/>
    </row>
    <row r="51603" spans="3:3" x14ac:dyDescent="0.35">
      <c r="C51603" s="2"/>
    </row>
    <row r="51604" spans="3:3" x14ac:dyDescent="0.35">
      <c r="C51604" s="2"/>
    </row>
    <row r="51605" spans="3:3" x14ac:dyDescent="0.35">
      <c r="C51605" s="2"/>
    </row>
    <row r="51606" spans="3:3" x14ac:dyDescent="0.35">
      <c r="C51606" s="2"/>
    </row>
    <row r="51607" spans="3:3" x14ac:dyDescent="0.35">
      <c r="C51607" s="2"/>
    </row>
    <row r="51608" spans="3:3" x14ac:dyDescent="0.35">
      <c r="C51608" s="2"/>
    </row>
    <row r="51609" spans="3:3" x14ac:dyDescent="0.35">
      <c r="C51609" s="2"/>
    </row>
    <row r="51610" spans="3:3" x14ac:dyDescent="0.35">
      <c r="C51610" s="2"/>
    </row>
    <row r="51611" spans="3:3" x14ac:dyDescent="0.35">
      <c r="C51611" s="2"/>
    </row>
    <row r="51612" spans="3:3" x14ac:dyDescent="0.35">
      <c r="C51612" s="2"/>
    </row>
    <row r="51613" spans="3:3" x14ac:dyDescent="0.35">
      <c r="C51613" s="2"/>
    </row>
    <row r="51614" spans="3:3" x14ac:dyDescent="0.35">
      <c r="C51614" s="2"/>
    </row>
    <row r="51615" spans="3:3" x14ac:dyDescent="0.35">
      <c r="C51615" s="2"/>
    </row>
    <row r="51616" spans="3:3" x14ac:dyDescent="0.35">
      <c r="C51616" s="2"/>
    </row>
    <row r="51617" spans="3:3" x14ac:dyDescent="0.35">
      <c r="C51617" s="2"/>
    </row>
    <row r="51618" spans="3:3" x14ac:dyDescent="0.35">
      <c r="C51618" s="2"/>
    </row>
    <row r="51619" spans="3:3" x14ac:dyDescent="0.35">
      <c r="C51619" s="2"/>
    </row>
    <row r="51620" spans="3:3" x14ac:dyDescent="0.35">
      <c r="C51620" s="2"/>
    </row>
    <row r="51621" spans="3:3" x14ac:dyDescent="0.35">
      <c r="C51621" s="2"/>
    </row>
    <row r="51622" spans="3:3" x14ac:dyDescent="0.35">
      <c r="C51622" s="2"/>
    </row>
    <row r="51623" spans="3:3" x14ac:dyDescent="0.35">
      <c r="C51623" s="2"/>
    </row>
    <row r="51624" spans="3:3" x14ac:dyDescent="0.35">
      <c r="C51624" s="2"/>
    </row>
    <row r="51625" spans="3:3" x14ac:dyDescent="0.35">
      <c r="C51625" s="2"/>
    </row>
    <row r="51626" spans="3:3" x14ac:dyDescent="0.35">
      <c r="C51626" s="2"/>
    </row>
    <row r="51627" spans="3:3" x14ac:dyDescent="0.35">
      <c r="C51627" s="2"/>
    </row>
    <row r="51628" spans="3:3" x14ac:dyDescent="0.35">
      <c r="C51628" s="2"/>
    </row>
    <row r="51629" spans="3:3" x14ac:dyDescent="0.35">
      <c r="C51629" s="2"/>
    </row>
    <row r="51630" spans="3:3" x14ac:dyDescent="0.35">
      <c r="C51630" s="2"/>
    </row>
    <row r="51631" spans="3:3" x14ac:dyDescent="0.35">
      <c r="C51631" s="2"/>
    </row>
    <row r="51632" spans="3:3" x14ac:dyDescent="0.35">
      <c r="C51632" s="2"/>
    </row>
    <row r="51633" spans="3:3" x14ac:dyDescent="0.35">
      <c r="C51633" s="2"/>
    </row>
    <row r="51634" spans="3:3" x14ac:dyDescent="0.35">
      <c r="C51634" s="2"/>
    </row>
    <row r="51635" spans="3:3" x14ac:dyDescent="0.35">
      <c r="C51635" s="2"/>
    </row>
    <row r="51636" spans="3:3" x14ac:dyDescent="0.35">
      <c r="C51636" s="2"/>
    </row>
    <row r="51637" spans="3:3" x14ac:dyDescent="0.35">
      <c r="C51637" s="2"/>
    </row>
    <row r="51638" spans="3:3" x14ac:dyDescent="0.35">
      <c r="C51638" s="2"/>
    </row>
    <row r="51639" spans="3:3" x14ac:dyDescent="0.35">
      <c r="C51639" s="2"/>
    </row>
    <row r="51640" spans="3:3" x14ac:dyDescent="0.35">
      <c r="C51640" s="2"/>
    </row>
    <row r="51641" spans="3:3" x14ac:dyDescent="0.35">
      <c r="C51641" s="2"/>
    </row>
    <row r="51642" spans="3:3" x14ac:dyDescent="0.35">
      <c r="C51642" s="2"/>
    </row>
    <row r="51643" spans="3:3" x14ac:dyDescent="0.35">
      <c r="C51643" s="2"/>
    </row>
    <row r="51644" spans="3:3" x14ac:dyDescent="0.35">
      <c r="C51644" s="2"/>
    </row>
    <row r="51645" spans="3:3" x14ac:dyDescent="0.35">
      <c r="C51645" s="2"/>
    </row>
    <row r="51646" spans="3:3" x14ac:dyDescent="0.35">
      <c r="C51646" s="2"/>
    </row>
    <row r="51647" spans="3:3" x14ac:dyDescent="0.35">
      <c r="C51647" s="2"/>
    </row>
    <row r="51648" spans="3:3" x14ac:dyDescent="0.35">
      <c r="C51648" s="2"/>
    </row>
    <row r="51649" spans="3:3" x14ac:dyDescent="0.35">
      <c r="C51649" s="2"/>
    </row>
    <row r="51650" spans="3:3" x14ac:dyDescent="0.35">
      <c r="C51650" s="2"/>
    </row>
    <row r="51651" spans="3:3" x14ac:dyDescent="0.35">
      <c r="C51651" s="2"/>
    </row>
    <row r="51652" spans="3:3" x14ac:dyDescent="0.35">
      <c r="C51652" s="2"/>
    </row>
    <row r="51653" spans="3:3" x14ac:dyDescent="0.35">
      <c r="C51653" s="2"/>
    </row>
    <row r="51654" spans="3:3" x14ac:dyDescent="0.35">
      <c r="C51654" s="2"/>
    </row>
    <row r="51655" spans="3:3" x14ac:dyDescent="0.35">
      <c r="C51655" s="2"/>
    </row>
    <row r="51656" spans="3:3" x14ac:dyDescent="0.35">
      <c r="C51656" s="2"/>
    </row>
    <row r="51657" spans="3:3" x14ac:dyDescent="0.35">
      <c r="C51657" s="2"/>
    </row>
    <row r="51658" spans="3:3" x14ac:dyDescent="0.35">
      <c r="C51658" s="2"/>
    </row>
    <row r="51659" spans="3:3" x14ac:dyDescent="0.35">
      <c r="C51659" s="2"/>
    </row>
    <row r="51660" spans="3:3" x14ac:dyDescent="0.35">
      <c r="C51660" s="2"/>
    </row>
    <row r="51661" spans="3:3" x14ac:dyDescent="0.35">
      <c r="C51661" s="2"/>
    </row>
    <row r="51662" spans="3:3" x14ac:dyDescent="0.35">
      <c r="C51662" s="2"/>
    </row>
    <row r="51663" spans="3:3" x14ac:dyDescent="0.35">
      <c r="C51663" s="2"/>
    </row>
    <row r="51664" spans="3:3" x14ac:dyDescent="0.35">
      <c r="C51664" s="2"/>
    </row>
    <row r="51665" spans="3:3" x14ac:dyDescent="0.35">
      <c r="C51665" s="2"/>
    </row>
    <row r="51666" spans="3:3" x14ac:dyDescent="0.35">
      <c r="C51666" s="2"/>
    </row>
    <row r="51667" spans="3:3" x14ac:dyDescent="0.35">
      <c r="C51667" s="2"/>
    </row>
    <row r="51668" spans="3:3" x14ac:dyDescent="0.35">
      <c r="C51668" s="2"/>
    </row>
    <row r="51669" spans="3:3" x14ac:dyDescent="0.35">
      <c r="C51669" s="2"/>
    </row>
    <row r="51670" spans="3:3" x14ac:dyDescent="0.35">
      <c r="C51670" s="2"/>
    </row>
    <row r="51671" spans="3:3" x14ac:dyDescent="0.35">
      <c r="C51671" s="2"/>
    </row>
    <row r="51672" spans="3:3" x14ac:dyDescent="0.35">
      <c r="C51672" s="2"/>
    </row>
    <row r="51673" spans="3:3" x14ac:dyDescent="0.35">
      <c r="C51673" s="2"/>
    </row>
    <row r="51674" spans="3:3" x14ac:dyDescent="0.35">
      <c r="C51674" s="2"/>
    </row>
    <row r="51675" spans="3:3" x14ac:dyDescent="0.35">
      <c r="C51675" s="2"/>
    </row>
    <row r="51676" spans="3:3" x14ac:dyDescent="0.35">
      <c r="C51676" s="2"/>
    </row>
    <row r="51677" spans="3:3" x14ac:dyDescent="0.35">
      <c r="C51677" s="2"/>
    </row>
    <row r="51678" spans="3:3" x14ac:dyDescent="0.35">
      <c r="C51678" s="2"/>
    </row>
    <row r="51679" spans="3:3" x14ac:dyDescent="0.35">
      <c r="C51679" s="2"/>
    </row>
    <row r="51680" spans="3:3" x14ac:dyDescent="0.35">
      <c r="C51680" s="2"/>
    </row>
    <row r="51681" spans="3:3" x14ac:dyDescent="0.35">
      <c r="C51681" s="2"/>
    </row>
    <row r="51682" spans="3:3" x14ac:dyDescent="0.35">
      <c r="C51682" s="2"/>
    </row>
    <row r="51683" spans="3:3" x14ac:dyDescent="0.35">
      <c r="C51683" s="2"/>
    </row>
    <row r="51684" spans="3:3" x14ac:dyDescent="0.35">
      <c r="C51684" s="2"/>
    </row>
    <row r="51685" spans="3:3" x14ac:dyDescent="0.35">
      <c r="C51685" s="2"/>
    </row>
    <row r="51686" spans="3:3" x14ac:dyDescent="0.35">
      <c r="C51686" s="2"/>
    </row>
    <row r="51687" spans="3:3" x14ac:dyDescent="0.35">
      <c r="C51687" s="2"/>
    </row>
    <row r="51688" spans="3:3" x14ac:dyDescent="0.35">
      <c r="C51688" s="2"/>
    </row>
    <row r="51689" spans="3:3" x14ac:dyDescent="0.35">
      <c r="C51689" s="2"/>
    </row>
    <row r="51690" spans="3:3" x14ac:dyDescent="0.35">
      <c r="C51690" s="2"/>
    </row>
    <row r="51691" spans="3:3" x14ac:dyDescent="0.35">
      <c r="C51691" s="2"/>
    </row>
    <row r="51692" spans="3:3" x14ac:dyDescent="0.35">
      <c r="C51692" s="2"/>
    </row>
    <row r="51693" spans="3:3" x14ac:dyDescent="0.35">
      <c r="C51693" s="2"/>
    </row>
    <row r="51694" spans="3:3" x14ac:dyDescent="0.35">
      <c r="C51694" s="2"/>
    </row>
    <row r="51695" spans="3:3" x14ac:dyDescent="0.35">
      <c r="C51695" s="2"/>
    </row>
    <row r="51696" spans="3:3" x14ac:dyDescent="0.35">
      <c r="C51696" s="2"/>
    </row>
    <row r="51697" spans="3:3" x14ac:dyDescent="0.35">
      <c r="C51697" s="2"/>
    </row>
    <row r="51698" spans="3:3" x14ac:dyDescent="0.35">
      <c r="C51698" s="2"/>
    </row>
    <row r="51699" spans="3:3" x14ac:dyDescent="0.35">
      <c r="C51699" s="2"/>
    </row>
    <row r="51700" spans="3:3" x14ac:dyDescent="0.35">
      <c r="C51700" s="2"/>
    </row>
    <row r="51701" spans="3:3" x14ac:dyDescent="0.35">
      <c r="C51701" s="2"/>
    </row>
    <row r="51702" spans="3:3" x14ac:dyDescent="0.35">
      <c r="C51702" s="2"/>
    </row>
    <row r="51703" spans="3:3" x14ac:dyDescent="0.35">
      <c r="C51703" s="2"/>
    </row>
    <row r="51704" spans="3:3" x14ac:dyDescent="0.35">
      <c r="C51704" s="2"/>
    </row>
    <row r="51705" spans="3:3" x14ac:dyDescent="0.35">
      <c r="C51705" s="2"/>
    </row>
    <row r="51706" spans="3:3" x14ac:dyDescent="0.35">
      <c r="C51706" s="2"/>
    </row>
    <row r="51707" spans="3:3" x14ac:dyDescent="0.35">
      <c r="C51707" s="2"/>
    </row>
    <row r="51708" spans="3:3" x14ac:dyDescent="0.35">
      <c r="C51708" s="2"/>
    </row>
    <row r="51709" spans="3:3" x14ac:dyDescent="0.35">
      <c r="C51709" s="2"/>
    </row>
    <row r="51710" spans="3:3" x14ac:dyDescent="0.35">
      <c r="C51710" s="2"/>
    </row>
    <row r="51711" spans="3:3" x14ac:dyDescent="0.35">
      <c r="C51711" s="2"/>
    </row>
    <row r="51712" spans="3:3" x14ac:dyDescent="0.35">
      <c r="C51712" s="2"/>
    </row>
    <row r="51713" spans="3:3" x14ac:dyDescent="0.35">
      <c r="C51713" s="2"/>
    </row>
    <row r="51714" spans="3:3" x14ac:dyDescent="0.35">
      <c r="C51714" s="2"/>
    </row>
    <row r="51715" spans="3:3" x14ac:dyDescent="0.35">
      <c r="C51715" s="2"/>
    </row>
    <row r="51716" spans="3:3" x14ac:dyDescent="0.35">
      <c r="C51716" s="2"/>
    </row>
    <row r="51717" spans="3:3" x14ac:dyDescent="0.35">
      <c r="C51717" s="2"/>
    </row>
    <row r="51718" spans="3:3" x14ac:dyDescent="0.35">
      <c r="C51718" s="2"/>
    </row>
    <row r="51719" spans="3:3" x14ac:dyDescent="0.35">
      <c r="C51719" s="2"/>
    </row>
    <row r="51720" spans="3:3" x14ac:dyDescent="0.35">
      <c r="C51720" s="2"/>
    </row>
    <row r="51721" spans="3:3" x14ac:dyDescent="0.35">
      <c r="C51721" s="2"/>
    </row>
    <row r="51722" spans="3:3" x14ac:dyDescent="0.35">
      <c r="C51722" s="2"/>
    </row>
    <row r="51723" spans="3:3" x14ac:dyDescent="0.35">
      <c r="C51723" s="2"/>
    </row>
    <row r="51724" spans="3:3" x14ac:dyDescent="0.35">
      <c r="C51724" s="2"/>
    </row>
    <row r="51725" spans="3:3" x14ac:dyDescent="0.35">
      <c r="C51725" s="2"/>
    </row>
    <row r="51726" spans="3:3" x14ac:dyDescent="0.35">
      <c r="C51726" s="2"/>
    </row>
    <row r="51727" spans="3:3" x14ac:dyDescent="0.35">
      <c r="C51727" s="2"/>
    </row>
    <row r="51728" spans="3:3" x14ac:dyDescent="0.35">
      <c r="C51728" s="2"/>
    </row>
    <row r="51729" spans="3:3" x14ac:dyDescent="0.35">
      <c r="C51729" s="2"/>
    </row>
    <row r="51730" spans="3:3" x14ac:dyDescent="0.35">
      <c r="C51730" s="2"/>
    </row>
    <row r="51731" spans="3:3" x14ac:dyDescent="0.35">
      <c r="C51731" s="2"/>
    </row>
    <row r="51732" spans="3:3" x14ac:dyDescent="0.35">
      <c r="C51732" s="2"/>
    </row>
    <row r="51733" spans="3:3" x14ac:dyDescent="0.35">
      <c r="C51733" s="2"/>
    </row>
    <row r="51734" spans="3:3" x14ac:dyDescent="0.35">
      <c r="C51734" s="2"/>
    </row>
    <row r="51735" spans="3:3" x14ac:dyDescent="0.35">
      <c r="C51735" s="2"/>
    </row>
    <row r="51736" spans="3:3" x14ac:dyDescent="0.35">
      <c r="C51736" s="2"/>
    </row>
    <row r="51737" spans="3:3" x14ac:dyDescent="0.35">
      <c r="C51737" s="2"/>
    </row>
    <row r="51738" spans="3:3" x14ac:dyDescent="0.35">
      <c r="C51738" s="2"/>
    </row>
    <row r="51739" spans="3:3" x14ac:dyDescent="0.35">
      <c r="C51739" s="2"/>
    </row>
    <row r="51740" spans="3:3" x14ac:dyDescent="0.35">
      <c r="C51740" s="2"/>
    </row>
    <row r="51741" spans="3:3" x14ac:dyDescent="0.35">
      <c r="C51741" s="2"/>
    </row>
    <row r="51742" spans="3:3" x14ac:dyDescent="0.35">
      <c r="C51742" s="2"/>
    </row>
    <row r="51743" spans="3:3" x14ac:dyDescent="0.35">
      <c r="C51743" s="2"/>
    </row>
    <row r="51744" spans="3:3" x14ac:dyDescent="0.35">
      <c r="C51744" s="2"/>
    </row>
    <row r="51745" spans="3:3" x14ac:dyDescent="0.35">
      <c r="C51745" s="2"/>
    </row>
    <row r="51746" spans="3:3" x14ac:dyDescent="0.35">
      <c r="C51746" s="2"/>
    </row>
    <row r="51747" spans="3:3" x14ac:dyDescent="0.35">
      <c r="C51747" s="2"/>
    </row>
    <row r="51748" spans="3:3" x14ac:dyDescent="0.35">
      <c r="C51748" s="2"/>
    </row>
    <row r="51749" spans="3:3" x14ac:dyDescent="0.35">
      <c r="C51749" s="2"/>
    </row>
    <row r="51750" spans="3:3" x14ac:dyDescent="0.35">
      <c r="C51750" s="2"/>
    </row>
    <row r="51751" spans="3:3" x14ac:dyDescent="0.35">
      <c r="C51751" s="2"/>
    </row>
    <row r="51752" spans="3:3" x14ac:dyDescent="0.35">
      <c r="C51752" s="2"/>
    </row>
    <row r="51753" spans="3:3" x14ac:dyDescent="0.35">
      <c r="C51753" s="2"/>
    </row>
    <row r="51754" spans="3:3" x14ac:dyDescent="0.35">
      <c r="C51754" s="2"/>
    </row>
    <row r="51755" spans="3:3" x14ac:dyDescent="0.35">
      <c r="C51755" s="2"/>
    </row>
    <row r="51756" spans="3:3" x14ac:dyDescent="0.35">
      <c r="C51756" s="2"/>
    </row>
    <row r="51757" spans="3:3" x14ac:dyDescent="0.35">
      <c r="C51757" s="2"/>
    </row>
    <row r="51758" spans="3:3" x14ac:dyDescent="0.35">
      <c r="C51758" s="2"/>
    </row>
    <row r="51759" spans="3:3" x14ac:dyDescent="0.35">
      <c r="C51759" s="2"/>
    </row>
    <row r="51760" spans="3:3" x14ac:dyDescent="0.35">
      <c r="C51760" s="2"/>
    </row>
    <row r="51761" spans="3:3" x14ac:dyDescent="0.35">
      <c r="C51761" s="2"/>
    </row>
    <row r="51762" spans="3:3" x14ac:dyDescent="0.35">
      <c r="C51762" s="2"/>
    </row>
    <row r="51763" spans="3:3" x14ac:dyDescent="0.35">
      <c r="C51763" s="2"/>
    </row>
    <row r="51764" spans="3:3" x14ac:dyDescent="0.35">
      <c r="C51764" s="2"/>
    </row>
    <row r="51765" spans="3:3" x14ac:dyDescent="0.35">
      <c r="C51765" s="2"/>
    </row>
    <row r="51766" spans="3:3" x14ac:dyDescent="0.35">
      <c r="C51766" s="2"/>
    </row>
    <row r="51767" spans="3:3" x14ac:dyDescent="0.35">
      <c r="C51767" s="2"/>
    </row>
    <row r="51768" spans="3:3" x14ac:dyDescent="0.35">
      <c r="C51768" s="2"/>
    </row>
    <row r="51769" spans="3:3" x14ac:dyDescent="0.35">
      <c r="C51769" s="2"/>
    </row>
    <row r="51770" spans="3:3" x14ac:dyDescent="0.35">
      <c r="C51770" s="2"/>
    </row>
    <row r="51771" spans="3:3" x14ac:dyDescent="0.35">
      <c r="C51771" s="2"/>
    </row>
    <row r="51772" spans="3:3" x14ac:dyDescent="0.35">
      <c r="C51772" s="2"/>
    </row>
    <row r="51773" spans="3:3" x14ac:dyDescent="0.35">
      <c r="C51773" s="2"/>
    </row>
    <row r="51774" spans="3:3" x14ac:dyDescent="0.35">
      <c r="C51774" s="2"/>
    </row>
    <row r="51775" spans="3:3" x14ac:dyDescent="0.35">
      <c r="C51775" s="2"/>
    </row>
    <row r="51776" spans="3:3" x14ac:dyDescent="0.35">
      <c r="C51776" s="2"/>
    </row>
    <row r="51777" spans="3:3" x14ac:dyDescent="0.35">
      <c r="C51777" s="2"/>
    </row>
    <row r="51778" spans="3:3" x14ac:dyDescent="0.35">
      <c r="C51778" s="2"/>
    </row>
    <row r="51779" spans="3:3" x14ac:dyDescent="0.35">
      <c r="C51779" s="2"/>
    </row>
    <row r="51780" spans="3:3" x14ac:dyDescent="0.35">
      <c r="C51780" s="2"/>
    </row>
    <row r="51781" spans="3:3" x14ac:dyDescent="0.35">
      <c r="C51781" s="2"/>
    </row>
    <row r="51782" spans="3:3" x14ac:dyDescent="0.35">
      <c r="C51782" s="2"/>
    </row>
    <row r="51783" spans="3:3" x14ac:dyDescent="0.35">
      <c r="C51783" s="2"/>
    </row>
    <row r="51784" spans="3:3" x14ac:dyDescent="0.35">
      <c r="C51784" s="2"/>
    </row>
    <row r="51785" spans="3:3" x14ac:dyDescent="0.35">
      <c r="C51785" s="2"/>
    </row>
    <row r="51786" spans="3:3" x14ac:dyDescent="0.35">
      <c r="C51786" s="2"/>
    </row>
    <row r="51787" spans="3:3" x14ac:dyDescent="0.35">
      <c r="C51787" s="2"/>
    </row>
    <row r="51788" spans="3:3" x14ac:dyDescent="0.35">
      <c r="C51788" s="2"/>
    </row>
    <row r="51789" spans="3:3" x14ac:dyDescent="0.35">
      <c r="C51789" s="2"/>
    </row>
    <row r="51790" spans="3:3" x14ac:dyDescent="0.35">
      <c r="C51790" s="2"/>
    </row>
    <row r="51791" spans="3:3" x14ac:dyDescent="0.35">
      <c r="C51791" s="2"/>
    </row>
    <row r="51792" spans="3:3" x14ac:dyDescent="0.35">
      <c r="C51792" s="2"/>
    </row>
    <row r="51793" spans="3:3" x14ac:dyDescent="0.35">
      <c r="C51793" s="2"/>
    </row>
    <row r="51794" spans="3:3" x14ac:dyDescent="0.35">
      <c r="C51794" s="2"/>
    </row>
    <row r="51795" spans="3:3" x14ac:dyDescent="0.35">
      <c r="C51795" s="2"/>
    </row>
    <row r="51796" spans="3:3" x14ac:dyDescent="0.35">
      <c r="C51796" s="2"/>
    </row>
    <row r="51797" spans="3:3" x14ac:dyDescent="0.35">
      <c r="C51797" s="2"/>
    </row>
    <row r="51798" spans="3:3" x14ac:dyDescent="0.35">
      <c r="C51798" s="2"/>
    </row>
    <row r="51799" spans="3:3" x14ac:dyDescent="0.35">
      <c r="C51799" s="2"/>
    </row>
    <row r="51800" spans="3:3" x14ac:dyDescent="0.35">
      <c r="C51800" s="2"/>
    </row>
    <row r="51801" spans="3:3" x14ac:dyDescent="0.35">
      <c r="C51801" s="2"/>
    </row>
    <row r="51802" spans="3:3" x14ac:dyDescent="0.35">
      <c r="C51802" s="2"/>
    </row>
    <row r="51803" spans="3:3" x14ac:dyDescent="0.35">
      <c r="C51803" s="2"/>
    </row>
    <row r="51804" spans="3:3" x14ac:dyDescent="0.35">
      <c r="C51804" s="2"/>
    </row>
    <row r="51805" spans="3:3" x14ac:dyDescent="0.35">
      <c r="C51805" s="2"/>
    </row>
    <row r="51806" spans="3:3" x14ac:dyDescent="0.35">
      <c r="C51806" s="2"/>
    </row>
    <row r="51807" spans="3:3" x14ac:dyDescent="0.35">
      <c r="C51807" s="2"/>
    </row>
    <row r="51808" spans="3:3" x14ac:dyDescent="0.35">
      <c r="C51808" s="2"/>
    </row>
    <row r="51809" spans="3:3" x14ac:dyDescent="0.35">
      <c r="C51809" s="2"/>
    </row>
    <row r="51810" spans="3:3" x14ac:dyDescent="0.35">
      <c r="C51810" s="2"/>
    </row>
    <row r="51811" spans="3:3" x14ac:dyDescent="0.35">
      <c r="C51811" s="2"/>
    </row>
    <row r="51812" spans="3:3" x14ac:dyDescent="0.35">
      <c r="C51812" s="2"/>
    </row>
    <row r="51813" spans="3:3" x14ac:dyDescent="0.35">
      <c r="C51813" s="2"/>
    </row>
    <row r="51814" spans="3:3" x14ac:dyDescent="0.35">
      <c r="C51814" s="2"/>
    </row>
    <row r="51815" spans="3:3" x14ac:dyDescent="0.35">
      <c r="C51815" s="2"/>
    </row>
    <row r="51816" spans="3:3" x14ac:dyDescent="0.35">
      <c r="C51816" s="2"/>
    </row>
    <row r="51817" spans="3:3" x14ac:dyDescent="0.35">
      <c r="C51817" s="2"/>
    </row>
    <row r="51818" spans="3:3" x14ac:dyDescent="0.35">
      <c r="C51818" s="2"/>
    </row>
    <row r="51819" spans="3:3" x14ac:dyDescent="0.35">
      <c r="C51819" s="2"/>
    </row>
    <row r="51820" spans="3:3" x14ac:dyDescent="0.35">
      <c r="C51820" s="2"/>
    </row>
    <row r="51821" spans="3:3" x14ac:dyDescent="0.35">
      <c r="C51821" s="2"/>
    </row>
    <row r="51822" spans="3:3" x14ac:dyDescent="0.35">
      <c r="C51822" s="2"/>
    </row>
    <row r="51823" spans="3:3" x14ac:dyDescent="0.35">
      <c r="C51823" s="2"/>
    </row>
    <row r="51824" spans="3:3" x14ac:dyDescent="0.35">
      <c r="C51824" s="2"/>
    </row>
    <row r="51825" spans="3:3" x14ac:dyDescent="0.35">
      <c r="C51825" s="2"/>
    </row>
    <row r="51826" spans="3:3" x14ac:dyDescent="0.35">
      <c r="C51826" s="2"/>
    </row>
    <row r="51827" spans="3:3" x14ac:dyDescent="0.35">
      <c r="C51827" s="2"/>
    </row>
    <row r="51828" spans="3:3" x14ac:dyDescent="0.35">
      <c r="C51828" s="2"/>
    </row>
    <row r="51829" spans="3:3" x14ac:dyDescent="0.35">
      <c r="C51829" s="2"/>
    </row>
    <row r="51830" spans="3:3" x14ac:dyDescent="0.35">
      <c r="C51830" s="2"/>
    </row>
    <row r="51831" spans="3:3" x14ac:dyDescent="0.35">
      <c r="C51831" s="2"/>
    </row>
    <row r="51832" spans="3:3" x14ac:dyDescent="0.35">
      <c r="C51832" s="2"/>
    </row>
    <row r="51833" spans="3:3" x14ac:dyDescent="0.35">
      <c r="C51833" s="2"/>
    </row>
    <row r="51834" spans="3:3" x14ac:dyDescent="0.35">
      <c r="C51834" s="2"/>
    </row>
    <row r="51835" spans="3:3" x14ac:dyDescent="0.35">
      <c r="C51835" s="2"/>
    </row>
    <row r="51836" spans="3:3" x14ac:dyDescent="0.35">
      <c r="C51836" s="2"/>
    </row>
    <row r="51837" spans="3:3" x14ac:dyDescent="0.35">
      <c r="C51837" s="2"/>
    </row>
    <row r="51838" spans="3:3" x14ac:dyDescent="0.35">
      <c r="C51838" s="2"/>
    </row>
    <row r="51839" spans="3:3" x14ac:dyDescent="0.35">
      <c r="C51839" s="2"/>
    </row>
    <row r="51840" spans="3:3" x14ac:dyDescent="0.35">
      <c r="C51840" s="2"/>
    </row>
    <row r="51841" spans="3:3" x14ac:dyDescent="0.35">
      <c r="C51841" s="2"/>
    </row>
    <row r="51842" spans="3:3" x14ac:dyDescent="0.35">
      <c r="C51842" s="2"/>
    </row>
    <row r="51843" spans="3:3" x14ac:dyDescent="0.35">
      <c r="C51843" s="2"/>
    </row>
    <row r="51844" spans="3:3" x14ac:dyDescent="0.35">
      <c r="C51844" s="2"/>
    </row>
    <row r="51845" spans="3:3" x14ac:dyDescent="0.35">
      <c r="C51845" s="2"/>
    </row>
    <row r="51846" spans="3:3" x14ac:dyDescent="0.35">
      <c r="C51846" s="2"/>
    </row>
    <row r="51847" spans="3:3" x14ac:dyDescent="0.35">
      <c r="C51847" s="2"/>
    </row>
    <row r="51848" spans="3:3" x14ac:dyDescent="0.35">
      <c r="C51848" s="2"/>
    </row>
    <row r="51849" spans="3:3" x14ac:dyDescent="0.35">
      <c r="C51849" s="2"/>
    </row>
    <row r="51850" spans="3:3" x14ac:dyDescent="0.35">
      <c r="C51850" s="2"/>
    </row>
    <row r="51851" spans="3:3" x14ac:dyDescent="0.35">
      <c r="C51851" s="2"/>
    </row>
    <row r="51852" spans="3:3" x14ac:dyDescent="0.35">
      <c r="C51852" s="2"/>
    </row>
    <row r="51853" spans="3:3" x14ac:dyDescent="0.35">
      <c r="C51853" s="2"/>
    </row>
    <row r="51854" spans="3:3" x14ac:dyDescent="0.35">
      <c r="C51854" s="2"/>
    </row>
    <row r="51855" spans="3:3" x14ac:dyDescent="0.35">
      <c r="C51855" s="2"/>
    </row>
    <row r="51856" spans="3:3" x14ac:dyDescent="0.35">
      <c r="C51856" s="2"/>
    </row>
    <row r="51857" spans="3:3" x14ac:dyDescent="0.35">
      <c r="C51857" s="2"/>
    </row>
    <row r="51858" spans="3:3" x14ac:dyDescent="0.35">
      <c r="C51858" s="2"/>
    </row>
    <row r="51859" spans="3:3" x14ac:dyDescent="0.35">
      <c r="C51859" s="2"/>
    </row>
    <row r="51860" spans="3:3" x14ac:dyDescent="0.35">
      <c r="C51860" s="2"/>
    </row>
    <row r="51861" spans="3:3" x14ac:dyDescent="0.35">
      <c r="C51861" s="2"/>
    </row>
    <row r="51862" spans="3:3" x14ac:dyDescent="0.35">
      <c r="C51862" s="2"/>
    </row>
    <row r="51863" spans="3:3" x14ac:dyDescent="0.35">
      <c r="C51863" s="2"/>
    </row>
    <row r="51864" spans="3:3" x14ac:dyDescent="0.35">
      <c r="C51864" s="2"/>
    </row>
    <row r="51865" spans="3:3" x14ac:dyDescent="0.35">
      <c r="C51865" s="2"/>
    </row>
    <row r="51866" spans="3:3" x14ac:dyDescent="0.35">
      <c r="C51866" s="2"/>
    </row>
    <row r="51867" spans="3:3" x14ac:dyDescent="0.35">
      <c r="C51867" s="2"/>
    </row>
    <row r="51868" spans="3:3" x14ac:dyDescent="0.35">
      <c r="C51868" s="2"/>
    </row>
    <row r="51869" spans="3:3" x14ac:dyDescent="0.35">
      <c r="C51869" s="2"/>
    </row>
    <row r="51870" spans="3:3" x14ac:dyDescent="0.35">
      <c r="C51870" s="2"/>
    </row>
    <row r="51871" spans="3:3" x14ac:dyDescent="0.35">
      <c r="C51871" s="2"/>
    </row>
    <row r="51872" spans="3:3" x14ac:dyDescent="0.35">
      <c r="C51872" s="2"/>
    </row>
    <row r="51873" spans="3:3" x14ac:dyDescent="0.35">
      <c r="C51873" s="2"/>
    </row>
    <row r="51874" spans="3:3" x14ac:dyDescent="0.35">
      <c r="C51874" s="2"/>
    </row>
    <row r="51875" spans="3:3" x14ac:dyDescent="0.35">
      <c r="C51875" s="2"/>
    </row>
    <row r="51876" spans="3:3" x14ac:dyDescent="0.35">
      <c r="C51876" s="2"/>
    </row>
    <row r="51877" spans="3:3" x14ac:dyDescent="0.35">
      <c r="C51877" s="2"/>
    </row>
    <row r="51878" spans="3:3" x14ac:dyDescent="0.35">
      <c r="C51878" s="2"/>
    </row>
    <row r="51879" spans="3:3" x14ac:dyDescent="0.35">
      <c r="C51879" s="2"/>
    </row>
    <row r="51880" spans="3:3" x14ac:dyDescent="0.35">
      <c r="C51880" s="2"/>
    </row>
    <row r="51881" spans="3:3" x14ac:dyDescent="0.35">
      <c r="C51881" s="2"/>
    </row>
    <row r="51882" spans="3:3" x14ac:dyDescent="0.35">
      <c r="C51882" s="2"/>
    </row>
    <row r="51883" spans="3:3" x14ac:dyDescent="0.35">
      <c r="C51883" s="2"/>
    </row>
    <row r="51884" spans="3:3" x14ac:dyDescent="0.35">
      <c r="C51884" s="2"/>
    </row>
    <row r="51885" spans="3:3" x14ac:dyDescent="0.35">
      <c r="C51885" s="2"/>
    </row>
    <row r="51886" spans="3:3" x14ac:dyDescent="0.35">
      <c r="C51886" s="2"/>
    </row>
    <row r="51887" spans="3:3" x14ac:dyDescent="0.35">
      <c r="C51887" s="2"/>
    </row>
    <row r="51888" spans="3:3" x14ac:dyDescent="0.35">
      <c r="C51888" s="2"/>
    </row>
    <row r="51889" spans="3:3" x14ac:dyDescent="0.35">
      <c r="C51889" s="2"/>
    </row>
    <row r="51890" spans="3:3" x14ac:dyDescent="0.35">
      <c r="C51890" s="2"/>
    </row>
    <row r="51891" spans="3:3" x14ac:dyDescent="0.35">
      <c r="C51891" s="2"/>
    </row>
    <row r="51892" spans="3:3" x14ac:dyDescent="0.35">
      <c r="C51892" s="2"/>
    </row>
    <row r="51893" spans="3:3" x14ac:dyDescent="0.35">
      <c r="C51893" s="2"/>
    </row>
    <row r="51894" spans="3:3" x14ac:dyDescent="0.35">
      <c r="C51894" s="2"/>
    </row>
    <row r="51895" spans="3:3" x14ac:dyDescent="0.35">
      <c r="C51895" s="2"/>
    </row>
    <row r="51896" spans="3:3" x14ac:dyDescent="0.35">
      <c r="C51896" s="2"/>
    </row>
    <row r="51897" spans="3:3" x14ac:dyDescent="0.35">
      <c r="C51897" s="2"/>
    </row>
    <row r="51898" spans="3:3" x14ac:dyDescent="0.35">
      <c r="C51898" s="2"/>
    </row>
    <row r="51899" spans="3:3" x14ac:dyDescent="0.35">
      <c r="C51899" s="2"/>
    </row>
    <row r="51900" spans="3:3" x14ac:dyDescent="0.35">
      <c r="C51900" s="2"/>
    </row>
    <row r="51901" spans="3:3" x14ac:dyDescent="0.35">
      <c r="C51901" s="2"/>
    </row>
    <row r="51902" spans="3:3" x14ac:dyDescent="0.35">
      <c r="C51902" s="2"/>
    </row>
    <row r="51903" spans="3:3" x14ac:dyDescent="0.35">
      <c r="C51903" s="2"/>
    </row>
    <row r="51904" spans="3:3" x14ac:dyDescent="0.35">
      <c r="C51904" s="2"/>
    </row>
    <row r="51905" spans="3:3" x14ac:dyDescent="0.35">
      <c r="C51905" s="2"/>
    </row>
    <row r="51906" spans="3:3" x14ac:dyDescent="0.35">
      <c r="C51906" s="2"/>
    </row>
    <row r="51907" spans="3:3" x14ac:dyDescent="0.35">
      <c r="C51907" s="2"/>
    </row>
    <row r="51908" spans="3:3" x14ac:dyDescent="0.35">
      <c r="C51908" s="2"/>
    </row>
    <row r="51909" spans="3:3" x14ac:dyDescent="0.35">
      <c r="C51909" s="2"/>
    </row>
    <row r="51910" spans="3:3" x14ac:dyDescent="0.35">
      <c r="C51910" s="2"/>
    </row>
    <row r="51911" spans="3:3" x14ac:dyDescent="0.35">
      <c r="C51911" s="2"/>
    </row>
    <row r="51912" spans="3:3" x14ac:dyDescent="0.35">
      <c r="C51912" s="2"/>
    </row>
    <row r="51913" spans="3:3" x14ac:dyDescent="0.35">
      <c r="C51913" s="2"/>
    </row>
    <row r="51914" spans="3:3" x14ac:dyDescent="0.35">
      <c r="C51914" s="2"/>
    </row>
    <row r="51915" spans="3:3" x14ac:dyDescent="0.35">
      <c r="C51915" s="2"/>
    </row>
    <row r="51916" spans="3:3" x14ac:dyDescent="0.35">
      <c r="C51916" s="2"/>
    </row>
    <row r="51917" spans="3:3" x14ac:dyDescent="0.35">
      <c r="C51917" s="2"/>
    </row>
    <row r="51918" spans="3:3" x14ac:dyDescent="0.35">
      <c r="C51918" s="2"/>
    </row>
    <row r="51919" spans="3:3" x14ac:dyDescent="0.35">
      <c r="C51919" s="2"/>
    </row>
    <row r="51920" spans="3:3" x14ac:dyDescent="0.35">
      <c r="C51920" s="2"/>
    </row>
    <row r="51921" spans="3:3" x14ac:dyDescent="0.35">
      <c r="C51921" s="2"/>
    </row>
    <row r="51922" spans="3:3" x14ac:dyDescent="0.35">
      <c r="C51922" s="2"/>
    </row>
    <row r="51923" spans="3:3" x14ac:dyDescent="0.35">
      <c r="C51923" s="2"/>
    </row>
    <row r="51924" spans="3:3" x14ac:dyDescent="0.35">
      <c r="C51924" s="2"/>
    </row>
    <row r="51925" spans="3:3" x14ac:dyDescent="0.35">
      <c r="C51925" s="2"/>
    </row>
    <row r="51926" spans="3:3" x14ac:dyDescent="0.35">
      <c r="C51926" s="2"/>
    </row>
    <row r="51927" spans="3:3" x14ac:dyDescent="0.35">
      <c r="C51927" s="2"/>
    </row>
    <row r="51928" spans="3:3" x14ac:dyDescent="0.35">
      <c r="C51928" s="2"/>
    </row>
    <row r="51929" spans="3:3" x14ac:dyDescent="0.35">
      <c r="C51929" s="2"/>
    </row>
    <row r="51930" spans="3:3" x14ac:dyDescent="0.35">
      <c r="C51930" s="2"/>
    </row>
    <row r="51931" spans="3:3" x14ac:dyDescent="0.35">
      <c r="C51931" s="2"/>
    </row>
    <row r="51932" spans="3:3" x14ac:dyDescent="0.35">
      <c r="C51932" s="2"/>
    </row>
    <row r="51933" spans="3:3" x14ac:dyDescent="0.35">
      <c r="C51933" s="2"/>
    </row>
    <row r="51934" spans="3:3" x14ac:dyDescent="0.35">
      <c r="C51934" s="2"/>
    </row>
    <row r="51935" spans="3:3" x14ac:dyDescent="0.35">
      <c r="C51935" s="2"/>
    </row>
    <row r="51936" spans="3:3" x14ac:dyDescent="0.35">
      <c r="C51936" s="2"/>
    </row>
    <row r="51937" spans="3:3" x14ac:dyDescent="0.35">
      <c r="C51937" s="2"/>
    </row>
    <row r="51938" spans="3:3" x14ac:dyDescent="0.35">
      <c r="C51938" s="2"/>
    </row>
    <row r="51939" spans="3:3" x14ac:dyDescent="0.35">
      <c r="C51939" s="2"/>
    </row>
    <row r="51940" spans="3:3" x14ac:dyDescent="0.35">
      <c r="C51940" s="2"/>
    </row>
    <row r="51941" spans="3:3" x14ac:dyDescent="0.35">
      <c r="C51941" s="2"/>
    </row>
    <row r="51942" spans="3:3" x14ac:dyDescent="0.35">
      <c r="C51942" s="2"/>
    </row>
    <row r="51943" spans="3:3" x14ac:dyDescent="0.35">
      <c r="C51943" s="2"/>
    </row>
    <row r="51944" spans="3:3" x14ac:dyDescent="0.35">
      <c r="C51944" s="2"/>
    </row>
    <row r="51945" spans="3:3" x14ac:dyDescent="0.35">
      <c r="C51945" s="2"/>
    </row>
    <row r="51946" spans="3:3" x14ac:dyDescent="0.35">
      <c r="C51946" s="2"/>
    </row>
    <row r="51947" spans="3:3" x14ac:dyDescent="0.35">
      <c r="C51947" s="2"/>
    </row>
    <row r="51948" spans="3:3" x14ac:dyDescent="0.35">
      <c r="C51948" s="2"/>
    </row>
    <row r="51949" spans="3:3" x14ac:dyDescent="0.35">
      <c r="C51949" s="2"/>
    </row>
    <row r="51950" spans="3:3" x14ac:dyDescent="0.35">
      <c r="C51950" s="2"/>
    </row>
    <row r="51951" spans="3:3" x14ac:dyDescent="0.35">
      <c r="C51951" s="2"/>
    </row>
    <row r="51952" spans="3:3" x14ac:dyDescent="0.35">
      <c r="C51952" s="2"/>
    </row>
    <row r="51953" spans="3:3" x14ac:dyDescent="0.35">
      <c r="C51953" s="2"/>
    </row>
    <row r="51954" spans="3:3" x14ac:dyDescent="0.35">
      <c r="C51954" s="2"/>
    </row>
    <row r="51955" spans="3:3" x14ac:dyDescent="0.35">
      <c r="C51955" s="2"/>
    </row>
    <row r="51956" spans="3:3" x14ac:dyDescent="0.35">
      <c r="C51956" s="2"/>
    </row>
    <row r="51957" spans="3:3" x14ac:dyDescent="0.35">
      <c r="C51957" s="2"/>
    </row>
    <row r="51958" spans="3:3" x14ac:dyDescent="0.35">
      <c r="C51958" s="2"/>
    </row>
    <row r="51959" spans="3:3" x14ac:dyDescent="0.35">
      <c r="C51959" s="2"/>
    </row>
    <row r="51960" spans="3:3" x14ac:dyDescent="0.35">
      <c r="C51960" s="2"/>
    </row>
    <row r="51961" spans="3:3" x14ac:dyDescent="0.35">
      <c r="C51961" s="2"/>
    </row>
    <row r="51962" spans="3:3" x14ac:dyDescent="0.35">
      <c r="C51962" s="2"/>
    </row>
    <row r="51963" spans="3:3" x14ac:dyDescent="0.35">
      <c r="C51963" s="2"/>
    </row>
    <row r="51964" spans="3:3" x14ac:dyDescent="0.35">
      <c r="C51964" s="2"/>
    </row>
    <row r="51965" spans="3:3" x14ac:dyDescent="0.35">
      <c r="C51965" s="2"/>
    </row>
    <row r="51966" spans="3:3" x14ac:dyDescent="0.35">
      <c r="C51966" s="2"/>
    </row>
    <row r="51967" spans="3:3" x14ac:dyDescent="0.35">
      <c r="C51967" s="2"/>
    </row>
    <row r="51968" spans="3:3" x14ac:dyDescent="0.35">
      <c r="C51968" s="2"/>
    </row>
    <row r="51969" spans="3:3" x14ac:dyDescent="0.35">
      <c r="C51969" s="2"/>
    </row>
    <row r="51970" spans="3:3" x14ac:dyDescent="0.35">
      <c r="C51970" s="2"/>
    </row>
    <row r="51971" spans="3:3" x14ac:dyDescent="0.35">
      <c r="C51971" s="2"/>
    </row>
    <row r="51972" spans="3:3" x14ac:dyDescent="0.35">
      <c r="C51972" s="2"/>
    </row>
    <row r="51973" spans="3:3" x14ac:dyDescent="0.35">
      <c r="C51973" s="2"/>
    </row>
    <row r="51974" spans="3:3" x14ac:dyDescent="0.35">
      <c r="C51974" s="2"/>
    </row>
    <row r="51975" spans="3:3" x14ac:dyDescent="0.35">
      <c r="C51975" s="2"/>
    </row>
    <row r="51976" spans="3:3" x14ac:dyDescent="0.35">
      <c r="C51976" s="2"/>
    </row>
    <row r="51977" spans="3:3" x14ac:dyDescent="0.35">
      <c r="C51977" s="2"/>
    </row>
    <row r="51978" spans="3:3" x14ac:dyDescent="0.35">
      <c r="C51978" s="2"/>
    </row>
    <row r="51979" spans="3:3" x14ac:dyDescent="0.35">
      <c r="C51979" s="2"/>
    </row>
    <row r="51980" spans="3:3" x14ac:dyDescent="0.35">
      <c r="C51980" s="2"/>
    </row>
    <row r="51981" spans="3:3" x14ac:dyDescent="0.35">
      <c r="C51981" s="2"/>
    </row>
    <row r="51982" spans="3:3" x14ac:dyDescent="0.35">
      <c r="C51982" s="2"/>
    </row>
    <row r="51983" spans="3:3" x14ac:dyDescent="0.35">
      <c r="C51983" s="2"/>
    </row>
    <row r="51984" spans="3:3" x14ac:dyDescent="0.35">
      <c r="C51984" s="2"/>
    </row>
    <row r="51985" spans="3:3" x14ac:dyDescent="0.35">
      <c r="C51985" s="2"/>
    </row>
    <row r="51986" spans="3:3" x14ac:dyDescent="0.35">
      <c r="C51986" s="2"/>
    </row>
    <row r="51987" spans="3:3" x14ac:dyDescent="0.35">
      <c r="C51987" s="2"/>
    </row>
    <row r="51988" spans="3:3" x14ac:dyDescent="0.35">
      <c r="C51988" s="2"/>
    </row>
    <row r="51989" spans="3:3" x14ac:dyDescent="0.35">
      <c r="C51989" s="2"/>
    </row>
    <row r="51990" spans="3:3" x14ac:dyDescent="0.35">
      <c r="C51990" s="2"/>
    </row>
    <row r="51991" spans="3:3" x14ac:dyDescent="0.35">
      <c r="C51991" s="2"/>
    </row>
    <row r="51992" spans="3:3" x14ac:dyDescent="0.35">
      <c r="C51992" s="2"/>
    </row>
    <row r="51993" spans="3:3" x14ac:dyDescent="0.35">
      <c r="C51993" s="2"/>
    </row>
    <row r="51994" spans="3:3" x14ac:dyDescent="0.35">
      <c r="C51994" s="2"/>
    </row>
    <row r="51995" spans="3:3" x14ac:dyDescent="0.35">
      <c r="C51995" s="2"/>
    </row>
    <row r="51996" spans="3:3" x14ac:dyDescent="0.35">
      <c r="C51996" s="2"/>
    </row>
    <row r="51997" spans="3:3" x14ac:dyDescent="0.35">
      <c r="C51997" s="2"/>
    </row>
    <row r="51998" spans="3:3" x14ac:dyDescent="0.35">
      <c r="C51998" s="2"/>
    </row>
    <row r="51999" spans="3:3" x14ac:dyDescent="0.35">
      <c r="C51999" s="2"/>
    </row>
    <row r="52000" spans="3:3" x14ac:dyDescent="0.35">
      <c r="C52000" s="2"/>
    </row>
    <row r="52001" spans="3:3" x14ac:dyDescent="0.35">
      <c r="C52001" s="2"/>
    </row>
    <row r="52002" spans="3:3" x14ac:dyDescent="0.35">
      <c r="C52002" s="2"/>
    </row>
    <row r="52003" spans="3:3" x14ac:dyDescent="0.35">
      <c r="C52003" s="2"/>
    </row>
    <row r="52004" spans="3:3" x14ac:dyDescent="0.35">
      <c r="C52004" s="2"/>
    </row>
    <row r="52005" spans="3:3" x14ac:dyDescent="0.35">
      <c r="C52005" s="2"/>
    </row>
    <row r="52006" spans="3:3" x14ac:dyDescent="0.35">
      <c r="C52006" s="2"/>
    </row>
    <row r="52007" spans="3:3" x14ac:dyDescent="0.35">
      <c r="C52007" s="2"/>
    </row>
    <row r="52008" spans="3:3" x14ac:dyDescent="0.35">
      <c r="C52008" s="2"/>
    </row>
    <row r="52009" spans="3:3" x14ac:dyDescent="0.35">
      <c r="C52009" s="2"/>
    </row>
    <row r="52010" spans="3:3" x14ac:dyDescent="0.35">
      <c r="C52010" s="2"/>
    </row>
    <row r="52011" spans="3:3" x14ac:dyDescent="0.35">
      <c r="C52011" s="2"/>
    </row>
    <row r="52012" spans="3:3" x14ac:dyDescent="0.35">
      <c r="C52012" s="2"/>
    </row>
    <row r="52013" spans="3:3" x14ac:dyDescent="0.35">
      <c r="C52013" s="2"/>
    </row>
    <row r="52014" spans="3:3" x14ac:dyDescent="0.35">
      <c r="C52014" s="2"/>
    </row>
    <row r="52015" spans="3:3" x14ac:dyDescent="0.35">
      <c r="C52015" s="2"/>
    </row>
    <row r="52016" spans="3:3" x14ac:dyDescent="0.35">
      <c r="C52016" s="2"/>
    </row>
    <row r="52017" spans="3:3" x14ac:dyDescent="0.35">
      <c r="C52017" s="2"/>
    </row>
    <row r="52018" spans="3:3" x14ac:dyDescent="0.35">
      <c r="C52018" s="2"/>
    </row>
    <row r="52019" spans="3:3" x14ac:dyDescent="0.35">
      <c r="C52019" s="2"/>
    </row>
    <row r="52020" spans="3:3" x14ac:dyDescent="0.35">
      <c r="C52020" s="2"/>
    </row>
    <row r="52021" spans="3:3" x14ac:dyDescent="0.35">
      <c r="C52021" s="2"/>
    </row>
    <row r="52022" spans="3:3" x14ac:dyDescent="0.35">
      <c r="C52022" s="2"/>
    </row>
    <row r="52023" spans="3:3" x14ac:dyDescent="0.35">
      <c r="C52023" s="2"/>
    </row>
    <row r="52024" spans="3:3" x14ac:dyDescent="0.35">
      <c r="C52024" s="2"/>
    </row>
    <row r="52025" spans="3:3" x14ac:dyDescent="0.35">
      <c r="C52025" s="2"/>
    </row>
    <row r="52026" spans="3:3" x14ac:dyDescent="0.35">
      <c r="C52026" s="2"/>
    </row>
    <row r="52027" spans="3:3" x14ac:dyDescent="0.35">
      <c r="C52027" s="2"/>
    </row>
    <row r="52028" spans="3:3" x14ac:dyDescent="0.35">
      <c r="C52028" s="2"/>
    </row>
    <row r="52029" spans="3:3" x14ac:dyDescent="0.35">
      <c r="C52029" s="2"/>
    </row>
    <row r="52030" spans="3:3" x14ac:dyDescent="0.35">
      <c r="C52030" s="2"/>
    </row>
    <row r="52031" spans="3:3" x14ac:dyDescent="0.35">
      <c r="C52031" s="2"/>
    </row>
    <row r="52032" spans="3:3" x14ac:dyDescent="0.35">
      <c r="C52032" s="2"/>
    </row>
    <row r="52033" spans="3:3" x14ac:dyDescent="0.35">
      <c r="C52033" s="2"/>
    </row>
    <row r="52034" spans="3:3" x14ac:dyDescent="0.35">
      <c r="C52034" s="2"/>
    </row>
    <row r="52035" spans="3:3" x14ac:dyDescent="0.35">
      <c r="C52035" s="2"/>
    </row>
    <row r="52036" spans="3:3" x14ac:dyDescent="0.35">
      <c r="C52036" s="2"/>
    </row>
    <row r="52037" spans="3:3" x14ac:dyDescent="0.35">
      <c r="C52037" s="2"/>
    </row>
    <row r="52038" spans="3:3" x14ac:dyDescent="0.35">
      <c r="C52038" s="2"/>
    </row>
    <row r="52039" spans="3:3" x14ac:dyDescent="0.35">
      <c r="C52039" s="2"/>
    </row>
    <row r="52040" spans="3:3" x14ac:dyDescent="0.35">
      <c r="C52040" s="2"/>
    </row>
    <row r="52041" spans="3:3" x14ac:dyDescent="0.35">
      <c r="C52041" s="2"/>
    </row>
    <row r="52042" spans="3:3" x14ac:dyDescent="0.35">
      <c r="C52042" s="2"/>
    </row>
    <row r="52043" spans="3:3" x14ac:dyDescent="0.35">
      <c r="C52043" s="2"/>
    </row>
    <row r="52044" spans="3:3" x14ac:dyDescent="0.35">
      <c r="C52044" s="2"/>
    </row>
    <row r="52045" spans="3:3" x14ac:dyDescent="0.35">
      <c r="C52045" s="2"/>
    </row>
    <row r="52046" spans="3:3" x14ac:dyDescent="0.35">
      <c r="C52046" s="2"/>
    </row>
    <row r="52047" spans="3:3" x14ac:dyDescent="0.35">
      <c r="C52047" s="2"/>
    </row>
    <row r="52048" spans="3:3" x14ac:dyDescent="0.35">
      <c r="C52048" s="2"/>
    </row>
    <row r="52049" spans="3:3" x14ac:dyDescent="0.35">
      <c r="C52049" s="2"/>
    </row>
    <row r="52050" spans="3:3" x14ac:dyDescent="0.35">
      <c r="C52050" s="2"/>
    </row>
    <row r="52051" spans="3:3" x14ac:dyDescent="0.35">
      <c r="C52051" s="2"/>
    </row>
    <row r="52052" spans="3:3" x14ac:dyDescent="0.35">
      <c r="C52052" s="2"/>
    </row>
    <row r="52053" spans="3:3" x14ac:dyDescent="0.35">
      <c r="C52053" s="2"/>
    </row>
    <row r="52054" spans="3:3" x14ac:dyDescent="0.35">
      <c r="C52054" s="2"/>
    </row>
    <row r="52055" spans="3:3" x14ac:dyDescent="0.35">
      <c r="C52055" s="2"/>
    </row>
    <row r="52056" spans="3:3" x14ac:dyDescent="0.35">
      <c r="C52056" s="2"/>
    </row>
    <row r="52057" spans="3:3" x14ac:dyDescent="0.35">
      <c r="C52057" s="2"/>
    </row>
    <row r="52058" spans="3:3" x14ac:dyDescent="0.35">
      <c r="C52058" s="2"/>
    </row>
    <row r="52059" spans="3:3" x14ac:dyDescent="0.35">
      <c r="C52059" s="2"/>
    </row>
    <row r="52060" spans="3:3" x14ac:dyDescent="0.35">
      <c r="C52060" s="2"/>
    </row>
    <row r="52061" spans="3:3" x14ac:dyDescent="0.35">
      <c r="C52061" s="2"/>
    </row>
    <row r="52062" spans="3:3" x14ac:dyDescent="0.35">
      <c r="C52062" s="2"/>
    </row>
    <row r="52063" spans="3:3" x14ac:dyDescent="0.35">
      <c r="C52063" s="2"/>
    </row>
    <row r="52064" spans="3:3" x14ac:dyDescent="0.35">
      <c r="C52064" s="2"/>
    </row>
    <row r="52065" spans="3:3" x14ac:dyDescent="0.35">
      <c r="C52065" s="2"/>
    </row>
    <row r="52066" spans="3:3" x14ac:dyDescent="0.35">
      <c r="C52066" s="2"/>
    </row>
    <row r="52067" spans="3:3" x14ac:dyDescent="0.35">
      <c r="C52067" s="2"/>
    </row>
    <row r="52068" spans="3:3" x14ac:dyDescent="0.35">
      <c r="C52068" s="2"/>
    </row>
    <row r="52069" spans="3:3" x14ac:dyDescent="0.35">
      <c r="C52069" s="2"/>
    </row>
    <row r="52070" spans="3:3" x14ac:dyDescent="0.35">
      <c r="C52070" s="2"/>
    </row>
    <row r="52071" spans="3:3" x14ac:dyDescent="0.35">
      <c r="C52071" s="2"/>
    </row>
    <row r="52072" spans="3:3" x14ac:dyDescent="0.35">
      <c r="C52072" s="2"/>
    </row>
    <row r="52073" spans="3:3" x14ac:dyDescent="0.35">
      <c r="C52073" s="2"/>
    </row>
    <row r="52074" spans="3:3" x14ac:dyDescent="0.35">
      <c r="C52074" s="2"/>
    </row>
    <row r="52075" spans="3:3" x14ac:dyDescent="0.35">
      <c r="C52075" s="2"/>
    </row>
    <row r="52076" spans="3:3" x14ac:dyDescent="0.35">
      <c r="C52076" s="2"/>
    </row>
    <row r="52077" spans="3:3" x14ac:dyDescent="0.35">
      <c r="C52077" s="2"/>
    </row>
    <row r="52078" spans="3:3" x14ac:dyDescent="0.35">
      <c r="C52078" s="2"/>
    </row>
    <row r="52079" spans="3:3" x14ac:dyDescent="0.35">
      <c r="C52079" s="2"/>
    </row>
    <row r="52080" spans="3:3" x14ac:dyDescent="0.35">
      <c r="C52080" s="2"/>
    </row>
    <row r="52081" spans="3:3" x14ac:dyDescent="0.35">
      <c r="C52081" s="2"/>
    </row>
    <row r="52082" spans="3:3" x14ac:dyDescent="0.35">
      <c r="C52082" s="2"/>
    </row>
    <row r="52083" spans="3:3" x14ac:dyDescent="0.35">
      <c r="C52083" s="2"/>
    </row>
    <row r="52084" spans="3:3" x14ac:dyDescent="0.35">
      <c r="C52084" s="2"/>
    </row>
    <row r="52085" spans="3:3" x14ac:dyDescent="0.35">
      <c r="C52085" s="2"/>
    </row>
    <row r="52086" spans="3:3" x14ac:dyDescent="0.35">
      <c r="C52086" s="2"/>
    </row>
    <row r="52087" spans="3:3" x14ac:dyDescent="0.35">
      <c r="C52087" s="2"/>
    </row>
    <row r="52088" spans="3:3" x14ac:dyDescent="0.35">
      <c r="C52088" s="2"/>
    </row>
    <row r="52089" spans="3:3" x14ac:dyDescent="0.35">
      <c r="C52089" s="2"/>
    </row>
    <row r="52090" spans="3:3" x14ac:dyDescent="0.35">
      <c r="C52090" s="2"/>
    </row>
    <row r="52091" spans="3:3" x14ac:dyDescent="0.35">
      <c r="C52091" s="2"/>
    </row>
    <row r="52092" spans="3:3" x14ac:dyDescent="0.35">
      <c r="C52092" s="2"/>
    </row>
    <row r="52093" spans="3:3" x14ac:dyDescent="0.35">
      <c r="C52093" s="2"/>
    </row>
    <row r="52094" spans="3:3" x14ac:dyDescent="0.35">
      <c r="C52094" s="2"/>
    </row>
    <row r="52095" spans="3:3" x14ac:dyDescent="0.35">
      <c r="C52095" s="2"/>
    </row>
    <row r="52096" spans="3:3" x14ac:dyDescent="0.35">
      <c r="C52096" s="2"/>
    </row>
    <row r="52097" spans="3:3" x14ac:dyDescent="0.35">
      <c r="C52097" s="2"/>
    </row>
    <row r="52098" spans="3:3" x14ac:dyDescent="0.35">
      <c r="C52098" s="2"/>
    </row>
    <row r="52099" spans="3:3" x14ac:dyDescent="0.35">
      <c r="C52099" s="2"/>
    </row>
    <row r="52100" spans="3:3" x14ac:dyDescent="0.35">
      <c r="C52100" s="2"/>
    </row>
    <row r="52101" spans="3:3" x14ac:dyDescent="0.35">
      <c r="C52101" s="2"/>
    </row>
    <row r="52102" spans="3:3" x14ac:dyDescent="0.35">
      <c r="C52102" s="2"/>
    </row>
    <row r="52103" spans="3:3" x14ac:dyDescent="0.35">
      <c r="C52103" s="2"/>
    </row>
    <row r="52104" spans="3:3" x14ac:dyDescent="0.35">
      <c r="C52104" s="2"/>
    </row>
    <row r="52105" spans="3:3" x14ac:dyDescent="0.35">
      <c r="C52105" s="2"/>
    </row>
    <row r="52106" spans="3:3" x14ac:dyDescent="0.35">
      <c r="C52106" s="2"/>
    </row>
    <row r="52107" spans="3:3" x14ac:dyDescent="0.35">
      <c r="C52107" s="2"/>
    </row>
    <row r="52108" spans="3:3" x14ac:dyDescent="0.35">
      <c r="C52108" s="2"/>
    </row>
    <row r="52109" spans="3:3" x14ac:dyDescent="0.35">
      <c r="C52109" s="2"/>
    </row>
    <row r="52110" spans="3:3" x14ac:dyDescent="0.35">
      <c r="C52110" s="2"/>
    </row>
    <row r="52111" spans="3:3" x14ac:dyDescent="0.35">
      <c r="C52111" s="2"/>
    </row>
    <row r="52112" spans="3:3" x14ac:dyDescent="0.35">
      <c r="C52112" s="2"/>
    </row>
    <row r="52113" spans="3:3" x14ac:dyDescent="0.35">
      <c r="C52113" s="2"/>
    </row>
    <row r="52114" spans="3:3" x14ac:dyDescent="0.35">
      <c r="C52114" s="2"/>
    </row>
    <row r="52115" spans="3:3" x14ac:dyDescent="0.35">
      <c r="C52115" s="2"/>
    </row>
    <row r="52116" spans="3:3" x14ac:dyDescent="0.35">
      <c r="C52116" s="2"/>
    </row>
    <row r="52117" spans="3:3" x14ac:dyDescent="0.35">
      <c r="C52117" s="2"/>
    </row>
    <row r="52118" spans="3:3" x14ac:dyDescent="0.35">
      <c r="C52118" s="2"/>
    </row>
    <row r="52119" spans="3:3" x14ac:dyDescent="0.35">
      <c r="C52119" s="2"/>
    </row>
    <row r="52120" spans="3:3" x14ac:dyDescent="0.35">
      <c r="C52120" s="2"/>
    </row>
    <row r="52121" spans="3:3" x14ac:dyDescent="0.35">
      <c r="C52121" s="2"/>
    </row>
    <row r="52122" spans="3:3" x14ac:dyDescent="0.35">
      <c r="C52122" s="2"/>
    </row>
    <row r="52123" spans="3:3" x14ac:dyDescent="0.35">
      <c r="C52123" s="2"/>
    </row>
    <row r="52124" spans="3:3" x14ac:dyDescent="0.35">
      <c r="C52124" s="2"/>
    </row>
    <row r="52125" spans="3:3" x14ac:dyDescent="0.35">
      <c r="C52125" s="2"/>
    </row>
    <row r="52126" spans="3:3" x14ac:dyDescent="0.35">
      <c r="C52126" s="2"/>
    </row>
    <row r="52127" spans="3:3" x14ac:dyDescent="0.35">
      <c r="C52127" s="2"/>
    </row>
    <row r="52128" spans="3:3" x14ac:dyDescent="0.35">
      <c r="C52128" s="2"/>
    </row>
    <row r="52129" spans="3:3" x14ac:dyDescent="0.35">
      <c r="C52129" s="2"/>
    </row>
    <row r="52130" spans="3:3" x14ac:dyDescent="0.35">
      <c r="C52130" s="2"/>
    </row>
    <row r="52131" spans="3:3" x14ac:dyDescent="0.35">
      <c r="C52131" s="2"/>
    </row>
    <row r="52132" spans="3:3" x14ac:dyDescent="0.35">
      <c r="C52132" s="2"/>
    </row>
    <row r="52133" spans="3:3" x14ac:dyDescent="0.35">
      <c r="C52133" s="2"/>
    </row>
    <row r="52134" spans="3:3" x14ac:dyDescent="0.35">
      <c r="C52134" s="2"/>
    </row>
    <row r="52135" spans="3:3" x14ac:dyDescent="0.35">
      <c r="C52135" s="2"/>
    </row>
    <row r="52136" spans="3:3" x14ac:dyDescent="0.35">
      <c r="C52136" s="2"/>
    </row>
    <row r="52137" spans="3:3" x14ac:dyDescent="0.35">
      <c r="C52137" s="2"/>
    </row>
    <row r="52138" spans="3:3" x14ac:dyDescent="0.35">
      <c r="C52138" s="2"/>
    </row>
    <row r="52139" spans="3:3" x14ac:dyDescent="0.35">
      <c r="C52139" s="2"/>
    </row>
    <row r="52140" spans="3:3" x14ac:dyDescent="0.35">
      <c r="C52140" s="2"/>
    </row>
    <row r="52141" spans="3:3" x14ac:dyDescent="0.35">
      <c r="C52141" s="2"/>
    </row>
    <row r="52142" spans="3:3" x14ac:dyDescent="0.35">
      <c r="C52142" s="2"/>
    </row>
    <row r="52143" spans="3:3" x14ac:dyDescent="0.35">
      <c r="C52143" s="2"/>
    </row>
    <row r="52144" spans="3:3" x14ac:dyDescent="0.35">
      <c r="C52144" s="2"/>
    </row>
    <row r="52145" spans="3:3" x14ac:dyDescent="0.35">
      <c r="C52145" s="2"/>
    </row>
    <row r="52146" spans="3:3" x14ac:dyDescent="0.35">
      <c r="C52146" s="2"/>
    </row>
    <row r="52147" spans="3:3" x14ac:dyDescent="0.35">
      <c r="C52147" s="2"/>
    </row>
    <row r="52148" spans="3:3" x14ac:dyDescent="0.35">
      <c r="C52148" s="2"/>
    </row>
    <row r="52149" spans="3:3" x14ac:dyDescent="0.35">
      <c r="C52149" s="2"/>
    </row>
    <row r="52150" spans="3:3" x14ac:dyDescent="0.35">
      <c r="C52150" s="2"/>
    </row>
    <row r="52151" spans="3:3" x14ac:dyDescent="0.35">
      <c r="C52151" s="2"/>
    </row>
    <row r="52152" spans="3:3" x14ac:dyDescent="0.35">
      <c r="C52152" s="2"/>
    </row>
    <row r="52153" spans="3:3" x14ac:dyDescent="0.35">
      <c r="C52153" s="2"/>
    </row>
    <row r="52154" spans="3:3" x14ac:dyDescent="0.35">
      <c r="C52154" s="2"/>
    </row>
    <row r="52155" spans="3:3" x14ac:dyDescent="0.35">
      <c r="C52155" s="2"/>
    </row>
    <row r="52156" spans="3:3" x14ac:dyDescent="0.35">
      <c r="C52156" s="2"/>
    </row>
    <row r="52157" spans="3:3" x14ac:dyDescent="0.35">
      <c r="C52157" s="2"/>
    </row>
    <row r="52158" spans="3:3" x14ac:dyDescent="0.35">
      <c r="C52158" s="2"/>
    </row>
    <row r="52159" spans="3:3" x14ac:dyDescent="0.35">
      <c r="C52159" s="2"/>
    </row>
    <row r="52160" spans="3:3" x14ac:dyDescent="0.35">
      <c r="C52160" s="2"/>
    </row>
    <row r="52161" spans="3:3" x14ac:dyDescent="0.35">
      <c r="C52161" s="2"/>
    </row>
    <row r="52162" spans="3:3" x14ac:dyDescent="0.35">
      <c r="C52162" s="2"/>
    </row>
    <row r="52163" spans="3:3" x14ac:dyDescent="0.35">
      <c r="C52163" s="2"/>
    </row>
    <row r="52164" spans="3:3" x14ac:dyDescent="0.35">
      <c r="C52164" s="2"/>
    </row>
    <row r="52165" spans="3:3" x14ac:dyDescent="0.35">
      <c r="C52165" s="2"/>
    </row>
    <row r="52166" spans="3:3" x14ac:dyDescent="0.35">
      <c r="C52166" s="2"/>
    </row>
    <row r="52167" spans="3:3" x14ac:dyDescent="0.35">
      <c r="C52167" s="2"/>
    </row>
    <row r="52168" spans="3:3" x14ac:dyDescent="0.35">
      <c r="C52168" s="2"/>
    </row>
    <row r="52169" spans="3:3" x14ac:dyDescent="0.35">
      <c r="C52169" s="2"/>
    </row>
    <row r="52170" spans="3:3" x14ac:dyDescent="0.35">
      <c r="C52170" s="2"/>
    </row>
    <row r="52171" spans="3:3" x14ac:dyDescent="0.35">
      <c r="C52171" s="2"/>
    </row>
    <row r="52172" spans="3:3" x14ac:dyDescent="0.35">
      <c r="C52172" s="2"/>
    </row>
    <row r="52173" spans="3:3" x14ac:dyDescent="0.35">
      <c r="C52173" s="2"/>
    </row>
    <row r="52174" spans="3:3" x14ac:dyDescent="0.35">
      <c r="C52174" s="2"/>
    </row>
    <row r="52175" spans="3:3" x14ac:dyDescent="0.35">
      <c r="C52175" s="2"/>
    </row>
    <row r="52176" spans="3:3" x14ac:dyDescent="0.35">
      <c r="C52176" s="2"/>
    </row>
    <row r="52177" spans="3:3" x14ac:dyDescent="0.35">
      <c r="C52177" s="2"/>
    </row>
    <row r="52178" spans="3:3" x14ac:dyDescent="0.35">
      <c r="C52178" s="2"/>
    </row>
    <row r="52179" spans="3:3" x14ac:dyDescent="0.35">
      <c r="C52179" s="2"/>
    </row>
    <row r="52180" spans="3:3" x14ac:dyDescent="0.35">
      <c r="C52180" s="2"/>
    </row>
    <row r="52181" spans="3:3" x14ac:dyDescent="0.35">
      <c r="C52181" s="2"/>
    </row>
    <row r="52182" spans="3:3" x14ac:dyDescent="0.35">
      <c r="C52182" s="2"/>
    </row>
    <row r="52183" spans="3:3" x14ac:dyDescent="0.35">
      <c r="C52183" s="2"/>
    </row>
    <row r="52184" spans="3:3" x14ac:dyDescent="0.35">
      <c r="C52184" s="2"/>
    </row>
    <row r="52185" spans="3:3" x14ac:dyDescent="0.35">
      <c r="C52185" s="2"/>
    </row>
    <row r="52186" spans="3:3" x14ac:dyDescent="0.35">
      <c r="C52186" s="2"/>
    </row>
    <row r="52187" spans="3:3" x14ac:dyDescent="0.35">
      <c r="C52187" s="2"/>
    </row>
    <row r="52188" spans="3:3" x14ac:dyDescent="0.35">
      <c r="C52188" s="2"/>
    </row>
    <row r="52189" spans="3:3" x14ac:dyDescent="0.35">
      <c r="C52189" s="2"/>
    </row>
    <row r="52190" spans="3:3" x14ac:dyDescent="0.35">
      <c r="C52190" s="2"/>
    </row>
    <row r="52191" spans="3:3" x14ac:dyDescent="0.35">
      <c r="C52191" s="2"/>
    </row>
    <row r="52192" spans="3:3" x14ac:dyDescent="0.35">
      <c r="C52192" s="2"/>
    </row>
    <row r="52193" spans="3:3" x14ac:dyDescent="0.35">
      <c r="C52193" s="2"/>
    </row>
    <row r="52194" spans="3:3" x14ac:dyDescent="0.35">
      <c r="C52194" s="2"/>
    </row>
    <row r="52195" spans="3:3" x14ac:dyDescent="0.35">
      <c r="C52195" s="2"/>
    </row>
    <row r="52196" spans="3:3" x14ac:dyDescent="0.35">
      <c r="C52196" s="2"/>
    </row>
    <row r="52197" spans="3:3" x14ac:dyDescent="0.35">
      <c r="C52197" s="2"/>
    </row>
    <row r="52198" spans="3:3" x14ac:dyDescent="0.35">
      <c r="C52198" s="2"/>
    </row>
    <row r="52199" spans="3:3" x14ac:dyDescent="0.35">
      <c r="C52199" s="2"/>
    </row>
    <row r="52200" spans="3:3" x14ac:dyDescent="0.35">
      <c r="C52200" s="2"/>
    </row>
    <row r="52201" spans="3:3" x14ac:dyDescent="0.35">
      <c r="C52201" s="2"/>
    </row>
    <row r="52202" spans="3:3" x14ac:dyDescent="0.35">
      <c r="C52202" s="2"/>
    </row>
    <row r="52203" spans="3:3" x14ac:dyDescent="0.35">
      <c r="C52203" s="2"/>
    </row>
    <row r="52204" spans="3:3" x14ac:dyDescent="0.35">
      <c r="C52204" s="2"/>
    </row>
    <row r="52205" spans="3:3" x14ac:dyDescent="0.35">
      <c r="C52205" s="2"/>
    </row>
    <row r="52206" spans="3:3" x14ac:dyDescent="0.35">
      <c r="C52206" s="2"/>
    </row>
    <row r="52207" spans="3:3" x14ac:dyDescent="0.35">
      <c r="C52207" s="2"/>
    </row>
    <row r="52208" spans="3:3" x14ac:dyDescent="0.35">
      <c r="C52208" s="2"/>
    </row>
    <row r="52209" spans="3:3" x14ac:dyDescent="0.35">
      <c r="C52209" s="2"/>
    </row>
    <row r="52210" spans="3:3" x14ac:dyDescent="0.35">
      <c r="C52210" s="2"/>
    </row>
    <row r="52211" spans="3:3" x14ac:dyDescent="0.35">
      <c r="C52211" s="2"/>
    </row>
    <row r="52212" spans="3:3" x14ac:dyDescent="0.35">
      <c r="C52212" s="2"/>
    </row>
    <row r="52213" spans="3:3" x14ac:dyDescent="0.35">
      <c r="C52213" s="2"/>
    </row>
    <row r="52214" spans="3:3" x14ac:dyDescent="0.35">
      <c r="C52214" s="2"/>
    </row>
    <row r="52215" spans="3:3" x14ac:dyDescent="0.35">
      <c r="C52215" s="2"/>
    </row>
    <row r="52216" spans="3:3" x14ac:dyDescent="0.35">
      <c r="C52216" s="2"/>
    </row>
    <row r="52217" spans="3:3" x14ac:dyDescent="0.35">
      <c r="C52217" s="2"/>
    </row>
    <row r="52218" spans="3:3" x14ac:dyDescent="0.35">
      <c r="C52218" s="2"/>
    </row>
    <row r="52219" spans="3:3" x14ac:dyDescent="0.35">
      <c r="C52219" s="2"/>
    </row>
    <row r="52220" spans="3:3" x14ac:dyDescent="0.35">
      <c r="C52220" s="2"/>
    </row>
    <row r="52221" spans="3:3" x14ac:dyDescent="0.35">
      <c r="C52221" s="2"/>
    </row>
    <row r="52222" spans="3:3" x14ac:dyDescent="0.35">
      <c r="C52222" s="2"/>
    </row>
    <row r="52223" spans="3:3" x14ac:dyDescent="0.35">
      <c r="C52223" s="2"/>
    </row>
    <row r="52224" spans="3:3" x14ac:dyDescent="0.35">
      <c r="C52224" s="2"/>
    </row>
    <row r="52225" spans="3:3" x14ac:dyDescent="0.35">
      <c r="C52225" s="2"/>
    </row>
    <row r="52226" spans="3:3" x14ac:dyDescent="0.35">
      <c r="C52226" s="2"/>
    </row>
    <row r="52227" spans="3:3" x14ac:dyDescent="0.35">
      <c r="C52227" s="2"/>
    </row>
    <row r="52228" spans="3:3" x14ac:dyDescent="0.35">
      <c r="C52228" s="2"/>
    </row>
    <row r="52229" spans="3:3" x14ac:dyDescent="0.35">
      <c r="C52229" s="2"/>
    </row>
    <row r="52230" spans="3:3" x14ac:dyDescent="0.35">
      <c r="C52230" s="2"/>
    </row>
    <row r="52231" spans="3:3" x14ac:dyDescent="0.35">
      <c r="C52231" s="2"/>
    </row>
    <row r="52232" spans="3:3" x14ac:dyDescent="0.35">
      <c r="C52232" s="2"/>
    </row>
    <row r="52233" spans="3:3" x14ac:dyDescent="0.35">
      <c r="C52233" s="2"/>
    </row>
    <row r="52234" spans="3:3" x14ac:dyDescent="0.35">
      <c r="C52234" s="2"/>
    </row>
    <row r="52235" spans="3:3" x14ac:dyDescent="0.35">
      <c r="C52235" s="2"/>
    </row>
    <row r="52236" spans="3:3" x14ac:dyDescent="0.35">
      <c r="C52236" s="2"/>
    </row>
    <row r="52237" spans="3:3" x14ac:dyDescent="0.35">
      <c r="C52237" s="2"/>
    </row>
    <row r="52238" spans="3:3" x14ac:dyDescent="0.35">
      <c r="C52238" s="2"/>
    </row>
    <row r="52239" spans="3:3" x14ac:dyDescent="0.35">
      <c r="C52239" s="2"/>
    </row>
    <row r="52240" spans="3:3" x14ac:dyDescent="0.35">
      <c r="C52240" s="2"/>
    </row>
    <row r="52241" spans="3:3" x14ac:dyDescent="0.35">
      <c r="C52241" s="2"/>
    </row>
    <row r="52242" spans="3:3" x14ac:dyDescent="0.35">
      <c r="C52242" s="2"/>
    </row>
    <row r="52243" spans="3:3" x14ac:dyDescent="0.35">
      <c r="C52243" s="2"/>
    </row>
    <row r="52244" spans="3:3" x14ac:dyDescent="0.35">
      <c r="C52244" s="2"/>
    </row>
    <row r="52245" spans="3:3" x14ac:dyDescent="0.35">
      <c r="C52245" s="2"/>
    </row>
    <row r="52246" spans="3:3" x14ac:dyDescent="0.35">
      <c r="C52246" s="2"/>
    </row>
    <row r="52247" spans="3:3" x14ac:dyDescent="0.35">
      <c r="C52247" s="2"/>
    </row>
    <row r="52248" spans="3:3" x14ac:dyDescent="0.35">
      <c r="C52248" s="2"/>
    </row>
    <row r="52249" spans="3:3" x14ac:dyDescent="0.35">
      <c r="C52249" s="2"/>
    </row>
    <row r="52250" spans="3:3" x14ac:dyDescent="0.35">
      <c r="C52250" s="2"/>
    </row>
    <row r="52251" spans="3:3" x14ac:dyDescent="0.35">
      <c r="C52251" s="2"/>
    </row>
    <row r="52252" spans="3:3" x14ac:dyDescent="0.35">
      <c r="C52252" s="2"/>
    </row>
    <row r="52253" spans="3:3" x14ac:dyDescent="0.35">
      <c r="C52253" s="2"/>
    </row>
    <row r="52254" spans="3:3" x14ac:dyDescent="0.35">
      <c r="C52254" s="2"/>
    </row>
    <row r="52255" spans="3:3" x14ac:dyDescent="0.35">
      <c r="C52255" s="2"/>
    </row>
    <row r="52256" spans="3:3" x14ac:dyDescent="0.35">
      <c r="C52256" s="2"/>
    </row>
    <row r="52257" spans="3:3" x14ac:dyDescent="0.35">
      <c r="C52257" s="2"/>
    </row>
    <row r="52258" spans="3:3" x14ac:dyDescent="0.35">
      <c r="C52258" s="2"/>
    </row>
    <row r="52259" spans="3:3" x14ac:dyDescent="0.35">
      <c r="C52259" s="2"/>
    </row>
    <row r="52260" spans="3:3" x14ac:dyDescent="0.35">
      <c r="C52260" s="2"/>
    </row>
    <row r="52261" spans="3:3" x14ac:dyDescent="0.35">
      <c r="C52261" s="2"/>
    </row>
    <row r="52262" spans="3:3" x14ac:dyDescent="0.35">
      <c r="C52262" s="2"/>
    </row>
    <row r="52263" spans="3:3" x14ac:dyDescent="0.35">
      <c r="C52263" s="2"/>
    </row>
    <row r="52264" spans="3:3" x14ac:dyDescent="0.35">
      <c r="C52264" s="2"/>
    </row>
    <row r="52265" spans="3:3" x14ac:dyDescent="0.35">
      <c r="C52265" s="2"/>
    </row>
    <row r="52266" spans="3:3" x14ac:dyDescent="0.35">
      <c r="C52266" s="2"/>
    </row>
    <row r="52267" spans="3:3" x14ac:dyDescent="0.35">
      <c r="C52267" s="2"/>
    </row>
    <row r="52268" spans="3:3" x14ac:dyDescent="0.35">
      <c r="C52268" s="2"/>
    </row>
    <row r="52269" spans="3:3" x14ac:dyDescent="0.35">
      <c r="C52269" s="2"/>
    </row>
    <row r="52270" spans="3:3" x14ac:dyDescent="0.35">
      <c r="C52270" s="2"/>
    </row>
    <row r="52271" spans="3:3" x14ac:dyDescent="0.35">
      <c r="C52271" s="2"/>
    </row>
    <row r="52272" spans="3:3" x14ac:dyDescent="0.35">
      <c r="C52272" s="2"/>
    </row>
    <row r="52273" spans="3:3" x14ac:dyDescent="0.35">
      <c r="C52273" s="2"/>
    </row>
    <row r="52274" spans="3:3" x14ac:dyDescent="0.35">
      <c r="C52274" s="2"/>
    </row>
    <row r="52275" spans="3:3" x14ac:dyDescent="0.35">
      <c r="C52275" s="2"/>
    </row>
    <row r="52276" spans="3:3" x14ac:dyDescent="0.35">
      <c r="C52276" s="2"/>
    </row>
    <row r="52277" spans="3:3" x14ac:dyDescent="0.35">
      <c r="C52277" s="2"/>
    </row>
    <row r="52278" spans="3:3" x14ac:dyDescent="0.35">
      <c r="C52278" s="2"/>
    </row>
    <row r="52279" spans="3:3" x14ac:dyDescent="0.35">
      <c r="C52279" s="2"/>
    </row>
    <row r="52280" spans="3:3" x14ac:dyDescent="0.35">
      <c r="C52280" s="2"/>
    </row>
    <row r="52281" spans="3:3" x14ac:dyDescent="0.35">
      <c r="C52281" s="2"/>
    </row>
    <row r="52282" spans="3:3" x14ac:dyDescent="0.35">
      <c r="C52282" s="2"/>
    </row>
    <row r="52283" spans="3:3" x14ac:dyDescent="0.35">
      <c r="C52283" s="2"/>
    </row>
    <row r="52284" spans="3:3" x14ac:dyDescent="0.35">
      <c r="C52284" s="2"/>
    </row>
    <row r="52285" spans="3:3" x14ac:dyDescent="0.35">
      <c r="C52285" s="2"/>
    </row>
    <row r="52286" spans="3:3" x14ac:dyDescent="0.35">
      <c r="C52286" s="2"/>
    </row>
    <row r="52287" spans="3:3" x14ac:dyDescent="0.35">
      <c r="C52287" s="2"/>
    </row>
    <row r="52288" spans="3:3" x14ac:dyDescent="0.35">
      <c r="C52288" s="2"/>
    </row>
    <row r="52289" spans="3:3" x14ac:dyDescent="0.35">
      <c r="C52289" s="2"/>
    </row>
    <row r="52290" spans="3:3" x14ac:dyDescent="0.35">
      <c r="C52290" s="2"/>
    </row>
    <row r="52291" spans="3:3" x14ac:dyDescent="0.35">
      <c r="C52291" s="2"/>
    </row>
    <row r="52292" spans="3:3" x14ac:dyDescent="0.35">
      <c r="C52292" s="2"/>
    </row>
    <row r="52293" spans="3:3" x14ac:dyDescent="0.35">
      <c r="C52293" s="2"/>
    </row>
    <row r="52294" spans="3:3" x14ac:dyDescent="0.35">
      <c r="C52294" s="2"/>
    </row>
    <row r="52295" spans="3:3" x14ac:dyDescent="0.35">
      <c r="C52295" s="2"/>
    </row>
    <row r="52296" spans="3:3" x14ac:dyDescent="0.35">
      <c r="C52296" s="2"/>
    </row>
    <row r="52297" spans="3:3" x14ac:dyDescent="0.35">
      <c r="C52297" s="2"/>
    </row>
    <row r="52298" spans="3:3" x14ac:dyDescent="0.35">
      <c r="C52298" s="2"/>
    </row>
    <row r="52299" spans="3:3" x14ac:dyDescent="0.35">
      <c r="C52299" s="2"/>
    </row>
    <row r="52300" spans="3:3" x14ac:dyDescent="0.35">
      <c r="C52300" s="2"/>
    </row>
    <row r="52301" spans="3:3" x14ac:dyDescent="0.35">
      <c r="C52301" s="2"/>
    </row>
    <row r="52302" spans="3:3" x14ac:dyDescent="0.35">
      <c r="C52302" s="2"/>
    </row>
    <row r="52303" spans="3:3" x14ac:dyDescent="0.35">
      <c r="C52303" s="2"/>
    </row>
    <row r="52304" spans="3:3" x14ac:dyDescent="0.35">
      <c r="C52304" s="2"/>
    </row>
    <row r="52305" spans="3:3" x14ac:dyDescent="0.35">
      <c r="C52305" s="2"/>
    </row>
    <row r="52306" spans="3:3" x14ac:dyDescent="0.35">
      <c r="C52306" s="2"/>
    </row>
    <row r="52307" spans="3:3" x14ac:dyDescent="0.35">
      <c r="C52307" s="2"/>
    </row>
    <row r="52308" spans="3:3" x14ac:dyDescent="0.35">
      <c r="C52308" s="2"/>
    </row>
    <row r="52309" spans="3:3" x14ac:dyDescent="0.35">
      <c r="C52309" s="2"/>
    </row>
    <row r="52310" spans="3:3" x14ac:dyDescent="0.35">
      <c r="C52310" s="2"/>
    </row>
    <row r="52311" spans="3:3" x14ac:dyDescent="0.35">
      <c r="C52311" s="2"/>
    </row>
    <row r="52312" spans="3:3" x14ac:dyDescent="0.35">
      <c r="C52312" s="2"/>
    </row>
    <row r="52313" spans="3:3" x14ac:dyDescent="0.35">
      <c r="C52313" s="2"/>
    </row>
    <row r="52314" spans="3:3" x14ac:dyDescent="0.35">
      <c r="C52314" s="2"/>
    </row>
    <row r="52315" spans="3:3" x14ac:dyDescent="0.35">
      <c r="C52315" s="2"/>
    </row>
    <row r="52316" spans="3:3" x14ac:dyDescent="0.35">
      <c r="C52316" s="2"/>
    </row>
    <row r="52317" spans="3:3" x14ac:dyDescent="0.35">
      <c r="C52317" s="2"/>
    </row>
    <row r="52318" spans="3:3" x14ac:dyDescent="0.35">
      <c r="C52318" s="2"/>
    </row>
    <row r="52319" spans="3:3" x14ac:dyDescent="0.35">
      <c r="C52319" s="2"/>
    </row>
    <row r="52320" spans="3:3" x14ac:dyDescent="0.35">
      <c r="C52320" s="2"/>
    </row>
    <row r="52321" spans="3:3" x14ac:dyDescent="0.35">
      <c r="C52321" s="2"/>
    </row>
    <row r="52322" spans="3:3" x14ac:dyDescent="0.35">
      <c r="C52322" s="2"/>
    </row>
    <row r="52323" spans="3:3" x14ac:dyDescent="0.35">
      <c r="C52323" s="2"/>
    </row>
    <row r="52324" spans="3:3" x14ac:dyDescent="0.35">
      <c r="C52324" s="2"/>
    </row>
    <row r="52325" spans="3:3" x14ac:dyDescent="0.35">
      <c r="C52325" s="2"/>
    </row>
    <row r="52326" spans="3:3" x14ac:dyDescent="0.35">
      <c r="C52326" s="2"/>
    </row>
    <row r="52327" spans="3:3" x14ac:dyDescent="0.35">
      <c r="C52327" s="2"/>
    </row>
    <row r="52328" spans="3:3" x14ac:dyDescent="0.35">
      <c r="C52328" s="2"/>
    </row>
    <row r="52329" spans="3:3" x14ac:dyDescent="0.35">
      <c r="C52329" s="2"/>
    </row>
    <row r="52330" spans="3:3" x14ac:dyDescent="0.35">
      <c r="C52330" s="2"/>
    </row>
    <row r="52331" spans="3:3" x14ac:dyDescent="0.35">
      <c r="C52331" s="2"/>
    </row>
    <row r="52332" spans="3:3" x14ac:dyDescent="0.35">
      <c r="C52332" s="2"/>
    </row>
    <row r="52333" spans="3:3" x14ac:dyDescent="0.35">
      <c r="C52333" s="2"/>
    </row>
    <row r="52334" spans="3:3" x14ac:dyDescent="0.35">
      <c r="C52334" s="2"/>
    </row>
    <row r="52335" spans="3:3" x14ac:dyDescent="0.35">
      <c r="C52335" s="2"/>
    </row>
    <row r="52336" spans="3:3" x14ac:dyDescent="0.35">
      <c r="C52336" s="2"/>
    </row>
    <row r="52337" spans="3:3" x14ac:dyDescent="0.35">
      <c r="C52337" s="2"/>
    </row>
    <row r="52338" spans="3:3" x14ac:dyDescent="0.35">
      <c r="C52338" s="2"/>
    </row>
    <row r="52339" spans="3:3" x14ac:dyDescent="0.35">
      <c r="C52339" s="2"/>
    </row>
    <row r="52340" spans="3:3" x14ac:dyDescent="0.35">
      <c r="C52340" s="2"/>
    </row>
    <row r="52341" spans="3:3" x14ac:dyDescent="0.35">
      <c r="C52341" s="2"/>
    </row>
    <row r="52342" spans="3:3" x14ac:dyDescent="0.35">
      <c r="C52342" s="2"/>
    </row>
    <row r="52343" spans="3:3" x14ac:dyDescent="0.35">
      <c r="C52343" s="2"/>
    </row>
    <row r="52344" spans="3:3" x14ac:dyDescent="0.35">
      <c r="C52344" s="2"/>
    </row>
    <row r="52345" spans="3:3" x14ac:dyDescent="0.35">
      <c r="C52345" s="2"/>
    </row>
    <row r="52346" spans="3:3" x14ac:dyDescent="0.35">
      <c r="C52346" s="2"/>
    </row>
    <row r="52347" spans="3:3" x14ac:dyDescent="0.35">
      <c r="C52347" s="2"/>
    </row>
    <row r="52348" spans="3:3" x14ac:dyDescent="0.35">
      <c r="C52348" s="2"/>
    </row>
    <row r="52349" spans="3:3" x14ac:dyDescent="0.35">
      <c r="C52349" s="2"/>
    </row>
    <row r="52350" spans="3:3" x14ac:dyDescent="0.35">
      <c r="C52350" s="2"/>
    </row>
    <row r="52351" spans="3:3" x14ac:dyDescent="0.35">
      <c r="C52351" s="2"/>
    </row>
    <row r="52352" spans="3:3" x14ac:dyDescent="0.35">
      <c r="C52352" s="2"/>
    </row>
    <row r="52353" spans="3:3" x14ac:dyDescent="0.35">
      <c r="C52353" s="2"/>
    </row>
    <row r="52354" spans="3:3" x14ac:dyDescent="0.35">
      <c r="C52354" s="2"/>
    </row>
    <row r="52355" spans="3:3" x14ac:dyDescent="0.35">
      <c r="C52355" s="2"/>
    </row>
    <row r="52356" spans="3:3" x14ac:dyDescent="0.35">
      <c r="C52356" s="2"/>
    </row>
    <row r="52357" spans="3:3" x14ac:dyDescent="0.35">
      <c r="C52357" s="2"/>
    </row>
    <row r="52358" spans="3:3" x14ac:dyDescent="0.35">
      <c r="C52358" s="2"/>
    </row>
    <row r="52359" spans="3:3" x14ac:dyDescent="0.35">
      <c r="C52359" s="2"/>
    </row>
    <row r="52360" spans="3:3" x14ac:dyDescent="0.35">
      <c r="C52360" s="2"/>
    </row>
    <row r="52361" spans="3:3" x14ac:dyDescent="0.35">
      <c r="C52361" s="2"/>
    </row>
    <row r="52362" spans="3:3" x14ac:dyDescent="0.35">
      <c r="C52362" s="2"/>
    </row>
    <row r="52363" spans="3:3" x14ac:dyDescent="0.35">
      <c r="C52363" s="2"/>
    </row>
    <row r="52364" spans="3:3" x14ac:dyDescent="0.35">
      <c r="C52364" s="2"/>
    </row>
    <row r="52365" spans="3:3" x14ac:dyDescent="0.35">
      <c r="C52365" s="2"/>
    </row>
    <row r="52366" spans="3:3" x14ac:dyDescent="0.35">
      <c r="C52366" s="2"/>
    </row>
    <row r="52367" spans="3:3" x14ac:dyDescent="0.35">
      <c r="C52367" s="2"/>
    </row>
    <row r="52368" spans="3:3" x14ac:dyDescent="0.35">
      <c r="C52368" s="2"/>
    </row>
    <row r="52369" spans="3:3" x14ac:dyDescent="0.35">
      <c r="C52369" s="2"/>
    </row>
    <row r="52370" spans="3:3" x14ac:dyDescent="0.35">
      <c r="C52370" s="2"/>
    </row>
    <row r="52371" spans="3:3" x14ac:dyDescent="0.35">
      <c r="C52371" s="2"/>
    </row>
    <row r="52372" spans="3:3" x14ac:dyDescent="0.35">
      <c r="C52372" s="2"/>
    </row>
    <row r="52373" spans="3:3" x14ac:dyDescent="0.35">
      <c r="C52373" s="2"/>
    </row>
    <row r="52374" spans="3:3" x14ac:dyDescent="0.35">
      <c r="C52374" s="2"/>
    </row>
    <row r="52375" spans="3:3" x14ac:dyDescent="0.35">
      <c r="C52375" s="2"/>
    </row>
    <row r="52376" spans="3:3" x14ac:dyDescent="0.35">
      <c r="C52376" s="2"/>
    </row>
    <row r="52377" spans="3:3" x14ac:dyDescent="0.35">
      <c r="C52377" s="2"/>
    </row>
    <row r="52378" spans="3:3" x14ac:dyDescent="0.35">
      <c r="C52378" s="2"/>
    </row>
    <row r="52379" spans="3:3" x14ac:dyDescent="0.35">
      <c r="C52379" s="2"/>
    </row>
    <row r="52380" spans="3:3" x14ac:dyDescent="0.35">
      <c r="C52380" s="2"/>
    </row>
    <row r="52381" spans="3:3" x14ac:dyDescent="0.35">
      <c r="C52381" s="2"/>
    </row>
    <row r="52382" spans="3:3" x14ac:dyDescent="0.35">
      <c r="C52382" s="2"/>
    </row>
    <row r="52383" spans="3:3" x14ac:dyDescent="0.35">
      <c r="C52383" s="2"/>
    </row>
    <row r="52384" spans="3:3" x14ac:dyDescent="0.35">
      <c r="C52384" s="2"/>
    </row>
    <row r="52385" spans="3:3" x14ac:dyDescent="0.35">
      <c r="C52385" s="2"/>
    </row>
    <row r="52386" spans="3:3" x14ac:dyDescent="0.35">
      <c r="C52386" s="2"/>
    </row>
    <row r="52387" spans="3:3" x14ac:dyDescent="0.35">
      <c r="C52387" s="2"/>
    </row>
    <row r="52388" spans="3:3" x14ac:dyDescent="0.35">
      <c r="C52388" s="2"/>
    </row>
    <row r="52389" spans="3:3" x14ac:dyDescent="0.35">
      <c r="C52389" s="2"/>
    </row>
    <row r="52390" spans="3:3" x14ac:dyDescent="0.35">
      <c r="C52390" s="2"/>
    </row>
    <row r="52391" spans="3:3" x14ac:dyDescent="0.35">
      <c r="C52391" s="2"/>
    </row>
    <row r="52392" spans="3:3" x14ac:dyDescent="0.35">
      <c r="C52392" s="2"/>
    </row>
    <row r="52393" spans="3:3" x14ac:dyDescent="0.35">
      <c r="C52393" s="2"/>
    </row>
    <row r="52394" spans="3:3" x14ac:dyDescent="0.35">
      <c r="C52394" s="2"/>
    </row>
    <row r="52395" spans="3:3" x14ac:dyDescent="0.35">
      <c r="C52395" s="2"/>
    </row>
    <row r="52396" spans="3:3" x14ac:dyDescent="0.35">
      <c r="C52396" s="2"/>
    </row>
    <row r="52397" spans="3:3" x14ac:dyDescent="0.35">
      <c r="C52397" s="2"/>
    </row>
    <row r="52398" spans="3:3" x14ac:dyDescent="0.35">
      <c r="C52398" s="2"/>
    </row>
    <row r="52399" spans="3:3" x14ac:dyDescent="0.35">
      <c r="C52399" s="2"/>
    </row>
    <row r="52400" spans="3:3" x14ac:dyDescent="0.35">
      <c r="C52400" s="2"/>
    </row>
    <row r="52401" spans="3:3" x14ac:dyDescent="0.35">
      <c r="C52401" s="2"/>
    </row>
    <row r="52402" spans="3:3" x14ac:dyDescent="0.35">
      <c r="C52402" s="2"/>
    </row>
    <row r="52403" spans="3:3" x14ac:dyDescent="0.35">
      <c r="C52403" s="2"/>
    </row>
    <row r="52404" spans="3:3" x14ac:dyDescent="0.35">
      <c r="C52404" s="2"/>
    </row>
    <row r="52405" spans="3:3" x14ac:dyDescent="0.35">
      <c r="C52405" s="2"/>
    </row>
    <row r="52406" spans="3:3" x14ac:dyDescent="0.35">
      <c r="C52406" s="2"/>
    </row>
    <row r="52407" spans="3:3" x14ac:dyDescent="0.35">
      <c r="C52407" s="2"/>
    </row>
    <row r="52408" spans="3:3" x14ac:dyDescent="0.35">
      <c r="C52408" s="2"/>
    </row>
    <row r="52409" spans="3:3" x14ac:dyDescent="0.35">
      <c r="C52409" s="2"/>
    </row>
    <row r="52410" spans="3:3" x14ac:dyDescent="0.35">
      <c r="C52410" s="2"/>
    </row>
    <row r="52411" spans="3:3" x14ac:dyDescent="0.35">
      <c r="C52411" s="2"/>
    </row>
    <row r="52412" spans="3:3" x14ac:dyDescent="0.35">
      <c r="C52412" s="2"/>
    </row>
    <row r="52413" spans="3:3" x14ac:dyDescent="0.35">
      <c r="C52413" s="2"/>
    </row>
    <row r="52414" spans="3:3" x14ac:dyDescent="0.35">
      <c r="C52414" s="2"/>
    </row>
    <row r="52415" spans="3:3" x14ac:dyDescent="0.35">
      <c r="C52415" s="2"/>
    </row>
    <row r="52416" spans="3:3" x14ac:dyDescent="0.35">
      <c r="C52416" s="2"/>
    </row>
    <row r="52417" spans="3:3" x14ac:dyDescent="0.35">
      <c r="C52417" s="2"/>
    </row>
    <row r="52418" spans="3:3" x14ac:dyDescent="0.35">
      <c r="C52418" s="2"/>
    </row>
    <row r="52419" spans="3:3" x14ac:dyDescent="0.35">
      <c r="C52419" s="2"/>
    </row>
    <row r="52420" spans="3:3" x14ac:dyDescent="0.35">
      <c r="C52420" s="2"/>
    </row>
    <row r="52421" spans="3:3" x14ac:dyDescent="0.35">
      <c r="C52421" s="2"/>
    </row>
    <row r="52422" spans="3:3" x14ac:dyDescent="0.35">
      <c r="C52422" s="2"/>
    </row>
    <row r="52423" spans="3:3" x14ac:dyDescent="0.35">
      <c r="C52423" s="2"/>
    </row>
    <row r="52424" spans="3:3" x14ac:dyDescent="0.35">
      <c r="C52424" s="2"/>
    </row>
    <row r="52425" spans="3:3" x14ac:dyDescent="0.35">
      <c r="C52425" s="2"/>
    </row>
    <row r="52426" spans="3:3" x14ac:dyDescent="0.35">
      <c r="C52426" s="2"/>
    </row>
    <row r="52427" spans="3:3" x14ac:dyDescent="0.35">
      <c r="C52427" s="2"/>
    </row>
    <row r="52428" spans="3:3" x14ac:dyDescent="0.35">
      <c r="C52428" s="2"/>
    </row>
    <row r="52429" spans="3:3" x14ac:dyDescent="0.35">
      <c r="C52429" s="2"/>
    </row>
    <row r="52430" spans="3:3" x14ac:dyDescent="0.35">
      <c r="C52430" s="2"/>
    </row>
    <row r="52431" spans="3:3" x14ac:dyDescent="0.35">
      <c r="C52431" s="2"/>
    </row>
    <row r="52432" spans="3:3" x14ac:dyDescent="0.35">
      <c r="C52432" s="2"/>
    </row>
    <row r="52433" spans="3:3" x14ac:dyDescent="0.35">
      <c r="C52433" s="2"/>
    </row>
    <row r="52434" spans="3:3" x14ac:dyDescent="0.35">
      <c r="C52434" s="2"/>
    </row>
    <row r="52435" spans="3:3" x14ac:dyDescent="0.35">
      <c r="C52435" s="2"/>
    </row>
    <row r="52436" spans="3:3" x14ac:dyDescent="0.35">
      <c r="C52436" s="2"/>
    </row>
    <row r="52437" spans="3:3" x14ac:dyDescent="0.35">
      <c r="C52437" s="2"/>
    </row>
    <row r="52438" spans="3:3" x14ac:dyDescent="0.35">
      <c r="C52438" s="2"/>
    </row>
    <row r="52439" spans="3:3" x14ac:dyDescent="0.35">
      <c r="C52439" s="2"/>
    </row>
    <row r="52440" spans="3:3" x14ac:dyDescent="0.35">
      <c r="C52440" s="2"/>
    </row>
    <row r="52441" spans="3:3" x14ac:dyDescent="0.35">
      <c r="C52441" s="2"/>
    </row>
    <row r="52442" spans="3:3" x14ac:dyDescent="0.35">
      <c r="C52442" s="2"/>
    </row>
    <row r="52443" spans="3:3" x14ac:dyDescent="0.35">
      <c r="C52443" s="2"/>
    </row>
    <row r="52444" spans="3:3" x14ac:dyDescent="0.35">
      <c r="C52444" s="2"/>
    </row>
    <row r="52445" spans="3:3" x14ac:dyDescent="0.35">
      <c r="C52445" s="2"/>
    </row>
    <row r="52446" spans="3:3" x14ac:dyDescent="0.35">
      <c r="C52446" s="2"/>
    </row>
    <row r="52447" spans="3:3" x14ac:dyDescent="0.35">
      <c r="C52447" s="2"/>
    </row>
    <row r="52448" spans="3:3" x14ac:dyDescent="0.35">
      <c r="C52448" s="2"/>
    </row>
    <row r="52449" spans="3:3" x14ac:dyDescent="0.35">
      <c r="C52449" s="2"/>
    </row>
    <row r="52450" spans="3:3" x14ac:dyDescent="0.35">
      <c r="C52450" s="2"/>
    </row>
    <row r="52451" spans="3:3" x14ac:dyDescent="0.35">
      <c r="C52451" s="2"/>
    </row>
    <row r="52452" spans="3:3" x14ac:dyDescent="0.35">
      <c r="C52452" s="2"/>
    </row>
    <row r="52453" spans="3:3" x14ac:dyDescent="0.35">
      <c r="C52453" s="2"/>
    </row>
    <row r="52454" spans="3:3" x14ac:dyDescent="0.35">
      <c r="C52454" s="2"/>
    </row>
    <row r="52455" spans="3:3" x14ac:dyDescent="0.35">
      <c r="C52455" s="2"/>
    </row>
    <row r="52456" spans="3:3" x14ac:dyDescent="0.35">
      <c r="C52456" s="2"/>
    </row>
    <row r="52457" spans="3:3" x14ac:dyDescent="0.35">
      <c r="C52457" s="2"/>
    </row>
    <row r="52458" spans="3:3" x14ac:dyDescent="0.35">
      <c r="C52458" s="2"/>
    </row>
    <row r="52459" spans="3:3" x14ac:dyDescent="0.35">
      <c r="C52459" s="2"/>
    </row>
    <row r="52460" spans="3:3" x14ac:dyDescent="0.35">
      <c r="C52460" s="2"/>
    </row>
    <row r="52461" spans="3:3" x14ac:dyDescent="0.35">
      <c r="C52461" s="2"/>
    </row>
    <row r="52462" spans="3:3" x14ac:dyDescent="0.35">
      <c r="C52462" s="2"/>
    </row>
    <row r="52463" spans="3:3" x14ac:dyDescent="0.35">
      <c r="C52463" s="2"/>
    </row>
    <row r="52464" spans="3:3" x14ac:dyDescent="0.35">
      <c r="C52464" s="2"/>
    </row>
    <row r="52465" spans="3:3" x14ac:dyDescent="0.35">
      <c r="C52465" s="2"/>
    </row>
    <row r="52466" spans="3:3" x14ac:dyDescent="0.35">
      <c r="C52466" s="2"/>
    </row>
    <row r="52467" spans="3:3" x14ac:dyDescent="0.35">
      <c r="C52467" s="2"/>
    </row>
    <row r="52468" spans="3:3" x14ac:dyDescent="0.35">
      <c r="C52468" s="2"/>
    </row>
    <row r="52469" spans="3:3" x14ac:dyDescent="0.35">
      <c r="C52469" s="2"/>
    </row>
    <row r="52470" spans="3:3" x14ac:dyDescent="0.35">
      <c r="C52470" s="2"/>
    </row>
    <row r="52471" spans="3:3" x14ac:dyDescent="0.35">
      <c r="C52471" s="2"/>
    </row>
    <row r="52472" spans="3:3" x14ac:dyDescent="0.35">
      <c r="C52472" s="2"/>
    </row>
    <row r="52473" spans="3:3" x14ac:dyDescent="0.35">
      <c r="C52473" s="2"/>
    </row>
    <row r="52474" spans="3:3" x14ac:dyDescent="0.35">
      <c r="C52474" s="2"/>
    </row>
    <row r="52475" spans="3:3" x14ac:dyDescent="0.35">
      <c r="C52475" s="2"/>
    </row>
    <row r="52476" spans="3:3" x14ac:dyDescent="0.35">
      <c r="C52476" s="2"/>
    </row>
    <row r="52477" spans="3:3" x14ac:dyDescent="0.35">
      <c r="C52477" s="2"/>
    </row>
    <row r="52478" spans="3:3" x14ac:dyDescent="0.35">
      <c r="C52478" s="2"/>
    </row>
    <row r="52479" spans="3:3" x14ac:dyDescent="0.35">
      <c r="C52479" s="2"/>
    </row>
    <row r="52480" spans="3:3" x14ac:dyDescent="0.35">
      <c r="C52480" s="2"/>
    </row>
    <row r="52481" spans="3:3" x14ac:dyDescent="0.35">
      <c r="C52481" s="2"/>
    </row>
    <row r="52482" spans="3:3" x14ac:dyDescent="0.35">
      <c r="C52482" s="2"/>
    </row>
    <row r="52483" spans="3:3" x14ac:dyDescent="0.35">
      <c r="C52483" s="2"/>
    </row>
    <row r="52484" spans="3:3" x14ac:dyDescent="0.35">
      <c r="C52484" s="2"/>
    </row>
    <row r="52485" spans="3:3" x14ac:dyDescent="0.35">
      <c r="C52485" s="2"/>
    </row>
    <row r="52486" spans="3:3" x14ac:dyDescent="0.35">
      <c r="C52486" s="2"/>
    </row>
    <row r="52487" spans="3:3" x14ac:dyDescent="0.35">
      <c r="C52487" s="2"/>
    </row>
    <row r="52488" spans="3:3" x14ac:dyDescent="0.35">
      <c r="C52488" s="2"/>
    </row>
    <row r="52489" spans="3:3" x14ac:dyDescent="0.35">
      <c r="C52489" s="2"/>
    </row>
    <row r="52490" spans="3:3" x14ac:dyDescent="0.35">
      <c r="C52490" s="2"/>
    </row>
    <row r="52491" spans="3:3" x14ac:dyDescent="0.35">
      <c r="C52491" s="2"/>
    </row>
    <row r="52492" spans="3:3" x14ac:dyDescent="0.35">
      <c r="C52492" s="2"/>
    </row>
    <row r="52493" spans="3:3" x14ac:dyDescent="0.35">
      <c r="C52493" s="2"/>
    </row>
    <row r="52494" spans="3:3" x14ac:dyDescent="0.35">
      <c r="C52494" s="2"/>
    </row>
    <row r="52495" spans="3:3" x14ac:dyDescent="0.35">
      <c r="C52495" s="2"/>
    </row>
    <row r="52496" spans="3:3" x14ac:dyDescent="0.35">
      <c r="C52496" s="2"/>
    </row>
    <row r="52497" spans="3:3" x14ac:dyDescent="0.35">
      <c r="C52497" s="2"/>
    </row>
    <row r="52498" spans="3:3" x14ac:dyDescent="0.35">
      <c r="C52498" s="2"/>
    </row>
    <row r="52499" spans="3:3" x14ac:dyDescent="0.35">
      <c r="C52499" s="2"/>
    </row>
    <row r="52500" spans="3:3" x14ac:dyDescent="0.35">
      <c r="C52500" s="2"/>
    </row>
    <row r="52501" spans="3:3" x14ac:dyDescent="0.35">
      <c r="C52501" s="2"/>
    </row>
    <row r="52502" spans="3:3" x14ac:dyDescent="0.35">
      <c r="C52502" s="2"/>
    </row>
    <row r="52503" spans="3:3" x14ac:dyDescent="0.35">
      <c r="C52503" s="2"/>
    </row>
    <row r="52504" spans="3:3" x14ac:dyDescent="0.35">
      <c r="C52504" s="2"/>
    </row>
    <row r="52505" spans="3:3" x14ac:dyDescent="0.35">
      <c r="C52505" s="2"/>
    </row>
    <row r="52506" spans="3:3" x14ac:dyDescent="0.35">
      <c r="C52506" s="2"/>
    </row>
    <row r="52507" spans="3:3" x14ac:dyDescent="0.35">
      <c r="C52507" s="2"/>
    </row>
    <row r="52508" spans="3:3" x14ac:dyDescent="0.35">
      <c r="C52508" s="2"/>
    </row>
    <row r="52509" spans="3:3" x14ac:dyDescent="0.35">
      <c r="C52509" s="2"/>
    </row>
    <row r="52510" spans="3:3" x14ac:dyDescent="0.35">
      <c r="C52510" s="2"/>
    </row>
    <row r="52511" spans="3:3" x14ac:dyDescent="0.35">
      <c r="C52511" s="2"/>
    </row>
    <row r="52512" spans="3:3" x14ac:dyDescent="0.35">
      <c r="C52512" s="2"/>
    </row>
    <row r="52513" spans="3:3" x14ac:dyDescent="0.35">
      <c r="C52513" s="2"/>
    </row>
    <row r="52514" spans="3:3" x14ac:dyDescent="0.35">
      <c r="C52514" s="2"/>
    </row>
    <row r="52515" spans="3:3" x14ac:dyDescent="0.35">
      <c r="C52515" s="2"/>
    </row>
    <row r="52516" spans="3:3" x14ac:dyDescent="0.35">
      <c r="C52516" s="2"/>
    </row>
    <row r="52517" spans="3:3" x14ac:dyDescent="0.35">
      <c r="C52517" s="2"/>
    </row>
    <row r="52518" spans="3:3" x14ac:dyDescent="0.35">
      <c r="C52518" s="2"/>
    </row>
    <row r="52519" spans="3:3" x14ac:dyDescent="0.35">
      <c r="C52519" s="2"/>
    </row>
    <row r="52520" spans="3:3" x14ac:dyDescent="0.35">
      <c r="C52520" s="2"/>
    </row>
    <row r="52521" spans="3:3" x14ac:dyDescent="0.35">
      <c r="C52521" s="2"/>
    </row>
    <row r="52522" spans="3:3" x14ac:dyDescent="0.35">
      <c r="C52522" s="2"/>
    </row>
    <row r="52523" spans="3:3" x14ac:dyDescent="0.35">
      <c r="C52523" s="2"/>
    </row>
    <row r="52524" spans="3:3" x14ac:dyDescent="0.35">
      <c r="C52524" s="2"/>
    </row>
    <row r="52525" spans="3:3" x14ac:dyDescent="0.35">
      <c r="C52525" s="2"/>
    </row>
    <row r="52526" spans="3:3" x14ac:dyDescent="0.35">
      <c r="C52526" s="2"/>
    </row>
    <row r="52527" spans="3:3" x14ac:dyDescent="0.35">
      <c r="C52527" s="2"/>
    </row>
    <row r="52528" spans="3:3" x14ac:dyDescent="0.35">
      <c r="C52528" s="2"/>
    </row>
    <row r="52529" spans="3:3" x14ac:dyDescent="0.35">
      <c r="C52529" s="2"/>
    </row>
    <row r="52530" spans="3:3" x14ac:dyDescent="0.35">
      <c r="C52530" s="2"/>
    </row>
    <row r="52531" spans="3:3" x14ac:dyDescent="0.35">
      <c r="C52531" s="2"/>
    </row>
    <row r="52532" spans="3:3" x14ac:dyDescent="0.35">
      <c r="C52532" s="2"/>
    </row>
    <row r="52533" spans="3:3" x14ac:dyDescent="0.35">
      <c r="C52533" s="2"/>
    </row>
    <row r="52534" spans="3:3" x14ac:dyDescent="0.35">
      <c r="C52534" s="2"/>
    </row>
    <row r="52535" spans="3:3" x14ac:dyDescent="0.35">
      <c r="C52535" s="2"/>
    </row>
    <row r="52536" spans="3:3" x14ac:dyDescent="0.35">
      <c r="C52536" s="2"/>
    </row>
    <row r="52537" spans="3:3" x14ac:dyDescent="0.35">
      <c r="C52537" s="2"/>
    </row>
    <row r="52538" spans="3:3" x14ac:dyDescent="0.35">
      <c r="C52538" s="2"/>
    </row>
    <row r="52539" spans="3:3" x14ac:dyDescent="0.35">
      <c r="C52539" s="2"/>
    </row>
    <row r="52540" spans="3:3" x14ac:dyDescent="0.35">
      <c r="C52540" s="2"/>
    </row>
    <row r="52541" spans="3:3" x14ac:dyDescent="0.35">
      <c r="C52541" s="2"/>
    </row>
    <row r="52542" spans="3:3" x14ac:dyDescent="0.35">
      <c r="C52542" s="2"/>
    </row>
    <row r="52543" spans="3:3" x14ac:dyDescent="0.35">
      <c r="C52543" s="2"/>
    </row>
    <row r="52544" spans="3:3" x14ac:dyDescent="0.35">
      <c r="C52544" s="2"/>
    </row>
    <row r="52545" spans="3:3" x14ac:dyDescent="0.35">
      <c r="C52545" s="2"/>
    </row>
    <row r="52546" spans="3:3" x14ac:dyDescent="0.35">
      <c r="C52546" s="2"/>
    </row>
    <row r="52547" spans="3:3" x14ac:dyDescent="0.35">
      <c r="C52547" s="2"/>
    </row>
    <row r="52548" spans="3:3" x14ac:dyDescent="0.35">
      <c r="C52548" s="2"/>
    </row>
    <row r="52549" spans="3:3" x14ac:dyDescent="0.35">
      <c r="C52549" s="2"/>
    </row>
    <row r="52550" spans="3:3" x14ac:dyDescent="0.35">
      <c r="C52550" s="2"/>
    </row>
    <row r="52551" spans="3:3" x14ac:dyDescent="0.35">
      <c r="C52551" s="2"/>
    </row>
    <row r="52552" spans="3:3" x14ac:dyDescent="0.35">
      <c r="C52552" s="2"/>
    </row>
    <row r="52553" spans="3:3" x14ac:dyDescent="0.35">
      <c r="C52553" s="2"/>
    </row>
    <row r="52554" spans="3:3" x14ac:dyDescent="0.35">
      <c r="C52554" s="2"/>
    </row>
    <row r="52555" spans="3:3" x14ac:dyDescent="0.35">
      <c r="C52555" s="2"/>
    </row>
    <row r="52556" spans="3:3" x14ac:dyDescent="0.35">
      <c r="C52556" s="2"/>
    </row>
    <row r="52557" spans="3:3" x14ac:dyDescent="0.35">
      <c r="C52557" s="2"/>
    </row>
    <row r="52558" spans="3:3" x14ac:dyDescent="0.35">
      <c r="C52558" s="2"/>
    </row>
    <row r="52559" spans="3:3" x14ac:dyDescent="0.35">
      <c r="C52559" s="2"/>
    </row>
    <row r="52560" spans="3:3" x14ac:dyDescent="0.35">
      <c r="C52560" s="2"/>
    </row>
    <row r="52561" spans="3:3" x14ac:dyDescent="0.35">
      <c r="C52561" s="2"/>
    </row>
    <row r="52562" spans="3:3" x14ac:dyDescent="0.35">
      <c r="C52562" s="2"/>
    </row>
    <row r="52563" spans="3:3" x14ac:dyDescent="0.35">
      <c r="C52563" s="2"/>
    </row>
    <row r="52564" spans="3:3" x14ac:dyDescent="0.35">
      <c r="C52564" s="2"/>
    </row>
    <row r="52565" spans="3:3" x14ac:dyDescent="0.35">
      <c r="C52565" s="2"/>
    </row>
    <row r="52566" spans="3:3" x14ac:dyDescent="0.35">
      <c r="C52566" s="2"/>
    </row>
    <row r="52567" spans="3:3" x14ac:dyDescent="0.35">
      <c r="C52567" s="2"/>
    </row>
    <row r="52568" spans="3:3" x14ac:dyDescent="0.35">
      <c r="C52568" s="2"/>
    </row>
    <row r="52569" spans="3:3" x14ac:dyDescent="0.35">
      <c r="C52569" s="2"/>
    </row>
    <row r="52570" spans="3:3" x14ac:dyDescent="0.35">
      <c r="C52570" s="2"/>
    </row>
    <row r="52571" spans="3:3" x14ac:dyDescent="0.35">
      <c r="C52571" s="2"/>
    </row>
    <row r="52572" spans="3:3" x14ac:dyDescent="0.35">
      <c r="C52572" s="2"/>
    </row>
    <row r="52573" spans="3:3" x14ac:dyDescent="0.35">
      <c r="C52573" s="2"/>
    </row>
    <row r="52574" spans="3:3" x14ac:dyDescent="0.35">
      <c r="C52574" s="2"/>
    </row>
    <row r="52575" spans="3:3" x14ac:dyDescent="0.35">
      <c r="C52575" s="2"/>
    </row>
    <row r="52576" spans="3:3" x14ac:dyDescent="0.35">
      <c r="C52576" s="2"/>
    </row>
    <row r="52577" spans="3:3" x14ac:dyDescent="0.35">
      <c r="C52577" s="2"/>
    </row>
    <row r="52578" spans="3:3" x14ac:dyDescent="0.35">
      <c r="C52578" s="2"/>
    </row>
    <row r="52579" spans="3:3" x14ac:dyDescent="0.35">
      <c r="C52579" s="2"/>
    </row>
    <row r="52580" spans="3:3" x14ac:dyDescent="0.35">
      <c r="C52580" s="2"/>
    </row>
    <row r="52581" spans="3:3" x14ac:dyDescent="0.35">
      <c r="C52581" s="2"/>
    </row>
    <row r="52582" spans="3:3" x14ac:dyDescent="0.35">
      <c r="C52582" s="2"/>
    </row>
    <row r="52583" spans="3:3" x14ac:dyDescent="0.35">
      <c r="C52583" s="2"/>
    </row>
    <row r="52584" spans="3:3" x14ac:dyDescent="0.35">
      <c r="C52584" s="2"/>
    </row>
    <row r="52585" spans="3:3" x14ac:dyDescent="0.35">
      <c r="C52585" s="2"/>
    </row>
    <row r="52586" spans="3:3" x14ac:dyDescent="0.35">
      <c r="C52586" s="2"/>
    </row>
    <row r="52587" spans="3:3" x14ac:dyDescent="0.35">
      <c r="C52587" s="2"/>
    </row>
    <row r="52588" spans="3:3" x14ac:dyDescent="0.35">
      <c r="C52588" s="2"/>
    </row>
    <row r="52589" spans="3:3" x14ac:dyDescent="0.35">
      <c r="C52589" s="2"/>
    </row>
    <row r="52590" spans="3:3" x14ac:dyDescent="0.35">
      <c r="C52590" s="2"/>
    </row>
    <row r="52591" spans="3:3" x14ac:dyDescent="0.35">
      <c r="C52591" s="2"/>
    </row>
    <row r="52592" spans="3:3" x14ac:dyDescent="0.35">
      <c r="C52592" s="2"/>
    </row>
    <row r="52593" spans="3:3" x14ac:dyDescent="0.35">
      <c r="C52593" s="2"/>
    </row>
    <row r="52594" spans="3:3" x14ac:dyDescent="0.35">
      <c r="C52594" s="2"/>
    </row>
    <row r="52595" spans="3:3" x14ac:dyDescent="0.35">
      <c r="C52595" s="2"/>
    </row>
    <row r="52596" spans="3:3" x14ac:dyDescent="0.35">
      <c r="C52596" s="2"/>
    </row>
    <row r="52597" spans="3:3" x14ac:dyDescent="0.35">
      <c r="C52597" s="2"/>
    </row>
    <row r="52598" spans="3:3" x14ac:dyDescent="0.35">
      <c r="C52598" s="2"/>
    </row>
    <row r="52599" spans="3:3" x14ac:dyDescent="0.35">
      <c r="C52599" s="2"/>
    </row>
    <row r="52600" spans="3:3" x14ac:dyDescent="0.35">
      <c r="C52600" s="2"/>
    </row>
    <row r="52601" spans="3:3" x14ac:dyDescent="0.35">
      <c r="C52601" s="2"/>
    </row>
    <row r="52602" spans="3:3" x14ac:dyDescent="0.35">
      <c r="C52602" s="2"/>
    </row>
    <row r="52603" spans="3:3" x14ac:dyDescent="0.35">
      <c r="C52603" s="2"/>
    </row>
    <row r="52604" spans="3:3" x14ac:dyDescent="0.35">
      <c r="C52604" s="2"/>
    </row>
    <row r="52605" spans="3:3" x14ac:dyDescent="0.35">
      <c r="C52605" s="2"/>
    </row>
    <row r="52606" spans="3:3" x14ac:dyDescent="0.35">
      <c r="C52606" s="2"/>
    </row>
    <row r="52607" spans="3:3" x14ac:dyDescent="0.35">
      <c r="C52607" s="2"/>
    </row>
    <row r="52608" spans="3:3" x14ac:dyDescent="0.35">
      <c r="C52608" s="2"/>
    </row>
    <row r="52609" spans="3:3" x14ac:dyDescent="0.35">
      <c r="C52609" s="2"/>
    </row>
    <row r="52610" spans="3:3" x14ac:dyDescent="0.35">
      <c r="C52610" s="2"/>
    </row>
    <row r="52611" spans="3:3" x14ac:dyDescent="0.35">
      <c r="C52611" s="2"/>
    </row>
    <row r="52612" spans="3:3" x14ac:dyDescent="0.35">
      <c r="C52612" s="2"/>
    </row>
    <row r="52613" spans="3:3" x14ac:dyDescent="0.35">
      <c r="C52613" s="2"/>
    </row>
    <row r="52614" spans="3:3" x14ac:dyDescent="0.35">
      <c r="C52614" s="2"/>
    </row>
    <row r="52615" spans="3:3" x14ac:dyDescent="0.35">
      <c r="C52615" s="2"/>
    </row>
    <row r="52616" spans="3:3" x14ac:dyDescent="0.35">
      <c r="C52616" s="2"/>
    </row>
    <row r="52617" spans="3:3" x14ac:dyDescent="0.35">
      <c r="C52617" s="2"/>
    </row>
    <row r="52618" spans="3:3" x14ac:dyDescent="0.35">
      <c r="C52618" s="2"/>
    </row>
    <row r="52619" spans="3:3" x14ac:dyDescent="0.35">
      <c r="C52619" s="2"/>
    </row>
    <row r="52620" spans="3:3" x14ac:dyDescent="0.35">
      <c r="C52620" s="2"/>
    </row>
    <row r="52621" spans="3:3" x14ac:dyDescent="0.35">
      <c r="C52621" s="2"/>
    </row>
    <row r="52622" spans="3:3" x14ac:dyDescent="0.35">
      <c r="C52622" s="2"/>
    </row>
    <row r="52623" spans="3:3" x14ac:dyDescent="0.35">
      <c r="C52623" s="2"/>
    </row>
    <row r="52624" spans="3:3" x14ac:dyDescent="0.35">
      <c r="C52624" s="2"/>
    </row>
    <row r="52625" spans="3:3" x14ac:dyDescent="0.35">
      <c r="C52625" s="2"/>
    </row>
    <row r="52626" spans="3:3" x14ac:dyDescent="0.35">
      <c r="C52626" s="2"/>
    </row>
    <row r="52627" spans="3:3" x14ac:dyDescent="0.35">
      <c r="C52627" s="2"/>
    </row>
    <row r="52628" spans="3:3" x14ac:dyDescent="0.35">
      <c r="C52628" s="2"/>
    </row>
    <row r="52629" spans="3:3" x14ac:dyDescent="0.35">
      <c r="C52629" s="2"/>
    </row>
    <row r="52630" spans="3:3" x14ac:dyDescent="0.35">
      <c r="C52630" s="2"/>
    </row>
    <row r="52631" spans="3:3" x14ac:dyDescent="0.35">
      <c r="C52631" s="2"/>
    </row>
    <row r="52632" spans="3:3" x14ac:dyDescent="0.35">
      <c r="C52632" s="2"/>
    </row>
    <row r="52633" spans="3:3" x14ac:dyDescent="0.35">
      <c r="C52633" s="2"/>
    </row>
    <row r="52634" spans="3:3" x14ac:dyDescent="0.35">
      <c r="C52634" s="2"/>
    </row>
    <row r="52635" spans="3:3" x14ac:dyDescent="0.35">
      <c r="C52635" s="2"/>
    </row>
    <row r="52636" spans="3:3" x14ac:dyDescent="0.35">
      <c r="C52636" s="2"/>
    </row>
    <row r="52637" spans="3:3" x14ac:dyDescent="0.35">
      <c r="C52637" s="2"/>
    </row>
    <row r="52638" spans="3:3" x14ac:dyDescent="0.35">
      <c r="C52638" s="2"/>
    </row>
    <row r="52639" spans="3:3" x14ac:dyDescent="0.35">
      <c r="C52639" s="2"/>
    </row>
    <row r="52640" spans="3:3" x14ac:dyDescent="0.35">
      <c r="C52640" s="2"/>
    </row>
    <row r="52641" spans="3:3" x14ac:dyDescent="0.35">
      <c r="C52641" s="2"/>
    </row>
    <row r="52642" spans="3:3" x14ac:dyDescent="0.35">
      <c r="C52642" s="2"/>
    </row>
    <row r="52643" spans="3:3" x14ac:dyDescent="0.35">
      <c r="C52643" s="2"/>
    </row>
    <row r="52644" spans="3:3" x14ac:dyDescent="0.35">
      <c r="C52644" s="2"/>
    </row>
    <row r="52645" spans="3:3" x14ac:dyDescent="0.35">
      <c r="C52645" s="2"/>
    </row>
    <row r="52646" spans="3:3" x14ac:dyDescent="0.35">
      <c r="C52646" s="2"/>
    </row>
    <row r="52647" spans="3:3" x14ac:dyDescent="0.35">
      <c r="C52647" s="2"/>
    </row>
    <row r="52648" spans="3:3" x14ac:dyDescent="0.35">
      <c r="C52648" s="2"/>
    </row>
    <row r="52649" spans="3:3" x14ac:dyDescent="0.35">
      <c r="C52649" s="2"/>
    </row>
    <row r="52650" spans="3:3" x14ac:dyDescent="0.35">
      <c r="C52650" s="2"/>
    </row>
    <row r="52651" spans="3:3" x14ac:dyDescent="0.35">
      <c r="C52651" s="2"/>
    </row>
    <row r="52652" spans="3:3" x14ac:dyDescent="0.35">
      <c r="C52652" s="2"/>
    </row>
    <row r="52653" spans="3:3" x14ac:dyDescent="0.35">
      <c r="C52653" s="2"/>
    </row>
    <row r="52654" spans="3:3" x14ac:dyDescent="0.35">
      <c r="C52654" s="2"/>
    </row>
    <row r="52655" spans="3:3" x14ac:dyDescent="0.35">
      <c r="C52655" s="2"/>
    </row>
    <row r="52656" spans="3:3" x14ac:dyDescent="0.35">
      <c r="C52656" s="2"/>
    </row>
    <row r="52657" spans="3:3" x14ac:dyDescent="0.35">
      <c r="C52657" s="2"/>
    </row>
    <row r="52658" spans="3:3" x14ac:dyDescent="0.35">
      <c r="C52658" s="2"/>
    </row>
    <row r="52659" spans="3:3" x14ac:dyDescent="0.35">
      <c r="C52659" s="2"/>
    </row>
    <row r="52660" spans="3:3" x14ac:dyDescent="0.35">
      <c r="C52660" s="2"/>
    </row>
    <row r="52661" spans="3:3" x14ac:dyDescent="0.35">
      <c r="C52661" s="2"/>
    </row>
    <row r="52662" spans="3:3" x14ac:dyDescent="0.35">
      <c r="C52662" s="2"/>
    </row>
    <row r="52663" spans="3:3" x14ac:dyDescent="0.35">
      <c r="C52663" s="2"/>
    </row>
    <row r="52664" spans="3:3" x14ac:dyDescent="0.35">
      <c r="C52664" s="2"/>
    </row>
    <row r="52665" spans="3:3" x14ac:dyDescent="0.35">
      <c r="C52665" s="2"/>
    </row>
    <row r="52666" spans="3:3" x14ac:dyDescent="0.35">
      <c r="C52666" s="2"/>
    </row>
    <row r="52667" spans="3:3" x14ac:dyDescent="0.35">
      <c r="C52667" s="2"/>
    </row>
    <row r="52668" spans="3:3" x14ac:dyDescent="0.35">
      <c r="C52668" s="2"/>
    </row>
    <row r="52669" spans="3:3" x14ac:dyDescent="0.35">
      <c r="C52669" s="2"/>
    </row>
    <row r="52670" spans="3:3" x14ac:dyDescent="0.35">
      <c r="C52670" s="2"/>
    </row>
    <row r="52671" spans="3:3" x14ac:dyDescent="0.35">
      <c r="C52671" s="2"/>
    </row>
    <row r="52672" spans="3:3" x14ac:dyDescent="0.35">
      <c r="C52672" s="2"/>
    </row>
    <row r="52673" spans="3:3" x14ac:dyDescent="0.35">
      <c r="C52673" s="2"/>
    </row>
    <row r="52674" spans="3:3" x14ac:dyDescent="0.35">
      <c r="C52674" s="2"/>
    </row>
    <row r="52675" spans="3:3" x14ac:dyDescent="0.35">
      <c r="C52675" s="2"/>
    </row>
    <row r="52676" spans="3:3" x14ac:dyDescent="0.35">
      <c r="C52676" s="2"/>
    </row>
    <row r="52677" spans="3:3" x14ac:dyDescent="0.35">
      <c r="C52677" s="2"/>
    </row>
    <row r="52678" spans="3:3" x14ac:dyDescent="0.35">
      <c r="C52678" s="2"/>
    </row>
    <row r="52679" spans="3:3" x14ac:dyDescent="0.35">
      <c r="C52679" s="2"/>
    </row>
    <row r="52680" spans="3:3" x14ac:dyDescent="0.35">
      <c r="C52680" s="2"/>
    </row>
    <row r="52681" spans="3:3" x14ac:dyDescent="0.35">
      <c r="C52681" s="2"/>
    </row>
    <row r="52682" spans="3:3" x14ac:dyDescent="0.35">
      <c r="C52682" s="2"/>
    </row>
    <row r="52683" spans="3:3" x14ac:dyDescent="0.35">
      <c r="C52683" s="2"/>
    </row>
    <row r="52684" spans="3:3" x14ac:dyDescent="0.35">
      <c r="C52684" s="2"/>
    </row>
    <row r="52685" spans="3:3" x14ac:dyDescent="0.35">
      <c r="C52685" s="2"/>
    </row>
    <row r="52686" spans="3:3" x14ac:dyDescent="0.35">
      <c r="C52686" s="2"/>
    </row>
    <row r="52687" spans="3:3" x14ac:dyDescent="0.35">
      <c r="C52687" s="2"/>
    </row>
    <row r="52688" spans="3:3" x14ac:dyDescent="0.35">
      <c r="C52688" s="2"/>
    </row>
    <row r="52689" spans="3:3" x14ac:dyDescent="0.35">
      <c r="C52689" s="2"/>
    </row>
    <row r="52690" spans="3:3" x14ac:dyDescent="0.35">
      <c r="C52690" s="2"/>
    </row>
    <row r="52691" spans="3:3" x14ac:dyDescent="0.35">
      <c r="C52691" s="2"/>
    </row>
    <row r="52692" spans="3:3" x14ac:dyDescent="0.35">
      <c r="C52692" s="2"/>
    </row>
    <row r="52693" spans="3:3" x14ac:dyDescent="0.35">
      <c r="C52693" s="2"/>
    </row>
    <row r="52694" spans="3:3" x14ac:dyDescent="0.35">
      <c r="C52694" s="2"/>
    </row>
    <row r="52695" spans="3:3" x14ac:dyDescent="0.35">
      <c r="C52695" s="2"/>
    </row>
    <row r="52696" spans="3:3" x14ac:dyDescent="0.35">
      <c r="C52696" s="2"/>
    </row>
    <row r="52697" spans="3:3" x14ac:dyDescent="0.35">
      <c r="C52697" s="2"/>
    </row>
    <row r="52698" spans="3:3" x14ac:dyDescent="0.35">
      <c r="C52698" s="2"/>
    </row>
    <row r="52699" spans="3:3" x14ac:dyDescent="0.35">
      <c r="C52699" s="2"/>
    </row>
    <row r="52700" spans="3:3" x14ac:dyDescent="0.35">
      <c r="C52700" s="2"/>
    </row>
    <row r="52701" spans="3:3" x14ac:dyDescent="0.35">
      <c r="C52701" s="2"/>
    </row>
    <row r="52702" spans="3:3" x14ac:dyDescent="0.35">
      <c r="C52702" s="2"/>
    </row>
    <row r="52703" spans="3:3" x14ac:dyDescent="0.35">
      <c r="C52703" s="2"/>
    </row>
    <row r="52704" spans="3:3" x14ac:dyDescent="0.35">
      <c r="C52704" s="2"/>
    </row>
    <row r="52705" spans="3:3" x14ac:dyDescent="0.35">
      <c r="C52705" s="2"/>
    </row>
    <row r="52706" spans="3:3" x14ac:dyDescent="0.35">
      <c r="C52706" s="2"/>
    </row>
    <row r="52707" spans="3:3" x14ac:dyDescent="0.35">
      <c r="C52707" s="2"/>
    </row>
    <row r="52708" spans="3:3" x14ac:dyDescent="0.35">
      <c r="C52708" s="2"/>
    </row>
    <row r="52709" spans="3:3" x14ac:dyDescent="0.35">
      <c r="C52709" s="2"/>
    </row>
    <row r="52710" spans="3:3" x14ac:dyDescent="0.35">
      <c r="C52710" s="2"/>
    </row>
    <row r="52711" spans="3:3" x14ac:dyDescent="0.35">
      <c r="C52711" s="2"/>
    </row>
    <row r="52712" spans="3:3" x14ac:dyDescent="0.35">
      <c r="C52712" s="2"/>
    </row>
    <row r="52713" spans="3:3" x14ac:dyDescent="0.35">
      <c r="C52713" s="2"/>
    </row>
    <row r="52714" spans="3:3" x14ac:dyDescent="0.35">
      <c r="C52714" s="2"/>
    </row>
    <row r="52715" spans="3:3" x14ac:dyDescent="0.35">
      <c r="C52715" s="2"/>
    </row>
    <row r="52716" spans="3:3" x14ac:dyDescent="0.35">
      <c r="C52716" s="2"/>
    </row>
    <row r="52717" spans="3:3" x14ac:dyDescent="0.35">
      <c r="C52717" s="2"/>
    </row>
    <row r="52718" spans="3:3" x14ac:dyDescent="0.35">
      <c r="C52718" s="2"/>
    </row>
    <row r="52719" spans="3:3" x14ac:dyDescent="0.35">
      <c r="C52719" s="2"/>
    </row>
    <row r="52720" spans="3:3" x14ac:dyDescent="0.35">
      <c r="C52720" s="2"/>
    </row>
    <row r="52721" spans="3:3" x14ac:dyDescent="0.35">
      <c r="C52721" s="2"/>
    </row>
    <row r="52722" spans="3:3" x14ac:dyDescent="0.35">
      <c r="C52722" s="2"/>
    </row>
    <row r="52723" spans="3:3" x14ac:dyDescent="0.35">
      <c r="C52723" s="2"/>
    </row>
    <row r="52724" spans="3:3" x14ac:dyDescent="0.35">
      <c r="C52724" s="2"/>
    </row>
    <row r="52725" spans="3:3" x14ac:dyDescent="0.35">
      <c r="C52725" s="2"/>
    </row>
    <row r="52726" spans="3:3" x14ac:dyDescent="0.35">
      <c r="C52726" s="2"/>
    </row>
    <row r="52727" spans="3:3" x14ac:dyDescent="0.35">
      <c r="C52727" s="2"/>
    </row>
    <row r="52728" spans="3:3" x14ac:dyDescent="0.35">
      <c r="C52728" s="2"/>
    </row>
    <row r="52729" spans="3:3" x14ac:dyDescent="0.35">
      <c r="C52729" s="2"/>
    </row>
    <row r="52730" spans="3:3" x14ac:dyDescent="0.35">
      <c r="C52730" s="2"/>
    </row>
    <row r="52731" spans="3:3" x14ac:dyDescent="0.35">
      <c r="C52731" s="2"/>
    </row>
    <row r="52732" spans="3:3" x14ac:dyDescent="0.35">
      <c r="C52732" s="2"/>
    </row>
    <row r="52733" spans="3:3" x14ac:dyDescent="0.35">
      <c r="C52733" s="2"/>
    </row>
    <row r="52734" spans="3:3" x14ac:dyDescent="0.35">
      <c r="C52734" s="2"/>
    </row>
    <row r="52735" spans="3:3" x14ac:dyDescent="0.35">
      <c r="C52735" s="2"/>
    </row>
    <row r="52736" spans="3:3" x14ac:dyDescent="0.35">
      <c r="C52736" s="2"/>
    </row>
    <row r="52737" spans="3:3" x14ac:dyDescent="0.35">
      <c r="C52737" s="2"/>
    </row>
    <row r="52738" spans="3:3" x14ac:dyDescent="0.35">
      <c r="C52738" s="2"/>
    </row>
    <row r="52739" spans="3:3" x14ac:dyDescent="0.35">
      <c r="C52739" s="2"/>
    </row>
    <row r="52740" spans="3:3" x14ac:dyDescent="0.35">
      <c r="C52740" s="2"/>
    </row>
    <row r="52741" spans="3:3" x14ac:dyDescent="0.35">
      <c r="C52741" s="2"/>
    </row>
    <row r="52742" spans="3:3" x14ac:dyDescent="0.35">
      <c r="C52742" s="2"/>
    </row>
    <row r="52743" spans="3:3" x14ac:dyDescent="0.35">
      <c r="C52743" s="2"/>
    </row>
    <row r="52744" spans="3:3" x14ac:dyDescent="0.35">
      <c r="C52744" s="2"/>
    </row>
    <row r="52745" spans="3:3" x14ac:dyDescent="0.35">
      <c r="C52745" s="2"/>
    </row>
    <row r="52746" spans="3:3" x14ac:dyDescent="0.35">
      <c r="C52746" s="2"/>
    </row>
    <row r="52747" spans="3:3" x14ac:dyDescent="0.35">
      <c r="C52747" s="2"/>
    </row>
    <row r="52748" spans="3:3" x14ac:dyDescent="0.35">
      <c r="C52748" s="2"/>
    </row>
    <row r="52749" spans="3:3" x14ac:dyDescent="0.35">
      <c r="C52749" s="2"/>
    </row>
    <row r="52750" spans="3:3" x14ac:dyDescent="0.35">
      <c r="C52750" s="2"/>
    </row>
    <row r="52751" spans="3:3" x14ac:dyDescent="0.35">
      <c r="C52751" s="2"/>
    </row>
    <row r="52752" spans="3:3" x14ac:dyDescent="0.35">
      <c r="C52752" s="2"/>
    </row>
    <row r="52753" spans="3:3" x14ac:dyDescent="0.35">
      <c r="C52753" s="2"/>
    </row>
    <row r="52754" spans="3:3" x14ac:dyDescent="0.35">
      <c r="C52754" s="2"/>
    </row>
    <row r="52755" spans="3:3" x14ac:dyDescent="0.35">
      <c r="C52755" s="2"/>
    </row>
    <row r="52756" spans="3:3" x14ac:dyDescent="0.35">
      <c r="C52756" s="2"/>
    </row>
    <row r="52757" spans="3:3" x14ac:dyDescent="0.35">
      <c r="C52757" s="2"/>
    </row>
    <row r="52758" spans="3:3" x14ac:dyDescent="0.35">
      <c r="C52758" s="2"/>
    </row>
    <row r="52759" spans="3:3" x14ac:dyDescent="0.35">
      <c r="C52759" s="2"/>
    </row>
    <row r="52760" spans="3:3" x14ac:dyDescent="0.35">
      <c r="C52760" s="2"/>
    </row>
    <row r="52761" spans="3:3" x14ac:dyDescent="0.35">
      <c r="C52761" s="2"/>
    </row>
    <row r="52762" spans="3:3" x14ac:dyDescent="0.35">
      <c r="C52762" s="2"/>
    </row>
    <row r="52763" spans="3:3" x14ac:dyDescent="0.35">
      <c r="C52763" s="2"/>
    </row>
    <row r="52764" spans="3:3" x14ac:dyDescent="0.35">
      <c r="C52764" s="2"/>
    </row>
    <row r="52765" spans="3:3" x14ac:dyDescent="0.35">
      <c r="C52765" s="2"/>
    </row>
    <row r="52766" spans="3:3" x14ac:dyDescent="0.35">
      <c r="C52766" s="2"/>
    </row>
    <row r="52767" spans="3:3" x14ac:dyDescent="0.35">
      <c r="C52767" s="2"/>
    </row>
    <row r="52768" spans="3:3" x14ac:dyDescent="0.35">
      <c r="C52768" s="2"/>
    </row>
    <row r="52769" spans="3:3" x14ac:dyDescent="0.35">
      <c r="C52769" s="2"/>
    </row>
    <row r="52770" spans="3:3" x14ac:dyDescent="0.35">
      <c r="C52770" s="2"/>
    </row>
    <row r="52771" spans="3:3" x14ac:dyDescent="0.35">
      <c r="C52771" s="2"/>
    </row>
    <row r="52772" spans="3:3" x14ac:dyDescent="0.35">
      <c r="C52772" s="2"/>
    </row>
    <row r="52773" spans="3:3" x14ac:dyDescent="0.35">
      <c r="C52773" s="2"/>
    </row>
    <row r="52774" spans="3:3" x14ac:dyDescent="0.35">
      <c r="C52774" s="2"/>
    </row>
    <row r="52775" spans="3:3" x14ac:dyDescent="0.35">
      <c r="C52775" s="2"/>
    </row>
    <row r="52776" spans="3:3" x14ac:dyDescent="0.35">
      <c r="C52776" s="2"/>
    </row>
    <row r="52777" spans="3:3" x14ac:dyDescent="0.35">
      <c r="C52777" s="2"/>
    </row>
    <row r="52778" spans="3:3" x14ac:dyDescent="0.35">
      <c r="C52778" s="2"/>
    </row>
    <row r="52779" spans="3:3" x14ac:dyDescent="0.35">
      <c r="C52779" s="2"/>
    </row>
    <row r="52780" spans="3:3" x14ac:dyDescent="0.35">
      <c r="C52780" s="2"/>
    </row>
    <row r="52781" spans="3:3" x14ac:dyDescent="0.35">
      <c r="C52781" s="2"/>
    </row>
    <row r="52782" spans="3:3" x14ac:dyDescent="0.35">
      <c r="C52782" s="2"/>
    </row>
    <row r="52783" spans="3:3" x14ac:dyDescent="0.35">
      <c r="C52783" s="2"/>
    </row>
    <row r="52784" spans="3:3" x14ac:dyDescent="0.35">
      <c r="C52784" s="2"/>
    </row>
    <row r="52785" spans="3:3" x14ac:dyDescent="0.35">
      <c r="C52785" s="2"/>
    </row>
    <row r="52786" spans="3:3" x14ac:dyDescent="0.35">
      <c r="C52786" s="2"/>
    </row>
    <row r="52787" spans="3:3" x14ac:dyDescent="0.35">
      <c r="C52787" s="2"/>
    </row>
    <row r="52788" spans="3:3" x14ac:dyDescent="0.35">
      <c r="C52788" s="2"/>
    </row>
    <row r="52789" spans="3:3" x14ac:dyDescent="0.35">
      <c r="C52789" s="2"/>
    </row>
    <row r="52790" spans="3:3" x14ac:dyDescent="0.35">
      <c r="C52790" s="2"/>
    </row>
    <row r="52791" spans="3:3" x14ac:dyDescent="0.35">
      <c r="C52791" s="2"/>
    </row>
    <row r="52792" spans="3:3" x14ac:dyDescent="0.35">
      <c r="C52792" s="2"/>
    </row>
    <row r="52793" spans="3:3" x14ac:dyDescent="0.35">
      <c r="C52793" s="2"/>
    </row>
    <row r="52794" spans="3:3" x14ac:dyDescent="0.35">
      <c r="C52794" s="2"/>
    </row>
    <row r="52795" spans="3:3" x14ac:dyDescent="0.35">
      <c r="C52795" s="2"/>
    </row>
    <row r="52796" spans="3:3" x14ac:dyDescent="0.35">
      <c r="C52796" s="2"/>
    </row>
    <row r="52797" spans="3:3" x14ac:dyDescent="0.35">
      <c r="C52797" s="2"/>
    </row>
    <row r="52798" spans="3:3" x14ac:dyDescent="0.35">
      <c r="C52798" s="2"/>
    </row>
    <row r="52799" spans="3:3" x14ac:dyDescent="0.35">
      <c r="C52799" s="2"/>
    </row>
    <row r="52800" spans="3:3" x14ac:dyDescent="0.35">
      <c r="C52800" s="2"/>
    </row>
    <row r="52801" spans="3:3" x14ac:dyDescent="0.35">
      <c r="C52801" s="2"/>
    </row>
    <row r="52802" spans="3:3" x14ac:dyDescent="0.35">
      <c r="C52802" s="2"/>
    </row>
    <row r="52803" spans="3:3" x14ac:dyDescent="0.35">
      <c r="C52803" s="2"/>
    </row>
    <row r="52804" spans="3:3" x14ac:dyDescent="0.35">
      <c r="C52804" s="2"/>
    </row>
    <row r="52805" spans="3:3" x14ac:dyDescent="0.35">
      <c r="C52805" s="2"/>
    </row>
    <row r="52806" spans="3:3" x14ac:dyDescent="0.35">
      <c r="C52806" s="2"/>
    </row>
    <row r="52807" spans="3:3" x14ac:dyDescent="0.35">
      <c r="C52807" s="2"/>
    </row>
    <row r="52808" spans="3:3" x14ac:dyDescent="0.35">
      <c r="C52808" s="2"/>
    </row>
    <row r="52809" spans="3:3" x14ac:dyDescent="0.35">
      <c r="C52809" s="2"/>
    </row>
    <row r="52810" spans="3:3" x14ac:dyDescent="0.35">
      <c r="C52810" s="2"/>
    </row>
    <row r="52811" spans="3:3" x14ac:dyDescent="0.35">
      <c r="C52811" s="2"/>
    </row>
    <row r="52812" spans="3:3" x14ac:dyDescent="0.35">
      <c r="C52812" s="2"/>
    </row>
    <row r="52813" spans="3:3" x14ac:dyDescent="0.35">
      <c r="C52813" s="2"/>
    </row>
    <row r="52814" spans="3:3" x14ac:dyDescent="0.35">
      <c r="C52814" s="2"/>
    </row>
    <row r="52815" spans="3:3" x14ac:dyDescent="0.35">
      <c r="C52815" s="2"/>
    </row>
    <row r="52816" spans="3:3" x14ac:dyDescent="0.35">
      <c r="C52816" s="2"/>
    </row>
    <row r="52817" spans="3:3" x14ac:dyDescent="0.35">
      <c r="C52817" s="2"/>
    </row>
    <row r="52818" spans="3:3" x14ac:dyDescent="0.35">
      <c r="C52818" s="2"/>
    </row>
    <row r="52819" spans="3:3" x14ac:dyDescent="0.35">
      <c r="C52819" s="2"/>
    </row>
    <row r="52820" spans="3:3" x14ac:dyDescent="0.35">
      <c r="C52820" s="2"/>
    </row>
    <row r="52821" spans="3:3" x14ac:dyDescent="0.35">
      <c r="C52821" s="2"/>
    </row>
    <row r="52822" spans="3:3" x14ac:dyDescent="0.35">
      <c r="C52822" s="2"/>
    </row>
    <row r="52823" spans="3:3" x14ac:dyDescent="0.35">
      <c r="C52823" s="2"/>
    </row>
    <row r="52824" spans="3:3" x14ac:dyDescent="0.35">
      <c r="C52824" s="2"/>
    </row>
    <row r="52825" spans="3:3" x14ac:dyDescent="0.35">
      <c r="C52825" s="2"/>
    </row>
    <row r="52826" spans="3:3" x14ac:dyDescent="0.35">
      <c r="C52826" s="2"/>
    </row>
    <row r="52827" spans="3:3" x14ac:dyDescent="0.35">
      <c r="C52827" s="2"/>
    </row>
    <row r="52828" spans="3:3" x14ac:dyDescent="0.35">
      <c r="C52828" s="2"/>
    </row>
    <row r="52829" spans="3:3" x14ac:dyDescent="0.35">
      <c r="C52829" s="2"/>
    </row>
    <row r="52830" spans="3:3" x14ac:dyDescent="0.35">
      <c r="C52830" s="2"/>
    </row>
    <row r="52831" spans="3:3" x14ac:dyDescent="0.35">
      <c r="C52831" s="2"/>
    </row>
    <row r="52832" spans="3:3" x14ac:dyDescent="0.35">
      <c r="C52832" s="2"/>
    </row>
    <row r="52833" spans="3:3" x14ac:dyDescent="0.35">
      <c r="C52833" s="2"/>
    </row>
    <row r="52834" spans="3:3" x14ac:dyDescent="0.35">
      <c r="C52834" s="2"/>
    </row>
    <row r="52835" spans="3:3" x14ac:dyDescent="0.35">
      <c r="C52835" s="2"/>
    </row>
    <row r="52836" spans="3:3" x14ac:dyDescent="0.35">
      <c r="C52836" s="2"/>
    </row>
    <row r="52837" spans="3:3" x14ac:dyDescent="0.35">
      <c r="C52837" s="2"/>
    </row>
    <row r="52838" spans="3:3" x14ac:dyDescent="0.35">
      <c r="C52838" s="2"/>
    </row>
    <row r="52839" spans="3:3" x14ac:dyDescent="0.35">
      <c r="C52839" s="2"/>
    </row>
    <row r="52840" spans="3:3" x14ac:dyDescent="0.35">
      <c r="C52840" s="2"/>
    </row>
    <row r="52841" spans="3:3" x14ac:dyDescent="0.35">
      <c r="C52841" s="2"/>
    </row>
    <row r="52842" spans="3:3" x14ac:dyDescent="0.35">
      <c r="C52842" s="2"/>
    </row>
    <row r="52843" spans="3:3" x14ac:dyDescent="0.35">
      <c r="C52843" s="2"/>
    </row>
    <row r="52844" spans="3:3" x14ac:dyDescent="0.35">
      <c r="C52844" s="2"/>
    </row>
    <row r="52845" spans="3:3" x14ac:dyDescent="0.35">
      <c r="C52845" s="2"/>
    </row>
    <row r="52846" spans="3:3" x14ac:dyDescent="0.35">
      <c r="C52846" s="2"/>
    </row>
    <row r="52847" spans="3:3" x14ac:dyDescent="0.35">
      <c r="C52847" s="2"/>
    </row>
    <row r="52848" spans="3:3" x14ac:dyDescent="0.35">
      <c r="C52848" s="2"/>
    </row>
    <row r="52849" spans="3:3" x14ac:dyDescent="0.35">
      <c r="C52849" s="2"/>
    </row>
    <row r="52850" spans="3:3" x14ac:dyDescent="0.35">
      <c r="C52850" s="2"/>
    </row>
    <row r="52851" spans="3:3" x14ac:dyDescent="0.35">
      <c r="C52851" s="2"/>
    </row>
    <row r="52852" spans="3:3" x14ac:dyDescent="0.35">
      <c r="C52852" s="2"/>
    </row>
    <row r="52853" spans="3:3" x14ac:dyDescent="0.35">
      <c r="C52853" s="2"/>
    </row>
    <row r="52854" spans="3:3" x14ac:dyDescent="0.35">
      <c r="C52854" s="2"/>
    </row>
    <row r="52855" spans="3:3" x14ac:dyDescent="0.35">
      <c r="C52855" s="2"/>
    </row>
    <row r="52856" spans="3:3" x14ac:dyDescent="0.35">
      <c r="C52856" s="2"/>
    </row>
    <row r="52857" spans="3:3" x14ac:dyDescent="0.35">
      <c r="C52857" s="2"/>
    </row>
    <row r="52858" spans="3:3" x14ac:dyDescent="0.35">
      <c r="C52858" s="2"/>
    </row>
    <row r="52859" spans="3:3" x14ac:dyDescent="0.35">
      <c r="C52859" s="2"/>
    </row>
    <row r="52860" spans="3:3" x14ac:dyDescent="0.35">
      <c r="C52860" s="2"/>
    </row>
    <row r="52861" spans="3:3" x14ac:dyDescent="0.35">
      <c r="C52861" s="2"/>
    </row>
    <row r="52862" spans="3:3" x14ac:dyDescent="0.35">
      <c r="C52862" s="2"/>
    </row>
    <row r="52863" spans="3:3" x14ac:dyDescent="0.35">
      <c r="C52863" s="2"/>
    </row>
    <row r="52864" spans="3:3" x14ac:dyDescent="0.35">
      <c r="C52864" s="2"/>
    </row>
    <row r="52865" spans="3:3" x14ac:dyDescent="0.35">
      <c r="C52865" s="2"/>
    </row>
    <row r="52866" spans="3:3" x14ac:dyDescent="0.35">
      <c r="C52866" s="2"/>
    </row>
    <row r="52867" spans="3:3" x14ac:dyDescent="0.35">
      <c r="C52867" s="2"/>
    </row>
    <row r="52868" spans="3:3" x14ac:dyDescent="0.35">
      <c r="C52868" s="2"/>
    </row>
    <row r="52869" spans="3:3" x14ac:dyDescent="0.35">
      <c r="C52869" s="2"/>
    </row>
    <row r="52870" spans="3:3" x14ac:dyDescent="0.35">
      <c r="C52870" s="2"/>
    </row>
    <row r="52871" spans="3:3" x14ac:dyDescent="0.35">
      <c r="C52871" s="2"/>
    </row>
    <row r="52872" spans="3:3" x14ac:dyDescent="0.35">
      <c r="C52872" s="2"/>
    </row>
    <row r="52873" spans="3:3" x14ac:dyDescent="0.35">
      <c r="C52873" s="2"/>
    </row>
    <row r="52874" spans="3:3" x14ac:dyDescent="0.35">
      <c r="C52874" s="2"/>
    </row>
    <row r="52875" spans="3:3" x14ac:dyDescent="0.35">
      <c r="C52875" s="2"/>
    </row>
    <row r="52876" spans="3:3" x14ac:dyDescent="0.35">
      <c r="C52876" s="2"/>
    </row>
    <row r="52877" spans="3:3" x14ac:dyDescent="0.35">
      <c r="C52877" s="2"/>
    </row>
    <row r="52878" spans="3:3" x14ac:dyDescent="0.35">
      <c r="C52878" s="2"/>
    </row>
    <row r="52879" spans="3:3" x14ac:dyDescent="0.35">
      <c r="C52879" s="2"/>
    </row>
    <row r="52880" spans="3:3" x14ac:dyDescent="0.35">
      <c r="C52880" s="2"/>
    </row>
    <row r="52881" spans="3:3" x14ac:dyDescent="0.35">
      <c r="C52881" s="2"/>
    </row>
    <row r="52882" spans="3:3" x14ac:dyDescent="0.35">
      <c r="C52882" s="2"/>
    </row>
    <row r="52883" spans="3:3" x14ac:dyDescent="0.35">
      <c r="C52883" s="2"/>
    </row>
    <row r="52884" spans="3:3" x14ac:dyDescent="0.35">
      <c r="C52884" s="2"/>
    </row>
    <row r="52885" spans="3:3" x14ac:dyDescent="0.35">
      <c r="C52885" s="2"/>
    </row>
    <row r="52886" spans="3:3" x14ac:dyDescent="0.35">
      <c r="C52886" s="2"/>
    </row>
    <row r="52887" spans="3:3" x14ac:dyDescent="0.35">
      <c r="C52887" s="2"/>
    </row>
    <row r="52888" spans="3:3" x14ac:dyDescent="0.35">
      <c r="C52888" s="2"/>
    </row>
    <row r="52889" spans="3:3" x14ac:dyDescent="0.35">
      <c r="C52889" s="2"/>
    </row>
    <row r="52890" spans="3:3" x14ac:dyDescent="0.35">
      <c r="C52890" s="2"/>
    </row>
    <row r="52891" spans="3:3" x14ac:dyDescent="0.35">
      <c r="C52891" s="2"/>
    </row>
    <row r="52892" spans="3:3" x14ac:dyDescent="0.35">
      <c r="C52892" s="2"/>
    </row>
    <row r="52893" spans="3:3" x14ac:dyDescent="0.35">
      <c r="C52893" s="2"/>
    </row>
    <row r="52894" spans="3:3" x14ac:dyDescent="0.35">
      <c r="C52894" s="2"/>
    </row>
    <row r="52895" spans="3:3" x14ac:dyDescent="0.35">
      <c r="C52895" s="2"/>
    </row>
    <row r="52896" spans="3:3" x14ac:dyDescent="0.35">
      <c r="C52896" s="2"/>
    </row>
    <row r="52897" spans="3:3" x14ac:dyDescent="0.35">
      <c r="C52897" s="2"/>
    </row>
    <row r="52898" spans="3:3" x14ac:dyDescent="0.35">
      <c r="C52898" s="2"/>
    </row>
    <row r="52899" spans="3:3" x14ac:dyDescent="0.35">
      <c r="C52899" s="2"/>
    </row>
    <row r="52900" spans="3:3" x14ac:dyDescent="0.35">
      <c r="C52900" s="2"/>
    </row>
    <row r="52901" spans="3:3" x14ac:dyDescent="0.35">
      <c r="C52901" s="2"/>
    </row>
    <row r="52902" spans="3:3" x14ac:dyDescent="0.35">
      <c r="C52902" s="2"/>
    </row>
    <row r="52903" spans="3:3" x14ac:dyDescent="0.35">
      <c r="C52903" s="2"/>
    </row>
    <row r="52904" spans="3:3" x14ac:dyDescent="0.35">
      <c r="C52904" s="2"/>
    </row>
    <row r="52905" spans="3:3" x14ac:dyDescent="0.35">
      <c r="C52905" s="2"/>
    </row>
    <row r="52906" spans="3:3" x14ac:dyDescent="0.35">
      <c r="C52906" s="2"/>
    </row>
    <row r="52907" spans="3:3" x14ac:dyDescent="0.35">
      <c r="C52907" s="2"/>
    </row>
    <row r="52908" spans="3:3" x14ac:dyDescent="0.35">
      <c r="C52908" s="2"/>
    </row>
    <row r="52909" spans="3:3" x14ac:dyDescent="0.35">
      <c r="C52909" s="2"/>
    </row>
    <row r="52910" spans="3:3" x14ac:dyDescent="0.35">
      <c r="C52910" s="2"/>
    </row>
    <row r="52911" spans="3:3" x14ac:dyDescent="0.35">
      <c r="C52911" s="2"/>
    </row>
    <row r="52912" spans="3:3" x14ac:dyDescent="0.35">
      <c r="C52912" s="2"/>
    </row>
    <row r="52913" spans="3:3" x14ac:dyDescent="0.35">
      <c r="C52913" s="2"/>
    </row>
    <row r="52914" spans="3:3" x14ac:dyDescent="0.35">
      <c r="C52914" s="2"/>
    </row>
    <row r="52915" spans="3:3" x14ac:dyDescent="0.35">
      <c r="C52915" s="2"/>
    </row>
    <row r="52916" spans="3:3" x14ac:dyDescent="0.35">
      <c r="C52916" s="2"/>
    </row>
    <row r="52917" spans="3:3" x14ac:dyDescent="0.35">
      <c r="C52917" s="2"/>
    </row>
    <row r="52918" spans="3:3" x14ac:dyDescent="0.35">
      <c r="C52918" s="2"/>
    </row>
    <row r="52919" spans="3:3" x14ac:dyDescent="0.35">
      <c r="C52919" s="2"/>
    </row>
    <row r="52920" spans="3:3" x14ac:dyDescent="0.35">
      <c r="C52920" s="2"/>
    </row>
    <row r="52921" spans="3:3" x14ac:dyDescent="0.35">
      <c r="C52921" s="2"/>
    </row>
    <row r="52922" spans="3:3" x14ac:dyDescent="0.35">
      <c r="C52922" s="2"/>
    </row>
    <row r="52923" spans="3:3" x14ac:dyDescent="0.35">
      <c r="C52923" s="2"/>
    </row>
    <row r="52924" spans="3:3" x14ac:dyDescent="0.35">
      <c r="C52924" s="2"/>
    </row>
    <row r="52925" spans="3:3" x14ac:dyDescent="0.35">
      <c r="C52925" s="2"/>
    </row>
    <row r="52926" spans="3:3" x14ac:dyDescent="0.35">
      <c r="C52926" s="2"/>
    </row>
    <row r="52927" spans="3:3" x14ac:dyDescent="0.35">
      <c r="C52927" s="2"/>
    </row>
    <row r="52928" spans="3:3" x14ac:dyDescent="0.35">
      <c r="C52928" s="2"/>
    </row>
    <row r="52929" spans="3:3" x14ac:dyDescent="0.35">
      <c r="C52929" s="2"/>
    </row>
    <row r="52930" spans="3:3" x14ac:dyDescent="0.35">
      <c r="C52930" s="2"/>
    </row>
    <row r="52931" spans="3:3" x14ac:dyDescent="0.35">
      <c r="C52931" s="2"/>
    </row>
    <row r="52932" spans="3:3" x14ac:dyDescent="0.35">
      <c r="C52932" s="2"/>
    </row>
    <row r="52933" spans="3:3" x14ac:dyDescent="0.35">
      <c r="C52933" s="2"/>
    </row>
    <row r="52934" spans="3:3" x14ac:dyDescent="0.35">
      <c r="C52934" s="2"/>
    </row>
    <row r="52935" spans="3:3" x14ac:dyDescent="0.35">
      <c r="C52935" s="2"/>
    </row>
    <row r="52936" spans="3:3" x14ac:dyDescent="0.35">
      <c r="C52936" s="2"/>
    </row>
    <row r="52937" spans="3:3" x14ac:dyDescent="0.35">
      <c r="C52937" s="2"/>
    </row>
    <row r="52938" spans="3:3" x14ac:dyDescent="0.35">
      <c r="C52938" s="2"/>
    </row>
    <row r="52939" spans="3:3" x14ac:dyDescent="0.35">
      <c r="C52939" s="2"/>
    </row>
    <row r="52940" spans="3:3" x14ac:dyDescent="0.35">
      <c r="C52940" s="2"/>
    </row>
    <row r="52941" spans="3:3" x14ac:dyDescent="0.35">
      <c r="C52941" s="2"/>
    </row>
    <row r="52942" spans="3:3" x14ac:dyDescent="0.35">
      <c r="C52942" s="2"/>
    </row>
    <row r="52943" spans="3:3" x14ac:dyDescent="0.35">
      <c r="C52943" s="2"/>
    </row>
    <row r="52944" spans="3:3" x14ac:dyDescent="0.35">
      <c r="C52944" s="2"/>
    </row>
    <row r="52945" spans="3:3" x14ac:dyDescent="0.35">
      <c r="C52945" s="2"/>
    </row>
    <row r="52946" spans="3:3" x14ac:dyDescent="0.35">
      <c r="C52946" s="2"/>
    </row>
    <row r="52947" spans="3:3" x14ac:dyDescent="0.35">
      <c r="C52947" s="2"/>
    </row>
    <row r="52948" spans="3:3" x14ac:dyDescent="0.35">
      <c r="C52948" s="2"/>
    </row>
    <row r="52949" spans="3:3" x14ac:dyDescent="0.35">
      <c r="C52949" s="2"/>
    </row>
    <row r="52950" spans="3:3" x14ac:dyDescent="0.35">
      <c r="C52950" s="2"/>
    </row>
    <row r="52951" spans="3:3" x14ac:dyDescent="0.35">
      <c r="C52951" s="2"/>
    </row>
    <row r="52952" spans="3:3" x14ac:dyDescent="0.35">
      <c r="C52952" s="2"/>
    </row>
    <row r="52953" spans="3:3" x14ac:dyDescent="0.35">
      <c r="C52953" s="2"/>
    </row>
    <row r="52954" spans="3:3" x14ac:dyDescent="0.35">
      <c r="C52954" s="2"/>
    </row>
    <row r="52955" spans="3:3" x14ac:dyDescent="0.35">
      <c r="C52955" s="2"/>
    </row>
    <row r="52956" spans="3:3" x14ac:dyDescent="0.35">
      <c r="C52956" s="2"/>
    </row>
    <row r="52957" spans="3:3" x14ac:dyDescent="0.35">
      <c r="C52957" s="2"/>
    </row>
    <row r="52958" spans="3:3" x14ac:dyDescent="0.35">
      <c r="C52958" s="2"/>
    </row>
    <row r="52959" spans="3:3" x14ac:dyDescent="0.35">
      <c r="C52959" s="2"/>
    </row>
    <row r="52960" spans="3:3" x14ac:dyDescent="0.35">
      <c r="C52960" s="2"/>
    </row>
    <row r="52961" spans="3:3" x14ac:dyDescent="0.35">
      <c r="C52961" s="2"/>
    </row>
    <row r="52962" spans="3:3" x14ac:dyDescent="0.35">
      <c r="C52962" s="2"/>
    </row>
    <row r="52963" spans="3:3" x14ac:dyDescent="0.35">
      <c r="C52963" s="2"/>
    </row>
    <row r="52964" spans="3:3" x14ac:dyDescent="0.35">
      <c r="C52964" s="2"/>
    </row>
    <row r="52965" spans="3:3" x14ac:dyDescent="0.35">
      <c r="C52965" s="2"/>
    </row>
    <row r="52966" spans="3:3" x14ac:dyDescent="0.35">
      <c r="C52966" s="2"/>
    </row>
    <row r="52967" spans="3:3" x14ac:dyDescent="0.35">
      <c r="C52967" s="2"/>
    </row>
    <row r="52968" spans="3:3" x14ac:dyDescent="0.35">
      <c r="C52968" s="2"/>
    </row>
    <row r="52969" spans="3:3" x14ac:dyDescent="0.35">
      <c r="C52969" s="2"/>
    </row>
    <row r="52970" spans="3:3" x14ac:dyDescent="0.35">
      <c r="C52970" s="2"/>
    </row>
    <row r="52971" spans="3:3" x14ac:dyDescent="0.35">
      <c r="C52971" s="2"/>
    </row>
    <row r="52972" spans="3:3" x14ac:dyDescent="0.35">
      <c r="C52972" s="2"/>
    </row>
    <row r="52973" spans="3:3" x14ac:dyDescent="0.35">
      <c r="C52973" s="2"/>
    </row>
    <row r="52974" spans="3:3" x14ac:dyDescent="0.35">
      <c r="C52974" s="2"/>
    </row>
    <row r="52975" spans="3:3" x14ac:dyDescent="0.35">
      <c r="C52975" s="2"/>
    </row>
    <row r="52976" spans="3:3" x14ac:dyDescent="0.35">
      <c r="C52976" s="2"/>
    </row>
    <row r="52977" spans="3:3" x14ac:dyDescent="0.35">
      <c r="C52977" s="2"/>
    </row>
    <row r="52978" spans="3:3" x14ac:dyDescent="0.35">
      <c r="C52978" s="2"/>
    </row>
    <row r="52979" spans="3:3" x14ac:dyDescent="0.35">
      <c r="C52979" s="2"/>
    </row>
    <row r="52980" spans="3:3" x14ac:dyDescent="0.35">
      <c r="C52980" s="2"/>
    </row>
    <row r="52981" spans="3:3" x14ac:dyDescent="0.35">
      <c r="C52981" s="2"/>
    </row>
    <row r="52982" spans="3:3" x14ac:dyDescent="0.35">
      <c r="C52982" s="2"/>
    </row>
    <row r="52983" spans="3:3" x14ac:dyDescent="0.35">
      <c r="C52983" s="2"/>
    </row>
    <row r="52984" spans="3:3" x14ac:dyDescent="0.35">
      <c r="C52984" s="2"/>
    </row>
    <row r="52985" spans="3:3" x14ac:dyDescent="0.35">
      <c r="C52985" s="2"/>
    </row>
    <row r="52986" spans="3:3" x14ac:dyDescent="0.35">
      <c r="C52986" s="2"/>
    </row>
    <row r="52987" spans="3:3" x14ac:dyDescent="0.35">
      <c r="C52987" s="2"/>
    </row>
    <row r="52988" spans="3:3" x14ac:dyDescent="0.35">
      <c r="C52988" s="2"/>
    </row>
    <row r="52989" spans="3:3" x14ac:dyDescent="0.35">
      <c r="C52989" s="2"/>
    </row>
    <row r="52990" spans="3:3" x14ac:dyDescent="0.35">
      <c r="C52990" s="2"/>
    </row>
    <row r="52991" spans="3:3" x14ac:dyDescent="0.35">
      <c r="C52991" s="2"/>
    </row>
    <row r="52992" spans="3:3" x14ac:dyDescent="0.35">
      <c r="C52992" s="2"/>
    </row>
    <row r="52993" spans="3:3" x14ac:dyDescent="0.35">
      <c r="C52993" s="2"/>
    </row>
    <row r="52994" spans="3:3" x14ac:dyDescent="0.35">
      <c r="C52994" s="2"/>
    </row>
    <row r="52995" spans="3:3" x14ac:dyDescent="0.35">
      <c r="C52995" s="2"/>
    </row>
    <row r="52996" spans="3:3" x14ac:dyDescent="0.35">
      <c r="C52996" s="2"/>
    </row>
    <row r="52997" spans="3:3" x14ac:dyDescent="0.35">
      <c r="C52997" s="2"/>
    </row>
    <row r="52998" spans="3:3" x14ac:dyDescent="0.35">
      <c r="C52998" s="2"/>
    </row>
    <row r="52999" spans="3:3" x14ac:dyDescent="0.35">
      <c r="C52999" s="2"/>
    </row>
    <row r="53000" spans="3:3" x14ac:dyDescent="0.35">
      <c r="C53000" s="2"/>
    </row>
    <row r="53001" spans="3:3" x14ac:dyDescent="0.35">
      <c r="C53001" s="2"/>
    </row>
    <row r="53002" spans="3:3" x14ac:dyDescent="0.35">
      <c r="C53002" s="2"/>
    </row>
    <row r="53003" spans="3:3" x14ac:dyDescent="0.35">
      <c r="C53003" s="2"/>
    </row>
    <row r="53004" spans="3:3" x14ac:dyDescent="0.35">
      <c r="C53004" s="2"/>
    </row>
    <row r="53005" spans="3:3" x14ac:dyDescent="0.35">
      <c r="C53005" s="2"/>
    </row>
    <row r="53006" spans="3:3" x14ac:dyDescent="0.35">
      <c r="C53006" s="2"/>
    </row>
    <row r="53007" spans="3:3" x14ac:dyDescent="0.35">
      <c r="C53007" s="2"/>
    </row>
    <row r="53008" spans="3:3" x14ac:dyDescent="0.35">
      <c r="C53008" s="2"/>
    </row>
    <row r="53009" spans="3:3" x14ac:dyDescent="0.35">
      <c r="C53009" s="2"/>
    </row>
    <row r="53010" spans="3:3" x14ac:dyDescent="0.35">
      <c r="C53010" s="2"/>
    </row>
    <row r="53011" spans="3:3" x14ac:dyDescent="0.35">
      <c r="C53011" s="2"/>
    </row>
    <row r="53012" spans="3:3" x14ac:dyDescent="0.35">
      <c r="C53012" s="2"/>
    </row>
    <row r="53013" spans="3:3" x14ac:dyDescent="0.35">
      <c r="C53013" s="2"/>
    </row>
    <row r="53014" spans="3:3" x14ac:dyDescent="0.35">
      <c r="C53014" s="2"/>
    </row>
    <row r="53015" spans="3:3" x14ac:dyDescent="0.35">
      <c r="C53015" s="2"/>
    </row>
    <row r="53016" spans="3:3" x14ac:dyDescent="0.35">
      <c r="C53016" s="2"/>
    </row>
    <row r="53017" spans="3:3" x14ac:dyDescent="0.35">
      <c r="C53017" s="2"/>
    </row>
    <row r="53018" spans="3:3" x14ac:dyDescent="0.35">
      <c r="C53018" s="2"/>
    </row>
    <row r="53019" spans="3:3" x14ac:dyDescent="0.35">
      <c r="C53019" s="2"/>
    </row>
    <row r="53020" spans="3:3" x14ac:dyDescent="0.35">
      <c r="C53020" s="2"/>
    </row>
    <row r="53021" spans="3:3" x14ac:dyDescent="0.35">
      <c r="C53021" s="2"/>
    </row>
    <row r="53022" spans="3:3" x14ac:dyDescent="0.35">
      <c r="C53022" s="2"/>
    </row>
    <row r="53023" spans="3:3" x14ac:dyDescent="0.35">
      <c r="C53023" s="2"/>
    </row>
    <row r="53024" spans="3:3" x14ac:dyDescent="0.35">
      <c r="C53024" s="2"/>
    </row>
    <row r="53025" spans="3:3" x14ac:dyDescent="0.35">
      <c r="C53025" s="2"/>
    </row>
    <row r="53026" spans="3:3" x14ac:dyDescent="0.35">
      <c r="C53026" s="2"/>
    </row>
    <row r="53027" spans="3:3" x14ac:dyDescent="0.35">
      <c r="C53027" s="2"/>
    </row>
    <row r="53028" spans="3:3" x14ac:dyDescent="0.35">
      <c r="C53028" s="2"/>
    </row>
    <row r="53029" spans="3:3" x14ac:dyDescent="0.35">
      <c r="C53029" s="2"/>
    </row>
    <row r="53030" spans="3:3" x14ac:dyDescent="0.35">
      <c r="C53030" s="2"/>
    </row>
    <row r="53031" spans="3:3" x14ac:dyDescent="0.35">
      <c r="C53031" s="2"/>
    </row>
    <row r="53032" spans="3:3" x14ac:dyDescent="0.35">
      <c r="C53032" s="2"/>
    </row>
    <row r="53033" spans="3:3" x14ac:dyDescent="0.35">
      <c r="C53033" s="2"/>
    </row>
    <row r="53034" spans="3:3" x14ac:dyDescent="0.35">
      <c r="C53034" s="2"/>
    </row>
    <row r="53035" spans="3:3" x14ac:dyDescent="0.35">
      <c r="C53035" s="2"/>
    </row>
    <row r="53036" spans="3:3" x14ac:dyDescent="0.35">
      <c r="C53036" s="2"/>
    </row>
    <row r="53037" spans="3:3" x14ac:dyDescent="0.35">
      <c r="C53037" s="2"/>
    </row>
    <row r="53038" spans="3:3" x14ac:dyDescent="0.35">
      <c r="C53038" s="2"/>
    </row>
    <row r="53039" spans="3:3" x14ac:dyDescent="0.35">
      <c r="C53039" s="2"/>
    </row>
    <row r="53040" spans="3:3" x14ac:dyDescent="0.35">
      <c r="C53040" s="2"/>
    </row>
    <row r="53041" spans="3:3" x14ac:dyDescent="0.35">
      <c r="C53041" s="2"/>
    </row>
    <row r="53042" spans="3:3" x14ac:dyDescent="0.35">
      <c r="C53042" s="2"/>
    </row>
    <row r="53043" spans="3:3" x14ac:dyDescent="0.35">
      <c r="C53043" s="2"/>
    </row>
    <row r="53044" spans="3:3" x14ac:dyDescent="0.35">
      <c r="C53044" s="2"/>
    </row>
    <row r="53045" spans="3:3" x14ac:dyDescent="0.35">
      <c r="C53045" s="2"/>
    </row>
    <row r="53046" spans="3:3" x14ac:dyDescent="0.35">
      <c r="C53046" s="2"/>
    </row>
    <row r="53047" spans="3:3" x14ac:dyDescent="0.35">
      <c r="C53047" s="2"/>
    </row>
    <row r="53048" spans="3:3" x14ac:dyDescent="0.35">
      <c r="C53048" s="2"/>
    </row>
    <row r="53049" spans="3:3" x14ac:dyDescent="0.35">
      <c r="C53049" s="2"/>
    </row>
    <row r="53050" spans="3:3" x14ac:dyDescent="0.35">
      <c r="C53050" s="2"/>
    </row>
    <row r="53051" spans="3:3" x14ac:dyDescent="0.35">
      <c r="C53051" s="2"/>
    </row>
    <row r="53052" spans="3:3" x14ac:dyDescent="0.35">
      <c r="C53052" s="2"/>
    </row>
    <row r="53053" spans="3:3" x14ac:dyDescent="0.35">
      <c r="C53053" s="2"/>
    </row>
    <row r="53054" spans="3:3" x14ac:dyDescent="0.35">
      <c r="C53054" s="2"/>
    </row>
    <row r="53055" spans="3:3" x14ac:dyDescent="0.35">
      <c r="C53055" s="2"/>
    </row>
    <row r="53056" spans="3:3" x14ac:dyDescent="0.35">
      <c r="C53056" s="2"/>
    </row>
    <row r="53057" spans="3:3" x14ac:dyDescent="0.35">
      <c r="C53057" s="2"/>
    </row>
    <row r="53058" spans="3:3" x14ac:dyDescent="0.35">
      <c r="C53058" s="2"/>
    </row>
    <row r="53059" spans="3:3" x14ac:dyDescent="0.35">
      <c r="C53059" s="2"/>
    </row>
    <row r="53060" spans="3:3" x14ac:dyDescent="0.35">
      <c r="C53060" s="2"/>
    </row>
    <row r="53061" spans="3:3" x14ac:dyDescent="0.35">
      <c r="C53061" s="2"/>
    </row>
    <row r="53062" spans="3:3" x14ac:dyDescent="0.35">
      <c r="C53062" s="2"/>
    </row>
    <row r="53063" spans="3:3" x14ac:dyDescent="0.35">
      <c r="C53063" s="2"/>
    </row>
    <row r="53064" spans="3:3" x14ac:dyDescent="0.35">
      <c r="C53064" s="2"/>
    </row>
    <row r="53065" spans="3:3" x14ac:dyDescent="0.35">
      <c r="C53065" s="2"/>
    </row>
    <row r="53066" spans="3:3" x14ac:dyDescent="0.35">
      <c r="C53066" s="2"/>
    </row>
    <row r="53067" spans="3:3" x14ac:dyDescent="0.35">
      <c r="C53067" s="2"/>
    </row>
    <row r="53068" spans="3:3" x14ac:dyDescent="0.35">
      <c r="C53068" s="2"/>
    </row>
    <row r="53069" spans="3:3" x14ac:dyDescent="0.35">
      <c r="C53069" s="2"/>
    </row>
    <row r="53070" spans="3:3" x14ac:dyDescent="0.35">
      <c r="C53070" s="2"/>
    </row>
    <row r="53071" spans="3:3" x14ac:dyDescent="0.35">
      <c r="C53071" s="2"/>
    </row>
    <row r="53072" spans="3:3" x14ac:dyDescent="0.35">
      <c r="C53072" s="2"/>
    </row>
    <row r="53073" spans="3:3" x14ac:dyDescent="0.35">
      <c r="C53073" s="2"/>
    </row>
    <row r="53074" spans="3:3" x14ac:dyDescent="0.35">
      <c r="C53074" s="2"/>
    </row>
    <row r="53075" spans="3:3" x14ac:dyDescent="0.35">
      <c r="C53075" s="2"/>
    </row>
    <row r="53076" spans="3:3" x14ac:dyDescent="0.35">
      <c r="C53076" s="2"/>
    </row>
    <row r="53077" spans="3:3" x14ac:dyDescent="0.35">
      <c r="C53077" s="2"/>
    </row>
    <row r="53078" spans="3:3" x14ac:dyDescent="0.35">
      <c r="C53078" s="2"/>
    </row>
    <row r="53079" spans="3:3" x14ac:dyDescent="0.35">
      <c r="C53079" s="2"/>
    </row>
    <row r="53080" spans="3:3" x14ac:dyDescent="0.35">
      <c r="C53080" s="2"/>
    </row>
    <row r="53081" spans="3:3" x14ac:dyDescent="0.35">
      <c r="C53081" s="2"/>
    </row>
    <row r="53082" spans="3:3" x14ac:dyDescent="0.35">
      <c r="C53082" s="2"/>
    </row>
    <row r="53083" spans="3:3" x14ac:dyDescent="0.35">
      <c r="C53083" s="2"/>
    </row>
    <row r="53084" spans="3:3" x14ac:dyDescent="0.35">
      <c r="C53084" s="2"/>
    </row>
    <row r="53085" spans="3:3" x14ac:dyDescent="0.35">
      <c r="C53085" s="2"/>
    </row>
    <row r="53086" spans="3:3" x14ac:dyDescent="0.35">
      <c r="C53086" s="2"/>
    </row>
    <row r="53087" spans="3:3" x14ac:dyDescent="0.35">
      <c r="C53087" s="2"/>
    </row>
    <row r="53088" spans="3:3" x14ac:dyDescent="0.35">
      <c r="C53088" s="2"/>
    </row>
    <row r="53089" spans="3:3" x14ac:dyDescent="0.35">
      <c r="C53089" s="2"/>
    </row>
    <row r="53090" spans="3:3" x14ac:dyDescent="0.35">
      <c r="C53090" s="2"/>
    </row>
    <row r="53091" spans="3:3" x14ac:dyDescent="0.35">
      <c r="C53091" s="2"/>
    </row>
    <row r="53092" spans="3:3" x14ac:dyDescent="0.35">
      <c r="C53092" s="2"/>
    </row>
    <row r="53093" spans="3:3" x14ac:dyDescent="0.35">
      <c r="C53093" s="2"/>
    </row>
    <row r="53094" spans="3:3" x14ac:dyDescent="0.35">
      <c r="C53094" s="2"/>
    </row>
    <row r="53095" spans="3:3" x14ac:dyDescent="0.35">
      <c r="C53095" s="2"/>
    </row>
    <row r="53096" spans="3:3" x14ac:dyDescent="0.35">
      <c r="C53096" s="2"/>
    </row>
    <row r="53097" spans="3:3" x14ac:dyDescent="0.35">
      <c r="C53097" s="2"/>
    </row>
    <row r="53098" spans="3:3" x14ac:dyDescent="0.35">
      <c r="C53098" s="2"/>
    </row>
    <row r="53099" spans="3:3" x14ac:dyDescent="0.35">
      <c r="C53099" s="2"/>
    </row>
    <row r="53100" spans="3:3" x14ac:dyDescent="0.35">
      <c r="C53100" s="2"/>
    </row>
    <row r="53101" spans="3:3" x14ac:dyDescent="0.35">
      <c r="C53101" s="2"/>
    </row>
    <row r="53102" spans="3:3" x14ac:dyDescent="0.35">
      <c r="C53102" s="2"/>
    </row>
    <row r="53103" spans="3:3" x14ac:dyDescent="0.35">
      <c r="C53103" s="2"/>
    </row>
    <row r="53104" spans="3:3" x14ac:dyDescent="0.35">
      <c r="C53104" s="2"/>
    </row>
    <row r="53105" spans="3:3" x14ac:dyDescent="0.35">
      <c r="C53105" s="2"/>
    </row>
    <row r="53106" spans="3:3" x14ac:dyDescent="0.35">
      <c r="C53106" s="2"/>
    </row>
    <row r="53107" spans="3:3" x14ac:dyDescent="0.35">
      <c r="C53107" s="2"/>
    </row>
    <row r="53108" spans="3:3" x14ac:dyDescent="0.35">
      <c r="C53108" s="2"/>
    </row>
    <row r="53109" spans="3:3" x14ac:dyDescent="0.35">
      <c r="C53109" s="2"/>
    </row>
    <row r="53110" spans="3:3" x14ac:dyDescent="0.35">
      <c r="C53110" s="2"/>
    </row>
    <row r="53111" spans="3:3" x14ac:dyDescent="0.35">
      <c r="C53111" s="2"/>
    </row>
    <row r="53112" spans="3:3" x14ac:dyDescent="0.35">
      <c r="C53112" s="2"/>
    </row>
    <row r="53113" spans="3:3" x14ac:dyDescent="0.35">
      <c r="C53113" s="2"/>
    </row>
    <row r="53114" spans="3:3" x14ac:dyDescent="0.35">
      <c r="C53114" s="2"/>
    </row>
    <row r="53115" spans="3:3" x14ac:dyDescent="0.35">
      <c r="C53115" s="2"/>
    </row>
    <row r="53116" spans="3:3" x14ac:dyDescent="0.35">
      <c r="C53116" s="2"/>
    </row>
    <row r="53117" spans="3:3" x14ac:dyDescent="0.35">
      <c r="C53117" s="2"/>
    </row>
    <row r="53118" spans="3:3" x14ac:dyDescent="0.35">
      <c r="C53118" s="2"/>
    </row>
    <row r="53119" spans="3:3" x14ac:dyDescent="0.35">
      <c r="C53119" s="2"/>
    </row>
    <row r="53120" spans="3:3" x14ac:dyDescent="0.35">
      <c r="C53120" s="2"/>
    </row>
    <row r="53121" spans="3:3" x14ac:dyDescent="0.35">
      <c r="C53121" s="2"/>
    </row>
    <row r="53122" spans="3:3" x14ac:dyDescent="0.35">
      <c r="C53122" s="2"/>
    </row>
    <row r="53123" spans="3:3" x14ac:dyDescent="0.35">
      <c r="C53123" s="2"/>
    </row>
    <row r="53124" spans="3:3" x14ac:dyDescent="0.35">
      <c r="C53124" s="2"/>
    </row>
    <row r="53125" spans="3:3" x14ac:dyDescent="0.35">
      <c r="C53125" s="2"/>
    </row>
    <row r="53126" spans="3:3" x14ac:dyDescent="0.35">
      <c r="C53126" s="2"/>
    </row>
    <row r="53127" spans="3:3" x14ac:dyDescent="0.35">
      <c r="C53127" s="2"/>
    </row>
    <row r="53128" spans="3:3" x14ac:dyDescent="0.35">
      <c r="C53128" s="2"/>
    </row>
    <row r="53129" spans="3:3" x14ac:dyDescent="0.35">
      <c r="C53129" s="2"/>
    </row>
    <row r="53130" spans="3:3" x14ac:dyDescent="0.35">
      <c r="C53130" s="2"/>
    </row>
    <row r="53131" spans="3:3" x14ac:dyDescent="0.35">
      <c r="C53131" s="2"/>
    </row>
    <row r="53132" spans="3:3" x14ac:dyDescent="0.35">
      <c r="C53132" s="2"/>
    </row>
    <row r="53133" spans="3:3" x14ac:dyDescent="0.35">
      <c r="C53133" s="2"/>
    </row>
    <row r="53134" spans="3:3" x14ac:dyDescent="0.35">
      <c r="C53134" s="2"/>
    </row>
    <row r="53135" spans="3:3" x14ac:dyDescent="0.35">
      <c r="C53135" s="2"/>
    </row>
    <row r="53136" spans="3:3" x14ac:dyDescent="0.35">
      <c r="C53136" s="2"/>
    </row>
    <row r="53137" spans="3:3" x14ac:dyDescent="0.35">
      <c r="C53137" s="2"/>
    </row>
    <row r="53138" spans="3:3" x14ac:dyDescent="0.35">
      <c r="C53138" s="2"/>
    </row>
    <row r="53139" spans="3:3" x14ac:dyDescent="0.35">
      <c r="C53139" s="2"/>
    </row>
    <row r="53140" spans="3:3" x14ac:dyDescent="0.35">
      <c r="C53140" s="2"/>
    </row>
    <row r="53141" spans="3:3" x14ac:dyDescent="0.35">
      <c r="C53141" s="2"/>
    </row>
    <row r="53142" spans="3:3" x14ac:dyDescent="0.35">
      <c r="C53142" s="2"/>
    </row>
    <row r="53143" spans="3:3" x14ac:dyDescent="0.35">
      <c r="C53143" s="2"/>
    </row>
    <row r="53144" spans="3:3" x14ac:dyDescent="0.35">
      <c r="C53144" s="2"/>
    </row>
    <row r="53145" spans="3:3" x14ac:dyDescent="0.35">
      <c r="C53145" s="2"/>
    </row>
    <row r="53146" spans="3:3" x14ac:dyDescent="0.35">
      <c r="C53146" s="2"/>
    </row>
    <row r="53147" spans="3:3" x14ac:dyDescent="0.35">
      <c r="C53147" s="2"/>
    </row>
    <row r="53148" spans="3:3" x14ac:dyDescent="0.35">
      <c r="C53148" s="2"/>
    </row>
    <row r="53149" spans="3:3" x14ac:dyDescent="0.35">
      <c r="C53149" s="2"/>
    </row>
    <row r="53150" spans="3:3" x14ac:dyDescent="0.35">
      <c r="C53150" s="2"/>
    </row>
    <row r="53151" spans="3:3" x14ac:dyDescent="0.35">
      <c r="C53151" s="2"/>
    </row>
    <row r="53152" spans="3:3" x14ac:dyDescent="0.35">
      <c r="C53152" s="2"/>
    </row>
    <row r="53153" spans="3:3" x14ac:dyDescent="0.35">
      <c r="C53153" s="2"/>
    </row>
    <row r="53154" spans="3:3" x14ac:dyDescent="0.35">
      <c r="C53154" s="2"/>
    </row>
    <row r="53155" spans="3:3" x14ac:dyDescent="0.35">
      <c r="C53155" s="2"/>
    </row>
    <row r="53156" spans="3:3" x14ac:dyDescent="0.35">
      <c r="C53156" s="2"/>
    </row>
    <row r="53157" spans="3:3" x14ac:dyDescent="0.35">
      <c r="C53157" s="2"/>
    </row>
    <row r="53158" spans="3:3" x14ac:dyDescent="0.35">
      <c r="C53158" s="2"/>
    </row>
    <row r="53159" spans="3:3" x14ac:dyDescent="0.35">
      <c r="C53159" s="2"/>
    </row>
    <row r="53160" spans="3:3" x14ac:dyDescent="0.35">
      <c r="C53160" s="2"/>
    </row>
    <row r="53161" spans="3:3" x14ac:dyDescent="0.35">
      <c r="C53161" s="2"/>
    </row>
    <row r="53162" spans="3:3" x14ac:dyDescent="0.35">
      <c r="C53162" s="2"/>
    </row>
    <row r="53163" spans="3:3" x14ac:dyDescent="0.35">
      <c r="C53163" s="2"/>
    </row>
    <row r="53164" spans="3:3" x14ac:dyDescent="0.35">
      <c r="C53164" s="2"/>
    </row>
    <row r="53165" spans="3:3" x14ac:dyDescent="0.35">
      <c r="C53165" s="2"/>
    </row>
    <row r="53166" spans="3:3" x14ac:dyDescent="0.35">
      <c r="C53166" s="2"/>
    </row>
    <row r="53167" spans="3:3" x14ac:dyDescent="0.35">
      <c r="C53167" s="2"/>
    </row>
    <row r="53168" spans="3:3" x14ac:dyDescent="0.35">
      <c r="C53168" s="2"/>
    </row>
    <row r="53169" spans="3:3" x14ac:dyDescent="0.35">
      <c r="C53169" s="2"/>
    </row>
    <row r="53170" spans="3:3" x14ac:dyDescent="0.35">
      <c r="C53170" s="2"/>
    </row>
    <row r="53171" spans="3:3" x14ac:dyDescent="0.35">
      <c r="C53171" s="2"/>
    </row>
    <row r="53172" spans="3:3" x14ac:dyDescent="0.35">
      <c r="C53172" s="2"/>
    </row>
    <row r="53173" spans="3:3" x14ac:dyDescent="0.35">
      <c r="C53173" s="2"/>
    </row>
    <row r="53174" spans="3:3" x14ac:dyDescent="0.35">
      <c r="C53174" s="2"/>
    </row>
    <row r="53175" spans="3:3" x14ac:dyDescent="0.35">
      <c r="C53175" s="2"/>
    </row>
    <row r="53176" spans="3:3" x14ac:dyDescent="0.35">
      <c r="C53176" s="2"/>
    </row>
    <row r="53177" spans="3:3" x14ac:dyDescent="0.35">
      <c r="C53177" s="2"/>
    </row>
    <row r="53178" spans="3:3" x14ac:dyDescent="0.35">
      <c r="C53178" s="2"/>
    </row>
    <row r="53179" spans="3:3" x14ac:dyDescent="0.35">
      <c r="C53179" s="2"/>
    </row>
    <row r="53180" spans="3:3" x14ac:dyDescent="0.35">
      <c r="C53180" s="2"/>
    </row>
    <row r="53181" spans="3:3" x14ac:dyDescent="0.35">
      <c r="C53181" s="2"/>
    </row>
    <row r="53182" spans="3:3" x14ac:dyDescent="0.35">
      <c r="C53182" s="2"/>
    </row>
    <row r="53183" spans="3:3" x14ac:dyDescent="0.35">
      <c r="C53183" s="2"/>
    </row>
    <row r="53184" spans="3:3" x14ac:dyDescent="0.35">
      <c r="C53184" s="2"/>
    </row>
    <row r="53185" spans="3:3" x14ac:dyDescent="0.35">
      <c r="C53185" s="2"/>
    </row>
    <row r="53186" spans="3:3" x14ac:dyDescent="0.35">
      <c r="C53186" s="2"/>
    </row>
    <row r="53187" spans="3:3" x14ac:dyDescent="0.35">
      <c r="C53187" s="2"/>
    </row>
    <row r="53188" spans="3:3" x14ac:dyDescent="0.35">
      <c r="C53188" s="2"/>
    </row>
    <row r="53189" spans="3:3" x14ac:dyDescent="0.35">
      <c r="C53189" s="2"/>
    </row>
    <row r="53190" spans="3:3" x14ac:dyDescent="0.35">
      <c r="C53190" s="2"/>
    </row>
    <row r="53191" spans="3:3" x14ac:dyDescent="0.35">
      <c r="C53191" s="2"/>
    </row>
    <row r="53192" spans="3:3" x14ac:dyDescent="0.35">
      <c r="C53192" s="2"/>
    </row>
    <row r="53193" spans="3:3" x14ac:dyDescent="0.35">
      <c r="C53193" s="2"/>
    </row>
    <row r="53194" spans="3:3" x14ac:dyDescent="0.35">
      <c r="C53194" s="2"/>
    </row>
    <row r="53195" spans="3:3" x14ac:dyDescent="0.35">
      <c r="C53195" s="2"/>
    </row>
    <row r="53196" spans="3:3" x14ac:dyDescent="0.35">
      <c r="C53196" s="2"/>
    </row>
    <row r="53197" spans="3:3" x14ac:dyDescent="0.35">
      <c r="C53197" s="2"/>
    </row>
    <row r="53198" spans="3:3" x14ac:dyDescent="0.35">
      <c r="C53198" s="2"/>
    </row>
    <row r="53199" spans="3:3" x14ac:dyDescent="0.35">
      <c r="C53199" s="2"/>
    </row>
    <row r="53200" spans="3:3" x14ac:dyDescent="0.35">
      <c r="C53200" s="2"/>
    </row>
    <row r="53201" spans="3:3" x14ac:dyDescent="0.35">
      <c r="C53201" s="2"/>
    </row>
    <row r="53202" spans="3:3" x14ac:dyDescent="0.35">
      <c r="C53202" s="2"/>
    </row>
    <row r="53203" spans="3:3" x14ac:dyDescent="0.35">
      <c r="C53203" s="2"/>
    </row>
    <row r="53204" spans="3:3" x14ac:dyDescent="0.35">
      <c r="C53204" s="2"/>
    </row>
    <row r="53205" spans="3:3" x14ac:dyDescent="0.35">
      <c r="C53205" s="2"/>
    </row>
    <row r="53206" spans="3:3" x14ac:dyDescent="0.35">
      <c r="C53206" s="2"/>
    </row>
    <row r="53207" spans="3:3" x14ac:dyDescent="0.35">
      <c r="C53207" s="2"/>
    </row>
    <row r="53208" spans="3:3" x14ac:dyDescent="0.35">
      <c r="C53208" s="2"/>
    </row>
    <row r="53209" spans="3:3" x14ac:dyDescent="0.35">
      <c r="C53209" s="2"/>
    </row>
    <row r="53210" spans="3:3" x14ac:dyDescent="0.35">
      <c r="C53210" s="2"/>
    </row>
    <row r="53211" spans="3:3" x14ac:dyDescent="0.35">
      <c r="C53211" s="2"/>
    </row>
    <row r="53212" spans="3:3" x14ac:dyDescent="0.35">
      <c r="C53212" s="2"/>
    </row>
    <row r="53213" spans="3:3" x14ac:dyDescent="0.35">
      <c r="C53213" s="2"/>
    </row>
    <row r="53214" spans="3:3" x14ac:dyDescent="0.35">
      <c r="C53214" s="2"/>
    </row>
    <row r="53215" spans="3:3" x14ac:dyDescent="0.35">
      <c r="C53215" s="2"/>
    </row>
    <row r="53216" spans="3:3" x14ac:dyDescent="0.35">
      <c r="C53216" s="2"/>
    </row>
    <row r="53217" spans="3:3" x14ac:dyDescent="0.35">
      <c r="C53217" s="2"/>
    </row>
    <row r="53218" spans="3:3" x14ac:dyDescent="0.35">
      <c r="C53218" s="2"/>
    </row>
    <row r="53219" spans="3:3" x14ac:dyDescent="0.35">
      <c r="C53219" s="2"/>
    </row>
    <row r="53220" spans="3:3" x14ac:dyDescent="0.35">
      <c r="C53220" s="2"/>
    </row>
    <row r="53221" spans="3:3" x14ac:dyDescent="0.35">
      <c r="C53221" s="2"/>
    </row>
    <row r="53222" spans="3:3" x14ac:dyDescent="0.35">
      <c r="C53222" s="2"/>
    </row>
    <row r="53223" spans="3:3" x14ac:dyDescent="0.35">
      <c r="C53223" s="2"/>
    </row>
    <row r="53224" spans="3:3" x14ac:dyDescent="0.35">
      <c r="C53224" s="2"/>
    </row>
    <row r="53225" spans="3:3" x14ac:dyDescent="0.35">
      <c r="C53225" s="2"/>
    </row>
    <row r="53226" spans="3:3" x14ac:dyDescent="0.35">
      <c r="C53226" s="2"/>
    </row>
    <row r="53227" spans="3:3" x14ac:dyDescent="0.35">
      <c r="C53227" s="2"/>
    </row>
    <row r="53228" spans="3:3" x14ac:dyDescent="0.35">
      <c r="C53228" s="2"/>
    </row>
    <row r="53229" spans="3:3" x14ac:dyDescent="0.35">
      <c r="C53229" s="2"/>
    </row>
    <row r="53230" spans="3:3" x14ac:dyDescent="0.35">
      <c r="C53230" s="2"/>
    </row>
    <row r="53231" spans="3:3" x14ac:dyDescent="0.35">
      <c r="C53231" s="2"/>
    </row>
    <row r="53232" spans="3:3" x14ac:dyDescent="0.35">
      <c r="C53232" s="2"/>
    </row>
    <row r="53233" spans="3:3" x14ac:dyDescent="0.35">
      <c r="C53233" s="2"/>
    </row>
    <row r="53234" spans="3:3" x14ac:dyDescent="0.35">
      <c r="C53234" s="2"/>
    </row>
    <row r="53235" spans="3:3" x14ac:dyDescent="0.35">
      <c r="C53235" s="2"/>
    </row>
    <row r="53236" spans="3:3" x14ac:dyDescent="0.35">
      <c r="C53236" s="2"/>
    </row>
    <row r="53237" spans="3:3" x14ac:dyDescent="0.35">
      <c r="C53237" s="2"/>
    </row>
    <row r="53238" spans="3:3" x14ac:dyDescent="0.35">
      <c r="C53238" s="2"/>
    </row>
    <row r="53239" spans="3:3" x14ac:dyDescent="0.35">
      <c r="C53239" s="2"/>
    </row>
    <row r="53240" spans="3:3" x14ac:dyDescent="0.35">
      <c r="C53240" s="2"/>
    </row>
    <row r="53241" spans="3:3" x14ac:dyDescent="0.35">
      <c r="C53241" s="2"/>
    </row>
    <row r="53242" spans="3:3" x14ac:dyDescent="0.35">
      <c r="C53242" s="2"/>
    </row>
    <row r="53243" spans="3:3" x14ac:dyDescent="0.35">
      <c r="C53243" s="2"/>
    </row>
    <row r="53244" spans="3:3" x14ac:dyDescent="0.35">
      <c r="C53244" s="2"/>
    </row>
    <row r="53245" spans="3:3" x14ac:dyDescent="0.35">
      <c r="C53245" s="2"/>
    </row>
    <row r="53246" spans="3:3" x14ac:dyDescent="0.35">
      <c r="C53246" s="2"/>
    </row>
    <row r="53247" spans="3:3" x14ac:dyDescent="0.35">
      <c r="C53247" s="2"/>
    </row>
    <row r="53248" spans="3:3" x14ac:dyDescent="0.35">
      <c r="C53248" s="2"/>
    </row>
    <row r="53249" spans="3:3" x14ac:dyDescent="0.35">
      <c r="C53249" s="2"/>
    </row>
    <row r="53250" spans="3:3" x14ac:dyDescent="0.35">
      <c r="C53250" s="2"/>
    </row>
    <row r="53251" spans="3:3" x14ac:dyDescent="0.35">
      <c r="C53251" s="2"/>
    </row>
    <row r="53252" spans="3:3" x14ac:dyDescent="0.35">
      <c r="C53252" s="2"/>
    </row>
    <row r="53253" spans="3:3" x14ac:dyDescent="0.35">
      <c r="C53253" s="2"/>
    </row>
    <row r="53254" spans="3:3" x14ac:dyDescent="0.35">
      <c r="C53254" s="2"/>
    </row>
    <row r="53255" spans="3:3" x14ac:dyDescent="0.35">
      <c r="C53255" s="2"/>
    </row>
    <row r="53256" spans="3:3" x14ac:dyDescent="0.35">
      <c r="C53256" s="2"/>
    </row>
    <row r="53257" spans="3:3" x14ac:dyDescent="0.35">
      <c r="C53257" s="2"/>
    </row>
    <row r="53258" spans="3:3" x14ac:dyDescent="0.35">
      <c r="C53258" s="2"/>
    </row>
    <row r="53259" spans="3:3" x14ac:dyDescent="0.35">
      <c r="C53259" s="2"/>
    </row>
    <row r="53260" spans="3:3" x14ac:dyDescent="0.35">
      <c r="C53260" s="2"/>
    </row>
    <row r="53261" spans="3:3" x14ac:dyDescent="0.35">
      <c r="C53261" s="2"/>
    </row>
    <row r="53262" spans="3:3" x14ac:dyDescent="0.35">
      <c r="C53262" s="2"/>
    </row>
    <row r="53263" spans="3:3" x14ac:dyDescent="0.35">
      <c r="C53263" s="2"/>
    </row>
    <row r="53264" spans="3:3" x14ac:dyDescent="0.35">
      <c r="C53264" s="2"/>
    </row>
    <row r="53265" spans="3:3" x14ac:dyDescent="0.35">
      <c r="C53265" s="2"/>
    </row>
    <row r="53266" spans="3:3" x14ac:dyDescent="0.35">
      <c r="C53266" s="2"/>
    </row>
    <row r="53267" spans="3:3" x14ac:dyDescent="0.35">
      <c r="C53267" s="2"/>
    </row>
    <row r="53268" spans="3:3" x14ac:dyDescent="0.35">
      <c r="C53268" s="2"/>
    </row>
    <row r="53269" spans="3:3" x14ac:dyDescent="0.35">
      <c r="C53269" s="2"/>
    </row>
    <row r="53270" spans="3:3" x14ac:dyDescent="0.35">
      <c r="C53270" s="2"/>
    </row>
    <row r="53271" spans="3:3" x14ac:dyDescent="0.35">
      <c r="C53271" s="2"/>
    </row>
    <row r="53272" spans="3:3" x14ac:dyDescent="0.35">
      <c r="C53272" s="2"/>
    </row>
    <row r="53273" spans="3:3" x14ac:dyDescent="0.35">
      <c r="C53273" s="2"/>
    </row>
    <row r="53274" spans="3:3" x14ac:dyDescent="0.35">
      <c r="C53274" s="2"/>
    </row>
    <row r="53275" spans="3:3" x14ac:dyDescent="0.35">
      <c r="C53275" s="2"/>
    </row>
    <row r="53276" spans="3:3" x14ac:dyDescent="0.35">
      <c r="C53276" s="2"/>
    </row>
    <row r="53277" spans="3:3" x14ac:dyDescent="0.35">
      <c r="C53277" s="2"/>
    </row>
    <row r="53278" spans="3:3" x14ac:dyDescent="0.35">
      <c r="C53278" s="2"/>
    </row>
    <row r="53279" spans="3:3" x14ac:dyDescent="0.35">
      <c r="C53279" s="2"/>
    </row>
    <row r="53280" spans="3:3" x14ac:dyDescent="0.35">
      <c r="C53280" s="2"/>
    </row>
    <row r="53281" spans="3:3" x14ac:dyDescent="0.35">
      <c r="C53281" s="2"/>
    </row>
    <row r="53282" spans="3:3" x14ac:dyDescent="0.35">
      <c r="C53282" s="2"/>
    </row>
    <row r="53283" spans="3:3" x14ac:dyDescent="0.35">
      <c r="C53283" s="2"/>
    </row>
    <row r="53284" spans="3:3" x14ac:dyDescent="0.35">
      <c r="C53284" s="2"/>
    </row>
    <row r="53285" spans="3:3" x14ac:dyDescent="0.35">
      <c r="C53285" s="2"/>
    </row>
    <row r="53286" spans="3:3" x14ac:dyDescent="0.35">
      <c r="C53286" s="2"/>
    </row>
    <row r="53287" spans="3:3" x14ac:dyDescent="0.35">
      <c r="C53287" s="2"/>
    </row>
    <row r="53288" spans="3:3" x14ac:dyDescent="0.35">
      <c r="C53288" s="2"/>
    </row>
    <row r="53289" spans="3:3" x14ac:dyDescent="0.35">
      <c r="C53289" s="2"/>
    </row>
    <row r="53290" spans="3:3" x14ac:dyDescent="0.35">
      <c r="C53290" s="2"/>
    </row>
    <row r="53291" spans="3:3" x14ac:dyDescent="0.35">
      <c r="C53291" s="2"/>
    </row>
    <row r="53292" spans="3:3" x14ac:dyDescent="0.35">
      <c r="C53292" s="2"/>
    </row>
    <row r="53293" spans="3:3" x14ac:dyDescent="0.35">
      <c r="C53293" s="2"/>
    </row>
    <row r="53294" spans="3:3" x14ac:dyDescent="0.35">
      <c r="C53294" s="2"/>
    </row>
    <row r="53295" spans="3:3" x14ac:dyDescent="0.35">
      <c r="C53295" s="2"/>
    </row>
    <row r="53296" spans="3:3" x14ac:dyDescent="0.35">
      <c r="C53296" s="2"/>
    </row>
    <row r="53297" spans="3:3" x14ac:dyDescent="0.35">
      <c r="C53297" s="2"/>
    </row>
    <row r="53298" spans="3:3" x14ac:dyDescent="0.35">
      <c r="C53298" s="2"/>
    </row>
    <row r="53299" spans="3:3" x14ac:dyDescent="0.35">
      <c r="C53299" s="2"/>
    </row>
    <row r="53300" spans="3:3" x14ac:dyDescent="0.35">
      <c r="C53300" s="2"/>
    </row>
    <row r="53301" spans="3:3" x14ac:dyDescent="0.35">
      <c r="C53301" s="2"/>
    </row>
    <row r="53302" spans="3:3" x14ac:dyDescent="0.35">
      <c r="C53302" s="2"/>
    </row>
    <row r="53303" spans="3:3" x14ac:dyDescent="0.35">
      <c r="C53303" s="2"/>
    </row>
    <row r="53304" spans="3:3" x14ac:dyDescent="0.35">
      <c r="C53304" s="2"/>
    </row>
    <row r="53305" spans="3:3" x14ac:dyDescent="0.35">
      <c r="C53305" s="2"/>
    </row>
    <row r="53306" spans="3:3" x14ac:dyDescent="0.35">
      <c r="C53306" s="2"/>
    </row>
    <row r="53307" spans="3:3" x14ac:dyDescent="0.35">
      <c r="C53307" s="2"/>
    </row>
    <row r="53308" spans="3:3" x14ac:dyDescent="0.35">
      <c r="C53308" s="2"/>
    </row>
    <row r="53309" spans="3:3" x14ac:dyDescent="0.35">
      <c r="C53309" s="2"/>
    </row>
    <row r="53310" spans="3:3" x14ac:dyDescent="0.35">
      <c r="C53310" s="2"/>
    </row>
    <row r="53311" spans="3:3" x14ac:dyDescent="0.35">
      <c r="C53311" s="2"/>
    </row>
    <row r="53312" spans="3:3" x14ac:dyDescent="0.35">
      <c r="C53312" s="2"/>
    </row>
    <row r="53313" spans="3:3" x14ac:dyDescent="0.35">
      <c r="C53313" s="2"/>
    </row>
    <row r="53314" spans="3:3" x14ac:dyDescent="0.35">
      <c r="C53314" s="2"/>
    </row>
    <row r="53315" spans="3:3" x14ac:dyDescent="0.35">
      <c r="C53315" s="2"/>
    </row>
    <row r="53316" spans="3:3" x14ac:dyDescent="0.35">
      <c r="C53316" s="2"/>
    </row>
    <row r="53317" spans="3:3" x14ac:dyDescent="0.35">
      <c r="C53317" s="2"/>
    </row>
    <row r="53318" spans="3:3" x14ac:dyDescent="0.35">
      <c r="C53318" s="2"/>
    </row>
    <row r="53319" spans="3:3" x14ac:dyDescent="0.35">
      <c r="C53319" s="2"/>
    </row>
    <row r="53320" spans="3:3" x14ac:dyDescent="0.35">
      <c r="C53320" s="2"/>
    </row>
    <row r="53321" spans="3:3" x14ac:dyDescent="0.35">
      <c r="C53321" s="2"/>
    </row>
    <row r="53322" spans="3:3" x14ac:dyDescent="0.35">
      <c r="C53322" s="2"/>
    </row>
    <row r="53323" spans="3:3" x14ac:dyDescent="0.35">
      <c r="C53323" s="2"/>
    </row>
    <row r="53324" spans="3:3" x14ac:dyDescent="0.35">
      <c r="C53324" s="2"/>
    </row>
    <row r="53325" spans="3:3" x14ac:dyDescent="0.35">
      <c r="C53325" s="2"/>
    </row>
    <row r="53326" spans="3:3" x14ac:dyDescent="0.35">
      <c r="C53326" s="2"/>
    </row>
    <row r="53327" spans="3:3" x14ac:dyDescent="0.35">
      <c r="C53327" s="2"/>
    </row>
    <row r="53328" spans="3:3" x14ac:dyDescent="0.35">
      <c r="C53328" s="2"/>
    </row>
    <row r="53329" spans="3:3" x14ac:dyDescent="0.35">
      <c r="C53329" s="2"/>
    </row>
    <row r="53330" spans="3:3" x14ac:dyDescent="0.35">
      <c r="C53330" s="2"/>
    </row>
    <row r="53331" spans="3:3" x14ac:dyDescent="0.35">
      <c r="C53331" s="2"/>
    </row>
    <row r="53332" spans="3:3" x14ac:dyDescent="0.35">
      <c r="C53332" s="2"/>
    </row>
    <row r="53333" spans="3:3" x14ac:dyDescent="0.35">
      <c r="C53333" s="2"/>
    </row>
    <row r="53334" spans="3:3" x14ac:dyDescent="0.35">
      <c r="C53334" s="2"/>
    </row>
    <row r="53335" spans="3:3" x14ac:dyDescent="0.35">
      <c r="C53335" s="2"/>
    </row>
    <row r="53336" spans="3:3" x14ac:dyDescent="0.35">
      <c r="C53336" s="2"/>
    </row>
    <row r="53337" spans="3:3" x14ac:dyDescent="0.35">
      <c r="C53337" s="2"/>
    </row>
    <row r="53338" spans="3:3" x14ac:dyDescent="0.35">
      <c r="C53338" s="2"/>
    </row>
    <row r="53339" spans="3:3" x14ac:dyDescent="0.35">
      <c r="C53339" s="2"/>
    </row>
    <row r="53340" spans="3:3" x14ac:dyDescent="0.35">
      <c r="C53340" s="2"/>
    </row>
    <row r="53341" spans="3:3" x14ac:dyDescent="0.35">
      <c r="C53341" s="2"/>
    </row>
    <row r="53342" spans="3:3" x14ac:dyDescent="0.35">
      <c r="C53342" s="2"/>
    </row>
    <row r="53343" spans="3:3" x14ac:dyDescent="0.35">
      <c r="C53343" s="2"/>
    </row>
    <row r="53344" spans="3:3" x14ac:dyDescent="0.35">
      <c r="C53344" s="2"/>
    </row>
    <row r="53345" spans="3:3" x14ac:dyDescent="0.35">
      <c r="C53345" s="2"/>
    </row>
    <row r="53346" spans="3:3" x14ac:dyDescent="0.35">
      <c r="C53346" s="2"/>
    </row>
    <row r="53347" spans="3:3" x14ac:dyDescent="0.35">
      <c r="C53347" s="2"/>
    </row>
    <row r="53348" spans="3:3" x14ac:dyDescent="0.35">
      <c r="C53348" s="2"/>
    </row>
    <row r="53349" spans="3:3" x14ac:dyDescent="0.35">
      <c r="C53349" s="2"/>
    </row>
    <row r="53350" spans="3:3" x14ac:dyDescent="0.35">
      <c r="C53350" s="2"/>
    </row>
    <row r="53351" spans="3:3" x14ac:dyDescent="0.35">
      <c r="C53351" s="2"/>
    </row>
    <row r="53352" spans="3:3" x14ac:dyDescent="0.35">
      <c r="C53352" s="2"/>
    </row>
    <row r="53353" spans="3:3" x14ac:dyDescent="0.35">
      <c r="C53353" s="2"/>
    </row>
    <row r="53354" spans="3:3" x14ac:dyDescent="0.35">
      <c r="C53354" s="2"/>
    </row>
    <row r="53355" spans="3:3" x14ac:dyDescent="0.35">
      <c r="C53355" s="2"/>
    </row>
    <row r="53356" spans="3:3" x14ac:dyDescent="0.35">
      <c r="C53356" s="2"/>
    </row>
    <row r="53357" spans="3:3" x14ac:dyDescent="0.35">
      <c r="C53357" s="2"/>
    </row>
    <row r="53358" spans="3:3" x14ac:dyDescent="0.35">
      <c r="C53358" s="2"/>
    </row>
    <row r="53359" spans="3:3" x14ac:dyDescent="0.35">
      <c r="C53359" s="2"/>
    </row>
    <row r="53360" spans="3:3" x14ac:dyDescent="0.35">
      <c r="C53360" s="2"/>
    </row>
    <row r="53361" spans="3:3" x14ac:dyDescent="0.35">
      <c r="C53361" s="2"/>
    </row>
    <row r="53362" spans="3:3" x14ac:dyDescent="0.35">
      <c r="C53362" s="2"/>
    </row>
    <row r="53363" spans="3:3" x14ac:dyDescent="0.35">
      <c r="C53363" s="2"/>
    </row>
    <row r="53364" spans="3:3" x14ac:dyDescent="0.35">
      <c r="C53364" s="2"/>
    </row>
    <row r="53365" spans="3:3" x14ac:dyDescent="0.35">
      <c r="C53365" s="2"/>
    </row>
    <row r="53366" spans="3:3" x14ac:dyDescent="0.35">
      <c r="C53366" s="2"/>
    </row>
    <row r="53367" spans="3:3" x14ac:dyDescent="0.35">
      <c r="C53367" s="2"/>
    </row>
    <row r="53368" spans="3:3" x14ac:dyDescent="0.35">
      <c r="C53368" s="2"/>
    </row>
    <row r="53369" spans="3:3" x14ac:dyDescent="0.35">
      <c r="C53369" s="2"/>
    </row>
    <row r="53370" spans="3:3" x14ac:dyDescent="0.35">
      <c r="C53370" s="2"/>
    </row>
    <row r="53371" spans="3:3" x14ac:dyDescent="0.35">
      <c r="C53371" s="2"/>
    </row>
    <row r="53372" spans="3:3" x14ac:dyDescent="0.35">
      <c r="C53372" s="2"/>
    </row>
    <row r="53373" spans="3:3" x14ac:dyDescent="0.35">
      <c r="C53373" s="2"/>
    </row>
    <row r="53374" spans="3:3" x14ac:dyDescent="0.35">
      <c r="C53374" s="2"/>
    </row>
    <row r="53375" spans="3:3" x14ac:dyDescent="0.35">
      <c r="C53375" s="2"/>
    </row>
    <row r="53376" spans="3:3" x14ac:dyDescent="0.35">
      <c r="C53376" s="2"/>
    </row>
    <row r="53377" spans="3:3" x14ac:dyDescent="0.35">
      <c r="C53377" s="2"/>
    </row>
    <row r="53378" spans="3:3" x14ac:dyDescent="0.35">
      <c r="C53378" s="2"/>
    </row>
    <row r="53379" spans="3:3" x14ac:dyDescent="0.35">
      <c r="C53379" s="2"/>
    </row>
    <row r="53380" spans="3:3" x14ac:dyDescent="0.35">
      <c r="C53380" s="2"/>
    </row>
    <row r="53381" spans="3:3" x14ac:dyDescent="0.35">
      <c r="C53381" s="2"/>
    </row>
    <row r="53382" spans="3:3" x14ac:dyDescent="0.35">
      <c r="C53382" s="2"/>
    </row>
    <row r="53383" spans="3:3" x14ac:dyDescent="0.35">
      <c r="C53383" s="2"/>
    </row>
    <row r="53384" spans="3:3" x14ac:dyDescent="0.35">
      <c r="C53384" s="2"/>
    </row>
    <row r="53385" spans="3:3" x14ac:dyDescent="0.35">
      <c r="C53385" s="2"/>
    </row>
    <row r="53386" spans="3:3" x14ac:dyDescent="0.35">
      <c r="C53386" s="2"/>
    </row>
    <row r="53387" spans="3:3" x14ac:dyDescent="0.35">
      <c r="C53387" s="2"/>
    </row>
    <row r="53388" spans="3:3" x14ac:dyDescent="0.35">
      <c r="C53388" s="2"/>
    </row>
    <row r="53389" spans="3:3" x14ac:dyDescent="0.35">
      <c r="C53389" s="2"/>
    </row>
    <row r="53390" spans="3:3" x14ac:dyDescent="0.35">
      <c r="C53390" s="2"/>
    </row>
    <row r="53391" spans="3:3" x14ac:dyDescent="0.35">
      <c r="C53391" s="2"/>
    </row>
    <row r="53392" spans="3:3" x14ac:dyDescent="0.35">
      <c r="C53392" s="2"/>
    </row>
    <row r="53393" spans="3:3" x14ac:dyDescent="0.35">
      <c r="C53393" s="2"/>
    </row>
    <row r="53394" spans="3:3" x14ac:dyDescent="0.35">
      <c r="C53394" s="2"/>
    </row>
    <row r="53395" spans="3:3" x14ac:dyDescent="0.35">
      <c r="C53395" s="2"/>
    </row>
    <row r="53396" spans="3:3" x14ac:dyDescent="0.35">
      <c r="C53396" s="2"/>
    </row>
    <row r="53397" spans="3:3" x14ac:dyDescent="0.35">
      <c r="C53397" s="2"/>
    </row>
    <row r="53398" spans="3:3" x14ac:dyDescent="0.35">
      <c r="C53398" s="2"/>
    </row>
    <row r="53399" spans="3:3" x14ac:dyDescent="0.35">
      <c r="C53399" s="2"/>
    </row>
    <row r="53400" spans="3:3" x14ac:dyDescent="0.35">
      <c r="C53400" s="2"/>
    </row>
    <row r="53401" spans="3:3" x14ac:dyDescent="0.35">
      <c r="C53401" s="2"/>
    </row>
    <row r="53402" spans="3:3" x14ac:dyDescent="0.35">
      <c r="C53402" s="2"/>
    </row>
    <row r="53403" spans="3:3" x14ac:dyDescent="0.35">
      <c r="C53403" s="2"/>
    </row>
    <row r="53404" spans="3:3" x14ac:dyDescent="0.35">
      <c r="C53404" s="2"/>
    </row>
    <row r="53405" spans="3:3" x14ac:dyDescent="0.35">
      <c r="C53405" s="2"/>
    </row>
    <row r="53406" spans="3:3" x14ac:dyDescent="0.35">
      <c r="C53406" s="2"/>
    </row>
    <row r="53407" spans="3:3" x14ac:dyDescent="0.35">
      <c r="C53407" s="2"/>
    </row>
    <row r="53408" spans="3:3" x14ac:dyDescent="0.35">
      <c r="C53408" s="2"/>
    </row>
    <row r="53409" spans="3:3" x14ac:dyDescent="0.35">
      <c r="C53409" s="2"/>
    </row>
    <row r="53410" spans="3:3" x14ac:dyDescent="0.35">
      <c r="C53410" s="2"/>
    </row>
    <row r="53411" spans="3:3" x14ac:dyDescent="0.35">
      <c r="C53411" s="2"/>
    </row>
    <row r="53412" spans="3:3" x14ac:dyDescent="0.35">
      <c r="C53412" s="2"/>
    </row>
    <row r="53413" spans="3:3" x14ac:dyDescent="0.35">
      <c r="C53413" s="2"/>
    </row>
    <row r="53414" spans="3:3" x14ac:dyDescent="0.35">
      <c r="C53414" s="2"/>
    </row>
    <row r="53415" spans="3:3" x14ac:dyDescent="0.35">
      <c r="C53415" s="2"/>
    </row>
    <row r="53416" spans="3:3" x14ac:dyDescent="0.35">
      <c r="C53416" s="2"/>
    </row>
    <row r="53417" spans="3:3" x14ac:dyDescent="0.35">
      <c r="C53417" s="2"/>
    </row>
    <row r="53418" spans="3:3" x14ac:dyDescent="0.35">
      <c r="C53418" s="2"/>
    </row>
    <row r="53419" spans="3:3" x14ac:dyDescent="0.35">
      <c r="C53419" s="2"/>
    </row>
    <row r="53420" spans="3:3" x14ac:dyDescent="0.35">
      <c r="C53420" s="2"/>
    </row>
    <row r="53421" spans="3:3" x14ac:dyDescent="0.35">
      <c r="C53421" s="2"/>
    </row>
    <row r="53422" spans="3:3" x14ac:dyDescent="0.35">
      <c r="C53422" s="2"/>
    </row>
    <row r="53423" spans="3:3" x14ac:dyDescent="0.35">
      <c r="C53423" s="2"/>
    </row>
    <row r="53424" spans="3:3" x14ac:dyDescent="0.35">
      <c r="C53424" s="2"/>
    </row>
    <row r="53425" spans="3:3" x14ac:dyDescent="0.35">
      <c r="C53425" s="2"/>
    </row>
    <row r="53426" spans="3:3" x14ac:dyDescent="0.35">
      <c r="C53426" s="2"/>
    </row>
    <row r="53427" spans="3:3" x14ac:dyDescent="0.35">
      <c r="C53427" s="2"/>
    </row>
    <row r="53428" spans="3:3" x14ac:dyDescent="0.35">
      <c r="C53428" s="2"/>
    </row>
    <row r="53429" spans="3:3" x14ac:dyDescent="0.35">
      <c r="C53429" s="2"/>
    </row>
    <row r="53430" spans="3:3" x14ac:dyDescent="0.35">
      <c r="C53430" s="2"/>
    </row>
    <row r="53431" spans="3:3" x14ac:dyDescent="0.35">
      <c r="C53431" s="2"/>
    </row>
    <row r="53432" spans="3:3" x14ac:dyDescent="0.35">
      <c r="C53432" s="2"/>
    </row>
    <row r="53433" spans="3:3" x14ac:dyDescent="0.35">
      <c r="C53433" s="2"/>
    </row>
    <row r="53434" spans="3:3" x14ac:dyDescent="0.35">
      <c r="C53434" s="2"/>
    </row>
    <row r="53435" spans="3:3" x14ac:dyDescent="0.35">
      <c r="C53435" s="2"/>
    </row>
    <row r="53436" spans="3:3" x14ac:dyDescent="0.35">
      <c r="C53436" s="2"/>
    </row>
    <row r="53437" spans="3:3" x14ac:dyDescent="0.35">
      <c r="C53437" s="2"/>
    </row>
    <row r="53438" spans="3:3" x14ac:dyDescent="0.35">
      <c r="C53438" s="2"/>
    </row>
    <row r="53439" spans="3:3" x14ac:dyDescent="0.35">
      <c r="C53439" s="2"/>
    </row>
    <row r="53440" spans="3:3" x14ac:dyDescent="0.35">
      <c r="C53440" s="2"/>
    </row>
    <row r="53441" spans="3:3" x14ac:dyDescent="0.35">
      <c r="C53441" s="2"/>
    </row>
    <row r="53442" spans="3:3" x14ac:dyDescent="0.35">
      <c r="C53442" s="2"/>
    </row>
    <row r="53443" spans="3:3" x14ac:dyDescent="0.35">
      <c r="C53443" s="2"/>
    </row>
    <row r="53444" spans="3:3" x14ac:dyDescent="0.35">
      <c r="C53444" s="2"/>
    </row>
    <row r="53445" spans="3:3" x14ac:dyDescent="0.35">
      <c r="C53445" s="2"/>
    </row>
    <row r="53446" spans="3:3" x14ac:dyDescent="0.35">
      <c r="C53446" s="2"/>
    </row>
    <row r="53447" spans="3:3" x14ac:dyDescent="0.35">
      <c r="C53447" s="2"/>
    </row>
    <row r="53448" spans="3:3" x14ac:dyDescent="0.35">
      <c r="C53448" s="2"/>
    </row>
    <row r="53449" spans="3:3" x14ac:dyDescent="0.35">
      <c r="C53449" s="2"/>
    </row>
    <row r="53450" spans="3:3" x14ac:dyDescent="0.35">
      <c r="C53450" s="2"/>
    </row>
    <row r="53451" spans="3:3" x14ac:dyDescent="0.35">
      <c r="C53451" s="2"/>
    </row>
    <row r="53452" spans="3:3" x14ac:dyDescent="0.35">
      <c r="C53452" s="2"/>
    </row>
    <row r="53453" spans="3:3" x14ac:dyDescent="0.35">
      <c r="C53453" s="2"/>
    </row>
    <row r="53454" spans="3:3" x14ac:dyDescent="0.35">
      <c r="C53454" s="2"/>
    </row>
    <row r="53455" spans="3:3" x14ac:dyDescent="0.35">
      <c r="C53455" s="2"/>
    </row>
    <row r="53456" spans="3:3" x14ac:dyDescent="0.35">
      <c r="C53456" s="2"/>
    </row>
    <row r="53457" spans="3:3" x14ac:dyDescent="0.35">
      <c r="C53457" s="2"/>
    </row>
    <row r="53458" spans="3:3" x14ac:dyDescent="0.35">
      <c r="C53458" s="2"/>
    </row>
    <row r="53459" spans="3:3" x14ac:dyDescent="0.35">
      <c r="C53459" s="2"/>
    </row>
    <row r="53460" spans="3:3" x14ac:dyDescent="0.35">
      <c r="C53460" s="2"/>
    </row>
    <row r="53461" spans="3:3" x14ac:dyDescent="0.35">
      <c r="C53461" s="2"/>
    </row>
    <row r="53462" spans="3:3" x14ac:dyDescent="0.35">
      <c r="C53462" s="2"/>
    </row>
    <row r="53463" spans="3:3" x14ac:dyDescent="0.35">
      <c r="C53463" s="2"/>
    </row>
    <row r="53464" spans="3:3" x14ac:dyDescent="0.35">
      <c r="C53464" s="2"/>
    </row>
    <row r="53465" spans="3:3" x14ac:dyDescent="0.35">
      <c r="C53465" s="2"/>
    </row>
    <row r="53466" spans="3:3" x14ac:dyDescent="0.35">
      <c r="C53466" s="2"/>
    </row>
    <row r="53467" spans="3:3" x14ac:dyDescent="0.35">
      <c r="C53467" s="2"/>
    </row>
    <row r="53468" spans="3:3" x14ac:dyDescent="0.35">
      <c r="C53468" s="2"/>
    </row>
    <row r="53469" spans="3:3" x14ac:dyDescent="0.35">
      <c r="C53469" s="2"/>
    </row>
    <row r="53470" spans="3:3" x14ac:dyDescent="0.35">
      <c r="C53470" s="2"/>
    </row>
    <row r="53471" spans="3:3" x14ac:dyDescent="0.35">
      <c r="C53471" s="2"/>
    </row>
    <row r="53472" spans="3:3" x14ac:dyDescent="0.35">
      <c r="C53472" s="2"/>
    </row>
    <row r="53473" spans="3:3" x14ac:dyDescent="0.35">
      <c r="C53473" s="2"/>
    </row>
    <row r="53474" spans="3:3" x14ac:dyDescent="0.35">
      <c r="C53474" s="2"/>
    </row>
    <row r="53475" spans="3:3" x14ac:dyDescent="0.35">
      <c r="C53475" s="2"/>
    </row>
    <row r="53476" spans="3:3" x14ac:dyDescent="0.35">
      <c r="C53476" s="2"/>
    </row>
    <row r="53477" spans="3:3" x14ac:dyDescent="0.35">
      <c r="C53477" s="2"/>
    </row>
    <row r="53478" spans="3:3" x14ac:dyDescent="0.35">
      <c r="C53478" s="2"/>
    </row>
    <row r="53479" spans="3:3" x14ac:dyDescent="0.35">
      <c r="C53479" s="2"/>
    </row>
    <row r="53480" spans="3:3" x14ac:dyDescent="0.35">
      <c r="C53480" s="2"/>
    </row>
    <row r="53481" spans="3:3" x14ac:dyDescent="0.35">
      <c r="C53481" s="2"/>
    </row>
    <row r="53482" spans="3:3" x14ac:dyDescent="0.35">
      <c r="C53482" s="2"/>
    </row>
    <row r="53483" spans="3:3" x14ac:dyDescent="0.35">
      <c r="C53483" s="2"/>
    </row>
    <row r="53484" spans="3:3" x14ac:dyDescent="0.35">
      <c r="C53484" s="2"/>
    </row>
    <row r="53485" spans="3:3" x14ac:dyDescent="0.35">
      <c r="C53485" s="2"/>
    </row>
    <row r="53486" spans="3:3" x14ac:dyDescent="0.35">
      <c r="C53486" s="2"/>
    </row>
    <row r="53487" spans="3:3" x14ac:dyDescent="0.35">
      <c r="C53487" s="2"/>
    </row>
    <row r="53488" spans="3:3" x14ac:dyDescent="0.35">
      <c r="C53488" s="2"/>
    </row>
    <row r="53489" spans="3:3" x14ac:dyDescent="0.35">
      <c r="C53489" s="2"/>
    </row>
    <row r="53490" spans="3:3" x14ac:dyDescent="0.35">
      <c r="C53490" s="2"/>
    </row>
    <row r="53491" spans="3:3" x14ac:dyDescent="0.35">
      <c r="C53491" s="2"/>
    </row>
    <row r="53492" spans="3:3" x14ac:dyDescent="0.35">
      <c r="C53492" s="2"/>
    </row>
    <row r="53493" spans="3:3" x14ac:dyDescent="0.35">
      <c r="C53493" s="2"/>
    </row>
    <row r="53494" spans="3:3" x14ac:dyDescent="0.35">
      <c r="C53494" s="2"/>
    </row>
    <row r="53495" spans="3:3" x14ac:dyDescent="0.35">
      <c r="C53495" s="2"/>
    </row>
    <row r="53496" spans="3:3" x14ac:dyDescent="0.35">
      <c r="C53496" s="2"/>
    </row>
    <row r="53497" spans="3:3" x14ac:dyDescent="0.35">
      <c r="C53497" s="2"/>
    </row>
    <row r="53498" spans="3:3" x14ac:dyDescent="0.35">
      <c r="C53498" s="2"/>
    </row>
    <row r="53499" spans="3:3" x14ac:dyDescent="0.35">
      <c r="C53499" s="2"/>
    </row>
    <row r="53500" spans="3:3" x14ac:dyDescent="0.35">
      <c r="C53500" s="2"/>
    </row>
    <row r="53501" spans="3:3" x14ac:dyDescent="0.35">
      <c r="C53501" s="2"/>
    </row>
    <row r="53502" spans="3:3" x14ac:dyDescent="0.35">
      <c r="C53502" s="2"/>
    </row>
    <row r="53503" spans="3:3" x14ac:dyDescent="0.35">
      <c r="C53503" s="2"/>
    </row>
    <row r="53504" spans="3:3" x14ac:dyDescent="0.35">
      <c r="C53504" s="2"/>
    </row>
    <row r="53505" spans="3:3" x14ac:dyDescent="0.35">
      <c r="C53505" s="2"/>
    </row>
    <row r="53506" spans="3:3" x14ac:dyDescent="0.35">
      <c r="C53506" s="2"/>
    </row>
    <row r="53507" spans="3:3" x14ac:dyDescent="0.35">
      <c r="C53507" s="2"/>
    </row>
    <row r="53508" spans="3:3" x14ac:dyDescent="0.35">
      <c r="C53508" s="2"/>
    </row>
    <row r="53509" spans="3:3" x14ac:dyDescent="0.35">
      <c r="C53509" s="2"/>
    </row>
    <row r="53510" spans="3:3" x14ac:dyDescent="0.35">
      <c r="C53510" s="2"/>
    </row>
    <row r="53511" spans="3:3" x14ac:dyDescent="0.35">
      <c r="C53511" s="2"/>
    </row>
    <row r="53512" spans="3:3" x14ac:dyDescent="0.35">
      <c r="C53512" s="2"/>
    </row>
    <row r="53513" spans="3:3" x14ac:dyDescent="0.35">
      <c r="C53513" s="2"/>
    </row>
    <row r="53514" spans="3:3" x14ac:dyDescent="0.35">
      <c r="C53514" s="2"/>
    </row>
    <row r="53515" spans="3:3" x14ac:dyDescent="0.35">
      <c r="C53515" s="2"/>
    </row>
    <row r="53516" spans="3:3" x14ac:dyDescent="0.35">
      <c r="C53516" s="2"/>
    </row>
    <row r="53517" spans="3:3" x14ac:dyDescent="0.35">
      <c r="C53517" s="2"/>
    </row>
    <row r="53518" spans="3:3" x14ac:dyDescent="0.35">
      <c r="C53518" s="2"/>
    </row>
    <row r="53519" spans="3:3" x14ac:dyDescent="0.35">
      <c r="C53519" s="2"/>
    </row>
    <row r="53520" spans="3:3" x14ac:dyDescent="0.35">
      <c r="C53520" s="2"/>
    </row>
    <row r="53521" spans="3:3" x14ac:dyDescent="0.35">
      <c r="C53521" s="2"/>
    </row>
    <row r="53522" spans="3:3" x14ac:dyDescent="0.35">
      <c r="C53522" s="2"/>
    </row>
    <row r="53523" spans="3:3" x14ac:dyDescent="0.35">
      <c r="C53523" s="2"/>
    </row>
    <row r="53524" spans="3:3" x14ac:dyDescent="0.35">
      <c r="C53524" s="2"/>
    </row>
    <row r="53525" spans="3:3" x14ac:dyDescent="0.35">
      <c r="C53525" s="2"/>
    </row>
    <row r="53526" spans="3:3" x14ac:dyDescent="0.35">
      <c r="C53526" s="2"/>
    </row>
    <row r="53527" spans="3:3" x14ac:dyDescent="0.35">
      <c r="C53527" s="2"/>
    </row>
    <row r="53528" spans="3:3" x14ac:dyDescent="0.35">
      <c r="C53528" s="2"/>
    </row>
    <row r="53529" spans="3:3" x14ac:dyDescent="0.35">
      <c r="C53529" s="2"/>
    </row>
    <row r="53530" spans="3:3" x14ac:dyDescent="0.35">
      <c r="C53530" s="2"/>
    </row>
    <row r="53531" spans="3:3" x14ac:dyDescent="0.35">
      <c r="C53531" s="2"/>
    </row>
    <row r="53532" spans="3:3" x14ac:dyDescent="0.35">
      <c r="C53532" s="2"/>
    </row>
    <row r="53533" spans="3:3" x14ac:dyDescent="0.35">
      <c r="C53533" s="2"/>
    </row>
    <row r="53534" spans="3:3" x14ac:dyDescent="0.35">
      <c r="C53534" s="2"/>
    </row>
    <row r="53535" spans="3:3" x14ac:dyDescent="0.35">
      <c r="C53535" s="2"/>
    </row>
    <row r="53536" spans="3:3" x14ac:dyDescent="0.35">
      <c r="C53536" s="2"/>
    </row>
    <row r="53537" spans="3:3" x14ac:dyDescent="0.35">
      <c r="C53537" s="2"/>
    </row>
    <row r="53538" spans="3:3" x14ac:dyDescent="0.35">
      <c r="C53538" s="2"/>
    </row>
    <row r="53539" spans="3:3" x14ac:dyDescent="0.35">
      <c r="C53539" s="2"/>
    </row>
    <row r="53540" spans="3:3" x14ac:dyDescent="0.35">
      <c r="C53540" s="2"/>
    </row>
    <row r="53541" spans="3:3" x14ac:dyDescent="0.35">
      <c r="C53541" s="2"/>
    </row>
    <row r="53542" spans="3:3" x14ac:dyDescent="0.35">
      <c r="C53542" s="2"/>
    </row>
    <row r="53543" spans="3:3" x14ac:dyDescent="0.35">
      <c r="C53543" s="2"/>
    </row>
    <row r="53544" spans="3:3" x14ac:dyDescent="0.35">
      <c r="C53544" s="2"/>
    </row>
    <row r="53545" spans="3:3" x14ac:dyDescent="0.35">
      <c r="C53545" s="2"/>
    </row>
    <row r="53546" spans="3:3" x14ac:dyDescent="0.35">
      <c r="C53546" s="2"/>
    </row>
    <row r="53547" spans="3:3" x14ac:dyDescent="0.35">
      <c r="C53547" s="2"/>
    </row>
    <row r="53548" spans="3:3" x14ac:dyDescent="0.35">
      <c r="C53548" s="2"/>
    </row>
    <row r="53549" spans="3:3" x14ac:dyDescent="0.35">
      <c r="C53549" s="2"/>
    </row>
    <row r="53550" spans="3:3" x14ac:dyDescent="0.35">
      <c r="C53550" s="2"/>
    </row>
    <row r="53551" spans="3:3" x14ac:dyDescent="0.35">
      <c r="C53551" s="2"/>
    </row>
    <row r="53552" spans="3:3" x14ac:dyDescent="0.35">
      <c r="C53552" s="2"/>
    </row>
    <row r="53553" spans="3:3" x14ac:dyDescent="0.35">
      <c r="C53553" s="2"/>
    </row>
    <row r="53554" spans="3:3" x14ac:dyDescent="0.35">
      <c r="C53554" s="2"/>
    </row>
    <row r="53555" spans="3:3" x14ac:dyDescent="0.35">
      <c r="C53555" s="2"/>
    </row>
    <row r="53556" spans="3:3" x14ac:dyDescent="0.35">
      <c r="C53556" s="2"/>
    </row>
    <row r="53557" spans="3:3" x14ac:dyDescent="0.35">
      <c r="C53557" s="2"/>
    </row>
    <row r="53558" spans="3:3" x14ac:dyDescent="0.35">
      <c r="C53558" s="2"/>
    </row>
    <row r="53559" spans="3:3" x14ac:dyDescent="0.35">
      <c r="C53559" s="2"/>
    </row>
    <row r="53560" spans="3:3" x14ac:dyDescent="0.35">
      <c r="C53560" s="2"/>
    </row>
    <row r="53561" spans="3:3" x14ac:dyDescent="0.35">
      <c r="C53561" s="2"/>
    </row>
    <row r="53562" spans="3:3" x14ac:dyDescent="0.35">
      <c r="C53562" s="2"/>
    </row>
    <row r="53563" spans="3:3" x14ac:dyDescent="0.35">
      <c r="C53563" s="2"/>
    </row>
    <row r="53564" spans="3:3" x14ac:dyDescent="0.35">
      <c r="C53564" s="2"/>
    </row>
    <row r="53565" spans="3:3" x14ac:dyDescent="0.35">
      <c r="C53565" s="2"/>
    </row>
    <row r="53566" spans="3:3" x14ac:dyDescent="0.35">
      <c r="C53566" s="2"/>
    </row>
    <row r="53567" spans="3:3" x14ac:dyDescent="0.35">
      <c r="C53567" s="2"/>
    </row>
    <row r="53568" spans="3:3" x14ac:dyDescent="0.35">
      <c r="C53568" s="2"/>
    </row>
    <row r="53569" spans="3:3" x14ac:dyDescent="0.35">
      <c r="C53569" s="2"/>
    </row>
    <row r="53570" spans="3:3" x14ac:dyDescent="0.35">
      <c r="C53570" s="2"/>
    </row>
    <row r="53571" spans="3:3" x14ac:dyDescent="0.35">
      <c r="C53571" s="2"/>
    </row>
    <row r="53572" spans="3:3" x14ac:dyDescent="0.35">
      <c r="C53572" s="2"/>
    </row>
    <row r="53573" spans="3:3" x14ac:dyDescent="0.35">
      <c r="C53573" s="2"/>
    </row>
    <row r="53574" spans="3:3" x14ac:dyDescent="0.35">
      <c r="C53574" s="2"/>
    </row>
    <row r="53575" spans="3:3" x14ac:dyDescent="0.35">
      <c r="C53575" s="2"/>
    </row>
    <row r="53576" spans="3:3" x14ac:dyDescent="0.35">
      <c r="C53576" s="2"/>
    </row>
    <row r="53577" spans="3:3" x14ac:dyDescent="0.35">
      <c r="C53577" s="2"/>
    </row>
    <row r="53578" spans="3:3" x14ac:dyDescent="0.35">
      <c r="C53578" s="2"/>
    </row>
    <row r="53579" spans="3:3" x14ac:dyDescent="0.35">
      <c r="C53579" s="2"/>
    </row>
    <row r="53580" spans="3:3" x14ac:dyDescent="0.35">
      <c r="C53580" s="2"/>
    </row>
    <row r="53581" spans="3:3" x14ac:dyDescent="0.35">
      <c r="C53581" s="2"/>
    </row>
    <row r="53582" spans="3:3" x14ac:dyDescent="0.35">
      <c r="C53582" s="2"/>
    </row>
    <row r="53583" spans="3:3" x14ac:dyDescent="0.35">
      <c r="C53583" s="2"/>
    </row>
    <row r="53584" spans="3:3" x14ac:dyDescent="0.35">
      <c r="C53584" s="2"/>
    </row>
    <row r="53585" spans="3:3" x14ac:dyDescent="0.35">
      <c r="C53585" s="2"/>
    </row>
    <row r="53586" spans="3:3" x14ac:dyDescent="0.35">
      <c r="C53586" s="2"/>
    </row>
    <row r="53587" spans="3:3" x14ac:dyDescent="0.35">
      <c r="C53587" s="2"/>
    </row>
    <row r="53588" spans="3:3" x14ac:dyDescent="0.35">
      <c r="C53588" s="2"/>
    </row>
    <row r="53589" spans="3:3" x14ac:dyDescent="0.35">
      <c r="C53589" s="2"/>
    </row>
    <row r="53590" spans="3:3" x14ac:dyDescent="0.35">
      <c r="C53590" s="2"/>
    </row>
    <row r="53591" spans="3:3" x14ac:dyDescent="0.35">
      <c r="C53591" s="2"/>
    </row>
    <row r="53592" spans="3:3" x14ac:dyDescent="0.35">
      <c r="C53592" s="2"/>
    </row>
    <row r="53593" spans="3:3" x14ac:dyDescent="0.35">
      <c r="C53593" s="2"/>
    </row>
    <row r="53594" spans="3:3" x14ac:dyDescent="0.35">
      <c r="C53594" s="2"/>
    </row>
    <row r="53595" spans="3:3" x14ac:dyDescent="0.35">
      <c r="C53595" s="2"/>
    </row>
    <row r="53596" spans="3:3" x14ac:dyDescent="0.35">
      <c r="C53596" s="2"/>
    </row>
    <row r="53597" spans="3:3" x14ac:dyDescent="0.35">
      <c r="C53597" s="2"/>
    </row>
    <row r="53598" spans="3:3" x14ac:dyDescent="0.35">
      <c r="C53598" s="2"/>
    </row>
    <row r="53599" spans="3:3" x14ac:dyDescent="0.35">
      <c r="C53599" s="2"/>
    </row>
    <row r="53600" spans="3:3" x14ac:dyDescent="0.35">
      <c r="C53600" s="2"/>
    </row>
    <row r="53601" spans="3:3" x14ac:dyDescent="0.35">
      <c r="C53601" s="2"/>
    </row>
    <row r="53602" spans="3:3" x14ac:dyDescent="0.35">
      <c r="C53602" s="2"/>
    </row>
    <row r="53603" spans="3:3" x14ac:dyDescent="0.35">
      <c r="C53603" s="2"/>
    </row>
    <row r="53604" spans="3:3" x14ac:dyDescent="0.35">
      <c r="C53604" s="2"/>
    </row>
    <row r="53605" spans="3:3" x14ac:dyDescent="0.35">
      <c r="C53605" s="2"/>
    </row>
    <row r="53606" spans="3:3" x14ac:dyDescent="0.35">
      <c r="C53606" s="2"/>
    </row>
    <row r="53607" spans="3:3" x14ac:dyDescent="0.35">
      <c r="C53607" s="2"/>
    </row>
    <row r="53608" spans="3:3" x14ac:dyDescent="0.35">
      <c r="C53608" s="2"/>
    </row>
    <row r="53609" spans="3:3" x14ac:dyDescent="0.35">
      <c r="C53609" s="2"/>
    </row>
    <row r="53610" spans="3:3" x14ac:dyDescent="0.35">
      <c r="C53610" s="2"/>
    </row>
    <row r="53611" spans="3:3" x14ac:dyDescent="0.35">
      <c r="C53611" s="2"/>
    </row>
    <row r="53612" spans="3:3" x14ac:dyDescent="0.35">
      <c r="C53612" s="2"/>
    </row>
    <row r="53613" spans="3:3" x14ac:dyDescent="0.35">
      <c r="C53613" s="2"/>
    </row>
    <row r="53614" spans="3:3" x14ac:dyDescent="0.35">
      <c r="C53614" s="2"/>
    </row>
    <row r="53615" spans="3:3" x14ac:dyDescent="0.35">
      <c r="C53615" s="2"/>
    </row>
    <row r="53616" spans="3:3" x14ac:dyDescent="0.35">
      <c r="C53616" s="2"/>
    </row>
    <row r="53617" spans="3:3" x14ac:dyDescent="0.35">
      <c r="C53617" s="2"/>
    </row>
    <row r="53618" spans="3:3" x14ac:dyDescent="0.35">
      <c r="C53618" s="2"/>
    </row>
    <row r="53619" spans="3:3" x14ac:dyDescent="0.35">
      <c r="C53619" s="2"/>
    </row>
    <row r="53620" spans="3:3" x14ac:dyDescent="0.35">
      <c r="C53620" s="2"/>
    </row>
    <row r="53621" spans="3:3" x14ac:dyDescent="0.35">
      <c r="C53621" s="2"/>
    </row>
    <row r="53622" spans="3:3" x14ac:dyDescent="0.35">
      <c r="C53622" s="2"/>
    </row>
    <row r="53623" spans="3:3" x14ac:dyDescent="0.35">
      <c r="C53623" s="2"/>
    </row>
    <row r="53624" spans="3:3" x14ac:dyDescent="0.35">
      <c r="C53624" s="2"/>
    </row>
    <row r="53625" spans="3:3" x14ac:dyDescent="0.35">
      <c r="C53625" s="2"/>
    </row>
    <row r="53626" spans="3:3" x14ac:dyDescent="0.35">
      <c r="C53626" s="2"/>
    </row>
    <row r="53627" spans="3:3" x14ac:dyDescent="0.35">
      <c r="C53627" s="2"/>
    </row>
    <row r="53628" spans="3:3" x14ac:dyDescent="0.35">
      <c r="C53628" s="2"/>
    </row>
    <row r="53629" spans="3:3" x14ac:dyDescent="0.35">
      <c r="C53629" s="2"/>
    </row>
    <row r="53630" spans="3:3" x14ac:dyDescent="0.35">
      <c r="C53630" s="2"/>
    </row>
    <row r="53631" spans="3:3" x14ac:dyDescent="0.35">
      <c r="C53631" s="2"/>
    </row>
    <row r="53632" spans="3:3" x14ac:dyDescent="0.35">
      <c r="C53632" s="2"/>
    </row>
    <row r="53633" spans="3:3" x14ac:dyDescent="0.35">
      <c r="C53633" s="2"/>
    </row>
    <row r="53634" spans="3:3" x14ac:dyDescent="0.35">
      <c r="C53634" s="2"/>
    </row>
    <row r="53635" spans="3:3" x14ac:dyDescent="0.35">
      <c r="C53635" s="2"/>
    </row>
    <row r="53636" spans="3:3" x14ac:dyDescent="0.35">
      <c r="C53636" s="2"/>
    </row>
    <row r="53637" spans="3:3" x14ac:dyDescent="0.35">
      <c r="C53637" s="2"/>
    </row>
    <row r="53638" spans="3:3" x14ac:dyDescent="0.35">
      <c r="C53638" s="2"/>
    </row>
    <row r="53639" spans="3:3" x14ac:dyDescent="0.35">
      <c r="C53639" s="2"/>
    </row>
    <row r="53640" spans="3:3" x14ac:dyDescent="0.35">
      <c r="C53640" s="2"/>
    </row>
    <row r="53641" spans="3:3" x14ac:dyDescent="0.35">
      <c r="C53641" s="2"/>
    </row>
    <row r="53642" spans="3:3" x14ac:dyDescent="0.35">
      <c r="C53642" s="2"/>
    </row>
    <row r="53643" spans="3:3" x14ac:dyDescent="0.35">
      <c r="C53643" s="2"/>
    </row>
    <row r="53644" spans="3:3" x14ac:dyDescent="0.35">
      <c r="C53644" s="2"/>
    </row>
    <row r="53645" spans="3:3" x14ac:dyDescent="0.35">
      <c r="C53645" s="2"/>
    </row>
    <row r="53646" spans="3:3" x14ac:dyDescent="0.35">
      <c r="C53646" s="2"/>
    </row>
    <row r="53647" spans="3:3" x14ac:dyDescent="0.35">
      <c r="C53647" s="2"/>
    </row>
    <row r="53648" spans="3:3" x14ac:dyDescent="0.35">
      <c r="C53648" s="2"/>
    </row>
    <row r="53649" spans="3:3" x14ac:dyDescent="0.35">
      <c r="C53649" s="2"/>
    </row>
    <row r="53650" spans="3:3" x14ac:dyDescent="0.35">
      <c r="C53650" s="2"/>
    </row>
    <row r="53651" spans="3:3" x14ac:dyDescent="0.35">
      <c r="C53651" s="2"/>
    </row>
    <row r="53652" spans="3:3" x14ac:dyDescent="0.35">
      <c r="C53652" s="2"/>
    </row>
    <row r="53653" spans="3:3" x14ac:dyDescent="0.35">
      <c r="C53653" s="2"/>
    </row>
    <row r="53654" spans="3:3" x14ac:dyDescent="0.35">
      <c r="C53654" s="2"/>
    </row>
    <row r="53655" spans="3:3" x14ac:dyDescent="0.35">
      <c r="C53655" s="2"/>
    </row>
    <row r="53656" spans="3:3" x14ac:dyDescent="0.35">
      <c r="C53656" s="2"/>
    </row>
    <row r="53657" spans="3:3" x14ac:dyDescent="0.35">
      <c r="C53657" s="2"/>
    </row>
    <row r="53658" spans="3:3" x14ac:dyDescent="0.35">
      <c r="C53658" s="2"/>
    </row>
    <row r="53659" spans="3:3" x14ac:dyDescent="0.35">
      <c r="C53659" s="2"/>
    </row>
    <row r="53660" spans="3:3" x14ac:dyDescent="0.35">
      <c r="C53660" s="2"/>
    </row>
    <row r="53661" spans="3:3" x14ac:dyDescent="0.35">
      <c r="C53661" s="2"/>
    </row>
    <row r="53662" spans="3:3" x14ac:dyDescent="0.35">
      <c r="C53662" s="2"/>
    </row>
    <row r="53663" spans="3:3" x14ac:dyDescent="0.35">
      <c r="C53663" s="2"/>
    </row>
    <row r="53664" spans="3:3" x14ac:dyDescent="0.35">
      <c r="C53664" s="2"/>
    </row>
    <row r="53665" spans="3:3" x14ac:dyDescent="0.35">
      <c r="C53665" s="2"/>
    </row>
    <row r="53666" spans="3:3" x14ac:dyDescent="0.35">
      <c r="C53666" s="2"/>
    </row>
    <row r="53667" spans="3:3" x14ac:dyDescent="0.35">
      <c r="C53667" s="2"/>
    </row>
    <row r="53668" spans="3:3" x14ac:dyDescent="0.35">
      <c r="C53668" s="2"/>
    </row>
    <row r="53669" spans="3:3" x14ac:dyDescent="0.35">
      <c r="C53669" s="2"/>
    </row>
    <row r="53670" spans="3:3" x14ac:dyDescent="0.35">
      <c r="C53670" s="2"/>
    </row>
    <row r="53671" spans="3:3" x14ac:dyDescent="0.35">
      <c r="C53671" s="2"/>
    </row>
    <row r="53672" spans="3:3" x14ac:dyDescent="0.35">
      <c r="C53672" s="2"/>
    </row>
    <row r="53673" spans="3:3" x14ac:dyDescent="0.35">
      <c r="C53673" s="2"/>
    </row>
    <row r="53674" spans="3:3" x14ac:dyDescent="0.35">
      <c r="C53674" s="2"/>
    </row>
    <row r="53675" spans="3:3" x14ac:dyDescent="0.35">
      <c r="C53675" s="2"/>
    </row>
    <row r="53676" spans="3:3" x14ac:dyDescent="0.35">
      <c r="C53676" s="2"/>
    </row>
    <row r="53677" spans="3:3" x14ac:dyDescent="0.35">
      <c r="C53677" s="2"/>
    </row>
    <row r="53678" spans="3:3" x14ac:dyDescent="0.35">
      <c r="C53678" s="2"/>
    </row>
    <row r="53679" spans="3:3" x14ac:dyDescent="0.35">
      <c r="C53679" s="2"/>
    </row>
    <row r="53680" spans="3:3" x14ac:dyDescent="0.35">
      <c r="C53680" s="2"/>
    </row>
    <row r="53681" spans="3:3" x14ac:dyDescent="0.35">
      <c r="C53681" s="2"/>
    </row>
    <row r="53682" spans="3:3" x14ac:dyDescent="0.35">
      <c r="C53682" s="2"/>
    </row>
    <row r="53683" spans="3:3" x14ac:dyDescent="0.35">
      <c r="C53683" s="2"/>
    </row>
    <row r="53684" spans="3:3" x14ac:dyDescent="0.35">
      <c r="C53684" s="2"/>
    </row>
    <row r="53685" spans="3:3" x14ac:dyDescent="0.35">
      <c r="C53685" s="2"/>
    </row>
    <row r="53686" spans="3:3" x14ac:dyDescent="0.35">
      <c r="C53686" s="2"/>
    </row>
    <row r="53687" spans="3:3" x14ac:dyDescent="0.35">
      <c r="C53687" s="2"/>
    </row>
    <row r="53688" spans="3:3" x14ac:dyDescent="0.35">
      <c r="C53688" s="2"/>
    </row>
    <row r="53689" spans="3:3" x14ac:dyDescent="0.35">
      <c r="C53689" s="2"/>
    </row>
    <row r="53690" spans="3:3" x14ac:dyDescent="0.35">
      <c r="C53690" s="2"/>
    </row>
    <row r="53691" spans="3:3" x14ac:dyDescent="0.35">
      <c r="C53691" s="2"/>
    </row>
    <row r="53692" spans="3:3" x14ac:dyDescent="0.35">
      <c r="C53692" s="2"/>
    </row>
    <row r="53693" spans="3:3" x14ac:dyDescent="0.35">
      <c r="C53693" s="2"/>
    </row>
    <row r="53694" spans="3:3" x14ac:dyDescent="0.35">
      <c r="C53694" s="2"/>
    </row>
    <row r="53695" spans="3:3" x14ac:dyDescent="0.35">
      <c r="C53695" s="2"/>
    </row>
    <row r="53696" spans="3:3" x14ac:dyDescent="0.35">
      <c r="C53696" s="2"/>
    </row>
    <row r="53697" spans="3:3" x14ac:dyDescent="0.35">
      <c r="C53697" s="2"/>
    </row>
    <row r="53698" spans="3:3" x14ac:dyDescent="0.35">
      <c r="C53698" s="2"/>
    </row>
    <row r="53699" spans="3:3" x14ac:dyDescent="0.35">
      <c r="C53699" s="2"/>
    </row>
    <row r="53700" spans="3:3" x14ac:dyDescent="0.35">
      <c r="C53700" s="2"/>
    </row>
    <row r="53701" spans="3:3" x14ac:dyDescent="0.35">
      <c r="C53701" s="2"/>
    </row>
    <row r="53702" spans="3:3" x14ac:dyDescent="0.35">
      <c r="C53702" s="2"/>
    </row>
    <row r="53703" spans="3:3" x14ac:dyDescent="0.35">
      <c r="C53703" s="2"/>
    </row>
    <row r="53704" spans="3:3" x14ac:dyDescent="0.35">
      <c r="C53704" s="2"/>
    </row>
    <row r="53705" spans="3:3" x14ac:dyDescent="0.35">
      <c r="C53705" s="2"/>
    </row>
    <row r="53706" spans="3:3" x14ac:dyDescent="0.35">
      <c r="C53706" s="2"/>
    </row>
    <row r="53707" spans="3:3" x14ac:dyDescent="0.35">
      <c r="C53707" s="2"/>
    </row>
    <row r="53708" spans="3:3" x14ac:dyDescent="0.35">
      <c r="C53708" s="2"/>
    </row>
    <row r="53709" spans="3:3" x14ac:dyDescent="0.35">
      <c r="C53709" s="2"/>
    </row>
    <row r="53710" spans="3:3" x14ac:dyDescent="0.35">
      <c r="C53710" s="2"/>
    </row>
    <row r="53711" spans="3:3" x14ac:dyDescent="0.35">
      <c r="C53711" s="2"/>
    </row>
    <row r="53712" spans="3:3" x14ac:dyDescent="0.35">
      <c r="C53712" s="2"/>
    </row>
    <row r="53713" spans="3:3" x14ac:dyDescent="0.35">
      <c r="C53713" s="2"/>
    </row>
    <row r="53714" spans="3:3" x14ac:dyDescent="0.35">
      <c r="C53714" s="2"/>
    </row>
    <row r="53715" spans="3:3" x14ac:dyDescent="0.35">
      <c r="C53715" s="2"/>
    </row>
    <row r="53716" spans="3:3" x14ac:dyDescent="0.35">
      <c r="C53716" s="2"/>
    </row>
    <row r="53717" spans="3:3" x14ac:dyDescent="0.35">
      <c r="C53717" s="2"/>
    </row>
    <row r="53718" spans="3:3" x14ac:dyDescent="0.35">
      <c r="C53718" s="2"/>
    </row>
    <row r="53719" spans="3:3" x14ac:dyDescent="0.35">
      <c r="C53719" s="2"/>
    </row>
    <row r="53720" spans="3:3" x14ac:dyDescent="0.35">
      <c r="C53720" s="2"/>
    </row>
    <row r="53721" spans="3:3" x14ac:dyDescent="0.35">
      <c r="C53721" s="2"/>
    </row>
    <row r="53722" spans="3:3" x14ac:dyDescent="0.35">
      <c r="C53722" s="2"/>
    </row>
    <row r="53723" spans="3:3" x14ac:dyDescent="0.35">
      <c r="C53723" s="2"/>
    </row>
    <row r="53724" spans="3:3" x14ac:dyDescent="0.35">
      <c r="C53724" s="2"/>
    </row>
    <row r="53725" spans="3:3" x14ac:dyDescent="0.35">
      <c r="C53725" s="2"/>
    </row>
    <row r="53726" spans="3:3" x14ac:dyDescent="0.35">
      <c r="C53726" s="2"/>
    </row>
    <row r="53727" spans="3:3" x14ac:dyDescent="0.35">
      <c r="C53727" s="2"/>
    </row>
    <row r="53728" spans="3:3" x14ac:dyDescent="0.35">
      <c r="C53728" s="2"/>
    </row>
    <row r="53729" spans="3:3" x14ac:dyDescent="0.35">
      <c r="C53729" s="2"/>
    </row>
    <row r="53730" spans="3:3" x14ac:dyDescent="0.35">
      <c r="C53730" s="2"/>
    </row>
    <row r="53731" spans="3:3" x14ac:dyDescent="0.35">
      <c r="C53731" s="2"/>
    </row>
    <row r="53732" spans="3:3" x14ac:dyDescent="0.35">
      <c r="C53732" s="2"/>
    </row>
    <row r="53733" spans="3:3" x14ac:dyDescent="0.35">
      <c r="C53733" s="2"/>
    </row>
    <row r="53734" spans="3:3" x14ac:dyDescent="0.35">
      <c r="C53734" s="2"/>
    </row>
    <row r="53735" spans="3:3" x14ac:dyDescent="0.35">
      <c r="C53735" s="2"/>
    </row>
    <row r="53736" spans="3:3" x14ac:dyDescent="0.35">
      <c r="C53736" s="2"/>
    </row>
    <row r="53737" spans="3:3" x14ac:dyDescent="0.35">
      <c r="C53737" s="2"/>
    </row>
    <row r="53738" spans="3:3" x14ac:dyDescent="0.35">
      <c r="C53738" s="2"/>
    </row>
    <row r="53739" spans="3:3" x14ac:dyDescent="0.35">
      <c r="C53739" s="2"/>
    </row>
    <row r="53740" spans="3:3" x14ac:dyDescent="0.35">
      <c r="C53740" s="2"/>
    </row>
    <row r="53741" spans="3:3" x14ac:dyDescent="0.35">
      <c r="C53741" s="2"/>
    </row>
    <row r="53742" spans="3:3" x14ac:dyDescent="0.35">
      <c r="C53742" s="2"/>
    </row>
    <row r="53743" spans="3:3" x14ac:dyDescent="0.35">
      <c r="C53743" s="2"/>
    </row>
    <row r="53744" spans="3:3" x14ac:dyDescent="0.35">
      <c r="C53744" s="2"/>
    </row>
    <row r="53745" spans="3:3" x14ac:dyDescent="0.35">
      <c r="C53745" s="2"/>
    </row>
    <row r="53746" spans="3:3" x14ac:dyDescent="0.35">
      <c r="C53746" s="2"/>
    </row>
    <row r="53747" spans="3:3" x14ac:dyDescent="0.35">
      <c r="C53747" s="2"/>
    </row>
    <row r="53748" spans="3:3" x14ac:dyDescent="0.35">
      <c r="C53748" s="2"/>
    </row>
    <row r="53749" spans="3:3" x14ac:dyDescent="0.35">
      <c r="C53749" s="2"/>
    </row>
    <row r="53750" spans="3:3" x14ac:dyDescent="0.35">
      <c r="C53750" s="2"/>
    </row>
    <row r="53751" spans="3:3" x14ac:dyDescent="0.35">
      <c r="C53751" s="2"/>
    </row>
    <row r="53752" spans="3:3" x14ac:dyDescent="0.35">
      <c r="C53752" s="2"/>
    </row>
    <row r="53753" spans="3:3" x14ac:dyDescent="0.35">
      <c r="C53753" s="2"/>
    </row>
    <row r="53754" spans="3:3" x14ac:dyDescent="0.35">
      <c r="C53754" s="2"/>
    </row>
    <row r="53755" spans="3:3" x14ac:dyDescent="0.35">
      <c r="C53755" s="2"/>
    </row>
    <row r="53756" spans="3:3" x14ac:dyDescent="0.35">
      <c r="C53756" s="2"/>
    </row>
    <row r="53757" spans="3:3" x14ac:dyDescent="0.35">
      <c r="C53757" s="2"/>
    </row>
    <row r="53758" spans="3:3" x14ac:dyDescent="0.35">
      <c r="C53758" s="2"/>
    </row>
    <row r="53759" spans="3:3" x14ac:dyDescent="0.35">
      <c r="C53759" s="2"/>
    </row>
    <row r="53760" spans="3:3" x14ac:dyDescent="0.35">
      <c r="C53760" s="2"/>
    </row>
    <row r="53761" spans="3:3" x14ac:dyDescent="0.35">
      <c r="C53761" s="2"/>
    </row>
    <row r="53762" spans="3:3" x14ac:dyDescent="0.35">
      <c r="C53762" s="2"/>
    </row>
    <row r="53763" spans="3:3" x14ac:dyDescent="0.35">
      <c r="C53763" s="2"/>
    </row>
    <row r="53764" spans="3:3" x14ac:dyDescent="0.35">
      <c r="C53764" s="2"/>
    </row>
    <row r="53765" spans="3:3" x14ac:dyDescent="0.35">
      <c r="C53765" s="2"/>
    </row>
    <row r="53766" spans="3:3" x14ac:dyDescent="0.35">
      <c r="C53766" s="2"/>
    </row>
    <row r="53767" spans="3:3" x14ac:dyDescent="0.35">
      <c r="C53767" s="2"/>
    </row>
    <row r="53768" spans="3:3" x14ac:dyDescent="0.35">
      <c r="C53768" s="2"/>
    </row>
    <row r="53769" spans="3:3" x14ac:dyDescent="0.35">
      <c r="C53769" s="2"/>
    </row>
    <row r="53770" spans="3:3" x14ac:dyDescent="0.35">
      <c r="C53770" s="2"/>
    </row>
    <row r="53771" spans="3:3" x14ac:dyDescent="0.35">
      <c r="C53771" s="2"/>
    </row>
    <row r="53772" spans="3:3" x14ac:dyDescent="0.35">
      <c r="C53772" s="2"/>
    </row>
    <row r="53773" spans="3:3" x14ac:dyDescent="0.35">
      <c r="C53773" s="2"/>
    </row>
    <row r="53774" spans="3:3" x14ac:dyDescent="0.35">
      <c r="C53774" s="2"/>
    </row>
    <row r="53775" spans="3:3" x14ac:dyDescent="0.35">
      <c r="C53775" s="2"/>
    </row>
    <row r="53776" spans="3:3" x14ac:dyDescent="0.35">
      <c r="C53776" s="2"/>
    </row>
    <row r="53777" spans="3:3" x14ac:dyDescent="0.35">
      <c r="C53777" s="2"/>
    </row>
    <row r="53778" spans="3:3" x14ac:dyDescent="0.35">
      <c r="C53778" s="2"/>
    </row>
    <row r="53779" spans="3:3" x14ac:dyDescent="0.35">
      <c r="C53779" s="2"/>
    </row>
    <row r="53780" spans="3:3" x14ac:dyDescent="0.35">
      <c r="C53780" s="2"/>
    </row>
    <row r="53781" spans="3:3" x14ac:dyDescent="0.35">
      <c r="C53781" s="2"/>
    </row>
    <row r="53782" spans="3:3" x14ac:dyDescent="0.35">
      <c r="C53782" s="2"/>
    </row>
    <row r="53783" spans="3:3" x14ac:dyDescent="0.35">
      <c r="C53783" s="2"/>
    </row>
    <row r="53784" spans="3:3" x14ac:dyDescent="0.35">
      <c r="C53784" s="2"/>
    </row>
    <row r="53785" spans="3:3" x14ac:dyDescent="0.35">
      <c r="C53785" s="2"/>
    </row>
    <row r="53786" spans="3:3" x14ac:dyDescent="0.35">
      <c r="C53786" s="2"/>
    </row>
    <row r="53787" spans="3:3" x14ac:dyDescent="0.35">
      <c r="C53787" s="2"/>
    </row>
    <row r="53788" spans="3:3" x14ac:dyDescent="0.35">
      <c r="C53788" s="2"/>
    </row>
    <row r="53789" spans="3:3" x14ac:dyDescent="0.35">
      <c r="C53789" s="2"/>
    </row>
    <row r="53790" spans="3:3" x14ac:dyDescent="0.35">
      <c r="C53790" s="2"/>
    </row>
    <row r="53791" spans="3:3" x14ac:dyDescent="0.35">
      <c r="C53791" s="2"/>
    </row>
    <row r="53792" spans="3:3" x14ac:dyDescent="0.35">
      <c r="C53792" s="2"/>
    </row>
    <row r="53793" spans="3:3" x14ac:dyDescent="0.35">
      <c r="C53793" s="2"/>
    </row>
    <row r="53794" spans="3:3" x14ac:dyDescent="0.35">
      <c r="C53794" s="2"/>
    </row>
    <row r="53795" spans="3:3" x14ac:dyDescent="0.35">
      <c r="C53795" s="2"/>
    </row>
    <row r="53796" spans="3:3" x14ac:dyDescent="0.35">
      <c r="C53796" s="2"/>
    </row>
    <row r="53797" spans="3:3" x14ac:dyDescent="0.35">
      <c r="C53797" s="2"/>
    </row>
    <row r="53798" spans="3:3" x14ac:dyDescent="0.35">
      <c r="C53798" s="2"/>
    </row>
    <row r="53799" spans="3:3" x14ac:dyDescent="0.35">
      <c r="C53799" s="2"/>
    </row>
    <row r="53800" spans="3:3" x14ac:dyDescent="0.35">
      <c r="C53800" s="2"/>
    </row>
    <row r="53801" spans="3:3" x14ac:dyDescent="0.35">
      <c r="C53801" s="2"/>
    </row>
    <row r="53802" spans="3:3" x14ac:dyDescent="0.35">
      <c r="C53802" s="2"/>
    </row>
    <row r="53803" spans="3:3" x14ac:dyDescent="0.35">
      <c r="C53803" s="2"/>
    </row>
    <row r="53804" spans="3:3" x14ac:dyDescent="0.35">
      <c r="C53804" s="2"/>
    </row>
    <row r="53805" spans="3:3" x14ac:dyDescent="0.35">
      <c r="C53805" s="2"/>
    </row>
    <row r="53806" spans="3:3" x14ac:dyDescent="0.35">
      <c r="C53806" s="2"/>
    </row>
    <row r="53807" spans="3:3" x14ac:dyDescent="0.35">
      <c r="C53807" s="2"/>
    </row>
    <row r="53808" spans="3:3" x14ac:dyDescent="0.35">
      <c r="C53808" s="2"/>
    </row>
    <row r="53809" spans="3:3" x14ac:dyDescent="0.35">
      <c r="C53809" s="2"/>
    </row>
    <row r="53810" spans="3:3" x14ac:dyDescent="0.35">
      <c r="C53810" s="2"/>
    </row>
    <row r="53811" spans="3:3" x14ac:dyDescent="0.35">
      <c r="C53811" s="2"/>
    </row>
    <row r="53812" spans="3:3" x14ac:dyDescent="0.35">
      <c r="C53812" s="2"/>
    </row>
    <row r="53813" spans="3:3" x14ac:dyDescent="0.35">
      <c r="C53813" s="2"/>
    </row>
    <row r="53814" spans="3:3" x14ac:dyDescent="0.35">
      <c r="C53814" s="2"/>
    </row>
    <row r="53815" spans="3:3" x14ac:dyDescent="0.35">
      <c r="C53815" s="2"/>
    </row>
    <row r="53816" spans="3:3" x14ac:dyDescent="0.35">
      <c r="C53816" s="2"/>
    </row>
    <row r="53817" spans="3:3" x14ac:dyDescent="0.35">
      <c r="C53817" s="2"/>
    </row>
    <row r="53818" spans="3:3" x14ac:dyDescent="0.35">
      <c r="C53818" s="2"/>
    </row>
    <row r="53819" spans="3:3" x14ac:dyDescent="0.35">
      <c r="C53819" s="2"/>
    </row>
    <row r="53820" spans="3:3" x14ac:dyDescent="0.35">
      <c r="C53820" s="2"/>
    </row>
    <row r="53821" spans="3:3" x14ac:dyDescent="0.35">
      <c r="C53821" s="2"/>
    </row>
    <row r="53822" spans="3:3" x14ac:dyDescent="0.35">
      <c r="C53822" s="2"/>
    </row>
    <row r="53823" spans="3:3" x14ac:dyDescent="0.35">
      <c r="C53823" s="2"/>
    </row>
    <row r="53824" spans="3:3" x14ac:dyDescent="0.35">
      <c r="C53824" s="2"/>
    </row>
    <row r="53825" spans="3:3" x14ac:dyDescent="0.35">
      <c r="C53825" s="2"/>
    </row>
    <row r="53826" spans="3:3" x14ac:dyDescent="0.35">
      <c r="C53826" s="2"/>
    </row>
    <row r="53827" spans="3:3" x14ac:dyDescent="0.35">
      <c r="C53827" s="2"/>
    </row>
    <row r="53828" spans="3:3" x14ac:dyDescent="0.35">
      <c r="C53828" s="2"/>
    </row>
    <row r="53829" spans="3:3" x14ac:dyDescent="0.35">
      <c r="C53829" s="2"/>
    </row>
    <row r="53830" spans="3:3" x14ac:dyDescent="0.35">
      <c r="C53830" s="2"/>
    </row>
    <row r="53831" spans="3:3" x14ac:dyDescent="0.35">
      <c r="C53831" s="2"/>
    </row>
    <row r="53832" spans="3:3" x14ac:dyDescent="0.35">
      <c r="C53832" s="2"/>
    </row>
    <row r="53833" spans="3:3" x14ac:dyDescent="0.35">
      <c r="C53833" s="2"/>
    </row>
    <row r="53834" spans="3:3" x14ac:dyDescent="0.35">
      <c r="C53834" s="2"/>
    </row>
    <row r="53835" spans="3:3" x14ac:dyDescent="0.35">
      <c r="C53835" s="2"/>
    </row>
    <row r="53836" spans="3:3" x14ac:dyDescent="0.35">
      <c r="C53836" s="2"/>
    </row>
    <row r="53837" spans="3:3" x14ac:dyDescent="0.35">
      <c r="C53837" s="2"/>
    </row>
    <row r="53838" spans="3:3" x14ac:dyDescent="0.35">
      <c r="C53838" s="2"/>
    </row>
    <row r="53839" spans="3:3" x14ac:dyDescent="0.35">
      <c r="C53839" s="2"/>
    </row>
    <row r="53840" spans="3:3" x14ac:dyDescent="0.35">
      <c r="C53840" s="2"/>
    </row>
    <row r="53841" spans="3:3" x14ac:dyDescent="0.35">
      <c r="C53841" s="2"/>
    </row>
    <row r="53842" spans="3:3" x14ac:dyDescent="0.35">
      <c r="C53842" s="2"/>
    </row>
    <row r="53843" spans="3:3" x14ac:dyDescent="0.35">
      <c r="C53843" s="2"/>
    </row>
    <row r="53844" spans="3:3" x14ac:dyDescent="0.35">
      <c r="C53844" s="2"/>
    </row>
    <row r="53845" spans="3:3" x14ac:dyDescent="0.35">
      <c r="C53845" s="2"/>
    </row>
    <row r="53846" spans="3:3" x14ac:dyDescent="0.35">
      <c r="C53846" s="2"/>
    </row>
    <row r="53847" spans="3:3" x14ac:dyDescent="0.35">
      <c r="C53847" s="2"/>
    </row>
    <row r="53848" spans="3:3" x14ac:dyDescent="0.35">
      <c r="C53848" s="2"/>
    </row>
    <row r="53849" spans="3:3" x14ac:dyDescent="0.35">
      <c r="C53849" s="2"/>
    </row>
    <row r="53850" spans="3:3" x14ac:dyDescent="0.35">
      <c r="C53850" s="2"/>
    </row>
    <row r="53851" spans="3:3" x14ac:dyDescent="0.35">
      <c r="C53851" s="2"/>
    </row>
    <row r="53852" spans="3:3" x14ac:dyDescent="0.35">
      <c r="C53852" s="2"/>
    </row>
    <row r="53853" spans="3:3" x14ac:dyDescent="0.35">
      <c r="C53853" s="2"/>
    </row>
    <row r="53854" spans="3:3" x14ac:dyDescent="0.35">
      <c r="C53854" s="2"/>
    </row>
    <row r="53855" spans="3:3" x14ac:dyDescent="0.35">
      <c r="C53855" s="2"/>
    </row>
    <row r="53856" spans="3:3" x14ac:dyDescent="0.35">
      <c r="C53856" s="2"/>
    </row>
    <row r="53857" spans="3:3" x14ac:dyDescent="0.35">
      <c r="C53857" s="2"/>
    </row>
    <row r="53858" spans="3:3" x14ac:dyDescent="0.35">
      <c r="C53858" s="2"/>
    </row>
    <row r="53859" spans="3:3" x14ac:dyDescent="0.35">
      <c r="C53859" s="2"/>
    </row>
    <row r="53860" spans="3:3" x14ac:dyDescent="0.35">
      <c r="C53860" s="2"/>
    </row>
    <row r="53861" spans="3:3" x14ac:dyDescent="0.35">
      <c r="C53861" s="2"/>
    </row>
    <row r="53862" spans="3:3" x14ac:dyDescent="0.35">
      <c r="C53862" s="2"/>
    </row>
    <row r="53863" spans="3:3" x14ac:dyDescent="0.35">
      <c r="C53863" s="2"/>
    </row>
    <row r="53864" spans="3:3" x14ac:dyDescent="0.35">
      <c r="C53864" s="2"/>
    </row>
    <row r="53865" spans="3:3" x14ac:dyDescent="0.35">
      <c r="C53865" s="2"/>
    </row>
    <row r="53866" spans="3:3" x14ac:dyDescent="0.35">
      <c r="C53866" s="2"/>
    </row>
    <row r="53867" spans="3:3" x14ac:dyDescent="0.35">
      <c r="C53867" s="2"/>
    </row>
    <row r="53868" spans="3:3" x14ac:dyDescent="0.35">
      <c r="C53868" s="2"/>
    </row>
    <row r="53869" spans="3:3" x14ac:dyDescent="0.35">
      <c r="C53869" s="2"/>
    </row>
    <row r="53870" spans="3:3" x14ac:dyDescent="0.35">
      <c r="C53870" s="2"/>
    </row>
    <row r="53871" spans="3:3" x14ac:dyDescent="0.35">
      <c r="C53871" s="2"/>
    </row>
    <row r="53872" spans="3:3" x14ac:dyDescent="0.35">
      <c r="C53872" s="2"/>
    </row>
    <row r="53873" spans="3:3" x14ac:dyDescent="0.35">
      <c r="C53873" s="2"/>
    </row>
    <row r="53874" spans="3:3" x14ac:dyDescent="0.35">
      <c r="C53874" s="2"/>
    </row>
    <row r="53875" spans="3:3" x14ac:dyDescent="0.35">
      <c r="C53875" s="2"/>
    </row>
    <row r="53876" spans="3:3" x14ac:dyDescent="0.35">
      <c r="C53876" s="2"/>
    </row>
    <row r="53877" spans="3:3" x14ac:dyDescent="0.35">
      <c r="C53877" s="2"/>
    </row>
    <row r="53878" spans="3:3" x14ac:dyDescent="0.35">
      <c r="C53878" s="2"/>
    </row>
    <row r="53879" spans="3:3" x14ac:dyDescent="0.35">
      <c r="C53879" s="2"/>
    </row>
    <row r="53880" spans="3:3" x14ac:dyDescent="0.35">
      <c r="C53880" s="2"/>
    </row>
    <row r="53881" spans="3:3" x14ac:dyDescent="0.35">
      <c r="C53881" s="2"/>
    </row>
    <row r="53882" spans="3:3" x14ac:dyDescent="0.35">
      <c r="C53882" s="2"/>
    </row>
    <row r="53883" spans="3:3" x14ac:dyDescent="0.35">
      <c r="C53883" s="2"/>
    </row>
    <row r="53884" spans="3:3" x14ac:dyDescent="0.35">
      <c r="C53884" s="2"/>
    </row>
    <row r="53885" spans="3:3" x14ac:dyDescent="0.35">
      <c r="C53885" s="2"/>
    </row>
    <row r="53886" spans="3:3" x14ac:dyDescent="0.35">
      <c r="C53886" s="2"/>
    </row>
    <row r="53887" spans="3:3" x14ac:dyDescent="0.35">
      <c r="C53887" s="2"/>
    </row>
    <row r="53888" spans="3:3" x14ac:dyDescent="0.35">
      <c r="C53888" s="2"/>
    </row>
    <row r="53889" spans="3:3" x14ac:dyDescent="0.35">
      <c r="C53889" s="2"/>
    </row>
    <row r="53890" spans="3:3" x14ac:dyDescent="0.35">
      <c r="C53890" s="2"/>
    </row>
    <row r="53891" spans="3:3" x14ac:dyDescent="0.35">
      <c r="C53891" s="2"/>
    </row>
    <row r="53892" spans="3:3" x14ac:dyDescent="0.35">
      <c r="C53892" s="2"/>
    </row>
    <row r="53893" spans="3:3" x14ac:dyDescent="0.35">
      <c r="C53893" s="2"/>
    </row>
    <row r="53894" spans="3:3" x14ac:dyDescent="0.35">
      <c r="C53894" s="2"/>
    </row>
    <row r="53895" spans="3:3" x14ac:dyDescent="0.35">
      <c r="C53895" s="2"/>
    </row>
    <row r="53896" spans="3:3" x14ac:dyDescent="0.35">
      <c r="C53896" s="2"/>
    </row>
    <row r="53897" spans="3:3" x14ac:dyDescent="0.35">
      <c r="C53897" s="2"/>
    </row>
    <row r="53898" spans="3:3" x14ac:dyDescent="0.35">
      <c r="C53898" s="2"/>
    </row>
    <row r="53899" spans="3:3" x14ac:dyDescent="0.35">
      <c r="C53899" s="2"/>
    </row>
    <row r="53900" spans="3:3" x14ac:dyDescent="0.35">
      <c r="C53900" s="2"/>
    </row>
    <row r="53901" spans="3:3" x14ac:dyDescent="0.35">
      <c r="C53901" s="2"/>
    </row>
    <row r="53902" spans="3:3" x14ac:dyDescent="0.35">
      <c r="C53902" s="2"/>
    </row>
    <row r="53903" spans="3:3" x14ac:dyDescent="0.35">
      <c r="C53903" s="2"/>
    </row>
    <row r="53904" spans="3:3" x14ac:dyDescent="0.35">
      <c r="C53904" s="2"/>
    </row>
    <row r="53905" spans="3:3" x14ac:dyDescent="0.35">
      <c r="C53905" s="2"/>
    </row>
    <row r="53906" spans="3:3" x14ac:dyDescent="0.35">
      <c r="C53906" s="2"/>
    </row>
    <row r="53907" spans="3:3" x14ac:dyDescent="0.35">
      <c r="C53907" s="2"/>
    </row>
    <row r="53908" spans="3:3" x14ac:dyDescent="0.35">
      <c r="C53908" s="2"/>
    </row>
    <row r="53909" spans="3:3" x14ac:dyDescent="0.35">
      <c r="C53909" s="2"/>
    </row>
    <row r="53910" spans="3:3" x14ac:dyDescent="0.35">
      <c r="C53910" s="2"/>
    </row>
    <row r="53911" spans="3:3" x14ac:dyDescent="0.35">
      <c r="C53911" s="2"/>
    </row>
    <row r="53912" spans="3:3" x14ac:dyDescent="0.35">
      <c r="C53912" s="2"/>
    </row>
    <row r="53913" spans="3:3" x14ac:dyDescent="0.35">
      <c r="C53913" s="2"/>
    </row>
    <row r="53914" spans="3:3" x14ac:dyDescent="0.35">
      <c r="C53914" s="2"/>
    </row>
    <row r="53915" spans="3:3" x14ac:dyDescent="0.35">
      <c r="C53915" s="2"/>
    </row>
    <row r="53916" spans="3:3" x14ac:dyDescent="0.35">
      <c r="C53916" s="2"/>
    </row>
    <row r="53917" spans="3:3" x14ac:dyDescent="0.35">
      <c r="C53917" s="2"/>
    </row>
    <row r="53918" spans="3:3" x14ac:dyDescent="0.35">
      <c r="C53918" s="2"/>
    </row>
    <row r="53919" spans="3:3" x14ac:dyDescent="0.35">
      <c r="C53919" s="2"/>
    </row>
    <row r="53920" spans="3:3" x14ac:dyDescent="0.35">
      <c r="C53920" s="2"/>
    </row>
    <row r="53921" spans="3:3" x14ac:dyDescent="0.35">
      <c r="C53921" s="2"/>
    </row>
    <row r="53922" spans="3:3" x14ac:dyDescent="0.35">
      <c r="C53922" s="2"/>
    </row>
    <row r="53923" spans="3:3" x14ac:dyDescent="0.35">
      <c r="C53923" s="2"/>
    </row>
    <row r="53924" spans="3:3" x14ac:dyDescent="0.35">
      <c r="C53924" s="2"/>
    </row>
    <row r="53925" spans="3:3" x14ac:dyDescent="0.35">
      <c r="C53925" s="2"/>
    </row>
    <row r="53926" spans="3:3" x14ac:dyDescent="0.35">
      <c r="C53926" s="2"/>
    </row>
    <row r="53927" spans="3:3" x14ac:dyDescent="0.35">
      <c r="C53927" s="2"/>
    </row>
    <row r="53928" spans="3:3" x14ac:dyDescent="0.35">
      <c r="C53928" s="2"/>
    </row>
    <row r="53929" spans="3:3" x14ac:dyDescent="0.35">
      <c r="C53929" s="2"/>
    </row>
    <row r="53930" spans="3:3" x14ac:dyDescent="0.35">
      <c r="C53930" s="2"/>
    </row>
    <row r="53931" spans="3:3" x14ac:dyDescent="0.35">
      <c r="C53931" s="2"/>
    </row>
    <row r="53932" spans="3:3" x14ac:dyDescent="0.35">
      <c r="C53932" s="2"/>
    </row>
    <row r="53933" spans="3:3" x14ac:dyDescent="0.35">
      <c r="C53933" s="2"/>
    </row>
    <row r="53934" spans="3:3" x14ac:dyDescent="0.35">
      <c r="C53934" s="2"/>
    </row>
    <row r="53935" spans="3:3" x14ac:dyDescent="0.35">
      <c r="C53935" s="2"/>
    </row>
    <row r="53936" spans="3:3" x14ac:dyDescent="0.35">
      <c r="C53936" s="2"/>
    </row>
    <row r="53937" spans="3:3" x14ac:dyDescent="0.35">
      <c r="C53937" s="2"/>
    </row>
    <row r="53938" spans="3:3" x14ac:dyDescent="0.35">
      <c r="C53938" s="2"/>
    </row>
    <row r="53939" spans="3:3" x14ac:dyDescent="0.35">
      <c r="C53939" s="2"/>
    </row>
    <row r="53940" spans="3:3" x14ac:dyDescent="0.35">
      <c r="C53940" s="2"/>
    </row>
    <row r="53941" spans="3:3" x14ac:dyDescent="0.35">
      <c r="C53941" s="2"/>
    </row>
    <row r="53942" spans="3:3" x14ac:dyDescent="0.35">
      <c r="C53942" s="2"/>
    </row>
    <row r="53943" spans="3:3" x14ac:dyDescent="0.35">
      <c r="C53943" s="2"/>
    </row>
    <row r="53944" spans="3:3" x14ac:dyDescent="0.35">
      <c r="C53944" s="2"/>
    </row>
    <row r="53945" spans="3:3" x14ac:dyDescent="0.35">
      <c r="C53945" s="2"/>
    </row>
    <row r="53946" spans="3:3" x14ac:dyDescent="0.35">
      <c r="C53946" s="2"/>
    </row>
    <row r="53947" spans="3:3" x14ac:dyDescent="0.35">
      <c r="C53947" s="2"/>
    </row>
    <row r="53948" spans="3:3" x14ac:dyDescent="0.35">
      <c r="C53948" s="2"/>
    </row>
    <row r="53949" spans="3:3" x14ac:dyDescent="0.35">
      <c r="C53949" s="2"/>
    </row>
    <row r="53950" spans="3:3" x14ac:dyDescent="0.35">
      <c r="C53950" s="2"/>
    </row>
    <row r="53951" spans="3:3" x14ac:dyDescent="0.35">
      <c r="C53951" s="2"/>
    </row>
    <row r="53952" spans="3:3" x14ac:dyDescent="0.35">
      <c r="C53952" s="2"/>
    </row>
    <row r="53953" spans="3:3" x14ac:dyDescent="0.35">
      <c r="C53953" s="2"/>
    </row>
    <row r="53954" spans="3:3" x14ac:dyDescent="0.35">
      <c r="C53954" s="2"/>
    </row>
    <row r="53955" spans="3:3" x14ac:dyDescent="0.35">
      <c r="C53955" s="2"/>
    </row>
    <row r="53956" spans="3:3" x14ac:dyDescent="0.35">
      <c r="C53956" s="2"/>
    </row>
    <row r="53957" spans="3:3" x14ac:dyDescent="0.35">
      <c r="C53957" s="2"/>
    </row>
    <row r="53958" spans="3:3" x14ac:dyDescent="0.35">
      <c r="C53958" s="2"/>
    </row>
    <row r="53959" spans="3:3" x14ac:dyDescent="0.35">
      <c r="C53959" s="2"/>
    </row>
    <row r="53960" spans="3:3" x14ac:dyDescent="0.35">
      <c r="C53960" s="2"/>
    </row>
    <row r="53961" spans="3:3" x14ac:dyDescent="0.35">
      <c r="C53961" s="2"/>
    </row>
    <row r="53962" spans="3:3" x14ac:dyDescent="0.35">
      <c r="C53962" s="2"/>
    </row>
    <row r="53963" spans="3:3" x14ac:dyDescent="0.35">
      <c r="C53963" s="2"/>
    </row>
    <row r="53964" spans="3:3" x14ac:dyDescent="0.35">
      <c r="C53964" s="2"/>
    </row>
    <row r="53965" spans="3:3" x14ac:dyDescent="0.35">
      <c r="C53965" s="2"/>
    </row>
    <row r="53966" spans="3:3" x14ac:dyDescent="0.35">
      <c r="C53966" s="2"/>
    </row>
    <row r="53967" spans="3:3" x14ac:dyDescent="0.35">
      <c r="C53967" s="2"/>
    </row>
    <row r="53968" spans="3:3" x14ac:dyDescent="0.35">
      <c r="C53968" s="2"/>
    </row>
    <row r="53969" spans="3:3" x14ac:dyDescent="0.35">
      <c r="C53969" s="2"/>
    </row>
    <row r="53970" spans="3:3" x14ac:dyDescent="0.35">
      <c r="C53970" s="2"/>
    </row>
    <row r="53971" spans="3:3" x14ac:dyDescent="0.35">
      <c r="C53971" s="2"/>
    </row>
    <row r="53972" spans="3:3" x14ac:dyDescent="0.35">
      <c r="C53972" s="2"/>
    </row>
    <row r="53973" spans="3:3" x14ac:dyDescent="0.35">
      <c r="C53973" s="2"/>
    </row>
    <row r="53974" spans="3:3" x14ac:dyDescent="0.35">
      <c r="C53974" s="2"/>
    </row>
    <row r="53975" spans="3:3" x14ac:dyDescent="0.35">
      <c r="C53975" s="2"/>
    </row>
    <row r="53976" spans="3:3" x14ac:dyDescent="0.35">
      <c r="C53976" s="2"/>
    </row>
    <row r="53977" spans="3:3" x14ac:dyDescent="0.35">
      <c r="C53977" s="2"/>
    </row>
    <row r="53978" spans="3:3" x14ac:dyDescent="0.35">
      <c r="C53978" s="2"/>
    </row>
    <row r="53979" spans="3:3" x14ac:dyDescent="0.35">
      <c r="C53979" s="2"/>
    </row>
    <row r="53980" spans="3:3" x14ac:dyDescent="0.35">
      <c r="C53980" s="2"/>
    </row>
    <row r="53981" spans="3:3" x14ac:dyDescent="0.35">
      <c r="C53981" s="2"/>
    </row>
    <row r="53982" spans="3:3" x14ac:dyDescent="0.35">
      <c r="C53982" s="2"/>
    </row>
    <row r="53983" spans="3:3" x14ac:dyDescent="0.35">
      <c r="C53983" s="2"/>
    </row>
    <row r="53984" spans="3:3" x14ac:dyDescent="0.35">
      <c r="C53984" s="2"/>
    </row>
    <row r="53985" spans="3:3" x14ac:dyDescent="0.35">
      <c r="C53985" s="2"/>
    </row>
    <row r="53986" spans="3:3" x14ac:dyDescent="0.35">
      <c r="C53986" s="2"/>
    </row>
    <row r="53987" spans="3:3" x14ac:dyDescent="0.35">
      <c r="C53987" s="2"/>
    </row>
    <row r="53988" spans="3:3" x14ac:dyDescent="0.35">
      <c r="C53988" s="2"/>
    </row>
    <row r="53989" spans="3:3" x14ac:dyDescent="0.35">
      <c r="C53989" s="2"/>
    </row>
    <row r="53990" spans="3:3" x14ac:dyDescent="0.35">
      <c r="C53990" s="2"/>
    </row>
    <row r="53991" spans="3:3" x14ac:dyDescent="0.35">
      <c r="C53991" s="2"/>
    </row>
    <row r="53992" spans="3:3" x14ac:dyDescent="0.35">
      <c r="C53992" s="2"/>
    </row>
    <row r="53993" spans="3:3" x14ac:dyDescent="0.35">
      <c r="C53993" s="2"/>
    </row>
    <row r="53994" spans="3:3" x14ac:dyDescent="0.35">
      <c r="C53994" s="2"/>
    </row>
    <row r="53995" spans="3:3" x14ac:dyDescent="0.35">
      <c r="C53995" s="2"/>
    </row>
    <row r="53996" spans="3:3" x14ac:dyDescent="0.35">
      <c r="C53996" s="2"/>
    </row>
    <row r="53997" spans="3:3" x14ac:dyDescent="0.35">
      <c r="C53997" s="2"/>
    </row>
    <row r="53998" spans="3:3" x14ac:dyDescent="0.35">
      <c r="C53998" s="2"/>
    </row>
    <row r="53999" spans="3:3" x14ac:dyDescent="0.35">
      <c r="C53999" s="2"/>
    </row>
    <row r="54000" spans="3:3" x14ac:dyDescent="0.35">
      <c r="C54000" s="2"/>
    </row>
    <row r="54001" spans="3:3" x14ac:dyDescent="0.35">
      <c r="C54001" s="2"/>
    </row>
    <row r="54002" spans="3:3" x14ac:dyDescent="0.35">
      <c r="C54002" s="2"/>
    </row>
    <row r="54003" spans="3:3" x14ac:dyDescent="0.35">
      <c r="C54003" s="2"/>
    </row>
    <row r="54004" spans="3:3" x14ac:dyDescent="0.35">
      <c r="C54004" s="2"/>
    </row>
    <row r="54005" spans="3:3" x14ac:dyDescent="0.35">
      <c r="C54005" s="2"/>
    </row>
    <row r="54006" spans="3:3" x14ac:dyDescent="0.35">
      <c r="C54006" s="2"/>
    </row>
    <row r="54007" spans="3:3" x14ac:dyDescent="0.35">
      <c r="C54007" s="2"/>
    </row>
    <row r="54008" spans="3:3" x14ac:dyDescent="0.35">
      <c r="C54008" s="2"/>
    </row>
    <row r="54009" spans="3:3" x14ac:dyDescent="0.35">
      <c r="C54009" s="2"/>
    </row>
    <row r="54010" spans="3:3" x14ac:dyDescent="0.35">
      <c r="C54010" s="2"/>
    </row>
    <row r="54011" spans="3:3" x14ac:dyDescent="0.35">
      <c r="C54011" s="2"/>
    </row>
    <row r="54012" spans="3:3" x14ac:dyDescent="0.35">
      <c r="C54012" s="2"/>
    </row>
    <row r="54013" spans="3:3" x14ac:dyDescent="0.35">
      <c r="C54013" s="2"/>
    </row>
    <row r="54014" spans="3:3" x14ac:dyDescent="0.35">
      <c r="C54014" s="2"/>
    </row>
    <row r="54015" spans="3:3" x14ac:dyDescent="0.35">
      <c r="C54015" s="2"/>
    </row>
    <row r="54016" spans="3:3" x14ac:dyDescent="0.35">
      <c r="C54016" s="2"/>
    </row>
    <row r="54017" spans="3:3" x14ac:dyDescent="0.35">
      <c r="C54017" s="2"/>
    </row>
    <row r="54018" spans="3:3" x14ac:dyDescent="0.35">
      <c r="C54018" s="2"/>
    </row>
    <row r="54019" spans="3:3" x14ac:dyDescent="0.35">
      <c r="C54019" s="2"/>
    </row>
    <row r="54020" spans="3:3" x14ac:dyDescent="0.35">
      <c r="C54020" s="2"/>
    </row>
    <row r="54021" spans="3:3" x14ac:dyDescent="0.35">
      <c r="C54021" s="2"/>
    </row>
    <row r="54022" spans="3:3" x14ac:dyDescent="0.35">
      <c r="C54022" s="2"/>
    </row>
    <row r="54023" spans="3:3" x14ac:dyDescent="0.35">
      <c r="C54023" s="2"/>
    </row>
    <row r="54024" spans="3:3" x14ac:dyDescent="0.35">
      <c r="C54024" s="2"/>
    </row>
    <row r="54025" spans="3:3" x14ac:dyDescent="0.35">
      <c r="C54025" s="2"/>
    </row>
    <row r="54026" spans="3:3" x14ac:dyDescent="0.35">
      <c r="C54026" s="2"/>
    </row>
    <row r="54027" spans="3:3" x14ac:dyDescent="0.35">
      <c r="C54027" s="2"/>
    </row>
    <row r="54028" spans="3:3" x14ac:dyDescent="0.35">
      <c r="C54028" s="2"/>
    </row>
    <row r="54029" spans="3:3" x14ac:dyDescent="0.35">
      <c r="C54029" s="2"/>
    </row>
    <row r="54030" spans="3:3" x14ac:dyDescent="0.35">
      <c r="C54030" s="2"/>
    </row>
    <row r="54031" spans="3:3" x14ac:dyDescent="0.35">
      <c r="C54031" s="2"/>
    </row>
    <row r="54032" spans="3:3" x14ac:dyDescent="0.35">
      <c r="C54032" s="2"/>
    </row>
    <row r="54033" spans="3:3" x14ac:dyDescent="0.35">
      <c r="C54033" s="2"/>
    </row>
    <row r="54034" spans="3:3" x14ac:dyDescent="0.35">
      <c r="C54034" s="2"/>
    </row>
    <row r="54035" spans="3:3" x14ac:dyDescent="0.35">
      <c r="C54035" s="2"/>
    </row>
    <row r="54036" spans="3:3" x14ac:dyDescent="0.35">
      <c r="C54036" s="2"/>
    </row>
    <row r="54037" spans="3:3" x14ac:dyDescent="0.35">
      <c r="C54037" s="2"/>
    </row>
    <row r="54038" spans="3:3" x14ac:dyDescent="0.35">
      <c r="C54038" s="2"/>
    </row>
    <row r="54039" spans="3:3" x14ac:dyDescent="0.35">
      <c r="C54039" s="2"/>
    </row>
    <row r="54040" spans="3:3" x14ac:dyDescent="0.35">
      <c r="C54040" s="2"/>
    </row>
    <row r="54041" spans="3:3" x14ac:dyDescent="0.35">
      <c r="C54041" s="2"/>
    </row>
    <row r="54042" spans="3:3" x14ac:dyDescent="0.35">
      <c r="C54042" s="2"/>
    </row>
    <row r="54043" spans="3:3" x14ac:dyDescent="0.35">
      <c r="C54043" s="2"/>
    </row>
    <row r="54044" spans="3:3" x14ac:dyDescent="0.35">
      <c r="C54044" s="2"/>
    </row>
    <row r="54045" spans="3:3" x14ac:dyDescent="0.35">
      <c r="C54045" s="2"/>
    </row>
    <row r="54046" spans="3:3" x14ac:dyDescent="0.35">
      <c r="C54046" s="2"/>
    </row>
    <row r="54047" spans="3:3" x14ac:dyDescent="0.35">
      <c r="C54047" s="2"/>
    </row>
    <row r="54048" spans="3:3" x14ac:dyDescent="0.35">
      <c r="C54048" s="2"/>
    </row>
    <row r="54049" spans="3:3" x14ac:dyDescent="0.35">
      <c r="C54049" s="2"/>
    </row>
    <row r="54050" spans="3:3" x14ac:dyDescent="0.35">
      <c r="C54050" s="2"/>
    </row>
    <row r="54051" spans="3:3" x14ac:dyDescent="0.35">
      <c r="C54051" s="2"/>
    </row>
    <row r="54052" spans="3:3" x14ac:dyDescent="0.35">
      <c r="C54052" s="2"/>
    </row>
    <row r="54053" spans="3:3" x14ac:dyDescent="0.35">
      <c r="C54053" s="2"/>
    </row>
    <row r="54054" spans="3:3" x14ac:dyDescent="0.35">
      <c r="C54054" s="2"/>
    </row>
    <row r="54055" spans="3:3" x14ac:dyDescent="0.35">
      <c r="C54055" s="2"/>
    </row>
    <row r="54056" spans="3:3" x14ac:dyDescent="0.35">
      <c r="C54056" s="2"/>
    </row>
    <row r="54057" spans="3:3" x14ac:dyDescent="0.35">
      <c r="C54057" s="2"/>
    </row>
    <row r="54058" spans="3:3" x14ac:dyDescent="0.35">
      <c r="C54058" s="2"/>
    </row>
    <row r="54059" spans="3:3" x14ac:dyDescent="0.35">
      <c r="C54059" s="2"/>
    </row>
    <row r="54060" spans="3:3" x14ac:dyDescent="0.35">
      <c r="C54060" s="2"/>
    </row>
    <row r="54061" spans="3:3" x14ac:dyDescent="0.35">
      <c r="C54061" s="2"/>
    </row>
    <row r="54062" spans="3:3" x14ac:dyDescent="0.35">
      <c r="C54062" s="2"/>
    </row>
    <row r="54063" spans="3:3" x14ac:dyDescent="0.35">
      <c r="C54063" s="2"/>
    </row>
    <row r="54064" spans="3:3" x14ac:dyDescent="0.35">
      <c r="C54064" s="2"/>
    </row>
    <row r="54065" spans="3:3" x14ac:dyDescent="0.35">
      <c r="C54065" s="2"/>
    </row>
    <row r="54066" spans="3:3" x14ac:dyDescent="0.35">
      <c r="C54066" s="2"/>
    </row>
    <row r="54067" spans="3:3" x14ac:dyDescent="0.35">
      <c r="C54067" s="2"/>
    </row>
    <row r="54068" spans="3:3" x14ac:dyDescent="0.35">
      <c r="C54068" s="2"/>
    </row>
    <row r="54069" spans="3:3" x14ac:dyDescent="0.35">
      <c r="C54069" s="2"/>
    </row>
    <row r="54070" spans="3:3" x14ac:dyDescent="0.35">
      <c r="C54070" s="2"/>
    </row>
    <row r="54071" spans="3:3" x14ac:dyDescent="0.35">
      <c r="C54071" s="2"/>
    </row>
    <row r="54072" spans="3:3" x14ac:dyDescent="0.35">
      <c r="C54072" s="2"/>
    </row>
    <row r="54073" spans="3:3" x14ac:dyDescent="0.35">
      <c r="C54073" s="2"/>
    </row>
    <row r="54074" spans="3:3" x14ac:dyDescent="0.35">
      <c r="C54074" s="2"/>
    </row>
    <row r="54075" spans="3:3" x14ac:dyDescent="0.35">
      <c r="C54075" s="2"/>
    </row>
    <row r="54076" spans="3:3" x14ac:dyDescent="0.35">
      <c r="C54076" s="2"/>
    </row>
    <row r="54077" spans="3:3" x14ac:dyDescent="0.35">
      <c r="C54077" s="2"/>
    </row>
    <row r="54078" spans="3:3" x14ac:dyDescent="0.35">
      <c r="C54078" s="2"/>
    </row>
    <row r="54079" spans="3:3" x14ac:dyDescent="0.35">
      <c r="C54079" s="2"/>
    </row>
    <row r="54080" spans="3:3" x14ac:dyDescent="0.35">
      <c r="C54080" s="2"/>
    </row>
    <row r="54081" spans="3:3" x14ac:dyDescent="0.35">
      <c r="C54081" s="2"/>
    </row>
    <row r="54082" spans="3:3" x14ac:dyDescent="0.35">
      <c r="C54082" s="2"/>
    </row>
    <row r="54083" spans="3:3" x14ac:dyDescent="0.35">
      <c r="C54083" s="2"/>
    </row>
    <row r="54084" spans="3:3" x14ac:dyDescent="0.35">
      <c r="C54084" s="2"/>
    </row>
    <row r="54085" spans="3:3" x14ac:dyDescent="0.35">
      <c r="C54085" s="2"/>
    </row>
    <row r="54086" spans="3:3" x14ac:dyDescent="0.35">
      <c r="C54086" s="2"/>
    </row>
    <row r="54087" spans="3:3" x14ac:dyDescent="0.35">
      <c r="C54087" s="2"/>
    </row>
    <row r="54088" spans="3:3" x14ac:dyDescent="0.35">
      <c r="C54088" s="2"/>
    </row>
    <row r="54089" spans="3:3" x14ac:dyDescent="0.35">
      <c r="C54089" s="2"/>
    </row>
    <row r="54090" spans="3:3" x14ac:dyDescent="0.35">
      <c r="C54090" s="2"/>
    </row>
    <row r="54091" spans="3:3" x14ac:dyDescent="0.35">
      <c r="C54091" s="2"/>
    </row>
    <row r="54092" spans="3:3" x14ac:dyDescent="0.35">
      <c r="C54092" s="2"/>
    </row>
    <row r="54093" spans="3:3" x14ac:dyDescent="0.35">
      <c r="C54093" s="2"/>
    </row>
    <row r="54094" spans="3:3" x14ac:dyDescent="0.35">
      <c r="C54094" s="2"/>
    </row>
    <row r="54095" spans="3:3" x14ac:dyDescent="0.35">
      <c r="C54095" s="2"/>
    </row>
    <row r="54096" spans="3:3" x14ac:dyDescent="0.35">
      <c r="C54096" s="2"/>
    </row>
    <row r="54097" spans="3:3" x14ac:dyDescent="0.35">
      <c r="C54097" s="2"/>
    </row>
    <row r="54098" spans="3:3" x14ac:dyDescent="0.35">
      <c r="C54098" s="2"/>
    </row>
    <row r="54099" spans="3:3" x14ac:dyDescent="0.35">
      <c r="C54099" s="2"/>
    </row>
    <row r="54100" spans="3:3" x14ac:dyDescent="0.35">
      <c r="C54100" s="2"/>
    </row>
    <row r="54101" spans="3:3" x14ac:dyDescent="0.35">
      <c r="C54101" s="2"/>
    </row>
    <row r="54102" spans="3:3" x14ac:dyDescent="0.35">
      <c r="C54102" s="2"/>
    </row>
    <row r="54103" spans="3:3" x14ac:dyDescent="0.35">
      <c r="C54103" s="2"/>
    </row>
    <row r="54104" spans="3:3" x14ac:dyDescent="0.35">
      <c r="C54104" s="2"/>
    </row>
    <row r="54105" spans="3:3" x14ac:dyDescent="0.35">
      <c r="C54105" s="2"/>
    </row>
    <row r="54106" spans="3:3" x14ac:dyDescent="0.35">
      <c r="C54106" s="2"/>
    </row>
    <row r="54107" spans="3:3" x14ac:dyDescent="0.35">
      <c r="C54107" s="2"/>
    </row>
    <row r="54108" spans="3:3" x14ac:dyDescent="0.35">
      <c r="C54108" s="2"/>
    </row>
    <row r="54109" spans="3:3" x14ac:dyDescent="0.35">
      <c r="C54109" s="2"/>
    </row>
    <row r="54110" spans="3:3" x14ac:dyDescent="0.35">
      <c r="C54110" s="2"/>
    </row>
    <row r="54111" spans="3:3" x14ac:dyDescent="0.35">
      <c r="C54111" s="2"/>
    </row>
    <row r="54112" spans="3:3" x14ac:dyDescent="0.35">
      <c r="C54112" s="2"/>
    </row>
    <row r="54113" spans="3:3" x14ac:dyDescent="0.35">
      <c r="C54113" s="2"/>
    </row>
    <row r="54114" spans="3:3" x14ac:dyDescent="0.35">
      <c r="C54114" s="2"/>
    </row>
    <row r="54115" spans="3:3" x14ac:dyDescent="0.35">
      <c r="C54115" s="2"/>
    </row>
    <row r="54116" spans="3:3" x14ac:dyDescent="0.35">
      <c r="C54116" s="2"/>
    </row>
    <row r="54117" spans="3:3" x14ac:dyDescent="0.35">
      <c r="C54117" s="2"/>
    </row>
    <row r="54118" spans="3:3" x14ac:dyDescent="0.35">
      <c r="C54118" s="2"/>
    </row>
    <row r="54119" spans="3:3" x14ac:dyDescent="0.35">
      <c r="C54119" s="2"/>
    </row>
    <row r="54120" spans="3:3" x14ac:dyDescent="0.35">
      <c r="C54120" s="2"/>
    </row>
    <row r="54121" spans="3:3" x14ac:dyDescent="0.35">
      <c r="C54121" s="2"/>
    </row>
    <row r="54122" spans="3:3" x14ac:dyDescent="0.35">
      <c r="C54122" s="2"/>
    </row>
    <row r="54123" spans="3:3" x14ac:dyDescent="0.35">
      <c r="C54123" s="2"/>
    </row>
    <row r="54124" spans="3:3" x14ac:dyDescent="0.35">
      <c r="C54124" s="2"/>
    </row>
    <row r="54125" spans="3:3" x14ac:dyDescent="0.35">
      <c r="C54125" s="2"/>
    </row>
    <row r="54126" spans="3:3" x14ac:dyDescent="0.35">
      <c r="C54126" s="2"/>
    </row>
    <row r="54127" spans="3:3" x14ac:dyDescent="0.35">
      <c r="C54127" s="2"/>
    </row>
    <row r="54128" spans="3:3" x14ac:dyDescent="0.35">
      <c r="C54128" s="2"/>
    </row>
    <row r="54129" spans="3:3" x14ac:dyDescent="0.35">
      <c r="C54129" s="2"/>
    </row>
    <row r="54130" spans="3:3" x14ac:dyDescent="0.35">
      <c r="C54130" s="2"/>
    </row>
    <row r="54131" spans="3:3" x14ac:dyDescent="0.35">
      <c r="C54131" s="2"/>
    </row>
    <row r="54132" spans="3:3" x14ac:dyDescent="0.35">
      <c r="C54132" s="2"/>
    </row>
    <row r="54133" spans="3:3" x14ac:dyDescent="0.35">
      <c r="C54133" s="2"/>
    </row>
    <row r="54134" spans="3:3" x14ac:dyDescent="0.35">
      <c r="C54134" s="2"/>
    </row>
    <row r="54135" spans="3:3" x14ac:dyDescent="0.35">
      <c r="C54135" s="2"/>
    </row>
    <row r="54136" spans="3:3" x14ac:dyDescent="0.35">
      <c r="C54136" s="2"/>
    </row>
    <row r="54137" spans="3:3" x14ac:dyDescent="0.35">
      <c r="C54137" s="2"/>
    </row>
    <row r="54138" spans="3:3" x14ac:dyDescent="0.35">
      <c r="C54138" s="2"/>
    </row>
    <row r="54139" spans="3:3" x14ac:dyDescent="0.35">
      <c r="C54139" s="2"/>
    </row>
    <row r="54140" spans="3:3" x14ac:dyDescent="0.35">
      <c r="C54140" s="2"/>
    </row>
    <row r="54141" spans="3:3" x14ac:dyDescent="0.35">
      <c r="C54141" s="2"/>
    </row>
    <row r="54142" spans="3:3" x14ac:dyDescent="0.35">
      <c r="C54142" s="2"/>
    </row>
    <row r="54143" spans="3:3" x14ac:dyDescent="0.35">
      <c r="C54143" s="2"/>
    </row>
    <row r="54144" spans="3:3" x14ac:dyDescent="0.35">
      <c r="C54144" s="2"/>
    </row>
    <row r="54145" spans="3:3" x14ac:dyDescent="0.35">
      <c r="C54145" s="2"/>
    </row>
    <row r="54146" spans="3:3" x14ac:dyDescent="0.35">
      <c r="C54146" s="2"/>
    </row>
    <row r="54147" spans="3:3" x14ac:dyDescent="0.35">
      <c r="C54147" s="2"/>
    </row>
    <row r="54148" spans="3:3" x14ac:dyDescent="0.35">
      <c r="C54148" s="2"/>
    </row>
    <row r="54149" spans="3:3" x14ac:dyDescent="0.35">
      <c r="C54149" s="2"/>
    </row>
    <row r="54150" spans="3:3" x14ac:dyDescent="0.35">
      <c r="C54150" s="2"/>
    </row>
    <row r="54151" spans="3:3" x14ac:dyDescent="0.35">
      <c r="C54151" s="2"/>
    </row>
    <row r="54152" spans="3:3" x14ac:dyDescent="0.35">
      <c r="C54152" s="2"/>
    </row>
    <row r="54153" spans="3:3" x14ac:dyDescent="0.35">
      <c r="C54153" s="2"/>
    </row>
    <row r="54154" spans="3:3" x14ac:dyDescent="0.35">
      <c r="C54154" s="2"/>
    </row>
    <row r="54155" spans="3:3" x14ac:dyDescent="0.35">
      <c r="C54155" s="2"/>
    </row>
    <row r="54156" spans="3:3" x14ac:dyDescent="0.35">
      <c r="C54156" s="2"/>
    </row>
    <row r="54157" spans="3:3" x14ac:dyDescent="0.35">
      <c r="C54157" s="2"/>
    </row>
    <row r="54158" spans="3:3" x14ac:dyDescent="0.35">
      <c r="C54158" s="2"/>
    </row>
    <row r="54159" spans="3:3" x14ac:dyDescent="0.35">
      <c r="C54159" s="2"/>
    </row>
    <row r="54160" spans="3:3" x14ac:dyDescent="0.35">
      <c r="C54160" s="2"/>
    </row>
    <row r="54161" spans="3:3" x14ac:dyDescent="0.35">
      <c r="C54161" s="2"/>
    </row>
    <row r="54162" spans="3:3" x14ac:dyDescent="0.35">
      <c r="C54162" s="2"/>
    </row>
    <row r="54163" spans="3:3" x14ac:dyDescent="0.35">
      <c r="C54163" s="2"/>
    </row>
    <row r="54164" spans="3:3" x14ac:dyDescent="0.35">
      <c r="C54164" s="2"/>
    </row>
    <row r="54165" spans="3:3" x14ac:dyDescent="0.35">
      <c r="C54165" s="2"/>
    </row>
    <row r="54166" spans="3:3" x14ac:dyDescent="0.35">
      <c r="C54166" s="2"/>
    </row>
    <row r="54167" spans="3:3" x14ac:dyDescent="0.35">
      <c r="C54167" s="2"/>
    </row>
    <row r="54168" spans="3:3" x14ac:dyDescent="0.35">
      <c r="C54168" s="2"/>
    </row>
    <row r="54169" spans="3:3" x14ac:dyDescent="0.35">
      <c r="C54169" s="2"/>
    </row>
    <row r="54170" spans="3:3" x14ac:dyDescent="0.35">
      <c r="C54170" s="2"/>
    </row>
    <row r="54171" spans="3:3" x14ac:dyDescent="0.35">
      <c r="C54171" s="2"/>
    </row>
    <row r="54172" spans="3:3" x14ac:dyDescent="0.35">
      <c r="C54172" s="2"/>
    </row>
    <row r="54173" spans="3:3" x14ac:dyDescent="0.35">
      <c r="C54173" s="2"/>
    </row>
    <row r="54174" spans="3:3" x14ac:dyDescent="0.35">
      <c r="C54174" s="2"/>
    </row>
    <row r="54175" spans="3:3" x14ac:dyDescent="0.35">
      <c r="C54175" s="2"/>
    </row>
    <row r="54176" spans="3:3" x14ac:dyDescent="0.35">
      <c r="C54176" s="2"/>
    </row>
    <row r="54177" spans="3:3" x14ac:dyDescent="0.35">
      <c r="C54177" s="2"/>
    </row>
    <row r="54178" spans="3:3" x14ac:dyDescent="0.35">
      <c r="C54178" s="2"/>
    </row>
    <row r="54179" spans="3:3" x14ac:dyDescent="0.35">
      <c r="C54179" s="2"/>
    </row>
    <row r="54180" spans="3:3" x14ac:dyDescent="0.35">
      <c r="C54180" s="2"/>
    </row>
    <row r="54181" spans="3:3" x14ac:dyDescent="0.35">
      <c r="C54181" s="2"/>
    </row>
    <row r="54182" spans="3:3" x14ac:dyDescent="0.35">
      <c r="C54182" s="2"/>
    </row>
    <row r="54183" spans="3:3" x14ac:dyDescent="0.35">
      <c r="C54183" s="2"/>
    </row>
    <row r="54184" spans="3:3" x14ac:dyDescent="0.35">
      <c r="C54184" s="2"/>
    </row>
    <row r="54185" spans="3:3" x14ac:dyDescent="0.35">
      <c r="C54185" s="2"/>
    </row>
    <row r="54186" spans="3:3" x14ac:dyDescent="0.35">
      <c r="C54186" s="2"/>
    </row>
    <row r="54187" spans="3:3" x14ac:dyDescent="0.35">
      <c r="C54187" s="2"/>
    </row>
    <row r="54188" spans="3:3" x14ac:dyDescent="0.35">
      <c r="C54188" s="2"/>
    </row>
    <row r="54189" spans="3:3" x14ac:dyDescent="0.35">
      <c r="C54189" s="2"/>
    </row>
    <row r="54190" spans="3:3" x14ac:dyDescent="0.35">
      <c r="C54190" s="2"/>
    </row>
    <row r="54191" spans="3:3" x14ac:dyDescent="0.35">
      <c r="C54191" s="2"/>
    </row>
    <row r="54192" spans="3:3" x14ac:dyDescent="0.35">
      <c r="C54192" s="2"/>
    </row>
    <row r="54193" spans="3:3" x14ac:dyDescent="0.35">
      <c r="C54193" s="2"/>
    </row>
    <row r="54194" spans="3:3" x14ac:dyDescent="0.35">
      <c r="C54194" s="2"/>
    </row>
    <row r="54195" spans="3:3" x14ac:dyDescent="0.35">
      <c r="C54195" s="2"/>
    </row>
    <row r="54196" spans="3:3" x14ac:dyDescent="0.35">
      <c r="C54196" s="2"/>
    </row>
    <row r="54197" spans="3:3" x14ac:dyDescent="0.35">
      <c r="C54197" s="2"/>
    </row>
    <row r="54198" spans="3:3" x14ac:dyDescent="0.35">
      <c r="C54198" s="2"/>
    </row>
    <row r="54199" spans="3:3" x14ac:dyDescent="0.35">
      <c r="C54199" s="2"/>
    </row>
    <row r="54200" spans="3:3" x14ac:dyDescent="0.35">
      <c r="C54200" s="2"/>
    </row>
    <row r="54201" spans="3:3" x14ac:dyDescent="0.35">
      <c r="C54201" s="2"/>
    </row>
    <row r="54202" spans="3:3" x14ac:dyDescent="0.35">
      <c r="C54202" s="2"/>
    </row>
    <row r="54203" spans="3:3" x14ac:dyDescent="0.35">
      <c r="C54203" s="2"/>
    </row>
    <row r="54204" spans="3:3" x14ac:dyDescent="0.35">
      <c r="C54204" s="2"/>
    </row>
    <row r="54205" spans="3:3" x14ac:dyDescent="0.35">
      <c r="C54205" s="2"/>
    </row>
    <row r="54206" spans="3:3" x14ac:dyDescent="0.35">
      <c r="C54206" s="2"/>
    </row>
    <row r="54207" spans="3:3" x14ac:dyDescent="0.35">
      <c r="C54207" s="2"/>
    </row>
    <row r="54208" spans="3:3" x14ac:dyDescent="0.35">
      <c r="C54208" s="2"/>
    </row>
    <row r="54209" spans="3:3" x14ac:dyDescent="0.35">
      <c r="C54209" s="2"/>
    </row>
    <row r="54210" spans="3:3" x14ac:dyDescent="0.35">
      <c r="C54210" s="2"/>
    </row>
    <row r="54211" spans="3:3" x14ac:dyDescent="0.35">
      <c r="C54211" s="2"/>
    </row>
    <row r="54212" spans="3:3" x14ac:dyDescent="0.35">
      <c r="C54212" s="2"/>
    </row>
    <row r="54213" spans="3:3" x14ac:dyDescent="0.35">
      <c r="C54213" s="2"/>
    </row>
    <row r="54214" spans="3:3" x14ac:dyDescent="0.35">
      <c r="C54214" s="2"/>
    </row>
    <row r="54215" spans="3:3" x14ac:dyDescent="0.35">
      <c r="C54215" s="2"/>
    </row>
    <row r="54216" spans="3:3" x14ac:dyDescent="0.35">
      <c r="C54216" s="2"/>
    </row>
    <row r="54217" spans="3:3" x14ac:dyDescent="0.35">
      <c r="C54217" s="2"/>
    </row>
    <row r="54218" spans="3:3" x14ac:dyDescent="0.35">
      <c r="C54218" s="2"/>
    </row>
    <row r="54219" spans="3:3" x14ac:dyDescent="0.35">
      <c r="C54219" s="2"/>
    </row>
    <row r="54220" spans="3:3" x14ac:dyDescent="0.35">
      <c r="C54220" s="2"/>
    </row>
    <row r="54221" spans="3:3" x14ac:dyDescent="0.35">
      <c r="C54221" s="2"/>
    </row>
    <row r="54222" spans="3:3" x14ac:dyDescent="0.35">
      <c r="C54222" s="2"/>
    </row>
    <row r="54223" spans="3:3" x14ac:dyDescent="0.35">
      <c r="C54223" s="2"/>
    </row>
    <row r="54224" spans="3:3" x14ac:dyDescent="0.35">
      <c r="C54224" s="2"/>
    </row>
    <row r="54225" spans="3:3" x14ac:dyDescent="0.35">
      <c r="C54225" s="2"/>
    </row>
    <row r="54226" spans="3:3" x14ac:dyDescent="0.35">
      <c r="C54226" s="2"/>
    </row>
    <row r="54227" spans="3:3" x14ac:dyDescent="0.35">
      <c r="C54227" s="2"/>
    </row>
    <row r="54228" spans="3:3" x14ac:dyDescent="0.35">
      <c r="C54228" s="2"/>
    </row>
    <row r="54229" spans="3:3" x14ac:dyDescent="0.35">
      <c r="C54229" s="2"/>
    </row>
    <row r="54230" spans="3:3" x14ac:dyDescent="0.35">
      <c r="C54230" s="2"/>
    </row>
    <row r="54231" spans="3:3" x14ac:dyDescent="0.35">
      <c r="C54231" s="2"/>
    </row>
    <row r="54232" spans="3:3" x14ac:dyDescent="0.35">
      <c r="C54232" s="2"/>
    </row>
    <row r="54233" spans="3:3" x14ac:dyDescent="0.35">
      <c r="C54233" s="2"/>
    </row>
    <row r="54234" spans="3:3" x14ac:dyDescent="0.35">
      <c r="C54234" s="2"/>
    </row>
    <row r="54235" spans="3:3" x14ac:dyDescent="0.35">
      <c r="C54235" s="2"/>
    </row>
    <row r="54236" spans="3:3" x14ac:dyDescent="0.35">
      <c r="C54236" s="2"/>
    </row>
    <row r="54237" spans="3:3" x14ac:dyDescent="0.35">
      <c r="C54237" s="2"/>
    </row>
    <row r="54238" spans="3:3" x14ac:dyDescent="0.35">
      <c r="C54238" s="2"/>
    </row>
    <row r="54239" spans="3:3" x14ac:dyDescent="0.35">
      <c r="C54239" s="2"/>
    </row>
    <row r="54240" spans="3:3" x14ac:dyDescent="0.35">
      <c r="C54240" s="2"/>
    </row>
    <row r="54241" spans="3:3" x14ac:dyDescent="0.35">
      <c r="C54241" s="2"/>
    </row>
    <row r="54242" spans="3:3" x14ac:dyDescent="0.35">
      <c r="C54242" s="2"/>
    </row>
    <row r="54243" spans="3:3" x14ac:dyDescent="0.35">
      <c r="C54243" s="2"/>
    </row>
    <row r="54244" spans="3:3" x14ac:dyDescent="0.35">
      <c r="C54244" s="2"/>
    </row>
    <row r="54245" spans="3:3" x14ac:dyDescent="0.35">
      <c r="C54245" s="2"/>
    </row>
    <row r="54246" spans="3:3" x14ac:dyDescent="0.35">
      <c r="C54246" s="2"/>
    </row>
    <row r="54247" spans="3:3" x14ac:dyDescent="0.35">
      <c r="C54247" s="2"/>
    </row>
    <row r="54248" spans="3:3" x14ac:dyDescent="0.35">
      <c r="C54248" s="2"/>
    </row>
    <row r="54249" spans="3:3" x14ac:dyDescent="0.35">
      <c r="C54249" s="2"/>
    </row>
    <row r="54250" spans="3:3" x14ac:dyDescent="0.35">
      <c r="C54250" s="2"/>
    </row>
    <row r="54251" spans="3:3" x14ac:dyDescent="0.35">
      <c r="C54251" s="2"/>
    </row>
    <row r="54252" spans="3:3" x14ac:dyDescent="0.35">
      <c r="C54252" s="2"/>
    </row>
    <row r="54253" spans="3:3" x14ac:dyDescent="0.35">
      <c r="C54253" s="2"/>
    </row>
    <row r="54254" spans="3:3" x14ac:dyDescent="0.35">
      <c r="C54254" s="2"/>
    </row>
    <row r="54255" spans="3:3" x14ac:dyDescent="0.35">
      <c r="C54255" s="2"/>
    </row>
    <row r="54256" spans="3:3" x14ac:dyDescent="0.35">
      <c r="C54256" s="2"/>
    </row>
    <row r="54257" spans="3:3" x14ac:dyDescent="0.35">
      <c r="C54257" s="2"/>
    </row>
    <row r="54258" spans="3:3" x14ac:dyDescent="0.35">
      <c r="C54258" s="2"/>
    </row>
    <row r="54259" spans="3:3" x14ac:dyDescent="0.35">
      <c r="C54259" s="2"/>
    </row>
    <row r="54260" spans="3:3" x14ac:dyDescent="0.35">
      <c r="C54260" s="2"/>
    </row>
    <row r="54261" spans="3:3" x14ac:dyDescent="0.35">
      <c r="C54261" s="2"/>
    </row>
    <row r="54262" spans="3:3" x14ac:dyDescent="0.35">
      <c r="C54262" s="2"/>
    </row>
    <row r="54263" spans="3:3" x14ac:dyDescent="0.35">
      <c r="C54263" s="2"/>
    </row>
    <row r="54264" spans="3:3" x14ac:dyDescent="0.35">
      <c r="C54264" s="2"/>
    </row>
    <row r="54265" spans="3:3" x14ac:dyDescent="0.35">
      <c r="C54265" s="2"/>
    </row>
    <row r="54266" spans="3:3" x14ac:dyDescent="0.35">
      <c r="C54266" s="2"/>
    </row>
    <row r="54267" spans="3:3" x14ac:dyDescent="0.35">
      <c r="C54267" s="2"/>
    </row>
    <row r="54268" spans="3:3" x14ac:dyDescent="0.35">
      <c r="C54268" s="2"/>
    </row>
    <row r="54269" spans="3:3" x14ac:dyDescent="0.35">
      <c r="C54269" s="2"/>
    </row>
    <row r="54270" spans="3:3" x14ac:dyDescent="0.35">
      <c r="C54270" s="2"/>
    </row>
    <row r="54271" spans="3:3" x14ac:dyDescent="0.35">
      <c r="C54271" s="2"/>
    </row>
    <row r="54272" spans="3:3" x14ac:dyDescent="0.35">
      <c r="C54272" s="2"/>
    </row>
    <row r="54273" spans="3:3" x14ac:dyDescent="0.35">
      <c r="C54273" s="2"/>
    </row>
    <row r="54274" spans="3:3" x14ac:dyDescent="0.35">
      <c r="C54274" s="2"/>
    </row>
    <row r="54275" spans="3:3" x14ac:dyDescent="0.35">
      <c r="C54275" s="2"/>
    </row>
    <row r="54276" spans="3:3" x14ac:dyDescent="0.35">
      <c r="C54276" s="2"/>
    </row>
    <row r="54277" spans="3:3" x14ac:dyDescent="0.35">
      <c r="C54277" s="2"/>
    </row>
    <row r="54278" spans="3:3" x14ac:dyDescent="0.35">
      <c r="C54278" s="2"/>
    </row>
    <row r="54279" spans="3:3" x14ac:dyDescent="0.35">
      <c r="C54279" s="2"/>
    </row>
    <row r="54280" spans="3:3" x14ac:dyDescent="0.35">
      <c r="C54280" s="2"/>
    </row>
    <row r="54281" spans="3:3" x14ac:dyDescent="0.35">
      <c r="C54281" s="2"/>
    </row>
    <row r="54282" spans="3:3" x14ac:dyDescent="0.35">
      <c r="C54282" s="2"/>
    </row>
    <row r="54283" spans="3:3" x14ac:dyDescent="0.35">
      <c r="C54283" s="2"/>
    </row>
    <row r="54284" spans="3:3" x14ac:dyDescent="0.35">
      <c r="C54284" s="2"/>
    </row>
    <row r="54285" spans="3:3" x14ac:dyDescent="0.35">
      <c r="C54285" s="2"/>
    </row>
    <row r="54286" spans="3:3" x14ac:dyDescent="0.35">
      <c r="C54286" s="2"/>
    </row>
    <row r="54287" spans="3:3" x14ac:dyDescent="0.35">
      <c r="C54287" s="2"/>
    </row>
    <row r="54288" spans="3:3" x14ac:dyDescent="0.35">
      <c r="C54288" s="2"/>
    </row>
    <row r="54289" spans="3:3" x14ac:dyDescent="0.35">
      <c r="C54289" s="2"/>
    </row>
    <row r="54290" spans="3:3" x14ac:dyDescent="0.35">
      <c r="C54290" s="2"/>
    </row>
    <row r="54291" spans="3:3" x14ac:dyDescent="0.35">
      <c r="C54291" s="2"/>
    </row>
    <row r="54292" spans="3:3" x14ac:dyDescent="0.35">
      <c r="C54292" s="2"/>
    </row>
    <row r="54293" spans="3:3" x14ac:dyDescent="0.35">
      <c r="C54293" s="2"/>
    </row>
    <row r="54294" spans="3:3" x14ac:dyDescent="0.35">
      <c r="C54294" s="2"/>
    </row>
    <row r="54295" spans="3:3" x14ac:dyDescent="0.35">
      <c r="C54295" s="2"/>
    </row>
    <row r="54296" spans="3:3" x14ac:dyDescent="0.35">
      <c r="C54296" s="2"/>
    </row>
    <row r="54297" spans="3:3" x14ac:dyDescent="0.35">
      <c r="C54297" s="2"/>
    </row>
    <row r="54298" spans="3:3" x14ac:dyDescent="0.35">
      <c r="C54298" s="2"/>
    </row>
    <row r="54299" spans="3:3" x14ac:dyDescent="0.35">
      <c r="C54299" s="2"/>
    </row>
    <row r="54300" spans="3:3" x14ac:dyDescent="0.35">
      <c r="C54300" s="2"/>
    </row>
    <row r="54301" spans="3:3" x14ac:dyDescent="0.35">
      <c r="C54301" s="2"/>
    </row>
    <row r="54302" spans="3:3" x14ac:dyDescent="0.35">
      <c r="C54302" s="2"/>
    </row>
    <row r="54303" spans="3:3" x14ac:dyDescent="0.35">
      <c r="C54303" s="2"/>
    </row>
    <row r="54304" spans="3:3" x14ac:dyDescent="0.35">
      <c r="C54304" s="2"/>
    </row>
    <row r="54305" spans="3:3" x14ac:dyDescent="0.35">
      <c r="C54305" s="2"/>
    </row>
    <row r="54306" spans="3:3" x14ac:dyDescent="0.35">
      <c r="C54306" s="2"/>
    </row>
    <row r="54307" spans="3:3" x14ac:dyDescent="0.35">
      <c r="C54307" s="2"/>
    </row>
    <row r="54308" spans="3:3" x14ac:dyDescent="0.35">
      <c r="C54308" s="2"/>
    </row>
    <row r="54309" spans="3:3" x14ac:dyDescent="0.35">
      <c r="C54309" s="2"/>
    </row>
    <row r="54310" spans="3:3" x14ac:dyDescent="0.35">
      <c r="C54310" s="2"/>
    </row>
    <row r="54311" spans="3:3" x14ac:dyDescent="0.35">
      <c r="C54311" s="2"/>
    </row>
    <row r="54312" spans="3:3" x14ac:dyDescent="0.35">
      <c r="C54312" s="2"/>
    </row>
    <row r="54313" spans="3:3" x14ac:dyDescent="0.35">
      <c r="C54313" s="2"/>
    </row>
    <row r="54314" spans="3:3" x14ac:dyDescent="0.35">
      <c r="C54314" s="2"/>
    </row>
    <row r="54315" spans="3:3" x14ac:dyDescent="0.35">
      <c r="C54315" s="2"/>
    </row>
    <row r="54316" spans="3:3" x14ac:dyDescent="0.35">
      <c r="C54316" s="2"/>
    </row>
    <row r="54317" spans="3:3" x14ac:dyDescent="0.35">
      <c r="C54317" s="2"/>
    </row>
    <row r="54318" spans="3:3" x14ac:dyDescent="0.35">
      <c r="C54318" s="2"/>
    </row>
    <row r="54319" spans="3:3" x14ac:dyDescent="0.35">
      <c r="C54319" s="2"/>
    </row>
    <row r="54320" spans="3:3" x14ac:dyDescent="0.35">
      <c r="C54320" s="2"/>
    </row>
    <row r="54321" spans="3:3" x14ac:dyDescent="0.35">
      <c r="C54321" s="2"/>
    </row>
    <row r="54322" spans="3:3" x14ac:dyDescent="0.35">
      <c r="C54322" s="2"/>
    </row>
    <row r="54323" spans="3:3" x14ac:dyDescent="0.35">
      <c r="C54323" s="2"/>
    </row>
    <row r="54324" spans="3:3" x14ac:dyDescent="0.35">
      <c r="C54324" s="2"/>
    </row>
    <row r="54325" spans="3:3" x14ac:dyDescent="0.35">
      <c r="C54325" s="2"/>
    </row>
    <row r="54326" spans="3:3" x14ac:dyDescent="0.35">
      <c r="C54326" s="2"/>
    </row>
    <row r="54327" spans="3:3" x14ac:dyDescent="0.35">
      <c r="C54327" s="2"/>
    </row>
    <row r="54328" spans="3:3" x14ac:dyDescent="0.35">
      <c r="C54328" s="2"/>
    </row>
    <row r="54329" spans="3:3" x14ac:dyDescent="0.35">
      <c r="C54329" s="2"/>
    </row>
    <row r="54330" spans="3:3" x14ac:dyDescent="0.35">
      <c r="C54330" s="2"/>
    </row>
    <row r="54331" spans="3:3" x14ac:dyDescent="0.35">
      <c r="C54331" s="2"/>
    </row>
    <row r="54332" spans="3:3" x14ac:dyDescent="0.35">
      <c r="C54332" s="2"/>
    </row>
    <row r="54333" spans="3:3" x14ac:dyDescent="0.35">
      <c r="C54333" s="2"/>
    </row>
    <row r="54334" spans="3:3" x14ac:dyDescent="0.35">
      <c r="C54334" s="2"/>
    </row>
    <row r="54335" spans="3:3" x14ac:dyDescent="0.35">
      <c r="C54335" s="2"/>
    </row>
    <row r="54336" spans="3:3" x14ac:dyDescent="0.35">
      <c r="C54336" s="2"/>
    </row>
    <row r="54337" spans="3:3" x14ac:dyDescent="0.35">
      <c r="C54337" s="2"/>
    </row>
    <row r="54338" spans="3:3" x14ac:dyDescent="0.35">
      <c r="C54338" s="2"/>
    </row>
    <row r="54339" spans="3:3" x14ac:dyDescent="0.35">
      <c r="C54339" s="2"/>
    </row>
    <row r="54340" spans="3:3" x14ac:dyDescent="0.35">
      <c r="C54340" s="2"/>
    </row>
    <row r="54341" spans="3:3" x14ac:dyDescent="0.35">
      <c r="C54341" s="2"/>
    </row>
    <row r="54342" spans="3:3" x14ac:dyDescent="0.35">
      <c r="C54342" s="2"/>
    </row>
    <row r="54343" spans="3:3" x14ac:dyDescent="0.35">
      <c r="C54343" s="2"/>
    </row>
    <row r="54344" spans="3:3" x14ac:dyDescent="0.35">
      <c r="C54344" s="2"/>
    </row>
    <row r="54345" spans="3:3" x14ac:dyDescent="0.35">
      <c r="C54345" s="2"/>
    </row>
    <row r="54346" spans="3:3" x14ac:dyDescent="0.35">
      <c r="C54346" s="2"/>
    </row>
    <row r="54347" spans="3:3" x14ac:dyDescent="0.35">
      <c r="C54347" s="2"/>
    </row>
    <row r="54348" spans="3:3" x14ac:dyDescent="0.35">
      <c r="C54348" s="2"/>
    </row>
    <row r="54349" spans="3:3" x14ac:dyDescent="0.35">
      <c r="C54349" s="2"/>
    </row>
    <row r="54350" spans="3:3" x14ac:dyDescent="0.35">
      <c r="C54350" s="2"/>
    </row>
    <row r="54351" spans="3:3" x14ac:dyDescent="0.35">
      <c r="C54351" s="2"/>
    </row>
    <row r="54352" spans="3:3" x14ac:dyDescent="0.35">
      <c r="C54352" s="2"/>
    </row>
    <row r="54353" spans="3:3" x14ac:dyDescent="0.35">
      <c r="C54353" s="2"/>
    </row>
    <row r="54354" spans="3:3" x14ac:dyDescent="0.35">
      <c r="C54354" s="2"/>
    </row>
    <row r="54355" spans="3:3" x14ac:dyDescent="0.35">
      <c r="C54355" s="2"/>
    </row>
    <row r="54356" spans="3:3" x14ac:dyDescent="0.35">
      <c r="C54356" s="2"/>
    </row>
    <row r="54357" spans="3:3" x14ac:dyDescent="0.35">
      <c r="C54357" s="2"/>
    </row>
    <row r="54358" spans="3:3" x14ac:dyDescent="0.35">
      <c r="C54358" s="2"/>
    </row>
    <row r="54359" spans="3:3" x14ac:dyDescent="0.35">
      <c r="C54359" s="2"/>
    </row>
    <row r="54360" spans="3:3" x14ac:dyDescent="0.35">
      <c r="C54360" s="2"/>
    </row>
    <row r="54361" spans="3:3" x14ac:dyDescent="0.35">
      <c r="C54361" s="2"/>
    </row>
    <row r="54362" spans="3:3" x14ac:dyDescent="0.35">
      <c r="C54362" s="2"/>
    </row>
    <row r="54363" spans="3:3" x14ac:dyDescent="0.35">
      <c r="C54363" s="2"/>
    </row>
    <row r="54364" spans="3:3" x14ac:dyDescent="0.35">
      <c r="C54364" s="2"/>
    </row>
    <row r="54365" spans="3:3" x14ac:dyDescent="0.35">
      <c r="C54365" s="2"/>
    </row>
    <row r="54366" spans="3:3" x14ac:dyDescent="0.35">
      <c r="C54366" s="2"/>
    </row>
    <row r="54367" spans="3:3" x14ac:dyDescent="0.35">
      <c r="C54367" s="2"/>
    </row>
    <row r="54368" spans="3:3" x14ac:dyDescent="0.35">
      <c r="C54368" s="2"/>
    </row>
    <row r="54369" spans="3:3" x14ac:dyDescent="0.35">
      <c r="C54369" s="2"/>
    </row>
    <row r="54370" spans="3:3" x14ac:dyDescent="0.35">
      <c r="C54370" s="2"/>
    </row>
    <row r="54371" spans="3:3" x14ac:dyDescent="0.35">
      <c r="C54371" s="2"/>
    </row>
    <row r="54372" spans="3:3" x14ac:dyDescent="0.35">
      <c r="C54372" s="2"/>
    </row>
    <row r="54373" spans="3:3" x14ac:dyDescent="0.35">
      <c r="C54373" s="2"/>
    </row>
    <row r="54374" spans="3:3" x14ac:dyDescent="0.35">
      <c r="C54374" s="2"/>
    </row>
    <row r="54375" spans="3:3" x14ac:dyDescent="0.35">
      <c r="C54375" s="2"/>
    </row>
    <row r="54376" spans="3:3" x14ac:dyDescent="0.35">
      <c r="C54376" s="2"/>
    </row>
    <row r="54377" spans="3:3" x14ac:dyDescent="0.35">
      <c r="C54377" s="2"/>
    </row>
    <row r="54378" spans="3:3" x14ac:dyDescent="0.35">
      <c r="C54378" s="2"/>
    </row>
    <row r="54379" spans="3:3" x14ac:dyDescent="0.35">
      <c r="C54379" s="2"/>
    </row>
    <row r="54380" spans="3:3" x14ac:dyDescent="0.35">
      <c r="C54380" s="2"/>
    </row>
    <row r="54381" spans="3:3" x14ac:dyDescent="0.35">
      <c r="C54381" s="2"/>
    </row>
    <row r="54382" spans="3:3" x14ac:dyDescent="0.35">
      <c r="C54382" s="2"/>
    </row>
    <row r="54383" spans="3:3" x14ac:dyDescent="0.35">
      <c r="C54383" s="2"/>
    </row>
    <row r="54384" spans="3:3" x14ac:dyDescent="0.35">
      <c r="C54384" s="2"/>
    </row>
    <row r="54385" spans="3:3" x14ac:dyDescent="0.35">
      <c r="C54385" s="2"/>
    </row>
    <row r="54386" spans="3:3" x14ac:dyDescent="0.35">
      <c r="C54386" s="2"/>
    </row>
    <row r="54387" spans="3:3" x14ac:dyDescent="0.35">
      <c r="C54387" s="2"/>
    </row>
    <row r="54388" spans="3:3" x14ac:dyDescent="0.35">
      <c r="C54388" s="2"/>
    </row>
    <row r="54389" spans="3:3" x14ac:dyDescent="0.35">
      <c r="C54389" s="2"/>
    </row>
    <row r="54390" spans="3:3" x14ac:dyDescent="0.35">
      <c r="C54390" s="2"/>
    </row>
    <row r="54391" spans="3:3" x14ac:dyDescent="0.35">
      <c r="C54391" s="2"/>
    </row>
    <row r="54392" spans="3:3" x14ac:dyDescent="0.35">
      <c r="C54392" s="2"/>
    </row>
    <row r="54393" spans="3:3" x14ac:dyDescent="0.35">
      <c r="C54393" s="2"/>
    </row>
    <row r="54394" spans="3:3" x14ac:dyDescent="0.35">
      <c r="C54394" s="2"/>
    </row>
    <row r="54395" spans="3:3" x14ac:dyDescent="0.35">
      <c r="C54395" s="2"/>
    </row>
    <row r="54396" spans="3:3" x14ac:dyDescent="0.35">
      <c r="C54396" s="2"/>
    </row>
    <row r="54397" spans="3:3" x14ac:dyDescent="0.35">
      <c r="C54397" s="2"/>
    </row>
    <row r="54398" spans="3:3" x14ac:dyDescent="0.35">
      <c r="C54398" s="2"/>
    </row>
    <row r="54399" spans="3:3" x14ac:dyDescent="0.35">
      <c r="C54399" s="2"/>
    </row>
    <row r="54400" spans="3:3" x14ac:dyDescent="0.35">
      <c r="C54400" s="2"/>
    </row>
    <row r="54401" spans="3:3" x14ac:dyDescent="0.35">
      <c r="C54401" s="2"/>
    </row>
    <row r="54402" spans="3:3" x14ac:dyDescent="0.35">
      <c r="C54402" s="2"/>
    </row>
    <row r="54403" spans="3:3" x14ac:dyDescent="0.35">
      <c r="C54403" s="2"/>
    </row>
    <row r="54404" spans="3:3" x14ac:dyDescent="0.35">
      <c r="C54404" s="2"/>
    </row>
    <row r="54405" spans="3:3" x14ac:dyDescent="0.35">
      <c r="C54405" s="2"/>
    </row>
    <row r="54406" spans="3:3" x14ac:dyDescent="0.35">
      <c r="C54406" s="2"/>
    </row>
    <row r="54407" spans="3:3" x14ac:dyDescent="0.35">
      <c r="C54407" s="2"/>
    </row>
    <row r="54408" spans="3:3" x14ac:dyDescent="0.35">
      <c r="C54408" s="2"/>
    </row>
    <row r="54409" spans="3:3" x14ac:dyDescent="0.35">
      <c r="C54409" s="2"/>
    </row>
    <row r="54410" spans="3:3" x14ac:dyDescent="0.35">
      <c r="C54410" s="2"/>
    </row>
    <row r="54411" spans="3:3" x14ac:dyDescent="0.35">
      <c r="C54411" s="2"/>
    </row>
    <row r="54412" spans="3:3" x14ac:dyDescent="0.35">
      <c r="C54412" s="2"/>
    </row>
    <row r="54413" spans="3:3" x14ac:dyDescent="0.35">
      <c r="C54413" s="2"/>
    </row>
    <row r="54414" spans="3:3" x14ac:dyDescent="0.35">
      <c r="C54414" s="2"/>
    </row>
    <row r="54415" spans="3:3" x14ac:dyDescent="0.35">
      <c r="C54415" s="2"/>
    </row>
    <row r="54416" spans="3:3" x14ac:dyDescent="0.35">
      <c r="C54416" s="2"/>
    </row>
    <row r="54417" spans="3:3" x14ac:dyDescent="0.35">
      <c r="C54417" s="2"/>
    </row>
    <row r="54418" spans="3:3" x14ac:dyDescent="0.35">
      <c r="C54418" s="2"/>
    </row>
    <row r="54419" spans="3:3" x14ac:dyDescent="0.35">
      <c r="C54419" s="2"/>
    </row>
    <row r="54420" spans="3:3" x14ac:dyDescent="0.35">
      <c r="C54420" s="2"/>
    </row>
    <row r="54421" spans="3:3" x14ac:dyDescent="0.35">
      <c r="C54421" s="2"/>
    </row>
    <row r="54422" spans="3:3" x14ac:dyDescent="0.35">
      <c r="C54422" s="2"/>
    </row>
    <row r="54423" spans="3:3" x14ac:dyDescent="0.35">
      <c r="C54423" s="2"/>
    </row>
    <row r="54424" spans="3:3" x14ac:dyDescent="0.35">
      <c r="C54424" s="2"/>
    </row>
    <row r="54425" spans="3:3" x14ac:dyDescent="0.35">
      <c r="C54425" s="2"/>
    </row>
    <row r="54426" spans="3:3" x14ac:dyDescent="0.35">
      <c r="C54426" s="2"/>
    </row>
    <row r="54427" spans="3:3" x14ac:dyDescent="0.35">
      <c r="C54427" s="2"/>
    </row>
    <row r="54428" spans="3:3" x14ac:dyDescent="0.35">
      <c r="C54428" s="2"/>
    </row>
    <row r="54429" spans="3:3" x14ac:dyDescent="0.35">
      <c r="C54429" s="2"/>
    </row>
    <row r="54430" spans="3:3" x14ac:dyDescent="0.35">
      <c r="C54430" s="2"/>
    </row>
    <row r="54431" spans="3:3" x14ac:dyDescent="0.35">
      <c r="C54431" s="2"/>
    </row>
    <row r="54432" spans="3:3" x14ac:dyDescent="0.35">
      <c r="C54432" s="2"/>
    </row>
    <row r="54433" spans="3:3" x14ac:dyDescent="0.35">
      <c r="C54433" s="2"/>
    </row>
    <row r="54434" spans="3:3" x14ac:dyDescent="0.35">
      <c r="C54434" s="2"/>
    </row>
    <row r="54435" spans="3:3" x14ac:dyDescent="0.35">
      <c r="C54435" s="2"/>
    </row>
    <row r="54436" spans="3:3" x14ac:dyDescent="0.35">
      <c r="C54436" s="2"/>
    </row>
    <row r="54437" spans="3:3" x14ac:dyDescent="0.35">
      <c r="C54437" s="2"/>
    </row>
    <row r="54438" spans="3:3" x14ac:dyDescent="0.35">
      <c r="C54438" s="2"/>
    </row>
    <row r="54439" spans="3:3" x14ac:dyDescent="0.35">
      <c r="C54439" s="2"/>
    </row>
    <row r="54440" spans="3:3" x14ac:dyDescent="0.35">
      <c r="C54440" s="2"/>
    </row>
    <row r="54441" spans="3:3" x14ac:dyDescent="0.35">
      <c r="C54441" s="2"/>
    </row>
    <row r="54442" spans="3:3" x14ac:dyDescent="0.35">
      <c r="C54442" s="2"/>
    </row>
    <row r="54443" spans="3:3" x14ac:dyDescent="0.35">
      <c r="C54443" s="2"/>
    </row>
    <row r="54444" spans="3:3" x14ac:dyDescent="0.35">
      <c r="C54444" s="2"/>
    </row>
    <row r="54445" spans="3:3" x14ac:dyDescent="0.35">
      <c r="C54445" s="2"/>
    </row>
    <row r="54446" spans="3:3" x14ac:dyDescent="0.35">
      <c r="C54446" s="2"/>
    </row>
    <row r="54447" spans="3:3" x14ac:dyDescent="0.35">
      <c r="C54447" s="2"/>
    </row>
    <row r="54448" spans="3:3" x14ac:dyDescent="0.35">
      <c r="C54448" s="2"/>
    </row>
    <row r="54449" spans="3:3" x14ac:dyDescent="0.35">
      <c r="C54449" s="2"/>
    </row>
    <row r="54450" spans="3:3" x14ac:dyDescent="0.35">
      <c r="C54450" s="2"/>
    </row>
    <row r="54451" spans="3:3" x14ac:dyDescent="0.35">
      <c r="C54451" s="2"/>
    </row>
    <row r="54452" spans="3:3" x14ac:dyDescent="0.35">
      <c r="C54452" s="2"/>
    </row>
    <row r="54453" spans="3:3" x14ac:dyDescent="0.35">
      <c r="C54453" s="2"/>
    </row>
    <row r="54454" spans="3:3" x14ac:dyDescent="0.35">
      <c r="C54454" s="2"/>
    </row>
    <row r="54455" spans="3:3" x14ac:dyDescent="0.35">
      <c r="C54455" s="2"/>
    </row>
    <row r="54456" spans="3:3" x14ac:dyDescent="0.35">
      <c r="C54456" s="2"/>
    </row>
    <row r="54457" spans="3:3" x14ac:dyDescent="0.35">
      <c r="C54457" s="2"/>
    </row>
    <row r="54458" spans="3:3" x14ac:dyDescent="0.35">
      <c r="C54458" s="2"/>
    </row>
    <row r="54459" spans="3:3" x14ac:dyDescent="0.35">
      <c r="C54459" s="2"/>
    </row>
    <row r="54460" spans="3:3" x14ac:dyDescent="0.35">
      <c r="C54460" s="2"/>
    </row>
    <row r="54461" spans="3:3" x14ac:dyDescent="0.35">
      <c r="C54461" s="2"/>
    </row>
    <row r="54462" spans="3:3" x14ac:dyDescent="0.35">
      <c r="C54462" s="2"/>
    </row>
    <row r="54463" spans="3:3" x14ac:dyDescent="0.35">
      <c r="C54463" s="2"/>
    </row>
    <row r="54464" spans="3:3" x14ac:dyDescent="0.35">
      <c r="C54464" s="2"/>
    </row>
    <row r="54465" spans="3:3" x14ac:dyDescent="0.35">
      <c r="C54465" s="2"/>
    </row>
    <row r="54466" spans="3:3" x14ac:dyDescent="0.35">
      <c r="C54466" s="2"/>
    </row>
    <row r="54467" spans="3:3" x14ac:dyDescent="0.35">
      <c r="C54467" s="2"/>
    </row>
    <row r="54468" spans="3:3" x14ac:dyDescent="0.35">
      <c r="C54468" s="2"/>
    </row>
    <row r="54469" spans="3:3" x14ac:dyDescent="0.35">
      <c r="C54469" s="2"/>
    </row>
    <row r="54470" spans="3:3" x14ac:dyDescent="0.35">
      <c r="C54470" s="2"/>
    </row>
    <row r="54471" spans="3:3" x14ac:dyDescent="0.35">
      <c r="C54471" s="2"/>
    </row>
    <row r="54472" spans="3:3" x14ac:dyDescent="0.35">
      <c r="C54472" s="2"/>
    </row>
    <row r="54473" spans="3:3" x14ac:dyDescent="0.35">
      <c r="C54473" s="2"/>
    </row>
    <row r="54474" spans="3:3" x14ac:dyDescent="0.35">
      <c r="C54474" s="2"/>
    </row>
    <row r="54475" spans="3:3" x14ac:dyDescent="0.35">
      <c r="C54475" s="2"/>
    </row>
    <row r="54476" spans="3:3" x14ac:dyDescent="0.35">
      <c r="C54476" s="2"/>
    </row>
    <row r="54477" spans="3:3" x14ac:dyDescent="0.35">
      <c r="C54477" s="2"/>
    </row>
    <row r="54478" spans="3:3" x14ac:dyDescent="0.35">
      <c r="C54478" s="2"/>
    </row>
    <row r="54479" spans="3:3" x14ac:dyDescent="0.35">
      <c r="C54479" s="2"/>
    </row>
    <row r="54480" spans="3:3" x14ac:dyDescent="0.35">
      <c r="C54480" s="2"/>
    </row>
    <row r="54481" spans="3:3" x14ac:dyDescent="0.35">
      <c r="C54481" s="2"/>
    </row>
    <row r="54482" spans="3:3" x14ac:dyDescent="0.35">
      <c r="C54482" s="2"/>
    </row>
    <row r="54483" spans="3:3" x14ac:dyDescent="0.35">
      <c r="C54483" s="2"/>
    </row>
    <row r="54484" spans="3:3" x14ac:dyDescent="0.35">
      <c r="C54484" s="2"/>
    </row>
    <row r="54485" spans="3:3" x14ac:dyDescent="0.35">
      <c r="C54485" s="2"/>
    </row>
    <row r="54486" spans="3:3" x14ac:dyDescent="0.35">
      <c r="C54486" s="2"/>
    </row>
    <row r="54487" spans="3:3" x14ac:dyDescent="0.35">
      <c r="C54487" s="2"/>
    </row>
    <row r="54488" spans="3:3" x14ac:dyDescent="0.35">
      <c r="C54488" s="2"/>
    </row>
    <row r="54489" spans="3:3" x14ac:dyDescent="0.35">
      <c r="C54489" s="2"/>
    </row>
    <row r="54490" spans="3:3" x14ac:dyDescent="0.35">
      <c r="C54490" s="2"/>
    </row>
    <row r="54491" spans="3:3" x14ac:dyDescent="0.35">
      <c r="C54491" s="2"/>
    </row>
    <row r="54492" spans="3:3" x14ac:dyDescent="0.35">
      <c r="C54492" s="2"/>
    </row>
    <row r="54493" spans="3:3" x14ac:dyDescent="0.35">
      <c r="C54493" s="2"/>
    </row>
    <row r="54494" spans="3:3" x14ac:dyDescent="0.35">
      <c r="C54494" s="2"/>
    </row>
    <row r="54495" spans="3:3" x14ac:dyDescent="0.35">
      <c r="C54495" s="2"/>
    </row>
    <row r="54496" spans="3:3" x14ac:dyDescent="0.35">
      <c r="C54496" s="2"/>
    </row>
    <row r="54497" spans="3:3" x14ac:dyDescent="0.35">
      <c r="C54497" s="2"/>
    </row>
    <row r="54498" spans="3:3" x14ac:dyDescent="0.35">
      <c r="C54498" s="2"/>
    </row>
    <row r="54499" spans="3:3" x14ac:dyDescent="0.35">
      <c r="C54499" s="2"/>
    </row>
    <row r="54500" spans="3:3" x14ac:dyDescent="0.35">
      <c r="C54500" s="2"/>
    </row>
    <row r="54501" spans="3:3" x14ac:dyDescent="0.35">
      <c r="C54501" s="2"/>
    </row>
    <row r="54502" spans="3:3" x14ac:dyDescent="0.35">
      <c r="C54502" s="2"/>
    </row>
    <row r="54503" spans="3:3" x14ac:dyDescent="0.35">
      <c r="C54503" s="2"/>
    </row>
    <row r="54504" spans="3:3" x14ac:dyDescent="0.35">
      <c r="C54504" s="2"/>
    </row>
    <row r="54505" spans="3:3" x14ac:dyDescent="0.35">
      <c r="C54505" s="2"/>
    </row>
    <row r="54506" spans="3:3" x14ac:dyDescent="0.35">
      <c r="C54506" s="2"/>
    </row>
    <row r="54507" spans="3:3" x14ac:dyDescent="0.35">
      <c r="C54507" s="2"/>
    </row>
    <row r="54508" spans="3:3" x14ac:dyDescent="0.35">
      <c r="C54508" s="2"/>
    </row>
    <row r="54509" spans="3:3" x14ac:dyDescent="0.35">
      <c r="C54509" s="2"/>
    </row>
    <row r="54510" spans="3:3" x14ac:dyDescent="0.35">
      <c r="C54510" s="2"/>
    </row>
    <row r="54511" spans="3:3" x14ac:dyDescent="0.35">
      <c r="C54511" s="2"/>
    </row>
    <row r="54512" spans="3:3" x14ac:dyDescent="0.35">
      <c r="C54512" s="2"/>
    </row>
    <row r="54513" spans="3:3" x14ac:dyDescent="0.35">
      <c r="C54513" s="2"/>
    </row>
    <row r="54514" spans="3:3" x14ac:dyDescent="0.35">
      <c r="C54514" s="2"/>
    </row>
    <row r="54515" spans="3:3" x14ac:dyDescent="0.35">
      <c r="C54515" s="2"/>
    </row>
    <row r="54516" spans="3:3" x14ac:dyDescent="0.35">
      <c r="C54516" s="2"/>
    </row>
    <row r="54517" spans="3:3" x14ac:dyDescent="0.35">
      <c r="C54517" s="2"/>
    </row>
    <row r="54518" spans="3:3" x14ac:dyDescent="0.35">
      <c r="C54518" s="2"/>
    </row>
    <row r="54519" spans="3:3" x14ac:dyDescent="0.35">
      <c r="C54519" s="2"/>
    </row>
    <row r="54520" spans="3:3" x14ac:dyDescent="0.35">
      <c r="C54520" s="2"/>
    </row>
    <row r="54521" spans="3:3" x14ac:dyDescent="0.35">
      <c r="C54521" s="2"/>
    </row>
    <row r="54522" spans="3:3" x14ac:dyDescent="0.35">
      <c r="C54522" s="2"/>
    </row>
    <row r="54523" spans="3:3" x14ac:dyDescent="0.35">
      <c r="C54523" s="2"/>
    </row>
    <row r="54524" spans="3:3" x14ac:dyDescent="0.35">
      <c r="C54524" s="2"/>
    </row>
    <row r="54525" spans="3:3" x14ac:dyDescent="0.35">
      <c r="C54525" s="2"/>
    </row>
    <row r="54526" spans="3:3" x14ac:dyDescent="0.35">
      <c r="C54526" s="2"/>
    </row>
    <row r="54527" spans="3:3" x14ac:dyDescent="0.35">
      <c r="C54527" s="2"/>
    </row>
    <row r="54528" spans="3:3" x14ac:dyDescent="0.35">
      <c r="C54528" s="2"/>
    </row>
    <row r="54529" spans="3:3" x14ac:dyDescent="0.35">
      <c r="C54529" s="2"/>
    </row>
    <row r="54530" spans="3:3" x14ac:dyDescent="0.35">
      <c r="C54530" s="2"/>
    </row>
    <row r="54531" spans="3:3" x14ac:dyDescent="0.35">
      <c r="C54531" s="2"/>
    </row>
    <row r="54532" spans="3:3" x14ac:dyDescent="0.35">
      <c r="C54532" s="2"/>
    </row>
    <row r="54533" spans="3:3" x14ac:dyDescent="0.35">
      <c r="C54533" s="2"/>
    </row>
    <row r="54534" spans="3:3" x14ac:dyDescent="0.35">
      <c r="C54534" s="2"/>
    </row>
    <row r="54535" spans="3:3" x14ac:dyDescent="0.35">
      <c r="C54535" s="2"/>
    </row>
    <row r="54536" spans="3:3" x14ac:dyDescent="0.35">
      <c r="C54536" s="2"/>
    </row>
    <row r="54537" spans="3:3" x14ac:dyDescent="0.35">
      <c r="C54537" s="2"/>
    </row>
    <row r="54538" spans="3:3" x14ac:dyDescent="0.35">
      <c r="C54538" s="2"/>
    </row>
    <row r="54539" spans="3:3" x14ac:dyDescent="0.35">
      <c r="C54539" s="2"/>
    </row>
    <row r="54540" spans="3:3" x14ac:dyDescent="0.35">
      <c r="C54540" s="2"/>
    </row>
    <row r="54541" spans="3:3" x14ac:dyDescent="0.35">
      <c r="C54541" s="2"/>
    </row>
    <row r="54542" spans="3:3" x14ac:dyDescent="0.35">
      <c r="C54542" s="2"/>
    </row>
    <row r="54543" spans="3:3" x14ac:dyDescent="0.35">
      <c r="C54543" s="2"/>
    </row>
    <row r="54544" spans="3:3" x14ac:dyDescent="0.35">
      <c r="C54544" s="2"/>
    </row>
    <row r="54545" spans="3:3" x14ac:dyDescent="0.35">
      <c r="C54545" s="2"/>
    </row>
    <row r="54546" spans="3:3" x14ac:dyDescent="0.35">
      <c r="C54546" s="2"/>
    </row>
    <row r="54547" spans="3:3" x14ac:dyDescent="0.35">
      <c r="C54547" s="2"/>
    </row>
    <row r="54548" spans="3:3" x14ac:dyDescent="0.35">
      <c r="C54548" s="2"/>
    </row>
    <row r="54549" spans="3:3" x14ac:dyDescent="0.35">
      <c r="C54549" s="2"/>
    </row>
    <row r="54550" spans="3:3" x14ac:dyDescent="0.35">
      <c r="C54550" s="2"/>
    </row>
    <row r="54551" spans="3:3" x14ac:dyDescent="0.35">
      <c r="C54551" s="2"/>
    </row>
    <row r="54552" spans="3:3" x14ac:dyDescent="0.35">
      <c r="C54552" s="2"/>
    </row>
    <row r="54553" spans="3:3" x14ac:dyDescent="0.35">
      <c r="C54553" s="2"/>
    </row>
    <row r="54554" spans="3:3" x14ac:dyDescent="0.35">
      <c r="C54554" s="2"/>
    </row>
    <row r="54555" spans="3:3" x14ac:dyDescent="0.35">
      <c r="C54555" s="2"/>
    </row>
    <row r="54556" spans="3:3" x14ac:dyDescent="0.35">
      <c r="C54556" s="2"/>
    </row>
    <row r="54557" spans="3:3" x14ac:dyDescent="0.35">
      <c r="C54557" s="2"/>
    </row>
    <row r="54558" spans="3:3" x14ac:dyDescent="0.35">
      <c r="C54558" s="2"/>
    </row>
    <row r="54559" spans="3:3" x14ac:dyDescent="0.35">
      <c r="C54559" s="2"/>
    </row>
    <row r="54560" spans="3:3" x14ac:dyDescent="0.35">
      <c r="C54560" s="2"/>
    </row>
    <row r="54561" spans="3:3" x14ac:dyDescent="0.35">
      <c r="C54561" s="2"/>
    </row>
    <row r="54562" spans="3:3" x14ac:dyDescent="0.35">
      <c r="C54562" s="2"/>
    </row>
    <row r="54563" spans="3:3" x14ac:dyDescent="0.35">
      <c r="C54563" s="2"/>
    </row>
    <row r="54564" spans="3:3" x14ac:dyDescent="0.35">
      <c r="C54564" s="2"/>
    </row>
    <row r="54565" spans="3:3" x14ac:dyDescent="0.35">
      <c r="C54565" s="2"/>
    </row>
    <row r="54566" spans="3:3" x14ac:dyDescent="0.35">
      <c r="C54566" s="2"/>
    </row>
    <row r="54567" spans="3:3" x14ac:dyDescent="0.35">
      <c r="C54567" s="2"/>
    </row>
    <row r="54568" spans="3:3" x14ac:dyDescent="0.35">
      <c r="C54568" s="2"/>
    </row>
    <row r="54569" spans="3:3" x14ac:dyDescent="0.35">
      <c r="C54569" s="2"/>
    </row>
    <row r="54570" spans="3:3" x14ac:dyDescent="0.35">
      <c r="C54570" s="2"/>
    </row>
    <row r="54571" spans="3:3" x14ac:dyDescent="0.35">
      <c r="C54571" s="2"/>
    </row>
    <row r="54572" spans="3:3" x14ac:dyDescent="0.35">
      <c r="C54572" s="2"/>
    </row>
    <row r="54573" spans="3:3" x14ac:dyDescent="0.35">
      <c r="C54573" s="2"/>
    </row>
    <row r="54574" spans="3:3" x14ac:dyDescent="0.35">
      <c r="C54574" s="2"/>
    </row>
    <row r="54575" spans="3:3" x14ac:dyDescent="0.35">
      <c r="C54575" s="2"/>
    </row>
    <row r="54576" spans="3:3" x14ac:dyDescent="0.35">
      <c r="C54576" s="2"/>
    </row>
    <row r="54577" spans="3:3" x14ac:dyDescent="0.35">
      <c r="C54577" s="2"/>
    </row>
    <row r="54578" spans="3:3" x14ac:dyDescent="0.35">
      <c r="C54578" s="2"/>
    </row>
    <row r="54579" spans="3:3" x14ac:dyDescent="0.35">
      <c r="C54579" s="2"/>
    </row>
    <row r="54580" spans="3:3" x14ac:dyDescent="0.35">
      <c r="C54580" s="2"/>
    </row>
    <row r="54581" spans="3:3" x14ac:dyDescent="0.35">
      <c r="C54581" s="2"/>
    </row>
    <row r="54582" spans="3:3" x14ac:dyDescent="0.35">
      <c r="C54582" s="2"/>
    </row>
    <row r="54583" spans="3:3" x14ac:dyDescent="0.35">
      <c r="C54583" s="2"/>
    </row>
    <row r="54584" spans="3:3" x14ac:dyDescent="0.35">
      <c r="C54584" s="2"/>
    </row>
    <row r="54585" spans="3:3" x14ac:dyDescent="0.35">
      <c r="C54585" s="2"/>
    </row>
    <row r="54586" spans="3:3" x14ac:dyDescent="0.35">
      <c r="C54586" s="2"/>
    </row>
    <row r="54587" spans="3:3" x14ac:dyDescent="0.35">
      <c r="C54587" s="2"/>
    </row>
    <row r="54588" spans="3:3" x14ac:dyDescent="0.35">
      <c r="C54588" s="2"/>
    </row>
    <row r="54589" spans="3:3" x14ac:dyDescent="0.35">
      <c r="C54589" s="2"/>
    </row>
    <row r="54590" spans="3:3" x14ac:dyDescent="0.35">
      <c r="C54590" s="2"/>
    </row>
    <row r="54591" spans="3:3" x14ac:dyDescent="0.35">
      <c r="C54591" s="2"/>
    </row>
    <row r="54592" spans="3:3" x14ac:dyDescent="0.35">
      <c r="C54592" s="2"/>
    </row>
    <row r="54593" spans="3:3" x14ac:dyDescent="0.35">
      <c r="C54593" s="2"/>
    </row>
    <row r="54594" spans="3:3" x14ac:dyDescent="0.35">
      <c r="C54594" s="2"/>
    </row>
    <row r="54595" spans="3:3" x14ac:dyDescent="0.35">
      <c r="C54595" s="2"/>
    </row>
    <row r="54596" spans="3:3" x14ac:dyDescent="0.35">
      <c r="C54596" s="2"/>
    </row>
    <row r="54597" spans="3:3" x14ac:dyDescent="0.35">
      <c r="C54597" s="2"/>
    </row>
    <row r="54598" spans="3:3" x14ac:dyDescent="0.35">
      <c r="C54598" s="2"/>
    </row>
    <row r="54599" spans="3:3" x14ac:dyDescent="0.35">
      <c r="C54599" s="2"/>
    </row>
    <row r="54600" spans="3:3" x14ac:dyDescent="0.35">
      <c r="C54600" s="2"/>
    </row>
    <row r="54601" spans="3:3" x14ac:dyDescent="0.35">
      <c r="C54601" s="2"/>
    </row>
    <row r="54602" spans="3:3" x14ac:dyDescent="0.35">
      <c r="C54602" s="2"/>
    </row>
    <row r="54603" spans="3:3" x14ac:dyDescent="0.35">
      <c r="C54603" s="2"/>
    </row>
    <row r="54604" spans="3:3" x14ac:dyDescent="0.35">
      <c r="C54604" s="2"/>
    </row>
    <row r="54605" spans="3:3" x14ac:dyDescent="0.35">
      <c r="C54605" s="2"/>
    </row>
    <row r="54606" spans="3:3" x14ac:dyDescent="0.35">
      <c r="C54606" s="2"/>
    </row>
    <row r="54607" spans="3:3" x14ac:dyDescent="0.35">
      <c r="C54607" s="2"/>
    </row>
    <row r="54608" spans="3:3" x14ac:dyDescent="0.35">
      <c r="C54608" s="2"/>
    </row>
    <row r="54609" spans="3:3" x14ac:dyDescent="0.35">
      <c r="C54609" s="2"/>
    </row>
    <row r="54610" spans="3:3" x14ac:dyDescent="0.35">
      <c r="C54610" s="2"/>
    </row>
    <row r="54611" spans="3:3" x14ac:dyDescent="0.35">
      <c r="C54611" s="2"/>
    </row>
    <row r="54612" spans="3:3" x14ac:dyDescent="0.35">
      <c r="C54612" s="2"/>
    </row>
    <row r="54613" spans="3:3" x14ac:dyDescent="0.35">
      <c r="C54613" s="2"/>
    </row>
    <row r="54614" spans="3:3" x14ac:dyDescent="0.35">
      <c r="C54614" s="2"/>
    </row>
    <row r="54615" spans="3:3" x14ac:dyDescent="0.35">
      <c r="C54615" s="2"/>
    </row>
    <row r="54616" spans="3:3" x14ac:dyDescent="0.35">
      <c r="C54616" s="2"/>
    </row>
    <row r="54617" spans="3:3" x14ac:dyDescent="0.35">
      <c r="C54617" s="2"/>
    </row>
    <row r="54618" spans="3:3" x14ac:dyDescent="0.35">
      <c r="C54618" s="2"/>
    </row>
    <row r="54619" spans="3:3" x14ac:dyDescent="0.35">
      <c r="C54619" s="2"/>
    </row>
    <row r="54620" spans="3:3" x14ac:dyDescent="0.35">
      <c r="C54620" s="2"/>
    </row>
    <row r="54621" spans="3:3" x14ac:dyDescent="0.35">
      <c r="C54621" s="2"/>
    </row>
    <row r="54622" spans="3:3" x14ac:dyDescent="0.35">
      <c r="C54622" s="2"/>
    </row>
    <row r="54623" spans="3:3" x14ac:dyDescent="0.35">
      <c r="C54623" s="2"/>
    </row>
    <row r="54624" spans="3:3" x14ac:dyDescent="0.35">
      <c r="C54624" s="2"/>
    </row>
    <row r="54625" spans="3:3" x14ac:dyDescent="0.35">
      <c r="C54625" s="2"/>
    </row>
    <row r="54626" spans="3:3" x14ac:dyDescent="0.35">
      <c r="C54626" s="2"/>
    </row>
    <row r="54627" spans="3:3" x14ac:dyDescent="0.35">
      <c r="C54627" s="2"/>
    </row>
    <row r="54628" spans="3:3" x14ac:dyDescent="0.35">
      <c r="C54628" s="2"/>
    </row>
    <row r="54629" spans="3:3" x14ac:dyDescent="0.35">
      <c r="C54629" s="2"/>
    </row>
    <row r="54630" spans="3:3" x14ac:dyDescent="0.35">
      <c r="C54630" s="2"/>
    </row>
    <row r="54631" spans="3:3" x14ac:dyDescent="0.35">
      <c r="C54631" s="2"/>
    </row>
    <row r="54632" spans="3:3" x14ac:dyDescent="0.35">
      <c r="C54632" s="2"/>
    </row>
    <row r="54633" spans="3:3" x14ac:dyDescent="0.35">
      <c r="C54633" s="2"/>
    </row>
    <row r="54634" spans="3:3" x14ac:dyDescent="0.35">
      <c r="C54634" s="2"/>
    </row>
    <row r="54635" spans="3:3" x14ac:dyDescent="0.35">
      <c r="C54635" s="2"/>
    </row>
    <row r="54636" spans="3:3" x14ac:dyDescent="0.35">
      <c r="C54636" s="2"/>
    </row>
    <row r="54637" spans="3:3" x14ac:dyDescent="0.35">
      <c r="C54637" s="2"/>
    </row>
    <row r="54638" spans="3:3" x14ac:dyDescent="0.35">
      <c r="C54638" s="2"/>
    </row>
    <row r="54639" spans="3:3" x14ac:dyDescent="0.35">
      <c r="C54639" s="2"/>
    </row>
    <row r="54640" spans="3:3" x14ac:dyDescent="0.35">
      <c r="C54640" s="2"/>
    </row>
    <row r="54641" spans="3:3" x14ac:dyDescent="0.35">
      <c r="C54641" s="2"/>
    </row>
    <row r="54642" spans="3:3" x14ac:dyDescent="0.35">
      <c r="C54642" s="2"/>
    </row>
    <row r="54643" spans="3:3" x14ac:dyDescent="0.35">
      <c r="C54643" s="2"/>
    </row>
    <row r="54644" spans="3:3" x14ac:dyDescent="0.35">
      <c r="C54644" s="2"/>
    </row>
    <row r="54645" spans="3:3" x14ac:dyDescent="0.35">
      <c r="C54645" s="2"/>
    </row>
    <row r="54646" spans="3:3" x14ac:dyDescent="0.35">
      <c r="C54646" s="2"/>
    </row>
    <row r="54647" spans="3:3" x14ac:dyDescent="0.35">
      <c r="C54647" s="2"/>
    </row>
    <row r="54648" spans="3:3" x14ac:dyDescent="0.35">
      <c r="C54648" s="2"/>
    </row>
    <row r="54649" spans="3:3" x14ac:dyDescent="0.35">
      <c r="C54649" s="2"/>
    </row>
    <row r="54650" spans="3:3" x14ac:dyDescent="0.35">
      <c r="C54650" s="2"/>
    </row>
    <row r="54651" spans="3:3" x14ac:dyDescent="0.35">
      <c r="C54651" s="2"/>
    </row>
    <row r="54652" spans="3:3" x14ac:dyDescent="0.35">
      <c r="C54652" s="2"/>
    </row>
    <row r="54653" spans="3:3" x14ac:dyDescent="0.35">
      <c r="C54653" s="2"/>
    </row>
    <row r="54654" spans="3:3" x14ac:dyDescent="0.35">
      <c r="C54654" s="2"/>
    </row>
    <row r="54655" spans="3:3" x14ac:dyDescent="0.35">
      <c r="C54655" s="2"/>
    </row>
    <row r="54656" spans="3:3" x14ac:dyDescent="0.35">
      <c r="C54656" s="2"/>
    </row>
    <row r="54657" spans="3:3" x14ac:dyDescent="0.35">
      <c r="C54657" s="2"/>
    </row>
    <row r="54658" spans="3:3" x14ac:dyDescent="0.35">
      <c r="C54658" s="2"/>
    </row>
    <row r="54659" spans="3:3" x14ac:dyDescent="0.35">
      <c r="C54659" s="2"/>
    </row>
    <row r="54660" spans="3:3" x14ac:dyDescent="0.35">
      <c r="C54660" s="2"/>
    </row>
    <row r="54661" spans="3:3" x14ac:dyDescent="0.35">
      <c r="C54661" s="2"/>
    </row>
    <row r="54662" spans="3:3" x14ac:dyDescent="0.35">
      <c r="C54662" s="2"/>
    </row>
    <row r="54663" spans="3:3" x14ac:dyDescent="0.35">
      <c r="C54663" s="2"/>
    </row>
    <row r="54664" spans="3:3" x14ac:dyDescent="0.35">
      <c r="C54664" s="2"/>
    </row>
    <row r="54665" spans="3:3" x14ac:dyDescent="0.35">
      <c r="C54665" s="2"/>
    </row>
    <row r="54666" spans="3:3" x14ac:dyDescent="0.35">
      <c r="C54666" s="2"/>
    </row>
    <row r="54667" spans="3:3" x14ac:dyDescent="0.35">
      <c r="C54667" s="2"/>
    </row>
    <row r="54668" spans="3:3" x14ac:dyDescent="0.35">
      <c r="C54668" s="2"/>
    </row>
    <row r="54669" spans="3:3" x14ac:dyDescent="0.35">
      <c r="C54669" s="2"/>
    </row>
    <row r="54670" spans="3:3" x14ac:dyDescent="0.35">
      <c r="C54670" s="2"/>
    </row>
    <row r="54671" spans="3:3" x14ac:dyDescent="0.35">
      <c r="C54671" s="2"/>
    </row>
    <row r="54672" spans="3:3" x14ac:dyDescent="0.35">
      <c r="C54672" s="2"/>
    </row>
    <row r="54673" spans="3:3" x14ac:dyDescent="0.35">
      <c r="C54673" s="2"/>
    </row>
    <row r="54674" spans="3:3" x14ac:dyDescent="0.35">
      <c r="C54674" s="2"/>
    </row>
    <row r="54675" spans="3:3" x14ac:dyDescent="0.35">
      <c r="C54675" s="2"/>
    </row>
    <row r="54676" spans="3:3" x14ac:dyDescent="0.35">
      <c r="C54676" s="2"/>
    </row>
    <row r="54677" spans="3:3" x14ac:dyDescent="0.35">
      <c r="C54677" s="2"/>
    </row>
    <row r="54678" spans="3:3" x14ac:dyDescent="0.35">
      <c r="C54678" s="2"/>
    </row>
    <row r="54679" spans="3:3" x14ac:dyDescent="0.35">
      <c r="C54679" s="2"/>
    </row>
    <row r="54680" spans="3:3" x14ac:dyDescent="0.35">
      <c r="C54680" s="2"/>
    </row>
    <row r="54681" spans="3:3" x14ac:dyDescent="0.35">
      <c r="C54681" s="2"/>
    </row>
    <row r="54682" spans="3:3" x14ac:dyDescent="0.35">
      <c r="C54682" s="2"/>
    </row>
    <row r="54683" spans="3:3" x14ac:dyDescent="0.35">
      <c r="C54683" s="2"/>
    </row>
    <row r="54684" spans="3:3" x14ac:dyDescent="0.35">
      <c r="C54684" s="2"/>
    </row>
    <row r="54685" spans="3:3" x14ac:dyDescent="0.35">
      <c r="C54685" s="2"/>
    </row>
    <row r="54686" spans="3:3" x14ac:dyDescent="0.35">
      <c r="C54686" s="2"/>
    </row>
    <row r="54687" spans="3:3" x14ac:dyDescent="0.35">
      <c r="C54687" s="2"/>
    </row>
    <row r="54688" spans="3:3" x14ac:dyDescent="0.35">
      <c r="C54688" s="2"/>
    </row>
    <row r="54689" spans="3:3" x14ac:dyDescent="0.35">
      <c r="C54689" s="2"/>
    </row>
    <row r="54690" spans="3:3" x14ac:dyDescent="0.35">
      <c r="C54690" s="2"/>
    </row>
    <row r="54691" spans="3:3" x14ac:dyDescent="0.35">
      <c r="C54691" s="2"/>
    </row>
    <row r="54692" spans="3:3" x14ac:dyDescent="0.35">
      <c r="C54692" s="2"/>
    </row>
    <row r="54693" spans="3:3" x14ac:dyDescent="0.35">
      <c r="C54693" s="2"/>
    </row>
    <row r="54694" spans="3:3" x14ac:dyDescent="0.35">
      <c r="C54694" s="2"/>
    </row>
    <row r="54695" spans="3:3" x14ac:dyDescent="0.35">
      <c r="C54695" s="2"/>
    </row>
    <row r="54696" spans="3:3" x14ac:dyDescent="0.35">
      <c r="C54696" s="2"/>
    </row>
    <row r="54697" spans="3:3" x14ac:dyDescent="0.35">
      <c r="C54697" s="2"/>
    </row>
    <row r="54698" spans="3:3" x14ac:dyDescent="0.35">
      <c r="C54698" s="2"/>
    </row>
    <row r="54699" spans="3:3" x14ac:dyDescent="0.35">
      <c r="C54699" s="2"/>
    </row>
    <row r="54700" spans="3:3" x14ac:dyDescent="0.35">
      <c r="C54700" s="2"/>
    </row>
    <row r="54701" spans="3:3" x14ac:dyDescent="0.35">
      <c r="C54701" s="2"/>
    </row>
    <row r="54702" spans="3:3" x14ac:dyDescent="0.35">
      <c r="C54702" s="2"/>
    </row>
    <row r="54703" spans="3:3" x14ac:dyDescent="0.35">
      <c r="C54703" s="2"/>
    </row>
    <row r="54704" spans="3:3" x14ac:dyDescent="0.35">
      <c r="C54704" s="2"/>
    </row>
    <row r="54705" spans="3:3" x14ac:dyDescent="0.35">
      <c r="C54705" s="2"/>
    </row>
    <row r="54706" spans="3:3" x14ac:dyDescent="0.35">
      <c r="C54706" s="2"/>
    </row>
    <row r="54707" spans="3:3" x14ac:dyDescent="0.35">
      <c r="C54707" s="2"/>
    </row>
    <row r="54708" spans="3:3" x14ac:dyDescent="0.35">
      <c r="C54708" s="2"/>
    </row>
    <row r="54709" spans="3:3" x14ac:dyDescent="0.35">
      <c r="C54709" s="2"/>
    </row>
    <row r="54710" spans="3:3" x14ac:dyDescent="0.35">
      <c r="C54710" s="2"/>
    </row>
    <row r="54711" spans="3:3" x14ac:dyDescent="0.35">
      <c r="C54711" s="2"/>
    </row>
    <row r="54712" spans="3:3" x14ac:dyDescent="0.35">
      <c r="C54712" s="2"/>
    </row>
    <row r="54713" spans="3:3" x14ac:dyDescent="0.35">
      <c r="C54713" s="2"/>
    </row>
    <row r="54714" spans="3:3" x14ac:dyDescent="0.35">
      <c r="C54714" s="2"/>
    </row>
    <row r="54715" spans="3:3" x14ac:dyDescent="0.35">
      <c r="C54715" s="2"/>
    </row>
    <row r="54716" spans="3:3" x14ac:dyDescent="0.35">
      <c r="C54716" s="2"/>
    </row>
    <row r="54717" spans="3:3" x14ac:dyDescent="0.35">
      <c r="C54717" s="2"/>
    </row>
    <row r="54718" spans="3:3" x14ac:dyDescent="0.35">
      <c r="C54718" s="2"/>
    </row>
    <row r="54719" spans="3:3" x14ac:dyDescent="0.35">
      <c r="C54719" s="2"/>
    </row>
    <row r="54720" spans="3:3" x14ac:dyDescent="0.35">
      <c r="C54720" s="2"/>
    </row>
    <row r="54721" spans="3:3" x14ac:dyDescent="0.35">
      <c r="C54721" s="2"/>
    </row>
    <row r="54722" spans="3:3" x14ac:dyDescent="0.35">
      <c r="C54722" s="2"/>
    </row>
    <row r="54723" spans="3:3" x14ac:dyDescent="0.35">
      <c r="C54723" s="2"/>
    </row>
    <row r="54724" spans="3:3" x14ac:dyDescent="0.35">
      <c r="C54724" s="2"/>
    </row>
    <row r="54725" spans="3:3" x14ac:dyDescent="0.35">
      <c r="C54725" s="2"/>
    </row>
    <row r="54726" spans="3:3" x14ac:dyDescent="0.35">
      <c r="C54726" s="2"/>
    </row>
    <row r="54727" spans="3:3" x14ac:dyDescent="0.35">
      <c r="C54727" s="2"/>
    </row>
    <row r="54728" spans="3:3" x14ac:dyDescent="0.35">
      <c r="C54728" s="2"/>
    </row>
    <row r="54729" spans="3:3" x14ac:dyDescent="0.35">
      <c r="C54729" s="2"/>
    </row>
    <row r="54730" spans="3:3" x14ac:dyDescent="0.35">
      <c r="C54730" s="2"/>
    </row>
    <row r="54731" spans="3:3" x14ac:dyDescent="0.35">
      <c r="C54731" s="2"/>
    </row>
    <row r="54732" spans="3:3" x14ac:dyDescent="0.35">
      <c r="C54732" s="2"/>
    </row>
    <row r="54733" spans="3:3" x14ac:dyDescent="0.35">
      <c r="C54733" s="2"/>
    </row>
    <row r="54734" spans="3:3" x14ac:dyDescent="0.35">
      <c r="C54734" s="2"/>
    </row>
    <row r="54735" spans="3:3" x14ac:dyDescent="0.35">
      <c r="C54735" s="2"/>
    </row>
    <row r="54736" spans="3:3" x14ac:dyDescent="0.35">
      <c r="C54736" s="2"/>
    </row>
    <row r="54737" spans="3:3" x14ac:dyDescent="0.35">
      <c r="C54737" s="2"/>
    </row>
    <row r="54738" spans="3:3" x14ac:dyDescent="0.35">
      <c r="C54738" s="2"/>
    </row>
    <row r="54739" spans="3:3" x14ac:dyDescent="0.35">
      <c r="C54739" s="2"/>
    </row>
    <row r="54740" spans="3:3" x14ac:dyDescent="0.35">
      <c r="C54740" s="2"/>
    </row>
    <row r="54741" spans="3:3" x14ac:dyDescent="0.35">
      <c r="C54741" s="2"/>
    </row>
    <row r="54742" spans="3:3" x14ac:dyDescent="0.35">
      <c r="C54742" s="2"/>
    </row>
    <row r="54743" spans="3:3" x14ac:dyDescent="0.35">
      <c r="C54743" s="2"/>
    </row>
    <row r="54744" spans="3:3" x14ac:dyDescent="0.35">
      <c r="C54744" s="2"/>
    </row>
    <row r="54745" spans="3:3" x14ac:dyDescent="0.35">
      <c r="C54745" s="2"/>
    </row>
    <row r="54746" spans="3:3" x14ac:dyDescent="0.35">
      <c r="C54746" s="2"/>
    </row>
    <row r="54747" spans="3:3" x14ac:dyDescent="0.35">
      <c r="C54747" s="2"/>
    </row>
    <row r="54748" spans="3:3" x14ac:dyDescent="0.35">
      <c r="C54748" s="2"/>
    </row>
    <row r="54749" spans="3:3" x14ac:dyDescent="0.35">
      <c r="C54749" s="2"/>
    </row>
    <row r="54750" spans="3:3" x14ac:dyDescent="0.35">
      <c r="C54750" s="2"/>
    </row>
    <row r="54751" spans="3:3" x14ac:dyDescent="0.35">
      <c r="C54751" s="2"/>
    </row>
    <row r="54752" spans="3:3" x14ac:dyDescent="0.35">
      <c r="C54752" s="2"/>
    </row>
    <row r="54753" spans="3:3" x14ac:dyDescent="0.35">
      <c r="C54753" s="2"/>
    </row>
    <row r="54754" spans="3:3" x14ac:dyDescent="0.35">
      <c r="C54754" s="2"/>
    </row>
    <row r="54755" spans="3:3" x14ac:dyDescent="0.35">
      <c r="C54755" s="2"/>
    </row>
    <row r="54756" spans="3:3" x14ac:dyDescent="0.35">
      <c r="C54756" s="2"/>
    </row>
    <row r="54757" spans="3:3" x14ac:dyDescent="0.35">
      <c r="C54757" s="2"/>
    </row>
    <row r="54758" spans="3:3" x14ac:dyDescent="0.35">
      <c r="C54758" s="2"/>
    </row>
    <row r="54759" spans="3:3" x14ac:dyDescent="0.35">
      <c r="C54759" s="2"/>
    </row>
    <row r="54760" spans="3:3" x14ac:dyDescent="0.35">
      <c r="C54760" s="2"/>
    </row>
    <row r="54761" spans="3:3" x14ac:dyDescent="0.35">
      <c r="C54761" s="2"/>
    </row>
    <row r="54762" spans="3:3" x14ac:dyDescent="0.35">
      <c r="C54762" s="2"/>
    </row>
    <row r="54763" spans="3:3" x14ac:dyDescent="0.35">
      <c r="C54763" s="2"/>
    </row>
    <row r="54764" spans="3:3" x14ac:dyDescent="0.35">
      <c r="C54764" s="2"/>
    </row>
    <row r="54765" spans="3:3" x14ac:dyDescent="0.35">
      <c r="C54765" s="2"/>
    </row>
    <row r="54766" spans="3:3" x14ac:dyDescent="0.35">
      <c r="C54766" s="2"/>
    </row>
    <row r="54767" spans="3:3" x14ac:dyDescent="0.35">
      <c r="C54767" s="2"/>
    </row>
    <row r="54768" spans="3:3" x14ac:dyDescent="0.35">
      <c r="C54768" s="2"/>
    </row>
    <row r="54769" spans="3:3" x14ac:dyDescent="0.35">
      <c r="C54769" s="2"/>
    </row>
    <row r="54770" spans="3:3" x14ac:dyDescent="0.35">
      <c r="C54770" s="2"/>
    </row>
    <row r="54771" spans="3:3" x14ac:dyDescent="0.35">
      <c r="C54771" s="2"/>
    </row>
    <row r="54772" spans="3:3" x14ac:dyDescent="0.35">
      <c r="C54772" s="2"/>
    </row>
    <row r="54773" spans="3:3" x14ac:dyDescent="0.35">
      <c r="C54773" s="2"/>
    </row>
    <row r="54774" spans="3:3" x14ac:dyDescent="0.35">
      <c r="C54774" s="2"/>
    </row>
    <row r="54775" spans="3:3" x14ac:dyDescent="0.35">
      <c r="C54775" s="2"/>
    </row>
    <row r="54776" spans="3:3" x14ac:dyDescent="0.35">
      <c r="C54776" s="2"/>
    </row>
    <row r="54777" spans="3:3" x14ac:dyDescent="0.35">
      <c r="C54777" s="2"/>
    </row>
    <row r="54778" spans="3:3" x14ac:dyDescent="0.35">
      <c r="C54778" s="2"/>
    </row>
    <row r="54779" spans="3:3" x14ac:dyDescent="0.35">
      <c r="C54779" s="2"/>
    </row>
    <row r="54780" spans="3:3" x14ac:dyDescent="0.35">
      <c r="C54780" s="2"/>
    </row>
    <row r="54781" spans="3:3" x14ac:dyDescent="0.35">
      <c r="C54781" s="2"/>
    </row>
    <row r="54782" spans="3:3" x14ac:dyDescent="0.35">
      <c r="C54782" s="2"/>
    </row>
    <row r="54783" spans="3:3" x14ac:dyDescent="0.35">
      <c r="C54783" s="2"/>
    </row>
    <row r="54784" spans="3:3" x14ac:dyDescent="0.35">
      <c r="C54784" s="2"/>
    </row>
    <row r="54785" spans="3:3" x14ac:dyDescent="0.35">
      <c r="C54785" s="2"/>
    </row>
    <row r="54786" spans="3:3" x14ac:dyDescent="0.35">
      <c r="C54786" s="2"/>
    </row>
    <row r="54787" spans="3:3" x14ac:dyDescent="0.35">
      <c r="C54787" s="2"/>
    </row>
    <row r="54788" spans="3:3" x14ac:dyDescent="0.35">
      <c r="C54788" s="2"/>
    </row>
    <row r="54789" spans="3:3" x14ac:dyDescent="0.35">
      <c r="C54789" s="2"/>
    </row>
    <row r="54790" spans="3:3" x14ac:dyDescent="0.35">
      <c r="C54790" s="2"/>
    </row>
    <row r="54791" spans="3:3" x14ac:dyDescent="0.35">
      <c r="C54791" s="2"/>
    </row>
    <row r="54792" spans="3:3" x14ac:dyDescent="0.35">
      <c r="C54792" s="2"/>
    </row>
    <row r="54793" spans="3:3" x14ac:dyDescent="0.35">
      <c r="C54793" s="2"/>
    </row>
    <row r="54794" spans="3:3" x14ac:dyDescent="0.35">
      <c r="C54794" s="2"/>
    </row>
    <row r="54795" spans="3:3" x14ac:dyDescent="0.35">
      <c r="C54795" s="2"/>
    </row>
    <row r="54796" spans="3:3" x14ac:dyDescent="0.35">
      <c r="C54796" s="2"/>
    </row>
    <row r="54797" spans="3:3" x14ac:dyDescent="0.35">
      <c r="C54797" s="2"/>
    </row>
    <row r="54798" spans="3:3" x14ac:dyDescent="0.35">
      <c r="C54798" s="2"/>
    </row>
    <row r="54799" spans="3:3" x14ac:dyDescent="0.35">
      <c r="C54799" s="2"/>
    </row>
    <row r="54800" spans="3:3" x14ac:dyDescent="0.35">
      <c r="C54800" s="2"/>
    </row>
    <row r="54801" spans="3:3" x14ac:dyDescent="0.35">
      <c r="C54801" s="2"/>
    </row>
    <row r="54802" spans="3:3" x14ac:dyDescent="0.35">
      <c r="C54802" s="2"/>
    </row>
    <row r="54803" spans="3:3" x14ac:dyDescent="0.35">
      <c r="C54803" s="2"/>
    </row>
    <row r="54804" spans="3:3" x14ac:dyDescent="0.35">
      <c r="C54804" s="2"/>
    </row>
    <row r="54805" spans="3:3" x14ac:dyDescent="0.35">
      <c r="C54805" s="2"/>
    </row>
    <row r="54806" spans="3:3" x14ac:dyDescent="0.35">
      <c r="C54806" s="2"/>
    </row>
    <row r="54807" spans="3:3" x14ac:dyDescent="0.35">
      <c r="C54807" s="2"/>
    </row>
    <row r="54808" spans="3:3" x14ac:dyDescent="0.35">
      <c r="C54808" s="2"/>
    </row>
    <row r="54809" spans="3:3" x14ac:dyDescent="0.35">
      <c r="C54809" s="2"/>
    </row>
    <row r="54810" spans="3:3" x14ac:dyDescent="0.35">
      <c r="C54810" s="2"/>
    </row>
    <row r="54811" spans="3:3" x14ac:dyDescent="0.35">
      <c r="C54811" s="2"/>
    </row>
    <row r="54812" spans="3:3" x14ac:dyDescent="0.35">
      <c r="C54812" s="2"/>
    </row>
    <row r="54813" spans="3:3" x14ac:dyDescent="0.35">
      <c r="C54813" s="2"/>
    </row>
    <row r="54814" spans="3:3" x14ac:dyDescent="0.35">
      <c r="C54814" s="2"/>
    </row>
    <row r="54815" spans="3:3" x14ac:dyDescent="0.35">
      <c r="C54815" s="2"/>
    </row>
    <row r="54816" spans="3:3" x14ac:dyDescent="0.35">
      <c r="C54816" s="2"/>
    </row>
    <row r="54817" spans="3:3" x14ac:dyDescent="0.35">
      <c r="C54817" s="2"/>
    </row>
    <row r="54818" spans="3:3" x14ac:dyDescent="0.35">
      <c r="C54818" s="2"/>
    </row>
    <row r="54819" spans="3:3" x14ac:dyDescent="0.35">
      <c r="C54819" s="2"/>
    </row>
    <row r="54820" spans="3:3" x14ac:dyDescent="0.35">
      <c r="C54820" s="2"/>
    </row>
    <row r="54821" spans="3:3" x14ac:dyDescent="0.35">
      <c r="C54821" s="2"/>
    </row>
    <row r="54822" spans="3:3" x14ac:dyDescent="0.35">
      <c r="C54822" s="2"/>
    </row>
    <row r="54823" spans="3:3" x14ac:dyDescent="0.35">
      <c r="C54823" s="2"/>
    </row>
    <row r="54824" spans="3:3" x14ac:dyDescent="0.35">
      <c r="C54824" s="2"/>
    </row>
    <row r="54825" spans="3:3" x14ac:dyDescent="0.35">
      <c r="C54825" s="2"/>
    </row>
    <row r="54826" spans="3:3" x14ac:dyDescent="0.35">
      <c r="C54826" s="2"/>
    </row>
    <row r="54827" spans="3:3" x14ac:dyDescent="0.35">
      <c r="C54827" s="2"/>
    </row>
    <row r="54828" spans="3:3" x14ac:dyDescent="0.35">
      <c r="C54828" s="2"/>
    </row>
    <row r="54829" spans="3:3" x14ac:dyDescent="0.35">
      <c r="C54829" s="2"/>
    </row>
    <row r="54830" spans="3:3" x14ac:dyDescent="0.35">
      <c r="C54830" s="2"/>
    </row>
    <row r="54831" spans="3:3" x14ac:dyDescent="0.35">
      <c r="C54831" s="2"/>
    </row>
    <row r="54832" spans="3:3" x14ac:dyDescent="0.35">
      <c r="C54832" s="2"/>
    </row>
    <row r="54833" spans="3:3" x14ac:dyDescent="0.35">
      <c r="C54833" s="2"/>
    </row>
    <row r="54834" spans="3:3" x14ac:dyDescent="0.35">
      <c r="C54834" s="2"/>
    </row>
    <row r="54835" spans="3:3" x14ac:dyDescent="0.35">
      <c r="C54835" s="2"/>
    </row>
    <row r="54836" spans="3:3" x14ac:dyDescent="0.35">
      <c r="C54836" s="2"/>
    </row>
    <row r="54837" spans="3:3" x14ac:dyDescent="0.35">
      <c r="C54837" s="2"/>
    </row>
    <row r="54838" spans="3:3" x14ac:dyDescent="0.35">
      <c r="C54838" s="2"/>
    </row>
    <row r="54839" spans="3:3" x14ac:dyDescent="0.35">
      <c r="C54839" s="2"/>
    </row>
    <row r="54840" spans="3:3" x14ac:dyDescent="0.35">
      <c r="C54840" s="2"/>
    </row>
    <row r="54841" spans="3:3" x14ac:dyDescent="0.35">
      <c r="C54841" s="2"/>
    </row>
    <row r="54842" spans="3:3" x14ac:dyDescent="0.35">
      <c r="C54842" s="2"/>
    </row>
    <row r="54843" spans="3:3" x14ac:dyDescent="0.35">
      <c r="C54843" s="2"/>
    </row>
    <row r="54844" spans="3:3" x14ac:dyDescent="0.35">
      <c r="C54844" s="2"/>
    </row>
    <row r="54845" spans="3:3" x14ac:dyDescent="0.35">
      <c r="C54845" s="2"/>
    </row>
    <row r="54846" spans="3:3" x14ac:dyDescent="0.35">
      <c r="C54846" s="2"/>
    </row>
    <row r="54847" spans="3:3" x14ac:dyDescent="0.35">
      <c r="C54847" s="2"/>
    </row>
    <row r="54848" spans="3:3" x14ac:dyDescent="0.35">
      <c r="C54848" s="2"/>
    </row>
    <row r="54849" spans="3:3" x14ac:dyDescent="0.35">
      <c r="C54849" s="2"/>
    </row>
    <row r="54850" spans="3:3" x14ac:dyDescent="0.35">
      <c r="C54850" s="2"/>
    </row>
    <row r="54851" spans="3:3" x14ac:dyDescent="0.35">
      <c r="C54851" s="2"/>
    </row>
    <row r="54852" spans="3:3" x14ac:dyDescent="0.35">
      <c r="C54852" s="2"/>
    </row>
    <row r="54853" spans="3:3" x14ac:dyDescent="0.35">
      <c r="C54853" s="2"/>
    </row>
    <row r="54854" spans="3:3" x14ac:dyDescent="0.35">
      <c r="C54854" s="2"/>
    </row>
    <row r="54855" spans="3:3" x14ac:dyDescent="0.35">
      <c r="C54855" s="2"/>
    </row>
    <row r="54856" spans="3:3" x14ac:dyDescent="0.35">
      <c r="C54856" s="2"/>
    </row>
    <row r="54857" spans="3:3" x14ac:dyDescent="0.35">
      <c r="C54857" s="2"/>
    </row>
    <row r="54858" spans="3:3" x14ac:dyDescent="0.35">
      <c r="C54858" s="2"/>
    </row>
    <row r="54859" spans="3:3" x14ac:dyDescent="0.35">
      <c r="C54859" s="2"/>
    </row>
    <row r="54860" spans="3:3" x14ac:dyDescent="0.35">
      <c r="C54860" s="2"/>
    </row>
    <row r="54861" spans="3:3" x14ac:dyDescent="0.35">
      <c r="C54861" s="2"/>
    </row>
    <row r="54862" spans="3:3" x14ac:dyDescent="0.35">
      <c r="C54862" s="2"/>
    </row>
    <row r="54863" spans="3:3" x14ac:dyDescent="0.35">
      <c r="C54863" s="2"/>
    </row>
    <row r="54864" spans="3:3" x14ac:dyDescent="0.35">
      <c r="C54864" s="2"/>
    </row>
    <row r="54865" spans="3:3" x14ac:dyDescent="0.35">
      <c r="C54865" s="2"/>
    </row>
    <row r="54866" spans="3:3" x14ac:dyDescent="0.35">
      <c r="C54866" s="2"/>
    </row>
    <row r="54867" spans="3:3" x14ac:dyDescent="0.35">
      <c r="C54867" s="2"/>
    </row>
    <row r="54868" spans="3:3" x14ac:dyDescent="0.35">
      <c r="C54868" s="2"/>
    </row>
    <row r="54869" spans="3:3" x14ac:dyDescent="0.35">
      <c r="C54869" s="2"/>
    </row>
    <row r="54870" spans="3:3" x14ac:dyDescent="0.35">
      <c r="C54870" s="2"/>
    </row>
    <row r="54871" spans="3:3" x14ac:dyDescent="0.35">
      <c r="C54871" s="2"/>
    </row>
    <row r="54872" spans="3:3" x14ac:dyDescent="0.35">
      <c r="C54872" s="2"/>
    </row>
    <row r="54873" spans="3:3" x14ac:dyDescent="0.35">
      <c r="C54873" s="2"/>
    </row>
    <row r="54874" spans="3:3" x14ac:dyDescent="0.35">
      <c r="C54874" s="2"/>
    </row>
    <row r="54875" spans="3:3" x14ac:dyDescent="0.35">
      <c r="C54875" s="2"/>
    </row>
    <row r="54876" spans="3:3" x14ac:dyDescent="0.35">
      <c r="C54876" s="2"/>
    </row>
    <row r="54877" spans="3:3" x14ac:dyDescent="0.35">
      <c r="C54877" s="2"/>
    </row>
    <row r="54878" spans="3:3" x14ac:dyDescent="0.35">
      <c r="C54878" s="2"/>
    </row>
    <row r="54879" spans="3:3" x14ac:dyDescent="0.35">
      <c r="C54879" s="2"/>
    </row>
    <row r="54880" spans="3:3" x14ac:dyDescent="0.35">
      <c r="C54880" s="2"/>
    </row>
    <row r="54881" spans="3:3" x14ac:dyDescent="0.35">
      <c r="C54881" s="2"/>
    </row>
    <row r="54882" spans="3:3" x14ac:dyDescent="0.35">
      <c r="C54882" s="2"/>
    </row>
    <row r="54883" spans="3:3" x14ac:dyDescent="0.35">
      <c r="C54883" s="2"/>
    </row>
    <row r="54884" spans="3:3" x14ac:dyDescent="0.35">
      <c r="C54884" s="2"/>
    </row>
    <row r="54885" spans="3:3" x14ac:dyDescent="0.35">
      <c r="C54885" s="2"/>
    </row>
    <row r="54886" spans="3:3" x14ac:dyDescent="0.35">
      <c r="C54886" s="2"/>
    </row>
    <row r="54887" spans="3:3" x14ac:dyDescent="0.35">
      <c r="C54887" s="2"/>
    </row>
    <row r="54888" spans="3:3" x14ac:dyDescent="0.35">
      <c r="C54888" s="2"/>
    </row>
    <row r="54889" spans="3:3" x14ac:dyDescent="0.35">
      <c r="C54889" s="2"/>
    </row>
    <row r="54890" spans="3:3" x14ac:dyDescent="0.35">
      <c r="C54890" s="2"/>
    </row>
    <row r="54891" spans="3:3" x14ac:dyDescent="0.35">
      <c r="C54891" s="2"/>
    </row>
    <row r="54892" spans="3:3" x14ac:dyDescent="0.35">
      <c r="C54892" s="2"/>
    </row>
    <row r="54893" spans="3:3" x14ac:dyDescent="0.35">
      <c r="C54893" s="2"/>
    </row>
    <row r="54894" spans="3:3" x14ac:dyDescent="0.35">
      <c r="C54894" s="2"/>
    </row>
    <row r="54895" spans="3:3" x14ac:dyDescent="0.35">
      <c r="C54895" s="2"/>
    </row>
    <row r="54896" spans="3:3" x14ac:dyDescent="0.35">
      <c r="C54896" s="2"/>
    </row>
    <row r="54897" spans="3:3" x14ac:dyDescent="0.35">
      <c r="C54897" s="2"/>
    </row>
    <row r="54898" spans="3:3" x14ac:dyDescent="0.35">
      <c r="C54898" s="2"/>
    </row>
    <row r="54899" spans="3:3" x14ac:dyDescent="0.35">
      <c r="C54899" s="2"/>
    </row>
    <row r="54900" spans="3:3" x14ac:dyDescent="0.35">
      <c r="C54900" s="2"/>
    </row>
    <row r="54901" spans="3:3" x14ac:dyDescent="0.35">
      <c r="C54901" s="2"/>
    </row>
    <row r="54902" spans="3:3" x14ac:dyDescent="0.35">
      <c r="C54902" s="2"/>
    </row>
    <row r="54903" spans="3:3" x14ac:dyDescent="0.35">
      <c r="C54903" s="2"/>
    </row>
    <row r="54904" spans="3:3" x14ac:dyDescent="0.35">
      <c r="C54904" s="2"/>
    </row>
    <row r="54905" spans="3:3" x14ac:dyDescent="0.35">
      <c r="C54905" s="2"/>
    </row>
    <row r="54906" spans="3:3" x14ac:dyDescent="0.35">
      <c r="C54906" s="2"/>
    </row>
    <row r="54907" spans="3:3" x14ac:dyDescent="0.35">
      <c r="C54907" s="2"/>
    </row>
    <row r="54908" spans="3:3" x14ac:dyDescent="0.35">
      <c r="C54908" s="2"/>
    </row>
    <row r="54909" spans="3:3" x14ac:dyDescent="0.35">
      <c r="C54909" s="2"/>
    </row>
    <row r="54910" spans="3:3" x14ac:dyDescent="0.35">
      <c r="C54910" s="2"/>
    </row>
    <row r="54911" spans="3:3" x14ac:dyDescent="0.35">
      <c r="C54911" s="2"/>
    </row>
    <row r="54912" spans="3:3" x14ac:dyDescent="0.35">
      <c r="C54912" s="2"/>
    </row>
    <row r="54913" spans="3:3" x14ac:dyDescent="0.35">
      <c r="C54913" s="2"/>
    </row>
    <row r="54914" spans="3:3" x14ac:dyDescent="0.35">
      <c r="C54914" s="2"/>
    </row>
    <row r="54915" spans="3:3" x14ac:dyDescent="0.35">
      <c r="C54915" s="2"/>
    </row>
    <row r="54916" spans="3:3" x14ac:dyDescent="0.35">
      <c r="C54916" s="2"/>
    </row>
    <row r="54917" spans="3:3" x14ac:dyDescent="0.35">
      <c r="C54917" s="2"/>
    </row>
    <row r="54918" spans="3:3" x14ac:dyDescent="0.35">
      <c r="C54918" s="2"/>
    </row>
    <row r="54919" spans="3:3" x14ac:dyDescent="0.35">
      <c r="C54919" s="2"/>
    </row>
    <row r="54920" spans="3:3" x14ac:dyDescent="0.35">
      <c r="C54920" s="2"/>
    </row>
    <row r="54921" spans="3:3" x14ac:dyDescent="0.35">
      <c r="C54921" s="2"/>
    </row>
    <row r="54922" spans="3:3" x14ac:dyDescent="0.35">
      <c r="C54922" s="2"/>
    </row>
    <row r="54923" spans="3:3" x14ac:dyDescent="0.35">
      <c r="C54923" s="2"/>
    </row>
    <row r="54924" spans="3:3" x14ac:dyDescent="0.35">
      <c r="C54924" s="2"/>
    </row>
    <row r="54925" spans="3:3" x14ac:dyDescent="0.35">
      <c r="C54925" s="2"/>
    </row>
    <row r="54926" spans="3:3" x14ac:dyDescent="0.35">
      <c r="C54926" s="2"/>
    </row>
    <row r="54927" spans="3:3" x14ac:dyDescent="0.35">
      <c r="C54927" s="2"/>
    </row>
    <row r="54928" spans="3:3" x14ac:dyDescent="0.35">
      <c r="C54928" s="2"/>
    </row>
    <row r="54929" spans="3:3" x14ac:dyDescent="0.35">
      <c r="C54929" s="2"/>
    </row>
    <row r="54930" spans="3:3" x14ac:dyDescent="0.35">
      <c r="C54930" s="2"/>
    </row>
    <row r="54931" spans="3:3" x14ac:dyDescent="0.35">
      <c r="C54931" s="2"/>
    </row>
    <row r="54932" spans="3:3" x14ac:dyDescent="0.35">
      <c r="C54932" s="2"/>
    </row>
    <row r="54933" spans="3:3" x14ac:dyDescent="0.35">
      <c r="C54933" s="2"/>
    </row>
    <row r="54934" spans="3:3" x14ac:dyDescent="0.35">
      <c r="C54934" s="2"/>
    </row>
    <row r="54935" spans="3:3" x14ac:dyDescent="0.35">
      <c r="C54935" s="2"/>
    </row>
    <row r="54936" spans="3:3" x14ac:dyDescent="0.35">
      <c r="C54936" s="2"/>
    </row>
    <row r="54937" spans="3:3" x14ac:dyDescent="0.35">
      <c r="C54937" s="2"/>
    </row>
    <row r="54938" spans="3:3" x14ac:dyDescent="0.35">
      <c r="C54938" s="2"/>
    </row>
    <row r="54939" spans="3:3" x14ac:dyDescent="0.35">
      <c r="C54939" s="2"/>
    </row>
    <row r="54940" spans="3:3" x14ac:dyDescent="0.35">
      <c r="C54940" s="2"/>
    </row>
    <row r="54941" spans="3:3" x14ac:dyDescent="0.35">
      <c r="C54941" s="2"/>
    </row>
    <row r="54942" spans="3:3" x14ac:dyDescent="0.35">
      <c r="C54942" s="2"/>
    </row>
    <row r="54943" spans="3:3" x14ac:dyDescent="0.35">
      <c r="C54943" s="2"/>
    </row>
    <row r="54944" spans="3:3" x14ac:dyDescent="0.35">
      <c r="C54944" s="2"/>
    </row>
    <row r="54945" spans="3:3" x14ac:dyDescent="0.35">
      <c r="C54945" s="2"/>
    </row>
    <row r="54946" spans="3:3" x14ac:dyDescent="0.35">
      <c r="C54946" s="2"/>
    </row>
    <row r="54947" spans="3:3" x14ac:dyDescent="0.35">
      <c r="C54947" s="2"/>
    </row>
    <row r="54948" spans="3:3" x14ac:dyDescent="0.35">
      <c r="C54948" s="2"/>
    </row>
    <row r="54949" spans="3:3" x14ac:dyDescent="0.35">
      <c r="C54949" s="2"/>
    </row>
    <row r="54950" spans="3:3" x14ac:dyDescent="0.35">
      <c r="C54950" s="2"/>
    </row>
    <row r="54951" spans="3:3" x14ac:dyDescent="0.35">
      <c r="C54951" s="2"/>
    </row>
    <row r="54952" spans="3:3" x14ac:dyDescent="0.35">
      <c r="C54952" s="2"/>
    </row>
    <row r="54953" spans="3:3" x14ac:dyDescent="0.35">
      <c r="C54953" s="2"/>
    </row>
    <row r="54954" spans="3:3" x14ac:dyDescent="0.35">
      <c r="C54954" s="2"/>
    </row>
    <row r="54955" spans="3:3" x14ac:dyDescent="0.35">
      <c r="C54955" s="2"/>
    </row>
    <row r="54956" spans="3:3" x14ac:dyDescent="0.35">
      <c r="C54956" s="2"/>
    </row>
    <row r="54957" spans="3:3" x14ac:dyDescent="0.35">
      <c r="C54957" s="2"/>
    </row>
    <row r="54958" spans="3:3" x14ac:dyDescent="0.35">
      <c r="C54958" s="2"/>
    </row>
    <row r="54959" spans="3:3" x14ac:dyDescent="0.35">
      <c r="C54959" s="2"/>
    </row>
    <row r="54960" spans="3:3" x14ac:dyDescent="0.35">
      <c r="C54960" s="2"/>
    </row>
    <row r="54961" spans="3:3" x14ac:dyDescent="0.35">
      <c r="C54961" s="2"/>
    </row>
    <row r="54962" spans="3:3" x14ac:dyDescent="0.35">
      <c r="C54962" s="2"/>
    </row>
    <row r="54963" spans="3:3" x14ac:dyDescent="0.35">
      <c r="C54963" s="2"/>
    </row>
    <row r="54964" spans="3:3" x14ac:dyDescent="0.35">
      <c r="C54964" s="2"/>
    </row>
    <row r="54965" spans="3:3" x14ac:dyDescent="0.35">
      <c r="C54965" s="2"/>
    </row>
    <row r="54966" spans="3:3" x14ac:dyDescent="0.35">
      <c r="C54966" s="2"/>
    </row>
    <row r="54967" spans="3:3" x14ac:dyDescent="0.35">
      <c r="C54967" s="2"/>
    </row>
    <row r="54968" spans="3:3" x14ac:dyDescent="0.35">
      <c r="C54968" s="2"/>
    </row>
    <row r="54969" spans="3:3" x14ac:dyDescent="0.35">
      <c r="C54969" s="2"/>
    </row>
    <row r="54970" spans="3:3" x14ac:dyDescent="0.35">
      <c r="C54970" s="2"/>
    </row>
    <row r="54971" spans="3:3" x14ac:dyDescent="0.35">
      <c r="C54971" s="2"/>
    </row>
    <row r="54972" spans="3:3" x14ac:dyDescent="0.35">
      <c r="C54972" s="2"/>
    </row>
    <row r="54973" spans="3:3" x14ac:dyDescent="0.35">
      <c r="C54973" s="2"/>
    </row>
    <row r="54974" spans="3:3" x14ac:dyDescent="0.35">
      <c r="C54974" s="2"/>
    </row>
    <row r="54975" spans="3:3" x14ac:dyDescent="0.35">
      <c r="C54975" s="2"/>
    </row>
    <row r="54976" spans="3:3" x14ac:dyDescent="0.35">
      <c r="C54976" s="2"/>
    </row>
    <row r="54977" spans="3:3" x14ac:dyDescent="0.35">
      <c r="C54977" s="2"/>
    </row>
    <row r="54978" spans="3:3" x14ac:dyDescent="0.35">
      <c r="C54978" s="2"/>
    </row>
    <row r="54979" spans="3:3" x14ac:dyDescent="0.35">
      <c r="C54979" s="2"/>
    </row>
    <row r="54980" spans="3:3" x14ac:dyDescent="0.35">
      <c r="C54980" s="2"/>
    </row>
    <row r="54981" spans="3:3" x14ac:dyDescent="0.35">
      <c r="C54981" s="2"/>
    </row>
    <row r="54982" spans="3:3" x14ac:dyDescent="0.35">
      <c r="C54982" s="2"/>
    </row>
    <row r="54983" spans="3:3" x14ac:dyDescent="0.35">
      <c r="C54983" s="2"/>
    </row>
    <row r="54984" spans="3:3" x14ac:dyDescent="0.35">
      <c r="C54984" s="2"/>
    </row>
    <row r="54985" spans="3:3" x14ac:dyDescent="0.35">
      <c r="C54985" s="2"/>
    </row>
    <row r="54986" spans="3:3" x14ac:dyDescent="0.35">
      <c r="C54986" s="2"/>
    </row>
    <row r="54987" spans="3:3" x14ac:dyDescent="0.35">
      <c r="C54987" s="2"/>
    </row>
    <row r="54988" spans="3:3" x14ac:dyDescent="0.35">
      <c r="C54988" s="2"/>
    </row>
    <row r="54989" spans="3:3" x14ac:dyDescent="0.35">
      <c r="C54989" s="2"/>
    </row>
    <row r="54990" spans="3:3" x14ac:dyDescent="0.35">
      <c r="C54990" s="2"/>
    </row>
    <row r="54991" spans="3:3" x14ac:dyDescent="0.35">
      <c r="C54991" s="2"/>
    </row>
    <row r="54992" spans="3:3" x14ac:dyDescent="0.35">
      <c r="C54992" s="2"/>
    </row>
    <row r="54993" spans="3:3" x14ac:dyDescent="0.35">
      <c r="C54993" s="2"/>
    </row>
    <row r="54994" spans="3:3" x14ac:dyDescent="0.35">
      <c r="C54994" s="2"/>
    </row>
    <row r="54995" spans="3:3" x14ac:dyDescent="0.35">
      <c r="C54995" s="2"/>
    </row>
    <row r="54996" spans="3:3" x14ac:dyDescent="0.35">
      <c r="C54996" s="2"/>
    </row>
    <row r="54997" spans="3:3" x14ac:dyDescent="0.35">
      <c r="C54997" s="2"/>
    </row>
    <row r="54998" spans="3:3" x14ac:dyDescent="0.35">
      <c r="C54998" s="2"/>
    </row>
    <row r="54999" spans="3:3" x14ac:dyDescent="0.35">
      <c r="C54999" s="2"/>
    </row>
    <row r="55000" spans="3:3" x14ac:dyDescent="0.35">
      <c r="C55000" s="2"/>
    </row>
    <row r="55001" spans="3:3" x14ac:dyDescent="0.35">
      <c r="C55001" s="2"/>
    </row>
    <row r="55002" spans="3:3" x14ac:dyDescent="0.35">
      <c r="C55002" s="2"/>
    </row>
    <row r="55003" spans="3:3" x14ac:dyDescent="0.35">
      <c r="C55003" s="2"/>
    </row>
    <row r="55004" spans="3:3" x14ac:dyDescent="0.35">
      <c r="C55004" s="2"/>
    </row>
    <row r="55005" spans="3:3" x14ac:dyDescent="0.35">
      <c r="C55005" s="2"/>
    </row>
    <row r="55006" spans="3:3" x14ac:dyDescent="0.35">
      <c r="C55006" s="2"/>
    </row>
    <row r="55007" spans="3:3" x14ac:dyDescent="0.35">
      <c r="C55007" s="2"/>
    </row>
    <row r="55008" spans="3:3" x14ac:dyDescent="0.35">
      <c r="C55008" s="2"/>
    </row>
    <row r="55009" spans="3:3" x14ac:dyDescent="0.35">
      <c r="C55009" s="2"/>
    </row>
    <row r="55010" spans="3:3" x14ac:dyDescent="0.35">
      <c r="C55010" s="2"/>
    </row>
    <row r="55011" spans="3:3" x14ac:dyDescent="0.35">
      <c r="C55011" s="2"/>
    </row>
    <row r="55012" spans="3:3" x14ac:dyDescent="0.35">
      <c r="C55012" s="2"/>
    </row>
    <row r="55013" spans="3:3" x14ac:dyDescent="0.35">
      <c r="C55013" s="2"/>
    </row>
    <row r="55014" spans="3:3" x14ac:dyDescent="0.35">
      <c r="C55014" s="2"/>
    </row>
    <row r="55015" spans="3:3" x14ac:dyDescent="0.35">
      <c r="C55015" s="2"/>
    </row>
    <row r="55016" spans="3:3" x14ac:dyDescent="0.35">
      <c r="C55016" s="2"/>
    </row>
    <row r="55017" spans="3:3" x14ac:dyDescent="0.35">
      <c r="C55017" s="2"/>
    </row>
    <row r="55018" spans="3:3" x14ac:dyDescent="0.35">
      <c r="C55018" s="2"/>
    </row>
    <row r="55019" spans="3:3" x14ac:dyDescent="0.35">
      <c r="C55019" s="2"/>
    </row>
    <row r="55020" spans="3:3" x14ac:dyDescent="0.35">
      <c r="C55020" s="2"/>
    </row>
    <row r="55021" spans="3:3" x14ac:dyDescent="0.35">
      <c r="C55021" s="2"/>
    </row>
    <row r="55022" spans="3:3" x14ac:dyDescent="0.35">
      <c r="C55022" s="2"/>
    </row>
    <row r="55023" spans="3:3" x14ac:dyDescent="0.35">
      <c r="C55023" s="2"/>
    </row>
    <row r="55024" spans="3:3" x14ac:dyDescent="0.35">
      <c r="C55024" s="2"/>
    </row>
    <row r="55025" spans="3:3" x14ac:dyDescent="0.35">
      <c r="C55025" s="2"/>
    </row>
    <row r="55026" spans="3:3" x14ac:dyDescent="0.35">
      <c r="C55026" s="2"/>
    </row>
    <row r="55027" spans="3:3" x14ac:dyDescent="0.35">
      <c r="C55027" s="2"/>
    </row>
    <row r="55028" spans="3:3" x14ac:dyDescent="0.35">
      <c r="C55028" s="2"/>
    </row>
    <row r="55029" spans="3:3" x14ac:dyDescent="0.35">
      <c r="C55029" s="2"/>
    </row>
    <row r="55030" spans="3:3" x14ac:dyDescent="0.35">
      <c r="C55030" s="2"/>
    </row>
    <row r="55031" spans="3:3" x14ac:dyDescent="0.35">
      <c r="C55031" s="2"/>
    </row>
    <row r="55032" spans="3:3" x14ac:dyDescent="0.35">
      <c r="C55032" s="2"/>
    </row>
    <row r="55033" spans="3:3" x14ac:dyDescent="0.35">
      <c r="C55033" s="2"/>
    </row>
    <row r="55034" spans="3:3" x14ac:dyDescent="0.35">
      <c r="C55034" s="2"/>
    </row>
    <row r="55035" spans="3:3" x14ac:dyDescent="0.35">
      <c r="C55035" s="2"/>
    </row>
    <row r="55036" spans="3:3" x14ac:dyDescent="0.35">
      <c r="C55036" s="2"/>
    </row>
    <row r="55037" spans="3:3" x14ac:dyDescent="0.35">
      <c r="C55037" s="2"/>
    </row>
    <row r="55038" spans="3:3" x14ac:dyDescent="0.35">
      <c r="C55038" s="2"/>
    </row>
    <row r="55039" spans="3:3" x14ac:dyDescent="0.35">
      <c r="C55039" s="2"/>
    </row>
    <row r="55040" spans="3:3" x14ac:dyDescent="0.35">
      <c r="C55040" s="2"/>
    </row>
    <row r="55041" spans="3:3" x14ac:dyDescent="0.35">
      <c r="C55041" s="2"/>
    </row>
    <row r="55042" spans="3:3" x14ac:dyDescent="0.35">
      <c r="C55042" s="2"/>
    </row>
    <row r="55043" spans="3:3" x14ac:dyDescent="0.35">
      <c r="C55043" s="2"/>
    </row>
    <row r="55044" spans="3:3" x14ac:dyDescent="0.35">
      <c r="C55044" s="2"/>
    </row>
    <row r="55045" spans="3:3" x14ac:dyDescent="0.35">
      <c r="C55045" s="2"/>
    </row>
    <row r="55046" spans="3:3" x14ac:dyDescent="0.35">
      <c r="C55046" s="2"/>
    </row>
    <row r="55047" spans="3:3" x14ac:dyDescent="0.35">
      <c r="C55047" s="2"/>
    </row>
    <row r="55048" spans="3:3" x14ac:dyDescent="0.35">
      <c r="C55048" s="2"/>
    </row>
    <row r="55049" spans="3:3" x14ac:dyDescent="0.35">
      <c r="C55049" s="2"/>
    </row>
    <row r="55050" spans="3:3" x14ac:dyDescent="0.35">
      <c r="C55050" s="2"/>
    </row>
    <row r="55051" spans="3:3" x14ac:dyDescent="0.35">
      <c r="C55051" s="2"/>
    </row>
    <row r="55052" spans="3:3" x14ac:dyDescent="0.35">
      <c r="C55052" s="2"/>
    </row>
    <row r="55053" spans="3:3" x14ac:dyDescent="0.35">
      <c r="C55053" s="2"/>
    </row>
    <row r="55054" spans="3:3" x14ac:dyDescent="0.35">
      <c r="C55054" s="2"/>
    </row>
    <row r="55055" spans="3:3" x14ac:dyDescent="0.35">
      <c r="C55055" s="2"/>
    </row>
    <row r="55056" spans="3:3" x14ac:dyDescent="0.35">
      <c r="C55056" s="2"/>
    </row>
    <row r="55057" spans="3:3" x14ac:dyDescent="0.35">
      <c r="C55057" s="2"/>
    </row>
    <row r="55058" spans="3:3" x14ac:dyDescent="0.35">
      <c r="C55058" s="2"/>
    </row>
    <row r="55059" spans="3:3" x14ac:dyDescent="0.35">
      <c r="C55059" s="2"/>
    </row>
    <row r="55060" spans="3:3" x14ac:dyDescent="0.35">
      <c r="C55060" s="2"/>
    </row>
    <row r="55061" spans="3:3" x14ac:dyDescent="0.35">
      <c r="C55061" s="2"/>
    </row>
    <row r="55062" spans="3:3" x14ac:dyDescent="0.35">
      <c r="C55062" s="2"/>
    </row>
    <row r="55063" spans="3:3" x14ac:dyDescent="0.35">
      <c r="C55063" s="2"/>
    </row>
    <row r="55064" spans="3:3" x14ac:dyDescent="0.35">
      <c r="C55064" s="2"/>
    </row>
    <row r="55065" spans="3:3" x14ac:dyDescent="0.35">
      <c r="C55065" s="2"/>
    </row>
    <row r="55066" spans="3:3" x14ac:dyDescent="0.35">
      <c r="C55066" s="2"/>
    </row>
    <row r="55067" spans="3:3" x14ac:dyDescent="0.35">
      <c r="C55067" s="2"/>
    </row>
    <row r="55068" spans="3:3" x14ac:dyDescent="0.35">
      <c r="C55068" s="2"/>
    </row>
    <row r="55069" spans="3:3" x14ac:dyDescent="0.35">
      <c r="C55069" s="2"/>
    </row>
    <row r="55070" spans="3:3" x14ac:dyDescent="0.35">
      <c r="C55070" s="2"/>
    </row>
    <row r="55071" spans="3:3" x14ac:dyDescent="0.35">
      <c r="C55071" s="2"/>
    </row>
    <row r="55072" spans="3:3" x14ac:dyDescent="0.35">
      <c r="C55072" s="2"/>
    </row>
    <row r="55073" spans="3:3" x14ac:dyDescent="0.35">
      <c r="C55073" s="2"/>
    </row>
    <row r="55074" spans="3:3" x14ac:dyDescent="0.35">
      <c r="C55074" s="2"/>
    </row>
    <row r="55075" spans="3:3" x14ac:dyDescent="0.35">
      <c r="C55075" s="2"/>
    </row>
    <row r="55076" spans="3:3" x14ac:dyDescent="0.35">
      <c r="C55076" s="2"/>
    </row>
    <row r="55077" spans="3:3" x14ac:dyDescent="0.35">
      <c r="C55077" s="2"/>
    </row>
    <row r="55078" spans="3:3" x14ac:dyDescent="0.35">
      <c r="C55078" s="2"/>
    </row>
    <row r="55079" spans="3:3" x14ac:dyDescent="0.35">
      <c r="C55079" s="2"/>
    </row>
    <row r="55080" spans="3:3" x14ac:dyDescent="0.35">
      <c r="C55080" s="2"/>
    </row>
    <row r="55081" spans="3:3" x14ac:dyDescent="0.35">
      <c r="C55081" s="2"/>
    </row>
    <row r="55082" spans="3:3" x14ac:dyDescent="0.35">
      <c r="C55082" s="2"/>
    </row>
    <row r="55083" spans="3:3" x14ac:dyDescent="0.35">
      <c r="C55083" s="2"/>
    </row>
    <row r="55084" spans="3:3" x14ac:dyDescent="0.35">
      <c r="C55084" s="2"/>
    </row>
    <row r="55085" spans="3:3" x14ac:dyDescent="0.35">
      <c r="C55085" s="2"/>
    </row>
    <row r="55086" spans="3:3" x14ac:dyDescent="0.35">
      <c r="C55086" s="2"/>
    </row>
    <row r="55087" spans="3:3" x14ac:dyDescent="0.35">
      <c r="C55087" s="2"/>
    </row>
    <row r="55088" spans="3:3" x14ac:dyDescent="0.35">
      <c r="C55088" s="2"/>
    </row>
    <row r="55089" spans="3:3" x14ac:dyDescent="0.35">
      <c r="C55089" s="2"/>
    </row>
    <row r="55090" spans="3:3" x14ac:dyDescent="0.35">
      <c r="C55090" s="2"/>
    </row>
    <row r="55091" spans="3:3" x14ac:dyDescent="0.35">
      <c r="C55091" s="2"/>
    </row>
    <row r="55092" spans="3:3" x14ac:dyDescent="0.35">
      <c r="C55092" s="2"/>
    </row>
    <row r="55093" spans="3:3" x14ac:dyDescent="0.35">
      <c r="C55093" s="2"/>
    </row>
    <row r="55094" spans="3:3" x14ac:dyDescent="0.35">
      <c r="C55094" s="2"/>
    </row>
    <row r="55095" spans="3:3" x14ac:dyDescent="0.35">
      <c r="C55095" s="2"/>
    </row>
    <row r="55096" spans="3:3" x14ac:dyDescent="0.35">
      <c r="C55096" s="2"/>
    </row>
    <row r="55097" spans="3:3" x14ac:dyDescent="0.35">
      <c r="C55097" s="2"/>
    </row>
    <row r="55098" spans="3:3" x14ac:dyDescent="0.35">
      <c r="C55098" s="2"/>
    </row>
    <row r="55099" spans="3:3" x14ac:dyDescent="0.35">
      <c r="C55099" s="2"/>
    </row>
    <row r="55100" spans="3:3" x14ac:dyDescent="0.35">
      <c r="C55100" s="2"/>
    </row>
    <row r="55101" spans="3:3" x14ac:dyDescent="0.35">
      <c r="C55101" s="2"/>
    </row>
    <row r="55102" spans="3:3" x14ac:dyDescent="0.35">
      <c r="C55102" s="2"/>
    </row>
    <row r="55103" spans="3:3" x14ac:dyDescent="0.35">
      <c r="C55103" s="2"/>
    </row>
    <row r="55104" spans="3:3" x14ac:dyDescent="0.35">
      <c r="C55104" s="2"/>
    </row>
    <row r="55105" spans="3:3" x14ac:dyDescent="0.35">
      <c r="C55105" s="2"/>
    </row>
    <row r="55106" spans="3:3" x14ac:dyDescent="0.35">
      <c r="C55106" s="2"/>
    </row>
    <row r="55107" spans="3:3" x14ac:dyDescent="0.35">
      <c r="C55107" s="2"/>
    </row>
    <row r="55108" spans="3:3" x14ac:dyDescent="0.35">
      <c r="C55108" s="2"/>
    </row>
    <row r="55109" spans="3:3" x14ac:dyDescent="0.35">
      <c r="C55109" s="2"/>
    </row>
    <row r="55110" spans="3:3" x14ac:dyDescent="0.35">
      <c r="C55110" s="2"/>
    </row>
    <row r="55111" spans="3:3" x14ac:dyDescent="0.35">
      <c r="C55111" s="2"/>
    </row>
    <row r="55112" spans="3:3" x14ac:dyDescent="0.35">
      <c r="C55112" s="2"/>
    </row>
    <row r="55113" spans="3:3" x14ac:dyDescent="0.35">
      <c r="C55113" s="2"/>
    </row>
    <row r="55114" spans="3:3" x14ac:dyDescent="0.35">
      <c r="C55114" s="2"/>
    </row>
    <row r="55115" spans="3:3" x14ac:dyDescent="0.35">
      <c r="C55115" s="2"/>
    </row>
    <row r="55116" spans="3:3" x14ac:dyDescent="0.35">
      <c r="C55116" s="2"/>
    </row>
    <row r="55117" spans="3:3" x14ac:dyDescent="0.35">
      <c r="C55117" s="2"/>
    </row>
    <row r="55118" spans="3:3" x14ac:dyDescent="0.35">
      <c r="C55118" s="2"/>
    </row>
    <row r="55119" spans="3:3" x14ac:dyDescent="0.35">
      <c r="C55119" s="2"/>
    </row>
    <row r="55120" spans="3:3" x14ac:dyDescent="0.35">
      <c r="C55120" s="2"/>
    </row>
    <row r="55121" spans="3:3" x14ac:dyDescent="0.35">
      <c r="C55121" s="2"/>
    </row>
    <row r="55122" spans="3:3" x14ac:dyDescent="0.35">
      <c r="C55122" s="2"/>
    </row>
    <row r="55123" spans="3:3" x14ac:dyDescent="0.35">
      <c r="C55123" s="2"/>
    </row>
    <row r="55124" spans="3:3" x14ac:dyDescent="0.35">
      <c r="C55124" s="2"/>
    </row>
    <row r="55125" spans="3:3" x14ac:dyDescent="0.35">
      <c r="C55125" s="2"/>
    </row>
    <row r="55126" spans="3:3" x14ac:dyDescent="0.35">
      <c r="C55126" s="2"/>
    </row>
    <row r="55127" spans="3:3" x14ac:dyDescent="0.35">
      <c r="C55127" s="2"/>
    </row>
    <row r="55128" spans="3:3" x14ac:dyDescent="0.35">
      <c r="C55128" s="2"/>
    </row>
    <row r="55129" spans="3:3" x14ac:dyDescent="0.35">
      <c r="C55129" s="2"/>
    </row>
    <row r="55130" spans="3:3" x14ac:dyDescent="0.35">
      <c r="C55130" s="2"/>
    </row>
    <row r="55131" spans="3:3" x14ac:dyDescent="0.35">
      <c r="C55131" s="2"/>
    </row>
    <row r="55132" spans="3:3" x14ac:dyDescent="0.35">
      <c r="C55132" s="2"/>
    </row>
    <row r="55133" spans="3:3" x14ac:dyDescent="0.35">
      <c r="C55133" s="2"/>
    </row>
    <row r="55134" spans="3:3" x14ac:dyDescent="0.35">
      <c r="C55134" s="2"/>
    </row>
    <row r="55135" spans="3:3" x14ac:dyDescent="0.35">
      <c r="C55135" s="2"/>
    </row>
    <row r="55136" spans="3:3" x14ac:dyDescent="0.35">
      <c r="C55136" s="2"/>
    </row>
    <row r="55137" spans="3:3" x14ac:dyDescent="0.35">
      <c r="C55137" s="2"/>
    </row>
    <row r="55138" spans="3:3" x14ac:dyDescent="0.35">
      <c r="C55138" s="2"/>
    </row>
    <row r="55139" spans="3:3" x14ac:dyDescent="0.35">
      <c r="C55139" s="2"/>
    </row>
    <row r="55140" spans="3:3" x14ac:dyDescent="0.35">
      <c r="C55140" s="2"/>
    </row>
    <row r="55141" spans="3:3" x14ac:dyDescent="0.35">
      <c r="C55141" s="2"/>
    </row>
    <row r="55142" spans="3:3" x14ac:dyDescent="0.35">
      <c r="C55142" s="2"/>
    </row>
    <row r="55143" spans="3:3" x14ac:dyDescent="0.35">
      <c r="C55143" s="2"/>
    </row>
    <row r="55144" spans="3:3" x14ac:dyDescent="0.35">
      <c r="C55144" s="2"/>
    </row>
    <row r="55145" spans="3:3" x14ac:dyDescent="0.35">
      <c r="C55145" s="2"/>
    </row>
    <row r="55146" spans="3:3" x14ac:dyDescent="0.35">
      <c r="C55146" s="2"/>
    </row>
    <row r="55147" spans="3:3" x14ac:dyDescent="0.35">
      <c r="C55147" s="2"/>
    </row>
    <row r="55148" spans="3:3" x14ac:dyDescent="0.35">
      <c r="C55148" s="2"/>
    </row>
    <row r="55149" spans="3:3" x14ac:dyDescent="0.35">
      <c r="C55149" s="2"/>
    </row>
    <row r="55150" spans="3:3" x14ac:dyDescent="0.35">
      <c r="C55150" s="2"/>
    </row>
    <row r="55151" spans="3:3" x14ac:dyDescent="0.35">
      <c r="C55151" s="2"/>
    </row>
    <row r="55152" spans="3:3" x14ac:dyDescent="0.35">
      <c r="C55152" s="2"/>
    </row>
    <row r="55153" spans="3:3" x14ac:dyDescent="0.35">
      <c r="C55153" s="2"/>
    </row>
    <row r="55154" spans="3:3" x14ac:dyDescent="0.35">
      <c r="C55154" s="2"/>
    </row>
    <row r="55155" spans="3:3" x14ac:dyDescent="0.35">
      <c r="C55155" s="2"/>
    </row>
    <row r="55156" spans="3:3" x14ac:dyDescent="0.35">
      <c r="C55156" s="2"/>
    </row>
    <row r="55157" spans="3:3" x14ac:dyDescent="0.35">
      <c r="C55157" s="2"/>
    </row>
    <row r="55158" spans="3:3" x14ac:dyDescent="0.35">
      <c r="C55158" s="2"/>
    </row>
    <row r="55159" spans="3:3" x14ac:dyDescent="0.35">
      <c r="C55159" s="2"/>
    </row>
    <row r="55160" spans="3:3" x14ac:dyDescent="0.35">
      <c r="C55160" s="2"/>
    </row>
    <row r="55161" spans="3:3" x14ac:dyDescent="0.35">
      <c r="C55161" s="2"/>
    </row>
    <row r="55162" spans="3:3" x14ac:dyDescent="0.35">
      <c r="C55162" s="2"/>
    </row>
    <row r="55163" spans="3:3" x14ac:dyDescent="0.35">
      <c r="C55163" s="2"/>
    </row>
    <row r="55164" spans="3:3" x14ac:dyDescent="0.35">
      <c r="C55164" s="2"/>
    </row>
    <row r="55165" spans="3:3" x14ac:dyDescent="0.35">
      <c r="C55165" s="2"/>
    </row>
    <row r="55166" spans="3:3" x14ac:dyDescent="0.35">
      <c r="C55166" s="2"/>
    </row>
    <row r="55167" spans="3:3" x14ac:dyDescent="0.35">
      <c r="C55167" s="2"/>
    </row>
    <row r="55168" spans="3:3" x14ac:dyDescent="0.35">
      <c r="C55168" s="2"/>
    </row>
    <row r="55169" spans="3:3" x14ac:dyDescent="0.35">
      <c r="C55169" s="2"/>
    </row>
    <row r="55170" spans="3:3" x14ac:dyDescent="0.35">
      <c r="C55170" s="2"/>
    </row>
    <row r="55171" spans="3:3" x14ac:dyDescent="0.35">
      <c r="C55171" s="2"/>
    </row>
    <row r="55172" spans="3:3" x14ac:dyDescent="0.35">
      <c r="C55172" s="2"/>
    </row>
    <row r="55173" spans="3:3" x14ac:dyDescent="0.35">
      <c r="C55173" s="2"/>
    </row>
    <row r="55174" spans="3:3" x14ac:dyDescent="0.35">
      <c r="C55174" s="2"/>
    </row>
    <row r="55175" spans="3:3" x14ac:dyDescent="0.35">
      <c r="C55175" s="2"/>
    </row>
    <row r="55176" spans="3:3" x14ac:dyDescent="0.35">
      <c r="C55176" s="2"/>
    </row>
    <row r="55177" spans="3:3" x14ac:dyDescent="0.35">
      <c r="C55177" s="2"/>
    </row>
    <row r="55178" spans="3:3" x14ac:dyDescent="0.35">
      <c r="C55178" s="2"/>
    </row>
    <row r="55179" spans="3:3" x14ac:dyDescent="0.35">
      <c r="C55179" s="2"/>
    </row>
    <row r="55180" spans="3:3" x14ac:dyDescent="0.35">
      <c r="C55180" s="2"/>
    </row>
    <row r="55181" spans="3:3" x14ac:dyDescent="0.35">
      <c r="C55181" s="2"/>
    </row>
    <row r="55182" spans="3:3" x14ac:dyDescent="0.35">
      <c r="C55182" s="2"/>
    </row>
    <row r="55183" spans="3:3" x14ac:dyDescent="0.35">
      <c r="C55183" s="2"/>
    </row>
    <row r="55184" spans="3:3" x14ac:dyDescent="0.35">
      <c r="C55184" s="2"/>
    </row>
    <row r="55185" spans="3:3" x14ac:dyDescent="0.35">
      <c r="C55185" s="2"/>
    </row>
    <row r="55186" spans="3:3" x14ac:dyDescent="0.35">
      <c r="C55186" s="2"/>
    </row>
    <row r="55187" spans="3:3" x14ac:dyDescent="0.35">
      <c r="C55187" s="2"/>
    </row>
    <row r="55188" spans="3:3" x14ac:dyDescent="0.35">
      <c r="C55188" s="2"/>
    </row>
    <row r="55189" spans="3:3" x14ac:dyDescent="0.35">
      <c r="C55189" s="2"/>
    </row>
    <row r="55190" spans="3:3" x14ac:dyDescent="0.35">
      <c r="C55190" s="2"/>
    </row>
    <row r="55191" spans="3:3" x14ac:dyDescent="0.35">
      <c r="C55191" s="2"/>
    </row>
    <row r="55192" spans="3:3" x14ac:dyDescent="0.35">
      <c r="C55192" s="2"/>
    </row>
    <row r="55193" spans="3:3" x14ac:dyDescent="0.35">
      <c r="C55193" s="2"/>
    </row>
    <row r="55194" spans="3:3" x14ac:dyDescent="0.35">
      <c r="C55194" s="2"/>
    </row>
    <row r="55195" spans="3:3" x14ac:dyDescent="0.35">
      <c r="C55195" s="2"/>
    </row>
    <row r="55196" spans="3:3" x14ac:dyDescent="0.35">
      <c r="C55196" s="2"/>
    </row>
    <row r="55197" spans="3:3" x14ac:dyDescent="0.35">
      <c r="C55197" s="2"/>
    </row>
    <row r="55198" spans="3:3" x14ac:dyDescent="0.35">
      <c r="C55198" s="2"/>
    </row>
    <row r="55199" spans="3:3" x14ac:dyDescent="0.35">
      <c r="C55199" s="2"/>
    </row>
    <row r="55200" spans="3:3" x14ac:dyDescent="0.35">
      <c r="C55200" s="2"/>
    </row>
    <row r="55201" spans="3:3" x14ac:dyDescent="0.35">
      <c r="C55201" s="2"/>
    </row>
    <row r="55202" spans="3:3" x14ac:dyDescent="0.35">
      <c r="C55202" s="2"/>
    </row>
    <row r="55203" spans="3:3" x14ac:dyDescent="0.35">
      <c r="C55203" s="2"/>
    </row>
    <row r="55204" spans="3:3" x14ac:dyDescent="0.35">
      <c r="C55204" s="2"/>
    </row>
    <row r="55205" spans="3:3" x14ac:dyDescent="0.35">
      <c r="C55205" s="2"/>
    </row>
    <row r="55206" spans="3:3" x14ac:dyDescent="0.35">
      <c r="C55206" s="2"/>
    </row>
    <row r="55207" spans="3:3" x14ac:dyDescent="0.35">
      <c r="C55207" s="2"/>
    </row>
    <row r="55208" spans="3:3" x14ac:dyDescent="0.35">
      <c r="C55208" s="2"/>
    </row>
    <row r="55209" spans="3:3" x14ac:dyDescent="0.35">
      <c r="C55209" s="2"/>
    </row>
    <row r="55210" spans="3:3" x14ac:dyDescent="0.35">
      <c r="C55210" s="2"/>
    </row>
    <row r="55211" spans="3:3" x14ac:dyDescent="0.35">
      <c r="C55211" s="2"/>
    </row>
    <row r="55212" spans="3:3" x14ac:dyDescent="0.35">
      <c r="C55212" s="2"/>
    </row>
    <row r="55213" spans="3:3" x14ac:dyDescent="0.35">
      <c r="C55213" s="2"/>
    </row>
    <row r="55214" spans="3:3" x14ac:dyDescent="0.35">
      <c r="C55214" s="2"/>
    </row>
    <row r="55215" spans="3:3" x14ac:dyDescent="0.35">
      <c r="C55215" s="2"/>
    </row>
    <row r="55216" spans="3:3" x14ac:dyDescent="0.35">
      <c r="C55216" s="2"/>
    </row>
    <row r="55217" spans="3:3" x14ac:dyDescent="0.35">
      <c r="C55217" s="2"/>
    </row>
    <row r="55218" spans="3:3" x14ac:dyDescent="0.35">
      <c r="C55218" s="2"/>
    </row>
    <row r="55219" spans="3:3" x14ac:dyDescent="0.35">
      <c r="C55219" s="2"/>
    </row>
    <row r="55220" spans="3:3" x14ac:dyDescent="0.35">
      <c r="C55220" s="2"/>
    </row>
    <row r="55221" spans="3:3" x14ac:dyDescent="0.35">
      <c r="C55221" s="2"/>
    </row>
    <row r="55222" spans="3:3" x14ac:dyDescent="0.35">
      <c r="C55222" s="2"/>
    </row>
    <row r="55223" spans="3:3" x14ac:dyDescent="0.35">
      <c r="C55223" s="2"/>
    </row>
    <row r="55224" spans="3:3" x14ac:dyDescent="0.35">
      <c r="C55224" s="2"/>
    </row>
    <row r="55225" spans="3:3" x14ac:dyDescent="0.35">
      <c r="C55225" s="2"/>
    </row>
    <row r="55226" spans="3:3" x14ac:dyDescent="0.35">
      <c r="C55226" s="2"/>
    </row>
    <row r="55227" spans="3:3" x14ac:dyDescent="0.35">
      <c r="C55227" s="2"/>
    </row>
    <row r="55228" spans="3:3" x14ac:dyDescent="0.35">
      <c r="C55228" s="2"/>
    </row>
    <row r="55229" spans="3:3" x14ac:dyDescent="0.35">
      <c r="C55229" s="2"/>
    </row>
    <row r="55230" spans="3:3" x14ac:dyDescent="0.35">
      <c r="C55230" s="2"/>
    </row>
    <row r="55231" spans="3:3" x14ac:dyDescent="0.35">
      <c r="C55231" s="2"/>
    </row>
    <row r="55232" spans="3:3" x14ac:dyDescent="0.35">
      <c r="C55232" s="2"/>
    </row>
    <row r="55233" spans="3:3" x14ac:dyDescent="0.35">
      <c r="C55233" s="2"/>
    </row>
    <row r="55234" spans="3:3" x14ac:dyDescent="0.35">
      <c r="C55234" s="2"/>
    </row>
    <row r="55235" spans="3:3" x14ac:dyDescent="0.35">
      <c r="C55235" s="2"/>
    </row>
    <row r="55236" spans="3:3" x14ac:dyDescent="0.35">
      <c r="C55236" s="2"/>
    </row>
    <row r="55237" spans="3:3" x14ac:dyDescent="0.35">
      <c r="C55237" s="2"/>
    </row>
    <row r="55238" spans="3:3" x14ac:dyDescent="0.35">
      <c r="C55238" s="2"/>
    </row>
    <row r="55239" spans="3:3" x14ac:dyDescent="0.35">
      <c r="C55239" s="2"/>
    </row>
    <row r="55240" spans="3:3" x14ac:dyDescent="0.35">
      <c r="C55240" s="2"/>
    </row>
    <row r="55241" spans="3:3" x14ac:dyDescent="0.35">
      <c r="C55241" s="2"/>
    </row>
    <row r="55242" spans="3:3" x14ac:dyDescent="0.35">
      <c r="C55242" s="2"/>
    </row>
    <row r="55243" spans="3:3" x14ac:dyDescent="0.35">
      <c r="C55243" s="2"/>
    </row>
    <row r="55244" spans="3:3" x14ac:dyDescent="0.35">
      <c r="C55244" s="2"/>
    </row>
    <row r="55245" spans="3:3" x14ac:dyDescent="0.35">
      <c r="C55245" s="2"/>
    </row>
    <row r="55246" spans="3:3" x14ac:dyDescent="0.35">
      <c r="C55246" s="2"/>
    </row>
    <row r="55247" spans="3:3" x14ac:dyDescent="0.35">
      <c r="C55247" s="2"/>
    </row>
    <row r="55248" spans="3:3" x14ac:dyDescent="0.35">
      <c r="C55248" s="2"/>
    </row>
    <row r="55249" spans="3:3" x14ac:dyDescent="0.35">
      <c r="C55249" s="2"/>
    </row>
    <row r="55250" spans="3:3" x14ac:dyDescent="0.35">
      <c r="C55250" s="2"/>
    </row>
    <row r="55251" spans="3:3" x14ac:dyDescent="0.35">
      <c r="C55251" s="2"/>
    </row>
    <row r="55252" spans="3:3" x14ac:dyDescent="0.35">
      <c r="C55252" s="2"/>
    </row>
    <row r="55253" spans="3:3" x14ac:dyDescent="0.35">
      <c r="C55253" s="2"/>
    </row>
    <row r="55254" spans="3:3" x14ac:dyDescent="0.35">
      <c r="C55254" s="2"/>
    </row>
    <row r="55255" spans="3:3" x14ac:dyDescent="0.35">
      <c r="C55255" s="2"/>
    </row>
    <row r="55256" spans="3:3" x14ac:dyDescent="0.35">
      <c r="C55256" s="2"/>
    </row>
    <row r="55257" spans="3:3" x14ac:dyDescent="0.35">
      <c r="C55257" s="2"/>
    </row>
    <row r="55258" spans="3:3" x14ac:dyDescent="0.35">
      <c r="C55258" s="2"/>
    </row>
    <row r="55259" spans="3:3" x14ac:dyDescent="0.35">
      <c r="C55259" s="2"/>
    </row>
    <row r="55260" spans="3:3" x14ac:dyDescent="0.35">
      <c r="C55260" s="2"/>
    </row>
    <row r="55261" spans="3:3" x14ac:dyDescent="0.35">
      <c r="C55261" s="2"/>
    </row>
    <row r="55262" spans="3:3" x14ac:dyDescent="0.35">
      <c r="C55262" s="2"/>
    </row>
    <row r="55263" spans="3:3" x14ac:dyDescent="0.35">
      <c r="C55263" s="2"/>
    </row>
    <row r="55264" spans="3:3" x14ac:dyDescent="0.35">
      <c r="C55264" s="2"/>
    </row>
    <row r="55265" spans="3:3" x14ac:dyDescent="0.35">
      <c r="C55265" s="2"/>
    </row>
    <row r="55266" spans="3:3" x14ac:dyDescent="0.35">
      <c r="C55266" s="2"/>
    </row>
    <row r="55267" spans="3:3" x14ac:dyDescent="0.35">
      <c r="C55267" s="2"/>
    </row>
    <row r="55268" spans="3:3" x14ac:dyDescent="0.35">
      <c r="C55268" s="2"/>
    </row>
    <row r="55269" spans="3:3" x14ac:dyDescent="0.35">
      <c r="C55269" s="2"/>
    </row>
    <row r="55270" spans="3:3" x14ac:dyDescent="0.35">
      <c r="C55270" s="2"/>
    </row>
    <row r="55271" spans="3:3" x14ac:dyDescent="0.35">
      <c r="C55271" s="2"/>
    </row>
    <row r="55272" spans="3:3" x14ac:dyDescent="0.35">
      <c r="C55272" s="2"/>
    </row>
    <row r="55273" spans="3:3" x14ac:dyDescent="0.35">
      <c r="C55273" s="2"/>
    </row>
    <row r="55274" spans="3:3" x14ac:dyDescent="0.35">
      <c r="C55274" s="2"/>
    </row>
    <row r="55275" spans="3:3" x14ac:dyDescent="0.35">
      <c r="C55275" s="2"/>
    </row>
    <row r="55276" spans="3:3" x14ac:dyDescent="0.35">
      <c r="C55276" s="2"/>
    </row>
    <row r="55277" spans="3:3" x14ac:dyDescent="0.35">
      <c r="C55277" s="2"/>
    </row>
    <row r="55278" spans="3:3" x14ac:dyDescent="0.35">
      <c r="C55278" s="2"/>
    </row>
    <row r="55279" spans="3:3" x14ac:dyDescent="0.35">
      <c r="C55279" s="2"/>
    </row>
    <row r="55280" spans="3:3" x14ac:dyDescent="0.35">
      <c r="C55280" s="2"/>
    </row>
    <row r="55281" spans="3:3" x14ac:dyDescent="0.35">
      <c r="C55281" s="2"/>
    </row>
    <row r="55282" spans="3:3" x14ac:dyDescent="0.35">
      <c r="C55282" s="2"/>
    </row>
    <row r="55283" spans="3:3" x14ac:dyDescent="0.35">
      <c r="C55283" s="2"/>
    </row>
    <row r="55284" spans="3:3" x14ac:dyDescent="0.35">
      <c r="C55284" s="2"/>
    </row>
    <row r="55285" spans="3:3" x14ac:dyDescent="0.35">
      <c r="C55285" s="2"/>
    </row>
    <row r="55286" spans="3:3" x14ac:dyDescent="0.35">
      <c r="C55286" s="2"/>
    </row>
    <row r="55287" spans="3:3" x14ac:dyDescent="0.35">
      <c r="C55287" s="2"/>
    </row>
    <row r="55288" spans="3:3" x14ac:dyDescent="0.35">
      <c r="C55288" s="2"/>
    </row>
    <row r="55289" spans="3:3" x14ac:dyDescent="0.35">
      <c r="C55289" s="2"/>
    </row>
    <row r="55290" spans="3:3" x14ac:dyDescent="0.35">
      <c r="C55290" s="2"/>
    </row>
    <row r="55291" spans="3:3" x14ac:dyDescent="0.35">
      <c r="C55291" s="2"/>
    </row>
    <row r="55292" spans="3:3" x14ac:dyDescent="0.35">
      <c r="C55292" s="2"/>
    </row>
    <row r="55293" spans="3:3" x14ac:dyDescent="0.35">
      <c r="C55293" s="2"/>
    </row>
    <row r="55294" spans="3:3" x14ac:dyDescent="0.35">
      <c r="C55294" s="2"/>
    </row>
    <row r="55295" spans="3:3" x14ac:dyDescent="0.35">
      <c r="C55295" s="2"/>
    </row>
    <row r="55296" spans="3:3" x14ac:dyDescent="0.35">
      <c r="C55296" s="2"/>
    </row>
    <row r="55297" spans="3:3" x14ac:dyDescent="0.35">
      <c r="C55297" s="2"/>
    </row>
    <row r="55298" spans="3:3" x14ac:dyDescent="0.35">
      <c r="C55298" s="2"/>
    </row>
    <row r="55299" spans="3:3" x14ac:dyDescent="0.35">
      <c r="C55299" s="2"/>
    </row>
    <row r="55300" spans="3:3" x14ac:dyDescent="0.35">
      <c r="C55300" s="2"/>
    </row>
    <row r="55301" spans="3:3" x14ac:dyDescent="0.35">
      <c r="C55301" s="2"/>
    </row>
    <row r="55302" spans="3:3" x14ac:dyDescent="0.35">
      <c r="C55302" s="2"/>
    </row>
    <row r="55303" spans="3:3" x14ac:dyDescent="0.35">
      <c r="C55303" s="2"/>
    </row>
    <row r="55304" spans="3:3" x14ac:dyDescent="0.35">
      <c r="C55304" s="2"/>
    </row>
    <row r="55305" spans="3:3" x14ac:dyDescent="0.35">
      <c r="C55305" s="2"/>
    </row>
    <row r="55306" spans="3:3" x14ac:dyDescent="0.35">
      <c r="C55306" s="2"/>
    </row>
    <row r="55307" spans="3:3" x14ac:dyDescent="0.35">
      <c r="C55307" s="2"/>
    </row>
    <row r="55308" spans="3:3" x14ac:dyDescent="0.35">
      <c r="C55308" s="2"/>
    </row>
    <row r="55309" spans="3:3" x14ac:dyDescent="0.35">
      <c r="C55309" s="2"/>
    </row>
    <row r="55310" spans="3:3" x14ac:dyDescent="0.35">
      <c r="C55310" s="2"/>
    </row>
    <row r="55311" spans="3:3" x14ac:dyDescent="0.35">
      <c r="C55311" s="2"/>
    </row>
    <row r="55312" spans="3:3" x14ac:dyDescent="0.35">
      <c r="C55312" s="2"/>
    </row>
    <row r="55313" spans="3:3" x14ac:dyDescent="0.35">
      <c r="C55313" s="2"/>
    </row>
    <row r="55314" spans="3:3" x14ac:dyDescent="0.35">
      <c r="C55314" s="2"/>
    </row>
    <row r="55315" spans="3:3" x14ac:dyDescent="0.35">
      <c r="C55315" s="2"/>
    </row>
    <row r="55316" spans="3:3" x14ac:dyDescent="0.35">
      <c r="C55316" s="2"/>
    </row>
    <row r="55317" spans="3:3" x14ac:dyDescent="0.35">
      <c r="C55317" s="2"/>
    </row>
    <row r="55318" spans="3:3" x14ac:dyDescent="0.35">
      <c r="C55318" s="2"/>
    </row>
    <row r="55319" spans="3:3" x14ac:dyDescent="0.35">
      <c r="C55319" s="2"/>
    </row>
    <row r="55320" spans="3:3" x14ac:dyDescent="0.35">
      <c r="C55320" s="2"/>
    </row>
    <row r="55321" spans="3:3" x14ac:dyDescent="0.35">
      <c r="C55321" s="2"/>
    </row>
    <row r="55322" spans="3:3" x14ac:dyDescent="0.35">
      <c r="C55322" s="2"/>
    </row>
    <row r="55323" spans="3:3" x14ac:dyDescent="0.35">
      <c r="C55323" s="2"/>
    </row>
    <row r="55324" spans="3:3" x14ac:dyDescent="0.35">
      <c r="C55324" s="2"/>
    </row>
    <row r="55325" spans="3:3" x14ac:dyDescent="0.35">
      <c r="C55325" s="2"/>
    </row>
    <row r="55326" spans="3:3" x14ac:dyDescent="0.35">
      <c r="C55326" s="2"/>
    </row>
    <row r="55327" spans="3:3" x14ac:dyDescent="0.35">
      <c r="C55327" s="2"/>
    </row>
    <row r="55328" spans="3:3" x14ac:dyDescent="0.35">
      <c r="C55328" s="2"/>
    </row>
    <row r="55329" spans="3:3" x14ac:dyDescent="0.35">
      <c r="C55329" s="2"/>
    </row>
    <row r="55330" spans="3:3" x14ac:dyDescent="0.35">
      <c r="C55330" s="2"/>
    </row>
    <row r="55331" spans="3:3" x14ac:dyDescent="0.35">
      <c r="C55331" s="2"/>
    </row>
    <row r="55332" spans="3:3" x14ac:dyDescent="0.35">
      <c r="C55332" s="2"/>
    </row>
    <row r="55333" spans="3:3" x14ac:dyDescent="0.35">
      <c r="C55333" s="2"/>
    </row>
    <row r="55334" spans="3:3" x14ac:dyDescent="0.35">
      <c r="C55334" s="2"/>
    </row>
    <row r="55335" spans="3:3" x14ac:dyDescent="0.35">
      <c r="C55335" s="2"/>
    </row>
    <row r="55336" spans="3:3" x14ac:dyDescent="0.35">
      <c r="C55336" s="2"/>
    </row>
    <row r="55337" spans="3:3" x14ac:dyDescent="0.35">
      <c r="C55337" s="2"/>
    </row>
    <row r="55338" spans="3:3" x14ac:dyDescent="0.35">
      <c r="C55338" s="2"/>
    </row>
    <row r="55339" spans="3:3" x14ac:dyDescent="0.35">
      <c r="C55339" s="2"/>
    </row>
    <row r="55340" spans="3:3" x14ac:dyDescent="0.35">
      <c r="C55340" s="2"/>
    </row>
    <row r="55341" spans="3:3" x14ac:dyDescent="0.35">
      <c r="C55341" s="2"/>
    </row>
    <row r="55342" spans="3:3" x14ac:dyDescent="0.35">
      <c r="C55342" s="2"/>
    </row>
    <row r="55343" spans="3:3" x14ac:dyDescent="0.35">
      <c r="C55343" s="2"/>
    </row>
    <row r="55344" spans="3:3" x14ac:dyDescent="0.35">
      <c r="C55344" s="2"/>
    </row>
    <row r="55345" spans="3:3" x14ac:dyDescent="0.35">
      <c r="C55345" s="2"/>
    </row>
    <row r="55346" spans="3:3" x14ac:dyDescent="0.35">
      <c r="C55346" s="2"/>
    </row>
    <row r="55347" spans="3:3" x14ac:dyDescent="0.35">
      <c r="C55347" s="2"/>
    </row>
    <row r="55348" spans="3:3" x14ac:dyDescent="0.35">
      <c r="C55348" s="2"/>
    </row>
    <row r="55349" spans="3:3" x14ac:dyDescent="0.35">
      <c r="C55349" s="2"/>
    </row>
    <row r="55350" spans="3:3" x14ac:dyDescent="0.35">
      <c r="C55350" s="2"/>
    </row>
    <row r="55351" spans="3:3" x14ac:dyDescent="0.35">
      <c r="C55351" s="2"/>
    </row>
    <row r="55352" spans="3:3" x14ac:dyDescent="0.35">
      <c r="C55352" s="2"/>
    </row>
    <row r="55353" spans="3:3" x14ac:dyDescent="0.35">
      <c r="C55353" s="2"/>
    </row>
    <row r="55354" spans="3:3" x14ac:dyDescent="0.35">
      <c r="C55354" s="2"/>
    </row>
    <row r="55355" spans="3:3" x14ac:dyDescent="0.35">
      <c r="C55355" s="2"/>
    </row>
    <row r="55356" spans="3:3" x14ac:dyDescent="0.35">
      <c r="C55356" s="2"/>
    </row>
    <row r="55357" spans="3:3" x14ac:dyDescent="0.35">
      <c r="C55357" s="2"/>
    </row>
    <row r="55358" spans="3:3" x14ac:dyDescent="0.35">
      <c r="C55358" s="2"/>
    </row>
    <row r="55359" spans="3:3" x14ac:dyDescent="0.35">
      <c r="C55359" s="2"/>
    </row>
    <row r="55360" spans="3:3" x14ac:dyDescent="0.35">
      <c r="C55360" s="2"/>
    </row>
    <row r="55361" spans="3:3" x14ac:dyDescent="0.35">
      <c r="C55361" s="2"/>
    </row>
    <row r="55362" spans="3:3" x14ac:dyDescent="0.35">
      <c r="C55362" s="2"/>
    </row>
    <row r="55363" spans="3:3" x14ac:dyDescent="0.35">
      <c r="C55363" s="2"/>
    </row>
    <row r="55364" spans="3:3" x14ac:dyDescent="0.35">
      <c r="C55364" s="2"/>
    </row>
    <row r="55365" spans="3:3" x14ac:dyDescent="0.35">
      <c r="C55365" s="2"/>
    </row>
    <row r="55366" spans="3:3" x14ac:dyDescent="0.35">
      <c r="C55366" s="2"/>
    </row>
    <row r="55367" spans="3:3" x14ac:dyDescent="0.35">
      <c r="C55367" s="2"/>
    </row>
    <row r="55368" spans="3:3" x14ac:dyDescent="0.35">
      <c r="C55368" s="2"/>
    </row>
    <row r="55369" spans="3:3" x14ac:dyDescent="0.35">
      <c r="C55369" s="2"/>
    </row>
    <row r="55370" spans="3:3" x14ac:dyDescent="0.35">
      <c r="C55370" s="2"/>
    </row>
    <row r="55371" spans="3:3" x14ac:dyDescent="0.35">
      <c r="C55371" s="2"/>
    </row>
    <row r="55372" spans="3:3" x14ac:dyDescent="0.35">
      <c r="C55372" s="2"/>
    </row>
    <row r="55373" spans="3:3" x14ac:dyDescent="0.35">
      <c r="C55373" s="2"/>
    </row>
    <row r="55374" spans="3:3" x14ac:dyDescent="0.35">
      <c r="C55374" s="2"/>
    </row>
    <row r="55375" spans="3:3" x14ac:dyDescent="0.35">
      <c r="C55375" s="2"/>
    </row>
    <row r="55376" spans="3:3" x14ac:dyDescent="0.35">
      <c r="C55376" s="2"/>
    </row>
    <row r="55377" spans="3:3" x14ac:dyDescent="0.35">
      <c r="C55377" s="2"/>
    </row>
    <row r="55378" spans="3:3" x14ac:dyDescent="0.35">
      <c r="C55378" s="2"/>
    </row>
    <row r="55379" spans="3:3" x14ac:dyDescent="0.35">
      <c r="C55379" s="2"/>
    </row>
    <row r="55380" spans="3:3" x14ac:dyDescent="0.35">
      <c r="C55380" s="2"/>
    </row>
    <row r="55381" spans="3:3" x14ac:dyDescent="0.35">
      <c r="C55381" s="2"/>
    </row>
    <row r="55382" spans="3:3" x14ac:dyDescent="0.35">
      <c r="C55382" s="2"/>
    </row>
    <row r="55383" spans="3:3" x14ac:dyDescent="0.35">
      <c r="C55383" s="2"/>
    </row>
    <row r="55384" spans="3:3" x14ac:dyDescent="0.35">
      <c r="C55384" s="2"/>
    </row>
    <row r="55385" spans="3:3" x14ac:dyDescent="0.35">
      <c r="C55385" s="2"/>
    </row>
    <row r="55386" spans="3:3" x14ac:dyDescent="0.35">
      <c r="C55386" s="2"/>
    </row>
    <row r="55387" spans="3:3" x14ac:dyDescent="0.35">
      <c r="C55387" s="2"/>
    </row>
    <row r="55388" spans="3:3" x14ac:dyDescent="0.35">
      <c r="C55388" s="2"/>
    </row>
    <row r="55389" spans="3:3" x14ac:dyDescent="0.35">
      <c r="C55389" s="2"/>
    </row>
    <row r="55390" spans="3:3" x14ac:dyDescent="0.35">
      <c r="C55390" s="2"/>
    </row>
    <row r="55391" spans="3:3" x14ac:dyDescent="0.35">
      <c r="C55391" s="2"/>
    </row>
    <row r="55392" spans="3:3" x14ac:dyDescent="0.35">
      <c r="C55392" s="2"/>
    </row>
    <row r="55393" spans="3:3" x14ac:dyDescent="0.35">
      <c r="C55393" s="2"/>
    </row>
    <row r="55394" spans="3:3" x14ac:dyDescent="0.35">
      <c r="C55394" s="2"/>
    </row>
    <row r="55395" spans="3:3" x14ac:dyDescent="0.35">
      <c r="C55395" s="2"/>
    </row>
    <row r="55396" spans="3:3" x14ac:dyDescent="0.35">
      <c r="C55396" s="2"/>
    </row>
    <row r="55397" spans="3:3" x14ac:dyDescent="0.35">
      <c r="C55397" s="2"/>
    </row>
    <row r="55398" spans="3:3" x14ac:dyDescent="0.35">
      <c r="C55398" s="2"/>
    </row>
    <row r="55399" spans="3:3" x14ac:dyDescent="0.35">
      <c r="C55399" s="2"/>
    </row>
    <row r="55400" spans="3:3" x14ac:dyDescent="0.35">
      <c r="C55400" s="2"/>
    </row>
    <row r="55401" spans="3:3" x14ac:dyDescent="0.35">
      <c r="C55401" s="2"/>
    </row>
    <row r="55402" spans="3:3" x14ac:dyDescent="0.35">
      <c r="C55402" s="2"/>
    </row>
    <row r="55403" spans="3:3" x14ac:dyDescent="0.35">
      <c r="C55403" s="2"/>
    </row>
    <row r="55404" spans="3:3" x14ac:dyDescent="0.35">
      <c r="C55404" s="2"/>
    </row>
    <row r="55405" spans="3:3" x14ac:dyDescent="0.35">
      <c r="C55405" s="2"/>
    </row>
    <row r="55406" spans="3:3" x14ac:dyDescent="0.35">
      <c r="C55406" s="2"/>
    </row>
    <row r="55407" spans="3:3" x14ac:dyDescent="0.35">
      <c r="C55407" s="2"/>
    </row>
    <row r="55408" spans="3:3" x14ac:dyDescent="0.35">
      <c r="C55408" s="2"/>
    </row>
    <row r="55409" spans="3:3" x14ac:dyDescent="0.35">
      <c r="C55409" s="2"/>
    </row>
    <row r="55410" spans="3:3" x14ac:dyDescent="0.35">
      <c r="C55410" s="2"/>
    </row>
    <row r="55411" spans="3:3" x14ac:dyDescent="0.35">
      <c r="C55411" s="2"/>
    </row>
    <row r="55412" spans="3:3" x14ac:dyDescent="0.35">
      <c r="C55412" s="2"/>
    </row>
    <row r="55413" spans="3:3" x14ac:dyDescent="0.35">
      <c r="C55413" s="2"/>
    </row>
    <row r="55414" spans="3:3" x14ac:dyDescent="0.35">
      <c r="C55414" s="2"/>
    </row>
    <row r="55415" spans="3:3" x14ac:dyDescent="0.35">
      <c r="C55415" s="2"/>
    </row>
    <row r="55416" spans="3:3" x14ac:dyDescent="0.35">
      <c r="C55416" s="2"/>
    </row>
    <row r="55417" spans="3:3" x14ac:dyDescent="0.35">
      <c r="C55417" s="2"/>
    </row>
    <row r="55418" spans="3:3" x14ac:dyDescent="0.35">
      <c r="C55418" s="2"/>
    </row>
    <row r="55419" spans="3:3" x14ac:dyDescent="0.35">
      <c r="C55419" s="2"/>
    </row>
    <row r="55420" spans="3:3" x14ac:dyDescent="0.35">
      <c r="C55420" s="2"/>
    </row>
    <row r="55421" spans="3:3" x14ac:dyDescent="0.35">
      <c r="C55421" s="2"/>
    </row>
    <row r="55422" spans="3:3" x14ac:dyDescent="0.35">
      <c r="C55422" s="2"/>
    </row>
    <row r="55423" spans="3:3" x14ac:dyDescent="0.35">
      <c r="C55423" s="2"/>
    </row>
    <row r="55424" spans="3:3" x14ac:dyDescent="0.35">
      <c r="C55424" s="2"/>
    </row>
    <row r="55425" spans="3:3" x14ac:dyDescent="0.35">
      <c r="C55425" s="2"/>
    </row>
    <row r="55426" spans="3:3" x14ac:dyDescent="0.35">
      <c r="C55426" s="2"/>
    </row>
    <row r="55427" spans="3:3" x14ac:dyDescent="0.35">
      <c r="C55427" s="2"/>
    </row>
    <row r="55428" spans="3:3" x14ac:dyDescent="0.35">
      <c r="C55428" s="2"/>
    </row>
    <row r="55429" spans="3:3" x14ac:dyDescent="0.35">
      <c r="C55429" s="2"/>
    </row>
    <row r="55430" spans="3:3" x14ac:dyDescent="0.35">
      <c r="C55430" s="2"/>
    </row>
    <row r="55431" spans="3:3" x14ac:dyDescent="0.35">
      <c r="C55431" s="2"/>
    </row>
    <row r="55432" spans="3:3" x14ac:dyDescent="0.35">
      <c r="C55432" s="2"/>
    </row>
    <row r="55433" spans="3:3" x14ac:dyDescent="0.35">
      <c r="C55433" s="2"/>
    </row>
    <row r="55434" spans="3:3" x14ac:dyDescent="0.35">
      <c r="C55434" s="2"/>
    </row>
    <row r="55435" spans="3:3" x14ac:dyDescent="0.35">
      <c r="C55435" s="2"/>
    </row>
    <row r="55436" spans="3:3" x14ac:dyDescent="0.35">
      <c r="C55436" s="2"/>
    </row>
    <row r="55437" spans="3:3" x14ac:dyDescent="0.35">
      <c r="C55437" s="2"/>
    </row>
    <row r="55438" spans="3:3" x14ac:dyDescent="0.35">
      <c r="C55438" s="2"/>
    </row>
    <row r="55439" spans="3:3" x14ac:dyDescent="0.35">
      <c r="C55439" s="2"/>
    </row>
    <row r="55440" spans="3:3" x14ac:dyDescent="0.35">
      <c r="C55440" s="2"/>
    </row>
    <row r="55441" spans="3:3" x14ac:dyDescent="0.35">
      <c r="C55441" s="2"/>
    </row>
    <row r="55442" spans="3:3" x14ac:dyDescent="0.35">
      <c r="C55442" s="2"/>
    </row>
    <row r="55443" spans="3:3" x14ac:dyDescent="0.35">
      <c r="C55443" s="2"/>
    </row>
    <row r="55444" spans="3:3" x14ac:dyDescent="0.35">
      <c r="C55444" s="2"/>
    </row>
    <row r="55445" spans="3:3" x14ac:dyDescent="0.35">
      <c r="C55445" s="2"/>
    </row>
    <row r="55446" spans="3:3" x14ac:dyDescent="0.35">
      <c r="C55446" s="2"/>
    </row>
    <row r="55447" spans="3:3" x14ac:dyDescent="0.35">
      <c r="C55447" s="2"/>
    </row>
    <row r="55448" spans="3:3" x14ac:dyDescent="0.35">
      <c r="C55448" s="2"/>
    </row>
    <row r="55449" spans="3:3" x14ac:dyDescent="0.35">
      <c r="C55449" s="2"/>
    </row>
    <row r="55450" spans="3:3" x14ac:dyDescent="0.35">
      <c r="C55450" s="2"/>
    </row>
    <row r="55451" spans="3:3" x14ac:dyDescent="0.35">
      <c r="C55451" s="2"/>
    </row>
    <row r="55452" spans="3:3" x14ac:dyDescent="0.35">
      <c r="C55452" s="2"/>
    </row>
    <row r="55453" spans="3:3" x14ac:dyDescent="0.35">
      <c r="C55453" s="2"/>
    </row>
    <row r="55454" spans="3:3" x14ac:dyDescent="0.35">
      <c r="C55454" s="2"/>
    </row>
    <row r="55455" spans="3:3" x14ac:dyDescent="0.35">
      <c r="C55455" s="2"/>
    </row>
    <row r="55456" spans="3:3" x14ac:dyDescent="0.35">
      <c r="C55456" s="2"/>
    </row>
    <row r="55457" spans="3:3" x14ac:dyDescent="0.35">
      <c r="C55457" s="2"/>
    </row>
    <row r="55458" spans="3:3" x14ac:dyDescent="0.35">
      <c r="C55458" s="2"/>
    </row>
    <row r="55459" spans="3:3" x14ac:dyDescent="0.35">
      <c r="C55459" s="2"/>
    </row>
    <row r="55460" spans="3:3" x14ac:dyDescent="0.35">
      <c r="C55460" s="2"/>
    </row>
    <row r="55461" spans="3:3" x14ac:dyDescent="0.35">
      <c r="C55461" s="2"/>
    </row>
    <row r="55462" spans="3:3" x14ac:dyDescent="0.35">
      <c r="C55462" s="2"/>
    </row>
    <row r="55463" spans="3:3" x14ac:dyDescent="0.35">
      <c r="C55463" s="2"/>
    </row>
    <row r="55464" spans="3:3" x14ac:dyDescent="0.35">
      <c r="C55464" s="2"/>
    </row>
    <row r="55465" spans="3:3" x14ac:dyDescent="0.35">
      <c r="C55465" s="2"/>
    </row>
    <row r="55466" spans="3:3" x14ac:dyDescent="0.35">
      <c r="C55466" s="2"/>
    </row>
    <row r="55467" spans="3:3" x14ac:dyDescent="0.35">
      <c r="C55467" s="2"/>
    </row>
    <row r="55468" spans="3:3" x14ac:dyDescent="0.35">
      <c r="C55468" s="2"/>
    </row>
    <row r="55469" spans="3:3" x14ac:dyDescent="0.35">
      <c r="C55469" s="2"/>
    </row>
    <row r="55470" spans="3:3" x14ac:dyDescent="0.35">
      <c r="C55470" s="2"/>
    </row>
    <row r="55471" spans="3:3" x14ac:dyDescent="0.35">
      <c r="C55471" s="2"/>
    </row>
    <row r="55472" spans="3:3" x14ac:dyDescent="0.35">
      <c r="C55472" s="2"/>
    </row>
    <row r="55473" spans="3:3" x14ac:dyDescent="0.35">
      <c r="C55473" s="2"/>
    </row>
    <row r="55474" spans="3:3" x14ac:dyDescent="0.35">
      <c r="C55474" s="2"/>
    </row>
    <row r="55475" spans="3:3" x14ac:dyDescent="0.35">
      <c r="C55475" s="2"/>
    </row>
    <row r="55476" spans="3:3" x14ac:dyDescent="0.35">
      <c r="C55476" s="2"/>
    </row>
    <row r="55477" spans="3:3" x14ac:dyDescent="0.35">
      <c r="C55477" s="2"/>
    </row>
    <row r="55478" spans="3:3" x14ac:dyDescent="0.35">
      <c r="C55478" s="2"/>
    </row>
    <row r="55479" spans="3:3" x14ac:dyDescent="0.35">
      <c r="C55479" s="2"/>
    </row>
    <row r="55480" spans="3:3" x14ac:dyDescent="0.35">
      <c r="C55480" s="2"/>
    </row>
    <row r="55481" spans="3:3" x14ac:dyDescent="0.35">
      <c r="C55481" s="2"/>
    </row>
    <row r="55482" spans="3:3" x14ac:dyDescent="0.35">
      <c r="C55482" s="2"/>
    </row>
    <row r="55483" spans="3:3" x14ac:dyDescent="0.35">
      <c r="C55483" s="2"/>
    </row>
    <row r="55484" spans="3:3" x14ac:dyDescent="0.35">
      <c r="C55484" s="2"/>
    </row>
    <row r="55485" spans="3:3" x14ac:dyDescent="0.35">
      <c r="C55485" s="2"/>
    </row>
    <row r="55486" spans="3:3" x14ac:dyDescent="0.35">
      <c r="C55486" s="2"/>
    </row>
    <row r="55487" spans="3:3" x14ac:dyDescent="0.35">
      <c r="C55487" s="2"/>
    </row>
    <row r="55488" spans="3:3" x14ac:dyDescent="0.35">
      <c r="C55488" s="2"/>
    </row>
    <row r="55489" spans="3:3" x14ac:dyDescent="0.35">
      <c r="C55489" s="2"/>
    </row>
    <row r="55490" spans="3:3" x14ac:dyDescent="0.35">
      <c r="C55490" s="2"/>
    </row>
    <row r="55491" spans="3:3" x14ac:dyDescent="0.35">
      <c r="C55491" s="2"/>
    </row>
    <row r="55492" spans="3:3" x14ac:dyDescent="0.35">
      <c r="C55492" s="2"/>
    </row>
    <row r="55493" spans="3:3" x14ac:dyDescent="0.35">
      <c r="C55493" s="2"/>
    </row>
    <row r="55494" spans="3:3" x14ac:dyDescent="0.35">
      <c r="C55494" s="2"/>
    </row>
    <row r="55495" spans="3:3" x14ac:dyDescent="0.35">
      <c r="C55495" s="2"/>
    </row>
    <row r="55496" spans="3:3" x14ac:dyDescent="0.35">
      <c r="C55496" s="2"/>
    </row>
    <row r="55497" spans="3:3" x14ac:dyDescent="0.35">
      <c r="C55497" s="2"/>
    </row>
    <row r="55498" spans="3:3" x14ac:dyDescent="0.35">
      <c r="C55498" s="2"/>
    </row>
    <row r="55499" spans="3:3" x14ac:dyDescent="0.35">
      <c r="C55499" s="2"/>
    </row>
    <row r="55500" spans="3:3" x14ac:dyDescent="0.35">
      <c r="C55500" s="2"/>
    </row>
    <row r="55501" spans="3:3" x14ac:dyDescent="0.35">
      <c r="C55501" s="2"/>
    </row>
    <row r="55502" spans="3:3" x14ac:dyDescent="0.35">
      <c r="C55502" s="2"/>
    </row>
    <row r="55503" spans="3:3" x14ac:dyDescent="0.35">
      <c r="C55503" s="2"/>
    </row>
    <row r="55504" spans="3:3" x14ac:dyDescent="0.35">
      <c r="C55504" s="2"/>
    </row>
    <row r="55505" spans="3:3" x14ac:dyDescent="0.35">
      <c r="C55505" s="2"/>
    </row>
    <row r="55506" spans="3:3" x14ac:dyDescent="0.35">
      <c r="C55506" s="2"/>
    </row>
    <row r="55507" spans="3:3" x14ac:dyDescent="0.35">
      <c r="C55507" s="2"/>
    </row>
    <row r="55508" spans="3:3" x14ac:dyDescent="0.35">
      <c r="C55508" s="2"/>
    </row>
    <row r="55509" spans="3:3" x14ac:dyDescent="0.35">
      <c r="C55509" s="2"/>
    </row>
    <row r="55510" spans="3:3" x14ac:dyDescent="0.35">
      <c r="C55510" s="2"/>
    </row>
    <row r="55511" spans="3:3" x14ac:dyDescent="0.35">
      <c r="C55511" s="2"/>
    </row>
    <row r="55512" spans="3:3" x14ac:dyDescent="0.35">
      <c r="C55512" s="2"/>
    </row>
    <row r="55513" spans="3:3" x14ac:dyDescent="0.35">
      <c r="C55513" s="2"/>
    </row>
    <row r="55514" spans="3:3" x14ac:dyDescent="0.35">
      <c r="C55514" s="2"/>
    </row>
    <row r="55515" spans="3:3" x14ac:dyDescent="0.35">
      <c r="C55515" s="2"/>
    </row>
    <row r="55516" spans="3:3" x14ac:dyDescent="0.35">
      <c r="C55516" s="2"/>
    </row>
    <row r="55517" spans="3:3" x14ac:dyDescent="0.35">
      <c r="C55517" s="2"/>
    </row>
    <row r="55518" spans="3:3" x14ac:dyDescent="0.35">
      <c r="C55518" s="2"/>
    </row>
    <row r="55519" spans="3:3" x14ac:dyDescent="0.35">
      <c r="C55519" s="2"/>
    </row>
    <row r="55520" spans="3:3" x14ac:dyDescent="0.35">
      <c r="C55520" s="2"/>
    </row>
    <row r="55521" spans="3:3" x14ac:dyDescent="0.35">
      <c r="C55521" s="2"/>
    </row>
    <row r="55522" spans="3:3" x14ac:dyDescent="0.35">
      <c r="C55522" s="2"/>
    </row>
    <row r="55523" spans="3:3" x14ac:dyDescent="0.35">
      <c r="C55523" s="2"/>
    </row>
    <row r="55524" spans="3:3" x14ac:dyDescent="0.35">
      <c r="C55524" s="2"/>
    </row>
    <row r="55525" spans="3:3" x14ac:dyDescent="0.35">
      <c r="C55525" s="2"/>
    </row>
    <row r="55526" spans="3:3" x14ac:dyDescent="0.35">
      <c r="C55526" s="2"/>
    </row>
    <row r="55527" spans="3:3" x14ac:dyDescent="0.35">
      <c r="C55527" s="2"/>
    </row>
    <row r="55528" spans="3:3" x14ac:dyDescent="0.35">
      <c r="C55528" s="2"/>
    </row>
    <row r="55529" spans="3:3" x14ac:dyDescent="0.35">
      <c r="C55529" s="2"/>
    </row>
    <row r="55530" spans="3:3" x14ac:dyDescent="0.35">
      <c r="C55530" s="2"/>
    </row>
    <row r="55531" spans="3:3" x14ac:dyDescent="0.35">
      <c r="C55531" s="2"/>
    </row>
    <row r="55532" spans="3:3" x14ac:dyDescent="0.35">
      <c r="C55532" s="2"/>
    </row>
    <row r="55533" spans="3:3" x14ac:dyDescent="0.35">
      <c r="C55533" s="2"/>
    </row>
    <row r="55534" spans="3:3" x14ac:dyDescent="0.35">
      <c r="C55534" s="2"/>
    </row>
    <row r="55535" spans="3:3" x14ac:dyDescent="0.35">
      <c r="C55535" s="2"/>
    </row>
    <row r="55536" spans="3:3" x14ac:dyDescent="0.35">
      <c r="C55536" s="2"/>
    </row>
    <row r="55537" spans="3:3" x14ac:dyDescent="0.35">
      <c r="C55537" s="2"/>
    </row>
    <row r="55538" spans="3:3" x14ac:dyDescent="0.35">
      <c r="C55538" s="2"/>
    </row>
    <row r="55539" spans="3:3" x14ac:dyDescent="0.35">
      <c r="C55539" s="2"/>
    </row>
    <row r="55540" spans="3:3" x14ac:dyDescent="0.35">
      <c r="C55540" s="2"/>
    </row>
    <row r="55541" spans="3:3" x14ac:dyDescent="0.35">
      <c r="C55541" s="2"/>
    </row>
    <row r="55542" spans="3:3" x14ac:dyDescent="0.35">
      <c r="C55542" s="2"/>
    </row>
    <row r="55543" spans="3:3" x14ac:dyDescent="0.35">
      <c r="C55543" s="2"/>
    </row>
    <row r="55544" spans="3:3" x14ac:dyDescent="0.35">
      <c r="C55544" s="2"/>
    </row>
    <row r="55545" spans="3:3" x14ac:dyDescent="0.35">
      <c r="C55545" s="2"/>
    </row>
    <row r="55546" spans="3:3" x14ac:dyDescent="0.35">
      <c r="C55546" s="2"/>
    </row>
    <row r="55547" spans="3:3" x14ac:dyDescent="0.35">
      <c r="C55547" s="2"/>
    </row>
    <row r="55548" spans="3:3" x14ac:dyDescent="0.35">
      <c r="C55548" s="2"/>
    </row>
    <row r="55549" spans="3:3" x14ac:dyDescent="0.35">
      <c r="C55549" s="2"/>
    </row>
    <row r="55550" spans="3:3" x14ac:dyDescent="0.35">
      <c r="C55550" s="2"/>
    </row>
    <row r="55551" spans="3:3" x14ac:dyDescent="0.35">
      <c r="C55551" s="2"/>
    </row>
    <row r="55552" spans="3:3" x14ac:dyDescent="0.35">
      <c r="C55552" s="2"/>
    </row>
    <row r="55553" spans="3:3" x14ac:dyDescent="0.35">
      <c r="C55553" s="2"/>
    </row>
    <row r="55554" spans="3:3" x14ac:dyDescent="0.35">
      <c r="C55554" s="2"/>
    </row>
    <row r="55555" spans="3:3" x14ac:dyDescent="0.35">
      <c r="C55555" s="2"/>
    </row>
    <row r="55556" spans="3:3" x14ac:dyDescent="0.35">
      <c r="C55556" s="2"/>
    </row>
    <row r="55557" spans="3:3" x14ac:dyDescent="0.35">
      <c r="C55557" s="2"/>
    </row>
    <row r="55558" spans="3:3" x14ac:dyDescent="0.35">
      <c r="C55558" s="2"/>
    </row>
    <row r="55559" spans="3:3" x14ac:dyDescent="0.35">
      <c r="C55559" s="2"/>
    </row>
    <row r="55560" spans="3:3" x14ac:dyDescent="0.35">
      <c r="C55560" s="2"/>
    </row>
    <row r="55561" spans="3:3" x14ac:dyDescent="0.35">
      <c r="C55561" s="2"/>
    </row>
    <row r="55562" spans="3:3" x14ac:dyDescent="0.35">
      <c r="C55562" s="2"/>
    </row>
    <row r="55563" spans="3:3" x14ac:dyDescent="0.35">
      <c r="C55563" s="2"/>
    </row>
    <row r="55564" spans="3:3" x14ac:dyDescent="0.35">
      <c r="C55564" s="2"/>
    </row>
    <row r="55565" spans="3:3" x14ac:dyDescent="0.35">
      <c r="C55565" s="2"/>
    </row>
    <row r="55566" spans="3:3" x14ac:dyDescent="0.35">
      <c r="C55566" s="2"/>
    </row>
    <row r="55567" spans="3:3" x14ac:dyDescent="0.35">
      <c r="C55567" s="2"/>
    </row>
    <row r="55568" spans="3:3" x14ac:dyDescent="0.35">
      <c r="C55568" s="2"/>
    </row>
    <row r="55569" spans="3:3" x14ac:dyDescent="0.35">
      <c r="C55569" s="2"/>
    </row>
    <row r="55570" spans="3:3" x14ac:dyDescent="0.35">
      <c r="C55570" s="2"/>
    </row>
    <row r="55571" spans="3:3" x14ac:dyDescent="0.35">
      <c r="C55571" s="2"/>
    </row>
    <row r="55572" spans="3:3" x14ac:dyDescent="0.35">
      <c r="C55572" s="2"/>
    </row>
    <row r="55573" spans="3:3" x14ac:dyDescent="0.35">
      <c r="C55573" s="2"/>
    </row>
    <row r="55574" spans="3:3" x14ac:dyDescent="0.35">
      <c r="C55574" s="2"/>
    </row>
    <row r="55575" spans="3:3" x14ac:dyDescent="0.35">
      <c r="C55575" s="2"/>
    </row>
    <row r="55576" spans="3:3" x14ac:dyDescent="0.35">
      <c r="C55576" s="2"/>
    </row>
    <row r="55577" spans="3:3" x14ac:dyDescent="0.35">
      <c r="C55577" s="2"/>
    </row>
    <row r="55578" spans="3:3" x14ac:dyDescent="0.35">
      <c r="C55578" s="2"/>
    </row>
    <row r="55579" spans="3:3" x14ac:dyDescent="0.35">
      <c r="C55579" s="2"/>
    </row>
    <row r="55580" spans="3:3" x14ac:dyDescent="0.35">
      <c r="C55580" s="2"/>
    </row>
    <row r="55581" spans="3:3" x14ac:dyDescent="0.35">
      <c r="C55581" s="2"/>
    </row>
    <row r="55582" spans="3:3" x14ac:dyDescent="0.35">
      <c r="C55582" s="2"/>
    </row>
    <row r="55583" spans="3:3" x14ac:dyDescent="0.35">
      <c r="C55583" s="2"/>
    </row>
    <row r="55584" spans="3:3" x14ac:dyDescent="0.35">
      <c r="C55584" s="2"/>
    </row>
    <row r="55585" spans="3:3" x14ac:dyDescent="0.35">
      <c r="C55585" s="2"/>
    </row>
    <row r="55586" spans="3:3" x14ac:dyDescent="0.35">
      <c r="C55586" s="2"/>
    </row>
    <row r="55587" spans="3:3" x14ac:dyDescent="0.35">
      <c r="C55587" s="2"/>
    </row>
    <row r="55588" spans="3:3" x14ac:dyDescent="0.35">
      <c r="C55588" s="2"/>
    </row>
    <row r="55589" spans="3:3" x14ac:dyDescent="0.35">
      <c r="C55589" s="2"/>
    </row>
    <row r="55590" spans="3:3" x14ac:dyDescent="0.35">
      <c r="C55590" s="2"/>
    </row>
    <row r="55591" spans="3:3" x14ac:dyDescent="0.35">
      <c r="C55591" s="2"/>
    </row>
    <row r="55592" spans="3:3" x14ac:dyDescent="0.35">
      <c r="C55592" s="2"/>
    </row>
    <row r="55593" spans="3:3" x14ac:dyDescent="0.35">
      <c r="C55593" s="2"/>
    </row>
    <row r="55594" spans="3:3" x14ac:dyDescent="0.35">
      <c r="C55594" s="2"/>
    </row>
    <row r="55595" spans="3:3" x14ac:dyDescent="0.35">
      <c r="C55595" s="2"/>
    </row>
    <row r="55596" spans="3:3" x14ac:dyDescent="0.35">
      <c r="C55596" s="2"/>
    </row>
    <row r="55597" spans="3:3" x14ac:dyDescent="0.35">
      <c r="C55597" s="2"/>
    </row>
    <row r="55598" spans="3:3" x14ac:dyDescent="0.35">
      <c r="C55598" s="2"/>
    </row>
    <row r="55599" spans="3:3" x14ac:dyDescent="0.35">
      <c r="C55599" s="2"/>
    </row>
    <row r="55600" spans="3:3" x14ac:dyDescent="0.35">
      <c r="C55600" s="2"/>
    </row>
    <row r="55601" spans="3:3" x14ac:dyDescent="0.35">
      <c r="C55601" s="2"/>
    </row>
    <row r="55602" spans="3:3" x14ac:dyDescent="0.35">
      <c r="C55602" s="2"/>
    </row>
    <row r="55603" spans="3:3" x14ac:dyDescent="0.35">
      <c r="C55603" s="2"/>
    </row>
    <row r="55604" spans="3:3" x14ac:dyDescent="0.35">
      <c r="C55604" s="2"/>
    </row>
    <row r="55605" spans="3:3" x14ac:dyDescent="0.35">
      <c r="C55605" s="2"/>
    </row>
    <row r="55606" spans="3:3" x14ac:dyDescent="0.35">
      <c r="C55606" s="2"/>
    </row>
    <row r="55607" spans="3:3" x14ac:dyDescent="0.35">
      <c r="C55607" s="2"/>
    </row>
    <row r="55608" spans="3:3" x14ac:dyDescent="0.35">
      <c r="C55608" s="2"/>
    </row>
    <row r="55609" spans="3:3" x14ac:dyDescent="0.35">
      <c r="C55609" s="2"/>
    </row>
    <row r="55610" spans="3:3" x14ac:dyDescent="0.35">
      <c r="C55610" s="2"/>
    </row>
    <row r="55611" spans="3:3" x14ac:dyDescent="0.35">
      <c r="C55611" s="2"/>
    </row>
    <row r="55612" spans="3:3" x14ac:dyDescent="0.35">
      <c r="C55612" s="2"/>
    </row>
    <row r="55613" spans="3:3" x14ac:dyDescent="0.35">
      <c r="C55613" s="2"/>
    </row>
    <row r="55614" spans="3:3" x14ac:dyDescent="0.35">
      <c r="C55614" s="2"/>
    </row>
    <row r="55615" spans="3:3" x14ac:dyDescent="0.35">
      <c r="C55615" s="2"/>
    </row>
    <row r="55616" spans="3:3" x14ac:dyDescent="0.35">
      <c r="C55616" s="2"/>
    </row>
    <row r="55617" spans="3:3" x14ac:dyDescent="0.35">
      <c r="C55617" s="2"/>
    </row>
    <row r="55618" spans="3:3" x14ac:dyDescent="0.35">
      <c r="C55618" s="2"/>
    </row>
    <row r="55619" spans="3:3" x14ac:dyDescent="0.35">
      <c r="C55619" s="2"/>
    </row>
    <row r="55620" spans="3:3" x14ac:dyDescent="0.35">
      <c r="C55620" s="2"/>
    </row>
    <row r="55621" spans="3:3" x14ac:dyDescent="0.35">
      <c r="C55621" s="2"/>
    </row>
    <row r="55622" spans="3:3" x14ac:dyDescent="0.35">
      <c r="C55622" s="2"/>
    </row>
    <row r="55623" spans="3:3" x14ac:dyDescent="0.35">
      <c r="C55623" s="2"/>
    </row>
    <row r="55624" spans="3:3" x14ac:dyDescent="0.35">
      <c r="C55624" s="2"/>
    </row>
    <row r="55625" spans="3:3" x14ac:dyDescent="0.35">
      <c r="C55625" s="2"/>
    </row>
    <row r="55626" spans="3:3" x14ac:dyDescent="0.35">
      <c r="C55626" s="2"/>
    </row>
    <row r="55627" spans="3:3" x14ac:dyDescent="0.35">
      <c r="C55627" s="2"/>
    </row>
    <row r="55628" spans="3:3" x14ac:dyDescent="0.35">
      <c r="C55628" s="2"/>
    </row>
    <row r="55629" spans="3:3" x14ac:dyDescent="0.35">
      <c r="C55629" s="2"/>
    </row>
    <row r="55630" spans="3:3" x14ac:dyDescent="0.35">
      <c r="C55630" s="2"/>
    </row>
    <row r="55631" spans="3:3" x14ac:dyDescent="0.35">
      <c r="C55631" s="2"/>
    </row>
    <row r="55632" spans="3:3" x14ac:dyDescent="0.35">
      <c r="C55632" s="2"/>
    </row>
    <row r="55633" spans="3:3" x14ac:dyDescent="0.35">
      <c r="C55633" s="2"/>
    </row>
    <row r="55634" spans="3:3" x14ac:dyDescent="0.35">
      <c r="C55634" s="2"/>
    </row>
    <row r="55635" spans="3:3" x14ac:dyDescent="0.35">
      <c r="C55635" s="2"/>
    </row>
    <row r="55636" spans="3:3" x14ac:dyDescent="0.35">
      <c r="C55636" s="2"/>
    </row>
    <row r="55637" spans="3:3" x14ac:dyDescent="0.35">
      <c r="C55637" s="2"/>
    </row>
    <row r="55638" spans="3:3" x14ac:dyDescent="0.35">
      <c r="C55638" s="2"/>
    </row>
    <row r="55639" spans="3:3" x14ac:dyDescent="0.35">
      <c r="C55639" s="2"/>
    </row>
    <row r="55640" spans="3:3" x14ac:dyDescent="0.35">
      <c r="C55640" s="2"/>
    </row>
    <row r="55641" spans="3:3" x14ac:dyDescent="0.35">
      <c r="C55641" s="2"/>
    </row>
    <row r="55642" spans="3:3" x14ac:dyDescent="0.35">
      <c r="C55642" s="2"/>
    </row>
    <row r="55643" spans="3:3" x14ac:dyDescent="0.35">
      <c r="C55643" s="2"/>
    </row>
    <row r="55644" spans="3:3" x14ac:dyDescent="0.35">
      <c r="C55644" s="2"/>
    </row>
    <row r="55645" spans="3:3" x14ac:dyDescent="0.35">
      <c r="C55645" s="2"/>
    </row>
    <row r="55646" spans="3:3" x14ac:dyDescent="0.35">
      <c r="C55646" s="2"/>
    </row>
    <row r="55647" spans="3:3" x14ac:dyDescent="0.35">
      <c r="C55647" s="2"/>
    </row>
    <row r="55648" spans="3:3" x14ac:dyDescent="0.35">
      <c r="C55648" s="2"/>
    </row>
    <row r="55649" spans="3:3" x14ac:dyDescent="0.35">
      <c r="C55649" s="2"/>
    </row>
    <row r="55650" spans="3:3" x14ac:dyDescent="0.35">
      <c r="C55650" s="2"/>
    </row>
    <row r="55651" spans="3:3" x14ac:dyDescent="0.35">
      <c r="C55651" s="2"/>
    </row>
    <row r="55652" spans="3:3" x14ac:dyDescent="0.35">
      <c r="C55652" s="2"/>
    </row>
    <row r="55653" spans="3:3" x14ac:dyDescent="0.35">
      <c r="C55653" s="2"/>
    </row>
    <row r="55654" spans="3:3" x14ac:dyDescent="0.35">
      <c r="C55654" s="2"/>
    </row>
    <row r="55655" spans="3:3" x14ac:dyDescent="0.35">
      <c r="C55655" s="2"/>
    </row>
    <row r="55656" spans="3:3" x14ac:dyDescent="0.35">
      <c r="C55656" s="2"/>
    </row>
    <row r="55657" spans="3:3" x14ac:dyDescent="0.35">
      <c r="C55657" s="2"/>
    </row>
    <row r="55658" spans="3:3" x14ac:dyDescent="0.35">
      <c r="C55658" s="2"/>
    </row>
    <row r="55659" spans="3:3" x14ac:dyDescent="0.35">
      <c r="C55659" s="2"/>
    </row>
    <row r="55660" spans="3:3" x14ac:dyDescent="0.35">
      <c r="C55660" s="2"/>
    </row>
    <row r="55661" spans="3:3" x14ac:dyDescent="0.35">
      <c r="C55661" s="2"/>
    </row>
    <row r="55662" spans="3:3" x14ac:dyDescent="0.35">
      <c r="C55662" s="2"/>
    </row>
    <row r="55663" spans="3:3" x14ac:dyDescent="0.35">
      <c r="C55663" s="2"/>
    </row>
    <row r="55664" spans="3:3" x14ac:dyDescent="0.35">
      <c r="C55664" s="2"/>
    </row>
    <row r="55665" spans="3:3" x14ac:dyDescent="0.35">
      <c r="C55665" s="2"/>
    </row>
    <row r="55666" spans="3:3" x14ac:dyDescent="0.35">
      <c r="C55666" s="2"/>
    </row>
    <row r="55667" spans="3:3" x14ac:dyDescent="0.35">
      <c r="C55667" s="2"/>
    </row>
    <row r="55668" spans="3:3" x14ac:dyDescent="0.35">
      <c r="C55668" s="2"/>
    </row>
    <row r="55669" spans="3:3" x14ac:dyDescent="0.35">
      <c r="C55669" s="2"/>
    </row>
    <row r="55670" spans="3:3" x14ac:dyDescent="0.35">
      <c r="C55670" s="2"/>
    </row>
    <row r="55671" spans="3:3" x14ac:dyDescent="0.35">
      <c r="C55671" s="2"/>
    </row>
    <row r="55672" spans="3:3" x14ac:dyDescent="0.35">
      <c r="C55672" s="2"/>
    </row>
    <row r="55673" spans="3:3" x14ac:dyDescent="0.35">
      <c r="C55673" s="2"/>
    </row>
    <row r="55674" spans="3:3" x14ac:dyDescent="0.35">
      <c r="C55674" s="2"/>
    </row>
    <row r="55675" spans="3:3" x14ac:dyDescent="0.35">
      <c r="C55675" s="2"/>
    </row>
    <row r="55676" spans="3:3" x14ac:dyDescent="0.35">
      <c r="C55676" s="2"/>
    </row>
    <row r="55677" spans="3:3" x14ac:dyDescent="0.35">
      <c r="C55677" s="2"/>
    </row>
    <row r="55678" spans="3:3" x14ac:dyDescent="0.35">
      <c r="C55678" s="2"/>
    </row>
    <row r="55679" spans="3:3" x14ac:dyDescent="0.35">
      <c r="C55679" s="2"/>
    </row>
    <row r="55680" spans="3:3" x14ac:dyDescent="0.35">
      <c r="C55680" s="2"/>
    </row>
    <row r="55681" spans="3:3" x14ac:dyDescent="0.35">
      <c r="C55681" s="2"/>
    </row>
    <row r="55682" spans="3:3" x14ac:dyDescent="0.35">
      <c r="C55682" s="2"/>
    </row>
    <row r="55683" spans="3:3" x14ac:dyDescent="0.35">
      <c r="C55683" s="2"/>
    </row>
    <row r="55684" spans="3:3" x14ac:dyDescent="0.35">
      <c r="C55684" s="2"/>
    </row>
    <row r="55685" spans="3:3" x14ac:dyDescent="0.35">
      <c r="C55685" s="2"/>
    </row>
    <row r="55686" spans="3:3" x14ac:dyDescent="0.35">
      <c r="C55686" s="2"/>
    </row>
    <row r="55687" spans="3:3" x14ac:dyDescent="0.35">
      <c r="C55687" s="2"/>
    </row>
    <row r="55688" spans="3:3" x14ac:dyDescent="0.35">
      <c r="C55688" s="2"/>
    </row>
    <row r="55689" spans="3:3" x14ac:dyDescent="0.35">
      <c r="C55689" s="2"/>
    </row>
    <row r="55690" spans="3:3" x14ac:dyDescent="0.35">
      <c r="C55690" s="2"/>
    </row>
    <row r="55691" spans="3:3" x14ac:dyDescent="0.35">
      <c r="C55691" s="2"/>
    </row>
    <row r="55692" spans="3:3" x14ac:dyDescent="0.35">
      <c r="C55692" s="2"/>
    </row>
    <row r="55693" spans="3:3" x14ac:dyDescent="0.35">
      <c r="C55693" s="2"/>
    </row>
    <row r="55694" spans="3:3" x14ac:dyDescent="0.35">
      <c r="C55694" s="2"/>
    </row>
    <row r="55695" spans="3:3" x14ac:dyDescent="0.35">
      <c r="C55695" s="2"/>
    </row>
    <row r="55696" spans="3:3" x14ac:dyDescent="0.35">
      <c r="C55696" s="2"/>
    </row>
    <row r="55697" spans="3:3" x14ac:dyDescent="0.35">
      <c r="C55697" s="2"/>
    </row>
    <row r="55698" spans="3:3" x14ac:dyDescent="0.35">
      <c r="C55698" s="2"/>
    </row>
    <row r="55699" spans="3:3" x14ac:dyDescent="0.35">
      <c r="C55699" s="2"/>
    </row>
    <row r="55700" spans="3:3" x14ac:dyDescent="0.35">
      <c r="C55700" s="2"/>
    </row>
    <row r="55701" spans="3:3" x14ac:dyDescent="0.35">
      <c r="C55701" s="2"/>
    </row>
    <row r="55702" spans="3:3" x14ac:dyDescent="0.35">
      <c r="C55702" s="2"/>
    </row>
    <row r="55703" spans="3:3" x14ac:dyDescent="0.35">
      <c r="C55703" s="2"/>
    </row>
    <row r="55704" spans="3:3" x14ac:dyDescent="0.35">
      <c r="C55704" s="2"/>
    </row>
    <row r="55705" spans="3:3" x14ac:dyDescent="0.35">
      <c r="C55705" s="2"/>
    </row>
    <row r="55706" spans="3:3" x14ac:dyDescent="0.35">
      <c r="C55706" s="2"/>
    </row>
    <row r="55707" spans="3:3" x14ac:dyDescent="0.35">
      <c r="C55707" s="2"/>
    </row>
    <row r="55708" spans="3:3" x14ac:dyDescent="0.35">
      <c r="C55708" s="2"/>
    </row>
    <row r="55709" spans="3:3" x14ac:dyDescent="0.35">
      <c r="C55709" s="2"/>
    </row>
    <row r="55710" spans="3:3" x14ac:dyDescent="0.35">
      <c r="C55710" s="2"/>
    </row>
    <row r="55711" spans="3:3" x14ac:dyDescent="0.35">
      <c r="C55711" s="2"/>
    </row>
    <row r="55712" spans="3:3" x14ac:dyDescent="0.35">
      <c r="C55712" s="2"/>
    </row>
    <row r="55713" spans="3:3" x14ac:dyDescent="0.35">
      <c r="C55713" s="2"/>
    </row>
    <row r="55714" spans="3:3" x14ac:dyDescent="0.35">
      <c r="C55714" s="2"/>
    </row>
    <row r="55715" spans="3:3" x14ac:dyDescent="0.35">
      <c r="C55715" s="2"/>
    </row>
    <row r="55716" spans="3:3" x14ac:dyDescent="0.35">
      <c r="C55716" s="2"/>
    </row>
    <row r="55717" spans="3:3" x14ac:dyDescent="0.35">
      <c r="C55717" s="2"/>
    </row>
    <row r="55718" spans="3:3" x14ac:dyDescent="0.35">
      <c r="C55718" s="2"/>
    </row>
    <row r="55719" spans="3:3" x14ac:dyDescent="0.35">
      <c r="C55719" s="2"/>
    </row>
    <row r="55720" spans="3:3" x14ac:dyDescent="0.35">
      <c r="C55720" s="2"/>
    </row>
    <row r="55721" spans="3:3" x14ac:dyDescent="0.35">
      <c r="C55721" s="2"/>
    </row>
    <row r="55722" spans="3:3" x14ac:dyDescent="0.35">
      <c r="C55722" s="2"/>
    </row>
    <row r="55723" spans="3:3" x14ac:dyDescent="0.35">
      <c r="C55723" s="2"/>
    </row>
    <row r="55724" spans="3:3" x14ac:dyDescent="0.35">
      <c r="C55724" s="2"/>
    </row>
    <row r="55725" spans="3:3" x14ac:dyDescent="0.35">
      <c r="C55725" s="2"/>
    </row>
    <row r="55726" spans="3:3" x14ac:dyDescent="0.35">
      <c r="C55726" s="2"/>
    </row>
    <row r="55727" spans="3:3" x14ac:dyDescent="0.35">
      <c r="C55727" s="2"/>
    </row>
    <row r="55728" spans="3:3" x14ac:dyDescent="0.35">
      <c r="C55728" s="2"/>
    </row>
    <row r="55729" spans="3:3" x14ac:dyDescent="0.35">
      <c r="C55729" s="2"/>
    </row>
    <row r="55730" spans="3:3" x14ac:dyDescent="0.35">
      <c r="C55730" s="2"/>
    </row>
    <row r="55731" spans="3:3" x14ac:dyDescent="0.35">
      <c r="C55731" s="2"/>
    </row>
    <row r="55732" spans="3:3" x14ac:dyDescent="0.35">
      <c r="C55732" s="2"/>
    </row>
    <row r="55733" spans="3:3" x14ac:dyDescent="0.35">
      <c r="C55733" s="2"/>
    </row>
    <row r="55734" spans="3:3" x14ac:dyDescent="0.35">
      <c r="C55734" s="2"/>
    </row>
    <row r="55735" spans="3:3" x14ac:dyDescent="0.35">
      <c r="C55735" s="2"/>
    </row>
    <row r="55736" spans="3:3" x14ac:dyDescent="0.35">
      <c r="C55736" s="2"/>
    </row>
    <row r="55737" spans="3:3" x14ac:dyDescent="0.35">
      <c r="C55737" s="2"/>
    </row>
    <row r="55738" spans="3:3" x14ac:dyDescent="0.35">
      <c r="C55738" s="2"/>
    </row>
    <row r="55739" spans="3:3" x14ac:dyDescent="0.35">
      <c r="C55739" s="2"/>
    </row>
    <row r="55740" spans="3:3" x14ac:dyDescent="0.35">
      <c r="C55740" s="2"/>
    </row>
    <row r="55741" spans="3:3" x14ac:dyDescent="0.35">
      <c r="C55741" s="2"/>
    </row>
    <row r="55742" spans="3:3" x14ac:dyDescent="0.35">
      <c r="C55742" s="2"/>
    </row>
    <row r="55743" spans="3:3" x14ac:dyDescent="0.35">
      <c r="C55743" s="2"/>
    </row>
    <row r="55744" spans="3:3" x14ac:dyDescent="0.35">
      <c r="C55744" s="2"/>
    </row>
    <row r="55745" spans="3:3" x14ac:dyDescent="0.35">
      <c r="C55745" s="2"/>
    </row>
    <row r="55746" spans="3:3" x14ac:dyDescent="0.35">
      <c r="C55746" s="2"/>
    </row>
    <row r="55747" spans="3:3" x14ac:dyDescent="0.35">
      <c r="C55747" s="2"/>
    </row>
    <row r="55748" spans="3:3" x14ac:dyDescent="0.35">
      <c r="C55748" s="2"/>
    </row>
    <row r="55749" spans="3:3" x14ac:dyDescent="0.35">
      <c r="C55749" s="2"/>
    </row>
    <row r="55750" spans="3:3" x14ac:dyDescent="0.35">
      <c r="C55750" s="2"/>
    </row>
    <row r="55751" spans="3:3" x14ac:dyDescent="0.35">
      <c r="C55751" s="2"/>
    </row>
    <row r="55752" spans="3:3" x14ac:dyDescent="0.35">
      <c r="C55752" s="2"/>
    </row>
    <row r="55753" spans="3:3" x14ac:dyDescent="0.35">
      <c r="C55753" s="2"/>
    </row>
    <row r="55754" spans="3:3" x14ac:dyDescent="0.35">
      <c r="C55754" s="2"/>
    </row>
    <row r="55755" spans="3:3" x14ac:dyDescent="0.35">
      <c r="C55755" s="2"/>
    </row>
    <row r="55756" spans="3:3" x14ac:dyDescent="0.35">
      <c r="C55756" s="2"/>
    </row>
    <row r="55757" spans="3:3" x14ac:dyDescent="0.35">
      <c r="C55757" s="2"/>
    </row>
    <row r="55758" spans="3:3" x14ac:dyDescent="0.35">
      <c r="C55758" s="2"/>
    </row>
    <row r="55759" spans="3:3" x14ac:dyDescent="0.35">
      <c r="C55759" s="2"/>
    </row>
    <row r="55760" spans="3:3" x14ac:dyDescent="0.35">
      <c r="C55760" s="2"/>
    </row>
    <row r="55761" spans="3:3" x14ac:dyDescent="0.35">
      <c r="C55761" s="2"/>
    </row>
    <row r="55762" spans="3:3" x14ac:dyDescent="0.35">
      <c r="C55762" s="2"/>
    </row>
    <row r="55763" spans="3:3" x14ac:dyDescent="0.35">
      <c r="C55763" s="2"/>
    </row>
    <row r="55764" spans="3:3" x14ac:dyDescent="0.35">
      <c r="C55764" s="2"/>
    </row>
    <row r="55765" spans="3:3" x14ac:dyDescent="0.35">
      <c r="C55765" s="2"/>
    </row>
    <row r="55766" spans="3:3" x14ac:dyDescent="0.35">
      <c r="C55766" s="2"/>
    </row>
    <row r="55767" spans="3:3" x14ac:dyDescent="0.35">
      <c r="C55767" s="2"/>
    </row>
    <row r="55768" spans="3:3" x14ac:dyDescent="0.35">
      <c r="C55768" s="2"/>
    </row>
    <row r="55769" spans="3:3" x14ac:dyDescent="0.35">
      <c r="C55769" s="2"/>
    </row>
    <row r="55770" spans="3:3" x14ac:dyDescent="0.35">
      <c r="C55770" s="2"/>
    </row>
    <row r="55771" spans="3:3" x14ac:dyDescent="0.35">
      <c r="C55771" s="2"/>
    </row>
    <row r="55772" spans="3:3" x14ac:dyDescent="0.35">
      <c r="C55772" s="2"/>
    </row>
    <row r="55773" spans="3:3" x14ac:dyDescent="0.35">
      <c r="C55773" s="2"/>
    </row>
    <row r="55774" spans="3:3" x14ac:dyDescent="0.35">
      <c r="C55774" s="2"/>
    </row>
    <row r="55775" spans="3:3" x14ac:dyDescent="0.35">
      <c r="C55775" s="2"/>
    </row>
    <row r="55776" spans="3:3" x14ac:dyDescent="0.35">
      <c r="C55776" s="2"/>
    </row>
    <row r="55777" spans="3:3" x14ac:dyDescent="0.35">
      <c r="C55777" s="2"/>
    </row>
    <row r="55778" spans="3:3" x14ac:dyDescent="0.35">
      <c r="C55778" s="2"/>
    </row>
    <row r="55779" spans="3:3" x14ac:dyDescent="0.35">
      <c r="C55779" s="2"/>
    </row>
    <row r="55780" spans="3:3" x14ac:dyDescent="0.35">
      <c r="C55780" s="2"/>
    </row>
    <row r="55781" spans="3:3" x14ac:dyDescent="0.35">
      <c r="C55781" s="2"/>
    </row>
    <row r="55782" spans="3:3" x14ac:dyDescent="0.35">
      <c r="C55782" s="2"/>
    </row>
    <row r="55783" spans="3:3" x14ac:dyDescent="0.35">
      <c r="C55783" s="2"/>
    </row>
    <row r="55784" spans="3:3" x14ac:dyDescent="0.35">
      <c r="C55784" s="2"/>
    </row>
    <row r="55785" spans="3:3" x14ac:dyDescent="0.35">
      <c r="C55785" s="2"/>
    </row>
    <row r="55786" spans="3:3" x14ac:dyDescent="0.35">
      <c r="C55786" s="2"/>
    </row>
    <row r="55787" spans="3:3" x14ac:dyDescent="0.35">
      <c r="C55787" s="2"/>
    </row>
    <row r="55788" spans="3:3" x14ac:dyDescent="0.35">
      <c r="C55788" s="2"/>
    </row>
    <row r="55789" spans="3:3" x14ac:dyDescent="0.35">
      <c r="C55789" s="2"/>
    </row>
    <row r="55790" spans="3:3" x14ac:dyDescent="0.35">
      <c r="C55790" s="2"/>
    </row>
    <row r="55791" spans="3:3" x14ac:dyDescent="0.35">
      <c r="C55791" s="2"/>
    </row>
    <row r="55792" spans="3:3" x14ac:dyDescent="0.35">
      <c r="C55792" s="2"/>
    </row>
    <row r="55793" spans="3:3" x14ac:dyDescent="0.35">
      <c r="C55793" s="2"/>
    </row>
    <row r="55794" spans="3:3" x14ac:dyDescent="0.35">
      <c r="C55794" s="2"/>
    </row>
    <row r="55795" spans="3:3" x14ac:dyDescent="0.35">
      <c r="C55795" s="2"/>
    </row>
    <row r="55796" spans="3:3" x14ac:dyDescent="0.35">
      <c r="C55796" s="2"/>
    </row>
    <row r="55797" spans="3:3" x14ac:dyDescent="0.35">
      <c r="C55797" s="2"/>
    </row>
    <row r="55798" spans="3:3" x14ac:dyDescent="0.35">
      <c r="C55798" s="2"/>
    </row>
    <row r="55799" spans="3:3" x14ac:dyDescent="0.35">
      <c r="C55799" s="2"/>
    </row>
    <row r="55800" spans="3:3" x14ac:dyDescent="0.35">
      <c r="C55800" s="2"/>
    </row>
    <row r="55801" spans="3:3" x14ac:dyDescent="0.35">
      <c r="C55801" s="2"/>
    </row>
    <row r="55802" spans="3:3" x14ac:dyDescent="0.35">
      <c r="C55802" s="2"/>
    </row>
    <row r="55803" spans="3:3" x14ac:dyDescent="0.35">
      <c r="C55803" s="2"/>
    </row>
    <row r="55804" spans="3:3" x14ac:dyDescent="0.35">
      <c r="C55804" s="2"/>
    </row>
    <row r="55805" spans="3:3" x14ac:dyDescent="0.35">
      <c r="C55805" s="2"/>
    </row>
    <row r="55806" spans="3:3" x14ac:dyDescent="0.35">
      <c r="C55806" s="2"/>
    </row>
    <row r="55807" spans="3:3" x14ac:dyDescent="0.35">
      <c r="C55807" s="2"/>
    </row>
    <row r="55808" spans="3:3" x14ac:dyDescent="0.35">
      <c r="C55808" s="2"/>
    </row>
    <row r="55809" spans="3:3" x14ac:dyDescent="0.35">
      <c r="C55809" s="2"/>
    </row>
    <row r="55810" spans="3:3" x14ac:dyDescent="0.35">
      <c r="C55810" s="2"/>
    </row>
    <row r="55811" spans="3:3" x14ac:dyDescent="0.35">
      <c r="C55811" s="2"/>
    </row>
    <row r="55812" spans="3:3" x14ac:dyDescent="0.35">
      <c r="C55812" s="2"/>
    </row>
    <row r="55813" spans="3:3" x14ac:dyDescent="0.35">
      <c r="C55813" s="2"/>
    </row>
    <row r="55814" spans="3:3" x14ac:dyDescent="0.35">
      <c r="C55814" s="2"/>
    </row>
    <row r="55815" spans="3:3" x14ac:dyDescent="0.35">
      <c r="C55815" s="2"/>
    </row>
    <row r="55816" spans="3:3" x14ac:dyDescent="0.35">
      <c r="C55816" s="2"/>
    </row>
    <row r="55817" spans="3:3" x14ac:dyDescent="0.35">
      <c r="C55817" s="2"/>
    </row>
    <row r="55818" spans="3:3" x14ac:dyDescent="0.35">
      <c r="C55818" s="2"/>
    </row>
    <row r="55819" spans="3:3" x14ac:dyDescent="0.35">
      <c r="C55819" s="2"/>
    </row>
    <row r="55820" spans="3:3" x14ac:dyDescent="0.35">
      <c r="C55820" s="2"/>
    </row>
    <row r="55821" spans="3:3" x14ac:dyDescent="0.35">
      <c r="C55821" s="2"/>
    </row>
    <row r="55822" spans="3:3" x14ac:dyDescent="0.35">
      <c r="C55822" s="2"/>
    </row>
    <row r="55823" spans="3:3" x14ac:dyDescent="0.35">
      <c r="C55823" s="2"/>
    </row>
    <row r="55824" spans="3:3" x14ac:dyDescent="0.35">
      <c r="C55824" s="2"/>
    </row>
    <row r="55825" spans="3:3" x14ac:dyDescent="0.35">
      <c r="C55825" s="2"/>
    </row>
    <row r="55826" spans="3:3" x14ac:dyDescent="0.35">
      <c r="C55826" s="2"/>
    </row>
    <row r="55827" spans="3:3" x14ac:dyDescent="0.35">
      <c r="C55827" s="2"/>
    </row>
    <row r="55828" spans="3:3" x14ac:dyDescent="0.35">
      <c r="C55828" s="2"/>
    </row>
    <row r="55829" spans="3:3" x14ac:dyDescent="0.35">
      <c r="C55829" s="2"/>
    </row>
    <row r="55830" spans="3:3" x14ac:dyDescent="0.35">
      <c r="C55830" s="2"/>
    </row>
    <row r="55831" spans="3:3" x14ac:dyDescent="0.35">
      <c r="C55831" s="2"/>
    </row>
    <row r="55832" spans="3:3" x14ac:dyDescent="0.35">
      <c r="C55832" s="2"/>
    </row>
    <row r="55833" spans="3:3" x14ac:dyDescent="0.35">
      <c r="C55833" s="2"/>
    </row>
    <row r="55834" spans="3:3" x14ac:dyDescent="0.35">
      <c r="C55834" s="2"/>
    </row>
    <row r="55835" spans="3:3" x14ac:dyDescent="0.35">
      <c r="C55835" s="2"/>
    </row>
    <row r="55836" spans="3:3" x14ac:dyDescent="0.35">
      <c r="C55836" s="2"/>
    </row>
    <row r="55837" spans="3:3" x14ac:dyDescent="0.35">
      <c r="C55837" s="2"/>
    </row>
    <row r="55838" spans="3:3" x14ac:dyDescent="0.35">
      <c r="C55838" s="2"/>
    </row>
    <row r="55839" spans="3:3" x14ac:dyDescent="0.35">
      <c r="C55839" s="2"/>
    </row>
    <row r="55840" spans="3:3" x14ac:dyDescent="0.35">
      <c r="C55840" s="2"/>
    </row>
    <row r="55841" spans="3:3" x14ac:dyDescent="0.35">
      <c r="C55841" s="2"/>
    </row>
    <row r="55842" spans="3:3" x14ac:dyDescent="0.35">
      <c r="C55842" s="2"/>
    </row>
    <row r="55843" spans="3:3" x14ac:dyDescent="0.35">
      <c r="C55843" s="2"/>
    </row>
    <row r="55844" spans="3:3" x14ac:dyDescent="0.35">
      <c r="C55844" s="2"/>
    </row>
    <row r="55845" spans="3:3" x14ac:dyDescent="0.35">
      <c r="C55845" s="2"/>
    </row>
    <row r="55846" spans="3:3" x14ac:dyDescent="0.35">
      <c r="C55846" s="2"/>
    </row>
    <row r="55847" spans="3:3" x14ac:dyDescent="0.35">
      <c r="C55847" s="2"/>
    </row>
    <row r="55848" spans="3:3" x14ac:dyDescent="0.35">
      <c r="C55848" s="2"/>
    </row>
    <row r="55849" spans="3:3" x14ac:dyDescent="0.35">
      <c r="C55849" s="2"/>
    </row>
    <row r="55850" spans="3:3" x14ac:dyDescent="0.35">
      <c r="C55850" s="2"/>
    </row>
    <row r="55851" spans="3:3" x14ac:dyDescent="0.35">
      <c r="C55851" s="2"/>
    </row>
    <row r="55852" spans="3:3" x14ac:dyDescent="0.35">
      <c r="C55852" s="2"/>
    </row>
    <row r="55853" spans="3:3" x14ac:dyDescent="0.35">
      <c r="C55853" s="2"/>
    </row>
    <row r="55854" spans="3:3" x14ac:dyDescent="0.35">
      <c r="C55854" s="2"/>
    </row>
    <row r="55855" spans="3:3" x14ac:dyDescent="0.35">
      <c r="C55855" s="2"/>
    </row>
    <row r="55856" spans="3:3" x14ac:dyDescent="0.35">
      <c r="C55856" s="2"/>
    </row>
    <row r="55857" spans="3:3" x14ac:dyDescent="0.35">
      <c r="C55857" s="2"/>
    </row>
    <row r="55858" spans="3:3" x14ac:dyDescent="0.35">
      <c r="C55858" s="2"/>
    </row>
    <row r="55859" spans="3:3" x14ac:dyDescent="0.35">
      <c r="C55859" s="2"/>
    </row>
    <row r="55860" spans="3:3" x14ac:dyDescent="0.35">
      <c r="C55860" s="2"/>
    </row>
    <row r="55861" spans="3:3" x14ac:dyDescent="0.35">
      <c r="C55861" s="2"/>
    </row>
    <row r="55862" spans="3:3" x14ac:dyDescent="0.35">
      <c r="C55862" s="2"/>
    </row>
    <row r="55863" spans="3:3" x14ac:dyDescent="0.35">
      <c r="C55863" s="2"/>
    </row>
    <row r="55864" spans="3:3" x14ac:dyDescent="0.35">
      <c r="C55864" s="2"/>
    </row>
    <row r="55865" spans="3:3" x14ac:dyDescent="0.35">
      <c r="C55865" s="2"/>
    </row>
    <row r="55866" spans="3:3" x14ac:dyDescent="0.35">
      <c r="C55866" s="2"/>
    </row>
    <row r="55867" spans="3:3" x14ac:dyDescent="0.35">
      <c r="C55867" s="2"/>
    </row>
    <row r="55868" spans="3:3" x14ac:dyDescent="0.35">
      <c r="C55868" s="2"/>
    </row>
    <row r="55869" spans="3:3" x14ac:dyDescent="0.35">
      <c r="C55869" s="2"/>
    </row>
    <row r="55870" spans="3:3" x14ac:dyDescent="0.35">
      <c r="C55870" s="2"/>
    </row>
    <row r="55871" spans="3:3" x14ac:dyDescent="0.35">
      <c r="C55871" s="2"/>
    </row>
    <row r="55872" spans="3:3" x14ac:dyDescent="0.35">
      <c r="C55872" s="2"/>
    </row>
    <row r="55873" spans="3:3" x14ac:dyDescent="0.35">
      <c r="C55873" s="2"/>
    </row>
    <row r="55874" spans="3:3" x14ac:dyDescent="0.35">
      <c r="C55874" s="2"/>
    </row>
    <row r="55875" spans="3:3" x14ac:dyDescent="0.35">
      <c r="C55875" s="2"/>
    </row>
    <row r="55876" spans="3:3" x14ac:dyDescent="0.35">
      <c r="C55876" s="2"/>
    </row>
    <row r="55877" spans="3:3" x14ac:dyDescent="0.35">
      <c r="C55877" s="2"/>
    </row>
    <row r="55878" spans="3:3" x14ac:dyDescent="0.35">
      <c r="C55878" s="2"/>
    </row>
    <row r="55879" spans="3:3" x14ac:dyDescent="0.35">
      <c r="C55879" s="2"/>
    </row>
    <row r="55880" spans="3:3" x14ac:dyDescent="0.35">
      <c r="C55880" s="2"/>
    </row>
    <row r="55881" spans="3:3" x14ac:dyDescent="0.35">
      <c r="C55881" s="2"/>
    </row>
    <row r="55882" spans="3:3" x14ac:dyDescent="0.35">
      <c r="C55882" s="2"/>
    </row>
    <row r="55883" spans="3:3" x14ac:dyDescent="0.35">
      <c r="C55883" s="2"/>
    </row>
    <row r="55884" spans="3:3" x14ac:dyDescent="0.35">
      <c r="C55884" s="2"/>
    </row>
    <row r="55885" spans="3:3" x14ac:dyDescent="0.35">
      <c r="C55885" s="2"/>
    </row>
    <row r="55886" spans="3:3" x14ac:dyDescent="0.35">
      <c r="C55886" s="2"/>
    </row>
    <row r="55887" spans="3:3" x14ac:dyDescent="0.35">
      <c r="C55887" s="2"/>
    </row>
    <row r="55888" spans="3:3" x14ac:dyDescent="0.35">
      <c r="C55888" s="2"/>
    </row>
    <row r="55889" spans="3:3" x14ac:dyDescent="0.35">
      <c r="C55889" s="2"/>
    </row>
    <row r="55890" spans="3:3" x14ac:dyDescent="0.35">
      <c r="C55890" s="2"/>
    </row>
    <row r="55891" spans="3:3" x14ac:dyDescent="0.35">
      <c r="C55891" s="2"/>
    </row>
    <row r="55892" spans="3:3" x14ac:dyDescent="0.35">
      <c r="C55892" s="2"/>
    </row>
    <row r="55893" spans="3:3" x14ac:dyDescent="0.35">
      <c r="C55893" s="2"/>
    </row>
    <row r="55894" spans="3:3" x14ac:dyDescent="0.35">
      <c r="C55894" s="2"/>
    </row>
    <row r="55895" spans="3:3" x14ac:dyDescent="0.35">
      <c r="C55895" s="2"/>
    </row>
    <row r="55896" spans="3:3" x14ac:dyDescent="0.35">
      <c r="C55896" s="2"/>
    </row>
    <row r="55897" spans="3:3" x14ac:dyDescent="0.35">
      <c r="C55897" s="2"/>
    </row>
    <row r="55898" spans="3:3" x14ac:dyDescent="0.35">
      <c r="C55898" s="2"/>
    </row>
    <row r="55899" spans="3:3" x14ac:dyDescent="0.35">
      <c r="C55899" s="2"/>
    </row>
    <row r="55900" spans="3:3" x14ac:dyDescent="0.35">
      <c r="C55900" s="2"/>
    </row>
    <row r="55901" spans="3:3" x14ac:dyDescent="0.35">
      <c r="C55901" s="2"/>
    </row>
    <row r="55902" spans="3:3" x14ac:dyDescent="0.35">
      <c r="C55902" s="2"/>
    </row>
    <row r="55903" spans="3:3" x14ac:dyDescent="0.35">
      <c r="C55903" s="2"/>
    </row>
    <row r="55904" spans="3:3" x14ac:dyDescent="0.35">
      <c r="C55904" s="2"/>
    </row>
    <row r="55905" spans="3:3" x14ac:dyDescent="0.35">
      <c r="C55905" s="2"/>
    </row>
    <row r="55906" spans="3:3" x14ac:dyDescent="0.35">
      <c r="C55906" s="2"/>
    </row>
    <row r="55907" spans="3:3" x14ac:dyDescent="0.35">
      <c r="C55907" s="2"/>
    </row>
    <row r="55908" spans="3:3" x14ac:dyDescent="0.35">
      <c r="C55908" s="2"/>
    </row>
    <row r="55909" spans="3:3" x14ac:dyDescent="0.35">
      <c r="C55909" s="2"/>
    </row>
    <row r="55910" spans="3:3" x14ac:dyDescent="0.35">
      <c r="C55910" s="2"/>
    </row>
    <row r="55911" spans="3:3" x14ac:dyDescent="0.35">
      <c r="C55911" s="2"/>
    </row>
    <row r="55912" spans="3:3" x14ac:dyDescent="0.35">
      <c r="C55912" s="2"/>
    </row>
    <row r="55913" spans="3:3" x14ac:dyDescent="0.35">
      <c r="C55913" s="2"/>
    </row>
    <row r="55914" spans="3:3" x14ac:dyDescent="0.35">
      <c r="C55914" s="2"/>
    </row>
    <row r="55915" spans="3:3" x14ac:dyDescent="0.35">
      <c r="C55915" s="2"/>
    </row>
    <row r="55916" spans="3:3" x14ac:dyDescent="0.35">
      <c r="C55916" s="2"/>
    </row>
    <row r="55917" spans="3:3" x14ac:dyDescent="0.35">
      <c r="C55917" s="2"/>
    </row>
    <row r="55918" spans="3:3" x14ac:dyDescent="0.35">
      <c r="C55918" s="2"/>
    </row>
    <row r="55919" spans="3:3" x14ac:dyDescent="0.35">
      <c r="C55919" s="2"/>
    </row>
    <row r="55920" spans="3:3" x14ac:dyDescent="0.35">
      <c r="C55920" s="2"/>
    </row>
    <row r="55921" spans="3:3" x14ac:dyDescent="0.35">
      <c r="C55921" s="2"/>
    </row>
    <row r="55922" spans="3:3" x14ac:dyDescent="0.35">
      <c r="C55922" s="2"/>
    </row>
    <row r="55923" spans="3:3" x14ac:dyDescent="0.35">
      <c r="C55923" s="2"/>
    </row>
    <row r="55924" spans="3:3" x14ac:dyDescent="0.35">
      <c r="C55924" s="2"/>
    </row>
    <row r="55925" spans="3:3" x14ac:dyDescent="0.35">
      <c r="C55925" s="2"/>
    </row>
    <row r="55926" spans="3:3" x14ac:dyDescent="0.35">
      <c r="C55926" s="2"/>
    </row>
    <row r="55927" spans="3:3" x14ac:dyDescent="0.35">
      <c r="C55927" s="2"/>
    </row>
    <row r="55928" spans="3:3" x14ac:dyDescent="0.35">
      <c r="C55928" s="2"/>
    </row>
    <row r="55929" spans="3:3" x14ac:dyDescent="0.35">
      <c r="C55929" s="2"/>
    </row>
    <row r="55930" spans="3:3" x14ac:dyDescent="0.35">
      <c r="C55930" s="2"/>
    </row>
    <row r="55931" spans="3:3" x14ac:dyDescent="0.35">
      <c r="C55931" s="2"/>
    </row>
    <row r="55932" spans="3:3" x14ac:dyDescent="0.35">
      <c r="C55932" s="2"/>
    </row>
    <row r="55933" spans="3:3" x14ac:dyDescent="0.35">
      <c r="C55933" s="2"/>
    </row>
    <row r="55934" spans="3:3" x14ac:dyDescent="0.35">
      <c r="C55934" s="2"/>
    </row>
    <row r="55935" spans="3:3" x14ac:dyDescent="0.35">
      <c r="C55935" s="2"/>
    </row>
    <row r="55936" spans="3:3" x14ac:dyDescent="0.35">
      <c r="C55936" s="2"/>
    </row>
    <row r="55937" spans="3:3" x14ac:dyDescent="0.35">
      <c r="C55937" s="2"/>
    </row>
    <row r="55938" spans="3:3" x14ac:dyDescent="0.35">
      <c r="C55938" s="2"/>
    </row>
    <row r="55939" spans="3:3" x14ac:dyDescent="0.35">
      <c r="C55939" s="2"/>
    </row>
    <row r="55940" spans="3:3" x14ac:dyDescent="0.35">
      <c r="C55940" s="2"/>
    </row>
    <row r="55941" spans="3:3" x14ac:dyDescent="0.35">
      <c r="C55941" s="2"/>
    </row>
    <row r="55942" spans="3:3" x14ac:dyDescent="0.35">
      <c r="C55942" s="2"/>
    </row>
    <row r="55943" spans="3:3" x14ac:dyDescent="0.35">
      <c r="C55943" s="2"/>
    </row>
    <row r="55944" spans="3:3" x14ac:dyDescent="0.35">
      <c r="C55944" s="2"/>
    </row>
    <row r="55945" spans="3:3" x14ac:dyDescent="0.35">
      <c r="C55945" s="2"/>
    </row>
    <row r="55946" spans="3:3" x14ac:dyDescent="0.35">
      <c r="C55946" s="2"/>
    </row>
    <row r="55947" spans="3:3" x14ac:dyDescent="0.35">
      <c r="C55947" s="2"/>
    </row>
    <row r="55948" spans="3:3" x14ac:dyDescent="0.35">
      <c r="C55948" s="2"/>
    </row>
    <row r="55949" spans="3:3" x14ac:dyDescent="0.35">
      <c r="C55949" s="2"/>
    </row>
    <row r="55950" spans="3:3" x14ac:dyDescent="0.35">
      <c r="C55950" s="2"/>
    </row>
    <row r="55951" spans="3:3" x14ac:dyDescent="0.35">
      <c r="C55951" s="2"/>
    </row>
    <row r="55952" spans="3:3" x14ac:dyDescent="0.35">
      <c r="C55952" s="2"/>
    </row>
    <row r="55953" spans="3:3" x14ac:dyDescent="0.35">
      <c r="C55953" s="2"/>
    </row>
    <row r="55954" spans="3:3" x14ac:dyDescent="0.35">
      <c r="C55954" s="2"/>
    </row>
    <row r="55955" spans="3:3" x14ac:dyDescent="0.35">
      <c r="C55955" s="2"/>
    </row>
    <row r="55956" spans="3:3" x14ac:dyDescent="0.35">
      <c r="C55956" s="2"/>
    </row>
    <row r="55957" spans="3:3" x14ac:dyDescent="0.35">
      <c r="C55957" s="2"/>
    </row>
    <row r="55958" spans="3:3" x14ac:dyDescent="0.35">
      <c r="C55958" s="2"/>
    </row>
    <row r="55959" spans="3:3" x14ac:dyDescent="0.35">
      <c r="C55959" s="2"/>
    </row>
    <row r="55960" spans="3:3" x14ac:dyDescent="0.35">
      <c r="C55960" s="2"/>
    </row>
    <row r="55961" spans="3:3" x14ac:dyDescent="0.35">
      <c r="C55961" s="2"/>
    </row>
    <row r="55962" spans="3:3" x14ac:dyDescent="0.35">
      <c r="C55962" s="2"/>
    </row>
    <row r="55963" spans="3:3" x14ac:dyDescent="0.35">
      <c r="C55963" s="2"/>
    </row>
    <row r="55964" spans="3:3" x14ac:dyDescent="0.35">
      <c r="C55964" s="2"/>
    </row>
    <row r="55965" spans="3:3" x14ac:dyDescent="0.35">
      <c r="C55965" s="2"/>
    </row>
    <row r="55966" spans="3:3" x14ac:dyDescent="0.35">
      <c r="C55966" s="2"/>
    </row>
    <row r="55967" spans="3:3" x14ac:dyDescent="0.35">
      <c r="C55967" s="2"/>
    </row>
    <row r="55968" spans="3:3" x14ac:dyDescent="0.35">
      <c r="C55968" s="2"/>
    </row>
    <row r="55969" spans="3:3" x14ac:dyDescent="0.35">
      <c r="C55969" s="2"/>
    </row>
    <row r="55970" spans="3:3" x14ac:dyDescent="0.35">
      <c r="C55970" s="2"/>
    </row>
    <row r="55971" spans="3:3" x14ac:dyDescent="0.35">
      <c r="C55971" s="2"/>
    </row>
    <row r="55972" spans="3:3" x14ac:dyDescent="0.35">
      <c r="C55972" s="2"/>
    </row>
    <row r="55973" spans="3:3" x14ac:dyDescent="0.35">
      <c r="C55973" s="2"/>
    </row>
    <row r="55974" spans="3:3" x14ac:dyDescent="0.35">
      <c r="C55974" s="2"/>
    </row>
    <row r="55975" spans="3:3" x14ac:dyDescent="0.35">
      <c r="C55975" s="2"/>
    </row>
    <row r="55976" spans="3:3" x14ac:dyDescent="0.35">
      <c r="C55976" s="2"/>
    </row>
    <row r="55977" spans="3:3" x14ac:dyDescent="0.35">
      <c r="C55977" s="2"/>
    </row>
    <row r="55978" spans="3:3" x14ac:dyDescent="0.35">
      <c r="C55978" s="2"/>
    </row>
    <row r="55979" spans="3:3" x14ac:dyDescent="0.35">
      <c r="C55979" s="2"/>
    </row>
    <row r="55980" spans="3:3" x14ac:dyDescent="0.35">
      <c r="C55980" s="2"/>
    </row>
    <row r="55981" spans="3:3" x14ac:dyDescent="0.35">
      <c r="C55981" s="2"/>
    </row>
    <row r="55982" spans="3:3" x14ac:dyDescent="0.35">
      <c r="C55982" s="2"/>
    </row>
    <row r="55983" spans="3:3" x14ac:dyDescent="0.35">
      <c r="C55983" s="2"/>
    </row>
    <row r="55984" spans="3:3" x14ac:dyDescent="0.35">
      <c r="C55984" s="2"/>
    </row>
    <row r="55985" spans="3:3" x14ac:dyDescent="0.35">
      <c r="C55985" s="2"/>
    </row>
    <row r="55986" spans="3:3" x14ac:dyDescent="0.35">
      <c r="C55986" s="2"/>
    </row>
    <row r="55987" spans="3:3" x14ac:dyDescent="0.35">
      <c r="C55987" s="2"/>
    </row>
    <row r="55988" spans="3:3" x14ac:dyDescent="0.35">
      <c r="C55988" s="2"/>
    </row>
    <row r="55989" spans="3:3" x14ac:dyDescent="0.35">
      <c r="C55989" s="2"/>
    </row>
    <row r="55990" spans="3:3" x14ac:dyDescent="0.35">
      <c r="C55990" s="2"/>
    </row>
    <row r="55991" spans="3:3" x14ac:dyDescent="0.35">
      <c r="C55991" s="2"/>
    </row>
    <row r="55992" spans="3:3" x14ac:dyDescent="0.35">
      <c r="C55992" s="2"/>
    </row>
    <row r="55993" spans="3:3" x14ac:dyDescent="0.35">
      <c r="C55993" s="2"/>
    </row>
    <row r="55994" spans="3:3" x14ac:dyDescent="0.35">
      <c r="C55994" s="2"/>
    </row>
    <row r="55995" spans="3:3" x14ac:dyDescent="0.35">
      <c r="C55995" s="2"/>
    </row>
    <row r="55996" spans="3:3" x14ac:dyDescent="0.35">
      <c r="C55996" s="2"/>
    </row>
    <row r="55997" spans="3:3" x14ac:dyDescent="0.35">
      <c r="C55997" s="2"/>
    </row>
    <row r="55998" spans="3:3" x14ac:dyDescent="0.35">
      <c r="C55998" s="2"/>
    </row>
    <row r="55999" spans="3:3" x14ac:dyDescent="0.35">
      <c r="C55999" s="2"/>
    </row>
    <row r="56000" spans="3:3" x14ac:dyDescent="0.35">
      <c r="C56000" s="2"/>
    </row>
    <row r="56001" spans="3:3" x14ac:dyDescent="0.35">
      <c r="C56001" s="2"/>
    </row>
    <row r="56002" spans="3:3" x14ac:dyDescent="0.35">
      <c r="C56002" s="2"/>
    </row>
    <row r="56003" spans="3:3" x14ac:dyDescent="0.35">
      <c r="C56003" s="2"/>
    </row>
    <row r="56004" spans="3:3" x14ac:dyDescent="0.35">
      <c r="C56004" s="2"/>
    </row>
    <row r="56005" spans="3:3" x14ac:dyDescent="0.35">
      <c r="C56005" s="2"/>
    </row>
    <row r="56006" spans="3:3" x14ac:dyDescent="0.35">
      <c r="C56006" s="2"/>
    </row>
    <row r="56007" spans="3:3" x14ac:dyDescent="0.35">
      <c r="C56007" s="2"/>
    </row>
    <row r="56008" spans="3:3" x14ac:dyDescent="0.35">
      <c r="C56008" s="2"/>
    </row>
    <row r="56009" spans="3:3" x14ac:dyDescent="0.35">
      <c r="C56009" s="2"/>
    </row>
    <row r="56010" spans="3:3" x14ac:dyDescent="0.35">
      <c r="C56010" s="2"/>
    </row>
    <row r="56011" spans="3:3" x14ac:dyDescent="0.35">
      <c r="C56011" s="2"/>
    </row>
    <row r="56012" spans="3:3" x14ac:dyDescent="0.35">
      <c r="C56012" s="2"/>
    </row>
    <row r="56013" spans="3:3" x14ac:dyDescent="0.35">
      <c r="C56013" s="2"/>
    </row>
    <row r="56014" spans="3:3" x14ac:dyDescent="0.35">
      <c r="C56014" s="2"/>
    </row>
    <row r="56015" spans="3:3" x14ac:dyDescent="0.35">
      <c r="C56015" s="2"/>
    </row>
    <row r="56016" spans="3:3" x14ac:dyDescent="0.35">
      <c r="C56016" s="2"/>
    </row>
    <row r="56017" spans="3:3" x14ac:dyDescent="0.35">
      <c r="C56017" s="2"/>
    </row>
    <row r="56018" spans="3:3" x14ac:dyDescent="0.35">
      <c r="C56018" s="2"/>
    </row>
    <row r="56019" spans="3:3" x14ac:dyDescent="0.35">
      <c r="C56019" s="2"/>
    </row>
    <row r="56020" spans="3:3" x14ac:dyDescent="0.35">
      <c r="C56020" s="2"/>
    </row>
    <row r="56021" spans="3:3" x14ac:dyDescent="0.35">
      <c r="C56021" s="2"/>
    </row>
    <row r="56022" spans="3:3" x14ac:dyDescent="0.35">
      <c r="C56022" s="2"/>
    </row>
    <row r="56023" spans="3:3" x14ac:dyDescent="0.35">
      <c r="C56023" s="2"/>
    </row>
    <row r="56024" spans="3:3" x14ac:dyDescent="0.35">
      <c r="C56024" s="2"/>
    </row>
    <row r="56025" spans="3:3" x14ac:dyDescent="0.35">
      <c r="C56025" s="2"/>
    </row>
    <row r="56026" spans="3:3" x14ac:dyDescent="0.35">
      <c r="C56026" s="2"/>
    </row>
    <row r="56027" spans="3:3" x14ac:dyDescent="0.35">
      <c r="C56027" s="2"/>
    </row>
    <row r="56028" spans="3:3" x14ac:dyDescent="0.35">
      <c r="C56028" s="2"/>
    </row>
    <row r="56029" spans="3:3" x14ac:dyDescent="0.35">
      <c r="C56029" s="2"/>
    </row>
    <row r="56030" spans="3:3" x14ac:dyDescent="0.35">
      <c r="C56030" s="2"/>
    </row>
    <row r="56031" spans="3:3" x14ac:dyDescent="0.35">
      <c r="C56031" s="2"/>
    </row>
    <row r="56032" spans="3:3" x14ac:dyDescent="0.35">
      <c r="C56032" s="2"/>
    </row>
    <row r="56033" spans="3:3" x14ac:dyDescent="0.35">
      <c r="C56033" s="2"/>
    </row>
    <row r="56034" spans="3:3" x14ac:dyDescent="0.35">
      <c r="C56034" s="2"/>
    </row>
    <row r="56035" spans="3:3" x14ac:dyDescent="0.35">
      <c r="C56035" s="2"/>
    </row>
    <row r="56036" spans="3:3" x14ac:dyDescent="0.35">
      <c r="C56036" s="2"/>
    </row>
    <row r="56037" spans="3:3" x14ac:dyDescent="0.35">
      <c r="C56037" s="2"/>
    </row>
    <row r="56038" spans="3:3" x14ac:dyDescent="0.35">
      <c r="C56038" s="2"/>
    </row>
    <row r="56039" spans="3:3" x14ac:dyDescent="0.35">
      <c r="C56039" s="2"/>
    </row>
    <row r="56040" spans="3:3" x14ac:dyDescent="0.35">
      <c r="C56040" s="2"/>
    </row>
    <row r="56041" spans="3:3" x14ac:dyDescent="0.35">
      <c r="C56041" s="2"/>
    </row>
    <row r="56042" spans="3:3" x14ac:dyDescent="0.35">
      <c r="C56042" s="2"/>
    </row>
    <row r="56043" spans="3:3" x14ac:dyDescent="0.35">
      <c r="C56043" s="2"/>
    </row>
    <row r="56044" spans="3:3" x14ac:dyDescent="0.35">
      <c r="C56044" s="2"/>
    </row>
    <row r="56045" spans="3:3" x14ac:dyDescent="0.35">
      <c r="C56045" s="2"/>
    </row>
    <row r="56046" spans="3:3" x14ac:dyDescent="0.35">
      <c r="C56046" s="2"/>
    </row>
    <row r="56047" spans="3:3" x14ac:dyDescent="0.35">
      <c r="C56047" s="2"/>
    </row>
    <row r="56048" spans="3:3" x14ac:dyDescent="0.35">
      <c r="C56048" s="2"/>
    </row>
    <row r="56049" spans="3:3" x14ac:dyDescent="0.35">
      <c r="C56049" s="2"/>
    </row>
    <row r="56050" spans="3:3" x14ac:dyDescent="0.35">
      <c r="C56050" s="2"/>
    </row>
    <row r="56051" spans="3:3" x14ac:dyDescent="0.35">
      <c r="C56051" s="2"/>
    </row>
    <row r="56052" spans="3:3" x14ac:dyDescent="0.35">
      <c r="C56052" s="2"/>
    </row>
    <row r="56053" spans="3:3" x14ac:dyDescent="0.35">
      <c r="C56053" s="2"/>
    </row>
    <row r="56054" spans="3:3" x14ac:dyDescent="0.35">
      <c r="C56054" s="2"/>
    </row>
    <row r="56055" spans="3:3" x14ac:dyDescent="0.35">
      <c r="C56055" s="2"/>
    </row>
    <row r="56056" spans="3:3" x14ac:dyDescent="0.35">
      <c r="C56056" s="2"/>
    </row>
    <row r="56057" spans="3:3" x14ac:dyDescent="0.35">
      <c r="C56057" s="2"/>
    </row>
    <row r="56058" spans="3:3" x14ac:dyDescent="0.35">
      <c r="C56058" s="2"/>
    </row>
    <row r="56059" spans="3:3" x14ac:dyDescent="0.35">
      <c r="C56059" s="2"/>
    </row>
    <row r="56060" spans="3:3" x14ac:dyDescent="0.35">
      <c r="C56060" s="2"/>
    </row>
    <row r="56061" spans="3:3" x14ac:dyDescent="0.35">
      <c r="C56061" s="2"/>
    </row>
    <row r="56062" spans="3:3" x14ac:dyDescent="0.35">
      <c r="C56062" s="2"/>
    </row>
    <row r="56063" spans="3:3" x14ac:dyDescent="0.35">
      <c r="C56063" s="2"/>
    </row>
    <row r="56064" spans="3:3" x14ac:dyDescent="0.35">
      <c r="C56064" s="2"/>
    </row>
    <row r="56065" spans="3:3" x14ac:dyDescent="0.35">
      <c r="C56065" s="2"/>
    </row>
    <row r="56066" spans="3:3" x14ac:dyDescent="0.35">
      <c r="C56066" s="2"/>
    </row>
    <row r="56067" spans="3:3" x14ac:dyDescent="0.35">
      <c r="C56067" s="2"/>
    </row>
    <row r="56068" spans="3:3" x14ac:dyDescent="0.35">
      <c r="C56068" s="2"/>
    </row>
    <row r="56069" spans="3:3" x14ac:dyDescent="0.35">
      <c r="C56069" s="2"/>
    </row>
    <row r="56070" spans="3:3" x14ac:dyDescent="0.35">
      <c r="C56070" s="2"/>
    </row>
    <row r="56071" spans="3:3" x14ac:dyDescent="0.35">
      <c r="C56071" s="2"/>
    </row>
    <row r="56072" spans="3:3" x14ac:dyDescent="0.35">
      <c r="C56072" s="2"/>
    </row>
    <row r="56073" spans="3:3" x14ac:dyDescent="0.35">
      <c r="C56073" s="2"/>
    </row>
    <row r="56074" spans="3:3" x14ac:dyDescent="0.35">
      <c r="C56074" s="2"/>
    </row>
    <row r="56075" spans="3:3" x14ac:dyDescent="0.35">
      <c r="C56075" s="2"/>
    </row>
    <row r="56076" spans="3:3" x14ac:dyDescent="0.35">
      <c r="C56076" s="2"/>
    </row>
    <row r="56077" spans="3:3" x14ac:dyDescent="0.35">
      <c r="C56077" s="2"/>
    </row>
    <row r="56078" spans="3:3" x14ac:dyDescent="0.35">
      <c r="C56078" s="2"/>
    </row>
    <row r="56079" spans="3:3" x14ac:dyDescent="0.35">
      <c r="C56079" s="2"/>
    </row>
    <row r="56080" spans="3:3" x14ac:dyDescent="0.35">
      <c r="C56080" s="2"/>
    </row>
    <row r="56081" spans="3:3" x14ac:dyDescent="0.35">
      <c r="C56081" s="2"/>
    </row>
    <row r="56082" spans="3:3" x14ac:dyDescent="0.35">
      <c r="C56082" s="2"/>
    </row>
    <row r="56083" spans="3:3" x14ac:dyDescent="0.35">
      <c r="C56083" s="2"/>
    </row>
    <row r="56084" spans="3:3" x14ac:dyDescent="0.35">
      <c r="C56084" s="2"/>
    </row>
    <row r="56085" spans="3:3" x14ac:dyDescent="0.35">
      <c r="C56085" s="2"/>
    </row>
    <row r="56086" spans="3:3" x14ac:dyDescent="0.35">
      <c r="C56086" s="2"/>
    </row>
    <row r="56087" spans="3:3" x14ac:dyDescent="0.35">
      <c r="C56087" s="2"/>
    </row>
    <row r="56088" spans="3:3" x14ac:dyDescent="0.35">
      <c r="C56088" s="2"/>
    </row>
    <row r="56089" spans="3:3" x14ac:dyDescent="0.35">
      <c r="C56089" s="2"/>
    </row>
    <row r="56090" spans="3:3" x14ac:dyDescent="0.35">
      <c r="C56090" s="2"/>
    </row>
    <row r="56091" spans="3:3" x14ac:dyDescent="0.35">
      <c r="C56091" s="2"/>
    </row>
    <row r="56092" spans="3:3" x14ac:dyDescent="0.35">
      <c r="C56092" s="2"/>
    </row>
    <row r="56093" spans="3:3" x14ac:dyDescent="0.35">
      <c r="C56093" s="2"/>
    </row>
    <row r="56094" spans="3:3" x14ac:dyDescent="0.35">
      <c r="C56094" s="2"/>
    </row>
    <row r="56095" spans="3:3" x14ac:dyDescent="0.35">
      <c r="C56095" s="2"/>
    </row>
    <row r="56096" spans="3:3" x14ac:dyDescent="0.35">
      <c r="C56096" s="2"/>
    </row>
    <row r="56097" spans="3:3" x14ac:dyDescent="0.35">
      <c r="C56097" s="2"/>
    </row>
    <row r="56098" spans="3:3" x14ac:dyDescent="0.35">
      <c r="C56098" s="2"/>
    </row>
    <row r="56099" spans="3:3" x14ac:dyDescent="0.35">
      <c r="C56099" s="2"/>
    </row>
    <row r="56100" spans="3:3" x14ac:dyDescent="0.35">
      <c r="C56100" s="2"/>
    </row>
    <row r="56101" spans="3:3" x14ac:dyDescent="0.35">
      <c r="C56101" s="2"/>
    </row>
    <row r="56102" spans="3:3" x14ac:dyDescent="0.35">
      <c r="C56102" s="2"/>
    </row>
    <row r="56103" spans="3:3" x14ac:dyDescent="0.35">
      <c r="C56103" s="2"/>
    </row>
    <row r="56104" spans="3:3" x14ac:dyDescent="0.35">
      <c r="C56104" s="2"/>
    </row>
    <row r="56105" spans="3:3" x14ac:dyDescent="0.35">
      <c r="C56105" s="2"/>
    </row>
    <row r="56106" spans="3:3" x14ac:dyDescent="0.35">
      <c r="C56106" s="2"/>
    </row>
    <row r="56107" spans="3:3" x14ac:dyDescent="0.35">
      <c r="C56107" s="2"/>
    </row>
    <row r="56108" spans="3:3" x14ac:dyDescent="0.35">
      <c r="C56108" s="2"/>
    </row>
    <row r="56109" spans="3:3" x14ac:dyDescent="0.35">
      <c r="C56109" s="2"/>
    </row>
    <row r="56110" spans="3:3" x14ac:dyDescent="0.35">
      <c r="C56110" s="2"/>
    </row>
    <row r="56111" spans="3:3" x14ac:dyDescent="0.35">
      <c r="C56111" s="2"/>
    </row>
    <row r="56112" spans="3:3" x14ac:dyDescent="0.35">
      <c r="C56112" s="2"/>
    </row>
    <row r="56113" spans="3:3" x14ac:dyDescent="0.35">
      <c r="C56113" s="2"/>
    </row>
    <row r="56114" spans="3:3" x14ac:dyDescent="0.35">
      <c r="C56114" s="2"/>
    </row>
    <row r="56115" spans="3:3" x14ac:dyDescent="0.35">
      <c r="C56115" s="2"/>
    </row>
    <row r="56116" spans="3:3" x14ac:dyDescent="0.35">
      <c r="C56116" s="2"/>
    </row>
    <row r="56117" spans="3:3" x14ac:dyDescent="0.35">
      <c r="C56117" s="2"/>
    </row>
    <row r="56118" spans="3:3" x14ac:dyDescent="0.35">
      <c r="C56118" s="2"/>
    </row>
    <row r="56119" spans="3:3" x14ac:dyDescent="0.35">
      <c r="C56119" s="2"/>
    </row>
    <row r="56120" spans="3:3" x14ac:dyDescent="0.35">
      <c r="C56120" s="2"/>
    </row>
    <row r="56121" spans="3:3" x14ac:dyDescent="0.35">
      <c r="C56121" s="2"/>
    </row>
    <row r="56122" spans="3:3" x14ac:dyDescent="0.35">
      <c r="C56122" s="2"/>
    </row>
    <row r="56123" spans="3:3" x14ac:dyDescent="0.35">
      <c r="C56123" s="2"/>
    </row>
    <row r="56124" spans="3:3" x14ac:dyDescent="0.35">
      <c r="C56124" s="2"/>
    </row>
    <row r="56125" spans="3:3" x14ac:dyDescent="0.35">
      <c r="C56125" s="2"/>
    </row>
    <row r="56126" spans="3:3" x14ac:dyDescent="0.35">
      <c r="C56126" s="2"/>
    </row>
    <row r="56127" spans="3:3" x14ac:dyDescent="0.35">
      <c r="C56127" s="2"/>
    </row>
    <row r="56128" spans="3:3" x14ac:dyDescent="0.35">
      <c r="C56128" s="2"/>
    </row>
    <row r="56129" spans="3:3" x14ac:dyDescent="0.35">
      <c r="C56129" s="2"/>
    </row>
    <row r="56130" spans="3:3" x14ac:dyDescent="0.35">
      <c r="C56130" s="2"/>
    </row>
    <row r="56131" spans="3:3" x14ac:dyDescent="0.35">
      <c r="C56131" s="2"/>
    </row>
    <row r="56132" spans="3:3" x14ac:dyDescent="0.35">
      <c r="C56132" s="2"/>
    </row>
    <row r="56133" spans="3:3" x14ac:dyDescent="0.35">
      <c r="C56133" s="2"/>
    </row>
    <row r="56134" spans="3:3" x14ac:dyDescent="0.35">
      <c r="C56134" s="2"/>
    </row>
    <row r="56135" spans="3:3" x14ac:dyDescent="0.35">
      <c r="C56135" s="2"/>
    </row>
    <row r="56136" spans="3:3" x14ac:dyDescent="0.35">
      <c r="C56136" s="2"/>
    </row>
    <row r="56137" spans="3:3" x14ac:dyDescent="0.35">
      <c r="C56137" s="2"/>
    </row>
    <row r="56138" spans="3:3" x14ac:dyDescent="0.35">
      <c r="C56138" s="2"/>
    </row>
    <row r="56139" spans="3:3" x14ac:dyDescent="0.35">
      <c r="C56139" s="2"/>
    </row>
    <row r="56140" spans="3:3" x14ac:dyDescent="0.35">
      <c r="C56140" s="2"/>
    </row>
    <row r="56141" spans="3:3" x14ac:dyDescent="0.35">
      <c r="C56141" s="2"/>
    </row>
    <row r="56142" spans="3:3" x14ac:dyDescent="0.35">
      <c r="C56142" s="2"/>
    </row>
    <row r="56143" spans="3:3" x14ac:dyDescent="0.35">
      <c r="C56143" s="2"/>
    </row>
    <row r="56144" spans="3:3" x14ac:dyDescent="0.35">
      <c r="C56144" s="2"/>
    </row>
    <row r="56145" spans="3:3" x14ac:dyDescent="0.35">
      <c r="C56145" s="2"/>
    </row>
    <row r="56146" spans="3:3" x14ac:dyDescent="0.35">
      <c r="C56146" s="2"/>
    </row>
    <row r="56147" spans="3:3" x14ac:dyDescent="0.35">
      <c r="C56147" s="2"/>
    </row>
    <row r="56148" spans="3:3" x14ac:dyDescent="0.35">
      <c r="C56148" s="2"/>
    </row>
    <row r="56149" spans="3:3" x14ac:dyDescent="0.35">
      <c r="C56149" s="2"/>
    </row>
    <row r="56150" spans="3:3" x14ac:dyDescent="0.35">
      <c r="C56150" s="2"/>
    </row>
    <row r="56151" spans="3:3" x14ac:dyDescent="0.35">
      <c r="C56151" s="2"/>
    </row>
    <row r="56152" spans="3:3" x14ac:dyDescent="0.35">
      <c r="C56152" s="2"/>
    </row>
    <row r="56153" spans="3:3" x14ac:dyDescent="0.35">
      <c r="C56153" s="2"/>
    </row>
    <row r="56154" spans="3:3" x14ac:dyDescent="0.35">
      <c r="C56154" s="2"/>
    </row>
    <row r="56155" spans="3:3" x14ac:dyDescent="0.35">
      <c r="C56155" s="2"/>
    </row>
    <row r="56156" spans="3:3" x14ac:dyDescent="0.35">
      <c r="C56156" s="2"/>
    </row>
    <row r="56157" spans="3:3" x14ac:dyDescent="0.35">
      <c r="C56157" s="2"/>
    </row>
    <row r="56158" spans="3:3" x14ac:dyDescent="0.35">
      <c r="C56158" s="2"/>
    </row>
    <row r="56159" spans="3:3" x14ac:dyDescent="0.35">
      <c r="C56159" s="2"/>
    </row>
    <row r="56160" spans="3:3" x14ac:dyDescent="0.35">
      <c r="C56160" s="2"/>
    </row>
    <row r="56161" spans="3:3" x14ac:dyDescent="0.35">
      <c r="C56161" s="2"/>
    </row>
    <row r="56162" spans="3:3" x14ac:dyDescent="0.35">
      <c r="C56162" s="2"/>
    </row>
    <row r="56163" spans="3:3" x14ac:dyDescent="0.35">
      <c r="C56163" s="2"/>
    </row>
    <row r="56164" spans="3:3" x14ac:dyDescent="0.35">
      <c r="C56164" s="2"/>
    </row>
    <row r="56165" spans="3:3" x14ac:dyDescent="0.35">
      <c r="C56165" s="2"/>
    </row>
    <row r="56166" spans="3:3" x14ac:dyDescent="0.35">
      <c r="C56166" s="2"/>
    </row>
    <row r="56167" spans="3:3" x14ac:dyDescent="0.35">
      <c r="C56167" s="2"/>
    </row>
    <row r="56168" spans="3:3" x14ac:dyDescent="0.35">
      <c r="C56168" s="2"/>
    </row>
    <row r="56169" spans="3:3" x14ac:dyDescent="0.35">
      <c r="C56169" s="2"/>
    </row>
    <row r="56170" spans="3:3" x14ac:dyDescent="0.35">
      <c r="C56170" s="2"/>
    </row>
    <row r="56171" spans="3:3" x14ac:dyDescent="0.35">
      <c r="C56171" s="2"/>
    </row>
    <row r="56172" spans="3:3" x14ac:dyDescent="0.35">
      <c r="C56172" s="2"/>
    </row>
    <row r="56173" spans="3:3" x14ac:dyDescent="0.35">
      <c r="C56173" s="2"/>
    </row>
    <row r="56174" spans="3:3" x14ac:dyDescent="0.35">
      <c r="C56174" s="2"/>
    </row>
    <row r="56175" spans="3:3" x14ac:dyDescent="0.35">
      <c r="C56175" s="2"/>
    </row>
    <row r="56176" spans="3:3" x14ac:dyDescent="0.35">
      <c r="C56176" s="2"/>
    </row>
    <row r="56177" spans="3:3" x14ac:dyDescent="0.35">
      <c r="C56177" s="2"/>
    </row>
    <row r="56178" spans="3:3" x14ac:dyDescent="0.35">
      <c r="C56178" s="2"/>
    </row>
    <row r="56179" spans="3:3" x14ac:dyDescent="0.35">
      <c r="C56179" s="2"/>
    </row>
    <row r="56180" spans="3:3" x14ac:dyDescent="0.35">
      <c r="C56180" s="2"/>
    </row>
    <row r="56181" spans="3:3" x14ac:dyDescent="0.35">
      <c r="C56181" s="2"/>
    </row>
    <row r="56182" spans="3:3" x14ac:dyDescent="0.35">
      <c r="C56182" s="2"/>
    </row>
    <row r="56183" spans="3:3" x14ac:dyDescent="0.35">
      <c r="C56183" s="2"/>
    </row>
    <row r="56184" spans="3:3" x14ac:dyDescent="0.35">
      <c r="C56184" s="2"/>
    </row>
    <row r="56185" spans="3:3" x14ac:dyDescent="0.35">
      <c r="C56185" s="2"/>
    </row>
    <row r="56186" spans="3:3" x14ac:dyDescent="0.35">
      <c r="C56186" s="2"/>
    </row>
    <row r="56187" spans="3:3" x14ac:dyDescent="0.35">
      <c r="C56187" s="2"/>
    </row>
    <row r="56188" spans="3:3" x14ac:dyDescent="0.35">
      <c r="C56188" s="2"/>
    </row>
    <row r="56189" spans="3:3" x14ac:dyDescent="0.35">
      <c r="C56189" s="2"/>
    </row>
    <row r="56190" spans="3:3" x14ac:dyDescent="0.35">
      <c r="C56190" s="2"/>
    </row>
    <row r="56191" spans="3:3" x14ac:dyDescent="0.35">
      <c r="C56191" s="2"/>
    </row>
    <row r="56192" spans="3:3" x14ac:dyDescent="0.35">
      <c r="C56192" s="2"/>
    </row>
    <row r="56193" spans="3:3" x14ac:dyDescent="0.35">
      <c r="C56193" s="2"/>
    </row>
    <row r="56194" spans="3:3" x14ac:dyDescent="0.35">
      <c r="C56194" s="2"/>
    </row>
    <row r="56195" spans="3:3" x14ac:dyDescent="0.35">
      <c r="C56195" s="2"/>
    </row>
    <row r="56196" spans="3:3" x14ac:dyDescent="0.35">
      <c r="C56196" s="2"/>
    </row>
    <row r="56197" spans="3:3" x14ac:dyDescent="0.35">
      <c r="C56197" s="2"/>
    </row>
    <row r="56198" spans="3:3" x14ac:dyDescent="0.35">
      <c r="C56198" s="2"/>
    </row>
    <row r="56199" spans="3:3" x14ac:dyDescent="0.35">
      <c r="C56199" s="2"/>
    </row>
    <row r="56200" spans="3:3" x14ac:dyDescent="0.35">
      <c r="C56200" s="2"/>
    </row>
    <row r="56201" spans="3:3" x14ac:dyDescent="0.35">
      <c r="C56201" s="2"/>
    </row>
    <row r="56202" spans="3:3" x14ac:dyDescent="0.35">
      <c r="C56202" s="2"/>
    </row>
    <row r="56203" spans="3:3" x14ac:dyDescent="0.35">
      <c r="C56203" s="2"/>
    </row>
    <row r="56204" spans="3:3" x14ac:dyDescent="0.35">
      <c r="C56204" s="2"/>
    </row>
    <row r="56205" spans="3:3" x14ac:dyDescent="0.35">
      <c r="C56205" s="2"/>
    </row>
    <row r="56206" spans="3:3" x14ac:dyDescent="0.35">
      <c r="C56206" s="2"/>
    </row>
    <row r="56207" spans="3:3" x14ac:dyDescent="0.35">
      <c r="C56207" s="2"/>
    </row>
    <row r="56208" spans="3:3" x14ac:dyDescent="0.35">
      <c r="C56208" s="2"/>
    </row>
    <row r="56209" spans="3:3" x14ac:dyDescent="0.35">
      <c r="C56209" s="2"/>
    </row>
    <row r="56210" spans="3:3" x14ac:dyDescent="0.35">
      <c r="C56210" s="2"/>
    </row>
    <row r="56211" spans="3:3" x14ac:dyDescent="0.35">
      <c r="C56211" s="2"/>
    </row>
    <row r="56212" spans="3:3" x14ac:dyDescent="0.35">
      <c r="C56212" s="2"/>
    </row>
    <row r="56213" spans="3:3" x14ac:dyDescent="0.35">
      <c r="C56213" s="2"/>
    </row>
    <row r="56214" spans="3:3" x14ac:dyDescent="0.35">
      <c r="C56214" s="2"/>
    </row>
    <row r="56215" spans="3:3" x14ac:dyDescent="0.35">
      <c r="C56215" s="2"/>
    </row>
    <row r="56216" spans="3:3" x14ac:dyDescent="0.35">
      <c r="C56216" s="2"/>
    </row>
    <row r="56217" spans="3:3" x14ac:dyDescent="0.35">
      <c r="C56217" s="2"/>
    </row>
    <row r="56218" spans="3:3" x14ac:dyDescent="0.35">
      <c r="C56218" s="2"/>
    </row>
    <row r="56219" spans="3:3" x14ac:dyDescent="0.35">
      <c r="C56219" s="2"/>
    </row>
    <row r="56220" spans="3:3" x14ac:dyDescent="0.35">
      <c r="C56220" s="2"/>
    </row>
    <row r="56221" spans="3:3" x14ac:dyDescent="0.35">
      <c r="C56221" s="2"/>
    </row>
    <row r="56222" spans="3:3" x14ac:dyDescent="0.35">
      <c r="C56222" s="2"/>
    </row>
    <row r="56223" spans="3:3" x14ac:dyDescent="0.35">
      <c r="C56223" s="2"/>
    </row>
    <row r="56224" spans="3:3" x14ac:dyDescent="0.35">
      <c r="C56224" s="2"/>
    </row>
    <row r="56225" spans="3:3" x14ac:dyDescent="0.35">
      <c r="C56225" s="2"/>
    </row>
    <row r="56226" spans="3:3" x14ac:dyDescent="0.35">
      <c r="C56226" s="2"/>
    </row>
    <row r="56227" spans="3:3" x14ac:dyDescent="0.35">
      <c r="C56227" s="2"/>
    </row>
    <row r="56228" spans="3:3" x14ac:dyDescent="0.35">
      <c r="C56228" s="2"/>
    </row>
    <row r="56229" spans="3:3" x14ac:dyDescent="0.35">
      <c r="C56229" s="2"/>
    </row>
    <row r="56230" spans="3:3" x14ac:dyDescent="0.35">
      <c r="C56230" s="2"/>
    </row>
    <row r="56231" spans="3:3" x14ac:dyDescent="0.35">
      <c r="C56231" s="2"/>
    </row>
    <row r="56232" spans="3:3" x14ac:dyDescent="0.35">
      <c r="C56232" s="2"/>
    </row>
    <row r="56233" spans="3:3" x14ac:dyDescent="0.35">
      <c r="C56233" s="2"/>
    </row>
    <row r="56234" spans="3:3" x14ac:dyDescent="0.35">
      <c r="C56234" s="2"/>
    </row>
    <row r="56235" spans="3:3" x14ac:dyDescent="0.35">
      <c r="C56235" s="2"/>
    </row>
    <row r="56236" spans="3:3" x14ac:dyDescent="0.35">
      <c r="C56236" s="2"/>
    </row>
    <row r="56237" spans="3:3" x14ac:dyDescent="0.35">
      <c r="C56237" s="2"/>
    </row>
    <row r="56238" spans="3:3" x14ac:dyDescent="0.35">
      <c r="C56238" s="2"/>
    </row>
    <row r="56239" spans="3:3" x14ac:dyDescent="0.35">
      <c r="C56239" s="2"/>
    </row>
    <row r="56240" spans="3:3" x14ac:dyDescent="0.35">
      <c r="C56240" s="2"/>
    </row>
    <row r="56241" spans="3:3" x14ac:dyDescent="0.35">
      <c r="C56241" s="2"/>
    </row>
    <row r="56242" spans="3:3" x14ac:dyDescent="0.35">
      <c r="C56242" s="2"/>
    </row>
    <row r="56243" spans="3:3" x14ac:dyDescent="0.35">
      <c r="C56243" s="2"/>
    </row>
    <row r="56244" spans="3:3" x14ac:dyDescent="0.35">
      <c r="C56244" s="2"/>
    </row>
    <row r="56245" spans="3:3" x14ac:dyDescent="0.35">
      <c r="C56245" s="2"/>
    </row>
    <row r="56246" spans="3:3" x14ac:dyDescent="0.35">
      <c r="C56246" s="2"/>
    </row>
    <row r="56247" spans="3:3" x14ac:dyDescent="0.35">
      <c r="C56247" s="2"/>
    </row>
    <row r="56248" spans="3:3" x14ac:dyDescent="0.35">
      <c r="C56248" s="2"/>
    </row>
    <row r="56249" spans="3:3" x14ac:dyDescent="0.35">
      <c r="C56249" s="2"/>
    </row>
    <row r="56250" spans="3:3" x14ac:dyDescent="0.35">
      <c r="C56250" s="2"/>
    </row>
    <row r="56251" spans="3:3" x14ac:dyDescent="0.35">
      <c r="C56251" s="2"/>
    </row>
    <row r="56252" spans="3:3" x14ac:dyDescent="0.35">
      <c r="C56252" s="2"/>
    </row>
    <row r="56253" spans="3:3" x14ac:dyDescent="0.35">
      <c r="C56253" s="2"/>
    </row>
    <row r="56254" spans="3:3" x14ac:dyDescent="0.35">
      <c r="C56254" s="2"/>
    </row>
    <row r="56255" spans="3:3" x14ac:dyDescent="0.35">
      <c r="C56255" s="2"/>
    </row>
    <row r="56256" spans="3:3" x14ac:dyDescent="0.35">
      <c r="C56256" s="2"/>
    </row>
    <row r="56257" spans="3:3" x14ac:dyDescent="0.35">
      <c r="C56257" s="2"/>
    </row>
    <row r="56258" spans="3:3" x14ac:dyDescent="0.35">
      <c r="C56258" s="2"/>
    </row>
    <row r="56259" spans="3:3" x14ac:dyDescent="0.35">
      <c r="C56259" s="2"/>
    </row>
    <row r="56260" spans="3:3" x14ac:dyDescent="0.35">
      <c r="C56260" s="2"/>
    </row>
    <row r="56261" spans="3:3" x14ac:dyDescent="0.35">
      <c r="C56261" s="2"/>
    </row>
    <row r="56262" spans="3:3" x14ac:dyDescent="0.35">
      <c r="C56262" s="2"/>
    </row>
    <row r="56263" spans="3:3" x14ac:dyDescent="0.35">
      <c r="C56263" s="2"/>
    </row>
    <row r="56264" spans="3:3" x14ac:dyDescent="0.35">
      <c r="C56264" s="2"/>
    </row>
    <row r="56265" spans="3:3" x14ac:dyDescent="0.35">
      <c r="C56265" s="2"/>
    </row>
    <row r="56266" spans="3:3" x14ac:dyDescent="0.35">
      <c r="C56266" s="2"/>
    </row>
    <row r="56267" spans="3:3" x14ac:dyDescent="0.35">
      <c r="C56267" s="2"/>
    </row>
    <row r="56268" spans="3:3" x14ac:dyDescent="0.35">
      <c r="C56268" s="2"/>
    </row>
    <row r="56269" spans="3:3" x14ac:dyDescent="0.35">
      <c r="C56269" s="2"/>
    </row>
    <row r="56270" spans="3:3" x14ac:dyDescent="0.35">
      <c r="C56270" s="2"/>
    </row>
    <row r="56271" spans="3:3" x14ac:dyDescent="0.35">
      <c r="C56271" s="2"/>
    </row>
    <row r="56272" spans="3:3" x14ac:dyDescent="0.35">
      <c r="C56272" s="2"/>
    </row>
    <row r="56273" spans="3:3" x14ac:dyDescent="0.35">
      <c r="C56273" s="2"/>
    </row>
    <row r="56274" spans="3:3" x14ac:dyDescent="0.35">
      <c r="C56274" s="2"/>
    </row>
    <row r="56275" spans="3:3" x14ac:dyDescent="0.35">
      <c r="C56275" s="2"/>
    </row>
    <row r="56276" spans="3:3" x14ac:dyDescent="0.35">
      <c r="C56276" s="2"/>
    </row>
    <row r="56277" spans="3:3" x14ac:dyDescent="0.35">
      <c r="C56277" s="2"/>
    </row>
    <row r="56278" spans="3:3" x14ac:dyDescent="0.35">
      <c r="C56278" s="2"/>
    </row>
    <row r="56279" spans="3:3" x14ac:dyDescent="0.35">
      <c r="C56279" s="2"/>
    </row>
    <row r="56280" spans="3:3" x14ac:dyDescent="0.35">
      <c r="C56280" s="2"/>
    </row>
    <row r="56281" spans="3:3" x14ac:dyDescent="0.35">
      <c r="C56281" s="2"/>
    </row>
    <row r="56282" spans="3:3" x14ac:dyDescent="0.35">
      <c r="C56282" s="2"/>
    </row>
    <row r="56283" spans="3:3" x14ac:dyDescent="0.35">
      <c r="C56283" s="2"/>
    </row>
    <row r="56284" spans="3:3" x14ac:dyDescent="0.35">
      <c r="C56284" s="2"/>
    </row>
    <row r="56285" spans="3:3" x14ac:dyDescent="0.35">
      <c r="C56285" s="2"/>
    </row>
    <row r="56286" spans="3:3" x14ac:dyDescent="0.35">
      <c r="C56286" s="2"/>
    </row>
    <row r="56287" spans="3:3" x14ac:dyDescent="0.35">
      <c r="C56287" s="2"/>
    </row>
    <row r="56288" spans="3:3" x14ac:dyDescent="0.35">
      <c r="C56288" s="2"/>
    </row>
    <row r="56289" spans="3:3" x14ac:dyDescent="0.35">
      <c r="C56289" s="2"/>
    </row>
    <row r="56290" spans="3:3" x14ac:dyDescent="0.35">
      <c r="C56290" s="2"/>
    </row>
    <row r="56291" spans="3:3" x14ac:dyDescent="0.35">
      <c r="C56291" s="2"/>
    </row>
    <row r="56292" spans="3:3" x14ac:dyDescent="0.35">
      <c r="C56292" s="2"/>
    </row>
    <row r="56293" spans="3:3" x14ac:dyDescent="0.35">
      <c r="C56293" s="2"/>
    </row>
    <row r="56294" spans="3:3" x14ac:dyDescent="0.35">
      <c r="C56294" s="2"/>
    </row>
    <row r="56295" spans="3:3" x14ac:dyDescent="0.35">
      <c r="C56295" s="2"/>
    </row>
    <row r="56296" spans="3:3" x14ac:dyDescent="0.35">
      <c r="C56296" s="2"/>
    </row>
    <row r="56297" spans="3:3" x14ac:dyDescent="0.35">
      <c r="C56297" s="2"/>
    </row>
    <row r="56298" spans="3:3" x14ac:dyDescent="0.35">
      <c r="C56298" s="2"/>
    </row>
    <row r="56299" spans="3:3" x14ac:dyDescent="0.35">
      <c r="C56299" s="2"/>
    </row>
    <row r="56300" spans="3:3" x14ac:dyDescent="0.35">
      <c r="C56300" s="2"/>
    </row>
    <row r="56301" spans="3:3" x14ac:dyDescent="0.35">
      <c r="C56301" s="2"/>
    </row>
    <row r="56302" spans="3:3" x14ac:dyDescent="0.35">
      <c r="C56302" s="2"/>
    </row>
    <row r="56303" spans="3:3" x14ac:dyDescent="0.35">
      <c r="C56303" s="2"/>
    </row>
    <row r="56304" spans="3:3" x14ac:dyDescent="0.35">
      <c r="C56304" s="2"/>
    </row>
    <row r="56305" spans="3:3" x14ac:dyDescent="0.35">
      <c r="C56305" s="2"/>
    </row>
    <row r="56306" spans="3:3" x14ac:dyDescent="0.35">
      <c r="C56306" s="2"/>
    </row>
    <row r="56307" spans="3:3" x14ac:dyDescent="0.35">
      <c r="C56307" s="2"/>
    </row>
    <row r="56308" spans="3:3" x14ac:dyDescent="0.35">
      <c r="C56308" s="2"/>
    </row>
    <row r="56309" spans="3:3" x14ac:dyDescent="0.35">
      <c r="C56309" s="2"/>
    </row>
    <row r="56310" spans="3:3" x14ac:dyDescent="0.35">
      <c r="C56310" s="2"/>
    </row>
    <row r="56311" spans="3:3" x14ac:dyDescent="0.35">
      <c r="C56311" s="2"/>
    </row>
    <row r="56312" spans="3:3" x14ac:dyDescent="0.35">
      <c r="C56312" s="2"/>
    </row>
    <row r="56313" spans="3:3" x14ac:dyDescent="0.35">
      <c r="C56313" s="2"/>
    </row>
    <row r="56314" spans="3:3" x14ac:dyDescent="0.35">
      <c r="C56314" s="2"/>
    </row>
    <row r="56315" spans="3:3" x14ac:dyDescent="0.35">
      <c r="C56315" s="2"/>
    </row>
    <row r="56316" spans="3:3" x14ac:dyDescent="0.35">
      <c r="C56316" s="2"/>
    </row>
    <row r="56317" spans="3:3" x14ac:dyDescent="0.35">
      <c r="C56317" s="2"/>
    </row>
    <row r="56318" spans="3:3" x14ac:dyDescent="0.35">
      <c r="C56318" s="2"/>
    </row>
    <row r="56319" spans="3:3" x14ac:dyDescent="0.35">
      <c r="C56319" s="2"/>
    </row>
    <row r="56320" spans="3:3" x14ac:dyDescent="0.35">
      <c r="C56320" s="2"/>
    </row>
    <row r="56321" spans="3:3" x14ac:dyDescent="0.35">
      <c r="C56321" s="2"/>
    </row>
    <row r="56322" spans="3:3" x14ac:dyDescent="0.35">
      <c r="C56322" s="2"/>
    </row>
    <row r="56323" spans="3:3" x14ac:dyDescent="0.35">
      <c r="C56323" s="2"/>
    </row>
    <row r="56324" spans="3:3" x14ac:dyDescent="0.35">
      <c r="C56324" s="2"/>
    </row>
    <row r="56325" spans="3:3" x14ac:dyDescent="0.35">
      <c r="C56325" s="2"/>
    </row>
    <row r="56326" spans="3:3" x14ac:dyDescent="0.35">
      <c r="C56326" s="2"/>
    </row>
    <row r="56327" spans="3:3" x14ac:dyDescent="0.35">
      <c r="C56327" s="2"/>
    </row>
    <row r="56328" spans="3:3" x14ac:dyDescent="0.35">
      <c r="C56328" s="2"/>
    </row>
    <row r="56329" spans="3:3" x14ac:dyDescent="0.35">
      <c r="C56329" s="2"/>
    </row>
    <row r="56330" spans="3:3" x14ac:dyDescent="0.35">
      <c r="C56330" s="2"/>
    </row>
    <row r="56331" spans="3:3" x14ac:dyDescent="0.35">
      <c r="C56331" s="2"/>
    </row>
    <row r="56332" spans="3:3" x14ac:dyDescent="0.35">
      <c r="C56332" s="2"/>
    </row>
    <row r="56333" spans="3:3" x14ac:dyDescent="0.35">
      <c r="C56333" s="2"/>
    </row>
    <row r="56334" spans="3:3" x14ac:dyDescent="0.35">
      <c r="C56334" s="2"/>
    </row>
    <row r="56335" spans="3:3" x14ac:dyDescent="0.35">
      <c r="C56335" s="2"/>
    </row>
    <row r="56336" spans="3:3" x14ac:dyDescent="0.35">
      <c r="C56336" s="2"/>
    </row>
    <row r="56337" spans="3:3" x14ac:dyDescent="0.35">
      <c r="C56337" s="2"/>
    </row>
    <row r="56338" spans="3:3" x14ac:dyDescent="0.35">
      <c r="C56338" s="2"/>
    </row>
    <row r="56339" spans="3:3" x14ac:dyDescent="0.35">
      <c r="C56339" s="2"/>
    </row>
    <row r="56340" spans="3:3" x14ac:dyDescent="0.35">
      <c r="C56340" s="2"/>
    </row>
    <row r="56341" spans="3:3" x14ac:dyDescent="0.35">
      <c r="C56341" s="2"/>
    </row>
    <row r="56342" spans="3:3" x14ac:dyDescent="0.35">
      <c r="C56342" s="2"/>
    </row>
    <row r="56343" spans="3:3" x14ac:dyDescent="0.35">
      <c r="C56343" s="2"/>
    </row>
    <row r="56344" spans="3:3" x14ac:dyDescent="0.35">
      <c r="C56344" s="2"/>
    </row>
    <row r="56345" spans="3:3" x14ac:dyDescent="0.35">
      <c r="C56345" s="2"/>
    </row>
    <row r="56346" spans="3:3" x14ac:dyDescent="0.35">
      <c r="C56346" s="2"/>
    </row>
    <row r="56347" spans="3:3" x14ac:dyDescent="0.35">
      <c r="C56347" s="2"/>
    </row>
    <row r="56348" spans="3:3" x14ac:dyDescent="0.35">
      <c r="C56348" s="2"/>
    </row>
    <row r="56349" spans="3:3" x14ac:dyDescent="0.35">
      <c r="C56349" s="2"/>
    </row>
    <row r="56350" spans="3:3" x14ac:dyDescent="0.35">
      <c r="C56350" s="2"/>
    </row>
    <row r="56351" spans="3:3" x14ac:dyDescent="0.35">
      <c r="C56351" s="2"/>
    </row>
    <row r="56352" spans="3:3" x14ac:dyDescent="0.35">
      <c r="C56352" s="2"/>
    </row>
    <row r="56353" spans="3:3" x14ac:dyDescent="0.35">
      <c r="C56353" s="2"/>
    </row>
    <row r="56354" spans="3:3" x14ac:dyDescent="0.35">
      <c r="C56354" s="2"/>
    </row>
    <row r="56355" spans="3:3" x14ac:dyDescent="0.35">
      <c r="C56355" s="2"/>
    </row>
    <row r="56356" spans="3:3" x14ac:dyDescent="0.35">
      <c r="C56356" s="2"/>
    </row>
    <row r="56357" spans="3:3" x14ac:dyDescent="0.35">
      <c r="C56357" s="2"/>
    </row>
    <row r="56358" spans="3:3" x14ac:dyDescent="0.35">
      <c r="C56358" s="2"/>
    </row>
    <row r="56359" spans="3:3" x14ac:dyDescent="0.35">
      <c r="C56359" s="2"/>
    </row>
    <row r="56360" spans="3:3" x14ac:dyDescent="0.35">
      <c r="C56360" s="2"/>
    </row>
    <row r="56361" spans="3:3" x14ac:dyDescent="0.35">
      <c r="C56361" s="2"/>
    </row>
    <row r="56362" spans="3:3" x14ac:dyDescent="0.35">
      <c r="C56362" s="2"/>
    </row>
    <row r="56363" spans="3:3" x14ac:dyDescent="0.35">
      <c r="C56363" s="2"/>
    </row>
    <row r="56364" spans="3:3" x14ac:dyDescent="0.35">
      <c r="C56364" s="2"/>
    </row>
    <row r="56365" spans="3:3" x14ac:dyDescent="0.35">
      <c r="C56365" s="2"/>
    </row>
    <row r="56366" spans="3:3" x14ac:dyDescent="0.35">
      <c r="C56366" s="2"/>
    </row>
    <row r="56367" spans="3:3" x14ac:dyDescent="0.35">
      <c r="C56367" s="2"/>
    </row>
    <row r="56368" spans="3:3" x14ac:dyDescent="0.35">
      <c r="C56368" s="2"/>
    </row>
    <row r="56369" spans="3:3" x14ac:dyDescent="0.35">
      <c r="C56369" s="2"/>
    </row>
    <row r="56370" spans="3:3" x14ac:dyDescent="0.35">
      <c r="C56370" s="2"/>
    </row>
    <row r="56371" spans="3:3" x14ac:dyDescent="0.35">
      <c r="C56371" s="2"/>
    </row>
    <row r="56372" spans="3:3" x14ac:dyDescent="0.35">
      <c r="C56372" s="2"/>
    </row>
    <row r="56373" spans="3:3" x14ac:dyDescent="0.35">
      <c r="C56373" s="2"/>
    </row>
    <row r="56374" spans="3:3" x14ac:dyDescent="0.35">
      <c r="C56374" s="2"/>
    </row>
    <row r="56375" spans="3:3" x14ac:dyDescent="0.35">
      <c r="C56375" s="2"/>
    </row>
    <row r="56376" spans="3:3" x14ac:dyDescent="0.35">
      <c r="C56376" s="2"/>
    </row>
    <row r="56377" spans="3:3" x14ac:dyDescent="0.35">
      <c r="C56377" s="2"/>
    </row>
    <row r="56378" spans="3:3" x14ac:dyDescent="0.35">
      <c r="C56378" s="2"/>
    </row>
    <row r="56379" spans="3:3" x14ac:dyDescent="0.35">
      <c r="C56379" s="2"/>
    </row>
    <row r="56380" spans="3:3" x14ac:dyDescent="0.35">
      <c r="C56380" s="2"/>
    </row>
    <row r="56381" spans="3:3" x14ac:dyDescent="0.35">
      <c r="C56381" s="2"/>
    </row>
    <row r="56382" spans="3:3" x14ac:dyDescent="0.35">
      <c r="C56382" s="2"/>
    </row>
    <row r="56383" spans="3:3" x14ac:dyDescent="0.35">
      <c r="C56383" s="2"/>
    </row>
    <row r="56384" spans="3:3" x14ac:dyDescent="0.35">
      <c r="C56384" s="2"/>
    </row>
    <row r="56385" spans="3:3" x14ac:dyDescent="0.35">
      <c r="C56385" s="2"/>
    </row>
    <row r="56386" spans="3:3" x14ac:dyDescent="0.35">
      <c r="C56386" s="2"/>
    </row>
    <row r="56387" spans="3:3" x14ac:dyDescent="0.35">
      <c r="C56387" s="2"/>
    </row>
    <row r="56388" spans="3:3" x14ac:dyDescent="0.35">
      <c r="C56388" s="2"/>
    </row>
    <row r="56389" spans="3:3" x14ac:dyDescent="0.35">
      <c r="C56389" s="2"/>
    </row>
    <row r="56390" spans="3:3" x14ac:dyDescent="0.35">
      <c r="C56390" s="2"/>
    </row>
    <row r="56391" spans="3:3" x14ac:dyDescent="0.35">
      <c r="C56391" s="2"/>
    </row>
    <row r="56392" spans="3:3" x14ac:dyDescent="0.35">
      <c r="C56392" s="2"/>
    </row>
    <row r="56393" spans="3:3" x14ac:dyDescent="0.35">
      <c r="C56393" s="2"/>
    </row>
    <row r="56394" spans="3:3" x14ac:dyDescent="0.35">
      <c r="C56394" s="2"/>
    </row>
    <row r="56395" spans="3:3" x14ac:dyDescent="0.35">
      <c r="C56395" s="2"/>
    </row>
    <row r="56396" spans="3:3" x14ac:dyDescent="0.35">
      <c r="C56396" s="2"/>
    </row>
    <row r="56397" spans="3:3" x14ac:dyDescent="0.35">
      <c r="C56397" s="2"/>
    </row>
    <row r="56398" spans="3:3" x14ac:dyDescent="0.35">
      <c r="C56398" s="2"/>
    </row>
    <row r="56399" spans="3:3" x14ac:dyDescent="0.35">
      <c r="C56399" s="2"/>
    </row>
    <row r="56400" spans="3:3" x14ac:dyDescent="0.35">
      <c r="C56400" s="2"/>
    </row>
    <row r="56401" spans="3:3" x14ac:dyDescent="0.35">
      <c r="C56401" s="2"/>
    </row>
    <row r="56402" spans="3:3" x14ac:dyDescent="0.35">
      <c r="C56402" s="2"/>
    </row>
    <row r="56403" spans="3:3" x14ac:dyDescent="0.35">
      <c r="C56403" s="2"/>
    </row>
    <row r="56404" spans="3:3" x14ac:dyDescent="0.35">
      <c r="C56404" s="2"/>
    </row>
    <row r="56405" spans="3:3" x14ac:dyDescent="0.35">
      <c r="C56405" s="2"/>
    </row>
    <row r="56406" spans="3:3" x14ac:dyDescent="0.35">
      <c r="C56406" s="2"/>
    </row>
    <row r="56407" spans="3:3" x14ac:dyDescent="0.35">
      <c r="C56407" s="2"/>
    </row>
    <row r="56408" spans="3:3" x14ac:dyDescent="0.35">
      <c r="C56408" s="2"/>
    </row>
    <row r="56409" spans="3:3" x14ac:dyDescent="0.35">
      <c r="C56409" s="2"/>
    </row>
    <row r="56410" spans="3:3" x14ac:dyDescent="0.35">
      <c r="C56410" s="2"/>
    </row>
    <row r="56411" spans="3:3" x14ac:dyDescent="0.35">
      <c r="C56411" s="2"/>
    </row>
    <row r="56412" spans="3:3" x14ac:dyDescent="0.35">
      <c r="C56412" s="2"/>
    </row>
    <row r="56413" spans="3:3" x14ac:dyDescent="0.35">
      <c r="C56413" s="2"/>
    </row>
    <row r="56414" spans="3:3" x14ac:dyDescent="0.35">
      <c r="C56414" s="2"/>
    </row>
    <row r="56415" spans="3:3" x14ac:dyDescent="0.35">
      <c r="C56415" s="2"/>
    </row>
    <row r="56416" spans="3:3" x14ac:dyDescent="0.35">
      <c r="C56416" s="2"/>
    </row>
    <row r="56417" spans="3:3" x14ac:dyDescent="0.35">
      <c r="C56417" s="2"/>
    </row>
    <row r="56418" spans="3:3" x14ac:dyDescent="0.35">
      <c r="C56418" s="2"/>
    </row>
    <row r="56419" spans="3:3" x14ac:dyDescent="0.35">
      <c r="C56419" s="2"/>
    </row>
    <row r="56420" spans="3:3" x14ac:dyDescent="0.35">
      <c r="C56420" s="2"/>
    </row>
    <row r="56421" spans="3:3" x14ac:dyDescent="0.35">
      <c r="C56421" s="2"/>
    </row>
    <row r="56422" spans="3:3" x14ac:dyDescent="0.35">
      <c r="C56422" s="2"/>
    </row>
    <row r="56423" spans="3:3" x14ac:dyDescent="0.35">
      <c r="C56423" s="2"/>
    </row>
    <row r="56424" spans="3:3" x14ac:dyDescent="0.35">
      <c r="C56424" s="2"/>
    </row>
    <row r="56425" spans="3:3" x14ac:dyDescent="0.35">
      <c r="C56425" s="2"/>
    </row>
    <row r="56426" spans="3:3" x14ac:dyDescent="0.35">
      <c r="C56426" s="2"/>
    </row>
    <row r="56427" spans="3:3" x14ac:dyDescent="0.35">
      <c r="C56427" s="2"/>
    </row>
    <row r="56428" spans="3:3" x14ac:dyDescent="0.35">
      <c r="C56428" s="2"/>
    </row>
    <row r="56429" spans="3:3" x14ac:dyDescent="0.35">
      <c r="C56429" s="2"/>
    </row>
    <row r="56430" spans="3:3" x14ac:dyDescent="0.35">
      <c r="C56430" s="2"/>
    </row>
    <row r="56431" spans="3:3" x14ac:dyDescent="0.35">
      <c r="C56431" s="2"/>
    </row>
    <row r="56432" spans="3:3" x14ac:dyDescent="0.35">
      <c r="C56432" s="2"/>
    </row>
    <row r="56433" spans="3:3" x14ac:dyDescent="0.35">
      <c r="C56433" s="2"/>
    </row>
    <row r="56434" spans="3:3" x14ac:dyDescent="0.35">
      <c r="C56434" s="2"/>
    </row>
    <row r="56435" spans="3:3" x14ac:dyDescent="0.35">
      <c r="C56435" s="2"/>
    </row>
    <row r="56436" spans="3:3" x14ac:dyDescent="0.35">
      <c r="C56436" s="2"/>
    </row>
    <row r="56437" spans="3:3" x14ac:dyDescent="0.35">
      <c r="C56437" s="2"/>
    </row>
    <row r="56438" spans="3:3" x14ac:dyDescent="0.35">
      <c r="C56438" s="2"/>
    </row>
    <row r="56439" spans="3:3" x14ac:dyDescent="0.35">
      <c r="C56439" s="2"/>
    </row>
    <row r="56440" spans="3:3" x14ac:dyDescent="0.35">
      <c r="C56440" s="2"/>
    </row>
    <row r="56441" spans="3:3" x14ac:dyDescent="0.35">
      <c r="C56441" s="2"/>
    </row>
    <row r="56442" spans="3:3" x14ac:dyDescent="0.35">
      <c r="C56442" s="2"/>
    </row>
    <row r="56443" spans="3:3" x14ac:dyDescent="0.35">
      <c r="C56443" s="2"/>
    </row>
    <row r="56444" spans="3:3" x14ac:dyDescent="0.35">
      <c r="C56444" s="2"/>
    </row>
    <row r="56445" spans="3:3" x14ac:dyDescent="0.35">
      <c r="C56445" s="2"/>
    </row>
    <row r="56446" spans="3:3" x14ac:dyDescent="0.35">
      <c r="C56446" s="2"/>
    </row>
    <row r="56447" spans="3:3" x14ac:dyDescent="0.35">
      <c r="C56447" s="2"/>
    </row>
    <row r="56448" spans="3:3" x14ac:dyDescent="0.35">
      <c r="C56448" s="2"/>
    </row>
    <row r="56449" spans="3:3" x14ac:dyDescent="0.35">
      <c r="C56449" s="2"/>
    </row>
    <row r="56450" spans="3:3" x14ac:dyDescent="0.35">
      <c r="C56450" s="2"/>
    </row>
    <row r="56451" spans="3:3" x14ac:dyDescent="0.35">
      <c r="C56451" s="2"/>
    </row>
    <row r="56452" spans="3:3" x14ac:dyDescent="0.35">
      <c r="C56452" s="2"/>
    </row>
    <row r="56453" spans="3:3" x14ac:dyDescent="0.35">
      <c r="C56453" s="2"/>
    </row>
    <row r="56454" spans="3:3" x14ac:dyDescent="0.35">
      <c r="C56454" s="2"/>
    </row>
    <row r="56455" spans="3:3" x14ac:dyDescent="0.35">
      <c r="C56455" s="2"/>
    </row>
    <row r="56456" spans="3:3" x14ac:dyDescent="0.35">
      <c r="C56456" s="2"/>
    </row>
    <row r="56457" spans="3:3" x14ac:dyDescent="0.35">
      <c r="C56457" s="2"/>
    </row>
    <row r="56458" spans="3:3" x14ac:dyDescent="0.35">
      <c r="C56458" s="2"/>
    </row>
    <row r="56459" spans="3:3" x14ac:dyDescent="0.35">
      <c r="C56459" s="2"/>
    </row>
    <row r="56460" spans="3:3" x14ac:dyDescent="0.35">
      <c r="C56460" s="2"/>
    </row>
    <row r="56461" spans="3:3" x14ac:dyDescent="0.35">
      <c r="C56461" s="2"/>
    </row>
    <row r="56462" spans="3:3" x14ac:dyDescent="0.35">
      <c r="C56462" s="2"/>
    </row>
    <row r="56463" spans="3:3" x14ac:dyDescent="0.35">
      <c r="C56463" s="2"/>
    </row>
    <row r="56464" spans="3:3" x14ac:dyDescent="0.35">
      <c r="C56464" s="2"/>
    </row>
    <row r="56465" spans="3:3" x14ac:dyDescent="0.35">
      <c r="C56465" s="2"/>
    </row>
    <row r="56466" spans="3:3" x14ac:dyDescent="0.35">
      <c r="C56466" s="2"/>
    </row>
    <row r="56467" spans="3:3" x14ac:dyDescent="0.35">
      <c r="C56467" s="2"/>
    </row>
    <row r="56468" spans="3:3" x14ac:dyDescent="0.35">
      <c r="C56468" s="2"/>
    </row>
    <row r="56469" spans="3:3" x14ac:dyDescent="0.35">
      <c r="C56469" s="2"/>
    </row>
    <row r="56470" spans="3:3" x14ac:dyDescent="0.35">
      <c r="C56470" s="2"/>
    </row>
    <row r="56471" spans="3:3" x14ac:dyDescent="0.35">
      <c r="C56471" s="2"/>
    </row>
    <row r="56472" spans="3:3" x14ac:dyDescent="0.35">
      <c r="C56472" s="2"/>
    </row>
    <row r="56473" spans="3:3" x14ac:dyDescent="0.35">
      <c r="C56473" s="2"/>
    </row>
    <row r="56474" spans="3:3" x14ac:dyDescent="0.35">
      <c r="C56474" s="2"/>
    </row>
    <row r="56475" spans="3:3" x14ac:dyDescent="0.35">
      <c r="C56475" s="2"/>
    </row>
    <row r="56476" spans="3:3" x14ac:dyDescent="0.35">
      <c r="C56476" s="2"/>
    </row>
    <row r="56477" spans="3:3" x14ac:dyDescent="0.35">
      <c r="C56477" s="2"/>
    </row>
    <row r="56478" spans="3:3" x14ac:dyDescent="0.35">
      <c r="C56478" s="2"/>
    </row>
    <row r="56479" spans="3:3" x14ac:dyDescent="0.35">
      <c r="C56479" s="2"/>
    </row>
    <row r="56480" spans="3:3" x14ac:dyDescent="0.35">
      <c r="C56480" s="2"/>
    </row>
    <row r="56481" spans="3:3" x14ac:dyDescent="0.35">
      <c r="C56481" s="2"/>
    </row>
    <row r="56482" spans="3:3" x14ac:dyDescent="0.35">
      <c r="C56482" s="2"/>
    </row>
    <row r="56483" spans="3:3" x14ac:dyDescent="0.35">
      <c r="C56483" s="2"/>
    </row>
    <row r="56484" spans="3:3" x14ac:dyDescent="0.35">
      <c r="C56484" s="2"/>
    </row>
    <row r="56485" spans="3:3" x14ac:dyDescent="0.35">
      <c r="C56485" s="2"/>
    </row>
    <row r="56486" spans="3:3" x14ac:dyDescent="0.35">
      <c r="C56486" s="2"/>
    </row>
    <row r="56487" spans="3:3" x14ac:dyDescent="0.35">
      <c r="C56487" s="2"/>
    </row>
    <row r="56488" spans="3:3" x14ac:dyDescent="0.35">
      <c r="C56488" s="2"/>
    </row>
    <row r="56489" spans="3:3" x14ac:dyDescent="0.35">
      <c r="C56489" s="2"/>
    </row>
    <row r="56490" spans="3:3" x14ac:dyDescent="0.35">
      <c r="C56490" s="2"/>
    </row>
    <row r="56491" spans="3:3" x14ac:dyDescent="0.35">
      <c r="C56491" s="2"/>
    </row>
    <row r="56492" spans="3:3" x14ac:dyDescent="0.35">
      <c r="C56492" s="2"/>
    </row>
    <row r="56493" spans="3:3" x14ac:dyDescent="0.35">
      <c r="C56493" s="2"/>
    </row>
    <row r="56494" spans="3:3" x14ac:dyDescent="0.35">
      <c r="C56494" s="2"/>
    </row>
    <row r="56495" spans="3:3" x14ac:dyDescent="0.35">
      <c r="C56495" s="2"/>
    </row>
    <row r="56496" spans="3:3" x14ac:dyDescent="0.35">
      <c r="C56496" s="2"/>
    </row>
    <row r="56497" spans="3:3" x14ac:dyDescent="0.35">
      <c r="C56497" s="2"/>
    </row>
    <row r="56498" spans="3:3" x14ac:dyDescent="0.35">
      <c r="C56498" s="2"/>
    </row>
    <row r="56499" spans="3:3" x14ac:dyDescent="0.35">
      <c r="C56499" s="2"/>
    </row>
    <row r="56500" spans="3:3" x14ac:dyDescent="0.35">
      <c r="C56500" s="2"/>
    </row>
    <row r="56501" spans="3:3" x14ac:dyDescent="0.35">
      <c r="C56501" s="2"/>
    </row>
    <row r="56502" spans="3:3" x14ac:dyDescent="0.35">
      <c r="C56502" s="2"/>
    </row>
    <row r="56503" spans="3:3" x14ac:dyDescent="0.35">
      <c r="C56503" s="2"/>
    </row>
    <row r="56504" spans="3:3" x14ac:dyDescent="0.35">
      <c r="C56504" s="2"/>
    </row>
    <row r="56505" spans="3:3" x14ac:dyDescent="0.35">
      <c r="C56505" s="2"/>
    </row>
    <row r="56506" spans="3:3" x14ac:dyDescent="0.35">
      <c r="C56506" s="2"/>
    </row>
    <row r="56507" spans="3:3" x14ac:dyDescent="0.35">
      <c r="C56507" s="2"/>
    </row>
    <row r="56508" spans="3:3" x14ac:dyDescent="0.35">
      <c r="C56508" s="2"/>
    </row>
    <row r="56509" spans="3:3" x14ac:dyDescent="0.35">
      <c r="C56509" s="2"/>
    </row>
    <row r="56510" spans="3:3" x14ac:dyDescent="0.35">
      <c r="C56510" s="2"/>
    </row>
    <row r="56511" spans="3:3" x14ac:dyDescent="0.35">
      <c r="C56511" s="2"/>
    </row>
    <row r="56512" spans="3:3" x14ac:dyDescent="0.35">
      <c r="C56512" s="2"/>
    </row>
    <row r="56513" spans="3:3" x14ac:dyDescent="0.35">
      <c r="C56513" s="2"/>
    </row>
    <row r="56514" spans="3:3" x14ac:dyDescent="0.35">
      <c r="C56514" s="2"/>
    </row>
    <row r="56515" spans="3:3" x14ac:dyDescent="0.35">
      <c r="C56515" s="2"/>
    </row>
    <row r="56516" spans="3:3" x14ac:dyDescent="0.35">
      <c r="C56516" s="2"/>
    </row>
    <row r="56517" spans="3:3" x14ac:dyDescent="0.35">
      <c r="C56517" s="2"/>
    </row>
    <row r="56518" spans="3:3" x14ac:dyDescent="0.35">
      <c r="C56518" s="2"/>
    </row>
    <row r="56519" spans="3:3" x14ac:dyDescent="0.35">
      <c r="C56519" s="2"/>
    </row>
    <row r="56520" spans="3:3" x14ac:dyDescent="0.35">
      <c r="C56520" s="2"/>
    </row>
    <row r="56521" spans="3:3" x14ac:dyDescent="0.35">
      <c r="C56521" s="2"/>
    </row>
    <row r="56522" spans="3:3" x14ac:dyDescent="0.35">
      <c r="C56522" s="2"/>
    </row>
    <row r="56523" spans="3:3" x14ac:dyDescent="0.35">
      <c r="C56523" s="2"/>
    </row>
    <row r="56524" spans="3:3" x14ac:dyDescent="0.35">
      <c r="C56524" s="2"/>
    </row>
    <row r="56525" spans="3:3" x14ac:dyDescent="0.35">
      <c r="C56525" s="2"/>
    </row>
    <row r="56526" spans="3:3" x14ac:dyDescent="0.35">
      <c r="C56526" s="2"/>
    </row>
    <row r="56527" spans="3:3" x14ac:dyDescent="0.35">
      <c r="C56527" s="2"/>
    </row>
    <row r="56528" spans="3:3" x14ac:dyDescent="0.35">
      <c r="C56528" s="2"/>
    </row>
    <row r="56529" spans="3:3" x14ac:dyDescent="0.35">
      <c r="C56529" s="2"/>
    </row>
    <row r="56530" spans="3:3" x14ac:dyDescent="0.35">
      <c r="C56530" s="2"/>
    </row>
    <row r="56531" spans="3:3" x14ac:dyDescent="0.35">
      <c r="C56531" s="2"/>
    </row>
    <row r="56532" spans="3:3" x14ac:dyDescent="0.35">
      <c r="C56532" s="2"/>
    </row>
    <row r="56533" spans="3:3" x14ac:dyDescent="0.35">
      <c r="C56533" s="2"/>
    </row>
    <row r="56534" spans="3:3" x14ac:dyDescent="0.35">
      <c r="C56534" s="2"/>
    </row>
    <row r="56535" spans="3:3" x14ac:dyDescent="0.35">
      <c r="C56535" s="2"/>
    </row>
    <row r="56536" spans="3:3" x14ac:dyDescent="0.35">
      <c r="C56536" s="2"/>
    </row>
    <row r="56537" spans="3:3" x14ac:dyDescent="0.35">
      <c r="C56537" s="2"/>
    </row>
    <row r="56538" spans="3:3" x14ac:dyDescent="0.35">
      <c r="C56538" s="2"/>
    </row>
    <row r="56539" spans="3:3" x14ac:dyDescent="0.35">
      <c r="C56539" s="2"/>
    </row>
    <row r="56540" spans="3:3" x14ac:dyDescent="0.35">
      <c r="C56540" s="2"/>
    </row>
    <row r="56541" spans="3:3" x14ac:dyDescent="0.35">
      <c r="C56541" s="2"/>
    </row>
    <row r="56542" spans="3:3" x14ac:dyDescent="0.35">
      <c r="C56542" s="2"/>
    </row>
    <row r="56543" spans="3:3" x14ac:dyDescent="0.35">
      <c r="C56543" s="2"/>
    </row>
    <row r="56544" spans="3:3" x14ac:dyDescent="0.35">
      <c r="C56544" s="2"/>
    </row>
    <row r="56545" spans="3:3" x14ac:dyDescent="0.35">
      <c r="C56545" s="2"/>
    </row>
    <row r="56546" spans="3:3" x14ac:dyDescent="0.35">
      <c r="C56546" s="2"/>
    </row>
    <row r="56547" spans="3:3" x14ac:dyDescent="0.35">
      <c r="C56547" s="2"/>
    </row>
    <row r="56548" spans="3:3" x14ac:dyDescent="0.35">
      <c r="C56548" s="2"/>
    </row>
    <row r="56549" spans="3:3" x14ac:dyDescent="0.35">
      <c r="C56549" s="2"/>
    </row>
    <row r="56550" spans="3:3" x14ac:dyDescent="0.35">
      <c r="C56550" s="2"/>
    </row>
    <row r="56551" spans="3:3" x14ac:dyDescent="0.35">
      <c r="C56551" s="2"/>
    </row>
    <row r="56552" spans="3:3" x14ac:dyDescent="0.35">
      <c r="C56552" s="2"/>
    </row>
    <row r="56553" spans="3:3" x14ac:dyDescent="0.35">
      <c r="C56553" s="2"/>
    </row>
    <row r="56554" spans="3:3" x14ac:dyDescent="0.35">
      <c r="C56554" s="2"/>
    </row>
    <row r="56555" spans="3:3" x14ac:dyDescent="0.35">
      <c r="C56555" s="2"/>
    </row>
    <row r="56556" spans="3:3" x14ac:dyDescent="0.35">
      <c r="C56556" s="2"/>
    </row>
    <row r="56557" spans="3:3" x14ac:dyDescent="0.35">
      <c r="C56557" s="2"/>
    </row>
    <row r="56558" spans="3:3" x14ac:dyDescent="0.35">
      <c r="C56558" s="2"/>
    </row>
    <row r="56559" spans="3:3" x14ac:dyDescent="0.35">
      <c r="C56559" s="2"/>
    </row>
    <row r="56560" spans="3:3" x14ac:dyDescent="0.35">
      <c r="C56560" s="2"/>
    </row>
    <row r="56561" spans="3:3" x14ac:dyDescent="0.35">
      <c r="C56561" s="2"/>
    </row>
    <row r="56562" spans="3:3" x14ac:dyDescent="0.35">
      <c r="C56562" s="2"/>
    </row>
    <row r="56563" spans="3:3" x14ac:dyDescent="0.35">
      <c r="C56563" s="2"/>
    </row>
    <row r="56564" spans="3:3" x14ac:dyDescent="0.35">
      <c r="C56564" s="2"/>
    </row>
    <row r="56565" spans="3:3" x14ac:dyDescent="0.35">
      <c r="C56565" s="2"/>
    </row>
    <row r="56566" spans="3:3" x14ac:dyDescent="0.35">
      <c r="C56566" s="2"/>
    </row>
    <row r="56567" spans="3:3" x14ac:dyDescent="0.35">
      <c r="C56567" s="2"/>
    </row>
    <row r="56568" spans="3:3" x14ac:dyDescent="0.35">
      <c r="C56568" s="2"/>
    </row>
    <row r="56569" spans="3:3" x14ac:dyDescent="0.35">
      <c r="C56569" s="2"/>
    </row>
    <row r="56570" spans="3:3" x14ac:dyDescent="0.35">
      <c r="C56570" s="2"/>
    </row>
    <row r="56571" spans="3:3" x14ac:dyDescent="0.35">
      <c r="C56571" s="2"/>
    </row>
    <row r="56572" spans="3:3" x14ac:dyDescent="0.35">
      <c r="C56572" s="2"/>
    </row>
    <row r="56573" spans="3:3" x14ac:dyDescent="0.35">
      <c r="C56573" s="2"/>
    </row>
    <row r="56574" spans="3:3" x14ac:dyDescent="0.35">
      <c r="C56574" s="2"/>
    </row>
    <row r="56575" spans="3:3" x14ac:dyDescent="0.35">
      <c r="C56575" s="2"/>
    </row>
    <row r="56576" spans="3:3" x14ac:dyDescent="0.35">
      <c r="C56576" s="2"/>
    </row>
    <row r="56577" spans="3:3" x14ac:dyDescent="0.35">
      <c r="C56577" s="2"/>
    </row>
    <row r="56578" spans="3:3" x14ac:dyDescent="0.35">
      <c r="C56578" s="2"/>
    </row>
    <row r="56579" spans="3:3" x14ac:dyDescent="0.35">
      <c r="C56579" s="2"/>
    </row>
    <row r="56580" spans="3:3" x14ac:dyDescent="0.35">
      <c r="C56580" s="2"/>
    </row>
    <row r="56581" spans="3:3" x14ac:dyDescent="0.35">
      <c r="C56581" s="2"/>
    </row>
    <row r="56582" spans="3:3" x14ac:dyDescent="0.35">
      <c r="C56582" s="2"/>
    </row>
    <row r="56583" spans="3:3" x14ac:dyDescent="0.35">
      <c r="C56583" s="2"/>
    </row>
    <row r="56584" spans="3:3" x14ac:dyDescent="0.35">
      <c r="C56584" s="2"/>
    </row>
    <row r="56585" spans="3:3" x14ac:dyDescent="0.35">
      <c r="C56585" s="2"/>
    </row>
    <row r="56586" spans="3:3" x14ac:dyDescent="0.35">
      <c r="C56586" s="2"/>
    </row>
    <row r="56587" spans="3:3" x14ac:dyDescent="0.35">
      <c r="C56587" s="2"/>
    </row>
    <row r="56588" spans="3:3" x14ac:dyDescent="0.35">
      <c r="C56588" s="2"/>
    </row>
    <row r="56589" spans="3:3" x14ac:dyDescent="0.35">
      <c r="C56589" s="2"/>
    </row>
    <row r="56590" spans="3:3" x14ac:dyDescent="0.35">
      <c r="C56590" s="2"/>
    </row>
    <row r="56591" spans="3:3" x14ac:dyDescent="0.35">
      <c r="C56591" s="2"/>
    </row>
    <row r="56592" spans="3:3" x14ac:dyDescent="0.35">
      <c r="C56592" s="2"/>
    </row>
    <row r="56593" spans="3:3" x14ac:dyDescent="0.35">
      <c r="C56593" s="2"/>
    </row>
    <row r="56594" spans="3:3" x14ac:dyDescent="0.35">
      <c r="C56594" s="2"/>
    </row>
    <row r="56595" spans="3:3" x14ac:dyDescent="0.35">
      <c r="C56595" s="2"/>
    </row>
    <row r="56596" spans="3:3" x14ac:dyDescent="0.35">
      <c r="C56596" s="2"/>
    </row>
    <row r="56597" spans="3:3" x14ac:dyDescent="0.35">
      <c r="C56597" s="2"/>
    </row>
    <row r="56598" spans="3:3" x14ac:dyDescent="0.35">
      <c r="C56598" s="2"/>
    </row>
    <row r="56599" spans="3:3" x14ac:dyDescent="0.35">
      <c r="C56599" s="2"/>
    </row>
    <row r="56600" spans="3:3" x14ac:dyDescent="0.35">
      <c r="C56600" s="2"/>
    </row>
    <row r="56601" spans="3:3" x14ac:dyDescent="0.35">
      <c r="C56601" s="2"/>
    </row>
    <row r="56602" spans="3:3" x14ac:dyDescent="0.35">
      <c r="C56602" s="2"/>
    </row>
    <row r="56603" spans="3:3" x14ac:dyDescent="0.35">
      <c r="C56603" s="2"/>
    </row>
    <row r="56604" spans="3:3" x14ac:dyDescent="0.35">
      <c r="C56604" s="2"/>
    </row>
    <row r="56605" spans="3:3" x14ac:dyDescent="0.35">
      <c r="C56605" s="2"/>
    </row>
    <row r="56606" spans="3:3" x14ac:dyDescent="0.35">
      <c r="C56606" s="2"/>
    </row>
    <row r="56607" spans="3:3" x14ac:dyDescent="0.35">
      <c r="C56607" s="2"/>
    </row>
    <row r="56608" spans="3:3" x14ac:dyDescent="0.35">
      <c r="C56608" s="2"/>
    </row>
    <row r="56609" spans="3:3" x14ac:dyDescent="0.35">
      <c r="C56609" s="2"/>
    </row>
    <row r="56610" spans="3:3" x14ac:dyDescent="0.35">
      <c r="C56610" s="2"/>
    </row>
    <row r="56611" spans="3:3" x14ac:dyDescent="0.35">
      <c r="C56611" s="2"/>
    </row>
    <row r="56612" spans="3:3" x14ac:dyDescent="0.35">
      <c r="C56612" s="2"/>
    </row>
    <row r="56613" spans="3:3" x14ac:dyDescent="0.35">
      <c r="C56613" s="2"/>
    </row>
    <row r="56614" spans="3:3" x14ac:dyDescent="0.35">
      <c r="C56614" s="2"/>
    </row>
    <row r="56615" spans="3:3" x14ac:dyDescent="0.35">
      <c r="C56615" s="2"/>
    </row>
    <row r="56616" spans="3:3" x14ac:dyDescent="0.35">
      <c r="C56616" s="2"/>
    </row>
    <row r="56617" spans="3:3" x14ac:dyDescent="0.35">
      <c r="C56617" s="2"/>
    </row>
    <row r="56618" spans="3:3" x14ac:dyDescent="0.35">
      <c r="C56618" s="2"/>
    </row>
    <row r="56619" spans="3:3" x14ac:dyDescent="0.35">
      <c r="C56619" s="2"/>
    </row>
    <row r="56620" spans="3:3" x14ac:dyDescent="0.35">
      <c r="C56620" s="2"/>
    </row>
    <row r="56621" spans="3:3" x14ac:dyDescent="0.35">
      <c r="C56621" s="2"/>
    </row>
    <row r="56622" spans="3:3" x14ac:dyDescent="0.35">
      <c r="C56622" s="2"/>
    </row>
    <row r="56623" spans="3:3" x14ac:dyDescent="0.35">
      <c r="C56623" s="2"/>
    </row>
    <row r="56624" spans="3:3" x14ac:dyDescent="0.35">
      <c r="C56624" s="2"/>
    </row>
    <row r="56625" spans="3:3" x14ac:dyDescent="0.35">
      <c r="C56625" s="2"/>
    </row>
    <row r="56626" spans="3:3" x14ac:dyDescent="0.35">
      <c r="C56626" s="2"/>
    </row>
    <row r="56627" spans="3:3" x14ac:dyDescent="0.35">
      <c r="C56627" s="2"/>
    </row>
    <row r="56628" spans="3:3" x14ac:dyDescent="0.35">
      <c r="C56628" s="2"/>
    </row>
    <row r="56629" spans="3:3" x14ac:dyDescent="0.35">
      <c r="C56629" s="2"/>
    </row>
    <row r="56630" spans="3:3" x14ac:dyDescent="0.35">
      <c r="C56630" s="2"/>
    </row>
    <row r="56631" spans="3:3" x14ac:dyDescent="0.35">
      <c r="C56631" s="2"/>
    </row>
    <row r="56632" spans="3:3" x14ac:dyDescent="0.35">
      <c r="C56632" s="2"/>
    </row>
    <row r="56633" spans="3:3" x14ac:dyDescent="0.35">
      <c r="C56633" s="2"/>
    </row>
    <row r="56634" spans="3:3" x14ac:dyDescent="0.35">
      <c r="C56634" s="2"/>
    </row>
    <row r="56635" spans="3:3" x14ac:dyDescent="0.35">
      <c r="C56635" s="2"/>
    </row>
    <row r="56636" spans="3:3" x14ac:dyDescent="0.35">
      <c r="C56636" s="2"/>
    </row>
    <row r="56637" spans="3:3" x14ac:dyDescent="0.35">
      <c r="C56637" s="2"/>
    </row>
    <row r="56638" spans="3:3" x14ac:dyDescent="0.35">
      <c r="C56638" s="2"/>
    </row>
    <row r="56639" spans="3:3" x14ac:dyDescent="0.35">
      <c r="C56639" s="2"/>
    </row>
    <row r="56640" spans="3:3" x14ac:dyDescent="0.35">
      <c r="C56640" s="2"/>
    </row>
    <row r="56641" spans="3:3" x14ac:dyDescent="0.35">
      <c r="C56641" s="2"/>
    </row>
    <row r="56642" spans="3:3" x14ac:dyDescent="0.35">
      <c r="C56642" s="2"/>
    </row>
    <row r="56643" spans="3:3" x14ac:dyDescent="0.35">
      <c r="C56643" s="2"/>
    </row>
    <row r="56644" spans="3:3" x14ac:dyDescent="0.35">
      <c r="C56644" s="2"/>
    </row>
    <row r="56645" spans="3:3" x14ac:dyDescent="0.35">
      <c r="C56645" s="2"/>
    </row>
    <row r="56646" spans="3:3" x14ac:dyDescent="0.35">
      <c r="C56646" s="2"/>
    </row>
    <row r="56647" spans="3:3" x14ac:dyDescent="0.35">
      <c r="C56647" s="2"/>
    </row>
    <row r="56648" spans="3:3" x14ac:dyDescent="0.35">
      <c r="C56648" s="2"/>
    </row>
    <row r="56649" spans="3:3" x14ac:dyDescent="0.35">
      <c r="C56649" s="2"/>
    </row>
    <row r="56650" spans="3:3" x14ac:dyDescent="0.35">
      <c r="C56650" s="2"/>
    </row>
    <row r="56651" spans="3:3" x14ac:dyDescent="0.35">
      <c r="C56651" s="2"/>
    </row>
    <row r="56652" spans="3:3" x14ac:dyDescent="0.35">
      <c r="C56652" s="2"/>
    </row>
    <row r="56653" spans="3:3" x14ac:dyDescent="0.35">
      <c r="C56653" s="2"/>
    </row>
    <row r="56654" spans="3:3" x14ac:dyDescent="0.35">
      <c r="C56654" s="2"/>
    </row>
    <row r="56655" spans="3:3" x14ac:dyDescent="0.35">
      <c r="C56655" s="2"/>
    </row>
    <row r="56656" spans="3:3" x14ac:dyDescent="0.35">
      <c r="C56656" s="2"/>
    </row>
    <row r="56657" spans="3:3" x14ac:dyDescent="0.35">
      <c r="C56657" s="2"/>
    </row>
    <row r="56658" spans="3:3" x14ac:dyDescent="0.35">
      <c r="C56658" s="2"/>
    </row>
    <row r="56659" spans="3:3" x14ac:dyDescent="0.35">
      <c r="C56659" s="2"/>
    </row>
    <row r="56660" spans="3:3" x14ac:dyDescent="0.35">
      <c r="C56660" s="2"/>
    </row>
    <row r="56661" spans="3:3" x14ac:dyDescent="0.35">
      <c r="C56661" s="2"/>
    </row>
    <row r="56662" spans="3:3" x14ac:dyDescent="0.35">
      <c r="C56662" s="2"/>
    </row>
    <row r="56663" spans="3:3" x14ac:dyDescent="0.35">
      <c r="C56663" s="2"/>
    </row>
    <row r="56664" spans="3:3" x14ac:dyDescent="0.35">
      <c r="C56664" s="2"/>
    </row>
    <row r="56665" spans="3:3" x14ac:dyDescent="0.35">
      <c r="C56665" s="2"/>
    </row>
    <row r="56666" spans="3:3" x14ac:dyDescent="0.35">
      <c r="C56666" s="2"/>
    </row>
    <row r="56667" spans="3:3" x14ac:dyDescent="0.35">
      <c r="C56667" s="2"/>
    </row>
    <row r="56668" spans="3:3" x14ac:dyDescent="0.35">
      <c r="C56668" s="2"/>
    </row>
    <row r="56669" spans="3:3" x14ac:dyDescent="0.35">
      <c r="C56669" s="2"/>
    </row>
    <row r="56670" spans="3:3" x14ac:dyDescent="0.35">
      <c r="C56670" s="2"/>
    </row>
    <row r="56671" spans="3:3" x14ac:dyDescent="0.35">
      <c r="C56671" s="2"/>
    </row>
    <row r="56672" spans="3:3" x14ac:dyDescent="0.35">
      <c r="C56672" s="2"/>
    </row>
    <row r="56673" spans="3:3" x14ac:dyDescent="0.35">
      <c r="C56673" s="2"/>
    </row>
    <row r="56674" spans="3:3" x14ac:dyDescent="0.35">
      <c r="C56674" s="2"/>
    </row>
    <row r="56675" spans="3:3" x14ac:dyDescent="0.35">
      <c r="C56675" s="2"/>
    </row>
    <row r="56676" spans="3:3" x14ac:dyDescent="0.35">
      <c r="C56676" s="2"/>
    </row>
    <row r="56677" spans="3:3" x14ac:dyDescent="0.35">
      <c r="C56677" s="2"/>
    </row>
    <row r="56678" spans="3:3" x14ac:dyDescent="0.35">
      <c r="C56678" s="2"/>
    </row>
    <row r="56679" spans="3:3" x14ac:dyDescent="0.35">
      <c r="C56679" s="2"/>
    </row>
    <row r="56680" spans="3:3" x14ac:dyDescent="0.35">
      <c r="C56680" s="2"/>
    </row>
    <row r="56681" spans="3:3" x14ac:dyDescent="0.35">
      <c r="C56681" s="2"/>
    </row>
    <row r="56682" spans="3:3" x14ac:dyDescent="0.35">
      <c r="C56682" s="2"/>
    </row>
    <row r="56683" spans="3:3" x14ac:dyDescent="0.35">
      <c r="C56683" s="2"/>
    </row>
    <row r="56684" spans="3:3" x14ac:dyDescent="0.35">
      <c r="C56684" s="2"/>
    </row>
    <row r="56685" spans="3:3" x14ac:dyDescent="0.35">
      <c r="C56685" s="2"/>
    </row>
    <row r="56686" spans="3:3" x14ac:dyDescent="0.35">
      <c r="C56686" s="2"/>
    </row>
    <row r="56687" spans="3:3" x14ac:dyDescent="0.35">
      <c r="C56687" s="2"/>
    </row>
    <row r="56688" spans="3:3" x14ac:dyDescent="0.35">
      <c r="C56688" s="2"/>
    </row>
    <row r="56689" spans="3:3" x14ac:dyDescent="0.35">
      <c r="C56689" s="2"/>
    </row>
    <row r="56690" spans="3:3" x14ac:dyDescent="0.35">
      <c r="C56690" s="2"/>
    </row>
    <row r="56691" spans="3:3" x14ac:dyDescent="0.35">
      <c r="C56691" s="2"/>
    </row>
    <row r="56692" spans="3:3" x14ac:dyDescent="0.35">
      <c r="C56692" s="2"/>
    </row>
    <row r="56693" spans="3:3" x14ac:dyDescent="0.35">
      <c r="C56693" s="2"/>
    </row>
    <row r="56694" spans="3:3" x14ac:dyDescent="0.35">
      <c r="C56694" s="2"/>
    </row>
    <row r="56695" spans="3:3" x14ac:dyDescent="0.35">
      <c r="C56695" s="2"/>
    </row>
    <row r="56696" spans="3:3" x14ac:dyDescent="0.35">
      <c r="C56696" s="2"/>
    </row>
    <row r="56697" spans="3:3" x14ac:dyDescent="0.35">
      <c r="C56697" s="2"/>
    </row>
    <row r="56698" spans="3:3" x14ac:dyDescent="0.35">
      <c r="C56698" s="2"/>
    </row>
    <row r="56699" spans="3:3" x14ac:dyDescent="0.35">
      <c r="C56699" s="2"/>
    </row>
    <row r="56700" spans="3:3" x14ac:dyDescent="0.35">
      <c r="C56700" s="2"/>
    </row>
    <row r="56701" spans="3:3" x14ac:dyDescent="0.35">
      <c r="C56701" s="2"/>
    </row>
    <row r="56702" spans="3:3" x14ac:dyDescent="0.35">
      <c r="C56702" s="2"/>
    </row>
    <row r="56703" spans="3:3" x14ac:dyDescent="0.35">
      <c r="C56703" s="2"/>
    </row>
    <row r="56704" spans="3:3" x14ac:dyDescent="0.35">
      <c r="C56704" s="2"/>
    </row>
    <row r="56705" spans="3:3" x14ac:dyDescent="0.35">
      <c r="C56705" s="2"/>
    </row>
    <row r="56706" spans="3:3" x14ac:dyDescent="0.35">
      <c r="C56706" s="2"/>
    </row>
    <row r="56707" spans="3:3" x14ac:dyDescent="0.35">
      <c r="C56707" s="2"/>
    </row>
    <row r="56708" spans="3:3" x14ac:dyDescent="0.35">
      <c r="C56708" s="2"/>
    </row>
    <row r="56709" spans="3:3" x14ac:dyDescent="0.35">
      <c r="C56709" s="2"/>
    </row>
    <row r="56710" spans="3:3" x14ac:dyDescent="0.35">
      <c r="C56710" s="2"/>
    </row>
    <row r="56711" spans="3:3" x14ac:dyDescent="0.35">
      <c r="C56711" s="2"/>
    </row>
    <row r="56712" spans="3:3" x14ac:dyDescent="0.35">
      <c r="C56712" s="2"/>
    </row>
    <row r="56713" spans="3:3" x14ac:dyDescent="0.35">
      <c r="C56713" s="2"/>
    </row>
    <row r="56714" spans="3:3" x14ac:dyDescent="0.35">
      <c r="C56714" s="2"/>
    </row>
    <row r="56715" spans="3:3" x14ac:dyDescent="0.35">
      <c r="C56715" s="2"/>
    </row>
    <row r="56716" spans="3:3" x14ac:dyDescent="0.35">
      <c r="C56716" s="2"/>
    </row>
    <row r="56717" spans="3:3" x14ac:dyDescent="0.35">
      <c r="C56717" s="2"/>
    </row>
    <row r="56718" spans="3:3" x14ac:dyDescent="0.35">
      <c r="C56718" s="2"/>
    </row>
    <row r="56719" spans="3:3" x14ac:dyDescent="0.35">
      <c r="C56719" s="2"/>
    </row>
    <row r="56720" spans="3:3" x14ac:dyDescent="0.35">
      <c r="C56720" s="2"/>
    </row>
    <row r="56721" spans="3:3" x14ac:dyDescent="0.35">
      <c r="C56721" s="2"/>
    </row>
    <row r="56722" spans="3:3" x14ac:dyDescent="0.35">
      <c r="C56722" s="2"/>
    </row>
    <row r="56723" spans="3:3" x14ac:dyDescent="0.35">
      <c r="C56723" s="2"/>
    </row>
    <row r="56724" spans="3:3" x14ac:dyDescent="0.35">
      <c r="C56724" s="2"/>
    </row>
    <row r="56725" spans="3:3" x14ac:dyDescent="0.35">
      <c r="C56725" s="2"/>
    </row>
    <row r="56726" spans="3:3" x14ac:dyDescent="0.35">
      <c r="C56726" s="2"/>
    </row>
    <row r="56727" spans="3:3" x14ac:dyDescent="0.35">
      <c r="C56727" s="2"/>
    </row>
    <row r="56728" spans="3:3" x14ac:dyDescent="0.35">
      <c r="C56728" s="2"/>
    </row>
    <row r="56729" spans="3:3" x14ac:dyDescent="0.35">
      <c r="C56729" s="2"/>
    </row>
    <row r="56730" spans="3:3" x14ac:dyDescent="0.35">
      <c r="C56730" s="2"/>
    </row>
    <row r="56731" spans="3:3" x14ac:dyDescent="0.35">
      <c r="C56731" s="2"/>
    </row>
    <row r="56732" spans="3:3" x14ac:dyDescent="0.35">
      <c r="C56732" s="2"/>
    </row>
    <row r="56733" spans="3:3" x14ac:dyDescent="0.35">
      <c r="C56733" s="2"/>
    </row>
    <row r="56734" spans="3:3" x14ac:dyDescent="0.35">
      <c r="C56734" s="2"/>
    </row>
    <row r="56735" spans="3:3" x14ac:dyDescent="0.35">
      <c r="C56735" s="2"/>
    </row>
    <row r="56736" spans="3:3" x14ac:dyDescent="0.35">
      <c r="C56736" s="2"/>
    </row>
    <row r="56737" spans="3:3" x14ac:dyDescent="0.35">
      <c r="C56737" s="2"/>
    </row>
    <row r="56738" spans="3:3" x14ac:dyDescent="0.35">
      <c r="C56738" s="2"/>
    </row>
    <row r="56739" spans="3:3" x14ac:dyDescent="0.35">
      <c r="C56739" s="2"/>
    </row>
    <row r="56740" spans="3:3" x14ac:dyDescent="0.35">
      <c r="C56740" s="2"/>
    </row>
    <row r="56741" spans="3:3" x14ac:dyDescent="0.35">
      <c r="C56741" s="2"/>
    </row>
    <row r="56742" spans="3:3" x14ac:dyDescent="0.35">
      <c r="C56742" s="2"/>
    </row>
    <row r="56743" spans="3:3" x14ac:dyDescent="0.35">
      <c r="C56743" s="2"/>
    </row>
    <row r="56744" spans="3:3" x14ac:dyDescent="0.35">
      <c r="C56744" s="2"/>
    </row>
    <row r="56745" spans="3:3" x14ac:dyDescent="0.35">
      <c r="C56745" s="2"/>
    </row>
    <row r="56746" spans="3:3" x14ac:dyDescent="0.35">
      <c r="C56746" s="2"/>
    </row>
    <row r="56747" spans="3:3" x14ac:dyDescent="0.35">
      <c r="C56747" s="2"/>
    </row>
    <row r="56748" spans="3:3" x14ac:dyDescent="0.35">
      <c r="C56748" s="2"/>
    </row>
    <row r="56749" spans="3:3" x14ac:dyDescent="0.35">
      <c r="C56749" s="2"/>
    </row>
    <row r="56750" spans="3:3" x14ac:dyDescent="0.35">
      <c r="C56750" s="2"/>
    </row>
    <row r="56751" spans="3:3" x14ac:dyDescent="0.35">
      <c r="C56751" s="2"/>
    </row>
    <row r="56752" spans="3:3" x14ac:dyDescent="0.35">
      <c r="C56752" s="2"/>
    </row>
    <row r="56753" spans="3:3" x14ac:dyDescent="0.35">
      <c r="C56753" s="2"/>
    </row>
    <row r="56754" spans="3:3" x14ac:dyDescent="0.35">
      <c r="C56754" s="2"/>
    </row>
    <row r="56755" spans="3:3" x14ac:dyDescent="0.35">
      <c r="C56755" s="2"/>
    </row>
    <row r="56756" spans="3:3" x14ac:dyDescent="0.35">
      <c r="C56756" s="2"/>
    </row>
    <row r="56757" spans="3:3" x14ac:dyDescent="0.35">
      <c r="C56757" s="2"/>
    </row>
    <row r="56758" spans="3:3" x14ac:dyDescent="0.35">
      <c r="C56758" s="2"/>
    </row>
    <row r="56759" spans="3:3" x14ac:dyDescent="0.35">
      <c r="C56759" s="2"/>
    </row>
    <row r="56760" spans="3:3" x14ac:dyDescent="0.35">
      <c r="C56760" s="2"/>
    </row>
    <row r="56761" spans="3:3" x14ac:dyDescent="0.35">
      <c r="C56761" s="2"/>
    </row>
    <row r="56762" spans="3:3" x14ac:dyDescent="0.35">
      <c r="C56762" s="2"/>
    </row>
    <row r="56763" spans="3:3" x14ac:dyDescent="0.35">
      <c r="C56763" s="2"/>
    </row>
    <row r="56764" spans="3:3" x14ac:dyDescent="0.35">
      <c r="C56764" s="2"/>
    </row>
    <row r="56765" spans="3:3" x14ac:dyDescent="0.35">
      <c r="C56765" s="2"/>
    </row>
    <row r="56766" spans="3:3" x14ac:dyDescent="0.35">
      <c r="C56766" s="2"/>
    </row>
    <row r="56767" spans="3:3" x14ac:dyDescent="0.35">
      <c r="C56767" s="2"/>
    </row>
    <row r="56768" spans="3:3" x14ac:dyDescent="0.35">
      <c r="C56768" s="2"/>
    </row>
    <row r="56769" spans="3:3" x14ac:dyDescent="0.35">
      <c r="C56769" s="2"/>
    </row>
    <row r="56770" spans="3:3" x14ac:dyDescent="0.35">
      <c r="C56770" s="2"/>
    </row>
    <row r="56771" spans="3:3" x14ac:dyDescent="0.35">
      <c r="C56771" s="2"/>
    </row>
    <row r="56772" spans="3:3" x14ac:dyDescent="0.35">
      <c r="C56772" s="2"/>
    </row>
    <row r="56773" spans="3:3" x14ac:dyDescent="0.35">
      <c r="C56773" s="2"/>
    </row>
    <row r="56774" spans="3:3" x14ac:dyDescent="0.35">
      <c r="C56774" s="2"/>
    </row>
    <row r="56775" spans="3:3" x14ac:dyDescent="0.35">
      <c r="C56775" s="2"/>
    </row>
    <row r="56776" spans="3:3" x14ac:dyDescent="0.35">
      <c r="C56776" s="2"/>
    </row>
    <row r="56777" spans="3:3" x14ac:dyDescent="0.35">
      <c r="C56777" s="2"/>
    </row>
    <row r="56778" spans="3:3" x14ac:dyDescent="0.35">
      <c r="C56778" s="2"/>
    </row>
    <row r="56779" spans="3:3" x14ac:dyDescent="0.35">
      <c r="C56779" s="2"/>
    </row>
    <row r="56780" spans="3:3" x14ac:dyDescent="0.35">
      <c r="C56780" s="2"/>
    </row>
    <row r="56781" spans="3:3" x14ac:dyDescent="0.35">
      <c r="C56781" s="2"/>
    </row>
    <row r="56782" spans="3:3" x14ac:dyDescent="0.35">
      <c r="C56782" s="2"/>
    </row>
    <row r="56783" spans="3:3" x14ac:dyDescent="0.35">
      <c r="C56783" s="2"/>
    </row>
    <row r="56784" spans="3:3" x14ac:dyDescent="0.35">
      <c r="C56784" s="2"/>
    </row>
    <row r="56785" spans="3:3" x14ac:dyDescent="0.35">
      <c r="C56785" s="2"/>
    </row>
    <row r="56786" spans="3:3" x14ac:dyDescent="0.35">
      <c r="C56786" s="2"/>
    </row>
    <row r="56787" spans="3:3" x14ac:dyDescent="0.35">
      <c r="C56787" s="2"/>
    </row>
    <row r="56788" spans="3:3" x14ac:dyDescent="0.35">
      <c r="C56788" s="2"/>
    </row>
    <row r="56789" spans="3:3" x14ac:dyDescent="0.35">
      <c r="C56789" s="2"/>
    </row>
    <row r="56790" spans="3:3" x14ac:dyDescent="0.35">
      <c r="C56790" s="2"/>
    </row>
    <row r="56791" spans="3:3" x14ac:dyDescent="0.35">
      <c r="C56791" s="2"/>
    </row>
    <row r="56792" spans="3:3" x14ac:dyDescent="0.35">
      <c r="C56792" s="2"/>
    </row>
    <row r="56793" spans="3:3" x14ac:dyDescent="0.35">
      <c r="C56793" s="2"/>
    </row>
    <row r="56794" spans="3:3" x14ac:dyDescent="0.35">
      <c r="C56794" s="2"/>
    </row>
    <row r="56795" spans="3:3" x14ac:dyDescent="0.35">
      <c r="C56795" s="2"/>
    </row>
    <row r="56796" spans="3:3" x14ac:dyDescent="0.35">
      <c r="C56796" s="2"/>
    </row>
    <row r="56797" spans="3:3" x14ac:dyDescent="0.35">
      <c r="C56797" s="2"/>
    </row>
    <row r="56798" spans="3:3" x14ac:dyDescent="0.35">
      <c r="C56798" s="2"/>
    </row>
    <row r="56799" spans="3:3" x14ac:dyDescent="0.35">
      <c r="C56799" s="2"/>
    </row>
    <row r="56800" spans="3:3" x14ac:dyDescent="0.35">
      <c r="C56800" s="2"/>
    </row>
    <row r="56801" spans="3:3" x14ac:dyDescent="0.35">
      <c r="C56801" s="2"/>
    </row>
    <row r="56802" spans="3:3" x14ac:dyDescent="0.35">
      <c r="C56802" s="2"/>
    </row>
    <row r="56803" spans="3:3" x14ac:dyDescent="0.35">
      <c r="C56803" s="2"/>
    </row>
    <row r="56804" spans="3:3" x14ac:dyDescent="0.35">
      <c r="C56804" s="2"/>
    </row>
    <row r="56805" spans="3:3" x14ac:dyDescent="0.35">
      <c r="C56805" s="2"/>
    </row>
    <row r="56806" spans="3:3" x14ac:dyDescent="0.35">
      <c r="C56806" s="2"/>
    </row>
    <row r="56807" spans="3:3" x14ac:dyDescent="0.35">
      <c r="C56807" s="2"/>
    </row>
    <row r="56808" spans="3:3" x14ac:dyDescent="0.35">
      <c r="C56808" s="2"/>
    </row>
    <row r="56809" spans="3:3" x14ac:dyDescent="0.35">
      <c r="C56809" s="2"/>
    </row>
    <row r="56810" spans="3:3" x14ac:dyDescent="0.35">
      <c r="C56810" s="2"/>
    </row>
    <row r="56811" spans="3:3" x14ac:dyDescent="0.35">
      <c r="C56811" s="2"/>
    </row>
    <row r="56812" spans="3:3" x14ac:dyDescent="0.35">
      <c r="C56812" s="2"/>
    </row>
    <row r="56813" spans="3:3" x14ac:dyDescent="0.35">
      <c r="C56813" s="2"/>
    </row>
    <row r="56814" spans="3:3" x14ac:dyDescent="0.35">
      <c r="C56814" s="2"/>
    </row>
    <row r="56815" spans="3:3" x14ac:dyDescent="0.35">
      <c r="C56815" s="2"/>
    </row>
    <row r="56816" spans="3:3" x14ac:dyDescent="0.35">
      <c r="C56816" s="2"/>
    </row>
    <row r="56817" spans="3:3" x14ac:dyDescent="0.35">
      <c r="C56817" s="2"/>
    </row>
    <row r="56818" spans="3:3" x14ac:dyDescent="0.35">
      <c r="C56818" s="2"/>
    </row>
    <row r="56819" spans="3:3" x14ac:dyDescent="0.35">
      <c r="C56819" s="2"/>
    </row>
    <row r="56820" spans="3:3" x14ac:dyDescent="0.35">
      <c r="C56820" s="2"/>
    </row>
    <row r="56821" spans="3:3" x14ac:dyDescent="0.35">
      <c r="C56821" s="2"/>
    </row>
    <row r="56822" spans="3:3" x14ac:dyDescent="0.35">
      <c r="C56822" s="2"/>
    </row>
    <row r="56823" spans="3:3" x14ac:dyDescent="0.35">
      <c r="C56823" s="2"/>
    </row>
    <row r="56824" spans="3:3" x14ac:dyDescent="0.35">
      <c r="C56824" s="2"/>
    </row>
    <row r="56825" spans="3:3" x14ac:dyDescent="0.35">
      <c r="C56825" s="2"/>
    </row>
    <row r="56826" spans="3:3" x14ac:dyDescent="0.35">
      <c r="C56826" s="2"/>
    </row>
    <row r="56827" spans="3:3" x14ac:dyDescent="0.35">
      <c r="C56827" s="2"/>
    </row>
    <row r="56828" spans="3:3" x14ac:dyDescent="0.35">
      <c r="C56828" s="2"/>
    </row>
    <row r="56829" spans="3:3" x14ac:dyDescent="0.35">
      <c r="C56829" s="2"/>
    </row>
    <row r="56830" spans="3:3" x14ac:dyDescent="0.35">
      <c r="C56830" s="2"/>
    </row>
    <row r="56831" spans="3:3" x14ac:dyDescent="0.35">
      <c r="C56831" s="2"/>
    </row>
    <row r="56832" spans="3:3" x14ac:dyDescent="0.35">
      <c r="C56832" s="2"/>
    </row>
    <row r="56833" spans="3:3" x14ac:dyDescent="0.35">
      <c r="C56833" s="2"/>
    </row>
    <row r="56834" spans="3:3" x14ac:dyDescent="0.35">
      <c r="C56834" s="2"/>
    </row>
    <row r="56835" spans="3:3" x14ac:dyDescent="0.35">
      <c r="C56835" s="2"/>
    </row>
    <row r="56836" spans="3:3" x14ac:dyDescent="0.35">
      <c r="C56836" s="2"/>
    </row>
    <row r="56837" spans="3:3" x14ac:dyDescent="0.35">
      <c r="C56837" s="2"/>
    </row>
    <row r="56838" spans="3:3" x14ac:dyDescent="0.35">
      <c r="C56838" s="2"/>
    </row>
    <row r="56839" spans="3:3" x14ac:dyDescent="0.35">
      <c r="C56839" s="2"/>
    </row>
    <row r="56840" spans="3:3" x14ac:dyDescent="0.35">
      <c r="C56840" s="2"/>
    </row>
    <row r="56841" spans="3:3" x14ac:dyDescent="0.35">
      <c r="C56841" s="2"/>
    </row>
    <row r="56842" spans="3:3" x14ac:dyDescent="0.35">
      <c r="C56842" s="2"/>
    </row>
    <row r="56843" spans="3:3" x14ac:dyDescent="0.35">
      <c r="C56843" s="2"/>
    </row>
    <row r="56844" spans="3:3" x14ac:dyDescent="0.35">
      <c r="C56844" s="2"/>
    </row>
    <row r="56845" spans="3:3" x14ac:dyDescent="0.35">
      <c r="C56845" s="2"/>
    </row>
    <row r="56846" spans="3:3" x14ac:dyDescent="0.35">
      <c r="C56846" s="2"/>
    </row>
    <row r="56847" spans="3:3" x14ac:dyDescent="0.35">
      <c r="C56847" s="2"/>
    </row>
    <row r="56848" spans="3:3" x14ac:dyDescent="0.35">
      <c r="C56848" s="2"/>
    </row>
    <row r="56849" spans="3:3" x14ac:dyDescent="0.35">
      <c r="C56849" s="2"/>
    </row>
    <row r="56850" spans="3:3" x14ac:dyDescent="0.35">
      <c r="C56850" s="2"/>
    </row>
    <row r="56851" spans="3:3" x14ac:dyDescent="0.35">
      <c r="C56851" s="2"/>
    </row>
    <row r="56852" spans="3:3" x14ac:dyDescent="0.35">
      <c r="C56852" s="2"/>
    </row>
    <row r="56853" spans="3:3" x14ac:dyDescent="0.35">
      <c r="C56853" s="2"/>
    </row>
    <row r="56854" spans="3:3" x14ac:dyDescent="0.35">
      <c r="C56854" s="2"/>
    </row>
    <row r="56855" spans="3:3" x14ac:dyDescent="0.35">
      <c r="C56855" s="2"/>
    </row>
    <row r="56856" spans="3:3" x14ac:dyDescent="0.35">
      <c r="C56856" s="2"/>
    </row>
    <row r="56857" spans="3:3" x14ac:dyDescent="0.35">
      <c r="C56857" s="2"/>
    </row>
    <row r="56858" spans="3:3" x14ac:dyDescent="0.35">
      <c r="C56858" s="2"/>
    </row>
    <row r="56859" spans="3:3" x14ac:dyDescent="0.35">
      <c r="C56859" s="2"/>
    </row>
    <row r="56860" spans="3:3" x14ac:dyDescent="0.35">
      <c r="C56860" s="2"/>
    </row>
    <row r="56861" spans="3:3" x14ac:dyDescent="0.35">
      <c r="C56861" s="2"/>
    </row>
    <row r="56862" spans="3:3" x14ac:dyDescent="0.35">
      <c r="C56862" s="2"/>
    </row>
    <row r="56863" spans="3:3" x14ac:dyDescent="0.35">
      <c r="C56863" s="2"/>
    </row>
    <row r="56864" spans="3:3" x14ac:dyDescent="0.35">
      <c r="C56864" s="2"/>
    </row>
    <row r="56865" spans="3:3" x14ac:dyDescent="0.35">
      <c r="C56865" s="2"/>
    </row>
    <row r="56866" spans="3:3" x14ac:dyDescent="0.35">
      <c r="C56866" s="2"/>
    </row>
    <row r="56867" spans="3:3" x14ac:dyDescent="0.35">
      <c r="C56867" s="2"/>
    </row>
    <row r="56868" spans="3:3" x14ac:dyDescent="0.35">
      <c r="C56868" s="2"/>
    </row>
    <row r="56869" spans="3:3" x14ac:dyDescent="0.35">
      <c r="C56869" s="2"/>
    </row>
    <row r="56870" spans="3:3" x14ac:dyDescent="0.35">
      <c r="C56870" s="2"/>
    </row>
    <row r="56871" spans="3:3" x14ac:dyDescent="0.35">
      <c r="C56871" s="2"/>
    </row>
    <row r="56872" spans="3:3" x14ac:dyDescent="0.35">
      <c r="C56872" s="2"/>
    </row>
    <row r="56873" spans="3:3" x14ac:dyDescent="0.35">
      <c r="C56873" s="2"/>
    </row>
    <row r="56874" spans="3:3" x14ac:dyDescent="0.35">
      <c r="C56874" s="2"/>
    </row>
    <row r="56875" spans="3:3" x14ac:dyDescent="0.35">
      <c r="C56875" s="2"/>
    </row>
    <row r="56876" spans="3:3" x14ac:dyDescent="0.35">
      <c r="C56876" s="2"/>
    </row>
    <row r="56877" spans="3:3" x14ac:dyDescent="0.35">
      <c r="C56877" s="2"/>
    </row>
    <row r="56878" spans="3:3" x14ac:dyDescent="0.35">
      <c r="C56878" s="2"/>
    </row>
    <row r="56879" spans="3:3" x14ac:dyDescent="0.35">
      <c r="C56879" s="2"/>
    </row>
    <row r="56880" spans="3:3" x14ac:dyDescent="0.35">
      <c r="C56880" s="2"/>
    </row>
    <row r="56881" spans="3:3" x14ac:dyDescent="0.35">
      <c r="C56881" s="2"/>
    </row>
    <row r="56882" spans="3:3" x14ac:dyDescent="0.35">
      <c r="C56882" s="2"/>
    </row>
    <row r="56883" spans="3:3" x14ac:dyDescent="0.35">
      <c r="C56883" s="2"/>
    </row>
    <row r="56884" spans="3:3" x14ac:dyDescent="0.35">
      <c r="C56884" s="2"/>
    </row>
    <row r="56885" spans="3:3" x14ac:dyDescent="0.35">
      <c r="C56885" s="2"/>
    </row>
    <row r="56886" spans="3:3" x14ac:dyDescent="0.35">
      <c r="C56886" s="2"/>
    </row>
    <row r="56887" spans="3:3" x14ac:dyDescent="0.35">
      <c r="C56887" s="2"/>
    </row>
    <row r="56888" spans="3:3" x14ac:dyDescent="0.35">
      <c r="C56888" s="2"/>
    </row>
    <row r="56889" spans="3:3" x14ac:dyDescent="0.35">
      <c r="C56889" s="2"/>
    </row>
    <row r="56890" spans="3:3" x14ac:dyDescent="0.35">
      <c r="C56890" s="2"/>
    </row>
    <row r="56891" spans="3:3" x14ac:dyDescent="0.35">
      <c r="C56891" s="2"/>
    </row>
    <row r="56892" spans="3:3" x14ac:dyDescent="0.35">
      <c r="C56892" s="2"/>
    </row>
    <row r="56893" spans="3:3" x14ac:dyDescent="0.35">
      <c r="C56893" s="2"/>
    </row>
    <row r="56894" spans="3:3" x14ac:dyDescent="0.35">
      <c r="C56894" s="2"/>
    </row>
    <row r="56895" spans="3:3" x14ac:dyDescent="0.35">
      <c r="C56895" s="2"/>
    </row>
    <row r="56896" spans="3:3" x14ac:dyDescent="0.35">
      <c r="C56896" s="2"/>
    </row>
    <row r="56897" spans="3:3" x14ac:dyDescent="0.35">
      <c r="C56897" s="2"/>
    </row>
    <row r="56898" spans="3:3" x14ac:dyDescent="0.35">
      <c r="C56898" s="2"/>
    </row>
    <row r="56899" spans="3:3" x14ac:dyDescent="0.35">
      <c r="C56899" s="2"/>
    </row>
    <row r="56900" spans="3:3" x14ac:dyDescent="0.35">
      <c r="C56900" s="2"/>
    </row>
    <row r="56901" spans="3:3" x14ac:dyDescent="0.35">
      <c r="C56901" s="2"/>
    </row>
    <row r="56902" spans="3:3" x14ac:dyDescent="0.35">
      <c r="C56902" s="2"/>
    </row>
    <row r="56903" spans="3:3" x14ac:dyDescent="0.35">
      <c r="C56903" s="2"/>
    </row>
    <row r="56904" spans="3:3" x14ac:dyDescent="0.35">
      <c r="C56904" s="2"/>
    </row>
    <row r="56905" spans="3:3" x14ac:dyDescent="0.35">
      <c r="C56905" s="2"/>
    </row>
    <row r="56906" spans="3:3" x14ac:dyDescent="0.35">
      <c r="C56906" s="2"/>
    </row>
    <row r="56907" spans="3:3" x14ac:dyDescent="0.35">
      <c r="C56907" s="2"/>
    </row>
    <row r="56908" spans="3:3" x14ac:dyDescent="0.35">
      <c r="C56908" s="2"/>
    </row>
    <row r="56909" spans="3:3" x14ac:dyDescent="0.35">
      <c r="C56909" s="2"/>
    </row>
    <row r="56910" spans="3:3" x14ac:dyDescent="0.35">
      <c r="C56910" s="2"/>
    </row>
    <row r="56911" spans="3:3" x14ac:dyDescent="0.35">
      <c r="C56911" s="2"/>
    </row>
    <row r="56912" spans="3:3" x14ac:dyDescent="0.35">
      <c r="C56912" s="2"/>
    </row>
    <row r="56913" spans="3:3" x14ac:dyDescent="0.35">
      <c r="C56913" s="2"/>
    </row>
    <row r="56914" spans="3:3" x14ac:dyDescent="0.35">
      <c r="C56914" s="2"/>
    </row>
    <row r="56915" spans="3:3" x14ac:dyDescent="0.35">
      <c r="C56915" s="2"/>
    </row>
    <row r="56916" spans="3:3" x14ac:dyDescent="0.35">
      <c r="C56916" s="2"/>
    </row>
    <row r="56917" spans="3:3" x14ac:dyDescent="0.35">
      <c r="C56917" s="2"/>
    </row>
    <row r="56918" spans="3:3" x14ac:dyDescent="0.35">
      <c r="C56918" s="2"/>
    </row>
    <row r="56919" spans="3:3" x14ac:dyDescent="0.35">
      <c r="C56919" s="2"/>
    </row>
    <row r="56920" spans="3:3" x14ac:dyDescent="0.35">
      <c r="C56920" s="2"/>
    </row>
    <row r="56921" spans="3:3" x14ac:dyDescent="0.35">
      <c r="C56921" s="2"/>
    </row>
    <row r="56922" spans="3:3" x14ac:dyDescent="0.35">
      <c r="C56922" s="2"/>
    </row>
    <row r="56923" spans="3:3" x14ac:dyDescent="0.35">
      <c r="C56923" s="2"/>
    </row>
    <row r="56924" spans="3:3" x14ac:dyDescent="0.35">
      <c r="C56924" s="2"/>
    </row>
    <row r="56925" spans="3:3" x14ac:dyDescent="0.35">
      <c r="C56925" s="2"/>
    </row>
    <row r="56926" spans="3:3" x14ac:dyDescent="0.35">
      <c r="C56926" s="2"/>
    </row>
    <row r="56927" spans="3:3" x14ac:dyDescent="0.35">
      <c r="C56927" s="2"/>
    </row>
    <row r="56928" spans="3:3" x14ac:dyDescent="0.35">
      <c r="C56928" s="2"/>
    </row>
    <row r="56929" spans="3:3" x14ac:dyDescent="0.35">
      <c r="C56929" s="2"/>
    </row>
    <row r="56930" spans="3:3" x14ac:dyDescent="0.35">
      <c r="C56930" s="2"/>
    </row>
    <row r="56931" spans="3:3" x14ac:dyDescent="0.35">
      <c r="C56931" s="2"/>
    </row>
    <row r="56932" spans="3:3" x14ac:dyDescent="0.35">
      <c r="C56932" s="2"/>
    </row>
    <row r="56933" spans="3:3" x14ac:dyDescent="0.35">
      <c r="C56933" s="2"/>
    </row>
    <row r="56934" spans="3:3" x14ac:dyDescent="0.35">
      <c r="C56934" s="2"/>
    </row>
    <row r="56935" spans="3:3" x14ac:dyDescent="0.35">
      <c r="C56935" s="2"/>
    </row>
    <row r="56936" spans="3:3" x14ac:dyDescent="0.35">
      <c r="C56936" s="2"/>
    </row>
    <row r="56937" spans="3:3" x14ac:dyDescent="0.35">
      <c r="C56937" s="2"/>
    </row>
    <row r="56938" spans="3:3" x14ac:dyDescent="0.35">
      <c r="C56938" s="2"/>
    </row>
    <row r="56939" spans="3:3" x14ac:dyDescent="0.35">
      <c r="C56939" s="2"/>
    </row>
    <row r="56940" spans="3:3" x14ac:dyDescent="0.35">
      <c r="C56940" s="2"/>
    </row>
    <row r="56941" spans="3:3" x14ac:dyDescent="0.35">
      <c r="C56941" s="2"/>
    </row>
    <row r="56942" spans="3:3" x14ac:dyDescent="0.35">
      <c r="C56942" s="2"/>
    </row>
    <row r="56943" spans="3:3" x14ac:dyDescent="0.35">
      <c r="C56943" s="2"/>
    </row>
    <row r="56944" spans="3:3" x14ac:dyDescent="0.35">
      <c r="C56944" s="2"/>
    </row>
    <row r="56945" spans="3:3" x14ac:dyDescent="0.35">
      <c r="C56945" s="2"/>
    </row>
    <row r="56946" spans="3:3" x14ac:dyDescent="0.35">
      <c r="C56946" s="2"/>
    </row>
    <row r="56947" spans="3:3" x14ac:dyDescent="0.35">
      <c r="C56947" s="2"/>
    </row>
    <row r="56948" spans="3:3" x14ac:dyDescent="0.35">
      <c r="C56948" s="2"/>
    </row>
    <row r="56949" spans="3:3" x14ac:dyDescent="0.35">
      <c r="C56949" s="2"/>
    </row>
    <row r="56950" spans="3:3" x14ac:dyDescent="0.35">
      <c r="C56950" s="2"/>
    </row>
    <row r="56951" spans="3:3" x14ac:dyDescent="0.35">
      <c r="C56951" s="2"/>
    </row>
    <row r="56952" spans="3:3" x14ac:dyDescent="0.35">
      <c r="C56952" s="2"/>
    </row>
    <row r="56953" spans="3:3" x14ac:dyDescent="0.35">
      <c r="C56953" s="2"/>
    </row>
    <row r="56954" spans="3:3" x14ac:dyDescent="0.35">
      <c r="C56954" s="2"/>
    </row>
    <row r="56955" spans="3:3" x14ac:dyDescent="0.35">
      <c r="C56955" s="2"/>
    </row>
    <row r="56956" spans="3:3" x14ac:dyDescent="0.35">
      <c r="C56956" s="2"/>
    </row>
    <row r="56957" spans="3:3" x14ac:dyDescent="0.35">
      <c r="C56957" s="2"/>
    </row>
    <row r="56958" spans="3:3" x14ac:dyDescent="0.35">
      <c r="C56958" s="2"/>
    </row>
    <row r="56959" spans="3:3" x14ac:dyDescent="0.35">
      <c r="C56959" s="2"/>
    </row>
    <row r="56960" spans="3:3" x14ac:dyDescent="0.35">
      <c r="C56960" s="2"/>
    </row>
    <row r="56961" spans="3:3" x14ac:dyDescent="0.35">
      <c r="C56961" s="2"/>
    </row>
    <row r="56962" spans="3:3" x14ac:dyDescent="0.35">
      <c r="C56962" s="2"/>
    </row>
    <row r="56963" spans="3:3" x14ac:dyDescent="0.35">
      <c r="C56963" s="2"/>
    </row>
    <row r="56964" spans="3:3" x14ac:dyDescent="0.35">
      <c r="C56964" s="2"/>
    </row>
    <row r="56965" spans="3:3" x14ac:dyDescent="0.35">
      <c r="C56965" s="2"/>
    </row>
    <row r="56966" spans="3:3" x14ac:dyDescent="0.35">
      <c r="C56966" s="2"/>
    </row>
    <row r="56967" spans="3:3" x14ac:dyDescent="0.35">
      <c r="C56967" s="2"/>
    </row>
    <row r="56968" spans="3:3" x14ac:dyDescent="0.35">
      <c r="C56968" s="2"/>
    </row>
    <row r="56969" spans="3:3" x14ac:dyDescent="0.35">
      <c r="C56969" s="2"/>
    </row>
    <row r="56970" spans="3:3" x14ac:dyDescent="0.35">
      <c r="C56970" s="2"/>
    </row>
    <row r="56971" spans="3:3" x14ac:dyDescent="0.35">
      <c r="C56971" s="2"/>
    </row>
    <row r="56972" spans="3:3" x14ac:dyDescent="0.35">
      <c r="C56972" s="2"/>
    </row>
    <row r="56973" spans="3:3" x14ac:dyDescent="0.35">
      <c r="C56973" s="2"/>
    </row>
    <row r="56974" spans="3:3" x14ac:dyDescent="0.35">
      <c r="C56974" s="2"/>
    </row>
    <row r="56975" spans="3:3" x14ac:dyDescent="0.35">
      <c r="C56975" s="2"/>
    </row>
    <row r="56976" spans="3:3" x14ac:dyDescent="0.35">
      <c r="C56976" s="2"/>
    </row>
    <row r="56977" spans="3:3" x14ac:dyDescent="0.35">
      <c r="C56977" s="2"/>
    </row>
    <row r="56978" spans="3:3" x14ac:dyDescent="0.35">
      <c r="C56978" s="2"/>
    </row>
    <row r="56979" spans="3:3" x14ac:dyDescent="0.35">
      <c r="C56979" s="2"/>
    </row>
    <row r="56980" spans="3:3" x14ac:dyDescent="0.35">
      <c r="C56980" s="2"/>
    </row>
    <row r="56981" spans="3:3" x14ac:dyDescent="0.35">
      <c r="C56981" s="2"/>
    </row>
    <row r="56982" spans="3:3" x14ac:dyDescent="0.35">
      <c r="C56982" s="2"/>
    </row>
    <row r="56983" spans="3:3" x14ac:dyDescent="0.35">
      <c r="C56983" s="2"/>
    </row>
    <row r="56984" spans="3:3" x14ac:dyDescent="0.35">
      <c r="C56984" s="2"/>
    </row>
    <row r="56985" spans="3:3" x14ac:dyDescent="0.35">
      <c r="C56985" s="2"/>
    </row>
    <row r="56986" spans="3:3" x14ac:dyDescent="0.35">
      <c r="C56986" s="2"/>
    </row>
    <row r="56987" spans="3:3" x14ac:dyDescent="0.35">
      <c r="C56987" s="2"/>
    </row>
    <row r="56988" spans="3:3" x14ac:dyDescent="0.35">
      <c r="C56988" s="2"/>
    </row>
    <row r="56989" spans="3:3" x14ac:dyDescent="0.35">
      <c r="C56989" s="2"/>
    </row>
    <row r="56990" spans="3:3" x14ac:dyDescent="0.35">
      <c r="C56990" s="2"/>
    </row>
    <row r="56991" spans="3:3" x14ac:dyDescent="0.35">
      <c r="C56991" s="2"/>
    </row>
    <row r="56992" spans="3:3" x14ac:dyDescent="0.35">
      <c r="C56992" s="2"/>
    </row>
    <row r="56993" spans="3:3" x14ac:dyDescent="0.35">
      <c r="C56993" s="2"/>
    </row>
    <row r="56994" spans="3:3" x14ac:dyDescent="0.35">
      <c r="C56994" s="2"/>
    </row>
    <row r="56995" spans="3:3" x14ac:dyDescent="0.35">
      <c r="C56995" s="2"/>
    </row>
    <row r="56996" spans="3:3" x14ac:dyDescent="0.35">
      <c r="C56996" s="2"/>
    </row>
    <row r="56997" spans="3:3" x14ac:dyDescent="0.35">
      <c r="C56997" s="2"/>
    </row>
    <row r="56998" spans="3:3" x14ac:dyDescent="0.35">
      <c r="C56998" s="2"/>
    </row>
    <row r="56999" spans="3:3" x14ac:dyDescent="0.35">
      <c r="C56999" s="2"/>
    </row>
    <row r="57000" spans="3:3" x14ac:dyDescent="0.35">
      <c r="C57000" s="2"/>
    </row>
    <row r="57001" spans="3:3" x14ac:dyDescent="0.35">
      <c r="C57001" s="2"/>
    </row>
    <row r="57002" spans="3:3" x14ac:dyDescent="0.35">
      <c r="C57002" s="2"/>
    </row>
    <row r="57003" spans="3:3" x14ac:dyDescent="0.35">
      <c r="C57003" s="2"/>
    </row>
    <row r="57004" spans="3:3" x14ac:dyDescent="0.35">
      <c r="C57004" s="2"/>
    </row>
    <row r="57005" spans="3:3" x14ac:dyDescent="0.35">
      <c r="C57005" s="2"/>
    </row>
    <row r="57006" spans="3:3" x14ac:dyDescent="0.35">
      <c r="C57006" s="2"/>
    </row>
    <row r="57007" spans="3:3" x14ac:dyDescent="0.35">
      <c r="C57007" s="2"/>
    </row>
    <row r="57008" spans="3:3" x14ac:dyDescent="0.35">
      <c r="C57008" s="2"/>
    </row>
    <row r="57009" spans="3:3" x14ac:dyDescent="0.35">
      <c r="C57009" s="2"/>
    </row>
    <row r="57010" spans="3:3" x14ac:dyDescent="0.35">
      <c r="C57010" s="2"/>
    </row>
    <row r="57011" spans="3:3" x14ac:dyDescent="0.35">
      <c r="C57011" s="2"/>
    </row>
    <row r="57012" spans="3:3" x14ac:dyDescent="0.35">
      <c r="C57012" s="2"/>
    </row>
    <row r="57013" spans="3:3" x14ac:dyDescent="0.35">
      <c r="C57013" s="2"/>
    </row>
    <row r="57014" spans="3:3" x14ac:dyDescent="0.35">
      <c r="C57014" s="2"/>
    </row>
    <row r="57015" spans="3:3" x14ac:dyDescent="0.35">
      <c r="C57015" s="2"/>
    </row>
    <row r="57016" spans="3:3" x14ac:dyDescent="0.35">
      <c r="C57016" s="2"/>
    </row>
    <row r="57017" spans="3:3" x14ac:dyDescent="0.35">
      <c r="C57017" s="2"/>
    </row>
    <row r="57018" spans="3:3" x14ac:dyDescent="0.35">
      <c r="C57018" s="2"/>
    </row>
    <row r="57019" spans="3:3" x14ac:dyDescent="0.35">
      <c r="C57019" s="2"/>
    </row>
    <row r="57020" spans="3:3" x14ac:dyDescent="0.35">
      <c r="C57020" s="2"/>
    </row>
    <row r="57021" spans="3:3" x14ac:dyDescent="0.35">
      <c r="C57021" s="2"/>
    </row>
    <row r="57022" spans="3:3" x14ac:dyDescent="0.35">
      <c r="C57022" s="2"/>
    </row>
    <row r="57023" spans="3:3" x14ac:dyDescent="0.35">
      <c r="C57023" s="2"/>
    </row>
    <row r="57024" spans="3:3" x14ac:dyDescent="0.35">
      <c r="C57024" s="2"/>
    </row>
    <row r="57025" spans="3:3" x14ac:dyDescent="0.35">
      <c r="C57025" s="2"/>
    </row>
    <row r="57026" spans="3:3" x14ac:dyDescent="0.35">
      <c r="C57026" s="2"/>
    </row>
    <row r="57027" spans="3:3" x14ac:dyDescent="0.35">
      <c r="C57027" s="2"/>
    </row>
    <row r="57028" spans="3:3" x14ac:dyDescent="0.35">
      <c r="C57028" s="2"/>
    </row>
    <row r="57029" spans="3:3" x14ac:dyDescent="0.35">
      <c r="C57029" s="2"/>
    </row>
    <row r="57030" spans="3:3" x14ac:dyDescent="0.35">
      <c r="C57030" s="2"/>
    </row>
    <row r="57031" spans="3:3" x14ac:dyDescent="0.35">
      <c r="C57031" s="2"/>
    </row>
    <row r="57032" spans="3:3" x14ac:dyDescent="0.35">
      <c r="C57032" s="2"/>
    </row>
    <row r="57033" spans="3:3" x14ac:dyDescent="0.35">
      <c r="C57033" s="2"/>
    </row>
    <row r="57034" spans="3:3" x14ac:dyDescent="0.35">
      <c r="C57034" s="2"/>
    </row>
    <row r="57035" spans="3:3" x14ac:dyDescent="0.35">
      <c r="C57035" s="2"/>
    </row>
    <row r="57036" spans="3:3" x14ac:dyDescent="0.35">
      <c r="C57036" s="2"/>
    </row>
    <row r="57037" spans="3:3" x14ac:dyDescent="0.35">
      <c r="C57037" s="2"/>
    </row>
    <row r="57038" spans="3:3" x14ac:dyDescent="0.35">
      <c r="C57038" s="2"/>
    </row>
    <row r="57039" spans="3:3" x14ac:dyDescent="0.35">
      <c r="C57039" s="2"/>
    </row>
    <row r="57040" spans="3:3" x14ac:dyDescent="0.35">
      <c r="C57040" s="2"/>
    </row>
    <row r="57041" spans="3:3" x14ac:dyDescent="0.35">
      <c r="C57041" s="2"/>
    </row>
    <row r="57042" spans="3:3" x14ac:dyDescent="0.35">
      <c r="C57042" s="2"/>
    </row>
    <row r="57043" spans="3:3" x14ac:dyDescent="0.35">
      <c r="C57043" s="2"/>
    </row>
    <row r="57044" spans="3:3" x14ac:dyDescent="0.35">
      <c r="C57044" s="2"/>
    </row>
    <row r="57045" spans="3:3" x14ac:dyDescent="0.35">
      <c r="C57045" s="2"/>
    </row>
    <row r="57046" spans="3:3" x14ac:dyDescent="0.35">
      <c r="C57046" s="2"/>
    </row>
    <row r="57047" spans="3:3" x14ac:dyDescent="0.35">
      <c r="C57047" s="2"/>
    </row>
    <row r="57048" spans="3:3" x14ac:dyDescent="0.35">
      <c r="C57048" s="2"/>
    </row>
    <row r="57049" spans="3:3" x14ac:dyDescent="0.35">
      <c r="C57049" s="2"/>
    </row>
    <row r="57050" spans="3:3" x14ac:dyDescent="0.35">
      <c r="C57050" s="2"/>
    </row>
    <row r="57051" spans="3:3" x14ac:dyDescent="0.35">
      <c r="C57051" s="2"/>
    </row>
    <row r="57052" spans="3:3" x14ac:dyDescent="0.35">
      <c r="C57052" s="2"/>
    </row>
    <row r="57053" spans="3:3" x14ac:dyDescent="0.35">
      <c r="C57053" s="2"/>
    </row>
    <row r="57054" spans="3:3" x14ac:dyDescent="0.35">
      <c r="C57054" s="2"/>
    </row>
    <row r="57055" spans="3:3" x14ac:dyDescent="0.35">
      <c r="C57055" s="2"/>
    </row>
    <row r="57056" spans="3:3" x14ac:dyDescent="0.35">
      <c r="C57056" s="2"/>
    </row>
    <row r="57057" spans="3:3" x14ac:dyDescent="0.35">
      <c r="C57057" s="2"/>
    </row>
    <row r="57058" spans="3:3" x14ac:dyDescent="0.35">
      <c r="C57058" s="2"/>
    </row>
    <row r="57059" spans="3:3" x14ac:dyDescent="0.35">
      <c r="C57059" s="2"/>
    </row>
    <row r="57060" spans="3:3" x14ac:dyDescent="0.35">
      <c r="C57060" s="2"/>
    </row>
    <row r="57061" spans="3:3" x14ac:dyDescent="0.35">
      <c r="C57061" s="2"/>
    </row>
    <row r="57062" spans="3:3" x14ac:dyDescent="0.35">
      <c r="C57062" s="2"/>
    </row>
    <row r="57063" spans="3:3" x14ac:dyDescent="0.35">
      <c r="C57063" s="2"/>
    </row>
    <row r="57064" spans="3:3" x14ac:dyDescent="0.35">
      <c r="C57064" s="2"/>
    </row>
    <row r="57065" spans="3:3" x14ac:dyDescent="0.35">
      <c r="C57065" s="2"/>
    </row>
    <row r="57066" spans="3:3" x14ac:dyDescent="0.35">
      <c r="C57066" s="2"/>
    </row>
    <row r="57067" spans="3:3" x14ac:dyDescent="0.35">
      <c r="C57067" s="2"/>
    </row>
    <row r="57068" spans="3:3" x14ac:dyDescent="0.35">
      <c r="C57068" s="2"/>
    </row>
    <row r="57069" spans="3:3" x14ac:dyDescent="0.35">
      <c r="C57069" s="2"/>
    </row>
    <row r="57070" spans="3:3" x14ac:dyDescent="0.35">
      <c r="C57070" s="2"/>
    </row>
    <row r="57071" spans="3:3" x14ac:dyDescent="0.35">
      <c r="C57071" s="2"/>
    </row>
    <row r="57072" spans="3:3" x14ac:dyDescent="0.35">
      <c r="C57072" s="2"/>
    </row>
    <row r="57073" spans="3:3" x14ac:dyDescent="0.35">
      <c r="C57073" s="2"/>
    </row>
    <row r="57074" spans="3:3" x14ac:dyDescent="0.35">
      <c r="C57074" s="2"/>
    </row>
    <row r="57075" spans="3:3" x14ac:dyDescent="0.35">
      <c r="C57075" s="2"/>
    </row>
    <row r="57076" spans="3:3" x14ac:dyDescent="0.35">
      <c r="C57076" s="2"/>
    </row>
    <row r="57077" spans="3:3" x14ac:dyDescent="0.35">
      <c r="C57077" s="2"/>
    </row>
    <row r="57078" spans="3:3" x14ac:dyDescent="0.35">
      <c r="C57078" s="2"/>
    </row>
    <row r="57079" spans="3:3" x14ac:dyDescent="0.35">
      <c r="C57079" s="2"/>
    </row>
    <row r="57080" spans="3:3" x14ac:dyDescent="0.35">
      <c r="C57080" s="2"/>
    </row>
    <row r="57081" spans="3:3" x14ac:dyDescent="0.35">
      <c r="C57081" s="2"/>
    </row>
    <row r="57082" spans="3:3" x14ac:dyDescent="0.35">
      <c r="C57082" s="2"/>
    </row>
    <row r="57083" spans="3:3" x14ac:dyDescent="0.35">
      <c r="C57083" s="2"/>
    </row>
    <row r="57084" spans="3:3" x14ac:dyDescent="0.35">
      <c r="C57084" s="2"/>
    </row>
    <row r="57085" spans="3:3" x14ac:dyDescent="0.35">
      <c r="C57085" s="2"/>
    </row>
    <row r="57086" spans="3:3" x14ac:dyDescent="0.35">
      <c r="C57086" s="2"/>
    </row>
    <row r="57087" spans="3:3" x14ac:dyDescent="0.35">
      <c r="C57087" s="2"/>
    </row>
    <row r="57088" spans="3:3" x14ac:dyDescent="0.35">
      <c r="C57088" s="2"/>
    </row>
    <row r="57089" spans="3:3" x14ac:dyDescent="0.35">
      <c r="C57089" s="2"/>
    </row>
    <row r="57090" spans="3:3" x14ac:dyDescent="0.35">
      <c r="C57090" s="2"/>
    </row>
    <row r="57091" spans="3:3" x14ac:dyDescent="0.35">
      <c r="C57091" s="2"/>
    </row>
    <row r="57092" spans="3:3" x14ac:dyDescent="0.35">
      <c r="C57092" s="2"/>
    </row>
    <row r="57093" spans="3:3" x14ac:dyDescent="0.35">
      <c r="C57093" s="2"/>
    </row>
    <row r="57094" spans="3:3" x14ac:dyDescent="0.35">
      <c r="C57094" s="2"/>
    </row>
    <row r="57095" spans="3:3" x14ac:dyDescent="0.35">
      <c r="C57095" s="2"/>
    </row>
    <row r="57096" spans="3:3" x14ac:dyDescent="0.35">
      <c r="C57096" s="2"/>
    </row>
    <row r="57097" spans="3:3" x14ac:dyDescent="0.35">
      <c r="C57097" s="2"/>
    </row>
    <row r="57098" spans="3:3" x14ac:dyDescent="0.35">
      <c r="C57098" s="2"/>
    </row>
    <row r="57099" spans="3:3" x14ac:dyDescent="0.35">
      <c r="C57099" s="2"/>
    </row>
    <row r="57100" spans="3:3" x14ac:dyDescent="0.35">
      <c r="C57100" s="2"/>
    </row>
    <row r="57101" spans="3:3" x14ac:dyDescent="0.35">
      <c r="C57101" s="2"/>
    </row>
    <row r="57102" spans="3:3" x14ac:dyDescent="0.35">
      <c r="C57102" s="2"/>
    </row>
    <row r="57103" spans="3:3" x14ac:dyDescent="0.35">
      <c r="C57103" s="2"/>
    </row>
    <row r="57104" spans="3:3" x14ac:dyDescent="0.35">
      <c r="C57104" s="2"/>
    </row>
    <row r="57105" spans="3:3" x14ac:dyDescent="0.35">
      <c r="C57105" s="2"/>
    </row>
    <row r="57106" spans="3:3" x14ac:dyDescent="0.35">
      <c r="C57106" s="2"/>
    </row>
    <row r="57107" spans="3:3" x14ac:dyDescent="0.35">
      <c r="C57107" s="2"/>
    </row>
    <row r="57108" spans="3:3" x14ac:dyDescent="0.35">
      <c r="C57108" s="2"/>
    </row>
    <row r="57109" spans="3:3" x14ac:dyDescent="0.35">
      <c r="C57109" s="2"/>
    </row>
    <row r="57110" spans="3:3" x14ac:dyDescent="0.35">
      <c r="C57110" s="2"/>
    </row>
    <row r="57111" spans="3:3" x14ac:dyDescent="0.35">
      <c r="C57111" s="2"/>
    </row>
    <row r="57112" spans="3:3" x14ac:dyDescent="0.35">
      <c r="C57112" s="2"/>
    </row>
    <row r="57113" spans="3:3" x14ac:dyDescent="0.35">
      <c r="C57113" s="2"/>
    </row>
    <row r="57114" spans="3:3" x14ac:dyDescent="0.35">
      <c r="C57114" s="2"/>
    </row>
    <row r="57115" spans="3:3" x14ac:dyDescent="0.35">
      <c r="C57115" s="2"/>
    </row>
    <row r="57116" spans="3:3" x14ac:dyDescent="0.35">
      <c r="C57116" s="2"/>
    </row>
    <row r="57117" spans="3:3" x14ac:dyDescent="0.35">
      <c r="C57117" s="2"/>
    </row>
    <row r="57118" spans="3:3" x14ac:dyDescent="0.35">
      <c r="C57118" s="2"/>
    </row>
    <row r="57119" spans="3:3" x14ac:dyDescent="0.35">
      <c r="C57119" s="2"/>
    </row>
    <row r="57120" spans="3:3" x14ac:dyDescent="0.35">
      <c r="C57120" s="2"/>
    </row>
    <row r="57121" spans="3:3" x14ac:dyDescent="0.35">
      <c r="C57121" s="2"/>
    </row>
    <row r="57122" spans="3:3" x14ac:dyDescent="0.35">
      <c r="C57122" s="2"/>
    </row>
    <row r="57123" spans="3:3" x14ac:dyDescent="0.35">
      <c r="C57123" s="2"/>
    </row>
    <row r="57124" spans="3:3" x14ac:dyDescent="0.35">
      <c r="C57124" s="2"/>
    </row>
    <row r="57125" spans="3:3" x14ac:dyDescent="0.35">
      <c r="C57125" s="2"/>
    </row>
    <row r="57126" spans="3:3" x14ac:dyDescent="0.35">
      <c r="C57126" s="2"/>
    </row>
    <row r="57127" spans="3:3" x14ac:dyDescent="0.35">
      <c r="C57127" s="2"/>
    </row>
    <row r="57128" spans="3:3" x14ac:dyDescent="0.35">
      <c r="C57128" s="2"/>
    </row>
    <row r="57129" spans="3:3" x14ac:dyDescent="0.35">
      <c r="C57129" s="2"/>
    </row>
    <row r="57130" spans="3:3" x14ac:dyDescent="0.35">
      <c r="C57130" s="2"/>
    </row>
    <row r="57131" spans="3:3" x14ac:dyDescent="0.35">
      <c r="C57131" s="2"/>
    </row>
    <row r="57132" spans="3:3" x14ac:dyDescent="0.35">
      <c r="C57132" s="2"/>
    </row>
    <row r="57133" spans="3:3" x14ac:dyDescent="0.35">
      <c r="C57133" s="2"/>
    </row>
    <row r="57134" spans="3:3" x14ac:dyDescent="0.35">
      <c r="C57134" s="2"/>
    </row>
    <row r="57135" spans="3:3" x14ac:dyDescent="0.35">
      <c r="C57135" s="2"/>
    </row>
    <row r="57136" spans="3:3" x14ac:dyDescent="0.35">
      <c r="C57136" s="2"/>
    </row>
    <row r="57137" spans="3:3" x14ac:dyDescent="0.35">
      <c r="C57137" s="2"/>
    </row>
    <row r="57138" spans="3:3" x14ac:dyDescent="0.35">
      <c r="C57138" s="2"/>
    </row>
    <row r="57139" spans="3:3" x14ac:dyDescent="0.35">
      <c r="C57139" s="2"/>
    </row>
    <row r="57140" spans="3:3" x14ac:dyDescent="0.35">
      <c r="C57140" s="2"/>
    </row>
    <row r="57141" spans="3:3" x14ac:dyDescent="0.35">
      <c r="C57141" s="2"/>
    </row>
    <row r="57142" spans="3:3" x14ac:dyDescent="0.35">
      <c r="C57142" s="2"/>
    </row>
    <row r="57143" spans="3:3" x14ac:dyDescent="0.35">
      <c r="C57143" s="2"/>
    </row>
    <row r="57144" spans="3:3" x14ac:dyDescent="0.35">
      <c r="C57144" s="2"/>
    </row>
    <row r="57145" spans="3:3" x14ac:dyDescent="0.35">
      <c r="C57145" s="2"/>
    </row>
    <row r="57146" spans="3:3" x14ac:dyDescent="0.35">
      <c r="C57146" s="2"/>
    </row>
    <row r="57147" spans="3:3" x14ac:dyDescent="0.35">
      <c r="C57147" s="2"/>
    </row>
    <row r="57148" spans="3:3" x14ac:dyDescent="0.35">
      <c r="C57148" s="2"/>
    </row>
    <row r="57149" spans="3:3" x14ac:dyDescent="0.35">
      <c r="C57149" s="2"/>
    </row>
    <row r="57150" spans="3:3" x14ac:dyDescent="0.35">
      <c r="C57150" s="2"/>
    </row>
    <row r="57151" spans="3:3" x14ac:dyDescent="0.35">
      <c r="C57151" s="2"/>
    </row>
    <row r="57152" spans="3:3" x14ac:dyDescent="0.35">
      <c r="C57152" s="2"/>
    </row>
    <row r="57153" spans="3:3" x14ac:dyDescent="0.35">
      <c r="C57153" s="2"/>
    </row>
    <row r="57154" spans="3:3" x14ac:dyDescent="0.35">
      <c r="C57154" s="2"/>
    </row>
    <row r="57155" spans="3:3" x14ac:dyDescent="0.35">
      <c r="C57155" s="2"/>
    </row>
    <row r="57156" spans="3:3" x14ac:dyDescent="0.35">
      <c r="C57156" s="2"/>
    </row>
    <row r="57157" spans="3:3" x14ac:dyDescent="0.35">
      <c r="C57157" s="2"/>
    </row>
    <row r="57158" spans="3:3" x14ac:dyDescent="0.35">
      <c r="C57158" s="2"/>
    </row>
    <row r="57159" spans="3:3" x14ac:dyDescent="0.35">
      <c r="C57159" s="2"/>
    </row>
    <row r="57160" spans="3:3" x14ac:dyDescent="0.35">
      <c r="C57160" s="2"/>
    </row>
    <row r="57161" spans="3:3" x14ac:dyDescent="0.35">
      <c r="C57161" s="2"/>
    </row>
    <row r="57162" spans="3:3" x14ac:dyDescent="0.35">
      <c r="C57162" s="2"/>
    </row>
    <row r="57163" spans="3:3" x14ac:dyDescent="0.35">
      <c r="C57163" s="2"/>
    </row>
    <row r="57164" spans="3:3" x14ac:dyDescent="0.35">
      <c r="C57164" s="2"/>
    </row>
    <row r="57165" spans="3:3" x14ac:dyDescent="0.35">
      <c r="C57165" s="2"/>
    </row>
    <row r="57166" spans="3:3" x14ac:dyDescent="0.35">
      <c r="C57166" s="2"/>
    </row>
    <row r="57167" spans="3:3" x14ac:dyDescent="0.35">
      <c r="C57167" s="2"/>
    </row>
    <row r="57168" spans="3:3" x14ac:dyDescent="0.35">
      <c r="C57168" s="2"/>
    </row>
    <row r="57169" spans="3:3" x14ac:dyDescent="0.35">
      <c r="C57169" s="2"/>
    </row>
    <row r="57170" spans="3:3" x14ac:dyDescent="0.35">
      <c r="C57170" s="2"/>
    </row>
    <row r="57171" spans="3:3" x14ac:dyDescent="0.35">
      <c r="C57171" s="2"/>
    </row>
    <row r="57172" spans="3:3" x14ac:dyDescent="0.35">
      <c r="C57172" s="2"/>
    </row>
    <row r="57173" spans="3:3" x14ac:dyDescent="0.35">
      <c r="C57173" s="2"/>
    </row>
    <row r="57174" spans="3:3" x14ac:dyDescent="0.35">
      <c r="C57174" s="2"/>
    </row>
    <row r="57175" spans="3:3" x14ac:dyDescent="0.35">
      <c r="C57175" s="2"/>
    </row>
    <row r="57176" spans="3:3" x14ac:dyDescent="0.35">
      <c r="C57176" s="2"/>
    </row>
    <row r="57177" spans="3:3" x14ac:dyDescent="0.35">
      <c r="C57177" s="2"/>
    </row>
    <row r="57178" spans="3:3" x14ac:dyDescent="0.35">
      <c r="C57178" s="2"/>
    </row>
    <row r="57179" spans="3:3" x14ac:dyDescent="0.35">
      <c r="C57179" s="2"/>
    </row>
    <row r="57180" spans="3:3" x14ac:dyDescent="0.35">
      <c r="C57180" s="2"/>
    </row>
    <row r="57181" spans="3:3" x14ac:dyDescent="0.35">
      <c r="C57181" s="2"/>
    </row>
    <row r="57182" spans="3:3" x14ac:dyDescent="0.35">
      <c r="C57182" s="2"/>
    </row>
    <row r="57183" spans="3:3" x14ac:dyDescent="0.35">
      <c r="C57183" s="2"/>
    </row>
    <row r="57184" spans="3:3" x14ac:dyDescent="0.35">
      <c r="C57184" s="2"/>
    </row>
    <row r="57185" spans="3:3" x14ac:dyDescent="0.35">
      <c r="C57185" s="2"/>
    </row>
    <row r="57186" spans="3:3" x14ac:dyDescent="0.35">
      <c r="C57186" s="2"/>
    </row>
    <row r="57187" spans="3:3" x14ac:dyDescent="0.35">
      <c r="C57187" s="2"/>
    </row>
    <row r="57188" spans="3:3" x14ac:dyDescent="0.35">
      <c r="C57188" s="2"/>
    </row>
    <row r="57189" spans="3:3" x14ac:dyDescent="0.35">
      <c r="C57189" s="2"/>
    </row>
    <row r="57190" spans="3:3" x14ac:dyDescent="0.35">
      <c r="C57190" s="2"/>
    </row>
    <row r="57191" spans="3:3" x14ac:dyDescent="0.35">
      <c r="C57191" s="2"/>
    </row>
    <row r="57192" spans="3:3" x14ac:dyDescent="0.35">
      <c r="C57192" s="2"/>
    </row>
    <row r="57193" spans="3:3" x14ac:dyDescent="0.35">
      <c r="C57193" s="2"/>
    </row>
    <row r="57194" spans="3:3" x14ac:dyDescent="0.35">
      <c r="C57194" s="2"/>
    </row>
    <row r="57195" spans="3:3" x14ac:dyDescent="0.35">
      <c r="C57195" s="2"/>
    </row>
    <row r="57196" spans="3:3" x14ac:dyDescent="0.35">
      <c r="C57196" s="2"/>
    </row>
    <row r="57197" spans="3:3" x14ac:dyDescent="0.35">
      <c r="C57197" s="2"/>
    </row>
    <row r="57198" spans="3:3" x14ac:dyDescent="0.35">
      <c r="C57198" s="2"/>
    </row>
    <row r="57199" spans="3:3" x14ac:dyDescent="0.35">
      <c r="C57199" s="2"/>
    </row>
    <row r="57200" spans="3:3" x14ac:dyDescent="0.35">
      <c r="C57200" s="2"/>
    </row>
    <row r="57201" spans="3:3" x14ac:dyDescent="0.35">
      <c r="C57201" s="2"/>
    </row>
    <row r="57202" spans="3:3" x14ac:dyDescent="0.35">
      <c r="C57202" s="2"/>
    </row>
    <row r="57203" spans="3:3" x14ac:dyDescent="0.35">
      <c r="C57203" s="2"/>
    </row>
    <row r="57204" spans="3:3" x14ac:dyDescent="0.35">
      <c r="C57204" s="2"/>
    </row>
    <row r="57205" spans="3:3" x14ac:dyDescent="0.35">
      <c r="C57205" s="2"/>
    </row>
    <row r="57206" spans="3:3" x14ac:dyDescent="0.35">
      <c r="C57206" s="2"/>
    </row>
    <row r="57207" spans="3:3" x14ac:dyDescent="0.35">
      <c r="C57207" s="2"/>
    </row>
    <row r="57208" spans="3:3" x14ac:dyDescent="0.35">
      <c r="C57208" s="2"/>
    </row>
    <row r="57209" spans="3:3" x14ac:dyDescent="0.35">
      <c r="C57209" s="2"/>
    </row>
    <row r="57210" spans="3:3" x14ac:dyDescent="0.35">
      <c r="C57210" s="2"/>
    </row>
    <row r="57211" spans="3:3" x14ac:dyDescent="0.35">
      <c r="C57211" s="2"/>
    </row>
    <row r="57212" spans="3:3" x14ac:dyDescent="0.35">
      <c r="C57212" s="2"/>
    </row>
    <row r="57213" spans="3:3" x14ac:dyDescent="0.35">
      <c r="C57213" s="2"/>
    </row>
    <row r="57214" spans="3:3" x14ac:dyDescent="0.35">
      <c r="C57214" s="2"/>
    </row>
    <row r="57215" spans="3:3" x14ac:dyDescent="0.35">
      <c r="C57215" s="2"/>
    </row>
    <row r="57216" spans="3:3" x14ac:dyDescent="0.35">
      <c r="C57216" s="2"/>
    </row>
    <row r="57217" spans="3:3" x14ac:dyDescent="0.35">
      <c r="C57217" s="2"/>
    </row>
    <row r="57218" spans="3:3" x14ac:dyDescent="0.35">
      <c r="C57218" s="2"/>
    </row>
    <row r="57219" spans="3:3" x14ac:dyDescent="0.35">
      <c r="C57219" s="2"/>
    </row>
    <row r="57220" spans="3:3" x14ac:dyDescent="0.35">
      <c r="C57220" s="2"/>
    </row>
    <row r="57221" spans="3:3" x14ac:dyDescent="0.35">
      <c r="C57221" s="2"/>
    </row>
    <row r="57222" spans="3:3" x14ac:dyDescent="0.35">
      <c r="C57222" s="2"/>
    </row>
    <row r="57223" spans="3:3" x14ac:dyDescent="0.35">
      <c r="C57223" s="2"/>
    </row>
    <row r="57224" spans="3:3" x14ac:dyDescent="0.35">
      <c r="C57224" s="2"/>
    </row>
    <row r="57225" spans="3:3" x14ac:dyDescent="0.35">
      <c r="C57225" s="2"/>
    </row>
    <row r="57226" spans="3:3" x14ac:dyDescent="0.35">
      <c r="C57226" s="2"/>
    </row>
    <row r="57227" spans="3:3" x14ac:dyDescent="0.35">
      <c r="C57227" s="2"/>
    </row>
    <row r="57228" spans="3:3" x14ac:dyDescent="0.35">
      <c r="C57228" s="2"/>
    </row>
    <row r="57229" spans="3:3" x14ac:dyDescent="0.35">
      <c r="C57229" s="2"/>
    </row>
    <row r="57230" spans="3:3" x14ac:dyDescent="0.35">
      <c r="C57230" s="2"/>
    </row>
    <row r="57231" spans="3:3" x14ac:dyDescent="0.35">
      <c r="C57231" s="2"/>
    </row>
    <row r="57232" spans="3:3" x14ac:dyDescent="0.35">
      <c r="C57232" s="2"/>
    </row>
    <row r="57233" spans="3:3" x14ac:dyDescent="0.35">
      <c r="C57233" s="2"/>
    </row>
    <row r="57234" spans="3:3" x14ac:dyDescent="0.35">
      <c r="C57234" s="2"/>
    </row>
    <row r="57235" spans="3:3" x14ac:dyDescent="0.35">
      <c r="C57235" s="2"/>
    </row>
    <row r="57236" spans="3:3" x14ac:dyDescent="0.35">
      <c r="C57236" s="2"/>
    </row>
    <row r="57237" spans="3:3" x14ac:dyDescent="0.35">
      <c r="C57237" s="2"/>
    </row>
    <row r="57238" spans="3:3" x14ac:dyDescent="0.35">
      <c r="C57238" s="2"/>
    </row>
    <row r="57239" spans="3:3" x14ac:dyDescent="0.35">
      <c r="C57239" s="2"/>
    </row>
    <row r="57240" spans="3:3" x14ac:dyDescent="0.35">
      <c r="C57240" s="2"/>
    </row>
    <row r="57241" spans="3:3" x14ac:dyDescent="0.35">
      <c r="C57241" s="2"/>
    </row>
    <row r="57242" spans="3:3" x14ac:dyDescent="0.35">
      <c r="C57242" s="2"/>
    </row>
    <row r="57243" spans="3:3" x14ac:dyDescent="0.35">
      <c r="C57243" s="2"/>
    </row>
    <row r="57244" spans="3:3" x14ac:dyDescent="0.35">
      <c r="C57244" s="2"/>
    </row>
    <row r="57245" spans="3:3" x14ac:dyDescent="0.35">
      <c r="C57245" s="2"/>
    </row>
    <row r="57246" spans="3:3" x14ac:dyDescent="0.35">
      <c r="C57246" s="2"/>
    </row>
    <row r="57247" spans="3:3" x14ac:dyDescent="0.35">
      <c r="C57247" s="2"/>
    </row>
    <row r="57248" spans="3:3" x14ac:dyDescent="0.35">
      <c r="C57248" s="2"/>
    </row>
    <row r="57249" spans="3:3" x14ac:dyDescent="0.35">
      <c r="C57249" s="2"/>
    </row>
    <row r="57250" spans="3:3" x14ac:dyDescent="0.35">
      <c r="C57250" s="2"/>
    </row>
    <row r="57251" spans="3:3" x14ac:dyDescent="0.35">
      <c r="C57251" s="2"/>
    </row>
    <row r="57252" spans="3:3" x14ac:dyDescent="0.35">
      <c r="C57252" s="2"/>
    </row>
    <row r="57253" spans="3:3" x14ac:dyDescent="0.35">
      <c r="C57253" s="2"/>
    </row>
    <row r="57254" spans="3:3" x14ac:dyDescent="0.35">
      <c r="C57254" s="2"/>
    </row>
    <row r="57255" spans="3:3" x14ac:dyDescent="0.35">
      <c r="C57255" s="2"/>
    </row>
    <row r="57256" spans="3:3" x14ac:dyDescent="0.35">
      <c r="C57256" s="2"/>
    </row>
    <row r="57257" spans="3:3" x14ac:dyDescent="0.35">
      <c r="C57257" s="2"/>
    </row>
    <row r="57258" spans="3:3" x14ac:dyDescent="0.35">
      <c r="C57258" s="2"/>
    </row>
    <row r="57259" spans="3:3" x14ac:dyDescent="0.35">
      <c r="C57259" s="2"/>
    </row>
    <row r="57260" spans="3:3" x14ac:dyDescent="0.35">
      <c r="C57260" s="2"/>
    </row>
    <row r="57261" spans="3:3" x14ac:dyDescent="0.35">
      <c r="C57261" s="2"/>
    </row>
    <row r="57262" spans="3:3" x14ac:dyDescent="0.35">
      <c r="C57262" s="2"/>
    </row>
    <row r="57263" spans="3:3" x14ac:dyDescent="0.35">
      <c r="C57263" s="2"/>
    </row>
    <row r="57264" spans="3:3" x14ac:dyDescent="0.35">
      <c r="C57264" s="2"/>
    </row>
    <row r="57265" spans="3:3" x14ac:dyDescent="0.35">
      <c r="C57265" s="2"/>
    </row>
    <row r="57266" spans="3:3" x14ac:dyDescent="0.35">
      <c r="C57266" s="2"/>
    </row>
    <row r="57267" spans="3:3" x14ac:dyDescent="0.35">
      <c r="C57267" s="2"/>
    </row>
    <row r="57268" spans="3:3" x14ac:dyDescent="0.35">
      <c r="C57268" s="2"/>
    </row>
    <row r="57269" spans="3:3" x14ac:dyDescent="0.35">
      <c r="C57269" s="2"/>
    </row>
    <row r="57270" spans="3:3" x14ac:dyDescent="0.35">
      <c r="C57270" s="2"/>
    </row>
    <row r="57271" spans="3:3" x14ac:dyDescent="0.35">
      <c r="C57271" s="2"/>
    </row>
    <row r="57272" spans="3:3" x14ac:dyDescent="0.35">
      <c r="C57272" s="2"/>
    </row>
    <row r="57273" spans="3:3" x14ac:dyDescent="0.35">
      <c r="C57273" s="2"/>
    </row>
    <row r="57274" spans="3:3" x14ac:dyDescent="0.35">
      <c r="C57274" s="2"/>
    </row>
    <row r="57275" spans="3:3" x14ac:dyDescent="0.35">
      <c r="C57275" s="2"/>
    </row>
    <row r="57276" spans="3:3" x14ac:dyDescent="0.35">
      <c r="C57276" s="2"/>
    </row>
    <row r="57277" spans="3:3" x14ac:dyDescent="0.35">
      <c r="C57277" s="2"/>
    </row>
    <row r="57278" spans="3:3" x14ac:dyDescent="0.35">
      <c r="C57278" s="2"/>
    </row>
    <row r="57279" spans="3:3" x14ac:dyDescent="0.35">
      <c r="C57279" s="2"/>
    </row>
    <row r="57280" spans="3:3" x14ac:dyDescent="0.35">
      <c r="C57280" s="2"/>
    </row>
    <row r="57281" spans="3:3" x14ac:dyDescent="0.35">
      <c r="C57281" s="2"/>
    </row>
    <row r="57282" spans="3:3" x14ac:dyDescent="0.35">
      <c r="C57282" s="2"/>
    </row>
    <row r="57283" spans="3:3" x14ac:dyDescent="0.35">
      <c r="C57283" s="2"/>
    </row>
    <row r="57284" spans="3:3" x14ac:dyDescent="0.35">
      <c r="C57284" s="2"/>
    </row>
    <row r="57285" spans="3:3" x14ac:dyDescent="0.35">
      <c r="C57285" s="2"/>
    </row>
    <row r="57286" spans="3:3" x14ac:dyDescent="0.35">
      <c r="C57286" s="2"/>
    </row>
    <row r="57287" spans="3:3" x14ac:dyDescent="0.35">
      <c r="C57287" s="2"/>
    </row>
    <row r="57288" spans="3:3" x14ac:dyDescent="0.35">
      <c r="C57288" s="2"/>
    </row>
    <row r="57289" spans="3:3" x14ac:dyDescent="0.35">
      <c r="C57289" s="2"/>
    </row>
    <row r="57290" spans="3:3" x14ac:dyDescent="0.35">
      <c r="C57290" s="2"/>
    </row>
    <row r="57291" spans="3:3" x14ac:dyDescent="0.35">
      <c r="C57291" s="2"/>
    </row>
    <row r="57292" spans="3:3" x14ac:dyDescent="0.35">
      <c r="C57292" s="2"/>
    </row>
    <row r="57293" spans="3:3" x14ac:dyDescent="0.35">
      <c r="C57293" s="2"/>
    </row>
    <row r="57294" spans="3:3" x14ac:dyDescent="0.35">
      <c r="C57294" s="2"/>
    </row>
    <row r="57295" spans="3:3" x14ac:dyDescent="0.35">
      <c r="C57295" s="2"/>
    </row>
    <row r="57296" spans="3:3" x14ac:dyDescent="0.35">
      <c r="C57296" s="2"/>
    </row>
    <row r="57297" spans="3:3" x14ac:dyDescent="0.35">
      <c r="C57297" s="2"/>
    </row>
    <row r="57298" spans="3:3" x14ac:dyDescent="0.35">
      <c r="C57298" s="2"/>
    </row>
    <row r="57299" spans="3:3" x14ac:dyDescent="0.35">
      <c r="C57299" s="2"/>
    </row>
    <row r="57300" spans="3:3" x14ac:dyDescent="0.35">
      <c r="C57300" s="2"/>
    </row>
    <row r="57301" spans="3:3" x14ac:dyDescent="0.35">
      <c r="C57301" s="2"/>
    </row>
    <row r="57302" spans="3:3" x14ac:dyDescent="0.35">
      <c r="C57302" s="2"/>
    </row>
    <row r="57303" spans="3:3" x14ac:dyDescent="0.35">
      <c r="C57303" s="2"/>
    </row>
    <row r="57304" spans="3:3" x14ac:dyDescent="0.35">
      <c r="C57304" s="2"/>
    </row>
    <row r="57305" spans="3:3" x14ac:dyDescent="0.35">
      <c r="C57305" s="2"/>
    </row>
    <row r="57306" spans="3:3" x14ac:dyDescent="0.35">
      <c r="C57306" s="2"/>
    </row>
    <row r="57307" spans="3:3" x14ac:dyDescent="0.35">
      <c r="C57307" s="2"/>
    </row>
    <row r="57308" spans="3:3" x14ac:dyDescent="0.35">
      <c r="C57308" s="2"/>
    </row>
    <row r="57309" spans="3:3" x14ac:dyDescent="0.35">
      <c r="C57309" s="2"/>
    </row>
    <row r="57310" spans="3:3" x14ac:dyDescent="0.35">
      <c r="C57310" s="2"/>
    </row>
    <row r="57311" spans="3:3" x14ac:dyDescent="0.35">
      <c r="C57311" s="2"/>
    </row>
    <row r="57312" spans="3:3" x14ac:dyDescent="0.35">
      <c r="C57312" s="2"/>
    </row>
    <row r="57313" spans="3:3" x14ac:dyDescent="0.35">
      <c r="C57313" s="2"/>
    </row>
    <row r="57314" spans="3:3" x14ac:dyDescent="0.35">
      <c r="C57314" s="2"/>
    </row>
    <row r="57315" spans="3:3" x14ac:dyDescent="0.35">
      <c r="C57315" s="2"/>
    </row>
    <row r="57316" spans="3:3" x14ac:dyDescent="0.35">
      <c r="C57316" s="2"/>
    </row>
    <row r="57317" spans="3:3" x14ac:dyDescent="0.35">
      <c r="C57317" s="2"/>
    </row>
    <row r="57318" spans="3:3" x14ac:dyDescent="0.35">
      <c r="C57318" s="2"/>
    </row>
    <row r="57319" spans="3:3" x14ac:dyDescent="0.35">
      <c r="C57319" s="2"/>
    </row>
    <row r="57320" spans="3:3" x14ac:dyDescent="0.35">
      <c r="C57320" s="2"/>
    </row>
    <row r="57321" spans="3:3" x14ac:dyDescent="0.35">
      <c r="C57321" s="2"/>
    </row>
    <row r="57322" spans="3:3" x14ac:dyDescent="0.35">
      <c r="C57322" s="2"/>
    </row>
    <row r="57323" spans="3:3" x14ac:dyDescent="0.35">
      <c r="C57323" s="2"/>
    </row>
    <row r="57324" spans="3:3" x14ac:dyDescent="0.35">
      <c r="C57324" s="2"/>
    </row>
    <row r="57325" spans="3:3" x14ac:dyDescent="0.35">
      <c r="C57325" s="2"/>
    </row>
    <row r="57326" spans="3:3" x14ac:dyDescent="0.35">
      <c r="C57326" s="2"/>
    </row>
    <row r="57327" spans="3:3" x14ac:dyDescent="0.35">
      <c r="C57327" s="2"/>
    </row>
    <row r="57328" spans="3:3" x14ac:dyDescent="0.35">
      <c r="C57328" s="2"/>
    </row>
    <row r="57329" spans="3:3" x14ac:dyDescent="0.35">
      <c r="C57329" s="2"/>
    </row>
    <row r="57330" spans="3:3" x14ac:dyDescent="0.35">
      <c r="C57330" s="2"/>
    </row>
    <row r="57331" spans="3:3" x14ac:dyDescent="0.35">
      <c r="C57331" s="2"/>
    </row>
    <row r="57332" spans="3:3" x14ac:dyDescent="0.35">
      <c r="C57332" s="2"/>
    </row>
    <row r="57333" spans="3:3" x14ac:dyDescent="0.35">
      <c r="C57333" s="2"/>
    </row>
    <row r="57334" spans="3:3" x14ac:dyDescent="0.35">
      <c r="C57334" s="2"/>
    </row>
    <row r="57335" spans="3:3" x14ac:dyDescent="0.35">
      <c r="C57335" s="2"/>
    </row>
    <row r="57336" spans="3:3" x14ac:dyDescent="0.35">
      <c r="C57336" s="2"/>
    </row>
    <row r="57337" spans="3:3" x14ac:dyDescent="0.35">
      <c r="C57337" s="2"/>
    </row>
    <row r="57338" spans="3:3" x14ac:dyDescent="0.35">
      <c r="C57338" s="2"/>
    </row>
    <row r="57339" spans="3:3" x14ac:dyDescent="0.35">
      <c r="C57339" s="2"/>
    </row>
    <row r="57340" spans="3:3" x14ac:dyDescent="0.35">
      <c r="C57340" s="2"/>
    </row>
    <row r="57341" spans="3:3" x14ac:dyDescent="0.35">
      <c r="C57341" s="2"/>
    </row>
    <row r="57342" spans="3:3" x14ac:dyDescent="0.35">
      <c r="C57342" s="2"/>
    </row>
    <row r="57343" spans="3:3" x14ac:dyDescent="0.35">
      <c r="C57343" s="2"/>
    </row>
    <row r="57344" spans="3:3" x14ac:dyDescent="0.35">
      <c r="C57344" s="2"/>
    </row>
    <row r="57345" spans="3:3" x14ac:dyDescent="0.35">
      <c r="C57345" s="2"/>
    </row>
    <row r="57346" spans="3:3" x14ac:dyDescent="0.35">
      <c r="C57346" s="2"/>
    </row>
    <row r="57347" spans="3:3" x14ac:dyDescent="0.35">
      <c r="C57347" s="2"/>
    </row>
    <row r="57348" spans="3:3" x14ac:dyDescent="0.35">
      <c r="C57348" s="2"/>
    </row>
    <row r="57349" spans="3:3" x14ac:dyDescent="0.35">
      <c r="C57349" s="2"/>
    </row>
    <row r="57350" spans="3:3" x14ac:dyDescent="0.35">
      <c r="C57350" s="2"/>
    </row>
    <row r="57351" spans="3:3" x14ac:dyDescent="0.35">
      <c r="C57351" s="2"/>
    </row>
    <row r="57352" spans="3:3" x14ac:dyDescent="0.35">
      <c r="C57352" s="2"/>
    </row>
    <row r="57353" spans="3:3" x14ac:dyDescent="0.35">
      <c r="C57353" s="2"/>
    </row>
    <row r="57354" spans="3:3" x14ac:dyDescent="0.35">
      <c r="C57354" s="2"/>
    </row>
    <row r="57355" spans="3:3" x14ac:dyDescent="0.35">
      <c r="C57355" s="2"/>
    </row>
    <row r="57356" spans="3:3" x14ac:dyDescent="0.35">
      <c r="C57356" s="2"/>
    </row>
    <row r="57357" spans="3:3" x14ac:dyDescent="0.35">
      <c r="C57357" s="2"/>
    </row>
    <row r="57358" spans="3:3" x14ac:dyDescent="0.35">
      <c r="C57358" s="2"/>
    </row>
    <row r="57359" spans="3:3" x14ac:dyDescent="0.35">
      <c r="C57359" s="2"/>
    </row>
    <row r="57360" spans="3:3" x14ac:dyDescent="0.35">
      <c r="C57360" s="2"/>
    </row>
    <row r="57361" spans="3:3" x14ac:dyDescent="0.35">
      <c r="C57361" s="2"/>
    </row>
    <row r="57362" spans="3:3" x14ac:dyDescent="0.35">
      <c r="C57362" s="2"/>
    </row>
    <row r="57363" spans="3:3" x14ac:dyDescent="0.35">
      <c r="C57363" s="2"/>
    </row>
    <row r="57364" spans="3:3" x14ac:dyDescent="0.35">
      <c r="C57364" s="2"/>
    </row>
    <row r="57365" spans="3:3" x14ac:dyDescent="0.35">
      <c r="C57365" s="2"/>
    </row>
    <row r="57366" spans="3:3" x14ac:dyDescent="0.35">
      <c r="C57366" s="2"/>
    </row>
    <row r="57367" spans="3:3" x14ac:dyDescent="0.35">
      <c r="C57367" s="2"/>
    </row>
    <row r="57368" spans="3:3" x14ac:dyDescent="0.35">
      <c r="C57368" s="2"/>
    </row>
    <row r="57369" spans="3:3" x14ac:dyDescent="0.35">
      <c r="C57369" s="2"/>
    </row>
    <row r="57370" spans="3:3" x14ac:dyDescent="0.35">
      <c r="C57370" s="2"/>
    </row>
    <row r="57371" spans="3:3" x14ac:dyDescent="0.35">
      <c r="C57371" s="2"/>
    </row>
    <row r="57372" spans="3:3" x14ac:dyDescent="0.35">
      <c r="C57372" s="2"/>
    </row>
    <row r="57373" spans="3:3" x14ac:dyDescent="0.35">
      <c r="C57373" s="2"/>
    </row>
    <row r="57374" spans="3:3" x14ac:dyDescent="0.35">
      <c r="C57374" s="2"/>
    </row>
    <row r="57375" spans="3:3" x14ac:dyDescent="0.35">
      <c r="C57375" s="2"/>
    </row>
    <row r="57376" spans="3:3" x14ac:dyDescent="0.35">
      <c r="C57376" s="2"/>
    </row>
    <row r="57377" spans="3:3" x14ac:dyDescent="0.35">
      <c r="C57377" s="2"/>
    </row>
    <row r="57378" spans="3:3" x14ac:dyDescent="0.35">
      <c r="C57378" s="2"/>
    </row>
    <row r="57379" spans="3:3" x14ac:dyDescent="0.35">
      <c r="C57379" s="2"/>
    </row>
    <row r="57380" spans="3:3" x14ac:dyDescent="0.35">
      <c r="C57380" s="2"/>
    </row>
    <row r="57381" spans="3:3" x14ac:dyDescent="0.35">
      <c r="C57381" s="2"/>
    </row>
    <row r="57382" spans="3:3" x14ac:dyDescent="0.35">
      <c r="C57382" s="2"/>
    </row>
    <row r="57383" spans="3:3" x14ac:dyDescent="0.35">
      <c r="C57383" s="2"/>
    </row>
    <row r="57384" spans="3:3" x14ac:dyDescent="0.35">
      <c r="C57384" s="2"/>
    </row>
    <row r="57385" spans="3:3" x14ac:dyDescent="0.35">
      <c r="C57385" s="2"/>
    </row>
    <row r="57386" spans="3:3" x14ac:dyDescent="0.35">
      <c r="C57386" s="2"/>
    </row>
    <row r="57387" spans="3:3" x14ac:dyDescent="0.35">
      <c r="C57387" s="2"/>
    </row>
    <row r="57388" spans="3:3" x14ac:dyDescent="0.35">
      <c r="C57388" s="2"/>
    </row>
    <row r="57389" spans="3:3" x14ac:dyDescent="0.35">
      <c r="C57389" s="2"/>
    </row>
    <row r="57390" spans="3:3" x14ac:dyDescent="0.35">
      <c r="C57390" s="2"/>
    </row>
    <row r="57391" spans="3:3" x14ac:dyDescent="0.35">
      <c r="C57391" s="2"/>
    </row>
    <row r="57392" spans="3:3" x14ac:dyDescent="0.35">
      <c r="C57392" s="2"/>
    </row>
    <row r="57393" spans="3:3" x14ac:dyDescent="0.35">
      <c r="C57393" s="2"/>
    </row>
    <row r="57394" spans="3:3" x14ac:dyDescent="0.35">
      <c r="C57394" s="2"/>
    </row>
    <row r="57395" spans="3:3" x14ac:dyDescent="0.35">
      <c r="C57395" s="2"/>
    </row>
    <row r="57396" spans="3:3" x14ac:dyDescent="0.35">
      <c r="C57396" s="2"/>
    </row>
    <row r="57397" spans="3:3" x14ac:dyDescent="0.35">
      <c r="C57397" s="2"/>
    </row>
    <row r="57398" spans="3:3" x14ac:dyDescent="0.35">
      <c r="C57398" s="2"/>
    </row>
    <row r="57399" spans="3:3" x14ac:dyDescent="0.35">
      <c r="C57399" s="2"/>
    </row>
    <row r="57400" spans="3:3" x14ac:dyDescent="0.35">
      <c r="C57400" s="2"/>
    </row>
    <row r="57401" spans="3:3" x14ac:dyDescent="0.35">
      <c r="C57401" s="2"/>
    </row>
    <row r="57402" spans="3:3" x14ac:dyDescent="0.35">
      <c r="C57402" s="2"/>
    </row>
    <row r="57403" spans="3:3" x14ac:dyDescent="0.35">
      <c r="C57403" s="2"/>
    </row>
    <row r="57404" spans="3:3" x14ac:dyDescent="0.35">
      <c r="C57404" s="2"/>
    </row>
    <row r="57405" spans="3:3" x14ac:dyDescent="0.35">
      <c r="C57405" s="2"/>
    </row>
    <row r="57406" spans="3:3" x14ac:dyDescent="0.35">
      <c r="C57406" s="2"/>
    </row>
    <row r="57407" spans="3:3" x14ac:dyDescent="0.35">
      <c r="C57407" s="2"/>
    </row>
    <row r="57408" spans="3:3" x14ac:dyDescent="0.35">
      <c r="C57408" s="2"/>
    </row>
    <row r="57409" spans="3:3" x14ac:dyDescent="0.35">
      <c r="C57409" s="2"/>
    </row>
    <row r="57410" spans="3:3" x14ac:dyDescent="0.35">
      <c r="C57410" s="2"/>
    </row>
    <row r="57411" spans="3:3" x14ac:dyDescent="0.35">
      <c r="C57411" s="2"/>
    </row>
    <row r="57412" spans="3:3" x14ac:dyDescent="0.35">
      <c r="C57412" s="2"/>
    </row>
    <row r="57413" spans="3:3" x14ac:dyDescent="0.35">
      <c r="C57413" s="2"/>
    </row>
    <row r="57414" spans="3:3" x14ac:dyDescent="0.35">
      <c r="C57414" s="2"/>
    </row>
    <row r="57415" spans="3:3" x14ac:dyDescent="0.35">
      <c r="C57415" s="2"/>
    </row>
    <row r="57416" spans="3:3" x14ac:dyDescent="0.35">
      <c r="C57416" s="2"/>
    </row>
    <row r="57417" spans="3:3" x14ac:dyDescent="0.35">
      <c r="C57417" s="2"/>
    </row>
    <row r="57418" spans="3:3" x14ac:dyDescent="0.35">
      <c r="C57418" s="2"/>
    </row>
    <row r="57419" spans="3:3" x14ac:dyDescent="0.35">
      <c r="C57419" s="2"/>
    </row>
    <row r="57420" spans="3:3" x14ac:dyDescent="0.35">
      <c r="C57420" s="2"/>
    </row>
    <row r="57421" spans="3:3" x14ac:dyDescent="0.35">
      <c r="C57421" s="2"/>
    </row>
    <row r="57422" spans="3:3" x14ac:dyDescent="0.35">
      <c r="C57422" s="2"/>
    </row>
    <row r="57423" spans="3:3" x14ac:dyDescent="0.35">
      <c r="C57423" s="2"/>
    </row>
    <row r="57424" spans="3:3" x14ac:dyDescent="0.35">
      <c r="C57424" s="2"/>
    </row>
    <row r="57425" spans="3:3" x14ac:dyDescent="0.35">
      <c r="C57425" s="2"/>
    </row>
    <row r="57426" spans="3:3" x14ac:dyDescent="0.35">
      <c r="C57426" s="2"/>
    </row>
    <row r="57427" spans="3:3" x14ac:dyDescent="0.35">
      <c r="C57427" s="2"/>
    </row>
    <row r="57428" spans="3:3" x14ac:dyDescent="0.35">
      <c r="C57428" s="2"/>
    </row>
    <row r="57429" spans="3:3" x14ac:dyDescent="0.35">
      <c r="C57429" s="2"/>
    </row>
    <row r="57430" spans="3:3" x14ac:dyDescent="0.35">
      <c r="C57430" s="2"/>
    </row>
    <row r="57431" spans="3:3" x14ac:dyDescent="0.35">
      <c r="C57431" s="2"/>
    </row>
    <row r="57432" spans="3:3" x14ac:dyDescent="0.35">
      <c r="C57432" s="2"/>
    </row>
    <row r="57433" spans="3:3" x14ac:dyDescent="0.35">
      <c r="C57433" s="2"/>
    </row>
    <row r="57434" spans="3:3" x14ac:dyDescent="0.35">
      <c r="C57434" s="2"/>
    </row>
    <row r="57435" spans="3:3" x14ac:dyDescent="0.35">
      <c r="C57435" s="2"/>
    </row>
    <row r="57436" spans="3:3" x14ac:dyDescent="0.35">
      <c r="C57436" s="2"/>
    </row>
    <row r="57437" spans="3:3" x14ac:dyDescent="0.35">
      <c r="C57437" s="2"/>
    </row>
    <row r="57438" spans="3:3" x14ac:dyDescent="0.35">
      <c r="C57438" s="2"/>
    </row>
    <row r="57439" spans="3:3" x14ac:dyDescent="0.35">
      <c r="C57439" s="2"/>
    </row>
    <row r="57440" spans="3:3" x14ac:dyDescent="0.35">
      <c r="C57440" s="2"/>
    </row>
    <row r="57441" spans="3:3" x14ac:dyDescent="0.35">
      <c r="C57441" s="2"/>
    </row>
    <row r="57442" spans="3:3" x14ac:dyDescent="0.35">
      <c r="C57442" s="2"/>
    </row>
    <row r="57443" spans="3:3" x14ac:dyDescent="0.35">
      <c r="C57443" s="2"/>
    </row>
    <row r="57444" spans="3:3" x14ac:dyDescent="0.35">
      <c r="C57444" s="2"/>
    </row>
    <row r="57445" spans="3:3" x14ac:dyDescent="0.35">
      <c r="C57445" s="2"/>
    </row>
    <row r="57446" spans="3:3" x14ac:dyDescent="0.35">
      <c r="C57446" s="2"/>
    </row>
    <row r="57447" spans="3:3" x14ac:dyDescent="0.35">
      <c r="C57447" s="2"/>
    </row>
    <row r="57448" spans="3:3" x14ac:dyDescent="0.35">
      <c r="C57448" s="2"/>
    </row>
    <row r="57449" spans="3:3" x14ac:dyDescent="0.35">
      <c r="C57449" s="2"/>
    </row>
    <row r="57450" spans="3:3" x14ac:dyDescent="0.35">
      <c r="C57450" s="2"/>
    </row>
    <row r="57451" spans="3:3" x14ac:dyDescent="0.35">
      <c r="C57451" s="2"/>
    </row>
    <row r="57452" spans="3:3" x14ac:dyDescent="0.35">
      <c r="C57452" s="2"/>
    </row>
    <row r="57453" spans="3:3" x14ac:dyDescent="0.35">
      <c r="C57453" s="2"/>
    </row>
    <row r="57454" spans="3:3" x14ac:dyDescent="0.35">
      <c r="C57454" s="2"/>
    </row>
    <row r="57455" spans="3:3" x14ac:dyDescent="0.35">
      <c r="C57455" s="2"/>
    </row>
    <row r="57456" spans="3:3" x14ac:dyDescent="0.35">
      <c r="C57456" s="2"/>
    </row>
    <row r="57457" spans="3:3" x14ac:dyDescent="0.35">
      <c r="C57457" s="2"/>
    </row>
    <row r="57458" spans="3:3" x14ac:dyDescent="0.35">
      <c r="C57458" s="2"/>
    </row>
    <row r="57459" spans="3:3" x14ac:dyDescent="0.35">
      <c r="C57459" s="2"/>
    </row>
    <row r="57460" spans="3:3" x14ac:dyDescent="0.35">
      <c r="C57460" s="2"/>
    </row>
    <row r="57461" spans="3:3" x14ac:dyDescent="0.35">
      <c r="C57461" s="2"/>
    </row>
    <row r="57462" spans="3:3" x14ac:dyDescent="0.35">
      <c r="C57462" s="2"/>
    </row>
    <row r="57463" spans="3:3" x14ac:dyDescent="0.35">
      <c r="C57463" s="2"/>
    </row>
    <row r="57464" spans="3:3" x14ac:dyDescent="0.35">
      <c r="C57464" s="2"/>
    </row>
    <row r="57465" spans="3:3" x14ac:dyDescent="0.35">
      <c r="C57465" s="2"/>
    </row>
    <row r="57466" spans="3:3" x14ac:dyDescent="0.35">
      <c r="C57466" s="2"/>
    </row>
    <row r="57467" spans="3:3" x14ac:dyDescent="0.35">
      <c r="C57467" s="2"/>
    </row>
    <row r="57468" spans="3:3" x14ac:dyDescent="0.35">
      <c r="C57468" s="2"/>
    </row>
    <row r="57469" spans="3:3" x14ac:dyDescent="0.35">
      <c r="C57469" s="2"/>
    </row>
    <row r="57470" spans="3:3" x14ac:dyDescent="0.35">
      <c r="C57470" s="2"/>
    </row>
    <row r="57471" spans="3:3" x14ac:dyDescent="0.35">
      <c r="C57471" s="2"/>
    </row>
    <row r="57472" spans="3:3" x14ac:dyDescent="0.35">
      <c r="C57472" s="2"/>
    </row>
    <row r="57473" spans="3:3" x14ac:dyDescent="0.35">
      <c r="C57473" s="2"/>
    </row>
    <row r="57474" spans="3:3" x14ac:dyDescent="0.35">
      <c r="C57474" s="2"/>
    </row>
    <row r="57475" spans="3:3" x14ac:dyDescent="0.35">
      <c r="C57475" s="2"/>
    </row>
    <row r="57476" spans="3:3" x14ac:dyDescent="0.35">
      <c r="C57476" s="2"/>
    </row>
    <row r="57477" spans="3:3" x14ac:dyDescent="0.35">
      <c r="C57477" s="2"/>
    </row>
    <row r="57478" spans="3:3" x14ac:dyDescent="0.35">
      <c r="C57478" s="2"/>
    </row>
    <row r="57479" spans="3:3" x14ac:dyDescent="0.35">
      <c r="C57479" s="2"/>
    </row>
    <row r="57480" spans="3:3" x14ac:dyDescent="0.35">
      <c r="C57480" s="2"/>
    </row>
    <row r="57481" spans="3:3" x14ac:dyDescent="0.35">
      <c r="C57481" s="2"/>
    </row>
    <row r="57482" spans="3:3" x14ac:dyDescent="0.35">
      <c r="C57482" s="2"/>
    </row>
    <row r="57483" spans="3:3" x14ac:dyDescent="0.35">
      <c r="C57483" s="2"/>
    </row>
    <row r="57484" spans="3:3" x14ac:dyDescent="0.35">
      <c r="C57484" s="2"/>
    </row>
    <row r="57485" spans="3:3" x14ac:dyDescent="0.35">
      <c r="C57485" s="2"/>
    </row>
    <row r="57486" spans="3:3" x14ac:dyDescent="0.35">
      <c r="C57486" s="2"/>
    </row>
    <row r="57487" spans="3:3" x14ac:dyDescent="0.35">
      <c r="C57487" s="2"/>
    </row>
    <row r="57488" spans="3:3" x14ac:dyDescent="0.35">
      <c r="C57488" s="2"/>
    </row>
    <row r="57489" spans="3:3" x14ac:dyDescent="0.35">
      <c r="C57489" s="2"/>
    </row>
    <row r="57490" spans="3:3" x14ac:dyDescent="0.35">
      <c r="C57490" s="2"/>
    </row>
    <row r="57491" spans="3:3" x14ac:dyDescent="0.35">
      <c r="C57491" s="2"/>
    </row>
    <row r="57492" spans="3:3" x14ac:dyDescent="0.35">
      <c r="C57492" s="2"/>
    </row>
    <row r="57493" spans="3:3" x14ac:dyDescent="0.35">
      <c r="C57493" s="2"/>
    </row>
    <row r="57494" spans="3:3" x14ac:dyDescent="0.35">
      <c r="C57494" s="2"/>
    </row>
    <row r="57495" spans="3:3" x14ac:dyDescent="0.35">
      <c r="C57495" s="2"/>
    </row>
    <row r="57496" spans="3:3" x14ac:dyDescent="0.35">
      <c r="C57496" s="2"/>
    </row>
    <row r="57497" spans="3:3" x14ac:dyDescent="0.35">
      <c r="C57497" s="2"/>
    </row>
    <row r="57498" spans="3:3" x14ac:dyDescent="0.35">
      <c r="C57498" s="2"/>
    </row>
    <row r="57499" spans="3:3" x14ac:dyDescent="0.35">
      <c r="C57499" s="2"/>
    </row>
    <row r="57500" spans="3:3" x14ac:dyDescent="0.35">
      <c r="C57500" s="2"/>
    </row>
    <row r="57501" spans="3:3" x14ac:dyDescent="0.35">
      <c r="C57501" s="2"/>
    </row>
    <row r="57502" spans="3:3" x14ac:dyDescent="0.35">
      <c r="C57502" s="2"/>
    </row>
    <row r="57503" spans="3:3" x14ac:dyDescent="0.35">
      <c r="C57503" s="2"/>
    </row>
    <row r="57504" spans="3:3" x14ac:dyDescent="0.35">
      <c r="C57504" s="2"/>
    </row>
    <row r="57505" spans="3:3" x14ac:dyDescent="0.35">
      <c r="C57505" s="2"/>
    </row>
    <row r="57506" spans="3:3" x14ac:dyDescent="0.35">
      <c r="C57506" s="2"/>
    </row>
    <row r="57507" spans="3:3" x14ac:dyDescent="0.35">
      <c r="C57507" s="2"/>
    </row>
    <row r="57508" spans="3:3" x14ac:dyDescent="0.35">
      <c r="C57508" s="2"/>
    </row>
    <row r="57509" spans="3:3" x14ac:dyDescent="0.35">
      <c r="C57509" s="2"/>
    </row>
    <row r="57510" spans="3:3" x14ac:dyDescent="0.35">
      <c r="C57510" s="2"/>
    </row>
    <row r="57511" spans="3:3" x14ac:dyDescent="0.35">
      <c r="C57511" s="2"/>
    </row>
    <row r="57512" spans="3:3" x14ac:dyDescent="0.35">
      <c r="C57512" s="2"/>
    </row>
    <row r="57513" spans="3:3" x14ac:dyDescent="0.35">
      <c r="C57513" s="2"/>
    </row>
    <row r="57514" spans="3:3" x14ac:dyDescent="0.35">
      <c r="C57514" s="2"/>
    </row>
    <row r="57515" spans="3:3" x14ac:dyDescent="0.35">
      <c r="C57515" s="2"/>
    </row>
    <row r="57516" spans="3:3" x14ac:dyDescent="0.35">
      <c r="C57516" s="2"/>
    </row>
    <row r="57517" spans="3:3" x14ac:dyDescent="0.35">
      <c r="C57517" s="2"/>
    </row>
    <row r="57518" spans="3:3" x14ac:dyDescent="0.35">
      <c r="C57518" s="2"/>
    </row>
    <row r="57519" spans="3:3" x14ac:dyDescent="0.35">
      <c r="C57519" s="2"/>
    </row>
    <row r="57520" spans="3:3" x14ac:dyDescent="0.35">
      <c r="C57520" s="2"/>
    </row>
    <row r="57521" spans="3:3" x14ac:dyDescent="0.35">
      <c r="C57521" s="2"/>
    </row>
    <row r="57522" spans="3:3" x14ac:dyDescent="0.35">
      <c r="C57522" s="2"/>
    </row>
    <row r="57523" spans="3:3" x14ac:dyDescent="0.35">
      <c r="C57523" s="2"/>
    </row>
    <row r="57524" spans="3:3" x14ac:dyDescent="0.35">
      <c r="C57524" s="2"/>
    </row>
    <row r="57525" spans="3:3" x14ac:dyDescent="0.35">
      <c r="C57525" s="2"/>
    </row>
    <row r="57526" spans="3:3" x14ac:dyDescent="0.35">
      <c r="C57526" s="2"/>
    </row>
    <row r="57527" spans="3:3" x14ac:dyDescent="0.35">
      <c r="C57527" s="2"/>
    </row>
    <row r="57528" spans="3:3" x14ac:dyDescent="0.35">
      <c r="C57528" s="2"/>
    </row>
    <row r="57529" spans="3:3" x14ac:dyDescent="0.35">
      <c r="C57529" s="2"/>
    </row>
    <row r="57530" spans="3:3" x14ac:dyDescent="0.35">
      <c r="C57530" s="2"/>
    </row>
    <row r="57531" spans="3:3" x14ac:dyDescent="0.35">
      <c r="C57531" s="2"/>
    </row>
    <row r="57532" spans="3:3" x14ac:dyDescent="0.35">
      <c r="C57532" s="2"/>
    </row>
    <row r="57533" spans="3:3" x14ac:dyDescent="0.35">
      <c r="C57533" s="2"/>
    </row>
    <row r="57534" spans="3:3" x14ac:dyDescent="0.35">
      <c r="C57534" s="2"/>
    </row>
    <row r="57535" spans="3:3" x14ac:dyDescent="0.35">
      <c r="C57535" s="2"/>
    </row>
    <row r="57536" spans="3:3" x14ac:dyDescent="0.35">
      <c r="C57536" s="2"/>
    </row>
    <row r="57537" spans="3:3" x14ac:dyDescent="0.35">
      <c r="C57537" s="2"/>
    </row>
    <row r="57538" spans="3:3" x14ac:dyDescent="0.35">
      <c r="C57538" s="2"/>
    </row>
    <row r="57539" spans="3:3" x14ac:dyDescent="0.35">
      <c r="C57539" s="2"/>
    </row>
    <row r="57540" spans="3:3" x14ac:dyDescent="0.35">
      <c r="C57540" s="2"/>
    </row>
    <row r="57541" spans="3:3" x14ac:dyDescent="0.35">
      <c r="C57541" s="2"/>
    </row>
    <row r="57542" spans="3:3" x14ac:dyDescent="0.35">
      <c r="C57542" s="2"/>
    </row>
    <row r="57543" spans="3:3" x14ac:dyDescent="0.35">
      <c r="C57543" s="2"/>
    </row>
    <row r="57544" spans="3:3" x14ac:dyDescent="0.35">
      <c r="C57544" s="2"/>
    </row>
    <row r="57545" spans="3:3" x14ac:dyDescent="0.35">
      <c r="C57545" s="2"/>
    </row>
    <row r="57546" spans="3:3" x14ac:dyDescent="0.35">
      <c r="C57546" s="2"/>
    </row>
    <row r="57547" spans="3:3" x14ac:dyDescent="0.35">
      <c r="C57547" s="2"/>
    </row>
    <row r="57548" spans="3:3" x14ac:dyDescent="0.35">
      <c r="C57548" s="2"/>
    </row>
    <row r="57549" spans="3:3" x14ac:dyDescent="0.35">
      <c r="C57549" s="2"/>
    </row>
    <row r="57550" spans="3:3" x14ac:dyDescent="0.35">
      <c r="C57550" s="2"/>
    </row>
    <row r="57551" spans="3:3" x14ac:dyDescent="0.35">
      <c r="C57551" s="2"/>
    </row>
    <row r="57552" spans="3:3" x14ac:dyDescent="0.35">
      <c r="C57552" s="2"/>
    </row>
    <row r="57553" spans="3:3" x14ac:dyDescent="0.35">
      <c r="C57553" s="2"/>
    </row>
    <row r="57554" spans="3:3" x14ac:dyDescent="0.35">
      <c r="C57554" s="2"/>
    </row>
    <row r="57555" spans="3:3" x14ac:dyDescent="0.35">
      <c r="C57555" s="2"/>
    </row>
    <row r="57556" spans="3:3" x14ac:dyDescent="0.35">
      <c r="C57556" s="2"/>
    </row>
    <row r="57557" spans="3:3" x14ac:dyDescent="0.35">
      <c r="C57557" s="2"/>
    </row>
    <row r="57558" spans="3:3" x14ac:dyDescent="0.35">
      <c r="C57558" s="2"/>
    </row>
    <row r="57559" spans="3:3" x14ac:dyDescent="0.35">
      <c r="C57559" s="2"/>
    </row>
    <row r="57560" spans="3:3" x14ac:dyDescent="0.35">
      <c r="C57560" s="2"/>
    </row>
    <row r="57561" spans="3:3" x14ac:dyDescent="0.35">
      <c r="C57561" s="2"/>
    </row>
    <row r="57562" spans="3:3" x14ac:dyDescent="0.35">
      <c r="C57562" s="2"/>
    </row>
    <row r="57563" spans="3:3" x14ac:dyDescent="0.35">
      <c r="C57563" s="2"/>
    </row>
    <row r="57564" spans="3:3" x14ac:dyDescent="0.35">
      <c r="C57564" s="2"/>
    </row>
    <row r="57565" spans="3:3" x14ac:dyDescent="0.35">
      <c r="C57565" s="2"/>
    </row>
    <row r="57566" spans="3:3" x14ac:dyDescent="0.35">
      <c r="C57566" s="2"/>
    </row>
    <row r="57567" spans="3:3" x14ac:dyDescent="0.35">
      <c r="C57567" s="2"/>
    </row>
    <row r="57568" spans="3:3" x14ac:dyDescent="0.35">
      <c r="C57568" s="2"/>
    </row>
    <row r="57569" spans="3:3" x14ac:dyDescent="0.35">
      <c r="C57569" s="2"/>
    </row>
    <row r="57570" spans="3:3" x14ac:dyDescent="0.35">
      <c r="C57570" s="2"/>
    </row>
    <row r="57571" spans="3:3" x14ac:dyDescent="0.35">
      <c r="C57571" s="2"/>
    </row>
    <row r="57572" spans="3:3" x14ac:dyDescent="0.35">
      <c r="C57572" s="2"/>
    </row>
    <row r="57573" spans="3:3" x14ac:dyDescent="0.35">
      <c r="C57573" s="2"/>
    </row>
    <row r="57574" spans="3:3" x14ac:dyDescent="0.35">
      <c r="C57574" s="2"/>
    </row>
    <row r="57575" spans="3:3" x14ac:dyDescent="0.35">
      <c r="C57575" s="2"/>
    </row>
    <row r="57576" spans="3:3" x14ac:dyDescent="0.35">
      <c r="C57576" s="2"/>
    </row>
    <row r="57577" spans="3:3" x14ac:dyDescent="0.35">
      <c r="C57577" s="2"/>
    </row>
    <row r="57578" spans="3:3" x14ac:dyDescent="0.35">
      <c r="C57578" s="2"/>
    </row>
    <row r="57579" spans="3:3" x14ac:dyDescent="0.35">
      <c r="C57579" s="2"/>
    </row>
    <row r="57580" spans="3:3" x14ac:dyDescent="0.35">
      <c r="C57580" s="2"/>
    </row>
    <row r="57581" spans="3:3" x14ac:dyDescent="0.35">
      <c r="C57581" s="2"/>
    </row>
    <row r="57582" spans="3:3" x14ac:dyDescent="0.35">
      <c r="C57582" s="2"/>
    </row>
    <row r="57583" spans="3:3" x14ac:dyDescent="0.35">
      <c r="C57583" s="2"/>
    </row>
    <row r="57584" spans="3:3" x14ac:dyDescent="0.35">
      <c r="C57584" s="2"/>
    </row>
    <row r="57585" spans="3:3" x14ac:dyDescent="0.35">
      <c r="C57585" s="2"/>
    </row>
    <row r="57586" spans="3:3" x14ac:dyDescent="0.35">
      <c r="C57586" s="2"/>
    </row>
    <row r="57587" spans="3:3" x14ac:dyDescent="0.35">
      <c r="C57587" s="2"/>
    </row>
    <row r="57588" spans="3:3" x14ac:dyDescent="0.35">
      <c r="C57588" s="2"/>
    </row>
    <row r="57589" spans="3:3" x14ac:dyDescent="0.35">
      <c r="C57589" s="2"/>
    </row>
    <row r="57590" spans="3:3" x14ac:dyDescent="0.35">
      <c r="C57590" s="2"/>
    </row>
    <row r="57591" spans="3:3" x14ac:dyDescent="0.35">
      <c r="C57591" s="2"/>
    </row>
    <row r="57592" spans="3:3" x14ac:dyDescent="0.35">
      <c r="C57592" s="2"/>
    </row>
    <row r="57593" spans="3:3" x14ac:dyDescent="0.35">
      <c r="C57593" s="2"/>
    </row>
    <row r="57594" spans="3:3" x14ac:dyDescent="0.35">
      <c r="C57594" s="2"/>
    </row>
    <row r="57595" spans="3:3" x14ac:dyDescent="0.35">
      <c r="C57595" s="2"/>
    </row>
    <row r="57596" spans="3:3" x14ac:dyDescent="0.35">
      <c r="C57596" s="2"/>
    </row>
    <row r="57597" spans="3:3" x14ac:dyDescent="0.35">
      <c r="C57597" s="2"/>
    </row>
    <row r="57598" spans="3:3" x14ac:dyDescent="0.35">
      <c r="C57598" s="2"/>
    </row>
    <row r="57599" spans="3:3" x14ac:dyDescent="0.35">
      <c r="C57599" s="2"/>
    </row>
    <row r="57600" spans="3:3" x14ac:dyDescent="0.35">
      <c r="C57600" s="2"/>
    </row>
    <row r="57601" spans="3:3" x14ac:dyDescent="0.35">
      <c r="C57601" s="2"/>
    </row>
    <row r="57602" spans="3:3" x14ac:dyDescent="0.35">
      <c r="C57602" s="2"/>
    </row>
    <row r="57603" spans="3:3" x14ac:dyDescent="0.35">
      <c r="C57603" s="2"/>
    </row>
    <row r="57604" spans="3:3" x14ac:dyDescent="0.35">
      <c r="C57604" s="2"/>
    </row>
    <row r="57605" spans="3:3" x14ac:dyDescent="0.35">
      <c r="C57605" s="2"/>
    </row>
    <row r="57606" spans="3:3" x14ac:dyDescent="0.35">
      <c r="C57606" s="2"/>
    </row>
    <row r="57607" spans="3:3" x14ac:dyDescent="0.35">
      <c r="C57607" s="2"/>
    </row>
    <row r="57608" spans="3:3" x14ac:dyDescent="0.35">
      <c r="C57608" s="2"/>
    </row>
    <row r="57609" spans="3:3" x14ac:dyDescent="0.35">
      <c r="C57609" s="2"/>
    </row>
    <row r="57610" spans="3:3" x14ac:dyDescent="0.35">
      <c r="C57610" s="2"/>
    </row>
    <row r="57611" spans="3:3" x14ac:dyDescent="0.35">
      <c r="C57611" s="2"/>
    </row>
    <row r="57612" spans="3:3" x14ac:dyDescent="0.35">
      <c r="C57612" s="2"/>
    </row>
    <row r="57613" spans="3:3" x14ac:dyDescent="0.35">
      <c r="C57613" s="2"/>
    </row>
    <row r="57614" spans="3:3" x14ac:dyDescent="0.35">
      <c r="C57614" s="2"/>
    </row>
    <row r="57615" spans="3:3" x14ac:dyDescent="0.35">
      <c r="C57615" s="2"/>
    </row>
    <row r="57616" spans="3:3" x14ac:dyDescent="0.35">
      <c r="C57616" s="2"/>
    </row>
    <row r="57617" spans="3:3" x14ac:dyDescent="0.35">
      <c r="C57617" s="2"/>
    </row>
    <row r="57618" spans="3:3" x14ac:dyDescent="0.35">
      <c r="C57618" s="2"/>
    </row>
    <row r="57619" spans="3:3" x14ac:dyDescent="0.35">
      <c r="C57619" s="2"/>
    </row>
    <row r="57620" spans="3:3" x14ac:dyDescent="0.35">
      <c r="C57620" s="2"/>
    </row>
    <row r="57621" spans="3:3" x14ac:dyDescent="0.35">
      <c r="C57621" s="2"/>
    </row>
    <row r="57622" spans="3:3" x14ac:dyDescent="0.35">
      <c r="C57622" s="2"/>
    </row>
    <row r="57623" spans="3:3" x14ac:dyDescent="0.35">
      <c r="C57623" s="2"/>
    </row>
    <row r="57624" spans="3:3" x14ac:dyDescent="0.35">
      <c r="C57624" s="2"/>
    </row>
    <row r="57625" spans="3:3" x14ac:dyDescent="0.35">
      <c r="C57625" s="2"/>
    </row>
    <row r="57626" spans="3:3" x14ac:dyDescent="0.35">
      <c r="C57626" s="2"/>
    </row>
    <row r="57627" spans="3:3" x14ac:dyDescent="0.35">
      <c r="C57627" s="2"/>
    </row>
    <row r="57628" spans="3:3" x14ac:dyDescent="0.35">
      <c r="C57628" s="2"/>
    </row>
    <row r="57629" spans="3:3" x14ac:dyDescent="0.35">
      <c r="C57629" s="2"/>
    </row>
    <row r="57630" spans="3:3" x14ac:dyDescent="0.35">
      <c r="C57630" s="2"/>
    </row>
    <row r="57631" spans="3:3" x14ac:dyDescent="0.35">
      <c r="C57631" s="2"/>
    </row>
    <row r="57632" spans="3:3" x14ac:dyDescent="0.35">
      <c r="C57632" s="2"/>
    </row>
    <row r="57633" spans="3:3" x14ac:dyDescent="0.35">
      <c r="C57633" s="2"/>
    </row>
    <row r="57634" spans="3:3" x14ac:dyDescent="0.35">
      <c r="C57634" s="2"/>
    </row>
    <row r="57635" spans="3:3" x14ac:dyDescent="0.35">
      <c r="C57635" s="2"/>
    </row>
    <row r="57636" spans="3:3" x14ac:dyDescent="0.35">
      <c r="C57636" s="2"/>
    </row>
    <row r="57637" spans="3:3" x14ac:dyDescent="0.35">
      <c r="C57637" s="2"/>
    </row>
    <row r="57638" spans="3:3" x14ac:dyDescent="0.35">
      <c r="C57638" s="2"/>
    </row>
    <row r="57639" spans="3:3" x14ac:dyDescent="0.35">
      <c r="C57639" s="2"/>
    </row>
    <row r="57640" spans="3:3" x14ac:dyDescent="0.35">
      <c r="C57640" s="2"/>
    </row>
    <row r="57641" spans="3:3" x14ac:dyDescent="0.35">
      <c r="C57641" s="2"/>
    </row>
    <row r="57642" spans="3:3" x14ac:dyDescent="0.35">
      <c r="C57642" s="2"/>
    </row>
    <row r="57643" spans="3:3" x14ac:dyDescent="0.35">
      <c r="C57643" s="2"/>
    </row>
    <row r="57644" spans="3:3" x14ac:dyDescent="0.35">
      <c r="C57644" s="2"/>
    </row>
    <row r="57645" spans="3:3" x14ac:dyDescent="0.35">
      <c r="C57645" s="2"/>
    </row>
    <row r="57646" spans="3:3" x14ac:dyDescent="0.35">
      <c r="C57646" s="2"/>
    </row>
    <row r="57647" spans="3:3" x14ac:dyDescent="0.35">
      <c r="C57647" s="2"/>
    </row>
    <row r="57648" spans="3:3" x14ac:dyDescent="0.35">
      <c r="C57648" s="2"/>
    </row>
    <row r="57649" spans="3:3" x14ac:dyDescent="0.35">
      <c r="C57649" s="2"/>
    </row>
    <row r="57650" spans="3:3" x14ac:dyDescent="0.35">
      <c r="C57650" s="2"/>
    </row>
    <row r="57651" spans="3:3" x14ac:dyDescent="0.35">
      <c r="C57651" s="2"/>
    </row>
    <row r="57652" spans="3:3" x14ac:dyDescent="0.35">
      <c r="C57652" s="2"/>
    </row>
    <row r="57653" spans="3:3" x14ac:dyDescent="0.35">
      <c r="C57653" s="2"/>
    </row>
    <row r="57654" spans="3:3" x14ac:dyDescent="0.35">
      <c r="C57654" s="2"/>
    </row>
    <row r="57655" spans="3:3" x14ac:dyDescent="0.35">
      <c r="C57655" s="2"/>
    </row>
    <row r="57656" spans="3:3" x14ac:dyDescent="0.35">
      <c r="C57656" s="2"/>
    </row>
    <row r="57657" spans="3:3" x14ac:dyDescent="0.35">
      <c r="C57657" s="2"/>
    </row>
    <row r="57658" spans="3:3" x14ac:dyDescent="0.35">
      <c r="C57658" s="2"/>
    </row>
    <row r="57659" spans="3:3" x14ac:dyDescent="0.35">
      <c r="C57659" s="2"/>
    </row>
    <row r="57660" spans="3:3" x14ac:dyDescent="0.35">
      <c r="C57660" s="2"/>
    </row>
    <row r="57661" spans="3:3" x14ac:dyDescent="0.35">
      <c r="C57661" s="2"/>
    </row>
    <row r="57662" spans="3:3" x14ac:dyDescent="0.35">
      <c r="C57662" s="2"/>
    </row>
    <row r="57663" spans="3:3" x14ac:dyDescent="0.35">
      <c r="C57663" s="2"/>
    </row>
    <row r="57664" spans="3:3" x14ac:dyDescent="0.35">
      <c r="C57664" s="2"/>
    </row>
    <row r="57665" spans="3:3" x14ac:dyDescent="0.35">
      <c r="C57665" s="2"/>
    </row>
    <row r="57666" spans="3:3" x14ac:dyDescent="0.35">
      <c r="C57666" s="2"/>
    </row>
    <row r="57667" spans="3:3" x14ac:dyDescent="0.35">
      <c r="C57667" s="2"/>
    </row>
    <row r="57668" spans="3:3" x14ac:dyDescent="0.35">
      <c r="C57668" s="2"/>
    </row>
    <row r="57669" spans="3:3" x14ac:dyDescent="0.35">
      <c r="C57669" s="2"/>
    </row>
    <row r="57670" spans="3:3" x14ac:dyDescent="0.35">
      <c r="C57670" s="2"/>
    </row>
    <row r="57671" spans="3:3" x14ac:dyDescent="0.35">
      <c r="C57671" s="2"/>
    </row>
    <row r="57672" spans="3:3" x14ac:dyDescent="0.35">
      <c r="C57672" s="2"/>
    </row>
    <row r="57673" spans="3:3" x14ac:dyDescent="0.35">
      <c r="C57673" s="2"/>
    </row>
    <row r="57674" spans="3:3" x14ac:dyDescent="0.35">
      <c r="C57674" s="2"/>
    </row>
    <row r="57675" spans="3:3" x14ac:dyDescent="0.35">
      <c r="C57675" s="2"/>
    </row>
    <row r="57676" spans="3:3" x14ac:dyDescent="0.35">
      <c r="C57676" s="2"/>
    </row>
    <row r="57677" spans="3:3" x14ac:dyDescent="0.35">
      <c r="C57677" s="2"/>
    </row>
    <row r="57678" spans="3:3" x14ac:dyDescent="0.35">
      <c r="C57678" s="2"/>
    </row>
    <row r="57679" spans="3:3" x14ac:dyDescent="0.35">
      <c r="C57679" s="2"/>
    </row>
    <row r="57680" spans="3:3" x14ac:dyDescent="0.35">
      <c r="C57680" s="2"/>
    </row>
    <row r="57681" spans="3:3" x14ac:dyDescent="0.35">
      <c r="C57681" s="2"/>
    </row>
    <row r="57682" spans="3:3" x14ac:dyDescent="0.35">
      <c r="C57682" s="2"/>
    </row>
    <row r="57683" spans="3:3" x14ac:dyDescent="0.35">
      <c r="C57683" s="2"/>
    </row>
    <row r="57684" spans="3:3" x14ac:dyDescent="0.35">
      <c r="C57684" s="2"/>
    </row>
    <row r="57685" spans="3:3" x14ac:dyDescent="0.35">
      <c r="C57685" s="2"/>
    </row>
    <row r="57686" spans="3:3" x14ac:dyDescent="0.35">
      <c r="C57686" s="2"/>
    </row>
    <row r="57687" spans="3:3" x14ac:dyDescent="0.35">
      <c r="C57687" s="2"/>
    </row>
    <row r="57688" spans="3:3" x14ac:dyDescent="0.35">
      <c r="C57688" s="2"/>
    </row>
    <row r="57689" spans="3:3" x14ac:dyDescent="0.35">
      <c r="C57689" s="2"/>
    </row>
    <row r="57690" spans="3:3" x14ac:dyDescent="0.35">
      <c r="C57690" s="2"/>
    </row>
    <row r="57691" spans="3:3" x14ac:dyDescent="0.35">
      <c r="C57691" s="2"/>
    </row>
    <row r="57692" spans="3:3" x14ac:dyDescent="0.35">
      <c r="C57692" s="2"/>
    </row>
    <row r="57693" spans="3:3" x14ac:dyDescent="0.35">
      <c r="C57693" s="2"/>
    </row>
    <row r="57694" spans="3:3" x14ac:dyDescent="0.35">
      <c r="C57694" s="2"/>
    </row>
    <row r="57695" spans="3:3" x14ac:dyDescent="0.35">
      <c r="C57695" s="2"/>
    </row>
    <row r="57696" spans="3:3" x14ac:dyDescent="0.35">
      <c r="C57696" s="2"/>
    </row>
    <row r="57697" spans="3:3" x14ac:dyDescent="0.35">
      <c r="C57697" s="2"/>
    </row>
    <row r="57698" spans="3:3" x14ac:dyDescent="0.35">
      <c r="C57698" s="2"/>
    </row>
    <row r="57699" spans="3:3" x14ac:dyDescent="0.35">
      <c r="C57699" s="2"/>
    </row>
    <row r="57700" spans="3:3" x14ac:dyDescent="0.35">
      <c r="C57700" s="2"/>
    </row>
    <row r="57701" spans="3:3" x14ac:dyDescent="0.35">
      <c r="C57701" s="2"/>
    </row>
    <row r="57702" spans="3:3" x14ac:dyDescent="0.35">
      <c r="C57702" s="2"/>
    </row>
    <row r="57703" spans="3:3" x14ac:dyDescent="0.35">
      <c r="C57703" s="2"/>
    </row>
    <row r="57704" spans="3:3" x14ac:dyDescent="0.35">
      <c r="C57704" s="2"/>
    </row>
    <row r="57705" spans="3:3" x14ac:dyDescent="0.35">
      <c r="C57705" s="2"/>
    </row>
    <row r="57706" spans="3:3" x14ac:dyDescent="0.35">
      <c r="C57706" s="2"/>
    </row>
    <row r="57707" spans="3:3" x14ac:dyDescent="0.35">
      <c r="C57707" s="2"/>
    </row>
    <row r="57708" spans="3:3" x14ac:dyDescent="0.35">
      <c r="C57708" s="2"/>
    </row>
    <row r="57709" spans="3:3" x14ac:dyDescent="0.35">
      <c r="C57709" s="2"/>
    </row>
    <row r="57710" spans="3:3" x14ac:dyDescent="0.35">
      <c r="C57710" s="2"/>
    </row>
    <row r="57711" spans="3:3" x14ac:dyDescent="0.35">
      <c r="C57711" s="2"/>
    </row>
    <row r="57712" spans="3:3" x14ac:dyDescent="0.35">
      <c r="C57712" s="2"/>
    </row>
    <row r="57713" spans="3:3" x14ac:dyDescent="0.35">
      <c r="C57713" s="2"/>
    </row>
    <row r="57714" spans="3:3" x14ac:dyDescent="0.35">
      <c r="C57714" s="2"/>
    </row>
    <row r="57715" spans="3:3" x14ac:dyDescent="0.35">
      <c r="C57715" s="2"/>
    </row>
    <row r="57716" spans="3:3" x14ac:dyDescent="0.35">
      <c r="C57716" s="2"/>
    </row>
    <row r="57717" spans="3:3" x14ac:dyDescent="0.35">
      <c r="C57717" s="2"/>
    </row>
    <row r="57718" spans="3:3" x14ac:dyDescent="0.35">
      <c r="C57718" s="2"/>
    </row>
    <row r="57719" spans="3:3" x14ac:dyDescent="0.35">
      <c r="C57719" s="2"/>
    </row>
    <row r="57720" spans="3:3" x14ac:dyDescent="0.35">
      <c r="C57720" s="2"/>
    </row>
    <row r="57721" spans="3:3" x14ac:dyDescent="0.35">
      <c r="C57721" s="2"/>
    </row>
    <row r="57722" spans="3:3" x14ac:dyDescent="0.35">
      <c r="C57722" s="2"/>
    </row>
    <row r="57723" spans="3:3" x14ac:dyDescent="0.35">
      <c r="C57723" s="2"/>
    </row>
    <row r="57724" spans="3:3" x14ac:dyDescent="0.35">
      <c r="C57724" s="2"/>
    </row>
    <row r="57725" spans="3:3" x14ac:dyDescent="0.35">
      <c r="C57725" s="2"/>
    </row>
    <row r="57726" spans="3:3" x14ac:dyDescent="0.35">
      <c r="C57726" s="2"/>
    </row>
    <row r="57727" spans="3:3" x14ac:dyDescent="0.35">
      <c r="C57727" s="2"/>
    </row>
    <row r="57728" spans="3:3" x14ac:dyDescent="0.35">
      <c r="C57728" s="2"/>
    </row>
    <row r="57729" spans="3:3" x14ac:dyDescent="0.35">
      <c r="C57729" s="2"/>
    </row>
    <row r="57730" spans="3:3" x14ac:dyDescent="0.35">
      <c r="C57730" s="2"/>
    </row>
    <row r="57731" spans="3:3" x14ac:dyDescent="0.35">
      <c r="C57731" s="2"/>
    </row>
    <row r="57732" spans="3:3" x14ac:dyDescent="0.35">
      <c r="C57732" s="2"/>
    </row>
    <row r="57733" spans="3:3" x14ac:dyDescent="0.35">
      <c r="C57733" s="2"/>
    </row>
    <row r="57734" spans="3:3" x14ac:dyDescent="0.35">
      <c r="C57734" s="2"/>
    </row>
    <row r="57735" spans="3:3" x14ac:dyDescent="0.35">
      <c r="C57735" s="2"/>
    </row>
    <row r="57736" spans="3:3" x14ac:dyDescent="0.35">
      <c r="C57736" s="2"/>
    </row>
    <row r="57737" spans="3:3" x14ac:dyDescent="0.35">
      <c r="C57737" s="2"/>
    </row>
    <row r="57738" spans="3:3" x14ac:dyDescent="0.35">
      <c r="C57738" s="2"/>
    </row>
    <row r="57739" spans="3:3" x14ac:dyDescent="0.35">
      <c r="C57739" s="2"/>
    </row>
    <row r="57740" spans="3:3" x14ac:dyDescent="0.35">
      <c r="C57740" s="2"/>
    </row>
    <row r="57741" spans="3:3" x14ac:dyDescent="0.35">
      <c r="C57741" s="2"/>
    </row>
    <row r="57742" spans="3:3" x14ac:dyDescent="0.35">
      <c r="C57742" s="2"/>
    </row>
    <row r="57743" spans="3:3" x14ac:dyDescent="0.35">
      <c r="C57743" s="2"/>
    </row>
    <row r="57744" spans="3:3" x14ac:dyDescent="0.35">
      <c r="C57744" s="2"/>
    </row>
    <row r="57745" spans="3:3" x14ac:dyDescent="0.35">
      <c r="C57745" s="2"/>
    </row>
    <row r="57746" spans="3:3" x14ac:dyDescent="0.35">
      <c r="C57746" s="2"/>
    </row>
    <row r="57747" spans="3:3" x14ac:dyDescent="0.35">
      <c r="C57747" s="2"/>
    </row>
    <row r="57748" spans="3:3" x14ac:dyDescent="0.35">
      <c r="C57748" s="2"/>
    </row>
    <row r="57749" spans="3:3" x14ac:dyDescent="0.35">
      <c r="C57749" s="2"/>
    </row>
    <row r="57750" spans="3:3" x14ac:dyDescent="0.35">
      <c r="C57750" s="2"/>
    </row>
    <row r="57751" spans="3:3" x14ac:dyDescent="0.35">
      <c r="C57751" s="2"/>
    </row>
    <row r="57752" spans="3:3" x14ac:dyDescent="0.35">
      <c r="C57752" s="2"/>
    </row>
    <row r="57753" spans="3:3" x14ac:dyDescent="0.35">
      <c r="C57753" s="2"/>
    </row>
    <row r="57754" spans="3:3" x14ac:dyDescent="0.35">
      <c r="C57754" s="2"/>
    </row>
    <row r="57755" spans="3:3" x14ac:dyDescent="0.35">
      <c r="C57755" s="2"/>
    </row>
    <row r="57756" spans="3:3" x14ac:dyDescent="0.35">
      <c r="C57756" s="2"/>
    </row>
    <row r="57757" spans="3:3" x14ac:dyDescent="0.35">
      <c r="C57757" s="2"/>
    </row>
    <row r="57758" spans="3:3" x14ac:dyDescent="0.35">
      <c r="C57758" s="2"/>
    </row>
    <row r="57759" spans="3:3" x14ac:dyDescent="0.35">
      <c r="C57759" s="2"/>
    </row>
    <row r="57760" spans="3:3" x14ac:dyDescent="0.35">
      <c r="C57760" s="2"/>
    </row>
    <row r="57761" spans="3:3" x14ac:dyDescent="0.35">
      <c r="C57761" s="2"/>
    </row>
    <row r="57762" spans="3:3" x14ac:dyDescent="0.35">
      <c r="C57762" s="2"/>
    </row>
    <row r="57763" spans="3:3" x14ac:dyDescent="0.35">
      <c r="C57763" s="2"/>
    </row>
    <row r="57764" spans="3:3" x14ac:dyDescent="0.35">
      <c r="C57764" s="2"/>
    </row>
    <row r="57765" spans="3:3" x14ac:dyDescent="0.35">
      <c r="C57765" s="2"/>
    </row>
    <row r="57766" spans="3:3" x14ac:dyDescent="0.35">
      <c r="C57766" s="2"/>
    </row>
    <row r="57767" spans="3:3" x14ac:dyDescent="0.35">
      <c r="C57767" s="2"/>
    </row>
    <row r="57768" spans="3:3" x14ac:dyDescent="0.35">
      <c r="C57768" s="2"/>
    </row>
    <row r="57769" spans="3:3" x14ac:dyDescent="0.35">
      <c r="C57769" s="2"/>
    </row>
    <row r="57770" spans="3:3" x14ac:dyDescent="0.35">
      <c r="C57770" s="2"/>
    </row>
    <row r="57771" spans="3:3" x14ac:dyDescent="0.35">
      <c r="C57771" s="2"/>
    </row>
    <row r="57772" spans="3:3" x14ac:dyDescent="0.35">
      <c r="C57772" s="2"/>
    </row>
    <row r="57773" spans="3:3" x14ac:dyDescent="0.35">
      <c r="C57773" s="2"/>
    </row>
    <row r="57774" spans="3:3" x14ac:dyDescent="0.35">
      <c r="C57774" s="2"/>
    </row>
    <row r="57775" spans="3:3" x14ac:dyDescent="0.35">
      <c r="C57775" s="2"/>
    </row>
    <row r="57776" spans="3:3" x14ac:dyDescent="0.35">
      <c r="C57776" s="2"/>
    </row>
    <row r="57777" spans="3:3" x14ac:dyDescent="0.35">
      <c r="C57777" s="2"/>
    </row>
    <row r="57778" spans="3:3" x14ac:dyDescent="0.35">
      <c r="C57778" s="2"/>
    </row>
    <row r="57779" spans="3:3" x14ac:dyDescent="0.35">
      <c r="C57779" s="2"/>
    </row>
    <row r="57780" spans="3:3" x14ac:dyDescent="0.35">
      <c r="C57780" s="2"/>
    </row>
    <row r="57781" spans="3:3" x14ac:dyDescent="0.35">
      <c r="C57781" s="2"/>
    </row>
    <row r="57782" spans="3:3" x14ac:dyDescent="0.35">
      <c r="C57782" s="2"/>
    </row>
    <row r="57783" spans="3:3" x14ac:dyDescent="0.35">
      <c r="C57783" s="2"/>
    </row>
    <row r="57784" spans="3:3" x14ac:dyDescent="0.35">
      <c r="C57784" s="2"/>
    </row>
    <row r="57785" spans="3:3" x14ac:dyDescent="0.35">
      <c r="C57785" s="2"/>
    </row>
    <row r="57786" spans="3:3" x14ac:dyDescent="0.35">
      <c r="C57786" s="2"/>
    </row>
    <row r="57787" spans="3:3" x14ac:dyDescent="0.35">
      <c r="C57787" s="2"/>
    </row>
    <row r="57788" spans="3:3" x14ac:dyDescent="0.35">
      <c r="C57788" s="2"/>
    </row>
    <row r="57789" spans="3:3" x14ac:dyDescent="0.35">
      <c r="C57789" s="2"/>
    </row>
    <row r="57790" spans="3:3" x14ac:dyDescent="0.35">
      <c r="C57790" s="2"/>
    </row>
    <row r="57791" spans="3:3" x14ac:dyDescent="0.35">
      <c r="C57791" s="2"/>
    </row>
    <row r="57792" spans="3:3" x14ac:dyDescent="0.35">
      <c r="C57792" s="2"/>
    </row>
    <row r="57793" spans="3:3" x14ac:dyDescent="0.35">
      <c r="C57793" s="2"/>
    </row>
    <row r="57794" spans="3:3" x14ac:dyDescent="0.35">
      <c r="C57794" s="2"/>
    </row>
    <row r="57795" spans="3:3" x14ac:dyDescent="0.35">
      <c r="C57795" s="2"/>
    </row>
    <row r="57796" spans="3:3" x14ac:dyDescent="0.35">
      <c r="C57796" s="2"/>
    </row>
    <row r="57797" spans="3:3" x14ac:dyDescent="0.35">
      <c r="C57797" s="2"/>
    </row>
    <row r="57798" spans="3:3" x14ac:dyDescent="0.35">
      <c r="C57798" s="2"/>
    </row>
    <row r="57799" spans="3:3" x14ac:dyDescent="0.35">
      <c r="C57799" s="2"/>
    </row>
    <row r="57800" spans="3:3" x14ac:dyDescent="0.35">
      <c r="C57800" s="2"/>
    </row>
    <row r="57801" spans="3:3" x14ac:dyDescent="0.35">
      <c r="C57801" s="2"/>
    </row>
    <row r="57802" spans="3:3" x14ac:dyDescent="0.35">
      <c r="C57802" s="2"/>
    </row>
    <row r="57803" spans="3:3" x14ac:dyDescent="0.35">
      <c r="C57803" s="2"/>
    </row>
    <row r="57804" spans="3:3" x14ac:dyDescent="0.35">
      <c r="C57804" s="2"/>
    </row>
    <row r="57805" spans="3:3" x14ac:dyDescent="0.35">
      <c r="C57805" s="2"/>
    </row>
    <row r="57806" spans="3:3" x14ac:dyDescent="0.35">
      <c r="C57806" s="2"/>
    </row>
    <row r="57807" spans="3:3" x14ac:dyDescent="0.35">
      <c r="C57807" s="2"/>
    </row>
    <row r="57808" spans="3:3" x14ac:dyDescent="0.35">
      <c r="C57808" s="2"/>
    </row>
    <row r="57809" spans="3:3" x14ac:dyDescent="0.35">
      <c r="C57809" s="2"/>
    </row>
    <row r="57810" spans="3:3" x14ac:dyDescent="0.35">
      <c r="C57810" s="2"/>
    </row>
    <row r="57811" spans="3:3" x14ac:dyDescent="0.35">
      <c r="C57811" s="2"/>
    </row>
    <row r="57812" spans="3:3" x14ac:dyDescent="0.35">
      <c r="C57812" s="2"/>
    </row>
    <row r="57813" spans="3:3" x14ac:dyDescent="0.35">
      <c r="C57813" s="2"/>
    </row>
    <row r="57814" spans="3:3" x14ac:dyDescent="0.35">
      <c r="C57814" s="2"/>
    </row>
    <row r="57815" spans="3:3" x14ac:dyDescent="0.35">
      <c r="C57815" s="2"/>
    </row>
    <row r="57816" spans="3:3" x14ac:dyDescent="0.35">
      <c r="C57816" s="2"/>
    </row>
    <row r="57817" spans="3:3" x14ac:dyDescent="0.35">
      <c r="C57817" s="2"/>
    </row>
    <row r="57818" spans="3:3" x14ac:dyDescent="0.35">
      <c r="C57818" s="2"/>
    </row>
    <row r="57819" spans="3:3" x14ac:dyDescent="0.35">
      <c r="C57819" s="2"/>
    </row>
    <row r="57820" spans="3:3" x14ac:dyDescent="0.35">
      <c r="C57820" s="2"/>
    </row>
    <row r="57821" spans="3:3" x14ac:dyDescent="0.35">
      <c r="C57821" s="2"/>
    </row>
    <row r="57822" spans="3:3" x14ac:dyDescent="0.35">
      <c r="C57822" s="2"/>
    </row>
    <row r="57823" spans="3:3" x14ac:dyDescent="0.35">
      <c r="C57823" s="2"/>
    </row>
    <row r="57824" spans="3:3" x14ac:dyDescent="0.35">
      <c r="C57824" s="2"/>
    </row>
    <row r="57825" spans="3:3" x14ac:dyDescent="0.35">
      <c r="C57825" s="2"/>
    </row>
    <row r="57826" spans="3:3" x14ac:dyDescent="0.35">
      <c r="C57826" s="2"/>
    </row>
    <row r="57827" spans="3:3" x14ac:dyDescent="0.35">
      <c r="C57827" s="2"/>
    </row>
    <row r="57828" spans="3:3" x14ac:dyDescent="0.35">
      <c r="C57828" s="2"/>
    </row>
    <row r="57829" spans="3:3" x14ac:dyDescent="0.35">
      <c r="C57829" s="2"/>
    </row>
    <row r="57830" spans="3:3" x14ac:dyDescent="0.35">
      <c r="C57830" s="2"/>
    </row>
    <row r="57831" spans="3:3" x14ac:dyDescent="0.35">
      <c r="C57831" s="2"/>
    </row>
    <row r="57832" spans="3:3" x14ac:dyDescent="0.35">
      <c r="C57832" s="2"/>
    </row>
    <row r="57833" spans="3:3" x14ac:dyDescent="0.35">
      <c r="C57833" s="2"/>
    </row>
    <row r="57834" spans="3:3" x14ac:dyDescent="0.35">
      <c r="C57834" s="2"/>
    </row>
    <row r="57835" spans="3:3" x14ac:dyDescent="0.35">
      <c r="C57835" s="2"/>
    </row>
    <row r="57836" spans="3:3" x14ac:dyDescent="0.35">
      <c r="C57836" s="2"/>
    </row>
    <row r="57837" spans="3:3" x14ac:dyDescent="0.35">
      <c r="C57837" s="2"/>
    </row>
    <row r="57838" spans="3:3" x14ac:dyDescent="0.35">
      <c r="C57838" s="2"/>
    </row>
    <row r="57839" spans="3:3" x14ac:dyDescent="0.35">
      <c r="C57839" s="2"/>
    </row>
    <row r="57840" spans="3:3" x14ac:dyDescent="0.35">
      <c r="C57840" s="2"/>
    </row>
    <row r="57841" spans="3:3" x14ac:dyDescent="0.35">
      <c r="C57841" s="2"/>
    </row>
    <row r="57842" spans="3:3" x14ac:dyDescent="0.35">
      <c r="C57842" s="2"/>
    </row>
    <row r="57843" spans="3:3" x14ac:dyDescent="0.35">
      <c r="C57843" s="2"/>
    </row>
    <row r="57844" spans="3:3" x14ac:dyDescent="0.35">
      <c r="C57844" s="2"/>
    </row>
    <row r="57845" spans="3:3" x14ac:dyDescent="0.35">
      <c r="C57845" s="2"/>
    </row>
    <row r="57846" spans="3:3" x14ac:dyDescent="0.35">
      <c r="C57846" s="2"/>
    </row>
    <row r="57847" spans="3:3" x14ac:dyDescent="0.35">
      <c r="C57847" s="2"/>
    </row>
    <row r="57848" spans="3:3" x14ac:dyDescent="0.35">
      <c r="C57848" s="2"/>
    </row>
    <row r="57849" spans="3:3" x14ac:dyDescent="0.35">
      <c r="C57849" s="2"/>
    </row>
    <row r="57850" spans="3:3" x14ac:dyDescent="0.35">
      <c r="C57850" s="2"/>
    </row>
    <row r="57851" spans="3:3" x14ac:dyDescent="0.35">
      <c r="C57851" s="2"/>
    </row>
    <row r="57852" spans="3:3" x14ac:dyDescent="0.35">
      <c r="C57852" s="2"/>
    </row>
    <row r="57853" spans="3:3" x14ac:dyDescent="0.35">
      <c r="C57853" s="2"/>
    </row>
    <row r="57854" spans="3:3" x14ac:dyDescent="0.35">
      <c r="C57854" s="2"/>
    </row>
    <row r="57855" spans="3:3" x14ac:dyDescent="0.35">
      <c r="C57855" s="2"/>
    </row>
    <row r="57856" spans="3:3" x14ac:dyDescent="0.35">
      <c r="C57856" s="2"/>
    </row>
    <row r="57857" spans="3:3" x14ac:dyDescent="0.35">
      <c r="C57857" s="2"/>
    </row>
    <row r="57858" spans="3:3" x14ac:dyDescent="0.35">
      <c r="C57858" s="2"/>
    </row>
    <row r="57859" spans="3:3" x14ac:dyDescent="0.35">
      <c r="C57859" s="2"/>
    </row>
    <row r="57860" spans="3:3" x14ac:dyDescent="0.35">
      <c r="C57860" s="2"/>
    </row>
    <row r="57861" spans="3:3" x14ac:dyDescent="0.35">
      <c r="C57861" s="2"/>
    </row>
    <row r="57862" spans="3:3" x14ac:dyDescent="0.35">
      <c r="C57862" s="2"/>
    </row>
    <row r="57863" spans="3:3" x14ac:dyDescent="0.35">
      <c r="C57863" s="2"/>
    </row>
    <row r="57864" spans="3:3" x14ac:dyDescent="0.35">
      <c r="C57864" s="2"/>
    </row>
    <row r="57865" spans="3:3" x14ac:dyDescent="0.35">
      <c r="C57865" s="2"/>
    </row>
    <row r="57866" spans="3:3" x14ac:dyDescent="0.35">
      <c r="C57866" s="2"/>
    </row>
    <row r="57867" spans="3:3" x14ac:dyDescent="0.35">
      <c r="C57867" s="2"/>
    </row>
    <row r="57868" spans="3:3" x14ac:dyDescent="0.35">
      <c r="C57868" s="2"/>
    </row>
    <row r="57869" spans="3:3" x14ac:dyDescent="0.35">
      <c r="C57869" s="2"/>
    </row>
    <row r="57870" spans="3:3" x14ac:dyDescent="0.35">
      <c r="C57870" s="2"/>
    </row>
    <row r="57871" spans="3:3" x14ac:dyDescent="0.35">
      <c r="C57871" s="2"/>
    </row>
    <row r="57872" spans="3:3" x14ac:dyDescent="0.35">
      <c r="C57872" s="2"/>
    </row>
    <row r="57873" spans="3:3" x14ac:dyDescent="0.35">
      <c r="C57873" s="2"/>
    </row>
    <row r="57874" spans="3:3" x14ac:dyDescent="0.35">
      <c r="C57874" s="2"/>
    </row>
    <row r="57875" spans="3:3" x14ac:dyDescent="0.35">
      <c r="C57875" s="2"/>
    </row>
    <row r="57876" spans="3:3" x14ac:dyDescent="0.35">
      <c r="C57876" s="2"/>
    </row>
    <row r="57877" spans="3:3" x14ac:dyDescent="0.35">
      <c r="C57877" s="2"/>
    </row>
    <row r="57878" spans="3:3" x14ac:dyDescent="0.35">
      <c r="C57878" s="2"/>
    </row>
    <row r="57879" spans="3:3" x14ac:dyDescent="0.35">
      <c r="C57879" s="2"/>
    </row>
    <row r="57880" spans="3:3" x14ac:dyDescent="0.35">
      <c r="C57880" s="2"/>
    </row>
    <row r="57881" spans="3:3" x14ac:dyDescent="0.35">
      <c r="C57881" s="2"/>
    </row>
    <row r="57882" spans="3:3" x14ac:dyDescent="0.35">
      <c r="C57882" s="2"/>
    </row>
    <row r="57883" spans="3:3" x14ac:dyDescent="0.35">
      <c r="C57883" s="2"/>
    </row>
    <row r="57884" spans="3:3" x14ac:dyDescent="0.35">
      <c r="C57884" s="2"/>
    </row>
    <row r="57885" spans="3:3" x14ac:dyDescent="0.35">
      <c r="C57885" s="2"/>
    </row>
    <row r="57886" spans="3:3" x14ac:dyDescent="0.35">
      <c r="C57886" s="2"/>
    </row>
    <row r="57887" spans="3:3" x14ac:dyDescent="0.35">
      <c r="C57887" s="2"/>
    </row>
    <row r="57888" spans="3:3" x14ac:dyDescent="0.35">
      <c r="C57888" s="2"/>
    </row>
    <row r="57889" spans="3:3" x14ac:dyDescent="0.35">
      <c r="C57889" s="2"/>
    </row>
    <row r="57890" spans="3:3" x14ac:dyDescent="0.35">
      <c r="C57890" s="2"/>
    </row>
    <row r="57891" spans="3:3" x14ac:dyDescent="0.35">
      <c r="C57891" s="2"/>
    </row>
    <row r="57892" spans="3:3" x14ac:dyDescent="0.35">
      <c r="C57892" s="2"/>
    </row>
    <row r="57893" spans="3:3" x14ac:dyDescent="0.35">
      <c r="C57893" s="2"/>
    </row>
    <row r="57894" spans="3:3" x14ac:dyDescent="0.35">
      <c r="C57894" s="2"/>
    </row>
    <row r="57895" spans="3:3" x14ac:dyDescent="0.35">
      <c r="C57895" s="2"/>
    </row>
    <row r="57896" spans="3:3" x14ac:dyDescent="0.35">
      <c r="C57896" s="2"/>
    </row>
    <row r="57897" spans="3:3" x14ac:dyDescent="0.35">
      <c r="C57897" s="2"/>
    </row>
    <row r="57898" spans="3:3" x14ac:dyDescent="0.35">
      <c r="C57898" s="2"/>
    </row>
    <row r="57899" spans="3:3" x14ac:dyDescent="0.35">
      <c r="C57899" s="2"/>
    </row>
    <row r="57900" spans="3:3" x14ac:dyDescent="0.35">
      <c r="C57900" s="2"/>
    </row>
    <row r="57901" spans="3:3" x14ac:dyDescent="0.35">
      <c r="C57901" s="2"/>
    </row>
    <row r="57902" spans="3:3" x14ac:dyDescent="0.35">
      <c r="C57902" s="2"/>
    </row>
    <row r="57903" spans="3:3" x14ac:dyDescent="0.35">
      <c r="C57903" s="2"/>
    </row>
    <row r="57904" spans="3:3" x14ac:dyDescent="0.35">
      <c r="C57904" s="2"/>
    </row>
    <row r="57905" spans="3:3" x14ac:dyDescent="0.35">
      <c r="C57905" s="2"/>
    </row>
    <row r="57906" spans="3:3" x14ac:dyDescent="0.35">
      <c r="C57906" s="2"/>
    </row>
    <row r="57907" spans="3:3" x14ac:dyDescent="0.35">
      <c r="C57907" s="2"/>
    </row>
    <row r="57908" spans="3:3" x14ac:dyDescent="0.35">
      <c r="C57908" s="2"/>
    </row>
    <row r="57909" spans="3:3" x14ac:dyDescent="0.35">
      <c r="C57909" s="2"/>
    </row>
    <row r="57910" spans="3:3" x14ac:dyDescent="0.35">
      <c r="C57910" s="2"/>
    </row>
    <row r="57911" spans="3:3" x14ac:dyDescent="0.35">
      <c r="C57911" s="2"/>
    </row>
    <row r="57912" spans="3:3" x14ac:dyDescent="0.35">
      <c r="C57912" s="2"/>
    </row>
    <row r="57913" spans="3:3" x14ac:dyDescent="0.35">
      <c r="C57913" s="2"/>
    </row>
    <row r="57914" spans="3:3" x14ac:dyDescent="0.35">
      <c r="C57914" s="2"/>
    </row>
    <row r="57915" spans="3:3" x14ac:dyDescent="0.35">
      <c r="C57915" s="2"/>
    </row>
    <row r="57916" spans="3:3" x14ac:dyDescent="0.35">
      <c r="C57916" s="2"/>
    </row>
    <row r="57917" spans="3:3" x14ac:dyDescent="0.35">
      <c r="C57917" s="2"/>
    </row>
    <row r="57918" spans="3:3" x14ac:dyDescent="0.35">
      <c r="C57918" s="2"/>
    </row>
    <row r="57919" spans="3:3" x14ac:dyDescent="0.35">
      <c r="C57919" s="2"/>
    </row>
    <row r="57920" spans="3:3" x14ac:dyDescent="0.35">
      <c r="C57920" s="2"/>
    </row>
    <row r="57921" spans="3:3" x14ac:dyDescent="0.35">
      <c r="C57921" s="2"/>
    </row>
    <row r="57922" spans="3:3" x14ac:dyDescent="0.35">
      <c r="C57922" s="2"/>
    </row>
    <row r="57923" spans="3:3" x14ac:dyDescent="0.35">
      <c r="C57923" s="2"/>
    </row>
    <row r="57924" spans="3:3" x14ac:dyDescent="0.35">
      <c r="C57924" s="2"/>
    </row>
    <row r="57925" spans="3:3" x14ac:dyDescent="0.35">
      <c r="C57925" s="2"/>
    </row>
    <row r="57926" spans="3:3" x14ac:dyDescent="0.35">
      <c r="C57926" s="2"/>
    </row>
    <row r="57927" spans="3:3" x14ac:dyDescent="0.35">
      <c r="C57927" s="2"/>
    </row>
    <row r="57928" spans="3:3" x14ac:dyDescent="0.35">
      <c r="C57928" s="2"/>
    </row>
    <row r="57929" spans="3:3" x14ac:dyDescent="0.35">
      <c r="C57929" s="2"/>
    </row>
    <row r="57930" spans="3:3" x14ac:dyDescent="0.35">
      <c r="C57930" s="2"/>
    </row>
    <row r="57931" spans="3:3" x14ac:dyDescent="0.35">
      <c r="C57931" s="2"/>
    </row>
    <row r="57932" spans="3:3" x14ac:dyDescent="0.35">
      <c r="C57932" s="2"/>
    </row>
    <row r="57933" spans="3:3" x14ac:dyDescent="0.35">
      <c r="C57933" s="2"/>
    </row>
    <row r="57934" spans="3:3" x14ac:dyDescent="0.35">
      <c r="C57934" s="2"/>
    </row>
    <row r="57935" spans="3:3" x14ac:dyDescent="0.35">
      <c r="C57935" s="2"/>
    </row>
    <row r="57936" spans="3:3" x14ac:dyDescent="0.35">
      <c r="C57936" s="2"/>
    </row>
    <row r="57937" spans="3:3" x14ac:dyDescent="0.35">
      <c r="C57937" s="2"/>
    </row>
    <row r="57938" spans="3:3" x14ac:dyDescent="0.35">
      <c r="C57938" s="2"/>
    </row>
    <row r="57939" spans="3:3" x14ac:dyDescent="0.35">
      <c r="C57939" s="2"/>
    </row>
    <row r="57940" spans="3:3" x14ac:dyDescent="0.35">
      <c r="C57940" s="2"/>
    </row>
    <row r="57941" spans="3:3" x14ac:dyDescent="0.35">
      <c r="C57941" s="2"/>
    </row>
    <row r="57942" spans="3:3" x14ac:dyDescent="0.35">
      <c r="C57942" s="2"/>
    </row>
    <row r="57943" spans="3:3" x14ac:dyDescent="0.35">
      <c r="C57943" s="2"/>
    </row>
    <row r="57944" spans="3:3" x14ac:dyDescent="0.35">
      <c r="C57944" s="2"/>
    </row>
    <row r="57945" spans="3:3" x14ac:dyDescent="0.35">
      <c r="C57945" s="2"/>
    </row>
    <row r="57946" spans="3:3" x14ac:dyDescent="0.35">
      <c r="C57946" s="2"/>
    </row>
    <row r="57947" spans="3:3" x14ac:dyDescent="0.35">
      <c r="C57947" s="2"/>
    </row>
    <row r="57948" spans="3:3" x14ac:dyDescent="0.35">
      <c r="C57948" s="2"/>
    </row>
    <row r="57949" spans="3:3" x14ac:dyDescent="0.35">
      <c r="C57949" s="2"/>
    </row>
    <row r="57950" spans="3:3" x14ac:dyDescent="0.35">
      <c r="C57950" s="2"/>
    </row>
    <row r="57951" spans="3:3" x14ac:dyDescent="0.35">
      <c r="C57951" s="2"/>
    </row>
    <row r="57952" spans="3:3" x14ac:dyDescent="0.35">
      <c r="C57952" s="2"/>
    </row>
    <row r="57953" spans="3:3" x14ac:dyDescent="0.35">
      <c r="C57953" s="2"/>
    </row>
    <row r="57954" spans="3:3" x14ac:dyDescent="0.35">
      <c r="C57954" s="2"/>
    </row>
    <row r="57955" spans="3:3" x14ac:dyDescent="0.35">
      <c r="C57955" s="2"/>
    </row>
    <row r="57956" spans="3:3" x14ac:dyDescent="0.35">
      <c r="C57956" s="2"/>
    </row>
    <row r="57957" spans="3:3" x14ac:dyDescent="0.35">
      <c r="C57957" s="2"/>
    </row>
    <row r="57958" spans="3:3" x14ac:dyDescent="0.35">
      <c r="C57958" s="2"/>
    </row>
    <row r="57959" spans="3:3" x14ac:dyDescent="0.35">
      <c r="C57959" s="2"/>
    </row>
    <row r="57960" spans="3:3" x14ac:dyDescent="0.35">
      <c r="C57960" s="2"/>
    </row>
    <row r="57961" spans="3:3" x14ac:dyDescent="0.35">
      <c r="C57961" s="2"/>
    </row>
    <row r="57962" spans="3:3" x14ac:dyDescent="0.35">
      <c r="C57962" s="2"/>
    </row>
    <row r="57963" spans="3:3" x14ac:dyDescent="0.35">
      <c r="C57963" s="2"/>
    </row>
    <row r="57964" spans="3:3" x14ac:dyDescent="0.35">
      <c r="C57964" s="2"/>
    </row>
    <row r="57965" spans="3:3" x14ac:dyDescent="0.35">
      <c r="C57965" s="2"/>
    </row>
    <row r="57966" spans="3:3" x14ac:dyDescent="0.35">
      <c r="C57966" s="2"/>
    </row>
    <row r="57967" spans="3:3" x14ac:dyDescent="0.35">
      <c r="C57967" s="2"/>
    </row>
    <row r="57968" spans="3:3" x14ac:dyDescent="0.35">
      <c r="C57968" s="2"/>
    </row>
    <row r="57969" spans="3:3" x14ac:dyDescent="0.35">
      <c r="C57969" s="2"/>
    </row>
    <row r="57970" spans="3:3" x14ac:dyDescent="0.35">
      <c r="C57970" s="2"/>
    </row>
    <row r="57971" spans="3:3" x14ac:dyDescent="0.35">
      <c r="C57971" s="2"/>
    </row>
    <row r="57972" spans="3:3" x14ac:dyDescent="0.35">
      <c r="C57972" s="2"/>
    </row>
    <row r="57973" spans="3:3" x14ac:dyDescent="0.35">
      <c r="C57973" s="2"/>
    </row>
    <row r="57974" spans="3:3" x14ac:dyDescent="0.35">
      <c r="C57974" s="2"/>
    </row>
    <row r="57975" spans="3:3" x14ac:dyDescent="0.35">
      <c r="C57975" s="2"/>
    </row>
    <row r="57976" spans="3:3" x14ac:dyDescent="0.35">
      <c r="C57976" s="2"/>
    </row>
    <row r="57977" spans="3:3" x14ac:dyDescent="0.35">
      <c r="C57977" s="2"/>
    </row>
    <row r="57978" spans="3:3" x14ac:dyDescent="0.35">
      <c r="C57978" s="2"/>
    </row>
    <row r="57979" spans="3:3" x14ac:dyDescent="0.35">
      <c r="C57979" s="2"/>
    </row>
    <row r="57980" spans="3:3" x14ac:dyDescent="0.35">
      <c r="C57980" s="2"/>
    </row>
    <row r="57981" spans="3:3" x14ac:dyDescent="0.35">
      <c r="C57981" s="2"/>
    </row>
    <row r="57982" spans="3:3" x14ac:dyDescent="0.35">
      <c r="C57982" s="2"/>
    </row>
    <row r="57983" spans="3:3" x14ac:dyDescent="0.35">
      <c r="C57983" s="2"/>
    </row>
    <row r="57984" spans="3:3" x14ac:dyDescent="0.35">
      <c r="C57984" s="2"/>
    </row>
    <row r="57985" spans="3:3" x14ac:dyDescent="0.35">
      <c r="C57985" s="2"/>
    </row>
    <row r="57986" spans="3:3" x14ac:dyDescent="0.35">
      <c r="C57986" s="2"/>
    </row>
    <row r="57987" spans="3:3" x14ac:dyDescent="0.35">
      <c r="C57987" s="2"/>
    </row>
    <row r="57988" spans="3:3" x14ac:dyDescent="0.35">
      <c r="C57988" s="2"/>
    </row>
    <row r="57989" spans="3:3" x14ac:dyDescent="0.35">
      <c r="C57989" s="2"/>
    </row>
    <row r="57990" spans="3:3" x14ac:dyDescent="0.35">
      <c r="C57990" s="2"/>
    </row>
    <row r="57991" spans="3:3" x14ac:dyDescent="0.35">
      <c r="C57991" s="2"/>
    </row>
    <row r="57992" spans="3:3" x14ac:dyDescent="0.35">
      <c r="C57992" s="2"/>
    </row>
    <row r="57993" spans="3:3" x14ac:dyDescent="0.35">
      <c r="C57993" s="2"/>
    </row>
    <row r="57994" spans="3:3" x14ac:dyDescent="0.35">
      <c r="C57994" s="2"/>
    </row>
    <row r="57995" spans="3:3" x14ac:dyDescent="0.35">
      <c r="C57995" s="2"/>
    </row>
    <row r="57996" spans="3:3" x14ac:dyDescent="0.35">
      <c r="C57996" s="2"/>
    </row>
    <row r="57997" spans="3:3" x14ac:dyDescent="0.35">
      <c r="C57997" s="2"/>
    </row>
    <row r="57998" spans="3:3" x14ac:dyDescent="0.35">
      <c r="C57998" s="2"/>
    </row>
    <row r="57999" spans="3:3" x14ac:dyDescent="0.35">
      <c r="C57999" s="2"/>
    </row>
    <row r="58000" spans="3:3" x14ac:dyDescent="0.35">
      <c r="C58000" s="2"/>
    </row>
    <row r="58001" spans="3:3" x14ac:dyDescent="0.35">
      <c r="C58001" s="2"/>
    </row>
    <row r="58002" spans="3:3" x14ac:dyDescent="0.35">
      <c r="C58002" s="2"/>
    </row>
    <row r="58003" spans="3:3" x14ac:dyDescent="0.35">
      <c r="C58003" s="2"/>
    </row>
    <row r="58004" spans="3:3" x14ac:dyDescent="0.35">
      <c r="C58004" s="2"/>
    </row>
    <row r="58005" spans="3:3" x14ac:dyDescent="0.35">
      <c r="C58005" s="2"/>
    </row>
    <row r="58006" spans="3:3" x14ac:dyDescent="0.35">
      <c r="C58006" s="2"/>
    </row>
    <row r="58007" spans="3:3" x14ac:dyDescent="0.35">
      <c r="C58007" s="2"/>
    </row>
    <row r="58008" spans="3:3" x14ac:dyDescent="0.35">
      <c r="C58008" s="2"/>
    </row>
    <row r="58009" spans="3:3" x14ac:dyDescent="0.35">
      <c r="C58009" s="2"/>
    </row>
    <row r="58010" spans="3:3" x14ac:dyDescent="0.35">
      <c r="C58010" s="2"/>
    </row>
    <row r="58011" spans="3:3" x14ac:dyDescent="0.35">
      <c r="C58011" s="2"/>
    </row>
    <row r="58012" spans="3:3" x14ac:dyDescent="0.35">
      <c r="C58012" s="2"/>
    </row>
    <row r="58013" spans="3:3" x14ac:dyDescent="0.35">
      <c r="C58013" s="2"/>
    </row>
    <row r="58014" spans="3:3" x14ac:dyDescent="0.35">
      <c r="C58014" s="2"/>
    </row>
    <row r="58015" spans="3:3" x14ac:dyDescent="0.35">
      <c r="C58015" s="2"/>
    </row>
    <row r="58016" spans="3:3" x14ac:dyDescent="0.35">
      <c r="C58016" s="2"/>
    </row>
    <row r="58017" spans="3:3" x14ac:dyDescent="0.35">
      <c r="C58017" s="2"/>
    </row>
    <row r="58018" spans="3:3" x14ac:dyDescent="0.35">
      <c r="C58018" s="2"/>
    </row>
    <row r="58019" spans="3:3" x14ac:dyDescent="0.35">
      <c r="C58019" s="2"/>
    </row>
    <row r="58020" spans="3:3" x14ac:dyDescent="0.35">
      <c r="C58020" s="2"/>
    </row>
    <row r="58021" spans="3:3" x14ac:dyDescent="0.35">
      <c r="C58021" s="2"/>
    </row>
    <row r="58022" spans="3:3" x14ac:dyDescent="0.35">
      <c r="C58022" s="2"/>
    </row>
    <row r="58023" spans="3:3" x14ac:dyDescent="0.35">
      <c r="C58023" s="2"/>
    </row>
    <row r="58024" spans="3:3" x14ac:dyDescent="0.35">
      <c r="C58024" s="2"/>
    </row>
    <row r="58025" spans="3:3" x14ac:dyDescent="0.35">
      <c r="C58025" s="2"/>
    </row>
    <row r="58026" spans="3:3" x14ac:dyDescent="0.35">
      <c r="C58026" s="2"/>
    </row>
    <row r="58027" spans="3:3" x14ac:dyDescent="0.35">
      <c r="C58027" s="2"/>
    </row>
    <row r="58028" spans="3:3" x14ac:dyDescent="0.35">
      <c r="C58028" s="2"/>
    </row>
    <row r="58029" spans="3:3" x14ac:dyDescent="0.35">
      <c r="C58029" s="2"/>
    </row>
    <row r="58030" spans="3:3" x14ac:dyDescent="0.35">
      <c r="C58030" s="2"/>
    </row>
    <row r="58031" spans="3:3" x14ac:dyDescent="0.35">
      <c r="C58031" s="2"/>
    </row>
    <row r="58032" spans="3:3" x14ac:dyDescent="0.35">
      <c r="C58032" s="2"/>
    </row>
    <row r="58033" spans="3:3" x14ac:dyDescent="0.35">
      <c r="C58033" s="2"/>
    </row>
    <row r="58034" spans="3:3" x14ac:dyDescent="0.35">
      <c r="C58034" s="2"/>
    </row>
    <row r="58035" spans="3:3" x14ac:dyDescent="0.35">
      <c r="C58035" s="2"/>
    </row>
    <row r="58036" spans="3:3" x14ac:dyDescent="0.35">
      <c r="C58036" s="2"/>
    </row>
    <row r="58037" spans="3:3" x14ac:dyDescent="0.35">
      <c r="C58037" s="2"/>
    </row>
    <row r="58038" spans="3:3" x14ac:dyDescent="0.35">
      <c r="C58038" s="2"/>
    </row>
    <row r="58039" spans="3:3" x14ac:dyDescent="0.35">
      <c r="C58039" s="2"/>
    </row>
    <row r="58040" spans="3:3" x14ac:dyDescent="0.35">
      <c r="C58040" s="2"/>
    </row>
    <row r="58041" spans="3:3" x14ac:dyDescent="0.35">
      <c r="C58041" s="2"/>
    </row>
    <row r="58042" spans="3:3" x14ac:dyDescent="0.35">
      <c r="C58042" s="2"/>
    </row>
    <row r="58043" spans="3:3" x14ac:dyDescent="0.35">
      <c r="C58043" s="2"/>
    </row>
    <row r="58044" spans="3:3" x14ac:dyDescent="0.35">
      <c r="C58044" s="2"/>
    </row>
    <row r="58045" spans="3:3" x14ac:dyDescent="0.35">
      <c r="C58045" s="2"/>
    </row>
    <row r="58046" spans="3:3" x14ac:dyDescent="0.35">
      <c r="C58046" s="2"/>
    </row>
    <row r="58047" spans="3:3" x14ac:dyDescent="0.35">
      <c r="C58047" s="2"/>
    </row>
    <row r="58048" spans="3:3" x14ac:dyDescent="0.35">
      <c r="C58048" s="2"/>
    </row>
    <row r="58049" spans="3:3" x14ac:dyDescent="0.35">
      <c r="C58049" s="2"/>
    </row>
    <row r="58050" spans="3:3" x14ac:dyDescent="0.35">
      <c r="C58050" s="2"/>
    </row>
    <row r="58051" spans="3:3" x14ac:dyDescent="0.35">
      <c r="C58051" s="2"/>
    </row>
    <row r="58052" spans="3:3" x14ac:dyDescent="0.35">
      <c r="C58052" s="2"/>
    </row>
    <row r="58053" spans="3:3" x14ac:dyDescent="0.35">
      <c r="C58053" s="2"/>
    </row>
    <row r="58054" spans="3:3" x14ac:dyDescent="0.35">
      <c r="C58054" s="2"/>
    </row>
    <row r="58055" spans="3:3" x14ac:dyDescent="0.35">
      <c r="C58055" s="2"/>
    </row>
    <row r="58056" spans="3:3" x14ac:dyDescent="0.35">
      <c r="C58056" s="2"/>
    </row>
    <row r="58057" spans="3:3" x14ac:dyDescent="0.35">
      <c r="C58057" s="2"/>
    </row>
    <row r="58058" spans="3:3" x14ac:dyDescent="0.35">
      <c r="C58058" s="2"/>
    </row>
    <row r="58059" spans="3:3" x14ac:dyDescent="0.35">
      <c r="C58059" s="2"/>
    </row>
    <row r="58060" spans="3:3" x14ac:dyDescent="0.35">
      <c r="C58060" s="2"/>
    </row>
    <row r="58061" spans="3:3" x14ac:dyDescent="0.35">
      <c r="C58061" s="2"/>
    </row>
    <row r="58062" spans="3:3" x14ac:dyDescent="0.35">
      <c r="C58062" s="2"/>
    </row>
    <row r="58063" spans="3:3" x14ac:dyDescent="0.35">
      <c r="C58063" s="2"/>
    </row>
    <row r="58064" spans="3:3" x14ac:dyDescent="0.35">
      <c r="C58064" s="2"/>
    </row>
    <row r="58065" spans="3:3" x14ac:dyDescent="0.35">
      <c r="C58065" s="2"/>
    </row>
    <row r="58066" spans="3:3" x14ac:dyDescent="0.35">
      <c r="C58066" s="2"/>
    </row>
    <row r="58067" spans="3:3" x14ac:dyDescent="0.35">
      <c r="C58067" s="2"/>
    </row>
    <row r="58068" spans="3:3" x14ac:dyDescent="0.35">
      <c r="C58068" s="2"/>
    </row>
    <row r="58069" spans="3:3" x14ac:dyDescent="0.35">
      <c r="C58069" s="2"/>
    </row>
    <row r="58070" spans="3:3" x14ac:dyDescent="0.35">
      <c r="C58070" s="2"/>
    </row>
    <row r="58071" spans="3:3" x14ac:dyDescent="0.35">
      <c r="C58071" s="2"/>
    </row>
    <row r="58072" spans="3:3" x14ac:dyDescent="0.35">
      <c r="C58072" s="2"/>
    </row>
    <row r="58073" spans="3:3" x14ac:dyDescent="0.35">
      <c r="C58073" s="2"/>
    </row>
    <row r="58074" spans="3:3" x14ac:dyDescent="0.35">
      <c r="C58074" s="2"/>
    </row>
    <row r="58075" spans="3:3" x14ac:dyDescent="0.35">
      <c r="C58075" s="2"/>
    </row>
    <row r="58076" spans="3:3" x14ac:dyDescent="0.35">
      <c r="C58076" s="2"/>
    </row>
    <row r="58077" spans="3:3" x14ac:dyDescent="0.35">
      <c r="C58077" s="2"/>
    </row>
    <row r="58078" spans="3:3" x14ac:dyDescent="0.35">
      <c r="C58078" s="2"/>
    </row>
    <row r="58079" spans="3:3" x14ac:dyDescent="0.35">
      <c r="C58079" s="2"/>
    </row>
    <row r="58080" spans="3:3" x14ac:dyDescent="0.35">
      <c r="C58080" s="2"/>
    </row>
    <row r="58081" spans="3:3" x14ac:dyDescent="0.35">
      <c r="C58081" s="2"/>
    </row>
    <row r="58082" spans="3:3" x14ac:dyDescent="0.35">
      <c r="C58082" s="2"/>
    </row>
    <row r="58083" spans="3:3" x14ac:dyDescent="0.35">
      <c r="C58083" s="2"/>
    </row>
    <row r="58084" spans="3:3" x14ac:dyDescent="0.35">
      <c r="C58084" s="2"/>
    </row>
    <row r="58085" spans="3:3" x14ac:dyDescent="0.35">
      <c r="C58085" s="2"/>
    </row>
    <row r="58086" spans="3:3" x14ac:dyDescent="0.35">
      <c r="C58086" s="2"/>
    </row>
    <row r="58087" spans="3:3" x14ac:dyDescent="0.35">
      <c r="C58087" s="2"/>
    </row>
    <row r="58088" spans="3:3" x14ac:dyDescent="0.35">
      <c r="C58088" s="2"/>
    </row>
    <row r="58089" spans="3:3" x14ac:dyDescent="0.35">
      <c r="C58089" s="2"/>
    </row>
    <row r="58090" spans="3:3" x14ac:dyDescent="0.35">
      <c r="C58090" s="2"/>
    </row>
    <row r="58091" spans="3:3" x14ac:dyDescent="0.35">
      <c r="C58091" s="2"/>
    </row>
    <row r="58092" spans="3:3" x14ac:dyDescent="0.35">
      <c r="C58092" s="2"/>
    </row>
    <row r="58093" spans="3:3" x14ac:dyDescent="0.35">
      <c r="C58093" s="2"/>
    </row>
    <row r="58094" spans="3:3" x14ac:dyDescent="0.35">
      <c r="C58094" s="2"/>
    </row>
    <row r="58095" spans="3:3" x14ac:dyDescent="0.35">
      <c r="C58095" s="2"/>
    </row>
    <row r="58096" spans="3:3" x14ac:dyDescent="0.35">
      <c r="C58096" s="2"/>
    </row>
    <row r="58097" spans="3:3" x14ac:dyDescent="0.35">
      <c r="C58097" s="2"/>
    </row>
    <row r="58098" spans="3:3" x14ac:dyDescent="0.35">
      <c r="C58098" s="2"/>
    </row>
    <row r="58099" spans="3:3" x14ac:dyDescent="0.35">
      <c r="C58099" s="2"/>
    </row>
    <row r="58100" spans="3:3" x14ac:dyDescent="0.35">
      <c r="C58100" s="2"/>
    </row>
    <row r="58101" spans="3:3" x14ac:dyDescent="0.35">
      <c r="C58101" s="2"/>
    </row>
    <row r="58102" spans="3:3" x14ac:dyDescent="0.35">
      <c r="C58102" s="2"/>
    </row>
    <row r="58103" spans="3:3" x14ac:dyDescent="0.35">
      <c r="C58103" s="2"/>
    </row>
    <row r="58104" spans="3:3" x14ac:dyDescent="0.35">
      <c r="C58104" s="2"/>
    </row>
    <row r="58105" spans="3:3" x14ac:dyDescent="0.35">
      <c r="C58105" s="2"/>
    </row>
    <row r="58106" spans="3:3" x14ac:dyDescent="0.35">
      <c r="C58106" s="2"/>
    </row>
    <row r="58107" spans="3:3" x14ac:dyDescent="0.35">
      <c r="C58107" s="2"/>
    </row>
    <row r="58108" spans="3:3" x14ac:dyDescent="0.35">
      <c r="C58108" s="2"/>
    </row>
    <row r="58109" spans="3:3" x14ac:dyDescent="0.35">
      <c r="C58109" s="2"/>
    </row>
    <row r="58110" spans="3:3" x14ac:dyDescent="0.35">
      <c r="C58110" s="2"/>
    </row>
    <row r="58111" spans="3:3" x14ac:dyDescent="0.35">
      <c r="C58111" s="2"/>
    </row>
    <row r="58112" spans="3:3" x14ac:dyDescent="0.35">
      <c r="C58112" s="2"/>
    </row>
    <row r="58113" spans="3:3" x14ac:dyDescent="0.35">
      <c r="C58113" s="2"/>
    </row>
    <row r="58114" spans="3:3" x14ac:dyDescent="0.35">
      <c r="C58114" s="2"/>
    </row>
    <row r="58115" spans="3:3" x14ac:dyDescent="0.35">
      <c r="C58115" s="2"/>
    </row>
    <row r="58116" spans="3:3" x14ac:dyDescent="0.35">
      <c r="C58116" s="2"/>
    </row>
    <row r="58117" spans="3:3" x14ac:dyDescent="0.35">
      <c r="C58117" s="2"/>
    </row>
    <row r="58118" spans="3:3" x14ac:dyDescent="0.35">
      <c r="C58118" s="2"/>
    </row>
    <row r="58119" spans="3:3" x14ac:dyDescent="0.35">
      <c r="C58119" s="2"/>
    </row>
    <row r="58120" spans="3:3" x14ac:dyDescent="0.35">
      <c r="C58120" s="2"/>
    </row>
    <row r="58121" spans="3:3" x14ac:dyDescent="0.35">
      <c r="C58121" s="2"/>
    </row>
    <row r="58122" spans="3:3" x14ac:dyDescent="0.35">
      <c r="C58122" s="2"/>
    </row>
    <row r="58123" spans="3:3" x14ac:dyDescent="0.35">
      <c r="C58123" s="2"/>
    </row>
    <row r="58124" spans="3:3" x14ac:dyDescent="0.35">
      <c r="C58124" s="2"/>
    </row>
    <row r="58125" spans="3:3" x14ac:dyDescent="0.35">
      <c r="C58125" s="2"/>
    </row>
    <row r="58126" spans="3:3" x14ac:dyDescent="0.35">
      <c r="C58126" s="2"/>
    </row>
    <row r="58127" spans="3:3" x14ac:dyDescent="0.35">
      <c r="C58127" s="2"/>
    </row>
    <row r="58128" spans="3:3" x14ac:dyDescent="0.35">
      <c r="C58128" s="2"/>
    </row>
    <row r="58129" spans="3:3" x14ac:dyDescent="0.35">
      <c r="C58129" s="2"/>
    </row>
    <row r="58130" spans="3:3" x14ac:dyDescent="0.35">
      <c r="C58130" s="2"/>
    </row>
    <row r="58131" spans="3:3" x14ac:dyDescent="0.35">
      <c r="C58131" s="2"/>
    </row>
    <row r="58132" spans="3:3" x14ac:dyDescent="0.35">
      <c r="C58132" s="2"/>
    </row>
    <row r="58133" spans="3:3" x14ac:dyDescent="0.35">
      <c r="C58133" s="2"/>
    </row>
    <row r="58134" spans="3:3" x14ac:dyDescent="0.35">
      <c r="C58134" s="2"/>
    </row>
    <row r="58135" spans="3:3" x14ac:dyDescent="0.35">
      <c r="C58135" s="2"/>
    </row>
    <row r="58136" spans="3:3" x14ac:dyDescent="0.35">
      <c r="C58136" s="2"/>
    </row>
    <row r="58137" spans="3:3" x14ac:dyDescent="0.35">
      <c r="C58137" s="2"/>
    </row>
    <row r="58138" spans="3:3" x14ac:dyDescent="0.35">
      <c r="C58138" s="2"/>
    </row>
    <row r="58139" spans="3:3" x14ac:dyDescent="0.35">
      <c r="C58139" s="2"/>
    </row>
    <row r="58140" spans="3:3" x14ac:dyDescent="0.35">
      <c r="C58140" s="2"/>
    </row>
    <row r="58141" spans="3:3" x14ac:dyDescent="0.35">
      <c r="C58141" s="2"/>
    </row>
    <row r="58142" spans="3:3" x14ac:dyDescent="0.35">
      <c r="C58142" s="2"/>
    </row>
    <row r="58143" spans="3:3" x14ac:dyDescent="0.35">
      <c r="C58143" s="2"/>
    </row>
    <row r="58144" spans="3:3" x14ac:dyDescent="0.35">
      <c r="C58144" s="2"/>
    </row>
    <row r="58145" spans="3:3" x14ac:dyDescent="0.35">
      <c r="C58145" s="2"/>
    </row>
    <row r="58146" spans="3:3" x14ac:dyDescent="0.35">
      <c r="C58146" s="2"/>
    </row>
    <row r="58147" spans="3:3" x14ac:dyDescent="0.35">
      <c r="C58147" s="2"/>
    </row>
    <row r="58148" spans="3:3" x14ac:dyDescent="0.35">
      <c r="C58148" s="2"/>
    </row>
    <row r="58149" spans="3:3" x14ac:dyDescent="0.35">
      <c r="C58149" s="2"/>
    </row>
    <row r="58150" spans="3:3" x14ac:dyDescent="0.35">
      <c r="C58150" s="2"/>
    </row>
    <row r="58151" spans="3:3" x14ac:dyDescent="0.35">
      <c r="C58151" s="2"/>
    </row>
    <row r="58152" spans="3:3" x14ac:dyDescent="0.35">
      <c r="C58152" s="2"/>
    </row>
    <row r="58153" spans="3:3" x14ac:dyDescent="0.35">
      <c r="C58153" s="2"/>
    </row>
    <row r="58154" spans="3:3" x14ac:dyDescent="0.35">
      <c r="C58154" s="2"/>
    </row>
    <row r="58155" spans="3:3" x14ac:dyDescent="0.35">
      <c r="C58155" s="2"/>
    </row>
    <row r="58156" spans="3:3" x14ac:dyDescent="0.35">
      <c r="C58156" s="2"/>
    </row>
    <row r="58157" spans="3:3" x14ac:dyDescent="0.35">
      <c r="C58157" s="2"/>
    </row>
    <row r="58158" spans="3:3" x14ac:dyDescent="0.35">
      <c r="C58158" s="2"/>
    </row>
    <row r="58159" spans="3:3" x14ac:dyDescent="0.35">
      <c r="C58159" s="2"/>
    </row>
    <row r="58160" spans="3:3" x14ac:dyDescent="0.35">
      <c r="C58160" s="2"/>
    </row>
    <row r="58161" spans="3:3" x14ac:dyDescent="0.35">
      <c r="C58161" s="2"/>
    </row>
    <row r="58162" spans="3:3" x14ac:dyDescent="0.35">
      <c r="C58162" s="2"/>
    </row>
    <row r="58163" spans="3:3" x14ac:dyDescent="0.35">
      <c r="C58163" s="2"/>
    </row>
    <row r="58164" spans="3:3" x14ac:dyDescent="0.35">
      <c r="C58164" s="2"/>
    </row>
    <row r="58165" spans="3:3" x14ac:dyDescent="0.35">
      <c r="C58165" s="2"/>
    </row>
    <row r="58166" spans="3:3" x14ac:dyDescent="0.35">
      <c r="C58166" s="2"/>
    </row>
    <row r="58167" spans="3:3" x14ac:dyDescent="0.35">
      <c r="C58167" s="2"/>
    </row>
    <row r="58168" spans="3:3" x14ac:dyDescent="0.35">
      <c r="C58168" s="2"/>
    </row>
    <row r="58169" spans="3:3" x14ac:dyDescent="0.35">
      <c r="C58169" s="2"/>
    </row>
    <row r="58170" spans="3:3" x14ac:dyDescent="0.35">
      <c r="C58170" s="2"/>
    </row>
    <row r="58171" spans="3:3" x14ac:dyDescent="0.35">
      <c r="C58171" s="2"/>
    </row>
    <row r="58172" spans="3:3" x14ac:dyDescent="0.35">
      <c r="C58172" s="2"/>
    </row>
    <row r="58173" spans="3:3" x14ac:dyDescent="0.35">
      <c r="C58173" s="2"/>
    </row>
    <row r="58174" spans="3:3" x14ac:dyDescent="0.35">
      <c r="C58174" s="2"/>
    </row>
    <row r="58175" spans="3:3" x14ac:dyDescent="0.35">
      <c r="C58175" s="2"/>
    </row>
    <row r="58176" spans="3:3" x14ac:dyDescent="0.35">
      <c r="C58176" s="2"/>
    </row>
    <row r="58177" spans="3:3" x14ac:dyDescent="0.35">
      <c r="C58177" s="2"/>
    </row>
    <row r="58178" spans="3:3" x14ac:dyDescent="0.35">
      <c r="C58178" s="2"/>
    </row>
    <row r="58179" spans="3:3" x14ac:dyDescent="0.35">
      <c r="C58179" s="2"/>
    </row>
    <row r="58180" spans="3:3" x14ac:dyDescent="0.35">
      <c r="C58180" s="2"/>
    </row>
    <row r="58181" spans="3:3" x14ac:dyDescent="0.35">
      <c r="C58181" s="2"/>
    </row>
    <row r="58182" spans="3:3" x14ac:dyDescent="0.35">
      <c r="C58182" s="2"/>
    </row>
    <row r="58183" spans="3:3" x14ac:dyDescent="0.35">
      <c r="C58183" s="2"/>
    </row>
    <row r="58184" spans="3:3" x14ac:dyDescent="0.35">
      <c r="C58184" s="2"/>
    </row>
    <row r="58185" spans="3:3" x14ac:dyDescent="0.35">
      <c r="C58185" s="2"/>
    </row>
    <row r="58186" spans="3:3" x14ac:dyDescent="0.35">
      <c r="C58186" s="2"/>
    </row>
    <row r="58187" spans="3:3" x14ac:dyDescent="0.35">
      <c r="C58187" s="2"/>
    </row>
    <row r="58188" spans="3:3" x14ac:dyDescent="0.35">
      <c r="C58188" s="2"/>
    </row>
    <row r="58189" spans="3:3" x14ac:dyDescent="0.35">
      <c r="C58189" s="2"/>
    </row>
    <row r="58190" spans="3:3" x14ac:dyDescent="0.35">
      <c r="C58190" s="2"/>
    </row>
    <row r="58191" spans="3:3" x14ac:dyDescent="0.35">
      <c r="C58191" s="2"/>
    </row>
    <row r="58192" spans="3:3" x14ac:dyDescent="0.35">
      <c r="C58192" s="2"/>
    </row>
    <row r="58193" spans="3:3" x14ac:dyDescent="0.35">
      <c r="C58193" s="2"/>
    </row>
    <row r="58194" spans="3:3" x14ac:dyDescent="0.35">
      <c r="C58194" s="2"/>
    </row>
    <row r="58195" spans="3:3" x14ac:dyDescent="0.35">
      <c r="C58195" s="2"/>
    </row>
    <row r="58196" spans="3:3" x14ac:dyDescent="0.35">
      <c r="C58196" s="2"/>
    </row>
    <row r="58197" spans="3:3" x14ac:dyDescent="0.35">
      <c r="C58197" s="2"/>
    </row>
    <row r="58198" spans="3:3" x14ac:dyDescent="0.35">
      <c r="C58198" s="2"/>
    </row>
    <row r="58199" spans="3:3" x14ac:dyDescent="0.35">
      <c r="C58199" s="2"/>
    </row>
    <row r="58200" spans="3:3" x14ac:dyDescent="0.35">
      <c r="C58200" s="2"/>
    </row>
    <row r="58201" spans="3:3" x14ac:dyDescent="0.35">
      <c r="C58201" s="2"/>
    </row>
    <row r="58202" spans="3:3" x14ac:dyDescent="0.35">
      <c r="C58202" s="2"/>
    </row>
    <row r="58203" spans="3:3" x14ac:dyDescent="0.35">
      <c r="C58203" s="2"/>
    </row>
    <row r="58204" spans="3:3" x14ac:dyDescent="0.35">
      <c r="C58204" s="2"/>
    </row>
    <row r="58205" spans="3:3" x14ac:dyDescent="0.35">
      <c r="C58205" s="2"/>
    </row>
    <row r="58206" spans="3:3" x14ac:dyDescent="0.35">
      <c r="C58206" s="2"/>
    </row>
    <row r="58207" spans="3:3" x14ac:dyDescent="0.35">
      <c r="C58207" s="2"/>
    </row>
    <row r="58208" spans="3:3" x14ac:dyDescent="0.35">
      <c r="C58208" s="2"/>
    </row>
    <row r="58209" spans="3:3" x14ac:dyDescent="0.35">
      <c r="C58209" s="2"/>
    </row>
    <row r="58210" spans="3:3" x14ac:dyDescent="0.35">
      <c r="C58210" s="2"/>
    </row>
    <row r="58211" spans="3:3" x14ac:dyDescent="0.35">
      <c r="C58211" s="2"/>
    </row>
    <row r="58212" spans="3:3" x14ac:dyDescent="0.35">
      <c r="C58212" s="2"/>
    </row>
    <row r="58213" spans="3:3" x14ac:dyDescent="0.35">
      <c r="C58213" s="2"/>
    </row>
    <row r="58214" spans="3:3" x14ac:dyDescent="0.35">
      <c r="C58214" s="2"/>
    </row>
    <row r="58215" spans="3:3" x14ac:dyDescent="0.35">
      <c r="C58215" s="2"/>
    </row>
    <row r="58216" spans="3:3" x14ac:dyDescent="0.35">
      <c r="C58216" s="2"/>
    </row>
    <row r="58217" spans="3:3" x14ac:dyDescent="0.35">
      <c r="C58217" s="2"/>
    </row>
    <row r="58218" spans="3:3" x14ac:dyDescent="0.35">
      <c r="C58218" s="2"/>
    </row>
    <row r="58219" spans="3:3" x14ac:dyDescent="0.35">
      <c r="C58219" s="2"/>
    </row>
    <row r="58220" spans="3:3" x14ac:dyDescent="0.35">
      <c r="C58220" s="2"/>
    </row>
    <row r="58221" spans="3:3" x14ac:dyDescent="0.35">
      <c r="C58221" s="2"/>
    </row>
    <row r="58222" spans="3:3" x14ac:dyDescent="0.35">
      <c r="C58222" s="2"/>
    </row>
    <row r="58223" spans="3:3" x14ac:dyDescent="0.35">
      <c r="C58223" s="2"/>
    </row>
    <row r="58224" spans="3:3" x14ac:dyDescent="0.35">
      <c r="C58224" s="2"/>
    </row>
    <row r="58225" spans="3:3" x14ac:dyDescent="0.35">
      <c r="C58225" s="2"/>
    </row>
    <row r="58226" spans="3:3" x14ac:dyDescent="0.35">
      <c r="C58226" s="2"/>
    </row>
    <row r="58227" spans="3:3" x14ac:dyDescent="0.35">
      <c r="C58227" s="2"/>
    </row>
    <row r="58228" spans="3:3" x14ac:dyDescent="0.35">
      <c r="C58228" s="2"/>
    </row>
    <row r="58229" spans="3:3" x14ac:dyDescent="0.35">
      <c r="C58229" s="2"/>
    </row>
    <row r="58230" spans="3:3" x14ac:dyDescent="0.35">
      <c r="C58230" s="2"/>
    </row>
    <row r="58231" spans="3:3" x14ac:dyDescent="0.35">
      <c r="C58231" s="2"/>
    </row>
    <row r="58232" spans="3:3" x14ac:dyDescent="0.35">
      <c r="C58232" s="2"/>
    </row>
    <row r="58233" spans="3:3" x14ac:dyDescent="0.35">
      <c r="C58233" s="2"/>
    </row>
    <row r="58234" spans="3:3" x14ac:dyDescent="0.35">
      <c r="C58234" s="2"/>
    </row>
    <row r="58235" spans="3:3" x14ac:dyDescent="0.35">
      <c r="C58235" s="2"/>
    </row>
    <row r="58236" spans="3:3" x14ac:dyDescent="0.35">
      <c r="C58236" s="2"/>
    </row>
    <row r="58237" spans="3:3" x14ac:dyDescent="0.35">
      <c r="C58237" s="2"/>
    </row>
    <row r="58238" spans="3:3" x14ac:dyDescent="0.35">
      <c r="C58238" s="2"/>
    </row>
    <row r="58239" spans="3:3" x14ac:dyDescent="0.35">
      <c r="C58239" s="2"/>
    </row>
    <row r="58240" spans="3:3" x14ac:dyDescent="0.35">
      <c r="C58240" s="2"/>
    </row>
    <row r="58241" spans="3:3" x14ac:dyDescent="0.35">
      <c r="C58241" s="2"/>
    </row>
    <row r="58242" spans="3:3" x14ac:dyDescent="0.35">
      <c r="C58242" s="2"/>
    </row>
    <row r="58243" spans="3:3" x14ac:dyDescent="0.35">
      <c r="C58243" s="2"/>
    </row>
    <row r="58244" spans="3:3" x14ac:dyDescent="0.35">
      <c r="C58244" s="2"/>
    </row>
    <row r="58245" spans="3:3" x14ac:dyDescent="0.35">
      <c r="C58245" s="2"/>
    </row>
    <row r="58246" spans="3:3" x14ac:dyDescent="0.35">
      <c r="C58246" s="2"/>
    </row>
    <row r="58247" spans="3:3" x14ac:dyDescent="0.35">
      <c r="C58247" s="2"/>
    </row>
    <row r="58248" spans="3:3" x14ac:dyDescent="0.35">
      <c r="C58248" s="2"/>
    </row>
    <row r="58249" spans="3:3" x14ac:dyDescent="0.35">
      <c r="C58249" s="2"/>
    </row>
    <row r="58250" spans="3:3" x14ac:dyDescent="0.35">
      <c r="C58250" s="2"/>
    </row>
    <row r="58251" spans="3:3" x14ac:dyDescent="0.35">
      <c r="C58251" s="2"/>
    </row>
    <row r="58252" spans="3:3" x14ac:dyDescent="0.35">
      <c r="C58252" s="2"/>
    </row>
    <row r="58253" spans="3:3" x14ac:dyDescent="0.35">
      <c r="C58253" s="2"/>
    </row>
    <row r="58254" spans="3:3" x14ac:dyDescent="0.35">
      <c r="C58254" s="2"/>
    </row>
    <row r="58255" spans="3:3" x14ac:dyDescent="0.35">
      <c r="C58255" s="2"/>
    </row>
    <row r="58256" spans="3:3" x14ac:dyDescent="0.35">
      <c r="C58256" s="2"/>
    </row>
    <row r="58257" spans="3:3" x14ac:dyDescent="0.35">
      <c r="C58257" s="2"/>
    </row>
    <row r="58258" spans="3:3" x14ac:dyDescent="0.35">
      <c r="C58258" s="2"/>
    </row>
    <row r="58259" spans="3:3" x14ac:dyDescent="0.35">
      <c r="C58259" s="2"/>
    </row>
    <row r="58260" spans="3:3" x14ac:dyDescent="0.35">
      <c r="C58260" s="2"/>
    </row>
    <row r="58261" spans="3:3" x14ac:dyDescent="0.35">
      <c r="C58261" s="2"/>
    </row>
    <row r="58262" spans="3:3" x14ac:dyDescent="0.35">
      <c r="C58262" s="2"/>
    </row>
    <row r="58263" spans="3:3" x14ac:dyDescent="0.35">
      <c r="C58263" s="2"/>
    </row>
    <row r="58264" spans="3:3" x14ac:dyDescent="0.35">
      <c r="C58264" s="2"/>
    </row>
    <row r="58265" spans="3:3" x14ac:dyDescent="0.35">
      <c r="C58265" s="2"/>
    </row>
    <row r="58266" spans="3:3" x14ac:dyDescent="0.35">
      <c r="C58266" s="2"/>
    </row>
    <row r="58267" spans="3:3" x14ac:dyDescent="0.35">
      <c r="C58267" s="2"/>
    </row>
    <row r="58268" spans="3:3" x14ac:dyDescent="0.35">
      <c r="C58268" s="2"/>
    </row>
    <row r="58269" spans="3:3" x14ac:dyDescent="0.35">
      <c r="C58269" s="2"/>
    </row>
    <row r="58270" spans="3:3" x14ac:dyDescent="0.35">
      <c r="C58270" s="2"/>
    </row>
    <row r="58271" spans="3:3" x14ac:dyDescent="0.35">
      <c r="C58271" s="2"/>
    </row>
    <row r="58272" spans="3:3" x14ac:dyDescent="0.35">
      <c r="C58272" s="2"/>
    </row>
    <row r="58273" spans="3:3" x14ac:dyDescent="0.35">
      <c r="C58273" s="2"/>
    </row>
    <row r="58274" spans="3:3" x14ac:dyDescent="0.35">
      <c r="C58274" s="2"/>
    </row>
    <row r="58275" spans="3:3" x14ac:dyDescent="0.35">
      <c r="C58275" s="2"/>
    </row>
    <row r="58276" spans="3:3" x14ac:dyDescent="0.35">
      <c r="C58276" s="2"/>
    </row>
    <row r="58277" spans="3:3" x14ac:dyDescent="0.35">
      <c r="C58277" s="2"/>
    </row>
    <row r="58278" spans="3:3" x14ac:dyDescent="0.35">
      <c r="C58278" s="2"/>
    </row>
    <row r="58279" spans="3:3" x14ac:dyDescent="0.35">
      <c r="C58279" s="2"/>
    </row>
    <row r="58280" spans="3:3" x14ac:dyDescent="0.35">
      <c r="C58280" s="2"/>
    </row>
    <row r="58281" spans="3:3" x14ac:dyDescent="0.35">
      <c r="C58281" s="2"/>
    </row>
    <row r="58282" spans="3:3" x14ac:dyDescent="0.35">
      <c r="C58282" s="2"/>
    </row>
    <row r="58283" spans="3:3" x14ac:dyDescent="0.35">
      <c r="C58283" s="2"/>
    </row>
    <row r="58284" spans="3:3" x14ac:dyDescent="0.35">
      <c r="C58284" s="2"/>
    </row>
    <row r="58285" spans="3:3" x14ac:dyDescent="0.35">
      <c r="C58285" s="2"/>
    </row>
    <row r="58286" spans="3:3" x14ac:dyDescent="0.35">
      <c r="C58286" s="2"/>
    </row>
    <row r="58287" spans="3:3" x14ac:dyDescent="0.35">
      <c r="C58287" s="2"/>
    </row>
    <row r="58288" spans="3:3" x14ac:dyDescent="0.35">
      <c r="C58288" s="2"/>
    </row>
    <row r="58289" spans="3:3" x14ac:dyDescent="0.35">
      <c r="C58289" s="2"/>
    </row>
    <row r="58290" spans="3:3" x14ac:dyDescent="0.35">
      <c r="C58290" s="2"/>
    </row>
    <row r="58291" spans="3:3" x14ac:dyDescent="0.35">
      <c r="C58291" s="2"/>
    </row>
    <row r="58292" spans="3:3" x14ac:dyDescent="0.35">
      <c r="C58292" s="2"/>
    </row>
    <row r="58293" spans="3:3" x14ac:dyDescent="0.35">
      <c r="C58293" s="2"/>
    </row>
    <row r="58294" spans="3:3" x14ac:dyDescent="0.35">
      <c r="C58294" s="2"/>
    </row>
    <row r="58295" spans="3:3" x14ac:dyDescent="0.35">
      <c r="C58295" s="2"/>
    </row>
    <row r="58296" spans="3:3" x14ac:dyDescent="0.35">
      <c r="C58296" s="2"/>
    </row>
    <row r="58297" spans="3:3" x14ac:dyDescent="0.35">
      <c r="C58297" s="2"/>
    </row>
    <row r="58298" spans="3:3" x14ac:dyDescent="0.35">
      <c r="C58298" s="2"/>
    </row>
    <row r="58299" spans="3:3" x14ac:dyDescent="0.35">
      <c r="C58299" s="2"/>
    </row>
    <row r="58300" spans="3:3" x14ac:dyDescent="0.35">
      <c r="C58300" s="2"/>
    </row>
    <row r="58301" spans="3:3" x14ac:dyDescent="0.35">
      <c r="C58301" s="2"/>
    </row>
    <row r="58302" spans="3:3" x14ac:dyDescent="0.35">
      <c r="C58302" s="2"/>
    </row>
    <row r="58303" spans="3:3" x14ac:dyDescent="0.35">
      <c r="C58303" s="2"/>
    </row>
    <row r="58304" spans="3:3" x14ac:dyDescent="0.35">
      <c r="C58304" s="2"/>
    </row>
    <row r="58305" spans="3:3" x14ac:dyDescent="0.35">
      <c r="C58305" s="2"/>
    </row>
    <row r="58306" spans="3:3" x14ac:dyDescent="0.35">
      <c r="C58306" s="2"/>
    </row>
    <row r="58307" spans="3:3" x14ac:dyDescent="0.35">
      <c r="C58307" s="2"/>
    </row>
    <row r="58308" spans="3:3" x14ac:dyDescent="0.35">
      <c r="C58308" s="2"/>
    </row>
    <row r="58309" spans="3:3" x14ac:dyDescent="0.35">
      <c r="C58309" s="2"/>
    </row>
    <row r="58310" spans="3:3" x14ac:dyDescent="0.35">
      <c r="C58310" s="2"/>
    </row>
    <row r="58311" spans="3:3" x14ac:dyDescent="0.35">
      <c r="C58311" s="2"/>
    </row>
    <row r="58312" spans="3:3" x14ac:dyDescent="0.35">
      <c r="C58312" s="2"/>
    </row>
    <row r="58313" spans="3:3" x14ac:dyDescent="0.35">
      <c r="C58313" s="2"/>
    </row>
    <row r="58314" spans="3:3" x14ac:dyDescent="0.35">
      <c r="C58314" s="2"/>
    </row>
    <row r="58315" spans="3:3" x14ac:dyDescent="0.35">
      <c r="C58315" s="2"/>
    </row>
    <row r="58316" spans="3:3" x14ac:dyDescent="0.35">
      <c r="C58316" s="2"/>
    </row>
    <row r="58317" spans="3:3" x14ac:dyDescent="0.35">
      <c r="C58317" s="2"/>
    </row>
    <row r="58318" spans="3:3" x14ac:dyDescent="0.35">
      <c r="C58318" s="2"/>
    </row>
    <row r="58319" spans="3:3" x14ac:dyDescent="0.35">
      <c r="C58319" s="2"/>
    </row>
    <row r="58320" spans="3:3" x14ac:dyDescent="0.35">
      <c r="C58320" s="2"/>
    </row>
    <row r="58321" spans="3:3" x14ac:dyDescent="0.35">
      <c r="C58321" s="2"/>
    </row>
    <row r="58322" spans="3:3" x14ac:dyDescent="0.35">
      <c r="C58322" s="2"/>
    </row>
    <row r="58323" spans="3:3" x14ac:dyDescent="0.35">
      <c r="C58323" s="2"/>
    </row>
    <row r="58324" spans="3:3" x14ac:dyDescent="0.35">
      <c r="C58324" s="2"/>
    </row>
    <row r="58325" spans="3:3" x14ac:dyDescent="0.35">
      <c r="C58325" s="2"/>
    </row>
    <row r="58326" spans="3:3" x14ac:dyDescent="0.35">
      <c r="C58326" s="2"/>
    </row>
    <row r="58327" spans="3:3" x14ac:dyDescent="0.35">
      <c r="C58327" s="2"/>
    </row>
    <row r="58328" spans="3:3" x14ac:dyDescent="0.35">
      <c r="C58328" s="2"/>
    </row>
    <row r="58329" spans="3:3" x14ac:dyDescent="0.35">
      <c r="C58329" s="2"/>
    </row>
    <row r="58330" spans="3:3" x14ac:dyDescent="0.35">
      <c r="C58330" s="2"/>
    </row>
    <row r="58331" spans="3:3" x14ac:dyDescent="0.35">
      <c r="C58331" s="2"/>
    </row>
    <row r="58332" spans="3:3" x14ac:dyDescent="0.35">
      <c r="C58332" s="2"/>
    </row>
    <row r="58333" spans="3:3" x14ac:dyDescent="0.35">
      <c r="C58333" s="2"/>
    </row>
    <row r="58334" spans="3:3" x14ac:dyDescent="0.35">
      <c r="C58334" s="2"/>
    </row>
    <row r="58335" spans="3:3" x14ac:dyDescent="0.35">
      <c r="C58335" s="2"/>
    </row>
    <row r="58336" spans="3:3" x14ac:dyDescent="0.35">
      <c r="C58336" s="2"/>
    </row>
    <row r="58337" spans="3:3" x14ac:dyDescent="0.35">
      <c r="C58337" s="2"/>
    </row>
    <row r="58338" spans="3:3" x14ac:dyDescent="0.35">
      <c r="C58338" s="2"/>
    </row>
    <row r="58339" spans="3:3" x14ac:dyDescent="0.35">
      <c r="C58339" s="2"/>
    </row>
    <row r="58340" spans="3:3" x14ac:dyDescent="0.35">
      <c r="C58340" s="2"/>
    </row>
    <row r="58341" spans="3:3" x14ac:dyDescent="0.35">
      <c r="C58341" s="2"/>
    </row>
    <row r="58342" spans="3:3" x14ac:dyDescent="0.35">
      <c r="C58342" s="2"/>
    </row>
    <row r="58343" spans="3:3" x14ac:dyDescent="0.35">
      <c r="C58343" s="2"/>
    </row>
    <row r="58344" spans="3:3" x14ac:dyDescent="0.35">
      <c r="C58344" s="2"/>
    </row>
    <row r="58345" spans="3:3" x14ac:dyDescent="0.35">
      <c r="C58345" s="2"/>
    </row>
    <row r="58346" spans="3:3" x14ac:dyDescent="0.35">
      <c r="C58346" s="2"/>
    </row>
    <row r="58347" spans="3:3" x14ac:dyDescent="0.35">
      <c r="C58347" s="2"/>
    </row>
    <row r="58348" spans="3:3" x14ac:dyDescent="0.35">
      <c r="C58348" s="2"/>
    </row>
    <row r="58349" spans="3:3" x14ac:dyDescent="0.35">
      <c r="C58349" s="2"/>
    </row>
    <row r="58350" spans="3:3" x14ac:dyDescent="0.35">
      <c r="C58350" s="2"/>
    </row>
    <row r="58351" spans="3:3" x14ac:dyDescent="0.35">
      <c r="C58351" s="2"/>
    </row>
    <row r="58352" spans="3:3" x14ac:dyDescent="0.35">
      <c r="C58352" s="2"/>
    </row>
    <row r="58353" spans="3:3" x14ac:dyDescent="0.35">
      <c r="C58353" s="2"/>
    </row>
    <row r="58354" spans="3:3" x14ac:dyDescent="0.35">
      <c r="C58354" s="2"/>
    </row>
    <row r="58355" spans="3:3" x14ac:dyDescent="0.35">
      <c r="C58355" s="2"/>
    </row>
    <row r="58356" spans="3:3" x14ac:dyDescent="0.35">
      <c r="C58356" s="2"/>
    </row>
    <row r="58357" spans="3:3" x14ac:dyDescent="0.35">
      <c r="C58357" s="2"/>
    </row>
    <row r="58358" spans="3:3" x14ac:dyDescent="0.35">
      <c r="C58358" s="2"/>
    </row>
    <row r="58359" spans="3:3" x14ac:dyDescent="0.35">
      <c r="C58359" s="2"/>
    </row>
    <row r="58360" spans="3:3" x14ac:dyDescent="0.35">
      <c r="C58360" s="2"/>
    </row>
    <row r="58361" spans="3:3" x14ac:dyDescent="0.35">
      <c r="C58361" s="2"/>
    </row>
    <row r="58362" spans="3:3" x14ac:dyDescent="0.35">
      <c r="C58362" s="2"/>
    </row>
    <row r="58363" spans="3:3" x14ac:dyDescent="0.35">
      <c r="C58363" s="2"/>
    </row>
    <row r="58364" spans="3:3" x14ac:dyDescent="0.35">
      <c r="C58364" s="2"/>
    </row>
    <row r="58365" spans="3:3" x14ac:dyDescent="0.35">
      <c r="C58365" s="2"/>
    </row>
    <row r="58366" spans="3:3" x14ac:dyDescent="0.35">
      <c r="C58366" s="2"/>
    </row>
    <row r="58367" spans="3:3" x14ac:dyDescent="0.35">
      <c r="C58367" s="2"/>
    </row>
    <row r="58368" spans="3:3" x14ac:dyDescent="0.35">
      <c r="C58368" s="2"/>
    </row>
    <row r="58369" spans="3:3" x14ac:dyDescent="0.35">
      <c r="C58369" s="2"/>
    </row>
    <row r="58370" spans="3:3" x14ac:dyDescent="0.35">
      <c r="C58370" s="2"/>
    </row>
    <row r="58371" spans="3:3" x14ac:dyDescent="0.35">
      <c r="C58371" s="2"/>
    </row>
    <row r="58372" spans="3:3" x14ac:dyDescent="0.35">
      <c r="C58372" s="2"/>
    </row>
    <row r="58373" spans="3:3" x14ac:dyDescent="0.35">
      <c r="C58373" s="2"/>
    </row>
    <row r="58374" spans="3:3" x14ac:dyDescent="0.35">
      <c r="C58374" s="2"/>
    </row>
    <row r="58375" spans="3:3" x14ac:dyDescent="0.35">
      <c r="C58375" s="2"/>
    </row>
    <row r="58376" spans="3:3" x14ac:dyDescent="0.35">
      <c r="C58376" s="2"/>
    </row>
    <row r="58377" spans="3:3" x14ac:dyDescent="0.35">
      <c r="C58377" s="2"/>
    </row>
    <row r="58378" spans="3:3" x14ac:dyDescent="0.35">
      <c r="C58378" s="2"/>
    </row>
    <row r="58379" spans="3:3" x14ac:dyDescent="0.35">
      <c r="C58379" s="2"/>
    </row>
    <row r="58380" spans="3:3" x14ac:dyDescent="0.35">
      <c r="C58380" s="2"/>
    </row>
    <row r="58381" spans="3:3" x14ac:dyDescent="0.35">
      <c r="C58381" s="2"/>
    </row>
    <row r="58382" spans="3:3" x14ac:dyDescent="0.35">
      <c r="C58382" s="2"/>
    </row>
    <row r="58383" spans="3:3" x14ac:dyDescent="0.35">
      <c r="C58383" s="2"/>
    </row>
    <row r="58384" spans="3:3" x14ac:dyDescent="0.35">
      <c r="C58384" s="2"/>
    </row>
    <row r="58385" spans="3:3" x14ac:dyDescent="0.35">
      <c r="C58385" s="2"/>
    </row>
    <row r="58386" spans="3:3" x14ac:dyDescent="0.35">
      <c r="C58386" s="2"/>
    </row>
    <row r="58387" spans="3:3" x14ac:dyDescent="0.35">
      <c r="C58387" s="2"/>
    </row>
    <row r="58388" spans="3:3" x14ac:dyDescent="0.35">
      <c r="C58388" s="2"/>
    </row>
    <row r="58389" spans="3:3" x14ac:dyDescent="0.35">
      <c r="C58389" s="2"/>
    </row>
    <row r="58390" spans="3:3" x14ac:dyDescent="0.35">
      <c r="C58390" s="2"/>
    </row>
    <row r="58391" spans="3:3" x14ac:dyDescent="0.35">
      <c r="C58391" s="2"/>
    </row>
    <row r="58392" spans="3:3" x14ac:dyDescent="0.35">
      <c r="C58392" s="2"/>
    </row>
    <row r="58393" spans="3:3" x14ac:dyDescent="0.35">
      <c r="C58393" s="2"/>
    </row>
    <row r="58394" spans="3:3" x14ac:dyDescent="0.35">
      <c r="C58394" s="2"/>
    </row>
    <row r="58395" spans="3:3" x14ac:dyDescent="0.35">
      <c r="C58395" s="2"/>
    </row>
    <row r="58396" spans="3:3" x14ac:dyDescent="0.35">
      <c r="C58396" s="2"/>
    </row>
    <row r="58397" spans="3:3" x14ac:dyDescent="0.35">
      <c r="C58397" s="2"/>
    </row>
    <row r="58398" spans="3:3" x14ac:dyDescent="0.35">
      <c r="C58398" s="2"/>
    </row>
    <row r="58399" spans="3:3" x14ac:dyDescent="0.35">
      <c r="C58399" s="2"/>
    </row>
    <row r="58400" spans="3:3" x14ac:dyDescent="0.35">
      <c r="C58400" s="2"/>
    </row>
    <row r="58401" spans="3:3" x14ac:dyDescent="0.35">
      <c r="C58401" s="2"/>
    </row>
    <row r="58402" spans="3:3" x14ac:dyDescent="0.35">
      <c r="C58402" s="2"/>
    </row>
    <row r="58403" spans="3:3" x14ac:dyDescent="0.35">
      <c r="C58403" s="2"/>
    </row>
    <row r="58404" spans="3:3" x14ac:dyDescent="0.35">
      <c r="C58404" s="2"/>
    </row>
    <row r="58405" spans="3:3" x14ac:dyDescent="0.35">
      <c r="C58405" s="2"/>
    </row>
    <row r="58406" spans="3:3" x14ac:dyDescent="0.35">
      <c r="C58406" s="2"/>
    </row>
    <row r="58407" spans="3:3" x14ac:dyDescent="0.35">
      <c r="C58407" s="2"/>
    </row>
    <row r="58408" spans="3:3" x14ac:dyDescent="0.35">
      <c r="C58408" s="2"/>
    </row>
    <row r="58409" spans="3:3" x14ac:dyDescent="0.35">
      <c r="C58409" s="2"/>
    </row>
    <row r="58410" spans="3:3" x14ac:dyDescent="0.35">
      <c r="C58410" s="2"/>
    </row>
    <row r="58411" spans="3:3" x14ac:dyDescent="0.35">
      <c r="C58411" s="2"/>
    </row>
    <row r="58412" spans="3:3" x14ac:dyDescent="0.35">
      <c r="C58412" s="2"/>
    </row>
    <row r="58413" spans="3:3" x14ac:dyDescent="0.35">
      <c r="C58413" s="2"/>
    </row>
    <row r="58414" spans="3:3" x14ac:dyDescent="0.35">
      <c r="C58414" s="2"/>
    </row>
    <row r="58415" spans="3:3" x14ac:dyDescent="0.35">
      <c r="C58415" s="2"/>
    </row>
    <row r="58416" spans="3:3" x14ac:dyDescent="0.35">
      <c r="C58416" s="2"/>
    </row>
    <row r="58417" spans="3:3" x14ac:dyDescent="0.35">
      <c r="C58417" s="2"/>
    </row>
    <row r="58418" spans="3:3" x14ac:dyDescent="0.35">
      <c r="C58418" s="2"/>
    </row>
    <row r="58419" spans="3:3" x14ac:dyDescent="0.35">
      <c r="C58419" s="2"/>
    </row>
    <row r="58420" spans="3:3" x14ac:dyDescent="0.35">
      <c r="C58420" s="2"/>
    </row>
    <row r="58421" spans="3:3" x14ac:dyDescent="0.35">
      <c r="C58421" s="2"/>
    </row>
    <row r="58422" spans="3:3" x14ac:dyDescent="0.35">
      <c r="C58422" s="2"/>
    </row>
    <row r="58423" spans="3:3" x14ac:dyDescent="0.35">
      <c r="C58423" s="2"/>
    </row>
    <row r="58424" spans="3:3" x14ac:dyDescent="0.35">
      <c r="C58424" s="2"/>
    </row>
    <row r="58425" spans="3:3" x14ac:dyDescent="0.35">
      <c r="C58425" s="2"/>
    </row>
    <row r="58426" spans="3:3" x14ac:dyDescent="0.35">
      <c r="C58426" s="2"/>
    </row>
    <row r="58427" spans="3:3" x14ac:dyDescent="0.35">
      <c r="C58427" s="2"/>
    </row>
    <row r="58428" spans="3:3" x14ac:dyDescent="0.35">
      <c r="C58428" s="2"/>
    </row>
    <row r="58429" spans="3:3" x14ac:dyDescent="0.35">
      <c r="C58429" s="2"/>
    </row>
    <row r="58430" spans="3:3" x14ac:dyDescent="0.35">
      <c r="C58430" s="2"/>
    </row>
    <row r="58431" spans="3:3" x14ac:dyDescent="0.35">
      <c r="C58431" s="2"/>
    </row>
    <row r="58432" spans="3:3" x14ac:dyDescent="0.35">
      <c r="C58432" s="2"/>
    </row>
    <row r="58433" spans="3:3" x14ac:dyDescent="0.35">
      <c r="C58433" s="2"/>
    </row>
    <row r="58434" spans="3:3" x14ac:dyDescent="0.35">
      <c r="C58434" s="2"/>
    </row>
    <row r="58435" spans="3:3" x14ac:dyDescent="0.35">
      <c r="C58435" s="2"/>
    </row>
    <row r="58436" spans="3:3" x14ac:dyDescent="0.35">
      <c r="C58436" s="2"/>
    </row>
    <row r="58437" spans="3:3" x14ac:dyDescent="0.35">
      <c r="C58437" s="2"/>
    </row>
    <row r="58438" spans="3:3" x14ac:dyDescent="0.35">
      <c r="C58438" s="2"/>
    </row>
    <row r="58439" spans="3:3" x14ac:dyDescent="0.35">
      <c r="C58439" s="2"/>
    </row>
    <row r="58440" spans="3:3" x14ac:dyDescent="0.35">
      <c r="C58440" s="2"/>
    </row>
    <row r="58441" spans="3:3" x14ac:dyDescent="0.35">
      <c r="C58441" s="2"/>
    </row>
    <row r="58442" spans="3:3" x14ac:dyDescent="0.35">
      <c r="C58442" s="2"/>
    </row>
    <row r="58443" spans="3:3" x14ac:dyDescent="0.35">
      <c r="C58443" s="2"/>
    </row>
    <row r="58444" spans="3:3" x14ac:dyDescent="0.35">
      <c r="C58444" s="2"/>
    </row>
    <row r="58445" spans="3:3" x14ac:dyDescent="0.35">
      <c r="C58445" s="2"/>
    </row>
    <row r="58446" spans="3:3" x14ac:dyDescent="0.35">
      <c r="C58446" s="2"/>
    </row>
    <row r="58447" spans="3:3" x14ac:dyDescent="0.35">
      <c r="C58447" s="2"/>
    </row>
    <row r="58448" spans="3:3" x14ac:dyDescent="0.35">
      <c r="C58448" s="2"/>
    </row>
    <row r="58449" spans="3:3" x14ac:dyDescent="0.35">
      <c r="C58449" s="2"/>
    </row>
    <row r="58450" spans="3:3" x14ac:dyDescent="0.35">
      <c r="C58450" s="2"/>
    </row>
    <row r="58451" spans="3:3" x14ac:dyDescent="0.35">
      <c r="C58451" s="2"/>
    </row>
    <row r="58452" spans="3:3" x14ac:dyDescent="0.35">
      <c r="C58452" s="2"/>
    </row>
    <row r="58453" spans="3:3" x14ac:dyDescent="0.35">
      <c r="C58453" s="2"/>
    </row>
    <row r="58454" spans="3:3" x14ac:dyDescent="0.35">
      <c r="C58454" s="2"/>
    </row>
    <row r="58455" spans="3:3" x14ac:dyDescent="0.35">
      <c r="C58455" s="2"/>
    </row>
    <row r="58456" spans="3:3" x14ac:dyDescent="0.35">
      <c r="C58456" s="2"/>
    </row>
    <row r="58457" spans="3:3" x14ac:dyDescent="0.35">
      <c r="C58457" s="2"/>
    </row>
    <row r="58458" spans="3:3" x14ac:dyDescent="0.35">
      <c r="C58458" s="2"/>
    </row>
    <row r="58459" spans="3:3" x14ac:dyDescent="0.35">
      <c r="C58459" s="2"/>
    </row>
    <row r="58460" spans="3:3" x14ac:dyDescent="0.35">
      <c r="C58460" s="2"/>
    </row>
    <row r="58461" spans="3:3" x14ac:dyDescent="0.35">
      <c r="C58461" s="2"/>
    </row>
    <row r="58462" spans="3:3" x14ac:dyDescent="0.35">
      <c r="C58462" s="2"/>
    </row>
    <row r="58463" spans="3:3" x14ac:dyDescent="0.35">
      <c r="C58463" s="2"/>
    </row>
    <row r="58464" spans="3:3" x14ac:dyDescent="0.35">
      <c r="C58464" s="2"/>
    </row>
    <row r="58465" spans="3:3" x14ac:dyDescent="0.35">
      <c r="C58465" s="2"/>
    </row>
    <row r="58466" spans="3:3" x14ac:dyDescent="0.35">
      <c r="C58466" s="2"/>
    </row>
    <row r="58467" spans="3:3" x14ac:dyDescent="0.35">
      <c r="C58467" s="2"/>
    </row>
    <row r="58468" spans="3:3" x14ac:dyDescent="0.35">
      <c r="C58468" s="2"/>
    </row>
    <row r="58469" spans="3:3" x14ac:dyDescent="0.35">
      <c r="C58469" s="2"/>
    </row>
    <row r="58470" spans="3:3" x14ac:dyDescent="0.35">
      <c r="C58470" s="2"/>
    </row>
    <row r="58471" spans="3:3" x14ac:dyDescent="0.35">
      <c r="C58471" s="2"/>
    </row>
    <row r="58472" spans="3:3" x14ac:dyDescent="0.35">
      <c r="C58472" s="2"/>
    </row>
    <row r="58473" spans="3:3" x14ac:dyDescent="0.35">
      <c r="C58473" s="2"/>
    </row>
    <row r="58474" spans="3:3" x14ac:dyDescent="0.35">
      <c r="C58474" s="2"/>
    </row>
    <row r="58475" spans="3:3" x14ac:dyDescent="0.35">
      <c r="C58475" s="2"/>
    </row>
    <row r="58476" spans="3:3" x14ac:dyDescent="0.35">
      <c r="C58476" s="2"/>
    </row>
    <row r="58477" spans="3:3" x14ac:dyDescent="0.35">
      <c r="C58477" s="2"/>
    </row>
    <row r="58478" spans="3:3" x14ac:dyDescent="0.35">
      <c r="C58478" s="2"/>
    </row>
    <row r="58479" spans="3:3" x14ac:dyDescent="0.35">
      <c r="C58479" s="2"/>
    </row>
    <row r="58480" spans="3:3" x14ac:dyDescent="0.35">
      <c r="C58480" s="2"/>
    </row>
    <row r="58481" spans="3:3" x14ac:dyDescent="0.35">
      <c r="C58481" s="2"/>
    </row>
    <row r="58482" spans="3:3" x14ac:dyDescent="0.35">
      <c r="C58482" s="2"/>
    </row>
    <row r="58483" spans="3:3" x14ac:dyDescent="0.35">
      <c r="C58483" s="2"/>
    </row>
    <row r="58484" spans="3:3" x14ac:dyDescent="0.35">
      <c r="C58484" s="2"/>
    </row>
    <row r="58485" spans="3:3" x14ac:dyDescent="0.35">
      <c r="C58485" s="2"/>
    </row>
    <row r="58486" spans="3:3" x14ac:dyDescent="0.35">
      <c r="C58486" s="2"/>
    </row>
    <row r="58487" spans="3:3" x14ac:dyDescent="0.35">
      <c r="C58487" s="2"/>
    </row>
    <row r="58488" spans="3:3" x14ac:dyDescent="0.35">
      <c r="C58488" s="2"/>
    </row>
    <row r="58489" spans="3:3" x14ac:dyDescent="0.35">
      <c r="C58489" s="2"/>
    </row>
    <row r="58490" spans="3:3" x14ac:dyDescent="0.35">
      <c r="C58490" s="2"/>
    </row>
    <row r="58491" spans="3:3" x14ac:dyDescent="0.35">
      <c r="C58491" s="2"/>
    </row>
    <row r="58492" spans="3:3" x14ac:dyDescent="0.35">
      <c r="C58492" s="2"/>
    </row>
    <row r="58493" spans="3:3" x14ac:dyDescent="0.35">
      <c r="C58493" s="2"/>
    </row>
    <row r="58494" spans="3:3" x14ac:dyDescent="0.35">
      <c r="C58494" s="2"/>
    </row>
    <row r="58495" spans="3:3" x14ac:dyDescent="0.35">
      <c r="C58495" s="2"/>
    </row>
    <row r="58496" spans="3:3" x14ac:dyDescent="0.35">
      <c r="C58496" s="2"/>
    </row>
    <row r="58497" spans="3:3" x14ac:dyDescent="0.35">
      <c r="C58497" s="2"/>
    </row>
    <row r="58498" spans="3:3" x14ac:dyDescent="0.35">
      <c r="C58498" s="2"/>
    </row>
    <row r="58499" spans="3:3" x14ac:dyDescent="0.35">
      <c r="C58499" s="2"/>
    </row>
    <row r="58500" spans="3:3" x14ac:dyDescent="0.35">
      <c r="C58500" s="2"/>
    </row>
    <row r="58501" spans="3:3" x14ac:dyDescent="0.35">
      <c r="C58501" s="2"/>
    </row>
    <row r="58502" spans="3:3" x14ac:dyDescent="0.35">
      <c r="C58502" s="2"/>
    </row>
    <row r="58503" spans="3:3" x14ac:dyDescent="0.35">
      <c r="C58503" s="2"/>
    </row>
    <row r="58504" spans="3:3" x14ac:dyDescent="0.35">
      <c r="C58504" s="2"/>
    </row>
    <row r="58505" spans="3:3" x14ac:dyDescent="0.35">
      <c r="C58505" s="2"/>
    </row>
    <row r="58506" spans="3:3" x14ac:dyDescent="0.35">
      <c r="C58506" s="2"/>
    </row>
    <row r="58507" spans="3:3" x14ac:dyDescent="0.35">
      <c r="C58507" s="2"/>
    </row>
    <row r="58508" spans="3:3" x14ac:dyDescent="0.35">
      <c r="C58508" s="2"/>
    </row>
    <row r="58509" spans="3:3" x14ac:dyDescent="0.35">
      <c r="C58509" s="2"/>
    </row>
    <row r="58510" spans="3:3" x14ac:dyDescent="0.35">
      <c r="C58510" s="2"/>
    </row>
    <row r="58511" spans="3:3" x14ac:dyDescent="0.35">
      <c r="C58511" s="2"/>
    </row>
    <row r="58512" spans="3:3" x14ac:dyDescent="0.35">
      <c r="C58512" s="2"/>
    </row>
    <row r="58513" spans="3:3" x14ac:dyDescent="0.35">
      <c r="C58513" s="2"/>
    </row>
    <row r="58514" spans="3:3" x14ac:dyDescent="0.35">
      <c r="C58514" s="2"/>
    </row>
    <row r="58515" spans="3:3" x14ac:dyDescent="0.35">
      <c r="C58515" s="2"/>
    </row>
    <row r="58516" spans="3:3" x14ac:dyDescent="0.35">
      <c r="C58516" s="2"/>
    </row>
    <row r="58517" spans="3:3" x14ac:dyDescent="0.35">
      <c r="C58517" s="2"/>
    </row>
    <row r="58518" spans="3:3" x14ac:dyDescent="0.35">
      <c r="C58518" s="2"/>
    </row>
    <row r="58519" spans="3:3" x14ac:dyDescent="0.35">
      <c r="C58519" s="2"/>
    </row>
    <row r="58520" spans="3:3" x14ac:dyDescent="0.35">
      <c r="C58520" s="2"/>
    </row>
    <row r="58521" spans="3:3" x14ac:dyDescent="0.35">
      <c r="C58521" s="2"/>
    </row>
    <row r="58522" spans="3:3" x14ac:dyDescent="0.35">
      <c r="C58522" s="2"/>
    </row>
    <row r="58523" spans="3:3" x14ac:dyDescent="0.35">
      <c r="C58523" s="2"/>
    </row>
    <row r="58524" spans="3:3" x14ac:dyDescent="0.35">
      <c r="C58524" s="2"/>
    </row>
    <row r="58525" spans="3:3" x14ac:dyDescent="0.35">
      <c r="C58525" s="2"/>
    </row>
    <row r="58526" spans="3:3" x14ac:dyDescent="0.35">
      <c r="C58526" s="2"/>
    </row>
    <row r="58527" spans="3:3" x14ac:dyDescent="0.35">
      <c r="C58527" s="2"/>
    </row>
    <row r="58528" spans="3:3" x14ac:dyDescent="0.35">
      <c r="C58528" s="2"/>
    </row>
    <row r="58529" spans="3:3" x14ac:dyDescent="0.35">
      <c r="C58529" s="2"/>
    </row>
    <row r="58530" spans="3:3" x14ac:dyDescent="0.35">
      <c r="C58530" s="2"/>
    </row>
    <row r="58531" spans="3:3" x14ac:dyDescent="0.35">
      <c r="C58531" s="2"/>
    </row>
    <row r="58532" spans="3:3" x14ac:dyDescent="0.35">
      <c r="C58532" s="2"/>
    </row>
    <row r="58533" spans="3:3" x14ac:dyDescent="0.35">
      <c r="C58533" s="2"/>
    </row>
    <row r="58534" spans="3:3" x14ac:dyDescent="0.35">
      <c r="C58534" s="2"/>
    </row>
    <row r="58535" spans="3:3" x14ac:dyDescent="0.35">
      <c r="C58535" s="2"/>
    </row>
    <row r="58536" spans="3:3" x14ac:dyDescent="0.35">
      <c r="C58536" s="2"/>
    </row>
    <row r="58537" spans="3:3" x14ac:dyDescent="0.35">
      <c r="C58537" s="2"/>
    </row>
    <row r="58538" spans="3:3" x14ac:dyDescent="0.35">
      <c r="C58538" s="2"/>
    </row>
    <row r="58539" spans="3:3" x14ac:dyDescent="0.35">
      <c r="C58539" s="2"/>
    </row>
    <row r="58540" spans="3:3" x14ac:dyDescent="0.35">
      <c r="C58540" s="2"/>
    </row>
    <row r="58541" spans="3:3" x14ac:dyDescent="0.35">
      <c r="C58541" s="2"/>
    </row>
    <row r="58542" spans="3:3" x14ac:dyDescent="0.35">
      <c r="C58542" s="2"/>
    </row>
    <row r="58543" spans="3:3" x14ac:dyDescent="0.35">
      <c r="C58543" s="2"/>
    </row>
    <row r="58544" spans="3:3" x14ac:dyDescent="0.35">
      <c r="C58544" s="2"/>
    </row>
    <row r="58545" spans="3:3" x14ac:dyDescent="0.35">
      <c r="C58545" s="2"/>
    </row>
    <row r="58546" spans="3:3" x14ac:dyDescent="0.35">
      <c r="C58546" s="2"/>
    </row>
    <row r="58547" spans="3:3" x14ac:dyDescent="0.35">
      <c r="C58547" s="2"/>
    </row>
    <row r="58548" spans="3:3" x14ac:dyDescent="0.35">
      <c r="C58548" s="2"/>
    </row>
    <row r="58549" spans="3:3" x14ac:dyDescent="0.35">
      <c r="C58549" s="2"/>
    </row>
    <row r="58550" spans="3:3" x14ac:dyDescent="0.35">
      <c r="C58550" s="2"/>
    </row>
    <row r="58551" spans="3:3" x14ac:dyDescent="0.35">
      <c r="C58551" s="2"/>
    </row>
    <row r="58552" spans="3:3" x14ac:dyDescent="0.35">
      <c r="C58552" s="2"/>
    </row>
    <row r="58553" spans="3:3" x14ac:dyDescent="0.35">
      <c r="C58553" s="2"/>
    </row>
    <row r="58554" spans="3:3" x14ac:dyDescent="0.35">
      <c r="C58554" s="2"/>
    </row>
    <row r="58555" spans="3:3" x14ac:dyDescent="0.35">
      <c r="C58555" s="2"/>
    </row>
    <row r="58556" spans="3:3" x14ac:dyDescent="0.35">
      <c r="C58556" s="2"/>
    </row>
    <row r="58557" spans="3:3" x14ac:dyDescent="0.35">
      <c r="C58557" s="2"/>
    </row>
    <row r="58558" spans="3:3" x14ac:dyDescent="0.35">
      <c r="C58558" s="2"/>
    </row>
    <row r="58559" spans="3:3" x14ac:dyDescent="0.35">
      <c r="C58559" s="2"/>
    </row>
    <row r="58560" spans="3:3" x14ac:dyDescent="0.35">
      <c r="C58560" s="2"/>
    </row>
    <row r="58561" spans="3:3" x14ac:dyDescent="0.35">
      <c r="C58561" s="2"/>
    </row>
    <row r="58562" spans="3:3" x14ac:dyDescent="0.35">
      <c r="C58562" s="2"/>
    </row>
    <row r="58563" spans="3:3" x14ac:dyDescent="0.35">
      <c r="C58563" s="2"/>
    </row>
    <row r="58564" spans="3:3" x14ac:dyDescent="0.35">
      <c r="C58564" s="2"/>
    </row>
    <row r="58565" spans="3:3" x14ac:dyDescent="0.35">
      <c r="C58565" s="2"/>
    </row>
    <row r="58566" spans="3:3" x14ac:dyDescent="0.35">
      <c r="C58566" s="2"/>
    </row>
    <row r="58567" spans="3:3" x14ac:dyDescent="0.35">
      <c r="C58567" s="2"/>
    </row>
    <row r="58568" spans="3:3" x14ac:dyDescent="0.35">
      <c r="C58568" s="2"/>
    </row>
    <row r="58569" spans="3:3" x14ac:dyDescent="0.35">
      <c r="C58569" s="2"/>
    </row>
    <row r="58570" spans="3:3" x14ac:dyDescent="0.35">
      <c r="C58570" s="2"/>
    </row>
    <row r="58571" spans="3:3" x14ac:dyDescent="0.35">
      <c r="C58571" s="2"/>
    </row>
    <row r="58572" spans="3:3" x14ac:dyDescent="0.35">
      <c r="C58572" s="2"/>
    </row>
    <row r="58573" spans="3:3" x14ac:dyDescent="0.35">
      <c r="C58573" s="2"/>
    </row>
    <row r="58574" spans="3:3" x14ac:dyDescent="0.35">
      <c r="C58574" s="2"/>
    </row>
    <row r="58575" spans="3:3" x14ac:dyDescent="0.35">
      <c r="C58575" s="2"/>
    </row>
    <row r="58576" spans="3:3" x14ac:dyDescent="0.35">
      <c r="C58576" s="2"/>
    </row>
    <row r="58577" spans="3:3" x14ac:dyDescent="0.35">
      <c r="C58577" s="2"/>
    </row>
    <row r="58578" spans="3:3" x14ac:dyDescent="0.35">
      <c r="C58578" s="2"/>
    </row>
    <row r="58579" spans="3:3" x14ac:dyDescent="0.35">
      <c r="C58579" s="2"/>
    </row>
    <row r="58580" spans="3:3" x14ac:dyDescent="0.35">
      <c r="C58580" s="2"/>
    </row>
    <row r="58581" spans="3:3" x14ac:dyDescent="0.35">
      <c r="C58581" s="2"/>
    </row>
    <row r="58582" spans="3:3" x14ac:dyDescent="0.35">
      <c r="C58582" s="2"/>
    </row>
    <row r="58583" spans="3:3" x14ac:dyDescent="0.35">
      <c r="C58583" s="2"/>
    </row>
    <row r="58584" spans="3:3" x14ac:dyDescent="0.35">
      <c r="C58584" s="2"/>
    </row>
    <row r="58585" spans="3:3" x14ac:dyDescent="0.35">
      <c r="C58585" s="2"/>
    </row>
    <row r="58586" spans="3:3" x14ac:dyDescent="0.35">
      <c r="C58586" s="2"/>
    </row>
    <row r="58587" spans="3:3" x14ac:dyDescent="0.35">
      <c r="C58587" s="2"/>
    </row>
    <row r="58588" spans="3:3" x14ac:dyDescent="0.35">
      <c r="C58588" s="2"/>
    </row>
    <row r="58589" spans="3:3" x14ac:dyDescent="0.35">
      <c r="C58589" s="2"/>
    </row>
    <row r="58590" spans="3:3" x14ac:dyDescent="0.35">
      <c r="C58590" s="2"/>
    </row>
    <row r="58591" spans="3:3" x14ac:dyDescent="0.35">
      <c r="C58591" s="2"/>
    </row>
    <row r="58592" spans="3:3" x14ac:dyDescent="0.35">
      <c r="C58592" s="2"/>
    </row>
    <row r="58593" spans="3:3" x14ac:dyDescent="0.35">
      <c r="C58593" s="2"/>
    </row>
    <row r="58594" spans="3:3" x14ac:dyDescent="0.35">
      <c r="C58594" s="2"/>
    </row>
    <row r="58595" spans="3:3" x14ac:dyDescent="0.35">
      <c r="C58595" s="2"/>
    </row>
    <row r="58596" spans="3:3" x14ac:dyDescent="0.35">
      <c r="C58596" s="2"/>
    </row>
    <row r="58597" spans="3:3" x14ac:dyDescent="0.35">
      <c r="C58597" s="2"/>
    </row>
    <row r="58598" spans="3:3" x14ac:dyDescent="0.35">
      <c r="C58598" s="2"/>
    </row>
    <row r="58599" spans="3:3" x14ac:dyDescent="0.35">
      <c r="C58599" s="2"/>
    </row>
    <row r="58600" spans="3:3" x14ac:dyDescent="0.35">
      <c r="C58600" s="2"/>
    </row>
    <row r="58601" spans="3:3" x14ac:dyDescent="0.35">
      <c r="C58601" s="2"/>
    </row>
    <row r="58602" spans="3:3" x14ac:dyDescent="0.35">
      <c r="C58602" s="2"/>
    </row>
    <row r="58603" spans="3:3" x14ac:dyDescent="0.35">
      <c r="C58603" s="2"/>
    </row>
    <row r="58604" spans="3:3" x14ac:dyDescent="0.35">
      <c r="C58604" s="2"/>
    </row>
    <row r="58605" spans="3:3" x14ac:dyDescent="0.35">
      <c r="C58605" s="2"/>
    </row>
    <row r="58606" spans="3:3" x14ac:dyDescent="0.35">
      <c r="C58606" s="2"/>
    </row>
    <row r="58607" spans="3:3" x14ac:dyDescent="0.35">
      <c r="C58607" s="2"/>
    </row>
    <row r="58608" spans="3:3" x14ac:dyDescent="0.35">
      <c r="C58608" s="2"/>
    </row>
    <row r="58609" spans="3:3" x14ac:dyDescent="0.35">
      <c r="C58609" s="2"/>
    </row>
    <row r="58610" spans="3:3" x14ac:dyDescent="0.35">
      <c r="C58610" s="2"/>
    </row>
    <row r="58611" spans="3:3" x14ac:dyDescent="0.35">
      <c r="C58611" s="2"/>
    </row>
    <row r="58612" spans="3:3" x14ac:dyDescent="0.35">
      <c r="C58612" s="2"/>
    </row>
    <row r="58613" spans="3:3" x14ac:dyDescent="0.35">
      <c r="C58613" s="2"/>
    </row>
    <row r="58614" spans="3:3" x14ac:dyDescent="0.35">
      <c r="C58614" s="2"/>
    </row>
    <row r="58615" spans="3:3" x14ac:dyDescent="0.35">
      <c r="C58615" s="2"/>
    </row>
    <row r="58616" spans="3:3" x14ac:dyDescent="0.35">
      <c r="C58616" s="2"/>
    </row>
    <row r="58617" spans="3:3" x14ac:dyDescent="0.35">
      <c r="C58617" s="2"/>
    </row>
    <row r="58618" spans="3:3" x14ac:dyDescent="0.35">
      <c r="C58618" s="2"/>
    </row>
    <row r="58619" spans="3:3" x14ac:dyDescent="0.35">
      <c r="C58619" s="2"/>
    </row>
    <row r="58620" spans="3:3" x14ac:dyDescent="0.35">
      <c r="C58620" s="2"/>
    </row>
    <row r="58621" spans="3:3" x14ac:dyDescent="0.35">
      <c r="C58621" s="2"/>
    </row>
    <row r="58622" spans="3:3" x14ac:dyDescent="0.35">
      <c r="C58622" s="2"/>
    </row>
    <row r="58623" spans="3:3" x14ac:dyDescent="0.35">
      <c r="C58623" s="2"/>
    </row>
    <row r="58624" spans="3:3" x14ac:dyDescent="0.35">
      <c r="C58624" s="2"/>
    </row>
    <row r="58625" spans="3:3" x14ac:dyDescent="0.35">
      <c r="C58625" s="2"/>
    </row>
    <row r="58626" spans="3:3" x14ac:dyDescent="0.35">
      <c r="C58626" s="2"/>
    </row>
    <row r="58627" spans="3:3" x14ac:dyDescent="0.35">
      <c r="C58627" s="2"/>
    </row>
    <row r="58628" spans="3:3" x14ac:dyDescent="0.35">
      <c r="C58628" s="2"/>
    </row>
    <row r="58629" spans="3:3" x14ac:dyDescent="0.35">
      <c r="C58629" s="2"/>
    </row>
    <row r="58630" spans="3:3" x14ac:dyDescent="0.35">
      <c r="C58630" s="2"/>
    </row>
    <row r="58631" spans="3:3" x14ac:dyDescent="0.35">
      <c r="C58631" s="2"/>
    </row>
    <row r="58632" spans="3:3" x14ac:dyDescent="0.35">
      <c r="C58632" s="2"/>
    </row>
    <row r="58633" spans="3:3" x14ac:dyDescent="0.35">
      <c r="C58633" s="2"/>
    </row>
    <row r="58634" spans="3:3" x14ac:dyDescent="0.35">
      <c r="C58634" s="2"/>
    </row>
    <row r="58635" spans="3:3" x14ac:dyDescent="0.35">
      <c r="C58635" s="2"/>
    </row>
    <row r="58636" spans="3:3" x14ac:dyDescent="0.35">
      <c r="C58636" s="2"/>
    </row>
    <row r="58637" spans="3:3" x14ac:dyDescent="0.35">
      <c r="C58637" s="2"/>
    </row>
    <row r="58638" spans="3:3" x14ac:dyDescent="0.35">
      <c r="C58638" s="2"/>
    </row>
    <row r="58639" spans="3:3" x14ac:dyDescent="0.35">
      <c r="C58639" s="2"/>
    </row>
    <row r="58640" spans="3:3" x14ac:dyDescent="0.35">
      <c r="C58640" s="2"/>
    </row>
    <row r="58641" spans="3:3" x14ac:dyDescent="0.35">
      <c r="C58641" s="2"/>
    </row>
    <row r="58642" spans="3:3" x14ac:dyDescent="0.35">
      <c r="C58642" s="2"/>
    </row>
    <row r="58643" spans="3:3" x14ac:dyDescent="0.35">
      <c r="C58643" s="2"/>
    </row>
    <row r="58644" spans="3:3" x14ac:dyDescent="0.35">
      <c r="C58644" s="2"/>
    </row>
    <row r="58645" spans="3:3" x14ac:dyDescent="0.35">
      <c r="C58645" s="2"/>
    </row>
    <row r="58646" spans="3:3" x14ac:dyDescent="0.35">
      <c r="C58646" s="2"/>
    </row>
    <row r="58647" spans="3:3" x14ac:dyDescent="0.35">
      <c r="C58647" s="2"/>
    </row>
    <row r="58648" spans="3:3" x14ac:dyDescent="0.35">
      <c r="C58648" s="2"/>
    </row>
    <row r="58649" spans="3:3" x14ac:dyDescent="0.35">
      <c r="C58649" s="2"/>
    </row>
    <row r="58650" spans="3:3" x14ac:dyDescent="0.35">
      <c r="C58650" s="2"/>
    </row>
    <row r="58651" spans="3:3" x14ac:dyDescent="0.35">
      <c r="C58651" s="2"/>
    </row>
    <row r="58652" spans="3:3" x14ac:dyDescent="0.35">
      <c r="C58652" s="2"/>
    </row>
    <row r="58653" spans="3:3" x14ac:dyDescent="0.35">
      <c r="C58653" s="2"/>
    </row>
    <row r="58654" spans="3:3" x14ac:dyDescent="0.35">
      <c r="C58654" s="2"/>
    </row>
    <row r="58655" spans="3:3" x14ac:dyDescent="0.35">
      <c r="C58655" s="2"/>
    </row>
    <row r="58656" spans="3:3" x14ac:dyDescent="0.35">
      <c r="C58656" s="2"/>
    </row>
    <row r="58657" spans="3:3" x14ac:dyDescent="0.35">
      <c r="C58657" s="2"/>
    </row>
    <row r="58658" spans="3:3" x14ac:dyDescent="0.35">
      <c r="C58658" s="2"/>
    </row>
    <row r="58659" spans="3:3" x14ac:dyDescent="0.35">
      <c r="C58659" s="2"/>
    </row>
    <row r="58660" spans="3:3" x14ac:dyDescent="0.35">
      <c r="C58660" s="2"/>
    </row>
    <row r="58661" spans="3:3" x14ac:dyDescent="0.35">
      <c r="C58661" s="2"/>
    </row>
    <row r="58662" spans="3:3" x14ac:dyDescent="0.35">
      <c r="C58662" s="2"/>
    </row>
    <row r="58663" spans="3:3" x14ac:dyDescent="0.35">
      <c r="C58663" s="2"/>
    </row>
    <row r="58664" spans="3:3" x14ac:dyDescent="0.35">
      <c r="C58664" s="2"/>
    </row>
    <row r="58665" spans="3:3" x14ac:dyDescent="0.35">
      <c r="C58665" s="2"/>
    </row>
    <row r="58666" spans="3:3" x14ac:dyDescent="0.35">
      <c r="C58666" s="2"/>
    </row>
    <row r="58667" spans="3:3" x14ac:dyDescent="0.35">
      <c r="C58667" s="2"/>
    </row>
    <row r="58668" spans="3:3" x14ac:dyDescent="0.35">
      <c r="C58668" s="2"/>
    </row>
    <row r="58669" spans="3:3" x14ac:dyDescent="0.35">
      <c r="C58669" s="2"/>
    </row>
    <row r="58670" spans="3:3" x14ac:dyDescent="0.35">
      <c r="C58670" s="2"/>
    </row>
    <row r="58671" spans="3:3" x14ac:dyDescent="0.35">
      <c r="C58671" s="2"/>
    </row>
    <row r="58672" spans="3:3" x14ac:dyDescent="0.35">
      <c r="C58672" s="2"/>
    </row>
    <row r="58673" spans="3:3" x14ac:dyDescent="0.35">
      <c r="C58673" s="2"/>
    </row>
    <row r="58674" spans="3:3" x14ac:dyDescent="0.35">
      <c r="C58674" s="2"/>
    </row>
    <row r="58675" spans="3:3" x14ac:dyDescent="0.35">
      <c r="C58675" s="2"/>
    </row>
    <row r="58676" spans="3:3" x14ac:dyDescent="0.35">
      <c r="C58676" s="2"/>
    </row>
    <row r="58677" spans="3:3" x14ac:dyDescent="0.35">
      <c r="C58677" s="2"/>
    </row>
    <row r="58678" spans="3:3" x14ac:dyDescent="0.35">
      <c r="C58678" s="2"/>
    </row>
    <row r="58679" spans="3:3" x14ac:dyDescent="0.35">
      <c r="C58679" s="2"/>
    </row>
    <row r="58680" spans="3:3" x14ac:dyDescent="0.35">
      <c r="C58680" s="2"/>
    </row>
    <row r="58681" spans="3:3" x14ac:dyDescent="0.35">
      <c r="C58681" s="2"/>
    </row>
    <row r="58682" spans="3:3" x14ac:dyDescent="0.35">
      <c r="C58682" s="2"/>
    </row>
    <row r="58683" spans="3:3" x14ac:dyDescent="0.35">
      <c r="C58683" s="2"/>
    </row>
    <row r="58684" spans="3:3" x14ac:dyDescent="0.35">
      <c r="C58684" s="2"/>
    </row>
    <row r="58685" spans="3:3" x14ac:dyDescent="0.35">
      <c r="C58685" s="2"/>
    </row>
    <row r="58686" spans="3:3" x14ac:dyDescent="0.35">
      <c r="C58686" s="2"/>
    </row>
    <row r="58687" spans="3:3" x14ac:dyDescent="0.35">
      <c r="C58687" s="2"/>
    </row>
    <row r="58688" spans="3:3" x14ac:dyDescent="0.35">
      <c r="C58688" s="2"/>
    </row>
    <row r="58689" spans="3:3" x14ac:dyDescent="0.35">
      <c r="C58689" s="2"/>
    </row>
    <row r="58690" spans="3:3" x14ac:dyDescent="0.35">
      <c r="C58690" s="2"/>
    </row>
    <row r="58691" spans="3:3" x14ac:dyDescent="0.35">
      <c r="C58691" s="2"/>
    </row>
    <row r="58692" spans="3:3" x14ac:dyDescent="0.35">
      <c r="C58692" s="2"/>
    </row>
    <row r="58693" spans="3:3" x14ac:dyDescent="0.35">
      <c r="C58693" s="2"/>
    </row>
    <row r="58694" spans="3:3" x14ac:dyDescent="0.35">
      <c r="C58694" s="2"/>
    </row>
    <row r="58695" spans="3:3" x14ac:dyDescent="0.35">
      <c r="C58695" s="2"/>
    </row>
    <row r="58696" spans="3:3" x14ac:dyDescent="0.35">
      <c r="C58696" s="2"/>
    </row>
    <row r="58697" spans="3:3" x14ac:dyDescent="0.35">
      <c r="C58697" s="2"/>
    </row>
    <row r="58698" spans="3:3" x14ac:dyDescent="0.35">
      <c r="C58698" s="2"/>
    </row>
    <row r="58699" spans="3:3" x14ac:dyDescent="0.35">
      <c r="C58699" s="2"/>
    </row>
    <row r="58700" spans="3:3" x14ac:dyDescent="0.35">
      <c r="C58700" s="2"/>
    </row>
    <row r="58701" spans="3:3" x14ac:dyDescent="0.35">
      <c r="C58701" s="2"/>
    </row>
    <row r="58702" spans="3:3" x14ac:dyDescent="0.35">
      <c r="C58702" s="2"/>
    </row>
    <row r="58703" spans="3:3" x14ac:dyDescent="0.35">
      <c r="C58703" s="2"/>
    </row>
    <row r="58704" spans="3:3" x14ac:dyDescent="0.35">
      <c r="C58704" s="2"/>
    </row>
    <row r="58705" spans="3:3" x14ac:dyDescent="0.35">
      <c r="C58705" s="2"/>
    </row>
    <row r="58706" spans="3:3" x14ac:dyDescent="0.35">
      <c r="C58706" s="2"/>
    </row>
    <row r="58707" spans="3:3" x14ac:dyDescent="0.35">
      <c r="C58707" s="2"/>
    </row>
    <row r="58708" spans="3:3" x14ac:dyDescent="0.35">
      <c r="C58708" s="2"/>
    </row>
    <row r="58709" spans="3:3" x14ac:dyDescent="0.35">
      <c r="C58709" s="2"/>
    </row>
    <row r="58710" spans="3:3" x14ac:dyDescent="0.35">
      <c r="C58710" s="2"/>
    </row>
    <row r="58711" spans="3:3" x14ac:dyDescent="0.35">
      <c r="C58711" s="2"/>
    </row>
    <row r="58712" spans="3:3" x14ac:dyDescent="0.35">
      <c r="C58712" s="2"/>
    </row>
    <row r="58713" spans="3:3" x14ac:dyDescent="0.35">
      <c r="C58713" s="2"/>
    </row>
    <row r="58714" spans="3:3" x14ac:dyDescent="0.35">
      <c r="C58714" s="2"/>
    </row>
    <row r="58715" spans="3:3" x14ac:dyDescent="0.35">
      <c r="C58715" s="2"/>
    </row>
    <row r="58716" spans="3:3" x14ac:dyDescent="0.35">
      <c r="C58716" s="2"/>
    </row>
    <row r="58717" spans="3:3" x14ac:dyDescent="0.35">
      <c r="C58717" s="2"/>
    </row>
    <row r="58718" spans="3:3" x14ac:dyDescent="0.35">
      <c r="C58718" s="2"/>
    </row>
    <row r="58719" spans="3:3" x14ac:dyDescent="0.35">
      <c r="C58719" s="2"/>
    </row>
    <row r="58720" spans="3:3" x14ac:dyDescent="0.35">
      <c r="C58720" s="2"/>
    </row>
    <row r="58721" spans="3:3" x14ac:dyDescent="0.35">
      <c r="C58721" s="2"/>
    </row>
    <row r="58722" spans="3:3" x14ac:dyDescent="0.35">
      <c r="C58722" s="2"/>
    </row>
    <row r="58723" spans="3:3" x14ac:dyDescent="0.35">
      <c r="C58723" s="2"/>
    </row>
    <row r="58724" spans="3:3" x14ac:dyDescent="0.35">
      <c r="C58724" s="2"/>
    </row>
    <row r="58725" spans="3:3" x14ac:dyDescent="0.35">
      <c r="C58725" s="2"/>
    </row>
    <row r="58726" spans="3:3" x14ac:dyDescent="0.35">
      <c r="C58726" s="2"/>
    </row>
    <row r="58727" spans="3:3" x14ac:dyDescent="0.35">
      <c r="C58727" s="2"/>
    </row>
    <row r="58728" spans="3:3" x14ac:dyDescent="0.35">
      <c r="C58728" s="2"/>
    </row>
    <row r="58729" spans="3:3" x14ac:dyDescent="0.35">
      <c r="C58729" s="2"/>
    </row>
    <row r="58730" spans="3:3" x14ac:dyDescent="0.35">
      <c r="C58730" s="2"/>
    </row>
    <row r="58731" spans="3:3" x14ac:dyDescent="0.35">
      <c r="C58731" s="2"/>
    </row>
    <row r="58732" spans="3:3" x14ac:dyDescent="0.35">
      <c r="C58732" s="2"/>
    </row>
    <row r="58733" spans="3:3" x14ac:dyDescent="0.35">
      <c r="C58733" s="2"/>
    </row>
    <row r="58734" spans="3:3" x14ac:dyDescent="0.35">
      <c r="C58734" s="2"/>
    </row>
    <row r="58735" spans="3:3" x14ac:dyDescent="0.35">
      <c r="C58735" s="2"/>
    </row>
    <row r="58736" spans="3:3" x14ac:dyDescent="0.35">
      <c r="C58736" s="2"/>
    </row>
    <row r="58737" spans="3:3" x14ac:dyDescent="0.35">
      <c r="C58737" s="2"/>
    </row>
    <row r="58738" spans="3:3" x14ac:dyDescent="0.35">
      <c r="C58738" s="2"/>
    </row>
    <row r="58739" spans="3:3" x14ac:dyDescent="0.35">
      <c r="C58739" s="2"/>
    </row>
    <row r="58740" spans="3:3" x14ac:dyDescent="0.35">
      <c r="C58740" s="2"/>
    </row>
    <row r="58741" spans="3:3" x14ac:dyDescent="0.35">
      <c r="C58741" s="2"/>
    </row>
    <row r="58742" spans="3:3" x14ac:dyDescent="0.35">
      <c r="C58742" s="2"/>
    </row>
    <row r="58743" spans="3:3" x14ac:dyDescent="0.35">
      <c r="C58743" s="2"/>
    </row>
    <row r="58744" spans="3:3" x14ac:dyDescent="0.35">
      <c r="C58744" s="2"/>
    </row>
    <row r="58745" spans="3:3" x14ac:dyDescent="0.35">
      <c r="C58745" s="2"/>
    </row>
    <row r="58746" spans="3:3" x14ac:dyDescent="0.35">
      <c r="C58746" s="2"/>
    </row>
    <row r="58747" spans="3:3" x14ac:dyDescent="0.35">
      <c r="C58747" s="2"/>
    </row>
    <row r="58748" spans="3:3" x14ac:dyDescent="0.35">
      <c r="C58748" s="2"/>
    </row>
    <row r="58749" spans="3:3" x14ac:dyDescent="0.35">
      <c r="C58749" s="2"/>
    </row>
    <row r="58750" spans="3:3" x14ac:dyDescent="0.35">
      <c r="C58750" s="2"/>
    </row>
    <row r="58751" spans="3:3" x14ac:dyDescent="0.35">
      <c r="C58751" s="2"/>
    </row>
    <row r="58752" spans="3:3" x14ac:dyDescent="0.35">
      <c r="C58752" s="2"/>
    </row>
    <row r="58753" spans="3:3" x14ac:dyDescent="0.35">
      <c r="C58753" s="2"/>
    </row>
    <row r="58754" spans="3:3" x14ac:dyDescent="0.35">
      <c r="C58754" s="2"/>
    </row>
    <row r="58755" spans="3:3" x14ac:dyDescent="0.35">
      <c r="C58755" s="2"/>
    </row>
    <row r="58756" spans="3:3" x14ac:dyDescent="0.35">
      <c r="C58756" s="2"/>
    </row>
    <row r="58757" spans="3:3" x14ac:dyDescent="0.35">
      <c r="C58757" s="2"/>
    </row>
    <row r="58758" spans="3:3" x14ac:dyDescent="0.35">
      <c r="C58758" s="2"/>
    </row>
    <row r="58759" spans="3:3" x14ac:dyDescent="0.35">
      <c r="C58759" s="2"/>
    </row>
    <row r="58760" spans="3:3" x14ac:dyDescent="0.35">
      <c r="C58760" s="2"/>
    </row>
    <row r="58761" spans="3:3" x14ac:dyDescent="0.35">
      <c r="C58761" s="2"/>
    </row>
    <row r="58762" spans="3:3" x14ac:dyDescent="0.35">
      <c r="C58762" s="2"/>
    </row>
    <row r="58763" spans="3:3" x14ac:dyDescent="0.35">
      <c r="C58763" s="2"/>
    </row>
    <row r="58764" spans="3:3" x14ac:dyDescent="0.35">
      <c r="C58764" s="2"/>
    </row>
    <row r="58765" spans="3:3" x14ac:dyDescent="0.35">
      <c r="C58765" s="2"/>
    </row>
    <row r="58766" spans="3:3" x14ac:dyDescent="0.35">
      <c r="C58766" s="2"/>
    </row>
    <row r="58767" spans="3:3" x14ac:dyDescent="0.35">
      <c r="C58767" s="2"/>
    </row>
    <row r="58768" spans="3:3" x14ac:dyDescent="0.35">
      <c r="C58768" s="2"/>
    </row>
    <row r="58769" spans="3:3" x14ac:dyDescent="0.35">
      <c r="C58769" s="2"/>
    </row>
    <row r="58770" spans="3:3" x14ac:dyDescent="0.35">
      <c r="C58770" s="2"/>
    </row>
    <row r="58771" spans="3:3" x14ac:dyDescent="0.35">
      <c r="C58771" s="2"/>
    </row>
    <row r="58772" spans="3:3" x14ac:dyDescent="0.35">
      <c r="C58772" s="2"/>
    </row>
    <row r="58773" spans="3:3" x14ac:dyDescent="0.35">
      <c r="C58773" s="2"/>
    </row>
    <row r="58774" spans="3:3" x14ac:dyDescent="0.35">
      <c r="C58774" s="2"/>
    </row>
    <row r="58775" spans="3:3" x14ac:dyDescent="0.35">
      <c r="C58775" s="2"/>
    </row>
    <row r="58776" spans="3:3" x14ac:dyDescent="0.35">
      <c r="C58776" s="2"/>
    </row>
    <row r="58777" spans="3:3" x14ac:dyDescent="0.35">
      <c r="C58777" s="2"/>
    </row>
    <row r="58778" spans="3:3" x14ac:dyDescent="0.35">
      <c r="C58778" s="2"/>
    </row>
    <row r="58779" spans="3:3" x14ac:dyDescent="0.35">
      <c r="C58779" s="2"/>
    </row>
    <row r="58780" spans="3:3" x14ac:dyDescent="0.35">
      <c r="C58780" s="2"/>
    </row>
    <row r="58781" spans="3:3" x14ac:dyDescent="0.35">
      <c r="C58781" s="2"/>
    </row>
    <row r="58782" spans="3:3" x14ac:dyDescent="0.35">
      <c r="C58782" s="2"/>
    </row>
    <row r="58783" spans="3:3" x14ac:dyDescent="0.35">
      <c r="C58783" s="2"/>
    </row>
    <row r="58784" spans="3:3" x14ac:dyDescent="0.35">
      <c r="C58784" s="2"/>
    </row>
    <row r="58785" spans="3:3" x14ac:dyDescent="0.35">
      <c r="C58785" s="2"/>
    </row>
    <row r="58786" spans="3:3" x14ac:dyDescent="0.35">
      <c r="C58786" s="2"/>
    </row>
    <row r="58787" spans="3:3" x14ac:dyDescent="0.35">
      <c r="C58787" s="2"/>
    </row>
    <row r="58788" spans="3:3" x14ac:dyDescent="0.35">
      <c r="C58788" s="2"/>
    </row>
    <row r="58789" spans="3:3" x14ac:dyDescent="0.35">
      <c r="C58789" s="2"/>
    </row>
    <row r="58790" spans="3:3" x14ac:dyDescent="0.35">
      <c r="C58790" s="2"/>
    </row>
    <row r="58791" spans="3:3" x14ac:dyDescent="0.35">
      <c r="C58791" s="2"/>
    </row>
    <row r="58792" spans="3:3" x14ac:dyDescent="0.35">
      <c r="C58792" s="2"/>
    </row>
    <row r="58793" spans="3:3" x14ac:dyDescent="0.35">
      <c r="C58793" s="2"/>
    </row>
    <row r="58794" spans="3:3" x14ac:dyDescent="0.35">
      <c r="C58794" s="2"/>
    </row>
    <row r="58795" spans="3:3" x14ac:dyDescent="0.35">
      <c r="C58795" s="2"/>
    </row>
    <row r="58796" spans="3:3" x14ac:dyDescent="0.35">
      <c r="C58796" s="2"/>
    </row>
    <row r="58797" spans="3:3" x14ac:dyDescent="0.35">
      <c r="C58797" s="2"/>
    </row>
    <row r="58798" spans="3:3" x14ac:dyDescent="0.35">
      <c r="C58798" s="2"/>
    </row>
    <row r="58799" spans="3:3" x14ac:dyDescent="0.35">
      <c r="C58799" s="2"/>
    </row>
    <row r="58800" spans="3:3" x14ac:dyDescent="0.35">
      <c r="C58800" s="2"/>
    </row>
    <row r="58801" spans="3:3" x14ac:dyDescent="0.35">
      <c r="C58801" s="2"/>
    </row>
    <row r="58802" spans="3:3" x14ac:dyDescent="0.35">
      <c r="C58802" s="2"/>
    </row>
    <row r="58803" spans="3:3" x14ac:dyDescent="0.35">
      <c r="C58803" s="2"/>
    </row>
    <row r="58804" spans="3:3" x14ac:dyDescent="0.35">
      <c r="C58804" s="2"/>
    </row>
    <row r="58805" spans="3:3" x14ac:dyDescent="0.35">
      <c r="C58805" s="2"/>
    </row>
    <row r="58806" spans="3:3" x14ac:dyDescent="0.35">
      <c r="C58806" s="2"/>
    </row>
    <row r="58807" spans="3:3" x14ac:dyDescent="0.35">
      <c r="C58807" s="2"/>
    </row>
    <row r="58808" spans="3:3" x14ac:dyDescent="0.35">
      <c r="C58808" s="2"/>
    </row>
    <row r="58809" spans="3:3" x14ac:dyDescent="0.35">
      <c r="C58809" s="2"/>
    </row>
    <row r="58810" spans="3:3" x14ac:dyDescent="0.35">
      <c r="C58810" s="2"/>
    </row>
    <row r="58811" spans="3:3" x14ac:dyDescent="0.35">
      <c r="C58811" s="2"/>
    </row>
    <row r="58812" spans="3:3" x14ac:dyDescent="0.35">
      <c r="C58812" s="2"/>
    </row>
    <row r="58813" spans="3:3" x14ac:dyDescent="0.35">
      <c r="C58813" s="2"/>
    </row>
    <row r="58814" spans="3:3" x14ac:dyDescent="0.35">
      <c r="C58814" s="2"/>
    </row>
    <row r="58815" spans="3:3" x14ac:dyDescent="0.35">
      <c r="C58815" s="2"/>
    </row>
    <row r="58816" spans="3:3" x14ac:dyDescent="0.35">
      <c r="C58816" s="2"/>
    </row>
    <row r="58817" spans="3:3" x14ac:dyDescent="0.35">
      <c r="C58817" s="2"/>
    </row>
    <row r="58818" spans="3:3" x14ac:dyDescent="0.35">
      <c r="C58818" s="2"/>
    </row>
    <row r="58819" spans="3:3" x14ac:dyDescent="0.35">
      <c r="C58819" s="2"/>
    </row>
    <row r="58820" spans="3:3" x14ac:dyDescent="0.35">
      <c r="C58820" s="2"/>
    </row>
    <row r="58821" spans="3:3" x14ac:dyDescent="0.35">
      <c r="C58821" s="2"/>
    </row>
    <row r="58822" spans="3:3" x14ac:dyDescent="0.35">
      <c r="C58822" s="2"/>
    </row>
    <row r="58823" spans="3:3" x14ac:dyDescent="0.35">
      <c r="C58823" s="2"/>
    </row>
    <row r="58824" spans="3:3" x14ac:dyDescent="0.35">
      <c r="C58824" s="2"/>
    </row>
    <row r="58825" spans="3:3" x14ac:dyDescent="0.35">
      <c r="C58825" s="2"/>
    </row>
    <row r="58826" spans="3:3" x14ac:dyDescent="0.35">
      <c r="C58826" s="2"/>
    </row>
    <row r="58827" spans="3:3" x14ac:dyDescent="0.35">
      <c r="C58827" s="2"/>
    </row>
    <row r="58828" spans="3:3" x14ac:dyDescent="0.35">
      <c r="C58828" s="2"/>
    </row>
    <row r="58829" spans="3:3" x14ac:dyDescent="0.35">
      <c r="C58829" s="2"/>
    </row>
    <row r="58830" spans="3:3" x14ac:dyDescent="0.35">
      <c r="C58830" s="2"/>
    </row>
    <row r="58831" spans="3:3" x14ac:dyDescent="0.35">
      <c r="C58831" s="2"/>
    </row>
    <row r="58832" spans="3:3" x14ac:dyDescent="0.35">
      <c r="C58832" s="2"/>
    </row>
    <row r="58833" spans="3:3" x14ac:dyDescent="0.35">
      <c r="C58833" s="2"/>
    </row>
    <row r="58834" spans="3:3" x14ac:dyDescent="0.35">
      <c r="C58834" s="2"/>
    </row>
    <row r="58835" spans="3:3" x14ac:dyDescent="0.35">
      <c r="C58835" s="2"/>
    </row>
    <row r="58836" spans="3:3" x14ac:dyDescent="0.35">
      <c r="C58836" s="2"/>
    </row>
    <row r="58837" spans="3:3" x14ac:dyDescent="0.35">
      <c r="C58837" s="2"/>
    </row>
    <row r="58838" spans="3:3" x14ac:dyDescent="0.35">
      <c r="C58838" s="2"/>
    </row>
    <row r="58839" spans="3:3" x14ac:dyDescent="0.35">
      <c r="C58839" s="2"/>
    </row>
    <row r="58840" spans="3:3" x14ac:dyDescent="0.35">
      <c r="C58840" s="2"/>
    </row>
    <row r="58841" spans="3:3" x14ac:dyDescent="0.35">
      <c r="C58841" s="2"/>
    </row>
    <row r="58842" spans="3:3" x14ac:dyDescent="0.35">
      <c r="C58842" s="2"/>
    </row>
    <row r="58843" spans="3:3" x14ac:dyDescent="0.35">
      <c r="C58843" s="2"/>
    </row>
    <row r="58844" spans="3:3" x14ac:dyDescent="0.35">
      <c r="C58844" s="2"/>
    </row>
    <row r="58845" spans="3:3" x14ac:dyDescent="0.35">
      <c r="C58845" s="2"/>
    </row>
    <row r="58846" spans="3:3" x14ac:dyDescent="0.35">
      <c r="C58846" s="2"/>
    </row>
    <row r="58847" spans="3:3" x14ac:dyDescent="0.35">
      <c r="C58847" s="2"/>
    </row>
    <row r="58848" spans="3:3" x14ac:dyDescent="0.35">
      <c r="C58848" s="2"/>
    </row>
    <row r="58849" spans="3:3" x14ac:dyDescent="0.35">
      <c r="C58849" s="2"/>
    </row>
    <row r="58850" spans="3:3" x14ac:dyDescent="0.35">
      <c r="C58850" s="2"/>
    </row>
    <row r="58851" spans="3:3" x14ac:dyDescent="0.35">
      <c r="C58851" s="2"/>
    </row>
    <row r="58852" spans="3:3" x14ac:dyDescent="0.35">
      <c r="C58852" s="2"/>
    </row>
    <row r="58853" spans="3:3" x14ac:dyDescent="0.35">
      <c r="C58853" s="2"/>
    </row>
    <row r="58854" spans="3:3" x14ac:dyDescent="0.35">
      <c r="C58854" s="2"/>
    </row>
    <row r="58855" spans="3:3" x14ac:dyDescent="0.35">
      <c r="C58855" s="2"/>
    </row>
    <row r="58856" spans="3:3" x14ac:dyDescent="0.35">
      <c r="C58856" s="2"/>
    </row>
    <row r="58857" spans="3:3" x14ac:dyDescent="0.35">
      <c r="C58857" s="2"/>
    </row>
    <row r="58858" spans="3:3" x14ac:dyDescent="0.35">
      <c r="C58858" s="2"/>
    </row>
    <row r="58859" spans="3:3" x14ac:dyDescent="0.35">
      <c r="C58859" s="2"/>
    </row>
    <row r="58860" spans="3:3" x14ac:dyDescent="0.35">
      <c r="C58860" s="2"/>
    </row>
    <row r="58861" spans="3:3" x14ac:dyDescent="0.35">
      <c r="C58861" s="2"/>
    </row>
    <row r="58862" spans="3:3" x14ac:dyDescent="0.35">
      <c r="C58862" s="2"/>
    </row>
    <row r="58863" spans="3:3" x14ac:dyDescent="0.35">
      <c r="C58863" s="2"/>
    </row>
    <row r="58864" spans="3:3" x14ac:dyDescent="0.35">
      <c r="C58864" s="2"/>
    </row>
    <row r="58865" spans="3:3" x14ac:dyDescent="0.35">
      <c r="C58865" s="2"/>
    </row>
    <row r="58866" spans="3:3" x14ac:dyDescent="0.35">
      <c r="C58866" s="2"/>
    </row>
    <row r="58867" spans="3:3" x14ac:dyDescent="0.35">
      <c r="C58867" s="2"/>
    </row>
    <row r="58868" spans="3:3" x14ac:dyDescent="0.35">
      <c r="C58868" s="2"/>
    </row>
    <row r="58869" spans="3:3" x14ac:dyDescent="0.35">
      <c r="C58869" s="2"/>
    </row>
    <row r="58870" spans="3:3" x14ac:dyDescent="0.35">
      <c r="C58870" s="2"/>
    </row>
    <row r="58871" spans="3:3" x14ac:dyDescent="0.35">
      <c r="C58871" s="2"/>
    </row>
    <row r="58872" spans="3:3" x14ac:dyDescent="0.35">
      <c r="C58872" s="2"/>
    </row>
    <row r="58873" spans="3:3" x14ac:dyDescent="0.35">
      <c r="C58873" s="2"/>
    </row>
    <row r="58874" spans="3:3" x14ac:dyDescent="0.35">
      <c r="C58874" s="2"/>
    </row>
    <row r="58875" spans="3:3" x14ac:dyDescent="0.35">
      <c r="C58875" s="2"/>
    </row>
    <row r="58876" spans="3:3" x14ac:dyDescent="0.35">
      <c r="C58876" s="2"/>
    </row>
    <row r="58877" spans="3:3" x14ac:dyDescent="0.35">
      <c r="C58877" s="2"/>
    </row>
    <row r="58878" spans="3:3" x14ac:dyDescent="0.35">
      <c r="C58878" s="2"/>
    </row>
    <row r="58879" spans="3:3" x14ac:dyDescent="0.35">
      <c r="C58879" s="2"/>
    </row>
    <row r="58880" spans="3:3" x14ac:dyDescent="0.35">
      <c r="C58880" s="2"/>
    </row>
    <row r="58881" spans="3:3" x14ac:dyDescent="0.35">
      <c r="C58881" s="2"/>
    </row>
    <row r="58882" spans="3:3" x14ac:dyDescent="0.35">
      <c r="C58882" s="2"/>
    </row>
    <row r="58883" spans="3:3" x14ac:dyDescent="0.35">
      <c r="C58883" s="2"/>
    </row>
    <row r="58884" spans="3:3" x14ac:dyDescent="0.35">
      <c r="C58884" s="2"/>
    </row>
    <row r="58885" spans="3:3" x14ac:dyDescent="0.35">
      <c r="C58885" s="2"/>
    </row>
    <row r="58886" spans="3:3" x14ac:dyDescent="0.35">
      <c r="C58886" s="2"/>
    </row>
    <row r="58887" spans="3:3" x14ac:dyDescent="0.35">
      <c r="C58887" s="2"/>
    </row>
    <row r="58888" spans="3:3" x14ac:dyDescent="0.35">
      <c r="C58888" s="2"/>
    </row>
    <row r="58889" spans="3:3" x14ac:dyDescent="0.35">
      <c r="C58889" s="2"/>
    </row>
    <row r="58890" spans="3:3" x14ac:dyDescent="0.35">
      <c r="C58890" s="2"/>
    </row>
    <row r="58891" spans="3:3" x14ac:dyDescent="0.35">
      <c r="C58891" s="2"/>
    </row>
    <row r="58892" spans="3:3" x14ac:dyDescent="0.35">
      <c r="C58892" s="2"/>
    </row>
    <row r="58893" spans="3:3" x14ac:dyDescent="0.35">
      <c r="C58893" s="2"/>
    </row>
    <row r="58894" spans="3:3" x14ac:dyDescent="0.35">
      <c r="C58894" s="2"/>
    </row>
    <row r="58895" spans="3:3" x14ac:dyDescent="0.35">
      <c r="C58895" s="2"/>
    </row>
    <row r="58896" spans="3:3" x14ac:dyDescent="0.35">
      <c r="C58896" s="2"/>
    </row>
    <row r="58897" spans="3:3" x14ac:dyDescent="0.35">
      <c r="C58897" s="2"/>
    </row>
    <row r="58898" spans="3:3" x14ac:dyDescent="0.35">
      <c r="C58898" s="2"/>
    </row>
    <row r="58899" spans="3:3" x14ac:dyDescent="0.35">
      <c r="C58899" s="2"/>
    </row>
    <row r="58900" spans="3:3" x14ac:dyDescent="0.35">
      <c r="C58900" s="2"/>
    </row>
    <row r="58901" spans="3:3" x14ac:dyDescent="0.35">
      <c r="C58901" s="2"/>
    </row>
    <row r="58902" spans="3:3" x14ac:dyDescent="0.35">
      <c r="C58902" s="2"/>
    </row>
    <row r="58903" spans="3:3" x14ac:dyDescent="0.35">
      <c r="C58903" s="2"/>
    </row>
    <row r="58904" spans="3:3" x14ac:dyDescent="0.35">
      <c r="C58904" s="2"/>
    </row>
    <row r="58905" spans="3:3" x14ac:dyDescent="0.35">
      <c r="C58905" s="2"/>
    </row>
    <row r="58906" spans="3:3" x14ac:dyDescent="0.35">
      <c r="C58906" s="2"/>
    </row>
    <row r="58907" spans="3:3" x14ac:dyDescent="0.35">
      <c r="C58907" s="2"/>
    </row>
    <row r="58908" spans="3:3" x14ac:dyDescent="0.35">
      <c r="C58908" s="2"/>
    </row>
    <row r="58909" spans="3:3" x14ac:dyDescent="0.35">
      <c r="C58909" s="2"/>
    </row>
    <row r="58910" spans="3:3" x14ac:dyDescent="0.35">
      <c r="C58910" s="2"/>
    </row>
    <row r="58911" spans="3:3" x14ac:dyDescent="0.35">
      <c r="C58911" s="2"/>
    </row>
    <row r="58912" spans="3:3" x14ac:dyDescent="0.35">
      <c r="C58912" s="2"/>
    </row>
    <row r="58913" spans="3:3" x14ac:dyDescent="0.35">
      <c r="C58913" s="2"/>
    </row>
    <row r="58914" spans="3:3" x14ac:dyDescent="0.35">
      <c r="C58914" s="2"/>
    </row>
    <row r="58915" spans="3:3" x14ac:dyDescent="0.35">
      <c r="C58915" s="2"/>
    </row>
    <row r="58916" spans="3:3" x14ac:dyDescent="0.35">
      <c r="C58916" s="2"/>
    </row>
    <row r="58917" spans="3:3" x14ac:dyDescent="0.35">
      <c r="C58917" s="2"/>
    </row>
    <row r="58918" spans="3:3" x14ac:dyDescent="0.35">
      <c r="C58918" s="2"/>
    </row>
    <row r="58919" spans="3:3" x14ac:dyDescent="0.35">
      <c r="C58919" s="2"/>
    </row>
    <row r="58920" spans="3:3" x14ac:dyDescent="0.35">
      <c r="C58920" s="2"/>
    </row>
    <row r="58921" spans="3:3" x14ac:dyDescent="0.35">
      <c r="C58921" s="2"/>
    </row>
    <row r="58922" spans="3:3" x14ac:dyDescent="0.35">
      <c r="C58922" s="2"/>
    </row>
    <row r="58923" spans="3:3" x14ac:dyDescent="0.35">
      <c r="C58923" s="2"/>
    </row>
    <row r="58924" spans="3:3" x14ac:dyDescent="0.35">
      <c r="C58924" s="2"/>
    </row>
    <row r="58925" spans="3:3" x14ac:dyDescent="0.35">
      <c r="C58925" s="2"/>
    </row>
    <row r="58926" spans="3:3" x14ac:dyDescent="0.35">
      <c r="C58926" s="2"/>
    </row>
    <row r="58927" spans="3:3" x14ac:dyDescent="0.35">
      <c r="C58927" s="2"/>
    </row>
    <row r="58928" spans="3:3" x14ac:dyDescent="0.35">
      <c r="C58928" s="2"/>
    </row>
    <row r="58929" spans="3:3" x14ac:dyDescent="0.35">
      <c r="C58929" s="2"/>
    </row>
    <row r="58930" spans="3:3" x14ac:dyDescent="0.35">
      <c r="C58930" s="2"/>
    </row>
    <row r="58931" spans="3:3" x14ac:dyDescent="0.35">
      <c r="C58931" s="2"/>
    </row>
    <row r="58932" spans="3:3" x14ac:dyDescent="0.35">
      <c r="C58932" s="2"/>
    </row>
    <row r="58933" spans="3:3" x14ac:dyDescent="0.35">
      <c r="C58933" s="2"/>
    </row>
    <row r="58934" spans="3:3" x14ac:dyDescent="0.35">
      <c r="C58934" s="2"/>
    </row>
    <row r="58935" spans="3:3" x14ac:dyDescent="0.35">
      <c r="C58935" s="2"/>
    </row>
    <row r="58936" spans="3:3" x14ac:dyDescent="0.35">
      <c r="C58936" s="2"/>
    </row>
    <row r="58937" spans="3:3" x14ac:dyDescent="0.35">
      <c r="C58937" s="2"/>
    </row>
    <row r="58938" spans="3:3" x14ac:dyDescent="0.35">
      <c r="C58938" s="2"/>
    </row>
    <row r="58939" spans="3:3" x14ac:dyDescent="0.35">
      <c r="C58939" s="2"/>
    </row>
    <row r="58940" spans="3:3" x14ac:dyDescent="0.35">
      <c r="C58940" s="2"/>
    </row>
    <row r="58941" spans="3:3" x14ac:dyDescent="0.35">
      <c r="C58941" s="2"/>
    </row>
    <row r="58942" spans="3:3" x14ac:dyDescent="0.35">
      <c r="C58942" s="2"/>
    </row>
    <row r="58943" spans="3:3" x14ac:dyDescent="0.35">
      <c r="C58943" s="2"/>
    </row>
    <row r="58944" spans="3:3" x14ac:dyDescent="0.35">
      <c r="C58944" s="2"/>
    </row>
    <row r="58945" spans="3:3" x14ac:dyDescent="0.35">
      <c r="C58945" s="2"/>
    </row>
    <row r="58946" spans="3:3" x14ac:dyDescent="0.35">
      <c r="C58946" s="2"/>
    </row>
    <row r="58947" spans="3:3" x14ac:dyDescent="0.35">
      <c r="C58947" s="2"/>
    </row>
    <row r="58948" spans="3:3" x14ac:dyDescent="0.35">
      <c r="C58948" s="2"/>
    </row>
    <row r="58949" spans="3:3" x14ac:dyDescent="0.35">
      <c r="C58949" s="2"/>
    </row>
    <row r="58950" spans="3:3" x14ac:dyDescent="0.35">
      <c r="C58950" s="2"/>
    </row>
    <row r="58951" spans="3:3" x14ac:dyDescent="0.35">
      <c r="C58951" s="2"/>
    </row>
    <row r="58952" spans="3:3" x14ac:dyDescent="0.35">
      <c r="C58952" s="2"/>
    </row>
    <row r="58953" spans="3:3" x14ac:dyDescent="0.35">
      <c r="C58953" s="2"/>
    </row>
    <row r="58954" spans="3:3" x14ac:dyDescent="0.35">
      <c r="C58954" s="2"/>
    </row>
    <row r="58955" spans="3:3" x14ac:dyDescent="0.35">
      <c r="C58955" s="2"/>
    </row>
    <row r="58956" spans="3:3" x14ac:dyDescent="0.35">
      <c r="C58956" s="2"/>
    </row>
    <row r="58957" spans="3:3" x14ac:dyDescent="0.35">
      <c r="C58957" s="2"/>
    </row>
    <row r="58958" spans="3:3" x14ac:dyDescent="0.35">
      <c r="C58958" s="2"/>
    </row>
    <row r="58959" spans="3:3" x14ac:dyDescent="0.35">
      <c r="C58959" s="2"/>
    </row>
    <row r="58960" spans="3:3" x14ac:dyDescent="0.35">
      <c r="C58960" s="2"/>
    </row>
    <row r="58961" spans="3:3" x14ac:dyDescent="0.35">
      <c r="C58961" s="2"/>
    </row>
    <row r="58962" spans="3:3" x14ac:dyDescent="0.35">
      <c r="C58962" s="2"/>
    </row>
    <row r="58963" spans="3:3" x14ac:dyDescent="0.35">
      <c r="C58963" s="2"/>
    </row>
    <row r="58964" spans="3:3" x14ac:dyDescent="0.35">
      <c r="C58964" s="2"/>
    </row>
    <row r="58965" spans="3:3" x14ac:dyDescent="0.35">
      <c r="C58965" s="2"/>
    </row>
    <row r="58966" spans="3:3" x14ac:dyDescent="0.35">
      <c r="C58966" s="2"/>
    </row>
    <row r="58967" spans="3:3" x14ac:dyDescent="0.35">
      <c r="C58967" s="2"/>
    </row>
    <row r="58968" spans="3:3" x14ac:dyDescent="0.35">
      <c r="C58968" s="2"/>
    </row>
    <row r="58969" spans="3:3" x14ac:dyDescent="0.35">
      <c r="C58969" s="2"/>
    </row>
    <row r="58970" spans="3:3" x14ac:dyDescent="0.35">
      <c r="C58970" s="2"/>
    </row>
    <row r="58971" spans="3:3" x14ac:dyDescent="0.35">
      <c r="C58971" s="2"/>
    </row>
    <row r="58972" spans="3:3" x14ac:dyDescent="0.35">
      <c r="C58972" s="2"/>
    </row>
    <row r="58973" spans="3:3" x14ac:dyDescent="0.35">
      <c r="C58973" s="2"/>
    </row>
    <row r="58974" spans="3:3" x14ac:dyDescent="0.35">
      <c r="C58974" s="2"/>
    </row>
    <row r="58975" spans="3:3" x14ac:dyDescent="0.35">
      <c r="C58975" s="2"/>
    </row>
    <row r="58976" spans="3:3" x14ac:dyDescent="0.35">
      <c r="C58976" s="2"/>
    </row>
    <row r="58977" spans="3:3" x14ac:dyDescent="0.35">
      <c r="C58977" s="2"/>
    </row>
    <row r="58978" spans="3:3" x14ac:dyDescent="0.35">
      <c r="C58978" s="2"/>
    </row>
    <row r="58979" spans="3:3" x14ac:dyDescent="0.35">
      <c r="C58979" s="2"/>
    </row>
    <row r="58980" spans="3:3" x14ac:dyDescent="0.35">
      <c r="C58980" s="2"/>
    </row>
    <row r="58981" spans="3:3" x14ac:dyDescent="0.35">
      <c r="C58981" s="2"/>
    </row>
    <row r="58982" spans="3:3" x14ac:dyDescent="0.35">
      <c r="C58982" s="2"/>
    </row>
    <row r="58983" spans="3:3" x14ac:dyDescent="0.35">
      <c r="C58983" s="2"/>
    </row>
    <row r="58984" spans="3:3" x14ac:dyDescent="0.35">
      <c r="C58984" s="2"/>
    </row>
    <row r="58985" spans="3:3" x14ac:dyDescent="0.35">
      <c r="C58985" s="2"/>
    </row>
    <row r="58986" spans="3:3" x14ac:dyDescent="0.35">
      <c r="C58986" s="2"/>
    </row>
    <row r="58987" spans="3:3" x14ac:dyDescent="0.35">
      <c r="C58987" s="2"/>
    </row>
    <row r="58988" spans="3:3" x14ac:dyDescent="0.35">
      <c r="C58988" s="2"/>
    </row>
    <row r="58989" spans="3:3" x14ac:dyDescent="0.35">
      <c r="C58989" s="2"/>
    </row>
    <row r="58990" spans="3:3" x14ac:dyDescent="0.35">
      <c r="C58990" s="2"/>
    </row>
    <row r="58991" spans="3:3" x14ac:dyDescent="0.35">
      <c r="C58991" s="2"/>
    </row>
    <row r="58992" spans="3:3" x14ac:dyDescent="0.35">
      <c r="C58992" s="2"/>
    </row>
    <row r="58993" spans="3:3" x14ac:dyDescent="0.35">
      <c r="C58993" s="2"/>
    </row>
    <row r="58994" spans="3:3" x14ac:dyDescent="0.35">
      <c r="C58994" s="2"/>
    </row>
    <row r="58995" spans="3:3" x14ac:dyDescent="0.35">
      <c r="C58995" s="2"/>
    </row>
    <row r="58996" spans="3:3" x14ac:dyDescent="0.35">
      <c r="C58996" s="2"/>
    </row>
    <row r="58997" spans="3:3" x14ac:dyDescent="0.35">
      <c r="C58997" s="2"/>
    </row>
    <row r="58998" spans="3:3" x14ac:dyDescent="0.35">
      <c r="C58998" s="2"/>
    </row>
    <row r="58999" spans="3:3" x14ac:dyDescent="0.35">
      <c r="C58999" s="2"/>
    </row>
    <row r="59000" spans="3:3" x14ac:dyDescent="0.35">
      <c r="C59000" s="2"/>
    </row>
    <row r="59001" spans="3:3" x14ac:dyDescent="0.35">
      <c r="C59001" s="2"/>
    </row>
    <row r="59002" spans="3:3" x14ac:dyDescent="0.35">
      <c r="C59002" s="2"/>
    </row>
    <row r="59003" spans="3:3" x14ac:dyDescent="0.35">
      <c r="C59003" s="2"/>
    </row>
    <row r="59004" spans="3:3" x14ac:dyDescent="0.35">
      <c r="C59004" s="2"/>
    </row>
    <row r="59005" spans="3:3" x14ac:dyDescent="0.35">
      <c r="C59005" s="2"/>
    </row>
    <row r="59006" spans="3:3" x14ac:dyDescent="0.35">
      <c r="C59006" s="2"/>
    </row>
    <row r="59007" spans="3:3" x14ac:dyDescent="0.35">
      <c r="C59007" s="2"/>
    </row>
    <row r="59008" spans="3:3" x14ac:dyDescent="0.35">
      <c r="C59008" s="2"/>
    </row>
    <row r="59009" spans="3:3" x14ac:dyDescent="0.35">
      <c r="C59009" s="2"/>
    </row>
    <row r="59010" spans="3:3" x14ac:dyDescent="0.35">
      <c r="C59010" s="2"/>
    </row>
    <row r="59011" spans="3:3" x14ac:dyDescent="0.35">
      <c r="C59011" s="2"/>
    </row>
    <row r="59012" spans="3:3" x14ac:dyDescent="0.35">
      <c r="C59012" s="2"/>
    </row>
    <row r="59013" spans="3:3" x14ac:dyDescent="0.35">
      <c r="C59013" s="2"/>
    </row>
    <row r="59014" spans="3:3" x14ac:dyDescent="0.35">
      <c r="C59014" s="2"/>
    </row>
    <row r="59015" spans="3:3" x14ac:dyDescent="0.35">
      <c r="C59015" s="2"/>
    </row>
    <row r="59016" spans="3:3" x14ac:dyDescent="0.35">
      <c r="C59016" s="2"/>
    </row>
    <row r="59017" spans="3:3" x14ac:dyDescent="0.35">
      <c r="C59017" s="2"/>
    </row>
    <row r="59018" spans="3:3" x14ac:dyDescent="0.35">
      <c r="C59018" s="2"/>
    </row>
    <row r="59019" spans="3:3" x14ac:dyDescent="0.35">
      <c r="C59019" s="2"/>
    </row>
    <row r="59020" spans="3:3" x14ac:dyDescent="0.35">
      <c r="C59020" s="2"/>
    </row>
    <row r="59021" spans="3:3" x14ac:dyDescent="0.35">
      <c r="C59021" s="2"/>
    </row>
    <row r="59022" spans="3:3" x14ac:dyDescent="0.35">
      <c r="C59022" s="2"/>
    </row>
    <row r="59023" spans="3:3" x14ac:dyDescent="0.35">
      <c r="C59023" s="2"/>
    </row>
    <row r="59024" spans="3:3" x14ac:dyDescent="0.35">
      <c r="C59024" s="2"/>
    </row>
    <row r="59025" spans="3:3" x14ac:dyDescent="0.35">
      <c r="C59025" s="2"/>
    </row>
    <row r="59026" spans="3:3" x14ac:dyDescent="0.35">
      <c r="C59026" s="2"/>
    </row>
    <row r="59027" spans="3:3" x14ac:dyDescent="0.35">
      <c r="C59027" s="2"/>
    </row>
    <row r="59028" spans="3:3" x14ac:dyDescent="0.35">
      <c r="C59028" s="2"/>
    </row>
    <row r="59029" spans="3:3" x14ac:dyDescent="0.35">
      <c r="C59029" s="2"/>
    </row>
    <row r="59030" spans="3:3" x14ac:dyDescent="0.35">
      <c r="C59030" s="2"/>
    </row>
    <row r="59031" spans="3:3" x14ac:dyDescent="0.35">
      <c r="C59031" s="2"/>
    </row>
    <row r="59032" spans="3:3" x14ac:dyDescent="0.35">
      <c r="C59032" s="2"/>
    </row>
    <row r="59033" spans="3:3" x14ac:dyDescent="0.35">
      <c r="C59033" s="2"/>
    </row>
    <row r="59034" spans="3:3" x14ac:dyDescent="0.35">
      <c r="C59034" s="2"/>
    </row>
    <row r="59035" spans="3:3" x14ac:dyDescent="0.35">
      <c r="C59035" s="2"/>
    </row>
    <row r="59036" spans="3:3" x14ac:dyDescent="0.35">
      <c r="C59036" s="2"/>
    </row>
    <row r="59037" spans="3:3" x14ac:dyDescent="0.35">
      <c r="C59037" s="2"/>
    </row>
    <row r="59038" spans="3:3" x14ac:dyDescent="0.35">
      <c r="C59038" s="2"/>
    </row>
    <row r="59039" spans="3:3" x14ac:dyDescent="0.35">
      <c r="C59039" s="2"/>
    </row>
    <row r="59040" spans="3:3" x14ac:dyDescent="0.35">
      <c r="C59040" s="2"/>
    </row>
    <row r="59041" spans="3:3" x14ac:dyDescent="0.35">
      <c r="C59041" s="2"/>
    </row>
    <row r="59042" spans="3:3" x14ac:dyDescent="0.35">
      <c r="C59042" s="2"/>
    </row>
    <row r="59043" spans="3:3" x14ac:dyDescent="0.35">
      <c r="C59043" s="2"/>
    </row>
    <row r="59044" spans="3:3" x14ac:dyDescent="0.35">
      <c r="C59044" s="2"/>
    </row>
    <row r="59045" spans="3:3" x14ac:dyDescent="0.35">
      <c r="C59045" s="2"/>
    </row>
    <row r="59046" spans="3:3" x14ac:dyDescent="0.35">
      <c r="C59046" s="2"/>
    </row>
    <row r="59047" spans="3:3" x14ac:dyDescent="0.35">
      <c r="C59047" s="2"/>
    </row>
    <row r="59048" spans="3:3" x14ac:dyDescent="0.35">
      <c r="C59048" s="2"/>
    </row>
    <row r="59049" spans="3:3" x14ac:dyDescent="0.35">
      <c r="C59049" s="2"/>
    </row>
    <row r="59050" spans="3:3" x14ac:dyDescent="0.35">
      <c r="C59050" s="2"/>
    </row>
    <row r="59051" spans="3:3" x14ac:dyDescent="0.35">
      <c r="C59051" s="2"/>
    </row>
    <row r="59052" spans="3:3" x14ac:dyDescent="0.35">
      <c r="C59052" s="2"/>
    </row>
    <row r="59053" spans="3:3" x14ac:dyDescent="0.35">
      <c r="C59053" s="2"/>
    </row>
    <row r="59054" spans="3:3" x14ac:dyDescent="0.35">
      <c r="C59054" s="2"/>
    </row>
    <row r="59055" spans="3:3" x14ac:dyDescent="0.35">
      <c r="C59055" s="2"/>
    </row>
    <row r="59056" spans="3:3" x14ac:dyDescent="0.35">
      <c r="C59056" s="2"/>
    </row>
    <row r="59057" spans="3:3" x14ac:dyDescent="0.35">
      <c r="C59057" s="2"/>
    </row>
    <row r="59058" spans="3:3" x14ac:dyDescent="0.35">
      <c r="C59058" s="2"/>
    </row>
    <row r="59059" spans="3:3" x14ac:dyDescent="0.35">
      <c r="C59059" s="2"/>
    </row>
    <row r="59060" spans="3:3" x14ac:dyDescent="0.35">
      <c r="C59060" s="2"/>
    </row>
    <row r="59061" spans="3:3" x14ac:dyDescent="0.35">
      <c r="C59061" s="2"/>
    </row>
    <row r="59062" spans="3:3" x14ac:dyDescent="0.35">
      <c r="C59062" s="2"/>
    </row>
    <row r="59063" spans="3:3" x14ac:dyDescent="0.35">
      <c r="C59063" s="2"/>
    </row>
    <row r="59064" spans="3:3" x14ac:dyDescent="0.35">
      <c r="C59064" s="2"/>
    </row>
    <row r="59065" spans="3:3" x14ac:dyDescent="0.35">
      <c r="C59065" s="2"/>
    </row>
    <row r="59066" spans="3:3" x14ac:dyDescent="0.35">
      <c r="C59066" s="2"/>
    </row>
    <row r="59067" spans="3:3" x14ac:dyDescent="0.35">
      <c r="C59067" s="2"/>
    </row>
    <row r="59068" spans="3:3" x14ac:dyDescent="0.35">
      <c r="C59068" s="2"/>
    </row>
    <row r="59069" spans="3:3" x14ac:dyDescent="0.35">
      <c r="C59069" s="2"/>
    </row>
    <row r="59070" spans="3:3" x14ac:dyDescent="0.35">
      <c r="C59070" s="2"/>
    </row>
    <row r="59071" spans="3:3" x14ac:dyDescent="0.35">
      <c r="C59071" s="2"/>
    </row>
    <row r="59072" spans="3:3" x14ac:dyDescent="0.35">
      <c r="C59072" s="2"/>
    </row>
    <row r="59073" spans="3:3" x14ac:dyDescent="0.35">
      <c r="C59073" s="2"/>
    </row>
    <row r="59074" spans="3:3" x14ac:dyDescent="0.35">
      <c r="C59074" s="2"/>
    </row>
    <row r="59075" spans="3:3" x14ac:dyDescent="0.35">
      <c r="C59075" s="2"/>
    </row>
    <row r="59076" spans="3:3" x14ac:dyDescent="0.35">
      <c r="C59076" s="2"/>
    </row>
    <row r="59077" spans="3:3" x14ac:dyDescent="0.35">
      <c r="C59077" s="2"/>
    </row>
    <row r="59078" spans="3:3" x14ac:dyDescent="0.35">
      <c r="C59078" s="2"/>
    </row>
    <row r="59079" spans="3:3" x14ac:dyDescent="0.35">
      <c r="C59079" s="2"/>
    </row>
    <row r="59080" spans="3:3" x14ac:dyDescent="0.35">
      <c r="C59080" s="2"/>
    </row>
    <row r="59081" spans="3:3" x14ac:dyDescent="0.35">
      <c r="C59081" s="2"/>
    </row>
    <row r="59082" spans="3:3" x14ac:dyDescent="0.35">
      <c r="C59082" s="2"/>
    </row>
    <row r="59083" spans="3:3" x14ac:dyDescent="0.35">
      <c r="C59083" s="2"/>
    </row>
    <row r="59084" spans="3:3" x14ac:dyDescent="0.35">
      <c r="C59084" s="2"/>
    </row>
    <row r="59085" spans="3:3" x14ac:dyDescent="0.35">
      <c r="C59085" s="2"/>
    </row>
    <row r="59086" spans="3:3" x14ac:dyDescent="0.35">
      <c r="C59086" s="2"/>
    </row>
    <row r="59087" spans="3:3" x14ac:dyDescent="0.35">
      <c r="C59087" s="2"/>
    </row>
    <row r="59088" spans="3:3" x14ac:dyDescent="0.35">
      <c r="C59088" s="2"/>
    </row>
    <row r="59089" spans="3:3" x14ac:dyDescent="0.35">
      <c r="C59089" s="2"/>
    </row>
    <row r="59090" spans="3:3" x14ac:dyDescent="0.35">
      <c r="C59090" s="2"/>
    </row>
    <row r="59091" spans="3:3" x14ac:dyDescent="0.35">
      <c r="C59091" s="2"/>
    </row>
    <row r="59092" spans="3:3" x14ac:dyDescent="0.35">
      <c r="C59092" s="2"/>
    </row>
    <row r="59093" spans="3:3" x14ac:dyDescent="0.35">
      <c r="C59093" s="2"/>
    </row>
    <row r="59094" spans="3:3" x14ac:dyDescent="0.35">
      <c r="C59094" s="2"/>
    </row>
    <row r="59095" spans="3:3" x14ac:dyDescent="0.35">
      <c r="C59095" s="2"/>
    </row>
    <row r="59096" spans="3:3" x14ac:dyDescent="0.35">
      <c r="C59096" s="2"/>
    </row>
    <row r="59097" spans="3:3" x14ac:dyDescent="0.35">
      <c r="C59097" s="2"/>
    </row>
    <row r="59098" spans="3:3" x14ac:dyDescent="0.35">
      <c r="C59098" s="2"/>
    </row>
    <row r="59099" spans="3:3" x14ac:dyDescent="0.35">
      <c r="C59099" s="2"/>
    </row>
    <row r="59100" spans="3:3" x14ac:dyDescent="0.35">
      <c r="C59100" s="2"/>
    </row>
    <row r="59101" spans="3:3" x14ac:dyDescent="0.35">
      <c r="C59101" s="2"/>
    </row>
    <row r="59102" spans="3:3" x14ac:dyDescent="0.35">
      <c r="C59102" s="2"/>
    </row>
    <row r="59103" spans="3:3" x14ac:dyDescent="0.35">
      <c r="C59103" s="2"/>
    </row>
    <row r="59104" spans="3:3" x14ac:dyDescent="0.35">
      <c r="C59104" s="2"/>
    </row>
    <row r="59105" spans="3:3" x14ac:dyDescent="0.35">
      <c r="C59105" s="2"/>
    </row>
    <row r="59106" spans="3:3" x14ac:dyDescent="0.35">
      <c r="C59106" s="2"/>
    </row>
    <row r="59107" spans="3:3" x14ac:dyDescent="0.35">
      <c r="C59107" s="2"/>
    </row>
    <row r="59108" spans="3:3" x14ac:dyDescent="0.35">
      <c r="C59108" s="2"/>
    </row>
    <row r="59109" spans="3:3" x14ac:dyDescent="0.35">
      <c r="C59109" s="2"/>
    </row>
    <row r="59110" spans="3:3" x14ac:dyDescent="0.35">
      <c r="C59110" s="2"/>
    </row>
    <row r="59111" spans="3:3" x14ac:dyDescent="0.35">
      <c r="C59111" s="2"/>
    </row>
    <row r="59112" spans="3:3" x14ac:dyDescent="0.35">
      <c r="C59112" s="2"/>
    </row>
    <row r="59113" spans="3:3" x14ac:dyDescent="0.35">
      <c r="C59113" s="2"/>
    </row>
    <row r="59114" spans="3:3" x14ac:dyDescent="0.35">
      <c r="C59114" s="2"/>
    </row>
    <row r="59115" spans="3:3" x14ac:dyDescent="0.35">
      <c r="C59115" s="2"/>
    </row>
    <row r="59116" spans="3:3" x14ac:dyDescent="0.35">
      <c r="C59116" s="2"/>
    </row>
    <row r="59117" spans="3:3" x14ac:dyDescent="0.35">
      <c r="C59117" s="2"/>
    </row>
    <row r="59118" spans="3:3" x14ac:dyDescent="0.35">
      <c r="C59118" s="2"/>
    </row>
    <row r="59119" spans="3:3" x14ac:dyDescent="0.35">
      <c r="C59119" s="2"/>
    </row>
    <row r="59120" spans="3:3" x14ac:dyDescent="0.35">
      <c r="C59120" s="2"/>
    </row>
    <row r="59121" spans="3:3" x14ac:dyDescent="0.35">
      <c r="C59121" s="2"/>
    </row>
    <row r="59122" spans="3:3" x14ac:dyDescent="0.35">
      <c r="C59122" s="2"/>
    </row>
    <row r="59123" spans="3:3" x14ac:dyDescent="0.35">
      <c r="C59123" s="2"/>
    </row>
    <row r="59124" spans="3:3" x14ac:dyDescent="0.35">
      <c r="C59124" s="2"/>
    </row>
    <row r="59125" spans="3:3" x14ac:dyDescent="0.35">
      <c r="C59125" s="2"/>
    </row>
    <row r="59126" spans="3:3" x14ac:dyDescent="0.35">
      <c r="C59126" s="2"/>
    </row>
    <row r="59127" spans="3:3" x14ac:dyDescent="0.35">
      <c r="C59127" s="2"/>
    </row>
    <row r="59128" spans="3:3" x14ac:dyDescent="0.35">
      <c r="C59128" s="2"/>
    </row>
    <row r="59129" spans="3:3" x14ac:dyDescent="0.35">
      <c r="C59129" s="2"/>
    </row>
    <row r="59130" spans="3:3" x14ac:dyDescent="0.35">
      <c r="C59130" s="2"/>
    </row>
    <row r="59131" spans="3:3" x14ac:dyDescent="0.35">
      <c r="C59131" s="2"/>
    </row>
    <row r="59132" spans="3:3" x14ac:dyDescent="0.35">
      <c r="C59132" s="2"/>
    </row>
    <row r="59133" spans="3:3" x14ac:dyDescent="0.35">
      <c r="C59133" s="2"/>
    </row>
    <row r="59134" spans="3:3" x14ac:dyDescent="0.35">
      <c r="C59134" s="2"/>
    </row>
    <row r="59135" spans="3:3" x14ac:dyDescent="0.35">
      <c r="C59135" s="2"/>
    </row>
    <row r="59136" spans="3:3" x14ac:dyDescent="0.35">
      <c r="C59136" s="2"/>
    </row>
    <row r="59137" spans="3:3" x14ac:dyDescent="0.35">
      <c r="C59137" s="2"/>
    </row>
    <row r="59138" spans="3:3" x14ac:dyDescent="0.35">
      <c r="C59138" s="2"/>
    </row>
    <row r="59139" spans="3:3" x14ac:dyDescent="0.35">
      <c r="C59139" s="2"/>
    </row>
    <row r="59140" spans="3:3" x14ac:dyDescent="0.35">
      <c r="C59140" s="2"/>
    </row>
    <row r="59141" spans="3:3" x14ac:dyDescent="0.35">
      <c r="C59141" s="2"/>
    </row>
    <row r="59142" spans="3:3" x14ac:dyDescent="0.35">
      <c r="C59142" s="2"/>
    </row>
    <row r="59143" spans="3:3" x14ac:dyDescent="0.35">
      <c r="C59143" s="2"/>
    </row>
    <row r="59144" spans="3:3" x14ac:dyDescent="0.35">
      <c r="C59144" s="2"/>
    </row>
    <row r="59145" spans="3:3" x14ac:dyDescent="0.35">
      <c r="C59145" s="2"/>
    </row>
    <row r="59146" spans="3:3" x14ac:dyDescent="0.35">
      <c r="C59146" s="2"/>
    </row>
    <row r="59147" spans="3:3" x14ac:dyDescent="0.35">
      <c r="C59147" s="2"/>
    </row>
    <row r="59148" spans="3:3" x14ac:dyDescent="0.35">
      <c r="C59148" s="2"/>
    </row>
    <row r="59149" spans="3:3" x14ac:dyDescent="0.35">
      <c r="C59149" s="2"/>
    </row>
    <row r="59150" spans="3:3" x14ac:dyDescent="0.35">
      <c r="C59150" s="2"/>
    </row>
    <row r="59151" spans="3:3" x14ac:dyDescent="0.35">
      <c r="C59151" s="2"/>
    </row>
    <row r="59152" spans="3:3" x14ac:dyDescent="0.35">
      <c r="C59152" s="2"/>
    </row>
    <row r="59153" spans="3:3" x14ac:dyDescent="0.35">
      <c r="C59153" s="2"/>
    </row>
    <row r="59154" spans="3:3" x14ac:dyDescent="0.35">
      <c r="C59154" s="2"/>
    </row>
    <row r="59155" spans="3:3" x14ac:dyDescent="0.35">
      <c r="C59155" s="2"/>
    </row>
    <row r="59156" spans="3:3" x14ac:dyDescent="0.35">
      <c r="C59156" s="2"/>
    </row>
    <row r="59157" spans="3:3" x14ac:dyDescent="0.35">
      <c r="C59157" s="2"/>
    </row>
    <row r="59158" spans="3:3" x14ac:dyDescent="0.35">
      <c r="C59158" s="2"/>
    </row>
    <row r="59159" spans="3:3" x14ac:dyDescent="0.35">
      <c r="C59159" s="2"/>
    </row>
    <row r="59160" spans="3:3" x14ac:dyDescent="0.35">
      <c r="C59160" s="2"/>
    </row>
    <row r="59161" spans="3:3" x14ac:dyDescent="0.35">
      <c r="C59161" s="2"/>
    </row>
    <row r="59162" spans="3:3" x14ac:dyDescent="0.35">
      <c r="C59162" s="2"/>
    </row>
    <row r="59163" spans="3:3" x14ac:dyDescent="0.35">
      <c r="C59163" s="2"/>
    </row>
    <row r="59164" spans="3:3" x14ac:dyDescent="0.35">
      <c r="C59164" s="2"/>
    </row>
    <row r="59165" spans="3:3" x14ac:dyDescent="0.35">
      <c r="C59165" s="2"/>
    </row>
    <row r="59166" spans="3:3" x14ac:dyDescent="0.35">
      <c r="C59166" s="2"/>
    </row>
    <row r="59167" spans="3:3" x14ac:dyDescent="0.35">
      <c r="C59167" s="2"/>
    </row>
    <row r="59168" spans="3:3" x14ac:dyDescent="0.35">
      <c r="C59168" s="2"/>
    </row>
    <row r="59169" spans="3:3" x14ac:dyDescent="0.35">
      <c r="C59169" s="2"/>
    </row>
    <row r="59170" spans="3:3" x14ac:dyDescent="0.35">
      <c r="C59170" s="2"/>
    </row>
    <row r="59171" spans="3:3" x14ac:dyDescent="0.35">
      <c r="C59171" s="2"/>
    </row>
    <row r="59172" spans="3:3" x14ac:dyDescent="0.35">
      <c r="C59172" s="2"/>
    </row>
    <row r="59173" spans="3:3" x14ac:dyDescent="0.35">
      <c r="C59173" s="2"/>
    </row>
    <row r="59174" spans="3:3" x14ac:dyDescent="0.35">
      <c r="C59174" s="2"/>
    </row>
    <row r="59175" spans="3:3" x14ac:dyDescent="0.35">
      <c r="C59175" s="2"/>
    </row>
    <row r="59176" spans="3:3" x14ac:dyDescent="0.35">
      <c r="C59176" s="2"/>
    </row>
    <row r="59177" spans="3:3" x14ac:dyDescent="0.35">
      <c r="C59177" s="2"/>
    </row>
    <row r="59178" spans="3:3" x14ac:dyDescent="0.35">
      <c r="C59178" s="2"/>
    </row>
    <row r="59179" spans="3:3" x14ac:dyDescent="0.35">
      <c r="C59179" s="2"/>
    </row>
    <row r="59180" spans="3:3" x14ac:dyDescent="0.35">
      <c r="C59180" s="2"/>
    </row>
    <row r="59181" spans="3:3" x14ac:dyDescent="0.35">
      <c r="C59181" s="2"/>
    </row>
    <row r="59182" spans="3:3" x14ac:dyDescent="0.35">
      <c r="C59182" s="2"/>
    </row>
    <row r="59183" spans="3:3" x14ac:dyDescent="0.35">
      <c r="C59183" s="2"/>
    </row>
    <row r="59184" spans="3:3" x14ac:dyDescent="0.35">
      <c r="C59184" s="2"/>
    </row>
    <row r="59185" spans="3:3" x14ac:dyDescent="0.35">
      <c r="C59185" s="2"/>
    </row>
    <row r="59186" spans="3:3" x14ac:dyDescent="0.35">
      <c r="C59186" s="2"/>
    </row>
    <row r="59187" spans="3:3" x14ac:dyDescent="0.35">
      <c r="C59187" s="2"/>
    </row>
    <row r="59188" spans="3:3" x14ac:dyDescent="0.35">
      <c r="C59188" s="2"/>
    </row>
    <row r="59189" spans="3:3" x14ac:dyDescent="0.35">
      <c r="C59189" s="2"/>
    </row>
    <row r="59190" spans="3:3" x14ac:dyDescent="0.35">
      <c r="C59190" s="2"/>
    </row>
    <row r="59191" spans="3:3" x14ac:dyDescent="0.35">
      <c r="C59191" s="2"/>
    </row>
    <row r="59192" spans="3:3" x14ac:dyDescent="0.35">
      <c r="C59192" s="2"/>
    </row>
    <row r="59193" spans="3:3" x14ac:dyDescent="0.35">
      <c r="C59193" s="2"/>
    </row>
    <row r="59194" spans="3:3" x14ac:dyDescent="0.35">
      <c r="C59194" s="2"/>
    </row>
    <row r="59195" spans="3:3" x14ac:dyDescent="0.35">
      <c r="C59195" s="2"/>
    </row>
    <row r="59196" spans="3:3" x14ac:dyDescent="0.35">
      <c r="C59196" s="2"/>
    </row>
    <row r="59197" spans="3:3" x14ac:dyDescent="0.35">
      <c r="C59197" s="2"/>
    </row>
    <row r="59198" spans="3:3" x14ac:dyDescent="0.35">
      <c r="C59198" s="2"/>
    </row>
    <row r="59199" spans="3:3" x14ac:dyDescent="0.35">
      <c r="C59199" s="2"/>
    </row>
    <row r="59200" spans="3:3" x14ac:dyDescent="0.35">
      <c r="C59200" s="2"/>
    </row>
    <row r="59201" spans="3:3" x14ac:dyDescent="0.35">
      <c r="C59201" s="2"/>
    </row>
    <row r="59202" spans="3:3" x14ac:dyDescent="0.35">
      <c r="C59202" s="2"/>
    </row>
    <row r="59203" spans="3:3" x14ac:dyDescent="0.35">
      <c r="C59203" s="2"/>
    </row>
    <row r="59204" spans="3:3" x14ac:dyDescent="0.35">
      <c r="C59204" s="2"/>
    </row>
    <row r="59205" spans="3:3" x14ac:dyDescent="0.35">
      <c r="C59205" s="2"/>
    </row>
    <row r="59206" spans="3:3" x14ac:dyDescent="0.35">
      <c r="C59206" s="2"/>
    </row>
    <row r="59207" spans="3:3" x14ac:dyDescent="0.35">
      <c r="C59207" s="2"/>
    </row>
    <row r="59208" spans="3:3" x14ac:dyDescent="0.35">
      <c r="C59208" s="2"/>
    </row>
    <row r="59209" spans="3:3" x14ac:dyDescent="0.35">
      <c r="C59209" s="2"/>
    </row>
    <row r="59210" spans="3:3" x14ac:dyDescent="0.35">
      <c r="C59210" s="2"/>
    </row>
    <row r="59211" spans="3:3" x14ac:dyDescent="0.35">
      <c r="C59211" s="2"/>
    </row>
    <row r="59212" spans="3:3" x14ac:dyDescent="0.35">
      <c r="C59212" s="2"/>
    </row>
    <row r="59213" spans="3:3" x14ac:dyDescent="0.35">
      <c r="C59213" s="2"/>
    </row>
    <row r="59214" spans="3:3" x14ac:dyDescent="0.35">
      <c r="C59214" s="2"/>
    </row>
    <row r="59215" spans="3:3" x14ac:dyDescent="0.35">
      <c r="C59215" s="2"/>
    </row>
    <row r="59216" spans="3:3" x14ac:dyDescent="0.35">
      <c r="C59216" s="2"/>
    </row>
    <row r="59217" spans="3:3" x14ac:dyDescent="0.35">
      <c r="C59217" s="2"/>
    </row>
    <row r="59218" spans="3:3" x14ac:dyDescent="0.35">
      <c r="C59218" s="2"/>
    </row>
    <row r="59219" spans="3:3" x14ac:dyDescent="0.35">
      <c r="C59219" s="2"/>
    </row>
    <row r="59220" spans="3:3" x14ac:dyDescent="0.35">
      <c r="C59220" s="2"/>
    </row>
    <row r="59221" spans="3:3" x14ac:dyDescent="0.35">
      <c r="C59221" s="2"/>
    </row>
    <row r="59222" spans="3:3" x14ac:dyDescent="0.35">
      <c r="C59222" s="2"/>
    </row>
    <row r="59223" spans="3:3" x14ac:dyDescent="0.35">
      <c r="C59223" s="2"/>
    </row>
    <row r="59224" spans="3:3" x14ac:dyDescent="0.35">
      <c r="C59224" s="2"/>
    </row>
    <row r="59225" spans="3:3" x14ac:dyDescent="0.35">
      <c r="C59225" s="2"/>
    </row>
    <row r="59226" spans="3:3" x14ac:dyDescent="0.35">
      <c r="C59226" s="2"/>
    </row>
    <row r="59227" spans="3:3" x14ac:dyDescent="0.35">
      <c r="C59227" s="2"/>
    </row>
    <row r="59228" spans="3:3" x14ac:dyDescent="0.35">
      <c r="C59228" s="2"/>
    </row>
    <row r="59229" spans="3:3" x14ac:dyDescent="0.35">
      <c r="C59229" s="2"/>
    </row>
    <row r="59230" spans="3:3" x14ac:dyDescent="0.35">
      <c r="C59230" s="2"/>
    </row>
    <row r="59231" spans="3:3" x14ac:dyDescent="0.35">
      <c r="C59231" s="2"/>
    </row>
    <row r="59232" spans="3:3" x14ac:dyDescent="0.35">
      <c r="C59232" s="2"/>
    </row>
    <row r="59233" spans="3:3" x14ac:dyDescent="0.35">
      <c r="C59233" s="2"/>
    </row>
    <row r="59234" spans="3:3" x14ac:dyDescent="0.35">
      <c r="C59234" s="2"/>
    </row>
    <row r="59235" spans="3:3" x14ac:dyDescent="0.35">
      <c r="C59235" s="2"/>
    </row>
    <row r="59236" spans="3:3" x14ac:dyDescent="0.35">
      <c r="C59236" s="2"/>
    </row>
    <row r="59237" spans="3:3" x14ac:dyDescent="0.35">
      <c r="C59237" s="2"/>
    </row>
    <row r="59238" spans="3:3" x14ac:dyDescent="0.35">
      <c r="C59238" s="2"/>
    </row>
    <row r="59239" spans="3:3" x14ac:dyDescent="0.35">
      <c r="C59239" s="2"/>
    </row>
    <row r="59240" spans="3:3" x14ac:dyDescent="0.35">
      <c r="C59240" s="2"/>
    </row>
    <row r="59241" spans="3:3" x14ac:dyDescent="0.35">
      <c r="C59241" s="2"/>
    </row>
    <row r="59242" spans="3:3" x14ac:dyDescent="0.35">
      <c r="C59242" s="2"/>
    </row>
    <row r="59243" spans="3:3" x14ac:dyDescent="0.35">
      <c r="C59243" s="2"/>
    </row>
    <row r="59244" spans="3:3" x14ac:dyDescent="0.35">
      <c r="C59244" s="2"/>
    </row>
    <row r="59245" spans="3:3" x14ac:dyDescent="0.35">
      <c r="C59245" s="2"/>
    </row>
    <row r="59246" spans="3:3" x14ac:dyDescent="0.35">
      <c r="C59246" s="2"/>
    </row>
    <row r="59247" spans="3:3" x14ac:dyDescent="0.35">
      <c r="C59247" s="2"/>
    </row>
    <row r="59248" spans="3:3" x14ac:dyDescent="0.35">
      <c r="C59248" s="2"/>
    </row>
    <row r="59249" spans="3:3" x14ac:dyDescent="0.35">
      <c r="C59249" s="2"/>
    </row>
    <row r="59250" spans="3:3" x14ac:dyDescent="0.35">
      <c r="C59250" s="2"/>
    </row>
    <row r="59251" spans="3:3" x14ac:dyDescent="0.35">
      <c r="C59251" s="2"/>
    </row>
    <row r="59252" spans="3:3" x14ac:dyDescent="0.35">
      <c r="C59252" s="2"/>
    </row>
    <row r="59253" spans="3:3" x14ac:dyDescent="0.35">
      <c r="C59253" s="2"/>
    </row>
    <row r="59254" spans="3:3" x14ac:dyDescent="0.35">
      <c r="C59254" s="2"/>
    </row>
    <row r="59255" spans="3:3" x14ac:dyDescent="0.35">
      <c r="C59255" s="2"/>
    </row>
    <row r="59256" spans="3:3" x14ac:dyDescent="0.35">
      <c r="C59256" s="2"/>
    </row>
    <row r="59257" spans="3:3" x14ac:dyDescent="0.35">
      <c r="C59257" s="2"/>
    </row>
    <row r="59258" spans="3:3" x14ac:dyDescent="0.35">
      <c r="C59258" s="2"/>
    </row>
    <row r="59259" spans="3:3" x14ac:dyDescent="0.35">
      <c r="C59259" s="2"/>
    </row>
    <row r="59260" spans="3:3" x14ac:dyDescent="0.35">
      <c r="C59260" s="2"/>
    </row>
    <row r="59261" spans="3:3" x14ac:dyDescent="0.35">
      <c r="C59261" s="2"/>
    </row>
    <row r="59262" spans="3:3" x14ac:dyDescent="0.35">
      <c r="C59262" s="2"/>
    </row>
    <row r="59263" spans="3:3" x14ac:dyDescent="0.35">
      <c r="C59263" s="2"/>
    </row>
    <row r="59264" spans="3:3" x14ac:dyDescent="0.35">
      <c r="C59264" s="2"/>
    </row>
    <row r="59265" spans="3:3" x14ac:dyDescent="0.35">
      <c r="C59265" s="2"/>
    </row>
    <row r="59266" spans="3:3" x14ac:dyDescent="0.35">
      <c r="C59266" s="2"/>
    </row>
    <row r="59267" spans="3:3" x14ac:dyDescent="0.35">
      <c r="C59267" s="2"/>
    </row>
    <row r="59268" spans="3:3" x14ac:dyDescent="0.35">
      <c r="C59268" s="2"/>
    </row>
    <row r="59269" spans="3:3" x14ac:dyDescent="0.35">
      <c r="C59269" s="2"/>
    </row>
    <row r="59270" spans="3:3" x14ac:dyDescent="0.35">
      <c r="C59270" s="2"/>
    </row>
    <row r="59271" spans="3:3" x14ac:dyDescent="0.35">
      <c r="C59271" s="2"/>
    </row>
    <row r="59272" spans="3:3" x14ac:dyDescent="0.35">
      <c r="C59272" s="2"/>
    </row>
    <row r="59273" spans="3:3" x14ac:dyDescent="0.35">
      <c r="C59273" s="2"/>
    </row>
    <row r="59274" spans="3:3" x14ac:dyDescent="0.35">
      <c r="C59274" s="2"/>
    </row>
    <row r="59275" spans="3:3" x14ac:dyDescent="0.35">
      <c r="C59275" s="2"/>
    </row>
    <row r="59276" spans="3:3" x14ac:dyDescent="0.35">
      <c r="C59276" s="2"/>
    </row>
    <row r="59277" spans="3:3" x14ac:dyDescent="0.35">
      <c r="C59277" s="2"/>
    </row>
    <row r="59278" spans="3:3" x14ac:dyDescent="0.35">
      <c r="C59278" s="2"/>
    </row>
    <row r="59279" spans="3:3" x14ac:dyDescent="0.35">
      <c r="C59279" s="2"/>
    </row>
    <row r="59280" spans="3:3" x14ac:dyDescent="0.35">
      <c r="C59280" s="2"/>
    </row>
    <row r="59281" spans="3:3" x14ac:dyDescent="0.35">
      <c r="C59281" s="2"/>
    </row>
    <row r="59282" spans="3:3" x14ac:dyDescent="0.35">
      <c r="C59282" s="2"/>
    </row>
    <row r="59283" spans="3:3" x14ac:dyDescent="0.35">
      <c r="C59283" s="2"/>
    </row>
    <row r="59284" spans="3:3" x14ac:dyDescent="0.35">
      <c r="C59284" s="2"/>
    </row>
    <row r="59285" spans="3:3" x14ac:dyDescent="0.35">
      <c r="C59285" s="2"/>
    </row>
    <row r="59286" spans="3:3" x14ac:dyDescent="0.35">
      <c r="C59286" s="2"/>
    </row>
    <row r="59287" spans="3:3" x14ac:dyDescent="0.35">
      <c r="C59287" s="2"/>
    </row>
    <row r="59288" spans="3:3" x14ac:dyDescent="0.35">
      <c r="C59288" s="2"/>
    </row>
    <row r="59289" spans="3:3" x14ac:dyDescent="0.35">
      <c r="C59289" s="2"/>
    </row>
    <row r="59290" spans="3:3" x14ac:dyDescent="0.35">
      <c r="C59290" s="2"/>
    </row>
    <row r="59291" spans="3:3" x14ac:dyDescent="0.35">
      <c r="C59291" s="2"/>
    </row>
    <row r="59292" spans="3:3" x14ac:dyDescent="0.35">
      <c r="C59292" s="2"/>
    </row>
    <row r="59293" spans="3:3" x14ac:dyDescent="0.35">
      <c r="C59293" s="2"/>
    </row>
    <row r="59294" spans="3:3" x14ac:dyDescent="0.35">
      <c r="C59294" s="2"/>
    </row>
    <row r="59295" spans="3:3" x14ac:dyDescent="0.35">
      <c r="C59295" s="2"/>
    </row>
    <row r="59296" spans="3:3" x14ac:dyDescent="0.35">
      <c r="C59296" s="2"/>
    </row>
    <row r="59297" spans="3:3" x14ac:dyDescent="0.35">
      <c r="C59297" s="2"/>
    </row>
    <row r="59298" spans="3:3" x14ac:dyDescent="0.35">
      <c r="C59298" s="2"/>
    </row>
    <row r="59299" spans="3:3" x14ac:dyDescent="0.35">
      <c r="C59299" s="2"/>
    </row>
    <row r="59300" spans="3:3" x14ac:dyDescent="0.35">
      <c r="C59300" s="2"/>
    </row>
    <row r="59301" spans="3:3" x14ac:dyDescent="0.35">
      <c r="C59301" s="2"/>
    </row>
    <row r="59302" spans="3:3" x14ac:dyDescent="0.35">
      <c r="C59302" s="2"/>
    </row>
    <row r="59303" spans="3:3" x14ac:dyDescent="0.35">
      <c r="C59303" s="2"/>
    </row>
    <row r="59304" spans="3:3" x14ac:dyDescent="0.35">
      <c r="C59304" s="2"/>
    </row>
    <row r="59305" spans="3:3" x14ac:dyDescent="0.35">
      <c r="C59305" s="2"/>
    </row>
    <row r="59306" spans="3:3" x14ac:dyDescent="0.35">
      <c r="C59306" s="2"/>
    </row>
    <row r="59307" spans="3:3" x14ac:dyDescent="0.35">
      <c r="C59307" s="2"/>
    </row>
    <row r="59308" spans="3:3" x14ac:dyDescent="0.35">
      <c r="C59308" s="2"/>
    </row>
    <row r="59309" spans="3:3" x14ac:dyDescent="0.35">
      <c r="C59309" s="2"/>
    </row>
    <row r="59310" spans="3:3" x14ac:dyDescent="0.35">
      <c r="C59310" s="2"/>
    </row>
    <row r="59311" spans="3:3" x14ac:dyDescent="0.35">
      <c r="C59311" s="2"/>
    </row>
    <row r="59312" spans="3:3" x14ac:dyDescent="0.35">
      <c r="C59312" s="2"/>
    </row>
    <row r="59313" spans="3:3" x14ac:dyDescent="0.35">
      <c r="C59313" s="2"/>
    </row>
    <row r="59314" spans="3:3" x14ac:dyDescent="0.35">
      <c r="C59314" s="2"/>
    </row>
    <row r="59315" spans="3:3" x14ac:dyDescent="0.35">
      <c r="C59315" s="2"/>
    </row>
    <row r="59316" spans="3:3" x14ac:dyDescent="0.35">
      <c r="C59316" s="2"/>
    </row>
    <row r="59317" spans="3:3" x14ac:dyDescent="0.35">
      <c r="C59317" s="2"/>
    </row>
    <row r="59318" spans="3:3" x14ac:dyDescent="0.35">
      <c r="C59318" s="2"/>
    </row>
    <row r="59319" spans="3:3" x14ac:dyDescent="0.35">
      <c r="C59319" s="2"/>
    </row>
    <row r="59320" spans="3:3" x14ac:dyDescent="0.35">
      <c r="C59320" s="2"/>
    </row>
    <row r="59321" spans="3:3" x14ac:dyDescent="0.35">
      <c r="C59321" s="2"/>
    </row>
    <row r="59322" spans="3:3" x14ac:dyDescent="0.35">
      <c r="C59322" s="2"/>
    </row>
    <row r="59323" spans="3:3" x14ac:dyDescent="0.35">
      <c r="C59323" s="2"/>
    </row>
    <row r="59324" spans="3:3" x14ac:dyDescent="0.35">
      <c r="C59324" s="2"/>
    </row>
    <row r="59325" spans="3:3" x14ac:dyDescent="0.35">
      <c r="C59325" s="2"/>
    </row>
    <row r="59326" spans="3:3" x14ac:dyDescent="0.35">
      <c r="C59326" s="2"/>
    </row>
    <row r="59327" spans="3:3" x14ac:dyDescent="0.35">
      <c r="C59327" s="2"/>
    </row>
    <row r="59328" spans="3:3" x14ac:dyDescent="0.35">
      <c r="C59328" s="2"/>
    </row>
    <row r="59329" spans="3:3" x14ac:dyDescent="0.35">
      <c r="C59329" s="2"/>
    </row>
    <row r="59330" spans="3:3" x14ac:dyDescent="0.35">
      <c r="C59330" s="2"/>
    </row>
    <row r="59331" spans="3:3" x14ac:dyDescent="0.35">
      <c r="C59331" s="2"/>
    </row>
    <row r="59332" spans="3:3" x14ac:dyDescent="0.35">
      <c r="C59332" s="2"/>
    </row>
    <row r="59333" spans="3:3" x14ac:dyDescent="0.35">
      <c r="C59333" s="2"/>
    </row>
    <row r="59334" spans="3:3" x14ac:dyDescent="0.35">
      <c r="C59334" s="2"/>
    </row>
    <row r="59335" spans="3:3" x14ac:dyDescent="0.35">
      <c r="C59335" s="2"/>
    </row>
    <row r="59336" spans="3:3" x14ac:dyDescent="0.35">
      <c r="C59336" s="2"/>
    </row>
    <row r="59337" spans="3:3" x14ac:dyDescent="0.35">
      <c r="C59337" s="2"/>
    </row>
    <row r="59338" spans="3:3" x14ac:dyDescent="0.35">
      <c r="C59338" s="2"/>
    </row>
    <row r="59339" spans="3:3" x14ac:dyDescent="0.35">
      <c r="C59339" s="2"/>
    </row>
    <row r="59340" spans="3:3" x14ac:dyDescent="0.35">
      <c r="C59340" s="2"/>
    </row>
    <row r="59341" spans="3:3" x14ac:dyDescent="0.35">
      <c r="C59341" s="2"/>
    </row>
    <row r="59342" spans="3:3" x14ac:dyDescent="0.35">
      <c r="C59342" s="2"/>
    </row>
    <row r="59343" spans="3:3" x14ac:dyDescent="0.35">
      <c r="C59343" s="2"/>
    </row>
    <row r="59344" spans="3:3" x14ac:dyDescent="0.35">
      <c r="C59344" s="2"/>
    </row>
    <row r="59345" spans="3:3" x14ac:dyDescent="0.35">
      <c r="C59345" s="2"/>
    </row>
    <row r="59346" spans="3:3" x14ac:dyDescent="0.35">
      <c r="C59346" s="2"/>
    </row>
    <row r="59347" spans="3:3" x14ac:dyDescent="0.35">
      <c r="C59347" s="2"/>
    </row>
    <row r="59348" spans="3:3" x14ac:dyDescent="0.35">
      <c r="C59348" s="2"/>
    </row>
    <row r="59349" spans="3:3" x14ac:dyDescent="0.35">
      <c r="C59349" s="2"/>
    </row>
    <row r="59350" spans="3:3" x14ac:dyDescent="0.35">
      <c r="C59350" s="2"/>
    </row>
    <row r="59351" spans="3:3" x14ac:dyDescent="0.35">
      <c r="C59351" s="2"/>
    </row>
    <row r="59352" spans="3:3" x14ac:dyDescent="0.35">
      <c r="C59352" s="2"/>
    </row>
    <row r="59353" spans="3:3" x14ac:dyDescent="0.35">
      <c r="C59353" s="2"/>
    </row>
    <row r="59354" spans="3:3" x14ac:dyDescent="0.35">
      <c r="C59354" s="2"/>
    </row>
    <row r="59355" spans="3:3" x14ac:dyDescent="0.35">
      <c r="C59355" s="2"/>
    </row>
    <row r="59356" spans="3:3" x14ac:dyDescent="0.35">
      <c r="C59356" s="2"/>
    </row>
    <row r="59357" spans="3:3" x14ac:dyDescent="0.35">
      <c r="C59357" s="2"/>
    </row>
    <row r="59358" spans="3:3" x14ac:dyDescent="0.35">
      <c r="C59358" s="2"/>
    </row>
    <row r="59359" spans="3:3" x14ac:dyDescent="0.35">
      <c r="C59359" s="2"/>
    </row>
    <row r="59360" spans="3:3" x14ac:dyDescent="0.35">
      <c r="C59360" s="2"/>
    </row>
    <row r="59361" spans="3:3" x14ac:dyDescent="0.35">
      <c r="C59361" s="2"/>
    </row>
    <row r="59362" spans="3:3" x14ac:dyDescent="0.35">
      <c r="C59362" s="2"/>
    </row>
    <row r="59363" spans="3:3" x14ac:dyDescent="0.35">
      <c r="C59363" s="2"/>
    </row>
    <row r="59364" spans="3:3" x14ac:dyDescent="0.35">
      <c r="C59364" s="2"/>
    </row>
    <row r="59365" spans="3:3" x14ac:dyDescent="0.35">
      <c r="C59365" s="2"/>
    </row>
    <row r="59366" spans="3:3" x14ac:dyDescent="0.35">
      <c r="C59366" s="2"/>
    </row>
    <row r="59367" spans="3:3" x14ac:dyDescent="0.35">
      <c r="C59367" s="2"/>
    </row>
    <row r="59368" spans="3:3" x14ac:dyDescent="0.35">
      <c r="C59368" s="2"/>
    </row>
    <row r="59369" spans="3:3" x14ac:dyDescent="0.35">
      <c r="C59369" s="2"/>
    </row>
    <row r="59370" spans="3:3" x14ac:dyDescent="0.35">
      <c r="C59370" s="2"/>
    </row>
    <row r="59371" spans="3:3" x14ac:dyDescent="0.35">
      <c r="C59371" s="2"/>
    </row>
    <row r="59372" spans="3:3" x14ac:dyDescent="0.35">
      <c r="C59372" s="2"/>
    </row>
    <row r="59373" spans="3:3" x14ac:dyDescent="0.35">
      <c r="C59373" s="2"/>
    </row>
    <row r="59374" spans="3:3" x14ac:dyDescent="0.35">
      <c r="C59374" s="2"/>
    </row>
    <row r="59375" spans="3:3" x14ac:dyDescent="0.35">
      <c r="C59375" s="2"/>
    </row>
    <row r="59376" spans="3:3" x14ac:dyDescent="0.35">
      <c r="C59376" s="2"/>
    </row>
    <row r="59377" spans="3:3" x14ac:dyDescent="0.35">
      <c r="C59377" s="2"/>
    </row>
    <row r="59378" spans="3:3" x14ac:dyDescent="0.35">
      <c r="C59378" s="2"/>
    </row>
    <row r="59379" spans="3:3" x14ac:dyDescent="0.35">
      <c r="C59379" s="2"/>
    </row>
    <row r="59380" spans="3:3" x14ac:dyDescent="0.35">
      <c r="C59380" s="2"/>
    </row>
    <row r="59381" spans="3:3" x14ac:dyDescent="0.35">
      <c r="C59381" s="2"/>
    </row>
    <row r="59382" spans="3:3" x14ac:dyDescent="0.35">
      <c r="C59382" s="2"/>
    </row>
    <row r="59383" spans="3:3" x14ac:dyDescent="0.35">
      <c r="C59383" s="2"/>
    </row>
    <row r="59384" spans="3:3" x14ac:dyDescent="0.35">
      <c r="C59384" s="2"/>
    </row>
    <row r="59385" spans="3:3" x14ac:dyDescent="0.35">
      <c r="C59385" s="2"/>
    </row>
    <row r="59386" spans="3:3" x14ac:dyDescent="0.35">
      <c r="C59386" s="2"/>
    </row>
    <row r="59387" spans="3:3" x14ac:dyDescent="0.35">
      <c r="C59387" s="2"/>
    </row>
    <row r="59388" spans="3:3" x14ac:dyDescent="0.35">
      <c r="C59388" s="2"/>
    </row>
    <row r="59389" spans="3:3" x14ac:dyDescent="0.35">
      <c r="C59389" s="2"/>
    </row>
    <row r="59390" spans="3:3" x14ac:dyDescent="0.35">
      <c r="C59390" s="2"/>
    </row>
    <row r="59391" spans="3:3" x14ac:dyDescent="0.35">
      <c r="C59391" s="2"/>
    </row>
    <row r="59392" spans="3:3" x14ac:dyDescent="0.35">
      <c r="C59392" s="2"/>
    </row>
    <row r="59393" spans="3:3" x14ac:dyDescent="0.35">
      <c r="C59393" s="2"/>
    </row>
    <row r="59394" spans="3:3" x14ac:dyDescent="0.35">
      <c r="C59394" s="2"/>
    </row>
    <row r="59395" spans="3:3" x14ac:dyDescent="0.35">
      <c r="C59395" s="2"/>
    </row>
    <row r="59396" spans="3:3" x14ac:dyDescent="0.35">
      <c r="C59396" s="2"/>
    </row>
    <row r="59397" spans="3:3" x14ac:dyDescent="0.35">
      <c r="C59397" s="2"/>
    </row>
    <row r="59398" spans="3:3" x14ac:dyDescent="0.35">
      <c r="C59398" s="2"/>
    </row>
    <row r="59399" spans="3:3" x14ac:dyDescent="0.35">
      <c r="C59399" s="2"/>
    </row>
    <row r="59400" spans="3:3" x14ac:dyDescent="0.35">
      <c r="C59400" s="2"/>
    </row>
    <row r="59401" spans="3:3" x14ac:dyDescent="0.35">
      <c r="C59401" s="2"/>
    </row>
    <row r="59402" spans="3:3" x14ac:dyDescent="0.35">
      <c r="C59402" s="2"/>
    </row>
    <row r="59403" spans="3:3" x14ac:dyDescent="0.35">
      <c r="C59403" s="2"/>
    </row>
    <row r="59404" spans="3:3" x14ac:dyDescent="0.35">
      <c r="C59404" s="2"/>
    </row>
    <row r="59405" spans="3:3" x14ac:dyDescent="0.35">
      <c r="C59405" s="2"/>
    </row>
    <row r="59406" spans="3:3" x14ac:dyDescent="0.35">
      <c r="C59406" s="2"/>
    </row>
    <row r="59407" spans="3:3" x14ac:dyDescent="0.35">
      <c r="C59407" s="2"/>
    </row>
    <row r="59408" spans="3:3" x14ac:dyDescent="0.35">
      <c r="C59408" s="2"/>
    </row>
    <row r="59409" spans="3:3" x14ac:dyDescent="0.35">
      <c r="C59409" s="2"/>
    </row>
    <row r="59410" spans="3:3" x14ac:dyDescent="0.35">
      <c r="C59410" s="2"/>
    </row>
    <row r="59411" spans="3:3" x14ac:dyDescent="0.35">
      <c r="C59411" s="2"/>
    </row>
    <row r="59412" spans="3:3" x14ac:dyDescent="0.35">
      <c r="C59412" s="2"/>
    </row>
    <row r="59413" spans="3:3" x14ac:dyDescent="0.35">
      <c r="C59413" s="2"/>
    </row>
    <row r="59414" spans="3:3" x14ac:dyDescent="0.35">
      <c r="C59414" s="2"/>
    </row>
    <row r="59415" spans="3:3" x14ac:dyDescent="0.35">
      <c r="C59415" s="2"/>
    </row>
    <row r="59416" spans="3:3" x14ac:dyDescent="0.35">
      <c r="C59416" s="2"/>
    </row>
    <row r="59417" spans="3:3" x14ac:dyDescent="0.35">
      <c r="C59417" s="2"/>
    </row>
    <row r="59418" spans="3:3" x14ac:dyDescent="0.35">
      <c r="C59418" s="2"/>
    </row>
    <row r="59419" spans="3:3" x14ac:dyDescent="0.35">
      <c r="C59419" s="2"/>
    </row>
    <row r="59420" spans="3:3" x14ac:dyDescent="0.35">
      <c r="C59420" s="2"/>
    </row>
    <row r="59421" spans="3:3" x14ac:dyDescent="0.35">
      <c r="C59421" s="2"/>
    </row>
    <row r="59422" spans="3:3" x14ac:dyDescent="0.35">
      <c r="C59422" s="2"/>
    </row>
    <row r="59423" spans="3:3" x14ac:dyDescent="0.35">
      <c r="C59423" s="2"/>
    </row>
    <row r="59424" spans="3:3" x14ac:dyDescent="0.35">
      <c r="C59424" s="2"/>
    </row>
    <row r="59425" spans="3:3" x14ac:dyDescent="0.35">
      <c r="C59425" s="2"/>
    </row>
    <row r="59426" spans="3:3" x14ac:dyDescent="0.35">
      <c r="C59426" s="2"/>
    </row>
    <row r="59427" spans="3:3" x14ac:dyDescent="0.35">
      <c r="C59427" s="2"/>
    </row>
    <row r="59428" spans="3:3" x14ac:dyDescent="0.35">
      <c r="C59428" s="2"/>
    </row>
    <row r="59429" spans="3:3" x14ac:dyDescent="0.35">
      <c r="C59429" s="2"/>
    </row>
    <row r="59430" spans="3:3" x14ac:dyDescent="0.35">
      <c r="C59430" s="2"/>
    </row>
    <row r="59431" spans="3:3" x14ac:dyDescent="0.35">
      <c r="C59431" s="2"/>
    </row>
    <row r="59432" spans="3:3" x14ac:dyDescent="0.35">
      <c r="C59432" s="2"/>
    </row>
    <row r="59433" spans="3:3" x14ac:dyDescent="0.35">
      <c r="C59433" s="2"/>
    </row>
    <row r="59434" spans="3:3" x14ac:dyDescent="0.35">
      <c r="C59434" s="2"/>
    </row>
    <row r="59435" spans="3:3" x14ac:dyDescent="0.35">
      <c r="C59435" s="2"/>
    </row>
    <row r="59436" spans="3:3" x14ac:dyDescent="0.35">
      <c r="C59436" s="2"/>
    </row>
    <row r="59437" spans="3:3" x14ac:dyDescent="0.35">
      <c r="C59437" s="2"/>
    </row>
    <row r="59438" spans="3:3" x14ac:dyDescent="0.35">
      <c r="C59438" s="2"/>
    </row>
    <row r="59439" spans="3:3" x14ac:dyDescent="0.35">
      <c r="C59439" s="2"/>
    </row>
    <row r="59440" spans="3:3" x14ac:dyDescent="0.35">
      <c r="C59440" s="2"/>
    </row>
    <row r="59441" spans="3:3" x14ac:dyDescent="0.35">
      <c r="C59441" s="2"/>
    </row>
    <row r="59442" spans="3:3" x14ac:dyDescent="0.35">
      <c r="C59442" s="2"/>
    </row>
    <row r="59443" spans="3:3" x14ac:dyDescent="0.35">
      <c r="C59443" s="2"/>
    </row>
    <row r="59444" spans="3:3" x14ac:dyDescent="0.35">
      <c r="C59444" s="2"/>
    </row>
    <row r="59445" spans="3:3" x14ac:dyDescent="0.35">
      <c r="C59445" s="2"/>
    </row>
    <row r="59446" spans="3:3" x14ac:dyDescent="0.35">
      <c r="C59446" s="2"/>
    </row>
    <row r="59447" spans="3:3" x14ac:dyDescent="0.35">
      <c r="C59447" s="2"/>
    </row>
    <row r="59448" spans="3:3" x14ac:dyDescent="0.35">
      <c r="C59448" s="2"/>
    </row>
    <row r="59449" spans="3:3" x14ac:dyDescent="0.35">
      <c r="C59449" s="2"/>
    </row>
    <row r="59450" spans="3:3" x14ac:dyDescent="0.35">
      <c r="C59450" s="2"/>
    </row>
    <row r="59451" spans="3:3" x14ac:dyDescent="0.35">
      <c r="C59451" s="2"/>
    </row>
    <row r="59452" spans="3:3" x14ac:dyDescent="0.35">
      <c r="C59452" s="2"/>
    </row>
    <row r="59453" spans="3:3" x14ac:dyDescent="0.35">
      <c r="C59453" s="2"/>
    </row>
    <row r="59454" spans="3:3" x14ac:dyDescent="0.35">
      <c r="C59454" s="2"/>
    </row>
    <row r="59455" spans="3:3" x14ac:dyDescent="0.35">
      <c r="C59455" s="2"/>
    </row>
    <row r="59456" spans="3:3" x14ac:dyDescent="0.35">
      <c r="C59456" s="2"/>
    </row>
    <row r="59457" spans="3:3" x14ac:dyDescent="0.35">
      <c r="C59457" s="2"/>
    </row>
    <row r="59458" spans="3:3" x14ac:dyDescent="0.35">
      <c r="C59458" s="2"/>
    </row>
    <row r="59459" spans="3:3" x14ac:dyDescent="0.35">
      <c r="C59459" s="2"/>
    </row>
    <row r="59460" spans="3:3" x14ac:dyDescent="0.35">
      <c r="C59460" s="2"/>
    </row>
    <row r="59461" spans="3:3" x14ac:dyDescent="0.35">
      <c r="C59461" s="2"/>
    </row>
    <row r="59462" spans="3:3" x14ac:dyDescent="0.35">
      <c r="C59462" s="2"/>
    </row>
    <row r="59463" spans="3:3" x14ac:dyDescent="0.35">
      <c r="C59463" s="2"/>
    </row>
    <row r="59464" spans="3:3" x14ac:dyDescent="0.35">
      <c r="C59464" s="2"/>
    </row>
    <row r="59465" spans="3:3" x14ac:dyDescent="0.35">
      <c r="C59465" s="2"/>
    </row>
    <row r="59466" spans="3:3" x14ac:dyDescent="0.35">
      <c r="C59466" s="2"/>
    </row>
    <row r="59467" spans="3:3" x14ac:dyDescent="0.35">
      <c r="C59467" s="2"/>
    </row>
    <row r="59468" spans="3:3" x14ac:dyDescent="0.35">
      <c r="C59468" s="2"/>
    </row>
    <row r="59469" spans="3:3" x14ac:dyDescent="0.35">
      <c r="C59469" s="2"/>
    </row>
    <row r="59470" spans="3:3" x14ac:dyDescent="0.35">
      <c r="C59470" s="2"/>
    </row>
    <row r="59471" spans="3:3" x14ac:dyDescent="0.35">
      <c r="C59471" s="2"/>
    </row>
    <row r="59472" spans="3:3" x14ac:dyDescent="0.35">
      <c r="C59472" s="2"/>
    </row>
    <row r="59473" spans="3:3" x14ac:dyDescent="0.35">
      <c r="C59473" s="2"/>
    </row>
    <row r="59474" spans="3:3" x14ac:dyDescent="0.35">
      <c r="C59474" s="2"/>
    </row>
    <row r="59475" spans="3:3" x14ac:dyDescent="0.35">
      <c r="C59475" s="2"/>
    </row>
    <row r="59476" spans="3:3" x14ac:dyDescent="0.35">
      <c r="C59476" s="2"/>
    </row>
    <row r="59477" spans="3:3" x14ac:dyDescent="0.35">
      <c r="C59477" s="2"/>
    </row>
    <row r="59478" spans="3:3" x14ac:dyDescent="0.35">
      <c r="C59478" s="2"/>
    </row>
    <row r="59479" spans="3:3" x14ac:dyDescent="0.35">
      <c r="C59479" s="2"/>
    </row>
    <row r="59480" spans="3:3" x14ac:dyDescent="0.35">
      <c r="C59480" s="2"/>
    </row>
    <row r="59481" spans="3:3" x14ac:dyDescent="0.35">
      <c r="C59481" s="2"/>
    </row>
    <row r="59482" spans="3:3" x14ac:dyDescent="0.35">
      <c r="C59482" s="2"/>
    </row>
    <row r="59483" spans="3:3" x14ac:dyDescent="0.35">
      <c r="C59483" s="2"/>
    </row>
    <row r="59484" spans="3:3" x14ac:dyDescent="0.35">
      <c r="C59484" s="2"/>
    </row>
    <row r="59485" spans="3:3" x14ac:dyDescent="0.35">
      <c r="C59485" s="2"/>
    </row>
    <row r="59486" spans="3:3" x14ac:dyDescent="0.35">
      <c r="C59486" s="2"/>
    </row>
    <row r="59487" spans="3:3" x14ac:dyDescent="0.35">
      <c r="C59487" s="2"/>
    </row>
    <row r="59488" spans="3:3" x14ac:dyDescent="0.35">
      <c r="C59488" s="2"/>
    </row>
    <row r="59489" spans="3:3" x14ac:dyDescent="0.35">
      <c r="C59489" s="2"/>
    </row>
    <row r="59490" spans="3:3" x14ac:dyDescent="0.35">
      <c r="C59490" s="2"/>
    </row>
    <row r="59491" spans="3:3" x14ac:dyDescent="0.35">
      <c r="C59491" s="2"/>
    </row>
    <row r="59492" spans="3:3" x14ac:dyDescent="0.35">
      <c r="C59492" s="2"/>
    </row>
    <row r="59493" spans="3:3" x14ac:dyDescent="0.35">
      <c r="C59493" s="2"/>
    </row>
    <row r="59494" spans="3:3" x14ac:dyDescent="0.35">
      <c r="C59494" s="2"/>
    </row>
    <row r="59495" spans="3:3" x14ac:dyDescent="0.35">
      <c r="C59495" s="2"/>
    </row>
    <row r="59496" spans="3:3" x14ac:dyDescent="0.35">
      <c r="C59496" s="2"/>
    </row>
    <row r="59497" spans="3:3" x14ac:dyDescent="0.35">
      <c r="C59497" s="2"/>
    </row>
    <row r="59498" spans="3:3" x14ac:dyDescent="0.35">
      <c r="C59498" s="2"/>
    </row>
    <row r="59499" spans="3:3" x14ac:dyDescent="0.35">
      <c r="C59499" s="2"/>
    </row>
    <row r="59500" spans="3:3" x14ac:dyDescent="0.35">
      <c r="C59500" s="2"/>
    </row>
    <row r="59501" spans="3:3" x14ac:dyDescent="0.35">
      <c r="C59501" s="2"/>
    </row>
    <row r="59502" spans="3:3" x14ac:dyDescent="0.35">
      <c r="C59502" s="2"/>
    </row>
    <row r="59503" spans="3:3" x14ac:dyDescent="0.35">
      <c r="C59503" s="2"/>
    </row>
    <row r="59504" spans="3:3" x14ac:dyDescent="0.35">
      <c r="C59504" s="2"/>
    </row>
    <row r="59505" spans="3:3" x14ac:dyDescent="0.35">
      <c r="C59505" s="2"/>
    </row>
    <row r="59506" spans="3:3" x14ac:dyDescent="0.35">
      <c r="C59506" s="2"/>
    </row>
    <row r="59507" spans="3:3" x14ac:dyDescent="0.35">
      <c r="C59507" s="2"/>
    </row>
    <row r="59508" spans="3:3" x14ac:dyDescent="0.35">
      <c r="C59508" s="2"/>
    </row>
    <row r="59509" spans="3:3" x14ac:dyDescent="0.35">
      <c r="C59509" s="2"/>
    </row>
    <row r="59510" spans="3:3" x14ac:dyDescent="0.35">
      <c r="C59510" s="2"/>
    </row>
    <row r="59511" spans="3:3" x14ac:dyDescent="0.35">
      <c r="C59511" s="2"/>
    </row>
    <row r="59512" spans="3:3" x14ac:dyDescent="0.35">
      <c r="C59512" s="2"/>
    </row>
    <row r="59513" spans="3:3" x14ac:dyDescent="0.35">
      <c r="C59513" s="2"/>
    </row>
    <row r="59514" spans="3:3" x14ac:dyDescent="0.35">
      <c r="C59514" s="2"/>
    </row>
    <row r="59515" spans="3:3" x14ac:dyDescent="0.35">
      <c r="C59515" s="2"/>
    </row>
    <row r="59516" spans="3:3" x14ac:dyDescent="0.35">
      <c r="C59516" s="2"/>
    </row>
    <row r="59517" spans="3:3" x14ac:dyDescent="0.35">
      <c r="C59517" s="2"/>
    </row>
    <row r="59518" spans="3:3" x14ac:dyDescent="0.35">
      <c r="C59518" s="2"/>
    </row>
    <row r="59519" spans="3:3" x14ac:dyDescent="0.35">
      <c r="C59519" s="2"/>
    </row>
    <row r="59520" spans="3:3" x14ac:dyDescent="0.35">
      <c r="C59520" s="2"/>
    </row>
    <row r="59521" spans="3:3" x14ac:dyDescent="0.35">
      <c r="C59521" s="2"/>
    </row>
    <row r="59522" spans="3:3" x14ac:dyDescent="0.35">
      <c r="C59522" s="2"/>
    </row>
    <row r="59523" spans="3:3" x14ac:dyDescent="0.35">
      <c r="C59523" s="2"/>
    </row>
    <row r="59524" spans="3:3" x14ac:dyDescent="0.35">
      <c r="C59524" s="2"/>
    </row>
    <row r="59525" spans="3:3" x14ac:dyDescent="0.35">
      <c r="C59525" s="2"/>
    </row>
    <row r="59526" spans="3:3" x14ac:dyDescent="0.35">
      <c r="C59526" s="2"/>
    </row>
    <row r="59527" spans="3:3" x14ac:dyDescent="0.35">
      <c r="C59527" s="2"/>
    </row>
    <row r="59528" spans="3:3" x14ac:dyDescent="0.35">
      <c r="C59528" s="2"/>
    </row>
    <row r="59529" spans="3:3" x14ac:dyDescent="0.35">
      <c r="C59529" s="2"/>
    </row>
    <row r="59530" spans="3:3" x14ac:dyDescent="0.35">
      <c r="C59530" s="2"/>
    </row>
    <row r="59531" spans="3:3" x14ac:dyDescent="0.35">
      <c r="C59531" s="2"/>
    </row>
    <row r="59532" spans="3:3" x14ac:dyDescent="0.35">
      <c r="C59532" s="2"/>
    </row>
    <row r="59533" spans="3:3" x14ac:dyDescent="0.35">
      <c r="C59533" s="2"/>
    </row>
    <row r="59534" spans="3:3" x14ac:dyDescent="0.35">
      <c r="C59534" s="2"/>
    </row>
    <row r="59535" spans="3:3" x14ac:dyDescent="0.35">
      <c r="C59535" s="2"/>
    </row>
    <row r="59536" spans="3:3" x14ac:dyDescent="0.35">
      <c r="C59536" s="2"/>
    </row>
    <row r="59537" spans="3:3" x14ac:dyDescent="0.35">
      <c r="C59537" s="2"/>
    </row>
    <row r="59538" spans="3:3" x14ac:dyDescent="0.35">
      <c r="C59538" s="2"/>
    </row>
    <row r="59539" spans="3:3" x14ac:dyDescent="0.35">
      <c r="C59539" s="2"/>
    </row>
    <row r="59540" spans="3:3" x14ac:dyDescent="0.35">
      <c r="C59540" s="2"/>
    </row>
    <row r="59541" spans="3:3" x14ac:dyDescent="0.35">
      <c r="C59541" s="2"/>
    </row>
    <row r="59542" spans="3:3" x14ac:dyDescent="0.35">
      <c r="C59542" s="2"/>
    </row>
    <row r="59543" spans="3:3" x14ac:dyDescent="0.35">
      <c r="C59543" s="2"/>
    </row>
    <row r="59544" spans="3:3" x14ac:dyDescent="0.35">
      <c r="C59544" s="2"/>
    </row>
    <row r="59545" spans="3:3" x14ac:dyDescent="0.35">
      <c r="C59545" s="2"/>
    </row>
    <row r="59546" spans="3:3" x14ac:dyDescent="0.35">
      <c r="C59546" s="2"/>
    </row>
    <row r="59547" spans="3:3" x14ac:dyDescent="0.35">
      <c r="C59547" s="2"/>
    </row>
    <row r="59548" spans="3:3" x14ac:dyDescent="0.35">
      <c r="C59548" s="2"/>
    </row>
    <row r="59549" spans="3:3" x14ac:dyDescent="0.35">
      <c r="C59549" s="2"/>
    </row>
    <row r="59550" spans="3:3" x14ac:dyDescent="0.35">
      <c r="C59550" s="2"/>
    </row>
    <row r="59551" spans="3:3" x14ac:dyDescent="0.35">
      <c r="C59551" s="2"/>
    </row>
    <row r="59552" spans="3:3" x14ac:dyDescent="0.35">
      <c r="C59552" s="2"/>
    </row>
    <row r="59553" spans="3:3" x14ac:dyDescent="0.35">
      <c r="C59553" s="2"/>
    </row>
    <row r="59554" spans="3:3" x14ac:dyDescent="0.35">
      <c r="C59554" s="2"/>
    </row>
    <row r="59555" spans="3:3" x14ac:dyDescent="0.35">
      <c r="C59555" s="2"/>
    </row>
    <row r="59556" spans="3:3" x14ac:dyDescent="0.35">
      <c r="C59556" s="2"/>
    </row>
    <row r="59557" spans="3:3" x14ac:dyDescent="0.35">
      <c r="C59557" s="2"/>
    </row>
    <row r="59558" spans="3:3" x14ac:dyDescent="0.35">
      <c r="C59558" s="2"/>
    </row>
    <row r="59559" spans="3:3" x14ac:dyDescent="0.35">
      <c r="C59559" s="2"/>
    </row>
    <row r="59560" spans="3:3" x14ac:dyDescent="0.35">
      <c r="C59560" s="2"/>
    </row>
    <row r="59561" spans="3:3" x14ac:dyDescent="0.35">
      <c r="C59561" s="2"/>
    </row>
    <row r="59562" spans="3:3" x14ac:dyDescent="0.35">
      <c r="C59562" s="2"/>
    </row>
    <row r="59563" spans="3:3" x14ac:dyDescent="0.35">
      <c r="C59563" s="2"/>
    </row>
    <row r="59564" spans="3:3" x14ac:dyDescent="0.35">
      <c r="C59564" s="2"/>
    </row>
    <row r="59565" spans="3:3" x14ac:dyDescent="0.35">
      <c r="C59565" s="2"/>
    </row>
    <row r="59566" spans="3:3" x14ac:dyDescent="0.35">
      <c r="C59566" s="2"/>
    </row>
    <row r="59567" spans="3:3" x14ac:dyDescent="0.35">
      <c r="C59567" s="2"/>
    </row>
    <row r="59568" spans="3:3" x14ac:dyDescent="0.35">
      <c r="C59568" s="2"/>
    </row>
    <row r="59569" spans="3:3" x14ac:dyDescent="0.35">
      <c r="C59569" s="2"/>
    </row>
    <row r="59570" spans="3:3" x14ac:dyDescent="0.35">
      <c r="C59570" s="2"/>
    </row>
    <row r="59571" spans="3:3" x14ac:dyDescent="0.35">
      <c r="C59571" s="2"/>
    </row>
    <row r="59572" spans="3:3" x14ac:dyDescent="0.35">
      <c r="C59572" s="2"/>
    </row>
    <row r="59573" spans="3:3" x14ac:dyDescent="0.35">
      <c r="C59573" s="2"/>
    </row>
    <row r="59574" spans="3:3" x14ac:dyDescent="0.35">
      <c r="C59574" s="2"/>
    </row>
    <row r="59575" spans="3:3" x14ac:dyDescent="0.35">
      <c r="C59575" s="2"/>
    </row>
    <row r="59576" spans="3:3" x14ac:dyDescent="0.35">
      <c r="C59576" s="2"/>
    </row>
    <row r="59577" spans="3:3" x14ac:dyDescent="0.35">
      <c r="C59577" s="2"/>
    </row>
    <row r="59578" spans="3:3" x14ac:dyDescent="0.35">
      <c r="C59578" s="2"/>
    </row>
    <row r="59579" spans="3:3" x14ac:dyDescent="0.35">
      <c r="C59579" s="2"/>
    </row>
    <row r="59580" spans="3:3" x14ac:dyDescent="0.35">
      <c r="C59580" s="2"/>
    </row>
    <row r="59581" spans="3:3" x14ac:dyDescent="0.35">
      <c r="C59581" s="2"/>
    </row>
    <row r="59582" spans="3:3" x14ac:dyDescent="0.35">
      <c r="C59582" s="2"/>
    </row>
    <row r="59583" spans="3:3" x14ac:dyDescent="0.35">
      <c r="C59583" s="2"/>
    </row>
    <row r="59584" spans="3:3" x14ac:dyDescent="0.35">
      <c r="C59584" s="2"/>
    </row>
    <row r="59585" spans="3:3" x14ac:dyDescent="0.35">
      <c r="C59585" s="2"/>
    </row>
    <row r="59586" spans="3:3" x14ac:dyDescent="0.35">
      <c r="C59586" s="2"/>
    </row>
    <row r="59587" spans="3:3" x14ac:dyDescent="0.35">
      <c r="C59587" s="2"/>
    </row>
    <row r="59588" spans="3:3" x14ac:dyDescent="0.35">
      <c r="C59588" s="2"/>
    </row>
    <row r="59589" spans="3:3" x14ac:dyDescent="0.35">
      <c r="C59589" s="2"/>
    </row>
    <row r="59590" spans="3:3" x14ac:dyDescent="0.35">
      <c r="C59590" s="2"/>
    </row>
    <row r="59591" spans="3:3" x14ac:dyDescent="0.35">
      <c r="C59591" s="2"/>
    </row>
    <row r="59592" spans="3:3" x14ac:dyDescent="0.35">
      <c r="C59592" s="2"/>
    </row>
    <row r="59593" spans="3:3" x14ac:dyDescent="0.35">
      <c r="C59593" s="2"/>
    </row>
    <row r="59594" spans="3:3" x14ac:dyDescent="0.35">
      <c r="C59594" s="2"/>
    </row>
    <row r="59595" spans="3:3" x14ac:dyDescent="0.35">
      <c r="C59595" s="2"/>
    </row>
    <row r="59596" spans="3:3" x14ac:dyDescent="0.35">
      <c r="C59596" s="2"/>
    </row>
    <row r="59597" spans="3:3" x14ac:dyDescent="0.35">
      <c r="C59597" s="2"/>
    </row>
    <row r="59598" spans="3:3" x14ac:dyDescent="0.35">
      <c r="C59598" s="2"/>
    </row>
    <row r="59599" spans="3:3" x14ac:dyDescent="0.35">
      <c r="C59599" s="2"/>
    </row>
    <row r="59600" spans="3:3" x14ac:dyDescent="0.35">
      <c r="C59600" s="2"/>
    </row>
    <row r="59601" spans="3:3" x14ac:dyDescent="0.35">
      <c r="C59601" s="2"/>
    </row>
    <row r="59602" spans="3:3" x14ac:dyDescent="0.35">
      <c r="C59602" s="2"/>
    </row>
    <row r="59603" spans="3:3" x14ac:dyDescent="0.35">
      <c r="C59603" s="2"/>
    </row>
    <row r="59604" spans="3:3" x14ac:dyDescent="0.35">
      <c r="C59604" s="2"/>
    </row>
    <row r="59605" spans="3:3" x14ac:dyDescent="0.35">
      <c r="C59605" s="2"/>
    </row>
    <row r="59606" spans="3:3" x14ac:dyDescent="0.35">
      <c r="C59606" s="2"/>
    </row>
    <row r="59607" spans="3:3" x14ac:dyDescent="0.35">
      <c r="C59607" s="2"/>
    </row>
    <row r="59608" spans="3:3" x14ac:dyDescent="0.35">
      <c r="C59608" s="2"/>
    </row>
    <row r="59609" spans="3:3" x14ac:dyDescent="0.35">
      <c r="C59609" s="2"/>
    </row>
    <row r="59610" spans="3:3" x14ac:dyDescent="0.35">
      <c r="C59610" s="2"/>
    </row>
    <row r="59611" spans="3:3" x14ac:dyDescent="0.35">
      <c r="C59611" s="2"/>
    </row>
    <row r="59612" spans="3:3" x14ac:dyDescent="0.35">
      <c r="C59612" s="2"/>
    </row>
    <row r="59613" spans="3:3" x14ac:dyDescent="0.35">
      <c r="C59613" s="2"/>
    </row>
    <row r="59614" spans="3:3" x14ac:dyDescent="0.35">
      <c r="C59614" s="2"/>
    </row>
    <row r="59615" spans="3:3" x14ac:dyDescent="0.35">
      <c r="C59615" s="2"/>
    </row>
    <row r="59616" spans="3:3" x14ac:dyDescent="0.35">
      <c r="C59616" s="2"/>
    </row>
    <row r="59617" spans="3:3" x14ac:dyDescent="0.35">
      <c r="C59617" s="2"/>
    </row>
    <row r="59618" spans="3:3" x14ac:dyDescent="0.35">
      <c r="C59618" s="2"/>
    </row>
    <row r="59619" spans="3:3" x14ac:dyDescent="0.35">
      <c r="C59619" s="2"/>
    </row>
    <row r="59620" spans="3:3" x14ac:dyDescent="0.35">
      <c r="C59620" s="2"/>
    </row>
    <row r="59621" spans="3:3" x14ac:dyDescent="0.35">
      <c r="C59621" s="2"/>
    </row>
    <row r="59622" spans="3:3" x14ac:dyDescent="0.35">
      <c r="C59622" s="2"/>
    </row>
    <row r="59623" spans="3:3" x14ac:dyDescent="0.35">
      <c r="C59623" s="2"/>
    </row>
    <row r="59624" spans="3:3" x14ac:dyDescent="0.35">
      <c r="C59624" s="2"/>
    </row>
    <row r="59625" spans="3:3" x14ac:dyDescent="0.35">
      <c r="C59625" s="2"/>
    </row>
    <row r="59626" spans="3:3" x14ac:dyDescent="0.35">
      <c r="C59626" s="2"/>
    </row>
    <row r="59627" spans="3:3" x14ac:dyDescent="0.35">
      <c r="C59627" s="2"/>
    </row>
    <row r="59628" spans="3:3" x14ac:dyDescent="0.35">
      <c r="C59628" s="2"/>
    </row>
    <row r="59629" spans="3:3" x14ac:dyDescent="0.35">
      <c r="C59629" s="2"/>
    </row>
    <row r="59630" spans="3:3" x14ac:dyDescent="0.35">
      <c r="C59630" s="2"/>
    </row>
    <row r="59631" spans="3:3" x14ac:dyDescent="0.35">
      <c r="C59631" s="2"/>
    </row>
    <row r="59632" spans="3:3" x14ac:dyDescent="0.35">
      <c r="C59632" s="2"/>
    </row>
    <row r="59633" spans="3:3" x14ac:dyDescent="0.35">
      <c r="C59633" s="2"/>
    </row>
    <row r="59634" spans="3:3" x14ac:dyDescent="0.35">
      <c r="C59634" s="2"/>
    </row>
    <row r="59635" spans="3:3" x14ac:dyDescent="0.35">
      <c r="C59635" s="2"/>
    </row>
    <row r="59636" spans="3:3" x14ac:dyDescent="0.35">
      <c r="C59636" s="2"/>
    </row>
    <row r="59637" spans="3:3" x14ac:dyDescent="0.35">
      <c r="C59637" s="2"/>
    </row>
    <row r="59638" spans="3:3" x14ac:dyDescent="0.35">
      <c r="C59638" s="2"/>
    </row>
    <row r="59639" spans="3:3" x14ac:dyDescent="0.35">
      <c r="C59639" s="2"/>
    </row>
    <row r="59640" spans="3:3" x14ac:dyDescent="0.35">
      <c r="C59640" s="2"/>
    </row>
    <row r="59641" spans="3:3" x14ac:dyDescent="0.35">
      <c r="C59641" s="2"/>
    </row>
    <row r="59642" spans="3:3" x14ac:dyDescent="0.35">
      <c r="C59642" s="2"/>
    </row>
    <row r="59643" spans="3:3" x14ac:dyDescent="0.35">
      <c r="C59643" s="2"/>
    </row>
    <row r="59644" spans="3:3" x14ac:dyDescent="0.35">
      <c r="C59644" s="2"/>
    </row>
    <row r="59645" spans="3:3" x14ac:dyDescent="0.35">
      <c r="C59645" s="2"/>
    </row>
    <row r="59646" spans="3:3" x14ac:dyDescent="0.35">
      <c r="C59646" s="2"/>
    </row>
    <row r="59647" spans="3:3" x14ac:dyDescent="0.35">
      <c r="C59647" s="2"/>
    </row>
    <row r="59648" spans="3:3" x14ac:dyDescent="0.35">
      <c r="C59648" s="2"/>
    </row>
    <row r="59649" spans="3:3" x14ac:dyDescent="0.35">
      <c r="C59649" s="2"/>
    </row>
    <row r="59650" spans="3:3" x14ac:dyDescent="0.35">
      <c r="C59650" s="2"/>
    </row>
    <row r="59651" spans="3:3" x14ac:dyDescent="0.35">
      <c r="C59651" s="2"/>
    </row>
    <row r="59652" spans="3:3" x14ac:dyDescent="0.35">
      <c r="C59652" s="2"/>
    </row>
    <row r="59653" spans="3:3" x14ac:dyDescent="0.35">
      <c r="C59653" s="2"/>
    </row>
    <row r="59654" spans="3:3" x14ac:dyDescent="0.35">
      <c r="C59654" s="2"/>
    </row>
    <row r="59655" spans="3:3" x14ac:dyDescent="0.35">
      <c r="C59655" s="2"/>
    </row>
    <row r="59656" spans="3:3" x14ac:dyDescent="0.35">
      <c r="C59656" s="2"/>
    </row>
    <row r="59657" spans="3:3" x14ac:dyDescent="0.35">
      <c r="C59657" s="2"/>
    </row>
    <row r="59658" spans="3:3" x14ac:dyDescent="0.35">
      <c r="C59658" s="2"/>
    </row>
    <row r="59659" spans="3:3" x14ac:dyDescent="0.35">
      <c r="C59659" s="2"/>
    </row>
    <row r="59660" spans="3:3" x14ac:dyDescent="0.35">
      <c r="C59660" s="2"/>
    </row>
    <row r="59661" spans="3:3" x14ac:dyDescent="0.35">
      <c r="C59661" s="2"/>
    </row>
    <row r="59662" spans="3:3" x14ac:dyDescent="0.35">
      <c r="C59662" s="2"/>
    </row>
    <row r="59663" spans="3:3" x14ac:dyDescent="0.35">
      <c r="C59663" s="2"/>
    </row>
    <row r="59664" spans="3:3" x14ac:dyDescent="0.35">
      <c r="C59664" s="2"/>
    </row>
    <row r="59665" spans="3:3" x14ac:dyDescent="0.35">
      <c r="C59665" s="2"/>
    </row>
    <row r="59666" spans="3:3" x14ac:dyDescent="0.35">
      <c r="C59666" s="2"/>
    </row>
    <row r="59667" spans="3:3" x14ac:dyDescent="0.35">
      <c r="C59667" s="2"/>
    </row>
    <row r="59668" spans="3:3" x14ac:dyDescent="0.35">
      <c r="C59668" s="2"/>
    </row>
    <row r="59669" spans="3:3" x14ac:dyDescent="0.35">
      <c r="C59669" s="2"/>
    </row>
    <row r="59670" spans="3:3" x14ac:dyDescent="0.35">
      <c r="C59670" s="2"/>
    </row>
    <row r="59671" spans="3:3" x14ac:dyDescent="0.35">
      <c r="C59671" s="2"/>
    </row>
    <row r="59672" spans="3:3" x14ac:dyDescent="0.35">
      <c r="C59672" s="2"/>
    </row>
    <row r="59673" spans="3:3" x14ac:dyDescent="0.35">
      <c r="C59673" s="2"/>
    </row>
    <row r="59674" spans="3:3" x14ac:dyDescent="0.35">
      <c r="C59674" s="2"/>
    </row>
    <row r="59675" spans="3:3" x14ac:dyDescent="0.35">
      <c r="C59675" s="2"/>
    </row>
    <row r="59676" spans="3:3" x14ac:dyDescent="0.35">
      <c r="C59676" s="2"/>
    </row>
    <row r="59677" spans="3:3" x14ac:dyDescent="0.35">
      <c r="C59677" s="2"/>
    </row>
    <row r="59678" spans="3:3" x14ac:dyDescent="0.35">
      <c r="C59678" s="2"/>
    </row>
    <row r="59679" spans="3:3" x14ac:dyDescent="0.35">
      <c r="C59679" s="2"/>
    </row>
    <row r="59680" spans="3:3" x14ac:dyDescent="0.35">
      <c r="C59680" s="2"/>
    </row>
    <row r="59681" spans="3:3" x14ac:dyDescent="0.35">
      <c r="C59681" s="2"/>
    </row>
    <row r="59682" spans="3:3" x14ac:dyDescent="0.35">
      <c r="C59682" s="2"/>
    </row>
    <row r="59683" spans="3:3" x14ac:dyDescent="0.35">
      <c r="C59683" s="2"/>
    </row>
    <row r="59684" spans="3:3" x14ac:dyDescent="0.35">
      <c r="C59684" s="2"/>
    </row>
    <row r="59685" spans="3:3" x14ac:dyDescent="0.35">
      <c r="C59685" s="2"/>
    </row>
    <row r="59686" spans="3:3" x14ac:dyDescent="0.35">
      <c r="C59686" s="2"/>
    </row>
    <row r="59687" spans="3:3" x14ac:dyDescent="0.35">
      <c r="C59687" s="2"/>
    </row>
    <row r="59688" spans="3:3" x14ac:dyDescent="0.35">
      <c r="C59688" s="2"/>
    </row>
    <row r="59689" spans="3:3" x14ac:dyDescent="0.35">
      <c r="C59689" s="2"/>
    </row>
    <row r="59690" spans="3:3" x14ac:dyDescent="0.35">
      <c r="C59690" s="2"/>
    </row>
    <row r="59691" spans="3:3" x14ac:dyDescent="0.35">
      <c r="C59691" s="2"/>
    </row>
    <row r="59692" spans="3:3" x14ac:dyDescent="0.35">
      <c r="C59692" s="2"/>
    </row>
    <row r="59693" spans="3:3" x14ac:dyDescent="0.35">
      <c r="C59693" s="2"/>
    </row>
    <row r="59694" spans="3:3" x14ac:dyDescent="0.35">
      <c r="C59694" s="2"/>
    </row>
    <row r="59695" spans="3:3" x14ac:dyDescent="0.35">
      <c r="C59695" s="2"/>
    </row>
    <row r="59696" spans="3:3" x14ac:dyDescent="0.35">
      <c r="C59696" s="2"/>
    </row>
    <row r="59697" spans="3:3" x14ac:dyDescent="0.35">
      <c r="C59697" s="2"/>
    </row>
    <row r="59698" spans="3:3" x14ac:dyDescent="0.35">
      <c r="C59698" s="2"/>
    </row>
    <row r="59699" spans="3:3" x14ac:dyDescent="0.35">
      <c r="C59699" s="2"/>
    </row>
    <row r="59700" spans="3:3" x14ac:dyDescent="0.35">
      <c r="C59700" s="2"/>
    </row>
    <row r="59701" spans="3:3" x14ac:dyDescent="0.35">
      <c r="C59701" s="2"/>
    </row>
    <row r="59702" spans="3:3" x14ac:dyDescent="0.35">
      <c r="C59702" s="2"/>
    </row>
    <row r="59703" spans="3:3" x14ac:dyDescent="0.35">
      <c r="C59703" s="2"/>
    </row>
    <row r="59704" spans="3:3" x14ac:dyDescent="0.35">
      <c r="C59704" s="2"/>
    </row>
    <row r="59705" spans="3:3" x14ac:dyDescent="0.35">
      <c r="C59705" s="2"/>
    </row>
    <row r="59706" spans="3:3" x14ac:dyDescent="0.35">
      <c r="C59706" s="2"/>
    </row>
    <row r="59707" spans="3:3" x14ac:dyDescent="0.35">
      <c r="C59707" s="2"/>
    </row>
    <row r="59708" spans="3:3" x14ac:dyDescent="0.35">
      <c r="C59708" s="2"/>
    </row>
    <row r="59709" spans="3:3" x14ac:dyDescent="0.35">
      <c r="C59709" s="2"/>
    </row>
    <row r="59710" spans="3:3" x14ac:dyDescent="0.35">
      <c r="C59710" s="2"/>
    </row>
    <row r="59711" spans="3:3" x14ac:dyDescent="0.35">
      <c r="C59711" s="2"/>
    </row>
    <row r="59712" spans="3:3" x14ac:dyDescent="0.35">
      <c r="C59712" s="2"/>
    </row>
    <row r="59713" spans="3:3" x14ac:dyDescent="0.35">
      <c r="C59713" s="2"/>
    </row>
    <row r="59714" spans="3:3" x14ac:dyDescent="0.35">
      <c r="C59714" s="2"/>
    </row>
    <row r="59715" spans="3:3" x14ac:dyDescent="0.35">
      <c r="C59715" s="2"/>
    </row>
    <row r="59716" spans="3:3" x14ac:dyDescent="0.35">
      <c r="C59716" s="2"/>
    </row>
    <row r="59717" spans="3:3" x14ac:dyDescent="0.35">
      <c r="C59717" s="2"/>
    </row>
    <row r="59718" spans="3:3" x14ac:dyDescent="0.35">
      <c r="C59718" s="2"/>
    </row>
    <row r="59719" spans="3:3" x14ac:dyDescent="0.35">
      <c r="C59719" s="2"/>
    </row>
    <row r="59720" spans="3:3" x14ac:dyDescent="0.35">
      <c r="C59720" s="2"/>
    </row>
    <row r="59721" spans="3:3" x14ac:dyDescent="0.35">
      <c r="C59721" s="2"/>
    </row>
    <row r="59722" spans="3:3" x14ac:dyDescent="0.35">
      <c r="C59722" s="2"/>
    </row>
    <row r="59723" spans="3:3" x14ac:dyDescent="0.35">
      <c r="C59723" s="2"/>
    </row>
    <row r="59724" spans="3:3" x14ac:dyDescent="0.35">
      <c r="C59724" s="2"/>
    </row>
    <row r="59725" spans="3:3" x14ac:dyDescent="0.35">
      <c r="C59725" s="2"/>
    </row>
    <row r="59726" spans="3:3" x14ac:dyDescent="0.35">
      <c r="C59726" s="2"/>
    </row>
    <row r="59727" spans="3:3" x14ac:dyDescent="0.35">
      <c r="C59727" s="2"/>
    </row>
    <row r="59728" spans="3:3" x14ac:dyDescent="0.35">
      <c r="C59728" s="2"/>
    </row>
    <row r="59729" spans="3:3" x14ac:dyDescent="0.35">
      <c r="C59729" s="2"/>
    </row>
    <row r="59730" spans="3:3" x14ac:dyDescent="0.35">
      <c r="C59730" s="2"/>
    </row>
    <row r="59731" spans="3:3" x14ac:dyDescent="0.35">
      <c r="C59731" s="2"/>
    </row>
    <row r="59732" spans="3:3" x14ac:dyDescent="0.35">
      <c r="C59732" s="2"/>
    </row>
    <row r="59733" spans="3:3" x14ac:dyDescent="0.35">
      <c r="C59733" s="2"/>
    </row>
    <row r="59734" spans="3:3" x14ac:dyDescent="0.35">
      <c r="C59734" s="2"/>
    </row>
    <row r="59735" spans="3:3" x14ac:dyDescent="0.35">
      <c r="C59735" s="2"/>
    </row>
    <row r="59736" spans="3:3" x14ac:dyDescent="0.35">
      <c r="C59736" s="2"/>
    </row>
    <row r="59737" spans="3:3" x14ac:dyDescent="0.35">
      <c r="C59737" s="2"/>
    </row>
    <row r="59738" spans="3:3" x14ac:dyDescent="0.35">
      <c r="C59738" s="2"/>
    </row>
    <row r="59739" spans="3:3" x14ac:dyDescent="0.35">
      <c r="C59739" s="2"/>
    </row>
    <row r="59740" spans="3:3" x14ac:dyDescent="0.35">
      <c r="C59740" s="2"/>
    </row>
    <row r="59741" spans="3:3" x14ac:dyDescent="0.35">
      <c r="C59741" s="2"/>
    </row>
    <row r="59742" spans="3:3" x14ac:dyDescent="0.35">
      <c r="C59742" s="2"/>
    </row>
    <row r="59743" spans="3:3" x14ac:dyDescent="0.35">
      <c r="C59743" s="2"/>
    </row>
    <row r="59744" spans="3:3" x14ac:dyDescent="0.35">
      <c r="C59744" s="2"/>
    </row>
    <row r="59745" spans="3:3" x14ac:dyDescent="0.35">
      <c r="C59745" s="2"/>
    </row>
    <row r="59746" spans="3:3" x14ac:dyDescent="0.35">
      <c r="C59746" s="2"/>
    </row>
    <row r="59747" spans="3:3" x14ac:dyDescent="0.35">
      <c r="C59747" s="2"/>
    </row>
    <row r="59748" spans="3:3" x14ac:dyDescent="0.35">
      <c r="C59748" s="2"/>
    </row>
    <row r="59749" spans="3:3" x14ac:dyDescent="0.35">
      <c r="C59749" s="2"/>
    </row>
    <row r="59750" spans="3:3" x14ac:dyDescent="0.35">
      <c r="C59750" s="2"/>
    </row>
    <row r="59751" spans="3:3" x14ac:dyDescent="0.35">
      <c r="C59751" s="2"/>
    </row>
    <row r="59752" spans="3:3" x14ac:dyDescent="0.35">
      <c r="C59752" s="2"/>
    </row>
    <row r="59753" spans="3:3" x14ac:dyDescent="0.35">
      <c r="C59753" s="2"/>
    </row>
    <row r="59754" spans="3:3" x14ac:dyDescent="0.35">
      <c r="C59754" s="2"/>
    </row>
    <row r="59755" spans="3:3" x14ac:dyDescent="0.35">
      <c r="C59755" s="2"/>
    </row>
    <row r="59756" spans="3:3" x14ac:dyDescent="0.35">
      <c r="C59756" s="2"/>
    </row>
    <row r="59757" spans="3:3" x14ac:dyDescent="0.35">
      <c r="C59757" s="2"/>
    </row>
    <row r="59758" spans="3:3" x14ac:dyDescent="0.35">
      <c r="C59758" s="2"/>
    </row>
    <row r="59759" spans="3:3" x14ac:dyDescent="0.35">
      <c r="C59759" s="2"/>
    </row>
    <row r="59760" spans="3:3" x14ac:dyDescent="0.35">
      <c r="C59760" s="2"/>
    </row>
    <row r="59761" spans="3:3" x14ac:dyDescent="0.35">
      <c r="C59761" s="2"/>
    </row>
    <row r="59762" spans="3:3" x14ac:dyDescent="0.35">
      <c r="C59762" s="2"/>
    </row>
    <row r="59763" spans="3:3" x14ac:dyDescent="0.35">
      <c r="C59763" s="2"/>
    </row>
    <row r="59764" spans="3:3" x14ac:dyDescent="0.35">
      <c r="C59764" s="2"/>
    </row>
    <row r="59765" spans="3:3" x14ac:dyDescent="0.35">
      <c r="C59765" s="2"/>
    </row>
    <row r="59766" spans="3:3" x14ac:dyDescent="0.35">
      <c r="C59766" s="2"/>
    </row>
    <row r="59767" spans="3:3" x14ac:dyDescent="0.35">
      <c r="C59767" s="2"/>
    </row>
    <row r="59768" spans="3:3" x14ac:dyDescent="0.35">
      <c r="C59768" s="2"/>
    </row>
    <row r="59769" spans="3:3" x14ac:dyDescent="0.35">
      <c r="C59769" s="2"/>
    </row>
    <row r="59770" spans="3:3" x14ac:dyDescent="0.35">
      <c r="C59770" s="2"/>
    </row>
    <row r="59771" spans="3:3" x14ac:dyDescent="0.35">
      <c r="C59771" s="2"/>
    </row>
    <row r="59772" spans="3:3" x14ac:dyDescent="0.35">
      <c r="C59772" s="2"/>
    </row>
    <row r="59773" spans="3:3" x14ac:dyDescent="0.35">
      <c r="C59773" s="2"/>
    </row>
    <row r="59774" spans="3:3" x14ac:dyDescent="0.35">
      <c r="C59774" s="2"/>
    </row>
    <row r="59775" spans="3:3" x14ac:dyDescent="0.35">
      <c r="C59775" s="2"/>
    </row>
    <row r="59776" spans="3:3" x14ac:dyDescent="0.35">
      <c r="C59776" s="2"/>
    </row>
    <row r="59777" spans="3:3" x14ac:dyDescent="0.35">
      <c r="C59777" s="2"/>
    </row>
    <row r="59778" spans="3:3" x14ac:dyDescent="0.35">
      <c r="C59778" s="2"/>
    </row>
    <row r="59779" spans="3:3" x14ac:dyDescent="0.35">
      <c r="C59779" s="2"/>
    </row>
    <row r="59780" spans="3:3" x14ac:dyDescent="0.35">
      <c r="C59780" s="2"/>
    </row>
    <row r="59781" spans="3:3" x14ac:dyDescent="0.35">
      <c r="C59781" s="2"/>
    </row>
    <row r="59782" spans="3:3" x14ac:dyDescent="0.35">
      <c r="C59782" s="2"/>
    </row>
    <row r="59783" spans="3:3" x14ac:dyDescent="0.35">
      <c r="C59783" s="2"/>
    </row>
    <row r="59784" spans="3:3" x14ac:dyDescent="0.35">
      <c r="C59784" s="2"/>
    </row>
    <row r="59785" spans="3:3" x14ac:dyDescent="0.35">
      <c r="C59785" s="2"/>
    </row>
    <row r="59786" spans="3:3" x14ac:dyDescent="0.35">
      <c r="C59786" s="2"/>
    </row>
    <row r="59787" spans="3:3" x14ac:dyDescent="0.35">
      <c r="C59787" s="2"/>
    </row>
    <row r="59788" spans="3:3" x14ac:dyDescent="0.35">
      <c r="C59788" s="2"/>
    </row>
    <row r="59789" spans="3:3" x14ac:dyDescent="0.35">
      <c r="C59789" s="2"/>
    </row>
    <row r="59790" spans="3:3" x14ac:dyDescent="0.35">
      <c r="C59790" s="2"/>
    </row>
    <row r="59791" spans="3:3" x14ac:dyDescent="0.35">
      <c r="C59791" s="2"/>
    </row>
    <row r="59792" spans="3:3" x14ac:dyDescent="0.35">
      <c r="C59792" s="2"/>
    </row>
    <row r="59793" spans="3:3" x14ac:dyDescent="0.35">
      <c r="C59793" s="2"/>
    </row>
    <row r="59794" spans="3:3" x14ac:dyDescent="0.35">
      <c r="C59794" s="2"/>
    </row>
    <row r="59795" spans="3:3" x14ac:dyDescent="0.35">
      <c r="C59795" s="2"/>
    </row>
    <row r="59796" spans="3:3" x14ac:dyDescent="0.35">
      <c r="C59796" s="2"/>
    </row>
    <row r="59797" spans="3:3" x14ac:dyDescent="0.35">
      <c r="C59797" s="2"/>
    </row>
    <row r="59798" spans="3:3" x14ac:dyDescent="0.35">
      <c r="C59798" s="2"/>
    </row>
    <row r="59799" spans="3:3" x14ac:dyDescent="0.35">
      <c r="C59799" s="2"/>
    </row>
    <row r="59800" spans="3:3" x14ac:dyDescent="0.35">
      <c r="C59800" s="2"/>
    </row>
    <row r="59801" spans="3:3" x14ac:dyDescent="0.35">
      <c r="C59801" s="2"/>
    </row>
    <row r="59802" spans="3:3" x14ac:dyDescent="0.35">
      <c r="C59802" s="2"/>
    </row>
    <row r="59803" spans="3:3" x14ac:dyDescent="0.35">
      <c r="C59803" s="2"/>
    </row>
    <row r="59804" spans="3:3" x14ac:dyDescent="0.35">
      <c r="C59804" s="2"/>
    </row>
    <row r="59805" spans="3:3" x14ac:dyDescent="0.35">
      <c r="C59805" s="2"/>
    </row>
    <row r="59806" spans="3:3" x14ac:dyDescent="0.35">
      <c r="C59806" s="2"/>
    </row>
    <row r="59807" spans="3:3" x14ac:dyDescent="0.35">
      <c r="C59807" s="2"/>
    </row>
    <row r="59808" spans="3:3" x14ac:dyDescent="0.35">
      <c r="C59808" s="2"/>
    </row>
    <row r="59809" spans="3:3" x14ac:dyDescent="0.35">
      <c r="C59809" s="2"/>
    </row>
    <row r="59810" spans="3:3" x14ac:dyDescent="0.35">
      <c r="C59810" s="2"/>
    </row>
    <row r="59811" spans="3:3" x14ac:dyDescent="0.35">
      <c r="C59811" s="2"/>
    </row>
    <row r="59812" spans="3:3" x14ac:dyDescent="0.35">
      <c r="C59812" s="2"/>
    </row>
    <row r="59813" spans="3:3" x14ac:dyDescent="0.35">
      <c r="C59813" s="2"/>
    </row>
    <row r="59814" spans="3:3" x14ac:dyDescent="0.35">
      <c r="C59814" s="2"/>
    </row>
    <row r="59815" spans="3:3" x14ac:dyDescent="0.35">
      <c r="C59815" s="2"/>
    </row>
    <row r="59816" spans="3:3" x14ac:dyDescent="0.35">
      <c r="C59816" s="2"/>
    </row>
    <row r="59817" spans="3:3" x14ac:dyDescent="0.35">
      <c r="C59817" s="2"/>
    </row>
    <row r="59818" spans="3:3" x14ac:dyDescent="0.35">
      <c r="C59818" s="2"/>
    </row>
    <row r="59819" spans="3:3" x14ac:dyDescent="0.35">
      <c r="C59819" s="2"/>
    </row>
    <row r="59820" spans="3:3" x14ac:dyDescent="0.35">
      <c r="C59820" s="2"/>
    </row>
    <row r="59821" spans="3:3" x14ac:dyDescent="0.35">
      <c r="C59821" s="2"/>
    </row>
    <row r="59822" spans="3:3" x14ac:dyDescent="0.35">
      <c r="C59822" s="2"/>
    </row>
    <row r="59823" spans="3:3" x14ac:dyDescent="0.35">
      <c r="C59823" s="2"/>
    </row>
    <row r="59824" spans="3:3" x14ac:dyDescent="0.35">
      <c r="C59824" s="2"/>
    </row>
    <row r="59825" spans="3:3" x14ac:dyDescent="0.35">
      <c r="C59825" s="2"/>
    </row>
    <row r="59826" spans="3:3" x14ac:dyDescent="0.35">
      <c r="C59826" s="2"/>
    </row>
    <row r="59827" spans="3:3" x14ac:dyDescent="0.35">
      <c r="C59827" s="2"/>
    </row>
    <row r="59828" spans="3:3" x14ac:dyDescent="0.35">
      <c r="C59828" s="2"/>
    </row>
    <row r="59829" spans="3:3" x14ac:dyDescent="0.35">
      <c r="C59829" s="2"/>
    </row>
    <row r="59830" spans="3:3" x14ac:dyDescent="0.35">
      <c r="C59830" s="2"/>
    </row>
    <row r="59831" spans="3:3" x14ac:dyDescent="0.35">
      <c r="C59831" s="2"/>
    </row>
    <row r="59832" spans="3:3" x14ac:dyDescent="0.35">
      <c r="C59832" s="2"/>
    </row>
    <row r="59833" spans="3:3" x14ac:dyDescent="0.35">
      <c r="C59833" s="2"/>
    </row>
    <row r="59834" spans="3:3" x14ac:dyDescent="0.35">
      <c r="C59834" s="2"/>
    </row>
    <row r="59835" spans="3:3" x14ac:dyDescent="0.35">
      <c r="C59835" s="2"/>
    </row>
    <row r="59836" spans="3:3" x14ac:dyDescent="0.35">
      <c r="C59836" s="2"/>
    </row>
    <row r="59837" spans="3:3" x14ac:dyDescent="0.35">
      <c r="C59837" s="2"/>
    </row>
    <row r="59838" spans="3:3" x14ac:dyDescent="0.35">
      <c r="C59838" s="2"/>
    </row>
    <row r="59839" spans="3:3" x14ac:dyDescent="0.35">
      <c r="C59839" s="2"/>
    </row>
    <row r="59840" spans="3:3" x14ac:dyDescent="0.35">
      <c r="C59840" s="2"/>
    </row>
    <row r="59841" spans="3:3" x14ac:dyDescent="0.35">
      <c r="C59841" s="2"/>
    </row>
    <row r="59842" spans="3:3" x14ac:dyDescent="0.35">
      <c r="C59842" s="2"/>
    </row>
    <row r="59843" spans="3:3" x14ac:dyDescent="0.35">
      <c r="C59843" s="2"/>
    </row>
    <row r="59844" spans="3:3" x14ac:dyDescent="0.35">
      <c r="C59844" s="2"/>
    </row>
    <row r="59845" spans="3:3" x14ac:dyDescent="0.35">
      <c r="C59845" s="2"/>
    </row>
    <row r="59846" spans="3:3" x14ac:dyDescent="0.35">
      <c r="C59846" s="2"/>
    </row>
    <row r="59847" spans="3:3" x14ac:dyDescent="0.35">
      <c r="C59847" s="2"/>
    </row>
    <row r="59848" spans="3:3" x14ac:dyDescent="0.35">
      <c r="C59848" s="2"/>
    </row>
    <row r="59849" spans="3:3" x14ac:dyDescent="0.35">
      <c r="C59849" s="2"/>
    </row>
    <row r="59850" spans="3:3" x14ac:dyDescent="0.35">
      <c r="C59850" s="2"/>
    </row>
    <row r="59851" spans="3:3" x14ac:dyDescent="0.35">
      <c r="C59851" s="2"/>
    </row>
    <row r="59852" spans="3:3" x14ac:dyDescent="0.35">
      <c r="C59852" s="2"/>
    </row>
    <row r="59853" spans="3:3" x14ac:dyDescent="0.35">
      <c r="C59853" s="2"/>
    </row>
    <row r="59854" spans="3:3" x14ac:dyDescent="0.35">
      <c r="C59854" s="2"/>
    </row>
    <row r="59855" spans="3:3" x14ac:dyDescent="0.35">
      <c r="C59855" s="2"/>
    </row>
    <row r="59856" spans="3:3" x14ac:dyDescent="0.35">
      <c r="C59856" s="2"/>
    </row>
    <row r="59857" spans="3:3" x14ac:dyDescent="0.35">
      <c r="C59857" s="2"/>
    </row>
    <row r="59858" spans="3:3" x14ac:dyDescent="0.35">
      <c r="C59858" s="2"/>
    </row>
    <row r="59859" spans="3:3" x14ac:dyDescent="0.35">
      <c r="C59859" s="2"/>
    </row>
    <row r="59860" spans="3:3" x14ac:dyDescent="0.35">
      <c r="C59860" s="2"/>
    </row>
    <row r="59861" spans="3:3" x14ac:dyDescent="0.35">
      <c r="C59861" s="2"/>
    </row>
    <row r="59862" spans="3:3" x14ac:dyDescent="0.35">
      <c r="C59862" s="2"/>
    </row>
    <row r="59863" spans="3:3" x14ac:dyDescent="0.35">
      <c r="C59863" s="2"/>
    </row>
    <row r="59864" spans="3:3" x14ac:dyDescent="0.35">
      <c r="C59864" s="2"/>
    </row>
    <row r="59865" spans="3:3" x14ac:dyDescent="0.35">
      <c r="C59865" s="2"/>
    </row>
    <row r="59866" spans="3:3" x14ac:dyDescent="0.35">
      <c r="C59866" s="2"/>
    </row>
    <row r="59867" spans="3:3" x14ac:dyDescent="0.35">
      <c r="C59867" s="2"/>
    </row>
    <row r="59868" spans="3:3" x14ac:dyDescent="0.35">
      <c r="C59868" s="2"/>
    </row>
    <row r="59869" spans="3:3" x14ac:dyDescent="0.35">
      <c r="C59869" s="2"/>
    </row>
    <row r="59870" spans="3:3" x14ac:dyDescent="0.35">
      <c r="C59870" s="2"/>
    </row>
    <row r="59871" spans="3:3" x14ac:dyDescent="0.35">
      <c r="C59871" s="2"/>
    </row>
    <row r="59872" spans="3:3" x14ac:dyDescent="0.35">
      <c r="C59872" s="2"/>
    </row>
    <row r="59873" spans="3:3" x14ac:dyDescent="0.35">
      <c r="C59873" s="2"/>
    </row>
    <row r="59874" spans="3:3" x14ac:dyDescent="0.35">
      <c r="C59874" s="2"/>
    </row>
    <row r="59875" spans="3:3" x14ac:dyDescent="0.35">
      <c r="C59875" s="2"/>
    </row>
    <row r="59876" spans="3:3" x14ac:dyDescent="0.35">
      <c r="C59876" s="2"/>
    </row>
    <row r="59877" spans="3:3" x14ac:dyDescent="0.35">
      <c r="C59877" s="2"/>
    </row>
    <row r="59878" spans="3:3" x14ac:dyDescent="0.35">
      <c r="C59878" s="2"/>
    </row>
    <row r="59879" spans="3:3" x14ac:dyDescent="0.35">
      <c r="C59879" s="2"/>
    </row>
    <row r="59880" spans="3:3" x14ac:dyDescent="0.35">
      <c r="C59880" s="2"/>
    </row>
    <row r="59881" spans="3:3" x14ac:dyDescent="0.35">
      <c r="C59881" s="2"/>
    </row>
    <row r="59882" spans="3:3" x14ac:dyDescent="0.35">
      <c r="C59882" s="2"/>
    </row>
    <row r="59883" spans="3:3" x14ac:dyDescent="0.35">
      <c r="C59883" s="2"/>
    </row>
    <row r="59884" spans="3:3" x14ac:dyDescent="0.35">
      <c r="C59884" s="2"/>
    </row>
    <row r="59885" spans="3:3" x14ac:dyDescent="0.35">
      <c r="C59885" s="2"/>
    </row>
    <row r="59886" spans="3:3" x14ac:dyDescent="0.35">
      <c r="C59886" s="2"/>
    </row>
    <row r="59887" spans="3:3" x14ac:dyDescent="0.35">
      <c r="C59887" s="2"/>
    </row>
    <row r="59888" spans="3:3" x14ac:dyDescent="0.35">
      <c r="C59888" s="2"/>
    </row>
    <row r="59889" spans="3:3" x14ac:dyDescent="0.35">
      <c r="C59889" s="2"/>
    </row>
    <row r="59890" spans="3:3" x14ac:dyDescent="0.35">
      <c r="C59890" s="2"/>
    </row>
    <row r="59891" spans="3:3" x14ac:dyDescent="0.35">
      <c r="C59891" s="2"/>
    </row>
    <row r="59892" spans="3:3" x14ac:dyDescent="0.35">
      <c r="C59892" s="2"/>
    </row>
    <row r="59893" spans="3:3" x14ac:dyDescent="0.35">
      <c r="C59893" s="2"/>
    </row>
    <row r="59894" spans="3:3" x14ac:dyDescent="0.35">
      <c r="C59894" s="2"/>
    </row>
    <row r="59895" spans="3:3" x14ac:dyDescent="0.35">
      <c r="C59895" s="2"/>
    </row>
    <row r="59896" spans="3:3" x14ac:dyDescent="0.35">
      <c r="C59896" s="2"/>
    </row>
    <row r="59897" spans="3:3" x14ac:dyDescent="0.35">
      <c r="C59897" s="2"/>
    </row>
    <row r="59898" spans="3:3" x14ac:dyDescent="0.35">
      <c r="C59898" s="2"/>
    </row>
    <row r="59899" spans="3:3" x14ac:dyDescent="0.35">
      <c r="C59899" s="2"/>
    </row>
    <row r="59900" spans="3:3" x14ac:dyDescent="0.35">
      <c r="C59900" s="2"/>
    </row>
    <row r="59901" spans="3:3" x14ac:dyDescent="0.35">
      <c r="C59901" s="2"/>
    </row>
    <row r="59902" spans="3:3" x14ac:dyDescent="0.35">
      <c r="C59902" s="2"/>
    </row>
    <row r="59903" spans="3:3" x14ac:dyDescent="0.35">
      <c r="C59903" s="2"/>
    </row>
    <row r="59904" spans="3:3" x14ac:dyDescent="0.35">
      <c r="C59904" s="2"/>
    </row>
    <row r="59905" spans="3:3" x14ac:dyDescent="0.35">
      <c r="C59905" s="2"/>
    </row>
    <row r="59906" spans="3:3" x14ac:dyDescent="0.35">
      <c r="C59906" s="2"/>
    </row>
    <row r="59907" spans="3:3" x14ac:dyDescent="0.35">
      <c r="C59907" s="2"/>
    </row>
    <row r="59908" spans="3:3" x14ac:dyDescent="0.35">
      <c r="C59908" s="2"/>
    </row>
    <row r="59909" spans="3:3" x14ac:dyDescent="0.35">
      <c r="C59909" s="2"/>
    </row>
    <row r="59910" spans="3:3" x14ac:dyDescent="0.35">
      <c r="C59910" s="2"/>
    </row>
    <row r="59911" spans="3:3" x14ac:dyDescent="0.35">
      <c r="C59911" s="2"/>
    </row>
    <row r="59912" spans="3:3" x14ac:dyDescent="0.35">
      <c r="C59912" s="2"/>
    </row>
    <row r="59913" spans="3:3" x14ac:dyDescent="0.35">
      <c r="C59913" s="2"/>
    </row>
    <row r="59914" spans="3:3" x14ac:dyDescent="0.35">
      <c r="C59914" s="2"/>
    </row>
    <row r="59915" spans="3:3" x14ac:dyDescent="0.35">
      <c r="C59915" s="2"/>
    </row>
    <row r="59916" spans="3:3" x14ac:dyDescent="0.35">
      <c r="C59916" s="2"/>
    </row>
    <row r="59917" spans="3:3" x14ac:dyDescent="0.35">
      <c r="C59917" s="2"/>
    </row>
    <row r="59918" spans="3:3" x14ac:dyDescent="0.35">
      <c r="C59918" s="2"/>
    </row>
    <row r="59919" spans="3:3" x14ac:dyDescent="0.35">
      <c r="C59919" s="2"/>
    </row>
    <row r="59920" spans="3:3" x14ac:dyDescent="0.35">
      <c r="C59920" s="2"/>
    </row>
    <row r="59921" spans="3:3" x14ac:dyDescent="0.35">
      <c r="C59921" s="2"/>
    </row>
    <row r="59922" spans="3:3" x14ac:dyDescent="0.35">
      <c r="C59922" s="2"/>
    </row>
    <row r="59923" spans="3:3" x14ac:dyDescent="0.35">
      <c r="C59923" s="2"/>
    </row>
    <row r="59924" spans="3:3" x14ac:dyDescent="0.35">
      <c r="C59924" s="2"/>
    </row>
    <row r="59925" spans="3:3" x14ac:dyDescent="0.35">
      <c r="C59925" s="2"/>
    </row>
    <row r="59926" spans="3:3" x14ac:dyDescent="0.35">
      <c r="C59926" s="2"/>
    </row>
    <row r="59927" spans="3:3" x14ac:dyDescent="0.35">
      <c r="C59927" s="2"/>
    </row>
    <row r="59928" spans="3:3" x14ac:dyDescent="0.35">
      <c r="C59928" s="2"/>
    </row>
    <row r="59929" spans="3:3" x14ac:dyDescent="0.35">
      <c r="C59929" s="2"/>
    </row>
    <row r="59930" spans="3:3" x14ac:dyDescent="0.35">
      <c r="C59930" s="2"/>
    </row>
    <row r="59931" spans="3:3" x14ac:dyDescent="0.35">
      <c r="C59931" s="2"/>
    </row>
    <row r="59932" spans="3:3" x14ac:dyDescent="0.35">
      <c r="C59932" s="2"/>
    </row>
    <row r="59933" spans="3:3" x14ac:dyDescent="0.35">
      <c r="C59933" s="2"/>
    </row>
    <row r="59934" spans="3:3" x14ac:dyDescent="0.35">
      <c r="C59934" s="2"/>
    </row>
    <row r="59935" spans="3:3" x14ac:dyDescent="0.35">
      <c r="C59935" s="2"/>
    </row>
    <row r="59936" spans="3:3" x14ac:dyDescent="0.35">
      <c r="C59936" s="2"/>
    </row>
    <row r="59937" spans="3:3" x14ac:dyDescent="0.35">
      <c r="C59937" s="2"/>
    </row>
    <row r="59938" spans="3:3" x14ac:dyDescent="0.35">
      <c r="C59938" s="2"/>
    </row>
    <row r="59939" spans="3:3" x14ac:dyDescent="0.35">
      <c r="C59939" s="2"/>
    </row>
    <row r="59940" spans="3:3" x14ac:dyDescent="0.35">
      <c r="C59940" s="2"/>
    </row>
    <row r="59941" spans="3:3" x14ac:dyDescent="0.35">
      <c r="C59941" s="2"/>
    </row>
    <row r="59942" spans="3:3" x14ac:dyDescent="0.35">
      <c r="C59942" s="2"/>
    </row>
    <row r="59943" spans="3:3" x14ac:dyDescent="0.35">
      <c r="C59943" s="2"/>
    </row>
    <row r="59944" spans="3:3" x14ac:dyDescent="0.35">
      <c r="C59944" s="2"/>
    </row>
    <row r="59945" spans="3:3" x14ac:dyDescent="0.35">
      <c r="C59945" s="2"/>
    </row>
    <row r="59946" spans="3:3" x14ac:dyDescent="0.35">
      <c r="C59946" s="2"/>
    </row>
    <row r="59947" spans="3:3" x14ac:dyDescent="0.35">
      <c r="C59947" s="2"/>
    </row>
    <row r="59948" spans="3:3" x14ac:dyDescent="0.35">
      <c r="C59948" s="2"/>
    </row>
    <row r="59949" spans="3:3" x14ac:dyDescent="0.35">
      <c r="C59949" s="2"/>
    </row>
    <row r="59950" spans="3:3" x14ac:dyDescent="0.35">
      <c r="C59950" s="2"/>
    </row>
    <row r="59951" spans="3:3" x14ac:dyDescent="0.35">
      <c r="C59951" s="2"/>
    </row>
    <row r="59952" spans="3:3" x14ac:dyDescent="0.35">
      <c r="C59952" s="2"/>
    </row>
    <row r="59953" spans="3:3" x14ac:dyDescent="0.35">
      <c r="C59953" s="2"/>
    </row>
    <row r="59954" spans="3:3" x14ac:dyDescent="0.35">
      <c r="C59954" s="2"/>
    </row>
    <row r="59955" spans="3:3" x14ac:dyDescent="0.35">
      <c r="C59955" s="2"/>
    </row>
    <row r="59956" spans="3:3" x14ac:dyDescent="0.35">
      <c r="C59956" s="2"/>
    </row>
    <row r="59957" spans="3:3" x14ac:dyDescent="0.35">
      <c r="C59957" s="2"/>
    </row>
    <row r="59958" spans="3:3" x14ac:dyDescent="0.35">
      <c r="C59958" s="2"/>
    </row>
    <row r="59959" spans="3:3" x14ac:dyDescent="0.35">
      <c r="C59959" s="2"/>
    </row>
    <row r="59960" spans="3:3" x14ac:dyDescent="0.35">
      <c r="C59960" s="2"/>
    </row>
    <row r="59961" spans="3:3" x14ac:dyDescent="0.35">
      <c r="C59961" s="2"/>
    </row>
    <row r="59962" spans="3:3" x14ac:dyDescent="0.35">
      <c r="C59962" s="2"/>
    </row>
    <row r="59963" spans="3:3" x14ac:dyDescent="0.35">
      <c r="C59963" s="2"/>
    </row>
    <row r="59964" spans="3:3" x14ac:dyDescent="0.35">
      <c r="C59964" s="2"/>
    </row>
    <row r="59965" spans="3:3" x14ac:dyDescent="0.35">
      <c r="C59965" s="2"/>
    </row>
    <row r="59966" spans="3:3" x14ac:dyDescent="0.35">
      <c r="C59966" s="2"/>
    </row>
    <row r="59967" spans="3:3" x14ac:dyDescent="0.35">
      <c r="C59967" s="2"/>
    </row>
    <row r="59968" spans="3:3" x14ac:dyDescent="0.35">
      <c r="C59968" s="2"/>
    </row>
    <row r="59969" spans="3:3" x14ac:dyDescent="0.35">
      <c r="C59969" s="2"/>
    </row>
    <row r="59970" spans="3:3" x14ac:dyDescent="0.35">
      <c r="C59970" s="2"/>
    </row>
    <row r="59971" spans="3:3" x14ac:dyDescent="0.35">
      <c r="C59971" s="2"/>
    </row>
    <row r="59972" spans="3:3" x14ac:dyDescent="0.35">
      <c r="C59972" s="2"/>
    </row>
    <row r="59973" spans="3:3" x14ac:dyDescent="0.35">
      <c r="C59973" s="2"/>
    </row>
    <row r="59974" spans="3:3" x14ac:dyDescent="0.35">
      <c r="C59974" s="2"/>
    </row>
    <row r="59975" spans="3:3" x14ac:dyDescent="0.35">
      <c r="C59975" s="2"/>
    </row>
    <row r="59976" spans="3:3" x14ac:dyDescent="0.35">
      <c r="C59976" s="2"/>
    </row>
    <row r="59977" spans="3:3" x14ac:dyDescent="0.35">
      <c r="C59977" s="2"/>
    </row>
    <row r="59978" spans="3:3" x14ac:dyDescent="0.35">
      <c r="C59978" s="2"/>
    </row>
    <row r="59979" spans="3:3" x14ac:dyDescent="0.35">
      <c r="C59979" s="2"/>
    </row>
    <row r="59980" spans="3:3" x14ac:dyDescent="0.35">
      <c r="C59980" s="2"/>
    </row>
    <row r="59981" spans="3:3" x14ac:dyDescent="0.35">
      <c r="C59981" s="2"/>
    </row>
    <row r="59982" spans="3:3" x14ac:dyDescent="0.35">
      <c r="C59982" s="2"/>
    </row>
    <row r="59983" spans="3:3" x14ac:dyDescent="0.35">
      <c r="C59983" s="2"/>
    </row>
    <row r="59984" spans="3:3" x14ac:dyDescent="0.35">
      <c r="C59984" s="2"/>
    </row>
    <row r="59985" spans="3:3" x14ac:dyDescent="0.35">
      <c r="C59985" s="2"/>
    </row>
    <row r="59986" spans="3:3" x14ac:dyDescent="0.35">
      <c r="C59986" s="2"/>
    </row>
    <row r="59987" spans="3:3" x14ac:dyDescent="0.35">
      <c r="C59987" s="2"/>
    </row>
    <row r="59988" spans="3:3" x14ac:dyDescent="0.35">
      <c r="C59988" s="2"/>
    </row>
    <row r="59989" spans="3:3" x14ac:dyDescent="0.35">
      <c r="C59989" s="2"/>
    </row>
    <row r="59990" spans="3:3" x14ac:dyDescent="0.35">
      <c r="C59990" s="2"/>
    </row>
    <row r="59991" spans="3:3" x14ac:dyDescent="0.35">
      <c r="C59991" s="2"/>
    </row>
    <row r="59992" spans="3:3" x14ac:dyDescent="0.35">
      <c r="C59992" s="2"/>
    </row>
    <row r="59993" spans="3:3" x14ac:dyDescent="0.35">
      <c r="C59993" s="2"/>
    </row>
    <row r="59994" spans="3:3" x14ac:dyDescent="0.35">
      <c r="C59994" s="2"/>
    </row>
    <row r="59995" spans="3:3" x14ac:dyDescent="0.35">
      <c r="C59995" s="2"/>
    </row>
    <row r="59996" spans="3:3" x14ac:dyDescent="0.35">
      <c r="C59996" s="2"/>
    </row>
    <row r="59997" spans="3:3" x14ac:dyDescent="0.35">
      <c r="C59997" s="2"/>
    </row>
    <row r="59998" spans="3:3" x14ac:dyDescent="0.35">
      <c r="C59998" s="2"/>
    </row>
    <row r="59999" spans="3:3" x14ac:dyDescent="0.35">
      <c r="C59999" s="2"/>
    </row>
    <row r="60000" spans="3:3" x14ac:dyDescent="0.35">
      <c r="C60000" s="2"/>
    </row>
    <row r="60001" spans="3:3" x14ac:dyDescent="0.35">
      <c r="C60001" s="2"/>
    </row>
    <row r="60002" spans="3:3" x14ac:dyDescent="0.35">
      <c r="C60002" s="2"/>
    </row>
    <row r="60003" spans="3:3" x14ac:dyDescent="0.35">
      <c r="C60003" s="2"/>
    </row>
    <row r="60004" spans="3:3" x14ac:dyDescent="0.35">
      <c r="C60004" s="2"/>
    </row>
    <row r="60005" spans="3:3" x14ac:dyDescent="0.35">
      <c r="C60005" s="2"/>
    </row>
    <row r="60006" spans="3:3" x14ac:dyDescent="0.35">
      <c r="C60006" s="2"/>
    </row>
    <row r="60007" spans="3:3" x14ac:dyDescent="0.35">
      <c r="C60007" s="2"/>
    </row>
    <row r="60008" spans="3:3" x14ac:dyDescent="0.35">
      <c r="C60008" s="2"/>
    </row>
    <row r="60009" spans="3:3" x14ac:dyDescent="0.35">
      <c r="C60009" s="2"/>
    </row>
    <row r="60010" spans="3:3" x14ac:dyDescent="0.35">
      <c r="C60010" s="2"/>
    </row>
    <row r="60011" spans="3:3" x14ac:dyDescent="0.35">
      <c r="C60011" s="2"/>
    </row>
    <row r="60012" spans="3:3" x14ac:dyDescent="0.35">
      <c r="C60012" s="2"/>
    </row>
    <row r="60013" spans="3:3" x14ac:dyDescent="0.35">
      <c r="C60013" s="2"/>
    </row>
    <row r="60014" spans="3:3" x14ac:dyDescent="0.35">
      <c r="C60014" s="2"/>
    </row>
    <row r="60015" spans="3:3" x14ac:dyDescent="0.35">
      <c r="C60015" s="2"/>
    </row>
    <row r="60016" spans="3:3" x14ac:dyDescent="0.35">
      <c r="C60016" s="2"/>
    </row>
    <row r="60017" spans="3:3" x14ac:dyDescent="0.35">
      <c r="C60017" s="2"/>
    </row>
    <row r="60018" spans="3:3" x14ac:dyDescent="0.35">
      <c r="C60018" s="2"/>
    </row>
    <row r="60019" spans="3:3" x14ac:dyDescent="0.35">
      <c r="C60019" s="2"/>
    </row>
    <row r="60020" spans="3:3" x14ac:dyDescent="0.35">
      <c r="C60020" s="2"/>
    </row>
    <row r="60021" spans="3:3" x14ac:dyDescent="0.35">
      <c r="C60021" s="2"/>
    </row>
    <row r="60022" spans="3:3" x14ac:dyDescent="0.35">
      <c r="C60022" s="2"/>
    </row>
    <row r="60023" spans="3:3" x14ac:dyDescent="0.35">
      <c r="C60023" s="2"/>
    </row>
    <row r="60024" spans="3:3" x14ac:dyDescent="0.35">
      <c r="C60024" s="2"/>
    </row>
    <row r="60025" spans="3:3" x14ac:dyDescent="0.35">
      <c r="C60025" s="2"/>
    </row>
    <row r="60026" spans="3:3" x14ac:dyDescent="0.35">
      <c r="C60026" s="2"/>
    </row>
    <row r="60027" spans="3:3" x14ac:dyDescent="0.35">
      <c r="C60027" s="2"/>
    </row>
    <row r="60028" spans="3:3" x14ac:dyDescent="0.35">
      <c r="C60028" s="2"/>
    </row>
    <row r="60029" spans="3:3" x14ac:dyDescent="0.35">
      <c r="C60029" s="2"/>
    </row>
    <row r="60030" spans="3:3" x14ac:dyDescent="0.35">
      <c r="C60030" s="2"/>
    </row>
    <row r="60031" spans="3:3" x14ac:dyDescent="0.35">
      <c r="C60031" s="2"/>
    </row>
    <row r="60032" spans="3:3" x14ac:dyDescent="0.35">
      <c r="C60032" s="2"/>
    </row>
    <row r="60033" spans="3:3" x14ac:dyDescent="0.35">
      <c r="C60033" s="2"/>
    </row>
    <row r="60034" spans="3:3" x14ac:dyDescent="0.35">
      <c r="C60034" s="2"/>
    </row>
    <row r="60035" spans="3:3" x14ac:dyDescent="0.35">
      <c r="C60035" s="2"/>
    </row>
    <row r="60036" spans="3:3" x14ac:dyDescent="0.35">
      <c r="C60036" s="2"/>
    </row>
    <row r="60037" spans="3:3" x14ac:dyDescent="0.35">
      <c r="C60037" s="2"/>
    </row>
    <row r="60038" spans="3:3" x14ac:dyDescent="0.35">
      <c r="C60038" s="2"/>
    </row>
    <row r="60039" spans="3:3" x14ac:dyDescent="0.35">
      <c r="C60039" s="2"/>
    </row>
    <row r="60040" spans="3:3" x14ac:dyDescent="0.35">
      <c r="C60040" s="2"/>
    </row>
    <row r="60041" spans="3:3" x14ac:dyDescent="0.35">
      <c r="C60041" s="2"/>
    </row>
    <row r="60042" spans="3:3" x14ac:dyDescent="0.35">
      <c r="C60042" s="2"/>
    </row>
    <row r="60043" spans="3:3" x14ac:dyDescent="0.35">
      <c r="C60043" s="2"/>
    </row>
    <row r="60044" spans="3:3" x14ac:dyDescent="0.35">
      <c r="C60044" s="2"/>
    </row>
    <row r="60045" spans="3:3" x14ac:dyDescent="0.35">
      <c r="C60045" s="2"/>
    </row>
    <row r="60046" spans="3:3" x14ac:dyDescent="0.35">
      <c r="C60046" s="2"/>
    </row>
    <row r="60047" spans="3:3" x14ac:dyDescent="0.35">
      <c r="C60047" s="2"/>
    </row>
    <row r="60048" spans="3:3" x14ac:dyDescent="0.35">
      <c r="C60048" s="2"/>
    </row>
    <row r="60049" spans="3:3" x14ac:dyDescent="0.35">
      <c r="C60049" s="2"/>
    </row>
    <row r="60050" spans="3:3" x14ac:dyDescent="0.35">
      <c r="C60050" s="2"/>
    </row>
    <row r="60051" spans="3:3" x14ac:dyDescent="0.35">
      <c r="C60051" s="2"/>
    </row>
    <row r="60052" spans="3:3" x14ac:dyDescent="0.35">
      <c r="C60052" s="2"/>
    </row>
    <row r="60053" spans="3:3" x14ac:dyDescent="0.35">
      <c r="C60053" s="2"/>
    </row>
    <row r="60054" spans="3:3" x14ac:dyDescent="0.35">
      <c r="C60054" s="2"/>
    </row>
    <row r="60055" spans="3:3" x14ac:dyDescent="0.35">
      <c r="C60055" s="2"/>
    </row>
    <row r="60056" spans="3:3" x14ac:dyDescent="0.35">
      <c r="C60056" s="2"/>
    </row>
    <row r="60057" spans="3:3" x14ac:dyDescent="0.35">
      <c r="C60057" s="2"/>
    </row>
    <row r="60058" spans="3:3" x14ac:dyDescent="0.35">
      <c r="C60058" s="2"/>
    </row>
    <row r="60059" spans="3:3" x14ac:dyDescent="0.35">
      <c r="C60059" s="2"/>
    </row>
    <row r="60060" spans="3:3" x14ac:dyDescent="0.35">
      <c r="C60060" s="2"/>
    </row>
    <row r="60061" spans="3:3" x14ac:dyDescent="0.35">
      <c r="C60061" s="2"/>
    </row>
    <row r="60062" spans="3:3" x14ac:dyDescent="0.35">
      <c r="C60062" s="2"/>
    </row>
    <row r="60063" spans="3:3" x14ac:dyDescent="0.35">
      <c r="C60063" s="2"/>
    </row>
    <row r="60064" spans="3:3" x14ac:dyDescent="0.35">
      <c r="C60064" s="2"/>
    </row>
    <row r="60065" spans="3:3" x14ac:dyDescent="0.35">
      <c r="C60065" s="2"/>
    </row>
    <row r="60066" spans="3:3" x14ac:dyDescent="0.35">
      <c r="C60066" s="2"/>
    </row>
    <row r="60067" spans="3:3" x14ac:dyDescent="0.35">
      <c r="C60067" s="2"/>
    </row>
    <row r="60068" spans="3:3" x14ac:dyDescent="0.35">
      <c r="C60068" s="2"/>
    </row>
    <row r="60069" spans="3:3" x14ac:dyDescent="0.35">
      <c r="C60069" s="2"/>
    </row>
    <row r="60070" spans="3:3" x14ac:dyDescent="0.35">
      <c r="C60070" s="2"/>
    </row>
    <row r="60071" spans="3:3" x14ac:dyDescent="0.35">
      <c r="C60071" s="2"/>
    </row>
    <row r="60072" spans="3:3" x14ac:dyDescent="0.35">
      <c r="C60072" s="2"/>
    </row>
    <row r="60073" spans="3:3" x14ac:dyDescent="0.35">
      <c r="C60073" s="2"/>
    </row>
    <row r="60074" spans="3:3" x14ac:dyDescent="0.35">
      <c r="C60074" s="2"/>
    </row>
    <row r="60075" spans="3:3" x14ac:dyDescent="0.35">
      <c r="C60075" s="2"/>
    </row>
    <row r="60076" spans="3:3" x14ac:dyDescent="0.35">
      <c r="C60076" s="2"/>
    </row>
    <row r="60077" spans="3:3" x14ac:dyDescent="0.35">
      <c r="C60077" s="2"/>
    </row>
    <row r="60078" spans="3:3" x14ac:dyDescent="0.35">
      <c r="C60078" s="2"/>
    </row>
    <row r="60079" spans="3:3" x14ac:dyDescent="0.35">
      <c r="C60079" s="2"/>
    </row>
    <row r="60080" spans="3:3" x14ac:dyDescent="0.35">
      <c r="C60080" s="2"/>
    </row>
    <row r="60081" spans="3:3" x14ac:dyDescent="0.35">
      <c r="C60081" s="2"/>
    </row>
    <row r="60082" spans="3:3" x14ac:dyDescent="0.35">
      <c r="C60082" s="2"/>
    </row>
    <row r="60083" spans="3:3" x14ac:dyDescent="0.35">
      <c r="C60083" s="2"/>
    </row>
    <row r="60084" spans="3:3" x14ac:dyDescent="0.35">
      <c r="C60084" s="2"/>
    </row>
    <row r="60085" spans="3:3" x14ac:dyDescent="0.35">
      <c r="C60085" s="2"/>
    </row>
    <row r="60086" spans="3:3" x14ac:dyDescent="0.35">
      <c r="C60086" s="2"/>
    </row>
    <row r="60087" spans="3:3" x14ac:dyDescent="0.35">
      <c r="C60087" s="2"/>
    </row>
    <row r="60088" spans="3:3" x14ac:dyDescent="0.35">
      <c r="C60088" s="2"/>
    </row>
    <row r="60089" spans="3:3" x14ac:dyDescent="0.35">
      <c r="C60089" s="2"/>
    </row>
    <row r="60090" spans="3:3" x14ac:dyDescent="0.35">
      <c r="C60090" s="2"/>
    </row>
    <row r="60091" spans="3:3" x14ac:dyDescent="0.35">
      <c r="C60091" s="2"/>
    </row>
    <row r="60092" spans="3:3" x14ac:dyDescent="0.35">
      <c r="C60092" s="2"/>
    </row>
    <row r="60093" spans="3:3" x14ac:dyDescent="0.35">
      <c r="C60093" s="2"/>
    </row>
    <row r="60094" spans="3:3" x14ac:dyDescent="0.35">
      <c r="C60094" s="2"/>
    </row>
    <row r="60095" spans="3:3" x14ac:dyDescent="0.35">
      <c r="C60095" s="2"/>
    </row>
    <row r="60096" spans="3:3" x14ac:dyDescent="0.35">
      <c r="C60096" s="2"/>
    </row>
    <row r="60097" spans="3:3" x14ac:dyDescent="0.35">
      <c r="C60097" s="2"/>
    </row>
    <row r="60098" spans="3:3" x14ac:dyDescent="0.35">
      <c r="C60098" s="2"/>
    </row>
    <row r="60099" spans="3:3" x14ac:dyDescent="0.35">
      <c r="C60099" s="2"/>
    </row>
    <row r="60100" spans="3:3" x14ac:dyDescent="0.35">
      <c r="C60100" s="2"/>
    </row>
    <row r="60101" spans="3:3" x14ac:dyDescent="0.35">
      <c r="C60101" s="2"/>
    </row>
    <row r="60102" spans="3:3" x14ac:dyDescent="0.35">
      <c r="C60102" s="2"/>
    </row>
    <row r="60103" spans="3:3" x14ac:dyDescent="0.35">
      <c r="C60103" s="2"/>
    </row>
    <row r="60104" spans="3:3" x14ac:dyDescent="0.35">
      <c r="C60104" s="2"/>
    </row>
    <row r="60105" spans="3:3" x14ac:dyDescent="0.35">
      <c r="C60105" s="2"/>
    </row>
    <row r="60106" spans="3:3" x14ac:dyDescent="0.35">
      <c r="C60106" s="2"/>
    </row>
    <row r="60107" spans="3:3" x14ac:dyDescent="0.35">
      <c r="C60107" s="2"/>
    </row>
    <row r="60108" spans="3:3" x14ac:dyDescent="0.35">
      <c r="C60108" s="2"/>
    </row>
    <row r="60109" spans="3:3" x14ac:dyDescent="0.35">
      <c r="C60109" s="2"/>
    </row>
    <row r="60110" spans="3:3" x14ac:dyDescent="0.35">
      <c r="C60110" s="2"/>
    </row>
    <row r="60111" spans="3:3" x14ac:dyDescent="0.35">
      <c r="C60111" s="2"/>
    </row>
    <row r="60112" spans="3:3" x14ac:dyDescent="0.35">
      <c r="C60112" s="2"/>
    </row>
    <row r="60113" spans="3:3" x14ac:dyDescent="0.35">
      <c r="C60113" s="2"/>
    </row>
    <row r="60114" spans="3:3" x14ac:dyDescent="0.35">
      <c r="C60114" s="2"/>
    </row>
    <row r="60115" spans="3:3" x14ac:dyDescent="0.35">
      <c r="C60115" s="2"/>
    </row>
    <row r="60116" spans="3:3" x14ac:dyDescent="0.35">
      <c r="C60116" s="2"/>
    </row>
    <row r="60117" spans="3:3" x14ac:dyDescent="0.35">
      <c r="C60117" s="2"/>
    </row>
    <row r="60118" spans="3:3" x14ac:dyDescent="0.35">
      <c r="C60118" s="2"/>
    </row>
    <row r="60119" spans="3:3" x14ac:dyDescent="0.35">
      <c r="C60119" s="2"/>
    </row>
    <row r="60120" spans="3:3" x14ac:dyDescent="0.35">
      <c r="C60120" s="2"/>
    </row>
    <row r="60121" spans="3:3" x14ac:dyDescent="0.35">
      <c r="C60121" s="2"/>
    </row>
    <row r="60122" spans="3:3" x14ac:dyDescent="0.35">
      <c r="C60122" s="2"/>
    </row>
    <row r="60123" spans="3:3" x14ac:dyDescent="0.35">
      <c r="C60123" s="2"/>
    </row>
    <row r="60124" spans="3:3" x14ac:dyDescent="0.35">
      <c r="C60124" s="2"/>
    </row>
    <row r="60125" spans="3:3" x14ac:dyDescent="0.35">
      <c r="C60125" s="2"/>
    </row>
    <row r="60126" spans="3:3" x14ac:dyDescent="0.35">
      <c r="C60126" s="2"/>
    </row>
    <row r="60127" spans="3:3" x14ac:dyDescent="0.35">
      <c r="C60127" s="2"/>
    </row>
    <row r="60128" spans="3:3" x14ac:dyDescent="0.35">
      <c r="C60128" s="2"/>
    </row>
    <row r="60129" spans="3:3" x14ac:dyDescent="0.35">
      <c r="C60129" s="2"/>
    </row>
    <row r="60130" spans="3:3" x14ac:dyDescent="0.35">
      <c r="C60130" s="2"/>
    </row>
    <row r="60131" spans="3:3" x14ac:dyDescent="0.35">
      <c r="C60131" s="2"/>
    </row>
    <row r="60132" spans="3:3" x14ac:dyDescent="0.35">
      <c r="C60132" s="2"/>
    </row>
    <row r="60133" spans="3:3" x14ac:dyDescent="0.35">
      <c r="C60133" s="2"/>
    </row>
    <row r="60134" spans="3:3" x14ac:dyDescent="0.35">
      <c r="C60134" s="2"/>
    </row>
    <row r="60135" spans="3:3" x14ac:dyDescent="0.35">
      <c r="C60135" s="2"/>
    </row>
    <row r="60136" spans="3:3" x14ac:dyDescent="0.35">
      <c r="C60136" s="2"/>
    </row>
    <row r="60137" spans="3:3" x14ac:dyDescent="0.35">
      <c r="C60137" s="2"/>
    </row>
    <row r="60138" spans="3:3" x14ac:dyDescent="0.35">
      <c r="C60138" s="2"/>
    </row>
    <row r="60139" spans="3:3" x14ac:dyDescent="0.35">
      <c r="C60139" s="2"/>
    </row>
    <row r="60140" spans="3:3" x14ac:dyDescent="0.35">
      <c r="C60140" s="2"/>
    </row>
    <row r="60141" spans="3:3" x14ac:dyDescent="0.35">
      <c r="C60141" s="2"/>
    </row>
    <row r="60142" spans="3:3" x14ac:dyDescent="0.35">
      <c r="C60142" s="2"/>
    </row>
    <row r="60143" spans="3:3" x14ac:dyDescent="0.35">
      <c r="C60143" s="2"/>
    </row>
    <row r="60144" spans="3:3" x14ac:dyDescent="0.35">
      <c r="C60144" s="2"/>
    </row>
    <row r="60145" spans="3:3" x14ac:dyDescent="0.35">
      <c r="C60145" s="2"/>
    </row>
    <row r="60146" spans="3:3" x14ac:dyDescent="0.35">
      <c r="C60146" s="2"/>
    </row>
    <row r="60147" spans="3:3" x14ac:dyDescent="0.35">
      <c r="C60147" s="2"/>
    </row>
    <row r="60148" spans="3:3" x14ac:dyDescent="0.35">
      <c r="C60148" s="2"/>
    </row>
    <row r="60149" spans="3:3" x14ac:dyDescent="0.35">
      <c r="C60149" s="2"/>
    </row>
    <row r="60150" spans="3:3" x14ac:dyDescent="0.35">
      <c r="C60150" s="2"/>
    </row>
    <row r="60151" spans="3:3" x14ac:dyDescent="0.35">
      <c r="C60151" s="2"/>
    </row>
    <row r="60152" spans="3:3" x14ac:dyDescent="0.35">
      <c r="C60152" s="2"/>
    </row>
    <row r="60153" spans="3:3" x14ac:dyDescent="0.35">
      <c r="C60153" s="2"/>
    </row>
    <row r="60154" spans="3:3" x14ac:dyDescent="0.35">
      <c r="C60154" s="2"/>
    </row>
    <row r="60155" spans="3:3" x14ac:dyDescent="0.35">
      <c r="C60155" s="2"/>
    </row>
    <row r="60156" spans="3:3" x14ac:dyDescent="0.35">
      <c r="C60156" s="2"/>
    </row>
    <row r="60157" spans="3:3" x14ac:dyDescent="0.35">
      <c r="C60157" s="2"/>
    </row>
    <row r="60158" spans="3:3" x14ac:dyDescent="0.35">
      <c r="C60158" s="2"/>
    </row>
    <row r="60159" spans="3:3" x14ac:dyDescent="0.35">
      <c r="C60159" s="2"/>
    </row>
    <row r="60160" spans="3:3" x14ac:dyDescent="0.35">
      <c r="C60160" s="2"/>
    </row>
    <row r="60161" spans="3:3" x14ac:dyDescent="0.35">
      <c r="C60161" s="2"/>
    </row>
    <row r="60162" spans="3:3" x14ac:dyDescent="0.35">
      <c r="C60162" s="2"/>
    </row>
    <row r="60163" spans="3:3" x14ac:dyDescent="0.35">
      <c r="C60163" s="2"/>
    </row>
    <row r="60164" spans="3:3" x14ac:dyDescent="0.35">
      <c r="C60164" s="2"/>
    </row>
    <row r="60165" spans="3:3" x14ac:dyDescent="0.35">
      <c r="C60165" s="2"/>
    </row>
    <row r="60166" spans="3:3" x14ac:dyDescent="0.35">
      <c r="C60166" s="2"/>
    </row>
    <row r="60167" spans="3:3" x14ac:dyDescent="0.35">
      <c r="C60167" s="2"/>
    </row>
    <row r="60168" spans="3:3" x14ac:dyDescent="0.35">
      <c r="C60168" s="2"/>
    </row>
    <row r="60169" spans="3:3" x14ac:dyDescent="0.35">
      <c r="C60169" s="2"/>
    </row>
    <row r="60170" spans="3:3" x14ac:dyDescent="0.35">
      <c r="C60170" s="2"/>
    </row>
    <row r="60171" spans="3:3" x14ac:dyDescent="0.35">
      <c r="C60171" s="2"/>
    </row>
    <row r="60172" spans="3:3" x14ac:dyDescent="0.35">
      <c r="C60172" s="2"/>
    </row>
    <row r="60173" spans="3:3" x14ac:dyDescent="0.35">
      <c r="C60173" s="2"/>
    </row>
    <row r="60174" spans="3:3" x14ac:dyDescent="0.35">
      <c r="C60174" s="2"/>
    </row>
    <row r="60175" spans="3:3" x14ac:dyDescent="0.35">
      <c r="C60175" s="2"/>
    </row>
    <row r="60176" spans="3:3" x14ac:dyDescent="0.35">
      <c r="C60176" s="2"/>
    </row>
    <row r="60177" spans="3:3" x14ac:dyDescent="0.35">
      <c r="C60177" s="2"/>
    </row>
    <row r="60178" spans="3:3" x14ac:dyDescent="0.35">
      <c r="C60178" s="2"/>
    </row>
    <row r="60179" spans="3:3" x14ac:dyDescent="0.35">
      <c r="C60179" s="2"/>
    </row>
    <row r="60180" spans="3:3" x14ac:dyDescent="0.35">
      <c r="C60180" s="2"/>
    </row>
    <row r="60181" spans="3:3" x14ac:dyDescent="0.35">
      <c r="C60181" s="2"/>
    </row>
    <row r="60182" spans="3:3" x14ac:dyDescent="0.35">
      <c r="C60182" s="2"/>
    </row>
    <row r="60183" spans="3:3" x14ac:dyDescent="0.35">
      <c r="C60183" s="2"/>
    </row>
    <row r="60184" spans="3:3" x14ac:dyDescent="0.35">
      <c r="C60184" s="2"/>
    </row>
    <row r="60185" spans="3:3" x14ac:dyDescent="0.35">
      <c r="C60185" s="2"/>
    </row>
    <row r="60186" spans="3:3" x14ac:dyDescent="0.35">
      <c r="C60186" s="2"/>
    </row>
    <row r="60187" spans="3:3" x14ac:dyDescent="0.35">
      <c r="C60187" s="2"/>
    </row>
    <row r="60188" spans="3:3" x14ac:dyDescent="0.35">
      <c r="C60188" s="2"/>
    </row>
    <row r="60189" spans="3:3" x14ac:dyDescent="0.35">
      <c r="C60189" s="2"/>
    </row>
    <row r="60190" spans="3:3" x14ac:dyDescent="0.35">
      <c r="C60190" s="2"/>
    </row>
    <row r="60191" spans="3:3" x14ac:dyDescent="0.35">
      <c r="C60191" s="2"/>
    </row>
    <row r="60192" spans="3:3" x14ac:dyDescent="0.35">
      <c r="C60192" s="2"/>
    </row>
    <row r="60193" spans="3:3" x14ac:dyDescent="0.35">
      <c r="C60193" s="2"/>
    </row>
    <row r="60194" spans="3:3" x14ac:dyDescent="0.35">
      <c r="C60194" s="2"/>
    </row>
    <row r="60195" spans="3:3" x14ac:dyDescent="0.35">
      <c r="C60195" s="2"/>
    </row>
    <row r="60196" spans="3:3" x14ac:dyDescent="0.35">
      <c r="C60196" s="2"/>
    </row>
    <row r="60197" spans="3:3" x14ac:dyDescent="0.35">
      <c r="C60197" s="2"/>
    </row>
    <row r="60198" spans="3:3" x14ac:dyDescent="0.35">
      <c r="C60198" s="2"/>
    </row>
    <row r="60199" spans="3:3" x14ac:dyDescent="0.35">
      <c r="C60199" s="2"/>
    </row>
    <row r="60200" spans="3:3" x14ac:dyDescent="0.35">
      <c r="C60200" s="2"/>
    </row>
    <row r="60201" spans="3:3" x14ac:dyDescent="0.35">
      <c r="C60201" s="2"/>
    </row>
    <row r="60202" spans="3:3" x14ac:dyDescent="0.35">
      <c r="C60202" s="2"/>
    </row>
    <row r="60203" spans="3:3" x14ac:dyDescent="0.35">
      <c r="C60203" s="2"/>
    </row>
    <row r="60204" spans="3:3" x14ac:dyDescent="0.35">
      <c r="C60204" s="2"/>
    </row>
    <row r="60205" spans="3:3" x14ac:dyDescent="0.35">
      <c r="C60205" s="2"/>
    </row>
    <row r="60206" spans="3:3" x14ac:dyDescent="0.35">
      <c r="C60206" s="2"/>
    </row>
    <row r="60207" spans="3:3" x14ac:dyDescent="0.35">
      <c r="C60207" s="2"/>
    </row>
    <row r="60208" spans="3:3" x14ac:dyDescent="0.35">
      <c r="C60208" s="2"/>
    </row>
    <row r="60209" spans="3:3" x14ac:dyDescent="0.35">
      <c r="C60209" s="2"/>
    </row>
    <row r="60210" spans="3:3" x14ac:dyDescent="0.35">
      <c r="C60210" s="2"/>
    </row>
    <row r="60211" spans="3:3" x14ac:dyDescent="0.35">
      <c r="C60211" s="2"/>
    </row>
    <row r="60212" spans="3:3" x14ac:dyDescent="0.35">
      <c r="C60212" s="2"/>
    </row>
    <row r="60213" spans="3:3" x14ac:dyDescent="0.35">
      <c r="C60213" s="2"/>
    </row>
    <row r="60214" spans="3:3" x14ac:dyDescent="0.35">
      <c r="C60214" s="2"/>
    </row>
    <row r="60215" spans="3:3" x14ac:dyDescent="0.35">
      <c r="C60215" s="2"/>
    </row>
    <row r="60216" spans="3:3" x14ac:dyDescent="0.35">
      <c r="C60216" s="2"/>
    </row>
    <row r="60217" spans="3:3" x14ac:dyDescent="0.35">
      <c r="C60217" s="2"/>
    </row>
    <row r="60218" spans="3:3" x14ac:dyDescent="0.35">
      <c r="C60218" s="2"/>
    </row>
    <row r="60219" spans="3:3" x14ac:dyDescent="0.35">
      <c r="C60219" s="2"/>
    </row>
    <row r="60220" spans="3:3" x14ac:dyDescent="0.35">
      <c r="C60220" s="2"/>
    </row>
    <row r="60221" spans="3:3" x14ac:dyDescent="0.35">
      <c r="C60221" s="2"/>
    </row>
    <row r="60222" spans="3:3" x14ac:dyDescent="0.35">
      <c r="C60222" s="2"/>
    </row>
    <row r="60223" spans="3:3" x14ac:dyDescent="0.35">
      <c r="C60223" s="2"/>
    </row>
    <row r="60224" spans="3:3" x14ac:dyDescent="0.35">
      <c r="C60224" s="2"/>
    </row>
    <row r="60225" spans="3:3" x14ac:dyDescent="0.35">
      <c r="C60225" s="2"/>
    </row>
    <row r="60226" spans="3:3" x14ac:dyDescent="0.35">
      <c r="C60226" s="2"/>
    </row>
    <row r="60227" spans="3:3" x14ac:dyDescent="0.35">
      <c r="C60227" s="2"/>
    </row>
    <row r="60228" spans="3:3" x14ac:dyDescent="0.35">
      <c r="C60228" s="2"/>
    </row>
    <row r="60229" spans="3:3" x14ac:dyDescent="0.35">
      <c r="C60229" s="2"/>
    </row>
    <row r="60230" spans="3:3" x14ac:dyDescent="0.35">
      <c r="C60230" s="2"/>
    </row>
    <row r="60231" spans="3:3" x14ac:dyDescent="0.35">
      <c r="C60231" s="2"/>
    </row>
    <row r="60232" spans="3:3" x14ac:dyDescent="0.35">
      <c r="C60232" s="2"/>
    </row>
    <row r="60233" spans="3:3" x14ac:dyDescent="0.35">
      <c r="C60233" s="2"/>
    </row>
    <row r="60234" spans="3:3" x14ac:dyDescent="0.35">
      <c r="C60234" s="2"/>
    </row>
    <row r="60235" spans="3:3" x14ac:dyDescent="0.35">
      <c r="C60235" s="2"/>
    </row>
    <row r="60236" spans="3:3" x14ac:dyDescent="0.35">
      <c r="C60236" s="2"/>
    </row>
    <row r="60237" spans="3:3" x14ac:dyDescent="0.35">
      <c r="C60237" s="2"/>
    </row>
    <row r="60238" spans="3:3" x14ac:dyDescent="0.35">
      <c r="C60238" s="2"/>
    </row>
    <row r="60239" spans="3:3" x14ac:dyDescent="0.35">
      <c r="C60239" s="2"/>
    </row>
    <row r="60240" spans="3:3" x14ac:dyDescent="0.35">
      <c r="C60240" s="2"/>
    </row>
    <row r="60241" spans="3:3" x14ac:dyDescent="0.35">
      <c r="C60241" s="2"/>
    </row>
    <row r="60242" spans="3:3" x14ac:dyDescent="0.35">
      <c r="C60242" s="2"/>
    </row>
    <row r="60243" spans="3:3" x14ac:dyDescent="0.35">
      <c r="C60243" s="2"/>
    </row>
    <row r="60244" spans="3:3" x14ac:dyDescent="0.35">
      <c r="C60244" s="2"/>
    </row>
    <row r="60245" spans="3:3" x14ac:dyDescent="0.35">
      <c r="C60245" s="2"/>
    </row>
    <row r="60246" spans="3:3" x14ac:dyDescent="0.35">
      <c r="C60246" s="2"/>
    </row>
    <row r="60247" spans="3:3" x14ac:dyDescent="0.35">
      <c r="C60247" s="2"/>
    </row>
    <row r="60248" spans="3:3" x14ac:dyDescent="0.35">
      <c r="C60248" s="2"/>
    </row>
    <row r="60249" spans="3:3" x14ac:dyDescent="0.35">
      <c r="C60249" s="2"/>
    </row>
    <row r="60250" spans="3:3" x14ac:dyDescent="0.35">
      <c r="C60250" s="2"/>
    </row>
    <row r="60251" spans="3:3" x14ac:dyDescent="0.35">
      <c r="C60251" s="2"/>
    </row>
    <row r="60252" spans="3:3" x14ac:dyDescent="0.35">
      <c r="C60252" s="2"/>
    </row>
    <row r="60253" spans="3:3" x14ac:dyDescent="0.35">
      <c r="C60253" s="2"/>
    </row>
    <row r="60254" spans="3:3" x14ac:dyDescent="0.35">
      <c r="C60254" s="2"/>
    </row>
    <row r="60255" spans="3:3" x14ac:dyDescent="0.35">
      <c r="C60255" s="2"/>
    </row>
    <row r="60256" spans="3:3" x14ac:dyDescent="0.35">
      <c r="C60256" s="2"/>
    </row>
    <row r="60257" spans="3:3" x14ac:dyDescent="0.35">
      <c r="C60257" s="2"/>
    </row>
    <row r="60258" spans="3:3" x14ac:dyDescent="0.35">
      <c r="C60258" s="2"/>
    </row>
    <row r="60259" spans="3:3" x14ac:dyDescent="0.35">
      <c r="C60259" s="2"/>
    </row>
    <row r="60260" spans="3:3" x14ac:dyDescent="0.35">
      <c r="C60260" s="2"/>
    </row>
    <row r="60261" spans="3:3" x14ac:dyDescent="0.35">
      <c r="C60261" s="2"/>
    </row>
    <row r="60262" spans="3:3" x14ac:dyDescent="0.35">
      <c r="C60262" s="2"/>
    </row>
    <row r="60263" spans="3:3" x14ac:dyDescent="0.35">
      <c r="C60263" s="2"/>
    </row>
    <row r="60264" spans="3:3" x14ac:dyDescent="0.35">
      <c r="C60264" s="2"/>
    </row>
    <row r="60265" spans="3:3" x14ac:dyDescent="0.35">
      <c r="C60265" s="2"/>
    </row>
    <row r="60266" spans="3:3" x14ac:dyDescent="0.35">
      <c r="C60266" s="2"/>
    </row>
    <row r="60267" spans="3:3" x14ac:dyDescent="0.35">
      <c r="C60267" s="2"/>
    </row>
    <row r="60268" spans="3:3" x14ac:dyDescent="0.35">
      <c r="C60268" s="2"/>
    </row>
    <row r="60269" spans="3:3" x14ac:dyDescent="0.35">
      <c r="C60269" s="2"/>
    </row>
    <row r="60270" spans="3:3" x14ac:dyDescent="0.35">
      <c r="C60270" s="2"/>
    </row>
    <row r="60271" spans="3:3" x14ac:dyDescent="0.35">
      <c r="C60271" s="2"/>
    </row>
    <row r="60272" spans="3:3" x14ac:dyDescent="0.35">
      <c r="C60272" s="2"/>
    </row>
    <row r="60273" spans="3:3" x14ac:dyDescent="0.35">
      <c r="C60273" s="2"/>
    </row>
    <row r="60274" spans="3:3" x14ac:dyDescent="0.35">
      <c r="C60274" s="2"/>
    </row>
    <row r="60275" spans="3:3" x14ac:dyDescent="0.35">
      <c r="C60275" s="2"/>
    </row>
    <row r="60276" spans="3:3" x14ac:dyDescent="0.35">
      <c r="C60276" s="2"/>
    </row>
    <row r="60277" spans="3:3" x14ac:dyDescent="0.35">
      <c r="C60277" s="2"/>
    </row>
    <row r="60278" spans="3:3" x14ac:dyDescent="0.35">
      <c r="C60278" s="2"/>
    </row>
    <row r="60279" spans="3:3" x14ac:dyDescent="0.35">
      <c r="C60279" s="2"/>
    </row>
    <row r="60280" spans="3:3" x14ac:dyDescent="0.35">
      <c r="C60280" s="2"/>
    </row>
    <row r="60281" spans="3:3" x14ac:dyDescent="0.35">
      <c r="C60281" s="2"/>
    </row>
    <row r="60282" spans="3:3" x14ac:dyDescent="0.35">
      <c r="C60282" s="2"/>
    </row>
    <row r="60283" spans="3:3" x14ac:dyDescent="0.35">
      <c r="C60283" s="2"/>
    </row>
    <row r="60284" spans="3:3" x14ac:dyDescent="0.35">
      <c r="C60284" s="2"/>
    </row>
    <row r="60285" spans="3:3" x14ac:dyDescent="0.35">
      <c r="C60285" s="2"/>
    </row>
    <row r="60286" spans="3:3" x14ac:dyDescent="0.35">
      <c r="C60286" s="2"/>
    </row>
    <row r="60287" spans="3:3" x14ac:dyDescent="0.35">
      <c r="C60287" s="2"/>
    </row>
    <row r="60288" spans="3:3" x14ac:dyDescent="0.35">
      <c r="C60288" s="2"/>
    </row>
    <row r="60289" spans="3:3" x14ac:dyDescent="0.35">
      <c r="C60289" s="2"/>
    </row>
    <row r="60290" spans="3:3" x14ac:dyDescent="0.35">
      <c r="C60290" s="2"/>
    </row>
    <row r="60291" spans="3:3" x14ac:dyDescent="0.35">
      <c r="C60291" s="2"/>
    </row>
    <row r="60292" spans="3:3" x14ac:dyDescent="0.35">
      <c r="C60292" s="2"/>
    </row>
    <row r="60293" spans="3:3" x14ac:dyDescent="0.35">
      <c r="C60293" s="2"/>
    </row>
    <row r="60294" spans="3:3" x14ac:dyDescent="0.35">
      <c r="C60294" s="2"/>
    </row>
    <row r="60295" spans="3:3" x14ac:dyDescent="0.35">
      <c r="C60295" s="2"/>
    </row>
    <row r="60296" spans="3:3" x14ac:dyDescent="0.35">
      <c r="C60296" s="2"/>
    </row>
    <row r="60297" spans="3:3" x14ac:dyDescent="0.35">
      <c r="C60297" s="2"/>
    </row>
    <row r="60298" spans="3:3" x14ac:dyDescent="0.35">
      <c r="C60298" s="2"/>
    </row>
    <row r="60299" spans="3:3" x14ac:dyDescent="0.35">
      <c r="C60299" s="2"/>
    </row>
    <row r="60300" spans="3:3" x14ac:dyDescent="0.35">
      <c r="C60300" s="2"/>
    </row>
    <row r="60301" spans="3:3" x14ac:dyDescent="0.35">
      <c r="C60301" s="2"/>
    </row>
    <row r="60302" spans="3:3" x14ac:dyDescent="0.35">
      <c r="C60302" s="2"/>
    </row>
    <row r="60303" spans="3:3" x14ac:dyDescent="0.35">
      <c r="C60303" s="2"/>
    </row>
    <row r="60304" spans="3:3" x14ac:dyDescent="0.35">
      <c r="C60304" s="2"/>
    </row>
    <row r="60305" spans="3:3" x14ac:dyDescent="0.35">
      <c r="C60305" s="2"/>
    </row>
    <row r="60306" spans="3:3" x14ac:dyDescent="0.35">
      <c r="C60306" s="2"/>
    </row>
    <row r="60307" spans="3:3" x14ac:dyDescent="0.35">
      <c r="C60307" s="2"/>
    </row>
    <row r="60308" spans="3:3" x14ac:dyDescent="0.35">
      <c r="C60308" s="2"/>
    </row>
    <row r="60309" spans="3:3" x14ac:dyDescent="0.35">
      <c r="C60309" s="2"/>
    </row>
    <row r="60310" spans="3:3" x14ac:dyDescent="0.35">
      <c r="C60310" s="2"/>
    </row>
    <row r="60311" spans="3:3" x14ac:dyDescent="0.35">
      <c r="C60311" s="2"/>
    </row>
    <row r="60312" spans="3:3" x14ac:dyDescent="0.35">
      <c r="C60312" s="2"/>
    </row>
    <row r="60313" spans="3:3" x14ac:dyDescent="0.35">
      <c r="C60313" s="2"/>
    </row>
    <row r="60314" spans="3:3" x14ac:dyDescent="0.35">
      <c r="C60314" s="2"/>
    </row>
    <row r="60315" spans="3:3" x14ac:dyDescent="0.35">
      <c r="C60315" s="2"/>
    </row>
    <row r="60316" spans="3:3" x14ac:dyDescent="0.35">
      <c r="C60316" s="2"/>
    </row>
    <row r="60317" spans="3:3" x14ac:dyDescent="0.35">
      <c r="C60317" s="2"/>
    </row>
    <row r="60318" spans="3:3" x14ac:dyDescent="0.35">
      <c r="C60318" s="2"/>
    </row>
    <row r="60319" spans="3:3" x14ac:dyDescent="0.35">
      <c r="C60319" s="2"/>
    </row>
    <row r="60320" spans="3:3" x14ac:dyDescent="0.35">
      <c r="C60320" s="2"/>
    </row>
    <row r="60321" spans="3:3" x14ac:dyDescent="0.35">
      <c r="C60321" s="2"/>
    </row>
    <row r="60322" spans="3:3" x14ac:dyDescent="0.35">
      <c r="C60322" s="2"/>
    </row>
    <row r="60323" spans="3:3" x14ac:dyDescent="0.35">
      <c r="C60323" s="2"/>
    </row>
    <row r="60324" spans="3:3" x14ac:dyDescent="0.35">
      <c r="C60324" s="2"/>
    </row>
    <row r="60325" spans="3:3" x14ac:dyDescent="0.35">
      <c r="C60325" s="2"/>
    </row>
    <row r="60326" spans="3:3" x14ac:dyDescent="0.35">
      <c r="C60326" s="2"/>
    </row>
    <row r="60327" spans="3:3" x14ac:dyDescent="0.35">
      <c r="C60327" s="2"/>
    </row>
    <row r="60328" spans="3:3" x14ac:dyDescent="0.35">
      <c r="C60328" s="2"/>
    </row>
    <row r="60329" spans="3:3" x14ac:dyDescent="0.35">
      <c r="C60329" s="2"/>
    </row>
    <row r="60330" spans="3:3" x14ac:dyDescent="0.35">
      <c r="C60330" s="2"/>
    </row>
    <row r="60331" spans="3:3" x14ac:dyDescent="0.35">
      <c r="C60331" s="2"/>
    </row>
    <row r="60332" spans="3:3" x14ac:dyDescent="0.35">
      <c r="C60332" s="2"/>
    </row>
    <row r="60333" spans="3:3" x14ac:dyDescent="0.35">
      <c r="C60333" s="2"/>
    </row>
    <row r="60334" spans="3:3" x14ac:dyDescent="0.35">
      <c r="C60334" s="2"/>
    </row>
    <row r="60335" spans="3:3" x14ac:dyDescent="0.35">
      <c r="C60335" s="2"/>
    </row>
    <row r="60336" spans="3:3" x14ac:dyDescent="0.35">
      <c r="C60336" s="2"/>
    </row>
    <row r="60337" spans="3:3" x14ac:dyDescent="0.35">
      <c r="C60337" s="2"/>
    </row>
    <row r="60338" spans="3:3" x14ac:dyDescent="0.35">
      <c r="C60338" s="2"/>
    </row>
    <row r="60339" spans="3:3" x14ac:dyDescent="0.35">
      <c r="C60339" s="2"/>
    </row>
    <row r="60340" spans="3:3" x14ac:dyDescent="0.35">
      <c r="C60340" s="2"/>
    </row>
    <row r="60341" spans="3:3" x14ac:dyDescent="0.35">
      <c r="C60341" s="2"/>
    </row>
    <row r="60342" spans="3:3" x14ac:dyDescent="0.35">
      <c r="C60342" s="2"/>
    </row>
    <row r="60343" spans="3:3" x14ac:dyDescent="0.35">
      <c r="C60343" s="2"/>
    </row>
    <row r="60344" spans="3:3" x14ac:dyDescent="0.35">
      <c r="C60344" s="2"/>
    </row>
    <row r="60345" spans="3:3" x14ac:dyDescent="0.35">
      <c r="C60345" s="2"/>
    </row>
    <row r="60346" spans="3:3" x14ac:dyDescent="0.35">
      <c r="C60346" s="2"/>
    </row>
    <row r="60347" spans="3:3" x14ac:dyDescent="0.35">
      <c r="C60347" s="2"/>
    </row>
    <row r="60348" spans="3:3" x14ac:dyDescent="0.35">
      <c r="C60348" s="2"/>
    </row>
    <row r="60349" spans="3:3" x14ac:dyDescent="0.35">
      <c r="C60349" s="2"/>
    </row>
    <row r="60350" spans="3:3" x14ac:dyDescent="0.35">
      <c r="C60350" s="2"/>
    </row>
    <row r="60351" spans="3:3" x14ac:dyDescent="0.35">
      <c r="C60351" s="2"/>
    </row>
    <row r="60352" spans="3:3" x14ac:dyDescent="0.35">
      <c r="C60352" s="2"/>
    </row>
    <row r="60353" spans="3:3" x14ac:dyDescent="0.35">
      <c r="C60353" s="2"/>
    </row>
    <row r="60354" spans="3:3" x14ac:dyDescent="0.35">
      <c r="C60354" s="2"/>
    </row>
    <row r="60355" spans="3:3" x14ac:dyDescent="0.35">
      <c r="C60355" s="2"/>
    </row>
    <row r="60356" spans="3:3" x14ac:dyDescent="0.35">
      <c r="C60356" s="2"/>
    </row>
    <row r="60357" spans="3:3" x14ac:dyDescent="0.35">
      <c r="C60357" s="2"/>
    </row>
    <row r="60358" spans="3:3" x14ac:dyDescent="0.35">
      <c r="C60358" s="2"/>
    </row>
    <row r="60359" spans="3:3" x14ac:dyDescent="0.35">
      <c r="C60359" s="2"/>
    </row>
    <row r="60360" spans="3:3" x14ac:dyDescent="0.35">
      <c r="C60360" s="2"/>
    </row>
    <row r="60361" spans="3:3" x14ac:dyDescent="0.35">
      <c r="C60361" s="2"/>
    </row>
    <row r="60362" spans="3:3" x14ac:dyDescent="0.35">
      <c r="C60362" s="2"/>
    </row>
    <row r="60363" spans="3:3" x14ac:dyDescent="0.35">
      <c r="C60363" s="2"/>
    </row>
    <row r="60364" spans="3:3" x14ac:dyDescent="0.35">
      <c r="C60364" s="2"/>
    </row>
    <row r="60365" spans="3:3" x14ac:dyDescent="0.35">
      <c r="C60365" s="2"/>
    </row>
    <row r="60366" spans="3:3" x14ac:dyDescent="0.35">
      <c r="C60366" s="2"/>
    </row>
    <row r="60367" spans="3:3" x14ac:dyDescent="0.35">
      <c r="C60367" s="2"/>
    </row>
    <row r="60368" spans="3:3" x14ac:dyDescent="0.35">
      <c r="C60368" s="2"/>
    </row>
    <row r="60369" spans="3:3" x14ac:dyDescent="0.35">
      <c r="C60369" s="2"/>
    </row>
    <row r="60370" spans="3:3" x14ac:dyDescent="0.35">
      <c r="C60370" s="2"/>
    </row>
    <row r="60371" spans="3:3" x14ac:dyDescent="0.35">
      <c r="C60371" s="2"/>
    </row>
    <row r="60372" spans="3:3" x14ac:dyDescent="0.35">
      <c r="C60372" s="2"/>
    </row>
    <row r="60373" spans="3:3" x14ac:dyDescent="0.35">
      <c r="C60373" s="2"/>
    </row>
    <row r="60374" spans="3:3" x14ac:dyDescent="0.35">
      <c r="C60374" s="2"/>
    </row>
    <row r="60375" spans="3:3" x14ac:dyDescent="0.35">
      <c r="C60375" s="2"/>
    </row>
    <row r="60376" spans="3:3" x14ac:dyDescent="0.35">
      <c r="C60376" s="2"/>
    </row>
    <row r="60377" spans="3:3" x14ac:dyDescent="0.35">
      <c r="C60377" s="2"/>
    </row>
    <row r="60378" spans="3:3" x14ac:dyDescent="0.35">
      <c r="C60378" s="2"/>
    </row>
    <row r="60379" spans="3:3" x14ac:dyDescent="0.35">
      <c r="C60379" s="2"/>
    </row>
    <row r="60380" spans="3:3" x14ac:dyDescent="0.35">
      <c r="C60380" s="2"/>
    </row>
    <row r="60381" spans="3:3" x14ac:dyDescent="0.35">
      <c r="C60381" s="2"/>
    </row>
    <row r="60382" spans="3:3" x14ac:dyDescent="0.35">
      <c r="C60382" s="2"/>
    </row>
    <row r="60383" spans="3:3" x14ac:dyDescent="0.35">
      <c r="C60383" s="2"/>
    </row>
    <row r="60384" spans="3:3" x14ac:dyDescent="0.35">
      <c r="C60384" s="2"/>
    </row>
    <row r="60385" spans="3:3" x14ac:dyDescent="0.35">
      <c r="C60385" s="2"/>
    </row>
    <row r="60386" spans="3:3" x14ac:dyDescent="0.35">
      <c r="C60386" s="2"/>
    </row>
    <row r="60387" spans="3:3" x14ac:dyDescent="0.35">
      <c r="C60387" s="2"/>
    </row>
    <row r="60388" spans="3:3" x14ac:dyDescent="0.35">
      <c r="C60388" s="2"/>
    </row>
    <row r="60389" spans="3:3" x14ac:dyDescent="0.35">
      <c r="C60389" s="2"/>
    </row>
    <row r="60390" spans="3:3" x14ac:dyDescent="0.35">
      <c r="C60390" s="2"/>
    </row>
    <row r="60391" spans="3:3" x14ac:dyDescent="0.35">
      <c r="C60391" s="2"/>
    </row>
    <row r="60392" spans="3:3" x14ac:dyDescent="0.35">
      <c r="C60392" s="2"/>
    </row>
    <row r="60393" spans="3:3" x14ac:dyDescent="0.35">
      <c r="C60393" s="2"/>
    </row>
    <row r="60394" spans="3:3" x14ac:dyDescent="0.35">
      <c r="C60394" s="2"/>
    </row>
    <row r="60395" spans="3:3" x14ac:dyDescent="0.35">
      <c r="C60395" s="2"/>
    </row>
    <row r="60396" spans="3:3" x14ac:dyDescent="0.35">
      <c r="C60396" s="2"/>
    </row>
    <row r="60397" spans="3:3" x14ac:dyDescent="0.35">
      <c r="C60397" s="2"/>
    </row>
    <row r="60398" spans="3:3" x14ac:dyDescent="0.35">
      <c r="C60398" s="2"/>
    </row>
    <row r="60399" spans="3:3" x14ac:dyDescent="0.35">
      <c r="C60399" s="2"/>
    </row>
    <row r="60400" spans="3:3" x14ac:dyDescent="0.35">
      <c r="C60400" s="2"/>
    </row>
    <row r="60401" spans="3:3" x14ac:dyDescent="0.35">
      <c r="C60401" s="2"/>
    </row>
    <row r="60402" spans="3:3" x14ac:dyDescent="0.35">
      <c r="C60402" s="2"/>
    </row>
    <row r="60403" spans="3:3" x14ac:dyDescent="0.35">
      <c r="C60403" s="2"/>
    </row>
    <row r="60404" spans="3:3" x14ac:dyDescent="0.35">
      <c r="C60404" s="2"/>
    </row>
    <row r="60405" spans="3:3" x14ac:dyDescent="0.35">
      <c r="C60405" s="2"/>
    </row>
    <row r="60406" spans="3:3" x14ac:dyDescent="0.35">
      <c r="C60406" s="2"/>
    </row>
    <row r="60407" spans="3:3" x14ac:dyDescent="0.35">
      <c r="C60407" s="2"/>
    </row>
    <row r="60408" spans="3:3" x14ac:dyDescent="0.35">
      <c r="C60408" s="2"/>
    </row>
    <row r="60409" spans="3:3" x14ac:dyDescent="0.35">
      <c r="C60409" s="2"/>
    </row>
    <row r="60410" spans="3:3" x14ac:dyDescent="0.35">
      <c r="C60410" s="2"/>
    </row>
    <row r="60411" spans="3:3" x14ac:dyDescent="0.35">
      <c r="C60411" s="2"/>
    </row>
    <row r="60412" spans="3:3" x14ac:dyDescent="0.35">
      <c r="C60412" s="2"/>
    </row>
    <row r="60413" spans="3:3" x14ac:dyDescent="0.35">
      <c r="C60413" s="2"/>
    </row>
    <row r="60414" spans="3:3" x14ac:dyDescent="0.35">
      <c r="C60414" s="2"/>
    </row>
    <row r="60415" spans="3:3" x14ac:dyDescent="0.35">
      <c r="C60415" s="2"/>
    </row>
    <row r="60416" spans="3:3" x14ac:dyDescent="0.35">
      <c r="C60416" s="2"/>
    </row>
    <row r="60417" spans="3:3" x14ac:dyDescent="0.35">
      <c r="C60417" s="2"/>
    </row>
    <row r="60418" spans="3:3" x14ac:dyDescent="0.35">
      <c r="C60418" s="2"/>
    </row>
    <row r="60419" spans="3:3" x14ac:dyDescent="0.35">
      <c r="C60419" s="2"/>
    </row>
    <row r="60420" spans="3:3" x14ac:dyDescent="0.35">
      <c r="C60420" s="2"/>
    </row>
    <row r="60421" spans="3:3" x14ac:dyDescent="0.35">
      <c r="C60421" s="2"/>
    </row>
    <row r="60422" spans="3:3" x14ac:dyDescent="0.35">
      <c r="C60422" s="2"/>
    </row>
    <row r="60423" spans="3:3" x14ac:dyDescent="0.35">
      <c r="C60423" s="2"/>
    </row>
    <row r="60424" spans="3:3" x14ac:dyDescent="0.35">
      <c r="C60424" s="2"/>
    </row>
    <row r="60425" spans="3:3" x14ac:dyDescent="0.35">
      <c r="C60425" s="2"/>
    </row>
    <row r="60426" spans="3:3" x14ac:dyDescent="0.35">
      <c r="C60426" s="2"/>
    </row>
    <row r="60427" spans="3:3" x14ac:dyDescent="0.35">
      <c r="C60427" s="2"/>
    </row>
    <row r="60428" spans="3:3" x14ac:dyDescent="0.35">
      <c r="C60428" s="2"/>
    </row>
    <row r="60429" spans="3:3" x14ac:dyDescent="0.35">
      <c r="C60429" s="2"/>
    </row>
    <row r="60430" spans="3:3" x14ac:dyDescent="0.35">
      <c r="C60430" s="2"/>
    </row>
    <row r="60431" spans="3:3" x14ac:dyDescent="0.35">
      <c r="C60431" s="2"/>
    </row>
    <row r="60432" spans="3:3" x14ac:dyDescent="0.35">
      <c r="C60432" s="2"/>
    </row>
    <row r="60433" spans="3:3" x14ac:dyDescent="0.35">
      <c r="C60433" s="2"/>
    </row>
    <row r="60434" spans="3:3" x14ac:dyDescent="0.35">
      <c r="C60434" s="2"/>
    </row>
    <row r="60435" spans="3:3" x14ac:dyDescent="0.35">
      <c r="C60435" s="2"/>
    </row>
    <row r="60436" spans="3:3" x14ac:dyDescent="0.35">
      <c r="C60436" s="2"/>
    </row>
    <row r="60437" spans="3:3" x14ac:dyDescent="0.35">
      <c r="C60437" s="2"/>
    </row>
    <row r="60438" spans="3:3" x14ac:dyDescent="0.35">
      <c r="C60438" s="2"/>
    </row>
    <row r="60439" spans="3:3" x14ac:dyDescent="0.35">
      <c r="C60439" s="2"/>
    </row>
    <row r="60440" spans="3:3" x14ac:dyDescent="0.35">
      <c r="C60440" s="2"/>
    </row>
    <row r="60441" spans="3:3" x14ac:dyDescent="0.35">
      <c r="C60441" s="2"/>
    </row>
    <row r="60442" spans="3:3" x14ac:dyDescent="0.35">
      <c r="C60442" s="2"/>
    </row>
    <row r="60443" spans="3:3" x14ac:dyDescent="0.35">
      <c r="C60443" s="2"/>
    </row>
    <row r="60444" spans="3:3" x14ac:dyDescent="0.35">
      <c r="C60444" s="2"/>
    </row>
    <row r="60445" spans="3:3" x14ac:dyDescent="0.35">
      <c r="C60445" s="2"/>
    </row>
    <row r="60446" spans="3:3" x14ac:dyDescent="0.35">
      <c r="C60446" s="2"/>
    </row>
    <row r="60447" spans="3:3" x14ac:dyDescent="0.35">
      <c r="C60447" s="2"/>
    </row>
    <row r="60448" spans="3:3" x14ac:dyDescent="0.35">
      <c r="C60448" s="2"/>
    </row>
    <row r="60449" spans="3:3" x14ac:dyDescent="0.35">
      <c r="C60449" s="2"/>
    </row>
    <row r="60450" spans="3:3" x14ac:dyDescent="0.35">
      <c r="C60450" s="2"/>
    </row>
    <row r="60451" spans="3:3" x14ac:dyDescent="0.35">
      <c r="C60451" s="2"/>
    </row>
    <row r="60452" spans="3:3" x14ac:dyDescent="0.35">
      <c r="C60452" s="2"/>
    </row>
    <row r="60453" spans="3:3" x14ac:dyDescent="0.35">
      <c r="C60453" s="2"/>
    </row>
    <row r="60454" spans="3:3" x14ac:dyDescent="0.35">
      <c r="C60454" s="2"/>
    </row>
    <row r="60455" spans="3:3" x14ac:dyDescent="0.35">
      <c r="C60455" s="2"/>
    </row>
    <row r="60456" spans="3:3" x14ac:dyDescent="0.35">
      <c r="C60456" s="2"/>
    </row>
    <row r="60457" spans="3:3" x14ac:dyDescent="0.35">
      <c r="C60457" s="2"/>
    </row>
    <row r="60458" spans="3:3" x14ac:dyDescent="0.35">
      <c r="C60458" s="2"/>
    </row>
    <row r="60459" spans="3:3" x14ac:dyDescent="0.35">
      <c r="C60459" s="2"/>
    </row>
    <row r="60460" spans="3:3" x14ac:dyDescent="0.35">
      <c r="C60460" s="2"/>
    </row>
    <row r="60461" spans="3:3" x14ac:dyDescent="0.35">
      <c r="C60461" s="2"/>
    </row>
    <row r="60462" spans="3:3" x14ac:dyDescent="0.35">
      <c r="C60462" s="2"/>
    </row>
    <row r="60463" spans="3:3" x14ac:dyDescent="0.35">
      <c r="C60463" s="2"/>
    </row>
    <row r="60464" spans="3:3" x14ac:dyDescent="0.35">
      <c r="C60464" s="2"/>
    </row>
    <row r="60465" spans="3:3" x14ac:dyDescent="0.35">
      <c r="C60465" s="2"/>
    </row>
    <row r="60466" spans="3:3" x14ac:dyDescent="0.35">
      <c r="C60466" s="2"/>
    </row>
    <row r="60467" spans="3:3" x14ac:dyDescent="0.35">
      <c r="C60467" s="2"/>
    </row>
    <row r="60468" spans="3:3" x14ac:dyDescent="0.35">
      <c r="C60468" s="2"/>
    </row>
    <row r="60469" spans="3:3" x14ac:dyDescent="0.35">
      <c r="C60469" s="2"/>
    </row>
    <row r="60470" spans="3:3" x14ac:dyDescent="0.35">
      <c r="C60470" s="2"/>
    </row>
    <row r="60471" spans="3:3" x14ac:dyDescent="0.35">
      <c r="C60471" s="2"/>
    </row>
    <row r="60472" spans="3:3" x14ac:dyDescent="0.35">
      <c r="C60472" s="2"/>
    </row>
    <row r="60473" spans="3:3" x14ac:dyDescent="0.35">
      <c r="C60473" s="2"/>
    </row>
    <row r="60474" spans="3:3" x14ac:dyDescent="0.35">
      <c r="C60474" s="2"/>
    </row>
    <row r="60475" spans="3:3" x14ac:dyDescent="0.35">
      <c r="C60475" s="2"/>
    </row>
    <row r="60476" spans="3:3" x14ac:dyDescent="0.35">
      <c r="C60476" s="2"/>
    </row>
    <row r="60477" spans="3:3" x14ac:dyDescent="0.35">
      <c r="C60477" s="2"/>
    </row>
    <row r="60478" spans="3:3" x14ac:dyDescent="0.35">
      <c r="C60478" s="2"/>
    </row>
    <row r="60479" spans="3:3" x14ac:dyDescent="0.35">
      <c r="C60479" s="2"/>
    </row>
    <row r="60480" spans="3:3" x14ac:dyDescent="0.35">
      <c r="C60480" s="2"/>
    </row>
    <row r="60481" spans="3:3" x14ac:dyDescent="0.35">
      <c r="C60481" s="2"/>
    </row>
    <row r="60482" spans="3:3" x14ac:dyDescent="0.35">
      <c r="C60482" s="2"/>
    </row>
    <row r="60483" spans="3:3" x14ac:dyDescent="0.35">
      <c r="C60483" s="2"/>
    </row>
    <row r="60484" spans="3:3" x14ac:dyDescent="0.35">
      <c r="C60484" s="2"/>
    </row>
    <row r="60485" spans="3:3" x14ac:dyDescent="0.35">
      <c r="C60485" s="2"/>
    </row>
    <row r="60486" spans="3:3" x14ac:dyDescent="0.35">
      <c r="C60486" s="2"/>
    </row>
    <row r="60487" spans="3:3" x14ac:dyDescent="0.35">
      <c r="C60487" s="2"/>
    </row>
    <row r="60488" spans="3:3" x14ac:dyDescent="0.35">
      <c r="C60488" s="2"/>
    </row>
    <row r="60489" spans="3:3" x14ac:dyDescent="0.35">
      <c r="C60489" s="2"/>
    </row>
    <row r="60490" spans="3:3" x14ac:dyDescent="0.35">
      <c r="C60490" s="2"/>
    </row>
    <row r="60491" spans="3:3" x14ac:dyDescent="0.35">
      <c r="C60491" s="2"/>
    </row>
    <row r="60492" spans="3:3" x14ac:dyDescent="0.35">
      <c r="C60492" s="2"/>
    </row>
    <row r="60493" spans="3:3" x14ac:dyDescent="0.35">
      <c r="C60493" s="2"/>
    </row>
    <row r="60494" spans="3:3" x14ac:dyDescent="0.35">
      <c r="C60494" s="2"/>
    </row>
    <row r="60495" spans="3:3" x14ac:dyDescent="0.35">
      <c r="C60495" s="2"/>
    </row>
    <row r="60496" spans="3:3" x14ac:dyDescent="0.35">
      <c r="C60496" s="2"/>
    </row>
    <row r="60497" spans="3:3" x14ac:dyDescent="0.35">
      <c r="C60497" s="2"/>
    </row>
    <row r="60498" spans="3:3" x14ac:dyDescent="0.35">
      <c r="C60498" s="2"/>
    </row>
    <row r="60499" spans="3:3" x14ac:dyDescent="0.35">
      <c r="C60499" s="2"/>
    </row>
    <row r="60500" spans="3:3" x14ac:dyDescent="0.35">
      <c r="C60500" s="2"/>
    </row>
    <row r="60501" spans="3:3" x14ac:dyDescent="0.35">
      <c r="C60501" s="2"/>
    </row>
    <row r="60502" spans="3:3" x14ac:dyDescent="0.35">
      <c r="C60502" s="2"/>
    </row>
    <row r="60503" spans="3:3" x14ac:dyDescent="0.35">
      <c r="C60503" s="2"/>
    </row>
    <row r="60504" spans="3:3" x14ac:dyDescent="0.35">
      <c r="C60504" s="2"/>
    </row>
    <row r="60505" spans="3:3" x14ac:dyDescent="0.35">
      <c r="C60505" s="2"/>
    </row>
    <row r="60506" spans="3:3" x14ac:dyDescent="0.35">
      <c r="C60506" s="2"/>
    </row>
    <row r="60507" spans="3:3" x14ac:dyDescent="0.35">
      <c r="C60507" s="2"/>
    </row>
    <row r="60508" spans="3:3" x14ac:dyDescent="0.35">
      <c r="C60508" s="2"/>
    </row>
    <row r="60509" spans="3:3" x14ac:dyDescent="0.35">
      <c r="C60509" s="2"/>
    </row>
    <row r="60510" spans="3:3" x14ac:dyDescent="0.35">
      <c r="C60510" s="2"/>
    </row>
    <row r="60511" spans="3:3" x14ac:dyDescent="0.35">
      <c r="C60511" s="2"/>
    </row>
    <row r="60512" spans="3:3" x14ac:dyDescent="0.35">
      <c r="C60512" s="2"/>
    </row>
    <row r="60513" spans="3:3" x14ac:dyDescent="0.35">
      <c r="C60513" s="2"/>
    </row>
    <row r="60514" spans="3:3" x14ac:dyDescent="0.35">
      <c r="C60514" s="2"/>
    </row>
    <row r="60515" spans="3:3" x14ac:dyDescent="0.35">
      <c r="C60515" s="2"/>
    </row>
    <row r="60516" spans="3:3" x14ac:dyDescent="0.35">
      <c r="C60516" s="2"/>
    </row>
    <row r="60517" spans="3:3" x14ac:dyDescent="0.35">
      <c r="C60517" s="2"/>
    </row>
    <row r="60518" spans="3:3" x14ac:dyDescent="0.35">
      <c r="C60518" s="2"/>
    </row>
    <row r="60519" spans="3:3" x14ac:dyDescent="0.35">
      <c r="C60519" s="2"/>
    </row>
    <row r="60520" spans="3:3" x14ac:dyDescent="0.35">
      <c r="C60520" s="2"/>
    </row>
    <row r="60521" spans="3:3" x14ac:dyDescent="0.35">
      <c r="C60521" s="2"/>
    </row>
    <row r="60522" spans="3:3" x14ac:dyDescent="0.35">
      <c r="C60522" s="2"/>
    </row>
    <row r="60523" spans="3:3" x14ac:dyDescent="0.35">
      <c r="C60523" s="2"/>
    </row>
    <row r="60524" spans="3:3" x14ac:dyDescent="0.35">
      <c r="C60524" s="2"/>
    </row>
    <row r="60525" spans="3:3" x14ac:dyDescent="0.35">
      <c r="C60525" s="2"/>
    </row>
    <row r="60526" spans="3:3" x14ac:dyDescent="0.35">
      <c r="C60526" s="2"/>
    </row>
    <row r="60527" spans="3:3" x14ac:dyDescent="0.35">
      <c r="C60527" s="2"/>
    </row>
    <row r="60528" spans="3:3" x14ac:dyDescent="0.35">
      <c r="C60528" s="2"/>
    </row>
    <row r="60529" spans="3:3" x14ac:dyDescent="0.35">
      <c r="C60529" s="2"/>
    </row>
    <row r="60530" spans="3:3" x14ac:dyDescent="0.35">
      <c r="C60530" s="2"/>
    </row>
    <row r="60531" spans="3:3" x14ac:dyDescent="0.35">
      <c r="C60531" s="2"/>
    </row>
    <row r="60532" spans="3:3" x14ac:dyDescent="0.35">
      <c r="C60532" s="2"/>
    </row>
    <row r="60533" spans="3:3" x14ac:dyDescent="0.35">
      <c r="C60533" s="2"/>
    </row>
    <row r="60534" spans="3:3" x14ac:dyDescent="0.35">
      <c r="C60534" s="2"/>
    </row>
    <row r="60535" spans="3:3" x14ac:dyDescent="0.35">
      <c r="C60535" s="2"/>
    </row>
    <row r="60536" spans="3:3" x14ac:dyDescent="0.35">
      <c r="C60536" s="2"/>
    </row>
    <row r="60537" spans="3:3" x14ac:dyDescent="0.35">
      <c r="C60537" s="2"/>
    </row>
    <row r="60538" spans="3:3" x14ac:dyDescent="0.35">
      <c r="C60538" s="2"/>
    </row>
    <row r="60539" spans="3:3" x14ac:dyDescent="0.35">
      <c r="C60539" s="2"/>
    </row>
    <row r="60540" spans="3:3" x14ac:dyDescent="0.35">
      <c r="C60540" s="2"/>
    </row>
    <row r="60541" spans="3:3" x14ac:dyDescent="0.35">
      <c r="C60541" s="2"/>
    </row>
    <row r="60542" spans="3:3" x14ac:dyDescent="0.35">
      <c r="C60542" s="2"/>
    </row>
    <row r="60543" spans="3:3" x14ac:dyDescent="0.35">
      <c r="C60543" s="2"/>
    </row>
    <row r="60544" spans="3:3" x14ac:dyDescent="0.35">
      <c r="C60544" s="2"/>
    </row>
    <row r="60545" spans="3:3" x14ac:dyDescent="0.35">
      <c r="C60545" s="2"/>
    </row>
    <row r="60546" spans="3:3" x14ac:dyDescent="0.35">
      <c r="C60546" s="2"/>
    </row>
    <row r="60547" spans="3:3" x14ac:dyDescent="0.35">
      <c r="C60547" s="2"/>
    </row>
    <row r="60548" spans="3:3" x14ac:dyDescent="0.35">
      <c r="C60548" s="2"/>
    </row>
    <row r="60549" spans="3:3" x14ac:dyDescent="0.35">
      <c r="C60549" s="2"/>
    </row>
    <row r="60550" spans="3:3" x14ac:dyDescent="0.35">
      <c r="C60550" s="2"/>
    </row>
    <row r="60551" spans="3:3" x14ac:dyDescent="0.35">
      <c r="C60551" s="2"/>
    </row>
    <row r="60552" spans="3:3" x14ac:dyDescent="0.35">
      <c r="C60552" s="2"/>
    </row>
    <row r="60553" spans="3:3" x14ac:dyDescent="0.35">
      <c r="C60553" s="2"/>
    </row>
    <row r="60554" spans="3:3" x14ac:dyDescent="0.35">
      <c r="C60554" s="2"/>
    </row>
    <row r="60555" spans="3:3" x14ac:dyDescent="0.35">
      <c r="C60555" s="2"/>
    </row>
    <row r="60556" spans="3:3" x14ac:dyDescent="0.35">
      <c r="C60556" s="2"/>
    </row>
    <row r="60557" spans="3:3" x14ac:dyDescent="0.35">
      <c r="C60557" s="2"/>
    </row>
    <row r="60558" spans="3:3" x14ac:dyDescent="0.35">
      <c r="C60558" s="2"/>
    </row>
    <row r="60559" spans="3:3" x14ac:dyDescent="0.35">
      <c r="C60559" s="2"/>
    </row>
    <row r="60560" spans="3:3" x14ac:dyDescent="0.35">
      <c r="C60560" s="2"/>
    </row>
    <row r="60561" spans="3:3" x14ac:dyDescent="0.35">
      <c r="C60561" s="2"/>
    </row>
    <row r="60562" spans="3:3" x14ac:dyDescent="0.35">
      <c r="C60562" s="2"/>
    </row>
    <row r="60563" spans="3:3" x14ac:dyDescent="0.35">
      <c r="C60563" s="2"/>
    </row>
    <row r="60564" spans="3:3" x14ac:dyDescent="0.35">
      <c r="C60564" s="2"/>
    </row>
    <row r="60565" spans="3:3" x14ac:dyDescent="0.35">
      <c r="C60565" s="2"/>
    </row>
    <row r="60566" spans="3:3" x14ac:dyDescent="0.35">
      <c r="C60566" s="2"/>
    </row>
    <row r="60567" spans="3:3" x14ac:dyDescent="0.35">
      <c r="C60567" s="2"/>
    </row>
    <row r="60568" spans="3:3" x14ac:dyDescent="0.35">
      <c r="C60568" s="2"/>
    </row>
    <row r="60569" spans="3:3" x14ac:dyDescent="0.35">
      <c r="C60569" s="2"/>
    </row>
    <row r="60570" spans="3:3" x14ac:dyDescent="0.35">
      <c r="C60570" s="2"/>
    </row>
    <row r="60571" spans="3:3" x14ac:dyDescent="0.35">
      <c r="C60571" s="2"/>
    </row>
    <row r="60572" spans="3:3" x14ac:dyDescent="0.35">
      <c r="C60572" s="2"/>
    </row>
    <row r="60573" spans="3:3" x14ac:dyDescent="0.35">
      <c r="C60573" s="2"/>
    </row>
    <row r="60574" spans="3:3" x14ac:dyDescent="0.35">
      <c r="C60574" s="2"/>
    </row>
    <row r="60575" spans="3:3" x14ac:dyDescent="0.35">
      <c r="C60575" s="2"/>
    </row>
    <row r="60576" spans="3:3" x14ac:dyDescent="0.35">
      <c r="C60576" s="2"/>
    </row>
    <row r="60577" spans="3:3" x14ac:dyDescent="0.35">
      <c r="C60577" s="2"/>
    </row>
    <row r="60578" spans="3:3" x14ac:dyDescent="0.35">
      <c r="C60578" s="2"/>
    </row>
    <row r="60579" spans="3:3" x14ac:dyDescent="0.35">
      <c r="C60579" s="2"/>
    </row>
    <row r="60580" spans="3:3" x14ac:dyDescent="0.35">
      <c r="C60580" s="2"/>
    </row>
    <row r="60581" spans="3:3" x14ac:dyDescent="0.35">
      <c r="C60581" s="2"/>
    </row>
    <row r="60582" spans="3:3" x14ac:dyDescent="0.35">
      <c r="C60582" s="2"/>
    </row>
    <row r="60583" spans="3:3" x14ac:dyDescent="0.35">
      <c r="C60583" s="2"/>
    </row>
    <row r="60584" spans="3:3" x14ac:dyDescent="0.35">
      <c r="C60584" s="2"/>
    </row>
    <row r="60585" spans="3:3" x14ac:dyDescent="0.35">
      <c r="C60585" s="2"/>
    </row>
    <row r="60586" spans="3:3" x14ac:dyDescent="0.35">
      <c r="C60586" s="2"/>
    </row>
    <row r="60587" spans="3:3" x14ac:dyDescent="0.35">
      <c r="C60587" s="2"/>
    </row>
    <row r="60588" spans="3:3" x14ac:dyDescent="0.35">
      <c r="C60588" s="2"/>
    </row>
    <row r="60589" spans="3:3" x14ac:dyDescent="0.35">
      <c r="C60589" s="2"/>
    </row>
    <row r="60590" spans="3:3" x14ac:dyDescent="0.35">
      <c r="C60590" s="2"/>
    </row>
    <row r="60591" spans="3:3" x14ac:dyDescent="0.35">
      <c r="C60591" s="2"/>
    </row>
    <row r="60592" spans="3:3" x14ac:dyDescent="0.35">
      <c r="C60592" s="2"/>
    </row>
    <row r="60593" spans="3:3" x14ac:dyDescent="0.35">
      <c r="C60593" s="2"/>
    </row>
    <row r="60594" spans="3:3" x14ac:dyDescent="0.35">
      <c r="C60594" s="2"/>
    </row>
    <row r="60595" spans="3:3" x14ac:dyDescent="0.35">
      <c r="C60595" s="2"/>
    </row>
    <row r="60596" spans="3:3" x14ac:dyDescent="0.35">
      <c r="C60596" s="2"/>
    </row>
    <row r="60597" spans="3:3" x14ac:dyDescent="0.35">
      <c r="C60597" s="2"/>
    </row>
    <row r="60598" spans="3:3" x14ac:dyDescent="0.35">
      <c r="C60598" s="2"/>
    </row>
    <row r="60599" spans="3:3" x14ac:dyDescent="0.35">
      <c r="C60599" s="2"/>
    </row>
    <row r="60600" spans="3:3" x14ac:dyDescent="0.35">
      <c r="C60600" s="2"/>
    </row>
    <row r="60601" spans="3:3" x14ac:dyDescent="0.35">
      <c r="C60601" s="2"/>
    </row>
    <row r="60602" spans="3:3" x14ac:dyDescent="0.35">
      <c r="C60602" s="2"/>
    </row>
    <row r="60603" spans="3:3" x14ac:dyDescent="0.35">
      <c r="C60603" s="2"/>
    </row>
    <row r="60604" spans="3:3" x14ac:dyDescent="0.35">
      <c r="C60604" s="2"/>
    </row>
    <row r="60605" spans="3:3" x14ac:dyDescent="0.35">
      <c r="C60605" s="2"/>
    </row>
    <row r="60606" spans="3:3" x14ac:dyDescent="0.35">
      <c r="C60606" s="2"/>
    </row>
    <row r="60607" spans="3:3" x14ac:dyDescent="0.35">
      <c r="C60607" s="2"/>
    </row>
    <row r="60608" spans="3:3" x14ac:dyDescent="0.35">
      <c r="C60608" s="2"/>
    </row>
    <row r="60609" spans="3:3" x14ac:dyDescent="0.35">
      <c r="C60609" s="2"/>
    </row>
    <row r="60610" spans="3:3" x14ac:dyDescent="0.35">
      <c r="C60610" s="2"/>
    </row>
    <row r="60611" spans="3:3" x14ac:dyDescent="0.35">
      <c r="C60611" s="2"/>
    </row>
    <row r="60612" spans="3:3" x14ac:dyDescent="0.35">
      <c r="C60612" s="2"/>
    </row>
    <row r="60613" spans="3:3" x14ac:dyDescent="0.35">
      <c r="C60613" s="2"/>
    </row>
    <row r="60614" spans="3:3" x14ac:dyDescent="0.35">
      <c r="C60614" s="2"/>
    </row>
    <row r="60615" spans="3:3" x14ac:dyDescent="0.35">
      <c r="C60615" s="2"/>
    </row>
    <row r="60616" spans="3:3" x14ac:dyDescent="0.35">
      <c r="C60616" s="2"/>
    </row>
    <row r="60617" spans="3:3" x14ac:dyDescent="0.35">
      <c r="C60617" s="2"/>
    </row>
    <row r="60618" spans="3:3" x14ac:dyDescent="0.35">
      <c r="C60618" s="2"/>
    </row>
    <row r="60619" spans="3:3" x14ac:dyDescent="0.35">
      <c r="C60619" s="2"/>
    </row>
    <row r="60620" spans="3:3" x14ac:dyDescent="0.35">
      <c r="C60620" s="2"/>
    </row>
    <row r="60621" spans="3:3" x14ac:dyDescent="0.35">
      <c r="C60621" s="2"/>
    </row>
    <row r="60622" spans="3:3" x14ac:dyDescent="0.35">
      <c r="C60622" s="2"/>
    </row>
    <row r="60623" spans="3:3" x14ac:dyDescent="0.35">
      <c r="C60623" s="2"/>
    </row>
    <row r="60624" spans="3:3" x14ac:dyDescent="0.35">
      <c r="C60624" s="2"/>
    </row>
    <row r="60625" spans="3:3" x14ac:dyDescent="0.35">
      <c r="C60625" s="2"/>
    </row>
    <row r="60626" spans="3:3" x14ac:dyDescent="0.35">
      <c r="C60626" s="2"/>
    </row>
    <row r="60627" spans="3:3" x14ac:dyDescent="0.35">
      <c r="C60627" s="2"/>
    </row>
    <row r="60628" spans="3:3" x14ac:dyDescent="0.35">
      <c r="C60628" s="2"/>
    </row>
    <row r="60629" spans="3:3" x14ac:dyDescent="0.35">
      <c r="C60629" s="2"/>
    </row>
    <row r="60630" spans="3:3" x14ac:dyDescent="0.35">
      <c r="C60630" s="2"/>
    </row>
    <row r="60631" spans="3:3" x14ac:dyDescent="0.35">
      <c r="C60631" s="2"/>
    </row>
    <row r="60632" spans="3:3" x14ac:dyDescent="0.35">
      <c r="C60632" s="2"/>
    </row>
    <row r="60633" spans="3:3" x14ac:dyDescent="0.35">
      <c r="C60633" s="2"/>
    </row>
    <row r="60634" spans="3:3" x14ac:dyDescent="0.35">
      <c r="C60634" s="2"/>
    </row>
    <row r="60635" spans="3:3" x14ac:dyDescent="0.35">
      <c r="C60635" s="2"/>
    </row>
    <row r="60636" spans="3:3" x14ac:dyDescent="0.35">
      <c r="C60636" s="2"/>
    </row>
    <row r="60637" spans="3:3" x14ac:dyDescent="0.35">
      <c r="C60637" s="2"/>
    </row>
    <row r="60638" spans="3:3" x14ac:dyDescent="0.35">
      <c r="C60638" s="2"/>
    </row>
    <row r="60639" spans="3:3" x14ac:dyDescent="0.35">
      <c r="C60639" s="2"/>
    </row>
    <row r="60640" spans="3:3" x14ac:dyDescent="0.35">
      <c r="C60640" s="2"/>
    </row>
    <row r="60641" spans="3:3" x14ac:dyDescent="0.35">
      <c r="C60641" s="2"/>
    </row>
    <row r="60642" spans="3:3" x14ac:dyDescent="0.35">
      <c r="C60642" s="2"/>
    </row>
    <row r="60643" spans="3:3" x14ac:dyDescent="0.35">
      <c r="C60643" s="2"/>
    </row>
    <row r="60644" spans="3:3" x14ac:dyDescent="0.35">
      <c r="C60644" s="2"/>
    </row>
    <row r="60645" spans="3:3" x14ac:dyDescent="0.35">
      <c r="C60645" s="2"/>
    </row>
    <row r="60646" spans="3:3" x14ac:dyDescent="0.35">
      <c r="C60646" s="2"/>
    </row>
    <row r="60647" spans="3:3" x14ac:dyDescent="0.35">
      <c r="C60647" s="2"/>
    </row>
    <row r="60648" spans="3:3" x14ac:dyDescent="0.35">
      <c r="C60648" s="2"/>
    </row>
    <row r="60649" spans="3:3" x14ac:dyDescent="0.35">
      <c r="C60649" s="2"/>
    </row>
    <row r="60650" spans="3:3" x14ac:dyDescent="0.35">
      <c r="C60650" s="2"/>
    </row>
    <row r="60651" spans="3:3" x14ac:dyDescent="0.35">
      <c r="C60651" s="2"/>
    </row>
    <row r="60652" spans="3:3" x14ac:dyDescent="0.35">
      <c r="C60652" s="2"/>
    </row>
    <row r="60653" spans="3:3" x14ac:dyDescent="0.35">
      <c r="C60653" s="2"/>
    </row>
    <row r="60654" spans="3:3" x14ac:dyDescent="0.35">
      <c r="C60654" s="2"/>
    </row>
    <row r="60655" spans="3:3" x14ac:dyDescent="0.35">
      <c r="C60655" s="2"/>
    </row>
    <row r="60656" spans="3:3" x14ac:dyDescent="0.35">
      <c r="C60656" s="2"/>
    </row>
    <row r="60657" spans="3:3" x14ac:dyDescent="0.35">
      <c r="C60657" s="2"/>
    </row>
    <row r="60658" spans="3:3" x14ac:dyDescent="0.35">
      <c r="C60658" s="2"/>
    </row>
    <row r="60659" spans="3:3" x14ac:dyDescent="0.35">
      <c r="C60659" s="2"/>
    </row>
    <row r="60660" spans="3:3" x14ac:dyDescent="0.35">
      <c r="C60660" s="2"/>
    </row>
    <row r="60661" spans="3:3" x14ac:dyDescent="0.35">
      <c r="C60661" s="2"/>
    </row>
    <row r="60662" spans="3:3" x14ac:dyDescent="0.35">
      <c r="C60662" s="2"/>
    </row>
    <row r="60663" spans="3:3" x14ac:dyDescent="0.35">
      <c r="C60663" s="2"/>
    </row>
    <row r="60664" spans="3:3" x14ac:dyDescent="0.35">
      <c r="C60664" s="2"/>
    </row>
    <row r="60665" spans="3:3" x14ac:dyDescent="0.35">
      <c r="C60665" s="2"/>
    </row>
    <row r="60666" spans="3:3" x14ac:dyDescent="0.35">
      <c r="C60666" s="2"/>
    </row>
    <row r="60667" spans="3:3" x14ac:dyDescent="0.35">
      <c r="C60667" s="2"/>
    </row>
    <row r="60668" spans="3:3" x14ac:dyDescent="0.35">
      <c r="C60668" s="2"/>
    </row>
    <row r="60669" spans="3:3" x14ac:dyDescent="0.35">
      <c r="C60669" s="2"/>
    </row>
    <row r="60670" spans="3:3" x14ac:dyDescent="0.35">
      <c r="C60670" s="2"/>
    </row>
    <row r="60671" spans="3:3" x14ac:dyDescent="0.35">
      <c r="C60671" s="2"/>
    </row>
    <row r="60672" spans="3:3" x14ac:dyDescent="0.35">
      <c r="C60672" s="2"/>
    </row>
    <row r="60673" spans="3:3" x14ac:dyDescent="0.35">
      <c r="C60673" s="2"/>
    </row>
    <row r="60674" spans="3:3" x14ac:dyDescent="0.35">
      <c r="C60674" s="2"/>
    </row>
    <row r="60675" spans="3:3" x14ac:dyDescent="0.35">
      <c r="C60675" s="2"/>
    </row>
    <row r="60676" spans="3:3" x14ac:dyDescent="0.35">
      <c r="C60676" s="2"/>
    </row>
    <row r="60677" spans="3:3" x14ac:dyDescent="0.35">
      <c r="C60677" s="2"/>
    </row>
    <row r="60678" spans="3:3" x14ac:dyDescent="0.35">
      <c r="C60678" s="2"/>
    </row>
    <row r="60679" spans="3:3" x14ac:dyDescent="0.35">
      <c r="C60679" s="2"/>
    </row>
    <row r="60680" spans="3:3" x14ac:dyDescent="0.35">
      <c r="C60680" s="2"/>
    </row>
    <row r="60681" spans="3:3" x14ac:dyDescent="0.35">
      <c r="C60681" s="2"/>
    </row>
    <row r="60682" spans="3:3" x14ac:dyDescent="0.35">
      <c r="C60682" s="2"/>
    </row>
    <row r="60683" spans="3:3" x14ac:dyDescent="0.35">
      <c r="C60683" s="2"/>
    </row>
    <row r="60684" spans="3:3" x14ac:dyDescent="0.35">
      <c r="C60684" s="2"/>
    </row>
    <row r="60685" spans="3:3" x14ac:dyDescent="0.35">
      <c r="C60685" s="2"/>
    </row>
    <row r="60686" spans="3:3" x14ac:dyDescent="0.35">
      <c r="C60686" s="2"/>
    </row>
    <row r="60687" spans="3:3" x14ac:dyDescent="0.35">
      <c r="C60687" s="2"/>
    </row>
    <row r="60688" spans="3:3" x14ac:dyDescent="0.35">
      <c r="C60688" s="2"/>
    </row>
    <row r="60689" spans="3:3" x14ac:dyDescent="0.35">
      <c r="C60689" s="2"/>
    </row>
    <row r="60690" spans="3:3" x14ac:dyDescent="0.35">
      <c r="C60690" s="2"/>
    </row>
    <row r="60691" spans="3:3" x14ac:dyDescent="0.35">
      <c r="C60691" s="2"/>
    </row>
    <row r="60692" spans="3:3" x14ac:dyDescent="0.35">
      <c r="C60692" s="2"/>
    </row>
    <row r="60693" spans="3:3" x14ac:dyDescent="0.35">
      <c r="C60693" s="2"/>
    </row>
    <row r="60694" spans="3:3" x14ac:dyDescent="0.35">
      <c r="C60694" s="2"/>
    </row>
    <row r="60695" spans="3:3" x14ac:dyDescent="0.35">
      <c r="C60695" s="2"/>
    </row>
    <row r="60696" spans="3:3" x14ac:dyDescent="0.35">
      <c r="C60696" s="2"/>
    </row>
    <row r="60697" spans="3:3" x14ac:dyDescent="0.35">
      <c r="C60697" s="2"/>
    </row>
    <row r="60698" spans="3:3" x14ac:dyDescent="0.35">
      <c r="C60698" s="2"/>
    </row>
    <row r="60699" spans="3:3" x14ac:dyDescent="0.35">
      <c r="C60699" s="2"/>
    </row>
    <row r="60700" spans="3:3" x14ac:dyDescent="0.35">
      <c r="C60700" s="2"/>
    </row>
    <row r="60701" spans="3:3" x14ac:dyDescent="0.35">
      <c r="C60701" s="2"/>
    </row>
    <row r="60702" spans="3:3" x14ac:dyDescent="0.35">
      <c r="C60702" s="2"/>
    </row>
    <row r="60703" spans="3:3" x14ac:dyDescent="0.35">
      <c r="C60703" s="2"/>
    </row>
    <row r="60704" spans="3:3" x14ac:dyDescent="0.35">
      <c r="C60704" s="2"/>
    </row>
    <row r="60705" spans="3:3" x14ac:dyDescent="0.35">
      <c r="C60705" s="2"/>
    </row>
    <row r="60706" spans="3:3" x14ac:dyDescent="0.35">
      <c r="C60706" s="2"/>
    </row>
    <row r="60707" spans="3:3" x14ac:dyDescent="0.35">
      <c r="C60707" s="2"/>
    </row>
    <row r="60708" spans="3:3" x14ac:dyDescent="0.35">
      <c r="C60708" s="2"/>
    </row>
    <row r="60709" spans="3:3" x14ac:dyDescent="0.35">
      <c r="C60709" s="2"/>
    </row>
    <row r="60710" spans="3:3" x14ac:dyDescent="0.35">
      <c r="C60710" s="2"/>
    </row>
    <row r="60711" spans="3:3" x14ac:dyDescent="0.35">
      <c r="C60711" s="2"/>
    </row>
    <row r="60712" spans="3:3" x14ac:dyDescent="0.35">
      <c r="C60712" s="2"/>
    </row>
    <row r="60713" spans="3:3" x14ac:dyDescent="0.35">
      <c r="C60713" s="2"/>
    </row>
    <row r="60714" spans="3:3" x14ac:dyDescent="0.35">
      <c r="C60714" s="2"/>
    </row>
    <row r="60715" spans="3:3" x14ac:dyDescent="0.35">
      <c r="C60715" s="2"/>
    </row>
    <row r="60716" spans="3:3" x14ac:dyDescent="0.35">
      <c r="C60716" s="2"/>
    </row>
    <row r="60717" spans="3:3" x14ac:dyDescent="0.35">
      <c r="C60717" s="2"/>
    </row>
    <row r="60718" spans="3:3" x14ac:dyDescent="0.35">
      <c r="C60718" s="2"/>
    </row>
    <row r="60719" spans="3:3" x14ac:dyDescent="0.35">
      <c r="C60719" s="2"/>
    </row>
    <row r="60720" spans="3:3" x14ac:dyDescent="0.35">
      <c r="C60720" s="2"/>
    </row>
    <row r="60721" spans="3:3" x14ac:dyDescent="0.35">
      <c r="C60721" s="2"/>
    </row>
    <row r="60722" spans="3:3" x14ac:dyDescent="0.35">
      <c r="C60722" s="2"/>
    </row>
    <row r="60723" spans="3:3" x14ac:dyDescent="0.35">
      <c r="C60723" s="2"/>
    </row>
    <row r="60724" spans="3:3" x14ac:dyDescent="0.35">
      <c r="C60724" s="2"/>
    </row>
    <row r="60725" spans="3:3" x14ac:dyDescent="0.35">
      <c r="C60725" s="2"/>
    </row>
    <row r="60726" spans="3:3" x14ac:dyDescent="0.35">
      <c r="C60726" s="2"/>
    </row>
    <row r="60727" spans="3:3" x14ac:dyDescent="0.35">
      <c r="C60727" s="2"/>
    </row>
    <row r="60728" spans="3:3" x14ac:dyDescent="0.35">
      <c r="C60728" s="2"/>
    </row>
    <row r="60729" spans="3:3" x14ac:dyDescent="0.35">
      <c r="C60729" s="2"/>
    </row>
    <row r="60730" spans="3:3" x14ac:dyDescent="0.35">
      <c r="C60730" s="2"/>
    </row>
    <row r="60731" spans="3:3" x14ac:dyDescent="0.35">
      <c r="C60731" s="2"/>
    </row>
    <row r="60732" spans="3:3" x14ac:dyDescent="0.35">
      <c r="C60732" s="2"/>
    </row>
    <row r="60733" spans="3:3" x14ac:dyDescent="0.35">
      <c r="C60733" s="2"/>
    </row>
    <row r="60734" spans="3:3" x14ac:dyDescent="0.35">
      <c r="C60734" s="2"/>
    </row>
    <row r="60735" spans="3:3" x14ac:dyDescent="0.35">
      <c r="C60735" s="2"/>
    </row>
    <row r="60736" spans="3:3" x14ac:dyDescent="0.35">
      <c r="C60736" s="2"/>
    </row>
    <row r="60737" spans="3:3" x14ac:dyDescent="0.35">
      <c r="C60737" s="2"/>
    </row>
    <row r="60738" spans="3:3" x14ac:dyDescent="0.35">
      <c r="C60738" s="2"/>
    </row>
    <row r="60739" spans="3:3" x14ac:dyDescent="0.35">
      <c r="C60739" s="2"/>
    </row>
    <row r="60740" spans="3:3" x14ac:dyDescent="0.35">
      <c r="C60740" s="2"/>
    </row>
    <row r="60741" spans="3:3" x14ac:dyDescent="0.35">
      <c r="C60741" s="2"/>
    </row>
    <row r="60742" spans="3:3" x14ac:dyDescent="0.35">
      <c r="C60742" s="2"/>
    </row>
    <row r="60743" spans="3:3" x14ac:dyDescent="0.35">
      <c r="C60743" s="2"/>
    </row>
    <row r="60744" spans="3:3" x14ac:dyDescent="0.35">
      <c r="C60744" s="2"/>
    </row>
    <row r="60745" spans="3:3" x14ac:dyDescent="0.35">
      <c r="C60745" s="2"/>
    </row>
    <row r="60746" spans="3:3" x14ac:dyDescent="0.35">
      <c r="C60746" s="2"/>
    </row>
    <row r="60747" spans="3:3" x14ac:dyDescent="0.35">
      <c r="C60747" s="2"/>
    </row>
    <row r="60748" spans="3:3" x14ac:dyDescent="0.35">
      <c r="C60748" s="2"/>
    </row>
    <row r="60749" spans="3:3" x14ac:dyDescent="0.35">
      <c r="C60749" s="2"/>
    </row>
    <row r="60750" spans="3:3" x14ac:dyDescent="0.35">
      <c r="C60750" s="2"/>
    </row>
    <row r="60751" spans="3:3" x14ac:dyDescent="0.35">
      <c r="C60751" s="2"/>
    </row>
    <row r="60752" spans="3:3" x14ac:dyDescent="0.35">
      <c r="C60752" s="2"/>
    </row>
    <row r="60753" spans="3:3" x14ac:dyDescent="0.35">
      <c r="C60753" s="2"/>
    </row>
    <row r="60754" spans="3:3" x14ac:dyDescent="0.35">
      <c r="C60754" s="2"/>
    </row>
    <row r="60755" spans="3:3" x14ac:dyDescent="0.35">
      <c r="C60755" s="2"/>
    </row>
    <row r="60756" spans="3:3" x14ac:dyDescent="0.35">
      <c r="C60756" s="2"/>
    </row>
    <row r="60757" spans="3:3" x14ac:dyDescent="0.35">
      <c r="C60757" s="2"/>
    </row>
    <row r="60758" spans="3:3" x14ac:dyDescent="0.35">
      <c r="C60758" s="2"/>
    </row>
    <row r="60759" spans="3:3" x14ac:dyDescent="0.35">
      <c r="C60759" s="2"/>
    </row>
    <row r="60760" spans="3:3" x14ac:dyDescent="0.35">
      <c r="C60760" s="2"/>
    </row>
    <row r="60761" spans="3:3" x14ac:dyDescent="0.35">
      <c r="C60761" s="2"/>
    </row>
    <row r="60762" spans="3:3" x14ac:dyDescent="0.35">
      <c r="C60762" s="2"/>
    </row>
    <row r="60763" spans="3:3" x14ac:dyDescent="0.35">
      <c r="C60763" s="2"/>
    </row>
    <row r="60764" spans="3:3" x14ac:dyDescent="0.35">
      <c r="C60764" s="2"/>
    </row>
    <row r="60765" spans="3:3" x14ac:dyDescent="0.35">
      <c r="C60765" s="2"/>
    </row>
    <row r="60766" spans="3:3" x14ac:dyDescent="0.35">
      <c r="C60766" s="2"/>
    </row>
    <row r="60767" spans="3:3" x14ac:dyDescent="0.35">
      <c r="C60767" s="2"/>
    </row>
    <row r="60768" spans="3:3" x14ac:dyDescent="0.35">
      <c r="C60768" s="2"/>
    </row>
    <row r="60769" spans="3:3" x14ac:dyDescent="0.35">
      <c r="C60769" s="2"/>
    </row>
    <row r="60770" spans="3:3" x14ac:dyDescent="0.35">
      <c r="C60770" s="2"/>
    </row>
    <row r="60771" spans="3:3" x14ac:dyDescent="0.35">
      <c r="C60771" s="2"/>
    </row>
    <row r="60772" spans="3:3" x14ac:dyDescent="0.35">
      <c r="C60772" s="2"/>
    </row>
    <row r="60773" spans="3:3" x14ac:dyDescent="0.35">
      <c r="C60773" s="2"/>
    </row>
    <row r="60774" spans="3:3" x14ac:dyDescent="0.35">
      <c r="C60774" s="2"/>
    </row>
    <row r="60775" spans="3:3" x14ac:dyDescent="0.35">
      <c r="C60775" s="2"/>
    </row>
    <row r="60776" spans="3:3" x14ac:dyDescent="0.35">
      <c r="C60776" s="2"/>
    </row>
    <row r="60777" spans="3:3" x14ac:dyDescent="0.35">
      <c r="C60777" s="2"/>
    </row>
    <row r="60778" spans="3:3" x14ac:dyDescent="0.35">
      <c r="C60778" s="2"/>
    </row>
    <row r="60779" spans="3:3" x14ac:dyDescent="0.35">
      <c r="C60779" s="2"/>
    </row>
    <row r="60780" spans="3:3" x14ac:dyDescent="0.35">
      <c r="C60780" s="2"/>
    </row>
    <row r="60781" spans="3:3" x14ac:dyDescent="0.35">
      <c r="C60781" s="2"/>
    </row>
    <row r="60782" spans="3:3" x14ac:dyDescent="0.35">
      <c r="C60782" s="2"/>
    </row>
    <row r="60783" spans="3:3" x14ac:dyDescent="0.35">
      <c r="C60783" s="2"/>
    </row>
    <row r="60784" spans="3:3" x14ac:dyDescent="0.35">
      <c r="C60784" s="2"/>
    </row>
    <row r="60785" spans="3:3" x14ac:dyDescent="0.35">
      <c r="C60785" s="2"/>
    </row>
    <row r="60786" spans="3:3" x14ac:dyDescent="0.35">
      <c r="C60786" s="2"/>
    </row>
    <row r="60787" spans="3:3" x14ac:dyDescent="0.35">
      <c r="C60787" s="2"/>
    </row>
    <row r="60788" spans="3:3" x14ac:dyDescent="0.35">
      <c r="C60788" s="2"/>
    </row>
    <row r="60789" spans="3:3" x14ac:dyDescent="0.35">
      <c r="C60789" s="2"/>
    </row>
    <row r="60790" spans="3:3" x14ac:dyDescent="0.35">
      <c r="C60790" s="2"/>
    </row>
    <row r="60791" spans="3:3" x14ac:dyDescent="0.35">
      <c r="C60791" s="2"/>
    </row>
    <row r="60792" spans="3:3" x14ac:dyDescent="0.35">
      <c r="C60792" s="2"/>
    </row>
    <row r="60793" spans="3:3" x14ac:dyDescent="0.35">
      <c r="C60793" s="2"/>
    </row>
    <row r="60794" spans="3:3" x14ac:dyDescent="0.35">
      <c r="C60794" s="2"/>
    </row>
    <row r="60795" spans="3:3" x14ac:dyDescent="0.35">
      <c r="C60795" s="2"/>
    </row>
    <row r="60796" spans="3:3" x14ac:dyDescent="0.35">
      <c r="C60796" s="2"/>
    </row>
    <row r="60797" spans="3:3" x14ac:dyDescent="0.35">
      <c r="C60797" s="2"/>
    </row>
    <row r="60798" spans="3:3" x14ac:dyDescent="0.35">
      <c r="C60798" s="2"/>
    </row>
    <row r="60799" spans="3:3" x14ac:dyDescent="0.35">
      <c r="C60799" s="2"/>
    </row>
    <row r="60800" spans="3:3" x14ac:dyDescent="0.35">
      <c r="C60800" s="2"/>
    </row>
    <row r="60801" spans="3:3" x14ac:dyDescent="0.35">
      <c r="C60801" s="2"/>
    </row>
    <row r="60802" spans="3:3" x14ac:dyDescent="0.35">
      <c r="C60802" s="2"/>
    </row>
    <row r="60803" spans="3:3" x14ac:dyDescent="0.35">
      <c r="C60803" s="2"/>
    </row>
    <row r="60804" spans="3:3" x14ac:dyDescent="0.35">
      <c r="C60804" s="2"/>
    </row>
    <row r="60805" spans="3:3" x14ac:dyDescent="0.35">
      <c r="C60805" s="2"/>
    </row>
    <row r="60806" spans="3:3" x14ac:dyDescent="0.35">
      <c r="C60806" s="2"/>
    </row>
    <row r="60807" spans="3:3" x14ac:dyDescent="0.35">
      <c r="C60807" s="2"/>
    </row>
    <row r="60808" spans="3:3" x14ac:dyDescent="0.35">
      <c r="C60808" s="2"/>
    </row>
    <row r="60809" spans="3:3" x14ac:dyDescent="0.35">
      <c r="C60809" s="2"/>
    </row>
    <row r="60810" spans="3:3" x14ac:dyDescent="0.35">
      <c r="C60810" s="2"/>
    </row>
    <row r="60811" spans="3:3" x14ac:dyDescent="0.35">
      <c r="C60811" s="2"/>
    </row>
    <row r="60812" spans="3:3" x14ac:dyDescent="0.35">
      <c r="C60812" s="2"/>
    </row>
    <row r="60813" spans="3:3" x14ac:dyDescent="0.35">
      <c r="C60813" s="2"/>
    </row>
    <row r="60814" spans="3:3" x14ac:dyDescent="0.35">
      <c r="C60814" s="2"/>
    </row>
    <row r="60815" spans="3:3" x14ac:dyDescent="0.35">
      <c r="C60815" s="2"/>
    </row>
    <row r="60816" spans="3:3" x14ac:dyDescent="0.35">
      <c r="C60816" s="2"/>
    </row>
    <row r="60817" spans="3:3" x14ac:dyDescent="0.35">
      <c r="C60817" s="2"/>
    </row>
    <row r="60818" spans="3:3" x14ac:dyDescent="0.35">
      <c r="C60818" s="2"/>
    </row>
    <row r="60819" spans="3:3" x14ac:dyDescent="0.35">
      <c r="C60819" s="2"/>
    </row>
    <row r="60820" spans="3:3" x14ac:dyDescent="0.35">
      <c r="C60820" s="2"/>
    </row>
    <row r="60821" spans="3:3" x14ac:dyDescent="0.35">
      <c r="C60821" s="2"/>
    </row>
    <row r="60822" spans="3:3" x14ac:dyDescent="0.35">
      <c r="C60822" s="2"/>
    </row>
    <row r="60823" spans="3:3" x14ac:dyDescent="0.35">
      <c r="C60823" s="2"/>
    </row>
    <row r="60824" spans="3:3" x14ac:dyDescent="0.35">
      <c r="C60824" s="2"/>
    </row>
    <row r="60825" spans="3:3" x14ac:dyDescent="0.35">
      <c r="C60825" s="2"/>
    </row>
    <row r="60826" spans="3:3" x14ac:dyDescent="0.35">
      <c r="C60826" s="2"/>
    </row>
    <row r="60827" spans="3:3" x14ac:dyDescent="0.35">
      <c r="C60827" s="2"/>
    </row>
    <row r="60828" spans="3:3" x14ac:dyDescent="0.35">
      <c r="C60828" s="2"/>
    </row>
    <row r="60829" spans="3:3" x14ac:dyDescent="0.35">
      <c r="C60829" s="2"/>
    </row>
    <row r="60830" spans="3:3" x14ac:dyDescent="0.35">
      <c r="C60830" s="2"/>
    </row>
    <row r="60831" spans="3:3" x14ac:dyDescent="0.35">
      <c r="C60831" s="2"/>
    </row>
    <row r="60832" spans="3:3" x14ac:dyDescent="0.35">
      <c r="C60832" s="2"/>
    </row>
    <row r="60833" spans="3:3" x14ac:dyDescent="0.35">
      <c r="C60833" s="2"/>
    </row>
    <row r="60834" spans="3:3" x14ac:dyDescent="0.35">
      <c r="C60834" s="2"/>
    </row>
    <row r="60835" spans="3:3" x14ac:dyDescent="0.35">
      <c r="C60835" s="2"/>
    </row>
    <row r="60836" spans="3:3" x14ac:dyDescent="0.35">
      <c r="C60836" s="2"/>
    </row>
    <row r="60837" spans="3:3" x14ac:dyDescent="0.35">
      <c r="C60837" s="2"/>
    </row>
    <row r="60838" spans="3:3" x14ac:dyDescent="0.35">
      <c r="C60838" s="2"/>
    </row>
    <row r="60839" spans="3:3" x14ac:dyDescent="0.35">
      <c r="C60839" s="2"/>
    </row>
    <row r="60840" spans="3:3" x14ac:dyDescent="0.35">
      <c r="C60840" s="2"/>
    </row>
    <row r="60841" spans="3:3" x14ac:dyDescent="0.35">
      <c r="C60841" s="2"/>
    </row>
    <row r="60842" spans="3:3" x14ac:dyDescent="0.35">
      <c r="C60842" s="2"/>
    </row>
    <row r="60843" spans="3:3" x14ac:dyDescent="0.35">
      <c r="C60843" s="2"/>
    </row>
    <row r="60844" spans="3:3" x14ac:dyDescent="0.35">
      <c r="C60844" s="2"/>
    </row>
    <row r="60845" spans="3:3" x14ac:dyDescent="0.35">
      <c r="C60845" s="2"/>
    </row>
    <row r="60846" spans="3:3" x14ac:dyDescent="0.35">
      <c r="C60846" s="2"/>
    </row>
    <row r="60847" spans="3:3" x14ac:dyDescent="0.35">
      <c r="C60847" s="2"/>
    </row>
    <row r="60848" spans="3:3" x14ac:dyDescent="0.35">
      <c r="C60848" s="2"/>
    </row>
    <row r="60849" spans="3:3" x14ac:dyDescent="0.35">
      <c r="C60849" s="2"/>
    </row>
    <row r="60850" spans="3:3" x14ac:dyDescent="0.35">
      <c r="C60850" s="2"/>
    </row>
    <row r="60851" spans="3:3" x14ac:dyDescent="0.35">
      <c r="C60851" s="2"/>
    </row>
    <row r="60852" spans="3:3" x14ac:dyDescent="0.35">
      <c r="C60852" s="2"/>
    </row>
    <row r="60853" spans="3:3" x14ac:dyDescent="0.35">
      <c r="C60853" s="2"/>
    </row>
    <row r="60854" spans="3:3" x14ac:dyDescent="0.35">
      <c r="C60854" s="2"/>
    </row>
    <row r="60855" spans="3:3" x14ac:dyDescent="0.35">
      <c r="C60855" s="2"/>
    </row>
    <row r="60856" spans="3:3" x14ac:dyDescent="0.35">
      <c r="C60856" s="2"/>
    </row>
    <row r="60857" spans="3:3" x14ac:dyDescent="0.35">
      <c r="C60857" s="2"/>
    </row>
    <row r="60858" spans="3:3" x14ac:dyDescent="0.35">
      <c r="C60858" s="2"/>
    </row>
    <row r="60859" spans="3:3" x14ac:dyDescent="0.35">
      <c r="C60859" s="2"/>
    </row>
    <row r="60860" spans="3:3" x14ac:dyDescent="0.35">
      <c r="C60860" s="2"/>
    </row>
    <row r="60861" spans="3:3" x14ac:dyDescent="0.35">
      <c r="C60861" s="2"/>
    </row>
    <row r="60862" spans="3:3" x14ac:dyDescent="0.35">
      <c r="C60862" s="2"/>
    </row>
    <row r="60863" spans="3:3" x14ac:dyDescent="0.35">
      <c r="C60863" s="2"/>
    </row>
    <row r="60864" spans="3:3" x14ac:dyDescent="0.35">
      <c r="C60864" s="2"/>
    </row>
    <row r="60865" spans="3:3" x14ac:dyDescent="0.35">
      <c r="C60865" s="2"/>
    </row>
    <row r="60866" spans="3:3" x14ac:dyDescent="0.35">
      <c r="C60866" s="2"/>
    </row>
    <row r="60867" spans="3:3" x14ac:dyDescent="0.35">
      <c r="C60867" s="2"/>
    </row>
    <row r="60868" spans="3:3" x14ac:dyDescent="0.35">
      <c r="C60868" s="2"/>
    </row>
    <row r="60869" spans="3:3" x14ac:dyDescent="0.35">
      <c r="C60869" s="2"/>
    </row>
    <row r="60870" spans="3:3" x14ac:dyDescent="0.35">
      <c r="C60870" s="2"/>
    </row>
    <row r="60871" spans="3:3" x14ac:dyDescent="0.35">
      <c r="C60871" s="2"/>
    </row>
    <row r="60872" spans="3:3" x14ac:dyDescent="0.35">
      <c r="C60872" s="2"/>
    </row>
    <row r="60873" spans="3:3" x14ac:dyDescent="0.35">
      <c r="C60873" s="2"/>
    </row>
    <row r="60874" spans="3:3" x14ac:dyDescent="0.35">
      <c r="C60874" s="2"/>
    </row>
    <row r="60875" spans="3:3" x14ac:dyDescent="0.35">
      <c r="C60875" s="2"/>
    </row>
    <row r="60876" spans="3:3" x14ac:dyDescent="0.35">
      <c r="C60876" s="2"/>
    </row>
    <row r="60877" spans="3:3" x14ac:dyDescent="0.35">
      <c r="C60877" s="2"/>
    </row>
    <row r="60878" spans="3:3" x14ac:dyDescent="0.35">
      <c r="C60878" s="2"/>
    </row>
    <row r="60879" spans="3:3" x14ac:dyDescent="0.35">
      <c r="C60879" s="2"/>
    </row>
    <row r="60880" spans="3:3" x14ac:dyDescent="0.35">
      <c r="C60880" s="2"/>
    </row>
    <row r="60881" spans="3:3" x14ac:dyDescent="0.35">
      <c r="C60881" s="2"/>
    </row>
    <row r="60882" spans="3:3" x14ac:dyDescent="0.35">
      <c r="C60882" s="2"/>
    </row>
    <row r="60883" spans="3:3" x14ac:dyDescent="0.35">
      <c r="C60883" s="2"/>
    </row>
    <row r="60884" spans="3:3" x14ac:dyDescent="0.35">
      <c r="C60884" s="2"/>
    </row>
    <row r="60885" spans="3:3" x14ac:dyDescent="0.35">
      <c r="C60885" s="2"/>
    </row>
    <row r="60886" spans="3:3" x14ac:dyDescent="0.35">
      <c r="C60886" s="2"/>
    </row>
    <row r="60887" spans="3:3" x14ac:dyDescent="0.35">
      <c r="C60887" s="2"/>
    </row>
    <row r="60888" spans="3:3" x14ac:dyDescent="0.35">
      <c r="C60888" s="2"/>
    </row>
    <row r="60889" spans="3:3" x14ac:dyDescent="0.35">
      <c r="C60889" s="2"/>
    </row>
    <row r="60890" spans="3:3" x14ac:dyDescent="0.35">
      <c r="C60890" s="2"/>
    </row>
    <row r="60891" spans="3:3" x14ac:dyDescent="0.35">
      <c r="C60891" s="2"/>
    </row>
    <row r="60892" spans="3:3" x14ac:dyDescent="0.35">
      <c r="C60892" s="2"/>
    </row>
    <row r="60893" spans="3:3" x14ac:dyDescent="0.35">
      <c r="C60893" s="2"/>
    </row>
    <row r="60894" spans="3:3" x14ac:dyDescent="0.35">
      <c r="C60894" s="2"/>
    </row>
    <row r="60895" spans="3:3" x14ac:dyDescent="0.35">
      <c r="C60895" s="2"/>
    </row>
    <row r="60896" spans="3:3" x14ac:dyDescent="0.35">
      <c r="C60896" s="2"/>
    </row>
    <row r="60897" spans="3:3" x14ac:dyDescent="0.35">
      <c r="C60897" s="2"/>
    </row>
    <row r="60898" spans="3:3" x14ac:dyDescent="0.35">
      <c r="C60898" s="2"/>
    </row>
    <row r="60899" spans="3:3" x14ac:dyDescent="0.35">
      <c r="C60899" s="2"/>
    </row>
    <row r="60900" spans="3:3" x14ac:dyDescent="0.35">
      <c r="C60900" s="2"/>
    </row>
    <row r="60901" spans="3:3" x14ac:dyDescent="0.35">
      <c r="C60901" s="2"/>
    </row>
    <row r="60902" spans="3:3" x14ac:dyDescent="0.35">
      <c r="C60902" s="2"/>
    </row>
    <row r="60903" spans="3:3" x14ac:dyDescent="0.35">
      <c r="C60903" s="2"/>
    </row>
    <row r="60904" spans="3:3" x14ac:dyDescent="0.35">
      <c r="C60904" s="2"/>
    </row>
    <row r="60905" spans="3:3" x14ac:dyDescent="0.35">
      <c r="C60905" s="2"/>
    </row>
    <row r="60906" spans="3:3" x14ac:dyDescent="0.35">
      <c r="C60906" s="2"/>
    </row>
    <row r="60907" spans="3:3" x14ac:dyDescent="0.35">
      <c r="C60907" s="2"/>
    </row>
    <row r="60908" spans="3:3" x14ac:dyDescent="0.35">
      <c r="C60908" s="2"/>
    </row>
    <row r="60909" spans="3:3" x14ac:dyDescent="0.35">
      <c r="C60909" s="2"/>
    </row>
    <row r="60910" spans="3:3" x14ac:dyDescent="0.35">
      <c r="C60910" s="2"/>
    </row>
    <row r="60911" spans="3:3" x14ac:dyDescent="0.35">
      <c r="C60911" s="2"/>
    </row>
    <row r="60912" spans="3:3" x14ac:dyDescent="0.35">
      <c r="C60912" s="2"/>
    </row>
    <row r="60913" spans="3:3" x14ac:dyDescent="0.35">
      <c r="C60913" s="2"/>
    </row>
    <row r="60914" spans="3:3" x14ac:dyDescent="0.35">
      <c r="C60914" s="2"/>
    </row>
    <row r="60915" spans="3:3" x14ac:dyDescent="0.35">
      <c r="C60915" s="2"/>
    </row>
    <row r="60916" spans="3:3" x14ac:dyDescent="0.35">
      <c r="C60916" s="2"/>
    </row>
    <row r="60917" spans="3:3" x14ac:dyDescent="0.35">
      <c r="C60917" s="2"/>
    </row>
    <row r="60918" spans="3:3" x14ac:dyDescent="0.35">
      <c r="C60918" s="2"/>
    </row>
    <row r="60919" spans="3:3" x14ac:dyDescent="0.35">
      <c r="C60919" s="2"/>
    </row>
    <row r="60920" spans="3:3" x14ac:dyDescent="0.35">
      <c r="C60920" s="2"/>
    </row>
    <row r="60921" spans="3:3" x14ac:dyDescent="0.35">
      <c r="C60921" s="2"/>
    </row>
    <row r="60922" spans="3:3" x14ac:dyDescent="0.35">
      <c r="C60922" s="2"/>
    </row>
    <row r="60923" spans="3:3" x14ac:dyDescent="0.35">
      <c r="C60923" s="2"/>
    </row>
    <row r="60924" spans="3:3" x14ac:dyDescent="0.35">
      <c r="C60924" s="2"/>
    </row>
    <row r="60925" spans="3:3" x14ac:dyDescent="0.35">
      <c r="C60925" s="2"/>
    </row>
    <row r="60926" spans="3:3" x14ac:dyDescent="0.35">
      <c r="C60926" s="2"/>
    </row>
    <row r="60927" spans="3:3" x14ac:dyDescent="0.35">
      <c r="C60927" s="2"/>
    </row>
    <row r="60928" spans="3:3" x14ac:dyDescent="0.35">
      <c r="C60928" s="2"/>
    </row>
    <row r="60929" spans="3:3" x14ac:dyDescent="0.35">
      <c r="C60929" s="2"/>
    </row>
    <row r="60930" spans="3:3" x14ac:dyDescent="0.35">
      <c r="C60930" s="2"/>
    </row>
    <row r="60931" spans="3:3" x14ac:dyDescent="0.35">
      <c r="C60931" s="2"/>
    </row>
    <row r="60932" spans="3:3" x14ac:dyDescent="0.35">
      <c r="C60932" s="2"/>
    </row>
    <row r="60933" spans="3:3" x14ac:dyDescent="0.35">
      <c r="C60933" s="2"/>
    </row>
    <row r="60934" spans="3:3" x14ac:dyDescent="0.35">
      <c r="C60934" s="2"/>
    </row>
    <row r="60935" spans="3:3" x14ac:dyDescent="0.35">
      <c r="C60935" s="2"/>
    </row>
    <row r="60936" spans="3:3" x14ac:dyDescent="0.35">
      <c r="C60936" s="2"/>
    </row>
    <row r="60937" spans="3:3" x14ac:dyDescent="0.35">
      <c r="C60937" s="2"/>
    </row>
    <row r="60938" spans="3:3" x14ac:dyDescent="0.35">
      <c r="C60938" s="2"/>
    </row>
    <row r="60939" spans="3:3" x14ac:dyDescent="0.35">
      <c r="C60939" s="2"/>
    </row>
    <row r="60940" spans="3:3" x14ac:dyDescent="0.35">
      <c r="C60940" s="2"/>
    </row>
    <row r="60941" spans="3:3" x14ac:dyDescent="0.35">
      <c r="C60941" s="2"/>
    </row>
    <row r="60942" spans="3:3" x14ac:dyDescent="0.35">
      <c r="C60942" s="2"/>
    </row>
    <row r="60943" spans="3:3" x14ac:dyDescent="0.35">
      <c r="C60943" s="2"/>
    </row>
    <row r="60944" spans="3:3" x14ac:dyDescent="0.35">
      <c r="C60944" s="2"/>
    </row>
    <row r="60945" spans="3:3" x14ac:dyDescent="0.35">
      <c r="C60945" s="2"/>
    </row>
    <row r="60946" spans="3:3" x14ac:dyDescent="0.35">
      <c r="C60946" s="2"/>
    </row>
    <row r="60947" spans="3:3" x14ac:dyDescent="0.35">
      <c r="C60947" s="2"/>
    </row>
    <row r="60948" spans="3:3" x14ac:dyDescent="0.35">
      <c r="C60948" s="2"/>
    </row>
    <row r="60949" spans="3:3" x14ac:dyDescent="0.35">
      <c r="C60949" s="2"/>
    </row>
    <row r="60950" spans="3:3" x14ac:dyDescent="0.35">
      <c r="C60950" s="2"/>
    </row>
    <row r="60951" spans="3:3" x14ac:dyDescent="0.35">
      <c r="C60951" s="2"/>
    </row>
    <row r="60952" spans="3:3" x14ac:dyDescent="0.35">
      <c r="C60952" s="2"/>
    </row>
    <row r="60953" spans="3:3" x14ac:dyDescent="0.35">
      <c r="C60953" s="2"/>
    </row>
    <row r="60954" spans="3:3" x14ac:dyDescent="0.35">
      <c r="C60954" s="2"/>
    </row>
    <row r="60955" spans="3:3" x14ac:dyDescent="0.35">
      <c r="C60955" s="2"/>
    </row>
    <row r="60956" spans="3:3" x14ac:dyDescent="0.35">
      <c r="C60956" s="2"/>
    </row>
    <row r="60957" spans="3:3" x14ac:dyDescent="0.35">
      <c r="C60957" s="2"/>
    </row>
    <row r="60958" spans="3:3" x14ac:dyDescent="0.35">
      <c r="C60958" s="2"/>
    </row>
    <row r="60959" spans="3:3" x14ac:dyDescent="0.35">
      <c r="C60959" s="2"/>
    </row>
    <row r="60960" spans="3:3" x14ac:dyDescent="0.35">
      <c r="C60960" s="2"/>
    </row>
    <row r="60961" spans="3:3" x14ac:dyDescent="0.35">
      <c r="C60961" s="2"/>
    </row>
    <row r="60962" spans="3:3" x14ac:dyDescent="0.35">
      <c r="C60962" s="2"/>
    </row>
    <row r="60963" spans="3:3" x14ac:dyDescent="0.35">
      <c r="C60963" s="2"/>
    </row>
    <row r="60964" spans="3:3" x14ac:dyDescent="0.35">
      <c r="C60964" s="2"/>
    </row>
    <row r="60965" spans="3:3" x14ac:dyDescent="0.35">
      <c r="C60965" s="2"/>
    </row>
    <row r="60966" spans="3:3" x14ac:dyDescent="0.35">
      <c r="C60966" s="2"/>
    </row>
    <row r="60967" spans="3:3" x14ac:dyDescent="0.35">
      <c r="C60967" s="2"/>
    </row>
    <row r="60968" spans="3:3" x14ac:dyDescent="0.35">
      <c r="C60968" s="2"/>
    </row>
    <row r="60969" spans="3:3" x14ac:dyDescent="0.35">
      <c r="C60969" s="2"/>
    </row>
    <row r="60970" spans="3:3" x14ac:dyDescent="0.35">
      <c r="C60970" s="2"/>
    </row>
    <row r="60971" spans="3:3" x14ac:dyDescent="0.35">
      <c r="C60971" s="2"/>
    </row>
    <row r="60972" spans="3:3" x14ac:dyDescent="0.35">
      <c r="C60972" s="2"/>
    </row>
    <row r="60973" spans="3:3" x14ac:dyDescent="0.35">
      <c r="C60973" s="2"/>
    </row>
    <row r="60974" spans="3:3" x14ac:dyDescent="0.35">
      <c r="C60974" s="2"/>
    </row>
    <row r="60975" spans="3:3" x14ac:dyDescent="0.35">
      <c r="C60975" s="2"/>
    </row>
    <row r="60976" spans="3:3" x14ac:dyDescent="0.35">
      <c r="C60976" s="2"/>
    </row>
    <row r="60977" spans="3:3" x14ac:dyDescent="0.35">
      <c r="C60977" s="2"/>
    </row>
    <row r="60978" spans="3:3" x14ac:dyDescent="0.35">
      <c r="C60978" s="2"/>
    </row>
    <row r="60979" spans="3:3" x14ac:dyDescent="0.35">
      <c r="C60979" s="2"/>
    </row>
    <row r="60980" spans="3:3" x14ac:dyDescent="0.35">
      <c r="C60980" s="2"/>
    </row>
    <row r="60981" spans="3:3" x14ac:dyDescent="0.35">
      <c r="C60981" s="2"/>
    </row>
    <row r="60982" spans="3:3" x14ac:dyDescent="0.35">
      <c r="C60982" s="2"/>
    </row>
    <row r="60983" spans="3:3" x14ac:dyDescent="0.35">
      <c r="C60983" s="2"/>
    </row>
    <row r="60984" spans="3:3" x14ac:dyDescent="0.35">
      <c r="C60984" s="2"/>
    </row>
    <row r="60985" spans="3:3" x14ac:dyDescent="0.35">
      <c r="C60985" s="2"/>
    </row>
    <row r="60986" spans="3:3" x14ac:dyDescent="0.35">
      <c r="C60986" s="2"/>
    </row>
    <row r="60987" spans="3:3" x14ac:dyDescent="0.35">
      <c r="C60987" s="2"/>
    </row>
    <row r="60988" spans="3:3" x14ac:dyDescent="0.35">
      <c r="C60988" s="2"/>
    </row>
    <row r="60989" spans="3:3" x14ac:dyDescent="0.35">
      <c r="C60989" s="2"/>
    </row>
    <row r="60990" spans="3:3" x14ac:dyDescent="0.35">
      <c r="C60990" s="2"/>
    </row>
    <row r="60991" spans="3:3" x14ac:dyDescent="0.35">
      <c r="C60991" s="2"/>
    </row>
    <row r="60992" spans="3:3" x14ac:dyDescent="0.35">
      <c r="C60992" s="2"/>
    </row>
    <row r="60993" spans="3:3" x14ac:dyDescent="0.35">
      <c r="C60993" s="2"/>
    </row>
    <row r="60994" spans="3:3" x14ac:dyDescent="0.35">
      <c r="C60994" s="2"/>
    </row>
    <row r="60995" spans="3:3" x14ac:dyDescent="0.35">
      <c r="C60995" s="2"/>
    </row>
    <row r="60996" spans="3:3" x14ac:dyDescent="0.35">
      <c r="C60996" s="2"/>
    </row>
    <row r="60997" spans="3:3" x14ac:dyDescent="0.35">
      <c r="C60997" s="2"/>
    </row>
    <row r="60998" spans="3:3" x14ac:dyDescent="0.35">
      <c r="C60998" s="2"/>
    </row>
    <row r="60999" spans="3:3" x14ac:dyDescent="0.35">
      <c r="C60999" s="2"/>
    </row>
    <row r="61000" spans="3:3" x14ac:dyDescent="0.35">
      <c r="C61000" s="2"/>
    </row>
    <row r="61001" spans="3:3" x14ac:dyDescent="0.35">
      <c r="C61001" s="2"/>
    </row>
    <row r="61002" spans="3:3" x14ac:dyDescent="0.35">
      <c r="C61002" s="2"/>
    </row>
    <row r="61003" spans="3:3" x14ac:dyDescent="0.35">
      <c r="C61003" s="2"/>
    </row>
    <row r="61004" spans="3:3" x14ac:dyDescent="0.35">
      <c r="C61004" s="2"/>
    </row>
    <row r="61005" spans="3:3" x14ac:dyDescent="0.35">
      <c r="C61005" s="2"/>
    </row>
    <row r="61006" spans="3:3" x14ac:dyDescent="0.35">
      <c r="C61006" s="2"/>
    </row>
    <row r="61007" spans="3:3" x14ac:dyDescent="0.35">
      <c r="C61007" s="2"/>
    </row>
    <row r="61008" spans="3:3" x14ac:dyDescent="0.35">
      <c r="C61008" s="2"/>
    </row>
    <row r="61009" spans="3:3" x14ac:dyDescent="0.35">
      <c r="C61009" s="2"/>
    </row>
    <row r="61010" spans="3:3" x14ac:dyDescent="0.35">
      <c r="C61010" s="2"/>
    </row>
    <row r="61011" spans="3:3" x14ac:dyDescent="0.35">
      <c r="C61011" s="2"/>
    </row>
    <row r="61012" spans="3:3" x14ac:dyDescent="0.35">
      <c r="C61012" s="2"/>
    </row>
    <row r="61013" spans="3:3" x14ac:dyDescent="0.35">
      <c r="C61013" s="2"/>
    </row>
    <row r="61014" spans="3:3" x14ac:dyDescent="0.35">
      <c r="C61014" s="2"/>
    </row>
    <row r="61015" spans="3:3" x14ac:dyDescent="0.35">
      <c r="C61015" s="2"/>
    </row>
    <row r="61016" spans="3:3" x14ac:dyDescent="0.35">
      <c r="C61016" s="2"/>
    </row>
    <row r="61017" spans="3:3" x14ac:dyDescent="0.35">
      <c r="C61017" s="2"/>
    </row>
    <row r="61018" spans="3:3" x14ac:dyDescent="0.35">
      <c r="C61018" s="2"/>
    </row>
    <row r="61019" spans="3:3" x14ac:dyDescent="0.35">
      <c r="C61019" s="2"/>
    </row>
    <row r="61020" spans="3:3" x14ac:dyDescent="0.35">
      <c r="C61020" s="2"/>
    </row>
    <row r="61021" spans="3:3" x14ac:dyDescent="0.35">
      <c r="C61021" s="2"/>
    </row>
    <row r="61022" spans="3:3" x14ac:dyDescent="0.35">
      <c r="C61022" s="2"/>
    </row>
    <row r="61023" spans="3:3" x14ac:dyDescent="0.35">
      <c r="C61023" s="2"/>
    </row>
    <row r="61024" spans="3:3" x14ac:dyDescent="0.35">
      <c r="C61024" s="2"/>
    </row>
    <row r="61025" spans="3:3" x14ac:dyDescent="0.35">
      <c r="C61025" s="2"/>
    </row>
    <row r="61026" spans="3:3" x14ac:dyDescent="0.35">
      <c r="C61026" s="2"/>
    </row>
    <row r="61027" spans="3:3" x14ac:dyDescent="0.35">
      <c r="C61027" s="2"/>
    </row>
    <row r="61028" spans="3:3" x14ac:dyDescent="0.35">
      <c r="C61028" s="2"/>
    </row>
    <row r="61029" spans="3:3" x14ac:dyDescent="0.35">
      <c r="C61029" s="2"/>
    </row>
    <row r="61030" spans="3:3" x14ac:dyDescent="0.35">
      <c r="C61030" s="2"/>
    </row>
    <row r="61031" spans="3:3" x14ac:dyDescent="0.35">
      <c r="C61031" s="2"/>
    </row>
    <row r="61032" spans="3:3" x14ac:dyDescent="0.35">
      <c r="C61032" s="2"/>
    </row>
    <row r="61033" spans="3:3" x14ac:dyDescent="0.35">
      <c r="C61033" s="2"/>
    </row>
    <row r="61034" spans="3:3" x14ac:dyDescent="0.35">
      <c r="C61034" s="2"/>
    </row>
    <row r="61035" spans="3:3" x14ac:dyDescent="0.35">
      <c r="C61035" s="2"/>
    </row>
    <row r="61036" spans="3:3" x14ac:dyDescent="0.35">
      <c r="C61036" s="2"/>
    </row>
    <row r="61037" spans="3:3" x14ac:dyDescent="0.35">
      <c r="C61037" s="2"/>
    </row>
    <row r="61038" spans="3:3" x14ac:dyDescent="0.35">
      <c r="C61038" s="2"/>
    </row>
    <row r="61039" spans="3:3" x14ac:dyDescent="0.35">
      <c r="C61039" s="2"/>
    </row>
    <row r="61040" spans="3:3" x14ac:dyDescent="0.35">
      <c r="C61040" s="2"/>
    </row>
    <row r="61041" spans="3:3" x14ac:dyDescent="0.35">
      <c r="C61041" s="2"/>
    </row>
    <row r="61042" spans="3:3" x14ac:dyDescent="0.35">
      <c r="C61042" s="2"/>
    </row>
    <row r="61043" spans="3:3" x14ac:dyDescent="0.35">
      <c r="C61043" s="2"/>
    </row>
    <row r="61044" spans="3:3" x14ac:dyDescent="0.35">
      <c r="C61044" s="2"/>
    </row>
    <row r="61045" spans="3:3" x14ac:dyDescent="0.35">
      <c r="C61045" s="2"/>
    </row>
    <row r="61046" spans="3:3" x14ac:dyDescent="0.35">
      <c r="C61046" s="2"/>
    </row>
    <row r="61047" spans="3:3" x14ac:dyDescent="0.35">
      <c r="C61047" s="2"/>
    </row>
    <row r="61048" spans="3:3" x14ac:dyDescent="0.35">
      <c r="C61048" s="2"/>
    </row>
    <row r="61049" spans="3:3" x14ac:dyDescent="0.35">
      <c r="C61049" s="2"/>
    </row>
    <row r="61050" spans="3:3" x14ac:dyDescent="0.35">
      <c r="C61050" s="2"/>
    </row>
    <row r="61051" spans="3:3" x14ac:dyDescent="0.35">
      <c r="C61051" s="2"/>
    </row>
    <row r="61052" spans="3:3" x14ac:dyDescent="0.35">
      <c r="C61052" s="2"/>
    </row>
    <row r="61053" spans="3:3" x14ac:dyDescent="0.35">
      <c r="C61053" s="2"/>
    </row>
    <row r="61054" spans="3:3" x14ac:dyDescent="0.35">
      <c r="C61054" s="2"/>
    </row>
    <row r="61055" spans="3:3" x14ac:dyDescent="0.35">
      <c r="C61055" s="2"/>
    </row>
    <row r="61056" spans="3:3" x14ac:dyDescent="0.35">
      <c r="C61056" s="2"/>
    </row>
    <row r="61057" spans="3:3" x14ac:dyDescent="0.35">
      <c r="C61057" s="2"/>
    </row>
    <row r="61058" spans="3:3" x14ac:dyDescent="0.35">
      <c r="C61058" s="2"/>
    </row>
    <row r="61059" spans="3:3" x14ac:dyDescent="0.35">
      <c r="C61059" s="2"/>
    </row>
    <row r="61060" spans="3:3" x14ac:dyDescent="0.35">
      <c r="C61060" s="2"/>
    </row>
    <row r="61061" spans="3:3" x14ac:dyDescent="0.35">
      <c r="C61061" s="2"/>
    </row>
    <row r="61062" spans="3:3" x14ac:dyDescent="0.35">
      <c r="C61062" s="2"/>
    </row>
    <row r="61063" spans="3:3" x14ac:dyDescent="0.35">
      <c r="C61063" s="2"/>
    </row>
    <row r="61064" spans="3:3" x14ac:dyDescent="0.35">
      <c r="C61064" s="2"/>
    </row>
    <row r="61065" spans="3:3" x14ac:dyDescent="0.35">
      <c r="C61065" s="2"/>
    </row>
    <row r="61066" spans="3:3" x14ac:dyDescent="0.35">
      <c r="C61066" s="2"/>
    </row>
    <row r="61067" spans="3:3" x14ac:dyDescent="0.35">
      <c r="C61067" s="2"/>
    </row>
    <row r="61068" spans="3:3" x14ac:dyDescent="0.35">
      <c r="C61068" s="2"/>
    </row>
    <row r="61069" spans="3:3" x14ac:dyDescent="0.35">
      <c r="C61069" s="2"/>
    </row>
    <row r="61070" spans="3:3" x14ac:dyDescent="0.35">
      <c r="C61070" s="2"/>
    </row>
    <row r="61071" spans="3:3" x14ac:dyDescent="0.35">
      <c r="C61071" s="2"/>
    </row>
    <row r="61072" spans="3:3" x14ac:dyDescent="0.35">
      <c r="C61072" s="2"/>
    </row>
    <row r="61073" spans="3:3" x14ac:dyDescent="0.35">
      <c r="C61073" s="2"/>
    </row>
    <row r="61074" spans="3:3" x14ac:dyDescent="0.35">
      <c r="C61074" s="2"/>
    </row>
    <row r="61075" spans="3:3" x14ac:dyDescent="0.35">
      <c r="C61075" s="2"/>
    </row>
    <row r="61076" spans="3:3" x14ac:dyDescent="0.35">
      <c r="C61076" s="2"/>
    </row>
    <row r="61077" spans="3:3" x14ac:dyDescent="0.35">
      <c r="C61077" s="2"/>
    </row>
    <row r="61078" spans="3:3" x14ac:dyDescent="0.35">
      <c r="C61078" s="2"/>
    </row>
    <row r="61079" spans="3:3" x14ac:dyDescent="0.35">
      <c r="C61079" s="2"/>
    </row>
    <row r="61080" spans="3:3" x14ac:dyDescent="0.35">
      <c r="C61080" s="2"/>
    </row>
    <row r="61081" spans="3:3" x14ac:dyDescent="0.35">
      <c r="C61081" s="2"/>
    </row>
    <row r="61082" spans="3:3" x14ac:dyDescent="0.35">
      <c r="C61082" s="2"/>
    </row>
    <row r="61083" spans="3:3" x14ac:dyDescent="0.35">
      <c r="C61083" s="2"/>
    </row>
    <row r="61084" spans="3:3" x14ac:dyDescent="0.35">
      <c r="C61084" s="2"/>
    </row>
    <row r="61085" spans="3:3" x14ac:dyDescent="0.35">
      <c r="C61085" s="2"/>
    </row>
    <row r="61086" spans="3:3" x14ac:dyDescent="0.35">
      <c r="C61086" s="2"/>
    </row>
    <row r="61087" spans="3:3" x14ac:dyDescent="0.35">
      <c r="C61087" s="2"/>
    </row>
    <row r="61088" spans="3:3" x14ac:dyDescent="0.35">
      <c r="C61088" s="2"/>
    </row>
    <row r="61089" spans="3:3" x14ac:dyDescent="0.35">
      <c r="C61089" s="2"/>
    </row>
    <row r="61090" spans="3:3" x14ac:dyDescent="0.35">
      <c r="C61090" s="2"/>
    </row>
    <row r="61091" spans="3:3" x14ac:dyDescent="0.35">
      <c r="C61091" s="2"/>
    </row>
    <row r="61092" spans="3:3" x14ac:dyDescent="0.35">
      <c r="C61092" s="2"/>
    </row>
    <row r="61093" spans="3:3" x14ac:dyDescent="0.35">
      <c r="C61093" s="2"/>
    </row>
    <row r="61094" spans="3:3" x14ac:dyDescent="0.35">
      <c r="C61094" s="2"/>
    </row>
    <row r="61095" spans="3:3" x14ac:dyDescent="0.35">
      <c r="C61095" s="2"/>
    </row>
    <row r="61096" spans="3:3" x14ac:dyDescent="0.35">
      <c r="C61096" s="2"/>
    </row>
    <row r="61097" spans="3:3" x14ac:dyDescent="0.35">
      <c r="C61097" s="2"/>
    </row>
    <row r="61098" spans="3:3" x14ac:dyDescent="0.35">
      <c r="C61098" s="2"/>
    </row>
    <row r="61099" spans="3:3" x14ac:dyDescent="0.35">
      <c r="C61099" s="2"/>
    </row>
    <row r="61100" spans="3:3" x14ac:dyDescent="0.35">
      <c r="C61100" s="2"/>
    </row>
    <row r="61101" spans="3:3" x14ac:dyDescent="0.35">
      <c r="C61101" s="2"/>
    </row>
    <row r="61102" spans="3:3" x14ac:dyDescent="0.35">
      <c r="C61102" s="2"/>
    </row>
    <row r="61103" spans="3:3" x14ac:dyDescent="0.35">
      <c r="C61103" s="2"/>
    </row>
    <row r="61104" spans="3:3" x14ac:dyDescent="0.35">
      <c r="C61104" s="2"/>
    </row>
    <row r="61105" spans="3:3" x14ac:dyDescent="0.35">
      <c r="C61105" s="2"/>
    </row>
    <row r="61106" spans="3:3" x14ac:dyDescent="0.35">
      <c r="C61106" s="2"/>
    </row>
    <row r="61107" spans="3:3" x14ac:dyDescent="0.35">
      <c r="C61107" s="2"/>
    </row>
    <row r="61108" spans="3:3" x14ac:dyDescent="0.35">
      <c r="C61108" s="2"/>
    </row>
    <row r="61109" spans="3:3" x14ac:dyDescent="0.35">
      <c r="C61109" s="2"/>
    </row>
    <row r="61110" spans="3:3" x14ac:dyDescent="0.35">
      <c r="C61110" s="2"/>
    </row>
    <row r="61111" spans="3:3" x14ac:dyDescent="0.35">
      <c r="C61111" s="2"/>
    </row>
    <row r="61112" spans="3:3" x14ac:dyDescent="0.35">
      <c r="C61112" s="2"/>
    </row>
    <row r="61113" spans="3:3" x14ac:dyDescent="0.35">
      <c r="C61113" s="2"/>
    </row>
    <row r="61114" spans="3:3" x14ac:dyDescent="0.35">
      <c r="C61114" s="2"/>
    </row>
    <row r="61115" spans="3:3" x14ac:dyDescent="0.35">
      <c r="C61115" s="2"/>
    </row>
    <row r="61116" spans="3:3" x14ac:dyDescent="0.35">
      <c r="C61116" s="2"/>
    </row>
    <row r="61117" spans="3:3" x14ac:dyDescent="0.35">
      <c r="C61117" s="2"/>
    </row>
    <row r="61118" spans="3:3" x14ac:dyDescent="0.35">
      <c r="C61118" s="2"/>
    </row>
    <row r="61119" spans="3:3" x14ac:dyDescent="0.35">
      <c r="C61119" s="2"/>
    </row>
    <row r="61120" spans="3:3" x14ac:dyDescent="0.35">
      <c r="C61120" s="2"/>
    </row>
    <row r="61121" spans="3:3" x14ac:dyDescent="0.35">
      <c r="C61121" s="2"/>
    </row>
    <row r="61122" spans="3:3" x14ac:dyDescent="0.35">
      <c r="C61122" s="2"/>
    </row>
    <row r="61123" spans="3:3" x14ac:dyDescent="0.35">
      <c r="C61123" s="2"/>
    </row>
    <row r="61124" spans="3:3" x14ac:dyDescent="0.35">
      <c r="C61124" s="2"/>
    </row>
    <row r="61125" spans="3:3" x14ac:dyDescent="0.35">
      <c r="C61125" s="2"/>
    </row>
    <row r="61126" spans="3:3" x14ac:dyDescent="0.35">
      <c r="C61126" s="2"/>
    </row>
    <row r="61127" spans="3:3" x14ac:dyDescent="0.35">
      <c r="C61127" s="2"/>
    </row>
    <row r="61128" spans="3:3" x14ac:dyDescent="0.35">
      <c r="C61128" s="2"/>
    </row>
    <row r="61129" spans="3:3" x14ac:dyDescent="0.35">
      <c r="C61129" s="2"/>
    </row>
    <row r="61130" spans="3:3" x14ac:dyDescent="0.35">
      <c r="C61130" s="2"/>
    </row>
    <row r="61131" spans="3:3" x14ac:dyDescent="0.35">
      <c r="C61131" s="2"/>
    </row>
    <row r="61132" spans="3:3" x14ac:dyDescent="0.35">
      <c r="C61132" s="2"/>
    </row>
    <row r="61133" spans="3:3" x14ac:dyDescent="0.35">
      <c r="C61133" s="2"/>
    </row>
    <row r="61134" spans="3:3" x14ac:dyDescent="0.35">
      <c r="C61134" s="2"/>
    </row>
    <row r="61135" spans="3:3" x14ac:dyDescent="0.35">
      <c r="C61135" s="2"/>
    </row>
    <row r="61136" spans="3:3" x14ac:dyDescent="0.35">
      <c r="C61136" s="2"/>
    </row>
    <row r="61137" spans="3:3" x14ac:dyDescent="0.35">
      <c r="C61137" s="2"/>
    </row>
    <row r="61138" spans="3:3" x14ac:dyDescent="0.35">
      <c r="C61138" s="2"/>
    </row>
    <row r="61139" spans="3:3" x14ac:dyDescent="0.35">
      <c r="C61139" s="2"/>
    </row>
    <row r="61140" spans="3:3" x14ac:dyDescent="0.35">
      <c r="C61140" s="2"/>
    </row>
    <row r="61141" spans="3:3" x14ac:dyDescent="0.35">
      <c r="C61141" s="2"/>
    </row>
    <row r="61142" spans="3:3" x14ac:dyDescent="0.35">
      <c r="C61142" s="2"/>
    </row>
    <row r="61143" spans="3:3" x14ac:dyDescent="0.35">
      <c r="C61143" s="2"/>
    </row>
    <row r="61144" spans="3:3" x14ac:dyDescent="0.35">
      <c r="C61144" s="2"/>
    </row>
    <row r="61145" spans="3:3" x14ac:dyDescent="0.35">
      <c r="C61145" s="2"/>
    </row>
    <row r="61146" spans="3:3" x14ac:dyDescent="0.35">
      <c r="C61146" s="2"/>
    </row>
    <row r="61147" spans="3:3" x14ac:dyDescent="0.35">
      <c r="C61147" s="2"/>
    </row>
    <row r="61148" spans="3:3" x14ac:dyDescent="0.35">
      <c r="C61148" s="2"/>
    </row>
    <row r="61149" spans="3:3" x14ac:dyDescent="0.35">
      <c r="C61149" s="2"/>
    </row>
    <row r="61150" spans="3:3" x14ac:dyDescent="0.35">
      <c r="C61150" s="2"/>
    </row>
    <row r="61151" spans="3:3" x14ac:dyDescent="0.35">
      <c r="C61151" s="2"/>
    </row>
    <row r="61152" spans="3:3" x14ac:dyDescent="0.35">
      <c r="C61152" s="2"/>
    </row>
    <row r="61153" spans="3:3" x14ac:dyDescent="0.35">
      <c r="C61153" s="2"/>
    </row>
    <row r="61154" spans="3:3" x14ac:dyDescent="0.35">
      <c r="C61154" s="2"/>
    </row>
    <row r="61155" spans="3:3" x14ac:dyDescent="0.35">
      <c r="C61155" s="2"/>
    </row>
    <row r="61156" spans="3:3" x14ac:dyDescent="0.35">
      <c r="C61156" s="2"/>
    </row>
    <row r="61157" spans="3:3" x14ac:dyDescent="0.35">
      <c r="C61157" s="2"/>
    </row>
    <row r="61158" spans="3:3" x14ac:dyDescent="0.35">
      <c r="C61158" s="2"/>
    </row>
    <row r="61159" spans="3:3" x14ac:dyDescent="0.35">
      <c r="C61159" s="2"/>
    </row>
    <row r="61160" spans="3:3" x14ac:dyDescent="0.35">
      <c r="C61160" s="2"/>
    </row>
    <row r="61161" spans="3:3" x14ac:dyDescent="0.35">
      <c r="C61161" s="2"/>
    </row>
    <row r="61162" spans="3:3" x14ac:dyDescent="0.35">
      <c r="C61162" s="2"/>
    </row>
    <row r="61163" spans="3:3" x14ac:dyDescent="0.35">
      <c r="C61163" s="2"/>
    </row>
    <row r="61164" spans="3:3" x14ac:dyDescent="0.35">
      <c r="C61164" s="2"/>
    </row>
    <row r="61165" spans="3:3" x14ac:dyDescent="0.35">
      <c r="C61165" s="2"/>
    </row>
    <row r="61166" spans="3:3" x14ac:dyDescent="0.35">
      <c r="C61166" s="2"/>
    </row>
    <row r="61167" spans="3:3" x14ac:dyDescent="0.35">
      <c r="C61167" s="2"/>
    </row>
    <row r="61168" spans="3:3" x14ac:dyDescent="0.35">
      <c r="C61168" s="2"/>
    </row>
    <row r="61169" spans="3:3" x14ac:dyDescent="0.35">
      <c r="C61169" s="2"/>
    </row>
    <row r="61170" spans="3:3" x14ac:dyDescent="0.35">
      <c r="C61170" s="2"/>
    </row>
    <row r="61171" spans="3:3" x14ac:dyDescent="0.35">
      <c r="C61171" s="2"/>
    </row>
    <row r="61172" spans="3:3" x14ac:dyDescent="0.35">
      <c r="C61172" s="2"/>
    </row>
    <row r="61173" spans="3:3" x14ac:dyDescent="0.35">
      <c r="C61173" s="2"/>
    </row>
    <row r="61174" spans="3:3" x14ac:dyDescent="0.35">
      <c r="C61174" s="2"/>
    </row>
    <row r="61175" spans="3:3" x14ac:dyDescent="0.35">
      <c r="C61175" s="2"/>
    </row>
    <row r="61176" spans="3:3" x14ac:dyDescent="0.35">
      <c r="C61176" s="2"/>
    </row>
    <row r="61177" spans="3:3" x14ac:dyDescent="0.35">
      <c r="C61177" s="2"/>
    </row>
    <row r="61178" spans="3:3" x14ac:dyDescent="0.35">
      <c r="C61178" s="2"/>
    </row>
    <row r="61179" spans="3:3" x14ac:dyDescent="0.35">
      <c r="C61179" s="2"/>
    </row>
    <row r="61180" spans="3:3" x14ac:dyDescent="0.35">
      <c r="C61180" s="2"/>
    </row>
    <row r="61181" spans="3:3" x14ac:dyDescent="0.35">
      <c r="C61181" s="2"/>
    </row>
    <row r="61182" spans="3:3" x14ac:dyDescent="0.35">
      <c r="C61182" s="2"/>
    </row>
    <row r="61183" spans="3:3" x14ac:dyDescent="0.35">
      <c r="C61183" s="2"/>
    </row>
    <row r="61184" spans="3:3" x14ac:dyDescent="0.35">
      <c r="C61184" s="2"/>
    </row>
    <row r="61185" spans="3:3" x14ac:dyDescent="0.35">
      <c r="C61185" s="2"/>
    </row>
    <row r="61186" spans="3:3" x14ac:dyDescent="0.35">
      <c r="C61186" s="2"/>
    </row>
    <row r="61187" spans="3:3" x14ac:dyDescent="0.35">
      <c r="C61187" s="2"/>
    </row>
    <row r="61188" spans="3:3" x14ac:dyDescent="0.35">
      <c r="C61188" s="2"/>
    </row>
    <row r="61189" spans="3:3" x14ac:dyDescent="0.35">
      <c r="C61189" s="2"/>
    </row>
    <row r="61190" spans="3:3" x14ac:dyDescent="0.35">
      <c r="C61190" s="2"/>
    </row>
    <row r="61191" spans="3:3" x14ac:dyDescent="0.35">
      <c r="C61191" s="2"/>
    </row>
    <row r="61192" spans="3:3" x14ac:dyDescent="0.35">
      <c r="C61192" s="2"/>
    </row>
    <row r="61193" spans="3:3" x14ac:dyDescent="0.35">
      <c r="C61193" s="2"/>
    </row>
    <row r="61194" spans="3:3" x14ac:dyDescent="0.35">
      <c r="C61194" s="2"/>
    </row>
    <row r="61195" spans="3:3" x14ac:dyDescent="0.35">
      <c r="C61195" s="2"/>
    </row>
    <row r="61196" spans="3:3" x14ac:dyDescent="0.35">
      <c r="C61196" s="2"/>
    </row>
    <row r="61197" spans="3:3" x14ac:dyDescent="0.35">
      <c r="C61197" s="2"/>
    </row>
    <row r="61198" spans="3:3" x14ac:dyDescent="0.35">
      <c r="C61198" s="2"/>
    </row>
    <row r="61199" spans="3:3" x14ac:dyDescent="0.35">
      <c r="C61199" s="2"/>
    </row>
    <row r="61200" spans="3:3" x14ac:dyDescent="0.35">
      <c r="C61200" s="2"/>
    </row>
    <row r="61201" spans="3:3" x14ac:dyDescent="0.35">
      <c r="C61201" s="2"/>
    </row>
    <row r="61202" spans="3:3" x14ac:dyDescent="0.35">
      <c r="C61202" s="2"/>
    </row>
    <row r="61203" spans="3:3" x14ac:dyDescent="0.35">
      <c r="C61203" s="2"/>
    </row>
    <row r="61204" spans="3:3" x14ac:dyDescent="0.35">
      <c r="C61204" s="2"/>
    </row>
    <row r="61205" spans="3:3" x14ac:dyDescent="0.35">
      <c r="C61205" s="2"/>
    </row>
    <row r="61206" spans="3:3" x14ac:dyDescent="0.35">
      <c r="C61206" s="2"/>
    </row>
    <row r="61207" spans="3:3" x14ac:dyDescent="0.35">
      <c r="C61207" s="2"/>
    </row>
    <row r="61208" spans="3:3" x14ac:dyDescent="0.35">
      <c r="C61208" s="2"/>
    </row>
    <row r="61209" spans="3:3" x14ac:dyDescent="0.35">
      <c r="C61209" s="2"/>
    </row>
    <row r="61210" spans="3:3" x14ac:dyDescent="0.35">
      <c r="C61210" s="2"/>
    </row>
    <row r="61211" spans="3:3" x14ac:dyDescent="0.35">
      <c r="C61211" s="2"/>
    </row>
    <row r="61212" spans="3:3" x14ac:dyDescent="0.35">
      <c r="C61212" s="2"/>
    </row>
    <row r="61213" spans="3:3" x14ac:dyDescent="0.35">
      <c r="C61213" s="2"/>
    </row>
    <row r="61214" spans="3:3" x14ac:dyDescent="0.35">
      <c r="C61214" s="2"/>
    </row>
    <row r="61215" spans="3:3" x14ac:dyDescent="0.35">
      <c r="C61215" s="2"/>
    </row>
    <row r="61216" spans="3:3" x14ac:dyDescent="0.35">
      <c r="C61216" s="2"/>
    </row>
    <row r="61217" spans="3:3" x14ac:dyDescent="0.35">
      <c r="C61217" s="2"/>
    </row>
    <row r="61218" spans="3:3" x14ac:dyDescent="0.35">
      <c r="C61218" s="2"/>
    </row>
    <row r="61219" spans="3:3" x14ac:dyDescent="0.35">
      <c r="C61219" s="2"/>
    </row>
    <row r="61220" spans="3:3" x14ac:dyDescent="0.35">
      <c r="C61220" s="2"/>
    </row>
    <row r="61221" spans="3:3" x14ac:dyDescent="0.35">
      <c r="C61221" s="2"/>
    </row>
    <row r="61222" spans="3:3" x14ac:dyDescent="0.35">
      <c r="C61222" s="2"/>
    </row>
    <row r="61223" spans="3:3" x14ac:dyDescent="0.35">
      <c r="C61223" s="2"/>
    </row>
    <row r="61224" spans="3:3" x14ac:dyDescent="0.35">
      <c r="C61224" s="2"/>
    </row>
    <row r="61225" spans="3:3" x14ac:dyDescent="0.35">
      <c r="C61225" s="2"/>
    </row>
    <row r="61226" spans="3:3" x14ac:dyDescent="0.35">
      <c r="C61226" s="2"/>
    </row>
    <row r="61227" spans="3:3" x14ac:dyDescent="0.35">
      <c r="C61227" s="2"/>
    </row>
    <row r="61228" spans="3:3" x14ac:dyDescent="0.35">
      <c r="C61228" s="2"/>
    </row>
    <row r="61229" spans="3:3" x14ac:dyDescent="0.35">
      <c r="C61229" s="2"/>
    </row>
    <row r="61230" spans="3:3" x14ac:dyDescent="0.35">
      <c r="C61230" s="2"/>
    </row>
    <row r="61231" spans="3:3" x14ac:dyDescent="0.35">
      <c r="C61231" s="2"/>
    </row>
    <row r="61232" spans="3:3" x14ac:dyDescent="0.35">
      <c r="C61232" s="2"/>
    </row>
    <row r="61233" spans="3:3" x14ac:dyDescent="0.35">
      <c r="C61233" s="2"/>
    </row>
    <row r="61234" spans="3:3" x14ac:dyDescent="0.35">
      <c r="C61234" s="2"/>
    </row>
    <row r="61235" spans="3:3" x14ac:dyDescent="0.35">
      <c r="C61235" s="2"/>
    </row>
    <row r="61236" spans="3:3" x14ac:dyDescent="0.35">
      <c r="C61236" s="2"/>
    </row>
    <row r="61237" spans="3:3" x14ac:dyDescent="0.35">
      <c r="C61237" s="2"/>
    </row>
    <row r="61238" spans="3:3" x14ac:dyDescent="0.35">
      <c r="C61238" s="2"/>
    </row>
    <row r="61239" spans="3:3" x14ac:dyDescent="0.35">
      <c r="C61239" s="2"/>
    </row>
    <row r="61240" spans="3:3" x14ac:dyDescent="0.35">
      <c r="C61240" s="2"/>
    </row>
    <row r="61241" spans="3:3" x14ac:dyDescent="0.35">
      <c r="C61241" s="2"/>
    </row>
    <row r="61242" spans="3:3" x14ac:dyDescent="0.35">
      <c r="C61242" s="2"/>
    </row>
    <row r="61243" spans="3:3" x14ac:dyDescent="0.35">
      <c r="C61243" s="2"/>
    </row>
    <row r="61244" spans="3:3" x14ac:dyDescent="0.35">
      <c r="C61244" s="2"/>
    </row>
    <row r="61245" spans="3:3" x14ac:dyDescent="0.35">
      <c r="C61245" s="2"/>
    </row>
    <row r="61246" spans="3:3" x14ac:dyDescent="0.35">
      <c r="C61246" s="2"/>
    </row>
    <row r="61247" spans="3:3" x14ac:dyDescent="0.35">
      <c r="C61247" s="2"/>
    </row>
    <row r="61248" spans="3:3" x14ac:dyDescent="0.35">
      <c r="C61248" s="2"/>
    </row>
    <row r="61249" spans="3:3" x14ac:dyDescent="0.35">
      <c r="C61249" s="2"/>
    </row>
    <row r="61250" spans="3:3" x14ac:dyDescent="0.35">
      <c r="C61250" s="2"/>
    </row>
    <row r="61251" spans="3:3" x14ac:dyDescent="0.35">
      <c r="C61251" s="2"/>
    </row>
    <row r="61252" spans="3:3" x14ac:dyDescent="0.35">
      <c r="C61252" s="2"/>
    </row>
    <row r="61253" spans="3:3" x14ac:dyDescent="0.35">
      <c r="C61253" s="2"/>
    </row>
    <row r="61254" spans="3:3" x14ac:dyDescent="0.35">
      <c r="C61254" s="2"/>
    </row>
    <row r="61255" spans="3:3" x14ac:dyDescent="0.35">
      <c r="C61255" s="2"/>
    </row>
    <row r="61256" spans="3:3" x14ac:dyDescent="0.35">
      <c r="C61256" s="2"/>
    </row>
    <row r="61257" spans="3:3" x14ac:dyDescent="0.35">
      <c r="C61257" s="2"/>
    </row>
    <row r="61258" spans="3:3" x14ac:dyDescent="0.35">
      <c r="C61258" s="2"/>
    </row>
    <row r="61259" spans="3:3" x14ac:dyDescent="0.35">
      <c r="C61259" s="2"/>
    </row>
    <row r="61260" spans="3:3" x14ac:dyDescent="0.35">
      <c r="C61260" s="2"/>
    </row>
    <row r="61261" spans="3:3" x14ac:dyDescent="0.35">
      <c r="C61261" s="2"/>
    </row>
    <row r="61262" spans="3:3" x14ac:dyDescent="0.35">
      <c r="C61262" s="2"/>
    </row>
    <row r="61263" spans="3:3" x14ac:dyDescent="0.35">
      <c r="C61263" s="2"/>
    </row>
    <row r="61264" spans="3:3" x14ac:dyDescent="0.35">
      <c r="C61264" s="2"/>
    </row>
    <row r="61265" spans="3:3" x14ac:dyDescent="0.35">
      <c r="C61265" s="2"/>
    </row>
    <row r="61266" spans="3:3" x14ac:dyDescent="0.35">
      <c r="C61266" s="2"/>
    </row>
    <row r="61267" spans="3:3" x14ac:dyDescent="0.35">
      <c r="C61267" s="2"/>
    </row>
    <row r="61268" spans="3:3" x14ac:dyDescent="0.35">
      <c r="C61268" s="2"/>
    </row>
    <row r="61269" spans="3:3" x14ac:dyDescent="0.35">
      <c r="C61269" s="2"/>
    </row>
    <row r="61270" spans="3:3" x14ac:dyDescent="0.35">
      <c r="C61270" s="2"/>
    </row>
    <row r="61271" spans="3:3" x14ac:dyDescent="0.35">
      <c r="C61271" s="2"/>
    </row>
    <row r="61272" spans="3:3" x14ac:dyDescent="0.35">
      <c r="C61272" s="2"/>
    </row>
    <row r="61273" spans="3:3" x14ac:dyDescent="0.35">
      <c r="C61273" s="2"/>
    </row>
    <row r="61274" spans="3:3" x14ac:dyDescent="0.35">
      <c r="C61274" s="2"/>
    </row>
    <row r="61275" spans="3:3" x14ac:dyDescent="0.35">
      <c r="C61275" s="2"/>
    </row>
    <row r="61276" spans="3:3" x14ac:dyDescent="0.35">
      <c r="C61276" s="2"/>
    </row>
    <row r="61277" spans="3:3" x14ac:dyDescent="0.35">
      <c r="C61277" s="2"/>
    </row>
    <row r="61278" spans="3:3" x14ac:dyDescent="0.35">
      <c r="C61278" s="2"/>
    </row>
    <row r="61279" spans="3:3" x14ac:dyDescent="0.35">
      <c r="C61279" s="2"/>
    </row>
    <row r="61280" spans="3:3" x14ac:dyDescent="0.35">
      <c r="C61280" s="2"/>
    </row>
    <row r="61281" spans="3:3" x14ac:dyDescent="0.35">
      <c r="C61281" s="2"/>
    </row>
    <row r="61282" spans="3:3" x14ac:dyDescent="0.35">
      <c r="C61282" s="2"/>
    </row>
    <row r="61283" spans="3:3" x14ac:dyDescent="0.35">
      <c r="C61283" s="2"/>
    </row>
    <row r="61284" spans="3:3" x14ac:dyDescent="0.35">
      <c r="C61284" s="2"/>
    </row>
    <row r="61285" spans="3:3" x14ac:dyDescent="0.35">
      <c r="C61285" s="2"/>
    </row>
    <row r="61286" spans="3:3" x14ac:dyDescent="0.35">
      <c r="C61286" s="2"/>
    </row>
    <row r="61287" spans="3:3" x14ac:dyDescent="0.35">
      <c r="C61287" s="2"/>
    </row>
    <row r="61288" spans="3:3" x14ac:dyDescent="0.35">
      <c r="C61288" s="2"/>
    </row>
    <row r="61289" spans="3:3" x14ac:dyDescent="0.35">
      <c r="C61289" s="2"/>
    </row>
    <row r="61290" spans="3:3" x14ac:dyDescent="0.35">
      <c r="C61290" s="2"/>
    </row>
    <row r="61291" spans="3:3" x14ac:dyDescent="0.35">
      <c r="C61291" s="2"/>
    </row>
    <row r="61292" spans="3:3" x14ac:dyDescent="0.35">
      <c r="C61292" s="2"/>
    </row>
    <row r="61293" spans="3:3" x14ac:dyDescent="0.35">
      <c r="C61293" s="2"/>
    </row>
    <row r="61294" spans="3:3" x14ac:dyDescent="0.35">
      <c r="C61294" s="2"/>
    </row>
    <row r="61295" spans="3:3" x14ac:dyDescent="0.35">
      <c r="C61295" s="2"/>
    </row>
    <row r="61296" spans="3:3" x14ac:dyDescent="0.35">
      <c r="C61296" s="2"/>
    </row>
    <row r="61297" spans="3:3" x14ac:dyDescent="0.35">
      <c r="C61297" s="2"/>
    </row>
    <row r="61298" spans="3:3" x14ac:dyDescent="0.35">
      <c r="C61298" s="2"/>
    </row>
    <row r="61299" spans="3:3" x14ac:dyDescent="0.35">
      <c r="C61299" s="2"/>
    </row>
    <row r="61300" spans="3:3" x14ac:dyDescent="0.35">
      <c r="C61300" s="2"/>
    </row>
    <row r="61301" spans="3:3" x14ac:dyDescent="0.35">
      <c r="C61301" s="2"/>
    </row>
    <row r="61302" spans="3:3" x14ac:dyDescent="0.35">
      <c r="C61302" s="2"/>
    </row>
    <row r="61303" spans="3:3" x14ac:dyDescent="0.35">
      <c r="C61303" s="2"/>
    </row>
    <row r="61304" spans="3:3" x14ac:dyDescent="0.35">
      <c r="C61304" s="2"/>
    </row>
    <row r="61305" spans="3:3" x14ac:dyDescent="0.35">
      <c r="C61305" s="2"/>
    </row>
    <row r="61306" spans="3:3" x14ac:dyDescent="0.35">
      <c r="C61306" s="2"/>
    </row>
    <row r="61307" spans="3:3" x14ac:dyDescent="0.35">
      <c r="C61307" s="2"/>
    </row>
    <row r="61308" spans="3:3" x14ac:dyDescent="0.35">
      <c r="C61308" s="2"/>
    </row>
    <row r="61309" spans="3:3" x14ac:dyDescent="0.35">
      <c r="C61309" s="2"/>
    </row>
    <row r="61310" spans="3:3" x14ac:dyDescent="0.35">
      <c r="C61310" s="2"/>
    </row>
    <row r="61311" spans="3:3" x14ac:dyDescent="0.35">
      <c r="C61311" s="2"/>
    </row>
    <row r="61312" spans="3:3" x14ac:dyDescent="0.35">
      <c r="C61312" s="2"/>
    </row>
    <row r="61313" spans="3:3" x14ac:dyDescent="0.35">
      <c r="C61313" s="2"/>
    </row>
    <row r="61314" spans="3:3" x14ac:dyDescent="0.35">
      <c r="C61314" s="2"/>
    </row>
    <row r="61315" spans="3:3" x14ac:dyDescent="0.35">
      <c r="C61315" s="2"/>
    </row>
    <row r="61316" spans="3:3" x14ac:dyDescent="0.35">
      <c r="C61316" s="2"/>
    </row>
    <row r="61317" spans="3:3" x14ac:dyDescent="0.35">
      <c r="C61317" s="2"/>
    </row>
    <row r="61318" spans="3:3" x14ac:dyDescent="0.35">
      <c r="C61318" s="2"/>
    </row>
    <row r="61319" spans="3:3" x14ac:dyDescent="0.35">
      <c r="C61319" s="2"/>
    </row>
    <row r="61320" spans="3:3" x14ac:dyDescent="0.35">
      <c r="C61320" s="2"/>
    </row>
    <row r="61321" spans="3:3" x14ac:dyDescent="0.35">
      <c r="C61321" s="2"/>
    </row>
    <row r="61322" spans="3:3" x14ac:dyDescent="0.35">
      <c r="C61322" s="2"/>
    </row>
    <row r="61323" spans="3:3" x14ac:dyDescent="0.35">
      <c r="C61323" s="2"/>
    </row>
    <row r="61324" spans="3:3" x14ac:dyDescent="0.35">
      <c r="C61324" s="2"/>
    </row>
    <row r="61325" spans="3:3" x14ac:dyDescent="0.35">
      <c r="C61325" s="2"/>
    </row>
    <row r="61326" spans="3:3" x14ac:dyDescent="0.35">
      <c r="C61326" s="2"/>
    </row>
    <row r="61327" spans="3:3" x14ac:dyDescent="0.35">
      <c r="C61327" s="2"/>
    </row>
    <row r="61328" spans="3:3" x14ac:dyDescent="0.35">
      <c r="C61328" s="2"/>
    </row>
    <row r="61329" spans="3:3" x14ac:dyDescent="0.35">
      <c r="C61329" s="2"/>
    </row>
    <row r="61330" spans="3:3" x14ac:dyDescent="0.35">
      <c r="C61330" s="2"/>
    </row>
    <row r="61331" spans="3:3" x14ac:dyDescent="0.35">
      <c r="C61331" s="2"/>
    </row>
    <row r="61332" spans="3:3" x14ac:dyDescent="0.35">
      <c r="C61332" s="2"/>
    </row>
    <row r="61333" spans="3:3" x14ac:dyDescent="0.35">
      <c r="C61333" s="2"/>
    </row>
    <row r="61334" spans="3:3" x14ac:dyDescent="0.35">
      <c r="C61334" s="2"/>
    </row>
    <row r="61335" spans="3:3" x14ac:dyDescent="0.35">
      <c r="C61335" s="2"/>
    </row>
    <row r="61336" spans="3:3" x14ac:dyDescent="0.35">
      <c r="C61336" s="2"/>
    </row>
    <row r="61337" spans="3:3" x14ac:dyDescent="0.35">
      <c r="C61337" s="2"/>
    </row>
    <row r="61338" spans="3:3" x14ac:dyDescent="0.35">
      <c r="C61338" s="2"/>
    </row>
    <row r="61339" spans="3:3" x14ac:dyDescent="0.35">
      <c r="C61339" s="2"/>
    </row>
    <row r="61340" spans="3:3" x14ac:dyDescent="0.35">
      <c r="C61340" s="2"/>
    </row>
    <row r="61341" spans="3:3" x14ac:dyDescent="0.35">
      <c r="C61341" s="2"/>
    </row>
    <row r="61342" spans="3:3" x14ac:dyDescent="0.35">
      <c r="C61342" s="2"/>
    </row>
    <row r="61343" spans="3:3" x14ac:dyDescent="0.35">
      <c r="C61343" s="2"/>
    </row>
    <row r="61344" spans="3:3" x14ac:dyDescent="0.35">
      <c r="C61344" s="2"/>
    </row>
    <row r="61345" spans="3:3" x14ac:dyDescent="0.35">
      <c r="C61345" s="2"/>
    </row>
    <row r="61346" spans="3:3" x14ac:dyDescent="0.35">
      <c r="C61346" s="2"/>
    </row>
    <row r="61347" spans="3:3" x14ac:dyDescent="0.35">
      <c r="C61347" s="2"/>
    </row>
    <row r="61348" spans="3:3" x14ac:dyDescent="0.35">
      <c r="C61348" s="2"/>
    </row>
    <row r="61349" spans="3:3" x14ac:dyDescent="0.35">
      <c r="C61349" s="2"/>
    </row>
    <row r="61350" spans="3:3" x14ac:dyDescent="0.35">
      <c r="C61350" s="2"/>
    </row>
    <row r="61351" spans="3:3" x14ac:dyDescent="0.35">
      <c r="C61351" s="2"/>
    </row>
    <row r="61352" spans="3:3" x14ac:dyDescent="0.35">
      <c r="C61352" s="2"/>
    </row>
    <row r="61353" spans="3:3" x14ac:dyDescent="0.35">
      <c r="C61353" s="2"/>
    </row>
    <row r="61354" spans="3:3" x14ac:dyDescent="0.35">
      <c r="C61354" s="2"/>
    </row>
    <row r="61355" spans="3:3" x14ac:dyDescent="0.35">
      <c r="C61355" s="2"/>
    </row>
    <row r="61356" spans="3:3" x14ac:dyDescent="0.35">
      <c r="C61356" s="2"/>
    </row>
    <row r="61357" spans="3:3" x14ac:dyDescent="0.35">
      <c r="C61357" s="2"/>
    </row>
    <row r="61358" spans="3:3" x14ac:dyDescent="0.35">
      <c r="C61358" s="2"/>
    </row>
    <row r="61359" spans="3:3" x14ac:dyDescent="0.35">
      <c r="C61359" s="2"/>
    </row>
    <row r="61360" spans="3:3" x14ac:dyDescent="0.35">
      <c r="C61360" s="2"/>
    </row>
    <row r="61361" spans="3:3" x14ac:dyDescent="0.35">
      <c r="C61361" s="2"/>
    </row>
    <row r="61362" spans="3:3" x14ac:dyDescent="0.35">
      <c r="C61362" s="2"/>
    </row>
    <row r="61363" spans="3:3" x14ac:dyDescent="0.35">
      <c r="C61363" s="2"/>
    </row>
    <row r="61364" spans="3:3" x14ac:dyDescent="0.35">
      <c r="C61364" s="2"/>
    </row>
    <row r="61365" spans="3:3" x14ac:dyDescent="0.35">
      <c r="C61365" s="2"/>
    </row>
    <row r="61366" spans="3:3" x14ac:dyDescent="0.35">
      <c r="C61366" s="2"/>
    </row>
    <row r="61367" spans="3:3" x14ac:dyDescent="0.35">
      <c r="C61367" s="2"/>
    </row>
    <row r="61368" spans="3:3" x14ac:dyDescent="0.35">
      <c r="C61368" s="2"/>
    </row>
    <row r="61369" spans="3:3" x14ac:dyDescent="0.35">
      <c r="C61369" s="2"/>
    </row>
    <row r="61370" spans="3:3" x14ac:dyDescent="0.35">
      <c r="C61370" s="2"/>
    </row>
    <row r="61371" spans="3:3" x14ac:dyDescent="0.35">
      <c r="C61371" s="2"/>
    </row>
    <row r="61372" spans="3:3" x14ac:dyDescent="0.35">
      <c r="C61372" s="2"/>
    </row>
    <row r="61373" spans="3:3" x14ac:dyDescent="0.35">
      <c r="C61373" s="2"/>
    </row>
    <row r="61374" spans="3:3" x14ac:dyDescent="0.35">
      <c r="C61374" s="2"/>
    </row>
    <row r="61375" spans="3:3" x14ac:dyDescent="0.35">
      <c r="C61375" s="2"/>
    </row>
    <row r="61376" spans="3:3" x14ac:dyDescent="0.35">
      <c r="C61376" s="2"/>
    </row>
    <row r="61377" spans="3:3" x14ac:dyDescent="0.35">
      <c r="C61377" s="2"/>
    </row>
    <row r="61378" spans="3:3" x14ac:dyDescent="0.35">
      <c r="C61378" s="2"/>
    </row>
    <row r="61379" spans="3:3" x14ac:dyDescent="0.35">
      <c r="C61379" s="2"/>
    </row>
    <row r="61380" spans="3:3" x14ac:dyDescent="0.35">
      <c r="C61380" s="2"/>
    </row>
    <row r="61381" spans="3:3" x14ac:dyDescent="0.35">
      <c r="C61381" s="2"/>
    </row>
    <row r="61382" spans="3:3" x14ac:dyDescent="0.35">
      <c r="C61382" s="2"/>
    </row>
    <row r="61383" spans="3:3" x14ac:dyDescent="0.35">
      <c r="C61383" s="2"/>
    </row>
    <row r="61384" spans="3:3" x14ac:dyDescent="0.35">
      <c r="C61384" s="2"/>
    </row>
    <row r="61385" spans="3:3" x14ac:dyDescent="0.35">
      <c r="C61385" s="2"/>
    </row>
    <row r="61386" spans="3:3" x14ac:dyDescent="0.35">
      <c r="C61386" s="2"/>
    </row>
    <row r="61387" spans="3:3" x14ac:dyDescent="0.35">
      <c r="C61387" s="2"/>
    </row>
    <row r="61388" spans="3:3" x14ac:dyDescent="0.35">
      <c r="C61388" s="2"/>
    </row>
    <row r="61389" spans="3:3" x14ac:dyDescent="0.35">
      <c r="C61389" s="2"/>
    </row>
    <row r="61390" spans="3:3" x14ac:dyDescent="0.35">
      <c r="C61390" s="2"/>
    </row>
    <row r="61391" spans="3:3" x14ac:dyDescent="0.35">
      <c r="C61391" s="2"/>
    </row>
    <row r="61392" spans="3:3" x14ac:dyDescent="0.35">
      <c r="C61392" s="2"/>
    </row>
    <row r="61393" spans="3:3" x14ac:dyDescent="0.35">
      <c r="C61393" s="2"/>
    </row>
    <row r="61394" spans="3:3" x14ac:dyDescent="0.35">
      <c r="C61394" s="2"/>
    </row>
    <row r="61395" spans="3:3" x14ac:dyDescent="0.35">
      <c r="C61395" s="2"/>
    </row>
    <row r="61396" spans="3:3" x14ac:dyDescent="0.35">
      <c r="C61396" s="2"/>
    </row>
    <row r="61397" spans="3:3" x14ac:dyDescent="0.35">
      <c r="C61397" s="2"/>
    </row>
    <row r="61398" spans="3:3" x14ac:dyDescent="0.35">
      <c r="C61398" s="2"/>
    </row>
    <row r="61399" spans="3:3" x14ac:dyDescent="0.35">
      <c r="C61399" s="2"/>
    </row>
    <row r="61400" spans="3:3" x14ac:dyDescent="0.35">
      <c r="C61400" s="2"/>
    </row>
    <row r="61401" spans="3:3" x14ac:dyDescent="0.35">
      <c r="C61401" s="2"/>
    </row>
    <row r="61402" spans="3:3" x14ac:dyDescent="0.35">
      <c r="C61402" s="2"/>
    </row>
    <row r="61403" spans="3:3" x14ac:dyDescent="0.35">
      <c r="C61403" s="2"/>
    </row>
    <row r="61404" spans="3:3" x14ac:dyDescent="0.35">
      <c r="C61404" s="2"/>
    </row>
    <row r="61405" spans="3:3" x14ac:dyDescent="0.35">
      <c r="C61405" s="2"/>
    </row>
    <row r="61406" spans="3:3" x14ac:dyDescent="0.35">
      <c r="C61406" s="2"/>
    </row>
    <row r="61407" spans="3:3" x14ac:dyDescent="0.35">
      <c r="C61407" s="2"/>
    </row>
    <row r="61408" spans="3:3" x14ac:dyDescent="0.35">
      <c r="C61408" s="2"/>
    </row>
    <row r="61409" spans="3:3" x14ac:dyDescent="0.35">
      <c r="C61409" s="2"/>
    </row>
    <row r="61410" spans="3:3" x14ac:dyDescent="0.35">
      <c r="C61410" s="2"/>
    </row>
    <row r="61411" spans="3:3" x14ac:dyDescent="0.35">
      <c r="C61411" s="2"/>
    </row>
    <row r="61412" spans="3:3" x14ac:dyDescent="0.35">
      <c r="C61412" s="2"/>
    </row>
    <row r="61413" spans="3:3" x14ac:dyDescent="0.35">
      <c r="C61413" s="2"/>
    </row>
    <row r="61414" spans="3:3" x14ac:dyDescent="0.35">
      <c r="C61414" s="2"/>
    </row>
    <row r="61415" spans="3:3" x14ac:dyDescent="0.35">
      <c r="C61415" s="2"/>
    </row>
    <row r="61416" spans="3:3" x14ac:dyDescent="0.35">
      <c r="C61416" s="2"/>
    </row>
    <row r="61417" spans="3:3" x14ac:dyDescent="0.35">
      <c r="C61417" s="2"/>
    </row>
    <row r="61418" spans="3:3" x14ac:dyDescent="0.35">
      <c r="C61418" s="2"/>
    </row>
    <row r="61419" spans="3:3" x14ac:dyDescent="0.35">
      <c r="C61419" s="2"/>
    </row>
    <row r="61420" spans="3:3" x14ac:dyDescent="0.35">
      <c r="C61420" s="2"/>
    </row>
    <row r="61421" spans="3:3" x14ac:dyDescent="0.35">
      <c r="C61421" s="2"/>
    </row>
    <row r="61422" spans="3:3" x14ac:dyDescent="0.35">
      <c r="C61422" s="2"/>
    </row>
    <row r="61423" spans="3:3" x14ac:dyDescent="0.35">
      <c r="C61423" s="2"/>
    </row>
    <row r="61424" spans="3:3" x14ac:dyDescent="0.35">
      <c r="C61424" s="2"/>
    </row>
    <row r="61425" spans="3:3" x14ac:dyDescent="0.35">
      <c r="C61425" s="2"/>
    </row>
    <row r="61426" spans="3:3" x14ac:dyDescent="0.35">
      <c r="C61426" s="2"/>
    </row>
    <row r="61427" spans="3:3" x14ac:dyDescent="0.35">
      <c r="C61427" s="2"/>
    </row>
    <row r="61428" spans="3:3" x14ac:dyDescent="0.35">
      <c r="C61428" s="2"/>
    </row>
    <row r="61429" spans="3:3" x14ac:dyDescent="0.35">
      <c r="C61429" s="2"/>
    </row>
    <row r="61430" spans="3:3" x14ac:dyDescent="0.35">
      <c r="C61430" s="2"/>
    </row>
    <row r="61431" spans="3:3" x14ac:dyDescent="0.35">
      <c r="C61431" s="2"/>
    </row>
    <row r="61432" spans="3:3" x14ac:dyDescent="0.35">
      <c r="C61432" s="2"/>
    </row>
    <row r="61433" spans="3:3" x14ac:dyDescent="0.35">
      <c r="C61433" s="2"/>
    </row>
    <row r="61434" spans="3:3" x14ac:dyDescent="0.35">
      <c r="C61434" s="2"/>
    </row>
    <row r="61435" spans="3:3" x14ac:dyDescent="0.35">
      <c r="C61435" s="2"/>
    </row>
    <row r="61436" spans="3:3" x14ac:dyDescent="0.35">
      <c r="C61436" s="2"/>
    </row>
    <row r="61437" spans="3:3" x14ac:dyDescent="0.35">
      <c r="C61437" s="2"/>
    </row>
    <row r="61438" spans="3:3" x14ac:dyDescent="0.35">
      <c r="C61438" s="2"/>
    </row>
    <row r="61439" spans="3:3" x14ac:dyDescent="0.35">
      <c r="C61439" s="2"/>
    </row>
    <row r="61440" spans="3:3" x14ac:dyDescent="0.35">
      <c r="C61440" s="2"/>
    </row>
    <row r="61441" spans="3:3" x14ac:dyDescent="0.35">
      <c r="C61441" s="2"/>
    </row>
    <row r="61442" spans="3:3" x14ac:dyDescent="0.35">
      <c r="C61442" s="2"/>
    </row>
    <row r="61443" spans="3:3" x14ac:dyDescent="0.35">
      <c r="C61443" s="2"/>
    </row>
    <row r="61444" spans="3:3" x14ac:dyDescent="0.35">
      <c r="C61444" s="2"/>
    </row>
    <row r="61445" spans="3:3" x14ac:dyDescent="0.35">
      <c r="C61445" s="2"/>
    </row>
    <row r="61446" spans="3:3" x14ac:dyDescent="0.35">
      <c r="C61446" s="2"/>
    </row>
    <row r="61447" spans="3:3" x14ac:dyDescent="0.35">
      <c r="C61447" s="2"/>
    </row>
    <row r="61448" spans="3:3" x14ac:dyDescent="0.35">
      <c r="C61448" s="2"/>
    </row>
    <row r="61449" spans="3:3" x14ac:dyDescent="0.35">
      <c r="C61449" s="2"/>
    </row>
    <row r="61450" spans="3:3" x14ac:dyDescent="0.35">
      <c r="C61450" s="2"/>
    </row>
    <row r="61451" spans="3:3" x14ac:dyDescent="0.35">
      <c r="C61451" s="2"/>
    </row>
    <row r="61452" spans="3:3" x14ac:dyDescent="0.35">
      <c r="C61452" s="2"/>
    </row>
    <row r="61453" spans="3:3" x14ac:dyDescent="0.35">
      <c r="C61453" s="2"/>
    </row>
    <row r="61454" spans="3:3" x14ac:dyDescent="0.35">
      <c r="C61454" s="2"/>
    </row>
    <row r="61455" spans="3:3" x14ac:dyDescent="0.35">
      <c r="C61455" s="2"/>
    </row>
    <row r="61456" spans="3:3" x14ac:dyDescent="0.35">
      <c r="C61456" s="2"/>
    </row>
    <row r="61457" spans="3:3" x14ac:dyDescent="0.35">
      <c r="C61457" s="2"/>
    </row>
    <row r="61458" spans="3:3" x14ac:dyDescent="0.35">
      <c r="C61458" s="2"/>
    </row>
    <row r="61459" spans="3:3" x14ac:dyDescent="0.35">
      <c r="C61459" s="2"/>
    </row>
    <row r="61460" spans="3:3" x14ac:dyDescent="0.35">
      <c r="C61460" s="2"/>
    </row>
    <row r="61461" spans="3:3" x14ac:dyDescent="0.35">
      <c r="C61461" s="2"/>
    </row>
    <row r="61462" spans="3:3" x14ac:dyDescent="0.35">
      <c r="C61462" s="2"/>
    </row>
    <row r="61463" spans="3:3" x14ac:dyDescent="0.35">
      <c r="C61463" s="2"/>
    </row>
    <row r="61464" spans="3:3" x14ac:dyDescent="0.35">
      <c r="C61464" s="2"/>
    </row>
    <row r="61465" spans="3:3" x14ac:dyDescent="0.35">
      <c r="C61465" s="2"/>
    </row>
    <row r="61466" spans="3:3" x14ac:dyDescent="0.35">
      <c r="C61466" s="2"/>
    </row>
    <row r="61467" spans="3:3" x14ac:dyDescent="0.35">
      <c r="C61467" s="2"/>
    </row>
    <row r="61468" spans="3:3" x14ac:dyDescent="0.35">
      <c r="C61468" s="2"/>
    </row>
    <row r="61469" spans="3:3" x14ac:dyDescent="0.35">
      <c r="C61469" s="2"/>
    </row>
    <row r="61470" spans="3:3" x14ac:dyDescent="0.35">
      <c r="C61470" s="2"/>
    </row>
    <row r="61471" spans="3:3" x14ac:dyDescent="0.35">
      <c r="C61471" s="2"/>
    </row>
    <row r="61472" spans="3:3" x14ac:dyDescent="0.35">
      <c r="C61472" s="2"/>
    </row>
    <row r="61473" spans="3:3" x14ac:dyDescent="0.35">
      <c r="C61473" s="2"/>
    </row>
    <row r="61474" spans="3:3" x14ac:dyDescent="0.35">
      <c r="C61474" s="2"/>
    </row>
    <row r="61475" spans="3:3" x14ac:dyDescent="0.35">
      <c r="C61475" s="2"/>
    </row>
    <row r="61476" spans="3:3" x14ac:dyDescent="0.35">
      <c r="C61476" s="2"/>
    </row>
    <row r="61477" spans="3:3" x14ac:dyDescent="0.35">
      <c r="C61477" s="2"/>
    </row>
    <row r="61478" spans="3:3" x14ac:dyDescent="0.35">
      <c r="C61478" s="2"/>
    </row>
    <row r="61479" spans="3:3" x14ac:dyDescent="0.35">
      <c r="C61479" s="2"/>
    </row>
    <row r="61480" spans="3:3" x14ac:dyDescent="0.35">
      <c r="C61480" s="2"/>
    </row>
    <row r="61481" spans="3:3" x14ac:dyDescent="0.35">
      <c r="C61481" s="2"/>
    </row>
    <row r="61482" spans="3:3" x14ac:dyDescent="0.35">
      <c r="C61482" s="2"/>
    </row>
    <row r="61483" spans="3:3" x14ac:dyDescent="0.35">
      <c r="C61483" s="2"/>
    </row>
    <row r="61484" spans="3:3" x14ac:dyDescent="0.35">
      <c r="C61484" s="2"/>
    </row>
    <row r="61485" spans="3:3" x14ac:dyDescent="0.35">
      <c r="C61485" s="2"/>
    </row>
    <row r="61486" spans="3:3" x14ac:dyDescent="0.35">
      <c r="C61486" s="2"/>
    </row>
    <row r="61487" spans="3:3" x14ac:dyDescent="0.35">
      <c r="C61487" s="2"/>
    </row>
    <row r="61488" spans="3:3" x14ac:dyDescent="0.35">
      <c r="C61488" s="2"/>
    </row>
    <row r="61489" spans="3:3" x14ac:dyDescent="0.35">
      <c r="C61489" s="2"/>
    </row>
    <row r="61490" spans="3:3" x14ac:dyDescent="0.35">
      <c r="C61490" s="2"/>
    </row>
    <row r="61491" spans="3:3" x14ac:dyDescent="0.35">
      <c r="C61491" s="2"/>
    </row>
    <row r="61492" spans="3:3" x14ac:dyDescent="0.35">
      <c r="C61492" s="2"/>
    </row>
    <row r="61493" spans="3:3" x14ac:dyDescent="0.35">
      <c r="C61493" s="2"/>
    </row>
    <row r="61494" spans="3:3" x14ac:dyDescent="0.35">
      <c r="C61494" s="2"/>
    </row>
    <row r="61495" spans="3:3" x14ac:dyDescent="0.35">
      <c r="C61495" s="2"/>
    </row>
    <row r="61496" spans="3:3" x14ac:dyDescent="0.35">
      <c r="C61496" s="2"/>
    </row>
    <row r="61497" spans="3:3" x14ac:dyDescent="0.35">
      <c r="C61497" s="2"/>
    </row>
    <row r="61498" spans="3:3" x14ac:dyDescent="0.35">
      <c r="C61498" s="2"/>
    </row>
    <row r="61499" spans="3:3" x14ac:dyDescent="0.35">
      <c r="C61499" s="2"/>
    </row>
    <row r="61500" spans="3:3" x14ac:dyDescent="0.35">
      <c r="C61500" s="2"/>
    </row>
    <row r="61501" spans="3:3" x14ac:dyDescent="0.35">
      <c r="C61501" s="2"/>
    </row>
    <row r="61502" spans="3:3" x14ac:dyDescent="0.35">
      <c r="C61502" s="2"/>
    </row>
    <row r="61503" spans="3:3" x14ac:dyDescent="0.35">
      <c r="C61503" s="2"/>
    </row>
    <row r="61504" spans="3:3" x14ac:dyDescent="0.35">
      <c r="C61504" s="2"/>
    </row>
    <row r="61505" spans="3:3" x14ac:dyDescent="0.35">
      <c r="C61505" s="2"/>
    </row>
    <row r="61506" spans="3:3" x14ac:dyDescent="0.35">
      <c r="C61506" s="2"/>
    </row>
    <row r="61507" spans="3:3" x14ac:dyDescent="0.35">
      <c r="C61507" s="2"/>
    </row>
    <row r="61508" spans="3:3" x14ac:dyDescent="0.35">
      <c r="C61508" s="2"/>
    </row>
    <row r="61509" spans="3:3" x14ac:dyDescent="0.35">
      <c r="C61509" s="2"/>
    </row>
    <row r="61510" spans="3:3" x14ac:dyDescent="0.35">
      <c r="C61510" s="2"/>
    </row>
    <row r="61511" spans="3:3" x14ac:dyDescent="0.35">
      <c r="C61511" s="2"/>
    </row>
    <row r="61512" spans="3:3" x14ac:dyDescent="0.35">
      <c r="C61512" s="2"/>
    </row>
    <row r="61513" spans="3:3" x14ac:dyDescent="0.35">
      <c r="C61513" s="2"/>
    </row>
    <row r="61514" spans="3:3" x14ac:dyDescent="0.35">
      <c r="C61514" s="2"/>
    </row>
    <row r="61515" spans="3:3" x14ac:dyDescent="0.35">
      <c r="C61515" s="2"/>
    </row>
    <row r="61516" spans="3:3" x14ac:dyDescent="0.35">
      <c r="C61516" s="2"/>
    </row>
    <row r="61517" spans="3:3" x14ac:dyDescent="0.35">
      <c r="C61517" s="2"/>
    </row>
    <row r="61518" spans="3:3" x14ac:dyDescent="0.35">
      <c r="C61518" s="2"/>
    </row>
    <row r="61519" spans="3:3" x14ac:dyDescent="0.35">
      <c r="C61519" s="2"/>
    </row>
    <row r="61520" spans="3:3" x14ac:dyDescent="0.35">
      <c r="C61520" s="2"/>
    </row>
    <row r="61521" spans="3:3" x14ac:dyDescent="0.35">
      <c r="C61521" s="2"/>
    </row>
    <row r="61522" spans="3:3" x14ac:dyDescent="0.35">
      <c r="C61522" s="2"/>
    </row>
    <row r="61523" spans="3:3" x14ac:dyDescent="0.35">
      <c r="C61523" s="2"/>
    </row>
    <row r="61524" spans="3:3" x14ac:dyDescent="0.35">
      <c r="C61524" s="2"/>
    </row>
    <row r="61525" spans="3:3" x14ac:dyDescent="0.35">
      <c r="C61525" s="2"/>
    </row>
    <row r="61526" spans="3:3" x14ac:dyDescent="0.35">
      <c r="C61526" s="2"/>
    </row>
    <row r="61527" spans="3:3" x14ac:dyDescent="0.35">
      <c r="C61527" s="2"/>
    </row>
    <row r="61528" spans="3:3" x14ac:dyDescent="0.35">
      <c r="C61528" s="2"/>
    </row>
    <row r="61529" spans="3:3" x14ac:dyDescent="0.35">
      <c r="C61529" s="2"/>
    </row>
    <row r="61530" spans="3:3" x14ac:dyDescent="0.35">
      <c r="C61530" s="2"/>
    </row>
    <row r="61531" spans="3:3" x14ac:dyDescent="0.35">
      <c r="C61531" s="2"/>
    </row>
    <row r="61532" spans="3:3" x14ac:dyDescent="0.35">
      <c r="C61532" s="2"/>
    </row>
    <row r="61533" spans="3:3" x14ac:dyDescent="0.35">
      <c r="C61533" s="2"/>
    </row>
    <row r="61534" spans="3:3" x14ac:dyDescent="0.35">
      <c r="C61534" s="2"/>
    </row>
    <row r="61535" spans="3:3" x14ac:dyDescent="0.35">
      <c r="C61535" s="2"/>
    </row>
    <row r="61536" spans="3:3" x14ac:dyDescent="0.35">
      <c r="C61536" s="2"/>
    </row>
    <row r="61537" spans="3:3" x14ac:dyDescent="0.35">
      <c r="C61537" s="2"/>
    </row>
    <row r="61538" spans="3:3" x14ac:dyDescent="0.35">
      <c r="C61538" s="2"/>
    </row>
    <row r="61539" spans="3:3" x14ac:dyDescent="0.35">
      <c r="C61539" s="2"/>
    </row>
    <row r="61540" spans="3:3" x14ac:dyDescent="0.35">
      <c r="C61540" s="2"/>
    </row>
    <row r="61541" spans="3:3" x14ac:dyDescent="0.35">
      <c r="C61541" s="2"/>
    </row>
    <row r="61542" spans="3:3" x14ac:dyDescent="0.35">
      <c r="C61542" s="2"/>
    </row>
    <row r="61543" spans="3:3" x14ac:dyDescent="0.35">
      <c r="C61543" s="2"/>
    </row>
    <row r="61544" spans="3:3" x14ac:dyDescent="0.35">
      <c r="C61544" s="2"/>
    </row>
    <row r="61545" spans="3:3" x14ac:dyDescent="0.35">
      <c r="C61545" s="2"/>
    </row>
    <row r="61546" spans="3:3" x14ac:dyDescent="0.35">
      <c r="C61546" s="2"/>
    </row>
    <row r="61547" spans="3:3" x14ac:dyDescent="0.35">
      <c r="C61547" s="2"/>
    </row>
    <row r="61548" spans="3:3" x14ac:dyDescent="0.35">
      <c r="C61548" s="2"/>
    </row>
    <row r="61549" spans="3:3" x14ac:dyDescent="0.35">
      <c r="C61549" s="2"/>
    </row>
    <row r="61550" spans="3:3" x14ac:dyDescent="0.35">
      <c r="C61550" s="2"/>
    </row>
    <row r="61551" spans="3:3" x14ac:dyDescent="0.35">
      <c r="C61551" s="2"/>
    </row>
    <row r="61552" spans="3:3" x14ac:dyDescent="0.35">
      <c r="C61552" s="2"/>
    </row>
    <row r="61553" spans="3:3" x14ac:dyDescent="0.35">
      <c r="C61553" s="2"/>
    </row>
    <row r="61554" spans="3:3" x14ac:dyDescent="0.35">
      <c r="C61554" s="2"/>
    </row>
    <row r="61555" spans="3:3" x14ac:dyDescent="0.35">
      <c r="C61555" s="2"/>
    </row>
    <row r="61556" spans="3:3" x14ac:dyDescent="0.35">
      <c r="C61556" s="2"/>
    </row>
    <row r="61557" spans="3:3" x14ac:dyDescent="0.35">
      <c r="C61557" s="2"/>
    </row>
    <row r="61558" spans="3:3" x14ac:dyDescent="0.35">
      <c r="C61558" s="2"/>
    </row>
    <row r="61559" spans="3:3" x14ac:dyDescent="0.35">
      <c r="C61559" s="2"/>
    </row>
    <row r="61560" spans="3:3" x14ac:dyDescent="0.35">
      <c r="C61560" s="2"/>
    </row>
    <row r="61561" spans="3:3" x14ac:dyDescent="0.35">
      <c r="C61561" s="2"/>
    </row>
    <row r="61562" spans="3:3" x14ac:dyDescent="0.35">
      <c r="C61562" s="2"/>
    </row>
    <row r="61563" spans="3:3" x14ac:dyDescent="0.35">
      <c r="C61563" s="2"/>
    </row>
    <row r="61564" spans="3:3" x14ac:dyDescent="0.35">
      <c r="C61564" s="2"/>
    </row>
    <row r="61565" spans="3:3" x14ac:dyDescent="0.35">
      <c r="C61565" s="2"/>
    </row>
    <row r="61566" spans="3:3" x14ac:dyDescent="0.35">
      <c r="C61566" s="2"/>
    </row>
    <row r="61567" spans="3:3" x14ac:dyDescent="0.35">
      <c r="C61567" s="2"/>
    </row>
    <row r="61568" spans="3:3" x14ac:dyDescent="0.35">
      <c r="C61568" s="2"/>
    </row>
    <row r="61569" spans="3:3" x14ac:dyDescent="0.35">
      <c r="C61569" s="2"/>
    </row>
    <row r="61570" spans="3:3" x14ac:dyDescent="0.35">
      <c r="C61570" s="2"/>
    </row>
    <row r="61571" spans="3:3" x14ac:dyDescent="0.35">
      <c r="C61571" s="2"/>
    </row>
    <row r="61572" spans="3:3" x14ac:dyDescent="0.35">
      <c r="C61572" s="2"/>
    </row>
    <row r="61573" spans="3:3" x14ac:dyDescent="0.35">
      <c r="C61573" s="2"/>
    </row>
    <row r="61574" spans="3:3" x14ac:dyDescent="0.35">
      <c r="C61574" s="2"/>
    </row>
    <row r="61575" spans="3:3" x14ac:dyDescent="0.35">
      <c r="C61575" s="2"/>
    </row>
    <row r="61576" spans="3:3" x14ac:dyDescent="0.35">
      <c r="C61576" s="2"/>
    </row>
    <row r="61577" spans="3:3" x14ac:dyDescent="0.35">
      <c r="C61577" s="2"/>
    </row>
    <row r="61578" spans="3:3" x14ac:dyDescent="0.35">
      <c r="C61578" s="2"/>
    </row>
    <row r="61579" spans="3:3" x14ac:dyDescent="0.35">
      <c r="C61579" s="2"/>
    </row>
    <row r="61580" spans="3:3" x14ac:dyDescent="0.35">
      <c r="C61580" s="2"/>
    </row>
    <row r="61581" spans="3:3" x14ac:dyDescent="0.35">
      <c r="C61581" s="2"/>
    </row>
    <row r="61582" spans="3:3" x14ac:dyDescent="0.35">
      <c r="C61582" s="2"/>
    </row>
    <row r="61583" spans="3:3" x14ac:dyDescent="0.35">
      <c r="C61583" s="2"/>
    </row>
    <row r="61584" spans="3:3" x14ac:dyDescent="0.35">
      <c r="C61584" s="2"/>
    </row>
    <row r="61585" spans="3:3" x14ac:dyDescent="0.35">
      <c r="C61585" s="2"/>
    </row>
    <row r="61586" spans="3:3" x14ac:dyDescent="0.35">
      <c r="C61586" s="2"/>
    </row>
    <row r="61587" spans="3:3" x14ac:dyDescent="0.35">
      <c r="C61587" s="2"/>
    </row>
    <row r="61588" spans="3:3" x14ac:dyDescent="0.35">
      <c r="C61588" s="2"/>
    </row>
    <row r="61589" spans="3:3" x14ac:dyDescent="0.35">
      <c r="C61589" s="2"/>
    </row>
    <row r="61590" spans="3:3" x14ac:dyDescent="0.35">
      <c r="C61590" s="2"/>
    </row>
    <row r="61591" spans="3:3" x14ac:dyDescent="0.35">
      <c r="C61591" s="2"/>
    </row>
    <row r="61592" spans="3:3" x14ac:dyDescent="0.35">
      <c r="C61592" s="2"/>
    </row>
    <row r="61593" spans="3:3" x14ac:dyDescent="0.35">
      <c r="C61593" s="2"/>
    </row>
    <row r="61594" spans="3:3" x14ac:dyDescent="0.35">
      <c r="C61594" s="2"/>
    </row>
    <row r="61595" spans="3:3" x14ac:dyDescent="0.35">
      <c r="C61595" s="2"/>
    </row>
    <row r="61596" spans="3:3" x14ac:dyDescent="0.35">
      <c r="C61596" s="2"/>
    </row>
    <row r="61597" spans="3:3" x14ac:dyDescent="0.35">
      <c r="C61597" s="2"/>
    </row>
    <row r="61598" spans="3:3" x14ac:dyDescent="0.35">
      <c r="C61598" s="2"/>
    </row>
    <row r="61599" spans="3:3" x14ac:dyDescent="0.35">
      <c r="C61599" s="2"/>
    </row>
    <row r="61600" spans="3:3" x14ac:dyDescent="0.35">
      <c r="C61600" s="2"/>
    </row>
    <row r="61601" spans="3:3" x14ac:dyDescent="0.35">
      <c r="C61601" s="2"/>
    </row>
    <row r="61602" spans="3:3" x14ac:dyDescent="0.35">
      <c r="C61602" s="2"/>
    </row>
    <row r="61603" spans="3:3" x14ac:dyDescent="0.35">
      <c r="C61603" s="2"/>
    </row>
    <row r="61604" spans="3:3" x14ac:dyDescent="0.35">
      <c r="C61604" s="2"/>
    </row>
    <row r="61605" spans="3:3" x14ac:dyDescent="0.35">
      <c r="C61605" s="2"/>
    </row>
    <row r="61606" spans="3:3" x14ac:dyDescent="0.35">
      <c r="C61606" s="2"/>
    </row>
    <row r="61607" spans="3:3" x14ac:dyDescent="0.35">
      <c r="C61607" s="2"/>
    </row>
    <row r="61608" spans="3:3" x14ac:dyDescent="0.35">
      <c r="C61608" s="2"/>
    </row>
    <row r="61609" spans="3:3" x14ac:dyDescent="0.35">
      <c r="C61609" s="2"/>
    </row>
    <row r="61610" spans="3:3" x14ac:dyDescent="0.35">
      <c r="C61610" s="2"/>
    </row>
    <row r="61611" spans="3:3" x14ac:dyDescent="0.35">
      <c r="C61611" s="2"/>
    </row>
    <row r="61612" spans="3:3" x14ac:dyDescent="0.35">
      <c r="C61612" s="2"/>
    </row>
    <row r="61613" spans="3:3" x14ac:dyDescent="0.35">
      <c r="C61613" s="2"/>
    </row>
    <row r="61614" spans="3:3" x14ac:dyDescent="0.35">
      <c r="C61614" s="2"/>
    </row>
    <row r="61615" spans="3:3" x14ac:dyDescent="0.35">
      <c r="C61615" s="2"/>
    </row>
    <row r="61616" spans="3:3" x14ac:dyDescent="0.35">
      <c r="C61616" s="2"/>
    </row>
    <row r="61617" spans="3:3" x14ac:dyDescent="0.35">
      <c r="C61617" s="2"/>
    </row>
    <row r="61618" spans="3:3" x14ac:dyDescent="0.35">
      <c r="C61618" s="2"/>
    </row>
    <row r="61619" spans="3:3" x14ac:dyDescent="0.35">
      <c r="C61619" s="2"/>
    </row>
    <row r="61620" spans="3:3" x14ac:dyDescent="0.35">
      <c r="C61620" s="2"/>
    </row>
    <row r="61621" spans="3:3" x14ac:dyDescent="0.35">
      <c r="C61621" s="2"/>
    </row>
    <row r="61622" spans="3:3" x14ac:dyDescent="0.35">
      <c r="C61622" s="2"/>
    </row>
    <row r="61623" spans="3:3" x14ac:dyDescent="0.35">
      <c r="C61623" s="2"/>
    </row>
    <row r="61624" spans="3:3" x14ac:dyDescent="0.35">
      <c r="C61624" s="2"/>
    </row>
    <row r="61625" spans="3:3" x14ac:dyDescent="0.35">
      <c r="C61625" s="2"/>
    </row>
    <row r="61626" spans="3:3" x14ac:dyDescent="0.35">
      <c r="C61626" s="2"/>
    </row>
    <row r="61627" spans="3:3" x14ac:dyDescent="0.35">
      <c r="C61627" s="2"/>
    </row>
    <row r="61628" spans="3:3" x14ac:dyDescent="0.35">
      <c r="C61628" s="2"/>
    </row>
    <row r="61629" spans="3:3" x14ac:dyDescent="0.35">
      <c r="C61629" s="2"/>
    </row>
    <row r="61630" spans="3:3" x14ac:dyDescent="0.35">
      <c r="C61630" s="2"/>
    </row>
    <row r="61631" spans="3:3" x14ac:dyDescent="0.35">
      <c r="C61631" s="2"/>
    </row>
    <row r="61632" spans="3:3" x14ac:dyDescent="0.35">
      <c r="C61632" s="2"/>
    </row>
    <row r="61633" spans="3:3" x14ac:dyDescent="0.35">
      <c r="C61633" s="2"/>
    </row>
    <row r="61634" spans="3:3" x14ac:dyDescent="0.35">
      <c r="C61634" s="2"/>
    </row>
    <row r="61635" spans="3:3" x14ac:dyDescent="0.35">
      <c r="C61635" s="2"/>
    </row>
    <row r="61636" spans="3:3" x14ac:dyDescent="0.35">
      <c r="C61636" s="2"/>
    </row>
    <row r="61637" spans="3:3" x14ac:dyDescent="0.35">
      <c r="C61637" s="2"/>
    </row>
    <row r="61638" spans="3:3" x14ac:dyDescent="0.35">
      <c r="C61638" s="2"/>
    </row>
    <row r="61639" spans="3:3" x14ac:dyDescent="0.35">
      <c r="C61639" s="2"/>
    </row>
    <row r="61640" spans="3:3" x14ac:dyDescent="0.35">
      <c r="C61640" s="2"/>
    </row>
    <row r="61641" spans="3:3" x14ac:dyDescent="0.35">
      <c r="C61641" s="2"/>
    </row>
    <row r="61642" spans="3:3" x14ac:dyDescent="0.35">
      <c r="C61642" s="2"/>
    </row>
    <row r="61643" spans="3:3" x14ac:dyDescent="0.35">
      <c r="C61643" s="2"/>
    </row>
    <row r="61644" spans="3:3" x14ac:dyDescent="0.35">
      <c r="C61644" s="2"/>
    </row>
    <row r="61645" spans="3:3" x14ac:dyDescent="0.35">
      <c r="C61645" s="2"/>
    </row>
    <row r="61646" spans="3:3" x14ac:dyDescent="0.35">
      <c r="C61646" s="2"/>
    </row>
    <row r="61647" spans="3:3" x14ac:dyDescent="0.35">
      <c r="C61647" s="2"/>
    </row>
    <row r="61648" spans="3:3" x14ac:dyDescent="0.35">
      <c r="C61648" s="2"/>
    </row>
    <row r="61649" spans="3:3" x14ac:dyDescent="0.35">
      <c r="C61649" s="2"/>
    </row>
    <row r="61650" spans="3:3" x14ac:dyDescent="0.35">
      <c r="C61650" s="2"/>
    </row>
    <row r="61651" spans="3:3" x14ac:dyDescent="0.35">
      <c r="C61651" s="2"/>
    </row>
    <row r="61652" spans="3:3" x14ac:dyDescent="0.35">
      <c r="C61652" s="2"/>
    </row>
    <row r="61653" spans="3:3" x14ac:dyDescent="0.35">
      <c r="C61653" s="2"/>
    </row>
    <row r="61654" spans="3:3" x14ac:dyDescent="0.35">
      <c r="C61654" s="2"/>
    </row>
    <row r="61655" spans="3:3" x14ac:dyDescent="0.35">
      <c r="C61655" s="2"/>
    </row>
    <row r="61656" spans="3:3" x14ac:dyDescent="0.35">
      <c r="C61656" s="2"/>
    </row>
    <row r="61657" spans="3:3" x14ac:dyDescent="0.35">
      <c r="C61657" s="2"/>
    </row>
    <row r="61658" spans="3:3" x14ac:dyDescent="0.35">
      <c r="C61658" s="2"/>
    </row>
    <row r="61659" spans="3:3" x14ac:dyDescent="0.35">
      <c r="C61659" s="2"/>
    </row>
    <row r="61660" spans="3:3" x14ac:dyDescent="0.35">
      <c r="C61660" s="2"/>
    </row>
    <row r="61661" spans="3:3" x14ac:dyDescent="0.35">
      <c r="C61661" s="2"/>
    </row>
    <row r="61662" spans="3:3" x14ac:dyDescent="0.35">
      <c r="C61662" s="2"/>
    </row>
    <row r="61663" spans="3:3" x14ac:dyDescent="0.35">
      <c r="C61663" s="2"/>
    </row>
    <row r="61664" spans="3:3" x14ac:dyDescent="0.35">
      <c r="C61664" s="2"/>
    </row>
    <row r="61665" spans="3:3" x14ac:dyDescent="0.35">
      <c r="C61665" s="2"/>
    </row>
    <row r="61666" spans="3:3" x14ac:dyDescent="0.35">
      <c r="C61666" s="2"/>
    </row>
    <row r="61667" spans="3:3" x14ac:dyDescent="0.35">
      <c r="C61667" s="2"/>
    </row>
    <row r="61668" spans="3:3" x14ac:dyDescent="0.35">
      <c r="C61668" s="2"/>
    </row>
    <row r="61669" spans="3:3" x14ac:dyDescent="0.35">
      <c r="C61669" s="2"/>
    </row>
    <row r="61670" spans="3:3" x14ac:dyDescent="0.35">
      <c r="C61670" s="2"/>
    </row>
    <row r="61671" spans="3:3" x14ac:dyDescent="0.35">
      <c r="C61671" s="2"/>
    </row>
    <row r="61672" spans="3:3" x14ac:dyDescent="0.35">
      <c r="C61672" s="2"/>
    </row>
    <row r="61673" spans="3:3" x14ac:dyDescent="0.35">
      <c r="C61673" s="2"/>
    </row>
    <row r="61674" spans="3:3" x14ac:dyDescent="0.35">
      <c r="C61674" s="2"/>
    </row>
    <row r="61675" spans="3:3" x14ac:dyDescent="0.35">
      <c r="C61675" s="2"/>
    </row>
    <row r="61676" spans="3:3" x14ac:dyDescent="0.35">
      <c r="C61676" s="2"/>
    </row>
    <row r="61677" spans="3:3" x14ac:dyDescent="0.35">
      <c r="C61677" s="2"/>
    </row>
    <row r="61678" spans="3:3" x14ac:dyDescent="0.35">
      <c r="C61678" s="2"/>
    </row>
    <row r="61679" spans="3:3" x14ac:dyDescent="0.35">
      <c r="C61679" s="2"/>
    </row>
    <row r="61680" spans="3:3" x14ac:dyDescent="0.35">
      <c r="C61680" s="2"/>
    </row>
    <row r="61681" spans="3:3" x14ac:dyDescent="0.35">
      <c r="C61681" s="2"/>
    </row>
    <row r="61682" spans="3:3" x14ac:dyDescent="0.35">
      <c r="C61682" s="2"/>
    </row>
    <row r="61683" spans="3:3" x14ac:dyDescent="0.35">
      <c r="C61683" s="2"/>
    </row>
    <row r="61684" spans="3:3" x14ac:dyDescent="0.35">
      <c r="C61684" s="2"/>
    </row>
    <row r="61685" spans="3:3" x14ac:dyDescent="0.35">
      <c r="C61685" s="2"/>
    </row>
    <row r="61686" spans="3:3" x14ac:dyDescent="0.35">
      <c r="C61686" s="2"/>
    </row>
    <row r="61687" spans="3:3" x14ac:dyDescent="0.35">
      <c r="C61687" s="2"/>
    </row>
    <row r="61688" spans="3:3" x14ac:dyDescent="0.35">
      <c r="C61688" s="2"/>
    </row>
    <row r="61689" spans="3:3" x14ac:dyDescent="0.35">
      <c r="C61689" s="2"/>
    </row>
    <row r="61690" spans="3:3" x14ac:dyDescent="0.35">
      <c r="C61690" s="2"/>
    </row>
    <row r="61691" spans="3:3" x14ac:dyDescent="0.35">
      <c r="C61691" s="2"/>
    </row>
    <row r="61692" spans="3:3" x14ac:dyDescent="0.35">
      <c r="C61692" s="2"/>
    </row>
    <row r="61693" spans="3:3" x14ac:dyDescent="0.35">
      <c r="C61693" s="2"/>
    </row>
    <row r="61694" spans="3:3" x14ac:dyDescent="0.35">
      <c r="C61694" s="2"/>
    </row>
    <row r="61695" spans="3:3" x14ac:dyDescent="0.35">
      <c r="C61695" s="2"/>
    </row>
    <row r="61696" spans="3:3" x14ac:dyDescent="0.35">
      <c r="C61696" s="2"/>
    </row>
    <row r="61697" spans="3:3" x14ac:dyDescent="0.35">
      <c r="C61697" s="2"/>
    </row>
    <row r="61698" spans="3:3" x14ac:dyDescent="0.35">
      <c r="C61698" s="2"/>
    </row>
    <row r="61699" spans="3:3" x14ac:dyDescent="0.35">
      <c r="C61699" s="2"/>
    </row>
    <row r="61700" spans="3:3" x14ac:dyDescent="0.35">
      <c r="C61700" s="2"/>
    </row>
    <row r="61701" spans="3:3" x14ac:dyDescent="0.35">
      <c r="C61701" s="2"/>
    </row>
    <row r="61702" spans="3:3" x14ac:dyDescent="0.35">
      <c r="C61702" s="2"/>
    </row>
    <row r="61703" spans="3:3" x14ac:dyDescent="0.35">
      <c r="C61703" s="2"/>
    </row>
    <row r="61704" spans="3:3" x14ac:dyDescent="0.35">
      <c r="C61704" s="2"/>
    </row>
    <row r="61705" spans="3:3" x14ac:dyDescent="0.35">
      <c r="C61705" s="2"/>
    </row>
    <row r="61706" spans="3:3" x14ac:dyDescent="0.35">
      <c r="C61706" s="2"/>
    </row>
    <row r="61707" spans="3:3" x14ac:dyDescent="0.35">
      <c r="C61707" s="2"/>
    </row>
    <row r="61708" spans="3:3" x14ac:dyDescent="0.35">
      <c r="C61708" s="2"/>
    </row>
    <row r="61709" spans="3:3" x14ac:dyDescent="0.35">
      <c r="C61709" s="2"/>
    </row>
    <row r="61710" spans="3:3" x14ac:dyDescent="0.35">
      <c r="C61710" s="2"/>
    </row>
    <row r="61711" spans="3:3" x14ac:dyDescent="0.35">
      <c r="C61711" s="2"/>
    </row>
    <row r="61712" spans="3:3" x14ac:dyDescent="0.35">
      <c r="C61712" s="2"/>
    </row>
    <row r="61713" spans="3:3" x14ac:dyDescent="0.35">
      <c r="C61713" s="2"/>
    </row>
    <row r="61714" spans="3:3" x14ac:dyDescent="0.35">
      <c r="C61714" s="2"/>
    </row>
    <row r="61715" spans="3:3" x14ac:dyDescent="0.35">
      <c r="C61715" s="2"/>
    </row>
    <row r="61716" spans="3:3" x14ac:dyDescent="0.35">
      <c r="C61716" s="2"/>
    </row>
    <row r="61717" spans="3:3" x14ac:dyDescent="0.35">
      <c r="C61717" s="2"/>
    </row>
    <row r="61718" spans="3:3" x14ac:dyDescent="0.35">
      <c r="C61718" s="2"/>
    </row>
    <row r="61719" spans="3:3" x14ac:dyDescent="0.35">
      <c r="C61719" s="2"/>
    </row>
    <row r="61720" spans="3:3" x14ac:dyDescent="0.35">
      <c r="C61720" s="2"/>
    </row>
    <row r="61721" spans="3:3" x14ac:dyDescent="0.35">
      <c r="C61721" s="2"/>
    </row>
    <row r="61722" spans="3:3" x14ac:dyDescent="0.35">
      <c r="C61722" s="2"/>
    </row>
    <row r="61723" spans="3:3" x14ac:dyDescent="0.35">
      <c r="C61723" s="2"/>
    </row>
    <row r="61724" spans="3:3" x14ac:dyDescent="0.35">
      <c r="C61724" s="2"/>
    </row>
    <row r="61725" spans="3:3" x14ac:dyDescent="0.35">
      <c r="C61725" s="2"/>
    </row>
    <row r="61726" spans="3:3" x14ac:dyDescent="0.35">
      <c r="C61726" s="2"/>
    </row>
    <row r="61727" spans="3:3" x14ac:dyDescent="0.35">
      <c r="C61727" s="2"/>
    </row>
    <row r="61728" spans="3:3" x14ac:dyDescent="0.35">
      <c r="C61728" s="2"/>
    </row>
    <row r="61729" spans="3:3" x14ac:dyDescent="0.35">
      <c r="C61729" s="2"/>
    </row>
    <row r="61730" spans="3:3" x14ac:dyDescent="0.35">
      <c r="C61730" s="2"/>
    </row>
    <row r="61731" spans="3:3" x14ac:dyDescent="0.35">
      <c r="C61731" s="2"/>
    </row>
    <row r="61732" spans="3:3" x14ac:dyDescent="0.35">
      <c r="C61732" s="2"/>
    </row>
    <row r="61733" spans="3:3" x14ac:dyDescent="0.35">
      <c r="C61733" s="2"/>
    </row>
    <row r="61734" spans="3:3" x14ac:dyDescent="0.35">
      <c r="C61734" s="2"/>
    </row>
    <row r="61735" spans="3:3" x14ac:dyDescent="0.35">
      <c r="C61735" s="2"/>
    </row>
    <row r="61736" spans="3:3" x14ac:dyDescent="0.35">
      <c r="C61736" s="2"/>
    </row>
    <row r="61737" spans="3:3" x14ac:dyDescent="0.35">
      <c r="C61737" s="2"/>
    </row>
    <row r="61738" spans="3:3" x14ac:dyDescent="0.35">
      <c r="C61738" s="2"/>
    </row>
    <row r="61739" spans="3:3" x14ac:dyDescent="0.35">
      <c r="C61739" s="2"/>
    </row>
    <row r="61740" spans="3:3" x14ac:dyDescent="0.35">
      <c r="C61740" s="2"/>
    </row>
    <row r="61741" spans="3:3" x14ac:dyDescent="0.35">
      <c r="C61741" s="2"/>
    </row>
    <row r="61742" spans="3:3" x14ac:dyDescent="0.35">
      <c r="C61742" s="2"/>
    </row>
    <row r="61743" spans="3:3" x14ac:dyDescent="0.35">
      <c r="C61743" s="2"/>
    </row>
    <row r="61744" spans="3:3" x14ac:dyDescent="0.35">
      <c r="C61744" s="2"/>
    </row>
    <row r="61745" spans="3:3" x14ac:dyDescent="0.35">
      <c r="C61745" s="2"/>
    </row>
    <row r="61746" spans="3:3" x14ac:dyDescent="0.35">
      <c r="C61746" s="2"/>
    </row>
    <row r="61747" spans="3:3" x14ac:dyDescent="0.35">
      <c r="C61747" s="2"/>
    </row>
    <row r="61748" spans="3:3" x14ac:dyDescent="0.35">
      <c r="C61748" s="2"/>
    </row>
    <row r="61749" spans="3:3" x14ac:dyDescent="0.35">
      <c r="C61749" s="2"/>
    </row>
    <row r="61750" spans="3:3" x14ac:dyDescent="0.35">
      <c r="C61750" s="2"/>
    </row>
    <row r="61751" spans="3:3" x14ac:dyDescent="0.35">
      <c r="C61751" s="2"/>
    </row>
    <row r="61752" spans="3:3" x14ac:dyDescent="0.35">
      <c r="C61752" s="2"/>
    </row>
    <row r="61753" spans="3:3" x14ac:dyDescent="0.35">
      <c r="C61753" s="2"/>
    </row>
    <row r="61754" spans="3:3" x14ac:dyDescent="0.35">
      <c r="C61754" s="2"/>
    </row>
    <row r="61755" spans="3:3" x14ac:dyDescent="0.35">
      <c r="C61755" s="2"/>
    </row>
    <row r="61756" spans="3:3" x14ac:dyDescent="0.35">
      <c r="C61756" s="2"/>
    </row>
    <row r="61757" spans="3:3" x14ac:dyDescent="0.35">
      <c r="C61757" s="2"/>
    </row>
    <row r="61758" spans="3:3" x14ac:dyDescent="0.35">
      <c r="C61758" s="2"/>
    </row>
    <row r="61759" spans="3:3" x14ac:dyDescent="0.35">
      <c r="C61759" s="2"/>
    </row>
    <row r="61760" spans="3:3" x14ac:dyDescent="0.35">
      <c r="C61760" s="2"/>
    </row>
    <row r="61761" spans="3:3" x14ac:dyDescent="0.35">
      <c r="C61761" s="2"/>
    </row>
    <row r="61762" spans="3:3" x14ac:dyDescent="0.35">
      <c r="C61762" s="2"/>
    </row>
    <row r="61763" spans="3:3" x14ac:dyDescent="0.35">
      <c r="C61763" s="2"/>
    </row>
    <row r="61764" spans="3:3" x14ac:dyDescent="0.35">
      <c r="C61764" s="2"/>
    </row>
    <row r="61765" spans="3:3" x14ac:dyDescent="0.35">
      <c r="C61765" s="2"/>
    </row>
    <row r="61766" spans="3:3" x14ac:dyDescent="0.35">
      <c r="C61766" s="2"/>
    </row>
    <row r="61767" spans="3:3" x14ac:dyDescent="0.35">
      <c r="C61767" s="2"/>
    </row>
    <row r="61768" spans="3:3" x14ac:dyDescent="0.35">
      <c r="C61768" s="2"/>
    </row>
    <row r="61769" spans="3:3" x14ac:dyDescent="0.35">
      <c r="C61769" s="2"/>
    </row>
    <row r="61770" spans="3:3" x14ac:dyDescent="0.35">
      <c r="C61770" s="2"/>
    </row>
    <row r="61771" spans="3:3" x14ac:dyDescent="0.35">
      <c r="C61771" s="2"/>
    </row>
    <row r="61772" spans="3:3" x14ac:dyDescent="0.35">
      <c r="C61772" s="2"/>
    </row>
    <row r="61773" spans="3:3" x14ac:dyDescent="0.35">
      <c r="C61773" s="2"/>
    </row>
    <row r="61774" spans="3:3" x14ac:dyDescent="0.35">
      <c r="C61774" s="2"/>
    </row>
    <row r="61775" spans="3:3" x14ac:dyDescent="0.35">
      <c r="C61775" s="2"/>
    </row>
    <row r="61776" spans="3:3" x14ac:dyDescent="0.35">
      <c r="C61776" s="2"/>
    </row>
    <row r="61777" spans="3:3" x14ac:dyDescent="0.35">
      <c r="C61777" s="2"/>
    </row>
    <row r="61778" spans="3:3" x14ac:dyDescent="0.35">
      <c r="C61778" s="2"/>
    </row>
    <row r="61779" spans="3:3" x14ac:dyDescent="0.35">
      <c r="C61779" s="2"/>
    </row>
    <row r="61780" spans="3:3" x14ac:dyDescent="0.35">
      <c r="C61780" s="2"/>
    </row>
    <row r="61781" spans="3:3" x14ac:dyDescent="0.35">
      <c r="C61781" s="2"/>
    </row>
    <row r="61782" spans="3:3" x14ac:dyDescent="0.35">
      <c r="C61782" s="2"/>
    </row>
    <row r="61783" spans="3:3" x14ac:dyDescent="0.35">
      <c r="C61783" s="2"/>
    </row>
    <row r="61784" spans="3:3" x14ac:dyDescent="0.35">
      <c r="C61784" s="2"/>
    </row>
    <row r="61785" spans="3:3" x14ac:dyDescent="0.35">
      <c r="C61785" s="2"/>
    </row>
    <row r="61786" spans="3:3" x14ac:dyDescent="0.35">
      <c r="C61786" s="2"/>
    </row>
    <row r="61787" spans="3:3" x14ac:dyDescent="0.35">
      <c r="C61787" s="2"/>
    </row>
    <row r="61788" spans="3:3" x14ac:dyDescent="0.35">
      <c r="C61788" s="2"/>
    </row>
    <row r="61789" spans="3:3" x14ac:dyDescent="0.35">
      <c r="C61789" s="2"/>
    </row>
    <row r="61790" spans="3:3" x14ac:dyDescent="0.35">
      <c r="C61790" s="2"/>
    </row>
    <row r="61791" spans="3:3" x14ac:dyDescent="0.35">
      <c r="C61791" s="2"/>
    </row>
    <row r="61792" spans="3:3" x14ac:dyDescent="0.35">
      <c r="C61792" s="2"/>
    </row>
    <row r="61793" spans="3:3" x14ac:dyDescent="0.35">
      <c r="C61793" s="2"/>
    </row>
    <row r="61794" spans="3:3" x14ac:dyDescent="0.35">
      <c r="C61794" s="2"/>
    </row>
    <row r="61795" spans="3:3" x14ac:dyDescent="0.35">
      <c r="C61795" s="2"/>
    </row>
    <row r="61796" spans="3:3" x14ac:dyDescent="0.35">
      <c r="C61796" s="2"/>
    </row>
    <row r="61797" spans="3:3" x14ac:dyDescent="0.35">
      <c r="C61797" s="2"/>
    </row>
    <row r="61798" spans="3:3" x14ac:dyDescent="0.35">
      <c r="C61798" s="2"/>
    </row>
    <row r="61799" spans="3:3" x14ac:dyDescent="0.35">
      <c r="C61799" s="2"/>
    </row>
    <row r="61800" spans="3:3" x14ac:dyDescent="0.35">
      <c r="C61800" s="2"/>
    </row>
    <row r="61801" spans="3:3" x14ac:dyDescent="0.35">
      <c r="C61801" s="2"/>
    </row>
    <row r="61802" spans="3:3" x14ac:dyDescent="0.35">
      <c r="C61802" s="2"/>
    </row>
    <row r="61803" spans="3:3" x14ac:dyDescent="0.35">
      <c r="C61803" s="2"/>
    </row>
    <row r="61804" spans="3:3" x14ac:dyDescent="0.35">
      <c r="C61804" s="2"/>
    </row>
    <row r="61805" spans="3:3" x14ac:dyDescent="0.35">
      <c r="C61805" s="2"/>
    </row>
    <row r="61806" spans="3:3" x14ac:dyDescent="0.35">
      <c r="C61806" s="2"/>
    </row>
    <row r="61807" spans="3:3" x14ac:dyDescent="0.35">
      <c r="C61807" s="2"/>
    </row>
    <row r="61808" spans="3:3" x14ac:dyDescent="0.35">
      <c r="C61808" s="2"/>
    </row>
    <row r="61809" spans="3:3" x14ac:dyDescent="0.35">
      <c r="C61809" s="2"/>
    </row>
    <row r="61810" spans="3:3" x14ac:dyDescent="0.35">
      <c r="C61810" s="2"/>
    </row>
    <row r="61811" spans="3:3" x14ac:dyDescent="0.35">
      <c r="C61811" s="2"/>
    </row>
    <row r="61812" spans="3:3" x14ac:dyDescent="0.35">
      <c r="C61812" s="2"/>
    </row>
    <row r="61813" spans="3:3" x14ac:dyDescent="0.35">
      <c r="C61813" s="2"/>
    </row>
    <row r="61814" spans="3:3" x14ac:dyDescent="0.35">
      <c r="C61814" s="2"/>
    </row>
    <row r="61815" spans="3:3" x14ac:dyDescent="0.35">
      <c r="C61815" s="2"/>
    </row>
    <row r="61816" spans="3:3" x14ac:dyDescent="0.35">
      <c r="C61816" s="2"/>
    </row>
    <row r="61817" spans="3:3" x14ac:dyDescent="0.35">
      <c r="C61817" s="2"/>
    </row>
    <row r="61818" spans="3:3" x14ac:dyDescent="0.35">
      <c r="C61818" s="2"/>
    </row>
    <row r="61819" spans="3:3" x14ac:dyDescent="0.35">
      <c r="C61819" s="2"/>
    </row>
    <row r="61820" spans="3:3" x14ac:dyDescent="0.35">
      <c r="C61820" s="2"/>
    </row>
    <row r="61821" spans="3:3" x14ac:dyDescent="0.35">
      <c r="C61821" s="2"/>
    </row>
    <row r="61822" spans="3:3" x14ac:dyDescent="0.35">
      <c r="C61822" s="2"/>
    </row>
    <row r="61823" spans="3:3" x14ac:dyDescent="0.35">
      <c r="C61823" s="2"/>
    </row>
    <row r="61824" spans="3:3" x14ac:dyDescent="0.35">
      <c r="C61824" s="2"/>
    </row>
    <row r="61825" spans="3:3" x14ac:dyDescent="0.35">
      <c r="C61825" s="2"/>
    </row>
    <row r="61826" spans="3:3" x14ac:dyDescent="0.35">
      <c r="C61826" s="2"/>
    </row>
    <row r="61827" spans="3:3" x14ac:dyDescent="0.35">
      <c r="C61827" s="2"/>
    </row>
    <row r="61828" spans="3:3" x14ac:dyDescent="0.35">
      <c r="C61828" s="2"/>
    </row>
    <row r="61829" spans="3:3" x14ac:dyDescent="0.35">
      <c r="C61829" s="2"/>
    </row>
    <row r="61830" spans="3:3" x14ac:dyDescent="0.35">
      <c r="C61830" s="2"/>
    </row>
    <row r="61831" spans="3:3" x14ac:dyDescent="0.35">
      <c r="C61831" s="2"/>
    </row>
    <row r="61832" spans="3:3" x14ac:dyDescent="0.35">
      <c r="C61832" s="2"/>
    </row>
    <row r="61833" spans="3:3" x14ac:dyDescent="0.35">
      <c r="C61833" s="2"/>
    </row>
    <row r="61834" spans="3:3" x14ac:dyDescent="0.35">
      <c r="C61834" s="2"/>
    </row>
    <row r="61835" spans="3:3" x14ac:dyDescent="0.35">
      <c r="C61835" s="2"/>
    </row>
    <row r="61836" spans="3:3" x14ac:dyDescent="0.35">
      <c r="C61836" s="2"/>
    </row>
    <row r="61837" spans="3:3" x14ac:dyDescent="0.35">
      <c r="C61837" s="2"/>
    </row>
    <row r="61838" spans="3:3" x14ac:dyDescent="0.35">
      <c r="C61838" s="2"/>
    </row>
    <row r="61839" spans="3:3" x14ac:dyDescent="0.35">
      <c r="C61839" s="2"/>
    </row>
    <row r="61840" spans="3:3" x14ac:dyDescent="0.35">
      <c r="C61840" s="2"/>
    </row>
    <row r="61841" spans="3:3" x14ac:dyDescent="0.35">
      <c r="C61841" s="2"/>
    </row>
    <row r="61842" spans="3:3" x14ac:dyDescent="0.35">
      <c r="C61842" s="2"/>
    </row>
    <row r="61843" spans="3:3" x14ac:dyDescent="0.35">
      <c r="C61843" s="2"/>
    </row>
    <row r="61844" spans="3:3" x14ac:dyDescent="0.35">
      <c r="C61844" s="2"/>
    </row>
    <row r="61845" spans="3:3" x14ac:dyDescent="0.35">
      <c r="C61845" s="2"/>
    </row>
    <row r="61846" spans="3:3" x14ac:dyDescent="0.35">
      <c r="C61846" s="2"/>
    </row>
    <row r="61847" spans="3:3" x14ac:dyDescent="0.35">
      <c r="C61847" s="2"/>
    </row>
    <row r="61848" spans="3:3" x14ac:dyDescent="0.35">
      <c r="C61848" s="2"/>
    </row>
    <row r="61849" spans="3:3" x14ac:dyDescent="0.35">
      <c r="C61849" s="2"/>
    </row>
    <row r="61850" spans="3:3" x14ac:dyDescent="0.35">
      <c r="C61850" s="2"/>
    </row>
    <row r="61851" spans="3:3" x14ac:dyDescent="0.35">
      <c r="C61851" s="2"/>
    </row>
    <row r="61852" spans="3:3" x14ac:dyDescent="0.35">
      <c r="C61852" s="2"/>
    </row>
    <row r="61853" spans="3:3" x14ac:dyDescent="0.35">
      <c r="C61853" s="2"/>
    </row>
    <row r="61854" spans="3:3" x14ac:dyDescent="0.35">
      <c r="C61854" s="2"/>
    </row>
    <row r="61855" spans="3:3" x14ac:dyDescent="0.35">
      <c r="C61855" s="2"/>
    </row>
    <row r="61856" spans="3:3" x14ac:dyDescent="0.35">
      <c r="C61856" s="2"/>
    </row>
    <row r="61857" spans="3:3" x14ac:dyDescent="0.35">
      <c r="C61857" s="2"/>
    </row>
    <row r="61858" spans="3:3" x14ac:dyDescent="0.35">
      <c r="C61858" s="2"/>
    </row>
    <row r="61859" spans="3:3" x14ac:dyDescent="0.35">
      <c r="C61859" s="2"/>
    </row>
    <row r="61860" spans="3:3" x14ac:dyDescent="0.35">
      <c r="C61860" s="2"/>
    </row>
    <row r="61861" spans="3:3" x14ac:dyDescent="0.35">
      <c r="C61861" s="2"/>
    </row>
    <row r="61862" spans="3:3" x14ac:dyDescent="0.35">
      <c r="C61862" s="2"/>
    </row>
    <row r="61863" spans="3:3" x14ac:dyDescent="0.35">
      <c r="C61863" s="2"/>
    </row>
    <row r="61864" spans="3:3" x14ac:dyDescent="0.35">
      <c r="C61864" s="2"/>
    </row>
    <row r="61865" spans="3:3" x14ac:dyDescent="0.35">
      <c r="C61865" s="2"/>
    </row>
    <row r="61866" spans="3:3" x14ac:dyDescent="0.35">
      <c r="C61866" s="2"/>
    </row>
    <row r="61867" spans="3:3" x14ac:dyDescent="0.35">
      <c r="C61867" s="2"/>
    </row>
    <row r="61868" spans="3:3" x14ac:dyDescent="0.35">
      <c r="C61868" s="2"/>
    </row>
    <row r="61869" spans="3:3" x14ac:dyDescent="0.35">
      <c r="C61869" s="2"/>
    </row>
    <row r="61870" spans="3:3" x14ac:dyDescent="0.35">
      <c r="C61870" s="2"/>
    </row>
    <row r="61871" spans="3:3" x14ac:dyDescent="0.35">
      <c r="C61871" s="2"/>
    </row>
    <row r="61872" spans="3:3" x14ac:dyDescent="0.35">
      <c r="C61872" s="2"/>
    </row>
    <row r="61873" spans="3:3" x14ac:dyDescent="0.35">
      <c r="C61873" s="2"/>
    </row>
    <row r="61874" spans="3:3" x14ac:dyDescent="0.35">
      <c r="C61874" s="2"/>
    </row>
    <row r="61875" spans="3:3" x14ac:dyDescent="0.35">
      <c r="C61875" s="2"/>
    </row>
    <row r="61876" spans="3:3" x14ac:dyDescent="0.35">
      <c r="C61876" s="2"/>
    </row>
    <row r="61877" spans="3:3" x14ac:dyDescent="0.35">
      <c r="C61877" s="2"/>
    </row>
    <row r="61878" spans="3:3" x14ac:dyDescent="0.35">
      <c r="C61878" s="2"/>
    </row>
    <row r="61879" spans="3:3" x14ac:dyDescent="0.35">
      <c r="C61879" s="2"/>
    </row>
    <row r="61880" spans="3:3" x14ac:dyDescent="0.35">
      <c r="C61880" s="2"/>
    </row>
    <row r="61881" spans="3:3" x14ac:dyDescent="0.35">
      <c r="C61881" s="2"/>
    </row>
    <row r="61882" spans="3:3" x14ac:dyDescent="0.35">
      <c r="C61882" s="2"/>
    </row>
    <row r="61883" spans="3:3" x14ac:dyDescent="0.35">
      <c r="C61883" s="2"/>
    </row>
    <row r="61884" spans="3:3" x14ac:dyDescent="0.35">
      <c r="C61884" s="2"/>
    </row>
    <row r="61885" spans="3:3" x14ac:dyDescent="0.35">
      <c r="C61885" s="2"/>
    </row>
    <row r="61886" spans="3:3" x14ac:dyDescent="0.35">
      <c r="C61886" s="2"/>
    </row>
    <row r="61887" spans="3:3" x14ac:dyDescent="0.35">
      <c r="C61887" s="2"/>
    </row>
    <row r="61888" spans="3:3" x14ac:dyDescent="0.35">
      <c r="C61888" s="2"/>
    </row>
    <row r="61889" spans="3:3" x14ac:dyDescent="0.35">
      <c r="C61889" s="2"/>
    </row>
    <row r="61890" spans="3:3" x14ac:dyDescent="0.35">
      <c r="C61890" s="2"/>
    </row>
    <row r="61891" spans="3:3" x14ac:dyDescent="0.35">
      <c r="C61891" s="2"/>
    </row>
    <row r="61892" spans="3:3" x14ac:dyDescent="0.35">
      <c r="C61892" s="2"/>
    </row>
    <row r="61893" spans="3:3" x14ac:dyDescent="0.35">
      <c r="C61893" s="2"/>
    </row>
    <row r="61894" spans="3:3" x14ac:dyDescent="0.35">
      <c r="C61894" s="2"/>
    </row>
    <row r="61895" spans="3:3" x14ac:dyDescent="0.35">
      <c r="C61895" s="2"/>
    </row>
    <row r="61896" spans="3:3" x14ac:dyDescent="0.35">
      <c r="C61896" s="2"/>
    </row>
    <row r="61897" spans="3:3" x14ac:dyDescent="0.35">
      <c r="C61897" s="2"/>
    </row>
    <row r="61898" spans="3:3" x14ac:dyDescent="0.35">
      <c r="C61898" s="2"/>
    </row>
    <row r="61899" spans="3:3" x14ac:dyDescent="0.35">
      <c r="C61899" s="2"/>
    </row>
    <row r="61900" spans="3:3" x14ac:dyDescent="0.35">
      <c r="C61900" s="2"/>
    </row>
    <row r="61901" spans="3:3" x14ac:dyDescent="0.35">
      <c r="C61901" s="2"/>
    </row>
    <row r="61902" spans="3:3" x14ac:dyDescent="0.35">
      <c r="C61902" s="2"/>
    </row>
    <row r="61903" spans="3:3" x14ac:dyDescent="0.35">
      <c r="C61903" s="2"/>
    </row>
    <row r="61904" spans="3:3" x14ac:dyDescent="0.35">
      <c r="C61904" s="2"/>
    </row>
    <row r="61905" spans="3:3" x14ac:dyDescent="0.35">
      <c r="C61905" s="2"/>
    </row>
    <row r="61906" spans="3:3" x14ac:dyDescent="0.35">
      <c r="C61906" s="2"/>
    </row>
    <row r="61907" spans="3:3" x14ac:dyDescent="0.35">
      <c r="C61907" s="2"/>
    </row>
    <row r="61908" spans="3:3" x14ac:dyDescent="0.35">
      <c r="C61908" s="2"/>
    </row>
    <row r="61909" spans="3:3" x14ac:dyDescent="0.35">
      <c r="C61909" s="2"/>
    </row>
    <row r="61910" spans="3:3" x14ac:dyDescent="0.35">
      <c r="C61910" s="2"/>
    </row>
    <row r="61911" spans="3:3" x14ac:dyDescent="0.35">
      <c r="C61911" s="2"/>
    </row>
    <row r="61912" spans="3:3" x14ac:dyDescent="0.35">
      <c r="C61912" s="2"/>
    </row>
    <row r="61913" spans="3:3" x14ac:dyDescent="0.35">
      <c r="C61913" s="2"/>
    </row>
    <row r="61914" spans="3:3" x14ac:dyDescent="0.35">
      <c r="C61914" s="2"/>
    </row>
    <row r="61915" spans="3:3" x14ac:dyDescent="0.35">
      <c r="C61915" s="2"/>
    </row>
    <row r="61916" spans="3:3" x14ac:dyDescent="0.35">
      <c r="C61916" s="2"/>
    </row>
    <row r="61917" spans="3:3" x14ac:dyDescent="0.35">
      <c r="C61917" s="2"/>
    </row>
    <row r="61918" spans="3:3" x14ac:dyDescent="0.35">
      <c r="C61918" s="2"/>
    </row>
    <row r="61919" spans="3:3" x14ac:dyDescent="0.35">
      <c r="C61919" s="2"/>
    </row>
    <row r="61920" spans="3:3" x14ac:dyDescent="0.35">
      <c r="C61920" s="2"/>
    </row>
    <row r="61921" spans="3:3" x14ac:dyDescent="0.35">
      <c r="C61921" s="2"/>
    </row>
    <row r="61922" spans="3:3" x14ac:dyDescent="0.35">
      <c r="C61922" s="2"/>
    </row>
    <row r="61923" spans="3:3" x14ac:dyDescent="0.35">
      <c r="C61923" s="2"/>
    </row>
    <row r="61924" spans="3:3" x14ac:dyDescent="0.35">
      <c r="C61924" s="2"/>
    </row>
    <row r="61925" spans="3:3" x14ac:dyDescent="0.35">
      <c r="C61925" s="2"/>
    </row>
    <row r="61926" spans="3:3" x14ac:dyDescent="0.35">
      <c r="C61926" s="2"/>
    </row>
    <row r="61927" spans="3:3" x14ac:dyDescent="0.35">
      <c r="C61927" s="2"/>
    </row>
    <row r="61928" spans="3:3" x14ac:dyDescent="0.35">
      <c r="C61928" s="2"/>
    </row>
    <row r="61929" spans="3:3" x14ac:dyDescent="0.35">
      <c r="C61929" s="2"/>
    </row>
    <row r="61930" spans="3:3" x14ac:dyDescent="0.35">
      <c r="C61930" s="2"/>
    </row>
    <row r="61931" spans="3:3" x14ac:dyDescent="0.35">
      <c r="C61931" s="2"/>
    </row>
    <row r="61932" spans="3:3" x14ac:dyDescent="0.35">
      <c r="C61932" s="2"/>
    </row>
    <row r="61933" spans="3:3" x14ac:dyDescent="0.35">
      <c r="C61933" s="2"/>
    </row>
    <row r="61934" spans="3:3" x14ac:dyDescent="0.35">
      <c r="C61934" s="2"/>
    </row>
    <row r="61935" spans="3:3" x14ac:dyDescent="0.35">
      <c r="C61935" s="2"/>
    </row>
    <row r="61936" spans="3:3" x14ac:dyDescent="0.35">
      <c r="C61936" s="2"/>
    </row>
    <row r="61937" spans="3:3" x14ac:dyDescent="0.35">
      <c r="C61937" s="2"/>
    </row>
    <row r="61938" spans="3:3" x14ac:dyDescent="0.35">
      <c r="C61938" s="2"/>
    </row>
    <row r="61939" spans="3:3" x14ac:dyDescent="0.35">
      <c r="C61939" s="2"/>
    </row>
    <row r="61940" spans="3:3" x14ac:dyDescent="0.35">
      <c r="C61940" s="2"/>
    </row>
    <row r="61941" spans="3:3" x14ac:dyDescent="0.35">
      <c r="C61941" s="2"/>
    </row>
    <row r="61942" spans="3:3" x14ac:dyDescent="0.35">
      <c r="C61942" s="2"/>
    </row>
    <row r="61943" spans="3:3" x14ac:dyDescent="0.35">
      <c r="C61943" s="2"/>
    </row>
    <row r="61944" spans="3:3" x14ac:dyDescent="0.35">
      <c r="C61944" s="2"/>
    </row>
    <row r="61945" spans="3:3" x14ac:dyDescent="0.35">
      <c r="C61945" s="2"/>
    </row>
    <row r="61946" spans="3:3" x14ac:dyDescent="0.35">
      <c r="C61946" s="2"/>
    </row>
    <row r="61947" spans="3:3" x14ac:dyDescent="0.35">
      <c r="C61947" s="2"/>
    </row>
    <row r="61948" spans="3:3" x14ac:dyDescent="0.35">
      <c r="C61948" s="2"/>
    </row>
    <row r="61949" spans="3:3" x14ac:dyDescent="0.35">
      <c r="C61949" s="2"/>
    </row>
    <row r="61950" spans="3:3" x14ac:dyDescent="0.35">
      <c r="C61950" s="2"/>
    </row>
    <row r="61951" spans="3:3" x14ac:dyDescent="0.35">
      <c r="C61951" s="2"/>
    </row>
    <row r="61952" spans="3:3" x14ac:dyDescent="0.35">
      <c r="C61952" s="2"/>
    </row>
    <row r="61953" spans="3:3" x14ac:dyDescent="0.35">
      <c r="C61953" s="2"/>
    </row>
    <row r="61954" spans="3:3" x14ac:dyDescent="0.35">
      <c r="C61954" s="2"/>
    </row>
    <row r="61955" spans="3:3" x14ac:dyDescent="0.35">
      <c r="C61955" s="2"/>
    </row>
    <row r="61956" spans="3:3" x14ac:dyDescent="0.35">
      <c r="C61956" s="2"/>
    </row>
    <row r="61957" spans="3:3" x14ac:dyDescent="0.35">
      <c r="C61957" s="2"/>
    </row>
    <row r="61958" spans="3:3" x14ac:dyDescent="0.35">
      <c r="C61958" s="2"/>
    </row>
    <row r="61959" spans="3:3" x14ac:dyDescent="0.35">
      <c r="C61959" s="2"/>
    </row>
    <row r="61960" spans="3:3" x14ac:dyDescent="0.35">
      <c r="C61960" s="2"/>
    </row>
    <row r="61961" spans="3:3" x14ac:dyDescent="0.35">
      <c r="C61961" s="2"/>
    </row>
    <row r="61962" spans="3:3" x14ac:dyDescent="0.35">
      <c r="C61962" s="2"/>
    </row>
    <row r="61963" spans="3:3" x14ac:dyDescent="0.35">
      <c r="C61963" s="2"/>
    </row>
    <row r="61964" spans="3:3" x14ac:dyDescent="0.35">
      <c r="C61964" s="2"/>
    </row>
    <row r="61965" spans="3:3" x14ac:dyDescent="0.35">
      <c r="C61965" s="2"/>
    </row>
    <row r="61966" spans="3:3" x14ac:dyDescent="0.35">
      <c r="C61966" s="2"/>
    </row>
    <row r="61967" spans="3:3" x14ac:dyDescent="0.35">
      <c r="C61967" s="2"/>
    </row>
    <row r="61968" spans="3:3" x14ac:dyDescent="0.35">
      <c r="C61968" s="2"/>
    </row>
    <row r="61969" spans="3:3" x14ac:dyDescent="0.35">
      <c r="C61969" s="2"/>
    </row>
    <row r="61970" spans="3:3" x14ac:dyDescent="0.35">
      <c r="C61970" s="2"/>
    </row>
    <row r="61971" spans="3:3" x14ac:dyDescent="0.35">
      <c r="C61971" s="2"/>
    </row>
    <row r="61972" spans="3:3" x14ac:dyDescent="0.35">
      <c r="C61972" s="2"/>
    </row>
    <row r="61973" spans="3:3" x14ac:dyDescent="0.35">
      <c r="C61973" s="2"/>
    </row>
    <row r="61974" spans="3:3" x14ac:dyDescent="0.35">
      <c r="C61974" s="2"/>
    </row>
    <row r="61975" spans="3:3" x14ac:dyDescent="0.35">
      <c r="C61975" s="2"/>
    </row>
    <row r="61976" spans="3:3" x14ac:dyDescent="0.35">
      <c r="C61976" s="2"/>
    </row>
    <row r="61977" spans="3:3" x14ac:dyDescent="0.35">
      <c r="C61977" s="2"/>
    </row>
    <row r="61978" spans="3:3" x14ac:dyDescent="0.35">
      <c r="C61978" s="2"/>
    </row>
    <row r="61979" spans="3:3" x14ac:dyDescent="0.35">
      <c r="C61979" s="2"/>
    </row>
    <row r="61980" spans="3:3" x14ac:dyDescent="0.35">
      <c r="C61980" s="2"/>
    </row>
    <row r="61981" spans="3:3" x14ac:dyDescent="0.35">
      <c r="C61981" s="2"/>
    </row>
    <row r="61982" spans="3:3" x14ac:dyDescent="0.35">
      <c r="C61982" s="2"/>
    </row>
    <row r="61983" spans="3:3" x14ac:dyDescent="0.35">
      <c r="C61983" s="2"/>
    </row>
    <row r="61984" spans="3:3" x14ac:dyDescent="0.35">
      <c r="C61984" s="2"/>
    </row>
    <row r="61985" spans="3:3" x14ac:dyDescent="0.35">
      <c r="C61985" s="2"/>
    </row>
    <row r="61986" spans="3:3" x14ac:dyDescent="0.35">
      <c r="C61986" s="2"/>
    </row>
    <row r="61987" spans="3:3" x14ac:dyDescent="0.35">
      <c r="C61987" s="2"/>
    </row>
    <row r="61988" spans="3:3" x14ac:dyDescent="0.35">
      <c r="C61988" s="2"/>
    </row>
    <row r="61989" spans="3:3" x14ac:dyDescent="0.35">
      <c r="C61989" s="2"/>
    </row>
    <row r="61990" spans="3:3" x14ac:dyDescent="0.35">
      <c r="C61990" s="2"/>
    </row>
    <row r="61991" spans="3:3" x14ac:dyDescent="0.35">
      <c r="C61991" s="2"/>
    </row>
    <row r="61992" spans="3:3" x14ac:dyDescent="0.35">
      <c r="C61992" s="2"/>
    </row>
    <row r="61993" spans="3:3" x14ac:dyDescent="0.35">
      <c r="C61993" s="2"/>
    </row>
    <row r="61994" spans="3:3" x14ac:dyDescent="0.35">
      <c r="C61994" s="2"/>
    </row>
    <row r="61995" spans="3:3" x14ac:dyDescent="0.35">
      <c r="C61995" s="2"/>
    </row>
    <row r="61996" spans="3:3" x14ac:dyDescent="0.35">
      <c r="C61996" s="2"/>
    </row>
    <row r="61997" spans="3:3" x14ac:dyDescent="0.35">
      <c r="C61997" s="2"/>
    </row>
    <row r="61998" spans="3:3" x14ac:dyDescent="0.35">
      <c r="C61998" s="2"/>
    </row>
    <row r="61999" spans="3:3" x14ac:dyDescent="0.35">
      <c r="C61999" s="2"/>
    </row>
    <row r="62000" spans="3:3" x14ac:dyDescent="0.35">
      <c r="C62000" s="2"/>
    </row>
    <row r="62001" spans="3:3" x14ac:dyDescent="0.35">
      <c r="C62001" s="2"/>
    </row>
    <row r="62002" spans="3:3" x14ac:dyDescent="0.35">
      <c r="C62002" s="2"/>
    </row>
    <row r="62003" spans="3:3" x14ac:dyDescent="0.35">
      <c r="C62003" s="2"/>
    </row>
    <row r="62004" spans="3:3" x14ac:dyDescent="0.35">
      <c r="C62004" s="2"/>
    </row>
    <row r="62005" spans="3:3" x14ac:dyDescent="0.35">
      <c r="C62005" s="2"/>
    </row>
    <row r="62006" spans="3:3" x14ac:dyDescent="0.35">
      <c r="C62006" s="2"/>
    </row>
    <row r="62007" spans="3:3" x14ac:dyDescent="0.35">
      <c r="C62007" s="2"/>
    </row>
    <row r="62008" spans="3:3" x14ac:dyDescent="0.35">
      <c r="C62008" s="2"/>
    </row>
    <row r="62009" spans="3:3" x14ac:dyDescent="0.35">
      <c r="C62009" s="2"/>
    </row>
    <row r="62010" spans="3:3" x14ac:dyDescent="0.35">
      <c r="C62010" s="2"/>
    </row>
    <row r="62011" spans="3:3" x14ac:dyDescent="0.35">
      <c r="C62011" s="2"/>
    </row>
    <row r="62012" spans="3:3" x14ac:dyDescent="0.35">
      <c r="C62012" s="2"/>
    </row>
    <row r="62013" spans="3:3" x14ac:dyDescent="0.35">
      <c r="C62013" s="2"/>
    </row>
    <row r="62014" spans="3:3" x14ac:dyDescent="0.35">
      <c r="C62014" s="2"/>
    </row>
    <row r="62015" spans="3:3" x14ac:dyDescent="0.35">
      <c r="C62015" s="2"/>
    </row>
    <row r="62016" spans="3:3" x14ac:dyDescent="0.35">
      <c r="C62016" s="2"/>
    </row>
    <row r="62017" spans="3:3" x14ac:dyDescent="0.35">
      <c r="C62017" s="2"/>
    </row>
    <row r="62018" spans="3:3" x14ac:dyDescent="0.35">
      <c r="C62018" s="2"/>
    </row>
    <row r="62019" spans="3:3" x14ac:dyDescent="0.35">
      <c r="C62019" s="2"/>
    </row>
    <row r="62020" spans="3:3" x14ac:dyDescent="0.35">
      <c r="C62020" s="2"/>
    </row>
    <row r="62021" spans="3:3" x14ac:dyDescent="0.35">
      <c r="C62021" s="2"/>
    </row>
    <row r="62022" spans="3:3" x14ac:dyDescent="0.35">
      <c r="C62022" s="2"/>
    </row>
    <row r="62023" spans="3:3" x14ac:dyDescent="0.35">
      <c r="C62023" s="2"/>
    </row>
    <row r="62024" spans="3:3" x14ac:dyDescent="0.35">
      <c r="C62024" s="2"/>
    </row>
    <row r="62025" spans="3:3" x14ac:dyDescent="0.35">
      <c r="C62025" s="2"/>
    </row>
    <row r="62026" spans="3:3" x14ac:dyDescent="0.35">
      <c r="C62026" s="2"/>
    </row>
    <row r="62027" spans="3:3" x14ac:dyDescent="0.35">
      <c r="C62027" s="2"/>
    </row>
    <row r="62028" spans="3:3" x14ac:dyDescent="0.35">
      <c r="C62028" s="2"/>
    </row>
    <row r="62029" spans="3:3" x14ac:dyDescent="0.35">
      <c r="C62029" s="2"/>
    </row>
    <row r="62030" spans="3:3" x14ac:dyDescent="0.35">
      <c r="C62030" s="2"/>
    </row>
    <row r="62031" spans="3:3" x14ac:dyDescent="0.35">
      <c r="C62031" s="2"/>
    </row>
    <row r="62032" spans="3:3" x14ac:dyDescent="0.35">
      <c r="C62032" s="2"/>
    </row>
    <row r="62033" spans="3:3" x14ac:dyDescent="0.35">
      <c r="C62033" s="2"/>
    </row>
    <row r="62034" spans="3:3" x14ac:dyDescent="0.35">
      <c r="C62034" s="2"/>
    </row>
    <row r="62035" spans="3:3" x14ac:dyDescent="0.35">
      <c r="C62035" s="2"/>
    </row>
    <row r="62036" spans="3:3" x14ac:dyDescent="0.35">
      <c r="C62036" s="2"/>
    </row>
    <row r="62037" spans="3:3" x14ac:dyDescent="0.35">
      <c r="C62037" s="2"/>
    </row>
    <row r="62038" spans="3:3" x14ac:dyDescent="0.35">
      <c r="C62038" s="2"/>
    </row>
    <row r="62039" spans="3:3" x14ac:dyDescent="0.35">
      <c r="C62039" s="2"/>
    </row>
    <row r="62040" spans="3:3" x14ac:dyDescent="0.35">
      <c r="C62040" s="2"/>
    </row>
    <row r="62041" spans="3:3" x14ac:dyDescent="0.35">
      <c r="C62041" s="2"/>
    </row>
    <row r="62042" spans="3:3" x14ac:dyDescent="0.35">
      <c r="C62042" s="2"/>
    </row>
    <row r="62043" spans="3:3" x14ac:dyDescent="0.35">
      <c r="C62043" s="2"/>
    </row>
    <row r="62044" spans="3:3" x14ac:dyDescent="0.35">
      <c r="C62044" s="2"/>
    </row>
    <row r="62045" spans="3:3" x14ac:dyDescent="0.35">
      <c r="C62045" s="2"/>
    </row>
    <row r="62046" spans="3:3" x14ac:dyDescent="0.35">
      <c r="C62046" s="2"/>
    </row>
    <row r="62047" spans="3:3" x14ac:dyDescent="0.35">
      <c r="C62047" s="2"/>
    </row>
    <row r="62048" spans="3:3" x14ac:dyDescent="0.35">
      <c r="C62048" s="2"/>
    </row>
    <row r="62049" spans="3:3" x14ac:dyDescent="0.35">
      <c r="C62049" s="2"/>
    </row>
    <row r="62050" spans="3:3" x14ac:dyDescent="0.35">
      <c r="C62050" s="2"/>
    </row>
    <row r="62051" spans="3:3" x14ac:dyDescent="0.35">
      <c r="C62051" s="2"/>
    </row>
    <row r="62052" spans="3:3" x14ac:dyDescent="0.35">
      <c r="C62052" s="2"/>
    </row>
    <row r="62053" spans="3:3" x14ac:dyDescent="0.35">
      <c r="C62053" s="2"/>
    </row>
    <row r="62054" spans="3:3" x14ac:dyDescent="0.35">
      <c r="C62054" s="2"/>
    </row>
    <row r="62055" spans="3:3" x14ac:dyDescent="0.35">
      <c r="C62055" s="2"/>
    </row>
    <row r="62056" spans="3:3" x14ac:dyDescent="0.35">
      <c r="C62056" s="2"/>
    </row>
    <row r="62057" spans="3:3" x14ac:dyDescent="0.35">
      <c r="C62057" s="2"/>
    </row>
    <row r="62058" spans="3:3" x14ac:dyDescent="0.35">
      <c r="C62058" s="2"/>
    </row>
    <row r="62059" spans="3:3" x14ac:dyDescent="0.35">
      <c r="C62059" s="2"/>
    </row>
    <row r="62060" spans="3:3" x14ac:dyDescent="0.35">
      <c r="C62060" s="2"/>
    </row>
    <row r="62061" spans="3:3" x14ac:dyDescent="0.35">
      <c r="C62061" s="2"/>
    </row>
    <row r="62062" spans="3:3" x14ac:dyDescent="0.35">
      <c r="C62062" s="2"/>
    </row>
    <row r="62063" spans="3:3" x14ac:dyDescent="0.35">
      <c r="C62063" s="2"/>
    </row>
    <row r="62064" spans="3:3" x14ac:dyDescent="0.35">
      <c r="C62064" s="2"/>
    </row>
    <row r="62065" spans="3:3" x14ac:dyDescent="0.35">
      <c r="C62065" s="2"/>
    </row>
    <row r="62066" spans="3:3" x14ac:dyDescent="0.35">
      <c r="C62066" s="2"/>
    </row>
    <row r="62067" spans="3:3" x14ac:dyDescent="0.35">
      <c r="C62067" s="2"/>
    </row>
    <row r="62068" spans="3:3" x14ac:dyDescent="0.35">
      <c r="C62068" s="2"/>
    </row>
    <row r="62069" spans="3:3" x14ac:dyDescent="0.35">
      <c r="C62069" s="2"/>
    </row>
    <row r="62070" spans="3:3" x14ac:dyDescent="0.35">
      <c r="C62070" s="2"/>
    </row>
    <row r="62071" spans="3:3" x14ac:dyDescent="0.35">
      <c r="C62071" s="2"/>
    </row>
    <row r="62072" spans="3:3" x14ac:dyDescent="0.35">
      <c r="C62072" s="2"/>
    </row>
    <row r="62073" spans="3:3" x14ac:dyDescent="0.35">
      <c r="C62073" s="2"/>
    </row>
    <row r="62074" spans="3:3" x14ac:dyDescent="0.35">
      <c r="C62074" s="2"/>
    </row>
    <row r="62075" spans="3:3" x14ac:dyDescent="0.35">
      <c r="C62075" s="2"/>
    </row>
    <row r="62076" spans="3:3" x14ac:dyDescent="0.35">
      <c r="C62076" s="2"/>
    </row>
    <row r="62077" spans="3:3" x14ac:dyDescent="0.35">
      <c r="C62077" s="2"/>
    </row>
    <row r="62078" spans="3:3" x14ac:dyDescent="0.35">
      <c r="C62078" s="2"/>
    </row>
    <row r="62079" spans="3:3" x14ac:dyDescent="0.35">
      <c r="C62079" s="2"/>
    </row>
    <row r="62080" spans="3:3" x14ac:dyDescent="0.35">
      <c r="C62080" s="2"/>
    </row>
    <row r="62081" spans="3:3" x14ac:dyDescent="0.35">
      <c r="C62081" s="2"/>
    </row>
    <row r="62082" spans="3:3" x14ac:dyDescent="0.35">
      <c r="C62082" s="2"/>
    </row>
    <row r="62083" spans="3:3" x14ac:dyDescent="0.35">
      <c r="C62083" s="2"/>
    </row>
    <row r="62084" spans="3:3" x14ac:dyDescent="0.35">
      <c r="C62084" s="2"/>
    </row>
    <row r="62085" spans="3:3" x14ac:dyDescent="0.35">
      <c r="C62085" s="2"/>
    </row>
    <row r="62086" spans="3:3" x14ac:dyDescent="0.35">
      <c r="C62086" s="2"/>
    </row>
    <row r="62087" spans="3:3" x14ac:dyDescent="0.35">
      <c r="C62087" s="2"/>
    </row>
    <row r="62088" spans="3:3" x14ac:dyDescent="0.35">
      <c r="C62088" s="2"/>
    </row>
    <row r="62089" spans="3:3" x14ac:dyDescent="0.35">
      <c r="C62089" s="2"/>
    </row>
    <row r="62090" spans="3:3" x14ac:dyDescent="0.35">
      <c r="C62090" s="2"/>
    </row>
    <row r="62091" spans="3:3" x14ac:dyDescent="0.35">
      <c r="C62091" s="2"/>
    </row>
    <row r="62092" spans="3:3" x14ac:dyDescent="0.35">
      <c r="C62092" s="2"/>
    </row>
    <row r="62093" spans="3:3" x14ac:dyDescent="0.35">
      <c r="C62093" s="2"/>
    </row>
    <row r="62094" spans="3:3" x14ac:dyDescent="0.35">
      <c r="C62094" s="2"/>
    </row>
    <row r="62095" spans="3:3" x14ac:dyDescent="0.35">
      <c r="C62095" s="2"/>
    </row>
    <row r="62096" spans="3:3" x14ac:dyDescent="0.35">
      <c r="C62096" s="2"/>
    </row>
    <row r="62097" spans="3:3" x14ac:dyDescent="0.35">
      <c r="C62097" s="2"/>
    </row>
    <row r="62098" spans="3:3" x14ac:dyDescent="0.35">
      <c r="C62098" s="2"/>
    </row>
    <row r="62099" spans="3:3" x14ac:dyDescent="0.35">
      <c r="C62099" s="2"/>
    </row>
    <row r="62100" spans="3:3" x14ac:dyDescent="0.35">
      <c r="C62100" s="2"/>
    </row>
    <row r="62101" spans="3:3" x14ac:dyDescent="0.35">
      <c r="C62101" s="2"/>
    </row>
    <row r="62102" spans="3:3" x14ac:dyDescent="0.35">
      <c r="C62102" s="2"/>
    </row>
    <row r="62103" spans="3:3" x14ac:dyDescent="0.35">
      <c r="C62103" s="2"/>
    </row>
    <row r="62104" spans="3:3" x14ac:dyDescent="0.35">
      <c r="C62104" s="2"/>
    </row>
    <row r="62105" spans="3:3" x14ac:dyDescent="0.35">
      <c r="C62105" s="2"/>
    </row>
    <row r="62106" spans="3:3" x14ac:dyDescent="0.35">
      <c r="C62106" s="2"/>
    </row>
    <row r="62107" spans="3:3" x14ac:dyDescent="0.35">
      <c r="C62107" s="2"/>
    </row>
    <row r="62108" spans="3:3" x14ac:dyDescent="0.35">
      <c r="C62108" s="2"/>
    </row>
    <row r="62109" spans="3:3" x14ac:dyDescent="0.35">
      <c r="C62109" s="2"/>
    </row>
    <row r="62110" spans="3:3" x14ac:dyDescent="0.35">
      <c r="C62110" s="2"/>
    </row>
    <row r="62111" spans="3:3" x14ac:dyDescent="0.35">
      <c r="C62111" s="2"/>
    </row>
    <row r="62112" spans="3:3" x14ac:dyDescent="0.35">
      <c r="C62112" s="2"/>
    </row>
    <row r="62113" spans="3:3" x14ac:dyDescent="0.35">
      <c r="C62113" s="2"/>
    </row>
    <row r="62114" spans="3:3" x14ac:dyDescent="0.35">
      <c r="C62114" s="2"/>
    </row>
    <row r="62115" spans="3:3" x14ac:dyDescent="0.35">
      <c r="C62115" s="2"/>
    </row>
    <row r="62116" spans="3:3" x14ac:dyDescent="0.35">
      <c r="C62116" s="2"/>
    </row>
    <row r="62117" spans="3:3" x14ac:dyDescent="0.35">
      <c r="C62117" s="2"/>
    </row>
    <row r="62118" spans="3:3" x14ac:dyDescent="0.35">
      <c r="C62118" s="2"/>
    </row>
    <row r="62119" spans="3:3" x14ac:dyDescent="0.35">
      <c r="C62119" s="2"/>
    </row>
    <row r="62120" spans="3:3" x14ac:dyDescent="0.35">
      <c r="C62120" s="2"/>
    </row>
    <row r="62121" spans="3:3" x14ac:dyDescent="0.35">
      <c r="C62121" s="2"/>
    </row>
    <row r="62122" spans="3:3" x14ac:dyDescent="0.35">
      <c r="C62122" s="2"/>
    </row>
    <row r="62123" spans="3:3" x14ac:dyDescent="0.35">
      <c r="C62123" s="2"/>
    </row>
    <row r="62124" spans="3:3" x14ac:dyDescent="0.35">
      <c r="C62124" s="2"/>
    </row>
    <row r="62125" spans="3:3" x14ac:dyDescent="0.35">
      <c r="C62125" s="2"/>
    </row>
    <row r="62126" spans="3:3" x14ac:dyDescent="0.35">
      <c r="C62126" s="2"/>
    </row>
    <row r="62127" spans="3:3" x14ac:dyDescent="0.35">
      <c r="C62127" s="2"/>
    </row>
    <row r="62128" spans="3:3" x14ac:dyDescent="0.35">
      <c r="C62128" s="2"/>
    </row>
    <row r="62129" spans="3:3" x14ac:dyDescent="0.35">
      <c r="C62129" s="2"/>
    </row>
    <row r="62130" spans="3:3" x14ac:dyDescent="0.35">
      <c r="C62130" s="2"/>
    </row>
    <row r="62131" spans="3:3" x14ac:dyDescent="0.35">
      <c r="C62131" s="2"/>
    </row>
    <row r="62132" spans="3:3" x14ac:dyDescent="0.35">
      <c r="C62132" s="2"/>
    </row>
    <row r="62133" spans="3:3" x14ac:dyDescent="0.35">
      <c r="C62133" s="2"/>
    </row>
    <row r="62134" spans="3:3" x14ac:dyDescent="0.35">
      <c r="C62134" s="2"/>
    </row>
    <row r="62135" spans="3:3" x14ac:dyDescent="0.35">
      <c r="C62135" s="2"/>
    </row>
    <row r="62136" spans="3:3" x14ac:dyDescent="0.35">
      <c r="C62136" s="2"/>
    </row>
    <row r="62137" spans="3:3" x14ac:dyDescent="0.35">
      <c r="C62137" s="2"/>
    </row>
    <row r="62138" spans="3:3" x14ac:dyDescent="0.35">
      <c r="C62138" s="2"/>
    </row>
    <row r="62139" spans="3:3" x14ac:dyDescent="0.35">
      <c r="C62139" s="2"/>
    </row>
    <row r="62140" spans="3:3" x14ac:dyDescent="0.35">
      <c r="C62140" s="2"/>
    </row>
    <row r="62141" spans="3:3" x14ac:dyDescent="0.35">
      <c r="C62141" s="2"/>
    </row>
    <row r="62142" spans="3:3" x14ac:dyDescent="0.35">
      <c r="C62142" s="2"/>
    </row>
    <row r="62143" spans="3:3" x14ac:dyDescent="0.35">
      <c r="C62143" s="2"/>
    </row>
    <row r="62144" spans="3:3" x14ac:dyDescent="0.35">
      <c r="C62144" s="2"/>
    </row>
    <row r="62145" spans="3:3" x14ac:dyDescent="0.35">
      <c r="C62145" s="2"/>
    </row>
    <row r="62146" spans="3:3" x14ac:dyDescent="0.35">
      <c r="C62146" s="2"/>
    </row>
    <row r="62147" spans="3:3" x14ac:dyDescent="0.35">
      <c r="C62147" s="2"/>
    </row>
    <row r="62148" spans="3:3" x14ac:dyDescent="0.35">
      <c r="C62148" s="2"/>
    </row>
    <row r="62149" spans="3:3" x14ac:dyDescent="0.35">
      <c r="C62149" s="2"/>
    </row>
    <row r="62150" spans="3:3" x14ac:dyDescent="0.35">
      <c r="C62150" s="2"/>
    </row>
    <row r="62151" spans="3:3" x14ac:dyDescent="0.35">
      <c r="C62151" s="2"/>
    </row>
    <row r="62152" spans="3:3" x14ac:dyDescent="0.35">
      <c r="C62152" s="2"/>
    </row>
    <row r="62153" spans="3:3" x14ac:dyDescent="0.35">
      <c r="C62153" s="2"/>
    </row>
    <row r="62154" spans="3:3" x14ac:dyDescent="0.35">
      <c r="C62154" s="2"/>
    </row>
    <row r="62155" spans="3:3" x14ac:dyDescent="0.35">
      <c r="C62155" s="2"/>
    </row>
    <row r="62156" spans="3:3" x14ac:dyDescent="0.35">
      <c r="C62156" s="2"/>
    </row>
    <row r="62157" spans="3:3" x14ac:dyDescent="0.35">
      <c r="C62157" s="2"/>
    </row>
    <row r="62158" spans="3:3" x14ac:dyDescent="0.35">
      <c r="C62158" s="2"/>
    </row>
    <row r="62159" spans="3:3" x14ac:dyDescent="0.35">
      <c r="C62159" s="2"/>
    </row>
    <row r="62160" spans="3:3" x14ac:dyDescent="0.35">
      <c r="C62160" s="2"/>
    </row>
    <row r="62161" spans="3:3" x14ac:dyDescent="0.35">
      <c r="C62161" s="2"/>
    </row>
    <row r="62162" spans="3:3" x14ac:dyDescent="0.35">
      <c r="C62162" s="2"/>
    </row>
    <row r="62163" spans="3:3" x14ac:dyDescent="0.35">
      <c r="C62163" s="2"/>
    </row>
    <row r="62164" spans="3:3" x14ac:dyDescent="0.35">
      <c r="C62164" s="2"/>
    </row>
    <row r="62165" spans="3:3" x14ac:dyDescent="0.35">
      <c r="C62165" s="2"/>
    </row>
    <row r="62166" spans="3:3" x14ac:dyDescent="0.35">
      <c r="C62166" s="2"/>
    </row>
    <row r="62167" spans="3:3" x14ac:dyDescent="0.35">
      <c r="C62167" s="2"/>
    </row>
    <row r="62168" spans="3:3" x14ac:dyDescent="0.35">
      <c r="C62168" s="2"/>
    </row>
    <row r="62169" spans="3:3" x14ac:dyDescent="0.35">
      <c r="C62169" s="2"/>
    </row>
    <row r="62170" spans="3:3" x14ac:dyDescent="0.35">
      <c r="C62170" s="2"/>
    </row>
    <row r="62171" spans="3:3" x14ac:dyDescent="0.35">
      <c r="C62171" s="2"/>
    </row>
    <row r="62172" spans="3:3" x14ac:dyDescent="0.35">
      <c r="C62172" s="2"/>
    </row>
    <row r="62173" spans="3:3" x14ac:dyDescent="0.35">
      <c r="C62173" s="2"/>
    </row>
    <row r="62174" spans="3:3" x14ac:dyDescent="0.35">
      <c r="C62174" s="2"/>
    </row>
    <row r="62175" spans="3:3" x14ac:dyDescent="0.35">
      <c r="C62175" s="2"/>
    </row>
    <row r="62176" spans="3:3" x14ac:dyDescent="0.35">
      <c r="C62176" s="2"/>
    </row>
    <row r="62177" spans="3:3" x14ac:dyDescent="0.35">
      <c r="C62177" s="2"/>
    </row>
    <row r="62178" spans="3:3" x14ac:dyDescent="0.35">
      <c r="C62178" s="2"/>
    </row>
    <row r="62179" spans="3:3" x14ac:dyDescent="0.35">
      <c r="C62179" s="2"/>
    </row>
    <row r="62180" spans="3:3" x14ac:dyDescent="0.35">
      <c r="C62180" s="2"/>
    </row>
    <row r="62181" spans="3:3" x14ac:dyDescent="0.35">
      <c r="C62181" s="2"/>
    </row>
    <row r="62182" spans="3:3" x14ac:dyDescent="0.35">
      <c r="C62182" s="2"/>
    </row>
    <row r="62183" spans="3:3" x14ac:dyDescent="0.35">
      <c r="C62183" s="2"/>
    </row>
    <row r="62184" spans="3:3" x14ac:dyDescent="0.35">
      <c r="C62184" s="2"/>
    </row>
    <row r="62185" spans="3:3" x14ac:dyDescent="0.35">
      <c r="C62185" s="2"/>
    </row>
    <row r="62186" spans="3:3" x14ac:dyDescent="0.35">
      <c r="C62186" s="2"/>
    </row>
    <row r="62187" spans="3:3" x14ac:dyDescent="0.35">
      <c r="C62187" s="2"/>
    </row>
    <row r="62188" spans="3:3" x14ac:dyDescent="0.35">
      <c r="C62188" s="2"/>
    </row>
    <row r="62189" spans="3:3" x14ac:dyDescent="0.35">
      <c r="C62189" s="2"/>
    </row>
    <row r="62190" spans="3:3" x14ac:dyDescent="0.35">
      <c r="C62190" s="2"/>
    </row>
    <row r="62191" spans="3:3" x14ac:dyDescent="0.35">
      <c r="C62191" s="2"/>
    </row>
    <row r="62192" spans="3:3" x14ac:dyDescent="0.35">
      <c r="C62192" s="2"/>
    </row>
    <row r="62193" spans="3:3" x14ac:dyDescent="0.35">
      <c r="C62193" s="2"/>
    </row>
    <row r="62194" spans="3:3" x14ac:dyDescent="0.35">
      <c r="C62194" s="2"/>
    </row>
    <row r="62195" spans="3:3" x14ac:dyDescent="0.35">
      <c r="C62195" s="2"/>
    </row>
    <row r="62196" spans="3:3" x14ac:dyDescent="0.35">
      <c r="C62196" s="2"/>
    </row>
    <row r="62197" spans="3:3" x14ac:dyDescent="0.35">
      <c r="C62197" s="2"/>
    </row>
    <row r="62198" spans="3:3" x14ac:dyDescent="0.35">
      <c r="C62198" s="2"/>
    </row>
    <row r="62199" spans="3:3" x14ac:dyDescent="0.35">
      <c r="C62199" s="2"/>
    </row>
    <row r="62200" spans="3:3" x14ac:dyDescent="0.35">
      <c r="C62200" s="2"/>
    </row>
    <row r="62201" spans="3:3" x14ac:dyDescent="0.35">
      <c r="C62201" s="2"/>
    </row>
    <row r="62202" spans="3:3" x14ac:dyDescent="0.35">
      <c r="C62202" s="2"/>
    </row>
    <row r="62203" spans="3:3" x14ac:dyDescent="0.35">
      <c r="C62203" s="2"/>
    </row>
    <row r="62204" spans="3:3" x14ac:dyDescent="0.35">
      <c r="C62204" s="2"/>
    </row>
    <row r="62205" spans="3:3" x14ac:dyDescent="0.35">
      <c r="C62205" s="2"/>
    </row>
    <row r="62206" spans="3:3" x14ac:dyDescent="0.35">
      <c r="C62206" s="2"/>
    </row>
    <row r="62207" spans="3:3" x14ac:dyDescent="0.35">
      <c r="C62207" s="2"/>
    </row>
    <row r="62208" spans="3:3" x14ac:dyDescent="0.35">
      <c r="C62208" s="2"/>
    </row>
    <row r="62209" spans="3:3" x14ac:dyDescent="0.35">
      <c r="C62209" s="2"/>
    </row>
    <row r="62210" spans="3:3" x14ac:dyDescent="0.35">
      <c r="C62210" s="2"/>
    </row>
    <row r="62211" spans="3:3" x14ac:dyDescent="0.35">
      <c r="C62211" s="2"/>
    </row>
    <row r="62212" spans="3:3" x14ac:dyDescent="0.35">
      <c r="C62212" s="2"/>
    </row>
    <row r="62213" spans="3:3" x14ac:dyDescent="0.35">
      <c r="C62213" s="2"/>
    </row>
    <row r="62214" spans="3:3" x14ac:dyDescent="0.35">
      <c r="C62214" s="2"/>
    </row>
    <row r="62215" spans="3:3" x14ac:dyDescent="0.35">
      <c r="C62215" s="2"/>
    </row>
    <row r="62216" spans="3:3" x14ac:dyDescent="0.35">
      <c r="C62216" s="2"/>
    </row>
    <row r="62217" spans="3:3" x14ac:dyDescent="0.35">
      <c r="C62217" s="2"/>
    </row>
    <row r="62218" spans="3:3" x14ac:dyDescent="0.35">
      <c r="C62218" s="2"/>
    </row>
    <row r="62219" spans="3:3" x14ac:dyDescent="0.35">
      <c r="C62219" s="2"/>
    </row>
    <row r="62220" spans="3:3" x14ac:dyDescent="0.35">
      <c r="C62220" s="2"/>
    </row>
    <row r="62221" spans="3:3" x14ac:dyDescent="0.35">
      <c r="C62221" s="2"/>
    </row>
    <row r="62222" spans="3:3" x14ac:dyDescent="0.35">
      <c r="C62222" s="2"/>
    </row>
    <row r="62223" spans="3:3" x14ac:dyDescent="0.35">
      <c r="C62223" s="2"/>
    </row>
    <row r="62224" spans="3:3" x14ac:dyDescent="0.35">
      <c r="C62224" s="2"/>
    </row>
    <row r="62225" spans="3:3" x14ac:dyDescent="0.35">
      <c r="C62225" s="2"/>
    </row>
    <row r="62226" spans="3:3" x14ac:dyDescent="0.35">
      <c r="C62226" s="2"/>
    </row>
    <row r="62227" spans="3:3" x14ac:dyDescent="0.35">
      <c r="C62227" s="2"/>
    </row>
    <row r="62228" spans="3:3" x14ac:dyDescent="0.35">
      <c r="C62228" s="2"/>
    </row>
    <row r="62229" spans="3:3" x14ac:dyDescent="0.35">
      <c r="C62229" s="2"/>
    </row>
    <row r="62230" spans="3:3" x14ac:dyDescent="0.35">
      <c r="C62230" s="2"/>
    </row>
    <row r="62231" spans="3:3" x14ac:dyDescent="0.35">
      <c r="C62231" s="2"/>
    </row>
    <row r="62232" spans="3:3" x14ac:dyDescent="0.35">
      <c r="C62232" s="2"/>
    </row>
    <row r="62233" spans="3:3" x14ac:dyDescent="0.35">
      <c r="C62233" s="2"/>
    </row>
    <row r="62234" spans="3:3" x14ac:dyDescent="0.35">
      <c r="C62234" s="2"/>
    </row>
    <row r="62235" spans="3:3" x14ac:dyDescent="0.35">
      <c r="C62235" s="2"/>
    </row>
    <row r="62236" spans="3:3" x14ac:dyDescent="0.35">
      <c r="C62236" s="2"/>
    </row>
    <row r="62237" spans="3:3" x14ac:dyDescent="0.35">
      <c r="C62237" s="2"/>
    </row>
    <row r="62238" spans="3:3" x14ac:dyDescent="0.35">
      <c r="C62238" s="2"/>
    </row>
    <row r="62239" spans="3:3" x14ac:dyDescent="0.35">
      <c r="C62239" s="2"/>
    </row>
    <row r="62240" spans="3:3" x14ac:dyDescent="0.35">
      <c r="C62240" s="2"/>
    </row>
    <row r="62241" spans="3:3" x14ac:dyDescent="0.35">
      <c r="C62241" s="2"/>
    </row>
    <row r="62242" spans="3:3" x14ac:dyDescent="0.35">
      <c r="C62242" s="2"/>
    </row>
    <row r="62243" spans="3:3" x14ac:dyDescent="0.35">
      <c r="C62243" s="2"/>
    </row>
    <row r="62244" spans="3:3" x14ac:dyDescent="0.35">
      <c r="C62244" s="2"/>
    </row>
    <row r="62245" spans="3:3" x14ac:dyDescent="0.35">
      <c r="C62245" s="2"/>
    </row>
    <row r="62246" spans="3:3" x14ac:dyDescent="0.35">
      <c r="C62246" s="2"/>
    </row>
    <row r="62247" spans="3:3" x14ac:dyDescent="0.35">
      <c r="C62247" s="2"/>
    </row>
    <row r="62248" spans="3:3" x14ac:dyDescent="0.35">
      <c r="C62248" s="2"/>
    </row>
    <row r="62249" spans="3:3" x14ac:dyDescent="0.35">
      <c r="C62249" s="2"/>
    </row>
    <row r="62250" spans="3:3" x14ac:dyDescent="0.35">
      <c r="C62250" s="2"/>
    </row>
    <row r="62251" spans="3:3" x14ac:dyDescent="0.35">
      <c r="C62251" s="2"/>
    </row>
    <row r="62252" spans="3:3" x14ac:dyDescent="0.35">
      <c r="C62252" s="2"/>
    </row>
    <row r="62253" spans="3:3" x14ac:dyDescent="0.35">
      <c r="C62253" s="2"/>
    </row>
    <row r="62254" spans="3:3" x14ac:dyDescent="0.35">
      <c r="C62254" s="2"/>
    </row>
    <row r="62255" spans="3:3" x14ac:dyDescent="0.35">
      <c r="C62255" s="2"/>
    </row>
    <row r="62256" spans="3:3" x14ac:dyDescent="0.35">
      <c r="C62256" s="2"/>
    </row>
    <row r="62257" spans="3:3" x14ac:dyDescent="0.35">
      <c r="C62257" s="2"/>
    </row>
    <row r="62258" spans="3:3" x14ac:dyDescent="0.35">
      <c r="C62258" s="2"/>
    </row>
    <row r="62259" spans="3:3" x14ac:dyDescent="0.35">
      <c r="C62259" s="2"/>
    </row>
    <row r="62260" spans="3:3" x14ac:dyDescent="0.35">
      <c r="C62260" s="2"/>
    </row>
    <row r="62261" spans="3:3" x14ac:dyDescent="0.35">
      <c r="C62261" s="2"/>
    </row>
    <row r="62262" spans="3:3" x14ac:dyDescent="0.35">
      <c r="C62262" s="2"/>
    </row>
    <row r="62263" spans="3:3" x14ac:dyDescent="0.35">
      <c r="C62263" s="2"/>
    </row>
    <row r="62264" spans="3:3" x14ac:dyDescent="0.35">
      <c r="C62264" s="2"/>
    </row>
    <row r="62265" spans="3:3" x14ac:dyDescent="0.35">
      <c r="C62265" s="2"/>
    </row>
    <row r="62266" spans="3:3" x14ac:dyDescent="0.35">
      <c r="C62266" s="2"/>
    </row>
    <row r="62267" spans="3:3" x14ac:dyDescent="0.35">
      <c r="C62267" s="2"/>
    </row>
    <row r="62268" spans="3:3" x14ac:dyDescent="0.35">
      <c r="C62268" s="2"/>
    </row>
    <row r="62269" spans="3:3" x14ac:dyDescent="0.35">
      <c r="C62269" s="2"/>
    </row>
    <row r="62270" spans="3:3" x14ac:dyDescent="0.35">
      <c r="C62270" s="2"/>
    </row>
    <row r="62271" spans="3:3" x14ac:dyDescent="0.35">
      <c r="C62271" s="2"/>
    </row>
    <row r="62272" spans="3:3" x14ac:dyDescent="0.35">
      <c r="C62272" s="2"/>
    </row>
    <row r="62273" spans="3:3" x14ac:dyDescent="0.35">
      <c r="C62273" s="2"/>
    </row>
    <row r="62274" spans="3:3" x14ac:dyDescent="0.35">
      <c r="C62274" s="2"/>
    </row>
    <row r="62275" spans="3:3" x14ac:dyDescent="0.35">
      <c r="C62275" s="2"/>
    </row>
    <row r="62276" spans="3:3" x14ac:dyDescent="0.35">
      <c r="C62276" s="2"/>
    </row>
    <row r="62277" spans="3:3" x14ac:dyDescent="0.35">
      <c r="C62277" s="2"/>
    </row>
    <row r="62278" spans="3:3" x14ac:dyDescent="0.35">
      <c r="C62278" s="2"/>
    </row>
    <row r="62279" spans="3:3" x14ac:dyDescent="0.35">
      <c r="C62279" s="2"/>
    </row>
    <row r="62280" spans="3:3" x14ac:dyDescent="0.35">
      <c r="C62280" s="2"/>
    </row>
    <row r="62281" spans="3:3" x14ac:dyDescent="0.35">
      <c r="C62281" s="2"/>
    </row>
    <row r="62282" spans="3:3" x14ac:dyDescent="0.35">
      <c r="C62282" s="2"/>
    </row>
    <row r="62283" spans="3:3" x14ac:dyDescent="0.35">
      <c r="C62283" s="2"/>
    </row>
    <row r="62284" spans="3:3" x14ac:dyDescent="0.35">
      <c r="C62284" s="2"/>
    </row>
    <row r="62285" spans="3:3" x14ac:dyDescent="0.35">
      <c r="C62285" s="2"/>
    </row>
    <row r="62286" spans="3:3" x14ac:dyDescent="0.35">
      <c r="C62286" s="2"/>
    </row>
    <row r="62287" spans="3:3" x14ac:dyDescent="0.35">
      <c r="C62287" s="2"/>
    </row>
    <row r="62288" spans="3:3" x14ac:dyDescent="0.35">
      <c r="C62288" s="2"/>
    </row>
    <row r="62289" spans="3:3" x14ac:dyDescent="0.35">
      <c r="C62289" s="2"/>
    </row>
    <row r="62290" spans="3:3" x14ac:dyDescent="0.35">
      <c r="C62290" s="2"/>
    </row>
    <row r="62291" spans="3:3" x14ac:dyDescent="0.35">
      <c r="C62291" s="2"/>
    </row>
    <row r="62292" spans="3:3" x14ac:dyDescent="0.35">
      <c r="C62292" s="2"/>
    </row>
    <row r="62293" spans="3:3" x14ac:dyDescent="0.35">
      <c r="C62293" s="2"/>
    </row>
    <row r="62294" spans="3:3" x14ac:dyDescent="0.35">
      <c r="C62294" s="2"/>
    </row>
    <row r="62295" spans="3:3" x14ac:dyDescent="0.35">
      <c r="C62295" s="2"/>
    </row>
    <row r="62296" spans="3:3" x14ac:dyDescent="0.35">
      <c r="C62296" s="2"/>
    </row>
    <row r="62297" spans="3:3" x14ac:dyDescent="0.35">
      <c r="C62297" s="2"/>
    </row>
    <row r="62298" spans="3:3" x14ac:dyDescent="0.35">
      <c r="C62298" s="2"/>
    </row>
    <row r="62299" spans="3:3" x14ac:dyDescent="0.35">
      <c r="C62299" s="2"/>
    </row>
    <row r="62300" spans="3:3" x14ac:dyDescent="0.35">
      <c r="C62300" s="2"/>
    </row>
    <row r="62301" spans="3:3" x14ac:dyDescent="0.35">
      <c r="C62301" s="2"/>
    </row>
    <row r="62302" spans="3:3" x14ac:dyDescent="0.35">
      <c r="C62302" s="2"/>
    </row>
    <row r="62303" spans="3:3" x14ac:dyDescent="0.35">
      <c r="C62303" s="2"/>
    </row>
    <row r="62304" spans="3:3" x14ac:dyDescent="0.35">
      <c r="C62304" s="2"/>
    </row>
    <row r="62305" spans="3:3" x14ac:dyDescent="0.35">
      <c r="C62305" s="2"/>
    </row>
    <row r="62306" spans="3:3" x14ac:dyDescent="0.35">
      <c r="C62306" s="2"/>
    </row>
    <row r="62307" spans="3:3" x14ac:dyDescent="0.35">
      <c r="C62307" s="2"/>
    </row>
    <row r="62308" spans="3:3" x14ac:dyDescent="0.35">
      <c r="C62308" s="2"/>
    </row>
    <row r="62309" spans="3:3" x14ac:dyDescent="0.35">
      <c r="C62309" s="2"/>
    </row>
    <row r="62310" spans="3:3" x14ac:dyDescent="0.35">
      <c r="C62310" s="2"/>
    </row>
    <row r="62311" spans="3:3" x14ac:dyDescent="0.35">
      <c r="C62311" s="2"/>
    </row>
    <row r="62312" spans="3:3" x14ac:dyDescent="0.35">
      <c r="C62312" s="2"/>
    </row>
    <row r="62313" spans="3:3" x14ac:dyDescent="0.35">
      <c r="C62313" s="2"/>
    </row>
    <row r="62314" spans="3:3" x14ac:dyDescent="0.35">
      <c r="C62314" s="2"/>
    </row>
    <row r="62315" spans="3:3" x14ac:dyDescent="0.35">
      <c r="C62315" s="2"/>
    </row>
    <row r="62316" spans="3:3" x14ac:dyDescent="0.35">
      <c r="C62316" s="2"/>
    </row>
    <row r="62317" spans="3:3" x14ac:dyDescent="0.35">
      <c r="C62317" s="2"/>
    </row>
    <row r="62318" spans="3:3" x14ac:dyDescent="0.35">
      <c r="C62318" s="2"/>
    </row>
    <row r="62319" spans="3:3" x14ac:dyDescent="0.35">
      <c r="C62319" s="2"/>
    </row>
    <row r="62320" spans="3:3" x14ac:dyDescent="0.35">
      <c r="C62320" s="2"/>
    </row>
    <row r="62321" spans="3:3" x14ac:dyDescent="0.35">
      <c r="C62321" s="2"/>
    </row>
    <row r="62322" spans="3:3" x14ac:dyDescent="0.35">
      <c r="C62322" s="2"/>
    </row>
    <row r="62323" spans="3:3" x14ac:dyDescent="0.35">
      <c r="C62323" s="2"/>
    </row>
    <row r="62324" spans="3:3" x14ac:dyDescent="0.35">
      <c r="C62324" s="2"/>
    </row>
    <row r="62325" spans="3:3" x14ac:dyDescent="0.35">
      <c r="C62325" s="2"/>
    </row>
    <row r="62326" spans="3:3" x14ac:dyDescent="0.35">
      <c r="C62326" s="2"/>
    </row>
    <row r="62327" spans="3:3" x14ac:dyDescent="0.35">
      <c r="C62327" s="2"/>
    </row>
    <row r="62328" spans="3:3" x14ac:dyDescent="0.35">
      <c r="C62328" s="2"/>
    </row>
    <row r="62329" spans="3:3" x14ac:dyDescent="0.35">
      <c r="C62329" s="2"/>
    </row>
    <row r="62330" spans="3:3" x14ac:dyDescent="0.35">
      <c r="C62330" s="2"/>
    </row>
    <row r="62331" spans="3:3" x14ac:dyDescent="0.35">
      <c r="C62331" s="2"/>
    </row>
    <row r="62332" spans="3:3" x14ac:dyDescent="0.35">
      <c r="C62332" s="2"/>
    </row>
    <row r="62333" spans="3:3" x14ac:dyDescent="0.35">
      <c r="C62333" s="2"/>
    </row>
    <row r="62334" spans="3:3" x14ac:dyDescent="0.35">
      <c r="C62334" s="2"/>
    </row>
    <row r="62335" spans="3:3" x14ac:dyDescent="0.35">
      <c r="C62335" s="2"/>
    </row>
    <row r="62336" spans="3:3" x14ac:dyDescent="0.35">
      <c r="C62336" s="2"/>
    </row>
    <row r="62337" spans="3:3" x14ac:dyDescent="0.35">
      <c r="C62337" s="2"/>
    </row>
    <row r="62338" spans="3:3" x14ac:dyDescent="0.35">
      <c r="C62338" s="2"/>
    </row>
    <row r="62339" spans="3:3" x14ac:dyDescent="0.35">
      <c r="C62339" s="2"/>
    </row>
    <row r="62340" spans="3:3" x14ac:dyDescent="0.35">
      <c r="C62340" s="2"/>
    </row>
    <row r="62341" spans="3:3" x14ac:dyDescent="0.35">
      <c r="C62341" s="2"/>
    </row>
    <row r="62342" spans="3:3" x14ac:dyDescent="0.35">
      <c r="C62342" s="2"/>
    </row>
    <row r="62343" spans="3:3" x14ac:dyDescent="0.35">
      <c r="C62343" s="2"/>
    </row>
    <row r="62344" spans="3:3" x14ac:dyDescent="0.35">
      <c r="C62344" s="2"/>
    </row>
    <row r="62345" spans="3:3" x14ac:dyDescent="0.35">
      <c r="C62345" s="2"/>
    </row>
    <row r="62346" spans="3:3" x14ac:dyDescent="0.35">
      <c r="C62346" s="2"/>
    </row>
    <row r="62347" spans="3:3" x14ac:dyDescent="0.35">
      <c r="C62347" s="2"/>
    </row>
    <row r="62348" spans="3:3" x14ac:dyDescent="0.35">
      <c r="C62348" s="2"/>
    </row>
    <row r="62349" spans="3:3" x14ac:dyDescent="0.35">
      <c r="C62349" s="2"/>
    </row>
    <row r="62350" spans="3:3" x14ac:dyDescent="0.35">
      <c r="C62350" s="2"/>
    </row>
    <row r="62351" spans="3:3" x14ac:dyDescent="0.35">
      <c r="C62351" s="2"/>
    </row>
    <row r="62352" spans="3:3" x14ac:dyDescent="0.35">
      <c r="C62352" s="2"/>
    </row>
    <row r="62353" spans="3:3" x14ac:dyDescent="0.35">
      <c r="C62353" s="2"/>
    </row>
    <row r="62354" spans="3:3" x14ac:dyDescent="0.35">
      <c r="C62354" s="2"/>
    </row>
    <row r="62355" spans="3:3" x14ac:dyDescent="0.35">
      <c r="C62355" s="2"/>
    </row>
    <row r="62356" spans="3:3" x14ac:dyDescent="0.35">
      <c r="C62356" s="2"/>
    </row>
    <row r="62357" spans="3:3" x14ac:dyDescent="0.35">
      <c r="C62357" s="2"/>
    </row>
    <row r="62358" spans="3:3" x14ac:dyDescent="0.35">
      <c r="C62358" s="2"/>
    </row>
    <row r="62359" spans="3:3" x14ac:dyDescent="0.35">
      <c r="C62359" s="2"/>
    </row>
    <row r="62360" spans="3:3" x14ac:dyDescent="0.35">
      <c r="C62360" s="2"/>
    </row>
    <row r="62361" spans="3:3" x14ac:dyDescent="0.35">
      <c r="C62361" s="2"/>
    </row>
    <row r="62362" spans="3:3" x14ac:dyDescent="0.35">
      <c r="C62362" s="2"/>
    </row>
    <row r="62363" spans="3:3" x14ac:dyDescent="0.35">
      <c r="C62363" s="2"/>
    </row>
    <row r="62364" spans="3:3" x14ac:dyDescent="0.35">
      <c r="C62364" s="2"/>
    </row>
    <row r="62365" spans="3:3" x14ac:dyDescent="0.35">
      <c r="C62365" s="2"/>
    </row>
    <row r="62366" spans="3:3" x14ac:dyDescent="0.35">
      <c r="C62366" s="2"/>
    </row>
    <row r="62367" spans="3:3" x14ac:dyDescent="0.35">
      <c r="C62367" s="2"/>
    </row>
    <row r="62368" spans="3:3" x14ac:dyDescent="0.35">
      <c r="C62368" s="2"/>
    </row>
    <row r="62369" spans="3:3" x14ac:dyDescent="0.35">
      <c r="C62369" s="2"/>
    </row>
    <row r="62370" spans="3:3" x14ac:dyDescent="0.35">
      <c r="C62370" s="2"/>
    </row>
    <row r="62371" spans="3:3" x14ac:dyDescent="0.35">
      <c r="C62371" s="2"/>
    </row>
    <row r="62372" spans="3:3" x14ac:dyDescent="0.35">
      <c r="C62372" s="2"/>
    </row>
    <row r="62373" spans="3:3" x14ac:dyDescent="0.35">
      <c r="C62373" s="2"/>
    </row>
    <row r="62374" spans="3:3" x14ac:dyDescent="0.35">
      <c r="C62374" s="2"/>
    </row>
    <row r="62375" spans="3:3" x14ac:dyDescent="0.35">
      <c r="C62375" s="2"/>
    </row>
    <row r="62376" spans="3:3" x14ac:dyDescent="0.35">
      <c r="C62376" s="2"/>
    </row>
    <row r="62377" spans="3:3" x14ac:dyDescent="0.35">
      <c r="C62377" s="2"/>
    </row>
    <row r="62378" spans="3:3" x14ac:dyDescent="0.35">
      <c r="C62378" s="2"/>
    </row>
    <row r="62379" spans="3:3" x14ac:dyDescent="0.35">
      <c r="C62379" s="2"/>
    </row>
    <row r="62380" spans="3:3" x14ac:dyDescent="0.35">
      <c r="C62380" s="2"/>
    </row>
    <row r="62381" spans="3:3" x14ac:dyDescent="0.35">
      <c r="C62381" s="2"/>
    </row>
    <row r="62382" spans="3:3" x14ac:dyDescent="0.35">
      <c r="C62382" s="2"/>
    </row>
    <row r="62383" spans="3:3" x14ac:dyDescent="0.35">
      <c r="C62383" s="2"/>
    </row>
    <row r="62384" spans="3:3" x14ac:dyDescent="0.35">
      <c r="C62384" s="2"/>
    </row>
    <row r="62385" spans="3:3" x14ac:dyDescent="0.35">
      <c r="C62385" s="2"/>
    </row>
    <row r="62386" spans="3:3" x14ac:dyDescent="0.35">
      <c r="C62386" s="2"/>
    </row>
    <row r="62387" spans="3:3" x14ac:dyDescent="0.35">
      <c r="C62387" s="2"/>
    </row>
    <row r="62388" spans="3:3" x14ac:dyDescent="0.35">
      <c r="C62388" s="2"/>
    </row>
    <row r="62389" spans="3:3" x14ac:dyDescent="0.35">
      <c r="C62389" s="2"/>
    </row>
    <row r="62390" spans="3:3" x14ac:dyDescent="0.35">
      <c r="C62390" s="2"/>
    </row>
    <row r="62391" spans="3:3" x14ac:dyDescent="0.35">
      <c r="C62391" s="2"/>
    </row>
    <row r="62392" spans="3:3" x14ac:dyDescent="0.35">
      <c r="C62392" s="2"/>
    </row>
    <row r="62393" spans="3:3" x14ac:dyDescent="0.35">
      <c r="C62393" s="2"/>
    </row>
    <row r="62394" spans="3:3" x14ac:dyDescent="0.35">
      <c r="C62394" s="2"/>
    </row>
    <row r="62395" spans="3:3" x14ac:dyDescent="0.35">
      <c r="C62395" s="2"/>
    </row>
    <row r="62396" spans="3:3" x14ac:dyDescent="0.35">
      <c r="C62396" s="2"/>
    </row>
    <row r="62397" spans="3:3" x14ac:dyDescent="0.35">
      <c r="C62397" s="2"/>
    </row>
    <row r="62398" spans="3:3" x14ac:dyDescent="0.35">
      <c r="C62398" s="2"/>
    </row>
    <row r="62399" spans="3:3" x14ac:dyDescent="0.35">
      <c r="C62399" s="2"/>
    </row>
    <row r="62400" spans="3:3" x14ac:dyDescent="0.35">
      <c r="C62400" s="2"/>
    </row>
    <row r="62401" spans="3:3" x14ac:dyDescent="0.35">
      <c r="C62401" s="2"/>
    </row>
    <row r="62402" spans="3:3" x14ac:dyDescent="0.35">
      <c r="C62402" s="2"/>
    </row>
    <row r="62403" spans="3:3" x14ac:dyDescent="0.35">
      <c r="C62403" s="2"/>
    </row>
    <row r="62404" spans="3:3" x14ac:dyDescent="0.35">
      <c r="C62404" s="2"/>
    </row>
    <row r="62405" spans="3:3" x14ac:dyDescent="0.35">
      <c r="C62405" s="2"/>
    </row>
    <row r="62406" spans="3:3" x14ac:dyDescent="0.35">
      <c r="C62406" s="2"/>
    </row>
    <row r="62407" spans="3:3" x14ac:dyDescent="0.35">
      <c r="C62407" s="2"/>
    </row>
    <row r="62408" spans="3:3" x14ac:dyDescent="0.35">
      <c r="C62408" s="2"/>
    </row>
    <row r="62409" spans="3:3" x14ac:dyDescent="0.35">
      <c r="C62409" s="2"/>
    </row>
    <row r="62410" spans="3:3" x14ac:dyDescent="0.35">
      <c r="C62410" s="2"/>
    </row>
    <row r="62411" spans="3:3" x14ac:dyDescent="0.35">
      <c r="C62411" s="2"/>
    </row>
    <row r="62412" spans="3:3" x14ac:dyDescent="0.35">
      <c r="C62412" s="2"/>
    </row>
    <row r="62413" spans="3:3" x14ac:dyDescent="0.35">
      <c r="C62413" s="2"/>
    </row>
    <row r="62414" spans="3:3" x14ac:dyDescent="0.35">
      <c r="C62414" s="2"/>
    </row>
    <row r="62415" spans="3:3" x14ac:dyDescent="0.35">
      <c r="C62415" s="2"/>
    </row>
    <row r="62416" spans="3:3" x14ac:dyDescent="0.35">
      <c r="C62416" s="2"/>
    </row>
    <row r="62417" spans="3:3" x14ac:dyDescent="0.35">
      <c r="C62417" s="2"/>
    </row>
    <row r="62418" spans="3:3" x14ac:dyDescent="0.35">
      <c r="C62418" s="2"/>
    </row>
    <row r="62419" spans="3:3" x14ac:dyDescent="0.35">
      <c r="C62419" s="2"/>
    </row>
    <row r="62420" spans="3:3" x14ac:dyDescent="0.35">
      <c r="C62420" s="2"/>
    </row>
    <row r="62421" spans="3:3" x14ac:dyDescent="0.35">
      <c r="C62421" s="2"/>
    </row>
    <row r="62422" spans="3:3" x14ac:dyDescent="0.35">
      <c r="C62422" s="2"/>
    </row>
    <row r="62423" spans="3:3" x14ac:dyDescent="0.35">
      <c r="C62423" s="2"/>
    </row>
    <row r="62424" spans="3:3" x14ac:dyDescent="0.35">
      <c r="C62424" s="2"/>
    </row>
    <row r="62425" spans="3:3" x14ac:dyDescent="0.35">
      <c r="C62425" s="2"/>
    </row>
    <row r="62426" spans="3:3" x14ac:dyDescent="0.35">
      <c r="C62426" s="2"/>
    </row>
    <row r="62427" spans="3:3" x14ac:dyDescent="0.35">
      <c r="C62427" s="2"/>
    </row>
    <row r="62428" spans="3:3" x14ac:dyDescent="0.35">
      <c r="C62428" s="2"/>
    </row>
    <row r="62429" spans="3:3" x14ac:dyDescent="0.35">
      <c r="C62429" s="2"/>
    </row>
    <row r="62430" spans="3:3" x14ac:dyDescent="0.35">
      <c r="C62430" s="2"/>
    </row>
    <row r="62431" spans="3:3" x14ac:dyDescent="0.35">
      <c r="C62431" s="2"/>
    </row>
    <row r="62432" spans="3:3" x14ac:dyDescent="0.35">
      <c r="C62432" s="2"/>
    </row>
    <row r="62433" spans="3:3" x14ac:dyDescent="0.35">
      <c r="C62433" s="2"/>
    </row>
    <row r="62434" spans="3:3" x14ac:dyDescent="0.35">
      <c r="C62434" s="2"/>
    </row>
    <row r="62435" spans="3:3" x14ac:dyDescent="0.35">
      <c r="C62435" s="2"/>
    </row>
    <row r="62436" spans="3:3" x14ac:dyDescent="0.35">
      <c r="C62436" s="2"/>
    </row>
    <row r="62437" spans="3:3" x14ac:dyDescent="0.35">
      <c r="C62437" s="2"/>
    </row>
    <row r="62438" spans="3:3" x14ac:dyDescent="0.35">
      <c r="C62438" s="2"/>
    </row>
    <row r="62439" spans="3:3" x14ac:dyDescent="0.35">
      <c r="C62439" s="2"/>
    </row>
    <row r="62440" spans="3:3" x14ac:dyDescent="0.35">
      <c r="C62440" s="2"/>
    </row>
    <row r="62441" spans="3:3" x14ac:dyDescent="0.35">
      <c r="C62441" s="2"/>
    </row>
    <row r="62442" spans="3:3" x14ac:dyDescent="0.35">
      <c r="C62442" s="2"/>
    </row>
    <row r="62443" spans="3:3" x14ac:dyDescent="0.35">
      <c r="C62443" s="2"/>
    </row>
    <row r="62444" spans="3:3" x14ac:dyDescent="0.35">
      <c r="C62444" s="2"/>
    </row>
    <row r="62445" spans="3:3" x14ac:dyDescent="0.35">
      <c r="C62445" s="2"/>
    </row>
    <row r="62446" spans="3:3" x14ac:dyDescent="0.35">
      <c r="C62446" s="2"/>
    </row>
    <row r="62447" spans="3:3" x14ac:dyDescent="0.35">
      <c r="C62447" s="2"/>
    </row>
    <row r="62448" spans="3:3" x14ac:dyDescent="0.35">
      <c r="C62448" s="2"/>
    </row>
    <row r="62449" spans="3:3" x14ac:dyDescent="0.35">
      <c r="C62449" s="2"/>
    </row>
    <row r="62450" spans="3:3" x14ac:dyDescent="0.35">
      <c r="C62450" s="2"/>
    </row>
    <row r="62451" spans="3:3" x14ac:dyDescent="0.35">
      <c r="C62451" s="2"/>
    </row>
    <row r="62452" spans="3:3" x14ac:dyDescent="0.35">
      <c r="C62452" s="2"/>
    </row>
    <row r="62453" spans="3:3" x14ac:dyDescent="0.35">
      <c r="C62453" s="2"/>
    </row>
    <row r="62454" spans="3:3" x14ac:dyDescent="0.35">
      <c r="C62454" s="2"/>
    </row>
    <row r="62455" spans="3:3" x14ac:dyDescent="0.35">
      <c r="C62455" s="2"/>
    </row>
    <row r="62456" spans="3:3" x14ac:dyDescent="0.35">
      <c r="C62456" s="2"/>
    </row>
    <row r="62457" spans="3:3" x14ac:dyDescent="0.35">
      <c r="C62457" s="2"/>
    </row>
    <row r="62458" spans="3:3" x14ac:dyDescent="0.35">
      <c r="C62458" s="2"/>
    </row>
    <row r="62459" spans="3:3" x14ac:dyDescent="0.35">
      <c r="C62459" s="2"/>
    </row>
    <row r="62460" spans="3:3" x14ac:dyDescent="0.35">
      <c r="C62460" s="2"/>
    </row>
    <row r="62461" spans="3:3" x14ac:dyDescent="0.35">
      <c r="C62461" s="2"/>
    </row>
    <row r="62462" spans="3:3" x14ac:dyDescent="0.35">
      <c r="C62462" s="2"/>
    </row>
    <row r="62463" spans="3:3" x14ac:dyDescent="0.35">
      <c r="C62463" s="2"/>
    </row>
    <row r="62464" spans="3:3" x14ac:dyDescent="0.35">
      <c r="C62464" s="2"/>
    </row>
    <row r="62465" spans="3:3" x14ac:dyDescent="0.35">
      <c r="C62465" s="2"/>
    </row>
    <row r="62466" spans="3:3" x14ac:dyDescent="0.35">
      <c r="C62466" s="2"/>
    </row>
    <row r="62467" spans="3:3" x14ac:dyDescent="0.35">
      <c r="C62467" s="2"/>
    </row>
    <row r="62468" spans="3:3" x14ac:dyDescent="0.35">
      <c r="C62468" s="2"/>
    </row>
    <row r="62469" spans="3:3" x14ac:dyDescent="0.35">
      <c r="C62469" s="2"/>
    </row>
    <row r="62470" spans="3:3" x14ac:dyDescent="0.35">
      <c r="C62470" s="2"/>
    </row>
    <row r="62471" spans="3:3" x14ac:dyDescent="0.35">
      <c r="C62471" s="2"/>
    </row>
    <row r="62472" spans="3:3" x14ac:dyDescent="0.35">
      <c r="C62472" s="2"/>
    </row>
    <row r="62473" spans="3:3" x14ac:dyDescent="0.35">
      <c r="C62473" s="2"/>
    </row>
    <row r="62474" spans="3:3" x14ac:dyDescent="0.35">
      <c r="C62474" s="2"/>
    </row>
    <row r="62475" spans="3:3" x14ac:dyDescent="0.35">
      <c r="C62475" s="2"/>
    </row>
    <row r="62476" spans="3:3" x14ac:dyDescent="0.35">
      <c r="C62476" s="2"/>
    </row>
    <row r="62477" spans="3:3" x14ac:dyDescent="0.35">
      <c r="C62477" s="2"/>
    </row>
    <row r="62478" spans="3:3" x14ac:dyDescent="0.35">
      <c r="C62478" s="2"/>
    </row>
    <row r="62479" spans="3:3" x14ac:dyDescent="0.35">
      <c r="C62479" s="2"/>
    </row>
    <row r="62480" spans="3:3" x14ac:dyDescent="0.35">
      <c r="C62480" s="2"/>
    </row>
    <row r="62481" spans="3:3" x14ac:dyDescent="0.35">
      <c r="C62481" s="2"/>
    </row>
    <row r="62482" spans="3:3" x14ac:dyDescent="0.35">
      <c r="C62482" s="2"/>
    </row>
    <row r="62483" spans="3:3" x14ac:dyDescent="0.35">
      <c r="C62483" s="2"/>
    </row>
    <row r="62484" spans="3:3" x14ac:dyDescent="0.35">
      <c r="C62484" s="2"/>
    </row>
    <row r="62485" spans="3:3" x14ac:dyDescent="0.35">
      <c r="C62485" s="2"/>
    </row>
    <row r="62486" spans="3:3" x14ac:dyDescent="0.35">
      <c r="C62486" s="2"/>
    </row>
    <row r="62487" spans="3:3" x14ac:dyDescent="0.35">
      <c r="C62487" s="2"/>
    </row>
    <row r="62488" spans="3:3" x14ac:dyDescent="0.35">
      <c r="C62488" s="2"/>
    </row>
    <row r="62489" spans="3:3" x14ac:dyDescent="0.35">
      <c r="C62489" s="2"/>
    </row>
    <row r="62490" spans="3:3" x14ac:dyDescent="0.35">
      <c r="C62490" s="2"/>
    </row>
    <row r="62491" spans="3:3" x14ac:dyDescent="0.35">
      <c r="C62491" s="2"/>
    </row>
    <row r="62492" spans="3:3" x14ac:dyDescent="0.35">
      <c r="C62492" s="2"/>
    </row>
    <row r="62493" spans="3:3" x14ac:dyDescent="0.35">
      <c r="C62493" s="2"/>
    </row>
    <row r="62494" spans="3:3" x14ac:dyDescent="0.35">
      <c r="C62494" s="2"/>
    </row>
    <row r="62495" spans="3:3" x14ac:dyDescent="0.35">
      <c r="C62495" s="2"/>
    </row>
    <row r="62496" spans="3:3" x14ac:dyDescent="0.35">
      <c r="C62496" s="2"/>
    </row>
    <row r="62497" spans="3:3" x14ac:dyDescent="0.35">
      <c r="C62497" s="2"/>
    </row>
    <row r="62498" spans="3:3" x14ac:dyDescent="0.35">
      <c r="C62498" s="2"/>
    </row>
    <row r="62499" spans="3:3" x14ac:dyDescent="0.35">
      <c r="C62499" s="2"/>
    </row>
    <row r="62500" spans="3:3" x14ac:dyDescent="0.35">
      <c r="C62500" s="2"/>
    </row>
    <row r="62501" spans="3:3" x14ac:dyDescent="0.35">
      <c r="C62501" s="2"/>
    </row>
    <row r="62502" spans="3:3" x14ac:dyDescent="0.35">
      <c r="C62502" s="2"/>
    </row>
    <row r="62503" spans="3:3" x14ac:dyDescent="0.35">
      <c r="C62503" s="2"/>
    </row>
    <row r="62504" spans="3:3" x14ac:dyDescent="0.35">
      <c r="C62504" s="2"/>
    </row>
    <row r="62505" spans="3:3" x14ac:dyDescent="0.35">
      <c r="C62505" s="2"/>
    </row>
    <row r="62506" spans="3:3" x14ac:dyDescent="0.35">
      <c r="C62506" s="2"/>
    </row>
    <row r="62507" spans="3:3" x14ac:dyDescent="0.35">
      <c r="C62507" s="2"/>
    </row>
    <row r="62508" spans="3:3" x14ac:dyDescent="0.35">
      <c r="C62508" s="2"/>
    </row>
    <row r="62509" spans="3:3" x14ac:dyDescent="0.35">
      <c r="C62509" s="2"/>
    </row>
    <row r="62510" spans="3:3" x14ac:dyDescent="0.35">
      <c r="C62510" s="2"/>
    </row>
    <row r="62511" spans="3:3" x14ac:dyDescent="0.35">
      <c r="C62511" s="2"/>
    </row>
    <row r="62512" spans="3:3" x14ac:dyDescent="0.35">
      <c r="C62512" s="2"/>
    </row>
    <row r="62513" spans="3:3" x14ac:dyDescent="0.35">
      <c r="C62513" s="2"/>
    </row>
    <row r="62514" spans="3:3" x14ac:dyDescent="0.35">
      <c r="C62514" s="2"/>
    </row>
    <row r="62515" spans="3:3" x14ac:dyDescent="0.35">
      <c r="C62515" s="2"/>
    </row>
    <row r="62516" spans="3:3" x14ac:dyDescent="0.35">
      <c r="C62516" s="2"/>
    </row>
    <row r="62517" spans="3:3" x14ac:dyDescent="0.35">
      <c r="C62517" s="2"/>
    </row>
    <row r="62518" spans="3:3" x14ac:dyDescent="0.35">
      <c r="C62518" s="2"/>
    </row>
    <row r="62519" spans="3:3" x14ac:dyDescent="0.35">
      <c r="C62519" s="2"/>
    </row>
    <row r="62520" spans="3:3" x14ac:dyDescent="0.35">
      <c r="C62520" s="2"/>
    </row>
    <row r="62521" spans="3:3" x14ac:dyDescent="0.35">
      <c r="C62521" s="2"/>
    </row>
    <row r="62522" spans="3:3" x14ac:dyDescent="0.35">
      <c r="C62522" s="2"/>
    </row>
    <row r="62523" spans="3:3" x14ac:dyDescent="0.35">
      <c r="C62523" s="2"/>
    </row>
    <row r="62524" spans="3:3" x14ac:dyDescent="0.35">
      <c r="C62524" s="2"/>
    </row>
    <row r="62525" spans="3:3" x14ac:dyDescent="0.35">
      <c r="C62525" s="2"/>
    </row>
    <row r="62526" spans="3:3" x14ac:dyDescent="0.35">
      <c r="C62526" s="2"/>
    </row>
    <row r="62527" spans="3:3" x14ac:dyDescent="0.35">
      <c r="C62527" s="2"/>
    </row>
    <row r="62528" spans="3:3" x14ac:dyDescent="0.35">
      <c r="C62528" s="2"/>
    </row>
    <row r="62529" spans="3:3" x14ac:dyDescent="0.35">
      <c r="C62529" s="2"/>
    </row>
    <row r="62530" spans="3:3" x14ac:dyDescent="0.35">
      <c r="C62530" s="2"/>
    </row>
    <row r="62531" spans="3:3" x14ac:dyDescent="0.35">
      <c r="C62531" s="2"/>
    </row>
    <row r="62532" spans="3:3" x14ac:dyDescent="0.35">
      <c r="C62532" s="2"/>
    </row>
    <row r="62533" spans="3:3" x14ac:dyDescent="0.35">
      <c r="C62533" s="2"/>
    </row>
    <row r="62534" spans="3:3" x14ac:dyDescent="0.35">
      <c r="C62534" s="2"/>
    </row>
    <row r="62535" spans="3:3" x14ac:dyDescent="0.35">
      <c r="C62535" s="2"/>
    </row>
    <row r="62536" spans="3:3" x14ac:dyDescent="0.35">
      <c r="C62536" s="2"/>
    </row>
    <row r="62537" spans="3:3" x14ac:dyDescent="0.35">
      <c r="C62537" s="2"/>
    </row>
    <row r="62538" spans="3:3" x14ac:dyDescent="0.35">
      <c r="C62538" s="2"/>
    </row>
    <row r="62539" spans="3:3" x14ac:dyDescent="0.35">
      <c r="C62539" s="2"/>
    </row>
    <row r="62540" spans="3:3" x14ac:dyDescent="0.35">
      <c r="C62540" s="2"/>
    </row>
    <row r="62541" spans="3:3" x14ac:dyDescent="0.35">
      <c r="C62541" s="2"/>
    </row>
    <row r="62542" spans="3:3" x14ac:dyDescent="0.35">
      <c r="C62542" s="2"/>
    </row>
    <row r="62543" spans="3:3" x14ac:dyDescent="0.35">
      <c r="C62543" s="2"/>
    </row>
    <row r="62544" spans="3:3" x14ac:dyDescent="0.35">
      <c r="C62544" s="2"/>
    </row>
    <row r="62545" spans="3:3" x14ac:dyDescent="0.35">
      <c r="C62545" s="2"/>
    </row>
    <row r="62546" spans="3:3" x14ac:dyDescent="0.35">
      <c r="C62546" s="2"/>
    </row>
    <row r="62547" spans="3:3" x14ac:dyDescent="0.35">
      <c r="C62547" s="2"/>
    </row>
    <row r="62548" spans="3:3" x14ac:dyDescent="0.35">
      <c r="C62548" s="2"/>
    </row>
    <row r="62549" spans="3:3" x14ac:dyDescent="0.35">
      <c r="C62549" s="2"/>
    </row>
    <row r="62550" spans="3:3" x14ac:dyDescent="0.35">
      <c r="C62550" s="2"/>
    </row>
    <row r="62551" spans="3:3" x14ac:dyDescent="0.35">
      <c r="C62551" s="2"/>
    </row>
    <row r="62552" spans="3:3" x14ac:dyDescent="0.35">
      <c r="C62552" s="2"/>
    </row>
    <row r="62553" spans="3:3" x14ac:dyDescent="0.35">
      <c r="C62553" s="2"/>
    </row>
    <row r="62554" spans="3:3" x14ac:dyDescent="0.35">
      <c r="C62554" s="2"/>
    </row>
    <row r="62555" spans="3:3" x14ac:dyDescent="0.35">
      <c r="C62555" s="2"/>
    </row>
    <row r="62556" spans="3:3" x14ac:dyDescent="0.35">
      <c r="C62556" s="2"/>
    </row>
    <row r="62557" spans="3:3" x14ac:dyDescent="0.35">
      <c r="C62557" s="2"/>
    </row>
    <row r="62558" spans="3:3" x14ac:dyDescent="0.35">
      <c r="C62558" s="2"/>
    </row>
    <row r="62559" spans="3:3" x14ac:dyDescent="0.35">
      <c r="C62559" s="2"/>
    </row>
    <row r="62560" spans="3:3" x14ac:dyDescent="0.35">
      <c r="C62560" s="2"/>
    </row>
    <row r="62561" spans="3:3" x14ac:dyDescent="0.35">
      <c r="C62561" s="2"/>
    </row>
    <row r="62562" spans="3:3" x14ac:dyDescent="0.35">
      <c r="C62562" s="2"/>
    </row>
    <row r="62563" spans="3:3" x14ac:dyDescent="0.35">
      <c r="C62563" s="2"/>
    </row>
    <row r="62564" spans="3:3" x14ac:dyDescent="0.35">
      <c r="C62564" s="2"/>
    </row>
    <row r="62565" spans="3:3" x14ac:dyDescent="0.35">
      <c r="C62565" s="2"/>
    </row>
    <row r="62566" spans="3:3" x14ac:dyDescent="0.35">
      <c r="C62566" s="2"/>
    </row>
    <row r="62567" spans="3:3" x14ac:dyDescent="0.35">
      <c r="C62567" s="2"/>
    </row>
    <row r="62568" spans="3:3" x14ac:dyDescent="0.35">
      <c r="C62568" s="2"/>
    </row>
    <row r="62569" spans="3:3" x14ac:dyDescent="0.35">
      <c r="C62569" s="2"/>
    </row>
    <row r="62570" spans="3:3" x14ac:dyDescent="0.35">
      <c r="C62570" s="2"/>
    </row>
    <row r="62571" spans="3:3" x14ac:dyDescent="0.35">
      <c r="C62571" s="2"/>
    </row>
    <row r="62572" spans="3:3" x14ac:dyDescent="0.35">
      <c r="C62572" s="2"/>
    </row>
    <row r="62573" spans="3:3" x14ac:dyDescent="0.35">
      <c r="C62573" s="2"/>
    </row>
    <row r="62574" spans="3:3" x14ac:dyDescent="0.35">
      <c r="C62574" s="2"/>
    </row>
    <row r="62575" spans="3:3" x14ac:dyDescent="0.35">
      <c r="C62575" s="2"/>
    </row>
    <row r="62576" spans="3:3" x14ac:dyDescent="0.35">
      <c r="C62576" s="2"/>
    </row>
    <row r="62577" spans="3:3" x14ac:dyDescent="0.35">
      <c r="C62577" s="2"/>
    </row>
    <row r="62578" spans="3:3" x14ac:dyDescent="0.35">
      <c r="C62578" s="2"/>
    </row>
    <row r="62579" spans="3:3" x14ac:dyDescent="0.35">
      <c r="C62579" s="2"/>
    </row>
    <row r="62580" spans="3:3" x14ac:dyDescent="0.35">
      <c r="C62580" s="2"/>
    </row>
    <row r="62581" spans="3:3" x14ac:dyDescent="0.35">
      <c r="C62581" s="2"/>
    </row>
    <row r="62582" spans="3:3" x14ac:dyDescent="0.35">
      <c r="C62582" s="2"/>
    </row>
    <row r="62583" spans="3:3" x14ac:dyDescent="0.35">
      <c r="C62583" s="2"/>
    </row>
    <row r="62584" spans="3:3" x14ac:dyDescent="0.35">
      <c r="C62584" s="2"/>
    </row>
    <row r="62585" spans="3:3" x14ac:dyDescent="0.35">
      <c r="C62585" s="2"/>
    </row>
    <row r="62586" spans="3:3" x14ac:dyDescent="0.35">
      <c r="C62586" s="2"/>
    </row>
    <row r="62587" spans="3:3" x14ac:dyDescent="0.35">
      <c r="C62587" s="2"/>
    </row>
    <row r="62588" spans="3:3" x14ac:dyDescent="0.35">
      <c r="C62588" s="2"/>
    </row>
    <row r="62589" spans="3:3" x14ac:dyDescent="0.35">
      <c r="C62589" s="2"/>
    </row>
    <row r="62590" spans="3:3" x14ac:dyDescent="0.35">
      <c r="C62590" s="2"/>
    </row>
    <row r="62591" spans="3:3" x14ac:dyDescent="0.35">
      <c r="C62591" s="2"/>
    </row>
    <row r="62592" spans="3:3" x14ac:dyDescent="0.35">
      <c r="C62592" s="2"/>
    </row>
    <row r="62593" spans="3:3" x14ac:dyDescent="0.35">
      <c r="C62593" s="2"/>
    </row>
    <row r="62594" spans="3:3" x14ac:dyDescent="0.35">
      <c r="C62594" s="2"/>
    </row>
    <row r="62595" spans="3:3" x14ac:dyDescent="0.35">
      <c r="C62595" s="2"/>
    </row>
    <row r="62596" spans="3:3" x14ac:dyDescent="0.35">
      <c r="C62596" s="2"/>
    </row>
    <row r="62597" spans="3:3" x14ac:dyDescent="0.35">
      <c r="C62597" s="2"/>
    </row>
    <row r="62598" spans="3:3" x14ac:dyDescent="0.35">
      <c r="C62598" s="2"/>
    </row>
    <row r="62599" spans="3:3" x14ac:dyDescent="0.35">
      <c r="C62599" s="2"/>
    </row>
    <row r="62600" spans="3:3" x14ac:dyDescent="0.35">
      <c r="C62600" s="2"/>
    </row>
    <row r="62601" spans="3:3" x14ac:dyDescent="0.35">
      <c r="C62601" s="2"/>
    </row>
    <row r="62602" spans="3:3" x14ac:dyDescent="0.35">
      <c r="C62602" s="2"/>
    </row>
    <row r="62603" spans="3:3" x14ac:dyDescent="0.35">
      <c r="C62603" s="2"/>
    </row>
    <row r="62604" spans="3:3" x14ac:dyDescent="0.35">
      <c r="C62604" s="2"/>
    </row>
    <row r="62605" spans="3:3" x14ac:dyDescent="0.35">
      <c r="C62605" s="2"/>
    </row>
    <row r="62606" spans="3:3" x14ac:dyDescent="0.35">
      <c r="C62606" s="2"/>
    </row>
    <row r="62607" spans="3:3" x14ac:dyDescent="0.35">
      <c r="C62607" s="2"/>
    </row>
    <row r="62608" spans="3:3" x14ac:dyDescent="0.35">
      <c r="C62608" s="2"/>
    </row>
    <row r="62609" spans="3:3" x14ac:dyDescent="0.35">
      <c r="C62609" s="2"/>
    </row>
    <row r="62610" spans="3:3" x14ac:dyDescent="0.35">
      <c r="C62610" s="2"/>
    </row>
    <row r="62611" spans="3:3" x14ac:dyDescent="0.35">
      <c r="C62611" s="2"/>
    </row>
    <row r="62612" spans="3:3" x14ac:dyDescent="0.35">
      <c r="C62612" s="2"/>
    </row>
    <row r="62613" spans="3:3" x14ac:dyDescent="0.35">
      <c r="C62613" s="2"/>
    </row>
    <row r="62614" spans="3:3" x14ac:dyDescent="0.35">
      <c r="C62614" s="2"/>
    </row>
    <row r="62615" spans="3:3" x14ac:dyDescent="0.35">
      <c r="C62615" s="2"/>
    </row>
    <row r="62616" spans="3:3" x14ac:dyDescent="0.35">
      <c r="C62616" s="2"/>
    </row>
    <row r="62617" spans="3:3" x14ac:dyDescent="0.35">
      <c r="C62617" s="2"/>
    </row>
    <row r="62618" spans="3:3" x14ac:dyDescent="0.35">
      <c r="C62618" s="2"/>
    </row>
    <row r="62619" spans="3:3" x14ac:dyDescent="0.35">
      <c r="C62619" s="2"/>
    </row>
    <row r="62620" spans="3:3" x14ac:dyDescent="0.35">
      <c r="C62620" s="2"/>
    </row>
    <row r="62621" spans="3:3" x14ac:dyDescent="0.35">
      <c r="C62621" s="2"/>
    </row>
    <row r="62622" spans="3:3" x14ac:dyDescent="0.35">
      <c r="C62622" s="2"/>
    </row>
    <row r="62623" spans="3:3" x14ac:dyDescent="0.35">
      <c r="C62623" s="2"/>
    </row>
    <row r="62624" spans="3:3" x14ac:dyDescent="0.35">
      <c r="C62624" s="2"/>
    </row>
    <row r="62625" spans="3:3" x14ac:dyDescent="0.35">
      <c r="C62625" s="2"/>
    </row>
    <row r="62626" spans="3:3" x14ac:dyDescent="0.35">
      <c r="C62626" s="2"/>
    </row>
    <row r="62627" spans="3:3" x14ac:dyDescent="0.35">
      <c r="C62627" s="2"/>
    </row>
    <row r="62628" spans="3:3" x14ac:dyDescent="0.35">
      <c r="C62628" s="2"/>
    </row>
    <row r="62629" spans="3:3" x14ac:dyDescent="0.35">
      <c r="C62629" s="2"/>
    </row>
    <row r="62630" spans="3:3" x14ac:dyDescent="0.35">
      <c r="C62630" s="2"/>
    </row>
    <row r="62631" spans="3:3" x14ac:dyDescent="0.35">
      <c r="C62631" s="2"/>
    </row>
    <row r="62632" spans="3:3" x14ac:dyDescent="0.35">
      <c r="C62632" s="2"/>
    </row>
    <row r="62633" spans="3:3" x14ac:dyDescent="0.35">
      <c r="C62633" s="2"/>
    </row>
    <row r="62634" spans="3:3" x14ac:dyDescent="0.35">
      <c r="C62634" s="2"/>
    </row>
    <row r="62635" spans="3:3" x14ac:dyDescent="0.35">
      <c r="C62635" s="2"/>
    </row>
    <row r="62636" spans="3:3" x14ac:dyDescent="0.35">
      <c r="C62636" s="2"/>
    </row>
    <row r="62637" spans="3:3" x14ac:dyDescent="0.35">
      <c r="C62637" s="2"/>
    </row>
    <row r="62638" spans="3:3" x14ac:dyDescent="0.35">
      <c r="C62638" s="2"/>
    </row>
    <row r="62639" spans="3:3" x14ac:dyDescent="0.35">
      <c r="C62639" s="2"/>
    </row>
    <row r="62640" spans="3:3" x14ac:dyDescent="0.35">
      <c r="C62640" s="2"/>
    </row>
    <row r="62641" spans="3:3" x14ac:dyDescent="0.35">
      <c r="C62641" s="2"/>
    </row>
    <row r="62642" spans="3:3" x14ac:dyDescent="0.35">
      <c r="C62642" s="2"/>
    </row>
    <row r="62643" spans="3:3" x14ac:dyDescent="0.35">
      <c r="C62643" s="2"/>
    </row>
    <row r="62644" spans="3:3" x14ac:dyDescent="0.35">
      <c r="C62644" s="2"/>
    </row>
    <row r="62645" spans="3:3" x14ac:dyDescent="0.35">
      <c r="C62645" s="2"/>
    </row>
    <row r="62646" spans="3:3" x14ac:dyDescent="0.35">
      <c r="C62646" s="2"/>
    </row>
    <row r="62647" spans="3:3" x14ac:dyDescent="0.35">
      <c r="C62647" s="2"/>
    </row>
    <row r="62648" spans="3:3" x14ac:dyDescent="0.35">
      <c r="C62648" s="2"/>
    </row>
    <row r="62649" spans="3:3" x14ac:dyDescent="0.35">
      <c r="C62649" s="2"/>
    </row>
    <row r="62650" spans="3:3" x14ac:dyDescent="0.35">
      <c r="C62650" s="2"/>
    </row>
    <row r="62651" spans="3:3" x14ac:dyDescent="0.35">
      <c r="C62651" s="2"/>
    </row>
    <row r="62652" spans="3:3" x14ac:dyDescent="0.35">
      <c r="C62652" s="2"/>
    </row>
    <row r="62653" spans="3:3" x14ac:dyDescent="0.35">
      <c r="C62653" s="2"/>
    </row>
    <row r="62654" spans="3:3" x14ac:dyDescent="0.35">
      <c r="C62654" s="2"/>
    </row>
    <row r="62655" spans="3:3" x14ac:dyDescent="0.35">
      <c r="C62655" s="2"/>
    </row>
    <row r="62656" spans="3:3" x14ac:dyDescent="0.35">
      <c r="C62656" s="2"/>
    </row>
    <row r="62657" spans="3:3" x14ac:dyDescent="0.35">
      <c r="C62657" s="2"/>
    </row>
    <row r="62658" spans="3:3" x14ac:dyDescent="0.35">
      <c r="C62658" s="2"/>
    </row>
    <row r="62659" spans="3:3" x14ac:dyDescent="0.35">
      <c r="C62659" s="2"/>
    </row>
    <row r="62660" spans="3:3" x14ac:dyDescent="0.35">
      <c r="C62660" s="2"/>
    </row>
    <row r="62661" spans="3:3" x14ac:dyDescent="0.35">
      <c r="C62661" s="2"/>
    </row>
    <row r="62662" spans="3:3" x14ac:dyDescent="0.35">
      <c r="C62662" s="2"/>
    </row>
    <row r="62663" spans="3:3" x14ac:dyDescent="0.35">
      <c r="C62663" s="2"/>
    </row>
    <row r="62664" spans="3:3" x14ac:dyDescent="0.35">
      <c r="C62664" s="2"/>
    </row>
    <row r="62665" spans="3:3" x14ac:dyDescent="0.35">
      <c r="C62665" s="2"/>
    </row>
    <row r="62666" spans="3:3" x14ac:dyDescent="0.35">
      <c r="C62666" s="2"/>
    </row>
    <row r="62667" spans="3:3" x14ac:dyDescent="0.35">
      <c r="C62667" s="2"/>
    </row>
    <row r="62668" spans="3:3" x14ac:dyDescent="0.35">
      <c r="C62668" s="2"/>
    </row>
    <row r="62669" spans="3:3" x14ac:dyDescent="0.35">
      <c r="C62669" s="2"/>
    </row>
    <row r="62670" spans="3:3" x14ac:dyDescent="0.35">
      <c r="C62670" s="2"/>
    </row>
    <row r="62671" spans="3:3" x14ac:dyDescent="0.35">
      <c r="C62671" s="2"/>
    </row>
    <row r="62672" spans="3:3" x14ac:dyDescent="0.35">
      <c r="C62672" s="2"/>
    </row>
    <row r="62673" spans="3:3" x14ac:dyDescent="0.35">
      <c r="C62673" s="2"/>
    </row>
    <row r="62674" spans="3:3" x14ac:dyDescent="0.35">
      <c r="C62674" s="2"/>
    </row>
    <row r="62675" spans="3:3" x14ac:dyDescent="0.35">
      <c r="C62675" s="2"/>
    </row>
    <row r="62676" spans="3:3" x14ac:dyDescent="0.35">
      <c r="C62676" s="2"/>
    </row>
    <row r="62677" spans="3:3" x14ac:dyDescent="0.35">
      <c r="C62677" s="2"/>
    </row>
    <row r="62678" spans="3:3" x14ac:dyDescent="0.35">
      <c r="C62678" s="2"/>
    </row>
    <row r="62679" spans="3:3" x14ac:dyDescent="0.35">
      <c r="C62679" s="2"/>
    </row>
    <row r="62680" spans="3:3" x14ac:dyDescent="0.35">
      <c r="C62680" s="2"/>
    </row>
    <row r="62681" spans="3:3" x14ac:dyDescent="0.35">
      <c r="C62681" s="2"/>
    </row>
    <row r="62682" spans="3:3" x14ac:dyDescent="0.35">
      <c r="C62682" s="2"/>
    </row>
    <row r="62683" spans="3:3" x14ac:dyDescent="0.35">
      <c r="C62683" s="2"/>
    </row>
    <row r="62684" spans="3:3" x14ac:dyDescent="0.35">
      <c r="C62684" s="2"/>
    </row>
    <row r="62685" spans="3:3" x14ac:dyDescent="0.35">
      <c r="C62685" s="2"/>
    </row>
    <row r="62686" spans="3:3" x14ac:dyDescent="0.35">
      <c r="C62686" s="2"/>
    </row>
    <row r="62687" spans="3:3" x14ac:dyDescent="0.35">
      <c r="C62687" s="2"/>
    </row>
    <row r="62688" spans="3:3" x14ac:dyDescent="0.35">
      <c r="C62688" s="2"/>
    </row>
    <row r="62689" spans="3:3" x14ac:dyDescent="0.35">
      <c r="C62689" s="2"/>
    </row>
    <row r="62690" spans="3:3" x14ac:dyDescent="0.35">
      <c r="C62690" s="2"/>
    </row>
    <row r="62691" spans="3:3" x14ac:dyDescent="0.35">
      <c r="C62691" s="2"/>
    </row>
    <row r="62692" spans="3:3" x14ac:dyDescent="0.35">
      <c r="C62692" s="2"/>
    </row>
    <row r="62693" spans="3:3" x14ac:dyDescent="0.35">
      <c r="C62693" s="2"/>
    </row>
    <row r="62694" spans="3:3" x14ac:dyDescent="0.35">
      <c r="C62694" s="2"/>
    </row>
    <row r="62695" spans="3:3" x14ac:dyDescent="0.35">
      <c r="C62695" s="2"/>
    </row>
    <row r="62696" spans="3:3" x14ac:dyDescent="0.35">
      <c r="C62696" s="2"/>
    </row>
    <row r="62697" spans="3:3" x14ac:dyDescent="0.35">
      <c r="C62697" s="2"/>
    </row>
    <row r="62698" spans="3:3" x14ac:dyDescent="0.35">
      <c r="C62698" s="2"/>
    </row>
    <row r="62699" spans="3:3" x14ac:dyDescent="0.35">
      <c r="C62699" s="2"/>
    </row>
    <row r="62700" spans="3:3" x14ac:dyDescent="0.35">
      <c r="C62700" s="2"/>
    </row>
    <row r="62701" spans="3:3" x14ac:dyDescent="0.35">
      <c r="C62701" s="2"/>
    </row>
    <row r="62702" spans="3:3" x14ac:dyDescent="0.35">
      <c r="C62702" s="2"/>
    </row>
    <row r="62703" spans="3:3" x14ac:dyDescent="0.35">
      <c r="C62703" s="2"/>
    </row>
    <row r="62704" spans="3:3" x14ac:dyDescent="0.35">
      <c r="C62704" s="2"/>
    </row>
    <row r="62705" spans="3:3" x14ac:dyDescent="0.35">
      <c r="C62705" s="2"/>
    </row>
    <row r="62706" spans="3:3" x14ac:dyDescent="0.35">
      <c r="C62706" s="2"/>
    </row>
    <row r="62707" spans="3:3" x14ac:dyDescent="0.35">
      <c r="C62707" s="2"/>
    </row>
    <row r="62708" spans="3:3" x14ac:dyDescent="0.35">
      <c r="C62708" s="2"/>
    </row>
    <row r="62709" spans="3:3" x14ac:dyDescent="0.35">
      <c r="C62709" s="2"/>
    </row>
    <row r="62710" spans="3:3" x14ac:dyDescent="0.35">
      <c r="C62710" s="2"/>
    </row>
    <row r="62711" spans="3:3" x14ac:dyDescent="0.35">
      <c r="C62711" s="2"/>
    </row>
    <row r="62712" spans="3:3" x14ac:dyDescent="0.35">
      <c r="C62712" s="2"/>
    </row>
    <row r="62713" spans="3:3" x14ac:dyDescent="0.35">
      <c r="C62713" s="2"/>
    </row>
    <row r="62714" spans="3:3" x14ac:dyDescent="0.35">
      <c r="C62714" s="2"/>
    </row>
    <row r="62715" spans="3:3" x14ac:dyDescent="0.35">
      <c r="C62715" s="2"/>
    </row>
    <row r="62716" spans="3:3" x14ac:dyDescent="0.35">
      <c r="C62716" s="2"/>
    </row>
    <row r="62717" spans="3:3" x14ac:dyDescent="0.35">
      <c r="C62717" s="2"/>
    </row>
    <row r="62718" spans="3:3" x14ac:dyDescent="0.35">
      <c r="C62718" s="2"/>
    </row>
    <row r="62719" spans="3:3" x14ac:dyDescent="0.35">
      <c r="C62719" s="2"/>
    </row>
    <row r="62720" spans="3:3" x14ac:dyDescent="0.35">
      <c r="C62720" s="2"/>
    </row>
    <row r="62721" spans="3:3" x14ac:dyDescent="0.35">
      <c r="C62721" s="2"/>
    </row>
    <row r="62722" spans="3:3" x14ac:dyDescent="0.35">
      <c r="C62722" s="2"/>
    </row>
    <row r="62723" spans="3:3" x14ac:dyDescent="0.35">
      <c r="C62723" s="2"/>
    </row>
    <row r="62724" spans="3:3" x14ac:dyDescent="0.35">
      <c r="C62724" s="2"/>
    </row>
    <row r="62725" spans="3:3" x14ac:dyDescent="0.35">
      <c r="C62725" s="2"/>
    </row>
    <row r="62726" spans="3:3" x14ac:dyDescent="0.35">
      <c r="C62726" s="2"/>
    </row>
    <row r="62727" spans="3:3" x14ac:dyDescent="0.35">
      <c r="C62727" s="2"/>
    </row>
    <row r="62728" spans="3:3" x14ac:dyDescent="0.35">
      <c r="C62728" s="2"/>
    </row>
    <row r="62729" spans="3:3" x14ac:dyDescent="0.35">
      <c r="C62729" s="2"/>
    </row>
    <row r="62730" spans="3:3" x14ac:dyDescent="0.35">
      <c r="C62730" s="2"/>
    </row>
    <row r="62731" spans="3:3" x14ac:dyDescent="0.35">
      <c r="C62731" s="2"/>
    </row>
    <row r="62732" spans="3:3" x14ac:dyDescent="0.35">
      <c r="C62732" s="2"/>
    </row>
    <row r="62733" spans="3:3" x14ac:dyDescent="0.35">
      <c r="C62733" s="2"/>
    </row>
    <row r="62734" spans="3:3" x14ac:dyDescent="0.35">
      <c r="C62734" s="2"/>
    </row>
    <row r="62735" spans="3:3" x14ac:dyDescent="0.35">
      <c r="C62735" s="2"/>
    </row>
    <row r="62736" spans="3:3" x14ac:dyDescent="0.35">
      <c r="C62736" s="2"/>
    </row>
    <row r="62737" spans="3:3" x14ac:dyDescent="0.35">
      <c r="C62737" s="2"/>
    </row>
    <row r="62738" spans="3:3" x14ac:dyDescent="0.35">
      <c r="C62738" s="2"/>
    </row>
    <row r="62739" spans="3:3" x14ac:dyDescent="0.35">
      <c r="C62739" s="2"/>
    </row>
    <row r="62740" spans="3:3" x14ac:dyDescent="0.35">
      <c r="C62740" s="2"/>
    </row>
    <row r="62741" spans="3:3" x14ac:dyDescent="0.35">
      <c r="C62741" s="2"/>
    </row>
    <row r="62742" spans="3:3" x14ac:dyDescent="0.35">
      <c r="C62742" s="2"/>
    </row>
    <row r="62743" spans="3:3" x14ac:dyDescent="0.35">
      <c r="C62743" s="2"/>
    </row>
    <row r="62744" spans="3:3" x14ac:dyDescent="0.35">
      <c r="C62744" s="2"/>
    </row>
    <row r="62745" spans="3:3" x14ac:dyDescent="0.35">
      <c r="C62745" s="2"/>
    </row>
    <row r="62746" spans="3:3" x14ac:dyDescent="0.35">
      <c r="C62746" s="2"/>
    </row>
    <row r="62747" spans="3:3" x14ac:dyDescent="0.35">
      <c r="C62747" s="2"/>
    </row>
    <row r="62748" spans="3:3" x14ac:dyDescent="0.35">
      <c r="C62748" s="2"/>
    </row>
    <row r="62749" spans="3:3" x14ac:dyDescent="0.35">
      <c r="C62749" s="2"/>
    </row>
    <row r="62750" spans="3:3" x14ac:dyDescent="0.35">
      <c r="C62750" s="2"/>
    </row>
    <row r="62751" spans="3:3" x14ac:dyDescent="0.35">
      <c r="C62751" s="2"/>
    </row>
    <row r="62752" spans="3:3" x14ac:dyDescent="0.35">
      <c r="C62752" s="2"/>
    </row>
    <row r="62753" spans="3:3" x14ac:dyDescent="0.35">
      <c r="C62753" s="2"/>
    </row>
    <row r="62754" spans="3:3" x14ac:dyDescent="0.35">
      <c r="C62754" s="2"/>
    </row>
    <row r="62755" spans="3:3" x14ac:dyDescent="0.35">
      <c r="C62755" s="2"/>
    </row>
    <row r="62756" spans="3:3" x14ac:dyDescent="0.35">
      <c r="C62756" s="2"/>
    </row>
    <row r="62757" spans="3:3" x14ac:dyDescent="0.35">
      <c r="C62757" s="2"/>
    </row>
    <row r="62758" spans="3:3" x14ac:dyDescent="0.35">
      <c r="C62758" s="2"/>
    </row>
    <row r="62759" spans="3:3" x14ac:dyDescent="0.35">
      <c r="C62759" s="2"/>
    </row>
    <row r="62760" spans="3:3" x14ac:dyDescent="0.35">
      <c r="C62760" s="2"/>
    </row>
    <row r="62761" spans="3:3" x14ac:dyDescent="0.35">
      <c r="C62761" s="2"/>
    </row>
    <row r="62762" spans="3:3" x14ac:dyDescent="0.35">
      <c r="C62762" s="2"/>
    </row>
    <row r="62763" spans="3:3" x14ac:dyDescent="0.35">
      <c r="C62763" s="2"/>
    </row>
    <row r="62764" spans="3:3" x14ac:dyDescent="0.35">
      <c r="C62764" s="2"/>
    </row>
    <row r="62765" spans="3:3" x14ac:dyDescent="0.35">
      <c r="C62765" s="2"/>
    </row>
    <row r="62766" spans="3:3" x14ac:dyDescent="0.35">
      <c r="C62766" s="2"/>
    </row>
    <row r="62767" spans="3:3" x14ac:dyDescent="0.35">
      <c r="C62767" s="2"/>
    </row>
    <row r="62768" spans="3:3" x14ac:dyDescent="0.35">
      <c r="C62768" s="2"/>
    </row>
    <row r="62769" spans="3:3" x14ac:dyDescent="0.35">
      <c r="C62769" s="2"/>
    </row>
    <row r="62770" spans="3:3" x14ac:dyDescent="0.35">
      <c r="C62770" s="2"/>
    </row>
    <row r="62771" spans="3:3" x14ac:dyDescent="0.35">
      <c r="C62771" s="2"/>
    </row>
    <row r="62772" spans="3:3" x14ac:dyDescent="0.35">
      <c r="C62772" s="2"/>
    </row>
    <row r="62773" spans="3:3" x14ac:dyDescent="0.35">
      <c r="C62773" s="2"/>
    </row>
    <row r="62774" spans="3:3" x14ac:dyDescent="0.35">
      <c r="C62774" s="2"/>
    </row>
    <row r="62775" spans="3:3" x14ac:dyDescent="0.35">
      <c r="C62775" s="2"/>
    </row>
    <row r="62776" spans="3:3" x14ac:dyDescent="0.35">
      <c r="C62776" s="2"/>
    </row>
    <row r="62777" spans="3:3" x14ac:dyDescent="0.35">
      <c r="C62777" s="2"/>
    </row>
    <row r="62778" spans="3:3" x14ac:dyDescent="0.35">
      <c r="C62778" s="2"/>
    </row>
    <row r="62779" spans="3:3" x14ac:dyDescent="0.35">
      <c r="C62779" s="2"/>
    </row>
    <row r="62780" spans="3:3" x14ac:dyDescent="0.35">
      <c r="C62780" s="2"/>
    </row>
    <row r="62781" spans="3:3" x14ac:dyDescent="0.35">
      <c r="C62781" s="2"/>
    </row>
    <row r="62782" spans="3:3" x14ac:dyDescent="0.35">
      <c r="C62782" s="2"/>
    </row>
    <row r="62783" spans="3:3" x14ac:dyDescent="0.35">
      <c r="C62783" s="2"/>
    </row>
    <row r="62784" spans="3:3" x14ac:dyDescent="0.35">
      <c r="C62784" s="2"/>
    </row>
    <row r="62785" spans="3:3" x14ac:dyDescent="0.35">
      <c r="C62785" s="2"/>
    </row>
    <row r="62786" spans="3:3" x14ac:dyDescent="0.35">
      <c r="C62786" s="2"/>
    </row>
    <row r="62787" spans="3:3" x14ac:dyDescent="0.35">
      <c r="C62787" s="2"/>
    </row>
    <row r="62788" spans="3:3" x14ac:dyDescent="0.35">
      <c r="C62788" s="2"/>
    </row>
    <row r="62789" spans="3:3" x14ac:dyDescent="0.35">
      <c r="C62789" s="2"/>
    </row>
    <row r="62790" spans="3:3" x14ac:dyDescent="0.35">
      <c r="C62790" s="2"/>
    </row>
    <row r="62791" spans="3:3" x14ac:dyDescent="0.35">
      <c r="C62791" s="2"/>
    </row>
    <row r="62792" spans="3:3" x14ac:dyDescent="0.35">
      <c r="C62792" s="2"/>
    </row>
    <row r="62793" spans="3:3" x14ac:dyDescent="0.35">
      <c r="C62793" s="2"/>
    </row>
    <row r="62794" spans="3:3" x14ac:dyDescent="0.35">
      <c r="C62794" s="2"/>
    </row>
    <row r="62795" spans="3:3" x14ac:dyDescent="0.35">
      <c r="C62795" s="2"/>
    </row>
    <row r="62796" spans="3:3" x14ac:dyDescent="0.35">
      <c r="C62796" s="2"/>
    </row>
    <row r="62797" spans="3:3" x14ac:dyDescent="0.35">
      <c r="C62797" s="2"/>
    </row>
    <row r="62798" spans="3:3" x14ac:dyDescent="0.35">
      <c r="C62798" s="2"/>
    </row>
    <row r="62799" spans="3:3" x14ac:dyDescent="0.35">
      <c r="C62799" s="2"/>
    </row>
    <row r="62800" spans="3:3" x14ac:dyDescent="0.35">
      <c r="C62800" s="2"/>
    </row>
    <row r="62801" spans="3:3" x14ac:dyDescent="0.35">
      <c r="C62801" s="2"/>
    </row>
    <row r="62802" spans="3:3" x14ac:dyDescent="0.35">
      <c r="C62802" s="2"/>
    </row>
    <row r="62803" spans="3:3" x14ac:dyDescent="0.35">
      <c r="C62803" s="2"/>
    </row>
    <row r="62804" spans="3:3" x14ac:dyDescent="0.35">
      <c r="C62804" s="2"/>
    </row>
    <row r="62805" spans="3:3" x14ac:dyDescent="0.35">
      <c r="C62805" s="2"/>
    </row>
    <row r="62806" spans="3:3" x14ac:dyDescent="0.35">
      <c r="C62806" s="2"/>
    </row>
    <row r="62807" spans="3:3" x14ac:dyDescent="0.35">
      <c r="C62807" s="2"/>
    </row>
    <row r="62808" spans="3:3" x14ac:dyDescent="0.35">
      <c r="C62808" s="2"/>
    </row>
    <row r="62809" spans="3:3" x14ac:dyDescent="0.35">
      <c r="C62809" s="2"/>
    </row>
    <row r="62810" spans="3:3" x14ac:dyDescent="0.35">
      <c r="C62810" s="2"/>
    </row>
    <row r="62811" spans="3:3" x14ac:dyDescent="0.35">
      <c r="C62811" s="2"/>
    </row>
    <row r="62812" spans="3:3" x14ac:dyDescent="0.35">
      <c r="C62812" s="2"/>
    </row>
    <row r="62813" spans="3:3" x14ac:dyDescent="0.35">
      <c r="C62813" s="2"/>
    </row>
    <row r="62814" spans="3:3" x14ac:dyDescent="0.35">
      <c r="C62814" s="2"/>
    </row>
    <row r="62815" spans="3:3" x14ac:dyDescent="0.35">
      <c r="C62815" s="2"/>
    </row>
    <row r="62816" spans="3:3" x14ac:dyDescent="0.35">
      <c r="C62816" s="2"/>
    </row>
    <row r="62817" spans="3:3" x14ac:dyDescent="0.35">
      <c r="C62817" s="2"/>
    </row>
    <row r="62818" spans="3:3" x14ac:dyDescent="0.35">
      <c r="C62818" s="2"/>
    </row>
    <row r="62819" spans="3:3" x14ac:dyDescent="0.35">
      <c r="C62819" s="2"/>
    </row>
    <row r="62820" spans="3:3" x14ac:dyDescent="0.35">
      <c r="C62820" s="2"/>
    </row>
    <row r="62821" spans="3:3" x14ac:dyDescent="0.35">
      <c r="C62821" s="2"/>
    </row>
    <row r="62822" spans="3:3" x14ac:dyDescent="0.35">
      <c r="C62822" s="2"/>
    </row>
    <row r="62823" spans="3:3" x14ac:dyDescent="0.35">
      <c r="C62823" s="2"/>
    </row>
    <row r="62824" spans="3:3" x14ac:dyDescent="0.35">
      <c r="C62824" s="2"/>
    </row>
    <row r="62825" spans="3:3" x14ac:dyDescent="0.35">
      <c r="C62825" s="2"/>
    </row>
    <row r="62826" spans="3:3" x14ac:dyDescent="0.35">
      <c r="C62826" s="2"/>
    </row>
    <row r="62827" spans="3:3" x14ac:dyDescent="0.35">
      <c r="C62827" s="2"/>
    </row>
    <row r="62828" spans="3:3" x14ac:dyDescent="0.35">
      <c r="C62828" s="2"/>
    </row>
    <row r="62829" spans="3:3" x14ac:dyDescent="0.35">
      <c r="C62829" s="2"/>
    </row>
    <row r="62830" spans="3:3" x14ac:dyDescent="0.35">
      <c r="C62830" s="2"/>
    </row>
    <row r="62831" spans="3:3" x14ac:dyDescent="0.35">
      <c r="C62831" s="2"/>
    </row>
    <row r="62832" spans="3:3" x14ac:dyDescent="0.35">
      <c r="C62832" s="2"/>
    </row>
    <row r="62833" spans="3:3" x14ac:dyDescent="0.35">
      <c r="C62833" s="2"/>
    </row>
    <row r="62834" spans="3:3" x14ac:dyDescent="0.35">
      <c r="C62834" s="2"/>
    </row>
    <row r="62835" spans="3:3" x14ac:dyDescent="0.35">
      <c r="C62835" s="2"/>
    </row>
    <row r="62836" spans="3:3" x14ac:dyDescent="0.35">
      <c r="C62836" s="2"/>
    </row>
    <row r="62837" spans="3:3" x14ac:dyDescent="0.35">
      <c r="C62837" s="2"/>
    </row>
    <row r="62838" spans="3:3" x14ac:dyDescent="0.35">
      <c r="C62838" s="2"/>
    </row>
    <row r="62839" spans="3:3" x14ac:dyDescent="0.35">
      <c r="C62839" s="2"/>
    </row>
    <row r="62840" spans="3:3" x14ac:dyDescent="0.35">
      <c r="C62840" s="2"/>
    </row>
    <row r="62841" spans="3:3" x14ac:dyDescent="0.35">
      <c r="C62841" s="2"/>
    </row>
    <row r="62842" spans="3:3" x14ac:dyDescent="0.35">
      <c r="C62842" s="2"/>
    </row>
    <row r="62843" spans="3:3" x14ac:dyDescent="0.35">
      <c r="C62843" s="2"/>
    </row>
    <row r="62844" spans="3:3" x14ac:dyDescent="0.35">
      <c r="C62844" s="2"/>
    </row>
    <row r="62845" spans="3:3" x14ac:dyDescent="0.35">
      <c r="C62845" s="2"/>
    </row>
    <row r="62846" spans="3:3" x14ac:dyDescent="0.35">
      <c r="C62846" s="2"/>
    </row>
    <row r="62847" spans="3:3" x14ac:dyDescent="0.35">
      <c r="C62847" s="2"/>
    </row>
    <row r="62848" spans="3:3" x14ac:dyDescent="0.35">
      <c r="C62848" s="2"/>
    </row>
    <row r="62849" spans="3:3" x14ac:dyDescent="0.35">
      <c r="C62849" s="2"/>
    </row>
    <row r="62850" spans="3:3" x14ac:dyDescent="0.35">
      <c r="C62850" s="2"/>
    </row>
    <row r="62851" spans="3:3" x14ac:dyDescent="0.35">
      <c r="C62851" s="2"/>
    </row>
    <row r="62852" spans="3:3" x14ac:dyDescent="0.35">
      <c r="C62852" s="2"/>
    </row>
    <row r="62853" spans="3:3" x14ac:dyDescent="0.35">
      <c r="C62853" s="2"/>
    </row>
    <row r="62854" spans="3:3" x14ac:dyDescent="0.35">
      <c r="C62854" s="2"/>
    </row>
    <row r="62855" spans="3:3" x14ac:dyDescent="0.35">
      <c r="C62855" s="2"/>
    </row>
    <row r="62856" spans="3:3" x14ac:dyDescent="0.35">
      <c r="C62856" s="2"/>
    </row>
    <row r="62857" spans="3:3" x14ac:dyDescent="0.35">
      <c r="C62857" s="2"/>
    </row>
    <row r="62858" spans="3:3" x14ac:dyDescent="0.35">
      <c r="C62858" s="2"/>
    </row>
    <row r="62859" spans="3:3" x14ac:dyDescent="0.35">
      <c r="C62859" s="2"/>
    </row>
    <row r="62860" spans="3:3" x14ac:dyDescent="0.35">
      <c r="C62860" s="2"/>
    </row>
    <row r="62861" spans="3:3" x14ac:dyDescent="0.35">
      <c r="C62861" s="2"/>
    </row>
    <row r="62862" spans="3:3" x14ac:dyDescent="0.35">
      <c r="C62862" s="2"/>
    </row>
    <row r="62863" spans="3:3" x14ac:dyDescent="0.35">
      <c r="C62863" s="2"/>
    </row>
    <row r="62864" spans="3:3" x14ac:dyDescent="0.35">
      <c r="C62864" s="2"/>
    </row>
    <row r="62865" spans="3:3" x14ac:dyDescent="0.35">
      <c r="C62865" s="2"/>
    </row>
    <row r="62866" spans="3:3" x14ac:dyDescent="0.35">
      <c r="C62866" s="2"/>
    </row>
    <row r="62867" spans="3:3" x14ac:dyDescent="0.35">
      <c r="C62867" s="2"/>
    </row>
    <row r="62868" spans="3:3" x14ac:dyDescent="0.35">
      <c r="C62868" s="2"/>
    </row>
    <row r="62869" spans="3:3" x14ac:dyDescent="0.35">
      <c r="C62869" s="2"/>
    </row>
    <row r="62870" spans="3:3" x14ac:dyDescent="0.35">
      <c r="C62870" s="2"/>
    </row>
    <row r="62871" spans="3:3" x14ac:dyDescent="0.35">
      <c r="C62871" s="2"/>
    </row>
    <row r="62872" spans="3:3" x14ac:dyDescent="0.35">
      <c r="C62872" s="2"/>
    </row>
    <row r="62873" spans="3:3" x14ac:dyDescent="0.35">
      <c r="C62873" s="2"/>
    </row>
    <row r="62874" spans="3:3" x14ac:dyDescent="0.35">
      <c r="C62874" s="2"/>
    </row>
    <row r="62875" spans="3:3" x14ac:dyDescent="0.35">
      <c r="C62875" s="2"/>
    </row>
    <row r="62876" spans="3:3" x14ac:dyDescent="0.35">
      <c r="C62876" s="2"/>
    </row>
    <row r="62877" spans="3:3" x14ac:dyDescent="0.35">
      <c r="C62877" s="2"/>
    </row>
    <row r="62878" spans="3:3" x14ac:dyDescent="0.35">
      <c r="C62878" s="2"/>
    </row>
    <row r="62879" spans="3:3" x14ac:dyDescent="0.35">
      <c r="C62879" s="2"/>
    </row>
    <row r="62880" spans="3:3" x14ac:dyDescent="0.35">
      <c r="C62880" s="2"/>
    </row>
    <row r="62881" spans="3:3" x14ac:dyDescent="0.35">
      <c r="C62881" s="2"/>
    </row>
    <row r="62882" spans="3:3" x14ac:dyDescent="0.35">
      <c r="C62882" s="2"/>
    </row>
    <row r="62883" spans="3:3" x14ac:dyDescent="0.35">
      <c r="C62883" s="2"/>
    </row>
    <row r="62884" spans="3:3" x14ac:dyDescent="0.35">
      <c r="C62884" s="2"/>
    </row>
    <row r="62885" spans="3:3" x14ac:dyDescent="0.35">
      <c r="C62885" s="2"/>
    </row>
    <row r="62886" spans="3:3" x14ac:dyDescent="0.35">
      <c r="C62886" s="2"/>
    </row>
    <row r="62887" spans="3:3" x14ac:dyDescent="0.35">
      <c r="C62887" s="2"/>
    </row>
    <row r="62888" spans="3:3" x14ac:dyDescent="0.35">
      <c r="C62888" s="2"/>
    </row>
    <row r="62889" spans="3:3" x14ac:dyDescent="0.35">
      <c r="C62889" s="2"/>
    </row>
    <row r="62890" spans="3:3" x14ac:dyDescent="0.35">
      <c r="C62890" s="2"/>
    </row>
    <row r="62891" spans="3:3" x14ac:dyDescent="0.35">
      <c r="C62891" s="2"/>
    </row>
    <row r="62892" spans="3:3" x14ac:dyDescent="0.35">
      <c r="C62892" s="2"/>
    </row>
    <row r="62893" spans="3:3" x14ac:dyDescent="0.35">
      <c r="C62893" s="2"/>
    </row>
    <row r="62894" spans="3:3" x14ac:dyDescent="0.35">
      <c r="C62894" s="2"/>
    </row>
    <row r="62895" spans="3:3" x14ac:dyDescent="0.35">
      <c r="C62895" s="2"/>
    </row>
    <row r="62896" spans="3:3" x14ac:dyDescent="0.35">
      <c r="C62896" s="2"/>
    </row>
    <row r="62897" spans="3:3" x14ac:dyDescent="0.35">
      <c r="C62897" s="2"/>
    </row>
    <row r="62898" spans="3:3" x14ac:dyDescent="0.35">
      <c r="C62898" s="2"/>
    </row>
    <row r="62899" spans="3:3" x14ac:dyDescent="0.35">
      <c r="C62899" s="2"/>
    </row>
    <row r="62900" spans="3:3" x14ac:dyDescent="0.35">
      <c r="C62900" s="2"/>
    </row>
    <row r="62901" spans="3:3" x14ac:dyDescent="0.35">
      <c r="C62901" s="2"/>
    </row>
    <row r="62902" spans="3:3" x14ac:dyDescent="0.35">
      <c r="C62902" s="2"/>
    </row>
    <row r="62903" spans="3:3" x14ac:dyDescent="0.35">
      <c r="C62903" s="2"/>
    </row>
    <row r="62904" spans="3:3" x14ac:dyDescent="0.35">
      <c r="C62904" s="2"/>
    </row>
    <row r="62905" spans="3:3" x14ac:dyDescent="0.35">
      <c r="C62905" s="2"/>
    </row>
    <row r="62906" spans="3:3" x14ac:dyDescent="0.35">
      <c r="C62906" s="2"/>
    </row>
    <row r="62907" spans="3:3" x14ac:dyDescent="0.35">
      <c r="C62907" s="2"/>
    </row>
    <row r="62908" spans="3:3" x14ac:dyDescent="0.35">
      <c r="C62908" s="2"/>
    </row>
    <row r="62909" spans="3:3" x14ac:dyDescent="0.35">
      <c r="C62909" s="2"/>
    </row>
    <row r="62910" spans="3:3" x14ac:dyDescent="0.35">
      <c r="C62910" s="2"/>
    </row>
    <row r="62911" spans="3:3" x14ac:dyDescent="0.35">
      <c r="C62911" s="2"/>
    </row>
    <row r="62912" spans="3:3" x14ac:dyDescent="0.35">
      <c r="C62912" s="2"/>
    </row>
    <row r="62913" spans="3:3" x14ac:dyDescent="0.35">
      <c r="C62913" s="2"/>
    </row>
    <row r="62914" spans="3:3" x14ac:dyDescent="0.35">
      <c r="C62914" s="2"/>
    </row>
    <row r="62915" spans="3:3" x14ac:dyDescent="0.35">
      <c r="C62915" s="2"/>
    </row>
    <row r="62916" spans="3:3" x14ac:dyDescent="0.35">
      <c r="C62916" s="2"/>
    </row>
    <row r="62917" spans="3:3" x14ac:dyDescent="0.35">
      <c r="C62917" s="2"/>
    </row>
    <row r="62918" spans="3:3" x14ac:dyDescent="0.35">
      <c r="C62918" s="2"/>
    </row>
    <row r="62919" spans="3:3" x14ac:dyDescent="0.35">
      <c r="C62919" s="2"/>
    </row>
    <row r="62920" spans="3:3" x14ac:dyDescent="0.35">
      <c r="C62920" s="2"/>
    </row>
    <row r="62921" spans="3:3" x14ac:dyDescent="0.35">
      <c r="C62921" s="2"/>
    </row>
    <row r="62922" spans="3:3" x14ac:dyDescent="0.35">
      <c r="C62922" s="2"/>
    </row>
    <row r="62923" spans="3:3" x14ac:dyDescent="0.35">
      <c r="C62923" s="2"/>
    </row>
    <row r="62924" spans="3:3" x14ac:dyDescent="0.35">
      <c r="C62924" s="2"/>
    </row>
    <row r="62925" spans="3:3" x14ac:dyDescent="0.35">
      <c r="C62925" s="2"/>
    </row>
    <row r="62926" spans="3:3" x14ac:dyDescent="0.35">
      <c r="C62926" s="2"/>
    </row>
    <row r="62927" spans="3:3" x14ac:dyDescent="0.35">
      <c r="C62927" s="2"/>
    </row>
    <row r="62928" spans="3:3" x14ac:dyDescent="0.35">
      <c r="C62928" s="2"/>
    </row>
    <row r="62929" spans="3:3" x14ac:dyDescent="0.35">
      <c r="C62929" s="2"/>
    </row>
    <row r="62930" spans="3:3" x14ac:dyDescent="0.35">
      <c r="C62930" s="2"/>
    </row>
    <row r="62931" spans="3:3" x14ac:dyDescent="0.35">
      <c r="C62931" s="2"/>
    </row>
    <row r="62932" spans="3:3" x14ac:dyDescent="0.35">
      <c r="C62932" s="2"/>
    </row>
    <row r="62933" spans="3:3" x14ac:dyDescent="0.35">
      <c r="C62933" s="2"/>
    </row>
    <row r="62934" spans="3:3" x14ac:dyDescent="0.35">
      <c r="C62934" s="2"/>
    </row>
    <row r="62935" spans="3:3" x14ac:dyDescent="0.35">
      <c r="C62935" s="2"/>
    </row>
    <row r="62936" spans="3:3" x14ac:dyDescent="0.35">
      <c r="C62936" s="2"/>
    </row>
    <row r="62937" spans="3:3" x14ac:dyDescent="0.35">
      <c r="C62937" s="2"/>
    </row>
    <row r="62938" spans="3:3" x14ac:dyDescent="0.35">
      <c r="C62938" s="2"/>
    </row>
    <row r="62939" spans="3:3" x14ac:dyDescent="0.35">
      <c r="C62939" s="2"/>
    </row>
    <row r="62940" spans="3:3" x14ac:dyDescent="0.35">
      <c r="C62940" s="2"/>
    </row>
    <row r="62941" spans="3:3" x14ac:dyDescent="0.35">
      <c r="C62941" s="2"/>
    </row>
    <row r="62942" spans="3:3" x14ac:dyDescent="0.35">
      <c r="C62942" s="2"/>
    </row>
    <row r="62943" spans="3:3" x14ac:dyDescent="0.35">
      <c r="C62943" s="2"/>
    </row>
    <row r="62944" spans="3:3" x14ac:dyDescent="0.35">
      <c r="C62944" s="2"/>
    </row>
    <row r="62945" spans="3:3" x14ac:dyDescent="0.35">
      <c r="C62945" s="2"/>
    </row>
    <row r="62946" spans="3:3" x14ac:dyDescent="0.35">
      <c r="C62946" s="2"/>
    </row>
    <row r="62947" spans="3:3" x14ac:dyDescent="0.35">
      <c r="C62947" s="2"/>
    </row>
    <row r="62948" spans="3:3" x14ac:dyDescent="0.35">
      <c r="C62948" s="2"/>
    </row>
    <row r="62949" spans="3:3" x14ac:dyDescent="0.35">
      <c r="C62949" s="2"/>
    </row>
    <row r="62950" spans="3:3" x14ac:dyDescent="0.35">
      <c r="C62950" s="2"/>
    </row>
    <row r="62951" spans="3:3" x14ac:dyDescent="0.35">
      <c r="C62951" s="2"/>
    </row>
    <row r="62952" spans="3:3" x14ac:dyDescent="0.35">
      <c r="C62952" s="2"/>
    </row>
    <row r="62953" spans="3:3" x14ac:dyDescent="0.35">
      <c r="C62953" s="2"/>
    </row>
    <row r="62954" spans="3:3" x14ac:dyDescent="0.35">
      <c r="C62954" s="2"/>
    </row>
    <row r="62955" spans="3:3" x14ac:dyDescent="0.35">
      <c r="C62955" s="2"/>
    </row>
    <row r="62956" spans="3:3" x14ac:dyDescent="0.35">
      <c r="C62956" s="2"/>
    </row>
    <row r="62957" spans="3:3" x14ac:dyDescent="0.35">
      <c r="C62957" s="2"/>
    </row>
    <row r="62958" spans="3:3" x14ac:dyDescent="0.35">
      <c r="C62958" s="2"/>
    </row>
    <row r="62959" spans="3:3" x14ac:dyDescent="0.35">
      <c r="C62959" s="2"/>
    </row>
    <row r="62960" spans="3:3" x14ac:dyDescent="0.35">
      <c r="C62960" s="2"/>
    </row>
    <row r="62961" spans="3:3" x14ac:dyDescent="0.35">
      <c r="C62961" s="2"/>
    </row>
    <row r="62962" spans="3:3" x14ac:dyDescent="0.35">
      <c r="C62962" s="2"/>
    </row>
    <row r="62963" spans="3:3" x14ac:dyDescent="0.35">
      <c r="C62963" s="2"/>
    </row>
    <row r="62964" spans="3:3" x14ac:dyDescent="0.35">
      <c r="C62964" s="2"/>
    </row>
    <row r="62965" spans="3:3" x14ac:dyDescent="0.35">
      <c r="C62965" s="2"/>
    </row>
    <row r="62966" spans="3:3" x14ac:dyDescent="0.35">
      <c r="C62966" s="2"/>
    </row>
    <row r="62967" spans="3:3" x14ac:dyDescent="0.35">
      <c r="C62967" s="2"/>
    </row>
    <row r="62968" spans="3:3" x14ac:dyDescent="0.35">
      <c r="C62968" s="2"/>
    </row>
    <row r="62969" spans="3:3" x14ac:dyDescent="0.35">
      <c r="C62969" s="2"/>
    </row>
    <row r="62970" spans="3:3" x14ac:dyDescent="0.35">
      <c r="C62970" s="2"/>
    </row>
    <row r="62971" spans="3:3" x14ac:dyDescent="0.35">
      <c r="C62971" s="2"/>
    </row>
    <row r="62972" spans="3:3" x14ac:dyDescent="0.35">
      <c r="C62972" s="2"/>
    </row>
    <row r="62973" spans="3:3" x14ac:dyDescent="0.35">
      <c r="C62973" s="2"/>
    </row>
    <row r="62974" spans="3:3" x14ac:dyDescent="0.35">
      <c r="C62974" s="2"/>
    </row>
    <row r="62975" spans="3:3" x14ac:dyDescent="0.35">
      <c r="C62975" s="2"/>
    </row>
    <row r="62976" spans="3:3" x14ac:dyDescent="0.35">
      <c r="C62976" s="2"/>
    </row>
    <row r="62977" spans="3:3" x14ac:dyDescent="0.35">
      <c r="C62977" s="2"/>
    </row>
    <row r="62978" spans="3:3" x14ac:dyDescent="0.35">
      <c r="C62978" s="2"/>
    </row>
    <row r="62979" spans="3:3" x14ac:dyDescent="0.35">
      <c r="C62979" s="2"/>
    </row>
    <row r="62980" spans="3:3" x14ac:dyDescent="0.35">
      <c r="C62980" s="2"/>
    </row>
    <row r="62981" spans="3:3" x14ac:dyDescent="0.35">
      <c r="C62981" s="2"/>
    </row>
    <row r="62982" spans="3:3" x14ac:dyDescent="0.35">
      <c r="C62982" s="2"/>
    </row>
    <row r="62983" spans="3:3" x14ac:dyDescent="0.35">
      <c r="C62983" s="2"/>
    </row>
    <row r="62984" spans="3:3" x14ac:dyDescent="0.35">
      <c r="C62984" s="2"/>
    </row>
    <row r="62985" spans="3:3" x14ac:dyDescent="0.35">
      <c r="C62985" s="2"/>
    </row>
    <row r="62986" spans="3:3" x14ac:dyDescent="0.35">
      <c r="C62986" s="2"/>
    </row>
    <row r="62987" spans="3:3" x14ac:dyDescent="0.35">
      <c r="C62987" s="2"/>
    </row>
    <row r="62988" spans="3:3" x14ac:dyDescent="0.35">
      <c r="C62988" s="2"/>
    </row>
    <row r="62989" spans="3:3" x14ac:dyDescent="0.35">
      <c r="C62989" s="2"/>
    </row>
    <row r="62990" spans="3:3" x14ac:dyDescent="0.35">
      <c r="C62990" s="2"/>
    </row>
    <row r="62991" spans="3:3" x14ac:dyDescent="0.35">
      <c r="C62991" s="2"/>
    </row>
    <row r="62992" spans="3:3" x14ac:dyDescent="0.35">
      <c r="C62992" s="2"/>
    </row>
    <row r="62993" spans="3:3" x14ac:dyDescent="0.35">
      <c r="C62993" s="2"/>
    </row>
    <row r="62994" spans="3:3" x14ac:dyDescent="0.35">
      <c r="C62994" s="2"/>
    </row>
    <row r="62995" spans="3:3" x14ac:dyDescent="0.35">
      <c r="C62995" s="2"/>
    </row>
    <row r="62996" spans="3:3" x14ac:dyDescent="0.35">
      <c r="C62996" s="2"/>
    </row>
    <row r="62997" spans="3:3" x14ac:dyDescent="0.35">
      <c r="C62997" s="2"/>
    </row>
    <row r="62998" spans="3:3" x14ac:dyDescent="0.35">
      <c r="C62998" s="2"/>
    </row>
    <row r="62999" spans="3:3" x14ac:dyDescent="0.35">
      <c r="C62999" s="2"/>
    </row>
    <row r="63000" spans="3:3" x14ac:dyDescent="0.35">
      <c r="C63000" s="2"/>
    </row>
    <row r="63001" spans="3:3" x14ac:dyDescent="0.35">
      <c r="C63001" s="2"/>
    </row>
    <row r="63002" spans="3:3" x14ac:dyDescent="0.35">
      <c r="C63002" s="2"/>
    </row>
    <row r="63003" spans="3:3" x14ac:dyDescent="0.35">
      <c r="C63003" s="2"/>
    </row>
    <row r="63004" spans="3:3" x14ac:dyDescent="0.35">
      <c r="C63004" s="2"/>
    </row>
    <row r="63005" spans="3:3" x14ac:dyDescent="0.35">
      <c r="C63005" s="2"/>
    </row>
    <row r="63006" spans="3:3" x14ac:dyDescent="0.35">
      <c r="C63006" s="2"/>
    </row>
    <row r="63007" spans="3:3" x14ac:dyDescent="0.35">
      <c r="C63007" s="2"/>
    </row>
    <row r="63008" spans="3:3" x14ac:dyDescent="0.35">
      <c r="C63008" s="2"/>
    </row>
    <row r="63009" spans="3:3" x14ac:dyDescent="0.35">
      <c r="C63009" s="2"/>
    </row>
    <row r="63010" spans="3:3" x14ac:dyDescent="0.35">
      <c r="C63010" s="2"/>
    </row>
    <row r="63011" spans="3:3" x14ac:dyDescent="0.35">
      <c r="C63011" s="2"/>
    </row>
    <row r="63012" spans="3:3" x14ac:dyDescent="0.35">
      <c r="C63012" s="2"/>
    </row>
    <row r="63013" spans="3:3" x14ac:dyDescent="0.35">
      <c r="C63013" s="2"/>
    </row>
    <row r="63014" spans="3:3" x14ac:dyDescent="0.35">
      <c r="C63014" s="2"/>
    </row>
    <row r="63015" spans="3:3" x14ac:dyDescent="0.35">
      <c r="C63015" s="2"/>
    </row>
    <row r="63016" spans="3:3" x14ac:dyDescent="0.35">
      <c r="C63016" s="2"/>
    </row>
    <row r="63017" spans="3:3" x14ac:dyDescent="0.35">
      <c r="C63017" s="2"/>
    </row>
    <row r="63018" spans="3:3" x14ac:dyDescent="0.35">
      <c r="C63018" s="2"/>
    </row>
    <row r="63019" spans="3:3" x14ac:dyDescent="0.35">
      <c r="C63019" s="2"/>
    </row>
    <row r="63020" spans="3:3" x14ac:dyDescent="0.35">
      <c r="C63020" s="2"/>
    </row>
    <row r="63021" spans="3:3" x14ac:dyDescent="0.35">
      <c r="C63021" s="2"/>
    </row>
    <row r="63022" spans="3:3" x14ac:dyDescent="0.35">
      <c r="C63022" s="2"/>
    </row>
    <row r="63023" spans="3:3" x14ac:dyDescent="0.35">
      <c r="C63023" s="2"/>
    </row>
    <row r="63024" spans="3:3" x14ac:dyDescent="0.35">
      <c r="C63024" s="2"/>
    </row>
    <row r="63025" spans="3:3" x14ac:dyDescent="0.35">
      <c r="C63025" s="2"/>
    </row>
    <row r="63026" spans="3:3" x14ac:dyDescent="0.35">
      <c r="C63026" s="2"/>
    </row>
    <row r="63027" spans="3:3" x14ac:dyDescent="0.35">
      <c r="C63027" s="2"/>
    </row>
    <row r="63028" spans="3:3" x14ac:dyDescent="0.35">
      <c r="C63028" s="2"/>
    </row>
    <row r="63029" spans="3:3" x14ac:dyDescent="0.35">
      <c r="C63029" s="2"/>
    </row>
    <row r="63030" spans="3:3" x14ac:dyDescent="0.35">
      <c r="C63030" s="2"/>
    </row>
    <row r="63031" spans="3:3" x14ac:dyDescent="0.35">
      <c r="C63031" s="2"/>
    </row>
    <row r="63032" spans="3:3" x14ac:dyDescent="0.35">
      <c r="C63032" s="2"/>
    </row>
    <row r="63033" spans="3:3" x14ac:dyDescent="0.35">
      <c r="C63033" s="2"/>
    </row>
    <row r="63034" spans="3:3" x14ac:dyDescent="0.35">
      <c r="C63034" s="2"/>
    </row>
    <row r="63035" spans="3:3" x14ac:dyDescent="0.35">
      <c r="C63035" s="2"/>
    </row>
    <row r="63036" spans="3:3" x14ac:dyDescent="0.35">
      <c r="C63036" s="2"/>
    </row>
    <row r="63037" spans="3:3" x14ac:dyDescent="0.35">
      <c r="C63037" s="2"/>
    </row>
    <row r="63038" spans="3:3" x14ac:dyDescent="0.35">
      <c r="C63038" s="2"/>
    </row>
    <row r="63039" spans="3:3" x14ac:dyDescent="0.35">
      <c r="C63039" s="2"/>
    </row>
    <row r="63040" spans="3:3" x14ac:dyDescent="0.35">
      <c r="C63040" s="2"/>
    </row>
    <row r="63041" spans="3:3" x14ac:dyDescent="0.35">
      <c r="C63041" s="2"/>
    </row>
    <row r="63042" spans="3:3" x14ac:dyDescent="0.35">
      <c r="C63042" s="2"/>
    </row>
    <row r="63043" spans="3:3" x14ac:dyDescent="0.35">
      <c r="C63043" s="2"/>
    </row>
    <row r="63044" spans="3:3" x14ac:dyDescent="0.35">
      <c r="C63044" s="2"/>
    </row>
    <row r="63045" spans="3:3" x14ac:dyDescent="0.35">
      <c r="C63045" s="2"/>
    </row>
    <row r="63046" spans="3:3" x14ac:dyDescent="0.35">
      <c r="C63046" s="2"/>
    </row>
    <row r="63047" spans="3:3" x14ac:dyDescent="0.35">
      <c r="C63047" s="2"/>
    </row>
    <row r="63048" spans="3:3" x14ac:dyDescent="0.35">
      <c r="C63048" s="2"/>
    </row>
    <row r="63049" spans="3:3" x14ac:dyDescent="0.35">
      <c r="C63049" s="2"/>
    </row>
    <row r="63050" spans="3:3" x14ac:dyDescent="0.35">
      <c r="C63050" s="2"/>
    </row>
    <row r="63051" spans="3:3" x14ac:dyDescent="0.35">
      <c r="C63051" s="2"/>
    </row>
    <row r="63052" spans="3:3" x14ac:dyDescent="0.35">
      <c r="C63052" s="2"/>
    </row>
    <row r="63053" spans="3:3" x14ac:dyDescent="0.35">
      <c r="C63053" s="2"/>
    </row>
    <row r="63054" spans="3:3" x14ac:dyDescent="0.35">
      <c r="C63054" s="2"/>
    </row>
    <row r="63055" spans="3:3" x14ac:dyDescent="0.35">
      <c r="C63055" s="2"/>
    </row>
    <row r="63056" spans="3:3" x14ac:dyDescent="0.35">
      <c r="C63056" s="2"/>
    </row>
    <row r="63057" spans="3:3" x14ac:dyDescent="0.35">
      <c r="C63057" s="2"/>
    </row>
    <row r="63058" spans="3:3" x14ac:dyDescent="0.35">
      <c r="C63058" s="2"/>
    </row>
    <row r="63059" spans="3:3" x14ac:dyDescent="0.35">
      <c r="C63059" s="2"/>
    </row>
    <row r="63060" spans="3:3" x14ac:dyDescent="0.35">
      <c r="C63060" s="2"/>
    </row>
    <row r="63061" spans="3:3" x14ac:dyDescent="0.35">
      <c r="C63061" s="2"/>
    </row>
    <row r="63062" spans="3:3" x14ac:dyDescent="0.35">
      <c r="C63062" s="2"/>
    </row>
    <row r="63063" spans="3:3" x14ac:dyDescent="0.35">
      <c r="C63063" s="2"/>
    </row>
    <row r="63064" spans="3:3" x14ac:dyDescent="0.35">
      <c r="C63064" s="2"/>
    </row>
    <row r="63065" spans="3:3" x14ac:dyDescent="0.35">
      <c r="C63065" s="2"/>
    </row>
    <row r="63066" spans="3:3" x14ac:dyDescent="0.35">
      <c r="C63066" s="2"/>
    </row>
    <row r="63067" spans="3:3" x14ac:dyDescent="0.35">
      <c r="C63067" s="2"/>
    </row>
    <row r="63068" spans="3:3" x14ac:dyDescent="0.35">
      <c r="C63068" s="2"/>
    </row>
    <row r="63069" spans="3:3" x14ac:dyDescent="0.35">
      <c r="C63069" s="2"/>
    </row>
    <row r="63070" spans="3:3" x14ac:dyDescent="0.35">
      <c r="C63070" s="2"/>
    </row>
    <row r="63071" spans="3:3" x14ac:dyDescent="0.35">
      <c r="C63071" s="2"/>
    </row>
    <row r="63072" spans="3:3" x14ac:dyDescent="0.35">
      <c r="C63072" s="2"/>
    </row>
    <row r="63073" spans="3:3" x14ac:dyDescent="0.35">
      <c r="C63073" s="2"/>
    </row>
    <row r="63074" spans="3:3" x14ac:dyDescent="0.35">
      <c r="C63074" s="2"/>
    </row>
    <row r="63075" spans="3:3" x14ac:dyDescent="0.35">
      <c r="C63075" s="2"/>
    </row>
    <row r="63076" spans="3:3" x14ac:dyDescent="0.35">
      <c r="C63076" s="2"/>
    </row>
    <row r="63077" spans="3:3" x14ac:dyDescent="0.35">
      <c r="C63077" s="2"/>
    </row>
    <row r="63078" spans="3:3" x14ac:dyDescent="0.35">
      <c r="C63078" s="2"/>
    </row>
    <row r="63079" spans="3:3" x14ac:dyDescent="0.35">
      <c r="C63079" s="2"/>
    </row>
    <row r="63080" spans="3:3" x14ac:dyDescent="0.35">
      <c r="C63080" s="2"/>
    </row>
    <row r="63081" spans="3:3" x14ac:dyDescent="0.35">
      <c r="C63081" s="2"/>
    </row>
    <row r="63082" spans="3:3" x14ac:dyDescent="0.35">
      <c r="C63082" s="2"/>
    </row>
    <row r="63083" spans="3:3" x14ac:dyDescent="0.35">
      <c r="C63083" s="2"/>
    </row>
    <row r="63084" spans="3:3" x14ac:dyDescent="0.35">
      <c r="C63084" s="2"/>
    </row>
    <row r="63085" spans="3:3" x14ac:dyDescent="0.35">
      <c r="C63085" s="2"/>
    </row>
    <row r="63086" spans="3:3" x14ac:dyDescent="0.35">
      <c r="C63086" s="2"/>
    </row>
    <row r="63087" spans="3:3" x14ac:dyDescent="0.35">
      <c r="C63087" s="2"/>
    </row>
    <row r="63088" spans="3:3" x14ac:dyDescent="0.35">
      <c r="C63088" s="2"/>
    </row>
    <row r="63089" spans="3:3" x14ac:dyDescent="0.35">
      <c r="C63089" s="2"/>
    </row>
    <row r="63090" spans="3:3" x14ac:dyDescent="0.35">
      <c r="C63090" s="2"/>
    </row>
    <row r="63091" spans="3:3" x14ac:dyDescent="0.35">
      <c r="C63091" s="2"/>
    </row>
    <row r="63092" spans="3:3" x14ac:dyDescent="0.35">
      <c r="C63092" s="2"/>
    </row>
    <row r="63093" spans="3:3" x14ac:dyDescent="0.35">
      <c r="C63093" s="2"/>
    </row>
    <row r="63094" spans="3:3" x14ac:dyDescent="0.35">
      <c r="C63094" s="2"/>
    </row>
    <row r="63095" spans="3:3" x14ac:dyDescent="0.35">
      <c r="C63095" s="2"/>
    </row>
    <row r="63096" spans="3:3" x14ac:dyDescent="0.35">
      <c r="C63096" s="2"/>
    </row>
    <row r="63097" spans="3:3" x14ac:dyDescent="0.35">
      <c r="C63097" s="2"/>
    </row>
    <row r="63098" spans="3:3" x14ac:dyDescent="0.35">
      <c r="C63098" s="2"/>
    </row>
    <row r="63099" spans="3:3" x14ac:dyDescent="0.35">
      <c r="C63099" s="2"/>
    </row>
    <row r="63100" spans="3:3" x14ac:dyDescent="0.35">
      <c r="C63100" s="2"/>
    </row>
    <row r="63101" spans="3:3" x14ac:dyDescent="0.35">
      <c r="C63101" s="2"/>
    </row>
    <row r="63102" spans="3:3" x14ac:dyDescent="0.35">
      <c r="C63102" s="2"/>
    </row>
    <row r="63103" spans="3:3" x14ac:dyDescent="0.35">
      <c r="C63103" s="2"/>
    </row>
    <row r="63104" spans="3:3" x14ac:dyDescent="0.35">
      <c r="C63104" s="2"/>
    </row>
    <row r="63105" spans="3:3" x14ac:dyDescent="0.35">
      <c r="C63105" s="2"/>
    </row>
    <row r="63106" spans="3:3" x14ac:dyDescent="0.35">
      <c r="C63106" s="2"/>
    </row>
    <row r="63107" spans="3:3" x14ac:dyDescent="0.35">
      <c r="C63107" s="2"/>
    </row>
    <row r="63108" spans="3:3" x14ac:dyDescent="0.35">
      <c r="C63108" s="2"/>
    </row>
    <row r="63109" spans="3:3" x14ac:dyDescent="0.35">
      <c r="C63109" s="2"/>
    </row>
    <row r="63110" spans="3:3" x14ac:dyDescent="0.35">
      <c r="C63110" s="2"/>
    </row>
    <row r="63111" spans="3:3" x14ac:dyDescent="0.35">
      <c r="C63111" s="2"/>
    </row>
    <row r="63112" spans="3:3" x14ac:dyDescent="0.35">
      <c r="C63112" s="2"/>
    </row>
    <row r="63113" spans="3:3" x14ac:dyDescent="0.35">
      <c r="C63113" s="2"/>
    </row>
    <row r="63114" spans="3:3" x14ac:dyDescent="0.35">
      <c r="C63114" s="2"/>
    </row>
    <row r="63115" spans="3:3" x14ac:dyDescent="0.35">
      <c r="C63115" s="2"/>
    </row>
    <row r="63116" spans="3:3" x14ac:dyDescent="0.35">
      <c r="C63116" s="2"/>
    </row>
    <row r="63117" spans="3:3" x14ac:dyDescent="0.35">
      <c r="C63117" s="2"/>
    </row>
    <row r="63118" spans="3:3" x14ac:dyDescent="0.35">
      <c r="C63118" s="2"/>
    </row>
    <row r="63119" spans="3:3" x14ac:dyDescent="0.35">
      <c r="C63119" s="2"/>
    </row>
    <row r="63120" spans="3:3" x14ac:dyDescent="0.35">
      <c r="C63120" s="2"/>
    </row>
    <row r="63121" spans="3:3" x14ac:dyDescent="0.35">
      <c r="C63121" s="2"/>
    </row>
    <row r="63122" spans="3:3" x14ac:dyDescent="0.35">
      <c r="C63122" s="2"/>
    </row>
    <row r="63123" spans="3:3" x14ac:dyDescent="0.35">
      <c r="C63123" s="2"/>
    </row>
    <row r="63124" spans="3:3" x14ac:dyDescent="0.35">
      <c r="C63124" s="2"/>
    </row>
    <row r="63125" spans="3:3" x14ac:dyDescent="0.35">
      <c r="C63125" s="2"/>
    </row>
    <row r="63126" spans="3:3" x14ac:dyDescent="0.35">
      <c r="C63126" s="2"/>
    </row>
    <row r="63127" spans="3:3" x14ac:dyDescent="0.35">
      <c r="C63127" s="2"/>
    </row>
    <row r="63128" spans="3:3" x14ac:dyDescent="0.35">
      <c r="C63128" s="2"/>
    </row>
    <row r="63129" spans="3:3" x14ac:dyDescent="0.35">
      <c r="C63129" s="2"/>
    </row>
    <row r="63130" spans="3:3" x14ac:dyDescent="0.35">
      <c r="C63130" s="2"/>
    </row>
    <row r="63131" spans="3:3" x14ac:dyDescent="0.35">
      <c r="C63131" s="2"/>
    </row>
    <row r="63132" spans="3:3" x14ac:dyDescent="0.35">
      <c r="C63132" s="2"/>
    </row>
    <row r="63133" spans="3:3" x14ac:dyDescent="0.35">
      <c r="C63133" s="2"/>
    </row>
    <row r="63134" spans="3:3" x14ac:dyDescent="0.35">
      <c r="C63134" s="2"/>
    </row>
    <row r="63135" spans="3:3" x14ac:dyDescent="0.35">
      <c r="C63135" s="2"/>
    </row>
    <row r="63136" spans="3:3" x14ac:dyDescent="0.35">
      <c r="C63136" s="2"/>
    </row>
    <row r="63137" spans="3:3" x14ac:dyDescent="0.35">
      <c r="C63137" s="2"/>
    </row>
    <row r="63138" spans="3:3" x14ac:dyDescent="0.35">
      <c r="C63138" s="2"/>
    </row>
    <row r="63139" spans="3:3" x14ac:dyDescent="0.35">
      <c r="C63139" s="2"/>
    </row>
    <row r="63140" spans="3:3" x14ac:dyDescent="0.35">
      <c r="C63140" s="2"/>
    </row>
    <row r="63141" spans="3:3" x14ac:dyDescent="0.35">
      <c r="C63141" s="2"/>
    </row>
    <row r="63142" spans="3:3" x14ac:dyDescent="0.35">
      <c r="C63142" s="2"/>
    </row>
    <row r="63143" spans="3:3" x14ac:dyDescent="0.35">
      <c r="C63143" s="2"/>
    </row>
    <row r="63144" spans="3:3" x14ac:dyDescent="0.35">
      <c r="C63144" s="2"/>
    </row>
    <row r="63145" spans="3:3" x14ac:dyDescent="0.35">
      <c r="C63145" s="2"/>
    </row>
    <row r="63146" spans="3:3" x14ac:dyDescent="0.35">
      <c r="C63146" s="2"/>
    </row>
    <row r="63147" spans="3:3" x14ac:dyDescent="0.35">
      <c r="C63147" s="2"/>
    </row>
    <row r="63148" spans="3:3" x14ac:dyDescent="0.35">
      <c r="C63148" s="2"/>
    </row>
    <row r="63149" spans="3:3" x14ac:dyDescent="0.35">
      <c r="C63149" s="2"/>
    </row>
    <row r="63150" spans="3:3" x14ac:dyDescent="0.35">
      <c r="C63150" s="2"/>
    </row>
    <row r="63151" spans="3:3" x14ac:dyDescent="0.35">
      <c r="C63151" s="2"/>
    </row>
    <row r="63152" spans="3:3" x14ac:dyDescent="0.35">
      <c r="C63152" s="2"/>
    </row>
    <row r="63153" spans="3:3" x14ac:dyDescent="0.35">
      <c r="C63153" s="2"/>
    </row>
    <row r="63154" spans="3:3" x14ac:dyDescent="0.35">
      <c r="C63154" s="2"/>
    </row>
    <row r="63155" spans="3:3" x14ac:dyDescent="0.35">
      <c r="C63155" s="2"/>
    </row>
    <row r="63156" spans="3:3" x14ac:dyDescent="0.35">
      <c r="C63156" s="2"/>
    </row>
    <row r="63157" spans="3:3" x14ac:dyDescent="0.35">
      <c r="C63157" s="2"/>
    </row>
    <row r="63158" spans="3:3" x14ac:dyDescent="0.35">
      <c r="C63158" s="2"/>
    </row>
    <row r="63159" spans="3:3" x14ac:dyDescent="0.35">
      <c r="C63159" s="2"/>
    </row>
    <row r="63160" spans="3:3" x14ac:dyDescent="0.35">
      <c r="C63160" s="2"/>
    </row>
    <row r="63161" spans="3:3" x14ac:dyDescent="0.35">
      <c r="C63161" s="2"/>
    </row>
    <row r="63162" spans="3:3" x14ac:dyDescent="0.35">
      <c r="C63162" s="2"/>
    </row>
    <row r="63163" spans="3:3" x14ac:dyDescent="0.35">
      <c r="C63163" s="2"/>
    </row>
    <row r="63164" spans="3:3" x14ac:dyDescent="0.35">
      <c r="C63164" s="2"/>
    </row>
    <row r="63165" spans="3:3" x14ac:dyDescent="0.35">
      <c r="C63165" s="2"/>
    </row>
    <row r="63166" spans="3:3" x14ac:dyDescent="0.35">
      <c r="C63166" s="2"/>
    </row>
    <row r="63167" spans="3:3" x14ac:dyDescent="0.35">
      <c r="C63167" s="2"/>
    </row>
    <row r="63168" spans="3:3" x14ac:dyDescent="0.35">
      <c r="C63168" s="2"/>
    </row>
    <row r="63169" spans="3:3" x14ac:dyDescent="0.35">
      <c r="C63169" s="2"/>
    </row>
    <row r="63170" spans="3:3" x14ac:dyDescent="0.35">
      <c r="C63170" s="2"/>
    </row>
    <row r="63171" spans="3:3" x14ac:dyDescent="0.35">
      <c r="C63171" s="2"/>
    </row>
    <row r="63172" spans="3:3" x14ac:dyDescent="0.35">
      <c r="C63172" s="2"/>
    </row>
    <row r="63173" spans="3:3" x14ac:dyDescent="0.35">
      <c r="C63173" s="2"/>
    </row>
    <row r="63174" spans="3:3" x14ac:dyDescent="0.35">
      <c r="C63174" s="2"/>
    </row>
    <row r="63175" spans="3:3" x14ac:dyDescent="0.35">
      <c r="C63175" s="2"/>
    </row>
    <row r="63176" spans="3:3" x14ac:dyDescent="0.35">
      <c r="C63176" s="2"/>
    </row>
    <row r="63177" spans="3:3" x14ac:dyDescent="0.35">
      <c r="C63177" s="2"/>
    </row>
    <row r="63178" spans="3:3" x14ac:dyDescent="0.35">
      <c r="C63178" s="2"/>
    </row>
    <row r="63179" spans="3:3" x14ac:dyDescent="0.35">
      <c r="C63179" s="2"/>
    </row>
    <row r="63180" spans="3:3" x14ac:dyDescent="0.35">
      <c r="C63180" s="2"/>
    </row>
    <row r="63181" spans="3:3" x14ac:dyDescent="0.35">
      <c r="C63181" s="2"/>
    </row>
    <row r="63182" spans="3:3" x14ac:dyDescent="0.35">
      <c r="C63182" s="2"/>
    </row>
    <row r="63183" spans="3:3" x14ac:dyDescent="0.35">
      <c r="C63183" s="2"/>
    </row>
    <row r="63184" spans="3:3" x14ac:dyDescent="0.35">
      <c r="C63184" s="2"/>
    </row>
    <row r="63185" spans="3:3" x14ac:dyDescent="0.35">
      <c r="C63185" s="2"/>
    </row>
    <row r="63186" spans="3:3" x14ac:dyDescent="0.35">
      <c r="C63186" s="2"/>
    </row>
    <row r="63187" spans="3:3" x14ac:dyDescent="0.35">
      <c r="C63187" s="2"/>
    </row>
    <row r="63188" spans="3:3" x14ac:dyDescent="0.35">
      <c r="C63188" s="2"/>
    </row>
    <row r="63189" spans="3:3" x14ac:dyDescent="0.35">
      <c r="C63189" s="2"/>
    </row>
    <row r="63190" spans="3:3" x14ac:dyDescent="0.35">
      <c r="C63190" s="2"/>
    </row>
    <row r="63191" spans="3:3" x14ac:dyDescent="0.35">
      <c r="C63191" s="2"/>
    </row>
    <row r="63192" spans="3:3" x14ac:dyDescent="0.35">
      <c r="C63192" s="2"/>
    </row>
    <row r="63193" spans="3:3" x14ac:dyDescent="0.35">
      <c r="C63193" s="2"/>
    </row>
    <row r="63194" spans="3:3" x14ac:dyDescent="0.35">
      <c r="C63194" s="2"/>
    </row>
    <row r="63195" spans="3:3" x14ac:dyDescent="0.35">
      <c r="C63195" s="2"/>
    </row>
    <row r="63196" spans="3:3" x14ac:dyDescent="0.35">
      <c r="C63196" s="2"/>
    </row>
    <row r="63197" spans="3:3" x14ac:dyDescent="0.35">
      <c r="C63197" s="2"/>
    </row>
    <row r="63198" spans="3:3" x14ac:dyDescent="0.35">
      <c r="C63198" s="2"/>
    </row>
    <row r="63199" spans="3:3" x14ac:dyDescent="0.35">
      <c r="C63199" s="2"/>
    </row>
    <row r="63200" spans="3:3" x14ac:dyDescent="0.35">
      <c r="C63200" s="2"/>
    </row>
    <row r="63201" spans="3:3" x14ac:dyDescent="0.35">
      <c r="C63201" s="2"/>
    </row>
    <row r="63202" spans="3:3" x14ac:dyDescent="0.35">
      <c r="C63202" s="2"/>
    </row>
    <row r="63203" spans="3:3" x14ac:dyDescent="0.35">
      <c r="C63203" s="2"/>
    </row>
    <row r="63204" spans="3:3" x14ac:dyDescent="0.35">
      <c r="C63204" s="2"/>
    </row>
    <row r="63205" spans="3:3" x14ac:dyDescent="0.35">
      <c r="C63205" s="2"/>
    </row>
    <row r="63206" spans="3:3" x14ac:dyDescent="0.35">
      <c r="C63206" s="2"/>
    </row>
    <row r="63207" spans="3:3" x14ac:dyDescent="0.35">
      <c r="C63207" s="2"/>
    </row>
    <row r="63208" spans="3:3" x14ac:dyDescent="0.35">
      <c r="C63208" s="2"/>
    </row>
    <row r="63209" spans="3:3" x14ac:dyDescent="0.35">
      <c r="C63209" s="2"/>
    </row>
    <row r="63210" spans="3:3" x14ac:dyDescent="0.35">
      <c r="C63210" s="2"/>
    </row>
    <row r="63211" spans="3:3" x14ac:dyDescent="0.35">
      <c r="C63211" s="2"/>
    </row>
    <row r="63212" spans="3:3" x14ac:dyDescent="0.35">
      <c r="C63212" s="2"/>
    </row>
    <row r="63213" spans="3:3" x14ac:dyDescent="0.35">
      <c r="C63213" s="2"/>
    </row>
    <row r="63214" spans="3:3" x14ac:dyDescent="0.35">
      <c r="C63214" s="2"/>
    </row>
    <row r="63215" spans="3:3" x14ac:dyDescent="0.35">
      <c r="C63215" s="2"/>
    </row>
    <row r="63216" spans="3:3" x14ac:dyDescent="0.35">
      <c r="C63216" s="2"/>
    </row>
    <row r="63217" spans="3:3" x14ac:dyDescent="0.35">
      <c r="C63217" s="2"/>
    </row>
    <row r="63218" spans="3:3" x14ac:dyDescent="0.35">
      <c r="C63218" s="2"/>
    </row>
    <row r="63219" spans="3:3" x14ac:dyDescent="0.35">
      <c r="C63219" s="2"/>
    </row>
    <row r="63220" spans="3:3" x14ac:dyDescent="0.35">
      <c r="C63220" s="2"/>
    </row>
    <row r="63221" spans="3:3" x14ac:dyDescent="0.35">
      <c r="C63221" s="2"/>
    </row>
    <row r="63222" spans="3:3" x14ac:dyDescent="0.35">
      <c r="C63222" s="2"/>
    </row>
    <row r="63223" spans="3:3" x14ac:dyDescent="0.35">
      <c r="C63223" s="2"/>
    </row>
    <row r="63224" spans="3:3" x14ac:dyDescent="0.35">
      <c r="C63224" s="2"/>
    </row>
    <row r="63225" spans="3:3" x14ac:dyDescent="0.35">
      <c r="C63225" s="2"/>
    </row>
    <row r="63226" spans="3:3" x14ac:dyDescent="0.35">
      <c r="C63226" s="2"/>
    </row>
    <row r="63227" spans="3:3" x14ac:dyDescent="0.35">
      <c r="C63227" s="2"/>
    </row>
    <row r="63228" spans="3:3" x14ac:dyDescent="0.35">
      <c r="C63228" s="2"/>
    </row>
    <row r="63229" spans="3:3" x14ac:dyDescent="0.35">
      <c r="C63229" s="2"/>
    </row>
    <row r="63230" spans="3:3" x14ac:dyDescent="0.35">
      <c r="C63230" s="2"/>
    </row>
    <row r="63231" spans="3:3" x14ac:dyDescent="0.35">
      <c r="C63231" s="2"/>
    </row>
    <row r="63232" spans="3:3" x14ac:dyDescent="0.35">
      <c r="C63232" s="2"/>
    </row>
    <row r="63233" spans="3:3" x14ac:dyDescent="0.35">
      <c r="C63233" s="2"/>
    </row>
    <row r="63234" spans="3:3" x14ac:dyDescent="0.35">
      <c r="C63234" s="2"/>
    </row>
    <row r="63235" spans="3:3" x14ac:dyDescent="0.35">
      <c r="C63235" s="2"/>
    </row>
    <row r="63236" spans="3:3" x14ac:dyDescent="0.35">
      <c r="C63236" s="2"/>
    </row>
    <row r="63237" spans="3:3" x14ac:dyDescent="0.35">
      <c r="C63237" s="2"/>
    </row>
    <row r="63238" spans="3:3" x14ac:dyDescent="0.35">
      <c r="C63238" s="2"/>
    </row>
    <row r="63239" spans="3:3" x14ac:dyDescent="0.35">
      <c r="C63239" s="2"/>
    </row>
    <row r="63240" spans="3:3" x14ac:dyDescent="0.35">
      <c r="C63240" s="2"/>
    </row>
    <row r="63241" spans="3:3" x14ac:dyDescent="0.35">
      <c r="C63241" s="2"/>
    </row>
    <row r="63242" spans="3:3" x14ac:dyDescent="0.35">
      <c r="C63242" s="2"/>
    </row>
    <row r="63243" spans="3:3" x14ac:dyDescent="0.35">
      <c r="C63243" s="2"/>
    </row>
    <row r="63244" spans="3:3" x14ac:dyDescent="0.35">
      <c r="C63244" s="2"/>
    </row>
    <row r="63245" spans="3:3" x14ac:dyDescent="0.35">
      <c r="C63245" s="2"/>
    </row>
    <row r="63246" spans="3:3" x14ac:dyDescent="0.35">
      <c r="C63246" s="2"/>
    </row>
    <row r="63247" spans="3:3" x14ac:dyDescent="0.35">
      <c r="C63247" s="2"/>
    </row>
    <row r="63248" spans="3:3" x14ac:dyDescent="0.35">
      <c r="C63248" s="2"/>
    </row>
    <row r="63249" spans="3:3" x14ac:dyDescent="0.35">
      <c r="C63249" s="2"/>
    </row>
    <row r="63250" spans="3:3" x14ac:dyDescent="0.35">
      <c r="C63250" s="2"/>
    </row>
    <row r="63251" spans="3:3" x14ac:dyDescent="0.35">
      <c r="C63251" s="2"/>
    </row>
    <row r="63252" spans="3:3" x14ac:dyDescent="0.35">
      <c r="C63252" s="2"/>
    </row>
    <row r="63253" spans="3:3" x14ac:dyDescent="0.35">
      <c r="C63253" s="2"/>
    </row>
    <row r="63254" spans="3:3" x14ac:dyDescent="0.35">
      <c r="C63254" s="2"/>
    </row>
    <row r="63255" spans="3:3" x14ac:dyDescent="0.35">
      <c r="C63255" s="2"/>
    </row>
    <row r="63256" spans="3:3" x14ac:dyDescent="0.35">
      <c r="C63256" s="2"/>
    </row>
    <row r="63257" spans="3:3" x14ac:dyDescent="0.35">
      <c r="C63257" s="2"/>
    </row>
    <row r="63258" spans="3:3" x14ac:dyDescent="0.35">
      <c r="C63258" s="2"/>
    </row>
    <row r="63259" spans="3:3" x14ac:dyDescent="0.35">
      <c r="C63259" s="2"/>
    </row>
    <row r="63260" spans="3:3" x14ac:dyDescent="0.35">
      <c r="C63260" s="2"/>
    </row>
    <row r="63261" spans="3:3" x14ac:dyDescent="0.35">
      <c r="C63261" s="2"/>
    </row>
    <row r="63262" spans="3:3" x14ac:dyDescent="0.35">
      <c r="C63262" s="2"/>
    </row>
    <row r="63263" spans="3:3" x14ac:dyDescent="0.35">
      <c r="C63263" s="2"/>
    </row>
    <row r="63264" spans="3:3" x14ac:dyDescent="0.35">
      <c r="C63264" s="2"/>
    </row>
    <row r="63265" spans="3:3" x14ac:dyDescent="0.35">
      <c r="C63265" s="2"/>
    </row>
    <row r="63266" spans="3:3" x14ac:dyDescent="0.35">
      <c r="C63266" s="2"/>
    </row>
    <row r="63267" spans="3:3" x14ac:dyDescent="0.35">
      <c r="C63267" s="2"/>
    </row>
    <row r="63268" spans="3:3" x14ac:dyDescent="0.35">
      <c r="C63268" s="2"/>
    </row>
    <row r="63269" spans="3:3" x14ac:dyDescent="0.35">
      <c r="C63269" s="2"/>
    </row>
    <row r="63270" spans="3:3" x14ac:dyDescent="0.35">
      <c r="C63270" s="2"/>
    </row>
    <row r="63271" spans="3:3" x14ac:dyDescent="0.35">
      <c r="C63271" s="2"/>
    </row>
    <row r="63272" spans="3:3" x14ac:dyDescent="0.35">
      <c r="C63272" s="2"/>
    </row>
    <row r="63273" spans="3:3" x14ac:dyDescent="0.35">
      <c r="C63273" s="2"/>
    </row>
    <row r="63274" spans="3:3" x14ac:dyDescent="0.35">
      <c r="C63274" s="2"/>
    </row>
    <row r="63275" spans="3:3" x14ac:dyDescent="0.35">
      <c r="C63275" s="2"/>
    </row>
    <row r="63276" spans="3:3" x14ac:dyDescent="0.35">
      <c r="C63276" s="2"/>
    </row>
    <row r="63277" spans="3:3" x14ac:dyDescent="0.35">
      <c r="C63277" s="2"/>
    </row>
    <row r="63278" spans="3:3" x14ac:dyDescent="0.35">
      <c r="C63278" s="2"/>
    </row>
    <row r="63279" spans="3:3" x14ac:dyDescent="0.35">
      <c r="C63279" s="2"/>
    </row>
    <row r="63280" spans="3:3" x14ac:dyDescent="0.35">
      <c r="C63280" s="2"/>
    </row>
    <row r="63281" spans="3:3" x14ac:dyDescent="0.35">
      <c r="C63281" s="2"/>
    </row>
    <row r="63282" spans="3:3" x14ac:dyDescent="0.35">
      <c r="C63282" s="2"/>
    </row>
    <row r="63283" spans="3:3" x14ac:dyDescent="0.35">
      <c r="C63283" s="2"/>
    </row>
    <row r="63284" spans="3:3" x14ac:dyDescent="0.35">
      <c r="C63284" s="2"/>
    </row>
    <row r="63285" spans="3:3" x14ac:dyDescent="0.35">
      <c r="C63285" s="2"/>
    </row>
    <row r="63286" spans="3:3" x14ac:dyDescent="0.35">
      <c r="C63286" s="2"/>
    </row>
    <row r="63287" spans="3:3" x14ac:dyDescent="0.35">
      <c r="C63287" s="2"/>
    </row>
    <row r="63288" spans="3:3" x14ac:dyDescent="0.35">
      <c r="C63288" s="2"/>
    </row>
    <row r="63289" spans="3:3" x14ac:dyDescent="0.35">
      <c r="C63289" s="2"/>
    </row>
    <row r="63290" spans="3:3" x14ac:dyDescent="0.35">
      <c r="C63290" s="2"/>
    </row>
    <row r="63291" spans="3:3" x14ac:dyDescent="0.35">
      <c r="C63291" s="2"/>
    </row>
    <row r="63292" spans="3:3" x14ac:dyDescent="0.35">
      <c r="C63292" s="2"/>
    </row>
    <row r="63293" spans="3:3" x14ac:dyDescent="0.35">
      <c r="C63293" s="2"/>
    </row>
    <row r="63294" spans="3:3" x14ac:dyDescent="0.35">
      <c r="C63294" s="2"/>
    </row>
    <row r="63295" spans="3:3" x14ac:dyDescent="0.35">
      <c r="C63295" s="2"/>
    </row>
    <row r="63296" spans="3:3" x14ac:dyDescent="0.35">
      <c r="C63296" s="2"/>
    </row>
    <row r="63297" spans="3:3" x14ac:dyDescent="0.35">
      <c r="C63297" s="2"/>
    </row>
    <row r="63298" spans="3:3" x14ac:dyDescent="0.35">
      <c r="C63298" s="2"/>
    </row>
    <row r="63299" spans="3:3" x14ac:dyDescent="0.35">
      <c r="C63299" s="2"/>
    </row>
    <row r="63300" spans="3:3" x14ac:dyDescent="0.35">
      <c r="C63300" s="2"/>
    </row>
    <row r="63301" spans="3:3" x14ac:dyDescent="0.35">
      <c r="C63301" s="2"/>
    </row>
    <row r="63302" spans="3:3" x14ac:dyDescent="0.35">
      <c r="C63302" s="2"/>
    </row>
    <row r="63303" spans="3:3" x14ac:dyDescent="0.35">
      <c r="C63303" s="2"/>
    </row>
    <row r="63304" spans="3:3" x14ac:dyDescent="0.35">
      <c r="C63304" s="2"/>
    </row>
    <row r="63305" spans="3:3" x14ac:dyDescent="0.35">
      <c r="C63305" s="2"/>
    </row>
    <row r="63306" spans="3:3" x14ac:dyDescent="0.35">
      <c r="C63306" s="2"/>
    </row>
    <row r="63307" spans="3:3" x14ac:dyDescent="0.35">
      <c r="C63307" s="2"/>
    </row>
    <row r="63308" spans="3:3" x14ac:dyDescent="0.35">
      <c r="C63308" s="2"/>
    </row>
    <row r="63309" spans="3:3" x14ac:dyDescent="0.35">
      <c r="C63309" s="2"/>
    </row>
    <row r="63310" spans="3:3" x14ac:dyDescent="0.35">
      <c r="C63310" s="2"/>
    </row>
    <row r="63311" spans="3:3" x14ac:dyDescent="0.35">
      <c r="C63311" s="2"/>
    </row>
    <row r="63312" spans="3:3" x14ac:dyDescent="0.35">
      <c r="C63312" s="2"/>
    </row>
    <row r="63313" spans="3:3" x14ac:dyDescent="0.35">
      <c r="C63313" s="2"/>
    </row>
    <row r="63314" spans="3:3" x14ac:dyDescent="0.35">
      <c r="C63314" s="2"/>
    </row>
    <row r="63315" spans="3:3" x14ac:dyDescent="0.35">
      <c r="C63315" s="2"/>
    </row>
    <row r="63316" spans="3:3" x14ac:dyDescent="0.35">
      <c r="C63316" s="2"/>
    </row>
    <row r="63317" spans="3:3" x14ac:dyDescent="0.35">
      <c r="C63317" s="2"/>
    </row>
    <row r="63318" spans="3:3" x14ac:dyDescent="0.35">
      <c r="C63318" s="2"/>
    </row>
    <row r="63319" spans="3:3" x14ac:dyDescent="0.35">
      <c r="C63319" s="2"/>
    </row>
    <row r="63320" spans="3:3" x14ac:dyDescent="0.35">
      <c r="C63320" s="2"/>
    </row>
    <row r="63321" spans="3:3" x14ac:dyDescent="0.35">
      <c r="C63321" s="2"/>
    </row>
    <row r="63322" spans="3:3" x14ac:dyDescent="0.35">
      <c r="C63322" s="2"/>
    </row>
    <row r="63323" spans="3:3" x14ac:dyDescent="0.35">
      <c r="C63323" s="2"/>
    </row>
    <row r="63324" spans="3:3" x14ac:dyDescent="0.35">
      <c r="C63324" s="2"/>
    </row>
    <row r="63325" spans="3:3" x14ac:dyDescent="0.35">
      <c r="C63325" s="2"/>
    </row>
    <row r="63326" spans="3:3" x14ac:dyDescent="0.35">
      <c r="C63326" s="2"/>
    </row>
    <row r="63327" spans="3:3" x14ac:dyDescent="0.35">
      <c r="C63327" s="2"/>
    </row>
    <row r="63328" spans="3:3" x14ac:dyDescent="0.35">
      <c r="C63328" s="2"/>
    </row>
    <row r="63329" spans="3:3" x14ac:dyDescent="0.35">
      <c r="C63329" s="2"/>
    </row>
    <row r="63330" spans="3:3" x14ac:dyDescent="0.35">
      <c r="C63330" s="2"/>
    </row>
    <row r="63331" spans="3:3" x14ac:dyDescent="0.35">
      <c r="C63331" s="2"/>
    </row>
    <row r="63332" spans="3:3" x14ac:dyDescent="0.35">
      <c r="C63332" s="2"/>
    </row>
    <row r="63333" spans="3:3" x14ac:dyDescent="0.35">
      <c r="C63333" s="2"/>
    </row>
    <row r="63334" spans="3:3" x14ac:dyDescent="0.35">
      <c r="C63334" s="2"/>
    </row>
    <row r="63335" spans="3:3" x14ac:dyDescent="0.35">
      <c r="C63335" s="2"/>
    </row>
    <row r="63336" spans="3:3" x14ac:dyDescent="0.35">
      <c r="C63336" s="2"/>
    </row>
    <row r="63337" spans="3:3" x14ac:dyDescent="0.35">
      <c r="C63337" s="2"/>
    </row>
    <row r="63338" spans="3:3" x14ac:dyDescent="0.35">
      <c r="C63338" s="2"/>
    </row>
    <row r="63339" spans="3:3" x14ac:dyDescent="0.35">
      <c r="C63339" s="2"/>
    </row>
    <row r="63340" spans="3:3" x14ac:dyDescent="0.35">
      <c r="C63340" s="2"/>
    </row>
    <row r="63341" spans="3:3" x14ac:dyDescent="0.35">
      <c r="C63341" s="2"/>
    </row>
    <row r="63342" spans="3:3" x14ac:dyDescent="0.35">
      <c r="C63342" s="2"/>
    </row>
    <row r="63343" spans="3:3" x14ac:dyDescent="0.35">
      <c r="C63343" s="2"/>
    </row>
    <row r="63344" spans="3:3" x14ac:dyDescent="0.35">
      <c r="C63344" s="2"/>
    </row>
    <row r="63345" spans="3:3" x14ac:dyDescent="0.35">
      <c r="C63345" s="2"/>
    </row>
    <row r="63346" spans="3:3" x14ac:dyDescent="0.35">
      <c r="C63346" s="2"/>
    </row>
    <row r="63347" spans="3:3" x14ac:dyDescent="0.35">
      <c r="C63347" s="2"/>
    </row>
    <row r="63348" spans="3:3" x14ac:dyDescent="0.35">
      <c r="C63348" s="2"/>
    </row>
    <row r="63349" spans="3:3" x14ac:dyDescent="0.35">
      <c r="C63349" s="2"/>
    </row>
    <row r="63350" spans="3:3" x14ac:dyDescent="0.35">
      <c r="C63350" s="2"/>
    </row>
    <row r="63351" spans="3:3" x14ac:dyDescent="0.35">
      <c r="C63351" s="2"/>
    </row>
    <row r="63352" spans="3:3" x14ac:dyDescent="0.35">
      <c r="C63352" s="2"/>
    </row>
    <row r="63353" spans="3:3" x14ac:dyDescent="0.35">
      <c r="C63353" s="2"/>
    </row>
    <row r="63354" spans="3:3" x14ac:dyDescent="0.35">
      <c r="C63354" s="2"/>
    </row>
    <row r="63355" spans="3:3" x14ac:dyDescent="0.35">
      <c r="C63355" s="2"/>
    </row>
    <row r="63356" spans="3:3" x14ac:dyDescent="0.35">
      <c r="C63356" s="2"/>
    </row>
    <row r="63357" spans="3:3" x14ac:dyDescent="0.35">
      <c r="C63357" s="2"/>
    </row>
    <row r="63358" spans="3:3" x14ac:dyDescent="0.35">
      <c r="C63358" s="2"/>
    </row>
    <row r="63359" spans="3:3" x14ac:dyDescent="0.35">
      <c r="C63359" s="2"/>
    </row>
    <row r="63360" spans="3:3" x14ac:dyDescent="0.35">
      <c r="C63360" s="2"/>
    </row>
    <row r="63361" spans="3:3" x14ac:dyDescent="0.35">
      <c r="C63361" s="2"/>
    </row>
    <row r="63362" spans="3:3" x14ac:dyDescent="0.35">
      <c r="C63362" s="2"/>
    </row>
    <row r="63363" spans="3:3" x14ac:dyDescent="0.35">
      <c r="C63363" s="2"/>
    </row>
    <row r="63364" spans="3:3" x14ac:dyDescent="0.35">
      <c r="C63364" s="2"/>
    </row>
    <row r="63365" spans="3:3" x14ac:dyDescent="0.35">
      <c r="C63365" s="2"/>
    </row>
    <row r="63366" spans="3:3" x14ac:dyDescent="0.35">
      <c r="C63366" s="2"/>
    </row>
    <row r="63367" spans="3:3" x14ac:dyDescent="0.35">
      <c r="C63367" s="2"/>
    </row>
    <row r="63368" spans="3:3" x14ac:dyDescent="0.35">
      <c r="C63368" s="2"/>
    </row>
    <row r="63369" spans="3:3" x14ac:dyDescent="0.35">
      <c r="C63369" s="2"/>
    </row>
    <row r="63370" spans="3:3" x14ac:dyDescent="0.35">
      <c r="C63370" s="2"/>
    </row>
    <row r="63371" spans="3:3" x14ac:dyDescent="0.35">
      <c r="C63371" s="2"/>
    </row>
    <row r="63372" spans="3:3" x14ac:dyDescent="0.35">
      <c r="C63372" s="2"/>
    </row>
    <row r="63373" spans="3:3" x14ac:dyDescent="0.35">
      <c r="C63373" s="2"/>
    </row>
    <row r="63374" spans="3:3" x14ac:dyDescent="0.35">
      <c r="C63374" s="2"/>
    </row>
    <row r="63375" spans="3:3" x14ac:dyDescent="0.35">
      <c r="C63375" s="2"/>
    </row>
    <row r="63376" spans="3:3" x14ac:dyDescent="0.35">
      <c r="C63376" s="2"/>
    </row>
    <row r="63377" spans="3:3" x14ac:dyDescent="0.35">
      <c r="C63377" s="2"/>
    </row>
    <row r="63378" spans="3:3" x14ac:dyDescent="0.35">
      <c r="C63378" s="2"/>
    </row>
    <row r="63379" spans="3:3" x14ac:dyDescent="0.35">
      <c r="C63379" s="2"/>
    </row>
    <row r="63380" spans="3:3" x14ac:dyDescent="0.35">
      <c r="C63380" s="2"/>
    </row>
    <row r="63381" spans="3:3" x14ac:dyDescent="0.35">
      <c r="C63381" s="2"/>
    </row>
    <row r="63382" spans="3:3" x14ac:dyDescent="0.35">
      <c r="C63382" s="2"/>
    </row>
    <row r="63383" spans="3:3" x14ac:dyDescent="0.35">
      <c r="C63383" s="2"/>
    </row>
    <row r="63384" spans="3:3" x14ac:dyDescent="0.35">
      <c r="C63384" s="2"/>
    </row>
    <row r="63385" spans="3:3" x14ac:dyDescent="0.35">
      <c r="C63385" s="2"/>
    </row>
    <row r="63386" spans="3:3" x14ac:dyDescent="0.35">
      <c r="C63386" s="2"/>
    </row>
    <row r="63387" spans="3:3" x14ac:dyDescent="0.35">
      <c r="C63387" s="2"/>
    </row>
    <row r="63388" spans="3:3" x14ac:dyDescent="0.35">
      <c r="C63388" s="2"/>
    </row>
    <row r="63389" spans="3:3" x14ac:dyDescent="0.35">
      <c r="C63389" s="2"/>
    </row>
    <row r="63390" spans="3:3" x14ac:dyDescent="0.35">
      <c r="C63390" s="2"/>
    </row>
    <row r="63391" spans="3:3" x14ac:dyDescent="0.35">
      <c r="C63391" s="2"/>
    </row>
    <row r="63392" spans="3:3" x14ac:dyDescent="0.35">
      <c r="C63392" s="2"/>
    </row>
    <row r="63393" spans="3:3" x14ac:dyDescent="0.35">
      <c r="C63393" s="2"/>
    </row>
    <row r="63394" spans="3:3" x14ac:dyDescent="0.35">
      <c r="C63394" s="2"/>
    </row>
    <row r="63395" spans="3:3" x14ac:dyDescent="0.35">
      <c r="C63395" s="2"/>
    </row>
    <row r="63396" spans="3:3" x14ac:dyDescent="0.35">
      <c r="C63396" s="2"/>
    </row>
    <row r="63397" spans="3:3" x14ac:dyDescent="0.35">
      <c r="C63397" s="2"/>
    </row>
    <row r="63398" spans="3:3" x14ac:dyDescent="0.35">
      <c r="C63398" s="2"/>
    </row>
    <row r="63399" spans="3:3" x14ac:dyDescent="0.35">
      <c r="C63399" s="2"/>
    </row>
    <row r="63400" spans="3:3" x14ac:dyDescent="0.35">
      <c r="C63400" s="2"/>
    </row>
    <row r="63401" spans="3:3" x14ac:dyDescent="0.35">
      <c r="C63401" s="2"/>
    </row>
    <row r="63402" spans="3:3" x14ac:dyDescent="0.35">
      <c r="C63402" s="2"/>
    </row>
    <row r="63403" spans="3:3" x14ac:dyDescent="0.35">
      <c r="C63403" s="2"/>
    </row>
    <row r="63404" spans="3:3" x14ac:dyDescent="0.35">
      <c r="C63404" s="2"/>
    </row>
    <row r="63405" spans="3:3" x14ac:dyDescent="0.35">
      <c r="C63405" s="2"/>
    </row>
    <row r="63406" spans="3:3" x14ac:dyDescent="0.35">
      <c r="C63406" s="2"/>
    </row>
    <row r="63407" spans="3:3" x14ac:dyDescent="0.35">
      <c r="C63407" s="2"/>
    </row>
    <row r="63408" spans="3:3" x14ac:dyDescent="0.35">
      <c r="C63408" s="2"/>
    </row>
    <row r="63409" spans="3:3" x14ac:dyDescent="0.35">
      <c r="C63409" s="2"/>
    </row>
    <row r="63410" spans="3:3" x14ac:dyDescent="0.35">
      <c r="C63410" s="2"/>
    </row>
    <row r="63411" spans="3:3" x14ac:dyDescent="0.35">
      <c r="C63411" s="2"/>
    </row>
    <row r="63412" spans="3:3" x14ac:dyDescent="0.35">
      <c r="C63412" s="2"/>
    </row>
    <row r="63413" spans="3:3" x14ac:dyDescent="0.35">
      <c r="C63413" s="2"/>
    </row>
    <row r="63414" spans="3:3" x14ac:dyDescent="0.35">
      <c r="C63414" s="2"/>
    </row>
    <row r="63415" spans="3:3" x14ac:dyDescent="0.35">
      <c r="C63415" s="2"/>
    </row>
    <row r="63416" spans="3:3" x14ac:dyDescent="0.35">
      <c r="C63416" s="2"/>
    </row>
    <row r="63417" spans="3:3" x14ac:dyDescent="0.35">
      <c r="C63417" s="2"/>
    </row>
    <row r="63418" spans="3:3" x14ac:dyDescent="0.35">
      <c r="C63418" s="2"/>
    </row>
    <row r="63419" spans="3:3" x14ac:dyDescent="0.35">
      <c r="C63419" s="2"/>
    </row>
    <row r="63420" spans="3:3" x14ac:dyDescent="0.35">
      <c r="C63420" s="2"/>
    </row>
    <row r="63421" spans="3:3" x14ac:dyDescent="0.35">
      <c r="C63421" s="2"/>
    </row>
    <row r="63422" spans="3:3" x14ac:dyDescent="0.35">
      <c r="C63422" s="2"/>
    </row>
    <row r="63423" spans="3:3" x14ac:dyDescent="0.35">
      <c r="C63423" s="2"/>
    </row>
    <row r="63424" spans="3:3" x14ac:dyDescent="0.35">
      <c r="C63424" s="2"/>
    </row>
    <row r="63425" spans="3:3" x14ac:dyDescent="0.35">
      <c r="C63425" s="2"/>
    </row>
    <row r="63426" spans="3:3" x14ac:dyDescent="0.35">
      <c r="C63426" s="2"/>
    </row>
    <row r="63427" spans="3:3" x14ac:dyDescent="0.35">
      <c r="C63427" s="2"/>
    </row>
    <row r="63428" spans="3:3" x14ac:dyDescent="0.35">
      <c r="C63428" s="2"/>
    </row>
    <row r="63429" spans="3:3" x14ac:dyDescent="0.35">
      <c r="C63429" s="2"/>
    </row>
    <row r="63430" spans="3:3" x14ac:dyDescent="0.35">
      <c r="C63430" s="2"/>
    </row>
    <row r="63431" spans="3:3" x14ac:dyDescent="0.35">
      <c r="C63431" s="2"/>
    </row>
    <row r="63432" spans="3:3" x14ac:dyDescent="0.35">
      <c r="C63432" s="2"/>
    </row>
    <row r="63433" spans="3:3" x14ac:dyDescent="0.35">
      <c r="C63433" s="2"/>
    </row>
    <row r="63434" spans="3:3" x14ac:dyDescent="0.35">
      <c r="C63434" s="2"/>
    </row>
    <row r="63435" spans="3:3" x14ac:dyDescent="0.35">
      <c r="C63435" s="2"/>
    </row>
    <row r="63436" spans="3:3" x14ac:dyDescent="0.35">
      <c r="C63436" s="2"/>
    </row>
    <row r="63437" spans="3:3" x14ac:dyDescent="0.35">
      <c r="C63437" s="2"/>
    </row>
    <row r="63438" spans="3:3" x14ac:dyDescent="0.35">
      <c r="C63438" s="2"/>
    </row>
    <row r="63439" spans="3:3" x14ac:dyDescent="0.35">
      <c r="C63439" s="2"/>
    </row>
    <row r="63440" spans="3:3" x14ac:dyDescent="0.35">
      <c r="C63440" s="2"/>
    </row>
    <row r="63441" spans="3:3" x14ac:dyDescent="0.35">
      <c r="C63441" s="2"/>
    </row>
    <row r="63442" spans="3:3" x14ac:dyDescent="0.35">
      <c r="C63442" s="2"/>
    </row>
    <row r="63443" spans="3:3" x14ac:dyDescent="0.35">
      <c r="C63443" s="2"/>
    </row>
    <row r="63444" spans="3:3" x14ac:dyDescent="0.35">
      <c r="C63444" s="2"/>
    </row>
    <row r="63445" spans="3:3" x14ac:dyDescent="0.35">
      <c r="C63445" s="2"/>
    </row>
    <row r="63446" spans="3:3" x14ac:dyDescent="0.35">
      <c r="C63446" s="2"/>
    </row>
    <row r="63447" spans="3:3" x14ac:dyDescent="0.35">
      <c r="C63447" s="2"/>
    </row>
    <row r="63448" spans="3:3" x14ac:dyDescent="0.35">
      <c r="C63448" s="2"/>
    </row>
    <row r="63449" spans="3:3" x14ac:dyDescent="0.35">
      <c r="C63449" s="2"/>
    </row>
    <row r="63450" spans="3:3" x14ac:dyDescent="0.35">
      <c r="C63450" s="2"/>
    </row>
    <row r="63451" spans="3:3" x14ac:dyDescent="0.35">
      <c r="C63451" s="2"/>
    </row>
    <row r="63452" spans="3:3" x14ac:dyDescent="0.35">
      <c r="C63452" s="2"/>
    </row>
    <row r="63453" spans="3:3" x14ac:dyDescent="0.35">
      <c r="C63453" s="2"/>
    </row>
    <row r="63454" spans="3:3" x14ac:dyDescent="0.35">
      <c r="C63454" s="2"/>
    </row>
    <row r="63455" spans="3:3" x14ac:dyDescent="0.35">
      <c r="C63455" s="2"/>
    </row>
    <row r="63456" spans="3:3" x14ac:dyDescent="0.35">
      <c r="C63456" s="2"/>
    </row>
    <row r="63457" spans="3:3" x14ac:dyDescent="0.35">
      <c r="C63457" s="2"/>
    </row>
    <row r="63458" spans="3:3" x14ac:dyDescent="0.35">
      <c r="C63458" s="2"/>
    </row>
    <row r="63459" spans="3:3" x14ac:dyDescent="0.35">
      <c r="C63459" s="2"/>
    </row>
    <row r="63460" spans="3:3" x14ac:dyDescent="0.35">
      <c r="C63460" s="2"/>
    </row>
    <row r="63461" spans="3:3" x14ac:dyDescent="0.35">
      <c r="C63461" s="2"/>
    </row>
    <row r="63462" spans="3:3" x14ac:dyDescent="0.35">
      <c r="C63462" s="2"/>
    </row>
    <row r="63463" spans="3:3" x14ac:dyDescent="0.35">
      <c r="C63463" s="2"/>
    </row>
    <row r="63464" spans="3:3" x14ac:dyDescent="0.35">
      <c r="C63464" s="2"/>
    </row>
    <row r="63465" spans="3:3" x14ac:dyDescent="0.35">
      <c r="C63465" s="2"/>
    </row>
    <row r="63466" spans="3:3" x14ac:dyDescent="0.35">
      <c r="C63466" s="2"/>
    </row>
    <row r="63467" spans="3:3" x14ac:dyDescent="0.35">
      <c r="C63467" s="2"/>
    </row>
    <row r="63468" spans="3:3" x14ac:dyDescent="0.35">
      <c r="C63468" s="2"/>
    </row>
    <row r="63469" spans="3:3" x14ac:dyDescent="0.35">
      <c r="C63469" s="2"/>
    </row>
    <row r="63470" spans="3:3" x14ac:dyDescent="0.35">
      <c r="C63470" s="2"/>
    </row>
    <row r="63471" spans="3:3" x14ac:dyDescent="0.35">
      <c r="C63471" s="2"/>
    </row>
    <row r="63472" spans="3:3" x14ac:dyDescent="0.35">
      <c r="C63472" s="2"/>
    </row>
    <row r="63473" spans="3:3" x14ac:dyDescent="0.35">
      <c r="C63473" s="2"/>
    </row>
    <row r="63474" spans="3:3" x14ac:dyDescent="0.35">
      <c r="C63474" s="2"/>
    </row>
    <row r="63475" spans="3:3" x14ac:dyDescent="0.35">
      <c r="C63475" s="2"/>
    </row>
    <row r="63476" spans="3:3" x14ac:dyDescent="0.35">
      <c r="C63476" s="2"/>
    </row>
    <row r="63477" spans="3:3" x14ac:dyDescent="0.35">
      <c r="C63477" s="2"/>
    </row>
    <row r="63478" spans="3:3" x14ac:dyDescent="0.35">
      <c r="C63478" s="2"/>
    </row>
    <row r="63479" spans="3:3" x14ac:dyDescent="0.35">
      <c r="C63479" s="2"/>
    </row>
    <row r="63480" spans="3:3" x14ac:dyDescent="0.35">
      <c r="C63480" s="2"/>
    </row>
    <row r="63481" spans="3:3" x14ac:dyDescent="0.35">
      <c r="C63481" s="2"/>
    </row>
    <row r="63482" spans="3:3" x14ac:dyDescent="0.35">
      <c r="C63482" s="2"/>
    </row>
    <row r="63483" spans="3:3" x14ac:dyDescent="0.35">
      <c r="C63483" s="2"/>
    </row>
    <row r="63484" spans="3:3" x14ac:dyDescent="0.35">
      <c r="C63484" s="2"/>
    </row>
    <row r="63485" spans="3:3" x14ac:dyDescent="0.35">
      <c r="C63485" s="2"/>
    </row>
    <row r="63486" spans="3:3" x14ac:dyDescent="0.35">
      <c r="C63486" s="2"/>
    </row>
    <row r="63487" spans="3:3" x14ac:dyDescent="0.35">
      <c r="C63487" s="2"/>
    </row>
    <row r="63488" spans="3:3" x14ac:dyDescent="0.35">
      <c r="C63488" s="2"/>
    </row>
    <row r="63489" spans="3:3" x14ac:dyDescent="0.35">
      <c r="C63489" s="2"/>
    </row>
    <row r="63490" spans="3:3" x14ac:dyDescent="0.35">
      <c r="C63490" s="2"/>
    </row>
    <row r="63491" spans="3:3" x14ac:dyDescent="0.35">
      <c r="C63491" s="2"/>
    </row>
    <row r="63492" spans="3:3" x14ac:dyDescent="0.35">
      <c r="C63492" s="2"/>
    </row>
    <row r="63493" spans="3:3" x14ac:dyDescent="0.35">
      <c r="C63493" s="2"/>
    </row>
    <row r="63494" spans="3:3" x14ac:dyDescent="0.35">
      <c r="C63494" s="2"/>
    </row>
    <row r="63495" spans="3:3" x14ac:dyDescent="0.35">
      <c r="C63495" s="2"/>
    </row>
    <row r="63496" spans="3:3" x14ac:dyDescent="0.35">
      <c r="C63496" s="2"/>
    </row>
    <row r="63497" spans="3:3" x14ac:dyDescent="0.35">
      <c r="C63497" s="2"/>
    </row>
    <row r="63498" spans="3:3" x14ac:dyDescent="0.35">
      <c r="C63498" s="2"/>
    </row>
    <row r="63499" spans="3:3" x14ac:dyDescent="0.35">
      <c r="C63499" s="2"/>
    </row>
    <row r="63500" spans="3:3" x14ac:dyDescent="0.35">
      <c r="C63500" s="2"/>
    </row>
    <row r="63501" spans="3:3" x14ac:dyDescent="0.35">
      <c r="C63501" s="2"/>
    </row>
    <row r="63502" spans="3:3" x14ac:dyDescent="0.35">
      <c r="C63502" s="2"/>
    </row>
    <row r="63503" spans="3:3" x14ac:dyDescent="0.35">
      <c r="C63503" s="2"/>
    </row>
    <row r="63504" spans="3:3" x14ac:dyDescent="0.35">
      <c r="C63504" s="2"/>
    </row>
    <row r="63505" spans="3:3" x14ac:dyDescent="0.35">
      <c r="C63505" s="2"/>
    </row>
    <row r="63506" spans="3:3" x14ac:dyDescent="0.35">
      <c r="C63506" s="2"/>
    </row>
    <row r="63507" spans="3:3" x14ac:dyDescent="0.35">
      <c r="C63507" s="2"/>
    </row>
    <row r="63508" spans="3:3" x14ac:dyDescent="0.35">
      <c r="C63508" s="2"/>
    </row>
    <row r="63509" spans="3:3" x14ac:dyDescent="0.35">
      <c r="C63509" s="2"/>
    </row>
    <row r="63510" spans="3:3" x14ac:dyDescent="0.35">
      <c r="C63510" s="2"/>
    </row>
    <row r="63511" spans="3:3" x14ac:dyDescent="0.35">
      <c r="C63511" s="2"/>
    </row>
    <row r="63512" spans="3:3" x14ac:dyDescent="0.35">
      <c r="C63512" s="2"/>
    </row>
    <row r="63513" spans="3:3" x14ac:dyDescent="0.35">
      <c r="C63513" s="2"/>
    </row>
    <row r="63514" spans="3:3" x14ac:dyDescent="0.35">
      <c r="C63514" s="2"/>
    </row>
    <row r="63515" spans="3:3" x14ac:dyDescent="0.35">
      <c r="C63515" s="2"/>
    </row>
    <row r="63516" spans="3:3" x14ac:dyDescent="0.35">
      <c r="C63516" s="2"/>
    </row>
    <row r="63517" spans="3:3" x14ac:dyDescent="0.35">
      <c r="C63517" s="2"/>
    </row>
    <row r="63518" spans="3:3" x14ac:dyDescent="0.35">
      <c r="C63518" s="2"/>
    </row>
    <row r="63519" spans="3:3" x14ac:dyDescent="0.35">
      <c r="C63519" s="2"/>
    </row>
    <row r="63520" spans="3:3" x14ac:dyDescent="0.35">
      <c r="C63520" s="2"/>
    </row>
    <row r="63521" spans="3:3" x14ac:dyDescent="0.35">
      <c r="C63521" s="2"/>
    </row>
    <row r="63522" spans="3:3" x14ac:dyDescent="0.35">
      <c r="C63522" s="2"/>
    </row>
    <row r="63523" spans="3:3" x14ac:dyDescent="0.35">
      <c r="C63523" s="2"/>
    </row>
    <row r="63524" spans="3:3" x14ac:dyDescent="0.35">
      <c r="C63524" s="2"/>
    </row>
    <row r="63525" spans="3:3" x14ac:dyDescent="0.35">
      <c r="C63525" s="2"/>
    </row>
    <row r="63526" spans="3:3" x14ac:dyDescent="0.35">
      <c r="C63526" s="2"/>
    </row>
    <row r="63527" spans="3:3" x14ac:dyDescent="0.35">
      <c r="C63527" s="2"/>
    </row>
    <row r="63528" spans="3:3" x14ac:dyDescent="0.35">
      <c r="C63528" s="2"/>
    </row>
    <row r="63529" spans="3:3" x14ac:dyDescent="0.35">
      <c r="C63529" s="2"/>
    </row>
    <row r="63530" spans="3:3" x14ac:dyDescent="0.35">
      <c r="C63530" s="2"/>
    </row>
    <row r="63531" spans="3:3" x14ac:dyDescent="0.35">
      <c r="C63531" s="2"/>
    </row>
    <row r="63532" spans="3:3" x14ac:dyDescent="0.35">
      <c r="C63532" s="2"/>
    </row>
    <row r="63533" spans="3:3" x14ac:dyDescent="0.35">
      <c r="C63533" s="2"/>
    </row>
    <row r="63534" spans="3:3" x14ac:dyDescent="0.35">
      <c r="C63534" s="2"/>
    </row>
    <row r="63535" spans="3:3" x14ac:dyDescent="0.35">
      <c r="C63535" s="2"/>
    </row>
    <row r="63536" spans="3:3" x14ac:dyDescent="0.35">
      <c r="C63536" s="2"/>
    </row>
    <row r="63537" spans="3:3" x14ac:dyDescent="0.35">
      <c r="C63537" s="2"/>
    </row>
    <row r="63538" spans="3:3" x14ac:dyDescent="0.35">
      <c r="C63538" s="2"/>
    </row>
    <row r="63539" spans="3:3" x14ac:dyDescent="0.35">
      <c r="C63539" s="2"/>
    </row>
    <row r="63540" spans="3:3" x14ac:dyDescent="0.35">
      <c r="C63540" s="2"/>
    </row>
    <row r="63541" spans="3:3" x14ac:dyDescent="0.35">
      <c r="C63541" s="2"/>
    </row>
    <row r="63542" spans="3:3" x14ac:dyDescent="0.35">
      <c r="C63542" s="2"/>
    </row>
    <row r="63543" spans="3:3" x14ac:dyDescent="0.35">
      <c r="C63543" s="2"/>
    </row>
    <row r="63544" spans="3:3" x14ac:dyDescent="0.35">
      <c r="C63544" s="2"/>
    </row>
    <row r="63545" spans="3:3" x14ac:dyDescent="0.35">
      <c r="C63545" s="2"/>
    </row>
    <row r="63546" spans="3:3" x14ac:dyDescent="0.35">
      <c r="C63546" s="2"/>
    </row>
    <row r="63547" spans="3:3" x14ac:dyDescent="0.35">
      <c r="C63547" s="2"/>
    </row>
    <row r="63548" spans="3:3" x14ac:dyDescent="0.35">
      <c r="C63548" s="2"/>
    </row>
    <row r="63549" spans="3:3" x14ac:dyDescent="0.35">
      <c r="C63549" s="2"/>
    </row>
    <row r="63550" spans="3:3" x14ac:dyDescent="0.35">
      <c r="C63550" s="2"/>
    </row>
    <row r="63551" spans="3:3" x14ac:dyDescent="0.35">
      <c r="C63551" s="2"/>
    </row>
    <row r="63552" spans="3:3" x14ac:dyDescent="0.35">
      <c r="C63552" s="2"/>
    </row>
    <row r="63553" spans="3:3" x14ac:dyDescent="0.35">
      <c r="C63553" s="2"/>
    </row>
    <row r="63554" spans="3:3" x14ac:dyDescent="0.35">
      <c r="C63554" s="2"/>
    </row>
    <row r="63555" spans="3:3" x14ac:dyDescent="0.35">
      <c r="C63555" s="2"/>
    </row>
    <row r="63556" spans="3:3" x14ac:dyDescent="0.35">
      <c r="C63556" s="2"/>
    </row>
    <row r="63557" spans="3:3" x14ac:dyDescent="0.35">
      <c r="C63557" s="2"/>
    </row>
    <row r="63558" spans="3:3" x14ac:dyDescent="0.35">
      <c r="C63558" s="2"/>
    </row>
    <row r="63559" spans="3:3" x14ac:dyDescent="0.35">
      <c r="C63559" s="2"/>
    </row>
    <row r="63560" spans="3:3" x14ac:dyDescent="0.35">
      <c r="C63560" s="2"/>
    </row>
    <row r="63561" spans="3:3" x14ac:dyDescent="0.35">
      <c r="C63561" s="2"/>
    </row>
    <row r="63562" spans="3:3" x14ac:dyDescent="0.35">
      <c r="C63562" s="2"/>
    </row>
    <row r="63563" spans="3:3" x14ac:dyDescent="0.35">
      <c r="C63563" s="2"/>
    </row>
    <row r="63564" spans="3:3" x14ac:dyDescent="0.35">
      <c r="C63564" s="2"/>
    </row>
    <row r="63565" spans="3:3" x14ac:dyDescent="0.35">
      <c r="C63565" s="2"/>
    </row>
    <row r="63566" spans="3:3" x14ac:dyDescent="0.35">
      <c r="C63566" s="2"/>
    </row>
    <row r="63567" spans="3:3" x14ac:dyDescent="0.35">
      <c r="C63567" s="2"/>
    </row>
    <row r="63568" spans="3:3" x14ac:dyDescent="0.35">
      <c r="C63568" s="2"/>
    </row>
    <row r="63569" spans="3:3" x14ac:dyDescent="0.35">
      <c r="C63569" s="2"/>
    </row>
    <row r="63570" spans="3:3" x14ac:dyDescent="0.35">
      <c r="C63570" s="2"/>
    </row>
    <row r="63571" spans="3:3" x14ac:dyDescent="0.35">
      <c r="C63571" s="2"/>
    </row>
    <row r="63572" spans="3:3" x14ac:dyDescent="0.35">
      <c r="C63572" s="2"/>
    </row>
    <row r="63573" spans="3:3" x14ac:dyDescent="0.35">
      <c r="C63573" s="2"/>
    </row>
    <row r="63574" spans="3:3" x14ac:dyDescent="0.35">
      <c r="C63574" s="2"/>
    </row>
    <row r="63575" spans="3:3" x14ac:dyDescent="0.35">
      <c r="C63575" s="2"/>
    </row>
    <row r="63576" spans="3:3" x14ac:dyDescent="0.35">
      <c r="C63576" s="2"/>
    </row>
    <row r="63577" spans="3:3" x14ac:dyDescent="0.35">
      <c r="C63577" s="2"/>
    </row>
    <row r="63578" spans="3:3" x14ac:dyDescent="0.35">
      <c r="C63578" s="2"/>
    </row>
    <row r="63579" spans="3:3" x14ac:dyDescent="0.35">
      <c r="C63579" s="2"/>
    </row>
    <row r="63580" spans="3:3" x14ac:dyDescent="0.35">
      <c r="C63580" s="2"/>
    </row>
    <row r="63581" spans="3:3" x14ac:dyDescent="0.35">
      <c r="C63581" s="2"/>
    </row>
    <row r="63582" spans="3:3" x14ac:dyDescent="0.35">
      <c r="C63582" s="2"/>
    </row>
    <row r="63583" spans="3:3" x14ac:dyDescent="0.35">
      <c r="C63583" s="2"/>
    </row>
    <row r="63584" spans="3:3" x14ac:dyDescent="0.35">
      <c r="C63584" s="2"/>
    </row>
    <row r="63585" spans="3:3" x14ac:dyDescent="0.35">
      <c r="C63585" s="2"/>
    </row>
    <row r="63586" spans="3:3" x14ac:dyDescent="0.35">
      <c r="C63586" s="2"/>
    </row>
    <row r="63587" spans="3:3" x14ac:dyDescent="0.35">
      <c r="C63587" s="2"/>
    </row>
    <row r="63588" spans="3:3" x14ac:dyDescent="0.35">
      <c r="C63588" s="2"/>
    </row>
    <row r="63589" spans="3:3" x14ac:dyDescent="0.35">
      <c r="C63589" s="2"/>
    </row>
    <row r="63590" spans="3:3" x14ac:dyDescent="0.35">
      <c r="C63590" s="2"/>
    </row>
    <row r="63591" spans="3:3" x14ac:dyDescent="0.35">
      <c r="C63591" s="2"/>
    </row>
    <row r="63592" spans="3:3" x14ac:dyDescent="0.35">
      <c r="C63592" s="2"/>
    </row>
    <row r="63593" spans="3:3" x14ac:dyDescent="0.35">
      <c r="C63593" s="2"/>
    </row>
    <row r="63594" spans="3:3" x14ac:dyDescent="0.35">
      <c r="C63594" s="2"/>
    </row>
    <row r="63595" spans="3:3" x14ac:dyDescent="0.35">
      <c r="C63595" s="2"/>
    </row>
    <row r="63596" spans="3:3" x14ac:dyDescent="0.35">
      <c r="C63596" s="2"/>
    </row>
    <row r="63597" spans="3:3" x14ac:dyDescent="0.35">
      <c r="C63597" s="2"/>
    </row>
    <row r="63598" spans="3:3" x14ac:dyDescent="0.35">
      <c r="C63598" s="2"/>
    </row>
    <row r="63599" spans="3:3" x14ac:dyDescent="0.35">
      <c r="C63599" s="2"/>
    </row>
    <row r="63600" spans="3:3" x14ac:dyDescent="0.35">
      <c r="C63600" s="2"/>
    </row>
    <row r="63601" spans="3:3" x14ac:dyDescent="0.35">
      <c r="C63601" s="2"/>
    </row>
    <row r="63602" spans="3:3" x14ac:dyDescent="0.35">
      <c r="C63602" s="2"/>
    </row>
    <row r="63603" spans="3:3" x14ac:dyDescent="0.35">
      <c r="C63603" s="2"/>
    </row>
    <row r="63604" spans="3:3" x14ac:dyDescent="0.35">
      <c r="C63604" s="2"/>
    </row>
    <row r="63605" spans="3:3" x14ac:dyDescent="0.35">
      <c r="C63605" s="2"/>
    </row>
    <row r="63606" spans="3:3" x14ac:dyDescent="0.35">
      <c r="C63606" s="2"/>
    </row>
    <row r="63607" spans="3:3" x14ac:dyDescent="0.35">
      <c r="C63607" s="2"/>
    </row>
    <row r="63608" spans="3:3" x14ac:dyDescent="0.35">
      <c r="C63608" s="2"/>
    </row>
    <row r="63609" spans="3:3" x14ac:dyDescent="0.35">
      <c r="C63609" s="2"/>
    </row>
    <row r="63610" spans="3:3" x14ac:dyDescent="0.35">
      <c r="C63610" s="2"/>
    </row>
    <row r="63611" spans="3:3" x14ac:dyDescent="0.35">
      <c r="C63611" s="2"/>
    </row>
    <row r="63612" spans="3:3" x14ac:dyDescent="0.35">
      <c r="C63612" s="2"/>
    </row>
    <row r="63613" spans="3:3" x14ac:dyDescent="0.35">
      <c r="C63613" s="2"/>
    </row>
    <row r="63614" spans="3:3" x14ac:dyDescent="0.35">
      <c r="C63614" s="2"/>
    </row>
    <row r="63615" spans="3:3" x14ac:dyDescent="0.35">
      <c r="C63615" s="2"/>
    </row>
    <row r="63616" spans="3:3" x14ac:dyDescent="0.35">
      <c r="C63616" s="2"/>
    </row>
    <row r="63617" spans="3:3" x14ac:dyDescent="0.35">
      <c r="C63617" s="2"/>
    </row>
    <row r="63618" spans="3:3" x14ac:dyDescent="0.35">
      <c r="C63618" s="2"/>
    </row>
    <row r="63619" spans="3:3" x14ac:dyDescent="0.35">
      <c r="C63619" s="2"/>
    </row>
    <row r="63620" spans="3:3" x14ac:dyDescent="0.35">
      <c r="C63620" s="2"/>
    </row>
    <row r="63621" spans="3:3" x14ac:dyDescent="0.35">
      <c r="C63621" s="2"/>
    </row>
    <row r="63622" spans="3:3" x14ac:dyDescent="0.35">
      <c r="C63622" s="2"/>
    </row>
    <row r="63623" spans="3:3" x14ac:dyDescent="0.35">
      <c r="C63623" s="2"/>
    </row>
    <row r="63624" spans="3:3" x14ac:dyDescent="0.35">
      <c r="C63624" s="2"/>
    </row>
    <row r="63625" spans="3:3" x14ac:dyDescent="0.35">
      <c r="C63625" s="2"/>
    </row>
    <row r="63626" spans="3:3" x14ac:dyDescent="0.35">
      <c r="C63626" s="2"/>
    </row>
    <row r="63627" spans="3:3" x14ac:dyDescent="0.35">
      <c r="C63627" s="2"/>
    </row>
    <row r="63628" spans="3:3" x14ac:dyDescent="0.35">
      <c r="C63628" s="2"/>
    </row>
    <row r="63629" spans="3:3" x14ac:dyDescent="0.35">
      <c r="C63629" s="2"/>
    </row>
    <row r="63630" spans="3:3" x14ac:dyDescent="0.35">
      <c r="C63630" s="2"/>
    </row>
    <row r="63631" spans="3:3" x14ac:dyDescent="0.35">
      <c r="C63631" s="2"/>
    </row>
    <row r="63632" spans="3:3" x14ac:dyDescent="0.35">
      <c r="C63632" s="2"/>
    </row>
    <row r="63633" spans="3:3" x14ac:dyDescent="0.35">
      <c r="C63633" s="2"/>
    </row>
    <row r="63634" spans="3:3" x14ac:dyDescent="0.35">
      <c r="C63634" s="2"/>
    </row>
    <row r="63635" spans="3:3" x14ac:dyDescent="0.35">
      <c r="C63635" s="2"/>
    </row>
    <row r="63636" spans="3:3" x14ac:dyDescent="0.35">
      <c r="C63636" s="2"/>
    </row>
    <row r="63637" spans="3:3" x14ac:dyDescent="0.35">
      <c r="C63637" s="2"/>
    </row>
    <row r="63638" spans="3:3" x14ac:dyDescent="0.35">
      <c r="C63638" s="2"/>
    </row>
    <row r="63639" spans="3:3" x14ac:dyDescent="0.35">
      <c r="C63639" s="2"/>
    </row>
    <row r="63640" spans="3:3" x14ac:dyDescent="0.35">
      <c r="C63640" s="2"/>
    </row>
    <row r="63641" spans="3:3" x14ac:dyDescent="0.35">
      <c r="C63641" s="2"/>
    </row>
    <row r="63642" spans="3:3" x14ac:dyDescent="0.35">
      <c r="C63642" s="2"/>
    </row>
    <row r="63643" spans="3:3" x14ac:dyDescent="0.35">
      <c r="C63643" s="2"/>
    </row>
    <row r="63644" spans="3:3" x14ac:dyDescent="0.35">
      <c r="C63644" s="2"/>
    </row>
    <row r="63645" spans="3:3" x14ac:dyDescent="0.35">
      <c r="C63645" s="2"/>
    </row>
    <row r="63646" spans="3:3" x14ac:dyDescent="0.35">
      <c r="C63646" s="2"/>
    </row>
    <row r="63647" spans="3:3" x14ac:dyDescent="0.35">
      <c r="C63647" s="2"/>
    </row>
    <row r="63648" spans="3:3" x14ac:dyDescent="0.35">
      <c r="C63648" s="2"/>
    </row>
    <row r="63649" spans="3:3" x14ac:dyDescent="0.35">
      <c r="C63649" s="2"/>
    </row>
    <row r="63650" spans="3:3" x14ac:dyDescent="0.35">
      <c r="C63650" s="2"/>
    </row>
    <row r="63651" spans="3:3" x14ac:dyDescent="0.35">
      <c r="C63651" s="2"/>
    </row>
    <row r="63652" spans="3:3" x14ac:dyDescent="0.35">
      <c r="C63652" s="2"/>
    </row>
    <row r="63653" spans="3:3" x14ac:dyDescent="0.35">
      <c r="C63653" s="2"/>
    </row>
    <row r="63654" spans="3:3" x14ac:dyDescent="0.35">
      <c r="C63654" s="2"/>
    </row>
    <row r="63655" spans="3:3" x14ac:dyDescent="0.35">
      <c r="C63655" s="2"/>
    </row>
    <row r="63656" spans="3:3" x14ac:dyDescent="0.35">
      <c r="C63656" s="2"/>
    </row>
    <row r="63657" spans="3:3" x14ac:dyDescent="0.35">
      <c r="C63657" s="2"/>
    </row>
    <row r="63658" spans="3:3" x14ac:dyDescent="0.35">
      <c r="C63658" s="2"/>
    </row>
    <row r="63659" spans="3:3" x14ac:dyDescent="0.35">
      <c r="C63659" s="2"/>
    </row>
    <row r="63660" spans="3:3" x14ac:dyDescent="0.35">
      <c r="C63660" s="2"/>
    </row>
    <row r="63661" spans="3:3" x14ac:dyDescent="0.35">
      <c r="C63661" s="2"/>
    </row>
    <row r="63662" spans="3:3" x14ac:dyDescent="0.35">
      <c r="C63662" s="2"/>
    </row>
    <row r="63663" spans="3:3" x14ac:dyDescent="0.35">
      <c r="C63663" s="2"/>
    </row>
    <row r="63664" spans="3:3" x14ac:dyDescent="0.35">
      <c r="C63664" s="2"/>
    </row>
    <row r="63665" spans="3:3" x14ac:dyDescent="0.35">
      <c r="C63665" s="2"/>
    </row>
    <row r="63666" spans="3:3" x14ac:dyDescent="0.35">
      <c r="C63666" s="2"/>
    </row>
    <row r="63667" spans="3:3" x14ac:dyDescent="0.35">
      <c r="C63667" s="2"/>
    </row>
    <row r="63668" spans="3:3" x14ac:dyDescent="0.35">
      <c r="C63668" s="2"/>
    </row>
    <row r="63669" spans="3:3" x14ac:dyDescent="0.35">
      <c r="C63669" s="2"/>
    </row>
    <row r="63670" spans="3:3" x14ac:dyDescent="0.35">
      <c r="C63670" s="2"/>
    </row>
    <row r="63671" spans="3:3" x14ac:dyDescent="0.35">
      <c r="C63671" s="2"/>
    </row>
    <row r="63672" spans="3:3" x14ac:dyDescent="0.35">
      <c r="C63672" s="2"/>
    </row>
    <row r="63673" spans="3:3" x14ac:dyDescent="0.35">
      <c r="C63673" s="2"/>
    </row>
    <row r="63674" spans="3:3" x14ac:dyDescent="0.35">
      <c r="C63674" s="2"/>
    </row>
    <row r="63675" spans="3:3" x14ac:dyDescent="0.35">
      <c r="C63675" s="2"/>
    </row>
    <row r="63676" spans="3:3" x14ac:dyDescent="0.35">
      <c r="C63676" s="2"/>
    </row>
    <row r="63677" spans="3:3" x14ac:dyDescent="0.35">
      <c r="C63677" s="2"/>
    </row>
    <row r="63678" spans="3:3" x14ac:dyDescent="0.35">
      <c r="C63678" s="2"/>
    </row>
    <row r="63679" spans="3:3" x14ac:dyDescent="0.35">
      <c r="C63679" s="2"/>
    </row>
    <row r="63680" spans="3:3" x14ac:dyDescent="0.35">
      <c r="C63680" s="2"/>
    </row>
    <row r="63681" spans="3:3" x14ac:dyDescent="0.35">
      <c r="C63681" s="2"/>
    </row>
    <row r="63682" spans="3:3" x14ac:dyDescent="0.35">
      <c r="C63682" s="2"/>
    </row>
    <row r="63683" spans="3:3" x14ac:dyDescent="0.35">
      <c r="C63683" s="2"/>
    </row>
    <row r="63684" spans="3:3" x14ac:dyDescent="0.35">
      <c r="C63684" s="2"/>
    </row>
    <row r="63685" spans="3:3" x14ac:dyDescent="0.35">
      <c r="C63685" s="2"/>
    </row>
    <row r="63686" spans="3:3" x14ac:dyDescent="0.35">
      <c r="C63686" s="2"/>
    </row>
    <row r="63687" spans="3:3" x14ac:dyDescent="0.35">
      <c r="C63687" s="2"/>
    </row>
    <row r="63688" spans="3:3" x14ac:dyDescent="0.35">
      <c r="C63688" s="2"/>
    </row>
    <row r="63689" spans="3:3" x14ac:dyDescent="0.35">
      <c r="C63689" s="2"/>
    </row>
    <row r="63690" spans="3:3" x14ac:dyDescent="0.35">
      <c r="C63690" s="2"/>
    </row>
    <row r="63691" spans="3:3" x14ac:dyDescent="0.35">
      <c r="C63691" s="2"/>
    </row>
    <row r="63692" spans="3:3" x14ac:dyDescent="0.35">
      <c r="C63692" s="2"/>
    </row>
    <row r="63693" spans="3:3" x14ac:dyDescent="0.35">
      <c r="C63693" s="2"/>
    </row>
    <row r="63694" spans="3:3" x14ac:dyDescent="0.35">
      <c r="C63694" s="2"/>
    </row>
    <row r="63695" spans="3:3" x14ac:dyDescent="0.35">
      <c r="C63695" s="2"/>
    </row>
    <row r="63696" spans="3:3" x14ac:dyDescent="0.35">
      <c r="C63696" s="2"/>
    </row>
    <row r="63697" spans="3:3" x14ac:dyDescent="0.35">
      <c r="C63697" s="2"/>
    </row>
    <row r="63698" spans="3:3" x14ac:dyDescent="0.35">
      <c r="C63698" s="2"/>
    </row>
    <row r="63699" spans="3:3" x14ac:dyDescent="0.35">
      <c r="C63699" s="2"/>
    </row>
    <row r="63700" spans="3:3" x14ac:dyDescent="0.35">
      <c r="C63700" s="2"/>
    </row>
    <row r="63701" spans="3:3" x14ac:dyDescent="0.35">
      <c r="C63701" s="2"/>
    </row>
    <row r="63702" spans="3:3" x14ac:dyDescent="0.35">
      <c r="C63702" s="2"/>
    </row>
    <row r="63703" spans="3:3" x14ac:dyDescent="0.35">
      <c r="C63703" s="2"/>
    </row>
    <row r="63704" spans="3:3" x14ac:dyDescent="0.35">
      <c r="C63704" s="2"/>
    </row>
    <row r="63705" spans="3:3" x14ac:dyDescent="0.35">
      <c r="C63705" s="2"/>
    </row>
    <row r="63706" spans="3:3" x14ac:dyDescent="0.35">
      <c r="C63706" s="2"/>
    </row>
    <row r="63707" spans="3:3" x14ac:dyDescent="0.35">
      <c r="C63707" s="2"/>
    </row>
    <row r="63708" spans="3:3" x14ac:dyDescent="0.35">
      <c r="C63708" s="2"/>
    </row>
    <row r="63709" spans="3:3" x14ac:dyDescent="0.35">
      <c r="C63709" s="2"/>
    </row>
    <row r="63710" spans="3:3" x14ac:dyDescent="0.35">
      <c r="C63710" s="2"/>
    </row>
    <row r="63711" spans="3:3" x14ac:dyDescent="0.35">
      <c r="C63711" s="2"/>
    </row>
    <row r="63712" spans="3:3" x14ac:dyDescent="0.35">
      <c r="C63712" s="2"/>
    </row>
    <row r="63713" spans="3:3" x14ac:dyDescent="0.35">
      <c r="C63713" s="2"/>
    </row>
    <row r="63714" spans="3:3" x14ac:dyDescent="0.35">
      <c r="C63714" s="2"/>
    </row>
    <row r="63715" spans="3:3" x14ac:dyDescent="0.35">
      <c r="C63715" s="2"/>
    </row>
    <row r="63716" spans="3:3" x14ac:dyDescent="0.35">
      <c r="C63716" s="2"/>
    </row>
    <row r="63717" spans="3:3" x14ac:dyDescent="0.35">
      <c r="C63717" s="2"/>
    </row>
    <row r="63718" spans="3:3" x14ac:dyDescent="0.35">
      <c r="C63718" s="2"/>
    </row>
    <row r="63719" spans="3:3" x14ac:dyDescent="0.35">
      <c r="C63719" s="2"/>
    </row>
    <row r="63720" spans="3:3" x14ac:dyDescent="0.35">
      <c r="C63720" s="2"/>
    </row>
    <row r="63721" spans="3:3" x14ac:dyDescent="0.35">
      <c r="C63721" s="2"/>
    </row>
    <row r="63722" spans="3:3" x14ac:dyDescent="0.35">
      <c r="C63722" s="2"/>
    </row>
    <row r="63723" spans="3:3" x14ac:dyDescent="0.35">
      <c r="C63723" s="2"/>
    </row>
    <row r="63724" spans="3:3" x14ac:dyDescent="0.35">
      <c r="C63724" s="2"/>
    </row>
    <row r="63725" spans="3:3" x14ac:dyDescent="0.35">
      <c r="C63725" s="2"/>
    </row>
    <row r="63726" spans="3:3" x14ac:dyDescent="0.35">
      <c r="C63726" s="2"/>
    </row>
    <row r="63727" spans="3:3" x14ac:dyDescent="0.35">
      <c r="C63727" s="2"/>
    </row>
    <row r="63728" spans="3:3" x14ac:dyDescent="0.35">
      <c r="C63728" s="2"/>
    </row>
    <row r="63729" spans="3:3" x14ac:dyDescent="0.35">
      <c r="C63729" s="2"/>
    </row>
    <row r="63730" spans="3:3" x14ac:dyDescent="0.35">
      <c r="C63730" s="2"/>
    </row>
    <row r="63731" spans="3:3" x14ac:dyDescent="0.35">
      <c r="C63731" s="2"/>
    </row>
    <row r="63732" spans="3:3" x14ac:dyDescent="0.35">
      <c r="C63732" s="2"/>
    </row>
    <row r="63733" spans="3:3" x14ac:dyDescent="0.35">
      <c r="C63733" s="2"/>
    </row>
    <row r="63734" spans="3:3" x14ac:dyDescent="0.35">
      <c r="C63734" s="2"/>
    </row>
    <row r="63735" spans="3:3" x14ac:dyDescent="0.35">
      <c r="C63735" s="2"/>
    </row>
    <row r="63736" spans="3:3" x14ac:dyDescent="0.35">
      <c r="C63736" s="2"/>
    </row>
    <row r="63737" spans="3:3" x14ac:dyDescent="0.35">
      <c r="C63737" s="2"/>
    </row>
    <row r="63738" spans="3:3" x14ac:dyDescent="0.35">
      <c r="C63738" s="2"/>
    </row>
    <row r="63739" spans="3:3" x14ac:dyDescent="0.35">
      <c r="C63739" s="2"/>
    </row>
    <row r="63740" spans="3:3" x14ac:dyDescent="0.35">
      <c r="C63740" s="2"/>
    </row>
    <row r="63741" spans="3:3" x14ac:dyDescent="0.35">
      <c r="C63741" s="2"/>
    </row>
    <row r="63742" spans="3:3" x14ac:dyDescent="0.35">
      <c r="C63742" s="2"/>
    </row>
    <row r="63743" spans="3:3" x14ac:dyDescent="0.35">
      <c r="C63743" s="2"/>
    </row>
    <row r="63744" spans="3:3" x14ac:dyDescent="0.35">
      <c r="C63744" s="2"/>
    </row>
    <row r="63745" spans="3:3" x14ac:dyDescent="0.35">
      <c r="C63745" s="2"/>
    </row>
    <row r="63746" spans="3:3" x14ac:dyDescent="0.35">
      <c r="C63746" s="2"/>
    </row>
    <row r="63747" spans="3:3" x14ac:dyDescent="0.35">
      <c r="C63747" s="2"/>
    </row>
    <row r="63748" spans="3:3" x14ac:dyDescent="0.35">
      <c r="C63748" s="2"/>
    </row>
    <row r="63749" spans="3:3" x14ac:dyDescent="0.35">
      <c r="C63749" s="2"/>
    </row>
    <row r="63750" spans="3:3" x14ac:dyDescent="0.35">
      <c r="C63750" s="2"/>
    </row>
    <row r="63751" spans="3:3" x14ac:dyDescent="0.35">
      <c r="C63751" s="2"/>
    </row>
    <row r="63752" spans="3:3" x14ac:dyDescent="0.35">
      <c r="C63752" s="2"/>
    </row>
    <row r="63753" spans="3:3" x14ac:dyDescent="0.35">
      <c r="C63753" s="2"/>
    </row>
    <row r="63754" spans="3:3" x14ac:dyDescent="0.35">
      <c r="C63754" s="2"/>
    </row>
    <row r="63755" spans="3:3" x14ac:dyDescent="0.35">
      <c r="C63755" s="2"/>
    </row>
    <row r="63756" spans="3:3" x14ac:dyDescent="0.35">
      <c r="C63756" s="2"/>
    </row>
    <row r="63757" spans="3:3" x14ac:dyDescent="0.35">
      <c r="C63757" s="2"/>
    </row>
    <row r="63758" spans="3:3" x14ac:dyDescent="0.35">
      <c r="C63758" s="2"/>
    </row>
    <row r="63759" spans="3:3" x14ac:dyDescent="0.35">
      <c r="C63759" s="2"/>
    </row>
    <row r="63760" spans="3:3" x14ac:dyDescent="0.35">
      <c r="C63760" s="2"/>
    </row>
    <row r="63761" spans="3:3" x14ac:dyDescent="0.35">
      <c r="C63761" s="2"/>
    </row>
    <row r="63762" spans="3:3" x14ac:dyDescent="0.35">
      <c r="C63762" s="2"/>
    </row>
    <row r="63763" spans="3:3" x14ac:dyDescent="0.35">
      <c r="C63763" s="2"/>
    </row>
    <row r="63764" spans="3:3" x14ac:dyDescent="0.35">
      <c r="C63764" s="2"/>
    </row>
    <row r="63765" spans="3:3" x14ac:dyDescent="0.35">
      <c r="C63765" s="2"/>
    </row>
    <row r="63766" spans="3:3" x14ac:dyDescent="0.35">
      <c r="C63766" s="2"/>
    </row>
    <row r="63767" spans="3:3" x14ac:dyDescent="0.35">
      <c r="C63767" s="2"/>
    </row>
    <row r="63768" spans="3:3" x14ac:dyDescent="0.35">
      <c r="C63768" s="2"/>
    </row>
    <row r="63769" spans="3:3" x14ac:dyDescent="0.35">
      <c r="C63769" s="2"/>
    </row>
    <row r="63770" spans="3:3" x14ac:dyDescent="0.35">
      <c r="C63770" s="2"/>
    </row>
    <row r="63771" spans="3:3" x14ac:dyDescent="0.35">
      <c r="C63771" s="2"/>
    </row>
    <row r="63772" spans="3:3" x14ac:dyDescent="0.35">
      <c r="C63772" s="2"/>
    </row>
    <row r="63773" spans="3:3" x14ac:dyDescent="0.35">
      <c r="C63773" s="2"/>
    </row>
    <row r="63774" spans="3:3" x14ac:dyDescent="0.35">
      <c r="C63774" s="2"/>
    </row>
    <row r="63775" spans="3:3" x14ac:dyDescent="0.35">
      <c r="C63775" s="2"/>
    </row>
    <row r="63776" spans="3:3" x14ac:dyDescent="0.35">
      <c r="C63776" s="2"/>
    </row>
    <row r="63777" spans="3:3" x14ac:dyDescent="0.35">
      <c r="C63777" s="2"/>
    </row>
    <row r="63778" spans="3:3" x14ac:dyDescent="0.35">
      <c r="C63778" s="2"/>
    </row>
    <row r="63779" spans="3:3" x14ac:dyDescent="0.35">
      <c r="C63779" s="2"/>
    </row>
    <row r="63780" spans="3:3" x14ac:dyDescent="0.35">
      <c r="C63780" s="2"/>
    </row>
    <row r="63781" spans="3:3" x14ac:dyDescent="0.35">
      <c r="C63781" s="2"/>
    </row>
    <row r="63782" spans="3:3" x14ac:dyDescent="0.35">
      <c r="C63782" s="2"/>
    </row>
    <row r="63783" spans="3:3" x14ac:dyDescent="0.35">
      <c r="C63783" s="2"/>
    </row>
    <row r="63784" spans="3:3" x14ac:dyDescent="0.35">
      <c r="C63784" s="2"/>
    </row>
    <row r="63785" spans="3:3" x14ac:dyDescent="0.35">
      <c r="C63785" s="2"/>
    </row>
    <row r="63786" spans="3:3" x14ac:dyDescent="0.35">
      <c r="C63786" s="2"/>
    </row>
    <row r="63787" spans="3:3" x14ac:dyDescent="0.35">
      <c r="C63787" s="2"/>
    </row>
    <row r="63788" spans="3:3" x14ac:dyDescent="0.35">
      <c r="C63788" s="2"/>
    </row>
    <row r="63789" spans="3:3" x14ac:dyDescent="0.35">
      <c r="C63789" s="2"/>
    </row>
    <row r="63790" spans="3:3" x14ac:dyDescent="0.35">
      <c r="C63790" s="2"/>
    </row>
    <row r="63791" spans="3:3" x14ac:dyDescent="0.35">
      <c r="C63791" s="2"/>
    </row>
    <row r="63792" spans="3:3" x14ac:dyDescent="0.35">
      <c r="C63792" s="2"/>
    </row>
    <row r="63793" spans="3:3" x14ac:dyDescent="0.35">
      <c r="C63793" s="2"/>
    </row>
    <row r="63794" spans="3:3" x14ac:dyDescent="0.35">
      <c r="C63794" s="2"/>
    </row>
    <row r="63795" spans="3:3" x14ac:dyDescent="0.35">
      <c r="C63795" s="2"/>
    </row>
    <row r="63796" spans="3:3" x14ac:dyDescent="0.35">
      <c r="C63796" s="2"/>
    </row>
    <row r="63797" spans="3:3" x14ac:dyDescent="0.35">
      <c r="C63797" s="2"/>
    </row>
    <row r="63798" spans="3:3" x14ac:dyDescent="0.35">
      <c r="C63798" s="2"/>
    </row>
    <row r="63799" spans="3:3" x14ac:dyDescent="0.35">
      <c r="C63799" s="2"/>
    </row>
    <row r="63800" spans="3:3" x14ac:dyDescent="0.35">
      <c r="C63800" s="2"/>
    </row>
    <row r="63801" spans="3:3" x14ac:dyDescent="0.35">
      <c r="C63801" s="2"/>
    </row>
    <row r="63802" spans="3:3" x14ac:dyDescent="0.35">
      <c r="C63802" s="2"/>
    </row>
    <row r="63803" spans="3:3" x14ac:dyDescent="0.35">
      <c r="C63803" s="2"/>
    </row>
    <row r="63804" spans="3:3" x14ac:dyDescent="0.35">
      <c r="C63804" s="2"/>
    </row>
    <row r="63805" spans="3:3" x14ac:dyDescent="0.35">
      <c r="C63805" s="2"/>
    </row>
    <row r="63806" spans="3:3" x14ac:dyDescent="0.35">
      <c r="C63806" s="2"/>
    </row>
    <row r="63807" spans="3:3" x14ac:dyDescent="0.35">
      <c r="C63807" s="2"/>
    </row>
    <row r="63808" spans="3:3" x14ac:dyDescent="0.35">
      <c r="C63808" s="2"/>
    </row>
    <row r="63809" spans="3:3" x14ac:dyDescent="0.35">
      <c r="C63809" s="2"/>
    </row>
    <row r="63810" spans="3:3" x14ac:dyDescent="0.35">
      <c r="C63810" s="2"/>
    </row>
    <row r="63811" spans="3:3" x14ac:dyDescent="0.35">
      <c r="C63811" s="2"/>
    </row>
    <row r="63812" spans="3:3" x14ac:dyDescent="0.35">
      <c r="C63812" s="2"/>
    </row>
    <row r="63813" spans="3:3" x14ac:dyDescent="0.35">
      <c r="C63813" s="2"/>
    </row>
    <row r="63814" spans="3:3" x14ac:dyDescent="0.35">
      <c r="C63814" s="2"/>
    </row>
    <row r="63815" spans="3:3" x14ac:dyDescent="0.35">
      <c r="C63815" s="2"/>
    </row>
    <row r="63816" spans="3:3" x14ac:dyDescent="0.35">
      <c r="C63816" s="2"/>
    </row>
    <row r="63817" spans="3:3" x14ac:dyDescent="0.35">
      <c r="C63817" s="2"/>
    </row>
    <row r="63818" spans="3:3" x14ac:dyDescent="0.35">
      <c r="C63818" s="2"/>
    </row>
    <row r="63819" spans="3:3" x14ac:dyDescent="0.35">
      <c r="C63819" s="2"/>
    </row>
    <row r="63820" spans="3:3" x14ac:dyDescent="0.35">
      <c r="C63820" s="2"/>
    </row>
    <row r="63821" spans="3:3" x14ac:dyDescent="0.35">
      <c r="C63821" s="2"/>
    </row>
    <row r="63822" spans="3:3" x14ac:dyDescent="0.35">
      <c r="C63822" s="2"/>
    </row>
    <row r="63823" spans="3:3" x14ac:dyDescent="0.35">
      <c r="C63823" s="2"/>
    </row>
    <row r="63824" spans="3:3" x14ac:dyDescent="0.35">
      <c r="C63824" s="2"/>
    </row>
    <row r="63825" spans="3:3" x14ac:dyDescent="0.35">
      <c r="C63825" s="2"/>
    </row>
    <row r="63826" spans="3:3" x14ac:dyDescent="0.35">
      <c r="C63826" s="2"/>
    </row>
    <row r="63827" spans="3:3" x14ac:dyDescent="0.35">
      <c r="C63827" s="2"/>
    </row>
    <row r="63828" spans="3:3" x14ac:dyDescent="0.35">
      <c r="C63828" s="2"/>
    </row>
    <row r="63829" spans="3:3" x14ac:dyDescent="0.35">
      <c r="C63829" s="2"/>
    </row>
    <row r="63830" spans="3:3" x14ac:dyDescent="0.35">
      <c r="C63830" s="2"/>
    </row>
    <row r="63831" spans="3:3" x14ac:dyDescent="0.35">
      <c r="C63831" s="2"/>
    </row>
    <row r="63832" spans="3:3" x14ac:dyDescent="0.35">
      <c r="C63832" s="2"/>
    </row>
    <row r="63833" spans="3:3" x14ac:dyDescent="0.35">
      <c r="C63833" s="2"/>
    </row>
    <row r="63834" spans="3:3" x14ac:dyDescent="0.35">
      <c r="C63834" s="2"/>
    </row>
    <row r="63835" spans="3:3" x14ac:dyDescent="0.35">
      <c r="C63835" s="2"/>
    </row>
    <row r="63836" spans="3:3" x14ac:dyDescent="0.35">
      <c r="C63836" s="2"/>
    </row>
    <row r="63837" spans="3:3" x14ac:dyDescent="0.35">
      <c r="C63837" s="2"/>
    </row>
    <row r="63838" spans="3:3" x14ac:dyDescent="0.35">
      <c r="C63838" s="2"/>
    </row>
    <row r="63839" spans="3:3" x14ac:dyDescent="0.35">
      <c r="C63839" s="2"/>
    </row>
    <row r="63840" spans="3:3" x14ac:dyDescent="0.35">
      <c r="C63840" s="2"/>
    </row>
    <row r="63841" spans="3:3" x14ac:dyDescent="0.35">
      <c r="C63841" s="2"/>
    </row>
    <row r="63842" spans="3:3" x14ac:dyDescent="0.35">
      <c r="C63842" s="2"/>
    </row>
    <row r="63843" spans="3:3" x14ac:dyDescent="0.35">
      <c r="C63843" s="2"/>
    </row>
    <row r="63844" spans="3:3" x14ac:dyDescent="0.35">
      <c r="C63844" s="2"/>
    </row>
    <row r="63845" spans="3:3" x14ac:dyDescent="0.35">
      <c r="C63845" s="2"/>
    </row>
    <row r="63846" spans="3:3" x14ac:dyDescent="0.35">
      <c r="C63846" s="2"/>
    </row>
    <row r="63847" spans="3:3" x14ac:dyDescent="0.35">
      <c r="C63847" s="2"/>
    </row>
    <row r="63848" spans="3:3" x14ac:dyDescent="0.35">
      <c r="C63848" s="2"/>
    </row>
    <row r="63849" spans="3:3" x14ac:dyDescent="0.35">
      <c r="C63849" s="2"/>
    </row>
    <row r="63850" spans="3:3" x14ac:dyDescent="0.35">
      <c r="C63850" s="2"/>
    </row>
    <row r="63851" spans="3:3" x14ac:dyDescent="0.35">
      <c r="C63851" s="2"/>
    </row>
    <row r="63852" spans="3:3" x14ac:dyDescent="0.35">
      <c r="C63852" s="2"/>
    </row>
    <row r="63853" spans="3:3" x14ac:dyDescent="0.35">
      <c r="C63853" s="2"/>
    </row>
    <row r="63854" spans="3:3" x14ac:dyDescent="0.35">
      <c r="C63854" s="2"/>
    </row>
    <row r="63855" spans="3:3" x14ac:dyDescent="0.35">
      <c r="C63855" s="2"/>
    </row>
    <row r="63856" spans="3:3" x14ac:dyDescent="0.35">
      <c r="C63856" s="2"/>
    </row>
    <row r="63857" spans="3:3" x14ac:dyDescent="0.35">
      <c r="C63857" s="2"/>
    </row>
    <row r="63858" spans="3:3" x14ac:dyDescent="0.35">
      <c r="C63858" s="2"/>
    </row>
    <row r="63859" spans="3:3" x14ac:dyDescent="0.35">
      <c r="C63859" s="2"/>
    </row>
    <row r="63860" spans="3:3" x14ac:dyDescent="0.35">
      <c r="C63860" s="2"/>
    </row>
    <row r="63861" spans="3:3" x14ac:dyDescent="0.35">
      <c r="C63861" s="2"/>
    </row>
    <row r="63862" spans="3:3" x14ac:dyDescent="0.35">
      <c r="C63862" s="2"/>
    </row>
    <row r="63863" spans="3:3" x14ac:dyDescent="0.35">
      <c r="C63863" s="2"/>
    </row>
    <row r="63864" spans="3:3" x14ac:dyDescent="0.35">
      <c r="C63864" s="2"/>
    </row>
    <row r="63865" spans="3:3" x14ac:dyDescent="0.35">
      <c r="C63865" s="2"/>
    </row>
    <row r="63866" spans="3:3" x14ac:dyDescent="0.35">
      <c r="C63866" s="2"/>
    </row>
    <row r="63867" spans="3:3" x14ac:dyDescent="0.35">
      <c r="C63867" s="2"/>
    </row>
    <row r="63868" spans="3:3" x14ac:dyDescent="0.35">
      <c r="C63868" s="2"/>
    </row>
    <row r="63869" spans="3:3" x14ac:dyDescent="0.35">
      <c r="C63869" s="2"/>
    </row>
    <row r="63870" spans="3:3" x14ac:dyDescent="0.35">
      <c r="C63870" s="2"/>
    </row>
    <row r="63871" spans="3:3" x14ac:dyDescent="0.35">
      <c r="C63871" s="2"/>
    </row>
    <row r="63872" spans="3:3" x14ac:dyDescent="0.35">
      <c r="C63872" s="2"/>
    </row>
    <row r="63873" spans="3:3" x14ac:dyDescent="0.35">
      <c r="C63873" s="2"/>
    </row>
    <row r="63874" spans="3:3" x14ac:dyDescent="0.35">
      <c r="C63874" s="2"/>
    </row>
    <row r="63875" spans="3:3" x14ac:dyDescent="0.35">
      <c r="C63875" s="2"/>
    </row>
    <row r="63876" spans="3:3" x14ac:dyDescent="0.35">
      <c r="C63876" s="2"/>
    </row>
    <row r="63877" spans="3:3" x14ac:dyDescent="0.35">
      <c r="C63877" s="2"/>
    </row>
    <row r="63878" spans="3:3" x14ac:dyDescent="0.35">
      <c r="C63878" s="2"/>
    </row>
    <row r="63879" spans="3:3" x14ac:dyDescent="0.35">
      <c r="C63879" s="2"/>
    </row>
    <row r="63880" spans="3:3" x14ac:dyDescent="0.35">
      <c r="C63880" s="2"/>
    </row>
    <row r="63881" spans="3:3" x14ac:dyDescent="0.35">
      <c r="C63881" s="2"/>
    </row>
    <row r="63882" spans="3:3" x14ac:dyDescent="0.35">
      <c r="C63882" s="2"/>
    </row>
    <row r="63883" spans="3:3" x14ac:dyDescent="0.35">
      <c r="C63883" s="2"/>
    </row>
    <row r="63884" spans="3:3" x14ac:dyDescent="0.35">
      <c r="C63884" s="2"/>
    </row>
    <row r="63885" spans="3:3" x14ac:dyDescent="0.35">
      <c r="C63885" s="2"/>
    </row>
    <row r="63886" spans="3:3" x14ac:dyDescent="0.35">
      <c r="C63886" s="2"/>
    </row>
    <row r="63887" spans="3:3" x14ac:dyDescent="0.35">
      <c r="C63887" s="2"/>
    </row>
    <row r="63888" spans="3:3" x14ac:dyDescent="0.35">
      <c r="C63888" s="2"/>
    </row>
    <row r="63889" spans="3:3" x14ac:dyDescent="0.35">
      <c r="C63889" s="2"/>
    </row>
    <row r="63890" spans="3:3" x14ac:dyDescent="0.35">
      <c r="C63890" s="2"/>
    </row>
    <row r="63891" spans="3:3" x14ac:dyDescent="0.35">
      <c r="C63891" s="2"/>
    </row>
    <row r="63892" spans="3:3" x14ac:dyDescent="0.35">
      <c r="C63892" s="2"/>
    </row>
    <row r="63893" spans="3:3" x14ac:dyDescent="0.35">
      <c r="C63893" s="2"/>
    </row>
    <row r="63894" spans="3:3" x14ac:dyDescent="0.35">
      <c r="C63894" s="2"/>
    </row>
    <row r="63895" spans="3:3" x14ac:dyDescent="0.35">
      <c r="C63895" s="2"/>
    </row>
    <row r="63896" spans="3:3" x14ac:dyDescent="0.35">
      <c r="C63896" s="2"/>
    </row>
    <row r="63897" spans="3:3" x14ac:dyDescent="0.35">
      <c r="C63897" s="2"/>
    </row>
    <row r="63898" spans="3:3" x14ac:dyDescent="0.35">
      <c r="C63898" s="2"/>
    </row>
    <row r="63899" spans="3:3" x14ac:dyDescent="0.35">
      <c r="C63899" s="2"/>
    </row>
    <row r="63900" spans="3:3" x14ac:dyDescent="0.35">
      <c r="C63900" s="2"/>
    </row>
    <row r="63901" spans="3:3" x14ac:dyDescent="0.35">
      <c r="C63901" s="2"/>
    </row>
    <row r="63902" spans="3:3" x14ac:dyDescent="0.35">
      <c r="C63902" s="2"/>
    </row>
    <row r="63903" spans="3:3" x14ac:dyDescent="0.35">
      <c r="C63903" s="2"/>
    </row>
    <row r="63904" spans="3:3" x14ac:dyDescent="0.35">
      <c r="C63904" s="2"/>
    </row>
    <row r="63905" spans="3:3" x14ac:dyDescent="0.35">
      <c r="C63905" s="2"/>
    </row>
    <row r="63906" spans="3:3" x14ac:dyDescent="0.35">
      <c r="C63906" s="2"/>
    </row>
    <row r="63907" spans="3:3" x14ac:dyDescent="0.35">
      <c r="C63907" s="2"/>
    </row>
    <row r="63908" spans="3:3" x14ac:dyDescent="0.35">
      <c r="C63908" s="2"/>
    </row>
    <row r="63909" spans="3:3" x14ac:dyDescent="0.35">
      <c r="C63909" s="2"/>
    </row>
    <row r="63910" spans="3:3" x14ac:dyDescent="0.35">
      <c r="C63910" s="2"/>
    </row>
    <row r="63911" spans="3:3" x14ac:dyDescent="0.35">
      <c r="C63911" s="2"/>
    </row>
    <row r="63912" spans="3:3" x14ac:dyDescent="0.35">
      <c r="C63912" s="2"/>
    </row>
    <row r="63913" spans="3:3" x14ac:dyDescent="0.35">
      <c r="C63913" s="2"/>
    </row>
    <row r="63914" spans="3:3" x14ac:dyDescent="0.35">
      <c r="C63914" s="2"/>
    </row>
    <row r="63915" spans="3:3" x14ac:dyDescent="0.35">
      <c r="C63915" s="2"/>
    </row>
    <row r="63916" spans="3:3" x14ac:dyDescent="0.35">
      <c r="C63916" s="2"/>
    </row>
    <row r="63917" spans="3:3" x14ac:dyDescent="0.35">
      <c r="C63917" s="2"/>
    </row>
    <row r="63918" spans="3:3" x14ac:dyDescent="0.35">
      <c r="C63918" s="2"/>
    </row>
    <row r="63919" spans="3:3" x14ac:dyDescent="0.35">
      <c r="C63919" s="2"/>
    </row>
    <row r="63920" spans="3:3" x14ac:dyDescent="0.35">
      <c r="C63920" s="2"/>
    </row>
    <row r="63921" spans="3:3" x14ac:dyDescent="0.35">
      <c r="C63921" s="2"/>
    </row>
    <row r="63922" spans="3:3" x14ac:dyDescent="0.35">
      <c r="C63922" s="2"/>
    </row>
    <row r="63923" spans="3:3" x14ac:dyDescent="0.35">
      <c r="C63923" s="2"/>
    </row>
    <row r="63924" spans="3:3" x14ac:dyDescent="0.35">
      <c r="C63924" s="2"/>
    </row>
    <row r="63925" spans="3:3" x14ac:dyDescent="0.35">
      <c r="C63925" s="2"/>
    </row>
    <row r="63926" spans="3:3" x14ac:dyDescent="0.35">
      <c r="C63926" s="2"/>
    </row>
    <row r="63927" spans="3:3" x14ac:dyDescent="0.35">
      <c r="C63927" s="2"/>
    </row>
    <row r="63928" spans="3:3" x14ac:dyDescent="0.35">
      <c r="C63928" s="2"/>
    </row>
    <row r="63929" spans="3:3" x14ac:dyDescent="0.35">
      <c r="C63929" s="2"/>
    </row>
    <row r="63930" spans="3:3" x14ac:dyDescent="0.35">
      <c r="C63930" s="2"/>
    </row>
    <row r="63931" spans="3:3" x14ac:dyDescent="0.35">
      <c r="C63931" s="2"/>
    </row>
    <row r="63932" spans="3:3" x14ac:dyDescent="0.35">
      <c r="C63932" s="2"/>
    </row>
    <row r="63933" spans="3:3" x14ac:dyDescent="0.35">
      <c r="C63933" s="2"/>
    </row>
    <row r="63934" spans="3:3" x14ac:dyDescent="0.35">
      <c r="C63934" s="2"/>
    </row>
    <row r="63935" spans="3:3" x14ac:dyDescent="0.35">
      <c r="C63935" s="2"/>
    </row>
    <row r="63936" spans="3:3" x14ac:dyDescent="0.35">
      <c r="C63936" s="2"/>
    </row>
    <row r="63937" spans="3:3" x14ac:dyDescent="0.35">
      <c r="C63937" s="2"/>
    </row>
    <row r="63938" spans="3:3" x14ac:dyDescent="0.35">
      <c r="C63938" s="2"/>
    </row>
    <row r="63939" spans="3:3" x14ac:dyDescent="0.35">
      <c r="C63939" s="2"/>
    </row>
    <row r="63940" spans="3:3" x14ac:dyDescent="0.35">
      <c r="C63940" s="2"/>
    </row>
    <row r="63941" spans="3:3" x14ac:dyDescent="0.35">
      <c r="C63941" s="2"/>
    </row>
    <row r="63942" spans="3:3" x14ac:dyDescent="0.35">
      <c r="C63942" s="2"/>
    </row>
    <row r="63943" spans="3:3" x14ac:dyDescent="0.35">
      <c r="C63943" s="2"/>
    </row>
    <row r="63944" spans="3:3" x14ac:dyDescent="0.35">
      <c r="C63944" s="2"/>
    </row>
    <row r="63945" spans="3:3" x14ac:dyDescent="0.35">
      <c r="C63945" s="2"/>
    </row>
    <row r="63946" spans="3:3" x14ac:dyDescent="0.35">
      <c r="C63946" s="2"/>
    </row>
    <row r="63947" spans="3:3" x14ac:dyDescent="0.35">
      <c r="C63947" s="2"/>
    </row>
    <row r="63948" spans="3:3" x14ac:dyDescent="0.35">
      <c r="C63948" s="2"/>
    </row>
    <row r="63949" spans="3:3" x14ac:dyDescent="0.35">
      <c r="C63949" s="2"/>
    </row>
    <row r="63950" spans="3:3" x14ac:dyDescent="0.35">
      <c r="C63950" s="2"/>
    </row>
    <row r="63951" spans="3:3" x14ac:dyDescent="0.35">
      <c r="C63951" s="2"/>
    </row>
    <row r="63952" spans="3:3" x14ac:dyDescent="0.35">
      <c r="C63952" s="2"/>
    </row>
    <row r="63953" spans="3:3" x14ac:dyDescent="0.35">
      <c r="C63953" s="2"/>
    </row>
    <row r="63954" spans="3:3" x14ac:dyDescent="0.35">
      <c r="C63954" s="2"/>
    </row>
    <row r="63955" spans="3:3" x14ac:dyDescent="0.35">
      <c r="C63955" s="2"/>
    </row>
    <row r="63956" spans="3:3" x14ac:dyDescent="0.35">
      <c r="C63956" s="2"/>
    </row>
    <row r="63957" spans="3:3" x14ac:dyDescent="0.35">
      <c r="C63957" s="2"/>
    </row>
    <row r="63958" spans="3:3" x14ac:dyDescent="0.35">
      <c r="C63958" s="2"/>
    </row>
    <row r="63959" spans="3:3" x14ac:dyDescent="0.35">
      <c r="C63959" s="2"/>
    </row>
    <row r="63960" spans="3:3" x14ac:dyDescent="0.35">
      <c r="C63960" s="2"/>
    </row>
    <row r="63961" spans="3:3" x14ac:dyDescent="0.35">
      <c r="C63961" s="2"/>
    </row>
    <row r="63962" spans="3:3" x14ac:dyDescent="0.35">
      <c r="C63962" s="2"/>
    </row>
    <row r="63963" spans="3:3" x14ac:dyDescent="0.35">
      <c r="C63963" s="2"/>
    </row>
    <row r="63964" spans="3:3" x14ac:dyDescent="0.35">
      <c r="C63964" s="2"/>
    </row>
    <row r="63965" spans="3:3" x14ac:dyDescent="0.35">
      <c r="C63965" s="2"/>
    </row>
    <row r="63966" spans="3:3" x14ac:dyDescent="0.35">
      <c r="C63966" s="2"/>
    </row>
    <row r="63967" spans="3:3" x14ac:dyDescent="0.35">
      <c r="C63967" s="2"/>
    </row>
    <row r="63968" spans="3:3" x14ac:dyDescent="0.35">
      <c r="C63968" s="2"/>
    </row>
    <row r="63969" spans="3:3" x14ac:dyDescent="0.35">
      <c r="C63969" s="2"/>
    </row>
    <row r="63970" spans="3:3" x14ac:dyDescent="0.35">
      <c r="C63970" s="2"/>
    </row>
    <row r="63971" spans="3:3" x14ac:dyDescent="0.35">
      <c r="C63971" s="2"/>
    </row>
    <row r="63972" spans="3:3" x14ac:dyDescent="0.35">
      <c r="C63972" s="2"/>
    </row>
    <row r="63973" spans="3:3" x14ac:dyDescent="0.35">
      <c r="C63973" s="2"/>
    </row>
    <row r="63974" spans="3:3" x14ac:dyDescent="0.35">
      <c r="C63974" s="2"/>
    </row>
    <row r="63975" spans="3:3" x14ac:dyDescent="0.35">
      <c r="C63975" s="2"/>
    </row>
    <row r="63976" spans="3:3" x14ac:dyDescent="0.35">
      <c r="C63976" s="2"/>
    </row>
    <row r="63977" spans="3:3" x14ac:dyDescent="0.35">
      <c r="C63977" s="2"/>
    </row>
    <row r="63978" spans="3:3" x14ac:dyDescent="0.35">
      <c r="C63978" s="2"/>
    </row>
    <row r="63979" spans="3:3" x14ac:dyDescent="0.35">
      <c r="C63979" s="2"/>
    </row>
    <row r="63980" spans="3:3" x14ac:dyDescent="0.35">
      <c r="C63980" s="2"/>
    </row>
    <row r="63981" spans="3:3" x14ac:dyDescent="0.35">
      <c r="C63981" s="2"/>
    </row>
    <row r="63982" spans="3:3" x14ac:dyDescent="0.35">
      <c r="C63982" s="2"/>
    </row>
    <row r="63983" spans="3:3" x14ac:dyDescent="0.35">
      <c r="C63983" s="2"/>
    </row>
    <row r="63984" spans="3:3" x14ac:dyDescent="0.35">
      <c r="C63984" s="2"/>
    </row>
    <row r="63985" spans="3:3" x14ac:dyDescent="0.35">
      <c r="C63985" s="2"/>
    </row>
    <row r="63986" spans="3:3" x14ac:dyDescent="0.35">
      <c r="C63986" s="2"/>
    </row>
    <row r="63987" spans="3:3" x14ac:dyDescent="0.35">
      <c r="C63987" s="2"/>
    </row>
    <row r="63988" spans="3:3" x14ac:dyDescent="0.35">
      <c r="C63988" s="2"/>
    </row>
    <row r="63989" spans="3:3" x14ac:dyDescent="0.35">
      <c r="C63989" s="2"/>
    </row>
    <row r="63990" spans="3:3" x14ac:dyDescent="0.35">
      <c r="C63990" s="2"/>
    </row>
    <row r="63991" spans="3:3" x14ac:dyDescent="0.35">
      <c r="C63991" s="2"/>
    </row>
    <row r="63992" spans="3:3" x14ac:dyDescent="0.35">
      <c r="C63992" s="2"/>
    </row>
    <row r="63993" spans="3:3" x14ac:dyDescent="0.35">
      <c r="C63993" s="2"/>
    </row>
    <row r="63994" spans="3:3" x14ac:dyDescent="0.35">
      <c r="C63994" s="2"/>
    </row>
    <row r="63995" spans="3:3" x14ac:dyDescent="0.35">
      <c r="C63995" s="2"/>
    </row>
    <row r="63996" spans="3:3" x14ac:dyDescent="0.35">
      <c r="C63996" s="2"/>
    </row>
    <row r="63997" spans="3:3" x14ac:dyDescent="0.35">
      <c r="C63997" s="2"/>
    </row>
    <row r="63998" spans="3:3" x14ac:dyDescent="0.35">
      <c r="C63998" s="2"/>
    </row>
    <row r="63999" spans="3:3" x14ac:dyDescent="0.35">
      <c r="C63999" s="2"/>
    </row>
    <row r="64000" spans="3:3" x14ac:dyDescent="0.35">
      <c r="C64000" s="2"/>
    </row>
    <row r="64001" spans="3:3" x14ac:dyDescent="0.35">
      <c r="C64001" s="2"/>
    </row>
    <row r="64002" spans="3:3" x14ac:dyDescent="0.35">
      <c r="C64002" s="2"/>
    </row>
    <row r="64003" spans="3:3" x14ac:dyDescent="0.35">
      <c r="C64003" s="2"/>
    </row>
    <row r="64004" spans="3:3" x14ac:dyDescent="0.35">
      <c r="C64004" s="2"/>
    </row>
    <row r="64005" spans="3:3" x14ac:dyDescent="0.35">
      <c r="C64005" s="2"/>
    </row>
    <row r="64006" spans="3:3" x14ac:dyDescent="0.35">
      <c r="C64006" s="2"/>
    </row>
    <row r="64007" spans="3:3" x14ac:dyDescent="0.35">
      <c r="C64007" s="2"/>
    </row>
    <row r="64008" spans="3:3" x14ac:dyDescent="0.35">
      <c r="C64008" s="2"/>
    </row>
    <row r="64009" spans="3:3" x14ac:dyDescent="0.35">
      <c r="C64009" s="2"/>
    </row>
    <row r="64010" spans="3:3" x14ac:dyDescent="0.35">
      <c r="C64010" s="2"/>
    </row>
    <row r="64011" spans="3:3" x14ac:dyDescent="0.35">
      <c r="C64011" s="2"/>
    </row>
    <row r="64012" spans="3:3" x14ac:dyDescent="0.35">
      <c r="C64012" s="2"/>
    </row>
    <row r="64013" spans="3:3" x14ac:dyDescent="0.35">
      <c r="C64013" s="2"/>
    </row>
    <row r="64014" spans="3:3" x14ac:dyDescent="0.35">
      <c r="C64014" s="2"/>
    </row>
    <row r="64015" spans="3:3" x14ac:dyDescent="0.35">
      <c r="C64015" s="2"/>
    </row>
    <row r="64016" spans="3:3" x14ac:dyDescent="0.35">
      <c r="C64016" s="2"/>
    </row>
    <row r="64017" spans="3:3" x14ac:dyDescent="0.35">
      <c r="C64017" s="2"/>
    </row>
    <row r="64018" spans="3:3" x14ac:dyDescent="0.35">
      <c r="C64018" s="2"/>
    </row>
    <row r="64019" spans="3:3" x14ac:dyDescent="0.35">
      <c r="C64019" s="2"/>
    </row>
    <row r="64020" spans="3:3" x14ac:dyDescent="0.35">
      <c r="C64020" s="2"/>
    </row>
    <row r="64021" spans="3:3" x14ac:dyDescent="0.35">
      <c r="C64021" s="2"/>
    </row>
    <row r="64022" spans="3:3" x14ac:dyDescent="0.35">
      <c r="C64022" s="2"/>
    </row>
    <row r="64023" spans="3:3" x14ac:dyDescent="0.35">
      <c r="C64023" s="2"/>
    </row>
    <row r="64024" spans="3:3" x14ac:dyDescent="0.35">
      <c r="C64024" s="2"/>
    </row>
    <row r="64025" spans="3:3" x14ac:dyDescent="0.35">
      <c r="C64025" s="2"/>
    </row>
    <row r="64026" spans="3:3" x14ac:dyDescent="0.35">
      <c r="C64026" s="2"/>
    </row>
    <row r="64027" spans="3:3" x14ac:dyDescent="0.35">
      <c r="C64027" s="2"/>
    </row>
    <row r="64028" spans="3:3" x14ac:dyDescent="0.35">
      <c r="C64028" s="2"/>
    </row>
    <row r="64029" spans="3:3" x14ac:dyDescent="0.35">
      <c r="C64029" s="2"/>
    </row>
    <row r="64030" spans="3:3" x14ac:dyDescent="0.35">
      <c r="C64030" s="2"/>
    </row>
    <row r="64031" spans="3:3" x14ac:dyDescent="0.35">
      <c r="C64031" s="2"/>
    </row>
    <row r="64032" spans="3:3" x14ac:dyDescent="0.35">
      <c r="C64032" s="2"/>
    </row>
    <row r="64033" spans="3:3" x14ac:dyDescent="0.35">
      <c r="C64033" s="2"/>
    </row>
    <row r="64034" spans="3:3" x14ac:dyDescent="0.35">
      <c r="C64034" s="2"/>
    </row>
    <row r="64035" spans="3:3" x14ac:dyDescent="0.35">
      <c r="C64035" s="2"/>
    </row>
    <row r="64036" spans="3:3" x14ac:dyDescent="0.35">
      <c r="C64036" s="2"/>
    </row>
    <row r="64037" spans="3:3" x14ac:dyDescent="0.35">
      <c r="C64037" s="2"/>
    </row>
    <row r="64038" spans="3:3" x14ac:dyDescent="0.35">
      <c r="C64038" s="2"/>
    </row>
    <row r="64039" spans="3:3" x14ac:dyDescent="0.35">
      <c r="C64039" s="2"/>
    </row>
    <row r="64040" spans="3:3" x14ac:dyDescent="0.35">
      <c r="C64040" s="2"/>
    </row>
    <row r="64041" spans="3:3" x14ac:dyDescent="0.35">
      <c r="C64041" s="2"/>
    </row>
    <row r="64042" spans="3:3" x14ac:dyDescent="0.35">
      <c r="C64042" s="2"/>
    </row>
    <row r="64043" spans="3:3" x14ac:dyDescent="0.35">
      <c r="C64043" s="2"/>
    </row>
    <row r="64044" spans="3:3" x14ac:dyDescent="0.35">
      <c r="C64044" s="2"/>
    </row>
    <row r="64045" spans="3:3" x14ac:dyDescent="0.35">
      <c r="C64045" s="2"/>
    </row>
    <row r="64046" spans="3:3" x14ac:dyDescent="0.35">
      <c r="C64046" s="2"/>
    </row>
    <row r="64047" spans="3:3" x14ac:dyDescent="0.35">
      <c r="C64047" s="2"/>
    </row>
    <row r="64048" spans="3:3" x14ac:dyDescent="0.35">
      <c r="C64048" s="2"/>
    </row>
    <row r="64049" spans="3:3" x14ac:dyDescent="0.35">
      <c r="C64049" s="2"/>
    </row>
    <row r="64050" spans="3:3" x14ac:dyDescent="0.35">
      <c r="C64050" s="2"/>
    </row>
    <row r="64051" spans="3:3" x14ac:dyDescent="0.35">
      <c r="C64051" s="2"/>
    </row>
    <row r="64052" spans="3:3" x14ac:dyDescent="0.35">
      <c r="C64052" s="2"/>
    </row>
    <row r="64053" spans="3:3" x14ac:dyDescent="0.35">
      <c r="C64053" s="2"/>
    </row>
    <row r="64054" spans="3:3" x14ac:dyDescent="0.35">
      <c r="C64054" s="2"/>
    </row>
    <row r="64055" spans="3:3" x14ac:dyDescent="0.35">
      <c r="C64055" s="2"/>
    </row>
    <row r="64056" spans="3:3" x14ac:dyDescent="0.35">
      <c r="C64056" s="2"/>
    </row>
    <row r="64057" spans="3:3" x14ac:dyDescent="0.35">
      <c r="C64057" s="2"/>
    </row>
    <row r="64058" spans="3:3" x14ac:dyDescent="0.35">
      <c r="C64058" s="2"/>
    </row>
    <row r="64059" spans="3:3" x14ac:dyDescent="0.35">
      <c r="C64059" s="2"/>
    </row>
    <row r="64060" spans="3:3" x14ac:dyDescent="0.35">
      <c r="C64060" s="2"/>
    </row>
    <row r="64061" spans="3:3" x14ac:dyDescent="0.35">
      <c r="C64061" s="2"/>
    </row>
    <row r="64062" spans="3:3" x14ac:dyDescent="0.35">
      <c r="C64062" s="2"/>
    </row>
    <row r="64063" spans="3:3" x14ac:dyDescent="0.35">
      <c r="C64063" s="2"/>
    </row>
    <row r="64064" spans="3:3" x14ac:dyDescent="0.35">
      <c r="C64064" s="2"/>
    </row>
    <row r="64065" spans="3:3" x14ac:dyDescent="0.35">
      <c r="C64065" s="2"/>
    </row>
    <row r="64066" spans="3:3" x14ac:dyDescent="0.35">
      <c r="C64066" s="2"/>
    </row>
    <row r="64067" spans="3:3" x14ac:dyDescent="0.35">
      <c r="C64067" s="2"/>
    </row>
    <row r="64068" spans="3:3" x14ac:dyDescent="0.35">
      <c r="C64068" s="2"/>
    </row>
    <row r="64069" spans="3:3" x14ac:dyDescent="0.35">
      <c r="C64069" s="2"/>
    </row>
    <row r="64070" spans="3:3" x14ac:dyDescent="0.35">
      <c r="C64070" s="2"/>
    </row>
    <row r="64071" spans="3:3" x14ac:dyDescent="0.35">
      <c r="C64071" s="2"/>
    </row>
    <row r="64072" spans="3:3" x14ac:dyDescent="0.35">
      <c r="C64072" s="2"/>
    </row>
    <row r="64073" spans="3:3" x14ac:dyDescent="0.35">
      <c r="C64073" s="2"/>
    </row>
    <row r="64074" spans="3:3" x14ac:dyDescent="0.35">
      <c r="C64074" s="2"/>
    </row>
    <row r="64075" spans="3:3" x14ac:dyDescent="0.35">
      <c r="C64075" s="2"/>
    </row>
    <row r="64076" spans="3:3" x14ac:dyDescent="0.35">
      <c r="C64076" s="2"/>
    </row>
    <row r="64077" spans="3:3" x14ac:dyDescent="0.35">
      <c r="C64077" s="2"/>
    </row>
    <row r="64078" spans="3:3" x14ac:dyDescent="0.35">
      <c r="C64078" s="2"/>
    </row>
    <row r="64079" spans="3:3" x14ac:dyDescent="0.35">
      <c r="C64079" s="2"/>
    </row>
    <row r="64080" spans="3:3" x14ac:dyDescent="0.35">
      <c r="C64080" s="2"/>
    </row>
    <row r="64081" spans="3:3" x14ac:dyDescent="0.35">
      <c r="C64081" s="2"/>
    </row>
    <row r="64082" spans="3:3" x14ac:dyDescent="0.35">
      <c r="C64082" s="2"/>
    </row>
    <row r="64083" spans="3:3" x14ac:dyDescent="0.35">
      <c r="C64083" s="2"/>
    </row>
    <row r="64084" spans="3:3" x14ac:dyDescent="0.35">
      <c r="C64084" s="2"/>
    </row>
    <row r="64085" spans="3:3" x14ac:dyDescent="0.35">
      <c r="C64085" s="2"/>
    </row>
    <row r="64086" spans="3:3" x14ac:dyDescent="0.35">
      <c r="C64086" s="2"/>
    </row>
    <row r="64087" spans="3:3" x14ac:dyDescent="0.35">
      <c r="C64087" s="2"/>
    </row>
    <row r="64088" spans="3:3" x14ac:dyDescent="0.35">
      <c r="C64088" s="2"/>
    </row>
    <row r="64089" spans="3:3" x14ac:dyDescent="0.35">
      <c r="C64089" s="2"/>
    </row>
    <row r="64090" spans="3:3" x14ac:dyDescent="0.35">
      <c r="C64090" s="2"/>
    </row>
    <row r="64091" spans="3:3" x14ac:dyDescent="0.35">
      <c r="C64091" s="2"/>
    </row>
    <row r="64092" spans="3:3" x14ac:dyDescent="0.35">
      <c r="C64092" s="2"/>
    </row>
    <row r="64093" spans="3:3" x14ac:dyDescent="0.35">
      <c r="C64093" s="2"/>
    </row>
    <row r="64094" spans="3:3" x14ac:dyDescent="0.35">
      <c r="C64094" s="2"/>
    </row>
    <row r="64095" spans="3:3" x14ac:dyDescent="0.35">
      <c r="C64095" s="2"/>
    </row>
    <row r="64096" spans="3:3" x14ac:dyDescent="0.35">
      <c r="C64096" s="2"/>
    </row>
    <row r="64097" spans="3:3" x14ac:dyDescent="0.35">
      <c r="C64097" s="2"/>
    </row>
    <row r="64098" spans="3:3" x14ac:dyDescent="0.35">
      <c r="C64098" s="2"/>
    </row>
    <row r="64099" spans="3:3" x14ac:dyDescent="0.35">
      <c r="C64099" s="2"/>
    </row>
    <row r="64100" spans="3:3" x14ac:dyDescent="0.35">
      <c r="C64100" s="2"/>
    </row>
    <row r="64101" spans="3:3" x14ac:dyDescent="0.35">
      <c r="C64101" s="2"/>
    </row>
    <row r="64102" spans="3:3" x14ac:dyDescent="0.35">
      <c r="C64102" s="2"/>
    </row>
    <row r="64103" spans="3:3" x14ac:dyDescent="0.35">
      <c r="C64103" s="2"/>
    </row>
    <row r="64104" spans="3:3" x14ac:dyDescent="0.35">
      <c r="C64104" s="2"/>
    </row>
    <row r="64105" spans="3:3" x14ac:dyDescent="0.35">
      <c r="C64105" s="2"/>
    </row>
    <row r="64106" spans="3:3" x14ac:dyDescent="0.35">
      <c r="C64106" s="2"/>
    </row>
    <row r="64107" spans="3:3" x14ac:dyDescent="0.35">
      <c r="C64107" s="2"/>
    </row>
    <row r="64108" spans="3:3" x14ac:dyDescent="0.35">
      <c r="C64108" s="2"/>
    </row>
    <row r="64109" spans="3:3" x14ac:dyDescent="0.35">
      <c r="C64109" s="2"/>
    </row>
    <row r="64110" spans="3:3" x14ac:dyDescent="0.35">
      <c r="C64110" s="2"/>
    </row>
    <row r="64111" spans="3:3" x14ac:dyDescent="0.35">
      <c r="C64111" s="2"/>
    </row>
    <row r="64112" spans="3:3" x14ac:dyDescent="0.35">
      <c r="C64112" s="2"/>
    </row>
    <row r="64113" spans="3:3" x14ac:dyDescent="0.35">
      <c r="C64113" s="2"/>
    </row>
    <row r="64114" spans="3:3" x14ac:dyDescent="0.35">
      <c r="C64114" s="2"/>
    </row>
    <row r="64115" spans="3:3" x14ac:dyDescent="0.35">
      <c r="C64115" s="2"/>
    </row>
    <row r="64116" spans="3:3" x14ac:dyDescent="0.35">
      <c r="C64116" s="2"/>
    </row>
    <row r="64117" spans="3:3" x14ac:dyDescent="0.35">
      <c r="C64117" s="2"/>
    </row>
    <row r="64118" spans="3:3" x14ac:dyDescent="0.35">
      <c r="C64118" s="2"/>
    </row>
    <row r="64119" spans="3:3" x14ac:dyDescent="0.35">
      <c r="C64119" s="2"/>
    </row>
    <row r="64120" spans="3:3" x14ac:dyDescent="0.35">
      <c r="C64120" s="2"/>
    </row>
    <row r="64121" spans="3:3" x14ac:dyDescent="0.35">
      <c r="C64121" s="2"/>
    </row>
    <row r="64122" spans="3:3" x14ac:dyDescent="0.35">
      <c r="C64122" s="2"/>
    </row>
    <row r="64123" spans="3:3" x14ac:dyDescent="0.35">
      <c r="C64123" s="2"/>
    </row>
    <row r="64124" spans="3:3" x14ac:dyDescent="0.35">
      <c r="C64124" s="2"/>
    </row>
    <row r="64125" spans="3:3" x14ac:dyDescent="0.35">
      <c r="C64125" s="2"/>
    </row>
    <row r="64126" spans="3:3" x14ac:dyDescent="0.35">
      <c r="C64126" s="2"/>
    </row>
    <row r="64127" spans="3:3" x14ac:dyDescent="0.35">
      <c r="C64127" s="2"/>
    </row>
    <row r="64128" spans="3:3" x14ac:dyDescent="0.35">
      <c r="C64128" s="2"/>
    </row>
    <row r="64129" spans="3:3" x14ac:dyDescent="0.35">
      <c r="C64129" s="2"/>
    </row>
    <row r="64130" spans="3:3" x14ac:dyDescent="0.35">
      <c r="C64130" s="2"/>
    </row>
    <row r="64131" spans="3:3" x14ac:dyDescent="0.35">
      <c r="C64131" s="2"/>
    </row>
    <row r="64132" spans="3:3" x14ac:dyDescent="0.35">
      <c r="C64132" s="2"/>
    </row>
    <row r="64133" spans="3:3" x14ac:dyDescent="0.35">
      <c r="C64133" s="2"/>
    </row>
    <row r="64134" spans="3:3" x14ac:dyDescent="0.35">
      <c r="C64134" s="2"/>
    </row>
    <row r="64135" spans="3:3" x14ac:dyDescent="0.35">
      <c r="C64135" s="2"/>
    </row>
    <row r="64136" spans="3:3" x14ac:dyDescent="0.35">
      <c r="C64136" s="2"/>
    </row>
    <row r="64137" spans="3:3" x14ac:dyDescent="0.35">
      <c r="C64137" s="2"/>
    </row>
    <row r="64138" spans="3:3" x14ac:dyDescent="0.35">
      <c r="C64138" s="2"/>
    </row>
    <row r="64139" spans="3:3" x14ac:dyDescent="0.35">
      <c r="C64139" s="2"/>
    </row>
    <row r="64140" spans="3:3" x14ac:dyDescent="0.35">
      <c r="C64140" s="2"/>
    </row>
    <row r="64141" spans="3:3" x14ac:dyDescent="0.35">
      <c r="C64141" s="2"/>
    </row>
    <row r="64142" spans="3:3" x14ac:dyDescent="0.35">
      <c r="C64142" s="2"/>
    </row>
    <row r="64143" spans="3:3" x14ac:dyDescent="0.35">
      <c r="C64143" s="2"/>
    </row>
    <row r="64144" spans="3:3" x14ac:dyDescent="0.35">
      <c r="C64144" s="2"/>
    </row>
    <row r="64145" spans="3:3" x14ac:dyDescent="0.35">
      <c r="C64145" s="2"/>
    </row>
    <row r="64146" spans="3:3" x14ac:dyDescent="0.35">
      <c r="C64146" s="2"/>
    </row>
    <row r="64147" spans="3:3" x14ac:dyDescent="0.35">
      <c r="C64147" s="2"/>
    </row>
    <row r="64148" spans="3:3" x14ac:dyDescent="0.35">
      <c r="C64148" s="2"/>
    </row>
    <row r="64149" spans="3:3" x14ac:dyDescent="0.35">
      <c r="C64149" s="2"/>
    </row>
    <row r="64150" spans="3:3" x14ac:dyDescent="0.35">
      <c r="C64150" s="2"/>
    </row>
    <row r="64151" spans="3:3" x14ac:dyDescent="0.35">
      <c r="C64151" s="2"/>
    </row>
    <row r="64152" spans="3:3" x14ac:dyDescent="0.35">
      <c r="C64152" s="2"/>
    </row>
    <row r="64153" spans="3:3" x14ac:dyDescent="0.35">
      <c r="C64153" s="2"/>
    </row>
    <row r="64154" spans="3:3" x14ac:dyDescent="0.35">
      <c r="C64154" s="2"/>
    </row>
    <row r="64155" spans="3:3" x14ac:dyDescent="0.35">
      <c r="C64155" s="2"/>
    </row>
    <row r="64156" spans="3:3" x14ac:dyDescent="0.35">
      <c r="C64156" s="2"/>
    </row>
    <row r="64157" spans="3:3" x14ac:dyDescent="0.35">
      <c r="C64157" s="2"/>
    </row>
    <row r="64158" spans="3:3" x14ac:dyDescent="0.35">
      <c r="C64158" s="2"/>
    </row>
    <row r="64159" spans="3:3" x14ac:dyDescent="0.35">
      <c r="C64159" s="2"/>
    </row>
    <row r="64160" spans="3:3" x14ac:dyDescent="0.35">
      <c r="C64160" s="2"/>
    </row>
    <row r="64161" spans="3:3" x14ac:dyDescent="0.35">
      <c r="C64161" s="2"/>
    </row>
    <row r="64162" spans="3:3" x14ac:dyDescent="0.35">
      <c r="C64162" s="2"/>
    </row>
    <row r="64163" spans="3:3" x14ac:dyDescent="0.35">
      <c r="C64163" s="2"/>
    </row>
    <row r="64164" spans="3:3" x14ac:dyDescent="0.35">
      <c r="C64164" s="2"/>
    </row>
    <row r="64165" spans="3:3" x14ac:dyDescent="0.35">
      <c r="C64165" s="2"/>
    </row>
    <row r="64166" spans="3:3" x14ac:dyDescent="0.35">
      <c r="C64166" s="2"/>
    </row>
    <row r="64167" spans="3:3" x14ac:dyDescent="0.35">
      <c r="C64167" s="2"/>
    </row>
    <row r="64168" spans="3:3" x14ac:dyDescent="0.35">
      <c r="C64168" s="2"/>
    </row>
    <row r="64169" spans="3:3" x14ac:dyDescent="0.35">
      <c r="C64169" s="2"/>
    </row>
    <row r="64170" spans="3:3" x14ac:dyDescent="0.35">
      <c r="C64170" s="2"/>
    </row>
    <row r="64171" spans="3:3" x14ac:dyDescent="0.35">
      <c r="C64171" s="2"/>
    </row>
    <row r="64172" spans="3:3" x14ac:dyDescent="0.35">
      <c r="C64172" s="2"/>
    </row>
    <row r="64173" spans="3:3" x14ac:dyDescent="0.35">
      <c r="C64173" s="2"/>
    </row>
    <row r="64174" spans="3:3" x14ac:dyDescent="0.35">
      <c r="C64174" s="2"/>
    </row>
    <row r="64175" spans="3:3" x14ac:dyDescent="0.35">
      <c r="C64175" s="2"/>
    </row>
    <row r="64176" spans="3:3" x14ac:dyDescent="0.35">
      <c r="C64176" s="2"/>
    </row>
    <row r="64177" spans="3:3" x14ac:dyDescent="0.35">
      <c r="C64177" s="2"/>
    </row>
    <row r="64178" spans="3:3" x14ac:dyDescent="0.35">
      <c r="C64178" s="2"/>
    </row>
    <row r="64179" spans="3:3" x14ac:dyDescent="0.35">
      <c r="C64179" s="2"/>
    </row>
    <row r="64180" spans="3:3" x14ac:dyDescent="0.35">
      <c r="C64180" s="2"/>
    </row>
    <row r="64181" spans="3:3" x14ac:dyDescent="0.35">
      <c r="C64181" s="2"/>
    </row>
    <row r="64182" spans="3:3" x14ac:dyDescent="0.35">
      <c r="C64182" s="2"/>
    </row>
    <row r="64183" spans="3:3" x14ac:dyDescent="0.35">
      <c r="C64183" s="2"/>
    </row>
    <row r="64184" spans="3:3" x14ac:dyDescent="0.35">
      <c r="C64184" s="2"/>
    </row>
    <row r="64185" spans="3:3" x14ac:dyDescent="0.35">
      <c r="C64185" s="2"/>
    </row>
    <row r="64186" spans="3:3" x14ac:dyDescent="0.35">
      <c r="C64186" s="2"/>
    </row>
    <row r="64187" spans="3:3" x14ac:dyDescent="0.35">
      <c r="C64187" s="2"/>
    </row>
    <row r="64188" spans="3:3" x14ac:dyDescent="0.35">
      <c r="C64188" s="2"/>
    </row>
    <row r="64189" spans="3:3" x14ac:dyDescent="0.35">
      <c r="C64189" s="2"/>
    </row>
    <row r="64190" spans="3:3" x14ac:dyDescent="0.35">
      <c r="C64190" s="2"/>
    </row>
    <row r="64191" spans="3:3" x14ac:dyDescent="0.35">
      <c r="C64191" s="2"/>
    </row>
    <row r="64192" spans="3:3" x14ac:dyDescent="0.35">
      <c r="C64192" s="2"/>
    </row>
    <row r="64193" spans="3:3" x14ac:dyDescent="0.35">
      <c r="C64193" s="2"/>
    </row>
    <row r="64194" spans="3:3" x14ac:dyDescent="0.35">
      <c r="C64194" s="2"/>
    </row>
    <row r="64195" spans="3:3" x14ac:dyDescent="0.35">
      <c r="C64195" s="2"/>
    </row>
    <row r="64196" spans="3:3" x14ac:dyDescent="0.35">
      <c r="C64196" s="2"/>
    </row>
    <row r="64197" spans="3:3" x14ac:dyDescent="0.35">
      <c r="C64197" s="2"/>
    </row>
    <row r="64198" spans="3:3" x14ac:dyDescent="0.35">
      <c r="C64198" s="2"/>
    </row>
    <row r="64199" spans="3:3" x14ac:dyDescent="0.35">
      <c r="C64199" s="2"/>
    </row>
    <row r="64200" spans="3:3" x14ac:dyDescent="0.35">
      <c r="C64200" s="2"/>
    </row>
    <row r="64201" spans="3:3" x14ac:dyDescent="0.35">
      <c r="C64201" s="2"/>
    </row>
    <row r="64202" spans="3:3" x14ac:dyDescent="0.35">
      <c r="C64202" s="2"/>
    </row>
    <row r="64203" spans="3:3" x14ac:dyDescent="0.35">
      <c r="C64203" s="2"/>
    </row>
    <row r="64204" spans="3:3" x14ac:dyDescent="0.35">
      <c r="C64204" s="2"/>
    </row>
    <row r="64205" spans="3:3" x14ac:dyDescent="0.35">
      <c r="C64205" s="2"/>
    </row>
    <row r="64206" spans="3:3" x14ac:dyDescent="0.35">
      <c r="C64206" s="2"/>
    </row>
    <row r="64207" spans="3:3" x14ac:dyDescent="0.35">
      <c r="C64207" s="2"/>
    </row>
    <row r="64208" spans="3:3" x14ac:dyDescent="0.35">
      <c r="C64208" s="2"/>
    </row>
    <row r="64209" spans="3:3" x14ac:dyDescent="0.35">
      <c r="C64209" s="2"/>
    </row>
    <row r="64210" spans="3:3" x14ac:dyDescent="0.35">
      <c r="C64210" s="2"/>
    </row>
    <row r="64211" spans="3:3" x14ac:dyDescent="0.35">
      <c r="C64211" s="2"/>
    </row>
    <row r="64212" spans="3:3" x14ac:dyDescent="0.35">
      <c r="C64212" s="2"/>
    </row>
    <row r="64213" spans="3:3" x14ac:dyDescent="0.35">
      <c r="C64213" s="2"/>
    </row>
    <row r="64214" spans="3:3" x14ac:dyDescent="0.35">
      <c r="C64214" s="2"/>
    </row>
    <row r="64215" spans="3:3" x14ac:dyDescent="0.35">
      <c r="C64215" s="2"/>
    </row>
    <row r="64216" spans="3:3" x14ac:dyDescent="0.35">
      <c r="C64216" s="2"/>
    </row>
    <row r="64217" spans="3:3" x14ac:dyDescent="0.35">
      <c r="C64217" s="2"/>
    </row>
    <row r="64218" spans="3:3" x14ac:dyDescent="0.35">
      <c r="C64218" s="2"/>
    </row>
    <row r="64219" spans="3:3" x14ac:dyDescent="0.35">
      <c r="C64219" s="2"/>
    </row>
    <row r="64220" spans="3:3" x14ac:dyDescent="0.35">
      <c r="C64220" s="2"/>
    </row>
    <row r="64221" spans="3:3" x14ac:dyDescent="0.35">
      <c r="C64221" s="2"/>
    </row>
    <row r="64222" spans="3:3" x14ac:dyDescent="0.35">
      <c r="C64222" s="2"/>
    </row>
    <row r="64223" spans="3:3" x14ac:dyDescent="0.35">
      <c r="C64223" s="2"/>
    </row>
    <row r="64224" spans="3:3" x14ac:dyDescent="0.35">
      <c r="C64224" s="2"/>
    </row>
    <row r="64225" spans="3:3" x14ac:dyDescent="0.35">
      <c r="C64225" s="2"/>
    </row>
    <row r="64226" spans="3:3" x14ac:dyDescent="0.35">
      <c r="C64226" s="2"/>
    </row>
    <row r="64227" spans="3:3" x14ac:dyDescent="0.35">
      <c r="C64227" s="2"/>
    </row>
    <row r="64228" spans="3:3" x14ac:dyDescent="0.35">
      <c r="C64228" s="2"/>
    </row>
    <row r="64229" spans="3:3" x14ac:dyDescent="0.35">
      <c r="C64229" s="2"/>
    </row>
    <row r="64230" spans="3:3" x14ac:dyDescent="0.35">
      <c r="C64230" s="2"/>
    </row>
    <row r="64231" spans="3:3" x14ac:dyDescent="0.35">
      <c r="C64231" s="2"/>
    </row>
    <row r="64232" spans="3:3" x14ac:dyDescent="0.35">
      <c r="C64232" s="2"/>
    </row>
    <row r="64233" spans="3:3" x14ac:dyDescent="0.35">
      <c r="C64233" s="2"/>
    </row>
    <row r="64234" spans="3:3" x14ac:dyDescent="0.35">
      <c r="C64234" s="2"/>
    </row>
    <row r="64235" spans="3:3" x14ac:dyDescent="0.35">
      <c r="C64235" s="2"/>
    </row>
    <row r="64236" spans="3:3" x14ac:dyDescent="0.35">
      <c r="C64236" s="2"/>
    </row>
    <row r="64237" spans="3:3" x14ac:dyDescent="0.35">
      <c r="C64237" s="2"/>
    </row>
    <row r="64238" spans="3:3" x14ac:dyDescent="0.35">
      <c r="C64238" s="2"/>
    </row>
    <row r="64239" spans="3:3" x14ac:dyDescent="0.35">
      <c r="C64239" s="2"/>
    </row>
    <row r="64240" spans="3:3" x14ac:dyDescent="0.35">
      <c r="C64240" s="2"/>
    </row>
    <row r="64241" spans="3:3" x14ac:dyDescent="0.35">
      <c r="C64241" s="2"/>
    </row>
    <row r="64242" spans="3:3" x14ac:dyDescent="0.35">
      <c r="C64242" s="2"/>
    </row>
    <row r="64243" spans="3:3" x14ac:dyDescent="0.35">
      <c r="C64243" s="2"/>
    </row>
    <row r="64244" spans="3:3" x14ac:dyDescent="0.35">
      <c r="C64244" s="2"/>
    </row>
    <row r="64245" spans="3:3" x14ac:dyDescent="0.35">
      <c r="C64245" s="2"/>
    </row>
    <row r="64246" spans="3:3" x14ac:dyDescent="0.35">
      <c r="C64246" s="2"/>
    </row>
    <row r="64247" spans="3:3" x14ac:dyDescent="0.35">
      <c r="C64247" s="2"/>
    </row>
    <row r="64248" spans="3:3" x14ac:dyDescent="0.35">
      <c r="C64248" s="2"/>
    </row>
    <row r="64249" spans="3:3" x14ac:dyDescent="0.35">
      <c r="C64249" s="2"/>
    </row>
    <row r="64250" spans="3:3" x14ac:dyDescent="0.35">
      <c r="C64250" s="2"/>
    </row>
    <row r="64251" spans="3:3" x14ac:dyDescent="0.35">
      <c r="C64251" s="2"/>
    </row>
    <row r="64252" spans="3:3" x14ac:dyDescent="0.35">
      <c r="C64252" s="2"/>
    </row>
    <row r="64253" spans="3:3" x14ac:dyDescent="0.35">
      <c r="C64253" s="2"/>
    </row>
    <row r="64254" spans="3:3" x14ac:dyDescent="0.35">
      <c r="C64254" s="2"/>
    </row>
    <row r="64255" spans="3:3" x14ac:dyDescent="0.35">
      <c r="C64255" s="2"/>
    </row>
    <row r="64256" spans="3:3" x14ac:dyDescent="0.35">
      <c r="C64256" s="2"/>
    </row>
    <row r="64257" spans="3:3" x14ac:dyDescent="0.35">
      <c r="C64257" s="2"/>
    </row>
    <row r="64258" spans="3:3" x14ac:dyDescent="0.35">
      <c r="C64258" s="2"/>
    </row>
    <row r="64259" spans="3:3" x14ac:dyDescent="0.35">
      <c r="C64259" s="2"/>
    </row>
    <row r="64260" spans="3:3" x14ac:dyDescent="0.35">
      <c r="C64260" s="2"/>
    </row>
    <row r="64261" spans="3:3" x14ac:dyDescent="0.35">
      <c r="C64261" s="2"/>
    </row>
    <row r="64262" spans="3:3" x14ac:dyDescent="0.35">
      <c r="C64262" s="2"/>
    </row>
    <row r="64263" spans="3:3" x14ac:dyDescent="0.35">
      <c r="C64263" s="2"/>
    </row>
    <row r="64264" spans="3:3" x14ac:dyDescent="0.35">
      <c r="C64264" s="2"/>
    </row>
    <row r="64265" spans="3:3" x14ac:dyDescent="0.35">
      <c r="C64265" s="2"/>
    </row>
    <row r="64266" spans="3:3" x14ac:dyDescent="0.35">
      <c r="C64266" s="2"/>
    </row>
    <row r="64267" spans="3:3" x14ac:dyDescent="0.35">
      <c r="C64267" s="2"/>
    </row>
    <row r="64268" spans="3:3" x14ac:dyDescent="0.35">
      <c r="C64268" s="2"/>
    </row>
    <row r="64269" spans="3:3" x14ac:dyDescent="0.35">
      <c r="C64269" s="2"/>
    </row>
    <row r="64270" spans="3:3" x14ac:dyDescent="0.35">
      <c r="C64270" s="2"/>
    </row>
    <row r="64271" spans="3:3" x14ac:dyDescent="0.35">
      <c r="C64271" s="2"/>
    </row>
    <row r="64272" spans="3:3" x14ac:dyDescent="0.35">
      <c r="C64272" s="2"/>
    </row>
    <row r="64273" spans="3:3" x14ac:dyDescent="0.35">
      <c r="C64273" s="2"/>
    </row>
    <row r="64274" spans="3:3" x14ac:dyDescent="0.35">
      <c r="C64274" s="2"/>
    </row>
    <row r="64275" spans="3:3" x14ac:dyDescent="0.35">
      <c r="C64275" s="2"/>
    </row>
    <row r="64276" spans="3:3" x14ac:dyDescent="0.35">
      <c r="C64276" s="2"/>
    </row>
    <row r="64277" spans="3:3" x14ac:dyDescent="0.35">
      <c r="C64277" s="2"/>
    </row>
    <row r="64278" spans="3:3" x14ac:dyDescent="0.35">
      <c r="C64278" s="2"/>
    </row>
    <row r="64279" spans="3:3" x14ac:dyDescent="0.35">
      <c r="C64279" s="2"/>
    </row>
    <row r="64280" spans="3:3" x14ac:dyDescent="0.35">
      <c r="C64280" s="2"/>
    </row>
    <row r="64281" spans="3:3" x14ac:dyDescent="0.35">
      <c r="C64281" s="2"/>
    </row>
    <row r="64282" spans="3:3" x14ac:dyDescent="0.35">
      <c r="C64282" s="2"/>
    </row>
    <row r="64283" spans="3:3" x14ac:dyDescent="0.35">
      <c r="C64283" s="2"/>
    </row>
    <row r="64284" spans="3:3" x14ac:dyDescent="0.35">
      <c r="C64284" s="2"/>
    </row>
    <row r="64285" spans="3:3" x14ac:dyDescent="0.35">
      <c r="C64285" s="2"/>
    </row>
    <row r="64286" spans="3:3" x14ac:dyDescent="0.35">
      <c r="C64286" s="2"/>
    </row>
    <row r="64287" spans="3:3" x14ac:dyDescent="0.35">
      <c r="C64287" s="2"/>
    </row>
    <row r="64288" spans="3:3" x14ac:dyDescent="0.35">
      <c r="C64288" s="2"/>
    </row>
    <row r="64289" spans="3:3" x14ac:dyDescent="0.35">
      <c r="C64289" s="2"/>
    </row>
    <row r="64290" spans="3:3" x14ac:dyDescent="0.35">
      <c r="C64290" s="2"/>
    </row>
    <row r="64291" spans="3:3" x14ac:dyDescent="0.35">
      <c r="C64291" s="2"/>
    </row>
    <row r="64292" spans="3:3" x14ac:dyDescent="0.35">
      <c r="C64292" s="2"/>
    </row>
    <row r="64293" spans="3:3" x14ac:dyDescent="0.35">
      <c r="C64293" s="2"/>
    </row>
    <row r="64294" spans="3:3" x14ac:dyDescent="0.35">
      <c r="C64294" s="2"/>
    </row>
    <row r="64295" spans="3:3" x14ac:dyDescent="0.35">
      <c r="C64295" s="2"/>
    </row>
    <row r="64296" spans="3:3" x14ac:dyDescent="0.35">
      <c r="C64296" s="2"/>
    </row>
    <row r="64297" spans="3:3" x14ac:dyDescent="0.35">
      <c r="C64297" s="2"/>
    </row>
    <row r="64298" spans="3:3" x14ac:dyDescent="0.35">
      <c r="C64298" s="2"/>
    </row>
    <row r="64299" spans="3:3" x14ac:dyDescent="0.35">
      <c r="C64299" s="2"/>
    </row>
    <row r="64300" spans="3:3" x14ac:dyDescent="0.35">
      <c r="C64300" s="2"/>
    </row>
    <row r="64301" spans="3:3" x14ac:dyDescent="0.35">
      <c r="C64301" s="2"/>
    </row>
    <row r="64302" spans="3:3" x14ac:dyDescent="0.35">
      <c r="C64302" s="2"/>
    </row>
    <row r="64303" spans="3:3" x14ac:dyDescent="0.35">
      <c r="C64303" s="2"/>
    </row>
    <row r="64304" spans="3:3" x14ac:dyDescent="0.35">
      <c r="C64304" s="2"/>
    </row>
    <row r="64305" spans="3:3" x14ac:dyDescent="0.35">
      <c r="C64305" s="2"/>
    </row>
    <row r="64306" spans="3:3" x14ac:dyDescent="0.35">
      <c r="C64306" s="2"/>
    </row>
    <row r="64307" spans="3:3" x14ac:dyDescent="0.35">
      <c r="C64307" s="2"/>
    </row>
    <row r="64308" spans="3:3" x14ac:dyDescent="0.35">
      <c r="C64308" s="2"/>
    </row>
    <row r="64309" spans="3:3" x14ac:dyDescent="0.35">
      <c r="C64309" s="2"/>
    </row>
    <row r="64310" spans="3:3" x14ac:dyDescent="0.35">
      <c r="C64310" s="2"/>
    </row>
    <row r="64311" spans="3:3" x14ac:dyDescent="0.35">
      <c r="C64311" s="2"/>
    </row>
    <row r="64312" spans="3:3" x14ac:dyDescent="0.35">
      <c r="C64312" s="2"/>
    </row>
    <row r="64313" spans="3:3" x14ac:dyDescent="0.35">
      <c r="C64313" s="2"/>
    </row>
    <row r="64314" spans="3:3" x14ac:dyDescent="0.35">
      <c r="C64314" s="2"/>
    </row>
    <row r="64315" spans="3:3" x14ac:dyDescent="0.35">
      <c r="C64315" s="2"/>
    </row>
    <row r="64316" spans="3:3" x14ac:dyDescent="0.35">
      <c r="C64316" s="2"/>
    </row>
    <row r="64317" spans="3:3" x14ac:dyDescent="0.35">
      <c r="C64317" s="2"/>
    </row>
    <row r="64318" spans="3:3" x14ac:dyDescent="0.35">
      <c r="C64318" s="2"/>
    </row>
    <row r="64319" spans="3:3" x14ac:dyDescent="0.35">
      <c r="C64319" s="2"/>
    </row>
    <row r="64320" spans="3:3" x14ac:dyDescent="0.35">
      <c r="C64320" s="2"/>
    </row>
    <row r="64321" spans="3:3" x14ac:dyDescent="0.35">
      <c r="C64321" s="2"/>
    </row>
    <row r="64322" spans="3:3" x14ac:dyDescent="0.35">
      <c r="C64322" s="2"/>
    </row>
    <row r="64323" spans="3:3" x14ac:dyDescent="0.35">
      <c r="C64323" s="2"/>
    </row>
    <row r="64324" spans="3:3" x14ac:dyDescent="0.35">
      <c r="C64324" s="2"/>
    </row>
    <row r="64325" spans="3:3" x14ac:dyDescent="0.35">
      <c r="C64325" s="2"/>
    </row>
    <row r="64326" spans="3:3" x14ac:dyDescent="0.35">
      <c r="C64326" s="2"/>
    </row>
    <row r="64327" spans="3:3" x14ac:dyDescent="0.35">
      <c r="C64327" s="2"/>
    </row>
    <row r="64328" spans="3:3" x14ac:dyDescent="0.35">
      <c r="C64328" s="2"/>
    </row>
    <row r="64329" spans="3:3" x14ac:dyDescent="0.35">
      <c r="C64329" s="2"/>
    </row>
    <row r="64330" spans="3:3" x14ac:dyDescent="0.35">
      <c r="C64330" s="2"/>
    </row>
    <row r="64331" spans="3:3" x14ac:dyDescent="0.35">
      <c r="C64331" s="2"/>
    </row>
    <row r="64332" spans="3:3" x14ac:dyDescent="0.35">
      <c r="C64332" s="2"/>
    </row>
    <row r="64333" spans="3:3" x14ac:dyDescent="0.35">
      <c r="C64333" s="2"/>
    </row>
    <row r="64334" spans="3:3" x14ac:dyDescent="0.35">
      <c r="C64334" s="2"/>
    </row>
    <row r="64335" spans="3:3" x14ac:dyDescent="0.35">
      <c r="C64335" s="2"/>
    </row>
    <row r="64336" spans="3:3" x14ac:dyDescent="0.35">
      <c r="C64336" s="2"/>
    </row>
    <row r="64337" spans="3:3" x14ac:dyDescent="0.35">
      <c r="C64337" s="2"/>
    </row>
    <row r="64338" spans="3:3" x14ac:dyDescent="0.35">
      <c r="C64338" s="2"/>
    </row>
    <row r="64339" spans="3:3" x14ac:dyDescent="0.35">
      <c r="C64339" s="2"/>
    </row>
    <row r="64340" spans="3:3" x14ac:dyDescent="0.35">
      <c r="C64340" s="2"/>
    </row>
    <row r="64341" spans="3:3" x14ac:dyDescent="0.35">
      <c r="C64341" s="2"/>
    </row>
    <row r="64342" spans="3:3" x14ac:dyDescent="0.35">
      <c r="C64342" s="2"/>
    </row>
    <row r="64343" spans="3:3" x14ac:dyDescent="0.35">
      <c r="C64343" s="2"/>
    </row>
    <row r="64344" spans="3:3" x14ac:dyDescent="0.35">
      <c r="C64344" s="2"/>
    </row>
    <row r="64345" spans="3:3" x14ac:dyDescent="0.35">
      <c r="C64345" s="2"/>
    </row>
    <row r="64346" spans="3:3" x14ac:dyDescent="0.35">
      <c r="C64346" s="2"/>
    </row>
    <row r="64347" spans="3:3" x14ac:dyDescent="0.35">
      <c r="C64347" s="2"/>
    </row>
    <row r="64348" spans="3:3" x14ac:dyDescent="0.35">
      <c r="C64348" s="2"/>
    </row>
    <row r="64349" spans="3:3" x14ac:dyDescent="0.35">
      <c r="C64349" s="2"/>
    </row>
    <row r="64350" spans="3:3" x14ac:dyDescent="0.35">
      <c r="C64350" s="2"/>
    </row>
    <row r="64351" spans="3:3" x14ac:dyDescent="0.35">
      <c r="C64351" s="2"/>
    </row>
    <row r="64352" spans="3:3" x14ac:dyDescent="0.35">
      <c r="C64352" s="2"/>
    </row>
    <row r="64353" spans="3:3" x14ac:dyDescent="0.35">
      <c r="C64353" s="2"/>
    </row>
    <row r="64354" spans="3:3" x14ac:dyDescent="0.35">
      <c r="C64354" s="2"/>
    </row>
    <row r="64355" spans="3:3" x14ac:dyDescent="0.35">
      <c r="C64355" s="2"/>
    </row>
    <row r="64356" spans="3:3" x14ac:dyDescent="0.35">
      <c r="C64356" s="2"/>
    </row>
    <row r="64357" spans="3:3" x14ac:dyDescent="0.35">
      <c r="C64357" s="2"/>
    </row>
    <row r="64358" spans="3:3" x14ac:dyDescent="0.35">
      <c r="C64358" s="2"/>
    </row>
    <row r="64359" spans="3:3" x14ac:dyDescent="0.35">
      <c r="C64359" s="2"/>
    </row>
    <row r="64360" spans="3:3" x14ac:dyDescent="0.35">
      <c r="C64360" s="2"/>
    </row>
    <row r="64361" spans="3:3" x14ac:dyDescent="0.35">
      <c r="C64361" s="2"/>
    </row>
    <row r="64362" spans="3:3" x14ac:dyDescent="0.35">
      <c r="C64362" s="2"/>
    </row>
    <row r="64363" spans="3:3" x14ac:dyDescent="0.35">
      <c r="C64363" s="2"/>
    </row>
    <row r="64364" spans="3:3" x14ac:dyDescent="0.35">
      <c r="C64364" s="2"/>
    </row>
    <row r="64365" spans="3:3" x14ac:dyDescent="0.35">
      <c r="C64365" s="2"/>
    </row>
    <row r="64366" spans="3:3" x14ac:dyDescent="0.35">
      <c r="C64366" s="2"/>
    </row>
    <row r="64367" spans="3:3" x14ac:dyDescent="0.35">
      <c r="C64367" s="2"/>
    </row>
    <row r="64368" spans="3:3" x14ac:dyDescent="0.35">
      <c r="C64368" s="2"/>
    </row>
    <row r="64369" spans="3:3" x14ac:dyDescent="0.35">
      <c r="C64369" s="2"/>
    </row>
    <row r="64370" spans="3:3" x14ac:dyDescent="0.35">
      <c r="C64370" s="2"/>
    </row>
    <row r="64371" spans="3:3" x14ac:dyDescent="0.35">
      <c r="C64371" s="2"/>
    </row>
    <row r="64372" spans="3:3" x14ac:dyDescent="0.35">
      <c r="C64372" s="2"/>
    </row>
    <row r="64373" spans="3:3" x14ac:dyDescent="0.35">
      <c r="C64373" s="2"/>
    </row>
    <row r="64374" spans="3:3" x14ac:dyDescent="0.35">
      <c r="C64374" s="2"/>
    </row>
    <row r="64375" spans="3:3" x14ac:dyDescent="0.35">
      <c r="C64375" s="2"/>
    </row>
    <row r="64376" spans="3:3" x14ac:dyDescent="0.35">
      <c r="C64376" s="2"/>
    </row>
    <row r="64377" spans="3:3" x14ac:dyDescent="0.35">
      <c r="C64377" s="2"/>
    </row>
    <row r="64378" spans="3:3" x14ac:dyDescent="0.35">
      <c r="C64378" s="2"/>
    </row>
    <row r="64379" spans="3:3" x14ac:dyDescent="0.35">
      <c r="C64379" s="2"/>
    </row>
    <row r="64380" spans="3:3" x14ac:dyDescent="0.35">
      <c r="C64380" s="2"/>
    </row>
    <row r="64381" spans="3:3" x14ac:dyDescent="0.35">
      <c r="C64381" s="2"/>
    </row>
    <row r="64382" spans="3:3" x14ac:dyDescent="0.35">
      <c r="C64382" s="2"/>
    </row>
    <row r="64383" spans="3:3" x14ac:dyDescent="0.35">
      <c r="C64383" s="2"/>
    </row>
    <row r="64384" spans="3:3" x14ac:dyDescent="0.35">
      <c r="C64384" s="2"/>
    </row>
    <row r="64385" spans="3:3" x14ac:dyDescent="0.35">
      <c r="C64385" s="2"/>
    </row>
    <row r="64386" spans="3:3" x14ac:dyDescent="0.35">
      <c r="C64386" s="2"/>
    </row>
    <row r="64387" spans="3:3" x14ac:dyDescent="0.35">
      <c r="C64387" s="2"/>
    </row>
    <row r="64388" spans="3:3" x14ac:dyDescent="0.35">
      <c r="C64388" s="2"/>
    </row>
    <row r="64389" spans="3:3" x14ac:dyDescent="0.35">
      <c r="C64389" s="2"/>
    </row>
    <row r="64390" spans="3:3" x14ac:dyDescent="0.35">
      <c r="C64390" s="2"/>
    </row>
    <row r="64391" spans="3:3" x14ac:dyDescent="0.35">
      <c r="C64391" s="2"/>
    </row>
    <row r="64392" spans="3:3" x14ac:dyDescent="0.35">
      <c r="C64392" s="2"/>
    </row>
    <row r="64393" spans="3:3" x14ac:dyDescent="0.35">
      <c r="C64393" s="2"/>
    </row>
    <row r="64394" spans="3:3" x14ac:dyDescent="0.35">
      <c r="C64394" s="2"/>
    </row>
    <row r="64395" spans="3:3" x14ac:dyDescent="0.35">
      <c r="C64395" s="2"/>
    </row>
    <row r="64396" spans="3:3" x14ac:dyDescent="0.35">
      <c r="C64396" s="2"/>
    </row>
    <row r="64397" spans="3:3" x14ac:dyDescent="0.35">
      <c r="C64397" s="2"/>
    </row>
    <row r="64398" spans="3:3" x14ac:dyDescent="0.35">
      <c r="C64398" s="2"/>
    </row>
    <row r="64399" spans="3:3" x14ac:dyDescent="0.35">
      <c r="C64399" s="2"/>
    </row>
    <row r="64400" spans="3:3" x14ac:dyDescent="0.35">
      <c r="C64400" s="2"/>
    </row>
    <row r="64401" spans="3:3" x14ac:dyDescent="0.35">
      <c r="C64401" s="2"/>
    </row>
    <row r="64402" spans="3:3" x14ac:dyDescent="0.35">
      <c r="C64402" s="2"/>
    </row>
    <row r="64403" spans="3:3" x14ac:dyDescent="0.35">
      <c r="C64403" s="2"/>
    </row>
    <row r="64404" spans="3:3" x14ac:dyDescent="0.35">
      <c r="C64404" s="2"/>
    </row>
    <row r="64405" spans="3:3" x14ac:dyDescent="0.35">
      <c r="C64405" s="2"/>
    </row>
    <row r="64406" spans="3:3" x14ac:dyDescent="0.35">
      <c r="C64406" s="2"/>
    </row>
    <row r="64407" spans="3:3" x14ac:dyDescent="0.35">
      <c r="C64407" s="2"/>
    </row>
    <row r="64408" spans="3:3" x14ac:dyDescent="0.35">
      <c r="C64408" s="2"/>
    </row>
    <row r="64409" spans="3:3" x14ac:dyDescent="0.35">
      <c r="C64409" s="2"/>
    </row>
    <row r="64410" spans="3:3" x14ac:dyDescent="0.35">
      <c r="C64410" s="2"/>
    </row>
    <row r="64411" spans="3:3" x14ac:dyDescent="0.35">
      <c r="C64411" s="2"/>
    </row>
    <row r="64412" spans="3:3" x14ac:dyDescent="0.35">
      <c r="C64412" s="2"/>
    </row>
    <row r="64413" spans="3:3" x14ac:dyDescent="0.35">
      <c r="C64413" s="2"/>
    </row>
    <row r="64414" spans="3:3" x14ac:dyDescent="0.35">
      <c r="C64414" s="2"/>
    </row>
    <row r="64415" spans="3:3" x14ac:dyDescent="0.35">
      <c r="C64415" s="2"/>
    </row>
    <row r="64416" spans="3:3" x14ac:dyDescent="0.35">
      <c r="C64416" s="2"/>
    </row>
    <row r="64417" spans="3:3" x14ac:dyDescent="0.35">
      <c r="C64417" s="2"/>
    </row>
    <row r="64418" spans="3:3" x14ac:dyDescent="0.35">
      <c r="C64418" s="2"/>
    </row>
    <row r="64419" spans="3:3" x14ac:dyDescent="0.35">
      <c r="C64419" s="2"/>
    </row>
    <row r="64420" spans="3:3" x14ac:dyDescent="0.35">
      <c r="C64420" s="2"/>
    </row>
    <row r="64421" spans="3:3" x14ac:dyDescent="0.35">
      <c r="C64421" s="2"/>
    </row>
    <row r="64422" spans="3:3" x14ac:dyDescent="0.35">
      <c r="C64422" s="2"/>
    </row>
    <row r="64423" spans="3:3" x14ac:dyDescent="0.35">
      <c r="C64423" s="2"/>
    </row>
    <row r="64424" spans="3:3" x14ac:dyDescent="0.35">
      <c r="C64424" s="2"/>
    </row>
    <row r="64425" spans="3:3" x14ac:dyDescent="0.35">
      <c r="C64425" s="2"/>
    </row>
    <row r="64426" spans="3:3" x14ac:dyDescent="0.35">
      <c r="C64426" s="2"/>
    </row>
    <row r="64427" spans="3:3" x14ac:dyDescent="0.35">
      <c r="C64427" s="2"/>
    </row>
    <row r="64428" spans="3:3" x14ac:dyDescent="0.35">
      <c r="C64428" s="2"/>
    </row>
    <row r="64429" spans="3:3" x14ac:dyDescent="0.35">
      <c r="C64429" s="2"/>
    </row>
    <row r="64430" spans="3:3" x14ac:dyDescent="0.35">
      <c r="C64430" s="2"/>
    </row>
    <row r="64431" spans="3:3" x14ac:dyDescent="0.35">
      <c r="C64431" s="2"/>
    </row>
    <row r="64432" spans="3:3" x14ac:dyDescent="0.35">
      <c r="C64432" s="2"/>
    </row>
    <row r="64433" spans="3:3" x14ac:dyDescent="0.35">
      <c r="C64433" s="2"/>
    </row>
    <row r="64434" spans="3:3" x14ac:dyDescent="0.35">
      <c r="C64434" s="2"/>
    </row>
    <row r="64435" spans="3:3" x14ac:dyDescent="0.35">
      <c r="C64435" s="2"/>
    </row>
    <row r="64436" spans="3:3" x14ac:dyDescent="0.35">
      <c r="C64436" s="2"/>
    </row>
    <row r="64437" spans="3:3" x14ac:dyDescent="0.35">
      <c r="C64437" s="2"/>
    </row>
    <row r="64438" spans="3:3" x14ac:dyDescent="0.35">
      <c r="C64438" s="2"/>
    </row>
    <row r="64439" spans="3:3" x14ac:dyDescent="0.35">
      <c r="C64439" s="2"/>
    </row>
    <row r="64440" spans="3:3" x14ac:dyDescent="0.35">
      <c r="C64440" s="2"/>
    </row>
    <row r="64441" spans="3:3" x14ac:dyDescent="0.35">
      <c r="C64441" s="2"/>
    </row>
    <row r="64442" spans="3:3" x14ac:dyDescent="0.35">
      <c r="C64442" s="2"/>
    </row>
    <row r="64443" spans="3:3" x14ac:dyDescent="0.35">
      <c r="C64443" s="2"/>
    </row>
    <row r="64444" spans="3:3" x14ac:dyDescent="0.35">
      <c r="C64444" s="2"/>
    </row>
    <row r="64445" spans="3:3" x14ac:dyDescent="0.35">
      <c r="C64445" s="2"/>
    </row>
    <row r="64446" spans="3:3" x14ac:dyDescent="0.35">
      <c r="C64446" s="2"/>
    </row>
    <row r="64447" spans="3:3" x14ac:dyDescent="0.35">
      <c r="C64447" s="2"/>
    </row>
    <row r="64448" spans="3:3" x14ac:dyDescent="0.35">
      <c r="C64448" s="2"/>
    </row>
    <row r="64449" spans="3:3" x14ac:dyDescent="0.35">
      <c r="C64449" s="2"/>
    </row>
    <row r="64450" spans="3:3" x14ac:dyDescent="0.35">
      <c r="C64450" s="2"/>
    </row>
    <row r="64451" spans="3:3" x14ac:dyDescent="0.35">
      <c r="C64451" s="2"/>
    </row>
    <row r="64452" spans="3:3" x14ac:dyDescent="0.35">
      <c r="C64452" s="2"/>
    </row>
    <row r="64453" spans="3:3" x14ac:dyDescent="0.35">
      <c r="C64453" s="2"/>
    </row>
    <row r="64454" spans="3:3" x14ac:dyDescent="0.35">
      <c r="C64454" s="2"/>
    </row>
    <row r="64455" spans="3:3" x14ac:dyDescent="0.35">
      <c r="C64455" s="2"/>
    </row>
    <row r="64456" spans="3:3" x14ac:dyDescent="0.35">
      <c r="C64456" s="2"/>
    </row>
    <row r="64457" spans="3:3" x14ac:dyDescent="0.35">
      <c r="C64457" s="2"/>
    </row>
    <row r="64458" spans="3:3" x14ac:dyDescent="0.35">
      <c r="C64458" s="2"/>
    </row>
    <row r="64459" spans="3:3" x14ac:dyDescent="0.35">
      <c r="C64459" s="2"/>
    </row>
    <row r="64460" spans="3:3" x14ac:dyDescent="0.35">
      <c r="C64460" s="2"/>
    </row>
    <row r="64461" spans="3:3" x14ac:dyDescent="0.35">
      <c r="C64461" s="2"/>
    </row>
    <row r="64462" spans="3:3" x14ac:dyDescent="0.35">
      <c r="C64462" s="2"/>
    </row>
    <row r="64463" spans="3:3" x14ac:dyDescent="0.35">
      <c r="C64463" s="2"/>
    </row>
    <row r="64464" spans="3:3" x14ac:dyDescent="0.35">
      <c r="C64464" s="2"/>
    </row>
    <row r="64465" spans="3:3" x14ac:dyDescent="0.35">
      <c r="C64465" s="2"/>
    </row>
    <row r="64466" spans="3:3" x14ac:dyDescent="0.35">
      <c r="C64466" s="2"/>
    </row>
    <row r="64467" spans="3:3" x14ac:dyDescent="0.35">
      <c r="C64467" s="2"/>
    </row>
    <row r="64468" spans="3:3" x14ac:dyDescent="0.35">
      <c r="C64468" s="2"/>
    </row>
    <row r="64469" spans="3:3" x14ac:dyDescent="0.35">
      <c r="C64469" s="2"/>
    </row>
    <row r="64470" spans="3:3" x14ac:dyDescent="0.35">
      <c r="C64470" s="2"/>
    </row>
    <row r="64471" spans="3:3" x14ac:dyDescent="0.35">
      <c r="C64471" s="2"/>
    </row>
    <row r="64472" spans="3:3" x14ac:dyDescent="0.35">
      <c r="C64472" s="2"/>
    </row>
    <row r="64473" spans="3:3" x14ac:dyDescent="0.35">
      <c r="C64473" s="2"/>
    </row>
    <row r="64474" spans="3:3" x14ac:dyDescent="0.35">
      <c r="C64474" s="2"/>
    </row>
    <row r="64475" spans="3:3" x14ac:dyDescent="0.35">
      <c r="C64475" s="2"/>
    </row>
    <row r="64476" spans="3:3" x14ac:dyDescent="0.35">
      <c r="C64476" s="2"/>
    </row>
    <row r="64477" spans="3:3" x14ac:dyDescent="0.35">
      <c r="C64477" s="2"/>
    </row>
    <row r="64478" spans="3:3" x14ac:dyDescent="0.35">
      <c r="C64478" s="2"/>
    </row>
    <row r="64479" spans="3:3" x14ac:dyDescent="0.35">
      <c r="C64479" s="2"/>
    </row>
    <row r="64480" spans="3:3" x14ac:dyDescent="0.35">
      <c r="C64480" s="2"/>
    </row>
    <row r="64481" spans="3:3" x14ac:dyDescent="0.35">
      <c r="C64481" s="2"/>
    </row>
    <row r="64482" spans="3:3" x14ac:dyDescent="0.35">
      <c r="C64482" s="2"/>
    </row>
    <row r="64483" spans="3:3" x14ac:dyDescent="0.35">
      <c r="C64483" s="2"/>
    </row>
    <row r="64484" spans="3:3" x14ac:dyDescent="0.35">
      <c r="C64484" s="2"/>
    </row>
    <row r="64485" spans="3:3" x14ac:dyDescent="0.35">
      <c r="C64485" s="2"/>
    </row>
    <row r="64486" spans="3:3" x14ac:dyDescent="0.35">
      <c r="C64486" s="2"/>
    </row>
    <row r="64487" spans="3:3" x14ac:dyDescent="0.35">
      <c r="C64487" s="2"/>
    </row>
    <row r="64488" spans="3:3" x14ac:dyDescent="0.35">
      <c r="C64488" s="2"/>
    </row>
    <row r="64489" spans="3:3" x14ac:dyDescent="0.35">
      <c r="C64489" s="2"/>
    </row>
    <row r="64490" spans="3:3" x14ac:dyDescent="0.35">
      <c r="C64490" s="2"/>
    </row>
    <row r="64491" spans="3:3" x14ac:dyDescent="0.35">
      <c r="C64491" s="2"/>
    </row>
    <row r="64492" spans="3:3" x14ac:dyDescent="0.35">
      <c r="C64492" s="2"/>
    </row>
    <row r="64493" spans="3:3" x14ac:dyDescent="0.35">
      <c r="C64493" s="2"/>
    </row>
    <row r="64494" spans="3:3" x14ac:dyDescent="0.35">
      <c r="C64494" s="2"/>
    </row>
    <row r="64495" spans="3:3" x14ac:dyDescent="0.35">
      <c r="C64495" s="2"/>
    </row>
    <row r="64496" spans="3:3" x14ac:dyDescent="0.35">
      <c r="C64496" s="2"/>
    </row>
    <row r="64497" spans="3:3" x14ac:dyDescent="0.35">
      <c r="C64497" s="2"/>
    </row>
    <row r="64498" spans="3:3" x14ac:dyDescent="0.35">
      <c r="C64498" s="2"/>
    </row>
    <row r="64499" spans="3:3" x14ac:dyDescent="0.35">
      <c r="C64499" s="2"/>
    </row>
    <row r="64500" spans="3:3" x14ac:dyDescent="0.35">
      <c r="C64500" s="2"/>
    </row>
    <row r="64501" spans="3:3" x14ac:dyDescent="0.35">
      <c r="C64501" s="2"/>
    </row>
    <row r="64502" spans="3:3" x14ac:dyDescent="0.35">
      <c r="C64502" s="2"/>
    </row>
    <row r="64503" spans="3:3" x14ac:dyDescent="0.35">
      <c r="C64503" s="2"/>
    </row>
    <row r="64504" spans="3:3" x14ac:dyDescent="0.35">
      <c r="C64504" s="2"/>
    </row>
    <row r="64505" spans="3:3" x14ac:dyDescent="0.35">
      <c r="C64505" s="2"/>
    </row>
    <row r="64506" spans="3:3" x14ac:dyDescent="0.35">
      <c r="C64506" s="2"/>
    </row>
    <row r="64507" spans="3:3" x14ac:dyDescent="0.35">
      <c r="C64507" s="2"/>
    </row>
    <row r="64508" spans="3:3" x14ac:dyDescent="0.35">
      <c r="C64508" s="2"/>
    </row>
    <row r="64509" spans="3:3" x14ac:dyDescent="0.35">
      <c r="C64509" s="2"/>
    </row>
    <row r="64510" spans="3:3" x14ac:dyDescent="0.35">
      <c r="C64510" s="2"/>
    </row>
    <row r="64511" spans="3:3" x14ac:dyDescent="0.35">
      <c r="C64511" s="2"/>
    </row>
    <row r="64512" spans="3:3" x14ac:dyDescent="0.35">
      <c r="C64512" s="2"/>
    </row>
    <row r="64513" spans="3:3" x14ac:dyDescent="0.35">
      <c r="C64513" s="2"/>
    </row>
    <row r="64514" spans="3:3" x14ac:dyDescent="0.35">
      <c r="C64514" s="2"/>
    </row>
    <row r="64515" spans="3:3" x14ac:dyDescent="0.35">
      <c r="C64515" s="2"/>
    </row>
    <row r="64516" spans="3:3" x14ac:dyDescent="0.35">
      <c r="C64516" s="2"/>
    </row>
    <row r="64517" spans="3:3" x14ac:dyDescent="0.35">
      <c r="C64517" s="2"/>
    </row>
    <row r="64518" spans="3:3" x14ac:dyDescent="0.35">
      <c r="C64518" s="2"/>
    </row>
    <row r="64519" spans="3:3" x14ac:dyDescent="0.35">
      <c r="C64519" s="2"/>
    </row>
    <row r="64520" spans="3:3" x14ac:dyDescent="0.35">
      <c r="C64520" s="2"/>
    </row>
    <row r="64521" spans="3:3" x14ac:dyDescent="0.35">
      <c r="C64521" s="2"/>
    </row>
    <row r="64522" spans="3:3" x14ac:dyDescent="0.35">
      <c r="C64522" s="2"/>
    </row>
    <row r="64523" spans="3:3" x14ac:dyDescent="0.35">
      <c r="C64523" s="2"/>
    </row>
    <row r="64524" spans="3:3" x14ac:dyDescent="0.35">
      <c r="C64524" s="2"/>
    </row>
    <row r="64525" spans="3:3" x14ac:dyDescent="0.35">
      <c r="C64525" s="2"/>
    </row>
    <row r="64526" spans="3:3" x14ac:dyDescent="0.35">
      <c r="C64526" s="2"/>
    </row>
    <row r="64527" spans="3:3" x14ac:dyDescent="0.35">
      <c r="C64527" s="2"/>
    </row>
    <row r="64528" spans="3:3" x14ac:dyDescent="0.35">
      <c r="C64528" s="2"/>
    </row>
    <row r="64529" spans="3:3" x14ac:dyDescent="0.35">
      <c r="C64529" s="2"/>
    </row>
    <row r="64530" spans="3:3" x14ac:dyDescent="0.35">
      <c r="C64530" s="2"/>
    </row>
    <row r="64531" spans="3:3" x14ac:dyDescent="0.35">
      <c r="C64531" s="2"/>
    </row>
    <row r="64532" spans="3:3" x14ac:dyDescent="0.35">
      <c r="C64532" s="2"/>
    </row>
    <row r="64533" spans="3:3" x14ac:dyDescent="0.35">
      <c r="C64533" s="2"/>
    </row>
    <row r="64534" spans="3:3" x14ac:dyDescent="0.35">
      <c r="C64534" s="2"/>
    </row>
    <row r="64535" spans="3:3" x14ac:dyDescent="0.35">
      <c r="C64535" s="2"/>
    </row>
    <row r="64536" spans="3:3" x14ac:dyDescent="0.35">
      <c r="C64536" s="2"/>
    </row>
    <row r="64537" spans="3:3" x14ac:dyDescent="0.35">
      <c r="C64537" s="2"/>
    </row>
    <row r="64538" spans="3:3" x14ac:dyDescent="0.35">
      <c r="C64538" s="2"/>
    </row>
    <row r="64539" spans="3:3" x14ac:dyDescent="0.35">
      <c r="C64539" s="2"/>
    </row>
    <row r="64540" spans="3:3" x14ac:dyDescent="0.35">
      <c r="C64540" s="2"/>
    </row>
    <row r="64541" spans="3:3" x14ac:dyDescent="0.35">
      <c r="C64541" s="2"/>
    </row>
    <row r="64542" spans="3:3" x14ac:dyDescent="0.35">
      <c r="C64542" s="2"/>
    </row>
    <row r="64543" spans="3:3" x14ac:dyDescent="0.35">
      <c r="C64543" s="2"/>
    </row>
    <row r="64544" spans="3:3" x14ac:dyDescent="0.35">
      <c r="C64544" s="2"/>
    </row>
    <row r="64545" spans="3:3" x14ac:dyDescent="0.35">
      <c r="C64545" s="2"/>
    </row>
    <row r="64546" spans="3:3" x14ac:dyDescent="0.35">
      <c r="C64546" s="2"/>
    </row>
    <row r="64547" spans="3:3" x14ac:dyDescent="0.35">
      <c r="C64547" s="2"/>
    </row>
    <row r="64548" spans="3:3" x14ac:dyDescent="0.35">
      <c r="C64548" s="2"/>
    </row>
    <row r="64549" spans="3:3" x14ac:dyDescent="0.35">
      <c r="C64549" s="2"/>
    </row>
    <row r="64550" spans="3:3" x14ac:dyDescent="0.35">
      <c r="C64550" s="2"/>
    </row>
    <row r="64551" spans="3:3" x14ac:dyDescent="0.35">
      <c r="C64551" s="2"/>
    </row>
    <row r="64552" spans="3:3" x14ac:dyDescent="0.35">
      <c r="C64552" s="2"/>
    </row>
    <row r="64553" spans="3:3" x14ac:dyDescent="0.35">
      <c r="C64553" s="2"/>
    </row>
    <row r="64554" spans="3:3" x14ac:dyDescent="0.35">
      <c r="C64554" s="2"/>
    </row>
    <row r="64555" spans="3:3" x14ac:dyDescent="0.35">
      <c r="C64555" s="2"/>
    </row>
    <row r="64556" spans="3:3" x14ac:dyDescent="0.35">
      <c r="C64556" s="2"/>
    </row>
    <row r="64557" spans="3:3" x14ac:dyDescent="0.35">
      <c r="C64557" s="2"/>
    </row>
    <row r="64558" spans="3:3" x14ac:dyDescent="0.35">
      <c r="C64558" s="2"/>
    </row>
    <row r="64559" spans="3:3" x14ac:dyDescent="0.35">
      <c r="C64559" s="2"/>
    </row>
    <row r="64560" spans="3:3" x14ac:dyDescent="0.35">
      <c r="C64560" s="2"/>
    </row>
    <row r="64561" spans="3:3" x14ac:dyDescent="0.35">
      <c r="C64561" s="2"/>
    </row>
    <row r="64562" spans="3:3" x14ac:dyDescent="0.35">
      <c r="C64562" s="2"/>
    </row>
    <row r="64563" spans="3:3" x14ac:dyDescent="0.35">
      <c r="C64563" s="2"/>
    </row>
    <row r="64564" spans="3:3" x14ac:dyDescent="0.35">
      <c r="C64564" s="2"/>
    </row>
    <row r="64565" spans="3:3" x14ac:dyDescent="0.35">
      <c r="C64565" s="2"/>
    </row>
    <row r="64566" spans="3:3" x14ac:dyDescent="0.35">
      <c r="C64566" s="2"/>
    </row>
    <row r="64567" spans="3:3" x14ac:dyDescent="0.35">
      <c r="C64567" s="2"/>
    </row>
    <row r="64568" spans="3:3" x14ac:dyDescent="0.35">
      <c r="C64568" s="2"/>
    </row>
    <row r="64569" spans="3:3" x14ac:dyDescent="0.35">
      <c r="C64569" s="2"/>
    </row>
    <row r="64570" spans="3:3" x14ac:dyDescent="0.35">
      <c r="C64570" s="2"/>
    </row>
    <row r="64571" spans="3:3" x14ac:dyDescent="0.35">
      <c r="C64571" s="2"/>
    </row>
    <row r="64572" spans="3:3" x14ac:dyDescent="0.35">
      <c r="C64572" s="2"/>
    </row>
    <row r="64573" spans="3:3" x14ac:dyDescent="0.35">
      <c r="C64573" s="2"/>
    </row>
    <row r="64574" spans="3:3" x14ac:dyDescent="0.35">
      <c r="C64574" s="2"/>
    </row>
    <row r="64575" spans="3:3" x14ac:dyDescent="0.35">
      <c r="C64575" s="2"/>
    </row>
    <row r="64576" spans="3:3" x14ac:dyDescent="0.35">
      <c r="C64576" s="2"/>
    </row>
    <row r="64577" spans="3:3" x14ac:dyDescent="0.35">
      <c r="C64577" s="2"/>
    </row>
    <row r="64578" spans="3:3" x14ac:dyDescent="0.35">
      <c r="C64578" s="2"/>
    </row>
    <row r="64579" spans="3:3" x14ac:dyDescent="0.35">
      <c r="C64579" s="2"/>
    </row>
    <row r="64580" spans="3:3" x14ac:dyDescent="0.35">
      <c r="C64580" s="2"/>
    </row>
    <row r="64581" spans="3:3" x14ac:dyDescent="0.35">
      <c r="C64581" s="2"/>
    </row>
    <row r="64582" spans="3:3" x14ac:dyDescent="0.35">
      <c r="C64582" s="2"/>
    </row>
    <row r="64583" spans="3:3" x14ac:dyDescent="0.35">
      <c r="C64583" s="2"/>
    </row>
    <row r="64584" spans="3:3" x14ac:dyDescent="0.35">
      <c r="C64584" s="2"/>
    </row>
    <row r="64585" spans="3:3" x14ac:dyDescent="0.35">
      <c r="C64585" s="2"/>
    </row>
    <row r="64586" spans="3:3" x14ac:dyDescent="0.35">
      <c r="C64586" s="2"/>
    </row>
    <row r="64587" spans="3:3" x14ac:dyDescent="0.35">
      <c r="C64587" s="2"/>
    </row>
    <row r="64588" spans="3:3" x14ac:dyDescent="0.35">
      <c r="C64588" s="2"/>
    </row>
    <row r="64589" spans="3:3" x14ac:dyDescent="0.35">
      <c r="C64589" s="2"/>
    </row>
    <row r="64590" spans="3:3" x14ac:dyDescent="0.35">
      <c r="C64590" s="2"/>
    </row>
    <row r="64591" spans="3:3" x14ac:dyDescent="0.35">
      <c r="C64591" s="2"/>
    </row>
    <row r="64592" spans="3:3" x14ac:dyDescent="0.35">
      <c r="C64592" s="2"/>
    </row>
    <row r="64593" spans="3:3" x14ac:dyDescent="0.35">
      <c r="C64593" s="2"/>
    </row>
    <row r="64594" spans="3:3" x14ac:dyDescent="0.35">
      <c r="C64594" s="2"/>
    </row>
    <row r="64595" spans="3:3" x14ac:dyDescent="0.35">
      <c r="C64595" s="2"/>
    </row>
    <row r="64596" spans="3:3" x14ac:dyDescent="0.35">
      <c r="C64596" s="2"/>
    </row>
    <row r="64597" spans="3:3" x14ac:dyDescent="0.35">
      <c r="C64597" s="2"/>
    </row>
    <row r="64598" spans="3:3" x14ac:dyDescent="0.35">
      <c r="C64598" s="2"/>
    </row>
    <row r="64599" spans="3:3" x14ac:dyDescent="0.35">
      <c r="C64599" s="2"/>
    </row>
    <row r="64600" spans="3:3" x14ac:dyDescent="0.35">
      <c r="C64600" s="2"/>
    </row>
    <row r="64601" spans="3:3" x14ac:dyDescent="0.35">
      <c r="C64601" s="2"/>
    </row>
    <row r="64602" spans="3:3" x14ac:dyDescent="0.35">
      <c r="C64602" s="2"/>
    </row>
    <row r="64603" spans="3:3" x14ac:dyDescent="0.35">
      <c r="C64603" s="2"/>
    </row>
    <row r="64604" spans="3:3" x14ac:dyDescent="0.35">
      <c r="C64604" s="2"/>
    </row>
    <row r="64605" spans="3:3" x14ac:dyDescent="0.35">
      <c r="C64605" s="2"/>
    </row>
    <row r="64606" spans="3:3" x14ac:dyDescent="0.35">
      <c r="C64606" s="2"/>
    </row>
    <row r="64607" spans="3:3" x14ac:dyDescent="0.35">
      <c r="C64607" s="2"/>
    </row>
    <row r="64608" spans="3:3" x14ac:dyDescent="0.35">
      <c r="C64608" s="2"/>
    </row>
    <row r="64609" spans="3:3" x14ac:dyDescent="0.35">
      <c r="C64609" s="2"/>
    </row>
    <row r="64610" spans="3:3" x14ac:dyDescent="0.35">
      <c r="C64610" s="2"/>
    </row>
    <row r="64611" spans="3:3" x14ac:dyDescent="0.35">
      <c r="C64611" s="2"/>
    </row>
    <row r="64612" spans="3:3" x14ac:dyDescent="0.35">
      <c r="C64612" s="2"/>
    </row>
    <row r="64613" spans="3:3" x14ac:dyDescent="0.35">
      <c r="C64613" s="2"/>
    </row>
    <row r="64614" spans="3:3" x14ac:dyDescent="0.35">
      <c r="C64614" s="2"/>
    </row>
    <row r="64615" spans="3:3" x14ac:dyDescent="0.35">
      <c r="C64615" s="2"/>
    </row>
    <row r="64616" spans="3:3" x14ac:dyDescent="0.35">
      <c r="C64616" s="2"/>
    </row>
    <row r="64617" spans="3:3" x14ac:dyDescent="0.35">
      <c r="C64617" s="2"/>
    </row>
    <row r="64618" spans="3:3" x14ac:dyDescent="0.35">
      <c r="C64618" s="2"/>
    </row>
    <row r="64619" spans="3:3" x14ac:dyDescent="0.35">
      <c r="C64619" s="2"/>
    </row>
    <row r="64620" spans="3:3" x14ac:dyDescent="0.35">
      <c r="C64620" s="2"/>
    </row>
    <row r="64621" spans="3:3" x14ac:dyDescent="0.35">
      <c r="C64621" s="2"/>
    </row>
    <row r="64622" spans="3:3" x14ac:dyDescent="0.35">
      <c r="C64622" s="2"/>
    </row>
    <row r="64623" spans="3:3" x14ac:dyDescent="0.35">
      <c r="C64623" s="2"/>
    </row>
    <row r="64624" spans="3:3" x14ac:dyDescent="0.35">
      <c r="C64624" s="2"/>
    </row>
    <row r="64625" spans="3:3" x14ac:dyDescent="0.35">
      <c r="C64625" s="2"/>
    </row>
    <row r="64626" spans="3:3" x14ac:dyDescent="0.35">
      <c r="C64626" s="2"/>
    </row>
    <row r="64627" spans="3:3" x14ac:dyDescent="0.35">
      <c r="C64627" s="2"/>
    </row>
    <row r="64628" spans="3:3" x14ac:dyDescent="0.35">
      <c r="C64628" s="2"/>
    </row>
    <row r="64629" spans="3:3" x14ac:dyDescent="0.35">
      <c r="C64629" s="2"/>
    </row>
    <row r="64630" spans="3:3" x14ac:dyDescent="0.35">
      <c r="C64630" s="2"/>
    </row>
    <row r="64631" spans="3:3" x14ac:dyDescent="0.35">
      <c r="C64631" s="2"/>
    </row>
    <row r="64632" spans="3:3" x14ac:dyDescent="0.35">
      <c r="C64632" s="2"/>
    </row>
    <row r="64633" spans="3:3" x14ac:dyDescent="0.35">
      <c r="C64633" s="2"/>
    </row>
    <row r="64634" spans="3:3" x14ac:dyDescent="0.35">
      <c r="C64634" s="2"/>
    </row>
    <row r="64635" spans="3:3" x14ac:dyDescent="0.35">
      <c r="C64635" s="2"/>
    </row>
    <row r="64636" spans="3:3" x14ac:dyDescent="0.35">
      <c r="C64636" s="2"/>
    </row>
    <row r="64637" spans="3:3" x14ac:dyDescent="0.35">
      <c r="C64637" s="2"/>
    </row>
    <row r="64638" spans="3:3" x14ac:dyDescent="0.35">
      <c r="C64638" s="2"/>
    </row>
    <row r="64639" spans="3:3" x14ac:dyDescent="0.35">
      <c r="C64639" s="2"/>
    </row>
    <row r="64640" spans="3:3" x14ac:dyDescent="0.35">
      <c r="C64640" s="2"/>
    </row>
    <row r="64641" spans="3:3" x14ac:dyDescent="0.35">
      <c r="C64641" s="2"/>
    </row>
    <row r="64642" spans="3:3" x14ac:dyDescent="0.35">
      <c r="C64642" s="2"/>
    </row>
    <row r="64643" spans="3:3" x14ac:dyDescent="0.35">
      <c r="C64643" s="2"/>
    </row>
    <row r="64644" spans="3:3" x14ac:dyDescent="0.35">
      <c r="C64644" s="2"/>
    </row>
    <row r="64645" spans="3:3" x14ac:dyDescent="0.35">
      <c r="C64645" s="2"/>
    </row>
    <row r="64646" spans="3:3" x14ac:dyDescent="0.35">
      <c r="C64646" s="2"/>
    </row>
    <row r="64647" spans="3:3" x14ac:dyDescent="0.35">
      <c r="C64647" s="2"/>
    </row>
    <row r="64648" spans="3:3" x14ac:dyDescent="0.35">
      <c r="C64648" s="2"/>
    </row>
    <row r="64649" spans="3:3" x14ac:dyDescent="0.35">
      <c r="C64649" s="2"/>
    </row>
    <row r="64650" spans="3:3" x14ac:dyDescent="0.35">
      <c r="C64650" s="2"/>
    </row>
    <row r="64651" spans="3:3" x14ac:dyDescent="0.35">
      <c r="C64651" s="2"/>
    </row>
    <row r="64652" spans="3:3" x14ac:dyDescent="0.35">
      <c r="C64652" s="2"/>
    </row>
    <row r="64653" spans="3:3" x14ac:dyDescent="0.35">
      <c r="C64653" s="2"/>
    </row>
    <row r="64654" spans="3:3" x14ac:dyDescent="0.35">
      <c r="C64654" s="2"/>
    </row>
    <row r="64655" spans="3:3" x14ac:dyDescent="0.35">
      <c r="C64655" s="2"/>
    </row>
    <row r="64656" spans="3:3" x14ac:dyDescent="0.35">
      <c r="C64656" s="2"/>
    </row>
    <row r="64657" spans="3:3" x14ac:dyDescent="0.35">
      <c r="C64657" s="2"/>
    </row>
    <row r="64658" spans="3:3" x14ac:dyDescent="0.35">
      <c r="C64658" s="2"/>
    </row>
    <row r="64659" spans="3:3" x14ac:dyDescent="0.35">
      <c r="C64659" s="2"/>
    </row>
    <row r="64660" spans="3:3" x14ac:dyDescent="0.35">
      <c r="C64660" s="2"/>
    </row>
    <row r="64661" spans="3:3" x14ac:dyDescent="0.35">
      <c r="C64661" s="2"/>
    </row>
    <row r="64662" spans="3:3" x14ac:dyDescent="0.35">
      <c r="C64662" s="2"/>
    </row>
    <row r="64663" spans="3:3" x14ac:dyDescent="0.35">
      <c r="C64663" s="2"/>
    </row>
    <row r="64664" spans="3:3" x14ac:dyDescent="0.35">
      <c r="C64664" s="2"/>
    </row>
    <row r="64665" spans="3:3" x14ac:dyDescent="0.35">
      <c r="C64665" s="2"/>
    </row>
    <row r="64666" spans="3:3" x14ac:dyDescent="0.35">
      <c r="C64666" s="2"/>
    </row>
    <row r="64667" spans="3:3" x14ac:dyDescent="0.35">
      <c r="C64667" s="2"/>
    </row>
    <row r="64668" spans="3:3" x14ac:dyDescent="0.35">
      <c r="C64668" s="2"/>
    </row>
    <row r="64669" spans="3:3" x14ac:dyDescent="0.35">
      <c r="C64669" s="2"/>
    </row>
    <row r="64670" spans="3:3" x14ac:dyDescent="0.35">
      <c r="C64670" s="2"/>
    </row>
    <row r="64671" spans="3:3" x14ac:dyDescent="0.35">
      <c r="C64671" s="2"/>
    </row>
    <row r="64672" spans="3:3" x14ac:dyDescent="0.35">
      <c r="C64672" s="2"/>
    </row>
    <row r="64673" spans="3:3" x14ac:dyDescent="0.35">
      <c r="C64673" s="2"/>
    </row>
    <row r="64674" spans="3:3" x14ac:dyDescent="0.35">
      <c r="C64674" s="2"/>
    </row>
    <row r="64675" spans="3:3" x14ac:dyDescent="0.35">
      <c r="C64675" s="2"/>
    </row>
    <row r="64676" spans="3:3" x14ac:dyDescent="0.35">
      <c r="C64676" s="2"/>
    </row>
    <row r="64677" spans="3:3" x14ac:dyDescent="0.35">
      <c r="C64677" s="2"/>
    </row>
    <row r="64678" spans="3:3" x14ac:dyDescent="0.35">
      <c r="C64678" s="2"/>
    </row>
    <row r="64679" spans="3:3" x14ac:dyDescent="0.35">
      <c r="C64679" s="2"/>
    </row>
    <row r="64680" spans="3:3" x14ac:dyDescent="0.35">
      <c r="C64680" s="2"/>
    </row>
    <row r="64681" spans="3:3" x14ac:dyDescent="0.35">
      <c r="C64681" s="2"/>
    </row>
    <row r="64682" spans="3:3" x14ac:dyDescent="0.35">
      <c r="C64682" s="2"/>
    </row>
    <row r="64683" spans="3:3" x14ac:dyDescent="0.35">
      <c r="C64683" s="2"/>
    </row>
    <row r="64684" spans="3:3" x14ac:dyDescent="0.35">
      <c r="C64684" s="2"/>
    </row>
    <row r="64685" spans="3:3" x14ac:dyDescent="0.35">
      <c r="C64685" s="2"/>
    </row>
    <row r="64686" spans="3:3" x14ac:dyDescent="0.35">
      <c r="C64686" s="2"/>
    </row>
    <row r="64687" spans="3:3" x14ac:dyDescent="0.35">
      <c r="C64687" s="2"/>
    </row>
    <row r="64688" spans="3:3" x14ac:dyDescent="0.35">
      <c r="C64688" s="2"/>
    </row>
    <row r="64689" spans="3:3" x14ac:dyDescent="0.35">
      <c r="C64689" s="2"/>
    </row>
    <row r="64690" spans="3:3" x14ac:dyDescent="0.35">
      <c r="C64690" s="2"/>
    </row>
    <row r="64691" spans="3:3" x14ac:dyDescent="0.35">
      <c r="C64691" s="2"/>
    </row>
    <row r="64692" spans="3:3" x14ac:dyDescent="0.35">
      <c r="C64692" s="2"/>
    </row>
    <row r="64693" spans="3:3" x14ac:dyDescent="0.35">
      <c r="C64693" s="2"/>
    </row>
    <row r="64694" spans="3:3" x14ac:dyDescent="0.35">
      <c r="C64694" s="2"/>
    </row>
    <row r="64695" spans="3:3" x14ac:dyDescent="0.35">
      <c r="C64695" s="2"/>
    </row>
    <row r="64696" spans="3:3" x14ac:dyDescent="0.35">
      <c r="C64696" s="2"/>
    </row>
    <row r="64697" spans="3:3" x14ac:dyDescent="0.35">
      <c r="C64697" s="2"/>
    </row>
    <row r="64698" spans="3:3" x14ac:dyDescent="0.35">
      <c r="C64698" s="2"/>
    </row>
    <row r="64699" spans="3:3" x14ac:dyDescent="0.35">
      <c r="C64699" s="2"/>
    </row>
    <row r="64700" spans="3:3" x14ac:dyDescent="0.35">
      <c r="C64700" s="2"/>
    </row>
    <row r="64701" spans="3:3" x14ac:dyDescent="0.35">
      <c r="C64701" s="2"/>
    </row>
    <row r="64702" spans="3:3" x14ac:dyDescent="0.35">
      <c r="C64702" s="2"/>
    </row>
    <row r="64703" spans="3:3" x14ac:dyDescent="0.35">
      <c r="C64703" s="2"/>
    </row>
    <row r="64704" spans="3:3" x14ac:dyDescent="0.35">
      <c r="C64704" s="2"/>
    </row>
    <row r="64705" spans="3:3" x14ac:dyDescent="0.35">
      <c r="C64705" s="2"/>
    </row>
    <row r="64706" spans="3:3" x14ac:dyDescent="0.35">
      <c r="C64706" s="2"/>
    </row>
    <row r="64707" spans="3:3" x14ac:dyDescent="0.35">
      <c r="C64707" s="2"/>
    </row>
    <row r="64708" spans="3:3" x14ac:dyDescent="0.35">
      <c r="C64708" s="2"/>
    </row>
    <row r="64709" spans="3:3" x14ac:dyDescent="0.35">
      <c r="C64709" s="2"/>
    </row>
    <row r="64710" spans="3:3" x14ac:dyDescent="0.35">
      <c r="C64710" s="2"/>
    </row>
    <row r="64711" spans="3:3" x14ac:dyDescent="0.35">
      <c r="C64711" s="2"/>
    </row>
    <row r="64712" spans="3:3" x14ac:dyDescent="0.35">
      <c r="C64712" s="2"/>
    </row>
    <row r="64713" spans="3:3" x14ac:dyDescent="0.35">
      <c r="C64713" s="2"/>
    </row>
    <row r="64714" spans="3:3" x14ac:dyDescent="0.35">
      <c r="C64714" s="2"/>
    </row>
    <row r="64715" spans="3:3" x14ac:dyDescent="0.35">
      <c r="C64715" s="2"/>
    </row>
    <row r="64716" spans="3:3" x14ac:dyDescent="0.35">
      <c r="C64716" s="2"/>
    </row>
    <row r="64717" spans="3:3" x14ac:dyDescent="0.35">
      <c r="C64717" s="2"/>
    </row>
    <row r="64718" spans="3:3" x14ac:dyDescent="0.35">
      <c r="C64718" s="2"/>
    </row>
    <row r="64719" spans="3:3" x14ac:dyDescent="0.35">
      <c r="C64719" s="2"/>
    </row>
    <row r="64720" spans="3:3" x14ac:dyDescent="0.35">
      <c r="C64720" s="2"/>
    </row>
    <row r="64721" spans="3:3" x14ac:dyDescent="0.35">
      <c r="C64721" s="2"/>
    </row>
    <row r="64722" spans="3:3" x14ac:dyDescent="0.35">
      <c r="C64722" s="2"/>
    </row>
    <row r="64723" spans="3:3" x14ac:dyDescent="0.35">
      <c r="C64723" s="2"/>
    </row>
    <row r="64724" spans="3:3" x14ac:dyDescent="0.35">
      <c r="C64724" s="2"/>
    </row>
    <row r="64725" spans="3:3" x14ac:dyDescent="0.35">
      <c r="C64725" s="2"/>
    </row>
    <row r="64726" spans="3:3" x14ac:dyDescent="0.35">
      <c r="C64726" s="2"/>
    </row>
    <row r="64727" spans="3:3" x14ac:dyDescent="0.35">
      <c r="C64727" s="2"/>
    </row>
    <row r="64728" spans="3:3" x14ac:dyDescent="0.35">
      <c r="C64728" s="2"/>
    </row>
    <row r="64729" spans="3:3" x14ac:dyDescent="0.35">
      <c r="C64729" s="2"/>
    </row>
    <row r="64730" spans="3:3" x14ac:dyDescent="0.35">
      <c r="C64730" s="2"/>
    </row>
    <row r="64731" spans="3:3" x14ac:dyDescent="0.35">
      <c r="C64731" s="2"/>
    </row>
    <row r="64732" spans="3:3" x14ac:dyDescent="0.35">
      <c r="C64732" s="2"/>
    </row>
    <row r="64733" spans="3:3" x14ac:dyDescent="0.35">
      <c r="C64733" s="2"/>
    </row>
    <row r="64734" spans="3:3" x14ac:dyDescent="0.35">
      <c r="C64734" s="2"/>
    </row>
    <row r="64735" spans="3:3" x14ac:dyDescent="0.35">
      <c r="C64735" s="2"/>
    </row>
    <row r="64736" spans="3:3" x14ac:dyDescent="0.35">
      <c r="C64736" s="2"/>
    </row>
    <row r="64737" spans="3:3" x14ac:dyDescent="0.35">
      <c r="C64737" s="2"/>
    </row>
    <row r="64738" spans="3:3" x14ac:dyDescent="0.35">
      <c r="C64738" s="2"/>
    </row>
    <row r="64739" spans="3:3" x14ac:dyDescent="0.35">
      <c r="C64739" s="2"/>
    </row>
    <row r="64740" spans="3:3" x14ac:dyDescent="0.35">
      <c r="C64740" s="2"/>
    </row>
    <row r="64741" spans="3:3" x14ac:dyDescent="0.35">
      <c r="C64741" s="2"/>
    </row>
    <row r="64742" spans="3:3" x14ac:dyDescent="0.35">
      <c r="C64742" s="2"/>
    </row>
    <row r="64743" spans="3:3" x14ac:dyDescent="0.35">
      <c r="C64743" s="2"/>
    </row>
    <row r="64744" spans="3:3" x14ac:dyDescent="0.35">
      <c r="C64744" s="2"/>
    </row>
    <row r="64745" spans="3:3" x14ac:dyDescent="0.35">
      <c r="C64745" s="2"/>
    </row>
    <row r="64746" spans="3:3" x14ac:dyDescent="0.35">
      <c r="C64746" s="2"/>
    </row>
    <row r="64747" spans="3:3" x14ac:dyDescent="0.35">
      <c r="C64747" s="2"/>
    </row>
    <row r="64748" spans="3:3" x14ac:dyDescent="0.35">
      <c r="C64748" s="2"/>
    </row>
    <row r="64749" spans="3:3" x14ac:dyDescent="0.35">
      <c r="C64749" s="2"/>
    </row>
    <row r="64750" spans="3:3" x14ac:dyDescent="0.35">
      <c r="C64750" s="2"/>
    </row>
    <row r="64751" spans="3:3" x14ac:dyDescent="0.35">
      <c r="C64751" s="2"/>
    </row>
    <row r="64752" spans="3:3" x14ac:dyDescent="0.35">
      <c r="C64752" s="2"/>
    </row>
    <row r="64753" spans="3:3" x14ac:dyDescent="0.35">
      <c r="C64753" s="2"/>
    </row>
    <row r="64754" spans="3:3" x14ac:dyDescent="0.35">
      <c r="C64754" s="2"/>
    </row>
    <row r="64755" spans="3:3" x14ac:dyDescent="0.35">
      <c r="C64755" s="2"/>
    </row>
    <row r="64756" spans="3:3" x14ac:dyDescent="0.35">
      <c r="C64756" s="2"/>
    </row>
    <row r="64757" spans="3:3" x14ac:dyDescent="0.35">
      <c r="C64757" s="2"/>
    </row>
    <row r="64758" spans="3:3" x14ac:dyDescent="0.35">
      <c r="C64758" s="2"/>
    </row>
    <row r="64759" spans="3:3" x14ac:dyDescent="0.35">
      <c r="C64759" s="2"/>
    </row>
    <row r="64760" spans="3:3" x14ac:dyDescent="0.35">
      <c r="C64760" s="2"/>
    </row>
    <row r="64761" spans="3:3" x14ac:dyDescent="0.35">
      <c r="C64761" s="2"/>
    </row>
    <row r="64762" spans="3:3" x14ac:dyDescent="0.35">
      <c r="C64762" s="2"/>
    </row>
    <row r="64763" spans="3:3" x14ac:dyDescent="0.35">
      <c r="C64763" s="2"/>
    </row>
    <row r="64764" spans="3:3" x14ac:dyDescent="0.35">
      <c r="C64764" s="2"/>
    </row>
    <row r="64765" spans="3:3" x14ac:dyDescent="0.35">
      <c r="C64765" s="2"/>
    </row>
    <row r="64766" spans="3:3" x14ac:dyDescent="0.35">
      <c r="C64766" s="2"/>
    </row>
    <row r="64767" spans="3:3" x14ac:dyDescent="0.35">
      <c r="C64767" s="2"/>
    </row>
    <row r="64768" spans="3:3" x14ac:dyDescent="0.35">
      <c r="C64768" s="2"/>
    </row>
    <row r="64769" spans="3:3" x14ac:dyDescent="0.35">
      <c r="C64769" s="2"/>
    </row>
    <row r="64770" spans="3:3" x14ac:dyDescent="0.35">
      <c r="C64770" s="2"/>
    </row>
    <row r="64771" spans="3:3" x14ac:dyDescent="0.35">
      <c r="C64771" s="2"/>
    </row>
    <row r="64772" spans="3:3" x14ac:dyDescent="0.35">
      <c r="C64772" s="2"/>
    </row>
    <row r="64773" spans="3:3" x14ac:dyDescent="0.35">
      <c r="C64773" s="2"/>
    </row>
    <row r="64774" spans="3:3" x14ac:dyDescent="0.35">
      <c r="C64774" s="2"/>
    </row>
    <row r="64775" spans="3:3" x14ac:dyDescent="0.35">
      <c r="C64775" s="2"/>
    </row>
    <row r="64776" spans="3:3" x14ac:dyDescent="0.35">
      <c r="C64776" s="2"/>
    </row>
    <row r="64777" spans="3:3" x14ac:dyDescent="0.35">
      <c r="C64777" s="2"/>
    </row>
    <row r="64778" spans="3:3" x14ac:dyDescent="0.35">
      <c r="C64778" s="2"/>
    </row>
    <row r="64779" spans="3:3" x14ac:dyDescent="0.35">
      <c r="C64779" s="2"/>
    </row>
    <row r="64780" spans="3:3" x14ac:dyDescent="0.35">
      <c r="C64780" s="2"/>
    </row>
    <row r="64781" spans="3:3" x14ac:dyDescent="0.35">
      <c r="C64781" s="2"/>
    </row>
    <row r="64782" spans="3:3" x14ac:dyDescent="0.35">
      <c r="C64782" s="2"/>
    </row>
    <row r="64783" spans="3:3" x14ac:dyDescent="0.35">
      <c r="C64783" s="2"/>
    </row>
    <row r="64784" spans="3:3" x14ac:dyDescent="0.35">
      <c r="C64784" s="2"/>
    </row>
    <row r="64785" spans="3:3" x14ac:dyDescent="0.35">
      <c r="C64785" s="2"/>
    </row>
    <row r="64786" spans="3:3" x14ac:dyDescent="0.35">
      <c r="C64786" s="2"/>
    </row>
    <row r="64787" spans="3:3" x14ac:dyDescent="0.35">
      <c r="C64787" s="2"/>
    </row>
    <row r="64788" spans="3:3" x14ac:dyDescent="0.35">
      <c r="C64788" s="2"/>
    </row>
    <row r="64789" spans="3:3" x14ac:dyDescent="0.35">
      <c r="C64789" s="2"/>
    </row>
    <row r="64790" spans="3:3" x14ac:dyDescent="0.35">
      <c r="C64790" s="2"/>
    </row>
    <row r="64791" spans="3:3" x14ac:dyDescent="0.35">
      <c r="C64791" s="2"/>
    </row>
    <row r="64792" spans="3:3" x14ac:dyDescent="0.35">
      <c r="C64792" s="2"/>
    </row>
    <row r="64793" spans="3:3" x14ac:dyDescent="0.35">
      <c r="C64793" s="2"/>
    </row>
    <row r="64794" spans="3:3" x14ac:dyDescent="0.35">
      <c r="C64794" s="2"/>
    </row>
    <row r="64795" spans="3:3" x14ac:dyDescent="0.35">
      <c r="C64795" s="2"/>
    </row>
    <row r="64796" spans="3:3" x14ac:dyDescent="0.35">
      <c r="C64796" s="2"/>
    </row>
    <row r="64797" spans="3:3" x14ac:dyDescent="0.35">
      <c r="C64797" s="2"/>
    </row>
    <row r="64798" spans="3:3" x14ac:dyDescent="0.35">
      <c r="C64798" s="2"/>
    </row>
    <row r="64799" spans="3:3" x14ac:dyDescent="0.35">
      <c r="C64799" s="2"/>
    </row>
    <row r="64800" spans="3:3" x14ac:dyDescent="0.35">
      <c r="C64800" s="2"/>
    </row>
    <row r="64801" spans="3:3" x14ac:dyDescent="0.35">
      <c r="C64801" s="2"/>
    </row>
    <row r="64802" spans="3:3" x14ac:dyDescent="0.35">
      <c r="C64802" s="2"/>
    </row>
    <row r="64803" spans="3:3" x14ac:dyDescent="0.35">
      <c r="C64803" s="2"/>
    </row>
    <row r="64804" spans="3:3" x14ac:dyDescent="0.35">
      <c r="C64804" s="2"/>
    </row>
    <row r="64805" spans="3:3" x14ac:dyDescent="0.35">
      <c r="C64805" s="2"/>
    </row>
    <row r="64806" spans="3:3" x14ac:dyDescent="0.35">
      <c r="C64806" s="2"/>
    </row>
    <row r="64807" spans="3:3" x14ac:dyDescent="0.35">
      <c r="C64807" s="2"/>
    </row>
    <row r="64808" spans="3:3" x14ac:dyDescent="0.35">
      <c r="C64808" s="2"/>
    </row>
    <row r="64809" spans="3:3" x14ac:dyDescent="0.35">
      <c r="C64809" s="2"/>
    </row>
    <row r="64810" spans="3:3" x14ac:dyDescent="0.35">
      <c r="C64810" s="2"/>
    </row>
    <row r="64811" spans="3:3" x14ac:dyDescent="0.35">
      <c r="C64811" s="2"/>
    </row>
    <row r="64812" spans="3:3" x14ac:dyDescent="0.35">
      <c r="C64812" s="2"/>
    </row>
    <row r="64813" spans="3:3" x14ac:dyDescent="0.35">
      <c r="C64813" s="2"/>
    </row>
    <row r="64814" spans="3:3" x14ac:dyDescent="0.35">
      <c r="C64814" s="2"/>
    </row>
    <row r="64815" spans="3:3" x14ac:dyDescent="0.35">
      <c r="C64815" s="2"/>
    </row>
    <row r="64816" spans="3:3" x14ac:dyDescent="0.35">
      <c r="C64816" s="2"/>
    </row>
    <row r="64817" spans="3:3" x14ac:dyDescent="0.35">
      <c r="C64817" s="2"/>
    </row>
    <row r="64818" spans="3:3" x14ac:dyDescent="0.35">
      <c r="C64818" s="2"/>
    </row>
    <row r="64819" spans="3:3" x14ac:dyDescent="0.35">
      <c r="C64819" s="2"/>
    </row>
    <row r="64820" spans="3:3" x14ac:dyDescent="0.35">
      <c r="C64820" s="2"/>
    </row>
    <row r="64821" spans="3:3" x14ac:dyDescent="0.35">
      <c r="C64821" s="2"/>
    </row>
    <row r="64822" spans="3:3" x14ac:dyDescent="0.35">
      <c r="C64822" s="2"/>
    </row>
    <row r="64823" spans="3:3" x14ac:dyDescent="0.35">
      <c r="C64823" s="2"/>
    </row>
    <row r="64824" spans="3:3" x14ac:dyDescent="0.35">
      <c r="C64824" s="2"/>
    </row>
    <row r="64825" spans="3:3" x14ac:dyDescent="0.35">
      <c r="C64825" s="2"/>
    </row>
    <row r="64826" spans="3:3" x14ac:dyDescent="0.35">
      <c r="C64826" s="2"/>
    </row>
    <row r="64827" spans="3:3" x14ac:dyDescent="0.35">
      <c r="C64827" s="2"/>
    </row>
    <row r="64828" spans="3:3" x14ac:dyDescent="0.35">
      <c r="C64828" s="2"/>
    </row>
    <row r="64829" spans="3:3" x14ac:dyDescent="0.35">
      <c r="C64829" s="2"/>
    </row>
    <row r="64830" spans="3:3" x14ac:dyDescent="0.35">
      <c r="C64830" s="2"/>
    </row>
    <row r="64831" spans="3:3" x14ac:dyDescent="0.35">
      <c r="C64831" s="2"/>
    </row>
    <row r="64832" spans="3:3" x14ac:dyDescent="0.35">
      <c r="C64832" s="2"/>
    </row>
    <row r="64833" spans="3:3" x14ac:dyDescent="0.35">
      <c r="C64833" s="2"/>
    </row>
    <row r="64834" spans="3:3" x14ac:dyDescent="0.35">
      <c r="C64834" s="2"/>
    </row>
    <row r="64835" spans="3:3" x14ac:dyDescent="0.35">
      <c r="C64835" s="2"/>
    </row>
    <row r="64836" spans="3:3" x14ac:dyDescent="0.35">
      <c r="C64836" s="2"/>
    </row>
    <row r="64837" spans="3:3" x14ac:dyDescent="0.35">
      <c r="C64837" s="2"/>
    </row>
    <row r="64838" spans="3:3" x14ac:dyDescent="0.35">
      <c r="C64838" s="2"/>
    </row>
    <row r="64839" spans="3:3" x14ac:dyDescent="0.35">
      <c r="C64839" s="2"/>
    </row>
    <row r="64840" spans="3:3" x14ac:dyDescent="0.35">
      <c r="C64840" s="2"/>
    </row>
    <row r="64841" spans="3:3" x14ac:dyDescent="0.35">
      <c r="C64841" s="2"/>
    </row>
    <row r="64842" spans="3:3" x14ac:dyDescent="0.35">
      <c r="C64842" s="2"/>
    </row>
    <row r="64843" spans="3:3" x14ac:dyDescent="0.35">
      <c r="C64843" s="2"/>
    </row>
    <row r="64844" spans="3:3" x14ac:dyDescent="0.35">
      <c r="C64844" s="2"/>
    </row>
    <row r="64845" spans="3:3" x14ac:dyDescent="0.35">
      <c r="C64845" s="2"/>
    </row>
    <row r="64846" spans="3:3" x14ac:dyDescent="0.35">
      <c r="C64846" s="2"/>
    </row>
    <row r="64847" spans="3:3" x14ac:dyDescent="0.35">
      <c r="C64847" s="2"/>
    </row>
    <row r="64848" spans="3:3" x14ac:dyDescent="0.35">
      <c r="C64848" s="2"/>
    </row>
    <row r="64849" spans="3:3" x14ac:dyDescent="0.35">
      <c r="C64849" s="2"/>
    </row>
    <row r="64850" spans="3:3" x14ac:dyDescent="0.35">
      <c r="C64850" s="2"/>
    </row>
    <row r="64851" spans="3:3" x14ac:dyDescent="0.35">
      <c r="C64851" s="2"/>
    </row>
    <row r="64852" spans="3:3" x14ac:dyDescent="0.35">
      <c r="C64852" s="2"/>
    </row>
    <row r="64853" spans="3:3" x14ac:dyDescent="0.35">
      <c r="C64853" s="2"/>
    </row>
    <row r="64854" spans="3:3" x14ac:dyDescent="0.35">
      <c r="C64854" s="2"/>
    </row>
    <row r="64855" spans="3:3" x14ac:dyDescent="0.35">
      <c r="C64855" s="2"/>
    </row>
    <row r="64856" spans="3:3" x14ac:dyDescent="0.35">
      <c r="C64856" s="2"/>
    </row>
    <row r="64857" spans="3:3" x14ac:dyDescent="0.35">
      <c r="C64857" s="2"/>
    </row>
    <row r="64858" spans="3:3" x14ac:dyDescent="0.35">
      <c r="C64858" s="2"/>
    </row>
    <row r="64859" spans="3:3" x14ac:dyDescent="0.35">
      <c r="C64859" s="2"/>
    </row>
    <row r="64860" spans="3:3" x14ac:dyDescent="0.35">
      <c r="C64860" s="2"/>
    </row>
    <row r="64861" spans="3:3" x14ac:dyDescent="0.35">
      <c r="C64861" s="2"/>
    </row>
    <row r="64862" spans="3:3" x14ac:dyDescent="0.35">
      <c r="C64862" s="2"/>
    </row>
    <row r="64863" spans="3:3" x14ac:dyDescent="0.35">
      <c r="C64863" s="2"/>
    </row>
    <row r="64864" spans="3:3" x14ac:dyDescent="0.35">
      <c r="C64864" s="2"/>
    </row>
    <row r="64865" spans="3:3" x14ac:dyDescent="0.35">
      <c r="C64865" s="2"/>
    </row>
    <row r="64866" spans="3:3" x14ac:dyDescent="0.35">
      <c r="C64866" s="2"/>
    </row>
    <row r="64867" spans="3:3" x14ac:dyDescent="0.35">
      <c r="C64867" s="2"/>
    </row>
    <row r="64868" spans="3:3" x14ac:dyDescent="0.35">
      <c r="C64868" s="2"/>
    </row>
    <row r="64869" spans="3:3" x14ac:dyDescent="0.35">
      <c r="C64869" s="2"/>
    </row>
    <row r="64870" spans="3:3" x14ac:dyDescent="0.35">
      <c r="C64870" s="2"/>
    </row>
    <row r="64871" spans="3:3" x14ac:dyDescent="0.35">
      <c r="C64871" s="2"/>
    </row>
    <row r="64872" spans="3:3" x14ac:dyDescent="0.35">
      <c r="C64872" s="2"/>
    </row>
    <row r="64873" spans="3:3" x14ac:dyDescent="0.35">
      <c r="C64873" s="2"/>
    </row>
    <row r="64874" spans="3:3" x14ac:dyDescent="0.35">
      <c r="C64874" s="2"/>
    </row>
    <row r="64875" spans="3:3" x14ac:dyDescent="0.35">
      <c r="C64875" s="2"/>
    </row>
    <row r="64876" spans="3:3" x14ac:dyDescent="0.35">
      <c r="C64876" s="2"/>
    </row>
    <row r="64877" spans="3:3" x14ac:dyDescent="0.35">
      <c r="C64877" s="2"/>
    </row>
    <row r="64878" spans="3:3" x14ac:dyDescent="0.35">
      <c r="C64878" s="2"/>
    </row>
    <row r="64879" spans="3:3" x14ac:dyDescent="0.35">
      <c r="C64879" s="2"/>
    </row>
    <row r="64880" spans="3:3" x14ac:dyDescent="0.35">
      <c r="C64880" s="2"/>
    </row>
    <row r="64881" spans="3:3" x14ac:dyDescent="0.35">
      <c r="C64881" s="2"/>
    </row>
    <row r="64882" spans="3:3" x14ac:dyDescent="0.35">
      <c r="C64882" s="2"/>
    </row>
    <row r="64883" spans="3:3" x14ac:dyDescent="0.35">
      <c r="C64883" s="2"/>
    </row>
    <row r="64884" spans="3:3" x14ac:dyDescent="0.35">
      <c r="C64884" s="2"/>
    </row>
    <row r="64885" spans="3:3" x14ac:dyDescent="0.35">
      <c r="C64885" s="2"/>
    </row>
    <row r="64886" spans="3:3" x14ac:dyDescent="0.35">
      <c r="C64886" s="2"/>
    </row>
    <row r="64887" spans="3:3" x14ac:dyDescent="0.35">
      <c r="C64887" s="2"/>
    </row>
    <row r="64888" spans="3:3" x14ac:dyDescent="0.35">
      <c r="C64888" s="2"/>
    </row>
    <row r="64889" spans="3:3" x14ac:dyDescent="0.35">
      <c r="C64889" s="2"/>
    </row>
    <row r="64890" spans="3:3" x14ac:dyDescent="0.35">
      <c r="C64890" s="2"/>
    </row>
    <row r="64891" spans="3:3" x14ac:dyDescent="0.35">
      <c r="C64891" s="2"/>
    </row>
    <row r="64892" spans="3:3" x14ac:dyDescent="0.35">
      <c r="C64892" s="2"/>
    </row>
    <row r="64893" spans="3:3" x14ac:dyDescent="0.35">
      <c r="C64893" s="2"/>
    </row>
    <row r="64894" spans="3:3" x14ac:dyDescent="0.35">
      <c r="C64894" s="2"/>
    </row>
    <row r="64895" spans="3:3" x14ac:dyDescent="0.35">
      <c r="C64895" s="2"/>
    </row>
    <row r="64896" spans="3:3" x14ac:dyDescent="0.35">
      <c r="C64896" s="2"/>
    </row>
    <row r="64897" spans="3:3" x14ac:dyDescent="0.35">
      <c r="C64897" s="2"/>
    </row>
    <row r="64898" spans="3:3" x14ac:dyDescent="0.35">
      <c r="C64898" s="2"/>
    </row>
    <row r="64899" spans="3:3" x14ac:dyDescent="0.35">
      <c r="C64899" s="2"/>
    </row>
    <row r="64900" spans="3:3" x14ac:dyDescent="0.35">
      <c r="C64900" s="2"/>
    </row>
    <row r="64901" spans="3:3" x14ac:dyDescent="0.35">
      <c r="C64901" s="2"/>
    </row>
    <row r="64902" spans="3:3" x14ac:dyDescent="0.35">
      <c r="C64902" s="2"/>
    </row>
    <row r="64903" spans="3:3" x14ac:dyDescent="0.35">
      <c r="C64903" s="2"/>
    </row>
    <row r="64904" spans="3:3" x14ac:dyDescent="0.35">
      <c r="C64904" s="2"/>
    </row>
    <row r="64905" spans="3:3" x14ac:dyDescent="0.35">
      <c r="C64905" s="2"/>
    </row>
    <row r="64906" spans="3:3" x14ac:dyDescent="0.35">
      <c r="C64906" s="2"/>
    </row>
    <row r="64907" spans="3:3" x14ac:dyDescent="0.35">
      <c r="C64907" s="2"/>
    </row>
    <row r="64908" spans="3:3" x14ac:dyDescent="0.35">
      <c r="C64908" s="2"/>
    </row>
    <row r="64909" spans="3:3" x14ac:dyDescent="0.35">
      <c r="C64909" s="2"/>
    </row>
    <row r="64910" spans="3:3" x14ac:dyDescent="0.35">
      <c r="C64910" s="2"/>
    </row>
    <row r="64911" spans="3:3" x14ac:dyDescent="0.35">
      <c r="C64911" s="2"/>
    </row>
    <row r="64912" spans="3:3" x14ac:dyDescent="0.35">
      <c r="C64912" s="2"/>
    </row>
    <row r="64913" spans="3:3" x14ac:dyDescent="0.35">
      <c r="C64913" s="2"/>
    </row>
    <row r="64914" spans="3:3" x14ac:dyDescent="0.35">
      <c r="C64914" s="2"/>
    </row>
    <row r="64915" spans="3:3" x14ac:dyDescent="0.35">
      <c r="C64915" s="2"/>
    </row>
    <row r="64916" spans="3:3" x14ac:dyDescent="0.35">
      <c r="C64916" s="2"/>
    </row>
    <row r="64917" spans="3:3" x14ac:dyDescent="0.35">
      <c r="C64917" s="2"/>
    </row>
    <row r="64918" spans="3:3" x14ac:dyDescent="0.35">
      <c r="C64918" s="2"/>
    </row>
    <row r="64919" spans="3:3" x14ac:dyDescent="0.35">
      <c r="C64919" s="2"/>
    </row>
    <row r="64920" spans="3:3" x14ac:dyDescent="0.35">
      <c r="C64920" s="2"/>
    </row>
    <row r="64921" spans="3:3" x14ac:dyDescent="0.35">
      <c r="C64921" s="2"/>
    </row>
    <row r="64922" spans="3:3" x14ac:dyDescent="0.35">
      <c r="C64922" s="2"/>
    </row>
    <row r="64923" spans="3:3" x14ac:dyDescent="0.35">
      <c r="C64923" s="2"/>
    </row>
    <row r="64924" spans="3:3" x14ac:dyDescent="0.35">
      <c r="C64924" s="2"/>
    </row>
    <row r="64925" spans="3:3" x14ac:dyDescent="0.35">
      <c r="C64925" s="2"/>
    </row>
    <row r="64926" spans="3:3" x14ac:dyDescent="0.35">
      <c r="C64926" s="2"/>
    </row>
    <row r="64927" spans="3:3" x14ac:dyDescent="0.35">
      <c r="C64927" s="2"/>
    </row>
    <row r="64928" spans="3:3" x14ac:dyDescent="0.35">
      <c r="C64928" s="2"/>
    </row>
    <row r="64929" spans="3:3" x14ac:dyDescent="0.35">
      <c r="C64929" s="2"/>
    </row>
    <row r="64930" spans="3:3" x14ac:dyDescent="0.35">
      <c r="C64930" s="2"/>
    </row>
    <row r="64931" spans="3:3" x14ac:dyDescent="0.35">
      <c r="C64931" s="2"/>
    </row>
    <row r="64932" spans="3:3" x14ac:dyDescent="0.35">
      <c r="C64932" s="2"/>
    </row>
    <row r="64933" spans="3:3" x14ac:dyDescent="0.35">
      <c r="C64933" s="2"/>
    </row>
    <row r="64934" spans="3:3" x14ac:dyDescent="0.35">
      <c r="C64934" s="2"/>
    </row>
    <row r="64935" spans="3:3" x14ac:dyDescent="0.35">
      <c r="C64935" s="2"/>
    </row>
    <row r="64936" spans="3:3" x14ac:dyDescent="0.35">
      <c r="C64936" s="2"/>
    </row>
    <row r="64937" spans="3:3" x14ac:dyDescent="0.35">
      <c r="C64937" s="2"/>
    </row>
    <row r="64938" spans="3:3" x14ac:dyDescent="0.35">
      <c r="C64938" s="2"/>
    </row>
    <row r="64939" spans="3:3" x14ac:dyDescent="0.35">
      <c r="C64939" s="2"/>
    </row>
    <row r="64940" spans="3:3" x14ac:dyDescent="0.35">
      <c r="C64940" s="2"/>
    </row>
    <row r="64941" spans="3:3" x14ac:dyDescent="0.35">
      <c r="C64941" s="2"/>
    </row>
    <row r="64942" spans="3:3" x14ac:dyDescent="0.35">
      <c r="C64942" s="2"/>
    </row>
    <row r="64943" spans="3:3" x14ac:dyDescent="0.35">
      <c r="C64943" s="2"/>
    </row>
    <row r="64944" spans="3:3" x14ac:dyDescent="0.35">
      <c r="C64944" s="2"/>
    </row>
    <row r="64945" spans="3:3" x14ac:dyDescent="0.35">
      <c r="C64945" s="2"/>
    </row>
    <row r="64946" spans="3:3" x14ac:dyDescent="0.35">
      <c r="C64946" s="2"/>
    </row>
    <row r="64947" spans="3:3" x14ac:dyDescent="0.35">
      <c r="C64947" s="2"/>
    </row>
    <row r="64948" spans="3:3" x14ac:dyDescent="0.35">
      <c r="C64948" s="2"/>
    </row>
    <row r="64949" spans="3:3" x14ac:dyDescent="0.35">
      <c r="C64949" s="2"/>
    </row>
    <row r="64950" spans="3:3" x14ac:dyDescent="0.35">
      <c r="C64950" s="2"/>
    </row>
    <row r="64951" spans="3:3" x14ac:dyDescent="0.35">
      <c r="C64951" s="2"/>
    </row>
    <row r="64952" spans="3:3" x14ac:dyDescent="0.35">
      <c r="C64952" s="2"/>
    </row>
    <row r="64953" spans="3:3" x14ac:dyDescent="0.35">
      <c r="C64953" s="2"/>
    </row>
    <row r="64954" spans="3:3" x14ac:dyDescent="0.35">
      <c r="C64954" s="2"/>
    </row>
    <row r="64955" spans="3:3" x14ac:dyDescent="0.35">
      <c r="C64955" s="2"/>
    </row>
    <row r="64956" spans="3:3" x14ac:dyDescent="0.35">
      <c r="C64956" s="2"/>
    </row>
    <row r="64957" spans="3:3" x14ac:dyDescent="0.35">
      <c r="C64957" s="2"/>
    </row>
    <row r="64958" spans="3:3" x14ac:dyDescent="0.35">
      <c r="C64958" s="2"/>
    </row>
    <row r="64959" spans="3:3" x14ac:dyDescent="0.35">
      <c r="C64959" s="2"/>
    </row>
    <row r="64960" spans="3:3" x14ac:dyDescent="0.35">
      <c r="C64960" s="2"/>
    </row>
    <row r="64961" spans="3:3" x14ac:dyDescent="0.35">
      <c r="C64961" s="2"/>
    </row>
    <row r="64962" spans="3:3" x14ac:dyDescent="0.35">
      <c r="C64962" s="2"/>
    </row>
    <row r="64963" spans="3:3" x14ac:dyDescent="0.35">
      <c r="C64963" s="2"/>
    </row>
    <row r="64964" spans="3:3" x14ac:dyDescent="0.35">
      <c r="C64964" s="2"/>
    </row>
    <row r="64965" spans="3:3" x14ac:dyDescent="0.35">
      <c r="C64965" s="2"/>
    </row>
    <row r="64966" spans="3:3" x14ac:dyDescent="0.35">
      <c r="C64966" s="2"/>
    </row>
    <row r="64967" spans="3:3" x14ac:dyDescent="0.35">
      <c r="C64967" s="2"/>
    </row>
    <row r="64968" spans="3:3" x14ac:dyDescent="0.35">
      <c r="C64968" s="2"/>
    </row>
    <row r="64969" spans="3:3" x14ac:dyDescent="0.35">
      <c r="C64969" s="2"/>
    </row>
    <row r="64970" spans="3:3" x14ac:dyDescent="0.35">
      <c r="C64970" s="2"/>
    </row>
    <row r="64971" spans="3:3" x14ac:dyDescent="0.35">
      <c r="C64971" s="2"/>
    </row>
    <row r="64972" spans="3:3" x14ac:dyDescent="0.35">
      <c r="C64972" s="2"/>
    </row>
    <row r="64973" spans="3:3" x14ac:dyDescent="0.35">
      <c r="C64973" s="2"/>
    </row>
    <row r="64974" spans="3:3" x14ac:dyDescent="0.35">
      <c r="C64974" s="2"/>
    </row>
    <row r="64975" spans="3:3" x14ac:dyDescent="0.35">
      <c r="C64975" s="2"/>
    </row>
    <row r="64976" spans="3:3" x14ac:dyDescent="0.35">
      <c r="C64976" s="2"/>
    </row>
    <row r="64977" spans="3:3" x14ac:dyDescent="0.35">
      <c r="C64977" s="2"/>
    </row>
    <row r="64978" spans="3:3" x14ac:dyDescent="0.35">
      <c r="C64978" s="2"/>
    </row>
    <row r="64979" spans="3:3" x14ac:dyDescent="0.35">
      <c r="C64979" s="2"/>
    </row>
    <row r="64980" spans="3:3" x14ac:dyDescent="0.35">
      <c r="C64980" s="2"/>
    </row>
    <row r="64981" spans="3:3" x14ac:dyDescent="0.35">
      <c r="C64981" s="2"/>
    </row>
    <row r="64982" spans="3:3" x14ac:dyDescent="0.35">
      <c r="C64982" s="2"/>
    </row>
    <row r="64983" spans="3:3" x14ac:dyDescent="0.35">
      <c r="C64983" s="2"/>
    </row>
    <row r="64984" spans="3:3" x14ac:dyDescent="0.35">
      <c r="C64984" s="2"/>
    </row>
    <row r="64985" spans="3:3" x14ac:dyDescent="0.35">
      <c r="C64985" s="2"/>
    </row>
    <row r="64986" spans="3:3" x14ac:dyDescent="0.35">
      <c r="C64986" s="2"/>
    </row>
    <row r="64987" spans="3:3" x14ac:dyDescent="0.35">
      <c r="C64987" s="2"/>
    </row>
    <row r="64988" spans="3:3" x14ac:dyDescent="0.35">
      <c r="C64988" s="2"/>
    </row>
    <row r="64989" spans="3:3" x14ac:dyDescent="0.35">
      <c r="C64989" s="2"/>
    </row>
    <row r="64990" spans="3:3" x14ac:dyDescent="0.35">
      <c r="C64990" s="2"/>
    </row>
    <row r="64991" spans="3:3" x14ac:dyDescent="0.35">
      <c r="C64991" s="2"/>
    </row>
    <row r="64992" spans="3:3" x14ac:dyDescent="0.35">
      <c r="C64992" s="2"/>
    </row>
    <row r="64993" spans="3:3" x14ac:dyDescent="0.35">
      <c r="C64993" s="2"/>
    </row>
    <row r="64994" spans="3:3" x14ac:dyDescent="0.35">
      <c r="C64994" s="2"/>
    </row>
    <row r="64995" spans="3:3" x14ac:dyDescent="0.35">
      <c r="C64995" s="2"/>
    </row>
    <row r="64996" spans="3:3" x14ac:dyDescent="0.35">
      <c r="C64996" s="2"/>
    </row>
    <row r="64997" spans="3:3" x14ac:dyDescent="0.35">
      <c r="C64997" s="2"/>
    </row>
    <row r="64998" spans="3:3" x14ac:dyDescent="0.35">
      <c r="C64998" s="2"/>
    </row>
    <row r="64999" spans="3:3" x14ac:dyDescent="0.35">
      <c r="C64999" s="2"/>
    </row>
    <row r="65000" spans="3:3" x14ac:dyDescent="0.35">
      <c r="C65000" s="2"/>
    </row>
    <row r="65001" spans="3:3" x14ac:dyDescent="0.35">
      <c r="C65001" s="2"/>
    </row>
    <row r="65002" spans="3:3" x14ac:dyDescent="0.35">
      <c r="C65002" s="2"/>
    </row>
    <row r="65003" spans="3:3" x14ac:dyDescent="0.35">
      <c r="C65003" s="2"/>
    </row>
    <row r="65004" spans="3:3" x14ac:dyDescent="0.35">
      <c r="C65004" s="2"/>
    </row>
    <row r="65005" spans="3:3" x14ac:dyDescent="0.35">
      <c r="C65005" s="2"/>
    </row>
    <row r="65006" spans="3:3" x14ac:dyDescent="0.35">
      <c r="C65006" s="2"/>
    </row>
    <row r="65007" spans="3:3" x14ac:dyDescent="0.35">
      <c r="C65007" s="2"/>
    </row>
    <row r="65008" spans="3:3" x14ac:dyDescent="0.35">
      <c r="C65008" s="2"/>
    </row>
    <row r="65009" spans="3:3" x14ac:dyDescent="0.35">
      <c r="C65009" s="2"/>
    </row>
    <row r="65010" spans="3:3" x14ac:dyDescent="0.35">
      <c r="C65010" s="2"/>
    </row>
    <row r="65011" spans="3:3" x14ac:dyDescent="0.35">
      <c r="C65011" s="2"/>
    </row>
    <row r="65012" spans="3:3" x14ac:dyDescent="0.35">
      <c r="C65012" s="2"/>
    </row>
    <row r="65013" spans="3:3" x14ac:dyDescent="0.35">
      <c r="C65013" s="2"/>
    </row>
    <row r="65014" spans="3:3" x14ac:dyDescent="0.35">
      <c r="C65014" s="2"/>
    </row>
    <row r="65015" spans="3:3" x14ac:dyDescent="0.35">
      <c r="C65015" s="2"/>
    </row>
    <row r="65016" spans="3:3" x14ac:dyDescent="0.35">
      <c r="C65016" s="2"/>
    </row>
    <row r="65017" spans="3:3" x14ac:dyDescent="0.35">
      <c r="C65017" s="2"/>
    </row>
    <row r="65018" spans="3:3" x14ac:dyDescent="0.35">
      <c r="C65018" s="2"/>
    </row>
    <row r="65019" spans="3:3" x14ac:dyDescent="0.35">
      <c r="C65019" s="2"/>
    </row>
    <row r="65020" spans="3:3" x14ac:dyDescent="0.35">
      <c r="C65020" s="2"/>
    </row>
    <row r="65021" spans="3:3" x14ac:dyDescent="0.35">
      <c r="C65021" s="2"/>
    </row>
    <row r="65022" spans="3:3" x14ac:dyDescent="0.35">
      <c r="C65022" s="2"/>
    </row>
    <row r="65023" spans="3:3" x14ac:dyDescent="0.35">
      <c r="C65023" s="2"/>
    </row>
    <row r="65024" spans="3:3" x14ac:dyDescent="0.35">
      <c r="C65024" s="2"/>
    </row>
    <row r="65025" spans="3:3" x14ac:dyDescent="0.35">
      <c r="C65025" s="2"/>
    </row>
    <row r="65026" spans="3:3" x14ac:dyDescent="0.35">
      <c r="C65026" s="2"/>
    </row>
    <row r="65027" spans="3:3" x14ac:dyDescent="0.35">
      <c r="C65027" s="2"/>
    </row>
    <row r="65028" spans="3:3" x14ac:dyDescent="0.35">
      <c r="C65028" s="2"/>
    </row>
    <row r="65029" spans="3:3" x14ac:dyDescent="0.35">
      <c r="C65029" s="2"/>
    </row>
    <row r="65030" spans="3:3" x14ac:dyDescent="0.35">
      <c r="C65030" s="2"/>
    </row>
    <row r="65031" spans="3:3" x14ac:dyDescent="0.35">
      <c r="C65031" s="2"/>
    </row>
    <row r="65032" spans="3:3" x14ac:dyDescent="0.35">
      <c r="C65032" s="2"/>
    </row>
    <row r="65033" spans="3:3" x14ac:dyDescent="0.35">
      <c r="C65033" s="2"/>
    </row>
    <row r="65034" spans="3:3" x14ac:dyDescent="0.35">
      <c r="C65034" s="2"/>
    </row>
    <row r="65035" spans="3:3" x14ac:dyDescent="0.35">
      <c r="C65035" s="2"/>
    </row>
    <row r="65036" spans="3:3" x14ac:dyDescent="0.35">
      <c r="C65036" s="2"/>
    </row>
    <row r="65037" spans="3:3" x14ac:dyDescent="0.35">
      <c r="C65037" s="2"/>
    </row>
    <row r="65038" spans="3:3" x14ac:dyDescent="0.35">
      <c r="C65038" s="2"/>
    </row>
    <row r="65039" spans="3:3" x14ac:dyDescent="0.35">
      <c r="C65039" s="2"/>
    </row>
    <row r="65040" spans="3:3" x14ac:dyDescent="0.35">
      <c r="C65040" s="2"/>
    </row>
    <row r="65041" spans="3:3" x14ac:dyDescent="0.35">
      <c r="C65041" s="2"/>
    </row>
    <row r="65042" spans="3:3" x14ac:dyDescent="0.35">
      <c r="C65042" s="2"/>
    </row>
    <row r="65043" spans="3:3" x14ac:dyDescent="0.35">
      <c r="C65043" s="2"/>
    </row>
    <row r="65044" spans="3:3" x14ac:dyDescent="0.35">
      <c r="C65044" s="2"/>
    </row>
    <row r="65045" spans="3:3" x14ac:dyDescent="0.35">
      <c r="C65045" s="2"/>
    </row>
    <row r="65046" spans="3:3" x14ac:dyDescent="0.35">
      <c r="C65046" s="2"/>
    </row>
    <row r="65047" spans="3:3" x14ac:dyDescent="0.35">
      <c r="C65047" s="2"/>
    </row>
    <row r="65048" spans="3:3" x14ac:dyDescent="0.35">
      <c r="C65048" s="2"/>
    </row>
    <row r="65049" spans="3:3" x14ac:dyDescent="0.35">
      <c r="C65049" s="2"/>
    </row>
    <row r="65050" spans="3:3" x14ac:dyDescent="0.35">
      <c r="C65050" s="2"/>
    </row>
    <row r="65051" spans="3:3" x14ac:dyDescent="0.35">
      <c r="C65051" s="2"/>
    </row>
    <row r="65052" spans="3:3" x14ac:dyDescent="0.35">
      <c r="C65052" s="2"/>
    </row>
    <row r="65053" spans="3:3" x14ac:dyDescent="0.35">
      <c r="C65053" s="2"/>
    </row>
    <row r="65054" spans="3:3" x14ac:dyDescent="0.35">
      <c r="C65054" s="2"/>
    </row>
    <row r="65055" spans="3:3" x14ac:dyDescent="0.35">
      <c r="C65055" s="2"/>
    </row>
    <row r="65056" spans="3:3" x14ac:dyDescent="0.35">
      <c r="C65056" s="2"/>
    </row>
    <row r="65057" spans="3:3" x14ac:dyDescent="0.35">
      <c r="C65057" s="2"/>
    </row>
    <row r="65058" spans="3:3" x14ac:dyDescent="0.35">
      <c r="C65058" s="2"/>
    </row>
    <row r="65059" spans="3:3" x14ac:dyDescent="0.35">
      <c r="C65059" s="2"/>
    </row>
    <row r="65060" spans="3:3" x14ac:dyDescent="0.35">
      <c r="C65060" s="2"/>
    </row>
    <row r="65061" spans="3:3" x14ac:dyDescent="0.35">
      <c r="C65061" s="2"/>
    </row>
    <row r="65062" spans="3:3" x14ac:dyDescent="0.35">
      <c r="C65062" s="2"/>
    </row>
    <row r="65063" spans="3:3" x14ac:dyDescent="0.35">
      <c r="C65063" s="2"/>
    </row>
    <row r="65064" spans="3:3" x14ac:dyDescent="0.35">
      <c r="C65064" s="2"/>
    </row>
    <row r="65065" spans="3:3" x14ac:dyDescent="0.35">
      <c r="C65065" s="2"/>
    </row>
    <row r="65066" spans="3:3" x14ac:dyDescent="0.35">
      <c r="C65066" s="2"/>
    </row>
    <row r="65067" spans="3:3" x14ac:dyDescent="0.35">
      <c r="C65067" s="2"/>
    </row>
    <row r="65068" spans="3:3" x14ac:dyDescent="0.35">
      <c r="C65068" s="2"/>
    </row>
    <row r="65069" spans="3:3" x14ac:dyDescent="0.35">
      <c r="C65069" s="2"/>
    </row>
    <row r="65070" spans="3:3" x14ac:dyDescent="0.35">
      <c r="C65070" s="2"/>
    </row>
    <row r="65071" spans="3:3" x14ac:dyDescent="0.35">
      <c r="C65071" s="2"/>
    </row>
    <row r="65072" spans="3:3" x14ac:dyDescent="0.35">
      <c r="C65072" s="2"/>
    </row>
    <row r="65073" spans="3:3" x14ac:dyDescent="0.35">
      <c r="C65073" s="2"/>
    </row>
    <row r="65074" spans="3:3" x14ac:dyDescent="0.35">
      <c r="C65074" s="2"/>
    </row>
    <row r="65075" spans="3:3" x14ac:dyDescent="0.35">
      <c r="C65075" s="2"/>
    </row>
    <row r="65076" spans="3:3" x14ac:dyDescent="0.35">
      <c r="C65076" s="2"/>
    </row>
    <row r="65077" spans="3:3" x14ac:dyDescent="0.35">
      <c r="C65077" s="2"/>
    </row>
    <row r="65078" spans="3:3" x14ac:dyDescent="0.35">
      <c r="C65078" s="2"/>
    </row>
    <row r="65079" spans="3:3" x14ac:dyDescent="0.35">
      <c r="C65079" s="2"/>
    </row>
    <row r="65080" spans="3:3" x14ac:dyDescent="0.35">
      <c r="C65080" s="2"/>
    </row>
    <row r="65081" spans="3:3" x14ac:dyDescent="0.35">
      <c r="C65081" s="2"/>
    </row>
    <row r="65082" spans="3:3" x14ac:dyDescent="0.35">
      <c r="C65082" s="2"/>
    </row>
    <row r="65083" spans="3:3" x14ac:dyDescent="0.35">
      <c r="C65083" s="2"/>
    </row>
    <row r="65084" spans="3:3" x14ac:dyDescent="0.35">
      <c r="C65084" s="2"/>
    </row>
    <row r="65085" spans="3:3" x14ac:dyDescent="0.35">
      <c r="C65085" s="2"/>
    </row>
    <row r="65086" spans="3:3" x14ac:dyDescent="0.35">
      <c r="C65086" s="2"/>
    </row>
    <row r="65087" spans="3:3" x14ac:dyDescent="0.35">
      <c r="C65087" s="2"/>
    </row>
    <row r="65088" spans="3:3" x14ac:dyDescent="0.35">
      <c r="C65088" s="2"/>
    </row>
    <row r="65089" spans="3:3" x14ac:dyDescent="0.35">
      <c r="C65089" s="2"/>
    </row>
    <row r="65090" spans="3:3" x14ac:dyDescent="0.35">
      <c r="C65090" s="2"/>
    </row>
    <row r="65091" spans="3:3" x14ac:dyDescent="0.35">
      <c r="C65091" s="2"/>
    </row>
    <row r="65092" spans="3:3" x14ac:dyDescent="0.35">
      <c r="C65092" s="2"/>
    </row>
    <row r="65093" spans="3:3" x14ac:dyDescent="0.35">
      <c r="C65093" s="2"/>
    </row>
    <row r="65094" spans="3:3" x14ac:dyDescent="0.35">
      <c r="C65094" s="2"/>
    </row>
    <row r="65095" spans="3:3" x14ac:dyDescent="0.35">
      <c r="C65095" s="2"/>
    </row>
    <row r="65096" spans="3:3" x14ac:dyDescent="0.35">
      <c r="C65096" s="2"/>
    </row>
    <row r="65097" spans="3:3" x14ac:dyDescent="0.35">
      <c r="C65097" s="2"/>
    </row>
    <row r="65098" spans="3:3" x14ac:dyDescent="0.35">
      <c r="C65098" s="2"/>
    </row>
    <row r="65099" spans="3:3" x14ac:dyDescent="0.35">
      <c r="C65099" s="2"/>
    </row>
    <row r="65100" spans="3:3" x14ac:dyDescent="0.35">
      <c r="C65100" s="2"/>
    </row>
    <row r="65101" spans="3:3" x14ac:dyDescent="0.35">
      <c r="C65101" s="2"/>
    </row>
    <row r="65102" spans="3:3" x14ac:dyDescent="0.35">
      <c r="C65102" s="2"/>
    </row>
    <row r="65103" spans="3:3" x14ac:dyDescent="0.35">
      <c r="C65103" s="2"/>
    </row>
    <row r="65104" spans="3:3" x14ac:dyDescent="0.35">
      <c r="C65104" s="2"/>
    </row>
    <row r="65105" spans="3:3" x14ac:dyDescent="0.35">
      <c r="C65105" s="2"/>
    </row>
    <row r="65106" spans="3:3" x14ac:dyDescent="0.35">
      <c r="C65106" s="2"/>
    </row>
    <row r="65107" spans="3:3" x14ac:dyDescent="0.35">
      <c r="C65107" s="2"/>
    </row>
    <row r="65108" spans="3:3" x14ac:dyDescent="0.35">
      <c r="C65108" s="2"/>
    </row>
    <row r="65109" spans="3:3" x14ac:dyDescent="0.35">
      <c r="C65109" s="2"/>
    </row>
    <row r="65110" spans="3:3" x14ac:dyDescent="0.35">
      <c r="C65110" s="2"/>
    </row>
    <row r="65111" spans="3:3" x14ac:dyDescent="0.35">
      <c r="C65111" s="2"/>
    </row>
    <row r="65112" spans="3:3" x14ac:dyDescent="0.35">
      <c r="C65112" s="2"/>
    </row>
    <row r="65113" spans="3:3" x14ac:dyDescent="0.35">
      <c r="C65113" s="2"/>
    </row>
    <row r="65114" spans="3:3" x14ac:dyDescent="0.35">
      <c r="C65114" s="2"/>
    </row>
    <row r="65115" spans="3:3" x14ac:dyDescent="0.35">
      <c r="C65115" s="2"/>
    </row>
    <row r="65116" spans="3:3" x14ac:dyDescent="0.35">
      <c r="C65116" s="2"/>
    </row>
    <row r="65117" spans="3:3" x14ac:dyDescent="0.35">
      <c r="C65117" s="2"/>
    </row>
    <row r="65118" spans="3:3" x14ac:dyDescent="0.35">
      <c r="C65118" s="2"/>
    </row>
    <row r="65119" spans="3:3" x14ac:dyDescent="0.35">
      <c r="C65119" s="2"/>
    </row>
    <row r="65120" spans="3:3" x14ac:dyDescent="0.35">
      <c r="C65120" s="2"/>
    </row>
    <row r="65121" spans="3:3" x14ac:dyDescent="0.35">
      <c r="C65121" s="2"/>
    </row>
    <row r="65122" spans="3:3" x14ac:dyDescent="0.35">
      <c r="C65122" s="2"/>
    </row>
    <row r="65123" spans="3:3" x14ac:dyDescent="0.35">
      <c r="C65123" s="2"/>
    </row>
    <row r="65124" spans="3:3" x14ac:dyDescent="0.35">
      <c r="C65124" s="2"/>
    </row>
    <row r="65125" spans="3:3" x14ac:dyDescent="0.35">
      <c r="C65125" s="2"/>
    </row>
    <row r="65126" spans="3:3" x14ac:dyDescent="0.35">
      <c r="C65126" s="2"/>
    </row>
    <row r="65127" spans="3:3" x14ac:dyDescent="0.35">
      <c r="C65127" s="2"/>
    </row>
    <row r="65128" spans="3:3" x14ac:dyDescent="0.35">
      <c r="C65128" s="2"/>
    </row>
    <row r="65129" spans="3:3" x14ac:dyDescent="0.35">
      <c r="C65129" s="2"/>
    </row>
    <row r="65130" spans="3:3" x14ac:dyDescent="0.35">
      <c r="C65130" s="2"/>
    </row>
    <row r="65131" spans="3:3" x14ac:dyDescent="0.35">
      <c r="C65131" s="2"/>
    </row>
    <row r="65132" spans="3:3" x14ac:dyDescent="0.35">
      <c r="C65132" s="2"/>
    </row>
    <row r="65133" spans="3:3" x14ac:dyDescent="0.35">
      <c r="C65133" s="2"/>
    </row>
    <row r="65134" spans="3:3" x14ac:dyDescent="0.35">
      <c r="C65134" s="2"/>
    </row>
    <row r="65135" spans="3:3" x14ac:dyDescent="0.35">
      <c r="C65135" s="2"/>
    </row>
    <row r="65136" spans="3:3" x14ac:dyDescent="0.35">
      <c r="C65136" s="2"/>
    </row>
    <row r="65137" spans="3:3" x14ac:dyDescent="0.35">
      <c r="C65137" s="2"/>
    </row>
    <row r="65138" spans="3:3" x14ac:dyDescent="0.35">
      <c r="C65138" s="2"/>
    </row>
    <row r="65139" spans="3:3" x14ac:dyDescent="0.35">
      <c r="C65139" s="2"/>
    </row>
    <row r="65140" spans="3:3" x14ac:dyDescent="0.35">
      <c r="C65140" s="2"/>
    </row>
    <row r="65141" spans="3:3" x14ac:dyDescent="0.35">
      <c r="C65141" s="2"/>
    </row>
    <row r="65142" spans="3:3" x14ac:dyDescent="0.35">
      <c r="C65142" s="2"/>
    </row>
    <row r="65143" spans="3:3" x14ac:dyDescent="0.35">
      <c r="C65143" s="2"/>
    </row>
    <row r="65144" spans="3:3" x14ac:dyDescent="0.35">
      <c r="C65144" s="2"/>
    </row>
    <row r="65145" spans="3:3" x14ac:dyDescent="0.35">
      <c r="C65145" s="2"/>
    </row>
    <row r="65146" spans="3:3" x14ac:dyDescent="0.35">
      <c r="C65146" s="2"/>
    </row>
    <row r="65147" spans="3:3" x14ac:dyDescent="0.35">
      <c r="C65147" s="2"/>
    </row>
    <row r="65148" spans="3:3" x14ac:dyDescent="0.35">
      <c r="C65148" s="2"/>
    </row>
    <row r="65149" spans="3:3" x14ac:dyDescent="0.35">
      <c r="C65149" s="2"/>
    </row>
    <row r="65150" spans="3:3" x14ac:dyDescent="0.35">
      <c r="C65150" s="2"/>
    </row>
    <row r="65151" spans="3:3" x14ac:dyDescent="0.35">
      <c r="C65151" s="2"/>
    </row>
    <row r="65152" spans="3:3" x14ac:dyDescent="0.35">
      <c r="C65152" s="2"/>
    </row>
    <row r="65153" spans="3:3" x14ac:dyDescent="0.35">
      <c r="C65153" s="2"/>
    </row>
    <row r="65154" spans="3:3" x14ac:dyDescent="0.35">
      <c r="C65154" s="2"/>
    </row>
    <row r="65155" spans="3:3" x14ac:dyDescent="0.35">
      <c r="C65155" s="2"/>
    </row>
    <row r="65156" spans="3:3" x14ac:dyDescent="0.35">
      <c r="C65156" s="2"/>
    </row>
    <row r="65157" spans="3:3" x14ac:dyDescent="0.35">
      <c r="C65157" s="2"/>
    </row>
    <row r="65158" spans="3:3" x14ac:dyDescent="0.35">
      <c r="C65158" s="2"/>
    </row>
    <row r="65159" spans="3:3" x14ac:dyDescent="0.35">
      <c r="C65159" s="2"/>
    </row>
    <row r="65160" spans="3:3" x14ac:dyDescent="0.35">
      <c r="C65160" s="2"/>
    </row>
    <row r="65161" spans="3:3" x14ac:dyDescent="0.35">
      <c r="C65161" s="2"/>
    </row>
    <row r="65162" spans="3:3" x14ac:dyDescent="0.35">
      <c r="C65162" s="2"/>
    </row>
    <row r="65163" spans="3:3" x14ac:dyDescent="0.35">
      <c r="C65163" s="2"/>
    </row>
    <row r="65164" spans="3:3" x14ac:dyDescent="0.35">
      <c r="C65164" s="2"/>
    </row>
    <row r="65165" spans="3:3" x14ac:dyDescent="0.35">
      <c r="C65165" s="2"/>
    </row>
    <row r="65166" spans="3:3" x14ac:dyDescent="0.35">
      <c r="C65166" s="2"/>
    </row>
    <row r="65167" spans="3:3" x14ac:dyDescent="0.35">
      <c r="C65167" s="2"/>
    </row>
    <row r="65168" spans="3:3" x14ac:dyDescent="0.35">
      <c r="C65168" s="2"/>
    </row>
    <row r="65169" spans="3:3" x14ac:dyDescent="0.35">
      <c r="C65169" s="2"/>
    </row>
    <row r="65170" spans="3:3" x14ac:dyDescent="0.35">
      <c r="C65170" s="2"/>
    </row>
    <row r="65171" spans="3:3" x14ac:dyDescent="0.35">
      <c r="C65171" s="2"/>
    </row>
    <row r="65172" spans="3:3" x14ac:dyDescent="0.35">
      <c r="C65172" s="2"/>
    </row>
    <row r="65173" spans="3:3" x14ac:dyDescent="0.35">
      <c r="C65173" s="2"/>
    </row>
    <row r="65174" spans="3:3" x14ac:dyDescent="0.35">
      <c r="C65174" s="2"/>
    </row>
    <row r="65175" spans="3:3" x14ac:dyDescent="0.35">
      <c r="C65175" s="2"/>
    </row>
    <row r="65176" spans="3:3" x14ac:dyDescent="0.35">
      <c r="C65176" s="2"/>
    </row>
    <row r="65177" spans="3:3" x14ac:dyDescent="0.35">
      <c r="C65177" s="2"/>
    </row>
    <row r="65178" spans="3:3" x14ac:dyDescent="0.35">
      <c r="C65178" s="2"/>
    </row>
    <row r="65179" spans="3:3" x14ac:dyDescent="0.35">
      <c r="C65179" s="2"/>
    </row>
    <row r="65180" spans="3:3" x14ac:dyDescent="0.35">
      <c r="C65180" s="2"/>
    </row>
    <row r="65181" spans="3:3" x14ac:dyDescent="0.35">
      <c r="C65181" s="2"/>
    </row>
    <row r="65182" spans="3:3" x14ac:dyDescent="0.35">
      <c r="C65182" s="2"/>
    </row>
    <row r="65183" spans="3:3" x14ac:dyDescent="0.35">
      <c r="C65183" s="2"/>
    </row>
    <row r="65184" spans="3:3" x14ac:dyDescent="0.35">
      <c r="C65184" s="2"/>
    </row>
    <row r="65185" spans="3:3" x14ac:dyDescent="0.35">
      <c r="C65185" s="2"/>
    </row>
    <row r="65186" spans="3:3" x14ac:dyDescent="0.35">
      <c r="C65186" s="2"/>
    </row>
    <row r="65187" spans="3:3" x14ac:dyDescent="0.35">
      <c r="C65187" s="2"/>
    </row>
    <row r="65188" spans="3:3" x14ac:dyDescent="0.35">
      <c r="C65188" s="2"/>
    </row>
    <row r="65189" spans="3:3" x14ac:dyDescent="0.35">
      <c r="C65189" s="2"/>
    </row>
    <row r="65190" spans="3:3" x14ac:dyDescent="0.35">
      <c r="C65190" s="2"/>
    </row>
    <row r="65191" spans="3:3" x14ac:dyDescent="0.35">
      <c r="C65191" s="2"/>
    </row>
    <row r="65192" spans="3:3" x14ac:dyDescent="0.35">
      <c r="C65192" s="2"/>
    </row>
    <row r="65193" spans="3:3" x14ac:dyDescent="0.35">
      <c r="C65193" s="2"/>
    </row>
    <row r="65194" spans="3:3" x14ac:dyDescent="0.35">
      <c r="C65194" s="2"/>
    </row>
    <row r="65195" spans="3:3" x14ac:dyDescent="0.35">
      <c r="C65195" s="2"/>
    </row>
    <row r="65196" spans="3:3" x14ac:dyDescent="0.35">
      <c r="C65196" s="2"/>
    </row>
    <row r="65197" spans="3:3" x14ac:dyDescent="0.35">
      <c r="C65197" s="2"/>
    </row>
    <row r="65198" spans="3:3" x14ac:dyDescent="0.35">
      <c r="C65198" s="2"/>
    </row>
    <row r="65199" spans="3:3" x14ac:dyDescent="0.35">
      <c r="C65199" s="2"/>
    </row>
    <row r="65200" spans="3:3" x14ac:dyDescent="0.35">
      <c r="C65200" s="2"/>
    </row>
    <row r="65201" spans="3:3" x14ac:dyDescent="0.35">
      <c r="C65201" s="2"/>
    </row>
    <row r="65202" spans="3:3" x14ac:dyDescent="0.35">
      <c r="C65202" s="2"/>
    </row>
    <row r="65203" spans="3:3" x14ac:dyDescent="0.35">
      <c r="C65203" s="2"/>
    </row>
    <row r="65204" spans="3:3" x14ac:dyDescent="0.35">
      <c r="C65204" s="2"/>
    </row>
    <row r="65205" spans="3:3" x14ac:dyDescent="0.35">
      <c r="C65205" s="2"/>
    </row>
    <row r="65206" spans="3:3" x14ac:dyDescent="0.35">
      <c r="C65206" s="2"/>
    </row>
    <row r="65207" spans="3:3" x14ac:dyDescent="0.35">
      <c r="C65207" s="2"/>
    </row>
    <row r="65208" spans="3:3" x14ac:dyDescent="0.35">
      <c r="C65208" s="2"/>
    </row>
    <row r="65209" spans="3:3" x14ac:dyDescent="0.35">
      <c r="C65209" s="2"/>
    </row>
    <row r="65210" spans="3:3" x14ac:dyDescent="0.35">
      <c r="C65210" s="2"/>
    </row>
    <row r="65211" spans="3:3" x14ac:dyDescent="0.35">
      <c r="C65211" s="2"/>
    </row>
    <row r="65212" spans="3:3" x14ac:dyDescent="0.35">
      <c r="C65212" s="2"/>
    </row>
    <row r="65213" spans="3:3" x14ac:dyDescent="0.35">
      <c r="C65213" s="2"/>
    </row>
    <row r="65214" spans="3:3" x14ac:dyDescent="0.35">
      <c r="C65214" s="2"/>
    </row>
    <row r="65215" spans="3:3" x14ac:dyDescent="0.35">
      <c r="C65215" s="2"/>
    </row>
    <row r="65216" spans="3:3" x14ac:dyDescent="0.35">
      <c r="C65216" s="2"/>
    </row>
    <row r="65217" spans="3:3" x14ac:dyDescent="0.35">
      <c r="C65217" s="2"/>
    </row>
    <row r="65218" spans="3:3" x14ac:dyDescent="0.35">
      <c r="C65218" s="2"/>
    </row>
    <row r="65219" spans="3:3" x14ac:dyDescent="0.35">
      <c r="C65219" s="2"/>
    </row>
    <row r="65220" spans="3:3" x14ac:dyDescent="0.35">
      <c r="C65220" s="2"/>
    </row>
    <row r="65221" spans="3:3" x14ac:dyDescent="0.35">
      <c r="C65221" s="2"/>
    </row>
    <row r="65222" spans="3:3" x14ac:dyDescent="0.35">
      <c r="C65222" s="2"/>
    </row>
    <row r="65223" spans="3:3" x14ac:dyDescent="0.35">
      <c r="C65223" s="2"/>
    </row>
    <row r="65224" spans="3:3" x14ac:dyDescent="0.35">
      <c r="C65224" s="2"/>
    </row>
    <row r="65225" spans="3:3" x14ac:dyDescent="0.35">
      <c r="C65225" s="2"/>
    </row>
    <row r="65226" spans="3:3" x14ac:dyDescent="0.35">
      <c r="C65226" s="2"/>
    </row>
    <row r="65227" spans="3:3" x14ac:dyDescent="0.35">
      <c r="C65227" s="2"/>
    </row>
    <row r="65228" spans="3:3" x14ac:dyDescent="0.35">
      <c r="C65228" s="2"/>
    </row>
    <row r="65229" spans="3:3" x14ac:dyDescent="0.35">
      <c r="C65229" s="2"/>
    </row>
    <row r="65230" spans="3:3" x14ac:dyDescent="0.35">
      <c r="C65230" s="2"/>
    </row>
    <row r="65231" spans="3:3" x14ac:dyDescent="0.35">
      <c r="C65231" s="2"/>
    </row>
    <row r="65232" spans="3:3" x14ac:dyDescent="0.35">
      <c r="C65232" s="2"/>
    </row>
    <row r="65233" spans="3:3" x14ac:dyDescent="0.35">
      <c r="C65233" s="2"/>
    </row>
    <row r="65234" spans="3:3" x14ac:dyDescent="0.35">
      <c r="C65234" s="2"/>
    </row>
    <row r="65235" spans="3:3" x14ac:dyDescent="0.35">
      <c r="C65235" s="2"/>
    </row>
    <row r="65236" spans="3:3" x14ac:dyDescent="0.35">
      <c r="C65236" s="2"/>
    </row>
    <row r="65237" spans="3:3" x14ac:dyDescent="0.35">
      <c r="C65237" s="2"/>
    </row>
    <row r="65238" spans="3:3" x14ac:dyDescent="0.35">
      <c r="C65238" s="2"/>
    </row>
    <row r="65239" spans="3:3" x14ac:dyDescent="0.35">
      <c r="C65239" s="2"/>
    </row>
    <row r="65240" spans="3:3" x14ac:dyDescent="0.35">
      <c r="C65240" s="2"/>
    </row>
    <row r="65241" spans="3:3" x14ac:dyDescent="0.35">
      <c r="C65241" s="2"/>
    </row>
    <row r="65242" spans="3:3" x14ac:dyDescent="0.35">
      <c r="C65242" s="2"/>
    </row>
    <row r="65243" spans="3:3" x14ac:dyDescent="0.35">
      <c r="C65243" s="2"/>
    </row>
    <row r="65244" spans="3:3" x14ac:dyDescent="0.35">
      <c r="C65244" s="2"/>
    </row>
    <row r="65245" spans="3:3" x14ac:dyDescent="0.35">
      <c r="C65245" s="2"/>
    </row>
    <row r="65246" spans="3:3" x14ac:dyDescent="0.35">
      <c r="C65246" s="2"/>
    </row>
    <row r="65247" spans="3:3" x14ac:dyDescent="0.35">
      <c r="C65247" s="2"/>
    </row>
    <row r="65248" spans="3:3" x14ac:dyDescent="0.35">
      <c r="C65248" s="2"/>
    </row>
    <row r="65249" spans="3:3" x14ac:dyDescent="0.35">
      <c r="C65249" s="2"/>
    </row>
    <row r="65250" spans="3:3" x14ac:dyDescent="0.35">
      <c r="C65250" s="2"/>
    </row>
    <row r="65251" spans="3:3" x14ac:dyDescent="0.35">
      <c r="C65251" s="2"/>
    </row>
    <row r="65252" spans="3:3" x14ac:dyDescent="0.35">
      <c r="C65252" s="2"/>
    </row>
    <row r="65253" spans="3:3" x14ac:dyDescent="0.35">
      <c r="C65253" s="2"/>
    </row>
    <row r="65254" spans="3:3" x14ac:dyDescent="0.35">
      <c r="C65254" s="2"/>
    </row>
    <row r="65255" spans="3:3" x14ac:dyDescent="0.35">
      <c r="C65255" s="2"/>
    </row>
    <row r="65256" spans="3:3" x14ac:dyDescent="0.35">
      <c r="C65256" s="2"/>
    </row>
    <row r="65257" spans="3:3" x14ac:dyDescent="0.35">
      <c r="C65257" s="2"/>
    </row>
    <row r="65258" spans="3:3" x14ac:dyDescent="0.35">
      <c r="C65258" s="2"/>
    </row>
    <row r="65259" spans="3:3" x14ac:dyDescent="0.35">
      <c r="C65259" s="2"/>
    </row>
    <row r="65260" spans="3:3" x14ac:dyDescent="0.35">
      <c r="C65260" s="2"/>
    </row>
    <row r="65261" spans="3:3" x14ac:dyDescent="0.35">
      <c r="C65261" s="2"/>
    </row>
    <row r="65262" spans="3:3" x14ac:dyDescent="0.35">
      <c r="C65262" s="2"/>
    </row>
    <row r="65263" spans="3:3" x14ac:dyDescent="0.35">
      <c r="C65263" s="2"/>
    </row>
    <row r="65264" spans="3:3" x14ac:dyDescent="0.35">
      <c r="C65264" s="2"/>
    </row>
    <row r="65265" spans="3:3" x14ac:dyDescent="0.35">
      <c r="C65265" s="2"/>
    </row>
    <row r="65266" spans="3:3" x14ac:dyDescent="0.35">
      <c r="C65266" s="2"/>
    </row>
    <row r="65267" spans="3:3" x14ac:dyDescent="0.35">
      <c r="C65267" s="2"/>
    </row>
    <row r="65268" spans="3:3" x14ac:dyDescent="0.35">
      <c r="C65268" s="2"/>
    </row>
    <row r="65269" spans="3:3" x14ac:dyDescent="0.35">
      <c r="C65269" s="2"/>
    </row>
    <row r="65270" spans="3:3" x14ac:dyDescent="0.35">
      <c r="C65270" s="2"/>
    </row>
    <row r="65271" spans="3:3" x14ac:dyDescent="0.35">
      <c r="C65271" s="2"/>
    </row>
    <row r="65272" spans="3:3" x14ac:dyDescent="0.35">
      <c r="C65272" s="2"/>
    </row>
    <row r="65273" spans="3:3" x14ac:dyDescent="0.35">
      <c r="C65273" s="2"/>
    </row>
    <row r="65274" spans="3:3" x14ac:dyDescent="0.35">
      <c r="C65274" s="2"/>
    </row>
    <row r="65275" spans="3:3" x14ac:dyDescent="0.35">
      <c r="C65275" s="2"/>
    </row>
    <row r="65276" spans="3:3" x14ac:dyDescent="0.35">
      <c r="C65276" s="2"/>
    </row>
    <row r="65277" spans="3:3" x14ac:dyDescent="0.35">
      <c r="C65277" s="2"/>
    </row>
    <row r="65278" spans="3:3" x14ac:dyDescent="0.35">
      <c r="C65278" s="2"/>
    </row>
    <row r="65279" spans="3:3" x14ac:dyDescent="0.35">
      <c r="C65279" s="2"/>
    </row>
    <row r="65280" spans="3:3" x14ac:dyDescent="0.35">
      <c r="C65280" s="2"/>
    </row>
    <row r="65281" spans="3:3" x14ac:dyDescent="0.35">
      <c r="C65281" s="2"/>
    </row>
    <row r="65282" spans="3:3" x14ac:dyDescent="0.35">
      <c r="C65282" s="2"/>
    </row>
    <row r="65283" spans="3:3" x14ac:dyDescent="0.35">
      <c r="C65283" s="2"/>
    </row>
    <row r="65284" spans="3:3" x14ac:dyDescent="0.35">
      <c r="C65284" s="2"/>
    </row>
    <row r="65285" spans="3:3" x14ac:dyDescent="0.35">
      <c r="C65285" s="2"/>
    </row>
    <row r="65286" spans="3:3" x14ac:dyDescent="0.35">
      <c r="C65286" s="2"/>
    </row>
    <row r="65287" spans="3:3" x14ac:dyDescent="0.35">
      <c r="C65287" s="2"/>
    </row>
    <row r="65288" spans="3:3" x14ac:dyDescent="0.35">
      <c r="C65288" s="2"/>
    </row>
    <row r="65289" spans="3:3" x14ac:dyDescent="0.35">
      <c r="C65289" s="2"/>
    </row>
    <row r="65290" spans="3:3" x14ac:dyDescent="0.35">
      <c r="C65290" s="2"/>
    </row>
    <row r="65291" spans="3:3" x14ac:dyDescent="0.35">
      <c r="C65291" s="2"/>
    </row>
    <row r="65292" spans="3:3" x14ac:dyDescent="0.35">
      <c r="C65292" s="2"/>
    </row>
    <row r="65293" spans="3:3" x14ac:dyDescent="0.35">
      <c r="C65293" s="2"/>
    </row>
    <row r="65294" spans="3:3" x14ac:dyDescent="0.35">
      <c r="C65294" s="2"/>
    </row>
    <row r="65295" spans="3:3" x14ac:dyDescent="0.35">
      <c r="C65295" s="2"/>
    </row>
    <row r="65296" spans="3:3" x14ac:dyDescent="0.35">
      <c r="C65296" s="2"/>
    </row>
    <row r="65297" spans="3:3" x14ac:dyDescent="0.35">
      <c r="C65297" s="2"/>
    </row>
    <row r="65298" spans="3:3" x14ac:dyDescent="0.35">
      <c r="C65298" s="2"/>
    </row>
    <row r="65299" spans="3:3" x14ac:dyDescent="0.35">
      <c r="C65299" s="2"/>
    </row>
    <row r="65300" spans="3:3" x14ac:dyDescent="0.35">
      <c r="C65300" s="2"/>
    </row>
    <row r="65301" spans="3:3" x14ac:dyDescent="0.35">
      <c r="C65301" s="2"/>
    </row>
    <row r="65302" spans="3:3" x14ac:dyDescent="0.35">
      <c r="C65302" s="2"/>
    </row>
    <row r="65303" spans="3:3" x14ac:dyDescent="0.35">
      <c r="C65303" s="2"/>
    </row>
    <row r="65304" spans="3:3" x14ac:dyDescent="0.35">
      <c r="C65304" s="2"/>
    </row>
    <row r="65305" spans="3:3" x14ac:dyDescent="0.35">
      <c r="C65305" s="2"/>
    </row>
    <row r="65306" spans="3:3" x14ac:dyDescent="0.35">
      <c r="C65306" s="2"/>
    </row>
    <row r="65307" spans="3:3" x14ac:dyDescent="0.35">
      <c r="C65307" s="2"/>
    </row>
    <row r="65308" spans="3:3" x14ac:dyDescent="0.35">
      <c r="C65308" s="2"/>
    </row>
    <row r="65309" spans="3:3" x14ac:dyDescent="0.35">
      <c r="C65309" s="2"/>
    </row>
    <row r="65310" spans="3:3" x14ac:dyDescent="0.35">
      <c r="C65310" s="2"/>
    </row>
    <row r="65311" spans="3:3" x14ac:dyDescent="0.35">
      <c r="C65311" s="2"/>
    </row>
    <row r="65312" spans="3:3" x14ac:dyDescent="0.35">
      <c r="C65312" s="2"/>
    </row>
    <row r="65313" spans="3:3" x14ac:dyDescent="0.35">
      <c r="C65313" s="2"/>
    </row>
    <row r="65314" spans="3:3" x14ac:dyDescent="0.35">
      <c r="C65314" s="2"/>
    </row>
    <row r="65315" spans="3:3" x14ac:dyDescent="0.35">
      <c r="C65315" s="2"/>
    </row>
    <row r="65316" spans="3:3" x14ac:dyDescent="0.35">
      <c r="C65316" s="2"/>
    </row>
    <row r="65317" spans="3:3" x14ac:dyDescent="0.35">
      <c r="C65317" s="2"/>
    </row>
    <row r="65318" spans="3:3" x14ac:dyDescent="0.35">
      <c r="C65318" s="2"/>
    </row>
    <row r="65319" spans="3:3" x14ac:dyDescent="0.35">
      <c r="C65319" s="2"/>
    </row>
    <row r="65320" spans="3:3" x14ac:dyDescent="0.35">
      <c r="C65320" s="2"/>
    </row>
    <row r="65321" spans="3:3" x14ac:dyDescent="0.35">
      <c r="C65321" s="2"/>
    </row>
    <row r="65322" spans="3:3" x14ac:dyDescent="0.35">
      <c r="C65322" s="2"/>
    </row>
    <row r="65323" spans="3:3" x14ac:dyDescent="0.35">
      <c r="C65323" s="2"/>
    </row>
    <row r="65324" spans="3:3" x14ac:dyDescent="0.35">
      <c r="C65324" s="2"/>
    </row>
    <row r="65325" spans="3:3" x14ac:dyDescent="0.35">
      <c r="C65325" s="2"/>
    </row>
    <row r="65326" spans="3:3" x14ac:dyDescent="0.35">
      <c r="C65326" s="2"/>
    </row>
    <row r="65327" spans="3:3" x14ac:dyDescent="0.35">
      <c r="C65327" s="2"/>
    </row>
    <row r="65328" spans="3:3" x14ac:dyDescent="0.35">
      <c r="C65328" s="2"/>
    </row>
    <row r="65329" spans="3:3" x14ac:dyDescent="0.35">
      <c r="C65329" s="2"/>
    </row>
    <row r="65330" spans="3:3" x14ac:dyDescent="0.35">
      <c r="C65330" s="2"/>
    </row>
    <row r="65331" spans="3:3" x14ac:dyDescent="0.35">
      <c r="C65331" s="2"/>
    </row>
    <row r="65332" spans="3:3" x14ac:dyDescent="0.35">
      <c r="C65332" s="2"/>
    </row>
    <row r="65333" spans="3:3" x14ac:dyDescent="0.35">
      <c r="C65333" s="2"/>
    </row>
    <row r="65334" spans="3:3" x14ac:dyDescent="0.35">
      <c r="C65334" s="2"/>
    </row>
    <row r="65335" spans="3:3" x14ac:dyDescent="0.35">
      <c r="C65335" s="2"/>
    </row>
    <row r="65336" spans="3:3" x14ac:dyDescent="0.35">
      <c r="C65336" s="2"/>
    </row>
    <row r="65337" spans="3:3" x14ac:dyDescent="0.35">
      <c r="C65337" s="2"/>
    </row>
    <row r="65338" spans="3:3" x14ac:dyDescent="0.35">
      <c r="C65338" s="2"/>
    </row>
    <row r="65339" spans="3:3" x14ac:dyDescent="0.35">
      <c r="C65339" s="2"/>
    </row>
    <row r="65340" spans="3:3" x14ac:dyDescent="0.35">
      <c r="C65340" s="2"/>
    </row>
    <row r="65341" spans="3:3" x14ac:dyDescent="0.35">
      <c r="C65341" s="2"/>
    </row>
    <row r="65342" spans="3:3" x14ac:dyDescent="0.35">
      <c r="C65342" s="2"/>
    </row>
    <row r="65343" spans="3:3" x14ac:dyDescent="0.35">
      <c r="C65343" s="2"/>
    </row>
    <row r="65344" spans="3:3" x14ac:dyDescent="0.35">
      <c r="C65344" s="2"/>
    </row>
    <row r="65345" spans="3:3" x14ac:dyDescent="0.35">
      <c r="C65345" s="2"/>
    </row>
    <row r="65346" spans="3:3" x14ac:dyDescent="0.35">
      <c r="C65346" s="2"/>
    </row>
    <row r="65347" spans="3:3" x14ac:dyDescent="0.35">
      <c r="C65347" s="2"/>
    </row>
    <row r="65348" spans="3:3" x14ac:dyDescent="0.35">
      <c r="C65348" s="2"/>
    </row>
    <row r="65349" spans="3:3" x14ac:dyDescent="0.35">
      <c r="C65349" s="2"/>
    </row>
    <row r="65350" spans="3:3" x14ac:dyDescent="0.35">
      <c r="C65350" s="2"/>
    </row>
    <row r="65351" spans="3:3" x14ac:dyDescent="0.35">
      <c r="C65351" s="2"/>
    </row>
    <row r="65352" spans="3:3" x14ac:dyDescent="0.35">
      <c r="C65352" s="2"/>
    </row>
    <row r="65353" spans="3:3" x14ac:dyDescent="0.35">
      <c r="C65353" s="2"/>
    </row>
    <row r="65354" spans="3:3" x14ac:dyDescent="0.35">
      <c r="C65354" s="2"/>
    </row>
    <row r="65355" spans="3:3" x14ac:dyDescent="0.35">
      <c r="C65355" s="2"/>
    </row>
    <row r="65356" spans="3:3" x14ac:dyDescent="0.35">
      <c r="C65356" s="2"/>
    </row>
    <row r="65357" spans="3:3" x14ac:dyDescent="0.35">
      <c r="C65357" s="2"/>
    </row>
    <row r="65358" spans="3:3" x14ac:dyDescent="0.35">
      <c r="C65358" s="2"/>
    </row>
    <row r="65359" spans="3:3" x14ac:dyDescent="0.35">
      <c r="C65359" s="2"/>
    </row>
    <row r="65360" spans="3:3" x14ac:dyDescent="0.35">
      <c r="C65360" s="2"/>
    </row>
    <row r="65361" spans="3:3" x14ac:dyDescent="0.35">
      <c r="C65361" s="2"/>
    </row>
    <row r="65362" spans="3:3" x14ac:dyDescent="0.35">
      <c r="C65362" s="2"/>
    </row>
    <row r="65363" spans="3:3" x14ac:dyDescent="0.35">
      <c r="C65363" s="2"/>
    </row>
    <row r="65364" spans="3:3" x14ac:dyDescent="0.35">
      <c r="C65364" s="2"/>
    </row>
    <row r="65365" spans="3:3" x14ac:dyDescent="0.35">
      <c r="C65365" s="2"/>
    </row>
    <row r="65366" spans="3:3" x14ac:dyDescent="0.35">
      <c r="C65366" s="2"/>
    </row>
    <row r="65367" spans="3:3" x14ac:dyDescent="0.35">
      <c r="C65367" s="2"/>
    </row>
    <row r="65368" spans="3:3" x14ac:dyDescent="0.35">
      <c r="C65368" s="2"/>
    </row>
    <row r="65369" spans="3:3" x14ac:dyDescent="0.35">
      <c r="C65369" s="2"/>
    </row>
    <row r="65370" spans="3:3" x14ac:dyDescent="0.35">
      <c r="C65370" s="2"/>
    </row>
    <row r="65371" spans="3:3" x14ac:dyDescent="0.35">
      <c r="C65371" s="2"/>
    </row>
    <row r="65372" spans="3:3" x14ac:dyDescent="0.35">
      <c r="C65372" s="2"/>
    </row>
    <row r="65373" spans="3:3" x14ac:dyDescent="0.35">
      <c r="C65373" s="2"/>
    </row>
    <row r="65374" spans="3:3" x14ac:dyDescent="0.35">
      <c r="C65374" s="2"/>
    </row>
    <row r="65375" spans="3:3" x14ac:dyDescent="0.35">
      <c r="C65375" s="2"/>
    </row>
    <row r="65376" spans="3:3" x14ac:dyDescent="0.35">
      <c r="C65376" s="2"/>
    </row>
    <row r="65377" spans="3:3" x14ac:dyDescent="0.35">
      <c r="C65377" s="2"/>
    </row>
    <row r="65378" spans="3:3" x14ac:dyDescent="0.35">
      <c r="C65378" s="2"/>
    </row>
    <row r="65379" spans="3:3" x14ac:dyDescent="0.35">
      <c r="C65379" s="2"/>
    </row>
    <row r="65380" spans="3:3" x14ac:dyDescent="0.35">
      <c r="C65380" s="2"/>
    </row>
    <row r="65381" spans="3:3" x14ac:dyDescent="0.35">
      <c r="C65381" s="2"/>
    </row>
    <row r="65382" spans="3:3" x14ac:dyDescent="0.35">
      <c r="C65382" s="2"/>
    </row>
    <row r="65383" spans="3:3" x14ac:dyDescent="0.35">
      <c r="C65383" s="2"/>
    </row>
    <row r="65384" spans="3:3" x14ac:dyDescent="0.35">
      <c r="C65384" s="2"/>
    </row>
    <row r="65385" spans="3:3" x14ac:dyDescent="0.35">
      <c r="C65385" s="2"/>
    </row>
    <row r="65386" spans="3:3" x14ac:dyDescent="0.35">
      <c r="C65386" s="2"/>
    </row>
    <row r="65387" spans="3:3" x14ac:dyDescent="0.35">
      <c r="C65387" s="2"/>
    </row>
    <row r="65388" spans="3:3" x14ac:dyDescent="0.35">
      <c r="C65388" s="2"/>
    </row>
    <row r="65389" spans="3:3" x14ac:dyDescent="0.35">
      <c r="C65389" s="2"/>
    </row>
    <row r="65390" spans="3:3" x14ac:dyDescent="0.35">
      <c r="C65390" s="2"/>
    </row>
    <row r="65391" spans="3:3" x14ac:dyDescent="0.35">
      <c r="C65391" s="2"/>
    </row>
    <row r="65392" spans="3:3" x14ac:dyDescent="0.35">
      <c r="C65392" s="2"/>
    </row>
    <row r="65393" spans="3:3" x14ac:dyDescent="0.35">
      <c r="C65393" s="2"/>
    </row>
    <row r="65394" spans="3:3" x14ac:dyDescent="0.35">
      <c r="C65394" s="2"/>
    </row>
    <row r="65395" spans="3:3" x14ac:dyDescent="0.35">
      <c r="C65395" s="2"/>
    </row>
    <row r="65396" spans="3:3" x14ac:dyDescent="0.35">
      <c r="C65396" s="2"/>
    </row>
    <row r="65397" spans="3:3" x14ac:dyDescent="0.35">
      <c r="C65397" s="2"/>
    </row>
    <row r="65398" spans="3:3" x14ac:dyDescent="0.35">
      <c r="C65398" s="2"/>
    </row>
    <row r="65399" spans="3:3" x14ac:dyDescent="0.35">
      <c r="C65399" s="2"/>
    </row>
    <row r="65400" spans="3:3" x14ac:dyDescent="0.35">
      <c r="C65400" s="2"/>
    </row>
    <row r="65401" spans="3:3" x14ac:dyDescent="0.35">
      <c r="C65401" s="2"/>
    </row>
    <row r="65402" spans="3:3" x14ac:dyDescent="0.35">
      <c r="C65402" s="2"/>
    </row>
    <row r="65403" spans="3:3" x14ac:dyDescent="0.35">
      <c r="C65403" s="2"/>
    </row>
    <row r="65404" spans="3:3" x14ac:dyDescent="0.35">
      <c r="C65404" s="2"/>
    </row>
    <row r="65405" spans="3:3" x14ac:dyDescent="0.35">
      <c r="C65405" s="2"/>
    </row>
    <row r="65406" spans="3:3" x14ac:dyDescent="0.35">
      <c r="C65406" s="2"/>
    </row>
    <row r="65407" spans="3:3" x14ac:dyDescent="0.35">
      <c r="C65407" s="2"/>
    </row>
    <row r="65408" spans="3:3" x14ac:dyDescent="0.35">
      <c r="C65408" s="2"/>
    </row>
    <row r="65409" spans="3:3" x14ac:dyDescent="0.35">
      <c r="C65409" s="2"/>
    </row>
    <row r="65410" spans="3:3" x14ac:dyDescent="0.35">
      <c r="C65410" s="2"/>
    </row>
    <row r="65411" spans="3:3" x14ac:dyDescent="0.35">
      <c r="C65411" s="2"/>
    </row>
    <row r="65412" spans="3:3" x14ac:dyDescent="0.35">
      <c r="C65412" s="2"/>
    </row>
    <row r="65413" spans="3:3" x14ac:dyDescent="0.35">
      <c r="C65413" s="2"/>
    </row>
    <row r="65414" spans="3:3" x14ac:dyDescent="0.35">
      <c r="C65414" s="2"/>
    </row>
    <row r="65415" spans="3:3" x14ac:dyDescent="0.35">
      <c r="C65415" s="2"/>
    </row>
    <row r="65416" spans="3:3" x14ac:dyDescent="0.35">
      <c r="C65416" s="2"/>
    </row>
    <row r="65417" spans="3:3" x14ac:dyDescent="0.35">
      <c r="C65417" s="2"/>
    </row>
    <row r="65418" spans="3:3" x14ac:dyDescent="0.35">
      <c r="C65418" s="2"/>
    </row>
    <row r="65419" spans="3:3" x14ac:dyDescent="0.35">
      <c r="C65419" s="2"/>
    </row>
    <row r="65420" spans="3:3" x14ac:dyDescent="0.35">
      <c r="C65420" s="2"/>
    </row>
    <row r="65421" spans="3:3" x14ac:dyDescent="0.35">
      <c r="C65421" s="2"/>
    </row>
    <row r="65422" spans="3:3" x14ac:dyDescent="0.35">
      <c r="C65422" s="2"/>
    </row>
    <row r="65423" spans="3:3" x14ac:dyDescent="0.35">
      <c r="C65423" s="2"/>
    </row>
    <row r="65424" spans="3:3" x14ac:dyDescent="0.35">
      <c r="C65424" s="2"/>
    </row>
    <row r="65425" spans="3:3" x14ac:dyDescent="0.35">
      <c r="C65425" s="2"/>
    </row>
    <row r="65426" spans="3:3" x14ac:dyDescent="0.35">
      <c r="C65426" s="2"/>
    </row>
    <row r="65427" spans="3:3" x14ac:dyDescent="0.35">
      <c r="C65427" s="2"/>
    </row>
    <row r="65428" spans="3:3" x14ac:dyDescent="0.35">
      <c r="C65428" s="2"/>
    </row>
    <row r="65429" spans="3:3" x14ac:dyDescent="0.35">
      <c r="C65429" s="2"/>
    </row>
    <row r="65430" spans="3:3" x14ac:dyDescent="0.35">
      <c r="C65430" s="2"/>
    </row>
    <row r="65431" spans="3:3" x14ac:dyDescent="0.35">
      <c r="C65431" s="2"/>
    </row>
    <row r="65432" spans="3:3" x14ac:dyDescent="0.35">
      <c r="C65432" s="2"/>
    </row>
    <row r="65433" spans="3:3" x14ac:dyDescent="0.35">
      <c r="C65433" s="2"/>
    </row>
    <row r="65434" spans="3:3" x14ac:dyDescent="0.35">
      <c r="C65434" s="2"/>
    </row>
    <row r="65435" spans="3:3" x14ac:dyDescent="0.35">
      <c r="C65435" s="2"/>
    </row>
    <row r="65436" spans="3:3" x14ac:dyDescent="0.35">
      <c r="C65436" s="2"/>
    </row>
    <row r="65437" spans="3:3" x14ac:dyDescent="0.35">
      <c r="C65437" s="2"/>
    </row>
    <row r="65438" spans="3:3" x14ac:dyDescent="0.35">
      <c r="C65438" s="2"/>
    </row>
    <row r="65439" spans="3:3" x14ac:dyDescent="0.35">
      <c r="C65439" s="2"/>
    </row>
    <row r="65440" spans="3:3" x14ac:dyDescent="0.35">
      <c r="C65440" s="2"/>
    </row>
    <row r="65441" spans="3:3" x14ac:dyDescent="0.35">
      <c r="C65441" s="2"/>
    </row>
    <row r="65442" spans="3:3" x14ac:dyDescent="0.35">
      <c r="C65442" s="2"/>
    </row>
    <row r="65443" spans="3:3" x14ac:dyDescent="0.35">
      <c r="C65443" s="2"/>
    </row>
    <row r="65444" spans="3:3" x14ac:dyDescent="0.35">
      <c r="C65444" s="2"/>
    </row>
    <row r="65445" spans="3:3" x14ac:dyDescent="0.35">
      <c r="C65445" s="2"/>
    </row>
    <row r="65446" spans="3:3" x14ac:dyDescent="0.35">
      <c r="C65446" s="2"/>
    </row>
    <row r="65447" spans="3:3" x14ac:dyDescent="0.35">
      <c r="C65447" s="2"/>
    </row>
    <row r="65448" spans="3:3" x14ac:dyDescent="0.35">
      <c r="C65448" s="2"/>
    </row>
    <row r="65449" spans="3:3" x14ac:dyDescent="0.35">
      <c r="C65449" s="2"/>
    </row>
    <row r="65450" spans="3:3" x14ac:dyDescent="0.35">
      <c r="C65450" s="2"/>
    </row>
    <row r="65451" spans="3:3" x14ac:dyDescent="0.35">
      <c r="C65451" s="2"/>
    </row>
    <row r="65452" spans="3:3" x14ac:dyDescent="0.35">
      <c r="C65452" s="2"/>
    </row>
    <row r="65453" spans="3:3" x14ac:dyDescent="0.35">
      <c r="C65453" s="2"/>
    </row>
    <row r="65454" spans="3:3" x14ac:dyDescent="0.35">
      <c r="C65454" s="2"/>
    </row>
    <row r="65455" spans="3:3" x14ac:dyDescent="0.35">
      <c r="C65455" s="2"/>
    </row>
    <row r="65456" spans="3:3" x14ac:dyDescent="0.35">
      <c r="C65456" s="2"/>
    </row>
    <row r="65457" spans="3:3" x14ac:dyDescent="0.35">
      <c r="C65457" s="2"/>
    </row>
    <row r="65458" spans="3:3" x14ac:dyDescent="0.35">
      <c r="C65458" s="2"/>
    </row>
    <row r="65459" spans="3:3" x14ac:dyDescent="0.35">
      <c r="C65459" s="2"/>
    </row>
    <row r="65460" spans="3:3" x14ac:dyDescent="0.35">
      <c r="C65460" s="2"/>
    </row>
    <row r="65461" spans="3:3" x14ac:dyDescent="0.35">
      <c r="C65461" s="2"/>
    </row>
    <row r="65462" spans="3:3" x14ac:dyDescent="0.35">
      <c r="C65462" s="2"/>
    </row>
    <row r="65463" spans="3:3" x14ac:dyDescent="0.35">
      <c r="C65463" s="2"/>
    </row>
    <row r="65464" spans="3:3" x14ac:dyDescent="0.35">
      <c r="C65464" s="2"/>
    </row>
    <row r="65465" spans="3:3" x14ac:dyDescent="0.35">
      <c r="C65465" s="2"/>
    </row>
    <row r="65466" spans="3:3" x14ac:dyDescent="0.35">
      <c r="C65466" s="2"/>
    </row>
    <row r="65467" spans="3:3" x14ac:dyDescent="0.35">
      <c r="C65467" s="2"/>
    </row>
    <row r="65468" spans="3:3" x14ac:dyDescent="0.35">
      <c r="C65468" s="2"/>
    </row>
    <row r="65469" spans="3:3" x14ac:dyDescent="0.35">
      <c r="C65469" s="2"/>
    </row>
    <row r="65470" spans="3:3" x14ac:dyDescent="0.35">
      <c r="C65470" s="2"/>
    </row>
    <row r="65471" spans="3:3" x14ac:dyDescent="0.35">
      <c r="C65471" s="2"/>
    </row>
    <row r="65472" spans="3:3" x14ac:dyDescent="0.35">
      <c r="C65472" s="2"/>
    </row>
    <row r="65473" spans="3:3" x14ac:dyDescent="0.35">
      <c r="C65473" s="2"/>
    </row>
    <row r="65474" spans="3:3" x14ac:dyDescent="0.35">
      <c r="C65474" s="2"/>
    </row>
    <row r="65475" spans="3:3" x14ac:dyDescent="0.35">
      <c r="C65475" s="2"/>
    </row>
    <row r="65476" spans="3:3" x14ac:dyDescent="0.35">
      <c r="C65476" s="2"/>
    </row>
    <row r="65477" spans="3:3" x14ac:dyDescent="0.35">
      <c r="C65477" s="2"/>
    </row>
    <row r="65478" spans="3:3" x14ac:dyDescent="0.35">
      <c r="C65478" s="2"/>
    </row>
    <row r="65479" spans="3:3" x14ac:dyDescent="0.35">
      <c r="C65479" s="2"/>
    </row>
    <row r="65480" spans="3:3" x14ac:dyDescent="0.35">
      <c r="C65480" s="2"/>
    </row>
    <row r="65481" spans="3:3" x14ac:dyDescent="0.35">
      <c r="C65481" s="2"/>
    </row>
    <row r="65482" spans="3:3" x14ac:dyDescent="0.35">
      <c r="C65482" s="2"/>
    </row>
    <row r="65483" spans="3:3" x14ac:dyDescent="0.35">
      <c r="C65483" s="2"/>
    </row>
    <row r="65484" spans="3:3" x14ac:dyDescent="0.35">
      <c r="C65484" s="2"/>
    </row>
    <row r="65485" spans="3:3" x14ac:dyDescent="0.35">
      <c r="C65485" s="2"/>
    </row>
    <row r="65486" spans="3:3" x14ac:dyDescent="0.35">
      <c r="C65486" s="2"/>
    </row>
    <row r="65487" spans="3:3" x14ac:dyDescent="0.35">
      <c r="C65487" s="2"/>
    </row>
    <row r="65488" spans="3:3" x14ac:dyDescent="0.35">
      <c r="C65488" s="2"/>
    </row>
    <row r="65489" spans="3:3" x14ac:dyDescent="0.35">
      <c r="C65489" s="2"/>
    </row>
    <row r="65490" spans="3:3" x14ac:dyDescent="0.35">
      <c r="C65490" s="2"/>
    </row>
    <row r="65491" spans="3:3" x14ac:dyDescent="0.35">
      <c r="C65491" s="2"/>
    </row>
    <row r="65492" spans="3:3" x14ac:dyDescent="0.35">
      <c r="C65492" s="2"/>
    </row>
    <row r="65493" spans="3:3" x14ac:dyDescent="0.35">
      <c r="C65493" s="2"/>
    </row>
    <row r="65494" spans="3:3" x14ac:dyDescent="0.35">
      <c r="C65494" s="2"/>
    </row>
    <row r="65495" spans="3:3" x14ac:dyDescent="0.35">
      <c r="C65495" s="2"/>
    </row>
    <row r="65496" spans="3:3" x14ac:dyDescent="0.35">
      <c r="C65496" s="2"/>
    </row>
    <row r="65497" spans="3:3" x14ac:dyDescent="0.35">
      <c r="C65497" s="2"/>
    </row>
    <row r="65498" spans="3:3" x14ac:dyDescent="0.35">
      <c r="C65498" s="2"/>
    </row>
    <row r="65499" spans="3:3" x14ac:dyDescent="0.35">
      <c r="C65499" s="2"/>
    </row>
    <row r="65500" spans="3:3" x14ac:dyDescent="0.35">
      <c r="C65500" s="2"/>
    </row>
    <row r="65501" spans="3:3" x14ac:dyDescent="0.35">
      <c r="C65501" s="2"/>
    </row>
    <row r="65502" spans="3:3" x14ac:dyDescent="0.35">
      <c r="C65502" s="2"/>
    </row>
    <row r="65503" spans="3:3" x14ac:dyDescent="0.35">
      <c r="C65503" s="2"/>
    </row>
    <row r="65504" spans="3:3" x14ac:dyDescent="0.35">
      <c r="C65504" s="2"/>
    </row>
    <row r="65505" spans="3:3" x14ac:dyDescent="0.35">
      <c r="C65505" s="2"/>
    </row>
    <row r="65506" spans="3:3" x14ac:dyDescent="0.35">
      <c r="C65506" s="2"/>
    </row>
    <row r="65507" spans="3:3" x14ac:dyDescent="0.35">
      <c r="C65507" s="2"/>
    </row>
    <row r="65508" spans="3:3" x14ac:dyDescent="0.35">
      <c r="C65508" s="2"/>
    </row>
    <row r="65509" spans="3:3" x14ac:dyDescent="0.35">
      <c r="C65509" s="2"/>
    </row>
    <row r="65510" spans="3:3" x14ac:dyDescent="0.35">
      <c r="C65510" s="2"/>
    </row>
    <row r="65511" spans="3:3" x14ac:dyDescent="0.35">
      <c r="C65511" s="2"/>
    </row>
    <row r="65512" spans="3:3" x14ac:dyDescent="0.35">
      <c r="C65512" s="2"/>
    </row>
    <row r="65513" spans="3:3" x14ac:dyDescent="0.35">
      <c r="C65513" s="2"/>
    </row>
    <row r="65514" spans="3:3" x14ac:dyDescent="0.35">
      <c r="C65514" s="2"/>
    </row>
    <row r="65515" spans="3:3" x14ac:dyDescent="0.35">
      <c r="C65515" s="2"/>
    </row>
    <row r="65516" spans="3:3" x14ac:dyDescent="0.35">
      <c r="C65516" s="2"/>
    </row>
    <row r="65517" spans="3:3" x14ac:dyDescent="0.35">
      <c r="C65517" s="2"/>
    </row>
    <row r="65518" spans="3:3" x14ac:dyDescent="0.35">
      <c r="C65518" s="2"/>
    </row>
    <row r="65519" spans="3:3" x14ac:dyDescent="0.35">
      <c r="C65519" s="2"/>
    </row>
    <row r="65520" spans="3:3" x14ac:dyDescent="0.35">
      <c r="C65520" s="2"/>
    </row>
    <row r="65521" spans="3:3" x14ac:dyDescent="0.35">
      <c r="C65521" s="2"/>
    </row>
    <row r="65522" spans="3:3" x14ac:dyDescent="0.35">
      <c r="C65522" s="2"/>
    </row>
    <row r="65523" spans="3:3" x14ac:dyDescent="0.35">
      <c r="C65523" s="2"/>
    </row>
    <row r="65524" spans="3:3" x14ac:dyDescent="0.35">
      <c r="C65524" s="2"/>
    </row>
    <row r="65525" spans="3:3" x14ac:dyDescent="0.35">
      <c r="C65525" s="2"/>
    </row>
    <row r="65526" spans="3:3" x14ac:dyDescent="0.35">
      <c r="C65526" s="2"/>
    </row>
    <row r="65527" spans="3:3" x14ac:dyDescent="0.35">
      <c r="C65527" s="2"/>
    </row>
    <row r="65528" spans="3:3" x14ac:dyDescent="0.35">
      <c r="C65528" s="2"/>
    </row>
    <row r="65529" spans="3:3" x14ac:dyDescent="0.35">
      <c r="C65529" s="2"/>
    </row>
    <row r="65530" spans="3:3" x14ac:dyDescent="0.35">
      <c r="C65530" s="2"/>
    </row>
    <row r="65531" spans="3:3" x14ac:dyDescent="0.35">
      <c r="C65531" s="2"/>
    </row>
    <row r="65532" spans="3:3" x14ac:dyDescent="0.35">
      <c r="C65532" s="2"/>
    </row>
    <row r="65533" spans="3:3" x14ac:dyDescent="0.35">
      <c r="C65533" s="2"/>
    </row>
    <row r="65534" spans="3:3" x14ac:dyDescent="0.35">
      <c r="C65534" s="2"/>
    </row>
    <row r="65535" spans="3:3" x14ac:dyDescent="0.35">
      <c r="C65535" s="2"/>
    </row>
    <row r="65536" spans="3:3" x14ac:dyDescent="0.35">
      <c r="C65536" s="2"/>
    </row>
    <row r="65537" spans="3:3" x14ac:dyDescent="0.35">
      <c r="C65537" s="2"/>
    </row>
    <row r="65538" spans="3:3" x14ac:dyDescent="0.35">
      <c r="C65538" s="2"/>
    </row>
    <row r="65539" spans="3:3" x14ac:dyDescent="0.35">
      <c r="C65539" s="2"/>
    </row>
    <row r="65540" spans="3:3" x14ac:dyDescent="0.35">
      <c r="C65540" s="2"/>
    </row>
    <row r="65541" spans="3:3" x14ac:dyDescent="0.35">
      <c r="C65541" s="2"/>
    </row>
    <row r="65542" spans="3:3" x14ac:dyDescent="0.35">
      <c r="C65542" s="2"/>
    </row>
    <row r="65543" spans="3:3" x14ac:dyDescent="0.35">
      <c r="C65543" s="2"/>
    </row>
    <row r="65544" spans="3:3" x14ac:dyDescent="0.35">
      <c r="C65544" s="2"/>
    </row>
    <row r="65545" spans="3:3" x14ac:dyDescent="0.35">
      <c r="C65545" s="2"/>
    </row>
    <row r="65546" spans="3:3" x14ac:dyDescent="0.35">
      <c r="C65546" s="2"/>
    </row>
    <row r="65547" spans="3:3" x14ac:dyDescent="0.35">
      <c r="C65547" s="2"/>
    </row>
    <row r="65548" spans="3:3" x14ac:dyDescent="0.35">
      <c r="C65548" s="2"/>
    </row>
    <row r="65549" spans="3:3" x14ac:dyDescent="0.35">
      <c r="C65549" s="2"/>
    </row>
    <row r="65550" spans="3:3" x14ac:dyDescent="0.35">
      <c r="C65550" s="2"/>
    </row>
    <row r="65551" spans="3:3" x14ac:dyDescent="0.35">
      <c r="C65551" s="2"/>
    </row>
    <row r="65552" spans="3:3" x14ac:dyDescent="0.35">
      <c r="C65552" s="2"/>
    </row>
    <row r="65553" spans="3:3" x14ac:dyDescent="0.35">
      <c r="C65553" s="2"/>
    </row>
    <row r="65554" spans="3:3" x14ac:dyDescent="0.35">
      <c r="C65554" s="2"/>
    </row>
    <row r="65555" spans="3:3" x14ac:dyDescent="0.35">
      <c r="C65555" s="2"/>
    </row>
    <row r="65556" spans="3:3" x14ac:dyDescent="0.35">
      <c r="C65556" s="2"/>
    </row>
    <row r="65557" spans="3:3" x14ac:dyDescent="0.35">
      <c r="C65557" s="2"/>
    </row>
    <row r="65558" spans="3:3" x14ac:dyDescent="0.35">
      <c r="C65558" s="2"/>
    </row>
    <row r="65559" spans="3:3" x14ac:dyDescent="0.35">
      <c r="C65559" s="2"/>
    </row>
    <row r="65560" spans="3:3" x14ac:dyDescent="0.35">
      <c r="C65560" s="2"/>
    </row>
    <row r="65561" spans="3:3" x14ac:dyDescent="0.35">
      <c r="C65561" s="2"/>
    </row>
    <row r="65562" spans="3:3" x14ac:dyDescent="0.35">
      <c r="C65562" s="2"/>
    </row>
    <row r="65563" spans="3:3" x14ac:dyDescent="0.35">
      <c r="C65563" s="2"/>
    </row>
    <row r="65564" spans="3:3" x14ac:dyDescent="0.35">
      <c r="C65564" s="2"/>
    </row>
    <row r="65565" spans="3:3" x14ac:dyDescent="0.35">
      <c r="C65565" s="2"/>
    </row>
    <row r="65566" spans="3:3" x14ac:dyDescent="0.35">
      <c r="C65566" s="2"/>
    </row>
    <row r="65567" spans="3:3" x14ac:dyDescent="0.35">
      <c r="C65567" s="2"/>
    </row>
    <row r="65568" spans="3:3" x14ac:dyDescent="0.35">
      <c r="C65568" s="2"/>
    </row>
    <row r="65569" spans="3:3" x14ac:dyDescent="0.35">
      <c r="C65569" s="2"/>
    </row>
    <row r="65570" spans="3:3" x14ac:dyDescent="0.35">
      <c r="C65570" s="2"/>
    </row>
    <row r="65571" spans="3:3" x14ac:dyDescent="0.35">
      <c r="C65571" s="2"/>
    </row>
    <row r="65572" spans="3:3" x14ac:dyDescent="0.35">
      <c r="C65572" s="2"/>
    </row>
    <row r="65573" spans="3:3" x14ac:dyDescent="0.35">
      <c r="C65573" s="2"/>
    </row>
    <row r="65574" spans="3:3" x14ac:dyDescent="0.35">
      <c r="C65574" s="2"/>
    </row>
    <row r="65575" spans="3:3" x14ac:dyDescent="0.35">
      <c r="C65575" s="2"/>
    </row>
    <row r="65576" spans="3:3" x14ac:dyDescent="0.35">
      <c r="C65576" s="2"/>
    </row>
    <row r="65577" spans="3:3" x14ac:dyDescent="0.35">
      <c r="C65577" s="2"/>
    </row>
    <row r="65578" spans="3:3" x14ac:dyDescent="0.35">
      <c r="C65578" s="2"/>
    </row>
    <row r="65579" spans="3:3" x14ac:dyDescent="0.35">
      <c r="C65579" s="2"/>
    </row>
    <row r="65580" spans="3:3" x14ac:dyDescent="0.35">
      <c r="C65580" s="2"/>
    </row>
    <row r="65581" spans="3:3" x14ac:dyDescent="0.35">
      <c r="C65581" s="2"/>
    </row>
    <row r="65582" spans="3:3" x14ac:dyDescent="0.35">
      <c r="C65582" s="2"/>
    </row>
    <row r="65583" spans="3:3" x14ac:dyDescent="0.35">
      <c r="C65583" s="2"/>
    </row>
    <row r="65584" spans="3:3" x14ac:dyDescent="0.35">
      <c r="C65584" s="2"/>
    </row>
    <row r="65585" spans="3:3" x14ac:dyDescent="0.35">
      <c r="C65585" s="2"/>
    </row>
    <row r="65586" spans="3:3" x14ac:dyDescent="0.35">
      <c r="C65586" s="2"/>
    </row>
    <row r="65587" spans="3:3" x14ac:dyDescent="0.35">
      <c r="C65587" s="2"/>
    </row>
    <row r="65588" spans="3:3" x14ac:dyDescent="0.35">
      <c r="C65588" s="2"/>
    </row>
    <row r="65589" spans="3:3" x14ac:dyDescent="0.35">
      <c r="C65589" s="2"/>
    </row>
    <row r="65590" spans="3:3" x14ac:dyDescent="0.35">
      <c r="C65590" s="2"/>
    </row>
    <row r="65591" spans="3:3" x14ac:dyDescent="0.35">
      <c r="C65591" s="2"/>
    </row>
    <row r="65592" spans="3:3" x14ac:dyDescent="0.35">
      <c r="C65592" s="2"/>
    </row>
    <row r="65593" spans="3:3" x14ac:dyDescent="0.35">
      <c r="C65593" s="2"/>
    </row>
    <row r="65594" spans="3:3" x14ac:dyDescent="0.35">
      <c r="C65594" s="2"/>
    </row>
    <row r="65595" spans="3:3" x14ac:dyDescent="0.35">
      <c r="C65595" s="2"/>
    </row>
    <row r="65596" spans="3:3" x14ac:dyDescent="0.35">
      <c r="C65596" s="2"/>
    </row>
    <row r="65597" spans="3:3" x14ac:dyDescent="0.35">
      <c r="C65597" s="2"/>
    </row>
    <row r="65598" spans="3:3" x14ac:dyDescent="0.35">
      <c r="C65598" s="2"/>
    </row>
    <row r="65599" spans="3:3" x14ac:dyDescent="0.35">
      <c r="C65599" s="2"/>
    </row>
    <row r="65600" spans="3:3" x14ac:dyDescent="0.35">
      <c r="C65600" s="2"/>
    </row>
    <row r="65601" spans="3:3" x14ac:dyDescent="0.35">
      <c r="C65601" s="2"/>
    </row>
    <row r="65602" spans="3:3" x14ac:dyDescent="0.35">
      <c r="C65602" s="2"/>
    </row>
    <row r="65603" spans="3:3" x14ac:dyDescent="0.35">
      <c r="C65603" s="2"/>
    </row>
    <row r="65604" spans="3:3" x14ac:dyDescent="0.35">
      <c r="C65604" s="2"/>
    </row>
    <row r="65605" spans="3:3" x14ac:dyDescent="0.35">
      <c r="C65605" s="2"/>
    </row>
    <row r="65606" spans="3:3" x14ac:dyDescent="0.35">
      <c r="C65606" s="2"/>
    </row>
    <row r="65607" spans="3:3" x14ac:dyDescent="0.35">
      <c r="C65607" s="2"/>
    </row>
    <row r="65608" spans="3:3" x14ac:dyDescent="0.35">
      <c r="C65608" s="2"/>
    </row>
    <row r="65609" spans="3:3" x14ac:dyDescent="0.35">
      <c r="C65609" s="2"/>
    </row>
    <row r="65610" spans="3:3" x14ac:dyDescent="0.35">
      <c r="C65610" s="2"/>
    </row>
    <row r="65611" spans="3:3" x14ac:dyDescent="0.35">
      <c r="C65611" s="2"/>
    </row>
    <row r="65612" spans="3:3" x14ac:dyDescent="0.35">
      <c r="C65612" s="2"/>
    </row>
    <row r="65613" spans="3:3" x14ac:dyDescent="0.35">
      <c r="C65613" s="2"/>
    </row>
    <row r="65614" spans="3:3" x14ac:dyDescent="0.35">
      <c r="C65614" s="2"/>
    </row>
    <row r="65615" spans="3:3" x14ac:dyDescent="0.35">
      <c r="C65615" s="2"/>
    </row>
    <row r="65616" spans="3:3" x14ac:dyDescent="0.35">
      <c r="C65616" s="2"/>
    </row>
    <row r="65617" spans="3:3" x14ac:dyDescent="0.35">
      <c r="C65617" s="2"/>
    </row>
    <row r="65618" spans="3:3" x14ac:dyDescent="0.35">
      <c r="C65618" s="2"/>
    </row>
    <row r="65619" spans="3:3" x14ac:dyDescent="0.35">
      <c r="C65619" s="2"/>
    </row>
    <row r="65620" spans="3:3" x14ac:dyDescent="0.35">
      <c r="C65620" s="2"/>
    </row>
    <row r="65621" spans="3:3" x14ac:dyDescent="0.35">
      <c r="C65621" s="2"/>
    </row>
    <row r="65622" spans="3:3" x14ac:dyDescent="0.35">
      <c r="C65622" s="2"/>
    </row>
    <row r="65623" spans="3:3" x14ac:dyDescent="0.35">
      <c r="C65623" s="2"/>
    </row>
    <row r="65624" spans="3:3" x14ac:dyDescent="0.35">
      <c r="C65624" s="2"/>
    </row>
    <row r="65625" spans="3:3" x14ac:dyDescent="0.35">
      <c r="C65625" s="2"/>
    </row>
    <row r="65626" spans="3:3" x14ac:dyDescent="0.35">
      <c r="C65626" s="2"/>
    </row>
    <row r="65627" spans="3:3" x14ac:dyDescent="0.35">
      <c r="C65627" s="2"/>
    </row>
    <row r="65628" spans="3:3" x14ac:dyDescent="0.35">
      <c r="C65628" s="2"/>
    </row>
    <row r="65629" spans="3:3" x14ac:dyDescent="0.35">
      <c r="C65629" s="2"/>
    </row>
    <row r="65630" spans="3:3" x14ac:dyDescent="0.35">
      <c r="C65630" s="2"/>
    </row>
    <row r="65631" spans="3:3" x14ac:dyDescent="0.35">
      <c r="C65631" s="2"/>
    </row>
    <row r="65632" spans="3:3" x14ac:dyDescent="0.35">
      <c r="C65632" s="2"/>
    </row>
    <row r="65633" spans="3:3" x14ac:dyDescent="0.35">
      <c r="C65633" s="2"/>
    </row>
    <row r="65634" spans="3:3" x14ac:dyDescent="0.35">
      <c r="C65634" s="2"/>
    </row>
    <row r="65635" spans="3:3" x14ac:dyDescent="0.35">
      <c r="C65635" s="2"/>
    </row>
    <row r="65636" spans="3:3" x14ac:dyDescent="0.35">
      <c r="C65636" s="2"/>
    </row>
    <row r="65637" spans="3:3" x14ac:dyDescent="0.35">
      <c r="C65637" s="2"/>
    </row>
    <row r="65638" spans="3:3" x14ac:dyDescent="0.35">
      <c r="C65638" s="2"/>
    </row>
    <row r="65639" spans="3:3" x14ac:dyDescent="0.35">
      <c r="C65639" s="2"/>
    </row>
    <row r="65640" spans="3:3" x14ac:dyDescent="0.35">
      <c r="C65640" s="2"/>
    </row>
    <row r="65641" spans="3:3" x14ac:dyDescent="0.35">
      <c r="C65641" s="2"/>
    </row>
    <row r="65642" spans="3:3" x14ac:dyDescent="0.35">
      <c r="C65642" s="2"/>
    </row>
    <row r="65643" spans="3:3" x14ac:dyDescent="0.35">
      <c r="C65643" s="2"/>
    </row>
    <row r="65644" spans="3:3" x14ac:dyDescent="0.35">
      <c r="C65644" s="2"/>
    </row>
    <row r="65645" spans="3:3" x14ac:dyDescent="0.35">
      <c r="C65645" s="2"/>
    </row>
    <row r="65646" spans="3:3" x14ac:dyDescent="0.35">
      <c r="C65646" s="2"/>
    </row>
    <row r="65647" spans="3:3" x14ac:dyDescent="0.35">
      <c r="C65647" s="2"/>
    </row>
    <row r="65648" spans="3:3" x14ac:dyDescent="0.35">
      <c r="C65648" s="2"/>
    </row>
    <row r="65649" spans="3:3" x14ac:dyDescent="0.35">
      <c r="C65649" s="2"/>
    </row>
    <row r="65650" spans="3:3" x14ac:dyDescent="0.35">
      <c r="C65650" s="2"/>
    </row>
    <row r="65651" spans="3:3" x14ac:dyDescent="0.35">
      <c r="C65651" s="2"/>
    </row>
    <row r="65652" spans="3:3" x14ac:dyDescent="0.35">
      <c r="C65652" s="2"/>
    </row>
    <row r="65653" spans="3:3" x14ac:dyDescent="0.35">
      <c r="C65653" s="2"/>
    </row>
    <row r="65654" spans="3:3" x14ac:dyDescent="0.35">
      <c r="C65654" s="2"/>
    </row>
    <row r="65655" spans="3:3" x14ac:dyDescent="0.35">
      <c r="C65655" s="2"/>
    </row>
    <row r="65656" spans="3:3" x14ac:dyDescent="0.35">
      <c r="C65656" s="2"/>
    </row>
    <row r="65657" spans="3:3" x14ac:dyDescent="0.35">
      <c r="C65657" s="2"/>
    </row>
    <row r="65658" spans="3:3" x14ac:dyDescent="0.35">
      <c r="C65658" s="2"/>
    </row>
    <row r="65659" spans="3:3" x14ac:dyDescent="0.35">
      <c r="C65659" s="2"/>
    </row>
    <row r="65660" spans="3:3" x14ac:dyDescent="0.35">
      <c r="C65660" s="2"/>
    </row>
    <row r="65661" spans="3:3" x14ac:dyDescent="0.35">
      <c r="C65661" s="2"/>
    </row>
    <row r="65662" spans="3:3" x14ac:dyDescent="0.35">
      <c r="C65662" s="2"/>
    </row>
    <row r="65663" spans="3:3" x14ac:dyDescent="0.35">
      <c r="C65663" s="2"/>
    </row>
    <row r="65664" spans="3:3" x14ac:dyDescent="0.35">
      <c r="C65664" s="2"/>
    </row>
    <row r="65665" spans="3:3" x14ac:dyDescent="0.35">
      <c r="C65665" s="2"/>
    </row>
    <row r="65666" spans="3:3" x14ac:dyDescent="0.35">
      <c r="C65666" s="2"/>
    </row>
    <row r="65667" spans="3:3" x14ac:dyDescent="0.35">
      <c r="C65667" s="2"/>
    </row>
    <row r="65668" spans="3:3" x14ac:dyDescent="0.35">
      <c r="C65668" s="2"/>
    </row>
    <row r="65669" spans="3:3" x14ac:dyDescent="0.35">
      <c r="C65669" s="2"/>
    </row>
    <row r="65670" spans="3:3" x14ac:dyDescent="0.35">
      <c r="C65670" s="2"/>
    </row>
    <row r="65671" spans="3:3" x14ac:dyDescent="0.35">
      <c r="C65671" s="2"/>
    </row>
    <row r="65672" spans="3:3" x14ac:dyDescent="0.35">
      <c r="C65672" s="2"/>
    </row>
    <row r="65673" spans="3:3" x14ac:dyDescent="0.35">
      <c r="C65673" s="2"/>
    </row>
    <row r="65674" spans="3:3" x14ac:dyDescent="0.35">
      <c r="C65674" s="2"/>
    </row>
    <row r="65675" spans="3:3" x14ac:dyDescent="0.35">
      <c r="C65675" s="2"/>
    </row>
    <row r="65676" spans="3:3" x14ac:dyDescent="0.35">
      <c r="C65676" s="2"/>
    </row>
    <row r="65677" spans="3:3" x14ac:dyDescent="0.35">
      <c r="C65677" s="2"/>
    </row>
    <row r="65678" spans="3:3" x14ac:dyDescent="0.35">
      <c r="C65678" s="2"/>
    </row>
    <row r="65679" spans="3:3" x14ac:dyDescent="0.35">
      <c r="C65679" s="2"/>
    </row>
    <row r="65680" spans="3:3" x14ac:dyDescent="0.35">
      <c r="C65680" s="2"/>
    </row>
    <row r="65681" spans="3:3" x14ac:dyDescent="0.35">
      <c r="C65681" s="2"/>
    </row>
    <row r="65682" spans="3:3" x14ac:dyDescent="0.35">
      <c r="C65682" s="2"/>
    </row>
    <row r="65683" spans="3:3" x14ac:dyDescent="0.35">
      <c r="C65683" s="2"/>
    </row>
    <row r="65684" spans="3:3" x14ac:dyDescent="0.35">
      <c r="C65684" s="2"/>
    </row>
    <row r="65685" spans="3:3" x14ac:dyDescent="0.35">
      <c r="C65685" s="2"/>
    </row>
    <row r="65686" spans="3:3" x14ac:dyDescent="0.35">
      <c r="C65686" s="2"/>
    </row>
    <row r="65687" spans="3:3" x14ac:dyDescent="0.35">
      <c r="C65687" s="2"/>
    </row>
    <row r="65688" spans="3:3" x14ac:dyDescent="0.35">
      <c r="C65688" s="2"/>
    </row>
    <row r="65689" spans="3:3" x14ac:dyDescent="0.35">
      <c r="C65689" s="2"/>
    </row>
    <row r="65690" spans="3:3" x14ac:dyDescent="0.35">
      <c r="C65690" s="2"/>
    </row>
    <row r="65691" spans="3:3" x14ac:dyDescent="0.35">
      <c r="C65691" s="2"/>
    </row>
    <row r="65692" spans="3:3" x14ac:dyDescent="0.35">
      <c r="C65692" s="2"/>
    </row>
    <row r="65693" spans="3:3" x14ac:dyDescent="0.35">
      <c r="C65693" s="2"/>
    </row>
    <row r="65694" spans="3:3" x14ac:dyDescent="0.35">
      <c r="C65694" s="2"/>
    </row>
    <row r="65695" spans="3:3" x14ac:dyDescent="0.35">
      <c r="C65695" s="2"/>
    </row>
    <row r="65696" spans="3:3" x14ac:dyDescent="0.35">
      <c r="C65696" s="2"/>
    </row>
    <row r="65697" spans="3:3" x14ac:dyDescent="0.35">
      <c r="C65697" s="2"/>
    </row>
    <row r="65698" spans="3:3" x14ac:dyDescent="0.35">
      <c r="C65698" s="2"/>
    </row>
    <row r="65699" spans="3:3" x14ac:dyDescent="0.35">
      <c r="C65699" s="2"/>
    </row>
    <row r="65700" spans="3:3" x14ac:dyDescent="0.35">
      <c r="C65700" s="2"/>
    </row>
    <row r="65701" spans="3:3" x14ac:dyDescent="0.35">
      <c r="C65701" s="2"/>
    </row>
    <row r="65702" spans="3:3" x14ac:dyDescent="0.35">
      <c r="C65702" s="2"/>
    </row>
    <row r="65703" spans="3:3" x14ac:dyDescent="0.35">
      <c r="C65703" s="2"/>
    </row>
    <row r="65704" spans="3:3" x14ac:dyDescent="0.35">
      <c r="C65704" s="2"/>
    </row>
    <row r="65705" spans="3:3" x14ac:dyDescent="0.35">
      <c r="C65705" s="2"/>
    </row>
    <row r="65706" spans="3:3" x14ac:dyDescent="0.35">
      <c r="C65706" s="2"/>
    </row>
    <row r="65707" spans="3:3" x14ac:dyDescent="0.35">
      <c r="C65707" s="2"/>
    </row>
    <row r="65708" spans="3:3" x14ac:dyDescent="0.35">
      <c r="C65708" s="2"/>
    </row>
    <row r="65709" spans="3:3" x14ac:dyDescent="0.35">
      <c r="C65709" s="2"/>
    </row>
    <row r="65710" spans="3:3" x14ac:dyDescent="0.35">
      <c r="C65710" s="2"/>
    </row>
    <row r="65711" spans="3:3" x14ac:dyDescent="0.35">
      <c r="C65711" s="2"/>
    </row>
    <row r="65712" spans="3:3" x14ac:dyDescent="0.35">
      <c r="C65712" s="2"/>
    </row>
    <row r="65713" spans="3:3" x14ac:dyDescent="0.35">
      <c r="C65713" s="2"/>
    </row>
    <row r="65714" spans="3:3" x14ac:dyDescent="0.35">
      <c r="C65714" s="2"/>
    </row>
    <row r="65715" spans="3:3" x14ac:dyDescent="0.35">
      <c r="C65715" s="2"/>
    </row>
    <row r="65716" spans="3:3" x14ac:dyDescent="0.35">
      <c r="C65716" s="2"/>
    </row>
    <row r="65717" spans="3:3" x14ac:dyDescent="0.35">
      <c r="C65717" s="2"/>
    </row>
    <row r="65718" spans="3:3" x14ac:dyDescent="0.35">
      <c r="C65718" s="2"/>
    </row>
    <row r="65719" spans="3:3" x14ac:dyDescent="0.35">
      <c r="C65719" s="2"/>
    </row>
    <row r="65720" spans="3:3" x14ac:dyDescent="0.35">
      <c r="C65720" s="2"/>
    </row>
    <row r="65721" spans="3:3" x14ac:dyDescent="0.35">
      <c r="C65721" s="2"/>
    </row>
    <row r="65722" spans="3:3" x14ac:dyDescent="0.35">
      <c r="C65722" s="2"/>
    </row>
    <row r="65723" spans="3:3" x14ac:dyDescent="0.35">
      <c r="C65723" s="2"/>
    </row>
    <row r="65724" spans="3:3" x14ac:dyDescent="0.35">
      <c r="C65724" s="2"/>
    </row>
    <row r="65725" spans="3:3" x14ac:dyDescent="0.35">
      <c r="C65725" s="2"/>
    </row>
    <row r="65726" spans="3:3" x14ac:dyDescent="0.35">
      <c r="C65726" s="2"/>
    </row>
    <row r="65727" spans="3:3" x14ac:dyDescent="0.35">
      <c r="C65727" s="2"/>
    </row>
    <row r="65728" spans="3:3" x14ac:dyDescent="0.35">
      <c r="C65728" s="2"/>
    </row>
    <row r="65729" spans="3:3" x14ac:dyDescent="0.35">
      <c r="C65729" s="2"/>
    </row>
    <row r="65730" spans="3:3" x14ac:dyDescent="0.35">
      <c r="C65730" s="2"/>
    </row>
    <row r="65731" spans="3:3" x14ac:dyDescent="0.35">
      <c r="C65731" s="2"/>
    </row>
    <row r="65732" spans="3:3" x14ac:dyDescent="0.35">
      <c r="C65732" s="2"/>
    </row>
    <row r="65733" spans="3:3" x14ac:dyDescent="0.35">
      <c r="C65733" s="2"/>
    </row>
    <row r="65734" spans="3:3" x14ac:dyDescent="0.35">
      <c r="C65734" s="2"/>
    </row>
    <row r="65735" spans="3:3" x14ac:dyDescent="0.35">
      <c r="C65735" s="2"/>
    </row>
    <row r="65736" spans="3:3" x14ac:dyDescent="0.35">
      <c r="C65736" s="2"/>
    </row>
    <row r="65737" spans="3:3" x14ac:dyDescent="0.35">
      <c r="C65737" s="2"/>
    </row>
    <row r="65738" spans="3:3" x14ac:dyDescent="0.35">
      <c r="C65738" s="2"/>
    </row>
    <row r="65739" spans="3:3" x14ac:dyDescent="0.35">
      <c r="C65739" s="2"/>
    </row>
    <row r="65740" spans="3:3" x14ac:dyDescent="0.35">
      <c r="C65740" s="2"/>
    </row>
    <row r="65741" spans="3:3" x14ac:dyDescent="0.35">
      <c r="C65741" s="2"/>
    </row>
    <row r="65742" spans="3:3" x14ac:dyDescent="0.35">
      <c r="C65742" s="2"/>
    </row>
    <row r="65743" spans="3:3" x14ac:dyDescent="0.35">
      <c r="C65743" s="2"/>
    </row>
    <row r="65744" spans="3:3" x14ac:dyDescent="0.35">
      <c r="C65744" s="2"/>
    </row>
    <row r="65745" spans="3:3" x14ac:dyDescent="0.35">
      <c r="C65745" s="2"/>
    </row>
    <row r="65746" spans="3:3" x14ac:dyDescent="0.35">
      <c r="C65746" s="2"/>
    </row>
    <row r="65747" spans="3:3" x14ac:dyDescent="0.35">
      <c r="C65747" s="2"/>
    </row>
    <row r="65748" spans="3:3" x14ac:dyDescent="0.35">
      <c r="C65748" s="2"/>
    </row>
    <row r="65749" spans="3:3" x14ac:dyDescent="0.35">
      <c r="C65749" s="2"/>
    </row>
    <row r="65750" spans="3:3" x14ac:dyDescent="0.35">
      <c r="C65750" s="2"/>
    </row>
    <row r="65751" spans="3:3" x14ac:dyDescent="0.35">
      <c r="C65751" s="2"/>
    </row>
    <row r="65752" spans="3:3" x14ac:dyDescent="0.35">
      <c r="C65752" s="2"/>
    </row>
    <row r="65753" spans="3:3" x14ac:dyDescent="0.35">
      <c r="C65753" s="2"/>
    </row>
    <row r="65754" spans="3:3" x14ac:dyDescent="0.35">
      <c r="C65754" s="2"/>
    </row>
    <row r="65755" spans="3:3" x14ac:dyDescent="0.35">
      <c r="C65755" s="2"/>
    </row>
    <row r="65756" spans="3:3" x14ac:dyDescent="0.35">
      <c r="C65756" s="2"/>
    </row>
    <row r="65757" spans="3:3" x14ac:dyDescent="0.35">
      <c r="C65757" s="2"/>
    </row>
    <row r="65758" spans="3:3" x14ac:dyDescent="0.35">
      <c r="C65758" s="2"/>
    </row>
    <row r="65759" spans="3:3" x14ac:dyDescent="0.35">
      <c r="C65759" s="2"/>
    </row>
    <row r="65760" spans="3:3" x14ac:dyDescent="0.35">
      <c r="C65760" s="2"/>
    </row>
    <row r="65761" spans="3:3" x14ac:dyDescent="0.35">
      <c r="C65761" s="2"/>
    </row>
    <row r="65762" spans="3:3" x14ac:dyDescent="0.35">
      <c r="C65762" s="2"/>
    </row>
    <row r="65763" spans="3:3" x14ac:dyDescent="0.35">
      <c r="C65763" s="2"/>
    </row>
    <row r="65764" spans="3:3" x14ac:dyDescent="0.35">
      <c r="C65764" s="2"/>
    </row>
    <row r="65765" spans="3:3" x14ac:dyDescent="0.35">
      <c r="C65765" s="2"/>
    </row>
    <row r="65766" spans="3:3" x14ac:dyDescent="0.35">
      <c r="C65766" s="2"/>
    </row>
    <row r="65767" spans="3:3" x14ac:dyDescent="0.35">
      <c r="C65767" s="2"/>
    </row>
    <row r="65768" spans="3:3" x14ac:dyDescent="0.35">
      <c r="C65768" s="2"/>
    </row>
    <row r="65769" spans="3:3" x14ac:dyDescent="0.35">
      <c r="C65769" s="2"/>
    </row>
    <row r="65770" spans="3:3" x14ac:dyDescent="0.35">
      <c r="C65770" s="2"/>
    </row>
    <row r="65771" spans="3:3" x14ac:dyDescent="0.35">
      <c r="C65771" s="2"/>
    </row>
    <row r="65772" spans="3:3" x14ac:dyDescent="0.35">
      <c r="C65772" s="2"/>
    </row>
    <row r="65773" spans="3:3" x14ac:dyDescent="0.35">
      <c r="C65773" s="2"/>
    </row>
    <row r="65774" spans="3:3" x14ac:dyDescent="0.35">
      <c r="C65774" s="2"/>
    </row>
    <row r="65775" spans="3:3" x14ac:dyDescent="0.35">
      <c r="C65775" s="2"/>
    </row>
    <row r="65776" spans="3:3" x14ac:dyDescent="0.35">
      <c r="C65776" s="2"/>
    </row>
    <row r="65777" spans="3:3" x14ac:dyDescent="0.35">
      <c r="C65777" s="2"/>
    </row>
    <row r="65778" spans="3:3" x14ac:dyDescent="0.35">
      <c r="C65778" s="2"/>
    </row>
    <row r="65779" spans="3:3" x14ac:dyDescent="0.35">
      <c r="C65779" s="2"/>
    </row>
    <row r="65780" spans="3:3" x14ac:dyDescent="0.35">
      <c r="C65780" s="2"/>
    </row>
    <row r="65781" spans="3:3" x14ac:dyDescent="0.35">
      <c r="C65781" s="2"/>
    </row>
    <row r="65782" spans="3:3" x14ac:dyDescent="0.35">
      <c r="C65782" s="2"/>
    </row>
    <row r="65783" spans="3:3" x14ac:dyDescent="0.35">
      <c r="C65783" s="2"/>
    </row>
    <row r="65784" spans="3:3" x14ac:dyDescent="0.35">
      <c r="C65784" s="2"/>
    </row>
    <row r="65785" spans="3:3" x14ac:dyDescent="0.35">
      <c r="C65785" s="2"/>
    </row>
    <row r="65786" spans="3:3" x14ac:dyDescent="0.35">
      <c r="C65786" s="2"/>
    </row>
    <row r="65787" spans="3:3" x14ac:dyDescent="0.35">
      <c r="C65787" s="2"/>
    </row>
    <row r="65788" spans="3:3" x14ac:dyDescent="0.35">
      <c r="C65788" s="2"/>
    </row>
    <row r="65789" spans="3:3" x14ac:dyDescent="0.35">
      <c r="C65789" s="2"/>
    </row>
    <row r="65790" spans="3:3" x14ac:dyDescent="0.35">
      <c r="C65790" s="2"/>
    </row>
    <row r="65791" spans="3:3" x14ac:dyDescent="0.35">
      <c r="C65791" s="2"/>
    </row>
    <row r="65792" spans="3:3" x14ac:dyDescent="0.35">
      <c r="C65792" s="2"/>
    </row>
    <row r="65793" spans="3:3" x14ac:dyDescent="0.35">
      <c r="C65793" s="2"/>
    </row>
    <row r="65794" spans="3:3" x14ac:dyDescent="0.35">
      <c r="C65794" s="2"/>
    </row>
    <row r="65795" spans="3:3" x14ac:dyDescent="0.35">
      <c r="C65795" s="2"/>
    </row>
    <row r="65796" spans="3:3" x14ac:dyDescent="0.35">
      <c r="C65796" s="2"/>
    </row>
    <row r="65797" spans="3:3" x14ac:dyDescent="0.35">
      <c r="C65797" s="2"/>
    </row>
    <row r="65798" spans="3:3" x14ac:dyDescent="0.35">
      <c r="C65798" s="2"/>
    </row>
    <row r="65799" spans="3:3" x14ac:dyDescent="0.35">
      <c r="C65799" s="2"/>
    </row>
    <row r="65800" spans="3:3" x14ac:dyDescent="0.35">
      <c r="C65800" s="2"/>
    </row>
    <row r="65801" spans="3:3" x14ac:dyDescent="0.35">
      <c r="C65801" s="2"/>
    </row>
    <row r="65802" spans="3:3" x14ac:dyDescent="0.35">
      <c r="C65802" s="2"/>
    </row>
    <row r="65803" spans="3:3" x14ac:dyDescent="0.35">
      <c r="C65803" s="2"/>
    </row>
    <row r="65804" spans="3:3" x14ac:dyDescent="0.35">
      <c r="C65804" s="2"/>
    </row>
    <row r="65805" spans="3:3" x14ac:dyDescent="0.35">
      <c r="C65805" s="2"/>
    </row>
    <row r="65806" spans="3:3" x14ac:dyDescent="0.35">
      <c r="C65806" s="2"/>
    </row>
    <row r="65807" spans="3:3" x14ac:dyDescent="0.35">
      <c r="C65807" s="2"/>
    </row>
    <row r="65808" spans="3:3" x14ac:dyDescent="0.35">
      <c r="C65808" s="2"/>
    </row>
    <row r="65809" spans="3:3" x14ac:dyDescent="0.35">
      <c r="C65809" s="2"/>
    </row>
    <row r="65810" spans="3:3" x14ac:dyDescent="0.35">
      <c r="C65810" s="2"/>
    </row>
    <row r="65811" spans="3:3" x14ac:dyDescent="0.35">
      <c r="C65811" s="2"/>
    </row>
    <row r="65812" spans="3:3" x14ac:dyDescent="0.35">
      <c r="C65812" s="2"/>
    </row>
    <row r="65813" spans="3:3" x14ac:dyDescent="0.35">
      <c r="C65813" s="2"/>
    </row>
    <row r="65814" spans="3:3" x14ac:dyDescent="0.35">
      <c r="C65814" s="2"/>
    </row>
    <row r="65815" spans="3:3" x14ac:dyDescent="0.35">
      <c r="C65815" s="2"/>
    </row>
    <row r="65816" spans="3:3" x14ac:dyDescent="0.35">
      <c r="C65816" s="2"/>
    </row>
    <row r="65817" spans="3:3" x14ac:dyDescent="0.35">
      <c r="C65817" s="2"/>
    </row>
    <row r="65818" spans="3:3" x14ac:dyDescent="0.35">
      <c r="C65818" s="2"/>
    </row>
    <row r="65819" spans="3:3" x14ac:dyDescent="0.35">
      <c r="C65819" s="2"/>
    </row>
    <row r="65820" spans="3:3" x14ac:dyDescent="0.35">
      <c r="C65820" s="2"/>
    </row>
    <row r="65821" spans="3:3" x14ac:dyDescent="0.35">
      <c r="C65821" s="2"/>
    </row>
    <row r="65822" spans="3:3" x14ac:dyDescent="0.35">
      <c r="C65822" s="2"/>
    </row>
    <row r="65823" spans="3:3" x14ac:dyDescent="0.35">
      <c r="C65823" s="2"/>
    </row>
    <row r="65824" spans="3:3" x14ac:dyDescent="0.35">
      <c r="C65824" s="2"/>
    </row>
    <row r="65825" spans="3:3" x14ac:dyDescent="0.35">
      <c r="C65825" s="2"/>
    </row>
    <row r="65826" spans="3:3" x14ac:dyDescent="0.35">
      <c r="C65826" s="2"/>
    </row>
    <row r="65827" spans="3:3" x14ac:dyDescent="0.35">
      <c r="C65827" s="2"/>
    </row>
    <row r="65828" spans="3:3" x14ac:dyDescent="0.35">
      <c r="C65828" s="2"/>
    </row>
    <row r="65829" spans="3:3" x14ac:dyDescent="0.35">
      <c r="C65829" s="2"/>
    </row>
    <row r="65830" spans="3:3" x14ac:dyDescent="0.35">
      <c r="C65830" s="2"/>
    </row>
    <row r="65831" spans="3:3" x14ac:dyDescent="0.35">
      <c r="C65831" s="2"/>
    </row>
    <row r="65832" spans="3:3" x14ac:dyDescent="0.35">
      <c r="C65832" s="2"/>
    </row>
    <row r="65833" spans="3:3" x14ac:dyDescent="0.35">
      <c r="C65833" s="2"/>
    </row>
    <row r="65834" spans="3:3" x14ac:dyDescent="0.35">
      <c r="C65834" s="2"/>
    </row>
    <row r="65835" spans="3:3" x14ac:dyDescent="0.35">
      <c r="C65835" s="2"/>
    </row>
    <row r="65836" spans="3:3" x14ac:dyDescent="0.35">
      <c r="C65836" s="2"/>
    </row>
    <row r="65837" spans="3:3" x14ac:dyDescent="0.35">
      <c r="C65837" s="2"/>
    </row>
    <row r="65838" spans="3:3" x14ac:dyDescent="0.35">
      <c r="C65838" s="2"/>
    </row>
    <row r="65839" spans="3:3" x14ac:dyDescent="0.35">
      <c r="C65839" s="2"/>
    </row>
    <row r="65840" spans="3:3" x14ac:dyDescent="0.35">
      <c r="C65840" s="2"/>
    </row>
    <row r="65841" spans="3:3" x14ac:dyDescent="0.35">
      <c r="C65841" s="2"/>
    </row>
    <row r="65842" spans="3:3" x14ac:dyDescent="0.35">
      <c r="C65842" s="2"/>
    </row>
    <row r="65843" spans="3:3" x14ac:dyDescent="0.35">
      <c r="C65843" s="2"/>
    </row>
    <row r="65844" spans="3:3" x14ac:dyDescent="0.35">
      <c r="C65844" s="2"/>
    </row>
    <row r="65845" spans="3:3" x14ac:dyDescent="0.35">
      <c r="C65845" s="2"/>
    </row>
    <row r="65846" spans="3:3" x14ac:dyDescent="0.35">
      <c r="C65846" s="2"/>
    </row>
    <row r="65847" spans="3:3" x14ac:dyDescent="0.35">
      <c r="C65847" s="2"/>
    </row>
    <row r="65848" spans="3:3" x14ac:dyDescent="0.35">
      <c r="C65848" s="2"/>
    </row>
    <row r="65849" spans="3:3" x14ac:dyDescent="0.35">
      <c r="C65849" s="2"/>
    </row>
    <row r="65850" spans="3:3" x14ac:dyDescent="0.35">
      <c r="C65850" s="2"/>
    </row>
    <row r="65851" spans="3:3" x14ac:dyDescent="0.35">
      <c r="C65851" s="2"/>
    </row>
    <row r="65852" spans="3:3" x14ac:dyDescent="0.35">
      <c r="C65852" s="2"/>
    </row>
    <row r="65853" spans="3:3" x14ac:dyDescent="0.35">
      <c r="C65853" s="2"/>
    </row>
    <row r="65854" spans="3:3" x14ac:dyDescent="0.35">
      <c r="C65854" s="2"/>
    </row>
    <row r="65855" spans="3:3" x14ac:dyDescent="0.35">
      <c r="C65855" s="2"/>
    </row>
    <row r="65856" spans="3:3" x14ac:dyDescent="0.35">
      <c r="C65856" s="2"/>
    </row>
    <row r="65857" spans="3:3" x14ac:dyDescent="0.35">
      <c r="C65857" s="2"/>
    </row>
    <row r="65858" spans="3:3" x14ac:dyDescent="0.35">
      <c r="C65858" s="2"/>
    </row>
    <row r="65859" spans="3:3" x14ac:dyDescent="0.35">
      <c r="C65859" s="2"/>
    </row>
    <row r="65860" spans="3:3" x14ac:dyDescent="0.35">
      <c r="C65860" s="2"/>
    </row>
    <row r="65861" spans="3:3" x14ac:dyDescent="0.35">
      <c r="C65861" s="2"/>
    </row>
    <row r="65862" spans="3:3" x14ac:dyDescent="0.35">
      <c r="C65862" s="2"/>
    </row>
    <row r="65863" spans="3:3" x14ac:dyDescent="0.35">
      <c r="C65863" s="2"/>
    </row>
    <row r="65864" spans="3:3" x14ac:dyDescent="0.35">
      <c r="C65864" s="2"/>
    </row>
    <row r="65865" spans="3:3" x14ac:dyDescent="0.35">
      <c r="C65865" s="2"/>
    </row>
    <row r="65866" spans="3:3" x14ac:dyDescent="0.35">
      <c r="C65866" s="2"/>
    </row>
    <row r="65867" spans="3:3" x14ac:dyDescent="0.35">
      <c r="C65867" s="2"/>
    </row>
    <row r="65868" spans="3:3" x14ac:dyDescent="0.35">
      <c r="C65868" s="2"/>
    </row>
    <row r="65869" spans="3:3" x14ac:dyDescent="0.35">
      <c r="C65869" s="2"/>
    </row>
    <row r="65870" spans="3:3" x14ac:dyDescent="0.35">
      <c r="C65870" s="2"/>
    </row>
    <row r="65871" spans="3:3" x14ac:dyDescent="0.35">
      <c r="C65871" s="2"/>
    </row>
    <row r="65872" spans="3:3" x14ac:dyDescent="0.35">
      <c r="C65872" s="2"/>
    </row>
    <row r="65873" spans="3:3" x14ac:dyDescent="0.35">
      <c r="C65873" s="2"/>
    </row>
    <row r="65874" spans="3:3" x14ac:dyDescent="0.35">
      <c r="C65874" s="2"/>
    </row>
    <row r="65875" spans="3:3" x14ac:dyDescent="0.35">
      <c r="C65875" s="2"/>
    </row>
    <row r="65876" spans="3:3" x14ac:dyDescent="0.35">
      <c r="C65876" s="2"/>
    </row>
    <row r="65877" spans="3:3" x14ac:dyDescent="0.35">
      <c r="C65877" s="2"/>
    </row>
    <row r="65878" spans="3:3" x14ac:dyDescent="0.35">
      <c r="C65878" s="2"/>
    </row>
    <row r="65879" spans="3:3" x14ac:dyDescent="0.35">
      <c r="C65879" s="2"/>
    </row>
    <row r="65880" spans="3:3" x14ac:dyDescent="0.35">
      <c r="C65880" s="2"/>
    </row>
    <row r="65881" spans="3:3" x14ac:dyDescent="0.35">
      <c r="C65881" s="2"/>
    </row>
    <row r="65882" spans="3:3" x14ac:dyDescent="0.35">
      <c r="C65882" s="2"/>
    </row>
    <row r="65883" spans="3:3" x14ac:dyDescent="0.35">
      <c r="C65883" s="2"/>
    </row>
    <row r="65884" spans="3:3" x14ac:dyDescent="0.35">
      <c r="C65884" s="2"/>
    </row>
    <row r="65885" spans="3:3" x14ac:dyDescent="0.35">
      <c r="C65885" s="2"/>
    </row>
    <row r="65886" spans="3:3" x14ac:dyDescent="0.35">
      <c r="C65886" s="2"/>
    </row>
    <row r="65887" spans="3:3" x14ac:dyDescent="0.35">
      <c r="C65887" s="2"/>
    </row>
    <row r="65888" spans="3:3" x14ac:dyDescent="0.35">
      <c r="C65888" s="2"/>
    </row>
    <row r="65889" spans="3:3" x14ac:dyDescent="0.35">
      <c r="C65889" s="2"/>
    </row>
    <row r="65890" spans="3:3" x14ac:dyDescent="0.35">
      <c r="C65890" s="2"/>
    </row>
    <row r="65891" spans="3:3" x14ac:dyDescent="0.35">
      <c r="C65891" s="2"/>
    </row>
    <row r="65892" spans="3:3" x14ac:dyDescent="0.35">
      <c r="C65892" s="2"/>
    </row>
    <row r="65893" spans="3:3" x14ac:dyDescent="0.35">
      <c r="C65893" s="2"/>
    </row>
    <row r="65894" spans="3:3" x14ac:dyDescent="0.35">
      <c r="C65894" s="2"/>
    </row>
    <row r="65895" spans="3:3" x14ac:dyDescent="0.35">
      <c r="C65895" s="2"/>
    </row>
    <row r="65896" spans="3:3" x14ac:dyDescent="0.35">
      <c r="C65896" s="2"/>
    </row>
    <row r="65897" spans="3:3" x14ac:dyDescent="0.35">
      <c r="C65897" s="2"/>
    </row>
    <row r="65898" spans="3:3" x14ac:dyDescent="0.35">
      <c r="C65898" s="2"/>
    </row>
    <row r="65899" spans="3:3" x14ac:dyDescent="0.35">
      <c r="C65899" s="2"/>
    </row>
    <row r="65900" spans="3:3" x14ac:dyDescent="0.35">
      <c r="C65900" s="2"/>
    </row>
    <row r="65901" spans="3:3" x14ac:dyDescent="0.35">
      <c r="C65901" s="2"/>
    </row>
    <row r="65902" spans="3:3" x14ac:dyDescent="0.35">
      <c r="C65902" s="2"/>
    </row>
    <row r="65903" spans="3:3" x14ac:dyDescent="0.35">
      <c r="C65903" s="2"/>
    </row>
    <row r="65904" spans="3:3" x14ac:dyDescent="0.35">
      <c r="C65904" s="2"/>
    </row>
    <row r="65905" spans="3:3" x14ac:dyDescent="0.35">
      <c r="C65905" s="2"/>
    </row>
    <row r="65906" spans="3:3" x14ac:dyDescent="0.35">
      <c r="C65906" s="2"/>
    </row>
    <row r="65907" spans="3:3" x14ac:dyDescent="0.35">
      <c r="C65907" s="2"/>
    </row>
    <row r="65908" spans="3:3" x14ac:dyDescent="0.35">
      <c r="C65908" s="2"/>
    </row>
    <row r="65909" spans="3:3" x14ac:dyDescent="0.35">
      <c r="C65909" s="2"/>
    </row>
    <row r="65910" spans="3:3" x14ac:dyDescent="0.35">
      <c r="C65910" s="2"/>
    </row>
    <row r="65911" spans="3:3" x14ac:dyDescent="0.35">
      <c r="C65911" s="2"/>
    </row>
    <row r="65912" spans="3:3" x14ac:dyDescent="0.35">
      <c r="C65912" s="2"/>
    </row>
    <row r="65913" spans="3:3" x14ac:dyDescent="0.35">
      <c r="C65913" s="2"/>
    </row>
    <row r="65914" spans="3:3" x14ac:dyDescent="0.35">
      <c r="C65914" s="2"/>
    </row>
    <row r="65915" spans="3:3" x14ac:dyDescent="0.35">
      <c r="C65915" s="2"/>
    </row>
    <row r="65916" spans="3:3" x14ac:dyDescent="0.35">
      <c r="C65916" s="2"/>
    </row>
    <row r="65917" spans="3:3" x14ac:dyDescent="0.35">
      <c r="C65917" s="2"/>
    </row>
    <row r="65918" spans="3:3" x14ac:dyDescent="0.35">
      <c r="C65918" s="2"/>
    </row>
    <row r="65919" spans="3:3" x14ac:dyDescent="0.35">
      <c r="C65919" s="2"/>
    </row>
    <row r="65920" spans="3:3" x14ac:dyDescent="0.35">
      <c r="C65920" s="2"/>
    </row>
    <row r="65921" spans="3:3" x14ac:dyDescent="0.35">
      <c r="C65921" s="2"/>
    </row>
    <row r="65922" spans="3:3" x14ac:dyDescent="0.35">
      <c r="C65922" s="2"/>
    </row>
    <row r="65923" spans="3:3" x14ac:dyDescent="0.35">
      <c r="C65923" s="2"/>
    </row>
    <row r="65924" spans="3:3" x14ac:dyDescent="0.35">
      <c r="C65924" s="2"/>
    </row>
    <row r="65925" spans="3:3" x14ac:dyDescent="0.35">
      <c r="C65925" s="2"/>
    </row>
    <row r="65926" spans="3:3" x14ac:dyDescent="0.35">
      <c r="C65926" s="2"/>
    </row>
    <row r="65927" spans="3:3" x14ac:dyDescent="0.35">
      <c r="C65927" s="2"/>
    </row>
    <row r="65928" spans="3:3" x14ac:dyDescent="0.35">
      <c r="C65928" s="2"/>
    </row>
    <row r="65929" spans="3:3" x14ac:dyDescent="0.35">
      <c r="C65929" s="2"/>
    </row>
    <row r="65930" spans="3:3" x14ac:dyDescent="0.35">
      <c r="C65930" s="2"/>
    </row>
    <row r="65931" spans="3:3" x14ac:dyDescent="0.35">
      <c r="C65931" s="2"/>
    </row>
    <row r="65932" spans="3:3" x14ac:dyDescent="0.35">
      <c r="C65932" s="2"/>
    </row>
    <row r="65933" spans="3:3" x14ac:dyDescent="0.35">
      <c r="C65933" s="2"/>
    </row>
    <row r="65934" spans="3:3" x14ac:dyDescent="0.35">
      <c r="C65934" s="2"/>
    </row>
    <row r="65935" spans="3:3" x14ac:dyDescent="0.35">
      <c r="C65935" s="2"/>
    </row>
    <row r="65936" spans="3:3" x14ac:dyDescent="0.35">
      <c r="C65936" s="2"/>
    </row>
    <row r="65937" spans="3:3" x14ac:dyDescent="0.35">
      <c r="C65937" s="2"/>
    </row>
    <row r="65938" spans="3:3" x14ac:dyDescent="0.35">
      <c r="C65938" s="2"/>
    </row>
    <row r="65939" spans="3:3" x14ac:dyDescent="0.35">
      <c r="C65939" s="2"/>
    </row>
    <row r="65940" spans="3:3" x14ac:dyDescent="0.35">
      <c r="C65940" s="2"/>
    </row>
    <row r="65941" spans="3:3" x14ac:dyDescent="0.35">
      <c r="C65941" s="2"/>
    </row>
    <row r="65942" spans="3:3" x14ac:dyDescent="0.35">
      <c r="C65942" s="2"/>
    </row>
    <row r="65943" spans="3:3" x14ac:dyDescent="0.35">
      <c r="C65943" s="2"/>
    </row>
    <row r="65944" spans="3:3" x14ac:dyDescent="0.35">
      <c r="C65944" s="2"/>
    </row>
    <row r="65945" spans="3:3" x14ac:dyDescent="0.35">
      <c r="C65945" s="2"/>
    </row>
    <row r="65946" spans="3:3" x14ac:dyDescent="0.35">
      <c r="C65946" s="2"/>
    </row>
    <row r="65947" spans="3:3" x14ac:dyDescent="0.35">
      <c r="C65947" s="2"/>
    </row>
    <row r="65948" spans="3:3" x14ac:dyDescent="0.35">
      <c r="C65948" s="2"/>
    </row>
    <row r="65949" spans="3:3" x14ac:dyDescent="0.35">
      <c r="C65949" s="2"/>
    </row>
    <row r="65950" spans="3:3" x14ac:dyDescent="0.35">
      <c r="C65950" s="2"/>
    </row>
    <row r="65951" spans="3:3" x14ac:dyDescent="0.35">
      <c r="C65951" s="2"/>
    </row>
    <row r="65952" spans="3:3" x14ac:dyDescent="0.35">
      <c r="C65952" s="2"/>
    </row>
    <row r="65953" spans="3:3" x14ac:dyDescent="0.35">
      <c r="C65953" s="2"/>
    </row>
    <row r="65954" spans="3:3" x14ac:dyDescent="0.35">
      <c r="C65954" s="2"/>
    </row>
    <row r="65955" spans="3:3" x14ac:dyDescent="0.35">
      <c r="C65955" s="2"/>
    </row>
    <row r="65956" spans="3:3" x14ac:dyDescent="0.35">
      <c r="C65956" s="2"/>
    </row>
    <row r="65957" spans="3:3" x14ac:dyDescent="0.35">
      <c r="C65957" s="2"/>
    </row>
    <row r="65958" spans="3:3" x14ac:dyDescent="0.35">
      <c r="C65958" s="2"/>
    </row>
    <row r="65959" spans="3:3" x14ac:dyDescent="0.35">
      <c r="C65959" s="2"/>
    </row>
    <row r="65960" spans="3:3" x14ac:dyDescent="0.35">
      <c r="C65960" s="2"/>
    </row>
    <row r="65961" spans="3:3" x14ac:dyDescent="0.35">
      <c r="C65961" s="2"/>
    </row>
    <row r="65962" spans="3:3" x14ac:dyDescent="0.35">
      <c r="C65962" s="2"/>
    </row>
    <row r="65963" spans="3:3" x14ac:dyDescent="0.35">
      <c r="C65963" s="2"/>
    </row>
    <row r="65964" spans="3:3" x14ac:dyDescent="0.35">
      <c r="C65964" s="2"/>
    </row>
    <row r="65965" spans="3:3" x14ac:dyDescent="0.35">
      <c r="C65965" s="2"/>
    </row>
    <row r="65966" spans="3:3" x14ac:dyDescent="0.35">
      <c r="C65966" s="2"/>
    </row>
    <row r="65967" spans="3:3" x14ac:dyDescent="0.35">
      <c r="C65967" s="2"/>
    </row>
    <row r="65968" spans="3:3" x14ac:dyDescent="0.35">
      <c r="C65968" s="2"/>
    </row>
    <row r="65969" spans="3:3" x14ac:dyDescent="0.35">
      <c r="C65969" s="2"/>
    </row>
    <row r="65970" spans="3:3" x14ac:dyDescent="0.35">
      <c r="C65970" s="2"/>
    </row>
    <row r="65971" spans="3:3" x14ac:dyDescent="0.35">
      <c r="C65971" s="2"/>
    </row>
    <row r="65972" spans="3:3" x14ac:dyDescent="0.35">
      <c r="C65972" s="2"/>
    </row>
    <row r="65973" spans="3:3" x14ac:dyDescent="0.35">
      <c r="C65973" s="2"/>
    </row>
    <row r="65974" spans="3:3" x14ac:dyDescent="0.35">
      <c r="C65974" s="2"/>
    </row>
    <row r="65975" spans="3:3" x14ac:dyDescent="0.35">
      <c r="C65975" s="2"/>
    </row>
    <row r="65976" spans="3:3" x14ac:dyDescent="0.35">
      <c r="C65976" s="2"/>
    </row>
    <row r="65977" spans="3:3" x14ac:dyDescent="0.35">
      <c r="C65977" s="2"/>
    </row>
    <row r="65978" spans="3:3" x14ac:dyDescent="0.35">
      <c r="C65978" s="2"/>
    </row>
    <row r="65979" spans="3:3" x14ac:dyDescent="0.35">
      <c r="C65979" s="2"/>
    </row>
    <row r="65980" spans="3:3" x14ac:dyDescent="0.35">
      <c r="C65980" s="2"/>
    </row>
    <row r="65981" spans="3:3" x14ac:dyDescent="0.35">
      <c r="C65981" s="2"/>
    </row>
    <row r="65982" spans="3:3" x14ac:dyDescent="0.35">
      <c r="C65982" s="2"/>
    </row>
    <row r="65983" spans="3:3" x14ac:dyDescent="0.35">
      <c r="C65983" s="2"/>
    </row>
    <row r="65984" spans="3:3" x14ac:dyDescent="0.35">
      <c r="C65984" s="2"/>
    </row>
    <row r="65985" spans="3:3" x14ac:dyDescent="0.35">
      <c r="C65985" s="2"/>
    </row>
    <row r="65986" spans="3:3" x14ac:dyDescent="0.35">
      <c r="C65986" s="2"/>
    </row>
    <row r="65987" spans="3:3" x14ac:dyDescent="0.35">
      <c r="C65987" s="2"/>
    </row>
    <row r="65988" spans="3:3" x14ac:dyDescent="0.35">
      <c r="C65988" s="2"/>
    </row>
    <row r="65989" spans="3:3" x14ac:dyDescent="0.35">
      <c r="C65989" s="2"/>
    </row>
    <row r="65990" spans="3:3" x14ac:dyDescent="0.35">
      <c r="C65990" s="2"/>
    </row>
    <row r="65991" spans="3:3" x14ac:dyDescent="0.35">
      <c r="C65991" s="2"/>
    </row>
    <row r="65992" spans="3:3" x14ac:dyDescent="0.35">
      <c r="C65992" s="2"/>
    </row>
    <row r="65993" spans="3:3" x14ac:dyDescent="0.35">
      <c r="C65993" s="2"/>
    </row>
    <row r="65994" spans="3:3" x14ac:dyDescent="0.35">
      <c r="C65994" s="2"/>
    </row>
    <row r="65995" spans="3:3" x14ac:dyDescent="0.35">
      <c r="C65995" s="2"/>
    </row>
    <row r="65996" spans="3:3" x14ac:dyDescent="0.35">
      <c r="C65996" s="2"/>
    </row>
    <row r="65997" spans="3:3" x14ac:dyDescent="0.35">
      <c r="C65997" s="2"/>
    </row>
    <row r="65998" spans="3:3" x14ac:dyDescent="0.35">
      <c r="C65998" s="2"/>
    </row>
    <row r="65999" spans="3:3" x14ac:dyDescent="0.35">
      <c r="C65999" s="2"/>
    </row>
    <row r="66000" spans="3:3" x14ac:dyDescent="0.35">
      <c r="C66000" s="2"/>
    </row>
    <row r="66001" spans="3:3" x14ac:dyDescent="0.35">
      <c r="C66001" s="2"/>
    </row>
    <row r="66002" spans="3:3" x14ac:dyDescent="0.35">
      <c r="C66002" s="2"/>
    </row>
    <row r="66003" spans="3:3" x14ac:dyDescent="0.35">
      <c r="C66003" s="2"/>
    </row>
    <row r="66004" spans="3:3" x14ac:dyDescent="0.35">
      <c r="C66004" s="2"/>
    </row>
    <row r="66005" spans="3:3" x14ac:dyDescent="0.35">
      <c r="C66005" s="2"/>
    </row>
    <row r="66006" spans="3:3" x14ac:dyDescent="0.35">
      <c r="C66006" s="2"/>
    </row>
    <row r="66007" spans="3:3" x14ac:dyDescent="0.35">
      <c r="C66007" s="2"/>
    </row>
    <row r="66008" spans="3:3" x14ac:dyDescent="0.35">
      <c r="C66008" s="2"/>
    </row>
    <row r="66009" spans="3:3" x14ac:dyDescent="0.35">
      <c r="C66009" s="2"/>
    </row>
    <row r="66010" spans="3:3" x14ac:dyDescent="0.35">
      <c r="C66010" s="2"/>
    </row>
    <row r="66011" spans="3:3" x14ac:dyDescent="0.35">
      <c r="C66011" s="2"/>
    </row>
    <row r="66012" spans="3:3" x14ac:dyDescent="0.35">
      <c r="C66012" s="2"/>
    </row>
    <row r="66013" spans="3:3" x14ac:dyDescent="0.35">
      <c r="C66013" s="2"/>
    </row>
    <row r="66014" spans="3:3" x14ac:dyDescent="0.35">
      <c r="C66014" s="2"/>
    </row>
    <row r="66015" spans="3:3" x14ac:dyDescent="0.35">
      <c r="C66015" s="2"/>
    </row>
    <row r="66016" spans="3:3" x14ac:dyDescent="0.35">
      <c r="C66016" s="2"/>
    </row>
    <row r="66017" spans="3:3" x14ac:dyDescent="0.35">
      <c r="C66017" s="2"/>
    </row>
    <row r="66018" spans="3:3" x14ac:dyDescent="0.35">
      <c r="C66018" s="2"/>
    </row>
    <row r="66019" spans="3:3" x14ac:dyDescent="0.35">
      <c r="C66019" s="2"/>
    </row>
    <row r="66020" spans="3:3" x14ac:dyDescent="0.35">
      <c r="C66020" s="2"/>
    </row>
    <row r="66021" spans="3:3" x14ac:dyDescent="0.35">
      <c r="C66021" s="2"/>
    </row>
    <row r="66022" spans="3:3" x14ac:dyDescent="0.35">
      <c r="C66022" s="2"/>
    </row>
    <row r="66023" spans="3:3" x14ac:dyDescent="0.35">
      <c r="C66023" s="2"/>
    </row>
    <row r="66024" spans="3:3" x14ac:dyDescent="0.35">
      <c r="C66024" s="2"/>
    </row>
    <row r="66025" spans="3:3" x14ac:dyDescent="0.35">
      <c r="C66025" s="2"/>
    </row>
    <row r="66026" spans="3:3" x14ac:dyDescent="0.35">
      <c r="C66026" s="2"/>
    </row>
    <row r="66027" spans="3:3" x14ac:dyDescent="0.35">
      <c r="C66027" s="2"/>
    </row>
    <row r="66028" spans="3:3" x14ac:dyDescent="0.35">
      <c r="C66028" s="2"/>
    </row>
    <row r="66029" spans="3:3" x14ac:dyDescent="0.35">
      <c r="C66029" s="2"/>
    </row>
    <row r="66030" spans="3:3" x14ac:dyDescent="0.35">
      <c r="C66030" s="2"/>
    </row>
    <row r="66031" spans="3:3" x14ac:dyDescent="0.35">
      <c r="C66031" s="2"/>
    </row>
    <row r="66032" spans="3:3" x14ac:dyDescent="0.35">
      <c r="C66032" s="2"/>
    </row>
    <row r="66033" spans="3:3" x14ac:dyDescent="0.35">
      <c r="C66033" s="2"/>
    </row>
    <row r="66034" spans="3:3" x14ac:dyDescent="0.35">
      <c r="C66034" s="2"/>
    </row>
    <row r="66035" spans="3:3" x14ac:dyDescent="0.35">
      <c r="C66035" s="2"/>
    </row>
    <row r="66036" spans="3:3" x14ac:dyDescent="0.35">
      <c r="C66036" s="2"/>
    </row>
    <row r="66037" spans="3:3" x14ac:dyDescent="0.35">
      <c r="C66037" s="2"/>
    </row>
    <row r="66038" spans="3:3" x14ac:dyDescent="0.35">
      <c r="C66038" s="2"/>
    </row>
    <row r="66039" spans="3:3" x14ac:dyDescent="0.35">
      <c r="C66039" s="2"/>
    </row>
    <row r="66040" spans="3:3" x14ac:dyDescent="0.35">
      <c r="C66040" s="2"/>
    </row>
    <row r="66041" spans="3:3" x14ac:dyDescent="0.35">
      <c r="C66041" s="2"/>
    </row>
    <row r="66042" spans="3:3" x14ac:dyDescent="0.35">
      <c r="C66042" s="2"/>
    </row>
    <row r="66043" spans="3:3" x14ac:dyDescent="0.35">
      <c r="C66043" s="2"/>
    </row>
    <row r="66044" spans="3:3" x14ac:dyDescent="0.35">
      <c r="C66044" s="2"/>
    </row>
    <row r="66045" spans="3:3" x14ac:dyDescent="0.35">
      <c r="C66045" s="2"/>
    </row>
    <row r="66046" spans="3:3" x14ac:dyDescent="0.35">
      <c r="C66046" s="2"/>
    </row>
    <row r="66047" spans="3:3" x14ac:dyDescent="0.35">
      <c r="C66047" s="2"/>
    </row>
    <row r="66048" spans="3:3" x14ac:dyDescent="0.35">
      <c r="C66048" s="2"/>
    </row>
    <row r="66049" spans="3:3" x14ac:dyDescent="0.35">
      <c r="C66049" s="2"/>
    </row>
    <row r="66050" spans="3:3" x14ac:dyDescent="0.35">
      <c r="C66050" s="2"/>
    </row>
    <row r="66051" spans="3:3" x14ac:dyDescent="0.35">
      <c r="C66051" s="2"/>
    </row>
    <row r="66052" spans="3:3" x14ac:dyDescent="0.35">
      <c r="C66052" s="2"/>
    </row>
    <row r="66053" spans="3:3" x14ac:dyDescent="0.35">
      <c r="C66053" s="2"/>
    </row>
    <row r="66054" spans="3:3" x14ac:dyDescent="0.35">
      <c r="C66054" s="2"/>
    </row>
    <row r="66055" spans="3:3" x14ac:dyDescent="0.35">
      <c r="C66055" s="2"/>
    </row>
    <row r="66056" spans="3:3" x14ac:dyDescent="0.35">
      <c r="C66056" s="2"/>
    </row>
    <row r="66057" spans="3:3" x14ac:dyDescent="0.35">
      <c r="C66057" s="2"/>
    </row>
    <row r="66058" spans="3:3" x14ac:dyDescent="0.35">
      <c r="C66058" s="2"/>
    </row>
    <row r="66059" spans="3:3" x14ac:dyDescent="0.35">
      <c r="C66059" s="2"/>
    </row>
    <row r="66060" spans="3:3" x14ac:dyDescent="0.35">
      <c r="C66060" s="2"/>
    </row>
    <row r="66061" spans="3:3" x14ac:dyDescent="0.35">
      <c r="C66061" s="2"/>
    </row>
    <row r="66062" spans="3:3" x14ac:dyDescent="0.35">
      <c r="C66062" s="2"/>
    </row>
    <row r="66063" spans="3:3" x14ac:dyDescent="0.35">
      <c r="C66063" s="2"/>
    </row>
    <row r="66064" spans="3:3" x14ac:dyDescent="0.35">
      <c r="C66064" s="2"/>
    </row>
    <row r="66065" spans="3:3" x14ac:dyDescent="0.35">
      <c r="C66065" s="2"/>
    </row>
    <row r="66066" spans="3:3" x14ac:dyDescent="0.35">
      <c r="C66066" s="2"/>
    </row>
    <row r="66067" spans="3:3" x14ac:dyDescent="0.35">
      <c r="C66067" s="2"/>
    </row>
    <row r="66068" spans="3:3" x14ac:dyDescent="0.35">
      <c r="C66068" s="2"/>
    </row>
    <row r="66069" spans="3:3" x14ac:dyDescent="0.35">
      <c r="C66069" s="2"/>
    </row>
    <row r="66070" spans="3:3" x14ac:dyDescent="0.35">
      <c r="C66070" s="2"/>
    </row>
    <row r="66071" spans="3:3" x14ac:dyDescent="0.35">
      <c r="C66071" s="2"/>
    </row>
    <row r="66072" spans="3:3" x14ac:dyDescent="0.35">
      <c r="C66072" s="2"/>
    </row>
    <row r="66073" spans="3:3" x14ac:dyDescent="0.35">
      <c r="C66073" s="2"/>
    </row>
    <row r="66074" spans="3:3" x14ac:dyDescent="0.35">
      <c r="C66074" s="2"/>
    </row>
    <row r="66075" spans="3:3" x14ac:dyDescent="0.35">
      <c r="C66075" s="2"/>
    </row>
    <row r="66076" spans="3:3" x14ac:dyDescent="0.35">
      <c r="C66076" s="2"/>
    </row>
    <row r="66077" spans="3:3" x14ac:dyDescent="0.35">
      <c r="C66077" s="2"/>
    </row>
    <row r="66078" spans="3:3" x14ac:dyDescent="0.35">
      <c r="C66078" s="2"/>
    </row>
    <row r="66079" spans="3:3" x14ac:dyDescent="0.35">
      <c r="C66079" s="2"/>
    </row>
    <row r="66080" spans="3:3" x14ac:dyDescent="0.35">
      <c r="C66080" s="2"/>
    </row>
    <row r="66081" spans="3:3" x14ac:dyDescent="0.35">
      <c r="C66081" s="2"/>
    </row>
    <row r="66082" spans="3:3" x14ac:dyDescent="0.35">
      <c r="C66082" s="2"/>
    </row>
    <row r="66083" spans="3:3" x14ac:dyDescent="0.35">
      <c r="C66083" s="2"/>
    </row>
    <row r="66084" spans="3:3" x14ac:dyDescent="0.35">
      <c r="C66084" s="2"/>
    </row>
    <row r="66085" spans="3:3" x14ac:dyDescent="0.35">
      <c r="C66085" s="2"/>
    </row>
    <row r="66086" spans="3:3" x14ac:dyDescent="0.35">
      <c r="C66086" s="2"/>
    </row>
    <row r="66087" spans="3:3" x14ac:dyDescent="0.35">
      <c r="C66087" s="2"/>
    </row>
    <row r="66088" spans="3:3" x14ac:dyDescent="0.35">
      <c r="C66088" s="2"/>
    </row>
    <row r="66089" spans="3:3" x14ac:dyDescent="0.35">
      <c r="C66089" s="2"/>
    </row>
    <row r="66090" spans="3:3" x14ac:dyDescent="0.35">
      <c r="C66090" s="2"/>
    </row>
    <row r="66091" spans="3:3" x14ac:dyDescent="0.35">
      <c r="C66091" s="2"/>
    </row>
    <row r="66092" spans="3:3" x14ac:dyDescent="0.35">
      <c r="C66092" s="2"/>
    </row>
    <row r="66093" spans="3:3" x14ac:dyDescent="0.35">
      <c r="C66093" s="2"/>
    </row>
    <row r="66094" spans="3:3" x14ac:dyDescent="0.35">
      <c r="C66094" s="2"/>
    </row>
    <row r="66095" spans="3:3" x14ac:dyDescent="0.35">
      <c r="C66095" s="2"/>
    </row>
    <row r="66096" spans="3:3" x14ac:dyDescent="0.35">
      <c r="C66096" s="2"/>
    </row>
    <row r="66097" spans="3:3" x14ac:dyDescent="0.35">
      <c r="C66097" s="2"/>
    </row>
    <row r="66098" spans="3:3" x14ac:dyDescent="0.35">
      <c r="C66098" s="2"/>
    </row>
    <row r="66099" spans="3:3" x14ac:dyDescent="0.35">
      <c r="C66099" s="2"/>
    </row>
    <row r="66100" spans="3:3" x14ac:dyDescent="0.35">
      <c r="C66100" s="2"/>
    </row>
    <row r="66101" spans="3:3" x14ac:dyDescent="0.35">
      <c r="C66101" s="2"/>
    </row>
    <row r="66102" spans="3:3" x14ac:dyDescent="0.35">
      <c r="C66102" s="2"/>
    </row>
    <row r="66103" spans="3:3" x14ac:dyDescent="0.35">
      <c r="C66103" s="2"/>
    </row>
    <row r="66104" spans="3:3" x14ac:dyDescent="0.35">
      <c r="C66104" s="2"/>
    </row>
    <row r="66105" spans="3:3" x14ac:dyDescent="0.35">
      <c r="C66105" s="2"/>
    </row>
    <row r="66106" spans="3:3" x14ac:dyDescent="0.35">
      <c r="C66106" s="2"/>
    </row>
    <row r="66107" spans="3:3" x14ac:dyDescent="0.35">
      <c r="C66107" s="2"/>
    </row>
    <row r="66108" spans="3:3" x14ac:dyDescent="0.35">
      <c r="C66108" s="2"/>
    </row>
    <row r="66109" spans="3:3" x14ac:dyDescent="0.35">
      <c r="C66109" s="2"/>
    </row>
    <row r="66110" spans="3:3" x14ac:dyDescent="0.35">
      <c r="C66110" s="2"/>
    </row>
    <row r="66111" spans="3:3" x14ac:dyDescent="0.35">
      <c r="C66111" s="2"/>
    </row>
    <row r="66112" spans="3:3" x14ac:dyDescent="0.35">
      <c r="C66112" s="2"/>
    </row>
    <row r="66113" spans="3:3" x14ac:dyDescent="0.35">
      <c r="C66113" s="2"/>
    </row>
    <row r="66114" spans="3:3" x14ac:dyDescent="0.35">
      <c r="C66114" s="2"/>
    </row>
    <row r="66115" spans="3:3" x14ac:dyDescent="0.35">
      <c r="C66115" s="2"/>
    </row>
    <row r="66116" spans="3:3" x14ac:dyDescent="0.35">
      <c r="C66116" s="2"/>
    </row>
    <row r="66117" spans="3:3" x14ac:dyDescent="0.35">
      <c r="C66117" s="2"/>
    </row>
    <row r="66118" spans="3:3" x14ac:dyDescent="0.35">
      <c r="C66118" s="2"/>
    </row>
    <row r="66119" spans="3:3" x14ac:dyDescent="0.35">
      <c r="C66119" s="2"/>
    </row>
    <row r="66120" spans="3:3" x14ac:dyDescent="0.35">
      <c r="C66120" s="2"/>
    </row>
    <row r="66121" spans="3:3" x14ac:dyDescent="0.35">
      <c r="C66121" s="2"/>
    </row>
    <row r="66122" spans="3:3" x14ac:dyDescent="0.35">
      <c r="C66122" s="2"/>
    </row>
    <row r="66123" spans="3:3" x14ac:dyDescent="0.35">
      <c r="C66123" s="2"/>
    </row>
    <row r="66124" spans="3:3" x14ac:dyDescent="0.35">
      <c r="C66124" s="2"/>
    </row>
    <row r="66125" spans="3:3" x14ac:dyDescent="0.35">
      <c r="C66125" s="2"/>
    </row>
    <row r="66126" spans="3:3" x14ac:dyDescent="0.35">
      <c r="C66126" s="2"/>
    </row>
    <row r="66127" spans="3:3" x14ac:dyDescent="0.35">
      <c r="C66127" s="2"/>
    </row>
    <row r="66128" spans="3:3" x14ac:dyDescent="0.35">
      <c r="C66128" s="2"/>
    </row>
    <row r="66129" spans="3:3" x14ac:dyDescent="0.35">
      <c r="C66129" s="2"/>
    </row>
    <row r="66130" spans="3:3" x14ac:dyDescent="0.35">
      <c r="C66130" s="2"/>
    </row>
    <row r="66131" spans="3:3" x14ac:dyDescent="0.35">
      <c r="C66131" s="2"/>
    </row>
    <row r="66132" spans="3:3" x14ac:dyDescent="0.35">
      <c r="C66132" s="2"/>
    </row>
    <row r="66133" spans="3:3" x14ac:dyDescent="0.35">
      <c r="C66133" s="2"/>
    </row>
    <row r="66134" spans="3:3" x14ac:dyDescent="0.35">
      <c r="C66134" s="2"/>
    </row>
    <row r="66135" spans="3:3" x14ac:dyDescent="0.35">
      <c r="C66135" s="2"/>
    </row>
    <row r="66136" spans="3:3" x14ac:dyDescent="0.35">
      <c r="C66136" s="2"/>
    </row>
    <row r="66137" spans="3:3" x14ac:dyDescent="0.35">
      <c r="C66137" s="2"/>
    </row>
    <row r="66138" spans="3:3" x14ac:dyDescent="0.35">
      <c r="C66138" s="2"/>
    </row>
    <row r="66139" spans="3:3" x14ac:dyDescent="0.35">
      <c r="C66139" s="2"/>
    </row>
    <row r="66140" spans="3:3" x14ac:dyDescent="0.35">
      <c r="C66140" s="2"/>
    </row>
    <row r="66141" spans="3:3" x14ac:dyDescent="0.35">
      <c r="C66141" s="2"/>
    </row>
    <row r="66142" spans="3:3" x14ac:dyDescent="0.35">
      <c r="C66142" s="2"/>
    </row>
    <row r="66143" spans="3:3" x14ac:dyDescent="0.35">
      <c r="C66143" s="2"/>
    </row>
    <row r="66144" spans="3:3" x14ac:dyDescent="0.35">
      <c r="C66144" s="2"/>
    </row>
    <row r="66145" spans="3:3" x14ac:dyDescent="0.35">
      <c r="C66145" s="2"/>
    </row>
    <row r="66146" spans="3:3" x14ac:dyDescent="0.35">
      <c r="C66146" s="2"/>
    </row>
    <row r="66147" spans="3:3" x14ac:dyDescent="0.35">
      <c r="C66147" s="2"/>
    </row>
    <row r="66148" spans="3:3" x14ac:dyDescent="0.35">
      <c r="C66148" s="2"/>
    </row>
    <row r="66149" spans="3:3" x14ac:dyDescent="0.35">
      <c r="C66149" s="2"/>
    </row>
    <row r="66150" spans="3:3" x14ac:dyDescent="0.35">
      <c r="C66150" s="2"/>
    </row>
    <row r="66151" spans="3:3" x14ac:dyDescent="0.35">
      <c r="C66151" s="2"/>
    </row>
    <row r="66152" spans="3:3" x14ac:dyDescent="0.35">
      <c r="C66152" s="2"/>
    </row>
    <row r="66153" spans="3:3" x14ac:dyDescent="0.35">
      <c r="C66153" s="2"/>
    </row>
    <row r="66154" spans="3:3" x14ac:dyDescent="0.35">
      <c r="C66154" s="2"/>
    </row>
    <row r="66155" spans="3:3" x14ac:dyDescent="0.35">
      <c r="C66155" s="2"/>
    </row>
    <row r="66156" spans="3:3" x14ac:dyDescent="0.35">
      <c r="C66156" s="2"/>
    </row>
    <row r="66157" spans="3:3" x14ac:dyDescent="0.35">
      <c r="C66157" s="2"/>
    </row>
    <row r="66158" spans="3:3" x14ac:dyDescent="0.35">
      <c r="C66158" s="2"/>
    </row>
    <row r="66159" spans="3:3" x14ac:dyDescent="0.35">
      <c r="C66159" s="2"/>
    </row>
    <row r="66160" spans="3:3" x14ac:dyDescent="0.35">
      <c r="C66160" s="2"/>
    </row>
    <row r="66161" spans="3:3" x14ac:dyDescent="0.35">
      <c r="C66161" s="2"/>
    </row>
    <row r="66162" spans="3:3" x14ac:dyDescent="0.35">
      <c r="C66162" s="2"/>
    </row>
    <row r="66163" spans="3:3" x14ac:dyDescent="0.35">
      <c r="C66163" s="2"/>
    </row>
    <row r="66164" spans="3:3" x14ac:dyDescent="0.35">
      <c r="C66164" s="2"/>
    </row>
    <row r="66165" spans="3:3" x14ac:dyDescent="0.35">
      <c r="C66165" s="2"/>
    </row>
    <row r="66166" spans="3:3" x14ac:dyDescent="0.35">
      <c r="C66166" s="2"/>
    </row>
    <row r="66167" spans="3:3" x14ac:dyDescent="0.35">
      <c r="C66167" s="2"/>
    </row>
    <row r="66168" spans="3:3" x14ac:dyDescent="0.35">
      <c r="C66168" s="2"/>
    </row>
    <row r="66169" spans="3:3" x14ac:dyDescent="0.35">
      <c r="C66169" s="2"/>
    </row>
    <row r="66170" spans="3:3" x14ac:dyDescent="0.35">
      <c r="C66170" s="2"/>
    </row>
    <row r="66171" spans="3:3" x14ac:dyDescent="0.35">
      <c r="C66171" s="2"/>
    </row>
    <row r="66172" spans="3:3" x14ac:dyDescent="0.35">
      <c r="C66172" s="2"/>
    </row>
    <row r="66173" spans="3:3" x14ac:dyDescent="0.35">
      <c r="C66173" s="2"/>
    </row>
    <row r="66174" spans="3:3" x14ac:dyDescent="0.35">
      <c r="C66174" s="2"/>
    </row>
    <row r="66175" spans="3:3" x14ac:dyDescent="0.35">
      <c r="C66175" s="2"/>
    </row>
    <row r="66176" spans="3:3" x14ac:dyDescent="0.35">
      <c r="C66176" s="2"/>
    </row>
    <row r="66177" spans="3:3" x14ac:dyDescent="0.35">
      <c r="C66177" s="2"/>
    </row>
    <row r="66178" spans="3:3" x14ac:dyDescent="0.35">
      <c r="C66178" s="2"/>
    </row>
    <row r="66179" spans="3:3" x14ac:dyDescent="0.35">
      <c r="C66179" s="2"/>
    </row>
    <row r="66180" spans="3:3" x14ac:dyDescent="0.35">
      <c r="C66180" s="2"/>
    </row>
    <row r="66181" spans="3:3" x14ac:dyDescent="0.35">
      <c r="C66181" s="2"/>
    </row>
    <row r="66182" spans="3:3" x14ac:dyDescent="0.35">
      <c r="C66182" s="2"/>
    </row>
    <row r="66183" spans="3:3" x14ac:dyDescent="0.35">
      <c r="C66183" s="2"/>
    </row>
    <row r="66184" spans="3:3" x14ac:dyDescent="0.35">
      <c r="C66184" s="2"/>
    </row>
    <row r="66185" spans="3:3" x14ac:dyDescent="0.35">
      <c r="C66185" s="2"/>
    </row>
    <row r="66186" spans="3:3" x14ac:dyDescent="0.35">
      <c r="C66186" s="2"/>
    </row>
    <row r="66187" spans="3:3" x14ac:dyDescent="0.35">
      <c r="C66187" s="2"/>
    </row>
    <row r="66188" spans="3:3" x14ac:dyDescent="0.35">
      <c r="C66188" s="2"/>
    </row>
    <row r="66189" spans="3:3" x14ac:dyDescent="0.35">
      <c r="C66189" s="2"/>
    </row>
    <row r="66190" spans="3:3" x14ac:dyDescent="0.35">
      <c r="C66190" s="2"/>
    </row>
    <row r="66191" spans="3:3" x14ac:dyDescent="0.35">
      <c r="C66191" s="2"/>
    </row>
    <row r="66192" spans="3:3" x14ac:dyDescent="0.35">
      <c r="C66192" s="2"/>
    </row>
    <row r="66193" spans="3:3" x14ac:dyDescent="0.35">
      <c r="C66193" s="2"/>
    </row>
    <row r="66194" spans="3:3" x14ac:dyDescent="0.35">
      <c r="C66194" s="2"/>
    </row>
    <row r="66195" spans="3:3" x14ac:dyDescent="0.35">
      <c r="C66195" s="2"/>
    </row>
    <row r="66196" spans="3:3" x14ac:dyDescent="0.35">
      <c r="C66196" s="2"/>
    </row>
    <row r="66197" spans="3:3" x14ac:dyDescent="0.35">
      <c r="C66197" s="2"/>
    </row>
    <row r="66198" spans="3:3" x14ac:dyDescent="0.35">
      <c r="C66198" s="2"/>
    </row>
    <row r="66199" spans="3:3" x14ac:dyDescent="0.35">
      <c r="C66199" s="2"/>
    </row>
    <row r="66200" spans="3:3" x14ac:dyDescent="0.35">
      <c r="C66200" s="2"/>
    </row>
    <row r="66201" spans="3:3" x14ac:dyDescent="0.35">
      <c r="C66201" s="2"/>
    </row>
    <row r="66202" spans="3:3" x14ac:dyDescent="0.35">
      <c r="C66202" s="2"/>
    </row>
    <row r="66203" spans="3:3" x14ac:dyDescent="0.35">
      <c r="C66203" s="2"/>
    </row>
    <row r="66204" spans="3:3" x14ac:dyDescent="0.35">
      <c r="C66204" s="2"/>
    </row>
    <row r="66205" spans="3:3" x14ac:dyDescent="0.35">
      <c r="C66205" s="2"/>
    </row>
    <row r="66206" spans="3:3" x14ac:dyDescent="0.35">
      <c r="C66206" s="2"/>
    </row>
    <row r="66207" spans="3:3" x14ac:dyDescent="0.35">
      <c r="C66207" s="2"/>
    </row>
    <row r="66208" spans="3:3" x14ac:dyDescent="0.35">
      <c r="C66208" s="2"/>
    </row>
    <row r="66209" spans="3:3" x14ac:dyDescent="0.35">
      <c r="C66209" s="2"/>
    </row>
    <row r="66210" spans="3:3" x14ac:dyDescent="0.35">
      <c r="C66210" s="2"/>
    </row>
    <row r="66211" spans="3:3" x14ac:dyDescent="0.35">
      <c r="C66211" s="2"/>
    </row>
    <row r="66212" spans="3:3" x14ac:dyDescent="0.35">
      <c r="C66212" s="2"/>
    </row>
    <row r="66213" spans="3:3" x14ac:dyDescent="0.35">
      <c r="C66213" s="2"/>
    </row>
    <row r="66214" spans="3:3" x14ac:dyDescent="0.35">
      <c r="C66214" s="2"/>
    </row>
    <row r="66215" spans="3:3" x14ac:dyDescent="0.35">
      <c r="C66215" s="2"/>
    </row>
    <row r="66216" spans="3:3" x14ac:dyDescent="0.35">
      <c r="C66216" s="2"/>
    </row>
    <row r="66217" spans="3:3" x14ac:dyDescent="0.35">
      <c r="C66217" s="2"/>
    </row>
    <row r="66218" spans="3:3" x14ac:dyDescent="0.35">
      <c r="C66218" s="2"/>
    </row>
    <row r="66219" spans="3:3" x14ac:dyDescent="0.35">
      <c r="C66219" s="2"/>
    </row>
    <row r="66220" spans="3:3" x14ac:dyDescent="0.35">
      <c r="C66220" s="2"/>
    </row>
    <row r="66221" spans="3:3" x14ac:dyDescent="0.35">
      <c r="C66221" s="2"/>
    </row>
    <row r="66222" spans="3:3" x14ac:dyDescent="0.35">
      <c r="C66222" s="2"/>
    </row>
    <row r="66223" spans="3:3" x14ac:dyDescent="0.35">
      <c r="C66223" s="2"/>
    </row>
    <row r="66224" spans="3:3" x14ac:dyDescent="0.35">
      <c r="C66224" s="2"/>
    </row>
    <row r="66225" spans="3:3" x14ac:dyDescent="0.35">
      <c r="C66225" s="2"/>
    </row>
    <row r="66226" spans="3:3" x14ac:dyDescent="0.35">
      <c r="C66226" s="2"/>
    </row>
    <row r="66227" spans="3:3" x14ac:dyDescent="0.35">
      <c r="C66227" s="2"/>
    </row>
    <row r="66228" spans="3:3" x14ac:dyDescent="0.35">
      <c r="C66228" s="2"/>
    </row>
    <row r="66229" spans="3:3" x14ac:dyDescent="0.35">
      <c r="C66229" s="2"/>
    </row>
    <row r="66230" spans="3:3" x14ac:dyDescent="0.35">
      <c r="C66230" s="2"/>
    </row>
    <row r="66231" spans="3:3" x14ac:dyDescent="0.35">
      <c r="C66231" s="2"/>
    </row>
    <row r="66232" spans="3:3" x14ac:dyDescent="0.35">
      <c r="C66232" s="2"/>
    </row>
    <row r="66233" spans="3:3" x14ac:dyDescent="0.35">
      <c r="C66233" s="2"/>
    </row>
    <row r="66234" spans="3:3" x14ac:dyDescent="0.35">
      <c r="C66234" s="2"/>
    </row>
    <row r="66235" spans="3:3" x14ac:dyDescent="0.35">
      <c r="C66235" s="2"/>
    </row>
    <row r="66236" spans="3:3" x14ac:dyDescent="0.35">
      <c r="C66236" s="2"/>
    </row>
    <row r="66237" spans="3:3" x14ac:dyDescent="0.35">
      <c r="C66237" s="2"/>
    </row>
    <row r="66238" spans="3:3" x14ac:dyDescent="0.35">
      <c r="C66238" s="2"/>
    </row>
    <row r="66239" spans="3:3" x14ac:dyDescent="0.35">
      <c r="C66239" s="2"/>
    </row>
    <row r="66240" spans="3:3" x14ac:dyDescent="0.35">
      <c r="C66240" s="2"/>
    </row>
    <row r="66241" spans="3:3" x14ac:dyDescent="0.35">
      <c r="C66241" s="2"/>
    </row>
    <row r="66242" spans="3:3" x14ac:dyDescent="0.35">
      <c r="C66242" s="2"/>
    </row>
    <row r="66243" spans="3:3" x14ac:dyDescent="0.35">
      <c r="C66243" s="2"/>
    </row>
    <row r="66244" spans="3:3" x14ac:dyDescent="0.35">
      <c r="C66244" s="2"/>
    </row>
    <row r="66245" spans="3:3" x14ac:dyDescent="0.35">
      <c r="C66245" s="2"/>
    </row>
    <row r="66246" spans="3:3" x14ac:dyDescent="0.35">
      <c r="C66246" s="2"/>
    </row>
    <row r="66247" spans="3:3" x14ac:dyDescent="0.35">
      <c r="C66247" s="2"/>
    </row>
    <row r="66248" spans="3:3" x14ac:dyDescent="0.35">
      <c r="C66248" s="2"/>
    </row>
    <row r="66249" spans="3:3" x14ac:dyDescent="0.35">
      <c r="C66249" s="2"/>
    </row>
    <row r="66250" spans="3:3" x14ac:dyDescent="0.35">
      <c r="C66250" s="2"/>
    </row>
    <row r="66251" spans="3:3" x14ac:dyDescent="0.35">
      <c r="C66251" s="2"/>
    </row>
    <row r="66252" spans="3:3" x14ac:dyDescent="0.35">
      <c r="C66252" s="2"/>
    </row>
    <row r="66253" spans="3:3" x14ac:dyDescent="0.35">
      <c r="C66253" s="2"/>
    </row>
    <row r="66254" spans="3:3" x14ac:dyDescent="0.35">
      <c r="C66254" s="2"/>
    </row>
    <row r="66255" spans="3:3" x14ac:dyDescent="0.35">
      <c r="C66255" s="2"/>
    </row>
    <row r="66256" spans="3:3" x14ac:dyDescent="0.35">
      <c r="C66256" s="2"/>
    </row>
    <row r="66257" spans="3:3" x14ac:dyDescent="0.35">
      <c r="C66257" s="2"/>
    </row>
    <row r="66258" spans="3:3" x14ac:dyDescent="0.35">
      <c r="C66258" s="2"/>
    </row>
    <row r="66259" spans="3:3" x14ac:dyDescent="0.35">
      <c r="C66259" s="2"/>
    </row>
    <row r="66260" spans="3:3" x14ac:dyDescent="0.35">
      <c r="C66260" s="2"/>
    </row>
    <row r="66261" spans="3:3" x14ac:dyDescent="0.35">
      <c r="C66261" s="2"/>
    </row>
    <row r="66262" spans="3:3" x14ac:dyDescent="0.35">
      <c r="C66262" s="2"/>
    </row>
    <row r="66263" spans="3:3" x14ac:dyDescent="0.35">
      <c r="C66263" s="2"/>
    </row>
    <row r="66264" spans="3:3" x14ac:dyDescent="0.35">
      <c r="C66264" s="2"/>
    </row>
    <row r="66265" spans="3:3" x14ac:dyDescent="0.35">
      <c r="C66265" s="2"/>
    </row>
    <row r="66266" spans="3:3" x14ac:dyDescent="0.35">
      <c r="C66266" s="2"/>
    </row>
    <row r="66267" spans="3:3" x14ac:dyDescent="0.35">
      <c r="C66267" s="2"/>
    </row>
    <row r="66268" spans="3:3" x14ac:dyDescent="0.35">
      <c r="C66268" s="2"/>
    </row>
    <row r="66269" spans="3:3" x14ac:dyDescent="0.35">
      <c r="C66269" s="2"/>
    </row>
    <row r="66270" spans="3:3" x14ac:dyDescent="0.35">
      <c r="C66270" s="2"/>
    </row>
    <row r="66271" spans="3:3" x14ac:dyDescent="0.35">
      <c r="C66271" s="2"/>
    </row>
    <row r="66272" spans="3:3" x14ac:dyDescent="0.35">
      <c r="C66272" s="2"/>
    </row>
    <row r="66273" spans="3:3" x14ac:dyDescent="0.35">
      <c r="C66273" s="2"/>
    </row>
    <row r="66274" spans="3:3" x14ac:dyDescent="0.35">
      <c r="C66274" s="2"/>
    </row>
    <row r="66275" spans="3:3" x14ac:dyDescent="0.35">
      <c r="C66275" s="2"/>
    </row>
    <row r="66276" spans="3:3" x14ac:dyDescent="0.35">
      <c r="C66276" s="2"/>
    </row>
    <row r="66277" spans="3:3" x14ac:dyDescent="0.35">
      <c r="C66277" s="2"/>
    </row>
    <row r="66278" spans="3:3" x14ac:dyDescent="0.35">
      <c r="C66278" s="2"/>
    </row>
    <row r="66279" spans="3:3" x14ac:dyDescent="0.35">
      <c r="C66279" s="2"/>
    </row>
    <row r="66280" spans="3:3" x14ac:dyDescent="0.35">
      <c r="C66280" s="2"/>
    </row>
    <row r="66281" spans="3:3" x14ac:dyDescent="0.35">
      <c r="C66281" s="2"/>
    </row>
    <row r="66282" spans="3:3" x14ac:dyDescent="0.35">
      <c r="C66282" s="2"/>
    </row>
    <row r="66283" spans="3:3" x14ac:dyDescent="0.35">
      <c r="C66283" s="2"/>
    </row>
    <row r="66284" spans="3:3" x14ac:dyDescent="0.35">
      <c r="C66284" s="2"/>
    </row>
    <row r="66285" spans="3:3" x14ac:dyDescent="0.35">
      <c r="C66285" s="2"/>
    </row>
    <row r="66286" spans="3:3" x14ac:dyDescent="0.35">
      <c r="C66286" s="2"/>
    </row>
    <row r="66287" spans="3:3" x14ac:dyDescent="0.35">
      <c r="C66287" s="2"/>
    </row>
    <row r="66288" spans="3:3" x14ac:dyDescent="0.35">
      <c r="C66288" s="2"/>
    </row>
    <row r="66289" spans="3:3" x14ac:dyDescent="0.35">
      <c r="C66289" s="2"/>
    </row>
    <row r="66290" spans="3:3" x14ac:dyDescent="0.35">
      <c r="C66290" s="2"/>
    </row>
    <row r="66291" spans="3:3" x14ac:dyDescent="0.35">
      <c r="C66291" s="2"/>
    </row>
    <row r="66292" spans="3:3" x14ac:dyDescent="0.35">
      <c r="C66292" s="2"/>
    </row>
    <row r="66293" spans="3:3" x14ac:dyDescent="0.35">
      <c r="C66293" s="2"/>
    </row>
    <row r="66294" spans="3:3" x14ac:dyDescent="0.35">
      <c r="C66294" s="2"/>
    </row>
    <row r="66295" spans="3:3" x14ac:dyDescent="0.35">
      <c r="C66295" s="2"/>
    </row>
    <row r="66296" spans="3:3" x14ac:dyDescent="0.35">
      <c r="C66296" s="2"/>
    </row>
    <row r="66297" spans="3:3" x14ac:dyDescent="0.35">
      <c r="C66297" s="2"/>
    </row>
    <row r="66298" spans="3:3" x14ac:dyDescent="0.35">
      <c r="C66298" s="2"/>
    </row>
    <row r="66299" spans="3:3" x14ac:dyDescent="0.35">
      <c r="C66299" s="2"/>
    </row>
    <row r="66300" spans="3:3" x14ac:dyDescent="0.35">
      <c r="C66300" s="2"/>
    </row>
    <row r="66301" spans="3:3" x14ac:dyDescent="0.35">
      <c r="C66301" s="2"/>
    </row>
    <row r="66302" spans="3:3" x14ac:dyDescent="0.35">
      <c r="C66302" s="2"/>
    </row>
    <row r="66303" spans="3:3" x14ac:dyDescent="0.35">
      <c r="C66303" s="2"/>
    </row>
    <row r="66304" spans="3:3" x14ac:dyDescent="0.35">
      <c r="C66304" s="2"/>
    </row>
    <row r="66305" spans="3:3" x14ac:dyDescent="0.35">
      <c r="C66305" s="2"/>
    </row>
    <row r="66306" spans="3:3" x14ac:dyDescent="0.35">
      <c r="C66306" s="2"/>
    </row>
    <row r="66307" spans="3:3" x14ac:dyDescent="0.35">
      <c r="C66307" s="2"/>
    </row>
    <row r="66308" spans="3:3" x14ac:dyDescent="0.35">
      <c r="C66308" s="2"/>
    </row>
    <row r="66309" spans="3:3" x14ac:dyDescent="0.35">
      <c r="C66309" s="2"/>
    </row>
    <row r="66310" spans="3:3" x14ac:dyDescent="0.35">
      <c r="C66310" s="2"/>
    </row>
    <row r="66311" spans="3:3" x14ac:dyDescent="0.35">
      <c r="C66311" s="2"/>
    </row>
    <row r="66312" spans="3:3" x14ac:dyDescent="0.35">
      <c r="C66312" s="2"/>
    </row>
    <row r="66313" spans="3:3" x14ac:dyDescent="0.35">
      <c r="C66313" s="2"/>
    </row>
    <row r="66314" spans="3:3" x14ac:dyDescent="0.35">
      <c r="C66314" s="2"/>
    </row>
    <row r="66315" spans="3:3" x14ac:dyDescent="0.35">
      <c r="C66315" s="2"/>
    </row>
    <row r="66316" spans="3:3" x14ac:dyDescent="0.35">
      <c r="C66316" s="2"/>
    </row>
    <row r="66317" spans="3:3" x14ac:dyDescent="0.35">
      <c r="C66317" s="2"/>
    </row>
    <row r="66318" spans="3:3" x14ac:dyDescent="0.35">
      <c r="C66318" s="2"/>
    </row>
    <row r="66319" spans="3:3" x14ac:dyDescent="0.35">
      <c r="C66319" s="2"/>
    </row>
    <row r="66320" spans="3:3" x14ac:dyDescent="0.35">
      <c r="C66320" s="2"/>
    </row>
    <row r="66321" spans="3:3" x14ac:dyDescent="0.35">
      <c r="C66321" s="2"/>
    </row>
    <row r="66322" spans="3:3" x14ac:dyDescent="0.35">
      <c r="C66322" s="2"/>
    </row>
    <row r="66323" spans="3:3" x14ac:dyDescent="0.35">
      <c r="C66323" s="2"/>
    </row>
    <row r="66324" spans="3:3" x14ac:dyDescent="0.35">
      <c r="C66324" s="2"/>
    </row>
    <row r="66325" spans="3:3" x14ac:dyDescent="0.35">
      <c r="C66325" s="2"/>
    </row>
    <row r="66326" spans="3:3" x14ac:dyDescent="0.35">
      <c r="C66326" s="2"/>
    </row>
    <row r="66327" spans="3:3" x14ac:dyDescent="0.35">
      <c r="C66327" s="2"/>
    </row>
    <row r="66328" spans="3:3" x14ac:dyDescent="0.35">
      <c r="C66328" s="2"/>
    </row>
    <row r="66329" spans="3:3" x14ac:dyDescent="0.35">
      <c r="C66329" s="2"/>
    </row>
    <row r="66330" spans="3:3" x14ac:dyDescent="0.35">
      <c r="C66330" s="2"/>
    </row>
    <row r="66331" spans="3:3" x14ac:dyDescent="0.35">
      <c r="C66331" s="2"/>
    </row>
    <row r="66332" spans="3:3" x14ac:dyDescent="0.35">
      <c r="C66332" s="2"/>
    </row>
    <row r="66333" spans="3:3" x14ac:dyDescent="0.35">
      <c r="C66333" s="2"/>
    </row>
    <row r="66334" spans="3:3" x14ac:dyDescent="0.35">
      <c r="C66334" s="2"/>
    </row>
    <row r="66335" spans="3:3" x14ac:dyDescent="0.35">
      <c r="C66335" s="2"/>
    </row>
    <row r="66336" spans="3:3" x14ac:dyDescent="0.35">
      <c r="C66336" s="2"/>
    </row>
    <row r="66337" spans="3:3" x14ac:dyDescent="0.35">
      <c r="C66337" s="2"/>
    </row>
    <row r="66338" spans="3:3" x14ac:dyDescent="0.35">
      <c r="C66338" s="2"/>
    </row>
    <row r="66339" spans="3:3" x14ac:dyDescent="0.35">
      <c r="C66339" s="2"/>
    </row>
    <row r="66340" spans="3:3" x14ac:dyDescent="0.35">
      <c r="C66340" s="2"/>
    </row>
    <row r="66341" spans="3:3" x14ac:dyDescent="0.35">
      <c r="C66341" s="2"/>
    </row>
    <row r="66342" spans="3:3" x14ac:dyDescent="0.35">
      <c r="C66342" s="2"/>
    </row>
    <row r="66343" spans="3:3" x14ac:dyDescent="0.35">
      <c r="C66343" s="2"/>
    </row>
    <row r="66344" spans="3:3" x14ac:dyDescent="0.35">
      <c r="C66344" s="2"/>
    </row>
    <row r="66345" spans="3:3" x14ac:dyDescent="0.35">
      <c r="C66345" s="2"/>
    </row>
    <row r="66346" spans="3:3" x14ac:dyDescent="0.35">
      <c r="C66346" s="2"/>
    </row>
    <row r="66347" spans="3:3" x14ac:dyDescent="0.35">
      <c r="C66347" s="2"/>
    </row>
    <row r="66348" spans="3:3" x14ac:dyDescent="0.35">
      <c r="C66348" s="2"/>
    </row>
    <row r="66349" spans="3:3" x14ac:dyDescent="0.35">
      <c r="C66349" s="2"/>
    </row>
    <row r="66350" spans="3:3" x14ac:dyDescent="0.35">
      <c r="C66350" s="2"/>
    </row>
    <row r="66351" spans="3:3" x14ac:dyDescent="0.35">
      <c r="C66351" s="2"/>
    </row>
    <row r="66352" spans="3:3" x14ac:dyDescent="0.35">
      <c r="C66352" s="2"/>
    </row>
    <row r="66353" spans="3:3" x14ac:dyDescent="0.35">
      <c r="C66353" s="2"/>
    </row>
    <row r="66354" spans="3:3" x14ac:dyDescent="0.35">
      <c r="C66354" s="2"/>
    </row>
    <row r="66355" spans="3:3" x14ac:dyDescent="0.35">
      <c r="C66355" s="2"/>
    </row>
    <row r="66356" spans="3:3" x14ac:dyDescent="0.35">
      <c r="C66356" s="2"/>
    </row>
    <row r="66357" spans="3:3" x14ac:dyDescent="0.35">
      <c r="C66357" s="2"/>
    </row>
    <row r="66358" spans="3:3" x14ac:dyDescent="0.35">
      <c r="C66358" s="2"/>
    </row>
    <row r="66359" spans="3:3" x14ac:dyDescent="0.35">
      <c r="C66359" s="2"/>
    </row>
    <row r="66360" spans="3:3" x14ac:dyDescent="0.35">
      <c r="C66360" s="2"/>
    </row>
    <row r="66361" spans="3:3" x14ac:dyDescent="0.35">
      <c r="C66361" s="2"/>
    </row>
    <row r="66362" spans="3:3" x14ac:dyDescent="0.35">
      <c r="C66362" s="2"/>
    </row>
    <row r="66363" spans="3:3" x14ac:dyDescent="0.35">
      <c r="C66363" s="2"/>
    </row>
    <row r="66364" spans="3:3" x14ac:dyDescent="0.35">
      <c r="C66364" s="2"/>
    </row>
    <row r="66365" spans="3:3" x14ac:dyDescent="0.35">
      <c r="C66365" s="2"/>
    </row>
    <row r="66366" spans="3:3" x14ac:dyDescent="0.35">
      <c r="C66366" s="2"/>
    </row>
    <row r="66367" spans="3:3" x14ac:dyDescent="0.35">
      <c r="C66367" s="2"/>
    </row>
    <row r="66368" spans="3:3" x14ac:dyDescent="0.35">
      <c r="C66368" s="2"/>
    </row>
    <row r="66369" spans="3:3" x14ac:dyDescent="0.35">
      <c r="C66369" s="2"/>
    </row>
    <row r="66370" spans="3:3" x14ac:dyDescent="0.35">
      <c r="C66370" s="2"/>
    </row>
    <row r="66371" spans="3:3" x14ac:dyDescent="0.35">
      <c r="C66371" s="2"/>
    </row>
    <row r="66372" spans="3:3" x14ac:dyDescent="0.35">
      <c r="C66372" s="2"/>
    </row>
    <row r="66373" spans="3:3" x14ac:dyDescent="0.35">
      <c r="C66373" s="2"/>
    </row>
    <row r="66374" spans="3:3" x14ac:dyDescent="0.35">
      <c r="C66374" s="2"/>
    </row>
    <row r="66375" spans="3:3" x14ac:dyDescent="0.35">
      <c r="C66375" s="2"/>
    </row>
    <row r="66376" spans="3:3" x14ac:dyDescent="0.35">
      <c r="C66376" s="2"/>
    </row>
    <row r="66377" spans="3:3" x14ac:dyDescent="0.35">
      <c r="C66377" s="2"/>
    </row>
    <row r="66378" spans="3:3" x14ac:dyDescent="0.35">
      <c r="C66378" s="2"/>
    </row>
    <row r="66379" spans="3:3" x14ac:dyDescent="0.35">
      <c r="C66379" s="2"/>
    </row>
    <row r="66380" spans="3:3" x14ac:dyDescent="0.35">
      <c r="C66380" s="2"/>
    </row>
    <row r="66381" spans="3:3" x14ac:dyDescent="0.35">
      <c r="C66381" s="2"/>
    </row>
    <row r="66382" spans="3:3" x14ac:dyDescent="0.35">
      <c r="C66382" s="2"/>
    </row>
    <row r="66383" spans="3:3" x14ac:dyDescent="0.35">
      <c r="C66383" s="2"/>
    </row>
    <row r="66384" spans="3:3" x14ac:dyDescent="0.35">
      <c r="C66384" s="2"/>
    </row>
    <row r="66385" spans="3:3" x14ac:dyDescent="0.35">
      <c r="C66385" s="2"/>
    </row>
    <row r="66386" spans="3:3" x14ac:dyDescent="0.35">
      <c r="C66386" s="2"/>
    </row>
    <row r="66387" spans="3:3" x14ac:dyDescent="0.35">
      <c r="C66387" s="2"/>
    </row>
    <row r="66388" spans="3:3" x14ac:dyDescent="0.35">
      <c r="C66388" s="2"/>
    </row>
    <row r="66389" spans="3:3" x14ac:dyDescent="0.35">
      <c r="C66389" s="2"/>
    </row>
    <row r="66390" spans="3:3" x14ac:dyDescent="0.35">
      <c r="C66390" s="2"/>
    </row>
    <row r="66391" spans="3:3" x14ac:dyDescent="0.35">
      <c r="C66391" s="2"/>
    </row>
    <row r="66392" spans="3:3" x14ac:dyDescent="0.35">
      <c r="C66392" s="2"/>
    </row>
    <row r="66393" spans="3:3" x14ac:dyDescent="0.35">
      <c r="C66393" s="2"/>
    </row>
    <row r="66394" spans="3:3" x14ac:dyDescent="0.35">
      <c r="C66394" s="2"/>
    </row>
    <row r="66395" spans="3:3" x14ac:dyDescent="0.35">
      <c r="C66395" s="2"/>
    </row>
    <row r="66396" spans="3:3" x14ac:dyDescent="0.35">
      <c r="C66396" s="2"/>
    </row>
    <row r="66397" spans="3:3" x14ac:dyDescent="0.35">
      <c r="C66397" s="2"/>
    </row>
    <row r="66398" spans="3:3" x14ac:dyDescent="0.35">
      <c r="C66398" s="2"/>
    </row>
    <row r="66399" spans="3:3" x14ac:dyDescent="0.35">
      <c r="C66399" s="2"/>
    </row>
    <row r="66400" spans="3:3" x14ac:dyDescent="0.35">
      <c r="C66400" s="2"/>
    </row>
    <row r="66401" spans="3:3" x14ac:dyDescent="0.35">
      <c r="C66401" s="2"/>
    </row>
    <row r="66402" spans="3:3" x14ac:dyDescent="0.35">
      <c r="C66402" s="2"/>
    </row>
    <row r="66403" spans="3:3" x14ac:dyDescent="0.35">
      <c r="C66403" s="2"/>
    </row>
    <row r="66404" spans="3:3" x14ac:dyDescent="0.35">
      <c r="C66404" s="2"/>
    </row>
    <row r="66405" spans="3:3" x14ac:dyDescent="0.35">
      <c r="C66405" s="2"/>
    </row>
    <row r="66406" spans="3:3" x14ac:dyDescent="0.35">
      <c r="C66406" s="2"/>
    </row>
    <row r="66407" spans="3:3" x14ac:dyDescent="0.35">
      <c r="C66407" s="2"/>
    </row>
    <row r="66408" spans="3:3" x14ac:dyDescent="0.35">
      <c r="C66408" s="2"/>
    </row>
    <row r="66409" spans="3:3" x14ac:dyDescent="0.35">
      <c r="C66409" s="2"/>
    </row>
    <row r="66410" spans="3:3" x14ac:dyDescent="0.35">
      <c r="C66410" s="2"/>
    </row>
    <row r="66411" spans="3:3" x14ac:dyDescent="0.35">
      <c r="C66411" s="2"/>
    </row>
    <row r="66412" spans="3:3" x14ac:dyDescent="0.35">
      <c r="C66412" s="2"/>
    </row>
    <row r="66413" spans="3:3" x14ac:dyDescent="0.35">
      <c r="C66413" s="2"/>
    </row>
    <row r="66414" spans="3:3" x14ac:dyDescent="0.35">
      <c r="C66414" s="2"/>
    </row>
    <row r="66415" spans="3:3" x14ac:dyDescent="0.35">
      <c r="C66415" s="2"/>
    </row>
    <row r="66416" spans="3:3" x14ac:dyDescent="0.35">
      <c r="C66416" s="2"/>
    </row>
    <row r="66417" spans="3:3" x14ac:dyDescent="0.35">
      <c r="C66417" s="2"/>
    </row>
    <row r="66418" spans="3:3" x14ac:dyDescent="0.35">
      <c r="C66418" s="2"/>
    </row>
    <row r="66419" spans="3:3" x14ac:dyDescent="0.35">
      <c r="C66419" s="2"/>
    </row>
    <row r="66420" spans="3:3" x14ac:dyDescent="0.35">
      <c r="C66420" s="2"/>
    </row>
    <row r="66421" spans="3:3" x14ac:dyDescent="0.35">
      <c r="C66421" s="2"/>
    </row>
    <row r="66422" spans="3:3" x14ac:dyDescent="0.35">
      <c r="C66422" s="2"/>
    </row>
    <row r="66423" spans="3:3" x14ac:dyDescent="0.35">
      <c r="C66423" s="2"/>
    </row>
    <row r="66424" spans="3:3" x14ac:dyDescent="0.35">
      <c r="C66424" s="2"/>
    </row>
    <row r="66425" spans="3:3" x14ac:dyDescent="0.35">
      <c r="C66425" s="2"/>
    </row>
    <row r="66426" spans="3:3" x14ac:dyDescent="0.35">
      <c r="C66426" s="2"/>
    </row>
    <row r="66427" spans="3:3" x14ac:dyDescent="0.35">
      <c r="C66427" s="2"/>
    </row>
    <row r="66428" spans="3:3" x14ac:dyDescent="0.35">
      <c r="C66428" s="2"/>
    </row>
    <row r="66429" spans="3:3" x14ac:dyDescent="0.35">
      <c r="C66429" s="2"/>
    </row>
    <row r="66430" spans="3:3" x14ac:dyDescent="0.35">
      <c r="C66430" s="2"/>
    </row>
    <row r="66431" spans="3:3" x14ac:dyDescent="0.35">
      <c r="C66431" s="2"/>
    </row>
    <row r="66432" spans="3:3" x14ac:dyDescent="0.35">
      <c r="C66432" s="2"/>
    </row>
    <row r="66433" spans="3:3" x14ac:dyDescent="0.35">
      <c r="C66433" s="2"/>
    </row>
    <row r="66434" spans="3:3" x14ac:dyDescent="0.35">
      <c r="C66434" s="2"/>
    </row>
    <row r="66435" spans="3:3" x14ac:dyDescent="0.35">
      <c r="C66435" s="2"/>
    </row>
    <row r="66436" spans="3:3" x14ac:dyDescent="0.35">
      <c r="C66436" s="2"/>
    </row>
    <row r="66437" spans="3:3" x14ac:dyDescent="0.35">
      <c r="C66437" s="2"/>
    </row>
    <row r="66438" spans="3:3" x14ac:dyDescent="0.35">
      <c r="C66438" s="2"/>
    </row>
    <row r="66439" spans="3:3" x14ac:dyDescent="0.35">
      <c r="C66439" s="2"/>
    </row>
    <row r="66440" spans="3:3" x14ac:dyDescent="0.35">
      <c r="C66440" s="2"/>
    </row>
    <row r="66441" spans="3:3" x14ac:dyDescent="0.35">
      <c r="C66441" s="2"/>
    </row>
    <row r="66442" spans="3:3" x14ac:dyDescent="0.35">
      <c r="C66442" s="2"/>
    </row>
    <row r="66443" spans="3:3" x14ac:dyDescent="0.35">
      <c r="C66443" s="2"/>
    </row>
    <row r="66444" spans="3:3" x14ac:dyDescent="0.35">
      <c r="C66444" s="2"/>
    </row>
    <row r="66445" spans="3:3" x14ac:dyDescent="0.35">
      <c r="C66445" s="2"/>
    </row>
    <row r="66446" spans="3:3" x14ac:dyDescent="0.35">
      <c r="C66446" s="2"/>
    </row>
    <row r="66447" spans="3:3" x14ac:dyDescent="0.35">
      <c r="C66447" s="2"/>
    </row>
    <row r="66448" spans="3:3" x14ac:dyDescent="0.35">
      <c r="C66448" s="2"/>
    </row>
    <row r="66449" spans="3:3" x14ac:dyDescent="0.35">
      <c r="C66449" s="2"/>
    </row>
    <row r="66450" spans="3:3" x14ac:dyDescent="0.35">
      <c r="C66450" s="2"/>
    </row>
    <row r="66451" spans="3:3" x14ac:dyDescent="0.35">
      <c r="C66451" s="2"/>
    </row>
    <row r="66452" spans="3:3" x14ac:dyDescent="0.35">
      <c r="C66452" s="2"/>
    </row>
    <row r="66453" spans="3:3" x14ac:dyDescent="0.35">
      <c r="C66453" s="2"/>
    </row>
    <row r="66454" spans="3:3" x14ac:dyDescent="0.35">
      <c r="C66454" s="2"/>
    </row>
    <row r="66455" spans="3:3" x14ac:dyDescent="0.35">
      <c r="C66455" s="2"/>
    </row>
    <row r="66456" spans="3:3" x14ac:dyDescent="0.35">
      <c r="C66456" s="2"/>
    </row>
    <row r="66457" spans="3:3" x14ac:dyDescent="0.35">
      <c r="C66457" s="2"/>
    </row>
    <row r="66458" spans="3:3" x14ac:dyDescent="0.35">
      <c r="C66458" s="2"/>
    </row>
    <row r="66459" spans="3:3" x14ac:dyDescent="0.35">
      <c r="C66459" s="2"/>
    </row>
    <row r="66460" spans="3:3" x14ac:dyDescent="0.35">
      <c r="C66460" s="2"/>
    </row>
    <row r="66461" spans="3:3" x14ac:dyDescent="0.35">
      <c r="C66461" s="2"/>
    </row>
    <row r="66462" spans="3:3" x14ac:dyDescent="0.35">
      <c r="C66462" s="2"/>
    </row>
    <row r="66463" spans="3:3" x14ac:dyDescent="0.35">
      <c r="C66463" s="2"/>
    </row>
    <row r="66464" spans="3:3" x14ac:dyDescent="0.35">
      <c r="C66464" s="2"/>
    </row>
    <row r="66465" spans="3:3" x14ac:dyDescent="0.35">
      <c r="C66465" s="2"/>
    </row>
    <row r="66466" spans="3:3" x14ac:dyDescent="0.35">
      <c r="C66466" s="2"/>
    </row>
    <row r="66467" spans="3:3" x14ac:dyDescent="0.35">
      <c r="C66467" s="2"/>
    </row>
    <row r="66468" spans="3:3" x14ac:dyDescent="0.35">
      <c r="C66468" s="2"/>
    </row>
    <row r="66469" spans="3:3" x14ac:dyDescent="0.35">
      <c r="C66469" s="2"/>
    </row>
    <row r="66470" spans="3:3" x14ac:dyDescent="0.35">
      <c r="C66470" s="2"/>
    </row>
    <row r="66471" spans="3:3" x14ac:dyDescent="0.35">
      <c r="C66471" s="2"/>
    </row>
    <row r="66472" spans="3:3" x14ac:dyDescent="0.35">
      <c r="C66472" s="2"/>
    </row>
    <row r="66473" spans="3:3" x14ac:dyDescent="0.35">
      <c r="C66473" s="2"/>
    </row>
    <row r="66474" spans="3:3" x14ac:dyDescent="0.35">
      <c r="C66474" s="2"/>
    </row>
    <row r="66475" spans="3:3" x14ac:dyDescent="0.35">
      <c r="C66475" s="2"/>
    </row>
    <row r="66476" spans="3:3" x14ac:dyDescent="0.35">
      <c r="C66476" s="2"/>
    </row>
    <row r="66477" spans="3:3" x14ac:dyDescent="0.35">
      <c r="C66477" s="2"/>
    </row>
    <row r="66478" spans="3:3" x14ac:dyDescent="0.35">
      <c r="C66478" s="2"/>
    </row>
    <row r="66479" spans="3:3" x14ac:dyDescent="0.35">
      <c r="C66479" s="2"/>
    </row>
    <row r="66480" spans="3:3" x14ac:dyDescent="0.35">
      <c r="C66480" s="2"/>
    </row>
    <row r="66481" spans="3:3" x14ac:dyDescent="0.35">
      <c r="C66481" s="2"/>
    </row>
    <row r="66482" spans="3:3" x14ac:dyDescent="0.35">
      <c r="C66482" s="2"/>
    </row>
    <row r="66483" spans="3:3" x14ac:dyDescent="0.35">
      <c r="C66483" s="2"/>
    </row>
    <row r="66484" spans="3:3" x14ac:dyDescent="0.35">
      <c r="C66484" s="2"/>
    </row>
    <row r="66485" spans="3:3" x14ac:dyDescent="0.35">
      <c r="C66485" s="2"/>
    </row>
    <row r="66486" spans="3:3" x14ac:dyDescent="0.35">
      <c r="C66486" s="2"/>
    </row>
    <row r="66487" spans="3:3" x14ac:dyDescent="0.35">
      <c r="C66487" s="2"/>
    </row>
    <row r="66488" spans="3:3" x14ac:dyDescent="0.35">
      <c r="C66488" s="2"/>
    </row>
    <row r="66489" spans="3:3" x14ac:dyDescent="0.35">
      <c r="C66489" s="2"/>
    </row>
    <row r="66490" spans="3:3" x14ac:dyDescent="0.35">
      <c r="C66490" s="2"/>
    </row>
    <row r="66491" spans="3:3" x14ac:dyDescent="0.35">
      <c r="C66491" s="2"/>
    </row>
    <row r="66492" spans="3:3" x14ac:dyDescent="0.35">
      <c r="C66492" s="2"/>
    </row>
    <row r="66493" spans="3:3" x14ac:dyDescent="0.35">
      <c r="C66493" s="2"/>
    </row>
    <row r="66494" spans="3:3" x14ac:dyDescent="0.35">
      <c r="C66494" s="2"/>
    </row>
    <row r="66495" spans="3:3" x14ac:dyDescent="0.35">
      <c r="C66495" s="2"/>
    </row>
    <row r="66496" spans="3:3" x14ac:dyDescent="0.35">
      <c r="C66496" s="2"/>
    </row>
    <row r="66497" spans="3:3" x14ac:dyDescent="0.35">
      <c r="C66497" s="2"/>
    </row>
    <row r="66498" spans="3:3" x14ac:dyDescent="0.35">
      <c r="C66498" s="2"/>
    </row>
    <row r="66499" spans="3:3" x14ac:dyDescent="0.35">
      <c r="C66499" s="2"/>
    </row>
    <row r="66500" spans="3:3" x14ac:dyDescent="0.35">
      <c r="C66500" s="2"/>
    </row>
    <row r="66501" spans="3:3" x14ac:dyDescent="0.35">
      <c r="C66501" s="2"/>
    </row>
    <row r="66502" spans="3:3" x14ac:dyDescent="0.35">
      <c r="C66502" s="2"/>
    </row>
    <row r="66503" spans="3:3" x14ac:dyDescent="0.35">
      <c r="C66503" s="2"/>
    </row>
    <row r="66504" spans="3:3" x14ac:dyDescent="0.35">
      <c r="C66504" s="2"/>
    </row>
    <row r="66505" spans="3:3" x14ac:dyDescent="0.35">
      <c r="C66505" s="2"/>
    </row>
    <row r="66506" spans="3:3" x14ac:dyDescent="0.35">
      <c r="C66506" s="2"/>
    </row>
    <row r="66507" spans="3:3" x14ac:dyDescent="0.35">
      <c r="C66507" s="2"/>
    </row>
    <row r="66508" spans="3:3" x14ac:dyDescent="0.35">
      <c r="C66508" s="2"/>
    </row>
    <row r="66509" spans="3:3" x14ac:dyDescent="0.35">
      <c r="C66509" s="2"/>
    </row>
    <row r="66510" spans="3:3" x14ac:dyDescent="0.35">
      <c r="C66510" s="2"/>
    </row>
    <row r="66511" spans="3:3" x14ac:dyDescent="0.35">
      <c r="C66511" s="2"/>
    </row>
    <row r="66512" spans="3:3" x14ac:dyDescent="0.35">
      <c r="C66512" s="2"/>
    </row>
    <row r="66513" spans="3:3" x14ac:dyDescent="0.35">
      <c r="C66513" s="2"/>
    </row>
    <row r="66514" spans="3:3" x14ac:dyDescent="0.35">
      <c r="C66514" s="2"/>
    </row>
    <row r="66515" spans="3:3" x14ac:dyDescent="0.35">
      <c r="C66515" s="2"/>
    </row>
    <row r="66516" spans="3:3" x14ac:dyDescent="0.35">
      <c r="C66516" s="2"/>
    </row>
    <row r="66517" spans="3:3" x14ac:dyDescent="0.35">
      <c r="C66517" s="2"/>
    </row>
    <row r="66518" spans="3:3" x14ac:dyDescent="0.35">
      <c r="C66518" s="2"/>
    </row>
    <row r="66519" spans="3:3" x14ac:dyDescent="0.35">
      <c r="C66519" s="2"/>
    </row>
    <row r="66520" spans="3:3" x14ac:dyDescent="0.35">
      <c r="C66520" s="2"/>
    </row>
    <row r="66521" spans="3:3" x14ac:dyDescent="0.35">
      <c r="C66521" s="2"/>
    </row>
    <row r="66522" spans="3:3" x14ac:dyDescent="0.35">
      <c r="C66522" s="2"/>
    </row>
    <row r="66523" spans="3:3" x14ac:dyDescent="0.35">
      <c r="C66523" s="2"/>
    </row>
    <row r="66524" spans="3:3" x14ac:dyDescent="0.35">
      <c r="C66524" s="2"/>
    </row>
    <row r="66525" spans="3:3" x14ac:dyDescent="0.35">
      <c r="C66525" s="2"/>
    </row>
    <row r="66526" spans="3:3" x14ac:dyDescent="0.35">
      <c r="C66526" s="2"/>
    </row>
    <row r="66527" spans="3:3" x14ac:dyDescent="0.35">
      <c r="C66527" s="2"/>
    </row>
    <row r="66528" spans="3:3" x14ac:dyDescent="0.35">
      <c r="C66528" s="2"/>
    </row>
    <row r="66529" spans="3:3" x14ac:dyDescent="0.35">
      <c r="C66529" s="2"/>
    </row>
    <row r="66530" spans="3:3" x14ac:dyDescent="0.35">
      <c r="C66530" s="2"/>
    </row>
    <row r="66531" spans="3:3" x14ac:dyDescent="0.35">
      <c r="C66531" s="2"/>
    </row>
    <row r="66532" spans="3:3" x14ac:dyDescent="0.35">
      <c r="C66532" s="2"/>
    </row>
    <row r="66533" spans="3:3" x14ac:dyDescent="0.35">
      <c r="C66533" s="2"/>
    </row>
    <row r="66534" spans="3:3" x14ac:dyDescent="0.35">
      <c r="C66534" s="2"/>
    </row>
    <row r="66535" spans="3:3" x14ac:dyDescent="0.35">
      <c r="C66535" s="2"/>
    </row>
    <row r="66536" spans="3:3" x14ac:dyDescent="0.35">
      <c r="C66536" s="2"/>
    </row>
    <row r="66537" spans="3:3" x14ac:dyDescent="0.35">
      <c r="C66537" s="2"/>
    </row>
    <row r="66538" spans="3:3" x14ac:dyDescent="0.35">
      <c r="C66538" s="2"/>
    </row>
    <row r="66539" spans="3:3" x14ac:dyDescent="0.35">
      <c r="C66539" s="2"/>
    </row>
    <row r="66540" spans="3:3" x14ac:dyDescent="0.35">
      <c r="C66540" s="2"/>
    </row>
    <row r="66541" spans="3:3" x14ac:dyDescent="0.35">
      <c r="C66541" s="2"/>
    </row>
    <row r="66542" spans="3:3" x14ac:dyDescent="0.35">
      <c r="C66542" s="2"/>
    </row>
    <row r="66543" spans="3:3" x14ac:dyDescent="0.35">
      <c r="C66543" s="2"/>
    </row>
    <row r="66544" spans="3:3" x14ac:dyDescent="0.35">
      <c r="C66544" s="2"/>
    </row>
    <row r="66545" spans="3:3" x14ac:dyDescent="0.35">
      <c r="C66545" s="2"/>
    </row>
    <row r="66546" spans="3:3" x14ac:dyDescent="0.35">
      <c r="C66546" s="2"/>
    </row>
    <row r="66547" spans="3:3" x14ac:dyDescent="0.35">
      <c r="C66547" s="2"/>
    </row>
    <row r="66548" spans="3:3" x14ac:dyDescent="0.35">
      <c r="C66548" s="2"/>
    </row>
    <row r="66549" spans="3:3" x14ac:dyDescent="0.35">
      <c r="C66549" s="2"/>
    </row>
    <row r="66550" spans="3:3" x14ac:dyDescent="0.35">
      <c r="C66550" s="2"/>
    </row>
    <row r="66551" spans="3:3" x14ac:dyDescent="0.35">
      <c r="C66551" s="2"/>
    </row>
    <row r="66552" spans="3:3" x14ac:dyDescent="0.35">
      <c r="C66552" s="2"/>
    </row>
    <row r="66553" spans="3:3" x14ac:dyDescent="0.35">
      <c r="C66553" s="2"/>
    </row>
    <row r="66554" spans="3:3" x14ac:dyDescent="0.35">
      <c r="C66554" s="2"/>
    </row>
    <row r="66555" spans="3:3" x14ac:dyDescent="0.35">
      <c r="C66555" s="2"/>
    </row>
    <row r="66556" spans="3:3" x14ac:dyDescent="0.35">
      <c r="C66556" s="2"/>
    </row>
    <row r="66557" spans="3:3" x14ac:dyDescent="0.35">
      <c r="C66557" s="2"/>
    </row>
    <row r="66558" spans="3:3" x14ac:dyDescent="0.35">
      <c r="C66558" s="2"/>
    </row>
    <row r="66559" spans="3:3" x14ac:dyDescent="0.35">
      <c r="C66559" s="2"/>
    </row>
    <row r="66560" spans="3:3" x14ac:dyDescent="0.35">
      <c r="C66560" s="2"/>
    </row>
    <row r="66561" spans="3:3" x14ac:dyDescent="0.35">
      <c r="C66561" s="2"/>
    </row>
    <row r="66562" spans="3:3" x14ac:dyDescent="0.35">
      <c r="C66562" s="2"/>
    </row>
    <row r="66563" spans="3:3" x14ac:dyDescent="0.35">
      <c r="C66563" s="2"/>
    </row>
    <row r="66564" spans="3:3" x14ac:dyDescent="0.35">
      <c r="C66564" s="2"/>
    </row>
    <row r="66565" spans="3:3" x14ac:dyDescent="0.35">
      <c r="C66565" s="2"/>
    </row>
    <row r="66566" spans="3:3" x14ac:dyDescent="0.35">
      <c r="C66566" s="2"/>
    </row>
    <row r="66567" spans="3:3" x14ac:dyDescent="0.35">
      <c r="C66567" s="2"/>
    </row>
    <row r="66568" spans="3:3" x14ac:dyDescent="0.35">
      <c r="C66568" s="2"/>
    </row>
    <row r="66569" spans="3:3" x14ac:dyDescent="0.35">
      <c r="C66569" s="2"/>
    </row>
    <row r="66570" spans="3:3" x14ac:dyDescent="0.35">
      <c r="C66570" s="2"/>
    </row>
    <row r="66571" spans="3:3" x14ac:dyDescent="0.35">
      <c r="C66571" s="2"/>
    </row>
    <row r="66572" spans="3:3" x14ac:dyDescent="0.35">
      <c r="C66572" s="2"/>
    </row>
    <row r="66573" spans="3:3" x14ac:dyDescent="0.35">
      <c r="C66573" s="2"/>
    </row>
    <row r="66574" spans="3:3" x14ac:dyDescent="0.35">
      <c r="C66574" s="2"/>
    </row>
    <row r="66575" spans="3:3" x14ac:dyDescent="0.35">
      <c r="C66575" s="2"/>
    </row>
    <row r="66576" spans="3:3" x14ac:dyDescent="0.35">
      <c r="C66576" s="2"/>
    </row>
    <row r="66577" spans="3:3" x14ac:dyDescent="0.35">
      <c r="C66577" s="2"/>
    </row>
    <row r="66578" spans="3:3" x14ac:dyDescent="0.35">
      <c r="C66578" s="2"/>
    </row>
    <row r="66579" spans="3:3" x14ac:dyDescent="0.35">
      <c r="C66579" s="2"/>
    </row>
    <row r="66580" spans="3:3" x14ac:dyDescent="0.35">
      <c r="C66580" s="2"/>
    </row>
    <row r="66581" spans="3:3" x14ac:dyDescent="0.35">
      <c r="C66581" s="2"/>
    </row>
    <row r="66582" spans="3:3" x14ac:dyDescent="0.35">
      <c r="C66582" s="2"/>
    </row>
    <row r="66583" spans="3:3" x14ac:dyDescent="0.35">
      <c r="C66583" s="2"/>
    </row>
    <row r="66584" spans="3:3" x14ac:dyDescent="0.35">
      <c r="C66584" s="2"/>
    </row>
    <row r="66585" spans="3:3" x14ac:dyDescent="0.35">
      <c r="C66585" s="2"/>
    </row>
    <row r="66586" spans="3:3" x14ac:dyDescent="0.35">
      <c r="C66586" s="2"/>
    </row>
    <row r="66587" spans="3:3" x14ac:dyDescent="0.35">
      <c r="C66587" s="2"/>
    </row>
    <row r="66588" spans="3:3" x14ac:dyDescent="0.35">
      <c r="C66588" s="2"/>
    </row>
    <row r="66589" spans="3:3" x14ac:dyDescent="0.35">
      <c r="C66589" s="2"/>
    </row>
    <row r="66590" spans="3:3" x14ac:dyDescent="0.35">
      <c r="C66590" s="2"/>
    </row>
    <row r="66591" spans="3:3" x14ac:dyDescent="0.35">
      <c r="C66591" s="2"/>
    </row>
    <row r="66592" spans="3:3" x14ac:dyDescent="0.35">
      <c r="C66592" s="2"/>
    </row>
    <row r="66593" spans="3:3" x14ac:dyDescent="0.35">
      <c r="C66593" s="2"/>
    </row>
    <row r="66594" spans="3:3" x14ac:dyDescent="0.35">
      <c r="C66594" s="2"/>
    </row>
    <row r="66595" spans="3:3" x14ac:dyDescent="0.35">
      <c r="C66595" s="2"/>
    </row>
    <row r="66596" spans="3:3" x14ac:dyDescent="0.35">
      <c r="C66596" s="2"/>
    </row>
    <row r="66597" spans="3:3" x14ac:dyDescent="0.35">
      <c r="C66597" s="2"/>
    </row>
    <row r="66598" spans="3:3" x14ac:dyDescent="0.35">
      <c r="C66598" s="2"/>
    </row>
    <row r="66599" spans="3:3" x14ac:dyDescent="0.35">
      <c r="C66599" s="2"/>
    </row>
    <row r="66600" spans="3:3" x14ac:dyDescent="0.35">
      <c r="C66600" s="2"/>
    </row>
    <row r="66601" spans="3:3" x14ac:dyDescent="0.35">
      <c r="C66601" s="2"/>
    </row>
    <row r="66602" spans="3:3" x14ac:dyDescent="0.35">
      <c r="C66602" s="2"/>
    </row>
    <row r="66603" spans="3:3" x14ac:dyDescent="0.35">
      <c r="C66603" s="2"/>
    </row>
    <row r="66604" spans="3:3" x14ac:dyDescent="0.35">
      <c r="C66604" s="2"/>
    </row>
    <row r="66605" spans="3:3" x14ac:dyDescent="0.35">
      <c r="C66605" s="2"/>
    </row>
    <row r="66606" spans="3:3" x14ac:dyDescent="0.35">
      <c r="C66606" s="2"/>
    </row>
    <row r="66607" spans="3:3" x14ac:dyDescent="0.35">
      <c r="C66607" s="2"/>
    </row>
    <row r="66608" spans="3:3" x14ac:dyDescent="0.35">
      <c r="C66608" s="2"/>
    </row>
    <row r="66609" spans="3:3" x14ac:dyDescent="0.35">
      <c r="C66609" s="2"/>
    </row>
    <row r="66610" spans="3:3" x14ac:dyDescent="0.35">
      <c r="C66610" s="2"/>
    </row>
    <row r="66611" spans="3:3" x14ac:dyDescent="0.35">
      <c r="C66611" s="2"/>
    </row>
    <row r="66612" spans="3:3" x14ac:dyDescent="0.35">
      <c r="C66612" s="2"/>
    </row>
    <row r="66613" spans="3:3" x14ac:dyDescent="0.35">
      <c r="C66613" s="2"/>
    </row>
    <row r="66614" spans="3:3" x14ac:dyDescent="0.35">
      <c r="C66614" s="2"/>
    </row>
    <row r="66615" spans="3:3" x14ac:dyDescent="0.35">
      <c r="C66615" s="2"/>
    </row>
    <row r="66616" spans="3:3" x14ac:dyDescent="0.35">
      <c r="C66616" s="2"/>
    </row>
    <row r="66617" spans="3:3" x14ac:dyDescent="0.35">
      <c r="C66617" s="2"/>
    </row>
    <row r="66618" spans="3:3" x14ac:dyDescent="0.35">
      <c r="C66618" s="2"/>
    </row>
    <row r="66619" spans="3:3" x14ac:dyDescent="0.35">
      <c r="C66619" s="2"/>
    </row>
    <row r="66620" spans="3:3" x14ac:dyDescent="0.35">
      <c r="C66620" s="2"/>
    </row>
    <row r="66621" spans="3:3" x14ac:dyDescent="0.35">
      <c r="C66621" s="2"/>
    </row>
    <row r="66622" spans="3:3" x14ac:dyDescent="0.35">
      <c r="C66622" s="2"/>
    </row>
    <row r="66623" spans="3:3" x14ac:dyDescent="0.35">
      <c r="C66623" s="2"/>
    </row>
    <row r="66624" spans="3:3" x14ac:dyDescent="0.35">
      <c r="C66624" s="2"/>
    </row>
    <row r="66625" spans="3:3" x14ac:dyDescent="0.35">
      <c r="C66625" s="2"/>
    </row>
    <row r="66626" spans="3:3" x14ac:dyDescent="0.35">
      <c r="C66626" s="2"/>
    </row>
    <row r="66627" spans="3:3" x14ac:dyDescent="0.35">
      <c r="C66627" s="2"/>
    </row>
    <row r="66628" spans="3:3" x14ac:dyDescent="0.35">
      <c r="C66628" s="2"/>
    </row>
    <row r="66629" spans="3:3" x14ac:dyDescent="0.35">
      <c r="C66629" s="2"/>
    </row>
    <row r="66630" spans="3:3" x14ac:dyDescent="0.35">
      <c r="C66630" s="2"/>
    </row>
    <row r="66631" spans="3:3" x14ac:dyDescent="0.35">
      <c r="C66631" s="2"/>
    </row>
    <row r="66632" spans="3:3" x14ac:dyDescent="0.35">
      <c r="C66632" s="2"/>
    </row>
    <row r="66633" spans="3:3" x14ac:dyDescent="0.35">
      <c r="C66633" s="2"/>
    </row>
    <row r="66634" spans="3:3" x14ac:dyDescent="0.35">
      <c r="C66634" s="2"/>
    </row>
    <row r="66635" spans="3:3" x14ac:dyDescent="0.35">
      <c r="C66635" s="2"/>
    </row>
    <row r="66636" spans="3:3" x14ac:dyDescent="0.35">
      <c r="C66636" s="2"/>
    </row>
    <row r="66637" spans="3:3" x14ac:dyDescent="0.35">
      <c r="C66637" s="2"/>
    </row>
    <row r="66638" spans="3:3" x14ac:dyDescent="0.35">
      <c r="C66638" s="2"/>
    </row>
    <row r="66639" spans="3:3" x14ac:dyDescent="0.35">
      <c r="C66639" s="2"/>
    </row>
    <row r="66640" spans="3:3" x14ac:dyDescent="0.35">
      <c r="C66640" s="2"/>
    </row>
    <row r="66641" spans="3:3" x14ac:dyDescent="0.35">
      <c r="C66641" s="2"/>
    </row>
    <row r="66642" spans="3:3" x14ac:dyDescent="0.35">
      <c r="C66642" s="2"/>
    </row>
    <row r="66643" spans="3:3" x14ac:dyDescent="0.35">
      <c r="C66643" s="2"/>
    </row>
    <row r="66644" spans="3:3" x14ac:dyDescent="0.35">
      <c r="C66644" s="2"/>
    </row>
    <row r="66645" spans="3:3" x14ac:dyDescent="0.35">
      <c r="C66645" s="2"/>
    </row>
    <row r="66646" spans="3:3" x14ac:dyDescent="0.35">
      <c r="C66646" s="2"/>
    </row>
    <row r="66647" spans="3:3" x14ac:dyDescent="0.35">
      <c r="C66647" s="2"/>
    </row>
    <row r="66648" spans="3:3" x14ac:dyDescent="0.35">
      <c r="C66648" s="2"/>
    </row>
    <row r="66649" spans="3:3" x14ac:dyDescent="0.35">
      <c r="C66649" s="2"/>
    </row>
    <row r="66650" spans="3:3" x14ac:dyDescent="0.35">
      <c r="C66650" s="2"/>
    </row>
    <row r="66651" spans="3:3" x14ac:dyDescent="0.35">
      <c r="C66651" s="2"/>
    </row>
    <row r="66652" spans="3:3" x14ac:dyDescent="0.35">
      <c r="C66652" s="2"/>
    </row>
    <row r="66653" spans="3:3" x14ac:dyDescent="0.35">
      <c r="C66653" s="2"/>
    </row>
    <row r="66654" spans="3:3" x14ac:dyDescent="0.35">
      <c r="C66654" s="2"/>
    </row>
    <row r="66655" spans="3:3" x14ac:dyDescent="0.35">
      <c r="C66655" s="2"/>
    </row>
    <row r="66656" spans="3:3" x14ac:dyDescent="0.35">
      <c r="C66656" s="2"/>
    </row>
    <row r="66657" spans="3:3" x14ac:dyDescent="0.35">
      <c r="C66657" s="2"/>
    </row>
    <row r="66658" spans="3:3" x14ac:dyDescent="0.35">
      <c r="C66658" s="2"/>
    </row>
    <row r="66659" spans="3:3" x14ac:dyDescent="0.35">
      <c r="C66659" s="2"/>
    </row>
    <row r="66660" spans="3:3" x14ac:dyDescent="0.35">
      <c r="C66660" s="2"/>
    </row>
    <row r="66661" spans="3:3" x14ac:dyDescent="0.35">
      <c r="C66661" s="2"/>
    </row>
    <row r="66662" spans="3:3" x14ac:dyDescent="0.35">
      <c r="C66662" s="2"/>
    </row>
    <row r="66663" spans="3:3" x14ac:dyDescent="0.35">
      <c r="C66663" s="2"/>
    </row>
    <row r="66664" spans="3:3" x14ac:dyDescent="0.35">
      <c r="C66664" s="2"/>
    </row>
    <row r="66665" spans="3:3" x14ac:dyDescent="0.35">
      <c r="C66665" s="2"/>
    </row>
    <row r="66666" spans="3:3" x14ac:dyDescent="0.35">
      <c r="C66666" s="2"/>
    </row>
    <row r="66667" spans="3:3" x14ac:dyDescent="0.35">
      <c r="C66667" s="2"/>
    </row>
    <row r="66668" spans="3:3" x14ac:dyDescent="0.35">
      <c r="C66668" s="2"/>
    </row>
    <row r="66669" spans="3:3" x14ac:dyDescent="0.35">
      <c r="C66669" s="2"/>
    </row>
    <row r="66670" spans="3:3" x14ac:dyDescent="0.35">
      <c r="C66670" s="2"/>
    </row>
    <row r="66671" spans="3:3" x14ac:dyDescent="0.35">
      <c r="C66671" s="2"/>
    </row>
    <row r="66672" spans="3:3" x14ac:dyDescent="0.35">
      <c r="C66672" s="2"/>
    </row>
    <row r="66673" spans="3:3" x14ac:dyDescent="0.35">
      <c r="C66673" s="2"/>
    </row>
    <row r="66674" spans="3:3" x14ac:dyDescent="0.35">
      <c r="C66674" s="2"/>
    </row>
    <row r="66675" spans="3:3" x14ac:dyDescent="0.35">
      <c r="C66675" s="2"/>
    </row>
    <row r="66676" spans="3:3" x14ac:dyDescent="0.35">
      <c r="C66676" s="2"/>
    </row>
    <row r="66677" spans="3:3" x14ac:dyDescent="0.35">
      <c r="C66677" s="2"/>
    </row>
    <row r="66678" spans="3:3" x14ac:dyDescent="0.35">
      <c r="C66678" s="2"/>
    </row>
    <row r="66679" spans="3:3" x14ac:dyDescent="0.35">
      <c r="C66679" s="2"/>
    </row>
    <row r="66680" spans="3:3" x14ac:dyDescent="0.35">
      <c r="C66680" s="2"/>
    </row>
    <row r="66681" spans="3:3" x14ac:dyDescent="0.35">
      <c r="C66681" s="2"/>
    </row>
    <row r="66682" spans="3:3" x14ac:dyDescent="0.35">
      <c r="C66682" s="2"/>
    </row>
    <row r="66683" spans="3:3" x14ac:dyDescent="0.35">
      <c r="C66683" s="2"/>
    </row>
    <row r="66684" spans="3:3" x14ac:dyDescent="0.35">
      <c r="C66684" s="2"/>
    </row>
    <row r="66685" spans="3:3" x14ac:dyDescent="0.35">
      <c r="C66685" s="2"/>
    </row>
    <row r="66686" spans="3:3" x14ac:dyDescent="0.35">
      <c r="C66686" s="2"/>
    </row>
    <row r="66687" spans="3:3" x14ac:dyDescent="0.35">
      <c r="C66687" s="2"/>
    </row>
    <row r="66688" spans="3:3" x14ac:dyDescent="0.35">
      <c r="C66688" s="2"/>
    </row>
    <row r="66689" spans="3:3" x14ac:dyDescent="0.35">
      <c r="C66689" s="2"/>
    </row>
    <row r="66690" spans="3:3" x14ac:dyDescent="0.35">
      <c r="C66690" s="2"/>
    </row>
    <row r="66691" spans="3:3" x14ac:dyDescent="0.35">
      <c r="C66691" s="2"/>
    </row>
    <row r="66692" spans="3:3" x14ac:dyDescent="0.35">
      <c r="C66692" s="2"/>
    </row>
    <row r="66693" spans="3:3" x14ac:dyDescent="0.35">
      <c r="C66693" s="2"/>
    </row>
    <row r="66694" spans="3:3" x14ac:dyDescent="0.35">
      <c r="C66694" s="2"/>
    </row>
    <row r="66695" spans="3:3" x14ac:dyDescent="0.35">
      <c r="C66695" s="2"/>
    </row>
    <row r="66696" spans="3:3" x14ac:dyDescent="0.35">
      <c r="C66696" s="2"/>
    </row>
    <row r="66697" spans="3:3" x14ac:dyDescent="0.35">
      <c r="C66697" s="2"/>
    </row>
    <row r="66698" spans="3:3" x14ac:dyDescent="0.35">
      <c r="C66698" s="2"/>
    </row>
    <row r="66699" spans="3:3" x14ac:dyDescent="0.35">
      <c r="C66699" s="2"/>
    </row>
    <row r="66700" spans="3:3" x14ac:dyDescent="0.35">
      <c r="C66700" s="2"/>
    </row>
    <row r="66701" spans="3:3" x14ac:dyDescent="0.35">
      <c r="C66701" s="2"/>
    </row>
    <row r="66702" spans="3:3" x14ac:dyDescent="0.35">
      <c r="C66702" s="2"/>
    </row>
    <row r="66703" spans="3:3" x14ac:dyDescent="0.35">
      <c r="C66703" s="2"/>
    </row>
    <row r="66704" spans="3:3" x14ac:dyDescent="0.35">
      <c r="C66704" s="2"/>
    </row>
    <row r="66705" spans="3:3" x14ac:dyDescent="0.35">
      <c r="C66705" s="2"/>
    </row>
    <row r="66706" spans="3:3" x14ac:dyDescent="0.35">
      <c r="C66706" s="2"/>
    </row>
    <row r="66707" spans="3:3" x14ac:dyDescent="0.35">
      <c r="C66707" s="2"/>
    </row>
    <row r="66708" spans="3:3" x14ac:dyDescent="0.35">
      <c r="C66708" s="2"/>
    </row>
    <row r="66709" spans="3:3" x14ac:dyDescent="0.35">
      <c r="C66709" s="2"/>
    </row>
    <row r="66710" spans="3:3" x14ac:dyDescent="0.35">
      <c r="C66710" s="2"/>
    </row>
    <row r="66711" spans="3:3" x14ac:dyDescent="0.35">
      <c r="C66711" s="2"/>
    </row>
    <row r="66712" spans="3:3" x14ac:dyDescent="0.35">
      <c r="C66712" s="2"/>
    </row>
    <row r="66713" spans="3:3" x14ac:dyDescent="0.35">
      <c r="C66713" s="2"/>
    </row>
    <row r="66714" spans="3:3" x14ac:dyDescent="0.35">
      <c r="C66714" s="2"/>
    </row>
    <row r="66715" spans="3:3" x14ac:dyDescent="0.35">
      <c r="C66715" s="2"/>
    </row>
    <row r="66716" spans="3:3" x14ac:dyDescent="0.35">
      <c r="C66716" s="2"/>
    </row>
    <row r="66717" spans="3:3" x14ac:dyDescent="0.35">
      <c r="C66717" s="2"/>
    </row>
    <row r="66718" spans="3:3" x14ac:dyDescent="0.35">
      <c r="C66718" s="2"/>
    </row>
    <row r="66719" spans="3:3" x14ac:dyDescent="0.35">
      <c r="C66719" s="2"/>
    </row>
    <row r="66720" spans="3:3" x14ac:dyDescent="0.35">
      <c r="C66720" s="2"/>
    </row>
    <row r="66721" spans="3:3" x14ac:dyDescent="0.35">
      <c r="C66721" s="2"/>
    </row>
    <row r="66722" spans="3:3" x14ac:dyDescent="0.35">
      <c r="C66722" s="2"/>
    </row>
    <row r="66723" spans="3:3" x14ac:dyDescent="0.35">
      <c r="C66723" s="2"/>
    </row>
    <row r="66724" spans="3:3" x14ac:dyDescent="0.35">
      <c r="C66724" s="2"/>
    </row>
    <row r="66725" spans="3:3" x14ac:dyDescent="0.35">
      <c r="C66725" s="2"/>
    </row>
    <row r="66726" spans="3:3" x14ac:dyDescent="0.35">
      <c r="C66726" s="2"/>
    </row>
    <row r="66727" spans="3:3" x14ac:dyDescent="0.35">
      <c r="C66727" s="2"/>
    </row>
    <row r="66728" spans="3:3" x14ac:dyDescent="0.35">
      <c r="C66728" s="2"/>
    </row>
    <row r="66729" spans="3:3" x14ac:dyDescent="0.35">
      <c r="C66729" s="2"/>
    </row>
    <row r="66730" spans="3:3" x14ac:dyDescent="0.35">
      <c r="C66730" s="2"/>
    </row>
    <row r="66731" spans="3:3" x14ac:dyDescent="0.35">
      <c r="C66731" s="2"/>
    </row>
    <row r="66732" spans="3:3" x14ac:dyDescent="0.35">
      <c r="C66732" s="2"/>
    </row>
    <row r="66733" spans="3:3" x14ac:dyDescent="0.35">
      <c r="C66733" s="2"/>
    </row>
    <row r="66734" spans="3:3" x14ac:dyDescent="0.35">
      <c r="C66734" s="2"/>
    </row>
    <row r="66735" spans="3:3" x14ac:dyDescent="0.35">
      <c r="C66735" s="2"/>
    </row>
    <row r="66736" spans="3:3" x14ac:dyDescent="0.35">
      <c r="C66736" s="2"/>
    </row>
    <row r="66737" spans="3:3" x14ac:dyDescent="0.35">
      <c r="C66737" s="2"/>
    </row>
    <row r="66738" spans="3:3" x14ac:dyDescent="0.35">
      <c r="C66738" s="2"/>
    </row>
    <row r="66739" spans="3:3" x14ac:dyDescent="0.35">
      <c r="C66739" s="2"/>
    </row>
    <row r="66740" spans="3:3" x14ac:dyDescent="0.35">
      <c r="C66740" s="2"/>
    </row>
    <row r="66741" spans="3:3" x14ac:dyDescent="0.35">
      <c r="C66741" s="2"/>
    </row>
    <row r="66742" spans="3:3" x14ac:dyDescent="0.35">
      <c r="C66742" s="2"/>
    </row>
    <row r="66743" spans="3:3" x14ac:dyDescent="0.35">
      <c r="C66743" s="2"/>
    </row>
    <row r="66744" spans="3:3" x14ac:dyDescent="0.35">
      <c r="C66744" s="2"/>
    </row>
    <row r="66745" spans="3:3" x14ac:dyDescent="0.35">
      <c r="C66745" s="2"/>
    </row>
    <row r="66746" spans="3:3" x14ac:dyDescent="0.35">
      <c r="C66746" s="2"/>
    </row>
    <row r="66747" spans="3:3" x14ac:dyDescent="0.35">
      <c r="C66747" s="2"/>
    </row>
    <row r="66748" spans="3:3" x14ac:dyDescent="0.35">
      <c r="C66748" s="2"/>
    </row>
    <row r="66749" spans="3:3" x14ac:dyDescent="0.35">
      <c r="C66749" s="2"/>
    </row>
    <row r="66750" spans="3:3" x14ac:dyDescent="0.35">
      <c r="C66750" s="2"/>
    </row>
    <row r="66751" spans="3:3" x14ac:dyDescent="0.35">
      <c r="C66751" s="2"/>
    </row>
    <row r="66752" spans="3:3" x14ac:dyDescent="0.35">
      <c r="C66752" s="2"/>
    </row>
    <row r="66753" spans="3:3" x14ac:dyDescent="0.35">
      <c r="C66753" s="2"/>
    </row>
    <row r="66754" spans="3:3" x14ac:dyDescent="0.35">
      <c r="C66754" s="2"/>
    </row>
    <row r="66755" spans="3:3" x14ac:dyDescent="0.35">
      <c r="C66755" s="2"/>
    </row>
    <row r="66756" spans="3:3" x14ac:dyDescent="0.35">
      <c r="C66756" s="2"/>
    </row>
    <row r="66757" spans="3:3" x14ac:dyDescent="0.35">
      <c r="C66757" s="2"/>
    </row>
    <row r="66758" spans="3:3" x14ac:dyDescent="0.35">
      <c r="C66758" s="2"/>
    </row>
    <row r="66759" spans="3:3" x14ac:dyDescent="0.35">
      <c r="C66759" s="2"/>
    </row>
    <row r="66760" spans="3:3" x14ac:dyDescent="0.35">
      <c r="C66760" s="2"/>
    </row>
    <row r="66761" spans="3:3" x14ac:dyDescent="0.35">
      <c r="C66761" s="2"/>
    </row>
    <row r="66762" spans="3:3" x14ac:dyDescent="0.35">
      <c r="C66762" s="2"/>
    </row>
    <row r="66763" spans="3:3" x14ac:dyDescent="0.35">
      <c r="C66763" s="2"/>
    </row>
    <row r="66764" spans="3:3" x14ac:dyDescent="0.35">
      <c r="C66764" s="2"/>
    </row>
    <row r="66765" spans="3:3" x14ac:dyDescent="0.35">
      <c r="C66765" s="2"/>
    </row>
    <row r="66766" spans="3:3" x14ac:dyDescent="0.35">
      <c r="C66766" s="2"/>
    </row>
    <row r="66767" spans="3:3" x14ac:dyDescent="0.35">
      <c r="C66767" s="2"/>
    </row>
    <row r="66768" spans="3:3" x14ac:dyDescent="0.35">
      <c r="C66768" s="2"/>
    </row>
    <row r="66769" spans="3:3" x14ac:dyDescent="0.35">
      <c r="C66769" s="2"/>
    </row>
    <row r="66770" spans="3:3" x14ac:dyDescent="0.35">
      <c r="C66770" s="2"/>
    </row>
    <row r="66771" spans="3:3" x14ac:dyDescent="0.35">
      <c r="C66771" s="2"/>
    </row>
    <row r="66772" spans="3:3" x14ac:dyDescent="0.35">
      <c r="C66772" s="2"/>
    </row>
    <row r="66773" spans="3:3" x14ac:dyDescent="0.35">
      <c r="C66773" s="2"/>
    </row>
    <row r="66774" spans="3:3" x14ac:dyDescent="0.35">
      <c r="C66774" s="2"/>
    </row>
    <row r="66775" spans="3:3" x14ac:dyDescent="0.35">
      <c r="C66775" s="2"/>
    </row>
    <row r="66776" spans="3:3" x14ac:dyDescent="0.35">
      <c r="C66776" s="2"/>
    </row>
    <row r="66777" spans="3:3" x14ac:dyDescent="0.35">
      <c r="C66777" s="2"/>
    </row>
    <row r="66778" spans="3:3" x14ac:dyDescent="0.35">
      <c r="C66778" s="2"/>
    </row>
    <row r="66779" spans="3:3" x14ac:dyDescent="0.35">
      <c r="C66779" s="2"/>
    </row>
    <row r="66780" spans="3:3" x14ac:dyDescent="0.35">
      <c r="C66780" s="2"/>
    </row>
    <row r="66781" spans="3:3" x14ac:dyDescent="0.35">
      <c r="C66781" s="2"/>
    </row>
    <row r="66782" spans="3:3" x14ac:dyDescent="0.35">
      <c r="C66782" s="2"/>
    </row>
    <row r="66783" spans="3:3" x14ac:dyDescent="0.35">
      <c r="C66783" s="2"/>
    </row>
    <row r="66784" spans="3:3" x14ac:dyDescent="0.35">
      <c r="C66784" s="2"/>
    </row>
    <row r="66785" spans="3:3" x14ac:dyDescent="0.35">
      <c r="C66785" s="2"/>
    </row>
    <row r="66786" spans="3:3" x14ac:dyDescent="0.35">
      <c r="C66786" s="2"/>
    </row>
    <row r="66787" spans="3:3" x14ac:dyDescent="0.35">
      <c r="C66787" s="2"/>
    </row>
    <row r="66788" spans="3:3" x14ac:dyDescent="0.35">
      <c r="C66788" s="2"/>
    </row>
    <row r="66789" spans="3:3" x14ac:dyDescent="0.35">
      <c r="C66789" s="2"/>
    </row>
    <row r="66790" spans="3:3" x14ac:dyDescent="0.35">
      <c r="C66790" s="2"/>
    </row>
    <row r="66791" spans="3:3" x14ac:dyDescent="0.35">
      <c r="C66791" s="2"/>
    </row>
    <row r="66792" spans="3:3" x14ac:dyDescent="0.35">
      <c r="C66792" s="2"/>
    </row>
    <row r="66793" spans="3:3" x14ac:dyDescent="0.35">
      <c r="C66793" s="2"/>
    </row>
    <row r="66794" spans="3:3" x14ac:dyDescent="0.35">
      <c r="C66794" s="2"/>
    </row>
    <row r="66795" spans="3:3" x14ac:dyDescent="0.35">
      <c r="C66795" s="2"/>
    </row>
    <row r="66796" spans="3:3" x14ac:dyDescent="0.35">
      <c r="C66796" s="2"/>
    </row>
    <row r="66797" spans="3:3" x14ac:dyDescent="0.35">
      <c r="C66797" s="2"/>
    </row>
    <row r="66798" spans="3:3" x14ac:dyDescent="0.35">
      <c r="C66798" s="2"/>
    </row>
    <row r="66799" spans="3:3" x14ac:dyDescent="0.35">
      <c r="C66799" s="2"/>
    </row>
    <row r="66800" spans="3:3" x14ac:dyDescent="0.35">
      <c r="C66800" s="2"/>
    </row>
    <row r="66801" spans="3:3" x14ac:dyDescent="0.35">
      <c r="C66801" s="2"/>
    </row>
    <row r="66802" spans="3:3" x14ac:dyDescent="0.35">
      <c r="C66802" s="2"/>
    </row>
    <row r="66803" spans="3:3" x14ac:dyDescent="0.35">
      <c r="C66803" s="2"/>
    </row>
    <row r="66804" spans="3:3" x14ac:dyDescent="0.35">
      <c r="C66804" s="2"/>
    </row>
    <row r="66805" spans="3:3" x14ac:dyDescent="0.35">
      <c r="C66805" s="2"/>
    </row>
    <row r="66806" spans="3:3" x14ac:dyDescent="0.35">
      <c r="C66806" s="2"/>
    </row>
    <row r="66807" spans="3:3" x14ac:dyDescent="0.35">
      <c r="C66807" s="2"/>
    </row>
    <row r="66808" spans="3:3" x14ac:dyDescent="0.35">
      <c r="C66808" s="2"/>
    </row>
    <row r="66809" spans="3:3" x14ac:dyDescent="0.35">
      <c r="C66809" s="2"/>
    </row>
    <row r="66810" spans="3:3" x14ac:dyDescent="0.35">
      <c r="C66810" s="2"/>
    </row>
    <row r="66811" spans="3:3" x14ac:dyDescent="0.35">
      <c r="C66811" s="2"/>
    </row>
    <row r="66812" spans="3:3" x14ac:dyDescent="0.35">
      <c r="C66812" s="2"/>
    </row>
    <row r="66813" spans="3:3" x14ac:dyDescent="0.35">
      <c r="C66813" s="2"/>
    </row>
    <row r="66814" spans="3:3" x14ac:dyDescent="0.35">
      <c r="C66814" s="2"/>
    </row>
    <row r="66815" spans="3:3" x14ac:dyDescent="0.35">
      <c r="C66815" s="2"/>
    </row>
    <row r="66816" spans="3:3" x14ac:dyDescent="0.35">
      <c r="C66816" s="2"/>
    </row>
    <row r="66817" spans="3:3" x14ac:dyDescent="0.35">
      <c r="C66817" s="2"/>
    </row>
    <row r="66818" spans="3:3" x14ac:dyDescent="0.35">
      <c r="C66818" s="2"/>
    </row>
    <row r="66819" spans="3:3" x14ac:dyDescent="0.35">
      <c r="C66819" s="2"/>
    </row>
    <row r="66820" spans="3:3" x14ac:dyDescent="0.35">
      <c r="C66820" s="2"/>
    </row>
    <row r="66821" spans="3:3" x14ac:dyDescent="0.35">
      <c r="C66821" s="2"/>
    </row>
    <row r="66822" spans="3:3" x14ac:dyDescent="0.35">
      <c r="C66822" s="2"/>
    </row>
    <row r="66823" spans="3:3" x14ac:dyDescent="0.35">
      <c r="C66823" s="2"/>
    </row>
    <row r="66824" spans="3:3" x14ac:dyDescent="0.35">
      <c r="C66824" s="2"/>
    </row>
    <row r="66825" spans="3:3" x14ac:dyDescent="0.35">
      <c r="C66825" s="2"/>
    </row>
    <row r="66826" spans="3:3" x14ac:dyDescent="0.35">
      <c r="C66826" s="2"/>
    </row>
    <row r="66827" spans="3:3" x14ac:dyDescent="0.35">
      <c r="C66827" s="2"/>
    </row>
    <row r="66828" spans="3:3" x14ac:dyDescent="0.35">
      <c r="C66828" s="2"/>
    </row>
    <row r="66829" spans="3:3" x14ac:dyDescent="0.35">
      <c r="C66829" s="2"/>
    </row>
    <row r="66830" spans="3:3" x14ac:dyDescent="0.35">
      <c r="C66830" s="2"/>
    </row>
    <row r="66831" spans="3:3" x14ac:dyDescent="0.35">
      <c r="C66831" s="2"/>
    </row>
    <row r="66832" spans="3:3" x14ac:dyDescent="0.35">
      <c r="C66832" s="2"/>
    </row>
    <row r="66833" spans="3:3" x14ac:dyDescent="0.35">
      <c r="C66833" s="2"/>
    </row>
    <row r="66834" spans="3:3" x14ac:dyDescent="0.35">
      <c r="C66834" s="2"/>
    </row>
    <row r="66835" spans="3:3" x14ac:dyDescent="0.35">
      <c r="C66835" s="2"/>
    </row>
    <row r="66836" spans="3:3" x14ac:dyDescent="0.35">
      <c r="C66836" s="2"/>
    </row>
    <row r="66837" spans="3:3" x14ac:dyDescent="0.35">
      <c r="C66837" s="2"/>
    </row>
    <row r="66838" spans="3:3" x14ac:dyDescent="0.35">
      <c r="C66838" s="2"/>
    </row>
    <row r="66839" spans="3:3" x14ac:dyDescent="0.35">
      <c r="C66839" s="2"/>
    </row>
    <row r="66840" spans="3:3" x14ac:dyDescent="0.35">
      <c r="C66840" s="2"/>
    </row>
    <row r="66841" spans="3:3" x14ac:dyDescent="0.35">
      <c r="C66841" s="2"/>
    </row>
    <row r="66842" spans="3:3" x14ac:dyDescent="0.35">
      <c r="C66842" s="2"/>
    </row>
    <row r="66843" spans="3:3" x14ac:dyDescent="0.35">
      <c r="C66843" s="2"/>
    </row>
    <row r="66844" spans="3:3" x14ac:dyDescent="0.35">
      <c r="C66844" s="2"/>
    </row>
    <row r="66845" spans="3:3" x14ac:dyDescent="0.35">
      <c r="C66845" s="2"/>
    </row>
    <row r="66846" spans="3:3" x14ac:dyDescent="0.35">
      <c r="C66846" s="2"/>
    </row>
    <row r="66847" spans="3:3" x14ac:dyDescent="0.35">
      <c r="C66847" s="2"/>
    </row>
    <row r="66848" spans="3:3" x14ac:dyDescent="0.35">
      <c r="C66848" s="2"/>
    </row>
    <row r="66849" spans="3:3" x14ac:dyDescent="0.35">
      <c r="C66849" s="2"/>
    </row>
    <row r="66850" spans="3:3" x14ac:dyDescent="0.35">
      <c r="C66850" s="2"/>
    </row>
    <row r="66851" spans="3:3" x14ac:dyDescent="0.35">
      <c r="C66851" s="2"/>
    </row>
    <row r="66852" spans="3:3" x14ac:dyDescent="0.35">
      <c r="C66852" s="2"/>
    </row>
    <row r="66853" spans="3:3" x14ac:dyDescent="0.35">
      <c r="C66853" s="2"/>
    </row>
    <row r="66854" spans="3:3" x14ac:dyDescent="0.35">
      <c r="C66854" s="2"/>
    </row>
    <row r="66855" spans="3:3" x14ac:dyDescent="0.35">
      <c r="C66855" s="2"/>
    </row>
    <row r="66856" spans="3:3" x14ac:dyDescent="0.35">
      <c r="C66856" s="2"/>
    </row>
    <row r="66857" spans="3:3" x14ac:dyDescent="0.35">
      <c r="C66857" s="2"/>
    </row>
    <row r="66858" spans="3:3" x14ac:dyDescent="0.35">
      <c r="C66858" s="2"/>
    </row>
    <row r="66859" spans="3:3" x14ac:dyDescent="0.35">
      <c r="C66859" s="2"/>
    </row>
    <row r="66860" spans="3:3" x14ac:dyDescent="0.35">
      <c r="C66860" s="2"/>
    </row>
    <row r="66861" spans="3:3" x14ac:dyDescent="0.35">
      <c r="C66861" s="2"/>
    </row>
    <row r="66862" spans="3:3" x14ac:dyDescent="0.35">
      <c r="C66862" s="2"/>
    </row>
    <row r="66863" spans="3:3" x14ac:dyDescent="0.35">
      <c r="C66863" s="2"/>
    </row>
    <row r="66864" spans="3:3" x14ac:dyDescent="0.35">
      <c r="C66864" s="2"/>
    </row>
    <row r="66865" spans="3:3" x14ac:dyDescent="0.35">
      <c r="C66865" s="2"/>
    </row>
    <row r="66866" spans="3:3" x14ac:dyDescent="0.35">
      <c r="C66866" s="2"/>
    </row>
    <row r="66867" spans="3:3" x14ac:dyDescent="0.35">
      <c r="C66867" s="2"/>
    </row>
    <row r="66868" spans="3:3" x14ac:dyDescent="0.35">
      <c r="C66868" s="2"/>
    </row>
    <row r="66869" spans="3:3" x14ac:dyDescent="0.35">
      <c r="C66869" s="2"/>
    </row>
    <row r="66870" spans="3:3" x14ac:dyDescent="0.35">
      <c r="C66870" s="2"/>
    </row>
    <row r="66871" spans="3:3" x14ac:dyDescent="0.35">
      <c r="C66871" s="2"/>
    </row>
    <row r="66872" spans="3:3" x14ac:dyDescent="0.35">
      <c r="C66872" s="2"/>
    </row>
    <row r="66873" spans="3:3" x14ac:dyDescent="0.35">
      <c r="C66873" s="2"/>
    </row>
    <row r="66874" spans="3:3" x14ac:dyDescent="0.35">
      <c r="C66874" s="2"/>
    </row>
    <row r="66875" spans="3:3" x14ac:dyDescent="0.35">
      <c r="C66875" s="2"/>
    </row>
    <row r="66876" spans="3:3" x14ac:dyDescent="0.35">
      <c r="C66876" s="2"/>
    </row>
    <row r="66877" spans="3:3" x14ac:dyDescent="0.35">
      <c r="C66877" s="2"/>
    </row>
    <row r="66878" spans="3:3" x14ac:dyDescent="0.35">
      <c r="C66878" s="2"/>
    </row>
    <row r="66879" spans="3:3" x14ac:dyDescent="0.35">
      <c r="C66879" s="2"/>
    </row>
    <row r="66880" spans="3:3" x14ac:dyDescent="0.35">
      <c r="C66880" s="2"/>
    </row>
    <row r="66881" spans="3:3" x14ac:dyDescent="0.35">
      <c r="C66881" s="2"/>
    </row>
    <row r="66882" spans="3:3" x14ac:dyDescent="0.35">
      <c r="C66882" s="2"/>
    </row>
    <row r="66883" spans="3:3" x14ac:dyDescent="0.35">
      <c r="C66883" s="2"/>
    </row>
    <row r="66884" spans="3:3" x14ac:dyDescent="0.35">
      <c r="C66884" s="2"/>
    </row>
    <row r="66885" spans="3:3" x14ac:dyDescent="0.35">
      <c r="C66885" s="2"/>
    </row>
    <row r="66886" spans="3:3" x14ac:dyDescent="0.35">
      <c r="C66886" s="2"/>
    </row>
    <row r="66887" spans="3:3" x14ac:dyDescent="0.35">
      <c r="C66887" s="2"/>
    </row>
    <row r="66888" spans="3:3" x14ac:dyDescent="0.35">
      <c r="C66888" s="2"/>
    </row>
    <row r="66889" spans="3:3" x14ac:dyDescent="0.35">
      <c r="C66889" s="2"/>
    </row>
    <row r="66890" spans="3:3" x14ac:dyDescent="0.35">
      <c r="C66890" s="2"/>
    </row>
    <row r="66891" spans="3:3" x14ac:dyDescent="0.35">
      <c r="C66891" s="2"/>
    </row>
    <row r="66892" spans="3:3" x14ac:dyDescent="0.35">
      <c r="C66892" s="2"/>
    </row>
    <row r="66893" spans="3:3" x14ac:dyDescent="0.35">
      <c r="C66893" s="2"/>
    </row>
    <row r="66894" spans="3:3" x14ac:dyDescent="0.35">
      <c r="C66894" s="2"/>
    </row>
    <row r="66895" spans="3:3" x14ac:dyDescent="0.35">
      <c r="C66895" s="2"/>
    </row>
    <row r="66896" spans="3:3" x14ac:dyDescent="0.35">
      <c r="C66896" s="2"/>
    </row>
    <row r="66897" spans="3:3" x14ac:dyDescent="0.35">
      <c r="C66897" s="2"/>
    </row>
    <row r="66898" spans="3:3" x14ac:dyDescent="0.35">
      <c r="C66898" s="2"/>
    </row>
    <row r="66899" spans="3:3" x14ac:dyDescent="0.35">
      <c r="C66899" s="2"/>
    </row>
    <row r="66900" spans="3:3" x14ac:dyDescent="0.35">
      <c r="C66900" s="2"/>
    </row>
    <row r="66901" spans="3:3" x14ac:dyDescent="0.35">
      <c r="C66901" s="2"/>
    </row>
    <row r="66902" spans="3:3" x14ac:dyDescent="0.35">
      <c r="C66902" s="2"/>
    </row>
    <row r="66903" spans="3:3" x14ac:dyDescent="0.35">
      <c r="C66903" s="2"/>
    </row>
    <row r="66904" spans="3:3" x14ac:dyDescent="0.35">
      <c r="C66904" s="2"/>
    </row>
    <row r="66905" spans="3:3" x14ac:dyDescent="0.35">
      <c r="C66905" s="2"/>
    </row>
    <row r="66906" spans="3:3" x14ac:dyDescent="0.35">
      <c r="C66906" s="2"/>
    </row>
    <row r="66907" spans="3:3" x14ac:dyDescent="0.35">
      <c r="C66907" s="2"/>
    </row>
    <row r="66908" spans="3:3" x14ac:dyDescent="0.35">
      <c r="C66908" s="2"/>
    </row>
    <row r="66909" spans="3:3" x14ac:dyDescent="0.35">
      <c r="C66909" s="2"/>
    </row>
    <row r="66910" spans="3:3" x14ac:dyDescent="0.35">
      <c r="C66910" s="2"/>
    </row>
    <row r="66911" spans="3:3" x14ac:dyDescent="0.35">
      <c r="C66911" s="2"/>
    </row>
    <row r="66912" spans="3:3" x14ac:dyDescent="0.35">
      <c r="C66912" s="2"/>
    </row>
    <row r="66913" spans="3:3" x14ac:dyDescent="0.35">
      <c r="C66913" s="2"/>
    </row>
    <row r="66914" spans="3:3" x14ac:dyDescent="0.35">
      <c r="C66914" s="2"/>
    </row>
    <row r="66915" spans="3:3" x14ac:dyDescent="0.35">
      <c r="C66915" s="2"/>
    </row>
    <row r="66916" spans="3:3" x14ac:dyDescent="0.35">
      <c r="C66916" s="2"/>
    </row>
    <row r="66917" spans="3:3" x14ac:dyDescent="0.35">
      <c r="C66917" s="2"/>
    </row>
    <row r="66918" spans="3:3" x14ac:dyDescent="0.35">
      <c r="C66918" s="2"/>
    </row>
    <row r="66919" spans="3:3" x14ac:dyDescent="0.35">
      <c r="C66919" s="2"/>
    </row>
    <row r="66920" spans="3:3" x14ac:dyDescent="0.35">
      <c r="C66920" s="2"/>
    </row>
    <row r="66921" spans="3:3" x14ac:dyDescent="0.35">
      <c r="C66921" s="2"/>
    </row>
    <row r="66922" spans="3:3" x14ac:dyDescent="0.35">
      <c r="C66922" s="2"/>
    </row>
    <row r="66923" spans="3:3" x14ac:dyDescent="0.35">
      <c r="C66923" s="2"/>
    </row>
    <row r="66924" spans="3:3" x14ac:dyDescent="0.35">
      <c r="C66924" s="2"/>
    </row>
    <row r="66925" spans="3:3" x14ac:dyDescent="0.35">
      <c r="C66925" s="2"/>
    </row>
    <row r="66926" spans="3:3" x14ac:dyDescent="0.35">
      <c r="C66926" s="2"/>
    </row>
    <row r="66927" spans="3:3" x14ac:dyDescent="0.35">
      <c r="C66927" s="2"/>
    </row>
    <row r="66928" spans="3:3" x14ac:dyDescent="0.35">
      <c r="C66928" s="2"/>
    </row>
    <row r="66929" spans="3:3" x14ac:dyDescent="0.35">
      <c r="C66929" s="2"/>
    </row>
    <row r="66930" spans="3:3" x14ac:dyDescent="0.35">
      <c r="C66930" s="2"/>
    </row>
    <row r="66931" spans="3:3" x14ac:dyDescent="0.35">
      <c r="C66931" s="2"/>
    </row>
    <row r="66932" spans="3:3" x14ac:dyDescent="0.35">
      <c r="C66932" s="2"/>
    </row>
    <row r="66933" spans="3:3" x14ac:dyDescent="0.35">
      <c r="C66933" s="2"/>
    </row>
    <row r="66934" spans="3:3" x14ac:dyDescent="0.35">
      <c r="C66934" s="2"/>
    </row>
    <row r="66935" spans="3:3" x14ac:dyDescent="0.35">
      <c r="C66935" s="2"/>
    </row>
    <row r="66936" spans="3:3" x14ac:dyDescent="0.35">
      <c r="C66936" s="2"/>
    </row>
    <row r="66937" spans="3:3" x14ac:dyDescent="0.35">
      <c r="C66937" s="2"/>
    </row>
    <row r="66938" spans="3:3" x14ac:dyDescent="0.35">
      <c r="C66938" s="2"/>
    </row>
    <row r="66939" spans="3:3" x14ac:dyDescent="0.35">
      <c r="C66939" s="2"/>
    </row>
    <row r="66940" spans="3:3" x14ac:dyDescent="0.35">
      <c r="C66940" s="2"/>
    </row>
    <row r="66941" spans="3:3" x14ac:dyDescent="0.35">
      <c r="C66941" s="2"/>
    </row>
    <row r="66942" spans="3:3" x14ac:dyDescent="0.35">
      <c r="C66942" s="2"/>
    </row>
    <row r="66943" spans="3:3" x14ac:dyDescent="0.35">
      <c r="C66943" s="2"/>
    </row>
    <row r="66944" spans="3:3" x14ac:dyDescent="0.35">
      <c r="C66944" s="2"/>
    </row>
    <row r="66945" spans="3:3" x14ac:dyDescent="0.35">
      <c r="C66945" s="2"/>
    </row>
    <row r="66946" spans="3:3" x14ac:dyDescent="0.35">
      <c r="C66946" s="2"/>
    </row>
    <row r="66947" spans="3:3" x14ac:dyDescent="0.35">
      <c r="C66947" s="2"/>
    </row>
    <row r="66948" spans="3:3" x14ac:dyDescent="0.35">
      <c r="C66948" s="2"/>
    </row>
    <row r="66949" spans="3:3" x14ac:dyDescent="0.35">
      <c r="C66949" s="2"/>
    </row>
    <row r="66950" spans="3:3" x14ac:dyDescent="0.35">
      <c r="C66950" s="2"/>
    </row>
    <row r="66951" spans="3:3" x14ac:dyDescent="0.35">
      <c r="C66951" s="2"/>
    </row>
    <row r="66952" spans="3:3" x14ac:dyDescent="0.35">
      <c r="C66952" s="2"/>
    </row>
    <row r="66953" spans="3:3" x14ac:dyDescent="0.35">
      <c r="C66953" s="2"/>
    </row>
    <row r="66954" spans="3:3" x14ac:dyDescent="0.35">
      <c r="C66954" s="2"/>
    </row>
    <row r="66955" spans="3:3" x14ac:dyDescent="0.35">
      <c r="C66955" s="2"/>
    </row>
    <row r="66956" spans="3:3" x14ac:dyDescent="0.35">
      <c r="C66956" s="2"/>
    </row>
    <row r="66957" spans="3:3" x14ac:dyDescent="0.35">
      <c r="C66957" s="2"/>
    </row>
    <row r="66958" spans="3:3" x14ac:dyDescent="0.35">
      <c r="C66958" s="2"/>
    </row>
    <row r="66959" spans="3:3" x14ac:dyDescent="0.35">
      <c r="C66959" s="2"/>
    </row>
    <row r="66960" spans="3:3" x14ac:dyDescent="0.35">
      <c r="C66960" s="2"/>
    </row>
    <row r="66961" spans="3:3" x14ac:dyDescent="0.35">
      <c r="C66961" s="2"/>
    </row>
    <row r="66962" spans="3:3" x14ac:dyDescent="0.35">
      <c r="C66962" s="2"/>
    </row>
    <row r="66963" spans="3:3" x14ac:dyDescent="0.35">
      <c r="C66963" s="2"/>
    </row>
    <row r="66964" spans="3:3" x14ac:dyDescent="0.35">
      <c r="C66964" s="2"/>
    </row>
    <row r="66965" spans="3:3" x14ac:dyDescent="0.35">
      <c r="C66965" s="2"/>
    </row>
    <row r="66966" spans="3:3" x14ac:dyDescent="0.35">
      <c r="C66966" s="2"/>
    </row>
    <row r="66967" spans="3:3" x14ac:dyDescent="0.35">
      <c r="C66967" s="2"/>
    </row>
    <row r="66968" spans="3:3" x14ac:dyDescent="0.35">
      <c r="C66968" s="2"/>
    </row>
    <row r="66969" spans="3:3" x14ac:dyDescent="0.35">
      <c r="C66969" s="2"/>
    </row>
    <row r="66970" spans="3:3" x14ac:dyDescent="0.35">
      <c r="C66970" s="2"/>
    </row>
    <row r="66971" spans="3:3" x14ac:dyDescent="0.35">
      <c r="C66971" s="2"/>
    </row>
    <row r="66972" spans="3:3" x14ac:dyDescent="0.35">
      <c r="C66972" s="2"/>
    </row>
    <row r="66973" spans="3:3" x14ac:dyDescent="0.35">
      <c r="C66973" s="2"/>
    </row>
    <row r="66974" spans="3:3" x14ac:dyDescent="0.35">
      <c r="C66974" s="2"/>
    </row>
    <row r="66975" spans="3:3" x14ac:dyDescent="0.35">
      <c r="C66975" s="2"/>
    </row>
    <row r="66976" spans="3:3" x14ac:dyDescent="0.35">
      <c r="C66976" s="2"/>
    </row>
    <row r="66977" spans="3:3" x14ac:dyDescent="0.35">
      <c r="C66977" s="2"/>
    </row>
    <row r="66978" spans="3:3" x14ac:dyDescent="0.35">
      <c r="C66978" s="2"/>
    </row>
    <row r="66979" spans="3:3" x14ac:dyDescent="0.35">
      <c r="C66979" s="2"/>
    </row>
    <row r="66980" spans="3:3" x14ac:dyDescent="0.35">
      <c r="C66980" s="2"/>
    </row>
    <row r="66981" spans="3:3" x14ac:dyDescent="0.35">
      <c r="C66981" s="2"/>
    </row>
    <row r="66982" spans="3:3" x14ac:dyDescent="0.35">
      <c r="C66982" s="2"/>
    </row>
    <row r="66983" spans="3:3" x14ac:dyDescent="0.35">
      <c r="C66983" s="2"/>
    </row>
    <row r="66984" spans="3:3" x14ac:dyDescent="0.35">
      <c r="C66984" s="2"/>
    </row>
    <row r="66985" spans="3:3" x14ac:dyDescent="0.35">
      <c r="C66985" s="2"/>
    </row>
    <row r="66986" spans="3:3" x14ac:dyDescent="0.35">
      <c r="C66986" s="2"/>
    </row>
    <row r="66987" spans="3:3" x14ac:dyDescent="0.35">
      <c r="C66987" s="2"/>
    </row>
    <row r="66988" spans="3:3" x14ac:dyDescent="0.35">
      <c r="C66988" s="2"/>
    </row>
    <row r="66989" spans="3:3" x14ac:dyDescent="0.35">
      <c r="C66989" s="2"/>
    </row>
    <row r="66990" spans="3:3" x14ac:dyDescent="0.35">
      <c r="C66990" s="2"/>
    </row>
    <row r="66991" spans="3:3" x14ac:dyDescent="0.35">
      <c r="C66991" s="2"/>
    </row>
    <row r="66992" spans="3:3" x14ac:dyDescent="0.35">
      <c r="C66992" s="2"/>
    </row>
    <row r="66993" spans="3:3" x14ac:dyDescent="0.35">
      <c r="C66993" s="2"/>
    </row>
    <row r="66994" spans="3:3" x14ac:dyDescent="0.35">
      <c r="C66994" s="2"/>
    </row>
    <row r="66995" spans="3:3" x14ac:dyDescent="0.35">
      <c r="C66995" s="2"/>
    </row>
    <row r="66996" spans="3:3" x14ac:dyDescent="0.35">
      <c r="C66996" s="2"/>
    </row>
    <row r="66997" spans="3:3" x14ac:dyDescent="0.35">
      <c r="C66997" s="2"/>
    </row>
    <row r="66998" spans="3:3" x14ac:dyDescent="0.35">
      <c r="C66998" s="2"/>
    </row>
    <row r="66999" spans="3:3" x14ac:dyDescent="0.35">
      <c r="C66999" s="2"/>
    </row>
    <row r="67000" spans="3:3" x14ac:dyDescent="0.35">
      <c r="C67000" s="2"/>
    </row>
    <row r="67001" spans="3:3" x14ac:dyDescent="0.35">
      <c r="C67001" s="2"/>
    </row>
    <row r="67002" spans="3:3" x14ac:dyDescent="0.35">
      <c r="C67002" s="2"/>
    </row>
    <row r="67003" spans="3:3" x14ac:dyDescent="0.35">
      <c r="C67003" s="2"/>
    </row>
    <row r="67004" spans="3:3" x14ac:dyDescent="0.35">
      <c r="C67004" s="2"/>
    </row>
    <row r="67005" spans="3:3" x14ac:dyDescent="0.35">
      <c r="C67005" s="2"/>
    </row>
    <row r="67006" spans="3:3" x14ac:dyDescent="0.35">
      <c r="C67006" s="2"/>
    </row>
    <row r="67007" spans="3:3" x14ac:dyDescent="0.35">
      <c r="C67007" s="2"/>
    </row>
    <row r="67008" spans="3:3" x14ac:dyDescent="0.35">
      <c r="C67008" s="2"/>
    </row>
    <row r="67009" spans="3:3" x14ac:dyDescent="0.35">
      <c r="C67009" s="2"/>
    </row>
    <row r="67010" spans="3:3" x14ac:dyDescent="0.35">
      <c r="C67010" s="2"/>
    </row>
    <row r="67011" spans="3:3" x14ac:dyDescent="0.35">
      <c r="C67011" s="2"/>
    </row>
    <row r="67012" spans="3:3" x14ac:dyDescent="0.35">
      <c r="C67012" s="2"/>
    </row>
    <row r="67013" spans="3:3" x14ac:dyDescent="0.35">
      <c r="C67013" s="2"/>
    </row>
    <row r="67014" spans="3:3" x14ac:dyDescent="0.35">
      <c r="C67014" s="2"/>
    </row>
    <row r="67015" spans="3:3" x14ac:dyDescent="0.35">
      <c r="C67015" s="2"/>
    </row>
    <row r="67016" spans="3:3" x14ac:dyDescent="0.35">
      <c r="C67016" s="2"/>
    </row>
    <row r="67017" spans="3:3" x14ac:dyDescent="0.35">
      <c r="C67017" s="2"/>
    </row>
    <row r="67018" spans="3:3" x14ac:dyDescent="0.35">
      <c r="C67018" s="2"/>
    </row>
    <row r="67019" spans="3:3" x14ac:dyDescent="0.35">
      <c r="C67019" s="2"/>
    </row>
    <row r="67020" spans="3:3" x14ac:dyDescent="0.35">
      <c r="C67020" s="2"/>
    </row>
    <row r="67021" spans="3:3" x14ac:dyDescent="0.35">
      <c r="C67021" s="2"/>
    </row>
    <row r="67022" spans="3:3" x14ac:dyDescent="0.35">
      <c r="C67022" s="2"/>
    </row>
    <row r="67023" spans="3:3" x14ac:dyDescent="0.35">
      <c r="C67023" s="2"/>
    </row>
    <row r="67024" spans="3:3" x14ac:dyDescent="0.35">
      <c r="C67024" s="2"/>
    </row>
    <row r="67025" spans="3:3" x14ac:dyDescent="0.35">
      <c r="C67025" s="2"/>
    </row>
    <row r="67026" spans="3:3" x14ac:dyDescent="0.35">
      <c r="C67026" s="2"/>
    </row>
    <row r="67027" spans="3:3" x14ac:dyDescent="0.35">
      <c r="C67027" s="2"/>
    </row>
    <row r="67028" spans="3:3" x14ac:dyDescent="0.35">
      <c r="C67028" s="2"/>
    </row>
    <row r="67029" spans="3:3" x14ac:dyDescent="0.35">
      <c r="C67029" s="2"/>
    </row>
    <row r="67030" spans="3:3" x14ac:dyDescent="0.35">
      <c r="C67030" s="2"/>
    </row>
    <row r="67031" spans="3:3" x14ac:dyDescent="0.35">
      <c r="C67031" s="2"/>
    </row>
    <row r="67032" spans="3:3" x14ac:dyDescent="0.35">
      <c r="C67032" s="2"/>
    </row>
    <row r="67033" spans="3:3" x14ac:dyDescent="0.35">
      <c r="C67033" s="2"/>
    </row>
    <row r="67034" spans="3:3" x14ac:dyDescent="0.35">
      <c r="C67034" s="2"/>
    </row>
    <row r="67035" spans="3:3" x14ac:dyDescent="0.35">
      <c r="C67035" s="2"/>
    </row>
    <row r="67036" spans="3:3" x14ac:dyDescent="0.35">
      <c r="C67036" s="2"/>
    </row>
    <row r="67037" spans="3:3" x14ac:dyDescent="0.35">
      <c r="C67037" s="2"/>
    </row>
    <row r="67038" spans="3:3" x14ac:dyDescent="0.35">
      <c r="C67038" s="2"/>
    </row>
    <row r="67039" spans="3:3" x14ac:dyDescent="0.35">
      <c r="C67039" s="2"/>
    </row>
    <row r="67040" spans="3:3" x14ac:dyDescent="0.35">
      <c r="C67040" s="2"/>
    </row>
    <row r="67041" spans="3:3" x14ac:dyDescent="0.35">
      <c r="C67041" s="2"/>
    </row>
    <row r="67042" spans="3:3" x14ac:dyDescent="0.35">
      <c r="C67042" s="2"/>
    </row>
    <row r="67043" spans="3:3" x14ac:dyDescent="0.35">
      <c r="C67043" s="2"/>
    </row>
    <row r="67044" spans="3:3" x14ac:dyDescent="0.35">
      <c r="C67044" s="2"/>
    </row>
    <row r="67045" spans="3:3" x14ac:dyDescent="0.35">
      <c r="C67045" s="2"/>
    </row>
    <row r="67046" spans="3:3" x14ac:dyDescent="0.35">
      <c r="C67046" s="2"/>
    </row>
    <row r="67047" spans="3:3" x14ac:dyDescent="0.35">
      <c r="C67047" s="2"/>
    </row>
    <row r="67048" spans="3:3" x14ac:dyDescent="0.35">
      <c r="C67048" s="2"/>
    </row>
    <row r="67049" spans="3:3" x14ac:dyDescent="0.35">
      <c r="C67049" s="2"/>
    </row>
    <row r="67050" spans="3:3" x14ac:dyDescent="0.35">
      <c r="C67050" s="2"/>
    </row>
    <row r="67051" spans="3:3" x14ac:dyDescent="0.35">
      <c r="C67051" s="2"/>
    </row>
    <row r="67052" spans="3:3" x14ac:dyDescent="0.35">
      <c r="C67052" s="2"/>
    </row>
    <row r="67053" spans="3:3" x14ac:dyDescent="0.35">
      <c r="C67053" s="2"/>
    </row>
    <row r="67054" spans="3:3" x14ac:dyDescent="0.35">
      <c r="C67054" s="2"/>
    </row>
    <row r="67055" spans="3:3" x14ac:dyDescent="0.35">
      <c r="C67055" s="2"/>
    </row>
    <row r="67056" spans="3:3" x14ac:dyDescent="0.35">
      <c r="C67056" s="2"/>
    </row>
    <row r="67057" spans="3:3" x14ac:dyDescent="0.35">
      <c r="C67057" s="2"/>
    </row>
    <row r="67058" spans="3:3" x14ac:dyDescent="0.35">
      <c r="C67058" s="2"/>
    </row>
    <row r="67059" spans="3:3" x14ac:dyDescent="0.35">
      <c r="C67059" s="2"/>
    </row>
    <row r="67060" spans="3:3" x14ac:dyDescent="0.35">
      <c r="C67060" s="2"/>
    </row>
    <row r="67061" spans="3:3" x14ac:dyDescent="0.35">
      <c r="C67061" s="2"/>
    </row>
    <row r="67062" spans="3:3" x14ac:dyDescent="0.35">
      <c r="C67062" s="2"/>
    </row>
    <row r="67063" spans="3:3" x14ac:dyDescent="0.35">
      <c r="C67063" s="2"/>
    </row>
    <row r="67064" spans="3:3" x14ac:dyDescent="0.35">
      <c r="C67064" s="2"/>
    </row>
    <row r="67065" spans="3:3" x14ac:dyDescent="0.35">
      <c r="C67065" s="2"/>
    </row>
    <row r="67066" spans="3:3" x14ac:dyDescent="0.35">
      <c r="C67066" s="2"/>
    </row>
    <row r="67067" spans="3:3" x14ac:dyDescent="0.35">
      <c r="C67067" s="2"/>
    </row>
    <row r="67068" spans="3:3" x14ac:dyDescent="0.35">
      <c r="C67068" s="2"/>
    </row>
    <row r="67069" spans="3:3" x14ac:dyDescent="0.35">
      <c r="C67069" s="2"/>
    </row>
    <row r="67070" spans="3:3" x14ac:dyDescent="0.35">
      <c r="C67070" s="2"/>
    </row>
    <row r="67071" spans="3:3" x14ac:dyDescent="0.35">
      <c r="C67071" s="2"/>
    </row>
    <row r="67072" spans="3:3" x14ac:dyDescent="0.35">
      <c r="C67072" s="2"/>
    </row>
    <row r="67073" spans="3:3" x14ac:dyDescent="0.35">
      <c r="C67073" s="2"/>
    </row>
    <row r="67074" spans="3:3" x14ac:dyDescent="0.35">
      <c r="C67074" s="2"/>
    </row>
    <row r="67075" spans="3:3" x14ac:dyDescent="0.35">
      <c r="C67075" s="2"/>
    </row>
    <row r="67076" spans="3:3" x14ac:dyDescent="0.35">
      <c r="C67076" s="2"/>
    </row>
    <row r="67077" spans="3:3" x14ac:dyDescent="0.35">
      <c r="C67077" s="2"/>
    </row>
    <row r="67078" spans="3:3" x14ac:dyDescent="0.35">
      <c r="C67078" s="2"/>
    </row>
    <row r="67079" spans="3:3" x14ac:dyDescent="0.35">
      <c r="C67079" s="2"/>
    </row>
    <row r="67080" spans="3:3" x14ac:dyDescent="0.35">
      <c r="C67080" s="2"/>
    </row>
    <row r="67081" spans="3:3" x14ac:dyDescent="0.35">
      <c r="C67081" s="2"/>
    </row>
    <row r="67082" spans="3:3" x14ac:dyDescent="0.35">
      <c r="C67082" s="2"/>
    </row>
    <row r="67083" spans="3:3" x14ac:dyDescent="0.35">
      <c r="C67083" s="2"/>
    </row>
    <row r="67084" spans="3:3" x14ac:dyDescent="0.35">
      <c r="C67084" s="2"/>
    </row>
    <row r="67085" spans="3:3" x14ac:dyDescent="0.35">
      <c r="C67085" s="2"/>
    </row>
    <row r="67086" spans="3:3" x14ac:dyDescent="0.35">
      <c r="C67086" s="2"/>
    </row>
    <row r="67087" spans="3:3" x14ac:dyDescent="0.35">
      <c r="C67087" s="2"/>
    </row>
    <row r="67088" spans="3:3" x14ac:dyDescent="0.35">
      <c r="C67088" s="2"/>
    </row>
    <row r="67089" spans="3:3" x14ac:dyDescent="0.35">
      <c r="C67089" s="2"/>
    </row>
    <row r="67090" spans="3:3" x14ac:dyDescent="0.35">
      <c r="C67090" s="2"/>
    </row>
    <row r="67091" spans="3:3" x14ac:dyDescent="0.35">
      <c r="C67091" s="2"/>
    </row>
    <row r="67092" spans="3:3" x14ac:dyDescent="0.35">
      <c r="C67092" s="2"/>
    </row>
    <row r="67093" spans="3:3" x14ac:dyDescent="0.35">
      <c r="C67093" s="2"/>
    </row>
    <row r="67094" spans="3:3" x14ac:dyDescent="0.35">
      <c r="C67094" s="2"/>
    </row>
    <row r="67095" spans="3:3" x14ac:dyDescent="0.35">
      <c r="C67095" s="2"/>
    </row>
    <row r="67096" spans="3:3" x14ac:dyDescent="0.35">
      <c r="C67096" s="2"/>
    </row>
    <row r="67097" spans="3:3" x14ac:dyDescent="0.35">
      <c r="C67097" s="2"/>
    </row>
    <row r="67098" spans="3:3" x14ac:dyDescent="0.35">
      <c r="C67098" s="2"/>
    </row>
    <row r="67099" spans="3:3" x14ac:dyDescent="0.35">
      <c r="C67099" s="2"/>
    </row>
    <row r="67100" spans="3:3" x14ac:dyDescent="0.35">
      <c r="C67100" s="2"/>
    </row>
    <row r="67101" spans="3:3" x14ac:dyDescent="0.35">
      <c r="C67101" s="2"/>
    </row>
    <row r="67102" spans="3:3" x14ac:dyDescent="0.35">
      <c r="C67102" s="2"/>
    </row>
    <row r="67103" spans="3:3" x14ac:dyDescent="0.35">
      <c r="C67103" s="2"/>
    </row>
    <row r="67104" spans="3:3" x14ac:dyDescent="0.35">
      <c r="C67104" s="2"/>
    </row>
    <row r="67105" spans="3:3" x14ac:dyDescent="0.35">
      <c r="C67105" s="2"/>
    </row>
    <row r="67106" spans="3:3" x14ac:dyDescent="0.35">
      <c r="C67106" s="2"/>
    </row>
    <row r="67107" spans="3:3" x14ac:dyDescent="0.35">
      <c r="C67107" s="2"/>
    </row>
    <row r="67108" spans="3:3" x14ac:dyDescent="0.35">
      <c r="C67108" s="2"/>
    </row>
    <row r="67109" spans="3:3" x14ac:dyDescent="0.35">
      <c r="C67109" s="2"/>
    </row>
    <row r="67110" spans="3:3" x14ac:dyDescent="0.35">
      <c r="C67110" s="2"/>
    </row>
    <row r="67111" spans="3:3" x14ac:dyDescent="0.35">
      <c r="C67111" s="2"/>
    </row>
    <row r="67112" spans="3:3" x14ac:dyDescent="0.35">
      <c r="C67112" s="2"/>
    </row>
    <row r="67113" spans="3:3" x14ac:dyDescent="0.35">
      <c r="C67113" s="2"/>
    </row>
    <row r="67114" spans="3:3" x14ac:dyDescent="0.35">
      <c r="C67114" s="2"/>
    </row>
    <row r="67115" spans="3:3" x14ac:dyDescent="0.35">
      <c r="C67115" s="2"/>
    </row>
    <row r="67116" spans="3:3" x14ac:dyDescent="0.35">
      <c r="C67116" s="2"/>
    </row>
    <row r="67117" spans="3:3" x14ac:dyDescent="0.35">
      <c r="C67117" s="2"/>
    </row>
    <row r="67118" spans="3:3" x14ac:dyDescent="0.35">
      <c r="C67118" s="2"/>
    </row>
    <row r="67119" spans="3:3" x14ac:dyDescent="0.35">
      <c r="C67119" s="2"/>
    </row>
    <row r="67120" spans="3:3" x14ac:dyDescent="0.35">
      <c r="C67120" s="2"/>
    </row>
    <row r="67121" spans="3:3" x14ac:dyDescent="0.35">
      <c r="C67121" s="2"/>
    </row>
    <row r="67122" spans="3:3" x14ac:dyDescent="0.35">
      <c r="C67122" s="2"/>
    </row>
    <row r="67123" spans="3:3" x14ac:dyDescent="0.35">
      <c r="C67123" s="2"/>
    </row>
    <row r="67124" spans="3:3" x14ac:dyDescent="0.35">
      <c r="C67124" s="2"/>
    </row>
    <row r="67125" spans="3:3" x14ac:dyDescent="0.35">
      <c r="C67125" s="2"/>
    </row>
    <row r="67126" spans="3:3" x14ac:dyDescent="0.35">
      <c r="C67126" s="2"/>
    </row>
    <row r="67127" spans="3:3" x14ac:dyDescent="0.35">
      <c r="C67127" s="2"/>
    </row>
    <row r="67128" spans="3:3" x14ac:dyDescent="0.35">
      <c r="C67128" s="2"/>
    </row>
    <row r="67129" spans="3:3" x14ac:dyDescent="0.35">
      <c r="C67129" s="2"/>
    </row>
    <row r="67130" spans="3:3" x14ac:dyDescent="0.35">
      <c r="C67130" s="2"/>
    </row>
    <row r="67131" spans="3:3" x14ac:dyDescent="0.35">
      <c r="C67131" s="2"/>
    </row>
    <row r="67132" spans="3:3" x14ac:dyDescent="0.35">
      <c r="C67132" s="2"/>
    </row>
    <row r="67133" spans="3:3" x14ac:dyDescent="0.35">
      <c r="C67133" s="2"/>
    </row>
    <row r="67134" spans="3:3" x14ac:dyDescent="0.35">
      <c r="C67134" s="2"/>
    </row>
    <row r="67135" spans="3:3" x14ac:dyDescent="0.35">
      <c r="C67135" s="2"/>
    </row>
    <row r="67136" spans="3:3" x14ac:dyDescent="0.35">
      <c r="C67136" s="2"/>
    </row>
    <row r="67137" spans="3:3" x14ac:dyDescent="0.35">
      <c r="C67137" s="2"/>
    </row>
    <row r="67138" spans="3:3" x14ac:dyDescent="0.35">
      <c r="C67138" s="2"/>
    </row>
    <row r="67139" spans="3:3" x14ac:dyDescent="0.35">
      <c r="C67139" s="2"/>
    </row>
    <row r="67140" spans="3:3" x14ac:dyDescent="0.35">
      <c r="C67140" s="2"/>
    </row>
    <row r="67141" spans="3:3" x14ac:dyDescent="0.35">
      <c r="C67141" s="2"/>
    </row>
    <row r="67142" spans="3:3" x14ac:dyDescent="0.35">
      <c r="C67142" s="2"/>
    </row>
    <row r="67143" spans="3:3" x14ac:dyDescent="0.35">
      <c r="C67143" s="2"/>
    </row>
    <row r="67144" spans="3:3" x14ac:dyDescent="0.35">
      <c r="C67144" s="2"/>
    </row>
    <row r="67145" spans="3:3" x14ac:dyDescent="0.35">
      <c r="C67145" s="2"/>
    </row>
    <row r="67146" spans="3:3" x14ac:dyDescent="0.35">
      <c r="C67146" s="2"/>
    </row>
    <row r="67147" spans="3:3" x14ac:dyDescent="0.35">
      <c r="C67147" s="2"/>
    </row>
    <row r="67148" spans="3:3" x14ac:dyDescent="0.35">
      <c r="C67148" s="2"/>
    </row>
    <row r="67149" spans="3:3" x14ac:dyDescent="0.35">
      <c r="C67149" s="2"/>
    </row>
    <row r="67150" spans="3:3" x14ac:dyDescent="0.35">
      <c r="C67150" s="2"/>
    </row>
    <row r="67151" spans="3:3" x14ac:dyDescent="0.35">
      <c r="C67151" s="2"/>
    </row>
    <row r="67152" spans="3:3" x14ac:dyDescent="0.35">
      <c r="C67152" s="2"/>
    </row>
    <row r="67153" spans="3:3" x14ac:dyDescent="0.35">
      <c r="C67153" s="2"/>
    </row>
    <row r="67154" spans="3:3" x14ac:dyDescent="0.35">
      <c r="C67154" s="2"/>
    </row>
    <row r="67155" spans="3:3" x14ac:dyDescent="0.35">
      <c r="C67155" s="2"/>
    </row>
    <row r="67156" spans="3:3" x14ac:dyDescent="0.35">
      <c r="C67156" s="2"/>
    </row>
    <row r="67157" spans="3:3" x14ac:dyDescent="0.35">
      <c r="C67157" s="2"/>
    </row>
    <row r="67158" spans="3:3" x14ac:dyDescent="0.35">
      <c r="C67158" s="2"/>
    </row>
    <row r="67159" spans="3:3" x14ac:dyDescent="0.35">
      <c r="C67159" s="2"/>
    </row>
    <row r="67160" spans="3:3" x14ac:dyDescent="0.35">
      <c r="C67160" s="2"/>
    </row>
    <row r="67161" spans="3:3" x14ac:dyDescent="0.35">
      <c r="C67161" s="2"/>
    </row>
    <row r="67162" spans="3:3" x14ac:dyDescent="0.35">
      <c r="C67162" s="2"/>
    </row>
    <row r="67163" spans="3:3" x14ac:dyDescent="0.35">
      <c r="C67163" s="2"/>
    </row>
    <row r="67164" spans="3:3" x14ac:dyDescent="0.35">
      <c r="C67164" s="2"/>
    </row>
    <row r="67165" spans="3:3" x14ac:dyDescent="0.35">
      <c r="C67165" s="2"/>
    </row>
    <row r="67166" spans="3:3" x14ac:dyDescent="0.35">
      <c r="C67166" s="2"/>
    </row>
    <row r="67167" spans="3:3" x14ac:dyDescent="0.35">
      <c r="C67167" s="2"/>
    </row>
    <row r="67168" spans="3:3" x14ac:dyDescent="0.35">
      <c r="C67168" s="2"/>
    </row>
    <row r="67169" spans="3:3" x14ac:dyDescent="0.35">
      <c r="C67169" s="2"/>
    </row>
    <row r="67170" spans="3:3" x14ac:dyDescent="0.35">
      <c r="C67170" s="2"/>
    </row>
    <row r="67171" spans="3:3" x14ac:dyDescent="0.35">
      <c r="C67171" s="2"/>
    </row>
    <row r="67172" spans="3:3" x14ac:dyDescent="0.35">
      <c r="C67172" s="2"/>
    </row>
    <row r="67173" spans="3:3" x14ac:dyDescent="0.35">
      <c r="C67173" s="2"/>
    </row>
    <row r="67174" spans="3:3" x14ac:dyDescent="0.35">
      <c r="C67174" s="2"/>
    </row>
    <row r="67175" spans="3:3" x14ac:dyDescent="0.35">
      <c r="C67175" s="2"/>
    </row>
    <row r="67176" spans="3:3" x14ac:dyDescent="0.35">
      <c r="C67176" s="2"/>
    </row>
    <row r="67177" spans="3:3" x14ac:dyDescent="0.35">
      <c r="C67177" s="2"/>
    </row>
    <row r="67178" spans="3:3" x14ac:dyDescent="0.35">
      <c r="C67178" s="2"/>
    </row>
    <row r="67179" spans="3:3" x14ac:dyDescent="0.35">
      <c r="C67179" s="2"/>
    </row>
    <row r="67180" spans="3:3" x14ac:dyDescent="0.35">
      <c r="C67180" s="2"/>
    </row>
    <row r="67181" spans="3:3" x14ac:dyDescent="0.35">
      <c r="C67181" s="2"/>
    </row>
    <row r="67182" spans="3:3" x14ac:dyDescent="0.35">
      <c r="C67182" s="2"/>
    </row>
    <row r="67183" spans="3:3" x14ac:dyDescent="0.35">
      <c r="C67183" s="2"/>
    </row>
    <row r="67184" spans="3:3" x14ac:dyDescent="0.35">
      <c r="C67184" s="2"/>
    </row>
    <row r="67185" spans="3:3" x14ac:dyDescent="0.35">
      <c r="C67185" s="2"/>
    </row>
    <row r="67186" spans="3:3" x14ac:dyDescent="0.35">
      <c r="C67186" s="2"/>
    </row>
    <row r="67187" spans="3:3" x14ac:dyDescent="0.35">
      <c r="C67187" s="2"/>
    </row>
    <row r="67188" spans="3:3" x14ac:dyDescent="0.35">
      <c r="C67188" s="2"/>
    </row>
    <row r="67189" spans="3:3" x14ac:dyDescent="0.35">
      <c r="C67189" s="2"/>
    </row>
    <row r="67190" spans="3:3" x14ac:dyDescent="0.35">
      <c r="C67190" s="2"/>
    </row>
    <row r="67191" spans="3:3" x14ac:dyDescent="0.35">
      <c r="C67191" s="2"/>
    </row>
    <row r="67192" spans="3:3" x14ac:dyDescent="0.35">
      <c r="C67192" s="2"/>
    </row>
    <row r="67193" spans="3:3" x14ac:dyDescent="0.35">
      <c r="C67193" s="2"/>
    </row>
    <row r="67194" spans="3:3" x14ac:dyDescent="0.35">
      <c r="C67194" s="2"/>
    </row>
    <row r="67195" spans="3:3" x14ac:dyDescent="0.35">
      <c r="C67195" s="2"/>
    </row>
    <row r="67196" spans="3:3" x14ac:dyDescent="0.35">
      <c r="C67196" s="2"/>
    </row>
    <row r="67197" spans="3:3" x14ac:dyDescent="0.35">
      <c r="C67197" s="2"/>
    </row>
    <row r="67198" spans="3:3" x14ac:dyDescent="0.35">
      <c r="C67198" s="2"/>
    </row>
    <row r="67199" spans="3:3" x14ac:dyDescent="0.35">
      <c r="C67199" s="2"/>
    </row>
    <row r="67200" spans="3:3" x14ac:dyDescent="0.35">
      <c r="C67200" s="2"/>
    </row>
    <row r="67201" spans="3:3" x14ac:dyDescent="0.35">
      <c r="C67201" s="2"/>
    </row>
    <row r="67202" spans="3:3" x14ac:dyDescent="0.35">
      <c r="C67202" s="2"/>
    </row>
    <row r="67203" spans="3:3" x14ac:dyDescent="0.35">
      <c r="C67203" s="2"/>
    </row>
    <row r="67204" spans="3:3" x14ac:dyDescent="0.35">
      <c r="C67204" s="2"/>
    </row>
    <row r="67205" spans="3:3" x14ac:dyDescent="0.35">
      <c r="C67205" s="2"/>
    </row>
    <row r="67206" spans="3:3" x14ac:dyDescent="0.35">
      <c r="C67206" s="2"/>
    </row>
    <row r="67207" spans="3:3" x14ac:dyDescent="0.35">
      <c r="C67207" s="2"/>
    </row>
    <row r="67208" spans="3:3" x14ac:dyDescent="0.35">
      <c r="C67208" s="2"/>
    </row>
    <row r="67209" spans="3:3" x14ac:dyDescent="0.35">
      <c r="C67209" s="2"/>
    </row>
    <row r="67210" spans="3:3" x14ac:dyDescent="0.35">
      <c r="C67210" s="2"/>
    </row>
    <row r="67211" spans="3:3" x14ac:dyDescent="0.35">
      <c r="C67211" s="2"/>
    </row>
    <row r="67212" spans="3:3" x14ac:dyDescent="0.35">
      <c r="C67212" s="2"/>
    </row>
    <row r="67213" spans="3:3" x14ac:dyDescent="0.35">
      <c r="C67213" s="2"/>
    </row>
    <row r="67214" spans="3:3" x14ac:dyDescent="0.35">
      <c r="C67214" s="2"/>
    </row>
    <row r="67215" spans="3:3" x14ac:dyDescent="0.35">
      <c r="C67215" s="2"/>
    </row>
    <row r="67216" spans="3:3" x14ac:dyDescent="0.35">
      <c r="C67216" s="2"/>
    </row>
    <row r="67217" spans="3:3" x14ac:dyDescent="0.35">
      <c r="C67217" s="2"/>
    </row>
    <row r="67218" spans="3:3" x14ac:dyDescent="0.35">
      <c r="C67218" s="2"/>
    </row>
    <row r="67219" spans="3:3" x14ac:dyDescent="0.35">
      <c r="C67219" s="2"/>
    </row>
    <row r="67220" spans="3:3" x14ac:dyDescent="0.35">
      <c r="C67220" s="2"/>
    </row>
    <row r="67221" spans="3:3" x14ac:dyDescent="0.35">
      <c r="C67221" s="2"/>
    </row>
    <row r="67222" spans="3:3" x14ac:dyDescent="0.35">
      <c r="C67222" s="2"/>
    </row>
    <row r="67223" spans="3:3" x14ac:dyDescent="0.35">
      <c r="C67223" s="2"/>
    </row>
    <row r="67224" spans="3:3" x14ac:dyDescent="0.35">
      <c r="C67224" s="2"/>
    </row>
    <row r="67225" spans="3:3" x14ac:dyDescent="0.35">
      <c r="C67225" s="2"/>
    </row>
    <row r="67226" spans="3:3" x14ac:dyDescent="0.35">
      <c r="C67226" s="2"/>
    </row>
    <row r="67227" spans="3:3" x14ac:dyDescent="0.35">
      <c r="C67227" s="2"/>
    </row>
    <row r="67228" spans="3:3" x14ac:dyDescent="0.35">
      <c r="C67228" s="2"/>
    </row>
    <row r="67229" spans="3:3" x14ac:dyDescent="0.35">
      <c r="C67229" s="2"/>
    </row>
    <row r="67230" spans="3:3" x14ac:dyDescent="0.35">
      <c r="C67230" s="2"/>
    </row>
    <row r="67231" spans="3:3" x14ac:dyDescent="0.35">
      <c r="C67231" s="2"/>
    </row>
    <row r="67232" spans="3:3" x14ac:dyDescent="0.35">
      <c r="C67232" s="2"/>
    </row>
    <row r="67233" spans="3:3" x14ac:dyDescent="0.35">
      <c r="C67233" s="2"/>
    </row>
    <row r="67234" spans="3:3" x14ac:dyDescent="0.35">
      <c r="C67234" s="2"/>
    </row>
    <row r="67235" spans="3:3" x14ac:dyDescent="0.35">
      <c r="C67235" s="2"/>
    </row>
    <row r="67236" spans="3:3" x14ac:dyDescent="0.35">
      <c r="C67236" s="2"/>
    </row>
    <row r="67237" spans="3:3" x14ac:dyDescent="0.35">
      <c r="C67237" s="2"/>
    </row>
    <row r="67238" spans="3:3" x14ac:dyDescent="0.35">
      <c r="C67238" s="2"/>
    </row>
    <row r="67239" spans="3:3" x14ac:dyDescent="0.35">
      <c r="C67239" s="2"/>
    </row>
    <row r="67240" spans="3:3" x14ac:dyDescent="0.35">
      <c r="C67240" s="2"/>
    </row>
    <row r="67241" spans="3:3" x14ac:dyDescent="0.35">
      <c r="C67241" s="2"/>
    </row>
    <row r="67242" spans="3:3" x14ac:dyDescent="0.35">
      <c r="C67242" s="2"/>
    </row>
    <row r="67243" spans="3:3" x14ac:dyDescent="0.35">
      <c r="C67243" s="2"/>
    </row>
    <row r="67244" spans="3:3" x14ac:dyDescent="0.35">
      <c r="C67244" s="2"/>
    </row>
    <row r="67245" spans="3:3" x14ac:dyDescent="0.35">
      <c r="C67245" s="2"/>
    </row>
    <row r="67246" spans="3:3" x14ac:dyDescent="0.35">
      <c r="C67246" s="2"/>
    </row>
    <row r="67247" spans="3:3" x14ac:dyDescent="0.35">
      <c r="C67247" s="2"/>
    </row>
    <row r="67248" spans="3:3" x14ac:dyDescent="0.35">
      <c r="C67248" s="2"/>
    </row>
    <row r="67249" spans="3:3" x14ac:dyDescent="0.35">
      <c r="C67249" s="2"/>
    </row>
    <row r="67250" spans="3:3" x14ac:dyDescent="0.35">
      <c r="C67250" s="2"/>
    </row>
    <row r="67251" spans="3:3" x14ac:dyDescent="0.35">
      <c r="C67251" s="2"/>
    </row>
    <row r="67252" spans="3:3" x14ac:dyDescent="0.35">
      <c r="C67252" s="2"/>
    </row>
    <row r="67253" spans="3:3" x14ac:dyDescent="0.35">
      <c r="C67253" s="2"/>
    </row>
    <row r="67254" spans="3:3" x14ac:dyDescent="0.35">
      <c r="C67254" s="2"/>
    </row>
    <row r="67255" spans="3:3" x14ac:dyDescent="0.35">
      <c r="C67255" s="2"/>
    </row>
    <row r="67256" spans="3:3" x14ac:dyDescent="0.35">
      <c r="C67256" s="2"/>
    </row>
    <row r="67257" spans="3:3" x14ac:dyDescent="0.35">
      <c r="C67257" s="2"/>
    </row>
    <row r="67258" spans="3:3" x14ac:dyDescent="0.35">
      <c r="C67258" s="2"/>
    </row>
    <row r="67259" spans="3:3" x14ac:dyDescent="0.35">
      <c r="C67259" s="2"/>
    </row>
    <row r="67260" spans="3:3" x14ac:dyDescent="0.35">
      <c r="C67260" s="2"/>
    </row>
    <row r="67261" spans="3:3" x14ac:dyDescent="0.35">
      <c r="C67261" s="2"/>
    </row>
    <row r="67262" spans="3:3" x14ac:dyDescent="0.35">
      <c r="C67262" s="2"/>
    </row>
    <row r="67263" spans="3:3" x14ac:dyDescent="0.35">
      <c r="C67263" s="2"/>
    </row>
    <row r="67264" spans="3:3" x14ac:dyDescent="0.35">
      <c r="C67264" s="2"/>
    </row>
    <row r="67265" spans="3:3" x14ac:dyDescent="0.35">
      <c r="C67265" s="2"/>
    </row>
    <row r="67266" spans="3:3" x14ac:dyDescent="0.35">
      <c r="C67266" s="2"/>
    </row>
    <row r="67267" spans="3:3" x14ac:dyDescent="0.35">
      <c r="C67267" s="2"/>
    </row>
    <row r="67268" spans="3:3" x14ac:dyDescent="0.35">
      <c r="C67268" s="2"/>
    </row>
    <row r="67269" spans="3:3" x14ac:dyDescent="0.35">
      <c r="C67269" s="2"/>
    </row>
    <row r="67270" spans="3:3" x14ac:dyDescent="0.35">
      <c r="C67270" s="2"/>
    </row>
    <row r="67271" spans="3:3" x14ac:dyDescent="0.35">
      <c r="C67271" s="2"/>
    </row>
    <row r="67272" spans="3:3" x14ac:dyDescent="0.35">
      <c r="C67272" s="2"/>
    </row>
    <row r="67273" spans="3:3" x14ac:dyDescent="0.35">
      <c r="C67273" s="2"/>
    </row>
    <row r="67274" spans="3:3" x14ac:dyDescent="0.35">
      <c r="C67274" s="2"/>
    </row>
    <row r="67275" spans="3:3" x14ac:dyDescent="0.35">
      <c r="C67275" s="2"/>
    </row>
    <row r="67276" spans="3:3" x14ac:dyDescent="0.35">
      <c r="C67276" s="2"/>
    </row>
    <row r="67277" spans="3:3" x14ac:dyDescent="0.35">
      <c r="C67277" s="2"/>
    </row>
    <row r="67278" spans="3:3" x14ac:dyDescent="0.35">
      <c r="C67278" s="2"/>
    </row>
    <row r="67279" spans="3:3" x14ac:dyDescent="0.35">
      <c r="C67279" s="2"/>
    </row>
    <row r="67280" spans="3:3" x14ac:dyDescent="0.35">
      <c r="C67280" s="2"/>
    </row>
    <row r="67281" spans="3:3" x14ac:dyDescent="0.35">
      <c r="C67281" s="2"/>
    </row>
    <row r="67282" spans="3:3" x14ac:dyDescent="0.35">
      <c r="C67282" s="2"/>
    </row>
    <row r="67283" spans="3:3" x14ac:dyDescent="0.35">
      <c r="C67283" s="2"/>
    </row>
    <row r="67284" spans="3:3" x14ac:dyDescent="0.35">
      <c r="C67284" s="2"/>
    </row>
    <row r="67285" spans="3:3" x14ac:dyDescent="0.35">
      <c r="C67285" s="2"/>
    </row>
    <row r="67286" spans="3:3" x14ac:dyDescent="0.35">
      <c r="C67286" s="2"/>
    </row>
    <row r="67287" spans="3:3" x14ac:dyDescent="0.35">
      <c r="C67287" s="2"/>
    </row>
    <row r="67288" spans="3:3" x14ac:dyDescent="0.35">
      <c r="C67288" s="2"/>
    </row>
    <row r="67289" spans="3:3" x14ac:dyDescent="0.35">
      <c r="C67289" s="2"/>
    </row>
    <row r="67290" spans="3:3" x14ac:dyDescent="0.35">
      <c r="C67290" s="2"/>
    </row>
    <row r="67291" spans="3:3" x14ac:dyDescent="0.35">
      <c r="C67291" s="2"/>
    </row>
    <row r="67292" spans="3:3" x14ac:dyDescent="0.35">
      <c r="C67292" s="2"/>
    </row>
    <row r="67293" spans="3:3" x14ac:dyDescent="0.35">
      <c r="C67293" s="2"/>
    </row>
    <row r="67294" spans="3:3" x14ac:dyDescent="0.35">
      <c r="C67294" s="2"/>
    </row>
    <row r="67295" spans="3:3" x14ac:dyDescent="0.35">
      <c r="C67295" s="2"/>
    </row>
    <row r="67296" spans="3:3" x14ac:dyDescent="0.35">
      <c r="C67296" s="2"/>
    </row>
    <row r="67297" spans="3:3" x14ac:dyDescent="0.35">
      <c r="C67297" s="2"/>
    </row>
    <row r="67298" spans="3:3" x14ac:dyDescent="0.35">
      <c r="C67298" s="2"/>
    </row>
    <row r="67299" spans="3:3" x14ac:dyDescent="0.35">
      <c r="C67299" s="2"/>
    </row>
    <row r="67300" spans="3:3" x14ac:dyDescent="0.35">
      <c r="C67300" s="2"/>
    </row>
    <row r="67301" spans="3:3" x14ac:dyDescent="0.35">
      <c r="C67301" s="2"/>
    </row>
    <row r="67302" spans="3:3" x14ac:dyDescent="0.35">
      <c r="C67302" s="2"/>
    </row>
    <row r="67303" spans="3:3" x14ac:dyDescent="0.35">
      <c r="C67303" s="2"/>
    </row>
    <row r="67304" spans="3:3" x14ac:dyDescent="0.35">
      <c r="C67304" s="2"/>
    </row>
    <row r="67305" spans="3:3" x14ac:dyDescent="0.35">
      <c r="C67305" s="2"/>
    </row>
    <row r="67306" spans="3:3" x14ac:dyDescent="0.35">
      <c r="C67306" s="2"/>
    </row>
    <row r="67307" spans="3:3" x14ac:dyDescent="0.35">
      <c r="C67307" s="2"/>
    </row>
    <row r="67308" spans="3:3" x14ac:dyDescent="0.35">
      <c r="C67308" s="2"/>
    </row>
    <row r="67309" spans="3:3" x14ac:dyDescent="0.35">
      <c r="C67309" s="2"/>
    </row>
    <row r="67310" spans="3:3" x14ac:dyDescent="0.35">
      <c r="C67310" s="2"/>
    </row>
    <row r="67311" spans="3:3" x14ac:dyDescent="0.35">
      <c r="C67311" s="2"/>
    </row>
    <row r="67312" spans="3:3" x14ac:dyDescent="0.35">
      <c r="C67312" s="2"/>
    </row>
    <row r="67313" spans="3:3" x14ac:dyDescent="0.35">
      <c r="C67313" s="2"/>
    </row>
    <row r="67314" spans="3:3" x14ac:dyDescent="0.35">
      <c r="C67314" s="2"/>
    </row>
    <row r="67315" spans="3:3" x14ac:dyDescent="0.35">
      <c r="C67315" s="2"/>
    </row>
    <row r="67316" spans="3:3" x14ac:dyDescent="0.35">
      <c r="C67316" s="2"/>
    </row>
    <row r="67317" spans="3:3" x14ac:dyDescent="0.35">
      <c r="C67317" s="2"/>
    </row>
    <row r="67318" spans="3:3" x14ac:dyDescent="0.35">
      <c r="C67318" s="2"/>
    </row>
    <row r="67319" spans="3:3" x14ac:dyDescent="0.35">
      <c r="C67319" s="2"/>
    </row>
    <row r="67320" spans="3:3" x14ac:dyDescent="0.35">
      <c r="C67320" s="2"/>
    </row>
    <row r="67321" spans="3:3" x14ac:dyDescent="0.35">
      <c r="C67321" s="2"/>
    </row>
    <row r="67322" spans="3:3" x14ac:dyDescent="0.35">
      <c r="C67322" s="2"/>
    </row>
    <row r="67323" spans="3:3" x14ac:dyDescent="0.35">
      <c r="C67323" s="2"/>
    </row>
    <row r="67324" spans="3:3" x14ac:dyDescent="0.35">
      <c r="C67324" s="2"/>
    </row>
    <row r="67325" spans="3:3" x14ac:dyDescent="0.35">
      <c r="C67325" s="2"/>
    </row>
    <row r="67326" spans="3:3" x14ac:dyDescent="0.35">
      <c r="C67326" s="2"/>
    </row>
    <row r="67327" spans="3:3" x14ac:dyDescent="0.35">
      <c r="C67327" s="2"/>
    </row>
    <row r="67328" spans="3:3" x14ac:dyDescent="0.35">
      <c r="C67328" s="2"/>
    </row>
    <row r="67329" spans="3:3" x14ac:dyDescent="0.35">
      <c r="C67329" s="2"/>
    </row>
    <row r="67330" spans="3:3" x14ac:dyDescent="0.35">
      <c r="C67330" s="2"/>
    </row>
    <row r="67331" spans="3:3" x14ac:dyDescent="0.35">
      <c r="C67331" s="2"/>
    </row>
    <row r="67332" spans="3:3" x14ac:dyDescent="0.35">
      <c r="C67332" s="2"/>
    </row>
    <row r="67333" spans="3:3" x14ac:dyDescent="0.35">
      <c r="C67333" s="2"/>
    </row>
    <row r="67334" spans="3:3" x14ac:dyDescent="0.35">
      <c r="C67334" s="2"/>
    </row>
    <row r="67335" spans="3:3" x14ac:dyDescent="0.35">
      <c r="C67335" s="2"/>
    </row>
    <row r="67336" spans="3:3" x14ac:dyDescent="0.35">
      <c r="C67336" s="2"/>
    </row>
    <row r="67337" spans="3:3" x14ac:dyDescent="0.35">
      <c r="C67337" s="2"/>
    </row>
    <row r="67338" spans="3:3" x14ac:dyDescent="0.35">
      <c r="C67338" s="2"/>
    </row>
    <row r="67339" spans="3:3" x14ac:dyDescent="0.35">
      <c r="C67339" s="2"/>
    </row>
    <row r="67340" spans="3:3" x14ac:dyDescent="0.35">
      <c r="C67340" s="2"/>
    </row>
    <row r="67341" spans="3:3" x14ac:dyDescent="0.35">
      <c r="C67341" s="2"/>
    </row>
    <row r="67342" spans="3:3" x14ac:dyDescent="0.35">
      <c r="C67342" s="2"/>
    </row>
    <row r="67343" spans="3:3" x14ac:dyDescent="0.35">
      <c r="C67343" s="2"/>
    </row>
    <row r="67344" spans="3:3" x14ac:dyDescent="0.35">
      <c r="C67344" s="2"/>
    </row>
    <row r="67345" spans="3:3" x14ac:dyDescent="0.35">
      <c r="C67345" s="2"/>
    </row>
    <row r="67346" spans="3:3" x14ac:dyDescent="0.35">
      <c r="C67346" s="2"/>
    </row>
    <row r="67347" spans="3:3" x14ac:dyDescent="0.35">
      <c r="C67347" s="2"/>
    </row>
    <row r="67348" spans="3:3" x14ac:dyDescent="0.35">
      <c r="C67348" s="2"/>
    </row>
    <row r="67349" spans="3:3" x14ac:dyDescent="0.35">
      <c r="C67349" s="2"/>
    </row>
    <row r="67350" spans="3:3" x14ac:dyDescent="0.35">
      <c r="C67350" s="2"/>
    </row>
    <row r="67351" spans="3:3" x14ac:dyDescent="0.35">
      <c r="C67351" s="2"/>
    </row>
    <row r="67352" spans="3:3" x14ac:dyDescent="0.35">
      <c r="C67352" s="2"/>
    </row>
    <row r="67353" spans="3:3" x14ac:dyDescent="0.35">
      <c r="C67353" s="2"/>
    </row>
    <row r="67354" spans="3:3" x14ac:dyDescent="0.35">
      <c r="C67354" s="2"/>
    </row>
    <row r="67355" spans="3:3" x14ac:dyDescent="0.35">
      <c r="C67355" s="2"/>
    </row>
    <row r="67356" spans="3:3" x14ac:dyDescent="0.35">
      <c r="C67356" s="2"/>
    </row>
    <row r="67357" spans="3:3" x14ac:dyDescent="0.35">
      <c r="C67357" s="2"/>
    </row>
    <row r="67358" spans="3:3" x14ac:dyDescent="0.35">
      <c r="C67358" s="2"/>
    </row>
    <row r="67359" spans="3:3" x14ac:dyDescent="0.35">
      <c r="C67359" s="2"/>
    </row>
    <row r="67360" spans="3:3" x14ac:dyDescent="0.35">
      <c r="C67360" s="2"/>
    </row>
    <row r="67361" spans="3:3" x14ac:dyDescent="0.35">
      <c r="C67361" s="2"/>
    </row>
    <row r="67362" spans="3:3" x14ac:dyDescent="0.35">
      <c r="C67362" s="2"/>
    </row>
    <row r="67363" spans="3:3" x14ac:dyDescent="0.35">
      <c r="C67363" s="2"/>
    </row>
    <row r="67364" spans="3:3" x14ac:dyDescent="0.35">
      <c r="C67364" s="2"/>
    </row>
    <row r="67365" spans="3:3" x14ac:dyDescent="0.35">
      <c r="C67365" s="2"/>
    </row>
    <row r="67366" spans="3:3" x14ac:dyDescent="0.35">
      <c r="C67366" s="2"/>
    </row>
    <row r="67367" spans="3:3" x14ac:dyDescent="0.35">
      <c r="C67367" s="2"/>
    </row>
    <row r="67368" spans="3:3" x14ac:dyDescent="0.35">
      <c r="C67368" s="2"/>
    </row>
    <row r="67369" spans="3:3" x14ac:dyDescent="0.35">
      <c r="C67369" s="2"/>
    </row>
    <row r="67370" spans="3:3" x14ac:dyDescent="0.35">
      <c r="C67370" s="2"/>
    </row>
    <row r="67371" spans="3:3" x14ac:dyDescent="0.35">
      <c r="C67371" s="2"/>
    </row>
    <row r="67372" spans="3:3" x14ac:dyDescent="0.35">
      <c r="C67372" s="2"/>
    </row>
    <row r="67373" spans="3:3" x14ac:dyDescent="0.35">
      <c r="C67373" s="2"/>
    </row>
    <row r="67374" spans="3:3" x14ac:dyDescent="0.35">
      <c r="C67374" s="2"/>
    </row>
    <row r="67375" spans="3:3" x14ac:dyDescent="0.35">
      <c r="C67375" s="2"/>
    </row>
    <row r="67376" spans="3:3" x14ac:dyDescent="0.35">
      <c r="C67376" s="2"/>
    </row>
    <row r="67377" spans="3:3" x14ac:dyDescent="0.35">
      <c r="C67377" s="2"/>
    </row>
    <row r="67378" spans="3:3" x14ac:dyDescent="0.35">
      <c r="C67378" s="2"/>
    </row>
    <row r="67379" spans="3:3" x14ac:dyDescent="0.35">
      <c r="C67379" s="2"/>
    </row>
    <row r="67380" spans="3:3" x14ac:dyDescent="0.35">
      <c r="C67380" s="2"/>
    </row>
    <row r="67381" spans="3:3" x14ac:dyDescent="0.35">
      <c r="C67381" s="2"/>
    </row>
    <row r="67382" spans="3:3" x14ac:dyDescent="0.35">
      <c r="C67382" s="2"/>
    </row>
    <row r="67383" spans="3:3" x14ac:dyDescent="0.35">
      <c r="C67383" s="2"/>
    </row>
    <row r="67384" spans="3:3" x14ac:dyDescent="0.35">
      <c r="C67384" s="2"/>
    </row>
    <row r="67385" spans="3:3" x14ac:dyDescent="0.35">
      <c r="C67385" s="2"/>
    </row>
    <row r="67386" spans="3:3" x14ac:dyDescent="0.35">
      <c r="C67386" s="2"/>
    </row>
    <row r="67387" spans="3:3" x14ac:dyDescent="0.35">
      <c r="C67387" s="2"/>
    </row>
    <row r="67388" spans="3:3" x14ac:dyDescent="0.35">
      <c r="C67388" s="2"/>
    </row>
    <row r="67389" spans="3:3" x14ac:dyDescent="0.35">
      <c r="C67389" s="2"/>
    </row>
    <row r="67390" spans="3:3" x14ac:dyDescent="0.35">
      <c r="C67390" s="2"/>
    </row>
    <row r="67391" spans="3:3" x14ac:dyDescent="0.35">
      <c r="C67391" s="2"/>
    </row>
    <row r="67392" spans="3:3" x14ac:dyDescent="0.35">
      <c r="C67392" s="2"/>
    </row>
    <row r="67393" spans="3:3" x14ac:dyDescent="0.35">
      <c r="C67393" s="2"/>
    </row>
    <row r="67394" spans="3:3" x14ac:dyDescent="0.35">
      <c r="C67394" s="2"/>
    </row>
    <row r="67395" spans="3:3" x14ac:dyDescent="0.35">
      <c r="C67395" s="2"/>
    </row>
    <row r="67396" spans="3:3" x14ac:dyDescent="0.35">
      <c r="C67396" s="2"/>
    </row>
    <row r="67397" spans="3:3" x14ac:dyDescent="0.35">
      <c r="C67397" s="2"/>
    </row>
    <row r="67398" spans="3:3" x14ac:dyDescent="0.35">
      <c r="C67398" s="2"/>
    </row>
    <row r="67399" spans="3:3" x14ac:dyDescent="0.35">
      <c r="C67399" s="2"/>
    </row>
    <row r="67400" spans="3:3" x14ac:dyDescent="0.35">
      <c r="C67400" s="2"/>
    </row>
    <row r="67401" spans="3:3" x14ac:dyDescent="0.35">
      <c r="C67401" s="2"/>
    </row>
    <row r="67402" spans="3:3" x14ac:dyDescent="0.35">
      <c r="C67402" s="2"/>
    </row>
    <row r="67403" spans="3:3" x14ac:dyDescent="0.35">
      <c r="C67403" s="2"/>
    </row>
    <row r="67404" spans="3:3" x14ac:dyDescent="0.35">
      <c r="C67404" s="2"/>
    </row>
    <row r="67405" spans="3:3" x14ac:dyDescent="0.35">
      <c r="C67405" s="2"/>
    </row>
    <row r="67406" spans="3:3" x14ac:dyDescent="0.35">
      <c r="C67406" s="2"/>
    </row>
    <row r="67407" spans="3:3" x14ac:dyDescent="0.35">
      <c r="C67407" s="2"/>
    </row>
    <row r="67408" spans="3:3" x14ac:dyDescent="0.35">
      <c r="C67408" s="2"/>
    </row>
    <row r="67409" spans="3:3" x14ac:dyDescent="0.35">
      <c r="C67409" s="2"/>
    </row>
    <row r="67410" spans="3:3" x14ac:dyDescent="0.35">
      <c r="C67410" s="2"/>
    </row>
    <row r="67411" spans="3:3" x14ac:dyDescent="0.35">
      <c r="C67411" s="2"/>
    </row>
    <row r="67412" spans="3:3" x14ac:dyDescent="0.35">
      <c r="C67412" s="2"/>
    </row>
    <row r="67413" spans="3:3" x14ac:dyDescent="0.35">
      <c r="C67413" s="2"/>
    </row>
    <row r="67414" spans="3:3" x14ac:dyDescent="0.35">
      <c r="C67414" s="2"/>
    </row>
    <row r="67415" spans="3:3" x14ac:dyDescent="0.35">
      <c r="C67415" s="2"/>
    </row>
    <row r="67416" spans="3:3" x14ac:dyDescent="0.35">
      <c r="C67416" s="2"/>
    </row>
    <row r="67417" spans="3:3" x14ac:dyDescent="0.35">
      <c r="C67417" s="2"/>
    </row>
    <row r="67418" spans="3:3" x14ac:dyDescent="0.35">
      <c r="C67418" s="2"/>
    </row>
    <row r="67419" spans="3:3" x14ac:dyDescent="0.35">
      <c r="C67419" s="2"/>
    </row>
    <row r="67420" spans="3:3" x14ac:dyDescent="0.35">
      <c r="C67420" s="2"/>
    </row>
    <row r="67421" spans="3:3" x14ac:dyDescent="0.35">
      <c r="C67421" s="2"/>
    </row>
    <row r="67422" spans="3:3" x14ac:dyDescent="0.35">
      <c r="C67422" s="2"/>
    </row>
    <row r="67423" spans="3:3" x14ac:dyDescent="0.35">
      <c r="C67423" s="2"/>
    </row>
    <row r="67424" spans="3:3" x14ac:dyDescent="0.35">
      <c r="C67424" s="2"/>
    </row>
    <row r="67425" spans="3:3" x14ac:dyDescent="0.35">
      <c r="C67425" s="2"/>
    </row>
    <row r="67426" spans="3:3" x14ac:dyDescent="0.35">
      <c r="C67426" s="2"/>
    </row>
    <row r="67427" spans="3:3" x14ac:dyDescent="0.35">
      <c r="C67427" s="2"/>
    </row>
    <row r="67428" spans="3:3" x14ac:dyDescent="0.35">
      <c r="C67428" s="2"/>
    </row>
    <row r="67429" spans="3:3" x14ac:dyDescent="0.35">
      <c r="C67429" s="2"/>
    </row>
    <row r="67430" spans="3:3" x14ac:dyDescent="0.35">
      <c r="C67430" s="2"/>
    </row>
    <row r="67431" spans="3:3" x14ac:dyDescent="0.35">
      <c r="C67431" s="2"/>
    </row>
    <row r="67432" spans="3:3" x14ac:dyDescent="0.35">
      <c r="C67432" s="2"/>
    </row>
    <row r="67433" spans="3:3" x14ac:dyDescent="0.35">
      <c r="C67433" s="2"/>
    </row>
    <row r="67434" spans="3:3" x14ac:dyDescent="0.35">
      <c r="C67434" s="2"/>
    </row>
    <row r="67435" spans="3:3" x14ac:dyDescent="0.35">
      <c r="C67435" s="2"/>
    </row>
    <row r="67436" spans="3:3" x14ac:dyDescent="0.35">
      <c r="C67436" s="2"/>
    </row>
    <row r="67437" spans="3:3" x14ac:dyDescent="0.35">
      <c r="C67437" s="2"/>
    </row>
    <row r="67438" spans="3:3" x14ac:dyDescent="0.35">
      <c r="C67438" s="2"/>
    </row>
    <row r="67439" spans="3:3" x14ac:dyDescent="0.35">
      <c r="C67439" s="2"/>
    </row>
    <row r="67440" spans="3:3" x14ac:dyDescent="0.35">
      <c r="C67440" s="2"/>
    </row>
    <row r="67441" spans="3:3" x14ac:dyDescent="0.35">
      <c r="C67441" s="2"/>
    </row>
    <row r="67442" spans="3:3" x14ac:dyDescent="0.35">
      <c r="C67442" s="2"/>
    </row>
    <row r="67443" spans="3:3" x14ac:dyDescent="0.35">
      <c r="C67443" s="2"/>
    </row>
    <row r="67444" spans="3:3" x14ac:dyDescent="0.35">
      <c r="C67444" s="2"/>
    </row>
    <row r="67445" spans="3:3" x14ac:dyDescent="0.35">
      <c r="C67445" s="2"/>
    </row>
    <row r="67446" spans="3:3" x14ac:dyDescent="0.35">
      <c r="C67446" s="2"/>
    </row>
    <row r="67447" spans="3:3" x14ac:dyDescent="0.35">
      <c r="C67447" s="2"/>
    </row>
    <row r="67448" spans="3:3" x14ac:dyDescent="0.35">
      <c r="C67448" s="2"/>
    </row>
    <row r="67449" spans="3:3" x14ac:dyDescent="0.35">
      <c r="C67449" s="2"/>
    </row>
    <row r="67450" spans="3:3" x14ac:dyDescent="0.35">
      <c r="C67450" s="2"/>
    </row>
    <row r="67451" spans="3:3" x14ac:dyDescent="0.35">
      <c r="C67451" s="2"/>
    </row>
    <row r="67452" spans="3:3" x14ac:dyDescent="0.35">
      <c r="C67452" s="2"/>
    </row>
    <row r="67453" spans="3:3" x14ac:dyDescent="0.35">
      <c r="C67453" s="2"/>
    </row>
    <row r="67454" spans="3:3" x14ac:dyDescent="0.35">
      <c r="C67454" s="2"/>
    </row>
    <row r="67455" spans="3:3" x14ac:dyDescent="0.35">
      <c r="C67455" s="2"/>
    </row>
    <row r="67456" spans="3:3" x14ac:dyDescent="0.35">
      <c r="C67456" s="2"/>
    </row>
    <row r="67457" spans="3:3" x14ac:dyDescent="0.35">
      <c r="C67457" s="2"/>
    </row>
    <row r="67458" spans="3:3" x14ac:dyDescent="0.35">
      <c r="C67458" s="2"/>
    </row>
    <row r="67459" spans="3:3" x14ac:dyDescent="0.35">
      <c r="C67459" s="2"/>
    </row>
    <row r="67460" spans="3:3" x14ac:dyDescent="0.35">
      <c r="C67460" s="2"/>
    </row>
    <row r="67461" spans="3:3" x14ac:dyDescent="0.35">
      <c r="C67461" s="2"/>
    </row>
    <row r="67462" spans="3:3" x14ac:dyDescent="0.35">
      <c r="C67462" s="2"/>
    </row>
    <row r="67463" spans="3:3" x14ac:dyDescent="0.35">
      <c r="C67463" s="2"/>
    </row>
    <row r="67464" spans="3:3" x14ac:dyDescent="0.35">
      <c r="C67464" s="2"/>
    </row>
    <row r="67465" spans="3:3" x14ac:dyDescent="0.35">
      <c r="C67465" s="2"/>
    </row>
    <row r="67466" spans="3:3" x14ac:dyDescent="0.35">
      <c r="C67466" s="2"/>
    </row>
    <row r="67467" spans="3:3" x14ac:dyDescent="0.35">
      <c r="C67467" s="2"/>
    </row>
    <row r="67468" spans="3:3" x14ac:dyDescent="0.35">
      <c r="C67468" s="2"/>
    </row>
    <row r="67469" spans="3:3" x14ac:dyDescent="0.35">
      <c r="C67469" s="2"/>
    </row>
    <row r="67470" spans="3:3" x14ac:dyDescent="0.35">
      <c r="C67470" s="2"/>
    </row>
    <row r="67471" spans="3:3" x14ac:dyDescent="0.35">
      <c r="C67471" s="2"/>
    </row>
    <row r="67472" spans="3:3" x14ac:dyDescent="0.35">
      <c r="C67472" s="2"/>
    </row>
    <row r="67473" spans="3:3" x14ac:dyDescent="0.35">
      <c r="C67473" s="2"/>
    </row>
    <row r="67474" spans="3:3" x14ac:dyDescent="0.35">
      <c r="C67474" s="2"/>
    </row>
    <row r="67475" spans="3:3" x14ac:dyDescent="0.35">
      <c r="C67475" s="2"/>
    </row>
    <row r="67476" spans="3:3" x14ac:dyDescent="0.35">
      <c r="C67476" s="2"/>
    </row>
    <row r="67477" spans="3:3" x14ac:dyDescent="0.35">
      <c r="C67477" s="2"/>
    </row>
    <row r="67478" spans="3:3" x14ac:dyDescent="0.35">
      <c r="C67478" s="2"/>
    </row>
    <row r="67479" spans="3:3" x14ac:dyDescent="0.35">
      <c r="C67479" s="2"/>
    </row>
    <row r="67480" spans="3:3" x14ac:dyDescent="0.35">
      <c r="C67480" s="2"/>
    </row>
    <row r="67481" spans="3:3" x14ac:dyDescent="0.35">
      <c r="C67481" s="2"/>
    </row>
    <row r="67482" spans="3:3" x14ac:dyDescent="0.35">
      <c r="C67482" s="2"/>
    </row>
    <row r="67483" spans="3:3" x14ac:dyDescent="0.35">
      <c r="C67483" s="2"/>
    </row>
    <row r="67484" spans="3:3" x14ac:dyDescent="0.35">
      <c r="C67484" s="2"/>
    </row>
    <row r="67485" spans="3:3" x14ac:dyDescent="0.35">
      <c r="C67485" s="2"/>
    </row>
    <row r="67486" spans="3:3" x14ac:dyDescent="0.35">
      <c r="C67486" s="2"/>
    </row>
    <row r="67487" spans="3:3" x14ac:dyDescent="0.35">
      <c r="C67487" s="2"/>
    </row>
    <row r="67488" spans="3:3" x14ac:dyDescent="0.35">
      <c r="C67488" s="2"/>
    </row>
    <row r="67489" spans="3:3" x14ac:dyDescent="0.35">
      <c r="C67489" s="2"/>
    </row>
    <row r="67490" spans="3:3" x14ac:dyDescent="0.35">
      <c r="C67490" s="2"/>
    </row>
    <row r="67491" spans="3:3" x14ac:dyDescent="0.35">
      <c r="C67491" s="2"/>
    </row>
    <row r="67492" spans="3:3" x14ac:dyDescent="0.35">
      <c r="C67492" s="2"/>
    </row>
    <row r="67493" spans="3:3" x14ac:dyDescent="0.35">
      <c r="C67493" s="2"/>
    </row>
    <row r="67494" spans="3:3" x14ac:dyDescent="0.35">
      <c r="C67494" s="2"/>
    </row>
    <row r="67495" spans="3:3" x14ac:dyDescent="0.35">
      <c r="C67495" s="2"/>
    </row>
    <row r="67496" spans="3:3" x14ac:dyDescent="0.35">
      <c r="C67496" s="2"/>
    </row>
    <row r="67497" spans="3:3" x14ac:dyDescent="0.35">
      <c r="C67497" s="2"/>
    </row>
    <row r="67498" spans="3:3" x14ac:dyDescent="0.35">
      <c r="C67498" s="2"/>
    </row>
    <row r="67499" spans="3:3" x14ac:dyDescent="0.35">
      <c r="C67499" s="2"/>
    </row>
    <row r="67500" spans="3:3" x14ac:dyDescent="0.35">
      <c r="C67500" s="2"/>
    </row>
    <row r="67501" spans="3:3" x14ac:dyDescent="0.35">
      <c r="C67501" s="2"/>
    </row>
    <row r="67502" spans="3:3" x14ac:dyDescent="0.35">
      <c r="C67502" s="2"/>
    </row>
    <row r="67503" spans="3:3" x14ac:dyDescent="0.35">
      <c r="C67503" s="2"/>
    </row>
    <row r="67504" spans="3:3" x14ac:dyDescent="0.35">
      <c r="C67504" s="2"/>
    </row>
    <row r="67505" spans="3:3" x14ac:dyDescent="0.35">
      <c r="C67505" s="2"/>
    </row>
    <row r="67506" spans="3:3" x14ac:dyDescent="0.35">
      <c r="C67506" s="2"/>
    </row>
    <row r="67507" spans="3:3" x14ac:dyDescent="0.35">
      <c r="C67507" s="2"/>
    </row>
    <row r="67508" spans="3:3" x14ac:dyDescent="0.35">
      <c r="C67508" s="2"/>
    </row>
    <row r="67509" spans="3:3" x14ac:dyDescent="0.35">
      <c r="C67509" s="2"/>
    </row>
    <row r="67510" spans="3:3" x14ac:dyDescent="0.35">
      <c r="C67510" s="2"/>
    </row>
    <row r="67511" spans="3:3" x14ac:dyDescent="0.35">
      <c r="C67511" s="2"/>
    </row>
    <row r="67512" spans="3:3" x14ac:dyDescent="0.35">
      <c r="C67512" s="2"/>
    </row>
    <row r="67513" spans="3:3" x14ac:dyDescent="0.35">
      <c r="C67513" s="2"/>
    </row>
    <row r="67514" spans="3:3" x14ac:dyDescent="0.35">
      <c r="C67514" s="2"/>
    </row>
    <row r="67515" spans="3:3" x14ac:dyDescent="0.35">
      <c r="C67515" s="2"/>
    </row>
    <row r="67516" spans="3:3" x14ac:dyDescent="0.35">
      <c r="C67516" s="2"/>
    </row>
    <row r="67517" spans="3:3" x14ac:dyDescent="0.35">
      <c r="C67517" s="2"/>
    </row>
    <row r="67518" spans="3:3" x14ac:dyDescent="0.35">
      <c r="C67518" s="2"/>
    </row>
    <row r="67519" spans="3:3" x14ac:dyDescent="0.35">
      <c r="C67519" s="2"/>
    </row>
    <row r="67520" spans="3:3" x14ac:dyDescent="0.35">
      <c r="C67520" s="2"/>
    </row>
    <row r="67521" spans="3:3" x14ac:dyDescent="0.35">
      <c r="C67521" s="2"/>
    </row>
    <row r="67522" spans="3:3" x14ac:dyDescent="0.35">
      <c r="C67522" s="2"/>
    </row>
    <row r="67523" spans="3:3" x14ac:dyDescent="0.35">
      <c r="C67523" s="2"/>
    </row>
    <row r="67524" spans="3:3" x14ac:dyDescent="0.35">
      <c r="C67524" s="2"/>
    </row>
    <row r="67525" spans="3:3" x14ac:dyDescent="0.35">
      <c r="C67525" s="2"/>
    </row>
    <row r="67526" spans="3:3" x14ac:dyDescent="0.35">
      <c r="C67526" s="2"/>
    </row>
    <row r="67527" spans="3:3" x14ac:dyDescent="0.35">
      <c r="C67527" s="2"/>
    </row>
    <row r="67528" spans="3:3" x14ac:dyDescent="0.35">
      <c r="C67528" s="2"/>
    </row>
    <row r="67529" spans="3:3" x14ac:dyDescent="0.35">
      <c r="C67529" s="2"/>
    </row>
    <row r="67530" spans="3:3" x14ac:dyDescent="0.35">
      <c r="C67530" s="2"/>
    </row>
    <row r="67531" spans="3:3" x14ac:dyDescent="0.35">
      <c r="C67531" s="2"/>
    </row>
    <row r="67532" spans="3:3" x14ac:dyDescent="0.35">
      <c r="C67532" s="2"/>
    </row>
    <row r="67533" spans="3:3" x14ac:dyDescent="0.35">
      <c r="C67533" s="2"/>
    </row>
    <row r="67534" spans="3:3" x14ac:dyDescent="0.35">
      <c r="C67534" s="2"/>
    </row>
    <row r="67535" spans="3:3" x14ac:dyDescent="0.35">
      <c r="C67535" s="2"/>
    </row>
    <row r="67536" spans="3:3" x14ac:dyDescent="0.35">
      <c r="C67536" s="2"/>
    </row>
    <row r="67537" spans="3:3" x14ac:dyDescent="0.35">
      <c r="C67537" s="2"/>
    </row>
    <row r="67538" spans="3:3" x14ac:dyDescent="0.35">
      <c r="C67538" s="2"/>
    </row>
    <row r="67539" spans="3:3" x14ac:dyDescent="0.35">
      <c r="C67539" s="2"/>
    </row>
    <row r="67540" spans="3:3" x14ac:dyDescent="0.35">
      <c r="C67540" s="2"/>
    </row>
    <row r="67541" spans="3:3" x14ac:dyDescent="0.35">
      <c r="C67541" s="2"/>
    </row>
    <row r="67542" spans="3:3" x14ac:dyDescent="0.35">
      <c r="C67542" s="2"/>
    </row>
    <row r="67543" spans="3:3" x14ac:dyDescent="0.35">
      <c r="C67543" s="2"/>
    </row>
    <row r="67544" spans="3:3" x14ac:dyDescent="0.35">
      <c r="C67544" s="2"/>
    </row>
    <row r="67545" spans="3:3" x14ac:dyDescent="0.35">
      <c r="C67545" s="2"/>
    </row>
    <row r="67546" spans="3:3" x14ac:dyDescent="0.35">
      <c r="C67546" s="2"/>
    </row>
    <row r="67547" spans="3:3" x14ac:dyDescent="0.35">
      <c r="C67547" s="2"/>
    </row>
    <row r="67548" spans="3:3" x14ac:dyDescent="0.35">
      <c r="C67548" s="2"/>
    </row>
    <row r="67549" spans="3:3" x14ac:dyDescent="0.35">
      <c r="C67549" s="2"/>
    </row>
    <row r="67550" spans="3:3" x14ac:dyDescent="0.35">
      <c r="C67550" s="2"/>
    </row>
    <row r="67551" spans="3:3" x14ac:dyDescent="0.35">
      <c r="C67551" s="2"/>
    </row>
    <row r="67552" spans="3:3" x14ac:dyDescent="0.35">
      <c r="C67552" s="2"/>
    </row>
    <row r="67553" spans="3:3" x14ac:dyDescent="0.35">
      <c r="C67553" s="2"/>
    </row>
    <row r="67554" spans="3:3" x14ac:dyDescent="0.35">
      <c r="C67554" s="2"/>
    </row>
    <row r="67555" spans="3:3" x14ac:dyDescent="0.35">
      <c r="C67555" s="2"/>
    </row>
    <row r="67556" spans="3:3" x14ac:dyDescent="0.35">
      <c r="C67556" s="2"/>
    </row>
    <row r="67557" spans="3:3" x14ac:dyDescent="0.35">
      <c r="C67557" s="2"/>
    </row>
    <row r="67558" spans="3:3" x14ac:dyDescent="0.35">
      <c r="C67558" s="2"/>
    </row>
    <row r="67559" spans="3:3" x14ac:dyDescent="0.35">
      <c r="C67559" s="2"/>
    </row>
    <row r="67560" spans="3:3" x14ac:dyDescent="0.35">
      <c r="C67560" s="2"/>
    </row>
    <row r="67561" spans="3:3" x14ac:dyDescent="0.35">
      <c r="C67561" s="2"/>
    </row>
    <row r="67562" spans="3:3" x14ac:dyDescent="0.35">
      <c r="C67562" s="2"/>
    </row>
    <row r="67563" spans="3:3" x14ac:dyDescent="0.35">
      <c r="C67563" s="2"/>
    </row>
    <row r="67564" spans="3:3" x14ac:dyDescent="0.35">
      <c r="C67564" s="2"/>
    </row>
    <row r="67565" spans="3:3" x14ac:dyDescent="0.35">
      <c r="C67565" s="2"/>
    </row>
    <row r="67566" spans="3:3" x14ac:dyDescent="0.35">
      <c r="C67566" s="2"/>
    </row>
    <row r="67567" spans="3:3" x14ac:dyDescent="0.35">
      <c r="C67567" s="2"/>
    </row>
    <row r="67568" spans="3:3" x14ac:dyDescent="0.35">
      <c r="C67568" s="2"/>
    </row>
    <row r="67569" spans="3:3" x14ac:dyDescent="0.35">
      <c r="C67569" s="2"/>
    </row>
    <row r="67570" spans="3:3" x14ac:dyDescent="0.35">
      <c r="C67570" s="2"/>
    </row>
    <row r="67571" spans="3:3" x14ac:dyDescent="0.35">
      <c r="C67571" s="2"/>
    </row>
    <row r="67572" spans="3:3" x14ac:dyDescent="0.35">
      <c r="C67572" s="2"/>
    </row>
    <row r="67573" spans="3:3" x14ac:dyDescent="0.35">
      <c r="C67573" s="2"/>
    </row>
    <row r="67574" spans="3:3" x14ac:dyDescent="0.35">
      <c r="C67574" s="2"/>
    </row>
    <row r="67575" spans="3:3" x14ac:dyDescent="0.35">
      <c r="C67575" s="2"/>
    </row>
    <row r="67576" spans="3:3" x14ac:dyDescent="0.35">
      <c r="C67576" s="2"/>
    </row>
    <row r="67577" spans="3:3" x14ac:dyDescent="0.35">
      <c r="C67577" s="2"/>
    </row>
    <row r="67578" spans="3:3" x14ac:dyDescent="0.35">
      <c r="C67578" s="2"/>
    </row>
    <row r="67579" spans="3:3" x14ac:dyDescent="0.35">
      <c r="C67579" s="2"/>
    </row>
    <row r="67580" spans="3:3" x14ac:dyDescent="0.35">
      <c r="C67580" s="2"/>
    </row>
    <row r="67581" spans="3:3" x14ac:dyDescent="0.35">
      <c r="C67581" s="2"/>
    </row>
    <row r="67582" spans="3:3" x14ac:dyDescent="0.35">
      <c r="C67582" s="2"/>
    </row>
    <row r="67583" spans="3:3" x14ac:dyDescent="0.35">
      <c r="C67583" s="2"/>
    </row>
    <row r="67584" spans="3:3" x14ac:dyDescent="0.35">
      <c r="C67584" s="2"/>
    </row>
    <row r="67585" spans="3:3" x14ac:dyDescent="0.35">
      <c r="C67585" s="2"/>
    </row>
    <row r="67586" spans="3:3" x14ac:dyDescent="0.35">
      <c r="C67586" s="2"/>
    </row>
    <row r="67587" spans="3:3" x14ac:dyDescent="0.35">
      <c r="C67587" s="2"/>
    </row>
    <row r="67588" spans="3:3" x14ac:dyDescent="0.35">
      <c r="C67588" s="2"/>
    </row>
    <row r="67589" spans="3:3" x14ac:dyDescent="0.35">
      <c r="C67589" s="2"/>
    </row>
    <row r="67590" spans="3:3" x14ac:dyDescent="0.35">
      <c r="C67590" s="2"/>
    </row>
    <row r="67591" spans="3:3" x14ac:dyDescent="0.35">
      <c r="C67591" s="2"/>
    </row>
    <row r="67592" spans="3:3" x14ac:dyDescent="0.35">
      <c r="C67592" s="2"/>
    </row>
    <row r="67593" spans="3:3" x14ac:dyDescent="0.35">
      <c r="C67593" s="2"/>
    </row>
    <row r="67594" spans="3:3" x14ac:dyDescent="0.35">
      <c r="C67594" s="2"/>
    </row>
    <row r="67595" spans="3:3" x14ac:dyDescent="0.35">
      <c r="C67595" s="2"/>
    </row>
    <row r="67596" spans="3:3" x14ac:dyDescent="0.35">
      <c r="C67596" s="2"/>
    </row>
    <row r="67597" spans="3:3" x14ac:dyDescent="0.35">
      <c r="C67597" s="2"/>
    </row>
    <row r="67598" spans="3:3" x14ac:dyDescent="0.35">
      <c r="C67598" s="2"/>
    </row>
    <row r="67599" spans="3:3" x14ac:dyDescent="0.35">
      <c r="C67599" s="2"/>
    </row>
    <row r="67600" spans="3:3" x14ac:dyDescent="0.35">
      <c r="C67600" s="2"/>
    </row>
    <row r="67601" spans="3:3" x14ac:dyDescent="0.35">
      <c r="C67601" s="2"/>
    </row>
    <row r="67602" spans="3:3" x14ac:dyDescent="0.35">
      <c r="C67602" s="2"/>
    </row>
    <row r="67603" spans="3:3" x14ac:dyDescent="0.35">
      <c r="C67603" s="2"/>
    </row>
    <row r="67604" spans="3:3" x14ac:dyDescent="0.35">
      <c r="C67604" s="2"/>
    </row>
    <row r="67605" spans="3:3" x14ac:dyDescent="0.35">
      <c r="C67605" s="2"/>
    </row>
    <row r="67606" spans="3:3" x14ac:dyDescent="0.35">
      <c r="C67606" s="2"/>
    </row>
    <row r="67607" spans="3:3" x14ac:dyDescent="0.35">
      <c r="C67607" s="2"/>
    </row>
    <row r="67608" spans="3:3" x14ac:dyDescent="0.35">
      <c r="C67608" s="2"/>
    </row>
    <row r="67609" spans="3:3" x14ac:dyDescent="0.35">
      <c r="C67609" s="2"/>
    </row>
    <row r="67610" spans="3:3" x14ac:dyDescent="0.35">
      <c r="C67610" s="2"/>
    </row>
    <row r="67611" spans="3:3" x14ac:dyDescent="0.35">
      <c r="C67611" s="2"/>
    </row>
    <row r="67612" spans="3:3" x14ac:dyDescent="0.35">
      <c r="C67612" s="2"/>
    </row>
    <row r="67613" spans="3:3" x14ac:dyDescent="0.35">
      <c r="C67613" s="2"/>
    </row>
    <row r="67614" spans="3:3" x14ac:dyDescent="0.35">
      <c r="C67614" s="2"/>
    </row>
    <row r="67615" spans="3:3" x14ac:dyDescent="0.35">
      <c r="C67615" s="2"/>
    </row>
    <row r="67616" spans="3:3" x14ac:dyDescent="0.35">
      <c r="C67616" s="2"/>
    </row>
    <row r="67617" spans="3:3" x14ac:dyDescent="0.35">
      <c r="C67617" s="2"/>
    </row>
    <row r="67618" spans="3:3" x14ac:dyDescent="0.35">
      <c r="C67618" s="2"/>
    </row>
    <row r="67619" spans="3:3" x14ac:dyDescent="0.35">
      <c r="C67619" s="2"/>
    </row>
    <row r="67620" spans="3:3" x14ac:dyDescent="0.35">
      <c r="C67620" s="2"/>
    </row>
    <row r="67621" spans="3:3" x14ac:dyDescent="0.35">
      <c r="C67621" s="2"/>
    </row>
    <row r="67622" spans="3:3" x14ac:dyDescent="0.35">
      <c r="C67622" s="2"/>
    </row>
    <row r="67623" spans="3:3" x14ac:dyDescent="0.35">
      <c r="C67623" s="2"/>
    </row>
    <row r="67624" spans="3:3" x14ac:dyDescent="0.35">
      <c r="C67624" s="2"/>
    </row>
    <row r="67625" spans="3:3" x14ac:dyDescent="0.35">
      <c r="C67625" s="2"/>
    </row>
    <row r="67626" spans="3:3" x14ac:dyDescent="0.35">
      <c r="C67626" s="2"/>
    </row>
    <row r="67627" spans="3:3" x14ac:dyDescent="0.35">
      <c r="C67627" s="2"/>
    </row>
    <row r="67628" spans="3:3" x14ac:dyDescent="0.35">
      <c r="C67628" s="2"/>
    </row>
    <row r="67629" spans="3:3" x14ac:dyDescent="0.35">
      <c r="C67629" s="2"/>
    </row>
    <row r="67630" spans="3:3" x14ac:dyDescent="0.35">
      <c r="C67630" s="2"/>
    </row>
    <row r="67631" spans="3:3" x14ac:dyDescent="0.35">
      <c r="C67631" s="2"/>
    </row>
    <row r="67632" spans="3:3" x14ac:dyDescent="0.35">
      <c r="C67632" s="2"/>
    </row>
    <row r="67633" spans="3:3" x14ac:dyDescent="0.35">
      <c r="C67633" s="2"/>
    </row>
    <row r="67634" spans="3:3" x14ac:dyDescent="0.35">
      <c r="C67634" s="2"/>
    </row>
    <row r="67635" spans="3:3" x14ac:dyDescent="0.35">
      <c r="C67635" s="2"/>
    </row>
    <row r="67636" spans="3:3" x14ac:dyDescent="0.35">
      <c r="C67636" s="2"/>
    </row>
    <row r="67637" spans="3:3" x14ac:dyDescent="0.35">
      <c r="C67637" s="2"/>
    </row>
    <row r="67638" spans="3:3" x14ac:dyDescent="0.35">
      <c r="C67638" s="2"/>
    </row>
    <row r="67639" spans="3:3" x14ac:dyDescent="0.35">
      <c r="C67639" s="2"/>
    </row>
    <row r="67640" spans="3:3" x14ac:dyDescent="0.35">
      <c r="C67640" s="2"/>
    </row>
    <row r="67641" spans="3:3" x14ac:dyDescent="0.35">
      <c r="C67641" s="2"/>
    </row>
    <row r="67642" spans="3:3" x14ac:dyDescent="0.35">
      <c r="C67642" s="2"/>
    </row>
    <row r="67643" spans="3:3" x14ac:dyDescent="0.35">
      <c r="C67643" s="2"/>
    </row>
    <row r="67644" spans="3:3" x14ac:dyDescent="0.35">
      <c r="C67644" s="2"/>
    </row>
    <row r="67645" spans="3:3" x14ac:dyDescent="0.35">
      <c r="C67645" s="2"/>
    </row>
    <row r="67646" spans="3:3" x14ac:dyDescent="0.35">
      <c r="C67646" s="2"/>
    </row>
    <row r="67647" spans="3:3" x14ac:dyDescent="0.35">
      <c r="C67647" s="2"/>
    </row>
    <row r="67648" spans="3:3" x14ac:dyDescent="0.35">
      <c r="C67648" s="2"/>
    </row>
    <row r="67649" spans="3:3" x14ac:dyDescent="0.35">
      <c r="C67649" s="2"/>
    </row>
    <row r="67650" spans="3:3" x14ac:dyDescent="0.35">
      <c r="C67650" s="2"/>
    </row>
    <row r="67651" spans="3:3" x14ac:dyDescent="0.35">
      <c r="C67651" s="2"/>
    </row>
    <row r="67652" spans="3:3" x14ac:dyDescent="0.35">
      <c r="C67652" s="2"/>
    </row>
    <row r="67653" spans="3:3" x14ac:dyDescent="0.35">
      <c r="C67653" s="2"/>
    </row>
    <row r="67654" spans="3:3" x14ac:dyDescent="0.35">
      <c r="C67654" s="2"/>
    </row>
    <row r="67655" spans="3:3" x14ac:dyDescent="0.35">
      <c r="C67655" s="2"/>
    </row>
    <row r="67656" spans="3:3" x14ac:dyDescent="0.35">
      <c r="C67656" s="2"/>
    </row>
    <row r="67657" spans="3:3" x14ac:dyDescent="0.35">
      <c r="C67657" s="2"/>
    </row>
    <row r="67658" spans="3:3" x14ac:dyDescent="0.35">
      <c r="C67658" s="2"/>
    </row>
    <row r="67659" spans="3:3" x14ac:dyDescent="0.35">
      <c r="C67659" s="2"/>
    </row>
    <row r="67660" spans="3:3" x14ac:dyDescent="0.35">
      <c r="C67660" s="2"/>
    </row>
    <row r="67661" spans="3:3" x14ac:dyDescent="0.35">
      <c r="C67661" s="2"/>
    </row>
    <row r="67662" spans="3:3" x14ac:dyDescent="0.35">
      <c r="C67662" s="2"/>
    </row>
    <row r="67663" spans="3:3" x14ac:dyDescent="0.35">
      <c r="C67663" s="2"/>
    </row>
    <row r="67664" spans="3:3" x14ac:dyDescent="0.35">
      <c r="C67664" s="2"/>
    </row>
    <row r="67665" spans="3:3" x14ac:dyDescent="0.35">
      <c r="C67665" s="2"/>
    </row>
    <row r="67666" spans="3:3" x14ac:dyDescent="0.35">
      <c r="C67666" s="2"/>
    </row>
    <row r="67667" spans="3:3" x14ac:dyDescent="0.35">
      <c r="C67667" s="2"/>
    </row>
    <row r="67668" spans="3:3" x14ac:dyDescent="0.35">
      <c r="C67668" s="2"/>
    </row>
    <row r="67669" spans="3:3" x14ac:dyDescent="0.35">
      <c r="C67669" s="2"/>
    </row>
    <row r="67670" spans="3:3" x14ac:dyDescent="0.35">
      <c r="C67670" s="2"/>
    </row>
    <row r="67671" spans="3:3" x14ac:dyDescent="0.35">
      <c r="C67671" s="2"/>
    </row>
    <row r="67672" spans="3:3" x14ac:dyDescent="0.35">
      <c r="C67672" s="2"/>
    </row>
    <row r="67673" spans="3:3" x14ac:dyDescent="0.35">
      <c r="C67673" s="2"/>
    </row>
    <row r="67674" spans="3:3" x14ac:dyDescent="0.35">
      <c r="C67674" s="2"/>
    </row>
    <row r="67675" spans="3:3" x14ac:dyDescent="0.35">
      <c r="C67675" s="2"/>
    </row>
    <row r="67676" spans="3:3" x14ac:dyDescent="0.35">
      <c r="C67676" s="2"/>
    </row>
    <row r="67677" spans="3:3" x14ac:dyDescent="0.35">
      <c r="C67677" s="2"/>
    </row>
    <row r="67678" spans="3:3" x14ac:dyDescent="0.35">
      <c r="C67678" s="2"/>
    </row>
    <row r="67679" spans="3:3" x14ac:dyDescent="0.35">
      <c r="C67679" s="2"/>
    </row>
    <row r="67680" spans="3:3" x14ac:dyDescent="0.35">
      <c r="C67680" s="2"/>
    </row>
    <row r="67681" spans="3:3" x14ac:dyDescent="0.35">
      <c r="C67681" s="2"/>
    </row>
    <row r="67682" spans="3:3" x14ac:dyDescent="0.35">
      <c r="C67682" s="2"/>
    </row>
    <row r="67683" spans="3:3" x14ac:dyDescent="0.35">
      <c r="C67683" s="2"/>
    </row>
    <row r="67684" spans="3:3" x14ac:dyDescent="0.35">
      <c r="C67684" s="2"/>
    </row>
    <row r="67685" spans="3:3" x14ac:dyDescent="0.35">
      <c r="C67685" s="2"/>
    </row>
    <row r="67686" spans="3:3" x14ac:dyDescent="0.35">
      <c r="C67686" s="2"/>
    </row>
    <row r="67687" spans="3:3" x14ac:dyDescent="0.35">
      <c r="C67687" s="2"/>
    </row>
    <row r="67688" spans="3:3" x14ac:dyDescent="0.35">
      <c r="C67688" s="2"/>
    </row>
    <row r="67689" spans="3:3" x14ac:dyDescent="0.35">
      <c r="C67689" s="2"/>
    </row>
    <row r="67690" spans="3:3" x14ac:dyDescent="0.35">
      <c r="C67690" s="2"/>
    </row>
    <row r="67691" spans="3:3" x14ac:dyDescent="0.35">
      <c r="C67691" s="2"/>
    </row>
    <row r="67692" spans="3:3" x14ac:dyDescent="0.35">
      <c r="C67692" s="2"/>
    </row>
    <row r="67693" spans="3:3" x14ac:dyDescent="0.35">
      <c r="C67693" s="2"/>
    </row>
    <row r="67694" spans="3:3" x14ac:dyDescent="0.35">
      <c r="C67694" s="2"/>
    </row>
    <row r="67695" spans="3:3" x14ac:dyDescent="0.35">
      <c r="C67695" s="2"/>
    </row>
    <row r="67696" spans="3:3" x14ac:dyDescent="0.35">
      <c r="C67696" s="2"/>
    </row>
    <row r="67697" spans="3:3" x14ac:dyDescent="0.35">
      <c r="C67697" s="2"/>
    </row>
    <row r="67698" spans="3:3" x14ac:dyDescent="0.35">
      <c r="C67698" s="2"/>
    </row>
    <row r="67699" spans="3:3" x14ac:dyDescent="0.35">
      <c r="C67699" s="2"/>
    </row>
    <row r="67700" spans="3:3" x14ac:dyDescent="0.35">
      <c r="C67700" s="2"/>
    </row>
    <row r="67701" spans="3:3" x14ac:dyDescent="0.35">
      <c r="C67701" s="2"/>
    </row>
    <row r="67702" spans="3:3" x14ac:dyDescent="0.35">
      <c r="C67702" s="2"/>
    </row>
    <row r="67703" spans="3:3" x14ac:dyDescent="0.35">
      <c r="C67703" s="2"/>
    </row>
    <row r="67704" spans="3:3" x14ac:dyDescent="0.35">
      <c r="C67704" s="2"/>
    </row>
    <row r="67705" spans="3:3" x14ac:dyDescent="0.35">
      <c r="C67705" s="2"/>
    </row>
    <row r="67706" spans="3:3" x14ac:dyDescent="0.35">
      <c r="C67706" s="2"/>
    </row>
    <row r="67707" spans="3:3" x14ac:dyDescent="0.35">
      <c r="C67707" s="2"/>
    </row>
    <row r="67708" spans="3:3" x14ac:dyDescent="0.35">
      <c r="C67708" s="2"/>
    </row>
    <row r="67709" spans="3:3" x14ac:dyDescent="0.35">
      <c r="C67709" s="2"/>
    </row>
    <row r="67710" spans="3:3" x14ac:dyDescent="0.35">
      <c r="C67710" s="2"/>
    </row>
    <row r="67711" spans="3:3" x14ac:dyDescent="0.35">
      <c r="C67711" s="2"/>
    </row>
    <row r="67712" spans="3:3" x14ac:dyDescent="0.35">
      <c r="C67712" s="2"/>
    </row>
    <row r="67713" spans="3:3" x14ac:dyDescent="0.35">
      <c r="C67713" s="2"/>
    </row>
    <row r="67714" spans="3:3" x14ac:dyDescent="0.35">
      <c r="C67714" s="2"/>
    </row>
    <row r="67715" spans="3:3" x14ac:dyDescent="0.35">
      <c r="C67715" s="2"/>
    </row>
    <row r="67716" spans="3:3" x14ac:dyDescent="0.35">
      <c r="C67716" s="2"/>
    </row>
    <row r="67717" spans="3:3" x14ac:dyDescent="0.35">
      <c r="C67717" s="2"/>
    </row>
    <row r="67718" spans="3:3" x14ac:dyDescent="0.35">
      <c r="C67718" s="2"/>
    </row>
    <row r="67719" spans="3:3" x14ac:dyDescent="0.35">
      <c r="C67719" s="2"/>
    </row>
    <row r="67720" spans="3:3" x14ac:dyDescent="0.35">
      <c r="C67720" s="2"/>
    </row>
    <row r="67721" spans="3:3" x14ac:dyDescent="0.35">
      <c r="C67721" s="2"/>
    </row>
    <row r="67722" spans="3:3" x14ac:dyDescent="0.35">
      <c r="C67722" s="2"/>
    </row>
    <row r="67723" spans="3:3" x14ac:dyDescent="0.35">
      <c r="C67723" s="2"/>
    </row>
    <row r="67724" spans="3:3" x14ac:dyDescent="0.35">
      <c r="C67724" s="2"/>
    </row>
    <row r="67725" spans="3:3" x14ac:dyDescent="0.35">
      <c r="C67725" s="2"/>
    </row>
    <row r="67726" spans="3:3" x14ac:dyDescent="0.35">
      <c r="C67726" s="2"/>
    </row>
    <row r="67727" spans="3:3" x14ac:dyDescent="0.35">
      <c r="C67727" s="2"/>
    </row>
    <row r="67728" spans="3:3" x14ac:dyDescent="0.35">
      <c r="C67728" s="2"/>
    </row>
    <row r="67729" spans="3:3" x14ac:dyDescent="0.35">
      <c r="C67729" s="2"/>
    </row>
    <row r="67730" spans="3:3" x14ac:dyDescent="0.35">
      <c r="C67730" s="2"/>
    </row>
    <row r="67731" spans="3:3" x14ac:dyDescent="0.35">
      <c r="C67731" s="2"/>
    </row>
    <row r="67732" spans="3:3" x14ac:dyDescent="0.35">
      <c r="C67732" s="2"/>
    </row>
    <row r="67733" spans="3:3" x14ac:dyDescent="0.35">
      <c r="C67733" s="2"/>
    </row>
    <row r="67734" spans="3:3" x14ac:dyDescent="0.35">
      <c r="C67734" s="2"/>
    </row>
    <row r="67735" spans="3:3" x14ac:dyDescent="0.35">
      <c r="C67735" s="2"/>
    </row>
    <row r="67736" spans="3:3" x14ac:dyDescent="0.35">
      <c r="C67736" s="2"/>
    </row>
    <row r="67737" spans="3:3" x14ac:dyDescent="0.35">
      <c r="C67737" s="2"/>
    </row>
    <row r="67738" spans="3:3" x14ac:dyDescent="0.35">
      <c r="C67738" s="2"/>
    </row>
    <row r="67739" spans="3:3" x14ac:dyDescent="0.35">
      <c r="C67739" s="2"/>
    </row>
    <row r="67740" spans="3:3" x14ac:dyDescent="0.35">
      <c r="C67740" s="2"/>
    </row>
    <row r="67741" spans="3:3" x14ac:dyDescent="0.35">
      <c r="C67741" s="2"/>
    </row>
    <row r="67742" spans="3:3" x14ac:dyDescent="0.35">
      <c r="C67742" s="2"/>
    </row>
    <row r="67743" spans="3:3" x14ac:dyDescent="0.35">
      <c r="C67743" s="2"/>
    </row>
    <row r="67744" spans="3:3" x14ac:dyDescent="0.35">
      <c r="C67744" s="2"/>
    </row>
    <row r="67745" spans="3:3" x14ac:dyDescent="0.35">
      <c r="C67745" s="2"/>
    </row>
    <row r="67746" spans="3:3" x14ac:dyDescent="0.35">
      <c r="C67746" s="2"/>
    </row>
    <row r="67747" spans="3:3" x14ac:dyDescent="0.35">
      <c r="C67747" s="2"/>
    </row>
    <row r="67748" spans="3:3" x14ac:dyDescent="0.35">
      <c r="C67748" s="2"/>
    </row>
    <row r="67749" spans="3:3" x14ac:dyDescent="0.35">
      <c r="C67749" s="2"/>
    </row>
    <row r="67750" spans="3:3" x14ac:dyDescent="0.35">
      <c r="C67750" s="2"/>
    </row>
    <row r="67751" spans="3:3" x14ac:dyDescent="0.35">
      <c r="C67751" s="2"/>
    </row>
    <row r="67752" spans="3:3" x14ac:dyDescent="0.35">
      <c r="C67752" s="2"/>
    </row>
    <row r="67753" spans="3:3" x14ac:dyDescent="0.35">
      <c r="C67753" s="2"/>
    </row>
    <row r="67754" spans="3:3" x14ac:dyDescent="0.35">
      <c r="C67754" s="2"/>
    </row>
    <row r="67755" spans="3:3" x14ac:dyDescent="0.35">
      <c r="C67755" s="2"/>
    </row>
    <row r="67756" spans="3:3" x14ac:dyDescent="0.35">
      <c r="C67756" s="2"/>
    </row>
    <row r="67757" spans="3:3" x14ac:dyDescent="0.35">
      <c r="C67757" s="2"/>
    </row>
    <row r="67758" spans="3:3" x14ac:dyDescent="0.35">
      <c r="C67758" s="2"/>
    </row>
    <row r="67759" spans="3:3" x14ac:dyDescent="0.35">
      <c r="C67759" s="2"/>
    </row>
    <row r="67760" spans="3:3" x14ac:dyDescent="0.35">
      <c r="C67760" s="2"/>
    </row>
    <row r="67761" spans="3:3" x14ac:dyDescent="0.35">
      <c r="C67761" s="2"/>
    </row>
    <row r="67762" spans="3:3" x14ac:dyDescent="0.35">
      <c r="C67762" s="2"/>
    </row>
    <row r="67763" spans="3:3" x14ac:dyDescent="0.35">
      <c r="C67763" s="2"/>
    </row>
    <row r="67764" spans="3:3" x14ac:dyDescent="0.35">
      <c r="C67764" s="2"/>
    </row>
    <row r="67765" spans="3:3" x14ac:dyDescent="0.35">
      <c r="C67765" s="2"/>
    </row>
    <row r="67766" spans="3:3" x14ac:dyDescent="0.35">
      <c r="C67766" s="2"/>
    </row>
    <row r="67767" spans="3:3" x14ac:dyDescent="0.35">
      <c r="C67767" s="2"/>
    </row>
    <row r="67768" spans="3:3" x14ac:dyDescent="0.35">
      <c r="C67768" s="2"/>
    </row>
    <row r="67769" spans="3:3" x14ac:dyDescent="0.35">
      <c r="C67769" s="2"/>
    </row>
    <row r="67770" spans="3:3" x14ac:dyDescent="0.35">
      <c r="C67770" s="2"/>
    </row>
    <row r="67771" spans="3:3" x14ac:dyDescent="0.35">
      <c r="C67771" s="2"/>
    </row>
    <row r="67772" spans="3:3" x14ac:dyDescent="0.35">
      <c r="C67772" s="2"/>
    </row>
    <row r="67773" spans="3:3" x14ac:dyDescent="0.35">
      <c r="C67773" s="2"/>
    </row>
    <row r="67774" spans="3:3" x14ac:dyDescent="0.35">
      <c r="C67774" s="2"/>
    </row>
    <row r="67775" spans="3:3" x14ac:dyDescent="0.35">
      <c r="C67775" s="2"/>
    </row>
    <row r="67776" spans="3:3" x14ac:dyDescent="0.35">
      <c r="C67776" s="2"/>
    </row>
    <row r="67777" spans="3:3" x14ac:dyDescent="0.35">
      <c r="C67777" s="2"/>
    </row>
    <row r="67778" spans="3:3" x14ac:dyDescent="0.35">
      <c r="C67778" s="2"/>
    </row>
    <row r="67779" spans="3:3" x14ac:dyDescent="0.35">
      <c r="C67779" s="2"/>
    </row>
    <row r="67780" spans="3:3" x14ac:dyDescent="0.35">
      <c r="C67780" s="2"/>
    </row>
    <row r="67781" spans="3:3" x14ac:dyDescent="0.35">
      <c r="C67781" s="2"/>
    </row>
    <row r="67782" spans="3:3" x14ac:dyDescent="0.35">
      <c r="C67782" s="2"/>
    </row>
    <row r="67783" spans="3:3" x14ac:dyDescent="0.35">
      <c r="C67783" s="2"/>
    </row>
    <row r="67784" spans="3:3" x14ac:dyDescent="0.35">
      <c r="C67784" s="2"/>
    </row>
    <row r="67785" spans="3:3" x14ac:dyDescent="0.35">
      <c r="C67785" s="2"/>
    </row>
    <row r="67786" spans="3:3" x14ac:dyDescent="0.35">
      <c r="C67786" s="2"/>
    </row>
    <row r="67787" spans="3:3" x14ac:dyDescent="0.35">
      <c r="C67787" s="2"/>
    </row>
    <row r="67788" spans="3:3" x14ac:dyDescent="0.35">
      <c r="C67788" s="2"/>
    </row>
    <row r="67789" spans="3:3" x14ac:dyDescent="0.35">
      <c r="C67789" s="2"/>
    </row>
    <row r="67790" spans="3:3" x14ac:dyDescent="0.35">
      <c r="C67790" s="2"/>
    </row>
    <row r="67791" spans="3:3" x14ac:dyDescent="0.35">
      <c r="C67791" s="2"/>
    </row>
    <row r="67792" spans="3:3" x14ac:dyDescent="0.35">
      <c r="C67792" s="2"/>
    </row>
    <row r="67793" spans="3:3" x14ac:dyDescent="0.35">
      <c r="C67793" s="2"/>
    </row>
    <row r="67794" spans="3:3" x14ac:dyDescent="0.35">
      <c r="C67794" s="2"/>
    </row>
    <row r="67795" spans="3:3" x14ac:dyDescent="0.35">
      <c r="C67795" s="2"/>
    </row>
    <row r="67796" spans="3:3" x14ac:dyDescent="0.35">
      <c r="C67796" s="2"/>
    </row>
    <row r="67797" spans="3:3" x14ac:dyDescent="0.35">
      <c r="C67797" s="2"/>
    </row>
    <row r="67798" spans="3:3" x14ac:dyDescent="0.35">
      <c r="C67798" s="2"/>
    </row>
    <row r="67799" spans="3:3" x14ac:dyDescent="0.35">
      <c r="C67799" s="2"/>
    </row>
    <row r="67800" spans="3:3" x14ac:dyDescent="0.35">
      <c r="C67800" s="2"/>
    </row>
    <row r="67801" spans="3:3" x14ac:dyDescent="0.35">
      <c r="C67801" s="2"/>
    </row>
    <row r="67802" spans="3:3" x14ac:dyDescent="0.35">
      <c r="C67802" s="2"/>
    </row>
    <row r="67803" spans="3:3" x14ac:dyDescent="0.35">
      <c r="C67803" s="2"/>
    </row>
    <row r="67804" spans="3:3" x14ac:dyDescent="0.35">
      <c r="C67804" s="2"/>
    </row>
    <row r="67805" spans="3:3" x14ac:dyDescent="0.35">
      <c r="C67805" s="2"/>
    </row>
    <row r="67806" spans="3:3" x14ac:dyDescent="0.35">
      <c r="C67806" s="2"/>
    </row>
    <row r="67807" spans="3:3" x14ac:dyDescent="0.35">
      <c r="C67807" s="2"/>
    </row>
    <row r="67808" spans="3:3" x14ac:dyDescent="0.35">
      <c r="C67808" s="2"/>
    </row>
    <row r="67809" spans="3:3" x14ac:dyDescent="0.35">
      <c r="C67809" s="2"/>
    </row>
    <row r="67810" spans="3:3" x14ac:dyDescent="0.35">
      <c r="C67810" s="2"/>
    </row>
    <row r="67811" spans="3:3" x14ac:dyDescent="0.35">
      <c r="C67811" s="2"/>
    </row>
    <row r="67812" spans="3:3" x14ac:dyDescent="0.35">
      <c r="C67812" s="2"/>
    </row>
    <row r="67813" spans="3:3" x14ac:dyDescent="0.35">
      <c r="C67813" s="2"/>
    </row>
    <row r="67814" spans="3:3" x14ac:dyDescent="0.35">
      <c r="C67814" s="2"/>
    </row>
    <row r="67815" spans="3:3" x14ac:dyDescent="0.35">
      <c r="C67815" s="2"/>
    </row>
    <row r="67816" spans="3:3" x14ac:dyDescent="0.35">
      <c r="C67816" s="2"/>
    </row>
    <row r="67817" spans="3:3" x14ac:dyDescent="0.35">
      <c r="C67817" s="2"/>
    </row>
    <row r="67818" spans="3:3" x14ac:dyDescent="0.35">
      <c r="C67818" s="2"/>
    </row>
    <row r="67819" spans="3:3" x14ac:dyDescent="0.35">
      <c r="C67819" s="2"/>
    </row>
    <row r="67820" spans="3:3" x14ac:dyDescent="0.35">
      <c r="C67820" s="2"/>
    </row>
    <row r="67821" spans="3:3" x14ac:dyDescent="0.35">
      <c r="C67821" s="2"/>
    </row>
    <row r="67822" spans="3:3" x14ac:dyDescent="0.35">
      <c r="C67822" s="2"/>
    </row>
    <row r="67823" spans="3:3" x14ac:dyDescent="0.35">
      <c r="C67823" s="2"/>
    </row>
    <row r="67824" spans="3:3" x14ac:dyDescent="0.35">
      <c r="C67824" s="2"/>
    </row>
    <row r="67825" spans="3:3" x14ac:dyDescent="0.35">
      <c r="C67825" s="2"/>
    </row>
    <row r="67826" spans="3:3" x14ac:dyDescent="0.35">
      <c r="C67826" s="2"/>
    </row>
    <row r="67827" spans="3:3" x14ac:dyDescent="0.35">
      <c r="C67827" s="2"/>
    </row>
    <row r="67828" spans="3:3" x14ac:dyDescent="0.35">
      <c r="C67828" s="2"/>
    </row>
    <row r="67829" spans="3:3" x14ac:dyDescent="0.35">
      <c r="C67829" s="2"/>
    </row>
    <row r="67830" spans="3:3" x14ac:dyDescent="0.35">
      <c r="C67830" s="2"/>
    </row>
    <row r="67831" spans="3:3" x14ac:dyDescent="0.35">
      <c r="C67831" s="2"/>
    </row>
    <row r="67832" spans="3:3" x14ac:dyDescent="0.35">
      <c r="C67832" s="2"/>
    </row>
    <row r="67833" spans="3:3" x14ac:dyDescent="0.35">
      <c r="C67833" s="2"/>
    </row>
    <row r="67834" spans="3:3" x14ac:dyDescent="0.35">
      <c r="C67834" s="2"/>
    </row>
    <row r="67835" spans="3:3" x14ac:dyDescent="0.35">
      <c r="C67835" s="2"/>
    </row>
    <row r="67836" spans="3:3" x14ac:dyDescent="0.35">
      <c r="C67836" s="2"/>
    </row>
    <row r="67837" spans="3:3" x14ac:dyDescent="0.35">
      <c r="C67837" s="2"/>
    </row>
    <row r="67838" spans="3:3" x14ac:dyDescent="0.35">
      <c r="C67838" s="2"/>
    </row>
    <row r="67839" spans="3:3" x14ac:dyDescent="0.35">
      <c r="C67839" s="2"/>
    </row>
    <row r="67840" spans="3:3" x14ac:dyDescent="0.35">
      <c r="C67840" s="2"/>
    </row>
    <row r="67841" spans="3:3" x14ac:dyDescent="0.35">
      <c r="C67841" s="2"/>
    </row>
    <row r="67842" spans="3:3" x14ac:dyDescent="0.35">
      <c r="C67842" s="2"/>
    </row>
    <row r="67843" spans="3:3" x14ac:dyDescent="0.35">
      <c r="C67843" s="2"/>
    </row>
    <row r="67844" spans="3:3" x14ac:dyDescent="0.35">
      <c r="C67844" s="2"/>
    </row>
    <row r="67845" spans="3:3" x14ac:dyDescent="0.35">
      <c r="C67845" s="2"/>
    </row>
    <row r="67846" spans="3:3" x14ac:dyDescent="0.35">
      <c r="C67846" s="2"/>
    </row>
    <row r="67847" spans="3:3" x14ac:dyDescent="0.35">
      <c r="C67847" s="2"/>
    </row>
    <row r="67848" spans="3:3" x14ac:dyDescent="0.35">
      <c r="C67848" s="2"/>
    </row>
    <row r="67849" spans="3:3" x14ac:dyDescent="0.35">
      <c r="C67849" s="2"/>
    </row>
    <row r="67850" spans="3:3" x14ac:dyDescent="0.35">
      <c r="C67850" s="2"/>
    </row>
    <row r="67851" spans="3:3" x14ac:dyDescent="0.35">
      <c r="C67851" s="2"/>
    </row>
    <row r="67852" spans="3:3" x14ac:dyDescent="0.35">
      <c r="C67852" s="2"/>
    </row>
    <row r="67853" spans="3:3" x14ac:dyDescent="0.35">
      <c r="C67853" s="2"/>
    </row>
    <row r="67854" spans="3:3" x14ac:dyDescent="0.35">
      <c r="C67854" s="2"/>
    </row>
    <row r="67855" spans="3:3" x14ac:dyDescent="0.35">
      <c r="C67855" s="2"/>
    </row>
    <row r="67856" spans="3:3" x14ac:dyDescent="0.35">
      <c r="C67856" s="2"/>
    </row>
    <row r="67857" spans="3:3" x14ac:dyDescent="0.35">
      <c r="C67857" s="2"/>
    </row>
    <row r="67858" spans="3:3" x14ac:dyDescent="0.35">
      <c r="C67858" s="2"/>
    </row>
    <row r="67859" spans="3:3" x14ac:dyDescent="0.35">
      <c r="C67859" s="2"/>
    </row>
    <row r="67860" spans="3:3" x14ac:dyDescent="0.35">
      <c r="C67860" s="2"/>
    </row>
    <row r="67861" spans="3:3" x14ac:dyDescent="0.35">
      <c r="C67861" s="2"/>
    </row>
    <row r="67862" spans="3:3" x14ac:dyDescent="0.35">
      <c r="C67862" s="2"/>
    </row>
    <row r="67863" spans="3:3" x14ac:dyDescent="0.35">
      <c r="C67863" s="2"/>
    </row>
    <row r="67864" spans="3:3" x14ac:dyDescent="0.35">
      <c r="C67864" s="2"/>
    </row>
    <row r="67865" spans="3:3" x14ac:dyDescent="0.35">
      <c r="C67865" s="2"/>
    </row>
    <row r="67866" spans="3:3" x14ac:dyDescent="0.35">
      <c r="C67866" s="2"/>
    </row>
    <row r="67867" spans="3:3" x14ac:dyDescent="0.35">
      <c r="C67867" s="2"/>
    </row>
    <row r="67868" spans="3:3" x14ac:dyDescent="0.35">
      <c r="C67868" s="2"/>
    </row>
    <row r="67869" spans="3:3" x14ac:dyDescent="0.35">
      <c r="C67869" s="2"/>
    </row>
    <row r="67870" spans="3:3" x14ac:dyDescent="0.35">
      <c r="C67870" s="2"/>
    </row>
    <row r="67871" spans="3:3" x14ac:dyDescent="0.35">
      <c r="C67871" s="2"/>
    </row>
    <row r="67872" spans="3:3" x14ac:dyDescent="0.35">
      <c r="C67872" s="2"/>
    </row>
    <row r="67873" spans="3:3" x14ac:dyDescent="0.35">
      <c r="C67873" s="2"/>
    </row>
    <row r="67874" spans="3:3" x14ac:dyDescent="0.35">
      <c r="C67874" s="2"/>
    </row>
    <row r="67875" spans="3:3" x14ac:dyDescent="0.35">
      <c r="C67875" s="2"/>
    </row>
    <row r="67876" spans="3:3" x14ac:dyDescent="0.35">
      <c r="C67876" s="2"/>
    </row>
    <row r="67877" spans="3:3" x14ac:dyDescent="0.35">
      <c r="C67877" s="2"/>
    </row>
    <row r="67878" spans="3:3" x14ac:dyDescent="0.35">
      <c r="C67878" s="2"/>
    </row>
    <row r="67879" spans="3:3" x14ac:dyDescent="0.35">
      <c r="C67879" s="2"/>
    </row>
    <row r="67880" spans="3:3" x14ac:dyDescent="0.35">
      <c r="C67880" s="2"/>
    </row>
    <row r="67881" spans="3:3" x14ac:dyDescent="0.35">
      <c r="C67881" s="2"/>
    </row>
    <row r="67882" spans="3:3" x14ac:dyDescent="0.35">
      <c r="C67882" s="2"/>
    </row>
    <row r="67883" spans="3:3" x14ac:dyDescent="0.35">
      <c r="C67883" s="2"/>
    </row>
    <row r="67884" spans="3:3" x14ac:dyDescent="0.35">
      <c r="C67884" s="2"/>
    </row>
    <row r="67885" spans="3:3" x14ac:dyDescent="0.35">
      <c r="C67885" s="2"/>
    </row>
    <row r="67886" spans="3:3" x14ac:dyDescent="0.35">
      <c r="C67886" s="2"/>
    </row>
    <row r="67887" spans="3:3" x14ac:dyDescent="0.35">
      <c r="C67887" s="2"/>
    </row>
    <row r="67888" spans="3:3" x14ac:dyDescent="0.35">
      <c r="C67888" s="2"/>
    </row>
    <row r="67889" spans="3:3" x14ac:dyDescent="0.35">
      <c r="C67889" s="2"/>
    </row>
    <row r="67890" spans="3:3" x14ac:dyDescent="0.35">
      <c r="C67890" s="2"/>
    </row>
    <row r="67891" spans="3:3" x14ac:dyDescent="0.35">
      <c r="C67891" s="2"/>
    </row>
    <row r="67892" spans="3:3" x14ac:dyDescent="0.35">
      <c r="C67892" s="2"/>
    </row>
    <row r="67893" spans="3:3" x14ac:dyDescent="0.35">
      <c r="C67893" s="2"/>
    </row>
    <row r="67894" spans="3:3" x14ac:dyDescent="0.35">
      <c r="C67894" s="2"/>
    </row>
    <row r="67895" spans="3:3" x14ac:dyDescent="0.35">
      <c r="C67895" s="2"/>
    </row>
    <row r="67896" spans="3:3" x14ac:dyDescent="0.35">
      <c r="C67896" s="2"/>
    </row>
    <row r="67897" spans="3:3" x14ac:dyDescent="0.35">
      <c r="C67897" s="2"/>
    </row>
    <row r="67898" spans="3:3" x14ac:dyDescent="0.35">
      <c r="C67898" s="2"/>
    </row>
    <row r="67899" spans="3:3" x14ac:dyDescent="0.35">
      <c r="C67899" s="2"/>
    </row>
    <row r="67900" spans="3:3" x14ac:dyDescent="0.35">
      <c r="C67900" s="2"/>
    </row>
    <row r="67901" spans="3:3" x14ac:dyDescent="0.35">
      <c r="C67901" s="2"/>
    </row>
    <row r="67902" spans="3:3" x14ac:dyDescent="0.35">
      <c r="C67902" s="2"/>
    </row>
    <row r="67903" spans="3:3" x14ac:dyDescent="0.35">
      <c r="C67903" s="2"/>
    </row>
    <row r="67904" spans="3:3" x14ac:dyDescent="0.35">
      <c r="C67904" s="2"/>
    </row>
    <row r="67905" spans="3:3" x14ac:dyDescent="0.35">
      <c r="C67905" s="2"/>
    </row>
    <row r="67906" spans="3:3" x14ac:dyDescent="0.35">
      <c r="C67906" s="2"/>
    </row>
    <row r="67907" spans="3:3" x14ac:dyDescent="0.35">
      <c r="C67907" s="2"/>
    </row>
    <row r="67908" spans="3:3" x14ac:dyDescent="0.35">
      <c r="C67908" s="2"/>
    </row>
    <row r="67909" spans="3:3" x14ac:dyDescent="0.35">
      <c r="C67909" s="2"/>
    </row>
    <row r="67910" spans="3:3" x14ac:dyDescent="0.35">
      <c r="C67910" s="2"/>
    </row>
    <row r="67911" spans="3:3" x14ac:dyDescent="0.35">
      <c r="C67911" s="2"/>
    </row>
    <row r="67912" spans="3:3" x14ac:dyDescent="0.35">
      <c r="C67912" s="2"/>
    </row>
    <row r="67913" spans="3:3" x14ac:dyDescent="0.35">
      <c r="C67913" s="2"/>
    </row>
    <row r="67914" spans="3:3" x14ac:dyDescent="0.35">
      <c r="C67914" s="2"/>
    </row>
    <row r="67915" spans="3:3" x14ac:dyDescent="0.35">
      <c r="C67915" s="2"/>
    </row>
    <row r="67916" spans="3:3" x14ac:dyDescent="0.35">
      <c r="C67916" s="2"/>
    </row>
    <row r="67917" spans="3:3" x14ac:dyDescent="0.35">
      <c r="C67917" s="2"/>
    </row>
    <row r="67918" spans="3:3" x14ac:dyDescent="0.35">
      <c r="C67918" s="2"/>
    </row>
    <row r="67919" spans="3:3" x14ac:dyDescent="0.35">
      <c r="C67919" s="2"/>
    </row>
    <row r="67920" spans="3:3" x14ac:dyDescent="0.35">
      <c r="C67920" s="2"/>
    </row>
    <row r="67921" spans="3:3" x14ac:dyDescent="0.35">
      <c r="C67921" s="2"/>
    </row>
    <row r="67922" spans="3:3" x14ac:dyDescent="0.35">
      <c r="C67922" s="2"/>
    </row>
    <row r="67923" spans="3:3" x14ac:dyDescent="0.35">
      <c r="C67923" s="2"/>
    </row>
    <row r="67924" spans="3:3" x14ac:dyDescent="0.35">
      <c r="C67924" s="2"/>
    </row>
    <row r="67925" spans="3:3" x14ac:dyDescent="0.35">
      <c r="C67925" s="2"/>
    </row>
    <row r="67926" spans="3:3" x14ac:dyDescent="0.35">
      <c r="C67926" s="2"/>
    </row>
    <row r="67927" spans="3:3" x14ac:dyDescent="0.35">
      <c r="C67927" s="2"/>
    </row>
    <row r="67928" spans="3:3" x14ac:dyDescent="0.35">
      <c r="C67928" s="2"/>
    </row>
    <row r="67929" spans="3:3" x14ac:dyDescent="0.35">
      <c r="C67929" s="2"/>
    </row>
    <row r="67930" spans="3:3" x14ac:dyDescent="0.35">
      <c r="C67930" s="2"/>
    </row>
    <row r="67931" spans="3:3" x14ac:dyDescent="0.35">
      <c r="C67931" s="2"/>
    </row>
    <row r="67932" spans="3:3" x14ac:dyDescent="0.35">
      <c r="C67932" s="2"/>
    </row>
    <row r="67933" spans="3:3" x14ac:dyDescent="0.35">
      <c r="C67933" s="2"/>
    </row>
    <row r="67934" spans="3:3" x14ac:dyDescent="0.35">
      <c r="C67934" s="2"/>
    </row>
    <row r="67935" spans="3:3" x14ac:dyDescent="0.35">
      <c r="C67935" s="2"/>
    </row>
    <row r="67936" spans="3:3" x14ac:dyDescent="0.35">
      <c r="C67936" s="2"/>
    </row>
    <row r="67937" spans="3:3" x14ac:dyDescent="0.35">
      <c r="C67937" s="2"/>
    </row>
    <row r="67938" spans="3:3" x14ac:dyDescent="0.35">
      <c r="C67938" s="2"/>
    </row>
    <row r="67939" spans="3:3" x14ac:dyDescent="0.35">
      <c r="C67939" s="2"/>
    </row>
    <row r="67940" spans="3:3" x14ac:dyDescent="0.35">
      <c r="C67940" s="2"/>
    </row>
    <row r="67941" spans="3:3" x14ac:dyDescent="0.35">
      <c r="C67941" s="2"/>
    </row>
    <row r="67942" spans="3:3" x14ac:dyDescent="0.35">
      <c r="C67942" s="2"/>
    </row>
    <row r="67943" spans="3:3" x14ac:dyDescent="0.35">
      <c r="C67943" s="2"/>
    </row>
    <row r="67944" spans="3:3" x14ac:dyDescent="0.35">
      <c r="C67944" s="2"/>
    </row>
    <row r="67945" spans="3:3" x14ac:dyDescent="0.35">
      <c r="C67945" s="2"/>
    </row>
    <row r="67946" spans="3:3" x14ac:dyDescent="0.35">
      <c r="C67946" s="2"/>
    </row>
    <row r="67947" spans="3:3" x14ac:dyDescent="0.35">
      <c r="C67947" s="2"/>
    </row>
    <row r="67948" spans="3:3" x14ac:dyDescent="0.35">
      <c r="C67948" s="2"/>
    </row>
    <row r="67949" spans="3:3" x14ac:dyDescent="0.35">
      <c r="C67949" s="2"/>
    </row>
    <row r="67950" spans="3:3" x14ac:dyDescent="0.35">
      <c r="C67950" s="2"/>
    </row>
    <row r="67951" spans="3:3" x14ac:dyDescent="0.35">
      <c r="C67951" s="2"/>
    </row>
    <row r="67952" spans="3:3" x14ac:dyDescent="0.35">
      <c r="C67952" s="2"/>
    </row>
    <row r="67953" spans="3:3" x14ac:dyDescent="0.35">
      <c r="C67953" s="2"/>
    </row>
    <row r="67954" spans="3:3" x14ac:dyDescent="0.35">
      <c r="C67954" s="2"/>
    </row>
    <row r="67955" spans="3:3" x14ac:dyDescent="0.35">
      <c r="C67955" s="2"/>
    </row>
    <row r="67956" spans="3:3" x14ac:dyDescent="0.35">
      <c r="C67956" s="2"/>
    </row>
    <row r="67957" spans="3:3" x14ac:dyDescent="0.35">
      <c r="C67957" s="2"/>
    </row>
    <row r="67958" spans="3:3" x14ac:dyDescent="0.35">
      <c r="C67958" s="2"/>
    </row>
    <row r="67959" spans="3:3" x14ac:dyDescent="0.35">
      <c r="C67959" s="2"/>
    </row>
    <row r="67960" spans="3:3" x14ac:dyDescent="0.35">
      <c r="C67960" s="2"/>
    </row>
    <row r="67961" spans="3:3" x14ac:dyDescent="0.35">
      <c r="C67961" s="2"/>
    </row>
    <row r="67962" spans="3:3" x14ac:dyDescent="0.35">
      <c r="C67962" s="2"/>
    </row>
    <row r="67963" spans="3:3" x14ac:dyDescent="0.35">
      <c r="C67963" s="2"/>
    </row>
    <row r="67964" spans="3:3" x14ac:dyDescent="0.35">
      <c r="C67964" s="2"/>
    </row>
    <row r="67965" spans="3:3" x14ac:dyDescent="0.35">
      <c r="C67965" s="2"/>
    </row>
    <row r="67966" spans="3:3" x14ac:dyDescent="0.35">
      <c r="C67966" s="2"/>
    </row>
    <row r="67967" spans="3:3" x14ac:dyDescent="0.35">
      <c r="C67967" s="2"/>
    </row>
    <row r="67968" spans="3:3" x14ac:dyDescent="0.35">
      <c r="C67968" s="2"/>
    </row>
    <row r="67969" spans="3:3" x14ac:dyDescent="0.35">
      <c r="C67969" s="2"/>
    </row>
    <row r="67970" spans="3:3" x14ac:dyDescent="0.35">
      <c r="C67970" s="2"/>
    </row>
    <row r="67971" spans="3:3" x14ac:dyDescent="0.35">
      <c r="C67971" s="2"/>
    </row>
    <row r="67972" spans="3:3" x14ac:dyDescent="0.35">
      <c r="C67972" s="2"/>
    </row>
    <row r="67973" spans="3:3" x14ac:dyDescent="0.35">
      <c r="C67973" s="2"/>
    </row>
    <row r="67974" spans="3:3" x14ac:dyDescent="0.35">
      <c r="C67974" s="2"/>
    </row>
    <row r="67975" spans="3:3" x14ac:dyDescent="0.35">
      <c r="C67975" s="2"/>
    </row>
    <row r="67976" spans="3:3" x14ac:dyDescent="0.35">
      <c r="C67976" s="2"/>
    </row>
    <row r="67977" spans="3:3" x14ac:dyDescent="0.35">
      <c r="C67977" s="2"/>
    </row>
    <row r="67978" spans="3:3" x14ac:dyDescent="0.35">
      <c r="C67978" s="2"/>
    </row>
    <row r="67979" spans="3:3" x14ac:dyDescent="0.35">
      <c r="C67979" s="2"/>
    </row>
    <row r="67980" spans="3:3" x14ac:dyDescent="0.35">
      <c r="C67980" s="2"/>
    </row>
    <row r="67981" spans="3:3" x14ac:dyDescent="0.35">
      <c r="C67981" s="2"/>
    </row>
    <row r="67982" spans="3:3" x14ac:dyDescent="0.35">
      <c r="C67982" s="2"/>
    </row>
    <row r="67983" spans="3:3" x14ac:dyDescent="0.35">
      <c r="C67983" s="2"/>
    </row>
    <row r="67984" spans="3:3" x14ac:dyDescent="0.35">
      <c r="C67984" s="2"/>
    </row>
    <row r="67985" spans="3:3" x14ac:dyDescent="0.35">
      <c r="C67985" s="2"/>
    </row>
    <row r="67986" spans="3:3" x14ac:dyDescent="0.35">
      <c r="C67986" s="2"/>
    </row>
    <row r="67987" spans="3:3" x14ac:dyDescent="0.35">
      <c r="C67987" s="2"/>
    </row>
    <row r="67988" spans="3:3" x14ac:dyDescent="0.35">
      <c r="C67988" s="2"/>
    </row>
    <row r="67989" spans="3:3" x14ac:dyDescent="0.35">
      <c r="C67989" s="2"/>
    </row>
    <row r="67990" spans="3:3" x14ac:dyDescent="0.35">
      <c r="C67990" s="2"/>
    </row>
    <row r="67991" spans="3:3" x14ac:dyDescent="0.35">
      <c r="C67991" s="2"/>
    </row>
    <row r="67992" spans="3:3" x14ac:dyDescent="0.35">
      <c r="C67992" s="2"/>
    </row>
    <row r="67993" spans="3:3" x14ac:dyDescent="0.35">
      <c r="C67993" s="2"/>
    </row>
    <row r="67994" spans="3:3" x14ac:dyDescent="0.35">
      <c r="C67994" s="2"/>
    </row>
    <row r="67995" spans="3:3" x14ac:dyDescent="0.35">
      <c r="C67995" s="2"/>
    </row>
    <row r="67996" spans="3:3" x14ac:dyDescent="0.35">
      <c r="C67996" s="2"/>
    </row>
    <row r="67997" spans="3:3" x14ac:dyDescent="0.35">
      <c r="C67997" s="2"/>
    </row>
    <row r="67998" spans="3:3" x14ac:dyDescent="0.35">
      <c r="C67998" s="2"/>
    </row>
    <row r="67999" spans="3:3" x14ac:dyDescent="0.35">
      <c r="C67999" s="2"/>
    </row>
    <row r="68000" spans="3:3" x14ac:dyDescent="0.35">
      <c r="C68000" s="2"/>
    </row>
    <row r="68001" spans="3:3" x14ac:dyDescent="0.35">
      <c r="C68001" s="2"/>
    </row>
    <row r="68002" spans="3:3" x14ac:dyDescent="0.35">
      <c r="C68002" s="2"/>
    </row>
    <row r="68003" spans="3:3" x14ac:dyDescent="0.35">
      <c r="C68003" s="2"/>
    </row>
    <row r="68004" spans="3:3" x14ac:dyDescent="0.35">
      <c r="C68004" s="2"/>
    </row>
    <row r="68005" spans="3:3" x14ac:dyDescent="0.35">
      <c r="C68005" s="2"/>
    </row>
    <row r="68006" spans="3:3" x14ac:dyDescent="0.35">
      <c r="C68006" s="2"/>
    </row>
    <row r="68007" spans="3:3" x14ac:dyDescent="0.35">
      <c r="C68007" s="2"/>
    </row>
    <row r="68008" spans="3:3" x14ac:dyDescent="0.35">
      <c r="C68008" s="2"/>
    </row>
    <row r="68009" spans="3:3" x14ac:dyDescent="0.35">
      <c r="C68009" s="2"/>
    </row>
    <row r="68010" spans="3:3" x14ac:dyDescent="0.35">
      <c r="C68010" s="2"/>
    </row>
    <row r="68011" spans="3:3" x14ac:dyDescent="0.35">
      <c r="C68011" s="2"/>
    </row>
    <row r="68012" spans="3:3" x14ac:dyDescent="0.35">
      <c r="C68012" s="2"/>
    </row>
    <row r="68013" spans="3:3" x14ac:dyDescent="0.35">
      <c r="C68013" s="2"/>
    </row>
    <row r="68014" spans="3:3" x14ac:dyDescent="0.35">
      <c r="C68014" s="2"/>
    </row>
    <row r="68015" spans="3:3" x14ac:dyDescent="0.35">
      <c r="C68015" s="2"/>
    </row>
    <row r="68016" spans="3:3" x14ac:dyDescent="0.35">
      <c r="C68016" s="2"/>
    </row>
    <row r="68017" spans="3:3" x14ac:dyDescent="0.35">
      <c r="C68017" s="2"/>
    </row>
    <row r="68018" spans="3:3" x14ac:dyDescent="0.35">
      <c r="C68018" s="2"/>
    </row>
    <row r="68019" spans="3:3" x14ac:dyDescent="0.35">
      <c r="C68019" s="2"/>
    </row>
    <row r="68020" spans="3:3" x14ac:dyDescent="0.35">
      <c r="C68020" s="2"/>
    </row>
    <row r="68021" spans="3:3" x14ac:dyDescent="0.35">
      <c r="C68021" s="2"/>
    </row>
    <row r="68022" spans="3:3" x14ac:dyDescent="0.35">
      <c r="C68022" s="2"/>
    </row>
    <row r="68023" spans="3:3" x14ac:dyDescent="0.35">
      <c r="C68023" s="2"/>
    </row>
    <row r="68024" spans="3:3" x14ac:dyDescent="0.35">
      <c r="C68024" s="2"/>
    </row>
    <row r="68025" spans="3:3" x14ac:dyDescent="0.35">
      <c r="C68025" s="2"/>
    </row>
    <row r="68026" spans="3:3" x14ac:dyDescent="0.35">
      <c r="C68026" s="2"/>
    </row>
    <row r="68027" spans="3:3" x14ac:dyDescent="0.35">
      <c r="C68027" s="2"/>
    </row>
    <row r="68028" spans="3:3" x14ac:dyDescent="0.35">
      <c r="C68028" s="2"/>
    </row>
    <row r="68029" spans="3:3" x14ac:dyDescent="0.35">
      <c r="C68029" s="2"/>
    </row>
    <row r="68030" spans="3:3" x14ac:dyDescent="0.35">
      <c r="C68030" s="2"/>
    </row>
    <row r="68031" spans="3:3" x14ac:dyDescent="0.35">
      <c r="C68031" s="2"/>
    </row>
    <row r="68032" spans="3:3" x14ac:dyDescent="0.35">
      <c r="C68032" s="2"/>
    </row>
    <row r="68033" spans="3:3" x14ac:dyDescent="0.35">
      <c r="C68033" s="2"/>
    </row>
    <row r="68034" spans="3:3" x14ac:dyDescent="0.35">
      <c r="C68034" s="2"/>
    </row>
    <row r="68035" spans="3:3" x14ac:dyDescent="0.35">
      <c r="C68035" s="2"/>
    </row>
    <row r="68036" spans="3:3" x14ac:dyDescent="0.35">
      <c r="C68036" s="2"/>
    </row>
    <row r="68037" spans="3:3" x14ac:dyDescent="0.35">
      <c r="C68037" s="2"/>
    </row>
    <row r="68038" spans="3:3" x14ac:dyDescent="0.35">
      <c r="C68038" s="2"/>
    </row>
    <row r="68039" spans="3:3" x14ac:dyDescent="0.35">
      <c r="C68039" s="2"/>
    </row>
    <row r="68040" spans="3:3" x14ac:dyDescent="0.35">
      <c r="C68040" s="2"/>
    </row>
    <row r="68041" spans="3:3" x14ac:dyDescent="0.35">
      <c r="C68041" s="2"/>
    </row>
    <row r="68042" spans="3:3" x14ac:dyDescent="0.35">
      <c r="C68042" s="2"/>
    </row>
    <row r="68043" spans="3:3" x14ac:dyDescent="0.35">
      <c r="C68043" s="2"/>
    </row>
    <row r="68044" spans="3:3" x14ac:dyDescent="0.35">
      <c r="C68044" s="2"/>
    </row>
    <row r="68045" spans="3:3" x14ac:dyDescent="0.35">
      <c r="C68045" s="2"/>
    </row>
    <row r="68046" spans="3:3" x14ac:dyDescent="0.35">
      <c r="C68046" s="2"/>
    </row>
    <row r="68047" spans="3:3" x14ac:dyDescent="0.35">
      <c r="C68047" s="2"/>
    </row>
    <row r="68048" spans="3:3" x14ac:dyDescent="0.35">
      <c r="C68048" s="2"/>
    </row>
    <row r="68049" spans="3:3" x14ac:dyDescent="0.35">
      <c r="C68049" s="2"/>
    </row>
    <row r="68050" spans="3:3" x14ac:dyDescent="0.35">
      <c r="C68050" s="2"/>
    </row>
    <row r="68051" spans="3:3" x14ac:dyDescent="0.35">
      <c r="C68051" s="2"/>
    </row>
    <row r="68052" spans="3:3" x14ac:dyDescent="0.35">
      <c r="C68052" s="2"/>
    </row>
    <row r="68053" spans="3:3" x14ac:dyDescent="0.35">
      <c r="C68053" s="2"/>
    </row>
    <row r="68054" spans="3:3" x14ac:dyDescent="0.35">
      <c r="C68054" s="2"/>
    </row>
    <row r="68055" spans="3:3" x14ac:dyDescent="0.35">
      <c r="C68055" s="2"/>
    </row>
    <row r="68056" spans="3:3" x14ac:dyDescent="0.35">
      <c r="C68056" s="2"/>
    </row>
    <row r="68057" spans="3:3" x14ac:dyDescent="0.35">
      <c r="C68057" s="2"/>
    </row>
    <row r="68058" spans="3:3" x14ac:dyDescent="0.35">
      <c r="C68058" s="2"/>
    </row>
    <row r="68059" spans="3:3" x14ac:dyDescent="0.35">
      <c r="C68059" s="2"/>
    </row>
    <row r="68060" spans="3:3" x14ac:dyDescent="0.35">
      <c r="C68060" s="2"/>
    </row>
    <row r="68061" spans="3:3" x14ac:dyDescent="0.35">
      <c r="C68061" s="2"/>
    </row>
    <row r="68062" spans="3:3" x14ac:dyDescent="0.35">
      <c r="C68062" s="2"/>
    </row>
    <row r="68063" spans="3:3" x14ac:dyDescent="0.35">
      <c r="C68063" s="2"/>
    </row>
    <row r="68064" spans="3:3" x14ac:dyDescent="0.35">
      <c r="C68064" s="2"/>
    </row>
    <row r="68065" spans="3:3" x14ac:dyDescent="0.35">
      <c r="C68065" s="2"/>
    </row>
    <row r="68066" spans="3:3" x14ac:dyDescent="0.35">
      <c r="C68066" s="2"/>
    </row>
    <row r="68067" spans="3:3" x14ac:dyDescent="0.35">
      <c r="C68067" s="2"/>
    </row>
    <row r="68068" spans="3:3" x14ac:dyDescent="0.35">
      <c r="C68068" s="2"/>
    </row>
    <row r="68069" spans="3:3" x14ac:dyDescent="0.35">
      <c r="C68069" s="2"/>
    </row>
    <row r="68070" spans="3:3" x14ac:dyDescent="0.35">
      <c r="C68070" s="2"/>
    </row>
    <row r="68071" spans="3:3" x14ac:dyDescent="0.35">
      <c r="C68071" s="2"/>
    </row>
    <row r="68072" spans="3:3" x14ac:dyDescent="0.35">
      <c r="C68072" s="2"/>
    </row>
    <row r="68073" spans="3:3" x14ac:dyDescent="0.35">
      <c r="C68073" s="2"/>
    </row>
    <row r="68074" spans="3:3" x14ac:dyDescent="0.35">
      <c r="C68074" s="2"/>
    </row>
    <row r="68075" spans="3:3" x14ac:dyDescent="0.35">
      <c r="C68075" s="2"/>
    </row>
    <row r="68076" spans="3:3" x14ac:dyDescent="0.35">
      <c r="C68076" s="2"/>
    </row>
    <row r="68077" spans="3:3" x14ac:dyDescent="0.35">
      <c r="C68077" s="2"/>
    </row>
    <row r="68078" spans="3:3" x14ac:dyDescent="0.35">
      <c r="C68078" s="2"/>
    </row>
    <row r="68079" spans="3:3" x14ac:dyDescent="0.35">
      <c r="C68079" s="2"/>
    </row>
    <row r="68080" spans="3:3" x14ac:dyDescent="0.35">
      <c r="C68080" s="2"/>
    </row>
    <row r="68081" spans="3:3" x14ac:dyDescent="0.35">
      <c r="C68081" s="2"/>
    </row>
    <row r="68082" spans="3:3" x14ac:dyDescent="0.35">
      <c r="C68082" s="2"/>
    </row>
    <row r="68083" spans="3:3" x14ac:dyDescent="0.35">
      <c r="C68083" s="2"/>
    </row>
    <row r="68084" spans="3:3" x14ac:dyDescent="0.35">
      <c r="C68084" s="2"/>
    </row>
    <row r="68085" spans="3:3" x14ac:dyDescent="0.35">
      <c r="C68085" s="2"/>
    </row>
    <row r="68086" spans="3:3" x14ac:dyDescent="0.35">
      <c r="C68086" s="2"/>
    </row>
    <row r="68087" spans="3:3" x14ac:dyDescent="0.35">
      <c r="C68087" s="2"/>
    </row>
    <row r="68088" spans="3:3" x14ac:dyDescent="0.35">
      <c r="C68088" s="2"/>
    </row>
    <row r="68089" spans="3:3" x14ac:dyDescent="0.35">
      <c r="C68089" s="2"/>
    </row>
    <row r="68090" spans="3:3" x14ac:dyDescent="0.35">
      <c r="C68090" s="2"/>
    </row>
    <row r="68091" spans="3:3" x14ac:dyDescent="0.35">
      <c r="C68091" s="2"/>
    </row>
    <row r="68092" spans="3:3" x14ac:dyDescent="0.35">
      <c r="C68092" s="2"/>
    </row>
    <row r="68093" spans="3:3" x14ac:dyDescent="0.35">
      <c r="C68093" s="2"/>
    </row>
    <row r="68094" spans="3:3" x14ac:dyDescent="0.35">
      <c r="C68094" s="2"/>
    </row>
    <row r="68095" spans="3:3" x14ac:dyDescent="0.35">
      <c r="C68095" s="2"/>
    </row>
    <row r="68096" spans="3:3" x14ac:dyDescent="0.35">
      <c r="C68096" s="2"/>
    </row>
    <row r="68097" spans="3:3" x14ac:dyDescent="0.35">
      <c r="C68097" s="2"/>
    </row>
    <row r="68098" spans="3:3" x14ac:dyDescent="0.35">
      <c r="C68098" s="2"/>
    </row>
    <row r="68099" spans="3:3" x14ac:dyDescent="0.35">
      <c r="C68099" s="2"/>
    </row>
    <row r="68100" spans="3:3" x14ac:dyDescent="0.35">
      <c r="C68100" s="2"/>
    </row>
    <row r="68101" spans="3:3" x14ac:dyDescent="0.35">
      <c r="C68101" s="2"/>
    </row>
    <row r="68102" spans="3:3" x14ac:dyDescent="0.35">
      <c r="C68102" s="2"/>
    </row>
    <row r="68103" spans="3:3" x14ac:dyDescent="0.35">
      <c r="C68103" s="2"/>
    </row>
    <row r="68104" spans="3:3" x14ac:dyDescent="0.35">
      <c r="C68104" s="2"/>
    </row>
    <row r="68105" spans="3:3" x14ac:dyDescent="0.35">
      <c r="C68105" s="2"/>
    </row>
    <row r="68106" spans="3:3" x14ac:dyDescent="0.35">
      <c r="C68106" s="2"/>
    </row>
    <row r="68107" spans="3:3" x14ac:dyDescent="0.35">
      <c r="C68107" s="2"/>
    </row>
    <row r="68108" spans="3:3" x14ac:dyDescent="0.35">
      <c r="C68108" s="2"/>
    </row>
    <row r="68109" spans="3:3" x14ac:dyDescent="0.35">
      <c r="C68109" s="2"/>
    </row>
    <row r="68110" spans="3:3" x14ac:dyDescent="0.35">
      <c r="C68110" s="2"/>
    </row>
    <row r="68111" spans="3:3" x14ac:dyDescent="0.35">
      <c r="C68111" s="2"/>
    </row>
    <row r="68112" spans="3:3" x14ac:dyDescent="0.35">
      <c r="C68112" s="2"/>
    </row>
    <row r="68113" spans="3:3" x14ac:dyDescent="0.35">
      <c r="C68113" s="2"/>
    </row>
    <row r="68114" spans="3:3" x14ac:dyDescent="0.35">
      <c r="C68114" s="2"/>
    </row>
    <row r="68115" spans="3:3" x14ac:dyDescent="0.35">
      <c r="C68115" s="2"/>
    </row>
    <row r="68116" spans="3:3" x14ac:dyDescent="0.35">
      <c r="C68116" s="2"/>
    </row>
    <row r="68117" spans="3:3" x14ac:dyDescent="0.35">
      <c r="C68117" s="2"/>
    </row>
    <row r="68118" spans="3:3" x14ac:dyDescent="0.35">
      <c r="C68118" s="2"/>
    </row>
    <row r="68119" spans="3:3" x14ac:dyDescent="0.35">
      <c r="C68119" s="2"/>
    </row>
    <row r="68120" spans="3:3" x14ac:dyDescent="0.35">
      <c r="C68120" s="2"/>
    </row>
    <row r="68121" spans="3:3" x14ac:dyDescent="0.35">
      <c r="C68121" s="2"/>
    </row>
    <row r="68122" spans="3:3" x14ac:dyDescent="0.35">
      <c r="C68122" s="2"/>
    </row>
    <row r="68123" spans="3:3" x14ac:dyDescent="0.35">
      <c r="C68123" s="2"/>
    </row>
    <row r="68124" spans="3:3" x14ac:dyDescent="0.35">
      <c r="C68124" s="2"/>
    </row>
    <row r="68125" spans="3:3" x14ac:dyDescent="0.35">
      <c r="C68125" s="2"/>
    </row>
    <row r="68126" spans="3:3" x14ac:dyDescent="0.35">
      <c r="C68126" s="2"/>
    </row>
    <row r="68127" spans="3:3" x14ac:dyDescent="0.35">
      <c r="C68127" s="2"/>
    </row>
    <row r="68128" spans="3:3" x14ac:dyDescent="0.35">
      <c r="C68128" s="2"/>
    </row>
    <row r="68129" spans="3:3" x14ac:dyDescent="0.35">
      <c r="C68129" s="2"/>
    </row>
    <row r="68130" spans="3:3" x14ac:dyDescent="0.35">
      <c r="C68130" s="2"/>
    </row>
    <row r="68131" spans="3:3" x14ac:dyDescent="0.35">
      <c r="C68131" s="2"/>
    </row>
    <row r="68132" spans="3:3" x14ac:dyDescent="0.35">
      <c r="C68132" s="2"/>
    </row>
    <row r="68133" spans="3:3" x14ac:dyDescent="0.35">
      <c r="C68133" s="2"/>
    </row>
    <row r="68134" spans="3:3" x14ac:dyDescent="0.35">
      <c r="C68134" s="2"/>
    </row>
    <row r="68135" spans="3:3" x14ac:dyDescent="0.35">
      <c r="C68135" s="2"/>
    </row>
    <row r="68136" spans="3:3" x14ac:dyDescent="0.35">
      <c r="C68136" s="2"/>
    </row>
    <row r="68137" spans="3:3" x14ac:dyDescent="0.35">
      <c r="C68137" s="2"/>
    </row>
    <row r="68138" spans="3:3" x14ac:dyDescent="0.35">
      <c r="C68138" s="2"/>
    </row>
    <row r="68139" spans="3:3" x14ac:dyDescent="0.35">
      <c r="C68139" s="2"/>
    </row>
    <row r="68140" spans="3:3" x14ac:dyDescent="0.35">
      <c r="C68140" s="2"/>
    </row>
    <row r="68141" spans="3:3" x14ac:dyDescent="0.35">
      <c r="C68141" s="2"/>
    </row>
    <row r="68142" spans="3:3" x14ac:dyDescent="0.35">
      <c r="C68142" s="2"/>
    </row>
    <row r="68143" spans="3:3" x14ac:dyDescent="0.35">
      <c r="C68143" s="2"/>
    </row>
    <row r="68144" spans="3:3" x14ac:dyDescent="0.35">
      <c r="C68144" s="2"/>
    </row>
    <row r="68145" spans="3:3" x14ac:dyDescent="0.35">
      <c r="C68145" s="2"/>
    </row>
    <row r="68146" spans="3:3" x14ac:dyDescent="0.35">
      <c r="C68146" s="2"/>
    </row>
    <row r="68147" spans="3:3" x14ac:dyDescent="0.35">
      <c r="C68147" s="2"/>
    </row>
    <row r="68148" spans="3:3" x14ac:dyDescent="0.35">
      <c r="C68148" s="2"/>
    </row>
    <row r="68149" spans="3:3" x14ac:dyDescent="0.35">
      <c r="C68149" s="2"/>
    </row>
    <row r="68150" spans="3:3" x14ac:dyDescent="0.35">
      <c r="C68150" s="2"/>
    </row>
    <row r="68151" spans="3:3" x14ac:dyDescent="0.35">
      <c r="C68151" s="2"/>
    </row>
    <row r="68152" spans="3:3" x14ac:dyDescent="0.35">
      <c r="C68152" s="2"/>
    </row>
    <row r="68153" spans="3:3" x14ac:dyDescent="0.35">
      <c r="C68153" s="2"/>
    </row>
    <row r="68154" spans="3:3" x14ac:dyDescent="0.35">
      <c r="C68154" s="2"/>
    </row>
    <row r="68155" spans="3:3" x14ac:dyDescent="0.35">
      <c r="C68155" s="2"/>
    </row>
    <row r="68156" spans="3:3" x14ac:dyDescent="0.35">
      <c r="C68156" s="2"/>
    </row>
    <row r="68157" spans="3:3" x14ac:dyDescent="0.35">
      <c r="C68157" s="2"/>
    </row>
    <row r="68158" spans="3:3" x14ac:dyDescent="0.35">
      <c r="C68158" s="2"/>
    </row>
    <row r="68159" spans="3:3" x14ac:dyDescent="0.35">
      <c r="C68159" s="2"/>
    </row>
    <row r="68160" spans="3:3" x14ac:dyDescent="0.35">
      <c r="C68160" s="2"/>
    </row>
    <row r="68161" spans="3:3" x14ac:dyDescent="0.35">
      <c r="C68161" s="2"/>
    </row>
    <row r="68162" spans="3:3" x14ac:dyDescent="0.35">
      <c r="C68162" s="2"/>
    </row>
    <row r="68163" spans="3:3" x14ac:dyDescent="0.35">
      <c r="C68163" s="2"/>
    </row>
    <row r="68164" spans="3:3" x14ac:dyDescent="0.35">
      <c r="C68164" s="2"/>
    </row>
    <row r="68165" spans="3:3" x14ac:dyDescent="0.35">
      <c r="C68165" s="2"/>
    </row>
    <row r="68166" spans="3:3" x14ac:dyDescent="0.35">
      <c r="C68166" s="2"/>
    </row>
    <row r="68167" spans="3:3" x14ac:dyDescent="0.35">
      <c r="C68167" s="2"/>
    </row>
    <row r="68168" spans="3:3" x14ac:dyDescent="0.35">
      <c r="C68168" s="2"/>
    </row>
    <row r="68169" spans="3:3" x14ac:dyDescent="0.35">
      <c r="C68169" s="2"/>
    </row>
    <row r="68170" spans="3:3" x14ac:dyDescent="0.35">
      <c r="C68170" s="2"/>
    </row>
    <row r="68171" spans="3:3" x14ac:dyDescent="0.35">
      <c r="C68171" s="2"/>
    </row>
    <row r="68172" spans="3:3" x14ac:dyDescent="0.35">
      <c r="C68172" s="2"/>
    </row>
    <row r="68173" spans="3:3" x14ac:dyDescent="0.35">
      <c r="C68173" s="2"/>
    </row>
    <row r="68174" spans="3:3" x14ac:dyDescent="0.35">
      <c r="C68174" s="2"/>
    </row>
    <row r="68175" spans="3:3" x14ac:dyDescent="0.35">
      <c r="C68175" s="2"/>
    </row>
    <row r="68176" spans="3:3" x14ac:dyDescent="0.35">
      <c r="C68176" s="2"/>
    </row>
    <row r="68177" spans="3:3" x14ac:dyDescent="0.35">
      <c r="C68177" s="2"/>
    </row>
    <row r="68178" spans="3:3" x14ac:dyDescent="0.35">
      <c r="C68178" s="2"/>
    </row>
    <row r="68179" spans="3:3" x14ac:dyDescent="0.35">
      <c r="C68179" s="2"/>
    </row>
    <row r="68180" spans="3:3" x14ac:dyDescent="0.35">
      <c r="C68180" s="2"/>
    </row>
    <row r="68181" spans="3:3" x14ac:dyDescent="0.35">
      <c r="C68181" s="2"/>
    </row>
    <row r="68182" spans="3:3" x14ac:dyDescent="0.35">
      <c r="C68182" s="2"/>
    </row>
    <row r="68183" spans="3:3" x14ac:dyDescent="0.35">
      <c r="C68183" s="2"/>
    </row>
    <row r="68184" spans="3:3" x14ac:dyDescent="0.35">
      <c r="C68184" s="2"/>
    </row>
    <row r="68185" spans="3:3" x14ac:dyDescent="0.35">
      <c r="C68185" s="2"/>
    </row>
    <row r="68186" spans="3:3" x14ac:dyDescent="0.35">
      <c r="C68186" s="2"/>
    </row>
    <row r="68187" spans="3:3" x14ac:dyDescent="0.35">
      <c r="C68187" s="2"/>
    </row>
    <row r="68188" spans="3:3" x14ac:dyDescent="0.35">
      <c r="C68188" s="2"/>
    </row>
    <row r="68189" spans="3:3" x14ac:dyDescent="0.35">
      <c r="C68189" s="2"/>
    </row>
    <row r="68190" spans="3:3" x14ac:dyDescent="0.35">
      <c r="C68190" s="2"/>
    </row>
    <row r="68191" spans="3:3" x14ac:dyDescent="0.35">
      <c r="C68191" s="2"/>
    </row>
    <row r="68192" spans="3:3" x14ac:dyDescent="0.35">
      <c r="C68192" s="2"/>
    </row>
    <row r="68193" spans="3:3" x14ac:dyDescent="0.35">
      <c r="C68193" s="2"/>
    </row>
    <row r="68194" spans="3:3" x14ac:dyDescent="0.35">
      <c r="C68194" s="2"/>
    </row>
    <row r="68195" spans="3:3" x14ac:dyDescent="0.35">
      <c r="C68195" s="2"/>
    </row>
    <row r="68196" spans="3:3" x14ac:dyDescent="0.35">
      <c r="C68196" s="2"/>
    </row>
    <row r="68197" spans="3:3" x14ac:dyDescent="0.35">
      <c r="C68197" s="2"/>
    </row>
    <row r="68198" spans="3:3" x14ac:dyDescent="0.35">
      <c r="C68198" s="2"/>
    </row>
    <row r="68199" spans="3:3" x14ac:dyDescent="0.35">
      <c r="C68199" s="2"/>
    </row>
    <row r="68200" spans="3:3" x14ac:dyDescent="0.35">
      <c r="C68200" s="2"/>
    </row>
    <row r="68201" spans="3:3" x14ac:dyDescent="0.35">
      <c r="C68201" s="2"/>
    </row>
    <row r="68202" spans="3:3" x14ac:dyDescent="0.35">
      <c r="C68202" s="2"/>
    </row>
    <row r="68203" spans="3:3" x14ac:dyDescent="0.35">
      <c r="C68203" s="2"/>
    </row>
    <row r="68204" spans="3:3" x14ac:dyDescent="0.35">
      <c r="C68204" s="2"/>
    </row>
    <row r="68205" spans="3:3" x14ac:dyDescent="0.35">
      <c r="C68205" s="2"/>
    </row>
    <row r="68206" spans="3:3" x14ac:dyDescent="0.35">
      <c r="C68206" s="2"/>
    </row>
    <row r="68207" spans="3:3" x14ac:dyDescent="0.35">
      <c r="C68207" s="2"/>
    </row>
    <row r="68208" spans="3:3" x14ac:dyDescent="0.35">
      <c r="C68208" s="2"/>
    </row>
    <row r="68209" spans="3:3" x14ac:dyDescent="0.35">
      <c r="C68209" s="2"/>
    </row>
    <row r="68210" spans="3:3" x14ac:dyDescent="0.35">
      <c r="C68210" s="2"/>
    </row>
    <row r="68211" spans="3:3" x14ac:dyDescent="0.35">
      <c r="C68211" s="2"/>
    </row>
    <row r="68212" spans="3:3" x14ac:dyDescent="0.35">
      <c r="C68212" s="2"/>
    </row>
    <row r="68213" spans="3:3" x14ac:dyDescent="0.35">
      <c r="C68213" s="2"/>
    </row>
    <row r="68214" spans="3:3" x14ac:dyDescent="0.35">
      <c r="C68214" s="2"/>
    </row>
    <row r="68215" spans="3:3" x14ac:dyDescent="0.35">
      <c r="C68215" s="2"/>
    </row>
    <row r="68216" spans="3:3" x14ac:dyDescent="0.35">
      <c r="C68216" s="2"/>
    </row>
    <row r="68217" spans="3:3" x14ac:dyDescent="0.35">
      <c r="C68217" s="2"/>
    </row>
    <row r="68218" spans="3:3" x14ac:dyDescent="0.35">
      <c r="C68218" s="2"/>
    </row>
    <row r="68219" spans="3:3" x14ac:dyDescent="0.35">
      <c r="C68219" s="2"/>
    </row>
    <row r="68220" spans="3:3" x14ac:dyDescent="0.35">
      <c r="C68220" s="2"/>
    </row>
    <row r="68221" spans="3:3" x14ac:dyDescent="0.35">
      <c r="C68221" s="2"/>
    </row>
    <row r="68222" spans="3:3" x14ac:dyDescent="0.35">
      <c r="C68222" s="2"/>
    </row>
    <row r="68223" spans="3:3" x14ac:dyDescent="0.35">
      <c r="C68223" s="2"/>
    </row>
    <row r="68224" spans="3:3" x14ac:dyDescent="0.35">
      <c r="C68224" s="2"/>
    </row>
    <row r="68225" spans="3:3" x14ac:dyDescent="0.35">
      <c r="C68225" s="2"/>
    </row>
    <row r="68226" spans="3:3" x14ac:dyDescent="0.35">
      <c r="C68226" s="2"/>
    </row>
    <row r="68227" spans="3:3" x14ac:dyDescent="0.35">
      <c r="C68227" s="2"/>
    </row>
    <row r="68228" spans="3:3" x14ac:dyDescent="0.35">
      <c r="C68228" s="2"/>
    </row>
    <row r="68229" spans="3:3" x14ac:dyDescent="0.35">
      <c r="C68229" s="2"/>
    </row>
    <row r="68230" spans="3:3" x14ac:dyDescent="0.35">
      <c r="C68230" s="2"/>
    </row>
    <row r="68231" spans="3:3" x14ac:dyDescent="0.35">
      <c r="C68231" s="2"/>
    </row>
    <row r="68232" spans="3:3" x14ac:dyDescent="0.35">
      <c r="C68232" s="2"/>
    </row>
    <row r="68233" spans="3:3" x14ac:dyDescent="0.35">
      <c r="C68233" s="2"/>
    </row>
    <row r="68234" spans="3:3" x14ac:dyDescent="0.35">
      <c r="C68234" s="2"/>
    </row>
    <row r="68235" spans="3:3" x14ac:dyDescent="0.35">
      <c r="C68235" s="2"/>
    </row>
    <row r="68236" spans="3:3" x14ac:dyDescent="0.35">
      <c r="C68236" s="2"/>
    </row>
    <row r="68237" spans="3:3" x14ac:dyDescent="0.35">
      <c r="C68237" s="2"/>
    </row>
    <row r="68238" spans="3:3" x14ac:dyDescent="0.35">
      <c r="C68238" s="2"/>
    </row>
    <row r="68239" spans="3:3" x14ac:dyDescent="0.35">
      <c r="C68239" s="2"/>
    </row>
    <row r="68240" spans="3:3" x14ac:dyDescent="0.35">
      <c r="C68240" s="2"/>
    </row>
    <row r="68241" spans="3:3" x14ac:dyDescent="0.35">
      <c r="C68241" s="2"/>
    </row>
    <row r="68242" spans="3:3" x14ac:dyDescent="0.35">
      <c r="C68242" s="2"/>
    </row>
    <row r="68243" spans="3:3" x14ac:dyDescent="0.35">
      <c r="C68243" s="2"/>
    </row>
    <row r="68244" spans="3:3" x14ac:dyDescent="0.35">
      <c r="C68244" s="2"/>
    </row>
    <row r="68245" spans="3:3" x14ac:dyDescent="0.35">
      <c r="C68245" s="2"/>
    </row>
    <row r="68246" spans="3:3" x14ac:dyDescent="0.35">
      <c r="C68246" s="2"/>
    </row>
    <row r="68247" spans="3:3" x14ac:dyDescent="0.35">
      <c r="C68247" s="2"/>
    </row>
    <row r="68248" spans="3:3" x14ac:dyDescent="0.35">
      <c r="C68248" s="2"/>
    </row>
    <row r="68249" spans="3:3" x14ac:dyDescent="0.35">
      <c r="C68249" s="2"/>
    </row>
    <row r="68250" spans="3:3" x14ac:dyDescent="0.35">
      <c r="C68250" s="2"/>
    </row>
    <row r="68251" spans="3:3" x14ac:dyDescent="0.35">
      <c r="C68251" s="2"/>
    </row>
    <row r="68252" spans="3:3" x14ac:dyDescent="0.35">
      <c r="C68252" s="2"/>
    </row>
    <row r="68253" spans="3:3" x14ac:dyDescent="0.35">
      <c r="C68253" s="2"/>
    </row>
    <row r="68254" spans="3:3" x14ac:dyDescent="0.35">
      <c r="C68254" s="2"/>
    </row>
    <row r="68255" spans="3:3" x14ac:dyDescent="0.35">
      <c r="C68255" s="2"/>
    </row>
    <row r="68256" spans="3:3" x14ac:dyDescent="0.35">
      <c r="C68256" s="2"/>
    </row>
    <row r="68257" spans="3:3" x14ac:dyDescent="0.35">
      <c r="C68257" s="2"/>
    </row>
    <row r="68258" spans="3:3" x14ac:dyDescent="0.35">
      <c r="C68258" s="2"/>
    </row>
    <row r="68259" spans="3:3" x14ac:dyDescent="0.35">
      <c r="C68259" s="2"/>
    </row>
    <row r="68260" spans="3:3" x14ac:dyDescent="0.35">
      <c r="C68260" s="2"/>
    </row>
    <row r="68261" spans="3:3" x14ac:dyDescent="0.35">
      <c r="C68261" s="2"/>
    </row>
    <row r="68262" spans="3:3" x14ac:dyDescent="0.35">
      <c r="C68262" s="2"/>
    </row>
    <row r="68263" spans="3:3" x14ac:dyDescent="0.35">
      <c r="C68263" s="2"/>
    </row>
    <row r="68264" spans="3:3" x14ac:dyDescent="0.35">
      <c r="C68264" s="2"/>
    </row>
    <row r="68265" spans="3:3" x14ac:dyDescent="0.35">
      <c r="C68265" s="2"/>
    </row>
    <row r="68266" spans="3:3" x14ac:dyDescent="0.35">
      <c r="C68266" s="2"/>
    </row>
    <row r="68267" spans="3:3" x14ac:dyDescent="0.35">
      <c r="C68267" s="2"/>
    </row>
    <row r="68268" spans="3:3" x14ac:dyDescent="0.35">
      <c r="C68268" s="2"/>
    </row>
    <row r="68269" spans="3:3" x14ac:dyDescent="0.35">
      <c r="C68269" s="2"/>
    </row>
    <row r="68270" spans="3:3" x14ac:dyDescent="0.35">
      <c r="C68270" s="2"/>
    </row>
    <row r="68271" spans="3:3" x14ac:dyDescent="0.35">
      <c r="C68271" s="2"/>
    </row>
    <row r="68272" spans="3:3" x14ac:dyDescent="0.35">
      <c r="C68272" s="2"/>
    </row>
    <row r="68273" spans="3:3" x14ac:dyDescent="0.35">
      <c r="C68273" s="2"/>
    </row>
    <row r="68274" spans="3:3" x14ac:dyDescent="0.35">
      <c r="C68274" s="2"/>
    </row>
    <row r="68275" spans="3:3" x14ac:dyDescent="0.35">
      <c r="C68275" s="2"/>
    </row>
    <row r="68276" spans="3:3" x14ac:dyDescent="0.35">
      <c r="C68276" s="2"/>
    </row>
    <row r="68277" spans="3:3" x14ac:dyDescent="0.35">
      <c r="C68277" s="2"/>
    </row>
    <row r="68278" spans="3:3" x14ac:dyDescent="0.35">
      <c r="C68278" s="2"/>
    </row>
    <row r="68279" spans="3:3" x14ac:dyDescent="0.35">
      <c r="C68279" s="2"/>
    </row>
    <row r="68280" spans="3:3" x14ac:dyDescent="0.35">
      <c r="C68280" s="2"/>
    </row>
    <row r="68281" spans="3:3" x14ac:dyDescent="0.35">
      <c r="C68281" s="2"/>
    </row>
    <row r="68282" spans="3:3" x14ac:dyDescent="0.35">
      <c r="C68282" s="2"/>
    </row>
    <row r="68283" spans="3:3" x14ac:dyDescent="0.35">
      <c r="C68283" s="2"/>
    </row>
    <row r="68284" spans="3:3" x14ac:dyDescent="0.35">
      <c r="C68284" s="2"/>
    </row>
    <row r="68285" spans="3:3" x14ac:dyDescent="0.35">
      <c r="C68285" s="2"/>
    </row>
    <row r="68286" spans="3:3" x14ac:dyDescent="0.35">
      <c r="C68286" s="2"/>
    </row>
    <row r="68287" spans="3:3" x14ac:dyDescent="0.35">
      <c r="C68287" s="2"/>
    </row>
    <row r="68288" spans="3:3" x14ac:dyDescent="0.35">
      <c r="C68288" s="2"/>
    </row>
    <row r="68289" spans="3:3" x14ac:dyDescent="0.35">
      <c r="C68289" s="2"/>
    </row>
    <row r="68290" spans="3:3" x14ac:dyDescent="0.35">
      <c r="C68290" s="2"/>
    </row>
    <row r="68291" spans="3:3" x14ac:dyDescent="0.35">
      <c r="C68291" s="2"/>
    </row>
    <row r="68292" spans="3:3" x14ac:dyDescent="0.35">
      <c r="C68292" s="2"/>
    </row>
    <row r="68293" spans="3:3" x14ac:dyDescent="0.35">
      <c r="C68293" s="2"/>
    </row>
    <row r="68294" spans="3:3" x14ac:dyDescent="0.35">
      <c r="C68294" s="2"/>
    </row>
    <row r="68295" spans="3:3" x14ac:dyDescent="0.35">
      <c r="C68295" s="2"/>
    </row>
    <row r="68296" spans="3:3" x14ac:dyDescent="0.35">
      <c r="C68296" s="2"/>
    </row>
    <row r="68297" spans="3:3" x14ac:dyDescent="0.35">
      <c r="C68297" s="2"/>
    </row>
    <row r="68298" spans="3:3" x14ac:dyDescent="0.35">
      <c r="C68298" s="2"/>
    </row>
    <row r="68299" spans="3:3" x14ac:dyDescent="0.35">
      <c r="C68299" s="2"/>
    </row>
    <row r="68300" spans="3:3" x14ac:dyDescent="0.35">
      <c r="C68300" s="2"/>
    </row>
    <row r="68301" spans="3:3" x14ac:dyDescent="0.35">
      <c r="C68301" s="2"/>
    </row>
    <row r="68302" spans="3:3" x14ac:dyDescent="0.35">
      <c r="C68302" s="2"/>
    </row>
    <row r="68303" spans="3:3" x14ac:dyDescent="0.35">
      <c r="C68303" s="2"/>
    </row>
    <row r="68304" spans="3:3" x14ac:dyDescent="0.35">
      <c r="C68304" s="2"/>
    </row>
    <row r="68305" spans="3:3" x14ac:dyDescent="0.35">
      <c r="C68305" s="2"/>
    </row>
    <row r="68306" spans="3:3" x14ac:dyDescent="0.35">
      <c r="C68306" s="2"/>
    </row>
    <row r="68307" spans="3:3" x14ac:dyDescent="0.35">
      <c r="C68307" s="2"/>
    </row>
    <row r="68308" spans="3:3" x14ac:dyDescent="0.35">
      <c r="C68308" s="2"/>
    </row>
    <row r="68309" spans="3:3" x14ac:dyDescent="0.35">
      <c r="C68309" s="2"/>
    </row>
    <row r="68310" spans="3:3" x14ac:dyDescent="0.35">
      <c r="C68310" s="2"/>
    </row>
    <row r="68311" spans="3:3" x14ac:dyDescent="0.35">
      <c r="C68311" s="2"/>
    </row>
    <row r="68312" spans="3:3" x14ac:dyDescent="0.35">
      <c r="C68312" s="2"/>
    </row>
    <row r="68313" spans="3:3" x14ac:dyDescent="0.35">
      <c r="C68313" s="2"/>
    </row>
    <row r="68314" spans="3:3" x14ac:dyDescent="0.35">
      <c r="C68314" s="2"/>
    </row>
    <row r="68315" spans="3:3" x14ac:dyDescent="0.35">
      <c r="C68315" s="2"/>
    </row>
    <row r="68316" spans="3:3" x14ac:dyDescent="0.35">
      <c r="C68316" s="2"/>
    </row>
    <row r="68317" spans="3:3" x14ac:dyDescent="0.35">
      <c r="C68317" s="2"/>
    </row>
    <row r="68318" spans="3:3" x14ac:dyDescent="0.35">
      <c r="C68318" s="2"/>
    </row>
    <row r="68319" spans="3:3" x14ac:dyDescent="0.35">
      <c r="C68319" s="2"/>
    </row>
    <row r="68320" spans="3:3" x14ac:dyDescent="0.35">
      <c r="C68320" s="2"/>
    </row>
    <row r="68321" spans="3:3" x14ac:dyDescent="0.35">
      <c r="C68321" s="2"/>
    </row>
    <row r="68322" spans="3:3" x14ac:dyDescent="0.35">
      <c r="C68322" s="2"/>
    </row>
    <row r="68323" spans="3:3" x14ac:dyDescent="0.35">
      <c r="C68323" s="2"/>
    </row>
    <row r="68324" spans="3:3" x14ac:dyDescent="0.35">
      <c r="C68324" s="2"/>
    </row>
    <row r="68325" spans="3:3" x14ac:dyDescent="0.35">
      <c r="C68325" s="2"/>
    </row>
    <row r="68326" spans="3:3" x14ac:dyDescent="0.35">
      <c r="C68326" s="2"/>
    </row>
    <row r="68327" spans="3:3" x14ac:dyDescent="0.35">
      <c r="C68327" s="2"/>
    </row>
    <row r="68328" spans="3:3" x14ac:dyDescent="0.35">
      <c r="C68328" s="2"/>
    </row>
    <row r="68329" spans="3:3" x14ac:dyDescent="0.35">
      <c r="C68329" s="2"/>
    </row>
    <row r="68330" spans="3:3" x14ac:dyDescent="0.35">
      <c r="C68330" s="2"/>
    </row>
    <row r="68331" spans="3:3" x14ac:dyDescent="0.35">
      <c r="C68331" s="2"/>
    </row>
    <row r="68332" spans="3:3" x14ac:dyDescent="0.35">
      <c r="C68332" s="2"/>
    </row>
    <row r="68333" spans="3:3" x14ac:dyDescent="0.35">
      <c r="C68333" s="2"/>
    </row>
    <row r="68334" spans="3:3" x14ac:dyDescent="0.35">
      <c r="C68334" s="2"/>
    </row>
    <row r="68335" spans="3:3" x14ac:dyDescent="0.35">
      <c r="C68335" s="2"/>
    </row>
    <row r="68336" spans="3:3" x14ac:dyDescent="0.35">
      <c r="C68336" s="2"/>
    </row>
    <row r="68337" spans="3:3" x14ac:dyDescent="0.35">
      <c r="C68337" s="2"/>
    </row>
    <row r="68338" spans="3:3" x14ac:dyDescent="0.35">
      <c r="C68338" s="2"/>
    </row>
    <row r="68339" spans="3:3" x14ac:dyDescent="0.35">
      <c r="C68339" s="2"/>
    </row>
    <row r="68340" spans="3:3" x14ac:dyDescent="0.35">
      <c r="C68340" s="2"/>
    </row>
    <row r="68341" spans="3:3" x14ac:dyDescent="0.35">
      <c r="C68341" s="2"/>
    </row>
    <row r="68342" spans="3:3" x14ac:dyDescent="0.35">
      <c r="C68342" s="2"/>
    </row>
    <row r="68343" spans="3:3" x14ac:dyDescent="0.35">
      <c r="C68343" s="2"/>
    </row>
    <row r="68344" spans="3:3" x14ac:dyDescent="0.35">
      <c r="C68344" s="2"/>
    </row>
    <row r="68345" spans="3:3" x14ac:dyDescent="0.35">
      <c r="C68345" s="2"/>
    </row>
    <row r="68346" spans="3:3" x14ac:dyDescent="0.35">
      <c r="C68346" s="2"/>
    </row>
    <row r="68347" spans="3:3" x14ac:dyDescent="0.35">
      <c r="C68347" s="2"/>
    </row>
    <row r="68348" spans="3:3" x14ac:dyDescent="0.35">
      <c r="C68348" s="2"/>
    </row>
    <row r="68349" spans="3:3" x14ac:dyDescent="0.35">
      <c r="C68349" s="2"/>
    </row>
    <row r="68350" spans="3:3" x14ac:dyDescent="0.35">
      <c r="C68350" s="2"/>
    </row>
    <row r="68351" spans="3:3" x14ac:dyDescent="0.35">
      <c r="C68351" s="2"/>
    </row>
    <row r="68352" spans="3:3" x14ac:dyDescent="0.35">
      <c r="C68352" s="2"/>
    </row>
    <row r="68353" spans="3:3" x14ac:dyDescent="0.35">
      <c r="C68353" s="2"/>
    </row>
    <row r="68354" spans="3:3" x14ac:dyDescent="0.35">
      <c r="C68354" s="2"/>
    </row>
    <row r="68355" spans="3:3" x14ac:dyDescent="0.35">
      <c r="C68355" s="2"/>
    </row>
    <row r="68356" spans="3:3" x14ac:dyDescent="0.35">
      <c r="C68356" s="2"/>
    </row>
    <row r="68357" spans="3:3" x14ac:dyDescent="0.35">
      <c r="C68357" s="2"/>
    </row>
    <row r="68358" spans="3:3" x14ac:dyDescent="0.35">
      <c r="C68358" s="2"/>
    </row>
    <row r="68359" spans="3:3" x14ac:dyDescent="0.35">
      <c r="C68359" s="2"/>
    </row>
    <row r="68360" spans="3:3" x14ac:dyDescent="0.35">
      <c r="C68360" s="2"/>
    </row>
    <row r="68361" spans="3:3" x14ac:dyDescent="0.35">
      <c r="C68361" s="2"/>
    </row>
    <row r="68362" spans="3:3" x14ac:dyDescent="0.35">
      <c r="C68362" s="2"/>
    </row>
    <row r="68363" spans="3:3" x14ac:dyDescent="0.35">
      <c r="C68363" s="2"/>
    </row>
    <row r="68364" spans="3:3" x14ac:dyDescent="0.35">
      <c r="C68364" s="2"/>
    </row>
    <row r="68365" spans="3:3" x14ac:dyDescent="0.35">
      <c r="C68365" s="2"/>
    </row>
    <row r="68366" spans="3:3" x14ac:dyDescent="0.35">
      <c r="C68366" s="2"/>
    </row>
    <row r="68367" spans="3:3" x14ac:dyDescent="0.35">
      <c r="C68367" s="2"/>
    </row>
    <row r="68368" spans="3:3" x14ac:dyDescent="0.35">
      <c r="C68368" s="2"/>
    </row>
    <row r="68369" spans="3:3" x14ac:dyDescent="0.35">
      <c r="C68369" s="2"/>
    </row>
    <row r="68370" spans="3:3" x14ac:dyDescent="0.35">
      <c r="C68370" s="2"/>
    </row>
    <row r="68371" spans="3:3" x14ac:dyDescent="0.35">
      <c r="C68371" s="2"/>
    </row>
    <row r="68372" spans="3:3" x14ac:dyDescent="0.35">
      <c r="C68372" s="2"/>
    </row>
    <row r="68373" spans="3:3" x14ac:dyDescent="0.35">
      <c r="C68373" s="2"/>
    </row>
    <row r="68374" spans="3:3" x14ac:dyDescent="0.35">
      <c r="C68374" s="2"/>
    </row>
    <row r="68375" spans="3:3" x14ac:dyDescent="0.35">
      <c r="C68375" s="2"/>
    </row>
    <row r="68376" spans="3:3" x14ac:dyDescent="0.35">
      <c r="C68376" s="2"/>
    </row>
    <row r="68377" spans="3:3" x14ac:dyDescent="0.35">
      <c r="C68377" s="2"/>
    </row>
    <row r="68378" spans="3:3" x14ac:dyDescent="0.35">
      <c r="C68378" s="2"/>
    </row>
    <row r="68379" spans="3:3" x14ac:dyDescent="0.35">
      <c r="C68379" s="2"/>
    </row>
    <row r="68380" spans="3:3" x14ac:dyDescent="0.35">
      <c r="C68380" s="2"/>
    </row>
    <row r="68381" spans="3:3" x14ac:dyDescent="0.35">
      <c r="C68381" s="2"/>
    </row>
    <row r="68382" spans="3:3" x14ac:dyDescent="0.35">
      <c r="C68382" s="2"/>
    </row>
    <row r="68383" spans="3:3" x14ac:dyDescent="0.35">
      <c r="C68383" s="2"/>
    </row>
    <row r="68384" spans="3:3" x14ac:dyDescent="0.35">
      <c r="C68384" s="2"/>
    </row>
    <row r="68385" spans="3:3" x14ac:dyDescent="0.35">
      <c r="C68385" s="2"/>
    </row>
    <row r="68386" spans="3:3" x14ac:dyDescent="0.35">
      <c r="C68386" s="2"/>
    </row>
    <row r="68387" spans="3:3" x14ac:dyDescent="0.35">
      <c r="C68387" s="2"/>
    </row>
    <row r="68388" spans="3:3" x14ac:dyDescent="0.35">
      <c r="C68388" s="2"/>
    </row>
    <row r="68389" spans="3:3" x14ac:dyDescent="0.35">
      <c r="C68389" s="2"/>
    </row>
    <row r="68390" spans="3:3" x14ac:dyDescent="0.35">
      <c r="C68390" s="2"/>
    </row>
    <row r="68391" spans="3:3" x14ac:dyDescent="0.35">
      <c r="C68391" s="2"/>
    </row>
    <row r="68392" spans="3:3" x14ac:dyDescent="0.35">
      <c r="C68392" s="2"/>
    </row>
    <row r="68393" spans="3:3" x14ac:dyDescent="0.35">
      <c r="C68393" s="2"/>
    </row>
    <row r="68394" spans="3:3" x14ac:dyDescent="0.35">
      <c r="C68394" s="2"/>
    </row>
    <row r="68395" spans="3:3" x14ac:dyDescent="0.35">
      <c r="C68395" s="2"/>
    </row>
    <row r="68396" spans="3:3" x14ac:dyDescent="0.35">
      <c r="C68396" s="2"/>
    </row>
    <row r="68397" spans="3:3" x14ac:dyDescent="0.35">
      <c r="C68397" s="2"/>
    </row>
    <row r="68398" spans="3:3" x14ac:dyDescent="0.35">
      <c r="C68398" s="2"/>
    </row>
    <row r="68399" spans="3:3" x14ac:dyDescent="0.35">
      <c r="C68399" s="2"/>
    </row>
    <row r="68400" spans="3:3" x14ac:dyDescent="0.35">
      <c r="C68400" s="2"/>
    </row>
    <row r="68401" spans="3:3" x14ac:dyDescent="0.35">
      <c r="C68401" s="2"/>
    </row>
    <row r="68402" spans="3:3" x14ac:dyDescent="0.35">
      <c r="C68402" s="2"/>
    </row>
    <row r="68403" spans="3:3" x14ac:dyDescent="0.35">
      <c r="C68403" s="2"/>
    </row>
    <row r="68404" spans="3:3" x14ac:dyDescent="0.35">
      <c r="C68404" s="2"/>
    </row>
    <row r="68405" spans="3:3" x14ac:dyDescent="0.35">
      <c r="C68405" s="2"/>
    </row>
    <row r="68406" spans="3:3" x14ac:dyDescent="0.35">
      <c r="C68406" s="2"/>
    </row>
    <row r="68407" spans="3:3" x14ac:dyDescent="0.35">
      <c r="C68407" s="2"/>
    </row>
    <row r="68408" spans="3:3" x14ac:dyDescent="0.35">
      <c r="C68408" s="2"/>
    </row>
    <row r="68409" spans="3:3" x14ac:dyDescent="0.35">
      <c r="C68409" s="2"/>
    </row>
    <row r="68410" spans="3:3" x14ac:dyDescent="0.35">
      <c r="C68410" s="2"/>
    </row>
    <row r="68411" spans="3:3" x14ac:dyDescent="0.35">
      <c r="C68411" s="2"/>
    </row>
    <row r="68412" spans="3:3" x14ac:dyDescent="0.35">
      <c r="C68412" s="2"/>
    </row>
    <row r="68413" spans="3:3" x14ac:dyDescent="0.35">
      <c r="C68413" s="2"/>
    </row>
    <row r="68414" spans="3:3" x14ac:dyDescent="0.35">
      <c r="C68414" s="2"/>
    </row>
    <row r="68415" spans="3:3" x14ac:dyDescent="0.35">
      <c r="C68415" s="2"/>
    </row>
    <row r="68416" spans="3:3" x14ac:dyDescent="0.35">
      <c r="C68416" s="2"/>
    </row>
    <row r="68417" spans="3:3" x14ac:dyDescent="0.35">
      <c r="C68417" s="2"/>
    </row>
    <row r="68418" spans="3:3" x14ac:dyDescent="0.35">
      <c r="C68418" s="2"/>
    </row>
    <row r="68419" spans="3:3" x14ac:dyDescent="0.35">
      <c r="C68419" s="2"/>
    </row>
    <row r="68420" spans="3:3" x14ac:dyDescent="0.35">
      <c r="C68420" s="2"/>
    </row>
    <row r="68421" spans="3:3" x14ac:dyDescent="0.35">
      <c r="C68421" s="2"/>
    </row>
    <row r="68422" spans="3:3" x14ac:dyDescent="0.35">
      <c r="C68422" s="2"/>
    </row>
    <row r="68423" spans="3:3" x14ac:dyDescent="0.35">
      <c r="C68423" s="2"/>
    </row>
    <row r="68424" spans="3:3" x14ac:dyDescent="0.35">
      <c r="C68424" s="2"/>
    </row>
    <row r="68425" spans="3:3" x14ac:dyDescent="0.35">
      <c r="C68425" s="2"/>
    </row>
    <row r="68426" spans="3:3" x14ac:dyDescent="0.35">
      <c r="C68426" s="2"/>
    </row>
    <row r="68427" spans="3:3" x14ac:dyDescent="0.35">
      <c r="C68427" s="2"/>
    </row>
    <row r="68428" spans="3:3" x14ac:dyDescent="0.35">
      <c r="C68428" s="2"/>
    </row>
    <row r="68429" spans="3:3" x14ac:dyDescent="0.35">
      <c r="C68429" s="2"/>
    </row>
    <row r="68430" spans="3:3" x14ac:dyDescent="0.35">
      <c r="C68430" s="2"/>
    </row>
    <row r="68431" spans="3:3" x14ac:dyDescent="0.35">
      <c r="C68431" s="2"/>
    </row>
    <row r="68432" spans="3:3" x14ac:dyDescent="0.35">
      <c r="C68432" s="2"/>
    </row>
    <row r="68433" spans="3:3" x14ac:dyDescent="0.35">
      <c r="C68433" s="2"/>
    </row>
    <row r="68434" spans="3:3" x14ac:dyDescent="0.35">
      <c r="C68434" s="2"/>
    </row>
    <row r="68435" spans="3:3" x14ac:dyDescent="0.35">
      <c r="C68435" s="2"/>
    </row>
    <row r="68436" spans="3:3" x14ac:dyDescent="0.35">
      <c r="C68436" s="2"/>
    </row>
    <row r="68437" spans="3:3" x14ac:dyDescent="0.35">
      <c r="C68437" s="2"/>
    </row>
    <row r="68438" spans="3:3" x14ac:dyDescent="0.35">
      <c r="C68438" s="2"/>
    </row>
    <row r="68439" spans="3:3" x14ac:dyDescent="0.35">
      <c r="C68439" s="2"/>
    </row>
    <row r="68440" spans="3:3" x14ac:dyDescent="0.35">
      <c r="C68440" s="2"/>
    </row>
    <row r="68441" spans="3:3" x14ac:dyDescent="0.35">
      <c r="C68441" s="2"/>
    </row>
    <row r="68442" spans="3:3" x14ac:dyDescent="0.35">
      <c r="C68442" s="2"/>
    </row>
    <row r="68443" spans="3:3" x14ac:dyDescent="0.35">
      <c r="C68443" s="2"/>
    </row>
    <row r="68444" spans="3:3" x14ac:dyDescent="0.35">
      <c r="C68444" s="2"/>
    </row>
    <row r="68445" spans="3:3" x14ac:dyDescent="0.35">
      <c r="C68445" s="2"/>
    </row>
    <row r="68446" spans="3:3" x14ac:dyDescent="0.35">
      <c r="C68446" s="2"/>
    </row>
    <row r="68447" spans="3:3" x14ac:dyDescent="0.35">
      <c r="C68447" s="2"/>
    </row>
    <row r="68448" spans="3:3" x14ac:dyDescent="0.35">
      <c r="C68448" s="2"/>
    </row>
    <row r="68449" spans="3:3" x14ac:dyDescent="0.35">
      <c r="C68449" s="2"/>
    </row>
    <row r="68450" spans="3:3" x14ac:dyDescent="0.35">
      <c r="C68450" s="2"/>
    </row>
    <row r="68451" spans="3:3" x14ac:dyDescent="0.35">
      <c r="C68451" s="2"/>
    </row>
    <row r="68452" spans="3:3" x14ac:dyDescent="0.35">
      <c r="C68452" s="2"/>
    </row>
    <row r="68453" spans="3:3" x14ac:dyDescent="0.35">
      <c r="C68453" s="2"/>
    </row>
    <row r="68454" spans="3:3" x14ac:dyDescent="0.35">
      <c r="C68454" s="2"/>
    </row>
    <row r="68455" spans="3:3" x14ac:dyDescent="0.35">
      <c r="C68455" s="2"/>
    </row>
    <row r="68456" spans="3:3" x14ac:dyDescent="0.35">
      <c r="C68456" s="2"/>
    </row>
    <row r="68457" spans="3:3" x14ac:dyDescent="0.35">
      <c r="C68457" s="2"/>
    </row>
    <row r="68458" spans="3:3" x14ac:dyDescent="0.35">
      <c r="C68458" s="2"/>
    </row>
    <row r="68459" spans="3:3" x14ac:dyDescent="0.35">
      <c r="C68459" s="2"/>
    </row>
    <row r="68460" spans="3:3" x14ac:dyDescent="0.35">
      <c r="C68460" s="2"/>
    </row>
    <row r="68461" spans="3:3" x14ac:dyDescent="0.35">
      <c r="C68461" s="2"/>
    </row>
    <row r="68462" spans="3:3" x14ac:dyDescent="0.35">
      <c r="C68462" s="2"/>
    </row>
    <row r="68463" spans="3:3" x14ac:dyDescent="0.35">
      <c r="C68463" s="2"/>
    </row>
    <row r="68464" spans="3:3" x14ac:dyDescent="0.35">
      <c r="C68464" s="2"/>
    </row>
    <row r="68465" spans="3:3" x14ac:dyDescent="0.35">
      <c r="C68465" s="2"/>
    </row>
    <row r="68466" spans="3:3" x14ac:dyDescent="0.35">
      <c r="C68466" s="2"/>
    </row>
    <row r="68467" spans="3:3" x14ac:dyDescent="0.35">
      <c r="C68467" s="2"/>
    </row>
    <row r="68468" spans="3:3" x14ac:dyDescent="0.35">
      <c r="C68468" s="2"/>
    </row>
    <row r="68469" spans="3:3" x14ac:dyDescent="0.35">
      <c r="C68469" s="2"/>
    </row>
    <row r="68470" spans="3:3" x14ac:dyDescent="0.35">
      <c r="C68470" s="2"/>
    </row>
    <row r="68471" spans="3:3" x14ac:dyDescent="0.35">
      <c r="C68471" s="2"/>
    </row>
    <row r="68472" spans="3:3" x14ac:dyDescent="0.35">
      <c r="C68472" s="2"/>
    </row>
    <row r="68473" spans="3:3" x14ac:dyDescent="0.35">
      <c r="C68473" s="2"/>
    </row>
    <row r="68474" spans="3:3" x14ac:dyDescent="0.35">
      <c r="C68474" s="2"/>
    </row>
    <row r="68475" spans="3:3" x14ac:dyDescent="0.35">
      <c r="C68475" s="2"/>
    </row>
    <row r="68476" spans="3:3" x14ac:dyDescent="0.35">
      <c r="C68476" s="2"/>
    </row>
    <row r="68477" spans="3:3" x14ac:dyDescent="0.35">
      <c r="C68477" s="2"/>
    </row>
    <row r="68478" spans="3:3" x14ac:dyDescent="0.35">
      <c r="C68478" s="2"/>
    </row>
    <row r="68479" spans="3:3" x14ac:dyDescent="0.35">
      <c r="C68479" s="2"/>
    </row>
    <row r="68480" spans="3:3" x14ac:dyDescent="0.35">
      <c r="C68480" s="2"/>
    </row>
    <row r="68481" spans="3:3" x14ac:dyDescent="0.35">
      <c r="C68481" s="2"/>
    </row>
    <row r="68482" spans="3:3" x14ac:dyDescent="0.35">
      <c r="C68482" s="2"/>
    </row>
    <row r="68483" spans="3:3" x14ac:dyDescent="0.35">
      <c r="C68483" s="2"/>
    </row>
    <row r="68484" spans="3:3" x14ac:dyDescent="0.35">
      <c r="C68484" s="2"/>
    </row>
    <row r="68485" spans="3:3" x14ac:dyDescent="0.35">
      <c r="C68485" s="2"/>
    </row>
    <row r="68486" spans="3:3" x14ac:dyDescent="0.35">
      <c r="C68486" s="2"/>
    </row>
    <row r="68487" spans="3:3" x14ac:dyDescent="0.35">
      <c r="C68487" s="2"/>
    </row>
    <row r="68488" spans="3:3" x14ac:dyDescent="0.35">
      <c r="C68488" s="2"/>
    </row>
    <row r="68489" spans="3:3" x14ac:dyDescent="0.35">
      <c r="C68489" s="2"/>
    </row>
    <row r="68490" spans="3:3" x14ac:dyDescent="0.35">
      <c r="C68490" s="2"/>
    </row>
    <row r="68491" spans="3:3" x14ac:dyDescent="0.35">
      <c r="C68491" s="2"/>
    </row>
    <row r="68492" spans="3:3" x14ac:dyDescent="0.35">
      <c r="C68492" s="2"/>
    </row>
    <row r="68493" spans="3:3" x14ac:dyDescent="0.35">
      <c r="C68493" s="2"/>
    </row>
    <row r="68494" spans="3:3" x14ac:dyDescent="0.35">
      <c r="C68494" s="2"/>
    </row>
    <row r="68495" spans="3:3" x14ac:dyDescent="0.35">
      <c r="C68495" s="2"/>
    </row>
    <row r="68496" spans="3:3" x14ac:dyDescent="0.35">
      <c r="C68496" s="2"/>
    </row>
    <row r="68497" spans="3:3" x14ac:dyDescent="0.35">
      <c r="C68497" s="2"/>
    </row>
    <row r="68498" spans="3:3" x14ac:dyDescent="0.35">
      <c r="C68498" s="2"/>
    </row>
    <row r="68499" spans="3:3" x14ac:dyDescent="0.35">
      <c r="C68499" s="2"/>
    </row>
    <row r="68500" spans="3:3" x14ac:dyDescent="0.35">
      <c r="C68500" s="2"/>
    </row>
    <row r="68501" spans="3:3" x14ac:dyDescent="0.35">
      <c r="C68501" s="2"/>
    </row>
    <row r="68502" spans="3:3" x14ac:dyDescent="0.35">
      <c r="C68502" s="2"/>
    </row>
    <row r="68503" spans="3:3" x14ac:dyDescent="0.35">
      <c r="C68503" s="2"/>
    </row>
    <row r="68504" spans="3:3" x14ac:dyDescent="0.35">
      <c r="C68504" s="2"/>
    </row>
    <row r="68505" spans="3:3" x14ac:dyDescent="0.35">
      <c r="C68505" s="2"/>
    </row>
    <row r="68506" spans="3:3" x14ac:dyDescent="0.35">
      <c r="C68506" s="2"/>
    </row>
    <row r="68507" spans="3:3" x14ac:dyDescent="0.35">
      <c r="C68507" s="2"/>
    </row>
    <row r="68508" spans="3:3" x14ac:dyDescent="0.35">
      <c r="C68508" s="2"/>
    </row>
    <row r="68509" spans="3:3" x14ac:dyDescent="0.35">
      <c r="C68509" s="2"/>
    </row>
    <row r="68510" spans="3:3" x14ac:dyDescent="0.35">
      <c r="C68510" s="2"/>
    </row>
    <row r="68511" spans="3:3" x14ac:dyDescent="0.35">
      <c r="C68511" s="2"/>
    </row>
    <row r="68512" spans="3:3" x14ac:dyDescent="0.35">
      <c r="C68512" s="2"/>
    </row>
    <row r="68513" spans="3:3" x14ac:dyDescent="0.35">
      <c r="C68513" s="2"/>
    </row>
    <row r="68514" spans="3:3" x14ac:dyDescent="0.35">
      <c r="C68514" s="2"/>
    </row>
    <row r="68515" spans="3:3" x14ac:dyDescent="0.35">
      <c r="C68515" s="2"/>
    </row>
    <row r="68516" spans="3:3" x14ac:dyDescent="0.35">
      <c r="C68516" s="2"/>
    </row>
    <row r="68517" spans="3:3" x14ac:dyDescent="0.35">
      <c r="C68517" s="2"/>
    </row>
    <row r="68518" spans="3:3" x14ac:dyDescent="0.35">
      <c r="C68518" s="2"/>
    </row>
    <row r="68519" spans="3:3" x14ac:dyDescent="0.35">
      <c r="C68519" s="2"/>
    </row>
    <row r="68520" spans="3:3" x14ac:dyDescent="0.35">
      <c r="C68520" s="2"/>
    </row>
    <row r="68521" spans="3:3" x14ac:dyDescent="0.35">
      <c r="C68521" s="2"/>
    </row>
    <row r="68522" spans="3:3" x14ac:dyDescent="0.35">
      <c r="C68522" s="2"/>
    </row>
    <row r="68523" spans="3:3" x14ac:dyDescent="0.35">
      <c r="C68523" s="2"/>
    </row>
    <row r="68524" spans="3:3" x14ac:dyDescent="0.35">
      <c r="C68524" s="2"/>
    </row>
    <row r="68525" spans="3:3" x14ac:dyDescent="0.35">
      <c r="C68525" s="2"/>
    </row>
    <row r="68526" spans="3:3" x14ac:dyDescent="0.35">
      <c r="C68526" s="2"/>
    </row>
    <row r="68527" spans="3:3" x14ac:dyDescent="0.35">
      <c r="C68527" s="2"/>
    </row>
    <row r="68528" spans="3:3" x14ac:dyDescent="0.35">
      <c r="C68528" s="2"/>
    </row>
    <row r="68529" spans="3:3" x14ac:dyDescent="0.35">
      <c r="C68529" s="2"/>
    </row>
    <row r="68530" spans="3:3" x14ac:dyDescent="0.35">
      <c r="C68530" s="2"/>
    </row>
    <row r="68531" spans="3:3" x14ac:dyDescent="0.35">
      <c r="C68531" s="2"/>
    </row>
    <row r="68532" spans="3:3" x14ac:dyDescent="0.35">
      <c r="C68532" s="2"/>
    </row>
    <row r="68533" spans="3:3" x14ac:dyDescent="0.35">
      <c r="C68533" s="2"/>
    </row>
    <row r="68534" spans="3:3" x14ac:dyDescent="0.35">
      <c r="C68534" s="2"/>
    </row>
    <row r="68535" spans="3:3" x14ac:dyDescent="0.35">
      <c r="C68535" s="2"/>
    </row>
    <row r="68536" spans="3:3" x14ac:dyDescent="0.35">
      <c r="C68536" s="2"/>
    </row>
    <row r="68537" spans="3:3" x14ac:dyDescent="0.35">
      <c r="C68537" s="2"/>
    </row>
    <row r="68538" spans="3:3" x14ac:dyDescent="0.35">
      <c r="C68538" s="2"/>
    </row>
    <row r="68539" spans="3:3" x14ac:dyDescent="0.35">
      <c r="C68539" s="2"/>
    </row>
    <row r="68540" spans="3:3" x14ac:dyDescent="0.35">
      <c r="C68540" s="2"/>
    </row>
    <row r="68541" spans="3:3" x14ac:dyDescent="0.35">
      <c r="C68541" s="2"/>
    </row>
    <row r="68542" spans="3:3" x14ac:dyDescent="0.35">
      <c r="C68542" s="2"/>
    </row>
    <row r="68543" spans="3:3" x14ac:dyDescent="0.35">
      <c r="C68543" s="2"/>
    </row>
    <row r="68544" spans="3:3" x14ac:dyDescent="0.35">
      <c r="C68544" s="2"/>
    </row>
    <row r="68545" spans="3:3" x14ac:dyDescent="0.35">
      <c r="C68545" s="2"/>
    </row>
    <row r="68546" spans="3:3" x14ac:dyDescent="0.35">
      <c r="C68546" s="2"/>
    </row>
    <row r="68547" spans="3:3" x14ac:dyDescent="0.35">
      <c r="C68547" s="2"/>
    </row>
    <row r="68548" spans="3:3" x14ac:dyDescent="0.35">
      <c r="C68548" s="2"/>
    </row>
    <row r="68549" spans="3:3" x14ac:dyDescent="0.35">
      <c r="C68549" s="2"/>
    </row>
    <row r="68550" spans="3:3" x14ac:dyDescent="0.35">
      <c r="C68550" s="2"/>
    </row>
    <row r="68551" spans="3:3" x14ac:dyDescent="0.35">
      <c r="C68551" s="2"/>
    </row>
    <row r="68552" spans="3:3" x14ac:dyDescent="0.35">
      <c r="C68552" s="2"/>
    </row>
    <row r="68553" spans="3:3" x14ac:dyDescent="0.35">
      <c r="C68553" s="2"/>
    </row>
    <row r="68554" spans="3:3" x14ac:dyDescent="0.35">
      <c r="C68554" s="2"/>
    </row>
    <row r="68555" spans="3:3" x14ac:dyDescent="0.35">
      <c r="C68555" s="2"/>
    </row>
    <row r="68556" spans="3:3" x14ac:dyDescent="0.35">
      <c r="C68556" s="2"/>
    </row>
    <row r="68557" spans="3:3" x14ac:dyDescent="0.35">
      <c r="C68557" s="2"/>
    </row>
    <row r="68558" spans="3:3" x14ac:dyDescent="0.35">
      <c r="C68558" s="2"/>
    </row>
    <row r="68559" spans="3:3" x14ac:dyDescent="0.35">
      <c r="C68559" s="2"/>
    </row>
    <row r="68560" spans="3:3" x14ac:dyDescent="0.35">
      <c r="C68560" s="2"/>
    </row>
    <row r="68561" spans="3:3" x14ac:dyDescent="0.35">
      <c r="C68561" s="2"/>
    </row>
    <row r="68562" spans="3:3" x14ac:dyDescent="0.35">
      <c r="C68562" s="2"/>
    </row>
    <row r="68563" spans="3:3" x14ac:dyDescent="0.35">
      <c r="C68563" s="2"/>
    </row>
    <row r="68564" spans="3:3" x14ac:dyDescent="0.35">
      <c r="C68564" s="2"/>
    </row>
    <row r="68565" spans="3:3" x14ac:dyDescent="0.35">
      <c r="C68565" s="2"/>
    </row>
    <row r="68566" spans="3:3" x14ac:dyDescent="0.35">
      <c r="C68566" s="2"/>
    </row>
    <row r="68567" spans="3:3" x14ac:dyDescent="0.35">
      <c r="C68567" s="2"/>
    </row>
    <row r="68568" spans="3:3" x14ac:dyDescent="0.35">
      <c r="C68568" s="2"/>
    </row>
    <row r="68569" spans="3:3" x14ac:dyDescent="0.35">
      <c r="C68569" s="2"/>
    </row>
    <row r="68570" spans="3:3" x14ac:dyDescent="0.35">
      <c r="C68570" s="2"/>
    </row>
    <row r="68571" spans="3:3" x14ac:dyDescent="0.35">
      <c r="C68571" s="2"/>
    </row>
    <row r="68572" spans="3:3" x14ac:dyDescent="0.35">
      <c r="C68572" s="2"/>
    </row>
    <row r="68573" spans="3:3" x14ac:dyDescent="0.35">
      <c r="C68573" s="2"/>
    </row>
    <row r="68574" spans="3:3" x14ac:dyDescent="0.35">
      <c r="C68574" s="2"/>
    </row>
    <row r="68575" spans="3:3" x14ac:dyDescent="0.35">
      <c r="C68575" s="2"/>
    </row>
    <row r="68576" spans="3:3" x14ac:dyDescent="0.35">
      <c r="C68576" s="2"/>
    </row>
    <row r="68577" spans="3:3" x14ac:dyDescent="0.35">
      <c r="C68577" s="2"/>
    </row>
    <row r="68578" spans="3:3" x14ac:dyDescent="0.35">
      <c r="C68578" s="2"/>
    </row>
    <row r="68579" spans="3:3" x14ac:dyDescent="0.35">
      <c r="C68579" s="2"/>
    </row>
    <row r="68580" spans="3:3" x14ac:dyDescent="0.35">
      <c r="C68580" s="2"/>
    </row>
    <row r="68581" spans="3:3" x14ac:dyDescent="0.35">
      <c r="C68581" s="2"/>
    </row>
    <row r="68582" spans="3:3" x14ac:dyDescent="0.35">
      <c r="C68582" s="2"/>
    </row>
    <row r="68583" spans="3:3" x14ac:dyDescent="0.35">
      <c r="C68583" s="2"/>
    </row>
    <row r="68584" spans="3:3" x14ac:dyDescent="0.35">
      <c r="C68584" s="2"/>
    </row>
    <row r="68585" spans="3:3" x14ac:dyDescent="0.35">
      <c r="C68585" s="2"/>
    </row>
    <row r="68586" spans="3:3" x14ac:dyDescent="0.35">
      <c r="C68586" s="2"/>
    </row>
    <row r="68587" spans="3:3" x14ac:dyDescent="0.35">
      <c r="C68587" s="2"/>
    </row>
    <row r="68588" spans="3:3" x14ac:dyDescent="0.35">
      <c r="C68588" s="2"/>
    </row>
    <row r="68589" spans="3:3" x14ac:dyDescent="0.35">
      <c r="C68589" s="2"/>
    </row>
    <row r="68590" spans="3:3" x14ac:dyDescent="0.35">
      <c r="C68590" s="2"/>
    </row>
    <row r="68591" spans="3:3" x14ac:dyDescent="0.35">
      <c r="C68591" s="2"/>
    </row>
    <row r="68592" spans="3:3" x14ac:dyDescent="0.35">
      <c r="C68592" s="2"/>
    </row>
    <row r="68593" spans="3:3" x14ac:dyDescent="0.35">
      <c r="C68593" s="2"/>
    </row>
    <row r="68594" spans="3:3" x14ac:dyDescent="0.35">
      <c r="C68594" s="2"/>
    </row>
    <row r="68595" spans="3:3" x14ac:dyDescent="0.35">
      <c r="C68595" s="2"/>
    </row>
    <row r="68596" spans="3:3" x14ac:dyDescent="0.35">
      <c r="C68596" s="2"/>
    </row>
    <row r="68597" spans="3:3" x14ac:dyDescent="0.35">
      <c r="C68597" s="2"/>
    </row>
    <row r="68598" spans="3:3" x14ac:dyDescent="0.35">
      <c r="C68598" s="2"/>
    </row>
    <row r="68599" spans="3:3" x14ac:dyDescent="0.35">
      <c r="C68599" s="2"/>
    </row>
    <row r="68600" spans="3:3" x14ac:dyDescent="0.35">
      <c r="C68600" s="2"/>
    </row>
    <row r="68601" spans="3:3" x14ac:dyDescent="0.35">
      <c r="C68601" s="2"/>
    </row>
    <row r="68602" spans="3:3" x14ac:dyDescent="0.35">
      <c r="C68602" s="2"/>
    </row>
    <row r="68603" spans="3:3" x14ac:dyDescent="0.35">
      <c r="C68603" s="2"/>
    </row>
    <row r="68604" spans="3:3" x14ac:dyDescent="0.35">
      <c r="C68604" s="2"/>
    </row>
    <row r="68605" spans="3:3" x14ac:dyDescent="0.35">
      <c r="C68605" s="2"/>
    </row>
    <row r="68606" spans="3:3" x14ac:dyDescent="0.35">
      <c r="C68606" s="2"/>
    </row>
    <row r="68607" spans="3:3" x14ac:dyDescent="0.35">
      <c r="C68607" s="2"/>
    </row>
    <row r="68608" spans="3:3" x14ac:dyDescent="0.35">
      <c r="C68608" s="2"/>
    </row>
    <row r="68609" spans="3:3" x14ac:dyDescent="0.35">
      <c r="C68609" s="2"/>
    </row>
    <row r="68610" spans="3:3" x14ac:dyDescent="0.35">
      <c r="C68610" s="2"/>
    </row>
    <row r="68611" spans="3:3" x14ac:dyDescent="0.35">
      <c r="C68611" s="2"/>
    </row>
    <row r="68612" spans="3:3" x14ac:dyDescent="0.35">
      <c r="C68612" s="2"/>
    </row>
    <row r="68613" spans="3:3" x14ac:dyDescent="0.35">
      <c r="C68613" s="2"/>
    </row>
    <row r="68614" spans="3:3" x14ac:dyDescent="0.35">
      <c r="C68614" s="2"/>
    </row>
    <row r="68615" spans="3:3" x14ac:dyDescent="0.35">
      <c r="C68615" s="2"/>
    </row>
    <row r="68616" spans="3:3" x14ac:dyDescent="0.35">
      <c r="C68616" s="2"/>
    </row>
    <row r="68617" spans="3:3" x14ac:dyDescent="0.35">
      <c r="C68617" s="2"/>
    </row>
    <row r="68618" spans="3:3" x14ac:dyDescent="0.35">
      <c r="C68618" s="2"/>
    </row>
    <row r="68619" spans="3:3" x14ac:dyDescent="0.35">
      <c r="C68619" s="2"/>
    </row>
    <row r="68620" spans="3:3" x14ac:dyDescent="0.35">
      <c r="C68620" s="2"/>
    </row>
    <row r="68621" spans="3:3" x14ac:dyDescent="0.35">
      <c r="C68621" s="2"/>
    </row>
    <row r="68622" spans="3:3" x14ac:dyDescent="0.35">
      <c r="C68622" s="2"/>
    </row>
    <row r="68623" spans="3:3" x14ac:dyDescent="0.35">
      <c r="C68623" s="2"/>
    </row>
    <row r="68624" spans="3:3" x14ac:dyDescent="0.35">
      <c r="C68624" s="2"/>
    </row>
    <row r="68625" spans="3:3" x14ac:dyDescent="0.35">
      <c r="C68625" s="2"/>
    </row>
    <row r="68626" spans="3:3" x14ac:dyDescent="0.35">
      <c r="C68626" s="2"/>
    </row>
    <row r="68627" spans="3:3" x14ac:dyDescent="0.35">
      <c r="C68627" s="2"/>
    </row>
    <row r="68628" spans="3:3" x14ac:dyDescent="0.35">
      <c r="C68628" s="2"/>
    </row>
    <row r="68629" spans="3:3" x14ac:dyDescent="0.35">
      <c r="C68629" s="2"/>
    </row>
    <row r="68630" spans="3:3" x14ac:dyDescent="0.35">
      <c r="C68630" s="2"/>
    </row>
    <row r="68631" spans="3:3" x14ac:dyDescent="0.35">
      <c r="C68631" s="2"/>
    </row>
    <row r="68632" spans="3:3" x14ac:dyDescent="0.35">
      <c r="C68632" s="2"/>
    </row>
    <row r="68633" spans="3:3" x14ac:dyDescent="0.35">
      <c r="C68633" s="2"/>
    </row>
    <row r="68634" spans="3:3" x14ac:dyDescent="0.35">
      <c r="C68634" s="2"/>
    </row>
    <row r="68635" spans="3:3" x14ac:dyDescent="0.35">
      <c r="C68635" s="2"/>
    </row>
    <row r="68636" spans="3:3" x14ac:dyDescent="0.35">
      <c r="C68636" s="2"/>
    </row>
    <row r="68637" spans="3:3" x14ac:dyDescent="0.35">
      <c r="C68637" s="2"/>
    </row>
    <row r="68638" spans="3:3" x14ac:dyDescent="0.35">
      <c r="C68638" s="2"/>
    </row>
    <row r="68639" spans="3:3" x14ac:dyDescent="0.35">
      <c r="C68639" s="2"/>
    </row>
    <row r="68640" spans="3:3" x14ac:dyDescent="0.35">
      <c r="C68640" s="2"/>
    </row>
    <row r="68641" spans="3:3" x14ac:dyDescent="0.35">
      <c r="C68641" s="2"/>
    </row>
    <row r="68642" spans="3:3" x14ac:dyDescent="0.35">
      <c r="C68642" s="2"/>
    </row>
    <row r="68643" spans="3:3" x14ac:dyDescent="0.35">
      <c r="C68643" s="2"/>
    </row>
    <row r="68644" spans="3:3" x14ac:dyDescent="0.35">
      <c r="C68644" s="2"/>
    </row>
    <row r="68645" spans="3:3" x14ac:dyDescent="0.35">
      <c r="C68645" s="2"/>
    </row>
    <row r="68646" spans="3:3" x14ac:dyDescent="0.35">
      <c r="C68646" s="2"/>
    </row>
    <row r="68647" spans="3:3" x14ac:dyDescent="0.35">
      <c r="C68647" s="2"/>
    </row>
    <row r="68648" spans="3:3" x14ac:dyDescent="0.35">
      <c r="C68648" s="2"/>
    </row>
    <row r="68649" spans="3:3" x14ac:dyDescent="0.35">
      <c r="C68649" s="2"/>
    </row>
    <row r="68650" spans="3:3" x14ac:dyDescent="0.35">
      <c r="C68650" s="2"/>
    </row>
    <row r="68651" spans="3:3" x14ac:dyDescent="0.35">
      <c r="C68651" s="2"/>
    </row>
    <row r="68652" spans="3:3" x14ac:dyDescent="0.35">
      <c r="C68652" s="2"/>
    </row>
    <row r="68653" spans="3:3" x14ac:dyDescent="0.35">
      <c r="C68653" s="2"/>
    </row>
    <row r="68654" spans="3:3" x14ac:dyDescent="0.35">
      <c r="C68654" s="2"/>
    </row>
    <row r="68655" spans="3:3" x14ac:dyDescent="0.35">
      <c r="C68655" s="2"/>
    </row>
    <row r="68656" spans="3:3" x14ac:dyDescent="0.35">
      <c r="C68656" s="2"/>
    </row>
    <row r="68657" spans="3:3" x14ac:dyDescent="0.35">
      <c r="C68657" s="2"/>
    </row>
    <row r="68658" spans="3:3" x14ac:dyDescent="0.35">
      <c r="C68658" s="2"/>
    </row>
    <row r="68659" spans="3:3" x14ac:dyDescent="0.35">
      <c r="C68659" s="2"/>
    </row>
    <row r="68660" spans="3:3" x14ac:dyDescent="0.35">
      <c r="C68660" s="2"/>
    </row>
    <row r="68661" spans="3:3" x14ac:dyDescent="0.35">
      <c r="C68661" s="2"/>
    </row>
    <row r="68662" spans="3:3" x14ac:dyDescent="0.35">
      <c r="C68662" s="2"/>
    </row>
    <row r="68663" spans="3:3" x14ac:dyDescent="0.35">
      <c r="C68663" s="2"/>
    </row>
    <row r="68664" spans="3:3" x14ac:dyDescent="0.35">
      <c r="C68664" s="2"/>
    </row>
    <row r="68665" spans="3:3" x14ac:dyDescent="0.35">
      <c r="C68665" s="2"/>
    </row>
    <row r="68666" spans="3:3" x14ac:dyDescent="0.35">
      <c r="C68666" s="2"/>
    </row>
    <row r="68667" spans="3:3" x14ac:dyDescent="0.35">
      <c r="C68667" s="2"/>
    </row>
    <row r="68668" spans="3:3" x14ac:dyDescent="0.35">
      <c r="C68668" s="2"/>
    </row>
    <row r="68669" spans="3:3" x14ac:dyDescent="0.35">
      <c r="C68669" s="2"/>
    </row>
    <row r="68670" spans="3:3" x14ac:dyDescent="0.35">
      <c r="C68670" s="2"/>
    </row>
    <row r="68671" spans="3:3" x14ac:dyDescent="0.35">
      <c r="C68671" s="2"/>
    </row>
    <row r="68672" spans="3:3" x14ac:dyDescent="0.35">
      <c r="C68672" s="2"/>
    </row>
    <row r="68673" spans="3:3" x14ac:dyDescent="0.35">
      <c r="C68673" s="2"/>
    </row>
    <row r="68674" spans="3:3" x14ac:dyDescent="0.35">
      <c r="C68674" s="2"/>
    </row>
    <row r="68675" spans="3:3" x14ac:dyDescent="0.35">
      <c r="C68675" s="2"/>
    </row>
    <row r="68676" spans="3:3" x14ac:dyDescent="0.35">
      <c r="C68676" s="2"/>
    </row>
    <row r="68677" spans="3:3" x14ac:dyDescent="0.35">
      <c r="C68677" s="2"/>
    </row>
    <row r="68678" spans="3:3" x14ac:dyDescent="0.35">
      <c r="C68678" s="2"/>
    </row>
    <row r="68679" spans="3:3" x14ac:dyDescent="0.35">
      <c r="C68679" s="2"/>
    </row>
    <row r="68680" spans="3:3" x14ac:dyDescent="0.35">
      <c r="C68680" s="2"/>
    </row>
    <row r="68681" spans="3:3" x14ac:dyDescent="0.35">
      <c r="C68681" s="2"/>
    </row>
    <row r="68682" spans="3:3" x14ac:dyDescent="0.35">
      <c r="C68682" s="2"/>
    </row>
    <row r="68683" spans="3:3" x14ac:dyDescent="0.35">
      <c r="C68683" s="2"/>
    </row>
    <row r="68684" spans="3:3" x14ac:dyDescent="0.35">
      <c r="C68684" s="2"/>
    </row>
    <row r="68685" spans="3:3" x14ac:dyDescent="0.35">
      <c r="C68685" s="2"/>
    </row>
    <row r="68686" spans="3:3" x14ac:dyDescent="0.35">
      <c r="C68686" s="2"/>
    </row>
    <row r="68687" spans="3:3" x14ac:dyDescent="0.35">
      <c r="C68687" s="2"/>
    </row>
    <row r="68688" spans="3:3" x14ac:dyDescent="0.35">
      <c r="C68688" s="2"/>
    </row>
    <row r="68689" spans="3:3" x14ac:dyDescent="0.35">
      <c r="C68689" s="2"/>
    </row>
    <row r="68690" spans="3:3" x14ac:dyDescent="0.35">
      <c r="C68690" s="2"/>
    </row>
    <row r="68691" spans="3:3" x14ac:dyDescent="0.35">
      <c r="C68691" s="2"/>
    </row>
    <row r="68692" spans="3:3" x14ac:dyDescent="0.35">
      <c r="C68692" s="2"/>
    </row>
    <row r="68693" spans="3:3" x14ac:dyDescent="0.35">
      <c r="C68693" s="2"/>
    </row>
    <row r="68694" spans="3:3" x14ac:dyDescent="0.35">
      <c r="C68694" s="2"/>
    </row>
    <row r="68695" spans="3:3" x14ac:dyDescent="0.35">
      <c r="C68695" s="2"/>
    </row>
    <row r="68696" spans="3:3" x14ac:dyDescent="0.35">
      <c r="C68696" s="2"/>
    </row>
    <row r="68697" spans="3:3" x14ac:dyDescent="0.35">
      <c r="C68697" s="2"/>
    </row>
    <row r="68698" spans="3:3" x14ac:dyDescent="0.35">
      <c r="C68698" s="2"/>
    </row>
    <row r="68699" spans="3:3" x14ac:dyDescent="0.35">
      <c r="C68699" s="2"/>
    </row>
    <row r="68700" spans="3:3" x14ac:dyDescent="0.35">
      <c r="C68700" s="2"/>
    </row>
    <row r="68701" spans="3:3" x14ac:dyDescent="0.35">
      <c r="C68701" s="2"/>
    </row>
    <row r="68702" spans="3:3" x14ac:dyDescent="0.35">
      <c r="C68702" s="2"/>
    </row>
    <row r="68703" spans="3:3" x14ac:dyDescent="0.35">
      <c r="C68703" s="2"/>
    </row>
    <row r="68704" spans="3:3" x14ac:dyDescent="0.35">
      <c r="C68704" s="2"/>
    </row>
    <row r="68705" spans="3:3" x14ac:dyDescent="0.35">
      <c r="C68705" s="2"/>
    </row>
    <row r="68706" spans="3:3" x14ac:dyDescent="0.35">
      <c r="C68706" s="2"/>
    </row>
    <row r="68707" spans="3:3" x14ac:dyDescent="0.35">
      <c r="C68707" s="2"/>
    </row>
    <row r="68708" spans="3:3" x14ac:dyDescent="0.35">
      <c r="C68708" s="2"/>
    </row>
    <row r="68709" spans="3:3" x14ac:dyDescent="0.35">
      <c r="C68709" s="2"/>
    </row>
    <row r="68710" spans="3:3" x14ac:dyDescent="0.35">
      <c r="C68710" s="2"/>
    </row>
    <row r="68711" spans="3:3" x14ac:dyDescent="0.35">
      <c r="C68711" s="2"/>
    </row>
    <row r="68712" spans="3:3" x14ac:dyDescent="0.35">
      <c r="C68712" s="2"/>
    </row>
    <row r="68713" spans="3:3" x14ac:dyDescent="0.35">
      <c r="C68713" s="2"/>
    </row>
    <row r="68714" spans="3:3" x14ac:dyDescent="0.35">
      <c r="C68714" s="2"/>
    </row>
    <row r="68715" spans="3:3" x14ac:dyDescent="0.35">
      <c r="C68715" s="2"/>
    </row>
    <row r="68716" spans="3:3" x14ac:dyDescent="0.35">
      <c r="C68716" s="2"/>
    </row>
    <row r="68717" spans="3:3" x14ac:dyDescent="0.35">
      <c r="C68717" s="2"/>
    </row>
    <row r="68718" spans="3:3" x14ac:dyDescent="0.35">
      <c r="C68718" s="2"/>
    </row>
    <row r="68719" spans="3:3" x14ac:dyDescent="0.35">
      <c r="C68719" s="2"/>
    </row>
    <row r="68720" spans="3:3" x14ac:dyDescent="0.35">
      <c r="C68720" s="2"/>
    </row>
    <row r="68721" spans="3:3" x14ac:dyDescent="0.35">
      <c r="C68721" s="2"/>
    </row>
    <row r="68722" spans="3:3" x14ac:dyDescent="0.35">
      <c r="C68722" s="2"/>
    </row>
    <row r="68723" spans="3:3" x14ac:dyDescent="0.35">
      <c r="C68723" s="2"/>
    </row>
    <row r="68724" spans="3:3" x14ac:dyDescent="0.35">
      <c r="C68724" s="2"/>
    </row>
    <row r="68725" spans="3:3" x14ac:dyDescent="0.35">
      <c r="C68725" s="2"/>
    </row>
    <row r="68726" spans="3:3" x14ac:dyDescent="0.35">
      <c r="C68726" s="2"/>
    </row>
    <row r="68727" spans="3:3" x14ac:dyDescent="0.35">
      <c r="C68727" s="2"/>
    </row>
    <row r="68728" spans="3:3" x14ac:dyDescent="0.35">
      <c r="C68728" s="2"/>
    </row>
    <row r="68729" spans="3:3" x14ac:dyDescent="0.35">
      <c r="C68729" s="2"/>
    </row>
    <row r="68730" spans="3:3" x14ac:dyDescent="0.35">
      <c r="C68730" s="2"/>
    </row>
    <row r="68731" spans="3:3" x14ac:dyDescent="0.35">
      <c r="C68731" s="2"/>
    </row>
    <row r="68732" spans="3:3" x14ac:dyDescent="0.35">
      <c r="C68732" s="2"/>
    </row>
    <row r="68733" spans="3:3" x14ac:dyDescent="0.35">
      <c r="C68733" s="2"/>
    </row>
    <row r="68734" spans="3:3" x14ac:dyDescent="0.35">
      <c r="C68734" s="2"/>
    </row>
    <row r="68735" spans="3:3" x14ac:dyDescent="0.35">
      <c r="C68735" s="2"/>
    </row>
    <row r="68736" spans="3:3" x14ac:dyDescent="0.35">
      <c r="C68736" s="2"/>
    </row>
    <row r="68737" spans="3:3" x14ac:dyDescent="0.35">
      <c r="C68737" s="2"/>
    </row>
    <row r="68738" spans="3:3" x14ac:dyDescent="0.35">
      <c r="C68738" s="2"/>
    </row>
    <row r="68739" spans="3:3" x14ac:dyDescent="0.35">
      <c r="C68739" s="2"/>
    </row>
    <row r="68740" spans="3:3" x14ac:dyDescent="0.35">
      <c r="C68740" s="2"/>
    </row>
    <row r="68741" spans="3:3" x14ac:dyDescent="0.35">
      <c r="C68741" s="2"/>
    </row>
    <row r="68742" spans="3:3" x14ac:dyDescent="0.35">
      <c r="C68742" s="2"/>
    </row>
    <row r="68743" spans="3:3" x14ac:dyDescent="0.35">
      <c r="C68743" s="2"/>
    </row>
    <row r="68744" spans="3:3" x14ac:dyDescent="0.35">
      <c r="C68744" s="2"/>
    </row>
    <row r="68745" spans="3:3" x14ac:dyDescent="0.35">
      <c r="C68745" s="2"/>
    </row>
    <row r="68746" spans="3:3" x14ac:dyDescent="0.35">
      <c r="C68746" s="2"/>
    </row>
    <row r="68747" spans="3:3" x14ac:dyDescent="0.35">
      <c r="C68747" s="2"/>
    </row>
    <row r="68748" spans="3:3" x14ac:dyDescent="0.35">
      <c r="C68748" s="2"/>
    </row>
    <row r="68749" spans="3:3" x14ac:dyDescent="0.35">
      <c r="C68749" s="2"/>
    </row>
    <row r="68750" spans="3:3" x14ac:dyDescent="0.35">
      <c r="C68750" s="2"/>
    </row>
    <row r="68751" spans="3:3" x14ac:dyDescent="0.35">
      <c r="C68751" s="2"/>
    </row>
    <row r="68752" spans="3:3" x14ac:dyDescent="0.35">
      <c r="C68752" s="2"/>
    </row>
    <row r="68753" spans="3:3" x14ac:dyDescent="0.35">
      <c r="C68753" s="2"/>
    </row>
    <row r="68754" spans="3:3" x14ac:dyDescent="0.35">
      <c r="C68754" s="2"/>
    </row>
    <row r="68755" spans="3:3" x14ac:dyDescent="0.35">
      <c r="C68755" s="2"/>
    </row>
    <row r="68756" spans="3:3" x14ac:dyDescent="0.35">
      <c r="C68756" s="2"/>
    </row>
    <row r="68757" spans="3:3" x14ac:dyDescent="0.35">
      <c r="C68757" s="2"/>
    </row>
    <row r="68758" spans="3:3" x14ac:dyDescent="0.35">
      <c r="C68758" s="2"/>
    </row>
    <row r="68759" spans="3:3" x14ac:dyDescent="0.35">
      <c r="C68759" s="2"/>
    </row>
    <row r="68760" spans="3:3" x14ac:dyDescent="0.35">
      <c r="C68760" s="2"/>
    </row>
    <row r="68761" spans="3:3" x14ac:dyDescent="0.35">
      <c r="C68761" s="2"/>
    </row>
    <row r="68762" spans="3:3" x14ac:dyDescent="0.35">
      <c r="C68762" s="2"/>
    </row>
    <row r="68763" spans="3:3" x14ac:dyDescent="0.35">
      <c r="C68763" s="2"/>
    </row>
    <row r="68764" spans="3:3" x14ac:dyDescent="0.35">
      <c r="C68764" s="2"/>
    </row>
    <row r="68765" spans="3:3" x14ac:dyDescent="0.35">
      <c r="C68765" s="2"/>
    </row>
    <row r="68766" spans="3:3" x14ac:dyDescent="0.35">
      <c r="C68766" s="2"/>
    </row>
    <row r="68767" spans="3:3" x14ac:dyDescent="0.35">
      <c r="C68767" s="2"/>
    </row>
    <row r="68768" spans="3:3" x14ac:dyDescent="0.35">
      <c r="C68768" s="2"/>
    </row>
    <row r="68769" spans="3:3" x14ac:dyDescent="0.35">
      <c r="C68769" s="2"/>
    </row>
    <row r="68770" spans="3:3" x14ac:dyDescent="0.35">
      <c r="C68770" s="2"/>
    </row>
    <row r="68771" spans="3:3" x14ac:dyDescent="0.35">
      <c r="C68771" s="2"/>
    </row>
    <row r="68772" spans="3:3" x14ac:dyDescent="0.35">
      <c r="C68772" s="2"/>
    </row>
    <row r="68773" spans="3:3" x14ac:dyDescent="0.35">
      <c r="C68773" s="2"/>
    </row>
    <row r="68774" spans="3:3" x14ac:dyDescent="0.35">
      <c r="C68774" s="2"/>
    </row>
    <row r="68775" spans="3:3" x14ac:dyDescent="0.35">
      <c r="C68775" s="2"/>
    </row>
    <row r="68776" spans="3:3" x14ac:dyDescent="0.35">
      <c r="C68776" s="2"/>
    </row>
    <row r="68777" spans="3:3" x14ac:dyDescent="0.35">
      <c r="C68777" s="2"/>
    </row>
    <row r="68778" spans="3:3" x14ac:dyDescent="0.35">
      <c r="C68778" s="2"/>
    </row>
    <row r="68779" spans="3:3" x14ac:dyDescent="0.35">
      <c r="C68779" s="2"/>
    </row>
    <row r="68780" spans="3:3" x14ac:dyDescent="0.35">
      <c r="C68780" s="2"/>
    </row>
    <row r="68781" spans="3:3" x14ac:dyDescent="0.35">
      <c r="C68781" s="2"/>
    </row>
    <row r="68782" spans="3:3" x14ac:dyDescent="0.35">
      <c r="C68782" s="2"/>
    </row>
    <row r="68783" spans="3:3" x14ac:dyDescent="0.35">
      <c r="C68783" s="2"/>
    </row>
    <row r="68784" spans="3:3" x14ac:dyDescent="0.35">
      <c r="C68784" s="2"/>
    </row>
    <row r="68785" spans="3:3" x14ac:dyDescent="0.35">
      <c r="C68785" s="2"/>
    </row>
    <row r="68786" spans="3:3" x14ac:dyDescent="0.35">
      <c r="C68786" s="2"/>
    </row>
    <row r="68787" spans="3:3" x14ac:dyDescent="0.35">
      <c r="C68787" s="2"/>
    </row>
    <row r="68788" spans="3:3" x14ac:dyDescent="0.35">
      <c r="C68788" s="2"/>
    </row>
    <row r="68789" spans="3:3" x14ac:dyDescent="0.35">
      <c r="C68789" s="2"/>
    </row>
    <row r="68790" spans="3:3" x14ac:dyDescent="0.35">
      <c r="C68790" s="2"/>
    </row>
    <row r="68791" spans="3:3" x14ac:dyDescent="0.35">
      <c r="C68791" s="2"/>
    </row>
    <row r="68792" spans="3:3" x14ac:dyDescent="0.35">
      <c r="C68792" s="2"/>
    </row>
    <row r="68793" spans="3:3" x14ac:dyDescent="0.35">
      <c r="C68793" s="2"/>
    </row>
    <row r="68794" spans="3:3" x14ac:dyDescent="0.35">
      <c r="C68794" s="2"/>
    </row>
    <row r="68795" spans="3:3" x14ac:dyDescent="0.35">
      <c r="C68795" s="2"/>
    </row>
    <row r="68796" spans="3:3" x14ac:dyDescent="0.35">
      <c r="C68796" s="2"/>
    </row>
    <row r="68797" spans="3:3" x14ac:dyDescent="0.35">
      <c r="C68797" s="2"/>
    </row>
    <row r="68798" spans="3:3" x14ac:dyDescent="0.35">
      <c r="C68798" s="2"/>
    </row>
    <row r="68799" spans="3:3" x14ac:dyDescent="0.35">
      <c r="C68799" s="2"/>
    </row>
    <row r="68800" spans="3:3" x14ac:dyDescent="0.35">
      <c r="C68800" s="2"/>
    </row>
    <row r="68801" spans="3:3" x14ac:dyDescent="0.35">
      <c r="C68801" s="2"/>
    </row>
    <row r="68802" spans="3:3" x14ac:dyDescent="0.35">
      <c r="C68802" s="2"/>
    </row>
    <row r="68803" spans="3:3" x14ac:dyDescent="0.35">
      <c r="C68803" s="2"/>
    </row>
    <row r="68804" spans="3:3" x14ac:dyDescent="0.35">
      <c r="C68804" s="2"/>
    </row>
    <row r="68805" spans="3:3" x14ac:dyDescent="0.35">
      <c r="C68805" s="2"/>
    </row>
    <row r="68806" spans="3:3" x14ac:dyDescent="0.35">
      <c r="C68806" s="2"/>
    </row>
    <row r="68807" spans="3:3" x14ac:dyDescent="0.35">
      <c r="C68807" s="2"/>
    </row>
    <row r="68808" spans="3:3" x14ac:dyDescent="0.35">
      <c r="C68808" s="2"/>
    </row>
    <row r="68809" spans="3:3" x14ac:dyDescent="0.35">
      <c r="C68809" s="2"/>
    </row>
    <row r="68810" spans="3:3" x14ac:dyDescent="0.35">
      <c r="C68810" s="2"/>
    </row>
    <row r="68811" spans="3:3" x14ac:dyDescent="0.35">
      <c r="C68811" s="2"/>
    </row>
    <row r="68812" spans="3:3" x14ac:dyDescent="0.35">
      <c r="C68812" s="2"/>
    </row>
    <row r="68813" spans="3:3" x14ac:dyDescent="0.35">
      <c r="C68813" s="2"/>
    </row>
    <row r="68814" spans="3:3" x14ac:dyDescent="0.35">
      <c r="C68814" s="2"/>
    </row>
    <row r="68815" spans="3:3" x14ac:dyDescent="0.35">
      <c r="C68815" s="2"/>
    </row>
    <row r="68816" spans="3:3" x14ac:dyDescent="0.35">
      <c r="C68816" s="2"/>
    </row>
    <row r="68817" spans="3:3" x14ac:dyDescent="0.35">
      <c r="C68817" s="2"/>
    </row>
    <row r="68818" spans="3:3" x14ac:dyDescent="0.35">
      <c r="C68818" s="2"/>
    </row>
    <row r="68819" spans="3:3" x14ac:dyDescent="0.35">
      <c r="C68819" s="2"/>
    </row>
    <row r="68820" spans="3:3" x14ac:dyDescent="0.35">
      <c r="C68820" s="2"/>
    </row>
    <row r="68821" spans="3:3" x14ac:dyDescent="0.35">
      <c r="C68821" s="2"/>
    </row>
    <row r="68822" spans="3:3" x14ac:dyDescent="0.35">
      <c r="C68822" s="2"/>
    </row>
    <row r="68823" spans="3:3" x14ac:dyDescent="0.35">
      <c r="C68823" s="2"/>
    </row>
    <row r="68824" spans="3:3" x14ac:dyDescent="0.35">
      <c r="C68824" s="2"/>
    </row>
    <row r="68825" spans="3:3" x14ac:dyDescent="0.35">
      <c r="C68825" s="2"/>
    </row>
    <row r="68826" spans="3:3" x14ac:dyDescent="0.35">
      <c r="C68826" s="2"/>
    </row>
    <row r="68827" spans="3:3" x14ac:dyDescent="0.35">
      <c r="C68827" s="2"/>
    </row>
    <row r="68828" spans="3:3" x14ac:dyDescent="0.35">
      <c r="C68828" s="2"/>
    </row>
    <row r="68829" spans="3:3" x14ac:dyDescent="0.35">
      <c r="C68829" s="2"/>
    </row>
    <row r="68830" spans="3:3" x14ac:dyDescent="0.35">
      <c r="C68830" s="2"/>
    </row>
    <row r="68831" spans="3:3" x14ac:dyDescent="0.35">
      <c r="C68831" s="2"/>
    </row>
    <row r="68832" spans="3:3" x14ac:dyDescent="0.35">
      <c r="C68832" s="2"/>
    </row>
    <row r="68833" spans="3:3" x14ac:dyDescent="0.35">
      <c r="C68833" s="2"/>
    </row>
    <row r="68834" spans="3:3" x14ac:dyDescent="0.35">
      <c r="C68834" s="2"/>
    </row>
    <row r="68835" spans="3:3" x14ac:dyDescent="0.35">
      <c r="C68835" s="2"/>
    </row>
    <row r="68836" spans="3:3" x14ac:dyDescent="0.35">
      <c r="C68836" s="2"/>
    </row>
    <row r="68837" spans="3:3" x14ac:dyDescent="0.35">
      <c r="C68837" s="2"/>
    </row>
    <row r="68838" spans="3:3" x14ac:dyDescent="0.35">
      <c r="C68838" s="2"/>
    </row>
    <row r="68839" spans="3:3" x14ac:dyDescent="0.35">
      <c r="C68839" s="2"/>
    </row>
    <row r="68840" spans="3:3" x14ac:dyDescent="0.35">
      <c r="C68840" s="2"/>
    </row>
    <row r="68841" spans="3:3" x14ac:dyDescent="0.35">
      <c r="C68841" s="2"/>
    </row>
    <row r="68842" spans="3:3" x14ac:dyDescent="0.35">
      <c r="C68842" s="2"/>
    </row>
    <row r="68843" spans="3:3" x14ac:dyDescent="0.35">
      <c r="C68843" s="2"/>
    </row>
    <row r="68844" spans="3:3" x14ac:dyDescent="0.35">
      <c r="C68844" s="2"/>
    </row>
    <row r="68845" spans="3:3" x14ac:dyDescent="0.35">
      <c r="C68845" s="2"/>
    </row>
    <row r="68846" spans="3:3" x14ac:dyDescent="0.35">
      <c r="C68846" s="2"/>
    </row>
    <row r="68847" spans="3:3" x14ac:dyDescent="0.35">
      <c r="C68847" s="2"/>
    </row>
    <row r="68848" spans="3:3" x14ac:dyDescent="0.35">
      <c r="C68848" s="2"/>
    </row>
    <row r="68849" spans="3:3" x14ac:dyDescent="0.35">
      <c r="C68849" s="2"/>
    </row>
    <row r="68850" spans="3:3" x14ac:dyDescent="0.35">
      <c r="C68850" s="2"/>
    </row>
    <row r="68851" spans="3:3" x14ac:dyDescent="0.35">
      <c r="C68851" s="2"/>
    </row>
    <row r="68852" spans="3:3" x14ac:dyDescent="0.35">
      <c r="C68852" s="2"/>
    </row>
    <row r="68853" spans="3:3" x14ac:dyDescent="0.35">
      <c r="C68853" s="2"/>
    </row>
    <row r="68854" spans="3:3" x14ac:dyDescent="0.35">
      <c r="C68854" s="2"/>
    </row>
    <row r="68855" spans="3:3" x14ac:dyDescent="0.35">
      <c r="C68855" s="2"/>
    </row>
    <row r="68856" spans="3:3" x14ac:dyDescent="0.35">
      <c r="C68856" s="2"/>
    </row>
    <row r="68857" spans="3:3" x14ac:dyDescent="0.35">
      <c r="C68857" s="2"/>
    </row>
    <row r="68858" spans="3:3" x14ac:dyDescent="0.35">
      <c r="C68858" s="2"/>
    </row>
    <row r="68859" spans="3:3" x14ac:dyDescent="0.35">
      <c r="C68859" s="2"/>
    </row>
    <row r="68860" spans="3:3" x14ac:dyDescent="0.35">
      <c r="C68860" s="2"/>
    </row>
    <row r="68861" spans="3:3" x14ac:dyDescent="0.35">
      <c r="C68861" s="2"/>
    </row>
    <row r="68862" spans="3:3" x14ac:dyDescent="0.35">
      <c r="C68862" s="2"/>
    </row>
    <row r="68863" spans="3:3" x14ac:dyDescent="0.35">
      <c r="C68863" s="2"/>
    </row>
    <row r="68864" spans="3:3" x14ac:dyDescent="0.35">
      <c r="C68864" s="2"/>
    </row>
    <row r="68865" spans="3:3" x14ac:dyDescent="0.35">
      <c r="C68865" s="2"/>
    </row>
    <row r="68866" spans="3:3" x14ac:dyDescent="0.35">
      <c r="C68866" s="2"/>
    </row>
    <row r="68867" spans="3:3" x14ac:dyDescent="0.35">
      <c r="C68867" s="2"/>
    </row>
    <row r="68868" spans="3:3" x14ac:dyDescent="0.35">
      <c r="C68868" s="2"/>
    </row>
    <row r="68869" spans="3:3" x14ac:dyDescent="0.35">
      <c r="C68869" s="2"/>
    </row>
    <row r="68870" spans="3:3" x14ac:dyDescent="0.35">
      <c r="C68870" s="2"/>
    </row>
    <row r="68871" spans="3:3" x14ac:dyDescent="0.35">
      <c r="C68871" s="2"/>
    </row>
    <row r="68872" spans="3:3" x14ac:dyDescent="0.35">
      <c r="C68872" s="2"/>
    </row>
    <row r="68873" spans="3:3" x14ac:dyDescent="0.35">
      <c r="C68873" s="2"/>
    </row>
    <row r="68874" spans="3:3" x14ac:dyDescent="0.35">
      <c r="C68874" s="2"/>
    </row>
    <row r="68875" spans="3:3" x14ac:dyDescent="0.35">
      <c r="C68875" s="2"/>
    </row>
    <row r="68876" spans="3:3" x14ac:dyDescent="0.35">
      <c r="C68876" s="2"/>
    </row>
    <row r="68877" spans="3:3" x14ac:dyDescent="0.35">
      <c r="C68877" s="2"/>
    </row>
    <row r="68878" spans="3:3" x14ac:dyDescent="0.35">
      <c r="C68878" s="2"/>
    </row>
    <row r="68879" spans="3:3" x14ac:dyDescent="0.35">
      <c r="C68879" s="2"/>
    </row>
    <row r="68880" spans="3:3" x14ac:dyDescent="0.35">
      <c r="C68880" s="2"/>
    </row>
    <row r="68881" spans="3:3" x14ac:dyDescent="0.35">
      <c r="C68881" s="2"/>
    </row>
    <row r="68882" spans="3:3" x14ac:dyDescent="0.35">
      <c r="C68882" s="2"/>
    </row>
    <row r="68883" spans="3:3" x14ac:dyDescent="0.35">
      <c r="C68883" s="2"/>
    </row>
    <row r="68884" spans="3:3" x14ac:dyDescent="0.35">
      <c r="C68884" s="2"/>
    </row>
    <row r="68885" spans="3:3" x14ac:dyDescent="0.35">
      <c r="C68885" s="2"/>
    </row>
    <row r="68886" spans="3:3" x14ac:dyDescent="0.35">
      <c r="C68886" s="2"/>
    </row>
    <row r="68887" spans="3:3" x14ac:dyDescent="0.35">
      <c r="C68887" s="2"/>
    </row>
    <row r="68888" spans="3:3" x14ac:dyDescent="0.35">
      <c r="C68888" s="2"/>
    </row>
    <row r="68889" spans="3:3" x14ac:dyDescent="0.35">
      <c r="C68889" s="2"/>
    </row>
    <row r="68890" spans="3:3" x14ac:dyDescent="0.35">
      <c r="C68890" s="2"/>
    </row>
    <row r="68891" spans="3:3" x14ac:dyDescent="0.35">
      <c r="C68891" s="2"/>
    </row>
    <row r="68892" spans="3:3" x14ac:dyDescent="0.35">
      <c r="C68892" s="2"/>
    </row>
    <row r="68893" spans="3:3" x14ac:dyDescent="0.35">
      <c r="C68893" s="2"/>
    </row>
    <row r="68894" spans="3:3" x14ac:dyDescent="0.35">
      <c r="C68894" s="2"/>
    </row>
    <row r="68895" spans="3:3" x14ac:dyDescent="0.35">
      <c r="C68895" s="2"/>
    </row>
    <row r="68896" spans="3:3" x14ac:dyDescent="0.35">
      <c r="C68896" s="2"/>
    </row>
    <row r="68897" spans="3:3" x14ac:dyDescent="0.35">
      <c r="C68897" s="2"/>
    </row>
    <row r="68898" spans="3:3" x14ac:dyDescent="0.35">
      <c r="C68898" s="2"/>
    </row>
    <row r="68899" spans="3:3" x14ac:dyDescent="0.35">
      <c r="C68899" s="2"/>
    </row>
    <row r="68900" spans="3:3" x14ac:dyDescent="0.35">
      <c r="C68900" s="2"/>
    </row>
    <row r="68901" spans="3:3" x14ac:dyDescent="0.35">
      <c r="C68901" s="2"/>
    </row>
    <row r="68902" spans="3:3" x14ac:dyDescent="0.35">
      <c r="C68902" s="2"/>
    </row>
    <row r="68903" spans="3:3" x14ac:dyDescent="0.35">
      <c r="C68903" s="2"/>
    </row>
    <row r="68904" spans="3:3" x14ac:dyDescent="0.35">
      <c r="C68904" s="2"/>
    </row>
    <row r="68905" spans="3:3" x14ac:dyDescent="0.35">
      <c r="C68905" s="2"/>
    </row>
    <row r="68906" spans="3:3" x14ac:dyDescent="0.35">
      <c r="C68906" s="2"/>
    </row>
    <row r="68907" spans="3:3" x14ac:dyDescent="0.35">
      <c r="C68907" s="2"/>
    </row>
    <row r="68908" spans="3:3" x14ac:dyDescent="0.35">
      <c r="C68908" s="2"/>
    </row>
    <row r="68909" spans="3:3" x14ac:dyDescent="0.35">
      <c r="C68909" s="2"/>
    </row>
    <row r="68910" spans="3:3" x14ac:dyDescent="0.35">
      <c r="C68910" s="2"/>
    </row>
    <row r="68911" spans="3:3" x14ac:dyDescent="0.35">
      <c r="C68911" s="2"/>
    </row>
    <row r="68912" spans="3:3" x14ac:dyDescent="0.35">
      <c r="C68912" s="2"/>
    </row>
    <row r="68913" spans="3:3" x14ac:dyDescent="0.35">
      <c r="C68913" s="2"/>
    </row>
    <row r="68914" spans="3:3" x14ac:dyDescent="0.35">
      <c r="C68914" s="2"/>
    </row>
    <row r="68915" spans="3:3" x14ac:dyDescent="0.35">
      <c r="C68915" s="2"/>
    </row>
    <row r="68916" spans="3:3" x14ac:dyDescent="0.35">
      <c r="C68916" s="2"/>
    </row>
    <row r="68917" spans="3:3" x14ac:dyDescent="0.35">
      <c r="C68917" s="2"/>
    </row>
    <row r="68918" spans="3:3" x14ac:dyDescent="0.35">
      <c r="C68918" s="2"/>
    </row>
    <row r="68919" spans="3:3" x14ac:dyDescent="0.35">
      <c r="C68919" s="2"/>
    </row>
    <row r="68920" spans="3:3" x14ac:dyDescent="0.35">
      <c r="C68920" s="2"/>
    </row>
    <row r="68921" spans="3:3" x14ac:dyDescent="0.35">
      <c r="C68921" s="2"/>
    </row>
    <row r="68922" spans="3:3" x14ac:dyDescent="0.35">
      <c r="C68922" s="2"/>
    </row>
    <row r="68923" spans="3:3" x14ac:dyDescent="0.35">
      <c r="C68923" s="2"/>
    </row>
    <row r="68924" spans="3:3" x14ac:dyDescent="0.35">
      <c r="C68924" s="2"/>
    </row>
    <row r="68925" spans="3:3" x14ac:dyDescent="0.35">
      <c r="C68925" s="2"/>
    </row>
    <row r="68926" spans="3:3" x14ac:dyDescent="0.35">
      <c r="C68926" s="2"/>
    </row>
    <row r="68927" spans="3:3" x14ac:dyDescent="0.35">
      <c r="C68927" s="2"/>
    </row>
    <row r="68928" spans="3:3" x14ac:dyDescent="0.35">
      <c r="C68928" s="2"/>
    </row>
    <row r="68929" spans="3:3" x14ac:dyDescent="0.35">
      <c r="C68929" s="2"/>
    </row>
    <row r="68930" spans="3:3" x14ac:dyDescent="0.35">
      <c r="C68930" s="2"/>
    </row>
    <row r="68931" spans="3:3" x14ac:dyDescent="0.35">
      <c r="C68931" s="2"/>
    </row>
    <row r="68932" spans="3:3" x14ac:dyDescent="0.35">
      <c r="C68932" s="2"/>
    </row>
    <row r="68933" spans="3:3" x14ac:dyDescent="0.35">
      <c r="C68933" s="2"/>
    </row>
    <row r="68934" spans="3:3" x14ac:dyDescent="0.35">
      <c r="C68934" s="2"/>
    </row>
    <row r="68935" spans="3:3" x14ac:dyDescent="0.35">
      <c r="C68935" s="2"/>
    </row>
    <row r="68936" spans="3:3" x14ac:dyDescent="0.35">
      <c r="C68936" s="2"/>
    </row>
    <row r="68937" spans="3:3" x14ac:dyDescent="0.35">
      <c r="C68937" s="2"/>
    </row>
    <row r="68938" spans="3:3" x14ac:dyDescent="0.35">
      <c r="C68938" s="2"/>
    </row>
    <row r="68939" spans="3:3" x14ac:dyDescent="0.35">
      <c r="C68939" s="2"/>
    </row>
    <row r="68940" spans="3:3" x14ac:dyDescent="0.35">
      <c r="C68940" s="2"/>
    </row>
    <row r="68941" spans="3:3" x14ac:dyDescent="0.35">
      <c r="C68941" s="2"/>
    </row>
    <row r="68942" spans="3:3" x14ac:dyDescent="0.35">
      <c r="C68942" s="2"/>
    </row>
    <row r="68943" spans="3:3" x14ac:dyDescent="0.35">
      <c r="C68943" s="2"/>
    </row>
    <row r="68944" spans="3:3" x14ac:dyDescent="0.35">
      <c r="C68944" s="2"/>
    </row>
    <row r="68945" spans="3:3" x14ac:dyDescent="0.35">
      <c r="C68945" s="2"/>
    </row>
    <row r="68946" spans="3:3" x14ac:dyDescent="0.35">
      <c r="C68946" s="2"/>
    </row>
    <row r="68947" spans="3:3" x14ac:dyDescent="0.35">
      <c r="C68947" s="2"/>
    </row>
    <row r="68948" spans="3:3" x14ac:dyDescent="0.35">
      <c r="C68948" s="2"/>
    </row>
    <row r="68949" spans="3:3" x14ac:dyDescent="0.35">
      <c r="C68949" s="2"/>
    </row>
    <row r="68950" spans="3:3" x14ac:dyDescent="0.35">
      <c r="C68950" s="2"/>
    </row>
    <row r="68951" spans="3:3" x14ac:dyDescent="0.35">
      <c r="C68951" s="2"/>
    </row>
    <row r="68952" spans="3:3" x14ac:dyDescent="0.35">
      <c r="C68952" s="2"/>
    </row>
    <row r="68953" spans="3:3" x14ac:dyDescent="0.35">
      <c r="C68953" s="2"/>
    </row>
    <row r="68954" spans="3:3" x14ac:dyDescent="0.35">
      <c r="C68954" s="2"/>
    </row>
    <row r="68955" spans="3:3" x14ac:dyDescent="0.35">
      <c r="C68955" s="2"/>
    </row>
    <row r="68956" spans="3:3" x14ac:dyDescent="0.35">
      <c r="C68956" s="2"/>
    </row>
    <row r="68957" spans="3:3" x14ac:dyDescent="0.35">
      <c r="C68957" s="2"/>
    </row>
    <row r="68958" spans="3:3" x14ac:dyDescent="0.35">
      <c r="C68958" s="2"/>
    </row>
    <row r="68959" spans="3:3" x14ac:dyDescent="0.35">
      <c r="C68959" s="2"/>
    </row>
    <row r="68960" spans="3:3" x14ac:dyDescent="0.35">
      <c r="C68960" s="2"/>
    </row>
    <row r="68961" spans="3:3" x14ac:dyDescent="0.35">
      <c r="C68961" s="2"/>
    </row>
    <row r="68962" spans="3:3" x14ac:dyDescent="0.35">
      <c r="C68962" s="2"/>
    </row>
    <row r="68963" spans="3:3" x14ac:dyDescent="0.35">
      <c r="C68963" s="2"/>
    </row>
    <row r="68964" spans="3:3" x14ac:dyDescent="0.35">
      <c r="C68964" s="2"/>
    </row>
    <row r="68965" spans="3:3" x14ac:dyDescent="0.35">
      <c r="C68965" s="2"/>
    </row>
    <row r="68966" spans="3:3" x14ac:dyDescent="0.35">
      <c r="C68966" s="2"/>
    </row>
    <row r="68967" spans="3:3" x14ac:dyDescent="0.35">
      <c r="C68967" s="2"/>
    </row>
    <row r="68968" spans="3:3" x14ac:dyDescent="0.35">
      <c r="C68968" s="2"/>
    </row>
    <row r="68969" spans="3:3" x14ac:dyDescent="0.35">
      <c r="C68969" s="2"/>
    </row>
    <row r="68970" spans="3:3" x14ac:dyDescent="0.35">
      <c r="C68970" s="2"/>
    </row>
    <row r="68971" spans="3:3" x14ac:dyDescent="0.35">
      <c r="C68971" s="2"/>
    </row>
    <row r="68972" spans="3:3" x14ac:dyDescent="0.35">
      <c r="C68972" s="2"/>
    </row>
    <row r="68973" spans="3:3" x14ac:dyDescent="0.35">
      <c r="C68973" s="2"/>
    </row>
    <row r="68974" spans="3:3" x14ac:dyDescent="0.35">
      <c r="C68974" s="2"/>
    </row>
    <row r="68975" spans="3:3" x14ac:dyDescent="0.35">
      <c r="C68975" s="2"/>
    </row>
    <row r="68976" spans="3:3" x14ac:dyDescent="0.35">
      <c r="C68976" s="2"/>
    </row>
    <row r="68977" spans="3:3" x14ac:dyDescent="0.35">
      <c r="C68977" s="2"/>
    </row>
    <row r="68978" spans="3:3" x14ac:dyDescent="0.35">
      <c r="C68978" s="2"/>
    </row>
    <row r="68979" spans="3:3" x14ac:dyDescent="0.35">
      <c r="C68979" s="2"/>
    </row>
    <row r="68980" spans="3:3" x14ac:dyDescent="0.35">
      <c r="C68980" s="2"/>
    </row>
    <row r="68981" spans="3:3" x14ac:dyDescent="0.35">
      <c r="C68981" s="2"/>
    </row>
    <row r="68982" spans="3:3" x14ac:dyDescent="0.35">
      <c r="C68982" s="2"/>
    </row>
    <row r="68983" spans="3:3" x14ac:dyDescent="0.35">
      <c r="C68983" s="2"/>
    </row>
    <row r="68984" spans="3:3" x14ac:dyDescent="0.35">
      <c r="C68984" s="2"/>
    </row>
    <row r="68985" spans="3:3" x14ac:dyDescent="0.35">
      <c r="C68985" s="2"/>
    </row>
    <row r="68986" spans="3:3" x14ac:dyDescent="0.35">
      <c r="C68986" s="2"/>
    </row>
    <row r="68987" spans="3:3" x14ac:dyDescent="0.35">
      <c r="C68987" s="2"/>
    </row>
    <row r="68988" spans="3:3" x14ac:dyDescent="0.35">
      <c r="C68988" s="2"/>
    </row>
    <row r="68989" spans="3:3" x14ac:dyDescent="0.35">
      <c r="C68989" s="2"/>
    </row>
    <row r="68990" spans="3:3" x14ac:dyDescent="0.35">
      <c r="C68990" s="2"/>
    </row>
    <row r="68991" spans="3:3" x14ac:dyDescent="0.35">
      <c r="C68991" s="2"/>
    </row>
    <row r="68992" spans="3:3" x14ac:dyDescent="0.35">
      <c r="C68992" s="2"/>
    </row>
    <row r="68993" spans="3:3" x14ac:dyDescent="0.35">
      <c r="C68993" s="2"/>
    </row>
    <row r="68994" spans="3:3" x14ac:dyDescent="0.35">
      <c r="C68994" s="2"/>
    </row>
    <row r="68995" spans="3:3" x14ac:dyDescent="0.35">
      <c r="C68995" s="2"/>
    </row>
    <row r="68996" spans="3:3" x14ac:dyDescent="0.35">
      <c r="C68996" s="2"/>
    </row>
    <row r="68997" spans="3:3" x14ac:dyDescent="0.35">
      <c r="C68997" s="2"/>
    </row>
    <row r="68998" spans="3:3" x14ac:dyDescent="0.35">
      <c r="C68998" s="2"/>
    </row>
    <row r="68999" spans="3:3" x14ac:dyDescent="0.35">
      <c r="C68999" s="2"/>
    </row>
    <row r="69000" spans="3:3" x14ac:dyDescent="0.35">
      <c r="C69000" s="2"/>
    </row>
    <row r="69001" spans="3:3" x14ac:dyDescent="0.35">
      <c r="C69001" s="2"/>
    </row>
    <row r="69002" spans="3:3" x14ac:dyDescent="0.35">
      <c r="C69002" s="2"/>
    </row>
    <row r="69003" spans="3:3" x14ac:dyDescent="0.35">
      <c r="C69003" s="2"/>
    </row>
    <row r="69004" spans="3:3" x14ac:dyDescent="0.35">
      <c r="C69004" s="2"/>
    </row>
    <row r="69005" spans="3:3" x14ac:dyDescent="0.35">
      <c r="C69005" s="2"/>
    </row>
    <row r="69006" spans="3:3" x14ac:dyDescent="0.35">
      <c r="C69006" s="2"/>
    </row>
    <row r="69007" spans="3:3" x14ac:dyDescent="0.35">
      <c r="C69007" s="2"/>
    </row>
    <row r="69008" spans="3:3" x14ac:dyDescent="0.35">
      <c r="C69008" s="2"/>
    </row>
    <row r="69009" spans="3:3" x14ac:dyDescent="0.35">
      <c r="C69009" s="2"/>
    </row>
    <row r="69010" spans="3:3" x14ac:dyDescent="0.35">
      <c r="C69010" s="2"/>
    </row>
    <row r="69011" spans="3:3" x14ac:dyDescent="0.35">
      <c r="C69011" s="2"/>
    </row>
    <row r="69012" spans="3:3" x14ac:dyDescent="0.35">
      <c r="C69012" s="2"/>
    </row>
    <row r="69013" spans="3:3" x14ac:dyDescent="0.35">
      <c r="C69013" s="2"/>
    </row>
    <row r="69014" spans="3:3" x14ac:dyDescent="0.35">
      <c r="C69014" s="2"/>
    </row>
    <row r="69015" spans="3:3" x14ac:dyDescent="0.35">
      <c r="C69015" s="2"/>
    </row>
    <row r="69016" spans="3:3" x14ac:dyDescent="0.35">
      <c r="C69016" s="2"/>
    </row>
    <row r="69017" spans="3:3" x14ac:dyDescent="0.35">
      <c r="C69017" s="2"/>
    </row>
    <row r="69018" spans="3:3" x14ac:dyDescent="0.35">
      <c r="C69018" s="2"/>
    </row>
    <row r="69019" spans="3:3" x14ac:dyDescent="0.35">
      <c r="C69019" s="2"/>
    </row>
    <row r="69020" spans="3:3" x14ac:dyDescent="0.35">
      <c r="C69020" s="2"/>
    </row>
    <row r="69021" spans="3:3" x14ac:dyDescent="0.35">
      <c r="C69021" s="2"/>
    </row>
    <row r="69022" spans="3:3" x14ac:dyDescent="0.35">
      <c r="C69022" s="2"/>
    </row>
    <row r="69023" spans="3:3" x14ac:dyDescent="0.35">
      <c r="C69023" s="2"/>
    </row>
    <row r="69024" spans="3:3" x14ac:dyDescent="0.35">
      <c r="C69024" s="2"/>
    </row>
    <row r="69025" spans="3:3" x14ac:dyDescent="0.35">
      <c r="C69025" s="2"/>
    </row>
    <row r="69026" spans="3:3" x14ac:dyDescent="0.35">
      <c r="C69026" s="2"/>
    </row>
    <row r="69027" spans="3:3" x14ac:dyDescent="0.35">
      <c r="C69027" s="2"/>
    </row>
    <row r="69028" spans="3:3" x14ac:dyDescent="0.35">
      <c r="C69028" s="2"/>
    </row>
    <row r="69029" spans="3:3" x14ac:dyDescent="0.35">
      <c r="C69029" s="2"/>
    </row>
    <row r="69030" spans="3:3" x14ac:dyDescent="0.35">
      <c r="C69030" s="2"/>
    </row>
    <row r="69031" spans="3:3" x14ac:dyDescent="0.35">
      <c r="C69031" s="2"/>
    </row>
    <row r="69032" spans="3:3" x14ac:dyDescent="0.35">
      <c r="C69032" s="2"/>
    </row>
    <row r="69033" spans="3:3" x14ac:dyDescent="0.35">
      <c r="C69033" s="2"/>
    </row>
    <row r="69034" spans="3:3" x14ac:dyDescent="0.35">
      <c r="C69034" s="2"/>
    </row>
    <row r="69035" spans="3:3" x14ac:dyDescent="0.35">
      <c r="C69035" s="2"/>
    </row>
    <row r="69036" spans="3:3" x14ac:dyDescent="0.35">
      <c r="C69036" s="2"/>
    </row>
    <row r="69037" spans="3:3" x14ac:dyDescent="0.35">
      <c r="C69037" s="2"/>
    </row>
    <row r="69038" spans="3:3" x14ac:dyDescent="0.35">
      <c r="C69038" s="2"/>
    </row>
    <row r="69039" spans="3:3" x14ac:dyDescent="0.35">
      <c r="C69039" s="2"/>
    </row>
    <row r="69040" spans="3:3" x14ac:dyDescent="0.35">
      <c r="C69040" s="2"/>
    </row>
    <row r="69041" spans="3:3" x14ac:dyDescent="0.35">
      <c r="C69041" s="2"/>
    </row>
    <row r="69042" spans="3:3" x14ac:dyDescent="0.35">
      <c r="C69042" s="2"/>
    </row>
    <row r="69043" spans="3:3" x14ac:dyDescent="0.35">
      <c r="C69043" s="2"/>
    </row>
    <row r="69044" spans="3:3" x14ac:dyDescent="0.35">
      <c r="C69044" s="2"/>
    </row>
    <row r="69045" spans="3:3" x14ac:dyDescent="0.35">
      <c r="C69045" s="2"/>
    </row>
    <row r="69046" spans="3:3" x14ac:dyDescent="0.35">
      <c r="C69046" s="2"/>
    </row>
    <row r="69047" spans="3:3" x14ac:dyDescent="0.35">
      <c r="C69047" s="2"/>
    </row>
    <row r="69048" spans="3:3" x14ac:dyDescent="0.35">
      <c r="C69048" s="2"/>
    </row>
    <row r="69049" spans="3:3" x14ac:dyDescent="0.35">
      <c r="C69049" s="2"/>
    </row>
    <row r="69050" spans="3:3" x14ac:dyDescent="0.35">
      <c r="C69050" s="2"/>
    </row>
    <row r="69051" spans="3:3" x14ac:dyDescent="0.35">
      <c r="C69051" s="2"/>
    </row>
    <row r="69052" spans="3:3" x14ac:dyDescent="0.35">
      <c r="C69052" s="2"/>
    </row>
    <row r="69053" spans="3:3" x14ac:dyDescent="0.35">
      <c r="C69053" s="2"/>
    </row>
    <row r="69054" spans="3:3" x14ac:dyDescent="0.35">
      <c r="C69054" s="2"/>
    </row>
    <row r="69055" spans="3:3" x14ac:dyDescent="0.35">
      <c r="C69055" s="2"/>
    </row>
    <row r="69056" spans="3:3" x14ac:dyDescent="0.35">
      <c r="C69056" s="2"/>
    </row>
    <row r="69057" spans="3:3" x14ac:dyDescent="0.35">
      <c r="C69057" s="2"/>
    </row>
    <row r="69058" spans="3:3" x14ac:dyDescent="0.35">
      <c r="C69058" s="2"/>
    </row>
    <row r="69059" spans="3:3" x14ac:dyDescent="0.35">
      <c r="C69059" s="2"/>
    </row>
    <row r="69060" spans="3:3" x14ac:dyDescent="0.35">
      <c r="C69060" s="2"/>
    </row>
    <row r="69061" spans="3:3" x14ac:dyDescent="0.35">
      <c r="C69061" s="2"/>
    </row>
    <row r="69062" spans="3:3" x14ac:dyDescent="0.35">
      <c r="C69062" s="2"/>
    </row>
    <row r="69063" spans="3:3" x14ac:dyDescent="0.35">
      <c r="C69063" s="2"/>
    </row>
    <row r="69064" spans="3:3" x14ac:dyDescent="0.35">
      <c r="C69064" s="2"/>
    </row>
    <row r="69065" spans="3:3" x14ac:dyDescent="0.35">
      <c r="C69065" s="2"/>
    </row>
    <row r="69066" spans="3:3" x14ac:dyDescent="0.35">
      <c r="C69066" s="2"/>
    </row>
    <row r="69067" spans="3:3" x14ac:dyDescent="0.35">
      <c r="C69067" s="2"/>
    </row>
    <row r="69068" spans="3:3" x14ac:dyDescent="0.35">
      <c r="C69068" s="2"/>
    </row>
    <row r="69069" spans="3:3" x14ac:dyDescent="0.35">
      <c r="C69069" s="2"/>
    </row>
    <row r="69070" spans="3:3" x14ac:dyDescent="0.35">
      <c r="C69070" s="2"/>
    </row>
    <row r="69071" spans="3:3" x14ac:dyDescent="0.35">
      <c r="C69071" s="2"/>
    </row>
    <row r="69072" spans="3:3" x14ac:dyDescent="0.35">
      <c r="C69072" s="2"/>
    </row>
    <row r="69073" spans="3:3" x14ac:dyDescent="0.35">
      <c r="C69073" s="2"/>
    </row>
    <row r="69074" spans="3:3" x14ac:dyDescent="0.35">
      <c r="C69074" s="2"/>
    </row>
    <row r="69075" spans="3:3" x14ac:dyDescent="0.35">
      <c r="C69075" s="2"/>
    </row>
    <row r="69076" spans="3:3" x14ac:dyDescent="0.35">
      <c r="C69076" s="2"/>
    </row>
    <row r="69077" spans="3:3" x14ac:dyDescent="0.35">
      <c r="C69077" s="2"/>
    </row>
    <row r="69078" spans="3:3" x14ac:dyDescent="0.35">
      <c r="C69078" s="2"/>
    </row>
    <row r="69079" spans="3:3" x14ac:dyDescent="0.35">
      <c r="C69079" s="2"/>
    </row>
    <row r="69080" spans="3:3" x14ac:dyDescent="0.35">
      <c r="C69080" s="2"/>
    </row>
    <row r="69081" spans="3:3" x14ac:dyDescent="0.35">
      <c r="C69081" s="2"/>
    </row>
    <row r="69082" spans="3:3" x14ac:dyDescent="0.35">
      <c r="C69082" s="2"/>
    </row>
    <row r="69083" spans="3:3" x14ac:dyDescent="0.35">
      <c r="C69083" s="2"/>
    </row>
    <row r="69084" spans="3:3" x14ac:dyDescent="0.35">
      <c r="C69084" s="2"/>
    </row>
    <row r="69085" spans="3:3" x14ac:dyDescent="0.35">
      <c r="C69085" s="2"/>
    </row>
    <row r="69086" spans="3:3" x14ac:dyDescent="0.35">
      <c r="C69086" s="2"/>
    </row>
    <row r="69087" spans="3:3" x14ac:dyDescent="0.35">
      <c r="C69087" s="2"/>
    </row>
    <row r="69088" spans="3:3" x14ac:dyDescent="0.35">
      <c r="C69088" s="2"/>
    </row>
    <row r="69089" spans="3:3" x14ac:dyDescent="0.35">
      <c r="C69089" s="2"/>
    </row>
    <row r="69090" spans="3:3" x14ac:dyDescent="0.35">
      <c r="C69090" s="2"/>
    </row>
    <row r="69091" spans="3:3" x14ac:dyDescent="0.35">
      <c r="C69091" s="2"/>
    </row>
    <row r="69092" spans="3:3" x14ac:dyDescent="0.35">
      <c r="C69092" s="2"/>
    </row>
    <row r="69093" spans="3:3" x14ac:dyDescent="0.35">
      <c r="C69093" s="2"/>
    </row>
    <row r="69094" spans="3:3" x14ac:dyDescent="0.35">
      <c r="C69094" s="2"/>
    </row>
    <row r="69095" spans="3:3" x14ac:dyDescent="0.35">
      <c r="C69095" s="2"/>
    </row>
    <row r="69096" spans="3:3" x14ac:dyDescent="0.35">
      <c r="C69096" s="2"/>
    </row>
    <row r="69097" spans="3:3" x14ac:dyDescent="0.35">
      <c r="C69097" s="2"/>
    </row>
    <row r="69098" spans="3:3" x14ac:dyDescent="0.35">
      <c r="C69098" s="2"/>
    </row>
    <row r="69099" spans="3:3" x14ac:dyDescent="0.35">
      <c r="C69099" s="2"/>
    </row>
    <row r="69100" spans="3:3" x14ac:dyDescent="0.35">
      <c r="C69100" s="2"/>
    </row>
    <row r="69101" spans="3:3" x14ac:dyDescent="0.35">
      <c r="C69101" s="2"/>
    </row>
    <row r="69102" spans="3:3" x14ac:dyDescent="0.35">
      <c r="C69102" s="2"/>
    </row>
    <row r="69103" spans="3:3" x14ac:dyDescent="0.35">
      <c r="C69103" s="2"/>
    </row>
    <row r="69104" spans="3:3" x14ac:dyDescent="0.35">
      <c r="C69104" s="2"/>
    </row>
    <row r="69105" spans="3:3" x14ac:dyDescent="0.35">
      <c r="C69105" s="2"/>
    </row>
    <row r="69106" spans="3:3" x14ac:dyDescent="0.35">
      <c r="C69106" s="2"/>
    </row>
    <row r="69107" spans="3:3" x14ac:dyDescent="0.35">
      <c r="C69107" s="2"/>
    </row>
    <row r="69108" spans="3:3" x14ac:dyDescent="0.35">
      <c r="C69108" s="2"/>
    </row>
    <row r="69109" spans="3:3" x14ac:dyDescent="0.35">
      <c r="C69109" s="2"/>
    </row>
    <row r="69110" spans="3:3" x14ac:dyDescent="0.35">
      <c r="C69110" s="2"/>
    </row>
    <row r="69111" spans="3:3" x14ac:dyDescent="0.35">
      <c r="C69111" s="2"/>
    </row>
    <row r="69112" spans="3:3" x14ac:dyDescent="0.35">
      <c r="C69112" s="2"/>
    </row>
    <row r="69113" spans="3:3" x14ac:dyDescent="0.35">
      <c r="C69113" s="2"/>
    </row>
    <row r="69114" spans="3:3" x14ac:dyDescent="0.35">
      <c r="C69114" s="2"/>
    </row>
    <row r="69115" spans="3:3" x14ac:dyDescent="0.35">
      <c r="C69115" s="2"/>
    </row>
    <row r="69116" spans="3:3" x14ac:dyDescent="0.35">
      <c r="C69116" s="2"/>
    </row>
    <row r="69117" spans="3:3" x14ac:dyDescent="0.35">
      <c r="C69117" s="2"/>
    </row>
    <row r="69118" spans="3:3" x14ac:dyDescent="0.35">
      <c r="C69118" s="2"/>
    </row>
    <row r="69119" spans="3:3" x14ac:dyDescent="0.35">
      <c r="C69119" s="2"/>
    </row>
    <row r="69120" spans="3:3" x14ac:dyDescent="0.35">
      <c r="C69120" s="2"/>
    </row>
    <row r="69121" spans="3:3" x14ac:dyDescent="0.35">
      <c r="C69121" s="2"/>
    </row>
    <row r="69122" spans="3:3" x14ac:dyDescent="0.35">
      <c r="C69122" s="2"/>
    </row>
    <row r="69123" spans="3:3" x14ac:dyDescent="0.35">
      <c r="C69123" s="2"/>
    </row>
    <row r="69124" spans="3:3" x14ac:dyDescent="0.35">
      <c r="C69124" s="2"/>
    </row>
    <row r="69125" spans="3:3" x14ac:dyDescent="0.35">
      <c r="C69125" s="2"/>
    </row>
    <row r="69126" spans="3:3" x14ac:dyDescent="0.35">
      <c r="C69126" s="2"/>
    </row>
    <row r="69127" spans="3:3" x14ac:dyDescent="0.35">
      <c r="C69127" s="2"/>
    </row>
    <row r="69128" spans="3:3" x14ac:dyDescent="0.35">
      <c r="C69128" s="2"/>
    </row>
    <row r="69129" spans="3:3" x14ac:dyDescent="0.35">
      <c r="C69129" s="2"/>
    </row>
    <row r="69130" spans="3:3" x14ac:dyDescent="0.35">
      <c r="C69130" s="2"/>
    </row>
    <row r="69131" spans="3:3" x14ac:dyDescent="0.35">
      <c r="C69131" s="2"/>
    </row>
    <row r="69132" spans="3:3" x14ac:dyDescent="0.35">
      <c r="C69132" s="2"/>
    </row>
    <row r="69133" spans="3:3" x14ac:dyDescent="0.35">
      <c r="C69133" s="2"/>
    </row>
    <row r="69134" spans="3:3" x14ac:dyDescent="0.35">
      <c r="C69134" s="2"/>
    </row>
    <row r="69135" spans="3:3" x14ac:dyDescent="0.35">
      <c r="C69135" s="2"/>
    </row>
    <row r="69136" spans="3:3" x14ac:dyDescent="0.35">
      <c r="C69136" s="2"/>
    </row>
    <row r="69137" spans="3:3" x14ac:dyDescent="0.35">
      <c r="C69137" s="2"/>
    </row>
    <row r="69138" spans="3:3" x14ac:dyDescent="0.35">
      <c r="C69138" s="2"/>
    </row>
    <row r="69139" spans="3:3" x14ac:dyDescent="0.35">
      <c r="C69139" s="2"/>
    </row>
    <row r="69140" spans="3:3" x14ac:dyDescent="0.35">
      <c r="C69140" s="2"/>
    </row>
    <row r="69141" spans="3:3" x14ac:dyDescent="0.35">
      <c r="C69141" s="2"/>
    </row>
    <row r="69142" spans="3:3" x14ac:dyDescent="0.35">
      <c r="C69142" s="2"/>
    </row>
    <row r="69143" spans="3:3" x14ac:dyDescent="0.35">
      <c r="C69143" s="2"/>
    </row>
    <row r="69144" spans="3:3" x14ac:dyDescent="0.35">
      <c r="C69144" s="2"/>
    </row>
    <row r="69145" spans="3:3" x14ac:dyDescent="0.35">
      <c r="C69145" s="2"/>
    </row>
    <row r="69146" spans="3:3" x14ac:dyDescent="0.35">
      <c r="C69146" s="2"/>
    </row>
    <row r="69147" spans="3:3" x14ac:dyDescent="0.35">
      <c r="C69147" s="2"/>
    </row>
    <row r="69148" spans="3:3" x14ac:dyDescent="0.35">
      <c r="C69148" s="2"/>
    </row>
    <row r="69149" spans="3:3" x14ac:dyDescent="0.35">
      <c r="C69149" s="2"/>
    </row>
    <row r="69150" spans="3:3" x14ac:dyDescent="0.35">
      <c r="C69150" s="2"/>
    </row>
    <row r="69151" spans="3:3" x14ac:dyDescent="0.35">
      <c r="C69151" s="2"/>
    </row>
    <row r="69152" spans="3:3" x14ac:dyDescent="0.35">
      <c r="C69152" s="2"/>
    </row>
    <row r="69153" spans="3:3" x14ac:dyDescent="0.35">
      <c r="C69153" s="2"/>
    </row>
    <row r="69154" spans="3:3" x14ac:dyDescent="0.35">
      <c r="C69154" s="2"/>
    </row>
    <row r="69155" spans="3:3" x14ac:dyDescent="0.35">
      <c r="C69155" s="2"/>
    </row>
    <row r="69156" spans="3:3" x14ac:dyDescent="0.35">
      <c r="C69156" s="2"/>
    </row>
    <row r="69157" spans="3:3" x14ac:dyDescent="0.35">
      <c r="C69157" s="2"/>
    </row>
    <row r="69158" spans="3:3" x14ac:dyDescent="0.35">
      <c r="C69158" s="2"/>
    </row>
    <row r="69159" spans="3:3" x14ac:dyDescent="0.35">
      <c r="C69159" s="2"/>
    </row>
    <row r="69160" spans="3:3" x14ac:dyDescent="0.35">
      <c r="C69160" s="2"/>
    </row>
    <row r="69161" spans="3:3" x14ac:dyDescent="0.35">
      <c r="C69161" s="2"/>
    </row>
    <row r="69162" spans="3:3" x14ac:dyDescent="0.35">
      <c r="C69162" s="2"/>
    </row>
    <row r="69163" spans="3:3" x14ac:dyDescent="0.35">
      <c r="C69163" s="2"/>
    </row>
    <row r="69164" spans="3:3" x14ac:dyDescent="0.35">
      <c r="C69164" s="2"/>
    </row>
    <row r="69165" spans="3:3" x14ac:dyDescent="0.35">
      <c r="C69165" s="2"/>
    </row>
    <row r="69166" spans="3:3" x14ac:dyDescent="0.35">
      <c r="C69166" s="2"/>
    </row>
    <row r="69167" spans="3:3" x14ac:dyDescent="0.35">
      <c r="C69167" s="2"/>
    </row>
    <row r="69168" spans="3:3" x14ac:dyDescent="0.35">
      <c r="C69168" s="2"/>
    </row>
    <row r="69169" spans="3:3" x14ac:dyDescent="0.35">
      <c r="C69169" s="2"/>
    </row>
    <row r="69170" spans="3:3" x14ac:dyDescent="0.35">
      <c r="C69170" s="2"/>
    </row>
    <row r="69171" spans="3:3" x14ac:dyDescent="0.35">
      <c r="C69171" s="2"/>
    </row>
    <row r="69172" spans="3:3" x14ac:dyDescent="0.35">
      <c r="C69172" s="2"/>
    </row>
    <row r="69173" spans="3:3" x14ac:dyDescent="0.35">
      <c r="C69173" s="2"/>
    </row>
    <row r="69174" spans="3:3" x14ac:dyDescent="0.35">
      <c r="C69174" s="2"/>
    </row>
    <row r="69175" spans="3:3" x14ac:dyDescent="0.35">
      <c r="C69175" s="2"/>
    </row>
    <row r="69176" spans="3:3" x14ac:dyDescent="0.35">
      <c r="C69176" s="2"/>
    </row>
    <row r="69177" spans="3:3" x14ac:dyDescent="0.35">
      <c r="C69177" s="2"/>
    </row>
    <row r="69178" spans="3:3" x14ac:dyDescent="0.35">
      <c r="C69178" s="2"/>
    </row>
    <row r="69179" spans="3:3" x14ac:dyDescent="0.35">
      <c r="C69179" s="2"/>
    </row>
    <row r="69180" spans="3:3" x14ac:dyDescent="0.35">
      <c r="C69180" s="2"/>
    </row>
    <row r="69181" spans="3:3" x14ac:dyDescent="0.35">
      <c r="C69181" s="2"/>
    </row>
    <row r="69182" spans="3:3" x14ac:dyDescent="0.35">
      <c r="C69182" s="2"/>
    </row>
    <row r="69183" spans="3:3" x14ac:dyDescent="0.35">
      <c r="C69183" s="2"/>
    </row>
    <row r="69184" spans="3:3" x14ac:dyDescent="0.35">
      <c r="C69184" s="2"/>
    </row>
    <row r="69185" spans="3:3" x14ac:dyDescent="0.35">
      <c r="C69185" s="2"/>
    </row>
    <row r="69186" spans="3:3" x14ac:dyDescent="0.35">
      <c r="C69186" s="2"/>
    </row>
    <row r="69187" spans="3:3" x14ac:dyDescent="0.35">
      <c r="C69187" s="2"/>
    </row>
    <row r="69188" spans="3:3" x14ac:dyDescent="0.35">
      <c r="C69188" s="2"/>
    </row>
    <row r="69189" spans="3:3" x14ac:dyDescent="0.35">
      <c r="C69189" s="2"/>
    </row>
    <row r="69190" spans="3:3" x14ac:dyDescent="0.35">
      <c r="C69190" s="2"/>
    </row>
    <row r="69191" spans="3:3" x14ac:dyDescent="0.35">
      <c r="C69191" s="2"/>
    </row>
    <row r="69192" spans="3:3" x14ac:dyDescent="0.35">
      <c r="C69192" s="2"/>
    </row>
    <row r="69193" spans="3:3" x14ac:dyDescent="0.35">
      <c r="C69193" s="2"/>
    </row>
    <row r="69194" spans="3:3" x14ac:dyDescent="0.35">
      <c r="C69194" s="2"/>
    </row>
    <row r="69195" spans="3:3" x14ac:dyDescent="0.35">
      <c r="C69195" s="2"/>
    </row>
    <row r="69196" spans="3:3" x14ac:dyDescent="0.35">
      <c r="C69196" s="2"/>
    </row>
    <row r="69197" spans="3:3" x14ac:dyDescent="0.35">
      <c r="C69197" s="2"/>
    </row>
    <row r="69198" spans="3:3" x14ac:dyDescent="0.35">
      <c r="C69198" s="2"/>
    </row>
    <row r="69199" spans="3:3" x14ac:dyDescent="0.35">
      <c r="C69199" s="2"/>
    </row>
    <row r="69200" spans="3:3" x14ac:dyDescent="0.35">
      <c r="C69200" s="2"/>
    </row>
    <row r="69201" spans="3:3" x14ac:dyDescent="0.35">
      <c r="C69201" s="2"/>
    </row>
    <row r="69202" spans="3:3" x14ac:dyDescent="0.35">
      <c r="C69202" s="2"/>
    </row>
    <row r="69203" spans="3:3" x14ac:dyDescent="0.35">
      <c r="C69203" s="2"/>
    </row>
    <row r="69204" spans="3:3" x14ac:dyDescent="0.35">
      <c r="C69204" s="2"/>
    </row>
    <row r="69205" spans="3:3" x14ac:dyDescent="0.35">
      <c r="C69205" s="2"/>
    </row>
    <row r="69206" spans="3:3" x14ac:dyDescent="0.35">
      <c r="C69206" s="2"/>
    </row>
    <row r="69207" spans="3:3" x14ac:dyDescent="0.35">
      <c r="C69207" s="2"/>
    </row>
    <row r="69208" spans="3:3" x14ac:dyDescent="0.35">
      <c r="C69208" s="2"/>
    </row>
    <row r="69209" spans="3:3" x14ac:dyDescent="0.35">
      <c r="C69209" s="2"/>
    </row>
    <row r="69210" spans="3:3" x14ac:dyDescent="0.35">
      <c r="C69210" s="2"/>
    </row>
    <row r="69211" spans="3:3" x14ac:dyDescent="0.35">
      <c r="C69211" s="2"/>
    </row>
    <row r="69212" spans="3:3" x14ac:dyDescent="0.35">
      <c r="C69212" s="2"/>
    </row>
    <row r="69213" spans="3:3" x14ac:dyDescent="0.35">
      <c r="C69213" s="2"/>
    </row>
    <row r="69214" spans="3:3" x14ac:dyDescent="0.35">
      <c r="C69214" s="2"/>
    </row>
    <row r="69215" spans="3:3" x14ac:dyDescent="0.35">
      <c r="C69215" s="2"/>
    </row>
    <row r="69216" spans="3:3" x14ac:dyDescent="0.35">
      <c r="C69216" s="2"/>
    </row>
    <row r="69217" spans="3:3" x14ac:dyDescent="0.35">
      <c r="C69217" s="2"/>
    </row>
    <row r="69218" spans="3:3" x14ac:dyDescent="0.35">
      <c r="C69218" s="2"/>
    </row>
    <row r="69219" spans="3:3" x14ac:dyDescent="0.35">
      <c r="C69219" s="2"/>
    </row>
    <row r="69220" spans="3:3" x14ac:dyDescent="0.35">
      <c r="C69220" s="2"/>
    </row>
    <row r="69221" spans="3:3" x14ac:dyDescent="0.35">
      <c r="C69221" s="2"/>
    </row>
    <row r="69222" spans="3:3" x14ac:dyDescent="0.35">
      <c r="C69222" s="2"/>
    </row>
    <row r="69223" spans="3:3" x14ac:dyDescent="0.35">
      <c r="C69223" s="2"/>
    </row>
    <row r="69224" spans="3:3" x14ac:dyDescent="0.35">
      <c r="C69224" s="2"/>
    </row>
    <row r="69225" spans="3:3" x14ac:dyDescent="0.35">
      <c r="C69225" s="2"/>
    </row>
    <row r="69226" spans="3:3" x14ac:dyDescent="0.35">
      <c r="C69226" s="2"/>
    </row>
    <row r="69227" spans="3:3" x14ac:dyDescent="0.35">
      <c r="C69227" s="2"/>
    </row>
    <row r="69228" spans="3:3" x14ac:dyDescent="0.35">
      <c r="C69228" s="2"/>
    </row>
    <row r="69229" spans="3:3" x14ac:dyDescent="0.35">
      <c r="C69229" s="2"/>
    </row>
    <row r="69230" spans="3:3" x14ac:dyDescent="0.35">
      <c r="C69230" s="2"/>
    </row>
    <row r="69231" spans="3:3" x14ac:dyDescent="0.35">
      <c r="C69231" s="2"/>
    </row>
    <row r="69232" spans="3:3" x14ac:dyDescent="0.35">
      <c r="C69232" s="2"/>
    </row>
    <row r="69233" spans="3:3" x14ac:dyDescent="0.35">
      <c r="C69233" s="2"/>
    </row>
    <row r="69234" spans="3:3" x14ac:dyDescent="0.35">
      <c r="C69234" s="2"/>
    </row>
    <row r="69235" spans="3:3" x14ac:dyDescent="0.35">
      <c r="C69235" s="2"/>
    </row>
    <row r="69236" spans="3:3" x14ac:dyDescent="0.35">
      <c r="C69236" s="2"/>
    </row>
    <row r="69237" spans="3:3" x14ac:dyDescent="0.35">
      <c r="C69237" s="2"/>
    </row>
    <row r="69238" spans="3:3" x14ac:dyDescent="0.35">
      <c r="C69238" s="2"/>
    </row>
    <row r="69239" spans="3:3" x14ac:dyDescent="0.35">
      <c r="C69239" s="2"/>
    </row>
    <row r="69240" spans="3:3" x14ac:dyDescent="0.35">
      <c r="C69240" s="2"/>
    </row>
    <row r="69241" spans="3:3" x14ac:dyDescent="0.35">
      <c r="C69241" s="2"/>
    </row>
    <row r="69242" spans="3:3" x14ac:dyDescent="0.35">
      <c r="C69242" s="2"/>
    </row>
    <row r="69243" spans="3:3" x14ac:dyDescent="0.35">
      <c r="C69243" s="2"/>
    </row>
    <row r="69244" spans="3:3" x14ac:dyDescent="0.35">
      <c r="C69244" s="2"/>
    </row>
    <row r="69245" spans="3:3" x14ac:dyDescent="0.35">
      <c r="C69245" s="2"/>
    </row>
    <row r="69246" spans="3:3" x14ac:dyDescent="0.35">
      <c r="C69246" s="2"/>
    </row>
    <row r="69247" spans="3:3" x14ac:dyDescent="0.35">
      <c r="C69247" s="2"/>
    </row>
    <row r="69248" spans="3:3" x14ac:dyDescent="0.35">
      <c r="C69248" s="2"/>
    </row>
    <row r="69249" spans="3:3" x14ac:dyDescent="0.35">
      <c r="C69249" s="2"/>
    </row>
    <row r="69250" spans="3:3" x14ac:dyDescent="0.35">
      <c r="C69250" s="2"/>
    </row>
    <row r="69251" spans="3:3" x14ac:dyDescent="0.35">
      <c r="C69251" s="2"/>
    </row>
    <row r="69252" spans="3:3" x14ac:dyDescent="0.35">
      <c r="C69252" s="2"/>
    </row>
    <row r="69253" spans="3:3" x14ac:dyDescent="0.35">
      <c r="C69253" s="2"/>
    </row>
    <row r="69254" spans="3:3" x14ac:dyDescent="0.35">
      <c r="C69254" s="2"/>
    </row>
    <row r="69255" spans="3:3" x14ac:dyDescent="0.35">
      <c r="C69255" s="2"/>
    </row>
    <row r="69256" spans="3:3" x14ac:dyDescent="0.35">
      <c r="C69256" s="2"/>
    </row>
    <row r="69257" spans="3:3" x14ac:dyDescent="0.35">
      <c r="C69257" s="2"/>
    </row>
    <row r="69258" spans="3:3" x14ac:dyDescent="0.35">
      <c r="C69258" s="2"/>
    </row>
    <row r="69259" spans="3:3" x14ac:dyDescent="0.35">
      <c r="C69259" s="2"/>
    </row>
    <row r="69260" spans="3:3" x14ac:dyDescent="0.35">
      <c r="C69260" s="2"/>
    </row>
    <row r="69261" spans="3:3" x14ac:dyDescent="0.35">
      <c r="C69261" s="2"/>
    </row>
    <row r="69262" spans="3:3" x14ac:dyDescent="0.35">
      <c r="C69262" s="2"/>
    </row>
    <row r="69263" spans="3:3" x14ac:dyDescent="0.35">
      <c r="C69263" s="2"/>
    </row>
    <row r="69264" spans="3:3" x14ac:dyDescent="0.35">
      <c r="C69264" s="2"/>
    </row>
    <row r="69265" spans="3:3" x14ac:dyDescent="0.35">
      <c r="C69265" s="2"/>
    </row>
    <row r="69266" spans="3:3" x14ac:dyDescent="0.35">
      <c r="C69266" s="2"/>
    </row>
    <row r="69267" spans="3:3" x14ac:dyDescent="0.35">
      <c r="C69267" s="2"/>
    </row>
    <row r="69268" spans="3:3" x14ac:dyDescent="0.35">
      <c r="C69268" s="2"/>
    </row>
    <row r="69269" spans="3:3" x14ac:dyDescent="0.35">
      <c r="C69269" s="2"/>
    </row>
    <row r="69270" spans="3:3" x14ac:dyDescent="0.35">
      <c r="C69270" s="2"/>
    </row>
    <row r="69271" spans="3:3" x14ac:dyDescent="0.35">
      <c r="C69271" s="2"/>
    </row>
    <row r="69272" spans="3:3" x14ac:dyDescent="0.35">
      <c r="C69272" s="2"/>
    </row>
    <row r="69273" spans="3:3" x14ac:dyDescent="0.35">
      <c r="C69273" s="2"/>
    </row>
    <row r="69274" spans="3:3" x14ac:dyDescent="0.35">
      <c r="C69274" s="2"/>
    </row>
    <row r="69275" spans="3:3" x14ac:dyDescent="0.35">
      <c r="C69275" s="2"/>
    </row>
    <row r="69276" spans="3:3" x14ac:dyDescent="0.35">
      <c r="C69276" s="2"/>
    </row>
    <row r="69277" spans="3:3" x14ac:dyDescent="0.35">
      <c r="C69277" s="2"/>
    </row>
    <row r="69278" spans="3:3" x14ac:dyDescent="0.35">
      <c r="C69278" s="2"/>
    </row>
    <row r="69279" spans="3:3" x14ac:dyDescent="0.35">
      <c r="C69279" s="2"/>
    </row>
    <row r="69280" spans="3:3" x14ac:dyDescent="0.35">
      <c r="C69280" s="2"/>
    </row>
    <row r="69281" spans="3:3" x14ac:dyDescent="0.35">
      <c r="C69281" s="2"/>
    </row>
    <row r="69282" spans="3:3" x14ac:dyDescent="0.35">
      <c r="C69282" s="2"/>
    </row>
    <row r="69283" spans="3:3" x14ac:dyDescent="0.35">
      <c r="C69283" s="2"/>
    </row>
    <row r="69284" spans="3:3" x14ac:dyDescent="0.35">
      <c r="C69284" s="2"/>
    </row>
    <row r="69285" spans="3:3" x14ac:dyDescent="0.35">
      <c r="C69285" s="2"/>
    </row>
    <row r="69286" spans="3:3" x14ac:dyDescent="0.35">
      <c r="C69286" s="2"/>
    </row>
    <row r="69287" spans="3:3" x14ac:dyDescent="0.35">
      <c r="C69287" s="2"/>
    </row>
    <row r="69288" spans="3:3" x14ac:dyDescent="0.35">
      <c r="C69288" s="2"/>
    </row>
    <row r="69289" spans="3:3" x14ac:dyDescent="0.35">
      <c r="C69289" s="2"/>
    </row>
    <row r="69290" spans="3:3" x14ac:dyDescent="0.35">
      <c r="C69290" s="2"/>
    </row>
    <row r="69291" spans="3:3" x14ac:dyDescent="0.35">
      <c r="C69291" s="2"/>
    </row>
    <row r="69292" spans="3:3" x14ac:dyDescent="0.35">
      <c r="C69292" s="2"/>
    </row>
    <row r="69293" spans="3:3" x14ac:dyDescent="0.35">
      <c r="C69293" s="2"/>
    </row>
    <row r="69294" spans="3:3" x14ac:dyDescent="0.35">
      <c r="C69294" s="2"/>
    </row>
    <row r="69295" spans="3:3" x14ac:dyDescent="0.35">
      <c r="C69295" s="2"/>
    </row>
    <row r="69296" spans="3:3" x14ac:dyDescent="0.35">
      <c r="C69296" s="2"/>
    </row>
    <row r="69297" spans="3:3" x14ac:dyDescent="0.35">
      <c r="C69297" s="2"/>
    </row>
    <row r="69298" spans="3:3" x14ac:dyDescent="0.35">
      <c r="C69298" s="2"/>
    </row>
    <row r="69299" spans="3:3" x14ac:dyDescent="0.35">
      <c r="C69299" s="2"/>
    </row>
    <row r="69300" spans="3:3" x14ac:dyDescent="0.35">
      <c r="C69300" s="2"/>
    </row>
    <row r="69301" spans="3:3" x14ac:dyDescent="0.35">
      <c r="C69301" s="2"/>
    </row>
    <row r="69302" spans="3:3" x14ac:dyDescent="0.35">
      <c r="C69302" s="2"/>
    </row>
    <row r="69303" spans="3:3" x14ac:dyDescent="0.35">
      <c r="C69303" s="2"/>
    </row>
    <row r="69304" spans="3:3" x14ac:dyDescent="0.35">
      <c r="C69304" s="2"/>
    </row>
    <row r="69305" spans="3:3" x14ac:dyDescent="0.35">
      <c r="C69305" s="2"/>
    </row>
    <row r="69306" spans="3:3" x14ac:dyDescent="0.35">
      <c r="C69306" s="2"/>
    </row>
    <row r="69307" spans="3:3" x14ac:dyDescent="0.35">
      <c r="C69307" s="2"/>
    </row>
    <row r="69308" spans="3:3" x14ac:dyDescent="0.35">
      <c r="C69308" s="2"/>
    </row>
    <row r="69309" spans="3:3" x14ac:dyDescent="0.35">
      <c r="C69309" s="2"/>
    </row>
    <row r="69310" spans="3:3" x14ac:dyDescent="0.35">
      <c r="C69310" s="2"/>
    </row>
    <row r="69311" spans="3:3" x14ac:dyDescent="0.35">
      <c r="C69311" s="2"/>
    </row>
    <row r="69312" spans="3:3" x14ac:dyDescent="0.35">
      <c r="C69312" s="2"/>
    </row>
    <row r="69313" spans="3:3" x14ac:dyDescent="0.35">
      <c r="C69313" s="2"/>
    </row>
    <row r="69314" spans="3:3" x14ac:dyDescent="0.35">
      <c r="C69314" s="2"/>
    </row>
    <row r="69315" spans="3:3" x14ac:dyDescent="0.35">
      <c r="C69315" s="2"/>
    </row>
    <row r="69316" spans="3:3" x14ac:dyDescent="0.35">
      <c r="C69316" s="2"/>
    </row>
    <row r="69317" spans="3:3" x14ac:dyDescent="0.35">
      <c r="C69317" s="2"/>
    </row>
    <row r="69318" spans="3:3" x14ac:dyDescent="0.35">
      <c r="C69318" s="2"/>
    </row>
    <row r="69319" spans="3:3" x14ac:dyDescent="0.35">
      <c r="C69319" s="2"/>
    </row>
    <row r="69320" spans="3:3" x14ac:dyDescent="0.35">
      <c r="C69320" s="2"/>
    </row>
    <row r="69321" spans="3:3" x14ac:dyDescent="0.35">
      <c r="C69321" s="2"/>
    </row>
    <row r="69322" spans="3:3" x14ac:dyDescent="0.35">
      <c r="C69322" s="2"/>
    </row>
    <row r="69323" spans="3:3" x14ac:dyDescent="0.35">
      <c r="C69323" s="2"/>
    </row>
    <row r="69324" spans="3:3" x14ac:dyDescent="0.35">
      <c r="C69324" s="2"/>
    </row>
    <row r="69325" spans="3:3" x14ac:dyDescent="0.35">
      <c r="C69325" s="2"/>
    </row>
    <row r="69326" spans="3:3" x14ac:dyDescent="0.35">
      <c r="C69326" s="2"/>
    </row>
    <row r="69327" spans="3:3" x14ac:dyDescent="0.35">
      <c r="C69327" s="2"/>
    </row>
    <row r="69328" spans="3:3" x14ac:dyDescent="0.35">
      <c r="C69328" s="2"/>
    </row>
    <row r="69329" spans="3:3" x14ac:dyDescent="0.35">
      <c r="C69329" s="2"/>
    </row>
    <row r="69330" spans="3:3" x14ac:dyDescent="0.35">
      <c r="C69330" s="2"/>
    </row>
    <row r="69331" spans="3:3" x14ac:dyDescent="0.35">
      <c r="C69331" s="2"/>
    </row>
    <row r="69332" spans="3:3" x14ac:dyDescent="0.35">
      <c r="C69332" s="2"/>
    </row>
    <row r="69333" spans="3:3" x14ac:dyDescent="0.35">
      <c r="C69333" s="2"/>
    </row>
    <row r="69334" spans="3:3" x14ac:dyDescent="0.35">
      <c r="C69334" s="2"/>
    </row>
    <row r="69335" spans="3:3" x14ac:dyDescent="0.35">
      <c r="C69335" s="2"/>
    </row>
    <row r="69336" spans="3:3" x14ac:dyDescent="0.35">
      <c r="C69336" s="2"/>
    </row>
    <row r="69337" spans="3:3" x14ac:dyDescent="0.35">
      <c r="C69337" s="2"/>
    </row>
    <row r="69338" spans="3:3" x14ac:dyDescent="0.35">
      <c r="C69338" s="2"/>
    </row>
    <row r="69339" spans="3:3" x14ac:dyDescent="0.35">
      <c r="C69339" s="2"/>
    </row>
    <row r="69340" spans="3:3" x14ac:dyDescent="0.35">
      <c r="C69340" s="2"/>
    </row>
    <row r="69341" spans="3:3" x14ac:dyDescent="0.35">
      <c r="C69341" s="2"/>
    </row>
    <row r="69342" spans="3:3" x14ac:dyDescent="0.35">
      <c r="C69342" s="2"/>
    </row>
    <row r="69343" spans="3:3" x14ac:dyDescent="0.35">
      <c r="C69343" s="2"/>
    </row>
    <row r="69344" spans="3:3" x14ac:dyDescent="0.35">
      <c r="C69344" s="2"/>
    </row>
    <row r="69345" spans="3:3" x14ac:dyDescent="0.35">
      <c r="C69345" s="2"/>
    </row>
    <row r="69346" spans="3:3" x14ac:dyDescent="0.35">
      <c r="C69346" s="2"/>
    </row>
    <row r="69347" spans="3:3" x14ac:dyDescent="0.35">
      <c r="C69347" s="2"/>
    </row>
    <row r="69348" spans="3:3" x14ac:dyDescent="0.35">
      <c r="C69348" s="2"/>
    </row>
    <row r="69349" spans="3:3" x14ac:dyDescent="0.35">
      <c r="C69349" s="2"/>
    </row>
    <row r="69350" spans="3:3" x14ac:dyDescent="0.35">
      <c r="C69350" s="2"/>
    </row>
    <row r="69351" spans="3:3" x14ac:dyDescent="0.35">
      <c r="C69351" s="2"/>
    </row>
    <row r="69352" spans="3:3" x14ac:dyDescent="0.35">
      <c r="C69352" s="2"/>
    </row>
    <row r="69353" spans="3:3" x14ac:dyDescent="0.35">
      <c r="C69353" s="2"/>
    </row>
    <row r="69354" spans="3:3" x14ac:dyDescent="0.35">
      <c r="C69354" s="2"/>
    </row>
    <row r="69355" spans="3:3" x14ac:dyDescent="0.35">
      <c r="C69355" s="2"/>
    </row>
    <row r="69356" spans="3:3" x14ac:dyDescent="0.35">
      <c r="C69356" s="2"/>
    </row>
    <row r="69357" spans="3:3" x14ac:dyDescent="0.35">
      <c r="C69357" s="2"/>
    </row>
    <row r="69358" spans="3:3" x14ac:dyDescent="0.35">
      <c r="C69358" s="2"/>
    </row>
    <row r="69359" spans="3:3" x14ac:dyDescent="0.35">
      <c r="C69359" s="2"/>
    </row>
    <row r="69360" spans="3:3" x14ac:dyDescent="0.35">
      <c r="C69360" s="2"/>
    </row>
    <row r="69361" spans="3:3" x14ac:dyDescent="0.35">
      <c r="C69361" s="2"/>
    </row>
    <row r="69362" spans="3:3" x14ac:dyDescent="0.35">
      <c r="C69362" s="2"/>
    </row>
    <row r="69363" spans="3:3" x14ac:dyDescent="0.35">
      <c r="C69363" s="2"/>
    </row>
    <row r="69364" spans="3:3" x14ac:dyDescent="0.35">
      <c r="C69364" s="2"/>
    </row>
    <row r="69365" spans="3:3" x14ac:dyDescent="0.35">
      <c r="C69365" s="2"/>
    </row>
    <row r="69366" spans="3:3" x14ac:dyDescent="0.35">
      <c r="C69366" s="2"/>
    </row>
    <row r="69367" spans="3:3" x14ac:dyDescent="0.35">
      <c r="C69367" s="2"/>
    </row>
    <row r="69368" spans="3:3" x14ac:dyDescent="0.35">
      <c r="C69368" s="2"/>
    </row>
    <row r="69369" spans="3:3" x14ac:dyDescent="0.35">
      <c r="C69369" s="2"/>
    </row>
    <row r="69370" spans="3:3" x14ac:dyDescent="0.35">
      <c r="C69370" s="2"/>
    </row>
    <row r="69371" spans="3:3" x14ac:dyDescent="0.35">
      <c r="C69371" s="2"/>
    </row>
    <row r="69372" spans="3:3" x14ac:dyDescent="0.35">
      <c r="C69372" s="2"/>
    </row>
    <row r="69373" spans="3:3" x14ac:dyDescent="0.35">
      <c r="C69373" s="2"/>
    </row>
    <row r="69374" spans="3:3" x14ac:dyDescent="0.35">
      <c r="C69374" s="2"/>
    </row>
    <row r="69375" spans="3:3" x14ac:dyDescent="0.35">
      <c r="C69375" s="2"/>
    </row>
    <row r="69376" spans="3:3" x14ac:dyDescent="0.35">
      <c r="C69376" s="2"/>
    </row>
    <row r="69377" spans="3:3" x14ac:dyDescent="0.35">
      <c r="C69377" s="2"/>
    </row>
    <row r="69378" spans="3:3" x14ac:dyDescent="0.35">
      <c r="C69378" s="2"/>
    </row>
    <row r="69379" spans="3:3" x14ac:dyDescent="0.35">
      <c r="C69379" s="2"/>
    </row>
    <row r="69380" spans="3:3" x14ac:dyDescent="0.35">
      <c r="C69380" s="2"/>
    </row>
    <row r="69381" spans="3:3" x14ac:dyDescent="0.35">
      <c r="C69381" s="2"/>
    </row>
    <row r="69382" spans="3:3" x14ac:dyDescent="0.35">
      <c r="C69382" s="2"/>
    </row>
    <row r="69383" spans="3:3" x14ac:dyDescent="0.35">
      <c r="C69383" s="2"/>
    </row>
    <row r="69384" spans="3:3" x14ac:dyDescent="0.35">
      <c r="C69384" s="2"/>
    </row>
    <row r="69385" spans="3:3" x14ac:dyDescent="0.35">
      <c r="C69385" s="2"/>
    </row>
    <row r="69386" spans="3:3" x14ac:dyDescent="0.35">
      <c r="C69386" s="2"/>
    </row>
    <row r="69387" spans="3:3" x14ac:dyDescent="0.35">
      <c r="C69387" s="2"/>
    </row>
    <row r="69388" spans="3:3" x14ac:dyDescent="0.35">
      <c r="C69388" s="2"/>
    </row>
    <row r="69389" spans="3:3" x14ac:dyDescent="0.35">
      <c r="C69389" s="2"/>
    </row>
    <row r="69390" spans="3:3" x14ac:dyDescent="0.35">
      <c r="C69390" s="2"/>
    </row>
    <row r="69391" spans="3:3" x14ac:dyDescent="0.35">
      <c r="C69391" s="2"/>
    </row>
    <row r="69392" spans="3:3" x14ac:dyDescent="0.35">
      <c r="C69392" s="2"/>
    </row>
    <row r="69393" spans="3:3" x14ac:dyDescent="0.35">
      <c r="C69393" s="2"/>
    </row>
    <row r="69394" spans="3:3" x14ac:dyDescent="0.35">
      <c r="C69394" s="2"/>
    </row>
    <row r="69395" spans="3:3" x14ac:dyDescent="0.35">
      <c r="C69395" s="2"/>
    </row>
    <row r="69396" spans="3:3" x14ac:dyDescent="0.35">
      <c r="C69396" s="2"/>
    </row>
    <row r="69397" spans="3:3" x14ac:dyDescent="0.35">
      <c r="C69397" s="2"/>
    </row>
    <row r="69398" spans="3:3" x14ac:dyDescent="0.35">
      <c r="C69398" s="2"/>
    </row>
    <row r="69399" spans="3:3" x14ac:dyDescent="0.35">
      <c r="C69399" s="2"/>
    </row>
    <row r="69400" spans="3:3" x14ac:dyDescent="0.35">
      <c r="C69400" s="2"/>
    </row>
    <row r="69401" spans="3:3" x14ac:dyDescent="0.35">
      <c r="C69401" s="2"/>
    </row>
    <row r="69402" spans="3:3" x14ac:dyDescent="0.35">
      <c r="C69402" s="2"/>
    </row>
    <row r="69403" spans="3:3" x14ac:dyDescent="0.35">
      <c r="C69403" s="2"/>
    </row>
    <row r="69404" spans="3:3" x14ac:dyDescent="0.35">
      <c r="C69404" s="2"/>
    </row>
    <row r="69405" spans="3:3" x14ac:dyDescent="0.35">
      <c r="C69405" s="2"/>
    </row>
    <row r="69406" spans="3:3" x14ac:dyDescent="0.35">
      <c r="C69406" s="2"/>
    </row>
    <row r="69407" spans="3:3" x14ac:dyDescent="0.35">
      <c r="C69407" s="2"/>
    </row>
    <row r="69408" spans="3:3" x14ac:dyDescent="0.35">
      <c r="C69408" s="2"/>
    </row>
    <row r="69409" spans="3:3" x14ac:dyDescent="0.35">
      <c r="C69409" s="2"/>
    </row>
    <row r="69410" spans="3:3" x14ac:dyDescent="0.35">
      <c r="C69410" s="2"/>
    </row>
    <row r="69411" spans="3:3" x14ac:dyDescent="0.35">
      <c r="C69411" s="2"/>
    </row>
    <row r="69412" spans="3:3" x14ac:dyDescent="0.35">
      <c r="C69412" s="2"/>
    </row>
    <row r="69413" spans="3:3" x14ac:dyDescent="0.35">
      <c r="C69413" s="2"/>
    </row>
    <row r="69414" spans="3:3" x14ac:dyDescent="0.35">
      <c r="C69414" s="2"/>
    </row>
    <row r="69415" spans="3:3" x14ac:dyDescent="0.35">
      <c r="C69415" s="2"/>
    </row>
    <row r="69416" spans="3:3" x14ac:dyDescent="0.35">
      <c r="C69416" s="2"/>
    </row>
    <row r="69417" spans="3:3" x14ac:dyDescent="0.35">
      <c r="C69417" s="2"/>
    </row>
    <row r="69418" spans="3:3" x14ac:dyDescent="0.35">
      <c r="C69418" s="2"/>
    </row>
    <row r="69419" spans="3:3" x14ac:dyDescent="0.35">
      <c r="C69419" s="2"/>
    </row>
    <row r="69420" spans="3:3" x14ac:dyDescent="0.35">
      <c r="C69420" s="2"/>
    </row>
    <row r="69421" spans="3:3" x14ac:dyDescent="0.35">
      <c r="C69421" s="2"/>
    </row>
    <row r="69422" spans="3:3" x14ac:dyDescent="0.35">
      <c r="C69422" s="2"/>
    </row>
    <row r="69423" spans="3:3" x14ac:dyDescent="0.35">
      <c r="C69423" s="2"/>
    </row>
    <row r="69424" spans="3:3" x14ac:dyDescent="0.35">
      <c r="C69424" s="2"/>
    </row>
    <row r="69425" spans="3:3" x14ac:dyDescent="0.35">
      <c r="C69425" s="2"/>
    </row>
    <row r="69426" spans="3:3" x14ac:dyDescent="0.35">
      <c r="C69426" s="2"/>
    </row>
    <row r="69427" spans="3:3" x14ac:dyDescent="0.35">
      <c r="C69427" s="2"/>
    </row>
    <row r="69428" spans="3:3" x14ac:dyDescent="0.35">
      <c r="C69428" s="2"/>
    </row>
    <row r="69429" spans="3:3" x14ac:dyDescent="0.35">
      <c r="C69429" s="2"/>
    </row>
    <row r="69430" spans="3:3" x14ac:dyDescent="0.35">
      <c r="C69430" s="2"/>
    </row>
    <row r="69431" spans="3:3" x14ac:dyDescent="0.35">
      <c r="C69431" s="2"/>
    </row>
    <row r="69432" spans="3:3" x14ac:dyDescent="0.35">
      <c r="C69432" s="2"/>
    </row>
    <row r="69433" spans="3:3" x14ac:dyDescent="0.35">
      <c r="C69433" s="2"/>
    </row>
    <row r="69434" spans="3:3" x14ac:dyDescent="0.35">
      <c r="C69434" s="2"/>
    </row>
    <row r="69435" spans="3:3" x14ac:dyDescent="0.35">
      <c r="C69435" s="2"/>
    </row>
    <row r="69436" spans="3:3" x14ac:dyDescent="0.35">
      <c r="C69436" s="2"/>
    </row>
    <row r="69437" spans="3:3" x14ac:dyDescent="0.35">
      <c r="C69437" s="2"/>
    </row>
    <row r="69438" spans="3:3" x14ac:dyDescent="0.35">
      <c r="C69438" s="2"/>
    </row>
    <row r="69439" spans="3:3" x14ac:dyDescent="0.35">
      <c r="C69439" s="2"/>
    </row>
    <row r="69440" spans="3:3" x14ac:dyDescent="0.35">
      <c r="C69440" s="2"/>
    </row>
    <row r="69441" spans="3:3" x14ac:dyDescent="0.35">
      <c r="C69441" s="2"/>
    </row>
    <row r="69442" spans="3:3" x14ac:dyDescent="0.35">
      <c r="C69442" s="2"/>
    </row>
    <row r="69443" spans="3:3" x14ac:dyDescent="0.35">
      <c r="C69443" s="2"/>
    </row>
    <row r="69444" spans="3:3" x14ac:dyDescent="0.35">
      <c r="C69444" s="2"/>
    </row>
    <row r="69445" spans="3:3" x14ac:dyDescent="0.35">
      <c r="C69445" s="2"/>
    </row>
    <row r="69446" spans="3:3" x14ac:dyDescent="0.35">
      <c r="C69446" s="2"/>
    </row>
    <row r="69447" spans="3:3" x14ac:dyDescent="0.35">
      <c r="C69447" s="2"/>
    </row>
    <row r="69448" spans="3:3" x14ac:dyDescent="0.35">
      <c r="C69448" s="2"/>
    </row>
    <row r="69449" spans="3:3" x14ac:dyDescent="0.35">
      <c r="C69449" s="2"/>
    </row>
    <row r="69450" spans="3:3" x14ac:dyDescent="0.35">
      <c r="C69450" s="2"/>
    </row>
    <row r="69451" spans="3:3" x14ac:dyDescent="0.35">
      <c r="C69451" s="2"/>
    </row>
    <row r="69452" spans="3:3" x14ac:dyDescent="0.35">
      <c r="C69452" s="2"/>
    </row>
    <row r="69453" spans="3:3" x14ac:dyDescent="0.35">
      <c r="C69453" s="2"/>
    </row>
    <row r="69454" spans="3:3" x14ac:dyDescent="0.35">
      <c r="C69454" s="2"/>
    </row>
    <row r="69455" spans="3:3" x14ac:dyDescent="0.35">
      <c r="C69455" s="2"/>
    </row>
    <row r="69456" spans="3:3" x14ac:dyDescent="0.35">
      <c r="C69456" s="2"/>
    </row>
    <row r="69457" spans="3:3" x14ac:dyDescent="0.35">
      <c r="C69457" s="2"/>
    </row>
    <row r="69458" spans="3:3" x14ac:dyDescent="0.35">
      <c r="C69458" s="2"/>
    </row>
    <row r="69459" spans="3:3" x14ac:dyDescent="0.35">
      <c r="C69459" s="2"/>
    </row>
    <row r="69460" spans="3:3" x14ac:dyDescent="0.35">
      <c r="C69460" s="2"/>
    </row>
    <row r="69461" spans="3:3" x14ac:dyDescent="0.35">
      <c r="C69461" s="2"/>
    </row>
    <row r="69462" spans="3:3" x14ac:dyDescent="0.35">
      <c r="C69462" s="2"/>
    </row>
    <row r="69463" spans="3:3" x14ac:dyDescent="0.35">
      <c r="C69463" s="2"/>
    </row>
    <row r="69464" spans="3:3" x14ac:dyDescent="0.35">
      <c r="C69464" s="2"/>
    </row>
    <row r="69465" spans="3:3" x14ac:dyDescent="0.35">
      <c r="C69465" s="2"/>
    </row>
    <row r="69466" spans="3:3" x14ac:dyDescent="0.35">
      <c r="C69466" s="2"/>
    </row>
    <row r="69467" spans="3:3" x14ac:dyDescent="0.35">
      <c r="C69467" s="2"/>
    </row>
    <row r="69468" spans="3:3" x14ac:dyDescent="0.35">
      <c r="C69468" s="2"/>
    </row>
    <row r="69469" spans="3:3" x14ac:dyDescent="0.35">
      <c r="C69469" s="2"/>
    </row>
    <row r="69470" spans="3:3" x14ac:dyDescent="0.35">
      <c r="C69470" s="2"/>
    </row>
    <row r="69471" spans="3:3" x14ac:dyDescent="0.35">
      <c r="C69471" s="2"/>
    </row>
    <row r="69472" spans="3:3" x14ac:dyDescent="0.35">
      <c r="C69472" s="2"/>
    </row>
    <row r="69473" spans="3:3" x14ac:dyDescent="0.35">
      <c r="C69473" s="2"/>
    </row>
    <row r="69474" spans="3:3" x14ac:dyDescent="0.35">
      <c r="C69474" s="2"/>
    </row>
    <row r="69475" spans="3:3" x14ac:dyDescent="0.35">
      <c r="C69475" s="2"/>
    </row>
    <row r="69476" spans="3:3" x14ac:dyDescent="0.35">
      <c r="C69476" s="2"/>
    </row>
    <row r="69477" spans="3:3" x14ac:dyDescent="0.35">
      <c r="C69477" s="2"/>
    </row>
    <row r="69478" spans="3:3" x14ac:dyDescent="0.35">
      <c r="C69478" s="2"/>
    </row>
    <row r="69479" spans="3:3" x14ac:dyDescent="0.35">
      <c r="C69479" s="2"/>
    </row>
    <row r="69480" spans="3:3" x14ac:dyDescent="0.35">
      <c r="C69480" s="2"/>
    </row>
    <row r="69481" spans="3:3" x14ac:dyDescent="0.35">
      <c r="C69481" s="2"/>
    </row>
    <row r="69482" spans="3:3" x14ac:dyDescent="0.35">
      <c r="C69482" s="2"/>
    </row>
    <row r="69483" spans="3:3" x14ac:dyDescent="0.35">
      <c r="C69483" s="2"/>
    </row>
    <row r="69484" spans="3:3" x14ac:dyDescent="0.35">
      <c r="C69484" s="2"/>
    </row>
    <row r="69485" spans="3:3" x14ac:dyDescent="0.35">
      <c r="C69485" s="2"/>
    </row>
    <row r="69486" spans="3:3" x14ac:dyDescent="0.35">
      <c r="C69486" s="2"/>
    </row>
    <row r="69487" spans="3:3" x14ac:dyDescent="0.35">
      <c r="C69487" s="2"/>
    </row>
    <row r="69488" spans="3:3" x14ac:dyDescent="0.35">
      <c r="C69488" s="2"/>
    </row>
    <row r="69489" spans="3:3" x14ac:dyDescent="0.35">
      <c r="C69489" s="2"/>
    </row>
    <row r="69490" spans="3:3" x14ac:dyDescent="0.35">
      <c r="C69490" s="2"/>
    </row>
    <row r="69491" spans="3:3" x14ac:dyDescent="0.35">
      <c r="C69491" s="2"/>
    </row>
    <row r="69492" spans="3:3" x14ac:dyDescent="0.35">
      <c r="C69492" s="2"/>
    </row>
    <row r="69493" spans="3:3" x14ac:dyDescent="0.35">
      <c r="C69493" s="2"/>
    </row>
    <row r="69494" spans="3:3" x14ac:dyDescent="0.35">
      <c r="C69494" s="2"/>
    </row>
    <row r="69495" spans="3:3" x14ac:dyDescent="0.35">
      <c r="C69495" s="2"/>
    </row>
    <row r="69496" spans="3:3" x14ac:dyDescent="0.35">
      <c r="C69496" s="2"/>
    </row>
    <row r="69497" spans="3:3" x14ac:dyDescent="0.35">
      <c r="C69497" s="2"/>
    </row>
    <row r="69498" spans="3:3" x14ac:dyDescent="0.35">
      <c r="C69498" s="2"/>
    </row>
    <row r="69499" spans="3:3" x14ac:dyDescent="0.35">
      <c r="C69499" s="2"/>
    </row>
    <row r="69500" spans="3:3" x14ac:dyDescent="0.35">
      <c r="C69500" s="2"/>
    </row>
    <row r="69501" spans="3:3" x14ac:dyDescent="0.35">
      <c r="C69501" s="2"/>
    </row>
    <row r="69502" spans="3:3" x14ac:dyDescent="0.35">
      <c r="C69502" s="2"/>
    </row>
    <row r="69503" spans="3:3" x14ac:dyDescent="0.35">
      <c r="C69503" s="2"/>
    </row>
    <row r="69504" spans="3:3" x14ac:dyDescent="0.35">
      <c r="C69504" s="2"/>
    </row>
    <row r="69505" spans="3:3" x14ac:dyDescent="0.35">
      <c r="C69505" s="2"/>
    </row>
    <row r="69506" spans="3:3" x14ac:dyDescent="0.35">
      <c r="C69506" s="2"/>
    </row>
    <row r="69507" spans="3:3" x14ac:dyDescent="0.35">
      <c r="C69507" s="2"/>
    </row>
    <row r="69508" spans="3:3" x14ac:dyDescent="0.35">
      <c r="C69508" s="2"/>
    </row>
    <row r="69509" spans="3:3" x14ac:dyDescent="0.35">
      <c r="C69509" s="2"/>
    </row>
    <row r="69510" spans="3:3" x14ac:dyDescent="0.35">
      <c r="C69510" s="2"/>
    </row>
    <row r="69511" spans="3:3" x14ac:dyDescent="0.35">
      <c r="C69511" s="2"/>
    </row>
    <row r="69512" spans="3:3" x14ac:dyDescent="0.35">
      <c r="C69512" s="2"/>
    </row>
    <row r="69513" spans="3:3" x14ac:dyDescent="0.35">
      <c r="C69513" s="2"/>
    </row>
    <row r="69514" spans="3:3" x14ac:dyDescent="0.35">
      <c r="C69514" s="2"/>
    </row>
    <row r="69515" spans="3:3" x14ac:dyDescent="0.35">
      <c r="C69515" s="2"/>
    </row>
    <row r="69516" spans="3:3" x14ac:dyDescent="0.35">
      <c r="C69516" s="2"/>
    </row>
    <row r="69517" spans="3:3" x14ac:dyDescent="0.35">
      <c r="C69517" s="2"/>
    </row>
    <row r="69518" spans="3:3" x14ac:dyDescent="0.35">
      <c r="C69518" s="2"/>
    </row>
    <row r="69519" spans="3:3" x14ac:dyDescent="0.35">
      <c r="C69519" s="2"/>
    </row>
    <row r="69520" spans="3:3" x14ac:dyDescent="0.35">
      <c r="C69520" s="2"/>
    </row>
    <row r="69521" spans="3:3" x14ac:dyDescent="0.35">
      <c r="C69521" s="2"/>
    </row>
    <row r="69522" spans="3:3" x14ac:dyDescent="0.35">
      <c r="C69522" s="2"/>
    </row>
    <row r="69523" spans="3:3" x14ac:dyDescent="0.35">
      <c r="C69523" s="2"/>
    </row>
    <row r="69524" spans="3:3" x14ac:dyDescent="0.35">
      <c r="C69524" s="2"/>
    </row>
    <row r="69525" spans="3:3" x14ac:dyDescent="0.35">
      <c r="C69525" s="2"/>
    </row>
    <row r="69526" spans="3:3" x14ac:dyDescent="0.35">
      <c r="C69526" s="2"/>
    </row>
    <row r="69527" spans="3:3" x14ac:dyDescent="0.35">
      <c r="C69527" s="2"/>
    </row>
    <row r="69528" spans="3:3" x14ac:dyDescent="0.35">
      <c r="C69528" s="2"/>
    </row>
    <row r="69529" spans="3:3" x14ac:dyDescent="0.35">
      <c r="C69529" s="2"/>
    </row>
    <row r="69530" spans="3:3" x14ac:dyDescent="0.35">
      <c r="C69530" s="2"/>
    </row>
    <row r="69531" spans="3:3" x14ac:dyDescent="0.35">
      <c r="C69531" s="2"/>
    </row>
    <row r="69532" spans="3:3" x14ac:dyDescent="0.35">
      <c r="C69532" s="2"/>
    </row>
    <row r="69533" spans="3:3" x14ac:dyDescent="0.35">
      <c r="C69533" s="2"/>
    </row>
    <row r="69534" spans="3:3" x14ac:dyDescent="0.35">
      <c r="C69534" s="2"/>
    </row>
    <row r="69535" spans="3:3" x14ac:dyDescent="0.35">
      <c r="C69535" s="2"/>
    </row>
    <row r="69536" spans="3:3" x14ac:dyDescent="0.35">
      <c r="C69536" s="2"/>
    </row>
    <row r="69537" spans="3:3" x14ac:dyDescent="0.35">
      <c r="C69537" s="2"/>
    </row>
    <row r="69538" spans="3:3" x14ac:dyDescent="0.35">
      <c r="C69538" s="2"/>
    </row>
    <row r="69539" spans="3:3" x14ac:dyDescent="0.35">
      <c r="C69539" s="2"/>
    </row>
    <row r="69540" spans="3:3" x14ac:dyDescent="0.35">
      <c r="C69540" s="2"/>
    </row>
    <row r="69541" spans="3:3" x14ac:dyDescent="0.35">
      <c r="C69541" s="2"/>
    </row>
    <row r="69542" spans="3:3" x14ac:dyDescent="0.35">
      <c r="C69542" s="2"/>
    </row>
    <row r="69543" spans="3:3" x14ac:dyDescent="0.35">
      <c r="C69543" s="2"/>
    </row>
    <row r="69544" spans="3:3" x14ac:dyDescent="0.35">
      <c r="C69544" s="2"/>
    </row>
    <row r="69545" spans="3:3" x14ac:dyDescent="0.35">
      <c r="C69545" s="2"/>
    </row>
    <row r="69546" spans="3:3" x14ac:dyDescent="0.35">
      <c r="C69546" s="2"/>
    </row>
    <row r="69547" spans="3:3" x14ac:dyDescent="0.35">
      <c r="C69547" s="2"/>
    </row>
    <row r="69548" spans="3:3" x14ac:dyDescent="0.35">
      <c r="C69548" s="2"/>
    </row>
    <row r="69549" spans="3:3" x14ac:dyDescent="0.35">
      <c r="C69549" s="2"/>
    </row>
    <row r="69550" spans="3:3" x14ac:dyDescent="0.35">
      <c r="C69550" s="2"/>
    </row>
    <row r="69551" spans="3:3" x14ac:dyDescent="0.35">
      <c r="C69551" s="2"/>
    </row>
    <row r="69552" spans="3:3" x14ac:dyDescent="0.35">
      <c r="C69552" s="2"/>
    </row>
    <row r="69553" spans="3:3" x14ac:dyDescent="0.35">
      <c r="C69553" s="2"/>
    </row>
    <row r="69554" spans="3:3" x14ac:dyDescent="0.35">
      <c r="C69554" s="2"/>
    </row>
    <row r="69555" spans="3:3" x14ac:dyDescent="0.35">
      <c r="C69555" s="2"/>
    </row>
    <row r="69556" spans="3:3" x14ac:dyDescent="0.35">
      <c r="C69556" s="2"/>
    </row>
    <row r="69557" spans="3:3" x14ac:dyDescent="0.35">
      <c r="C69557" s="2"/>
    </row>
    <row r="69558" spans="3:3" x14ac:dyDescent="0.35">
      <c r="C69558" s="2"/>
    </row>
    <row r="69559" spans="3:3" x14ac:dyDescent="0.35">
      <c r="C69559" s="2"/>
    </row>
    <row r="69560" spans="3:3" x14ac:dyDescent="0.35">
      <c r="C69560" s="2"/>
    </row>
    <row r="69561" spans="3:3" x14ac:dyDescent="0.35">
      <c r="C69561" s="2"/>
    </row>
    <row r="69562" spans="3:3" x14ac:dyDescent="0.35">
      <c r="C69562" s="2"/>
    </row>
    <row r="69563" spans="3:3" x14ac:dyDescent="0.35">
      <c r="C69563" s="2"/>
    </row>
    <row r="69564" spans="3:3" x14ac:dyDescent="0.35">
      <c r="C69564" s="2"/>
    </row>
    <row r="69565" spans="3:3" x14ac:dyDescent="0.35">
      <c r="C69565" s="2"/>
    </row>
    <row r="69566" spans="3:3" x14ac:dyDescent="0.35">
      <c r="C69566" s="2"/>
    </row>
    <row r="69567" spans="3:3" x14ac:dyDescent="0.35">
      <c r="C69567" s="2"/>
    </row>
    <row r="69568" spans="3:3" x14ac:dyDescent="0.35">
      <c r="C69568" s="2"/>
    </row>
    <row r="69569" spans="3:3" x14ac:dyDescent="0.35">
      <c r="C69569" s="2"/>
    </row>
    <row r="69570" spans="3:3" x14ac:dyDescent="0.35">
      <c r="C69570" s="2"/>
    </row>
    <row r="69571" spans="3:3" x14ac:dyDescent="0.35">
      <c r="C69571" s="2"/>
    </row>
    <row r="69572" spans="3:3" x14ac:dyDescent="0.35">
      <c r="C69572" s="2"/>
    </row>
    <row r="69573" spans="3:3" x14ac:dyDescent="0.35">
      <c r="C69573" s="2"/>
    </row>
    <row r="69574" spans="3:3" x14ac:dyDescent="0.35">
      <c r="C69574" s="2"/>
    </row>
    <row r="69575" spans="3:3" x14ac:dyDescent="0.35">
      <c r="C69575" s="2"/>
    </row>
    <row r="69576" spans="3:3" x14ac:dyDescent="0.35">
      <c r="C69576" s="2"/>
    </row>
    <row r="69577" spans="3:3" x14ac:dyDescent="0.35">
      <c r="C69577" s="2"/>
    </row>
    <row r="69578" spans="3:3" x14ac:dyDescent="0.35">
      <c r="C69578" s="2"/>
    </row>
    <row r="69579" spans="3:3" x14ac:dyDescent="0.35">
      <c r="C69579" s="2"/>
    </row>
    <row r="69580" spans="3:3" x14ac:dyDescent="0.35">
      <c r="C69580" s="2"/>
    </row>
    <row r="69581" spans="3:3" x14ac:dyDescent="0.35">
      <c r="C69581" s="2"/>
    </row>
    <row r="69582" spans="3:3" x14ac:dyDescent="0.35">
      <c r="C69582" s="2"/>
    </row>
    <row r="69583" spans="3:3" x14ac:dyDescent="0.35">
      <c r="C69583" s="2"/>
    </row>
    <row r="69584" spans="3:3" x14ac:dyDescent="0.35">
      <c r="C69584" s="2"/>
    </row>
    <row r="69585" spans="3:3" x14ac:dyDescent="0.35">
      <c r="C69585" s="2"/>
    </row>
    <row r="69586" spans="3:3" x14ac:dyDescent="0.35">
      <c r="C69586" s="2"/>
    </row>
    <row r="69587" spans="3:3" x14ac:dyDescent="0.35">
      <c r="C69587" s="2"/>
    </row>
    <row r="69588" spans="3:3" x14ac:dyDescent="0.35">
      <c r="C69588" s="2"/>
    </row>
    <row r="69589" spans="3:3" x14ac:dyDescent="0.35">
      <c r="C69589" s="2"/>
    </row>
    <row r="69590" spans="3:3" x14ac:dyDescent="0.35">
      <c r="C69590" s="2"/>
    </row>
    <row r="69591" spans="3:3" x14ac:dyDescent="0.35">
      <c r="C69591" s="2"/>
    </row>
    <row r="69592" spans="3:3" x14ac:dyDescent="0.35">
      <c r="C69592" s="2"/>
    </row>
    <row r="69593" spans="3:3" x14ac:dyDescent="0.35">
      <c r="C69593" s="2"/>
    </row>
    <row r="69594" spans="3:3" x14ac:dyDescent="0.35">
      <c r="C69594" s="2"/>
    </row>
    <row r="69595" spans="3:3" x14ac:dyDescent="0.35">
      <c r="C69595" s="2"/>
    </row>
    <row r="69596" spans="3:3" x14ac:dyDescent="0.35">
      <c r="C69596" s="2"/>
    </row>
    <row r="69597" spans="3:3" x14ac:dyDescent="0.35">
      <c r="C69597" s="2"/>
    </row>
    <row r="69598" spans="3:3" x14ac:dyDescent="0.35">
      <c r="C69598" s="2"/>
    </row>
    <row r="69599" spans="3:3" x14ac:dyDescent="0.35">
      <c r="C69599" s="2"/>
    </row>
    <row r="69600" spans="3:3" x14ac:dyDescent="0.35">
      <c r="C69600" s="2"/>
    </row>
    <row r="69601" spans="3:3" x14ac:dyDescent="0.35">
      <c r="C69601" s="2"/>
    </row>
    <row r="69602" spans="3:3" x14ac:dyDescent="0.35">
      <c r="C69602" s="2"/>
    </row>
    <row r="69603" spans="3:3" x14ac:dyDescent="0.35">
      <c r="C69603" s="2"/>
    </row>
    <row r="69604" spans="3:3" x14ac:dyDescent="0.35">
      <c r="C69604" s="2"/>
    </row>
    <row r="69605" spans="3:3" x14ac:dyDescent="0.35">
      <c r="C69605" s="2"/>
    </row>
    <row r="69606" spans="3:3" x14ac:dyDescent="0.35">
      <c r="C69606" s="2"/>
    </row>
    <row r="69607" spans="3:3" x14ac:dyDescent="0.35">
      <c r="C69607" s="2"/>
    </row>
    <row r="69608" spans="3:3" x14ac:dyDescent="0.35">
      <c r="C69608" s="2"/>
    </row>
    <row r="69609" spans="3:3" x14ac:dyDescent="0.35">
      <c r="C69609" s="2"/>
    </row>
    <row r="69610" spans="3:3" x14ac:dyDescent="0.35">
      <c r="C69610" s="2"/>
    </row>
    <row r="69611" spans="3:3" x14ac:dyDescent="0.35">
      <c r="C69611" s="2"/>
    </row>
    <row r="69612" spans="3:3" x14ac:dyDescent="0.35">
      <c r="C69612" s="2"/>
    </row>
    <row r="69613" spans="3:3" x14ac:dyDescent="0.35">
      <c r="C69613" s="2"/>
    </row>
    <row r="69614" spans="3:3" x14ac:dyDescent="0.35">
      <c r="C69614" s="2"/>
    </row>
    <row r="69615" spans="3:3" x14ac:dyDescent="0.35">
      <c r="C69615" s="2"/>
    </row>
    <row r="69616" spans="3:3" x14ac:dyDescent="0.35">
      <c r="C69616" s="2"/>
    </row>
    <row r="69617" spans="3:3" x14ac:dyDescent="0.35">
      <c r="C69617" s="2"/>
    </row>
    <row r="69618" spans="3:3" x14ac:dyDescent="0.35">
      <c r="C69618" s="2"/>
    </row>
    <row r="69619" spans="3:3" x14ac:dyDescent="0.35">
      <c r="C69619" s="2"/>
    </row>
    <row r="69620" spans="3:3" x14ac:dyDescent="0.35">
      <c r="C69620" s="2"/>
    </row>
    <row r="69621" spans="3:3" x14ac:dyDescent="0.35">
      <c r="C69621" s="2"/>
    </row>
    <row r="69622" spans="3:3" x14ac:dyDescent="0.35">
      <c r="C69622" s="2"/>
    </row>
    <row r="69623" spans="3:3" x14ac:dyDescent="0.35">
      <c r="C69623" s="2"/>
    </row>
    <row r="69624" spans="3:3" x14ac:dyDescent="0.35">
      <c r="C69624" s="2"/>
    </row>
    <row r="69625" spans="3:3" x14ac:dyDescent="0.35">
      <c r="C69625" s="2"/>
    </row>
    <row r="69626" spans="3:3" x14ac:dyDescent="0.35">
      <c r="C69626" s="2"/>
    </row>
    <row r="69627" spans="3:3" x14ac:dyDescent="0.35">
      <c r="C69627" s="2"/>
    </row>
    <row r="69628" spans="3:3" x14ac:dyDescent="0.35">
      <c r="C69628" s="2"/>
    </row>
    <row r="69629" spans="3:3" x14ac:dyDescent="0.35">
      <c r="C69629" s="2"/>
    </row>
    <row r="69630" spans="3:3" x14ac:dyDescent="0.35">
      <c r="C69630" s="2"/>
    </row>
    <row r="69631" spans="3:3" x14ac:dyDescent="0.35">
      <c r="C69631" s="2"/>
    </row>
    <row r="69632" spans="3:3" x14ac:dyDescent="0.35">
      <c r="C69632" s="2"/>
    </row>
    <row r="69633" spans="3:3" x14ac:dyDescent="0.35">
      <c r="C69633" s="2"/>
    </row>
    <row r="69634" spans="3:3" x14ac:dyDescent="0.35">
      <c r="C69634" s="2"/>
    </row>
    <row r="69635" spans="3:3" x14ac:dyDescent="0.35">
      <c r="C69635" s="2"/>
    </row>
    <row r="69636" spans="3:3" x14ac:dyDescent="0.35">
      <c r="C69636" s="2"/>
    </row>
    <row r="69637" spans="3:3" x14ac:dyDescent="0.35">
      <c r="C69637" s="2"/>
    </row>
    <row r="69638" spans="3:3" x14ac:dyDescent="0.35">
      <c r="C69638" s="2"/>
    </row>
    <row r="69639" spans="3:3" x14ac:dyDescent="0.35">
      <c r="C69639" s="2"/>
    </row>
    <row r="69640" spans="3:3" x14ac:dyDescent="0.35">
      <c r="C69640" s="2"/>
    </row>
    <row r="69641" spans="3:3" x14ac:dyDescent="0.35">
      <c r="C69641" s="2"/>
    </row>
    <row r="69642" spans="3:3" x14ac:dyDescent="0.35">
      <c r="C69642" s="2"/>
    </row>
    <row r="69643" spans="3:3" x14ac:dyDescent="0.35">
      <c r="C69643" s="2"/>
    </row>
    <row r="69644" spans="3:3" x14ac:dyDescent="0.35">
      <c r="C69644" s="2"/>
    </row>
    <row r="69645" spans="3:3" x14ac:dyDescent="0.35">
      <c r="C69645" s="2"/>
    </row>
    <row r="69646" spans="3:3" x14ac:dyDescent="0.35">
      <c r="C69646" s="2"/>
    </row>
    <row r="69647" spans="3:3" x14ac:dyDescent="0.35">
      <c r="C69647" s="2"/>
    </row>
    <row r="69648" spans="3:3" x14ac:dyDescent="0.35">
      <c r="C69648" s="2"/>
    </row>
    <row r="69649" spans="3:3" x14ac:dyDescent="0.35">
      <c r="C69649" s="2"/>
    </row>
    <row r="69650" spans="3:3" x14ac:dyDescent="0.35">
      <c r="C69650" s="2"/>
    </row>
    <row r="69651" spans="3:3" x14ac:dyDescent="0.35">
      <c r="C69651" s="2"/>
    </row>
    <row r="69652" spans="3:3" x14ac:dyDescent="0.35">
      <c r="C69652" s="2"/>
    </row>
    <row r="69653" spans="3:3" x14ac:dyDescent="0.35">
      <c r="C69653" s="2"/>
    </row>
    <row r="69654" spans="3:3" x14ac:dyDescent="0.35">
      <c r="C69654" s="2"/>
    </row>
    <row r="69655" spans="3:3" x14ac:dyDescent="0.35">
      <c r="C69655" s="2"/>
    </row>
    <row r="69656" spans="3:3" x14ac:dyDescent="0.35">
      <c r="C69656" s="2"/>
    </row>
    <row r="69657" spans="3:3" x14ac:dyDescent="0.35">
      <c r="C69657" s="2"/>
    </row>
    <row r="69658" spans="3:3" x14ac:dyDescent="0.35">
      <c r="C69658" s="2"/>
    </row>
    <row r="69659" spans="3:3" x14ac:dyDescent="0.35">
      <c r="C69659" s="2"/>
    </row>
    <row r="69660" spans="3:3" x14ac:dyDescent="0.35">
      <c r="C69660" s="2"/>
    </row>
    <row r="69661" spans="3:3" x14ac:dyDescent="0.35">
      <c r="C69661" s="2"/>
    </row>
    <row r="69662" spans="3:3" x14ac:dyDescent="0.35">
      <c r="C69662" s="2"/>
    </row>
    <row r="69663" spans="3:3" x14ac:dyDescent="0.35">
      <c r="C69663" s="2"/>
    </row>
    <row r="69664" spans="3:3" x14ac:dyDescent="0.35">
      <c r="C69664" s="2"/>
    </row>
    <row r="69665" spans="3:3" x14ac:dyDescent="0.35">
      <c r="C69665" s="2"/>
    </row>
    <row r="69666" spans="3:3" x14ac:dyDescent="0.35">
      <c r="C69666" s="2"/>
    </row>
    <row r="69667" spans="3:3" x14ac:dyDescent="0.35">
      <c r="C69667" s="2"/>
    </row>
    <row r="69668" spans="3:3" x14ac:dyDescent="0.35">
      <c r="C69668" s="2"/>
    </row>
    <row r="69669" spans="3:3" x14ac:dyDescent="0.35">
      <c r="C69669" s="2"/>
    </row>
    <row r="69670" spans="3:3" x14ac:dyDescent="0.35">
      <c r="C69670" s="2"/>
    </row>
    <row r="69671" spans="3:3" x14ac:dyDescent="0.35">
      <c r="C69671" s="2"/>
    </row>
    <row r="69672" spans="3:3" x14ac:dyDescent="0.35">
      <c r="C69672" s="2"/>
    </row>
    <row r="69673" spans="3:3" x14ac:dyDescent="0.35">
      <c r="C69673" s="2"/>
    </row>
    <row r="69674" spans="3:3" x14ac:dyDescent="0.35">
      <c r="C69674" s="2"/>
    </row>
    <row r="69675" spans="3:3" x14ac:dyDescent="0.35">
      <c r="C69675" s="2"/>
    </row>
    <row r="69676" spans="3:3" x14ac:dyDescent="0.35">
      <c r="C69676" s="2"/>
    </row>
    <row r="69677" spans="3:3" x14ac:dyDescent="0.35">
      <c r="C69677" s="2"/>
    </row>
    <row r="69678" spans="3:3" x14ac:dyDescent="0.35">
      <c r="C69678" s="2"/>
    </row>
    <row r="69679" spans="3:3" x14ac:dyDescent="0.35">
      <c r="C69679" s="2"/>
    </row>
    <row r="69680" spans="3:3" x14ac:dyDescent="0.35">
      <c r="C69680" s="2"/>
    </row>
    <row r="69681" spans="3:3" x14ac:dyDescent="0.35">
      <c r="C69681" s="2"/>
    </row>
    <row r="69682" spans="3:3" x14ac:dyDescent="0.35">
      <c r="C69682" s="2"/>
    </row>
    <row r="69683" spans="3:3" x14ac:dyDescent="0.35">
      <c r="C69683" s="2"/>
    </row>
    <row r="69684" spans="3:3" x14ac:dyDescent="0.35">
      <c r="C69684" s="2"/>
    </row>
    <row r="69685" spans="3:3" x14ac:dyDescent="0.35">
      <c r="C69685" s="2"/>
    </row>
    <row r="69686" spans="3:3" x14ac:dyDescent="0.35">
      <c r="C69686" s="2"/>
    </row>
    <row r="69687" spans="3:3" x14ac:dyDescent="0.35">
      <c r="C69687" s="2"/>
    </row>
    <row r="69688" spans="3:3" x14ac:dyDescent="0.35">
      <c r="C69688" s="2"/>
    </row>
    <row r="69689" spans="3:3" x14ac:dyDescent="0.35">
      <c r="C69689" s="2"/>
    </row>
    <row r="69690" spans="3:3" x14ac:dyDescent="0.35">
      <c r="C69690" s="2"/>
    </row>
    <row r="69691" spans="3:3" x14ac:dyDescent="0.35">
      <c r="C69691" s="2"/>
    </row>
    <row r="69692" spans="3:3" x14ac:dyDescent="0.35">
      <c r="C69692" s="2"/>
    </row>
    <row r="69693" spans="3:3" x14ac:dyDescent="0.35">
      <c r="C69693" s="2"/>
    </row>
    <row r="69694" spans="3:3" x14ac:dyDescent="0.35">
      <c r="C69694" s="2"/>
    </row>
    <row r="69695" spans="3:3" x14ac:dyDescent="0.35">
      <c r="C69695" s="2"/>
    </row>
    <row r="69696" spans="3:3" x14ac:dyDescent="0.35">
      <c r="C69696" s="2"/>
    </row>
    <row r="69697" spans="3:3" x14ac:dyDescent="0.35">
      <c r="C69697" s="2"/>
    </row>
    <row r="69698" spans="3:3" x14ac:dyDescent="0.35">
      <c r="C69698" s="2"/>
    </row>
    <row r="69699" spans="3:3" x14ac:dyDescent="0.35">
      <c r="C69699" s="2"/>
    </row>
    <row r="69700" spans="3:3" x14ac:dyDescent="0.35">
      <c r="C69700" s="2"/>
    </row>
    <row r="69701" spans="3:3" x14ac:dyDescent="0.35">
      <c r="C69701" s="2"/>
    </row>
    <row r="69702" spans="3:3" x14ac:dyDescent="0.35">
      <c r="C69702" s="2"/>
    </row>
    <row r="69703" spans="3:3" x14ac:dyDescent="0.35">
      <c r="C69703" s="2"/>
    </row>
    <row r="69704" spans="3:3" x14ac:dyDescent="0.35">
      <c r="C69704" s="2"/>
    </row>
    <row r="69705" spans="3:3" x14ac:dyDescent="0.35">
      <c r="C69705" s="2"/>
    </row>
    <row r="69706" spans="3:3" x14ac:dyDescent="0.35">
      <c r="C69706" s="2"/>
    </row>
    <row r="69707" spans="3:3" x14ac:dyDescent="0.35">
      <c r="C69707" s="2"/>
    </row>
    <row r="69708" spans="3:3" x14ac:dyDescent="0.35">
      <c r="C69708" s="2"/>
    </row>
    <row r="69709" spans="3:3" x14ac:dyDescent="0.35">
      <c r="C69709" s="2"/>
    </row>
    <row r="69710" spans="3:3" x14ac:dyDescent="0.35">
      <c r="C69710" s="2"/>
    </row>
    <row r="69711" spans="3:3" x14ac:dyDescent="0.35">
      <c r="C69711" s="2"/>
    </row>
    <row r="69712" spans="3:3" x14ac:dyDescent="0.35">
      <c r="C69712" s="2"/>
    </row>
    <row r="69713" spans="3:3" x14ac:dyDescent="0.35">
      <c r="C69713" s="2"/>
    </row>
    <row r="69714" spans="3:3" x14ac:dyDescent="0.35">
      <c r="C69714" s="2"/>
    </row>
    <row r="69715" spans="3:3" x14ac:dyDescent="0.35">
      <c r="C69715" s="2"/>
    </row>
    <row r="69716" spans="3:3" x14ac:dyDescent="0.35">
      <c r="C69716" s="2"/>
    </row>
    <row r="69717" spans="3:3" x14ac:dyDescent="0.35">
      <c r="C69717" s="2"/>
    </row>
    <row r="69718" spans="3:3" x14ac:dyDescent="0.35">
      <c r="C69718" s="2"/>
    </row>
    <row r="69719" spans="3:3" x14ac:dyDescent="0.35">
      <c r="C69719" s="2"/>
    </row>
    <row r="69720" spans="3:3" x14ac:dyDescent="0.35">
      <c r="C69720" s="2"/>
    </row>
    <row r="69721" spans="3:3" x14ac:dyDescent="0.35">
      <c r="C69721" s="2"/>
    </row>
    <row r="69722" spans="3:3" x14ac:dyDescent="0.35">
      <c r="C69722" s="2"/>
    </row>
    <row r="69723" spans="3:3" x14ac:dyDescent="0.35">
      <c r="C69723" s="2"/>
    </row>
    <row r="69724" spans="3:3" x14ac:dyDescent="0.35">
      <c r="C69724" s="2"/>
    </row>
    <row r="69725" spans="3:3" x14ac:dyDescent="0.35">
      <c r="C69725" s="2"/>
    </row>
    <row r="69726" spans="3:3" x14ac:dyDescent="0.35">
      <c r="C69726" s="2"/>
    </row>
    <row r="69727" spans="3:3" x14ac:dyDescent="0.35">
      <c r="C69727" s="2"/>
    </row>
    <row r="69728" spans="3:3" x14ac:dyDescent="0.35">
      <c r="C69728" s="2"/>
    </row>
    <row r="69729" spans="3:3" x14ac:dyDescent="0.35">
      <c r="C69729" s="2"/>
    </row>
    <row r="69730" spans="3:3" x14ac:dyDescent="0.35">
      <c r="C69730" s="2"/>
    </row>
    <row r="69731" spans="3:3" x14ac:dyDescent="0.35">
      <c r="C69731" s="2"/>
    </row>
    <row r="69732" spans="3:3" x14ac:dyDescent="0.35">
      <c r="C69732" s="2"/>
    </row>
    <row r="69733" spans="3:3" x14ac:dyDescent="0.35">
      <c r="C69733" s="2"/>
    </row>
    <row r="69734" spans="3:3" x14ac:dyDescent="0.35">
      <c r="C69734" s="2"/>
    </row>
    <row r="69735" spans="3:3" x14ac:dyDescent="0.35">
      <c r="C69735" s="2"/>
    </row>
    <row r="69736" spans="3:3" x14ac:dyDescent="0.35">
      <c r="C69736" s="2"/>
    </row>
    <row r="69737" spans="3:3" x14ac:dyDescent="0.35">
      <c r="C69737" s="2"/>
    </row>
    <row r="69738" spans="3:3" x14ac:dyDescent="0.35">
      <c r="C69738" s="2"/>
    </row>
    <row r="69739" spans="3:3" x14ac:dyDescent="0.35">
      <c r="C69739" s="2"/>
    </row>
    <row r="69740" spans="3:3" x14ac:dyDescent="0.35">
      <c r="C69740" s="2"/>
    </row>
    <row r="69741" spans="3:3" x14ac:dyDescent="0.35">
      <c r="C69741" s="2"/>
    </row>
    <row r="69742" spans="3:3" x14ac:dyDescent="0.35">
      <c r="C69742" s="2"/>
    </row>
    <row r="69743" spans="3:3" x14ac:dyDescent="0.35">
      <c r="C69743" s="2"/>
    </row>
    <row r="69744" spans="3:3" x14ac:dyDescent="0.35">
      <c r="C69744" s="2"/>
    </row>
    <row r="69745" spans="3:3" x14ac:dyDescent="0.35">
      <c r="C69745" s="2"/>
    </row>
    <row r="69746" spans="3:3" x14ac:dyDescent="0.35">
      <c r="C69746" s="2"/>
    </row>
    <row r="69747" spans="3:3" x14ac:dyDescent="0.35">
      <c r="C69747" s="2"/>
    </row>
    <row r="69748" spans="3:3" x14ac:dyDescent="0.35">
      <c r="C69748" s="2"/>
    </row>
    <row r="69749" spans="3:3" x14ac:dyDescent="0.35">
      <c r="C69749" s="2"/>
    </row>
    <row r="69750" spans="3:3" x14ac:dyDescent="0.35">
      <c r="C69750" s="2"/>
    </row>
    <row r="69751" spans="3:3" x14ac:dyDescent="0.35">
      <c r="C69751" s="2"/>
    </row>
    <row r="69752" spans="3:3" x14ac:dyDescent="0.35">
      <c r="C69752" s="2"/>
    </row>
    <row r="69753" spans="3:3" x14ac:dyDescent="0.35">
      <c r="C69753" s="2"/>
    </row>
    <row r="69754" spans="3:3" x14ac:dyDescent="0.35">
      <c r="C69754" s="2"/>
    </row>
    <row r="69755" spans="3:3" x14ac:dyDescent="0.35">
      <c r="C69755" s="2"/>
    </row>
    <row r="69756" spans="3:3" x14ac:dyDescent="0.35">
      <c r="C69756" s="2"/>
    </row>
    <row r="69757" spans="3:3" x14ac:dyDescent="0.35">
      <c r="C69757" s="2"/>
    </row>
    <row r="69758" spans="3:3" x14ac:dyDescent="0.35">
      <c r="C69758" s="2"/>
    </row>
    <row r="69759" spans="3:3" x14ac:dyDescent="0.35">
      <c r="C69759" s="2"/>
    </row>
    <row r="69760" spans="3:3" x14ac:dyDescent="0.35">
      <c r="C69760" s="2"/>
    </row>
    <row r="69761" spans="3:3" x14ac:dyDescent="0.35">
      <c r="C69761" s="2"/>
    </row>
    <row r="69762" spans="3:3" x14ac:dyDescent="0.35">
      <c r="C69762" s="2"/>
    </row>
    <row r="69763" spans="3:3" x14ac:dyDescent="0.35">
      <c r="C69763" s="2"/>
    </row>
    <row r="69764" spans="3:3" x14ac:dyDescent="0.35">
      <c r="C69764" s="2"/>
    </row>
    <row r="69765" spans="3:3" x14ac:dyDescent="0.35">
      <c r="C69765" s="2"/>
    </row>
    <row r="69766" spans="3:3" x14ac:dyDescent="0.35">
      <c r="C69766" s="2"/>
    </row>
    <row r="69767" spans="3:3" x14ac:dyDescent="0.35">
      <c r="C69767" s="2"/>
    </row>
    <row r="69768" spans="3:3" x14ac:dyDescent="0.35">
      <c r="C69768" s="2"/>
    </row>
    <row r="69769" spans="3:3" x14ac:dyDescent="0.35">
      <c r="C69769" s="2"/>
    </row>
    <row r="69770" spans="3:3" x14ac:dyDescent="0.35">
      <c r="C69770" s="2"/>
    </row>
    <row r="69771" spans="3:3" x14ac:dyDescent="0.35">
      <c r="C69771" s="2"/>
    </row>
    <row r="69772" spans="3:3" x14ac:dyDescent="0.35">
      <c r="C69772" s="2"/>
    </row>
    <row r="69773" spans="3:3" x14ac:dyDescent="0.35">
      <c r="C69773" s="2"/>
    </row>
    <row r="69774" spans="3:3" x14ac:dyDescent="0.35">
      <c r="C69774" s="2"/>
    </row>
    <row r="69775" spans="3:3" x14ac:dyDescent="0.35">
      <c r="C69775" s="2"/>
    </row>
    <row r="69776" spans="3:3" x14ac:dyDescent="0.35">
      <c r="C69776" s="2"/>
    </row>
    <row r="69777" spans="3:3" x14ac:dyDescent="0.35">
      <c r="C69777" s="2"/>
    </row>
    <row r="69778" spans="3:3" x14ac:dyDescent="0.35">
      <c r="C69778" s="2"/>
    </row>
    <row r="69779" spans="3:3" x14ac:dyDescent="0.35">
      <c r="C69779" s="2"/>
    </row>
    <row r="69780" spans="3:3" x14ac:dyDescent="0.35">
      <c r="C69780" s="2"/>
    </row>
    <row r="69781" spans="3:3" x14ac:dyDescent="0.35">
      <c r="C69781" s="2"/>
    </row>
    <row r="69782" spans="3:3" x14ac:dyDescent="0.35">
      <c r="C69782" s="2"/>
    </row>
    <row r="69783" spans="3:3" x14ac:dyDescent="0.35">
      <c r="C69783" s="2"/>
    </row>
    <row r="69784" spans="3:3" x14ac:dyDescent="0.35">
      <c r="C69784" s="2"/>
    </row>
    <row r="69785" spans="3:3" x14ac:dyDescent="0.35">
      <c r="C69785" s="2"/>
    </row>
    <row r="69786" spans="3:3" x14ac:dyDescent="0.35">
      <c r="C69786" s="2"/>
    </row>
    <row r="69787" spans="3:3" x14ac:dyDescent="0.35">
      <c r="C69787" s="2"/>
    </row>
    <row r="69788" spans="3:3" x14ac:dyDescent="0.35">
      <c r="C69788" s="2"/>
    </row>
    <row r="69789" spans="3:3" x14ac:dyDescent="0.35">
      <c r="C69789" s="2"/>
    </row>
    <row r="69790" spans="3:3" x14ac:dyDescent="0.35">
      <c r="C69790" s="2"/>
    </row>
    <row r="69791" spans="3:3" x14ac:dyDescent="0.35">
      <c r="C69791" s="2"/>
    </row>
    <row r="69792" spans="3:3" x14ac:dyDescent="0.35">
      <c r="C69792" s="2"/>
    </row>
    <row r="69793" spans="3:3" x14ac:dyDescent="0.35">
      <c r="C69793" s="2"/>
    </row>
    <row r="69794" spans="3:3" x14ac:dyDescent="0.35">
      <c r="C69794" s="2"/>
    </row>
    <row r="69795" spans="3:3" x14ac:dyDescent="0.35">
      <c r="C69795" s="2"/>
    </row>
    <row r="69796" spans="3:3" x14ac:dyDescent="0.35">
      <c r="C69796" s="2"/>
    </row>
    <row r="69797" spans="3:3" x14ac:dyDescent="0.35">
      <c r="C69797" s="2"/>
    </row>
    <row r="69798" spans="3:3" x14ac:dyDescent="0.35">
      <c r="C69798" s="2"/>
    </row>
    <row r="69799" spans="3:3" x14ac:dyDescent="0.35">
      <c r="C69799" s="2"/>
    </row>
    <row r="69800" spans="3:3" x14ac:dyDescent="0.35">
      <c r="C69800" s="2"/>
    </row>
    <row r="69801" spans="3:3" x14ac:dyDescent="0.35">
      <c r="C69801" s="2"/>
    </row>
    <row r="69802" spans="3:3" x14ac:dyDescent="0.35">
      <c r="C69802" s="2"/>
    </row>
    <row r="69803" spans="3:3" x14ac:dyDescent="0.35">
      <c r="C69803" s="2"/>
    </row>
    <row r="69804" spans="3:3" x14ac:dyDescent="0.35">
      <c r="C69804" s="2"/>
    </row>
    <row r="69805" spans="3:3" x14ac:dyDescent="0.35">
      <c r="C69805" s="2"/>
    </row>
    <row r="69806" spans="3:3" x14ac:dyDescent="0.35">
      <c r="C69806" s="2"/>
    </row>
    <row r="69807" spans="3:3" x14ac:dyDescent="0.35">
      <c r="C69807" s="2"/>
    </row>
    <row r="69808" spans="3:3" x14ac:dyDescent="0.35">
      <c r="C69808" s="2"/>
    </row>
    <row r="69809" spans="3:3" x14ac:dyDescent="0.35">
      <c r="C69809" s="2"/>
    </row>
    <row r="69810" spans="3:3" x14ac:dyDescent="0.35">
      <c r="C69810" s="2"/>
    </row>
    <row r="69811" spans="3:3" x14ac:dyDescent="0.35">
      <c r="C69811" s="2"/>
    </row>
    <row r="69812" spans="3:3" x14ac:dyDescent="0.35">
      <c r="C69812" s="2"/>
    </row>
    <row r="69813" spans="3:3" x14ac:dyDescent="0.35">
      <c r="C69813" s="2"/>
    </row>
    <row r="69814" spans="3:3" x14ac:dyDescent="0.35">
      <c r="C69814" s="2"/>
    </row>
    <row r="69815" spans="3:3" x14ac:dyDescent="0.35">
      <c r="C69815" s="2"/>
    </row>
    <row r="69816" spans="3:3" x14ac:dyDescent="0.35">
      <c r="C69816" s="2"/>
    </row>
    <row r="69817" spans="3:3" x14ac:dyDescent="0.35">
      <c r="C69817" s="2"/>
    </row>
    <row r="69818" spans="3:3" x14ac:dyDescent="0.35">
      <c r="C69818" s="2"/>
    </row>
    <row r="69819" spans="3:3" x14ac:dyDescent="0.35">
      <c r="C69819" s="2"/>
    </row>
    <row r="69820" spans="3:3" x14ac:dyDescent="0.35">
      <c r="C69820" s="2"/>
    </row>
    <row r="69821" spans="3:3" x14ac:dyDescent="0.35">
      <c r="C69821" s="2"/>
    </row>
    <row r="69822" spans="3:3" x14ac:dyDescent="0.35">
      <c r="C69822" s="2"/>
    </row>
    <row r="69823" spans="3:3" x14ac:dyDescent="0.35">
      <c r="C69823" s="2"/>
    </row>
    <row r="69824" spans="3:3" x14ac:dyDescent="0.35">
      <c r="C69824" s="2"/>
    </row>
    <row r="69825" spans="3:3" x14ac:dyDescent="0.35">
      <c r="C69825" s="2"/>
    </row>
    <row r="69826" spans="3:3" x14ac:dyDescent="0.35">
      <c r="C69826" s="2"/>
    </row>
    <row r="69827" spans="3:3" x14ac:dyDescent="0.35">
      <c r="C69827" s="2"/>
    </row>
    <row r="69828" spans="3:3" x14ac:dyDescent="0.35">
      <c r="C69828" s="2"/>
    </row>
    <row r="69829" spans="3:3" x14ac:dyDescent="0.35">
      <c r="C69829" s="2"/>
    </row>
    <row r="69830" spans="3:3" x14ac:dyDescent="0.35">
      <c r="C69830" s="2"/>
    </row>
    <row r="69831" spans="3:3" x14ac:dyDescent="0.35">
      <c r="C69831" s="2"/>
    </row>
    <row r="69832" spans="3:3" x14ac:dyDescent="0.35">
      <c r="C69832" s="2"/>
    </row>
    <row r="69833" spans="3:3" x14ac:dyDescent="0.35">
      <c r="C69833" s="2"/>
    </row>
    <row r="69834" spans="3:3" x14ac:dyDescent="0.35">
      <c r="C69834" s="2"/>
    </row>
    <row r="69835" spans="3:3" x14ac:dyDescent="0.35">
      <c r="C69835" s="2"/>
    </row>
    <row r="69836" spans="3:3" x14ac:dyDescent="0.35">
      <c r="C69836" s="2"/>
    </row>
    <row r="69837" spans="3:3" x14ac:dyDescent="0.35">
      <c r="C69837" s="2"/>
    </row>
    <row r="69838" spans="3:3" x14ac:dyDescent="0.35">
      <c r="C69838" s="2"/>
    </row>
    <row r="69839" spans="3:3" x14ac:dyDescent="0.35">
      <c r="C69839" s="2"/>
    </row>
    <row r="69840" spans="3:3" x14ac:dyDescent="0.35">
      <c r="C69840" s="2"/>
    </row>
    <row r="69841" spans="3:3" x14ac:dyDescent="0.35">
      <c r="C69841" s="2"/>
    </row>
    <row r="69842" spans="3:3" x14ac:dyDescent="0.35">
      <c r="C69842" s="2"/>
    </row>
    <row r="69843" spans="3:3" x14ac:dyDescent="0.35">
      <c r="C69843" s="2"/>
    </row>
    <row r="69844" spans="3:3" x14ac:dyDescent="0.35">
      <c r="C69844" s="2"/>
    </row>
    <row r="69845" spans="3:3" x14ac:dyDescent="0.35">
      <c r="C69845" s="2"/>
    </row>
    <row r="69846" spans="3:3" x14ac:dyDescent="0.35">
      <c r="C69846" s="2"/>
    </row>
    <row r="69847" spans="3:3" x14ac:dyDescent="0.35">
      <c r="C69847" s="2"/>
    </row>
    <row r="69848" spans="3:3" x14ac:dyDescent="0.35">
      <c r="C69848" s="2"/>
    </row>
    <row r="69849" spans="3:3" x14ac:dyDescent="0.35">
      <c r="C69849" s="2"/>
    </row>
    <row r="69850" spans="3:3" x14ac:dyDescent="0.35">
      <c r="C69850" s="2"/>
    </row>
    <row r="69851" spans="3:3" x14ac:dyDescent="0.35">
      <c r="C69851" s="2"/>
    </row>
    <row r="69852" spans="3:3" x14ac:dyDescent="0.35">
      <c r="C69852" s="2"/>
    </row>
    <row r="69853" spans="3:3" x14ac:dyDescent="0.35">
      <c r="C69853" s="2"/>
    </row>
    <row r="69854" spans="3:3" x14ac:dyDescent="0.35">
      <c r="C69854" s="2"/>
    </row>
    <row r="69855" spans="3:3" x14ac:dyDescent="0.35">
      <c r="C69855" s="2"/>
    </row>
    <row r="69856" spans="3:3" x14ac:dyDescent="0.35">
      <c r="C69856" s="2"/>
    </row>
    <row r="69857" spans="3:3" x14ac:dyDescent="0.35">
      <c r="C69857" s="2"/>
    </row>
    <row r="69858" spans="3:3" x14ac:dyDescent="0.35">
      <c r="C69858" s="2"/>
    </row>
    <row r="69859" spans="3:3" x14ac:dyDescent="0.35">
      <c r="C69859" s="2"/>
    </row>
    <row r="69860" spans="3:3" x14ac:dyDescent="0.35">
      <c r="C69860" s="2"/>
    </row>
    <row r="69861" spans="3:3" x14ac:dyDescent="0.35">
      <c r="C69861" s="2"/>
    </row>
    <row r="69862" spans="3:3" x14ac:dyDescent="0.35">
      <c r="C69862" s="2"/>
    </row>
    <row r="69863" spans="3:3" x14ac:dyDescent="0.35">
      <c r="C69863" s="2"/>
    </row>
    <row r="69864" spans="3:3" x14ac:dyDescent="0.35">
      <c r="C69864" s="2"/>
    </row>
    <row r="69865" spans="3:3" x14ac:dyDescent="0.35">
      <c r="C69865" s="2"/>
    </row>
    <row r="69866" spans="3:3" x14ac:dyDescent="0.35">
      <c r="C69866" s="2"/>
    </row>
    <row r="69867" spans="3:3" x14ac:dyDescent="0.35">
      <c r="C69867" s="2"/>
    </row>
    <row r="69868" spans="3:3" x14ac:dyDescent="0.35">
      <c r="C69868" s="2"/>
    </row>
    <row r="69869" spans="3:3" x14ac:dyDescent="0.35">
      <c r="C69869" s="2"/>
    </row>
    <row r="69870" spans="3:3" x14ac:dyDescent="0.35">
      <c r="C69870" s="2"/>
    </row>
    <row r="69871" spans="3:3" x14ac:dyDescent="0.35">
      <c r="C69871" s="2"/>
    </row>
    <row r="69872" spans="3:3" x14ac:dyDescent="0.35">
      <c r="C69872" s="2"/>
    </row>
    <row r="69873" spans="3:3" x14ac:dyDescent="0.35">
      <c r="C69873" s="2"/>
    </row>
    <row r="69874" spans="3:3" x14ac:dyDescent="0.35">
      <c r="C69874" s="2"/>
    </row>
    <row r="69875" spans="3:3" x14ac:dyDescent="0.35">
      <c r="C69875" s="2"/>
    </row>
    <row r="69876" spans="3:3" x14ac:dyDescent="0.35">
      <c r="C69876" s="2"/>
    </row>
    <row r="69877" spans="3:3" x14ac:dyDescent="0.35">
      <c r="C69877" s="2"/>
    </row>
    <row r="69878" spans="3:3" x14ac:dyDescent="0.35">
      <c r="C69878" s="2"/>
    </row>
    <row r="69879" spans="3:3" x14ac:dyDescent="0.35">
      <c r="C69879" s="2"/>
    </row>
    <row r="69880" spans="3:3" x14ac:dyDescent="0.35">
      <c r="C69880" s="2"/>
    </row>
    <row r="69881" spans="3:3" x14ac:dyDescent="0.35">
      <c r="C69881" s="2"/>
    </row>
    <row r="69882" spans="3:3" x14ac:dyDescent="0.35">
      <c r="C69882" s="2"/>
    </row>
    <row r="69883" spans="3:3" x14ac:dyDescent="0.35">
      <c r="C69883" s="2"/>
    </row>
    <row r="69884" spans="3:3" x14ac:dyDescent="0.35">
      <c r="C69884" s="2"/>
    </row>
    <row r="69885" spans="3:3" x14ac:dyDescent="0.35">
      <c r="C69885" s="2"/>
    </row>
    <row r="69886" spans="3:3" x14ac:dyDescent="0.35">
      <c r="C69886" s="2"/>
    </row>
    <row r="69887" spans="3:3" x14ac:dyDescent="0.35">
      <c r="C69887" s="2"/>
    </row>
    <row r="69888" spans="3:3" x14ac:dyDescent="0.35">
      <c r="C69888" s="2"/>
    </row>
    <row r="69889" spans="3:3" x14ac:dyDescent="0.35">
      <c r="C69889" s="2"/>
    </row>
    <row r="69890" spans="3:3" x14ac:dyDescent="0.35">
      <c r="C69890" s="2"/>
    </row>
    <row r="69891" spans="3:3" x14ac:dyDescent="0.35">
      <c r="C69891" s="2"/>
    </row>
    <row r="69892" spans="3:3" x14ac:dyDescent="0.35">
      <c r="C69892" s="2"/>
    </row>
    <row r="69893" spans="3:3" x14ac:dyDescent="0.35">
      <c r="C69893" s="2"/>
    </row>
    <row r="69894" spans="3:3" x14ac:dyDescent="0.35">
      <c r="C69894" s="2"/>
    </row>
    <row r="69895" spans="3:3" x14ac:dyDescent="0.35">
      <c r="C69895" s="2"/>
    </row>
    <row r="69896" spans="3:3" x14ac:dyDescent="0.35">
      <c r="C69896" s="2"/>
    </row>
    <row r="69897" spans="3:3" x14ac:dyDescent="0.35">
      <c r="C69897" s="2"/>
    </row>
    <row r="69898" spans="3:3" x14ac:dyDescent="0.35">
      <c r="C69898" s="2"/>
    </row>
    <row r="69899" spans="3:3" x14ac:dyDescent="0.35">
      <c r="C69899" s="2"/>
    </row>
    <row r="69900" spans="3:3" x14ac:dyDescent="0.35">
      <c r="C69900" s="2"/>
    </row>
    <row r="69901" spans="3:3" x14ac:dyDescent="0.35">
      <c r="C69901" s="2"/>
    </row>
    <row r="69902" spans="3:3" x14ac:dyDescent="0.35">
      <c r="C69902" s="2"/>
    </row>
    <row r="69903" spans="3:3" x14ac:dyDescent="0.35">
      <c r="C69903" s="2"/>
    </row>
    <row r="69904" spans="3:3" x14ac:dyDescent="0.35">
      <c r="C69904" s="2"/>
    </row>
    <row r="69905" spans="3:3" x14ac:dyDescent="0.35">
      <c r="C69905" s="2"/>
    </row>
    <row r="69906" spans="3:3" x14ac:dyDescent="0.35">
      <c r="C69906" s="2"/>
    </row>
    <row r="69907" spans="3:3" x14ac:dyDescent="0.35">
      <c r="C69907" s="2"/>
    </row>
    <row r="69908" spans="3:3" x14ac:dyDescent="0.35">
      <c r="C69908" s="2"/>
    </row>
    <row r="69909" spans="3:3" x14ac:dyDescent="0.35">
      <c r="C69909" s="2"/>
    </row>
    <row r="69910" spans="3:3" x14ac:dyDescent="0.35">
      <c r="C69910" s="2"/>
    </row>
    <row r="69911" spans="3:3" x14ac:dyDescent="0.35">
      <c r="C69911" s="2"/>
    </row>
    <row r="69912" spans="3:3" x14ac:dyDescent="0.35">
      <c r="C69912" s="2"/>
    </row>
    <row r="69913" spans="3:3" x14ac:dyDescent="0.35">
      <c r="C69913" s="2"/>
    </row>
    <row r="69914" spans="3:3" x14ac:dyDescent="0.35">
      <c r="C69914" s="2"/>
    </row>
    <row r="69915" spans="3:3" x14ac:dyDescent="0.35">
      <c r="C69915" s="2"/>
    </row>
    <row r="69916" spans="3:3" x14ac:dyDescent="0.35">
      <c r="C69916" s="2"/>
    </row>
    <row r="69917" spans="3:3" x14ac:dyDescent="0.35">
      <c r="C69917" s="2"/>
    </row>
    <row r="69918" spans="3:3" x14ac:dyDescent="0.35">
      <c r="C69918" s="2"/>
    </row>
    <row r="69919" spans="3:3" x14ac:dyDescent="0.35">
      <c r="C69919" s="2"/>
    </row>
    <row r="69920" spans="3:3" x14ac:dyDescent="0.35">
      <c r="C69920" s="2"/>
    </row>
    <row r="69921" spans="3:3" x14ac:dyDescent="0.35">
      <c r="C69921" s="2"/>
    </row>
    <row r="69922" spans="3:3" x14ac:dyDescent="0.35">
      <c r="C69922" s="2"/>
    </row>
    <row r="69923" spans="3:3" x14ac:dyDescent="0.35">
      <c r="C69923" s="2"/>
    </row>
    <row r="69924" spans="3:3" x14ac:dyDescent="0.35">
      <c r="C69924" s="2"/>
    </row>
    <row r="69925" spans="3:3" x14ac:dyDescent="0.35">
      <c r="C69925" s="2"/>
    </row>
    <row r="69926" spans="3:3" x14ac:dyDescent="0.35">
      <c r="C69926" s="2"/>
    </row>
    <row r="69927" spans="3:3" x14ac:dyDescent="0.35">
      <c r="C69927" s="2"/>
    </row>
    <row r="69928" spans="3:3" x14ac:dyDescent="0.35">
      <c r="C69928" s="2"/>
    </row>
    <row r="69929" spans="3:3" x14ac:dyDescent="0.35">
      <c r="C69929" s="2"/>
    </row>
    <row r="69930" spans="3:3" x14ac:dyDescent="0.35">
      <c r="C69930" s="2"/>
    </row>
    <row r="69931" spans="3:3" x14ac:dyDescent="0.35">
      <c r="C69931" s="2"/>
    </row>
    <row r="69932" spans="3:3" x14ac:dyDescent="0.35">
      <c r="C69932" s="2"/>
    </row>
    <row r="69933" spans="3:3" x14ac:dyDescent="0.35">
      <c r="C69933" s="2"/>
    </row>
    <row r="69934" spans="3:3" x14ac:dyDescent="0.35">
      <c r="C69934" s="2"/>
    </row>
    <row r="69935" spans="3:3" x14ac:dyDescent="0.35">
      <c r="C69935" s="2"/>
    </row>
    <row r="69936" spans="3:3" x14ac:dyDescent="0.35">
      <c r="C69936" s="2"/>
    </row>
    <row r="69937" spans="3:3" x14ac:dyDescent="0.35">
      <c r="C69937" s="2"/>
    </row>
    <row r="69938" spans="3:3" x14ac:dyDescent="0.35">
      <c r="C69938" s="2"/>
    </row>
    <row r="69939" spans="3:3" x14ac:dyDescent="0.35">
      <c r="C69939" s="2"/>
    </row>
    <row r="69940" spans="3:3" x14ac:dyDescent="0.35">
      <c r="C69940" s="2"/>
    </row>
    <row r="69941" spans="3:3" x14ac:dyDescent="0.35">
      <c r="C69941" s="2"/>
    </row>
    <row r="69942" spans="3:3" x14ac:dyDescent="0.35">
      <c r="C69942" s="2"/>
    </row>
    <row r="69943" spans="3:3" x14ac:dyDescent="0.35">
      <c r="C69943" s="2"/>
    </row>
    <row r="69944" spans="3:3" x14ac:dyDescent="0.35">
      <c r="C69944" s="2"/>
    </row>
    <row r="69945" spans="3:3" x14ac:dyDescent="0.35">
      <c r="C69945" s="2"/>
    </row>
    <row r="69946" spans="3:3" x14ac:dyDescent="0.35">
      <c r="C69946" s="2"/>
    </row>
    <row r="69947" spans="3:3" x14ac:dyDescent="0.35">
      <c r="C69947" s="2"/>
    </row>
    <row r="69948" spans="3:3" x14ac:dyDescent="0.35">
      <c r="C69948" s="2"/>
    </row>
    <row r="69949" spans="3:3" x14ac:dyDescent="0.35">
      <c r="C69949" s="2"/>
    </row>
    <row r="69950" spans="3:3" x14ac:dyDescent="0.35">
      <c r="C69950" s="2"/>
    </row>
    <row r="69951" spans="3:3" x14ac:dyDescent="0.35">
      <c r="C69951" s="2"/>
    </row>
    <row r="69952" spans="3:3" x14ac:dyDescent="0.35">
      <c r="C69952" s="2"/>
    </row>
    <row r="69953" spans="3:3" x14ac:dyDescent="0.35">
      <c r="C69953" s="2"/>
    </row>
    <row r="69954" spans="3:3" x14ac:dyDescent="0.35">
      <c r="C69954" s="2"/>
    </row>
    <row r="69955" spans="3:3" x14ac:dyDescent="0.35">
      <c r="C69955" s="2"/>
    </row>
    <row r="69956" spans="3:3" x14ac:dyDescent="0.35">
      <c r="C69956" s="2"/>
    </row>
    <row r="69957" spans="3:3" x14ac:dyDescent="0.35">
      <c r="C69957" s="2"/>
    </row>
    <row r="69958" spans="3:3" x14ac:dyDescent="0.35">
      <c r="C69958" s="2"/>
    </row>
    <row r="69959" spans="3:3" x14ac:dyDescent="0.35">
      <c r="C69959" s="2"/>
    </row>
    <row r="69960" spans="3:3" x14ac:dyDescent="0.35">
      <c r="C69960" s="2"/>
    </row>
    <row r="69961" spans="3:3" x14ac:dyDescent="0.35">
      <c r="C69961" s="2"/>
    </row>
    <row r="69962" spans="3:3" x14ac:dyDescent="0.35">
      <c r="C69962" s="2"/>
    </row>
    <row r="69963" spans="3:3" x14ac:dyDescent="0.35">
      <c r="C69963" s="2"/>
    </row>
    <row r="69964" spans="3:3" x14ac:dyDescent="0.35">
      <c r="C69964" s="2"/>
    </row>
    <row r="69965" spans="3:3" x14ac:dyDescent="0.35">
      <c r="C69965" s="2"/>
    </row>
    <row r="69966" spans="3:3" x14ac:dyDescent="0.35">
      <c r="C69966" s="2"/>
    </row>
    <row r="69967" spans="3:3" x14ac:dyDescent="0.35">
      <c r="C69967" s="2"/>
    </row>
    <row r="69968" spans="3:3" x14ac:dyDescent="0.35">
      <c r="C69968" s="2"/>
    </row>
    <row r="69969" spans="3:3" x14ac:dyDescent="0.35">
      <c r="C69969" s="2"/>
    </row>
    <row r="69970" spans="3:3" x14ac:dyDescent="0.35">
      <c r="C69970" s="2"/>
    </row>
    <row r="69971" spans="3:3" x14ac:dyDescent="0.35">
      <c r="C69971" s="2"/>
    </row>
    <row r="69972" spans="3:3" x14ac:dyDescent="0.35">
      <c r="C69972" s="2"/>
    </row>
    <row r="69973" spans="3:3" x14ac:dyDescent="0.35">
      <c r="C69973" s="2"/>
    </row>
    <row r="69974" spans="3:3" x14ac:dyDescent="0.35">
      <c r="C69974" s="2"/>
    </row>
    <row r="69975" spans="3:3" x14ac:dyDescent="0.35">
      <c r="C69975" s="2"/>
    </row>
    <row r="69976" spans="3:3" x14ac:dyDescent="0.35">
      <c r="C69976" s="2"/>
    </row>
    <row r="69977" spans="3:3" x14ac:dyDescent="0.35">
      <c r="C69977" s="2"/>
    </row>
    <row r="69978" spans="3:3" x14ac:dyDescent="0.35">
      <c r="C69978" s="2"/>
    </row>
    <row r="69979" spans="3:3" x14ac:dyDescent="0.35">
      <c r="C69979" s="2"/>
    </row>
    <row r="69980" spans="3:3" x14ac:dyDescent="0.35">
      <c r="C69980" s="2"/>
    </row>
    <row r="69981" spans="3:3" x14ac:dyDescent="0.35">
      <c r="C69981" s="2"/>
    </row>
    <row r="69982" spans="3:3" x14ac:dyDescent="0.35">
      <c r="C69982" s="2"/>
    </row>
    <row r="69983" spans="3:3" x14ac:dyDescent="0.35">
      <c r="C69983" s="2"/>
    </row>
    <row r="69984" spans="3:3" x14ac:dyDescent="0.35">
      <c r="C69984" s="2"/>
    </row>
    <row r="69985" spans="3:3" x14ac:dyDescent="0.35">
      <c r="C69985" s="2"/>
    </row>
    <row r="69986" spans="3:3" x14ac:dyDescent="0.35">
      <c r="C69986" s="2"/>
    </row>
    <row r="69987" spans="3:3" x14ac:dyDescent="0.35">
      <c r="C69987" s="2"/>
    </row>
    <row r="69988" spans="3:3" x14ac:dyDescent="0.35">
      <c r="C69988" s="2"/>
    </row>
    <row r="69989" spans="3:3" x14ac:dyDescent="0.35">
      <c r="C69989" s="2"/>
    </row>
    <row r="69990" spans="3:3" x14ac:dyDescent="0.35">
      <c r="C69990" s="2"/>
    </row>
    <row r="69991" spans="3:3" x14ac:dyDescent="0.35">
      <c r="C69991" s="2"/>
    </row>
    <row r="69992" spans="3:3" x14ac:dyDescent="0.35">
      <c r="C69992" s="2"/>
    </row>
    <row r="69993" spans="3:3" x14ac:dyDescent="0.35">
      <c r="C69993" s="2"/>
    </row>
    <row r="69994" spans="3:3" x14ac:dyDescent="0.35">
      <c r="C69994" s="2"/>
    </row>
    <row r="69995" spans="3:3" x14ac:dyDescent="0.35">
      <c r="C69995" s="2"/>
    </row>
    <row r="69996" spans="3:3" x14ac:dyDescent="0.35">
      <c r="C69996" s="2"/>
    </row>
    <row r="69997" spans="3:3" x14ac:dyDescent="0.35">
      <c r="C69997" s="2"/>
    </row>
    <row r="69998" spans="3:3" x14ac:dyDescent="0.35">
      <c r="C69998" s="2"/>
    </row>
    <row r="69999" spans="3:3" x14ac:dyDescent="0.35">
      <c r="C69999" s="2"/>
    </row>
    <row r="70000" spans="3:3" x14ac:dyDescent="0.35">
      <c r="C70000" s="2"/>
    </row>
    <row r="70001" spans="3:3" x14ac:dyDescent="0.35">
      <c r="C70001" s="2"/>
    </row>
    <row r="70002" spans="3:3" x14ac:dyDescent="0.35">
      <c r="C70002" s="2"/>
    </row>
    <row r="70003" spans="3:3" x14ac:dyDescent="0.35">
      <c r="C70003" s="2"/>
    </row>
    <row r="70004" spans="3:3" x14ac:dyDescent="0.35">
      <c r="C70004" s="2"/>
    </row>
    <row r="70005" spans="3:3" x14ac:dyDescent="0.35">
      <c r="C70005" s="2"/>
    </row>
    <row r="70006" spans="3:3" x14ac:dyDescent="0.35">
      <c r="C70006" s="2"/>
    </row>
    <row r="70007" spans="3:3" x14ac:dyDescent="0.35">
      <c r="C70007" s="2"/>
    </row>
    <row r="70008" spans="3:3" x14ac:dyDescent="0.35">
      <c r="C70008" s="2"/>
    </row>
    <row r="70009" spans="3:3" x14ac:dyDescent="0.35">
      <c r="C70009" s="2"/>
    </row>
    <row r="70010" spans="3:3" x14ac:dyDescent="0.35">
      <c r="C70010" s="2"/>
    </row>
    <row r="70011" spans="3:3" x14ac:dyDescent="0.35">
      <c r="C70011" s="2"/>
    </row>
    <row r="70012" spans="3:3" x14ac:dyDescent="0.35">
      <c r="C70012" s="2"/>
    </row>
    <row r="70013" spans="3:3" x14ac:dyDescent="0.35">
      <c r="C70013" s="2"/>
    </row>
    <row r="70014" spans="3:3" x14ac:dyDescent="0.35">
      <c r="C70014" s="2"/>
    </row>
    <row r="70015" spans="3:3" x14ac:dyDescent="0.35">
      <c r="C70015" s="2"/>
    </row>
    <row r="70016" spans="3:3" x14ac:dyDescent="0.35">
      <c r="C70016" s="2"/>
    </row>
    <row r="70017" spans="3:3" x14ac:dyDescent="0.35">
      <c r="C70017" s="2"/>
    </row>
    <row r="70018" spans="3:3" x14ac:dyDescent="0.35">
      <c r="C70018" s="2"/>
    </row>
    <row r="70019" spans="3:3" x14ac:dyDescent="0.35">
      <c r="C70019" s="2"/>
    </row>
    <row r="70020" spans="3:3" x14ac:dyDescent="0.35">
      <c r="C70020" s="2"/>
    </row>
    <row r="70021" spans="3:3" x14ac:dyDescent="0.35">
      <c r="C70021" s="2"/>
    </row>
    <row r="70022" spans="3:3" x14ac:dyDescent="0.35">
      <c r="C70022" s="2"/>
    </row>
    <row r="70023" spans="3:3" x14ac:dyDescent="0.35">
      <c r="C70023" s="2"/>
    </row>
    <row r="70024" spans="3:3" x14ac:dyDescent="0.35">
      <c r="C70024" s="2"/>
    </row>
    <row r="70025" spans="3:3" x14ac:dyDescent="0.35">
      <c r="C70025" s="2"/>
    </row>
    <row r="70026" spans="3:3" x14ac:dyDescent="0.35">
      <c r="C70026" s="2"/>
    </row>
    <row r="70027" spans="3:3" x14ac:dyDescent="0.35">
      <c r="C70027" s="2"/>
    </row>
    <row r="70028" spans="3:3" x14ac:dyDescent="0.35">
      <c r="C70028" s="2"/>
    </row>
    <row r="70029" spans="3:3" x14ac:dyDescent="0.35">
      <c r="C70029" s="2"/>
    </row>
    <row r="70030" spans="3:3" x14ac:dyDescent="0.35">
      <c r="C70030" s="2"/>
    </row>
    <row r="70031" spans="3:3" x14ac:dyDescent="0.35">
      <c r="C70031" s="2"/>
    </row>
    <row r="70032" spans="3:3" x14ac:dyDescent="0.35">
      <c r="C70032" s="2"/>
    </row>
    <row r="70033" spans="3:3" x14ac:dyDescent="0.35">
      <c r="C70033" s="2"/>
    </row>
    <row r="70034" spans="3:3" x14ac:dyDescent="0.35">
      <c r="C70034" s="2"/>
    </row>
    <row r="70035" spans="3:3" x14ac:dyDescent="0.35">
      <c r="C70035" s="2"/>
    </row>
    <row r="70036" spans="3:3" x14ac:dyDescent="0.35">
      <c r="C70036" s="2"/>
    </row>
    <row r="70037" spans="3:3" x14ac:dyDescent="0.35">
      <c r="C70037" s="2"/>
    </row>
    <row r="70038" spans="3:3" x14ac:dyDescent="0.35">
      <c r="C70038" s="2"/>
    </row>
    <row r="70039" spans="3:3" x14ac:dyDescent="0.35">
      <c r="C70039" s="2"/>
    </row>
    <row r="70040" spans="3:3" x14ac:dyDescent="0.35">
      <c r="C70040" s="2"/>
    </row>
    <row r="70041" spans="3:3" x14ac:dyDescent="0.35">
      <c r="C70041" s="2"/>
    </row>
    <row r="70042" spans="3:3" x14ac:dyDescent="0.35">
      <c r="C70042" s="2"/>
    </row>
    <row r="70043" spans="3:3" x14ac:dyDescent="0.35">
      <c r="C70043" s="2"/>
    </row>
    <row r="70044" spans="3:3" x14ac:dyDescent="0.35">
      <c r="C70044" s="2"/>
    </row>
    <row r="70045" spans="3:3" x14ac:dyDescent="0.35">
      <c r="C70045" s="2"/>
    </row>
    <row r="70046" spans="3:3" x14ac:dyDescent="0.35">
      <c r="C70046" s="2"/>
    </row>
    <row r="70047" spans="3:3" x14ac:dyDescent="0.35">
      <c r="C70047" s="2"/>
    </row>
    <row r="70048" spans="3:3" x14ac:dyDescent="0.35">
      <c r="C70048" s="2"/>
    </row>
    <row r="70049" spans="3:3" x14ac:dyDescent="0.35">
      <c r="C70049" s="2"/>
    </row>
    <row r="70050" spans="3:3" x14ac:dyDescent="0.35">
      <c r="C70050" s="2"/>
    </row>
    <row r="70051" spans="3:3" x14ac:dyDescent="0.35">
      <c r="C70051" s="2"/>
    </row>
    <row r="70052" spans="3:3" x14ac:dyDescent="0.35">
      <c r="C70052" s="2"/>
    </row>
    <row r="70053" spans="3:3" x14ac:dyDescent="0.35">
      <c r="C70053" s="2"/>
    </row>
    <row r="70054" spans="3:3" x14ac:dyDescent="0.35">
      <c r="C70054" s="2"/>
    </row>
    <row r="70055" spans="3:3" x14ac:dyDescent="0.35">
      <c r="C70055" s="2"/>
    </row>
    <row r="70056" spans="3:3" x14ac:dyDescent="0.35">
      <c r="C70056" s="2"/>
    </row>
    <row r="70057" spans="3:3" x14ac:dyDescent="0.35">
      <c r="C70057" s="2"/>
    </row>
    <row r="70058" spans="3:3" x14ac:dyDescent="0.35">
      <c r="C70058" s="2"/>
    </row>
    <row r="70059" spans="3:3" x14ac:dyDescent="0.35">
      <c r="C70059" s="2"/>
    </row>
    <row r="70060" spans="3:3" x14ac:dyDescent="0.35">
      <c r="C70060" s="2"/>
    </row>
    <row r="70061" spans="3:3" x14ac:dyDescent="0.35">
      <c r="C70061" s="2"/>
    </row>
    <row r="70062" spans="3:3" x14ac:dyDescent="0.35">
      <c r="C70062" s="2"/>
    </row>
    <row r="70063" spans="3:3" x14ac:dyDescent="0.35">
      <c r="C70063" s="2"/>
    </row>
    <row r="70064" spans="3:3" x14ac:dyDescent="0.35">
      <c r="C70064" s="2"/>
    </row>
    <row r="70065" spans="3:3" x14ac:dyDescent="0.35">
      <c r="C70065" s="2"/>
    </row>
    <row r="70066" spans="3:3" x14ac:dyDescent="0.35">
      <c r="C70066" s="2"/>
    </row>
    <row r="70067" spans="3:3" x14ac:dyDescent="0.35">
      <c r="C70067" s="2"/>
    </row>
    <row r="70068" spans="3:3" x14ac:dyDescent="0.35">
      <c r="C70068" s="2"/>
    </row>
    <row r="70069" spans="3:3" x14ac:dyDescent="0.35">
      <c r="C70069" s="2"/>
    </row>
    <row r="70070" spans="3:3" x14ac:dyDescent="0.35">
      <c r="C70070" s="2"/>
    </row>
    <row r="70071" spans="3:3" x14ac:dyDescent="0.35">
      <c r="C70071" s="2"/>
    </row>
    <row r="70072" spans="3:3" x14ac:dyDescent="0.35">
      <c r="C70072" s="2"/>
    </row>
    <row r="70073" spans="3:3" x14ac:dyDescent="0.35">
      <c r="C70073" s="2"/>
    </row>
    <row r="70074" spans="3:3" x14ac:dyDescent="0.35">
      <c r="C70074" s="2"/>
    </row>
    <row r="70075" spans="3:3" x14ac:dyDescent="0.35">
      <c r="C70075" s="2"/>
    </row>
    <row r="70076" spans="3:3" x14ac:dyDescent="0.35">
      <c r="C70076" s="2"/>
    </row>
    <row r="70077" spans="3:3" x14ac:dyDescent="0.35">
      <c r="C70077" s="2"/>
    </row>
    <row r="70078" spans="3:3" x14ac:dyDescent="0.35">
      <c r="C70078" s="2"/>
    </row>
    <row r="70079" spans="3:3" x14ac:dyDescent="0.35">
      <c r="C70079" s="2"/>
    </row>
    <row r="70080" spans="3:3" x14ac:dyDescent="0.35">
      <c r="C70080" s="2"/>
    </row>
    <row r="70081" spans="3:3" x14ac:dyDescent="0.35">
      <c r="C70081" s="2"/>
    </row>
    <row r="70082" spans="3:3" x14ac:dyDescent="0.35">
      <c r="C70082" s="2"/>
    </row>
    <row r="70083" spans="3:3" x14ac:dyDescent="0.35">
      <c r="C70083" s="2"/>
    </row>
    <row r="70084" spans="3:3" x14ac:dyDescent="0.35">
      <c r="C70084" s="2"/>
    </row>
    <row r="70085" spans="3:3" x14ac:dyDescent="0.35">
      <c r="C70085" s="2"/>
    </row>
    <row r="70086" spans="3:3" x14ac:dyDescent="0.35">
      <c r="C70086" s="2"/>
    </row>
    <row r="70087" spans="3:3" x14ac:dyDescent="0.35">
      <c r="C70087" s="2"/>
    </row>
    <row r="70088" spans="3:3" x14ac:dyDescent="0.35">
      <c r="C70088" s="2"/>
    </row>
    <row r="70089" spans="3:3" x14ac:dyDescent="0.35">
      <c r="C70089" s="2"/>
    </row>
    <row r="70090" spans="3:3" x14ac:dyDescent="0.35">
      <c r="C70090" s="2"/>
    </row>
    <row r="70091" spans="3:3" x14ac:dyDescent="0.35">
      <c r="C70091" s="2"/>
    </row>
    <row r="70092" spans="3:3" x14ac:dyDescent="0.35">
      <c r="C70092" s="2"/>
    </row>
    <row r="70093" spans="3:3" x14ac:dyDescent="0.35">
      <c r="C70093" s="2"/>
    </row>
    <row r="70094" spans="3:3" x14ac:dyDescent="0.35">
      <c r="C70094" s="2"/>
    </row>
    <row r="70095" spans="3:3" x14ac:dyDescent="0.35">
      <c r="C70095" s="2"/>
    </row>
    <row r="70096" spans="3:3" x14ac:dyDescent="0.35">
      <c r="C70096" s="2"/>
    </row>
    <row r="70097" spans="3:3" x14ac:dyDescent="0.35">
      <c r="C70097" s="2"/>
    </row>
    <row r="70098" spans="3:3" x14ac:dyDescent="0.35">
      <c r="C70098" s="2"/>
    </row>
    <row r="70099" spans="3:3" x14ac:dyDescent="0.35">
      <c r="C70099" s="2"/>
    </row>
    <row r="70100" spans="3:3" x14ac:dyDescent="0.35">
      <c r="C70100" s="2"/>
    </row>
    <row r="70101" spans="3:3" x14ac:dyDescent="0.35">
      <c r="C70101" s="2"/>
    </row>
    <row r="70102" spans="3:3" x14ac:dyDescent="0.35">
      <c r="C70102" s="2"/>
    </row>
    <row r="70103" spans="3:3" x14ac:dyDescent="0.35">
      <c r="C70103" s="2"/>
    </row>
    <row r="70104" spans="3:3" x14ac:dyDescent="0.35">
      <c r="C70104" s="2"/>
    </row>
    <row r="70105" spans="3:3" x14ac:dyDescent="0.35">
      <c r="C70105" s="2"/>
    </row>
    <row r="70106" spans="3:3" x14ac:dyDescent="0.35">
      <c r="C70106" s="2"/>
    </row>
    <row r="70107" spans="3:3" x14ac:dyDescent="0.35">
      <c r="C70107" s="2"/>
    </row>
    <row r="70108" spans="3:3" x14ac:dyDescent="0.35">
      <c r="C70108" s="2"/>
    </row>
    <row r="70109" spans="3:3" x14ac:dyDescent="0.35">
      <c r="C70109" s="2"/>
    </row>
    <row r="70110" spans="3:3" x14ac:dyDescent="0.35">
      <c r="C70110" s="2"/>
    </row>
    <row r="70111" spans="3:3" x14ac:dyDescent="0.35">
      <c r="C70111" s="2"/>
    </row>
    <row r="70112" spans="3:3" x14ac:dyDescent="0.35">
      <c r="C70112" s="2"/>
    </row>
    <row r="70113" spans="3:3" x14ac:dyDescent="0.35">
      <c r="C70113" s="2"/>
    </row>
    <row r="70114" spans="3:3" x14ac:dyDescent="0.35">
      <c r="C70114" s="2"/>
    </row>
    <row r="70115" spans="3:3" x14ac:dyDescent="0.35">
      <c r="C70115" s="2"/>
    </row>
    <row r="70116" spans="3:3" x14ac:dyDescent="0.35">
      <c r="C70116" s="2"/>
    </row>
    <row r="70117" spans="3:3" x14ac:dyDescent="0.35">
      <c r="C70117" s="2"/>
    </row>
    <row r="70118" spans="3:3" x14ac:dyDescent="0.35">
      <c r="C70118" s="2"/>
    </row>
    <row r="70119" spans="3:3" x14ac:dyDescent="0.35">
      <c r="C70119" s="2"/>
    </row>
    <row r="70120" spans="3:3" x14ac:dyDescent="0.35">
      <c r="C70120" s="2"/>
    </row>
    <row r="70121" spans="3:3" x14ac:dyDescent="0.35">
      <c r="C70121" s="2"/>
    </row>
    <row r="70122" spans="3:3" x14ac:dyDescent="0.35">
      <c r="C70122" s="2"/>
    </row>
    <row r="70123" spans="3:3" x14ac:dyDescent="0.35">
      <c r="C70123" s="2"/>
    </row>
    <row r="70124" spans="3:3" x14ac:dyDescent="0.35">
      <c r="C70124" s="2"/>
    </row>
    <row r="70125" spans="3:3" x14ac:dyDescent="0.35">
      <c r="C70125" s="2"/>
    </row>
    <row r="70126" spans="3:3" x14ac:dyDescent="0.35">
      <c r="C70126" s="2"/>
    </row>
    <row r="70127" spans="3:3" x14ac:dyDescent="0.35">
      <c r="C70127" s="2"/>
    </row>
    <row r="70128" spans="3:3" x14ac:dyDescent="0.35">
      <c r="C70128" s="2"/>
    </row>
    <row r="70129" spans="3:3" x14ac:dyDescent="0.35">
      <c r="C70129" s="2"/>
    </row>
    <row r="70130" spans="3:3" x14ac:dyDescent="0.35">
      <c r="C70130" s="2"/>
    </row>
    <row r="70131" spans="3:3" x14ac:dyDescent="0.35">
      <c r="C70131" s="2"/>
    </row>
    <row r="70132" spans="3:3" x14ac:dyDescent="0.35">
      <c r="C70132" s="2"/>
    </row>
    <row r="70133" spans="3:3" x14ac:dyDescent="0.35">
      <c r="C70133" s="2"/>
    </row>
    <row r="70134" spans="3:3" x14ac:dyDescent="0.35">
      <c r="C70134" s="2"/>
    </row>
    <row r="70135" spans="3:3" x14ac:dyDescent="0.35">
      <c r="C70135" s="2"/>
    </row>
    <row r="70136" spans="3:3" x14ac:dyDescent="0.35">
      <c r="C70136" s="2"/>
    </row>
    <row r="70137" spans="3:3" x14ac:dyDescent="0.35">
      <c r="C70137" s="2"/>
    </row>
    <row r="70138" spans="3:3" x14ac:dyDescent="0.35">
      <c r="C70138" s="2"/>
    </row>
    <row r="70139" spans="3:3" x14ac:dyDescent="0.35">
      <c r="C70139" s="2"/>
    </row>
    <row r="70140" spans="3:3" x14ac:dyDescent="0.35">
      <c r="C70140" s="2"/>
    </row>
    <row r="70141" spans="3:3" x14ac:dyDescent="0.35">
      <c r="C70141" s="2"/>
    </row>
    <row r="70142" spans="3:3" x14ac:dyDescent="0.35">
      <c r="C70142" s="2"/>
    </row>
    <row r="70143" spans="3:3" x14ac:dyDescent="0.35">
      <c r="C70143" s="2"/>
    </row>
    <row r="70144" spans="3:3" x14ac:dyDescent="0.35">
      <c r="C70144" s="2"/>
    </row>
    <row r="70145" spans="3:3" x14ac:dyDescent="0.35">
      <c r="C70145" s="2"/>
    </row>
    <row r="70146" spans="3:3" x14ac:dyDescent="0.35">
      <c r="C70146" s="2"/>
    </row>
    <row r="70147" spans="3:3" x14ac:dyDescent="0.35">
      <c r="C70147" s="2"/>
    </row>
    <row r="70148" spans="3:3" x14ac:dyDescent="0.35">
      <c r="C70148" s="2"/>
    </row>
    <row r="70149" spans="3:3" x14ac:dyDescent="0.35">
      <c r="C70149" s="2"/>
    </row>
    <row r="70150" spans="3:3" x14ac:dyDescent="0.35">
      <c r="C70150" s="2"/>
    </row>
    <row r="70151" spans="3:3" x14ac:dyDescent="0.35">
      <c r="C70151" s="2"/>
    </row>
    <row r="70152" spans="3:3" x14ac:dyDescent="0.35">
      <c r="C70152" s="2"/>
    </row>
    <row r="70153" spans="3:3" x14ac:dyDescent="0.35">
      <c r="C70153" s="2"/>
    </row>
    <row r="70154" spans="3:3" x14ac:dyDescent="0.35">
      <c r="C70154" s="2"/>
    </row>
    <row r="70155" spans="3:3" x14ac:dyDescent="0.35">
      <c r="C70155" s="2"/>
    </row>
    <row r="70156" spans="3:3" x14ac:dyDescent="0.35">
      <c r="C70156" s="2"/>
    </row>
    <row r="70157" spans="3:3" x14ac:dyDescent="0.35">
      <c r="C70157" s="2"/>
    </row>
    <row r="70158" spans="3:3" x14ac:dyDescent="0.35">
      <c r="C70158" s="2"/>
    </row>
    <row r="70159" spans="3:3" x14ac:dyDescent="0.35">
      <c r="C70159" s="2"/>
    </row>
    <row r="70160" spans="3:3" x14ac:dyDescent="0.35">
      <c r="C70160" s="2"/>
    </row>
    <row r="70161" spans="3:3" x14ac:dyDescent="0.35">
      <c r="C70161" s="2"/>
    </row>
    <row r="70162" spans="3:3" x14ac:dyDescent="0.35">
      <c r="C70162" s="2"/>
    </row>
    <row r="70163" spans="3:3" x14ac:dyDescent="0.35">
      <c r="C70163" s="2"/>
    </row>
    <row r="70164" spans="3:3" x14ac:dyDescent="0.35">
      <c r="C70164" s="2"/>
    </row>
    <row r="70165" spans="3:3" x14ac:dyDescent="0.35">
      <c r="C70165" s="2"/>
    </row>
    <row r="70166" spans="3:3" x14ac:dyDescent="0.35">
      <c r="C70166" s="2"/>
    </row>
    <row r="70167" spans="3:3" x14ac:dyDescent="0.35">
      <c r="C70167" s="2"/>
    </row>
    <row r="70168" spans="3:3" x14ac:dyDescent="0.35">
      <c r="C70168" s="2"/>
    </row>
    <row r="70169" spans="3:3" x14ac:dyDescent="0.35">
      <c r="C70169" s="2"/>
    </row>
    <row r="70170" spans="3:3" x14ac:dyDescent="0.35">
      <c r="C70170" s="2"/>
    </row>
    <row r="70171" spans="3:3" x14ac:dyDescent="0.35">
      <c r="C70171" s="2"/>
    </row>
    <row r="70172" spans="3:3" x14ac:dyDescent="0.35">
      <c r="C70172" s="2"/>
    </row>
    <row r="70173" spans="3:3" x14ac:dyDescent="0.35">
      <c r="C70173" s="2"/>
    </row>
    <row r="70174" spans="3:3" x14ac:dyDescent="0.35">
      <c r="C70174" s="2"/>
    </row>
    <row r="70175" spans="3:3" x14ac:dyDescent="0.35">
      <c r="C70175" s="2"/>
    </row>
    <row r="70176" spans="3:3" x14ac:dyDescent="0.35">
      <c r="C70176" s="2"/>
    </row>
    <row r="70177" spans="3:3" x14ac:dyDescent="0.35">
      <c r="C70177" s="2"/>
    </row>
    <row r="70178" spans="3:3" x14ac:dyDescent="0.35">
      <c r="C70178" s="2"/>
    </row>
    <row r="70179" spans="3:3" x14ac:dyDescent="0.35">
      <c r="C70179" s="2"/>
    </row>
    <row r="70180" spans="3:3" x14ac:dyDescent="0.35">
      <c r="C70180" s="2"/>
    </row>
    <row r="70181" spans="3:3" x14ac:dyDescent="0.35">
      <c r="C70181" s="2"/>
    </row>
    <row r="70182" spans="3:3" x14ac:dyDescent="0.35">
      <c r="C70182" s="2"/>
    </row>
    <row r="70183" spans="3:3" x14ac:dyDescent="0.35">
      <c r="C70183" s="2"/>
    </row>
    <row r="70184" spans="3:3" x14ac:dyDescent="0.35">
      <c r="C70184" s="2"/>
    </row>
    <row r="70185" spans="3:3" x14ac:dyDescent="0.35">
      <c r="C70185" s="2"/>
    </row>
    <row r="70186" spans="3:3" x14ac:dyDescent="0.35">
      <c r="C70186" s="2"/>
    </row>
    <row r="70187" spans="3:3" x14ac:dyDescent="0.35">
      <c r="C70187" s="2"/>
    </row>
    <row r="70188" spans="3:3" x14ac:dyDescent="0.35">
      <c r="C70188" s="2"/>
    </row>
    <row r="70189" spans="3:3" x14ac:dyDescent="0.35">
      <c r="C70189" s="2"/>
    </row>
    <row r="70190" spans="3:3" x14ac:dyDescent="0.35">
      <c r="C70190" s="2"/>
    </row>
    <row r="70191" spans="3:3" x14ac:dyDescent="0.35">
      <c r="C70191" s="2"/>
    </row>
    <row r="70192" spans="3:3" x14ac:dyDescent="0.35">
      <c r="C70192" s="2"/>
    </row>
    <row r="70193" spans="3:3" x14ac:dyDescent="0.35">
      <c r="C70193" s="2"/>
    </row>
    <row r="70194" spans="3:3" x14ac:dyDescent="0.35">
      <c r="C70194" s="2"/>
    </row>
    <row r="70195" spans="3:3" x14ac:dyDescent="0.35">
      <c r="C70195" s="2"/>
    </row>
    <row r="70196" spans="3:3" x14ac:dyDescent="0.35">
      <c r="C70196" s="2"/>
    </row>
    <row r="70197" spans="3:3" x14ac:dyDescent="0.35">
      <c r="C70197" s="2"/>
    </row>
    <row r="70198" spans="3:3" x14ac:dyDescent="0.35">
      <c r="C70198" s="2"/>
    </row>
    <row r="70199" spans="3:3" x14ac:dyDescent="0.35">
      <c r="C70199" s="2"/>
    </row>
    <row r="70200" spans="3:3" x14ac:dyDescent="0.35">
      <c r="C70200" s="2"/>
    </row>
    <row r="70201" spans="3:3" x14ac:dyDescent="0.35">
      <c r="C70201" s="2"/>
    </row>
    <row r="70202" spans="3:3" x14ac:dyDescent="0.35">
      <c r="C70202" s="2"/>
    </row>
    <row r="70203" spans="3:3" x14ac:dyDescent="0.35">
      <c r="C70203" s="2"/>
    </row>
    <row r="70204" spans="3:3" x14ac:dyDescent="0.35">
      <c r="C70204" s="2"/>
    </row>
    <row r="70205" spans="3:3" x14ac:dyDescent="0.35">
      <c r="C70205" s="2"/>
    </row>
    <row r="70206" spans="3:3" x14ac:dyDescent="0.35">
      <c r="C70206" s="2"/>
    </row>
    <row r="70207" spans="3:3" x14ac:dyDescent="0.35">
      <c r="C70207" s="2"/>
    </row>
    <row r="70208" spans="3:3" x14ac:dyDescent="0.35">
      <c r="C70208" s="2"/>
    </row>
    <row r="70209" spans="3:3" x14ac:dyDescent="0.35">
      <c r="C70209" s="2"/>
    </row>
    <row r="70210" spans="3:3" x14ac:dyDescent="0.35">
      <c r="C70210" s="2"/>
    </row>
    <row r="70211" spans="3:3" x14ac:dyDescent="0.35">
      <c r="C70211" s="2"/>
    </row>
    <row r="70212" spans="3:3" x14ac:dyDescent="0.35">
      <c r="C70212" s="2"/>
    </row>
    <row r="70213" spans="3:3" x14ac:dyDescent="0.35">
      <c r="C70213" s="2"/>
    </row>
    <row r="70214" spans="3:3" x14ac:dyDescent="0.35">
      <c r="C70214" s="2"/>
    </row>
    <row r="70215" spans="3:3" x14ac:dyDescent="0.35">
      <c r="C70215" s="2"/>
    </row>
    <row r="70216" spans="3:3" x14ac:dyDescent="0.35">
      <c r="C70216" s="2"/>
    </row>
    <row r="70217" spans="3:3" x14ac:dyDescent="0.35">
      <c r="C70217" s="2"/>
    </row>
    <row r="70218" spans="3:3" x14ac:dyDescent="0.35">
      <c r="C70218" s="2"/>
    </row>
    <row r="70219" spans="3:3" x14ac:dyDescent="0.35">
      <c r="C70219" s="2"/>
    </row>
    <row r="70220" spans="3:3" x14ac:dyDescent="0.35">
      <c r="C70220" s="2"/>
    </row>
    <row r="70221" spans="3:3" x14ac:dyDescent="0.35">
      <c r="C70221" s="2"/>
    </row>
    <row r="70222" spans="3:3" x14ac:dyDescent="0.35">
      <c r="C70222" s="2"/>
    </row>
    <row r="70223" spans="3:3" x14ac:dyDescent="0.35">
      <c r="C70223" s="2"/>
    </row>
    <row r="70224" spans="3:3" x14ac:dyDescent="0.35">
      <c r="C70224" s="2"/>
    </row>
    <row r="70225" spans="3:3" x14ac:dyDescent="0.35">
      <c r="C70225" s="2"/>
    </row>
    <row r="70226" spans="3:3" x14ac:dyDescent="0.35">
      <c r="C70226" s="2"/>
    </row>
    <row r="70227" spans="3:3" x14ac:dyDescent="0.35">
      <c r="C70227" s="2"/>
    </row>
    <row r="70228" spans="3:3" x14ac:dyDescent="0.35">
      <c r="C70228" s="2"/>
    </row>
    <row r="70229" spans="3:3" x14ac:dyDescent="0.35">
      <c r="C70229" s="2"/>
    </row>
    <row r="70230" spans="3:3" x14ac:dyDescent="0.35">
      <c r="C70230" s="2"/>
    </row>
    <row r="70231" spans="3:3" x14ac:dyDescent="0.35">
      <c r="C70231" s="2"/>
    </row>
    <row r="70232" spans="3:3" x14ac:dyDescent="0.35">
      <c r="C70232" s="2"/>
    </row>
    <row r="70233" spans="3:3" x14ac:dyDescent="0.35">
      <c r="C70233" s="2"/>
    </row>
    <row r="70234" spans="3:3" x14ac:dyDescent="0.35">
      <c r="C70234" s="2"/>
    </row>
    <row r="70235" spans="3:3" x14ac:dyDescent="0.35">
      <c r="C70235" s="2"/>
    </row>
    <row r="70236" spans="3:3" x14ac:dyDescent="0.35">
      <c r="C70236" s="2"/>
    </row>
    <row r="70237" spans="3:3" x14ac:dyDescent="0.35">
      <c r="C70237" s="2"/>
    </row>
    <row r="70238" spans="3:3" x14ac:dyDescent="0.35">
      <c r="C70238" s="2"/>
    </row>
    <row r="70239" spans="3:3" x14ac:dyDescent="0.35">
      <c r="C70239" s="2"/>
    </row>
    <row r="70240" spans="3:3" x14ac:dyDescent="0.35">
      <c r="C70240" s="2"/>
    </row>
    <row r="70241" spans="3:3" x14ac:dyDescent="0.35">
      <c r="C70241" s="2"/>
    </row>
    <row r="70242" spans="3:3" x14ac:dyDescent="0.35">
      <c r="C70242" s="2"/>
    </row>
    <row r="70243" spans="3:3" x14ac:dyDescent="0.35">
      <c r="C70243" s="2"/>
    </row>
    <row r="70244" spans="3:3" x14ac:dyDescent="0.35">
      <c r="C70244" s="2"/>
    </row>
    <row r="70245" spans="3:3" x14ac:dyDescent="0.35">
      <c r="C70245" s="2"/>
    </row>
    <row r="70246" spans="3:3" x14ac:dyDescent="0.35">
      <c r="C70246" s="2"/>
    </row>
    <row r="70247" spans="3:3" x14ac:dyDescent="0.35">
      <c r="C70247" s="2"/>
    </row>
    <row r="70248" spans="3:3" x14ac:dyDescent="0.35">
      <c r="C70248" s="2"/>
    </row>
    <row r="70249" spans="3:3" x14ac:dyDescent="0.35">
      <c r="C70249" s="2"/>
    </row>
    <row r="70250" spans="3:3" x14ac:dyDescent="0.35">
      <c r="C70250" s="2"/>
    </row>
    <row r="70251" spans="3:3" x14ac:dyDescent="0.35">
      <c r="C70251" s="2"/>
    </row>
    <row r="70252" spans="3:3" x14ac:dyDescent="0.35">
      <c r="C70252" s="2"/>
    </row>
    <row r="70253" spans="3:3" x14ac:dyDescent="0.35">
      <c r="C70253" s="2"/>
    </row>
    <row r="70254" spans="3:3" x14ac:dyDescent="0.35">
      <c r="C70254" s="2"/>
    </row>
    <row r="70255" spans="3:3" x14ac:dyDescent="0.35">
      <c r="C70255" s="2"/>
    </row>
    <row r="70256" spans="3:3" x14ac:dyDescent="0.35">
      <c r="C70256" s="2"/>
    </row>
    <row r="70257" spans="3:3" x14ac:dyDescent="0.35">
      <c r="C70257" s="2"/>
    </row>
    <row r="70258" spans="3:3" x14ac:dyDescent="0.35">
      <c r="C70258" s="2"/>
    </row>
    <row r="70259" spans="3:3" x14ac:dyDescent="0.35">
      <c r="C70259" s="2"/>
    </row>
    <row r="70260" spans="3:3" x14ac:dyDescent="0.35">
      <c r="C70260" s="2"/>
    </row>
    <row r="70261" spans="3:3" x14ac:dyDescent="0.35">
      <c r="C70261" s="2"/>
    </row>
    <row r="70262" spans="3:3" x14ac:dyDescent="0.35">
      <c r="C70262" s="2"/>
    </row>
    <row r="70263" spans="3:3" x14ac:dyDescent="0.35">
      <c r="C70263" s="2"/>
    </row>
    <row r="70264" spans="3:3" x14ac:dyDescent="0.35">
      <c r="C70264" s="2"/>
    </row>
    <row r="70265" spans="3:3" x14ac:dyDescent="0.35">
      <c r="C70265" s="2"/>
    </row>
    <row r="70266" spans="3:3" x14ac:dyDescent="0.35">
      <c r="C70266" s="2"/>
    </row>
    <row r="70267" spans="3:3" x14ac:dyDescent="0.35">
      <c r="C70267" s="2"/>
    </row>
    <row r="70268" spans="3:3" x14ac:dyDescent="0.35">
      <c r="C70268" s="2"/>
    </row>
    <row r="70269" spans="3:3" x14ac:dyDescent="0.35">
      <c r="C70269" s="2"/>
    </row>
    <row r="70270" spans="3:3" x14ac:dyDescent="0.35">
      <c r="C70270" s="2"/>
    </row>
    <row r="70271" spans="3:3" x14ac:dyDescent="0.35">
      <c r="C70271" s="2"/>
    </row>
    <row r="70272" spans="3:3" x14ac:dyDescent="0.35">
      <c r="C70272" s="2"/>
    </row>
    <row r="70273" spans="3:3" x14ac:dyDescent="0.35">
      <c r="C70273" s="2"/>
    </row>
    <row r="70274" spans="3:3" x14ac:dyDescent="0.35">
      <c r="C70274" s="2"/>
    </row>
    <row r="70275" spans="3:3" x14ac:dyDescent="0.35">
      <c r="C70275" s="2"/>
    </row>
    <row r="70276" spans="3:3" x14ac:dyDescent="0.35">
      <c r="C70276" s="2"/>
    </row>
    <row r="70277" spans="3:3" x14ac:dyDescent="0.35">
      <c r="C70277" s="2"/>
    </row>
    <row r="70278" spans="3:3" x14ac:dyDescent="0.35">
      <c r="C70278" s="2"/>
    </row>
    <row r="70279" spans="3:3" x14ac:dyDescent="0.35">
      <c r="C70279" s="2"/>
    </row>
    <row r="70280" spans="3:3" x14ac:dyDescent="0.35">
      <c r="C70280" s="2"/>
    </row>
    <row r="70281" spans="3:3" x14ac:dyDescent="0.35">
      <c r="C70281" s="2"/>
    </row>
    <row r="70282" spans="3:3" x14ac:dyDescent="0.35">
      <c r="C70282" s="2"/>
    </row>
    <row r="70283" spans="3:3" x14ac:dyDescent="0.35">
      <c r="C70283" s="2"/>
    </row>
    <row r="70284" spans="3:3" x14ac:dyDescent="0.35">
      <c r="C70284" s="2"/>
    </row>
    <row r="70285" spans="3:3" x14ac:dyDescent="0.35">
      <c r="C70285" s="2"/>
    </row>
    <row r="70286" spans="3:3" x14ac:dyDescent="0.35">
      <c r="C70286" s="2"/>
    </row>
    <row r="70287" spans="3:3" x14ac:dyDescent="0.35">
      <c r="C70287" s="2"/>
    </row>
    <row r="70288" spans="3:3" x14ac:dyDescent="0.35">
      <c r="C70288" s="2"/>
    </row>
    <row r="70289" spans="3:3" x14ac:dyDescent="0.35">
      <c r="C70289" s="2"/>
    </row>
    <row r="70290" spans="3:3" x14ac:dyDescent="0.35">
      <c r="C70290" s="2"/>
    </row>
    <row r="70291" spans="3:3" x14ac:dyDescent="0.35">
      <c r="C70291" s="2"/>
    </row>
    <row r="70292" spans="3:3" x14ac:dyDescent="0.35">
      <c r="C70292" s="2"/>
    </row>
    <row r="70293" spans="3:3" x14ac:dyDescent="0.35">
      <c r="C70293" s="2"/>
    </row>
    <row r="70294" spans="3:3" x14ac:dyDescent="0.35">
      <c r="C70294" s="2"/>
    </row>
    <row r="70295" spans="3:3" x14ac:dyDescent="0.35">
      <c r="C70295" s="2"/>
    </row>
    <row r="70296" spans="3:3" x14ac:dyDescent="0.35">
      <c r="C70296" s="2"/>
    </row>
    <row r="70297" spans="3:3" x14ac:dyDescent="0.35">
      <c r="C70297" s="2"/>
    </row>
    <row r="70298" spans="3:3" x14ac:dyDescent="0.35">
      <c r="C70298" s="2"/>
    </row>
    <row r="70299" spans="3:3" x14ac:dyDescent="0.35">
      <c r="C70299" s="2"/>
    </row>
    <row r="70300" spans="3:3" x14ac:dyDescent="0.35">
      <c r="C70300" s="2"/>
    </row>
    <row r="70301" spans="3:3" x14ac:dyDescent="0.35">
      <c r="C70301" s="2"/>
    </row>
    <row r="70302" spans="3:3" x14ac:dyDescent="0.35">
      <c r="C70302" s="2"/>
    </row>
    <row r="70303" spans="3:3" x14ac:dyDescent="0.35">
      <c r="C70303" s="2"/>
    </row>
    <row r="70304" spans="3:3" x14ac:dyDescent="0.35">
      <c r="C70304" s="2"/>
    </row>
    <row r="70305" spans="3:3" x14ac:dyDescent="0.35">
      <c r="C70305" s="2"/>
    </row>
    <row r="70306" spans="3:3" x14ac:dyDescent="0.35">
      <c r="C70306" s="2"/>
    </row>
    <row r="70307" spans="3:3" x14ac:dyDescent="0.35">
      <c r="C70307" s="2"/>
    </row>
    <row r="70308" spans="3:3" x14ac:dyDescent="0.35">
      <c r="C70308" s="2"/>
    </row>
    <row r="70309" spans="3:3" x14ac:dyDescent="0.35">
      <c r="C70309" s="2"/>
    </row>
    <row r="70310" spans="3:3" x14ac:dyDescent="0.35">
      <c r="C70310" s="2"/>
    </row>
    <row r="70311" spans="3:3" x14ac:dyDescent="0.35">
      <c r="C70311" s="2"/>
    </row>
    <row r="70312" spans="3:3" x14ac:dyDescent="0.35">
      <c r="C70312" s="2"/>
    </row>
    <row r="70313" spans="3:3" x14ac:dyDescent="0.35">
      <c r="C70313" s="2"/>
    </row>
    <row r="70314" spans="3:3" x14ac:dyDescent="0.35">
      <c r="C70314" s="2"/>
    </row>
    <row r="70315" spans="3:3" x14ac:dyDescent="0.35">
      <c r="C70315" s="2"/>
    </row>
    <row r="70316" spans="3:3" x14ac:dyDescent="0.35">
      <c r="C70316" s="2"/>
    </row>
    <row r="70317" spans="3:3" x14ac:dyDescent="0.35">
      <c r="C70317" s="2"/>
    </row>
    <row r="70318" spans="3:3" x14ac:dyDescent="0.35">
      <c r="C70318" s="2"/>
    </row>
    <row r="70319" spans="3:3" x14ac:dyDescent="0.35">
      <c r="C70319" s="2"/>
    </row>
    <row r="70320" spans="3:3" x14ac:dyDescent="0.35">
      <c r="C70320" s="2"/>
    </row>
    <row r="70321" spans="3:3" x14ac:dyDescent="0.35">
      <c r="C70321" s="2"/>
    </row>
    <row r="70322" spans="3:3" x14ac:dyDescent="0.35">
      <c r="C70322" s="2"/>
    </row>
    <row r="70323" spans="3:3" x14ac:dyDescent="0.35">
      <c r="C70323" s="2"/>
    </row>
    <row r="70324" spans="3:3" x14ac:dyDescent="0.35">
      <c r="C70324" s="2"/>
    </row>
    <row r="70325" spans="3:3" x14ac:dyDescent="0.35">
      <c r="C70325" s="2"/>
    </row>
    <row r="70326" spans="3:3" x14ac:dyDescent="0.35">
      <c r="C70326" s="2"/>
    </row>
    <row r="70327" spans="3:3" x14ac:dyDescent="0.35">
      <c r="C70327" s="2"/>
    </row>
    <row r="70328" spans="3:3" x14ac:dyDescent="0.35">
      <c r="C70328" s="2"/>
    </row>
    <row r="70329" spans="3:3" x14ac:dyDescent="0.35">
      <c r="C70329" s="2"/>
    </row>
    <row r="70330" spans="3:3" x14ac:dyDescent="0.35">
      <c r="C70330" s="2"/>
    </row>
    <row r="70331" spans="3:3" x14ac:dyDescent="0.35">
      <c r="C70331" s="2"/>
    </row>
    <row r="70332" spans="3:3" x14ac:dyDescent="0.35">
      <c r="C70332" s="2"/>
    </row>
    <row r="70333" spans="3:3" x14ac:dyDescent="0.35">
      <c r="C70333" s="2"/>
    </row>
    <row r="70334" spans="3:3" x14ac:dyDescent="0.35">
      <c r="C70334" s="2"/>
    </row>
    <row r="70335" spans="3:3" x14ac:dyDescent="0.35">
      <c r="C70335" s="2"/>
    </row>
    <row r="70336" spans="3:3" x14ac:dyDescent="0.35">
      <c r="C70336" s="2"/>
    </row>
    <row r="70337" spans="3:3" x14ac:dyDescent="0.35">
      <c r="C70337" s="2"/>
    </row>
    <row r="70338" spans="3:3" x14ac:dyDescent="0.35">
      <c r="C70338" s="2"/>
    </row>
    <row r="70339" spans="3:3" x14ac:dyDescent="0.35">
      <c r="C70339" s="2"/>
    </row>
    <row r="70340" spans="3:3" x14ac:dyDescent="0.35">
      <c r="C70340" s="2"/>
    </row>
    <row r="70341" spans="3:3" x14ac:dyDescent="0.35">
      <c r="C70341" s="2"/>
    </row>
    <row r="70342" spans="3:3" x14ac:dyDescent="0.35">
      <c r="C70342" s="2"/>
    </row>
    <row r="70343" spans="3:3" x14ac:dyDescent="0.35">
      <c r="C70343" s="2"/>
    </row>
    <row r="70344" spans="3:3" x14ac:dyDescent="0.35">
      <c r="C70344" s="2"/>
    </row>
    <row r="70345" spans="3:3" x14ac:dyDescent="0.35">
      <c r="C70345" s="2"/>
    </row>
    <row r="70346" spans="3:3" x14ac:dyDescent="0.35">
      <c r="C70346" s="2"/>
    </row>
    <row r="70347" spans="3:3" x14ac:dyDescent="0.35">
      <c r="C70347" s="2"/>
    </row>
    <row r="70348" spans="3:3" x14ac:dyDescent="0.35">
      <c r="C70348" s="2"/>
    </row>
    <row r="70349" spans="3:3" x14ac:dyDescent="0.35">
      <c r="C70349" s="2"/>
    </row>
    <row r="70350" spans="3:3" x14ac:dyDescent="0.35">
      <c r="C70350" s="2"/>
    </row>
    <row r="70351" spans="3:3" x14ac:dyDescent="0.35">
      <c r="C70351" s="2"/>
    </row>
    <row r="70352" spans="3:3" x14ac:dyDescent="0.35">
      <c r="C70352" s="2"/>
    </row>
    <row r="70353" spans="3:3" x14ac:dyDescent="0.35">
      <c r="C70353" s="2"/>
    </row>
    <row r="70354" spans="3:3" x14ac:dyDescent="0.35">
      <c r="C70354" s="2"/>
    </row>
    <row r="70355" spans="3:3" x14ac:dyDescent="0.35">
      <c r="C70355" s="2"/>
    </row>
    <row r="70356" spans="3:3" x14ac:dyDescent="0.35">
      <c r="C70356" s="2"/>
    </row>
    <row r="70357" spans="3:3" x14ac:dyDescent="0.35">
      <c r="C70357" s="2"/>
    </row>
    <row r="70358" spans="3:3" x14ac:dyDescent="0.35">
      <c r="C70358" s="2"/>
    </row>
    <row r="70359" spans="3:3" x14ac:dyDescent="0.35">
      <c r="C70359" s="2"/>
    </row>
    <row r="70360" spans="3:3" x14ac:dyDescent="0.35">
      <c r="C70360" s="2"/>
    </row>
    <row r="70361" spans="3:3" x14ac:dyDescent="0.35">
      <c r="C70361" s="2"/>
    </row>
    <row r="70362" spans="3:3" x14ac:dyDescent="0.35">
      <c r="C70362" s="2"/>
    </row>
    <row r="70363" spans="3:3" x14ac:dyDescent="0.35">
      <c r="C70363" s="2"/>
    </row>
    <row r="70364" spans="3:3" x14ac:dyDescent="0.35">
      <c r="C70364" s="2"/>
    </row>
    <row r="70365" spans="3:3" x14ac:dyDescent="0.35">
      <c r="C70365" s="2"/>
    </row>
    <row r="70366" spans="3:3" x14ac:dyDescent="0.35">
      <c r="C70366" s="2"/>
    </row>
    <row r="70367" spans="3:3" x14ac:dyDescent="0.35">
      <c r="C70367" s="2"/>
    </row>
    <row r="70368" spans="3:3" x14ac:dyDescent="0.35">
      <c r="C70368" s="2"/>
    </row>
    <row r="70369" spans="3:3" x14ac:dyDescent="0.35">
      <c r="C70369" s="2"/>
    </row>
    <row r="70370" spans="3:3" x14ac:dyDescent="0.35">
      <c r="C70370" s="2"/>
    </row>
    <row r="70371" spans="3:3" x14ac:dyDescent="0.35">
      <c r="C70371" s="2"/>
    </row>
    <row r="70372" spans="3:3" x14ac:dyDescent="0.35">
      <c r="C70372" s="2"/>
    </row>
    <row r="70373" spans="3:3" x14ac:dyDescent="0.35">
      <c r="C70373" s="2"/>
    </row>
    <row r="70374" spans="3:3" x14ac:dyDescent="0.35">
      <c r="C70374" s="2"/>
    </row>
    <row r="70375" spans="3:3" x14ac:dyDescent="0.35">
      <c r="C70375" s="2"/>
    </row>
    <row r="70376" spans="3:3" x14ac:dyDescent="0.35">
      <c r="C70376" s="2"/>
    </row>
    <row r="70377" spans="3:3" x14ac:dyDescent="0.35">
      <c r="C70377" s="2"/>
    </row>
    <row r="70378" spans="3:3" x14ac:dyDescent="0.35">
      <c r="C70378" s="2"/>
    </row>
    <row r="70379" spans="3:3" x14ac:dyDescent="0.35">
      <c r="C70379" s="2"/>
    </row>
    <row r="70380" spans="3:3" x14ac:dyDescent="0.35">
      <c r="C70380" s="2"/>
    </row>
    <row r="70381" spans="3:3" x14ac:dyDescent="0.35">
      <c r="C70381" s="2"/>
    </row>
    <row r="70382" spans="3:3" x14ac:dyDescent="0.35">
      <c r="C70382" s="2"/>
    </row>
    <row r="70383" spans="3:3" x14ac:dyDescent="0.35">
      <c r="C70383" s="2"/>
    </row>
    <row r="70384" spans="3:3" x14ac:dyDescent="0.35">
      <c r="C70384" s="2"/>
    </row>
    <row r="70385" spans="3:3" x14ac:dyDescent="0.35">
      <c r="C70385" s="2"/>
    </row>
    <row r="70386" spans="3:3" x14ac:dyDescent="0.35">
      <c r="C70386" s="2"/>
    </row>
    <row r="70387" spans="3:3" x14ac:dyDescent="0.35">
      <c r="C70387" s="2"/>
    </row>
    <row r="70388" spans="3:3" x14ac:dyDescent="0.35">
      <c r="C70388" s="2"/>
    </row>
    <row r="70389" spans="3:3" x14ac:dyDescent="0.35">
      <c r="C70389" s="2"/>
    </row>
    <row r="70390" spans="3:3" x14ac:dyDescent="0.35">
      <c r="C70390" s="2"/>
    </row>
    <row r="70391" spans="3:3" x14ac:dyDescent="0.35">
      <c r="C70391" s="2"/>
    </row>
    <row r="70392" spans="3:3" x14ac:dyDescent="0.35">
      <c r="C70392" s="2"/>
    </row>
    <row r="70393" spans="3:3" x14ac:dyDescent="0.35">
      <c r="C70393" s="2"/>
    </row>
    <row r="70394" spans="3:3" x14ac:dyDescent="0.35">
      <c r="C70394" s="2"/>
    </row>
    <row r="70395" spans="3:3" x14ac:dyDescent="0.35">
      <c r="C70395" s="2"/>
    </row>
    <row r="70396" spans="3:3" x14ac:dyDescent="0.35">
      <c r="C70396" s="2"/>
    </row>
    <row r="70397" spans="3:3" x14ac:dyDescent="0.35">
      <c r="C70397" s="2"/>
    </row>
    <row r="70398" spans="3:3" x14ac:dyDescent="0.35">
      <c r="C70398" s="2"/>
    </row>
    <row r="70399" spans="3:3" x14ac:dyDescent="0.35">
      <c r="C70399" s="2"/>
    </row>
    <row r="70400" spans="3:3" x14ac:dyDescent="0.35">
      <c r="C70400" s="2"/>
    </row>
    <row r="70401" spans="3:3" x14ac:dyDescent="0.35">
      <c r="C70401" s="2"/>
    </row>
    <row r="70402" spans="3:3" x14ac:dyDescent="0.35">
      <c r="C70402" s="2"/>
    </row>
    <row r="70403" spans="3:3" x14ac:dyDescent="0.35">
      <c r="C70403" s="2"/>
    </row>
    <row r="70404" spans="3:3" x14ac:dyDescent="0.35">
      <c r="C70404" s="2"/>
    </row>
    <row r="70405" spans="3:3" x14ac:dyDescent="0.35">
      <c r="C70405" s="2"/>
    </row>
    <row r="70406" spans="3:3" x14ac:dyDescent="0.35">
      <c r="C70406" s="2"/>
    </row>
    <row r="70407" spans="3:3" x14ac:dyDescent="0.35">
      <c r="C70407" s="2"/>
    </row>
    <row r="70408" spans="3:3" x14ac:dyDescent="0.35">
      <c r="C70408" s="2"/>
    </row>
    <row r="70409" spans="3:3" x14ac:dyDescent="0.35">
      <c r="C70409" s="2"/>
    </row>
    <row r="70410" spans="3:3" x14ac:dyDescent="0.35">
      <c r="C70410" s="2"/>
    </row>
    <row r="70411" spans="3:3" x14ac:dyDescent="0.35">
      <c r="C70411" s="2"/>
    </row>
    <row r="70412" spans="3:3" x14ac:dyDescent="0.35">
      <c r="C70412" s="2"/>
    </row>
    <row r="70413" spans="3:3" x14ac:dyDescent="0.35">
      <c r="C70413" s="2"/>
    </row>
    <row r="70414" spans="3:3" x14ac:dyDescent="0.35">
      <c r="C70414" s="2"/>
    </row>
    <row r="70415" spans="3:3" x14ac:dyDescent="0.35">
      <c r="C70415" s="2"/>
    </row>
    <row r="70416" spans="3:3" x14ac:dyDescent="0.35">
      <c r="C70416" s="2"/>
    </row>
    <row r="70417" spans="3:3" x14ac:dyDescent="0.35">
      <c r="C70417" s="2"/>
    </row>
    <row r="70418" spans="3:3" x14ac:dyDescent="0.35">
      <c r="C70418" s="2"/>
    </row>
    <row r="70419" spans="3:3" x14ac:dyDescent="0.35">
      <c r="C70419" s="2"/>
    </row>
    <row r="70420" spans="3:3" x14ac:dyDescent="0.35">
      <c r="C70420" s="2"/>
    </row>
    <row r="70421" spans="3:3" x14ac:dyDescent="0.35">
      <c r="C70421" s="2"/>
    </row>
    <row r="70422" spans="3:3" x14ac:dyDescent="0.35">
      <c r="C70422" s="2"/>
    </row>
    <row r="70423" spans="3:3" x14ac:dyDescent="0.35">
      <c r="C70423" s="2"/>
    </row>
    <row r="70424" spans="3:3" x14ac:dyDescent="0.35">
      <c r="C70424" s="2"/>
    </row>
    <row r="70425" spans="3:3" x14ac:dyDescent="0.35">
      <c r="C70425" s="2"/>
    </row>
    <row r="70426" spans="3:3" x14ac:dyDescent="0.35">
      <c r="C70426" s="2"/>
    </row>
    <row r="70427" spans="3:3" x14ac:dyDescent="0.35">
      <c r="C70427" s="2"/>
    </row>
    <row r="70428" spans="3:3" x14ac:dyDescent="0.35">
      <c r="C70428" s="2"/>
    </row>
    <row r="70429" spans="3:3" x14ac:dyDescent="0.35">
      <c r="C70429" s="2"/>
    </row>
    <row r="70430" spans="3:3" x14ac:dyDescent="0.35">
      <c r="C70430" s="2"/>
    </row>
    <row r="70431" spans="3:3" x14ac:dyDescent="0.35">
      <c r="C70431" s="2"/>
    </row>
    <row r="70432" spans="3:3" x14ac:dyDescent="0.35">
      <c r="C70432" s="2"/>
    </row>
    <row r="70433" spans="3:3" x14ac:dyDescent="0.35">
      <c r="C70433" s="2"/>
    </row>
    <row r="70434" spans="3:3" x14ac:dyDescent="0.35">
      <c r="C70434" s="2"/>
    </row>
    <row r="70435" spans="3:3" x14ac:dyDescent="0.35">
      <c r="C70435" s="2"/>
    </row>
    <row r="70436" spans="3:3" x14ac:dyDescent="0.35">
      <c r="C70436" s="2"/>
    </row>
    <row r="70437" spans="3:3" x14ac:dyDescent="0.35">
      <c r="C70437" s="2"/>
    </row>
    <row r="70438" spans="3:3" x14ac:dyDescent="0.35">
      <c r="C70438" s="2"/>
    </row>
    <row r="70439" spans="3:3" x14ac:dyDescent="0.35">
      <c r="C70439" s="2"/>
    </row>
    <row r="70440" spans="3:3" x14ac:dyDescent="0.35">
      <c r="C70440" s="2"/>
    </row>
    <row r="70441" spans="3:3" x14ac:dyDescent="0.35">
      <c r="C70441" s="2"/>
    </row>
    <row r="70442" spans="3:3" x14ac:dyDescent="0.35">
      <c r="C70442" s="2"/>
    </row>
    <row r="70443" spans="3:3" x14ac:dyDescent="0.35">
      <c r="C70443" s="2"/>
    </row>
    <row r="70444" spans="3:3" x14ac:dyDescent="0.35">
      <c r="C70444" s="2"/>
    </row>
    <row r="70445" spans="3:3" x14ac:dyDescent="0.35">
      <c r="C70445" s="2"/>
    </row>
    <row r="70446" spans="3:3" x14ac:dyDescent="0.35">
      <c r="C70446" s="2"/>
    </row>
    <row r="70447" spans="3:3" x14ac:dyDescent="0.35">
      <c r="C70447" s="2"/>
    </row>
    <row r="70448" spans="3:3" x14ac:dyDescent="0.35">
      <c r="C70448" s="2"/>
    </row>
    <row r="70449" spans="3:3" x14ac:dyDescent="0.35">
      <c r="C70449" s="2"/>
    </row>
    <row r="70450" spans="3:3" x14ac:dyDescent="0.35">
      <c r="C70450" s="2"/>
    </row>
    <row r="70451" spans="3:3" x14ac:dyDescent="0.35">
      <c r="C70451" s="2"/>
    </row>
    <row r="70452" spans="3:3" x14ac:dyDescent="0.35">
      <c r="C70452" s="2"/>
    </row>
    <row r="70453" spans="3:3" x14ac:dyDescent="0.35">
      <c r="C70453" s="2"/>
    </row>
    <row r="70454" spans="3:3" x14ac:dyDescent="0.35">
      <c r="C70454" s="2"/>
    </row>
    <row r="70455" spans="3:3" x14ac:dyDescent="0.35">
      <c r="C70455" s="2"/>
    </row>
    <row r="70456" spans="3:3" x14ac:dyDescent="0.35">
      <c r="C70456" s="2"/>
    </row>
    <row r="70457" spans="3:3" x14ac:dyDescent="0.35">
      <c r="C70457" s="2"/>
    </row>
    <row r="70458" spans="3:3" x14ac:dyDescent="0.35">
      <c r="C70458" s="2"/>
    </row>
    <row r="70459" spans="3:3" x14ac:dyDescent="0.35">
      <c r="C70459" s="2"/>
    </row>
    <row r="70460" spans="3:3" x14ac:dyDescent="0.35">
      <c r="C70460" s="2"/>
    </row>
    <row r="70461" spans="3:3" x14ac:dyDescent="0.35">
      <c r="C70461" s="2"/>
    </row>
    <row r="70462" spans="3:3" x14ac:dyDescent="0.35">
      <c r="C70462" s="2"/>
    </row>
    <row r="70463" spans="3:3" x14ac:dyDescent="0.35">
      <c r="C70463" s="2"/>
    </row>
    <row r="70464" spans="3:3" x14ac:dyDescent="0.35">
      <c r="C70464" s="2"/>
    </row>
    <row r="70465" spans="3:3" x14ac:dyDescent="0.35">
      <c r="C70465" s="2"/>
    </row>
    <row r="70466" spans="3:3" x14ac:dyDescent="0.35">
      <c r="C70466" s="2"/>
    </row>
    <row r="70467" spans="3:3" x14ac:dyDescent="0.35">
      <c r="C70467" s="2"/>
    </row>
    <row r="70468" spans="3:3" x14ac:dyDescent="0.35">
      <c r="C70468" s="2"/>
    </row>
    <row r="70469" spans="3:3" x14ac:dyDescent="0.35">
      <c r="C70469" s="2"/>
    </row>
    <row r="70470" spans="3:3" x14ac:dyDescent="0.35">
      <c r="C70470" s="2"/>
    </row>
    <row r="70471" spans="3:3" x14ac:dyDescent="0.35">
      <c r="C70471" s="2"/>
    </row>
    <row r="70472" spans="3:3" x14ac:dyDescent="0.35">
      <c r="C70472" s="2"/>
    </row>
    <row r="70473" spans="3:3" x14ac:dyDescent="0.35">
      <c r="C70473" s="2"/>
    </row>
    <row r="70474" spans="3:3" x14ac:dyDescent="0.35">
      <c r="C70474" s="2"/>
    </row>
    <row r="70475" spans="3:3" x14ac:dyDescent="0.35">
      <c r="C70475" s="2"/>
    </row>
    <row r="70476" spans="3:3" x14ac:dyDescent="0.35">
      <c r="C70476" s="2"/>
    </row>
    <row r="70477" spans="3:3" x14ac:dyDescent="0.35">
      <c r="C70477" s="2"/>
    </row>
    <row r="70478" spans="3:3" x14ac:dyDescent="0.35">
      <c r="C70478" s="2"/>
    </row>
    <row r="70479" spans="3:3" x14ac:dyDescent="0.35">
      <c r="C70479" s="2"/>
    </row>
    <row r="70480" spans="3:3" x14ac:dyDescent="0.35">
      <c r="C70480" s="2"/>
    </row>
    <row r="70481" spans="3:3" x14ac:dyDescent="0.35">
      <c r="C70481" s="2"/>
    </row>
    <row r="70482" spans="3:3" x14ac:dyDescent="0.35">
      <c r="C70482" s="2"/>
    </row>
    <row r="70483" spans="3:3" x14ac:dyDescent="0.35">
      <c r="C70483" s="2"/>
    </row>
    <row r="70484" spans="3:3" x14ac:dyDescent="0.35">
      <c r="C70484" s="2"/>
    </row>
    <row r="70485" spans="3:3" x14ac:dyDescent="0.35">
      <c r="C70485" s="2"/>
    </row>
    <row r="70486" spans="3:3" x14ac:dyDescent="0.35">
      <c r="C70486" s="2"/>
    </row>
    <row r="70487" spans="3:3" x14ac:dyDescent="0.35">
      <c r="C70487" s="2"/>
    </row>
    <row r="70488" spans="3:3" x14ac:dyDescent="0.35">
      <c r="C70488" s="2"/>
    </row>
    <row r="70489" spans="3:3" x14ac:dyDescent="0.35">
      <c r="C70489" s="2"/>
    </row>
    <row r="70490" spans="3:3" x14ac:dyDescent="0.35">
      <c r="C70490" s="2"/>
    </row>
    <row r="70491" spans="3:3" x14ac:dyDescent="0.35">
      <c r="C70491" s="2"/>
    </row>
    <row r="70492" spans="3:3" x14ac:dyDescent="0.35">
      <c r="C70492" s="2"/>
    </row>
    <row r="70493" spans="3:3" x14ac:dyDescent="0.35">
      <c r="C70493" s="2"/>
    </row>
    <row r="70494" spans="3:3" x14ac:dyDescent="0.35">
      <c r="C70494" s="2"/>
    </row>
    <row r="70495" spans="3:3" x14ac:dyDescent="0.35">
      <c r="C70495" s="2"/>
    </row>
    <row r="70496" spans="3:3" x14ac:dyDescent="0.35">
      <c r="C70496" s="2"/>
    </row>
    <row r="70497" spans="3:3" x14ac:dyDescent="0.35">
      <c r="C70497" s="2"/>
    </row>
    <row r="70498" spans="3:3" x14ac:dyDescent="0.35">
      <c r="C70498" s="2"/>
    </row>
    <row r="70499" spans="3:3" x14ac:dyDescent="0.35">
      <c r="C70499" s="2"/>
    </row>
    <row r="70500" spans="3:3" x14ac:dyDescent="0.35">
      <c r="C70500" s="2"/>
    </row>
    <row r="70501" spans="3:3" x14ac:dyDescent="0.35">
      <c r="C70501" s="2"/>
    </row>
    <row r="70502" spans="3:3" x14ac:dyDescent="0.35">
      <c r="C70502" s="2"/>
    </row>
    <row r="70503" spans="3:3" x14ac:dyDescent="0.35">
      <c r="C70503" s="2"/>
    </row>
    <row r="70504" spans="3:3" x14ac:dyDescent="0.35">
      <c r="C70504" s="2"/>
    </row>
    <row r="70505" spans="3:3" x14ac:dyDescent="0.35">
      <c r="C70505" s="2"/>
    </row>
    <row r="70506" spans="3:3" x14ac:dyDescent="0.35">
      <c r="C70506" s="2"/>
    </row>
    <row r="70507" spans="3:3" x14ac:dyDescent="0.35">
      <c r="C70507" s="2"/>
    </row>
    <row r="70508" spans="3:3" x14ac:dyDescent="0.35">
      <c r="C70508" s="2"/>
    </row>
    <row r="70509" spans="3:3" x14ac:dyDescent="0.35">
      <c r="C70509" s="2"/>
    </row>
    <row r="70510" spans="3:3" x14ac:dyDescent="0.35">
      <c r="C70510" s="2"/>
    </row>
    <row r="70511" spans="3:3" x14ac:dyDescent="0.35">
      <c r="C70511" s="2"/>
    </row>
    <row r="70512" spans="3:3" x14ac:dyDescent="0.35">
      <c r="C70512" s="2"/>
    </row>
    <row r="70513" spans="3:3" x14ac:dyDescent="0.35">
      <c r="C70513" s="2"/>
    </row>
    <row r="70514" spans="3:3" x14ac:dyDescent="0.35">
      <c r="C70514" s="2"/>
    </row>
    <row r="70515" spans="3:3" x14ac:dyDescent="0.35">
      <c r="C70515" s="2"/>
    </row>
    <row r="70516" spans="3:3" x14ac:dyDescent="0.35">
      <c r="C70516" s="2"/>
    </row>
    <row r="70517" spans="3:3" x14ac:dyDescent="0.35">
      <c r="C70517" s="2"/>
    </row>
    <row r="70518" spans="3:3" x14ac:dyDescent="0.35">
      <c r="C70518" s="2"/>
    </row>
    <row r="70519" spans="3:3" x14ac:dyDescent="0.35">
      <c r="C70519" s="2"/>
    </row>
    <row r="70520" spans="3:3" x14ac:dyDescent="0.35">
      <c r="C70520" s="2"/>
    </row>
    <row r="70521" spans="3:3" x14ac:dyDescent="0.35">
      <c r="C70521" s="2"/>
    </row>
    <row r="70522" spans="3:3" x14ac:dyDescent="0.35">
      <c r="C70522" s="2"/>
    </row>
    <row r="70523" spans="3:3" x14ac:dyDescent="0.35">
      <c r="C70523" s="2"/>
    </row>
    <row r="70524" spans="3:3" x14ac:dyDescent="0.35">
      <c r="C70524" s="2"/>
    </row>
    <row r="70525" spans="3:3" x14ac:dyDescent="0.35">
      <c r="C70525" s="2"/>
    </row>
    <row r="70526" spans="3:3" x14ac:dyDescent="0.35">
      <c r="C70526" s="2"/>
    </row>
    <row r="70527" spans="3:3" x14ac:dyDescent="0.35">
      <c r="C70527" s="2"/>
    </row>
    <row r="70528" spans="3:3" x14ac:dyDescent="0.35">
      <c r="C70528" s="2"/>
    </row>
    <row r="70529" spans="3:3" x14ac:dyDescent="0.35">
      <c r="C70529" s="2"/>
    </row>
    <row r="70530" spans="3:3" x14ac:dyDescent="0.35">
      <c r="C70530" s="2"/>
    </row>
    <row r="70531" spans="3:3" x14ac:dyDescent="0.35">
      <c r="C70531" s="2"/>
    </row>
    <row r="70532" spans="3:3" x14ac:dyDescent="0.35">
      <c r="C70532" s="2"/>
    </row>
    <row r="70533" spans="3:3" x14ac:dyDescent="0.35">
      <c r="C70533" s="2"/>
    </row>
    <row r="70534" spans="3:3" x14ac:dyDescent="0.35">
      <c r="C70534" s="2"/>
    </row>
    <row r="70535" spans="3:3" x14ac:dyDescent="0.35">
      <c r="C70535" s="2"/>
    </row>
    <row r="70536" spans="3:3" x14ac:dyDescent="0.35">
      <c r="C70536" s="2"/>
    </row>
    <row r="70537" spans="3:3" x14ac:dyDescent="0.35">
      <c r="C70537" s="2"/>
    </row>
    <row r="70538" spans="3:3" x14ac:dyDescent="0.35">
      <c r="C70538" s="2"/>
    </row>
    <row r="70539" spans="3:3" x14ac:dyDescent="0.35">
      <c r="C70539" s="2"/>
    </row>
    <row r="70540" spans="3:3" x14ac:dyDescent="0.35">
      <c r="C70540" s="2"/>
    </row>
    <row r="70541" spans="3:3" x14ac:dyDescent="0.35">
      <c r="C70541" s="2"/>
    </row>
    <row r="70542" spans="3:3" x14ac:dyDescent="0.35">
      <c r="C70542" s="2"/>
    </row>
    <row r="70543" spans="3:3" x14ac:dyDescent="0.35">
      <c r="C70543" s="2"/>
    </row>
    <row r="70544" spans="3:3" x14ac:dyDescent="0.35">
      <c r="C70544" s="2"/>
    </row>
    <row r="70545" spans="3:3" x14ac:dyDescent="0.35">
      <c r="C70545" s="2"/>
    </row>
    <row r="70546" spans="3:3" x14ac:dyDescent="0.35">
      <c r="C70546" s="2"/>
    </row>
    <row r="70547" spans="3:3" x14ac:dyDescent="0.35">
      <c r="C70547" s="2"/>
    </row>
    <row r="70548" spans="3:3" x14ac:dyDescent="0.35">
      <c r="C70548" s="2"/>
    </row>
    <row r="70549" spans="3:3" x14ac:dyDescent="0.35">
      <c r="C70549" s="2"/>
    </row>
    <row r="70550" spans="3:3" x14ac:dyDescent="0.35">
      <c r="C70550" s="2"/>
    </row>
    <row r="70551" spans="3:3" x14ac:dyDescent="0.35">
      <c r="C70551" s="2"/>
    </row>
    <row r="70552" spans="3:3" x14ac:dyDescent="0.35">
      <c r="C70552" s="2"/>
    </row>
    <row r="70553" spans="3:3" x14ac:dyDescent="0.35">
      <c r="C70553" s="2"/>
    </row>
    <row r="70554" spans="3:3" x14ac:dyDescent="0.35">
      <c r="C70554" s="2"/>
    </row>
    <row r="70555" spans="3:3" x14ac:dyDescent="0.35">
      <c r="C70555" s="2"/>
    </row>
    <row r="70556" spans="3:3" x14ac:dyDescent="0.35">
      <c r="C70556" s="2"/>
    </row>
    <row r="70557" spans="3:3" x14ac:dyDescent="0.35">
      <c r="C70557" s="2"/>
    </row>
    <row r="70558" spans="3:3" x14ac:dyDescent="0.35">
      <c r="C70558" s="2"/>
    </row>
    <row r="70559" spans="3:3" x14ac:dyDescent="0.35">
      <c r="C70559" s="2"/>
    </row>
    <row r="70560" spans="3:3" x14ac:dyDescent="0.35">
      <c r="C70560" s="2"/>
    </row>
    <row r="70561" spans="3:3" x14ac:dyDescent="0.35">
      <c r="C70561" s="2"/>
    </row>
    <row r="70562" spans="3:3" x14ac:dyDescent="0.35">
      <c r="C70562" s="2"/>
    </row>
    <row r="70563" spans="3:3" x14ac:dyDescent="0.35">
      <c r="C70563" s="2"/>
    </row>
    <row r="70564" spans="3:3" x14ac:dyDescent="0.35">
      <c r="C70564" s="2"/>
    </row>
    <row r="70565" spans="3:3" x14ac:dyDescent="0.35">
      <c r="C70565" s="2"/>
    </row>
    <row r="70566" spans="3:3" x14ac:dyDescent="0.35">
      <c r="C70566" s="2"/>
    </row>
    <row r="70567" spans="3:3" x14ac:dyDescent="0.35">
      <c r="C70567" s="2"/>
    </row>
    <row r="70568" spans="3:3" x14ac:dyDescent="0.35">
      <c r="C70568" s="2"/>
    </row>
    <row r="70569" spans="3:3" x14ac:dyDescent="0.35">
      <c r="C70569" s="2"/>
    </row>
    <row r="70570" spans="3:3" x14ac:dyDescent="0.35">
      <c r="C70570" s="2"/>
    </row>
    <row r="70571" spans="3:3" x14ac:dyDescent="0.35">
      <c r="C70571" s="2"/>
    </row>
    <row r="70572" spans="3:3" x14ac:dyDescent="0.35">
      <c r="C70572" s="2"/>
    </row>
    <row r="70573" spans="3:3" x14ac:dyDescent="0.35">
      <c r="C70573" s="2"/>
    </row>
    <row r="70574" spans="3:3" x14ac:dyDescent="0.35">
      <c r="C70574" s="2"/>
    </row>
    <row r="70575" spans="3:3" x14ac:dyDescent="0.35">
      <c r="C70575" s="2"/>
    </row>
    <row r="70576" spans="3:3" x14ac:dyDescent="0.35">
      <c r="C70576" s="2"/>
    </row>
    <row r="70577" spans="3:3" x14ac:dyDescent="0.35">
      <c r="C70577" s="2"/>
    </row>
    <row r="70578" spans="3:3" x14ac:dyDescent="0.35">
      <c r="C70578" s="2"/>
    </row>
    <row r="70579" spans="3:3" x14ac:dyDescent="0.35">
      <c r="C70579" s="2"/>
    </row>
    <row r="70580" spans="3:3" x14ac:dyDescent="0.35">
      <c r="C70580" s="2"/>
    </row>
    <row r="70581" spans="3:3" x14ac:dyDescent="0.35">
      <c r="C70581" s="2"/>
    </row>
    <row r="70582" spans="3:3" x14ac:dyDescent="0.35">
      <c r="C70582" s="2"/>
    </row>
    <row r="70583" spans="3:3" x14ac:dyDescent="0.35">
      <c r="C70583" s="2"/>
    </row>
    <row r="70584" spans="3:3" x14ac:dyDescent="0.35">
      <c r="C70584" s="2"/>
    </row>
    <row r="70585" spans="3:3" x14ac:dyDescent="0.35">
      <c r="C70585" s="2"/>
    </row>
    <row r="70586" spans="3:3" x14ac:dyDescent="0.35">
      <c r="C70586" s="2"/>
    </row>
    <row r="70587" spans="3:3" x14ac:dyDescent="0.35">
      <c r="C70587" s="2"/>
    </row>
    <row r="70588" spans="3:3" x14ac:dyDescent="0.35">
      <c r="C70588" s="2"/>
    </row>
    <row r="70589" spans="3:3" x14ac:dyDescent="0.35">
      <c r="C70589" s="2"/>
    </row>
    <row r="70590" spans="3:3" x14ac:dyDescent="0.35">
      <c r="C70590" s="2"/>
    </row>
    <row r="70591" spans="3:3" x14ac:dyDescent="0.35">
      <c r="C70591" s="2"/>
    </row>
    <row r="70592" spans="3:3" x14ac:dyDescent="0.35">
      <c r="C70592" s="2"/>
    </row>
    <row r="70593" spans="3:3" x14ac:dyDescent="0.35">
      <c r="C70593" s="2"/>
    </row>
    <row r="70594" spans="3:3" x14ac:dyDescent="0.35">
      <c r="C70594" s="2"/>
    </row>
    <row r="70595" spans="3:3" x14ac:dyDescent="0.35">
      <c r="C70595" s="2"/>
    </row>
    <row r="70596" spans="3:3" x14ac:dyDescent="0.35">
      <c r="C70596" s="2"/>
    </row>
    <row r="70597" spans="3:3" x14ac:dyDescent="0.35">
      <c r="C70597" s="2"/>
    </row>
    <row r="70598" spans="3:3" x14ac:dyDescent="0.35">
      <c r="C70598" s="2"/>
    </row>
    <row r="70599" spans="3:3" x14ac:dyDescent="0.35">
      <c r="C70599" s="2"/>
    </row>
    <row r="70600" spans="3:3" x14ac:dyDescent="0.35">
      <c r="C70600" s="2"/>
    </row>
    <row r="70601" spans="3:3" x14ac:dyDescent="0.35">
      <c r="C70601" s="2"/>
    </row>
    <row r="70602" spans="3:3" x14ac:dyDescent="0.35">
      <c r="C70602" s="2"/>
    </row>
    <row r="70603" spans="3:3" x14ac:dyDescent="0.35">
      <c r="C70603" s="2"/>
    </row>
    <row r="70604" spans="3:3" x14ac:dyDescent="0.35">
      <c r="C70604" s="2"/>
    </row>
    <row r="70605" spans="3:3" x14ac:dyDescent="0.35">
      <c r="C70605" s="2"/>
    </row>
    <row r="70606" spans="3:3" x14ac:dyDescent="0.35">
      <c r="C70606" s="2"/>
    </row>
    <row r="70607" spans="3:3" x14ac:dyDescent="0.35">
      <c r="C70607" s="2"/>
    </row>
    <row r="70608" spans="3:3" x14ac:dyDescent="0.35">
      <c r="C70608" s="2"/>
    </row>
    <row r="70609" spans="3:3" x14ac:dyDescent="0.35">
      <c r="C70609" s="2"/>
    </row>
    <row r="70610" spans="3:3" x14ac:dyDescent="0.35">
      <c r="C70610" s="2"/>
    </row>
    <row r="70611" spans="3:3" x14ac:dyDescent="0.35">
      <c r="C70611" s="2"/>
    </row>
    <row r="70612" spans="3:3" x14ac:dyDescent="0.35">
      <c r="C70612" s="2"/>
    </row>
    <row r="70613" spans="3:3" x14ac:dyDescent="0.35">
      <c r="C70613" s="2"/>
    </row>
    <row r="70614" spans="3:3" x14ac:dyDescent="0.35">
      <c r="C70614" s="2"/>
    </row>
    <row r="70615" spans="3:3" x14ac:dyDescent="0.35">
      <c r="C70615" s="2"/>
    </row>
    <row r="70616" spans="3:3" x14ac:dyDescent="0.35">
      <c r="C70616" s="2"/>
    </row>
    <row r="70617" spans="3:3" x14ac:dyDescent="0.35">
      <c r="C70617" s="2"/>
    </row>
    <row r="70618" spans="3:3" x14ac:dyDescent="0.35">
      <c r="C70618" s="2"/>
    </row>
    <row r="70619" spans="3:3" x14ac:dyDescent="0.35">
      <c r="C70619" s="2"/>
    </row>
    <row r="70620" spans="3:3" x14ac:dyDescent="0.35">
      <c r="C70620" s="2"/>
    </row>
    <row r="70621" spans="3:3" x14ac:dyDescent="0.35">
      <c r="C70621" s="2"/>
    </row>
    <row r="70622" spans="3:3" x14ac:dyDescent="0.35">
      <c r="C70622" s="2"/>
    </row>
    <row r="70623" spans="3:3" x14ac:dyDescent="0.35">
      <c r="C70623" s="2"/>
    </row>
    <row r="70624" spans="3:3" x14ac:dyDescent="0.35">
      <c r="C70624" s="2"/>
    </row>
    <row r="70625" spans="3:3" x14ac:dyDescent="0.35">
      <c r="C70625" s="2"/>
    </row>
    <row r="70626" spans="3:3" x14ac:dyDescent="0.35">
      <c r="C70626" s="2"/>
    </row>
    <row r="70627" spans="3:3" x14ac:dyDescent="0.35">
      <c r="C70627" s="2"/>
    </row>
    <row r="70628" spans="3:3" x14ac:dyDescent="0.35">
      <c r="C70628" s="2"/>
    </row>
    <row r="70629" spans="3:3" x14ac:dyDescent="0.35">
      <c r="C70629" s="2"/>
    </row>
    <row r="70630" spans="3:3" x14ac:dyDescent="0.35">
      <c r="C70630" s="2"/>
    </row>
    <row r="70631" spans="3:3" x14ac:dyDescent="0.35">
      <c r="C70631" s="2"/>
    </row>
    <row r="70632" spans="3:3" x14ac:dyDescent="0.35">
      <c r="C70632" s="2"/>
    </row>
    <row r="70633" spans="3:3" x14ac:dyDescent="0.35">
      <c r="C70633" s="2"/>
    </row>
    <row r="70634" spans="3:3" x14ac:dyDescent="0.35">
      <c r="C70634" s="2"/>
    </row>
    <row r="70635" spans="3:3" x14ac:dyDescent="0.35">
      <c r="C70635" s="2"/>
    </row>
    <row r="70636" spans="3:3" x14ac:dyDescent="0.35">
      <c r="C70636" s="2"/>
    </row>
    <row r="70637" spans="3:3" x14ac:dyDescent="0.35">
      <c r="C70637" s="2"/>
    </row>
    <row r="70638" spans="3:3" x14ac:dyDescent="0.35">
      <c r="C70638" s="2"/>
    </row>
    <row r="70639" spans="3:3" x14ac:dyDescent="0.35">
      <c r="C70639" s="2"/>
    </row>
    <row r="70640" spans="3:3" x14ac:dyDescent="0.35">
      <c r="C70640" s="2"/>
    </row>
    <row r="70641" spans="3:3" x14ac:dyDescent="0.35">
      <c r="C70641" s="2"/>
    </row>
    <row r="70642" spans="3:3" x14ac:dyDescent="0.35">
      <c r="C70642" s="2"/>
    </row>
    <row r="70643" spans="3:3" x14ac:dyDescent="0.35">
      <c r="C70643" s="2"/>
    </row>
    <row r="70644" spans="3:3" x14ac:dyDescent="0.35">
      <c r="C70644" s="2"/>
    </row>
    <row r="70645" spans="3:3" x14ac:dyDescent="0.35">
      <c r="C70645" s="2"/>
    </row>
    <row r="70646" spans="3:3" x14ac:dyDescent="0.35">
      <c r="C70646" s="2"/>
    </row>
    <row r="70647" spans="3:3" x14ac:dyDescent="0.35">
      <c r="C70647" s="2"/>
    </row>
    <row r="70648" spans="3:3" x14ac:dyDescent="0.35">
      <c r="C70648" s="2"/>
    </row>
    <row r="70649" spans="3:3" x14ac:dyDescent="0.35">
      <c r="C70649" s="2"/>
    </row>
    <row r="70650" spans="3:3" x14ac:dyDescent="0.35">
      <c r="C70650" s="2"/>
    </row>
    <row r="70651" spans="3:3" x14ac:dyDescent="0.35">
      <c r="C70651" s="2"/>
    </row>
    <row r="70652" spans="3:3" x14ac:dyDescent="0.35">
      <c r="C70652" s="2"/>
    </row>
    <row r="70653" spans="3:3" x14ac:dyDescent="0.35">
      <c r="C70653" s="2"/>
    </row>
    <row r="70654" spans="3:3" x14ac:dyDescent="0.35">
      <c r="C70654" s="2"/>
    </row>
    <row r="70655" spans="3:3" x14ac:dyDescent="0.35">
      <c r="C70655" s="2"/>
    </row>
    <row r="70656" spans="3:3" x14ac:dyDescent="0.35">
      <c r="C70656" s="2"/>
    </row>
    <row r="70657" spans="3:3" x14ac:dyDescent="0.35">
      <c r="C70657" s="2"/>
    </row>
    <row r="70658" spans="3:3" x14ac:dyDescent="0.35">
      <c r="C70658" s="2"/>
    </row>
    <row r="70659" spans="3:3" x14ac:dyDescent="0.35">
      <c r="C70659" s="2"/>
    </row>
    <row r="70660" spans="3:3" x14ac:dyDescent="0.35">
      <c r="C70660" s="2"/>
    </row>
    <row r="70661" spans="3:3" x14ac:dyDescent="0.35">
      <c r="C70661" s="2"/>
    </row>
    <row r="70662" spans="3:3" x14ac:dyDescent="0.35">
      <c r="C70662" s="2"/>
    </row>
    <row r="70663" spans="3:3" x14ac:dyDescent="0.35">
      <c r="C70663" s="2"/>
    </row>
    <row r="70664" spans="3:3" x14ac:dyDescent="0.35">
      <c r="C70664" s="2"/>
    </row>
    <row r="70665" spans="3:3" x14ac:dyDescent="0.35">
      <c r="C70665" s="2"/>
    </row>
    <row r="70666" spans="3:3" x14ac:dyDescent="0.35">
      <c r="C70666" s="2"/>
    </row>
    <row r="70667" spans="3:3" x14ac:dyDescent="0.35">
      <c r="C70667" s="2"/>
    </row>
    <row r="70668" spans="3:3" x14ac:dyDescent="0.35">
      <c r="C70668" s="2"/>
    </row>
    <row r="70669" spans="3:3" x14ac:dyDescent="0.35">
      <c r="C70669" s="2"/>
    </row>
    <row r="70670" spans="3:3" x14ac:dyDescent="0.35">
      <c r="C70670" s="2"/>
    </row>
    <row r="70671" spans="3:3" x14ac:dyDescent="0.35">
      <c r="C70671" s="2"/>
    </row>
    <row r="70672" spans="3:3" x14ac:dyDescent="0.35">
      <c r="C70672" s="2"/>
    </row>
    <row r="70673" spans="3:3" x14ac:dyDescent="0.35">
      <c r="C70673" s="2"/>
    </row>
    <row r="70674" spans="3:3" x14ac:dyDescent="0.35">
      <c r="C70674" s="2"/>
    </row>
    <row r="70675" spans="3:3" x14ac:dyDescent="0.35">
      <c r="C70675" s="2"/>
    </row>
    <row r="70676" spans="3:3" x14ac:dyDescent="0.35">
      <c r="C70676" s="2"/>
    </row>
    <row r="70677" spans="3:3" x14ac:dyDescent="0.35">
      <c r="C70677" s="2"/>
    </row>
    <row r="70678" spans="3:3" x14ac:dyDescent="0.35">
      <c r="C70678" s="2"/>
    </row>
    <row r="70679" spans="3:3" x14ac:dyDescent="0.35">
      <c r="C70679" s="2"/>
    </row>
    <row r="70680" spans="3:3" x14ac:dyDescent="0.35">
      <c r="C70680" s="2"/>
    </row>
    <row r="70681" spans="3:3" x14ac:dyDescent="0.35">
      <c r="C70681" s="2"/>
    </row>
    <row r="70682" spans="3:3" x14ac:dyDescent="0.35">
      <c r="C70682" s="2"/>
    </row>
    <row r="70683" spans="3:3" x14ac:dyDescent="0.35">
      <c r="C70683" s="2"/>
    </row>
    <row r="70684" spans="3:3" x14ac:dyDescent="0.35">
      <c r="C70684" s="2"/>
    </row>
    <row r="70685" spans="3:3" x14ac:dyDescent="0.35">
      <c r="C70685" s="2"/>
    </row>
    <row r="70686" spans="3:3" x14ac:dyDescent="0.35">
      <c r="C70686" s="2"/>
    </row>
    <row r="70687" spans="3:3" x14ac:dyDescent="0.35">
      <c r="C70687" s="2"/>
    </row>
    <row r="70688" spans="3:3" x14ac:dyDescent="0.35">
      <c r="C70688" s="2"/>
    </row>
    <row r="70689" spans="3:3" x14ac:dyDescent="0.35">
      <c r="C70689" s="2"/>
    </row>
    <row r="70690" spans="3:3" x14ac:dyDescent="0.35">
      <c r="C70690" s="2"/>
    </row>
    <row r="70691" spans="3:3" x14ac:dyDescent="0.35">
      <c r="C70691" s="2"/>
    </row>
    <row r="70692" spans="3:3" x14ac:dyDescent="0.35">
      <c r="C70692" s="2"/>
    </row>
    <row r="70693" spans="3:3" x14ac:dyDescent="0.35">
      <c r="C70693" s="2"/>
    </row>
    <row r="70694" spans="3:3" x14ac:dyDescent="0.35">
      <c r="C70694" s="2"/>
    </row>
    <row r="70695" spans="3:3" x14ac:dyDescent="0.35">
      <c r="C70695" s="2"/>
    </row>
    <row r="70696" spans="3:3" x14ac:dyDescent="0.35">
      <c r="C70696" s="2"/>
    </row>
    <row r="70697" spans="3:3" x14ac:dyDescent="0.35">
      <c r="C70697" s="2"/>
    </row>
    <row r="70698" spans="3:3" x14ac:dyDescent="0.35">
      <c r="C70698" s="2"/>
    </row>
    <row r="70699" spans="3:3" x14ac:dyDescent="0.35">
      <c r="C70699" s="2"/>
    </row>
    <row r="70700" spans="3:3" x14ac:dyDescent="0.35">
      <c r="C70700" s="2"/>
    </row>
    <row r="70701" spans="3:3" x14ac:dyDescent="0.35">
      <c r="C70701" s="2"/>
    </row>
    <row r="70702" spans="3:3" x14ac:dyDescent="0.35">
      <c r="C70702" s="2"/>
    </row>
    <row r="70703" spans="3:3" x14ac:dyDescent="0.35">
      <c r="C70703" s="2"/>
    </row>
    <row r="70704" spans="3:3" x14ac:dyDescent="0.35">
      <c r="C70704" s="2"/>
    </row>
    <row r="70705" spans="3:3" x14ac:dyDescent="0.35">
      <c r="C70705" s="2"/>
    </row>
    <row r="70706" spans="3:3" x14ac:dyDescent="0.35">
      <c r="C70706" s="2"/>
    </row>
    <row r="70707" spans="3:3" x14ac:dyDescent="0.35">
      <c r="C70707" s="2"/>
    </row>
    <row r="70708" spans="3:3" x14ac:dyDescent="0.35">
      <c r="C70708" s="2"/>
    </row>
    <row r="70709" spans="3:3" x14ac:dyDescent="0.35">
      <c r="C70709" s="2"/>
    </row>
    <row r="70710" spans="3:3" x14ac:dyDescent="0.35">
      <c r="C70710" s="2"/>
    </row>
    <row r="70711" spans="3:3" x14ac:dyDescent="0.35">
      <c r="C70711" s="2"/>
    </row>
    <row r="70712" spans="3:3" x14ac:dyDescent="0.35">
      <c r="C70712" s="2"/>
    </row>
    <row r="70713" spans="3:3" x14ac:dyDescent="0.35">
      <c r="C70713" s="2"/>
    </row>
    <row r="70714" spans="3:3" x14ac:dyDescent="0.35">
      <c r="C70714" s="2"/>
    </row>
    <row r="70715" spans="3:3" x14ac:dyDescent="0.35">
      <c r="C70715" s="2"/>
    </row>
    <row r="70716" spans="3:3" x14ac:dyDescent="0.35">
      <c r="C70716" s="2"/>
    </row>
    <row r="70717" spans="3:3" x14ac:dyDescent="0.35">
      <c r="C70717" s="2"/>
    </row>
    <row r="70718" spans="3:3" x14ac:dyDescent="0.35">
      <c r="C70718" s="2"/>
    </row>
    <row r="70719" spans="3:3" x14ac:dyDescent="0.35">
      <c r="C70719" s="2"/>
    </row>
    <row r="70720" spans="3:3" x14ac:dyDescent="0.35">
      <c r="C70720" s="2"/>
    </row>
    <row r="70721" spans="3:3" x14ac:dyDescent="0.35">
      <c r="C70721" s="2"/>
    </row>
    <row r="70722" spans="3:3" x14ac:dyDescent="0.35">
      <c r="C70722" s="2"/>
    </row>
    <row r="70723" spans="3:3" x14ac:dyDescent="0.35">
      <c r="C70723" s="2"/>
    </row>
    <row r="70724" spans="3:3" x14ac:dyDescent="0.35">
      <c r="C70724" s="2"/>
    </row>
    <row r="70725" spans="3:3" x14ac:dyDescent="0.35">
      <c r="C70725" s="2"/>
    </row>
    <row r="70726" spans="3:3" x14ac:dyDescent="0.35">
      <c r="C70726" s="2"/>
    </row>
    <row r="70727" spans="3:3" x14ac:dyDescent="0.35">
      <c r="C70727" s="2"/>
    </row>
    <row r="70728" spans="3:3" x14ac:dyDescent="0.35">
      <c r="C70728" s="2"/>
    </row>
    <row r="70729" spans="3:3" x14ac:dyDescent="0.35">
      <c r="C70729" s="2"/>
    </row>
    <row r="70730" spans="3:3" x14ac:dyDescent="0.35">
      <c r="C70730" s="2"/>
    </row>
    <row r="70731" spans="3:3" x14ac:dyDescent="0.35">
      <c r="C70731" s="2"/>
    </row>
    <row r="70732" spans="3:3" x14ac:dyDescent="0.35">
      <c r="C70732" s="2"/>
    </row>
    <row r="70733" spans="3:3" x14ac:dyDescent="0.35">
      <c r="C70733" s="2"/>
    </row>
    <row r="70734" spans="3:3" x14ac:dyDescent="0.35">
      <c r="C70734" s="2"/>
    </row>
    <row r="70735" spans="3:3" x14ac:dyDescent="0.35">
      <c r="C70735" s="2"/>
    </row>
    <row r="70736" spans="3:3" x14ac:dyDescent="0.35">
      <c r="C70736" s="2"/>
    </row>
    <row r="70737" spans="3:3" x14ac:dyDescent="0.35">
      <c r="C70737" s="2"/>
    </row>
    <row r="70738" spans="3:3" x14ac:dyDescent="0.35">
      <c r="C70738" s="2"/>
    </row>
    <row r="70739" spans="3:3" x14ac:dyDescent="0.35">
      <c r="C70739" s="2"/>
    </row>
    <row r="70740" spans="3:3" x14ac:dyDescent="0.35">
      <c r="C70740" s="2"/>
    </row>
    <row r="70741" spans="3:3" x14ac:dyDescent="0.35">
      <c r="C70741" s="2"/>
    </row>
    <row r="70742" spans="3:3" x14ac:dyDescent="0.35">
      <c r="C70742" s="2"/>
    </row>
    <row r="70743" spans="3:3" x14ac:dyDescent="0.35">
      <c r="C70743" s="2"/>
    </row>
    <row r="70744" spans="3:3" x14ac:dyDescent="0.35">
      <c r="C70744" s="2"/>
    </row>
    <row r="70745" spans="3:3" x14ac:dyDescent="0.35">
      <c r="C70745" s="2"/>
    </row>
    <row r="70746" spans="3:3" x14ac:dyDescent="0.35">
      <c r="C70746" s="2"/>
    </row>
    <row r="70747" spans="3:3" x14ac:dyDescent="0.35">
      <c r="C70747" s="2"/>
    </row>
    <row r="70748" spans="3:3" x14ac:dyDescent="0.35">
      <c r="C70748" s="2"/>
    </row>
    <row r="70749" spans="3:3" x14ac:dyDescent="0.35">
      <c r="C70749" s="2"/>
    </row>
    <row r="70750" spans="3:3" x14ac:dyDescent="0.35">
      <c r="C70750" s="2"/>
    </row>
    <row r="70751" spans="3:3" x14ac:dyDescent="0.35">
      <c r="C70751" s="2"/>
    </row>
    <row r="70752" spans="3:3" x14ac:dyDescent="0.35">
      <c r="C70752" s="2"/>
    </row>
    <row r="70753" spans="3:3" x14ac:dyDescent="0.35">
      <c r="C70753" s="2"/>
    </row>
    <row r="70754" spans="3:3" x14ac:dyDescent="0.35">
      <c r="C70754" s="2"/>
    </row>
    <row r="70755" spans="3:3" x14ac:dyDescent="0.35">
      <c r="C70755" s="2"/>
    </row>
    <row r="70756" spans="3:3" x14ac:dyDescent="0.35">
      <c r="C70756" s="2"/>
    </row>
    <row r="70757" spans="3:3" x14ac:dyDescent="0.35">
      <c r="C70757" s="2"/>
    </row>
    <row r="70758" spans="3:3" x14ac:dyDescent="0.35">
      <c r="C70758" s="2"/>
    </row>
    <row r="70759" spans="3:3" x14ac:dyDescent="0.35">
      <c r="C70759" s="2"/>
    </row>
    <row r="70760" spans="3:3" x14ac:dyDescent="0.35">
      <c r="C70760" s="2"/>
    </row>
    <row r="70761" spans="3:3" x14ac:dyDescent="0.35">
      <c r="C70761" s="2"/>
    </row>
    <row r="70762" spans="3:3" x14ac:dyDescent="0.35">
      <c r="C70762" s="2"/>
    </row>
    <row r="70763" spans="3:3" x14ac:dyDescent="0.35">
      <c r="C70763" s="2"/>
    </row>
    <row r="70764" spans="3:3" x14ac:dyDescent="0.35">
      <c r="C70764" s="2"/>
    </row>
    <row r="70765" spans="3:3" x14ac:dyDescent="0.35">
      <c r="C70765" s="2"/>
    </row>
    <row r="70766" spans="3:3" x14ac:dyDescent="0.35">
      <c r="C70766" s="2"/>
    </row>
    <row r="70767" spans="3:3" x14ac:dyDescent="0.35">
      <c r="C70767" s="2"/>
    </row>
    <row r="70768" spans="3:3" x14ac:dyDescent="0.35">
      <c r="C70768" s="2"/>
    </row>
    <row r="70769" spans="3:3" x14ac:dyDescent="0.35">
      <c r="C70769" s="2"/>
    </row>
    <row r="70770" spans="3:3" x14ac:dyDescent="0.35">
      <c r="C70770" s="2"/>
    </row>
    <row r="70771" spans="3:3" x14ac:dyDescent="0.35">
      <c r="C70771" s="2"/>
    </row>
    <row r="70772" spans="3:3" x14ac:dyDescent="0.35">
      <c r="C70772" s="2"/>
    </row>
    <row r="70773" spans="3:3" x14ac:dyDescent="0.35">
      <c r="C70773" s="2"/>
    </row>
    <row r="70774" spans="3:3" x14ac:dyDescent="0.35">
      <c r="C70774" s="2"/>
    </row>
    <row r="70775" spans="3:3" x14ac:dyDescent="0.35">
      <c r="C70775" s="2"/>
    </row>
    <row r="70776" spans="3:3" x14ac:dyDescent="0.35">
      <c r="C70776" s="2"/>
    </row>
    <row r="70777" spans="3:3" x14ac:dyDescent="0.35">
      <c r="C70777" s="2"/>
    </row>
    <row r="70778" spans="3:3" x14ac:dyDescent="0.35">
      <c r="C70778" s="2"/>
    </row>
    <row r="70779" spans="3:3" x14ac:dyDescent="0.35">
      <c r="C70779" s="2"/>
    </row>
    <row r="70780" spans="3:3" x14ac:dyDescent="0.35">
      <c r="C70780" s="2"/>
    </row>
    <row r="70781" spans="3:3" x14ac:dyDescent="0.35">
      <c r="C70781" s="2"/>
    </row>
    <row r="70782" spans="3:3" x14ac:dyDescent="0.35">
      <c r="C70782" s="2"/>
    </row>
    <row r="70783" spans="3:3" x14ac:dyDescent="0.35">
      <c r="C70783" s="2"/>
    </row>
    <row r="70784" spans="3:3" x14ac:dyDescent="0.35">
      <c r="C70784" s="2"/>
    </row>
    <row r="70785" spans="3:3" x14ac:dyDescent="0.35">
      <c r="C70785" s="2"/>
    </row>
    <row r="70786" spans="3:3" x14ac:dyDescent="0.35">
      <c r="C70786" s="2"/>
    </row>
    <row r="70787" spans="3:3" x14ac:dyDescent="0.35">
      <c r="C70787" s="2"/>
    </row>
    <row r="70788" spans="3:3" x14ac:dyDescent="0.35">
      <c r="C70788" s="2"/>
    </row>
    <row r="70789" spans="3:3" x14ac:dyDescent="0.35">
      <c r="C70789" s="2"/>
    </row>
    <row r="70790" spans="3:3" x14ac:dyDescent="0.35">
      <c r="C70790" s="2"/>
    </row>
    <row r="70791" spans="3:3" x14ac:dyDescent="0.35">
      <c r="C70791" s="2"/>
    </row>
    <row r="70792" spans="3:3" x14ac:dyDescent="0.35">
      <c r="C70792" s="2"/>
    </row>
    <row r="70793" spans="3:3" x14ac:dyDescent="0.35">
      <c r="C70793" s="2"/>
    </row>
    <row r="70794" spans="3:3" x14ac:dyDescent="0.35">
      <c r="C70794" s="2"/>
    </row>
    <row r="70795" spans="3:3" x14ac:dyDescent="0.35">
      <c r="C70795" s="2"/>
    </row>
    <row r="70796" spans="3:3" x14ac:dyDescent="0.35">
      <c r="C70796" s="2"/>
    </row>
    <row r="70797" spans="3:3" x14ac:dyDescent="0.35">
      <c r="C70797" s="2"/>
    </row>
    <row r="70798" spans="3:3" x14ac:dyDescent="0.35">
      <c r="C70798" s="2"/>
    </row>
    <row r="70799" spans="3:3" x14ac:dyDescent="0.35">
      <c r="C70799" s="2"/>
    </row>
    <row r="70800" spans="3:3" x14ac:dyDescent="0.35">
      <c r="C70800" s="2"/>
    </row>
    <row r="70801" spans="3:3" x14ac:dyDescent="0.35">
      <c r="C70801" s="2"/>
    </row>
    <row r="70802" spans="3:3" x14ac:dyDescent="0.35">
      <c r="C70802" s="2"/>
    </row>
    <row r="70803" spans="3:3" x14ac:dyDescent="0.35">
      <c r="C70803" s="2"/>
    </row>
    <row r="70804" spans="3:3" x14ac:dyDescent="0.35">
      <c r="C70804" s="2"/>
    </row>
    <row r="70805" spans="3:3" x14ac:dyDescent="0.35">
      <c r="C70805" s="2"/>
    </row>
    <row r="70806" spans="3:3" x14ac:dyDescent="0.35">
      <c r="C70806" s="2"/>
    </row>
    <row r="70807" spans="3:3" x14ac:dyDescent="0.35">
      <c r="C70807" s="2"/>
    </row>
    <row r="70808" spans="3:3" x14ac:dyDescent="0.35">
      <c r="C70808" s="2"/>
    </row>
    <row r="70809" spans="3:3" x14ac:dyDescent="0.35">
      <c r="C70809" s="2"/>
    </row>
    <row r="70810" spans="3:3" x14ac:dyDescent="0.35">
      <c r="C70810" s="2"/>
    </row>
    <row r="70811" spans="3:3" x14ac:dyDescent="0.35">
      <c r="C70811" s="2"/>
    </row>
    <row r="70812" spans="3:3" x14ac:dyDescent="0.35">
      <c r="C70812" s="2"/>
    </row>
    <row r="70813" spans="3:3" x14ac:dyDescent="0.35">
      <c r="C70813" s="2"/>
    </row>
    <row r="70814" spans="3:3" x14ac:dyDescent="0.35">
      <c r="C70814" s="2"/>
    </row>
    <row r="70815" spans="3:3" x14ac:dyDescent="0.35">
      <c r="C70815" s="2"/>
    </row>
    <row r="70816" spans="3:3" x14ac:dyDescent="0.35">
      <c r="C70816" s="2"/>
    </row>
    <row r="70817" spans="3:3" x14ac:dyDescent="0.35">
      <c r="C70817" s="2"/>
    </row>
    <row r="70818" spans="3:3" x14ac:dyDescent="0.35">
      <c r="C70818" s="2"/>
    </row>
    <row r="70819" spans="3:3" x14ac:dyDescent="0.35">
      <c r="C70819" s="2"/>
    </row>
    <row r="70820" spans="3:3" x14ac:dyDescent="0.35">
      <c r="C70820" s="2"/>
    </row>
    <row r="70821" spans="3:3" x14ac:dyDescent="0.35">
      <c r="C70821" s="2"/>
    </row>
    <row r="70822" spans="3:3" x14ac:dyDescent="0.35">
      <c r="C70822" s="2"/>
    </row>
    <row r="70823" spans="3:3" x14ac:dyDescent="0.35">
      <c r="C70823" s="2"/>
    </row>
    <row r="70824" spans="3:3" x14ac:dyDescent="0.35">
      <c r="C70824" s="2"/>
    </row>
    <row r="70825" spans="3:3" x14ac:dyDescent="0.35">
      <c r="C70825" s="2"/>
    </row>
    <row r="70826" spans="3:3" x14ac:dyDescent="0.35">
      <c r="C70826" s="2"/>
    </row>
    <row r="70827" spans="3:3" x14ac:dyDescent="0.35">
      <c r="C70827" s="2"/>
    </row>
    <row r="70828" spans="3:3" x14ac:dyDescent="0.35">
      <c r="C70828" s="2"/>
    </row>
    <row r="70829" spans="3:3" x14ac:dyDescent="0.35">
      <c r="C70829" s="2"/>
    </row>
    <row r="70830" spans="3:3" x14ac:dyDescent="0.35">
      <c r="C70830" s="2"/>
    </row>
    <row r="70831" spans="3:3" x14ac:dyDescent="0.35">
      <c r="C70831" s="2"/>
    </row>
    <row r="70832" spans="3:3" x14ac:dyDescent="0.35">
      <c r="C70832" s="2"/>
    </row>
    <row r="70833" spans="3:3" x14ac:dyDescent="0.35">
      <c r="C70833" s="2"/>
    </row>
    <row r="70834" spans="3:3" x14ac:dyDescent="0.35">
      <c r="C70834" s="2"/>
    </row>
    <row r="70835" spans="3:3" x14ac:dyDescent="0.35">
      <c r="C70835" s="2"/>
    </row>
    <row r="70836" spans="3:3" x14ac:dyDescent="0.35">
      <c r="C70836" s="2"/>
    </row>
    <row r="70837" spans="3:3" x14ac:dyDescent="0.35">
      <c r="C70837" s="2"/>
    </row>
    <row r="70838" spans="3:3" x14ac:dyDescent="0.35">
      <c r="C70838" s="2"/>
    </row>
    <row r="70839" spans="3:3" x14ac:dyDescent="0.35">
      <c r="C70839" s="2"/>
    </row>
    <row r="70840" spans="3:3" x14ac:dyDescent="0.35">
      <c r="C70840" s="2"/>
    </row>
    <row r="70841" spans="3:3" x14ac:dyDescent="0.35">
      <c r="C70841" s="2"/>
    </row>
    <row r="70842" spans="3:3" x14ac:dyDescent="0.35">
      <c r="C70842" s="2"/>
    </row>
    <row r="70843" spans="3:3" x14ac:dyDescent="0.35">
      <c r="C70843" s="2"/>
    </row>
    <row r="70844" spans="3:3" x14ac:dyDescent="0.35">
      <c r="C70844" s="2"/>
    </row>
    <row r="70845" spans="3:3" x14ac:dyDescent="0.35">
      <c r="C70845" s="2"/>
    </row>
    <row r="70846" spans="3:3" x14ac:dyDescent="0.35">
      <c r="C70846" s="2"/>
    </row>
    <row r="70847" spans="3:3" x14ac:dyDescent="0.35">
      <c r="C70847" s="2"/>
    </row>
    <row r="70848" spans="3:3" x14ac:dyDescent="0.35">
      <c r="C70848" s="2"/>
    </row>
    <row r="70849" spans="3:3" x14ac:dyDescent="0.35">
      <c r="C70849" s="2"/>
    </row>
    <row r="70850" spans="3:3" x14ac:dyDescent="0.35">
      <c r="C70850" s="2"/>
    </row>
    <row r="70851" spans="3:3" x14ac:dyDescent="0.35">
      <c r="C70851" s="2"/>
    </row>
    <row r="70852" spans="3:3" x14ac:dyDescent="0.35">
      <c r="C70852" s="2"/>
    </row>
    <row r="70853" spans="3:3" x14ac:dyDescent="0.35">
      <c r="C70853" s="2"/>
    </row>
    <row r="70854" spans="3:3" x14ac:dyDescent="0.35">
      <c r="C70854" s="2"/>
    </row>
    <row r="70855" spans="3:3" x14ac:dyDescent="0.35">
      <c r="C70855" s="2"/>
    </row>
    <row r="70856" spans="3:3" x14ac:dyDescent="0.35">
      <c r="C70856" s="2"/>
    </row>
    <row r="70857" spans="3:3" x14ac:dyDescent="0.35">
      <c r="C70857" s="2"/>
    </row>
    <row r="70858" spans="3:3" x14ac:dyDescent="0.35">
      <c r="C70858" s="2"/>
    </row>
    <row r="70859" spans="3:3" x14ac:dyDescent="0.35">
      <c r="C70859" s="2"/>
    </row>
    <row r="70860" spans="3:3" x14ac:dyDescent="0.35">
      <c r="C70860" s="2"/>
    </row>
    <row r="70861" spans="3:3" x14ac:dyDescent="0.35">
      <c r="C70861" s="2"/>
    </row>
    <row r="70862" spans="3:3" x14ac:dyDescent="0.35">
      <c r="C70862" s="2"/>
    </row>
    <row r="70863" spans="3:3" x14ac:dyDescent="0.35">
      <c r="C70863" s="2"/>
    </row>
    <row r="70864" spans="3:3" x14ac:dyDescent="0.35">
      <c r="C70864" s="2"/>
    </row>
    <row r="70865" spans="3:3" x14ac:dyDescent="0.35">
      <c r="C70865" s="2"/>
    </row>
    <row r="70866" spans="3:3" x14ac:dyDescent="0.35">
      <c r="C70866" s="2"/>
    </row>
    <row r="70867" spans="3:3" x14ac:dyDescent="0.35">
      <c r="C70867" s="2"/>
    </row>
    <row r="70868" spans="3:3" x14ac:dyDescent="0.35">
      <c r="C70868" s="2"/>
    </row>
    <row r="70869" spans="3:3" x14ac:dyDescent="0.35">
      <c r="C70869" s="2"/>
    </row>
    <row r="70870" spans="3:3" x14ac:dyDescent="0.35">
      <c r="C70870" s="2"/>
    </row>
    <row r="70871" spans="3:3" x14ac:dyDescent="0.35">
      <c r="C70871" s="2"/>
    </row>
    <row r="70872" spans="3:3" x14ac:dyDescent="0.35">
      <c r="C70872" s="2"/>
    </row>
    <row r="70873" spans="3:3" x14ac:dyDescent="0.35">
      <c r="C70873" s="2"/>
    </row>
    <row r="70874" spans="3:3" x14ac:dyDescent="0.35">
      <c r="C70874" s="2"/>
    </row>
    <row r="70875" spans="3:3" x14ac:dyDescent="0.35">
      <c r="C70875" s="2"/>
    </row>
    <row r="70876" spans="3:3" x14ac:dyDescent="0.35">
      <c r="C70876" s="2"/>
    </row>
    <row r="70877" spans="3:3" x14ac:dyDescent="0.35">
      <c r="C70877" s="2"/>
    </row>
    <row r="70878" spans="3:3" x14ac:dyDescent="0.35">
      <c r="C70878" s="2"/>
    </row>
    <row r="70879" spans="3:3" x14ac:dyDescent="0.35">
      <c r="C70879" s="2"/>
    </row>
    <row r="70880" spans="3:3" x14ac:dyDescent="0.35">
      <c r="C70880" s="2"/>
    </row>
    <row r="70881" spans="3:3" x14ac:dyDescent="0.35">
      <c r="C70881" s="2"/>
    </row>
    <row r="70882" spans="3:3" x14ac:dyDescent="0.35">
      <c r="C70882" s="2"/>
    </row>
    <row r="70883" spans="3:3" x14ac:dyDescent="0.35">
      <c r="C70883" s="2"/>
    </row>
    <row r="70884" spans="3:3" x14ac:dyDescent="0.35">
      <c r="C70884" s="2"/>
    </row>
    <row r="70885" spans="3:3" x14ac:dyDescent="0.35">
      <c r="C70885" s="2"/>
    </row>
    <row r="70886" spans="3:3" x14ac:dyDescent="0.35">
      <c r="C70886" s="2"/>
    </row>
    <row r="70887" spans="3:3" x14ac:dyDescent="0.35">
      <c r="C70887" s="2"/>
    </row>
    <row r="70888" spans="3:3" x14ac:dyDescent="0.35">
      <c r="C70888" s="2"/>
    </row>
    <row r="70889" spans="3:3" x14ac:dyDescent="0.35">
      <c r="C70889" s="2"/>
    </row>
    <row r="70890" spans="3:3" x14ac:dyDescent="0.35">
      <c r="C70890" s="2"/>
    </row>
    <row r="70891" spans="3:3" x14ac:dyDescent="0.35">
      <c r="C70891" s="2"/>
    </row>
    <row r="70892" spans="3:3" x14ac:dyDescent="0.35">
      <c r="C70892" s="2"/>
    </row>
    <row r="70893" spans="3:3" x14ac:dyDescent="0.35">
      <c r="C70893" s="2"/>
    </row>
    <row r="70894" spans="3:3" x14ac:dyDescent="0.35">
      <c r="C70894" s="2"/>
    </row>
    <row r="70895" spans="3:3" x14ac:dyDescent="0.35">
      <c r="C70895" s="2"/>
    </row>
    <row r="70896" spans="3:3" x14ac:dyDescent="0.35">
      <c r="C70896" s="2"/>
    </row>
    <row r="70897" spans="3:3" x14ac:dyDescent="0.35">
      <c r="C70897" s="2"/>
    </row>
    <row r="70898" spans="3:3" x14ac:dyDescent="0.35">
      <c r="C70898" s="2"/>
    </row>
    <row r="70899" spans="3:3" x14ac:dyDescent="0.35">
      <c r="C70899" s="2"/>
    </row>
    <row r="70900" spans="3:3" x14ac:dyDescent="0.35">
      <c r="C70900" s="2"/>
    </row>
    <row r="70901" spans="3:3" x14ac:dyDescent="0.35">
      <c r="C70901" s="2"/>
    </row>
    <row r="70902" spans="3:3" x14ac:dyDescent="0.35">
      <c r="C70902" s="2"/>
    </row>
    <row r="70903" spans="3:3" x14ac:dyDescent="0.35">
      <c r="C70903" s="2"/>
    </row>
    <row r="70904" spans="3:3" x14ac:dyDescent="0.35">
      <c r="C70904" s="2"/>
    </row>
    <row r="70905" spans="3:3" x14ac:dyDescent="0.35">
      <c r="C70905" s="2"/>
    </row>
    <row r="70906" spans="3:3" x14ac:dyDescent="0.35">
      <c r="C70906" s="2"/>
    </row>
    <row r="70907" spans="3:3" x14ac:dyDescent="0.35">
      <c r="C70907" s="2"/>
    </row>
    <row r="70908" spans="3:3" x14ac:dyDescent="0.35">
      <c r="C70908" s="2"/>
    </row>
    <row r="70909" spans="3:3" x14ac:dyDescent="0.35">
      <c r="C70909" s="2"/>
    </row>
    <row r="70910" spans="3:3" x14ac:dyDescent="0.35">
      <c r="C70910" s="2"/>
    </row>
    <row r="70911" spans="3:3" x14ac:dyDescent="0.35">
      <c r="C70911" s="2"/>
    </row>
    <row r="70912" spans="3:3" x14ac:dyDescent="0.35">
      <c r="C70912" s="2"/>
    </row>
    <row r="70913" spans="3:3" x14ac:dyDescent="0.35">
      <c r="C70913" s="2"/>
    </row>
    <row r="70914" spans="3:3" x14ac:dyDescent="0.35">
      <c r="C70914" s="2"/>
    </row>
    <row r="70915" spans="3:3" x14ac:dyDescent="0.35">
      <c r="C70915" s="2"/>
    </row>
    <row r="70916" spans="3:3" x14ac:dyDescent="0.35">
      <c r="C70916" s="2"/>
    </row>
    <row r="70917" spans="3:3" x14ac:dyDescent="0.35">
      <c r="C70917" s="2"/>
    </row>
    <row r="70918" spans="3:3" x14ac:dyDescent="0.35">
      <c r="C70918" s="2"/>
    </row>
    <row r="70919" spans="3:3" x14ac:dyDescent="0.35">
      <c r="C70919" s="2"/>
    </row>
    <row r="70920" spans="3:3" x14ac:dyDescent="0.35">
      <c r="C70920" s="2"/>
    </row>
    <row r="70921" spans="3:3" x14ac:dyDescent="0.35">
      <c r="C70921" s="2"/>
    </row>
    <row r="70922" spans="3:3" x14ac:dyDescent="0.35">
      <c r="C70922" s="2"/>
    </row>
    <row r="70923" spans="3:3" x14ac:dyDescent="0.35">
      <c r="C70923" s="2"/>
    </row>
    <row r="70924" spans="3:3" x14ac:dyDescent="0.35">
      <c r="C70924" s="2"/>
    </row>
    <row r="70925" spans="3:3" x14ac:dyDescent="0.35">
      <c r="C70925" s="2"/>
    </row>
    <row r="70926" spans="3:3" x14ac:dyDescent="0.35">
      <c r="C70926" s="2"/>
    </row>
    <row r="70927" spans="3:3" x14ac:dyDescent="0.35">
      <c r="C70927" s="2"/>
    </row>
    <row r="70928" spans="3:3" x14ac:dyDescent="0.35">
      <c r="C70928" s="2"/>
    </row>
    <row r="70929" spans="3:3" x14ac:dyDescent="0.35">
      <c r="C70929" s="2"/>
    </row>
    <row r="70930" spans="3:3" x14ac:dyDescent="0.35">
      <c r="C70930" s="2"/>
    </row>
    <row r="70931" spans="3:3" x14ac:dyDescent="0.35">
      <c r="C70931" s="2"/>
    </row>
    <row r="70932" spans="3:3" x14ac:dyDescent="0.35">
      <c r="C70932" s="2"/>
    </row>
    <row r="70933" spans="3:3" x14ac:dyDescent="0.35">
      <c r="C70933" s="2"/>
    </row>
    <row r="70934" spans="3:3" x14ac:dyDescent="0.35">
      <c r="C70934" s="2"/>
    </row>
    <row r="70935" spans="3:3" x14ac:dyDescent="0.35">
      <c r="C70935" s="2"/>
    </row>
    <row r="70936" spans="3:3" x14ac:dyDescent="0.35">
      <c r="C70936" s="2"/>
    </row>
    <row r="70937" spans="3:3" x14ac:dyDescent="0.35">
      <c r="C70937" s="2"/>
    </row>
    <row r="70938" spans="3:3" x14ac:dyDescent="0.35">
      <c r="C70938" s="2"/>
    </row>
    <row r="70939" spans="3:3" x14ac:dyDescent="0.35">
      <c r="C70939" s="2"/>
    </row>
    <row r="70940" spans="3:3" x14ac:dyDescent="0.35">
      <c r="C70940" s="2"/>
    </row>
    <row r="70941" spans="3:3" x14ac:dyDescent="0.35">
      <c r="C70941" s="2"/>
    </row>
    <row r="70942" spans="3:3" x14ac:dyDescent="0.35">
      <c r="C70942" s="2"/>
    </row>
    <row r="70943" spans="3:3" x14ac:dyDescent="0.35">
      <c r="C70943" s="2"/>
    </row>
    <row r="70944" spans="3:3" x14ac:dyDescent="0.35">
      <c r="C70944" s="2"/>
    </row>
    <row r="70945" spans="3:3" x14ac:dyDescent="0.35">
      <c r="C70945" s="2"/>
    </row>
    <row r="70946" spans="3:3" x14ac:dyDescent="0.35">
      <c r="C70946" s="2"/>
    </row>
    <row r="70947" spans="3:3" x14ac:dyDescent="0.35">
      <c r="C70947" s="2"/>
    </row>
    <row r="70948" spans="3:3" x14ac:dyDescent="0.35">
      <c r="C70948" s="2"/>
    </row>
    <row r="70949" spans="3:3" x14ac:dyDescent="0.35">
      <c r="C70949" s="2"/>
    </row>
    <row r="70950" spans="3:3" x14ac:dyDescent="0.35">
      <c r="C70950" s="2"/>
    </row>
    <row r="70951" spans="3:3" x14ac:dyDescent="0.35">
      <c r="C70951" s="2"/>
    </row>
    <row r="70952" spans="3:3" x14ac:dyDescent="0.35">
      <c r="C70952" s="2"/>
    </row>
    <row r="70953" spans="3:3" x14ac:dyDescent="0.35">
      <c r="C70953" s="2"/>
    </row>
    <row r="70954" spans="3:3" x14ac:dyDescent="0.35">
      <c r="C70954" s="2"/>
    </row>
    <row r="70955" spans="3:3" x14ac:dyDescent="0.35">
      <c r="C70955" s="2"/>
    </row>
    <row r="70956" spans="3:3" x14ac:dyDescent="0.35">
      <c r="C70956" s="2"/>
    </row>
    <row r="70957" spans="3:3" x14ac:dyDescent="0.35">
      <c r="C70957" s="2"/>
    </row>
    <row r="70958" spans="3:3" x14ac:dyDescent="0.35">
      <c r="C70958" s="2"/>
    </row>
    <row r="70959" spans="3:3" x14ac:dyDescent="0.35">
      <c r="C70959" s="2"/>
    </row>
    <row r="70960" spans="3:3" x14ac:dyDescent="0.35">
      <c r="C70960" s="2"/>
    </row>
    <row r="70961" spans="3:3" x14ac:dyDescent="0.35">
      <c r="C70961" s="2"/>
    </row>
    <row r="70962" spans="3:3" x14ac:dyDescent="0.35">
      <c r="C70962" s="2"/>
    </row>
    <row r="70963" spans="3:3" x14ac:dyDescent="0.35">
      <c r="C70963" s="2"/>
    </row>
    <row r="70964" spans="3:3" x14ac:dyDescent="0.35">
      <c r="C70964" s="2"/>
    </row>
    <row r="70965" spans="3:3" x14ac:dyDescent="0.35">
      <c r="C70965" s="2"/>
    </row>
    <row r="70966" spans="3:3" x14ac:dyDescent="0.35">
      <c r="C70966" s="2"/>
    </row>
    <row r="70967" spans="3:3" x14ac:dyDescent="0.35">
      <c r="C70967" s="2"/>
    </row>
    <row r="70968" spans="3:3" x14ac:dyDescent="0.35">
      <c r="C70968" s="2"/>
    </row>
    <row r="70969" spans="3:3" x14ac:dyDescent="0.35">
      <c r="C70969" s="2"/>
    </row>
    <row r="70970" spans="3:3" x14ac:dyDescent="0.35">
      <c r="C70970" s="2"/>
    </row>
    <row r="70971" spans="3:3" x14ac:dyDescent="0.35">
      <c r="C70971" s="2"/>
    </row>
    <row r="70972" spans="3:3" x14ac:dyDescent="0.35">
      <c r="C70972" s="2"/>
    </row>
    <row r="70973" spans="3:3" x14ac:dyDescent="0.35">
      <c r="C70973" s="2"/>
    </row>
    <row r="70974" spans="3:3" x14ac:dyDescent="0.35">
      <c r="C70974" s="2"/>
    </row>
    <row r="70975" spans="3:3" x14ac:dyDescent="0.35">
      <c r="C70975" s="2"/>
    </row>
    <row r="70976" spans="3:3" x14ac:dyDescent="0.35">
      <c r="C70976" s="2"/>
    </row>
    <row r="70977" spans="3:3" x14ac:dyDescent="0.35">
      <c r="C70977" s="2"/>
    </row>
    <row r="70978" spans="3:3" x14ac:dyDescent="0.35">
      <c r="C70978" s="2"/>
    </row>
    <row r="70979" spans="3:3" x14ac:dyDescent="0.35">
      <c r="C70979" s="2"/>
    </row>
    <row r="70980" spans="3:3" x14ac:dyDescent="0.35">
      <c r="C70980" s="2"/>
    </row>
    <row r="70981" spans="3:3" x14ac:dyDescent="0.35">
      <c r="C70981" s="2"/>
    </row>
    <row r="70982" spans="3:3" x14ac:dyDescent="0.35">
      <c r="C70982" s="2"/>
    </row>
    <row r="70983" spans="3:3" x14ac:dyDescent="0.35">
      <c r="C70983" s="2"/>
    </row>
    <row r="70984" spans="3:3" x14ac:dyDescent="0.35">
      <c r="C70984" s="2"/>
    </row>
    <row r="70985" spans="3:3" x14ac:dyDescent="0.35">
      <c r="C70985" s="2"/>
    </row>
    <row r="70986" spans="3:3" x14ac:dyDescent="0.35">
      <c r="C70986" s="2"/>
    </row>
    <row r="70987" spans="3:3" x14ac:dyDescent="0.35">
      <c r="C70987" s="2"/>
    </row>
    <row r="70988" spans="3:3" x14ac:dyDescent="0.35">
      <c r="C70988" s="2"/>
    </row>
    <row r="70989" spans="3:3" x14ac:dyDescent="0.35">
      <c r="C70989" s="2"/>
    </row>
    <row r="70990" spans="3:3" x14ac:dyDescent="0.35">
      <c r="C70990" s="2"/>
    </row>
    <row r="70991" spans="3:3" x14ac:dyDescent="0.35">
      <c r="C70991" s="2"/>
    </row>
    <row r="70992" spans="3:3" x14ac:dyDescent="0.35">
      <c r="C70992" s="2"/>
    </row>
    <row r="70993" spans="3:3" x14ac:dyDescent="0.35">
      <c r="C70993" s="2"/>
    </row>
    <row r="70994" spans="3:3" x14ac:dyDescent="0.35">
      <c r="C70994" s="2"/>
    </row>
    <row r="70995" spans="3:3" x14ac:dyDescent="0.35">
      <c r="C70995" s="2"/>
    </row>
    <row r="70996" spans="3:3" x14ac:dyDescent="0.35">
      <c r="C70996" s="2"/>
    </row>
    <row r="70997" spans="3:3" x14ac:dyDescent="0.35">
      <c r="C70997" s="2"/>
    </row>
    <row r="70998" spans="3:3" x14ac:dyDescent="0.35">
      <c r="C70998" s="2"/>
    </row>
    <row r="70999" spans="3:3" x14ac:dyDescent="0.35">
      <c r="C70999" s="2"/>
    </row>
    <row r="71000" spans="3:3" x14ac:dyDescent="0.35">
      <c r="C71000" s="2"/>
    </row>
    <row r="71001" spans="3:3" x14ac:dyDescent="0.35">
      <c r="C71001" s="2"/>
    </row>
    <row r="71002" spans="3:3" x14ac:dyDescent="0.35">
      <c r="C71002" s="2"/>
    </row>
    <row r="71003" spans="3:3" x14ac:dyDescent="0.35">
      <c r="C71003" s="2"/>
    </row>
    <row r="71004" spans="3:3" x14ac:dyDescent="0.35">
      <c r="C71004" s="2"/>
    </row>
    <row r="71005" spans="3:3" x14ac:dyDescent="0.35">
      <c r="C71005" s="2"/>
    </row>
    <row r="71006" spans="3:3" x14ac:dyDescent="0.35">
      <c r="C71006" s="2"/>
    </row>
    <row r="71007" spans="3:3" x14ac:dyDescent="0.35">
      <c r="C71007" s="2"/>
    </row>
    <row r="71008" spans="3:3" x14ac:dyDescent="0.35">
      <c r="C71008" s="2"/>
    </row>
    <row r="71009" spans="3:3" x14ac:dyDescent="0.35">
      <c r="C71009" s="2"/>
    </row>
    <row r="71010" spans="3:3" x14ac:dyDescent="0.35">
      <c r="C71010" s="2"/>
    </row>
    <row r="71011" spans="3:3" x14ac:dyDescent="0.35">
      <c r="C71011" s="2"/>
    </row>
    <row r="71012" spans="3:3" x14ac:dyDescent="0.35">
      <c r="C71012" s="2"/>
    </row>
    <row r="71013" spans="3:3" x14ac:dyDescent="0.35">
      <c r="C71013" s="2"/>
    </row>
    <row r="71014" spans="3:3" x14ac:dyDescent="0.35">
      <c r="C71014" s="2"/>
    </row>
    <row r="71015" spans="3:3" x14ac:dyDescent="0.35">
      <c r="C71015" s="2"/>
    </row>
    <row r="71016" spans="3:3" x14ac:dyDescent="0.35">
      <c r="C71016" s="2"/>
    </row>
    <row r="71017" spans="3:3" x14ac:dyDescent="0.35">
      <c r="C71017" s="2"/>
    </row>
    <row r="71018" spans="3:3" x14ac:dyDescent="0.35">
      <c r="C71018" s="2"/>
    </row>
    <row r="71019" spans="3:3" x14ac:dyDescent="0.35">
      <c r="C71019" s="2"/>
    </row>
    <row r="71020" spans="3:3" x14ac:dyDescent="0.35">
      <c r="C71020" s="2"/>
    </row>
    <row r="71021" spans="3:3" x14ac:dyDescent="0.35">
      <c r="C71021" s="2"/>
    </row>
    <row r="71022" spans="3:3" x14ac:dyDescent="0.35">
      <c r="C71022" s="2"/>
    </row>
    <row r="71023" spans="3:3" x14ac:dyDescent="0.35">
      <c r="C71023" s="2"/>
    </row>
    <row r="71024" spans="3:3" x14ac:dyDescent="0.35">
      <c r="C71024" s="2"/>
    </row>
    <row r="71025" spans="3:3" x14ac:dyDescent="0.35">
      <c r="C71025" s="2"/>
    </row>
    <row r="71026" spans="3:3" x14ac:dyDescent="0.35">
      <c r="C71026" s="2"/>
    </row>
    <row r="71027" spans="3:3" x14ac:dyDescent="0.35">
      <c r="C71027" s="2"/>
    </row>
    <row r="71028" spans="3:3" x14ac:dyDescent="0.35">
      <c r="C71028" s="2"/>
    </row>
    <row r="71029" spans="3:3" x14ac:dyDescent="0.35">
      <c r="C71029" s="2"/>
    </row>
    <row r="71030" spans="3:3" x14ac:dyDescent="0.35">
      <c r="C71030" s="2"/>
    </row>
    <row r="71031" spans="3:3" x14ac:dyDescent="0.35">
      <c r="C71031" s="2"/>
    </row>
    <row r="71032" spans="3:3" x14ac:dyDescent="0.35">
      <c r="C71032" s="2"/>
    </row>
    <row r="71033" spans="3:3" x14ac:dyDescent="0.35">
      <c r="C71033" s="2"/>
    </row>
    <row r="71034" spans="3:3" x14ac:dyDescent="0.35">
      <c r="C71034" s="2"/>
    </row>
    <row r="71035" spans="3:3" x14ac:dyDescent="0.35">
      <c r="C71035" s="2"/>
    </row>
    <row r="71036" spans="3:3" x14ac:dyDescent="0.35">
      <c r="C71036" s="2"/>
    </row>
    <row r="71037" spans="3:3" x14ac:dyDescent="0.35">
      <c r="C71037" s="2"/>
    </row>
    <row r="71038" spans="3:3" x14ac:dyDescent="0.35">
      <c r="C71038" s="2"/>
    </row>
    <row r="71039" spans="3:3" x14ac:dyDescent="0.35">
      <c r="C71039" s="2"/>
    </row>
    <row r="71040" spans="3:3" x14ac:dyDescent="0.35">
      <c r="C71040" s="2"/>
    </row>
    <row r="71041" spans="3:3" x14ac:dyDescent="0.35">
      <c r="C71041" s="2"/>
    </row>
    <row r="71042" spans="3:3" x14ac:dyDescent="0.35">
      <c r="C71042" s="2"/>
    </row>
    <row r="71043" spans="3:3" x14ac:dyDescent="0.35">
      <c r="C71043" s="2"/>
    </row>
    <row r="71044" spans="3:3" x14ac:dyDescent="0.35">
      <c r="C71044" s="2"/>
    </row>
    <row r="71045" spans="3:3" x14ac:dyDescent="0.35">
      <c r="C71045" s="2"/>
    </row>
    <row r="71046" spans="3:3" x14ac:dyDescent="0.35">
      <c r="C71046" s="2"/>
    </row>
    <row r="71047" spans="3:3" x14ac:dyDescent="0.35">
      <c r="C71047" s="2"/>
    </row>
    <row r="71048" spans="3:3" x14ac:dyDescent="0.35">
      <c r="C71048" s="2"/>
    </row>
    <row r="71049" spans="3:3" x14ac:dyDescent="0.35">
      <c r="C71049" s="2"/>
    </row>
    <row r="71050" spans="3:3" x14ac:dyDescent="0.35">
      <c r="C71050" s="2"/>
    </row>
    <row r="71051" spans="3:3" x14ac:dyDescent="0.35">
      <c r="C71051" s="2"/>
    </row>
    <row r="71052" spans="3:3" x14ac:dyDescent="0.35">
      <c r="C71052" s="2"/>
    </row>
    <row r="71053" spans="3:3" x14ac:dyDescent="0.35">
      <c r="C71053" s="2"/>
    </row>
    <row r="71054" spans="3:3" x14ac:dyDescent="0.35">
      <c r="C71054" s="2"/>
    </row>
    <row r="71055" spans="3:3" x14ac:dyDescent="0.35">
      <c r="C71055" s="2"/>
    </row>
    <row r="71056" spans="3:3" x14ac:dyDescent="0.35">
      <c r="C71056" s="2"/>
    </row>
    <row r="71057" spans="3:3" x14ac:dyDescent="0.35">
      <c r="C71057" s="2"/>
    </row>
    <row r="71058" spans="3:3" x14ac:dyDescent="0.35">
      <c r="C71058" s="2"/>
    </row>
    <row r="71059" spans="3:3" x14ac:dyDescent="0.35">
      <c r="C71059" s="2"/>
    </row>
    <row r="71060" spans="3:3" x14ac:dyDescent="0.35">
      <c r="C71060" s="2"/>
    </row>
    <row r="71061" spans="3:3" x14ac:dyDescent="0.35">
      <c r="C71061" s="2"/>
    </row>
    <row r="71062" spans="3:3" x14ac:dyDescent="0.35">
      <c r="C71062" s="2"/>
    </row>
    <row r="71063" spans="3:3" x14ac:dyDescent="0.35">
      <c r="C71063" s="2"/>
    </row>
    <row r="71064" spans="3:3" x14ac:dyDescent="0.35">
      <c r="C71064" s="2"/>
    </row>
    <row r="71065" spans="3:3" x14ac:dyDescent="0.35">
      <c r="C71065" s="2"/>
    </row>
    <row r="71066" spans="3:3" x14ac:dyDescent="0.35">
      <c r="C71066" s="2"/>
    </row>
    <row r="71067" spans="3:3" x14ac:dyDescent="0.35">
      <c r="C71067" s="2"/>
    </row>
    <row r="71068" spans="3:3" x14ac:dyDescent="0.35">
      <c r="C71068" s="2"/>
    </row>
    <row r="71069" spans="3:3" x14ac:dyDescent="0.35">
      <c r="C71069" s="2"/>
    </row>
    <row r="71070" spans="3:3" x14ac:dyDescent="0.35">
      <c r="C71070" s="2"/>
    </row>
    <row r="71071" spans="3:3" x14ac:dyDescent="0.35">
      <c r="C71071" s="2"/>
    </row>
    <row r="71072" spans="3:3" x14ac:dyDescent="0.35">
      <c r="C71072" s="2"/>
    </row>
    <row r="71073" spans="3:3" x14ac:dyDescent="0.35">
      <c r="C71073" s="2"/>
    </row>
    <row r="71074" spans="3:3" x14ac:dyDescent="0.35">
      <c r="C71074" s="2"/>
    </row>
    <row r="71075" spans="3:3" x14ac:dyDescent="0.35">
      <c r="C71075" s="2"/>
    </row>
    <row r="71076" spans="3:3" x14ac:dyDescent="0.35">
      <c r="C71076" s="2"/>
    </row>
    <row r="71077" spans="3:3" x14ac:dyDescent="0.35">
      <c r="C71077" s="2"/>
    </row>
    <row r="71078" spans="3:3" x14ac:dyDescent="0.35">
      <c r="C71078" s="2"/>
    </row>
    <row r="71079" spans="3:3" x14ac:dyDescent="0.35">
      <c r="C71079" s="2"/>
    </row>
    <row r="71080" spans="3:3" x14ac:dyDescent="0.35">
      <c r="C71080" s="2"/>
    </row>
    <row r="71081" spans="3:3" x14ac:dyDescent="0.35">
      <c r="C71081" s="2"/>
    </row>
    <row r="71082" spans="3:3" x14ac:dyDescent="0.35">
      <c r="C71082" s="2"/>
    </row>
    <row r="71083" spans="3:3" x14ac:dyDescent="0.35">
      <c r="C71083" s="2"/>
    </row>
    <row r="71084" spans="3:3" x14ac:dyDescent="0.35">
      <c r="C71084" s="2"/>
    </row>
    <row r="71085" spans="3:3" x14ac:dyDescent="0.35">
      <c r="C71085" s="2"/>
    </row>
    <row r="71086" spans="3:3" x14ac:dyDescent="0.35">
      <c r="C71086" s="2"/>
    </row>
    <row r="71087" spans="3:3" x14ac:dyDescent="0.35">
      <c r="C71087" s="2"/>
    </row>
    <row r="71088" spans="3:3" x14ac:dyDescent="0.35">
      <c r="C71088" s="2"/>
    </row>
    <row r="71089" spans="3:3" x14ac:dyDescent="0.35">
      <c r="C71089" s="2"/>
    </row>
    <row r="71090" spans="3:3" x14ac:dyDescent="0.35">
      <c r="C71090" s="2"/>
    </row>
    <row r="71091" spans="3:3" x14ac:dyDescent="0.35">
      <c r="C71091" s="2"/>
    </row>
    <row r="71092" spans="3:3" x14ac:dyDescent="0.35">
      <c r="C71092" s="2"/>
    </row>
    <row r="71093" spans="3:3" x14ac:dyDescent="0.35">
      <c r="C71093" s="2"/>
    </row>
    <row r="71094" spans="3:3" x14ac:dyDescent="0.35">
      <c r="C71094" s="2"/>
    </row>
    <row r="71095" spans="3:3" x14ac:dyDescent="0.35">
      <c r="C71095" s="2"/>
    </row>
    <row r="71096" spans="3:3" x14ac:dyDescent="0.35">
      <c r="C71096" s="2"/>
    </row>
    <row r="71097" spans="3:3" x14ac:dyDescent="0.35">
      <c r="C71097" s="2"/>
    </row>
    <row r="71098" spans="3:3" x14ac:dyDescent="0.35">
      <c r="C71098" s="2"/>
    </row>
    <row r="71099" spans="3:3" x14ac:dyDescent="0.35">
      <c r="C71099" s="2"/>
    </row>
    <row r="71100" spans="3:3" x14ac:dyDescent="0.35">
      <c r="C71100" s="2"/>
    </row>
    <row r="71101" spans="3:3" x14ac:dyDescent="0.35">
      <c r="C71101" s="2"/>
    </row>
    <row r="71102" spans="3:3" x14ac:dyDescent="0.35">
      <c r="C71102" s="2"/>
    </row>
    <row r="71103" spans="3:3" x14ac:dyDescent="0.35">
      <c r="C71103" s="2"/>
    </row>
    <row r="71104" spans="3:3" x14ac:dyDescent="0.35">
      <c r="C71104" s="2"/>
    </row>
    <row r="71105" spans="3:3" x14ac:dyDescent="0.35">
      <c r="C71105" s="2"/>
    </row>
    <row r="71106" spans="3:3" x14ac:dyDescent="0.35">
      <c r="C71106" s="2"/>
    </row>
    <row r="71107" spans="3:3" x14ac:dyDescent="0.35">
      <c r="C71107" s="2"/>
    </row>
    <row r="71108" spans="3:3" x14ac:dyDescent="0.35">
      <c r="C71108" s="2"/>
    </row>
    <row r="71109" spans="3:3" x14ac:dyDescent="0.35">
      <c r="C71109" s="2"/>
    </row>
    <row r="71110" spans="3:3" x14ac:dyDescent="0.35">
      <c r="C71110" s="2"/>
    </row>
    <row r="71111" spans="3:3" x14ac:dyDescent="0.35">
      <c r="C71111" s="2"/>
    </row>
    <row r="71112" spans="3:3" x14ac:dyDescent="0.35">
      <c r="C71112" s="2"/>
    </row>
    <row r="71113" spans="3:3" x14ac:dyDescent="0.35">
      <c r="C71113" s="2"/>
    </row>
    <row r="71114" spans="3:3" x14ac:dyDescent="0.35">
      <c r="C71114" s="2"/>
    </row>
    <row r="71115" spans="3:3" x14ac:dyDescent="0.35">
      <c r="C71115" s="2"/>
    </row>
    <row r="71116" spans="3:3" x14ac:dyDescent="0.35">
      <c r="C71116" s="2"/>
    </row>
    <row r="71117" spans="3:3" x14ac:dyDescent="0.35">
      <c r="C71117" s="2"/>
    </row>
    <row r="71118" spans="3:3" x14ac:dyDescent="0.35">
      <c r="C71118" s="2"/>
    </row>
    <row r="71119" spans="3:3" x14ac:dyDescent="0.35">
      <c r="C71119" s="2"/>
    </row>
    <row r="71120" spans="3:3" x14ac:dyDescent="0.35">
      <c r="C71120" s="2"/>
    </row>
    <row r="71121" spans="3:3" x14ac:dyDescent="0.35">
      <c r="C71121" s="2"/>
    </row>
    <row r="71122" spans="3:3" x14ac:dyDescent="0.35">
      <c r="C71122" s="2"/>
    </row>
    <row r="71123" spans="3:3" x14ac:dyDescent="0.35">
      <c r="C71123" s="2"/>
    </row>
    <row r="71124" spans="3:3" x14ac:dyDescent="0.35">
      <c r="C71124" s="2"/>
    </row>
    <row r="71125" spans="3:3" x14ac:dyDescent="0.35">
      <c r="C71125" s="2"/>
    </row>
    <row r="71126" spans="3:3" x14ac:dyDescent="0.35">
      <c r="C71126" s="2"/>
    </row>
    <row r="71127" spans="3:3" x14ac:dyDescent="0.35">
      <c r="C71127" s="2"/>
    </row>
    <row r="71128" spans="3:3" x14ac:dyDescent="0.35">
      <c r="C71128" s="2"/>
    </row>
    <row r="71129" spans="3:3" x14ac:dyDescent="0.35">
      <c r="C71129" s="2"/>
    </row>
    <row r="71130" spans="3:3" x14ac:dyDescent="0.35">
      <c r="C71130" s="2"/>
    </row>
    <row r="71131" spans="3:3" x14ac:dyDescent="0.35">
      <c r="C71131" s="2"/>
    </row>
    <row r="71132" spans="3:3" x14ac:dyDescent="0.35">
      <c r="C71132" s="2"/>
    </row>
    <row r="71133" spans="3:3" x14ac:dyDescent="0.35">
      <c r="C71133" s="2"/>
    </row>
    <row r="71134" spans="3:3" x14ac:dyDescent="0.35">
      <c r="C71134" s="2"/>
    </row>
    <row r="71135" spans="3:3" x14ac:dyDescent="0.35">
      <c r="C71135" s="2"/>
    </row>
    <row r="71136" spans="3:3" x14ac:dyDescent="0.35">
      <c r="C71136" s="2"/>
    </row>
    <row r="71137" spans="3:3" x14ac:dyDescent="0.35">
      <c r="C71137" s="2"/>
    </row>
    <row r="71138" spans="3:3" x14ac:dyDescent="0.35">
      <c r="C71138" s="2"/>
    </row>
    <row r="71139" spans="3:3" x14ac:dyDescent="0.35">
      <c r="C71139" s="2"/>
    </row>
    <row r="71140" spans="3:3" x14ac:dyDescent="0.35">
      <c r="C71140" s="2"/>
    </row>
    <row r="71141" spans="3:3" x14ac:dyDescent="0.35">
      <c r="C71141" s="2"/>
    </row>
    <row r="71142" spans="3:3" x14ac:dyDescent="0.35">
      <c r="C71142" s="2"/>
    </row>
    <row r="71143" spans="3:3" x14ac:dyDescent="0.35">
      <c r="C71143" s="2"/>
    </row>
    <row r="71144" spans="3:3" x14ac:dyDescent="0.35">
      <c r="C71144" s="2"/>
    </row>
    <row r="71145" spans="3:3" x14ac:dyDescent="0.35">
      <c r="C71145" s="2"/>
    </row>
    <row r="71146" spans="3:3" x14ac:dyDescent="0.35">
      <c r="C71146" s="2"/>
    </row>
    <row r="71147" spans="3:3" x14ac:dyDescent="0.35">
      <c r="C71147" s="2"/>
    </row>
    <row r="71148" spans="3:3" x14ac:dyDescent="0.35">
      <c r="C71148" s="2"/>
    </row>
    <row r="71149" spans="3:3" x14ac:dyDescent="0.35">
      <c r="C71149" s="2"/>
    </row>
    <row r="71150" spans="3:3" x14ac:dyDescent="0.35">
      <c r="C71150" s="2"/>
    </row>
    <row r="71151" spans="3:3" x14ac:dyDescent="0.35">
      <c r="C71151" s="2"/>
    </row>
    <row r="71152" spans="3:3" x14ac:dyDescent="0.35">
      <c r="C71152" s="2"/>
    </row>
    <row r="71153" spans="3:3" x14ac:dyDescent="0.35">
      <c r="C71153" s="2"/>
    </row>
    <row r="71154" spans="3:3" x14ac:dyDescent="0.35">
      <c r="C71154" s="2"/>
    </row>
    <row r="71155" spans="3:3" x14ac:dyDescent="0.35">
      <c r="C71155" s="2"/>
    </row>
    <row r="71156" spans="3:3" x14ac:dyDescent="0.35">
      <c r="C71156" s="2"/>
    </row>
    <row r="71157" spans="3:3" x14ac:dyDescent="0.35">
      <c r="C71157" s="2"/>
    </row>
    <row r="71158" spans="3:3" x14ac:dyDescent="0.35">
      <c r="C71158" s="2"/>
    </row>
    <row r="71159" spans="3:3" x14ac:dyDescent="0.35">
      <c r="C71159" s="2"/>
    </row>
    <row r="71160" spans="3:3" x14ac:dyDescent="0.35">
      <c r="C71160" s="2"/>
    </row>
    <row r="71161" spans="3:3" x14ac:dyDescent="0.35">
      <c r="C71161" s="2"/>
    </row>
    <row r="71162" spans="3:3" x14ac:dyDescent="0.35">
      <c r="C71162" s="2"/>
    </row>
    <row r="71163" spans="3:3" x14ac:dyDescent="0.35">
      <c r="C71163" s="2"/>
    </row>
    <row r="71164" spans="3:3" x14ac:dyDescent="0.35">
      <c r="C71164" s="2"/>
    </row>
    <row r="71165" spans="3:3" x14ac:dyDescent="0.35">
      <c r="C71165" s="2"/>
    </row>
    <row r="71166" spans="3:3" x14ac:dyDescent="0.35">
      <c r="C71166" s="2"/>
    </row>
    <row r="71167" spans="3:3" x14ac:dyDescent="0.35">
      <c r="C71167" s="2"/>
    </row>
    <row r="71168" spans="3:3" x14ac:dyDescent="0.35">
      <c r="C71168" s="2"/>
    </row>
    <row r="71169" spans="3:3" x14ac:dyDescent="0.35">
      <c r="C71169" s="2"/>
    </row>
    <row r="71170" spans="3:3" x14ac:dyDescent="0.35">
      <c r="C71170" s="2"/>
    </row>
    <row r="71171" spans="3:3" x14ac:dyDescent="0.35">
      <c r="C71171" s="2"/>
    </row>
    <row r="71172" spans="3:3" x14ac:dyDescent="0.35">
      <c r="C71172" s="2"/>
    </row>
    <row r="71173" spans="3:3" x14ac:dyDescent="0.35">
      <c r="C71173" s="2"/>
    </row>
    <row r="71174" spans="3:3" x14ac:dyDescent="0.35">
      <c r="C71174" s="2"/>
    </row>
    <row r="71175" spans="3:3" x14ac:dyDescent="0.35">
      <c r="C71175" s="2"/>
    </row>
    <row r="71176" spans="3:3" x14ac:dyDescent="0.35">
      <c r="C71176" s="2"/>
    </row>
    <row r="71177" spans="3:3" x14ac:dyDescent="0.35">
      <c r="C71177" s="2"/>
    </row>
    <row r="71178" spans="3:3" x14ac:dyDescent="0.35">
      <c r="C71178" s="2"/>
    </row>
    <row r="71179" spans="3:3" x14ac:dyDescent="0.35">
      <c r="C71179" s="2"/>
    </row>
    <row r="71180" spans="3:3" x14ac:dyDescent="0.35">
      <c r="C71180" s="2"/>
    </row>
    <row r="71181" spans="3:3" x14ac:dyDescent="0.35">
      <c r="C71181" s="2"/>
    </row>
    <row r="71182" spans="3:3" x14ac:dyDescent="0.35">
      <c r="C71182" s="2"/>
    </row>
    <row r="71183" spans="3:3" x14ac:dyDescent="0.35">
      <c r="C71183" s="2"/>
    </row>
    <row r="71184" spans="3:3" x14ac:dyDescent="0.35">
      <c r="C71184" s="2"/>
    </row>
    <row r="71185" spans="3:3" x14ac:dyDescent="0.35">
      <c r="C71185" s="2"/>
    </row>
    <row r="71186" spans="3:3" x14ac:dyDescent="0.35">
      <c r="C71186" s="2"/>
    </row>
    <row r="71187" spans="3:3" x14ac:dyDescent="0.35">
      <c r="C71187" s="2"/>
    </row>
    <row r="71188" spans="3:3" x14ac:dyDescent="0.35">
      <c r="C71188" s="2"/>
    </row>
    <row r="71189" spans="3:3" x14ac:dyDescent="0.35">
      <c r="C71189" s="2"/>
    </row>
    <row r="71190" spans="3:3" x14ac:dyDescent="0.35">
      <c r="C71190" s="2"/>
    </row>
    <row r="71191" spans="3:3" x14ac:dyDescent="0.35">
      <c r="C71191" s="2"/>
    </row>
    <row r="71192" spans="3:3" x14ac:dyDescent="0.35">
      <c r="C71192" s="2"/>
    </row>
    <row r="71193" spans="3:3" x14ac:dyDescent="0.35">
      <c r="C71193" s="2"/>
    </row>
    <row r="71194" spans="3:3" x14ac:dyDescent="0.35">
      <c r="C71194" s="2"/>
    </row>
    <row r="71195" spans="3:3" x14ac:dyDescent="0.35">
      <c r="C71195" s="2"/>
    </row>
    <row r="71196" spans="3:3" x14ac:dyDescent="0.35">
      <c r="C71196" s="2"/>
    </row>
    <row r="71197" spans="3:3" x14ac:dyDescent="0.35">
      <c r="C71197" s="2"/>
    </row>
    <row r="71198" spans="3:3" x14ac:dyDescent="0.35">
      <c r="C71198" s="2"/>
    </row>
    <row r="71199" spans="3:3" x14ac:dyDescent="0.35">
      <c r="C71199" s="2"/>
    </row>
    <row r="71200" spans="3:3" x14ac:dyDescent="0.35">
      <c r="C71200" s="2"/>
    </row>
    <row r="71201" spans="3:3" x14ac:dyDescent="0.35">
      <c r="C71201" s="2"/>
    </row>
    <row r="71202" spans="3:3" x14ac:dyDescent="0.35">
      <c r="C71202" s="2"/>
    </row>
    <row r="71203" spans="3:3" x14ac:dyDescent="0.35">
      <c r="C71203" s="2"/>
    </row>
    <row r="71204" spans="3:3" x14ac:dyDescent="0.35">
      <c r="C71204" s="2"/>
    </row>
    <row r="71205" spans="3:3" x14ac:dyDescent="0.35">
      <c r="C71205" s="2"/>
    </row>
    <row r="71206" spans="3:3" x14ac:dyDescent="0.35">
      <c r="C71206" s="2"/>
    </row>
    <row r="71207" spans="3:3" x14ac:dyDescent="0.35">
      <c r="C71207" s="2"/>
    </row>
    <row r="71208" spans="3:3" x14ac:dyDescent="0.35">
      <c r="C71208" s="2"/>
    </row>
    <row r="71209" spans="3:3" x14ac:dyDescent="0.35">
      <c r="C71209" s="2"/>
    </row>
    <row r="71210" spans="3:3" x14ac:dyDescent="0.35">
      <c r="C71210" s="2"/>
    </row>
    <row r="71211" spans="3:3" x14ac:dyDescent="0.35">
      <c r="C71211" s="2"/>
    </row>
    <row r="71212" spans="3:3" x14ac:dyDescent="0.35">
      <c r="C71212" s="2"/>
    </row>
    <row r="71213" spans="3:3" x14ac:dyDescent="0.35">
      <c r="C71213" s="2"/>
    </row>
    <row r="71214" spans="3:3" x14ac:dyDescent="0.35">
      <c r="C71214" s="2"/>
    </row>
    <row r="71215" spans="3:3" x14ac:dyDescent="0.35">
      <c r="C71215" s="2"/>
    </row>
    <row r="71216" spans="3:3" x14ac:dyDescent="0.35">
      <c r="C71216" s="2"/>
    </row>
    <row r="71217" spans="3:3" x14ac:dyDescent="0.35">
      <c r="C71217" s="2"/>
    </row>
    <row r="71218" spans="3:3" x14ac:dyDescent="0.35">
      <c r="C71218" s="2"/>
    </row>
    <row r="71219" spans="3:3" x14ac:dyDescent="0.35">
      <c r="C71219" s="2"/>
    </row>
    <row r="71220" spans="3:3" x14ac:dyDescent="0.35">
      <c r="C71220" s="2"/>
    </row>
    <row r="71221" spans="3:3" x14ac:dyDescent="0.35">
      <c r="C71221" s="2"/>
    </row>
    <row r="71222" spans="3:3" x14ac:dyDescent="0.35">
      <c r="C71222" s="2"/>
    </row>
    <row r="71223" spans="3:3" x14ac:dyDescent="0.35">
      <c r="C71223" s="2"/>
    </row>
    <row r="71224" spans="3:3" x14ac:dyDescent="0.35">
      <c r="C71224" s="2"/>
    </row>
    <row r="71225" spans="3:3" x14ac:dyDescent="0.35">
      <c r="C71225" s="2"/>
    </row>
    <row r="71226" spans="3:3" x14ac:dyDescent="0.35">
      <c r="C71226" s="2"/>
    </row>
    <row r="71227" spans="3:3" x14ac:dyDescent="0.35">
      <c r="C71227" s="2"/>
    </row>
    <row r="71228" spans="3:3" x14ac:dyDescent="0.35">
      <c r="C71228" s="2"/>
    </row>
    <row r="71229" spans="3:3" x14ac:dyDescent="0.35">
      <c r="C71229" s="2"/>
    </row>
    <row r="71230" spans="3:3" x14ac:dyDescent="0.35">
      <c r="C71230" s="2"/>
    </row>
    <row r="71231" spans="3:3" x14ac:dyDescent="0.35">
      <c r="C71231" s="2"/>
    </row>
    <row r="71232" spans="3:3" x14ac:dyDescent="0.35">
      <c r="C71232" s="2"/>
    </row>
    <row r="71233" spans="3:3" x14ac:dyDescent="0.35">
      <c r="C71233" s="2"/>
    </row>
    <row r="71234" spans="3:3" x14ac:dyDescent="0.35">
      <c r="C71234" s="2"/>
    </row>
    <row r="71235" spans="3:3" x14ac:dyDescent="0.35">
      <c r="C71235" s="2"/>
    </row>
    <row r="71236" spans="3:3" x14ac:dyDescent="0.35">
      <c r="C71236" s="2"/>
    </row>
    <row r="71237" spans="3:3" x14ac:dyDescent="0.35">
      <c r="C71237" s="2"/>
    </row>
    <row r="71238" spans="3:3" x14ac:dyDescent="0.35">
      <c r="C71238" s="2"/>
    </row>
    <row r="71239" spans="3:3" x14ac:dyDescent="0.35">
      <c r="C71239" s="2"/>
    </row>
    <row r="71240" spans="3:3" x14ac:dyDescent="0.35">
      <c r="C71240" s="2"/>
    </row>
    <row r="71241" spans="3:3" x14ac:dyDescent="0.35">
      <c r="C71241" s="2"/>
    </row>
    <row r="71242" spans="3:3" x14ac:dyDescent="0.35">
      <c r="C71242" s="2"/>
    </row>
    <row r="71243" spans="3:3" x14ac:dyDescent="0.35">
      <c r="C71243" s="2"/>
    </row>
    <row r="71244" spans="3:3" x14ac:dyDescent="0.35">
      <c r="C71244" s="2"/>
    </row>
    <row r="71245" spans="3:3" x14ac:dyDescent="0.35">
      <c r="C71245" s="2"/>
    </row>
    <row r="71246" spans="3:3" x14ac:dyDescent="0.35">
      <c r="C71246" s="2"/>
    </row>
    <row r="71247" spans="3:3" x14ac:dyDescent="0.35">
      <c r="C71247" s="2"/>
    </row>
    <row r="71248" spans="3:3" x14ac:dyDescent="0.35">
      <c r="C71248" s="2"/>
    </row>
    <row r="71249" spans="3:3" x14ac:dyDescent="0.35">
      <c r="C71249" s="2"/>
    </row>
    <row r="71250" spans="3:3" x14ac:dyDescent="0.35">
      <c r="C71250" s="2"/>
    </row>
    <row r="71251" spans="3:3" x14ac:dyDescent="0.35">
      <c r="C71251" s="2"/>
    </row>
    <row r="71252" spans="3:3" x14ac:dyDescent="0.35">
      <c r="C71252" s="2"/>
    </row>
    <row r="71253" spans="3:3" x14ac:dyDescent="0.35">
      <c r="C71253" s="2"/>
    </row>
    <row r="71254" spans="3:3" x14ac:dyDescent="0.35">
      <c r="C71254" s="2"/>
    </row>
    <row r="71255" spans="3:3" x14ac:dyDescent="0.35">
      <c r="C71255" s="2"/>
    </row>
    <row r="71256" spans="3:3" x14ac:dyDescent="0.35">
      <c r="C71256" s="2"/>
    </row>
    <row r="71257" spans="3:3" x14ac:dyDescent="0.35">
      <c r="C71257" s="2"/>
    </row>
    <row r="71258" spans="3:3" x14ac:dyDescent="0.35">
      <c r="C71258" s="2"/>
    </row>
    <row r="71259" spans="3:3" x14ac:dyDescent="0.35">
      <c r="C71259" s="2"/>
    </row>
    <row r="71260" spans="3:3" x14ac:dyDescent="0.35">
      <c r="C71260" s="2"/>
    </row>
    <row r="71261" spans="3:3" x14ac:dyDescent="0.35">
      <c r="C71261" s="2"/>
    </row>
    <row r="71262" spans="3:3" x14ac:dyDescent="0.35">
      <c r="C71262" s="2"/>
    </row>
    <row r="71263" spans="3:3" x14ac:dyDescent="0.35">
      <c r="C71263" s="2"/>
    </row>
    <row r="71264" spans="3:3" x14ac:dyDescent="0.35">
      <c r="C71264" s="2"/>
    </row>
    <row r="71265" spans="3:3" x14ac:dyDescent="0.35">
      <c r="C71265" s="2"/>
    </row>
    <row r="71266" spans="3:3" x14ac:dyDescent="0.35">
      <c r="C71266" s="2"/>
    </row>
    <row r="71267" spans="3:3" x14ac:dyDescent="0.35">
      <c r="C71267" s="2"/>
    </row>
    <row r="71268" spans="3:3" x14ac:dyDescent="0.35">
      <c r="C71268" s="2"/>
    </row>
    <row r="71269" spans="3:3" x14ac:dyDescent="0.35">
      <c r="C71269" s="2"/>
    </row>
    <row r="71270" spans="3:3" x14ac:dyDescent="0.35">
      <c r="C71270" s="2"/>
    </row>
    <row r="71271" spans="3:3" x14ac:dyDescent="0.35">
      <c r="C71271" s="2"/>
    </row>
    <row r="71272" spans="3:3" x14ac:dyDescent="0.35">
      <c r="C71272" s="2"/>
    </row>
    <row r="71273" spans="3:3" x14ac:dyDescent="0.35">
      <c r="C71273" s="2"/>
    </row>
    <row r="71274" spans="3:3" x14ac:dyDescent="0.35">
      <c r="C71274" s="2"/>
    </row>
    <row r="71275" spans="3:3" x14ac:dyDescent="0.35">
      <c r="C71275" s="2"/>
    </row>
    <row r="71276" spans="3:3" x14ac:dyDescent="0.35">
      <c r="C71276" s="2"/>
    </row>
    <row r="71277" spans="3:3" x14ac:dyDescent="0.35">
      <c r="C71277" s="2"/>
    </row>
    <row r="71278" spans="3:3" x14ac:dyDescent="0.35">
      <c r="C71278" s="2"/>
    </row>
    <row r="71279" spans="3:3" x14ac:dyDescent="0.35">
      <c r="C71279" s="2"/>
    </row>
    <row r="71280" spans="3:3" x14ac:dyDescent="0.35">
      <c r="C71280" s="2"/>
    </row>
    <row r="71281" spans="3:3" x14ac:dyDescent="0.35">
      <c r="C71281" s="2"/>
    </row>
    <row r="71282" spans="3:3" x14ac:dyDescent="0.35">
      <c r="C71282" s="2"/>
    </row>
    <row r="71283" spans="3:3" x14ac:dyDescent="0.35">
      <c r="C71283" s="2"/>
    </row>
    <row r="71284" spans="3:3" x14ac:dyDescent="0.35">
      <c r="C71284" s="2"/>
    </row>
    <row r="71285" spans="3:3" x14ac:dyDescent="0.35">
      <c r="C71285" s="2"/>
    </row>
    <row r="71286" spans="3:3" x14ac:dyDescent="0.35">
      <c r="C71286" s="2"/>
    </row>
    <row r="71287" spans="3:3" x14ac:dyDescent="0.35">
      <c r="C71287" s="2"/>
    </row>
    <row r="71288" spans="3:3" x14ac:dyDescent="0.35">
      <c r="C71288" s="2"/>
    </row>
    <row r="71289" spans="3:3" x14ac:dyDescent="0.35">
      <c r="C71289" s="2"/>
    </row>
    <row r="71290" spans="3:3" x14ac:dyDescent="0.35">
      <c r="C71290" s="2"/>
    </row>
    <row r="71291" spans="3:3" x14ac:dyDescent="0.35">
      <c r="C71291" s="2"/>
    </row>
    <row r="71292" spans="3:3" x14ac:dyDescent="0.35">
      <c r="C71292" s="2"/>
    </row>
    <row r="71293" spans="3:3" x14ac:dyDescent="0.35">
      <c r="C71293" s="2"/>
    </row>
    <row r="71294" spans="3:3" x14ac:dyDescent="0.35">
      <c r="C71294" s="2"/>
    </row>
    <row r="71295" spans="3:3" x14ac:dyDescent="0.35">
      <c r="C71295" s="2"/>
    </row>
    <row r="71296" spans="3:3" x14ac:dyDescent="0.35">
      <c r="C71296" s="2"/>
    </row>
    <row r="71297" spans="3:3" x14ac:dyDescent="0.35">
      <c r="C71297" s="2"/>
    </row>
    <row r="71298" spans="3:3" x14ac:dyDescent="0.35">
      <c r="C71298" s="2"/>
    </row>
    <row r="71299" spans="3:3" x14ac:dyDescent="0.35">
      <c r="C71299" s="2"/>
    </row>
    <row r="71300" spans="3:3" x14ac:dyDescent="0.35">
      <c r="C71300" s="2"/>
    </row>
    <row r="71301" spans="3:3" x14ac:dyDescent="0.35">
      <c r="C71301" s="2"/>
    </row>
    <row r="71302" spans="3:3" x14ac:dyDescent="0.35">
      <c r="C71302" s="2"/>
    </row>
    <row r="71303" spans="3:3" x14ac:dyDescent="0.35">
      <c r="C71303" s="2"/>
    </row>
    <row r="71304" spans="3:3" x14ac:dyDescent="0.35">
      <c r="C71304" s="2"/>
    </row>
    <row r="71305" spans="3:3" x14ac:dyDescent="0.35">
      <c r="C71305" s="2"/>
    </row>
    <row r="71306" spans="3:3" x14ac:dyDescent="0.35">
      <c r="C71306" s="2"/>
    </row>
    <row r="71307" spans="3:3" x14ac:dyDescent="0.35">
      <c r="C71307" s="2"/>
    </row>
    <row r="71308" spans="3:3" x14ac:dyDescent="0.35">
      <c r="C71308" s="2"/>
    </row>
    <row r="71309" spans="3:3" x14ac:dyDescent="0.35">
      <c r="C71309" s="2"/>
    </row>
    <row r="71310" spans="3:3" x14ac:dyDescent="0.35">
      <c r="C71310" s="2"/>
    </row>
    <row r="71311" spans="3:3" x14ac:dyDescent="0.35">
      <c r="C71311" s="2"/>
    </row>
    <row r="71312" spans="3:3" x14ac:dyDescent="0.35">
      <c r="C71312" s="2"/>
    </row>
    <row r="71313" spans="3:3" x14ac:dyDescent="0.35">
      <c r="C71313" s="2"/>
    </row>
    <row r="71314" spans="3:3" x14ac:dyDescent="0.35">
      <c r="C71314" s="2"/>
    </row>
    <row r="71315" spans="3:3" x14ac:dyDescent="0.35">
      <c r="C71315" s="2"/>
    </row>
    <row r="71316" spans="3:3" x14ac:dyDescent="0.35">
      <c r="C71316" s="2"/>
    </row>
    <row r="71317" spans="3:3" x14ac:dyDescent="0.35">
      <c r="C71317" s="2"/>
    </row>
    <row r="71318" spans="3:3" x14ac:dyDescent="0.35">
      <c r="C71318" s="2"/>
    </row>
    <row r="71319" spans="3:3" x14ac:dyDescent="0.35">
      <c r="C71319" s="2"/>
    </row>
    <row r="71320" spans="3:3" x14ac:dyDescent="0.35">
      <c r="C71320" s="2"/>
    </row>
    <row r="71321" spans="3:3" x14ac:dyDescent="0.35">
      <c r="C71321" s="2"/>
    </row>
    <row r="71322" spans="3:3" x14ac:dyDescent="0.35">
      <c r="C71322" s="2"/>
    </row>
    <row r="71323" spans="3:3" x14ac:dyDescent="0.35">
      <c r="C71323" s="2"/>
    </row>
    <row r="71324" spans="3:3" x14ac:dyDescent="0.35">
      <c r="C71324" s="2"/>
    </row>
    <row r="71325" spans="3:3" x14ac:dyDescent="0.35">
      <c r="C71325" s="2"/>
    </row>
    <row r="71326" spans="3:3" x14ac:dyDescent="0.35">
      <c r="C71326" s="2"/>
    </row>
    <row r="71327" spans="3:3" x14ac:dyDescent="0.35">
      <c r="C71327" s="2"/>
    </row>
    <row r="71328" spans="3:3" x14ac:dyDescent="0.35">
      <c r="C71328" s="2"/>
    </row>
    <row r="71329" spans="3:3" x14ac:dyDescent="0.35">
      <c r="C71329" s="2"/>
    </row>
    <row r="71330" spans="3:3" x14ac:dyDescent="0.35">
      <c r="C71330" s="2"/>
    </row>
    <row r="71331" spans="3:3" x14ac:dyDescent="0.35">
      <c r="C71331" s="2"/>
    </row>
    <row r="71332" spans="3:3" x14ac:dyDescent="0.35">
      <c r="C71332" s="2"/>
    </row>
    <row r="71333" spans="3:3" x14ac:dyDescent="0.35">
      <c r="C71333" s="2"/>
    </row>
    <row r="71334" spans="3:3" x14ac:dyDescent="0.35">
      <c r="C71334" s="2"/>
    </row>
    <row r="71335" spans="3:3" x14ac:dyDescent="0.35">
      <c r="C71335" s="2"/>
    </row>
    <row r="71336" spans="3:3" x14ac:dyDescent="0.35">
      <c r="C71336" s="2"/>
    </row>
    <row r="71337" spans="3:3" x14ac:dyDescent="0.35">
      <c r="C71337" s="2"/>
    </row>
    <row r="71338" spans="3:3" x14ac:dyDescent="0.35">
      <c r="C71338" s="2"/>
    </row>
    <row r="71339" spans="3:3" x14ac:dyDescent="0.35">
      <c r="C71339" s="2"/>
    </row>
    <row r="71340" spans="3:3" x14ac:dyDescent="0.35">
      <c r="C71340" s="2"/>
    </row>
    <row r="71341" spans="3:3" x14ac:dyDescent="0.35">
      <c r="C71341" s="2"/>
    </row>
    <row r="71342" spans="3:3" x14ac:dyDescent="0.35">
      <c r="C71342" s="2"/>
    </row>
    <row r="71343" spans="3:3" x14ac:dyDescent="0.35">
      <c r="C71343" s="2"/>
    </row>
    <row r="71344" spans="3:3" x14ac:dyDescent="0.35">
      <c r="C71344" s="2"/>
    </row>
    <row r="71345" spans="3:3" x14ac:dyDescent="0.35">
      <c r="C71345" s="2"/>
    </row>
    <row r="71346" spans="3:3" x14ac:dyDescent="0.35">
      <c r="C71346" s="2"/>
    </row>
    <row r="71347" spans="3:3" x14ac:dyDescent="0.35">
      <c r="C71347" s="2"/>
    </row>
    <row r="71348" spans="3:3" x14ac:dyDescent="0.35">
      <c r="C71348" s="2"/>
    </row>
    <row r="71349" spans="3:3" x14ac:dyDescent="0.35">
      <c r="C71349" s="2"/>
    </row>
    <row r="71350" spans="3:3" x14ac:dyDescent="0.35">
      <c r="C71350" s="2"/>
    </row>
    <row r="71351" spans="3:3" x14ac:dyDescent="0.35">
      <c r="C71351" s="2"/>
    </row>
    <row r="71352" spans="3:3" x14ac:dyDescent="0.35">
      <c r="C71352" s="2"/>
    </row>
    <row r="71353" spans="3:3" x14ac:dyDescent="0.35">
      <c r="C71353" s="2"/>
    </row>
    <row r="71354" spans="3:3" x14ac:dyDescent="0.35">
      <c r="C71354" s="2"/>
    </row>
    <row r="71355" spans="3:3" x14ac:dyDescent="0.35">
      <c r="C71355" s="2"/>
    </row>
    <row r="71356" spans="3:3" x14ac:dyDescent="0.35">
      <c r="C71356" s="2"/>
    </row>
    <row r="71357" spans="3:3" x14ac:dyDescent="0.35">
      <c r="C71357" s="2"/>
    </row>
    <row r="71358" spans="3:3" x14ac:dyDescent="0.35">
      <c r="C71358" s="2"/>
    </row>
    <row r="71359" spans="3:3" x14ac:dyDescent="0.35">
      <c r="C71359" s="2"/>
    </row>
    <row r="71360" spans="3:3" x14ac:dyDescent="0.35">
      <c r="C71360" s="2"/>
    </row>
    <row r="71361" spans="3:3" x14ac:dyDescent="0.35">
      <c r="C71361" s="2"/>
    </row>
    <row r="71362" spans="3:3" x14ac:dyDescent="0.35">
      <c r="C71362" s="2"/>
    </row>
    <row r="71363" spans="3:3" x14ac:dyDescent="0.35">
      <c r="C71363" s="2"/>
    </row>
    <row r="71364" spans="3:3" x14ac:dyDescent="0.35">
      <c r="C71364" s="2"/>
    </row>
    <row r="71365" spans="3:3" x14ac:dyDescent="0.35">
      <c r="C71365" s="2"/>
    </row>
    <row r="71366" spans="3:3" x14ac:dyDescent="0.35">
      <c r="C71366" s="2"/>
    </row>
    <row r="71367" spans="3:3" x14ac:dyDescent="0.35">
      <c r="C71367" s="2"/>
    </row>
    <row r="71368" spans="3:3" x14ac:dyDescent="0.35">
      <c r="C71368" s="2"/>
    </row>
    <row r="71369" spans="3:3" x14ac:dyDescent="0.35">
      <c r="C71369" s="2"/>
    </row>
    <row r="71370" spans="3:3" x14ac:dyDescent="0.35">
      <c r="C71370" s="2"/>
    </row>
    <row r="71371" spans="3:3" x14ac:dyDescent="0.35">
      <c r="C71371" s="2"/>
    </row>
    <row r="71372" spans="3:3" x14ac:dyDescent="0.35">
      <c r="C71372" s="2"/>
    </row>
    <row r="71373" spans="3:3" x14ac:dyDescent="0.35">
      <c r="C71373" s="2"/>
    </row>
    <row r="71374" spans="3:3" x14ac:dyDescent="0.35">
      <c r="C71374" s="2"/>
    </row>
    <row r="71375" spans="3:3" x14ac:dyDescent="0.35">
      <c r="C71375" s="2"/>
    </row>
    <row r="71376" spans="3:3" x14ac:dyDescent="0.35">
      <c r="C71376" s="2"/>
    </row>
    <row r="71377" spans="3:3" x14ac:dyDescent="0.35">
      <c r="C71377" s="2"/>
    </row>
    <row r="71378" spans="3:3" x14ac:dyDescent="0.35">
      <c r="C71378" s="2"/>
    </row>
    <row r="71379" spans="3:3" x14ac:dyDescent="0.35">
      <c r="C71379" s="2"/>
    </row>
    <row r="71380" spans="3:3" x14ac:dyDescent="0.35">
      <c r="C71380" s="2"/>
    </row>
    <row r="71381" spans="3:3" x14ac:dyDescent="0.35">
      <c r="C71381" s="2"/>
    </row>
    <row r="71382" spans="3:3" x14ac:dyDescent="0.35">
      <c r="C71382" s="2"/>
    </row>
    <row r="71383" spans="3:3" x14ac:dyDescent="0.35">
      <c r="C71383" s="2"/>
    </row>
    <row r="71384" spans="3:3" x14ac:dyDescent="0.35">
      <c r="C71384" s="2"/>
    </row>
    <row r="71385" spans="3:3" x14ac:dyDescent="0.35">
      <c r="C71385" s="2"/>
    </row>
    <row r="71386" spans="3:3" x14ac:dyDescent="0.35">
      <c r="C71386" s="2"/>
    </row>
    <row r="71387" spans="3:3" x14ac:dyDescent="0.35">
      <c r="C71387" s="2"/>
    </row>
    <row r="71388" spans="3:3" x14ac:dyDescent="0.35">
      <c r="C71388" s="2"/>
    </row>
    <row r="71389" spans="3:3" x14ac:dyDescent="0.35">
      <c r="C71389" s="2"/>
    </row>
    <row r="71390" spans="3:3" x14ac:dyDescent="0.35">
      <c r="C71390" s="2"/>
    </row>
    <row r="71391" spans="3:3" x14ac:dyDescent="0.35">
      <c r="C71391" s="2"/>
    </row>
    <row r="71392" spans="3:3" x14ac:dyDescent="0.35">
      <c r="C71392" s="2"/>
    </row>
    <row r="71393" spans="3:3" x14ac:dyDescent="0.35">
      <c r="C71393" s="2"/>
    </row>
    <row r="71394" spans="3:3" x14ac:dyDescent="0.35">
      <c r="C71394" s="2"/>
    </row>
    <row r="71395" spans="3:3" x14ac:dyDescent="0.35">
      <c r="C71395" s="2"/>
    </row>
    <row r="71396" spans="3:3" x14ac:dyDescent="0.35">
      <c r="C71396" s="2"/>
    </row>
    <row r="71397" spans="3:3" x14ac:dyDescent="0.35">
      <c r="C71397" s="2"/>
    </row>
    <row r="71398" spans="3:3" x14ac:dyDescent="0.35">
      <c r="C71398" s="2"/>
    </row>
    <row r="71399" spans="3:3" x14ac:dyDescent="0.35">
      <c r="C71399" s="2"/>
    </row>
    <row r="71400" spans="3:3" x14ac:dyDescent="0.35">
      <c r="C71400" s="2"/>
    </row>
    <row r="71401" spans="3:3" x14ac:dyDescent="0.35">
      <c r="C71401" s="2"/>
    </row>
    <row r="71402" spans="3:3" x14ac:dyDescent="0.35">
      <c r="C71402" s="2"/>
    </row>
    <row r="71403" spans="3:3" x14ac:dyDescent="0.35">
      <c r="C71403" s="2"/>
    </row>
    <row r="71404" spans="3:3" x14ac:dyDescent="0.35">
      <c r="C71404" s="2"/>
    </row>
    <row r="71405" spans="3:3" x14ac:dyDescent="0.35">
      <c r="C71405" s="2"/>
    </row>
    <row r="71406" spans="3:3" x14ac:dyDescent="0.35">
      <c r="C71406" s="2"/>
    </row>
    <row r="71407" spans="3:3" x14ac:dyDescent="0.35">
      <c r="C71407" s="2"/>
    </row>
    <row r="71408" spans="3:3" x14ac:dyDescent="0.35">
      <c r="C71408" s="2"/>
    </row>
    <row r="71409" spans="3:3" x14ac:dyDescent="0.35">
      <c r="C71409" s="2"/>
    </row>
    <row r="71410" spans="3:3" x14ac:dyDescent="0.35">
      <c r="C71410" s="2"/>
    </row>
    <row r="71411" spans="3:3" x14ac:dyDescent="0.35">
      <c r="C71411" s="2"/>
    </row>
    <row r="71412" spans="3:3" x14ac:dyDescent="0.35">
      <c r="C71412" s="2"/>
    </row>
    <row r="71413" spans="3:3" x14ac:dyDescent="0.35">
      <c r="C71413" s="2"/>
    </row>
    <row r="71414" spans="3:3" x14ac:dyDescent="0.35">
      <c r="C71414" s="2"/>
    </row>
    <row r="71415" spans="3:3" x14ac:dyDescent="0.35">
      <c r="C71415" s="2"/>
    </row>
    <row r="71416" spans="3:3" x14ac:dyDescent="0.35">
      <c r="C71416" s="2"/>
    </row>
    <row r="71417" spans="3:3" x14ac:dyDescent="0.35">
      <c r="C71417" s="2"/>
    </row>
    <row r="71418" spans="3:3" x14ac:dyDescent="0.35">
      <c r="C71418" s="2"/>
    </row>
    <row r="71419" spans="3:3" x14ac:dyDescent="0.35">
      <c r="C71419" s="2"/>
    </row>
    <row r="71420" spans="3:3" x14ac:dyDescent="0.35">
      <c r="C71420" s="2"/>
    </row>
    <row r="71421" spans="3:3" x14ac:dyDescent="0.35">
      <c r="C71421" s="2"/>
    </row>
    <row r="71422" spans="3:3" x14ac:dyDescent="0.35">
      <c r="C71422" s="2"/>
    </row>
    <row r="71423" spans="3:3" x14ac:dyDescent="0.35">
      <c r="C71423" s="2"/>
    </row>
    <row r="71424" spans="3:3" x14ac:dyDescent="0.35">
      <c r="C71424" s="2"/>
    </row>
    <row r="71425" spans="3:3" x14ac:dyDescent="0.35">
      <c r="C71425" s="2"/>
    </row>
    <row r="71426" spans="3:3" x14ac:dyDescent="0.35">
      <c r="C71426" s="2"/>
    </row>
    <row r="71427" spans="3:3" x14ac:dyDescent="0.35">
      <c r="C71427" s="2"/>
    </row>
    <row r="71428" spans="3:3" x14ac:dyDescent="0.35">
      <c r="C71428" s="2"/>
    </row>
    <row r="71429" spans="3:3" x14ac:dyDescent="0.35">
      <c r="C71429" s="2"/>
    </row>
    <row r="71430" spans="3:3" x14ac:dyDescent="0.35">
      <c r="C71430" s="2"/>
    </row>
    <row r="71431" spans="3:3" x14ac:dyDescent="0.35">
      <c r="C71431" s="2"/>
    </row>
    <row r="71432" spans="3:3" x14ac:dyDescent="0.35">
      <c r="C71432" s="2"/>
    </row>
    <row r="71433" spans="3:3" x14ac:dyDescent="0.35">
      <c r="C71433" s="2"/>
    </row>
    <row r="71434" spans="3:3" x14ac:dyDescent="0.35">
      <c r="C71434" s="2"/>
    </row>
    <row r="71435" spans="3:3" x14ac:dyDescent="0.35">
      <c r="C71435" s="2"/>
    </row>
    <row r="71436" spans="3:3" x14ac:dyDescent="0.35">
      <c r="C71436" s="2"/>
    </row>
    <row r="71437" spans="3:3" x14ac:dyDescent="0.35">
      <c r="C71437" s="2"/>
    </row>
    <row r="71438" spans="3:3" x14ac:dyDescent="0.35">
      <c r="C71438" s="2"/>
    </row>
    <row r="71439" spans="3:3" x14ac:dyDescent="0.35">
      <c r="C71439" s="2"/>
    </row>
    <row r="71440" spans="3:3" x14ac:dyDescent="0.35">
      <c r="C71440" s="2"/>
    </row>
    <row r="71441" spans="3:3" x14ac:dyDescent="0.35">
      <c r="C71441" s="2"/>
    </row>
    <row r="71442" spans="3:3" x14ac:dyDescent="0.35">
      <c r="C71442" s="2"/>
    </row>
    <row r="71443" spans="3:3" x14ac:dyDescent="0.35">
      <c r="C71443" s="2"/>
    </row>
    <row r="71444" spans="3:3" x14ac:dyDescent="0.35">
      <c r="C71444" s="2"/>
    </row>
    <row r="71445" spans="3:3" x14ac:dyDescent="0.35">
      <c r="C71445" s="2"/>
    </row>
    <row r="71446" spans="3:3" x14ac:dyDescent="0.35">
      <c r="C71446" s="2"/>
    </row>
    <row r="71447" spans="3:3" x14ac:dyDescent="0.35">
      <c r="C71447" s="2"/>
    </row>
    <row r="71448" spans="3:3" x14ac:dyDescent="0.35">
      <c r="C71448" s="2"/>
    </row>
    <row r="71449" spans="3:3" x14ac:dyDescent="0.35">
      <c r="C71449" s="2"/>
    </row>
    <row r="71450" spans="3:3" x14ac:dyDescent="0.35">
      <c r="C71450" s="2"/>
    </row>
    <row r="71451" spans="3:3" x14ac:dyDescent="0.35">
      <c r="C71451" s="2"/>
    </row>
    <row r="71452" spans="3:3" x14ac:dyDescent="0.35">
      <c r="C71452" s="2"/>
    </row>
    <row r="71453" spans="3:3" x14ac:dyDescent="0.35">
      <c r="C71453" s="2"/>
    </row>
    <row r="71454" spans="3:3" x14ac:dyDescent="0.35">
      <c r="C71454" s="2"/>
    </row>
    <row r="71455" spans="3:3" x14ac:dyDescent="0.35">
      <c r="C71455" s="2"/>
    </row>
    <row r="71456" spans="3:3" x14ac:dyDescent="0.35">
      <c r="C71456" s="2"/>
    </row>
    <row r="71457" spans="3:3" x14ac:dyDescent="0.35">
      <c r="C71457" s="2"/>
    </row>
    <row r="71458" spans="3:3" x14ac:dyDescent="0.35">
      <c r="C71458" s="2"/>
    </row>
    <row r="71459" spans="3:3" x14ac:dyDescent="0.35">
      <c r="C71459" s="2"/>
    </row>
    <row r="71460" spans="3:3" x14ac:dyDescent="0.35">
      <c r="C71460" s="2"/>
    </row>
    <row r="71461" spans="3:3" x14ac:dyDescent="0.35">
      <c r="C71461" s="2"/>
    </row>
    <row r="71462" spans="3:3" x14ac:dyDescent="0.35">
      <c r="C71462" s="2"/>
    </row>
    <row r="71463" spans="3:3" x14ac:dyDescent="0.35">
      <c r="C71463" s="2"/>
    </row>
    <row r="71464" spans="3:3" x14ac:dyDescent="0.35">
      <c r="C71464" s="2"/>
    </row>
    <row r="71465" spans="3:3" x14ac:dyDescent="0.35">
      <c r="C71465" s="2"/>
    </row>
    <row r="71466" spans="3:3" x14ac:dyDescent="0.35">
      <c r="C71466" s="2"/>
    </row>
    <row r="71467" spans="3:3" x14ac:dyDescent="0.35">
      <c r="C71467" s="2"/>
    </row>
    <row r="71468" spans="3:3" x14ac:dyDescent="0.35">
      <c r="C71468" s="2"/>
    </row>
    <row r="71469" spans="3:3" x14ac:dyDescent="0.35">
      <c r="C71469" s="2"/>
    </row>
    <row r="71470" spans="3:3" x14ac:dyDescent="0.35">
      <c r="C71470" s="2"/>
    </row>
    <row r="71471" spans="3:3" x14ac:dyDescent="0.35">
      <c r="C71471" s="2"/>
    </row>
    <row r="71472" spans="3:3" x14ac:dyDescent="0.35">
      <c r="C71472" s="2"/>
    </row>
    <row r="71473" spans="3:3" x14ac:dyDescent="0.35">
      <c r="C71473" s="2"/>
    </row>
    <row r="71474" spans="3:3" x14ac:dyDescent="0.35">
      <c r="C71474" s="2"/>
    </row>
    <row r="71475" spans="3:3" x14ac:dyDescent="0.35">
      <c r="C71475" s="2"/>
    </row>
    <row r="71476" spans="3:3" x14ac:dyDescent="0.35">
      <c r="C71476" s="2"/>
    </row>
    <row r="71477" spans="3:3" x14ac:dyDescent="0.35">
      <c r="C71477" s="2"/>
    </row>
    <row r="71478" spans="3:3" x14ac:dyDescent="0.35">
      <c r="C71478" s="2"/>
    </row>
    <row r="71479" spans="3:3" x14ac:dyDescent="0.35">
      <c r="C71479" s="2"/>
    </row>
    <row r="71480" spans="3:3" x14ac:dyDescent="0.35">
      <c r="C71480" s="2"/>
    </row>
    <row r="71481" spans="3:3" x14ac:dyDescent="0.35">
      <c r="C71481" s="2"/>
    </row>
    <row r="71482" spans="3:3" x14ac:dyDescent="0.35">
      <c r="C71482" s="2"/>
    </row>
    <row r="71483" spans="3:3" x14ac:dyDescent="0.35">
      <c r="C71483" s="2"/>
    </row>
    <row r="71484" spans="3:3" x14ac:dyDescent="0.35">
      <c r="C71484" s="2"/>
    </row>
    <row r="71485" spans="3:3" x14ac:dyDescent="0.35">
      <c r="C71485" s="2"/>
    </row>
    <row r="71486" spans="3:3" x14ac:dyDescent="0.35">
      <c r="C71486" s="2"/>
    </row>
    <row r="71487" spans="3:3" x14ac:dyDescent="0.35">
      <c r="C71487" s="2"/>
    </row>
    <row r="71488" spans="3:3" x14ac:dyDescent="0.35">
      <c r="C71488" s="2"/>
    </row>
    <row r="71489" spans="3:3" x14ac:dyDescent="0.35">
      <c r="C71489" s="2"/>
    </row>
    <row r="71490" spans="3:3" x14ac:dyDescent="0.35">
      <c r="C71490" s="2"/>
    </row>
    <row r="71491" spans="3:3" x14ac:dyDescent="0.35">
      <c r="C71491" s="2"/>
    </row>
    <row r="71492" spans="3:3" x14ac:dyDescent="0.35">
      <c r="C71492" s="2"/>
    </row>
    <row r="71493" spans="3:3" x14ac:dyDescent="0.35">
      <c r="C71493" s="2"/>
    </row>
    <row r="71494" spans="3:3" x14ac:dyDescent="0.35">
      <c r="C71494" s="2"/>
    </row>
    <row r="71495" spans="3:3" x14ac:dyDescent="0.35">
      <c r="C71495" s="2"/>
    </row>
    <row r="71496" spans="3:3" x14ac:dyDescent="0.35">
      <c r="C71496" s="2"/>
    </row>
    <row r="71497" spans="3:3" x14ac:dyDescent="0.35">
      <c r="C71497" s="2"/>
    </row>
    <row r="71498" spans="3:3" x14ac:dyDescent="0.35">
      <c r="C71498" s="2"/>
    </row>
    <row r="71499" spans="3:3" x14ac:dyDescent="0.35">
      <c r="C71499" s="2"/>
    </row>
    <row r="71500" spans="3:3" x14ac:dyDescent="0.35">
      <c r="C71500" s="2"/>
    </row>
    <row r="71501" spans="3:3" x14ac:dyDescent="0.35">
      <c r="C71501" s="2"/>
    </row>
    <row r="71502" spans="3:3" x14ac:dyDescent="0.35">
      <c r="C71502" s="2"/>
    </row>
    <row r="71503" spans="3:3" x14ac:dyDescent="0.35">
      <c r="C71503" s="2"/>
    </row>
    <row r="71504" spans="3:3" x14ac:dyDescent="0.35">
      <c r="C71504" s="2"/>
    </row>
    <row r="71505" spans="3:3" x14ac:dyDescent="0.35">
      <c r="C71505" s="2"/>
    </row>
    <row r="71506" spans="3:3" x14ac:dyDescent="0.35">
      <c r="C71506" s="2"/>
    </row>
    <row r="71507" spans="3:3" x14ac:dyDescent="0.35">
      <c r="C71507" s="2"/>
    </row>
    <row r="71508" spans="3:3" x14ac:dyDescent="0.35">
      <c r="C71508" s="2"/>
    </row>
    <row r="71509" spans="3:3" x14ac:dyDescent="0.35">
      <c r="C71509" s="2"/>
    </row>
    <row r="71510" spans="3:3" x14ac:dyDescent="0.35">
      <c r="C71510" s="2"/>
    </row>
    <row r="71511" spans="3:3" x14ac:dyDescent="0.35">
      <c r="C71511" s="2"/>
    </row>
    <row r="71512" spans="3:3" x14ac:dyDescent="0.35">
      <c r="C71512" s="2"/>
    </row>
    <row r="71513" spans="3:3" x14ac:dyDescent="0.35">
      <c r="C71513" s="2"/>
    </row>
    <row r="71514" spans="3:3" x14ac:dyDescent="0.35">
      <c r="C71514" s="2"/>
    </row>
    <row r="71515" spans="3:3" x14ac:dyDescent="0.35">
      <c r="C71515" s="2"/>
    </row>
    <row r="71516" spans="3:3" x14ac:dyDescent="0.35">
      <c r="C71516" s="2"/>
    </row>
    <row r="71517" spans="3:3" x14ac:dyDescent="0.35">
      <c r="C71517" s="2"/>
    </row>
    <row r="71518" spans="3:3" x14ac:dyDescent="0.35">
      <c r="C71518" s="2"/>
    </row>
    <row r="71519" spans="3:3" x14ac:dyDescent="0.35">
      <c r="C71519" s="2"/>
    </row>
    <row r="71520" spans="3:3" x14ac:dyDescent="0.35">
      <c r="C71520" s="2"/>
    </row>
    <row r="71521" spans="3:3" x14ac:dyDescent="0.35">
      <c r="C71521" s="2"/>
    </row>
    <row r="71522" spans="3:3" x14ac:dyDescent="0.35">
      <c r="C71522" s="2"/>
    </row>
    <row r="71523" spans="3:3" x14ac:dyDescent="0.35">
      <c r="C71523" s="2"/>
    </row>
    <row r="71524" spans="3:3" x14ac:dyDescent="0.35">
      <c r="C71524" s="2"/>
    </row>
    <row r="71525" spans="3:3" x14ac:dyDescent="0.35">
      <c r="C71525" s="2"/>
    </row>
    <row r="71526" spans="3:3" x14ac:dyDescent="0.35">
      <c r="C71526" s="2"/>
    </row>
    <row r="71527" spans="3:3" x14ac:dyDescent="0.35">
      <c r="C71527" s="2"/>
    </row>
    <row r="71528" spans="3:3" x14ac:dyDescent="0.35">
      <c r="C71528" s="2"/>
    </row>
    <row r="71529" spans="3:3" x14ac:dyDescent="0.35">
      <c r="C71529" s="2"/>
    </row>
    <row r="71530" spans="3:3" x14ac:dyDescent="0.35">
      <c r="C71530" s="2"/>
    </row>
    <row r="71531" spans="3:3" x14ac:dyDescent="0.35">
      <c r="C71531" s="2"/>
    </row>
    <row r="71532" spans="3:3" x14ac:dyDescent="0.35">
      <c r="C71532" s="2"/>
    </row>
    <row r="71533" spans="3:3" x14ac:dyDescent="0.35">
      <c r="C71533" s="2"/>
    </row>
    <row r="71534" spans="3:3" x14ac:dyDescent="0.35">
      <c r="C71534" s="2"/>
    </row>
    <row r="71535" spans="3:3" x14ac:dyDescent="0.35">
      <c r="C71535" s="2"/>
    </row>
    <row r="71536" spans="3:3" x14ac:dyDescent="0.35">
      <c r="C71536" s="2"/>
    </row>
    <row r="71537" spans="3:3" x14ac:dyDescent="0.35">
      <c r="C71537" s="2"/>
    </row>
    <row r="71538" spans="3:3" x14ac:dyDescent="0.35">
      <c r="C71538" s="2"/>
    </row>
    <row r="71539" spans="3:3" x14ac:dyDescent="0.35">
      <c r="C71539" s="2"/>
    </row>
    <row r="71540" spans="3:3" x14ac:dyDescent="0.35">
      <c r="C71540" s="2"/>
    </row>
    <row r="71541" spans="3:3" x14ac:dyDescent="0.35">
      <c r="C71541" s="2"/>
    </row>
    <row r="71542" spans="3:3" x14ac:dyDescent="0.35">
      <c r="C71542" s="2"/>
    </row>
    <row r="71543" spans="3:3" x14ac:dyDescent="0.35">
      <c r="C71543" s="2"/>
    </row>
    <row r="71544" spans="3:3" x14ac:dyDescent="0.35">
      <c r="C71544" s="2"/>
    </row>
    <row r="71545" spans="3:3" x14ac:dyDescent="0.35">
      <c r="C71545" s="2"/>
    </row>
    <row r="71546" spans="3:3" x14ac:dyDescent="0.35">
      <c r="C71546" s="2"/>
    </row>
    <row r="71547" spans="3:3" x14ac:dyDescent="0.35">
      <c r="C71547" s="2"/>
    </row>
    <row r="71548" spans="3:3" x14ac:dyDescent="0.35">
      <c r="C71548" s="2"/>
    </row>
    <row r="71549" spans="3:3" x14ac:dyDescent="0.35">
      <c r="C71549" s="2"/>
    </row>
    <row r="71550" spans="3:3" x14ac:dyDescent="0.35">
      <c r="C71550" s="2"/>
    </row>
    <row r="71551" spans="3:3" x14ac:dyDescent="0.35">
      <c r="C71551" s="2"/>
    </row>
    <row r="71552" spans="3:3" x14ac:dyDescent="0.35">
      <c r="C71552" s="2"/>
    </row>
    <row r="71553" spans="3:3" x14ac:dyDescent="0.35">
      <c r="C71553" s="2"/>
    </row>
    <row r="71554" spans="3:3" x14ac:dyDescent="0.35">
      <c r="C71554" s="2"/>
    </row>
    <row r="71555" spans="3:3" x14ac:dyDescent="0.35">
      <c r="C71555" s="2"/>
    </row>
    <row r="71556" spans="3:3" x14ac:dyDescent="0.35">
      <c r="C71556" s="2"/>
    </row>
    <row r="71557" spans="3:3" x14ac:dyDescent="0.35">
      <c r="C71557" s="2"/>
    </row>
    <row r="71558" spans="3:3" x14ac:dyDescent="0.35">
      <c r="C71558" s="2"/>
    </row>
    <row r="71559" spans="3:3" x14ac:dyDescent="0.35">
      <c r="C71559" s="2"/>
    </row>
    <row r="71560" spans="3:3" x14ac:dyDescent="0.35">
      <c r="C71560" s="2"/>
    </row>
    <row r="71561" spans="3:3" x14ac:dyDescent="0.35">
      <c r="C71561" s="2"/>
    </row>
    <row r="71562" spans="3:3" x14ac:dyDescent="0.35">
      <c r="C71562" s="2"/>
    </row>
    <row r="71563" spans="3:3" x14ac:dyDescent="0.35">
      <c r="C71563" s="2"/>
    </row>
    <row r="71564" spans="3:3" x14ac:dyDescent="0.35">
      <c r="C71564" s="2"/>
    </row>
    <row r="71565" spans="3:3" x14ac:dyDescent="0.35">
      <c r="C71565" s="2"/>
    </row>
    <row r="71566" spans="3:3" x14ac:dyDescent="0.35">
      <c r="C71566" s="2"/>
    </row>
    <row r="71567" spans="3:3" x14ac:dyDescent="0.35">
      <c r="C71567" s="2"/>
    </row>
    <row r="71568" spans="3:3" x14ac:dyDescent="0.35">
      <c r="C71568" s="2"/>
    </row>
    <row r="71569" spans="3:3" x14ac:dyDescent="0.35">
      <c r="C71569" s="2"/>
    </row>
    <row r="71570" spans="3:3" x14ac:dyDescent="0.35">
      <c r="C71570" s="2"/>
    </row>
    <row r="71571" spans="3:3" x14ac:dyDescent="0.35">
      <c r="C71571" s="2"/>
    </row>
    <row r="71572" spans="3:3" x14ac:dyDescent="0.35">
      <c r="C71572" s="2"/>
    </row>
    <row r="71573" spans="3:3" x14ac:dyDescent="0.35">
      <c r="C71573" s="2"/>
    </row>
    <row r="71574" spans="3:3" x14ac:dyDescent="0.35">
      <c r="C71574" s="2"/>
    </row>
    <row r="71575" spans="3:3" x14ac:dyDescent="0.35">
      <c r="C71575" s="2"/>
    </row>
    <row r="71576" spans="3:3" x14ac:dyDescent="0.35">
      <c r="C71576" s="2"/>
    </row>
    <row r="71577" spans="3:3" x14ac:dyDescent="0.35">
      <c r="C71577" s="2"/>
    </row>
    <row r="71578" spans="3:3" x14ac:dyDescent="0.35">
      <c r="C71578" s="2"/>
    </row>
    <row r="71579" spans="3:3" x14ac:dyDescent="0.35">
      <c r="C71579" s="2"/>
    </row>
    <row r="71580" spans="3:3" x14ac:dyDescent="0.35">
      <c r="C71580" s="2"/>
    </row>
    <row r="71581" spans="3:3" x14ac:dyDescent="0.35">
      <c r="C71581" s="2"/>
    </row>
    <row r="71582" spans="3:3" x14ac:dyDescent="0.35">
      <c r="C71582" s="2"/>
    </row>
    <row r="71583" spans="3:3" x14ac:dyDescent="0.35">
      <c r="C71583" s="2"/>
    </row>
    <row r="71584" spans="3:3" x14ac:dyDescent="0.35">
      <c r="C71584" s="2"/>
    </row>
    <row r="71585" spans="3:3" x14ac:dyDescent="0.35">
      <c r="C71585" s="2"/>
    </row>
    <row r="71586" spans="3:3" x14ac:dyDescent="0.35">
      <c r="C71586" s="2"/>
    </row>
    <row r="71587" spans="3:3" x14ac:dyDescent="0.35">
      <c r="C71587" s="2"/>
    </row>
    <row r="71588" spans="3:3" x14ac:dyDescent="0.35">
      <c r="C71588" s="2"/>
    </row>
    <row r="71589" spans="3:3" x14ac:dyDescent="0.35">
      <c r="C71589" s="2"/>
    </row>
    <row r="71590" spans="3:3" x14ac:dyDescent="0.35">
      <c r="C71590" s="2"/>
    </row>
    <row r="71591" spans="3:3" x14ac:dyDescent="0.35">
      <c r="C71591" s="2"/>
    </row>
    <row r="71592" spans="3:3" x14ac:dyDescent="0.35">
      <c r="C71592" s="2"/>
    </row>
    <row r="71593" spans="3:3" x14ac:dyDescent="0.35">
      <c r="C71593" s="2"/>
    </row>
    <row r="71594" spans="3:3" x14ac:dyDescent="0.35">
      <c r="C71594" s="2"/>
    </row>
    <row r="71595" spans="3:3" x14ac:dyDescent="0.35">
      <c r="C71595" s="2"/>
    </row>
    <row r="71596" spans="3:3" x14ac:dyDescent="0.35">
      <c r="C71596" s="2"/>
    </row>
    <row r="71597" spans="3:3" x14ac:dyDescent="0.35">
      <c r="C71597" s="2"/>
    </row>
    <row r="71598" spans="3:3" x14ac:dyDescent="0.35">
      <c r="C71598" s="2"/>
    </row>
    <row r="71599" spans="3:3" x14ac:dyDescent="0.35">
      <c r="C71599" s="2"/>
    </row>
    <row r="71600" spans="3:3" x14ac:dyDescent="0.35">
      <c r="C71600" s="2"/>
    </row>
    <row r="71601" spans="3:3" x14ac:dyDescent="0.35">
      <c r="C71601" s="2"/>
    </row>
    <row r="71602" spans="3:3" x14ac:dyDescent="0.35">
      <c r="C71602" s="2"/>
    </row>
    <row r="71603" spans="3:3" x14ac:dyDescent="0.35">
      <c r="C71603" s="2"/>
    </row>
    <row r="71604" spans="3:3" x14ac:dyDescent="0.35">
      <c r="C71604" s="2"/>
    </row>
    <row r="71605" spans="3:3" x14ac:dyDescent="0.35">
      <c r="C71605" s="2"/>
    </row>
    <row r="71606" spans="3:3" x14ac:dyDescent="0.35">
      <c r="C71606" s="2"/>
    </row>
    <row r="71607" spans="3:3" x14ac:dyDescent="0.35">
      <c r="C71607" s="2"/>
    </row>
    <row r="71608" spans="3:3" x14ac:dyDescent="0.35">
      <c r="C71608" s="2"/>
    </row>
    <row r="71609" spans="3:3" x14ac:dyDescent="0.35">
      <c r="C71609" s="2"/>
    </row>
    <row r="71610" spans="3:3" x14ac:dyDescent="0.35">
      <c r="C71610" s="2"/>
    </row>
    <row r="71611" spans="3:3" x14ac:dyDescent="0.35">
      <c r="C71611" s="2"/>
    </row>
    <row r="71612" spans="3:3" x14ac:dyDescent="0.35">
      <c r="C71612" s="2"/>
    </row>
    <row r="71613" spans="3:3" x14ac:dyDescent="0.35">
      <c r="C71613" s="2"/>
    </row>
    <row r="71614" spans="3:3" x14ac:dyDescent="0.35">
      <c r="C71614" s="2"/>
    </row>
    <row r="71615" spans="3:3" x14ac:dyDescent="0.35">
      <c r="C71615" s="2"/>
    </row>
    <row r="71616" spans="3:3" x14ac:dyDescent="0.35">
      <c r="C71616" s="2"/>
    </row>
    <row r="71617" spans="3:3" x14ac:dyDescent="0.35">
      <c r="C71617" s="2"/>
    </row>
    <row r="71618" spans="3:3" x14ac:dyDescent="0.35">
      <c r="C71618" s="2"/>
    </row>
    <row r="71619" spans="3:3" x14ac:dyDescent="0.35">
      <c r="C71619" s="2"/>
    </row>
    <row r="71620" spans="3:3" x14ac:dyDescent="0.35">
      <c r="C71620" s="2"/>
    </row>
    <row r="71621" spans="3:3" x14ac:dyDescent="0.35">
      <c r="C71621" s="2"/>
    </row>
    <row r="71622" spans="3:3" x14ac:dyDescent="0.35">
      <c r="C71622" s="2"/>
    </row>
    <row r="71623" spans="3:3" x14ac:dyDescent="0.35">
      <c r="C71623" s="2"/>
    </row>
    <row r="71624" spans="3:3" x14ac:dyDescent="0.35">
      <c r="C71624" s="2"/>
    </row>
    <row r="71625" spans="3:3" x14ac:dyDescent="0.35">
      <c r="C71625" s="2"/>
    </row>
    <row r="71626" spans="3:3" x14ac:dyDescent="0.35">
      <c r="C71626" s="2"/>
    </row>
    <row r="71627" spans="3:3" x14ac:dyDescent="0.35">
      <c r="C71627" s="2"/>
    </row>
    <row r="71628" spans="3:3" x14ac:dyDescent="0.35">
      <c r="C71628" s="2"/>
    </row>
    <row r="71629" spans="3:3" x14ac:dyDescent="0.35">
      <c r="C71629" s="2"/>
    </row>
    <row r="71630" spans="3:3" x14ac:dyDescent="0.35">
      <c r="C71630" s="2"/>
    </row>
    <row r="71631" spans="3:3" x14ac:dyDescent="0.35">
      <c r="C71631" s="2"/>
    </row>
    <row r="71632" spans="3:3" x14ac:dyDescent="0.35">
      <c r="C71632" s="2"/>
    </row>
    <row r="71633" spans="3:3" x14ac:dyDescent="0.35">
      <c r="C71633" s="2"/>
    </row>
    <row r="71634" spans="3:3" x14ac:dyDescent="0.35">
      <c r="C71634" s="2"/>
    </row>
    <row r="71635" spans="3:3" x14ac:dyDescent="0.35">
      <c r="C71635" s="2"/>
    </row>
    <row r="71636" spans="3:3" x14ac:dyDescent="0.35">
      <c r="C71636" s="2"/>
    </row>
    <row r="71637" spans="3:3" x14ac:dyDescent="0.35">
      <c r="C71637" s="2"/>
    </row>
    <row r="71638" spans="3:3" x14ac:dyDescent="0.35">
      <c r="C71638" s="2"/>
    </row>
    <row r="71639" spans="3:3" x14ac:dyDescent="0.35">
      <c r="C71639" s="2"/>
    </row>
    <row r="71640" spans="3:3" x14ac:dyDescent="0.35">
      <c r="C71640" s="2"/>
    </row>
    <row r="71641" spans="3:3" x14ac:dyDescent="0.35">
      <c r="C71641" s="2"/>
    </row>
    <row r="71642" spans="3:3" x14ac:dyDescent="0.35">
      <c r="C71642" s="2"/>
    </row>
    <row r="71643" spans="3:3" x14ac:dyDescent="0.35">
      <c r="C71643" s="2"/>
    </row>
    <row r="71644" spans="3:3" x14ac:dyDescent="0.35">
      <c r="C71644" s="2"/>
    </row>
    <row r="71645" spans="3:3" x14ac:dyDescent="0.35">
      <c r="C71645" s="2"/>
    </row>
    <row r="71646" spans="3:3" x14ac:dyDescent="0.35">
      <c r="C71646" s="2"/>
    </row>
    <row r="71647" spans="3:3" x14ac:dyDescent="0.35">
      <c r="C71647" s="2"/>
    </row>
    <row r="71648" spans="3:3" x14ac:dyDescent="0.35">
      <c r="C71648" s="2"/>
    </row>
    <row r="71649" spans="3:3" x14ac:dyDescent="0.35">
      <c r="C71649" s="2"/>
    </row>
    <row r="71650" spans="3:3" x14ac:dyDescent="0.35">
      <c r="C71650" s="2"/>
    </row>
    <row r="71651" spans="3:3" x14ac:dyDescent="0.35">
      <c r="C71651" s="2"/>
    </row>
    <row r="71652" spans="3:3" x14ac:dyDescent="0.35">
      <c r="C71652" s="2"/>
    </row>
    <row r="71653" spans="3:3" x14ac:dyDescent="0.35">
      <c r="C71653" s="2"/>
    </row>
    <row r="71654" spans="3:3" x14ac:dyDescent="0.35">
      <c r="C71654" s="2"/>
    </row>
    <row r="71655" spans="3:3" x14ac:dyDescent="0.35">
      <c r="C71655" s="2"/>
    </row>
    <row r="71656" spans="3:3" x14ac:dyDescent="0.35">
      <c r="C71656" s="2"/>
    </row>
    <row r="71657" spans="3:3" x14ac:dyDescent="0.35">
      <c r="C71657" s="2"/>
    </row>
    <row r="71658" spans="3:3" x14ac:dyDescent="0.35">
      <c r="C71658" s="2"/>
    </row>
    <row r="71659" spans="3:3" x14ac:dyDescent="0.35">
      <c r="C71659" s="2"/>
    </row>
    <row r="71660" spans="3:3" x14ac:dyDescent="0.35">
      <c r="C71660" s="2"/>
    </row>
    <row r="71661" spans="3:3" x14ac:dyDescent="0.35">
      <c r="C71661" s="2"/>
    </row>
    <row r="71662" spans="3:3" x14ac:dyDescent="0.35">
      <c r="C71662" s="2"/>
    </row>
    <row r="71663" spans="3:3" x14ac:dyDescent="0.35">
      <c r="C71663" s="2"/>
    </row>
    <row r="71664" spans="3:3" x14ac:dyDescent="0.35">
      <c r="C71664" s="2"/>
    </row>
    <row r="71665" spans="3:3" x14ac:dyDescent="0.35">
      <c r="C71665" s="2"/>
    </row>
    <row r="71666" spans="3:3" x14ac:dyDescent="0.35">
      <c r="C71666" s="2"/>
    </row>
    <row r="71667" spans="3:3" x14ac:dyDescent="0.35">
      <c r="C71667" s="2"/>
    </row>
    <row r="71668" spans="3:3" x14ac:dyDescent="0.35">
      <c r="C71668" s="2"/>
    </row>
    <row r="71669" spans="3:3" x14ac:dyDescent="0.35">
      <c r="C71669" s="2"/>
    </row>
    <row r="71670" spans="3:3" x14ac:dyDescent="0.35">
      <c r="C71670" s="2"/>
    </row>
    <row r="71671" spans="3:3" x14ac:dyDescent="0.35">
      <c r="C71671" s="2"/>
    </row>
    <row r="71672" spans="3:3" x14ac:dyDescent="0.35">
      <c r="C71672" s="2"/>
    </row>
    <row r="71673" spans="3:3" x14ac:dyDescent="0.35">
      <c r="C71673" s="2"/>
    </row>
    <row r="71674" spans="3:3" x14ac:dyDescent="0.35">
      <c r="C71674" s="2"/>
    </row>
    <row r="71675" spans="3:3" x14ac:dyDescent="0.35">
      <c r="C71675" s="2"/>
    </row>
    <row r="71676" spans="3:3" x14ac:dyDescent="0.35">
      <c r="C71676" s="2"/>
    </row>
    <row r="71677" spans="3:3" x14ac:dyDescent="0.35">
      <c r="C71677" s="2"/>
    </row>
    <row r="71678" spans="3:3" x14ac:dyDescent="0.35">
      <c r="C71678" s="2"/>
    </row>
    <row r="71679" spans="3:3" x14ac:dyDescent="0.35">
      <c r="C71679" s="2"/>
    </row>
    <row r="71680" spans="3:3" x14ac:dyDescent="0.35">
      <c r="C71680" s="2"/>
    </row>
    <row r="71681" spans="3:3" x14ac:dyDescent="0.35">
      <c r="C71681" s="2"/>
    </row>
    <row r="71682" spans="3:3" x14ac:dyDescent="0.35">
      <c r="C71682" s="2"/>
    </row>
    <row r="71683" spans="3:3" x14ac:dyDescent="0.35">
      <c r="C71683" s="2"/>
    </row>
    <row r="71684" spans="3:3" x14ac:dyDescent="0.35">
      <c r="C71684" s="2"/>
    </row>
    <row r="71685" spans="3:3" x14ac:dyDescent="0.35">
      <c r="C71685" s="2"/>
    </row>
    <row r="71686" spans="3:3" x14ac:dyDescent="0.35">
      <c r="C71686" s="2"/>
    </row>
    <row r="71687" spans="3:3" x14ac:dyDescent="0.35">
      <c r="C71687" s="2"/>
    </row>
    <row r="71688" spans="3:3" x14ac:dyDescent="0.35">
      <c r="C71688" s="2"/>
    </row>
    <row r="71689" spans="3:3" x14ac:dyDescent="0.35">
      <c r="C71689" s="2"/>
    </row>
    <row r="71690" spans="3:3" x14ac:dyDescent="0.35">
      <c r="C71690" s="2"/>
    </row>
    <row r="71691" spans="3:3" x14ac:dyDescent="0.35">
      <c r="C71691" s="2"/>
    </row>
    <row r="71692" spans="3:3" x14ac:dyDescent="0.35">
      <c r="C71692" s="2"/>
    </row>
    <row r="71693" spans="3:3" x14ac:dyDescent="0.35">
      <c r="C71693" s="2"/>
    </row>
    <row r="71694" spans="3:3" x14ac:dyDescent="0.35">
      <c r="C71694" s="2"/>
    </row>
    <row r="71695" spans="3:3" x14ac:dyDescent="0.35">
      <c r="C71695" s="2"/>
    </row>
    <row r="71696" spans="3:3" x14ac:dyDescent="0.35">
      <c r="C71696" s="2"/>
    </row>
    <row r="71697" spans="3:3" x14ac:dyDescent="0.35">
      <c r="C71697" s="2"/>
    </row>
    <row r="71698" spans="3:3" x14ac:dyDescent="0.35">
      <c r="C71698" s="2"/>
    </row>
    <row r="71699" spans="3:3" x14ac:dyDescent="0.35">
      <c r="C71699" s="2"/>
    </row>
    <row r="71700" spans="3:3" x14ac:dyDescent="0.35">
      <c r="C71700" s="2"/>
    </row>
    <row r="71701" spans="3:3" x14ac:dyDescent="0.35">
      <c r="C71701" s="2"/>
    </row>
    <row r="71702" spans="3:3" x14ac:dyDescent="0.35">
      <c r="C71702" s="2"/>
    </row>
    <row r="71703" spans="3:3" x14ac:dyDescent="0.35">
      <c r="C71703" s="2"/>
    </row>
    <row r="71704" spans="3:3" x14ac:dyDescent="0.35">
      <c r="C71704" s="2"/>
    </row>
    <row r="71705" spans="3:3" x14ac:dyDescent="0.35">
      <c r="C71705" s="2"/>
    </row>
    <row r="71706" spans="3:3" x14ac:dyDescent="0.35">
      <c r="C71706" s="2"/>
    </row>
    <row r="71707" spans="3:3" x14ac:dyDescent="0.35">
      <c r="C71707" s="2"/>
    </row>
    <row r="71708" spans="3:3" x14ac:dyDescent="0.35">
      <c r="C71708" s="2"/>
    </row>
    <row r="71709" spans="3:3" x14ac:dyDescent="0.35">
      <c r="C71709" s="2"/>
    </row>
    <row r="71710" spans="3:3" x14ac:dyDescent="0.35">
      <c r="C71710" s="2"/>
    </row>
    <row r="71711" spans="3:3" x14ac:dyDescent="0.35">
      <c r="C71711" s="2"/>
    </row>
    <row r="71712" spans="3:3" x14ac:dyDescent="0.35">
      <c r="C71712" s="2"/>
    </row>
    <row r="71713" spans="3:3" x14ac:dyDescent="0.35">
      <c r="C71713" s="2"/>
    </row>
    <row r="71714" spans="3:3" x14ac:dyDescent="0.35">
      <c r="C71714" s="2"/>
    </row>
    <row r="71715" spans="3:3" x14ac:dyDescent="0.35">
      <c r="C71715" s="2"/>
    </row>
    <row r="71716" spans="3:3" x14ac:dyDescent="0.35">
      <c r="C71716" s="2"/>
    </row>
    <row r="71717" spans="3:3" x14ac:dyDescent="0.35">
      <c r="C71717" s="2"/>
    </row>
    <row r="71718" spans="3:3" x14ac:dyDescent="0.35">
      <c r="C71718" s="2"/>
    </row>
    <row r="71719" spans="3:3" x14ac:dyDescent="0.35">
      <c r="C71719" s="2"/>
    </row>
    <row r="71720" spans="3:3" x14ac:dyDescent="0.35">
      <c r="C71720" s="2"/>
    </row>
    <row r="71721" spans="3:3" x14ac:dyDescent="0.35">
      <c r="C71721" s="2"/>
    </row>
    <row r="71722" spans="3:3" x14ac:dyDescent="0.35">
      <c r="C71722" s="2"/>
    </row>
    <row r="71723" spans="3:3" x14ac:dyDescent="0.35">
      <c r="C71723" s="2"/>
    </row>
    <row r="71724" spans="3:3" x14ac:dyDescent="0.35">
      <c r="C71724" s="2"/>
    </row>
    <row r="71725" spans="3:3" x14ac:dyDescent="0.35">
      <c r="C71725" s="2"/>
    </row>
    <row r="71726" spans="3:3" x14ac:dyDescent="0.35">
      <c r="C71726" s="2"/>
    </row>
    <row r="71727" spans="3:3" x14ac:dyDescent="0.35">
      <c r="C71727" s="2"/>
    </row>
    <row r="71728" spans="3:3" x14ac:dyDescent="0.35">
      <c r="C71728" s="2"/>
    </row>
    <row r="71729" spans="3:3" x14ac:dyDescent="0.35">
      <c r="C71729" s="2"/>
    </row>
    <row r="71730" spans="3:3" x14ac:dyDescent="0.35">
      <c r="C71730" s="2"/>
    </row>
    <row r="71731" spans="3:3" x14ac:dyDescent="0.35">
      <c r="C71731" s="2"/>
    </row>
    <row r="71732" spans="3:3" x14ac:dyDescent="0.35">
      <c r="C71732" s="2"/>
    </row>
    <row r="71733" spans="3:3" x14ac:dyDescent="0.35">
      <c r="C71733" s="2"/>
    </row>
    <row r="71734" spans="3:3" x14ac:dyDescent="0.35">
      <c r="C71734" s="2"/>
    </row>
    <row r="71735" spans="3:3" x14ac:dyDescent="0.35">
      <c r="C71735" s="2"/>
    </row>
    <row r="71736" spans="3:3" x14ac:dyDescent="0.35">
      <c r="C71736" s="2"/>
    </row>
    <row r="71737" spans="3:3" x14ac:dyDescent="0.35">
      <c r="C71737" s="2"/>
    </row>
    <row r="71738" spans="3:3" x14ac:dyDescent="0.35">
      <c r="C71738" s="2"/>
    </row>
    <row r="71739" spans="3:3" x14ac:dyDescent="0.35">
      <c r="C71739" s="2"/>
    </row>
    <row r="71740" spans="3:3" x14ac:dyDescent="0.35">
      <c r="C71740" s="2"/>
    </row>
    <row r="71741" spans="3:3" x14ac:dyDescent="0.35">
      <c r="C71741" s="2"/>
    </row>
    <row r="71742" spans="3:3" x14ac:dyDescent="0.35">
      <c r="C71742" s="2"/>
    </row>
    <row r="71743" spans="3:3" x14ac:dyDescent="0.35">
      <c r="C71743" s="2"/>
    </row>
    <row r="71744" spans="3:3" x14ac:dyDescent="0.35">
      <c r="C71744" s="2"/>
    </row>
    <row r="71745" spans="3:3" x14ac:dyDescent="0.35">
      <c r="C71745" s="2"/>
    </row>
    <row r="71746" spans="3:3" x14ac:dyDescent="0.35">
      <c r="C71746" s="2"/>
    </row>
    <row r="71747" spans="3:3" x14ac:dyDescent="0.35">
      <c r="C71747" s="2"/>
    </row>
    <row r="71748" spans="3:3" x14ac:dyDescent="0.35">
      <c r="C71748" s="2"/>
    </row>
    <row r="71749" spans="3:3" x14ac:dyDescent="0.35">
      <c r="C71749" s="2"/>
    </row>
    <row r="71750" spans="3:3" x14ac:dyDescent="0.35">
      <c r="C71750" s="2"/>
    </row>
    <row r="71751" spans="3:3" x14ac:dyDescent="0.35">
      <c r="C71751" s="2"/>
    </row>
    <row r="71752" spans="3:3" x14ac:dyDescent="0.35">
      <c r="C71752" s="2"/>
    </row>
    <row r="71753" spans="3:3" x14ac:dyDescent="0.35">
      <c r="C71753" s="2"/>
    </row>
    <row r="71754" spans="3:3" x14ac:dyDescent="0.35">
      <c r="C71754" s="2"/>
    </row>
    <row r="71755" spans="3:3" x14ac:dyDescent="0.35">
      <c r="C71755" s="2"/>
    </row>
    <row r="71756" spans="3:3" x14ac:dyDescent="0.35">
      <c r="C71756" s="2"/>
    </row>
    <row r="71757" spans="3:3" x14ac:dyDescent="0.35">
      <c r="C71757" s="2"/>
    </row>
    <row r="71758" spans="3:3" x14ac:dyDescent="0.35">
      <c r="C71758" s="2"/>
    </row>
    <row r="71759" spans="3:3" x14ac:dyDescent="0.35">
      <c r="C71759" s="2"/>
    </row>
    <row r="71760" spans="3:3" x14ac:dyDescent="0.35">
      <c r="C71760" s="2"/>
    </row>
    <row r="71761" spans="3:3" x14ac:dyDescent="0.35">
      <c r="C71761" s="2"/>
    </row>
    <row r="71762" spans="3:3" x14ac:dyDescent="0.35">
      <c r="C71762" s="2"/>
    </row>
    <row r="71763" spans="3:3" x14ac:dyDescent="0.35">
      <c r="C71763" s="2"/>
    </row>
    <row r="71764" spans="3:3" x14ac:dyDescent="0.35">
      <c r="C71764" s="2"/>
    </row>
    <row r="71765" spans="3:3" x14ac:dyDescent="0.35">
      <c r="C71765" s="2"/>
    </row>
    <row r="71766" spans="3:3" x14ac:dyDescent="0.35">
      <c r="C71766" s="2"/>
    </row>
    <row r="71767" spans="3:3" x14ac:dyDescent="0.35">
      <c r="C71767" s="2"/>
    </row>
    <row r="71768" spans="3:3" x14ac:dyDescent="0.35">
      <c r="C71768" s="2"/>
    </row>
    <row r="71769" spans="3:3" x14ac:dyDescent="0.35">
      <c r="C71769" s="2"/>
    </row>
    <row r="71770" spans="3:3" x14ac:dyDescent="0.35">
      <c r="C71770" s="2"/>
    </row>
    <row r="71771" spans="3:3" x14ac:dyDescent="0.35">
      <c r="C71771" s="2"/>
    </row>
    <row r="71772" spans="3:3" x14ac:dyDescent="0.35">
      <c r="C71772" s="2"/>
    </row>
    <row r="71773" spans="3:3" x14ac:dyDescent="0.35">
      <c r="C71773" s="2"/>
    </row>
    <row r="71774" spans="3:3" x14ac:dyDescent="0.35">
      <c r="C71774" s="2"/>
    </row>
    <row r="71775" spans="3:3" x14ac:dyDescent="0.35">
      <c r="C71775" s="2"/>
    </row>
    <row r="71776" spans="3:3" x14ac:dyDescent="0.35">
      <c r="C71776" s="2"/>
    </row>
    <row r="71777" spans="3:3" x14ac:dyDescent="0.35">
      <c r="C71777" s="2"/>
    </row>
    <row r="71778" spans="3:3" x14ac:dyDescent="0.35">
      <c r="C71778" s="2"/>
    </row>
    <row r="71779" spans="3:3" x14ac:dyDescent="0.35">
      <c r="C71779" s="2"/>
    </row>
    <row r="71780" spans="3:3" x14ac:dyDescent="0.35">
      <c r="C71780" s="2"/>
    </row>
    <row r="71781" spans="3:3" x14ac:dyDescent="0.35">
      <c r="C71781" s="2"/>
    </row>
    <row r="71782" spans="3:3" x14ac:dyDescent="0.35">
      <c r="C71782" s="2"/>
    </row>
    <row r="71783" spans="3:3" x14ac:dyDescent="0.35">
      <c r="C71783" s="2"/>
    </row>
    <row r="71784" spans="3:3" x14ac:dyDescent="0.35">
      <c r="C71784" s="2"/>
    </row>
    <row r="71785" spans="3:3" x14ac:dyDescent="0.35">
      <c r="C71785" s="2"/>
    </row>
    <row r="71786" spans="3:3" x14ac:dyDescent="0.35">
      <c r="C71786" s="2"/>
    </row>
    <row r="71787" spans="3:3" x14ac:dyDescent="0.35">
      <c r="C71787" s="2"/>
    </row>
    <row r="71788" spans="3:3" x14ac:dyDescent="0.35">
      <c r="C71788" s="2"/>
    </row>
    <row r="71789" spans="3:3" x14ac:dyDescent="0.35">
      <c r="C71789" s="2"/>
    </row>
    <row r="71790" spans="3:3" x14ac:dyDescent="0.35">
      <c r="C71790" s="2"/>
    </row>
    <row r="71791" spans="3:3" x14ac:dyDescent="0.35">
      <c r="C71791" s="2"/>
    </row>
    <row r="71792" spans="3:3" x14ac:dyDescent="0.35">
      <c r="C71792" s="2"/>
    </row>
    <row r="71793" spans="3:3" x14ac:dyDescent="0.35">
      <c r="C71793" s="2"/>
    </row>
    <row r="71794" spans="3:3" x14ac:dyDescent="0.35">
      <c r="C71794" s="2"/>
    </row>
    <row r="71795" spans="3:3" x14ac:dyDescent="0.35">
      <c r="C71795" s="2"/>
    </row>
    <row r="71796" spans="3:3" x14ac:dyDescent="0.35">
      <c r="C71796" s="2"/>
    </row>
    <row r="71797" spans="3:3" x14ac:dyDescent="0.35">
      <c r="C71797" s="2"/>
    </row>
    <row r="71798" spans="3:3" x14ac:dyDescent="0.35">
      <c r="C71798" s="2"/>
    </row>
    <row r="71799" spans="3:3" x14ac:dyDescent="0.35">
      <c r="C71799" s="2"/>
    </row>
    <row r="71800" spans="3:3" x14ac:dyDescent="0.35">
      <c r="C71800" s="2"/>
    </row>
    <row r="71801" spans="3:3" x14ac:dyDescent="0.35">
      <c r="C71801" s="2"/>
    </row>
    <row r="71802" spans="3:3" x14ac:dyDescent="0.35">
      <c r="C71802" s="2"/>
    </row>
    <row r="71803" spans="3:3" x14ac:dyDescent="0.35">
      <c r="C71803" s="2"/>
    </row>
    <row r="71804" spans="3:3" x14ac:dyDescent="0.35">
      <c r="C71804" s="2"/>
    </row>
    <row r="71805" spans="3:3" x14ac:dyDescent="0.35">
      <c r="C71805" s="2"/>
    </row>
    <row r="71806" spans="3:3" x14ac:dyDescent="0.35">
      <c r="C71806" s="2"/>
    </row>
    <row r="71807" spans="3:3" x14ac:dyDescent="0.35">
      <c r="C71807" s="2"/>
    </row>
    <row r="71808" spans="3:3" x14ac:dyDescent="0.35">
      <c r="C71808" s="2"/>
    </row>
    <row r="71809" spans="3:3" x14ac:dyDescent="0.35">
      <c r="C71809" s="2"/>
    </row>
    <row r="71810" spans="3:3" x14ac:dyDescent="0.35">
      <c r="C71810" s="2"/>
    </row>
    <row r="71811" spans="3:3" x14ac:dyDescent="0.35">
      <c r="C71811" s="2"/>
    </row>
    <row r="71812" spans="3:3" x14ac:dyDescent="0.35">
      <c r="C71812" s="2"/>
    </row>
    <row r="71813" spans="3:3" x14ac:dyDescent="0.35">
      <c r="C71813" s="2"/>
    </row>
    <row r="71814" spans="3:3" x14ac:dyDescent="0.35">
      <c r="C71814" s="2"/>
    </row>
    <row r="71815" spans="3:3" x14ac:dyDescent="0.35">
      <c r="C71815" s="2"/>
    </row>
    <row r="71816" spans="3:3" x14ac:dyDescent="0.35">
      <c r="C71816" s="2"/>
    </row>
    <row r="71817" spans="3:3" x14ac:dyDescent="0.35">
      <c r="C71817" s="2"/>
    </row>
    <row r="71818" spans="3:3" x14ac:dyDescent="0.35">
      <c r="C71818" s="2"/>
    </row>
    <row r="71819" spans="3:3" x14ac:dyDescent="0.35">
      <c r="C71819" s="2"/>
    </row>
    <row r="71820" spans="3:3" x14ac:dyDescent="0.35">
      <c r="C71820" s="2"/>
    </row>
    <row r="71821" spans="3:3" x14ac:dyDescent="0.35">
      <c r="C71821" s="2"/>
    </row>
    <row r="71822" spans="3:3" x14ac:dyDescent="0.35">
      <c r="C71822" s="2"/>
    </row>
    <row r="71823" spans="3:3" x14ac:dyDescent="0.35">
      <c r="C71823" s="2"/>
    </row>
    <row r="71824" spans="3:3" x14ac:dyDescent="0.35">
      <c r="C71824" s="2"/>
    </row>
    <row r="71825" spans="3:3" x14ac:dyDescent="0.35">
      <c r="C71825" s="2"/>
    </row>
    <row r="71826" spans="3:3" x14ac:dyDescent="0.35">
      <c r="C71826" s="2"/>
    </row>
    <row r="71827" spans="3:3" x14ac:dyDescent="0.35">
      <c r="C71827" s="2"/>
    </row>
    <row r="71828" spans="3:3" x14ac:dyDescent="0.35">
      <c r="C71828" s="2"/>
    </row>
    <row r="71829" spans="3:3" x14ac:dyDescent="0.35">
      <c r="C71829" s="2"/>
    </row>
    <row r="71830" spans="3:3" x14ac:dyDescent="0.35">
      <c r="C71830" s="2"/>
    </row>
    <row r="71831" spans="3:3" x14ac:dyDescent="0.35">
      <c r="C71831" s="2"/>
    </row>
    <row r="71832" spans="3:3" x14ac:dyDescent="0.35">
      <c r="C71832" s="2"/>
    </row>
    <row r="71833" spans="3:3" x14ac:dyDescent="0.35">
      <c r="C71833" s="2"/>
    </row>
    <row r="71834" spans="3:3" x14ac:dyDescent="0.35">
      <c r="C71834" s="2"/>
    </row>
    <row r="71835" spans="3:3" x14ac:dyDescent="0.35">
      <c r="C71835" s="2"/>
    </row>
    <row r="71836" spans="3:3" x14ac:dyDescent="0.35">
      <c r="C71836" s="2"/>
    </row>
    <row r="71837" spans="3:3" x14ac:dyDescent="0.35">
      <c r="C71837" s="2"/>
    </row>
    <row r="71838" spans="3:3" x14ac:dyDescent="0.35">
      <c r="C71838" s="2"/>
    </row>
    <row r="71839" spans="3:3" x14ac:dyDescent="0.35">
      <c r="C71839" s="2"/>
    </row>
    <row r="71840" spans="3:3" x14ac:dyDescent="0.35">
      <c r="C71840" s="2"/>
    </row>
    <row r="71841" spans="3:3" x14ac:dyDescent="0.35">
      <c r="C71841" s="2"/>
    </row>
    <row r="71842" spans="3:3" x14ac:dyDescent="0.35">
      <c r="C71842" s="2"/>
    </row>
    <row r="71843" spans="3:3" x14ac:dyDescent="0.35">
      <c r="C71843" s="2"/>
    </row>
    <row r="71844" spans="3:3" x14ac:dyDescent="0.35">
      <c r="C71844" s="2"/>
    </row>
    <row r="71845" spans="3:3" x14ac:dyDescent="0.35">
      <c r="C71845" s="2"/>
    </row>
    <row r="71846" spans="3:3" x14ac:dyDescent="0.35">
      <c r="C71846" s="2"/>
    </row>
    <row r="71847" spans="3:3" x14ac:dyDescent="0.35">
      <c r="C71847" s="2"/>
    </row>
    <row r="71848" spans="3:3" x14ac:dyDescent="0.35">
      <c r="C71848" s="2"/>
    </row>
    <row r="71849" spans="3:3" x14ac:dyDescent="0.35">
      <c r="C71849" s="2"/>
    </row>
    <row r="71850" spans="3:3" x14ac:dyDescent="0.35">
      <c r="C71850" s="2"/>
    </row>
    <row r="71851" spans="3:3" x14ac:dyDescent="0.35">
      <c r="C71851" s="2"/>
    </row>
    <row r="71852" spans="3:3" x14ac:dyDescent="0.35">
      <c r="C71852" s="2"/>
    </row>
    <row r="71853" spans="3:3" x14ac:dyDescent="0.35">
      <c r="C71853" s="2"/>
    </row>
    <row r="71854" spans="3:3" x14ac:dyDescent="0.35">
      <c r="C71854" s="2"/>
    </row>
    <row r="71855" spans="3:3" x14ac:dyDescent="0.35">
      <c r="C71855" s="2"/>
    </row>
    <row r="71856" spans="3:3" x14ac:dyDescent="0.35">
      <c r="C71856" s="2"/>
    </row>
    <row r="71857" spans="3:3" x14ac:dyDescent="0.35">
      <c r="C71857" s="2"/>
    </row>
    <row r="71858" spans="3:3" x14ac:dyDescent="0.35">
      <c r="C71858" s="2"/>
    </row>
    <row r="71859" spans="3:3" x14ac:dyDescent="0.35">
      <c r="C71859" s="2"/>
    </row>
    <row r="71860" spans="3:3" x14ac:dyDescent="0.35">
      <c r="C71860" s="2"/>
    </row>
    <row r="71861" spans="3:3" x14ac:dyDescent="0.35">
      <c r="C71861" s="2"/>
    </row>
    <row r="71862" spans="3:3" x14ac:dyDescent="0.35">
      <c r="C71862" s="2"/>
    </row>
    <row r="71863" spans="3:3" x14ac:dyDescent="0.35">
      <c r="C71863" s="2"/>
    </row>
    <row r="71864" spans="3:3" x14ac:dyDescent="0.35">
      <c r="C71864" s="2"/>
    </row>
    <row r="71865" spans="3:3" x14ac:dyDescent="0.35">
      <c r="C71865" s="2"/>
    </row>
    <row r="71866" spans="3:3" x14ac:dyDescent="0.35">
      <c r="C71866" s="2"/>
    </row>
    <row r="71867" spans="3:3" x14ac:dyDescent="0.35">
      <c r="C71867" s="2"/>
    </row>
    <row r="71868" spans="3:3" x14ac:dyDescent="0.35">
      <c r="C71868" s="2"/>
    </row>
    <row r="71869" spans="3:3" x14ac:dyDescent="0.35">
      <c r="C71869" s="2"/>
    </row>
    <row r="71870" spans="3:3" x14ac:dyDescent="0.35">
      <c r="C71870" s="2"/>
    </row>
    <row r="71871" spans="3:3" x14ac:dyDescent="0.35">
      <c r="C71871" s="2"/>
    </row>
    <row r="71872" spans="3:3" x14ac:dyDescent="0.35">
      <c r="C71872" s="2"/>
    </row>
    <row r="71873" spans="3:3" x14ac:dyDescent="0.35">
      <c r="C71873" s="2"/>
    </row>
    <row r="71874" spans="3:3" x14ac:dyDescent="0.35">
      <c r="C71874" s="2"/>
    </row>
    <row r="71875" spans="3:3" x14ac:dyDescent="0.35">
      <c r="C71875" s="2"/>
    </row>
    <row r="71876" spans="3:3" x14ac:dyDescent="0.35">
      <c r="C71876" s="2"/>
    </row>
    <row r="71877" spans="3:3" x14ac:dyDescent="0.35">
      <c r="C71877" s="2"/>
    </row>
    <row r="71878" spans="3:3" x14ac:dyDescent="0.35">
      <c r="C71878" s="2"/>
    </row>
    <row r="71879" spans="3:3" x14ac:dyDescent="0.35">
      <c r="C71879" s="2"/>
    </row>
    <row r="71880" spans="3:3" x14ac:dyDescent="0.35">
      <c r="C71880" s="2"/>
    </row>
    <row r="71881" spans="3:3" x14ac:dyDescent="0.35">
      <c r="C71881" s="2"/>
    </row>
    <row r="71882" spans="3:3" x14ac:dyDescent="0.35">
      <c r="C71882" s="2"/>
    </row>
    <row r="71883" spans="3:3" x14ac:dyDescent="0.35">
      <c r="C71883" s="2"/>
    </row>
    <row r="71884" spans="3:3" x14ac:dyDescent="0.35">
      <c r="C71884" s="2"/>
    </row>
    <row r="71885" spans="3:3" x14ac:dyDescent="0.35">
      <c r="C71885" s="2"/>
    </row>
    <row r="71886" spans="3:3" x14ac:dyDescent="0.35">
      <c r="C71886" s="2"/>
    </row>
    <row r="71887" spans="3:3" x14ac:dyDescent="0.35">
      <c r="C71887" s="2"/>
    </row>
    <row r="71888" spans="3:3" x14ac:dyDescent="0.35">
      <c r="C71888" s="2"/>
    </row>
    <row r="71889" spans="3:3" x14ac:dyDescent="0.35">
      <c r="C71889" s="2"/>
    </row>
    <row r="71890" spans="3:3" x14ac:dyDescent="0.35">
      <c r="C71890" s="2"/>
    </row>
    <row r="71891" spans="3:3" x14ac:dyDescent="0.35">
      <c r="C71891" s="2"/>
    </row>
    <row r="71892" spans="3:3" x14ac:dyDescent="0.35">
      <c r="C71892" s="2"/>
    </row>
    <row r="71893" spans="3:3" x14ac:dyDescent="0.35">
      <c r="C71893" s="2"/>
    </row>
    <row r="71894" spans="3:3" x14ac:dyDescent="0.35">
      <c r="C71894" s="2"/>
    </row>
    <row r="71895" spans="3:3" x14ac:dyDescent="0.35">
      <c r="C71895" s="2"/>
    </row>
    <row r="71896" spans="3:3" x14ac:dyDescent="0.35">
      <c r="C71896" s="2"/>
    </row>
    <row r="71897" spans="3:3" x14ac:dyDescent="0.35">
      <c r="C71897" s="2"/>
    </row>
    <row r="71898" spans="3:3" x14ac:dyDescent="0.35">
      <c r="C71898" s="2"/>
    </row>
    <row r="71899" spans="3:3" x14ac:dyDescent="0.35">
      <c r="C71899" s="2"/>
    </row>
    <row r="71900" spans="3:3" x14ac:dyDescent="0.35">
      <c r="C71900" s="2"/>
    </row>
    <row r="71901" spans="3:3" x14ac:dyDescent="0.35">
      <c r="C71901" s="2"/>
    </row>
    <row r="71902" spans="3:3" x14ac:dyDescent="0.35">
      <c r="C71902" s="2"/>
    </row>
    <row r="71903" spans="3:3" x14ac:dyDescent="0.35">
      <c r="C71903" s="2"/>
    </row>
    <row r="71904" spans="3:3" x14ac:dyDescent="0.35">
      <c r="C71904" s="2"/>
    </row>
    <row r="71905" spans="3:3" x14ac:dyDescent="0.35">
      <c r="C71905" s="2"/>
    </row>
    <row r="71906" spans="3:3" x14ac:dyDescent="0.35">
      <c r="C71906" s="2"/>
    </row>
    <row r="71907" spans="3:3" x14ac:dyDescent="0.35">
      <c r="C71907" s="2"/>
    </row>
    <row r="71908" spans="3:3" x14ac:dyDescent="0.35">
      <c r="C71908" s="2"/>
    </row>
    <row r="71909" spans="3:3" x14ac:dyDescent="0.35">
      <c r="C71909" s="2"/>
    </row>
    <row r="71910" spans="3:3" x14ac:dyDescent="0.35">
      <c r="C71910" s="2"/>
    </row>
    <row r="71911" spans="3:3" x14ac:dyDescent="0.35">
      <c r="C71911" s="2"/>
    </row>
    <row r="71912" spans="3:3" x14ac:dyDescent="0.35">
      <c r="C71912" s="2"/>
    </row>
    <row r="71913" spans="3:3" x14ac:dyDescent="0.35">
      <c r="C71913" s="2"/>
    </row>
    <row r="71914" spans="3:3" x14ac:dyDescent="0.35">
      <c r="C71914" s="2"/>
    </row>
    <row r="71915" spans="3:3" x14ac:dyDescent="0.35">
      <c r="C71915" s="2"/>
    </row>
    <row r="71916" spans="3:3" x14ac:dyDescent="0.35">
      <c r="C71916" s="2"/>
    </row>
    <row r="71917" spans="3:3" x14ac:dyDescent="0.35">
      <c r="C71917" s="2"/>
    </row>
    <row r="71918" spans="3:3" x14ac:dyDescent="0.35">
      <c r="C71918" s="2"/>
    </row>
    <row r="71919" spans="3:3" x14ac:dyDescent="0.35">
      <c r="C71919" s="2"/>
    </row>
    <row r="71920" spans="3:3" x14ac:dyDescent="0.35">
      <c r="C71920" s="2"/>
    </row>
    <row r="71921" spans="3:3" x14ac:dyDescent="0.35">
      <c r="C71921" s="2"/>
    </row>
    <row r="71922" spans="3:3" x14ac:dyDescent="0.35">
      <c r="C71922" s="2"/>
    </row>
    <row r="71923" spans="3:3" x14ac:dyDescent="0.35">
      <c r="C71923" s="2"/>
    </row>
    <row r="71924" spans="3:3" x14ac:dyDescent="0.35">
      <c r="C71924" s="2"/>
    </row>
    <row r="71925" spans="3:3" x14ac:dyDescent="0.35">
      <c r="C71925" s="2"/>
    </row>
    <row r="71926" spans="3:3" x14ac:dyDescent="0.35">
      <c r="C71926" s="2"/>
    </row>
    <row r="71927" spans="3:3" x14ac:dyDescent="0.35">
      <c r="C71927" s="2"/>
    </row>
    <row r="71928" spans="3:3" x14ac:dyDescent="0.35">
      <c r="C71928" s="2"/>
    </row>
    <row r="71929" spans="3:3" x14ac:dyDescent="0.35">
      <c r="C71929" s="2"/>
    </row>
    <row r="71930" spans="3:3" x14ac:dyDescent="0.35">
      <c r="C71930" s="2"/>
    </row>
    <row r="71931" spans="3:3" x14ac:dyDescent="0.35">
      <c r="C71931" s="2"/>
    </row>
    <row r="71932" spans="3:3" x14ac:dyDescent="0.35">
      <c r="C71932" s="2"/>
    </row>
    <row r="71933" spans="3:3" x14ac:dyDescent="0.35">
      <c r="C71933" s="2"/>
    </row>
    <row r="71934" spans="3:3" x14ac:dyDescent="0.35">
      <c r="C71934" s="2"/>
    </row>
    <row r="71935" spans="3:3" x14ac:dyDescent="0.35">
      <c r="C71935" s="2"/>
    </row>
    <row r="71936" spans="3:3" x14ac:dyDescent="0.35">
      <c r="C71936" s="2"/>
    </row>
    <row r="71937" spans="3:3" x14ac:dyDescent="0.35">
      <c r="C71937" s="2"/>
    </row>
    <row r="71938" spans="3:3" x14ac:dyDescent="0.35">
      <c r="C71938" s="2"/>
    </row>
    <row r="71939" spans="3:3" x14ac:dyDescent="0.35">
      <c r="C71939" s="2"/>
    </row>
    <row r="71940" spans="3:3" x14ac:dyDescent="0.35">
      <c r="C71940" s="2"/>
    </row>
    <row r="71941" spans="3:3" x14ac:dyDescent="0.35">
      <c r="C71941" s="2"/>
    </row>
    <row r="71942" spans="3:3" x14ac:dyDescent="0.35">
      <c r="C71942" s="2"/>
    </row>
    <row r="71943" spans="3:3" x14ac:dyDescent="0.35">
      <c r="C71943" s="2"/>
    </row>
    <row r="71944" spans="3:3" x14ac:dyDescent="0.35">
      <c r="C71944" s="2"/>
    </row>
    <row r="71945" spans="3:3" x14ac:dyDescent="0.35">
      <c r="C71945" s="2"/>
    </row>
    <row r="71946" spans="3:3" x14ac:dyDescent="0.35">
      <c r="C71946" s="2"/>
    </row>
    <row r="71947" spans="3:3" x14ac:dyDescent="0.35">
      <c r="C71947" s="2"/>
    </row>
    <row r="71948" spans="3:3" x14ac:dyDescent="0.35">
      <c r="C71948" s="2"/>
    </row>
    <row r="71949" spans="3:3" x14ac:dyDescent="0.35">
      <c r="C71949" s="2"/>
    </row>
    <row r="71950" spans="3:3" x14ac:dyDescent="0.35">
      <c r="C71950" s="2"/>
    </row>
    <row r="71951" spans="3:3" x14ac:dyDescent="0.35">
      <c r="C71951" s="2"/>
    </row>
    <row r="71952" spans="3:3" x14ac:dyDescent="0.35">
      <c r="C71952" s="2"/>
    </row>
    <row r="71953" spans="3:3" x14ac:dyDescent="0.35">
      <c r="C71953" s="2"/>
    </row>
    <row r="71954" spans="3:3" x14ac:dyDescent="0.35">
      <c r="C71954" s="2"/>
    </row>
    <row r="71955" spans="3:3" x14ac:dyDescent="0.35">
      <c r="C71955" s="2"/>
    </row>
    <row r="71956" spans="3:3" x14ac:dyDescent="0.35">
      <c r="C71956" s="2"/>
    </row>
    <row r="71957" spans="3:3" x14ac:dyDescent="0.35">
      <c r="C71957" s="2"/>
    </row>
    <row r="71958" spans="3:3" x14ac:dyDescent="0.35">
      <c r="C71958" s="2"/>
    </row>
    <row r="71959" spans="3:3" x14ac:dyDescent="0.35">
      <c r="C71959" s="2"/>
    </row>
    <row r="71960" spans="3:3" x14ac:dyDescent="0.35">
      <c r="C71960" s="2"/>
    </row>
    <row r="71961" spans="3:3" x14ac:dyDescent="0.35">
      <c r="C71961" s="2"/>
    </row>
    <row r="71962" spans="3:3" x14ac:dyDescent="0.35">
      <c r="C71962" s="2"/>
    </row>
    <row r="71963" spans="3:3" x14ac:dyDescent="0.35">
      <c r="C71963" s="2"/>
    </row>
    <row r="71964" spans="3:3" x14ac:dyDescent="0.35">
      <c r="C71964" s="2"/>
    </row>
    <row r="71965" spans="3:3" x14ac:dyDescent="0.35">
      <c r="C71965" s="2"/>
    </row>
    <row r="71966" spans="3:3" x14ac:dyDescent="0.35">
      <c r="C71966" s="2"/>
    </row>
    <row r="71967" spans="3:3" x14ac:dyDescent="0.35">
      <c r="C71967" s="2"/>
    </row>
    <row r="71968" spans="3:3" x14ac:dyDescent="0.35">
      <c r="C71968" s="2"/>
    </row>
    <row r="71969" spans="3:3" x14ac:dyDescent="0.35">
      <c r="C71969" s="2"/>
    </row>
    <row r="71970" spans="3:3" x14ac:dyDescent="0.35">
      <c r="C71970" s="2"/>
    </row>
    <row r="71971" spans="3:3" x14ac:dyDescent="0.35">
      <c r="C71971" s="2"/>
    </row>
    <row r="71972" spans="3:3" x14ac:dyDescent="0.35">
      <c r="C71972" s="2"/>
    </row>
    <row r="71973" spans="3:3" x14ac:dyDescent="0.35">
      <c r="C71973" s="2"/>
    </row>
    <row r="71974" spans="3:3" x14ac:dyDescent="0.35">
      <c r="C71974" s="2"/>
    </row>
    <row r="71975" spans="3:3" x14ac:dyDescent="0.35">
      <c r="C71975" s="2"/>
    </row>
    <row r="71976" spans="3:3" x14ac:dyDescent="0.35">
      <c r="C71976" s="2"/>
    </row>
    <row r="71977" spans="3:3" x14ac:dyDescent="0.35">
      <c r="C71977" s="2"/>
    </row>
    <row r="71978" spans="3:3" x14ac:dyDescent="0.35">
      <c r="C71978" s="2"/>
    </row>
    <row r="71979" spans="3:3" x14ac:dyDescent="0.35">
      <c r="C71979" s="2"/>
    </row>
    <row r="71980" spans="3:3" x14ac:dyDescent="0.35">
      <c r="C71980" s="2"/>
    </row>
    <row r="71981" spans="3:3" x14ac:dyDescent="0.35">
      <c r="C71981" s="2"/>
    </row>
    <row r="71982" spans="3:3" x14ac:dyDescent="0.35">
      <c r="C71982" s="2"/>
    </row>
    <row r="71983" spans="3:3" x14ac:dyDescent="0.35">
      <c r="C71983" s="2"/>
    </row>
    <row r="71984" spans="3:3" x14ac:dyDescent="0.35">
      <c r="C71984" s="2"/>
    </row>
    <row r="71985" spans="3:3" x14ac:dyDescent="0.35">
      <c r="C71985" s="2"/>
    </row>
    <row r="71986" spans="3:3" x14ac:dyDescent="0.35">
      <c r="C71986" s="2"/>
    </row>
    <row r="71987" spans="3:3" x14ac:dyDescent="0.35">
      <c r="C71987" s="2"/>
    </row>
    <row r="71988" spans="3:3" x14ac:dyDescent="0.35">
      <c r="C71988" s="2"/>
    </row>
    <row r="71989" spans="3:3" x14ac:dyDescent="0.35">
      <c r="C71989" s="2"/>
    </row>
    <row r="71990" spans="3:3" x14ac:dyDescent="0.35">
      <c r="C71990" s="2"/>
    </row>
    <row r="71991" spans="3:3" x14ac:dyDescent="0.35">
      <c r="C71991" s="2"/>
    </row>
    <row r="71992" spans="3:3" x14ac:dyDescent="0.35">
      <c r="C71992" s="2"/>
    </row>
    <row r="71993" spans="3:3" x14ac:dyDescent="0.35">
      <c r="C71993" s="2"/>
    </row>
    <row r="71994" spans="3:3" x14ac:dyDescent="0.35">
      <c r="C71994" s="2"/>
    </row>
    <row r="71995" spans="3:3" x14ac:dyDescent="0.35">
      <c r="C71995" s="2"/>
    </row>
    <row r="71996" spans="3:3" x14ac:dyDescent="0.35">
      <c r="C71996" s="2"/>
    </row>
    <row r="71997" spans="3:3" x14ac:dyDescent="0.35">
      <c r="C71997" s="2"/>
    </row>
    <row r="71998" spans="3:3" x14ac:dyDescent="0.35">
      <c r="C71998" s="2"/>
    </row>
    <row r="71999" spans="3:3" x14ac:dyDescent="0.35">
      <c r="C71999" s="2"/>
    </row>
    <row r="72000" spans="3:3" x14ac:dyDescent="0.35">
      <c r="C72000" s="2"/>
    </row>
    <row r="72001" spans="3:3" x14ac:dyDescent="0.35">
      <c r="C72001" s="2"/>
    </row>
    <row r="72002" spans="3:3" x14ac:dyDescent="0.35">
      <c r="C72002" s="2"/>
    </row>
    <row r="72003" spans="3:3" x14ac:dyDescent="0.35">
      <c r="C72003" s="2"/>
    </row>
    <row r="72004" spans="3:3" x14ac:dyDescent="0.35">
      <c r="C72004" s="2"/>
    </row>
    <row r="72005" spans="3:3" x14ac:dyDescent="0.35">
      <c r="C72005" s="2"/>
    </row>
    <row r="72006" spans="3:3" x14ac:dyDescent="0.35">
      <c r="C72006" s="2"/>
    </row>
    <row r="72007" spans="3:3" x14ac:dyDescent="0.35">
      <c r="C72007" s="2"/>
    </row>
    <row r="72008" spans="3:3" x14ac:dyDescent="0.35">
      <c r="C72008" s="2"/>
    </row>
    <row r="72009" spans="3:3" x14ac:dyDescent="0.35">
      <c r="C72009" s="2"/>
    </row>
    <row r="72010" spans="3:3" x14ac:dyDescent="0.35">
      <c r="C72010" s="2"/>
    </row>
    <row r="72011" spans="3:3" x14ac:dyDescent="0.35">
      <c r="C72011" s="2"/>
    </row>
    <row r="72012" spans="3:3" x14ac:dyDescent="0.35">
      <c r="C72012" s="2"/>
    </row>
    <row r="72013" spans="3:3" x14ac:dyDescent="0.35">
      <c r="C72013" s="2"/>
    </row>
    <row r="72014" spans="3:3" x14ac:dyDescent="0.35">
      <c r="C72014" s="2"/>
    </row>
    <row r="72015" spans="3:3" x14ac:dyDescent="0.35">
      <c r="C72015" s="2"/>
    </row>
    <row r="72016" spans="3:3" x14ac:dyDescent="0.35">
      <c r="C72016" s="2"/>
    </row>
    <row r="72017" spans="3:3" x14ac:dyDescent="0.35">
      <c r="C72017" s="2"/>
    </row>
    <row r="72018" spans="3:3" x14ac:dyDescent="0.35">
      <c r="C72018" s="2"/>
    </row>
    <row r="72019" spans="3:3" x14ac:dyDescent="0.35">
      <c r="C72019" s="2"/>
    </row>
    <row r="72020" spans="3:3" x14ac:dyDescent="0.35">
      <c r="C72020" s="2"/>
    </row>
    <row r="72021" spans="3:3" x14ac:dyDescent="0.35">
      <c r="C72021" s="2"/>
    </row>
    <row r="72022" spans="3:3" x14ac:dyDescent="0.35">
      <c r="C72022" s="2"/>
    </row>
    <row r="72023" spans="3:3" x14ac:dyDescent="0.35">
      <c r="C72023" s="2"/>
    </row>
    <row r="72024" spans="3:3" x14ac:dyDescent="0.35">
      <c r="C72024" s="2"/>
    </row>
    <row r="72025" spans="3:3" x14ac:dyDescent="0.35">
      <c r="C72025" s="2"/>
    </row>
    <row r="72026" spans="3:3" x14ac:dyDescent="0.35">
      <c r="C72026" s="2"/>
    </row>
    <row r="72027" spans="3:3" x14ac:dyDescent="0.35">
      <c r="C72027" s="2"/>
    </row>
    <row r="72028" spans="3:3" x14ac:dyDescent="0.35">
      <c r="C72028" s="2"/>
    </row>
    <row r="72029" spans="3:3" x14ac:dyDescent="0.35">
      <c r="C72029" s="2"/>
    </row>
    <row r="72030" spans="3:3" x14ac:dyDescent="0.35">
      <c r="C72030" s="2"/>
    </row>
    <row r="72031" spans="3:3" x14ac:dyDescent="0.35">
      <c r="C72031" s="2"/>
    </row>
    <row r="72032" spans="3:3" x14ac:dyDescent="0.35">
      <c r="C72032" s="2"/>
    </row>
    <row r="72033" spans="3:3" x14ac:dyDescent="0.35">
      <c r="C72033" s="2"/>
    </row>
    <row r="72034" spans="3:3" x14ac:dyDescent="0.35">
      <c r="C72034" s="2"/>
    </row>
    <row r="72035" spans="3:3" x14ac:dyDescent="0.35">
      <c r="C72035" s="2"/>
    </row>
    <row r="72036" spans="3:3" x14ac:dyDescent="0.35">
      <c r="C72036" s="2"/>
    </row>
    <row r="72037" spans="3:3" x14ac:dyDescent="0.35">
      <c r="C72037" s="2"/>
    </row>
    <row r="72038" spans="3:3" x14ac:dyDescent="0.35">
      <c r="C72038" s="2"/>
    </row>
    <row r="72039" spans="3:3" x14ac:dyDescent="0.35">
      <c r="C72039" s="2"/>
    </row>
    <row r="72040" spans="3:3" x14ac:dyDescent="0.35">
      <c r="C72040" s="2"/>
    </row>
    <row r="72041" spans="3:3" x14ac:dyDescent="0.35">
      <c r="C72041" s="2"/>
    </row>
    <row r="72042" spans="3:3" x14ac:dyDescent="0.35">
      <c r="C72042" s="2"/>
    </row>
    <row r="72043" spans="3:3" x14ac:dyDescent="0.35">
      <c r="C72043" s="2"/>
    </row>
    <row r="72044" spans="3:3" x14ac:dyDescent="0.35">
      <c r="C72044" s="2"/>
    </row>
    <row r="72045" spans="3:3" x14ac:dyDescent="0.35">
      <c r="C72045" s="2"/>
    </row>
    <row r="72046" spans="3:3" x14ac:dyDescent="0.35">
      <c r="C72046" s="2"/>
    </row>
    <row r="72047" spans="3:3" x14ac:dyDescent="0.35">
      <c r="C72047" s="2"/>
    </row>
    <row r="72048" spans="3:3" x14ac:dyDescent="0.35">
      <c r="C72048" s="2"/>
    </row>
    <row r="72049" spans="3:3" x14ac:dyDescent="0.35">
      <c r="C72049" s="2"/>
    </row>
    <row r="72050" spans="3:3" x14ac:dyDescent="0.35">
      <c r="C72050" s="2"/>
    </row>
    <row r="72051" spans="3:3" x14ac:dyDescent="0.35">
      <c r="C72051" s="2"/>
    </row>
    <row r="72052" spans="3:3" x14ac:dyDescent="0.35">
      <c r="C72052" s="2"/>
    </row>
    <row r="72053" spans="3:3" x14ac:dyDescent="0.35">
      <c r="C72053" s="2"/>
    </row>
    <row r="72054" spans="3:3" x14ac:dyDescent="0.35">
      <c r="C72054" s="2"/>
    </row>
    <row r="72055" spans="3:3" x14ac:dyDescent="0.35">
      <c r="C72055" s="2"/>
    </row>
    <row r="72056" spans="3:3" x14ac:dyDescent="0.35">
      <c r="C72056" s="2"/>
    </row>
    <row r="72057" spans="3:3" x14ac:dyDescent="0.35">
      <c r="C72057" s="2"/>
    </row>
    <row r="72058" spans="3:3" x14ac:dyDescent="0.35">
      <c r="C72058" s="2"/>
    </row>
    <row r="72059" spans="3:3" x14ac:dyDescent="0.35">
      <c r="C72059" s="2"/>
    </row>
    <row r="72060" spans="3:3" x14ac:dyDescent="0.35">
      <c r="C72060" s="2"/>
    </row>
    <row r="72061" spans="3:3" x14ac:dyDescent="0.35">
      <c r="C72061" s="2"/>
    </row>
    <row r="72062" spans="3:3" x14ac:dyDescent="0.35">
      <c r="C72062" s="2"/>
    </row>
    <row r="72063" spans="3:3" x14ac:dyDescent="0.35">
      <c r="C72063" s="2"/>
    </row>
    <row r="72064" spans="3:3" x14ac:dyDescent="0.35">
      <c r="C72064" s="2"/>
    </row>
    <row r="72065" spans="3:3" x14ac:dyDescent="0.35">
      <c r="C72065" s="2"/>
    </row>
    <row r="72066" spans="3:3" x14ac:dyDescent="0.35">
      <c r="C72066" s="2"/>
    </row>
    <row r="72067" spans="3:3" x14ac:dyDescent="0.35">
      <c r="C72067" s="2"/>
    </row>
    <row r="72068" spans="3:3" x14ac:dyDescent="0.35">
      <c r="C72068" s="2"/>
    </row>
    <row r="72069" spans="3:3" x14ac:dyDescent="0.35">
      <c r="C72069" s="2"/>
    </row>
    <row r="72070" spans="3:3" x14ac:dyDescent="0.35">
      <c r="C72070" s="2"/>
    </row>
    <row r="72071" spans="3:3" x14ac:dyDescent="0.35">
      <c r="C72071" s="2"/>
    </row>
    <row r="72072" spans="3:3" x14ac:dyDescent="0.35">
      <c r="C72072" s="2"/>
    </row>
    <row r="72073" spans="3:3" x14ac:dyDescent="0.35">
      <c r="C72073" s="2"/>
    </row>
    <row r="72074" spans="3:3" x14ac:dyDescent="0.35">
      <c r="C72074" s="2"/>
    </row>
    <row r="72075" spans="3:3" x14ac:dyDescent="0.35">
      <c r="C72075" s="2"/>
    </row>
    <row r="72076" spans="3:3" x14ac:dyDescent="0.35">
      <c r="C72076" s="2"/>
    </row>
    <row r="72077" spans="3:3" x14ac:dyDescent="0.35">
      <c r="C72077" s="2"/>
    </row>
    <row r="72078" spans="3:3" x14ac:dyDescent="0.35">
      <c r="C72078" s="2"/>
    </row>
    <row r="72079" spans="3:3" x14ac:dyDescent="0.35">
      <c r="C72079" s="2"/>
    </row>
    <row r="72080" spans="3:3" x14ac:dyDescent="0.35">
      <c r="C72080" s="2"/>
    </row>
    <row r="72081" spans="3:3" x14ac:dyDescent="0.35">
      <c r="C72081" s="2"/>
    </row>
    <row r="72082" spans="3:3" x14ac:dyDescent="0.35">
      <c r="C72082" s="2"/>
    </row>
    <row r="72083" spans="3:3" x14ac:dyDescent="0.35">
      <c r="C72083" s="2"/>
    </row>
    <row r="72084" spans="3:3" x14ac:dyDescent="0.35">
      <c r="C72084" s="2"/>
    </row>
    <row r="72085" spans="3:3" x14ac:dyDescent="0.35">
      <c r="C72085" s="2"/>
    </row>
    <row r="72086" spans="3:3" x14ac:dyDescent="0.35">
      <c r="C72086" s="2"/>
    </row>
    <row r="72087" spans="3:3" x14ac:dyDescent="0.35">
      <c r="C72087" s="2"/>
    </row>
    <row r="72088" spans="3:3" x14ac:dyDescent="0.35">
      <c r="C72088" s="2"/>
    </row>
    <row r="72089" spans="3:3" x14ac:dyDescent="0.35">
      <c r="C72089" s="2"/>
    </row>
    <row r="72090" spans="3:3" x14ac:dyDescent="0.35">
      <c r="C72090" s="2"/>
    </row>
    <row r="72091" spans="3:3" x14ac:dyDescent="0.35">
      <c r="C72091" s="2"/>
    </row>
    <row r="72092" spans="3:3" x14ac:dyDescent="0.35">
      <c r="C72092" s="2"/>
    </row>
    <row r="72093" spans="3:3" x14ac:dyDescent="0.35">
      <c r="C72093" s="2"/>
    </row>
    <row r="72094" spans="3:3" x14ac:dyDescent="0.35">
      <c r="C72094" s="2"/>
    </row>
    <row r="72095" spans="3:3" x14ac:dyDescent="0.35">
      <c r="C72095" s="2"/>
    </row>
    <row r="72096" spans="3:3" x14ac:dyDescent="0.35">
      <c r="C72096" s="2"/>
    </row>
    <row r="72097" spans="3:3" x14ac:dyDescent="0.35">
      <c r="C72097" s="2"/>
    </row>
    <row r="72098" spans="3:3" x14ac:dyDescent="0.35">
      <c r="C72098" s="2"/>
    </row>
    <row r="72099" spans="3:3" x14ac:dyDescent="0.35">
      <c r="C72099" s="2"/>
    </row>
    <row r="72100" spans="3:3" x14ac:dyDescent="0.35">
      <c r="C72100" s="2"/>
    </row>
    <row r="72101" spans="3:3" x14ac:dyDescent="0.35">
      <c r="C72101" s="2"/>
    </row>
    <row r="72102" spans="3:3" x14ac:dyDescent="0.35">
      <c r="C72102" s="2"/>
    </row>
    <row r="72103" spans="3:3" x14ac:dyDescent="0.35">
      <c r="C72103" s="2"/>
    </row>
    <row r="72104" spans="3:3" x14ac:dyDescent="0.35">
      <c r="C72104" s="2"/>
    </row>
    <row r="72105" spans="3:3" x14ac:dyDescent="0.35">
      <c r="C72105" s="2"/>
    </row>
    <row r="72106" spans="3:3" x14ac:dyDescent="0.35">
      <c r="C72106" s="2"/>
    </row>
    <row r="72107" spans="3:3" x14ac:dyDescent="0.35">
      <c r="C72107" s="2"/>
    </row>
    <row r="72108" spans="3:3" x14ac:dyDescent="0.35">
      <c r="C72108" s="2"/>
    </row>
    <row r="72109" spans="3:3" x14ac:dyDescent="0.35">
      <c r="C72109" s="2"/>
    </row>
    <row r="72110" spans="3:3" x14ac:dyDescent="0.35">
      <c r="C72110" s="2"/>
    </row>
    <row r="72111" spans="3:3" x14ac:dyDescent="0.35">
      <c r="C72111" s="2"/>
    </row>
    <row r="72112" spans="3:3" x14ac:dyDescent="0.35">
      <c r="C72112" s="2"/>
    </row>
    <row r="72113" spans="3:3" x14ac:dyDescent="0.35">
      <c r="C72113" s="2"/>
    </row>
    <row r="72114" spans="3:3" x14ac:dyDescent="0.35">
      <c r="C72114" s="2"/>
    </row>
    <row r="72115" spans="3:3" x14ac:dyDescent="0.35">
      <c r="C72115" s="2"/>
    </row>
    <row r="72116" spans="3:3" x14ac:dyDescent="0.35">
      <c r="C72116" s="2"/>
    </row>
    <row r="72117" spans="3:3" x14ac:dyDescent="0.35">
      <c r="C72117" s="2"/>
    </row>
    <row r="72118" spans="3:3" x14ac:dyDescent="0.35">
      <c r="C72118" s="2"/>
    </row>
    <row r="72119" spans="3:3" x14ac:dyDescent="0.35">
      <c r="C72119" s="2"/>
    </row>
    <row r="72120" spans="3:3" x14ac:dyDescent="0.35">
      <c r="C72120" s="2"/>
    </row>
    <row r="72121" spans="3:3" x14ac:dyDescent="0.35">
      <c r="C72121" s="2"/>
    </row>
    <row r="72122" spans="3:3" x14ac:dyDescent="0.35">
      <c r="C72122" s="2"/>
    </row>
    <row r="72123" spans="3:3" x14ac:dyDescent="0.35">
      <c r="C72123" s="2"/>
    </row>
    <row r="72124" spans="3:3" x14ac:dyDescent="0.35">
      <c r="C72124" s="2"/>
    </row>
    <row r="72125" spans="3:3" x14ac:dyDescent="0.35">
      <c r="C72125" s="2"/>
    </row>
    <row r="72126" spans="3:3" x14ac:dyDescent="0.35">
      <c r="C72126" s="2"/>
    </row>
    <row r="72127" spans="3:3" x14ac:dyDescent="0.35">
      <c r="C72127" s="2"/>
    </row>
    <row r="72128" spans="3:3" x14ac:dyDescent="0.35">
      <c r="C72128" s="2"/>
    </row>
    <row r="72129" spans="3:3" x14ac:dyDescent="0.35">
      <c r="C72129" s="2"/>
    </row>
    <row r="72130" spans="3:3" x14ac:dyDescent="0.35">
      <c r="C72130" s="2"/>
    </row>
    <row r="72131" spans="3:3" x14ac:dyDescent="0.35">
      <c r="C72131" s="2"/>
    </row>
    <row r="72132" spans="3:3" x14ac:dyDescent="0.35">
      <c r="C72132" s="2"/>
    </row>
    <row r="72133" spans="3:3" x14ac:dyDescent="0.35">
      <c r="C72133" s="2"/>
    </row>
    <row r="72134" spans="3:3" x14ac:dyDescent="0.35">
      <c r="C72134" s="2"/>
    </row>
    <row r="72135" spans="3:3" x14ac:dyDescent="0.35">
      <c r="C72135" s="2"/>
    </row>
    <row r="72136" spans="3:3" x14ac:dyDescent="0.35">
      <c r="C72136" s="2"/>
    </row>
    <row r="72137" spans="3:3" x14ac:dyDescent="0.35">
      <c r="C72137" s="2"/>
    </row>
    <row r="72138" spans="3:3" x14ac:dyDescent="0.35">
      <c r="C72138" s="2"/>
    </row>
    <row r="72139" spans="3:3" x14ac:dyDescent="0.35">
      <c r="C72139" s="2"/>
    </row>
    <row r="72140" spans="3:3" x14ac:dyDescent="0.35">
      <c r="C72140" s="2"/>
    </row>
    <row r="72141" spans="3:3" x14ac:dyDescent="0.35">
      <c r="C72141" s="2"/>
    </row>
    <row r="72142" spans="3:3" x14ac:dyDescent="0.35">
      <c r="C72142" s="2"/>
    </row>
    <row r="72143" spans="3:3" x14ac:dyDescent="0.35">
      <c r="C72143" s="2"/>
    </row>
    <row r="72144" spans="3:3" x14ac:dyDescent="0.35">
      <c r="C72144" s="2"/>
    </row>
    <row r="72145" spans="3:3" x14ac:dyDescent="0.35">
      <c r="C72145" s="2"/>
    </row>
    <row r="72146" spans="3:3" x14ac:dyDescent="0.35">
      <c r="C72146" s="2"/>
    </row>
    <row r="72147" spans="3:3" x14ac:dyDescent="0.35">
      <c r="C72147" s="2"/>
    </row>
    <row r="72148" spans="3:3" x14ac:dyDescent="0.35">
      <c r="C72148" s="2"/>
    </row>
    <row r="72149" spans="3:3" x14ac:dyDescent="0.35">
      <c r="C72149" s="2"/>
    </row>
    <row r="72150" spans="3:3" x14ac:dyDescent="0.35">
      <c r="C72150" s="2"/>
    </row>
    <row r="72151" spans="3:3" x14ac:dyDescent="0.35">
      <c r="C72151" s="2"/>
    </row>
    <row r="72152" spans="3:3" x14ac:dyDescent="0.35">
      <c r="C72152" s="2"/>
    </row>
    <row r="72153" spans="3:3" x14ac:dyDescent="0.35">
      <c r="C72153" s="2"/>
    </row>
    <row r="72154" spans="3:3" x14ac:dyDescent="0.35">
      <c r="C72154" s="2"/>
    </row>
    <row r="72155" spans="3:3" x14ac:dyDescent="0.35">
      <c r="C72155" s="2"/>
    </row>
    <row r="72156" spans="3:3" x14ac:dyDescent="0.35">
      <c r="C72156" s="2"/>
    </row>
    <row r="72157" spans="3:3" x14ac:dyDescent="0.35">
      <c r="C72157" s="2"/>
    </row>
    <row r="72158" spans="3:3" x14ac:dyDescent="0.35">
      <c r="C72158" s="2"/>
    </row>
    <row r="72159" spans="3:3" x14ac:dyDescent="0.35">
      <c r="C72159" s="2"/>
    </row>
    <row r="72160" spans="3:3" x14ac:dyDescent="0.35">
      <c r="C72160" s="2"/>
    </row>
    <row r="72161" spans="3:3" x14ac:dyDescent="0.35">
      <c r="C72161" s="2"/>
    </row>
    <row r="72162" spans="3:3" x14ac:dyDescent="0.35">
      <c r="C72162" s="2"/>
    </row>
    <row r="72163" spans="3:3" x14ac:dyDescent="0.35">
      <c r="C72163" s="2"/>
    </row>
    <row r="72164" spans="3:3" x14ac:dyDescent="0.35">
      <c r="C72164" s="2"/>
    </row>
    <row r="72165" spans="3:3" x14ac:dyDescent="0.35">
      <c r="C72165" s="2"/>
    </row>
    <row r="72166" spans="3:3" x14ac:dyDescent="0.35">
      <c r="C72166" s="2"/>
    </row>
    <row r="72167" spans="3:3" x14ac:dyDescent="0.35">
      <c r="C72167" s="2"/>
    </row>
    <row r="72168" spans="3:3" x14ac:dyDescent="0.35">
      <c r="C72168" s="2"/>
    </row>
    <row r="72169" spans="3:3" x14ac:dyDescent="0.35">
      <c r="C72169" s="2"/>
    </row>
    <row r="72170" spans="3:3" x14ac:dyDescent="0.35">
      <c r="C72170" s="2"/>
    </row>
    <row r="72171" spans="3:3" x14ac:dyDescent="0.35">
      <c r="C72171" s="2"/>
    </row>
    <row r="72172" spans="3:3" x14ac:dyDescent="0.35">
      <c r="C72172" s="2"/>
    </row>
    <row r="72173" spans="3:3" x14ac:dyDescent="0.35">
      <c r="C72173" s="2"/>
    </row>
    <row r="72174" spans="3:3" x14ac:dyDescent="0.35">
      <c r="C72174" s="2"/>
    </row>
    <row r="72175" spans="3:3" x14ac:dyDescent="0.35">
      <c r="C72175" s="2"/>
    </row>
    <row r="72176" spans="3:3" x14ac:dyDescent="0.35">
      <c r="C72176" s="2"/>
    </row>
    <row r="72177" spans="3:3" x14ac:dyDescent="0.35">
      <c r="C72177" s="2"/>
    </row>
    <row r="72178" spans="3:3" x14ac:dyDescent="0.35">
      <c r="C72178" s="2"/>
    </row>
    <row r="72179" spans="3:3" x14ac:dyDescent="0.35">
      <c r="C72179" s="2"/>
    </row>
    <row r="72180" spans="3:3" x14ac:dyDescent="0.35">
      <c r="C72180" s="2"/>
    </row>
    <row r="72181" spans="3:3" x14ac:dyDescent="0.35">
      <c r="C72181" s="2"/>
    </row>
    <row r="72182" spans="3:3" x14ac:dyDescent="0.35">
      <c r="C72182" s="2"/>
    </row>
    <row r="72183" spans="3:3" x14ac:dyDescent="0.35">
      <c r="C72183" s="2"/>
    </row>
    <row r="72184" spans="3:3" x14ac:dyDescent="0.35">
      <c r="C72184" s="2"/>
    </row>
    <row r="72185" spans="3:3" x14ac:dyDescent="0.35">
      <c r="C72185" s="2"/>
    </row>
    <row r="72186" spans="3:3" x14ac:dyDescent="0.35">
      <c r="C72186" s="2"/>
    </row>
    <row r="72187" spans="3:3" x14ac:dyDescent="0.35">
      <c r="C72187" s="2"/>
    </row>
    <row r="72188" spans="3:3" x14ac:dyDescent="0.35">
      <c r="C72188" s="2"/>
    </row>
    <row r="72189" spans="3:3" x14ac:dyDescent="0.35">
      <c r="C72189" s="2"/>
    </row>
    <row r="72190" spans="3:3" x14ac:dyDescent="0.35">
      <c r="C72190" s="2"/>
    </row>
    <row r="72191" spans="3:3" x14ac:dyDescent="0.35">
      <c r="C72191" s="2"/>
    </row>
    <row r="72192" spans="3:3" x14ac:dyDescent="0.35">
      <c r="C72192" s="2"/>
    </row>
    <row r="72193" spans="3:3" x14ac:dyDescent="0.35">
      <c r="C72193" s="2"/>
    </row>
    <row r="72194" spans="3:3" x14ac:dyDescent="0.35">
      <c r="C72194" s="2"/>
    </row>
    <row r="72195" spans="3:3" x14ac:dyDescent="0.35">
      <c r="C72195" s="2"/>
    </row>
    <row r="72196" spans="3:3" x14ac:dyDescent="0.35">
      <c r="C72196" s="2"/>
    </row>
    <row r="72197" spans="3:3" x14ac:dyDescent="0.35">
      <c r="C72197" s="2"/>
    </row>
    <row r="72198" spans="3:3" x14ac:dyDescent="0.35">
      <c r="C72198" s="2"/>
    </row>
    <row r="72199" spans="3:3" x14ac:dyDescent="0.35">
      <c r="C72199" s="2"/>
    </row>
    <row r="72200" spans="3:3" x14ac:dyDescent="0.35">
      <c r="C72200" s="2"/>
    </row>
    <row r="72201" spans="3:3" x14ac:dyDescent="0.35">
      <c r="C72201" s="2"/>
    </row>
    <row r="72202" spans="3:3" x14ac:dyDescent="0.35">
      <c r="C72202" s="2"/>
    </row>
    <row r="72203" spans="3:3" x14ac:dyDescent="0.35">
      <c r="C72203" s="2"/>
    </row>
    <row r="72204" spans="3:3" x14ac:dyDescent="0.35">
      <c r="C72204" s="2"/>
    </row>
    <row r="72205" spans="3:3" x14ac:dyDescent="0.35">
      <c r="C72205" s="2"/>
    </row>
    <row r="72206" spans="3:3" x14ac:dyDescent="0.35">
      <c r="C72206" s="2"/>
    </row>
    <row r="72207" spans="3:3" x14ac:dyDescent="0.35">
      <c r="C72207" s="2"/>
    </row>
    <row r="72208" spans="3:3" x14ac:dyDescent="0.35">
      <c r="C72208" s="2"/>
    </row>
    <row r="72209" spans="3:3" x14ac:dyDescent="0.35">
      <c r="C72209" s="2"/>
    </row>
    <row r="72210" spans="3:3" x14ac:dyDescent="0.35">
      <c r="C72210" s="2"/>
    </row>
    <row r="72211" spans="3:3" x14ac:dyDescent="0.35">
      <c r="C72211" s="2"/>
    </row>
    <row r="72212" spans="3:3" x14ac:dyDescent="0.35">
      <c r="C72212" s="2"/>
    </row>
    <row r="72213" spans="3:3" x14ac:dyDescent="0.35">
      <c r="C72213" s="2"/>
    </row>
    <row r="72214" spans="3:3" x14ac:dyDescent="0.35">
      <c r="C72214" s="2"/>
    </row>
    <row r="72215" spans="3:3" x14ac:dyDescent="0.35">
      <c r="C72215" s="2"/>
    </row>
    <row r="72216" spans="3:3" x14ac:dyDescent="0.35">
      <c r="C72216" s="2"/>
    </row>
    <row r="72217" spans="3:3" x14ac:dyDescent="0.35">
      <c r="C72217" s="2"/>
    </row>
    <row r="72218" spans="3:3" x14ac:dyDescent="0.35">
      <c r="C72218" s="2"/>
    </row>
    <row r="72219" spans="3:3" x14ac:dyDescent="0.35">
      <c r="C72219" s="2"/>
    </row>
    <row r="72220" spans="3:3" x14ac:dyDescent="0.35">
      <c r="C72220" s="2"/>
    </row>
    <row r="72221" spans="3:3" x14ac:dyDescent="0.35">
      <c r="C72221" s="2"/>
    </row>
    <row r="72222" spans="3:3" x14ac:dyDescent="0.35">
      <c r="C72222" s="2"/>
    </row>
    <row r="72223" spans="3:3" x14ac:dyDescent="0.35">
      <c r="C72223" s="2"/>
    </row>
    <row r="72224" spans="3:3" x14ac:dyDescent="0.35">
      <c r="C72224" s="2"/>
    </row>
    <row r="72225" spans="3:3" x14ac:dyDescent="0.35">
      <c r="C72225" s="2"/>
    </row>
    <row r="72226" spans="3:3" x14ac:dyDescent="0.35">
      <c r="C72226" s="2"/>
    </row>
    <row r="72227" spans="3:3" x14ac:dyDescent="0.35">
      <c r="C72227" s="2"/>
    </row>
    <row r="72228" spans="3:3" x14ac:dyDescent="0.35">
      <c r="C72228" s="2"/>
    </row>
    <row r="72229" spans="3:3" x14ac:dyDescent="0.35">
      <c r="C72229" s="2"/>
    </row>
    <row r="72230" spans="3:3" x14ac:dyDescent="0.35">
      <c r="C72230" s="2"/>
    </row>
    <row r="72231" spans="3:3" x14ac:dyDescent="0.35">
      <c r="C72231" s="2"/>
    </row>
    <row r="72232" spans="3:3" x14ac:dyDescent="0.35">
      <c r="C72232" s="2"/>
    </row>
    <row r="72233" spans="3:3" x14ac:dyDescent="0.35">
      <c r="C72233" s="2"/>
    </row>
    <row r="72234" spans="3:3" x14ac:dyDescent="0.35">
      <c r="C72234" s="2"/>
    </row>
    <row r="72235" spans="3:3" x14ac:dyDescent="0.35">
      <c r="C72235" s="2"/>
    </row>
    <row r="72236" spans="3:3" x14ac:dyDescent="0.35">
      <c r="C72236" s="2"/>
    </row>
    <row r="72237" spans="3:3" x14ac:dyDescent="0.35">
      <c r="C72237" s="2"/>
    </row>
    <row r="72238" spans="3:3" x14ac:dyDescent="0.35">
      <c r="C72238" s="2"/>
    </row>
    <row r="72239" spans="3:3" x14ac:dyDescent="0.35">
      <c r="C72239" s="2"/>
    </row>
    <row r="72240" spans="3:3" x14ac:dyDescent="0.35">
      <c r="C72240" s="2"/>
    </row>
    <row r="72241" spans="3:3" x14ac:dyDescent="0.35">
      <c r="C72241" s="2"/>
    </row>
    <row r="72242" spans="3:3" x14ac:dyDescent="0.35">
      <c r="C72242" s="2"/>
    </row>
    <row r="72243" spans="3:3" x14ac:dyDescent="0.35">
      <c r="C72243" s="2"/>
    </row>
    <row r="72244" spans="3:3" x14ac:dyDescent="0.35">
      <c r="C72244" s="2"/>
    </row>
    <row r="72245" spans="3:3" x14ac:dyDescent="0.35">
      <c r="C72245" s="2"/>
    </row>
    <row r="72246" spans="3:3" x14ac:dyDescent="0.35">
      <c r="C72246" s="2"/>
    </row>
    <row r="72247" spans="3:3" x14ac:dyDescent="0.35">
      <c r="C72247" s="2"/>
    </row>
    <row r="72248" spans="3:3" x14ac:dyDescent="0.35">
      <c r="C72248" s="2"/>
    </row>
    <row r="72249" spans="3:3" x14ac:dyDescent="0.35">
      <c r="C72249" s="2"/>
    </row>
    <row r="72250" spans="3:3" x14ac:dyDescent="0.35">
      <c r="C72250" s="2"/>
    </row>
    <row r="72251" spans="3:3" x14ac:dyDescent="0.35">
      <c r="C72251" s="2"/>
    </row>
    <row r="72252" spans="3:3" x14ac:dyDescent="0.35">
      <c r="C72252" s="2"/>
    </row>
    <row r="72253" spans="3:3" x14ac:dyDescent="0.35">
      <c r="C72253" s="2"/>
    </row>
    <row r="72254" spans="3:3" x14ac:dyDescent="0.35">
      <c r="C72254" s="2"/>
    </row>
    <row r="72255" spans="3:3" x14ac:dyDescent="0.35">
      <c r="C72255" s="2"/>
    </row>
    <row r="72256" spans="3:3" x14ac:dyDescent="0.35">
      <c r="C72256" s="2"/>
    </row>
    <row r="72257" spans="3:3" x14ac:dyDescent="0.35">
      <c r="C72257" s="2"/>
    </row>
    <row r="72258" spans="3:3" x14ac:dyDescent="0.35">
      <c r="C72258" s="2"/>
    </row>
    <row r="72259" spans="3:3" x14ac:dyDescent="0.35">
      <c r="C72259" s="2"/>
    </row>
    <row r="72260" spans="3:3" x14ac:dyDescent="0.35">
      <c r="C72260" s="2"/>
    </row>
    <row r="72261" spans="3:3" x14ac:dyDescent="0.35">
      <c r="C72261" s="2"/>
    </row>
    <row r="72262" spans="3:3" x14ac:dyDescent="0.35">
      <c r="C72262" s="2"/>
    </row>
    <row r="72263" spans="3:3" x14ac:dyDescent="0.35">
      <c r="C72263" s="2"/>
    </row>
    <row r="72264" spans="3:3" x14ac:dyDescent="0.35">
      <c r="C72264" s="2"/>
    </row>
    <row r="72265" spans="3:3" x14ac:dyDescent="0.35">
      <c r="C72265" s="2"/>
    </row>
    <row r="72266" spans="3:3" x14ac:dyDescent="0.35">
      <c r="C72266" s="2"/>
    </row>
    <row r="72267" spans="3:3" x14ac:dyDescent="0.35">
      <c r="C72267" s="2"/>
    </row>
    <row r="72268" spans="3:3" x14ac:dyDescent="0.35">
      <c r="C72268" s="2"/>
    </row>
    <row r="72269" spans="3:3" x14ac:dyDescent="0.35">
      <c r="C72269" s="2"/>
    </row>
    <row r="72270" spans="3:3" x14ac:dyDescent="0.35">
      <c r="C72270" s="2"/>
    </row>
    <row r="72271" spans="3:3" x14ac:dyDescent="0.35">
      <c r="C72271" s="2"/>
    </row>
    <row r="72272" spans="3:3" x14ac:dyDescent="0.35">
      <c r="C72272" s="2"/>
    </row>
    <row r="72273" spans="3:3" x14ac:dyDescent="0.35">
      <c r="C72273" s="2"/>
    </row>
    <row r="72274" spans="3:3" x14ac:dyDescent="0.35">
      <c r="C72274" s="2"/>
    </row>
    <row r="72275" spans="3:3" x14ac:dyDescent="0.35">
      <c r="C72275" s="2"/>
    </row>
    <row r="72276" spans="3:3" x14ac:dyDescent="0.35">
      <c r="C72276" s="2"/>
    </row>
    <row r="72277" spans="3:3" x14ac:dyDescent="0.35">
      <c r="C72277" s="2"/>
    </row>
    <row r="72278" spans="3:3" x14ac:dyDescent="0.35">
      <c r="C72278" s="2"/>
    </row>
    <row r="72279" spans="3:3" x14ac:dyDescent="0.35">
      <c r="C72279" s="2"/>
    </row>
    <row r="72280" spans="3:3" x14ac:dyDescent="0.35">
      <c r="C72280" s="2"/>
    </row>
    <row r="72281" spans="3:3" x14ac:dyDescent="0.35">
      <c r="C72281" s="2"/>
    </row>
    <row r="72282" spans="3:3" x14ac:dyDescent="0.35">
      <c r="C72282" s="2"/>
    </row>
    <row r="72283" spans="3:3" x14ac:dyDescent="0.35">
      <c r="C72283" s="2"/>
    </row>
    <row r="72284" spans="3:3" x14ac:dyDescent="0.35">
      <c r="C72284" s="2"/>
    </row>
    <row r="72285" spans="3:3" x14ac:dyDescent="0.35">
      <c r="C72285" s="2"/>
    </row>
    <row r="72286" spans="3:3" x14ac:dyDescent="0.35">
      <c r="C72286" s="2"/>
    </row>
    <row r="72287" spans="3:3" x14ac:dyDescent="0.35">
      <c r="C72287" s="2"/>
    </row>
    <row r="72288" spans="3:3" x14ac:dyDescent="0.35">
      <c r="C72288" s="2"/>
    </row>
    <row r="72289" spans="3:3" x14ac:dyDescent="0.35">
      <c r="C72289" s="2"/>
    </row>
    <row r="72290" spans="3:3" x14ac:dyDescent="0.35">
      <c r="C72290" s="2"/>
    </row>
    <row r="72291" spans="3:3" x14ac:dyDescent="0.35">
      <c r="C72291" s="2"/>
    </row>
    <row r="72292" spans="3:3" x14ac:dyDescent="0.35">
      <c r="C72292" s="2"/>
    </row>
    <row r="72293" spans="3:3" x14ac:dyDescent="0.35">
      <c r="C72293" s="2"/>
    </row>
    <row r="72294" spans="3:3" x14ac:dyDescent="0.35">
      <c r="C72294" s="2"/>
    </row>
    <row r="72295" spans="3:3" x14ac:dyDescent="0.35">
      <c r="C72295" s="2"/>
    </row>
    <row r="72296" spans="3:3" x14ac:dyDescent="0.35">
      <c r="C72296" s="2"/>
    </row>
    <row r="72297" spans="3:3" x14ac:dyDescent="0.35">
      <c r="C72297" s="2"/>
    </row>
    <row r="72298" spans="3:3" x14ac:dyDescent="0.35">
      <c r="C72298" s="2"/>
    </row>
    <row r="72299" spans="3:3" x14ac:dyDescent="0.35">
      <c r="C72299" s="2"/>
    </row>
    <row r="72300" spans="3:3" x14ac:dyDescent="0.35">
      <c r="C72300" s="2"/>
    </row>
    <row r="72301" spans="3:3" x14ac:dyDescent="0.35">
      <c r="C72301" s="2"/>
    </row>
    <row r="72302" spans="3:3" x14ac:dyDescent="0.35">
      <c r="C72302" s="2"/>
    </row>
    <row r="72303" spans="3:3" x14ac:dyDescent="0.35">
      <c r="C72303" s="2"/>
    </row>
    <row r="72304" spans="3:3" x14ac:dyDescent="0.35">
      <c r="C72304" s="2"/>
    </row>
    <row r="72305" spans="3:3" x14ac:dyDescent="0.35">
      <c r="C72305" s="2"/>
    </row>
    <row r="72306" spans="3:3" x14ac:dyDescent="0.35">
      <c r="C72306" s="2"/>
    </row>
    <row r="72307" spans="3:3" x14ac:dyDescent="0.35">
      <c r="C72307" s="2"/>
    </row>
    <row r="72308" spans="3:3" x14ac:dyDescent="0.35">
      <c r="C72308" s="2"/>
    </row>
    <row r="72309" spans="3:3" x14ac:dyDescent="0.35">
      <c r="C72309" s="2"/>
    </row>
    <row r="72310" spans="3:3" x14ac:dyDescent="0.35">
      <c r="C72310" s="2"/>
    </row>
    <row r="72311" spans="3:3" x14ac:dyDescent="0.35">
      <c r="C72311" s="2"/>
    </row>
    <row r="72312" spans="3:3" x14ac:dyDescent="0.35">
      <c r="C72312" s="2"/>
    </row>
    <row r="72313" spans="3:3" x14ac:dyDescent="0.35">
      <c r="C72313" s="2"/>
    </row>
    <row r="72314" spans="3:3" x14ac:dyDescent="0.35">
      <c r="C72314" s="2"/>
    </row>
    <row r="72315" spans="3:3" x14ac:dyDescent="0.35">
      <c r="C72315" s="2"/>
    </row>
    <row r="72316" spans="3:3" x14ac:dyDescent="0.35">
      <c r="C72316" s="2"/>
    </row>
    <row r="72317" spans="3:3" x14ac:dyDescent="0.35">
      <c r="C72317" s="2"/>
    </row>
    <row r="72318" spans="3:3" x14ac:dyDescent="0.35">
      <c r="C72318" s="2"/>
    </row>
    <row r="72319" spans="3:3" x14ac:dyDescent="0.35">
      <c r="C72319" s="2"/>
    </row>
    <row r="72320" spans="3:3" x14ac:dyDescent="0.35">
      <c r="C72320" s="2"/>
    </row>
    <row r="72321" spans="3:3" x14ac:dyDescent="0.35">
      <c r="C72321" s="2"/>
    </row>
    <row r="72322" spans="3:3" x14ac:dyDescent="0.35">
      <c r="C72322" s="2"/>
    </row>
    <row r="72323" spans="3:3" x14ac:dyDescent="0.35">
      <c r="C72323" s="2"/>
    </row>
    <row r="72324" spans="3:3" x14ac:dyDescent="0.35">
      <c r="C72324" s="2"/>
    </row>
    <row r="72325" spans="3:3" x14ac:dyDescent="0.35">
      <c r="C72325" s="2"/>
    </row>
    <row r="72326" spans="3:3" x14ac:dyDescent="0.35">
      <c r="C72326" s="2"/>
    </row>
    <row r="72327" spans="3:3" x14ac:dyDescent="0.35">
      <c r="C72327" s="2"/>
    </row>
    <row r="72328" spans="3:3" x14ac:dyDescent="0.35">
      <c r="C72328" s="2"/>
    </row>
    <row r="72329" spans="3:3" x14ac:dyDescent="0.35">
      <c r="C72329" s="2"/>
    </row>
    <row r="72330" spans="3:3" x14ac:dyDescent="0.35">
      <c r="C72330" s="2"/>
    </row>
    <row r="72331" spans="3:3" x14ac:dyDescent="0.35">
      <c r="C72331" s="2"/>
    </row>
    <row r="72332" spans="3:3" x14ac:dyDescent="0.35">
      <c r="C72332" s="2"/>
    </row>
    <row r="72333" spans="3:3" x14ac:dyDescent="0.35">
      <c r="C72333" s="2"/>
    </row>
    <row r="72334" spans="3:3" x14ac:dyDescent="0.35">
      <c r="C72334" s="2"/>
    </row>
    <row r="72335" spans="3:3" x14ac:dyDescent="0.35">
      <c r="C72335" s="2"/>
    </row>
    <row r="72336" spans="3:3" x14ac:dyDescent="0.35">
      <c r="C72336" s="2"/>
    </row>
    <row r="72337" spans="3:3" x14ac:dyDescent="0.35">
      <c r="C72337" s="2"/>
    </row>
    <row r="72338" spans="3:3" x14ac:dyDescent="0.35">
      <c r="C72338" s="2"/>
    </row>
    <row r="72339" spans="3:3" x14ac:dyDescent="0.35">
      <c r="C72339" s="2"/>
    </row>
    <row r="72340" spans="3:3" x14ac:dyDescent="0.35">
      <c r="C72340" s="2"/>
    </row>
    <row r="72341" spans="3:3" x14ac:dyDescent="0.35">
      <c r="C72341" s="2"/>
    </row>
    <row r="72342" spans="3:3" x14ac:dyDescent="0.35">
      <c r="C72342" s="2"/>
    </row>
    <row r="72343" spans="3:3" x14ac:dyDescent="0.35">
      <c r="C72343" s="2"/>
    </row>
    <row r="72344" spans="3:3" x14ac:dyDescent="0.35">
      <c r="C72344" s="2"/>
    </row>
    <row r="72345" spans="3:3" x14ac:dyDescent="0.35">
      <c r="C72345" s="2"/>
    </row>
    <row r="72346" spans="3:3" x14ac:dyDescent="0.35">
      <c r="C72346" s="2"/>
    </row>
    <row r="72347" spans="3:3" x14ac:dyDescent="0.35">
      <c r="C72347" s="2"/>
    </row>
    <row r="72348" spans="3:3" x14ac:dyDescent="0.35">
      <c r="C72348" s="2"/>
    </row>
    <row r="72349" spans="3:3" x14ac:dyDescent="0.35">
      <c r="C72349" s="2"/>
    </row>
    <row r="72350" spans="3:3" x14ac:dyDescent="0.35">
      <c r="C72350" s="2"/>
    </row>
    <row r="72351" spans="3:3" x14ac:dyDescent="0.35">
      <c r="C72351" s="2"/>
    </row>
    <row r="72352" spans="3:3" x14ac:dyDescent="0.35">
      <c r="C72352" s="2"/>
    </row>
    <row r="72353" spans="3:3" x14ac:dyDescent="0.35">
      <c r="C72353" s="2"/>
    </row>
    <row r="72354" spans="3:3" x14ac:dyDescent="0.35">
      <c r="C72354" s="2"/>
    </row>
    <row r="72355" spans="3:3" x14ac:dyDescent="0.35">
      <c r="C72355" s="2"/>
    </row>
    <row r="72356" spans="3:3" x14ac:dyDescent="0.35">
      <c r="C72356" s="2"/>
    </row>
    <row r="72357" spans="3:3" x14ac:dyDescent="0.35">
      <c r="C72357" s="2"/>
    </row>
    <row r="72358" spans="3:3" x14ac:dyDescent="0.35">
      <c r="C72358" s="2"/>
    </row>
    <row r="72359" spans="3:3" x14ac:dyDescent="0.35">
      <c r="C72359" s="2"/>
    </row>
    <row r="72360" spans="3:3" x14ac:dyDescent="0.35">
      <c r="C72360" s="2"/>
    </row>
    <row r="72361" spans="3:3" x14ac:dyDescent="0.35">
      <c r="C72361" s="2"/>
    </row>
    <row r="72362" spans="3:3" x14ac:dyDescent="0.35">
      <c r="C72362" s="2"/>
    </row>
    <row r="72363" spans="3:3" x14ac:dyDescent="0.35">
      <c r="C72363" s="2"/>
    </row>
    <row r="72364" spans="3:3" x14ac:dyDescent="0.35">
      <c r="C72364" s="2"/>
    </row>
    <row r="72365" spans="3:3" x14ac:dyDescent="0.35">
      <c r="C72365" s="2"/>
    </row>
    <row r="72366" spans="3:3" x14ac:dyDescent="0.35">
      <c r="C72366" s="2"/>
    </row>
    <row r="72367" spans="3:3" x14ac:dyDescent="0.35">
      <c r="C72367" s="2"/>
    </row>
    <row r="72368" spans="3:3" x14ac:dyDescent="0.35">
      <c r="C72368" s="2"/>
    </row>
    <row r="72369" spans="3:3" x14ac:dyDescent="0.35">
      <c r="C72369" s="2"/>
    </row>
    <row r="72370" spans="3:3" x14ac:dyDescent="0.35">
      <c r="C72370" s="2"/>
    </row>
    <row r="72371" spans="3:3" x14ac:dyDescent="0.35">
      <c r="C72371" s="2"/>
    </row>
    <row r="72372" spans="3:3" x14ac:dyDescent="0.35">
      <c r="C72372" s="2"/>
    </row>
    <row r="72373" spans="3:3" x14ac:dyDescent="0.35">
      <c r="C72373" s="2"/>
    </row>
    <row r="72374" spans="3:3" x14ac:dyDescent="0.35">
      <c r="C72374" s="2"/>
    </row>
    <row r="72375" spans="3:3" x14ac:dyDescent="0.35">
      <c r="C72375" s="2"/>
    </row>
    <row r="72376" spans="3:3" x14ac:dyDescent="0.35">
      <c r="C72376" s="2"/>
    </row>
    <row r="72377" spans="3:3" x14ac:dyDescent="0.35">
      <c r="C72377" s="2"/>
    </row>
    <row r="72378" spans="3:3" x14ac:dyDescent="0.35">
      <c r="C72378" s="2"/>
    </row>
    <row r="72379" spans="3:3" x14ac:dyDescent="0.35">
      <c r="C72379" s="2"/>
    </row>
    <row r="72380" spans="3:3" x14ac:dyDescent="0.35">
      <c r="C72380" s="2"/>
    </row>
    <row r="72381" spans="3:3" x14ac:dyDescent="0.35">
      <c r="C72381" s="2"/>
    </row>
    <row r="72382" spans="3:3" x14ac:dyDescent="0.35">
      <c r="C72382" s="2"/>
    </row>
    <row r="72383" spans="3:3" x14ac:dyDescent="0.35">
      <c r="C72383" s="2"/>
    </row>
    <row r="72384" spans="3:3" x14ac:dyDescent="0.35">
      <c r="C72384" s="2"/>
    </row>
    <row r="72385" spans="3:3" x14ac:dyDescent="0.35">
      <c r="C72385" s="2"/>
    </row>
    <row r="72386" spans="3:3" x14ac:dyDescent="0.35">
      <c r="C72386" s="2"/>
    </row>
    <row r="72387" spans="3:3" x14ac:dyDescent="0.35">
      <c r="C72387" s="2"/>
    </row>
    <row r="72388" spans="3:3" x14ac:dyDescent="0.35">
      <c r="C72388" s="2"/>
    </row>
    <row r="72389" spans="3:3" x14ac:dyDescent="0.35">
      <c r="C72389" s="2"/>
    </row>
    <row r="72390" spans="3:3" x14ac:dyDescent="0.35">
      <c r="C72390" s="2"/>
    </row>
    <row r="72391" spans="3:3" x14ac:dyDescent="0.35">
      <c r="C72391" s="2"/>
    </row>
    <row r="72392" spans="3:3" x14ac:dyDescent="0.35">
      <c r="C72392" s="2"/>
    </row>
    <row r="72393" spans="3:3" x14ac:dyDescent="0.35">
      <c r="C72393" s="2"/>
    </row>
    <row r="72394" spans="3:3" x14ac:dyDescent="0.35">
      <c r="C72394" s="2"/>
    </row>
    <row r="72395" spans="3:3" x14ac:dyDescent="0.35">
      <c r="C72395" s="2"/>
    </row>
    <row r="72396" spans="3:3" x14ac:dyDescent="0.35">
      <c r="C72396" s="2"/>
    </row>
    <row r="72397" spans="3:3" x14ac:dyDescent="0.35">
      <c r="C72397" s="2"/>
    </row>
    <row r="72398" spans="3:3" x14ac:dyDescent="0.35">
      <c r="C72398" s="2"/>
    </row>
    <row r="72399" spans="3:3" x14ac:dyDescent="0.35">
      <c r="C72399" s="2"/>
    </row>
    <row r="72400" spans="3:3" x14ac:dyDescent="0.35">
      <c r="C72400" s="2"/>
    </row>
    <row r="72401" spans="3:3" x14ac:dyDescent="0.35">
      <c r="C72401" s="2"/>
    </row>
    <row r="72402" spans="3:3" x14ac:dyDescent="0.35">
      <c r="C72402" s="2"/>
    </row>
    <row r="72403" spans="3:3" x14ac:dyDescent="0.35">
      <c r="C72403" s="2"/>
    </row>
    <row r="72404" spans="3:3" x14ac:dyDescent="0.35">
      <c r="C72404" s="2"/>
    </row>
    <row r="72405" spans="3:3" x14ac:dyDescent="0.35">
      <c r="C72405" s="2"/>
    </row>
    <row r="72406" spans="3:3" x14ac:dyDescent="0.35">
      <c r="C72406" s="2"/>
    </row>
    <row r="72407" spans="3:3" x14ac:dyDescent="0.35">
      <c r="C72407" s="2"/>
    </row>
    <row r="72408" spans="3:3" x14ac:dyDescent="0.35">
      <c r="C72408" s="2"/>
    </row>
    <row r="72409" spans="3:3" x14ac:dyDescent="0.35">
      <c r="C72409" s="2"/>
    </row>
    <row r="72410" spans="3:3" x14ac:dyDescent="0.35">
      <c r="C72410" s="2"/>
    </row>
    <row r="72411" spans="3:3" x14ac:dyDescent="0.35">
      <c r="C72411" s="2"/>
    </row>
    <row r="72412" spans="3:3" x14ac:dyDescent="0.35">
      <c r="C72412" s="2"/>
    </row>
    <row r="72413" spans="3:3" x14ac:dyDescent="0.35">
      <c r="C72413" s="2"/>
    </row>
    <row r="72414" spans="3:3" x14ac:dyDescent="0.35">
      <c r="C72414" s="2"/>
    </row>
    <row r="72415" spans="3:3" x14ac:dyDescent="0.35">
      <c r="C72415" s="2"/>
    </row>
    <row r="72416" spans="3:3" x14ac:dyDescent="0.35">
      <c r="C72416" s="2"/>
    </row>
    <row r="72417" spans="3:3" x14ac:dyDescent="0.35">
      <c r="C72417" s="2"/>
    </row>
    <row r="72418" spans="3:3" x14ac:dyDescent="0.35">
      <c r="C72418" s="2"/>
    </row>
    <row r="72419" spans="3:3" x14ac:dyDescent="0.35">
      <c r="C72419" s="2"/>
    </row>
    <row r="72420" spans="3:3" x14ac:dyDescent="0.35">
      <c r="C72420" s="2"/>
    </row>
    <row r="72421" spans="3:3" x14ac:dyDescent="0.35">
      <c r="C72421" s="2"/>
    </row>
    <row r="72422" spans="3:3" x14ac:dyDescent="0.35">
      <c r="C72422" s="2"/>
    </row>
    <row r="72423" spans="3:3" x14ac:dyDescent="0.35">
      <c r="C72423" s="2"/>
    </row>
    <row r="72424" spans="3:3" x14ac:dyDescent="0.35">
      <c r="C72424" s="2"/>
    </row>
    <row r="72425" spans="3:3" x14ac:dyDescent="0.35">
      <c r="C72425" s="2"/>
    </row>
    <row r="72426" spans="3:3" x14ac:dyDescent="0.35">
      <c r="C72426" s="2"/>
    </row>
    <row r="72427" spans="3:3" x14ac:dyDescent="0.35">
      <c r="C72427" s="2"/>
    </row>
    <row r="72428" spans="3:3" x14ac:dyDescent="0.35">
      <c r="C72428" s="2"/>
    </row>
    <row r="72429" spans="3:3" x14ac:dyDescent="0.35">
      <c r="C72429" s="2"/>
    </row>
    <row r="72430" spans="3:3" x14ac:dyDescent="0.35">
      <c r="C72430" s="2"/>
    </row>
    <row r="72431" spans="3:3" x14ac:dyDescent="0.35">
      <c r="C72431" s="2"/>
    </row>
    <row r="72432" spans="3:3" x14ac:dyDescent="0.35">
      <c r="C72432" s="2"/>
    </row>
    <row r="72433" spans="3:3" x14ac:dyDescent="0.35">
      <c r="C72433" s="2"/>
    </row>
    <row r="72434" spans="3:3" x14ac:dyDescent="0.35">
      <c r="C72434" s="2"/>
    </row>
    <row r="72435" spans="3:3" x14ac:dyDescent="0.35">
      <c r="C72435" s="2"/>
    </row>
    <row r="72436" spans="3:3" x14ac:dyDescent="0.35">
      <c r="C72436" s="2"/>
    </row>
    <row r="72437" spans="3:3" x14ac:dyDescent="0.35">
      <c r="C72437" s="2"/>
    </row>
    <row r="72438" spans="3:3" x14ac:dyDescent="0.35">
      <c r="C72438" s="2"/>
    </row>
    <row r="72439" spans="3:3" x14ac:dyDescent="0.35">
      <c r="C72439" s="2"/>
    </row>
    <row r="72440" spans="3:3" x14ac:dyDescent="0.35">
      <c r="C72440" s="2"/>
    </row>
    <row r="72441" spans="3:3" x14ac:dyDescent="0.35">
      <c r="C72441" s="2"/>
    </row>
    <row r="72442" spans="3:3" x14ac:dyDescent="0.35">
      <c r="C72442" s="2"/>
    </row>
    <row r="72443" spans="3:3" x14ac:dyDescent="0.35">
      <c r="C72443" s="2"/>
    </row>
    <row r="72444" spans="3:3" x14ac:dyDescent="0.35">
      <c r="C72444" s="2"/>
    </row>
    <row r="72445" spans="3:3" x14ac:dyDescent="0.35">
      <c r="C72445" s="2"/>
    </row>
    <row r="72446" spans="3:3" x14ac:dyDescent="0.35">
      <c r="C72446" s="2"/>
    </row>
    <row r="72447" spans="3:3" x14ac:dyDescent="0.35">
      <c r="C72447" s="2"/>
    </row>
    <row r="72448" spans="3:3" x14ac:dyDescent="0.35">
      <c r="C72448" s="2"/>
    </row>
    <row r="72449" spans="3:3" x14ac:dyDescent="0.35">
      <c r="C72449" s="2"/>
    </row>
    <row r="72450" spans="3:3" x14ac:dyDescent="0.35">
      <c r="C72450" s="2"/>
    </row>
    <row r="72451" spans="3:3" x14ac:dyDescent="0.35">
      <c r="C72451" s="2"/>
    </row>
    <row r="72452" spans="3:3" x14ac:dyDescent="0.35">
      <c r="C72452" s="2"/>
    </row>
    <row r="72453" spans="3:3" x14ac:dyDescent="0.35">
      <c r="C72453" s="2"/>
    </row>
    <row r="72454" spans="3:3" x14ac:dyDescent="0.35">
      <c r="C72454" s="2"/>
    </row>
    <row r="72455" spans="3:3" x14ac:dyDescent="0.35">
      <c r="C72455" s="2"/>
    </row>
    <row r="72456" spans="3:3" x14ac:dyDescent="0.35">
      <c r="C72456" s="2"/>
    </row>
    <row r="72457" spans="3:3" x14ac:dyDescent="0.35">
      <c r="C72457" s="2"/>
    </row>
    <row r="72458" spans="3:3" x14ac:dyDescent="0.35">
      <c r="C72458" s="2"/>
    </row>
    <row r="72459" spans="3:3" x14ac:dyDescent="0.35">
      <c r="C72459" s="2"/>
    </row>
    <row r="72460" spans="3:3" x14ac:dyDescent="0.35">
      <c r="C72460" s="2"/>
    </row>
    <row r="72461" spans="3:3" x14ac:dyDescent="0.35">
      <c r="C72461" s="2"/>
    </row>
    <row r="72462" spans="3:3" x14ac:dyDescent="0.35">
      <c r="C72462" s="2"/>
    </row>
    <row r="72463" spans="3:3" x14ac:dyDescent="0.35">
      <c r="C72463" s="2"/>
    </row>
    <row r="72464" spans="3:3" x14ac:dyDescent="0.35">
      <c r="C72464" s="2"/>
    </row>
    <row r="72465" spans="3:3" x14ac:dyDescent="0.35">
      <c r="C72465" s="2"/>
    </row>
    <row r="72466" spans="3:3" x14ac:dyDescent="0.35">
      <c r="C72466" s="2"/>
    </row>
    <row r="72467" spans="3:3" x14ac:dyDescent="0.35">
      <c r="C72467" s="2"/>
    </row>
    <row r="72468" spans="3:3" x14ac:dyDescent="0.35">
      <c r="C72468" s="2"/>
    </row>
    <row r="72469" spans="3:3" x14ac:dyDescent="0.35">
      <c r="C72469" s="2"/>
    </row>
    <row r="72470" spans="3:3" x14ac:dyDescent="0.35">
      <c r="C72470" s="2"/>
    </row>
    <row r="72471" spans="3:3" x14ac:dyDescent="0.35">
      <c r="C72471" s="2"/>
    </row>
    <row r="72472" spans="3:3" x14ac:dyDescent="0.35">
      <c r="C72472" s="2"/>
    </row>
    <row r="72473" spans="3:3" x14ac:dyDescent="0.35">
      <c r="C72473" s="2"/>
    </row>
    <row r="72474" spans="3:3" x14ac:dyDescent="0.35">
      <c r="C72474" s="2"/>
    </row>
    <row r="72475" spans="3:3" x14ac:dyDescent="0.35">
      <c r="C72475" s="2"/>
    </row>
    <row r="72476" spans="3:3" x14ac:dyDescent="0.35">
      <c r="C72476" s="2"/>
    </row>
    <row r="72477" spans="3:3" x14ac:dyDescent="0.35">
      <c r="C72477" s="2"/>
    </row>
    <row r="72478" spans="3:3" x14ac:dyDescent="0.35">
      <c r="C72478" s="2"/>
    </row>
    <row r="72479" spans="3:3" x14ac:dyDescent="0.35">
      <c r="C72479" s="2"/>
    </row>
    <row r="72480" spans="3:3" x14ac:dyDescent="0.35">
      <c r="C72480" s="2"/>
    </row>
    <row r="72481" spans="3:3" x14ac:dyDescent="0.35">
      <c r="C72481" s="2"/>
    </row>
    <row r="72482" spans="3:3" x14ac:dyDescent="0.35">
      <c r="C72482" s="2"/>
    </row>
    <row r="72483" spans="3:3" x14ac:dyDescent="0.35">
      <c r="C72483" s="2"/>
    </row>
    <row r="72484" spans="3:3" x14ac:dyDescent="0.35">
      <c r="C72484" s="2"/>
    </row>
    <row r="72485" spans="3:3" x14ac:dyDescent="0.35">
      <c r="C72485" s="2"/>
    </row>
    <row r="72486" spans="3:3" x14ac:dyDescent="0.35">
      <c r="C72486" s="2"/>
    </row>
    <row r="72487" spans="3:3" x14ac:dyDescent="0.35">
      <c r="C72487" s="2"/>
    </row>
    <row r="72488" spans="3:3" x14ac:dyDescent="0.35">
      <c r="C72488" s="2"/>
    </row>
    <row r="72489" spans="3:3" x14ac:dyDescent="0.35">
      <c r="C72489" s="2"/>
    </row>
    <row r="72490" spans="3:3" x14ac:dyDescent="0.35">
      <c r="C72490" s="2"/>
    </row>
    <row r="72491" spans="3:3" x14ac:dyDescent="0.35">
      <c r="C72491" s="2"/>
    </row>
    <row r="72492" spans="3:3" x14ac:dyDescent="0.35">
      <c r="C72492" s="2"/>
    </row>
    <row r="72493" spans="3:3" x14ac:dyDescent="0.35">
      <c r="C72493" s="2"/>
    </row>
    <row r="72494" spans="3:3" x14ac:dyDescent="0.35">
      <c r="C72494" s="2"/>
    </row>
    <row r="72495" spans="3:3" x14ac:dyDescent="0.35">
      <c r="C72495" s="2"/>
    </row>
    <row r="72496" spans="3:3" x14ac:dyDescent="0.35">
      <c r="C72496" s="2"/>
    </row>
    <row r="72497" spans="3:3" x14ac:dyDescent="0.35">
      <c r="C72497" s="2"/>
    </row>
    <row r="72498" spans="3:3" x14ac:dyDescent="0.35">
      <c r="C72498" s="2"/>
    </row>
    <row r="72499" spans="3:3" x14ac:dyDescent="0.35">
      <c r="C72499" s="2"/>
    </row>
    <row r="72500" spans="3:3" x14ac:dyDescent="0.35">
      <c r="C72500" s="2"/>
    </row>
    <row r="72501" spans="3:3" x14ac:dyDescent="0.35">
      <c r="C72501" s="2"/>
    </row>
    <row r="72502" spans="3:3" x14ac:dyDescent="0.35">
      <c r="C72502" s="2"/>
    </row>
    <row r="72503" spans="3:3" x14ac:dyDescent="0.35">
      <c r="C72503" s="2"/>
    </row>
    <row r="72504" spans="3:3" x14ac:dyDescent="0.35">
      <c r="C72504" s="2"/>
    </row>
    <row r="72505" spans="3:3" x14ac:dyDescent="0.35">
      <c r="C72505" s="2"/>
    </row>
    <row r="72506" spans="3:3" x14ac:dyDescent="0.35">
      <c r="C72506" s="2"/>
    </row>
    <row r="72507" spans="3:3" x14ac:dyDescent="0.35">
      <c r="C72507" s="2"/>
    </row>
    <row r="72508" spans="3:3" x14ac:dyDescent="0.35">
      <c r="C72508" s="2"/>
    </row>
    <row r="72509" spans="3:3" x14ac:dyDescent="0.35">
      <c r="C72509" s="2"/>
    </row>
    <row r="72510" spans="3:3" x14ac:dyDescent="0.35">
      <c r="C72510" s="2"/>
    </row>
    <row r="72511" spans="3:3" x14ac:dyDescent="0.35">
      <c r="C72511" s="2"/>
    </row>
    <row r="72512" spans="3:3" x14ac:dyDescent="0.35">
      <c r="C72512" s="2"/>
    </row>
    <row r="72513" spans="3:3" x14ac:dyDescent="0.35">
      <c r="C72513" s="2"/>
    </row>
    <row r="72514" spans="3:3" x14ac:dyDescent="0.35">
      <c r="C72514" s="2"/>
    </row>
    <row r="72515" spans="3:3" x14ac:dyDescent="0.35">
      <c r="C72515" s="2"/>
    </row>
    <row r="72516" spans="3:3" x14ac:dyDescent="0.35">
      <c r="C72516" s="2"/>
    </row>
    <row r="72517" spans="3:3" x14ac:dyDescent="0.35">
      <c r="C72517" s="2"/>
    </row>
    <row r="72518" spans="3:3" x14ac:dyDescent="0.35">
      <c r="C72518" s="2"/>
    </row>
    <row r="72519" spans="3:3" x14ac:dyDescent="0.35">
      <c r="C72519" s="2"/>
    </row>
    <row r="72520" spans="3:3" x14ac:dyDescent="0.35">
      <c r="C72520" s="2"/>
    </row>
    <row r="72521" spans="3:3" x14ac:dyDescent="0.35">
      <c r="C72521" s="2"/>
    </row>
    <row r="72522" spans="3:3" x14ac:dyDescent="0.35">
      <c r="C72522" s="2"/>
    </row>
    <row r="72523" spans="3:3" x14ac:dyDescent="0.35">
      <c r="C72523" s="2"/>
    </row>
    <row r="72524" spans="3:3" x14ac:dyDescent="0.35">
      <c r="C72524" s="2"/>
    </row>
    <row r="72525" spans="3:3" x14ac:dyDescent="0.35">
      <c r="C72525" s="2"/>
    </row>
    <row r="72526" spans="3:3" x14ac:dyDescent="0.35">
      <c r="C72526" s="2"/>
    </row>
    <row r="72527" spans="3:3" x14ac:dyDescent="0.35">
      <c r="C72527" s="2"/>
    </row>
    <row r="72528" spans="3:3" x14ac:dyDescent="0.35">
      <c r="C72528" s="2"/>
    </row>
    <row r="72529" spans="3:3" x14ac:dyDescent="0.35">
      <c r="C72529" s="2"/>
    </row>
    <row r="72530" spans="3:3" x14ac:dyDescent="0.35">
      <c r="C72530" s="2"/>
    </row>
    <row r="72531" spans="3:3" x14ac:dyDescent="0.35">
      <c r="C72531" s="2"/>
    </row>
    <row r="72532" spans="3:3" x14ac:dyDescent="0.35">
      <c r="C72532" s="2"/>
    </row>
    <row r="72533" spans="3:3" x14ac:dyDescent="0.35">
      <c r="C72533" s="2"/>
    </row>
    <row r="72534" spans="3:3" x14ac:dyDescent="0.35">
      <c r="C72534" s="2"/>
    </row>
    <row r="72535" spans="3:3" x14ac:dyDescent="0.35">
      <c r="C72535" s="2"/>
    </row>
    <row r="72536" spans="3:3" x14ac:dyDescent="0.35">
      <c r="C72536" s="2"/>
    </row>
    <row r="72537" spans="3:3" x14ac:dyDescent="0.35">
      <c r="C72537" s="2"/>
    </row>
    <row r="72538" spans="3:3" x14ac:dyDescent="0.35">
      <c r="C72538" s="2"/>
    </row>
    <row r="72539" spans="3:3" x14ac:dyDescent="0.35">
      <c r="C72539" s="2"/>
    </row>
    <row r="72540" spans="3:3" x14ac:dyDescent="0.35">
      <c r="C72540" s="2"/>
    </row>
    <row r="72541" spans="3:3" x14ac:dyDescent="0.35">
      <c r="C72541" s="2"/>
    </row>
    <row r="72542" spans="3:3" x14ac:dyDescent="0.35">
      <c r="C72542" s="2"/>
    </row>
    <row r="72543" spans="3:3" x14ac:dyDescent="0.35">
      <c r="C72543" s="2"/>
    </row>
    <row r="72544" spans="3:3" x14ac:dyDescent="0.35">
      <c r="C72544" s="2"/>
    </row>
    <row r="72545" spans="3:3" x14ac:dyDescent="0.35">
      <c r="C72545" s="2"/>
    </row>
    <row r="72546" spans="3:3" x14ac:dyDescent="0.35">
      <c r="C72546" s="2"/>
    </row>
    <row r="72547" spans="3:3" x14ac:dyDescent="0.35">
      <c r="C72547" s="2"/>
    </row>
    <row r="72548" spans="3:3" x14ac:dyDescent="0.35">
      <c r="C72548" s="2"/>
    </row>
    <row r="72549" spans="3:3" x14ac:dyDescent="0.35">
      <c r="C72549" s="2"/>
    </row>
    <row r="72550" spans="3:3" x14ac:dyDescent="0.35">
      <c r="C72550" s="2"/>
    </row>
    <row r="72551" spans="3:3" x14ac:dyDescent="0.35">
      <c r="C72551" s="2"/>
    </row>
    <row r="72552" spans="3:3" x14ac:dyDescent="0.35">
      <c r="C72552" s="2"/>
    </row>
    <row r="72553" spans="3:3" x14ac:dyDescent="0.35">
      <c r="C72553" s="2"/>
    </row>
    <row r="72554" spans="3:3" x14ac:dyDescent="0.35">
      <c r="C72554" s="2"/>
    </row>
    <row r="72555" spans="3:3" x14ac:dyDescent="0.35">
      <c r="C72555" s="2"/>
    </row>
    <row r="72556" spans="3:3" x14ac:dyDescent="0.35">
      <c r="C72556" s="2"/>
    </row>
    <row r="72557" spans="3:3" x14ac:dyDescent="0.35">
      <c r="C72557" s="2"/>
    </row>
    <row r="72558" spans="3:3" x14ac:dyDescent="0.35">
      <c r="C72558" s="2"/>
    </row>
    <row r="72559" spans="3:3" x14ac:dyDescent="0.35">
      <c r="C72559" s="2"/>
    </row>
    <row r="72560" spans="3:3" x14ac:dyDescent="0.35">
      <c r="C72560" s="2"/>
    </row>
    <row r="72561" spans="3:3" x14ac:dyDescent="0.35">
      <c r="C72561" s="2"/>
    </row>
    <row r="72562" spans="3:3" x14ac:dyDescent="0.35">
      <c r="C72562" s="2"/>
    </row>
    <row r="72563" spans="3:3" x14ac:dyDescent="0.35">
      <c r="C72563" s="2"/>
    </row>
    <row r="72564" spans="3:3" x14ac:dyDescent="0.35">
      <c r="C72564" s="2"/>
    </row>
    <row r="72565" spans="3:3" x14ac:dyDescent="0.35">
      <c r="C72565" s="2"/>
    </row>
    <row r="72566" spans="3:3" x14ac:dyDescent="0.35">
      <c r="C72566" s="2"/>
    </row>
    <row r="72567" spans="3:3" x14ac:dyDescent="0.35">
      <c r="C72567" s="2"/>
    </row>
    <row r="72568" spans="3:3" x14ac:dyDescent="0.35">
      <c r="C72568" s="2"/>
    </row>
    <row r="72569" spans="3:3" x14ac:dyDescent="0.35">
      <c r="C72569" s="2"/>
    </row>
    <row r="72570" spans="3:3" x14ac:dyDescent="0.35">
      <c r="C72570" s="2"/>
    </row>
    <row r="72571" spans="3:3" x14ac:dyDescent="0.35">
      <c r="C72571" s="2"/>
    </row>
    <row r="72572" spans="3:3" x14ac:dyDescent="0.35">
      <c r="C72572" s="2"/>
    </row>
    <row r="72573" spans="3:3" x14ac:dyDescent="0.35">
      <c r="C72573" s="2"/>
    </row>
    <row r="72574" spans="3:3" x14ac:dyDescent="0.35">
      <c r="C72574" s="2"/>
    </row>
    <row r="72575" spans="3:3" x14ac:dyDescent="0.35">
      <c r="C72575" s="2"/>
    </row>
    <row r="72576" spans="3:3" x14ac:dyDescent="0.35">
      <c r="C72576" s="2"/>
    </row>
    <row r="72577" spans="3:3" x14ac:dyDescent="0.35">
      <c r="C72577" s="2"/>
    </row>
    <row r="72578" spans="3:3" x14ac:dyDescent="0.35">
      <c r="C72578" s="2"/>
    </row>
    <row r="72579" spans="3:3" x14ac:dyDescent="0.35">
      <c r="C72579" s="2"/>
    </row>
    <row r="72580" spans="3:3" x14ac:dyDescent="0.35">
      <c r="C72580" s="2"/>
    </row>
    <row r="72581" spans="3:3" x14ac:dyDescent="0.35">
      <c r="C72581" s="2"/>
    </row>
    <row r="72582" spans="3:3" x14ac:dyDescent="0.35">
      <c r="C72582" s="2"/>
    </row>
    <row r="72583" spans="3:3" x14ac:dyDescent="0.35">
      <c r="C72583" s="2"/>
    </row>
    <row r="72584" spans="3:3" x14ac:dyDescent="0.35">
      <c r="C72584" s="2"/>
    </row>
    <row r="72585" spans="3:3" x14ac:dyDescent="0.35">
      <c r="C72585" s="2"/>
    </row>
    <row r="72586" spans="3:3" x14ac:dyDescent="0.35">
      <c r="C72586" s="2"/>
    </row>
    <row r="72587" spans="3:3" x14ac:dyDescent="0.35">
      <c r="C72587" s="2"/>
    </row>
    <row r="72588" spans="3:3" x14ac:dyDescent="0.35">
      <c r="C72588" s="2"/>
    </row>
    <row r="72589" spans="3:3" x14ac:dyDescent="0.35">
      <c r="C72589" s="2"/>
    </row>
    <row r="72590" spans="3:3" x14ac:dyDescent="0.35">
      <c r="C72590" s="2"/>
    </row>
    <row r="72591" spans="3:3" x14ac:dyDescent="0.35">
      <c r="C72591" s="2"/>
    </row>
    <row r="72592" spans="3:3" x14ac:dyDescent="0.35">
      <c r="C72592" s="2"/>
    </row>
    <row r="72593" spans="3:3" x14ac:dyDescent="0.35">
      <c r="C72593" s="2"/>
    </row>
    <row r="72594" spans="3:3" x14ac:dyDescent="0.35">
      <c r="C72594" s="2"/>
    </row>
    <row r="72595" spans="3:3" x14ac:dyDescent="0.35">
      <c r="C72595" s="2"/>
    </row>
    <row r="72596" spans="3:3" x14ac:dyDescent="0.35">
      <c r="C72596" s="2"/>
    </row>
    <row r="72597" spans="3:3" x14ac:dyDescent="0.35">
      <c r="C72597" s="2"/>
    </row>
    <row r="72598" spans="3:3" x14ac:dyDescent="0.35">
      <c r="C72598" s="2"/>
    </row>
    <row r="72599" spans="3:3" x14ac:dyDescent="0.35">
      <c r="C72599" s="2"/>
    </row>
    <row r="72600" spans="3:3" x14ac:dyDescent="0.35">
      <c r="C72600" s="2"/>
    </row>
    <row r="72601" spans="3:3" x14ac:dyDescent="0.35">
      <c r="C72601" s="2"/>
    </row>
    <row r="72602" spans="3:3" x14ac:dyDescent="0.35">
      <c r="C72602" s="2"/>
    </row>
    <row r="72603" spans="3:3" x14ac:dyDescent="0.35">
      <c r="C72603" s="2"/>
    </row>
    <row r="72604" spans="3:3" x14ac:dyDescent="0.35">
      <c r="C72604" s="2"/>
    </row>
    <row r="72605" spans="3:3" x14ac:dyDescent="0.35">
      <c r="C72605" s="2"/>
    </row>
    <row r="72606" spans="3:3" x14ac:dyDescent="0.35">
      <c r="C72606" s="2"/>
    </row>
    <row r="72607" spans="3:3" x14ac:dyDescent="0.35">
      <c r="C72607" s="2"/>
    </row>
    <row r="72608" spans="3:3" x14ac:dyDescent="0.35">
      <c r="C72608" s="2"/>
    </row>
    <row r="72609" spans="3:3" x14ac:dyDescent="0.35">
      <c r="C72609" s="2"/>
    </row>
    <row r="72610" spans="3:3" x14ac:dyDescent="0.35">
      <c r="C72610" s="2"/>
    </row>
    <row r="72611" spans="3:3" x14ac:dyDescent="0.35">
      <c r="C72611" s="2"/>
    </row>
    <row r="72612" spans="3:3" x14ac:dyDescent="0.35">
      <c r="C72612" s="2"/>
    </row>
    <row r="72613" spans="3:3" x14ac:dyDescent="0.35">
      <c r="C72613" s="2"/>
    </row>
    <row r="72614" spans="3:3" x14ac:dyDescent="0.35">
      <c r="C72614" s="2"/>
    </row>
    <row r="72615" spans="3:3" x14ac:dyDescent="0.35">
      <c r="C72615" s="2"/>
    </row>
    <row r="72616" spans="3:3" x14ac:dyDescent="0.35">
      <c r="C72616" s="2"/>
    </row>
    <row r="72617" spans="3:3" x14ac:dyDescent="0.35">
      <c r="C72617" s="2"/>
    </row>
    <row r="72618" spans="3:3" x14ac:dyDescent="0.35">
      <c r="C72618" s="2"/>
    </row>
    <row r="72619" spans="3:3" x14ac:dyDescent="0.35">
      <c r="C72619" s="2"/>
    </row>
    <row r="72620" spans="3:3" x14ac:dyDescent="0.35">
      <c r="C72620" s="2"/>
    </row>
    <row r="72621" spans="3:3" x14ac:dyDescent="0.35">
      <c r="C72621" s="2"/>
    </row>
    <row r="72622" spans="3:3" x14ac:dyDescent="0.35">
      <c r="C72622" s="2"/>
    </row>
    <row r="72623" spans="3:3" x14ac:dyDescent="0.35">
      <c r="C72623" s="2"/>
    </row>
    <row r="72624" spans="3:3" x14ac:dyDescent="0.35">
      <c r="C72624" s="2"/>
    </row>
    <row r="72625" spans="3:3" x14ac:dyDescent="0.35">
      <c r="C72625" s="2"/>
    </row>
    <row r="72626" spans="3:3" x14ac:dyDescent="0.35">
      <c r="C72626" s="2"/>
    </row>
    <row r="72627" spans="3:3" x14ac:dyDescent="0.35">
      <c r="C72627" s="2"/>
    </row>
    <row r="72628" spans="3:3" x14ac:dyDescent="0.35">
      <c r="C72628" s="2"/>
    </row>
    <row r="72629" spans="3:3" x14ac:dyDescent="0.35">
      <c r="C72629" s="2"/>
    </row>
    <row r="72630" spans="3:3" x14ac:dyDescent="0.35">
      <c r="C72630" s="2"/>
    </row>
    <row r="72631" spans="3:3" x14ac:dyDescent="0.35">
      <c r="C72631" s="2"/>
    </row>
    <row r="72632" spans="3:3" x14ac:dyDescent="0.35">
      <c r="C72632" s="2"/>
    </row>
    <row r="72633" spans="3:3" x14ac:dyDescent="0.35">
      <c r="C72633" s="2"/>
    </row>
    <row r="72634" spans="3:3" x14ac:dyDescent="0.35">
      <c r="C72634" s="2"/>
    </row>
    <row r="72635" spans="3:3" x14ac:dyDescent="0.35">
      <c r="C72635" s="2"/>
    </row>
    <row r="72636" spans="3:3" x14ac:dyDescent="0.35">
      <c r="C72636" s="2"/>
    </row>
    <row r="72637" spans="3:3" x14ac:dyDescent="0.35">
      <c r="C72637" s="2"/>
    </row>
    <row r="72638" spans="3:3" x14ac:dyDescent="0.35">
      <c r="C72638" s="2"/>
    </row>
    <row r="72639" spans="3:3" x14ac:dyDescent="0.35">
      <c r="C72639" s="2"/>
    </row>
    <row r="72640" spans="3:3" x14ac:dyDescent="0.35">
      <c r="C72640" s="2"/>
    </row>
    <row r="72641" spans="3:3" x14ac:dyDescent="0.35">
      <c r="C72641" s="2"/>
    </row>
    <row r="72642" spans="3:3" x14ac:dyDescent="0.35">
      <c r="C72642" s="2"/>
    </row>
    <row r="72643" spans="3:3" x14ac:dyDescent="0.35">
      <c r="C72643" s="2"/>
    </row>
    <row r="72644" spans="3:3" x14ac:dyDescent="0.35">
      <c r="C72644" s="2"/>
    </row>
    <row r="72645" spans="3:3" x14ac:dyDescent="0.35">
      <c r="C72645" s="2"/>
    </row>
    <row r="72646" spans="3:3" x14ac:dyDescent="0.35">
      <c r="C72646" s="2"/>
    </row>
    <row r="72647" spans="3:3" x14ac:dyDescent="0.35">
      <c r="C72647" s="2"/>
    </row>
    <row r="72648" spans="3:3" x14ac:dyDescent="0.35">
      <c r="C72648" s="2"/>
    </row>
    <row r="72649" spans="3:3" x14ac:dyDescent="0.35">
      <c r="C72649" s="2"/>
    </row>
    <row r="72650" spans="3:3" x14ac:dyDescent="0.35">
      <c r="C72650" s="2"/>
    </row>
    <row r="72651" spans="3:3" x14ac:dyDescent="0.35">
      <c r="C72651" s="2"/>
    </row>
    <row r="72652" spans="3:3" x14ac:dyDescent="0.35">
      <c r="C72652" s="2"/>
    </row>
    <row r="72653" spans="3:3" x14ac:dyDescent="0.35">
      <c r="C72653" s="2"/>
    </row>
    <row r="72654" spans="3:3" x14ac:dyDescent="0.35">
      <c r="C72654" s="2"/>
    </row>
    <row r="72655" spans="3:3" x14ac:dyDescent="0.35">
      <c r="C72655" s="2"/>
    </row>
    <row r="72656" spans="3:3" x14ac:dyDescent="0.35">
      <c r="C72656" s="2"/>
    </row>
    <row r="72657" spans="3:3" x14ac:dyDescent="0.35">
      <c r="C72657" s="2"/>
    </row>
    <row r="72658" spans="3:3" x14ac:dyDescent="0.35">
      <c r="C72658" s="2"/>
    </row>
    <row r="72659" spans="3:3" x14ac:dyDescent="0.35">
      <c r="C72659" s="2"/>
    </row>
    <row r="72660" spans="3:3" x14ac:dyDescent="0.35">
      <c r="C72660" s="2"/>
    </row>
    <row r="72661" spans="3:3" x14ac:dyDescent="0.35">
      <c r="C72661" s="2"/>
    </row>
    <row r="72662" spans="3:3" x14ac:dyDescent="0.35">
      <c r="C72662" s="2"/>
    </row>
    <row r="72663" spans="3:3" x14ac:dyDescent="0.35">
      <c r="C72663" s="2"/>
    </row>
    <row r="72664" spans="3:3" x14ac:dyDescent="0.35">
      <c r="C72664" s="2"/>
    </row>
    <row r="72665" spans="3:3" x14ac:dyDescent="0.35">
      <c r="C72665" s="2"/>
    </row>
    <row r="72666" spans="3:3" x14ac:dyDescent="0.35">
      <c r="C72666" s="2"/>
    </row>
    <row r="72667" spans="3:3" x14ac:dyDescent="0.35">
      <c r="C72667" s="2"/>
    </row>
    <row r="72668" spans="3:3" x14ac:dyDescent="0.35">
      <c r="C72668" s="2"/>
    </row>
    <row r="72669" spans="3:3" x14ac:dyDescent="0.35">
      <c r="C72669" s="2"/>
    </row>
    <row r="72670" spans="3:3" x14ac:dyDescent="0.35">
      <c r="C72670" s="2"/>
    </row>
    <row r="72671" spans="3:3" x14ac:dyDescent="0.35">
      <c r="C72671" s="2"/>
    </row>
    <row r="72672" spans="3:3" x14ac:dyDescent="0.35">
      <c r="C72672" s="2"/>
    </row>
    <row r="72673" spans="3:3" x14ac:dyDescent="0.35">
      <c r="C72673" s="2"/>
    </row>
    <row r="72674" spans="3:3" x14ac:dyDescent="0.35">
      <c r="C72674" s="2"/>
    </row>
    <row r="72675" spans="3:3" x14ac:dyDescent="0.35">
      <c r="C72675" s="2"/>
    </row>
    <row r="72676" spans="3:3" x14ac:dyDescent="0.35">
      <c r="C72676" s="2"/>
    </row>
    <row r="72677" spans="3:3" x14ac:dyDescent="0.35">
      <c r="C72677" s="2"/>
    </row>
    <row r="72678" spans="3:3" x14ac:dyDescent="0.35">
      <c r="C72678" s="2"/>
    </row>
    <row r="72679" spans="3:3" x14ac:dyDescent="0.35">
      <c r="C72679" s="2"/>
    </row>
    <row r="72680" spans="3:3" x14ac:dyDescent="0.35">
      <c r="C72680" s="2"/>
    </row>
    <row r="72681" spans="3:3" x14ac:dyDescent="0.35">
      <c r="C72681" s="2"/>
    </row>
    <row r="72682" spans="3:3" x14ac:dyDescent="0.35">
      <c r="C72682" s="2"/>
    </row>
    <row r="72683" spans="3:3" x14ac:dyDescent="0.35">
      <c r="C72683" s="2"/>
    </row>
    <row r="72684" spans="3:3" x14ac:dyDescent="0.35">
      <c r="C72684" s="2"/>
    </row>
    <row r="72685" spans="3:3" x14ac:dyDescent="0.35">
      <c r="C72685" s="2"/>
    </row>
    <row r="72686" spans="3:3" x14ac:dyDescent="0.35">
      <c r="C72686" s="2"/>
    </row>
    <row r="72687" spans="3:3" x14ac:dyDescent="0.35">
      <c r="C72687" s="2"/>
    </row>
    <row r="72688" spans="3:3" x14ac:dyDescent="0.35">
      <c r="C72688" s="2"/>
    </row>
    <row r="72689" spans="3:3" x14ac:dyDescent="0.35">
      <c r="C72689" s="2"/>
    </row>
    <row r="72690" spans="3:3" x14ac:dyDescent="0.35">
      <c r="C72690" s="2"/>
    </row>
    <row r="72691" spans="3:3" x14ac:dyDescent="0.35">
      <c r="C72691" s="2"/>
    </row>
    <row r="72692" spans="3:3" x14ac:dyDescent="0.35">
      <c r="C72692" s="2"/>
    </row>
    <row r="72693" spans="3:3" x14ac:dyDescent="0.35">
      <c r="C72693" s="2"/>
    </row>
    <row r="72694" spans="3:3" x14ac:dyDescent="0.35">
      <c r="C72694" s="2"/>
    </row>
    <row r="72695" spans="3:3" x14ac:dyDescent="0.35">
      <c r="C72695" s="2"/>
    </row>
    <row r="72696" spans="3:3" x14ac:dyDescent="0.35">
      <c r="C72696" s="2"/>
    </row>
    <row r="72697" spans="3:3" x14ac:dyDescent="0.35">
      <c r="C72697" s="2"/>
    </row>
    <row r="72698" spans="3:3" x14ac:dyDescent="0.35">
      <c r="C72698" s="2"/>
    </row>
    <row r="72699" spans="3:3" x14ac:dyDescent="0.35">
      <c r="C72699" s="2"/>
    </row>
    <row r="72700" spans="3:3" x14ac:dyDescent="0.35">
      <c r="C72700" s="2"/>
    </row>
    <row r="72701" spans="3:3" x14ac:dyDescent="0.35">
      <c r="C72701" s="2"/>
    </row>
    <row r="72702" spans="3:3" x14ac:dyDescent="0.35">
      <c r="C72702" s="2"/>
    </row>
    <row r="72703" spans="3:3" x14ac:dyDescent="0.35">
      <c r="C72703" s="2"/>
    </row>
    <row r="72704" spans="3:3" x14ac:dyDescent="0.35">
      <c r="C72704" s="2"/>
    </row>
    <row r="72705" spans="3:3" x14ac:dyDescent="0.35">
      <c r="C72705" s="2"/>
    </row>
    <row r="72706" spans="3:3" x14ac:dyDescent="0.35">
      <c r="C72706" s="2"/>
    </row>
    <row r="72707" spans="3:3" x14ac:dyDescent="0.35">
      <c r="C72707" s="2"/>
    </row>
    <row r="72708" spans="3:3" x14ac:dyDescent="0.35">
      <c r="C72708" s="2"/>
    </row>
    <row r="72709" spans="3:3" x14ac:dyDescent="0.35">
      <c r="C72709" s="2"/>
    </row>
    <row r="72710" spans="3:3" x14ac:dyDescent="0.35">
      <c r="C72710" s="2"/>
    </row>
    <row r="72711" spans="3:3" x14ac:dyDescent="0.35">
      <c r="C72711" s="2"/>
    </row>
    <row r="72712" spans="3:3" x14ac:dyDescent="0.35">
      <c r="C72712" s="2"/>
    </row>
    <row r="72713" spans="3:3" x14ac:dyDescent="0.35">
      <c r="C72713" s="2"/>
    </row>
    <row r="72714" spans="3:3" x14ac:dyDescent="0.35">
      <c r="C72714" s="2"/>
    </row>
    <row r="72715" spans="3:3" x14ac:dyDescent="0.35">
      <c r="C72715" s="2"/>
    </row>
    <row r="72716" spans="3:3" x14ac:dyDescent="0.35">
      <c r="C72716" s="2"/>
    </row>
    <row r="72717" spans="3:3" x14ac:dyDescent="0.35">
      <c r="C72717" s="2"/>
    </row>
    <row r="72718" spans="3:3" x14ac:dyDescent="0.35">
      <c r="C72718" s="2"/>
    </row>
    <row r="72719" spans="3:3" x14ac:dyDescent="0.35">
      <c r="C72719" s="2"/>
    </row>
    <row r="72720" spans="3:3" x14ac:dyDescent="0.35">
      <c r="C72720" s="2"/>
    </row>
    <row r="72721" spans="3:3" x14ac:dyDescent="0.35">
      <c r="C72721" s="2"/>
    </row>
    <row r="72722" spans="3:3" x14ac:dyDescent="0.35">
      <c r="C72722" s="2"/>
    </row>
    <row r="72723" spans="3:3" x14ac:dyDescent="0.35">
      <c r="C72723" s="2"/>
    </row>
    <row r="72724" spans="3:3" x14ac:dyDescent="0.35">
      <c r="C72724" s="2"/>
    </row>
    <row r="72725" spans="3:3" x14ac:dyDescent="0.35">
      <c r="C72725" s="2"/>
    </row>
    <row r="72726" spans="3:3" x14ac:dyDescent="0.35">
      <c r="C72726" s="2"/>
    </row>
    <row r="72727" spans="3:3" x14ac:dyDescent="0.35">
      <c r="C72727" s="2"/>
    </row>
    <row r="72728" spans="3:3" x14ac:dyDescent="0.35">
      <c r="C72728" s="2"/>
    </row>
    <row r="72729" spans="3:3" x14ac:dyDescent="0.35">
      <c r="C72729" s="2"/>
    </row>
    <row r="72730" spans="3:3" x14ac:dyDescent="0.35">
      <c r="C72730" s="2"/>
    </row>
    <row r="72731" spans="3:3" x14ac:dyDescent="0.35">
      <c r="C72731" s="2"/>
    </row>
    <row r="72732" spans="3:3" x14ac:dyDescent="0.35">
      <c r="C72732" s="2"/>
    </row>
    <row r="72733" spans="3:3" x14ac:dyDescent="0.35">
      <c r="C72733" s="2"/>
    </row>
    <row r="72734" spans="3:3" x14ac:dyDescent="0.35">
      <c r="C72734" s="2"/>
    </row>
    <row r="72735" spans="3:3" x14ac:dyDescent="0.35">
      <c r="C72735" s="2"/>
    </row>
    <row r="72736" spans="3:3" x14ac:dyDescent="0.35">
      <c r="C72736" s="2"/>
    </row>
    <row r="72737" spans="3:3" x14ac:dyDescent="0.35">
      <c r="C72737" s="2"/>
    </row>
    <row r="72738" spans="3:3" x14ac:dyDescent="0.35">
      <c r="C72738" s="2"/>
    </row>
    <row r="72739" spans="3:3" x14ac:dyDescent="0.35">
      <c r="C72739" s="2"/>
    </row>
    <row r="72740" spans="3:3" x14ac:dyDescent="0.35">
      <c r="C72740" s="2"/>
    </row>
    <row r="72741" spans="3:3" x14ac:dyDescent="0.35">
      <c r="C72741" s="2"/>
    </row>
    <row r="72742" spans="3:3" x14ac:dyDescent="0.35">
      <c r="C72742" s="2"/>
    </row>
    <row r="72743" spans="3:3" x14ac:dyDescent="0.35">
      <c r="C72743" s="2"/>
    </row>
    <row r="72744" spans="3:3" x14ac:dyDescent="0.35">
      <c r="C72744" s="2"/>
    </row>
    <row r="72745" spans="3:3" x14ac:dyDescent="0.35">
      <c r="C72745" s="2"/>
    </row>
    <row r="72746" spans="3:3" x14ac:dyDescent="0.35">
      <c r="C72746" s="2"/>
    </row>
    <row r="72747" spans="3:3" x14ac:dyDescent="0.35">
      <c r="C72747" s="2"/>
    </row>
    <row r="72748" spans="3:3" x14ac:dyDescent="0.35">
      <c r="C72748" s="2"/>
    </row>
    <row r="72749" spans="3:3" x14ac:dyDescent="0.35">
      <c r="C72749" s="2"/>
    </row>
    <row r="72750" spans="3:3" x14ac:dyDescent="0.35">
      <c r="C72750" s="2"/>
    </row>
    <row r="72751" spans="3:3" x14ac:dyDescent="0.35">
      <c r="C72751" s="2"/>
    </row>
    <row r="72752" spans="3:3" x14ac:dyDescent="0.35">
      <c r="C72752" s="2"/>
    </row>
    <row r="72753" spans="3:3" x14ac:dyDescent="0.35">
      <c r="C72753" s="2"/>
    </row>
    <row r="72754" spans="3:3" x14ac:dyDescent="0.35">
      <c r="C72754" s="2"/>
    </row>
    <row r="72755" spans="3:3" x14ac:dyDescent="0.35">
      <c r="C72755" s="2"/>
    </row>
    <row r="72756" spans="3:3" x14ac:dyDescent="0.35">
      <c r="C72756" s="2"/>
    </row>
    <row r="72757" spans="3:3" x14ac:dyDescent="0.35">
      <c r="C72757" s="2"/>
    </row>
    <row r="72758" spans="3:3" x14ac:dyDescent="0.35">
      <c r="C72758" s="2"/>
    </row>
    <row r="72759" spans="3:3" x14ac:dyDescent="0.35">
      <c r="C72759" s="2"/>
    </row>
    <row r="72760" spans="3:3" x14ac:dyDescent="0.35">
      <c r="C72760" s="2"/>
    </row>
    <row r="72761" spans="3:3" x14ac:dyDescent="0.35">
      <c r="C72761" s="2"/>
    </row>
    <row r="72762" spans="3:3" x14ac:dyDescent="0.35">
      <c r="C72762" s="2"/>
    </row>
    <row r="72763" spans="3:3" x14ac:dyDescent="0.35">
      <c r="C72763" s="2"/>
    </row>
    <row r="72764" spans="3:3" x14ac:dyDescent="0.35">
      <c r="C72764" s="2"/>
    </row>
    <row r="72765" spans="3:3" x14ac:dyDescent="0.35">
      <c r="C72765" s="2"/>
    </row>
    <row r="72766" spans="3:3" x14ac:dyDescent="0.35">
      <c r="C72766" s="2"/>
    </row>
    <row r="72767" spans="3:3" x14ac:dyDescent="0.35">
      <c r="C72767" s="2"/>
    </row>
    <row r="72768" spans="3:3" x14ac:dyDescent="0.35">
      <c r="C72768" s="2"/>
    </row>
    <row r="72769" spans="3:3" x14ac:dyDescent="0.35">
      <c r="C72769" s="2"/>
    </row>
    <row r="72770" spans="3:3" x14ac:dyDescent="0.35">
      <c r="C72770" s="2"/>
    </row>
    <row r="72771" spans="3:3" x14ac:dyDescent="0.35">
      <c r="C72771" s="2"/>
    </row>
    <row r="72772" spans="3:3" x14ac:dyDescent="0.35">
      <c r="C72772" s="2"/>
    </row>
    <row r="72773" spans="3:3" x14ac:dyDescent="0.35">
      <c r="C72773" s="2"/>
    </row>
    <row r="72774" spans="3:3" x14ac:dyDescent="0.35">
      <c r="C72774" s="2"/>
    </row>
    <row r="72775" spans="3:3" x14ac:dyDescent="0.35">
      <c r="C72775" s="2"/>
    </row>
    <row r="72776" spans="3:3" x14ac:dyDescent="0.35">
      <c r="C72776" s="2"/>
    </row>
    <row r="72777" spans="3:3" x14ac:dyDescent="0.35">
      <c r="C72777" s="2"/>
    </row>
    <row r="72778" spans="3:3" x14ac:dyDescent="0.35">
      <c r="C72778" s="2"/>
    </row>
    <row r="72779" spans="3:3" x14ac:dyDescent="0.35">
      <c r="C72779" s="2"/>
    </row>
    <row r="72780" spans="3:3" x14ac:dyDescent="0.35">
      <c r="C72780" s="2"/>
    </row>
    <row r="72781" spans="3:3" x14ac:dyDescent="0.35">
      <c r="C72781" s="2"/>
    </row>
    <row r="72782" spans="3:3" x14ac:dyDescent="0.35">
      <c r="C72782" s="2"/>
    </row>
    <row r="72783" spans="3:3" x14ac:dyDescent="0.35">
      <c r="C72783" s="2"/>
    </row>
    <row r="72784" spans="3:3" x14ac:dyDescent="0.35">
      <c r="C72784" s="2"/>
    </row>
    <row r="72785" spans="3:3" x14ac:dyDescent="0.35">
      <c r="C72785" s="2"/>
    </row>
    <row r="72786" spans="3:3" x14ac:dyDescent="0.35">
      <c r="C72786" s="2"/>
    </row>
    <row r="72787" spans="3:3" x14ac:dyDescent="0.35">
      <c r="C72787" s="2"/>
    </row>
    <row r="72788" spans="3:3" x14ac:dyDescent="0.35">
      <c r="C72788" s="2"/>
    </row>
    <row r="72789" spans="3:3" x14ac:dyDescent="0.35">
      <c r="C72789" s="2"/>
    </row>
    <row r="72790" spans="3:3" x14ac:dyDescent="0.35">
      <c r="C72790" s="2"/>
    </row>
    <row r="72791" spans="3:3" x14ac:dyDescent="0.35">
      <c r="C72791" s="2"/>
    </row>
    <row r="72792" spans="3:3" x14ac:dyDescent="0.35">
      <c r="C72792" s="2"/>
    </row>
    <row r="72793" spans="3:3" x14ac:dyDescent="0.35">
      <c r="C72793" s="2"/>
    </row>
    <row r="72794" spans="3:3" x14ac:dyDescent="0.35">
      <c r="C72794" s="2"/>
    </row>
    <row r="72795" spans="3:3" x14ac:dyDescent="0.35">
      <c r="C72795" s="2"/>
    </row>
    <row r="72796" spans="3:3" x14ac:dyDescent="0.35">
      <c r="C72796" s="2"/>
    </row>
    <row r="72797" spans="3:3" x14ac:dyDescent="0.35">
      <c r="C72797" s="2"/>
    </row>
    <row r="72798" spans="3:3" x14ac:dyDescent="0.35">
      <c r="C72798" s="2"/>
    </row>
    <row r="72799" spans="3:3" x14ac:dyDescent="0.35">
      <c r="C72799" s="2"/>
    </row>
    <row r="72800" spans="3:3" x14ac:dyDescent="0.35">
      <c r="C72800" s="2"/>
    </row>
    <row r="72801" spans="3:3" x14ac:dyDescent="0.35">
      <c r="C72801" s="2"/>
    </row>
    <row r="72802" spans="3:3" x14ac:dyDescent="0.35">
      <c r="C72802" s="2"/>
    </row>
    <row r="72803" spans="3:3" x14ac:dyDescent="0.35">
      <c r="C72803" s="2"/>
    </row>
    <row r="72804" spans="3:3" x14ac:dyDescent="0.35">
      <c r="C72804" s="2"/>
    </row>
    <row r="72805" spans="3:3" x14ac:dyDescent="0.35">
      <c r="C72805" s="2"/>
    </row>
    <row r="72806" spans="3:3" x14ac:dyDescent="0.35">
      <c r="C72806" s="2"/>
    </row>
    <row r="72807" spans="3:3" x14ac:dyDescent="0.35">
      <c r="C72807" s="2"/>
    </row>
    <row r="72808" spans="3:3" x14ac:dyDescent="0.35">
      <c r="C72808" s="2"/>
    </row>
    <row r="72809" spans="3:3" x14ac:dyDescent="0.35">
      <c r="C72809" s="2"/>
    </row>
    <row r="72810" spans="3:3" x14ac:dyDescent="0.35">
      <c r="C72810" s="2"/>
    </row>
    <row r="72811" spans="3:3" x14ac:dyDescent="0.35">
      <c r="C72811" s="2"/>
    </row>
    <row r="72812" spans="3:3" x14ac:dyDescent="0.35">
      <c r="C72812" s="2"/>
    </row>
    <row r="72813" spans="3:3" x14ac:dyDescent="0.35">
      <c r="C72813" s="2"/>
    </row>
    <row r="72814" spans="3:3" x14ac:dyDescent="0.35">
      <c r="C72814" s="2"/>
    </row>
    <row r="72815" spans="3:3" x14ac:dyDescent="0.35">
      <c r="C72815" s="2"/>
    </row>
    <row r="72816" spans="3:3" x14ac:dyDescent="0.35">
      <c r="C72816" s="2"/>
    </row>
    <row r="72817" spans="3:3" x14ac:dyDescent="0.35">
      <c r="C72817" s="2"/>
    </row>
    <row r="72818" spans="3:3" x14ac:dyDescent="0.35">
      <c r="C72818" s="2"/>
    </row>
    <row r="72819" spans="3:3" x14ac:dyDescent="0.35">
      <c r="C72819" s="2"/>
    </row>
    <row r="72820" spans="3:3" x14ac:dyDescent="0.35">
      <c r="C72820" s="2"/>
    </row>
    <row r="72821" spans="3:3" x14ac:dyDescent="0.35">
      <c r="C72821" s="2"/>
    </row>
    <row r="72822" spans="3:3" x14ac:dyDescent="0.35">
      <c r="C72822" s="2"/>
    </row>
    <row r="72823" spans="3:3" x14ac:dyDescent="0.35">
      <c r="C72823" s="2"/>
    </row>
    <row r="72824" spans="3:3" x14ac:dyDescent="0.35">
      <c r="C72824" s="2"/>
    </row>
    <row r="72825" spans="3:3" x14ac:dyDescent="0.35">
      <c r="C72825" s="2"/>
    </row>
    <row r="72826" spans="3:3" x14ac:dyDescent="0.35">
      <c r="C72826" s="2"/>
    </row>
    <row r="72827" spans="3:3" x14ac:dyDescent="0.35">
      <c r="C72827" s="2"/>
    </row>
    <row r="72828" spans="3:3" x14ac:dyDescent="0.35">
      <c r="C72828" s="2"/>
    </row>
    <row r="72829" spans="3:3" x14ac:dyDescent="0.35">
      <c r="C72829" s="2"/>
    </row>
    <row r="72830" spans="3:3" x14ac:dyDescent="0.35">
      <c r="C72830" s="2"/>
    </row>
    <row r="72831" spans="3:3" x14ac:dyDescent="0.35">
      <c r="C72831" s="2"/>
    </row>
    <row r="72832" spans="3:3" x14ac:dyDescent="0.35">
      <c r="C72832" s="2"/>
    </row>
    <row r="72833" spans="3:3" x14ac:dyDescent="0.35">
      <c r="C72833" s="2"/>
    </row>
    <row r="72834" spans="3:3" x14ac:dyDescent="0.35">
      <c r="C72834" s="2"/>
    </row>
    <row r="72835" spans="3:3" x14ac:dyDescent="0.35">
      <c r="C72835" s="2"/>
    </row>
    <row r="72836" spans="3:3" x14ac:dyDescent="0.35">
      <c r="C72836" s="2"/>
    </row>
    <row r="72837" spans="3:3" x14ac:dyDescent="0.35">
      <c r="C72837" s="2"/>
    </row>
    <row r="72838" spans="3:3" x14ac:dyDescent="0.35">
      <c r="C72838" s="2"/>
    </row>
    <row r="72839" spans="3:3" x14ac:dyDescent="0.35">
      <c r="C72839" s="2"/>
    </row>
    <row r="72840" spans="3:3" x14ac:dyDescent="0.35">
      <c r="C72840" s="2"/>
    </row>
    <row r="72841" spans="3:3" x14ac:dyDescent="0.35">
      <c r="C72841" s="2"/>
    </row>
    <row r="72842" spans="3:3" x14ac:dyDescent="0.35">
      <c r="C72842" s="2"/>
    </row>
    <row r="72843" spans="3:3" x14ac:dyDescent="0.35">
      <c r="C72843" s="2"/>
    </row>
    <row r="72844" spans="3:3" x14ac:dyDescent="0.35">
      <c r="C72844" s="2"/>
    </row>
    <row r="72845" spans="3:3" x14ac:dyDescent="0.35">
      <c r="C72845" s="2"/>
    </row>
    <row r="72846" spans="3:3" x14ac:dyDescent="0.35">
      <c r="C72846" s="2"/>
    </row>
    <row r="72847" spans="3:3" x14ac:dyDescent="0.35">
      <c r="C72847" s="2"/>
    </row>
    <row r="72848" spans="3:3" x14ac:dyDescent="0.35">
      <c r="C72848" s="2"/>
    </row>
    <row r="72849" spans="3:3" x14ac:dyDescent="0.35">
      <c r="C72849" s="2"/>
    </row>
    <row r="72850" spans="3:3" x14ac:dyDescent="0.35">
      <c r="C72850" s="2"/>
    </row>
    <row r="72851" spans="3:3" x14ac:dyDescent="0.35">
      <c r="C72851" s="2"/>
    </row>
    <row r="72852" spans="3:3" x14ac:dyDescent="0.35">
      <c r="C72852" s="2"/>
    </row>
    <row r="72853" spans="3:3" x14ac:dyDescent="0.35">
      <c r="C72853" s="2"/>
    </row>
    <row r="72854" spans="3:3" x14ac:dyDescent="0.35">
      <c r="C72854" s="2"/>
    </row>
    <row r="72855" spans="3:3" x14ac:dyDescent="0.35">
      <c r="C72855" s="2"/>
    </row>
    <row r="72856" spans="3:3" x14ac:dyDescent="0.35">
      <c r="C72856" s="2"/>
    </row>
    <row r="72857" spans="3:3" x14ac:dyDescent="0.35">
      <c r="C72857" s="2"/>
    </row>
    <row r="72858" spans="3:3" x14ac:dyDescent="0.35">
      <c r="C72858" s="2"/>
    </row>
    <row r="72859" spans="3:3" x14ac:dyDescent="0.35">
      <c r="C72859" s="2"/>
    </row>
    <row r="72860" spans="3:3" x14ac:dyDescent="0.35">
      <c r="C72860" s="2"/>
    </row>
    <row r="72861" spans="3:3" x14ac:dyDescent="0.35">
      <c r="C72861" s="2"/>
    </row>
    <row r="72862" spans="3:3" x14ac:dyDescent="0.35">
      <c r="C72862" s="2"/>
    </row>
    <row r="72863" spans="3:3" x14ac:dyDescent="0.35">
      <c r="C72863" s="2"/>
    </row>
    <row r="72864" spans="3:3" x14ac:dyDescent="0.35">
      <c r="C72864" s="2"/>
    </row>
    <row r="72865" spans="3:3" x14ac:dyDescent="0.35">
      <c r="C72865" s="2"/>
    </row>
    <row r="72866" spans="3:3" x14ac:dyDescent="0.35">
      <c r="C72866" s="2"/>
    </row>
    <row r="72867" spans="3:3" x14ac:dyDescent="0.35">
      <c r="C72867" s="2"/>
    </row>
    <row r="72868" spans="3:3" x14ac:dyDescent="0.35">
      <c r="C72868" s="2"/>
    </row>
    <row r="72869" spans="3:3" x14ac:dyDescent="0.35">
      <c r="C72869" s="2"/>
    </row>
    <row r="72870" spans="3:3" x14ac:dyDescent="0.35">
      <c r="C72870" s="2"/>
    </row>
    <row r="72871" spans="3:3" x14ac:dyDescent="0.35">
      <c r="C72871" s="2"/>
    </row>
    <row r="72872" spans="3:3" x14ac:dyDescent="0.35">
      <c r="C72872" s="2"/>
    </row>
    <row r="72873" spans="3:3" x14ac:dyDescent="0.35">
      <c r="C72873" s="2"/>
    </row>
    <row r="72874" spans="3:3" x14ac:dyDescent="0.35">
      <c r="C72874" s="2"/>
    </row>
    <row r="72875" spans="3:3" x14ac:dyDescent="0.35">
      <c r="C72875" s="2"/>
    </row>
    <row r="72876" spans="3:3" x14ac:dyDescent="0.35">
      <c r="C72876" s="2"/>
    </row>
    <row r="72877" spans="3:3" x14ac:dyDescent="0.35">
      <c r="C72877" s="2"/>
    </row>
    <row r="72878" spans="3:3" x14ac:dyDescent="0.35">
      <c r="C72878" s="2"/>
    </row>
    <row r="72879" spans="3:3" x14ac:dyDescent="0.35">
      <c r="C72879" s="2"/>
    </row>
    <row r="72880" spans="3:3" x14ac:dyDescent="0.35">
      <c r="C72880" s="2"/>
    </row>
    <row r="72881" spans="3:3" x14ac:dyDescent="0.35">
      <c r="C72881" s="2"/>
    </row>
    <row r="72882" spans="3:3" x14ac:dyDescent="0.35">
      <c r="C72882" s="2"/>
    </row>
    <row r="72883" spans="3:3" x14ac:dyDescent="0.35">
      <c r="C72883" s="2"/>
    </row>
    <row r="72884" spans="3:3" x14ac:dyDescent="0.35">
      <c r="C72884" s="2"/>
    </row>
    <row r="72885" spans="3:3" x14ac:dyDescent="0.35">
      <c r="C72885" s="2"/>
    </row>
    <row r="72886" spans="3:3" x14ac:dyDescent="0.35">
      <c r="C72886" s="2"/>
    </row>
    <row r="72887" spans="3:3" x14ac:dyDescent="0.35">
      <c r="C72887" s="2"/>
    </row>
    <row r="72888" spans="3:3" x14ac:dyDescent="0.35">
      <c r="C72888" s="2"/>
    </row>
    <row r="72889" spans="3:3" x14ac:dyDescent="0.35">
      <c r="C72889" s="2"/>
    </row>
    <row r="72890" spans="3:3" x14ac:dyDescent="0.35">
      <c r="C72890" s="2"/>
    </row>
    <row r="72891" spans="3:3" x14ac:dyDescent="0.35">
      <c r="C72891" s="2"/>
    </row>
    <row r="72892" spans="3:3" x14ac:dyDescent="0.35">
      <c r="C72892" s="2"/>
    </row>
    <row r="72893" spans="3:3" x14ac:dyDescent="0.35">
      <c r="C72893" s="2"/>
    </row>
    <row r="72894" spans="3:3" x14ac:dyDescent="0.35">
      <c r="C72894" s="2"/>
    </row>
    <row r="72895" spans="3:3" x14ac:dyDescent="0.35">
      <c r="C72895" s="2"/>
    </row>
    <row r="72896" spans="3:3" x14ac:dyDescent="0.35">
      <c r="C72896" s="2"/>
    </row>
    <row r="72897" spans="3:3" x14ac:dyDescent="0.35">
      <c r="C72897" s="2"/>
    </row>
    <row r="72898" spans="3:3" x14ac:dyDescent="0.35">
      <c r="C72898" s="2"/>
    </row>
    <row r="72899" spans="3:3" x14ac:dyDescent="0.35">
      <c r="C72899" s="2"/>
    </row>
    <row r="72900" spans="3:3" x14ac:dyDescent="0.35">
      <c r="C72900" s="2"/>
    </row>
    <row r="72901" spans="3:3" x14ac:dyDescent="0.35">
      <c r="C72901" s="2"/>
    </row>
    <row r="72902" spans="3:3" x14ac:dyDescent="0.35">
      <c r="C72902" s="2"/>
    </row>
    <row r="72903" spans="3:3" x14ac:dyDescent="0.35">
      <c r="C72903" s="2"/>
    </row>
    <row r="72904" spans="3:3" x14ac:dyDescent="0.35">
      <c r="C72904" s="2"/>
    </row>
    <row r="72905" spans="3:3" x14ac:dyDescent="0.35">
      <c r="C72905" s="2"/>
    </row>
    <row r="72906" spans="3:3" x14ac:dyDescent="0.35">
      <c r="C72906" s="2"/>
    </row>
    <row r="72907" spans="3:3" x14ac:dyDescent="0.35">
      <c r="C72907" s="2"/>
    </row>
    <row r="72908" spans="3:3" x14ac:dyDescent="0.35">
      <c r="C72908" s="2"/>
    </row>
    <row r="72909" spans="3:3" x14ac:dyDescent="0.35">
      <c r="C72909" s="2"/>
    </row>
    <row r="72910" spans="3:3" x14ac:dyDescent="0.35">
      <c r="C72910" s="2"/>
    </row>
    <row r="72911" spans="3:3" x14ac:dyDescent="0.35">
      <c r="C72911" s="2"/>
    </row>
    <row r="72912" spans="3:3" x14ac:dyDescent="0.35">
      <c r="C72912" s="2"/>
    </row>
    <row r="72913" spans="3:3" x14ac:dyDescent="0.35">
      <c r="C72913" s="2"/>
    </row>
    <row r="72914" spans="3:3" x14ac:dyDescent="0.35">
      <c r="C72914" s="2"/>
    </row>
    <row r="72915" spans="3:3" x14ac:dyDescent="0.35">
      <c r="C72915" s="2"/>
    </row>
    <row r="72916" spans="3:3" x14ac:dyDescent="0.35">
      <c r="C72916" s="2"/>
    </row>
    <row r="72917" spans="3:3" x14ac:dyDescent="0.35">
      <c r="C72917" s="2"/>
    </row>
    <row r="72918" spans="3:3" x14ac:dyDescent="0.35">
      <c r="C72918" s="2"/>
    </row>
    <row r="72919" spans="3:3" x14ac:dyDescent="0.35">
      <c r="C72919" s="2"/>
    </row>
    <row r="72920" spans="3:3" x14ac:dyDescent="0.35">
      <c r="C72920" s="2"/>
    </row>
    <row r="72921" spans="3:3" x14ac:dyDescent="0.35">
      <c r="C72921" s="2"/>
    </row>
    <row r="72922" spans="3:3" x14ac:dyDescent="0.35">
      <c r="C72922" s="2"/>
    </row>
    <row r="72923" spans="3:3" x14ac:dyDescent="0.35">
      <c r="C72923" s="2"/>
    </row>
    <row r="72924" spans="3:3" x14ac:dyDescent="0.35">
      <c r="C72924" s="2"/>
    </row>
    <row r="72925" spans="3:3" x14ac:dyDescent="0.35">
      <c r="C72925" s="2"/>
    </row>
    <row r="72926" spans="3:3" x14ac:dyDescent="0.35">
      <c r="C72926" s="2"/>
    </row>
    <row r="72927" spans="3:3" x14ac:dyDescent="0.35">
      <c r="C72927" s="2"/>
    </row>
    <row r="72928" spans="3:3" x14ac:dyDescent="0.35">
      <c r="C72928" s="2"/>
    </row>
    <row r="72929" spans="3:3" x14ac:dyDescent="0.35">
      <c r="C72929" s="2"/>
    </row>
    <row r="72930" spans="3:3" x14ac:dyDescent="0.35">
      <c r="C72930" s="2"/>
    </row>
    <row r="72931" spans="3:3" x14ac:dyDescent="0.35">
      <c r="C72931" s="2"/>
    </row>
    <row r="72932" spans="3:3" x14ac:dyDescent="0.35">
      <c r="C72932" s="2"/>
    </row>
    <row r="72933" spans="3:3" x14ac:dyDescent="0.35">
      <c r="C72933" s="2"/>
    </row>
    <row r="72934" spans="3:3" x14ac:dyDescent="0.35">
      <c r="C72934" s="2"/>
    </row>
    <row r="72935" spans="3:3" x14ac:dyDescent="0.35">
      <c r="C72935" s="2"/>
    </row>
    <row r="72936" spans="3:3" x14ac:dyDescent="0.35">
      <c r="C72936" s="2"/>
    </row>
    <row r="72937" spans="3:3" x14ac:dyDescent="0.35">
      <c r="C72937" s="2"/>
    </row>
    <row r="72938" spans="3:3" x14ac:dyDescent="0.35">
      <c r="C72938" s="2"/>
    </row>
    <row r="72939" spans="3:3" x14ac:dyDescent="0.35">
      <c r="C72939" s="2"/>
    </row>
    <row r="72940" spans="3:3" x14ac:dyDescent="0.35">
      <c r="C72940" s="2"/>
    </row>
    <row r="72941" spans="3:3" x14ac:dyDescent="0.35">
      <c r="C72941" s="2"/>
    </row>
    <row r="72942" spans="3:3" x14ac:dyDescent="0.35">
      <c r="C72942" s="2"/>
    </row>
    <row r="72943" spans="3:3" x14ac:dyDescent="0.35">
      <c r="C72943" s="2"/>
    </row>
    <row r="72944" spans="3:3" x14ac:dyDescent="0.35">
      <c r="C72944" s="2"/>
    </row>
    <row r="72945" spans="3:3" x14ac:dyDescent="0.35">
      <c r="C72945" s="2"/>
    </row>
    <row r="72946" spans="3:3" x14ac:dyDescent="0.35">
      <c r="C72946" s="2"/>
    </row>
    <row r="72947" spans="3:3" x14ac:dyDescent="0.35">
      <c r="C72947" s="2"/>
    </row>
    <row r="72948" spans="3:3" x14ac:dyDescent="0.35">
      <c r="C72948" s="2"/>
    </row>
    <row r="72949" spans="3:3" x14ac:dyDescent="0.35">
      <c r="C72949" s="2"/>
    </row>
    <row r="72950" spans="3:3" x14ac:dyDescent="0.35">
      <c r="C72950" s="2"/>
    </row>
    <row r="72951" spans="3:3" x14ac:dyDescent="0.35">
      <c r="C72951" s="2"/>
    </row>
    <row r="72952" spans="3:3" x14ac:dyDescent="0.35">
      <c r="C72952" s="2"/>
    </row>
    <row r="72953" spans="3:3" x14ac:dyDescent="0.35">
      <c r="C72953" s="2"/>
    </row>
    <row r="72954" spans="3:3" x14ac:dyDescent="0.35">
      <c r="C72954" s="2"/>
    </row>
    <row r="72955" spans="3:3" x14ac:dyDescent="0.35">
      <c r="C72955" s="2"/>
    </row>
    <row r="72956" spans="3:3" x14ac:dyDescent="0.35">
      <c r="C72956" s="2"/>
    </row>
    <row r="72957" spans="3:3" x14ac:dyDescent="0.35">
      <c r="C72957" s="2"/>
    </row>
    <row r="72958" spans="3:3" x14ac:dyDescent="0.35">
      <c r="C72958" s="2"/>
    </row>
    <row r="72959" spans="3:3" x14ac:dyDescent="0.35">
      <c r="C72959" s="2"/>
    </row>
    <row r="72960" spans="3:3" x14ac:dyDescent="0.35">
      <c r="C72960" s="2"/>
    </row>
    <row r="72961" spans="3:3" x14ac:dyDescent="0.35">
      <c r="C72961" s="2"/>
    </row>
    <row r="72962" spans="3:3" x14ac:dyDescent="0.35">
      <c r="C72962" s="2"/>
    </row>
    <row r="72963" spans="3:3" x14ac:dyDescent="0.35">
      <c r="C72963" s="2"/>
    </row>
    <row r="72964" spans="3:3" x14ac:dyDescent="0.35">
      <c r="C72964" s="2"/>
    </row>
    <row r="72965" spans="3:3" x14ac:dyDescent="0.35">
      <c r="C72965" s="2"/>
    </row>
    <row r="72966" spans="3:3" x14ac:dyDescent="0.35">
      <c r="C72966" s="2"/>
    </row>
    <row r="72967" spans="3:3" x14ac:dyDescent="0.35">
      <c r="C72967" s="2"/>
    </row>
    <row r="72968" spans="3:3" x14ac:dyDescent="0.35">
      <c r="C72968" s="2"/>
    </row>
    <row r="72969" spans="3:3" x14ac:dyDescent="0.35">
      <c r="C72969" s="2"/>
    </row>
    <row r="72970" spans="3:3" x14ac:dyDescent="0.35">
      <c r="C72970" s="2"/>
    </row>
    <row r="72971" spans="3:3" x14ac:dyDescent="0.35">
      <c r="C72971" s="2"/>
    </row>
    <row r="72972" spans="3:3" x14ac:dyDescent="0.35">
      <c r="C72972" s="2"/>
    </row>
    <row r="72973" spans="3:3" x14ac:dyDescent="0.35">
      <c r="C72973" s="2"/>
    </row>
    <row r="72974" spans="3:3" x14ac:dyDescent="0.35">
      <c r="C72974" s="2"/>
    </row>
    <row r="72975" spans="3:3" x14ac:dyDescent="0.35">
      <c r="C72975" s="2"/>
    </row>
    <row r="72976" spans="3:3" x14ac:dyDescent="0.35">
      <c r="C72976" s="2"/>
    </row>
    <row r="72977" spans="3:3" x14ac:dyDescent="0.35">
      <c r="C72977" s="2"/>
    </row>
    <row r="72978" spans="3:3" x14ac:dyDescent="0.35">
      <c r="C72978" s="2"/>
    </row>
    <row r="72979" spans="3:3" x14ac:dyDescent="0.35">
      <c r="C72979" s="2"/>
    </row>
    <row r="72980" spans="3:3" x14ac:dyDescent="0.35">
      <c r="C72980" s="2"/>
    </row>
    <row r="72981" spans="3:3" x14ac:dyDescent="0.35">
      <c r="C72981" s="2"/>
    </row>
    <row r="72982" spans="3:3" x14ac:dyDescent="0.35">
      <c r="C72982" s="2"/>
    </row>
    <row r="72983" spans="3:3" x14ac:dyDescent="0.35">
      <c r="C72983" s="2"/>
    </row>
    <row r="72984" spans="3:3" x14ac:dyDescent="0.35">
      <c r="C72984" s="2"/>
    </row>
    <row r="72985" spans="3:3" x14ac:dyDescent="0.35">
      <c r="C72985" s="2"/>
    </row>
    <row r="72986" spans="3:3" x14ac:dyDescent="0.35">
      <c r="C72986" s="2"/>
    </row>
    <row r="72987" spans="3:3" x14ac:dyDescent="0.35">
      <c r="C72987" s="2"/>
    </row>
    <row r="72988" spans="3:3" x14ac:dyDescent="0.35">
      <c r="C72988" s="2"/>
    </row>
    <row r="72989" spans="3:3" x14ac:dyDescent="0.35">
      <c r="C72989" s="2"/>
    </row>
    <row r="72990" spans="3:3" x14ac:dyDescent="0.35">
      <c r="C72990" s="2"/>
    </row>
    <row r="72991" spans="3:3" x14ac:dyDescent="0.35">
      <c r="C72991" s="2"/>
    </row>
    <row r="72992" spans="3:3" x14ac:dyDescent="0.35">
      <c r="C72992" s="2"/>
    </row>
    <row r="72993" spans="3:3" x14ac:dyDescent="0.35">
      <c r="C72993" s="2"/>
    </row>
    <row r="72994" spans="3:3" x14ac:dyDescent="0.35">
      <c r="C72994" s="2"/>
    </row>
    <row r="72995" spans="3:3" x14ac:dyDescent="0.35">
      <c r="C72995" s="2"/>
    </row>
    <row r="72996" spans="3:3" x14ac:dyDescent="0.35">
      <c r="C72996" s="2"/>
    </row>
    <row r="72997" spans="3:3" x14ac:dyDescent="0.35">
      <c r="C72997" s="2"/>
    </row>
    <row r="72998" spans="3:3" x14ac:dyDescent="0.35">
      <c r="C72998" s="2"/>
    </row>
    <row r="72999" spans="3:3" x14ac:dyDescent="0.35">
      <c r="C72999" s="2"/>
    </row>
    <row r="73000" spans="3:3" x14ac:dyDescent="0.35">
      <c r="C73000" s="2"/>
    </row>
    <row r="73001" spans="3:3" x14ac:dyDescent="0.35">
      <c r="C73001" s="2"/>
    </row>
    <row r="73002" spans="3:3" x14ac:dyDescent="0.35">
      <c r="C73002" s="2"/>
    </row>
    <row r="73003" spans="3:3" x14ac:dyDescent="0.35">
      <c r="C73003" s="2"/>
    </row>
    <row r="73004" spans="3:3" x14ac:dyDescent="0.35">
      <c r="C73004" s="2"/>
    </row>
    <row r="73005" spans="3:3" x14ac:dyDescent="0.35">
      <c r="C73005" s="2"/>
    </row>
    <row r="73006" spans="3:3" x14ac:dyDescent="0.35">
      <c r="C73006" s="2"/>
    </row>
    <row r="73007" spans="3:3" x14ac:dyDescent="0.35">
      <c r="C73007" s="2"/>
    </row>
    <row r="73008" spans="3:3" x14ac:dyDescent="0.35">
      <c r="C73008" s="2"/>
    </row>
    <row r="73009" spans="3:3" x14ac:dyDescent="0.35">
      <c r="C73009" s="2"/>
    </row>
    <row r="73010" spans="3:3" x14ac:dyDescent="0.35">
      <c r="C73010" s="2"/>
    </row>
    <row r="73011" spans="3:3" x14ac:dyDescent="0.35">
      <c r="C73011" s="2"/>
    </row>
    <row r="73012" spans="3:3" x14ac:dyDescent="0.35">
      <c r="C73012" s="2"/>
    </row>
    <row r="73013" spans="3:3" x14ac:dyDescent="0.35">
      <c r="C73013" s="2"/>
    </row>
    <row r="73014" spans="3:3" x14ac:dyDescent="0.35">
      <c r="C73014" s="2"/>
    </row>
    <row r="73015" spans="3:3" x14ac:dyDescent="0.35">
      <c r="C73015" s="2"/>
    </row>
    <row r="73016" spans="3:3" x14ac:dyDescent="0.35">
      <c r="C73016" s="2"/>
    </row>
    <row r="73017" spans="3:3" x14ac:dyDescent="0.35">
      <c r="C73017" s="2"/>
    </row>
    <row r="73018" spans="3:3" x14ac:dyDescent="0.35">
      <c r="C73018" s="2"/>
    </row>
    <row r="73019" spans="3:3" x14ac:dyDescent="0.35">
      <c r="C73019" s="2"/>
    </row>
    <row r="73020" spans="3:3" x14ac:dyDescent="0.35">
      <c r="C73020" s="2"/>
    </row>
    <row r="73021" spans="3:3" x14ac:dyDescent="0.35">
      <c r="C73021" s="2"/>
    </row>
    <row r="73022" spans="3:3" x14ac:dyDescent="0.35">
      <c r="C73022" s="2"/>
    </row>
    <row r="73023" spans="3:3" x14ac:dyDescent="0.35">
      <c r="C73023" s="2"/>
    </row>
    <row r="73024" spans="3:3" x14ac:dyDescent="0.35">
      <c r="C73024" s="2"/>
    </row>
    <row r="73025" spans="3:3" x14ac:dyDescent="0.35">
      <c r="C73025" s="2"/>
    </row>
    <row r="73026" spans="3:3" x14ac:dyDescent="0.35">
      <c r="C73026" s="2"/>
    </row>
    <row r="73027" spans="3:3" x14ac:dyDescent="0.35">
      <c r="C73027" s="2"/>
    </row>
    <row r="73028" spans="3:3" x14ac:dyDescent="0.35">
      <c r="C73028" s="2"/>
    </row>
    <row r="73029" spans="3:3" x14ac:dyDescent="0.35">
      <c r="C73029" s="2"/>
    </row>
    <row r="73030" spans="3:3" x14ac:dyDescent="0.35">
      <c r="C73030" s="2"/>
    </row>
    <row r="73031" spans="3:3" x14ac:dyDescent="0.35">
      <c r="C73031" s="2"/>
    </row>
    <row r="73032" spans="3:3" x14ac:dyDescent="0.35">
      <c r="C73032" s="2"/>
    </row>
    <row r="73033" spans="3:3" x14ac:dyDescent="0.35">
      <c r="C73033" s="2"/>
    </row>
    <row r="73034" spans="3:3" x14ac:dyDescent="0.35">
      <c r="C73034" s="2"/>
    </row>
    <row r="73035" spans="3:3" x14ac:dyDescent="0.35">
      <c r="C73035" s="2"/>
    </row>
    <row r="73036" spans="3:3" x14ac:dyDescent="0.35">
      <c r="C73036" s="2"/>
    </row>
    <row r="73037" spans="3:3" x14ac:dyDescent="0.35">
      <c r="C73037" s="2"/>
    </row>
    <row r="73038" spans="3:3" x14ac:dyDescent="0.35">
      <c r="C73038" s="2"/>
    </row>
    <row r="73039" spans="3:3" x14ac:dyDescent="0.35">
      <c r="C73039" s="2"/>
    </row>
    <row r="73040" spans="3:3" x14ac:dyDescent="0.35">
      <c r="C73040" s="2"/>
    </row>
    <row r="73041" spans="3:3" x14ac:dyDescent="0.35">
      <c r="C73041" s="2"/>
    </row>
    <row r="73042" spans="3:3" x14ac:dyDescent="0.35">
      <c r="C73042" s="2"/>
    </row>
    <row r="73043" spans="3:3" x14ac:dyDescent="0.35">
      <c r="C73043" s="2"/>
    </row>
    <row r="73044" spans="3:3" x14ac:dyDescent="0.35">
      <c r="C73044" s="2"/>
    </row>
    <row r="73045" spans="3:3" x14ac:dyDescent="0.35">
      <c r="C73045" s="2"/>
    </row>
    <row r="73046" spans="3:3" x14ac:dyDescent="0.35">
      <c r="C73046" s="2"/>
    </row>
    <row r="73047" spans="3:3" x14ac:dyDescent="0.35">
      <c r="C73047" s="2"/>
    </row>
    <row r="73048" spans="3:3" x14ac:dyDescent="0.35">
      <c r="C73048" s="2"/>
    </row>
    <row r="73049" spans="3:3" x14ac:dyDescent="0.35">
      <c r="C73049" s="2"/>
    </row>
    <row r="73050" spans="3:3" x14ac:dyDescent="0.35">
      <c r="C73050" s="2"/>
    </row>
    <row r="73051" spans="3:3" x14ac:dyDescent="0.35">
      <c r="C73051" s="2"/>
    </row>
    <row r="73052" spans="3:3" x14ac:dyDescent="0.35">
      <c r="C73052" s="2"/>
    </row>
    <row r="73053" spans="3:3" x14ac:dyDescent="0.35">
      <c r="C73053" s="2"/>
    </row>
    <row r="73054" spans="3:3" x14ac:dyDescent="0.35">
      <c r="C73054" s="2"/>
    </row>
    <row r="73055" spans="3:3" x14ac:dyDescent="0.35">
      <c r="C73055" s="2"/>
    </row>
    <row r="73056" spans="3:3" x14ac:dyDescent="0.35">
      <c r="C73056" s="2"/>
    </row>
    <row r="73057" spans="3:3" x14ac:dyDescent="0.35">
      <c r="C73057" s="2"/>
    </row>
    <row r="73058" spans="3:3" x14ac:dyDescent="0.35">
      <c r="C73058" s="2"/>
    </row>
    <row r="73059" spans="3:3" x14ac:dyDescent="0.35">
      <c r="C73059" s="2"/>
    </row>
    <row r="73060" spans="3:3" x14ac:dyDescent="0.35">
      <c r="C73060" s="2"/>
    </row>
    <row r="73061" spans="3:3" x14ac:dyDescent="0.35">
      <c r="C73061" s="2"/>
    </row>
    <row r="73062" spans="3:3" x14ac:dyDescent="0.35">
      <c r="C73062" s="2"/>
    </row>
    <row r="73063" spans="3:3" x14ac:dyDescent="0.35">
      <c r="C73063" s="2"/>
    </row>
    <row r="73064" spans="3:3" x14ac:dyDescent="0.35">
      <c r="C73064" s="2"/>
    </row>
    <row r="73065" spans="3:3" x14ac:dyDescent="0.35">
      <c r="C73065" s="2"/>
    </row>
    <row r="73066" spans="3:3" x14ac:dyDescent="0.35">
      <c r="C73066" s="2"/>
    </row>
    <row r="73067" spans="3:3" x14ac:dyDescent="0.35">
      <c r="C73067" s="2"/>
    </row>
    <row r="73068" spans="3:3" x14ac:dyDescent="0.35">
      <c r="C73068" s="2"/>
    </row>
    <row r="73069" spans="3:3" x14ac:dyDescent="0.35">
      <c r="C73069" s="2"/>
    </row>
    <row r="73070" spans="3:3" x14ac:dyDescent="0.35">
      <c r="C73070" s="2"/>
    </row>
    <row r="73071" spans="3:3" x14ac:dyDescent="0.35">
      <c r="C73071" s="2"/>
    </row>
    <row r="73072" spans="3:3" x14ac:dyDescent="0.35">
      <c r="C73072" s="2"/>
    </row>
    <row r="73073" spans="3:3" x14ac:dyDescent="0.35">
      <c r="C73073" s="2"/>
    </row>
    <row r="73074" spans="3:3" x14ac:dyDescent="0.35">
      <c r="C73074" s="2"/>
    </row>
    <row r="73075" spans="3:3" x14ac:dyDescent="0.35">
      <c r="C73075" s="2"/>
    </row>
    <row r="73076" spans="3:3" x14ac:dyDescent="0.35">
      <c r="C73076" s="2"/>
    </row>
    <row r="73077" spans="3:3" x14ac:dyDescent="0.35">
      <c r="C73077" s="2"/>
    </row>
    <row r="73078" spans="3:3" x14ac:dyDescent="0.35">
      <c r="C73078" s="2"/>
    </row>
    <row r="73079" spans="3:3" x14ac:dyDescent="0.35">
      <c r="C73079" s="2"/>
    </row>
    <row r="73080" spans="3:3" x14ac:dyDescent="0.35">
      <c r="C73080" s="2"/>
    </row>
    <row r="73081" spans="3:3" x14ac:dyDescent="0.35">
      <c r="C73081" s="2"/>
    </row>
    <row r="73082" spans="3:3" x14ac:dyDescent="0.35">
      <c r="C73082" s="2"/>
    </row>
    <row r="73083" spans="3:3" x14ac:dyDescent="0.35">
      <c r="C73083" s="2"/>
    </row>
    <row r="73084" spans="3:3" x14ac:dyDescent="0.35">
      <c r="C73084" s="2"/>
    </row>
    <row r="73085" spans="3:3" x14ac:dyDescent="0.35">
      <c r="C73085" s="2"/>
    </row>
    <row r="73086" spans="3:3" x14ac:dyDescent="0.35">
      <c r="C73086" s="2"/>
    </row>
    <row r="73087" spans="3:3" x14ac:dyDescent="0.35">
      <c r="C73087" s="2"/>
    </row>
    <row r="73088" spans="3:3" x14ac:dyDescent="0.35">
      <c r="C73088" s="2"/>
    </row>
    <row r="73089" spans="3:3" x14ac:dyDescent="0.35">
      <c r="C73089" s="2"/>
    </row>
    <row r="73090" spans="3:3" x14ac:dyDescent="0.35">
      <c r="C73090" s="2"/>
    </row>
    <row r="73091" spans="3:3" x14ac:dyDescent="0.35">
      <c r="C73091" s="2"/>
    </row>
    <row r="73092" spans="3:3" x14ac:dyDescent="0.35">
      <c r="C73092" s="2"/>
    </row>
    <row r="73093" spans="3:3" x14ac:dyDescent="0.35">
      <c r="C73093" s="2"/>
    </row>
    <row r="73094" spans="3:3" x14ac:dyDescent="0.35">
      <c r="C73094" s="2"/>
    </row>
    <row r="73095" spans="3:3" x14ac:dyDescent="0.35">
      <c r="C73095" s="2"/>
    </row>
    <row r="73096" spans="3:3" x14ac:dyDescent="0.35">
      <c r="C73096" s="2"/>
    </row>
    <row r="73097" spans="3:3" x14ac:dyDescent="0.35">
      <c r="C73097" s="2"/>
    </row>
    <row r="73098" spans="3:3" x14ac:dyDescent="0.35">
      <c r="C73098" s="2"/>
    </row>
    <row r="73099" spans="3:3" x14ac:dyDescent="0.35">
      <c r="C73099" s="2"/>
    </row>
    <row r="73100" spans="3:3" x14ac:dyDescent="0.35">
      <c r="C73100" s="2"/>
    </row>
    <row r="73101" spans="3:3" x14ac:dyDescent="0.35">
      <c r="C73101" s="2"/>
    </row>
    <row r="73102" spans="3:3" x14ac:dyDescent="0.35">
      <c r="C73102" s="2"/>
    </row>
    <row r="73103" spans="3:3" x14ac:dyDescent="0.35">
      <c r="C73103" s="2"/>
    </row>
    <row r="73104" spans="3:3" x14ac:dyDescent="0.35">
      <c r="C73104" s="2"/>
    </row>
    <row r="73105" spans="3:3" x14ac:dyDescent="0.35">
      <c r="C73105" s="2"/>
    </row>
    <row r="73106" spans="3:3" x14ac:dyDescent="0.35">
      <c r="C73106" s="2"/>
    </row>
    <row r="73107" spans="3:3" x14ac:dyDescent="0.35">
      <c r="C73107" s="2"/>
    </row>
    <row r="73108" spans="3:3" x14ac:dyDescent="0.35">
      <c r="C73108" s="2"/>
    </row>
    <row r="73109" spans="3:3" x14ac:dyDescent="0.35">
      <c r="C73109" s="2"/>
    </row>
    <row r="73110" spans="3:3" x14ac:dyDescent="0.35">
      <c r="C73110" s="2"/>
    </row>
    <row r="73111" spans="3:3" x14ac:dyDescent="0.35">
      <c r="C73111" s="2"/>
    </row>
    <row r="73112" spans="3:3" x14ac:dyDescent="0.35">
      <c r="C73112" s="2"/>
    </row>
    <row r="73113" spans="3:3" x14ac:dyDescent="0.35">
      <c r="C73113" s="2"/>
    </row>
    <row r="73114" spans="3:3" x14ac:dyDescent="0.35">
      <c r="C73114" s="2"/>
    </row>
    <row r="73115" spans="3:3" x14ac:dyDescent="0.35">
      <c r="C73115" s="2"/>
    </row>
    <row r="73116" spans="3:3" x14ac:dyDescent="0.35">
      <c r="C73116" s="2"/>
    </row>
    <row r="73117" spans="3:3" x14ac:dyDescent="0.35">
      <c r="C73117" s="2"/>
    </row>
    <row r="73118" spans="3:3" x14ac:dyDescent="0.35">
      <c r="C73118" s="2"/>
    </row>
    <row r="73119" spans="3:3" x14ac:dyDescent="0.35">
      <c r="C73119" s="2"/>
    </row>
    <row r="73120" spans="3:3" x14ac:dyDescent="0.35">
      <c r="C73120" s="2"/>
    </row>
    <row r="73121" spans="3:3" x14ac:dyDescent="0.35">
      <c r="C73121" s="2"/>
    </row>
    <row r="73122" spans="3:3" x14ac:dyDescent="0.35">
      <c r="C73122" s="2"/>
    </row>
    <row r="73123" spans="3:3" x14ac:dyDescent="0.35">
      <c r="C73123" s="2"/>
    </row>
    <row r="73124" spans="3:3" x14ac:dyDescent="0.35">
      <c r="C73124" s="2"/>
    </row>
    <row r="73125" spans="3:3" x14ac:dyDescent="0.35">
      <c r="C73125" s="2"/>
    </row>
    <row r="73126" spans="3:3" x14ac:dyDescent="0.35">
      <c r="C73126" s="2"/>
    </row>
    <row r="73127" spans="3:3" x14ac:dyDescent="0.35">
      <c r="C73127" s="2"/>
    </row>
    <row r="73128" spans="3:3" x14ac:dyDescent="0.35">
      <c r="C73128" s="2"/>
    </row>
    <row r="73129" spans="3:3" x14ac:dyDescent="0.35">
      <c r="C73129" s="2"/>
    </row>
    <row r="73130" spans="3:3" x14ac:dyDescent="0.35">
      <c r="C73130" s="2"/>
    </row>
    <row r="73131" spans="3:3" x14ac:dyDescent="0.35">
      <c r="C73131" s="2"/>
    </row>
    <row r="73132" spans="3:3" x14ac:dyDescent="0.35">
      <c r="C73132" s="2"/>
    </row>
    <row r="73133" spans="3:3" x14ac:dyDescent="0.35">
      <c r="C73133" s="2"/>
    </row>
    <row r="73134" spans="3:3" x14ac:dyDescent="0.35">
      <c r="C73134" s="2"/>
    </row>
    <row r="73135" spans="3:3" x14ac:dyDescent="0.35">
      <c r="C73135" s="2"/>
    </row>
    <row r="73136" spans="3:3" x14ac:dyDescent="0.35">
      <c r="C73136" s="2"/>
    </row>
    <row r="73137" spans="3:3" x14ac:dyDescent="0.35">
      <c r="C73137" s="2"/>
    </row>
    <row r="73138" spans="3:3" x14ac:dyDescent="0.35">
      <c r="C73138" s="2"/>
    </row>
    <row r="73139" spans="3:3" x14ac:dyDescent="0.35">
      <c r="C73139" s="2"/>
    </row>
    <row r="73140" spans="3:3" x14ac:dyDescent="0.35">
      <c r="C73140" s="2"/>
    </row>
    <row r="73141" spans="3:3" x14ac:dyDescent="0.35">
      <c r="C73141" s="2"/>
    </row>
    <row r="73142" spans="3:3" x14ac:dyDescent="0.35">
      <c r="C73142" s="2"/>
    </row>
    <row r="73143" spans="3:3" x14ac:dyDescent="0.35">
      <c r="C73143" s="2"/>
    </row>
    <row r="73144" spans="3:3" x14ac:dyDescent="0.35">
      <c r="C73144" s="2"/>
    </row>
    <row r="73145" spans="3:3" x14ac:dyDescent="0.35">
      <c r="C73145" s="2"/>
    </row>
    <row r="73146" spans="3:3" x14ac:dyDescent="0.35">
      <c r="C73146" s="2"/>
    </row>
    <row r="73147" spans="3:3" x14ac:dyDescent="0.35">
      <c r="C73147" s="2"/>
    </row>
    <row r="73148" spans="3:3" x14ac:dyDescent="0.35">
      <c r="C73148" s="2"/>
    </row>
    <row r="73149" spans="3:3" x14ac:dyDescent="0.35">
      <c r="C73149" s="2"/>
    </row>
    <row r="73150" spans="3:3" x14ac:dyDescent="0.35">
      <c r="C73150" s="2"/>
    </row>
    <row r="73151" spans="3:3" x14ac:dyDescent="0.35">
      <c r="C73151" s="2"/>
    </row>
    <row r="73152" spans="3:3" x14ac:dyDescent="0.35">
      <c r="C73152" s="2"/>
    </row>
    <row r="73153" spans="3:3" x14ac:dyDescent="0.35">
      <c r="C73153" s="2"/>
    </row>
    <row r="73154" spans="3:3" x14ac:dyDescent="0.35">
      <c r="C73154" s="2"/>
    </row>
    <row r="73155" spans="3:3" x14ac:dyDescent="0.35">
      <c r="C73155" s="2"/>
    </row>
    <row r="73156" spans="3:3" x14ac:dyDescent="0.35">
      <c r="C73156" s="2"/>
    </row>
    <row r="73157" spans="3:3" x14ac:dyDescent="0.35">
      <c r="C73157" s="2"/>
    </row>
    <row r="73158" spans="3:3" x14ac:dyDescent="0.35">
      <c r="C73158" s="2"/>
    </row>
    <row r="73159" spans="3:3" x14ac:dyDescent="0.35">
      <c r="C73159" s="2"/>
    </row>
    <row r="73160" spans="3:3" x14ac:dyDescent="0.35">
      <c r="C73160" s="2"/>
    </row>
    <row r="73161" spans="3:3" x14ac:dyDescent="0.35">
      <c r="C73161" s="2"/>
    </row>
    <row r="73162" spans="3:3" x14ac:dyDescent="0.35">
      <c r="C73162" s="2"/>
    </row>
    <row r="73163" spans="3:3" x14ac:dyDescent="0.35">
      <c r="C73163" s="2"/>
    </row>
    <row r="73164" spans="3:3" x14ac:dyDescent="0.35">
      <c r="C73164" s="2"/>
    </row>
    <row r="73165" spans="3:3" x14ac:dyDescent="0.35">
      <c r="C73165" s="2"/>
    </row>
    <row r="73166" spans="3:3" x14ac:dyDescent="0.35">
      <c r="C73166" s="2"/>
    </row>
    <row r="73167" spans="3:3" x14ac:dyDescent="0.35">
      <c r="C73167" s="2"/>
    </row>
    <row r="73168" spans="3:3" x14ac:dyDescent="0.35">
      <c r="C73168" s="2"/>
    </row>
    <row r="73169" spans="3:3" x14ac:dyDescent="0.35">
      <c r="C73169" s="2"/>
    </row>
    <row r="73170" spans="3:3" x14ac:dyDescent="0.35">
      <c r="C73170" s="2"/>
    </row>
    <row r="73171" spans="3:3" x14ac:dyDescent="0.35">
      <c r="C73171" s="2"/>
    </row>
    <row r="73172" spans="3:3" x14ac:dyDescent="0.35">
      <c r="C73172" s="2"/>
    </row>
    <row r="73173" spans="3:3" x14ac:dyDescent="0.35">
      <c r="C73173" s="2"/>
    </row>
    <row r="73174" spans="3:3" x14ac:dyDescent="0.35">
      <c r="C73174" s="2"/>
    </row>
    <row r="73175" spans="3:3" x14ac:dyDescent="0.35">
      <c r="C73175" s="2"/>
    </row>
    <row r="73176" spans="3:3" x14ac:dyDescent="0.35">
      <c r="C73176" s="2"/>
    </row>
    <row r="73177" spans="3:3" x14ac:dyDescent="0.35">
      <c r="C73177" s="2"/>
    </row>
    <row r="73178" spans="3:3" x14ac:dyDescent="0.35">
      <c r="C73178" s="2"/>
    </row>
    <row r="73179" spans="3:3" x14ac:dyDescent="0.35">
      <c r="C73179" s="2"/>
    </row>
    <row r="73180" spans="3:3" x14ac:dyDescent="0.35">
      <c r="C73180" s="2"/>
    </row>
    <row r="73181" spans="3:3" x14ac:dyDescent="0.35">
      <c r="C73181" s="2"/>
    </row>
    <row r="73182" spans="3:3" x14ac:dyDescent="0.35">
      <c r="C73182" s="2"/>
    </row>
    <row r="73183" spans="3:3" x14ac:dyDescent="0.35">
      <c r="C73183" s="2"/>
    </row>
    <row r="73184" spans="3:3" x14ac:dyDescent="0.35">
      <c r="C73184" s="2"/>
    </row>
    <row r="73185" spans="3:3" x14ac:dyDescent="0.35">
      <c r="C73185" s="2"/>
    </row>
    <row r="73186" spans="3:3" x14ac:dyDescent="0.35">
      <c r="C73186" s="2"/>
    </row>
    <row r="73187" spans="3:3" x14ac:dyDescent="0.35">
      <c r="C73187" s="2"/>
    </row>
    <row r="73188" spans="3:3" x14ac:dyDescent="0.35">
      <c r="C73188" s="2"/>
    </row>
    <row r="73189" spans="3:3" x14ac:dyDescent="0.35">
      <c r="C73189" s="2"/>
    </row>
    <row r="73190" spans="3:3" x14ac:dyDescent="0.35">
      <c r="C73190" s="2"/>
    </row>
    <row r="73191" spans="3:3" x14ac:dyDescent="0.35">
      <c r="C73191" s="2"/>
    </row>
    <row r="73192" spans="3:3" x14ac:dyDescent="0.35">
      <c r="C73192" s="2"/>
    </row>
    <row r="73193" spans="3:3" x14ac:dyDescent="0.35">
      <c r="C73193" s="2"/>
    </row>
    <row r="73194" spans="3:3" x14ac:dyDescent="0.35">
      <c r="C73194" s="2"/>
    </row>
    <row r="73195" spans="3:3" x14ac:dyDescent="0.35">
      <c r="C73195" s="2"/>
    </row>
    <row r="73196" spans="3:3" x14ac:dyDescent="0.35">
      <c r="C73196" s="2"/>
    </row>
    <row r="73197" spans="3:3" x14ac:dyDescent="0.35">
      <c r="C73197" s="2"/>
    </row>
    <row r="73198" spans="3:3" x14ac:dyDescent="0.35">
      <c r="C73198" s="2"/>
    </row>
    <row r="73199" spans="3:3" x14ac:dyDescent="0.35">
      <c r="C73199" s="2"/>
    </row>
    <row r="73200" spans="3:3" x14ac:dyDescent="0.35">
      <c r="C73200" s="2"/>
    </row>
    <row r="73201" spans="3:3" x14ac:dyDescent="0.35">
      <c r="C73201" s="2"/>
    </row>
    <row r="73202" spans="3:3" x14ac:dyDescent="0.35">
      <c r="C73202" s="2"/>
    </row>
    <row r="73203" spans="3:3" x14ac:dyDescent="0.35">
      <c r="C73203" s="2"/>
    </row>
    <row r="73204" spans="3:3" x14ac:dyDescent="0.35">
      <c r="C73204" s="2"/>
    </row>
    <row r="73205" spans="3:3" x14ac:dyDescent="0.35">
      <c r="C73205" s="2"/>
    </row>
    <row r="73206" spans="3:3" x14ac:dyDescent="0.35">
      <c r="C73206" s="2"/>
    </row>
    <row r="73207" spans="3:3" x14ac:dyDescent="0.35">
      <c r="C73207" s="2"/>
    </row>
    <row r="73208" spans="3:3" x14ac:dyDescent="0.35">
      <c r="C73208" s="2"/>
    </row>
    <row r="73209" spans="3:3" x14ac:dyDescent="0.35">
      <c r="C73209" s="2"/>
    </row>
    <row r="73210" spans="3:3" x14ac:dyDescent="0.35">
      <c r="C73210" s="2"/>
    </row>
    <row r="73211" spans="3:3" x14ac:dyDescent="0.35">
      <c r="C73211" s="2"/>
    </row>
    <row r="73212" spans="3:3" x14ac:dyDescent="0.35">
      <c r="C73212" s="2"/>
    </row>
    <row r="73213" spans="3:3" x14ac:dyDescent="0.35">
      <c r="C73213" s="2"/>
    </row>
    <row r="73214" spans="3:3" x14ac:dyDescent="0.35">
      <c r="C73214" s="2"/>
    </row>
    <row r="73215" spans="3:3" x14ac:dyDescent="0.35">
      <c r="C73215" s="2"/>
    </row>
    <row r="73216" spans="3:3" x14ac:dyDescent="0.35">
      <c r="C73216" s="2"/>
    </row>
    <row r="73217" spans="3:3" x14ac:dyDescent="0.35">
      <c r="C73217" s="2"/>
    </row>
    <row r="73218" spans="3:3" x14ac:dyDescent="0.35">
      <c r="C73218" s="2"/>
    </row>
    <row r="73219" spans="3:3" x14ac:dyDescent="0.35">
      <c r="C73219" s="2"/>
    </row>
    <row r="73220" spans="3:3" x14ac:dyDescent="0.35">
      <c r="C73220" s="2"/>
    </row>
    <row r="73221" spans="3:3" x14ac:dyDescent="0.35">
      <c r="C73221" s="2"/>
    </row>
    <row r="73222" spans="3:3" x14ac:dyDescent="0.35">
      <c r="C73222" s="2"/>
    </row>
    <row r="73223" spans="3:3" x14ac:dyDescent="0.35">
      <c r="C73223" s="2"/>
    </row>
    <row r="73224" spans="3:3" x14ac:dyDescent="0.35">
      <c r="C73224" s="2"/>
    </row>
    <row r="73225" spans="3:3" x14ac:dyDescent="0.35">
      <c r="C73225" s="2"/>
    </row>
    <row r="73226" spans="3:3" x14ac:dyDescent="0.35">
      <c r="C73226" s="2"/>
    </row>
    <row r="73227" spans="3:3" x14ac:dyDescent="0.35">
      <c r="C73227" s="2"/>
    </row>
    <row r="73228" spans="3:3" x14ac:dyDescent="0.35">
      <c r="C73228" s="2"/>
    </row>
    <row r="73229" spans="3:3" x14ac:dyDescent="0.35">
      <c r="C73229" s="2"/>
    </row>
    <row r="73230" spans="3:3" x14ac:dyDescent="0.35">
      <c r="C73230" s="2"/>
    </row>
    <row r="73231" spans="3:3" x14ac:dyDescent="0.35">
      <c r="C73231" s="2"/>
    </row>
    <row r="73232" spans="3:3" x14ac:dyDescent="0.35">
      <c r="C73232" s="2"/>
    </row>
    <row r="73233" spans="3:3" x14ac:dyDescent="0.35">
      <c r="C73233" s="2"/>
    </row>
    <row r="73234" spans="3:3" x14ac:dyDescent="0.35">
      <c r="C73234" s="2"/>
    </row>
    <row r="73235" spans="3:3" x14ac:dyDescent="0.35">
      <c r="C73235" s="2"/>
    </row>
    <row r="73236" spans="3:3" x14ac:dyDescent="0.35">
      <c r="C73236" s="2"/>
    </row>
    <row r="73237" spans="3:3" x14ac:dyDescent="0.35">
      <c r="C73237" s="2"/>
    </row>
    <row r="73238" spans="3:3" x14ac:dyDescent="0.35">
      <c r="C73238" s="2"/>
    </row>
    <row r="73239" spans="3:3" x14ac:dyDescent="0.35">
      <c r="C73239" s="2"/>
    </row>
    <row r="73240" spans="3:3" x14ac:dyDescent="0.35">
      <c r="C73240" s="2"/>
    </row>
    <row r="73241" spans="3:3" x14ac:dyDescent="0.35">
      <c r="C73241" s="2"/>
    </row>
    <row r="73242" spans="3:3" x14ac:dyDescent="0.35">
      <c r="C73242" s="2"/>
    </row>
    <row r="73243" spans="3:3" x14ac:dyDescent="0.35">
      <c r="C73243" s="2"/>
    </row>
    <row r="73244" spans="3:3" x14ac:dyDescent="0.35">
      <c r="C73244" s="2"/>
    </row>
    <row r="73245" spans="3:3" x14ac:dyDescent="0.35">
      <c r="C73245" s="2"/>
    </row>
    <row r="73246" spans="3:3" x14ac:dyDescent="0.35">
      <c r="C73246" s="2"/>
    </row>
    <row r="73247" spans="3:3" x14ac:dyDescent="0.35">
      <c r="C73247" s="2"/>
    </row>
    <row r="73248" spans="3:3" x14ac:dyDescent="0.35">
      <c r="C73248" s="2"/>
    </row>
    <row r="73249" spans="3:3" x14ac:dyDescent="0.35">
      <c r="C73249" s="2"/>
    </row>
    <row r="73250" spans="3:3" x14ac:dyDescent="0.35">
      <c r="C73250" s="2"/>
    </row>
    <row r="73251" spans="3:3" x14ac:dyDescent="0.35">
      <c r="C73251" s="2"/>
    </row>
    <row r="73252" spans="3:3" x14ac:dyDescent="0.35">
      <c r="C73252" s="2"/>
    </row>
    <row r="73253" spans="3:3" x14ac:dyDescent="0.35">
      <c r="C73253" s="2"/>
    </row>
    <row r="73254" spans="3:3" x14ac:dyDescent="0.35">
      <c r="C73254" s="2"/>
    </row>
    <row r="73255" spans="3:3" x14ac:dyDescent="0.35">
      <c r="C73255" s="2"/>
    </row>
    <row r="73256" spans="3:3" x14ac:dyDescent="0.35">
      <c r="C73256" s="2"/>
    </row>
    <row r="73257" spans="3:3" x14ac:dyDescent="0.35">
      <c r="C73257" s="2"/>
    </row>
    <row r="73258" spans="3:3" x14ac:dyDescent="0.35">
      <c r="C73258" s="2"/>
    </row>
    <row r="73259" spans="3:3" x14ac:dyDescent="0.35">
      <c r="C73259" s="2"/>
    </row>
    <row r="73260" spans="3:3" x14ac:dyDescent="0.35">
      <c r="C73260" s="2"/>
    </row>
    <row r="73261" spans="3:3" x14ac:dyDescent="0.35">
      <c r="C73261" s="2"/>
    </row>
    <row r="73262" spans="3:3" x14ac:dyDescent="0.35">
      <c r="C73262" s="2"/>
    </row>
    <row r="73263" spans="3:3" x14ac:dyDescent="0.35">
      <c r="C73263" s="2"/>
    </row>
    <row r="73264" spans="3:3" x14ac:dyDescent="0.35">
      <c r="C73264" s="2"/>
    </row>
    <row r="73265" spans="3:3" x14ac:dyDescent="0.35">
      <c r="C73265" s="2"/>
    </row>
    <row r="73266" spans="3:3" x14ac:dyDescent="0.35">
      <c r="C73266" s="2"/>
    </row>
    <row r="73267" spans="3:3" x14ac:dyDescent="0.35">
      <c r="C73267" s="2"/>
    </row>
    <row r="73268" spans="3:3" x14ac:dyDescent="0.35">
      <c r="C73268" s="2"/>
    </row>
    <row r="73269" spans="3:3" x14ac:dyDescent="0.35">
      <c r="C73269" s="2"/>
    </row>
    <row r="73270" spans="3:3" x14ac:dyDescent="0.35">
      <c r="C73270" s="2"/>
    </row>
    <row r="73271" spans="3:3" x14ac:dyDescent="0.35">
      <c r="C73271" s="2"/>
    </row>
    <row r="73272" spans="3:3" x14ac:dyDescent="0.35">
      <c r="C73272" s="2"/>
    </row>
    <row r="73273" spans="3:3" x14ac:dyDescent="0.35">
      <c r="C73273" s="2"/>
    </row>
    <row r="73274" spans="3:3" x14ac:dyDescent="0.35">
      <c r="C73274" s="2"/>
    </row>
    <row r="73275" spans="3:3" x14ac:dyDescent="0.35">
      <c r="C73275" s="2"/>
    </row>
    <row r="73276" spans="3:3" x14ac:dyDescent="0.35">
      <c r="C73276" s="2"/>
    </row>
    <row r="73277" spans="3:3" x14ac:dyDescent="0.35">
      <c r="C73277" s="2"/>
    </row>
    <row r="73278" spans="3:3" x14ac:dyDescent="0.35">
      <c r="C73278" s="2"/>
    </row>
    <row r="73279" spans="3:3" x14ac:dyDescent="0.35">
      <c r="C73279" s="2"/>
    </row>
    <row r="73280" spans="3:3" x14ac:dyDescent="0.35">
      <c r="C73280" s="2"/>
    </row>
    <row r="73281" spans="3:3" x14ac:dyDescent="0.35">
      <c r="C73281" s="2"/>
    </row>
    <row r="73282" spans="3:3" x14ac:dyDescent="0.35">
      <c r="C73282" s="2"/>
    </row>
    <row r="73283" spans="3:3" x14ac:dyDescent="0.35">
      <c r="C73283" s="2"/>
    </row>
    <row r="73284" spans="3:3" x14ac:dyDescent="0.35">
      <c r="C73284" s="2"/>
    </row>
    <row r="73285" spans="3:3" x14ac:dyDescent="0.35">
      <c r="C73285" s="2"/>
    </row>
    <row r="73286" spans="3:3" x14ac:dyDescent="0.35">
      <c r="C73286" s="2"/>
    </row>
    <row r="73287" spans="3:3" x14ac:dyDescent="0.35">
      <c r="C73287" s="2"/>
    </row>
    <row r="73288" spans="3:3" x14ac:dyDescent="0.35">
      <c r="C73288" s="2"/>
    </row>
    <row r="73289" spans="3:3" x14ac:dyDescent="0.35">
      <c r="C73289" s="2"/>
    </row>
    <row r="73290" spans="3:3" x14ac:dyDescent="0.35">
      <c r="C73290" s="2"/>
    </row>
    <row r="73291" spans="3:3" x14ac:dyDescent="0.35">
      <c r="C73291" s="2"/>
    </row>
    <row r="73292" spans="3:3" x14ac:dyDescent="0.35">
      <c r="C73292" s="2"/>
    </row>
    <row r="73293" spans="3:3" x14ac:dyDescent="0.35">
      <c r="C73293" s="2"/>
    </row>
    <row r="73294" spans="3:3" x14ac:dyDescent="0.35">
      <c r="C73294" s="2"/>
    </row>
    <row r="73295" spans="3:3" x14ac:dyDescent="0.35">
      <c r="C73295" s="2"/>
    </row>
    <row r="73296" spans="3:3" x14ac:dyDescent="0.35">
      <c r="C73296" s="2"/>
    </row>
    <row r="73297" spans="3:3" x14ac:dyDescent="0.35">
      <c r="C73297" s="2"/>
    </row>
    <row r="73298" spans="3:3" x14ac:dyDescent="0.35">
      <c r="C73298" s="2"/>
    </row>
    <row r="73299" spans="3:3" x14ac:dyDescent="0.35">
      <c r="C73299" s="2"/>
    </row>
    <row r="73300" spans="3:3" x14ac:dyDescent="0.35">
      <c r="C73300" s="2"/>
    </row>
    <row r="73301" spans="3:3" x14ac:dyDescent="0.35">
      <c r="C73301" s="2"/>
    </row>
    <row r="73302" spans="3:3" x14ac:dyDescent="0.35">
      <c r="C73302" s="2"/>
    </row>
    <row r="73303" spans="3:3" x14ac:dyDescent="0.35">
      <c r="C73303" s="2"/>
    </row>
    <row r="73304" spans="3:3" x14ac:dyDescent="0.35">
      <c r="C73304" s="2"/>
    </row>
    <row r="73305" spans="3:3" x14ac:dyDescent="0.35">
      <c r="C73305" s="2"/>
    </row>
    <row r="73306" spans="3:3" x14ac:dyDescent="0.35">
      <c r="C73306" s="2"/>
    </row>
    <row r="73307" spans="3:3" x14ac:dyDescent="0.35">
      <c r="C73307" s="2"/>
    </row>
    <row r="73308" spans="3:3" x14ac:dyDescent="0.35">
      <c r="C73308" s="2"/>
    </row>
    <row r="73309" spans="3:3" x14ac:dyDescent="0.35">
      <c r="C73309" s="2"/>
    </row>
    <row r="73310" spans="3:3" x14ac:dyDescent="0.35">
      <c r="C73310" s="2"/>
    </row>
    <row r="73311" spans="3:3" x14ac:dyDescent="0.35">
      <c r="C73311" s="2"/>
    </row>
    <row r="73312" spans="3:3" x14ac:dyDescent="0.35">
      <c r="C73312" s="2"/>
    </row>
    <row r="73313" spans="3:3" x14ac:dyDescent="0.35">
      <c r="C73313" s="2"/>
    </row>
    <row r="73314" spans="3:3" x14ac:dyDescent="0.35">
      <c r="C73314" s="2"/>
    </row>
    <row r="73315" spans="3:3" x14ac:dyDescent="0.35">
      <c r="C73315" s="2"/>
    </row>
    <row r="73316" spans="3:3" x14ac:dyDescent="0.35">
      <c r="C73316" s="2"/>
    </row>
    <row r="73317" spans="3:3" x14ac:dyDescent="0.35">
      <c r="C73317" s="2"/>
    </row>
    <row r="73318" spans="3:3" x14ac:dyDescent="0.35">
      <c r="C73318" s="2"/>
    </row>
    <row r="73319" spans="3:3" x14ac:dyDescent="0.35">
      <c r="C73319" s="2"/>
    </row>
    <row r="73320" spans="3:3" x14ac:dyDescent="0.35">
      <c r="C73320" s="2"/>
    </row>
    <row r="73321" spans="3:3" x14ac:dyDescent="0.35">
      <c r="C73321" s="2"/>
    </row>
    <row r="73322" spans="3:3" x14ac:dyDescent="0.35">
      <c r="C73322" s="2"/>
    </row>
    <row r="73323" spans="3:3" x14ac:dyDescent="0.35">
      <c r="C73323" s="2"/>
    </row>
    <row r="73324" spans="3:3" x14ac:dyDescent="0.35">
      <c r="C73324" s="2"/>
    </row>
    <row r="73325" spans="3:3" x14ac:dyDescent="0.35">
      <c r="C73325" s="2"/>
    </row>
    <row r="73326" spans="3:3" x14ac:dyDescent="0.35">
      <c r="C73326" s="2"/>
    </row>
    <row r="73327" spans="3:3" x14ac:dyDescent="0.35">
      <c r="C73327" s="2"/>
    </row>
    <row r="73328" spans="3:3" x14ac:dyDescent="0.35">
      <c r="C73328" s="2"/>
    </row>
    <row r="73329" spans="3:3" x14ac:dyDescent="0.35">
      <c r="C73329" s="2"/>
    </row>
    <row r="73330" spans="3:3" x14ac:dyDescent="0.35">
      <c r="C73330" s="2"/>
    </row>
    <row r="73331" spans="3:3" x14ac:dyDescent="0.35">
      <c r="C73331" s="2"/>
    </row>
    <row r="73332" spans="3:3" x14ac:dyDescent="0.35">
      <c r="C73332" s="2"/>
    </row>
    <row r="73333" spans="3:3" x14ac:dyDescent="0.35">
      <c r="C73333" s="2"/>
    </row>
    <row r="73334" spans="3:3" x14ac:dyDescent="0.35">
      <c r="C73334" s="2"/>
    </row>
    <row r="73335" spans="3:3" x14ac:dyDescent="0.35">
      <c r="C73335" s="2"/>
    </row>
    <row r="73336" spans="3:3" x14ac:dyDescent="0.35">
      <c r="C73336" s="2"/>
    </row>
    <row r="73337" spans="3:3" x14ac:dyDescent="0.35">
      <c r="C73337" s="2"/>
    </row>
    <row r="73338" spans="3:3" x14ac:dyDescent="0.35">
      <c r="C73338" s="2"/>
    </row>
    <row r="73339" spans="3:3" x14ac:dyDescent="0.35">
      <c r="C73339" s="2"/>
    </row>
    <row r="73340" spans="3:3" x14ac:dyDescent="0.35">
      <c r="C73340" s="2"/>
    </row>
    <row r="73341" spans="3:3" x14ac:dyDescent="0.35">
      <c r="C73341" s="2"/>
    </row>
    <row r="73342" spans="3:3" x14ac:dyDescent="0.35">
      <c r="C73342" s="2"/>
    </row>
    <row r="73343" spans="3:3" x14ac:dyDescent="0.35">
      <c r="C73343" s="2"/>
    </row>
    <row r="73344" spans="3:3" x14ac:dyDescent="0.35">
      <c r="C73344" s="2"/>
    </row>
    <row r="73345" spans="3:3" x14ac:dyDescent="0.35">
      <c r="C73345" s="2"/>
    </row>
    <row r="73346" spans="3:3" x14ac:dyDescent="0.35">
      <c r="C73346" s="2"/>
    </row>
    <row r="73347" spans="3:3" x14ac:dyDescent="0.35">
      <c r="C73347" s="2"/>
    </row>
    <row r="73348" spans="3:3" x14ac:dyDescent="0.35">
      <c r="C73348" s="2"/>
    </row>
    <row r="73349" spans="3:3" x14ac:dyDescent="0.35">
      <c r="C73349" s="2"/>
    </row>
    <row r="73350" spans="3:3" x14ac:dyDescent="0.35">
      <c r="C73350" s="2"/>
    </row>
    <row r="73351" spans="3:3" x14ac:dyDescent="0.35">
      <c r="C73351" s="2"/>
    </row>
    <row r="73352" spans="3:3" x14ac:dyDescent="0.35">
      <c r="C73352" s="2"/>
    </row>
    <row r="73353" spans="3:3" x14ac:dyDescent="0.35">
      <c r="C73353" s="2"/>
    </row>
    <row r="73354" spans="3:3" x14ac:dyDescent="0.35">
      <c r="C73354" s="2"/>
    </row>
    <row r="73355" spans="3:3" x14ac:dyDescent="0.35">
      <c r="C73355" s="2"/>
    </row>
    <row r="73356" spans="3:3" x14ac:dyDescent="0.35">
      <c r="C73356" s="2"/>
    </row>
    <row r="73357" spans="3:3" x14ac:dyDescent="0.35">
      <c r="C73357" s="2"/>
    </row>
    <row r="73358" spans="3:3" x14ac:dyDescent="0.35">
      <c r="C73358" s="2"/>
    </row>
    <row r="73359" spans="3:3" x14ac:dyDescent="0.35">
      <c r="C73359" s="2"/>
    </row>
    <row r="73360" spans="3:3" x14ac:dyDescent="0.35">
      <c r="C73360" s="2"/>
    </row>
    <row r="73361" spans="3:3" x14ac:dyDescent="0.35">
      <c r="C73361" s="2"/>
    </row>
    <row r="73362" spans="3:3" x14ac:dyDescent="0.35">
      <c r="C73362" s="2"/>
    </row>
    <row r="73363" spans="3:3" x14ac:dyDescent="0.35">
      <c r="C73363" s="2"/>
    </row>
    <row r="73364" spans="3:3" x14ac:dyDescent="0.35">
      <c r="C73364" s="2"/>
    </row>
    <row r="73365" spans="3:3" x14ac:dyDescent="0.35">
      <c r="C73365" s="2"/>
    </row>
    <row r="73366" spans="3:3" x14ac:dyDescent="0.35">
      <c r="C73366" s="2"/>
    </row>
    <row r="73367" spans="3:3" x14ac:dyDescent="0.35">
      <c r="C73367" s="2"/>
    </row>
    <row r="73368" spans="3:3" x14ac:dyDescent="0.35">
      <c r="C73368" s="2"/>
    </row>
    <row r="73369" spans="3:3" x14ac:dyDescent="0.35">
      <c r="C73369" s="2"/>
    </row>
    <row r="73370" spans="3:3" x14ac:dyDescent="0.35">
      <c r="C73370" s="2"/>
    </row>
    <row r="73371" spans="3:3" x14ac:dyDescent="0.35">
      <c r="C73371" s="2"/>
    </row>
    <row r="73372" spans="3:3" x14ac:dyDescent="0.35">
      <c r="C73372" s="2"/>
    </row>
    <row r="73373" spans="3:3" x14ac:dyDescent="0.35">
      <c r="C73373" s="2"/>
    </row>
    <row r="73374" spans="3:3" x14ac:dyDescent="0.35">
      <c r="C73374" s="2"/>
    </row>
    <row r="73375" spans="3:3" x14ac:dyDescent="0.35">
      <c r="C73375" s="2"/>
    </row>
    <row r="73376" spans="3:3" x14ac:dyDescent="0.35">
      <c r="C73376" s="2"/>
    </row>
    <row r="73377" spans="3:3" x14ac:dyDescent="0.35">
      <c r="C73377" s="2"/>
    </row>
    <row r="73378" spans="3:3" x14ac:dyDescent="0.35">
      <c r="C73378" s="2"/>
    </row>
    <row r="73379" spans="3:3" x14ac:dyDescent="0.35">
      <c r="C73379" s="2"/>
    </row>
    <row r="73380" spans="3:3" x14ac:dyDescent="0.35">
      <c r="C73380" s="2"/>
    </row>
    <row r="73381" spans="3:3" x14ac:dyDescent="0.35">
      <c r="C73381" s="2"/>
    </row>
    <row r="73382" spans="3:3" x14ac:dyDescent="0.35">
      <c r="C73382" s="2"/>
    </row>
    <row r="73383" spans="3:3" x14ac:dyDescent="0.35">
      <c r="C73383" s="2"/>
    </row>
    <row r="73384" spans="3:3" x14ac:dyDescent="0.35">
      <c r="C73384" s="2"/>
    </row>
    <row r="73385" spans="3:3" x14ac:dyDescent="0.35">
      <c r="C73385" s="2"/>
    </row>
    <row r="73386" spans="3:3" x14ac:dyDescent="0.35">
      <c r="C73386" s="2"/>
    </row>
    <row r="73387" spans="3:3" x14ac:dyDescent="0.35">
      <c r="C73387" s="2"/>
    </row>
    <row r="73388" spans="3:3" x14ac:dyDescent="0.35">
      <c r="C73388" s="2"/>
    </row>
    <row r="73389" spans="3:3" x14ac:dyDescent="0.35">
      <c r="C73389" s="2"/>
    </row>
    <row r="73390" spans="3:3" x14ac:dyDescent="0.35">
      <c r="C73390" s="2"/>
    </row>
    <row r="73391" spans="3:3" x14ac:dyDescent="0.35">
      <c r="C73391" s="2"/>
    </row>
    <row r="73392" spans="3:3" x14ac:dyDescent="0.35">
      <c r="C73392" s="2"/>
    </row>
    <row r="73393" spans="3:3" x14ac:dyDescent="0.35">
      <c r="C73393" s="2"/>
    </row>
    <row r="73394" spans="3:3" x14ac:dyDescent="0.35">
      <c r="C73394" s="2"/>
    </row>
    <row r="73395" spans="3:3" x14ac:dyDescent="0.35">
      <c r="C73395" s="2"/>
    </row>
    <row r="73396" spans="3:3" x14ac:dyDescent="0.35">
      <c r="C73396" s="2"/>
    </row>
    <row r="73397" spans="3:3" x14ac:dyDescent="0.35">
      <c r="C73397" s="2"/>
    </row>
    <row r="73398" spans="3:3" x14ac:dyDescent="0.35">
      <c r="C73398" s="2"/>
    </row>
    <row r="73399" spans="3:3" x14ac:dyDescent="0.35">
      <c r="C73399" s="2"/>
    </row>
    <row r="73400" spans="3:3" x14ac:dyDescent="0.35">
      <c r="C73400" s="2"/>
    </row>
    <row r="73401" spans="3:3" x14ac:dyDescent="0.35">
      <c r="C73401" s="2"/>
    </row>
    <row r="73402" spans="3:3" x14ac:dyDescent="0.35">
      <c r="C73402" s="2"/>
    </row>
    <row r="73403" spans="3:3" x14ac:dyDescent="0.35">
      <c r="C73403" s="2"/>
    </row>
    <row r="73404" spans="3:3" x14ac:dyDescent="0.35">
      <c r="C73404" s="2"/>
    </row>
    <row r="73405" spans="3:3" x14ac:dyDescent="0.35">
      <c r="C73405" s="2"/>
    </row>
    <row r="73406" spans="3:3" x14ac:dyDescent="0.35">
      <c r="C73406" s="2"/>
    </row>
    <row r="73407" spans="3:3" x14ac:dyDescent="0.35">
      <c r="C73407" s="2"/>
    </row>
    <row r="73408" spans="3:3" x14ac:dyDescent="0.35">
      <c r="C73408" s="2"/>
    </row>
    <row r="73409" spans="3:3" x14ac:dyDescent="0.35">
      <c r="C73409" s="2"/>
    </row>
    <row r="73410" spans="3:3" x14ac:dyDescent="0.35">
      <c r="C73410" s="2"/>
    </row>
    <row r="73411" spans="3:3" x14ac:dyDescent="0.35">
      <c r="C73411" s="2"/>
    </row>
    <row r="73412" spans="3:3" x14ac:dyDescent="0.35">
      <c r="C73412" s="2"/>
    </row>
    <row r="73413" spans="3:3" x14ac:dyDescent="0.35">
      <c r="C73413" s="2"/>
    </row>
    <row r="73414" spans="3:3" x14ac:dyDescent="0.35">
      <c r="C73414" s="2"/>
    </row>
    <row r="73415" spans="3:3" x14ac:dyDescent="0.35">
      <c r="C73415" s="2"/>
    </row>
    <row r="73416" spans="3:3" x14ac:dyDescent="0.35">
      <c r="C73416" s="2"/>
    </row>
    <row r="73417" spans="3:3" x14ac:dyDescent="0.35">
      <c r="C73417" s="2"/>
    </row>
    <row r="73418" spans="3:3" x14ac:dyDescent="0.35">
      <c r="C73418" s="2"/>
    </row>
    <row r="73419" spans="3:3" x14ac:dyDescent="0.35">
      <c r="C73419" s="2"/>
    </row>
    <row r="73420" spans="3:3" x14ac:dyDescent="0.35">
      <c r="C73420" s="2"/>
    </row>
    <row r="73421" spans="3:3" x14ac:dyDescent="0.35">
      <c r="C73421" s="2"/>
    </row>
    <row r="73422" spans="3:3" x14ac:dyDescent="0.35">
      <c r="C73422" s="2"/>
    </row>
    <row r="73423" spans="3:3" x14ac:dyDescent="0.35">
      <c r="C73423" s="2"/>
    </row>
    <row r="73424" spans="3:3" x14ac:dyDescent="0.35">
      <c r="C73424" s="2"/>
    </row>
    <row r="73425" spans="3:3" x14ac:dyDescent="0.35">
      <c r="C73425" s="2"/>
    </row>
    <row r="73426" spans="3:3" x14ac:dyDescent="0.35">
      <c r="C73426" s="2"/>
    </row>
    <row r="73427" spans="3:3" x14ac:dyDescent="0.35">
      <c r="C73427" s="2"/>
    </row>
    <row r="73428" spans="3:3" x14ac:dyDescent="0.35">
      <c r="C73428" s="2"/>
    </row>
    <row r="73429" spans="3:3" x14ac:dyDescent="0.35">
      <c r="C73429" s="2"/>
    </row>
    <row r="73430" spans="3:3" x14ac:dyDescent="0.35">
      <c r="C73430" s="2"/>
    </row>
    <row r="73431" spans="3:3" x14ac:dyDescent="0.35">
      <c r="C73431" s="2"/>
    </row>
    <row r="73432" spans="3:3" x14ac:dyDescent="0.35">
      <c r="C73432" s="2"/>
    </row>
    <row r="73433" spans="3:3" x14ac:dyDescent="0.35">
      <c r="C73433" s="2"/>
    </row>
    <row r="73434" spans="3:3" x14ac:dyDescent="0.35">
      <c r="C73434" s="2"/>
    </row>
    <row r="73435" spans="3:3" x14ac:dyDescent="0.35">
      <c r="C73435" s="2"/>
    </row>
    <row r="73436" spans="3:3" x14ac:dyDescent="0.35">
      <c r="C73436" s="2"/>
    </row>
    <row r="73437" spans="3:3" x14ac:dyDescent="0.35">
      <c r="C73437" s="2"/>
    </row>
    <row r="73438" spans="3:3" x14ac:dyDescent="0.35">
      <c r="C73438" s="2"/>
    </row>
    <row r="73439" spans="3:3" x14ac:dyDescent="0.35">
      <c r="C73439" s="2"/>
    </row>
    <row r="73440" spans="3:3" x14ac:dyDescent="0.35">
      <c r="C73440" s="2"/>
    </row>
    <row r="73441" spans="3:3" x14ac:dyDescent="0.35">
      <c r="C73441" s="2"/>
    </row>
    <row r="73442" spans="3:3" x14ac:dyDescent="0.35">
      <c r="C73442" s="2"/>
    </row>
    <row r="73443" spans="3:3" x14ac:dyDescent="0.35">
      <c r="C73443" s="2"/>
    </row>
    <row r="73444" spans="3:3" x14ac:dyDescent="0.35">
      <c r="C73444" s="2"/>
    </row>
    <row r="73445" spans="3:3" x14ac:dyDescent="0.35">
      <c r="C73445" s="2"/>
    </row>
    <row r="73446" spans="3:3" x14ac:dyDescent="0.35">
      <c r="C73446" s="2"/>
    </row>
    <row r="73447" spans="3:3" x14ac:dyDescent="0.35">
      <c r="C73447" s="2"/>
    </row>
    <row r="73448" spans="3:3" x14ac:dyDescent="0.35">
      <c r="C73448" s="2"/>
    </row>
    <row r="73449" spans="3:3" x14ac:dyDescent="0.35">
      <c r="C73449" s="2"/>
    </row>
    <row r="73450" spans="3:3" x14ac:dyDescent="0.35">
      <c r="C73450" s="2"/>
    </row>
    <row r="73451" spans="3:3" x14ac:dyDescent="0.35">
      <c r="C73451" s="2"/>
    </row>
    <row r="73452" spans="3:3" x14ac:dyDescent="0.35">
      <c r="C73452" s="2"/>
    </row>
    <row r="73453" spans="3:3" x14ac:dyDescent="0.35">
      <c r="C73453" s="2"/>
    </row>
    <row r="73454" spans="3:3" x14ac:dyDescent="0.35">
      <c r="C73454" s="2"/>
    </row>
    <row r="73455" spans="3:3" x14ac:dyDescent="0.35">
      <c r="C73455" s="2"/>
    </row>
    <row r="73456" spans="3:3" x14ac:dyDescent="0.35">
      <c r="C73456" s="2"/>
    </row>
    <row r="73457" spans="3:3" x14ac:dyDescent="0.35">
      <c r="C73457" s="2"/>
    </row>
    <row r="73458" spans="3:3" x14ac:dyDescent="0.35">
      <c r="C73458" s="2"/>
    </row>
    <row r="73459" spans="3:3" x14ac:dyDescent="0.35">
      <c r="C73459" s="2"/>
    </row>
    <row r="73460" spans="3:3" x14ac:dyDescent="0.35">
      <c r="C73460" s="2"/>
    </row>
    <row r="73461" spans="3:3" x14ac:dyDescent="0.35">
      <c r="C73461" s="2"/>
    </row>
    <row r="73462" spans="3:3" x14ac:dyDescent="0.35">
      <c r="C73462" s="2"/>
    </row>
    <row r="73463" spans="3:3" x14ac:dyDescent="0.35">
      <c r="C73463" s="2"/>
    </row>
    <row r="73464" spans="3:3" x14ac:dyDescent="0.35">
      <c r="C73464" s="2"/>
    </row>
    <row r="73465" spans="3:3" x14ac:dyDescent="0.35">
      <c r="C73465" s="2"/>
    </row>
    <row r="73466" spans="3:3" x14ac:dyDescent="0.35">
      <c r="C73466" s="2"/>
    </row>
    <row r="73467" spans="3:3" x14ac:dyDescent="0.35">
      <c r="C73467" s="2"/>
    </row>
    <row r="73468" spans="3:3" x14ac:dyDescent="0.35">
      <c r="C73468" s="2"/>
    </row>
    <row r="73469" spans="3:3" x14ac:dyDescent="0.35">
      <c r="C73469" s="2"/>
    </row>
    <row r="73470" spans="3:3" x14ac:dyDescent="0.35">
      <c r="C73470" s="2"/>
    </row>
    <row r="73471" spans="3:3" x14ac:dyDescent="0.35">
      <c r="C73471" s="2"/>
    </row>
    <row r="73472" spans="3:3" x14ac:dyDescent="0.35">
      <c r="C73472" s="2"/>
    </row>
    <row r="73473" spans="3:3" x14ac:dyDescent="0.35">
      <c r="C73473" s="2"/>
    </row>
    <row r="73474" spans="3:3" x14ac:dyDescent="0.35">
      <c r="C73474" s="2"/>
    </row>
    <row r="73475" spans="3:3" x14ac:dyDescent="0.35">
      <c r="C73475" s="2"/>
    </row>
    <row r="73476" spans="3:3" x14ac:dyDescent="0.35">
      <c r="C73476" s="2"/>
    </row>
    <row r="73477" spans="3:3" x14ac:dyDescent="0.35">
      <c r="C73477" s="2"/>
    </row>
    <row r="73478" spans="3:3" x14ac:dyDescent="0.35">
      <c r="C73478" s="2"/>
    </row>
    <row r="73479" spans="3:3" x14ac:dyDescent="0.35">
      <c r="C73479" s="2"/>
    </row>
    <row r="73480" spans="3:3" x14ac:dyDescent="0.35">
      <c r="C73480" s="2"/>
    </row>
    <row r="73481" spans="3:3" x14ac:dyDescent="0.35">
      <c r="C73481" s="2"/>
    </row>
    <row r="73482" spans="3:3" x14ac:dyDescent="0.35">
      <c r="C73482" s="2"/>
    </row>
    <row r="73483" spans="3:3" x14ac:dyDescent="0.35">
      <c r="C73483" s="2"/>
    </row>
    <row r="73484" spans="3:3" x14ac:dyDescent="0.35">
      <c r="C73484" s="2"/>
    </row>
    <row r="73485" spans="3:3" x14ac:dyDescent="0.35">
      <c r="C73485" s="2"/>
    </row>
    <row r="73486" spans="3:3" x14ac:dyDescent="0.35">
      <c r="C73486" s="2"/>
    </row>
    <row r="73487" spans="3:3" x14ac:dyDescent="0.35">
      <c r="C73487" s="2"/>
    </row>
    <row r="73488" spans="3:3" x14ac:dyDescent="0.35">
      <c r="C73488" s="2"/>
    </row>
    <row r="73489" spans="3:3" x14ac:dyDescent="0.35">
      <c r="C73489" s="2"/>
    </row>
    <row r="73490" spans="3:3" x14ac:dyDescent="0.35">
      <c r="C73490" s="2"/>
    </row>
    <row r="73491" spans="3:3" x14ac:dyDescent="0.35">
      <c r="C73491" s="2"/>
    </row>
    <row r="73492" spans="3:3" x14ac:dyDescent="0.35">
      <c r="C73492" s="2"/>
    </row>
    <row r="73493" spans="3:3" x14ac:dyDescent="0.35">
      <c r="C73493" s="2"/>
    </row>
    <row r="73494" spans="3:3" x14ac:dyDescent="0.35">
      <c r="C73494" s="2"/>
    </row>
    <row r="73495" spans="3:3" x14ac:dyDescent="0.35">
      <c r="C73495" s="2"/>
    </row>
    <row r="73496" spans="3:3" x14ac:dyDescent="0.35">
      <c r="C73496" s="2"/>
    </row>
    <row r="73497" spans="3:3" x14ac:dyDescent="0.35">
      <c r="C73497" s="2"/>
    </row>
    <row r="73498" spans="3:3" x14ac:dyDescent="0.35">
      <c r="C73498" s="2"/>
    </row>
    <row r="73499" spans="3:3" x14ac:dyDescent="0.35">
      <c r="C73499" s="2"/>
    </row>
    <row r="73500" spans="3:3" x14ac:dyDescent="0.35">
      <c r="C73500" s="2"/>
    </row>
    <row r="73501" spans="3:3" x14ac:dyDescent="0.35">
      <c r="C73501" s="2"/>
    </row>
    <row r="73502" spans="3:3" x14ac:dyDescent="0.35">
      <c r="C73502" s="2"/>
    </row>
    <row r="73503" spans="3:3" x14ac:dyDescent="0.35">
      <c r="C73503" s="2"/>
    </row>
    <row r="73504" spans="3:3" x14ac:dyDescent="0.35">
      <c r="C73504" s="2"/>
    </row>
    <row r="73505" spans="3:3" x14ac:dyDescent="0.35">
      <c r="C73505" s="2"/>
    </row>
    <row r="73506" spans="3:3" x14ac:dyDescent="0.35">
      <c r="C73506" s="2"/>
    </row>
    <row r="73507" spans="3:3" x14ac:dyDescent="0.35">
      <c r="C73507" s="2"/>
    </row>
    <row r="73508" spans="3:3" x14ac:dyDescent="0.35">
      <c r="C73508" s="2"/>
    </row>
    <row r="73509" spans="3:3" x14ac:dyDescent="0.35">
      <c r="C73509" s="2"/>
    </row>
    <row r="73510" spans="3:3" x14ac:dyDescent="0.35">
      <c r="C73510" s="2"/>
    </row>
    <row r="73511" spans="3:3" x14ac:dyDescent="0.35">
      <c r="C73511" s="2"/>
    </row>
    <row r="73512" spans="3:3" x14ac:dyDescent="0.35">
      <c r="C73512" s="2"/>
    </row>
    <row r="73513" spans="3:3" x14ac:dyDescent="0.35">
      <c r="C73513" s="2"/>
    </row>
    <row r="73514" spans="3:3" x14ac:dyDescent="0.35">
      <c r="C73514" s="2"/>
    </row>
    <row r="73515" spans="3:3" x14ac:dyDescent="0.35">
      <c r="C73515" s="2"/>
    </row>
    <row r="73516" spans="3:3" x14ac:dyDescent="0.35">
      <c r="C73516" s="2"/>
    </row>
    <row r="73517" spans="3:3" x14ac:dyDescent="0.35">
      <c r="C73517" s="2"/>
    </row>
    <row r="73518" spans="3:3" x14ac:dyDescent="0.35">
      <c r="C73518" s="2"/>
    </row>
    <row r="73519" spans="3:3" x14ac:dyDescent="0.35">
      <c r="C73519" s="2"/>
    </row>
    <row r="73520" spans="3:3" x14ac:dyDescent="0.35">
      <c r="C73520" s="2"/>
    </row>
    <row r="73521" spans="3:3" x14ac:dyDescent="0.35">
      <c r="C73521" s="2"/>
    </row>
    <row r="73522" spans="3:3" x14ac:dyDescent="0.35">
      <c r="C73522" s="2"/>
    </row>
    <row r="73523" spans="3:3" x14ac:dyDescent="0.35">
      <c r="C73523" s="2"/>
    </row>
    <row r="73524" spans="3:3" x14ac:dyDescent="0.35">
      <c r="C73524" s="2"/>
    </row>
    <row r="73525" spans="3:3" x14ac:dyDescent="0.35">
      <c r="C73525" s="2"/>
    </row>
    <row r="73526" spans="3:3" x14ac:dyDescent="0.35">
      <c r="C73526" s="2"/>
    </row>
    <row r="73527" spans="3:3" x14ac:dyDescent="0.35">
      <c r="C73527" s="2"/>
    </row>
    <row r="73528" spans="3:3" x14ac:dyDescent="0.35">
      <c r="C73528" s="2"/>
    </row>
    <row r="73529" spans="3:3" x14ac:dyDescent="0.35">
      <c r="C73529" s="2"/>
    </row>
    <row r="73530" spans="3:3" x14ac:dyDescent="0.35">
      <c r="C73530" s="2"/>
    </row>
    <row r="73531" spans="3:3" x14ac:dyDescent="0.35">
      <c r="C73531" s="2"/>
    </row>
    <row r="73532" spans="3:3" x14ac:dyDescent="0.35">
      <c r="C73532" s="2"/>
    </row>
    <row r="73533" spans="3:3" x14ac:dyDescent="0.35">
      <c r="C73533" s="2"/>
    </row>
    <row r="73534" spans="3:3" x14ac:dyDescent="0.35">
      <c r="C73534" s="2"/>
    </row>
    <row r="73535" spans="3:3" x14ac:dyDescent="0.35">
      <c r="C73535" s="2"/>
    </row>
    <row r="73536" spans="3:3" x14ac:dyDescent="0.35">
      <c r="C73536" s="2"/>
    </row>
    <row r="73537" spans="3:3" x14ac:dyDescent="0.35">
      <c r="C73537" s="2"/>
    </row>
    <row r="73538" spans="3:3" x14ac:dyDescent="0.35">
      <c r="C73538" s="2"/>
    </row>
    <row r="73539" spans="3:3" x14ac:dyDescent="0.35">
      <c r="C73539" s="2"/>
    </row>
    <row r="73540" spans="3:3" x14ac:dyDescent="0.35">
      <c r="C73540" s="2"/>
    </row>
    <row r="73541" spans="3:3" x14ac:dyDescent="0.35">
      <c r="C73541" s="2"/>
    </row>
    <row r="73542" spans="3:3" x14ac:dyDescent="0.35">
      <c r="C73542" s="2"/>
    </row>
    <row r="73543" spans="3:3" x14ac:dyDescent="0.35">
      <c r="C73543" s="2"/>
    </row>
    <row r="73544" spans="3:3" x14ac:dyDescent="0.35">
      <c r="C73544" s="2"/>
    </row>
    <row r="73545" spans="3:3" x14ac:dyDescent="0.35">
      <c r="C73545" s="2"/>
    </row>
    <row r="73546" spans="3:3" x14ac:dyDescent="0.35">
      <c r="C73546" s="2"/>
    </row>
    <row r="73547" spans="3:3" x14ac:dyDescent="0.35">
      <c r="C73547" s="2"/>
    </row>
    <row r="73548" spans="3:3" x14ac:dyDescent="0.35">
      <c r="C73548" s="2"/>
    </row>
    <row r="73549" spans="3:3" x14ac:dyDescent="0.35">
      <c r="C73549" s="2"/>
    </row>
    <row r="73550" spans="3:3" x14ac:dyDescent="0.35">
      <c r="C73550" s="2"/>
    </row>
    <row r="73551" spans="3:3" x14ac:dyDescent="0.35">
      <c r="C73551" s="2"/>
    </row>
    <row r="73552" spans="3:3" x14ac:dyDescent="0.35">
      <c r="C73552" s="2"/>
    </row>
    <row r="73553" spans="3:3" x14ac:dyDescent="0.35">
      <c r="C73553" s="2"/>
    </row>
    <row r="73554" spans="3:3" x14ac:dyDescent="0.35">
      <c r="C73554" s="2"/>
    </row>
    <row r="73555" spans="3:3" x14ac:dyDescent="0.35">
      <c r="C73555" s="2"/>
    </row>
    <row r="73556" spans="3:3" x14ac:dyDescent="0.35">
      <c r="C73556" s="2"/>
    </row>
    <row r="73557" spans="3:3" x14ac:dyDescent="0.35">
      <c r="C73557" s="2"/>
    </row>
    <row r="73558" spans="3:3" x14ac:dyDescent="0.35">
      <c r="C73558" s="2"/>
    </row>
    <row r="73559" spans="3:3" x14ac:dyDescent="0.35">
      <c r="C73559" s="2"/>
    </row>
    <row r="73560" spans="3:3" x14ac:dyDescent="0.35">
      <c r="C73560" s="2"/>
    </row>
    <row r="73561" spans="3:3" x14ac:dyDescent="0.35">
      <c r="C73561" s="2"/>
    </row>
    <row r="73562" spans="3:3" x14ac:dyDescent="0.35">
      <c r="C73562" s="2"/>
    </row>
    <row r="73563" spans="3:3" x14ac:dyDescent="0.35">
      <c r="C73563" s="2"/>
    </row>
    <row r="73564" spans="3:3" x14ac:dyDescent="0.35">
      <c r="C73564" s="2"/>
    </row>
    <row r="73565" spans="3:3" x14ac:dyDescent="0.35">
      <c r="C73565" s="2"/>
    </row>
    <row r="73566" spans="3:3" x14ac:dyDescent="0.35">
      <c r="C73566" s="2"/>
    </row>
    <row r="73567" spans="3:3" x14ac:dyDescent="0.35">
      <c r="C73567" s="2"/>
    </row>
    <row r="73568" spans="3:3" x14ac:dyDescent="0.35">
      <c r="C73568" s="2"/>
    </row>
    <row r="73569" spans="3:3" x14ac:dyDescent="0.35">
      <c r="C73569" s="2"/>
    </row>
    <row r="73570" spans="3:3" x14ac:dyDescent="0.35">
      <c r="C73570" s="2"/>
    </row>
    <row r="73571" spans="3:3" x14ac:dyDescent="0.35">
      <c r="C73571" s="2"/>
    </row>
    <row r="73572" spans="3:3" x14ac:dyDescent="0.35">
      <c r="C73572" s="2"/>
    </row>
    <row r="73573" spans="3:3" x14ac:dyDescent="0.35">
      <c r="C73573" s="2"/>
    </row>
    <row r="73574" spans="3:3" x14ac:dyDescent="0.35">
      <c r="C73574" s="2"/>
    </row>
    <row r="73575" spans="3:3" x14ac:dyDescent="0.35">
      <c r="C73575" s="2"/>
    </row>
    <row r="73576" spans="3:3" x14ac:dyDescent="0.35">
      <c r="C73576" s="2"/>
    </row>
    <row r="73577" spans="3:3" x14ac:dyDescent="0.35">
      <c r="C73577" s="2"/>
    </row>
    <row r="73578" spans="3:3" x14ac:dyDescent="0.35">
      <c r="C73578" s="2"/>
    </row>
    <row r="73579" spans="3:3" x14ac:dyDescent="0.35">
      <c r="C73579" s="2"/>
    </row>
    <row r="73580" spans="3:3" x14ac:dyDescent="0.35">
      <c r="C73580" s="2"/>
    </row>
    <row r="73581" spans="3:3" x14ac:dyDescent="0.35">
      <c r="C73581" s="2"/>
    </row>
    <row r="73582" spans="3:3" x14ac:dyDescent="0.35">
      <c r="C73582" s="2"/>
    </row>
    <row r="73583" spans="3:3" x14ac:dyDescent="0.35">
      <c r="C73583" s="2"/>
    </row>
    <row r="73584" spans="3:3" x14ac:dyDescent="0.35">
      <c r="C73584" s="2"/>
    </row>
    <row r="73585" spans="3:3" x14ac:dyDescent="0.35">
      <c r="C73585" s="2"/>
    </row>
    <row r="73586" spans="3:3" x14ac:dyDescent="0.35">
      <c r="C73586" s="2"/>
    </row>
    <row r="73587" spans="3:3" x14ac:dyDescent="0.35">
      <c r="C73587" s="2"/>
    </row>
    <row r="73588" spans="3:3" x14ac:dyDescent="0.35">
      <c r="C73588" s="2"/>
    </row>
    <row r="73589" spans="3:3" x14ac:dyDescent="0.35">
      <c r="C73589" s="2"/>
    </row>
    <row r="73590" spans="3:3" x14ac:dyDescent="0.35">
      <c r="C73590" s="2"/>
    </row>
    <row r="73591" spans="3:3" x14ac:dyDescent="0.35">
      <c r="C73591" s="2"/>
    </row>
    <row r="73592" spans="3:3" x14ac:dyDescent="0.35">
      <c r="C73592" s="2"/>
    </row>
    <row r="73593" spans="3:3" x14ac:dyDescent="0.35">
      <c r="C73593" s="2"/>
    </row>
    <row r="73594" spans="3:3" x14ac:dyDescent="0.35">
      <c r="C73594" s="2"/>
    </row>
    <row r="73595" spans="3:3" x14ac:dyDescent="0.35">
      <c r="C73595" s="2"/>
    </row>
    <row r="73596" spans="3:3" x14ac:dyDescent="0.35">
      <c r="C73596" s="2"/>
    </row>
    <row r="73597" spans="3:3" x14ac:dyDescent="0.35">
      <c r="C73597" s="2"/>
    </row>
    <row r="73598" spans="3:3" x14ac:dyDescent="0.35">
      <c r="C73598" s="2"/>
    </row>
    <row r="73599" spans="3:3" x14ac:dyDescent="0.35">
      <c r="C73599" s="2"/>
    </row>
    <row r="73600" spans="3:3" x14ac:dyDescent="0.35">
      <c r="C73600" s="2"/>
    </row>
    <row r="73601" spans="3:3" x14ac:dyDescent="0.35">
      <c r="C73601" s="2"/>
    </row>
    <row r="73602" spans="3:3" x14ac:dyDescent="0.35">
      <c r="C73602" s="2"/>
    </row>
    <row r="73603" spans="3:3" x14ac:dyDescent="0.35">
      <c r="C73603" s="2"/>
    </row>
    <row r="73604" spans="3:3" x14ac:dyDescent="0.35">
      <c r="C73604" s="2"/>
    </row>
    <row r="73605" spans="3:3" x14ac:dyDescent="0.35">
      <c r="C73605" s="2"/>
    </row>
    <row r="73606" spans="3:3" x14ac:dyDescent="0.35">
      <c r="C73606" s="2"/>
    </row>
    <row r="73607" spans="3:3" x14ac:dyDescent="0.35">
      <c r="C73607" s="2"/>
    </row>
    <row r="73608" spans="3:3" x14ac:dyDescent="0.35">
      <c r="C73608" s="2"/>
    </row>
    <row r="73609" spans="3:3" x14ac:dyDescent="0.35">
      <c r="C73609" s="2"/>
    </row>
    <row r="73610" spans="3:3" x14ac:dyDescent="0.35">
      <c r="C73610" s="2"/>
    </row>
    <row r="73611" spans="3:3" x14ac:dyDescent="0.35">
      <c r="C73611" s="2"/>
    </row>
    <row r="73612" spans="3:3" x14ac:dyDescent="0.35">
      <c r="C73612" s="2"/>
    </row>
    <row r="73613" spans="3:3" x14ac:dyDescent="0.35">
      <c r="C73613" s="2"/>
    </row>
    <row r="73614" spans="3:3" x14ac:dyDescent="0.35">
      <c r="C73614" s="2"/>
    </row>
    <row r="73615" spans="3:3" x14ac:dyDescent="0.35">
      <c r="C73615" s="2"/>
    </row>
    <row r="73616" spans="3:3" x14ac:dyDescent="0.35">
      <c r="C73616" s="2"/>
    </row>
    <row r="73617" spans="3:3" x14ac:dyDescent="0.35">
      <c r="C73617" s="2"/>
    </row>
    <row r="73618" spans="3:3" x14ac:dyDescent="0.35">
      <c r="C73618" s="2"/>
    </row>
    <row r="73619" spans="3:3" x14ac:dyDescent="0.35">
      <c r="C73619" s="2"/>
    </row>
    <row r="73620" spans="3:3" x14ac:dyDescent="0.35">
      <c r="C73620" s="2"/>
    </row>
    <row r="73621" spans="3:3" x14ac:dyDescent="0.35">
      <c r="C73621" s="2"/>
    </row>
    <row r="73622" spans="3:3" x14ac:dyDescent="0.35">
      <c r="C73622" s="2"/>
    </row>
    <row r="73623" spans="3:3" x14ac:dyDescent="0.35">
      <c r="C73623" s="2"/>
    </row>
    <row r="73624" spans="3:3" x14ac:dyDescent="0.35">
      <c r="C73624" s="2"/>
    </row>
    <row r="73625" spans="3:3" x14ac:dyDescent="0.35">
      <c r="C73625" s="2"/>
    </row>
    <row r="73626" spans="3:3" x14ac:dyDescent="0.35">
      <c r="C73626" s="2"/>
    </row>
    <row r="73627" spans="3:3" x14ac:dyDescent="0.35">
      <c r="C73627" s="2"/>
    </row>
    <row r="73628" spans="3:3" x14ac:dyDescent="0.35">
      <c r="C73628" s="2"/>
    </row>
    <row r="73629" spans="3:3" x14ac:dyDescent="0.35">
      <c r="C73629" s="2"/>
    </row>
    <row r="73630" spans="3:3" x14ac:dyDescent="0.35">
      <c r="C73630" s="2"/>
    </row>
    <row r="73631" spans="3:3" x14ac:dyDescent="0.35">
      <c r="C73631" s="2"/>
    </row>
    <row r="73632" spans="3:3" x14ac:dyDescent="0.35">
      <c r="C73632" s="2"/>
    </row>
    <row r="73633" spans="3:3" x14ac:dyDescent="0.35">
      <c r="C73633" s="2"/>
    </row>
    <row r="73634" spans="3:3" x14ac:dyDescent="0.35">
      <c r="C73634" s="2"/>
    </row>
    <row r="73635" spans="3:3" x14ac:dyDescent="0.35">
      <c r="C73635" s="2"/>
    </row>
    <row r="73636" spans="3:3" x14ac:dyDescent="0.35">
      <c r="C73636" s="2"/>
    </row>
    <row r="73637" spans="3:3" x14ac:dyDescent="0.35">
      <c r="C73637" s="2"/>
    </row>
    <row r="73638" spans="3:3" x14ac:dyDescent="0.35">
      <c r="C73638" s="2"/>
    </row>
    <row r="73639" spans="3:3" x14ac:dyDescent="0.35">
      <c r="C73639" s="2"/>
    </row>
    <row r="73640" spans="3:3" x14ac:dyDescent="0.35">
      <c r="C73640" s="2"/>
    </row>
    <row r="73641" spans="3:3" x14ac:dyDescent="0.35">
      <c r="C73641" s="2"/>
    </row>
    <row r="73642" spans="3:3" x14ac:dyDescent="0.35">
      <c r="C73642" s="2"/>
    </row>
    <row r="73643" spans="3:3" x14ac:dyDescent="0.35">
      <c r="C73643" s="2"/>
    </row>
    <row r="73644" spans="3:3" x14ac:dyDescent="0.35">
      <c r="C73644" s="2"/>
    </row>
    <row r="73645" spans="3:3" x14ac:dyDescent="0.35">
      <c r="C73645" s="2"/>
    </row>
    <row r="73646" spans="3:3" x14ac:dyDescent="0.35">
      <c r="C73646" s="2"/>
    </row>
    <row r="73647" spans="3:3" x14ac:dyDescent="0.35">
      <c r="C73647" s="2"/>
    </row>
    <row r="73648" spans="3:3" x14ac:dyDescent="0.35">
      <c r="C73648" s="2"/>
    </row>
    <row r="73649" spans="3:3" x14ac:dyDescent="0.35">
      <c r="C73649" s="2"/>
    </row>
    <row r="73650" spans="3:3" x14ac:dyDescent="0.35">
      <c r="C73650" s="2"/>
    </row>
    <row r="73651" spans="3:3" x14ac:dyDescent="0.35">
      <c r="C73651" s="2"/>
    </row>
    <row r="73652" spans="3:3" x14ac:dyDescent="0.35">
      <c r="C73652" s="2"/>
    </row>
    <row r="73653" spans="3:3" x14ac:dyDescent="0.35">
      <c r="C73653" s="2"/>
    </row>
    <row r="73654" spans="3:3" x14ac:dyDescent="0.35">
      <c r="C73654" s="2"/>
    </row>
    <row r="73655" spans="3:3" x14ac:dyDescent="0.35">
      <c r="C73655" s="2"/>
    </row>
    <row r="73656" spans="3:3" x14ac:dyDescent="0.35">
      <c r="C73656" s="2"/>
    </row>
    <row r="73657" spans="3:3" x14ac:dyDescent="0.35">
      <c r="C73657" s="2"/>
    </row>
    <row r="73658" spans="3:3" x14ac:dyDescent="0.35">
      <c r="C73658" s="2"/>
    </row>
    <row r="73659" spans="3:3" x14ac:dyDescent="0.35">
      <c r="C73659" s="2"/>
    </row>
    <row r="73660" spans="3:3" x14ac:dyDescent="0.35">
      <c r="C73660" s="2"/>
    </row>
    <row r="73661" spans="3:3" x14ac:dyDescent="0.35">
      <c r="C73661" s="2"/>
    </row>
    <row r="73662" spans="3:3" x14ac:dyDescent="0.35">
      <c r="C73662" s="2"/>
    </row>
    <row r="73663" spans="3:3" x14ac:dyDescent="0.35">
      <c r="C73663" s="2"/>
    </row>
    <row r="73664" spans="3:3" x14ac:dyDescent="0.35">
      <c r="C73664" s="2"/>
    </row>
    <row r="73665" spans="3:3" x14ac:dyDescent="0.35">
      <c r="C73665" s="2"/>
    </row>
    <row r="73666" spans="3:3" x14ac:dyDescent="0.35">
      <c r="C73666" s="2"/>
    </row>
    <row r="73667" spans="3:3" x14ac:dyDescent="0.35">
      <c r="C73667" s="2"/>
    </row>
    <row r="73668" spans="3:3" x14ac:dyDescent="0.35">
      <c r="C73668" s="2"/>
    </row>
    <row r="73669" spans="3:3" x14ac:dyDescent="0.35">
      <c r="C73669" s="2"/>
    </row>
    <row r="73670" spans="3:3" x14ac:dyDescent="0.35">
      <c r="C73670" s="2"/>
    </row>
    <row r="73671" spans="3:3" x14ac:dyDescent="0.35">
      <c r="C73671" s="2"/>
    </row>
    <row r="73672" spans="3:3" x14ac:dyDescent="0.35">
      <c r="C73672" s="2"/>
    </row>
    <row r="73673" spans="3:3" x14ac:dyDescent="0.35">
      <c r="C73673" s="2"/>
    </row>
    <row r="73674" spans="3:3" x14ac:dyDescent="0.35">
      <c r="C73674" s="2"/>
    </row>
    <row r="73675" spans="3:3" x14ac:dyDescent="0.35">
      <c r="C73675" s="2"/>
    </row>
    <row r="73676" spans="3:3" x14ac:dyDescent="0.35">
      <c r="C73676" s="2"/>
    </row>
    <row r="73677" spans="3:3" x14ac:dyDescent="0.35">
      <c r="C73677" s="2"/>
    </row>
    <row r="73678" spans="3:3" x14ac:dyDescent="0.35">
      <c r="C73678" s="2"/>
    </row>
    <row r="73679" spans="3:3" x14ac:dyDescent="0.35">
      <c r="C73679" s="2"/>
    </row>
    <row r="73680" spans="3:3" x14ac:dyDescent="0.35">
      <c r="C73680" s="2"/>
    </row>
    <row r="73681" spans="3:3" x14ac:dyDescent="0.35">
      <c r="C73681" s="2"/>
    </row>
    <row r="73682" spans="3:3" x14ac:dyDescent="0.35">
      <c r="C73682" s="2"/>
    </row>
    <row r="73683" spans="3:3" x14ac:dyDescent="0.35">
      <c r="C73683" s="2"/>
    </row>
    <row r="73684" spans="3:3" x14ac:dyDescent="0.35">
      <c r="C73684" s="2"/>
    </row>
    <row r="73685" spans="3:3" x14ac:dyDescent="0.35">
      <c r="C73685" s="2"/>
    </row>
    <row r="73686" spans="3:3" x14ac:dyDescent="0.35">
      <c r="C73686" s="2"/>
    </row>
    <row r="73687" spans="3:3" x14ac:dyDescent="0.35">
      <c r="C73687" s="2"/>
    </row>
    <row r="73688" spans="3:3" x14ac:dyDescent="0.35">
      <c r="C73688" s="2"/>
    </row>
    <row r="73689" spans="3:3" x14ac:dyDescent="0.35">
      <c r="C73689" s="2"/>
    </row>
    <row r="73690" spans="3:3" x14ac:dyDescent="0.35">
      <c r="C73690" s="2"/>
    </row>
    <row r="73691" spans="3:3" x14ac:dyDescent="0.35">
      <c r="C73691" s="2"/>
    </row>
    <row r="73692" spans="3:3" x14ac:dyDescent="0.35">
      <c r="C73692" s="2"/>
    </row>
    <row r="73693" spans="3:3" x14ac:dyDescent="0.35">
      <c r="C73693" s="2"/>
    </row>
    <row r="73694" spans="3:3" x14ac:dyDescent="0.35">
      <c r="C73694" s="2"/>
    </row>
    <row r="73695" spans="3:3" x14ac:dyDescent="0.35">
      <c r="C73695" s="2"/>
    </row>
    <row r="73696" spans="3:3" x14ac:dyDescent="0.35">
      <c r="C73696" s="2"/>
    </row>
    <row r="73697" spans="3:3" x14ac:dyDescent="0.35">
      <c r="C73697" s="2"/>
    </row>
    <row r="73698" spans="3:3" x14ac:dyDescent="0.35">
      <c r="C73698" s="2"/>
    </row>
    <row r="73699" spans="3:3" x14ac:dyDescent="0.35">
      <c r="C73699" s="2"/>
    </row>
    <row r="73700" spans="3:3" x14ac:dyDescent="0.35">
      <c r="C73700" s="2"/>
    </row>
    <row r="73701" spans="3:3" x14ac:dyDescent="0.35">
      <c r="C73701" s="2"/>
    </row>
    <row r="73702" spans="3:3" x14ac:dyDescent="0.35">
      <c r="C73702" s="2"/>
    </row>
    <row r="73703" spans="3:3" x14ac:dyDescent="0.35">
      <c r="C73703" s="2"/>
    </row>
    <row r="73704" spans="3:3" x14ac:dyDescent="0.35">
      <c r="C73704" s="2"/>
    </row>
    <row r="73705" spans="3:3" x14ac:dyDescent="0.35">
      <c r="C73705" s="2"/>
    </row>
    <row r="73706" spans="3:3" x14ac:dyDescent="0.35">
      <c r="C73706" s="2"/>
    </row>
    <row r="73707" spans="3:3" x14ac:dyDescent="0.35">
      <c r="C73707" s="2"/>
    </row>
    <row r="73708" spans="3:3" x14ac:dyDescent="0.35">
      <c r="C73708" s="2"/>
    </row>
    <row r="73709" spans="3:3" x14ac:dyDescent="0.35">
      <c r="C73709" s="2"/>
    </row>
    <row r="73710" spans="3:3" x14ac:dyDescent="0.35">
      <c r="C73710" s="2"/>
    </row>
    <row r="73711" spans="3:3" x14ac:dyDescent="0.35">
      <c r="C73711" s="2"/>
    </row>
    <row r="73712" spans="3:3" x14ac:dyDescent="0.35">
      <c r="C73712" s="2"/>
    </row>
    <row r="73713" spans="3:3" x14ac:dyDescent="0.35">
      <c r="C73713" s="2"/>
    </row>
    <row r="73714" spans="3:3" x14ac:dyDescent="0.35">
      <c r="C73714" s="2"/>
    </row>
    <row r="73715" spans="3:3" x14ac:dyDescent="0.35">
      <c r="C73715" s="2"/>
    </row>
    <row r="73716" spans="3:3" x14ac:dyDescent="0.35">
      <c r="C73716" s="2"/>
    </row>
    <row r="73717" spans="3:3" x14ac:dyDescent="0.35">
      <c r="C73717" s="2"/>
    </row>
    <row r="73718" spans="3:3" x14ac:dyDescent="0.35">
      <c r="C73718" s="2"/>
    </row>
    <row r="73719" spans="3:3" x14ac:dyDescent="0.35">
      <c r="C73719" s="2"/>
    </row>
    <row r="73720" spans="3:3" x14ac:dyDescent="0.35">
      <c r="C73720" s="2"/>
    </row>
    <row r="73721" spans="3:3" x14ac:dyDescent="0.35">
      <c r="C73721" s="2"/>
    </row>
    <row r="73722" spans="3:3" x14ac:dyDescent="0.35">
      <c r="C73722" s="2"/>
    </row>
    <row r="73723" spans="3:3" x14ac:dyDescent="0.35">
      <c r="C73723" s="2"/>
    </row>
    <row r="73724" spans="3:3" x14ac:dyDescent="0.35">
      <c r="C73724" s="2"/>
    </row>
    <row r="73725" spans="3:3" x14ac:dyDescent="0.35">
      <c r="C73725" s="2"/>
    </row>
    <row r="73726" spans="3:3" x14ac:dyDescent="0.35">
      <c r="C73726" s="2"/>
    </row>
    <row r="73727" spans="3:3" x14ac:dyDescent="0.35">
      <c r="C73727" s="2"/>
    </row>
    <row r="73728" spans="3:3" x14ac:dyDescent="0.35">
      <c r="C73728" s="2"/>
    </row>
    <row r="73729" spans="3:3" x14ac:dyDescent="0.35">
      <c r="C73729" s="2"/>
    </row>
    <row r="73730" spans="3:3" x14ac:dyDescent="0.35">
      <c r="C73730" s="2"/>
    </row>
    <row r="73731" spans="3:3" x14ac:dyDescent="0.35">
      <c r="C73731" s="2"/>
    </row>
    <row r="73732" spans="3:3" x14ac:dyDescent="0.35">
      <c r="C73732" s="2"/>
    </row>
    <row r="73733" spans="3:3" x14ac:dyDescent="0.35">
      <c r="C73733" s="2"/>
    </row>
    <row r="73734" spans="3:3" x14ac:dyDescent="0.35">
      <c r="C73734" s="2"/>
    </row>
    <row r="73735" spans="3:3" x14ac:dyDescent="0.35">
      <c r="C73735" s="2"/>
    </row>
    <row r="73736" spans="3:3" x14ac:dyDescent="0.35">
      <c r="C73736" s="2"/>
    </row>
    <row r="73737" spans="3:3" x14ac:dyDescent="0.35">
      <c r="C73737" s="2"/>
    </row>
    <row r="73738" spans="3:3" x14ac:dyDescent="0.35">
      <c r="C73738" s="2"/>
    </row>
    <row r="73739" spans="3:3" x14ac:dyDescent="0.35">
      <c r="C73739" s="2"/>
    </row>
    <row r="73740" spans="3:3" x14ac:dyDescent="0.35">
      <c r="C73740" s="2"/>
    </row>
    <row r="73741" spans="3:3" x14ac:dyDescent="0.35">
      <c r="C73741" s="2"/>
    </row>
    <row r="73742" spans="3:3" x14ac:dyDescent="0.35">
      <c r="C73742" s="2"/>
    </row>
    <row r="73743" spans="3:3" x14ac:dyDescent="0.35">
      <c r="C73743" s="2"/>
    </row>
    <row r="73744" spans="3:3" x14ac:dyDescent="0.35">
      <c r="C73744" s="2"/>
    </row>
    <row r="73745" spans="3:3" x14ac:dyDescent="0.35">
      <c r="C73745" s="2"/>
    </row>
    <row r="73746" spans="3:3" x14ac:dyDescent="0.35">
      <c r="C73746" s="2"/>
    </row>
    <row r="73747" spans="3:3" x14ac:dyDescent="0.35">
      <c r="C73747" s="2"/>
    </row>
    <row r="73748" spans="3:3" x14ac:dyDescent="0.35">
      <c r="C73748" s="2"/>
    </row>
    <row r="73749" spans="3:3" x14ac:dyDescent="0.35">
      <c r="C73749" s="2"/>
    </row>
    <row r="73750" spans="3:3" x14ac:dyDescent="0.35">
      <c r="C73750" s="2"/>
    </row>
    <row r="73751" spans="3:3" x14ac:dyDescent="0.35">
      <c r="C73751" s="2"/>
    </row>
    <row r="73752" spans="3:3" x14ac:dyDescent="0.35">
      <c r="C73752" s="2"/>
    </row>
    <row r="73753" spans="3:3" x14ac:dyDescent="0.35">
      <c r="C73753" s="2"/>
    </row>
    <row r="73754" spans="3:3" x14ac:dyDescent="0.35">
      <c r="C73754" s="2"/>
    </row>
    <row r="73755" spans="3:3" x14ac:dyDescent="0.35">
      <c r="C73755" s="2"/>
    </row>
    <row r="73756" spans="3:3" x14ac:dyDescent="0.35">
      <c r="C73756" s="2"/>
    </row>
    <row r="73757" spans="3:3" x14ac:dyDescent="0.35">
      <c r="C73757" s="2"/>
    </row>
    <row r="73758" spans="3:3" x14ac:dyDescent="0.35">
      <c r="C73758" s="2"/>
    </row>
    <row r="73759" spans="3:3" x14ac:dyDescent="0.35">
      <c r="C73759" s="2"/>
    </row>
    <row r="73760" spans="3:3" x14ac:dyDescent="0.35">
      <c r="C73760" s="2"/>
    </row>
    <row r="73761" spans="3:3" x14ac:dyDescent="0.35">
      <c r="C73761" s="2"/>
    </row>
    <row r="73762" spans="3:3" x14ac:dyDescent="0.35">
      <c r="C73762" s="2"/>
    </row>
    <row r="73763" spans="3:3" x14ac:dyDescent="0.35">
      <c r="C73763" s="2"/>
    </row>
    <row r="73764" spans="3:3" x14ac:dyDescent="0.35">
      <c r="C73764" s="2"/>
    </row>
    <row r="73765" spans="3:3" x14ac:dyDescent="0.35">
      <c r="C73765" s="2"/>
    </row>
    <row r="73766" spans="3:3" x14ac:dyDescent="0.35">
      <c r="C73766" s="2"/>
    </row>
    <row r="73767" spans="3:3" x14ac:dyDescent="0.35">
      <c r="C73767" s="2"/>
    </row>
    <row r="73768" spans="3:3" x14ac:dyDescent="0.35">
      <c r="C73768" s="2"/>
    </row>
    <row r="73769" spans="3:3" x14ac:dyDescent="0.35">
      <c r="C73769" s="2"/>
    </row>
    <row r="73770" spans="3:3" x14ac:dyDescent="0.35">
      <c r="C73770" s="2"/>
    </row>
    <row r="73771" spans="3:3" x14ac:dyDescent="0.35">
      <c r="C73771" s="2"/>
    </row>
    <row r="73772" spans="3:3" x14ac:dyDescent="0.35">
      <c r="C73772" s="2"/>
    </row>
    <row r="73773" spans="3:3" x14ac:dyDescent="0.35">
      <c r="C73773" s="2"/>
    </row>
    <row r="73774" spans="3:3" x14ac:dyDescent="0.35">
      <c r="C73774" s="2"/>
    </row>
    <row r="73775" spans="3:3" x14ac:dyDescent="0.35">
      <c r="C73775" s="2"/>
    </row>
    <row r="73776" spans="3:3" x14ac:dyDescent="0.35">
      <c r="C73776" s="2"/>
    </row>
    <row r="73777" spans="3:3" x14ac:dyDescent="0.35">
      <c r="C73777" s="2"/>
    </row>
    <row r="73778" spans="3:3" x14ac:dyDescent="0.35">
      <c r="C73778" s="2"/>
    </row>
    <row r="73779" spans="3:3" x14ac:dyDescent="0.35">
      <c r="C73779" s="2"/>
    </row>
    <row r="73780" spans="3:3" x14ac:dyDescent="0.35">
      <c r="C73780" s="2"/>
    </row>
    <row r="73781" spans="3:3" x14ac:dyDescent="0.35">
      <c r="C73781" s="2"/>
    </row>
    <row r="73782" spans="3:3" x14ac:dyDescent="0.35">
      <c r="C73782" s="2"/>
    </row>
    <row r="73783" spans="3:3" x14ac:dyDescent="0.35">
      <c r="C73783" s="2"/>
    </row>
    <row r="73784" spans="3:3" x14ac:dyDescent="0.35">
      <c r="C73784" s="2"/>
    </row>
    <row r="73785" spans="3:3" x14ac:dyDescent="0.35">
      <c r="C73785" s="2"/>
    </row>
    <row r="73786" spans="3:3" x14ac:dyDescent="0.35">
      <c r="C73786" s="2"/>
    </row>
    <row r="73787" spans="3:3" x14ac:dyDescent="0.35">
      <c r="C73787" s="2"/>
    </row>
    <row r="73788" spans="3:3" x14ac:dyDescent="0.35">
      <c r="C73788" s="2"/>
    </row>
    <row r="73789" spans="3:3" x14ac:dyDescent="0.35">
      <c r="C73789" s="2"/>
    </row>
    <row r="73790" spans="3:3" x14ac:dyDescent="0.35">
      <c r="C73790" s="2"/>
    </row>
    <row r="73791" spans="3:3" x14ac:dyDescent="0.35">
      <c r="C73791" s="2"/>
    </row>
    <row r="73792" spans="3:3" x14ac:dyDescent="0.35">
      <c r="C73792" s="2"/>
    </row>
    <row r="73793" spans="3:3" x14ac:dyDescent="0.35">
      <c r="C73793" s="2"/>
    </row>
    <row r="73794" spans="3:3" x14ac:dyDescent="0.35">
      <c r="C73794" s="2"/>
    </row>
    <row r="73795" spans="3:3" x14ac:dyDescent="0.35">
      <c r="C73795" s="2"/>
    </row>
    <row r="73796" spans="3:3" x14ac:dyDescent="0.35">
      <c r="C73796" s="2"/>
    </row>
    <row r="73797" spans="3:3" x14ac:dyDescent="0.35">
      <c r="C73797" s="2"/>
    </row>
    <row r="73798" spans="3:3" x14ac:dyDescent="0.35">
      <c r="C73798" s="2"/>
    </row>
    <row r="73799" spans="3:3" x14ac:dyDescent="0.35">
      <c r="C73799" s="2"/>
    </row>
    <row r="73800" spans="3:3" x14ac:dyDescent="0.35">
      <c r="C73800" s="2"/>
    </row>
    <row r="73801" spans="3:3" x14ac:dyDescent="0.35">
      <c r="C73801" s="2"/>
    </row>
    <row r="73802" spans="3:3" x14ac:dyDescent="0.35">
      <c r="C73802" s="2"/>
    </row>
    <row r="73803" spans="3:3" x14ac:dyDescent="0.35">
      <c r="C73803" s="2"/>
    </row>
    <row r="73804" spans="3:3" x14ac:dyDescent="0.35">
      <c r="C73804" s="2"/>
    </row>
    <row r="73805" spans="3:3" x14ac:dyDescent="0.35">
      <c r="C73805" s="2"/>
    </row>
    <row r="73806" spans="3:3" x14ac:dyDescent="0.35">
      <c r="C73806" s="2"/>
    </row>
    <row r="73807" spans="3:3" x14ac:dyDescent="0.35">
      <c r="C73807" s="2"/>
    </row>
    <row r="73808" spans="3:3" x14ac:dyDescent="0.35">
      <c r="C73808" s="2"/>
    </row>
    <row r="73809" spans="3:3" x14ac:dyDescent="0.35">
      <c r="C73809" s="2"/>
    </row>
    <row r="73810" spans="3:3" x14ac:dyDescent="0.35">
      <c r="C73810" s="2"/>
    </row>
    <row r="73811" spans="3:3" x14ac:dyDescent="0.35">
      <c r="C73811" s="2"/>
    </row>
    <row r="73812" spans="3:3" x14ac:dyDescent="0.35">
      <c r="C73812" s="2"/>
    </row>
    <row r="73813" spans="3:3" x14ac:dyDescent="0.35">
      <c r="C73813" s="2"/>
    </row>
    <row r="73814" spans="3:3" x14ac:dyDescent="0.35">
      <c r="C73814" s="2"/>
    </row>
    <row r="73815" spans="3:3" x14ac:dyDescent="0.35">
      <c r="C73815" s="2"/>
    </row>
    <row r="73816" spans="3:3" x14ac:dyDescent="0.35">
      <c r="C73816" s="2"/>
    </row>
    <row r="73817" spans="3:3" x14ac:dyDescent="0.35">
      <c r="C73817" s="2"/>
    </row>
    <row r="73818" spans="3:3" x14ac:dyDescent="0.35">
      <c r="C73818" s="2"/>
    </row>
    <row r="73819" spans="3:3" x14ac:dyDescent="0.35">
      <c r="C73819" s="2"/>
    </row>
    <row r="73820" spans="3:3" x14ac:dyDescent="0.35">
      <c r="C73820" s="2"/>
    </row>
    <row r="73821" spans="3:3" x14ac:dyDescent="0.35">
      <c r="C73821" s="2"/>
    </row>
    <row r="73822" spans="3:3" x14ac:dyDescent="0.35">
      <c r="C73822" s="2"/>
    </row>
    <row r="73823" spans="3:3" x14ac:dyDescent="0.35">
      <c r="C73823" s="2"/>
    </row>
    <row r="73824" spans="3:3" x14ac:dyDescent="0.35">
      <c r="C73824" s="2"/>
    </row>
    <row r="73825" spans="3:3" x14ac:dyDescent="0.35">
      <c r="C73825" s="2"/>
    </row>
    <row r="73826" spans="3:3" x14ac:dyDescent="0.35">
      <c r="C73826" s="2"/>
    </row>
    <row r="73827" spans="3:3" x14ac:dyDescent="0.35">
      <c r="C73827" s="2"/>
    </row>
    <row r="73828" spans="3:3" x14ac:dyDescent="0.35">
      <c r="C73828" s="2"/>
    </row>
    <row r="73829" spans="3:3" x14ac:dyDescent="0.35">
      <c r="C73829" s="2"/>
    </row>
    <row r="73830" spans="3:3" x14ac:dyDescent="0.35">
      <c r="C73830" s="2"/>
    </row>
    <row r="73831" spans="3:3" x14ac:dyDescent="0.35">
      <c r="C73831" s="2"/>
    </row>
    <row r="73832" spans="3:3" x14ac:dyDescent="0.35">
      <c r="C73832" s="2"/>
    </row>
    <row r="73833" spans="3:3" x14ac:dyDescent="0.35">
      <c r="C73833" s="2"/>
    </row>
    <row r="73834" spans="3:3" x14ac:dyDescent="0.35">
      <c r="C73834" s="2"/>
    </row>
    <row r="73835" spans="3:3" x14ac:dyDescent="0.35">
      <c r="C73835" s="2"/>
    </row>
    <row r="73836" spans="3:3" x14ac:dyDescent="0.35">
      <c r="C73836" s="2"/>
    </row>
    <row r="73837" spans="3:3" x14ac:dyDescent="0.35">
      <c r="C73837" s="2"/>
    </row>
    <row r="73838" spans="3:3" x14ac:dyDescent="0.35">
      <c r="C73838" s="2"/>
    </row>
    <row r="73839" spans="3:3" x14ac:dyDescent="0.35">
      <c r="C73839" s="2"/>
    </row>
    <row r="73840" spans="3:3" x14ac:dyDescent="0.35">
      <c r="C73840" s="2"/>
    </row>
    <row r="73841" spans="3:3" x14ac:dyDescent="0.35">
      <c r="C73841" s="2"/>
    </row>
    <row r="73842" spans="3:3" x14ac:dyDescent="0.35">
      <c r="C73842" s="2"/>
    </row>
    <row r="73843" spans="3:3" x14ac:dyDescent="0.35">
      <c r="C73843" s="2"/>
    </row>
    <row r="73844" spans="3:3" x14ac:dyDescent="0.35">
      <c r="C73844" s="2"/>
    </row>
    <row r="73845" spans="3:3" x14ac:dyDescent="0.35">
      <c r="C73845" s="2"/>
    </row>
    <row r="73846" spans="3:3" x14ac:dyDescent="0.35">
      <c r="C73846" s="2"/>
    </row>
    <row r="73847" spans="3:3" x14ac:dyDescent="0.35">
      <c r="C73847" s="2"/>
    </row>
    <row r="73848" spans="3:3" x14ac:dyDescent="0.35">
      <c r="C73848" s="2"/>
    </row>
    <row r="73849" spans="3:3" x14ac:dyDescent="0.35">
      <c r="C73849" s="2"/>
    </row>
    <row r="73850" spans="3:3" x14ac:dyDescent="0.35">
      <c r="C73850" s="2"/>
    </row>
    <row r="73851" spans="3:3" x14ac:dyDescent="0.35">
      <c r="C73851" s="2"/>
    </row>
    <row r="73852" spans="3:3" x14ac:dyDescent="0.35">
      <c r="C73852" s="2"/>
    </row>
    <row r="73853" spans="3:3" x14ac:dyDescent="0.35">
      <c r="C73853" s="2"/>
    </row>
    <row r="73854" spans="3:3" x14ac:dyDescent="0.35">
      <c r="C73854" s="2"/>
    </row>
    <row r="73855" spans="3:3" x14ac:dyDescent="0.35">
      <c r="C73855" s="2"/>
    </row>
    <row r="73856" spans="3:3" x14ac:dyDescent="0.35">
      <c r="C73856" s="2"/>
    </row>
    <row r="73857" spans="3:3" x14ac:dyDescent="0.35">
      <c r="C73857" s="2"/>
    </row>
    <row r="73858" spans="3:3" x14ac:dyDescent="0.35">
      <c r="C73858" s="2"/>
    </row>
    <row r="73859" spans="3:3" x14ac:dyDescent="0.35">
      <c r="C73859" s="2"/>
    </row>
    <row r="73860" spans="3:3" x14ac:dyDescent="0.35">
      <c r="C73860" s="2"/>
    </row>
    <row r="73861" spans="3:3" x14ac:dyDescent="0.35">
      <c r="C73861" s="2"/>
    </row>
    <row r="73862" spans="3:3" x14ac:dyDescent="0.35">
      <c r="C73862" s="2"/>
    </row>
    <row r="73863" spans="3:3" x14ac:dyDescent="0.35">
      <c r="C73863" s="2"/>
    </row>
    <row r="73864" spans="3:3" x14ac:dyDescent="0.35">
      <c r="C73864" s="2"/>
    </row>
    <row r="73865" spans="3:3" x14ac:dyDescent="0.35">
      <c r="C73865" s="2"/>
    </row>
    <row r="73866" spans="3:3" x14ac:dyDescent="0.35">
      <c r="C73866" s="2"/>
    </row>
    <row r="73867" spans="3:3" x14ac:dyDescent="0.35">
      <c r="C73867" s="2"/>
    </row>
    <row r="73868" spans="3:3" x14ac:dyDescent="0.35">
      <c r="C73868" s="2"/>
    </row>
    <row r="73869" spans="3:3" x14ac:dyDescent="0.35">
      <c r="C73869" s="2"/>
    </row>
    <row r="73870" spans="3:3" x14ac:dyDescent="0.35">
      <c r="C73870" s="2"/>
    </row>
    <row r="73871" spans="3:3" x14ac:dyDescent="0.35">
      <c r="C73871" s="2"/>
    </row>
    <row r="73872" spans="3:3" x14ac:dyDescent="0.35">
      <c r="C73872" s="2"/>
    </row>
    <row r="73873" spans="3:3" x14ac:dyDescent="0.35">
      <c r="C73873" s="2"/>
    </row>
    <row r="73874" spans="3:3" x14ac:dyDescent="0.35">
      <c r="C73874" s="2"/>
    </row>
    <row r="73875" spans="3:3" x14ac:dyDescent="0.35">
      <c r="C73875" s="2"/>
    </row>
    <row r="73876" spans="3:3" x14ac:dyDescent="0.35">
      <c r="C73876" s="2"/>
    </row>
    <row r="73877" spans="3:3" x14ac:dyDescent="0.35">
      <c r="C73877" s="2"/>
    </row>
    <row r="73878" spans="3:3" x14ac:dyDescent="0.35">
      <c r="C73878" s="2"/>
    </row>
    <row r="73879" spans="3:3" x14ac:dyDescent="0.35">
      <c r="C73879" s="2"/>
    </row>
    <row r="73880" spans="3:3" x14ac:dyDescent="0.35">
      <c r="C73880" s="2"/>
    </row>
    <row r="73881" spans="3:3" x14ac:dyDescent="0.35">
      <c r="C73881" s="2"/>
    </row>
    <row r="73882" spans="3:3" x14ac:dyDescent="0.35">
      <c r="C73882" s="2"/>
    </row>
    <row r="73883" spans="3:3" x14ac:dyDescent="0.35">
      <c r="C73883" s="2"/>
    </row>
    <row r="73884" spans="3:3" x14ac:dyDescent="0.35">
      <c r="C73884" s="2"/>
    </row>
    <row r="73885" spans="3:3" x14ac:dyDescent="0.35">
      <c r="C73885" s="2"/>
    </row>
    <row r="73886" spans="3:3" x14ac:dyDescent="0.35">
      <c r="C73886" s="2"/>
    </row>
    <row r="73887" spans="3:3" x14ac:dyDescent="0.35">
      <c r="C73887" s="2"/>
    </row>
    <row r="73888" spans="3:3" x14ac:dyDescent="0.35">
      <c r="C73888" s="2"/>
    </row>
    <row r="73889" spans="3:3" x14ac:dyDescent="0.35">
      <c r="C73889" s="2"/>
    </row>
    <row r="73890" spans="3:3" x14ac:dyDescent="0.35">
      <c r="C73890" s="2"/>
    </row>
    <row r="73891" spans="3:3" x14ac:dyDescent="0.35">
      <c r="C73891" s="2"/>
    </row>
    <row r="73892" spans="3:3" x14ac:dyDescent="0.35">
      <c r="C73892" s="2"/>
    </row>
    <row r="73893" spans="3:3" x14ac:dyDescent="0.35">
      <c r="C73893" s="2"/>
    </row>
    <row r="73894" spans="3:3" x14ac:dyDescent="0.35">
      <c r="C73894" s="2"/>
    </row>
    <row r="73895" spans="3:3" x14ac:dyDescent="0.35">
      <c r="C73895" s="2"/>
    </row>
    <row r="73896" spans="3:3" x14ac:dyDescent="0.35">
      <c r="C73896" s="2"/>
    </row>
    <row r="73897" spans="3:3" x14ac:dyDescent="0.35">
      <c r="C73897" s="2"/>
    </row>
    <row r="73898" spans="3:3" x14ac:dyDescent="0.35">
      <c r="C73898" s="2"/>
    </row>
    <row r="73899" spans="3:3" x14ac:dyDescent="0.35">
      <c r="C73899" s="2"/>
    </row>
    <row r="73900" spans="3:3" x14ac:dyDescent="0.35">
      <c r="C73900" s="2"/>
    </row>
    <row r="73901" spans="3:3" x14ac:dyDescent="0.35">
      <c r="C73901" s="2"/>
    </row>
    <row r="73902" spans="3:3" x14ac:dyDescent="0.35">
      <c r="C73902" s="2"/>
    </row>
    <row r="73903" spans="3:3" x14ac:dyDescent="0.35">
      <c r="C73903" s="2"/>
    </row>
    <row r="73904" spans="3:3" x14ac:dyDescent="0.35">
      <c r="C73904" s="2"/>
    </row>
    <row r="73905" spans="3:3" x14ac:dyDescent="0.35">
      <c r="C73905" s="2"/>
    </row>
    <row r="73906" spans="3:3" x14ac:dyDescent="0.35">
      <c r="C73906" s="2"/>
    </row>
    <row r="73907" spans="3:3" x14ac:dyDescent="0.35">
      <c r="C73907" s="2"/>
    </row>
    <row r="73908" spans="3:3" x14ac:dyDescent="0.35">
      <c r="C73908" s="2"/>
    </row>
    <row r="73909" spans="3:3" x14ac:dyDescent="0.35">
      <c r="C73909" s="2"/>
    </row>
    <row r="73910" spans="3:3" x14ac:dyDescent="0.35">
      <c r="C73910" s="2"/>
    </row>
    <row r="73911" spans="3:3" x14ac:dyDescent="0.35">
      <c r="C73911" s="2"/>
    </row>
    <row r="73912" spans="3:3" x14ac:dyDescent="0.35">
      <c r="C73912" s="2"/>
    </row>
    <row r="73913" spans="3:3" x14ac:dyDescent="0.35">
      <c r="C73913" s="2"/>
    </row>
    <row r="73914" spans="3:3" x14ac:dyDescent="0.35">
      <c r="C73914" s="2"/>
    </row>
    <row r="73915" spans="3:3" x14ac:dyDescent="0.35">
      <c r="C73915" s="2"/>
    </row>
    <row r="73916" spans="3:3" x14ac:dyDescent="0.35">
      <c r="C73916" s="2"/>
    </row>
    <row r="73917" spans="3:3" x14ac:dyDescent="0.35">
      <c r="C73917" s="2"/>
    </row>
    <row r="73918" spans="3:3" x14ac:dyDescent="0.35">
      <c r="C73918" s="2"/>
    </row>
    <row r="73919" spans="3:3" x14ac:dyDescent="0.35">
      <c r="C73919" s="2"/>
    </row>
    <row r="73920" spans="3:3" x14ac:dyDescent="0.35">
      <c r="C73920" s="2"/>
    </row>
    <row r="73921" spans="3:3" x14ac:dyDescent="0.35">
      <c r="C73921" s="2"/>
    </row>
    <row r="73922" spans="3:3" x14ac:dyDescent="0.35">
      <c r="C73922" s="2"/>
    </row>
    <row r="73923" spans="3:3" x14ac:dyDescent="0.35">
      <c r="C73923" s="2"/>
    </row>
    <row r="73924" spans="3:3" x14ac:dyDescent="0.35">
      <c r="C73924" s="2"/>
    </row>
    <row r="73925" spans="3:3" x14ac:dyDescent="0.35">
      <c r="C73925" s="2"/>
    </row>
    <row r="73926" spans="3:3" x14ac:dyDescent="0.35">
      <c r="C73926" s="2"/>
    </row>
    <row r="73927" spans="3:3" x14ac:dyDescent="0.35">
      <c r="C73927" s="2"/>
    </row>
    <row r="73928" spans="3:3" x14ac:dyDescent="0.35">
      <c r="C73928" s="2"/>
    </row>
    <row r="73929" spans="3:3" x14ac:dyDescent="0.35">
      <c r="C73929" s="2"/>
    </row>
    <row r="73930" spans="3:3" x14ac:dyDescent="0.35">
      <c r="C73930" s="2"/>
    </row>
    <row r="73931" spans="3:3" x14ac:dyDescent="0.35">
      <c r="C73931" s="2"/>
    </row>
    <row r="73932" spans="3:3" x14ac:dyDescent="0.35">
      <c r="C73932" s="2"/>
    </row>
    <row r="73933" spans="3:3" x14ac:dyDescent="0.35">
      <c r="C73933" s="2"/>
    </row>
    <row r="73934" spans="3:3" x14ac:dyDescent="0.35">
      <c r="C73934" s="2"/>
    </row>
    <row r="73935" spans="3:3" x14ac:dyDescent="0.35">
      <c r="C73935" s="2"/>
    </row>
    <row r="73936" spans="3:3" x14ac:dyDescent="0.35">
      <c r="C73936" s="2"/>
    </row>
    <row r="73937" spans="3:3" x14ac:dyDescent="0.35">
      <c r="C73937" s="2"/>
    </row>
    <row r="73938" spans="3:3" x14ac:dyDescent="0.35">
      <c r="C73938" s="2"/>
    </row>
    <row r="73939" spans="3:3" x14ac:dyDescent="0.35">
      <c r="C73939" s="2"/>
    </row>
    <row r="73940" spans="3:3" x14ac:dyDescent="0.35">
      <c r="C73940" s="2"/>
    </row>
    <row r="73941" spans="3:3" x14ac:dyDescent="0.35">
      <c r="C73941" s="2"/>
    </row>
    <row r="73942" spans="3:3" x14ac:dyDescent="0.35">
      <c r="C73942" s="2"/>
    </row>
    <row r="73943" spans="3:3" x14ac:dyDescent="0.35">
      <c r="C73943" s="2"/>
    </row>
    <row r="73944" spans="3:3" x14ac:dyDescent="0.35">
      <c r="C73944" s="2"/>
    </row>
    <row r="73945" spans="3:3" x14ac:dyDescent="0.35">
      <c r="C73945" s="2"/>
    </row>
    <row r="73946" spans="3:3" x14ac:dyDescent="0.35">
      <c r="C73946" s="2"/>
    </row>
    <row r="73947" spans="3:3" x14ac:dyDescent="0.35">
      <c r="C73947" s="2"/>
    </row>
    <row r="73948" spans="3:3" x14ac:dyDescent="0.35">
      <c r="C73948" s="2"/>
    </row>
    <row r="73949" spans="3:3" x14ac:dyDescent="0.35">
      <c r="C73949" s="2"/>
    </row>
    <row r="73950" spans="3:3" x14ac:dyDescent="0.35">
      <c r="C73950" s="2"/>
    </row>
    <row r="73951" spans="3:3" x14ac:dyDescent="0.35">
      <c r="C73951" s="2"/>
    </row>
    <row r="73952" spans="3:3" x14ac:dyDescent="0.35">
      <c r="C73952" s="2"/>
    </row>
    <row r="73953" spans="3:3" x14ac:dyDescent="0.35">
      <c r="C73953" s="2"/>
    </row>
    <row r="73954" spans="3:3" x14ac:dyDescent="0.35">
      <c r="C73954" s="2"/>
    </row>
    <row r="73955" spans="3:3" x14ac:dyDescent="0.35">
      <c r="C73955" s="2"/>
    </row>
    <row r="73956" spans="3:3" x14ac:dyDescent="0.35">
      <c r="C73956" s="2"/>
    </row>
    <row r="73957" spans="3:3" x14ac:dyDescent="0.35">
      <c r="C73957" s="2"/>
    </row>
    <row r="73958" spans="3:3" x14ac:dyDescent="0.35">
      <c r="C73958" s="2"/>
    </row>
    <row r="73959" spans="3:3" x14ac:dyDescent="0.35">
      <c r="C73959" s="2"/>
    </row>
    <row r="73960" spans="3:3" x14ac:dyDescent="0.35">
      <c r="C73960" s="2"/>
    </row>
    <row r="73961" spans="3:3" x14ac:dyDescent="0.35">
      <c r="C73961" s="2"/>
    </row>
    <row r="73962" spans="3:3" x14ac:dyDescent="0.35">
      <c r="C73962" s="2"/>
    </row>
    <row r="73963" spans="3:3" x14ac:dyDescent="0.35">
      <c r="C73963" s="2"/>
    </row>
    <row r="73964" spans="3:3" x14ac:dyDescent="0.35">
      <c r="C73964" s="2"/>
    </row>
    <row r="73965" spans="3:3" x14ac:dyDescent="0.35">
      <c r="C73965" s="2"/>
    </row>
    <row r="73966" spans="3:3" x14ac:dyDescent="0.35">
      <c r="C73966" s="2"/>
    </row>
    <row r="73967" spans="3:3" x14ac:dyDescent="0.35">
      <c r="C73967" s="2"/>
    </row>
    <row r="73968" spans="3:3" x14ac:dyDescent="0.35">
      <c r="C73968" s="2"/>
    </row>
    <row r="73969" spans="3:3" x14ac:dyDescent="0.35">
      <c r="C73969" s="2"/>
    </row>
    <row r="73970" spans="3:3" x14ac:dyDescent="0.35">
      <c r="C73970" s="2"/>
    </row>
    <row r="73971" spans="3:3" x14ac:dyDescent="0.35">
      <c r="C73971" s="2"/>
    </row>
    <row r="73972" spans="3:3" x14ac:dyDescent="0.35">
      <c r="C73972" s="2"/>
    </row>
    <row r="73973" spans="3:3" x14ac:dyDescent="0.35">
      <c r="C73973" s="2"/>
    </row>
    <row r="73974" spans="3:3" x14ac:dyDescent="0.35">
      <c r="C73974" s="2"/>
    </row>
    <row r="73975" spans="3:3" x14ac:dyDescent="0.35">
      <c r="C73975" s="2"/>
    </row>
    <row r="73976" spans="3:3" x14ac:dyDescent="0.35">
      <c r="C73976" s="2"/>
    </row>
    <row r="73977" spans="3:3" x14ac:dyDescent="0.35">
      <c r="C73977" s="2"/>
    </row>
    <row r="73978" spans="3:3" x14ac:dyDescent="0.35">
      <c r="C73978" s="2"/>
    </row>
    <row r="73979" spans="3:3" x14ac:dyDescent="0.35">
      <c r="C73979" s="2"/>
    </row>
    <row r="73980" spans="3:3" x14ac:dyDescent="0.35">
      <c r="C73980" s="2"/>
    </row>
    <row r="73981" spans="3:3" x14ac:dyDescent="0.35">
      <c r="C73981" s="2"/>
    </row>
    <row r="73982" spans="3:3" x14ac:dyDescent="0.35">
      <c r="C73982" s="2"/>
    </row>
    <row r="73983" spans="3:3" x14ac:dyDescent="0.35">
      <c r="C73983" s="2"/>
    </row>
    <row r="73984" spans="3:3" x14ac:dyDescent="0.35">
      <c r="C73984" s="2"/>
    </row>
    <row r="73985" spans="3:3" x14ac:dyDescent="0.35">
      <c r="C73985" s="2"/>
    </row>
    <row r="73986" spans="3:3" x14ac:dyDescent="0.35">
      <c r="C73986" s="2"/>
    </row>
    <row r="73987" spans="3:3" x14ac:dyDescent="0.35">
      <c r="C73987" s="2"/>
    </row>
    <row r="73988" spans="3:3" x14ac:dyDescent="0.35">
      <c r="C73988" s="2"/>
    </row>
    <row r="73989" spans="3:3" x14ac:dyDescent="0.35">
      <c r="C73989" s="2"/>
    </row>
    <row r="73990" spans="3:3" x14ac:dyDescent="0.35">
      <c r="C73990" s="2"/>
    </row>
    <row r="73991" spans="3:3" x14ac:dyDescent="0.35">
      <c r="C73991" s="2"/>
    </row>
    <row r="73992" spans="3:3" x14ac:dyDescent="0.35">
      <c r="C73992" s="2"/>
    </row>
    <row r="73993" spans="3:3" x14ac:dyDescent="0.35">
      <c r="C73993" s="2"/>
    </row>
    <row r="73994" spans="3:3" x14ac:dyDescent="0.35">
      <c r="C73994" s="2"/>
    </row>
    <row r="73995" spans="3:3" x14ac:dyDescent="0.35">
      <c r="C73995" s="2"/>
    </row>
    <row r="73996" spans="3:3" x14ac:dyDescent="0.35">
      <c r="C73996" s="2"/>
    </row>
    <row r="73997" spans="3:3" x14ac:dyDescent="0.35">
      <c r="C73997" s="2"/>
    </row>
    <row r="73998" spans="3:3" x14ac:dyDescent="0.35">
      <c r="C73998" s="2"/>
    </row>
    <row r="73999" spans="3:3" x14ac:dyDescent="0.35">
      <c r="C73999" s="2"/>
    </row>
    <row r="74000" spans="3:3" x14ac:dyDescent="0.35">
      <c r="C74000" s="2"/>
    </row>
    <row r="74001" spans="3:3" x14ac:dyDescent="0.35">
      <c r="C74001" s="2"/>
    </row>
    <row r="74002" spans="3:3" x14ac:dyDescent="0.35">
      <c r="C74002" s="2"/>
    </row>
    <row r="74003" spans="3:3" x14ac:dyDescent="0.35">
      <c r="C74003" s="2"/>
    </row>
    <row r="74004" spans="3:3" x14ac:dyDescent="0.35">
      <c r="C74004" s="2"/>
    </row>
    <row r="74005" spans="3:3" x14ac:dyDescent="0.35">
      <c r="C74005" s="2"/>
    </row>
    <row r="74006" spans="3:3" x14ac:dyDescent="0.35">
      <c r="C74006" s="2"/>
    </row>
    <row r="74007" spans="3:3" x14ac:dyDescent="0.35">
      <c r="C74007" s="2"/>
    </row>
    <row r="74008" spans="3:3" x14ac:dyDescent="0.35">
      <c r="C74008" s="2"/>
    </row>
    <row r="74009" spans="3:3" x14ac:dyDescent="0.35">
      <c r="C74009" s="2"/>
    </row>
    <row r="74010" spans="3:3" x14ac:dyDescent="0.35">
      <c r="C74010" s="2"/>
    </row>
    <row r="74011" spans="3:3" x14ac:dyDescent="0.35">
      <c r="C74011" s="2"/>
    </row>
    <row r="74012" spans="3:3" x14ac:dyDescent="0.35">
      <c r="C74012" s="2"/>
    </row>
    <row r="74013" spans="3:3" x14ac:dyDescent="0.35">
      <c r="C74013" s="2"/>
    </row>
    <row r="74014" spans="3:3" x14ac:dyDescent="0.35">
      <c r="C74014" s="2"/>
    </row>
    <row r="74015" spans="3:3" x14ac:dyDescent="0.35">
      <c r="C74015" s="2"/>
    </row>
    <row r="74016" spans="3:3" x14ac:dyDescent="0.35">
      <c r="C74016" s="2"/>
    </row>
    <row r="74017" spans="3:3" x14ac:dyDescent="0.35">
      <c r="C74017" s="2"/>
    </row>
    <row r="74018" spans="3:3" x14ac:dyDescent="0.35">
      <c r="C74018" s="2"/>
    </row>
    <row r="74019" spans="3:3" x14ac:dyDescent="0.35">
      <c r="C74019" s="2"/>
    </row>
    <row r="74020" spans="3:3" x14ac:dyDescent="0.35">
      <c r="C74020" s="2"/>
    </row>
    <row r="74021" spans="3:3" x14ac:dyDescent="0.35">
      <c r="C74021" s="2"/>
    </row>
    <row r="74022" spans="3:3" x14ac:dyDescent="0.35">
      <c r="C74022" s="2"/>
    </row>
    <row r="74023" spans="3:3" x14ac:dyDescent="0.35">
      <c r="C74023" s="2"/>
    </row>
    <row r="74024" spans="3:3" x14ac:dyDescent="0.35">
      <c r="C74024" s="2"/>
    </row>
    <row r="74025" spans="3:3" x14ac:dyDescent="0.35">
      <c r="C74025" s="2"/>
    </row>
    <row r="74026" spans="3:3" x14ac:dyDescent="0.35">
      <c r="C74026" s="2"/>
    </row>
    <row r="74027" spans="3:3" x14ac:dyDescent="0.35">
      <c r="C74027" s="2"/>
    </row>
    <row r="74028" spans="3:3" x14ac:dyDescent="0.35">
      <c r="C74028" s="2"/>
    </row>
    <row r="74029" spans="3:3" x14ac:dyDescent="0.35">
      <c r="C74029" s="2"/>
    </row>
    <row r="74030" spans="3:3" x14ac:dyDescent="0.35">
      <c r="C74030" s="2"/>
    </row>
    <row r="74031" spans="3:3" x14ac:dyDescent="0.35">
      <c r="C74031" s="2"/>
    </row>
    <row r="74032" spans="3:3" x14ac:dyDescent="0.35">
      <c r="C74032" s="2"/>
    </row>
    <row r="74033" spans="3:3" x14ac:dyDescent="0.35">
      <c r="C74033" s="2"/>
    </row>
    <row r="74034" spans="3:3" x14ac:dyDescent="0.35">
      <c r="C74034" s="2"/>
    </row>
    <row r="74035" spans="3:3" x14ac:dyDescent="0.35">
      <c r="C74035" s="2"/>
    </row>
    <row r="74036" spans="3:3" x14ac:dyDescent="0.35">
      <c r="C74036" s="2"/>
    </row>
    <row r="74037" spans="3:3" x14ac:dyDescent="0.35">
      <c r="C74037" s="2"/>
    </row>
    <row r="74038" spans="3:3" x14ac:dyDescent="0.35">
      <c r="C74038" s="2"/>
    </row>
    <row r="74039" spans="3:3" x14ac:dyDescent="0.35">
      <c r="C74039" s="2"/>
    </row>
    <row r="74040" spans="3:3" x14ac:dyDescent="0.35">
      <c r="C74040" s="2"/>
    </row>
    <row r="74041" spans="3:3" x14ac:dyDescent="0.35">
      <c r="C74041" s="2"/>
    </row>
    <row r="74042" spans="3:3" x14ac:dyDescent="0.35">
      <c r="C74042" s="2"/>
    </row>
    <row r="74043" spans="3:3" x14ac:dyDescent="0.35">
      <c r="C74043" s="2"/>
    </row>
    <row r="74044" spans="3:3" x14ac:dyDescent="0.35">
      <c r="C74044" s="2"/>
    </row>
    <row r="74045" spans="3:3" x14ac:dyDescent="0.35">
      <c r="C74045" s="2"/>
    </row>
    <row r="74046" spans="3:3" x14ac:dyDescent="0.35">
      <c r="C74046" s="2"/>
    </row>
    <row r="74047" spans="3:3" x14ac:dyDescent="0.35">
      <c r="C74047" s="2"/>
    </row>
    <row r="74048" spans="3:3" x14ac:dyDescent="0.35">
      <c r="C74048" s="2"/>
    </row>
    <row r="74049" spans="3:3" x14ac:dyDescent="0.35">
      <c r="C74049" s="2"/>
    </row>
    <row r="74050" spans="3:3" x14ac:dyDescent="0.35">
      <c r="C74050" s="2"/>
    </row>
    <row r="74051" spans="3:3" x14ac:dyDescent="0.35">
      <c r="C74051" s="2"/>
    </row>
    <row r="74052" spans="3:3" x14ac:dyDescent="0.35">
      <c r="C74052" s="2"/>
    </row>
    <row r="74053" spans="3:3" x14ac:dyDescent="0.35">
      <c r="C74053" s="2"/>
    </row>
    <row r="74054" spans="3:3" x14ac:dyDescent="0.35">
      <c r="C74054" s="2"/>
    </row>
    <row r="74055" spans="3:3" x14ac:dyDescent="0.35">
      <c r="C74055" s="2"/>
    </row>
    <row r="74056" spans="3:3" x14ac:dyDescent="0.35">
      <c r="C74056" s="2"/>
    </row>
    <row r="74057" spans="3:3" x14ac:dyDescent="0.35">
      <c r="C74057" s="2"/>
    </row>
    <row r="74058" spans="3:3" x14ac:dyDescent="0.35">
      <c r="C74058" s="2"/>
    </row>
    <row r="74059" spans="3:3" x14ac:dyDescent="0.35">
      <c r="C74059" s="2"/>
    </row>
    <row r="74060" spans="3:3" x14ac:dyDescent="0.35">
      <c r="C74060" s="2"/>
    </row>
    <row r="74061" spans="3:3" x14ac:dyDescent="0.35">
      <c r="C74061" s="2"/>
    </row>
    <row r="74062" spans="3:3" x14ac:dyDescent="0.35">
      <c r="C74062" s="2"/>
    </row>
    <row r="74063" spans="3:3" x14ac:dyDescent="0.35">
      <c r="C74063" s="2"/>
    </row>
    <row r="74064" spans="3:3" x14ac:dyDescent="0.35">
      <c r="C74064" s="2"/>
    </row>
    <row r="74065" spans="3:3" x14ac:dyDescent="0.35">
      <c r="C74065" s="2"/>
    </row>
    <row r="74066" spans="3:3" x14ac:dyDescent="0.35">
      <c r="C74066" s="2"/>
    </row>
    <row r="74067" spans="3:3" x14ac:dyDescent="0.35">
      <c r="C74067" s="2"/>
    </row>
    <row r="74068" spans="3:3" x14ac:dyDescent="0.35">
      <c r="C74068" s="2"/>
    </row>
    <row r="74069" spans="3:3" x14ac:dyDescent="0.35">
      <c r="C74069" s="2"/>
    </row>
    <row r="74070" spans="3:3" x14ac:dyDescent="0.35">
      <c r="C74070" s="2"/>
    </row>
    <row r="74071" spans="3:3" x14ac:dyDescent="0.35">
      <c r="C74071" s="2"/>
    </row>
    <row r="74072" spans="3:3" x14ac:dyDescent="0.35">
      <c r="C74072" s="2"/>
    </row>
    <row r="74073" spans="3:3" x14ac:dyDescent="0.35">
      <c r="C74073" s="2"/>
    </row>
    <row r="74074" spans="3:3" x14ac:dyDescent="0.35">
      <c r="C74074" s="2"/>
    </row>
    <row r="74075" spans="3:3" x14ac:dyDescent="0.35">
      <c r="C74075" s="2"/>
    </row>
    <row r="74076" spans="3:3" x14ac:dyDescent="0.35">
      <c r="C74076" s="2"/>
    </row>
    <row r="74077" spans="3:3" x14ac:dyDescent="0.35">
      <c r="C74077" s="2"/>
    </row>
    <row r="74078" spans="3:3" x14ac:dyDescent="0.35">
      <c r="C74078" s="2"/>
    </row>
    <row r="74079" spans="3:3" x14ac:dyDescent="0.35">
      <c r="C74079" s="2"/>
    </row>
    <row r="74080" spans="3:3" x14ac:dyDescent="0.35">
      <c r="C74080" s="2"/>
    </row>
    <row r="74081" spans="3:3" x14ac:dyDescent="0.35">
      <c r="C74081" s="2"/>
    </row>
    <row r="74082" spans="3:3" x14ac:dyDescent="0.35">
      <c r="C74082" s="2"/>
    </row>
    <row r="74083" spans="3:3" x14ac:dyDescent="0.35">
      <c r="C74083" s="2"/>
    </row>
    <row r="74084" spans="3:3" x14ac:dyDescent="0.35">
      <c r="C74084" s="2"/>
    </row>
    <row r="74085" spans="3:3" x14ac:dyDescent="0.35">
      <c r="C74085" s="2"/>
    </row>
    <row r="74086" spans="3:3" x14ac:dyDescent="0.35">
      <c r="C74086" s="2"/>
    </row>
    <row r="74087" spans="3:3" x14ac:dyDescent="0.35">
      <c r="C74087" s="2"/>
    </row>
    <row r="74088" spans="3:3" x14ac:dyDescent="0.35">
      <c r="C74088" s="2"/>
    </row>
    <row r="74089" spans="3:3" x14ac:dyDescent="0.35">
      <c r="C74089" s="2"/>
    </row>
    <row r="74090" spans="3:3" x14ac:dyDescent="0.35">
      <c r="C74090" s="2"/>
    </row>
    <row r="74091" spans="3:3" x14ac:dyDescent="0.35">
      <c r="C74091" s="2"/>
    </row>
    <row r="74092" spans="3:3" x14ac:dyDescent="0.35">
      <c r="C74092" s="2"/>
    </row>
    <row r="74093" spans="3:3" x14ac:dyDescent="0.35">
      <c r="C74093" s="2"/>
    </row>
    <row r="74094" spans="3:3" x14ac:dyDescent="0.35">
      <c r="C74094" s="2"/>
    </row>
    <row r="74095" spans="3:3" x14ac:dyDescent="0.35">
      <c r="C74095" s="2"/>
    </row>
    <row r="74096" spans="3:3" x14ac:dyDescent="0.35">
      <c r="C74096" s="2"/>
    </row>
    <row r="74097" spans="3:3" x14ac:dyDescent="0.35">
      <c r="C74097" s="2"/>
    </row>
    <row r="74098" spans="3:3" x14ac:dyDescent="0.35">
      <c r="C74098" s="2"/>
    </row>
    <row r="74099" spans="3:3" x14ac:dyDescent="0.35">
      <c r="C74099" s="2"/>
    </row>
    <row r="74100" spans="3:3" x14ac:dyDescent="0.35">
      <c r="C74100" s="2"/>
    </row>
    <row r="74101" spans="3:3" x14ac:dyDescent="0.35">
      <c r="C74101" s="2"/>
    </row>
    <row r="74102" spans="3:3" x14ac:dyDescent="0.35">
      <c r="C74102" s="2"/>
    </row>
    <row r="74103" spans="3:3" x14ac:dyDescent="0.35">
      <c r="C74103" s="2"/>
    </row>
    <row r="74104" spans="3:3" x14ac:dyDescent="0.35">
      <c r="C74104" s="2"/>
    </row>
    <row r="74105" spans="3:3" x14ac:dyDescent="0.35">
      <c r="C74105" s="2"/>
    </row>
    <row r="74106" spans="3:3" x14ac:dyDescent="0.35">
      <c r="C74106" s="2"/>
    </row>
    <row r="74107" spans="3:3" x14ac:dyDescent="0.35">
      <c r="C74107" s="2"/>
    </row>
    <row r="74108" spans="3:3" x14ac:dyDescent="0.35">
      <c r="C74108" s="2"/>
    </row>
    <row r="74109" spans="3:3" x14ac:dyDescent="0.35">
      <c r="C74109" s="2"/>
    </row>
    <row r="74110" spans="3:3" x14ac:dyDescent="0.35">
      <c r="C74110" s="2"/>
    </row>
    <row r="74111" spans="3:3" x14ac:dyDescent="0.35">
      <c r="C74111" s="2"/>
    </row>
    <row r="74112" spans="3:3" x14ac:dyDescent="0.35">
      <c r="C74112" s="2"/>
    </row>
    <row r="74113" spans="3:3" x14ac:dyDescent="0.35">
      <c r="C74113" s="2"/>
    </row>
    <row r="74114" spans="3:3" x14ac:dyDescent="0.35">
      <c r="C74114" s="2"/>
    </row>
    <row r="74115" spans="3:3" x14ac:dyDescent="0.35">
      <c r="C74115" s="2"/>
    </row>
    <row r="74116" spans="3:3" x14ac:dyDescent="0.35">
      <c r="C74116" s="2"/>
    </row>
    <row r="74117" spans="3:3" x14ac:dyDescent="0.35">
      <c r="C74117" s="2"/>
    </row>
    <row r="74118" spans="3:3" x14ac:dyDescent="0.35">
      <c r="C74118" s="2"/>
    </row>
    <row r="74119" spans="3:3" x14ac:dyDescent="0.35">
      <c r="C74119" s="2"/>
    </row>
    <row r="74120" spans="3:3" x14ac:dyDescent="0.35">
      <c r="C74120" s="2"/>
    </row>
    <row r="74121" spans="3:3" x14ac:dyDescent="0.35">
      <c r="C74121" s="2"/>
    </row>
    <row r="74122" spans="3:3" x14ac:dyDescent="0.35">
      <c r="C74122" s="2"/>
    </row>
    <row r="74123" spans="3:3" x14ac:dyDescent="0.35">
      <c r="C74123" s="2"/>
    </row>
    <row r="74124" spans="3:3" x14ac:dyDescent="0.35">
      <c r="C74124" s="2"/>
    </row>
    <row r="74125" spans="3:3" x14ac:dyDescent="0.35">
      <c r="C74125" s="2"/>
    </row>
    <row r="74126" spans="3:3" x14ac:dyDescent="0.35">
      <c r="C74126" s="2"/>
    </row>
    <row r="74127" spans="3:3" x14ac:dyDescent="0.35">
      <c r="C74127" s="2"/>
    </row>
    <row r="74128" spans="3:3" x14ac:dyDescent="0.35">
      <c r="C74128" s="2"/>
    </row>
    <row r="74129" spans="3:3" x14ac:dyDescent="0.35">
      <c r="C74129" s="2"/>
    </row>
    <row r="74130" spans="3:3" x14ac:dyDescent="0.35">
      <c r="C74130" s="2"/>
    </row>
    <row r="74131" spans="3:3" x14ac:dyDescent="0.35">
      <c r="C74131" s="2"/>
    </row>
    <row r="74132" spans="3:3" x14ac:dyDescent="0.35">
      <c r="C74132" s="2"/>
    </row>
    <row r="74133" spans="3:3" x14ac:dyDescent="0.35">
      <c r="C74133" s="2"/>
    </row>
    <row r="74134" spans="3:3" x14ac:dyDescent="0.35">
      <c r="C74134" s="2"/>
    </row>
    <row r="74135" spans="3:3" x14ac:dyDescent="0.35">
      <c r="C74135" s="2"/>
    </row>
    <row r="74136" spans="3:3" x14ac:dyDescent="0.35">
      <c r="C74136" s="2"/>
    </row>
    <row r="74137" spans="3:3" x14ac:dyDescent="0.35">
      <c r="C74137" s="2"/>
    </row>
    <row r="74138" spans="3:3" x14ac:dyDescent="0.35">
      <c r="C74138" s="2"/>
    </row>
    <row r="74139" spans="3:3" x14ac:dyDescent="0.35">
      <c r="C74139" s="2"/>
    </row>
    <row r="74140" spans="3:3" x14ac:dyDescent="0.35">
      <c r="C74140" s="2"/>
    </row>
    <row r="74141" spans="3:3" x14ac:dyDescent="0.35">
      <c r="C74141" s="2"/>
    </row>
    <row r="74142" spans="3:3" x14ac:dyDescent="0.35">
      <c r="C74142" s="2"/>
    </row>
    <row r="74143" spans="3:3" x14ac:dyDescent="0.35">
      <c r="C74143" s="2"/>
    </row>
    <row r="74144" spans="3:3" x14ac:dyDescent="0.35">
      <c r="C74144" s="2"/>
    </row>
    <row r="74145" spans="3:3" x14ac:dyDescent="0.35">
      <c r="C74145" s="2"/>
    </row>
    <row r="74146" spans="3:3" x14ac:dyDescent="0.35">
      <c r="C74146" s="2"/>
    </row>
    <row r="74147" spans="3:3" x14ac:dyDescent="0.35">
      <c r="C74147" s="2"/>
    </row>
    <row r="74148" spans="3:3" x14ac:dyDescent="0.35">
      <c r="C74148" s="2"/>
    </row>
    <row r="74149" spans="3:3" x14ac:dyDescent="0.35">
      <c r="C74149" s="2"/>
    </row>
    <row r="74150" spans="3:3" x14ac:dyDescent="0.35">
      <c r="C74150" s="2"/>
    </row>
    <row r="74151" spans="3:3" x14ac:dyDescent="0.35">
      <c r="C74151" s="2"/>
    </row>
    <row r="74152" spans="3:3" x14ac:dyDescent="0.35">
      <c r="C74152" s="2"/>
    </row>
    <row r="74153" spans="3:3" x14ac:dyDescent="0.35">
      <c r="C74153" s="2"/>
    </row>
    <row r="74154" spans="3:3" x14ac:dyDescent="0.35">
      <c r="C74154" s="2"/>
    </row>
    <row r="74155" spans="3:3" x14ac:dyDescent="0.35">
      <c r="C74155" s="2"/>
    </row>
    <row r="74156" spans="3:3" x14ac:dyDescent="0.35">
      <c r="C74156" s="2"/>
    </row>
    <row r="74157" spans="3:3" x14ac:dyDescent="0.35">
      <c r="C74157" s="2"/>
    </row>
    <row r="74158" spans="3:3" x14ac:dyDescent="0.35">
      <c r="C74158" s="2"/>
    </row>
    <row r="74159" spans="3:3" x14ac:dyDescent="0.35">
      <c r="C74159" s="2"/>
    </row>
    <row r="74160" spans="3:3" x14ac:dyDescent="0.35">
      <c r="C74160" s="2"/>
    </row>
    <row r="74161" spans="3:3" x14ac:dyDescent="0.35">
      <c r="C74161" s="2"/>
    </row>
    <row r="74162" spans="3:3" x14ac:dyDescent="0.35">
      <c r="C74162" s="2"/>
    </row>
    <row r="74163" spans="3:3" x14ac:dyDescent="0.35">
      <c r="C74163" s="2"/>
    </row>
    <row r="74164" spans="3:3" x14ac:dyDescent="0.35">
      <c r="C74164" s="2"/>
    </row>
    <row r="74165" spans="3:3" x14ac:dyDescent="0.35">
      <c r="C74165" s="2"/>
    </row>
    <row r="74166" spans="3:3" x14ac:dyDescent="0.35">
      <c r="C74166" s="2"/>
    </row>
    <row r="74167" spans="3:3" x14ac:dyDescent="0.35">
      <c r="C74167" s="2"/>
    </row>
    <row r="74168" spans="3:3" x14ac:dyDescent="0.35">
      <c r="C74168" s="2"/>
    </row>
    <row r="74169" spans="3:3" x14ac:dyDescent="0.35">
      <c r="C74169" s="2"/>
    </row>
    <row r="74170" spans="3:3" x14ac:dyDescent="0.35">
      <c r="C74170" s="2"/>
    </row>
    <row r="74171" spans="3:3" x14ac:dyDescent="0.35">
      <c r="C74171" s="2"/>
    </row>
    <row r="74172" spans="3:3" x14ac:dyDescent="0.35">
      <c r="C74172" s="2"/>
    </row>
    <row r="74173" spans="3:3" x14ac:dyDescent="0.35">
      <c r="C74173" s="2"/>
    </row>
    <row r="74174" spans="3:3" x14ac:dyDescent="0.35">
      <c r="C74174" s="2"/>
    </row>
    <row r="74175" spans="3:3" x14ac:dyDescent="0.35">
      <c r="C74175" s="2"/>
    </row>
    <row r="74176" spans="3:3" x14ac:dyDescent="0.35">
      <c r="C74176" s="2"/>
    </row>
    <row r="74177" spans="3:3" x14ac:dyDescent="0.35">
      <c r="C74177" s="2"/>
    </row>
    <row r="74178" spans="3:3" x14ac:dyDescent="0.35">
      <c r="C74178" s="2"/>
    </row>
    <row r="74179" spans="3:3" x14ac:dyDescent="0.35">
      <c r="C74179" s="2"/>
    </row>
    <row r="74180" spans="3:3" x14ac:dyDescent="0.35">
      <c r="C74180" s="2"/>
    </row>
    <row r="74181" spans="3:3" x14ac:dyDescent="0.35">
      <c r="C74181" s="2"/>
    </row>
    <row r="74182" spans="3:3" x14ac:dyDescent="0.35">
      <c r="C74182" s="2"/>
    </row>
    <row r="74183" spans="3:3" x14ac:dyDescent="0.35">
      <c r="C74183" s="2"/>
    </row>
    <row r="74184" spans="3:3" x14ac:dyDescent="0.35">
      <c r="C74184" s="2"/>
    </row>
    <row r="74185" spans="3:3" x14ac:dyDescent="0.35">
      <c r="C74185" s="2"/>
    </row>
    <row r="74186" spans="3:3" x14ac:dyDescent="0.35">
      <c r="C74186" s="2"/>
    </row>
    <row r="74187" spans="3:3" x14ac:dyDescent="0.35">
      <c r="C74187" s="2"/>
    </row>
    <row r="74188" spans="3:3" x14ac:dyDescent="0.35">
      <c r="C74188" s="2"/>
    </row>
    <row r="74189" spans="3:3" x14ac:dyDescent="0.35">
      <c r="C74189" s="2"/>
    </row>
    <row r="74190" spans="3:3" x14ac:dyDescent="0.35">
      <c r="C74190" s="2"/>
    </row>
    <row r="74191" spans="3:3" x14ac:dyDescent="0.35">
      <c r="C74191" s="2"/>
    </row>
    <row r="74192" spans="3:3" x14ac:dyDescent="0.35">
      <c r="C74192" s="2"/>
    </row>
    <row r="74193" spans="3:3" x14ac:dyDescent="0.35">
      <c r="C74193" s="2"/>
    </row>
    <row r="74194" spans="3:3" x14ac:dyDescent="0.35">
      <c r="C74194" s="2"/>
    </row>
    <row r="74195" spans="3:3" x14ac:dyDescent="0.35">
      <c r="C74195" s="2"/>
    </row>
    <row r="74196" spans="3:3" x14ac:dyDescent="0.35">
      <c r="C74196" s="2"/>
    </row>
    <row r="74197" spans="3:3" x14ac:dyDescent="0.35">
      <c r="C74197" s="2"/>
    </row>
    <row r="74198" spans="3:3" x14ac:dyDescent="0.35">
      <c r="C74198" s="2"/>
    </row>
    <row r="74199" spans="3:3" x14ac:dyDescent="0.35">
      <c r="C74199" s="2"/>
    </row>
    <row r="74200" spans="3:3" x14ac:dyDescent="0.35">
      <c r="C74200" s="2"/>
    </row>
    <row r="74201" spans="3:3" x14ac:dyDescent="0.35">
      <c r="C74201" s="2"/>
    </row>
    <row r="74202" spans="3:3" x14ac:dyDescent="0.35">
      <c r="C74202" s="2"/>
    </row>
    <row r="74203" spans="3:3" x14ac:dyDescent="0.35">
      <c r="C74203" s="2"/>
    </row>
    <row r="74204" spans="3:3" x14ac:dyDescent="0.35">
      <c r="C74204" s="2"/>
    </row>
    <row r="74205" spans="3:3" x14ac:dyDescent="0.35">
      <c r="C74205" s="2"/>
    </row>
    <row r="74206" spans="3:3" x14ac:dyDescent="0.35">
      <c r="C74206" s="2"/>
    </row>
    <row r="74207" spans="3:3" x14ac:dyDescent="0.35">
      <c r="C74207" s="2"/>
    </row>
    <row r="74208" spans="3:3" x14ac:dyDescent="0.35">
      <c r="C74208" s="2"/>
    </row>
    <row r="74209" spans="3:3" x14ac:dyDescent="0.35">
      <c r="C74209" s="2"/>
    </row>
    <row r="74210" spans="3:3" x14ac:dyDescent="0.35">
      <c r="C74210" s="2"/>
    </row>
    <row r="74211" spans="3:3" x14ac:dyDescent="0.35">
      <c r="C74211" s="2"/>
    </row>
    <row r="74212" spans="3:3" x14ac:dyDescent="0.35">
      <c r="C74212" s="2"/>
    </row>
    <row r="74213" spans="3:3" x14ac:dyDescent="0.35">
      <c r="C74213" s="2"/>
    </row>
    <row r="74214" spans="3:3" x14ac:dyDescent="0.35">
      <c r="C74214" s="2"/>
    </row>
    <row r="74215" spans="3:3" x14ac:dyDescent="0.35">
      <c r="C74215" s="2"/>
    </row>
    <row r="74216" spans="3:3" x14ac:dyDescent="0.35">
      <c r="C74216" s="2"/>
    </row>
    <row r="74217" spans="3:3" x14ac:dyDescent="0.35">
      <c r="C74217" s="2"/>
    </row>
    <row r="74218" spans="3:3" x14ac:dyDescent="0.35">
      <c r="C74218" s="2"/>
    </row>
    <row r="74219" spans="3:3" x14ac:dyDescent="0.35">
      <c r="C74219" s="2"/>
    </row>
    <row r="74220" spans="3:3" x14ac:dyDescent="0.35">
      <c r="C74220" s="2"/>
    </row>
    <row r="74221" spans="3:3" x14ac:dyDescent="0.35">
      <c r="C74221" s="2"/>
    </row>
    <row r="74222" spans="3:3" x14ac:dyDescent="0.35">
      <c r="C74222" s="2"/>
    </row>
    <row r="74223" spans="3:3" x14ac:dyDescent="0.35">
      <c r="C74223" s="2"/>
    </row>
    <row r="74224" spans="3:3" x14ac:dyDescent="0.35">
      <c r="C74224" s="2"/>
    </row>
    <row r="74225" spans="3:3" x14ac:dyDescent="0.35">
      <c r="C74225" s="2"/>
    </row>
    <row r="74226" spans="3:3" x14ac:dyDescent="0.35">
      <c r="C74226" s="2"/>
    </row>
    <row r="74227" spans="3:3" x14ac:dyDescent="0.35">
      <c r="C74227" s="2"/>
    </row>
    <row r="74228" spans="3:3" x14ac:dyDescent="0.35">
      <c r="C74228" s="2"/>
    </row>
    <row r="74229" spans="3:3" x14ac:dyDescent="0.35">
      <c r="C74229" s="2"/>
    </row>
    <row r="74230" spans="3:3" x14ac:dyDescent="0.35">
      <c r="C74230" s="2"/>
    </row>
    <row r="74231" spans="3:3" x14ac:dyDescent="0.35">
      <c r="C74231" s="2"/>
    </row>
    <row r="74232" spans="3:3" x14ac:dyDescent="0.35">
      <c r="C74232" s="2"/>
    </row>
    <row r="74233" spans="3:3" x14ac:dyDescent="0.35">
      <c r="C74233" s="2"/>
    </row>
    <row r="74234" spans="3:3" x14ac:dyDescent="0.35">
      <c r="C74234" s="2"/>
    </row>
    <row r="74235" spans="3:3" x14ac:dyDescent="0.35">
      <c r="C74235" s="2"/>
    </row>
    <row r="74236" spans="3:3" x14ac:dyDescent="0.35">
      <c r="C74236" s="2"/>
    </row>
    <row r="74237" spans="3:3" x14ac:dyDescent="0.35">
      <c r="C74237" s="2"/>
    </row>
    <row r="74238" spans="3:3" x14ac:dyDescent="0.35">
      <c r="C74238" s="2"/>
    </row>
    <row r="74239" spans="3:3" x14ac:dyDescent="0.35">
      <c r="C74239" s="2"/>
    </row>
    <row r="74240" spans="3:3" x14ac:dyDescent="0.35">
      <c r="C74240" s="2"/>
    </row>
    <row r="74241" spans="3:3" x14ac:dyDescent="0.35">
      <c r="C74241" s="2"/>
    </row>
    <row r="74242" spans="3:3" x14ac:dyDescent="0.35">
      <c r="C74242" s="2"/>
    </row>
    <row r="74243" spans="3:3" x14ac:dyDescent="0.35">
      <c r="C74243" s="2"/>
    </row>
    <row r="74244" spans="3:3" x14ac:dyDescent="0.35">
      <c r="C74244" s="2"/>
    </row>
    <row r="74245" spans="3:3" x14ac:dyDescent="0.35">
      <c r="C74245" s="2"/>
    </row>
    <row r="74246" spans="3:3" x14ac:dyDescent="0.35">
      <c r="C74246" s="2"/>
    </row>
    <row r="74247" spans="3:3" x14ac:dyDescent="0.35">
      <c r="C74247" s="2"/>
    </row>
    <row r="74248" spans="3:3" x14ac:dyDescent="0.35">
      <c r="C74248" s="2"/>
    </row>
    <row r="74249" spans="3:3" x14ac:dyDescent="0.35">
      <c r="C74249" s="2"/>
    </row>
    <row r="74250" spans="3:3" x14ac:dyDescent="0.35">
      <c r="C74250" s="2"/>
    </row>
    <row r="74251" spans="3:3" x14ac:dyDescent="0.35">
      <c r="C74251" s="2"/>
    </row>
    <row r="74252" spans="3:3" x14ac:dyDescent="0.35">
      <c r="C74252" s="2"/>
    </row>
    <row r="74253" spans="3:3" x14ac:dyDescent="0.35">
      <c r="C74253" s="2"/>
    </row>
    <row r="74254" spans="3:3" x14ac:dyDescent="0.35">
      <c r="C74254" s="2"/>
    </row>
    <row r="74255" spans="3:3" x14ac:dyDescent="0.35">
      <c r="C74255" s="2"/>
    </row>
    <row r="74256" spans="3:3" x14ac:dyDescent="0.35">
      <c r="C74256" s="2"/>
    </row>
    <row r="74257" spans="3:3" x14ac:dyDescent="0.35">
      <c r="C74257" s="2"/>
    </row>
    <row r="74258" spans="3:3" x14ac:dyDescent="0.35">
      <c r="C74258" s="2"/>
    </row>
    <row r="74259" spans="3:3" x14ac:dyDescent="0.35">
      <c r="C74259" s="2"/>
    </row>
    <row r="74260" spans="3:3" x14ac:dyDescent="0.35">
      <c r="C74260" s="2"/>
    </row>
    <row r="74261" spans="3:3" x14ac:dyDescent="0.35">
      <c r="C74261" s="2"/>
    </row>
    <row r="74262" spans="3:3" x14ac:dyDescent="0.35">
      <c r="C74262" s="2"/>
    </row>
    <row r="74263" spans="3:3" x14ac:dyDescent="0.35">
      <c r="C74263" s="2"/>
    </row>
    <row r="74264" spans="3:3" x14ac:dyDescent="0.35">
      <c r="C74264" s="2"/>
    </row>
    <row r="74265" spans="3:3" x14ac:dyDescent="0.35">
      <c r="C74265" s="2"/>
    </row>
    <row r="74266" spans="3:3" x14ac:dyDescent="0.35">
      <c r="C74266" s="2"/>
    </row>
    <row r="74267" spans="3:3" x14ac:dyDescent="0.35">
      <c r="C74267" s="2"/>
    </row>
    <row r="74268" spans="3:3" x14ac:dyDescent="0.35">
      <c r="C74268" s="2"/>
    </row>
    <row r="74269" spans="3:3" x14ac:dyDescent="0.35">
      <c r="C74269" s="2"/>
    </row>
    <row r="74270" spans="3:3" x14ac:dyDescent="0.35">
      <c r="C74270" s="2"/>
    </row>
    <row r="74271" spans="3:3" x14ac:dyDescent="0.35">
      <c r="C74271" s="2"/>
    </row>
    <row r="74272" spans="3:3" x14ac:dyDescent="0.35">
      <c r="C74272" s="2"/>
    </row>
    <row r="74273" spans="3:3" x14ac:dyDescent="0.35">
      <c r="C74273" s="2"/>
    </row>
    <row r="74274" spans="3:3" x14ac:dyDescent="0.35">
      <c r="C74274" s="2"/>
    </row>
    <row r="74275" spans="3:3" x14ac:dyDescent="0.35">
      <c r="C74275" s="2"/>
    </row>
    <row r="74276" spans="3:3" x14ac:dyDescent="0.35">
      <c r="C74276" s="2"/>
    </row>
    <row r="74277" spans="3:3" x14ac:dyDescent="0.35">
      <c r="C74277" s="2"/>
    </row>
    <row r="74278" spans="3:3" x14ac:dyDescent="0.35">
      <c r="C74278" s="2"/>
    </row>
    <row r="74279" spans="3:3" x14ac:dyDescent="0.35">
      <c r="C74279" s="2"/>
    </row>
    <row r="74280" spans="3:3" x14ac:dyDescent="0.35">
      <c r="C74280" s="2"/>
    </row>
    <row r="74281" spans="3:3" x14ac:dyDescent="0.35">
      <c r="C74281" s="2"/>
    </row>
    <row r="74282" spans="3:3" x14ac:dyDescent="0.35">
      <c r="C74282" s="2"/>
    </row>
    <row r="74283" spans="3:3" x14ac:dyDescent="0.35">
      <c r="C74283" s="2"/>
    </row>
    <row r="74284" spans="3:3" x14ac:dyDescent="0.35">
      <c r="C74284" s="2"/>
    </row>
    <row r="74285" spans="3:3" x14ac:dyDescent="0.35">
      <c r="C74285" s="2"/>
    </row>
    <row r="74286" spans="3:3" x14ac:dyDescent="0.35">
      <c r="C74286" s="2"/>
    </row>
    <row r="74287" spans="3:3" x14ac:dyDescent="0.35">
      <c r="C74287" s="2"/>
    </row>
    <row r="74288" spans="3:3" x14ac:dyDescent="0.35">
      <c r="C74288" s="2"/>
    </row>
    <row r="74289" spans="3:3" x14ac:dyDescent="0.35">
      <c r="C74289" s="2"/>
    </row>
    <row r="74290" spans="3:3" x14ac:dyDescent="0.35">
      <c r="C74290" s="2"/>
    </row>
    <row r="74291" spans="3:3" x14ac:dyDescent="0.35">
      <c r="C74291" s="2"/>
    </row>
    <row r="74292" spans="3:3" x14ac:dyDescent="0.35">
      <c r="C74292" s="2"/>
    </row>
    <row r="74293" spans="3:3" x14ac:dyDescent="0.35">
      <c r="C74293" s="2"/>
    </row>
    <row r="74294" spans="3:3" x14ac:dyDescent="0.35">
      <c r="C74294" s="2"/>
    </row>
    <row r="74295" spans="3:3" x14ac:dyDescent="0.35">
      <c r="C74295" s="2"/>
    </row>
    <row r="74296" spans="3:3" x14ac:dyDescent="0.35">
      <c r="C74296" s="2"/>
    </row>
    <row r="74297" spans="3:3" x14ac:dyDescent="0.35">
      <c r="C74297" s="2"/>
    </row>
    <row r="74298" spans="3:3" x14ac:dyDescent="0.35">
      <c r="C74298" s="2"/>
    </row>
    <row r="74299" spans="3:3" x14ac:dyDescent="0.35">
      <c r="C74299" s="2"/>
    </row>
    <row r="74300" spans="3:3" x14ac:dyDescent="0.35">
      <c r="C74300" s="2"/>
    </row>
    <row r="74301" spans="3:3" x14ac:dyDescent="0.35">
      <c r="C74301" s="2"/>
    </row>
    <row r="74302" spans="3:3" x14ac:dyDescent="0.35">
      <c r="C74302" s="2"/>
    </row>
    <row r="74303" spans="3:3" x14ac:dyDescent="0.35">
      <c r="C74303" s="2"/>
    </row>
    <row r="74304" spans="3:3" x14ac:dyDescent="0.35">
      <c r="C74304" s="2"/>
    </row>
    <row r="74305" spans="3:3" x14ac:dyDescent="0.35">
      <c r="C74305" s="2"/>
    </row>
    <row r="74306" spans="3:3" x14ac:dyDescent="0.35">
      <c r="C74306" s="2"/>
    </row>
    <row r="74307" spans="3:3" x14ac:dyDescent="0.35">
      <c r="C74307" s="2"/>
    </row>
    <row r="74308" spans="3:3" x14ac:dyDescent="0.35">
      <c r="C74308" s="2"/>
    </row>
    <row r="74309" spans="3:3" x14ac:dyDescent="0.35">
      <c r="C74309" s="2"/>
    </row>
    <row r="74310" spans="3:3" x14ac:dyDescent="0.35">
      <c r="C74310" s="2"/>
    </row>
    <row r="74311" spans="3:3" x14ac:dyDescent="0.35">
      <c r="C74311" s="2"/>
    </row>
    <row r="74312" spans="3:3" x14ac:dyDescent="0.35">
      <c r="C74312" s="2"/>
    </row>
    <row r="74313" spans="3:3" x14ac:dyDescent="0.35">
      <c r="C74313" s="2"/>
    </row>
    <row r="74314" spans="3:3" x14ac:dyDescent="0.35">
      <c r="C74314" s="2"/>
    </row>
    <row r="74315" spans="3:3" x14ac:dyDescent="0.35">
      <c r="C74315" s="2"/>
    </row>
    <row r="74316" spans="3:3" x14ac:dyDescent="0.35">
      <c r="C74316" s="2"/>
    </row>
    <row r="74317" spans="3:3" x14ac:dyDescent="0.35">
      <c r="C74317" s="2"/>
    </row>
    <row r="74318" spans="3:3" x14ac:dyDescent="0.35">
      <c r="C74318" s="2"/>
    </row>
    <row r="74319" spans="3:3" x14ac:dyDescent="0.35">
      <c r="C74319" s="2"/>
    </row>
    <row r="74320" spans="3:3" x14ac:dyDescent="0.35">
      <c r="C74320" s="2"/>
    </row>
    <row r="74321" spans="3:3" x14ac:dyDescent="0.35">
      <c r="C74321" s="2"/>
    </row>
    <row r="74322" spans="3:3" x14ac:dyDescent="0.35">
      <c r="C74322" s="2"/>
    </row>
    <row r="74323" spans="3:3" x14ac:dyDescent="0.35">
      <c r="C74323" s="2"/>
    </row>
    <row r="74324" spans="3:3" x14ac:dyDescent="0.35">
      <c r="C74324" s="2"/>
    </row>
    <row r="74325" spans="3:3" x14ac:dyDescent="0.35">
      <c r="C74325" s="2"/>
    </row>
    <row r="74326" spans="3:3" x14ac:dyDescent="0.35">
      <c r="C74326" s="2"/>
    </row>
    <row r="74327" spans="3:3" x14ac:dyDescent="0.35">
      <c r="C74327" s="2"/>
    </row>
    <row r="74328" spans="3:3" x14ac:dyDescent="0.35">
      <c r="C74328" s="2"/>
    </row>
    <row r="74329" spans="3:3" x14ac:dyDescent="0.35">
      <c r="C74329" s="2"/>
    </row>
    <row r="74330" spans="3:3" x14ac:dyDescent="0.35">
      <c r="C74330" s="2"/>
    </row>
    <row r="74331" spans="3:3" x14ac:dyDescent="0.35">
      <c r="C74331" s="2"/>
    </row>
    <row r="74332" spans="3:3" x14ac:dyDescent="0.35">
      <c r="C74332" s="2"/>
    </row>
    <row r="74333" spans="3:3" x14ac:dyDescent="0.35">
      <c r="C74333" s="2"/>
    </row>
    <row r="74334" spans="3:3" x14ac:dyDescent="0.35">
      <c r="C74334" s="2"/>
    </row>
    <row r="74335" spans="3:3" x14ac:dyDescent="0.35">
      <c r="C74335" s="2"/>
    </row>
    <row r="74336" spans="3:3" x14ac:dyDescent="0.35">
      <c r="C74336" s="2"/>
    </row>
    <row r="74337" spans="3:3" x14ac:dyDescent="0.35">
      <c r="C74337" s="2"/>
    </row>
    <row r="74338" spans="3:3" x14ac:dyDescent="0.35">
      <c r="C74338" s="2"/>
    </row>
    <row r="74339" spans="3:3" x14ac:dyDescent="0.35">
      <c r="C74339" s="2"/>
    </row>
    <row r="74340" spans="3:3" x14ac:dyDescent="0.35">
      <c r="C74340" s="2"/>
    </row>
    <row r="74341" spans="3:3" x14ac:dyDescent="0.35">
      <c r="C74341" s="2"/>
    </row>
    <row r="74342" spans="3:3" x14ac:dyDescent="0.35">
      <c r="C74342" s="2"/>
    </row>
    <row r="74343" spans="3:3" x14ac:dyDescent="0.35">
      <c r="C74343" s="2"/>
    </row>
    <row r="74344" spans="3:3" x14ac:dyDescent="0.35">
      <c r="C74344" s="2"/>
    </row>
    <row r="74345" spans="3:3" x14ac:dyDescent="0.35">
      <c r="C74345" s="2"/>
    </row>
    <row r="74346" spans="3:3" x14ac:dyDescent="0.35">
      <c r="C74346" s="2"/>
    </row>
    <row r="74347" spans="3:3" x14ac:dyDescent="0.35">
      <c r="C74347" s="2"/>
    </row>
    <row r="74348" spans="3:3" x14ac:dyDescent="0.35">
      <c r="C74348" s="2"/>
    </row>
    <row r="74349" spans="3:3" x14ac:dyDescent="0.35">
      <c r="C74349" s="2"/>
    </row>
    <row r="74350" spans="3:3" x14ac:dyDescent="0.35">
      <c r="C74350" s="2"/>
    </row>
    <row r="74351" spans="3:3" x14ac:dyDescent="0.35">
      <c r="C74351" s="2"/>
    </row>
    <row r="74352" spans="3:3" x14ac:dyDescent="0.35">
      <c r="C74352" s="2"/>
    </row>
    <row r="74353" spans="3:3" x14ac:dyDescent="0.35">
      <c r="C74353" s="2"/>
    </row>
    <row r="74354" spans="3:3" x14ac:dyDescent="0.35">
      <c r="C74354" s="2"/>
    </row>
    <row r="74355" spans="3:3" x14ac:dyDescent="0.35">
      <c r="C74355" s="2"/>
    </row>
    <row r="74356" spans="3:3" x14ac:dyDescent="0.35">
      <c r="C74356" s="2"/>
    </row>
    <row r="74357" spans="3:3" x14ac:dyDescent="0.35">
      <c r="C74357" s="2"/>
    </row>
    <row r="74358" spans="3:3" x14ac:dyDescent="0.35">
      <c r="C74358" s="2"/>
    </row>
    <row r="74359" spans="3:3" x14ac:dyDescent="0.35">
      <c r="C74359" s="2"/>
    </row>
    <row r="74360" spans="3:3" x14ac:dyDescent="0.35">
      <c r="C74360" s="2"/>
    </row>
    <row r="74361" spans="3:3" x14ac:dyDescent="0.35">
      <c r="C74361" s="2"/>
    </row>
    <row r="74362" spans="3:3" x14ac:dyDescent="0.35">
      <c r="C74362" s="2"/>
    </row>
    <row r="74363" spans="3:3" x14ac:dyDescent="0.35">
      <c r="C74363" s="2"/>
    </row>
    <row r="74364" spans="3:3" x14ac:dyDescent="0.35">
      <c r="C74364" s="2"/>
    </row>
    <row r="74365" spans="3:3" x14ac:dyDescent="0.35">
      <c r="C74365" s="2"/>
    </row>
    <row r="74366" spans="3:3" x14ac:dyDescent="0.35">
      <c r="C74366" s="2"/>
    </row>
    <row r="74367" spans="3:3" x14ac:dyDescent="0.35">
      <c r="C74367" s="2"/>
    </row>
    <row r="74368" spans="3:3" x14ac:dyDescent="0.35">
      <c r="C74368" s="2"/>
    </row>
    <row r="74369" spans="3:3" x14ac:dyDescent="0.35">
      <c r="C74369" s="2"/>
    </row>
    <row r="74370" spans="3:3" x14ac:dyDescent="0.35">
      <c r="C74370" s="2"/>
    </row>
    <row r="74371" spans="3:3" x14ac:dyDescent="0.35">
      <c r="C74371" s="2"/>
    </row>
    <row r="74372" spans="3:3" x14ac:dyDescent="0.35">
      <c r="C74372" s="2"/>
    </row>
    <row r="74373" spans="3:3" x14ac:dyDescent="0.35">
      <c r="C74373" s="2"/>
    </row>
    <row r="74374" spans="3:3" x14ac:dyDescent="0.35">
      <c r="C74374" s="2"/>
    </row>
    <row r="74375" spans="3:3" x14ac:dyDescent="0.35">
      <c r="C74375" s="2"/>
    </row>
    <row r="74376" spans="3:3" x14ac:dyDescent="0.35">
      <c r="C74376" s="2"/>
    </row>
    <row r="74377" spans="3:3" x14ac:dyDescent="0.35">
      <c r="C74377" s="2"/>
    </row>
    <row r="74378" spans="3:3" x14ac:dyDescent="0.35">
      <c r="C74378" s="2"/>
    </row>
    <row r="74379" spans="3:3" x14ac:dyDescent="0.35">
      <c r="C74379" s="2"/>
    </row>
    <row r="74380" spans="3:3" x14ac:dyDescent="0.35">
      <c r="C74380" s="2"/>
    </row>
    <row r="74381" spans="3:3" x14ac:dyDescent="0.35">
      <c r="C74381" s="2"/>
    </row>
    <row r="74382" spans="3:3" x14ac:dyDescent="0.35">
      <c r="C74382" s="2"/>
    </row>
    <row r="74383" spans="3:3" x14ac:dyDescent="0.35">
      <c r="C74383" s="2"/>
    </row>
    <row r="74384" spans="3:3" x14ac:dyDescent="0.35">
      <c r="C74384" s="2"/>
    </row>
    <row r="74385" spans="3:3" x14ac:dyDescent="0.35">
      <c r="C74385" s="2"/>
    </row>
    <row r="74386" spans="3:3" x14ac:dyDescent="0.35">
      <c r="C74386" s="2"/>
    </row>
    <row r="74387" spans="3:3" x14ac:dyDescent="0.35">
      <c r="C74387" s="2"/>
    </row>
    <row r="74388" spans="3:3" x14ac:dyDescent="0.35">
      <c r="C74388" s="2"/>
    </row>
    <row r="74389" spans="3:3" x14ac:dyDescent="0.35">
      <c r="C74389" s="2"/>
    </row>
    <row r="74390" spans="3:3" x14ac:dyDescent="0.35">
      <c r="C74390" s="2"/>
    </row>
    <row r="74391" spans="3:3" x14ac:dyDescent="0.35">
      <c r="C74391" s="2"/>
    </row>
    <row r="74392" spans="3:3" x14ac:dyDescent="0.35">
      <c r="C74392" s="2"/>
    </row>
    <row r="74393" spans="3:3" x14ac:dyDescent="0.35">
      <c r="C74393" s="2"/>
    </row>
    <row r="74394" spans="3:3" x14ac:dyDescent="0.35">
      <c r="C74394" s="2"/>
    </row>
    <row r="74395" spans="3:3" x14ac:dyDescent="0.35">
      <c r="C74395" s="2"/>
    </row>
    <row r="74396" spans="3:3" x14ac:dyDescent="0.35">
      <c r="C74396" s="2"/>
    </row>
    <row r="74397" spans="3:3" x14ac:dyDescent="0.35">
      <c r="C74397" s="2"/>
    </row>
    <row r="74398" spans="3:3" x14ac:dyDescent="0.35">
      <c r="C74398" s="2"/>
    </row>
    <row r="74399" spans="3:3" x14ac:dyDescent="0.35">
      <c r="C74399" s="2"/>
    </row>
    <row r="74400" spans="3:3" x14ac:dyDescent="0.35">
      <c r="C74400" s="2"/>
    </row>
    <row r="74401" spans="3:3" x14ac:dyDescent="0.35">
      <c r="C74401" s="2"/>
    </row>
    <row r="74402" spans="3:3" x14ac:dyDescent="0.35">
      <c r="C74402" s="2"/>
    </row>
    <row r="74403" spans="3:3" x14ac:dyDescent="0.35">
      <c r="C74403" s="2"/>
    </row>
    <row r="74404" spans="3:3" x14ac:dyDescent="0.35">
      <c r="C74404" s="2"/>
    </row>
    <row r="74405" spans="3:3" x14ac:dyDescent="0.35">
      <c r="C74405" s="2"/>
    </row>
    <row r="74406" spans="3:3" x14ac:dyDescent="0.35">
      <c r="C74406" s="2"/>
    </row>
    <row r="74407" spans="3:3" x14ac:dyDescent="0.35">
      <c r="C74407" s="2"/>
    </row>
    <row r="74408" spans="3:3" x14ac:dyDescent="0.35">
      <c r="C74408" s="2"/>
    </row>
    <row r="74409" spans="3:3" x14ac:dyDescent="0.35">
      <c r="C74409" s="2"/>
    </row>
    <row r="74410" spans="3:3" x14ac:dyDescent="0.35">
      <c r="C74410" s="2"/>
    </row>
    <row r="74411" spans="3:3" x14ac:dyDescent="0.35">
      <c r="C74411" s="2"/>
    </row>
    <row r="74412" spans="3:3" x14ac:dyDescent="0.35">
      <c r="C74412" s="2"/>
    </row>
    <row r="74413" spans="3:3" x14ac:dyDescent="0.35">
      <c r="C74413" s="2"/>
    </row>
    <row r="74414" spans="3:3" x14ac:dyDescent="0.35">
      <c r="C74414" s="2"/>
    </row>
    <row r="74415" spans="3:3" x14ac:dyDescent="0.35">
      <c r="C74415" s="2"/>
    </row>
    <row r="74416" spans="3:3" x14ac:dyDescent="0.35">
      <c r="C74416" s="2"/>
    </row>
    <row r="74417" spans="3:3" x14ac:dyDescent="0.35">
      <c r="C74417" s="2"/>
    </row>
    <row r="74418" spans="3:3" x14ac:dyDescent="0.35">
      <c r="C74418" s="2"/>
    </row>
    <row r="74419" spans="3:3" x14ac:dyDescent="0.35">
      <c r="C74419" s="2"/>
    </row>
    <row r="74420" spans="3:3" x14ac:dyDescent="0.35">
      <c r="C74420" s="2"/>
    </row>
    <row r="74421" spans="3:3" x14ac:dyDescent="0.35">
      <c r="C74421" s="2"/>
    </row>
    <row r="74422" spans="3:3" x14ac:dyDescent="0.35">
      <c r="C74422" s="2"/>
    </row>
    <row r="74423" spans="3:3" x14ac:dyDescent="0.35">
      <c r="C74423" s="2"/>
    </row>
    <row r="74424" spans="3:3" x14ac:dyDescent="0.35">
      <c r="C74424" s="2"/>
    </row>
    <row r="74425" spans="3:3" x14ac:dyDescent="0.35">
      <c r="C74425" s="2"/>
    </row>
    <row r="74426" spans="3:3" x14ac:dyDescent="0.35">
      <c r="C74426" s="2"/>
    </row>
    <row r="74427" spans="3:3" x14ac:dyDescent="0.35">
      <c r="C74427" s="2"/>
    </row>
    <row r="74428" spans="3:3" x14ac:dyDescent="0.35">
      <c r="C74428" s="2"/>
    </row>
    <row r="74429" spans="3:3" x14ac:dyDescent="0.35">
      <c r="C74429" s="2"/>
    </row>
    <row r="74430" spans="3:3" x14ac:dyDescent="0.35">
      <c r="C74430" s="2"/>
    </row>
    <row r="74431" spans="3:3" x14ac:dyDescent="0.35">
      <c r="C74431" s="2"/>
    </row>
    <row r="74432" spans="3:3" x14ac:dyDescent="0.35">
      <c r="C74432" s="2"/>
    </row>
    <row r="74433" spans="3:3" x14ac:dyDescent="0.35">
      <c r="C74433" s="2"/>
    </row>
    <row r="74434" spans="3:3" x14ac:dyDescent="0.35">
      <c r="C74434" s="2"/>
    </row>
    <row r="74435" spans="3:3" x14ac:dyDescent="0.35">
      <c r="C74435" s="2"/>
    </row>
    <row r="74436" spans="3:3" x14ac:dyDescent="0.35">
      <c r="C74436" s="2"/>
    </row>
    <row r="74437" spans="3:3" x14ac:dyDescent="0.35">
      <c r="C74437" s="2"/>
    </row>
    <row r="74438" spans="3:3" x14ac:dyDescent="0.35">
      <c r="C74438" s="2"/>
    </row>
    <row r="74439" spans="3:3" x14ac:dyDescent="0.35">
      <c r="C74439" s="2"/>
    </row>
    <row r="74440" spans="3:3" x14ac:dyDescent="0.35">
      <c r="C74440" s="2"/>
    </row>
    <row r="74441" spans="3:3" x14ac:dyDescent="0.35">
      <c r="C74441" s="2"/>
    </row>
    <row r="74442" spans="3:3" x14ac:dyDescent="0.35">
      <c r="C74442" s="2"/>
    </row>
    <row r="74443" spans="3:3" x14ac:dyDescent="0.35">
      <c r="C74443" s="2"/>
    </row>
    <row r="74444" spans="3:3" x14ac:dyDescent="0.35">
      <c r="C74444" s="2"/>
    </row>
    <row r="74445" spans="3:3" x14ac:dyDescent="0.35">
      <c r="C74445" s="2"/>
    </row>
    <row r="74446" spans="3:3" x14ac:dyDescent="0.35">
      <c r="C74446" s="2"/>
    </row>
    <row r="74447" spans="3:3" x14ac:dyDescent="0.35">
      <c r="C74447" s="2"/>
    </row>
    <row r="74448" spans="3:3" x14ac:dyDescent="0.35">
      <c r="C74448" s="2"/>
    </row>
    <row r="74449" spans="3:3" x14ac:dyDescent="0.35">
      <c r="C74449" s="2"/>
    </row>
    <row r="74450" spans="3:3" x14ac:dyDescent="0.35">
      <c r="C74450" s="2"/>
    </row>
    <row r="74451" spans="3:3" x14ac:dyDescent="0.35">
      <c r="C74451" s="2"/>
    </row>
    <row r="74452" spans="3:3" x14ac:dyDescent="0.35">
      <c r="C74452" s="2"/>
    </row>
    <row r="74453" spans="3:3" x14ac:dyDescent="0.35">
      <c r="C74453" s="2"/>
    </row>
    <row r="74454" spans="3:3" x14ac:dyDescent="0.35">
      <c r="C74454" s="2"/>
    </row>
    <row r="74455" spans="3:3" x14ac:dyDescent="0.35">
      <c r="C74455" s="2"/>
    </row>
    <row r="74456" spans="3:3" x14ac:dyDescent="0.35">
      <c r="C74456" s="2"/>
    </row>
    <row r="74457" spans="3:3" x14ac:dyDescent="0.35">
      <c r="C74457" s="2"/>
    </row>
    <row r="74458" spans="3:3" x14ac:dyDescent="0.35">
      <c r="C74458" s="2"/>
    </row>
    <row r="74459" spans="3:3" x14ac:dyDescent="0.35">
      <c r="C74459" s="2"/>
    </row>
    <row r="74460" spans="3:3" x14ac:dyDescent="0.35">
      <c r="C74460" s="2"/>
    </row>
    <row r="74461" spans="3:3" x14ac:dyDescent="0.35">
      <c r="C74461" s="2"/>
    </row>
    <row r="74462" spans="3:3" x14ac:dyDescent="0.35">
      <c r="C74462" s="2"/>
    </row>
    <row r="74463" spans="3:3" x14ac:dyDescent="0.35">
      <c r="C74463" s="2"/>
    </row>
    <row r="74464" spans="3:3" x14ac:dyDescent="0.35">
      <c r="C74464" s="2"/>
    </row>
    <row r="74465" spans="3:3" x14ac:dyDescent="0.35">
      <c r="C74465" s="2"/>
    </row>
    <row r="74466" spans="3:3" x14ac:dyDescent="0.35">
      <c r="C74466" s="2"/>
    </row>
    <row r="74467" spans="3:3" x14ac:dyDescent="0.35">
      <c r="C74467" s="2"/>
    </row>
    <row r="74468" spans="3:3" x14ac:dyDescent="0.35">
      <c r="C74468" s="2"/>
    </row>
    <row r="74469" spans="3:3" x14ac:dyDescent="0.35">
      <c r="C74469" s="2"/>
    </row>
    <row r="74470" spans="3:3" x14ac:dyDescent="0.35">
      <c r="C74470" s="2"/>
    </row>
    <row r="74471" spans="3:3" x14ac:dyDescent="0.35">
      <c r="C74471" s="2"/>
    </row>
    <row r="74472" spans="3:3" x14ac:dyDescent="0.35">
      <c r="C74472" s="2"/>
    </row>
    <row r="74473" spans="3:3" x14ac:dyDescent="0.35">
      <c r="C74473" s="2"/>
    </row>
    <row r="74474" spans="3:3" x14ac:dyDescent="0.35">
      <c r="C74474" s="2"/>
    </row>
    <row r="74475" spans="3:3" x14ac:dyDescent="0.35">
      <c r="C74475" s="2"/>
    </row>
    <row r="74476" spans="3:3" x14ac:dyDescent="0.35">
      <c r="C74476" s="2"/>
    </row>
    <row r="74477" spans="3:3" x14ac:dyDescent="0.35">
      <c r="C74477" s="2"/>
    </row>
    <row r="74478" spans="3:3" x14ac:dyDescent="0.35">
      <c r="C74478" s="2"/>
    </row>
    <row r="74479" spans="3:3" x14ac:dyDescent="0.35">
      <c r="C74479" s="2"/>
    </row>
    <row r="74480" spans="3:3" x14ac:dyDescent="0.35">
      <c r="C74480" s="2"/>
    </row>
    <row r="74481" spans="3:3" x14ac:dyDescent="0.35">
      <c r="C74481" s="2"/>
    </row>
    <row r="74482" spans="3:3" x14ac:dyDescent="0.35">
      <c r="C74482" s="2"/>
    </row>
    <row r="74483" spans="3:3" x14ac:dyDescent="0.35">
      <c r="C74483" s="2"/>
    </row>
    <row r="74484" spans="3:3" x14ac:dyDescent="0.35">
      <c r="C74484" s="2"/>
    </row>
    <row r="74485" spans="3:3" x14ac:dyDescent="0.35">
      <c r="C74485" s="2"/>
    </row>
    <row r="74486" spans="3:3" x14ac:dyDescent="0.35">
      <c r="C74486" s="2"/>
    </row>
    <row r="74487" spans="3:3" x14ac:dyDescent="0.35">
      <c r="C74487" s="2"/>
    </row>
    <row r="74488" spans="3:3" x14ac:dyDescent="0.35">
      <c r="C74488" s="2"/>
    </row>
    <row r="74489" spans="3:3" x14ac:dyDescent="0.35">
      <c r="C74489" s="2"/>
    </row>
    <row r="74490" spans="3:3" x14ac:dyDescent="0.35">
      <c r="C74490" s="2"/>
    </row>
    <row r="74491" spans="3:3" x14ac:dyDescent="0.35">
      <c r="C74491" s="2"/>
    </row>
    <row r="74492" spans="3:3" x14ac:dyDescent="0.35">
      <c r="C74492" s="2"/>
    </row>
    <row r="74493" spans="3:3" x14ac:dyDescent="0.35">
      <c r="C74493" s="2"/>
    </row>
    <row r="74494" spans="3:3" x14ac:dyDescent="0.35">
      <c r="C74494" s="2"/>
    </row>
    <row r="74495" spans="3:3" x14ac:dyDescent="0.35">
      <c r="C74495" s="2"/>
    </row>
    <row r="74496" spans="3:3" x14ac:dyDescent="0.35">
      <c r="C74496" s="2"/>
    </row>
    <row r="74497" spans="3:3" x14ac:dyDescent="0.35">
      <c r="C74497" s="2"/>
    </row>
    <row r="74498" spans="3:3" x14ac:dyDescent="0.35">
      <c r="C74498" s="2"/>
    </row>
    <row r="74499" spans="3:3" x14ac:dyDescent="0.35">
      <c r="C74499" s="2"/>
    </row>
    <row r="74500" spans="3:3" x14ac:dyDescent="0.35">
      <c r="C74500" s="2"/>
    </row>
    <row r="74501" spans="3:3" x14ac:dyDescent="0.35">
      <c r="C74501" s="2"/>
    </row>
    <row r="74502" spans="3:3" x14ac:dyDescent="0.35">
      <c r="C74502" s="2"/>
    </row>
    <row r="74503" spans="3:3" x14ac:dyDescent="0.35">
      <c r="C74503" s="2"/>
    </row>
    <row r="74504" spans="3:3" x14ac:dyDescent="0.35">
      <c r="C74504" s="2"/>
    </row>
    <row r="74505" spans="3:3" x14ac:dyDescent="0.35">
      <c r="C74505" s="2"/>
    </row>
    <row r="74506" spans="3:3" x14ac:dyDescent="0.35">
      <c r="C74506" s="2"/>
    </row>
    <row r="74507" spans="3:3" x14ac:dyDescent="0.35">
      <c r="C74507" s="2"/>
    </row>
    <row r="74508" spans="3:3" x14ac:dyDescent="0.35">
      <c r="C74508" s="2"/>
    </row>
    <row r="74509" spans="3:3" x14ac:dyDescent="0.35">
      <c r="C74509" s="2"/>
    </row>
    <row r="74510" spans="3:3" x14ac:dyDescent="0.35">
      <c r="C74510" s="2"/>
    </row>
    <row r="74511" spans="3:3" x14ac:dyDescent="0.35">
      <c r="C74511" s="2"/>
    </row>
    <row r="74512" spans="3:3" x14ac:dyDescent="0.35">
      <c r="C74512" s="2"/>
    </row>
    <row r="74513" spans="3:3" x14ac:dyDescent="0.35">
      <c r="C74513" s="2"/>
    </row>
    <row r="74514" spans="3:3" x14ac:dyDescent="0.35">
      <c r="C74514" s="2"/>
    </row>
    <row r="74515" spans="3:3" x14ac:dyDescent="0.35">
      <c r="C74515" s="2"/>
    </row>
    <row r="74516" spans="3:3" x14ac:dyDescent="0.35">
      <c r="C74516" s="2"/>
    </row>
    <row r="74517" spans="3:3" x14ac:dyDescent="0.35">
      <c r="C74517" s="2"/>
    </row>
    <row r="74518" spans="3:3" x14ac:dyDescent="0.35">
      <c r="C74518" s="2"/>
    </row>
    <row r="74519" spans="3:3" x14ac:dyDescent="0.35">
      <c r="C74519" s="2"/>
    </row>
    <row r="74520" spans="3:3" x14ac:dyDescent="0.35">
      <c r="C74520" s="2"/>
    </row>
    <row r="74521" spans="3:3" x14ac:dyDescent="0.35">
      <c r="C74521" s="2"/>
    </row>
    <row r="74522" spans="3:3" x14ac:dyDescent="0.35">
      <c r="C74522" s="2"/>
    </row>
    <row r="74523" spans="3:3" x14ac:dyDescent="0.35">
      <c r="C74523" s="2"/>
    </row>
    <row r="74524" spans="3:3" x14ac:dyDescent="0.35">
      <c r="C74524" s="2"/>
    </row>
    <row r="74525" spans="3:3" x14ac:dyDescent="0.35">
      <c r="C74525" s="2"/>
    </row>
    <row r="74526" spans="3:3" x14ac:dyDescent="0.35">
      <c r="C74526" s="2"/>
    </row>
    <row r="74527" spans="3:3" x14ac:dyDescent="0.35">
      <c r="C74527" s="2"/>
    </row>
    <row r="74528" spans="3:3" x14ac:dyDescent="0.35">
      <c r="C74528" s="2"/>
    </row>
    <row r="74529" spans="3:3" x14ac:dyDescent="0.35">
      <c r="C74529" s="2"/>
    </row>
    <row r="74530" spans="3:3" x14ac:dyDescent="0.35">
      <c r="C74530" s="2"/>
    </row>
    <row r="74531" spans="3:3" x14ac:dyDescent="0.35">
      <c r="C74531" s="2"/>
    </row>
    <row r="74532" spans="3:3" x14ac:dyDescent="0.35">
      <c r="C74532" s="2"/>
    </row>
    <row r="74533" spans="3:3" x14ac:dyDescent="0.35">
      <c r="C74533" s="2"/>
    </row>
    <row r="74534" spans="3:3" x14ac:dyDescent="0.35">
      <c r="C74534" s="2"/>
    </row>
    <row r="74535" spans="3:3" x14ac:dyDescent="0.35">
      <c r="C74535" s="2"/>
    </row>
    <row r="74536" spans="3:3" x14ac:dyDescent="0.35">
      <c r="C74536" s="2"/>
    </row>
    <row r="74537" spans="3:3" x14ac:dyDescent="0.35">
      <c r="C74537" s="2"/>
    </row>
    <row r="74538" spans="3:3" x14ac:dyDescent="0.35">
      <c r="C74538" s="2"/>
    </row>
    <row r="74539" spans="3:3" x14ac:dyDescent="0.35">
      <c r="C74539" s="2"/>
    </row>
    <row r="74540" spans="3:3" x14ac:dyDescent="0.35">
      <c r="C74540" s="2"/>
    </row>
    <row r="74541" spans="3:3" x14ac:dyDescent="0.35">
      <c r="C74541" s="2"/>
    </row>
    <row r="74542" spans="3:3" x14ac:dyDescent="0.35">
      <c r="C74542" s="2"/>
    </row>
    <row r="74543" spans="3:3" x14ac:dyDescent="0.35">
      <c r="C74543" s="2"/>
    </row>
    <row r="74544" spans="3:3" x14ac:dyDescent="0.35">
      <c r="C74544" s="2"/>
    </row>
    <row r="74545" spans="3:3" x14ac:dyDescent="0.35">
      <c r="C74545" s="2"/>
    </row>
    <row r="74546" spans="3:3" x14ac:dyDescent="0.35">
      <c r="C74546" s="2"/>
    </row>
    <row r="74547" spans="3:3" x14ac:dyDescent="0.35">
      <c r="C74547" s="2"/>
    </row>
    <row r="74548" spans="3:3" x14ac:dyDescent="0.35">
      <c r="C74548" s="2"/>
    </row>
    <row r="74549" spans="3:3" x14ac:dyDescent="0.35">
      <c r="C74549" s="2"/>
    </row>
    <row r="74550" spans="3:3" x14ac:dyDescent="0.35">
      <c r="C74550" s="2"/>
    </row>
    <row r="74551" spans="3:3" x14ac:dyDescent="0.35">
      <c r="C74551" s="2"/>
    </row>
    <row r="74552" spans="3:3" x14ac:dyDescent="0.35">
      <c r="C74552" s="2"/>
    </row>
    <row r="74553" spans="3:3" x14ac:dyDescent="0.35">
      <c r="C74553" s="2"/>
    </row>
    <row r="74554" spans="3:3" x14ac:dyDescent="0.35">
      <c r="C74554" s="2"/>
    </row>
    <row r="74555" spans="3:3" x14ac:dyDescent="0.35">
      <c r="C74555" s="2"/>
    </row>
    <row r="74556" spans="3:3" x14ac:dyDescent="0.35">
      <c r="C74556" s="2"/>
    </row>
    <row r="74557" spans="3:3" x14ac:dyDescent="0.35">
      <c r="C74557" s="2"/>
    </row>
    <row r="74558" spans="3:3" x14ac:dyDescent="0.35">
      <c r="C74558" s="2"/>
    </row>
    <row r="74559" spans="3:3" x14ac:dyDescent="0.35">
      <c r="C74559" s="2"/>
    </row>
    <row r="74560" spans="3:3" x14ac:dyDescent="0.35">
      <c r="C74560" s="2"/>
    </row>
    <row r="74561" spans="3:3" x14ac:dyDescent="0.35">
      <c r="C74561" s="2"/>
    </row>
    <row r="74562" spans="3:3" x14ac:dyDescent="0.35">
      <c r="C74562" s="2"/>
    </row>
    <row r="74563" spans="3:3" x14ac:dyDescent="0.35">
      <c r="C74563" s="2"/>
    </row>
    <row r="74564" spans="3:3" x14ac:dyDescent="0.35">
      <c r="C74564" s="2"/>
    </row>
    <row r="74565" spans="3:3" x14ac:dyDescent="0.35">
      <c r="C74565" s="2"/>
    </row>
    <row r="74566" spans="3:3" x14ac:dyDescent="0.35">
      <c r="C74566" s="2"/>
    </row>
    <row r="74567" spans="3:3" x14ac:dyDescent="0.35">
      <c r="C74567" s="2"/>
    </row>
    <row r="74568" spans="3:3" x14ac:dyDescent="0.35">
      <c r="C74568" s="2"/>
    </row>
    <row r="74569" spans="3:3" x14ac:dyDescent="0.35">
      <c r="C74569" s="2"/>
    </row>
    <row r="74570" spans="3:3" x14ac:dyDescent="0.35">
      <c r="C74570" s="2"/>
    </row>
    <row r="74571" spans="3:3" x14ac:dyDescent="0.35">
      <c r="C74571" s="2"/>
    </row>
    <row r="74572" spans="3:3" x14ac:dyDescent="0.35">
      <c r="C74572" s="2"/>
    </row>
    <row r="74573" spans="3:3" x14ac:dyDescent="0.35">
      <c r="C74573" s="2"/>
    </row>
    <row r="74574" spans="3:3" x14ac:dyDescent="0.35">
      <c r="C74574" s="2"/>
    </row>
    <row r="74575" spans="3:3" x14ac:dyDescent="0.35">
      <c r="C74575" s="2"/>
    </row>
    <row r="74576" spans="3:3" x14ac:dyDescent="0.35">
      <c r="C74576" s="2"/>
    </row>
    <row r="74577" spans="3:3" x14ac:dyDescent="0.35">
      <c r="C74577" s="2"/>
    </row>
    <row r="74578" spans="3:3" x14ac:dyDescent="0.35">
      <c r="C74578" s="2"/>
    </row>
    <row r="74579" spans="3:3" x14ac:dyDescent="0.35">
      <c r="C74579" s="2"/>
    </row>
    <row r="74580" spans="3:3" x14ac:dyDescent="0.35">
      <c r="C74580" s="2"/>
    </row>
    <row r="74581" spans="3:3" x14ac:dyDescent="0.35">
      <c r="C74581" s="2"/>
    </row>
    <row r="74582" spans="3:3" x14ac:dyDescent="0.35">
      <c r="C74582" s="2"/>
    </row>
    <row r="74583" spans="3:3" x14ac:dyDescent="0.35">
      <c r="C74583" s="2"/>
    </row>
    <row r="74584" spans="3:3" x14ac:dyDescent="0.35">
      <c r="C74584" s="2"/>
    </row>
    <row r="74585" spans="3:3" x14ac:dyDescent="0.35">
      <c r="C74585" s="2"/>
    </row>
    <row r="74586" spans="3:3" x14ac:dyDescent="0.35">
      <c r="C74586" s="2"/>
    </row>
    <row r="74587" spans="3:3" x14ac:dyDescent="0.35">
      <c r="C74587" s="2"/>
    </row>
    <row r="74588" spans="3:3" x14ac:dyDescent="0.35">
      <c r="C74588" s="2"/>
    </row>
    <row r="74589" spans="3:3" x14ac:dyDescent="0.35">
      <c r="C74589" s="2"/>
    </row>
    <row r="74590" spans="3:3" x14ac:dyDescent="0.35">
      <c r="C74590" s="2"/>
    </row>
    <row r="74591" spans="3:3" x14ac:dyDescent="0.35">
      <c r="C74591" s="2"/>
    </row>
    <row r="74592" spans="3:3" x14ac:dyDescent="0.35">
      <c r="C74592" s="2"/>
    </row>
    <row r="74593" spans="3:3" x14ac:dyDescent="0.35">
      <c r="C74593" s="2"/>
    </row>
    <row r="74594" spans="3:3" x14ac:dyDescent="0.35">
      <c r="C74594" s="2"/>
    </row>
    <row r="74595" spans="3:3" x14ac:dyDescent="0.35">
      <c r="C74595" s="2"/>
    </row>
    <row r="74596" spans="3:3" x14ac:dyDescent="0.35">
      <c r="C74596" s="2"/>
    </row>
    <row r="74597" spans="3:3" x14ac:dyDescent="0.35">
      <c r="C74597" s="2"/>
    </row>
    <row r="74598" spans="3:3" x14ac:dyDescent="0.35">
      <c r="C74598" s="2"/>
    </row>
    <row r="74599" spans="3:3" x14ac:dyDescent="0.35">
      <c r="C74599" s="2"/>
    </row>
    <row r="74600" spans="3:3" x14ac:dyDescent="0.35">
      <c r="C74600" s="2"/>
    </row>
    <row r="74601" spans="3:3" x14ac:dyDescent="0.35">
      <c r="C74601" s="2"/>
    </row>
    <row r="74602" spans="3:3" x14ac:dyDescent="0.35">
      <c r="C74602" s="2"/>
    </row>
    <row r="74603" spans="3:3" x14ac:dyDescent="0.35">
      <c r="C74603" s="2"/>
    </row>
    <row r="74604" spans="3:3" x14ac:dyDescent="0.35">
      <c r="C74604" s="2"/>
    </row>
    <row r="74605" spans="3:3" x14ac:dyDescent="0.35">
      <c r="C74605" s="2"/>
    </row>
    <row r="74606" spans="3:3" x14ac:dyDescent="0.35">
      <c r="C74606" s="2"/>
    </row>
    <row r="74607" spans="3:3" x14ac:dyDescent="0.35">
      <c r="C74607" s="2"/>
    </row>
    <row r="74608" spans="3:3" x14ac:dyDescent="0.35">
      <c r="C74608" s="2"/>
    </row>
    <row r="74609" spans="3:3" x14ac:dyDescent="0.35">
      <c r="C74609" s="2"/>
    </row>
    <row r="74610" spans="3:3" x14ac:dyDescent="0.35">
      <c r="C74610" s="2"/>
    </row>
    <row r="74611" spans="3:3" x14ac:dyDescent="0.35">
      <c r="C74611" s="2"/>
    </row>
    <row r="74612" spans="3:3" x14ac:dyDescent="0.35">
      <c r="C74612" s="2"/>
    </row>
    <row r="74613" spans="3:3" x14ac:dyDescent="0.35">
      <c r="C74613" s="2"/>
    </row>
    <row r="74614" spans="3:3" x14ac:dyDescent="0.35">
      <c r="C74614" s="2"/>
    </row>
    <row r="74615" spans="3:3" x14ac:dyDescent="0.35">
      <c r="C74615" s="2"/>
    </row>
    <row r="74616" spans="3:3" x14ac:dyDescent="0.35">
      <c r="C74616" s="2"/>
    </row>
    <row r="74617" spans="3:3" x14ac:dyDescent="0.35">
      <c r="C74617" s="2"/>
    </row>
    <row r="74618" spans="3:3" x14ac:dyDescent="0.35">
      <c r="C74618" s="2"/>
    </row>
    <row r="74619" spans="3:3" x14ac:dyDescent="0.35">
      <c r="C74619" s="2"/>
    </row>
    <row r="74620" spans="3:3" x14ac:dyDescent="0.35">
      <c r="C74620" s="2"/>
    </row>
    <row r="74621" spans="3:3" x14ac:dyDescent="0.35">
      <c r="C74621" s="2"/>
    </row>
    <row r="74622" spans="3:3" x14ac:dyDescent="0.35">
      <c r="C74622" s="2"/>
    </row>
    <row r="74623" spans="3:3" x14ac:dyDescent="0.35">
      <c r="C74623" s="2"/>
    </row>
    <row r="74624" spans="3:3" x14ac:dyDescent="0.35">
      <c r="C74624" s="2"/>
    </row>
    <row r="74625" spans="3:3" x14ac:dyDescent="0.35">
      <c r="C74625" s="2"/>
    </row>
    <row r="74626" spans="3:3" x14ac:dyDescent="0.35">
      <c r="C74626" s="2"/>
    </row>
    <row r="74627" spans="3:3" x14ac:dyDescent="0.35">
      <c r="C74627" s="2"/>
    </row>
    <row r="74628" spans="3:3" x14ac:dyDescent="0.35">
      <c r="C74628" s="2"/>
    </row>
    <row r="74629" spans="3:3" x14ac:dyDescent="0.35">
      <c r="C74629" s="2"/>
    </row>
    <row r="74630" spans="3:3" x14ac:dyDescent="0.35">
      <c r="C74630" s="2"/>
    </row>
    <row r="74631" spans="3:3" x14ac:dyDescent="0.35">
      <c r="C74631" s="2"/>
    </row>
    <row r="74632" spans="3:3" x14ac:dyDescent="0.35">
      <c r="C74632" s="2"/>
    </row>
    <row r="74633" spans="3:3" x14ac:dyDescent="0.35">
      <c r="C74633" s="2"/>
    </row>
    <row r="74634" spans="3:3" x14ac:dyDescent="0.35">
      <c r="C74634" s="2"/>
    </row>
    <row r="74635" spans="3:3" x14ac:dyDescent="0.35">
      <c r="C74635" s="2"/>
    </row>
    <row r="74636" spans="3:3" x14ac:dyDescent="0.35">
      <c r="C74636" s="2"/>
    </row>
    <row r="74637" spans="3:3" x14ac:dyDescent="0.35">
      <c r="C74637" s="2"/>
    </row>
    <row r="74638" spans="3:3" x14ac:dyDescent="0.35">
      <c r="C74638" s="2"/>
    </row>
    <row r="74639" spans="3:3" x14ac:dyDescent="0.35">
      <c r="C74639" s="2"/>
    </row>
    <row r="74640" spans="3:3" x14ac:dyDescent="0.35">
      <c r="C74640" s="2"/>
    </row>
    <row r="74641" spans="3:3" x14ac:dyDescent="0.35">
      <c r="C74641" s="2"/>
    </row>
    <row r="74642" spans="3:3" x14ac:dyDescent="0.35">
      <c r="C74642" s="2"/>
    </row>
    <row r="74643" spans="3:3" x14ac:dyDescent="0.35">
      <c r="C74643" s="2"/>
    </row>
    <row r="74644" spans="3:3" x14ac:dyDescent="0.35">
      <c r="C74644" s="2"/>
    </row>
    <row r="74645" spans="3:3" x14ac:dyDescent="0.35">
      <c r="C74645" s="2"/>
    </row>
    <row r="74646" spans="3:3" x14ac:dyDescent="0.35">
      <c r="C74646" s="2"/>
    </row>
    <row r="74647" spans="3:3" x14ac:dyDescent="0.35">
      <c r="C74647" s="2"/>
    </row>
    <row r="74648" spans="3:3" x14ac:dyDescent="0.35">
      <c r="C74648" s="2"/>
    </row>
    <row r="74649" spans="3:3" x14ac:dyDescent="0.35">
      <c r="C74649" s="2"/>
    </row>
    <row r="74650" spans="3:3" x14ac:dyDescent="0.35">
      <c r="C74650" s="2"/>
    </row>
    <row r="74651" spans="3:3" x14ac:dyDescent="0.35">
      <c r="C74651" s="2"/>
    </row>
    <row r="74652" spans="3:3" x14ac:dyDescent="0.35">
      <c r="C74652" s="2"/>
    </row>
    <row r="74653" spans="3:3" x14ac:dyDescent="0.35">
      <c r="C74653" s="2"/>
    </row>
    <row r="74654" spans="3:3" x14ac:dyDescent="0.35">
      <c r="C74654" s="2"/>
    </row>
    <row r="74655" spans="3:3" x14ac:dyDescent="0.35">
      <c r="C74655" s="2"/>
    </row>
    <row r="74656" spans="3:3" x14ac:dyDescent="0.35">
      <c r="C74656" s="2"/>
    </row>
    <row r="74657" spans="3:3" x14ac:dyDescent="0.35">
      <c r="C74657" s="2"/>
    </row>
    <row r="74658" spans="3:3" x14ac:dyDescent="0.35">
      <c r="C74658" s="2"/>
    </row>
    <row r="74659" spans="3:3" x14ac:dyDescent="0.35">
      <c r="C74659" s="2"/>
    </row>
    <row r="74660" spans="3:3" x14ac:dyDescent="0.35">
      <c r="C74660" s="2"/>
    </row>
    <row r="74661" spans="3:3" x14ac:dyDescent="0.35">
      <c r="C74661" s="2"/>
    </row>
    <row r="74662" spans="3:3" x14ac:dyDescent="0.35">
      <c r="C74662" s="2"/>
    </row>
    <row r="74663" spans="3:3" x14ac:dyDescent="0.35">
      <c r="C74663" s="2"/>
    </row>
    <row r="74664" spans="3:3" x14ac:dyDescent="0.35">
      <c r="C74664" s="2"/>
    </row>
    <row r="74665" spans="3:3" x14ac:dyDescent="0.35">
      <c r="C74665" s="2"/>
    </row>
    <row r="74666" spans="3:3" x14ac:dyDescent="0.35">
      <c r="C74666" s="2"/>
    </row>
    <row r="74667" spans="3:3" x14ac:dyDescent="0.35">
      <c r="C74667" s="2"/>
    </row>
    <row r="74668" spans="3:3" x14ac:dyDescent="0.35">
      <c r="C74668" s="2"/>
    </row>
    <row r="74669" spans="3:3" x14ac:dyDescent="0.35">
      <c r="C74669" s="2"/>
    </row>
    <row r="74670" spans="3:3" x14ac:dyDescent="0.35">
      <c r="C74670" s="2"/>
    </row>
    <row r="74671" spans="3:3" x14ac:dyDescent="0.35">
      <c r="C74671" s="2"/>
    </row>
    <row r="74672" spans="3:3" x14ac:dyDescent="0.35">
      <c r="C74672" s="2"/>
    </row>
    <row r="74673" spans="3:3" x14ac:dyDescent="0.35">
      <c r="C74673" s="2"/>
    </row>
    <row r="74674" spans="3:3" x14ac:dyDescent="0.35">
      <c r="C74674" s="2"/>
    </row>
    <row r="74675" spans="3:3" x14ac:dyDescent="0.35">
      <c r="C74675" s="2"/>
    </row>
    <row r="74676" spans="3:3" x14ac:dyDescent="0.35">
      <c r="C74676" s="2"/>
    </row>
    <row r="74677" spans="3:3" x14ac:dyDescent="0.35">
      <c r="C74677" s="2"/>
    </row>
    <row r="74678" spans="3:3" x14ac:dyDescent="0.35">
      <c r="C74678" s="2"/>
    </row>
    <row r="74679" spans="3:3" x14ac:dyDescent="0.35">
      <c r="C74679" s="2"/>
    </row>
    <row r="74680" spans="3:3" x14ac:dyDescent="0.35">
      <c r="C74680" s="2"/>
    </row>
    <row r="74681" spans="3:3" x14ac:dyDescent="0.35">
      <c r="C74681" s="2"/>
    </row>
    <row r="74682" spans="3:3" x14ac:dyDescent="0.35">
      <c r="C74682" s="2"/>
    </row>
    <row r="74683" spans="3:3" x14ac:dyDescent="0.35">
      <c r="C74683" s="2"/>
    </row>
    <row r="74684" spans="3:3" x14ac:dyDescent="0.35">
      <c r="C74684" s="2"/>
    </row>
    <row r="74685" spans="3:3" x14ac:dyDescent="0.35">
      <c r="C74685" s="2"/>
    </row>
    <row r="74686" spans="3:3" x14ac:dyDescent="0.35">
      <c r="C74686" s="2"/>
    </row>
    <row r="74687" spans="3:3" x14ac:dyDescent="0.35">
      <c r="C74687" s="2"/>
    </row>
    <row r="74688" spans="3:3" x14ac:dyDescent="0.35">
      <c r="C74688" s="2"/>
    </row>
    <row r="74689" spans="3:3" x14ac:dyDescent="0.35">
      <c r="C74689" s="2"/>
    </row>
    <row r="74690" spans="3:3" x14ac:dyDescent="0.35">
      <c r="C74690" s="2"/>
    </row>
    <row r="74691" spans="3:3" x14ac:dyDescent="0.35">
      <c r="C74691" s="2"/>
    </row>
    <row r="74692" spans="3:3" x14ac:dyDescent="0.35">
      <c r="C74692" s="2"/>
    </row>
    <row r="74693" spans="3:3" x14ac:dyDescent="0.35">
      <c r="C74693" s="2"/>
    </row>
    <row r="74694" spans="3:3" x14ac:dyDescent="0.35">
      <c r="C74694" s="2"/>
    </row>
    <row r="74695" spans="3:3" x14ac:dyDescent="0.35">
      <c r="C74695" s="2"/>
    </row>
    <row r="74696" spans="3:3" x14ac:dyDescent="0.35">
      <c r="C74696" s="2"/>
    </row>
    <row r="74697" spans="3:3" x14ac:dyDescent="0.35">
      <c r="C74697" s="2"/>
    </row>
    <row r="74698" spans="3:3" x14ac:dyDescent="0.35">
      <c r="C74698" s="2"/>
    </row>
    <row r="74699" spans="3:3" x14ac:dyDescent="0.35">
      <c r="C74699" s="2"/>
    </row>
    <row r="74700" spans="3:3" x14ac:dyDescent="0.35">
      <c r="C74700" s="2"/>
    </row>
    <row r="74701" spans="3:3" x14ac:dyDescent="0.35">
      <c r="C74701" s="2"/>
    </row>
    <row r="74702" spans="3:3" x14ac:dyDescent="0.35">
      <c r="C74702" s="2"/>
    </row>
    <row r="74703" spans="3:3" x14ac:dyDescent="0.35">
      <c r="C74703" s="2"/>
    </row>
    <row r="74704" spans="3:3" x14ac:dyDescent="0.35">
      <c r="C74704" s="2"/>
    </row>
    <row r="74705" spans="3:3" x14ac:dyDescent="0.35">
      <c r="C74705" s="2"/>
    </row>
    <row r="74706" spans="3:3" x14ac:dyDescent="0.35">
      <c r="C74706" s="2"/>
    </row>
    <row r="74707" spans="3:3" x14ac:dyDescent="0.35">
      <c r="C74707" s="2"/>
    </row>
    <row r="74708" spans="3:3" x14ac:dyDescent="0.35">
      <c r="C74708" s="2"/>
    </row>
    <row r="74709" spans="3:3" x14ac:dyDescent="0.35">
      <c r="C74709" s="2"/>
    </row>
    <row r="74710" spans="3:3" x14ac:dyDescent="0.35">
      <c r="C74710" s="2"/>
    </row>
    <row r="74711" spans="3:3" x14ac:dyDescent="0.35">
      <c r="C74711" s="2"/>
    </row>
    <row r="74712" spans="3:3" x14ac:dyDescent="0.35">
      <c r="C74712" s="2"/>
    </row>
    <row r="74713" spans="3:3" x14ac:dyDescent="0.35">
      <c r="C74713" s="2"/>
    </row>
    <row r="74714" spans="3:3" x14ac:dyDescent="0.35">
      <c r="C74714" s="2"/>
    </row>
    <row r="74715" spans="3:3" x14ac:dyDescent="0.35">
      <c r="C74715" s="2"/>
    </row>
    <row r="74716" spans="3:3" x14ac:dyDescent="0.35">
      <c r="C74716" s="2"/>
    </row>
    <row r="74717" spans="3:3" x14ac:dyDescent="0.35">
      <c r="C74717" s="2"/>
    </row>
    <row r="74718" spans="3:3" x14ac:dyDescent="0.35">
      <c r="C74718" s="2"/>
    </row>
    <row r="74719" spans="3:3" x14ac:dyDescent="0.35">
      <c r="C74719" s="2"/>
    </row>
    <row r="74720" spans="3:3" x14ac:dyDescent="0.35">
      <c r="C74720" s="2"/>
    </row>
    <row r="74721" spans="3:3" x14ac:dyDescent="0.35">
      <c r="C74721" s="2"/>
    </row>
    <row r="74722" spans="3:3" x14ac:dyDescent="0.35">
      <c r="C74722" s="2"/>
    </row>
    <row r="74723" spans="3:3" x14ac:dyDescent="0.35">
      <c r="C74723" s="2"/>
    </row>
    <row r="74724" spans="3:3" x14ac:dyDescent="0.35">
      <c r="C74724" s="2"/>
    </row>
    <row r="74725" spans="3:3" x14ac:dyDescent="0.35">
      <c r="C74725" s="2"/>
    </row>
    <row r="74726" spans="3:3" x14ac:dyDescent="0.35">
      <c r="C74726" s="2"/>
    </row>
    <row r="74727" spans="3:3" x14ac:dyDescent="0.35">
      <c r="C74727" s="2"/>
    </row>
    <row r="74728" spans="3:3" x14ac:dyDescent="0.35">
      <c r="C74728" s="2"/>
    </row>
    <row r="74729" spans="3:3" x14ac:dyDescent="0.35">
      <c r="C74729" s="2"/>
    </row>
    <row r="74730" spans="3:3" x14ac:dyDescent="0.35">
      <c r="C74730" s="2"/>
    </row>
    <row r="74731" spans="3:3" x14ac:dyDescent="0.35">
      <c r="C74731" s="2"/>
    </row>
    <row r="74732" spans="3:3" x14ac:dyDescent="0.35">
      <c r="C74732" s="2"/>
    </row>
    <row r="74733" spans="3:3" x14ac:dyDescent="0.35">
      <c r="C74733" s="2"/>
    </row>
    <row r="74734" spans="3:3" x14ac:dyDescent="0.35">
      <c r="C74734" s="2"/>
    </row>
    <row r="74735" spans="3:3" x14ac:dyDescent="0.35">
      <c r="C74735" s="2"/>
    </row>
    <row r="74736" spans="3:3" x14ac:dyDescent="0.35">
      <c r="C74736" s="2"/>
    </row>
    <row r="74737" spans="3:3" x14ac:dyDescent="0.35">
      <c r="C74737" s="2"/>
    </row>
    <row r="74738" spans="3:3" x14ac:dyDescent="0.35">
      <c r="C74738" s="2"/>
    </row>
    <row r="74739" spans="3:3" x14ac:dyDescent="0.35">
      <c r="C74739" s="2"/>
    </row>
    <row r="74740" spans="3:3" x14ac:dyDescent="0.35">
      <c r="C74740" s="2"/>
    </row>
    <row r="74741" spans="3:3" x14ac:dyDescent="0.35">
      <c r="C74741" s="2"/>
    </row>
    <row r="74742" spans="3:3" x14ac:dyDescent="0.35">
      <c r="C74742" s="2"/>
    </row>
    <row r="74743" spans="3:3" x14ac:dyDescent="0.35">
      <c r="C74743" s="2"/>
    </row>
    <row r="74744" spans="3:3" x14ac:dyDescent="0.35">
      <c r="C74744" s="2"/>
    </row>
    <row r="74745" spans="3:3" x14ac:dyDescent="0.35">
      <c r="C74745" s="2"/>
    </row>
    <row r="74746" spans="3:3" x14ac:dyDescent="0.35">
      <c r="C74746" s="2"/>
    </row>
    <row r="74747" spans="3:3" x14ac:dyDescent="0.35">
      <c r="C74747" s="2"/>
    </row>
    <row r="74748" spans="3:3" x14ac:dyDescent="0.35">
      <c r="C74748" s="2"/>
    </row>
    <row r="74749" spans="3:3" x14ac:dyDescent="0.35">
      <c r="C74749" s="2"/>
    </row>
    <row r="74750" spans="3:3" x14ac:dyDescent="0.35">
      <c r="C74750" s="2"/>
    </row>
    <row r="74751" spans="3:3" x14ac:dyDescent="0.35">
      <c r="C74751" s="2"/>
    </row>
    <row r="74752" spans="3:3" x14ac:dyDescent="0.35">
      <c r="C74752" s="2"/>
    </row>
    <row r="74753" spans="3:3" x14ac:dyDescent="0.35">
      <c r="C74753" s="2"/>
    </row>
    <row r="74754" spans="3:3" x14ac:dyDescent="0.35">
      <c r="C74754" s="2"/>
    </row>
    <row r="74755" spans="3:3" x14ac:dyDescent="0.35">
      <c r="C74755" s="2"/>
    </row>
    <row r="74756" spans="3:3" x14ac:dyDescent="0.35">
      <c r="C74756" s="2"/>
    </row>
    <row r="74757" spans="3:3" x14ac:dyDescent="0.35">
      <c r="C74757" s="2"/>
    </row>
    <row r="74758" spans="3:3" x14ac:dyDescent="0.35">
      <c r="C74758" s="2"/>
    </row>
    <row r="74759" spans="3:3" x14ac:dyDescent="0.35">
      <c r="C74759" s="2"/>
    </row>
    <row r="74760" spans="3:3" x14ac:dyDescent="0.35">
      <c r="C74760" s="2"/>
    </row>
    <row r="74761" spans="3:3" x14ac:dyDescent="0.35">
      <c r="C74761" s="2"/>
    </row>
    <row r="74762" spans="3:3" x14ac:dyDescent="0.35">
      <c r="C74762" s="2"/>
    </row>
    <row r="74763" spans="3:3" x14ac:dyDescent="0.35">
      <c r="C74763" s="2"/>
    </row>
    <row r="74764" spans="3:3" x14ac:dyDescent="0.35">
      <c r="C74764" s="2"/>
    </row>
    <row r="74765" spans="3:3" x14ac:dyDescent="0.35">
      <c r="C74765" s="2"/>
    </row>
    <row r="74766" spans="3:3" x14ac:dyDescent="0.35">
      <c r="C74766" s="2"/>
    </row>
    <row r="74767" spans="3:3" x14ac:dyDescent="0.35">
      <c r="C74767" s="2"/>
    </row>
    <row r="74768" spans="3:3" x14ac:dyDescent="0.35">
      <c r="C74768" s="2"/>
    </row>
    <row r="74769" spans="3:3" x14ac:dyDescent="0.35">
      <c r="C74769" s="2"/>
    </row>
    <row r="74770" spans="3:3" x14ac:dyDescent="0.35">
      <c r="C74770" s="2"/>
    </row>
    <row r="74771" spans="3:3" x14ac:dyDescent="0.35">
      <c r="C74771" s="2"/>
    </row>
    <row r="74772" spans="3:3" x14ac:dyDescent="0.35">
      <c r="C74772" s="2"/>
    </row>
    <row r="74773" spans="3:3" x14ac:dyDescent="0.35">
      <c r="C74773" s="2"/>
    </row>
    <row r="74774" spans="3:3" x14ac:dyDescent="0.35">
      <c r="C74774" s="2"/>
    </row>
    <row r="74775" spans="3:3" x14ac:dyDescent="0.35">
      <c r="C74775" s="2"/>
    </row>
    <row r="74776" spans="3:3" x14ac:dyDescent="0.35">
      <c r="C74776" s="2"/>
    </row>
    <row r="74777" spans="3:3" x14ac:dyDescent="0.35">
      <c r="C74777" s="2"/>
    </row>
    <row r="74778" spans="3:3" x14ac:dyDescent="0.35">
      <c r="C74778" s="2"/>
    </row>
    <row r="74779" spans="3:3" x14ac:dyDescent="0.35">
      <c r="C74779" s="2"/>
    </row>
    <row r="74780" spans="3:3" x14ac:dyDescent="0.35">
      <c r="C74780" s="2"/>
    </row>
    <row r="74781" spans="3:3" x14ac:dyDescent="0.35">
      <c r="C74781" s="2"/>
    </row>
    <row r="74782" spans="3:3" x14ac:dyDescent="0.35">
      <c r="C74782" s="2"/>
    </row>
    <row r="74783" spans="3:3" x14ac:dyDescent="0.35">
      <c r="C74783" s="2"/>
    </row>
    <row r="74784" spans="3:3" x14ac:dyDescent="0.35">
      <c r="C74784" s="2"/>
    </row>
    <row r="74785" spans="3:3" x14ac:dyDescent="0.35">
      <c r="C74785" s="2"/>
    </row>
    <row r="74786" spans="3:3" x14ac:dyDescent="0.35">
      <c r="C74786" s="2"/>
    </row>
    <row r="74787" spans="3:3" x14ac:dyDescent="0.35">
      <c r="C74787" s="2"/>
    </row>
    <row r="74788" spans="3:3" x14ac:dyDescent="0.35">
      <c r="C74788" s="2"/>
    </row>
    <row r="74789" spans="3:3" x14ac:dyDescent="0.35">
      <c r="C74789" s="2"/>
    </row>
    <row r="74790" spans="3:3" x14ac:dyDescent="0.35">
      <c r="C74790" s="2"/>
    </row>
    <row r="74791" spans="3:3" x14ac:dyDescent="0.35">
      <c r="C74791" s="2"/>
    </row>
    <row r="74792" spans="3:3" x14ac:dyDescent="0.35">
      <c r="C74792" s="2"/>
    </row>
    <row r="74793" spans="3:3" x14ac:dyDescent="0.35">
      <c r="C74793" s="2"/>
    </row>
    <row r="74794" spans="3:3" x14ac:dyDescent="0.35">
      <c r="C74794" s="2"/>
    </row>
    <row r="74795" spans="3:3" x14ac:dyDescent="0.35">
      <c r="C74795" s="2"/>
    </row>
    <row r="74796" spans="3:3" x14ac:dyDescent="0.35">
      <c r="C74796" s="2"/>
    </row>
    <row r="74797" spans="3:3" x14ac:dyDescent="0.35">
      <c r="C74797" s="2"/>
    </row>
    <row r="74798" spans="3:3" x14ac:dyDescent="0.35">
      <c r="C74798" s="2"/>
    </row>
    <row r="74799" spans="3:3" x14ac:dyDescent="0.35">
      <c r="C74799" s="2"/>
    </row>
    <row r="74800" spans="3:3" x14ac:dyDescent="0.35">
      <c r="C74800" s="2"/>
    </row>
    <row r="74801" spans="3:3" x14ac:dyDescent="0.35">
      <c r="C74801" s="2"/>
    </row>
    <row r="74802" spans="3:3" x14ac:dyDescent="0.35">
      <c r="C74802" s="2"/>
    </row>
    <row r="74803" spans="3:3" x14ac:dyDescent="0.35">
      <c r="C74803" s="2"/>
    </row>
    <row r="74804" spans="3:3" x14ac:dyDescent="0.35">
      <c r="C74804" s="2"/>
    </row>
    <row r="74805" spans="3:3" x14ac:dyDescent="0.35">
      <c r="C74805" s="2"/>
    </row>
    <row r="74806" spans="3:3" x14ac:dyDescent="0.35">
      <c r="C74806" s="2"/>
    </row>
    <row r="74807" spans="3:3" x14ac:dyDescent="0.35">
      <c r="C74807" s="2"/>
    </row>
    <row r="74808" spans="3:3" x14ac:dyDescent="0.35">
      <c r="C74808" s="2"/>
    </row>
    <row r="74809" spans="3:3" x14ac:dyDescent="0.35">
      <c r="C74809" s="2"/>
    </row>
    <row r="74810" spans="3:3" x14ac:dyDescent="0.35">
      <c r="C74810" s="2"/>
    </row>
    <row r="74811" spans="3:3" x14ac:dyDescent="0.35">
      <c r="C74811" s="2"/>
    </row>
    <row r="74812" spans="3:3" x14ac:dyDescent="0.35">
      <c r="C74812" s="2"/>
    </row>
    <row r="74813" spans="3:3" x14ac:dyDescent="0.35">
      <c r="C74813" s="2"/>
    </row>
    <row r="74814" spans="3:3" x14ac:dyDescent="0.35">
      <c r="C74814" s="2"/>
    </row>
    <row r="74815" spans="3:3" x14ac:dyDescent="0.35">
      <c r="C74815" s="2"/>
    </row>
    <row r="74816" spans="3:3" x14ac:dyDescent="0.35">
      <c r="C74816" s="2"/>
    </row>
    <row r="74817" spans="3:3" x14ac:dyDescent="0.35">
      <c r="C74817" s="2"/>
    </row>
    <row r="74818" spans="3:3" x14ac:dyDescent="0.35">
      <c r="C74818" s="2"/>
    </row>
    <row r="74819" spans="3:3" x14ac:dyDescent="0.35">
      <c r="C74819" s="2"/>
    </row>
    <row r="74820" spans="3:3" x14ac:dyDescent="0.35">
      <c r="C74820" s="2"/>
    </row>
    <row r="74821" spans="3:3" x14ac:dyDescent="0.35">
      <c r="C74821" s="2"/>
    </row>
    <row r="74822" spans="3:3" x14ac:dyDescent="0.35">
      <c r="C74822" s="2"/>
    </row>
    <row r="74823" spans="3:3" x14ac:dyDescent="0.35">
      <c r="C74823" s="2"/>
    </row>
    <row r="74824" spans="3:3" x14ac:dyDescent="0.35">
      <c r="C74824" s="2"/>
    </row>
    <row r="74825" spans="3:3" x14ac:dyDescent="0.35">
      <c r="C74825" s="2"/>
    </row>
    <row r="74826" spans="3:3" x14ac:dyDescent="0.35">
      <c r="C74826" s="2"/>
    </row>
    <row r="74827" spans="3:3" x14ac:dyDescent="0.35">
      <c r="C74827" s="2"/>
    </row>
    <row r="74828" spans="3:3" x14ac:dyDescent="0.35">
      <c r="C74828" s="2"/>
    </row>
    <row r="74829" spans="3:3" x14ac:dyDescent="0.35">
      <c r="C74829" s="2"/>
    </row>
    <row r="74830" spans="3:3" x14ac:dyDescent="0.35">
      <c r="C74830" s="2"/>
    </row>
    <row r="74831" spans="3:3" x14ac:dyDescent="0.35">
      <c r="C74831" s="2"/>
    </row>
    <row r="74832" spans="3:3" x14ac:dyDescent="0.35">
      <c r="C74832" s="2"/>
    </row>
    <row r="74833" spans="3:3" x14ac:dyDescent="0.35">
      <c r="C74833" s="2"/>
    </row>
    <row r="74834" spans="3:3" x14ac:dyDescent="0.35">
      <c r="C74834" s="2"/>
    </row>
    <row r="74835" spans="3:3" x14ac:dyDescent="0.35">
      <c r="C74835" s="2"/>
    </row>
    <row r="74836" spans="3:3" x14ac:dyDescent="0.35">
      <c r="C74836" s="2"/>
    </row>
    <row r="74837" spans="3:3" x14ac:dyDescent="0.35">
      <c r="C74837" s="2"/>
    </row>
    <row r="74838" spans="3:3" x14ac:dyDescent="0.35">
      <c r="C74838" s="2"/>
    </row>
    <row r="74839" spans="3:3" x14ac:dyDescent="0.35">
      <c r="C74839" s="2"/>
    </row>
    <row r="74840" spans="3:3" x14ac:dyDescent="0.35">
      <c r="C74840" s="2"/>
    </row>
    <row r="74841" spans="3:3" x14ac:dyDescent="0.35">
      <c r="C74841" s="2"/>
    </row>
    <row r="74842" spans="3:3" x14ac:dyDescent="0.35">
      <c r="C74842" s="2"/>
    </row>
    <row r="74843" spans="3:3" x14ac:dyDescent="0.35">
      <c r="C74843" s="2"/>
    </row>
    <row r="74844" spans="3:3" x14ac:dyDescent="0.35">
      <c r="C74844" s="2"/>
    </row>
    <row r="74845" spans="3:3" x14ac:dyDescent="0.35">
      <c r="C74845" s="2"/>
    </row>
    <row r="74846" spans="3:3" x14ac:dyDescent="0.35">
      <c r="C74846" s="2"/>
    </row>
    <row r="74847" spans="3:3" x14ac:dyDescent="0.35">
      <c r="C74847" s="2"/>
    </row>
    <row r="74848" spans="3:3" x14ac:dyDescent="0.35">
      <c r="C74848" s="2"/>
    </row>
    <row r="74849" spans="3:3" x14ac:dyDescent="0.35">
      <c r="C74849" s="2"/>
    </row>
    <row r="74850" spans="3:3" x14ac:dyDescent="0.35">
      <c r="C74850" s="2"/>
    </row>
    <row r="74851" spans="3:3" x14ac:dyDescent="0.35">
      <c r="C74851" s="2"/>
    </row>
    <row r="74852" spans="3:3" x14ac:dyDescent="0.35">
      <c r="C74852" s="2"/>
    </row>
    <row r="74853" spans="3:3" x14ac:dyDescent="0.35">
      <c r="C74853" s="2"/>
    </row>
    <row r="74854" spans="3:3" x14ac:dyDescent="0.35">
      <c r="C74854" s="2"/>
    </row>
    <row r="74855" spans="3:3" x14ac:dyDescent="0.35">
      <c r="C74855" s="2"/>
    </row>
    <row r="74856" spans="3:3" x14ac:dyDescent="0.35">
      <c r="C74856" s="2"/>
    </row>
    <row r="74857" spans="3:3" x14ac:dyDescent="0.35">
      <c r="C74857" s="2"/>
    </row>
    <row r="74858" spans="3:3" x14ac:dyDescent="0.35">
      <c r="C74858" s="2"/>
    </row>
    <row r="74859" spans="3:3" x14ac:dyDescent="0.35">
      <c r="C74859" s="2"/>
    </row>
    <row r="74860" spans="3:3" x14ac:dyDescent="0.35">
      <c r="C74860" s="2"/>
    </row>
    <row r="74861" spans="3:3" x14ac:dyDescent="0.35">
      <c r="C74861" s="2"/>
    </row>
    <row r="74862" spans="3:3" x14ac:dyDescent="0.35">
      <c r="C74862" s="2"/>
    </row>
    <row r="74863" spans="3:3" x14ac:dyDescent="0.35">
      <c r="C74863" s="2"/>
    </row>
    <row r="74864" spans="3:3" x14ac:dyDescent="0.35">
      <c r="C74864" s="2"/>
    </row>
    <row r="74865" spans="3:3" x14ac:dyDescent="0.35">
      <c r="C74865" s="2"/>
    </row>
    <row r="74866" spans="3:3" x14ac:dyDescent="0.35">
      <c r="C74866" s="2"/>
    </row>
    <row r="74867" spans="3:3" x14ac:dyDescent="0.35">
      <c r="C74867" s="2"/>
    </row>
    <row r="74868" spans="3:3" x14ac:dyDescent="0.35">
      <c r="C74868" s="2"/>
    </row>
    <row r="74869" spans="3:3" x14ac:dyDescent="0.35">
      <c r="C74869" s="2"/>
    </row>
    <row r="74870" spans="3:3" x14ac:dyDescent="0.35">
      <c r="C74870" s="2"/>
    </row>
    <row r="74871" spans="3:3" x14ac:dyDescent="0.35">
      <c r="C74871" s="2"/>
    </row>
    <row r="74872" spans="3:3" x14ac:dyDescent="0.35">
      <c r="C74872" s="2"/>
    </row>
    <row r="74873" spans="3:3" x14ac:dyDescent="0.35">
      <c r="C74873" s="2"/>
    </row>
    <row r="74874" spans="3:3" x14ac:dyDescent="0.35">
      <c r="C74874" s="2"/>
    </row>
    <row r="74875" spans="3:3" x14ac:dyDescent="0.35">
      <c r="C74875" s="2"/>
    </row>
    <row r="74876" spans="3:3" x14ac:dyDescent="0.35">
      <c r="C74876" s="2"/>
    </row>
    <row r="74877" spans="3:3" x14ac:dyDescent="0.35">
      <c r="C74877" s="2"/>
    </row>
    <row r="74878" spans="3:3" x14ac:dyDescent="0.35">
      <c r="C74878" s="2"/>
    </row>
    <row r="74879" spans="3:3" x14ac:dyDescent="0.35">
      <c r="C74879" s="2"/>
    </row>
    <row r="74880" spans="3:3" x14ac:dyDescent="0.35">
      <c r="C74880" s="2"/>
    </row>
    <row r="74881" spans="3:3" x14ac:dyDescent="0.35">
      <c r="C74881" s="2"/>
    </row>
    <row r="74882" spans="3:3" x14ac:dyDescent="0.35">
      <c r="C74882" s="2"/>
    </row>
    <row r="74883" spans="3:3" x14ac:dyDescent="0.35">
      <c r="C74883" s="2"/>
    </row>
    <row r="74884" spans="3:3" x14ac:dyDescent="0.35">
      <c r="C74884" s="2"/>
    </row>
    <row r="74885" spans="3:3" x14ac:dyDescent="0.35">
      <c r="C74885" s="2"/>
    </row>
    <row r="74886" spans="3:3" x14ac:dyDescent="0.35">
      <c r="C74886" s="2"/>
    </row>
    <row r="74887" spans="3:3" x14ac:dyDescent="0.35">
      <c r="C74887" s="2"/>
    </row>
    <row r="74888" spans="3:3" x14ac:dyDescent="0.35">
      <c r="C74888" s="2"/>
    </row>
    <row r="74889" spans="3:3" x14ac:dyDescent="0.35">
      <c r="C74889" s="2"/>
    </row>
    <row r="74890" spans="3:3" x14ac:dyDescent="0.35">
      <c r="C74890" s="2"/>
    </row>
    <row r="74891" spans="3:3" x14ac:dyDescent="0.35">
      <c r="C74891" s="2"/>
    </row>
    <row r="74892" spans="3:3" x14ac:dyDescent="0.35">
      <c r="C74892" s="2"/>
    </row>
    <row r="74893" spans="3:3" x14ac:dyDescent="0.35">
      <c r="C74893" s="2"/>
    </row>
    <row r="74894" spans="3:3" x14ac:dyDescent="0.35">
      <c r="C74894" s="2"/>
    </row>
    <row r="74895" spans="3:3" x14ac:dyDescent="0.35">
      <c r="C74895" s="2"/>
    </row>
    <row r="74896" spans="3:3" x14ac:dyDescent="0.35">
      <c r="C74896" s="2"/>
    </row>
    <row r="74897" spans="3:3" x14ac:dyDescent="0.35">
      <c r="C74897" s="2"/>
    </row>
    <row r="74898" spans="3:3" x14ac:dyDescent="0.35">
      <c r="C74898" s="2"/>
    </row>
    <row r="74899" spans="3:3" x14ac:dyDescent="0.35">
      <c r="C74899" s="2"/>
    </row>
    <row r="74900" spans="3:3" x14ac:dyDescent="0.35">
      <c r="C74900" s="2"/>
    </row>
    <row r="74901" spans="3:3" x14ac:dyDescent="0.35">
      <c r="C74901" s="2"/>
    </row>
    <row r="74902" spans="3:3" x14ac:dyDescent="0.35">
      <c r="C74902" s="2"/>
    </row>
    <row r="74903" spans="3:3" x14ac:dyDescent="0.35">
      <c r="C74903" s="2"/>
    </row>
    <row r="74904" spans="3:3" x14ac:dyDescent="0.35">
      <c r="C74904" s="2"/>
    </row>
    <row r="74905" spans="3:3" x14ac:dyDescent="0.35">
      <c r="C74905" s="2"/>
    </row>
    <row r="74906" spans="3:3" x14ac:dyDescent="0.35">
      <c r="C74906" s="2"/>
    </row>
    <row r="74907" spans="3:3" x14ac:dyDescent="0.35">
      <c r="C74907" s="2"/>
    </row>
    <row r="74908" spans="3:3" x14ac:dyDescent="0.35">
      <c r="C74908" s="2"/>
    </row>
    <row r="74909" spans="3:3" x14ac:dyDescent="0.35">
      <c r="C74909" s="2"/>
    </row>
    <row r="74910" spans="3:3" x14ac:dyDescent="0.35">
      <c r="C74910" s="2"/>
    </row>
    <row r="74911" spans="3:3" x14ac:dyDescent="0.35">
      <c r="C74911" s="2"/>
    </row>
    <row r="74912" spans="3:3" x14ac:dyDescent="0.35">
      <c r="C74912" s="2"/>
    </row>
    <row r="74913" spans="3:3" x14ac:dyDescent="0.35">
      <c r="C74913" s="2"/>
    </row>
    <row r="74914" spans="3:3" x14ac:dyDescent="0.35">
      <c r="C74914" s="2"/>
    </row>
    <row r="74915" spans="3:3" x14ac:dyDescent="0.35">
      <c r="C74915" s="2"/>
    </row>
    <row r="74916" spans="3:3" x14ac:dyDescent="0.35">
      <c r="C74916" s="2"/>
    </row>
    <row r="74917" spans="3:3" x14ac:dyDescent="0.35">
      <c r="C74917" s="2"/>
    </row>
    <row r="74918" spans="3:3" x14ac:dyDescent="0.35">
      <c r="C74918" s="2"/>
    </row>
    <row r="74919" spans="3:3" x14ac:dyDescent="0.35">
      <c r="C74919" s="2"/>
    </row>
    <row r="74920" spans="3:3" x14ac:dyDescent="0.35">
      <c r="C74920" s="2"/>
    </row>
    <row r="74921" spans="3:3" x14ac:dyDescent="0.35">
      <c r="C74921" s="2"/>
    </row>
    <row r="74922" spans="3:3" x14ac:dyDescent="0.35">
      <c r="C74922" s="2"/>
    </row>
    <row r="74923" spans="3:3" x14ac:dyDescent="0.35">
      <c r="C74923" s="2"/>
    </row>
    <row r="74924" spans="3:3" x14ac:dyDescent="0.35">
      <c r="C74924" s="2"/>
    </row>
    <row r="74925" spans="3:3" x14ac:dyDescent="0.35">
      <c r="C74925" s="2"/>
    </row>
    <row r="74926" spans="3:3" x14ac:dyDescent="0.35">
      <c r="C74926" s="2"/>
    </row>
    <row r="74927" spans="3:3" x14ac:dyDescent="0.35">
      <c r="C74927" s="2"/>
    </row>
    <row r="74928" spans="3:3" x14ac:dyDescent="0.35">
      <c r="C74928" s="2"/>
    </row>
    <row r="74929" spans="3:3" x14ac:dyDescent="0.35">
      <c r="C74929" s="2"/>
    </row>
    <row r="74930" spans="3:3" x14ac:dyDescent="0.35">
      <c r="C74930" s="2"/>
    </row>
    <row r="74931" spans="3:3" x14ac:dyDescent="0.35">
      <c r="C74931" s="2"/>
    </row>
    <row r="74932" spans="3:3" x14ac:dyDescent="0.35">
      <c r="C74932" s="2"/>
    </row>
    <row r="74933" spans="3:3" x14ac:dyDescent="0.35">
      <c r="C74933" s="2"/>
    </row>
    <row r="74934" spans="3:3" x14ac:dyDescent="0.35">
      <c r="C74934" s="2"/>
    </row>
    <row r="74935" spans="3:3" x14ac:dyDescent="0.35">
      <c r="C74935" s="2"/>
    </row>
    <row r="74936" spans="3:3" x14ac:dyDescent="0.35">
      <c r="C74936" s="2"/>
    </row>
    <row r="74937" spans="3:3" x14ac:dyDescent="0.35">
      <c r="C74937" s="2"/>
    </row>
    <row r="74938" spans="3:3" x14ac:dyDescent="0.35">
      <c r="C74938" s="2"/>
    </row>
    <row r="74939" spans="3:3" x14ac:dyDescent="0.35">
      <c r="C74939" s="2"/>
    </row>
    <row r="74940" spans="3:3" x14ac:dyDescent="0.35">
      <c r="C74940" s="2"/>
    </row>
    <row r="74941" spans="3:3" x14ac:dyDescent="0.35">
      <c r="C74941" s="2"/>
    </row>
    <row r="74942" spans="3:3" x14ac:dyDescent="0.35">
      <c r="C74942" s="2"/>
    </row>
    <row r="74943" spans="3:3" x14ac:dyDescent="0.35">
      <c r="C74943" s="2"/>
    </row>
    <row r="74944" spans="3:3" x14ac:dyDescent="0.35">
      <c r="C74944" s="2"/>
    </row>
    <row r="74945" spans="3:3" x14ac:dyDescent="0.35">
      <c r="C74945" s="2"/>
    </row>
    <row r="74946" spans="3:3" x14ac:dyDescent="0.35">
      <c r="C74946" s="2"/>
    </row>
    <row r="74947" spans="3:3" x14ac:dyDescent="0.35">
      <c r="C74947" s="2"/>
    </row>
    <row r="74948" spans="3:3" x14ac:dyDescent="0.35">
      <c r="C74948" s="2"/>
    </row>
    <row r="74949" spans="3:3" x14ac:dyDescent="0.35">
      <c r="C74949" s="2"/>
    </row>
    <row r="74950" spans="3:3" x14ac:dyDescent="0.35">
      <c r="C74950" s="2"/>
    </row>
    <row r="74951" spans="3:3" x14ac:dyDescent="0.35">
      <c r="C74951" s="2"/>
    </row>
    <row r="74952" spans="3:3" x14ac:dyDescent="0.35">
      <c r="C74952" s="2"/>
    </row>
    <row r="74953" spans="3:3" x14ac:dyDescent="0.35">
      <c r="C74953" s="2"/>
    </row>
    <row r="74954" spans="3:3" x14ac:dyDescent="0.35">
      <c r="C74954" s="2"/>
    </row>
    <row r="74955" spans="3:3" x14ac:dyDescent="0.35">
      <c r="C74955" s="2"/>
    </row>
    <row r="74956" spans="3:3" x14ac:dyDescent="0.35">
      <c r="C74956" s="2"/>
    </row>
    <row r="74957" spans="3:3" x14ac:dyDescent="0.35">
      <c r="C74957" s="2"/>
    </row>
    <row r="74958" spans="3:3" x14ac:dyDescent="0.35">
      <c r="C74958" s="2"/>
    </row>
    <row r="74959" spans="3:3" x14ac:dyDescent="0.35">
      <c r="C74959" s="2"/>
    </row>
    <row r="74960" spans="3:3" x14ac:dyDescent="0.35">
      <c r="C74960" s="2"/>
    </row>
    <row r="74961" spans="3:3" x14ac:dyDescent="0.35">
      <c r="C74961" s="2"/>
    </row>
    <row r="74962" spans="3:3" x14ac:dyDescent="0.35">
      <c r="C74962" s="2"/>
    </row>
    <row r="74963" spans="3:3" x14ac:dyDescent="0.35">
      <c r="C74963" s="2"/>
    </row>
    <row r="74964" spans="3:3" x14ac:dyDescent="0.35">
      <c r="C74964" s="2"/>
    </row>
    <row r="74965" spans="3:3" x14ac:dyDescent="0.35">
      <c r="C74965" s="2"/>
    </row>
    <row r="74966" spans="3:3" x14ac:dyDescent="0.35">
      <c r="C74966" s="2"/>
    </row>
    <row r="74967" spans="3:3" x14ac:dyDescent="0.35">
      <c r="C74967" s="2"/>
    </row>
    <row r="74968" spans="3:3" x14ac:dyDescent="0.35">
      <c r="C74968" s="2"/>
    </row>
    <row r="74969" spans="3:3" x14ac:dyDescent="0.35">
      <c r="C74969" s="2"/>
    </row>
    <row r="74970" spans="3:3" x14ac:dyDescent="0.35">
      <c r="C74970" s="2"/>
    </row>
    <row r="74971" spans="3:3" x14ac:dyDescent="0.35">
      <c r="C74971" s="2"/>
    </row>
    <row r="74972" spans="3:3" x14ac:dyDescent="0.35">
      <c r="C74972" s="2"/>
    </row>
    <row r="74973" spans="3:3" x14ac:dyDescent="0.35">
      <c r="C74973" s="2"/>
    </row>
    <row r="74974" spans="3:3" x14ac:dyDescent="0.35">
      <c r="C74974" s="2"/>
    </row>
    <row r="74975" spans="3:3" x14ac:dyDescent="0.35">
      <c r="C74975" s="2"/>
    </row>
    <row r="74976" spans="3:3" x14ac:dyDescent="0.35">
      <c r="C74976" s="2"/>
    </row>
    <row r="74977" spans="3:3" x14ac:dyDescent="0.35">
      <c r="C74977" s="2"/>
    </row>
    <row r="74978" spans="3:3" x14ac:dyDescent="0.35">
      <c r="C74978" s="2"/>
    </row>
    <row r="74979" spans="3:3" x14ac:dyDescent="0.35">
      <c r="C74979" s="2"/>
    </row>
    <row r="74980" spans="3:3" x14ac:dyDescent="0.35">
      <c r="C74980" s="2"/>
    </row>
    <row r="74981" spans="3:3" x14ac:dyDescent="0.35">
      <c r="C74981" s="2"/>
    </row>
    <row r="74982" spans="3:3" x14ac:dyDescent="0.35">
      <c r="C74982" s="2"/>
    </row>
    <row r="74983" spans="3:3" x14ac:dyDescent="0.35">
      <c r="C74983" s="2"/>
    </row>
    <row r="74984" spans="3:3" x14ac:dyDescent="0.35">
      <c r="C74984" s="2"/>
    </row>
    <row r="74985" spans="3:3" x14ac:dyDescent="0.35">
      <c r="C74985" s="2"/>
    </row>
    <row r="74986" spans="3:3" x14ac:dyDescent="0.35">
      <c r="C74986" s="2"/>
    </row>
    <row r="74987" spans="3:3" x14ac:dyDescent="0.35">
      <c r="C74987" s="2"/>
    </row>
    <row r="74988" spans="3:3" x14ac:dyDescent="0.35">
      <c r="C74988" s="2"/>
    </row>
    <row r="74989" spans="3:3" x14ac:dyDescent="0.35">
      <c r="C74989" s="2"/>
    </row>
    <row r="74990" spans="3:3" x14ac:dyDescent="0.35">
      <c r="C74990" s="2"/>
    </row>
    <row r="74991" spans="3:3" x14ac:dyDescent="0.35">
      <c r="C74991" s="2"/>
    </row>
    <row r="74992" spans="3:3" x14ac:dyDescent="0.35">
      <c r="C74992" s="2"/>
    </row>
    <row r="74993" spans="3:3" x14ac:dyDescent="0.35">
      <c r="C74993" s="2"/>
    </row>
    <row r="74994" spans="3:3" x14ac:dyDescent="0.35">
      <c r="C74994" s="2"/>
    </row>
    <row r="74995" spans="3:3" x14ac:dyDescent="0.35">
      <c r="C74995" s="2"/>
    </row>
    <row r="74996" spans="3:3" x14ac:dyDescent="0.35">
      <c r="C74996" s="2"/>
    </row>
    <row r="74997" spans="3:3" x14ac:dyDescent="0.35">
      <c r="C74997" s="2"/>
    </row>
    <row r="74998" spans="3:3" x14ac:dyDescent="0.35">
      <c r="C74998" s="2"/>
    </row>
    <row r="74999" spans="3:3" x14ac:dyDescent="0.35">
      <c r="C74999" s="2"/>
    </row>
    <row r="75000" spans="3:3" x14ac:dyDescent="0.35">
      <c r="C75000" s="2"/>
    </row>
    <row r="75001" spans="3:3" x14ac:dyDescent="0.35">
      <c r="C75001" s="2"/>
    </row>
    <row r="75002" spans="3:3" x14ac:dyDescent="0.35">
      <c r="C75002" s="2"/>
    </row>
    <row r="75003" spans="3:3" x14ac:dyDescent="0.35">
      <c r="C75003" s="2"/>
    </row>
    <row r="75004" spans="3:3" x14ac:dyDescent="0.35">
      <c r="C75004" s="2"/>
    </row>
    <row r="75005" spans="3:3" x14ac:dyDescent="0.35">
      <c r="C75005" s="2"/>
    </row>
    <row r="75006" spans="3:3" x14ac:dyDescent="0.35">
      <c r="C75006" s="2"/>
    </row>
    <row r="75007" spans="3:3" x14ac:dyDescent="0.35">
      <c r="C75007" s="2"/>
    </row>
    <row r="75008" spans="3:3" x14ac:dyDescent="0.35">
      <c r="C75008" s="2"/>
    </row>
    <row r="75009" spans="3:3" x14ac:dyDescent="0.35">
      <c r="C75009" s="2"/>
    </row>
    <row r="75010" spans="3:3" x14ac:dyDescent="0.35">
      <c r="C75010" s="2"/>
    </row>
    <row r="75011" spans="3:3" x14ac:dyDescent="0.35">
      <c r="C75011" s="2"/>
    </row>
    <row r="75012" spans="3:3" x14ac:dyDescent="0.35">
      <c r="C75012" s="2"/>
    </row>
    <row r="75013" spans="3:3" x14ac:dyDescent="0.35">
      <c r="C75013" s="2"/>
    </row>
    <row r="75014" spans="3:3" x14ac:dyDescent="0.35">
      <c r="C75014" s="2"/>
    </row>
    <row r="75015" spans="3:3" x14ac:dyDescent="0.35">
      <c r="C75015" s="2"/>
    </row>
    <row r="75016" spans="3:3" x14ac:dyDescent="0.35">
      <c r="C75016" s="2"/>
    </row>
    <row r="75017" spans="3:3" x14ac:dyDescent="0.35">
      <c r="C75017" s="2"/>
    </row>
    <row r="75018" spans="3:3" x14ac:dyDescent="0.35">
      <c r="C75018" s="2"/>
    </row>
    <row r="75019" spans="3:3" x14ac:dyDescent="0.35">
      <c r="C75019" s="2"/>
    </row>
    <row r="75020" spans="3:3" x14ac:dyDescent="0.35">
      <c r="C75020" s="2"/>
    </row>
    <row r="75021" spans="3:3" x14ac:dyDescent="0.35">
      <c r="C75021" s="2"/>
    </row>
    <row r="75022" spans="3:3" x14ac:dyDescent="0.35">
      <c r="C75022" s="2"/>
    </row>
    <row r="75023" spans="3:3" x14ac:dyDescent="0.35">
      <c r="C75023" s="2"/>
    </row>
    <row r="75024" spans="3:3" x14ac:dyDescent="0.35">
      <c r="C75024" s="2"/>
    </row>
    <row r="75025" spans="3:3" x14ac:dyDescent="0.35">
      <c r="C75025" s="2"/>
    </row>
    <row r="75026" spans="3:3" x14ac:dyDescent="0.35">
      <c r="C75026" s="2"/>
    </row>
    <row r="75027" spans="3:3" x14ac:dyDescent="0.35">
      <c r="C75027" s="2"/>
    </row>
    <row r="75028" spans="3:3" x14ac:dyDescent="0.35">
      <c r="C75028" s="2"/>
    </row>
    <row r="75029" spans="3:3" x14ac:dyDescent="0.35">
      <c r="C75029" s="2"/>
    </row>
    <row r="75030" spans="3:3" x14ac:dyDescent="0.35">
      <c r="C75030" s="2"/>
    </row>
    <row r="75031" spans="3:3" x14ac:dyDescent="0.35">
      <c r="C75031" s="2"/>
    </row>
    <row r="75032" spans="3:3" x14ac:dyDescent="0.35">
      <c r="C75032" s="2"/>
    </row>
    <row r="75033" spans="3:3" x14ac:dyDescent="0.35">
      <c r="C75033" s="2"/>
    </row>
    <row r="75034" spans="3:3" x14ac:dyDescent="0.35">
      <c r="C75034" s="2"/>
    </row>
    <row r="75035" spans="3:3" x14ac:dyDescent="0.35">
      <c r="C75035" s="2"/>
    </row>
    <row r="75036" spans="3:3" x14ac:dyDescent="0.35">
      <c r="C75036" s="2"/>
    </row>
    <row r="75037" spans="3:3" x14ac:dyDescent="0.35">
      <c r="C75037" s="2"/>
    </row>
    <row r="75038" spans="3:3" x14ac:dyDescent="0.35">
      <c r="C75038" s="2"/>
    </row>
    <row r="75039" spans="3:3" x14ac:dyDescent="0.35">
      <c r="C75039" s="2"/>
    </row>
    <row r="75040" spans="3:3" x14ac:dyDescent="0.35">
      <c r="C75040" s="2"/>
    </row>
    <row r="75041" spans="3:3" x14ac:dyDescent="0.35">
      <c r="C75041" s="2"/>
    </row>
    <row r="75042" spans="3:3" x14ac:dyDescent="0.35">
      <c r="C75042" s="2"/>
    </row>
    <row r="75043" spans="3:3" x14ac:dyDescent="0.35">
      <c r="C75043" s="2"/>
    </row>
    <row r="75044" spans="3:3" x14ac:dyDescent="0.35">
      <c r="C75044" s="2"/>
    </row>
    <row r="75045" spans="3:3" x14ac:dyDescent="0.35">
      <c r="C75045" s="2"/>
    </row>
    <row r="75046" spans="3:3" x14ac:dyDescent="0.35">
      <c r="C75046" s="2"/>
    </row>
    <row r="75047" spans="3:3" x14ac:dyDescent="0.35">
      <c r="C75047" s="2"/>
    </row>
    <row r="75048" spans="3:3" x14ac:dyDescent="0.35">
      <c r="C75048" s="2"/>
    </row>
    <row r="75049" spans="3:3" x14ac:dyDescent="0.35">
      <c r="C75049" s="2"/>
    </row>
    <row r="75050" spans="3:3" x14ac:dyDescent="0.35">
      <c r="C75050" s="2"/>
    </row>
    <row r="75051" spans="3:3" x14ac:dyDescent="0.35">
      <c r="C75051" s="2"/>
    </row>
    <row r="75052" spans="3:3" x14ac:dyDescent="0.35">
      <c r="C75052" s="2"/>
    </row>
    <row r="75053" spans="3:3" x14ac:dyDescent="0.35">
      <c r="C75053" s="2"/>
    </row>
    <row r="75054" spans="3:3" x14ac:dyDescent="0.35">
      <c r="C75054" s="2"/>
    </row>
    <row r="75055" spans="3:3" x14ac:dyDescent="0.35">
      <c r="C75055" s="2"/>
    </row>
    <row r="75056" spans="3:3" x14ac:dyDescent="0.35">
      <c r="C75056" s="2"/>
    </row>
    <row r="75057" spans="3:3" x14ac:dyDescent="0.35">
      <c r="C75057" s="2"/>
    </row>
    <row r="75058" spans="3:3" x14ac:dyDescent="0.35">
      <c r="C75058" s="2"/>
    </row>
    <row r="75059" spans="3:3" x14ac:dyDescent="0.35">
      <c r="C75059" s="2"/>
    </row>
    <row r="75060" spans="3:3" x14ac:dyDescent="0.35">
      <c r="C75060" s="2"/>
    </row>
    <row r="75061" spans="3:3" x14ac:dyDescent="0.35">
      <c r="C75061" s="2"/>
    </row>
    <row r="75062" spans="3:3" x14ac:dyDescent="0.35">
      <c r="C75062" s="2"/>
    </row>
    <row r="75063" spans="3:3" x14ac:dyDescent="0.35">
      <c r="C75063" s="2"/>
    </row>
    <row r="75064" spans="3:3" x14ac:dyDescent="0.35">
      <c r="C75064" s="2"/>
    </row>
    <row r="75065" spans="3:3" x14ac:dyDescent="0.35">
      <c r="C75065" s="2"/>
    </row>
    <row r="75066" spans="3:3" x14ac:dyDescent="0.35">
      <c r="C75066" s="2"/>
    </row>
    <row r="75067" spans="3:3" x14ac:dyDescent="0.35">
      <c r="C75067" s="2"/>
    </row>
    <row r="75068" spans="3:3" x14ac:dyDescent="0.35">
      <c r="C75068" s="2"/>
    </row>
    <row r="75069" spans="3:3" x14ac:dyDescent="0.35">
      <c r="C75069" s="2"/>
    </row>
    <row r="75070" spans="3:3" x14ac:dyDescent="0.35">
      <c r="C75070" s="2"/>
    </row>
    <row r="75071" spans="3:3" x14ac:dyDescent="0.35">
      <c r="C75071" s="2"/>
    </row>
    <row r="75072" spans="3:3" x14ac:dyDescent="0.35">
      <c r="C75072" s="2"/>
    </row>
    <row r="75073" spans="3:3" x14ac:dyDescent="0.35">
      <c r="C75073" s="2"/>
    </row>
    <row r="75074" spans="3:3" x14ac:dyDescent="0.35">
      <c r="C75074" s="2"/>
    </row>
    <row r="75075" spans="3:3" x14ac:dyDescent="0.35">
      <c r="C75075" s="2"/>
    </row>
    <row r="75076" spans="3:3" x14ac:dyDescent="0.35">
      <c r="C75076" s="2"/>
    </row>
    <row r="75077" spans="3:3" x14ac:dyDescent="0.35">
      <c r="C75077" s="2"/>
    </row>
    <row r="75078" spans="3:3" x14ac:dyDescent="0.35">
      <c r="C75078" s="2"/>
    </row>
    <row r="75079" spans="3:3" x14ac:dyDescent="0.35">
      <c r="C75079" s="2"/>
    </row>
    <row r="75080" spans="3:3" x14ac:dyDescent="0.35">
      <c r="C75080" s="2"/>
    </row>
    <row r="75081" spans="3:3" x14ac:dyDescent="0.35">
      <c r="C75081" s="2"/>
    </row>
    <row r="75082" spans="3:3" x14ac:dyDescent="0.35">
      <c r="C75082" s="2"/>
    </row>
    <row r="75083" spans="3:3" x14ac:dyDescent="0.35">
      <c r="C75083" s="2"/>
    </row>
    <row r="75084" spans="3:3" x14ac:dyDescent="0.35">
      <c r="C75084" s="2"/>
    </row>
    <row r="75085" spans="3:3" x14ac:dyDescent="0.35">
      <c r="C75085" s="2"/>
    </row>
    <row r="75086" spans="3:3" x14ac:dyDescent="0.35">
      <c r="C75086" s="2"/>
    </row>
    <row r="75087" spans="3:3" x14ac:dyDescent="0.35">
      <c r="C75087" s="2"/>
    </row>
    <row r="75088" spans="3:3" x14ac:dyDescent="0.35">
      <c r="C75088" s="2"/>
    </row>
    <row r="75089" spans="3:3" x14ac:dyDescent="0.35">
      <c r="C75089" s="2"/>
    </row>
    <row r="75090" spans="3:3" x14ac:dyDescent="0.35">
      <c r="C75090" s="2"/>
    </row>
    <row r="75091" spans="3:3" x14ac:dyDescent="0.35">
      <c r="C75091" s="2"/>
    </row>
    <row r="75092" spans="3:3" x14ac:dyDescent="0.35">
      <c r="C75092" s="2"/>
    </row>
    <row r="75093" spans="3:3" x14ac:dyDescent="0.35">
      <c r="C75093" s="2"/>
    </row>
    <row r="75094" spans="3:3" x14ac:dyDescent="0.35">
      <c r="C75094" s="2"/>
    </row>
    <row r="75095" spans="3:3" x14ac:dyDescent="0.35">
      <c r="C75095" s="2"/>
    </row>
    <row r="75096" spans="3:3" x14ac:dyDescent="0.35">
      <c r="C75096" s="2"/>
    </row>
    <row r="75097" spans="3:3" x14ac:dyDescent="0.35">
      <c r="C75097" s="2"/>
    </row>
    <row r="75098" spans="3:3" x14ac:dyDescent="0.35">
      <c r="C75098" s="2"/>
    </row>
    <row r="75099" spans="3:3" x14ac:dyDescent="0.35">
      <c r="C75099" s="2"/>
    </row>
    <row r="75100" spans="3:3" x14ac:dyDescent="0.35">
      <c r="C75100" s="2"/>
    </row>
    <row r="75101" spans="3:3" x14ac:dyDescent="0.35">
      <c r="C75101" s="2"/>
    </row>
    <row r="75102" spans="3:3" x14ac:dyDescent="0.35">
      <c r="C75102" s="2"/>
    </row>
    <row r="75103" spans="3:3" x14ac:dyDescent="0.35">
      <c r="C75103" s="2"/>
    </row>
    <row r="75104" spans="3:3" x14ac:dyDescent="0.35">
      <c r="C75104" s="2"/>
    </row>
    <row r="75105" spans="3:3" x14ac:dyDescent="0.35">
      <c r="C75105" s="2"/>
    </row>
    <row r="75106" spans="3:3" x14ac:dyDescent="0.35">
      <c r="C75106" s="2"/>
    </row>
    <row r="75107" spans="3:3" x14ac:dyDescent="0.35">
      <c r="C75107" s="2"/>
    </row>
    <row r="75108" spans="3:3" x14ac:dyDescent="0.35">
      <c r="C75108" s="2"/>
    </row>
    <row r="75109" spans="3:3" x14ac:dyDescent="0.35">
      <c r="C75109" s="2"/>
    </row>
    <row r="75110" spans="3:3" x14ac:dyDescent="0.35">
      <c r="C75110" s="2"/>
    </row>
    <row r="75111" spans="3:3" x14ac:dyDescent="0.35">
      <c r="C75111" s="2"/>
    </row>
    <row r="75112" spans="3:3" x14ac:dyDescent="0.35">
      <c r="C75112" s="2"/>
    </row>
    <row r="75113" spans="3:3" x14ac:dyDescent="0.35">
      <c r="C75113" s="2"/>
    </row>
    <row r="75114" spans="3:3" x14ac:dyDescent="0.35">
      <c r="C75114" s="2"/>
    </row>
    <row r="75115" spans="3:3" x14ac:dyDescent="0.35">
      <c r="C75115" s="2"/>
    </row>
    <row r="75116" spans="3:3" x14ac:dyDescent="0.35">
      <c r="C75116" s="2"/>
    </row>
    <row r="75117" spans="3:3" x14ac:dyDescent="0.35">
      <c r="C75117" s="2"/>
    </row>
    <row r="75118" spans="3:3" x14ac:dyDescent="0.35">
      <c r="C75118" s="2"/>
    </row>
    <row r="75119" spans="3:3" x14ac:dyDescent="0.35">
      <c r="C75119" s="2"/>
    </row>
    <row r="75120" spans="3:3" x14ac:dyDescent="0.35">
      <c r="C75120" s="2"/>
    </row>
    <row r="75121" spans="3:3" x14ac:dyDescent="0.35">
      <c r="C75121" s="2"/>
    </row>
    <row r="75122" spans="3:3" x14ac:dyDescent="0.35">
      <c r="C75122" s="2"/>
    </row>
    <row r="75123" spans="3:3" x14ac:dyDescent="0.35">
      <c r="C75123" s="2"/>
    </row>
    <row r="75124" spans="3:3" x14ac:dyDescent="0.35">
      <c r="C75124" s="2"/>
    </row>
    <row r="75125" spans="3:3" x14ac:dyDescent="0.35">
      <c r="C75125" s="2"/>
    </row>
    <row r="75126" spans="3:3" x14ac:dyDescent="0.35">
      <c r="C75126" s="2"/>
    </row>
    <row r="75127" spans="3:3" x14ac:dyDescent="0.35">
      <c r="C75127" s="2"/>
    </row>
    <row r="75128" spans="3:3" x14ac:dyDescent="0.35">
      <c r="C75128" s="2"/>
    </row>
    <row r="75129" spans="3:3" x14ac:dyDescent="0.35">
      <c r="C75129" s="2"/>
    </row>
    <row r="75130" spans="3:3" x14ac:dyDescent="0.35">
      <c r="C75130" s="2"/>
    </row>
    <row r="75131" spans="3:3" x14ac:dyDescent="0.35">
      <c r="C75131" s="2"/>
    </row>
    <row r="75132" spans="3:3" x14ac:dyDescent="0.35">
      <c r="C75132" s="2"/>
    </row>
    <row r="75133" spans="3:3" x14ac:dyDescent="0.35">
      <c r="C75133" s="2"/>
    </row>
    <row r="75134" spans="3:3" x14ac:dyDescent="0.35">
      <c r="C75134" s="2"/>
    </row>
    <row r="75135" spans="3:3" x14ac:dyDescent="0.35">
      <c r="C75135" s="2"/>
    </row>
    <row r="75136" spans="3:3" x14ac:dyDescent="0.35">
      <c r="C75136" s="2"/>
    </row>
    <row r="75137" spans="3:3" x14ac:dyDescent="0.35">
      <c r="C75137" s="2"/>
    </row>
    <row r="75138" spans="3:3" x14ac:dyDescent="0.35">
      <c r="C75138" s="2"/>
    </row>
    <row r="75139" spans="3:3" x14ac:dyDescent="0.35">
      <c r="C75139" s="2"/>
    </row>
    <row r="75140" spans="3:3" x14ac:dyDescent="0.35">
      <c r="C75140" s="2"/>
    </row>
    <row r="75141" spans="3:3" x14ac:dyDescent="0.35">
      <c r="C75141" s="2"/>
    </row>
    <row r="75142" spans="3:3" x14ac:dyDescent="0.35">
      <c r="C75142" s="2"/>
    </row>
    <row r="75143" spans="3:3" x14ac:dyDescent="0.35">
      <c r="C75143" s="2"/>
    </row>
    <row r="75144" spans="3:3" x14ac:dyDescent="0.35">
      <c r="C75144" s="2"/>
    </row>
    <row r="75145" spans="3:3" x14ac:dyDescent="0.35">
      <c r="C75145" s="2"/>
    </row>
    <row r="75146" spans="3:3" x14ac:dyDescent="0.35">
      <c r="C75146" s="2"/>
    </row>
    <row r="75147" spans="3:3" x14ac:dyDescent="0.35">
      <c r="C75147" s="2"/>
    </row>
    <row r="75148" spans="3:3" x14ac:dyDescent="0.35">
      <c r="C75148" s="2"/>
    </row>
    <row r="75149" spans="3:3" x14ac:dyDescent="0.35">
      <c r="C75149" s="2"/>
    </row>
    <row r="75150" spans="3:3" x14ac:dyDescent="0.35">
      <c r="C75150" s="2"/>
    </row>
    <row r="75151" spans="3:3" x14ac:dyDescent="0.35">
      <c r="C75151" s="2"/>
    </row>
    <row r="75152" spans="3:3" x14ac:dyDescent="0.35">
      <c r="C75152" s="2"/>
    </row>
    <row r="75153" spans="3:3" x14ac:dyDescent="0.35">
      <c r="C75153" s="2"/>
    </row>
    <row r="75154" spans="3:3" x14ac:dyDescent="0.35">
      <c r="C75154" s="2"/>
    </row>
    <row r="75155" spans="3:3" x14ac:dyDescent="0.35">
      <c r="C75155" s="2"/>
    </row>
    <row r="75156" spans="3:3" x14ac:dyDescent="0.35">
      <c r="C75156" s="2"/>
    </row>
    <row r="75157" spans="3:3" x14ac:dyDescent="0.35">
      <c r="C75157" s="2"/>
    </row>
    <row r="75158" spans="3:3" x14ac:dyDescent="0.35">
      <c r="C75158" s="2"/>
    </row>
    <row r="75159" spans="3:3" x14ac:dyDescent="0.35">
      <c r="C75159" s="2"/>
    </row>
    <row r="75160" spans="3:3" x14ac:dyDescent="0.35">
      <c r="C75160" s="2"/>
    </row>
    <row r="75161" spans="3:3" x14ac:dyDescent="0.35">
      <c r="C75161" s="2"/>
    </row>
    <row r="75162" spans="3:3" x14ac:dyDescent="0.35">
      <c r="C75162" s="2"/>
    </row>
    <row r="75163" spans="3:3" x14ac:dyDescent="0.35">
      <c r="C75163" s="2"/>
    </row>
    <row r="75164" spans="3:3" x14ac:dyDescent="0.35">
      <c r="C75164" s="2"/>
    </row>
    <row r="75165" spans="3:3" x14ac:dyDescent="0.35">
      <c r="C75165" s="2"/>
    </row>
    <row r="75166" spans="3:3" x14ac:dyDescent="0.35">
      <c r="C75166" s="2"/>
    </row>
    <row r="75167" spans="3:3" x14ac:dyDescent="0.35">
      <c r="C75167" s="2"/>
    </row>
    <row r="75168" spans="3:3" x14ac:dyDescent="0.35">
      <c r="C75168" s="2"/>
    </row>
    <row r="75169" spans="3:3" x14ac:dyDescent="0.35">
      <c r="C75169" s="2"/>
    </row>
    <row r="75170" spans="3:3" x14ac:dyDescent="0.35">
      <c r="C75170" s="2"/>
    </row>
    <row r="75171" spans="3:3" x14ac:dyDescent="0.35">
      <c r="C75171" s="2"/>
    </row>
    <row r="75172" spans="3:3" x14ac:dyDescent="0.35">
      <c r="C75172" s="2"/>
    </row>
    <row r="75173" spans="3:3" x14ac:dyDescent="0.35">
      <c r="C75173" s="2"/>
    </row>
    <row r="75174" spans="3:3" x14ac:dyDescent="0.35">
      <c r="C75174" s="2"/>
    </row>
    <row r="75175" spans="3:3" x14ac:dyDescent="0.35">
      <c r="C75175" s="2"/>
    </row>
    <row r="75176" spans="3:3" x14ac:dyDescent="0.35">
      <c r="C75176" s="2"/>
    </row>
    <row r="75177" spans="3:3" x14ac:dyDescent="0.35">
      <c r="C75177" s="2"/>
    </row>
    <row r="75178" spans="3:3" x14ac:dyDescent="0.35">
      <c r="C75178" s="2"/>
    </row>
    <row r="75179" spans="3:3" x14ac:dyDescent="0.35">
      <c r="C75179" s="2"/>
    </row>
    <row r="75180" spans="3:3" x14ac:dyDescent="0.35">
      <c r="C75180" s="2"/>
    </row>
    <row r="75181" spans="3:3" x14ac:dyDescent="0.35">
      <c r="C75181" s="2"/>
    </row>
    <row r="75182" spans="3:3" x14ac:dyDescent="0.35">
      <c r="C75182" s="2"/>
    </row>
    <row r="75183" spans="3:3" x14ac:dyDescent="0.35">
      <c r="C75183" s="2"/>
    </row>
    <row r="75184" spans="3:3" x14ac:dyDescent="0.35">
      <c r="C75184" s="2"/>
    </row>
    <row r="75185" spans="3:3" x14ac:dyDescent="0.35">
      <c r="C75185" s="2"/>
    </row>
    <row r="75186" spans="3:3" x14ac:dyDescent="0.35">
      <c r="C75186" s="2"/>
    </row>
    <row r="75187" spans="3:3" x14ac:dyDescent="0.35">
      <c r="C75187" s="2"/>
    </row>
    <row r="75188" spans="3:3" x14ac:dyDescent="0.35">
      <c r="C75188" s="2"/>
    </row>
    <row r="75189" spans="3:3" x14ac:dyDescent="0.35">
      <c r="C75189" s="2"/>
    </row>
    <row r="75190" spans="3:3" x14ac:dyDescent="0.35">
      <c r="C75190" s="2"/>
    </row>
    <row r="75191" spans="3:3" x14ac:dyDescent="0.35">
      <c r="C75191" s="2"/>
    </row>
    <row r="75192" spans="3:3" x14ac:dyDescent="0.35">
      <c r="C75192" s="2"/>
    </row>
    <row r="75193" spans="3:3" x14ac:dyDescent="0.35">
      <c r="C75193" s="2"/>
    </row>
    <row r="75194" spans="3:3" x14ac:dyDescent="0.35">
      <c r="C75194" s="2"/>
    </row>
    <row r="75195" spans="3:3" x14ac:dyDescent="0.35">
      <c r="C75195" s="2"/>
    </row>
    <row r="75196" spans="3:3" x14ac:dyDescent="0.35">
      <c r="C75196" s="2"/>
    </row>
    <row r="75197" spans="3:3" x14ac:dyDescent="0.35">
      <c r="C75197" s="2"/>
    </row>
    <row r="75198" spans="3:3" x14ac:dyDescent="0.35">
      <c r="C75198" s="2"/>
    </row>
    <row r="75199" spans="3:3" x14ac:dyDescent="0.35">
      <c r="C75199" s="2"/>
    </row>
    <row r="75200" spans="3:3" x14ac:dyDescent="0.35">
      <c r="C75200" s="2"/>
    </row>
    <row r="75201" spans="3:3" x14ac:dyDescent="0.35">
      <c r="C75201" s="2"/>
    </row>
    <row r="75202" spans="3:3" x14ac:dyDescent="0.35">
      <c r="C75202" s="2"/>
    </row>
    <row r="75203" spans="3:3" x14ac:dyDescent="0.35">
      <c r="C75203" s="2"/>
    </row>
    <row r="75204" spans="3:3" x14ac:dyDescent="0.35">
      <c r="C75204" s="2"/>
    </row>
    <row r="75205" spans="3:3" x14ac:dyDescent="0.35">
      <c r="C75205" s="2"/>
    </row>
    <row r="75206" spans="3:3" x14ac:dyDescent="0.35">
      <c r="C75206" s="2"/>
    </row>
    <row r="75207" spans="3:3" x14ac:dyDescent="0.35">
      <c r="C75207" s="2"/>
    </row>
    <row r="75208" spans="3:3" x14ac:dyDescent="0.35">
      <c r="C75208" s="2"/>
    </row>
    <row r="75209" spans="3:3" x14ac:dyDescent="0.35">
      <c r="C75209" s="2"/>
    </row>
    <row r="75210" spans="3:3" x14ac:dyDescent="0.35">
      <c r="C75210" s="2"/>
    </row>
    <row r="75211" spans="3:3" x14ac:dyDescent="0.35">
      <c r="C75211" s="2"/>
    </row>
    <row r="75212" spans="3:3" x14ac:dyDescent="0.35">
      <c r="C75212" s="2"/>
    </row>
    <row r="75213" spans="3:3" x14ac:dyDescent="0.35">
      <c r="C75213" s="2"/>
    </row>
    <row r="75214" spans="3:3" x14ac:dyDescent="0.35">
      <c r="C75214" s="2"/>
    </row>
    <row r="75215" spans="3:3" x14ac:dyDescent="0.35">
      <c r="C75215" s="2"/>
    </row>
    <row r="75216" spans="3:3" x14ac:dyDescent="0.35">
      <c r="C75216" s="2"/>
    </row>
    <row r="75217" spans="3:3" x14ac:dyDescent="0.35">
      <c r="C75217" s="2"/>
    </row>
    <row r="75218" spans="3:3" x14ac:dyDescent="0.35">
      <c r="C75218" s="2"/>
    </row>
    <row r="75219" spans="3:3" x14ac:dyDescent="0.35">
      <c r="C75219" s="2"/>
    </row>
    <row r="75220" spans="3:3" x14ac:dyDescent="0.35">
      <c r="C75220" s="2"/>
    </row>
    <row r="75221" spans="3:3" x14ac:dyDescent="0.35">
      <c r="C75221" s="2"/>
    </row>
    <row r="75222" spans="3:3" x14ac:dyDescent="0.35">
      <c r="C75222" s="2"/>
    </row>
    <row r="75223" spans="3:3" x14ac:dyDescent="0.35">
      <c r="C75223" s="2"/>
    </row>
    <row r="75224" spans="3:3" x14ac:dyDescent="0.35">
      <c r="C75224" s="2"/>
    </row>
    <row r="75225" spans="3:3" x14ac:dyDescent="0.35">
      <c r="C75225" s="2"/>
    </row>
    <row r="75226" spans="3:3" x14ac:dyDescent="0.35">
      <c r="C75226" s="2"/>
    </row>
    <row r="75227" spans="3:3" x14ac:dyDescent="0.35">
      <c r="C75227" s="2"/>
    </row>
    <row r="75228" spans="3:3" x14ac:dyDescent="0.35">
      <c r="C75228" s="2"/>
    </row>
    <row r="75229" spans="3:3" x14ac:dyDescent="0.35">
      <c r="C75229" s="2"/>
    </row>
    <row r="75230" spans="3:3" x14ac:dyDescent="0.35">
      <c r="C75230" s="2"/>
    </row>
    <row r="75231" spans="3:3" x14ac:dyDescent="0.35">
      <c r="C75231" s="2"/>
    </row>
    <row r="75232" spans="3:3" x14ac:dyDescent="0.35">
      <c r="C75232" s="2"/>
    </row>
    <row r="75233" spans="3:3" x14ac:dyDescent="0.35">
      <c r="C75233" s="2"/>
    </row>
    <row r="75234" spans="3:3" x14ac:dyDescent="0.35">
      <c r="C75234" s="2"/>
    </row>
    <row r="75235" spans="3:3" x14ac:dyDescent="0.35">
      <c r="C75235" s="2"/>
    </row>
    <row r="75236" spans="3:3" x14ac:dyDescent="0.35">
      <c r="C75236" s="2"/>
    </row>
    <row r="75237" spans="3:3" x14ac:dyDescent="0.35">
      <c r="C75237" s="2"/>
    </row>
    <row r="75238" spans="3:3" x14ac:dyDescent="0.35">
      <c r="C75238" s="2"/>
    </row>
    <row r="75239" spans="3:3" x14ac:dyDescent="0.35">
      <c r="C75239" s="2"/>
    </row>
    <row r="75240" spans="3:3" x14ac:dyDescent="0.35">
      <c r="C75240" s="2"/>
    </row>
    <row r="75241" spans="3:3" x14ac:dyDescent="0.35">
      <c r="C75241" s="2"/>
    </row>
    <row r="75242" spans="3:3" x14ac:dyDescent="0.35">
      <c r="C75242" s="2"/>
    </row>
    <row r="75243" spans="3:3" x14ac:dyDescent="0.35">
      <c r="C75243" s="2"/>
    </row>
    <row r="75244" spans="3:3" x14ac:dyDescent="0.35">
      <c r="C75244" s="2"/>
    </row>
    <row r="75245" spans="3:3" x14ac:dyDescent="0.35">
      <c r="C75245" s="2"/>
    </row>
    <row r="75246" spans="3:3" x14ac:dyDescent="0.35">
      <c r="C75246" s="2"/>
    </row>
    <row r="75247" spans="3:3" x14ac:dyDescent="0.35">
      <c r="C75247" s="2"/>
    </row>
    <row r="75248" spans="3:3" x14ac:dyDescent="0.35">
      <c r="C75248" s="2"/>
    </row>
    <row r="75249" spans="3:3" x14ac:dyDescent="0.35">
      <c r="C75249" s="2"/>
    </row>
    <row r="75250" spans="3:3" x14ac:dyDescent="0.35">
      <c r="C75250" s="2"/>
    </row>
    <row r="75251" spans="3:3" x14ac:dyDescent="0.35">
      <c r="C75251" s="2"/>
    </row>
    <row r="75252" spans="3:3" x14ac:dyDescent="0.35">
      <c r="C75252" s="2"/>
    </row>
    <row r="75253" spans="3:3" x14ac:dyDescent="0.35">
      <c r="C75253" s="2"/>
    </row>
    <row r="75254" spans="3:3" x14ac:dyDescent="0.35">
      <c r="C75254" s="2"/>
    </row>
    <row r="75255" spans="3:3" x14ac:dyDescent="0.35">
      <c r="C75255" s="2"/>
    </row>
    <row r="75256" spans="3:3" x14ac:dyDescent="0.35">
      <c r="C75256" s="2"/>
    </row>
    <row r="75257" spans="3:3" x14ac:dyDescent="0.35">
      <c r="C75257" s="2"/>
    </row>
    <row r="75258" spans="3:3" x14ac:dyDescent="0.35">
      <c r="C75258" s="2"/>
    </row>
    <row r="75259" spans="3:3" x14ac:dyDescent="0.35">
      <c r="C75259" s="2"/>
    </row>
    <row r="75260" spans="3:3" x14ac:dyDescent="0.35">
      <c r="C75260" s="2"/>
    </row>
    <row r="75261" spans="3:3" x14ac:dyDescent="0.35">
      <c r="C75261" s="2"/>
    </row>
    <row r="75262" spans="3:3" x14ac:dyDescent="0.35">
      <c r="C75262" s="2"/>
    </row>
    <row r="75263" spans="3:3" x14ac:dyDescent="0.35">
      <c r="C75263" s="2"/>
    </row>
    <row r="75264" spans="3:3" x14ac:dyDescent="0.35">
      <c r="C75264" s="2"/>
    </row>
    <row r="75265" spans="3:3" x14ac:dyDescent="0.35">
      <c r="C75265" s="2"/>
    </row>
    <row r="75266" spans="3:3" x14ac:dyDescent="0.35">
      <c r="C75266" s="2"/>
    </row>
    <row r="75267" spans="3:3" x14ac:dyDescent="0.35">
      <c r="C75267" s="2"/>
    </row>
    <row r="75268" spans="3:3" x14ac:dyDescent="0.35">
      <c r="C75268" s="2"/>
    </row>
    <row r="75269" spans="3:3" x14ac:dyDescent="0.35">
      <c r="C75269" s="2"/>
    </row>
    <row r="75270" spans="3:3" x14ac:dyDescent="0.35">
      <c r="C75270" s="2"/>
    </row>
    <row r="75271" spans="3:3" x14ac:dyDescent="0.35">
      <c r="C75271" s="2"/>
    </row>
    <row r="75272" spans="3:3" x14ac:dyDescent="0.35">
      <c r="C75272" s="2"/>
    </row>
    <row r="75273" spans="3:3" x14ac:dyDescent="0.35">
      <c r="C75273" s="2"/>
    </row>
    <row r="75274" spans="3:3" x14ac:dyDescent="0.35">
      <c r="C75274" s="2"/>
    </row>
    <row r="75275" spans="3:3" x14ac:dyDescent="0.35">
      <c r="C75275" s="2"/>
    </row>
    <row r="75276" spans="3:3" x14ac:dyDescent="0.35">
      <c r="C75276" s="2"/>
    </row>
    <row r="75277" spans="3:3" x14ac:dyDescent="0.35">
      <c r="C75277" s="2"/>
    </row>
    <row r="75278" spans="3:3" x14ac:dyDescent="0.35">
      <c r="C75278" s="2"/>
    </row>
    <row r="75279" spans="3:3" x14ac:dyDescent="0.35">
      <c r="C75279" s="2"/>
    </row>
    <row r="75280" spans="3:3" x14ac:dyDescent="0.35">
      <c r="C75280" s="2"/>
    </row>
    <row r="75281" spans="3:3" x14ac:dyDescent="0.35">
      <c r="C75281" s="2"/>
    </row>
    <row r="75282" spans="3:3" x14ac:dyDescent="0.35">
      <c r="C75282" s="2"/>
    </row>
    <row r="75283" spans="3:3" x14ac:dyDescent="0.35">
      <c r="C75283" s="2"/>
    </row>
    <row r="75284" spans="3:3" x14ac:dyDescent="0.35">
      <c r="C75284" s="2"/>
    </row>
    <row r="75285" spans="3:3" x14ac:dyDescent="0.35">
      <c r="C75285" s="2"/>
    </row>
    <row r="75286" spans="3:3" x14ac:dyDescent="0.35">
      <c r="C75286" s="2"/>
    </row>
    <row r="75287" spans="3:3" x14ac:dyDescent="0.35">
      <c r="C75287" s="2"/>
    </row>
    <row r="75288" spans="3:3" x14ac:dyDescent="0.35">
      <c r="C75288" s="2"/>
    </row>
    <row r="75289" spans="3:3" x14ac:dyDescent="0.35">
      <c r="C75289" s="2"/>
    </row>
    <row r="75290" spans="3:3" x14ac:dyDescent="0.35">
      <c r="C75290" s="2"/>
    </row>
    <row r="75291" spans="3:3" x14ac:dyDescent="0.35">
      <c r="C75291" s="2"/>
    </row>
    <row r="75292" spans="3:3" x14ac:dyDescent="0.35">
      <c r="C75292" s="2"/>
    </row>
    <row r="75293" spans="3:3" x14ac:dyDescent="0.35">
      <c r="C75293" s="2"/>
    </row>
    <row r="75294" spans="3:3" x14ac:dyDescent="0.35">
      <c r="C75294" s="2"/>
    </row>
    <row r="75295" spans="3:3" x14ac:dyDescent="0.35">
      <c r="C75295" s="2"/>
    </row>
    <row r="75296" spans="3:3" x14ac:dyDescent="0.35">
      <c r="C75296" s="2"/>
    </row>
    <row r="75297" spans="3:3" x14ac:dyDescent="0.35">
      <c r="C75297" s="2"/>
    </row>
    <row r="75298" spans="3:3" x14ac:dyDescent="0.35">
      <c r="C75298" s="2"/>
    </row>
    <row r="75299" spans="3:3" x14ac:dyDescent="0.35">
      <c r="C75299" s="2"/>
    </row>
    <row r="75300" spans="3:3" x14ac:dyDescent="0.35">
      <c r="C75300" s="2"/>
    </row>
    <row r="75301" spans="3:3" x14ac:dyDescent="0.35">
      <c r="C75301" s="2"/>
    </row>
    <row r="75302" spans="3:3" x14ac:dyDescent="0.35">
      <c r="C75302" s="2"/>
    </row>
    <row r="75303" spans="3:3" x14ac:dyDescent="0.35">
      <c r="C75303" s="2"/>
    </row>
    <row r="75304" spans="3:3" x14ac:dyDescent="0.35">
      <c r="C75304" s="2"/>
    </row>
    <row r="75305" spans="3:3" x14ac:dyDescent="0.35">
      <c r="C75305" s="2"/>
    </row>
    <row r="75306" spans="3:3" x14ac:dyDescent="0.35">
      <c r="C75306" s="2"/>
    </row>
    <row r="75307" spans="3:3" x14ac:dyDescent="0.35">
      <c r="C75307" s="2"/>
    </row>
    <row r="75308" spans="3:3" x14ac:dyDescent="0.35">
      <c r="C75308" s="2"/>
    </row>
    <row r="75309" spans="3:3" x14ac:dyDescent="0.35">
      <c r="C75309" s="2"/>
    </row>
    <row r="75310" spans="3:3" x14ac:dyDescent="0.35">
      <c r="C75310" s="2"/>
    </row>
    <row r="75311" spans="3:3" x14ac:dyDescent="0.35">
      <c r="C75311" s="2"/>
    </row>
    <row r="75312" spans="3:3" x14ac:dyDescent="0.35">
      <c r="C75312" s="2"/>
    </row>
    <row r="75313" spans="3:3" x14ac:dyDescent="0.35">
      <c r="C75313" s="2"/>
    </row>
    <row r="75314" spans="3:3" x14ac:dyDescent="0.35">
      <c r="C75314" s="2"/>
    </row>
    <row r="75315" spans="3:3" x14ac:dyDescent="0.35">
      <c r="C75315" s="2"/>
    </row>
    <row r="75316" spans="3:3" x14ac:dyDescent="0.35">
      <c r="C75316" s="2"/>
    </row>
    <row r="75317" spans="3:3" x14ac:dyDescent="0.35">
      <c r="C75317" s="2"/>
    </row>
    <row r="75318" spans="3:3" x14ac:dyDescent="0.35">
      <c r="C75318" s="2"/>
    </row>
    <row r="75319" spans="3:3" x14ac:dyDescent="0.35">
      <c r="C75319" s="2"/>
    </row>
    <row r="75320" spans="3:3" x14ac:dyDescent="0.35">
      <c r="C75320" s="2"/>
    </row>
    <row r="75321" spans="3:3" x14ac:dyDescent="0.35">
      <c r="C75321" s="2"/>
    </row>
    <row r="75322" spans="3:3" x14ac:dyDescent="0.35">
      <c r="C75322" s="2"/>
    </row>
    <row r="75323" spans="3:3" x14ac:dyDescent="0.35">
      <c r="C75323" s="2"/>
    </row>
    <row r="75324" spans="3:3" x14ac:dyDescent="0.35">
      <c r="C75324" s="2"/>
    </row>
    <row r="75325" spans="3:3" x14ac:dyDescent="0.35">
      <c r="C75325" s="2"/>
    </row>
    <row r="75326" spans="3:3" x14ac:dyDescent="0.35">
      <c r="C75326" s="2"/>
    </row>
    <row r="75327" spans="3:3" x14ac:dyDescent="0.35">
      <c r="C75327" s="2"/>
    </row>
    <row r="75328" spans="3:3" x14ac:dyDescent="0.35">
      <c r="C75328" s="2"/>
    </row>
    <row r="75329" spans="3:3" x14ac:dyDescent="0.35">
      <c r="C75329" s="2"/>
    </row>
    <row r="75330" spans="3:3" x14ac:dyDescent="0.35">
      <c r="C75330" s="2"/>
    </row>
    <row r="75331" spans="3:3" x14ac:dyDescent="0.35">
      <c r="C75331" s="2"/>
    </row>
    <row r="75332" spans="3:3" x14ac:dyDescent="0.35">
      <c r="C75332" s="2"/>
    </row>
    <row r="75333" spans="3:3" x14ac:dyDescent="0.35">
      <c r="C75333" s="2"/>
    </row>
    <row r="75334" spans="3:3" x14ac:dyDescent="0.35">
      <c r="C75334" s="2"/>
    </row>
    <row r="75335" spans="3:3" x14ac:dyDescent="0.35">
      <c r="C75335" s="2"/>
    </row>
    <row r="75336" spans="3:3" x14ac:dyDescent="0.35">
      <c r="C75336" s="2"/>
    </row>
    <row r="75337" spans="3:3" x14ac:dyDescent="0.35">
      <c r="C75337" s="2"/>
    </row>
    <row r="75338" spans="3:3" x14ac:dyDescent="0.35">
      <c r="C75338" s="2"/>
    </row>
    <row r="75339" spans="3:3" x14ac:dyDescent="0.35">
      <c r="C75339" s="2"/>
    </row>
    <row r="75340" spans="3:3" x14ac:dyDescent="0.35">
      <c r="C75340" s="2"/>
    </row>
    <row r="75341" spans="3:3" x14ac:dyDescent="0.35">
      <c r="C75341" s="2"/>
    </row>
    <row r="75342" spans="3:3" x14ac:dyDescent="0.35">
      <c r="C75342" s="2"/>
    </row>
    <row r="75343" spans="3:3" x14ac:dyDescent="0.35">
      <c r="C75343" s="2"/>
    </row>
    <row r="75344" spans="3:3" x14ac:dyDescent="0.35">
      <c r="C75344" s="2"/>
    </row>
    <row r="75345" spans="3:3" x14ac:dyDescent="0.35">
      <c r="C75345" s="2"/>
    </row>
    <row r="75346" spans="3:3" x14ac:dyDescent="0.35">
      <c r="C75346" s="2"/>
    </row>
    <row r="75347" spans="3:3" x14ac:dyDescent="0.35">
      <c r="C75347" s="2"/>
    </row>
    <row r="75348" spans="3:3" x14ac:dyDescent="0.35">
      <c r="C75348" s="2"/>
    </row>
    <row r="75349" spans="3:3" x14ac:dyDescent="0.35">
      <c r="C75349" s="2"/>
    </row>
    <row r="75350" spans="3:3" x14ac:dyDescent="0.35">
      <c r="C75350" s="2"/>
    </row>
    <row r="75351" spans="3:3" x14ac:dyDescent="0.35">
      <c r="C75351" s="2"/>
    </row>
    <row r="75352" spans="3:3" x14ac:dyDescent="0.35">
      <c r="C75352" s="2"/>
    </row>
    <row r="75353" spans="3:3" x14ac:dyDescent="0.35">
      <c r="C75353" s="2"/>
    </row>
    <row r="75354" spans="3:3" x14ac:dyDescent="0.35">
      <c r="C75354" s="2"/>
    </row>
    <row r="75355" spans="3:3" x14ac:dyDescent="0.35">
      <c r="C75355" s="2"/>
    </row>
    <row r="75356" spans="3:3" x14ac:dyDescent="0.35">
      <c r="C75356" s="2"/>
    </row>
    <row r="75357" spans="3:3" x14ac:dyDescent="0.35">
      <c r="C75357" s="2"/>
    </row>
    <row r="75358" spans="3:3" x14ac:dyDescent="0.35">
      <c r="C75358" s="2"/>
    </row>
    <row r="75359" spans="3:3" x14ac:dyDescent="0.35">
      <c r="C75359" s="2"/>
    </row>
    <row r="75360" spans="3:3" x14ac:dyDescent="0.35">
      <c r="C75360" s="2"/>
    </row>
    <row r="75361" spans="3:3" x14ac:dyDescent="0.35">
      <c r="C75361" s="2"/>
    </row>
    <row r="75362" spans="3:3" x14ac:dyDescent="0.35">
      <c r="C75362" s="2"/>
    </row>
    <row r="75363" spans="3:3" x14ac:dyDescent="0.35">
      <c r="C75363" s="2"/>
    </row>
    <row r="75364" spans="3:3" x14ac:dyDescent="0.35">
      <c r="C75364" s="2"/>
    </row>
    <row r="75365" spans="3:3" x14ac:dyDescent="0.35">
      <c r="C75365" s="2"/>
    </row>
    <row r="75366" spans="3:3" x14ac:dyDescent="0.35">
      <c r="C75366" s="2"/>
    </row>
    <row r="75367" spans="3:3" x14ac:dyDescent="0.35">
      <c r="C75367" s="2"/>
    </row>
    <row r="75368" spans="3:3" x14ac:dyDescent="0.35">
      <c r="C75368" s="2"/>
    </row>
    <row r="75369" spans="3:3" x14ac:dyDescent="0.35">
      <c r="C75369" s="2"/>
    </row>
    <row r="75370" spans="3:3" x14ac:dyDescent="0.35">
      <c r="C75370" s="2"/>
    </row>
    <row r="75371" spans="3:3" x14ac:dyDescent="0.35">
      <c r="C75371" s="2"/>
    </row>
    <row r="75372" spans="3:3" x14ac:dyDescent="0.35">
      <c r="C75372" s="2"/>
    </row>
    <row r="75373" spans="3:3" x14ac:dyDescent="0.35">
      <c r="C75373" s="2"/>
    </row>
    <row r="75374" spans="3:3" x14ac:dyDescent="0.35">
      <c r="C75374" s="2"/>
    </row>
    <row r="75375" spans="3:3" x14ac:dyDescent="0.35">
      <c r="C75375" s="2"/>
    </row>
    <row r="75376" spans="3:3" x14ac:dyDescent="0.35">
      <c r="C75376" s="2"/>
    </row>
    <row r="75377" spans="3:3" x14ac:dyDescent="0.35">
      <c r="C75377" s="2"/>
    </row>
    <row r="75378" spans="3:3" x14ac:dyDescent="0.35">
      <c r="C75378" s="2"/>
    </row>
    <row r="75379" spans="3:3" x14ac:dyDescent="0.35">
      <c r="C75379" s="2"/>
    </row>
    <row r="75380" spans="3:3" x14ac:dyDescent="0.35">
      <c r="C75380" s="2"/>
    </row>
    <row r="75381" spans="3:3" x14ac:dyDescent="0.35">
      <c r="C75381" s="2"/>
    </row>
    <row r="75382" spans="3:3" x14ac:dyDescent="0.35">
      <c r="C75382" s="2"/>
    </row>
    <row r="75383" spans="3:3" x14ac:dyDescent="0.35">
      <c r="C75383" s="2"/>
    </row>
    <row r="75384" spans="3:3" x14ac:dyDescent="0.35">
      <c r="C75384" s="2"/>
    </row>
    <row r="75385" spans="3:3" x14ac:dyDescent="0.35">
      <c r="C75385" s="2"/>
    </row>
    <row r="75386" spans="3:3" x14ac:dyDescent="0.35">
      <c r="C75386" s="2"/>
    </row>
    <row r="75387" spans="3:3" x14ac:dyDescent="0.35">
      <c r="C75387" s="2"/>
    </row>
    <row r="75388" spans="3:3" x14ac:dyDescent="0.35">
      <c r="C75388" s="2"/>
    </row>
    <row r="75389" spans="3:3" x14ac:dyDescent="0.35">
      <c r="C75389" s="2"/>
    </row>
    <row r="75390" spans="3:3" x14ac:dyDescent="0.35">
      <c r="C75390" s="2"/>
    </row>
    <row r="75391" spans="3:3" x14ac:dyDescent="0.35">
      <c r="C75391" s="2"/>
    </row>
    <row r="75392" spans="3:3" x14ac:dyDescent="0.35">
      <c r="C75392" s="2"/>
    </row>
    <row r="75393" spans="3:3" x14ac:dyDescent="0.35">
      <c r="C75393" s="2"/>
    </row>
    <row r="75394" spans="3:3" x14ac:dyDescent="0.35">
      <c r="C75394" s="2"/>
    </row>
    <row r="75395" spans="3:3" x14ac:dyDescent="0.35">
      <c r="C75395" s="2"/>
    </row>
    <row r="75396" spans="3:3" x14ac:dyDescent="0.35">
      <c r="C75396" s="2"/>
    </row>
    <row r="75397" spans="3:3" x14ac:dyDescent="0.35">
      <c r="C75397" s="2"/>
    </row>
    <row r="75398" spans="3:3" x14ac:dyDescent="0.35">
      <c r="C75398" s="2"/>
    </row>
    <row r="75399" spans="3:3" x14ac:dyDescent="0.35">
      <c r="C75399" s="2"/>
    </row>
    <row r="75400" spans="3:3" x14ac:dyDescent="0.35">
      <c r="C75400" s="2"/>
    </row>
    <row r="75401" spans="3:3" x14ac:dyDescent="0.35">
      <c r="C75401" s="2"/>
    </row>
    <row r="75402" spans="3:3" x14ac:dyDescent="0.35">
      <c r="C75402" s="2"/>
    </row>
    <row r="75403" spans="3:3" x14ac:dyDescent="0.35">
      <c r="C75403" s="2"/>
    </row>
    <row r="75404" spans="3:3" x14ac:dyDescent="0.35">
      <c r="C75404" s="2"/>
    </row>
    <row r="75405" spans="3:3" x14ac:dyDescent="0.35">
      <c r="C75405" s="2"/>
    </row>
    <row r="75406" spans="3:3" x14ac:dyDescent="0.35">
      <c r="C75406" s="2"/>
    </row>
    <row r="75407" spans="3:3" x14ac:dyDescent="0.35">
      <c r="C75407" s="2"/>
    </row>
    <row r="75408" spans="3:3" x14ac:dyDescent="0.35">
      <c r="C75408" s="2"/>
    </row>
    <row r="75409" spans="3:3" x14ac:dyDescent="0.35">
      <c r="C75409" s="2"/>
    </row>
    <row r="75410" spans="3:3" x14ac:dyDescent="0.35">
      <c r="C75410" s="2"/>
    </row>
    <row r="75411" spans="3:3" x14ac:dyDescent="0.35">
      <c r="C75411" s="2"/>
    </row>
    <row r="75412" spans="3:3" x14ac:dyDescent="0.35">
      <c r="C75412" s="2"/>
    </row>
    <row r="75413" spans="3:3" x14ac:dyDescent="0.35">
      <c r="C75413" s="2"/>
    </row>
    <row r="75414" spans="3:3" x14ac:dyDescent="0.35">
      <c r="C75414" s="2"/>
    </row>
    <row r="75415" spans="3:3" x14ac:dyDescent="0.35">
      <c r="C75415" s="2"/>
    </row>
    <row r="75416" spans="3:3" x14ac:dyDescent="0.35">
      <c r="C75416" s="2"/>
    </row>
    <row r="75417" spans="3:3" x14ac:dyDescent="0.35">
      <c r="C75417" s="2"/>
    </row>
    <row r="75418" spans="3:3" x14ac:dyDescent="0.35">
      <c r="C75418" s="2"/>
    </row>
    <row r="75419" spans="3:3" x14ac:dyDescent="0.35">
      <c r="C75419" s="2"/>
    </row>
    <row r="75420" spans="3:3" x14ac:dyDescent="0.35">
      <c r="C75420" s="2"/>
    </row>
    <row r="75421" spans="3:3" x14ac:dyDescent="0.35">
      <c r="C75421" s="2"/>
    </row>
    <row r="75422" spans="3:3" x14ac:dyDescent="0.35">
      <c r="C75422" s="2"/>
    </row>
    <row r="75423" spans="3:3" x14ac:dyDescent="0.35">
      <c r="C75423" s="2"/>
    </row>
    <row r="75424" spans="3:3" x14ac:dyDescent="0.35">
      <c r="C75424" s="2"/>
    </row>
    <row r="75425" spans="3:3" x14ac:dyDescent="0.35">
      <c r="C75425" s="2"/>
    </row>
    <row r="75426" spans="3:3" x14ac:dyDescent="0.35">
      <c r="C75426" s="2"/>
    </row>
    <row r="75427" spans="3:3" x14ac:dyDescent="0.35">
      <c r="C75427" s="2"/>
    </row>
    <row r="75428" spans="3:3" x14ac:dyDescent="0.35">
      <c r="C75428" s="2"/>
    </row>
    <row r="75429" spans="3:3" x14ac:dyDescent="0.35">
      <c r="C75429" s="2"/>
    </row>
    <row r="75430" spans="3:3" x14ac:dyDescent="0.35">
      <c r="C75430" s="2"/>
    </row>
    <row r="75431" spans="3:3" x14ac:dyDescent="0.35">
      <c r="C75431" s="2"/>
    </row>
    <row r="75432" spans="3:3" x14ac:dyDescent="0.35">
      <c r="C75432" s="2"/>
    </row>
    <row r="75433" spans="3:3" x14ac:dyDescent="0.35">
      <c r="C75433" s="2"/>
    </row>
    <row r="75434" spans="3:3" x14ac:dyDescent="0.35">
      <c r="C75434" s="2"/>
    </row>
    <row r="75435" spans="3:3" x14ac:dyDescent="0.35">
      <c r="C75435" s="2"/>
    </row>
    <row r="75436" spans="3:3" x14ac:dyDescent="0.35">
      <c r="C75436" s="2"/>
    </row>
    <row r="75437" spans="3:3" x14ac:dyDescent="0.35">
      <c r="C75437" s="2"/>
    </row>
    <row r="75438" spans="3:3" x14ac:dyDescent="0.35">
      <c r="C75438" s="2"/>
    </row>
    <row r="75439" spans="3:3" x14ac:dyDescent="0.35">
      <c r="C75439" s="2"/>
    </row>
    <row r="75440" spans="3:3" x14ac:dyDescent="0.35">
      <c r="C75440" s="2"/>
    </row>
    <row r="75441" spans="3:3" x14ac:dyDescent="0.35">
      <c r="C75441" s="2"/>
    </row>
    <row r="75442" spans="3:3" x14ac:dyDescent="0.35">
      <c r="C75442" s="2"/>
    </row>
    <row r="75443" spans="3:3" x14ac:dyDescent="0.35">
      <c r="C75443" s="2"/>
    </row>
    <row r="75444" spans="3:3" x14ac:dyDescent="0.35">
      <c r="C75444" s="2"/>
    </row>
    <row r="75445" spans="3:3" x14ac:dyDescent="0.35">
      <c r="C75445" s="2"/>
    </row>
    <row r="75446" spans="3:3" x14ac:dyDescent="0.35">
      <c r="C75446" s="2"/>
    </row>
    <row r="75447" spans="3:3" x14ac:dyDescent="0.35">
      <c r="C75447" s="2"/>
    </row>
    <row r="75448" spans="3:3" x14ac:dyDescent="0.35">
      <c r="C75448" s="2"/>
    </row>
    <row r="75449" spans="3:3" x14ac:dyDescent="0.35">
      <c r="C75449" s="2"/>
    </row>
    <row r="75450" spans="3:3" x14ac:dyDescent="0.35">
      <c r="C75450" s="2"/>
    </row>
    <row r="75451" spans="3:3" x14ac:dyDescent="0.35">
      <c r="C75451" s="2"/>
    </row>
    <row r="75452" spans="3:3" x14ac:dyDescent="0.35">
      <c r="C75452" s="2"/>
    </row>
    <row r="75453" spans="3:3" x14ac:dyDescent="0.35">
      <c r="C75453" s="2"/>
    </row>
    <row r="75454" spans="3:3" x14ac:dyDescent="0.35">
      <c r="C75454" s="2"/>
    </row>
    <row r="75455" spans="3:3" x14ac:dyDescent="0.35">
      <c r="C75455" s="2"/>
    </row>
    <row r="75456" spans="3:3" x14ac:dyDescent="0.35">
      <c r="C75456" s="2"/>
    </row>
    <row r="75457" spans="3:3" x14ac:dyDescent="0.35">
      <c r="C75457" s="2"/>
    </row>
    <row r="75458" spans="3:3" x14ac:dyDescent="0.35">
      <c r="C75458" s="2"/>
    </row>
    <row r="75459" spans="3:3" x14ac:dyDescent="0.35">
      <c r="C75459" s="2"/>
    </row>
    <row r="75460" spans="3:3" x14ac:dyDescent="0.35">
      <c r="C75460" s="2"/>
    </row>
    <row r="75461" spans="3:3" x14ac:dyDescent="0.35">
      <c r="C75461" s="2"/>
    </row>
    <row r="75462" spans="3:3" x14ac:dyDescent="0.35">
      <c r="C75462" s="2"/>
    </row>
    <row r="75463" spans="3:3" x14ac:dyDescent="0.35">
      <c r="C75463" s="2"/>
    </row>
    <row r="75464" spans="3:3" x14ac:dyDescent="0.35">
      <c r="C75464" s="2"/>
    </row>
    <row r="75465" spans="3:3" x14ac:dyDescent="0.35">
      <c r="C75465" s="2"/>
    </row>
    <row r="75466" spans="3:3" x14ac:dyDescent="0.35">
      <c r="C75466" s="2"/>
    </row>
    <row r="75467" spans="3:3" x14ac:dyDescent="0.35">
      <c r="C75467" s="2"/>
    </row>
    <row r="75468" spans="3:3" x14ac:dyDescent="0.35">
      <c r="C75468" s="2"/>
    </row>
    <row r="75469" spans="3:3" x14ac:dyDescent="0.35">
      <c r="C75469" s="2"/>
    </row>
    <row r="75470" spans="3:3" x14ac:dyDescent="0.35">
      <c r="C75470" s="2"/>
    </row>
    <row r="75471" spans="3:3" x14ac:dyDescent="0.35">
      <c r="C75471" s="2"/>
    </row>
    <row r="75472" spans="3:3" x14ac:dyDescent="0.35">
      <c r="C75472" s="2"/>
    </row>
    <row r="75473" spans="3:3" x14ac:dyDescent="0.35">
      <c r="C75473" s="2"/>
    </row>
    <row r="75474" spans="3:3" x14ac:dyDescent="0.35">
      <c r="C75474" s="2"/>
    </row>
    <row r="75475" spans="3:3" x14ac:dyDescent="0.35">
      <c r="C75475" s="2"/>
    </row>
    <row r="75476" spans="3:3" x14ac:dyDescent="0.35">
      <c r="C75476" s="2"/>
    </row>
    <row r="75477" spans="3:3" x14ac:dyDescent="0.35">
      <c r="C75477" s="2"/>
    </row>
    <row r="75478" spans="3:3" x14ac:dyDescent="0.35">
      <c r="C75478" s="2"/>
    </row>
    <row r="75479" spans="3:3" x14ac:dyDescent="0.35">
      <c r="C75479" s="2"/>
    </row>
    <row r="75480" spans="3:3" x14ac:dyDescent="0.35">
      <c r="C75480" s="2"/>
    </row>
    <row r="75481" spans="3:3" x14ac:dyDescent="0.35">
      <c r="C75481" s="2"/>
    </row>
    <row r="75482" spans="3:3" x14ac:dyDescent="0.35">
      <c r="C75482" s="2"/>
    </row>
    <row r="75483" spans="3:3" x14ac:dyDescent="0.35">
      <c r="C75483" s="2"/>
    </row>
    <row r="75484" spans="3:3" x14ac:dyDescent="0.35">
      <c r="C75484" s="2"/>
    </row>
    <row r="75485" spans="3:3" x14ac:dyDescent="0.35">
      <c r="C75485" s="2"/>
    </row>
    <row r="75486" spans="3:3" x14ac:dyDescent="0.35">
      <c r="C75486" s="2"/>
    </row>
    <row r="75487" spans="3:3" x14ac:dyDescent="0.35">
      <c r="C75487" s="2"/>
    </row>
    <row r="75488" spans="3:3" x14ac:dyDescent="0.35">
      <c r="C75488" s="2"/>
    </row>
    <row r="75489" spans="3:3" x14ac:dyDescent="0.35">
      <c r="C75489" s="2"/>
    </row>
    <row r="75490" spans="3:3" x14ac:dyDescent="0.35">
      <c r="C75490" s="2"/>
    </row>
    <row r="75491" spans="3:3" x14ac:dyDescent="0.35">
      <c r="C75491" s="2"/>
    </row>
    <row r="75492" spans="3:3" x14ac:dyDescent="0.35">
      <c r="C75492" s="2"/>
    </row>
    <row r="75493" spans="3:3" x14ac:dyDescent="0.35">
      <c r="C75493" s="2"/>
    </row>
    <row r="75494" spans="3:3" x14ac:dyDescent="0.35">
      <c r="C75494" s="2"/>
    </row>
    <row r="75495" spans="3:3" x14ac:dyDescent="0.35">
      <c r="C75495" s="2"/>
    </row>
    <row r="75496" spans="3:3" x14ac:dyDescent="0.35">
      <c r="C75496" s="2"/>
    </row>
    <row r="75497" spans="3:3" x14ac:dyDescent="0.35">
      <c r="C75497" s="2"/>
    </row>
    <row r="75498" spans="3:3" x14ac:dyDescent="0.35">
      <c r="C75498" s="2"/>
    </row>
    <row r="75499" spans="3:3" x14ac:dyDescent="0.35">
      <c r="C75499" s="2"/>
    </row>
    <row r="75500" spans="3:3" x14ac:dyDescent="0.35">
      <c r="C75500" s="2"/>
    </row>
    <row r="75501" spans="3:3" x14ac:dyDescent="0.35">
      <c r="C75501" s="2"/>
    </row>
    <row r="75502" spans="3:3" x14ac:dyDescent="0.35">
      <c r="C75502" s="2"/>
    </row>
    <row r="75503" spans="3:3" x14ac:dyDescent="0.35">
      <c r="C75503" s="2"/>
    </row>
    <row r="75504" spans="3:3" x14ac:dyDescent="0.35">
      <c r="C75504" s="2"/>
    </row>
    <row r="75505" spans="3:3" x14ac:dyDescent="0.35">
      <c r="C75505" s="2"/>
    </row>
    <row r="75506" spans="3:3" x14ac:dyDescent="0.35">
      <c r="C75506" s="2"/>
    </row>
    <row r="75507" spans="3:3" x14ac:dyDescent="0.35">
      <c r="C75507" s="2"/>
    </row>
    <row r="75508" spans="3:3" x14ac:dyDescent="0.35">
      <c r="C75508" s="2"/>
    </row>
    <row r="75509" spans="3:3" x14ac:dyDescent="0.35">
      <c r="C75509" s="2"/>
    </row>
    <row r="75510" spans="3:3" x14ac:dyDescent="0.35">
      <c r="C75510" s="2"/>
    </row>
    <row r="75511" spans="3:3" x14ac:dyDescent="0.35">
      <c r="C75511" s="2"/>
    </row>
    <row r="75512" spans="3:3" x14ac:dyDescent="0.35">
      <c r="C75512" s="2"/>
    </row>
    <row r="75513" spans="3:3" x14ac:dyDescent="0.35">
      <c r="C75513" s="2"/>
    </row>
    <row r="75514" spans="3:3" x14ac:dyDescent="0.35">
      <c r="C75514" s="2"/>
    </row>
    <row r="75515" spans="3:3" x14ac:dyDescent="0.35">
      <c r="C75515" s="2"/>
    </row>
    <row r="75516" spans="3:3" x14ac:dyDescent="0.35">
      <c r="C75516" s="2"/>
    </row>
    <row r="75517" spans="3:3" x14ac:dyDescent="0.35">
      <c r="C75517" s="2"/>
    </row>
    <row r="75518" spans="3:3" x14ac:dyDescent="0.35">
      <c r="C75518" s="2"/>
    </row>
    <row r="75519" spans="3:3" x14ac:dyDescent="0.35">
      <c r="C75519" s="2"/>
    </row>
    <row r="75520" spans="3:3" x14ac:dyDescent="0.35">
      <c r="C75520" s="2"/>
    </row>
    <row r="75521" spans="3:3" x14ac:dyDescent="0.35">
      <c r="C75521" s="2"/>
    </row>
    <row r="75522" spans="3:3" x14ac:dyDescent="0.35">
      <c r="C75522" s="2"/>
    </row>
    <row r="75523" spans="3:3" x14ac:dyDescent="0.35">
      <c r="C75523" s="2"/>
    </row>
    <row r="75524" spans="3:3" x14ac:dyDescent="0.35">
      <c r="C75524" s="2"/>
    </row>
    <row r="75525" spans="3:3" x14ac:dyDescent="0.35">
      <c r="C75525" s="2"/>
    </row>
    <row r="75526" spans="3:3" x14ac:dyDescent="0.35">
      <c r="C75526" s="2"/>
    </row>
    <row r="75527" spans="3:3" x14ac:dyDescent="0.35">
      <c r="C75527" s="2"/>
    </row>
    <row r="75528" spans="3:3" x14ac:dyDescent="0.35">
      <c r="C75528" s="2"/>
    </row>
    <row r="75529" spans="3:3" x14ac:dyDescent="0.35">
      <c r="C75529" s="2"/>
    </row>
    <row r="75530" spans="3:3" x14ac:dyDescent="0.35">
      <c r="C75530" s="2"/>
    </row>
    <row r="75531" spans="3:3" x14ac:dyDescent="0.35">
      <c r="C75531" s="2"/>
    </row>
    <row r="75532" spans="3:3" x14ac:dyDescent="0.35">
      <c r="C75532" s="2"/>
    </row>
    <row r="75533" spans="3:3" x14ac:dyDescent="0.35">
      <c r="C75533" s="2"/>
    </row>
    <row r="75534" spans="3:3" x14ac:dyDescent="0.35">
      <c r="C75534" s="2"/>
    </row>
    <row r="75535" spans="3:3" x14ac:dyDescent="0.35">
      <c r="C75535" s="2"/>
    </row>
    <row r="75536" spans="3:3" x14ac:dyDescent="0.35">
      <c r="C75536" s="2"/>
    </row>
    <row r="75537" spans="3:3" x14ac:dyDescent="0.35">
      <c r="C75537" s="2"/>
    </row>
    <row r="75538" spans="3:3" x14ac:dyDescent="0.35">
      <c r="C75538" s="2"/>
    </row>
    <row r="75539" spans="3:3" x14ac:dyDescent="0.35">
      <c r="C75539" s="2"/>
    </row>
    <row r="75540" spans="3:3" x14ac:dyDescent="0.35">
      <c r="C75540" s="2"/>
    </row>
    <row r="75541" spans="3:3" x14ac:dyDescent="0.35">
      <c r="C75541" s="2"/>
    </row>
    <row r="75542" spans="3:3" x14ac:dyDescent="0.35">
      <c r="C75542" s="2"/>
    </row>
    <row r="75543" spans="3:3" x14ac:dyDescent="0.35">
      <c r="C75543" s="2"/>
    </row>
    <row r="75544" spans="3:3" x14ac:dyDescent="0.35">
      <c r="C75544" s="2"/>
    </row>
    <row r="75545" spans="3:3" x14ac:dyDescent="0.35">
      <c r="C75545" s="2"/>
    </row>
    <row r="75546" spans="3:3" x14ac:dyDescent="0.35">
      <c r="C75546" s="2"/>
    </row>
    <row r="75547" spans="3:3" x14ac:dyDescent="0.35">
      <c r="C75547" s="2"/>
    </row>
    <row r="75548" spans="3:3" x14ac:dyDescent="0.35">
      <c r="C75548" s="2"/>
    </row>
    <row r="75549" spans="3:3" x14ac:dyDescent="0.35">
      <c r="C75549" s="2"/>
    </row>
    <row r="75550" spans="3:3" x14ac:dyDescent="0.35">
      <c r="C75550" s="2"/>
    </row>
    <row r="75551" spans="3:3" x14ac:dyDescent="0.35">
      <c r="C75551" s="2"/>
    </row>
    <row r="75552" spans="3:3" x14ac:dyDescent="0.35">
      <c r="C75552" s="2"/>
    </row>
    <row r="75553" spans="3:3" x14ac:dyDescent="0.35">
      <c r="C75553" s="2"/>
    </row>
    <row r="75554" spans="3:3" x14ac:dyDescent="0.35">
      <c r="C75554" s="2"/>
    </row>
    <row r="75555" spans="3:3" x14ac:dyDescent="0.35">
      <c r="C75555" s="2"/>
    </row>
    <row r="75556" spans="3:3" x14ac:dyDescent="0.35">
      <c r="C75556" s="2"/>
    </row>
    <row r="75557" spans="3:3" x14ac:dyDescent="0.35">
      <c r="C75557" s="2"/>
    </row>
    <row r="75558" spans="3:3" x14ac:dyDescent="0.35">
      <c r="C75558" s="2"/>
    </row>
    <row r="75559" spans="3:3" x14ac:dyDescent="0.35">
      <c r="C75559" s="2"/>
    </row>
    <row r="75560" spans="3:3" x14ac:dyDescent="0.35">
      <c r="C75560" s="2"/>
    </row>
    <row r="75561" spans="3:3" x14ac:dyDescent="0.35">
      <c r="C75561" s="2"/>
    </row>
    <row r="75562" spans="3:3" x14ac:dyDescent="0.35">
      <c r="C75562" s="2"/>
    </row>
    <row r="75563" spans="3:3" x14ac:dyDescent="0.35">
      <c r="C75563" s="2"/>
    </row>
    <row r="75564" spans="3:3" x14ac:dyDescent="0.35">
      <c r="C75564" s="2"/>
    </row>
    <row r="75565" spans="3:3" x14ac:dyDescent="0.35">
      <c r="C75565" s="2"/>
    </row>
    <row r="75566" spans="3:3" x14ac:dyDescent="0.35">
      <c r="C75566" s="2"/>
    </row>
    <row r="75567" spans="3:3" x14ac:dyDescent="0.35">
      <c r="C75567" s="2"/>
    </row>
    <row r="75568" spans="3:3" x14ac:dyDescent="0.35">
      <c r="C75568" s="2"/>
    </row>
    <row r="75569" spans="3:3" x14ac:dyDescent="0.35">
      <c r="C75569" s="2"/>
    </row>
    <row r="75570" spans="3:3" x14ac:dyDescent="0.35">
      <c r="C75570" s="2"/>
    </row>
    <row r="75571" spans="3:3" x14ac:dyDescent="0.35">
      <c r="C75571" s="2"/>
    </row>
    <row r="75572" spans="3:3" x14ac:dyDescent="0.35">
      <c r="C75572" s="2"/>
    </row>
    <row r="75573" spans="3:3" x14ac:dyDescent="0.35">
      <c r="C75573" s="2"/>
    </row>
    <row r="75574" spans="3:3" x14ac:dyDescent="0.35">
      <c r="C75574" s="2"/>
    </row>
    <row r="75575" spans="3:3" x14ac:dyDescent="0.35">
      <c r="C75575" s="2"/>
    </row>
    <row r="75576" spans="3:3" x14ac:dyDescent="0.35">
      <c r="C75576" s="2"/>
    </row>
    <row r="75577" spans="3:3" x14ac:dyDescent="0.35">
      <c r="C75577" s="2"/>
    </row>
    <row r="75578" spans="3:3" x14ac:dyDescent="0.35">
      <c r="C75578" s="2"/>
    </row>
    <row r="75579" spans="3:3" x14ac:dyDescent="0.35">
      <c r="C75579" s="2"/>
    </row>
    <row r="75580" spans="3:3" x14ac:dyDescent="0.35">
      <c r="C75580" s="2"/>
    </row>
    <row r="75581" spans="3:3" x14ac:dyDescent="0.35">
      <c r="C75581" s="2"/>
    </row>
    <row r="75582" spans="3:3" x14ac:dyDescent="0.35">
      <c r="C75582" s="2"/>
    </row>
    <row r="75583" spans="3:3" x14ac:dyDescent="0.35">
      <c r="C75583" s="2"/>
    </row>
    <row r="75584" spans="3:3" x14ac:dyDescent="0.35">
      <c r="C75584" s="2"/>
    </row>
    <row r="75585" spans="3:3" x14ac:dyDescent="0.35">
      <c r="C75585" s="2"/>
    </row>
    <row r="75586" spans="3:3" x14ac:dyDescent="0.35">
      <c r="C75586" s="2"/>
    </row>
    <row r="75587" spans="3:3" x14ac:dyDescent="0.35">
      <c r="C75587" s="2"/>
    </row>
    <row r="75588" spans="3:3" x14ac:dyDescent="0.35">
      <c r="C75588" s="2"/>
    </row>
    <row r="75589" spans="3:3" x14ac:dyDescent="0.35">
      <c r="C75589" s="2"/>
    </row>
    <row r="75590" spans="3:3" x14ac:dyDescent="0.35">
      <c r="C75590" s="2"/>
    </row>
    <row r="75591" spans="3:3" x14ac:dyDescent="0.35">
      <c r="C75591" s="2"/>
    </row>
    <row r="75592" spans="3:3" x14ac:dyDescent="0.35">
      <c r="C75592" s="2"/>
    </row>
    <row r="75593" spans="3:3" x14ac:dyDescent="0.35">
      <c r="C75593" s="2"/>
    </row>
    <row r="75594" spans="3:3" x14ac:dyDescent="0.35">
      <c r="C75594" s="2"/>
    </row>
    <row r="75595" spans="3:3" x14ac:dyDescent="0.35">
      <c r="C75595" s="2"/>
    </row>
    <row r="75596" spans="3:3" x14ac:dyDescent="0.35">
      <c r="C75596" s="2"/>
    </row>
    <row r="75597" spans="3:3" x14ac:dyDescent="0.35">
      <c r="C75597" s="2"/>
    </row>
    <row r="75598" spans="3:3" x14ac:dyDescent="0.35">
      <c r="C75598" s="2"/>
    </row>
    <row r="75599" spans="3:3" x14ac:dyDescent="0.35">
      <c r="C75599" s="2"/>
    </row>
    <row r="75600" spans="3:3" x14ac:dyDescent="0.35">
      <c r="C75600" s="2"/>
    </row>
    <row r="75601" spans="3:3" x14ac:dyDescent="0.35">
      <c r="C75601" s="2"/>
    </row>
    <row r="75602" spans="3:3" x14ac:dyDescent="0.35">
      <c r="C75602" s="2"/>
    </row>
    <row r="75603" spans="3:3" x14ac:dyDescent="0.35">
      <c r="C75603" s="2"/>
    </row>
    <row r="75604" spans="3:3" x14ac:dyDescent="0.35">
      <c r="C75604" s="2"/>
    </row>
    <row r="75605" spans="3:3" x14ac:dyDescent="0.35">
      <c r="C75605" s="2"/>
    </row>
    <row r="75606" spans="3:3" x14ac:dyDescent="0.35">
      <c r="C75606" s="2"/>
    </row>
    <row r="75607" spans="3:3" x14ac:dyDescent="0.35">
      <c r="C75607" s="2"/>
    </row>
    <row r="75608" spans="3:3" x14ac:dyDescent="0.35">
      <c r="C75608" s="2"/>
    </row>
    <row r="75609" spans="3:3" x14ac:dyDescent="0.35">
      <c r="C75609" s="2"/>
    </row>
    <row r="75610" spans="3:3" x14ac:dyDescent="0.35">
      <c r="C75610" s="2"/>
    </row>
    <row r="75611" spans="3:3" x14ac:dyDescent="0.35">
      <c r="C75611" s="2"/>
    </row>
    <row r="75612" spans="3:3" x14ac:dyDescent="0.35">
      <c r="C75612" s="2"/>
    </row>
    <row r="75613" spans="3:3" x14ac:dyDescent="0.35">
      <c r="C75613" s="2"/>
    </row>
    <row r="75614" spans="3:3" x14ac:dyDescent="0.35">
      <c r="C75614" s="2"/>
    </row>
    <row r="75615" spans="3:3" x14ac:dyDescent="0.35">
      <c r="C75615" s="2"/>
    </row>
    <row r="75616" spans="3:3" x14ac:dyDescent="0.35">
      <c r="C75616" s="2"/>
    </row>
    <row r="75617" spans="3:3" x14ac:dyDescent="0.35">
      <c r="C75617" s="2"/>
    </row>
    <row r="75618" spans="3:3" x14ac:dyDescent="0.35">
      <c r="C75618" s="2"/>
    </row>
    <row r="75619" spans="3:3" x14ac:dyDescent="0.35">
      <c r="C75619" s="2"/>
    </row>
    <row r="75620" spans="3:3" x14ac:dyDescent="0.35">
      <c r="C75620" s="2"/>
    </row>
    <row r="75621" spans="3:3" x14ac:dyDescent="0.35">
      <c r="C75621" s="2"/>
    </row>
    <row r="75622" spans="3:3" x14ac:dyDescent="0.35">
      <c r="C75622" s="2"/>
    </row>
    <row r="75623" spans="3:3" x14ac:dyDescent="0.35">
      <c r="C75623" s="2"/>
    </row>
    <row r="75624" spans="3:3" x14ac:dyDescent="0.35">
      <c r="C75624" s="2"/>
    </row>
    <row r="75625" spans="3:3" x14ac:dyDescent="0.35">
      <c r="C75625" s="2"/>
    </row>
    <row r="75626" spans="3:3" x14ac:dyDescent="0.35">
      <c r="C75626" s="2"/>
    </row>
    <row r="75627" spans="3:3" x14ac:dyDescent="0.35">
      <c r="C75627" s="2"/>
    </row>
    <row r="75628" spans="3:3" x14ac:dyDescent="0.35">
      <c r="C75628" s="2"/>
    </row>
    <row r="75629" spans="3:3" x14ac:dyDescent="0.35">
      <c r="C75629" s="2"/>
    </row>
    <row r="75630" spans="3:3" x14ac:dyDescent="0.35">
      <c r="C75630" s="2"/>
    </row>
    <row r="75631" spans="3:3" x14ac:dyDescent="0.35">
      <c r="C75631" s="2"/>
    </row>
    <row r="75632" spans="3:3" x14ac:dyDescent="0.35">
      <c r="C75632" s="2"/>
    </row>
    <row r="75633" spans="3:3" x14ac:dyDescent="0.35">
      <c r="C75633" s="2"/>
    </row>
    <row r="75634" spans="3:3" x14ac:dyDescent="0.35">
      <c r="C75634" s="2"/>
    </row>
    <row r="75635" spans="3:3" x14ac:dyDescent="0.35">
      <c r="C75635" s="2"/>
    </row>
    <row r="75636" spans="3:3" x14ac:dyDescent="0.35">
      <c r="C75636" s="2"/>
    </row>
    <row r="75637" spans="3:3" x14ac:dyDescent="0.35">
      <c r="C75637" s="2"/>
    </row>
    <row r="75638" spans="3:3" x14ac:dyDescent="0.35">
      <c r="C75638" s="2"/>
    </row>
    <row r="75639" spans="3:3" x14ac:dyDescent="0.35">
      <c r="C75639" s="2"/>
    </row>
    <row r="75640" spans="3:3" x14ac:dyDescent="0.35">
      <c r="C75640" s="2"/>
    </row>
    <row r="75641" spans="3:3" x14ac:dyDescent="0.35">
      <c r="C75641" s="2"/>
    </row>
    <row r="75642" spans="3:3" x14ac:dyDescent="0.35">
      <c r="C75642" s="2"/>
    </row>
    <row r="75643" spans="3:3" x14ac:dyDescent="0.35">
      <c r="C75643" s="2"/>
    </row>
    <row r="75644" spans="3:3" x14ac:dyDescent="0.35">
      <c r="C75644" s="2"/>
    </row>
    <row r="75645" spans="3:3" x14ac:dyDescent="0.35">
      <c r="C75645" s="2"/>
    </row>
    <row r="75646" spans="3:3" x14ac:dyDescent="0.35">
      <c r="C75646" s="2"/>
    </row>
    <row r="75647" spans="3:3" x14ac:dyDescent="0.35">
      <c r="C75647" s="2"/>
    </row>
    <row r="75648" spans="3:3" x14ac:dyDescent="0.35">
      <c r="C75648" s="2"/>
    </row>
    <row r="75649" spans="3:3" x14ac:dyDescent="0.35">
      <c r="C75649" s="2"/>
    </row>
    <row r="75650" spans="3:3" x14ac:dyDescent="0.35">
      <c r="C75650" s="2"/>
    </row>
    <row r="75651" spans="3:3" x14ac:dyDescent="0.35">
      <c r="C75651" s="2"/>
    </row>
    <row r="75652" spans="3:3" x14ac:dyDescent="0.35">
      <c r="C75652" s="2"/>
    </row>
    <row r="75653" spans="3:3" x14ac:dyDescent="0.35">
      <c r="C75653" s="2"/>
    </row>
    <row r="75654" spans="3:3" x14ac:dyDescent="0.35">
      <c r="C75654" s="2"/>
    </row>
    <row r="75655" spans="3:3" x14ac:dyDescent="0.35">
      <c r="C75655" s="2"/>
    </row>
    <row r="75656" spans="3:3" x14ac:dyDescent="0.35">
      <c r="C75656" s="2"/>
    </row>
    <row r="75657" spans="3:3" x14ac:dyDescent="0.35">
      <c r="C75657" s="2"/>
    </row>
    <row r="75658" spans="3:3" x14ac:dyDescent="0.35">
      <c r="C75658" s="2"/>
    </row>
    <row r="75659" spans="3:3" x14ac:dyDescent="0.35">
      <c r="C75659" s="2"/>
    </row>
    <row r="75660" spans="3:3" x14ac:dyDescent="0.35">
      <c r="C75660" s="2"/>
    </row>
    <row r="75661" spans="3:3" x14ac:dyDescent="0.35">
      <c r="C75661" s="2"/>
    </row>
    <row r="75662" spans="3:3" x14ac:dyDescent="0.35">
      <c r="C75662" s="2"/>
    </row>
    <row r="75663" spans="3:3" x14ac:dyDescent="0.35">
      <c r="C75663" s="2"/>
    </row>
    <row r="75664" spans="3:3" x14ac:dyDescent="0.35">
      <c r="C75664" s="2"/>
    </row>
    <row r="75665" spans="3:3" x14ac:dyDescent="0.35">
      <c r="C75665" s="2"/>
    </row>
    <row r="75666" spans="3:3" x14ac:dyDescent="0.35">
      <c r="C75666" s="2"/>
    </row>
    <row r="75667" spans="3:3" x14ac:dyDescent="0.35">
      <c r="C75667" s="2"/>
    </row>
    <row r="75668" spans="3:3" x14ac:dyDescent="0.35">
      <c r="C75668" s="2"/>
    </row>
    <row r="75669" spans="3:3" x14ac:dyDescent="0.35">
      <c r="C75669" s="2"/>
    </row>
    <row r="75670" spans="3:3" x14ac:dyDescent="0.35">
      <c r="C75670" s="2"/>
    </row>
    <row r="75671" spans="3:3" x14ac:dyDescent="0.35">
      <c r="C75671" s="2"/>
    </row>
    <row r="75672" spans="3:3" x14ac:dyDescent="0.35">
      <c r="C75672" s="2"/>
    </row>
    <row r="75673" spans="3:3" x14ac:dyDescent="0.35">
      <c r="C75673" s="2"/>
    </row>
    <row r="75674" spans="3:3" x14ac:dyDescent="0.35">
      <c r="C75674" s="2"/>
    </row>
    <row r="75675" spans="3:3" x14ac:dyDescent="0.35">
      <c r="C75675" s="2"/>
    </row>
    <row r="75676" spans="3:3" x14ac:dyDescent="0.35">
      <c r="C75676" s="2"/>
    </row>
    <row r="75677" spans="3:3" x14ac:dyDescent="0.35">
      <c r="C75677" s="2"/>
    </row>
    <row r="75678" spans="3:3" x14ac:dyDescent="0.35">
      <c r="C75678" s="2"/>
    </row>
    <row r="75679" spans="3:3" x14ac:dyDescent="0.35">
      <c r="C75679" s="2"/>
    </row>
    <row r="75680" spans="3:3" x14ac:dyDescent="0.35">
      <c r="C75680" s="2"/>
    </row>
    <row r="75681" spans="3:3" x14ac:dyDescent="0.35">
      <c r="C75681" s="2"/>
    </row>
    <row r="75682" spans="3:3" x14ac:dyDescent="0.35">
      <c r="C75682" s="2"/>
    </row>
    <row r="75683" spans="3:3" x14ac:dyDescent="0.35">
      <c r="C75683" s="2"/>
    </row>
    <row r="75684" spans="3:3" x14ac:dyDescent="0.35">
      <c r="C75684" s="2"/>
    </row>
    <row r="75685" spans="3:3" x14ac:dyDescent="0.35">
      <c r="C75685" s="2"/>
    </row>
    <row r="75686" spans="3:3" x14ac:dyDescent="0.35">
      <c r="C75686" s="2"/>
    </row>
    <row r="75687" spans="3:3" x14ac:dyDescent="0.35">
      <c r="C75687" s="2"/>
    </row>
    <row r="75688" spans="3:3" x14ac:dyDescent="0.35">
      <c r="C75688" s="2"/>
    </row>
    <row r="75689" spans="3:3" x14ac:dyDescent="0.35">
      <c r="C75689" s="2"/>
    </row>
    <row r="75690" spans="3:3" x14ac:dyDescent="0.35">
      <c r="C75690" s="2"/>
    </row>
    <row r="75691" spans="3:3" x14ac:dyDescent="0.35">
      <c r="C75691" s="2"/>
    </row>
    <row r="75692" spans="3:3" x14ac:dyDescent="0.35">
      <c r="C75692" s="2"/>
    </row>
    <row r="75693" spans="3:3" x14ac:dyDescent="0.35">
      <c r="C75693" s="2"/>
    </row>
    <row r="75694" spans="3:3" x14ac:dyDescent="0.35">
      <c r="C75694" s="2"/>
    </row>
    <row r="75695" spans="3:3" x14ac:dyDescent="0.35">
      <c r="C75695" s="2"/>
    </row>
    <row r="75696" spans="3:3" x14ac:dyDescent="0.35">
      <c r="C75696" s="2"/>
    </row>
    <row r="75697" spans="3:3" x14ac:dyDescent="0.35">
      <c r="C75697" s="2"/>
    </row>
    <row r="75698" spans="3:3" x14ac:dyDescent="0.35">
      <c r="C75698" s="2"/>
    </row>
    <row r="75699" spans="3:3" x14ac:dyDescent="0.35">
      <c r="C75699" s="2"/>
    </row>
    <row r="75700" spans="3:3" x14ac:dyDescent="0.35">
      <c r="C75700" s="2"/>
    </row>
    <row r="75701" spans="3:3" x14ac:dyDescent="0.35">
      <c r="C75701" s="2"/>
    </row>
    <row r="75702" spans="3:3" x14ac:dyDescent="0.35">
      <c r="C75702" s="2"/>
    </row>
    <row r="75703" spans="3:3" x14ac:dyDescent="0.35">
      <c r="C75703" s="2"/>
    </row>
    <row r="75704" spans="3:3" x14ac:dyDescent="0.35">
      <c r="C75704" s="2"/>
    </row>
    <row r="75705" spans="3:3" x14ac:dyDescent="0.35">
      <c r="C75705" s="2"/>
    </row>
    <row r="75706" spans="3:3" x14ac:dyDescent="0.35">
      <c r="C75706" s="2"/>
    </row>
    <row r="75707" spans="3:3" x14ac:dyDescent="0.35">
      <c r="C75707" s="2"/>
    </row>
    <row r="75708" spans="3:3" x14ac:dyDescent="0.35">
      <c r="C75708" s="2"/>
    </row>
    <row r="75709" spans="3:3" x14ac:dyDescent="0.35">
      <c r="C75709" s="2"/>
    </row>
    <row r="75710" spans="3:3" x14ac:dyDescent="0.35">
      <c r="C75710" s="2"/>
    </row>
    <row r="75711" spans="3:3" x14ac:dyDescent="0.35">
      <c r="C75711" s="2"/>
    </row>
    <row r="75712" spans="3:3" x14ac:dyDescent="0.35">
      <c r="C75712" s="2"/>
    </row>
    <row r="75713" spans="3:3" x14ac:dyDescent="0.35">
      <c r="C75713" s="2"/>
    </row>
    <row r="75714" spans="3:3" x14ac:dyDescent="0.35">
      <c r="C75714" s="2"/>
    </row>
    <row r="75715" spans="3:3" x14ac:dyDescent="0.35">
      <c r="C75715" s="2"/>
    </row>
    <row r="75716" spans="3:3" x14ac:dyDescent="0.35">
      <c r="C75716" s="2"/>
    </row>
    <row r="75717" spans="3:3" x14ac:dyDescent="0.35">
      <c r="C75717" s="2"/>
    </row>
    <row r="75718" spans="3:3" x14ac:dyDescent="0.35">
      <c r="C75718" s="2"/>
    </row>
    <row r="75719" spans="3:3" x14ac:dyDescent="0.35">
      <c r="C75719" s="2"/>
    </row>
    <row r="75720" spans="3:3" x14ac:dyDescent="0.35">
      <c r="C75720" s="2"/>
    </row>
    <row r="75721" spans="3:3" x14ac:dyDescent="0.35">
      <c r="C75721" s="2"/>
    </row>
    <row r="75722" spans="3:3" x14ac:dyDescent="0.35">
      <c r="C75722" s="2"/>
    </row>
    <row r="75723" spans="3:3" x14ac:dyDescent="0.35">
      <c r="C75723" s="2"/>
    </row>
    <row r="75724" spans="3:3" x14ac:dyDescent="0.35">
      <c r="C75724" s="2"/>
    </row>
    <row r="75725" spans="3:3" x14ac:dyDescent="0.35">
      <c r="C75725" s="2"/>
    </row>
    <row r="75726" spans="3:3" x14ac:dyDescent="0.35">
      <c r="C75726" s="2"/>
    </row>
    <row r="75727" spans="3:3" x14ac:dyDescent="0.35">
      <c r="C75727" s="2"/>
    </row>
    <row r="75728" spans="3:3" x14ac:dyDescent="0.35">
      <c r="C75728" s="2"/>
    </row>
    <row r="75729" spans="3:3" x14ac:dyDescent="0.35">
      <c r="C75729" s="2"/>
    </row>
    <row r="75730" spans="3:3" x14ac:dyDescent="0.35">
      <c r="C75730" s="2"/>
    </row>
    <row r="75731" spans="3:3" x14ac:dyDescent="0.35">
      <c r="C75731" s="2"/>
    </row>
    <row r="75732" spans="3:3" x14ac:dyDescent="0.35">
      <c r="C75732" s="2"/>
    </row>
    <row r="75733" spans="3:3" x14ac:dyDescent="0.35">
      <c r="C75733" s="2"/>
    </row>
    <row r="75734" spans="3:3" x14ac:dyDescent="0.35">
      <c r="C75734" s="2"/>
    </row>
    <row r="75735" spans="3:3" x14ac:dyDescent="0.35">
      <c r="C75735" s="2"/>
    </row>
    <row r="75736" spans="3:3" x14ac:dyDescent="0.35">
      <c r="C75736" s="2"/>
    </row>
    <row r="75737" spans="3:3" x14ac:dyDescent="0.35">
      <c r="C75737" s="2"/>
    </row>
    <row r="75738" spans="3:3" x14ac:dyDescent="0.35">
      <c r="C75738" s="2"/>
    </row>
    <row r="75739" spans="3:3" x14ac:dyDescent="0.35">
      <c r="C75739" s="2"/>
    </row>
    <row r="75740" spans="3:3" x14ac:dyDescent="0.35">
      <c r="C75740" s="2"/>
    </row>
    <row r="75741" spans="3:3" x14ac:dyDescent="0.35">
      <c r="C75741" s="2"/>
    </row>
    <row r="75742" spans="3:3" x14ac:dyDescent="0.35">
      <c r="C75742" s="2"/>
    </row>
    <row r="75743" spans="3:3" x14ac:dyDescent="0.35">
      <c r="C75743" s="2"/>
    </row>
    <row r="75744" spans="3:3" x14ac:dyDescent="0.35">
      <c r="C75744" s="2"/>
    </row>
    <row r="75745" spans="3:3" x14ac:dyDescent="0.35">
      <c r="C75745" s="2"/>
    </row>
    <row r="75746" spans="3:3" x14ac:dyDescent="0.35">
      <c r="C75746" s="2"/>
    </row>
    <row r="75747" spans="3:3" x14ac:dyDescent="0.35">
      <c r="C75747" s="2"/>
    </row>
    <row r="75748" spans="3:3" x14ac:dyDescent="0.35">
      <c r="C75748" s="2"/>
    </row>
    <row r="75749" spans="3:3" x14ac:dyDescent="0.35">
      <c r="C75749" s="2"/>
    </row>
    <row r="75750" spans="3:3" x14ac:dyDescent="0.35">
      <c r="C75750" s="2"/>
    </row>
    <row r="75751" spans="3:3" x14ac:dyDescent="0.35">
      <c r="C75751" s="2"/>
    </row>
    <row r="75752" spans="3:3" x14ac:dyDescent="0.35">
      <c r="C75752" s="2"/>
    </row>
    <row r="75753" spans="3:3" x14ac:dyDescent="0.35">
      <c r="C75753" s="2"/>
    </row>
    <row r="75754" spans="3:3" x14ac:dyDescent="0.35">
      <c r="C75754" s="2"/>
    </row>
    <row r="75755" spans="3:3" x14ac:dyDescent="0.35">
      <c r="C75755" s="2"/>
    </row>
    <row r="75756" spans="3:3" x14ac:dyDescent="0.35">
      <c r="C75756" s="2"/>
    </row>
    <row r="75757" spans="3:3" x14ac:dyDescent="0.35">
      <c r="C75757" s="2"/>
    </row>
    <row r="75758" spans="3:3" x14ac:dyDescent="0.35">
      <c r="C75758" s="2"/>
    </row>
    <row r="75759" spans="3:3" x14ac:dyDescent="0.35">
      <c r="C75759" s="2"/>
    </row>
    <row r="75760" spans="3:3" x14ac:dyDescent="0.35">
      <c r="C75760" s="2"/>
    </row>
    <row r="75761" spans="3:3" x14ac:dyDescent="0.35">
      <c r="C75761" s="2"/>
    </row>
    <row r="75762" spans="3:3" x14ac:dyDescent="0.35">
      <c r="C75762" s="2"/>
    </row>
    <row r="75763" spans="3:3" x14ac:dyDescent="0.35">
      <c r="C75763" s="2"/>
    </row>
    <row r="75764" spans="3:3" x14ac:dyDescent="0.35">
      <c r="C75764" s="2"/>
    </row>
    <row r="75765" spans="3:3" x14ac:dyDescent="0.35">
      <c r="C75765" s="2"/>
    </row>
    <row r="75766" spans="3:3" x14ac:dyDescent="0.35">
      <c r="C75766" s="2"/>
    </row>
    <row r="75767" spans="3:3" x14ac:dyDescent="0.35">
      <c r="C75767" s="2"/>
    </row>
    <row r="75768" spans="3:3" x14ac:dyDescent="0.35">
      <c r="C75768" s="2"/>
    </row>
    <row r="75769" spans="3:3" x14ac:dyDescent="0.35">
      <c r="C75769" s="2"/>
    </row>
    <row r="75770" spans="3:3" x14ac:dyDescent="0.35">
      <c r="C75770" s="2"/>
    </row>
    <row r="75771" spans="3:3" x14ac:dyDescent="0.35">
      <c r="C75771" s="2"/>
    </row>
    <row r="75772" spans="3:3" x14ac:dyDescent="0.35">
      <c r="C75772" s="2"/>
    </row>
    <row r="75773" spans="3:3" x14ac:dyDescent="0.35">
      <c r="C75773" s="2"/>
    </row>
    <row r="75774" spans="3:3" x14ac:dyDescent="0.35">
      <c r="C75774" s="2"/>
    </row>
    <row r="75775" spans="3:3" x14ac:dyDescent="0.35">
      <c r="C75775" s="2"/>
    </row>
    <row r="75776" spans="3:3" x14ac:dyDescent="0.35">
      <c r="C75776" s="2"/>
    </row>
    <row r="75777" spans="3:3" x14ac:dyDescent="0.35">
      <c r="C75777" s="2"/>
    </row>
    <row r="75778" spans="3:3" x14ac:dyDescent="0.35">
      <c r="C75778" s="2"/>
    </row>
    <row r="75779" spans="3:3" x14ac:dyDescent="0.35">
      <c r="C75779" s="2"/>
    </row>
    <row r="75780" spans="3:3" x14ac:dyDescent="0.35">
      <c r="C75780" s="2"/>
    </row>
    <row r="75781" spans="3:3" x14ac:dyDescent="0.35">
      <c r="C75781" s="2"/>
    </row>
    <row r="75782" spans="3:3" x14ac:dyDescent="0.35">
      <c r="C75782" s="2"/>
    </row>
    <row r="75783" spans="3:3" x14ac:dyDescent="0.35">
      <c r="C75783" s="2"/>
    </row>
    <row r="75784" spans="3:3" x14ac:dyDescent="0.35">
      <c r="C75784" s="2"/>
    </row>
    <row r="75785" spans="3:3" x14ac:dyDescent="0.35">
      <c r="C75785" s="2"/>
    </row>
    <row r="75786" spans="3:3" x14ac:dyDescent="0.35">
      <c r="C75786" s="2"/>
    </row>
    <row r="75787" spans="3:3" x14ac:dyDescent="0.35">
      <c r="C75787" s="2"/>
    </row>
    <row r="75788" spans="3:3" x14ac:dyDescent="0.35">
      <c r="C75788" s="2"/>
    </row>
    <row r="75789" spans="3:3" x14ac:dyDescent="0.35">
      <c r="C75789" s="2"/>
    </row>
    <row r="75790" spans="3:3" x14ac:dyDescent="0.35">
      <c r="C75790" s="2"/>
    </row>
    <row r="75791" spans="3:3" x14ac:dyDescent="0.35">
      <c r="C75791" s="2"/>
    </row>
    <row r="75792" spans="3:3" x14ac:dyDescent="0.35">
      <c r="C75792" s="2"/>
    </row>
    <row r="75793" spans="3:3" x14ac:dyDescent="0.35">
      <c r="C75793" s="2"/>
    </row>
    <row r="75794" spans="3:3" x14ac:dyDescent="0.35">
      <c r="C75794" s="2"/>
    </row>
    <row r="75795" spans="3:3" x14ac:dyDescent="0.35">
      <c r="C75795" s="2"/>
    </row>
    <row r="75796" spans="3:3" x14ac:dyDescent="0.35">
      <c r="C75796" s="2"/>
    </row>
    <row r="75797" spans="3:3" x14ac:dyDescent="0.35">
      <c r="C75797" s="2"/>
    </row>
    <row r="75798" spans="3:3" x14ac:dyDescent="0.35">
      <c r="C75798" s="2"/>
    </row>
    <row r="75799" spans="3:3" x14ac:dyDescent="0.35">
      <c r="C75799" s="2"/>
    </row>
    <row r="75800" spans="3:3" x14ac:dyDescent="0.35">
      <c r="C75800" s="2"/>
    </row>
    <row r="75801" spans="3:3" x14ac:dyDescent="0.35">
      <c r="C75801" s="2"/>
    </row>
    <row r="75802" spans="3:3" x14ac:dyDescent="0.35">
      <c r="C75802" s="2"/>
    </row>
    <row r="75803" spans="3:3" x14ac:dyDescent="0.35">
      <c r="C75803" s="2"/>
    </row>
    <row r="75804" spans="3:3" x14ac:dyDescent="0.35">
      <c r="C75804" s="2"/>
    </row>
    <row r="75805" spans="3:3" x14ac:dyDescent="0.35">
      <c r="C75805" s="2"/>
    </row>
    <row r="75806" spans="3:3" x14ac:dyDescent="0.35">
      <c r="C75806" s="2"/>
    </row>
    <row r="75807" spans="3:3" x14ac:dyDescent="0.35">
      <c r="C75807" s="2"/>
    </row>
    <row r="75808" spans="3:3" x14ac:dyDescent="0.35">
      <c r="C75808" s="2"/>
    </row>
    <row r="75809" spans="3:3" x14ac:dyDescent="0.35">
      <c r="C75809" s="2"/>
    </row>
    <row r="75810" spans="3:3" x14ac:dyDescent="0.35">
      <c r="C75810" s="2"/>
    </row>
    <row r="75811" spans="3:3" x14ac:dyDescent="0.35">
      <c r="C75811" s="2"/>
    </row>
    <row r="75812" spans="3:3" x14ac:dyDescent="0.35">
      <c r="C75812" s="2"/>
    </row>
    <row r="75813" spans="3:3" x14ac:dyDescent="0.35">
      <c r="C75813" s="2"/>
    </row>
    <row r="75814" spans="3:3" x14ac:dyDescent="0.35">
      <c r="C75814" s="2"/>
    </row>
    <row r="75815" spans="3:3" x14ac:dyDescent="0.35">
      <c r="C75815" s="2"/>
    </row>
    <row r="75816" spans="3:3" x14ac:dyDescent="0.35">
      <c r="C75816" s="2"/>
    </row>
    <row r="75817" spans="3:3" x14ac:dyDescent="0.35">
      <c r="C75817" s="2"/>
    </row>
    <row r="75818" spans="3:3" x14ac:dyDescent="0.35">
      <c r="C75818" s="2"/>
    </row>
    <row r="75819" spans="3:3" x14ac:dyDescent="0.35">
      <c r="C75819" s="2"/>
    </row>
    <row r="75820" spans="3:3" x14ac:dyDescent="0.35">
      <c r="C75820" s="2"/>
    </row>
    <row r="75821" spans="3:3" x14ac:dyDescent="0.35">
      <c r="C75821" s="2"/>
    </row>
    <row r="75822" spans="3:3" x14ac:dyDescent="0.35">
      <c r="C75822" s="2"/>
    </row>
    <row r="75823" spans="3:3" x14ac:dyDescent="0.35">
      <c r="C75823" s="2"/>
    </row>
    <row r="75824" spans="3:3" x14ac:dyDescent="0.35">
      <c r="C75824" s="2"/>
    </row>
    <row r="75825" spans="3:3" x14ac:dyDescent="0.35">
      <c r="C75825" s="2"/>
    </row>
    <row r="75826" spans="3:3" x14ac:dyDescent="0.35">
      <c r="C75826" s="2"/>
    </row>
    <row r="75827" spans="3:3" x14ac:dyDescent="0.35">
      <c r="C75827" s="2"/>
    </row>
    <row r="75828" spans="3:3" x14ac:dyDescent="0.35">
      <c r="C75828" s="2"/>
    </row>
    <row r="75829" spans="3:3" x14ac:dyDescent="0.35">
      <c r="C75829" s="2"/>
    </row>
    <row r="75830" spans="3:3" x14ac:dyDescent="0.35">
      <c r="C75830" s="2"/>
    </row>
    <row r="75831" spans="3:3" x14ac:dyDescent="0.35">
      <c r="C75831" s="2"/>
    </row>
    <row r="75832" spans="3:3" x14ac:dyDescent="0.35">
      <c r="C75832" s="2"/>
    </row>
    <row r="75833" spans="3:3" x14ac:dyDescent="0.35">
      <c r="C75833" s="2"/>
    </row>
    <row r="75834" spans="3:3" x14ac:dyDescent="0.35">
      <c r="C75834" s="2"/>
    </row>
    <row r="75835" spans="3:3" x14ac:dyDescent="0.35">
      <c r="C75835" s="2"/>
    </row>
    <row r="75836" spans="3:3" x14ac:dyDescent="0.35">
      <c r="C75836" s="2"/>
    </row>
    <row r="75837" spans="3:3" x14ac:dyDescent="0.35">
      <c r="C75837" s="2"/>
    </row>
    <row r="75838" spans="3:3" x14ac:dyDescent="0.35">
      <c r="C75838" s="2"/>
    </row>
    <row r="75839" spans="3:3" x14ac:dyDescent="0.35">
      <c r="C75839" s="2"/>
    </row>
    <row r="75840" spans="3:3" x14ac:dyDescent="0.35">
      <c r="C75840" s="2"/>
    </row>
    <row r="75841" spans="3:3" x14ac:dyDescent="0.35">
      <c r="C75841" s="2"/>
    </row>
    <row r="75842" spans="3:3" x14ac:dyDescent="0.35">
      <c r="C75842" s="2"/>
    </row>
    <row r="75843" spans="3:3" x14ac:dyDescent="0.35">
      <c r="C75843" s="2"/>
    </row>
    <row r="75844" spans="3:3" x14ac:dyDescent="0.35">
      <c r="C75844" s="2"/>
    </row>
    <row r="75845" spans="3:3" x14ac:dyDescent="0.35">
      <c r="C75845" s="2"/>
    </row>
    <row r="75846" spans="3:3" x14ac:dyDescent="0.35">
      <c r="C75846" s="2"/>
    </row>
    <row r="75847" spans="3:3" x14ac:dyDescent="0.35">
      <c r="C75847" s="2"/>
    </row>
    <row r="75848" spans="3:3" x14ac:dyDescent="0.35">
      <c r="C75848" s="2"/>
    </row>
    <row r="75849" spans="3:3" x14ac:dyDescent="0.35">
      <c r="C75849" s="2"/>
    </row>
    <row r="75850" spans="3:3" x14ac:dyDescent="0.35">
      <c r="C75850" s="2"/>
    </row>
    <row r="75851" spans="3:3" x14ac:dyDescent="0.35">
      <c r="C75851" s="2"/>
    </row>
    <row r="75852" spans="3:3" x14ac:dyDescent="0.35">
      <c r="C75852" s="2"/>
    </row>
    <row r="75853" spans="3:3" x14ac:dyDescent="0.35">
      <c r="C75853" s="2"/>
    </row>
    <row r="75854" spans="3:3" x14ac:dyDescent="0.35">
      <c r="C75854" s="2"/>
    </row>
    <row r="75855" spans="3:3" x14ac:dyDescent="0.35">
      <c r="C75855" s="2"/>
    </row>
    <row r="75856" spans="3:3" x14ac:dyDescent="0.35">
      <c r="C75856" s="2"/>
    </row>
    <row r="75857" spans="3:3" x14ac:dyDescent="0.35">
      <c r="C75857" s="2"/>
    </row>
    <row r="75858" spans="3:3" x14ac:dyDescent="0.35">
      <c r="C75858" s="2"/>
    </row>
    <row r="75859" spans="3:3" x14ac:dyDescent="0.35">
      <c r="C75859" s="2"/>
    </row>
    <row r="75860" spans="3:3" x14ac:dyDescent="0.35">
      <c r="C75860" s="2"/>
    </row>
    <row r="75861" spans="3:3" x14ac:dyDescent="0.35">
      <c r="C75861" s="2"/>
    </row>
    <row r="75862" spans="3:3" x14ac:dyDescent="0.35">
      <c r="C75862" s="2"/>
    </row>
    <row r="75863" spans="3:3" x14ac:dyDescent="0.35">
      <c r="C75863" s="2"/>
    </row>
    <row r="75864" spans="3:3" x14ac:dyDescent="0.35">
      <c r="C75864" s="2"/>
    </row>
    <row r="75865" spans="3:3" x14ac:dyDescent="0.35">
      <c r="C75865" s="2"/>
    </row>
    <row r="75866" spans="3:3" x14ac:dyDescent="0.35">
      <c r="C75866" s="2"/>
    </row>
    <row r="75867" spans="3:3" x14ac:dyDescent="0.35">
      <c r="C75867" s="2"/>
    </row>
    <row r="75868" spans="3:3" x14ac:dyDescent="0.35">
      <c r="C75868" s="2"/>
    </row>
    <row r="75869" spans="3:3" x14ac:dyDescent="0.35">
      <c r="C75869" s="2"/>
    </row>
    <row r="75870" spans="3:3" x14ac:dyDescent="0.35">
      <c r="C75870" s="2"/>
    </row>
    <row r="75871" spans="3:3" x14ac:dyDescent="0.35">
      <c r="C75871" s="2"/>
    </row>
    <row r="75872" spans="3:3" x14ac:dyDescent="0.35">
      <c r="C75872" s="2"/>
    </row>
    <row r="75873" spans="3:3" x14ac:dyDescent="0.35">
      <c r="C75873" s="2"/>
    </row>
    <row r="75874" spans="3:3" x14ac:dyDescent="0.35">
      <c r="C75874" s="2"/>
    </row>
    <row r="75875" spans="3:3" x14ac:dyDescent="0.35">
      <c r="C75875" s="2"/>
    </row>
    <row r="75876" spans="3:3" x14ac:dyDescent="0.35">
      <c r="C75876" s="2"/>
    </row>
    <row r="75877" spans="3:3" x14ac:dyDescent="0.35">
      <c r="C75877" s="2"/>
    </row>
    <row r="75878" spans="3:3" x14ac:dyDescent="0.35">
      <c r="C75878" s="2"/>
    </row>
    <row r="75879" spans="3:3" x14ac:dyDescent="0.35">
      <c r="C75879" s="2"/>
    </row>
    <row r="75880" spans="3:3" x14ac:dyDescent="0.35">
      <c r="C75880" s="2"/>
    </row>
    <row r="75881" spans="3:3" x14ac:dyDescent="0.35">
      <c r="C75881" s="2"/>
    </row>
    <row r="75882" spans="3:3" x14ac:dyDescent="0.35">
      <c r="C75882" s="2"/>
    </row>
    <row r="75883" spans="3:3" x14ac:dyDescent="0.35">
      <c r="C75883" s="2"/>
    </row>
    <row r="75884" spans="3:3" x14ac:dyDescent="0.35">
      <c r="C75884" s="2"/>
    </row>
    <row r="75885" spans="3:3" x14ac:dyDescent="0.35">
      <c r="C75885" s="2"/>
    </row>
    <row r="75886" spans="3:3" x14ac:dyDescent="0.35">
      <c r="C75886" s="2"/>
    </row>
    <row r="75887" spans="3:3" x14ac:dyDescent="0.35">
      <c r="C75887" s="2"/>
    </row>
    <row r="75888" spans="3:3" x14ac:dyDescent="0.35">
      <c r="C75888" s="2"/>
    </row>
    <row r="75889" spans="3:3" x14ac:dyDescent="0.35">
      <c r="C75889" s="2"/>
    </row>
    <row r="75890" spans="3:3" x14ac:dyDescent="0.35">
      <c r="C75890" s="2"/>
    </row>
    <row r="75891" spans="3:3" x14ac:dyDescent="0.35">
      <c r="C75891" s="2"/>
    </row>
    <row r="75892" spans="3:3" x14ac:dyDescent="0.35">
      <c r="C75892" s="2"/>
    </row>
    <row r="75893" spans="3:3" x14ac:dyDescent="0.35">
      <c r="C75893" s="2"/>
    </row>
    <row r="75894" spans="3:3" x14ac:dyDescent="0.35">
      <c r="C75894" s="2"/>
    </row>
    <row r="75895" spans="3:3" x14ac:dyDescent="0.35">
      <c r="C75895" s="2"/>
    </row>
    <row r="75896" spans="3:3" x14ac:dyDescent="0.35">
      <c r="C75896" s="2"/>
    </row>
    <row r="75897" spans="3:3" x14ac:dyDescent="0.35">
      <c r="C75897" s="2"/>
    </row>
    <row r="75898" spans="3:3" x14ac:dyDescent="0.35">
      <c r="C75898" s="2"/>
    </row>
    <row r="75899" spans="3:3" x14ac:dyDescent="0.35">
      <c r="C75899" s="2"/>
    </row>
    <row r="75900" spans="3:3" x14ac:dyDescent="0.35">
      <c r="C75900" s="2"/>
    </row>
    <row r="75901" spans="3:3" x14ac:dyDescent="0.35">
      <c r="C75901" s="2"/>
    </row>
    <row r="75902" spans="3:3" x14ac:dyDescent="0.35">
      <c r="C75902" s="2"/>
    </row>
    <row r="75903" spans="3:3" x14ac:dyDescent="0.35">
      <c r="C75903" s="2"/>
    </row>
    <row r="75904" spans="3:3" x14ac:dyDescent="0.35">
      <c r="C75904" s="2"/>
    </row>
    <row r="75905" spans="3:3" x14ac:dyDescent="0.35">
      <c r="C75905" s="2"/>
    </row>
    <row r="75906" spans="3:3" x14ac:dyDescent="0.35">
      <c r="C75906" s="2"/>
    </row>
    <row r="75907" spans="3:3" x14ac:dyDescent="0.35">
      <c r="C75907" s="2"/>
    </row>
    <row r="75908" spans="3:3" x14ac:dyDescent="0.35">
      <c r="C75908" s="2"/>
    </row>
    <row r="75909" spans="3:3" x14ac:dyDescent="0.35">
      <c r="C75909" s="2"/>
    </row>
    <row r="75910" spans="3:3" x14ac:dyDescent="0.35">
      <c r="C75910" s="2"/>
    </row>
    <row r="75911" spans="3:3" x14ac:dyDescent="0.35">
      <c r="C75911" s="2"/>
    </row>
    <row r="75912" spans="3:3" x14ac:dyDescent="0.35">
      <c r="C75912" s="2"/>
    </row>
    <row r="75913" spans="3:3" x14ac:dyDescent="0.35">
      <c r="C75913" s="2"/>
    </row>
    <row r="75914" spans="3:3" x14ac:dyDescent="0.35">
      <c r="C75914" s="2"/>
    </row>
    <row r="75915" spans="3:3" x14ac:dyDescent="0.35">
      <c r="C75915" s="2"/>
    </row>
    <row r="75916" spans="3:3" x14ac:dyDescent="0.35">
      <c r="C75916" s="2"/>
    </row>
    <row r="75917" spans="3:3" x14ac:dyDescent="0.35">
      <c r="C75917" s="2"/>
    </row>
    <row r="75918" spans="3:3" x14ac:dyDescent="0.35">
      <c r="C75918" s="2"/>
    </row>
    <row r="75919" spans="3:3" x14ac:dyDescent="0.35">
      <c r="C75919" s="2"/>
    </row>
    <row r="75920" spans="3:3" x14ac:dyDescent="0.35">
      <c r="C75920" s="2"/>
    </row>
    <row r="75921" spans="3:3" x14ac:dyDescent="0.35">
      <c r="C75921" s="2"/>
    </row>
    <row r="75922" spans="3:3" x14ac:dyDescent="0.35">
      <c r="C75922" s="2"/>
    </row>
    <row r="75923" spans="3:3" x14ac:dyDescent="0.35">
      <c r="C75923" s="2"/>
    </row>
    <row r="75924" spans="3:3" x14ac:dyDescent="0.35">
      <c r="C75924" s="2"/>
    </row>
    <row r="75925" spans="3:3" x14ac:dyDescent="0.35">
      <c r="C75925" s="2"/>
    </row>
    <row r="75926" spans="3:3" x14ac:dyDescent="0.35">
      <c r="C75926" s="2"/>
    </row>
    <row r="75927" spans="3:3" x14ac:dyDescent="0.35">
      <c r="C75927" s="2"/>
    </row>
    <row r="75928" spans="3:3" x14ac:dyDescent="0.35">
      <c r="C75928" s="2"/>
    </row>
    <row r="75929" spans="3:3" x14ac:dyDescent="0.35">
      <c r="C75929" s="2"/>
    </row>
    <row r="75930" spans="3:3" x14ac:dyDescent="0.35">
      <c r="C75930" s="2"/>
    </row>
    <row r="75931" spans="3:3" x14ac:dyDescent="0.35">
      <c r="C75931" s="2"/>
    </row>
    <row r="75932" spans="3:3" x14ac:dyDescent="0.35">
      <c r="C75932" s="2"/>
    </row>
    <row r="75933" spans="3:3" x14ac:dyDescent="0.35">
      <c r="C75933" s="2"/>
    </row>
    <row r="75934" spans="3:3" x14ac:dyDescent="0.35">
      <c r="C75934" s="2"/>
    </row>
    <row r="75935" spans="3:3" x14ac:dyDescent="0.35">
      <c r="C75935" s="2"/>
    </row>
    <row r="75936" spans="3:3" x14ac:dyDescent="0.35">
      <c r="C75936" s="2"/>
    </row>
    <row r="75937" spans="3:3" x14ac:dyDescent="0.35">
      <c r="C75937" s="2"/>
    </row>
    <row r="75938" spans="3:3" x14ac:dyDescent="0.35">
      <c r="C75938" s="2"/>
    </row>
    <row r="75939" spans="3:3" x14ac:dyDescent="0.35">
      <c r="C75939" s="2"/>
    </row>
    <row r="75940" spans="3:3" x14ac:dyDescent="0.35">
      <c r="C75940" s="2"/>
    </row>
    <row r="75941" spans="3:3" x14ac:dyDescent="0.35">
      <c r="C75941" s="2"/>
    </row>
    <row r="75942" spans="3:3" x14ac:dyDescent="0.35">
      <c r="C75942" s="2"/>
    </row>
    <row r="75943" spans="3:3" x14ac:dyDescent="0.35">
      <c r="C75943" s="2"/>
    </row>
    <row r="75944" spans="3:3" x14ac:dyDescent="0.35">
      <c r="C75944" s="2"/>
    </row>
    <row r="75945" spans="3:3" x14ac:dyDescent="0.35">
      <c r="C75945" s="2"/>
    </row>
    <row r="75946" spans="3:3" x14ac:dyDescent="0.35">
      <c r="C75946" s="2"/>
    </row>
    <row r="75947" spans="3:3" x14ac:dyDescent="0.35">
      <c r="C75947" s="2"/>
    </row>
    <row r="75948" spans="3:3" x14ac:dyDescent="0.35">
      <c r="C75948" s="2"/>
    </row>
    <row r="75949" spans="3:3" x14ac:dyDescent="0.35">
      <c r="C75949" s="2"/>
    </row>
    <row r="75950" spans="3:3" x14ac:dyDescent="0.35">
      <c r="C75950" s="2"/>
    </row>
    <row r="75951" spans="3:3" x14ac:dyDescent="0.35">
      <c r="C75951" s="2"/>
    </row>
    <row r="75952" spans="3:3" x14ac:dyDescent="0.35">
      <c r="C75952" s="2"/>
    </row>
    <row r="75953" spans="3:3" x14ac:dyDescent="0.35">
      <c r="C75953" s="2"/>
    </row>
    <row r="75954" spans="3:3" x14ac:dyDescent="0.35">
      <c r="C75954" s="2"/>
    </row>
    <row r="75955" spans="3:3" x14ac:dyDescent="0.35">
      <c r="C75955" s="2"/>
    </row>
    <row r="75956" spans="3:3" x14ac:dyDescent="0.35">
      <c r="C75956" s="2"/>
    </row>
    <row r="75957" spans="3:3" x14ac:dyDescent="0.35">
      <c r="C75957" s="2"/>
    </row>
    <row r="75958" spans="3:3" x14ac:dyDescent="0.35">
      <c r="C75958" s="2"/>
    </row>
    <row r="75959" spans="3:3" x14ac:dyDescent="0.35">
      <c r="C75959" s="2"/>
    </row>
    <row r="75960" spans="3:3" x14ac:dyDescent="0.35">
      <c r="C75960" s="2"/>
    </row>
    <row r="75961" spans="3:3" x14ac:dyDescent="0.35">
      <c r="C75961" s="2"/>
    </row>
    <row r="75962" spans="3:3" x14ac:dyDescent="0.35">
      <c r="C75962" s="2"/>
    </row>
    <row r="75963" spans="3:3" x14ac:dyDescent="0.35">
      <c r="C75963" s="2"/>
    </row>
    <row r="75964" spans="3:3" x14ac:dyDescent="0.35">
      <c r="C75964" s="2"/>
    </row>
    <row r="75965" spans="3:3" x14ac:dyDescent="0.35">
      <c r="C75965" s="2"/>
    </row>
    <row r="75966" spans="3:3" x14ac:dyDescent="0.35">
      <c r="C75966" s="2"/>
    </row>
    <row r="75967" spans="3:3" x14ac:dyDescent="0.35">
      <c r="C75967" s="2"/>
    </row>
    <row r="75968" spans="3:3" x14ac:dyDescent="0.35">
      <c r="C75968" s="2"/>
    </row>
    <row r="75969" spans="3:3" x14ac:dyDescent="0.35">
      <c r="C75969" s="2"/>
    </row>
    <row r="75970" spans="3:3" x14ac:dyDescent="0.35">
      <c r="C75970" s="2"/>
    </row>
    <row r="75971" spans="3:3" x14ac:dyDescent="0.35">
      <c r="C75971" s="2"/>
    </row>
    <row r="75972" spans="3:3" x14ac:dyDescent="0.35">
      <c r="C75972" s="2"/>
    </row>
    <row r="75973" spans="3:3" x14ac:dyDescent="0.35">
      <c r="C75973" s="2"/>
    </row>
    <row r="75974" spans="3:3" x14ac:dyDescent="0.35">
      <c r="C75974" s="2"/>
    </row>
    <row r="75975" spans="3:3" x14ac:dyDescent="0.35">
      <c r="C75975" s="2"/>
    </row>
    <row r="75976" spans="3:3" x14ac:dyDescent="0.35">
      <c r="C75976" s="2"/>
    </row>
    <row r="75977" spans="3:3" x14ac:dyDescent="0.35">
      <c r="C75977" s="2"/>
    </row>
    <row r="75978" spans="3:3" x14ac:dyDescent="0.35">
      <c r="C75978" s="2"/>
    </row>
    <row r="75979" spans="3:3" x14ac:dyDescent="0.35">
      <c r="C75979" s="2"/>
    </row>
    <row r="75980" spans="3:3" x14ac:dyDescent="0.35">
      <c r="C75980" s="2"/>
    </row>
    <row r="75981" spans="3:3" x14ac:dyDescent="0.35">
      <c r="C75981" s="2"/>
    </row>
    <row r="75982" spans="3:3" x14ac:dyDescent="0.35">
      <c r="C75982" s="2"/>
    </row>
    <row r="75983" spans="3:3" x14ac:dyDescent="0.35">
      <c r="C75983" s="2"/>
    </row>
    <row r="75984" spans="3:3" x14ac:dyDescent="0.35">
      <c r="C75984" s="2"/>
    </row>
    <row r="75985" spans="3:3" x14ac:dyDescent="0.35">
      <c r="C75985" s="2"/>
    </row>
    <row r="75986" spans="3:3" x14ac:dyDescent="0.35">
      <c r="C75986" s="2"/>
    </row>
    <row r="75987" spans="3:3" x14ac:dyDescent="0.35">
      <c r="C75987" s="2"/>
    </row>
    <row r="75988" spans="3:3" x14ac:dyDescent="0.35">
      <c r="C75988" s="2"/>
    </row>
    <row r="75989" spans="3:3" x14ac:dyDescent="0.35">
      <c r="C75989" s="2"/>
    </row>
    <row r="75990" spans="3:3" x14ac:dyDescent="0.35">
      <c r="C75990" s="2"/>
    </row>
    <row r="75991" spans="3:3" x14ac:dyDescent="0.35">
      <c r="C75991" s="2"/>
    </row>
    <row r="75992" spans="3:3" x14ac:dyDescent="0.35">
      <c r="C75992" s="2"/>
    </row>
    <row r="75993" spans="3:3" x14ac:dyDescent="0.35">
      <c r="C75993" s="2"/>
    </row>
    <row r="75994" spans="3:3" x14ac:dyDescent="0.35">
      <c r="C75994" s="2"/>
    </row>
    <row r="75995" spans="3:3" x14ac:dyDescent="0.35">
      <c r="C75995" s="2"/>
    </row>
    <row r="75996" spans="3:3" x14ac:dyDescent="0.35">
      <c r="C75996" s="2"/>
    </row>
    <row r="75997" spans="3:3" x14ac:dyDescent="0.35">
      <c r="C75997" s="2"/>
    </row>
    <row r="75998" spans="3:3" x14ac:dyDescent="0.35">
      <c r="C75998" s="2"/>
    </row>
    <row r="75999" spans="3:3" x14ac:dyDescent="0.35">
      <c r="C75999" s="2"/>
    </row>
    <row r="76000" spans="3:3" x14ac:dyDescent="0.35">
      <c r="C76000" s="2"/>
    </row>
    <row r="76001" spans="3:3" x14ac:dyDescent="0.35">
      <c r="C76001" s="2"/>
    </row>
    <row r="76002" spans="3:3" x14ac:dyDescent="0.35">
      <c r="C76002" s="2"/>
    </row>
    <row r="76003" spans="3:3" x14ac:dyDescent="0.35">
      <c r="C76003" s="2"/>
    </row>
    <row r="76004" spans="3:3" x14ac:dyDescent="0.35">
      <c r="C76004" s="2"/>
    </row>
    <row r="76005" spans="3:3" x14ac:dyDescent="0.35">
      <c r="C76005" s="2"/>
    </row>
    <row r="76006" spans="3:3" x14ac:dyDescent="0.35">
      <c r="C76006" s="2"/>
    </row>
    <row r="76007" spans="3:3" x14ac:dyDescent="0.35">
      <c r="C76007" s="2"/>
    </row>
    <row r="76008" spans="3:3" x14ac:dyDescent="0.35">
      <c r="C76008" s="2"/>
    </row>
    <row r="76009" spans="3:3" x14ac:dyDescent="0.35">
      <c r="C76009" s="2"/>
    </row>
    <row r="76010" spans="3:3" x14ac:dyDescent="0.35">
      <c r="C76010" s="2"/>
    </row>
    <row r="76011" spans="3:3" x14ac:dyDescent="0.35">
      <c r="C76011" s="2"/>
    </row>
    <row r="76012" spans="3:3" x14ac:dyDescent="0.35">
      <c r="C76012" s="2"/>
    </row>
    <row r="76013" spans="3:3" x14ac:dyDescent="0.35">
      <c r="C76013" s="2"/>
    </row>
    <row r="76014" spans="3:3" x14ac:dyDescent="0.35">
      <c r="C76014" s="2"/>
    </row>
    <row r="76015" spans="3:3" x14ac:dyDescent="0.35">
      <c r="C76015" s="2"/>
    </row>
    <row r="76016" spans="3:3" x14ac:dyDescent="0.35">
      <c r="C76016" s="2"/>
    </row>
    <row r="76017" spans="3:3" x14ac:dyDescent="0.35">
      <c r="C76017" s="2"/>
    </row>
    <row r="76018" spans="3:3" x14ac:dyDescent="0.35">
      <c r="C76018" s="2"/>
    </row>
    <row r="76019" spans="3:3" x14ac:dyDescent="0.35">
      <c r="C76019" s="2"/>
    </row>
    <row r="76020" spans="3:3" x14ac:dyDescent="0.35">
      <c r="C76020" s="2"/>
    </row>
    <row r="76021" spans="3:3" x14ac:dyDescent="0.35">
      <c r="C76021" s="2"/>
    </row>
    <row r="76022" spans="3:3" x14ac:dyDescent="0.35">
      <c r="C76022" s="2"/>
    </row>
    <row r="76023" spans="3:3" x14ac:dyDescent="0.35">
      <c r="C76023" s="2"/>
    </row>
    <row r="76024" spans="3:3" x14ac:dyDescent="0.35">
      <c r="C76024" s="2"/>
    </row>
    <row r="76025" spans="3:3" x14ac:dyDescent="0.35">
      <c r="C76025" s="2"/>
    </row>
    <row r="76026" spans="3:3" x14ac:dyDescent="0.35">
      <c r="C76026" s="2"/>
    </row>
    <row r="76027" spans="3:3" x14ac:dyDescent="0.35">
      <c r="C76027" s="2"/>
    </row>
    <row r="76028" spans="3:3" x14ac:dyDescent="0.35">
      <c r="C76028" s="2"/>
    </row>
    <row r="76029" spans="3:3" x14ac:dyDescent="0.35">
      <c r="C76029" s="2"/>
    </row>
    <row r="76030" spans="3:3" x14ac:dyDescent="0.35">
      <c r="C76030" s="2"/>
    </row>
    <row r="76031" spans="3:3" x14ac:dyDescent="0.35">
      <c r="C76031" s="2"/>
    </row>
    <row r="76032" spans="3:3" x14ac:dyDescent="0.35">
      <c r="C76032" s="2"/>
    </row>
    <row r="76033" spans="3:3" x14ac:dyDescent="0.35">
      <c r="C76033" s="2"/>
    </row>
    <row r="76034" spans="3:3" x14ac:dyDescent="0.35">
      <c r="C76034" s="2"/>
    </row>
    <row r="76035" spans="3:3" x14ac:dyDescent="0.35">
      <c r="C76035" s="2"/>
    </row>
    <row r="76036" spans="3:3" x14ac:dyDescent="0.35">
      <c r="C76036" s="2"/>
    </row>
    <row r="76037" spans="3:3" x14ac:dyDescent="0.35">
      <c r="C76037" s="2"/>
    </row>
    <row r="76038" spans="3:3" x14ac:dyDescent="0.35">
      <c r="C76038" s="2"/>
    </row>
    <row r="76039" spans="3:3" x14ac:dyDescent="0.35">
      <c r="C76039" s="2"/>
    </row>
    <row r="76040" spans="3:3" x14ac:dyDescent="0.35">
      <c r="C76040" s="2"/>
    </row>
    <row r="76041" spans="3:3" x14ac:dyDescent="0.35">
      <c r="C76041" s="2"/>
    </row>
    <row r="76042" spans="3:3" x14ac:dyDescent="0.35">
      <c r="C76042" s="2"/>
    </row>
    <row r="76043" spans="3:3" x14ac:dyDescent="0.35">
      <c r="C76043" s="2"/>
    </row>
    <row r="76044" spans="3:3" x14ac:dyDescent="0.35">
      <c r="C76044" s="2"/>
    </row>
    <row r="76045" spans="3:3" x14ac:dyDescent="0.35">
      <c r="C76045" s="2"/>
    </row>
    <row r="76046" spans="3:3" x14ac:dyDescent="0.35">
      <c r="C76046" s="2"/>
    </row>
    <row r="76047" spans="3:3" x14ac:dyDescent="0.35">
      <c r="C76047" s="2"/>
    </row>
    <row r="76048" spans="3:3" x14ac:dyDescent="0.35">
      <c r="C76048" s="2"/>
    </row>
    <row r="76049" spans="3:3" x14ac:dyDescent="0.35">
      <c r="C76049" s="2"/>
    </row>
    <row r="76050" spans="3:3" x14ac:dyDescent="0.35">
      <c r="C76050" s="2"/>
    </row>
    <row r="76051" spans="3:3" x14ac:dyDescent="0.35">
      <c r="C76051" s="2"/>
    </row>
    <row r="76052" spans="3:3" x14ac:dyDescent="0.35">
      <c r="C76052" s="2"/>
    </row>
    <row r="76053" spans="3:3" x14ac:dyDescent="0.35">
      <c r="C76053" s="2"/>
    </row>
    <row r="76054" spans="3:3" x14ac:dyDescent="0.35">
      <c r="C76054" s="2"/>
    </row>
    <row r="76055" spans="3:3" x14ac:dyDescent="0.35">
      <c r="C76055" s="2"/>
    </row>
    <row r="76056" spans="3:3" x14ac:dyDescent="0.35">
      <c r="C76056" s="2"/>
    </row>
    <row r="76057" spans="3:3" x14ac:dyDescent="0.35">
      <c r="C76057" s="2"/>
    </row>
    <row r="76058" spans="3:3" x14ac:dyDescent="0.35">
      <c r="C76058" s="2"/>
    </row>
    <row r="76059" spans="3:3" x14ac:dyDescent="0.35">
      <c r="C76059" s="2"/>
    </row>
    <row r="76060" spans="3:3" x14ac:dyDescent="0.35">
      <c r="C76060" s="2"/>
    </row>
    <row r="76061" spans="3:3" x14ac:dyDescent="0.35">
      <c r="C76061" s="2"/>
    </row>
    <row r="76062" spans="3:3" x14ac:dyDescent="0.35">
      <c r="C76062" s="2"/>
    </row>
    <row r="76063" spans="3:3" x14ac:dyDescent="0.35">
      <c r="C76063" s="2"/>
    </row>
    <row r="76064" spans="3:3" x14ac:dyDescent="0.35">
      <c r="C76064" s="2"/>
    </row>
    <row r="76065" spans="3:3" x14ac:dyDescent="0.35">
      <c r="C76065" s="2"/>
    </row>
    <row r="76066" spans="3:3" x14ac:dyDescent="0.35">
      <c r="C76066" s="2"/>
    </row>
    <row r="76067" spans="3:3" x14ac:dyDescent="0.35">
      <c r="C76067" s="2"/>
    </row>
    <row r="76068" spans="3:3" x14ac:dyDescent="0.35">
      <c r="C76068" s="2"/>
    </row>
    <row r="76069" spans="3:3" x14ac:dyDescent="0.35">
      <c r="C76069" s="2"/>
    </row>
    <row r="76070" spans="3:3" x14ac:dyDescent="0.35">
      <c r="C76070" s="2"/>
    </row>
    <row r="76071" spans="3:3" x14ac:dyDescent="0.35">
      <c r="C76071" s="2"/>
    </row>
    <row r="76072" spans="3:3" x14ac:dyDescent="0.35">
      <c r="C76072" s="2"/>
    </row>
    <row r="76073" spans="3:3" x14ac:dyDescent="0.35">
      <c r="C76073" s="2"/>
    </row>
    <row r="76074" spans="3:3" x14ac:dyDescent="0.35">
      <c r="C76074" s="2"/>
    </row>
    <row r="76075" spans="3:3" x14ac:dyDescent="0.35">
      <c r="C76075" s="2"/>
    </row>
    <row r="76076" spans="3:3" x14ac:dyDescent="0.35">
      <c r="C76076" s="2"/>
    </row>
    <row r="76077" spans="3:3" x14ac:dyDescent="0.35">
      <c r="C76077" s="2"/>
    </row>
    <row r="76078" spans="3:3" x14ac:dyDescent="0.35">
      <c r="C76078" s="2"/>
    </row>
    <row r="76079" spans="3:3" x14ac:dyDescent="0.35">
      <c r="C76079" s="2"/>
    </row>
    <row r="76080" spans="3:3" x14ac:dyDescent="0.35">
      <c r="C76080" s="2"/>
    </row>
    <row r="76081" spans="3:3" x14ac:dyDescent="0.35">
      <c r="C76081" s="2"/>
    </row>
    <row r="76082" spans="3:3" x14ac:dyDescent="0.35">
      <c r="C76082" s="2"/>
    </row>
    <row r="76083" spans="3:3" x14ac:dyDescent="0.35">
      <c r="C76083" s="2"/>
    </row>
    <row r="76084" spans="3:3" x14ac:dyDescent="0.35">
      <c r="C76084" s="2"/>
    </row>
    <row r="76085" spans="3:3" x14ac:dyDescent="0.35">
      <c r="C76085" s="2"/>
    </row>
    <row r="76086" spans="3:3" x14ac:dyDescent="0.35">
      <c r="C76086" s="2"/>
    </row>
    <row r="76087" spans="3:3" x14ac:dyDescent="0.35">
      <c r="C76087" s="2"/>
    </row>
    <row r="76088" spans="3:3" x14ac:dyDescent="0.35">
      <c r="C76088" s="2"/>
    </row>
    <row r="76089" spans="3:3" x14ac:dyDescent="0.35">
      <c r="C76089" s="2"/>
    </row>
    <row r="76090" spans="3:3" x14ac:dyDescent="0.35">
      <c r="C76090" s="2"/>
    </row>
    <row r="76091" spans="3:3" x14ac:dyDescent="0.35">
      <c r="C76091" s="2"/>
    </row>
    <row r="76092" spans="3:3" x14ac:dyDescent="0.35">
      <c r="C76092" s="2"/>
    </row>
    <row r="76093" spans="3:3" x14ac:dyDescent="0.35">
      <c r="C76093" s="2"/>
    </row>
    <row r="76094" spans="3:3" x14ac:dyDescent="0.35">
      <c r="C76094" s="2"/>
    </row>
    <row r="76095" spans="3:3" x14ac:dyDescent="0.35">
      <c r="C76095" s="2"/>
    </row>
    <row r="76096" spans="3:3" x14ac:dyDescent="0.35">
      <c r="C76096" s="2"/>
    </row>
    <row r="76097" spans="3:3" x14ac:dyDescent="0.35">
      <c r="C76097" s="2"/>
    </row>
    <row r="76098" spans="3:3" x14ac:dyDescent="0.35">
      <c r="C76098" s="2"/>
    </row>
    <row r="76099" spans="3:3" x14ac:dyDescent="0.35">
      <c r="C76099" s="2"/>
    </row>
    <row r="76100" spans="3:3" x14ac:dyDescent="0.35">
      <c r="C76100" s="2"/>
    </row>
    <row r="76101" spans="3:3" x14ac:dyDescent="0.35">
      <c r="C76101" s="2"/>
    </row>
    <row r="76102" spans="3:3" x14ac:dyDescent="0.35">
      <c r="C76102" s="2"/>
    </row>
    <row r="76103" spans="3:3" x14ac:dyDescent="0.35">
      <c r="C76103" s="2"/>
    </row>
    <row r="76104" spans="3:3" x14ac:dyDescent="0.35">
      <c r="C76104" s="2"/>
    </row>
    <row r="76105" spans="3:3" x14ac:dyDescent="0.35">
      <c r="C76105" s="2"/>
    </row>
    <row r="76106" spans="3:3" x14ac:dyDescent="0.35">
      <c r="C76106" s="2"/>
    </row>
    <row r="76107" spans="3:3" x14ac:dyDescent="0.35">
      <c r="C76107" s="2"/>
    </row>
    <row r="76108" spans="3:3" x14ac:dyDescent="0.35">
      <c r="C76108" s="2"/>
    </row>
    <row r="76109" spans="3:3" x14ac:dyDescent="0.35">
      <c r="C76109" s="2"/>
    </row>
    <row r="76110" spans="3:3" x14ac:dyDescent="0.35">
      <c r="C76110" s="2"/>
    </row>
    <row r="76111" spans="3:3" x14ac:dyDescent="0.35">
      <c r="C76111" s="2"/>
    </row>
    <row r="76112" spans="3:3" x14ac:dyDescent="0.35">
      <c r="C76112" s="2"/>
    </row>
    <row r="76113" spans="3:3" x14ac:dyDescent="0.35">
      <c r="C76113" s="2"/>
    </row>
    <row r="76114" spans="3:3" x14ac:dyDescent="0.35">
      <c r="C76114" s="2"/>
    </row>
    <row r="76115" spans="3:3" x14ac:dyDescent="0.35">
      <c r="C76115" s="2"/>
    </row>
    <row r="76116" spans="3:3" x14ac:dyDescent="0.35">
      <c r="C76116" s="2"/>
    </row>
    <row r="76117" spans="3:3" x14ac:dyDescent="0.35">
      <c r="C76117" s="2"/>
    </row>
    <row r="76118" spans="3:3" x14ac:dyDescent="0.35">
      <c r="C76118" s="2"/>
    </row>
    <row r="76119" spans="3:3" x14ac:dyDescent="0.35">
      <c r="C76119" s="2"/>
    </row>
    <row r="76120" spans="3:3" x14ac:dyDescent="0.35">
      <c r="C76120" s="2"/>
    </row>
    <row r="76121" spans="3:3" x14ac:dyDescent="0.35">
      <c r="C76121" s="2"/>
    </row>
    <row r="76122" spans="3:3" x14ac:dyDescent="0.35">
      <c r="C76122" s="2"/>
    </row>
    <row r="76123" spans="3:3" x14ac:dyDescent="0.35">
      <c r="C76123" s="2"/>
    </row>
    <row r="76124" spans="3:3" x14ac:dyDescent="0.35">
      <c r="C76124" s="2"/>
    </row>
    <row r="76125" spans="3:3" x14ac:dyDescent="0.35">
      <c r="C76125" s="2"/>
    </row>
    <row r="76126" spans="3:3" x14ac:dyDescent="0.35">
      <c r="C76126" s="2"/>
    </row>
    <row r="76127" spans="3:3" x14ac:dyDescent="0.35">
      <c r="C76127" s="2"/>
    </row>
    <row r="76128" spans="3:3" x14ac:dyDescent="0.35">
      <c r="C76128" s="2"/>
    </row>
    <row r="76129" spans="3:3" x14ac:dyDescent="0.35">
      <c r="C76129" s="2"/>
    </row>
    <row r="76130" spans="3:3" x14ac:dyDescent="0.35">
      <c r="C76130" s="2"/>
    </row>
    <row r="76131" spans="3:3" x14ac:dyDescent="0.35">
      <c r="C76131" s="2"/>
    </row>
    <row r="76132" spans="3:3" x14ac:dyDescent="0.35">
      <c r="C76132" s="2"/>
    </row>
    <row r="76133" spans="3:3" x14ac:dyDescent="0.35">
      <c r="C76133" s="2"/>
    </row>
    <row r="76134" spans="3:3" x14ac:dyDescent="0.35">
      <c r="C76134" s="2"/>
    </row>
    <row r="76135" spans="3:3" x14ac:dyDescent="0.35">
      <c r="C76135" s="2"/>
    </row>
    <row r="76136" spans="3:3" x14ac:dyDescent="0.35">
      <c r="C76136" s="2"/>
    </row>
    <row r="76137" spans="3:3" x14ac:dyDescent="0.35">
      <c r="C76137" s="2"/>
    </row>
    <row r="76138" spans="3:3" x14ac:dyDescent="0.35">
      <c r="C76138" s="2"/>
    </row>
    <row r="76139" spans="3:3" x14ac:dyDescent="0.35">
      <c r="C76139" s="2"/>
    </row>
    <row r="76140" spans="3:3" x14ac:dyDescent="0.35">
      <c r="C76140" s="2"/>
    </row>
    <row r="76141" spans="3:3" x14ac:dyDescent="0.35">
      <c r="C76141" s="2"/>
    </row>
    <row r="76142" spans="3:3" x14ac:dyDescent="0.35">
      <c r="C76142" s="2"/>
    </row>
    <row r="76143" spans="3:3" x14ac:dyDescent="0.35">
      <c r="C76143" s="2"/>
    </row>
    <row r="76144" spans="3:3" x14ac:dyDescent="0.35">
      <c r="C76144" s="2"/>
    </row>
    <row r="76145" spans="3:3" x14ac:dyDescent="0.35">
      <c r="C76145" s="2"/>
    </row>
    <row r="76146" spans="3:3" x14ac:dyDescent="0.35">
      <c r="C76146" s="2"/>
    </row>
    <row r="76147" spans="3:3" x14ac:dyDescent="0.35">
      <c r="C76147" s="2"/>
    </row>
    <row r="76148" spans="3:3" x14ac:dyDescent="0.35">
      <c r="C76148" s="2"/>
    </row>
    <row r="76149" spans="3:3" x14ac:dyDescent="0.35">
      <c r="C76149" s="2"/>
    </row>
    <row r="76150" spans="3:3" x14ac:dyDescent="0.35">
      <c r="C76150" s="2"/>
    </row>
    <row r="76151" spans="3:3" x14ac:dyDescent="0.35">
      <c r="C76151" s="2"/>
    </row>
    <row r="76152" spans="3:3" x14ac:dyDescent="0.35">
      <c r="C76152" s="2"/>
    </row>
    <row r="76153" spans="3:3" x14ac:dyDescent="0.35">
      <c r="C76153" s="2"/>
    </row>
    <row r="76154" spans="3:3" x14ac:dyDescent="0.35">
      <c r="C76154" s="2"/>
    </row>
    <row r="76155" spans="3:3" x14ac:dyDescent="0.35">
      <c r="C76155" s="2"/>
    </row>
    <row r="76156" spans="3:3" x14ac:dyDescent="0.35">
      <c r="C76156" s="2"/>
    </row>
    <row r="76157" spans="3:3" x14ac:dyDescent="0.35">
      <c r="C76157" s="2"/>
    </row>
    <row r="76158" spans="3:3" x14ac:dyDescent="0.35">
      <c r="C76158" s="2"/>
    </row>
    <row r="76159" spans="3:3" x14ac:dyDescent="0.35">
      <c r="C76159" s="2"/>
    </row>
    <row r="76160" spans="3:3" x14ac:dyDescent="0.35">
      <c r="C76160" s="2"/>
    </row>
    <row r="76161" spans="3:3" x14ac:dyDescent="0.35">
      <c r="C76161" s="2"/>
    </row>
    <row r="76162" spans="3:3" x14ac:dyDescent="0.35">
      <c r="C76162" s="2"/>
    </row>
    <row r="76163" spans="3:3" x14ac:dyDescent="0.35">
      <c r="C76163" s="2"/>
    </row>
    <row r="76164" spans="3:3" x14ac:dyDescent="0.35">
      <c r="C76164" s="2"/>
    </row>
    <row r="76165" spans="3:3" x14ac:dyDescent="0.35">
      <c r="C76165" s="2"/>
    </row>
    <row r="76166" spans="3:3" x14ac:dyDescent="0.35">
      <c r="C76166" s="2"/>
    </row>
    <row r="76167" spans="3:3" x14ac:dyDescent="0.35">
      <c r="C76167" s="2"/>
    </row>
    <row r="76168" spans="3:3" x14ac:dyDescent="0.35">
      <c r="C76168" s="2"/>
    </row>
    <row r="76169" spans="3:3" x14ac:dyDescent="0.35">
      <c r="C76169" s="2"/>
    </row>
    <row r="76170" spans="3:3" x14ac:dyDescent="0.35">
      <c r="C76170" s="2"/>
    </row>
    <row r="76171" spans="3:3" x14ac:dyDescent="0.35">
      <c r="C76171" s="2"/>
    </row>
    <row r="76172" spans="3:3" x14ac:dyDescent="0.35">
      <c r="C76172" s="2"/>
    </row>
    <row r="76173" spans="3:3" x14ac:dyDescent="0.35">
      <c r="C76173" s="2"/>
    </row>
    <row r="76174" spans="3:3" x14ac:dyDescent="0.35">
      <c r="C76174" s="2"/>
    </row>
    <row r="76175" spans="3:3" x14ac:dyDescent="0.35">
      <c r="C76175" s="2"/>
    </row>
    <row r="76176" spans="3:3" x14ac:dyDescent="0.35">
      <c r="C76176" s="2"/>
    </row>
    <row r="76177" spans="3:3" x14ac:dyDescent="0.35">
      <c r="C76177" s="2"/>
    </row>
    <row r="76178" spans="3:3" x14ac:dyDescent="0.35">
      <c r="C76178" s="2"/>
    </row>
    <row r="76179" spans="3:3" x14ac:dyDescent="0.35">
      <c r="C76179" s="2"/>
    </row>
    <row r="76180" spans="3:3" x14ac:dyDescent="0.35">
      <c r="C76180" s="2"/>
    </row>
    <row r="76181" spans="3:3" x14ac:dyDescent="0.35">
      <c r="C76181" s="2"/>
    </row>
    <row r="76182" spans="3:3" x14ac:dyDescent="0.35">
      <c r="C76182" s="2"/>
    </row>
    <row r="76183" spans="3:3" x14ac:dyDescent="0.35">
      <c r="C76183" s="2"/>
    </row>
    <row r="76184" spans="3:3" x14ac:dyDescent="0.35">
      <c r="C76184" s="2"/>
    </row>
    <row r="76185" spans="3:3" x14ac:dyDescent="0.35">
      <c r="C76185" s="2"/>
    </row>
    <row r="76186" spans="3:3" x14ac:dyDescent="0.35">
      <c r="C76186" s="2"/>
    </row>
    <row r="76187" spans="3:3" x14ac:dyDescent="0.35">
      <c r="C76187" s="2"/>
    </row>
    <row r="76188" spans="3:3" x14ac:dyDescent="0.35">
      <c r="C76188" s="2"/>
    </row>
    <row r="76189" spans="3:3" x14ac:dyDescent="0.35">
      <c r="C76189" s="2"/>
    </row>
    <row r="76190" spans="3:3" x14ac:dyDescent="0.35">
      <c r="C76190" s="2"/>
    </row>
    <row r="76191" spans="3:3" x14ac:dyDescent="0.35">
      <c r="C76191" s="2"/>
    </row>
    <row r="76192" spans="3:3" x14ac:dyDescent="0.35">
      <c r="C76192" s="2"/>
    </row>
    <row r="76193" spans="3:3" x14ac:dyDescent="0.35">
      <c r="C76193" s="2"/>
    </row>
    <row r="76194" spans="3:3" x14ac:dyDescent="0.35">
      <c r="C76194" s="2"/>
    </row>
    <row r="76195" spans="3:3" x14ac:dyDescent="0.35">
      <c r="C76195" s="2"/>
    </row>
    <row r="76196" spans="3:3" x14ac:dyDescent="0.35">
      <c r="C76196" s="2"/>
    </row>
    <row r="76197" spans="3:3" x14ac:dyDescent="0.35">
      <c r="C76197" s="2"/>
    </row>
    <row r="76198" spans="3:3" x14ac:dyDescent="0.35">
      <c r="C76198" s="2"/>
    </row>
    <row r="76199" spans="3:3" x14ac:dyDescent="0.35">
      <c r="C76199" s="2"/>
    </row>
    <row r="76200" spans="3:3" x14ac:dyDescent="0.35">
      <c r="C76200" s="2"/>
    </row>
    <row r="76201" spans="3:3" x14ac:dyDescent="0.35">
      <c r="C76201" s="2"/>
    </row>
    <row r="76202" spans="3:3" x14ac:dyDescent="0.35">
      <c r="C76202" s="2"/>
    </row>
    <row r="76203" spans="3:3" x14ac:dyDescent="0.35">
      <c r="C76203" s="2"/>
    </row>
    <row r="76204" spans="3:3" x14ac:dyDescent="0.35">
      <c r="C76204" s="2"/>
    </row>
    <row r="76205" spans="3:3" x14ac:dyDescent="0.35">
      <c r="C76205" s="2"/>
    </row>
    <row r="76206" spans="3:3" x14ac:dyDescent="0.35">
      <c r="C76206" s="2"/>
    </row>
    <row r="76207" spans="3:3" x14ac:dyDescent="0.35">
      <c r="C76207" s="2"/>
    </row>
    <row r="76208" spans="3:3" x14ac:dyDescent="0.35">
      <c r="C76208" s="2"/>
    </row>
    <row r="76209" spans="3:3" x14ac:dyDescent="0.35">
      <c r="C76209" s="2"/>
    </row>
    <row r="76210" spans="3:3" x14ac:dyDescent="0.35">
      <c r="C76210" s="2"/>
    </row>
    <row r="76211" spans="3:3" x14ac:dyDescent="0.35">
      <c r="C76211" s="2"/>
    </row>
    <row r="76212" spans="3:3" x14ac:dyDescent="0.35">
      <c r="C76212" s="2"/>
    </row>
    <row r="76213" spans="3:3" x14ac:dyDescent="0.35">
      <c r="C76213" s="2"/>
    </row>
    <row r="76214" spans="3:3" x14ac:dyDescent="0.35">
      <c r="C76214" s="2"/>
    </row>
    <row r="76215" spans="3:3" x14ac:dyDescent="0.35">
      <c r="C76215" s="2"/>
    </row>
    <row r="76216" spans="3:3" x14ac:dyDescent="0.35">
      <c r="C76216" s="2"/>
    </row>
    <row r="76217" spans="3:3" x14ac:dyDescent="0.35">
      <c r="C76217" s="2"/>
    </row>
    <row r="76218" spans="3:3" x14ac:dyDescent="0.35">
      <c r="C76218" s="2"/>
    </row>
    <row r="76219" spans="3:3" x14ac:dyDescent="0.35">
      <c r="C76219" s="2"/>
    </row>
    <row r="76220" spans="3:3" x14ac:dyDescent="0.35">
      <c r="C76220" s="2"/>
    </row>
    <row r="76221" spans="3:3" x14ac:dyDescent="0.35">
      <c r="C76221" s="2"/>
    </row>
    <row r="76222" spans="3:3" x14ac:dyDescent="0.35">
      <c r="C76222" s="2"/>
    </row>
    <row r="76223" spans="3:3" x14ac:dyDescent="0.35">
      <c r="C76223" s="2"/>
    </row>
    <row r="76224" spans="3:3" x14ac:dyDescent="0.35">
      <c r="C76224" s="2"/>
    </row>
    <row r="76225" spans="3:3" x14ac:dyDescent="0.35">
      <c r="C76225" s="2"/>
    </row>
    <row r="76226" spans="3:3" x14ac:dyDescent="0.35">
      <c r="C76226" s="2"/>
    </row>
    <row r="76227" spans="3:3" x14ac:dyDescent="0.35">
      <c r="C76227" s="2"/>
    </row>
    <row r="76228" spans="3:3" x14ac:dyDescent="0.35">
      <c r="C76228" s="2"/>
    </row>
    <row r="76229" spans="3:3" x14ac:dyDescent="0.35">
      <c r="C76229" s="2"/>
    </row>
    <row r="76230" spans="3:3" x14ac:dyDescent="0.35">
      <c r="C76230" s="2"/>
    </row>
    <row r="76231" spans="3:3" x14ac:dyDescent="0.35">
      <c r="C76231" s="2"/>
    </row>
    <row r="76232" spans="3:3" x14ac:dyDescent="0.35">
      <c r="C76232" s="2"/>
    </row>
    <row r="76233" spans="3:3" x14ac:dyDescent="0.35">
      <c r="C76233" s="2"/>
    </row>
    <row r="76234" spans="3:3" x14ac:dyDescent="0.35">
      <c r="C76234" s="2"/>
    </row>
    <row r="76235" spans="3:3" x14ac:dyDescent="0.35">
      <c r="C76235" s="2"/>
    </row>
    <row r="76236" spans="3:3" x14ac:dyDescent="0.35">
      <c r="C76236" s="2"/>
    </row>
    <row r="76237" spans="3:3" x14ac:dyDescent="0.35">
      <c r="C76237" s="2"/>
    </row>
    <row r="76238" spans="3:3" x14ac:dyDescent="0.35">
      <c r="C76238" s="2"/>
    </row>
    <row r="76239" spans="3:3" x14ac:dyDescent="0.35">
      <c r="C76239" s="2"/>
    </row>
    <row r="76240" spans="3:3" x14ac:dyDescent="0.35">
      <c r="C76240" s="2"/>
    </row>
    <row r="76241" spans="3:3" x14ac:dyDescent="0.35">
      <c r="C76241" s="2"/>
    </row>
    <row r="76242" spans="3:3" x14ac:dyDescent="0.35">
      <c r="C76242" s="2"/>
    </row>
    <row r="76243" spans="3:3" x14ac:dyDescent="0.35">
      <c r="C76243" s="2"/>
    </row>
    <row r="76244" spans="3:3" x14ac:dyDescent="0.35">
      <c r="C76244" s="2"/>
    </row>
    <row r="76245" spans="3:3" x14ac:dyDescent="0.35">
      <c r="C76245" s="2"/>
    </row>
    <row r="76246" spans="3:3" x14ac:dyDescent="0.35">
      <c r="C76246" s="2"/>
    </row>
    <row r="76247" spans="3:3" x14ac:dyDescent="0.35">
      <c r="C76247" s="2"/>
    </row>
    <row r="76248" spans="3:3" x14ac:dyDescent="0.35">
      <c r="C76248" s="2"/>
    </row>
    <row r="76249" spans="3:3" x14ac:dyDescent="0.35">
      <c r="C76249" s="2"/>
    </row>
    <row r="76250" spans="3:3" x14ac:dyDescent="0.35">
      <c r="C76250" s="2"/>
    </row>
    <row r="76251" spans="3:3" x14ac:dyDescent="0.35">
      <c r="C76251" s="2"/>
    </row>
    <row r="76252" spans="3:3" x14ac:dyDescent="0.35">
      <c r="C76252" s="2"/>
    </row>
    <row r="76253" spans="3:3" x14ac:dyDescent="0.35">
      <c r="C76253" s="2"/>
    </row>
    <row r="76254" spans="3:3" x14ac:dyDescent="0.35">
      <c r="C76254" s="2"/>
    </row>
    <row r="76255" spans="3:3" x14ac:dyDescent="0.35">
      <c r="C76255" s="2"/>
    </row>
    <row r="76256" spans="3:3" x14ac:dyDescent="0.35">
      <c r="C76256" s="2"/>
    </row>
    <row r="76257" spans="3:3" x14ac:dyDescent="0.35">
      <c r="C76257" s="2"/>
    </row>
    <row r="76258" spans="3:3" x14ac:dyDescent="0.35">
      <c r="C76258" s="2"/>
    </row>
    <row r="76259" spans="3:3" x14ac:dyDescent="0.35">
      <c r="C76259" s="2"/>
    </row>
    <row r="76260" spans="3:3" x14ac:dyDescent="0.35">
      <c r="C76260" s="2"/>
    </row>
    <row r="76261" spans="3:3" x14ac:dyDescent="0.35">
      <c r="C76261" s="2"/>
    </row>
    <row r="76262" spans="3:3" x14ac:dyDescent="0.35">
      <c r="C76262" s="2"/>
    </row>
    <row r="76263" spans="3:3" x14ac:dyDescent="0.35">
      <c r="C76263" s="2"/>
    </row>
    <row r="76264" spans="3:3" x14ac:dyDescent="0.35">
      <c r="C76264" s="2"/>
    </row>
    <row r="76265" spans="3:3" x14ac:dyDescent="0.35">
      <c r="C76265" s="2"/>
    </row>
    <row r="76266" spans="3:3" x14ac:dyDescent="0.35">
      <c r="C76266" s="2"/>
    </row>
    <row r="76267" spans="3:3" x14ac:dyDescent="0.35">
      <c r="C76267" s="2"/>
    </row>
    <row r="76268" spans="3:3" x14ac:dyDescent="0.35">
      <c r="C76268" s="2"/>
    </row>
    <row r="76269" spans="3:3" x14ac:dyDescent="0.35">
      <c r="C76269" s="2"/>
    </row>
    <row r="76270" spans="3:3" x14ac:dyDescent="0.35">
      <c r="C76270" s="2"/>
    </row>
    <row r="76271" spans="3:3" x14ac:dyDescent="0.35">
      <c r="C76271" s="2"/>
    </row>
    <row r="76272" spans="3:3" x14ac:dyDescent="0.35">
      <c r="C76272" s="2"/>
    </row>
    <row r="76273" spans="3:3" x14ac:dyDescent="0.35">
      <c r="C76273" s="2"/>
    </row>
    <row r="76274" spans="3:3" x14ac:dyDescent="0.35">
      <c r="C76274" s="2"/>
    </row>
    <row r="76275" spans="3:3" x14ac:dyDescent="0.35">
      <c r="C76275" s="2"/>
    </row>
    <row r="76276" spans="3:3" x14ac:dyDescent="0.35">
      <c r="C76276" s="2"/>
    </row>
    <row r="76277" spans="3:3" x14ac:dyDescent="0.35">
      <c r="C76277" s="2"/>
    </row>
    <row r="76278" spans="3:3" x14ac:dyDescent="0.35">
      <c r="C76278" s="2"/>
    </row>
    <row r="76279" spans="3:3" x14ac:dyDescent="0.35">
      <c r="C76279" s="2"/>
    </row>
    <row r="76280" spans="3:3" x14ac:dyDescent="0.35">
      <c r="C76280" s="2"/>
    </row>
    <row r="76281" spans="3:3" x14ac:dyDescent="0.35">
      <c r="C76281" s="2"/>
    </row>
    <row r="76282" spans="3:3" x14ac:dyDescent="0.35">
      <c r="C76282" s="2"/>
    </row>
    <row r="76283" spans="3:3" x14ac:dyDescent="0.35">
      <c r="C76283" s="2"/>
    </row>
    <row r="76284" spans="3:3" x14ac:dyDescent="0.35">
      <c r="C76284" s="2"/>
    </row>
    <row r="76285" spans="3:3" x14ac:dyDescent="0.35">
      <c r="C76285" s="2"/>
    </row>
    <row r="76286" spans="3:3" x14ac:dyDescent="0.35">
      <c r="C76286" s="2"/>
    </row>
    <row r="76287" spans="3:3" x14ac:dyDescent="0.35">
      <c r="C76287" s="2"/>
    </row>
    <row r="76288" spans="3:3" x14ac:dyDescent="0.35">
      <c r="C76288" s="2"/>
    </row>
    <row r="76289" spans="3:3" x14ac:dyDescent="0.35">
      <c r="C76289" s="2"/>
    </row>
    <row r="76290" spans="3:3" x14ac:dyDescent="0.35">
      <c r="C76290" s="2"/>
    </row>
    <row r="76291" spans="3:3" x14ac:dyDescent="0.35">
      <c r="C76291" s="2"/>
    </row>
    <row r="76292" spans="3:3" x14ac:dyDescent="0.35">
      <c r="C76292" s="2"/>
    </row>
    <row r="76293" spans="3:3" x14ac:dyDescent="0.35">
      <c r="C76293" s="2"/>
    </row>
    <row r="76294" spans="3:3" x14ac:dyDescent="0.35">
      <c r="C76294" s="2"/>
    </row>
    <row r="76295" spans="3:3" x14ac:dyDescent="0.35">
      <c r="C76295" s="2"/>
    </row>
    <row r="76296" spans="3:3" x14ac:dyDescent="0.35">
      <c r="C76296" s="2"/>
    </row>
    <row r="76297" spans="3:3" x14ac:dyDescent="0.35">
      <c r="C76297" s="2"/>
    </row>
    <row r="76298" spans="3:3" x14ac:dyDescent="0.35">
      <c r="C76298" s="2"/>
    </row>
    <row r="76299" spans="3:3" x14ac:dyDescent="0.35">
      <c r="C76299" s="2"/>
    </row>
    <row r="76300" spans="3:3" x14ac:dyDescent="0.35">
      <c r="C76300" s="2"/>
    </row>
    <row r="76301" spans="3:3" x14ac:dyDescent="0.35">
      <c r="C76301" s="2"/>
    </row>
    <row r="76302" spans="3:3" x14ac:dyDescent="0.35">
      <c r="C76302" s="2"/>
    </row>
    <row r="76303" spans="3:3" x14ac:dyDescent="0.35">
      <c r="C76303" s="2"/>
    </row>
    <row r="76304" spans="3:3" x14ac:dyDescent="0.35">
      <c r="C76304" s="2"/>
    </row>
    <row r="76305" spans="3:3" x14ac:dyDescent="0.35">
      <c r="C76305" s="2"/>
    </row>
    <row r="76306" spans="3:3" x14ac:dyDescent="0.35">
      <c r="C76306" s="2"/>
    </row>
    <row r="76307" spans="3:3" x14ac:dyDescent="0.35">
      <c r="C76307" s="2"/>
    </row>
    <row r="76308" spans="3:3" x14ac:dyDescent="0.35">
      <c r="C76308" s="2"/>
    </row>
    <row r="76309" spans="3:3" x14ac:dyDescent="0.35">
      <c r="C76309" s="2"/>
    </row>
    <row r="76310" spans="3:3" x14ac:dyDescent="0.35">
      <c r="C76310" s="2"/>
    </row>
    <row r="76311" spans="3:3" x14ac:dyDescent="0.35">
      <c r="C76311" s="2"/>
    </row>
    <row r="76312" spans="3:3" x14ac:dyDescent="0.35">
      <c r="C76312" s="2"/>
    </row>
    <row r="76313" spans="3:3" x14ac:dyDescent="0.35">
      <c r="C76313" s="2"/>
    </row>
    <row r="76314" spans="3:3" x14ac:dyDescent="0.35">
      <c r="C76314" s="2"/>
    </row>
    <row r="76315" spans="3:3" x14ac:dyDescent="0.35">
      <c r="C76315" s="2"/>
    </row>
    <row r="76316" spans="3:3" x14ac:dyDescent="0.35">
      <c r="C76316" s="2"/>
    </row>
    <row r="76317" spans="3:3" x14ac:dyDescent="0.35">
      <c r="C76317" s="2"/>
    </row>
    <row r="76318" spans="3:3" x14ac:dyDescent="0.35">
      <c r="C76318" s="2"/>
    </row>
    <row r="76319" spans="3:3" x14ac:dyDescent="0.35">
      <c r="C76319" s="2"/>
    </row>
    <row r="76320" spans="3:3" x14ac:dyDescent="0.35">
      <c r="C76320" s="2"/>
    </row>
    <row r="76321" spans="3:3" x14ac:dyDescent="0.35">
      <c r="C76321" s="2"/>
    </row>
    <row r="76322" spans="3:3" x14ac:dyDescent="0.35">
      <c r="C76322" s="2"/>
    </row>
    <row r="76323" spans="3:3" x14ac:dyDescent="0.35">
      <c r="C76323" s="2"/>
    </row>
    <row r="76324" spans="3:3" x14ac:dyDescent="0.35">
      <c r="C76324" s="2"/>
    </row>
    <row r="76325" spans="3:3" x14ac:dyDescent="0.35">
      <c r="C76325" s="2"/>
    </row>
    <row r="76326" spans="3:3" x14ac:dyDescent="0.35">
      <c r="C76326" s="2"/>
    </row>
    <row r="76327" spans="3:3" x14ac:dyDescent="0.35">
      <c r="C76327" s="2"/>
    </row>
    <row r="76328" spans="3:3" x14ac:dyDescent="0.35">
      <c r="C76328" s="2"/>
    </row>
    <row r="76329" spans="3:3" x14ac:dyDescent="0.35">
      <c r="C76329" s="2"/>
    </row>
    <row r="76330" spans="3:3" x14ac:dyDescent="0.35">
      <c r="C76330" s="2"/>
    </row>
    <row r="76331" spans="3:3" x14ac:dyDescent="0.35">
      <c r="C76331" s="2"/>
    </row>
    <row r="76332" spans="3:3" x14ac:dyDescent="0.35">
      <c r="C76332" s="2"/>
    </row>
    <row r="76333" spans="3:3" x14ac:dyDescent="0.35">
      <c r="C76333" s="2"/>
    </row>
    <row r="76334" spans="3:3" x14ac:dyDescent="0.35">
      <c r="C76334" s="2"/>
    </row>
    <row r="76335" spans="3:3" x14ac:dyDescent="0.35">
      <c r="C76335" s="2"/>
    </row>
    <row r="76336" spans="3:3" x14ac:dyDescent="0.35">
      <c r="C76336" s="2"/>
    </row>
    <row r="76337" spans="3:3" x14ac:dyDescent="0.35">
      <c r="C76337" s="2"/>
    </row>
    <row r="76338" spans="3:3" x14ac:dyDescent="0.35">
      <c r="C76338" s="2"/>
    </row>
    <row r="76339" spans="3:3" x14ac:dyDescent="0.35">
      <c r="C76339" s="2"/>
    </row>
    <row r="76340" spans="3:3" x14ac:dyDescent="0.35">
      <c r="C76340" s="2"/>
    </row>
    <row r="76341" spans="3:3" x14ac:dyDescent="0.35">
      <c r="C76341" s="2"/>
    </row>
    <row r="76342" spans="3:3" x14ac:dyDescent="0.35">
      <c r="C76342" s="2"/>
    </row>
    <row r="76343" spans="3:3" x14ac:dyDescent="0.35">
      <c r="C76343" s="2"/>
    </row>
    <row r="76344" spans="3:3" x14ac:dyDescent="0.35">
      <c r="C76344" s="2"/>
    </row>
    <row r="76345" spans="3:3" x14ac:dyDescent="0.35">
      <c r="C76345" s="2"/>
    </row>
    <row r="76346" spans="3:3" x14ac:dyDescent="0.35">
      <c r="C76346" s="2"/>
    </row>
    <row r="76347" spans="3:3" x14ac:dyDescent="0.35">
      <c r="C76347" s="2"/>
    </row>
    <row r="76348" spans="3:3" x14ac:dyDescent="0.35">
      <c r="C76348" s="2"/>
    </row>
    <row r="76349" spans="3:3" x14ac:dyDescent="0.35">
      <c r="C76349" s="2"/>
    </row>
    <row r="76350" spans="3:3" x14ac:dyDescent="0.35">
      <c r="C76350" s="2"/>
    </row>
    <row r="76351" spans="3:3" x14ac:dyDescent="0.35">
      <c r="C76351" s="2"/>
    </row>
    <row r="76352" spans="3:3" x14ac:dyDescent="0.35">
      <c r="C76352" s="2"/>
    </row>
    <row r="76353" spans="3:3" x14ac:dyDescent="0.35">
      <c r="C76353" s="2"/>
    </row>
    <row r="76354" spans="3:3" x14ac:dyDescent="0.35">
      <c r="C76354" s="2"/>
    </row>
    <row r="76355" spans="3:3" x14ac:dyDescent="0.35">
      <c r="C76355" s="2"/>
    </row>
    <row r="76356" spans="3:3" x14ac:dyDescent="0.35">
      <c r="C76356" s="2"/>
    </row>
    <row r="76357" spans="3:3" x14ac:dyDescent="0.35">
      <c r="C76357" s="2"/>
    </row>
    <row r="76358" spans="3:3" x14ac:dyDescent="0.35">
      <c r="C76358" s="2"/>
    </row>
    <row r="76359" spans="3:3" x14ac:dyDescent="0.35">
      <c r="C76359" s="2"/>
    </row>
    <row r="76360" spans="3:3" x14ac:dyDescent="0.35">
      <c r="C76360" s="2"/>
    </row>
    <row r="76361" spans="3:3" x14ac:dyDescent="0.35">
      <c r="C76361" s="2"/>
    </row>
    <row r="76362" spans="3:3" x14ac:dyDescent="0.35">
      <c r="C76362" s="2"/>
    </row>
    <row r="76363" spans="3:3" x14ac:dyDescent="0.35">
      <c r="C76363" s="2"/>
    </row>
    <row r="76364" spans="3:3" x14ac:dyDescent="0.35">
      <c r="C76364" s="2"/>
    </row>
    <row r="76365" spans="3:3" x14ac:dyDescent="0.35">
      <c r="C76365" s="2"/>
    </row>
    <row r="76366" spans="3:3" x14ac:dyDescent="0.35">
      <c r="C76366" s="2"/>
    </row>
    <row r="76367" spans="3:3" x14ac:dyDescent="0.35">
      <c r="C76367" s="2"/>
    </row>
    <row r="76368" spans="3:3" x14ac:dyDescent="0.35">
      <c r="C76368" s="2"/>
    </row>
    <row r="76369" spans="3:3" x14ac:dyDescent="0.35">
      <c r="C76369" s="2"/>
    </row>
    <row r="76370" spans="3:3" x14ac:dyDescent="0.35">
      <c r="C76370" s="2"/>
    </row>
    <row r="76371" spans="3:3" x14ac:dyDescent="0.35">
      <c r="C76371" s="2"/>
    </row>
    <row r="76372" spans="3:3" x14ac:dyDescent="0.35">
      <c r="C76372" s="2"/>
    </row>
    <row r="76373" spans="3:3" x14ac:dyDescent="0.35">
      <c r="C76373" s="2"/>
    </row>
    <row r="76374" spans="3:3" x14ac:dyDescent="0.35">
      <c r="C76374" s="2"/>
    </row>
    <row r="76375" spans="3:3" x14ac:dyDescent="0.35">
      <c r="C76375" s="2"/>
    </row>
    <row r="76376" spans="3:3" x14ac:dyDescent="0.35">
      <c r="C76376" s="2"/>
    </row>
    <row r="76377" spans="3:3" x14ac:dyDescent="0.35">
      <c r="C76377" s="2"/>
    </row>
    <row r="76378" spans="3:3" x14ac:dyDescent="0.35">
      <c r="C76378" s="2"/>
    </row>
    <row r="76379" spans="3:3" x14ac:dyDescent="0.35">
      <c r="C76379" s="2"/>
    </row>
    <row r="76380" spans="3:3" x14ac:dyDescent="0.35">
      <c r="C76380" s="2"/>
    </row>
    <row r="76381" spans="3:3" x14ac:dyDescent="0.35">
      <c r="C76381" s="2"/>
    </row>
    <row r="76382" spans="3:3" x14ac:dyDescent="0.35">
      <c r="C76382" s="2"/>
    </row>
    <row r="76383" spans="3:3" x14ac:dyDescent="0.35">
      <c r="C76383" s="2"/>
    </row>
    <row r="76384" spans="3:3" x14ac:dyDescent="0.35">
      <c r="C76384" s="2"/>
    </row>
    <row r="76385" spans="3:3" x14ac:dyDescent="0.35">
      <c r="C76385" s="2"/>
    </row>
    <row r="76386" spans="3:3" x14ac:dyDescent="0.35">
      <c r="C76386" s="2"/>
    </row>
    <row r="76387" spans="3:3" x14ac:dyDescent="0.35">
      <c r="C76387" s="2"/>
    </row>
    <row r="76388" spans="3:3" x14ac:dyDescent="0.35">
      <c r="C76388" s="2"/>
    </row>
    <row r="76389" spans="3:3" x14ac:dyDescent="0.35">
      <c r="C76389" s="2"/>
    </row>
    <row r="76390" spans="3:3" x14ac:dyDescent="0.35">
      <c r="C76390" s="2"/>
    </row>
    <row r="76391" spans="3:3" x14ac:dyDescent="0.35">
      <c r="C76391" s="2"/>
    </row>
    <row r="76392" spans="3:3" x14ac:dyDescent="0.35">
      <c r="C76392" s="2"/>
    </row>
    <row r="76393" spans="3:3" x14ac:dyDescent="0.35">
      <c r="C76393" s="2"/>
    </row>
    <row r="76394" spans="3:3" x14ac:dyDescent="0.35">
      <c r="C76394" s="2"/>
    </row>
    <row r="76395" spans="3:3" x14ac:dyDescent="0.35">
      <c r="C76395" s="2"/>
    </row>
    <row r="76396" spans="3:3" x14ac:dyDescent="0.35">
      <c r="C76396" s="2"/>
    </row>
    <row r="76397" spans="3:3" x14ac:dyDescent="0.35">
      <c r="C76397" s="2"/>
    </row>
    <row r="76398" spans="3:3" x14ac:dyDescent="0.35">
      <c r="C76398" s="2"/>
    </row>
    <row r="76399" spans="3:3" x14ac:dyDescent="0.35">
      <c r="C76399" s="2"/>
    </row>
    <row r="76400" spans="3:3" x14ac:dyDescent="0.35">
      <c r="C76400" s="2"/>
    </row>
    <row r="76401" spans="3:3" x14ac:dyDescent="0.35">
      <c r="C76401" s="2"/>
    </row>
    <row r="76402" spans="3:3" x14ac:dyDescent="0.35">
      <c r="C76402" s="2"/>
    </row>
    <row r="76403" spans="3:3" x14ac:dyDescent="0.35">
      <c r="C76403" s="2"/>
    </row>
    <row r="76404" spans="3:3" x14ac:dyDescent="0.35">
      <c r="C76404" s="2"/>
    </row>
    <row r="76405" spans="3:3" x14ac:dyDescent="0.35">
      <c r="C76405" s="2"/>
    </row>
    <row r="76406" spans="3:3" x14ac:dyDescent="0.35">
      <c r="C76406" s="2"/>
    </row>
    <row r="76407" spans="3:3" x14ac:dyDescent="0.35">
      <c r="C76407" s="2"/>
    </row>
    <row r="76408" spans="3:3" x14ac:dyDescent="0.35">
      <c r="C76408" s="2"/>
    </row>
    <row r="76409" spans="3:3" x14ac:dyDescent="0.35">
      <c r="C76409" s="2"/>
    </row>
    <row r="76410" spans="3:3" x14ac:dyDescent="0.35">
      <c r="C76410" s="2"/>
    </row>
    <row r="76411" spans="3:3" x14ac:dyDescent="0.35">
      <c r="C76411" s="2"/>
    </row>
    <row r="76412" spans="3:3" x14ac:dyDescent="0.35">
      <c r="C76412" s="2"/>
    </row>
    <row r="76413" spans="3:3" x14ac:dyDescent="0.35">
      <c r="C76413" s="2"/>
    </row>
    <row r="76414" spans="3:3" x14ac:dyDescent="0.35">
      <c r="C76414" s="2"/>
    </row>
    <row r="76415" spans="3:3" x14ac:dyDescent="0.35">
      <c r="C76415" s="2"/>
    </row>
    <row r="76416" spans="3:3" x14ac:dyDescent="0.35">
      <c r="C76416" s="2"/>
    </row>
    <row r="76417" spans="3:3" x14ac:dyDescent="0.35">
      <c r="C76417" s="2"/>
    </row>
    <row r="76418" spans="3:3" x14ac:dyDescent="0.35">
      <c r="C76418" s="2"/>
    </row>
    <row r="76419" spans="3:3" x14ac:dyDescent="0.35">
      <c r="C76419" s="2"/>
    </row>
    <row r="76420" spans="3:3" x14ac:dyDescent="0.35">
      <c r="C76420" s="2"/>
    </row>
    <row r="76421" spans="3:3" x14ac:dyDescent="0.35">
      <c r="C76421" s="2"/>
    </row>
    <row r="76422" spans="3:3" x14ac:dyDescent="0.35">
      <c r="C76422" s="2"/>
    </row>
    <row r="76423" spans="3:3" x14ac:dyDescent="0.35">
      <c r="C76423" s="2"/>
    </row>
    <row r="76424" spans="3:3" x14ac:dyDescent="0.35">
      <c r="C76424" s="2"/>
    </row>
    <row r="76425" spans="3:3" x14ac:dyDescent="0.35">
      <c r="C76425" s="2"/>
    </row>
    <row r="76426" spans="3:3" x14ac:dyDescent="0.35">
      <c r="C76426" s="2"/>
    </row>
    <row r="76427" spans="3:3" x14ac:dyDescent="0.35">
      <c r="C76427" s="2"/>
    </row>
    <row r="76428" spans="3:3" x14ac:dyDescent="0.35">
      <c r="C76428" s="2"/>
    </row>
    <row r="76429" spans="3:3" x14ac:dyDescent="0.35">
      <c r="C76429" s="2"/>
    </row>
    <row r="76430" spans="3:3" x14ac:dyDescent="0.35">
      <c r="C76430" s="2"/>
    </row>
    <row r="76431" spans="3:3" x14ac:dyDescent="0.35">
      <c r="C76431" s="2"/>
    </row>
    <row r="76432" spans="3:3" x14ac:dyDescent="0.35">
      <c r="C76432" s="2"/>
    </row>
    <row r="76433" spans="3:3" x14ac:dyDescent="0.35">
      <c r="C76433" s="2"/>
    </row>
    <row r="76434" spans="3:3" x14ac:dyDescent="0.35">
      <c r="C76434" s="2"/>
    </row>
    <row r="76435" spans="3:3" x14ac:dyDescent="0.35">
      <c r="C76435" s="2"/>
    </row>
    <row r="76436" spans="3:3" x14ac:dyDescent="0.35">
      <c r="C76436" s="2"/>
    </row>
    <row r="76437" spans="3:3" x14ac:dyDescent="0.35">
      <c r="C76437" s="2"/>
    </row>
    <row r="76438" spans="3:3" x14ac:dyDescent="0.35">
      <c r="C76438" s="2"/>
    </row>
    <row r="76439" spans="3:3" x14ac:dyDescent="0.35">
      <c r="C76439" s="2"/>
    </row>
    <row r="76440" spans="3:3" x14ac:dyDescent="0.35">
      <c r="C76440" s="2"/>
    </row>
    <row r="76441" spans="3:3" x14ac:dyDescent="0.35">
      <c r="C76441" s="2"/>
    </row>
    <row r="76442" spans="3:3" x14ac:dyDescent="0.35">
      <c r="C76442" s="2"/>
    </row>
    <row r="76443" spans="3:3" x14ac:dyDescent="0.35">
      <c r="C76443" s="2"/>
    </row>
    <row r="76444" spans="3:3" x14ac:dyDescent="0.35">
      <c r="C76444" s="2"/>
    </row>
    <row r="76445" spans="3:3" x14ac:dyDescent="0.35">
      <c r="C76445" s="2"/>
    </row>
    <row r="76446" spans="3:3" x14ac:dyDescent="0.35">
      <c r="C76446" s="2"/>
    </row>
    <row r="76447" spans="3:3" x14ac:dyDescent="0.35">
      <c r="C76447" s="2"/>
    </row>
    <row r="76448" spans="3:3" x14ac:dyDescent="0.35">
      <c r="C76448" s="2"/>
    </row>
    <row r="76449" spans="3:3" x14ac:dyDescent="0.35">
      <c r="C76449" s="2"/>
    </row>
    <row r="76450" spans="3:3" x14ac:dyDescent="0.35">
      <c r="C76450" s="2"/>
    </row>
    <row r="76451" spans="3:3" x14ac:dyDescent="0.35">
      <c r="C76451" s="2"/>
    </row>
    <row r="76452" spans="3:3" x14ac:dyDescent="0.35">
      <c r="C76452" s="2"/>
    </row>
    <row r="76453" spans="3:3" x14ac:dyDescent="0.35">
      <c r="C76453" s="2"/>
    </row>
    <row r="76454" spans="3:3" x14ac:dyDescent="0.35">
      <c r="C76454" s="2"/>
    </row>
    <row r="76455" spans="3:3" x14ac:dyDescent="0.35">
      <c r="C76455" s="2"/>
    </row>
    <row r="76456" spans="3:3" x14ac:dyDescent="0.35">
      <c r="C76456" s="2"/>
    </row>
    <row r="76457" spans="3:3" x14ac:dyDescent="0.35">
      <c r="C76457" s="2"/>
    </row>
    <row r="76458" spans="3:3" x14ac:dyDescent="0.35">
      <c r="C76458" s="2"/>
    </row>
    <row r="76459" spans="3:3" x14ac:dyDescent="0.35">
      <c r="C76459" s="2"/>
    </row>
    <row r="76460" spans="3:3" x14ac:dyDescent="0.35">
      <c r="C76460" s="2"/>
    </row>
    <row r="76461" spans="3:3" x14ac:dyDescent="0.35">
      <c r="C76461" s="2"/>
    </row>
    <row r="76462" spans="3:3" x14ac:dyDescent="0.35">
      <c r="C76462" s="2"/>
    </row>
    <row r="76463" spans="3:3" x14ac:dyDescent="0.35">
      <c r="C76463" s="2"/>
    </row>
    <row r="76464" spans="3:3" x14ac:dyDescent="0.35">
      <c r="C76464" s="2"/>
    </row>
    <row r="76465" spans="3:3" x14ac:dyDescent="0.35">
      <c r="C76465" s="2"/>
    </row>
    <row r="76466" spans="3:3" x14ac:dyDescent="0.35">
      <c r="C76466" s="2"/>
    </row>
    <row r="76467" spans="3:3" x14ac:dyDescent="0.35">
      <c r="C76467" s="2"/>
    </row>
    <row r="76468" spans="3:3" x14ac:dyDescent="0.35">
      <c r="C76468" s="2"/>
    </row>
    <row r="76469" spans="3:3" x14ac:dyDescent="0.35">
      <c r="C76469" s="2"/>
    </row>
    <row r="76470" spans="3:3" x14ac:dyDescent="0.35">
      <c r="C76470" s="2"/>
    </row>
    <row r="76471" spans="3:3" x14ac:dyDescent="0.35">
      <c r="C76471" s="2"/>
    </row>
    <row r="76472" spans="3:3" x14ac:dyDescent="0.35">
      <c r="C76472" s="2"/>
    </row>
    <row r="76473" spans="3:3" x14ac:dyDescent="0.35">
      <c r="C76473" s="2"/>
    </row>
    <row r="76474" spans="3:3" x14ac:dyDescent="0.35">
      <c r="C76474" s="2"/>
    </row>
    <row r="76475" spans="3:3" x14ac:dyDescent="0.35">
      <c r="C76475" s="2"/>
    </row>
    <row r="76476" spans="3:3" x14ac:dyDescent="0.35">
      <c r="C76476" s="2"/>
    </row>
    <row r="76477" spans="3:3" x14ac:dyDescent="0.35">
      <c r="C76477" s="2"/>
    </row>
    <row r="76478" spans="3:3" x14ac:dyDescent="0.35">
      <c r="C76478" s="2"/>
    </row>
    <row r="76479" spans="3:3" x14ac:dyDescent="0.35">
      <c r="C76479" s="2"/>
    </row>
    <row r="76480" spans="3:3" x14ac:dyDescent="0.35">
      <c r="C76480" s="2"/>
    </row>
    <row r="76481" spans="3:3" x14ac:dyDescent="0.35">
      <c r="C76481" s="2"/>
    </row>
    <row r="76482" spans="3:3" x14ac:dyDescent="0.35">
      <c r="C76482" s="2"/>
    </row>
    <row r="76483" spans="3:3" x14ac:dyDescent="0.35">
      <c r="C76483" s="2"/>
    </row>
    <row r="76484" spans="3:3" x14ac:dyDescent="0.35">
      <c r="C76484" s="2"/>
    </row>
    <row r="76485" spans="3:3" x14ac:dyDescent="0.35">
      <c r="C76485" s="2"/>
    </row>
    <row r="76486" spans="3:3" x14ac:dyDescent="0.35">
      <c r="C76486" s="2"/>
    </row>
    <row r="76487" spans="3:3" x14ac:dyDescent="0.35">
      <c r="C76487" s="2"/>
    </row>
    <row r="76488" spans="3:3" x14ac:dyDescent="0.35">
      <c r="C76488" s="2"/>
    </row>
    <row r="76489" spans="3:3" x14ac:dyDescent="0.35">
      <c r="C76489" s="2"/>
    </row>
    <row r="76490" spans="3:3" x14ac:dyDescent="0.35">
      <c r="C76490" s="2"/>
    </row>
    <row r="76491" spans="3:3" x14ac:dyDescent="0.35">
      <c r="C76491" s="2"/>
    </row>
    <row r="76492" spans="3:3" x14ac:dyDescent="0.35">
      <c r="C76492" s="2"/>
    </row>
    <row r="76493" spans="3:3" x14ac:dyDescent="0.35">
      <c r="C76493" s="2"/>
    </row>
    <row r="76494" spans="3:3" x14ac:dyDescent="0.35">
      <c r="C76494" s="2"/>
    </row>
    <row r="76495" spans="3:3" x14ac:dyDescent="0.35">
      <c r="C76495" s="2"/>
    </row>
    <row r="76496" spans="3:3" x14ac:dyDescent="0.35">
      <c r="C76496" s="2"/>
    </row>
    <row r="76497" spans="3:3" x14ac:dyDescent="0.35">
      <c r="C76497" s="2"/>
    </row>
    <row r="76498" spans="3:3" x14ac:dyDescent="0.35">
      <c r="C76498" s="2"/>
    </row>
    <row r="76499" spans="3:3" x14ac:dyDescent="0.35">
      <c r="C76499" s="2"/>
    </row>
    <row r="76500" spans="3:3" x14ac:dyDescent="0.35">
      <c r="C76500" s="2"/>
    </row>
    <row r="76501" spans="3:3" x14ac:dyDescent="0.35">
      <c r="C76501" s="2"/>
    </row>
    <row r="76502" spans="3:3" x14ac:dyDescent="0.35">
      <c r="C76502" s="2"/>
    </row>
    <row r="76503" spans="3:3" x14ac:dyDescent="0.35">
      <c r="C76503" s="2"/>
    </row>
    <row r="76504" spans="3:3" x14ac:dyDescent="0.35">
      <c r="C76504" s="2"/>
    </row>
    <row r="76505" spans="3:3" x14ac:dyDescent="0.35">
      <c r="C76505" s="2"/>
    </row>
    <row r="76506" spans="3:3" x14ac:dyDescent="0.35">
      <c r="C76506" s="2"/>
    </row>
    <row r="76507" spans="3:3" x14ac:dyDescent="0.35">
      <c r="C76507" s="2"/>
    </row>
    <row r="76508" spans="3:3" x14ac:dyDescent="0.35">
      <c r="C76508" s="2"/>
    </row>
    <row r="76509" spans="3:3" x14ac:dyDescent="0.35">
      <c r="C76509" s="2"/>
    </row>
    <row r="76510" spans="3:3" x14ac:dyDescent="0.35">
      <c r="C76510" s="2"/>
    </row>
    <row r="76511" spans="3:3" x14ac:dyDescent="0.35">
      <c r="C76511" s="2"/>
    </row>
    <row r="76512" spans="3:3" x14ac:dyDescent="0.35">
      <c r="C76512" s="2"/>
    </row>
    <row r="76513" spans="3:3" x14ac:dyDescent="0.35">
      <c r="C76513" s="2"/>
    </row>
    <row r="76514" spans="3:3" x14ac:dyDescent="0.35">
      <c r="C76514" s="2"/>
    </row>
    <row r="76515" spans="3:3" x14ac:dyDescent="0.35">
      <c r="C76515" s="2"/>
    </row>
    <row r="76516" spans="3:3" x14ac:dyDescent="0.35">
      <c r="C76516" s="2"/>
    </row>
    <row r="76517" spans="3:3" x14ac:dyDescent="0.35">
      <c r="C76517" s="2"/>
    </row>
    <row r="76518" spans="3:3" x14ac:dyDescent="0.35">
      <c r="C76518" s="2"/>
    </row>
    <row r="76519" spans="3:3" x14ac:dyDescent="0.35">
      <c r="C76519" s="2"/>
    </row>
    <row r="76520" spans="3:3" x14ac:dyDescent="0.35">
      <c r="C76520" s="2"/>
    </row>
    <row r="76521" spans="3:3" x14ac:dyDescent="0.35">
      <c r="C76521" s="2"/>
    </row>
    <row r="76522" spans="3:3" x14ac:dyDescent="0.35">
      <c r="C76522" s="2"/>
    </row>
    <row r="76523" spans="3:3" x14ac:dyDescent="0.35">
      <c r="C76523" s="2"/>
    </row>
    <row r="76524" spans="3:3" x14ac:dyDescent="0.35">
      <c r="C76524" s="2"/>
    </row>
    <row r="76525" spans="3:3" x14ac:dyDescent="0.35">
      <c r="C76525" s="2"/>
    </row>
    <row r="76526" spans="3:3" x14ac:dyDescent="0.35">
      <c r="C76526" s="2"/>
    </row>
    <row r="76527" spans="3:3" x14ac:dyDescent="0.35">
      <c r="C76527" s="2"/>
    </row>
    <row r="76528" spans="3:3" x14ac:dyDescent="0.35">
      <c r="C76528" s="2"/>
    </row>
    <row r="76529" spans="3:3" x14ac:dyDescent="0.35">
      <c r="C76529" s="2"/>
    </row>
    <row r="76530" spans="3:3" x14ac:dyDescent="0.35">
      <c r="C76530" s="2"/>
    </row>
    <row r="76531" spans="3:3" x14ac:dyDescent="0.35">
      <c r="C76531" s="2"/>
    </row>
    <row r="76532" spans="3:3" x14ac:dyDescent="0.35">
      <c r="C76532" s="2"/>
    </row>
    <row r="76533" spans="3:3" x14ac:dyDescent="0.35">
      <c r="C76533" s="2"/>
    </row>
    <row r="76534" spans="3:3" x14ac:dyDescent="0.35">
      <c r="C76534" s="2"/>
    </row>
    <row r="76535" spans="3:3" x14ac:dyDescent="0.35">
      <c r="C76535" s="2"/>
    </row>
    <row r="76536" spans="3:3" x14ac:dyDescent="0.35">
      <c r="C76536" s="2"/>
    </row>
    <row r="76537" spans="3:3" x14ac:dyDescent="0.35">
      <c r="C76537" s="2"/>
    </row>
    <row r="76538" spans="3:3" x14ac:dyDescent="0.35">
      <c r="C76538" s="2"/>
    </row>
    <row r="76539" spans="3:3" x14ac:dyDescent="0.35">
      <c r="C76539" s="2"/>
    </row>
    <row r="76540" spans="3:3" x14ac:dyDescent="0.35">
      <c r="C76540" s="2"/>
    </row>
    <row r="76541" spans="3:3" x14ac:dyDescent="0.35">
      <c r="C76541" s="2"/>
    </row>
    <row r="76542" spans="3:3" x14ac:dyDescent="0.35">
      <c r="C76542" s="2"/>
    </row>
    <row r="76543" spans="3:3" x14ac:dyDescent="0.35">
      <c r="C76543" s="2"/>
    </row>
    <row r="76544" spans="3:3" x14ac:dyDescent="0.35">
      <c r="C76544" s="2"/>
    </row>
    <row r="76545" spans="3:3" x14ac:dyDescent="0.35">
      <c r="C76545" s="2"/>
    </row>
    <row r="76546" spans="3:3" x14ac:dyDescent="0.35">
      <c r="C76546" s="2"/>
    </row>
    <row r="76547" spans="3:3" x14ac:dyDescent="0.35">
      <c r="C76547" s="2"/>
    </row>
    <row r="76548" spans="3:3" x14ac:dyDescent="0.35">
      <c r="C76548" s="2"/>
    </row>
    <row r="76549" spans="3:3" x14ac:dyDescent="0.35">
      <c r="C76549" s="2"/>
    </row>
    <row r="76550" spans="3:3" x14ac:dyDescent="0.35">
      <c r="C76550" s="2"/>
    </row>
    <row r="76551" spans="3:3" x14ac:dyDescent="0.35">
      <c r="C76551" s="2"/>
    </row>
    <row r="76552" spans="3:3" x14ac:dyDescent="0.35">
      <c r="C76552" s="2"/>
    </row>
    <row r="76553" spans="3:3" x14ac:dyDescent="0.35">
      <c r="C76553" s="2"/>
    </row>
    <row r="76554" spans="3:3" x14ac:dyDescent="0.35">
      <c r="C76554" s="2"/>
    </row>
    <row r="76555" spans="3:3" x14ac:dyDescent="0.35">
      <c r="C76555" s="2"/>
    </row>
    <row r="76556" spans="3:3" x14ac:dyDescent="0.35">
      <c r="C76556" s="2"/>
    </row>
    <row r="76557" spans="3:3" x14ac:dyDescent="0.35">
      <c r="C76557" s="2"/>
    </row>
    <row r="76558" spans="3:3" x14ac:dyDescent="0.35">
      <c r="C76558" s="2"/>
    </row>
    <row r="76559" spans="3:3" x14ac:dyDescent="0.35">
      <c r="C76559" s="2"/>
    </row>
    <row r="76560" spans="3:3" x14ac:dyDescent="0.35">
      <c r="C76560" s="2"/>
    </row>
    <row r="76561" spans="3:3" x14ac:dyDescent="0.35">
      <c r="C76561" s="2"/>
    </row>
    <row r="76562" spans="3:3" x14ac:dyDescent="0.35">
      <c r="C76562" s="2"/>
    </row>
    <row r="76563" spans="3:3" x14ac:dyDescent="0.35">
      <c r="C76563" s="2"/>
    </row>
    <row r="76564" spans="3:3" x14ac:dyDescent="0.35">
      <c r="C76564" s="2"/>
    </row>
    <row r="76565" spans="3:3" x14ac:dyDescent="0.35">
      <c r="C76565" s="2"/>
    </row>
    <row r="76566" spans="3:3" x14ac:dyDescent="0.35">
      <c r="C76566" s="2"/>
    </row>
    <row r="76567" spans="3:3" x14ac:dyDescent="0.35">
      <c r="C76567" s="2"/>
    </row>
    <row r="76568" spans="3:3" x14ac:dyDescent="0.35">
      <c r="C76568" s="2"/>
    </row>
    <row r="76569" spans="3:3" x14ac:dyDescent="0.35">
      <c r="C76569" s="2"/>
    </row>
    <row r="76570" spans="3:3" x14ac:dyDescent="0.35">
      <c r="C76570" s="2"/>
    </row>
    <row r="76571" spans="3:3" x14ac:dyDescent="0.35">
      <c r="C76571" s="2"/>
    </row>
    <row r="76572" spans="3:3" x14ac:dyDescent="0.35">
      <c r="C76572" s="2"/>
    </row>
    <row r="76573" spans="3:3" x14ac:dyDescent="0.35">
      <c r="C76573" s="2"/>
    </row>
    <row r="76574" spans="3:3" x14ac:dyDescent="0.35">
      <c r="C76574" s="2"/>
    </row>
    <row r="76575" spans="3:3" x14ac:dyDescent="0.35">
      <c r="C76575" s="2"/>
    </row>
    <row r="76576" spans="3:3" x14ac:dyDescent="0.35">
      <c r="C76576" s="2"/>
    </row>
    <row r="76577" spans="3:3" x14ac:dyDescent="0.35">
      <c r="C76577" s="2"/>
    </row>
    <row r="76578" spans="3:3" x14ac:dyDescent="0.35">
      <c r="C76578" s="2"/>
    </row>
    <row r="76579" spans="3:3" x14ac:dyDescent="0.35">
      <c r="C76579" s="2"/>
    </row>
    <row r="76580" spans="3:3" x14ac:dyDescent="0.35">
      <c r="C76580" s="2"/>
    </row>
    <row r="76581" spans="3:3" x14ac:dyDescent="0.35">
      <c r="C76581" s="2"/>
    </row>
    <row r="76582" spans="3:3" x14ac:dyDescent="0.35">
      <c r="C76582" s="2"/>
    </row>
    <row r="76583" spans="3:3" x14ac:dyDescent="0.35">
      <c r="C76583" s="2"/>
    </row>
    <row r="76584" spans="3:3" x14ac:dyDescent="0.35">
      <c r="C76584" s="2"/>
    </row>
    <row r="76585" spans="3:3" x14ac:dyDescent="0.35">
      <c r="C76585" s="2"/>
    </row>
    <row r="76586" spans="3:3" x14ac:dyDescent="0.35">
      <c r="C76586" s="2"/>
    </row>
    <row r="76587" spans="3:3" x14ac:dyDescent="0.35">
      <c r="C76587" s="2"/>
    </row>
    <row r="76588" spans="3:3" x14ac:dyDescent="0.35">
      <c r="C76588" s="2"/>
    </row>
    <row r="76589" spans="3:3" x14ac:dyDescent="0.35">
      <c r="C76589" s="2"/>
    </row>
    <row r="76590" spans="3:3" x14ac:dyDescent="0.35">
      <c r="C76590" s="2"/>
    </row>
    <row r="76591" spans="3:3" x14ac:dyDescent="0.35">
      <c r="C76591" s="2"/>
    </row>
    <row r="76592" spans="3:3" x14ac:dyDescent="0.35">
      <c r="C76592" s="2"/>
    </row>
    <row r="76593" spans="3:3" x14ac:dyDescent="0.35">
      <c r="C76593" s="2"/>
    </row>
    <row r="76594" spans="3:3" x14ac:dyDescent="0.35">
      <c r="C76594" s="2"/>
    </row>
    <row r="76595" spans="3:3" x14ac:dyDescent="0.35">
      <c r="C76595" s="2"/>
    </row>
    <row r="76596" spans="3:3" x14ac:dyDescent="0.35">
      <c r="C76596" s="2"/>
    </row>
    <row r="76597" spans="3:3" x14ac:dyDescent="0.35">
      <c r="C76597" s="2"/>
    </row>
    <row r="76598" spans="3:3" x14ac:dyDescent="0.35">
      <c r="C76598" s="2"/>
    </row>
    <row r="76599" spans="3:3" x14ac:dyDescent="0.35">
      <c r="C76599" s="2"/>
    </row>
    <row r="76600" spans="3:3" x14ac:dyDescent="0.35">
      <c r="C76600" s="2"/>
    </row>
    <row r="76601" spans="3:3" x14ac:dyDescent="0.35">
      <c r="C76601" s="2"/>
    </row>
    <row r="76602" spans="3:3" x14ac:dyDescent="0.35">
      <c r="C76602" s="2"/>
    </row>
    <row r="76603" spans="3:3" x14ac:dyDescent="0.35">
      <c r="C76603" s="2"/>
    </row>
    <row r="76604" spans="3:3" x14ac:dyDescent="0.35">
      <c r="C76604" s="2"/>
    </row>
    <row r="76605" spans="3:3" x14ac:dyDescent="0.35">
      <c r="C76605" s="2"/>
    </row>
    <row r="76606" spans="3:3" x14ac:dyDescent="0.35">
      <c r="C76606" s="2"/>
    </row>
    <row r="76607" spans="3:3" x14ac:dyDescent="0.35">
      <c r="C76607" s="2"/>
    </row>
    <row r="76608" spans="3:3" x14ac:dyDescent="0.35">
      <c r="C76608" s="2"/>
    </row>
    <row r="76609" spans="3:3" x14ac:dyDescent="0.35">
      <c r="C76609" s="2"/>
    </row>
    <row r="76610" spans="3:3" x14ac:dyDescent="0.35">
      <c r="C76610" s="2"/>
    </row>
    <row r="76611" spans="3:3" x14ac:dyDescent="0.35">
      <c r="C76611" s="2"/>
    </row>
    <row r="76612" spans="3:3" x14ac:dyDescent="0.35">
      <c r="C76612" s="2"/>
    </row>
    <row r="76613" spans="3:3" x14ac:dyDescent="0.35">
      <c r="C76613" s="2"/>
    </row>
    <row r="76614" spans="3:3" x14ac:dyDescent="0.35">
      <c r="C76614" s="2"/>
    </row>
    <row r="76615" spans="3:3" x14ac:dyDescent="0.35">
      <c r="C76615" s="2"/>
    </row>
    <row r="76616" spans="3:3" x14ac:dyDescent="0.35">
      <c r="C76616" s="2"/>
    </row>
    <row r="76617" spans="3:3" x14ac:dyDescent="0.35">
      <c r="C76617" s="2"/>
    </row>
    <row r="76618" spans="3:3" x14ac:dyDescent="0.35">
      <c r="C76618" s="2"/>
    </row>
    <row r="76619" spans="3:3" x14ac:dyDescent="0.35">
      <c r="C76619" s="2"/>
    </row>
    <row r="76620" spans="3:3" x14ac:dyDescent="0.35">
      <c r="C76620" s="2"/>
    </row>
    <row r="76621" spans="3:3" x14ac:dyDescent="0.35">
      <c r="C76621" s="2"/>
    </row>
    <row r="76622" spans="3:3" x14ac:dyDescent="0.35">
      <c r="C76622" s="2"/>
    </row>
    <row r="76623" spans="3:3" x14ac:dyDescent="0.35">
      <c r="C76623" s="2"/>
    </row>
    <row r="76624" spans="3:3" x14ac:dyDescent="0.35">
      <c r="C76624" s="2"/>
    </row>
    <row r="76625" spans="3:3" x14ac:dyDescent="0.35">
      <c r="C76625" s="2"/>
    </row>
    <row r="76626" spans="3:3" x14ac:dyDescent="0.35">
      <c r="C76626" s="2"/>
    </row>
    <row r="76627" spans="3:3" x14ac:dyDescent="0.35">
      <c r="C76627" s="2"/>
    </row>
    <row r="76628" spans="3:3" x14ac:dyDescent="0.35">
      <c r="C76628" s="2"/>
    </row>
    <row r="76629" spans="3:3" x14ac:dyDescent="0.35">
      <c r="C76629" s="2"/>
    </row>
    <row r="76630" spans="3:3" x14ac:dyDescent="0.35">
      <c r="C76630" s="2"/>
    </row>
    <row r="76631" spans="3:3" x14ac:dyDescent="0.35">
      <c r="C76631" s="2"/>
    </row>
    <row r="76632" spans="3:3" x14ac:dyDescent="0.35">
      <c r="C76632" s="2"/>
    </row>
    <row r="76633" spans="3:3" x14ac:dyDescent="0.35">
      <c r="C76633" s="2"/>
    </row>
    <row r="76634" spans="3:3" x14ac:dyDescent="0.35">
      <c r="C76634" s="2"/>
    </row>
    <row r="76635" spans="3:3" x14ac:dyDescent="0.35">
      <c r="C76635" s="2"/>
    </row>
    <row r="76636" spans="3:3" x14ac:dyDescent="0.35">
      <c r="C76636" s="2"/>
    </row>
    <row r="76637" spans="3:3" x14ac:dyDescent="0.35">
      <c r="C76637" s="2"/>
    </row>
    <row r="76638" spans="3:3" x14ac:dyDescent="0.35">
      <c r="C76638" s="2"/>
    </row>
    <row r="76639" spans="3:3" x14ac:dyDescent="0.35">
      <c r="C76639" s="2"/>
    </row>
    <row r="76640" spans="3:3" x14ac:dyDescent="0.35">
      <c r="C76640" s="2"/>
    </row>
    <row r="76641" spans="3:3" x14ac:dyDescent="0.35">
      <c r="C76641" s="2"/>
    </row>
    <row r="76642" spans="3:3" x14ac:dyDescent="0.35">
      <c r="C76642" s="2"/>
    </row>
    <row r="76643" spans="3:3" x14ac:dyDescent="0.35">
      <c r="C76643" s="2"/>
    </row>
    <row r="76644" spans="3:3" x14ac:dyDescent="0.35">
      <c r="C76644" s="2"/>
    </row>
    <row r="76645" spans="3:3" x14ac:dyDescent="0.35">
      <c r="C76645" s="2"/>
    </row>
    <row r="76646" spans="3:3" x14ac:dyDescent="0.35">
      <c r="C76646" s="2"/>
    </row>
    <row r="76647" spans="3:3" x14ac:dyDescent="0.35">
      <c r="C76647" s="2"/>
    </row>
    <row r="76648" spans="3:3" x14ac:dyDescent="0.35">
      <c r="C76648" s="2"/>
    </row>
    <row r="76649" spans="3:3" x14ac:dyDescent="0.35">
      <c r="C76649" s="2"/>
    </row>
    <row r="76650" spans="3:3" x14ac:dyDescent="0.35">
      <c r="C76650" s="2"/>
    </row>
    <row r="76651" spans="3:3" x14ac:dyDescent="0.35">
      <c r="C76651" s="2"/>
    </row>
    <row r="76652" spans="3:3" x14ac:dyDescent="0.35">
      <c r="C76652" s="2"/>
    </row>
    <row r="76653" spans="3:3" x14ac:dyDescent="0.35">
      <c r="C76653" s="2"/>
    </row>
    <row r="76654" spans="3:3" x14ac:dyDescent="0.35">
      <c r="C76654" s="2"/>
    </row>
    <row r="76655" spans="3:3" x14ac:dyDescent="0.35">
      <c r="C76655" s="2"/>
    </row>
    <row r="76656" spans="3:3" x14ac:dyDescent="0.35">
      <c r="C76656" s="2"/>
    </row>
    <row r="76657" spans="3:3" x14ac:dyDescent="0.35">
      <c r="C76657" s="2"/>
    </row>
    <row r="76658" spans="3:3" x14ac:dyDescent="0.35">
      <c r="C76658" s="2"/>
    </row>
    <row r="76659" spans="3:3" x14ac:dyDescent="0.35">
      <c r="C76659" s="2"/>
    </row>
    <row r="76660" spans="3:3" x14ac:dyDescent="0.35">
      <c r="C76660" s="2"/>
    </row>
    <row r="76661" spans="3:3" x14ac:dyDescent="0.35">
      <c r="C76661" s="2"/>
    </row>
    <row r="76662" spans="3:3" x14ac:dyDescent="0.35">
      <c r="C76662" s="2"/>
    </row>
    <row r="76663" spans="3:3" x14ac:dyDescent="0.35">
      <c r="C76663" s="2"/>
    </row>
    <row r="76664" spans="3:3" x14ac:dyDescent="0.35">
      <c r="C76664" s="2"/>
    </row>
    <row r="76665" spans="3:3" x14ac:dyDescent="0.35">
      <c r="C76665" s="2"/>
    </row>
    <row r="76666" spans="3:3" x14ac:dyDescent="0.35">
      <c r="C76666" s="2"/>
    </row>
    <row r="76667" spans="3:3" x14ac:dyDescent="0.35">
      <c r="C76667" s="2"/>
    </row>
    <row r="76668" spans="3:3" x14ac:dyDescent="0.35">
      <c r="C76668" s="2"/>
    </row>
    <row r="76669" spans="3:3" x14ac:dyDescent="0.35">
      <c r="C76669" s="2"/>
    </row>
    <row r="76670" spans="3:3" x14ac:dyDescent="0.35">
      <c r="C76670" s="2"/>
    </row>
    <row r="76671" spans="3:3" x14ac:dyDescent="0.35">
      <c r="C76671" s="2"/>
    </row>
    <row r="76672" spans="3:3" x14ac:dyDescent="0.35">
      <c r="C76672" s="2"/>
    </row>
    <row r="76673" spans="3:3" x14ac:dyDescent="0.35">
      <c r="C76673" s="2"/>
    </row>
    <row r="76674" spans="3:3" x14ac:dyDescent="0.35">
      <c r="C76674" s="2"/>
    </row>
    <row r="76675" spans="3:3" x14ac:dyDescent="0.35">
      <c r="C76675" s="2"/>
    </row>
    <row r="76676" spans="3:3" x14ac:dyDescent="0.35">
      <c r="C76676" s="2"/>
    </row>
    <row r="76677" spans="3:3" x14ac:dyDescent="0.35">
      <c r="C76677" s="2"/>
    </row>
    <row r="76678" spans="3:3" x14ac:dyDescent="0.35">
      <c r="C76678" s="2"/>
    </row>
    <row r="76679" spans="3:3" x14ac:dyDescent="0.35">
      <c r="C76679" s="2"/>
    </row>
    <row r="76680" spans="3:3" x14ac:dyDescent="0.35">
      <c r="C76680" s="2"/>
    </row>
    <row r="76681" spans="3:3" x14ac:dyDescent="0.35">
      <c r="C76681" s="2"/>
    </row>
    <row r="76682" spans="3:3" x14ac:dyDescent="0.35">
      <c r="C76682" s="2"/>
    </row>
    <row r="76683" spans="3:3" x14ac:dyDescent="0.35">
      <c r="C76683" s="2"/>
    </row>
    <row r="76684" spans="3:3" x14ac:dyDescent="0.35">
      <c r="C76684" s="2"/>
    </row>
    <row r="76685" spans="3:3" x14ac:dyDescent="0.35">
      <c r="C76685" s="2"/>
    </row>
    <row r="76686" spans="3:3" x14ac:dyDescent="0.35">
      <c r="C76686" s="2"/>
    </row>
    <row r="76687" spans="3:3" x14ac:dyDescent="0.35">
      <c r="C76687" s="2"/>
    </row>
    <row r="76688" spans="3:3" x14ac:dyDescent="0.35">
      <c r="C76688" s="2"/>
    </row>
    <row r="76689" spans="3:3" x14ac:dyDescent="0.35">
      <c r="C76689" s="2"/>
    </row>
    <row r="76690" spans="3:3" x14ac:dyDescent="0.35">
      <c r="C76690" s="2"/>
    </row>
    <row r="76691" spans="3:3" x14ac:dyDescent="0.35">
      <c r="C76691" s="2"/>
    </row>
    <row r="76692" spans="3:3" x14ac:dyDescent="0.35">
      <c r="C76692" s="2"/>
    </row>
    <row r="76693" spans="3:3" x14ac:dyDescent="0.35">
      <c r="C76693" s="2"/>
    </row>
    <row r="76694" spans="3:3" x14ac:dyDescent="0.35">
      <c r="C76694" s="2"/>
    </row>
    <row r="76695" spans="3:3" x14ac:dyDescent="0.35">
      <c r="C76695" s="2"/>
    </row>
    <row r="76696" spans="3:3" x14ac:dyDescent="0.35">
      <c r="C76696" s="2"/>
    </row>
    <row r="76697" spans="3:3" x14ac:dyDescent="0.35">
      <c r="C76697" s="2"/>
    </row>
    <row r="76698" spans="3:3" x14ac:dyDescent="0.35">
      <c r="C76698" s="2"/>
    </row>
    <row r="76699" spans="3:3" x14ac:dyDescent="0.35">
      <c r="C76699" s="2"/>
    </row>
    <row r="76700" spans="3:3" x14ac:dyDescent="0.35">
      <c r="C76700" s="2"/>
    </row>
    <row r="76701" spans="3:3" x14ac:dyDescent="0.35">
      <c r="C76701" s="2"/>
    </row>
    <row r="76702" spans="3:3" x14ac:dyDescent="0.35">
      <c r="C76702" s="2"/>
    </row>
    <row r="76703" spans="3:3" x14ac:dyDescent="0.35">
      <c r="C76703" s="2"/>
    </row>
    <row r="76704" spans="3:3" x14ac:dyDescent="0.35">
      <c r="C76704" s="2"/>
    </row>
    <row r="76705" spans="3:3" x14ac:dyDescent="0.35">
      <c r="C76705" s="2"/>
    </row>
    <row r="76706" spans="3:3" x14ac:dyDescent="0.35">
      <c r="C76706" s="2"/>
    </row>
    <row r="76707" spans="3:3" x14ac:dyDescent="0.35">
      <c r="C76707" s="2"/>
    </row>
    <row r="76708" spans="3:3" x14ac:dyDescent="0.35">
      <c r="C76708" s="2"/>
    </row>
    <row r="76709" spans="3:3" x14ac:dyDescent="0.35">
      <c r="C76709" s="2"/>
    </row>
    <row r="76710" spans="3:3" x14ac:dyDescent="0.35">
      <c r="C76710" s="2"/>
    </row>
    <row r="76711" spans="3:3" x14ac:dyDescent="0.35">
      <c r="C76711" s="2"/>
    </row>
    <row r="76712" spans="3:3" x14ac:dyDescent="0.35">
      <c r="C76712" s="2"/>
    </row>
    <row r="76713" spans="3:3" x14ac:dyDescent="0.35">
      <c r="C76713" s="2"/>
    </row>
    <row r="76714" spans="3:3" x14ac:dyDescent="0.35">
      <c r="C76714" s="2"/>
    </row>
    <row r="76715" spans="3:3" x14ac:dyDescent="0.35">
      <c r="C76715" s="2"/>
    </row>
    <row r="76716" spans="3:3" x14ac:dyDescent="0.35">
      <c r="C76716" s="2"/>
    </row>
    <row r="76717" spans="3:3" x14ac:dyDescent="0.35">
      <c r="C76717" s="2"/>
    </row>
    <row r="76718" spans="3:3" x14ac:dyDescent="0.35">
      <c r="C76718" s="2"/>
    </row>
    <row r="76719" spans="3:3" x14ac:dyDescent="0.35">
      <c r="C76719" s="2"/>
    </row>
    <row r="76720" spans="3:3" x14ac:dyDescent="0.35">
      <c r="C76720" s="2"/>
    </row>
    <row r="76721" spans="3:3" x14ac:dyDescent="0.35">
      <c r="C76721" s="2"/>
    </row>
    <row r="76722" spans="3:3" x14ac:dyDescent="0.35">
      <c r="C76722" s="2"/>
    </row>
    <row r="76723" spans="3:3" x14ac:dyDescent="0.35">
      <c r="C76723" s="2"/>
    </row>
    <row r="76724" spans="3:3" x14ac:dyDescent="0.35">
      <c r="C76724" s="2"/>
    </row>
    <row r="76725" spans="3:3" x14ac:dyDescent="0.35">
      <c r="C76725" s="2"/>
    </row>
    <row r="76726" spans="3:3" x14ac:dyDescent="0.35">
      <c r="C76726" s="2"/>
    </row>
    <row r="76727" spans="3:3" x14ac:dyDescent="0.35">
      <c r="C76727" s="2"/>
    </row>
    <row r="76728" spans="3:3" x14ac:dyDescent="0.35">
      <c r="C76728" s="2"/>
    </row>
    <row r="76729" spans="3:3" x14ac:dyDescent="0.35">
      <c r="C76729" s="2"/>
    </row>
    <row r="76730" spans="3:3" x14ac:dyDescent="0.35">
      <c r="C76730" s="2"/>
    </row>
    <row r="76731" spans="3:3" x14ac:dyDescent="0.35">
      <c r="C76731" s="2"/>
    </row>
    <row r="76732" spans="3:3" x14ac:dyDescent="0.35">
      <c r="C76732" s="2"/>
    </row>
    <row r="76733" spans="3:3" x14ac:dyDescent="0.35">
      <c r="C76733" s="2"/>
    </row>
    <row r="76734" spans="3:3" x14ac:dyDescent="0.35">
      <c r="C76734" s="2"/>
    </row>
    <row r="76735" spans="3:3" x14ac:dyDescent="0.35">
      <c r="C76735" s="2"/>
    </row>
    <row r="76736" spans="3:3" x14ac:dyDescent="0.35">
      <c r="C76736" s="2"/>
    </row>
    <row r="76737" spans="3:3" x14ac:dyDescent="0.35">
      <c r="C76737" s="2"/>
    </row>
    <row r="76738" spans="3:3" x14ac:dyDescent="0.35">
      <c r="C76738" s="2"/>
    </row>
    <row r="76739" spans="3:3" x14ac:dyDescent="0.35">
      <c r="C76739" s="2"/>
    </row>
    <row r="76740" spans="3:3" x14ac:dyDescent="0.35">
      <c r="C76740" s="2"/>
    </row>
    <row r="76741" spans="3:3" x14ac:dyDescent="0.35">
      <c r="C76741" s="2"/>
    </row>
    <row r="76742" spans="3:3" x14ac:dyDescent="0.35">
      <c r="C76742" s="2"/>
    </row>
    <row r="76743" spans="3:3" x14ac:dyDescent="0.35">
      <c r="C76743" s="2"/>
    </row>
    <row r="76744" spans="3:3" x14ac:dyDescent="0.35">
      <c r="C76744" s="2"/>
    </row>
    <row r="76745" spans="3:3" x14ac:dyDescent="0.35">
      <c r="C76745" s="2"/>
    </row>
    <row r="76746" spans="3:3" x14ac:dyDescent="0.35">
      <c r="C76746" s="2"/>
    </row>
    <row r="76747" spans="3:3" x14ac:dyDescent="0.35">
      <c r="C76747" s="2"/>
    </row>
    <row r="76748" spans="3:3" x14ac:dyDescent="0.35">
      <c r="C76748" s="2"/>
    </row>
    <row r="76749" spans="3:3" x14ac:dyDescent="0.35">
      <c r="C76749" s="2"/>
    </row>
    <row r="76750" spans="3:3" x14ac:dyDescent="0.35">
      <c r="C76750" s="2"/>
    </row>
    <row r="76751" spans="3:3" x14ac:dyDescent="0.35">
      <c r="C76751" s="2"/>
    </row>
    <row r="76752" spans="3:3" x14ac:dyDescent="0.35">
      <c r="C76752" s="2"/>
    </row>
    <row r="76753" spans="3:3" x14ac:dyDescent="0.35">
      <c r="C76753" s="2"/>
    </row>
    <row r="76754" spans="3:3" x14ac:dyDescent="0.35">
      <c r="C76754" s="2"/>
    </row>
    <row r="76755" spans="3:3" x14ac:dyDescent="0.35">
      <c r="C76755" s="2"/>
    </row>
    <row r="76756" spans="3:3" x14ac:dyDescent="0.35">
      <c r="C76756" s="2"/>
    </row>
    <row r="76757" spans="3:3" x14ac:dyDescent="0.35">
      <c r="C76757" s="2"/>
    </row>
    <row r="76758" spans="3:3" x14ac:dyDescent="0.35">
      <c r="C76758" s="2"/>
    </row>
    <row r="76759" spans="3:3" x14ac:dyDescent="0.35">
      <c r="C76759" s="2"/>
    </row>
    <row r="76760" spans="3:3" x14ac:dyDescent="0.35">
      <c r="C76760" s="2"/>
    </row>
    <row r="76761" spans="3:3" x14ac:dyDescent="0.35">
      <c r="C76761" s="2"/>
    </row>
    <row r="76762" spans="3:3" x14ac:dyDescent="0.35">
      <c r="C76762" s="2"/>
    </row>
    <row r="76763" spans="3:3" x14ac:dyDescent="0.35">
      <c r="C76763" s="2"/>
    </row>
    <row r="76764" spans="3:3" x14ac:dyDescent="0.35">
      <c r="C76764" s="2"/>
    </row>
    <row r="76765" spans="3:3" x14ac:dyDescent="0.35">
      <c r="C76765" s="2"/>
    </row>
    <row r="76766" spans="3:3" x14ac:dyDescent="0.35">
      <c r="C76766" s="2"/>
    </row>
    <row r="76767" spans="3:3" x14ac:dyDescent="0.35">
      <c r="C76767" s="2"/>
    </row>
    <row r="76768" spans="3:3" x14ac:dyDescent="0.35">
      <c r="C76768" s="2"/>
    </row>
    <row r="76769" spans="3:3" x14ac:dyDescent="0.35">
      <c r="C76769" s="2"/>
    </row>
    <row r="76770" spans="3:3" x14ac:dyDescent="0.35">
      <c r="C76770" s="2"/>
    </row>
    <row r="76771" spans="3:3" x14ac:dyDescent="0.35">
      <c r="C76771" s="2"/>
    </row>
    <row r="76772" spans="3:3" x14ac:dyDescent="0.35">
      <c r="C76772" s="2"/>
    </row>
    <row r="76773" spans="3:3" x14ac:dyDescent="0.35">
      <c r="C76773" s="2"/>
    </row>
    <row r="76774" spans="3:3" x14ac:dyDescent="0.35">
      <c r="C76774" s="2"/>
    </row>
    <row r="76775" spans="3:3" x14ac:dyDescent="0.35">
      <c r="C76775" s="2"/>
    </row>
    <row r="76776" spans="3:3" x14ac:dyDescent="0.35">
      <c r="C76776" s="2"/>
    </row>
    <row r="76777" spans="3:3" x14ac:dyDescent="0.35">
      <c r="C76777" s="2"/>
    </row>
    <row r="76778" spans="3:3" x14ac:dyDescent="0.35">
      <c r="C76778" s="2"/>
    </row>
    <row r="76779" spans="3:3" x14ac:dyDescent="0.35">
      <c r="C76779" s="2"/>
    </row>
    <row r="76780" spans="3:3" x14ac:dyDescent="0.35">
      <c r="C76780" s="2"/>
    </row>
    <row r="76781" spans="3:3" x14ac:dyDescent="0.35">
      <c r="C76781" s="2"/>
    </row>
    <row r="76782" spans="3:3" x14ac:dyDescent="0.35">
      <c r="C76782" s="2"/>
    </row>
    <row r="76783" spans="3:3" x14ac:dyDescent="0.35">
      <c r="C76783" s="2"/>
    </row>
    <row r="76784" spans="3:3" x14ac:dyDescent="0.35">
      <c r="C76784" s="2"/>
    </row>
    <row r="76785" spans="3:3" x14ac:dyDescent="0.35">
      <c r="C76785" s="2"/>
    </row>
    <row r="76786" spans="3:3" x14ac:dyDescent="0.35">
      <c r="C76786" s="2"/>
    </row>
    <row r="76787" spans="3:3" x14ac:dyDescent="0.35">
      <c r="C76787" s="2"/>
    </row>
    <row r="76788" spans="3:3" x14ac:dyDescent="0.35">
      <c r="C76788" s="2"/>
    </row>
    <row r="76789" spans="3:3" x14ac:dyDescent="0.35">
      <c r="C76789" s="2"/>
    </row>
    <row r="76790" spans="3:3" x14ac:dyDescent="0.35">
      <c r="C76790" s="2"/>
    </row>
    <row r="76791" spans="3:3" x14ac:dyDescent="0.35">
      <c r="C76791" s="2"/>
    </row>
    <row r="76792" spans="3:3" x14ac:dyDescent="0.35">
      <c r="C76792" s="2"/>
    </row>
    <row r="76793" spans="3:3" x14ac:dyDescent="0.35">
      <c r="C76793" s="2"/>
    </row>
    <row r="76794" spans="3:3" x14ac:dyDescent="0.35">
      <c r="C76794" s="2"/>
    </row>
    <row r="76795" spans="3:3" x14ac:dyDescent="0.35">
      <c r="C76795" s="2"/>
    </row>
    <row r="76796" spans="3:3" x14ac:dyDescent="0.35">
      <c r="C76796" s="2"/>
    </row>
    <row r="76797" spans="3:3" x14ac:dyDescent="0.35">
      <c r="C76797" s="2"/>
    </row>
    <row r="76798" spans="3:3" x14ac:dyDescent="0.35">
      <c r="C76798" s="2"/>
    </row>
    <row r="76799" spans="3:3" x14ac:dyDescent="0.35">
      <c r="C76799" s="2"/>
    </row>
    <row r="76800" spans="3:3" x14ac:dyDescent="0.35">
      <c r="C76800" s="2"/>
    </row>
    <row r="76801" spans="3:3" x14ac:dyDescent="0.35">
      <c r="C76801" s="2"/>
    </row>
    <row r="76802" spans="3:3" x14ac:dyDescent="0.35">
      <c r="C76802" s="2"/>
    </row>
    <row r="76803" spans="3:3" x14ac:dyDescent="0.35">
      <c r="C76803" s="2"/>
    </row>
    <row r="76804" spans="3:3" x14ac:dyDescent="0.35">
      <c r="C76804" s="2"/>
    </row>
    <row r="76805" spans="3:3" x14ac:dyDescent="0.35">
      <c r="C76805" s="2"/>
    </row>
    <row r="76806" spans="3:3" x14ac:dyDescent="0.35">
      <c r="C76806" s="2"/>
    </row>
    <row r="76807" spans="3:3" x14ac:dyDescent="0.35">
      <c r="C76807" s="2"/>
    </row>
    <row r="76808" spans="3:3" x14ac:dyDescent="0.35">
      <c r="C76808" s="2"/>
    </row>
    <row r="76809" spans="3:3" x14ac:dyDescent="0.35">
      <c r="C76809" s="2"/>
    </row>
    <row r="76810" spans="3:3" x14ac:dyDescent="0.35">
      <c r="C76810" s="2"/>
    </row>
    <row r="76811" spans="3:3" x14ac:dyDescent="0.35">
      <c r="C76811" s="2"/>
    </row>
    <row r="76812" spans="3:3" x14ac:dyDescent="0.35">
      <c r="C76812" s="2"/>
    </row>
    <row r="76813" spans="3:3" x14ac:dyDescent="0.35">
      <c r="C76813" s="2"/>
    </row>
    <row r="76814" spans="3:3" x14ac:dyDescent="0.35">
      <c r="C76814" s="2"/>
    </row>
    <row r="76815" spans="3:3" x14ac:dyDescent="0.35">
      <c r="C76815" s="2"/>
    </row>
    <row r="76816" spans="3:3" x14ac:dyDescent="0.35">
      <c r="C76816" s="2"/>
    </row>
    <row r="76817" spans="3:3" x14ac:dyDescent="0.35">
      <c r="C76817" s="2"/>
    </row>
    <row r="76818" spans="3:3" x14ac:dyDescent="0.35">
      <c r="C76818" s="2"/>
    </row>
    <row r="76819" spans="3:3" x14ac:dyDescent="0.35">
      <c r="C76819" s="2"/>
    </row>
    <row r="76820" spans="3:3" x14ac:dyDescent="0.35">
      <c r="C76820" s="2"/>
    </row>
    <row r="76821" spans="3:3" x14ac:dyDescent="0.35">
      <c r="C76821" s="2"/>
    </row>
    <row r="76822" spans="3:3" x14ac:dyDescent="0.35">
      <c r="C76822" s="2"/>
    </row>
    <row r="76823" spans="3:3" x14ac:dyDescent="0.35">
      <c r="C76823" s="2"/>
    </row>
    <row r="76824" spans="3:3" x14ac:dyDescent="0.35">
      <c r="C76824" s="2"/>
    </row>
    <row r="76825" spans="3:3" x14ac:dyDescent="0.35">
      <c r="C76825" s="2"/>
    </row>
    <row r="76826" spans="3:3" x14ac:dyDescent="0.35">
      <c r="C76826" s="2"/>
    </row>
    <row r="76827" spans="3:3" x14ac:dyDescent="0.35">
      <c r="C76827" s="2"/>
    </row>
    <row r="76828" spans="3:3" x14ac:dyDescent="0.35">
      <c r="C76828" s="2"/>
    </row>
    <row r="76829" spans="3:3" x14ac:dyDescent="0.35">
      <c r="C76829" s="2"/>
    </row>
    <row r="76830" spans="3:3" x14ac:dyDescent="0.35">
      <c r="C76830" s="2"/>
    </row>
    <row r="76831" spans="3:3" x14ac:dyDescent="0.35">
      <c r="C76831" s="2"/>
    </row>
    <row r="76832" spans="3:3" x14ac:dyDescent="0.35">
      <c r="C76832" s="2"/>
    </row>
    <row r="76833" spans="3:3" x14ac:dyDescent="0.35">
      <c r="C76833" s="2"/>
    </row>
    <row r="76834" spans="3:3" x14ac:dyDescent="0.35">
      <c r="C76834" s="2"/>
    </row>
    <row r="76835" spans="3:3" x14ac:dyDescent="0.35">
      <c r="C76835" s="2"/>
    </row>
    <row r="76836" spans="3:3" x14ac:dyDescent="0.35">
      <c r="C76836" s="2"/>
    </row>
    <row r="76837" spans="3:3" x14ac:dyDescent="0.35">
      <c r="C76837" s="2"/>
    </row>
    <row r="76838" spans="3:3" x14ac:dyDescent="0.35">
      <c r="C76838" s="2"/>
    </row>
    <row r="76839" spans="3:3" x14ac:dyDescent="0.35">
      <c r="C76839" s="2"/>
    </row>
    <row r="76840" spans="3:3" x14ac:dyDescent="0.35">
      <c r="C76840" s="2"/>
    </row>
    <row r="76841" spans="3:3" x14ac:dyDescent="0.35">
      <c r="C76841" s="2"/>
    </row>
    <row r="76842" spans="3:3" x14ac:dyDescent="0.35">
      <c r="C76842" s="2"/>
    </row>
    <row r="76843" spans="3:3" x14ac:dyDescent="0.35">
      <c r="C76843" s="2"/>
    </row>
    <row r="76844" spans="3:3" x14ac:dyDescent="0.35">
      <c r="C76844" s="2"/>
    </row>
    <row r="76845" spans="3:3" x14ac:dyDescent="0.35">
      <c r="C76845" s="2"/>
    </row>
    <row r="76846" spans="3:3" x14ac:dyDescent="0.35">
      <c r="C76846" s="2"/>
    </row>
    <row r="76847" spans="3:3" x14ac:dyDescent="0.35">
      <c r="C76847" s="2"/>
    </row>
    <row r="76848" spans="3:3" x14ac:dyDescent="0.35">
      <c r="C76848" s="2"/>
    </row>
    <row r="76849" spans="3:3" x14ac:dyDescent="0.35">
      <c r="C76849" s="2"/>
    </row>
    <row r="76850" spans="3:3" x14ac:dyDescent="0.35">
      <c r="C76850" s="2"/>
    </row>
    <row r="76851" spans="3:3" x14ac:dyDescent="0.35">
      <c r="C76851" s="2"/>
    </row>
    <row r="76852" spans="3:3" x14ac:dyDescent="0.35">
      <c r="C76852" s="2"/>
    </row>
    <row r="76853" spans="3:3" x14ac:dyDescent="0.35">
      <c r="C76853" s="2"/>
    </row>
    <row r="76854" spans="3:3" x14ac:dyDescent="0.35">
      <c r="C76854" s="2"/>
    </row>
    <row r="76855" spans="3:3" x14ac:dyDescent="0.35">
      <c r="C76855" s="2"/>
    </row>
    <row r="76856" spans="3:3" x14ac:dyDescent="0.35">
      <c r="C76856" s="2"/>
    </row>
    <row r="76857" spans="3:3" x14ac:dyDescent="0.35">
      <c r="C76857" s="2"/>
    </row>
    <row r="76858" spans="3:3" x14ac:dyDescent="0.35">
      <c r="C76858" s="2"/>
    </row>
    <row r="76859" spans="3:3" x14ac:dyDescent="0.35">
      <c r="C76859" s="2"/>
    </row>
    <row r="76860" spans="3:3" x14ac:dyDescent="0.35">
      <c r="C76860" s="2"/>
    </row>
    <row r="76861" spans="3:3" x14ac:dyDescent="0.35">
      <c r="C76861" s="2"/>
    </row>
    <row r="76862" spans="3:3" x14ac:dyDescent="0.35">
      <c r="C76862" s="2"/>
    </row>
    <row r="76863" spans="3:3" x14ac:dyDescent="0.35">
      <c r="C76863" s="2"/>
    </row>
    <row r="76864" spans="3:3" x14ac:dyDescent="0.35">
      <c r="C76864" s="2"/>
    </row>
    <row r="76865" spans="3:3" x14ac:dyDescent="0.35">
      <c r="C76865" s="2"/>
    </row>
    <row r="76866" spans="3:3" x14ac:dyDescent="0.35">
      <c r="C76866" s="2"/>
    </row>
    <row r="76867" spans="3:3" x14ac:dyDescent="0.35">
      <c r="C76867" s="2"/>
    </row>
    <row r="76868" spans="3:3" x14ac:dyDescent="0.35">
      <c r="C76868" s="2"/>
    </row>
    <row r="76869" spans="3:3" x14ac:dyDescent="0.35">
      <c r="C76869" s="2"/>
    </row>
    <row r="76870" spans="3:3" x14ac:dyDescent="0.35">
      <c r="C76870" s="2"/>
    </row>
    <row r="76871" spans="3:3" x14ac:dyDescent="0.35">
      <c r="C76871" s="2"/>
    </row>
    <row r="76872" spans="3:3" x14ac:dyDescent="0.35">
      <c r="C76872" s="2"/>
    </row>
    <row r="76873" spans="3:3" x14ac:dyDescent="0.35">
      <c r="C76873" s="2"/>
    </row>
    <row r="76874" spans="3:3" x14ac:dyDescent="0.35">
      <c r="C76874" s="2"/>
    </row>
    <row r="76875" spans="3:3" x14ac:dyDescent="0.35">
      <c r="C76875" s="2"/>
    </row>
    <row r="76876" spans="3:3" x14ac:dyDescent="0.35">
      <c r="C76876" s="2"/>
    </row>
    <row r="76877" spans="3:3" x14ac:dyDescent="0.35">
      <c r="C76877" s="2"/>
    </row>
    <row r="76878" spans="3:3" x14ac:dyDescent="0.35">
      <c r="C76878" s="2"/>
    </row>
    <row r="76879" spans="3:3" x14ac:dyDescent="0.35">
      <c r="C76879" s="2"/>
    </row>
    <row r="76880" spans="3:3" x14ac:dyDescent="0.35">
      <c r="C76880" s="2"/>
    </row>
    <row r="76881" spans="3:3" x14ac:dyDescent="0.35">
      <c r="C76881" s="2"/>
    </row>
    <row r="76882" spans="3:3" x14ac:dyDescent="0.35">
      <c r="C76882" s="2"/>
    </row>
    <row r="76883" spans="3:3" x14ac:dyDescent="0.35">
      <c r="C76883" s="2"/>
    </row>
    <row r="76884" spans="3:3" x14ac:dyDescent="0.35">
      <c r="C76884" s="2"/>
    </row>
    <row r="76885" spans="3:3" x14ac:dyDescent="0.35">
      <c r="C76885" s="2"/>
    </row>
    <row r="76886" spans="3:3" x14ac:dyDescent="0.35">
      <c r="C76886" s="2"/>
    </row>
    <row r="76887" spans="3:3" x14ac:dyDescent="0.35">
      <c r="C76887" s="2"/>
    </row>
    <row r="76888" spans="3:3" x14ac:dyDescent="0.35">
      <c r="C76888" s="2"/>
    </row>
    <row r="76889" spans="3:3" x14ac:dyDescent="0.35">
      <c r="C76889" s="2"/>
    </row>
    <row r="76890" spans="3:3" x14ac:dyDescent="0.35">
      <c r="C76890" s="2"/>
    </row>
    <row r="76891" spans="3:3" x14ac:dyDescent="0.35">
      <c r="C76891" s="2"/>
    </row>
    <row r="76892" spans="3:3" x14ac:dyDescent="0.35">
      <c r="C76892" s="2"/>
    </row>
    <row r="76893" spans="3:3" x14ac:dyDescent="0.35">
      <c r="C76893" s="2"/>
    </row>
    <row r="76894" spans="3:3" x14ac:dyDescent="0.35">
      <c r="C76894" s="2"/>
    </row>
    <row r="76895" spans="3:3" x14ac:dyDescent="0.35">
      <c r="C76895" s="2"/>
    </row>
    <row r="76896" spans="3:3" x14ac:dyDescent="0.35">
      <c r="C76896" s="2"/>
    </row>
    <row r="76897" spans="3:3" x14ac:dyDescent="0.35">
      <c r="C76897" s="2"/>
    </row>
    <row r="76898" spans="3:3" x14ac:dyDescent="0.35">
      <c r="C76898" s="2"/>
    </row>
    <row r="76899" spans="3:3" x14ac:dyDescent="0.35">
      <c r="C76899" s="2"/>
    </row>
    <row r="76900" spans="3:3" x14ac:dyDescent="0.35">
      <c r="C76900" s="2"/>
    </row>
    <row r="76901" spans="3:3" x14ac:dyDescent="0.35">
      <c r="C76901" s="2"/>
    </row>
    <row r="76902" spans="3:3" x14ac:dyDescent="0.35">
      <c r="C76902" s="2"/>
    </row>
    <row r="76903" spans="3:3" x14ac:dyDescent="0.35">
      <c r="C76903" s="2"/>
    </row>
    <row r="76904" spans="3:3" x14ac:dyDescent="0.35">
      <c r="C76904" s="2"/>
    </row>
    <row r="76905" spans="3:3" x14ac:dyDescent="0.35">
      <c r="C76905" s="2"/>
    </row>
    <row r="76906" spans="3:3" x14ac:dyDescent="0.35">
      <c r="C76906" s="2"/>
    </row>
    <row r="76907" spans="3:3" x14ac:dyDescent="0.35">
      <c r="C76907" s="2"/>
    </row>
    <row r="76908" spans="3:3" x14ac:dyDescent="0.35">
      <c r="C76908" s="2"/>
    </row>
    <row r="76909" spans="3:3" x14ac:dyDescent="0.35">
      <c r="C76909" s="2"/>
    </row>
    <row r="76910" spans="3:3" x14ac:dyDescent="0.35">
      <c r="C76910" s="2"/>
    </row>
    <row r="76911" spans="3:3" x14ac:dyDescent="0.35">
      <c r="C76911" s="2"/>
    </row>
    <row r="76912" spans="3:3" x14ac:dyDescent="0.35">
      <c r="C76912" s="2"/>
    </row>
    <row r="76913" spans="3:3" x14ac:dyDescent="0.35">
      <c r="C76913" s="2"/>
    </row>
    <row r="76914" spans="3:3" x14ac:dyDescent="0.35">
      <c r="C76914" s="2"/>
    </row>
    <row r="76915" spans="3:3" x14ac:dyDescent="0.35">
      <c r="C76915" s="2"/>
    </row>
    <row r="76916" spans="3:3" x14ac:dyDescent="0.35">
      <c r="C76916" s="2"/>
    </row>
    <row r="76917" spans="3:3" x14ac:dyDescent="0.35">
      <c r="C76917" s="2"/>
    </row>
    <row r="76918" spans="3:3" x14ac:dyDescent="0.35">
      <c r="C76918" s="2"/>
    </row>
    <row r="76919" spans="3:3" x14ac:dyDescent="0.35">
      <c r="C76919" s="2"/>
    </row>
    <row r="76920" spans="3:3" x14ac:dyDescent="0.35">
      <c r="C76920" s="2"/>
    </row>
    <row r="76921" spans="3:3" x14ac:dyDescent="0.35">
      <c r="C76921" s="2"/>
    </row>
    <row r="76922" spans="3:3" x14ac:dyDescent="0.35">
      <c r="C76922" s="2"/>
    </row>
    <row r="76923" spans="3:3" x14ac:dyDescent="0.35">
      <c r="C76923" s="2"/>
    </row>
    <row r="76924" spans="3:3" x14ac:dyDescent="0.35">
      <c r="C76924" s="2"/>
    </row>
    <row r="76925" spans="3:3" x14ac:dyDescent="0.35">
      <c r="C76925" s="2"/>
    </row>
    <row r="76926" spans="3:3" x14ac:dyDescent="0.35">
      <c r="C76926" s="2"/>
    </row>
    <row r="76927" spans="3:3" x14ac:dyDescent="0.35">
      <c r="C76927" s="2"/>
    </row>
    <row r="76928" spans="3:3" x14ac:dyDescent="0.35">
      <c r="C76928" s="2"/>
    </row>
    <row r="76929" spans="3:3" x14ac:dyDescent="0.35">
      <c r="C76929" s="2"/>
    </row>
    <row r="76930" spans="3:3" x14ac:dyDescent="0.35">
      <c r="C76930" s="2"/>
    </row>
    <row r="76931" spans="3:3" x14ac:dyDescent="0.35">
      <c r="C76931" s="2"/>
    </row>
    <row r="76932" spans="3:3" x14ac:dyDescent="0.35">
      <c r="C76932" s="2"/>
    </row>
    <row r="76933" spans="3:3" x14ac:dyDescent="0.35">
      <c r="C76933" s="2"/>
    </row>
    <row r="76934" spans="3:3" x14ac:dyDescent="0.35">
      <c r="C76934" s="2"/>
    </row>
    <row r="76935" spans="3:3" x14ac:dyDescent="0.35">
      <c r="C76935" s="2"/>
    </row>
    <row r="76936" spans="3:3" x14ac:dyDescent="0.35">
      <c r="C76936" s="2"/>
    </row>
    <row r="76937" spans="3:3" x14ac:dyDescent="0.35">
      <c r="C76937" s="2"/>
    </row>
    <row r="76938" spans="3:3" x14ac:dyDescent="0.35">
      <c r="C76938" s="2"/>
    </row>
    <row r="76939" spans="3:3" x14ac:dyDescent="0.35">
      <c r="C76939" s="2"/>
    </row>
    <row r="76940" spans="3:3" x14ac:dyDescent="0.35">
      <c r="C76940" s="2"/>
    </row>
    <row r="76941" spans="3:3" x14ac:dyDescent="0.35">
      <c r="C76941" s="2"/>
    </row>
    <row r="76942" spans="3:3" x14ac:dyDescent="0.35">
      <c r="C76942" s="2"/>
    </row>
    <row r="76943" spans="3:3" x14ac:dyDescent="0.35">
      <c r="C76943" s="2"/>
    </row>
    <row r="76944" spans="3:3" x14ac:dyDescent="0.35">
      <c r="C76944" s="2"/>
    </row>
    <row r="76945" spans="3:3" x14ac:dyDescent="0.35">
      <c r="C76945" s="2"/>
    </row>
    <row r="76946" spans="3:3" x14ac:dyDescent="0.35">
      <c r="C76946" s="2"/>
    </row>
    <row r="76947" spans="3:3" x14ac:dyDescent="0.35">
      <c r="C76947" s="2"/>
    </row>
    <row r="76948" spans="3:3" x14ac:dyDescent="0.35">
      <c r="C76948" s="2"/>
    </row>
    <row r="76949" spans="3:3" x14ac:dyDescent="0.35">
      <c r="C76949" s="2"/>
    </row>
    <row r="76950" spans="3:3" x14ac:dyDescent="0.35">
      <c r="C76950" s="2"/>
    </row>
    <row r="76951" spans="3:3" x14ac:dyDescent="0.35">
      <c r="C76951" s="2"/>
    </row>
    <row r="76952" spans="3:3" x14ac:dyDescent="0.35">
      <c r="C76952" s="2"/>
    </row>
    <row r="76953" spans="3:3" x14ac:dyDescent="0.35">
      <c r="C76953" s="2"/>
    </row>
    <row r="76954" spans="3:3" x14ac:dyDescent="0.35">
      <c r="C76954" s="2"/>
    </row>
    <row r="76955" spans="3:3" x14ac:dyDescent="0.35">
      <c r="C76955" s="2"/>
    </row>
    <row r="76956" spans="3:3" x14ac:dyDescent="0.35">
      <c r="C76956" s="2"/>
    </row>
    <row r="76957" spans="3:3" x14ac:dyDescent="0.35">
      <c r="C76957" s="2"/>
    </row>
    <row r="76958" spans="3:3" x14ac:dyDescent="0.35">
      <c r="C76958" s="2"/>
    </row>
    <row r="76959" spans="3:3" x14ac:dyDescent="0.35">
      <c r="C76959" s="2"/>
    </row>
    <row r="76960" spans="3:3" x14ac:dyDescent="0.35">
      <c r="C76960" s="2"/>
    </row>
    <row r="76961" spans="3:3" x14ac:dyDescent="0.35">
      <c r="C76961" s="2"/>
    </row>
    <row r="76962" spans="3:3" x14ac:dyDescent="0.35">
      <c r="C76962" s="2"/>
    </row>
    <row r="76963" spans="3:3" x14ac:dyDescent="0.35">
      <c r="C76963" s="2"/>
    </row>
    <row r="76964" spans="3:3" x14ac:dyDescent="0.35">
      <c r="C76964" s="2"/>
    </row>
    <row r="76965" spans="3:3" x14ac:dyDescent="0.35">
      <c r="C76965" s="2"/>
    </row>
    <row r="76966" spans="3:3" x14ac:dyDescent="0.35">
      <c r="C76966" s="2"/>
    </row>
    <row r="76967" spans="3:3" x14ac:dyDescent="0.35">
      <c r="C76967" s="2"/>
    </row>
    <row r="76968" spans="3:3" x14ac:dyDescent="0.35">
      <c r="C76968" s="2"/>
    </row>
    <row r="76969" spans="3:3" x14ac:dyDescent="0.35">
      <c r="C76969" s="2"/>
    </row>
    <row r="76970" spans="3:3" x14ac:dyDescent="0.35">
      <c r="C76970" s="2"/>
    </row>
    <row r="76971" spans="3:3" x14ac:dyDescent="0.35">
      <c r="C76971" s="2"/>
    </row>
    <row r="76972" spans="3:3" x14ac:dyDescent="0.35">
      <c r="C76972" s="2"/>
    </row>
    <row r="76973" spans="3:3" x14ac:dyDescent="0.35">
      <c r="C76973" s="2"/>
    </row>
    <row r="76974" spans="3:3" x14ac:dyDescent="0.35">
      <c r="C76974" s="2"/>
    </row>
    <row r="76975" spans="3:3" x14ac:dyDescent="0.35">
      <c r="C76975" s="2"/>
    </row>
    <row r="76976" spans="3:3" x14ac:dyDescent="0.35">
      <c r="C76976" s="2"/>
    </row>
    <row r="76977" spans="3:3" x14ac:dyDescent="0.35">
      <c r="C76977" s="2"/>
    </row>
    <row r="76978" spans="3:3" x14ac:dyDescent="0.35">
      <c r="C76978" s="2"/>
    </row>
    <row r="76979" spans="3:3" x14ac:dyDescent="0.35">
      <c r="C76979" s="2"/>
    </row>
    <row r="76980" spans="3:3" x14ac:dyDescent="0.35">
      <c r="C76980" s="2"/>
    </row>
    <row r="76981" spans="3:3" x14ac:dyDescent="0.35">
      <c r="C76981" s="2"/>
    </row>
    <row r="76982" spans="3:3" x14ac:dyDescent="0.35">
      <c r="C76982" s="2"/>
    </row>
    <row r="76983" spans="3:3" x14ac:dyDescent="0.35">
      <c r="C76983" s="2"/>
    </row>
    <row r="76984" spans="3:3" x14ac:dyDescent="0.35">
      <c r="C76984" s="2"/>
    </row>
    <row r="76985" spans="3:3" x14ac:dyDescent="0.35">
      <c r="C76985" s="2"/>
    </row>
    <row r="76986" spans="3:3" x14ac:dyDescent="0.35">
      <c r="C76986" s="2"/>
    </row>
    <row r="76987" spans="3:3" x14ac:dyDescent="0.35">
      <c r="C76987" s="2"/>
    </row>
    <row r="76988" spans="3:3" x14ac:dyDescent="0.35">
      <c r="C76988" s="2"/>
    </row>
    <row r="76989" spans="3:3" x14ac:dyDescent="0.35">
      <c r="C76989" s="2"/>
    </row>
    <row r="76990" spans="3:3" x14ac:dyDescent="0.35">
      <c r="C76990" s="2"/>
    </row>
    <row r="76991" spans="3:3" x14ac:dyDescent="0.35">
      <c r="C76991" s="2"/>
    </row>
    <row r="76992" spans="3:3" x14ac:dyDescent="0.35">
      <c r="C76992" s="2"/>
    </row>
    <row r="76993" spans="3:3" x14ac:dyDescent="0.35">
      <c r="C76993" s="2"/>
    </row>
    <row r="76994" spans="3:3" x14ac:dyDescent="0.35">
      <c r="C76994" s="2"/>
    </row>
    <row r="76995" spans="3:3" x14ac:dyDescent="0.35">
      <c r="C76995" s="2"/>
    </row>
    <row r="76996" spans="3:3" x14ac:dyDescent="0.35">
      <c r="C76996" s="2"/>
    </row>
    <row r="76997" spans="3:3" x14ac:dyDescent="0.35">
      <c r="C76997" s="2"/>
    </row>
    <row r="76998" spans="3:3" x14ac:dyDescent="0.35">
      <c r="C76998" s="2"/>
    </row>
    <row r="76999" spans="3:3" x14ac:dyDescent="0.35">
      <c r="C76999" s="2"/>
    </row>
    <row r="77000" spans="3:3" x14ac:dyDescent="0.35">
      <c r="C77000" s="2"/>
    </row>
    <row r="77001" spans="3:3" x14ac:dyDescent="0.35">
      <c r="C77001" s="2"/>
    </row>
    <row r="77002" spans="3:3" x14ac:dyDescent="0.35">
      <c r="C77002" s="2"/>
    </row>
    <row r="77003" spans="3:3" x14ac:dyDescent="0.35">
      <c r="C77003" s="2"/>
    </row>
    <row r="77004" spans="3:3" x14ac:dyDescent="0.35">
      <c r="C77004" s="2"/>
    </row>
    <row r="77005" spans="3:3" x14ac:dyDescent="0.35">
      <c r="C77005" s="2"/>
    </row>
    <row r="77006" spans="3:3" x14ac:dyDescent="0.35">
      <c r="C77006" s="2"/>
    </row>
    <row r="77007" spans="3:3" x14ac:dyDescent="0.35">
      <c r="C77007" s="2"/>
    </row>
    <row r="77008" spans="3:3" x14ac:dyDescent="0.35">
      <c r="C77008" s="2"/>
    </row>
    <row r="77009" spans="3:3" x14ac:dyDescent="0.35">
      <c r="C77009" s="2"/>
    </row>
    <row r="77010" spans="3:3" x14ac:dyDescent="0.35">
      <c r="C77010" s="2"/>
    </row>
    <row r="77011" spans="3:3" x14ac:dyDescent="0.35">
      <c r="C77011" s="2"/>
    </row>
    <row r="77012" spans="3:3" x14ac:dyDescent="0.35">
      <c r="C77012" s="2"/>
    </row>
    <row r="77013" spans="3:3" x14ac:dyDescent="0.35">
      <c r="C77013" s="2"/>
    </row>
    <row r="77014" spans="3:3" x14ac:dyDescent="0.35">
      <c r="C77014" s="2"/>
    </row>
    <row r="77015" spans="3:3" x14ac:dyDescent="0.35">
      <c r="C77015" s="2"/>
    </row>
    <row r="77016" spans="3:3" x14ac:dyDescent="0.35">
      <c r="C77016" s="2"/>
    </row>
    <row r="77017" spans="3:3" x14ac:dyDescent="0.35">
      <c r="C77017" s="2"/>
    </row>
    <row r="77018" spans="3:3" x14ac:dyDescent="0.35">
      <c r="C77018" s="2"/>
    </row>
    <row r="77019" spans="3:3" x14ac:dyDescent="0.35">
      <c r="C77019" s="2"/>
    </row>
    <row r="77020" spans="3:3" x14ac:dyDescent="0.35">
      <c r="C77020" s="2"/>
    </row>
    <row r="77021" spans="3:3" x14ac:dyDescent="0.35">
      <c r="C77021" s="2"/>
    </row>
    <row r="77022" spans="3:3" x14ac:dyDescent="0.35">
      <c r="C77022" s="2"/>
    </row>
    <row r="77023" spans="3:3" x14ac:dyDescent="0.35">
      <c r="C77023" s="2"/>
    </row>
    <row r="77024" spans="3:3" x14ac:dyDescent="0.35">
      <c r="C77024" s="2"/>
    </row>
    <row r="77025" spans="3:3" x14ac:dyDescent="0.35">
      <c r="C77025" s="2"/>
    </row>
    <row r="77026" spans="3:3" x14ac:dyDescent="0.35">
      <c r="C77026" s="2"/>
    </row>
    <row r="77027" spans="3:3" x14ac:dyDescent="0.35">
      <c r="C77027" s="2"/>
    </row>
    <row r="77028" spans="3:3" x14ac:dyDescent="0.35">
      <c r="C77028" s="2"/>
    </row>
    <row r="77029" spans="3:3" x14ac:dyDescent="0.35">
      <c r="C77029" s="2"/>
    </row>
    <row r="77030" spans="3:3" x14ac:dyDescent="0.35">
      <c r="C77030" s="2"/>
    </row>
    <row r="77031" spans="3:3" x14ac:dyDescent="0.35">
      <c r="C77031" s="2"/>
    </row>
    <row r="77032" spans="3:3" x14ac:dyDescent="0.35">
      <c r="C77032" s="2"/>
    </row>
    <row r="77033" spans="3:3" x14ac:dyDescent="0.35">
      <c r="C77033" s="2"/>
    </row>
    <row r="77034" spans="3:3" x14ac:dyDescent="0.35">
      <c r="C77034" s="2"/>
    </row>
    <row r="77035" spans="3:3" x14ac:dyDescent="0.35">
      <c r="C77035" s="2"/>
    </row>
    <row r="77036" spans="3:3" x14ac:dyDescent="0.35">
      <c r="C77036" s="2"/>
    </row>
    <row r="77037" spans="3:3" x14ac:dyDescent="0.35">
      <c r="C77037" s="2"/>
    </row>
    <row r="77038" spans="3:3" x14ac:dyDescent="0.35">
      <c r="C77038" s="2"/>
    </row>
    <row r="77039" spans="3:3" x14ac:dyDescent="0.35">
      <c r="C77039" s="2"/>
    </row>
    <row r="77040" spans="3:3" x14ac:dyDescent="0.35">
      <c r="C77040" s="2"/>
    </row>
    <row r="77041" spans="3:3" x14ac:dyDescent="0.35">
      <c r="C77041" s="2"/>
    </row>
    <row r="77042" spans="3:3" x14ac:dyDescent="0.35">
      <c r="C77042" s="2"/>
    </row>
    <row r="77043" spans="3:3" x14ac:dyDescent="0.35">
      <c r="C77043" s="2"/>
    </row>
    <row r="77044" spans="3:3" x14ac:dyDescent="0.35">
      <c r="C77044" s="2"/>
    </row>
    <row r="77045" spans="3:3" x14ac:dyDescent="0.35">
      <c r="C77045" s="2"/>
    </row>
    <row r="77046" spans="3:3" x14ac:dyDescent="0.35">
      <c r="C77046" s="2"/>
    </row>
    <row r="77047" spans="3:3" x14ac:dyDescent="0.35">
      <c r="C77047" s="2"/>
    </row>
    <row r="77048" spans="3:3" x14ac:dyDescent="0.35">
      <c r="C77048" s="2"/>
    </row>
    <row r="77049" spans="3:3" x14ac:dyDescent="0.35">
      <c r="C77049" s="2"/>
    </row>
    <row r="77050" spans="3:3" x14ac:dyDescent="0.35">
      <c r="C77050" s="2"/>
    </row>
    <row r="77051" spans="3:3" x14ac:dyDescent="0.35">
      <c r="C77051" s="2"/>
    </row>
    <row r="77052" spans="3:3" x14ac:dyDescent="0.35">
      <c r="C77052" s="2"/>
    </row>
    <row r="77053" spans="3:3" x14ac:dyDescent="0.35">
      <c r="C77053" s="2"/>
    </row>
    <row r="77054" spans="3:3" x14ac:dyDescent="0.35">
      <c r="C77054" s="2"/>
    </row>
    <row r="77055" spans="3:3" x14ac:dyDescent="0.35">
      <c r="C77055" s="2"/>
    </row>
    <row r="77056" spans="3:3" x14ac:dyDescent="0.35">
      <c r="C77056" s="2"/>
    </row>
    <row r="77057" spans="3:3" x14ac:dyDescent="0.35">
      <c r="C77057" s="2"/>
    </row>
    <row r="77058" spans="3:3" x14ac:dyDescent="0.35">
      <c r="C77058" s="2"/>
    </row>
    <row r="77059" spans="3:3" x14ac:dyDescent="0.35">
      <c r="C77059" s="2"/>
    </row>
    <row r="77060" spans="3:3" x14ac:dyDescent="0.35">
      <c r="C77060" s="2"/>
    </row>
    <row r="77061" spans="3:3" x14ac:dyDescent="0.35">
      <c r="C77061" s="2"/>
    </row>
    <row r="77062" spans="3:3" x14ac:dyDescent="0.35">
      <c r="C77062" s="2"/>
    </row>
    <row r="77063" spans="3:3" x14ac:dyDescent="0.35">
      <c r="C77063" s="2"/>
    </row>
    <row r="77064" spans="3:3" x14ac:dyDescent="0.35">
      <c r="C77064" s="2"/>
    </row>
    <row r="77065" spans="3:3" x14ac:dyDescent="0.35">
      <c r="C77065" s="2"/>
    </row>
    <row r="77066" spans="3:3" x14ac:dyDescent="0.35">
      <c r="C77066" s="2"/>
    </row>
    <row r="77067" spans="3:3" x14ac:dyDescent="0.35">
      <c r="C77067" s="2"/>
    </row>
    <row r="77068" spans="3:3" x14ac:dyDescent="0.35">
      <c r="C77068" s="2"/>
    </row>
    <row r="77069" spans="3:3" x14ac:dyDescent="0.35">
      <c r="C77069" s="2"/>
    </row>
    <row r="77070" spans="3:3" x14ac:dyDescent="0.35">
      <c r="C77070" s="2"/>
    </row>
    <row r="77071" spans="3:3" x14ac:dyDescent="0.35">
      <c r="C77071" s="2"/>
    </row>
    <row r="77072" spans="3:3" x14ac:dyDescent="0.35">
      <c r="C77072" s="2"/>
    </row>
    <row r="77073" spans="3:3" x14ac:dyDescent="0.35">
      <c r="C77073" s="2"/>
    </row>
    <row r="77074" spans="3:3" x14ac:dyDescent="0.35">
      <c r="C77074" s="2"/>
    </row>
    <row r="77075" spans="3:3" x14ac:dyDescent="0.35">
      <c r="C77075" s="2"/>
    </row>
    <row r="77076" spans="3:3" x14ac:dyDescent="0.35">
      <c r="C77076" s="2"/>
    </row>
    <row r="77077" spans="3:3" x14ac:dyDescent="0.35">
      <c r="C77077" s="2"/>
    </row>
    <row r="77078" spans="3:3" x14ac:dyDescent="0.35">
      <c r="C77078" s="2"/>
    </row>
    <row r="77079" spans="3:3" x14ac:dyDescent="0.35">
      <c r="C77079" s="2"/>
    </row>
    <row r="77080" spans="3:3" x14ac:dyDescent="0.35">
      <c r="C77080" s="2"/>
    </row>
    <row r="77081" spans="3:3" x14ac:dyDescent="0.35">
      <c r="C77081" s="2"/>
    </row>
    <row r="77082" spans="3:3" x14ac:dyDescent="0.35">
      <c r="C77082" s="2"/>
    </row>
    <row r="77083" spans="3:3" x14ac:dyDescent="0.35">
      <c r="C77083" s="2"/>
    </row>
    <row r="77084" spans="3:3" x14ac:dyDescent="0.35">
      <c r="C77084" s="2"/>
    </row>
    <row r="77085" spans="3:3" x14ac:dyDescent="0.35">
      <c r="C77085" s="2"/>
    </row>
    <row r="77086" spans="3:3" x14ac:dyDescent="0.35">
      <c r="C77086" s="2"/>
    </row>
    <row r="77087" spans="3:3" x14ac:dyDescent="0.35">
      <c r="C77087" s="2"/>
    </row>
    <row r="77088" spans="3:3" x14ac:dyDescent="0.35">
      <c r="C77088" s="2"/>
    </row>
    <row r="77089" spans="3:3" x14ac:dyDescent="0.35">
      <c r="C77089" s="2"/>
    </row>
    <row r="77090" spans="3:3" x14ac:dyDescent="0.35">
      <c r="C77090" s="2"/>
    </row>
    <row r="77091" spans="3:3" x14ac:dyDescent="0.35">
      <c r="C77091" s="2"/>
    </row>
    <row r="77092" spans="3:3" x14ac:dyDescent="0.35">
      <c r="C77092" s="2"/>
    </row>
    <row r="77093" spans="3:3" x14ac:dyDescent="0.35">
      <c r="C77093" s="2"/>
    </row>
    <row r="77094" spans="3:3" x14ac:dyDescent="0.35">
      <c r="C77094" s="2"/>
    </row>
    <row r="77095" spans="3:3" x14ac:dyDescent="0.35">
      <c r="C77095" s="2"/>
    </row>
    <row r="77096" spans="3:3" x14ac:dyDescent="0.35">
      <c r="C77096" s="2"/>
    </row>
    <row r="77097" spans="3:3" x14ac:dyDescent="0.35">
      <c r="C77097" s="2"/>
    </row>
    <row r="77098" spans="3:3" x14ac:dyDescent="0.35">
      <c r="C77098" s="2"/>
    </row>
    <row r="77099" spans="3:3" x14ac:dyDescent="0.35">
      <c r="C77099" s="2"/>
    </row>
    <row r="77100" spans="3:3" x14ac:dyDescent="0.35">
      <c r="C77100" s="2"/>
    </row>
    <row r="77101" spans="3:3" x14ac:dyDescent="0.35">
      <c r="C77101" s="2"/>
    </row>
    <row r="77102" spans="3:3" x14ac:dyDescent="0.35">
      <c r="C77102" s="2"/>
    </row>
    <row r="77103" spans="3:3" x14ac:dyDescent="0.35">
      <c r="C77103" s="2"/>
    </row>
    <row r="77104" spans="3:3" x14ac:dyDescent="0.35">
      <c r="C77104" s="2"/>
    </row>
    <row r="77105" spans="3:3" x14ac:dyDescent="0.35">
      <c r="C77105" s="2"/>
    </row>
    <row r="77106" spans="3:3" x14ac:dyDescent="0.35">
      <c r="C77106" s="2"/>
    </row>
    <row r="77107" spans="3:3" x14ac:dyDescent="0.35">
      <c r="C77107" s="2"/>
    </row>
    <row r="77108" spans="3:3" x14ac:dyDescent="0.35">
      <c r="C77108" s="2"/>
    </row>
    <row r="77109" spans="3:3" x14ac:dyDescent="0.35">
      <c r="C77109" s="2"/>
    </row>
    <row r="77110" spans="3:3" x14ac:dyDescent="0.35">
      <c r="C77110" s="2"/>
    </row>
    <row r="77111" spans="3:3" x14ac:dyDescent="0.35">
      <c r="C77111" s="2"/>
    </row>
    <row r="77112" spans="3:3" x14ac:dyDescent="0.35">
      <c r="C77112" s="2"/>
    </row>
    <row r="77113" spans="3:3" x14ac:dyDescent="0.35">
      <c r="C77113" s="2"/>
    </row>
    <row r="77114" spans="3:3" x14ac:dyDescent="0.35">
      <c r="C77114" s="2"/>
    </row>
    <row r="77115" spans="3:3" x14ac:dyDescent="0.35">
      <c r="C77115" s="2"/>
    </row>
    <row r="77116" spans="3:3" x14ac:dyDescent="0.35">
      <c r="C77116" s="2"/>
    </row>
    <row r="77117" spans="3:3" x14ac:dyDescent="0.35">
      <c r="C77117" s="2"/>
    </row>
    <row r="77118" spans="3:3" x14ac:dyDescent="0.35">
      <c r="C77118" s="2"/>
    </row>
    <row r="77119" spans="3:3" x14ac:dyDescent="0.35">
      <c r="C77119" s="2"/>
    </row>
    <row r="77120" spans="3:3" x14ac:dyDescent="0.35">
      <c r="C77120" s="2"/>
    </row>
    <row r="77121" spans="3:3" x14ac:dyDescent="0.35">
      <c r="C77121" s="2"/>
    </row>
    <row r="77122" spans="3:3" x14ac:dyDescent="0.35">
      <c r="C77122" s="2"/>
    </row>
    <row r="77123" spans="3:3" x14ac:dyDescent="0.35">
      <c r="C77123" s="2"/>
    </row>
    <row r="77124" spans="3:3" x14ac:dyDescent="0.35">
      <c r="C77124" s="2"/>
    </row>
    <row r="77125" spans="3:3" x14ac:dyDescent="0.35">
      <c r="C77125" s="2"/>
    </row>
    <row r="77126" spans="3:3" x14ac:dyDescent="0.35">
      <c r="C77126" s="2"/>
    </row>
    <row r="77127" spans="3:3" x14ac:dyDescent="0.35">
      <c r="C77127" s="2"/>
    </row>
    <row r="77128" spans="3:3" x14ac:dyDescent="0.35">
      <c r="C77128" s="2"/>
    </row>
    <row r="77129" spans="3:3" x14ac:dyDescent="0.35">
      <c r="C77129" s="2"/>
    </row>
    <row r="77130" spans="3:3" x14ac:dyDescent="0.35">
      <c r="C77130" s="2"/>
    </row>
    <row r="77131" spans="3:3" x14ac:dyDescent="0.35">
      <c r="C77131" s="2"/>
    </row>
    <row r="77132" spans="3:3" x14ac:dyDescent="0.35">
      <c r="C77132" s="2"/>
    </row>
    <row r="77133" spans="3:3" x14ac:dyDescent="0.35">
      <c r="C77133" s="2"/>
    </row>
    <row r="77134" spans="3:3" x14ac:dyDescent="0.35">
      <c r="C77134" s="2"/>
    </row>
    <row r="77135" spans="3:3" x14ac:dyDescent="0.35">
      <c r="C77135" s="2"/>
    </row>
    <row r="77136" spans="3:3" x14ac:dyDescent="0.35">
      <c r="C77136" s="2"/>
    </row>
    <row r="77137" spans="3:3" x14ac:dyDescent="0.35">
      <c r="C77137" s="2"/>
    </row>
    <row r="77138" spans="3:3" x14ac:dyDescent="0.35">
      <c r="C77138" s="2"/>
    </row>
    <row r="77139" spans="3:3" x14ac:dyDescent="0.35">
      <c r="C77139" s="2"/>
    </row>
    <row r="77140" spans="3:3" x14ac:dyDescent="0.35">
      <c r="C77140" s="2"/>
    </row>
    <row r="77141" spans="3:3" x14ac:dyDescent="0.35">
      <c r="C77141" s="2"/>
    </row>
    <row r="77142" spans="3:3" x14ac:dyDescent="0.35">
      <c r="C77142" s="2"/>
    </row>
    <row r="77143" spans="3:3" x14ac:dyDescent="0.35">
      <c r="C77143" s="2"/>
    </row>
    <row r="77144" spans="3:3" x14ac:dyDescent="0.35">
      <c r="C77144" s="2"/>
    </row>
    <row r="77145" spans="3:3" x14ac:dyDescent="0.35">
      <c r="C77145" s="2"/>
    </row>
    <row r="77146" spans="3:3" x14ac:dyDescent="0.35">
      <c r="C77146" s="2"/>
    </row>
    <row r="77147" spans="3:3" x14ac:dyDescent="0.35">
      <c r="C77147" s="2"/>
    </row>
    <row r="77148" spans="3:3" x14ac:dyDescent="0.35">
      <c r="C77148" s="2"/>
    </row>
    <row r="77149" spans="3:3" x14ac:dyDescent="0.35">
      <c r="C77149" s="2"/>
    </row>
    <row r="77150" spans="3:3" x14ac:dyDescent="0.35">
      <c r="C77150" s="2"/>
    </row>
    <row r="77151" spans="3:3" x14ac:dyDescent="0.35">
      <c r="C77151" s="2"/>
    </row>
    <row r="77152" spans="3:3" x14ac:dyDescent="0.35">
      <c r="C77152" s="2"/>
    </row>
    <row r="77153" spans="3:3" x14ac:dyDescent="0.35">
      <c r="C77153" s="2"/>
    </row>
    <row r="77154" spans="3:3" x14ac:dyDescent="0.35">
      <c r="C77154" s="2"/>
    </row>
    <row r="77155" spans="3:3" x14ac:dyDescent="0.35">
      <c r="C77155" s="2"/>
    </row>
    <row r="77156" spans="3:3" x14ac:dyDescent="0.35">
      <c r="C77156" s="2"/>
    </row>
    <row r="77157" spans="3:3" x14ac:dyDescent="0.35">
      <c r="C77157" s="2"/>
    </row>
    <row r="77158" spans="3:3" x14ac:dyDescent="0.35">
      <c r="C77158" s="2"/>
    </row>
    <row r="77159" spans="3:3" x14ac:dyDescent="0.35">
      <c r="C77159" s="2"/>
    </row>
    <row r="77160" spans="3:3" x14ac:dyDescent="0.35">
      <c r="C77160" s="2"/>
    </row>
    <row r="77161" spans="3:3" x14ac:dyDescent="0.35">
      <c r="C77161" s="2"/>
    </row>
    <row r="77162" spans="3:3" x14ac:dyDescent="0.35">
      <c r="C77162" s="2"/>
    </row>
    <row r="77163" spans="3:3" x14ac:dyDescent="0.35">
      <c r="C77163" s="2"/>
    </row>
    <row r="77164" spans="3:3" x14ac:dyDescent="0.35">
      <c r="C77164" s="2"/>
    </row>
    <row r="77165" spans="3:3" x14ac:dyDescent="0.35">
      <c r="C77165" s="2"/>
    </row>
    <row r="77166" spans="3:3" x14ac:dyDescent="0.35">
      <c r="C77166" s="2"/>
    </row>
    <row r="77167" spans="3:3" x14ac:dyDescent="0.35">
      <c r="C77167" s="2"/>
    </row>
    <row r="77168" spans="3:3" x14ac:dyDescent="0.35">
      <c r="C77168" s="2"/>
    </row>
    <row r="77169" spans="3:3" x14ac:dyDescent="0.35">
      <c r="C77169" s="2"/>
    </row>
    <row r="77170" spans="3:3" x14ac:dyDescent="0.35">
      <c r="C77170" s="2"/>
    </row>
    <row r="77171" spans="3:3" x14ac:dyDescent="0.35">
      <c r="C77171" s="2"/>
    </row>
    <row r="77172" spans="3:3" x14ac:dyDescent="0.35">
      <c r="C77172" s="2"/>
    </row>
    <row r="77173" spans="3:3" x14ac:dyDescent="0.35">
      <c r="C77173" s="2"/>
    </row>
    <row r="77174" spans="3:3" x14ac:dyDescent="0.35">
      <c r="C77174" s="2"/>
    </row>
    <row r="77175" spans="3:3" x14ac:dyDescent="0.35">
      <c r="C77175" s="2"/>
    </row>
    <row r="77176" spans="3:3" x14ac:dyDescent="0.35">
      <c r="C77176" s="2"/>
    </row>
    <row r="77177" spans="3:3" x14ac:dyDescent="0.35">
      <c r="C77177" s="2"/>
    </row>
    <row r="77178" spans="3:3" x14ac:dyDescent="0.35">
      <c r="C77178" s="2"/>
    </row>
    <row r="77179" spans="3:3" x14ac:dyDescent="0.35">
      <c r="C77179" s="2"/>
    </row>
    <row r="77180" spans="3:3" x14ac:dyDescent="0.35">
      <c r="C77180" s="2"/>
    </row>
    <row r="77181" spans="3:3" x14ac:dyDescent="0.35">
      <c r="C77181" s="2"/>
    </row>
    <row r="77182" spans="3:3" x14ac:dyDescent="0.35">
      <c r="C77182" s="2"/>
    </row>
    <row r="77183" spans="3:3" x14ac:dyDescent="0.35">
      <c r="C77183" s="2"/>
    </row>
    <row r="77184" spans="3:3" x14ac:dyDescent="0.35">
      <c r="C77184" s="2"/>
    </row>
    <row r="77185" spans="3:3" x14ac:dyDescent="0.35">
      <c r="C77185" s="2"/>
    </row>
    <row r="77186" spans="3:3" x14ac:dyDescent="0.35">
      <c r="C77186" s="2"/>
    </row>
    <row r="77187" spans="3:3" x14ac:dyDescent="0.35">
      <c r="C77187" s="2"/>
    </row>
    <row r="77188" spans="3:3" x14ac:dyDescent="0.35">
      <c r="C77188" s="2"/>
    </row>
    <row r="77189" spans="3:3" x14ac:dyDescent="0.35">
      <c r="C77189" s="2"/>
    </row>
    <row r="77190" spans="3:3" x14ac:dyDescent="0.35">
      <c r="C77190" s="2"/>
    </row>
    <row r="77191" spans="3:3" x14ac:dyDescent="0.35">
      <c r="C77191" s="2"/>
    </row>
    <row r="77192" spans="3:3" x14ac:dyDescent="0.35">
      <c r="C77192" s="2"/>
    </row>
    <row r="77193" spans="3:3" x14ac:dyDescent="0.35">
      <c r="C77193" s="2"/>
    </row>
    <row r="77194" spans="3:3" x14ac:dyDescent="0.35">
      <c r="C77194" s="2"/>
    </row>
    <row r="77195" spans="3:3" x14ac:dyDescent="0.35">
      <c r="C77195" s="2"/>
    </row>
    <row r="77196" spans="3:3" x14ac:dyDescent="0.35">
      <c r="C77196" s="2"/>
    </row>
    <row r="77197" spans="3:3" x14ac:dyDescent="0.35">
      <c r="C77197" s="2"/>
    </row>
    <row r="77198" spans="3:3" x14ac:dyDescent="0.35">
      <c r="C77198" s="2"/>
    </row>
    <row r="77199" spans="3:3" x14ac:dyDescent="0.35">
      <c r="C77199" s="2"/>
    </row>
    <row r="77200" spans="3:3" x14ac:dyDescent="0.35">
      <c r="C77200" s="2"/>
    </row>
    <row r="77201" spans="3:3" x14ac:dyDescent="0.35">
      <c r="C77201" s="2"/>
    </row>
    <row r="77202" spans="3:3" x14ac:dyDescent="0.35">
      <c r="C77202" s="2"/>
    </row>
    <row r="77203" spans="3:3" x14ac:dyDescent="0.35">
      <c r="C77203" s="2"/>
    </row>
    <row r="77204" spans="3:3" x14ac:dyDescent="0.35">
      <c r="C77204" s="2"/>
    </row>
    <row r="77205" spans="3:3" x14ac:dyDescent="0.35">
      <c r="C77205" s="2"/>
    </row>
    <row r="77206" spans="3:3" x14ac:dyDescent="0.35">
      <c r="C77206" s="2"/>
    </row>
    <row r="77207" spans="3:3" x14ac:dyDescent="0.35">
      <c r="C77207" s="2"/>
    </row>
    <row r="77208" spans="3:3" x14ac:dyDescent="0.35">
      <c r="C77208" s="2"/>
    </row>
    <row r="77209" spans="3:3" x14ac:dyDescent="0.35">
      <c r="C77209" s="2"/>
    </row>
    <row r="77210" spans="3:3" x14ac:dyDescent="0.35">
      <c r="C77210" s="2"/>
    </row>
    <row r="77211" spans="3:3" x14ac:dyDescent="0.35">
      <c r="C77211" s="2"/>
    </row>
    <row r="77212" spans="3:3" x14ac:dyDescent="0.35">
      <c r="C77212" s="2"/>
    </row>
    <row r="77213" spans="3:3" x14ac:dyDescent="0.35">
      <c r="C77213" s="2"/>
    </row>
    <row r="77214" spans="3:3" x14ac:dyDescent="0.35">
      <c r="C77214" s="2"/>
    </row>
    <row r="77215" spans="3:3" x14ac:dyDescent="0.35">
      <c r="C77215" s="2"/>
    </row>
    <row r="77216" spans="3:3" x14ac:dyDescent="0.35">
      <c r="C77216" s="2"/>
    </row>
    <row r="77217" spans="3:3" x14ac:dyDescent="0.35">
      <c r="C77217" s="2"/>
    </row>
    <row r="77218" spans="3:3" x14ac:dyDescent="0.35">
      <c r="C77218" s="2"/>
    </row>
    <row r="77219" spans="3:3" x14ac:dyDescent="0.35">
      <c r="C77219" s="2"/>
    </row>
    <row r="77220" spans="3:3" x14ac:dyDescent="0.35">
      <c r="C77220" s="2"/>
    </row>
    <row r="77221" spans="3:3" x14ac:dyDescent="0.35">
      <c r="C77221" s="2"/>
    </row>
    <row r="77222" spans="3:3" x14ac:dyDescent="0.35">
      <c r="C77222" s="2"/>
    </row>
    <row r="77223" spans="3:3" x14ac:dyDescent="0.35">
      <c r="C77223" s="2"/>
    </row>
    <row r="77224" spans="3:3" x14ac:dyDescent="0.35">
      <c r="C77224" s="2"/>
    </row>
    <row r="77225" spans="3:3" x14ac:dyDescent="0.35">
      <c r="C77225" s="2"/>
    </row>
    <row r="77226" spans="3:3" x14ac:dyDescent="0.35">
      <c r="C77226" s="2"/>
    </row>
    <row r="77227" spans="3:3" x14ac:dyDescent="0.35">
      <c r="C77227" s="2"/>
    </row>
    <row r="77228" spans="3:3" x14ac:dyDescent="0.35">
      <c r="C77228" s="2"/>
    </row>
    <row r="77229" spans="3:3" x14ac:dyDescent="0.35">
      <c r="C77229" s="2"/>
    </row>
    <row r="77230" spans="3:3" x14ac:dyDescent="0.35">
      <c r="C77230" s="2"/>
    </row>
    <row r="77231" spans="3:3" x14ac:dyDescent="0.35">
      <c r="C77231" s="2"/>
    </row>
    <row r="77232" spans="3:3" x14ac:dyDescent="0.35">
      <c r="C77232" s="2"/>
    </row>
    <row r="77233" spans="3:3" x14ac:dyDescent="0.35">
      <c r="C77233" s="2"/>
    </row>
    <row r="77234" spans="3:3" x14ac:dyDescent="0.35">
      <c r="C77234" s="2"/>
    </row>
    <row r="77235" spans="3:3" x14ac:dyDescent="0.35">
      <c r="C77235" s="2"/>
    </row>
    <row r="77236" spans="3:3" x14ac:dyDescent="0.35">
      <c r="C77236" s="2"/>
    </row>
    <row r="77237" spans="3:3" x14ac:dyDescent="0.35">
      <c r="C77237" s="2"/>
    </row>
    <row r="77238" spans="3:3" x14ac:dyDescent="0.35">
      <c r="C77238" s="2"/>
    </row>
    <row r="77239" spans="3:3" x14ac:dyDescent="0.35">
      <c r="C77239" s="2"/>
    </row>
    <row r="77240" spans="3:3" x14ac:dyDescent="0.35">
      <c r="C77240" s="2"/>
    </row>
    <row r="77241" spans="3:3" x14ac:dyDescent="0.35">
      <c r="C77241" s="2"/>
    </row>
    <row r="77242" spans="3:3" x14ac:dyDescent="0.35">
      <c r="C77242" s="2"/>
    </row>
    <row r="77243" spans="3:3" x14ac:dyDescent="0.35">
      <c r="C77243" s="2"/>
    </row>
    <row r="77244" spans="3:3" x14ac:dyDescent="0.35">
      <c r="C77244" s="2"/>
    </row>
    <row r="77245" spans="3:3" x14ac:dyDescent="0.35">
      <c r="C77245" s="2"/>
    </row>
    <row r="77246" spans="3:3" x14ac:dyDescent="0.35">
      <c r="C77246" s="2"/>
    </row>
    <row r="77247" spans="3:3" x14ac:dyDescent="0.35">
      <c r="C77247" s="2"/>
    </row>
    <row r="77248" spans="3:3" x14ac:dyDescent="0.35">
      <c r="C77248" s="2"/>
    </row>
    <row r="77249" spans="3:3" x14ac:dyDescent="0.35">
      <c r="C77249" s="2"/>
    </row>
    <row r="77250" spans="3:3" x14ac:dyDescent="0.35">
      <c r="C77250" s="2"/>
    </row>
    <row r="77251" spans="3:3" x14ac:dyDescent="0.35">
      <c r="C77251" s="2"/>
    </row>
    <row r="77252" spans="3:3" x14ac:dyDescent="0.35">
      <c r="C77252" s="2"/>
    </row>
    <row r="77253" spans="3:3" x14ac:dyDescent="0.35">
      <c r="C77253" s="2"/>
    </row>
    <row r="77254" spans="3:3" x14ac:dyDescent="0.35">
      <c r="C77254" s="2"/>
    </row>
    <row r="77255" spans="3:3" x14ac:dyDescent="0.35">
      <c r="C77255" s="2"/>
    </row>
    <row r="77256" spans="3:3" x14ac:dyDescent="0.35">
      <c r="C77256" s="2"/>
    </row>
    <row r="77257" spans="3:3" x14ac:dyDescent="0.35">
      <c r="C77257" s="2"/>
    </row>
    <row r="77258" spans="3:3" x14ac:dyDescent="0.35">
      <c r="C77258" s="2"/>
    </row>
    <row r="77259" spans="3:3" x14ac:dyDescent="0.35">
      <c r="C77259" s="2"/>
    </row>
    <row r="77260" spans="3:3" x14ac:dyDescent="0.35">
      <c r="C77260" s="2"/>
    </row>
    <row r="77261" spans="3:3" x14ac:dyDescent="0.35">
      <c r="C77261" s="2"/>
    </row>
    <row r="77262" spans="3:3" x14ac:dyDescent="0.35">
      <c r="C77262" s="2"/>
    </row>
    <row r="77263" spans="3:3" x14ac:dyDescent="0.35">
      <c r="C77263" s="2"/>
    </row>
    <row r="77264" spans="3:3" x14ac:dyDescent="0.35">
      <c r="C77264" s="2"/>
    </row>
    <row r="77265" spans="3:3" x14ac:dyDescent="0.35">
      <c r="C77265" s="2"/>
    </row>
    <row r="77266" spans="3:3" x14ac:dyDescent="0.35">
      <c r="C77266" s="2"/>
    </row>
    <row r="77267" spans="3:3" x14ac:dyDescent="0.35">
      <c r="C77267" s="2"/>
    </row>
    <row r="77268" spans="3:3" x14ac:dyDescent="0.35">
      <c r="C77268" s="2"/>
    </row>
    <row r="77269" spans="3:3" x14ac:dyDescent="0.35">
      <c r="C77269" s="2"/>
    </row>
    <row r="77270" spans="3:3" x14ac:dyDescent="0.35">
      <c r="C77270" s="2"/>
    </row>
    <row r="77271" spans="3:3" x14ac:dyDescent="0.35">
      <c r="C77271" s="2"/>
    </row>
    <row r="77272" spans="3:3" x14ac:dyDescent="0.35">
      <c r="C77272" s="2"/>
    </row>
    <row r="77273" spans="3:3" x14ac:dyDescent="0.35">
      <c r="C77273" s="2"/>
    </row>
    <row r="77274" spans="3:3" x14ac:dyDescent="0.35">
      <c r="C77274" s="2"/>
    </row>
    <row r="77275" spans="3:3" x14ac:dyDescent="0.35">
      <c r="C77275" s="2"/>
    </row>
    <row r="77276" spans="3:3" x14ac:dyDescent="0.35">
      <c r="C77276" s="2"/>
    </row>
    <row r="77277" spans="3:3" x14ac:dyDescent="0.35">
      <c r="C77277" s="2"/>
    </row>
    <row r="77278" spans="3:3" x14ac:dyDescent="0.35">
      <c r="C77278" s="2"/>
    </row>
    <row r="77279" spans="3:3" x14ac:dyDescent="0.35">
      <c r="C77279" s="2"/>
    </row>
    <row r="77280" spans="3:3" x14ac:dyDescent="0.35">
      <c r="C77280" s="2"/>
    </row>
    <row r="77281" spans="3:3" x14ac:dyDescent="0.35">
      <c r="C77281" s="2"/>
    </row>
    <row r="77282" spans="3:3" x14ac:dyDescent="0.35">
      <c r="C77282" s="2"/>
    </row>
    <row r="77283" spans="3:3" x14ac:dyDescent="0.35">
      <c r="C77283" s="2"/>
    </row>
    <row r="77284" spans="3:3" x14ac:dyDescent="0.35">
      <c r="C77284" s="2"/>
    </row>
    <row r="77285" spans="3:3" x14ac:dyDescent="0.35">
      <c r="C77285" s="2"/>
    </row>
    <row r="77286" spans="3:3" x14ac:dyDescent="0.35">
      <c r="C77286" s="2"/>
    </row>
    <row r="77287" spans="3:3" x14ac:dyDescent="0.35">
      <c r="C77287" s="2"/>
    </row>
    <row r="77288" spans="3:3" x14ac:dyDescent="0.35">
      <c r="C77288" s="2"/>
    </row>
    <row r="77289" spans="3:3" x14ac:dyDescent="0.35">
      <c r="C77289" s="2"/>
    </row>
    <row r="77290" spans="3:3" x14ac:dyDescent="0.35">
      <c r="C77290" s="2"/>
    </row>
    <row r="77291" spans="3:3" x14ac:dyDescent="0.35">
      <c r="C77291" s="2"/>
    </row>
    <row r="77292" spans="3:3" x14ac:dyDescent="0.35">
      <c r="C77292" s="2"/>
    </row>
    <row r="77293" spans="3:3" x14ac:dyDescent="0.35">
      <c r="C77293" s="2"/>
    </row>
    <row r="77294" spans="3:3" x14ac:dyDescent="0.35">
      <c r="C77294" s="2"/>
    </row>
    <row r="77295" spans="3:3" x14ac:dyDescent="0.35">
      <c r="C77295" s="2"/>
    </row>
    <row r="77296" spans="3:3" x14ac:dyDescent="0.35">
      <c r="C77296" s="2"/>
    </row>
    <row r="77297" spans="3:3" x14ac:dyDescent="0.35">
      <c r="C77297" s="2"/>
    </row>
    <row r="77298" spans="3:3" x14ac:dyDescent="0.35">
      <c r="C77298" s="2"/>
    </row>
    <row r="77299" spans="3:3" x14ac:dyDescent="0.35">
      <c r="C77299" s="2"/>
    </row>
    <row r="77300" spans="3:3" x14ac:dyDescent="0.35">
      <c r="C77300" s="2"/>
    </row>
    <row r="77301" spans="3:3" x14ac:dyDescent="0.35">
      <c r="C77301" s="2"/>
    </row>
    <row r="77302" spans="3:3" x14ac:dyDescent="0.35">
      <c r="C77302" s="2"/>
    </row>
    <row r="77303" spans="3:3" x14ac:dyDescent="0.35">
      <c r="C77303" s="2"/>
    </row>
    <row r="77304" spans="3:3" x14ac:dyDescent="0.35">
      <c r="C77304" s="2"/>
    </row>
    <row r="77305" spans="3:3" x14ac:dyDescent="0.35">
      <c r="C77305" s="2"/>
    </row>
    <row r="77306" spans="3:3" x14ac:dyDescent="0.35">
      <c r="C77306" s="2"/>
    </row>
    <row r="77307" spans="3:3" x14ac:dyDescent="0.35">
      <c r="C77307" s="2"/>
    </row>
    <row r="77308" spans="3:3" x14ac:dyDescent="0.35">
      <c r="C77308" s="2"/>
    </row>
    <row r="77309" spans="3:3" x14ac:dyDescent="0.35">
      <c r="C77309" s="2"/>
    </row>
    <row r="77310" spans="3:3" x14ac:dyDescent="0.35">
      <c r="C77310" s="2"/>
    </row>
    <row r="77311" spans="3:3" x14ac:dyDescent="0.35">
      <c r="C77311" s="2"/>
    </row>
    <row r="77312" spans="3:3" x14ac:dyDescent="0.35">
      <c r="C77312" s="2"/>
    </row>
    <row r="77313" spans="3:3" x14ac:dyDescent="0.35">
      <c r="C77313" s="2"/>
    </row>
    <row r="77314" spans="3:3" x14ac:dyDescent="0.35">
      <c r="C77314" s="2"/>
    </row>
    <row r="77315" spans="3:3" x14ac:dyDescent="0.35">
      <c r="C77315" s="2"/>
    </row>
    <row r="77316" spans="3:3" x14ac:dyDescent="0.35">
      <c r="C77316" s="2"/>
    </row>
    <row r="77317" spans="3:3" x14ac:dyDescent="0.35">
      <c r="C77317" s="2"/>
    </row>
    <row r="77318" spans="3:3" x14ac:dyDescent="0.35">
      <c r="C77318" s="2"/>
    </row>
    <row r="77319" spans="3:3" x14ac:dyDescent="0.35">
      <c r="C77319" s="2"/>
    </row>
    <row r="77320" spans="3:3" x14ac:dyDescent="0.35">
      <c r="C77320" s="2"/>
    </row>
    <row r="77321" spans="3:3" x14ac:dyDescent="0.35">
      <c r="C77321" s="2"/>
    </row>
    <row r="77322" spans="3:3" x14ac:dyDescent="0.35">
      <c r="C77322" s="2"/>
    </row>
    <row r="77323" spans="3:3" x14ac:dyDescent="0.35">
      <c r="C77323" s="2"/>
    </row>
    <row r="77324" spans="3:3" x14ac:dyDescent="0.35">
      <c r="C77324" s="2"/>
    </row>
    <row r="77325" spans="3:3" x14ac:dyDescent="0.35">
      <c r="C77325" s="2"/>
    </row>
    <row r="77326" spans="3:3" x14ac:dyDescent="0.35">
      <c r="C77326" s="2"/>
    </row>
    <row r="77327" spans="3:3" x14ac:dyDescent="0.35">
      <c r="C77327" s="2"/>
    </row>
    <row r="77328" spans="3:3" x14ac:dyDescent="0.35">
      <c r="C77328" s="2"/>
    </row>
    <row r="77329" spans="3:3" x14ac:dyDescent="0.35">
      <c r="C77329" s="2"/>
    </row>
    <row r="77330" spans="3:3" x14ac:dyDescent="0.35">
      <c r="C77330" s="2"/>
    </row>
    <row r="77331" spans="3:3" x14ac:dyDescent="0.35">
      <c r="C77331" s="2"/>
    </row>
    <row r="77332" spans="3:3" x14ac:dyDescent="0.35">
      <c r="C77332" s="2"/>
    </row>
    <row r="77333" spans="3:3" x14ac:dyDescent="0.35">
      <c r="C77333" s="2"/>
    </row>
    <row r="77334" spans="3:3" x14ac:dyDescent="0.35">
      <c r="C77334" s="2"/>
    </row>
    <row r="77335" spans="3:3" x14ac:dyDescent="0.35">
      <c r="C77335" s="2"/>
    </row>
    <row r="77336" spans="3:3" x14ac:dyDescent="0.35">
      <c r="C77336" s="2"/>
    </row>
    <row r="77337" spans="3:3" x14ac:dyDescent="0.35">
      <c r="C77337" s="2"/>
    </row>
    <row r="77338" spans="3:3" x14ac:dyDescent="0.35">
      <c r="C77338" s="2"/>
    </row>
    <row r="77339" spans="3:3" x14ac:dyDescent="0.35">
      <c r="C77339" s="2"/>
    </row>
    <row r="77340" spans="3:3" x14ac:dyDescent="0.35">
      <c r="C77340" s="2"/>
    </row>
    <row r="77341" spans="3:3" x14ac:dyDescent="0.35">
      <c r="C77341" s="2"/>
    </row>
    <row r="77342" spans="3:3" x14ac:dyDescent="0.35">
      <c r="C77342" s="2"/>
    </row>
    <row r="77343" spans="3:3" x14ac:dyDescent="0.35">
      <c r="C77343" s="2"/>
    </row>
    <row r="77344" spans="3:3" x14ac:dyDescent="0.35">
      <c r="C77344" s="2"/>
    </row>
    <row r="77345" spans="3:3" x14ac:dyDescent="0.35">
      <c r="C77345" s="2"/>
    </row>
    <row r="77346" spans="3:3" x14ac:dyDescent="0.35">
      <c r="C77346" s="2"/>
    </row>
    <row r="77347" spans="3:3" x14ac:dyDescent="0.35">
      <c r="C77347" s="2"/>
    </row>
    <row r="77348" spans="3:3" x14ac:dyDescent="0.35">
      <c r="C77348" s="2"/>
    </row>
    <row r="77349" spans="3:3" x14ac:dyDescent="0.35">
      <c r="C77349" s="2"/>
    </row>
    <row r="77350" spans="3:3" x14ac:dyDescent="0.35">
      <c r="C77350" s="2"/>
    </row>
    <row r="77351" spans="3:3" x14ac:dyDescent="0.35">
      <c r="C77351" s="2"/>
    </row>
    <row r="77352" spans="3:3" x14ac:dyDescent="0.35">
      <c r="C77352" s="2"/>
    </row>
    <row r="77353" spans="3:3" x14ac:dyDescent="0.35">
      <c r="C77353" s="2"/>
    </row>
    <row r="77354" spans="3:3" x14ac:dyDescent="0.35">
      <c r="C77354" s="2"/>
    </row>
    <row r="77355" spans="3:3" x14ac:dyDescent="0.35">
      <c r="C77355" s="2"/>
    </row>
    <row r="77356" spans="3:3" x14ac:dyDescent="0.35">
      <c r="C77356" s="2"/>
    </row>
    <row r="77357" spans="3:3" x14ac:dyDescent="0.35">
      <c r="C77357" s="2"/>
    </row>
    <row r="77358" spans="3:3" x14ac:dyDescent="0.35">
      <c r="C77358" s="2"/>
    </row>
    <row r="77359" spans="3:3" x14ac:dyDescent="0.35">
      <c r="C77359" s="2"/>
    </row>
    <row r="77360" spans="3:3" x14ac:dyDescent="0.35">
      <c r="C77360" s="2"/>
    </row>
    <row r="77361" spans="3:3" x14ac:dyDescent="0.35">
      <c r="C77361" s="2"/>
    </row>
    <row r="77362" spans="3:3" x14ac:dyDescent="0.35">
      <c r="C77362" s="2"/>
    </row>
    <row r="77363" spans="3:3" x14ac:dyDescent="0.35">
      <c r="C77363" s="2"/>
    </row>
    <row r="77364" spans="3:3" x14ac:dyDescent="0.35">
      <c r="C77364" s="2"/>
    </row>
    <row r="77365" spans="3:3" x14ac:dyDescent="0.35">
      <c r="C77365" s="2"/>
    </row>
    <row r="77366" spans="3:3" x14ac:dyDescent="0.35">
      <c r="C77366" s="2"/>
    </row>
    <row r="77367" spans="3:3" x14ac:dyDescent="0.35">
      <c r="C77367" s="2"/>
    </row>
    <row r="77368" spans="3:3" x14ac:dyDescent="0.35">
      <c r="C77368" s="2"/>
    </row>
    <row r="77369" spans="3:3" x14ac:dyDescent="0.35">
      <c r="C77369" s="2"/>
    </row>
    <row r="77370" spans="3:3" x14ac:dyDescent="0.35">
      <c r="C77370" s="2"/>
    </row>
    <row r="77371" spans="3:3" x14ac:dyDescent="0.35">
      <c r="C77371" s="2"/>
    </row>
    <row r="77372" spans="3:3" x14ac:dyDescent="0.35">
      <c r="C77372" s="2"/>
    </row>
    <row r="77373" spans="3:3" x14ac:dyDescent="0.35">
      <c r="C77373" s="2"/>
    </row>
    <row r="77374" spans="3:3" x14ac:dyDescent="0.35">
      <c r="C77374" s="2"/>
    </row>
    <row r="77375" spans="3:3" x14ac:dyDescent="0.35">
      <c r="C77375" s="2"/>
    </row>
    <row r="77376" spans="3:3" x14ac:dyDescent="0.35">
      <c r="C77376" s="2"/>
    </row>
    <row r="77377" spans="3:3" x14ac:dyDescent="0.35">
      <c r="C77377" s="2"/>
    </row>
    <row r="77378" spans="3:3" x14ac:dyDescent="0.35">
      <c r="C77378" s="2"/>
    </row>
    <row r="77379" spans="3:3" x14ac:dyDescent="0.35">
      <c r="C77379" s="2"/>
    </row>
    <row r="77380" spans="3:3" x14ac:dyDescent="0.35">
      <c r="C77380" s="2"/>
    </row>
    <row r="77381" spans="3:3" x14ac:dyDescent="0.35">
      <c r="C77381" s="2"/>
    </row>
    <row r="77382" spans="3:3" x14ac:dyDescent="0.35">
      <c r="C77382" s="2"/>
    </row>
    <row r="77383" spans="3:3" x14ac:dyDescent="0.35">
      <c r="C77383" s="2"/>
    </row>
    <row r="77384" spans="3:3" x14ac:dyDescent="0.35">
      <c r="C77384" s="2"/>
    </row>
    <row r="77385" spans="3:3" x14ac:dyDescent="0.35">
      <c r="C77385" s="2"/>
    </row>
    <row r="77386" spans="3:3" x14ac:dyDescent="0.35">
      <c r="C77386" s="2"/>
    </row>
    <row r="77387" spans="3:3" x14ac:dyDescent="0.35">
      <c r="C77387" s="2"/>
    </row>
    <row r="77388" spans="3:3" x14ac:dyDescent="0.35">
      <c r="C77388" s="2"/>
    </row>
    <row r="77389" spans="3:3" x14ac:dyDescent="0.35">
      <c r="C77389" s="2"/>
    </row>
    <row r="77390" spans="3:3" x14ac:dyDescent="0.35">
      <c r="C77390" s="2"/>
    </row>
    <row r="77391" spans="3:3" x14ac:dyDescent="0.35">
      <c r="C77391" s="2"/>
    </row>
    <row r="77392" spans="3:3" x14ac:dyDescent="0.35">
      <c r="C77392" s="2"/>
    </row>
    <row r="77393" spans="3:3" x14ac:dyDescent="0.35">
      <c r="C77393" s="2"/>
    </row>
    <row r="77394" spans="3:3" x14ac:dyDescent="0.35">
      <c r="C77394" s="2"/>
    </row>
    <row r="77395" spans="3:3" x14ac:dyDescent="0.35">
      <c r="C77395" s="2"/>
    </row>
    <row r="77396" spans="3:3" x14ac:dyDescent="0.35">
      <c r="C77396" s="2"/>
    </row>
    <row r="77397" spans="3:3" x14ac:dyDescent="0.35">
      <c r="C77397" s="2"/>
    </row>
    <row r="77398" spans="3:3" x14ac:dyDescent="0.35">
      <c r="C77398" s="2"/>
    </row>
    <row r="77399" spans="3:3" x14ac:dyDescent="0.35">
      <c r="C77399" s="2"/>
    </row>
    <row r="77400" spans="3:3" x14ac:dyDescent="0.35">
      <c r="C77400" s="2"/>
    </row>
    <row r="77401" spans="3:3" x14ac:dyDescent="0.35">
      <c r="C77401" s="2"/>
    </row>
    <row r="77402" spans="3:3" x14ac:dyDescent="0.35">
      <c r="C77402" s="2"/>
    </row>
    <row r="77403" spans="3:3" x14ac:dyDescent="0.35">
      <c r="C77403" s="2"/>
    </row>
    <row r="77404" spans="3:3" x14ac:dyDescent="0.35">
      <c r="C77404" s="2"/>
    </row>
    <row r="77405" spans="3:3" x14ac:dyDescent="0.35">
      <c r="C77405" s="2"/>
    </row>
    <row r="77406" spans="3:3" x14ac:dyDescent="0.35">
      <c r="C77406" s="2"/>
    </row>
    <row r="77407" spans="3:3" x14ac:dyDescent="0.35">
      <c r="C77407" s="2"/>
    </row>
    <row r="77408" spans="3:3" x14ac:dyDescent="0.35">
      <c r="C77408" s="2"/>
    </row>
    <row r="77409" spans="3:3" x14ac:dyDescent="0.35">
      <c r="C77409" s="2"/>
    </row>
    <row r="77410" spans="3:3" x14ac:dyDescent="0.35">
      <c r="C77410" s="2"/>
    </row>
    <row r="77411" spans="3:3" x14ac:dyDescent="0.35">
      <c r="C77411" s="2"/>
    </row>
    <row r="77412" spans="3:3" x14ac:dyDescent="0.35">
      <c r="C77412" s="2"/>
    </row>
    <row r="77413" spans="3:3" x14ac:dyDescent="0.35">
      <c r="C77413" s="2"/>
    </row>
    <row r="77414" spans="3:3" x14ac:dyDescent="0.35">
      <c r="C77414" s="2"/>
    </row>
    <row r="77415" spans="3:3" x14ac:dyDescent="0.35">
      <c r="C77415" s="2"/>
    </row>
    <row r="77416" spans="3:3" x14ac:dyDescent="0.35">
      <c r="C77416" s="2"/>
    </row>
    <row r="77417" spans="3:3" x14ac:dyDescent="0.35">
      <c r="C77417" s="2"/>
    </row>
    <row r="77418" spans="3:3" x14ac:dyDescent="0.35">
      <c r="C77418" s="2"/>
    </row>
    <row r="77419" spans="3:3" x14ac:dyDescent="0.35">
      <c r="C77419" s="2"/>
    </row>
    <row r="77420" spans="3:3" x14ac:dyDescent="0.35">
      <c r="C77420" s="2"/>
    </row>
    <row r="77421" spans="3:3" x14ac:dyDescent="0.35">
      <c r="C77421" s="2"/>
    </row>
    <row r="77422" spans="3:3" x14ac:dyDescent="0.35">
      <c r="C77422" s="2"/>
    </row>
    <row r="77423" spans="3:3" x14ac:dyDescent="0.35">
      <c r="C77423" s="2"/>
    </row>
    <row r="77424" spans="3:3" x14ac:dyDescent="0.35">
      <c r="C77424" s="2"/>
    </row>
    <row r="77425" spans="3:3" x14ac:dyDescent="0.35">
      <c r="C77425" s="2"/>
    </row>
    <row r="77426" spans="3:3" x14ac:dyDescent="0.35">
      <c r="C77426" s="2"/>
    </row>
    <row r="77427" spans="3:3" x14ac:dyDescent="0.35">
      <c r="C77427" s="2"/>
    </row>
    <row r="77428" spans="3:3" x14ac:dyDescent="0.35">
      <c r="C77428" s="2"/>
    </row>
    <row r="77429" spans="3:3" x14ac:dyDescent="0.35">
      <c r="C77429" s="2"/>
    </row>
    <row r="77430" spans="3:3" x14ac:dyDescent="0.35">
      <c r="C77430" s="2"/>
    </row>
    <row r="77431" spans="3:3" x14ac:dyDescent="0.35">
      <c r="C77431" s="2"/>
    </row>
    <row r="77432" spans="3:3" x14ac:dyDescent="0.35">
      <c r="C77432" s="2"/>
    </row>
    <row r="77433" spans="3:3" x14ac:dyDescent="0.35">
      <c r="C77433" s="2"/>
    </row>
    <row r="77434" spans="3:3" x14ac:dyDescent="0.35">
      <c r="C77434" s="2"/>
    </row>
    <row r="77435" spans="3:3" x14ac:dyDescent="0.35">
      <c r="C77435" s="2"/>
    </row>
    <row r="77436" spans="3:3" x14ac:dyDescent="0.35">
      <c r="C77436" s="2"/>
    </row>
    <row r="77437" spans="3:3" x14ac:dyDescent="0.35">
      <c r="C77437" s="2"/>
    </row>
    <row r="77438" spans="3:3" x14ac:dyDescent="0.35">
      <c r="C77438" s="2"/>
    </row>
    <row r="77439" spans="3:3" x14ac:dyDescent="0.35">
      <c r="C77439" s="2"/>
    </row>
    <row r="77440" spans="3:3" x14ac:dyDescent="0.35">
      <c r="C77440" s="2"/>
    </row>
    <row r="77441" spans="3:3" x14ac:dyDescent="0.35">
      <c r="C77441" s="2"/>
    </row>
    <row r="77442" spans="3:3" x14ac:dyDescent="0.35">
      <c r="C77442" s="2"/>
    </row>
    <row r="77443" spans="3:3" x14ac:dyDescent="0.35">
      <c r="C77443" s="2"/>
    </row>
    <row r="77444" spans="3:3" x14ac:dyDescent="0.35">
      <c r="C77444" s="2"/>
    </row>
    <row r="77445" spans="3:3" x14ac:dyDescent="0.35">
      <c r="C77445" s="2"/>
    </row>
    <row r="77446" spans="3:3" x14ac:dyDescent="0.35">
      <c r="C77446" s="2"/>
    </row>
    <row r="77447" spans="3:3" x14ac:dyDescent="0.35">
      <c r="C77447" s="2"/>
    </row>
    <row r="77448" spans="3:3" x14ac:dyDescent="0.35">
      <c r="C77448" s="2"/>
    </row>
    <row r="77449" spans="3:3" x14ac:dyDescent="0.35">
      <c r="C77449" s="2"/>
    </row>
    <row r="77450" spans="3:3" x14ac:dyDescent="0.35">
      <c r="C77450" s="2"/>
    </row>
    <row r="77451" spans="3:3" x14ac:dyDescent="0.35">
      <c r="C77451" s="2"/>
    </row>
    <row r="77452" spans="3:3" x14ac:dyDescent="0.35">
      <c r="C77452" s="2"/>
    </row>
    <row r="77453" spans="3:3" x14ac:dyDescent="0.35">
      <c r="C77453" s="2"/>
    </row>
    <row r="77454" spans="3:3" x14ac:dyDescent="0.35">
      <c r="C77454" s="2"/>
    </row>
    <row r="77455" spans="3:3" x14ac:dyDescent="0.35">
      <c r="C77455" s="2"/>
    </row>
    <row r="77456" spans="3:3" x14ac:dyDescent="0.35">
      <c r="C77456" s="2"/>
    </row>
    <row r="77457" spans="3:3" x14ac:dyDescent="0.35">
      <c r="C77457" s="2"/>
    </row>
    <row r="77458" spans="3:3" x14ac:dyDescent="0.35">
      <c r="C77458" s="2"/>
    </row>
    <row r="77459" spans="3:3" x14ac:dyDescent="0.35">
      <c r="C77459" s="2"/>
    </row>
    <row r="77460" spans="3:3" x14ac:dyDescent="0.35">
      <c r="C77460" s="2"/>
    </row>
    <row r="77461" spans="3:3" x14ac:dyDescent="0.35">
      <c r="C77461" s="2"/>
    </row>
    <row r="77462" spans="3:3" x14ac:dyDescent="0.35">
      <c r="C77462" s="2"/>
    </row>
    <row r="77463" spans="3:3" x14ac:dyDescent="0.35">
      <c r="C77463" s="2"/>
    </row>
    <row r="77464" spans="3:3" x14ac:dyDescent="0.35">
      <c r="C77464" s="2"/>
    </row>
    <row r="77465" spans="3:3" x14ac:dyDescent="0.35">
      <c r="C77465" s="2"/>
    </row>
    <row r="77466" spans="3:3" x14ac:dyDescent="0.35">
      <c r="C77466" s="2"/>
    </row>
    <row r="77467" spans="3:3" x14ac:dyDescent="0.35">
      <c r="C77467" s="2"/>
    </row>
    <row r="77468" spans="3:3" x14ac:dyDescent="0.35">
      <c r="C77468" s="2"/>
    </row>
    <row r="77469" spans="3:3" x14ac:dyDescent="0.35">
      <c r="C77469" s="2"/>
    </row>
    <row r="77470" spans="3:3" x14ac:dyDescent="0.35">
      <c r="C77470" s="2"/>
    </row>
    <row r="77471" spans="3:3" x14ac:dyDescent="0.35">
      <c r="C77471" s="2"/>
    </row>
    <row r="77472" spans="3:3" x14ac:dyDescent="0.35">
      <c r="C77472" s="2"/>
    </row>
    <row r="77473" spans="3:3" x14ac:dyDescent="0.35">
      <c r="C77473" s="2"/>
    </row>
    <row r="77474" spans="3:3" x14ac:dyDescent="0.35">
      <c r="C77474" s="2"/>
    </row>
    <row r="77475" spans="3:3" x14ac:dyDescent="0.35">
      <c r="C77475" s="2"/>
    </row>
    <row r="77476" spans="3:3" x14ac:dyDescent="0.35">
      <c r="C77476" s="2"/>
    </row>
    <row r="77477" spans="3:3" x14ac:dyDescent="0.35">
      <c r="C77477" s="2"/>
    </row>
    <row r="77478" spans="3:3" x14ac:dyDescent="0.35">
      <c r="C77478" s="2"/>
    </row>
    <row r="77479" spans="3:3" x14ac:dyDescent="0.35">
      <c r="C77479" s="2"/>
    </row>
    <row r="77480" spans="3:3" x14ac:dyDescent="0.35">
      <c r="C77480" s="2"/>
    </row>
    <row r="77481" spans="3:3" x14ac:dyDescent="0.35">
      <c r="C77481" s="2"/>
    </row>
    <row r="77482" spans="3:3" x14ac:dyDescent="0.35">
      <c r="C77482" s="2"/>
    </row>
    <row r="77483" spans="3:3" x14ac:dyDescent="0.35">
      <c r="C77483" s="2"/>
    </row>
    <row r="77484" spans="3:3" x14ac:dyDescent="0.35">
      <c r="C77484" s="2"/>
    </row>
    <row r="77485" spans="3:3" x14ac:dyDescent="0.35">
      <c r="C77485" s="2"/>
    </row>
    <row r="77486" spans="3:3" x14ac:dyDescent="0.35">
      <c r="C77486" s="2"/>
    </row>
    <row r="77487" spans="3:3" x14ac:dyDescent="0.35">
      <c r="C77487" s="2"/>
    </row>
    <row r="77488" spans="3:3" x14ac:dyDescent="0.35">
      <c r="C77488" s="2"/>
    </row>
    <row r="77489" spans="3:3" x14ac:dyDescent="0.35">
      <c r="C77489" s="2"/>
    </row>
    <row r="77490" spans="3:3" x14ac:dyDescent="0.35">
      <c r="C77490" s="2"/>
    </row>
    <row r="77491" spans="3:3" x14ac:dyDescent="0.35">
      <c r="C77491" s="2"/>
    </row>
    <row r="77492" spans="3:3" x14ac:dyDescent="0.35">
      <c r="C77492" s="2"/>
    </row>
    <row r="77493" spans="3:3" x14ac:dyDescent="0.35">
      <c r="C77493" s="2"/>
    </row>
    <row r="77494" spans="3:3" x14ac:dyDescent="0.35">
      <c r="C77494" s="2"/>
    </row>
    <row r="77495" spans="3:3" x14ac:dyDescent="0.35">
      <c r="C77495" s="2"/>
    </row>
    <row r="77496" spans="3:3" x14ac:dyDescent="0.35">
      <c r="C77496" s="2"/>
    </row>
    <row r="77497" spans="3:3" x14ac:dyDescent="0.35">
      <c r="C77497" s="2"/>
    </row>
    <row r="77498" spans="3:3" x14ac:dyDescent="0.35">
      <c r="C77498" s="2"/>
    </row>
    <row r="77499" spans="3:3" x14ac:dyDescent="0.35">
      <c r="C77499" s="2"/>
    </row>
    <row r="77500" spans="3:3" x14ac:dyDescent="0.35">
      <c r="C77500" s="2"/>
    </row>
    <row r="77501" spans="3:3" x14ac:dyDescent="0.35">
      <c r="C77501" s="2"/>
    </row>
    <row r="77502" spans="3:3" x14ac:dyDescent="0.35">
      <c r="C77502" s="2"/>
    </row>
    <row r="77503" spans="3:3" x14ac:dyDescent="0.35">
      <c r="C77503" s="2"/>
    </row>
    <row r="77504" spans="3:3" x14ac:dyDescent="0.35">
      <c r="C77504" s="2"/>
    </row>
    <row r="77505" spans="3:3" x14ac:dyDescent="0.35">
      <c r="C77505" s="2"/>
    </row>
    <row r="77506" spans="3:3" x14ac:dyDescent="0.35">
      <c r="C77506" s="2"/>
    </row>
    <row r="77507" spans="3:3" x14ac:dyDescent="0.35">
      <c r="C77507" s="2"/>
    </row>
    <row r="77508" spans="3:3" x14ac:dyDescent="0.35">
      <c r="C77508" s="2"/>
    </row>
    <row r="77509" spans="3:3" x14ac:dyDescent="0.35">
      <c r="C77509" s="2"/>
    </row>
    <row r="77510" spans="3:3" x14ac:dyDescent="0.35">
      <c r="C77510" s="2"/>
    </row>
    <row r="77511" spans="3:3" x14ac:dyDescent="0.35">
      <c r="C77511" s="2"/>
    </row>
    <row r="77512" spans="3:3" x14ac:dyDescent="0.35">
      <c r="C77512" s="2"/>
    </row>
    <row r="77513" spans="3:3" x14ac:dyDescent="0.35">
      <c r="C77513" s="2"/>
    </row>
    <row r="77514" spans="3:3" x14ac:dyDescent="0.35">
      <c r="C77514" s="2"/>
    </row>
    <row r="77515" spans="3:3" x14ac:dyDescent="0.35">
      <c r="C77515" s="2"/>
    </row>
    <row r="77516" spans="3:3" x14ac:dyDescent="0.35">
      <c r="C77516" s="2"/>
    </row>
    <row r="77517" spans="3:3" x14ac:dyDescent="0.35">
      <c r="C77517" s="2"/>
    </row>
    <row r="77518" spans="3:3" x14ac:dyDescent="0.35">
      <c r="C77518" s="2"/>
    </row>
    <row r="77519" spans="3:3" x14ac:dyDescent="0.35">
      <c r="C77519" s="2"/>
    </row>
    <row r="77520" spans="3:3" x14ac:dyDescent="0.35">
      <c r="C77520" s="2"/>
    </row>
    <row r="77521" spans="3:3" x14ac:dyDescent="0.35">
      <c r="C77521" s="2"/>
    </row>
    <row r="77522" spans="3:3" x14ac:dyDescent="0.35">
      <c r="C77522" s="2"/>
    </row>
    <row r="77523" spans="3:3" x14ac:dyDescent="0.35">
      <c r="C77523" s="2"/>
    </row>
    <row r="77524" spans="3:3" x14ac:dyDescent="0.35">
      <c r="C77524" s="2"/>
    </row>
    <row r="77525" spans="3:3" x14ac:dyDescent="0.35">
      <c r="C77525" s="2"/>
    </row>
    <row r="77526" spans="3:3" x14ac:dyDescent="0.35">
      <c r="C77526" s="2"/>
    </row>
    <row r="77527" spans="3:3" x14ac:dyDescent="0.35">
      <c r="C77527" s="2"/>
    </row>
    <row r="77528" spans="3:3" x14ac:dyDescent="0.35">
      <c r="C77528" s="2"/>
    </row>
    <row r="77529" spans="3:3" x14ac:dyDescent="0.35">
      <c r="C77529" s="2"/>
    </row>
    <row r="77530" spans="3:3" x14ac:dyDescent="0.35">
      <c r="C77530" s="2"/>
    </row>
    <row r="77531" spans="3:3" x14ac:dyDescent="0.35">
      <c r="C77531" s="2"/>
    </row>
    <row r="77532" spans="3:3" x14ac:dyDescent="0.35">
      <c r="C77532" s="2"/>
    </row>
    <row r="77533" spans="3:3" x14ac:dyDescent="0.35">
      <c r="C77533" s="2"/>
    </row>
    <row r="77534" spans="3:3" x14ac:dyDescent="0.35">
      <c r="C77534" s="2"/>
    </row>
    <row r="77535" spans="3:3" x14ac:dyDescent="0.35">
      <c r="C77535" s="2"/>
    </row>
    <row r="77536" spans="3:3" x14ac:dyDescent="0.35">
      <c r="C77536" s="2"/>
    </row>
    <row r="77537" spans="3:3" x14ac:dyDescent="0.35">
      <c r="C77537" s="2"/>
    </row>
    <row r="77538" spans="3:3" x14ac:dyDescent="0.35">
      <c r="C77538" s="2"/>
    </row>
    <row r="77539" spans="3:3" x14ac:dyDescent="0.35">
      <c r="C77539" s="2"/>
    </row>
    <row r="77540" spans="3:3" x14ac:dyDescent="0.35">
      <c r="C77540" s="2"/>
    </row>
    <row r="77541" spans="3:3" x14ac:dyDescent="0.35">
      <c r="C77541" s="2"/>
    </row>
    <row r="77542" spans="3:3" x14ac:dyDescent="0.35">
      <c r="C77542" s="2"/>
    </row>
    <row r="77543" spans="3:3" x14ac:dyDescent="0.35">
      <c r="C77543" s="2"/>
    </row>
    <row r="77544" spans="3:3" x14ac:dyDescent="0.35">
      <c r="C77544" s="2"/>
    </row>
    <row r="77545" spans="3:3" x14ac:dyDescent="0.35">
      <c r="C77545" s="2"/>
    </row>
    <row r="77546" spans="3:3" x14ac:dyDescent="0.35">
      <c r="C77546" s="2"/>
    </row>
    <row r="77547" spans="3:3" x14ac:dyDescent="0.35">
      <c r="C77547" s="2"/>
    </row>
    <row r="77548" spans="3:3" x14ac:dyDescent="0.35">
      <c r="C77548" s="2"/>
    </row>
    <row r="77549" spans="3:3" x14ac:dyDescent="0.35">
      <c r="C77549" s="2"/>
    </row>
    <row r="77550" spans="3:3" x14ac:dyDescent="0.35">
      <c r="C77550" s="2"/>
    </row>
    <row r="77551" spans="3:3" x14ac:dyDescent="0.35">
      <c r="C77551" s="2"/>
    </row>
    <row r="77552" spans="3:3" x14ac:dyDescent="0.35">
      <c r="C77552" s="2"/>
    </row>
    <row r="77553" spans="3:3" x14ac:dyDescent="0.35">
      <c r="C77553" s="2"/>
    </row>
    <row r="77554" spans="3:3" x14ac:dyDescent="0.35">
      <c r="C77554" s="2"/>
    </row>
    <row r="77555" spans="3:3" x14ac:dyDescent="0.35">
      <c r="C77555" s="2"/>
    </row>
    <row r="77556" spans="3:3" x14ac:dyDescent="0.35">
      <c r="C77556" s="2"/>
    </row>
    <row r="77557" spans="3:3" x14ac:dyDescent="0.35">
      <c r="C77557" s="2"/>
    </row>
    <row r="77558" spans="3:3" x14ac:dyDescent="0.35">
      <c r="C77558" s="2"/>
    </row>
    <row r="77559" spans="3:3" x14ac:dyDescent="0.35">
      <c r="C77559" s="2"/>
    </row>
    <row r="77560" spans="3:3" x14ac:dyDescent="0.35">
      <c r="C77560" s="2"/>
    </row>
    <row r="77561" spans="3:3" x14ac:dyDescent="0.35">
      <c r="C77561" s="2"/>
    </row>
    <row r="77562" spans="3:3" x14ac:dyDescent="0.35">
      <c r="C77562" s="2"/>
    </row>
    <row r="77563" spans="3:3" x14ac:dyDescent="0.35">
      <c r="C77563" s="2"/>
    </row>
    <row r="77564" spans="3:3" x14ac:dyDescent="0.35">
      <c r="C77564" s="2"/>
    </row>
    <row r="77565" spans="3:3" x14ac:dyDescent="0.35">
      <c r="C77565" s="2"/>
    </row>
    <row r="77566" spans="3:3" x14ac:dyDescent="0.35">
      <c r="C77566" s="2"/>
    </row>
    <row r="77567" spans="3:3" x14ac:dyDescent="0.35">
      <c r="C77567" s="2"/>
    </row>
    <row r="77568" spans="3:3" x14ac:dyDescent="0.35">
      <c r="C77568" s="2"/>
    </row>
    <row r="77569" spans="3:3" x14ac:dyDescent="0.35">
      <c r="C77569" s="2"/>
    </row>
    <row r="77570" spans="3:3" x14ac:dyDescent="0.35">
      <c r="C77570" s="2"/>
    </row>
    <row r="77571" spans="3:3" x14ac:dyDescent="0.35">
      <c r="C77571" s="2"/>
    </row>
    <row r="77572" spans="3:3" x14ac:dyDescent="0.35">
      <c r="C77572" s="2"/>
    </row>
    <row r="77573" spans="3:3" x14ac:dyDescent="0.35">
      <c r="C77573" s="2"/>
    </row>
    <row r="77574" spans="3:3" x14ac:dyDescent="0.35">
      <c r="C77574" s="2"/>
    </row>
    <row r="77575" spans="3:3" x14ac:dyDescent="0.35">
      <c r="C77575" s="2"/>
    </row>
    <row r="77576" spans="3:3" x14ac:dyDescent="0.35">
      <c r="C77576" s="2"/>
    </row>
    <row r="77577" spans="3:3" x14ac:dyDescent="0.35">
      <c r="C77577" s="2"/>
    </row>
    <row r="77578" spans="3:3" x14ac:dyDescent="0.35">
      <c r="C77578" s="2"/>
    </row>
    <row r="77579" spans="3:3" x14ac:dyDescent="0.35">
      <c r="C77579" s="2"/>
    </row>
    <row r="77580" spans="3:3" x14ac:dyDescent="0.35">
      <c r="C77580" s="2"/>
    </row>
    <row r="77581" spans="3:3" x14ac:dyDescent="0.35">
      <c r="C77581" s="2"/>
    </row>
    <row r="77582" spans="3:3" x14ac:dyDescent="0.35">
      <c r="C77582" s="2"/>
    </row>
    <row r="77583" spans="3:3" x14ac:dyDescent="0.35">
      <c r="C77583" s="2"/>
    </row>
    <row r="77584" spans="3:3" x14ac:dyDescent="0.35">
      <c r="C77584" s="2"/>
    </row>
    <row r="77585" spans="3:3" x14ac:dyDescent="0.35">
      <c r="C77585" s="2"/>
    </row>
    <row r="77586" spans="3:3" x14ac:dyDescent="0.35">
      <c r="C77586" s="2"/>
    </row>
    <row r="77587" spans="3:3" x14ac:dyDescent="0.35">
      <c r="C77587" s="2"/>
    </row>
    <row r="77588" spans="3:3" x14ac:dyDescent="0.35">
      <c r="C77588" s="2"/>
    </row>
    <row r="77589" spans="3:3" x14ac:dyDescent="0.35">
      <c r="C77589" s="2"/>
    </row>
    <row r="77590" spans="3:3" x14ac:dyDescent="0.35">
      <c r="C77590" s="2"/>
    </row>
    <row r="77591" spans="3:3" x14ac:dyDescent="0.35">
      <c r="C77591" s="2"/>
    </row>
    <row r="77592" spans="3:3" x14ac:dyDescent="0.35">
      <c r="C77592" s="2"/>
    </row>
    <row r="77593" spans="3:3" x14ac:dyDescent="0.35">
      <c r="C77593" s="2"/>
    </row>
    <row r="77594" spans="3:3" x14ac:dyDescent="0.35">
      <c r="C77594" s="2"/>
    </row>
    <row r="77595" spans="3:3" x14ac:dyDescent="0.35">
      <c r="C77595" s="2"/>
    </row>
    <row r="77596" spans="3:3" x14ac:dyDescent="0.35">
      <c r="C77596" s="2"/>
    </row>
    <row r="77597" spans="3:3" x14ac:dyDescent="0.35">
      <c r="C77597" s="2"/>
    </row>
    <row r="77598" spans="3:3" x14ac:dyDescent="0.35">
      <c r="C77598" s="2"/>
    </row>
    <row r="77599" spans="3:3" x14ac:dyDescent="0.35">
      <c r="C77599" s="2"/>
    </row>
    <row r="77600" spans="3:3" x14ac:dyDescent="0.35">
      <c r="C77600" s="2"/>
    </row>
    <row r="77601" spans="3:3" x14ac:dyDescent="0.35">
      <c r="C77601" s="2"/>
    </row>
    <row r="77602" spans="3:3" x14ac:dyDescent="0.35">
      <c r="C77602" s="2"/>
    </row>
    <row r="77603" spans="3:3" x14ac:dyDescent="0.35">
      <c r="C77603" s="2"/>
    </row>
    <row r="77604" spans="3:3" x14ac:dyDescent="0.35">
      <c r="C77604" s="2"/>
    </row>
    <row r="77605" spans="3:3" x14ac:dyDescent="0.35">
      <c r="C77605" s="2"/>
    </row>
    <row r="77606" spans="3:3" x14ac:dyDescent="0.35">
      <c r="C77606" s="2"/>
    </row>
    <row r="77607" spans="3:3" x14ac:dyDescent="0.35">
      <c r="C77607" s="2"/>
    </row>
    <row r="77608" spans="3:3" x14ac:dyDescent="0.35">
      <c r="C77608" s="2"/>
    </row>
    <row r="77609" spans="3:3" x14ac:dyDescent="0.35">
      <c r="C77609" s="2"/>
    </row>
    <row r="77610" spans="3:3" x14ac:dyDescent="0.35">
      <c r="C77610" s="2"/>
    </row>
    <row r="77611" spans="3:3" x14ac:dyDescent="0.35">
      <c r="C77611" s="2"/>
    </row>
    <row r="77612" spans="3:3" x14ac:dyDescent="0.35">
      <c r="C77612" s="2"/>
    </row>
    <row r="77613" spans="3:3" x14ac:dyDescent="0.35">
      <c r="C77613" s="2"/>
    </row>
    <row r="77614" spans="3:3" x14ac:dyDescent="0.35">
      <c r="C77614" s="2"/>
    </row>
    <row r="77615" spans="3:3" x14ac:dyDescent="0.35">
      <c r="C77615" s="2"/>
    </row>
    <row r="77616" spans="3:3" x14ac:dyDescent="0.35">
      <c r="C77616" s="2"/>
    </row>
    <row r="77617" spans="3:3" x14ac:dyDescent="0.35">
      <c r="C77617" s="2"/>
    </row>
    <row r="77618" spans="3:3" x14ac:dyDescent="0.35">
      <c r="C77618" s="2"/>
    </row>
    <row r="77619" spans="3:3" x14ac:dyDescent="0.35">
      <c r="C77619" s="2"/>
    </row>
    <row r="77620" spans="3:3" x14ac:dyDescent="0.35">
      <c r="C77620" s="2"/>
    </row>
    <row r="77621" spans="3:3" x14ac:dyDescent="0.35">
      <c r="C77621" s="2"/>
    </row>
    <row r="77622" spans="3:3" x14ac:dyDescent="0.35">
      <c r="C77622" s="2"/>
    </row>
    <row r="77623" spans="3:3" x14ac:dyDescent="0.35">
      <c r="C77623" s="2"/>
    </row>
    <row r="77624" spans="3:3" x14ac:dyDescent="0.35">
      <c r="C77624" s="2"/>
    </row>
    <row r="77625" spans="3:3" x14ac:dyDescent="0.35">
      <c r="C77625" s="2"/>
    </row>
    <row r="77626" spans="3:3" x14ac:dyDescent="0.35">
      <c r="C77626" s="2"/>
    </row>
    <row r="77627" spans="3:3" x14ac:dyDescent="0.35">
      <c r="C77627" s="2"/>
    </row>
    <row r="77628" spans="3:3" x14ac:dyDescent="0.35">
      <c r="C77628" s="2"/>
    </row>
    <row r="77629" spans="3:3" x14ac:dyDescent="0.35">
      <c r="C77629" s="2"/>
    </row>
    <row r="77630" spans="3:3" x14ac:dyDescent="0.35">
      <c r="C77630" s="2"/>
    </row>
    <row r="77631" spans="3:3" x14ac:dyDescent="0.35">
      <c r="C77631" s="2"/>
    </row>
    <row r="77632" spans="3:3" x14ac:dyDescent="0.35">
      <c r="C77632" s="2"/>
    </row>
    <row r="77633" spans="3:3" x14ac:dyDescent="0.35">
      <c r="C77633" s="2"/>
    </row>
    <row r="77634" spans="3:3" x14ac:dyDescent="0.35">
      <c r="C77634" s="2"/>
    </row>
    <row r="77635" spans="3:3" x14ac:dyDescent="0.35">
      <c r="C77635" s="2"/>
    </row>
    <row r="77636" spans="3:3" x14ac:dyDescent="0.35">
      <c r="C77636" s="2"/>
    </row>
    <row r="77637" spans="3:3" x14ac:dyDescent="0.35">
      <c r="C77637" s="2"/>
    </row>
    <row r="77638" spans="3:3" x14ac:dyDescent="0.35">
      <c r="C77638" s="2"/>
    </row>
    <row r="77639" spans="3:3" x14ac:dyDescent="0.35">
      <c r="C77639" s="2"/>
    </row>
    <row r="77640" spans="3:3" x14ac:dyDescent="0.35">
      <c r="C77640" s="2"/>
    </row>
    <row r="77641" spans="3:3" x14ac:dyDescent="0.35">
      <c r="C77641" s="2"/>
    </row>
    <row r="77642" spans="3:3" x14ac:dyDescent="0.35">
      <c r="C77642" s="2"/>
    </row>
    <row r="77643" spans="3:3" x14ac:dyDescent="0.35">
      <c r="C77643" s="2"/>
    </row>
    <row r="77644" spans="3:3" x14ac:dyDescent="0.35">
      <c r="C77644" s="2"/>
    </row>
    <row r="77645" spans="3:3" x14ac:dyDescent="0.35">
      <c r="C77645" s="2"/>
    </row>
    <row r="77646" spans="3:3" x14ac:dyDescent="0.35">
      <c r="C77646" s="2"/>
    </row>
    <row r="77647" spans="3:3" x14ac:dyDescent="0.35">
      <c r="C77647" s="2"/>
    </row>
    <row r="77648" spans="3:3" x14ac:dyDescent="0.35">
      <c r="C77648" s="2"/>
    </row>
    <row r="77649" spans="3:3" x14ac:dyDescent="0.35">
      <c r="C77649" s="2"/>
    </row>
    <row r="77650" spans="3:3" x14ac:dyDescent="0.35">
      <c r="C77650" s="2"/>
    </row>
    <row r="77651" spans="3:3" x14ac:dyDescent="0.35">
      <c r="C77651" s="2"/>
    </row>
    <row r="77652" spans="3:3" x14ac:dyDescent="0.35">
      <c r="C77652" s="2"/>
    </row>
    <row r="77653" spans="3:3" x14ac:dyDescent="0.35">
      <c r="C77653" s="2"/>
    </row>
    <row r="77654" spans="3:3" x14ac:dyDescent="0.35">
      <c r="C77654" s="2"/>
    </row>
    <row r="77655" spans="3:3" x14ac:dyDescent="0.35">
      <c r="C77655" s="2"/>
    </row>
    <row r="77656" spans="3:3" x14ac:dyDescent="0.35">
      <c r="C77656" s="2"/>
    </row>
    <row r="77657" spans="3:3" x14ac:dyDescent="0.35">
      <c r="C77657" s="2"/>
    </row>
    <row r="77658" spans="3:3" x14ac:dyDescent="0.35">
      <c r="C77658" s="2"/>
    </row>
    <row r="77659" spans="3:3" x14ac:dyDescent="0.35">
      <c r="C77659" s="2"/>
    </row>
    <row r="77660" spans="3:3" x14ac:dyDescent="0.35">
      <c r="C77660" s="2"/>
    </row>
    <row r="77661" spans="3:3" x14ac:dyDescent="0.35">
      <c r="C77661" s="2"/>
    </row>
    <row r="77662" spans="3:3" x14ac:dyDescent="0.35">
      <c r="C77662" s="2"/>
    </row>
    <row r="77663" spans="3:3" x14ac:dyDescent="0.35">
      <c r="C77663" s="2"/>
    </row>
    <row r="77664" spans="3:3" x14ac:dyDescent="0.35">
      <c r="C77664" s="2"/>
    </row>
    <row r="77665" spans="3:3" x14ac:dyDescent="0.35">
      <c r="C77665" s="2"/>
    </row>
    <row r="77666" spans="3:3" x14ac:dyDescent="0.35">
      <c r="C77666" s="2"/>
    </row>
    <row r="77667" spans="3:3" x14ac:dyDescent="0.35">
      <c r="C77667" s="2"/>
    </row>
    <row r="77668" spans="3:3" x14ac:dyDescent="0.35">
      <c r="C77668" s="2"/>
    </row>
    <row r="77669" spans="3:3" x14ac:dyDescent="0.35">
      <c r="C77669" s="2"/>
    </row>
    <row r="77670" spans="3:3" x14ac:dyDescent="0.35">
      <c r="C77670" s="2"/>
    </row>
    <row r="77671" spans="3:3" x14ac:dyDescent="0.35">
      <c r="C77671" s="2"/>
    </row>
    <row r="77672" spans="3:3" x14ac:dyDescent="0.35">
      <c r="C77672" s="2"/>
    </row>
    <row r="77673" spans="3:3" x14ac:dyDescent="0.35">
      <c r="C77673" s="2"/>
    </row>
    <row r="77674" spans="3:3" x14ac:dyDescent="0.35">
      <c r="C77674" s="2"/>
    </row>
    <row r="77675" spans="3:3" x14ac:dyDescent="0.35">
      <c r="C77675" s="2"/>
    </row>
    <row r="77676" spans="3:3" x14ac:dyDescent="0.35">
      <c r="C77676" s="2"/>
    </row>
    <row r="77677" spans="3:3" x14ac:dyDescent="0.35">
      <c r="C77677" s="2"/>
    </row>
    <row r="77678" spans="3:3" x14ac:dyDescent="0.35">
      <c r="C77678" s="2"/>
    </row>
    <row r="77679" spans="3:3" x14ac:dyDescent="0.35">
      <c r="C77679" s="2"/>
    </row>
    <row r="77680" spans="3:3" x14ac:dyDescent="0.35">
      <c r="C77680" s="2"/>
    </row>
    <row r="77681" spans="3:3" x14ac:dyDescent="0.35">
      <c r="C77681" s="2"/>
    </row>
    <row r="77682" spans="3:3" x14ac:dyDescent="0.35">
      <c r="C77682" s="2"/>
    </row>
    <row r="77683" spans="3:3" x14ac:dyDescent="0.35">
      <c r="C77683" s="2"/>
    </row>
    <row r="77684" spans="3:3" x14ac:dyDescent="0.35">
      <c r="C77684" s="2"/>
    </row>
    <row r="77685" spans="3:3" x14ac:dyDescent="0.35">
      <c r="C77685" s="2"/>
    </row>
    <row r="77686" spans="3:3" x14ac:dyDescent="0.35">
      <c r="C77686" s="2"/>
    </row>
    <row r="77687" spans="3:3" x14ac:dyDescent="0.35">
      <c r="C77687" s="2"/>
    </row>
    <row r="77688" spans="3:3" x14ac:dyDescent="0.35">
      <c r="C77688" s="2"/>
    </row>
    <row r="77689" spans="3:3" x14ac:dyDescent="0.35">
      <c r="C77689" s="2"/>
    </row>
    <row r="77690" spans="3:3" x14ac:dyDescent="0.35">
      <c r="C77690" s="2"/>
    </row>
    <row r="77691" spans="3:3" x14ac:dyDescent="0.35">
      <c r="C77691" s="2"/>
    </row>
    <row r="77692" spans="3:3" x14ac:dyDescent="0.35">
      <c r="C77692" s="2"/>
    </row>
    <row r="77693" spans="3:3" x14ac:dyDescent="0.35">
      <c r="C77693" s="2"/>
    </row>
    <row r="77694" spans="3:3" x14ac:dyDescent="0.35">
      <c r="C77694" s="2"/>
    </row>
    <row r="77695" spans="3:3" x14ac:dyDescent="0.35">
      <c r="C77695" s="2"/>
    </row>
    <row r="77696" spans="3:3" x14ac:dyDescent="0.35">
      <c r="C77696" s="2"/>
    </row>
    <row r="77697" spans="3:3" x14ac:dyDescent="0.35">
      <c r="C77697" s="2"/>
    </row>
    <row r="77698" spans="3:3" x14ac:dyDescent="0.35">
      <c r="C77698" s="2"/>
    </row>
    <row r="77699" spans="3:3" x14ac:dyDescent="0.35">
      <c r="C77699" s="2"/>
    </row>
    <row r="77700" spans="3:3" x14ac:dyDescent="0.35">
      <c r="C77700" s="2"/>
    </row>
    <row r="77701" spans="3:3" x14ac:dyDescent="0.35">
      <c r="C77701" s="2"/>
    </row>
    <row r="77702" spans="3:3" x14ac:dyDescent="0.35">
      <c r="C77702" s="2"/>
    </row>
    <row r="77703" spans="3:3" x14ac:dyDescent="0.35">
      <c r="C77703" s="2"/>
    </row>
    <row r="77704" spans="3:3" x14ac:dyDescent="0.35">
      <c r="C77704" s="2"/>
    </row>
    <row r="77705" spans="3:3" x14ac:dyDescent="0.35">
      <c r="C77705" s="2"/>
    </row>
    <row r="77706" spans="3:3" x14ac:dyDescent="0.35">
      <c r="C77706" s="2"/>
    </row>
    <row r="77707" spans="3:3" x14ac:dyDescent="0.35">
      <c r="C77707" s="2"/>
    </row>
    <row r="77708" spans="3:3" x14ac:dyDescent="0.35">
      <c r="C77708" s="2"/>
    </row>
    <row r="77709" spans="3:3" x14ac:dyDescent="0.35">
      <c r="C77709" s="2"/>
    </row>
    <row r="77710" spans="3:3" x14ac:dyDescent="0.35">
      <c r="C77710" s="2"/>
    </row>
    <row r="77711" spans="3:3" x14ac:dyDescent="0.35">
      <c r="C77711" s="2"/>
    </row>
    <row r="77712" spans="3:3" x14ac:dyDescent="0.35">
      <c r="C77712" s="2"/>
    </row>
    <row r="77713" spans="3:3" x14ac:dyDescent="0.35">
      <c r="C77713" s="2"/>
    </row>
    <row r="77714" spans="3:3" x14ac:dyDescent="0.35">
      <c r="C77714" s="2"/>
    </row>
    <row r="77715" spans="3:3" x14ac:dyDescent="0.35">
      <c r="C77715" s="2"/>
    </row>
    <row r="77716" spans="3:3" x14ac:dyDescent="0.35">
      <c r="C77716" s="2"/>
    </row>
    <row r="77717" spans="3:3" x14ac:dyDescent="0.35">
      <c r="C77717" s="2"/>
    </row>
    <row r="77718" spans="3:3" x14ac:dyDescent="0.35">
      <c r="C77718" s="2"/>
    </row>
    <row r="77719" spans="3:3" x14ac:dyDescent="0.35">
      <c r="C77719" s="2"/>
    </row>
    <row r="77720" spans="3:3" x14ac:dyDescent="0.35">
      <c r="C77720" s="2"/>
    </row>
    <row r="77721" spans="3:3" x14ac:dyDescent="0.35">
      <c r="C77721" s="2"/>
    </row>
    <row r="77722" spans="3:3" x14ac:dyDescent="0.35">
      <c r="C77722" s="2"/>
    </row>
    <row r="77723" spans="3:3" x14ac:dyDescent="0.35">
      <c r="C77723" s="2"/>
    </row>
    <row r="77724" spans="3:3" x14ac:dyDescent="0.35">
      <c r="C77724" s="2"/>
    </row>
    <row r="77725" spans="3:3" x14ac:dyDescent="0.35">
      <c r="C77725" s="2"/>
    </row>
    <row r="77726" spans="3:3" x14ac:dyDescent="0.35">
      <c r="C77726" s="2"/>
    </row>
    <row r="77727" spans="3:3" x14ac:dyDescent="0.35">
      <c r="C77727" s="2"/>
    </row>
    <row r="77728" spans="3:3" x14ac:dyDescent="0.35">
      <c r="C77728" s="2"/>
    </row>
    <row r="77729" spans="3:3" x14ac:dyDescent="0.35">
      <c r="C77729" s="2"/>
    </row>
    <row r="77730" spans="3:3" x14ac:dyDescent="0.35">
      <c r="C77730" s="2"/>
    </row>
    <row r="77731" spans="3:3" x14ac:dyDescent="0.35">
      <c r="C77731" s="2"/>
    </row>
    <row r="77732" spans="3:3" x14ac:dyDescent="0.35">
      <c r="C77732" s="2"/>
    </row>
    <row r="77733" spans="3:3" x14ac:dyDescent="0.35">
      <c r="C77733" s="2"/>
    </row>
    <row r="77734" spans="3:3" x14ac:dyDescent="0.35">
      <c r="C77734" s="2"/>
    </row>
    <row r="77735" spans="3:3" x14ac:dyDescent="0.35">
      <c r="C77735" s="2"/>
    </row>
    <row r="77736" spans="3:3" x14ac:dyDescent="0.35">
      <c r="C77736" s="2"/>
    </row>
    <row r="77737" spans="3:3" x14ac:dyDescent="0.35">
      <c r="C77737" s="2"/>
    </row>
    <row r="77738" spans="3:3" x14ac:dyDescent="0.35">
      <c r="C77738" s="2"/>
    </row>
    <row r="77739" spans="3:3" x14ac:dyDescent="0.35">
      <c r="C77739" s="2"/>
    </row>
    <row r="77740" spans="3:3" x14ac:dyDescent="0.35">
      <c r="C77740" s="2"/>
    </row>
    <row r="77741" spans="3:3" x14ac:dyDescent="0.35">
      <c r="C77741" s="2"/>
    </row>
    <row r="77742" spans="3:3" x14ac:dyDescent="0.35">
      <c r="C77742" s="2"/>
    </row>
    <row r="77743" spans="3:3" x14ac:dyDescent="0.35">
      <c r="C77743" s="2"/>
    </row>
    <row r="77744" spans="3:3" x14ac:dyDescent="0.35">
      <c r="C77744" s="2"/>
    </row>
    <row r="77745" spans="3:3" x14ac:dyDescent="0.35">
      <c r="C77745" s="2"/>
    </row>
    <row r="77746" spans="3:3" x14ac:dyDescent="0.35">
      <c r="C77746" s="2"/>
    </row>
    <row r="77747" spans="3:3" x14ac:dyDescent="0.35">
      <c r="C77747" s="2"/>
    </row>
    <row r="77748" spans="3:3" x14ac:dyDescent="0.35">
      <c r="C77748" s="2"/>
    </row>
    <row r="77749" spans="3:3" x14ac:dyDescent="0.35">
      <c r="C77749" s="2"/>
    </row>
    <row r="77750" spans="3:3" x14ac:dyDescent="0.35">
      <c r="C77750" s="2"/>
    </row>
    <row r="77751" spans="3:3" x14ac:dyDescent="0.35">
      <c r="C77751" s="2"/>
    </row>
    <row r="77752" spans="3:3" x14ac:dyDescent="0.35">
      <c r="C77752" s="2"/>
    </row>
    <row r="77753" spans="3:3" x14ac:dyDescent="0.35">
      <c r="C77753" s="2"/>
    </row>
    <row r="77754" spans="3:3" x14ac:dyDescent="0.35">
      <c r="C77754" s="2"/>
    </row>
    <row r="77755" spans="3:3" x14ac:dyDescent="0.35">
      <c r="C77755" s="2"/>
    </row>
    <row r="77756" spans="3:3" x14ac:dyDescent="0.35">
      <c r="C77756" s="2"/>
    </row>
    <row r="77757" spans="3:3" x14ac:dyDescent="0.35">
      <c r="C77757" s="2"/>
    </row>
    <row r="77758" spans="3:3" x14ac:dyDescent="0.35">
      <c r="C77758" s="2"/>
    </row>
    <row r="77759" spans="3:3" x14ac:dyDescent="0.35">
      <c r="C77759" s="2"/>
    </row>
    <row r="77760" spans="3:3" x14ac:dyDescent="0.35">
      <c r="C77760" s="2"/>
    </row>
    <row r="77761" spans="3:3" x14ac:dyDescent="0.35">
      <c r="C77761" s="2"/>
    </row>
    <row r="77762" spans="3:3" x14ac:dyDescent="0.35">
      <c r="C77762" s="2"/>
    </row>
    <row r="77763" spans="3:3" x14ac:dyDescent="0.35">
      <c r="C77763" s="2"/>
    </row>
    <row r="77764" spans="3:3" x14ac:dyDescent="0.35">
      <c r="C77764" s="2"/>
    </row>
    <row r="77765" spans="3:3" x14ac:dyDescent="0.35">
      <c r="C77765" s="2"/>
    </row>
    <row r="77766" spans="3:3" x14ac:dyDescent="0.35">
      <c r="C77766" s="2"/>
    </row>
    <row r="77767" spans="3:3" x14ac:dyDescent="0.35">
      <c r="C77767" s="2"/>
    </row>
    <row r="77768" spans="3:3" x14ac:dyDescent="0.35">
      <c r="C77768" s="2"/>
    </row>
    <row r="77769" spans="3:3" x14ac:dyDescent="0.35">
      <c r="C77769" s="2"/>
    </row>
    <row r="77770" spans="3:3" x14ac:dyDescent="0.35">
      <c r="C77770" s="2"/>
    </row>
    <row r="77771" spans="3:3" x14ac:dyDescent="0.35">
      <c r="C77771" s="2"/>
    </row>
    <row r="77772" spans="3:3" x14ac:dyDescent="0.35">
      <c r="C77772" s="2"/>
    </row>
    <row r="77773" spans="3:3" x14ac:dyDescent="0.35">
      <c r="C77773" s="2"/>
    </row>
    <row r="77774" spans="3:3" x14ac:dyDescent="0.35">
      <c r="C77774" s="2"/>
    </row>
    <row r="77775" spans="3:3" x14ac:dyDescent="0.35">
      <c r="C77775" s="2"/>
    </row>
    <row r="77776" spans="3:3" x14ac:dyDescent="0.35">
      <c r="C77776" s="2"/>
    </row>
    <row r="77777" spans="3:3" x14ac:dyDescent="0.35">
      <c r="C77777" s="2"/>
    </row>
    <row r="77778" spans="3:3" x14ac:dyDescent="0.35">
      <c r="C77778" s="2"/>
    </row>
    <row r="77779" spans="3:3" x14ac:dyDescent="0.35">
      <c r="C77779" s="2"/>
    </row>
    <row r="77780" spans="3:3" x14ac:dyDescent="0.35">
      <c r="C77780" s="2"/>
    </row>
    <row r="77781" spans="3:3" x14ac:dyDescent="0.35">
      <c r="C77781" s="2"/>
    </row>
    <row r="77782" spans="3:3" x14ac:dyDescent="0.35">
      <c r="C77782" s="2"/>
    </row>
    <row r="77783" spans="3:3" x14ac:dyDescent="0.35">
      <c r="C77783" s="2"/>
    </row>
    <row r="77784" spans="3:3" x14ac:dyDescent="0.35">
      <c r="C77784" s="2"/>
    </row>
    <row r="77785" spans="3:3" x14ac:dyDescent="0.35">
      <c r="C77785" s="2"/>
    </row>
    <row r="77786" spans="3:3" x14ac:dyDescent="0.35">
      <c r="C77786" s="2"/>
    </row>
    <row r="77787" spans="3:3" x14ac:dyDescent="0.35">
      <c r="C77787" s="2"/>
    </row>
    <row r="77788" spans="3:3" x14ac:dyDescent="0.35">
      <c r="C77788" s="2"/>
    </row>
    <row r="77789" spans="3:3" x14ac:dyDescent="0.35">
      <c r="C77789" s="2"/>
    </row>
    <row r="77790" spans="3:3" x14ac:dyDescent="0.35">
      <c r="C77790" s="2"/>
    </row>
    <row r="77791" spans="3:3" x14ac:dyDescent="0.35">
      <c r="C77791" s="2"/>
    </row>
    <row r="77792" spans="3:3" x14ac:dyDescent="0.35">
      <c r="C77792" s="2"/>
    </row>
    <row r="77793" spans="3:3" x14ac:dyDescent="0.35">
      <c r="C77793" s="2"/>
    </row>
    <row r="77794" spans="3:3" x14ac:dyDescent="0.35">
      <c r="C77794" s="2"/>
    </row>
    <row r="77795" spans="3:3" x14ac:dyDescent="0.35">
      <c r="C77795" s="2"/>
    </row>
    <row r="77796" spans="3:3" x14ac:dyDescent="0.35">
      <c r="C77796" s="2"/>
    </row>
    <row r="77797" spans="3:3" x14ac:dyDescent="0.35">
      <c r="C77797" s="2"/>
    </row>
    <row r="77798" spans="3:3" x14ac:dyDescent="0.35">
      <c r="C77798" s="2"/>
    </row>
    <row r="77799" spans="3:3" x14ac:dyDescent="0.35">
      <c r="C77799" s="2"/>
    </row>
    <row r="77800" spans="3:3" x14ac:dyDescent="0.35">
      <c r="C77800" s="2"/>
    </row>
    <row r="77801" spans="3:3" x14ac:dyDescent="0.35">
      <c r="C77801" s="2"/>
    </row>
    <row r="77802" spans="3:3" x14ac:dyDescent="0.35">
      <c r="C77802" s="2"/>
    </row>
    <row r="77803" spans="3:3" x14ac:dyDescent="0.35">
      <c r="C77803" s="2"/>
    </row>
    <row r="77804" spans="3:3" x14ac:dyDescent="0.35">
      <c r="C77804" s="2"/>
    </row>
    <row r="77805" spans="3:3" x14ac:dyDescent="0.35">
      <c r="C77805" s="2"/>
    </row>
    <row r="77806" spans="3:3" x14ac:dyDescent="0.35">
      <c r="C77806" s="2"/>
    </row>
    <row r="77807" spans="3:3" x14ac:dyDescent="0.35">
      <c r="C77807" s="2"/>
    </row>
    <row r="77808" spans="3:3" x14ac:dyDescent="0.35">
      <c r="C77808" s="2"/>
    </row>
    <row r="77809" spans="3:3" x14ac:dyDescent="0.35">
      <c r="C77809" s="2"/>
    </row>
    <row r="77810" spans="3:3" x14ac:dyDescent="0.35">
      <c r="C77810" s="2"/>
    </row>
    <row r="77811" spans="3:3" x14ac:dyDescent="0.35">
      <c r="C77811" s="2"/>
    </row>
    <row r="77812" spans="3:3" x14ac:dyDescent="0.35">
      <c r="C77812" s="2"/>
    </row>
    <row r="77813" spans="3:3" x14ac:dyDescent="0.35">
      <c r="C77813" s="2"/>
    </row>
    <row r="77814" spans="3:3" x14ac:dyDescent="0.35">
      <c r="C77814" s="2"/>
    </row>
    <row r="77815" spans="3:3" x14ac:dyDescent="0.35">
      <c r="C77815" s="2"/>
    </row>
    <row r="77816" spans="3:3" x14ac:dyDescent="0.35">
      <c r="C77816" s="2"/>
    </row>
    <row r="77817" spans="3:3" x14ac:dyDescent="0.35">
      <c r="C77817" s="2"/>
    </row>
    <row r="77818" spans="3:3" x14ac:dyDescent="0.35">
      <c r="C77818" s="2"/>
    </row>
    <row r="77819" spans="3:3" x14ac:dyDescent="0.35">
      <c r="C77819" s="2"/>
    </row>
    <row r="77820" spans="3:3" x14ac:dyDescent="0.35">
      <c r="C77820" s="2"/>
    </row>
    <row r="77821" spans="3:3" x14ac:dyDescent="0.35">
      <c r="C77821" s="2"/>
    </row>
    <row r="77822" spans="3:3" x14ac:dyDescent="0.35">
      <c r="C77822" s="2"/>
    </row>
    <row r="77823" spans="3:3" x14ac:dyDescent="0.35">
      <c r="C77823" s="2"/>
    </row>
    <row r="77824" spans="3:3" x14ac:dyDescent="0.35">
      <c r="C77824" s="2"/>
    </row>
    <row r="77825" spans="3:3" x14ac:dyDescent="0.35">
      <c r="C77825" s="2"/>
    </row>
    <row r="77826" spans="3:3" x14ac:dyDescent="0.35">
      <c r="C77826" s="2"/>
    </row>
    <row r="77827" spans="3:3" x14ac:dyDescent="0.35">
      <c r="C77827" s="2"/>
    </row>
    <row r="77828" spans="3:3" x14ac:dyDescent="0.35">
      <c r="C77828" s="2"/>
    </row>
    <row r="77829" spans="3:3" x14ac:dyDescent="0.35">
      <c r="C77829" s="2"/>
    </row>
    <row r="77830" spans="3:3" x14ac:dyDescent="0.35">
      <c r="C77830" s="2"/>
    </row>
    <row r="77831" spans="3:3" x14ac:dyDescent="0.35">
      <c r="C77831" s="2"/>
    </row>
    <row r="77832" spans="3:3" x14ac:dyDescent="0.35">
      <c r="C77832" s="2"/>
    </row>
    <row r="77833" spans="3:3" x14ac:dyDescent="0.35">
      <c r="C77833" s="2"/>
    </row>
    <row r="77834" spans="3:3" x14ac:dyDescent="0.35">
      <c r="C77834" s="2"/>
    </row>
    <row r="77835" spans="3:3" x14ac:dyDescent="0.35">
      <c r="C77835" s="2"/>
    </row>
    <row r="77836" spans="3:3" x14ac:dyDescent="0.35">
      <c r="C77836" s="2"/>
    </row>
    <row r="77837" spans="3:3" x14ac:dyDescent="0.35">
      <c r="C77837" s="2"/>
    </row>
    <row r="77838" spans="3:3" x14ac:dyDescent="0.35">
      <c r="C77838" s="2"/>
    </row>
    <row r="77839" spans="3:3" x14ac:dyDescent="0.35">
      <c r="C77839" s="2"/>
    </row>
    <row r="77840" spans="3:3" x14ac:dyDescent="0.35">
      <c r="C77840" s="2"/>
    </row>
    <row r="77841" spans="3:3" x14ac:dyDescent="0.35">
      <c r="C77841" s="2"/>
    </row>
    <row r="77842" spans="3:3" x14ac:dyDescent="0.35">
      <c r="C77842" s="2"/>
    </row>
    <row r="77843" spans="3:3" x14ac:dyDescent="0.35">
      <c r="C77843" s="2"/>
    </row>
    <row r="77844" spans="3:3" x14ac:dyDescent="0.35">
      <c r="C77844" s="2"/>
    </row>
    <row r="77845" spans="3:3" x14ac:dyDescent="0.35">
      <c r="C77845" s="2"/>
    </row>
    <row r="77846" spans="3:3" x14ac:dyDescent="0.35">
      <c r="C77846" s="2"/>
    </row>
    <row r="77847" spans="3:3" x14ac:dyDescent="0.35">
      <c r="C77847" s="2"/>
    </row>
    <row r="77848" spans="3:3" x14ac:dyDescent="0.35">
      <c r="C77848" s="2"/>
    </row>
    <row r="77849" spans="3:3" x14ac:dyDescent="0.35">
      <c r="C77849" s="2"/>
    </row>
    <row r="77850" spans="3:3" x14ac:dyDescent="0.35">
      <c r="C77850" s="2"/>
    </row>
    <row r="77851" spans="3:3" x14ac:dyDescent="0.35">
      <c r="C77851" s="2"/>
    </row>
    <row r="77852" spans="3:3" x14ac:dyDescent="0.35">
      <c r="C77852" s="2"/>
    </row>
    <row r="77853" spans="3:3" x14ac:dyDescent="0.35">
      <c r="C77853" s="2"/>
    </row>
    <row r="77854" spans="3:3" x14ac:dyDescent="0.35">
      <c r="C77854" s="2"/>
    </row>
    <row r="77855" spans="3:3" x14ac:dyDescent="0.35">
      <c r="C77855" s="2"/>
    </row>
    <row r="77856" spans="3:3" x14ac:dyDescent="0.35">
      <c r="C77856" s="2"/>
    </row>
    <row r="77857" spans="3:3" x14ac:dyDescent="0.35">
      <c r="C77857" s="2"/>
    </row>
    <row r="77858" spans="3:3" x14ac:dyDescent="0.35">
      <c r="C77858" s="2"/>
    </row>
    <row r="77859" spans="3:3" x14ac:dyDescent="0.35">
      <c r="C77859" s="2"/>
    </row>
    <row r="77860" spans="3:3" x14ac:dyDescent="0.35">
      <c r="C77860" s="2"/>
    </row>
    <row r="77861" spans="3:3" x14ac:dyDescent="0.35">
      <c r="C77861" s="2"/>
    </row>
    <row r="77862" spans="3:3" x14ac:dyDescent="0.35">
      <c r="C77862" s="2"/>
    </row>
    <row r="77863" spans="3:3" x14ac:dyDescent="0.35">
      <c r="C77863" s="2"/>
    </row>
    <row r="77864" spans="3:3" x14ac:dyDescent="0.35">
      <c r="C77864" s="2"/>
    </row>
    <row r="77865" spans="3:3" x14ac:dyDescent="0.35">
      <c r="C77865" s="2"/>
    </row>
    <row r="77866" spans="3:3" x14ac:dyDescent="0.35">
      <c r="C77866" s="2"/>
    </row>
    <row r="77867" spans="3:3" x14ac:dyDescent="0.35">
      <c r="C77867" s="2"/>
    </row>
    <row r="77868" spans="3:3" x14ac:dyDescent="0.35">
      <c r="C77868" s="2"/>
    </row>
    <row r="77869" spans="3:3" x14ac:dyDescent="0.35">
      <c r="C77869" s="2"/>
    </row>
    <row r="77870" spans="3:3" x14ac:dyDescent="0.35">
      <c r="C77870" s="2"/>
    </row>
    <row r="77871" spans="3:3" x14ac:dyDescent="0.35">
      <c r="C77871" s="2"/>
    </row>
    <row r="77872" spans="3:3" x14ac:dyDescent="0.35">
      <c r="C77872" s="2"/>
    </row>
    <row r="77873" spans="3:3" x14ac:dyDescent="0.35">
      <c r="C77873" s="2"/>
    </row>
    <row r="77874" spans="3:3" x14ac:dyDescent="0.35">
      <c r="C77874" s="2"/>
    </row>
    <row r="77875" spans="3:3" x14ac:dyDescent="0.35">
      <c r="C77875" s="2"/>
    </row>
    <row r="77876" spans="3:3" x14ac:dyDescent="0.35">
      <c r="C77876" s="2"/>
    </row>
    <row r="77877" spans="3:3" x14ac:dyDescent="0.35">
      <c r="C77877" s="2"/>
    </row>
    <row r="77878" spans="3:3" x14ac:dyDescent="0.35">
      <c r="C77878" s="2"/>
    </row>
    <row r="77879" spans="3:3" x14ac:dyDescent="0.35">
      <c r="C77879" s="2"/>
    </row>
    <row r="77880" spans="3:3" x14ac:dyDescent="0.35">
      <c r="C77880" s="2"/>
    </row>
    <row r="77881" spans="3:3" x14ac:dyDescent="0.35">
      <c r="C77881" s="2"/>
    </row>
    <row r="77882" spans="3:3" x14ac:dyDescent="0.35">
      <c r="C77882" s="2"/>
    </row>
    <row r="77883" spans="3:3" x14ac:dyDescent="0.35">
      <c r="C77883" s="2"/>
    </row>
    <row r="77884" spans="3:3" x14ac:dyDescent="0.35">
      <c r="C77884" s="2"/>
    </row>
    <row r="77885" spans="3:3" x14ac:dyDescent="0.35">
      <c r="C77885" s="2"/>
    </row>
    <row r="77886" spans="3:3" x14ac:dyDescent="0.35">
      <c r="C77886" s="2"/>
    </row>
    <row r="77887" spans="3:3" x14ac:dyDescent="0.35">
      <c r="C77887" s="2"/>
    </row>
    <row r="77888" spans="3:3" x14ac:dyDescent="0.35">
      <c r="C77888" s="2"/>
    </row>
    <row r="77889" spans="3:3" x14ac:dyDescent="0.35">
      <c r="C77889" s="2"/>
    </row>
    <row r="77890" spans="3:3" x14ac:dyDescent="0.35">
      <c r="C77890" s="2"/>
    </row>
    <row r="77891" spans="3:3" x14ac:dyDescent="0.35">
      <c r="C77891" s="2"/>
    </row>
    <row r="77892" spans="3:3" x14ac:dyDescent="0.35">
      <c r="C77892" s="2"/>
    </row>
    <row r="77893" spans="3:3" x14ac:dyDescent="0.35">
      <c r="C77893" s="2"/>
    </row>
    <row r="77894" spans="3:3" x14ac:dyDescent="0.35">
      <c r="C77894" s="2"/>
    </row>
    <row r="77895" spans="3:3" x14ac:dyDescent="0.35">
      <c r="C77895" s="2"/>
    </row>
    <row r="77896" spans="3:3" x14ac:dyDescent="0.35">
      <c r="C77896" s="2"/>
    </row>
    <row r="77897" spans="3:3" x14ac:dyDescent="0.35">
      <c r="C77897" s="2"/>
    </row>
    <row r="77898" spans="3:3" x14ac:dyDescent="0.35">
      <c r="C77898" s="2"/>
    </row>
    <row r="77899" spans="3:3" x14ac:dyDescent="0.35">
      <c r="C77899" s="2"/>
    </row>
    <row r="77900" spans="3:3" x14ac:dyDescent="0.35">
      <c r="C77900" s="2"/>
    </row>
    <row r="77901" spans="3:3" x14ac:dyDescent="0.35">
      <c r="C77901" s="2"/>
    </row>
    <row r="77902" spans="3:3" x14ac:dyDescent="0.35">
      <c r="C77902" s="2"/>
    </row>
    <row r="77903" spans="3:3" x14ac:dyDescent="0.35">
      <c r="C77903" s="2"/>
    </row>
    <row r="77904" spans="3:3" x14ac:dyDescent="0.35">
      <c r="C77904" s="2"/>
    </row>
    <row r="77905" spans="3:3" x14ac:dyDescent="0.35">
      <c r="C77905" s="2"/>
    </row>
    <row r="77906" spans="3:3" x14ac:dyDescent="0.35">
      <c r="C77906" s="2"/>
    </row>
    <row r="77907" spans="3:3" x14ac:dyDescent="0.35">
      <c r="C77907" s="2"/>
    </row>
    <row r="77908" spans="3:3" x14ac:dyDescent="0.35">
      <c r="C77908" s="2"/>
    </row>
    <row r="77909" spans="3:3" x14ac:dyDescent="0.35">
      <c r="C77909" s="2"/>
    </row>
    <row r="77910" spans="3:3" x14ac:dyDescent="0.35">
      <c r="C77910" s="2"/>
    </row>
    <row r="77911" spans="3:3" x14ac:dyDescent="0.35">
      <c r="C77911" s="2"/>
    </row>
    <row r="77912" spans="3:3" x14ac:dyDescent="0.35">
      <c r="C77912" s="2"/>
    </row>
    <row r="77913" spans="3:3" x14ac:dyDescent="0.35">
      <c r="C77913" s="2"/>
    </row>
    <row r="77914" spans="3:3" x14ac:dyDescent="0.35">
      <c r="C77914" s="2"/>
    </row>
    <row r="77915" spans="3:3" x14ac:dyDescent="0.35">
      <c r="C77915" s="2"/>
    </row>
    <row r="77916" spans="3:3" x14ac:dyDescent="0.35">
      <c r="C77916" s="2"/>
    </row>
    <row r="77917" spans="3:3" x14ac:dyDescent="0.35">
      <c r="C77917" s="2"/>
    </row>
    <row r="77918" spans="3:3" x14ac:dyDescent="0.35">
      <c r="C77918" s="2"/>
    </row>
    <row r="77919" spans="3:3" x14ac:dyDescent="0.35">
      <c r="C77919" s="2"/>
    </row>
    <row r="77920" spans="3:3" x14ac:dyDescent="0.35">
      <c r="C77920" s="2"/>
    </row>
    <row r="77921" spans="3:3" x14ac:dyDescent="0.35">
      <c r="C77921" s="2"/>
    </row>
    <row r="77922" spans="3:3" x14ac:dyDescent="0.35">
      <c r="C77922" s="2"/>
    </row>
    <row r="77923" spans="3:3" x14ac:dyDescent="0.35">
      <c r="C77923" s="2"/>
    </row>
    <row r="77924" spans="3:3" x14ac:dyDescent="0.35">
      <c r="C77924" s="2"/>
    </row>
    <row r="77925" spans="3:3" x14ac:dyDescent="0.35">
      <c r="C77925" s="2"/>
    </row>
    <row r="77926" spans="3:3" x14ac:dyDescent="0.35">
      <c r="C77926" s="2"/>
    </row>
    <row r="77927" spans="3:3" x14ac:dyDescent="0.35">
      <c r="C77927" s="2"/>
    </row>
    <row r="77928" spans="3:3" x14ac:dyDescent="0.35">
      <c r="C77928" s="2"/>
    </row>
    <row r="77929" spans="3:3" x14ac:dyDescent="0.35">
      <c r="C77929" s="2"/>
    </row>
    <row r="77930" spans="3:3" x14ac:dyDescent="0.35">
      <c r="C77930" s="2"/>
    </row>
    <row r="77931" spans="3:3" x14ac:dyDescent="0.35">
      <c r="C77931" s="2"/>
    </row>
    <row r="77932" spans="3:3" x14ac:dyDescent="0.35">
      <c r="C77932" s="2"/>
    </row>
    <row r="77933" spans="3:3" x14ac:dyDescent="0.35">
      <c r="C77933" s="2"/>
    </row>
    <row r="77934" spans="3:3" x14ac:dyDescent="0.35">
      <c r="C77934" s="2"/>
    </row>
    <row r="77935" spans="3:3" x14ac:dyDescent="0.35">
      <c r="C77935" s="2"/>
    </row>
    <row r="77936" spans="3:3" x14ac:dyDescent="0.35">
      <c r="C77936" s="2"/>
    </row>
    <row r="77937" spans="3:3" x14ac:dyDescent="0.35">
      <c r="C77937" s="2"/>
    </row>
    <row r="77938" spans="3:3" x14ac:dyDescent="0.35">
      <c r="C77938" s="2"/>
    </row>
    <row r="77939" spans="3:3" x14ac:dyDescent="0.35">
      <c r="C77939" s="2"/>
    </row>
    <row r="77940" spans="3:3" x14ac:dyDescent="0.35">
      <c r="C77940" s="2"/>
    </row>
    <row r="77941" spans="3:3" x14ac:dyDescent="0.35">
      <c r="C77941" s="2"/>
    </row>
    <row r="77942" spans="3:3" x14ac:dyDescent="0.35">
      <c r="C77942" s="2"/>
    </row>
    <row r="77943" spans="3:3" x14ac:dyDescent="0.35">
      <c r="C77943" s="2"/>
    </row>
    <row r="77944" spans="3:3" x14ac:dyDescent="0.35">
      <c r="C77944" s="2"/>
    </row>
    <row r="77945" spans="3:3" x14ac:dyDescent="0.35">
      <c r="C77945" s="2"/>
    </row>
    <row r="77946" spans="3:3" x14ac:dyDescent="0.35">
      <c r="C77946" s="2"/>
    </row>
    <row r="77947" spans="3:3" x14ac:dyDescent="0.35">
      <c r="C77947" s="2"/>
    </row>
    <row r="77948" spans="3:3" x14ac:dyDescent="0.35">
      <c r="C77948" s="2"/>
    </row>
    <row r="77949" spans="3:3" x14ac:dyDescent="0.35">
      <c r="C77949" s="2"/>
    </row>
    <row r="77950" spans="3:3" x14ac:dyDescent="0.35">
      <c r="C77950" s="2"/>
    </row>
    <row r="77951" spans="3:3" x14ac:dyDescent="0.35">
      <c r="C77951" s="2"/>
    </row>
    <row r="77952" spans="3:3" x14ac:dyDescent="0.35">
      <c r="C77952" s="2"/>
    </row>
    <row r="77953" spans="3:3" x14ac:dyDescent="0.35">
      <c r="C77953" s="2"/>
    </row>
    <row r="77954" spans="3:3" x14ac:dyDescent="0.35">
      <c r="C77954" s="2"/>
    </row>
    <row r="77955" spans="3:3" x14ac:dyDescent="0.35">
      <c r="C77955" s="2"/>
    </row>
    <row r="77956" spans="3:3" x14ac:dyDescent="0.35">
      <c r="C77956" s="2"/>
    </row>
    <row r="77957" spans="3:3" x14ac:dyDescent="0.35">
      <c r="C77957" s="2"/>
    </row>
    <row r="77958" spans="3:3" x14ac:dyDescent="0.35">
      <c r="C77958" s="2"/>
    </row>
    <row r="77959" spans="3:3" x14ac:dyDescent="0.35">
      <c r="C77959" s="2"/>
    </row>
    <row r="77960" spans="3:3" x14ac:dyDescent="0.35">
      <c r="C77960" s="2"/>
    </row>
    <row r="77961" spans="3:3" x14ac:dyDescent="0.35">
      <c r="C77961" s="2"/>
    </row>
    <row r="77962" spans="3:3" x14ac:dyDescent="0.35">
      <c r="C77962" s="2"/>
    </row>
    <row r="77963" spans="3:3" x14ac:dyDescent="0.35">
      <c r="C77963" s="2"/>
    </row>
    <row r="77964" spans="3:3" x14ac:dyDescent="0.35">
      <c r="C77964" s="2"/>
    </row>
    <row r="77965" spans="3:3" x14ac:dyDescent="0.35">
      <c r="C77965" s="2"/>
    </row>
    <row r="77966" spans="3:3" x14ac:dyDescent="0.35">
      <c r="C77966" s="2"/>
    </row>
    <row r="77967" spans="3:3" x14ac:dyDescent="0.35">
      <c r="C77967" s="2"/>
    </row>
    <row r="77968" spans="3:3" x14ac:dyDescent="0.35">
      <c r="C77968" s="2"/>
    </row>
    <row r="77969" spans="3:3" x14ac:dyDescent="0.35">
      <c r="C77969" s="2"/>
    </row>
    <row r="77970" spans="3:3" x14ac:dyDescent="0.35">
      <c r="C77970" s="2"/>
    </row>
    <row r="77971" spans="3:3" x14ac:dyDescent="0.35">
      <c r="C77971" s="2"/>
    </row>
    <row r="77972" spans="3:3" x14ac:dyDescent="0.35">
      <c r="C77972" s="2"/>
    </row>
    <row r="77973" spans="3:3" x14ac:dyDescent="0.35">
      <c r="C77973" s="2"/>
    </row>
    <row r="77974" spans="3:3" x14ac:dyDescent="0.35">
      <c r="C77974" s="2"/>
    </row>
    <row r="77975" spans="3:3" x14ac:dyDescent="0.35">
      <c r="C77975" s="2"/>
    </row>
    <row r="77976" spans="3:3" x14ac:dyDescent="0.35">
      <c r="C77976" s="2"/>
    </row>
    <row r="77977" spans="3:3" x14ac:dyDescent="0.35">
      <c r="C77977" s="2"/>
    </row>
    <row r="77978" spans="3:3" x14ac:dyDescent="0.35">
      <c r="C77978" s="2"/>
    </row>
    <row r="77979" spans="3:3" x14ac:dyDescent="0.35">
      <c r="C77979" s="2"/>
    </row>
    <row r="77980" spans="3:3" x14ac:dyDescent="0.35">
      <c r="C77980" s="2"/>
    </row>
    <row r="77981" spans="3:3" x14ac:dyDescent="0.35">
      <c r="C77981" s="2"/>
    </row>
    <row r="77982" spans="3:3" x14ac:dyDescent="0.35">
      <c r="C77982" s="2"/>
    </row>
    <row r="77983" spans="3:3" x14ac:dyDescent="0.35">
      <c r="C77983" s="2"/>
    </row>
    <row r="77984" spans="3:3" x14ac:dyDescent="0.35">
      <c r="C77984" s="2"/>
    </row>
    <row r="77985" spans="3:3" x14ac:dyDescent="0.35">
      <c r="C77985" s="2"/>
    </row>
    <row r="77986" spans="3:3" x14ac:dyDescent="0.35">
      <c r="C77986" s="2"/>
    </row>
    <row r="77987" spans="3:3" x14ac:dyDescent="0.35">
      <c r="C77987" s="2"/>
    </row>
    <row r="77988" spans="3:3" x14ac:dyDescent="0.35">
      <c r="C77988" s="2"/>
    </row>
    <row r="77989" spans="3:3" x14ac:dyDescent="0.35">
      <c r="C77989" s="2"/>
    </row>
    <row r="77990" spans="3:3" x14ac:dyDescent="0.35">
      <c r="C77990" s="2"/>
    </row>
    <row r="77991" spans="3:3" x14ac:dyDescent="0.35">
      <c r="C77991" s="2"/>
    </row>
    <row r="77992" spans="3:3" x14ac:dyDescent="0.35">
      <c r="C77992" s="2"/>
    </row>
    <row r="77993" spans="3:3" x14ac:dyDescent="0.35">
      <c r="C77993" s="2"/>
    </row>
    <row r="77994" spans="3:3" x14ac:dyDescent="0.35">
      <c r="C77994" s="2"/>
    </row>
    <row r="77995" spans="3:3" x14ac:dyDescent="0.35">
      <c r="C77995" s="2"/>
    </row>
    <row r="77996" spans="3:3" x14ac:dyDescent="0.35">
      <c r="C77996" s="2"/>
    </row>
    <row r="77997" spans="3:3" x14ac:dyDescent="0.35">
      <c r="C77997" s="2"/>
    </row>
    <row r="77998" spans="3:3" x14ac:dyDescent="0.35">
      <c r="C77998" s="2"/>
    </row>
    <row r="77999" spans="3:3" x14ac:dyDescent="0.35">
      <c r="C77999" s="2"/>
    </row>
    <row r="78000" spans="3:3" x14ac:dyDescent="0.35">
      <c r="C78000" s="2"/>
    </row>
    <row r="78001" spans="3:3" x14ac:dyDescent="0.35">
      <c r="C78001" s="2"/>
    </row>
    <row r="78002" spans="3:3" x14ac:dyDescent="0.35">
      <c r="C78002" s="2"/>
    </row>
    <row r="78003" spans="3:3" x14ac:dyDescent="0.35">
      <c r="C78003" s="2"/>
    </row>
    <row r="78004" spans="3:3" x14ac:dyDescent="0.35">
      <c r="C78004" s="2"/>
    </row>
    <row r="78005" spans="3:3" x14ac:dyDescent="0.35">
      <c r="C78005" s="2"/>
    </row>
    <row r="78006" spans="3:3" x14ac:dyDescent="0.35">
      <c r="C78006" s="2"/>
    </row>
    <row r="78007" spans="3:3" x14ac:dyDescent="0.35">
      <c r="C78007" s="2"/>
    </row>
    <row r="78008" spans="3:3" x14ac:dyDescent="0.35">
      <c r="C78008" s="2"/>
    </row>
    <row r="78009" spans="3:3" x14ac:dyDescent="0.35">
      <c r="C78009" s="2"/>
    </row>
    <row r="78010" spans="3:3" x14ac:dyDescent="0.35">
      <c r="C78010" s="2"/>
    </row>
    <row r="78011" spans="3:3" x14ac:dyDescent="0.35">
      <c r="C78011" s="2"/>
    </row>
    <row r="78012" spans="3:3" x14ac:dyDescent="0.35">
      <c r="C78012" s="2"/>
    </row>
    <row r="78013" spans="3:3" x14ac:dyDescent="0.35">
      <c r="C78013" s="2"/>
    </row>
    <row r="78014" spans="3:3" x14ac:dyDescent="0.35">
      <c r="C78014" s="2"/>
    </row>
    <row r="78015" spans="3:3" x14ac:dyDescent="0.35">
      <c r="C78015" s="2"/>
    </row>
    <row r="78016" spans="3:3" x14ac:dyDescent="0.35">
      <c r="C78016" s="2"/>
    </row>
    <row r="78017" spans="3:3" x14ac:dyDescent="0.35">
      <c r="C78017" s="2"/>
    </row>
    <row r="78018" spans="3:3" x14ac:dyDescent="0.35">
      <c r="C78018" s="2"/>
    </row>
    <row r="78019" spans="3:3" x14ac:dyDescent="0.35">
      <c r="C78019" s="2"/>
    </row>
    <row r="78020" spans="3:3" x14ac:dyDescent="0.35">
      <c r="C78020" s="2"/>
    </row>
    <row r="78021" spans="3:3" x14ac:dyDescent="0.35">
      <c r="C78021" s="2"/>
    </row>
    <row r="78022" spans="3:3" x14ac:dyDescent="0.35">
      <c r="C78022" s="2"/>
    </row>
    <row r="78023" spans="3:3" x14ac:dyDescent="0.35">
      <c r="C78023" s="2"/>
    </row>
    <row r="78024" spans="3:3" x14ac:dyDescent="0.35">
      <c r="C78024" s="2"/>
    </row>
    <row r="78025" spans="3:3" x14ac:dyDescent="0.35">
      <c r="C78025" s="2"/>
    </row>
    <row r="78026" spans="3:3" x14ac:dyDescent="0.35">
      <c r="C78026" s="2"/>
    </row>
    <row r="78027" spans="3:3" x14ac:dyDescent="0.35">
      <c r="C78027" s="2"/>
    </row>
    <row r="78028" spans="3:3" x14ac:dyDescent="0.35">
      <c r="C78028" s="2"/>
    </row>
    <row r="78029" spans="3:3" x14ac:dyDescent="0.35">
      <c r="C78029" s="2"/>
    </row>
    <row r="78030" spans="3:3" x14ac:dyDescent="0.35">
      <c r="C78030" s="2"/>
    </row>
    <row r="78031" spans="3:3" x14ac:dyDescent="0.35">
      <c r="C78031" s="2"/>
    </row>
    <row r="78032" spans="3:3" x14ac:dyDescent="0.35">
      <c r="C78032" s="2"/>
    </row>
    <row r="78033" spans="3:3" x14ac:dyDescent="0.35">
      <c r="C78033" s="2"/>
    </row>
    <row r="78034" spans="3:3" x14ac:dyDescent="0.35">
      <c r="C78034" s="2"/>
    </row>
    <row r="78035" spans="3:3" x14ac:dyDescent="0.35">
      <c r="C78035" s="2"/>
    </row>
    <row r="78036" spans="3:3" x14ac:dyDescent="0.35">
      <c r="C78036" s="2"/>
    </row>
    <row r="78037" spans="3:3" x14ac:dyDescent="0.35">
      <c r="C78037" s="2"/>
    </row>
    <row r="78038" spans="3:3" x14ac:dyDescent="0.35">
      <c r="C78038" s="2"/>
    </row>
    <row r="78039" spans="3:3" x14ac:dyDescent="0.35">
      <c r="C78039" s="2"/>
    </row>
    <row r="78040" spans="3:3" x14ac:dyDescent="0.35">
      <c r="C78040" s="2"/>
    </row>
    <row r="78041" spans="3:3" x14ac:dyDescent="0.35">
      <c r="C78041" s="2"/>
    </row>
    <row r="78042" spans="3:3" x14ac:dyDescent="0.35">
      <c r="C78042" s="2"/>
    </row>
    <row r="78043" spans="3:3" x14ac:dyDescent="0.35">
      <c r="C78043" s="2"/>
    </row>
    <row r="78044" spans="3:3" x14ac:dyDescent="0.35">
      <c r="C78044" s="2"/>
    </row>
    <row r="78045" spans="3:3" x14ac:dyDescent="0.35">
      <c r="C78045" s="2"/>
    </row>
    <row r="78046" spans="3:3" x14ac:dyDescent="0.35">
      <c r="C78046" s="2"/>
    </row>
    <row r="78047" spans="3:3" x14ac:dyDescent="0.35">
      <c r="C78047" s="2"/>
    </row>
    <row r="78048" spans="3:3" x14ac:dyDescent="0.35">
      <c r="C78048" s="2"/>
    </row>
    <row r="78049" spans="3:3" x14ac:dyDescent="0.35">
      <c r="C78049" s="2"/>
    </row>
    <row r="78050" spans="3:3" x14ac:dyDescent="0.35">
      <c r="C78050" s="2"/>
    </row>
    <row r="78051" spans="3:3" x14ac:dyDescent="0.35">
      <c r="C78051" s="2"/>
    </row>
    <row r="78052" spans="3:3" x14ac:dyDescent="0.35">
      <c r="C78052" s="2"/>
    </row>
    <row r="78053" spans="3:3" x14ac:dyDescent="0.35">
      <c r="C78053" s="2"/>
    </row>
    <row r="78054" spans="3:3" x14ac:dyDescent="0.35">
      <c r="C78054" s="2"/>
    </row>
    <row r="78055" spans="3:3" x14ac:dyDescent="0.35">
      <c r="C78055" s="2"/>
    </row>
    <row r="78056" spans="3:3" x14ac:dyDescent="0.35">
      <c r="C78056" s="2"/>
    </row>
    <row r="78057" spans="3:3" x14ac:dyDescent="0.35">
      <c r="C78057" s="2"/>
    </row>
    <row r="78058" spans="3:3" x14ac:dyDescent="0.35">
      <c r="C78058" s="2"/>
    </row>
    <row r="78059" spans="3:3" x14ac:dyDescent="0.35">
      <c r="C78059" s="2"/>
    </row>
    <row r="78060" spans="3:3" x14ac:dyDescent="0.35">
      <c r="C78060" s="2"/>
    </row>
    <row r="78061" spans="3:3" x14ac:dyDescent="0.35">
      <c r="C78061" s="2"/>
    </row>
    <row r="78062" spans="3:3" x14ac:dyDescent="0.35">
      <c r="C78062" s="2"/>
    </row>
    <row r="78063" spans="3:3" x14ac:dyDescent="0.35">
      <c r="C78063" s="2"/>
    </row>
    <row r="78064" spans="3:3" x14ac:dyDescent="0.35">
      <c r="C78064" s="2"/>
    </row>
    <row r="78065" spans="3:3" x14ac:dyDescent="0.35">
      <c r="C78065" s="2"/>
    </row>
    <row r="78066" spans="3:3" x14ac:dyDescent="0.35">
      <c r="C78066" s="2"/>
    </row>
    <row r="78067" spans="3:3" x14ac:dyDescent="0.35">
      <c r="C78067" s="2"/>
    </row>
    <row r="78068" spans="3:3" x14ac:dyDescent="0.35">
      <c r="C78068" s="2"/>
    </row>
    <row r="78069" spans="3:3" x14ac:dyDescent="0.35">
      <c r="C78069" s="2"/>
    </row>
    <row r="78070" spans="3:3" x14ac:dyDescent="0.35">
      <c r="C78070" s="2"/>
    </row>
    <row r="78071" spans="3:3" x14ac:dyDescent="0.35">
      <c r="C78071" s="2"/>
    </row>
    <row r="78072" spans="3:3" x14ac:dyDescent="0.35">
      <c r="C78072" s="2"/>
    </row>
    <row r="78073" spans="3:3" x14ac:dyDescent="0.35">
      <c r="C78073" s="2"/>
    </row>
    <row r="78074" spans="3:3" x14ac:dyDescent="0.35">
      <c r="C78074" s="2"/>
    </row>
    <row r="78075" spans="3:3" x14ac:dyDescent="0.35">
      <c r="C78075" s="2"/>
    </row>
    <row r="78076" spans="3:3" x14ac:dyDescent="0.35">
      <c r="C78076" s="2"/>
    </row>
    <row r="78077" spans="3:3" x14ac:dyDescent="0.35">
      <c r="C78077" s="2"/>
    </row>
    <row r="78078" spans="3:3" x14ac:dyDescent="0.35">
      <c r="C78078" s="2"/>
    </row>
    <row r="78079" spans="3:3" x14ac:dyDescent="0.35">
      <c r="C78079" s="2"/>
    </row>
    <row r="78080" spans="3:3" x14ac:dyDescent="0.35">
      <c r="C78080" s="2"/>
    </row>
    <row r="78081" spans="3:3" x14ac:dyDescent="0.35">
      <c r="C78081" s="2"/>
    </row>
    <row r="78082" spans="3:3" x14ac:dyDescent="0.35">
      <c r="C78082" s="2"/>
    </row>
    <row r="78083" spans="3:3" x14ac:dyDescent="0.35">
      <c r="C78083" s="2"/>
    </row>
    <row r="78084" spans="3:3" x14ac:dyDescent="0.35">
      <c r="C78084" s="2"/>
    </row>
    <row r="78085" spans="3:3" x14ac:dyDescent="0.35">
      <c r="C78085" s="2"/>
    </row>
    <row r="78086" spans="3:3" x14ac:dyDescent="0.35">
      <c r="C78086" s="2"/>
    </row>
    <row r="78087" spans="3:3" x14ac:dyDescent="0.35">
      <c r="C78087" s="2"/>
    </row>
    <row r="78088" spans="3:3" x14ac:dyDescent="0.35">
      <c r="C78088" s="2"/>
    </row>
    <row r="78089" spans="3:3" x14ac:dyDescent="0.35">
      <c r="C78089" s="2"/>
    </row>
    <row r="78090" spans="3:3" x14ac:dyDescent="0.35">
      <c r="C78090" s="2"/>
    </row>
    <row r="78091" spans="3:3" x14ac:dyDescent="0.35">
      <c r="C78091" s="2"/>
    </row>
    <row r="78092" spans="3:3" x14ac:dyDescent="0.35">
      <c r="C78092" s="2"/>
    </row>
    <row r="78093" spans="3:3" x14ac:dyDescent="0.35">
      <c r="C78093" s="2"/>
    </row>
    <row r="78094" spans="3:3" x14ac:dyDescent="0.35">
      <c r="C78094" s="2"/>
    </row>
    <row r="78095" spans="3:3" x14ac:dyDescent="0.35">
      <c r="C78095" s="2"/>
    </row>
    <row r="78096" spans="3:3" x14ac:dyDescent="0.35">
      <c r="C78096" s="2"/>
    </row>
    <row r="78097" spans="3:3" x14ac:dyDescent="0.35">
      <c r="C78097" s="2"/>
    </row>
    <row r="78098" spans="3:3" x14ac:dyDescent="0.35">
      <c r="C78098" s="2"/>
    </row>
    <row r="78099" spans="3:3" x14ac:dyDescent="0.35">
      <c r="C78099" s="2"/>
    </row>
    <row r="78100" spans="3:3" x14ac:dyDescent="0.35">
      <c r="C78100" s="2"/>
    </row>
    <row r="78101" spans="3:3" x14ac:dyDescent="0.35">
      <c r="C78101" s="2"/>
    </row>
    <row r="78102" spans="3:3" x14ac:dyDescent="0.35">
      <c r="C78102" s="2"/>
    </row>
    <row r="78103" spans="3:3" x14ac:dyDescent="0.35">
      <c r="C78103" s="2"/>
    </row>
    <row r="78104" spans="3:3" x14ac:dyDescent="0.35">
      <c r="C78104" s="2"/>
    </row>
    <row r="78105" spans="3:3" x14ac:dyDescent="0.35">
      <c r="C78105" s="2"/>
    </row>
    <row r="78106" spans="3:3" x14ac:dyDescent="0.35">
      <c r="C78106" s="2"/>
    </row>
    <row r="78107" spans="3:3" x14ac:dyDescent="0.35">
      <c r="C78107" s="2"/>
    </row>
    <row r="78108" spans="3:3" x14ac:dyDescent="0.35">
      <c r="C78108" s="2"/>
    </row>
    <row r="78109" spans="3:3" x14ac:dyDescent="0.35">
      <c r="C78109" s="2"/>
    </row>
    <row r="78110" spans="3:3" x14ac:dyDescent="0.35">
      <c r="C78110" s="2"/>
    </row>
    <row r="78111" spans="3:3" x14ac:dyDescent="0.35">
      <c r="C78111" s="2"/>
    </row>
    <row r="78112" spans="3:3" x14ac:dyDescent="0.35">
      <c r="C78112" s="2"/>
    </row>
    <row r="78113" spans="3:3" x14ac:dyDescent="0.35">
      <c r="C78113" s="2"/>
    </row>
    <row r="78114" spans="3:3" x14ac:dyDescent="0.35">
      <c r="C78114" s="2"/>
    </row>
    <row r="78115" spans="3:3" x14ac:dyDescent="0.35">
      <c r="C78115" s="2"/>
    </row>
    <row r="78116" spans="3:3" x14ac:dyDescent="0.35">
      <c r="C78116" s="2"/>
    </row>
    <row r="78117" spans="3:3" x14ac:dyDescent="0.35">
      <c r="C78117" s="2"/>
    </row>
    <row r="78118" spans="3:3" x14ac:dyDescent="0.35">
      <c r="C78118" s="2"/>
    </row>
    <row r="78119" spans="3:3" x14ac:dyDescent="0.35">
      <c r="C78119" s="2"/>
    </row>
    <row r="78120" spans="3:3" x14ac:dyDescent="0.35">
      <c r="C78120" s="2"/>
    </row>
    <row r="78121" spans="3:3" x14ac:dyDescent="0.35">
      <c r="C78121" s="2"/>
    </row>
    <row r="78122" spans="3:3" x14ac:dyDescent="0.35">
      <c r="C78122" s="2"/>
    </row>
    <row r="78123" spans="3:3" x14ac:dyDescent="0.35">
      <c r="C78123" s="2"/>
    </row>
    <row r="78124" spans="3:3" x14ac:dyDescent="0.35">
      <c r="C78124" s="2"/>
    </row>
    <row r="78125" spans="3:3" x14ac:dyDescent="0.35">
      <c r="C78125" s="2"/>
    </row>
    <row r="78126" spans="3:3" x14ac:dyDescent="0.35">
      <c r="C78126" s="2"/>
    </row>
    <row r="78127" spans="3:3" x14ac:dyDescent="0.35">
      <c r="C78127" s="2"/>
    </row>
    <row r="78128" spans="3:3" x14ac:dyDescent="0.35">
      <c r="C78128" s="2"/>
    </row>
    <row r="78129" spans="3:3" x14ac:dyDescent="0.35">
      <c r="C78129" s="2"/>
    </row>
    <row r="78130" spans="3:3" x14ac:dyDescent="0.35">
      <c r="C78130" s="2"/>
    </row>
    <row r="78131" spans="3:3" x14ac:dyDescent="0.35">
      <c r="C78131" s="2"/>
    </row>
    <row r="78132" spans="3:3" x14ac:dyDescent="0.35">
      <c r="C78132" s="2"/>
    </row>
    <row r="78133" spans="3:3" x14ac:dyDescent="0.35">
      <c r="C78133" s="2"/>
    </row>
    <row r="78134" spans="3:3" x14ac:dyDescent="0.35">
      <c r="C78134" s="2"/>
    </row>
    <row r="78135" spans="3:3" x14ac:dyDescent="0.35">
      <c r="C78135" s="2"/>
    </row>
    <row r="78136" spans="3:3" x14ac:dyDescent="0.35">
      <c r="C78136" s="2"/>
    </row>
    <row r="78137" spans="3:3" x14ac:dyDescent="0.35">
      <c r="C78137" s="2"/>
    </row>
    <row r="78138" spans="3:3" x14ac:dyDescent="0.35">
      <c r="C78138" s="2"/>
    </row>
    <row r="78139" spans="3:3" x14ac:dyDescent="0.35">
      <c r="C78139" s="2"/>
    </row>
    <row r="78140" spans="3:3" x14ac:dyDescent="0.35">
      <c r="C78140" s="2"/>
    </row>
    <row r="78141" spans="3:3" x14ac:dyDescent="0.35">
      <c r="C78141" s="2"/>
    </row>
    <row r="78142" spans="3:3" x14ac:dyDescent="0.35">
      <c r="C78142" s="2"/>
    </row>
  </sheetData>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ECC3E-973B-46E0-B073-84D85D548348}">
  <sheetPr>
    <tabColor rgb="FFFFD166"/>
  </sheetPr>
  <dimension ref="A1:J47"/>
  <sheetViews>
    <sheetView showGridLines="0" topLeftCell="C4" workbookViewId="0">
      <selection activeCell="F6" sqref="F6:J44"/>
    </sheetView>
  </sheetViews>
  <sheetFormatPr defaultRowHeight="12.75" x14ac:dyDescent="0.35"/>
  <cols>
    <col min="1" max="4" width="21" customWidth="1"/>
    <col min="6" max="6" width="40.86328125" customWidth="1"/>
    <col min="7" max="7" width="32.59765625" customWidth="1"/>
    <col min="8" max="8" width="38.1328125" customWidth="1"/>
    <col min="9" max="9" width="24.73046875" customWidth="1"/>
  </cols>
  <sheetData>
    <row r="1" spans="1:10" ht="30" customHeight="1" thickBot="1" x14ac:dyDescent="0.5">
      <c r="A1" s="94" t="s">
        <v>84</v>
      </c>
      <c r="B1" s="94"/>
      <c r="C1" s="94"/>
      <c r="D1" s="94"/>
      <c r="E1" s="95"/>
      <c r="F1" s="95"/>
      <c r="G1" s="95"/>
      <c r="H1" s="95"/>
      <c r="I1" s="95"/>
      <c r="J1" s="95"/>
    </row>
    <row r="2" spans="1:10" ht="13.15" x14ac:dyDescent="0.4">
      <c r="A2" s="96" t="s">
        <v>85</v>
      </c>
      <c r="B2" s="97">
        <f>IF(Config!C8="","",Config!C8)</f>
        <v>44743</v>
      </c>
      <c r="C2" s="96" t="s">
        <v>86</v>
      </c>
      <c r="D2" s="97">
        <f>IF(Config!C9="","",IF(Config!C10="Annual",Config!C9,DATE(YEAR(Config!C8),MONTH(Config!C8)+11,DAY(EOMONTH(Config!C8,11)))))</f>
        <v>45838</v>
      </c>
      <c r="E2" s="6"/>
      <c r="F2" s="11"/>
      <c r="G2" s="11"/>
      <c r="H2" s="11"/>
      <c r="I2" s="11"/>
      <c r="J2" s="11"/>
    </row>
    <row r="3" spans="1:10" ht="36.4" thickBot="1" x14ac:dyDescent="0.45">
      <c r="A3" s="98" t="s">
        <v>87</v>
      </c>
      <c r="B3" s="99">
        <f>IF(B2="","",DATE(YEAR(B2)+1,MONTH(B2),DAY(B2)))</f>
        <v>45108</v>
      </c>
      <c r="C3" s="98" t="s">
        <v>88</v>
      </c>
      <c r="D3" s="99">
        <f>IF(Config!C9="","",Config!C9)</f>
        <v>45838</v>
      </c>
      <c r="E3" s="11"/>
      <c r="F3" s="100" t="s">
        <v>91</v>
      </c>
      <c r="G3" s="101"/>
      <c r="H3" s="101"/>
      <c r="I3" s="101"/>
      <c r="J3" s="101"/>
    </row>
    <row r="4" spans="1:10" ht="13.15" x14ac:dyDescent="0.4">
      <c r="A4" s="102" t="s">
        <v>1327</v>
      </c>
      <c r="B4" s="103">
        <f>IF(Config!C8="","",Config!C8)</f>
        <v>44743</v>
      </c>
      <c r="C4" s="102" t="s">
        <v>1328</v>
      </c>
      <c r="D4" s="103">
        <f>$D$2</f>
        <v>45838</v>
      </c>
      <c r="E4" s="11"/>
      <c r="F4" s="104"/>
      <c r="G4" s="11"/>
      <c r="H4" s="11"/>
      <c r="I4" s="11"/>
      <c r="J4" s="11"/>
    </row>
    <row r="5" spans="1:10" ht="13.5" thickBot="1" x14ac:dyDescent="0.45">
      <c r="A5" s="98"/>
      <c r="B5" s="99"/>
      <c r="C5" s="98" t="s">
        <v>1329</v>
      </c>
      <c r="D5" s="105">
        <f>$D$3</f>
        <v>45838</v>
      </c>
      <c r="E5" s="11"/>
      <c r="F5" s="104"/>
      <c r="G5" s="11"/>
      <c r="H5" s="11"/>
      <c r="I5" s="11"/>
      <c r="J5" s="11"/>
    </row>
    <row r="6" spans="1:10" ht="48.4" thickBot="1" x14ac:dyDescent="0.45">
      <c r="A6" s="106" t="s">
        <v>1330</v>
      </c>
      <c r="B6" s="107">
        <f>IF(B2="",0,SUMIFS('Complaint Rate'!$C$2:$C$46,'Complaint Rate'!$A$2:$A$46,"&gt;="&amp;B2,'Complaint Rate'!$A$2:$A$46,"&lt;="&amp;D2))</f>
        <v>60476</v>
      </c>
      <c r="C6" s="106" t="s">
        <v>1331</v>
      </c>
      <c r="D6" s="107">
        <f>IF(B4="",0,SUMIFS('Complaint Rate'!$C$2:$C$46,'Complaint Rate'!$A$2:$A$46,"&gt;="&amp;B4,'Complaint Rate'!$A$2:$A$46,"&lt;="&amp;D5))</f>
        <v>60476</v>
      </c>
      <c r="E6" s="11"/>
      <c r="F6" s="108" t="s">
        <v>41</v>
      </c>
      <c r="G6" s="108" t="s">
        <v>77</v>
      </c>
      <c r="H6" s="108"/>
      <c r="I6" s="108" t="s">
        <v>92</v>
      </c>
      <c r="J6" s="108" t="s">
        <v>83</v>
      </c>
    </row>
    <row r="7" spans="1:10" ht="13.15" x14ac:dyDescent="0.4">
      <c r="A7" s="11"/>
      <c r="B7" s="11"/>
      <c r="C7" s="11"/>
      <c r="D7" s="11"/>
      <c r="E7" s="11"/>
      <c r="F7" s="109"/>
      <c r="G7" s="110"/>
      <c r="H7" s="109" t="s">
        <v>1332</v>
      </c>
      <c r="I7" s="111"/>
      <c r="J7" s="109"/>
    </row>
    <row r="8" spans="1:10" ht="13.5" thickBot="1" x14ac:dyDescent="0.45">
      <c r="A8" s="112" t="s">
        <v>89</v>
      </c>
      <c r="B8" s="113">
        <f>B6</f>
        <v>60476</v>
      </c>
      <c r="C8" s="114" t="s">
        <v>90</v>
      </c>
      <c r="D8" s="113">
        <f>IF(B3="",0,SUMIFS('Complaint Rate'!$C$2:$C$46,'Complaint Rate'!$A$2:$A$46,"&gt;="&amp;B3,'Complaint Rate'!$A$2:$A$46,"&lt;="&amp;D3))</f>
        <v>40873</v>
      </c>
      <c r="E8" s="11"/>
      <c r="F8" s="115" t="s">
        <v>76</v>
      </c>
      <c r="G8" s="116" t="str">
        <f>IF($B$2="","-",TEXT($B$2,"mmm-yyyy")&amp;" to "&amp;TEXT($D$2,"mmm-yyyy"))</f>
        <v>Jul-2022 to Jun-2025</v>
      </c>
      <c r="H8" s="117" t="str">
        <f>IF($B$4="","-",TEXT($B$4,"mmm-yyyy")&amp;" to "&amp;TEXT($D$4,"mmm-yyyy"))</f>
        <v>Jul-2022 to Jun-2025</v>
      </c>
      <c r="I8" s="118"/>
      <c r="J8" s="115"/>
    </row>
    <row r="9" spans="1:10" ht="13.15" x14ac:dyDescent="0.4">
      <c r="A9" s="11"/>
      <c r="B9" s="11"/>
      <c r="C9" s="11"/>
      <c r="D9" s="11"/>
      <c r="E9" s="11"/>
      <c r="F9" s="119" t="str">
        <f>IF(COUNTA(complaints!$A$2:$A$928)=0,"","No Clinical Signs, Symptoms or Conditions")</f>
        <v>No Clinical Signs, Symptoms or Conditions</v>
      </c>
      <c r="G9" s="120" t="str" cm="1">
        <f t="array" ref="G9">IF(COUNTA(complaints!$A$2:$A$928)=0,"-",IF($B$8=0,"-",IFERROR(TEXT(SUMPRODUCT((complaints!$F$2:$F$928&lt;&gt;"")*(complaints!$B$2:$B$928&gt;=$B$2)*(complaints!$B$2:$B$928&lt;=$D$2))/$B$8,"0.0000")&amp;" ("&amp;SUMPRODUCT((complaints!$F$2:$F$928&lt;&gt;"")*(complaints!$B$2:$B$928&gt;=$B$2)*(complaints!$B$2:$B$928&lt;=$D$2))&amp;")","-")))</f>
        <v>0.0003 (16)</v>
      </c>
      <c r="H9" s="120" t="str" cm="1">
        <f t="array" ref="H9">IF(COUNTA(complaints!$A$2:$A$928)=0,"-",IF($B$6=0,"-",IFERROR(TEXT(SUMPRODUCT((complaints!$F$2:$F$928&lt;&gt;"")*(complaints!$B$2:$B$928&gt;=$B$4)*(complaints!$B$2:$B$928&lt;=$D$4))/$B$6,"0.0000")&amp;" ("&amp;SUMPRODUCT((complaints!$F$2:$F$928&lt;&gt;"")*(complaints!$B$2:$B$928&gt;=$B$4)*(complaints!$B$2:$B$928&lt;=$D$4))&amp;")","-")))</f>
        <v>0.0003 (16)</v>
      </c>
      <c r="I9" s="121" t="str">
        <f>IF(COUNTA(complaints!$A$2:$A$928)=0,"",IF(H9="-","-",_xlfn.LET(_xlpm.rate,VALUE(LEFT(H9,FIND(" ",H9)-1)),IF(_xlpm.rate&gt;0.1,"O5",IF(_xlpm.rate&gt;0.01,"O4",IF(_xlpm.rate&gt;0.001,"O3",IF(_xlpm.rate&gt;0.0001,"O2","O1")))))))</f>
        <v>O2</v>
      </c>
      <c r="J9" s="122">
        <f>IF(COUNTA(complaints!$A$2:$A$928)=0,"",IF(H9="-","-",_xlfn.LET(_xlpm.rate,VALUE(LEFT(H9,FIND(" ",H9)-1)),IF(_xlpm.rate&gt;0.1,1,IF(_xlpm.rate&gt;0.01,0.1,IF(_xlpm.rate&gt;0.001,0.01,IF(_xlpm.rate&gt;0.0001,0.001,0.0001)))))))</f>
        <v>1E-3</v>
      </c>
    </row>
    <row r="10" spans="1:10" ht="13.15" x14ac:dyDescent="0.4">
      <c r="A10" s="11"/>
      <c r="B10" s="11"/>
      <c r="C10" s="11"/>
      <c r="D10" s="11"/>
      <c r="E10" s="11"/>
      <c r="F10" s="123" t="str" cm="1">
        <f t="array" ref="F10">IF(COUNTA(complaints!$A$2:$A$928)=0,"",IFERROR("   "&amp;INDEX(_xlfn._xlws.SORT(_xlfn.UNIQUE(_xlfn._xlws.FILTER(complaints!$E$2:$E$928,complaints!$E$2:$E$928&lt;&gt;""))),1),""))</f>
        <v xml:space="preserve">   Break</v>
      </c>
      <c r="G10" s="124" t="str" cm="1">
        <f t="array" ref="G10">IF(F10="","",IF($B$8=0,"-",IFERROR(TEXT(SUMPRODUCT((complaints!$E$2:$E$928=TRIM(F10))*(complaints!$F$2:$F$928&lt;&gt;"")*(complaints!$B$2:$B$928&gt;=$B$2)*(complaints!$B$2:$B$928&lt;=$D$2))/$B$8,"0.0000")&amp;" ("&amp;SUMPRODUCT((complaints!$E$2:$E$928=TRIM(F10))*(complaints!$F$2:$F$928&lt;&gt;"")*(complaints!$B$2:$B$928&gt;=$B$2)*(complaints!$B$2:$B$928&lt;=$D$2))&amp;")","-")))</f>
        <v>0.0000 (2)</v>
      </c>
      <c r="H10" s="124" t="str" cm="1">
        <f t="array" ref="H10">IF(F10="","",IF($B$6=0,"-",IFERROR(TEXT(SUMPRODUCT((complaints!$E$2:$E$928=TRIM(F10))*(complaints!$F$2:$F$928&lt;&gt;"")*(complaints!$B$2:$B$928&gt;=$B$4)*(complaints!$B$2:$B$928&lt;=$D$4))/$B$6,"0.0000")&amp;" ("&amp;SUMPRODUCT((complaints!$E$2:$E$928=TRIM(F10))*(complaints!$F$2:$F$928&lt;&gt;"")*(complaints!$B$2:$B$928&gt;=$B$4)*(complaints!$B$2:$B$928&lt;=$D$4))&amp;")","-")))</f>
        <v>0.0000 (2)</v>
      </c>
      <c r="I10" s="125" t="str">
        <f t="shared" ref="I10:I21" si="0">IF(F10="","",IF(H10="-","-",_xlfn.LET(_xlpm.rate,VALUE(LEFT(H10,FIND(" ",H10)-1)),IF(_xlpm.rate&gt;0.1,"O5",IF(_xlpm.rate&gt;0.01,"O4",IF(_xlpm.rate&gt;0.001,"O3",IF(_xlpm.rate&gt;0.0001,"O2","O1")))))))</f>
        <v>O1</v>
      </c>
      <c r="J10" s="126">
        <f t="shared" ref="J10:J21" si="1">IF(F10="","",IF(H10="-","-",_xlfn.LET(_xlpm.rate,VALUE(LEFT(H10,FIND(" ",H10)-1)),IF(_xlpm.rate&gt;0.1,1,IF(_xlpm.rate&gt;0.01,0.1,IF(_xlpm.rate&gt;0.001,0.01,IF(_xlpm.rate&gt;0.0001,0.001,0.0001)))))))</f>
        <v>1E-4</v>
      </c>
    </row>
    <row r="11" spans="1:10" ht="13.15" x14ac:dyDescent="0.4">
      <c r="A11" s="11"/>
      <c r="B11" s="11"/>
      <c r="C11" s="11"/>
      <c r="D11" s="11"/>
      <c r="E11" s="11"/>
      <c r="F11" s="127" t="str" cm="1">
        <f t="array" ref="F11">IF(COUNTA(complaints!$A$2:$A$928)=0,"",IFERROR("   "&amp;INDEX(_xlfn._xlws.SORT(_xlfn.UNIQUE(_xlfn._xlws.FILTER(complaints!$E$2:$E$928,complaints!$E$2:$E$928&lt;&gt;""))),2),""))</f>
        <v xml:space="preserve">   Contamination</v>
      </c>
      <c r="G11" s="128" t="str" cm="1">
        <f t="array" ref="G11">IF(F11="","",IF($B$8=0,"-",IFERROR(TEXT(SUMPRODUCT((complaints!$E$2:$E$928=TRIM(F11))*(complaints!$F$2:$F$928&lt;&gt;"")*(complaints!$B$2:$B$928&gt;=$B$2)*(complaints!$B$2:$B$928&lt;=$D$2))/$B$8,"0.0000")&amp;" ("&amp;SUMPRODUCT((complaints!$E$2:$E$928=TRIM(F11))*(complaints!$F$2:$F$928&lt;&gt;"")*(complaints!$B$2:$B$928&gt;=$B$2)*(complaints!$B$2:$B$928&lt;=$D$2))&amp;")","-")))</f>
        <v>0.0000 (1)</v>
      </c>
      <c r="H11" s="128" t="str" cm="1">
        <f t="array" ref="H11">IF(F11="","",IF($B$6=0,"-",IFERROR(TEXT(SUMPRODUCT((complaints!$E$2:$E$928=TRIM(F11))*(complaints!$F$2:$F$928&lt;&gt;"")*(complaints!$B$2:$B$928&gt;=$B$4)*(complaints!$B$2:$B$928&lt;=$D$4))/$B$6,"0.0000")&amp;" ("&amp;SUMPRODUCT((complaints!$E$2:$E$928=TRIM(F11))*(complaints!$F$2:$F$928&lt;&gt;"")*(complaints!$B$2:$B$928&gt;=$B$4)*(complaints!$B$2:$B$928&lt;=$D$4))&amp;")","-")))</f>
        <v>0.0000 (1)</v>
      </c>
      <c r="I11" s="129" t="str">
        <f t="shared" si="0"/>
        <v>O1</v>
      </c>
      <c r="J11" s="130">
        <f t="shared" si="1"/>
        <v>1E-4</v>
      </c>
    </row>
    <row r="12" spans="1:10" ht="13.15" x14ac:dyDescent="0.4">
      <c r="A12" s="11"/>
      <c r="B12" s="11"/>
      <c r="C12" s="11"/>
      <c r="D12" s="11"/>
      <c r="E12" s="11"/>
      <c r="F12" s="123" t="str" cm="1">
        <f t="array" ref="F12">IF(COUNTA(complaints!$A$2:$A$928)=0,"",IFERROR("   "&amp;INDEX(_xlfn._xlws.SORT(_xlfn.UNIQUE(_xlfn._xlws.FILTER(complaints!$E$2:$E$928,complaints!$E$2:$E$928&lt;&gt;""))),3),""))</f>
        <v xml:space="preserve">   Defective Device</v>
      </c>
      <c r="G12" s="124" t="str" cm="1">
        <f t="array" ref="G12">IF(F12="","",IF($B$8=0,"-",IFERROR(TEXT(SUMPRODUCT((complaints!$E$2:$E$928=TRIM(F12))*(complaints!$F$2:$F$928&lt;&gt;"")*(complaints!$B$2:$B$928&gt;=$B$2)*(complaints!$B$2:$B$928&lt;=$D$2))/$B$8,"0.0000")&amp;" ("&amp;SUMPRODUCT((complaints!$E$2:$E$928=TRIM(F12))*(complaints!$F$2:$F$928&lt;&gt;"")*(complaints!$B$2:$B$928&gt;=$B$2)*(complaints!$B$2:$B$928&lt;=$D$2))&amp;")","-")))</f>
        <v>0.0000 (2)</v>
      </c>
      <c r="H12" s="124" t="str" cm="1">
        <f t="array" ref="H12">IF(F12="","",IF($B$6=0,"-",IFERROR(TEXT(SUMPRODUCT((complaints!$E$2:$E$928=TRIM(F12))*(complaints!$F$2:$F$928&lt;&gt;"")*(complaints!$B$2:$B$928&gt;=$B$4)*(complaints!$B$2:$B$928&lt;=$D$4))/$B$6,"0.0000")&amp;" ("&amp;SUMPRODUCT((complaints!$E$2:$E$928=TRIM(F12))*(complaints!$F$2:$F$928&lt;&gt;"")*(complaints!$B$2:$B$928&gt;=$B$4)*(complaints!$B$2:$B$928&lt;=$D$4))&amp;")","-")))</f>
        <v>0.0000 (2)</v>
      </c>
      <c r="I12" s="125" t="str">
        <f t="shared" si="0"/>
        <v>O1</v>
      </c>
      <c r="J12" s="126">
        <f t="shared" si="1"/>
        <v>1E-4</v>
      </c>
    </row>
    <row r="13" spans="1:10" ht="13.15" x14ac:dyDescent="0.4">
      <c r="A13" s="11"/>
      <c r="B13" s="11"/>
      <c r="C13" s="11"/>
      <c r="D13" s="11"/>
      <c r="E13" s="11"/>
      <c r="F13" s="127" t="str" cm="1">
        <f t="array" ref="F13">IF(COUNTA(complaints!$A$2:$A$928)=0,"",IFERROR("   "&amp;INDEX(_xlfn._xlws.SORT(_xlfn.UNIQUE(_xlfn._xlws.FILTER(complaints!$E$2:$E$928,complaints!$E$2:$E$928&lt;&gt;""))),4),""))</f>
        <v xml:space="preserve">   UNKNOWN - arrivedwarm</v>
      </c>
      <c r="G13" s="128" t="str" cm="1">
        <f t="array" ref="G13">IF(F13="","",IF($B$8=0,"-",IFERROR(TEXT(SUMPRODUCT((complaints!$E$2:$E$928=TRIM(F13))*(complaints!$F$2:$F$928&lt;&gt;"")*(complaints!$B$2:$B$928&gt;=$B$2)*(complaints!$B$2:$B$928&lt;=$D$2))/$B$8,"0.0000")&amp;" ("&amp;SUMPRODUCT((complaints!$E$2:$E$928=TRIM(F13))*(complaints!$F$2:$F$928&lt;&gt;"")*(complaints!$B$2:$B$928&gt;=$B$2)*(complaints!$B$2:$B$928&lt;=$D$2))&amp;")","-")))</f>
        <v>0.0000 (0)</v>
      </c>
      <c r="H13" s="128" t="str" cm="1">
        <f t="array" ref="H13">IF(F13="","",IF($B$6=0,"-",IFERROR(TEXT(SUMPRODUCT((complaints!$E$2:$E$928=TRIM(F13))*(complaints!$F$2:$F$928&lt;&gt;"")*(complaints!$B$2:$B$928&gt;=$B$4)*(complaints!$B$2:$B$928&lt;=$D$4))/$B$6,"0.0000")&amp;" ("&amp;SUMPRODUCT((complaints!$E$2:$E$928=TRIM(F13))*(complaints!$F$2:$F$928&lt;&gt;"")*(complaints!$B$2:$B$928&gt;=$B$4)*(complaints!$B$2:$B$928&lt;=$D$4))&amp;")","-")))</f>
        <v>0.0000 (0)</v>
      </c>
      <c r="I13" s="129" t="str">
        <f t="shared" si="0"/>
        <v>O1</v>
      </c>
      <c r="J13" s="130">
        <f t="shared" si="1"/>
        <v>1E-4</v>
      </c>
    </row>
    <row r="14" spans="1:10" ht="13.15" x14ac:dyDescent="0.4">
      <c r="A14" s="11"/>
      <c r="B14" s="11"/>
      <c r="C14" s="11"/>
      <c r="D14" s="11"/>
      <c r="E14" s="11"/>
      <c r="F14" s="123" t="str" cm="1">
        <f t="array" ref="F14">IF(COUNTA(complaints!$A$2:$A$928)=0,"",IFERROR("   "&amp;INDEX(_xlfn._xlws.SORT(_xlfn.UNIQUE(_xlfn._xlws.FILTER(complaints!$E$2:$E$928,complaints!$E$2:$E$928&lt;&gt;""))),5),""))</f>
        <v xml:space="preserve">   UNKNOWN - bottleslids</v>
      </c>
      <c r="G14" s="124" t="str" cm="1">
        <f t="array" ref="G14">IF(F14="","",IF($B$8=0,"-",IFERROR(TEXT(SUMPRODUCT((complaints!$E$2:$E$928=TRIM(F14))*(complaints!$F$2:$F$928&lt;&gt;"")*(complaints!$B$2:$B$928&gt;=$B$2)*(complaints!$B$2:$B$928&lt;=$D$2))/$B$8,"0.0000")&amp;" ("&amp;SUMPRODUCT((complaints!$E$2:$E$928=TRIM(F14))*(complaints!$F$2:$F$928&lt;&gt;"")*(complaints!$B$2:$B$928&gt;=$B$2)*(complaints!$B$2:$B$928&lt;=$D$2))&amp;")","-")))</f>
        <v>0.0000 (1)</v>
      </c>
      <c r="H14" s="124" t="str" cm="1">
        <f t="array" ref="H14">IF(F14="","",IF($B$6=0,"-",IFERROR(TEXT(SUMPRODUCT((complaints!$E$2:$E$928=TRIM(F14))*(complaints!$F$2:$F$928&lt;&gt;"")*(complaints!$B$2:$B$928&gt;=$B$4)*(complaints!$B$2:$B$928&lt;=$D$4))/$B$6,"0.0000")&amp;" ("&amp;SUMPRODUCT((complaints!$E$2:$E$928=TRIM(F14))*(complaints!$F$2:$F$928&lt;&gt;"")*(complaints!$B$2:$B$928&gt;=$B$4)*(complaints!$B$2:$B$928&lt;=$D$4))&amp;")","-")))</f>
        <v>0.0000 (1)</v>
      </c>
      <c r="I14" s="125" t="str">
        <f t="shared" si="0"/>
        <v>O1</v>
      </c>
      <c r="J14" s="126">
        <f t="shared" si="1"/>
        <v>1E-4</v>
      </c>
    </row>
    <row r="15" spans="1:10" ht="13.15" x14ac:dyDescent="0.4">
      <c r="A15" s="11"/>
      <c r="B15" s="11"/>
      <c r="C15" s="11"/>
      <c r="D15" s="11"/>
      <c r="E15" s="11"/>
      <c r="F15" s="127" t="str" cm="1">
        <f t="array" ref="F15">IF(COUNTA(complaints!$A$2:$A$928)=0,"",IFERROR("   "&amp;INDEX(_xlfn._xlws.SORT(_xlfn.UNIQUE(_xlfn._xlws.FILTER(complaints!$E$2:$E$928,complaints!$E$2:$E$928&lt;&gt;""))),6),""))</f>
        <v xml:space="preserve">   UNKNOWN - colorph</v>
      </c>
      <c r="G15" s="128" t="str" cm="1">
        <f t="array" ref="G15">IF(F15="","",IF($B$8=0,"-",IFERROR(TEXT(SUMPRODUCT((complaints!$E$2:$E$928=TRIM(F15))*(complaints!$F$2:$F$928&lt;&gt;"")*(complaints!$B$2:$B$928&gt;=$B$2)*(complaints!$B$2:$B$928&lt;=$D$2))/$B$8,"0.0000")&amp;" ("&amp;SUMPRODUCT((complaints!$E$2:$E$928=TRIM(F15))*(complaints!$F$2:$F$928&lt;&gt;"")*(complaints!$B$2:$B$928&gt;=$B$2)*(complaints!$B$2:$B$928&lt;=$D$2))&amp;")","-")))</f>
        <v>0.0001 (9)</v>
      </c>
      <c r="H15" s="128" t="str" cm="1">
        <f t="array" ref="H15">IF(F15="","",IF($B$6=0,"-",IFERROR(TEXT(SUMPRODUCT((complaints!$E$2:$E$928=TRIM(F15))*(complaints!$F$2:$F$928&lt;&gt;"")*(complaints!$B$2:$B$928&gt;=$B$4)*(complaints!$B$2:$B$928&lt;=$D$4))/$B$6,"0.0000")&amp;" ("&amp;SUMPRODUCT((complaints!$E$2:$E$928=TRIM(F15))*(complaints!$F$2:$F$928&lt;&gt;"")*(complaints!$B$2:$B$928&gt;=$B$4)*(complaints!$B$2:$B$928&lt;=$D$4))&amp;")","-")))</f>
        <v>0.0001 (9)</v>
      </c>
      <c r="I15" s="129" t="str">
        <f t="shared" si="0"/>
        <v>O1</v>
      </c>
      <c r="J15" s="130">
        <f t="shared" si="1"/>
        <v>1E-4</v>
      </c>
    </row>
    <row r="16" spans="1:10" ht="13.15" hidden="1" x14ac:dyDescent="0.4">
      <c r="A16" s="11"/>
      <c r="B16" s="11"/>
      <c r="C16" s="11"/>
      <c r="D16" s="11"/>
      <c r="E16" s="11"/>
      <c r="F16" s="123" t="str" cm="1">
        <f t="array" ref="F16">IF(COUNTA(complaints!$A$2:$A$928)=0,"",IFERROR("   "&amp;INDEX(_xlfn._xlws.SORT(_xlfn.UNIQUE(_xlfn._xlws.FILTER(complaints!$E$2:$E$928,complaints!$E$2:$E$928&lt;&gt;""))),7),""))</f>
        <v xml:space="preserve">   UNKNOWN - particles</v>
      </c>
      <c r="G16" s="124" t="str" cm="1">
        <f t="array" ref="G16">IF(F16="","",IF($B$8=0,"-",IFERROR(TEXT(SUMPRODUCT((complaints!$E$2:$E$928=TRIM(F16))*(complaints!$F$2:$F$928&lt;&gt;"")*(complaints!$B$2:$B$928&gt;=$B$2)*(complaints!$B$2:$B$928&lt;=$D$2))/$B$8,"0.0000")&amp;" ("&amp;SUMPRODUCT((complaints!$E$2:$E$928=TRIM(F16))*(complaints!$F$2:$F$928&lt;&gt;"")*(complaints!$B$2:$B$928&gt;=$B$2)*(complaints!$B$2:$B$928&lt;=$D$2))&amp;")","-")))</f>
        <v>0.0000 (1)</v>
      </c>
      <c r="H16" s="124" t="str" cm="1">
        <f t="array" ref="H16">IF(F16="","",IF($B$6=0,"-",IFERROR(TEXT(SUMPRODUCT((complaints!$E$2:$E$928=TRIM(F16))*(complaints!$F$2:$F$928&lt;&gt;"")*(complaints!$B$2:$B$928&gt;=$B$4)*(complaints!$B$2:$B$928&lt;=$D$4))/$B$6,"0.0000")&amp;" ("&amp;SUMPRODUCT((complaints!$E$2:$E$928=TRIM(F16))*(complaints!$F$2:$F$928&lt;&gt;"")*(complaints!$B$2:$B$928&gt;=$B$4)*(complaints!$B$2:$B$928&lt;=$D$4))&amp;")","-")))</f>
        <v>0.0000 (1)</v>
      </c>
      <c r="I16" s="125" t="str">
        <f t="shared" si="0"/>
        <v>O1</v>
      </c>
      <c r="J16" s="126">
        <f t="shared" si="1"/>
        <v>1E-4</v>
      </c>
    </row>
    <row r="17" spans="1:10" ht="13.15" hidden="1" x14ac:dyDescent="0.4">
      <c r="A17" s="11"/>
      <c r="B17" s="11"/>
      <c r="C17" s="11"/>
      <c r="D17" s="11"/>
      <c r="E17" s="11"/>
      <c r="F17" s="127" t="str" cm="1">
        <f t="array" ref="F17">IF(COUNTA(complaints!$A$2:$A$928)=0,"",IFERROR("   "&amp;INDEX(_xlfn._xlws.SORT(_xlfn.UNIQUE(_xlfn._xlws.FILTER(complaints!$E$2:$E$928,complaints!$E$2:$E$928&lt;&gt;""))),8),""))</f>
        <v/>
      </c>
      <c r="G17" s="128" t="str" cm="1">
        <f t="array" ref="G17">IF(F17="","",IF($B$8=0,"-",IFERROR(TEXT(SUMPRODUCT((complaints!$E$2:$E$928=TRIM(F17))*(complaints!$F$2:$F$928&lt;&gt;"")*(complaints!$B$2:$B$928&gt;=$B$2)*(complaints!$B$2:$B$928&lt;=$D$2))/$B$8,"0.0000")&amp;" ("&amp;SUMPRODUCT((complaints!$E$2:$E$928=TRIM(F17))*(complaints!$F$2:$F$928&lt;&gt;"")*(complaints!$B$2:$B$928&gt;=$B$2)*(complaints!$B$2:$B$928&lt;=$D$2))&amp;")","-")))</f>
        <v/>
      </c>
      <c r="H17" s="128" t="str" cm="1">
        <f t="array" ref="H17">IF(F17="","",IF($B$6=0,"-",IFERROR(TEXT(SUMPRODUCT((complaints!$E$2:$E$928=TRIM(F17))*(complaints!$F$2:$F$928&lt;&gt;"")*(complaints!$B$2:$B$928&gt;=$B$4)*(complaints!$B$2:$B$928&lt;=$D$4))/$B$6,"0.0000")&amp;" ("&amp;SUMPRODUCT((complaints!$E$2:$E$928=TRIM(F17))*(complaints!$F$2:$F$928&lt;&gt;"")*(complaints!$B$2:$B$928&gt;=$B$4)*(complaints!$B$2:$B$928&lt;=$D$4))&amp;")","-")))</f>
        <v/>
      </c>
      <c r="I17" s="129" t="str">
        <f t="shared" si="0"/>
        <v/>
      </c>
      <c r="J17" s="130" t="str">
        <f t="shared" si="1"/>
        <v/>
      </c>
    </row>
    <row r="18" spans="1:10" ht="13.15" hidden="1" x14ac:dyDescent="0.4">
      <c r="A18" s="11"/>
      <c r="B18" s="11"/>
      <c r="C18" s="11"/>
      <c r="D18" s="11"/>
      <c r="E18" s="11"/>
      <c r="F18" s="123" t="str" cm="1">
        <f t="array" ref="F18">IF(COUNTA(complaints!$A$2:$A$928)=0,"",IFERROR("   "&amp;INDEX(_xlfn._xlws.SORT(_xlfn.UNIQUE(_xlfn._xlws.FILTER(complaints!$E$2:$E$928,complaints!$E$2:$E$928&lt;&gt;""))),9),""))</f>
        <v/>
      </c>
      <c r="G18" s="124" t="str" cm="1">
        <f t="array" ref="G18">IF(F18="","",IF($B$8=0,"-",IFERROR(TEXT(SUMPRODUCT((complaints!$E$2:$E$928=TRIM(F18))*(complaints!$F$2:$F$928&lt;&gt;"")*(complaints!$B$2:$B$928&gt;=$B$2)*(complaints!$B$2:$B$928&lt;=$D$2))/$B$8,"0.0000")&amp;" ("&amp;SUMPRODUCT((complaints!$E$2:$E$928=TRIM(F18))*(complaints!$F$2:$F$928&lt;&gt;"")*(complaints!$B$2:$B$928&gt;=$B$2)*(complaints!$B$2:$B$928&lt;=$D$2))&amp;")","-")))</f>
        <v/>
      </c>
      <c r="H18" s="124" t="str" cm="1">
        <f t="array" ref="H18">IF(F18="","",IF($B$6=0,"-",IFERROR(TEXT(SUMPRODUCT((complaints!$E$2:$E$928=TRIM(F18))*(complaints!$F$2:$F$928&lt;&gt;"")*(complaints!$B$2:$B$928&gt;=$B$4)*(complaints!$B$2:$B$928&lt;=$D$4))/$B$6,"0.0000")&amp;" ("&amp;SUMPRODUCT((complaints!$E$2:$E$928=TRIM(F18))*(complaints!$F$2:$F$928&lt;&gt;"")*(complaints!$B$2:$B$928&gt;=$B$4)*(complaints!$B$2:$B$928&lt;=$D$4))&amp;")","-")))</f>
        <v/>
      </c>
      <c r="I18" s="125" t="str">
        <f t="shared" si="0"/>
        <v/>
      </c>
      <c r="J18" s="126" t="str">
        <f t="shared" si="1"/>
        <v/>
      </c>
    </row>
    <row r="19" spans="1:10" ht="13.15" hidden="1" x14ac:dyDescent="0.4">
      <c r="A19" s="11"/>
      <c r="B19" s="11"/>
      <c r="C19" s="11"/>
      <c r="D19" s="11"/>
      <c r="E19" s="11"/>
      <c r="F19" s="127" t="str" cm="1">
        <f t="array" ref="F19">IF(COUNTA(complaints!$A$2:$A$928)=0,"",IFERROR("   "&amp;INDEX(_xlfn._xlws.SORT(_xlfn.UNIQUE(_xlfn._xlws.FILTER(complaints!$E$2:$E$928,complaints!$E$2:$E$928&lt;&gt;""))),10),""))</f>
        <v/>
      </c>
      <c r="G19" s="128" t="str" cm="1">
        <f t="array" ref="G19">IF(F19="","",IF($B$8=0,"-",IFERROR(TEXT(SUMPRODUCT((complaints!$E$2:$E$928=TRIM(F19))*(complaints!$F$2:$F$928&lt;&gt;"")*(complaints!$B$2:$B$928&gt;=$B$2)*(complaints!$B$2:$B$928&lt;=$D$2))/$B$8,"0.0000")&amp;" ("&amp;SUMPRODUCT((complaints!$E$2:$E$928=TRIM(F19))*(complaints!$F$2:$F$928&lt;&gt;"")*(complaints!$B$2:$B$928&gt;=$B$2)*(complaints!$B$2:$B$928&lt;=$D$2))&amp;")","-")))</f>
        <v/>
      </c>
      <c r="H19" s="128" t="str" cm="1">
        <f t="array" ref="H19">IF(F19="","",IF($B$6=0,"-",IFERROR(TEXT(SUMPRODUCT((complaints!$E$2:$E$928=TRIM(F19))*(complaints!$F$2:$F$928&lt;&gt;"")*(complaints!$B$2:$B$928&gt;=$B$4)*(complaints!$B$2:$B$928&lt;=$D$4))/$B$6,"0.0000")&amp;" ("&amp;SUMPRODUCT((complaints!$E$2:$E$928=TRIM(F19))*(complaints!$F$2:$F$928&lt;&gt;"")*(complaints!$B$2:$B$928&gt;=$B$4)*(complaints!$B$2:$B$928&lt;=$D$4))&amp;")","-")))</f>
        <v/>
      </c>
      <c r="I19" s="129" t="str">
        <f t="shared" si="0"/>
        <v/>
      </c>
      <c r="J19" s="130" t="str">
        <f t="shared" si="1"/>
        <v/>
      </c>
    </row>
    <row r="20" spans="1:10" ht="13.15" hidden="1" x14ac:dyDescent="0.4">
      <c r="A20" s="11"/>
      <c r="B20" s="11"/>
      <c r="C20" s="11"/>
      <c r="D20" s="11"/>
      <c r="E20" s="11"/>
      <c r="F20" s="123" t="str" cm="1">
        <f t="array" ref="F20">IF(COUNTA(complaints!$A$2:$A$928)=0,"",IFERROR("   "&amp;INDEX(_xlfn._xlws.SORT(_xlfn.UNIQUE(_xlfn._xlws.FILTER(complaints!$E$2:$E$928,complaints!$E$2:$E$928&lt;&gt;""))),11),""))</f>
        <v/>
      </c>
      <c r="G20" s="124" t="str" cm="1">
        <f t="array" ref="G20">IF(F20="","",IF($B$8=0,"-",IFERROR(TEXT(SUMPRODUCT((complaints!$E$2:$E$928=TRIM(F20))*(complaints!$F$2:$F$928&lt;&gt;"")*(complaints!$B$2:$B$928&gt;=$B$2)*(complaints!$B$2:$B$928&lt;=$D$2))/$B$8,"0.0000")&amp;" ("&amp;SUMPRODUCT((complaints!$E$2:$E$928=TRIM(F20))*(complaints!$F$2:$F$928&lt;&gt;"")*(complaints!$B$2:$B$928&gt;=$B$2)*(complaints!$B$2:$B$928&lt;=$D$2))&amp;")","-")))</f>
        <v/>
      </c>
      <c r="H20" s="124" t="str" cm="1">
        <f t="array" ref="H20">IF(F20="","",IF($B$6=0,"-",IFERROR(TEXT(SUMPRODUCT((complaints!$E$2:$E$928=TRIM(F20))*(complaints!$F$2:$F$928&lt;&gt;"")*(complaints!$B$2:$B$928&gt;=$B$4)*(complaints!$B$2:$B$928&lt;=$D$4))/$B$6,"0.0000")&amp;" ("&amp;SUMPRODUCT((complaints!$E$2:$E$928=TRIM(F20))*(complaints!$F$2:$F$928&lt;&gt;"")*(complaints!$B$2:$B$928&gt;=$B$4)*(complaints!$B$2:$B$928&lt;=$D$4))&amp;")","-")))</f>
        <v/>
      </c>
      <c r="I20" s="125" t="str">
        <f t="shared" si="0"/>
        <v/>
      </c>
      <c r="J20" s="126" t="str">
        <f t="shared" si="1"/>
        <v/>
      </c>
    </row>
    <row r="21" spans="1:10" ht="13.15" hidden="1" x14ac:dyDescent="0.4">
      <c r="A21" s="11"/>
      <c r="B21" s="11"/>
      <c r="C21" s="11"/>
      <c r="D21" s="11"/>
      <c r="E21" s="11"/>
      <c r="F21" s="131" t="str" cm="1">
        <f t="array" ref="F21">IF(COUNTA(complaints!$A$2:$A$928)=0,"",IFERROR("   "&amp;INDEX(_xlfn._xlws.SORT(_xlfn.UNIQUE(_xlfn._xlws.FILTER(complaints!$E$2:$E$928,complaints!$E$2:$E$928&lt;&gt;""))),12),""))</f>
        <v/>
      </c>
      <c r="G21" s="132" t="str" cm="1">
        <f t="array" ref="G21">IF(F21="","",IF($B$8=0,"-",IFERROR(TEXT(SUMPRODUCT((complaints!$E$2:$E$928=TRIM(F21))*(complaints!$F$2:$F$928&lt;&gt;"")*(complaints!$B$2:$B$928&gt;=$B$2)*(complaints!$B$2:$B$928&lt;=$D$2))/$B$8,"0.0000")&amp;" ("&amp;SUMPRODUCT((complaints!$E$2:$E$928=TRIM(F21))*(complaints!$F$2:$F$928&lt;&gt;"")*(complaints!$B$2:$B$928&gt;=$B$2)*(complaints!$B$2:$B$928&lt;=$D$2))&amp;")","-")))</f>
        <v/>
      </c>
      <c r="H21" s="132" t="str" cm="1">
        <f t="array" ref="H21">IF(F21="","",IF($B$6=0,"-",IFERROR(TEXT(SUMPRODUCT((complaints!$E$2:$E$928=TRIM(F21))*(complaints!$F$2:$F$928&lt;&gt;"")*(complaints!$B$2:$B$928&gt;=$B$4)*(complaints!$B$2:$B$928&lt;=$D$4))/$B$6,"0.0000")&amp;" ("&amp;SUMPRODUCT((complaints!$E$2:$E$928=TRIM(F21))*(complaints!$F$2:$F$928&lt;&gt;"")*(complaints!$B$2:$B$928&gt;=$B$4)*(complaints!$B$2:$B$928&lt;=$D$4))&amp;")","-")))</f>
        <v/>
      </c>
      <c r="I21" s="133" t="str">
        <f t="shared" si="0"/>
        <v/>
      </c>
      <c r="J21" s="134" t="str">
        <f t="shared" si="1"/>
        <v/>
      </c>
    </row>
    <row r="22" spans="1:10" ht="13.15" x14ac:dyDescent="0.4">
      <c r="A22" s="11"/>
      <c r="B22" s="11"/>
      <c r="C22" s="11"/>
      <c r="D22" s="11"/>
      <c r="E22" s="11"/>
      <c r="F22" s="11"/>
      <c r="G22" s="11"/>
      <c r="H22" s="11"/>
      <c r="I22" s="11"/>
      <c r="J22" s="11"/>
    </row>
    <row r="23" spans="1:10" ht="54.75" customHeight="1" x14ac:dyDescent="0.4">
      <c r="A23" s="11"/>
      <c r="B23" s="11"/>
      <c r="C23" s="11"/>
      <c r="D23" s="11"/>
      <c r="E23" s="11"/>
      <c r="F23" s="11"/>
      <c r="G23" s="11"/>
      <c r="H23" s="11"/>
      <c r="I23" s="11"/>
      <c r="J23" s="11"/>
    </row>
    <row r="24" spans="1:10" ht="13.15" x14ac:dyDescent="0.4">
      <c r="A24" s="11"/>
      <c r="B24" s="11"/>
      <c r="C24" s="11"/>
      <c r="D24" s="11"/>
      <c r="E24" s="11"/>
      <c r="F24" s="11"/>
      <c r="G24" s="11"/>
      <c r="H24" s="11"/>
      <c r="I24" s="11"/>
      <c r="J24" s="11"/>
    </row>
    <row r="25" spans="1:10" ht="13.15" x14ac:dyDescent="0.4">
      <c r="A25" s="11"/>
      <c r="B25" s="11"/>
      <c r="C25" s="11"/>
      <c r="D25" s="11"/>
      <c r="E25" s="11"/>
      <c r="F25" s="11"/>
      <c r="G25" s="11"/>
      <c r="H25" s="11"/>
      <c r="I25" s="11"/>
      <c r="J25" s="11"/>
    </row>
    <row r="26" spans="1:10" ht="13.5" thickBot="1" x14ac:dyDescent="0.45">
      <c r="A26" s="11"/>
      <c r="B26" s="11"/>
      <c r="C26" s="11"/>
      <c r="D26" s="11"/>
      <c r="E26" s="11"/>
      <c r="F26" s="101"/>
      <c r="G26" s="101"/>
      <c r="H26" s="101"/>
      <c r="I26" s="101"/>
      <c r="J26" s="101"/>
    </row>
    <row r="27" spans="1:10" ht="36.4" thickBot="1" x14ac:dyDescent="0.45">
      <c r="A27" s="11"/>
      <c r="B27" s="11"/>
      <c r="C27" s="11"/>
      <c r="D27" s="11"/>
      <c r="E27" s="11"/>
      <c r="F27" s="135" t="s">
        <v>93</v>
      </c>
      <c r="G27" s="135"/>
      <c r="H27" s="135"/>
      <c r="I27" s="135"/>
      <c r="J27" s="135"/>
    </row>
    <row r="28" spans="1:10" ht="13.15" x14ac:dyDescent="0.4">
      <c r="A28" s="11"/>
      <c r="B28" s="11"/>
      <c r="C28" s="11"/>
      <c r="D28" s="11"/>
      <c r="E28" s="11"/>
      <c r="F28" s="136" t="s">
        <v>41</v>
      </c>
      <c r="G28" s="137" t="s">
        <v>78</v>
      </c>
      <c r="H28" s="137" t="s">
        <v>1333</v>
      </c>
      <c r="I28" s="137" t="s">
        <v>1346</v>
      </c>
      <c r="J28" s="138" t="s">
        <v>83</v>
      </c>
    </row>
    <row r="29" spans="1:10" ht="13.15" x14ac:dyDescent="0.4">
      <c r="A29" s="11"/>
      <c r="B29" s="11"/>
      <c r="C29" s="11"/>
      <c r="D29" s="11"/>
      <c r="E29" s="11"/>
      <c r="F29" s="110" t="s">
        <v>76</v>
      </c>
      <c r="G29" s="139" t="s">
        <v>79</v>
      </c>
      <c r="H29" s="139" t="s">
        <v>1334</v>
      </c>
      <c r="I29" s="139"/>
      <c r="J29" s="111"/>
    </row>
    <row r="30" spans="1:10" ht="13.15" x14ac:dyDescent="0.4">
      <c r="A30" s="11"/>
      <c r="B30" s="11"/>
      <c r="C30" s="11"/>
      <c r="D30" s="11"/>
      <c r="E30" s="11"/>
      <c r="F30" s="140"/>
      <c r="G30" s="141" t="str">
        <f>IF($B$3="","-",TEXT($B$3,"mmm-yyyy")&amp;" to "&amp;TEXT($D$3,"mmm-yyyy"))</f>
        <v>Jul-2023 to Jun-2025</v>
      </c>
      <c r="H30" s="141" t="str">
        <f>IF($B$4="","-",TEXT($B$4,"mmm-yyyy")&amp;" to "&amp;TEXT($D$5,"mmm-yyyy"))</f>
        <v>Jul-2022 to Jun-2025</v>
      </c>
      <c r="I30" s="142"/>
      <c r="J30" s="143"/>
    </row>
    <row r="31" spans="1:10" ht="13.15" x14ac:dyDescent="0.4">
      <c r="A31" s="11"/>
      <c r="B31" s="11"/>
      <c r="C31" s="11"/>
      <c r="D31" s="11"/>
      <c r="E31" s="11"/>
      <c r="F31" s="127" t="str">
        <f>IF(COUNTA(complaints!$A$2:$A$928)=0,"","No Clinical Signs, Symptoms or Conditions")</f>
        <v>No Clinical Signs, Symptoms or Conditions</v>
      </c>
      <c r="G31" s="144" t="str" cm="1">
        <f t="array" ref="G31">IF(COUNTA(complaints!$A$2:$A$928)=0,"-",IF($D$8=0,"-",IFERROR(TEXT(SUMPRODUCT((complaints!$F$2:$F$928&lt;&gt;"")*(complaints!$B$2:$B$928&gt;=$B$3)*(complaints!$B$2:$B$928&lt;=$D$3))/$D$8,"0.0000")&amp;" ("&amp;SUMPRODUCT((complaints!$F$2:$F$928&lt;&gt;"")*(complaints!$B$2:$B$928&gt;=$B$3)*(complaints!$B$2:$B$928&lt;=$D$3))&amp;")","-")))</f>
        <v>0.0001 (5)</v>
      </c>
      <c r="H31" s="144" t="str" cm="1">
        <f t="array" ref="H31">IF(COUNTA(complaints!$A$2:$A$928)=0,"-",IF($D$6=0,"-",IFERROR(TEXT(SUMPRODUCT((complaints!$F$2:$F$928&lt;&gt;"")*(complaints!$B$2:$B$928&gt;=$B$4)*(complaints!$B$2:$B$928&lt;=$D$5))/$D$6,"0.0000")&amp;" ("&amp;SUMPRODUCT((complaints!$F$2:$F$928&lt;&gt;"")*(complaints!$B$2:$B$928&gt;=$B$4)*(complaints!$B$2:$B$928&lt;=$D$5))&amp;")","-")))</f>
        <v>0.0003 (16)</v>
      </c>
      <c r="I31" s="129" t="str">
        <f>IF(COUNTA(complaints!$A$2:$A$928)=0,"",IF(H31="-","-",_xlfn.LET(_xlpm.rate,VALUE(LEFT(H31,FIND(" ",H31)-1)),IF(_xlpm.rate&gt;0.1,"O5",IF(_xlpm.rate&gt;0.01,"O4",IF(_xlpm.rate&gt;0.001,"O3",IF(_xlpm.rate&gt;0.0001,"O2","O1")))))))</f>
        <v>O2</v>
      </c>
      <c r="J31" s="130">
        <f>IF(COUNTA(complaints!$A$2:$A$928)=0,"",IF(H31="-","-",_xlfn.LET(_xlpm.rate,VALUE(LEFT(H31,FIND(" ",H31)-1)),IF(_xlpm.rate&gt;0.1,1,IF(_xlpm.rate&gt;0.01,0.1,IF(_xlpm.rate&gt;0.001,0.01,IF(_xlpm.rate&gt;0.0001,0.001,0.0001)))))))</f>
        <v>1E-3</v>
      </c>
    </row>
    <row r="32" spans="1:10" ht="13.15" x14ac:dyDescent="0.4">
      <c r="A32" s="11"/>
      <c r="B32" s="11"/>
      <c r="C32" s="11"/>
      <c r="D32" s="11"/>
      <c r="E32" s="11"/>
      <c r="F32" s="123" t="str" cm="1">
        <f t="array" ref="F32">IF(COUNTA(complaints!$A$2:$A$928)=0,"",IFERROR("   "&amp;INDEX(_xlfn._xlws.SORT(_xlfn.UNIQUE(_xlfn._xlws.FILTER(complaints!$E$2:$E$928,complaints!$E$2:$E$928&lt;&gt;""))),1),""))</f>
        <v xml:space="preserve">   Break</v>
      </c>
      <c r="G32" s="124" t="str" cm="1">
        <f t="array" ref="G32">IF(F32="","",IF($D$8=0,"-",IFERROR(TEXT(SUMPRODUCT((complaints!$E$2:$E$928=TRIM(F32))*(complaints!$F$2:$F$928&lt;&gt;"")*(complaints!$B$2:$B$928&gt;=$B$3)*(complaints!$B$2:$B$928&lt;=$D$3))/$D$8,"0.0000")&amp;" ("&amp;SUMPRODUCT((complaints!$E$2:$E$928=TRIM(F32))*(complaints!$F$2:$F$928&lt;&gt;"")*(complaints!$B$2:$B$928&gt;=$B$3)*(complaints!$B$2:$B$928&lt;=$D$3))&amp;")","-")))</f>
        <v>0.0000 (2)</v>
      </c>
      <c r="H32" s="124" t="str" cm="1">
        <f t="array" ref="H32">IF(F32="","",IF($D$6=0,"-",IFERROR(TEXT(SUMPRODUCT((complaints!$E$2:$E$928=TRIM(F32))*(complaints!$F$2:$F$928&lt;&gt;"")*(complaints!$B$2:$B$928&gt;=$B$4)*(complaints!$B$2:$B$928&lt;=$D$5))/$D$6,"0.0000")&amp;" ("&amp;SUMPRODUCT((complaints!$E$2:$E$928=TRIM(F32))*(complaints!$F$2:$F$928&lt;&gt;"")*(complaints!$B$2:$B$928&gt;=$B$4)*(complaints!$B$2:$B$928&lt;=$D$5))&amp;")","-")))</f>
        <v>0.0000 (2)</v>
      </c>
      <c r="I32" s="125" t="str">
        <f t="shared" ref="I32:I43" si="2">IF(F32="","",IF(H32="-","-",_xlfn.LET(_xlpm.rate,VALUE(LEFT(H32,FIND(" ",H32)-1)),IF(_xlpm.rate&gt;0.1,"O5",IF(_xlpm.rate&gt;0.01,"O4",IF(_xlpm.rate&gt;0.001,"O3",IF(_xlpm.rate&gt;0.0001,"O2","O1")))))))</f>
        <v>O1</v>
      </c>
      <c r="J32" s="126">
        <f t="shared" ref="J32:J43" si="3">IF(F32="","",IF(H32="-","-",_xlfn.LET(_xlpm.rate,VALUE(LEFT(H32,FIND(" ",H32)-1)),IF(_xlpm.rate&gt;0.1,1,IF(_xlpm.rate&gt;0.01,0.1,IF(_xlpm.rate&gt;0.001,0.01,IF(_xlpm.rate&gt;0.0001,0.001,0.0001)))))))</f>
        <v>1E-4</v>
      </c>
    </row>
    <row r="33" spans="1:10" ht="13.15" x14ac:dyDescent="0.4">
      <c r="A33" s="11"/>
      <c r="B33" s="11"/>
      <c r="C33" s="11"/>
      <c r="D33" s="11"/>
      <c r="E33" s="11"/>
      <c r="F33" s="127" t="str" cm="1">
        <f t="array" ref="F33">IF(COUNTA(complaints!$A$2:$A$928)=0,"",IFERROR("   "&amp;INDEX(_xlfn._xlws.SORT(_xlfn.UNIQUE(_xlfn._xlws.FILTER(complaints!$E$2:$E$928,complaints!$E$2:$E$928&lt;&gt;""))),2),""))</f>
        <v xml:space="preserve">   Contamination</v>
      </c>
      <c r="G33" s="128" t="str" cm="1">
        <f t="array" ref="G33">IF(F33="","",IF($D$8=0,"-",IFERROR(TEXT(SUMPRODUCT((complaints!$E$2:$E$928=TRIM(F33))*(complaints!$F$2:$F$928&lt;&gt;"")*(complaints!$B$2:$B$928&gt;=$B$3)*(complaints!$B$2:$B$928&lt;=$D$3))/$D$8,"0.0000")&amp;" ("&amp;SUMPRODUCT((complaints!$E$2:$E$928=TRIM(F33))*(complaints!$F$2:$F$928&lt;&gt;"")*(complaints!$B$2:$B$928&gt;=$B$3)*(complaints!$B$2:$B$928&lt;=$D$3))&amp;")","-")))</f>
        <v>0.0000 (0)</v>
      </c>
      <c r="H33" s="128" t="str" cm="1">
        <f t="array" ref="H33">IF(F33="","",IF($D$6=0,"-",IFERROR(TEXT(SUMPRODUCT((complaints!$E$2:$E$928=TRIM(F33))*(complaints!$F$2:$F$928&lt;&gt;"")*(complaints!$B$2:$B$928&gt;=$B$4)*(complaints!$B$2:$B$928&lt;=$D$5))/$D$6,"0.0000")&amp;" ("&amp;SUMPRODUCT((complaints!$E$2:$E$928=TRIM(F33))*(complaints!$F$2:$F$928&lt;&gt;"")*(complaints!$B$2:$B$928&gt;=$B$4)*(complaints!$B$2:$B$928&lt;=$D$5))&amp;")","-")))</f>
        <v>0.0000 (1)</v>
      </c>
      <c r="I33" s="129" t="str">
        <f t="shared" si="2"/>
        <v>O1</v>
      </c>
      <c r="J33" s="130">
        <f t="shared" si="3"/>
        <v>1E-4</v>
      </c>
    </row>
    <row r="34" spans="1:10" ht="13.15" x14ac:dyDescent="0.4">
      <c r="A34" s="11"/>
      <c r="B34" s="11"/>
      <c r="C34" s="11"/>
      <c r="D34" s="11"/>
      <c r="E34" s="11"/>
      <c r="F34" s="123" t="str" cm="1">
        <f t="array" ref="F34">IF(COUNTA(complaints!$A$2:$A$928)=0,"",IFERROR("   "&amp;INDEX(_xlfn._xlws.SORT(_xlfn.UNIQUE(_xlfn._xlws.FILTER(complaints!$E$2:$E$928,complaints!$E$2:$E$928&lt;&gt;""))),3),""))</f>
        <v xml:space="preserve">   Defective Device</v>
      </c>
      <c r="G34" s="124" t="str" cm="1">
        <f t="array" ref="G34">IF(F34="","",IF($D$8=0,"-",IFERROR(TEXT(SUMPRODUCT((complaints!$E$2:$E$928=TRIM(F34))*(complaints!$F$2:$F$928&lt;&gt;"")*(complaints!$B$2:$B$928&gt;=$B$3)*(complaints!$B$2:$B$928&lt;=$D$3))/$D$8,"0.0000")&amp;" ("&amp;SUMPRODUCT((complaints!$E$2:$E$928=TRIM(F34))*(complaints!$F$2:$F$928&lt;&gt;"")*(complaints!$B$2:$B$928&gt;=$B$3)*(complaints!$B$2:$B$928&lt;=$D$3))&amp;")","-")))</f>
        <v>0.0000 (2)</v>
      </c>
      <c r="H34" s="124" t="str" cm="1">
        <f t="array" ref="H34">IF(F34="","",IF($D$6=0,"-",IFERROR(TEXT(SUMPRODUCT((complaints!$E$2:$E$928=TRIM(F34))*(complaints!$F$2:$F$928&lt;&gt;"")*(complaints!$B$2:$B$928&gt;=$B$4)*(complaints!$B$2:$B$928&lt;=$D$5))/$D$6,"0.0000")&amp;" ("&amp;SUMPRODUCT((complaints!$E$2:$E$928=TRIM(F34))*(complaints!$F$2:$F$928&lt;&gt;"")*(complaints!$B$2:$B$928&gt;=$B$4)*(complaints!$B$2:$B$928&lt;=$D$5))&amp;")","-")))</f>
        <v>0.0000 (2)</v>
      </c>
      <c r="I34" s="125" t="str">
        <f t="shared" si="2"/>
        <v>O1</v>
      </c>
      <c r="J34" s="126">
        <f t="shared" si="3"/>
        <v>1E-4</v>
      </c>
    </row>
    <row r="35" spans="1:10" ht="13.15" x14ac:dyDescent="0.4">
      <c r="A35" s="11"/>
      <c r="B35" s="11"/>
      <c r="C35" s="11"/>
      <c r="D35" s="11"/>
      <c r="E35" s="11"/>
      <c r="F35" s="127" t="str" cm="1">
        <f t="array" ref="F35">IF(COUNTA(complaints!$A$2:$A$928)=0,"",IFERROR("   "&amp;INDEX(_xlfn._xlws.SORT(_xlfn.UNIQUE(_xlfn._xlws.FILTER(complaints!$E$2:$E$928,complaints!$E$2:$E$928&lt;&gt;""))),4),""))</f>
        <v xml:space="preserve">   UNKNOWN - arrivedwarm</v>
      </c>
      <c r="G35" s="128" t="str" cm="1">
        <f t="array" ref="G35">IF(F35="","",IF($D$8=0,"-",IFERROR(TEXT(SUMPRODUCT((complaints!$E$2:$E$928=TRIM(F35))*(complaints!$F$2:$F$928&lt;&gt;"")*(complaints!$B$2:$B$928&gt;=$B$3)*(complaints!$B$2:$B$928&lt;=$D$3))/$D$8,"0.0000")&amp;" ("&amp;SUMPRODUCT((complaints!$E$2:$E$928=TRIM(F35))*(complaints!$F$2:$F$928&lt;&gt;"")*(complaints!$B$2:$B$928&gt;=$B$3)*(complaints!$B$2:$B$928&lt;=$D$3))&amp;")","-")))</f>
        <v>0.0000 (0)</v>
      </c>
      <c r="H35" s="128" t="str" cm="1">
        <f t="array" ref="H35">IF(F35="","",IF($D$6=0,"-",IFERROR(TEXT(SUMPRODUCT((complaints!$E$2:$E$928=TRIM(F35))*(complaints!$F$2:$F$928&lt;&gt;"")*(complaints!$B$2:$B$928&gt;=$B$4)*(complaints!$B$2:$B$928&lt;=$D$5))/$D$6,"0.0000")&amp;" ("&amp;SUMPRODUCT((complaints!$E$2:$E$928=TRIM(F35))*(complaints!$F$2:$F$928&lt;&gt;"")*(complaints!$B$2:$B$928&gt;=$B$4)*(complaints!$B$2:$B$928&lt;=$D$5))&amp;")","-")))</f>
        <v>0.0000 (0)</v>
      </c>
      <c r="I35" s="129" t="str">
        <f t="shared" si="2"/>
        <v>O1</v>
      </c>
      <c r="J35" s="130">
        <f t="shared" si="3"/>
        <v>1E-4</v>
      </c>
    </row>
    <row r="36" spans="1:10" ht="13.15" x14ac:dyDescent="0.4">
      <c r="A36" s="11"/>
      <c r="B36" s="11"/>
      <c r="C36" s="11"/>
      <c r="D36" s="11"/>
      <c r="E36" s="11"/>
      <c r="F36" s="123" t="str" cm="1">
        <f t="array" ref="F36">IF(COUNTA(complaints!$A$2:$A$928)=0,"",IFERROR("   "&amp;INDEX(_xlfn._xlws.SORT(_xlfn.UNIQUE(_xlfn._xlws.FILTER(complaints!$E$2:$E$928,complaints!$E$2:$E$928&lt;&gt;""))),5),""))</f>
        <v xml:space="preserve">   UNKNOWN - bottleslids</v>
      </c>
      <c r="G36" s="124" t="str" cm="1">
        <f t="array" ref="G36">IF(F36="","",IF($D$8=0,"-",IFERROR(TEXT(SUMPRODUCT((complaints!$E$2:$E$928=TRIM(F36))*(complaints!$F$2:$F$928&lt;&gt;"")*(complaints!$B$2:$B$928&gt;=$B$3)*(complaints!$B$2:$B$928&lt;=$D$3))/$D$8,"0.0000")&amp;" ("&amp;SUMPRODUCT((complaints!$E$2:$E$928=TRIM(F36))*(complaints!$F$2:$F$928&lt;&gt;"")*(complaints!$B$2:$B$928&gt;=$B$3)*(complaints!$B$2:$B$928&lt;=$D$3))&amp;")","-")))</f>
        <v>0.0000 (1)</v>
      </c>
      <c r="H36" s="124" t="str" cm="1">
        <f t="array" ref="H36">IF(F36="","",IF($D$6=0,"-",IFERROR(TEXT(SUMPRODUCT((complaints!$E$2:$E$928=TRIM(F36))*(complaints!$F$2:$F$928&lt;&gt;"")*(complaints!$B$2:$B$928&gt;=$B$4)*(complaints!$B$2:$B$928&lt;=$D$5))/$D$6,"0.0000")&amp;" ("&amp;SUMPRODUCT((complaints!$E$2:$E$928=TRIM(F36))*(complaints!$F$2:$F$928&lt;&gt;"")*(complaints!$B$2:$B$928&gt;=$B$4)*(complaints!$B$2:$B$928&lt;=$D$5))&amp;")","-")))</f>
        <v>0.0000 (1)</v>
      </c>
      <c r="I36" s="125" t="str">
        <f t="shared" si="2"/>
        <v>O1</v>
      </c>
      <c r="J36" s="126">
        <f t="shared" si="3"/>
        <v>1E-4</v>
      </c>
    </row>
    <row r="37" spans="1:10" ht="13.15" x14ac:dyDescent="0.4">
      <c r="A37" s="11"/>
      <c r="B37" s="11"/>
      <c r="C37" s="11"/>
      <c r="D37" s="11"/>
      <c r="E37" s="11"/>
      <c r="F37" s="127" t="str" cm="1">
        <f t="array" ref="F37">IF(COUNTA(complaints!$A$2:$A$928)=0,"",IFERROR("   "&amp;INDEX(_xlfn._xlws.SORT(_xlfn.UNIQUE(_xlfn._xlws.FILTER(complaints!$E$2:$E$928,complaints!$E$2:$E$928&lt;&gt;""))),6),""))</f>
        <v xml:space="preserve">   UNKNOWN - colorph</v>
      </c>
      <c r="G37" s="128" t="str" cm="1">
        <f t="array" ref="G37">IF(F37="","",IF($D$8=0,"-",IFERROR(TEXT(SUMPRODUCT((complaints!$E$2:$E$928=TRIM(F37))*(complaints!$F$2:$F$928&lt;&gt;"")*(complaints!$B$2:$B$928&gt;=$B$3)*(complaints!$B$2:$B$928&lt;=$D$3))/$D$8,"0.0000")&amp;" ("&amp;SUMPRODUCT((complaints!$E$2:$E$928=TRIM(F37))*(complaints!$F$2:$F$928&lt;&gt;"")*(complaints!$B$2:$B$928&gt;=$B$3)*(complaints!$B$2:$B$928&lt;=$D$3))&amp;")","-")))</f>
        <v>0.0000 (0)</v>
      </c>
      <c r="H37" s="128" t="str" cm="1">
        <f t="array" ref="H37">IF(F37="","",IF($D$6=0,"-",IFERROR(TEXT(SUMPRODUCT((complaints!$E$2:$E$928=TRIM(F37))*(complaints!$F$2:$F$928&lt;&gt;"")*(complaints!$B$2:$B$928&gt;=$B$4)*(complaints!$B$2:$B$928&lt;=$D$5))/$D$6,"0.0000")&amp;" ("&amp;SUMPRODUCT((complaints!$E$2:$E$928=TRIM(F37))*(complaints!$F$2:$F$928&lt;&gt;"")*(complaints!$B$2:$B$928&gt;=$B$4)*(complaints!$B$2:$B$928&lt;=$D$5))&amp;")","-")))</f>
        <v>0.0001 (9)</v>
      </c>
      <c r="I37" s="129" t="str">
        <f t="shared" si="2"/>
        <v>O1</v>
      </c>
      <c r="J37" s="130">
        <f t="shared" si="3"/>
        <v>1E-4</v>
      </c>
    </row>
    <row r="38" spans="1:10" ht="13.15" hidden="1" x14ac:dyDescent="0.4">
      <c r="A38" s="11"/>
      <c r="B38" s="11"/>
      <c r="C38" s="11"/>
      <c r="D38" s="11"/>
      <c r="E38" s="11"/>
      <c r="F38" s="123" t="str" cm="1">
        <f t="array" ref="F38">IF(COUNTA(complaints!$A$2:$A$928)=0,"",IFERROR("   "&amp;INDEX(_xlfn._xlws.SORT(_xlfn.UNIQUE(_xlfn._xlws.FILTER(complaints!$E$2:$E$928,complaints!$E$2:$E$928&lt;&gt;""))),7),""))</f>
        <v xml:space="preserve">   UNKNOWN - particles</v>
      </c>
      <c r="G38" s="124" t="str" cm="1">
        <f t="array" ref="G38">IF(F38="","",IF($D$8=0,"-",IFERROR(TEXT(SUMPRODUCT((complaints!$E$2:$E$928=TRIM(F38))*(complaints!$F$2:$F$928&lt;&gt;"")*(complaints!$B$2:$B$928&gt;=$B$3)*(complaints!$B$2:$B$928&lt;=$D$3))/$D$8,"0.0000")&amp;" ("&amp;SUMPRODUCT((complaints!$E$2:$E$928=TRIM(F38))*(complaints!$F$2:$F$928&lt;&gt;"")*(complaints!$B$2:$B$928&gt;=$B$3)*(complaints!$B$2:$B$928&lt;=$D$3))&amp;")","-")))</f>
        <v>0.0000 (0)</v>
      </c>
      <c r="H38" s="124" t="str" cm="1">
        <f t="array" ref="H38">IF(F38="","",IF($D$6=0,"-",IFERROR(TEXT(SUMPRODUCT((complaints!$E$2:$E$928=TRIM(F38))*(complaints!$F$2:$F$928&lt;&gt;"")*(complaints!$B$2:$B$928&gt;=$B$4)*(complaints!$B$2:$B$928&lt;=$D$5))/$D$6,"0.0000")&amp;" ("&amp;SUMPRODUCT((complaints!$E$2:$E$928=TRIM(F38))*(complaints!$F$2:$F$928&lt;&gt;"")*(complaints!$B$2:$B$928&gt;=$B$4)*(complaints!$B$2:$B$928&lt;=$D$5))&amp;")","-")))</f>
        <v>0.0000 (1)</v>
      </c>
      <c r="I38" s="125" t="str">
        <f t="shared" si="2"/>
        <v>O1</v>
      </c>
      <c r="J38" s="126">
        <f t="shared" si="3"/>
        <v>1E-4</v>
      </c>
    </row>
    <row r="39" spans="1:10" ht="13.15" hidden="1" x14ac:dyDescent="0.4">
      <c r="A39" s="11"/>
      <c r="B39" s="11"/>
      <c r="C39" s="11"/>
      <c r="D39" s="11"/>
      <c r="E39" s="11"/>
      <c r="F39" s="127" t="str" cm="1">
        <f t="array" ref="F39">IF(COUNTA(complaints!$A$2:$A$928)=0,"",IFERROR("   "&amp;INDEX(_xlfn._xlws.SORT(_xlfn.UNIQUE(_xlfn._xlws.FILTER(complaints!$E$2:$E$928,complaints!$E$2:$E$928&lt;&gt;""))),8),""))</f>
        <v/>
      </c>
      <c r="G39" s="128" t="str" cm="1">
        <f t="array" ref="G39">IF(F39="","",IF($D$8=0,"-",IFERROR(TEXT(SUMPRODUCT((complaints!$E$2:$E$928=TRIM(F39))*(complaints!$F$2:$F$928&lt;&gt;"")*(complaints!$B$2:$B$928&gt;=$B$3)*(complaints!$B$2:$B$928&lt;=$D$3))/$D$8,"0.0000")&amp;" ("&amp;SUMPRODUCT((complaints!$E$2:$E$928=TRIM(F39))*(complaints!$F$2:$F$928&lt;&gt;"")*(complaints!$B$2:$B$928&gt;=$B$3)*(complaints!$B$2:$B$928&lt;=$D$3))&amp;")","-")))</f>
        <v/>
      </c>
      <c r="H39" s="128" t="str" cm="1">
        <f t="array" ref="H39">IF(F39="","",IF($D$6=0,"-",IFERROR(TEXT(SUMPRODUCT((complaints!$E$2:$E$928=TRIM(F39))*(complaints!$F$2:$F$928&lt;&gt;"")*(complaints!$B$2:$B$928&gt;=$B$4)*(complaints!$B$2:$B$928&lt;=$D$5))/$D$6,"0.0000")&amp;" ("&amp;SUMPRODUCT((complaints!$E$2:$E$928=TRIM(F39))*(complaints!$F$2:$F$928&lt;&gt;"")*(complaints!$B$2:$B$928&gt;=$B$4)*(complaints!$B$2:$B$928&lt;=$D$5))&amp;")","-")))</f>
        <v/>
      </c>
      <c r="I39" s="129" t="str">
        <f t="shared" si="2"/>
        <v/>
      </c>
      <c r="J39" s="130" t="str">
        <f t="shared" si="3"/>
        <v/>
      </c>
    </row>
    <row r="40" spans="1:10" ht="13.15" hidden="1" x14ac:dyDescent="0.4">
      <c r="A40" s="11"/>
      <c r="B40" s="11"/>
      <c r="C40" s="11"/>
      <c r="D40" s="11"/>
      <c r="E40" s="11"/>
      <c r="F40" s="123" t="str" cm="1">
        <f t="array" ref="F40">IF(COUNTA(complaints!$A$2:$A$928)=0,"",IFERROR("   "&amp;INDEX(_xlfn._xlws.SORT(_xlfn.UNIQUE(_xlfn._xlws.FILTER(complaints!$E$2:$E$928,complaints!$E$2:$E$928&lt;&gt;""))),9),""))</f>
        <v/>
      </c>
      <c r="G40" s="124" t="str" cm="1">
        <f t="array" ref="G40">IF(F40="","",IF($D$8=0,"-",IFERROR(TEXT(SUMPRODUCT((complaints!$E$2:$E$928=TRIM(F40))*(complaints!$F$2:$F$928&lt;&gt;"")*(complaints!$B$2:$B$928&gt;=$B$3)*(complaints!$B$2:$B$928&lt;=$D$3))/$D$8,"0.0000")&amp;" ("&amp;SUMPRODUCT((complaints!$E$2:$E$928=TRIM(F40))*(complaints!$F$2:$F$928&lt;&gt;"")*(complaints!$B$2:$B$928&gt;=$B$3)*(complaints!$B$2:$B$928&lt;=$D$3))&amp;")","-")))</f>
        <v/>
      </c>
      <c r="H40" s="124" t="str" cm="1">
        <f t="array" ref="H40">IF(F40="","",IF($D$6=0,"-",IFERROR(TEXT(SUMPRODUCT((complaints!$E$2:$E$928=TRIM(F40))*(complaints!$F$2:$F$928&lt;&gt;"")*(complaints!$B$2:$B$928&gt;=$B$4)*(complaints!$B$2:$B$928&lt;=$D$5))/$D$6,"0.0000")&amp;" ("&amp;SUMPRODUCT((complaints!$E$2:$E$928=TRIM(F40))*(complaints!$F$2:$F$928&lt;&gt;"")*(complaints!$B$2:$B$928&gt;=$B$4)*(complaints!$B$2:$B$928&lt;=$D$5))&amp;")","-")))</f>
        <v/>
      </c>
      <c r="I40" s="125" t="str">
        <f t="shared" si="2"/>
        <v/>
      </c>
      <c r="J40" s="126" t="str">
        <f t="shared" si="3"/>
        <v/>
      </c>
    </row>
    <row r="41" spans="1:10" ht="13.15" hidden="1" x14ac:dyDescent="0.4">
      <c r="A41" s="11"/>
      <c r="B41" s="11"/>
      <c r="C41" s="11"/>
      <c r="D41" s="11"/>
      <c r="E41" s="11"/>
      <c r="F41" s="127" t="str" cm="1">
        <f t="array" ref="F41">IF(COUNTA(complaints!$A$2:$A$928)=0,"",IFERROR("   "&amp;INDEX(_xlfn._xlws.SORT(_xlfn.UNIQUE(_xlfn._xlws.FILTER(complaints!$E$2:$E$928,complaints!$E$2:$E$928&lt;&gt;""))),10),""))</f>
        <v/>
      </c>
      <c r="G41" s="128" t="str" cm="1">
        <f t="array" ref="G41">IF(F41="","",IF($D$8=0,"-",IFERROR(TEXT(SUMPRODUCT((complaints!$E$2:$E$928=TRIM(F41))*(complaints!$F$2:$F$928&lt;&gt;"")*(complaints!$B$2:$B$928&gt;=$B$3)*(complaints!$B$2:$B$928&lt;=$D$3))/$D$8,"0.0000")&amp;" ("&amp;SUMPRODUCT((complaints!$E$2:$E$928=TRIM(F41))*(complaints!$F$2:$F$928&lt;&gt;"")*(complaints!$B$2:$B$928&gt;=$B$3)*(complaints!$B$2:$B$928&lt;=$D$3))&amp;")","-")))</f>
        <v/>
      </c>
      <c r="H41" s="128" t="str" cm="1">
        <f t="array" ref="H41">IF(F41="","",IF($D$6=0,"-",IFERROR(TEXT(SUMPRODUCT((complaints!$E$2:$E$928=TRIM(F41))*(complaints!$F$2:$F$928&lt;&gt;"")*(complaints!$B$2:$B$928&gt;=$B$4)*(complaints!$B$2:$B$928&lt;=$D$5))/$D$6,"0.0000")&amp;" ("&amp;SUMPRODUCT((complaints!$E$2:$E$928=TRIM(F41))*(complaints!$F$2:$F$928&lt;&gt;"")*(complaints!$B$2:$B$928&gt;=$B$4)*(complaints!$B$2:$B$928&lt;=$D$5))&amp;")","-")))</f>
        <v/>
      </c>
      <c r="I41" s="129" t="str">
        <f t="shared" si="2"/>
        <v/>
      </c>
      <c r="J41" s="130" t="str">
        <f t="shared" si="3"/>
        <v/>
      </c>
    </row>
    <row r="42" spans="1:10" ht="13.15" hidden="1" x14ac:dyDescent="0.4">
      <c r="A42" s="11"/>
      <c r="B42" s="11"/>
      <c r="C42" s="11"/>
      <c r="D42" s="11"/>
      <c r="E42" s="11"/>
      <c r="F42" s="123" t="str" cm="1">
        <f t="array" ref="F42">IF(COUNTA(complaints!$A$2:$A$928)=0,"",IFERROR("   "&amp;INDEX(_xlfn._xlws.SORT(_xlfn.UNIQUE(_xlfn._xlws.FILTER(complaints!$E$2:$E$928,complaints!$E$2:$E$928&lt;&gt;""))),11),""))</f>
        <v/>
      </c>
      <c r="G42" s="124" t="str" cm="1">
        <f t="array" ref="G42">IF(F42="","",IF($D$8=0,"-",IFERROR(TEXT(SUMPRODUCT((complaints!$E$2:$E$928=TRIM(F42))*(complaints!$F$2:$F$928&lt;&gt;"")*(complaints!$B$2:$B$928&gt;=$B$3)*(complaints!$B$2:$B$928&lt;=$D$3))/$D$8,"0.0000")&amp;" ("&amp;SUMPRODUCT((complaints!$E$2:$E$928=TRIM(F42))*(complaints!$F$2:$F$928&lt;&gt;"")*(complaints!$B$2:$B$928&gt;=$B$3)*(complaints!$B$2:$B$928&lt;=$D$3))&amp;")","-")))</f>
        <v/>
      </c>
      <c r="H42" s="124" t="str" cm="1">
        <f t="array" ref="H42">IF(F42="","",IF($D$6=0,"-",IFERROR(TEXT(SUMPRODUCT((complaints!$E$2:$E$928=TRIM(F42))*(complaints!$F$2:$F$928&lt;&gt;"")*(complaints!$B$2:$B$928&gt;=$B$4)*(complaints!$B$2:$B$928&lt;=$D$5))/$D$6,"0.0000")&amp;" ("&amp;SUMPRODUCT((complaints!$E$2:$E$928=TRIM(F42))*(complaints!$F$2:$F$928&lt;&gt;"")*(complaints!$B$2:$B$928&gt;=$B$4)*(complaints!$B$2:$B$928&lt;=$D$5))&amp;")","-")))</f>
        <v/>
      </c>
      <c r="I42" s="125" t="str">
        <f t="shared" si="2"/>
        <v/>
      </c>
      <c r="J42" s="126" t="str">
        <f t="shared" si="3"/>
        <v/>
      </c>
    </row>
    <row r="43" spans="1:10" ht="13.15" hidden="1" x14ac:dyDescent="0.4">
      <c r="A43" s="11"/>
      <c r="B43" s="11"/>
      <c r="C43" s="11"/>
      <c r="D43" s="11"/>
      <c r="E43" s="11"/>
      <c r="F43" s="131" t="str" cm="1">
        <f t="array" ref="F43">IF(COUNTA(complaints!$A$2:$A$928)=0,"",IFERROR("   "&amp;INDEX(_xlfn._xlws.SORT(_xlfn.UNIQUE(_xlfn._xlws.FILTER(complaints!$E$2:$E$928,complaints!$E$2:$E$928&lt;&gt;""))),12),""))</f>
        <v/>
      </c>
      <c r="G43" s="132" t="str" cm="1">
        <f t="array" ref="G43">IF(F43="","",IF($D$8=0,"-",IFERROR(TEXT(SUMPRODUCT((complaints!$E$2:$E$928=TRIM(F43))*(complaints!$F$2:$F$928&lt;&gt;"")*(complaints!$B$2:$B$928&gt;=$B$3)*(complaints!$B$2:$B$928&lt;=$D$3))/$D$8,"0.0000")&amp;" ("&amp;SUMPRODUCT((complaints!$E$2:$E$928=TRIM(F43))*(complaints!$F$2:$F$928&lt;&gt;"")*(complaints!$B$2:$B$928&gt;=$B$3)*(complaints!$B$2:$B$928&lt;=$D$3))&amp;")","-")))</f>
        <v/>
      </c>
      <c r="H43" s="132" t="str" cm="1">
        <f t="array" ref="H43">IF(F43="","",IF($D$6=0,"-",IFERROR(TEXT(SUMPRODUCT((complaints!$E$2:$E$928=TRIM(F43))*(complaints!$F$2:$F$928&lt;&gt;"")*(complaints!$B$2:$B$928&gt;=$B$4)*(complaints!$B$2:$B$928&lt;=$D$5))/$D$6,"0.0000")&amp;" ("&amp;SUMPRODUCT((complaints!$E$2:$E$928=TRIM(F43))*(complaints!$F$2:$F$928&lt;&gt;"")*(complaints!$B$2:$B$928&gt;=$B$4)*(complaints!$B$2:$B$928&lt;=$D$5))&amp;")","-")))</f>
        <v/>
      </c>
      <c r="I43" s="133" t="str">
        <f t="shared" si="2"/>
        <v/>
      </c>
      <c r="J43" s="134" t="str">
        <f t="shared" si="3"/>
        <v/>
      </c>
    </row>
    <row r="44" spans="1:10" ht="13.5" thickBot="1" x14ac:dyDescent="0.45">
      <c r="A44" s="11"/>
      <c r="B44" s="11"/>
      <c r="C44" s="11"/>
      <c r="D44" s="11"/>
      <c r="E44" s="11"/>
      <c r="F44" s="145" t="str">
        <f>IF(COUNTA(complaints!$A$2:$A$928)=0,"","Grand Total")</f>
        <v>Grand Total</v>
      </c>
      <c r="G44" s="146" t="str">
        <f>G31</f>
        <v>0.0001 (5)</v>
      </c>
      <c r="H44" s="146" t="str">
        <f>H31</f>
        <v>0.0003 (16)</v>
      </c>
      <c r="I44" s="147"/>
      <c r="J44" s="148"/>
    </row>
    <row r="45" spans="1:10" ht="13.15" x14ac:dyDescent="0.4">
      <c r="A45" s="11"/>
      <c r="B45" s="11"/>
      <c r="C45" s="11"/>
      <c r="D45" s="11"/>
      <c r="E45" s="11"/>
      <c r="F45" s="149"/>
      <c r="G45" s="149"/>
      <c r="H45" s="149"/>
      <c r="I45" s="149"/>
      <c r="J45" s="149"/>
    </row>
    <row r="46" spans="1:10" ht="13.15" x14ac:dyDescent="0.4">
      <c r="A46" s="11"/>
      <c r="B46" s="11"/>
      <c r="C46" s="11"/>
      <c r="D46" s="11"/>
      <c r="E46" s="11"/>
      <c r="F46" s="149" t="s">
        <v>81</v>
      </c>
      <c r="G46" s="149"/>
      <c r="H46" s="149"/>
      <c r="I46" s="149"/>
      <c r="J46" s="149"/>
    </row>
    <row r="47" spans="1:10" ht="13.15" x14ac:dyDescent="0.4">
      <c r="A47" s="11"/>
      <c r="B47" s="11"/>
      <c r="C47" s="11"/>
      <c r="D47" s="11"/>
      <c r="E47" s="11"/>
      <c r="F47" s="149" t="s">
        <v>82</v>
      </c>
      <c r="G47" s="149"/>
      <c r="H47" s="149"/>
      <c r="I47" s="149"/>
      <c r="J47" s="149"/>
    </row>
  </sheetData>
  <sheetProtection sheet="1" objects="1" scenarios="1"/>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3B83B-C594-4E0F-8438-B3820E96A6AA}">
  <dimension ref="A1:G38"/>
  <sheetViews>
    <sheetView workbookViewId="0">
      <pane ySplit="1" topLeftCell="A2" activePane="bottomLeft" state="frozen"/>
      <selection pane="bottomLeft" activeCell="D36" sqref="D36"/>
    </sheetView>
  </sheetViews>
  <sheetFormatPr defaultRowHeight="12.75" x14ac:dyDescent="0.35"/>
  <cols>
    <col min="1" max="1" width="26.73046875" customWidth="1"/>
    <col min="2" max="2" width="47.59765625" customWidth="1"/>
    <col min="3" max="3" width="21" customWidth="1"/>
    <col min="4" max="4" width="17.1328125" customWidth="1"/>
    <col min="5" max="5" width="53.265625" customWidth="1"/>
    <col min="6" max="7" width="19" customWidth="1"/>
  </cols>
  <sheetData>
    <row r="1" spans="1:5" ht="18" x14ac:dyDescent="0.55000000000000004">
      <c r="A1" s="368" t="s">
        <v>1556</v>
      </c>
    </row>
    <row r="3" spans="1:5" ht="14.25" x14ac:dyDescent="0.45">
      <c r="A3" s="369" t="s">
        <v>1557</v>
      </c>
    </row>
    <row r="4" spans="1:5" ht="13.15" x14ac:dyDescent="0.4">
      <c r="A4" s="372" t="s">
        <v>1314</v>
      </c>
      <c r="B4" s="372" t="s">
        <v>1558</v>
      </c>
      <c r="C4" s="372" t="s">
        <v>1559</v>
      </c>
      <c r="D4" s="372" t="s">
        <v>1560</v>
      </c>
      <c r="E4" s="372" t="s">
        <v>1561</v>
      </c>
    </row>
    <row r="5" spans="1:5" ht="13.15" x14ac:dyDescent="0.4">
      <c r="A5" s="373" t="str">
        <f>IF(COUNTA(complaints!$A$2:$A$928)=0,"","Worldwide")</f>
        <v>Worldwide</v>
      </c>
      <c r="B5" s="374" t="str" cm="1">
        <f t="array" ref="B5">IF(COUNTA(complaints!$A$2:$A$928)=0,"",IFERROR(_xlfn.LET(_xlpm.mdp,INDEX(_xlfn._xlws.SORT(_xlfn.UNIQUE(_xlfn._xlws.FILTER(complaints!$E$2:$E$928,complaints!$E$2:$E$928&lt;&gt;""))),1),_xlpm.code,IFERROR(VLOOKUP(_xlpm.mdp,Codes!$L$2:$N$409,3,FALSE),"—"),_xlpm.code&amp;" – "&amp;_xlpm.mdp),""))</f>
        <v>A0401 – Break</v>
      </c>
      <c r="C5" s="9">
        <f>IF(B5="","",COUNTIFS(complaints!$E$2:$E$928,MID(B5,FIND(" – ",B5)+3,999),complaints!$B$2:$B$928,"&gt;="&amp;'Harms table'!$B$2,complaints!$B$2:$B$928,"&lt;="&amp;'Harms table'!$D$2))</f>
        <v>2</v>
      </c>
      <c r="D5" s="9" t="str">
        <f>IF(C5="","",IF('Harms table'!$B$8=0,"–",TEXT(C5/'Harms table'!$B$8*100,"0.00")&amp;"%"))</f>
        <v>0.00%</v>
      </c>
      <c r="E5" s="375" t="str" cm="1">
        <f t="array" ref="E5">IF(B5="","",IFERROR(_xlfn.TEXTJOIN(", ",TRUE,_xlfn._xlws.FILTER(complaints!$A$2:$A$928,(complaints!$E$2:$E$928=MID(B5,FIND(" – ",B5)+3,999))*(complaints!$B$2:$B$928&gt;='Harms table'!$B$2)*(complaints!$B$2:$B$928&lt;='Harms table'!$D$2))),""))</f>
        <v>2024-07-0000328, 2024-09-0000519</v>
      </c>
    </row>
    <row r="6" spans="1:5" ht="13.15" x14ac:dyDescent="0.4">
      <c r="A6" s="376"/>
      <c r="B6" s="7" t="str" cm="1">
        <f t="array" ref="B6">IF(COUNTA(complaints!$A$2:$A$928)=0,"",IFERROR(_xlfn.LET(_xlpm.mdp,INDEX(_xlfn._xlws.SORT(_xlfn.UNIQUE(_xlfn._xlws.FILTER(complaints!$E$2:$E$928,complaints!$E$2:$E$928&lt;&gt;""))),2),_xlpm.code,IFERROR(VLOOKUP(_xlpm.mdp,Codes!$L$2:$N$409,3,FALSE),"—"),_xlpm.code&amp;" – "&amp;_xlpm.mdp),""))</f>
        <v>A1801 – Contamination</v>
      </c>
      <c r="C6" s="10">
        <f>IF(B6="","",COUNTIFS(complaints!$E$2:$E$928,MID(B6,FIND(" – ",B6)+3,999),complaints!$B$2:$B$928,"&gt;="&amp;'Harms table'!$B$2,complaints!$B$2:$B$928,"&lt;="&amp;'Harms table'!$D$2))</f>
        <v>1</v>
      </c>
      <c r="D6" s="10" t="str">
        <f>IF(C6="","",IF('Harms table'!$B$8=0,"–",TEXT(C6/'Harms table'!$B$8*100,"0.00")&amp;"%"))</f>
        <v>0.00%</v>
      </c>
      <c r="E6" s="377" t="str" cm="1">
        <f t="array" ref="E6">IF(B6="","",IFERROR(_xlfn.TEXTJOIN(", ",TRUE,_xlfn._xlws.FILTER(complaints!$A$2:$A$928,(complaints!$E$2:$E$928=MID(B6,FIND(" – ",B6)+3,999))*(complaints!$B$2:$B$928&gt;='Harms table'!$B$2)*(complaints!$B$2:$B$928&lt;='Harms table'!$D$2))),""))</f>
        <v>2023-03-0000416</v>
      </c>
    </row>
    <row r="7" spans="1:5" ht="13.15" x14ac:dyDescent="0.4">
      <c r="A7" s="378"/>
      <c r="B7" s="374" t="str" cm="1">
        <f t="array" ref="B7">IF(COUNTA(complaints!$A$2:$A$928)=0,"",IFERROR(_xlfn.LET(_xlpm.mdp,INDEX(_xlfn._xlws.SORT(_xlfn.UNIQUE(_xlfn._xlws.FILTER(complaints!$E$2:$E$928,complaints!$E$2:$E$928&lt;&gt;""))),3),_xlpm.code,IFERROR(VLOOKUP(_xlpm.mdp,Codes!$L$2:$N$409,3,FALSE),"—"),_xlpm.code&amp;" – "&amp;_xlpm.mdp),""))</f>
        <v>A0203 – Defective Device</v>
      </c>
      <c r="C7" s="9">
        <f>IF(B7="","",COUNTIFS(complaints!$E$2:$E$928,MID(B7,FIND(" – ",B7)+3,999),complaints!$B$2:$B$928,"&gt;="&amp;'Harms table'!$B$2,complaints!$B$2:$B$928,"&lt;="&amp;'Harms table'!$D$2))</f>
        <v>2</v>
      </c>
      <c r="D7" s="9" t="str">
        <f>IF(C7="","",IF('Harms table'!$B$8=0,"–",TEXT(C7/'Harms table'!$B$8*100,"0.00")&amp;"%"))</f>
        <v>0.00%</v>
      </c>
      <c r="E7" s="375" t="str" cm="1">
        <f t="array" ref="E7">IF(B7="","",IFERROR(_xlfn.TEXTJOIN(", ",TRUE,_xlfn._xlws.FILTER(complaints!$A$2:$A$928,(complaints!$E$2:$E$928=MID(B7,FIND(" – ",B7)+3,999))*(complaints!$B$2:$B$928&gt;='Harms table'!$B$2)*(complaints!$B$2:$B$928&lt;='Harms table'!$D$2))),""))</f>
        <v>2023-12-0000241, 2023-12-0000246</v>
      </c>
    </row>
    <row r="8" spans="1:5" ht="13.15" x14ac:dyDescent="0.4">
      <c r="A8" s="376"/>
      <c r="B8" s="7" t="str" cm="1">
        <f t="array" ref="B8">IF(COUNTA(complaints!$A$2:$A$928)=0,"",IFERROR(_xlfn.LET(_xlpm.mdp,INDEX(_xlfn._xlws.SORT(_xlfn.UNIQUE(_xlfn._xlws.FILTER(complaints!$E$2:$E$928,complaints!$E$2:$E$928&lt;&gt;""))),4),_xlpm.code,IFERROR(VLOOKUP(_xlpm.mdp,Codes!$L$2:$N$409,3,FALSE),"—"),_xlpm.code&amp;" – "&amp;_xlpm.mdp),""))</f>
        <v>— – UNKNOWN - arrivedwarm</v>
      </c>
      <c r="C8" s="10">
        <f>IF(B8="","",COUNTIFS(complaints!$E$2:$E$928,MID(B8,FIND(" – ",B8)+3,999),complaints!$B$2:$B$928,"&gt;="&amp;'Harms table'!$B$2,complaints!$B$2:$B$928,"&lt;="&amp;'Harms table'!$D$2))</f>
        <v>0</v>
      </c>
      <c r="D8" s="10" t="str">
        <f>IF(C8="","",IF('Harms table'!$B$8=0,"–",TEXT(C8/'Harms table'!$B$8*100,"0.00")&amp;"%"))</f>
        <v>0.00%</v>
      </c>
      <c r="E8" s="377" t="str" cm="1">
        <f t="array" ref="E8">IF(B8="","",IFERROR(_xlfn.TEXTJOIN(", ",TRUE,_xlfn._xlws.FILTER(complaints!$A$2:$A$928,(complaints!$E$2:$E$928=MID(B8,FIND(" – ",B8)+3,999))*(complaints!$B$2:$B$928&gt;='Harms table'!$B$2)*(complaints!$B$2:$B$928&lt;='Harms table'!$D$2))),""))</f>
        <v/>
      </c>
    </row>
    <row r="9" spans="1:5" ht="13.15" x14ac:dyDescent="0.4">
      <c r="A9" s="378"/>
      <c r="B9" s="374" t="str" cm="1">
        <f t="array" ref="B9">IF(COUNTA(complaints!$A$2:$A$928)=0,"",IFERROR(_xlfn.LET(_xlpm.mdp,INDEX(_xlfn._xlws.SORT(_xlfn.UNIQUE(_xlfn._xlws.FILTER(complaints!$E$2:$E$928,complaints!$E$2:$E$928&lt;&gt;""))),5),_xlpm.code,IFERROR(VLOOKUP(_xlpm.mdp,Codes!$L$2:$N$409,3,FALSE),"—"),_xlpm.code&amp;" – "&amp;_xlpm.mdp),""))</f>
        <v>— – UNKNOWN - bottleslids</v>
      </c>
      <c r="C9" s="9">
        <f>IF(B9="","",COUNTIFS(complaints!$E$2:$E$928,MID(B9,FIND(" – ",B9)+3,999),complaints!$B$2:$B$928,"&gt;="&amp;'Harms table'!$B$2,complaints!$B$2:$B$928,"&lt;="&amp;'Harms table'!$D$2))</f>
        <v>1</v>
      </c>
      <c r="D9" s="9" t="str">
        <f>IF(C9="","",IF('Harms table'!$B$8=0,"–",TEXT(C9/'Harms table'!$B$8*100,"0.00")&amp;"%"))</f>
        <v>0.00%</v>
      </c>
      <c r="E9" s="375" t="str" cm="1">
        <f t="array" ref="E9">IF(B9="","",IFERROR(_xlfn.TEXTJOIN(", ",TRUE,_xlfn._xlws.FILTER(complaints!$A$2:$A$928,(complaints!$E$2:$E$928=MID(B9,FIND(" – ",B9)+3,999))*(complaints!$B$2:$B$928&gt;='Harms table'!$B$2)*(complaints!$B$2:$B$928&lt;='Harms table'!$D$2))),""))</f>
        <v>2024-02-0000191</v>
      </c>
    </row>
    <row r="10" spans="1:5" ht="13.15" x14ac:dyDescent="0.4">
      <c r="A10" s="376"/>
      <c r="B10" s="7" t="str" cm="1">
        <f t="array" ref="B10">IF(COUNTA(complaints!$A$2:$A$928)=0,"",IFERROR(_xlfn.LET(_xlpm.mdp,INDEX(_xlfn._xlws.SORT(_xlfn.UNIQUE(_xlfn._xlws.FILTER(complaints!$E$2:$E$928,complaints!$E$2:$E$928&lt;&gt;""))),6),_xlpm.code,IFERROR(VLOOKUP(_xlpm.mdp,Codes!$L$2:$N$409,3,FALSE),"—"),_xlpm.code&amp;" – "&amp;_xlpm.mdp),""))</f>
        <v>— – UNKNOWN - colorph</v>
      </c>
      <c r="C10" s="10">
        <f>IF(B10="","",COUNTIFS(complaints!$E$2:$E$928,MID(B10,FIND(" – ",B10)+3,999),complaints!$B$2:$B$928,"&gt;="&amp;'Harms table'!$B$2,complaints!$B$2:$B$928,"&lt;="&amp;'Harms table'!$D$2))</f>
        <v>9</v>
      </c>
      <c r="D10" s="10" t="str">
        <f>IF(C10="","",IF('Harms table'!$B$8=0,"–",TEXT(C10/'Harms table'!$B$8*100,"0.00")&amp;"%"))</f>
        <v>0.01%</v>
      </c>
      <c r="E10" s="377" t="str" cm="1">
        <f t="array" ref="E10">IF(B10="","",IFERROR(_xlfn.TEXTJOIN(", ",TRUE,_xlfn._xlws.FILTER(complaints!$A$2:$A$928,(complaints!$E$2:$E$928=MID(B10,FIND(" – ",B10)+3,999))*(complaints!$B$2:$B$928&gt;='Harms table'!$B$2)*(complaints!$B$2:$B$928&lt;='Harms table'!$D$2))),""))</f>
        <v>2023-05-0000145, 2023-05-0000540, 2023-05-0000618, 2023-06-0000030, 2023-06-0000116, 2023-06-0000121, 2023-06-0000281, 2023-06-0000348, 2023-06-0000391</v>
      </c>
    </row>
    <row r="11" spans="1:5" ht="13.15" x14ac:dyDescent="0.4">
      <c r="A11" s="378"/>
      <c r="B11" s="374" t="str" cm="1">
        <f t="array" ref="B11">IF(COUNTA(complaints!$A$2:$A$928)=0,"",IFERROR(_xlfn.LET(_xlpm.mdp,INDEX(_xlfn._xlws.SORT(_xlfn.UNIQUE(_xlfn._xlws.FILTER(complaints!$E$2:$E$928,complaints!$E$2:$E$928&lt;&gt;""))),7),_xlpm.code,IFERROR(VLOOKUP(_xlpm.mdp,Codes!$L$2:$N$409,3,FALSE),"—"),_xlpm.code&amp;" – "&amp;_xlpm.mdp),""))</f>
        <v>— – UNKNOWN - particles</v>
      </c>
      <c r="C11" s="9">
        <f>IF(B11="","",COUNTIFS(complaints!$E$2:$E$928,MID(B11,FIND(" – ",B11)+3,999),complaints!$B$2:$B$928,"&gt;="&amp;'Harms table'!$B$2,complaints!$B$2:$B$928,"&lt;="&amp;'Harms table'!$D$2))</f>
        <v>1</v>
      </c>
      <c r="D11" s="9" t="str">
        <f>IF(C11="","",IF('Harms table'!$B$8=0,"–",TEXT(C11/'Harms table'!$B$8*100,"0.00")&amp;"%"))</f>
        <v>0.00%</v>
      </c>
      <c r="E11" s="375" t="str" cm="1">
        <f t="array" ref="E11">IF(B11="","",IFERROR(_xlfn.TEXTJOIN(", ",TRUE,_xlfn._xlws.FILTER(complaints!$A$2:$A$928,(complaints!$E$2:$E$928=MID(B11,FIND(" – ",B11)+3,999))*(complaints!$B$2:$B$928&gt;='Harms table'!$B$2)*(complaints!$B$2:$B$928&lt;='Harms table'!$D$2))),""))</f>
        <v>2023-04-0000158</v>
      </c>
    </row>
    <row r="12" spans="1:5" ht="13.15" x14ac:dyDescent="0.4">
      <c r="A12" s="376"/>
      <c r="B12" s="7" t="str" cm="1">
        <f t="array" ref="B12">IF(COUNTA(complaints!$A$2:$A$928)=0,"",IFERROR(_xlfn.LET(_xlpm.mdp,INDEX(_xlfn._xlws.SORT(_xlfn.UNIQUE(_xlfn._xlws.FILTER(complaints!$E$2:$E$928,complaints!$E$2:$E$928&lt;&gt;""))),8),_xlpm.code,IFERROR(VLOOKUP(_xlpm.mdp,Codes!$L$2:$N$409,3,FALSE),"—"),_xlpm.code&amp;" – "&amp;_xlpm.mdp),""))</f>
        <v/>
      </c>
      <c r="C12" s="10" t="str">
        <f>IF(B12="","",COUNTIFS(complaints!$E$2:$E$928,MID(B12,FIND(" – ",B12)+3,999),complaints!$B$2:$B$928,"&gt;="&amp;'Harms table'!$B$2,complaints!$B$2:$B$928,"&lt;="&amp;'Harms table'!$D$2))</f>
        <v/>
      </c>
      <c r="D12" s="10" t="str">
        <f>IF(C12="","",IF('Harms table'!$B$8=0,"–",TEXT(C12/'Harms table'!$B$8*100,"0.00")&amp;"%"))</f>
        <v/>
      </c>
      <c r="E12" s="377" t="str" cm="1">
        <f t="array" ref="E12">IF(B12="","",IFERROR(_xlfn.TEXTJOIN(", ",TRUE,_xlfn._xlws.FILTER(complaints!$A$2:$A$928,(complaints!$E$2:$E$928=MID(B12,FIND(" – ",B12)+3,999))*(complaints!$B$2:$B$928&gt;='Harms table'!$B$2)*(complaints!$B$2:$B$928&lt;='Harms table'!$D$2))),""))</f>
        <v/>
      </c>
    </row>
    <row r="13" spans="1:5" ht="13.15" x14ac:dyDescent="0.4">
      <c r="A13" s="378"/>
      <c r="B13" s="374" t="str" cm="1">
        <f t="array" ref="B13">IF(COUNTA(complaints!$A$2:$A$928)=0,"",IFERROR(_xlfn.LET(_xlpm.mdp,INDEX(_xlfn._xlws.SORT(_xlfn.UNIQUE(_xlfn._xlws.FILTER(complaints!$E$2:$E$928,complaints!$E$2:$E$928&lt;&gt;""))),9),_xlpm.code,IFERROR(VLOOKUP(_xlpm.mdp,Codes!$L$2:$N$409,3,FALSE),"—"),_xlpm.code&amp;" – "&amp;_xlpm.mdp),""))</f>
        <v/>
      </c>
      <c r="C13" s="9" t="str">
        <f>IF(B13="","",COUNTIFS(complaints!$E$2:$E$928,MID(B13,FIND(" – ",B13)+3,999),complaints!$B$2:$B$928,"&gt;="&amp;'Harms table'!$B$2,complaints!$B$2:$B$928,"&lt;="&amp;'Harms table'!$D$2))</f>
        <v/>
      </c>
      <c r="D13" s="9" t="str">
        <f>IF(C13="","",IF('Harms table'!$B$8=0,"–",TEXT(C13/'Harms table'!$B$8*100,"0.00")&amp;"%"))</f>
        <v/>
      </c>
      <c r="E13" s="375" t="str" cm="1">
        <f t="array" ref="E13">IF(B13="","",IFERROR(_xlfn.TEXTJOIN(", ",TRUE,_xlfn._xlws.FILTER(complaints!$A$2:$A$928,(complaints!$E$2:$E$928=MID(B13,FIND(" – ",B13)+3,999))*(complaints!$B$2:$B$928&gt;='Harms table'!$B$2)*(complaints!$B$2:$B$928&lt;='Harms table'!$D$2))),""))</f>
        <v/>
      </c>
    </row>
    <row r="14" spans="1:5" ht="13.15" x14ac:dyDescent="0.4">
      <c r="A14" s="376"/>
      <c r="B14" s="7" t="str" cm="1">
        <f t="array" ref="B14">IF(COUNTA(complaints!$A$2:$A$928)=0,"",IFERROR(_xlfn.LET(_xlpm.mdp,INDEX(_xlfn._xlws.SORT(_xlfn.UNIQUE(_xlfn._xlws.FILTER(complaints!$E$2:$E$928,complaints!$E$2:$E$928&lt;&gt;""))),10),_xlpm.code,IFERROR(VLOOKUP(_xlpm.mdp,Codes!$L$2:$N$409,3,FALSE),"—"),_xlpm.code&amp;" – "&amp;_xlpm.mdp),""))</f>
        <v/>
      </c>
      <c r="C14" s="10" t="str">
        <f>IF(B14="","",COUNTIFS(complaints!$E$2:$E$928,MID(B14,FIND(" – ",B14)+3,999),complaints!$B$2:$B$928,"&gt;="&amp;'Harms table'!$B$2,complaints!$B$2:$B$928,"&lt;="&amp;'Harms table'!$D$2))</f>
        <v/>
      </c>
      <c r="D14" s="10" t="str">
        <f>IF(C14="","",IF('Harms table'!$B$8=0,"–",TEXT(C14/'Harms table'!$B$8*100,"0.00")&amp;"%"))</f>
        <v/>
      </c>
      <c r="E14" s="377" t="str" cm="1">
        <f t="array" ref="E14">IF(B14="","",IFERROR(_xlfn.TEXTJOIN(", ",TRUE,_xlfn._xlws.FILTER(complaints!$A$2:$A$928,(complaints!$E$2:$E$928=MID(B14,FIND(" – ",B14)+3,999))*(complaints!$B$2:$B$928&gt;='Harms table'!$B$2)*(complaints!$B$2:$B$928&lt;='Harms table'!$D$2))),""))</f>
        <v/>
      </c>
    </row>
    <row r="15" spans="1:5" ht="13.15" x14ac:dyDescent="0.4">
      <c r="A15" s="378"/>
      <c r="B15" s="374" t="str" cm="1">
        <f t="array" ref="B15">IF(COUNTA(complaints!$A$2:$A$928)=0,"",IFERROR(_xlfn.LET(_xlpm.mdp,INDEX(_xlfn._xlws.SORT(_xlfn.UNIQUE(_xlfn._xlws.FILTER(complaints!$E$2:$E$928,complaints!$E$2:$E$928&lt;&gt;""))),11),_xlpm.code,IFERROR(VLOOKUP(_xlpm.mdp,Codes!$L$2:$N$409,3,FALSE),"—"),_xlpm.code&amp;" – "&amp;_xlpm.mdp),""))</f>
        <v/>
      </c>
      <c r="C15" s="9" t="str">
        <f>IF(B15="","",COUNTIFS(complaints!$E$2:$E$928,MID(B15,FIND(" – ",B15)+3,999),complaints!$B$2:$B$928,"&gt;="&amp;'Harms table'!$B$2,complaints!$B$2:$B$928,"&lt;="&amp;'Harms table'!$D$2))</f>
        <v/>
      </c>
      <c r="D15" s="9" t="str">
        <f>IF(C15="","",IF('Harms table'!$B$8=0,"–",TEXT(C15/'Harms table'!$B$8*100,"0.00")&amp;"%"))</f>
        <v/>
      </c>
      <c r="E15" s="375" t="str" cm="1">
        <f t="array" ref="E15">IF(B15="","",IFERROR(_xlfn.TEXTJOIN(", ",TRUE,_xlfn._xlws.FILTER(complaints!$A$2:$A$928,(complaints!$E$2:$E$928=MID(B15,FIND(" – ",B15)+3,999))*(complaints!$B$2:$B$928&gt;='Harms table'!$B$2)*(complaints!$B$2:$B$928&lt;='Harms table'!$D$2))),""))</f>
        <v/>
      </c>
    </row>
    <row r="16" spans="1:5" ht="13.15" x14ac:dyDescent="0.4">
      <c r="A16" s="379" t="s">
        <v>1317</v>
      </c>
      <c r="B16" s="379" t="s">
        <v>1562</v>
      </c>
      <c r="C16" s="379">
        <f>SUM(C5:C15)</f>
        <v>16</v>
      </c>
      <c r="D16" s="379" t="str">
        <f>IF('Harms table'!$B$8=0,"–",TEXT(C16/'Harms table'!$B$8*100,"0.00")&amp;"%")</f>
        <v>0.03%</v>
      </c>
      <c r="E16" s="380"/>
    </row>
    <row r="18" spans="1:5" ht="14.25" x14ac:dyDescent="0.45">
      <c r="A18" s="369" t="s">
        <v>1563</v>
      </c>
    </row>
    <row r="19" spans="1:5" ht="13.15" x14ac:dyDescent="0.4">
      <c r="A19" s="372" t="s">
        <v>1314</v>
      </c>
      <c r="B19" s="372" t="s">
        <v>1564</v>
      </c>
      <c r="C19" s="372" t="s">
        <v>1559</v>
      </c>
      <c r="D19" s="372" t="s">
        <v>1560</v>
      </c>
      <c r="E19" s="372" t="s">
        <v>1561</v>
      </c>
    </row>
    <row r="20" spans="1:5" ht="13.15" x14ac:dyDescent="0.4">
      <c r="A20" s="373" t="str">
        <f>IF(COUNTA(complaints!$A$2:$A$928)=0,"","Worldwide")</f>
        <v>Worldwide</v>
      </c>
      <c r="B20" s="374" t="str" cm="1">
        <f t="array" ref="B20">IF(COUNTA(complaints!$A$2:$A$928)=0,"",IFERROR(INDEX(_xlfn._xlws.SORT(_xlfn.UNIQUE(_xlfn._xlws.FILTER(complaints!$H$2:$H$928,complaints!$H$2:$H$928&lt;&gt;""))),1),""))</f>
        <v/>
      </c>
      <c r="C20" s="9" t="str">
        <f>IF(B20="","",COUNTIFS(complaints!$H$2:$H$928,B20,complaints!$B$2:$B$928,"&gt;="&amp;'Harms table'!$B$2,complaints!$B$2:$B$928,"&lt;="&amp;'Harms table'!$D$2))</f>
        <v/>
      </c>
      <c r="D20" s="9" t="str">
        <f>IF(C20="","",IF('Harms table'!$B$8=0,"–",TEXT(C20/'Harms table'!$B$8*100,"0.00")&amp;"%"))</f>
        <v/>
      </c>
      <c r="E20" s="375" t="str" cm="1">
        <f t="array" ref="E20">IF(B20="","",IFERROR(_xlfn.TEXTJOIN(", ",TRUE,_xlfn._xlws.FILTER(complaints!$A$2:$A$928,(complaints!$H$2:$H$928=B20)*(complaints!$B$2:$B$928&gt;='Harms table'!$B$2)*(complaints!$B$2:$B$928&lt;='Harms table'!$D$2))),""))</f>
        <v/>
      </c>
    </row>
    <row r="21" spans="1:5" ht="13.15" x14ac:dyDescent="0.4">
      <c r="A21" s="376"/>
      <c r="B21" s="7" t="str" cm="1">
        <f t="array" ref="B21">IF(COUNTA(complaints!$A$2:$A$928)=0,"",IFERROR(INDEX(_xlfn._xlws.SORT(_xlfn.UNIQUE(_xlfn._xlws.FILTER(complaints!$H$2:$H$928,complaints!$H$2:$H$928&lt;&gt;""))),2),""))</f>
        <v/>
      </c>
      <c r="C21" s="10" t="str">
        <f>IF(B21="","",COUNTIFS(complaints!$H$2:$H$928,B21,complaints!$B$2:$B$928,"&gt;="&amp;'Harms table'!$B$2,complaints!$B$2:$B$928,"&lt;="&amp;'Harms table'!$D$2))</f>
        <v/>
      </c>
      <c r="D21" s="10" t="str">
        <f>IF(C21="","",IF('Harms table'!$B$8=0,"–",TEXT(C21/'Harms table'!$B$8*100,"0.00")&amp;"%"))</f>
        <v/>
      </c>
      <c r="E21" s="377" t="str" cm="1">
        <f t="array" ref="E21">IF(B21="","",IFERROR(_xlfn.TEXTJOIN(", ",TRUE,_xlfn._xlws.FILTER(complaints!$A$2:$A$928,(complaints!$H$2:$H$928=B21)*(complaints!$B$2:$B$928&gt;='Harms table'!$B$2)*(complaints!$B$2:$B$928&lt;='Harms table'!$D$2))),""))</f>
        <v/>
      </c>
    </row>
    <row r="22" spans="1:5" ht="13.15" x14ac:dyDescent="0.4">
      <c r="A22" s="378"/>
      <c r="B22" s="374" t="str" cm="1">
        <f t="array" ref="B22">IF(COUNTA(complaints!$A$2:$A$928)=0,"",IFERROR(INDEX(_xlfn._xlws.SORT(_xlfn.UNIQUE(_xlfn._xlws.FILTER(complaints!$H$2:$H$928,complaints!$H$2:$H$928&lt;&gt;""))),3),""))</f>
        <v/>
      </c>
      <c r="C22" s="9" t="str">
        <f>IF(B22="","",COUNTIFS(complaints!$H$2:$H$928,B22,complaints!$B$2:$B$928,"&gt;="&amp;'Harms table'!$B$2,complaints!$B$2:$B$928,"&lt;="&amp;'Harms table'!$D$2))</f>
        <v/>
      </c>
      <c r="D22" s="9" t="str">
        <f>IF(C22="","",IF('Harms table'!$B$8=0,"–",TEXT(C22/'Harms table'!$B$8*100,"0.00")&amp;"%"))</f>
        <v/>
      </c>
      <c r="E22" s="375" t="str" cm="1">
        <f t="array" ref="E22">IF(B22="","",IFERROR(_xlfn.TEXTJOIN(", ",TRUE,_xlfn._xlws.FILTER(complaints!$A$2:$A$928,(complaints!$H$2:$H$928=B22)*(complaints!$B$2:$B$928&gt;='Harms table'!$B$2)*(complaints!$B$2:$B$928&lt;='Harms table'!$D$2))),""))</f>
        <v/>
      </c>
    </row>
    <row r="23" spans="1:5" ht="13.15" x14ac:dyDescent="0.4">
      <c r="A23" s="376"/>
      <c r="B23" s="7" t="str" cm="1">
        <f t="array" ref="B23">IF(COUNTA(complaints!$A$2:$A$928)=0,"",IFERROR(INDEX(_xlfn._xlws.SORT(_xlfn.UNIQUE(_xlfn._xlws.FILTER(complaints!$H$2:$H$928,complaints!$H$2:$H$928&lt;&gt;""))),4),""))</f>
        <v/>
      </c>
      <c r="C23" s="10" t="str">
        <f>IF(B23="","",COUNTIFS(complaints!$H$2:$H$928,B23,complaints!$B$2:$B$928,"&gt;="&amp;'Harms table'!$B$2,complaints!$B$2:$B$928,"&lt;="&amp;'Harms table'!$D$2))</f>
        <v/>
      </c>
      <c r="D23" s="10" t="str">
        <f>IF(C23="","",IF('Harms table'!$B$8=0,"–",TEXT(C23/'Harms table'!$B$8*100,"0.00")&amp;"%"))</f>
        <v/>
      </c>
      <c r="E23" s="377" t="str" cm="1">
        <f t="array" ref="E23">IF(B23="","",IFERROR(_xlfn.TEXTJOIN(", ",TRUE,_xlfn._xlws.FILTER(complaints!$A$2:$A$928,(complaints!$H$2:$H$928=B23)*(complaints!$B$2:$B$928&gt;='Harms table'!$B$2)*(complaints!$B$2:$B$928&lt;='Harms table'!$D$2))),""))</f>
        <v/>
      </c>
    </row>
    <row r="24" spans="1:5" ht="13.15" x14ac:dyDescent="0.4">
      <c r="A24" s="378"/>
      <c r="B24" s="374" t="str" cm="1">
        <f t="array" ref="B24">IF(COUNTA(complaints!$A$2:$A$928)=0,"",IFERROR(INDEX(_xlfn._xlws.SORT(_xlfn.UNIQUE(_xlfn._xlws.FILTER(complaints!$H$2:$H$928,complaints!$H$2:$H$928&lt;&gt;""))),5),""))</f>
        <v/>
      </c>
      <c r="C24" s="9" t="str">
        <f>IF(B24="","",COUNTIFS(complaints!$H$2:$H$928,B24,complaints!$B$2:$B$928,"&gt;="&amp;'Harms table'!$B$2,complaints!$B$2:$B$928,"&lt;="&amp;'Harms table'!$D$2))</f>
        <v/>
      </c>
      <c r="D24" s="9" t="str">
        <f>IF(C24="","",IF('Harms table'!$B$8=0,"–",TEXT(C24/'Harms table'!$B$8*100,"0.00")&amp;"%"))</f>
        <v/>
      </c>
      <c r="E24" s="375" t="str" cm="1">
        <f t="array" ref="E24">IF(B24="","",IFERROR(_xlfn.TEXTJOIN(", ",TRUE,_xlfn._xlws.FILTER(complaints!$A$2:$A$928,(complaints!$H$2:$H$928=B24)*(complaints!$B$2:$B$928&gt;='Harms table'!$B$2)*(complaints!$B$2:$B$928&lt;='Harms table'!$D$2))),""))</f>
        <v/>
      </c>
    </row>
    <row r="25" spans="1:5" ht="13.15" x14ac:dyDescent="0.4">
      <c r="A25" s="376"/>
      <c r="B25" s="7" t="str" cm="1">
        <f t="array" ref="B25">IF(COUNTA(complaints!$A$2:$A$928)=0,"",IFERROR(INDEX(_xlfn._xlws.SORT(_xlfn.UNIQUE(_xlfn._xlws.FILTER(complaints!$H$2:$H$928,complaints!$H$2:$H$928&lt;&gt;""))),6),""))</f>
        <v/>
      </c>
      <c r="C25" s="10" t="str">
        <f>IF(B25="","",COUNTIFS(complaints!$H$2:$H$928,B25,complaints!$B$2:$B$928,"&gt;="&amp;'Harms table'!$B$2,complaints!$B$2:$B$928,"&lt;="&amp;'Harms table'!$D$2))</f>
        <v/>
      </c>
      <c r="D25" s="10" t="str">
        <f>IF(C25="","",IF('Harms table'!$B$8=0,"–",TEXT(C25/'Harms table'!$B$8*100,"0.00")&amp;"%"))</f>
        <v/>
      </c>
      <c r="E25" s="377" t="str" cm="1">
        <f t="array" ref="E25">IF(B25="","",IFERROR(_xlfn.TEXTJOIN(", ",TRUE,_xlfn._xlws.FILTER(complaints!$A$2:$A$928,(complaints!$H$2:$H$928=B25)*(complaints!$B$2:$B$928&gt;='Harms table'!$B$2)*(complaints!$B$2:$B$928&lt;='Harms table'!$D$2))),""))</f>
        <v/>
      </c>
    </row>
    <row r="26" spans="1:5" ht="13.15" x14ac:dyDescent="0.4">
      <c r="A26" s="378"/>
      <c r="B26" s="374" t="str" cm="1">
        <f t="array" ref="B26">IF(COUNTA(complaints!$A$2:$A$928)=0,"",IFERROR(INDEX(_xlfn._xlws.SORT(_xlfn.UNIQUE(_xlfn._xlws.FILTER(complaints!$H$2:$H$928,complaints!$H$2:$H$928&lt;&gt;""))),7),""))</f>
        <v/>
      </c>
      <c r="C26" s="9" t="str">
        <f>IF(B26="","",COUNTIFS(complaints!$H$2:$H$928,B26,complaints!$B$2:$B$928,"&gt;="&amp;'Harms table'!$B$2,complaints!$B$2:$B$928,"&lt;="&amp;'Harms table'!$D$2))</f>
        <v/>
      </c>
      <c r="D26" s="9" t="str">
        <f>IF(C26="","",IF('Harms table'!$B$8=0,"–",TEXT(C26/'Harms table'!$B$8*100,"0.00")&amp;"%"))</f>
        <v/>
      </c>
      <c r="E26" s="375" t="str" cm="1">
        <f t="array" ref="E26">IF(B26="","",IFERROR(_xlfn.TEXTJOIN(", ",TRUE,_xlfn._xlws.FILTER(complaints!$A$2:$A$928,(complaints!$H$2:$H$928=B26)*(complaints!$B$2:$B$928&gt;='Harms table'!$B$2)*(complaints!$B$2:$B$928&lt;='Harms table'!$D$2))),""))</f>
        <v/>
      </c>
    </row>
    <row r="27" spans="1:5" ht="13.15" x14ac:dyDescent="0.4">
      <c r="A27" s="376"/>
      <c r="B27" s="7" t="str" cm="1">
        <f t="array" ref="B27">IF(COUNTA(complaints!$A$2:$A$928)=0,"",IFERROR(INDEX(_xlfn._xlws.SORT(_xlfn.UNIQUE(_xlfn._xlws.FILTER(complaints!$H$2:$H$928,complaints!$H$2:$H$928&lt;&gt;""))),8),""))</f>
        <v/>
      </c>
      <c r="C27" s="10" t="str">
        <f>IF(B27="","",COUNTIFS(complaints!$H$2:$H$928,B27,complaints!$B$2:$B$928,"&gt;="&amp;'Harms table'!$B$2,complaints!$B$2:$B$928,"&lt;="&amp;'Harms table'!$D$2))</f>
        <v/>
      </c>
      <c r="D27" s="10" t="str">
        <f>IF(C27="","",IF('Harms table'!$B$8=0,"–",TEXT(C27/'Harms table'!$B$8*100,"0.00")&amp;"%"))</f>
        <v/>
      </c>
      <c r="E27" s="377" t="str" cm="1">
        <f t="array" ref="E27">IF(B27="","",IFERROR(_xlfn.TEXTJOIN(", ",TRUE,_xlfn._xlws.FILTER(complaints!$A$2:$A$928,(complaints!$H$2:$H$928=B27)*(complaints!$B$2:$B$928&gt;='Harms table'!$B$2)*(complaints!$B$2:$B$928&lt;='Harms table'!$D$2))),""))</f>
        <v/>
      </c>
    </row>
    <row r="28" spans="1:5" ht="13.15" x14ac:dyDescent="0.4">
      <c r="A28" s="378"/>
      <c r="B28" s="374" t="str" cm="1">
        <f t="array" ref="B28">IF(COUNTA(complaints!$A$2:$A$928)=0,"",IFERROR(INDEX(_xlfn._xlws.SORT(_xlfn.UNIQUE(_xlfn._xlws.FILTER(complaints!$H$2:$H$928,complaints!$H$2:$H$928&lt;&gt;""))),9),""))</f>
        <v/>
      </c>
      <c r="C28" s="9" t="str">
        <f>IF(B28="","",COUNTIFS(complaints!$H$2:$H$928,B28,complaints!$B$2:$B$928,"&gt;="&amp;'Harms table'!$B$2,complaints!$B$2:$B$928,"&lt;="&amp;'Harms table'!$D$2))</f>
        <v/>
      </c>
      <c r="D28" s="9" t="str">
        <f>IF(C28="","",IF('Harms table'!$B$8=0,"–",TEXT(C28/'Harms table'!$B$8*100,"0.00")&amp;"%"))</f>
        <v/>
      </c>
      <c r="E28" s="375" t="str" cm="1">
        <f t="array" ref="E28">IF(B28="","",IFERROR(_xlfn.TEXTJOIN(", ",TRUE,_xlfn._xlws.FILTER(complaints!$A$2:$A$928,(complaints!$H$2:$H$928=B28)*(complaints!$B$2:$B$928&gt;='Harms table'!$B$2)*(complaints!$B$2:$B$928&lt;='Harms table'!$D$2))),""))</f>
        <v/>
      </c>
    </row>
    <row r="29" spans="1:5" ht="13.15" x14ac:dyDescent="0.4">
      <c r="A29" s="376"/>
      <c r="B29" s="7" t="str" cm="1">
        <f t="array" ref="B29">IF(COUNTA(complaints!$A$2:$A$928)=0,"",IFERROR(INDEX(_xlfn._xlws.SORT(_xlfn.UNIQUE(_xlfn._xlws.FILTER(complaints!$H$2:$H$928,complaints!$H$2:$H$928&lt;&gt;""))),10),""))</f>
        <v/>
      </c>
      <c r="C29" s="10" t="str">
        <f>IF(B29="","",COUNTIFS(complaints!$H$2:$H$928,B29,complaints!$B$2:$B$928,"&gt;="&amp;'Harms table'!$B$2,complaints!$B$2:$B$928,"&lt;="&amp;'Harms table'!$D$2))</f>
        <v/>
      </c>
      <c r="D29" s="10" t="str">
        <f>IF(C29="","",IF('Harms table'!$B$8=0,"–",TEXT(C29/'Harms table'!$B$8*100,"0.00")&amp;"%"))</f>
        <v/>
      </c>
      <c r="E29" s="377" t="str" cm="1">
        <f t="array" ref="E29">IF(B29="","",IFERROR(_xlfn.TEXTJOIN(", ",TRUE,_xlfn._xlws.FILTER(complaints!$A$2:$A$928,(complaints!$H$2:$H$928=B29)*(complaints!$B$2:$B$928&gt;='Harms table'!$B$2)*(complaints!$B$2:$B$928&lt;='Harms table'!$D$2))),""))</f>
        <v/>
      </c>
    </row>
    <row r="30" spans="1:5" ht="13.15" x14ac:dyDescent="0.4">
      <c r="A30" s="378"/>
      <c r="B30" s="374" t="str" cm="1">
        <f t="array" ref="B30">IF(COUNTA(complaints!$A$2:$A$928)=0,"",IFERROR(INDEX(_xlfn._xlws.SORT(_xlfn.UNIQUE(_xlfn._xlws.FILTER(complaints!$H$2:$H$928,complaints!$H$2:$H$928&lt;&gt;""))),11),""))</f>
        <v/>
      </c>
      <c r="C30" s="9" t="str">
        <f>IF(B30="","",COUNTIFS(complaints!$H$2:$H$928,B30,complaints!$B$2:$B$928,"&gt;="&amp;'Harms table'!$B$2,complaints!$B$2:$B$928,"&lt;="&amp;'Harms table'!$D$2))</f>
        <v/>
      </c>
      <c r="D30" s="9" t="str">
        <f>IF(C30="","",IF('Harms table'!$B$8=0,"–",TEXT(C30/'Harms table'!$B$8*100,"0.00")&amp;"%"))</f>
        <v/>
      </c>
      <c r="E30" s="375" t="str" cm="1">
        <f t="array" ref="E30">IF(B30="","",IFERROR(_xlfn.TEXTJOIN(", ",TRUE,_xlfn._xlws.FILTER(complaints!$A$2:$A$928,(complaints!$H$2:$H$928=B30)*(complaints!$B$2:$B$928&gt;='Harms table'!$B$2)*(complaints!$B$2:$B$928&lt;='Harms table'!$D$2))),""))</f>
        <v/>
      </c>
    </row>
    <row r="31" spans="1:5" ht="13.15" x14ac:dyDescent="0.4">
      <c r="A31" s="376"/>
      <c r="B31" s="7" t="str" cm="1">
        <f t="array" ref="B31">IF(COUNTA(complaints!$A$2:$A$928)=0,"",IFERROR(INDEX(_xlfn._xlws.SORT(_xlfn.UNIQUE(_xlfn._xlws.FILTER(complaints!$H$2:$H$928,complaints!$H$2:$H$928&lt;&gt;""))),12),""))</f>
        <v/>
      </c>
      <c r="C31" s="10" t="str">
        <f>IF(B31="","",COUNTIFS(complaints!$H$2:$H$928,B31,complaints!$B$2:$B$928,"&gt;="&amp;'Harms table'!$B$2,complaints!$B$2:$B$928,"&lt;="&amp;'Harms table'!$D$2))</f>
        <v/>
      </c>
      <c r="D31" s="10" t="str">
        <f>IF(C31="","",IF('Harms table'!$B$8=0,"–",TEXT(C31/'Harms table'!$B$8*100,"0.00")&amp;"%"))</f>
        <v/>
      </c>
      <c r="E31" s="377" t="str" cm="1">
        <f t="array" ref="E31">IF(B31="","",IFERROR(_xlfn.TEXTJOIN(", ",TRUE,_xlfn._xlws.FILTER(complaints!$A$2:$A$928,(complaints!$H$2:$H$928=B31)*(complaints!$B$2:$B$928&gt;='Harms table'!$B$2)*(complaints!$B$2:$B$928&lt;='Harms table'!$D$2))),""))</f>
        <v/>
      </c>
    </row>
    <row r="32" spans="1:5" ht="13.15" x14ac:dyDescent="0.4">
      <c r="A32" s="378"/>
      <c r="B32" s="374" t="str" cm="1">
        <f t="array" ref="B32">IF(COUNTA(complaints!$A$2:$A$928)=0,"",IFERROR(INDEX(_xlfn._xlws.SORT(_xlfn.UNIQUE(_xlfn._xlws.FILTER(complaints!$H$2:$H$928,complaints!$H$2:$H$928&lt;&gt;""))),13),""))</f>
        <v/>
      </c>
      <c r="C32" s="9" t="str">
        <f>IF(B32="","",COUNTIFS(complaints!$H$2:$H$928,B32,complaints!$B$2:$B$928,"&gt;="&amp;'Harms table'!$B$2,complaints!$B$2:$B$928,"&lt;="&amp;'Harms table'!$D$2))</f>
        <v/>
      </c>
      <c r="D32" s="9" t="str">
        <f>IF(C32="","",IF('Harms table'!$B$8=0,"–",TEXT(C32/'Harms table'!$B$8*100,"0.00")&amp;"%"))</f>
        <v/>
      </c>
      <c r="E32" s="375" t="str" cm="1">
        <f t="array" ref="E32">IF(B32="","",IFERROR(_xlfn.TEXTJOIN(", ",TRUE,_xlfn._xlws.FILTER(complaints!$A$2:$A$928,(complaints!$H$2:$H$928=B32)*(complaints!$B$2:$B$928&gt;='Harms table'!$B$2)*(complaints!$B$2:$B$928&lt;='Harms table'!$D$2))),""))</f>
        <v/>
      </c>
    </row>
    <row r="33" spans="1:7" ht="13.15" x14ac:dyDescent="0.4">
      <c r="A33" s="379" t="s">
        <v>1317</v>
      </c>
      <c r="B33" s="379" t="s">
        <v>1562</v>
      </c>
      <c r="C33" s="379">
        <f>SUM(C20:C32)</f>
        <v>0</v>
      </c>
      <c r="D33" s="379" t="str">
        <f>IF('Harms table'!$B$8=0,"–",TEXT(C33/'Harms table'!$B$8*100,"0.00")&amp;"%")</f>
        <v>0.00%</v>
      </c>
      <c r="E33" s="381"/>
    </row>
    <row r="35" spans="1:7" ht="14.25" x14ac:dyDescent="0.45">
      <c r="A35" s="369" t="s">
        <v>1565</v>
      </c>
    </row>
    <row r="36" spans="1:7" ht="13.15" x14ac:dyDescent="0.4">
      <c r="A36" s="372" t="s">
        <v>1566</v>
      </c>
      <c r="B36" s="372" t="s">
        <v>1314</v>
      </c>
      <c r="C36" s="372" t="s">
        <v>1567</v>
      </c>
      <c r="D36" s="382" t="s">
        <v>1568</v>
      </c>
      <c r="E36" s="382" t="s">
        <v>1569</v>
      </c>
      <c r="F36" s="382" t="s">
        <v>1570</v>
      </c>
      <c r="G36" s="382" t="s">
        <v>1571</v>
      </c>
    </row>
    <row r="37" spans="1:7" ht="13.15" x14ac:dyDescent="0.4">
      <c r="A37" s="383" t="str">
        <f>IF(COUNTA(complaints!$A$2:$A$928)=0,"","No Clinical Signs, Symptoms or Conditions")</f>
        <v>No Clinical Signs, Symptoms or Conditions</v>
      </c>
      <c r="B37" s="9" t="str">
        <f>IF(COUNTA(complaints!$A$2:$A$928)=0,"","Worldwide")</f>
        <v>Worldwide</v>
      </c>
      <c r="C37" s="9">
        <f>IF(COUNTA(complaints!$A$2:$A$928)=0,"",COUNTIFS(complaints!$F$2:$F$928,"No Clinical Signs*",complaints!$B$2:$B$928,"&gt;="&amp;'Harms table'!$B$2,complaints!$B$2:$B$928,"&lt;="&amp;'Harms table'!$D$2))</f>
        <v>16</v>
      </c>
      <c r="D37" s="9" t="str">
        <f>IF(OR(C37=0,C37=""),"–",TEXT(COUNTIFS(complaints!$F$2:$F$928,"No Clinical Signs*",complaints!$I$2:$I$928,"D01*",complaints!$B$2:$B$928,"&gt;="&amp;'Harms table'!$B$2,complaints!$B$2:$B$928,"&lt;="&amp;'Harms table'!$D$2)/C37*100,"0.0")&amp;"%")</f>
        <v>0.0%</v>
      </c>
      <c r="E37" s="9" t="str">
        <f>IF(OR(C37=0,C37=""),"–",TEXT(COUNTIFS(complaints!$F$2:$F$928,"No Clinical Signs*",complaints!$I$2:$I$928,"D02*",complaints!$B$2:$B$928,"&gt;="&amp;'Harms table'!$B$2,complaints!$B$2:$B$928,"&lt;="&amp;'Harms table'!$D$2)/C37*100,"0.0")&amp;"%")</f>
        <v>0.0%</v>
      </c>
      <c r="F37" s="9" t="str">
        <f>IF(OR(C37=0,C37=""),"–",TEXT(COUNTIFS(complaints!$F$2:$F$928,"No Clinical Signs*",complaints!$I$2:$I$928,"D03*",complaints!$B$2:$B$928,"&gt;="&amp;'Harms table'!$B$2,complaints!$B$2:$B$928,"&lt;="&amp;'Harms table'!$D$2)/C37*100,"0.0")&amp;"%")</f>
        <v>0.0%</v>
      </c>
      <c r="G37" s="9" t="str">
        <f>IF(OR(C37=0,C37=""),"–",TEXT(COUNTIFS(complaints!$F$2:$F$928,"No Clinical Signs*",complaints!$I$2:$I$928,"D04*",complaints!$B$2:$B$928,"&gt;="&amp;'Harms table'!$B$2,complaints!$B$2:$B$928,"&lt;="&amp;'Harms table'!$D$2)/C37*100,"0.0")&amp;"%")</f>
        <v>0.0%</v>
      </c>
    </row>
    <row r="38" spans="1:7" ht="13.15" x14ac:dyDescent="0.4">
      <c r="A38" s="379" t="s">
        <v>1562</v>
      </c>
      <c r="B38" s="379" t="s">
        <v>1317</v>
      </c>
      <c r="C38" s="379">
        <f>C37</f>
        <v>16</v>
      </c>
      <c r="D38" s="379" t="str">
        <f>D37</f>
        <v>0.0%</v>
      </c>
      <c r="E38" s="379" t="str">
        <f>E37</f>
        <v>0.0%</v>
      </c>
      <c r="F38" s="379" t="str">
        <f>F37</f>
        <v>0.0%</v>
      </c>
      <c r="G38" s="379" t="str">
        <f>G37</f>
        <v>0.0%</v>
      </c>
    </row>
  </sheetData>
  <sheetProtection sort="0" autoFilter="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20472-08F6-43BF-9365-9CE64AC883A7}">
  <dimension ref="A1:H19"/>
  <sheetViews>
    <sheetView workbookViewId="0"/>
  </sheetViews>
  <sheetFormatPr defaultRowHeight="12.75" x14ac:dyDescent="0.35"/>
  <cols>
    <col min="1" max="1" width="22.86328125" customWidth="1"/>
    <col min="2" max="3" width="26.73046875" customWidth="1"/>
    <col min="4" max="4" width="34.265625" customWidth="1"/>
    <col min="5" max="5" width="22.86328125" customWidth="1"/>
    <col min="6" max="6" width="47.59765625" customWidth="1"/>
    <col min="7" max="8" width="26.73046875" customWidth="1"/>
  </cols>
  <sheetData>
    <row r="1" spans="1:8" ht="18" x14ac:dyDescent="0.55000000000000004">
      <c r="A1" s="368" t="s">
        <v>1605</v>
      </c>
    </row>
    <row r="3" spans="1:8" ht="14.25" x14ac:dyDescent="0.45">
      <c r="A3" s="369" t="s">
        <v>1606</v>
      </c>
    </row>
    <row r="4" spans="1:8" ht="13.15" x14ac:dyDescent="0.4">
      <c r="A4" s="403" t="s">
        <v>1607</v>
      </c>
      <c r="B4" s="404" t="s">
        <v>1608</v>
      </c>
      <c r="C4" s="404" t="s">
        <v>1609</v>
      </c>
      <c r="D4" s="404" t="s">
        <v>1610</v>
      </c>
      <c r="E4" s="404" t="s">
        <v>1611</v>
      </c>
      <c r="F4" s="404" t="s">
        <v>1612</v>
      </c>
      <c r="G4" s="404" t="s">
        <v>1613</v>
      </c>
      <c r="H4" s="405" t="s">
        <v>1614</v>
      </c>
    </row>
    <row r="5" spans="1:8" ht="13.15" x14ac:dyDescent="0.4">
      <c r="A5" s="406"/>
      <c r="B5" s="407"/>
      <c r="C5" s="408"/>
      <c r="D5" s="407"/>
      <c r="E5" s="407"/>
      <c r="F5" s="407"/>
      <c r="G5" s="407"/>
      <c r="H5" s="409"/>
    </row>
    <row r="6" spans="1:8" ht="13.15" x14ac:dyDescent="0.4">
      <c r="A6" s="410"/>
      <c r="B6" s="411"/>
      <c r="C6" s="412"/>
      <c r="D6" s="411"/>
      <c r="E6" s="411"/>
      <c r="F6" s="411"/>
      <c r="G6" s="411"/>
      <c r="H6" s="413"/>
    </row>
    <row r="7" spans="1:8" ht="13.15" x14ac:dyDescent="0.4">
      <c r="A7" s="406"/>
      <c r="B7" s="407"/>
      <c r="C7" s="408"/>
      <c r="D7" s="407"/>
      <c r="E7" s="407"/>
      <c r="F7" s="407"/>
      <c r="G7" s="407"/>
      <c r="H7" s="409"/>
    </row>
    <row r="8" spans="1:8" ht="13.15" x14ac:dyDescent="0.4">
      <c r="A8" s="410"/>
      <c r="B8" s="411"/>
      <c r="C8" s="412"/>
      <c r="D8" s="411"/>
      <c r="E8" s="411"/>
      <c r="F8" s="411"/>
      <c r="G8" s="411"/>
      <c r="H8" s="413"/>
    </row>
    <row r="9" spans="1:8" ht="13.15" x14ac:dyDescent="0.4">
      <c r="A9" s="406"/>
      <c r="B9" s="407"/>
      <c r="C9" s="408"/>
      <c r="D9" s="407"/>
      <c r="E9" s="407"/>
      <c r="F9" s="407"/>
      <c r="G9" s="407"/>
      <c r="H9" s="409"/>
    </row>
    <row r="10" spans="1:8" ht="13.15" x14ac:dyDescent="0.4">
      <c r="A10" s="410"/>
      <c r="B10" s="411"/>
      <c r="C10" s="412"/>
      <c r="D10" s="411"/>
      <c r="E10" s="411"/>
      <c r="F10" s="411"/>
      <c r="G10" s="411"/>
      <c r="H10" s="413"/>
    </row>
    <row r="11" spans="1:8" ht="13.15" x14ac:dyDescent="0.4">
      <c r="A11" s="406"/>
      <c r="B11" s="407"/>
      <c r="C11" s="408"/>
      <c r="D11" s="407"/>
      <c r="E11" s="407"/>
      <c r="F11" s="407"/>
      <c r="G11" s="407"/>
      <c r="H11" s="409"/>
    </row>
    <row r="12" spans="1:8" ht="13.15" x14ac:dyDescent="0.4">
      <c r="A12" s="410"/>
      <c r="B12" s="411"/>
      <c r="C12" s="412"/>
      <c r="D12" s="411"/>
      <c r="E12" s="411"/>
      <c r="F12" s="411"/>
      <c r="G12" s="411"/>
      <c r="H12" s="413"/>
    </row>
    <row r="13" spans="1:8" ht="13.15" x14ac:dyDescent="0.4">
      <c r="A13" s="406"/>
      <c r="B13" s="407"/>
      <c r="C13" s="408"/>
      <c r="D13" s="407"/>
      <c r="E13" s="407"/>
      <c r="F13" s="407"/>
      <c r="G13" s="407"/>
      <c r="H13" s="409"/>
    </row>
    <row r="14" spans="1:8" ht="13.15" x14ac:dyDescent="0.4">
      <c r="A14" s="414"/>
      <c r="B14" s="415"/>
      <c r="C14" s="416"/>
      <c r="D14" s="415"/>
      <c r="E14" s="415"/>
      <c r="F14" s="415"/>
      <c r="G14" s="415"/>
      <c r="H14" s="417"/>
    </row>
    <row r="16" spans="1:8" ht="13.15" x14ac:dyDescent="0.4">
      <c r="A16" s="8" t="s">
        <v>1615</v>
      </c>
    </row>
    <row r="17" spans="1:2" ht="13.15" x14ac:dyDescent="0.4">
      <c r="A17" s="8" t="s">
        <v>1616</v>
      </c>
      <c r="B17" s="418">
        <f>COUNTA(A5:A14)</f>
        <v>0</v>
      </c>
    </row>
    <row r="18" spans="1:2" ht="13.15" x14ac:dyDescent="0.4">
      <c r="A18" s="8" t="s">
        <v>1617</v>
      </c>
      <c r="B18" s="418">
        <f>COUNTIF(E5:E14,"Open")+COUNTIF(E5:E14,"In Progress")</f>
        <v>0</v>
      </c>
    </row>
    <row r="19" spans="1:2" ht="13.15" x14ac:dyDescent="0.4">
      <c r="A19" s="8" t="s">
        <v>1618</v>
      </c>
      <c r="B19" s="418">
        <f>COUNTIF(E5:E14,"Closed")</f>
        <v>0</v>
      </c>
    </row>
  </sheetData>
  <sheetProtection sheet="1" objects="1" scenarios="1" sort="0" autoFilter="0"/>
  <dataValidations count="2">
    <dataValidation type="list" allowBlank="1" showInputMessage="1" showErrorMessage="1" sqref="A5:A14" xr:uid="{0D64802D-90A7-43E0-89EF-DB54552CCC5A}">
      <formula1>"Recall,Advisory Notice,Safety Alert,Device Modification,Software Update,Other"</formula1>
    </dataValidation>
    <dataValidation type="list" allowBlank="1" showInputMessage="1" showErrorMessage="1" sqref="E5:E14" xr:uid="{C775E566-9D58-4C4D-AF11-9DD890323184}">
      <formula1>"Open,In Progress,Closed,Pending Verification"</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754F3-929E-47C3-8B85-12EBC575FC0E}">
  <dimension ref="A1:G20"/>
  <sheetViews>
    <sheetView workbookViewId="0"/>
  </sheetViews>
  <sheetFormatPr defaultRowHeight="12.75" x14ac:dyDescent="0.35"/>
  <cols>
    <col min="1" max="1" width="19" customWidth="1"/>
    <col min="2" max="2" width="21" customWidth="1"/>
    <col min="3" max="3" width="24.73046875" customWidth="1"/>
    <col min="4" max="5" width="47.59765625" customWidth="1"/>
    <col min="6" max="7" width="22.86328125" customWidth="1"/>
  </cols>
  <sheetData>
    <row r="1" spans="1:7" ht="18" x14ac:dyDescent="0.55000000000000004">
      <c r="A1" s="368" t="s">
        <v>1619</v>
      </c>
    </row>
    <row r="3" spans="1:7" ht="14.25" x14ac:dyDescent="0.45">
      <c r="A3" s="369" t="s">
        <v>1620</v>
      </c>
    </row>
    <row r="4" spans="1:7" ht="13.15" x14ac:dyDescent="0.4">
      <c r="A4" s="403" t="s">
        <v>1621</v>
      </c>
      <c r="B4" s="404" t="s">
        <v>1622</v>
      </c>
      <c r="C4" s="404" t="s">
        <v>1623</v>
      </c>
      <c r="D4" s="404" t="s">
        <v>1624</v>
      </c>
      <c r="E4" s="404" t="s">
        <v>1625</v>
      </c>
      <c r="F4" s="404" t="s">
        <v>1517</v>
      </c>
      <c r="G4" s="405" t="s">
        <v>1626</v>
      </c>
    </row>
    <row r="5" spans="1:7" ht="13.15" x14ac:dyDescent="0.4">
      <c r="A5" s="406"/>
      <c r="B5" s="408"/>
      <c r="C5" s="407"/>
      <c r="D5" s="407"/>
      <c r="E5" s="407"/>
      <c r="F5" s="407"/>
      <c r="G5" s="409"/>
    </row>
    <row r="6" spans="1:7" ht="13.15" x14ac:dyDescent="0.4">
      <c r="A6" s="410"/>
      <c r="B6" s="412"/>
      <c r="C6" s="411"/>
      <c r="D6" s="411"/>
      <c r="E6" s="411"/>
      <c r="F6" s="411"/>
      <c r="G6" s="413"/>
    </row>
    <row r="7" spans="1:7" ht="13.15" x14ac:dyDescent="0.4">
      <c r="A7" s="406"/>
      <c r="B7" s="408"/>
      <c r="C7" s="407"/>
      <c r="D7" s="407"/>
      <c r="E7" s="407"/>
      <c r="F7" s="407"/>
      <c r="G7" s="409"/>
    </row>
    <row r="8" spans="1:7" ht="13.15" x14ac:dyDescent="0.4">
      <c r="A8" s="410"/>
      <c r="B8" s="412"/>
      <c r="C8" s="411"/>
      <c r="D8" s="411"/>
      <c r="E8" s="411"/>
      <c r="F8" s="411"/>
      <c r="G8" s="413"/>
    </row>
    <row r="9" spans="1:7" ht="13.15" x14ac:dyDescent="0.4">
      <c r="A9" s="406"/>
      <c r="B9" s="408"/>
      <c r="C9" s="407"/>
      <c r="D9" s="407"/>
      <c r="E9" s="407"/>
      <c r="F9" s="407"/>
      <c r="G9" s="409"/>
    </row>
    <row r="10" spans="1:7" ht="13.15" x14ac:dyDescent="0.4">
      <c r="A10" s="410"/>
      <c r="B10" s="412"/>
      <c r="C10" s="411"/>
      <c r="D10" s="411"/>
      <c r="E10" s="411"/>
      <c r="F10" s="411"/>
      <c r="G10" s="413"/>
    </row>
    <row r="11" spans="1:7" ht="13.15" x14ac:dyDescent="0.4">
      <c r="A11" s="406"/>
      <c r="B11" s="408"/>
      <c r="C11" s="407"/>
      <c r="D11" s="407"/>
      <c r="E11" s="407"/>
      <c r="F11" s="407"/>
      <c r="G11" s="409"/>
    </row>
    <row r="12" spans="1:7" ht="13.15" x14ac:dyDescent="0.4">
      <c r="A12" s="410"/>
      <c r="B12" s="412"/>
      <c r="C12" s="411"/>
      <c r="D12" s="411"/>
      <c r="E12" s="411"/>
      <c r="F12" s="411"/>
      <c r="G12" s="413"/>
    </row>
    <row r="13" spans="1:7" ht="13.15" x14ac:dyDescent="0.4">
      <c r="A13" s="406"/>
      <c r="B13" s="408"/>
      <c r="C13" s="407"/>
      <c r="D13" s="407"/>
      <c r="E13" s="407"/>
      <c r="F13" s="407"/>
      <c r="G13" s="409"/>
    </row>
    <row r="14" spans="1:7" ht="13.15" x14ac:dyDescent="0.4">
      <c r="A14" s="414"/>
      <c r="B14" s="416"/>
      <c r="C14" s="415"/>
      <c r="D14" s="415"/>
      <c r="E14" s="415"/>
      <c r="F14" s="415"/>
      <c r="G14" s="417"/>
    </row>
    <row r="16" spans="1:7" ht="13.15" x14ac:dyDescent="0.4">
      <c r="A16" s="8" t="s">
        <v>1615</v>
      </c>
    </row>
    <row r="17" spans="1:2" ht="13.15" x14ac:dyDescent="0.4">
      <c r="A17" s="8" t="s">
        <v>1627</v>
      </c>
      <c r="B17" s="418">
        <f>COUNTA(A5:A14)</f>
        <v>0</v>
      </c>
    </row>
    <row r="18" spans="1:2" ht="13.15" x14ac:dyDescent="0.4">
      <c r="A18" s="8" t="s">
        <v>1628</v>
      </c>
      <c r="B18" s="418">
        <f>COUNTIF(F5:F14,"Open")+COUNTIF(F5:F14,"In Progress")</f>
        <v>0</v>
      </c>
    </row>
    <row r="19" spans="1:2" ht="13.15" x14ac:dyDescent="0.4">
      <c r="A19" s="8" t="s">
        <v>1629</v>
      </c>
      <c r="B19" s="418">
        <f>COUNTIF(F5:F14,"Closed")</f>
        <v>0</v>
      </c>
    </row>
    <row r="20" spans="1:2" ht="13.15" x14ac:dyDescent="0.4">
      <c r="A20" s="8" t="s">
        <v>1630</v>
      </c>
      <c r="B20" s="418">
        <f>COUNTIF(F5:F14,"Overdue")</f>
        <v>0</v>
      </c>
    </row>
  </sheetData>
  <sheetProtection sheet="1" objects="1" scenarios="1" sort="0" autoFilter="0"/>
  <dataValidations count="2">
    <dataValidation type="list" allowBlank="1" showInputMessage="1" showErrorMessage="1" sqref="C5:C14" xr:uid="{9DDDA03F-4DE8-4ADD-A583-1B611E3ABF8E}">
      <formula1>"Complaint,FSCA,Audit Finding,Trend Analysis,Risk Assessment,Regulatory,Other"</formula1>
    </dataValidation>
    <dataValidation type="list" allowBlank="1" showInputMessage="1" showErrorMessage="1" sqref="F5:F14" xr:uid="{AF6F4367-F2AE-4381-BCE4-50BB73A9B89B}">
      <formula1>"Open,In Progress,Closed,Overdue,Pending Verification"</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F3184-6BC1-4C2D-B6BE-88C7580EC080}">
  <dimension ref="A1:N409"/>
  <sheetViews>
    <sheetView showGridLines="0" workbookViewId="0">
      <pane ySplit="1" topLeftCell="A2" activePane="bottomLeft" state="frozen"/>
      <selection pane="bottomLeft" activeCell="G32" sqref="G32"/>
    </sheetView>
  </sheetViews>
  <sheetFormatPr defaultRowHeight="12.75" x14ac:dyDescent="0.35"/>
  <cols>
    <col min="1" max="1" width="15.265625" customWidth="1"/>
    <col min="2" max="2" width="59" customWidth="1"/>
    <col min="3" max="3" width="7.59765625" customWidth="1"/>
    <col min="4" max="4" width="43.86328125" customWidth="1"/>
    <col min="5" max="5" width="9.1328125" style="3"/>
    <col min="6" max="6" width="15.265625" customWidth="1"/>
    <col min="7" max="7" width="59" customWidth="1"/>
    <col min="8" max="8" width="7.59765625" customWidth="1"/>
    <col min="9" max="9" width="43.86328125" customWidth="1"/>
    <col min="10" max="10" width="9.1328125" style="3"/>
    <col min="11" max="11" width="30.3984375" customWidth="1"/>
    <col min="12" max="12" width="53.265625" customWidth="1"/>
    <col min="13" max="13" width="13.265625" customWidth="1"/>
  </cols>
  <sheetData>
    <row r="1" spans="1:14" ht="27.95" customHeight="1" thickBot="1" x14ac:dyDescent="0.45">
      <c r="A1" s="150" t="s">
        <v>98</v>
      </c>
      <c r="B1" s="150" t="s">
        <v>99</v>
      </c>
      <c r="C1" s="150" t="s">
        <v>100</v>
      </c>
      <c r="D1" s="150" t="s">
        <v>101</v>
      </c>
      <c r="E1" s="151"/>
      <c r="F1" s="150" t="s">
        <v>98</v>
      </c>
      <c r="G1" s="150" t="s">
        <v>102</v>
      </c>
      <c r="H1" s="150" t="s">
        <v>100</v>
      </c>
      <c r="I1" s="150" t="s">
        <v>101</v>
      </c>
      <c r="J1" s="151"/>
      <c r="K1" s="150" t="s">
        <v>38</v>
      </c>
      <c r="L1" s="150" t="s">
        <v>103</v>
      </c>
      <c r="M1" s="150" t="s">
        <v>94</v>
      </c>
      <c r="N1" s="150" t="s">
        <v>98</v>
      </c>
    </row>
    <row r="2" spans="1:14" ht="13.15" x14ac:dyDescent="0.4">
      <c r="A2" s="152" t="s">
        <v>104</v>
      </c>
      <c r="B2" s="153" t="s">
        <v>105</v>
      </c>
      <c r="C2" s="153">
        <v>1</v>
      </c>
      <c r="D2" s="153"/>
      <c r="E2" s="151"/>
      <c r="F2" s="154" t="s">
        <v>500</v>
      </c>
      <c r="G2" s="155" t="s">
        <v>501</v>
      </c>
      <c r="H2" s="155">
        <v>1</v>
      </c>
      <c r="I2" s="155"/>
      <c r="J2" s="151"/>
      <c r="K2" s="156" t="s">
        <v>31</v>
      </c>
      <c r="L2" s="157" t="s">
        <v>42</v>
      </c>
      <c r="M2" s="158" t="s">
        <v>95</v>
      </c>
      <c r="N2" s="361" t="s">
        <v>126</v>
      </c>
    </row>
    <row r="3" spans="1:14" ht="13.15" x14ac:dyDescent="0.4">
      <c r="A3" s="159" t="s">
        <v>106</v>
      </c>
      <c r="B3" s="160" t="s">
        <v>107</v>
      </c>
      <c r="C3" s="160">
        <v>2</v>
      </c>
      <c r="D3" s="160" t="s">
        <v>105</v>
      </c>
      <c r="E3" s="151"/>
      <c r="F3" s="159" t="s">
        <v>502</v>
      </c>
      <c r="G3" s="160" t="s">
        <v>503</v>
      </c>
      <c r="H3" s="160">
        <v>2</v>
      </c>
      <c r="I3" s="160" t="s">
        <v>501</v>
      </c>
      <c r="J3" s="151"/>
      <c r="K3" s="161" t="s">
        <v>26</v>
      </c>
      <c r="L3" s="160" t="s">
        <v>53</v>
      </c>
      <c r="M3" s="162" t="s">
        <v>96</v>
      </c>
      <c r="N3" s="362" t="s">
        <v>153</v>
      </c>
    </row>
    <row r="4" spans="1:14" ht="13.15" x14ac:dyDescent="0.4">
      <c r="A4" s="163" t="s">
        <v>108</v>
      </c>
      <c r="B4" s="164" t="s">
        <v>109</v>
      </c>
      <c r="C4" s="164">
        <v>2</v>
      </c>
      <c r="D4" s="164" t="s">
        <v>105</v>
      </c>
      <c r="E4" s="151"/>
      <c r="F4" s="163" t="s">
        <v>504</v>
      </c>
      <c r="G4" s="164" t="s">
        <v>505</v>
      </c>
      <c r="H4" s="164">
        <v>2</v>
      </c>
      <c r="I4" s="164" t="s">
        <v>501</v>
      </c>
      <c r="J4" s="151"/>
      <c r="K4" s="165" t="s">
        <v>20</v>
      </c>
      <c r="L4" s="164" t="s">
        <v>50</v>
      </c>
      <c r="M4" s="166" t="s">
        <v>96</v>
      </c>
      <c r="N4" s="361" t="s">
        <v>144</v>
      </c>
    </row>
    <row r="5" spans="1:14" ht="13.15" x14ac:dyDescent="0.4">
      <c r="A5" s="159" t="s">
        <v>110</v>
      </c>
      <c r="B5" s="160" t="s">
        <v>111</v>
      </c>
      <c r="C5" s="160">
        <v>2</v>
      </c>
      <c r="D5" s="160" t="s">
        <v>105</v>
      </c>
      <c r="E5" s="151"/>
      <c r="F5" s="159" t="s">
        <v>506</v>
      </c>
      <c r="G5" s="160" t="s">
        <v>507</v>
      </c>
      <c r="H5" s="160">
        <v>2</v>
      </c>
      <c r="I5" s="160" t="s">
        <v>501</v>
      </c>
      <c r="J5" s="151"/>
      <c r="K5" s="161" t="s">
        <v>2</v>
      </c>
      <c r="L5" s="160" t="s">
        <v>50</v>
      </c>
      <c r="M5" s="162" t="s">
        <v>96</v>
      </c>
      <c r="N5" s="362" t="s">
        <v>144</v>
      </c>
    </row>
    <row r="6" spans="1:14" ht="13.15" x14ac:dyDescent="0.4">
      <c r="A6" s="163" t="s">
        <v>112</v>
      </c>
      <c r="B6" s="164" t="s">
        <v>113</v>
      </c>
      <c r="C6" s="164">
        <v>2</v>
      </c>
      <c r="D6" s="164" t="s">
        <v>105</v>
      </c>
      <c r="E6" s="151"/>
      <c r="F6" s="163" t="s">
        <v>508</v>
      </c>
      <c r="G6" s="164" t="s">
        <v>509</v>
      </c>
      <c r="H6" s="164">
        <v>2</v>
      </c>
      <c r="I6" s="164" t="s">
        <v>501</v>
      </c>
      <c r="J6" s="151"/>
      <c r="K6" s="165" t="s">
        <v>0</v>
      </c>
      <c r="L6" s="164" t="s">
        <v>50</v>
      </c>
      <c r="M6" s="166" t="s">
        <v>95</v>
      </c>
      <c r="N6" s="361" t="s">
        <v>144</v>
      </c>
    </row>
    <row r="7" spans="1:14" ht="13.15" x14ac:dyDescent="0.4">
      <c r="A7" s="159" t="s">
        <v>114</v>
      </c>
      <c r="B7" s="160" t="s">
        <v>115</v>
      </c>
      <c r="C7" s="160">
        <v>2</v>
      </c>
      <c r="D7" s="160" t="s">
        <v>105</v>
      </c>
      <c r="E7" s="151"/>
      <c r="F7" s="159" t="s">
        <v>510</v>
      </c>
      <c r="G7" s="160" t="s">
        <v>511</v>
      </c>
      <c r="H7" s="160">
        <v>2</v>
      </c>
      <c r="I7" s="160" t="s">
        <v>501</v>
      </c>
      <c r="J7" s="151"/>
      <c r="K7" s="161" t="s">
        <v>29</v>
      </c>
      <c r="L7" s="160" t="s">
        <v>42</v>
      </c>
      <c r="M7" s="162" t="s">
        <v>95</v>
      </c>
      <c r="N7" s="362" t="s">
        <v>126</v>
      </c>
    </row>
    <row r="8" spans="1:14" ht="13.15" x14ac:dyDescent="0.4">
      <c r="A8" s="163" t="s">
        <v>116</v>
      </c>
      <c r="B8" s="164" t="s">
        <v>117</v>
      </c>
      <c r="C8" s="164">
        <v>2</v>
      </c>
      <c r="D8" s="164" t="s">
        <v>105</v>
      </c>
      <c r="E8" s="151"/>
      <c r="F8" s="163" t="s">
        <v>512</v>
      </c>
      <c r="G8" s="164" t="s">
        <v>513</v>
      </c>
      <c r="H8" s="164">
        <v>2</v>
      </c>
      <c r="I8" s="164" t="s">
        <v>501</v>
      </c>
      <c r="J8" s="151"/>
      <c r="K8" s="165" t="s">
        <v>6</v>
      </c>
      <c r="L8" s="164" t="s">
        <v>47</v>
      </c>
      <c r="M8" s="166" t="s">
        <v>96</v>
      </c>
      <c r="N8" s="361" t="s">
        <v>167</v>
      </c>
    </row>
    <row r="9" spans="1:14" ht="13.15" x14ac:dyDescent="0.4">
      <c r="A9" s="159" t="s">
        <v>118</v>
      </c>
      <c r="B9" s="160" t="s">
        <v>119</v>
      </c>
      <c r="C9" s="160">
        <v>2</v>
      </c>
      <c r="D9" s="160" t="s">
        <v>105</v>
      </c>
      <c r="E9" s="151"/>
      <c r="F9" s="159" t="s">
        <v>514</v>
      </c>
      <c r="G9" s="160" t="s">
        <v>515</v>
      </c>
      <c r="H9" s="160">
        <v>2</v>
      </c>
      <c r="I9" s="160" t="s">
        <v>501</v>
      </c>
      <c r="J9" s="151"/>
      <c r="K9" s="161" t="s">
        <v>7</v>
      </c>
      <c r="L9" s="160" t="s">
        <v>45</v>
      </c>
      <c r="M9" s="162" t="s">
        <v>96</v>
      </c>
      <c r="N9" s="362" t="s">
        <v>336</v>
      </c>
    </row>
    <row r="10" spans="1:14" ht="13.15" x14ac:dyDescent="0.4">
      <c r="A10" s="163" t="s">
        <v>120</v>
      </c>
      <c r="B10" s="167" t="s">
        <v>121</v>
      </c>
      <c r="C10" s="167">
        <v>1</v>
      </c>
      <c r="D10" s="167"/>
      <c r="E10" s="151"/>
      <c r="F10" s="163" t="s">
        <v>516</v>
      </c>
      <c r="G10" s="164" t="s">
        <v>517</v>
      </c>
      <c r="H10" s="164">
        <v>2</v>
      </c>
      <c r="I10" s="164" t="s">
        <v>501</v>
      </c>
      <c r="J10" s="151"/>
      <c r="K10" s="165" t="s">
        <v>25</v>
      </c>
      <c r="L10" s="164" t="s">
        <v>57</v>
      </c>
      <c r="M10" s="166" t="s">
        <v>96</v>
      </c>
      <c r="N10" s="361" t="s">
        <v>129</v>
      </c>
    </row>
    <row r="11" spans="1:14" ht="13.15" x14ac:dyDescent="0.4">
      <c r="A11" s="159" t="s">
        <v>122</v>
      </c>
      <c r="B11" s="160" t="s">
        <v>123</v>
      </c>
      <c r="C11" s="160">
        <v>2</v>
      </c>
      <c r="D11" s="160" t="s">
        <v>121</v>
      </c>
      <c r="E11" s="151"/>
      <c r="F11" s="159" t="s">
        <v>518</v>
      </c>
      <c r="G11" s="160" t="s">
        <v>519</v>
      </c>
      <c r="H11" s="160">
        <v>2</v>
      </c>
      <c r="I11" s="160" t="s">
        <v>501</v>
      </c>
      <c r="J11" s="151"/>
      <c r="K11" s="161" t="s">
        <v>27</v>
      </c>
      <c r="L11" s="160" t="s">
        <v>52</v>
      </c>
      <c r="M11" s="162" t="s">
        <v>97</v>
      </c>
      <c r="N11" s="362" t="s">
        <v>422</v>
      </c>
    </row>
    <row r="12" spans="1:14" ht="13.15" x14ac:dyDescent="0.4">
      <c r="A12" s="163" t="s">
        <v>124</v>
      </c>
      <c r="B12" s="164" t="s">
        <v>125</v>
      </c>
      <c r="C12" s="164">
        <v>2</v>
      </c>
      <c r="D12" s="164" t="s">
        <v>121</v>
      </c>
      <c r="E12" s="151"/>
      <c r="F12" s="163" t="s">
        <v>520</v>
      </c>
      <c r="G12" s="164" t="s">
        <v>521</v>
      </c>
      <c r="H12" s="164">
        <v>2</v>
      </c>
      <c r="I12" s="164" t="s">
        <v>501</v>
      </c>
      <c r="J12" s="151"/>
      <c r="K12" s="165" t="s">
        <v>14</v>
      </c>
      <c r="L12" s="164" t="s">
        <v>42</v>
      </c>
      <c r="M12" s="166" t="s">
        <v>97</v>
      </c>
      <c r="N12" s="361" t="s">
        <v>126</v>
      </c>
    </row>
    <row r="13" spans="1:14" ht="13.15" x14ac:dyDescent="0.4">
      <c r="A13" s="159" t="s">
        <v>126</v>
      </c>
      <c r="B13" s="160" t="s">
        <v>42</v>
      </c>
      <c r="C13" s="160">
        <v>2</v>
      </c>
      <c r="D13" s="160" t="s">
        <v>121</v>
      </c>
      <c r="E13" s="151"/>
      <c r="F13" s="159" t="s">
        <v>522</v>
      </c>
      <c r="G13" s="160" t="s">
        <v>523</v>
      </c>
      <c r="H13" s="160">
        <v>2</v>
      </c>
      <c r="I13" s="160" t="s">
        <v>501</v>
      </c>
      <c r="J13" s="151"/>
      <c r="K13" s="161" t="s">
        <v>8</v>
      </c>
      <c r="L13" s="160" t="s">
        <v>58</v>
      </c>
      <c r="M13" s="162" t="s">
        <v>97</v>
      </c>
      <c r="N13" s="362" t="s">
        <v>449</v>
      </c>
    </row>
    <row r="14" spans="1:14" ht="13.15" x14ac:dyDescent="0.4">
      <c r="A14" s="163" t="s">
        <v>127</v>
      </c>
      <c r="B14" s="164" t="s">
        <v>128</v>
      </c>
      <c r="C14" s="164">
        <v>2</v>
      </c>
      <c r="D14" s="164" t="s">
        <v>121</v>
      </c>
      <c r="E14" s="151"/>
      <c r="F14" s="163" t="s">
        <v>524</v>
      </c>
      <c r="G14" s="164" t="s">
        <v>525</v>
      </c>
      <c r="H14" s="164">
        <v>2</v>
      </c>
      <c r="I14" s="164" t="s">
        <v>501</v>
      </c>
      <c r="J14" s="151"/>
      <c r="K14" s="165" t="s">
        <v>34</v>
      </c>
      <c r="L14" s="164" t="s">
        <v>42</v>
      </c>
      <c r="M14" s="166" t="s">
        <v>95</v>
      </c>
      <c r="N14" s="361" t="s">
        <v>126</v>
      </c>
    </row>
    <row r="15" spans="1:14" ht="13.15" x14ac:dyDescent="0.4">
      <c r="A15" s="159" t="s">
        <v>129</v>
      </c>
      <c r="B15" s="160" t="s">
        <v>57</v>
      </c>
      <c r="C15" s="160">
        <v>2</v>
      </c>
      <c r="D15" s="160" t="s">
        <v>121</v>
      </c>
      <c r="E15" s="151"/>
      <c r="F15" s="159" t="s">
        <v>526</v>
      </c>
      <c r="G15" s="160" t="s">
        <v>527</v>
      </c>
      <c r="H15" s="160">
        <v>2</v>
      </c>
      <c r="I15" s="160" t="s">
        <v>501</v>
      </c>
      <c r="J15" s="151"/>
      <c r="K15" s="161" t="s">
        <v>11</v>
      </c>
      <c r="L15" s="160" t="s">
        <v>62</v>
      </c>
      <c r="M15" s="162" t="s">
        <v>96</v>
      </c>
      <c r="N15" s="362" t="s">
        <v>300</v>
      </c>
    </row>
    <row r="16" spans="1:14" ht="13.15" x14ac:dyDescent="0.4">
      <c r="A16" s="163" t="s">
        <v>130</v>
      </c>
      <c r="B16" s="164" t="s">
        <v>131</v>
      </c>
      <c r="C16" s="164">
        <v>2</v>
      </c>
      <c r="D16" s="164" t="s">
        <v>121</v>
      </c>
      <c r="E16" s="151"/>
      <c r="F16" s="163" t="s">
        <v>528</v>
      </c>
      <c r="G16" s="164" t="s">
        <v>529</v>
      </c>
      <c r="H16" s="164">
        <v>2</v>
      </c>
      <c r="I16" s="164" t="s">
        <v>501</v>
      </c>
      <c r="J16" s="151"/>
      <c r="K16" s="165" t="s">
        <v>4</v>
      </c>
      <c r="L16" s="164" t="s">
        <v>49</v>
      </c>
      <c r="M16" s="166" t="s">
        <v>96</v>
      </c>
      <c r="N16" s="361" t="s">
        <v>187</v>
      </c>
    </row>
    <row r="17" spans="1:14" ht="13.15" x14ac:dyDescent="0.4">
      <c r="A17" s="159" t="s">
        <v>132</v>
      </c>
      <c r="B17" s="160" t="s">
        <v>133</v>
      </c>
      <c r="C17" s="160">
        <v>2</v>
      </c>
      <c r="D17" s="160" t="s">
        <v>121</v>
      </c>
      <c r="E17" s="151"/>
      <c r="F17" s="159" t="s">
        <v>530</v>
      </c>
      <c r="G17" s="160" t="s">
        <v>531</v>
      </c>
      <c r="H17" s="160">
        <v>2</v>
      </c>
      <c r="I17" s="160" t="s">
        <v>501</v>
      </c>
      <c r="J17" s="151"/>
      <c r="K17" s="161" t="s">
        <v>3</v>
      </c>
      <c r="L17" s="160" t="s">
        <v>44</v>
      </c>
      <c r="M17" s="162" t="s">
        <v>95</v>
      </c>
      <c r="N17" s="362" t="s">
        <v>168</v>
      </c>
    </row>
    <row r="18" spans="1:14" ht="13.15" x14ac:dyDescent="0.4">
      <c r="A18" s="163" t="s">
        <v>134</v>
      </c>
      <c r="B18" s="167" t="s">
        <v>135</v>
      </c>
      <c r="C18" s="167">
        <v>1</v>
      </c>
      <c r="D18" s="167"/>
      <c r="E18" s="151"/>
      <c r="F18" s="163" t="s">
        <v>532</v>
      </c>
      <c r="G18" s="164" t="s">
        <v>533</v>
      </c>
      <c r="H18" s="164">
        <v>2</v>
      </c>
      <c r="I18" s="164" t="s">
        <v>501</v>
      </c>
      <c r="J18" s="151"/>
      <c r="K18" s="165" t="s">
        <v>9</v>
      </c>
      <c r="L18" s="164" t="s">
        <v>52</v>
      </c>
      <c r="M18" s="166" t="s">
        <v>96</v>
      </c>
      <c r="N18" s="361" t="s">
        <v>422</v>
      </c>
    </row>
    <row r="19" spans="1:14" ht="13.15" x14ac:dyDescent="0.4">
      <c r="A19" s="159" t="s">
        <v>136</v>
      </c>
      <c r="B19" s="160" t="s">
        <v>137</v>
      </c>
      <c r="C19" s="160">
        <v>2</v>
      </c>
      <c r="D19" s="160" t="s">
        <v>135</v>
      </c>
      <c r="E19" s="151"/>
      <c r="F19" s="159" t="s">
        <v>534</v>
      </c>
      <c r="G19" s="160" t="s">
        <v>535</v>
      </c>
      <c r="H19" s="160">
        <v>2</v>
      </c>
      <c r="I19" s="160" t="s">
        <v>501</v>
      </c>
      <c r="J19" s="151"/>
      <c r="K19" s="161" t="s">
        <v>15</v>
      </c>
      <c r="L19" s="160" t="s">
        <v>44</v>
      </c>
      <c r="M19" s="162" t="s">
        <v>97</v>
      </c>
      <c r="N19" s="362" t="s">
        <v>168</v>
      </c>
    </row>
    <row r="20" spans="1:14" ht="13.15" x14ac:dyDescent="0.4">
      <c r="A20" s="163" t="s">
        <v>138</v>
      </c>
      <c r="B20" s="164" t="s">
        <v>139</v>
      </c>
      <c r="C20" s="164">
        <v>2</v>
      </c>
      <c r="D20" s="164" t="s">
        <v>135</v>
      </c>
      <c r="E20" s="151"/>
      <c r="F20" s="163" t="s">
        <v>536</v>
      </c>
      <c r="G20" s="164" t="s">
        <v>537</v>
      </c>
      <c r="H20" s="164">
        <v>2</v>
      </c>
      <c r="I20" s="164" t="s">
        <v>501</v>
      </c>
      <c r="J20" s="151"/>
      <c r="K20" s="165" t="s">
        <v>28</v>
      </c>
      <c r="L20" s="164" t="s">
        <v>54</v>
      </c>
      <c r="M20" s="166" t="s">
        <v>96</v>
      </c>
      <c r="N20" s="361" t="s">
        <v>389</v>
      </c>
    </row>
    <row r="21" spans="1:14" ht="13.15" x14ac:dyDescent="0.4">
      <c r="A21" s="159" t="s">
        <v>140</v>
      </c>
      <c r="B21" s="160" t="s">
        <v>141</v>
      </c>
      <c r="C21" s="160">
        <v>2</v>
      </c>
      <c r="D21" s="160" t="s">
        <v>135</v>
      </c>
      <c r="E21" s="151"/>
      <c r="F21" s="159" t="s">
        <v>538</v>
      </c>
      <c r="G21" s="160" t="s">
        <v>539</v>
      </c>
      <c r="H21" s="160">
        <v>2</v>
      </c>
      <c r="I21" s="160" t="s">
        <v>501</v>
      </c>
      <c r="J21" s="151"/>
      <c r="K21" s="161" t="s">
        <v>32</v>
      </c>
      <c r="L21" s="160" t="s">
        <v>59</v>
      </c>
      <c r="M21" s="162" t="s">
        <v>96</v>
      </c>
      <c r="N21" s="362" t="s">
        <v>456</v>
      </c>
    </row>
    <row r="22" spans="1:14" ht="13.15" x14ac:dyDescent="0.4">
      <c r="A22" s="163" t="s">
        <v>142</v>
      </c>
      <c r="B22" s="167" t="s">
        <v>143</v>
      </c>
      <c r="C22" s="167">
        <v>1</v>
      </c>
      <c r="D22" s="167"/>
      <c r="E22" s="151"/>
      <c r="F22" s="163" t="s">
        <v>540</v>
      </c>
      <c r="G22" s="164" t="s">
        <v>541</v>
      </c>
      <c r="H22" s="164">
        <v>2</v>
      </c>
      <c r="I22" s="164" t="s">
        <v>501</v>
      </c>
      <c r="J22" s="151"/>
      <c r="K22" s="165" t="s">
        <v>22</v>
      </c>
      <c r="L22" s="164" t="s">
        <v>42</v>
      </c>
      <c r="M22" s="166" t="s">
        <v>95</v>
      </c>
      <c r="N22" s="361" t="s">
        <v>126</v>
      </c>
    </row>
    <row r="23" spans="1:14" ht="13.15" x14ac:dyDescent="0.4">
      <c r="A23" s="159" t="s">
        <v>144</v>
      </c>
      <c r="B23" s="160" t="s">
        <v>50</v>
      </c>
      <c r="C23" s="160">
        <v>2</v>
      </c>
      <c r="D23" s="160" t="s">
        <v>143</v>
      </c>
      <c r="E23" s="151"/>
      <c r="F23" s="159" t="s">
        <v>542</v>
      </c>
      <c r="G23" s="160" t="s">
        <v>543</v>
      </c>
      <c r="H23" s="160">
        <v>2</v>
      </c>
      <c r="I23" s="160" t="s">
        <v>501</v>
      </c>
      <c r="J23" s="151"/>
      <c r="K23" s="161" t="s">
        <v>23</v>
      </c>
      <c r="L23" s="160" t="s">
        <v>64</v>
      </c>
      <c r="M23" s="162" t="s">
        <v>96</v>
      </c>
      <c r="N23" s="362" t="s">
        <v>180</v>
      </c>
    </row>
    <row r="24" spans="1:14" ht="13.15" x14ac:dyDescent="0.4">
      <c r="A24" s="163" t="s">
        <v>145</v>
      </c>
      <c r="B24" s="164" t="s">
        <v>146</v>
      </c>
      <c r="C24" s="164">
        <v>2</v>
      </c>
      <c r="D24" s="164" t="s">
        <v>143</v>
      </c>
      <c r="E24" s="151"/>
      <c r="F24" s="163" t="s">
        <v>544</v>
      </c>
      <c r="G24" s="164" t="s">
        <v>545</v>
      </c>
      <c r="H24" s="164">
        <v>2</v>
      </c>
      <c r="I24" s="164" t="s">
        <v>501</v>
      </c>
      <c r="J24" s="151"/>
      <c r="K24" s="165" t="s">
        <v>36</v>
      </c>
      <c r="L24" s="164" t="s">
        <v>51</v>
      </c>
      <c r="M24" s="166" t="s">
        <v>97</v>
      </c>
      <c r="N24" s="361" t="s">
        <v>175</v>
      </c>
    </row>
    <row r="25" spans="1:14" ht="13.15" x14ac:dyDescent="0.4">
      <c r="A25" s="159" t="s">
        <v>147</v>
      </c>
      <c r="B25" s="160" t="s">
        <v>148</v>
      </c>
      <c r="C25" s="160">
        <v>2</v>
      </c>
      <c r="D25" s="160" t="s">
        <v>143</v>
      </c>
      <c r="E25" s="151"/>
      <c r="F25" s="159" t="s">
        <v>546</v>
      </c>
      <c r="G25" s="160" t="s">
        <v>547</v>
      </c>
      <c r="H25" s="160">
        <v>2</v>
      </c>
      <c r="I25" s="160" t="s">
        <v>501</v>
      </c>
      <c r="J25" s="151"/>
      <c r="K25" s="161" t="s">
        <v>19</v>
      </c>
      <c r="L25" s="160" t="s">
        <v>65</v>
      </c>
      <c r="M25" s="162" t="s">
        <v>96</v>
      </c>
      <c r="N25" s="362" t="s">
        <v>124</v>
      </c>
    </row>
    <row r="26" spans="1:14" ht="13.15" x14ac:dyDescent="0.4">
      <c r="A26" s="163" t="s">
        <v>149</v>
      </c>
      <c r="B26" s="164" t="s">
        <v>150</v>
      </c>
      <c r="C26" s="164">
        <v>2</v>
      </c>
      <c r="D26" s="164" t="s">
        <v>143</v>
      </c>
      <c r="E26" s="151"/>
      <c r="F26" s="163" t="s">
        <v>548</v>
      </c>
      <c r="G26" s="164" t="s">
        <v>549</v>
      </c>
      <c r="H26" s="164">
        <v>2</v>
      </c>
      <c r="I26" s="164" t="s">
        <v>501</v>
      </c>
      <c r="J26" s="151"/>
      <c r="K26" s="165" t="s">
        <v>16</v>
      </c>
      <c r="L26" s="164" t="s">
        <v>48</v>
      </c>
      <c r="M26" s="166" t="s">
        <v>95</v>
      </c>
      <c r="N26" s="361" t="s">
        <v>499</v>
      </c>
    </row>
    <row r="27" spans="1:14" ht="13.15" x14ac:dyDescent="0.4">
      <c r="A27" s="159" t="s">
        <v>151</v>
      </c>
      <c r="B27" s="160" t="s">
        <v>152</v>
      </c>
      <c r="C27" s="160">
        <v>2</v>
      </c>
      <c r="D27" s="160" t="s">
        <v>143</v>
      </c>
      <c r="E27" s="151"/>
      <c r="F27" s="159" t="s">
        <v>550</v>
      </c>
      <c r="G27" s="160" t="s">
        <v>551</v>
      </c>
      <c r="H27" s="160">
        <v>2</v>
      </c>
      <c r="I27" s="160" t="s">
        <v>501</v>
      </c>
      <c r="J27" s="151"/>
      <c r="K27" s="161" t="s">
        <v>12</v>
      </c>
      <c r="L27" s="160" t="s">
        <v>42</v>
      </c>
      <c r="M27" s="162" t="s">
        <v>95</v>
      </c>
      <c r="N27" s="362" t="s">
        <v>126</v>
      </c>
    </row>
    <row r="28" spans="1:14" ht="13.15" x14ac:dyDescent="0.4">
      <c r="A28" s="163" t="s">
        <v>153</v>
      </c>
      <c r="B28" s="164" t="s">
        <v>154</v>
      </c>
      <c r="C28" s="164">
        <v>2</v>
      </c>
      <c r="D28" s="164" t="s">
        <v>143</v>
      </c>
      <c r="E28" s="151"/>
      <c r="F28" s="163" t="s">
        <v>552</v>
      </c>
      <c r="G28" s="164" t="s">
        <v>553</v>
      </c>
      <c r="H28" s="164">
        <v>2</v>
      </c>
      <c r="I28" s="164" t="s">
        <v>501</v>
      </c>
      <c r="J28" s="151"/>
      <c r="K28" s="165" t="s">
        <v>10</v>
      </c>
      <c r="L28" s="164" t="s">
        <v>55</v>
      </c>
      <c r="M28" s="166" t="s">
        <v>96</v>
      </c>
      <c r="N28" s="361" t="s">
        <v>227</v>
      </c>
    </row>
    <row r="29" spans="1:14" ht="13.15" x14ac:dyDescent="0.4">
      <c r="A29" s="159" t="s">
        <v>155</v>
      </c>
      <c r="B29" s="160" t="s">
        <v>156</v>
      </c>
      <c r="C29" s="160">
        <v>2</v>
      </c>
      <c r="D29" s="160" t="s">
        <v>143</v>
      </c>
      <c r="E29" s="151"/>
      <c r="F29" s="159" t="s">
        <v>554</v>
      </c>
      <c r="G29" s="160" t="s">
        <v>555</v>
      </c>
      <c r="H29" s="160">
        <v>2</v>
      </c>
      <c r="I29" s="160" t="s">
        <v>501</v>
      </c>
      <c r="J29" s="151"/>
      <c r="K29" s="161" t="s">
        <v>21</v>
      </c>
      <c r="L29" s="160" t="s">
        <v>51</v>
      </c>
      <c r="M29" s="162" t="s">
        <v>97</v>
      </c>
      <c r="N29" s="362" t="s">
        <v>175</v>
      </c>
    </row>
    <row r="30" spans="1:14" ht="13.15" x14ac:dyDescent="0.4">
      <c r="A30" s="163" t="s">
        <v>157</v>
      </c>
      <c r="B30" s="164" t="s">
        <v>158</v>
      </c>
      <c r="C30" s="164">
        <v>2</v>
      </c>
      <c r="D30" s="164" t="s">
        <v>143</v>
      </c>
      <c r="E30" s="151"/>
      <c r="F30" s="163" t="s">
        <v>556</v>
      </c>
      <c r="G30" s="164" t="s">
        <v>557</v>
      </c>
      <c r="H30" s="164">
        <v>2</v>
      </c>
      <c r="I30" s="164" t="s">
        <v>501</v>
      </c>
      <c r="J30" s="151"/>
      <c r="K30" s="165" t="s">
        <v>1</v>
      </c>
      <c r="L30" s="164" t="s">
        <v>51</v>
      </c>
      <c r="M30" s="166" t="s">
        <v>95</v>
      </c>
      <c r="N30" s="361" t="s">
        <v>175</v>
      </c>
    </row>
    <row r="31" spans="1:14" ht="13.15" x14ac:dyDescent="0.4">
      <c r="A31" s="159" t="s">
        <v>159</v>
      </c>
      <c r="B31" s="160" t="s">
        <v>160</v>
      </c>
      <c r="C31" s="160">
        <v>2</v>
      </c>
      <c r="D31" s="160" t="s">
        <v>143</v>
      </c>
      <c r="E31" s="151"/>
      <c r="F31" s="159" t="s">
        <v>558</v>
      </c>
      <c r="G31" s="160" t="s">
        <v>559</v>
      </c>
      <c r="H31" s="160">
        <v>2</v>
      </c>
      <c r="I31" s="160" t="s">
        <v>501</v>
      </c>
      <c r="J31" s="151"/>
      <c r="K31" s="161" t="s">
        <v>33</v>
      </c>
      <c r="L31" s="160" t="s">
        <v>46</v>
      </c>
      <c r="M31" s="162" t="s">
        <v>96</v>
      </c>
      <c r="N31" s="362" t="s">
        <v>184</v>
      </c>
    </row>
    <row r="32" spans="1:14" ht="13.15" x14ac:dyDescent="0.4">
      <c r="A32" s="163" t="s">
        <v>161</v>
      </c>
      <c r="B32" s="164" t="s">
        <v>162</v>
      </c>
      <c r="C32" s="164">
        <v>2</v>
      </c>
      <c r="D32" s="164" t="s">
        <v>143</v>
      </c>
      <c r="E32" s="151"/>
      <c r="F32" s="163" t="s">
        <v>560</v>
      </c>
      <c r="G32" s="164" t="s">
        <v>561</v>
      </c>
      <c r="H32" s="164">
        <v>2</v>
      </c>
      <c r="I32" s="164" t="s">
        <v>501</v>
      </c>
      <c r="J32" s="151"/>
      <c r="K32" s="165" t="s">
        <v>5</v>
      </c>
      <c r="L32" s="164" t="s">
        <v>46</v>
      </c>
      <c r="M32" s="166" t="s">
        <v>95</v>
      </c>
      <c r="N32" s="361" t="s">
        <v>184</v>
      </c>
    </row>
    <row r="33" spans="1:14" ht="13.15" x14ac:dyDescent="0.4">
      <c r="A33" s="159" t="s">
        <v>163</v>
      </c>
      <c r="B33" s="160" t="s">
        <v>164</v>
      </c>
      <c r="C33" s="160">
        <v>2</v>
      </c>
      <c r="D33" s="160" t="s">
        <v>143</v>
      </c>
      <c r="E33" s="151"/>
      <c r="F33" s="159" t="s">
        <v>562</v>
      </c>
      <c r="G33" s="160" t="s">
        <v>563</v>
      </c>
      <c r="H33" s="160">
        <v>2</v>
      </c>
      <c r="I33" s="160" t="s">
        <v>501</v>
      </c>
      <c r="J33" s="151"/>
      <c r="K33" s="161" t="s">
        <v>13</v>
      </c>
      <c r="L33" s="160" t="s">
        <v>61</v>
      </c>
      <c r="M33" s="162" t="s">
        <v>96</v>
      </c>
      <c r="N33" s="362" t="s">
        <v>151</v>
      </c>
    </row>
    <row r="34" spans="1:14" ht="13.15" x14ac:dyDescent="0.4">
      <c r="A34" s="163" t="s">
        <v>165</v>
      </c>
      <c r="B34" s="164" t="s">
        <v>166</v>
      </c>
      <c r="C34" s="164">
        <v>2</v>
      </c>
      <c r="D34" s="164" t="s">
        <v>143</v>
      </c>
      <c r="E34" s="151"/>
      <c r="F34" s="163" t="s">
        <v>564</v>
      </c>
      <c r="G34" s="164" t="s">
        <v>565</v>
      </c>
      <c r="H34" s="164">
        <v>2</v>
      </c>
      <c r="I34" s="164" t="s">
        <v>501</v>
      </c>
      <c r="J34" s="151"/>
      <c r="K34" s="165" t="s">
        <v>17</v>
      </c>
      <c r="L34" s="164" t="s">
        <v>50</v>
      </c>
      <c r="M34" s="166" t="s">
        <v>97</v>
      </c>
      <c r="N34" s="361" t="s">
        <v>144</v>
      </c>
    </row>
    <row r="35" spans="1:14" ht="13.15" x14ac:dyDescent="0.4">
      <c r="A35" s="159" t="s">
        <v>167</v>
      </c>
      <c r="B35" s="160" t="s">
        <v>47</v>
      </c>
      <c r="C35" s="160">
        <v>2</v>
      </c>
      <c r="D35" s="160" t="s">
        <v>143</v>
      </c>
      <c r="E35" s="151"/>
      <c r="F35" s="159" t="s">
        <v>566</v>
      </c>
      <c r="G35" s="160" t="s">
        <v>567</v>
      </c>
      <c r="H35" s="160">
        <v>2</v>
      </c>
      <c r="I35" s="160" t="s">
        <v>501</v>
      </c>
      <c r="J35" s="151"/>
      <c r="K35" s="161" t="s">
        <v>24</v>
      </c>
      <c r="L35" s="160" t="s">
        <v>52</v>
      </c>
      <c r="M35" s="162" t="s">
        <v>96</v>
      </c>
      <c r="N35" s="362" t="s">
        <v>422</v>
      </c>
    </row>
    <row r="36" spans="1:14" ht="13.15" x14ac:dyDescent="0.4">
      <c r="A36" s="163" t="s">
        <v>168</v>
      </c>
      <c r="B36" s="164" t="s">
        <v>169</v>
      </c>
      <c r="C36" s="164">
        <v>2</v>
      </c>
      <c r="D36" s="164" t="s">
        <v>143</v>
      </c>
      <c r="E36" s="151"/>
      <c r="F36" s="163" t="s">
        <v>568</v>
      </c>
      <c r="G36" s="164" t="s">
        <v>569</v>
      </c>
      <c r="H36" s="164">
        <v>2</v>
      </c>
      <c r="I36" s="164" t="s">
        <v>501</v>
      </c>
      <c r="J36" s="151"/>
      <c r="K36" s="165" t="s">
        <v>30</v>
      </c>
      <c r="L36" s="164" t="s">
        <v>46</v>
      </c>
      <c r="M36" s="166" t="s">
        <v>97</v>
      </c>
      <c r="N36" s="361" t="s">
        <v>184</v>
      </c>
    </row>
    <row r="37" spans="1:14" ht="13.15" x14ac:dyDescent="0.4">
      <c r="A37" s="159" t="s">
        <v>170</v>
      </c>
      <c r="B37" s="160" t="s">
        <v>171</v>
      </c>
      <c r="C37" s="160">
        <v>2</v>
      </c>
      <c r="D37" s="160" t="s">
        <v>143</v>
      </c>
      <c r="E37" s="151"/>
      <c r="F37" s="159" t="s">
        <v>570</v>
      </c>
      <c r="G37" s="160" t="s">
        <v>571</v>
      </c>
      <c r="H37" s="160">
        <v>2</v>
      </c>
      <c r="I37" s="160" t="s">
        <v>501</v>
      </c>
      <c r="J37" s="151"/>
      <c r="K37" s="161" t="s">
        <v>18</v>
      </c>
      <c r="L37" s="160" t="s">
        <v>55</v>
      </c>
      <c r="M37" s="162" t="s">
        <v>96</v>
      </c>
      <c r="N37" s="362" t="s">
        <v>227</v>
      </c>
    </row>
    <row r="38" spans="1:14" ht="13.15" x14ac:dyDescent="0.4">
      <c r="A38" s="163" t="s">
        <v>172</v>
      </c>
      <c r="B38" s="164" t="s">
        <v>173</v>
      </c>
      <c r="C38" s="164">
        <v>2</v>
      </c>
      <c r="D38" s="164" t="s">
        <v>143</v>
      </c>
      <c r="E38" s="151"/>
      <c r="F38" s="163" t="s">
        <v>572</v>
      </c>
      <c r="G38" s="164" t="s">
        <v>573</v>
      </c>
      <c r="H38" s="164">
        <v>2</v>
      </c>
      <c r="I38" s="164" t="s">
        <v>501</v>
      </c>
      <c r="J38" s="151"/>
      <c r="K38" s="165" t="s">
        <v>1464</v>
      </c>
      <c r="L38" s="164" t="s">
        <v>62</v>
      </c>
      <c r="M38" s="166" t="s">
        <v>97</v>
      </c>
      <c r="N38" s="361" t="s">
        <v>300</v>
      </c>
    </row>
    <row r="39" spans="1:14" ht="13.15" x14ac:dyDescent="0.4">
      <c r="A39" s="159" t="s">
        <v>174</v>
      </c>
      <c r="B39" s="168" t="s">
        <v>60</v>
      </c>
      <c r="C39" s="168">
        <v>1</v>
      </c>
      <c r="D39" s="168"/>
      <c r="E39" s="151"/>
      <c r="F39" s="159" t="s">
        <v>574</v>
      </c>
      <c r="G39" s="168" t="s">
        <v>575</v>
      </c>
      <c r="H39" s="168">
        <v>1</v>
      </c>
      <c r="I39" s="168"/>
      <c r="J39" s="151"/>
      <c r="K39" s="161"/>
      <c r="L39" s="160"/>
      <c r="M39" s="160"/>
    </row>
    <row r="40" spans="1:14" ht="13.15" x14ac:dyDescent="0.4">
      <c r="A40" s="163" t="s">
        <v>175</v>
      </c>
      <c r="B40" s="164" t="s">
        <v>51</v>
      </c>
      <c r="C40" s="164">
        <v>2</v>
      </c>
      <c r="D40" s="164" t="s">
        <v>60</v>
      </c>
      <c r="E40" s="151"/>
      <c r="F40" s="163" t="s">
        <v>576</v>
      </c>
      <c r="G40" s="164" t="s">
        <v>577</v>
      </c>
      <c r="H40" s="164">
        <v>2</v>
      </c>
      <c r="I40" s="164" t="s">
        <v>575</v>
      </c>
      <c r="J40" s="151"/>
      <c r="K40" s="165"/>
      <c r="L40" s="164"/>
      <c r="M40" s="164"/>
    </row>
    <row r="41" spans="1:14" ht="13.15" x14ac:dyDescent="0.4">
      <c r="A41" s="159" t="s">
        <v>176</v>
      </c>
      <c r="B41" s="160" t="s">
        <v>177</v>
      </c>
      <c r="C41" s="160">
        <v>2</v>
      </c>
      <c r="D41" s="160" t="s">
        <v>60</v>
      </c>
      <c r="E41" s="151"/>
      <c r="F41" s="159" t="s">
        <v>578</v>
      </c>
      <c r="G41" s="160" t="s">
        <v>579</v>
      </c>
      <c r="H41" s="160">
        <v>2</v>
      </c>
      <c r="I41" s="160" t="s">
        <v>575</v>
      </c>
      <c r="J41" s="151"/>
      <c r="K41" s="161"/>
      <c r="L41" s="160"/>
      <c r="M41" s="160"/>
    </row>
    <row r="42" spans="1:14" ht="13.15" x14ac:dyDescent="0.4">
      <c r="A42" s="163" t="s">
        <v>178</v>
      </c>
      <c r="B42" s="164" t="s">
        <v>179</v>
      </c>
      <c r="C42" s="164">
        <v>2</v>
      </c>
      <c r="D42" s="164" t="s">
        <v>60</v>
      </c>
      <c r="E42" s="151"/>
      <c r="F42" s="163" t="s">
        <v>580</v>
      </c>
      <c r="G42" s="164" t="s">
        <v>581</v>
      </c>
      <c r="H42" s="164">
        <v>2</v>
      </c>
      <c r="I42" s="164" t="s">
        <v>575</v>
      </c>
      <c r="J42" s="151"/>
      <c r="K42" s="165"/>
      <c r="L42" s="164"/>
      <c r="M42" s="164"/>
    </row>
    <row r="43" spans="1:14" ht="13.15" x14ac:dyDescent="0.4">
      <c r="A43" s="159" t="s">
        <v>180</v>
      </c>
      <c r="B43" s="160" t="s">
        <v>181</v>
      </c>
      <c r="C43" s="160">
        <v>2</v>
      </c>
      <c r="D43" s="160" t="s">
        <v>60</v>
      </c>
      <c r="E43" s="151"/>
      <c r="F43" s="159" t="s">
        <v>582</v>
      </c>
      <c r="G43" s="160" t="s">
        <v>583</v>
      </c>
      <c r="H43" s="160">
        <v>2</v>
      </c>
      <c r="I43" s="160" t="s">
        <v>575</v>
      </c>
      <c r="J43" s="151"/>
      <c r="K43" s="161"/>
      <c r="L43" s="160"/>
      <c r="M43" s="160"/>
    </row>
    <row r="44" spans="1:14" ht="13.15" x14ac:dyDescent="0.4">
      <c r="A44" s="163" t="s">
        <v>182</v>
      </c>
      <c r="B44" s="164" t="s">
        <v>183</v>
      </c>
      <c r="C44" s="164">
        <v>2</v>
      </c>
      <c r="D44" s="164" t="s">
        <v>60</v>
      </c>
      <c r="E44" s="151"/>
      <c r="F44" s="163" t="s">
        <v>584</v>
      </c>
      <c r="G44" s="164" t="s">
        <v>585</v>
      </c>
      <c r="H44" s="164">
        <v>2</v>
      </c>
      <c r="I44" s="164" t="s">
        <v>575</v>
      </c>
      <c r="J44" s="151"/>
      <c r="K44" s="165"/>
      <c r="L44" s="164"/>
      <c r="M44" s="164"/>
    </row>
    <row r="45" spans="1:14" ht="13.15" x14ac:dyDescent="0.4">
      <c r="A45" s="159" t="s">
        <v>184</v>
      </c>
      <c r="B45" s="160" t="s">
        <v>46</v>
      </c>
      <c r="C45" s="160">
        <v>2</v>
      </c>
      <c r="D45" s="160" t="s">
        <v>60</v>
      </c>
      <c r="E45" s="151"/>
      <c r="F45" s="159" t="s">
        <v>586</v>
      </c>
      <c r="G45" s="160" t="s">
        <v>587</v>
      </c>
      <c r="H45" s="160">
        <v>2</v>
      </c>
      <c r="I45" s="160" t="s">
        <v>575</v>
      </c>
      <c r="J45" s="151"/>
      <c r="K45" s="161"/>
      <c r="L45" s="160"/>
      <c r="M45" s="160"/>
    </row>
    <row r="46" spans="1:14" ht="13.15" x14ac:dyDescent="0.4">
      <c r="A46" s="163" t="s">
        <v>185</v>
      </c>
      <c r="B46" s="164" t="s">
        <v>186</v>
      </c>
      <c r="C46" s="164">
        <v>2</v>
      </c>
      <c r="D46" s="164" t="s">
        <v>60</v>
      </c>
      <c r="E46" s="151"/>
      <c r="F46" s="163" t="s">
        <v>588</v>
      </c>
      <c r="G46" s="164" t="s">
        <v>589</v>
      </c>
      <c r="H46" s="164">
        <v>2</v>
      </c>
      <c r="I46" s="164" t="s">
        <v>575</v>
      </c>
      <c r="J46" s="151"/>
      <c r="K46" s="165"/>
      <c r="L46" s="164"/>
      <c r="M46" s="164"/>
    </row>
    <row r="47" spans="1:14" ht="13.15" x14ac:dyDescent="0.4">
      <c r="A47" s="159" t="s">
        <v>187</v>
      </c>
      <c r="B47" s="160" t="s">
        <v>49</v>
      </c>
      <c r="C47" s="160">
        <v>2</v>
      </c>
      <c r="D47" s="160" t="s">
        <v>60</v>
      </c>
      <c r="E47" s="151"/>
      <c r="F47" s="159" t="s">
        <v>590</v>
      </c>
      <c r="G47" s="160" t="s">
        <v>591</v>
      </c>
      <c r="H47" s="160">
        <v>2</v>
      </c>
      <c r="I47" s="160" t="s">
        <v>575</v>
      </c>
      <c r="J47" s="151"/>
      <c r="K47" s="161"/>
      <c r="L47" s="160"/>
      <c r="M47" s="160"/>
    </row>
    <row r="48" spans="1:14" ht="13.15" x14ac:dyDescent="0.4">
      <c r="A48" s="163" t="s">
        <v>188</v>
      </c>
      <c r="B48" s="164" t="s">
        <v>189</v>
      </c>
      <c r="C48" s="164">
        <v>2</v>
      </c>
      <c r="D48" s="164" t="s">
        <v>60</v>
      </c>
      <c r="E48" s="151"/>
      <c r="F48" s="163" t="s">
        <v>592</v>
      </c>
      <c r="G48" s="164" t="s">
        <v>593</v>
      </c>
      <c r="H48" s="164">
        <v>2</v>
      </c>
      <c r="I48" s="164" t="s">
        <v>575</v>
      </c>
      <c r="J48" s="151"/>
      <c r="K48" s="165"/>
      <c r="L48" s="164"/>
      <c r="M48" s="164"/>
    </row>
    <row r="49" spans="1:13" ht="13.15" x14ac:dyDescent="0.4">
      <c r="A49" s="159" t="s">
        <v>190</v>
      </c>
      <c r="B49" s="160" t="s">
        <v>191</v>
      </c>
      <c r="C49" s="160">
        <v>2</v>
      </c>
      <c r="D49" s="160" t="s">
        <v>60</v>
      </c>
      <c r="E49" s="151"/>
      <c r="F49" s="159" t="s">
        <v>594</v>
      </c>
      <c r="G49" s="160" t="s">
        <v>595</v>
      </c>
      <c r="H49" s="160">
        <v>2</v>
      </c>
      <c r="I49" s="160" t="s">
        <v>575</v>
      </c>
      <c r="J49" s="151"/>
      <c r="K49" s="161"/>
      <c r="L49" s="160"/>
      <c r="M49" s="160"/>
    </row>
    <row r="50" spans="1:13" ht="13.15" x14ac:dyDescent="0.4">
      <c r="A50" s="163" t="s">
        <v>192</v>
      </c>
      <c r="B50" s="164" t="s">
        <v>193</v>
      </c>
      <c r="C50" s="164">
        <v>2</v>
      </c>
      <c r="D50" s="164" t="s">
        <v>60</v>
      </c>
      <c r="E50" s="151"/>
      <c r="F50" s="163" t="s">
        <v>596</v>
      </c>
      <c r="G50" s="164" t="s">
        <v>597</v>
      </c>
      <c r="H50" s="164">
        <v>2</v>
      </c>
      <c r="I50" s="164" t="s">
        <v>575</v>
      </c>
      <c r="J50" s="151"/>
      <c r="K50" s="165"/>
      <c r="L50" s="164"/>
      <c r="M50" s="164"/>
    </row>
    <row r="51" spans="1:13" ht="13.15" x14ac:dyDescent="0.4">
      <c r="A51" s="159" t="s">
        <v>194</v>
      </c>
      <c r="B51" s="160" t="s">
        <v>195</v>
      </c>
      <c r="C51" s="160">
        <v>2</v>
      </c>
      <c r="D51" s="160" t="s">
        <v>60</v>
      </c>
      <c r="E51" s="151"/>
      <c r="F51" s="159" t="s">
        <v>598</v>
      </c>
      <c r="G51" s="160" t="s">
        <v>599</v>
      </c>
      <c r="H51" s="160">
        <v>2</v>
      </c>
      <c r="I51" s="160" t="s">
        <v>575</v>
      </c>
      <c r="J51" s="151"/>
      <c r="K51" s="161"/>
      <c r="L51" s="160"/>
      <c r="M51" s="160"/>
    </row>
    <row r="52" spans="1:13" ht="13.15" x14ac:dyDescent="0.4">
      <c r="A52" s="163" t="s">
        <v>196</v>
      </c>
      <c r="B52" s="164" t="s">
        <v>197</v>
      </c>
      <c r="C52" s="164">
        <v>2</v>
      </c>
      <c r="D52" s="164" t="s">
        <v>60</v>
      </c>
      <c r="E52" s="151"/>
      <c r="F52" s="163" t="s">
        <v>600</v>
      </c>
      <c r="G52" s="167" t="s">
        <v>601</v>
      </c>
      <c r="H52" s="167">
        <v>1</v>
      </c>
      <c r="I52" s="167"/>
      <c r="J52" s="151"/>
      <c r="K52" s="165"/>
      <c r="L52" s="164"/>
      <c r="M52" s="164"/>
    </row>
    <row r="53" spans="1:13" ht="13.15" x14ac:dyDescent="0.4">
      <c r="A53" s="159" t="s">
        <v>198</v>
      </c>
      <c r="B53" s="160" t="s">
        <v>199</v>
      </c>
      <c r="C53" s="160">
        <v>2</v>
      </c>
      <c r="D53" s="160" t="s">
        <v>60</v>
      </c>
      <c r="E53" s="151"/>
      <c r="F53" s="159" t="s">
        <v>602</v>
      </c>
      <c r="G53" s="160" t="s">
        <v>603</v>
      </c>
      <c r="H53" s="160">
        <v>2</v>
      </c>
      <c r="I53" s="160" t="s">
        <v>601</v>
      </c>
      <c r="J53" s="151"/>
      <c r="K53" s="161"/>
      <c r="L53" s="160"/>
      <c r="M53" s="160"/>
    </row>
    <row r="54" spans="1:13" ht="13.15" x14ac:dyDescent="0.4">
      <c r="A54" s="163" t="s">
        <v>200</v>
      </c>
      <c r="B54" s="167" t="s">
        <v>201</v>
      </c>
      <c r="C54" s="167">
        <v>1</v>
      </c>
      <c r="D54" s="167"/>
      <c r="E54" s="151"/>
      <c r="F54" s="163" t="s">
        <v>604</v>
      </c>
      <c r="G54" s="164" t="s">
        <v>605</v>
      </c>
      <c r="H54" s="164">
        <v>2</v>
      </c>
      <c r="I54" s="164" t="s">
        <v>601</v>
      </c>
      <c r="J54" s="151"/>
      <c r="K54" s="165"/>
      <c r="L54" s="164"/>
      <c r="M54" s="164"/>
    </row>
    <row r="55" spans="1:13" ht="13.15" x14ac:dyDescent="0.4">
      <c r="A55" s="159" t="s">
        <v>202</v>
      </c>
      <c r="B55" s="160" t="s">
        <v>203</v>
      </c>
      <c r="C55" s="160">
        <v>2</v>
      </c>
      <c r="D55" s="160" t="s">
        <v>201</v>
      </c>
      <c r="E55" s="151"/>
      <c r="F55" s="159" t="s">
        <v>606</v>
      </c>
      <c r="G55" s="160" t="s">
        <v>607</v>
      </c>
      <c r="H55" s="160">
        <v>2</v>
      </c>
      <c r="I55" s="160" t="s">
        <v>601</v>
      </c>
      <c r="J55" s="151"/>
      <c r="K55" s="161"/>
      <c r="L55" s="160"/>
      <c r="M55" s="160"/>
    </row>
    <row r="56" spans="1:13" ht="13.15" x14ac:dyDescent="0.4">
      <c r="A56" s="163" t="s">
        <v>204</v>
      </c>
      <c r="B56" s="164" t="s">
        <v>205</v>
      </c>
      <c r="C56" s="164">
        <v>2</v>
      </c>
      <c r="D56" s="164" t="s">
        <v>201</v>
      </c>
      <c r="E56" s="151"/>
      <c r="F56" s="163" t="s">
        <v>608</v>
      </c>
      <c r="G56" s="164" t="s">
        <v>609</v>
      </c>
      <c r="H56" s="164">
        <v>2</v>
      </c>
      <c r="I56" s="164" t="s">
        <v>601</v>
      </c>
      <c r="J56" s="151"/>
      <c r="K56" s="165"/>
      <c r="L56" s="164"/>
      <c r="M56" s="164"/>
    </row>
    <row r="57" spans="1:13" ht="13.15" x14ac:dyDescent="0.4">
      <c r="A57" s="159" t="s">
        <v>206</v>
      </c>
      <c r="B57" s="160" t="s">
        <v>207</v>
      </c>
      <c r="C57" s="160">
        <v>2</v>
      </c>
      <c r="D57" s="160" t="s">
        <v>201</v>
      </c>
      <c r="E57" s="151"/>
      <c r="F57" s="159" t="s">
        <v>610</v>
      </c>
      <c r="G57" s="160" t="s">
        <v>611</v>
      </c>
      <c r="H57" s="160">
        <v>2</v>
      </c>
      <c r="I57" s="160" t="s">
        <v>601</v>
      </c>
      <c r="J57" s="151"/>
      <c r="K57" s="161"/>
      <c r="L57" s="160"/>
      <c r="M57" s="160"/>
    </row>
    <row r="58" spans="1:13" ht="13.15" x14ac:dyDescent="0.4">
      <c r="A58" s="163" t="s">
        <v>208</v>
      </c>
      <c r="B58" s="164" t="s">
        <v>209</v>
      </c>
      <c r="C58" s="164">
        <v>2</v>
      </c>
      <c r="D58" s="164" t="s">
        <v>201</v>
      </c>
      <c r="E58" s="151"/>
      <c r="F58" s="163" t="s">
        <v>612</v>
      </c>
      <c r="G58" s="164" t="s">
        <v>613</v>
      </c>
      <c r="H58" s="164">
        <v>2</v>
      </c>
      <c r="I58" s="164" t="s">
        <v>601</v>
      </c>
      <c r="J58" s="151"/>
      <c r="K58" s="165"/>
      <c r="L58" s="164"/>
      <c r="M58" s="164"/>
    </row>
    <row r="59" spans="1:13" ht="13.15" x14ac:dyDescent="0.4">
      <c r="A59" s="159" t="s">
        <v>210</v>
      </c>
      <c r="B59" s="160" t="s">
        <v>211</v>
      </c>
      <c r="C59" s="160">
        <v>2</v>
      </c>
      <c r="D59" s="160" t="s">
        <v>201</v>
      </c>
      <c r="E59" s="151"/>
      <c r="F59" s="159" t="s">
        <v>614</v>
      </c>
      <c r="G59" s="160" t="s">
        <v>615</v>
      </c>
      <c r="H59" s="160">
        <v>2</v>
      </c>
      <c r="I59" s="160" t="s">
        <v>601</v>
      </c>
      <c r="J59" s="151"/>
      <c r="K59" s="161"/>
      <c r="L59" s="160"/>
      <c r="M59" s="160"/>
    </row>
    <row r="60" spans="1:13" ht="13.15" x14ac:dyDescent="0.4">
      <c r="A60" s="163" t="s">
        <v>212</v>
      </c>
      <c r="B60" s="167" t="s">
        <v>213</v>
      </c>
      <c r="C60" s="167">
        <v>1</v>
      </c>
      <c r="D60" s="167"/>
      <c r="E60" s="151"/>
      <c r="F60" s="163" t="s">
        <v>616</v>
      </c>
      <c r="G60" s="164" t="s">
        <v>617</v>
      </c>
      <c r="H60" s="164">
        <v>2</v>
      </c>
      <c r="I60" s="164" t="s">
        <v>601</v>
      </c>
      <c r="J60" s="151"/>
      <c r="K60" s="165"/>
      <c r="L60" s="164"/>
      <c r="M60" s="164"/>
    </row>
    <row r="61" spans="1:13" ht="13.15" x14ac:dyDescent="0.4">
      <c r="A61" s="159" t="s">
        <v>214</v>
      </c>
      <c r="B61" s="160" t="s">
        <v>215</v>
      </c>
      <c r="C61" s="160">
        <v>2</v>
      </c>
      <c r="D61" s="160" t="s">
        <v>213</v>
      </c>
      <c r="E61" s="151"/>
      <c r="F61" s="159" t="s">
        <v>618</v>
      </c>
      <c r="G61" s="160" t="s">
        <v>619</v>
      </c>
      <c r="H61" s="160">
        <v>2</v>
      </c>
      <c r="I61" s="160" t="s">
        <v>601</v>
      </c>
      <c r="J61" s="151"/>
      <c r="K61" s="161"/>
      <c r="L61" s="160"/>
      <c r="M61" s="160"/>
    </row>
    <row r="62" spans="1:13" ht="13.15" x14ac:dyDescent="0.4">
      <c r="A62" s="163" t="s">
        <v>216</v>
      </c>
      <c r="B62" s="164" t="s">
        <v>217</v>
      </c>
      <c r="C62" s="164">
        <v>2</v>
      </c>
      <c r="D62" s="164" t="s">
        <v>213</v>
      </c>
      <c r="E62" s="151"/>
      <c r="F62" s="163" t="s">
        <v>620</v>
      </c>
      <c r="G62" s="164" t="s">
        <v>621</v>
      </c>
      <c r="H62" s="164">
        <v>2</v>
      </c>
      <c r="I62" s="164" t="s">
        <v>601</v>
      </c>
      <c r="J62" s="151"/>
      <c r="K62" s="165"/>
      <c r="L62" s="164"/>
      <c r="M62" s="164"/>
    </row>
    <row r="63" spans="1:13" ht="13.15" x14ac:dyDescent="0.4">
      <c r="A63" s="159" t="s">
        <v>218</v>
      </c>
      <c r="B63" s="160" t="s">
        <v>219</v>
      </c>
      <c r="C63" s="160">
        <v>2</v>
      </c>
      <c r="D63" s="160" t="s">
        <v>213</v>
      </c>
      <c r="E63" s="151"/>
      <c r="F63" s="159" t="s">
        <v>622</v>
      </c>
      <c r="G63" s="160" t="s">
        <v>623</v>
      </c>
      <c r="H63" s="160">
        <v>2</v>
      </c>
      <c r="I63" s="160" t="s">
        <v>601</v>
      </c>
      <c r="J63" s="151"/>
      <c r="K63" s="161"/>
      <c r="L63" s="160"/>
      <c r="M63" s="160"/>
    </row>
    <row r="64" spans="1:13" ht="13.15" x14ac:dyDescent="0.4">
      <c r="A64" s="163" t="s">
        <v>220</v>
      </c>
      <c r="B64" s="164" t="s">
        <v>56</v>
      </c>
      <c r="C64" s="164">
        <v>2</v>
      </c>
      <c r="D64" s="164" t="s">
        <v>213</v>
      </c>
      <c r="E64" s="151"/>
      <c r="F64" s="163" t="s">
        <v>624</v>
      </c>
      <c r="G64" s="167" t="s">
        <v>625</v>
      </c>
      <c r="H64" s="167">
        <v>1</v>
      </c>
      <c r="I64" s="167"/>
      <c r="J64" s="151"/>
      <c r="K64" s="165"/>
      <c r="L64" s="164"/>
      <c r="M64" s="164"/>
    </row>
    <row r="65" spans="1:13" ht="13.15" x14ac:dyDescent="0.4">
      <c r="A65" s="159" t="s">
        <v>221</v>
      </c>
      <c r="B65" s="160" t="s">
        <v>222</v>
      </c>
      <c r="C65" s="160">
        <v>2</v>
      </c>
      <c r="D65" s="160" t="s">
        <v>213</v>
      </c>
      <c r="E65" s="151"/>
      <c r="F65" s="159" t="s">
        <v>626</v>
      </c>
      <c r="G65" s="160" t="s">
        <v>627</v>
      </c>
      <c r="H65" s="160">
        <v>2</v>
      </c>
      <c r="I65" s="160" t="s">
        <v>625</v>
      </c>
      <c r="J65" s="151"/>
      <c r="K65" s="161"/>
      <c r="L65" s="160"/>
      <c r="M65" s="160"/>
    </row>
    <row r="66" spans="1:13" ht="13.15" x14ac:dyDescent="0.4">
      <c r="A66" s="163" t="s">
        <v>223</v>
      </c>
      <c r="B66" s="164" t="s">
        <v>224</v>
      </c>
      <c r="C66" s="164">
        <v>2</v>
      </c>
      <c r="D66" s="164" t="s">
        <v>213</v>
      </c>
      <c r="E66" s="151"/>
      <c r="F66" s="163" t="s">
        <v>628</v>
      </c>
      <c r="G66" s="164" t="s">
        <v>629</v>
      </c>
      <c r="H66" s="164">
        <v>2</v>
      </c>
      <c r="I66" s="164" t="s">
        <v>625</v>
      </c>
      <c r="J66" s="151"/>
      <c r="K66" s="165"/>
      <c r="L66" s="164"/>
      <c r="M66" s="164"/>
    </row>
    <row r="67" spans="1:13" ht="13.15" x14ac:dyDescent="0.4">
      <c r="A67" s="159" t="s">
        <v>225</v>
      </c>
      <c r="B67" s="160" t="s">
        <v>226</v>
      </c>
      <c r="C67" s="160">
        <v>2</v>
      </c>
      <c r="D67" s="160" t="s">
        <v>213</v>
      </c>
      <c r="E67" s="151"/>
      <c r="F67" s="159" t="s">
        <v>630</v>
      </c>
      <c r="G67" s="160" t="s">
        <v>631</v>
      </c>
      <c r="H67" s="160">
        <v>2</v>
      </c>
      <c r="I67" s="160" t="s">
        <v>625</v>
      </c>
      <c r="J67" s="151"/>
      <c r="K67" s="161"/>
      <c r="L67" s="160"/>
      <c r="M67" s="160"/>
    </row>
    <row r="68" spans="1:13" ht="13.15" x14ac:dyDescent="0.4">
      <c r="A68" s="163" t="s">
        <v>227</v>
      </c>
      <c r="B68" s="164" t="s">
        <v>228</v>
      </c>
      <c r="C68" s="164">
        <v>2</v>
      </c>
      <c r="D68" s="164" t="s">
        <v>213</v>
      </c>
      <c r="E68" s="151"/>
      <c r="F68" s="163" t="s">
        <v>632</v>
      </c>
      <c r="G68" s="164" t="s">
        <v>633</v>
      </c>
      <c r="H68" s="164">
        <v>2</v>
      </c>
      <c r="I68" s="164" t="s">
        <v>625</v>
      </c>
      <c r="J68" s="151"/>
      <c r="K68" s="165"/>
      <c r="L68" s="164"/>
      <c r="M68" s="164"/>
    </row>
    <row r="69" spans="1:13" ht="13.15" x14ac:dyDescent="0.4">
      <c r="A69" s="159" t="s">
        <v>229</v>
      </c>
      <c r="B69" s="160" t="s">
        <v>230</v>
      </c>
      <c r="C69" s="160">
        <v>2</v>
      </c>
      <c r="D69" s="160" t="s">
        <v>213</v>
      </c>
      <c r="E69" s="151"/>
      <c r="F69" s="159" t="s">
        <v>634</v>
      </c>
      <c r="G69" s="160" t="s">
        <v>635</v>
      </c>
      <c r="H69" s="160">
        <v>2</v>
      </c>
      <c r="I69" s="160" t="s">
        <v>625</v>
      </c>
      <c r="J69" s="151"/>
      <c r="K69" s="161"/>
      <c r="L69" s="160"/>
      <c r="M69" s="160"/>
    </row>
    <row r="70" spans="1:13" ht="13.15" x14ac:dyDescent="0.4">
      <c r="A70" s="163" t="s">
        <v>231</v>
      </c>
      <c r="B70" s="164" t="s">
        <v>232</v>
      </c>
      <c r="C70" s="164">
        <v>2</v>
      </c>
      <c r="D70" s="164" t="s">
        <v>213</v>
      </c>
      <c r="E70" s="151"/>
      <c r="F70" s="163" t="s">
        <v>636</v>
      </c>
      <c r="G70" s="164" t="s">
        <v>637</v>
      </c>
      <c r="H70" s="164">
        <v>2</v>
      </c>
      <c r="I70" s="164" t="s">
        <v>625</v>
      </c>
      <c r="J70" s="151"/>
      <c r="K70" s="165"/>
      <c r="L70" s="164"/>
      <c r="M70" s="164"/>
    </row>
    <row r="71" spans="1:13" ht="13.15" x14ac:dyDescent="0.4">
      <c r="A71" s="159" t="s">
        <v>233</v>
      </c>
      <c r="B71" s="160" t="s">
        <v>234</v>
      </c>
      <c r="C71" s="160">
        <v>2</v>
      </c>
      <c r="D71" s="160" t="s">
        <v>213</v>
      </c>
      <c r="E71" s="151"/>
      <c r="F71" s="159" t="s">
        <v>638</v>
      </c>
      <c r="G71" s="160" t="s">
        <v>639</v>
      </c>
      <c r="H71" s="160">
        <v>2</v>
      </c>
      <c r="I71" s="160" t="s">
        <v>625</v>
      </c>
      <c r="J71" s="151"/>
      <c r="K71" s="161"/>
      <c r="L71" s="160"/>
      <c r="M71" s="160"/>
    </row>
    <row r="72" spans="1:13" ht="13.15" x14ac:dyDescent="0.4">
      <c r="A72" s="163" t="s">
        <v>235</v>
      </c>
      <c r="B72" s="164" t="s">
        <v>236</v>
      </c>
      <c r="C72" s="164">
        <v>2</v>
      </c>
      <c r="D72" s="164" t="s">
        <v>213</v>
      </c>
      <c r="E72" s="151"/>
      <c r="F72" s="163" t="s">
        <v>640</v>
      </c>
      <c r="G72" s="164" t="s">
        <v>641</v>
      </c>
      <c r="H72" s="164">
        <v>2</v>
      </c>
      <c r="I72" s="164" t="s">
        <v>625</v>
      </c>
      <c r="J72" s="151"/>
      <c r="K72" s="165"/>
      <c r="L72" s="164"/>
      <c r="M72" s="164"/>
    </row>
    <row r="73" spans="1:13" ht="13.15" x14ac:dyDescent="0.4">
      <c r="A73" s="159" t="s">
        <v>237</v>
      </c>
      <c r="B73" s="160" t="s">
        <v>238</v>
      </c>
      <c r="C73" s="160">
        <v>2</v>
      </c>
      <c r="D73" s="160" t="s">
        <v>213</v>
      </c>
      <c r="E73" s="151"/>
      <c r="F73" s="159" t="s">
        <v>642</v>
      </c>
      <c r="G73" s="160" t="s">
        <v>643</v>
      </c>
      <c r="H73" s="160">
        <v>2</v>
      </c>
      <c r="I73" s="160" t="s">
        <v>625</v>
      </c>
      <c r="J73" s="151"/>
      <c r="K73" s="161"/>
      <c r="L73" s="160"/>
      <c r="M73" s="160"/>
    </row>
    <row r="74" spans="1:13" ht="13.15" x14ac:dyDescent="0.4">
      <c r="A74" s="163" t="s">
        <v>239</v>
      </c>
      <c r="B74" s="164" t="s">
        <v>240</v>
      </c>
      <c r="C74" s="164">
        <v>2</v>
      </c>
      <c r="D74" s="164" t="s">
        <v>213</v>
      </c>
      <c r="E74" s="151"/>
      <c r="F74" s="163" t="s">
        <v>644</v>
      </c>
      <c r="G74" s="167" t="s">
        <v>645</v>
      </c>
      <c r="H74" s="167">
        <v>1</v>
      </c>
      <c r="I74" s="167"/>
      <c r="J74" s="151"/>
      <c r="K74" s="165"/>
      <c r="L74" s="164"/>
      <c r="M74" s="164"/>
    </row>
    <row r="75" spans="1:13" ht="13.15" x14ac:dyDescent="0.4">
      <c r="A75" s="159" t="s">
        <v>241</v>
      </c>
      <c r="B75" s="160" t="s">
        <v>242</v>
      </c>
      <c r="C75" s="160">
        <v>2</v>
      </c>
      <c r="D75" s="160" t="s">
        <v>213</v>
      </c>
      <c r="E75" s="151"/>
      <c r="F75" s="159" t="s">
        <v>646</v>
      </c>
      <c r="G75" s="160" t="s">
        <v>647</v>
      </c>
      <c r="H75" s="160">
        <v>2</v>
      </c>
      <c r="I75" s="160" t="s">
        <v>645</v>
      </c>
      <c r="J75" s="151"/>
      <c r="K75" s="161"/>
      <c r="L75" s="160"/>
      <c r="M75" s="160"/>
    </row>
    <row r="76" spans="1:13" ht="13.15" x14ac:dyDescent="0.4">
      <c r="A76" s="163" t="s">
        <v>243</v>
      </c>
      <c r="B76" s="164" t="s">
        <v>244</v>
      </c>
      <c r="C76" s="164">
        <v>2</v>
      </c>
      <c r="D76" s="164" t="s">
        <v>213</v>
      </c>
      <c r="E76" s="151"/>
      <c r="F76" s="163" t="s">
        <v>648</v>
      </c>
      <c r="G76" s="164" t="s">
        <v>649</v>
      </c>
      <c r="H76" s="164">
        <v>2</v>
      </c>
      <c r="I76" s="164" t="s">
        <v>645</v>
      </c>
      <c r="J76" s="151"/>
      <c r="K76" s="165"/>
      <c r="L76" s="164"/>
      <c r="M76" s="164"/>
    </row>
    <row r="77" spans="1:13" ht="13.15" x14ac:dyDescent="0.4">
      <c r="A77" s="159" t="s">
        <v>245</v>
      </c>
      <c r="B77" s="160" t="s">
        <v>246</v>
      </c>
      <c r="C77" s="160">
        <v>2</v>
      </c>
      <c r="D77" s="160" t="s">
        <v>213</v>
      </c>
      <c r="E77" s="151"/>
      <c r="F77" s="159" t="s">
        <v>650</v>
      </c>
      <c r="G77" s="160" t="s">
        <v>651</v>
      </c>
      <c r="H77" s="160">
        <v>2</v>
      </c>
      <c r="I77" s="160" t="s">
        <v>645</v>
      </c>
      <c r="J77" s="151"/>
      <c r="K77" s="161"/>
      <c r="L77" s="160"/>
      <c r="M77" s="160"/>
    </row>
    <row r="78" spans="1:13" ht="13.15" x14ac:dyDescent="0.4">
      <c r="A78" s="163" t="s">
        <v>247</v>
      </c>
      <c r="B78" s="164" t="s">
        <v>248</v>
      </c>
      <c r="C78" s="164">
        <v>2</v>
      </c>
      <c r="D78" s="164" t="s">
        <v>213</v>
      </c>
      <c r="E78" s="151"/>
      <c r="F78" s="163" t="s">
        <v>652</v>
      </c>
      <c r="G78" s="164" t="s">
        <v>653</v>
      </c>
      <c r="H78" s="164">
        <v>2</v>
      </c>
      <c r="I78" s="164" t="s">
        <v>645</v>
      </c>
      <c r="J78" s="151"/>
      <c r="K78" s="165"/>
      <c r="L78" s="164"/>
      <c r="M78" s="164"/>
    </row>
    <row r="79" spans="1:13" ht="13.15" x14ac:dyDescent="0.4">
      <c r="A79" s="159" t="s">
        <v>249</v>
      </c>
      <c r="B79" s="160" t="s">
        <v>67</v>
      </c>
      <c r="C79" s="160">
        <v>2</v>
      </c>
      <c r="D79" s="160" t="s">
        <v>213</v>
      </c>
      <c r="E79" s="151"/>
      <c r="F79" s="159" t="s">
        <v>654</v>
      </c>
      <c r="G79" s="160" t="s">
        <v>655</v>
      </c>
      <c r="H79" s="160">
        <v>2</v>
      </c>
      <c r="I79" s="160" t="s">
        <v>645</v>
      </c>
      <c r="J79" s="151"/>
      <c r="K79" s="161"/>
      <c r="L79" s="160"/>
      <c r="M79" s="160"/>
    </row>
    <row r="80" spans="1:13" ht="13.15" x14ac:dyDescent="0.4">
      <c r="A80" s="163" t="s">
        <v>250</v>
      </c>
      <c r="B80" s="164" t="s">
        <v>251</v>
      </c>
      <c r="C80" s="164">
        <v>2</v>
      </c>
      <c r="D80" s="164" t="s">
        <v>213</v>
      </c>
      <c r="E80" s="151"/>
      <c r="F80" s="163" t="s">
        <v>656</v>
      </c>
      <c r="G80" s="164" t="s">
        <v>657</v>
      </c>
      <c r="H80" s="164">
        <v>2</v>
      </c>
      <c r="I80" s="164" t="s">
        <v>645</v>
      </c>
      <c r="J80" s="151"/>
      <c r="K80" s="165"/>
      <c r="L80" s="164"/>
      <c r="M80" s="164"/>
    </row>
    <row r="81" spans="1:13" ht="13.15" x14ac:dyDescent="0.4">
      <c r="A81" s="159" t="s">
        <v>252</v>
      </c>
      <c r="B81" s="160" t="s">
        <v>253</v>
      </c>
      <c r="C81" s="160">
        <v>2</v>
      </c>
      <c r="D81" s="160" t="s">
        <v>213</v>
      </c>
      <c r="E81" s="151"/>
      <c r="F81" s="159" t="s">
        <v>658</v>
      </c>
      <c r="G81" s="160" t="s">
        <v>659</v>
      </c>
      <c r="H81" s="160">
        <v>2</v>
      </c>
      <c r="I81" s="160" t="s">
        <v>645</v>
      </c>
      <c r="J81" s="151"/>
      <c r="K81" s="161"/>
      <c r="L81" s="160"/>
      <c r="M81" s="160"/>
    </row>
    <row r="82" spans="1:13" ht="13.15" x14ac:dyDescent="0.4">
      <c r="A82" s="163" t="s">
        <v>254</v>
      </c>
      <c r="B82" s="164" t="s">
        <v>255</v>
      </c>
      <c r="C82" s="164">
        <v>2</v>
      </c>
      <c r="D82" s="164" t="s">
        <v>213</v>
      </c>
      <c r="E82" s="151"/>
      <c r="F82" s="163" t="s">
        <v>660</v>
      </c>
      <c r="G82" s="164" t="s">
        <v>661</v>
      </c>
      <c r="H82" s="164">
        <v>2</v>
      </c>
      <c r="I82" s="164" t="s">
        <v>645</v>
      </c>
      <c r="J82" s="151"/>
      <c r="K82" s="165"/>
      <c r="L82" s="164"/>
      <c r="M82" s="164"/>
    </row>
    <row r="83" spans="1:13" ht="13.15" x14ac:dyDescent="0.4">
      <c r="A83" s="159" t="s">
        <v>256</v>
      </c>
      <c r="B83" s="160" t="s">
        <v>257</v>
      </c>
      <c r="C83" s="160">
        <v>2</v>
      </c>
      <c r="D83" s="160" t="s">
        <v>213</v>
      </c>
      <c r="E83" s="151"/>
      <c r="F83" s="159" t="s">
        <v>662</v>
      </c>
      <c r="G83" s="160" t="s">
        <v>663</v>
      </c>
      <c r="H83" s="160">
        <v>2</v>
      </c>
      <c r="I83" s="160" t="s">
        <v>645</v>
      </c>
      <c r="J83" s="151"/>
      <c r="K83" s="161"/>
      <c r="L83" s="160"/>
      <c r="M83" s="160"/>
    </row>
    <row r="84" spans="1:13" ht="13.15" x14ac:dyDescent="0.4">
      <c r="A84" s="163" t="s">
        <v>258</v>
      </c>
      <c r="B84" s="167" t="s">
        <v>259</v>
      </c>
      <c r="C84" s="167">
        <v>1</v>
      </c>
      <c r="D84" s="167"/>
      <c r="E84" s="151"/>
      <c r="F84" s="163" t="s">
        <v>664</v>
      </c>
      <c r="G84" s="164" t="s">
        <v>665</v>
      </c>
      <c r="H84" s="164">
        <v>2</v>
      </c>
      <c r="I84" s="164" t="s">
        <v>645</v>
      </c>
      <c r="J84" s="151"/>
      <c r="K84" s="165"/>
      <c r="L84" s="164"/>
      <c r="M84" s="164"/>
    </row>
    <row r="85" spans="1:13" ht="13.15" x14ac:dyDescent="0.4">
      <c r="A85" s="159" t="s">
        <v>260</v>
      </c>
      <c r="B85" s="160" t="s">
        <v>261</v>
      </c>
      <c r="C85" s="160">
        <v>2</v>
      </c>
      <c r="D85" s="160" t="s">
        <v>259</v>
      </c>
      <c r="E85" s="151"/>
      <c r="F85" s="159" t="s">
        <v>666</v>
      </c>
      <c r="G85" s="160" t="s">
        <v>667</v>
      </c>
      <c r="H85" s="160">
        <v>2</v>
      </c>
      <c r="I85" s="160" t="s">
        <v>645</v>
      </c>
      <c r="J85" s="151"/>
      <c r="K85" s="161"/>
      <c r="L85" s="160"/>
      <c r="M85" s="160"/>
    </row>
    <row r="86" spans="1:13" ht="13.15" x14ac:dyDescent="0.4">
      <c r="A86" s="163" t="s">
        <v>262</v>
      </c>
      <c r="B86" s="164" t="s">
        <v>263</v>
      </c>
      <c r="C86" s="164">
        <v>2</v>
      </c>
      <c r="D86" s="164" t="s">
        <v>259</v>
      </c>
      <c r="E86" s="151"/>
      <c r="F86" s="163" t="s">
        <v>668</v>
      </c>
      <c r="G86" s="164" t="s">
        <v>669</v>
      </c>
      <c r="H86" s="164">
        <v>2</v>
      </c>
      <c r="I86" s="164" t="s">
        <v>645</v>
      </c>
      <c r="J86" s="151"/>
      <c r="K86" s="165"/>
      <c r="L86" s="164"/>
      <c r="M86" s="164"/>
    </row>
    <row r="87" spans="1:13" ht="13.15" x14ac:dyDescent="0.4">
      <c r="A87" s="159" t="s">
        <v>264</v>
      </c>
      <c r="B87" s="160" t="s">
        <v>265</v>
      </c>
      <c r="C87" s="160">
        <v>2</v>
      </c>
      <c r="D87" s="160" t="s">
        <v>259</v>
      </c>
      <c r="E87" s="151"/>
      <c r="F87" s="159" t="s">
        <v>670</v>
      </c>
      <c r="G87" s="160" t="s">
        <v>671</v>
      </c>
      <c r="H87" s="160">
        <v>2</v>
      </c>
      <c r="I87" s="160" t="s">
        <v>645</v>
      </c>
      <c r="J87" s="151"/>
      <c r="K87" s="161"/>
      <c r="L87" s="160"/>
      <c r="M87" s="160"/>
    </row>
    <row r="88" spans="1:13" ht="13.15" x14ac:dyDescent="0.4">
      <c r="A88" s="163" t="s">
        <v>266</v>
      </c>
      <c r="B88" s="164" t="s">
        <v>267</v>
      </c>
      <c r="C88" s="164">
        <v>2</v>
      </c>
      <c r="D88" s="164" t="s">
        <v>259</v>
      </c>
      <c r="E88" s="151"/>
      <c r="F88" s="163" t="s">
        <v>672</v>
      </c>
      <c r="G88" s="164" t="s">
        <v>673</v>
      </c>
      <c r="H88" s="164">
        <v>2</v>
      </c>
      <c r="I88" s="164" t="s">
        <v>645</v>
      </c>
      <c r="J88" s="151"/>
      <c r="K88" s="165"/>
      <c r="L88" s="164"/>
      <c r="M88" s="164"/>
    </row>
    <row r="89" spans="1:13" ht="13.15" x14ac:dyDescent="0.4">
      <c r="A89" s="159" t="s">
        <v>268</v>
      </c>
      <c r="B89" s="160" t="s">
        <v>269</v>
      </c>
      <c r="C89" s="160">
        <v>2</v>
      </c>
      <c r="D89" s="160" t="s">
        <v>259</v>
      </c>
      <c r="E89" s="151"/>
      <c r="F89" s="159" t="s">
        <v>674</v>
      </c>
      <c r="G89" s="160" t="s">
        <v>675</v>
      </c>
      <c r="H89" s="160">
        <v>2</v>
      </c>
      <c r="I89" s="160" t="s">
        <v>645</v>
      </c>
      <c r="J89" s="151"/>
      <c r="K89" s="161"/>
      <c r="L89" s="160"/>
      <c r="M89" s="160"/>
    </row>
    <row r="90" spans="1:13" ht="13.15" x14ac:dyDescent="0.4">
      <c r="A90" s="163" t="s">
        <v>270</v>
      </c>
      <c r="B90" s="167" t="s">
        <v>271</v>
      </c>
      <c r="C90" s="167">
        <v>1</v>
      </c>
      <c r="D90" s="167"/>
      <c r="E90" s="151"/>
      <c r="F90" s="163" t="s">
        <v>676</v>
      </c>
      <c r="G90" s="164" t="s">
        <v>677</v>
      </c>
      <c r="H90" s="164">
        <v>2</v>
      </c>
      <c r="I90" s="164" t="s">
        <v>645</v>
      </c>
      <c r="J90" s="151"/>
      <c r="K90" s="165"/>
      <c r="L90" s="164"/>
      <c r="M90" s="164"/>
    </row>
    <row r="91" spans="1:13" ht="13.15" x14ac:dyDescent="0.4">
      <c r="A91" s="159" t="s">
        <v>272</v>
      </c>
      <c r="B91" s="160" t="s">
        <v>273</v>
      </c>
      <c r="C91" s="160">
        <v>2</v>
      </c>
      <c r="D91" s="160" t="s">
        <v>271</v>
      </c>
      <c r="E91" s="151"/>
      <c r="F91" s="159" t="s">
        <v>678</v>
      </c>
      <c r="G91" s="160" t="s">
        <v>679</v>
      </c>
      <c r="H91" s="160">
        <v>2</v>
      </c>
      <c r="I91" s="160" t="s">
        <v>645</v>
      </c>
      <c r="J91" s="151"/>
      <c r="K91" s="161"/>
      <c r="L91" s="160"/>
      <c r="M91" s="160"/>
    </row>
    <row r="92" spans="1:13" ht="13.15" x14ac:dyDescent="0.4">
      <c r="A92" s="163" t="s">
        <v>274</v>
      </c>
      <c r="B92" s="164" t="s">
        <v>275</v>
      </c>
      <c r="C92" s="164">
        <v>2</v>
      </c>
      <c r="D92" s="164" t="s">
        <v>271</v>
      </c>
      <c r="E92" s="151"/>
      <c r="F92" s="163" t="s">
        <v>680</v>
      </c>
      <c r="G92" s="164" t="s">
        <v>681</v>
      </c>
      <c r="H92" s="164">
        <v>2</v>
      </c>
      <c r="I92" s="164" t="s">
        <v>645</v>
      </c>
      <c r="J92" s="151"/>
      <c r="K92" s="165"/>
      <c r="L92" s="164"/>
      <c r="M92" s="164"/>
    </row>
    <row r="93" spans="1:13" ht="13.15" x14ac:dyDescent="0.4">
      <c r="A93" s="159" t="s">
        <v>276</v>
      </c>
      <c r="B93" s="160" t="s">
        <v>277</v>
      </c>
      <c r="C93" s="160">
        <v>2</v>
      </c>
      <c r="D93" s="160" t="s">
        <v>271</v>
      </c>
      <c r="E93" s="151"/>
      <c r="F93" s="159" t="s">
        <v>682</v>
      </c>
      <c r="G93" s="160" t="s">
        <v>683</v>
      </c>
      <c r="H93" s="160">
        <v>2</v>
      </c>
      <c r="I93" s="160" t="s">
        <v>645</v>
      </c>
      <c r="J93" s="151"/>
      <c r="K93" s="161"/>
      <c r="L93" s="160"/>
      <c r="M93" s="160"/>
    </row>
    <row r="94" spans="1:13" ht="13.15" x14ac:dyDescent="0.4">
      <c r="A94" s="163" t="s">
        <v>278</v>
      </c>
      <c r="B94" s="164" t="s">
        <v>279</v>
      </c>
      <c r="C94" s="164">
        <v>2</v>
      </c>
      <c r="D94" s="164" t="s">
        <v>271</v>
      </c>
      <c r="E94" s="151"/>
      <c r="F94" s="163" t="s">
        <v>684</v>
      </c>
      <c r="G94" s="164" t="s">
        <v>685</v>
      </c>
      <c r="H94" s="164">
        <v>2</v>
      </c>
      <c r="I94" s="164" t="s">
        <v>645</v>
      </c>
      <c r="J94" s="151"/>
      <c r="K94" s="165"/>
      <c r="L94" s="164"/>
      <c r="M94" s="164"/>
    </row>
    <row r="95" spans="1:13" ht="13.15" x14ac:dyDescent="0.4">
      <c r="A95" s="159" t="s">
        <v>280</v>
      </c>
      <c r="B95" s="160" t="s">
        <v>281</v>
      </c>
      <c r="C95" s="160">
        <v>2</v>
      </c>
      <c r="D95" s="160" t="s">
        <v>271</v>
      </c>
      <c r="E95" s="151"/>
      <c r="F95" s="159" t="s">
        <v>686</v>
      </c>
      <c r="G95" s="160" t="s">
        <v>687</v>
      </c>
      <c r="H95" s="160">
        <v>2</v>
      </c>
      <c r="I95" s="160" t="s">
        <v>645</v>
      </c>
      <c r="J95" s="151"/>
      <c r="K95" s="161"/>
      <c r="L95" s="160"/>
      <c r="M95" s="160"/>
    </row>
    <row r="96" spans="1:13" ht="13.15" x14ac:dyDescent="0.4">
      <c r="A96" s="163" t="s">
        <v>282</v>
      </c>
      <c r="B96" s="164" t="s">
        <v>283</v>
      </c>
      <c r="C96" s="164">
        <v>2</v>
      </c>
      <c r="D96" s="164" t="s">
        <v>271</v>
      </c>
      <c r="E96" s="151"/>
      <c r="F96" s="163" t="s">
        <v>688</v>
      </c>
      <c r="G96" s="164" t="s">
        <v>689</v>
      </c>
      <c r="H96" s="164">
        <v>2</v>
      </c>
      <c r="I96" s="164" t="s">
        <v>645</v>
      </c>
      <c r="J96" s="151"/>
      <c r="K96" s="165"/>
      <c r="L96" s="164"/>
      <c r="M96" s="164"/>
    </row>
    <row r="97" spans="1:13" ht="13.15" x14ac:dyDescent="0.4">
      <c r="A97" s="159" t="s">
        <v>284</v>
      </c>
      <c r="B97" s="160" t="s">
        <v>285</v>
      </c>
      <c r="C97" s="160">
        <v>2</v>
      </c>
      <c r="D97" s="160" t="s">
        <v>271</v>
      </c>
      <c r="E97" s="151"/>
      <c r="F97" s="159" t="s">
        <v>690</v>
      </c>
      <c r="G97" s="168" t="s">
        <v>691</v>
      </c>
      <c r="H97" s="168">
        <v>1</v>
      </c>
      <c r="I97" s="168"/>
      <c r="J97" s="151"/>
      <c r="K97" s="161"/>
      <c r="L97" s="160"/>
      <c r="M97" s="160"/>
    </row>
    <row r="98" spans="1:13" ht="13.15" x14ac:dyDescent="0.4">
      <c r="A98" s="163" t="s">
        <v>286</v>
      </c>
      <c r="B98" s="164" t="s">
        <v>287</v>
      </c>
      <c r="C98" s="164">
        <v>2</v>
      </c>
      <c r="D98" s="164" t="s">
        <v>271</v>
      </c>
      <c r="E98" s="151"/>
      <c r="F98" s="163" t="s">
        <v>692</v>
      </c>
      <c r="G98" s="164" t="s">
        <v>693</v>
      </c>
      <c r="H98" s="164">
        <v>2</v>
      </c>
      <c r="I98" s="164" t="s">
        <v>691</v>
      </c>
      <c r="J98" s="151"/>
      <c r="K98" s="165"/>
      <c r="L98" s="164"/>
      <c r="M98" s="164"/>
    </row>
    <row r="99" spans="1:13" ht="13.15" x14ac:dyDescent="0.4">
      <c r="A99" s="159" t="s">
        <v>288</v>
      </c>
      <c r="B99" s="160" t="s">
        <v>289</v>
      </c>
      <c r="C99" s="160">
        <v>2</v>
      </c>
      <c r="D99" s="160" t="s">
        <v>271</v>
      </c>
      <c r="E99" s="151"/>
      <c r="F99" s="159" t="s">
        <v>694</v>
      </c>
      <c r="G99" s="160" t="s">
        <v>695</v>
      </c>
      <c r="H99" s="160">
        <v>2</v>
      </c>
      <c r="I99" s="160" t="s">
        <v>691</v>
      </c>
      <c r="J99" s="151"/>
      <c r="K99" s="161"/>
      <c r="L99" s="160"/>
      <c r="M99" s="160"/>
    </row>
    <row r="100" spans="1:13" ht="13.15" x14ac:dyDescent="0.4">
      <c r="A100" s="163" t="s">
        <v>290</v>
      </c>
      <c r="B100" s="167" t="s">
        <v>291</v>
      </c>
      <c r="C100" s="167">
        <v>1</v>
      </c>
      <c r="D100" s="167"/>
      <c r="E100" s="151"/>
      <c r="F100" s="163" t="s">
        <v>696</v>
      </c>
      <c r="G100" s="164" t="s">
        <v>697</v>
      </c>
      <c r="H100" s="164">
        <v>2</v>
      </c>
      <c r="I100" s="164" t="s">
        <v>691</v>
      </c>
      <c r="J100" s="151"/>
      <c r="K100" s="165"/>
      <c r="L100" s="164"/>
      <c r="M100" s="164"/>
    </row>
    <row r="101" spans="1:13" ht="13.15" x14ac:dyDescent="0.4">
      <c r="A101" s="159" t="s">
        <v>292</v>
      </c>
      <c r="B101" s="160" t="s">
        <v>293</v>
      </c>
      <c r="C101" s="160">
        <v>2</v>
      </c>
      <c r="D101" s="160" t="s">
        <v>291</v>
      </c>
      <c r="E101" s="151"/>
      <c r="F101" s="159" t="s">
        <v>698</v>
      </c>
      <c r="G101" s="160" t="s">
        <v>699</v>
      </c>
      <c r="H101" s="160">
        <v>2</v>
      </c>
      <c r="I101" s="160" t="s">
        <v>691</v>
      </c>
      <c r="J101" s="151"/>
      <c r="K101" s="161"/>
      <c r="L101" s="160"/>
      <c r="M101" s="160"/>
    </row>
    <row r="102" spans="1:13" ht="13.15" x14ac:dyDescent="0.4">
      <c r="A102" s="163" t="s">
        <v>294</v>
      </c>
      <c r="B102" s="164" t="s">
        <v>295</v>
      </c>
      <c r="C102" s="164">
        <v>2</v>
      </c>
      <c r="D102" s="164" t="s">
        <v>291</v>
      </c>
      <c r="E102" s="151"/>
      <c r="F102" s="163" t="s">
        <v>700</v>
      </c>
      <c r="G102" s="164" t="s">
        <v>701</v>
      </c>
      <c r="H102" s="164">
        <v>2</v>
      </c>
      <c r="I102" s="164" t="s">
        <v>691</v>
      </c>
      <c r="J102" s="151"/>
      <c r="K102" s="165"/>
      <c r="L102" s="164"/>
      <c r="M102" s="164"/>
    </row>
    <row r="103" spans="1:13" ht="13.15" x14ac:dyDescent="0.4">
      <c r="A103" s="159" t="s">
        <v>296</v>
      </c>
      <c r="B103" s="160" t="s">
        <v>297</v>
      </c>
      <c r="C103" s="160">
        <v>2</v>
      </c>
      <c r="D103" s="160" t="s">
        <v>291</v>
      </c>
      <c r="E103" s="151"/>
      <c r="F103" s="159" t="s">
        <v>702</v>
      </c>
      <c r="G103" s="160" t="s">
        <v>703</v>
      </c>
      <c r="H103" s="160">
        <v>2</v>
      </c>
      <c r="I103" s="160" t="s">
        <v>691</v>
      </c>
      <c r="J103" s="151"/>
      <c r="K103" s="161"/>
      <c r="L103" s="160"/>
      <c r="M103" s="160"/>
    </row>
    <row r="104" spans="1:13" ht="13.15" x14ac:dyDescent="0.4">
      <c r="A104" s="163" t="s">
        <v>298</v>
      </c>
      <c r="B104" s="164" t="s">
        <v>299</v>
      </c>
      <c r="C104" s="164">
        <v>2</v>
      </c>
      <c r="D104" s="164" t="s">
        <v>291</v>
      </c>
      <c r="E104" s="151"/>
      <c r="F104" s="163" t="s">
        <v>704</v>
      </c>
      <c r="G104" s="164" t="s">
        <v>705</v>
      </c>
      <c r="H104" s="164">
        <v>2</v>
      </c>
      <c r="I104" s="164" t="s">
        <v>691</v>
      </c>
      <c r="J104" s="151"/>
      <c r="K104" s="165"/>
      <c r="L104" s="164"/>
      <c r="M104" s="164"/>
    </row>
    <row r="105" spans="1:13" ht="13.15" x14ac:dyDescent="0.4">
      <c r="A105" s="159" t="s">
        <v>300</v>
      </c>
      <c r="B105" s="160" t="s">
        <v>62</v>
      </c>
      <c r="C105" s="160">
        <v>2</v>
      </c>
      <c r="D105" s="160" t="s">
        <v>291</v>
      </c>
      <c r="E105" s="151"/>
      <c r="F105" s="159" t="s">
        <v>706</v>
      </c>
      <c r="G105" s="160" t="s">
        <v>707</v>
      </c>
      <c r="H105" s="160">
        <v>2</v>
      </c>
      <c r="I105" s="160" t="s">
        <v>691</v>
      </c>
      <c r="J105" s="151"/>
      <c r="K105" s="161"/>
      <c r="L105" s="160"/>
      <c r="M105" s="160"/>
    </row>
    <row r="106" spans="1:13" ht="13.15" x14ac:dyDescent="0.4">
      <c r="A106" s="163" t="s">
        <v>301</v>
      </c>
      <c r="B106" s="164" t="s">
        <v>302</v>
      </c>
      <c r="C106" s="164">
        <v>2</v>
      </c>
      <c r="D106" s="164" t="s">
        <v>291</v>
      </c>
      <c r="E106" s="151"/>
      <c r="F106" s="163" t="s">
        <v>708</v>
      </c>
      <c r="G106" s="164" t="s">
        <v>709</v>
      </c>
      <c r="H106" s="164">
        <v>2</v>
      </c>
      <c r="I106" s="164" t="s">
        <v>691</v>
      </c>
      <c r="J106" s="151"/>
      <c r="K106" s="165"/>
      <c r="L106" s="164"/>
      <c r="M106" s="164"/>
    </row>
    <row r="107" spans="1:13" ht="13.15" x14ac:dyDescent="0.4">
      <c r="A107" s="159" t="s">
        <v>303</v>
      </c>
      <c r="B107" s="160" t="s">
        <v>304</v>
      </c>
      <c r="C107" s="160">
        <v>2</v>
      </c>
      <c r="D107" s="160" t="s">
        <v>291</v>
      </c>
      <c r="E107" s="151"/>
      <c r="F107" s="159" t="s">
        <v>710</v>
      </c>
      <c r="G107" s="160" t="s">
        <v>711</v>
      </c>
      <c r="H107" s="160">
        <v>2</v>
      </c>
      <c r="I107" s="160" t="s">
        <v>691</v>
      </c>
      <c r="J107" s="151"/>
      <c r="K107" s="161"/>
      <c r="L107" s="160"/>
      <c r="M107" s="160"/>
    </row>
    <row r="108" spans="1:13" ht="13.15" x14ac:dyDescent="0.4">
      <c r="A108" s="163" t="s">
        <v>305</v>
      </c>
      <c r="B108" s="164" t="s">
        <v>306</v>
      </c>
      <c r="C108" s="164">
        <v>2</v>
      </c>
      <c r="D108" s="164" t="s">
        <v>291</v>
      </c>
      <c r="E108" s="151"/>
      <c r="F108" s="163" t="s">
        <v>712</v>
      </c>
      <c r="G108" s="164" t="s">
        <v>713</v>
      </c>
      <c r="H108" s="164">
        <v>2</v>
      </c>
      <c r="I108" s="164" t="s">
        <v>691</v>
      </c>
      <c r="J108" s="151"/>
      <c r="K108" s="165"/>
      <c r="L108" s="164"/>
      <c r="M108" s="164"/>
    </row>
    <row r="109" spans="1:13" ht="13.15" x14ac:dyDescent="0.4">
      <c r="A109" s="159" t="s">
        <v>307</v>
      </c>
      <c r="B109" s="160" t="s">
        <v>308</v>
      </c>
      <c r="C109" s="160">
        <v>2</v>
      </c>
      <c r="D109" s="160" t="s">
        <v>291</v>
      </c>
      <c r="E109" s="151"/>
      <c r="F109" s="159" t="s">
        <v>714</v>
      </c>
      <c r="G109" s="168" t="s">
        <v>715</v>
      </c>
      <c r="H109" s="168">
        <v>1</v>
      </c>
      <c r="I109" s="168"/>
      <c r="J109" s="151"/>
      <c r="K109" s="161"/>
      <c r="L109" s="160"/>
      <c r="M109" s="160"/>
    </row>
    <row r="110" spans="1:13" ht="13.15" x14ac:dyDescent="0.4">
      <c r="A110" s="163" t="s">
        <v>309</v>
      </c>
      <c r="B110" s="167" t="s">
        <v>310</v>
      </c>
      <c r="C110" s="167">
        <v>1</v>
      </c>
      <c r="D110" s="167"/>
      <c r="E110" s="151"/>
      <c r="F110" s="163" t="s">
        <v>716</v>
      </c>
      <c r="G110" s="164" t="s">
        <v>717</v>
      </c>
      <c r="H110" s="164">
        <v>2</v>
      </c>
      <c r="I110" s="164" t="s">
        <v>715</v>
      </c>
      <c r="J110" s="151"/>
      <c r="K110" s="165"/>
      <c r="L110" s="164"/>
      <c r="M110" s="164"/>
    </row>
    <row r="111" spans="1:13" ht="13.15" x14ac:dyDescent="0.4">
      <c r="A111" s="159" t="s">
        <v>311</v>
      </c>
      <c r="B111" s="160" t="s">
        <v>312</v>
      </c>
      <c r="C111" s="160">
        <v>2</v>
      </c>
      <c r="D111" s="160" t="s">
        <v>310</v>
      </c>
      <c r="E111" s="151"/>
      <c r="F111" s="159" t="s">
        <v>718</v>
      </c>
      <c r="G111" s="160" t="s">
        <v>719</v>
      </c>
      <c r="H111" s="160">
        <v>2</v>
      </c>
      <c r="I111" s="160" t="s">
        <v>715</v>
      </c>
      <c r="J111" s="151"/>
      <c r="K111" s="161"/>
      <c r="L111" s="160"/>
      <c r="M111" s="160"/>
    </row>
    <row r="112" spans="1:13" ht="13.15" x14ac:dyDescent="0.4">
      <c r="A112" s="163" t="s">
        <v>313</v>
      </c>
      <c r="B112" s="164" t="s">
        <v>314</v>
      </c>
      <c r="C112" s="164">
        <v>2</v>
      </c>
      <c r="D112" s="164" t="s">
        <v>310</v>
      </c>
      <c r="E112" s="151"/>
      <c r="F112" s="163" t="s">
        <v>720</v>
      </c>
      <c r="G112" s="164" t="s">
        <v>721</v>
      </c>
      <c r="H112" s="164">
        <v>2</v>
      </c>
      <c r="I112" s="164" t="s">
        <v>715</v>
      </c>
      <c r="J112" s="151"/>
      <c r="K112" s="165"/>
      <c r="L112" s="164"/>
      <c r="M112" s="164"/>
    </row>
    <row r="113" spans="1:13" ht="13.15" x14ac:dyDescent="0.4">
      <c r="A113" s="159" t="s">
        <v>315</v>
      </c>
      <c r="B113" s="160" t="s">
        <v>316</v>
      </c>
      <c r="C113" s="160">
        <v>2</v>
      </c>
      <c r="D113" s="160" t="s">
        <v>310</v>
      </c>
      <c r="E113" s="151"/>
      <c r="F113" s="159" t="s">
        <v>722</v>
      </c>
      <c r="G113" s="160" t="s">
        <v>723</v>
      </c>
      <c r="H113" s="160">
        <v>2</v>
      </c>
      <c r="I113" s="160" t="s">
        <v>715</v>
      </c>
      <c r="J113" s="151"/>
      <c r="K113" s="161"/>
      <c r="L113" s="160"/>
      <c r="M113" s="160"/>
    </row>
    <row r="114" spans="1:13" ht="13.15" x14ac:dyDescent="0.4">
      <c r="A114" s="163" t="s">
        <v>317</v>
      </c>
      <c r="B114" s="164" t="s">
        <v>318</v>
      </c>
      <c r="C114" s="164">
        <v>2</v>
      </c>
      <c r="D114" s="164" t="s">
        <v>310</v>
      </c>
      <c r="E114" s="151"/>
      <c r="F114" s="163" t="s">
        <v>724</v>
      </c>
      <c r="G114" s="164" t="s">
        <v>725</v>
      </c>
      <c r="H114" s="164">
        <v>2</v>
      </c>
      <c r="I114" s="164" t="s">
        <v>715</v>
      </c>
      <c r="J114" s="151"/>
      <c r="K114" s="165"/>
      <c r="L114" s="164"/>
      <c r="M114" s="164"/>
    </row>
    <row r="115" spans="1:13" ht="13.15" x14ac:dyDescent="0.4">
      <c r="A115" s="159" t="s">
        <v>319</v>
      </c>
      <c r="B115" s="160" t="s">
        <v>320</v>
      </c>
      <c r="C115" s="160">
        <v>2</v>
      </c>
      <c r="D115" s="160" t="s">
        <v>310</v>
      </c>
      <c r="E115" s="151"/>
      <c r="F115" s="159" t="s">
        <v>726</v>
      </c>
      <c r="G115" s="160" t="s">
        <v>727</v>
      </c>
      <c r="H115" s="160">
        <v>2</v>
      </c>
      <c r="I115" s="160" t="s">
        <v>715</v>
      </c>
      <c r="J115" s="151"/>
      <c r="K115" s="161"/>
      <c r="L115" s="160"/>
      <c r="M115" s="160"/>
    </row>
    <row r="116" spans="1:13" ht="13.15" x14ac:dyDescent="0.4">
      <c r="A116" s="163" t="s">
        <v>321</v>
      </c>
      <c r="B116" s="164" t="s">
        <v>322</v>
      </c>
      <c r="C116" s="164">
        <v>2</v>
      </c>
      <c r="D116" s="164" t="s">
        <v>310</v>
      </c>
      <c r="E116" s="151"/>
      <c r="F116" s="163" t="s">
        <v>728</v>
      </c>
      <c r="G116" s="164" t="s">
        <v>729</v>
      </c>
      <c r="H116" s="164">
        <v>2</v>
      </c>
      <c r="I116" s="164" t="s">
        <v>715</v>
      </c>
      <c r="J116" s="151"/>
      <c r="K116" s="165"/>
      <c r="L116" s="164"/>
      <c r="M116" s="164"/>
    </row>
    <row r="117" spans="1:13" ht="13.15" x14ac:dyDescent="0.4">
      <c r="A117" s="159" t="s">
        <v>323</v>
      </c>
      <c r="B117" s="160" t="s">
        <v>324</v>
      </c>
      <c r="C117" s="160">
        <v>2</v>
      </c>
      <c r="D117" s="160" t="s">
        <v>310</v>
      </c>
      <c r="E117" s="151"/>
      <c r="F117" s="159" t="s">
        <v>730</v>
      </c>
      <c r="G117" s="160" t="s">
        <v>731</v>
      </c>
      <c r="H117" s="160">
        <v>2</v>
      </c>
      <c r="I117" s="160" t="s">
        <v>715</v>
      </c>
      <c r="J117" s="151"/>
      <c r="K117" s="161"/>
      <c r="L117" s="160"/>
      <c r="M117" s="160"/>
    </row>
    <row r="118" spans="1:13" ht="13.15" x14ac:dyDescent="0.4">
      <c r="A118" s="163" t="s">
        <v>325</v>
      </c>
      <c r="B118" s="164" t="s">
        <v>326</v>
      </c>
      <c r="C118" s="164">
        <v>2</v>
      </c>
      <c r="D118" s="164" t="s">
        <v>310</v>
      </c>
      <c r="E118" s="151"/>
      <c r="F118" s="163" t="s">
        <v>732</v>
      </c>
      <c r="G118" s="164" t="s">
        <v>733</v>
      </c>
      <c r="H118" s="164">
        <v>2</v>
      </c>
      <c r="I118" s="164" t="s">
        <v>715</v>
      </c>
      <c r="J118" s="151"/>
      <c r="K118" s="165"/>
      <c r="L118" s="164"/>
      <c r="M118" s="164"/>
    </row>
    <row r="119" spans="1:13" ht="13.15" x14ac:dyDescent="0.4">
      <c r="A119" s="159" t="s">
        <v>327</v>
      </c>
      <c r="B119" s="168" t="s">
        <v>68</v>
      </c>
      <c r="C119" s="168">
        <v>1</v>
      </c>
      <c r="D119" s="168"/>
      <c r="E119" s="151"/>
      <c r="F119" s="159" t="s">
        <v>734</v>
      </c>
      <c r="G119" s="160" t="s">
        <v>735</v>
      </c>
      <c r="H119" s="160">
        <v>2</v>
      </c>
      <c r="I119" s="160" t="s">
        <v>715</v>
      </c>
      <c r="J119" s="151"/>
      <c r="K119" s="161"/>
      <c r="L119" s="160"/>
      <c r="M119" s="160"/>
    </row>
    <row r="120" spans="1:13" ht="13.15" x14ac:dyDescent="0.4">
      <c r="A120" s="163" t="s">
        <v>328</v>
      </c>
      <c r="B120" s="164" t="s">
        <v>329</v>
      </c>
      <c r="C120" s="164">
        <v>2</v>
      </c>
      <c r="D120" s="164" t="s">
        <v>68</v>
      </c>
      <c r="E120" s="151"/>
      <c r="F120" s="163" t="s">
        <v>736</v>
      </c>
      <c r="G120" s="164" t="s">
        <v>737</v>
      </c>
      <c r="H120" s="164">
        <v>2</v>
      </c>
      <c r="I120" s="164" t="s">
        <v>715</v>
      </c>
      <c r="J120" s="151"/>
      <c r="K120" s="165"/>
      <c r="L120" s="164"/>
      <c r="M120" s="164"/>
    </row>
    <row r="121" spans="1:13" ht="13.15" x14ac:dyDescent="0.4">
      <c r="A121" s="159" t="s">
        <v>330</v>
      </c>
      <c r="B121" s="160" t="s">
        <v>331</v>
      </c>
      <c r="C121" s="160">
        <v>2</v>
      </c>
      <c r="D121" s="160" t="s">
        <v>68</v>
      </c>
      <c r="E121" s="151"/>
      <c r="F121" s="159" t="s">
        <v>738</v>
      </c>
      <c r="G121" s="160" t="s">
        <v>739</v>
      </c>
      <c r="H121" s="160">
        <v>2</v>
      </c>
      <c r="I121" s="160" t="s">
        <v>715</v>
      </c>
      <c r="J121" s="151"/>
      <c r="K121" s="161"/>
      <c r="L121" s="160"/>
      <c r="M121" s="160"/>
    </row>
    <row r="122" spans="1:13" ht="13.15" x14ac:dyDescent="0.4">
      <c r="A122" s="163" t="s">
        <v>332</v>
      </c>
      <c r="B122" s="164" t="s">
        <v>333</v>
      </c>
      <c r="C122" s="164">
        <v>2</v>
      </c>
      <c r="D122" s="164" t="s">
        <v>68</v>
      </c>
      <c r="E122" s="151"/>
      <c r="F122" s="163" t="s">
        <v>740</v>
      </c>
      <c r="G122" s="164" t="s">
        <v>741</v>
      </c>
      <c r="H122" s="164">
        <v>2</v>
      </c>
      <c r="I122" s="164" t="s">
        <v>715</v>
      </c>
      <c r="J122" s="151"/>
      <c r="K122" s="165"/>
      <c r="L122" s="164"/>
      <c r="M122" s="164"/>
    </row>
    <row r="123" spans="1:13" ht="13.15" x14ac:dyDescent="0.4">
      <c r="A123" s="159" t="s">
        <v>334</v>
      </c>
      <c r="B123" s="160" t="s">
        <v>335</v>
      </c>
      <c r="C123" s="160">
        <v>2</v>
      </c>
      <c r="D123" s="160" t="s">
        <v>68</v>
      </c>
      <c r="E123" s="151"/>
      <c r="F123" s="159" t="s">
        <v>742</v>
      </c>
      <c r="G123" s="160" t="s">
        <v>743</v>
      </c>
      <c r="H123" s="160">
        <v>2</v>
      </c>
      <c r="I123" s="160" t="s">
        <v>715</v>
      </c>
      <c r="J123" s="151"/>
      <c r="K123" s="161"/>
      <c r="L123" s="160"/>
      <c r="M123" s="160"/>
    </row>
    <row r="124" spans="1:13" ht="13.15" x14ac:dyDescent="0.4">
      <c r="A124" s="163" t="s">
        <v>336</v>
      </c>
      <c r="B124" s="164" t="s">
        <v>45</v>
      </c>
      <c r="C124" s="164">
        <v>2</v>
      </c>
      <c r="D124" s="164" t="s">
        <v>68</v>
      </c>
      <c r="E124" s="151"/>
      <c r="F124" s="163" t="s">
        <v>744</v>
      </c>
      <c r="G124" s="164" t="s">
        <v>745</v>
      </c>
      <c r="H124" s="164">
        <v>2</v>
      </c>
      <c r="I124" s="164" t="s">
        <v>715</v>
      </c>
      <c r="J124" s="151"/>
      <c r="K124" s="165"/>
      <c r="L124" s="164"/>
      <c r="M124" s="164"/>
    </row>
    <row r="125" spans="1:13" ht="13.15" x14ac:dyDescent="0.4">
      <c r="A125" s="159" t="s">
        <v>337</v>
      </c>
      <c r="B125" s="160" t="s">
        <v>338</v>
      </c>
      <c r="C125" s="160">
        <v>2</v>
      </c>
      <c r="D125" s="160" t="s">
        <v>68</v>
      </c>
      <c r="E125" s="151"/>
      <c r="F125" s="159" t="s">
        <v>746</v>
      </c>
      <c r="G125" s="160" t="s">
        <v>747</v>
      </c>
      <c r="H125" s="160">
        <v>2</v>
      </c>
      <c r="I125" s="160" t="s">
        <v>715</v>
      </c>
      <c r="J125" s="151"/>
      <c r="K125" s="161"/>
      <c r="L125" s="160"/>
      <c r="M125" s="160"/>
    </row>
    <row r="126" spans="1:13" ht="13.15" x14ac:dyDescent="0.4">
      <c r="A126" s="163" t="s">
        <v>339</v>
      </c>
      <c r="B126" s="164" t="s">
        <v>340</v>
      </c>
      <c r="C126" s="164">
        <v>2</v>
      </c>
      <c r="D126" s="164" t="s">
        <v>68</v>
      </c>
      <c r="E126" s="151"/>
      <c r="F126" s="163" t="s">
        <v>748</v>
      </c>
      <c r="G126" s="164" t="s">
        <v>749</v>
      </c>
      <c r="H126" s="164">
        <v>2</v>
      </c>
      <c r="I126" s="164" t="s">
        <v>715</v>
      </c>
      <c r="J126" s="151"/>
      <c r="K126" s="165"/>
      <c r="L126" s="164"/>
      <c r="M126" s="164"/>
    </row>
    <row r="127" spans="1:13" ht="13.15" x14ac:dyDescent="0.4">
      <c r="A127" s="159" t="s">
        <v>341</v>
      </c>
      <c r="B127" s="160" t="s">
        <v>342</v>
      </c>
      <c r="C127" s="160">
        <v>2</v>
      </c>
      <c r="D127" s="160" t="s">
        <v>68</v>
      </c>
      <c r="E127" s="151"/>
      <c r="F127" s="159" t="s">
        <v>750</v>
      </c>
      <c r="G127" s="160" t="s">
        <v>751</v>
      </c>
      <c r="H127" s="160">
        <v>2</v>
      </c>
      <c r="I127" s="160" t="s">
        <v>715</v>
      </c>
      <c r="J127" s="151"/>
      <c r="K127" s="161"/>
      <c r="L127" s="160"/>
      <c r="M127" s="160"/>
    </row>
    <row r="128" spans="1:13" ht="13.15" x14ac:dyDescent="0.4">
      <c r="A128" s="163" t="s">
        <v>343</v>
      </c>
      <c r="B128" s="167" t="s">
        <v>344</v>
      </c>
      <c r="C128" s="167">
        <v>1</v>
      </c>
      <c r="D128" s="167"/>
      <c r="E128" s="151"/>
      <c r="F128" s="163" t="s">
        <v>752</v>
      </c>
      <c r="G128" s="164" t="s">
        <v>753</v>
      </c>
      <c r="H128" s="164">
        <v>2</v>
      </c>
      <c r="I128" s="164" t="s">
        <v>715</v>
      </c>
      <c r="J128" s="151"/>
      <c r="K128" s="165"/>
      <c r="L128" s="164"/>
      <c r="M128" s="164"/>
    </row>
    <row r="129" spans="1:13" ht="13.15" x14ac:dyDescent="0.4">
      <c r="A129" s="159" t="s">
        <v>345</v>
      </c>
      <c r="B129" s="160" t="s">
        <v>346</v>
      </c>
      <c r="C129" s="160">
        <v>2</v>
      </c>
      <c r="D129" s="160" t="s">
        <v>344</v>
      </c>
      <c r="E129" s="151"/>
      <c r="F129" s="159" t="s">
        <v>754</v>
      </c>
      <c r="G129" s="160" t="s">
        <v>755</v>
      </c>
      <c r="H129" s="160">
        <v>2</v>
      </c>
      <c r="I129" s="160" t="s">
        <v>715</v>
      </c>
      <c r="J129" s="151"/>
      <c r="K129" s="161"/>
      <c r="L129" s="160"/>
      <c r="M129" s="160"/>
    </row>
    <row r="130" spans="1:13" ht="13.15" x14ac:dyDescent="0.4">
      <c r="A130" s="163" t="s">
        <v>347</v>
      </c>
      <c r="B130" s="164" t="s">
        <v>348</v>
      </c>
      <c r="C130" s="164">
        <v>2</v>
      </c>
      <c r="D130" s="164" t="s">
        <v>344</v>
      </c>
      <c r="E130" s="151"/>
      <c r="F130" s="163" t="s">
        <v>756</v>
      </c>
      <c r="G130" s="164" t="s">
        <v>757</v>
      </c>
      <c r="H130" s="164">
        <v>2</v>
      </c>
      <c r="I130" s="164" t="s">
        <v>715</v>
      </c>
      <c r="J130" s="151"/>
      <c r="K130" s="165"/>
      <c r="L130" s="164"/>
      <c r="M130" s="164"/>
    </row>
    <row r="131" spans="1:13" ht="13.15" x14ac:dyDescent="0.4">
      <c r="A131" s="159" t="s">
        <v>349</v>
      </c>
      <c r="B131" s="160" t="s">
        <v>350</v>
      </c>
      <c r="C131" s="160">
        <v>2</v>
      </c>
      <c r="D131" s="160" t="s">
        <v>344</v>
      </c>
      <c r="E131" s="151"/>
      <c r="F131" s="159" t="s">
        <v>758</v>
      </c>
      <c r="G131" s="160" t="s">
        <v>759</v>
      </c>
      <c r="H131" s="160">
        <v>2</v>
      </c>
      <c r="I131" s="160" t="s">
        <v>715</v>
      </c>
      <c r="J131" s="151"/>
      <c r="K131" s="161"/>
      <c r="L131" s="160"/>
      <c r="M131" s="160"/>
    </row>
    <row r="132" spans="1:13" ht="13.15" x14ac:dyDescent="0.4">
      <c r="A132" s="163" t="s">
        <v>351</v>
      </c>
      <c r="B132" s="164" t="s">
        <v>352</v>
      </c>
      <c r="C132" s="164">
        <v>2</v>
      </c>
      <c r="D132" s="164" t="s">
        <v>344</v>
      </c>
      <c r="E132" s="151"/>
      <c r="F132" s="163" t="s">
        <v>760</v>
      </c>
      <c r="G132" s="164" t="s">
        <v>761</v>
      </c>
      <c r="H132" s="164">
        <v>2</v>
      </c>
      <c r="I132" s="164" t="s">
        <v>715</v>
      </c>
      <c r="J132" s="151"/>
      <c r="K132" s="165"/>
      <c r="L132" s="164"/>
      <c r="M132" s="164"/>
    </row>
    <row r="133" spans="1:13" ht="13.15" x14ac:dyDescent="0.4">
      <c r="A133" s="159" t="s">
        <v>353</v>
      </c>
      <c r="B133" s="160" t="s">
        <v>354</v>
      </c>
      <c r="C133" s="160">
        <v>2</v>
      </c>
      <c r="D133" s="160" t="s">
        <v>344</v>
      </c>
      <c r="E133" s="151"/>
      <c r="F133" s="159" t="s">
        <v>762</v>
      </c>
      <c r="G133" s="160" t="s">
        <v>763</v>
      </c>
      <c r="H133" s="160">
        <v>2</v>
      </c>
      <c r="I133" s="160" t="s">
        <v>715</v>
      </c>
      <c r="J133" s="151"/>
      <c r="K133" s="161"/>
      <c r="L133" s="160"/>
      <c r="M133" s="160"/>
    </row>
    <row r="134" spans="1:13" ht="13.15" x14ac:dyDescent="0.4">
      <c r="A134" s="163" t="s">
        <v>355</v>
      </c>
      <c r="B134" s="167" t="s">
        <v>356</v>
      </c>
      <c r="C134" s="167">
        <v>1</v>
      </c>
      <c r="D134" s="167"/>
      <c r="E134" s="151"/>
      <c r="F134" s="163" t="s">
        <v>764</v>
      </c>
      <c r="G134" s="164" t="s">
        <v>765</v>
      </c>
      <c r="H134" s="164">
        <v>2</v>
      </c>
      <c r="I134" s="164" t="s">
        <v>715</v>
      </c>
      <c r="J134" s="151"/>
      <c r="K134" s="165"/>
      <c r="L134" s="164"/>
      <c r="M134" s="164"/>
    </row>
    <row r="135" spans="1:13" ht="13.15" x14ac:dyDescent="0.4">
      <c r="A135" s="159" t="s">
        <v>357</v>
      </c>
      <c r="B135" s="160" t="s">
        <v>358</v>
      </c>
      <c r="C135" s="160">
        <v>2</v>
      </c>
      <c r="D135" s="160" t="s">
        <v>356</v>
      </c>
      <c r="E135" s="151"/>
      <c r="F135" s="159" t="s">
        <v>766</v>
      </c>
      <c r="G135" s="160" t="s">
        <v>767</v>
      </c>
      <c r="H135" s="160">
        <v>2</v>
      </c>
      <c r="I135" s="160" t="s">
        <v>715</v>
      </c>
      <c r="J135" s="151"/>
      <c r="K135" s="161"/>
      <c r="L135" s="160"/>
      <c r="M135" s="160"/>
    </row>
    <row r="136" spans="1:13" ht="13.15" x14ac:dyDescent="0.4">
      <c r="A136" s="163" t="s">
        <v>359</v>
      </c>
      <c r="B136" s="164" t="s">
        <v>360</v>
      </c>
      <c r="C136" s="164">
        <v>2</v>
      </c>
      <c r="D136" s="164" t="s">
        <v>356</v>
      </c>
      <c r="E136" s="151"/>
      <c r="F136" s="163" t="s">
        <v>768</v>
      </c>
      <c r="G136" s="164" t="s">
        <v>769</v>
      </c>
      <c r="H136" s="164">
        <v>2</v>
      </c>
      <c r="I136" s="164" t="s">
        <v>715</v>
      </c>
      <c r="J136" s="151"/>
      <c r="K136" s="165"/>
      <c r="L136" s="164"/>
      <c r="M136" s="164"/>
    </row>
    <row r="137" spans="1:13" ht="13.15" x14ac:dyDescent="0.4">
      <c r="A137" s="159" t="s">
        <v>361</v>
      </c>
      <c r="B137" s="160" t="s">
        <v>362</v>
      </c>
      <c r="C137" s="160">
        <v>2</v>
      </c>
      <c r="D137" s="160" t="s">
        <v>356</v>
      </c>
      <c r="E137" s="151"/>
      <c r="F137" s="159" t="s">
        <v>770</v>
      </c>
      <c r="G137" s="168" t="s">
        <v>771</v>
      </c>
      <c r="H137" s="168">
        <v>1</v>
      </c>
      <c r="I137" s="168"/>
      <c r="J137" s="151"/>
      <c r="K137" s="161"/>
      <c r="L137" s="160"/>
      <c r="M137" s="160"/>
    </row>
    <row r="138" spans="1:13" ht="13.15" x14ac:dyDescent="0.4">
      <c r="A138" s="163" t="s">
        <v>363</v>
      </c>
      <c r="B138" s="164" t="s">
        <v>364</v>
      </c>
      <c r="C138" s="164">
        <v>2</v>
      </c>
      <c r="D138" s="164" t="s">
        <v>356</v>
      </c>
      <c r="E138" s="151"/>
      <c r="F138" s="163" t="s">
        <v>772</v>
      </c>
      <c r="G138" s="164" t="s">
        <v>773</v>
      </c>
      <c r="H138" s="164">
        <v>2</v>
      </c>
      <c r="I138" s="164" t="s">
        <v>771</v>
      </c>
      <c r="J138" s="151"/>
      <c r="K138" s="165"/>
      <c r="L138" s="164"/>
      <c r="M138" s="164"/>
    </row>
    <row r="139" spans="1:13" ht="13.15" x14ac:dyDescent="0.4">
      <c r="A139" s="159" t="s">
        <v>365</v>
      </c>
      <c r="B139" s="160" t="s">
        <v>366</v>
      </c>
      <c r="C139" s="160">
        <v>2</v>
      </c>
      <c r="D139" s="160" t="s">
        <v>356</v>
      </c>
      <c r="E139" s="151"/>
      <c r="F139" s="159" t="s">
        <v>774</v>
      </c>
      <c r="G139" s="160" t="s">
        <v>775</v>
      </c>
      <c r="H139" s="160">
        <v>2</v>
      </c>
      <c r="I139" s="160" t="s">
        <v>771</v>
      </c>
      <c r="J139" s="151"/>
      <c r="K139" s="161"/>
      <c r="L139" s="160"/>
      <c r="M139" s="160"/>
    </row>
    <row r="140" spans="1:13" ht="13.15" x14ac:dyDescent="0.4">
      <c r="A140" s="163" t="s">
        <v>367</v>
      </c>
      <c r="B140" s="164" t="s">
        <v>368</v>
      </c>
      <c r="C140" s="164">
        <v>2</v>
      </c>
      <c r="D140" s="164" t="s">
        <v>356</v>
      </c>
      <c r="E140" s="151"/>
      <c r="F140" s="163" t="s">
        <v>776</v>
      </c>
      <c r="G140" s="164" t="s">
        <v>777</v>
      </c>
      <c r="H140" s="164">
        <v>2</v>
      </c>
      <c r="I140" s="164" t="s">
        <v>771</v>
      </c>
      <c r="J140" s="151"/>
      <c r="K140" s="165"/>
      <c r="L140" s="164"/>
      <c r="M140" s="164"/>
    </row>
    <row r="141" spans="1:13" ht="13.15" x14ac:dyDescent="0.4">
      <c r="A141" s="159" t="s">
        <v>369</v>
      </c>
      <c r="B141" s="160" t="s">
        <v>370</v>
      </c>
      <c r="C141" s="160">
        <v>2</v>
      </c>
      <c r="D141" s="160" t="s">
        <v>356</v>
      </c>
      <c r="E141" s="151"/>
      <c r="F141" s="159" t="s">
        <v>778</v>
      </c>
      <c r="G141" s="160" t="s">
        <v>779</v>
      </c>
      <c r="H141" s="160">
        <v>2</v>
      </c>
      <c r="I141" s="160" t="s">
        <v>771</v>
      </c>
      <c r="J141" s="151"/>
      <c r="K141" s="161"/>
      <c r="L141" s="160"/>
      <c r="M141" s="160"/>
    </row>
    <row r="142" spans="1:13" ht="13.15" x14ac:dyDescent="0.4">
      <c r="A142" s="163" t="s">
        <v>371</v>
      </c>
      <c r="B142" s="164" t="s">
        <v>372</v>
      </c>
      <c r="C142" s="164">
        <v>2</v>
      </c>
      <c r="D142" s="164" t="s">
        <v>356</v>
      </c>
      <c r="E142" s="151"/>
      <c r="F142" s="163" t="s">
        <v>780</v>
      </c>
      <c r="G142" s="164" t="s">
        <v>781</v>
      </c>
      <c r="H142" s="164">
        <v>2</v>
      </c>
      <c r="I142" s="164" t="s">
        <v>771</v>
      </c>
      <c r="J142" s="151"/>
      <c r="K142" s="165"/>
      <c r="L142" s="164"/>
      <c r="M142" s="164"/>
    </row>
    <row r="143" spans="1:13" ht="13.15" x14ac:dyDescent="0.4">
      <c r="A143" s="159" t="s">
        <v>373</v>
      </c>
      <c r="B143" s="160" t="s">
        <v>374</v>
      </c>
      <c r="C143" s="160">
        <v>2</v>
      </c>
      <c r="D143" s="160" t="s">
        <v>356</v>
      </c>
      <c r="E143" s="151"/>
      <c r="F143" s="159" t="s">
        <v>782</v>
      </c>
      <c r="G143" s="160" t="s">
        <v>783</v>
      </c>
      <c r="H143" s="160">
        <v>2</v>
      </c>
      <c r="I143" s="160" t="s">
        <v>771</v>
      </c>
      <c r="J143" s="151"/>
      <c r="K143" s="161"/>
      <c r="L143" s="160"/>
      <c r="M143" s="160"/>
    </row>
    <row r="144" spans="1:13" ht="13.15" x14ac:dyDescent="0.4">
      <c r="A144" s="163" t="s">
        <v>375</v>
      </c>
      <c r="B144" s="164" t="s">
        <v>376</v>
      </c>
      <c r="C144" s="164">
        <v>2</v>
      </c>
      <c r="D144" s="164" t="s">
        <v>356</v>
      </c>
      <c r="E144" s="151"/>
      <c r="F144" s="163" t="s">
        <v>784</v>
      </c>
      <c r="G144" s="164" t="s">
        <v>785</v>
      </c>
      <c r="H144" s="164">
        <v>2</v>
      </c>
      <c r="I144" s="164" t="s">
        <v>771</v>
      </c>
      <c r="J144" s="151"/>
      <c r="K144" s="165"/>
      <c r="L144" s="164"/>
      <c r="M144" s="164"/>
    </row>
    <row r="145" spans="1:13" ht="13.15" x14ac:dyDescent="0.4">
      <c r="A145" s="159" t="s">
        <v>377</v>
      </c>
      <c r="B145" s="160" t="s">
        <v>378</v>
      </c>
      <c r="C145" s="160">
        <v>2</v>
      </c>
      <c r="D145" s="160" t="s">
        <v>356</v>
      </c>
      <c r="E145" s="151"/>
      <c r="F145" s="159" t="s">
        <v>786</v>
      </c>
      <c r="G145" s="160" t="s">
        <v>787</v>
      </c>
      <c r="H145" s="160">
        <v>2</v>
      </c>
      <c r="I145" s="160" t="s">
        <v>771</v>
      </c>
      <c r="J145" s="151"/>
      <c r="K145" s="161"/>
      <c r="L145" s="160"/>
      <c r="M145" s="160"/>
    </row>
    <row r="146" spans="1:13" ht="13.15" x14ac:dyDescent="0.4">
      <c r="A146" s="163" t="s">
        <v>379</v>
      </c>
      <c r="B146" s="164" t="s">
        <v>380</v>
      </c>
      <c r="C146" s="164">
        <v>2</v>
      </c>
      <c r="D146" s="164" t="s">
        <v>356</v>
      </c>
      <c r="E146" s="151"/>
      <c r="F146" s="163" t="s">
        <v>788</v>
      </c>
      <c r="G146" s="164" t="s">
        <v>789</v>
      </c>
      <c r="H146" s="164">
        <v>2</v>
      </c>
      <c r="I146" s="164" t="s">
        <v>771</v>
      </c>
      <c r="J146" s="151"/>
      <c r="K146" s="165"/>
      <c r="L146" s="164"/>
      <c r="M146" s="164"/>
    </row>
    <row r="147" spans="1:13" ht="13.15" x14ac:dyDescent="0.4">
      <c r="A147" s="159" t="s">
        <v>381</v>
      </c>
      <c r="B147" s="160" t="s">
        <v>382</v>
      </c>
      <c r="C147" s="160">
        <v>2</v>
      </c>
      <c r="D147" s="160" t="s">
        <v>356</v>
      </c>
      <c r="E147" s="151"/>
      <c r="F147" s="159" t="s">
        <v>790</v>
      </c>
      <c r="G147" s="160" t="s">
        <v>791</v>
      </c>
      <c r="H147" s="160">
        <v>2</v>
      </c>
      <c r="I147" s="160" t="s">
        <v>771</v>
      </c>
      <c r="J147" s="151"/>
      <c r="K147" s="161"/>
      <c r="L147" s="160"/>
      <c r="M147" s="160"/>
    </row>
    <row r="148" spans="1:13" ht="13.15" x14ac:dyDescent="0.4">
      <c r="A148" s="163" t="s">
        <v>383</v>
      </c>
      <c r="B148" s="164" t="s">
        <v>384</v>
      </c>
      <c r="C148" s="164">
        <v>2</v>
      </c>
      <c r="D148" s="164" t="s">
        <v>356</v>
      </c>
      <c r="E148" s="151"/>
      <c r="F148" s="163" t="s">
        <v>792</v>
      </c>
      <c r="G148" s="164" t="s">
        <v>793</v>
      </c>
      <c r="H148" s="164">
        <v>2</v>
      </c>
      <c r="I148" s="164" t="s">
        <v>771</v>
      </c>
      <c r="J148" s="151"/>
      <c r="K148" s="165"/>
      <c r="L148" s="164"/>
      <c r="M148" s="164"/>
    </row>
    <row r="149" spans="1:13" ht="13.15" x14ac:dyDescent="0.4">
      <c r="A149" s="159" t="s">
        <v>385</v>
      </c>
      <c r="B149" s="160" t="s">
        <v>386</v>
      </c>
      <c r="C149" s="160">
        <v>2</v>
      </c>
      <c r="D149" s="160" t="s">
        <v>356</v>
      </c>
      <c r="E149" s="151"/>
      <c r="F149" s="159" t="s">
        <v>794</v>
      </c>
      <c r="G149" s="160" t="s">
        <v>795</v>
      </c>
      <c r="H149" s="160">
        <v>2</v>
      </c>
      <c r="I149" s="160" t="s">
        <v>771</v>
      </c>
      <c r="J149" s="151"/>
      <c r="K149" s="161"/>
      <c r="L149" s="160"/>
      <c r="M149" s="160"/>
    </row>
    <row r="150" spans="1:13" ht="13.15" x14ac:dyDescent="0.4">
      <c r="A150" s="163" t="s">
        <v>387</v>
      </c>
      <c r="B150" s="167" t="s">
        <v>388</v>
      </c>
      <c r="C150" s="167">
        <v>1</v>
      </c>
      <c r="D150" s="167"/>
      <c r="E150" s="151"/>
      <c r="F150" s="163" t="s">
        <v>796</v>
      </c>
      <c r="G150" s="164" t="s">
        <v>797</v>
      </c>
      <c r="H150" s="164">
        <v>2</v>
      </c>
      <c r="I150" s="164" t="s">
        <v>771</v>
      </c>
      <c r="J150" s="151"/>
      <c r="K150" s="165"/>
      <c r="L150" s="164"/>
      <c r="M150" s="164"/>
    </row>
    <row r="151" spans="1:13" ht="13.15" x14ac:dyDescent="0.4">
      <c r="A151" s="159" t="s">
        <v>389</v>
      </c>
      <c r="B151" s="160" t="s">
        <v>66</v>
      </c>
      <c r="C151" s="160">
        <v>2</v>
      </c>
      <c r="D151" s="160" t="s">
        <v>388</v>
      </c>
      <c r="E151" s="151"/>
      <c r="F151" s="159" t="s">
        <v>798</v>
      </c>
      <c r="G151" s="160" t="s">
        <v>799</v>
      </c>
      <c r="H151" s="160">
        <v>2</v>
      </c>
      <c r="I151" s="160" t="s">
        <v>771</v>
      </c>
      <c r="J151" s="151"/>
      <c r="K151" s="161"/>
      <c r="L151" s="160"/>
      <c r="M151" s="160"/>
    </row>
    <row r="152" spans="1:13" ht="13.15" x14ac:dyDescent="0.4">
      <c r="A152" s="163" t="s">
        <v>390</v>
      </c>
      <c r="B152" s="164" t="s">
        <v>391</v>
      </c>
      <c r="C152" s="164">
        <v>2</v>
      </c>
      <c r="D152" s="164" t="s">
        <v>388</v>
      </c>
      <c r="E152" s="151"/>
      <c r="F152" s="163" t="s">
        <v>800</v>
      </c>
      <c r="G152" s="164" t="s">
        <v>801</v>
      </c>
      <c r="H152" s="164">
        <v>2</v>
      </c>
      <c r="I152" s="164" t="s">
        <v>771</v>
      </c>
      <c r="J152" s="151"/>
      <c r="K152" s="165"/>
      <c r="L152" s="164"/>
      <c r="M152" s="164"/>
    </row>
    <row r="153" spans="1:13" ht="13.15" x14ac:dyDescent="0.4">
      <c r="A153" s="159" t="s">
        <v>392</v>
      </c>
      <c r="B153" s="160" t="s">
        <v>393</v>
      </c>
      <c r="C153" s="160">
        <v>2</v>
      </c>
      <c r="D153" s="160" t="s">
        <v>388</v>
      </c>
      <c r="E153" s="151"/>
      <c r="F153" s="159" t="s">
        <v>802</v>
      </c>
      <c r="G153" s="160" t="s">
        <v>803</v>
      </c>
      <c r="H153" s="160">
        <v>2</v>
      </c>
      <c r="I153" s="160" t="s">
        <v>771</v>
      </c>
      <c r="J153" s="151"/>
      <c r="K153" s="161"/>
      <c r="L153" s="160"/>
      <c r="M153" s="160"/>
    </row>
    <row r="154" spans="1:13" ht="13.15" x14ac:dyDescent="0.4">
      <c r="A154" s="163" t="s">
        <v>394</v>
      </c>
      <c r="B154" s="167" t="s">
        <v>395</v>
      </c>
      <c r="C154" s="167">
        <v>1</v>
      </c>
      <c r="D154" s="167"/>
      <c r="E154" s="151"/>
      <c r="F154" s="163" t="s">
        <v>804</v>
      </c>
      <c r="G154" s="164" t="s">
        <v>805</v>
      </c>
      <c r="H154" s="164">
        <v>2</v>
      </c>
      <c r="I154" s="164" t="s">
        <v>771</v>
      </c>
      <c r="J154" s="151"/>
      <c r="K154" s="165"/>
      <c r="L154" s="164"/>
      <c r="M154" s="164"/>
    </row>
    <row r="155" spans="1:13" ht="13.15" x14ac:dyDescent="0.4">
      <c r="A155" s="159" t="s">
        <v>396</v>
      </c>
      <c r="B155" s="160" t="s">
        <v>397</v>
      </c>
      <c r="C155" s="160">
        <v>2</v>
      </c>
      <c r="D155" s="160" t="s">
        <v>395</v>
      </c>
      <c r="E155" s="151"/>
      <c r="F155" s="159" t="s">
        <v>806</v>
      </c>
      <c r="G155" s="160" t="s">
        <v>807</v>
      </c>
      <c r="H155" s="160">
        <v>2</v>
      </c>
      <c r="I155" s="160" t="s">
        <v>771</v>
      </c>
      <c r="J155" s="151"/>
      <c r="K155" s="161"/>
      <c r="L155" s="160"/>
      <c r="M155" s="160"/>
    </row>
    <row r="156" spans="1:13" ht="13.15" x14ac:dyDescent="0.4">
      <c r="A156" s="163" t="s">
        <v>398</v>
      </c>
      <c r="B156" s="164" t="s">
        <v>399</v>
      </c>
      <c r="C156" s="164">
        <v>2</v>
      </c>
      <c r="D156" s="164" t="s">
        <v>395</v>
      </c>
      <c r="E156" s="151"/>
      <c r="F156" s="163" t="s">
        <v>808</v>
      </c>
      <c r="G156" s="164" t="s">
        <v>809</v>
      </c>
      <c r="H156" s="164">
        <v>2</v>
      </c>
      <c r="I156" s="164" t="s">
        <v>771</v>
      </c>
      <c r="J156" s="151"/>
      <c r="K156" s="165"/>
      <c r="L156" s="164"/>
      <c r="M156" s="164"/>
    </row>
    <row r="157" spans="1:13" ht="13.15" x14ac:dyDescent="0.4">
      <c r="A157" s="159" t="s">
        <v>400</v>
      </c>
      <c r="B157" s="160" t="s">
        <v>401</v>
      </c>
      <c r="C157" s="160">
        <v>2</v>
      </c>
      <c r="D157" s="160" t="s">
        <v>395</v>
      </c>
      <c r="E157" s="151"/>
      <c r="F157" s="159" t="s">
        <v>810</v>
      </c>
      <c r="G157" s="160" t="s">
        <v>811</v>
      </c>
      <c r="H157" s="160">
        <v>2</v>
      </c>
      <c r="I157" s="160" t="s">
        <v>771</v>
      </c>
      <c r="J157" s="151"/>
      <c r="K157" s="161"/>
      <c r="L157" s="160"/>
      <c r="M157" s="160"/>
    </row>
    <row r="158" spans="1:13" ht="13.15" x14ac:dyDescent="0.4">
      <c r="A158" s="163" t="s">
        <v>402</v>
      </c>
      <c r="B158" s="164" t="s">
        <v>403</v>
      </c>
      <c r="C158" s="164">
        <v>2</v>
      </c>
      <c r="D158" s="164" t="s">
        <v>395</v>
      </c>
      <c r="E158" s="151"/>
      <c r="F158" s="163" t="s">
        <v>812</v>
      </c>
      <c r="G158" s="164" t="s">
        <v>813</v>
      </c>
      <c r="H158" s="164">
        <v>2</v>
      </c>
      <c r="I158" s="164" t="s">
        <v>771</v>
      </c>
      <c r="J158" s="151"/>
      <c r="K158" s="165"/>
      <c r="L158" s="164"/>
      <c r="M158" s="164"/>
    </row>
    <row r="159" spans="1:13" ht="13.15" x14ac:dyDescent="0.4">
      <c r="A159" s="159" t="s">
        <v>404</v>
      </c>
      <c r="B159" s="160" t="s">
        <v>405</v>
      </c>
      <c r="C159" s="160">
        <v>2</v>
      </c>
      <c r="D159" s="160" t="s">
        <v>395</v>
      </c>
      <c r="E159" s="151"/>
      <c r="F159" s="159" t="s">
        <v>814</v>
      </c>
      <c r="G159" s="160" t="s">
        <v>815</v>
      </c>
      <c r="H159" s="160">
        <v>2</v>
      </c>
      <c r="I159" s="160" t="s">
        <v>771</v>
      </c>
      <c r="J159" s="151"/>
      <c r="K159" s="161"/>
      <c r="L159" s="160"/>
      <c r="M159" s="160"/>
    </row>
    <row r="160" spans="1:13" ht="13.15" x14ac:dyDescent="0.4">
      <c r="A160" s="163" t="s">
        <v>406</v>
      </c>
      <c r="B160" s="164" t="s">
        <v>407</v>
      </c>
      <c r="C160" s="164">
        <v>2</v>
      </c>
      <c r="D160" s="164" t="s">
        <v>395</v>
      </c>
      <c r="E160" s="151"/>
      <c r="F160" s="163" t="s">
        <v>816</v>
      </c>
      <c r="G160" s="164" t="s">
        <v>817</v>
      </c>
      <c r="H160" s="164">
        <v>2</v>
      </c>
      <c r="I160" s="164" t="s">
        <v>771</v>
      </c>
      <c r="J160" s="151"/>
      <c r="K160" s="165"/>
      <c r="L160" s="164"/>
      <c r="M160" s="164"/>
    </row>
    <row r="161" spans="1:13" ht="13.15" x14ac:dyDescent="0.4">
      <c r="A161" s="159" t="s">
        <v>408</v>
      </c>
      <c r="B161" s="160" t="s">
        <v>409</v>
      </c>
      <c r="C161" s="160">
        <v>2</v>
      </c>
      <c r="D161" s="160" t="s">
        <v>395</v>
      </c>
      <c r="E161" s="151"/>
      <c r="F161" s="159" t="s">
        <v>818</v>
      </c>
      <c r="G161" s="160" t="s">
        <v>819</v>
      </c>
      <c r="H161" s="160">
        <v>2</v>
      </c>
      <c r="I161" s="160" t="s">
        <v>771</v>
      </c>
      <c r="J161" s="151"/>
      <c r="K161" s="161"/>
      <c r="L161" s="160"/>
      <c r="M161" s="160"/>
    </row>
    <row r="162" spans="1:13" ht="13.15" x14ac:dyDescent="0.4">
      <c r="A162" s="163" t="s">
        <v>410</v>
      </c>
      <c r="B162" s="167" t="s">
        <v>411</v>
      </c>
      <c r="C162" s="167">
        <v>1</v>
      </c>
      <c r="D162" s="167"/>
      <c r="E162" s="151"/>
      <c r="F162" s="163" t="s">
        <v>820</v>
      </c>
      <c r="G162" s="164" t="s">
        <v>821</v>
      </c>
      <c r="H162" s="164">
        <v>2</v>
      </c>
      <c r="I162" s="164" t="s">
        <v>771</v>
      </c>
      <c r="J162" s="151"/>
      <c r="K162" s="165"/>
      <c r="L162" s="164"/>
      <c r="M162" s="164"/>
    </row>
    <row r="163" spans="1:13" ht="13.15" x14ac:dyDescent="0.4">
      <c r="A163" s="159" t="s">
        <v>412</v>
      </c>
      <c r="B163" s="160" t="s">
        <v>413</v>
      </c>
      <c r="C163" s="160">
        <v>2</v>
      </c>
      <c r="D163" s="160" t="s">
        <v>411</v>
      </c>
      <c r="E163" s="151"/>
      <c r="F163" s="159" t="s">
        <v>822</v>
      </c>
      <c r="G163" s="160" t="s">
        <v>823</v>
      </c>
      <c r="H163" s="160">
        <v>2</v>
      </c>
      <c r="I163" s="160" t="s">
        <v>771</v>
      </c>
      <c r="J163" s="151"/>
      <c r="K163" s="161"/>
      <c r="L163" s="160"/>
      <c r="M163" s="160"/>
    </row>
    <row r="164" spans="1:13" ht="13.15" x14ac:dyDescent="0.4">
      <c r="A164" s="163" t="s">
        <v>414</v>
      </c>
      <c r="B164" s="164" t="s">
        <v>415</v>
      </c>
      <c r="C164" s="164">
        <v>2</v>
      </c>
      <c r="D164" s="164" t="s">
        <v>411</v>
      </c>
      <c r="E164" s="151"/>
      <c r="F164" s="163" t="s">
        <v>824</v>
      </c>
      <c r="G164" s="164" t="s">
        <v>825</v>
      </c>
      <c r="H164" s="164">
        <v>2</v>
      </c>
      <c r="I164" s="164" t="s">
        <v>771</v>
      </c>
      <c r="J164" s="151"/>
      <c r="K164" s="165"/>
      <c r="L164" s="164"/>
      <c r="M164" s="164"/>
    </row>
    <row r="165" spans="1:13" ht="13.15" x14ac:dyDescent="0.4">
      <c r="A165" s="159" t="s">
        <v>416</v>
      </c>
      <c r="B165" s="160" t="s">
        <v>417</v>
      </c>
      <c r="C165" s="160">
        <v>2</v>
      </c>
      <c r="D165" s="160" t="s">
        <v>411</v>
      </c>
      <c r="E165" s="151"/>
      <c r="F165" s="159" t="s">
        <v>826</v>
      </c>
      <c r="G165" s="160" t="s">
        <v>827</v>
      </c>
      <c r="H165" s="160">
        <v>2</v>
      </c>
      <c r="I165" s="160" t="s">
        <v>771</v>
      </c>
      <c r="J165" s="151"/>
      <c r="K165" s="161"/>
      <c r="L165" s="160"/>
      <c r="M165" s="160"/>
    </row>
    <row r="166" spans="1:13" ht="13.15" x14ac:dyDescent="0.4">
      <c r="A166" s="163" t="s">
        <v>418</v>
      </c>
      <c r="B166" s="164" t="s">
        <v>419</v>
      </c>
      <c r="C166" s="164">
        <v>2</v>
      </c>
      <c r="D166" s="164" t="s">
        <v>411</v>
      </c>
      <c r="E166" s="151"/>
      <c r="F166" s="163" t="s">
        <v>828</v>
      </c>
      <c r="G166" s="164" t="s">
        <v>829</v>
      </c>
      <c r="H166" s="164">
        <v>2</v>
      </c>
      <c r="I166" s="164" t="s">
        <v>771</v>
      </c>
      <c r="J166" s="151"/>
      <c r="K166" s="165"/>
      <c r="L166" s="164"/>
      <c r="M166" s="164"/>
    </row>
    <row r="167" spans="1:13" ht="13.15" x14ac:dyDescent="0.4">
      <c r="A167" s="159" t="s">
        <v>420</v>
      </c>
      <c r="B167" s="168" t="s">
        <v>421</v>
      </c>
      <c r="C167" s="168">
        <v>1</v>
      </c>
      <c r="D167" s="168"/>
      <c r="E167" s="151"/>
      <c r="F167" s="159" t="s">
        <v>830</v>
      </c>
      <c r="G167" s="160" t="s">
        <v>831</v>
      </c>
      <c r="H167" s="160">
        <v>2</v>
      </c>
      <c r="I167" s="160" t="s">
        <v>771</v>
      </c>
      <c r="J167" s="151"/>
      <c r="K167" s="161"/>
      <c r="L167" s="160"/>
      <c r="M167" s="160"/>
    </row>
    <row r="168" spans="1:13" ht="13.15" x14ac:dyDescent="0.4">
      <c r="A168" s="163" t="s">
        <v>422</v>
      </c>
      <c r="B168" s="164" t="s">
        <v>52</v>
      </c>
      <c r="C168" s="164">
        <v>2</v>
      </c>
      <c r="D168" s="164" t="s">
        <v>421</v>
      </c>
      <c r="E168" s="151"/>
      <c r="F168" s="163" t="s">
        <v>832</v>
      </c>
      <c r="G168" s="164" t="s">
        <v>833</v>
      </c>
      <c r="H168" s="164">
        <v>2</v>
      </c>
      <c r="I168" s="164" t="s">
        <v>771</v>
      </c>
      <c r="J168" s="151"/>
      <c r="K168" s="165"/>
      <c r="L168" s="164"/>
      <c r="M168" s="164"/>
    </row>
    <row r="169" spans="1:13" ht="13.15" x14ac:dyDescent="0.4">
      <c r="A169" s="159" t="s">
        <v>423</v>
      </c>
      <c r="B169" s="160" t="s">
        <v>424</v>
      </c>
      <c r="C169" s="160">
        <v>2</v>
      </c>
      <c r="D169" s="160" t="s">
        <v>421</v>
      </c>
      <c r="E169" s="151"/>
      <c r="F169" s="159" t="s">
        <v>834</v>
      </c>
      <c r="G169" s="160" t="s">
        <v>835</v>
      </c>
      <c r="H169" s="160">
        <v>2</v>
      </c>
      <c r="I169" s="160" t="s">
        <v>771</v>
      </c>
      <c r="J169" s="151"/>
      <c r="K169" s="161"/>
      <c r="L169" s="160"/>
      <c r="M169" s="160"/>
    </row>
    <row r="170" spans="1:13" ht="13.15" x14ac:dyDescent="0.4">
      <c r="A170" s="163" t="s">
        <v>425</v>
      </c>
      <c r="B170" s="164" t="s">
        <v>426</v>
      </c>
      <c r="C170" s="164">
        <v>2</v>
      </c>
      <c r="D170" s="164" t="s">
        <v>421</v>
      </c>
      <c r="E170" s="151"/>
      <c r="F170" s="163" t="s">
        <v>836</v>
      </c>
      <c r="G170" s="164" t="s">
        <v>837</v>
      </c>
      <c r="H170" s="164">
        <v>2</v>
      </c>
      <c r="I170" s="164" t="s">
        <v>771</v>
      </c>
      <c r="J170" s="151"/>
      <c r="K170" s="165"/>
      <c r="L170" s="164"/>
      <c r="M170" s="164"/>
    </row>
    <row r="171" spans="1:13" ht="13.15" x14ac:dyDescent="0.4">
      <c r="A171" s="159" t="s">
        <v>427</v>
      </c>
      <c r="B171" s="160" t="s">
        <v>428</v>
      </c>
      <c r="C171" s="160">
        <v>2</v>
      </c>
      <c r="D171" s="160" t="s">
        <v>421</v>
      </c>
      <c r="E171" s="151"/>
      <c r="F171" s="159" t="s">
        <v>838</v>
      </c>
      <c r="G171" s="160" t="s">
        <v>839</v>
      </c>
      <c r="H171" s="160">
        <v>2</v>
      </c>
      <c r="I171" s="160" t="s">
        <v>771</v>
      </c>
      <c r="J171" s="151"/>
      <c r="K171" s="161"/>
      <c r="L171" s="160"/>
      <c r="M171" s="160"/>
    </row>
    <row r="172" spans="1:13" ht="13.15" x14ac:dyDescent="0.4">
      <c r="A172" s="163" t="s">
        <v>429</v>
      </c>
      <c r="B172" s="167" t="s">
        <v>430</v>
      </c>
      <c r="C172" s="167">
        <v>1</v>
      </c>
      <c r="D172" s="167"/>
      <c r="E172" s="151"/>
      <c r="F172" s="163" t="s">
        <v>840</v>
      </c>
      <c r="G172" s="164" t="s">
        <v>841</v>
      </c>
      <c r="H172" s="164">
        <v>2</v>
      </c>
      <c r="I172" s="164" t="s">
        <v>771</v>
      </c>
      <c r="J172" s="151"/>
      <c r="K172" s="165"/>
      <c r="L172" s="164"/>
      <c r="M172" s="164"/>
    </row>
    <row r="173" spans="1:13" ht="13.15" x14ac:dyDescent="0.4">
      <c r="A173" s="159" t="s">
        <v>431</v>
      </c>
      <c r="B173" s="160" t="s">
        <v>432</v>
      </c>
      <c r="C173" s="160">
        <v>2</v>
      </c>
      <c r="D173" s="160" t="s">
        <v>430</v>
      </c>
      <c r="E173" s="151"/>
      <c r="F173" s="159" t="s">
        <v>842</v>
      </c>
      <c r="G173" s="160" t="s">
        <v>843</v>
      </c>
      <c r="H173" s="160">
        <v>2</v>
      </c>
      <c r="I173" s="160" t="s">
        <v>771</v>
      </c>
      <c r="J173" s="151"/>
      <c r="K173" s="161"/>
      <c r="L173" s="160"/>
      <c r="M173" s="160"/>
    </row>
    <row r="174" spans="1:13" ht="13.15" x14ac:dyDescent="0.4">
      <c r="A174" s="163" t="s">
        <v>433</v>
      </c>
      <c r="B174" s="164" t="s">
        <v>434</v>
      </c>
      <c r="C174" s="164">
        <v>2</v>
      </c>
      <c r="D174" s="164" t="s">
        <v>430</v>
      </c>
      <c r="E174" s="151"/>
      <c r="F174" s="163" t="s">
        <v>844</v>
      </c>
      <c r="G174" s="164" t="s">
        <v>845</v>
      </c>
      <c r="H174" s="164">
        <v>2</v>
      </c>
      <c r="I174" s="164" t="s">
        <v>771</v>
      </c>
      <c r="J174" s="151"/>
      <c r="K174" s="165"/>
      <c r="L174" s="164"/>
      <c r="M174" s="164"/>
    </row>
    <row r="175" spans="1:13" ht="13.15" x14ac:dyDescent="0.4">
      <c r="A175" s="159" t="s">
        <v>435</v>
      </c>
      <c r="B175" s="160" t="s">
        <v>436</v>
      </c>
      <c r="C175" s="160">
        <v>2</v>
      </c>
      <c r="D175" s="160" t="s">
        <v>430</v>
      </c>
      <c r="E175" s="151"/>
      <c r="F175" s="159" t="s">
        <v>846</v>
      </c>
      <c r="G175" s="160" t="s">
        <v>847</v>
      </c>
      <c r="H175" s="160">
        <v>2</v>
      </c>
      <c r="I175" s="160" t="s">
        <v>771</v>
      </c>
      <c r="J175" s="151"/>
      <c r="K175" s="161"/>
      <c r="L175" s="160"/>
      <c r="M175" s="160"/>
    </row>
    <row r="176" spans="1:13" ht="13.15" x14ac:dyDescent="0.4">
      <c r="A176" s="163" t="s">
        <v>437</v>
      </c>
      <c r="B176" s="164" t="s">
        <v>438</v>
      </c>
      <c r="C176" s="164">
        <v>2</v>
      </c>
      <c r="D176" s="164" t="s">
        <v>430</v>
      </c>
      <c r="E176" s="151"/>
      <c r="F176" s="163" t="s">
        <v>848</v>
      </c>
      <c r="G176" s="164" t="s">
        <v>849</v>
      </c>
      <c r="H176" s="164">
        <v>2</v>
      </c>
      <c r="I176" s="164" t="s">
        <v>771</v>
      </c>
      <c r="J176" s="151"/>
      <c r="K176" s="165"/>
      <c r="L176" s="164"/>
      <c r="M176" s="164"/>
    </row>
    <row r="177" spans="1:13" ht="13.15" x14ac:dyDescent="0.4">
      <c r="A177" s="159" t="s">
        <v>439</v>
      </c>
      <c r="B177" s="160" t="s">
        <v>440</v>
      </c>
      <c r="C177" s="160">
        <v>2</v>
      </c>
      <c r="D177" s="160" t="s">
        <v>430</v>
      </c>
      <c r="E177" s="151"/>
      <c r="F177" s="159" t="s">
        <v>850</v>
      </c>
      <c r="G177" s="160" t="s">
        <v>851</v>
      </c>
      <c r="H177" s="160">
        <v>2</v>
      </c>
      <c r="I177" s="160" t="s">
        <v>771</v>
      </c>
      <c r="J177" s="151"/>
      <c r="K177" s="161"/>
      <c r="L177" s="160"/>
      <c r="M177" s="160"/>
    </row>
    <row r="178" spans="1:13" ht="13.15" x14ac:dyDescent="0.4">
      <c r="A178" s="163" t="s">
        <v>441</v>
      </c>
      <c r="B178" s="164" t="s">
        <v>442</v>
      </c>
      <c r="C178" s="164">
        <v>2</v>
      </c>
      <c r="D178" s="164" t="s">
        <v>430</v>
      </c>
      <c r="E178" s="151"/>
      <c r="F178" s="163" t="s">
        <v>852</v>
      </c>
      <c r="G178" s="167" t="s">
        <v>853</v>
      </c>
      <c r="H178" s="167">
        <v>1</v>
      </c>
      <c r="I178" s="167"/>
      <c r="J178" s="151"/>
      <c r="K178" s="165"/>
      <c r="L178" s="164"/>
      <c r="M178" s="164"/>
    </row>
    <row r="179" spans="1:13" ht="13.15" x14ac:dyDescent="0.4">
      <c r="A179" s="159" t="s">
        <v>443</v>
      </c>
      <c r="B179" s="160" t="s">
        <v>444</v>
      </c>
      <c r="C179" s="160">
        <v>2</v>
      </c>
      <c r="D179" s="160" t="s">
        <v>430</v>
      </c>
      <c r="E179" s="151"/>
      <c r="F179" s="159" t="s">
        <v>854</v>
      </c>
      <c r="G179" s="160" t="s">
        <v>855</v>
      </c>
      <c r="H179" s="160">
        <v>2</v>
      </c>
      <c r="I179" s="160" t="s">
        <v>853</v>
      </c>
      <c r="J179" s="151"/>
      <c r="K179" s="161"/>
      <c r="L179" s="160"/>
      <c r="M179" s="160"/>
    </row>
    <row r="180" spans="1:13" ht="13.15" x14ac:dyDescent="0.4">
      <c r="A180" s="163" t="s">
        <v>445</v>
      </c>
      <c r="B180" s="164" t="s">
        <v>446</v>
      </c>
      <c r="C180" s="164">
        <v>2</v>
      </c>
      <c r="D180" s="164" t="s">
        <v>430</v>
      </c>
      <c r="E180" s="151"/>
      <c r="F180" s="163" t="s">
        <v>856</v>
      </c>
      <c r="G180" s="164" t="s">
        <v>857</v>
      </c>
      <c r="H180" s="164">
        <v>2</v>
      </c>
      <c r="I180" s="164" t="s">
        <v>853</v>
      </c>
      <c r="J180" s="151"/>
      <c r="K180" s="165"/>
      <c r="L180" s="164"/>
      <c r="M180" s="164"/>
    </row>
    <row r="181" spans="1:13" ht="13.15" x14ac:dyDescent="0.4">
      <c r="A181" s="159" t="s">
        <v>447</v>
      </c>
      <c r="B181" s="160" t="s">
        <v>448</v>
      </c>
      <c r="C181" s="160">
        <v>2</v>
      </c>
      <c r="D181" s="160" t="s">
        <v>430</v>
      </c>
      <c r="E181" s="151"/>
      <c r="F181" s="159" t="s">
        <v>858</v>
      </c>
      <c r="G181" s="160" t="s">
        <v>859</v>
      </c>
      <c r="H181" s="160">
        <v>2</v>
      </c>
      <c r="I181" s="160" t="s">
        <v>853</v>
      </c>
      <c r="J181" s="151"/>
      <c r="K181" s="161"/>
      <c r="L181" s="160"/>
      <c r="M181" s="160"/>
    </row>
    <row r="182" spans="1:13" ht="13.15" x14ac:dyDescent="0.4">
      <c r="A182" s="163" t="s">
        <v>449</v>
      </c>
      <c r="B182" s="164" t="s">
        <v>58</v>
      </c>
      <c r="C182" s="164">
        <v>2</v>
      </c>
      <c r="D182" s="164" t="s">
        <v>430</v>
      </c>
      <c r="E182" s="151"/>
      <c r="F182" s="163" t="s">
        <v>860</v>
      </c>
      <c r="G182" s="164" t="s">
        <v>861</v>
      </c>
      <c r="H182" s="164">
        <v>2</v>
      </c>
      <c r="I182" s="164" t="s">
        <v>853</v>
      </c>
      <c r="J182" s="151"/>
      <c r="K182" s="165"/>
      <c r="L182" s="164"/>
      <c r="M182" s="164"/>
    </row>
    <row r="183" spans="1:13" ht="13.15" x14ac:dyDescent="0.4">
      <c r="A183" s="159" t="s">
        <v>450</v>
      </c>
      <c r="B183" s="168" t="s">
        <v>451</v>
      </c>
      <c r="C183" s="168">
        <v>1</v>
      </c>
      <c r="D183" s="168"/>
      <c r="E183" s="151"/>
      <c r="F183" s="159" t="s">
        <v>862</v>
      </c>
      <c r="G183" s="160" t="s">
        <v>863</v>
      </c>
      <c r="H183" s="160">
        <v>2</v>
      </c>
      <c r="I183" s="160" t="s">
        <v>853</v>
      </c>
      <c r="J183" s="151"/>
      <c r="K183" s="161"/>
      <c r="L183" s="160"/>
      <c r="M183" s="160"/>
    </row>
    <row r="184" spans="1:13" ht="13.15" x14ac:dyDescent="0.4">
      <c r="A184" s="163" t="s">
        <v>452</v>
      </c>
      <c r="B184" s="164" t="s">
        <v>453</v>
      </c>
      <c r="C184" s="164">
        <v>2</v>
      </c>
      <c r="D184" s="164" t="s">
        <v>451</v>
      </c>
      <c r="E184" s="151"/>
      <c r="F184" s="163" t="s">
        <v>864</v>
      </c>
      <c r="G184" s="164" t="s">
        <v>865</v>
      </c>
      <c r="H184" s="164">
        <v>2</v>
      </c>
      <c r="I184" s="164" t="s">
        <v>853</v>
      </c>
      <c r="J184" s="151"/>
      <c r="K184" s="165"/>
      <c r="L184" s="164"/>
      <c r="M184" s="164"/>
    </row>
    <row r="185" spans="1:13" ht="13.15" x14ac:dyDescent="0.4">
      <c r="A185" s="159" t="s">
        <v>454</v>
      </c>
      <c r="B185" s="168" t="s">
        <v>455</v>
      </c>
      <c r="C185" s="168">
        <v>1</v>
      </c>
      <c r="D185" s="168"/>
      <c r="E185" s="151"/>
      <c r="F185" s="159" t="s">
        <v>866</v>
      </c>
      <c r="G185" s="160" t="s">
        <v>867</v>
      </c>
      <c r="H185" s="160">
        <v>2</v>
      </c>
      <c r="I185" s="160" t="s">
        <v>853</v>
      </c>
      <c r="J185" s="151"/>
      <c r="K185" s="161"/>
      <c r="L185" s="160"/>
      <c r="M185" s="160"/>
    </row>
    <row r="186" spans="1:13" ht="13.15" x14ac:dyDescent="0.4">
      <c r="A186" s="163" t="s">
        <v>456</v>
      </c>
      <c r="B186" s="164" t="s">
        <v>59</v>
      </c>
      <c r="C186" s="164">
        <v>2</v>
      </c>
      <c r="D186" s="164" t="s">
        <v>455</v>
      </c>
      <c r="E186" s="151"/>
      <c r="F186" s="163" t="s">
        <v>868</v>
      </c>
      <c r="G186" s="164" t="s">
        <v>869</v>
      </c>
      <c r="H186" s="164">
        <v>2</v>
      </c>
      <c r="I186" s="164" t="s">
        <v>853</v>
      </c>
      <c r="J186" s="151"/>
      <c r="K186" s="165"/>
      <c r="L186" s="164"/>
      <c r="M186" s="164"/>
    </row>
    <row r="187" spans="1:13" ht="13.15" x14ac:dyDescent="0.4">
      <c r="A187" s="159" t="s">
        <v>457</v>
      </c>
      <c r="B187" s="160" t="s">
        <v>458</v>
      </c>
      <c r="C187" s="160">
        <v>2</v>
      </c>
      <c r="D187" s="160" t="s">
        <v>455</v>
      </c>
      <c r="E187" s="151"/>
      <c r="F187" s="159" t="s">
        <v>870</v>
      </c>
      <c r="G187" s="160" t="s">
        <v>871</v>
      </c>
      <c r="H187" s="160">
        <v>2</v>
      </c>
      <c r="I187" s="160" t="s">
        <v>853</v>
      </c>
      <c r="J187" s="151"/>
      <c r="K187" s="161"/>
      <c r="L187" s="160"/>
      <c r="M187" s="160"/>
    </row>
    <row r="188" spans="1:13" ht="13.15" x14ac:dyDescent="0.4">
      <c r="A188" s="163" t="s">
        <v>459</v>
      </c>
      <c r="B188" s="164" t="s">
        <v>460</v>
      </c>
      <c r="C188" s="164">
        <v>2</v>
      </c>
      <c r="D188" s="164" t="s">
        <v>455</v>
      </c>
      <c r="E188" s="151"/>
      <c r="F188" s="163" t="s">
        <v>872</v>
      </c>
      <c r="G188" s="164" t="s">
        <v>873</v>
      </c>
      <c r="H188" s="164">
        <v>2</v>
      </c>
      <c r="I188" s="164" t="s">
        <v>853</v>
      </c>
      <c r="J188" s="151"/>
      <c r="K188" s="165"/>
      <c r="L188" s="164"/>
      <c r="M188" s="164"/>
    </row>
    <row r="189" spans="1:13" ht="13.15" x14ac:dyDescent="0.4">
      <c r="A189" s="159" t="s">
        <v>461</v>
      </c>
      <c r="B189" s="160" t="s">
        <v>462</v>
      </c>
      <c r="C189" s="160">
        <v>2</v>
      </c>
      <c r="D189" s="160" t="s">
        <v>455</v>
      </c>
      <c r="E189" s="151"/>
      <c r="F189" s="159" t="s">
        <v>874</v>
      </c>
      <c r="G189" s="160" t="s">
        <v>875</v>
      </c>
      <c r="H189" s="160">
        <v>2</v>
      </c>
      <c r="I189" s="160" t="s">
        <v>853</v>
      </c>
      <c r="J189" s="151"/>
      <c r="K189" s="161"/>
      <c r="L189" s="160"/>
      <c r="M189" s="160"/>
    </row>
    <row r="190" spans="1:13" ht="13.15" x14ac:dyDescent="0.4">
      <c r="A190" s="163" t="s">
        <v>463</v>
      </c>
      <c r="B190" s="164" t="s">
        <v>464</v>
      </c>
      <c r="C190" s="164">
        <v>2</v>
      </c>
      <c r="D190" s="164" t="s">
        <v>455</v>
      </c>
      <c r="E190" s="151"/>
      <c r="F190" s="163" t="s">
        <v>876</v>
      </c>
      <c r="G190" s="164" t="s">
        <v>877</v>
      </c>
      <c r="H190" s="164">
        <v>2</v>
      </c>
      <c r="I190" s="164" t="s">
        <v>853</v>
      </c>
      <c r="J190" s="151"/>
      <c r="K190" s="165"/>
      <c r="L190" s="164"/>
      <c r="M190" s="164"/>
    </row>
    <row r="191" spans="1:13" ht="13.15" x14ac:dyDescent="0.4">
      <c r="A191" s="159" t="s">
        <v>465</v>
      </c>
      <c r="B191" s="168" t="s">
        <v>466</v>
      </c>
      <c r="C191" s="168">
        <v>1</v>
      </c>
      <c r="D191" s="168"/>
      <c r="E191" s="151"/>
      <c r="F191" s="159" t="s">
        <v>878</v>
      </c>
      <c r="G191" s="168" t="s">
        <v>879</v>
      </c>
      <c r="H191" s="168">
        <v>1</v>
      </c>
      <c r="I191" s="168"/>
      <c r="J191" s="151"/>
      <c r="K191" s="161"/>
      <c r="L191" s="160"/>
      <c r="M191" s="160"/>
    </row>
    <row r="192" spans="1:13" ht="13.15" x14ac:dyDescent="0.4">
      <c r="A192" s="163" t="s">
        <v>467</v>
      </c>
      <c r="B192" s="164" t="s">
        <v>468</v>
      </c>
      <c r="C192" s="164">
        <v>2</v>
      </c>
      <c r="D192" s="164" t="s">
        <v>466</v>
      </c>
      <c r="E192" s="151"/>
      <c r="F192" s="163" t="s">
        <v>880</v>
      </c>
      <c r="G192" s="164" t="s">
        <v>881</v>
      </c>
      <c r="H192" s="164">
        <v>2</v>
      </c>
      <c r="I192" s="164" t="s">
        <v>879</v>
      </c>
      <c r="J192" s="151"/>
      <c r="K192" s="165"/>
      <c r="L192" s="164"/>
      <c r="M192" s="164"/>
    </row>
    <row r="193" spans="1:13" ht="13.15" x14ac:dyDescent="0.4">
      <c r="A193" s="159" t="s">
        <v>469</v>
      </c>
      <c r="B193" s="160" t="s">
        <v>470</v>
      </c>
      <c r="C193" s="160">
        <v>2</v>
      </c>
      <c r="D193" s="160" t="s">
        <v>466</v>
      </c>
      <c r="E193" s="151"/>
      <c r="F193" s="159" t="s">
        <v>882</v>
      </c>
      <c r="G193" s="160" t="s">
        <v>883</v>
      </c>
      <c r="H193" s="160">
        <v>2</v>
      </c>
      <c r="I193" s="160" t="s">
        <v>879</v>
      </c>
      <c r="J193" s="151"/>
      <c r="K193" s="161"/>
      <c r="L193" s="160"/>
      <c r="M193" s="160"/>
    </row>
    <row r="194" spans="1:13" ht="13.15" x14ac:dyDescent="0.4">
      <c r="A194" s="163" t="s">
        <v>471</v>
      </c>
      <c r="B194" s="164" t="s">
        <v>472</v>
      </c>
      <c r="C194" s="164">
        <v>2</v>
      </c>
      <c r="D194" s="164" t="s">
        <v>466</v>
      </c>
      <c r="E194" s="151"/>
      <c r="F194" s="163" t="s">
        <v>884</v>
      </c>
      <c r="G194" s="164" t="s">
        <v>885</v>
      </c>
      <c r="H194" s="164">
        <v>2</v>
      </c>
      <c r="I194" s="164" t="s">
        <v>879</v>
      </c>
      <c r="J194" s="151"/>
      <c r="K194" s="165"/>
      <c r="L194" s="164"/>
      <c r="M194" s="164"/>
    </row>
    <row r="195" spans="1:13" ht="13.15" x14ac:dyDescent="0.4">
      <c r="A195" s="159" t="s">
        <v>473</v>
      </c>
      <c r="B195" s="160" t="s">
        <v>474</v>
      </c>
      <c r="C195" s="160">
        <v>2</v>
      </c>
      <c r="D195" s="160" t="s">
        <v>466</v>
      </c>
      <c r="E195" s="151"/>
      <c r="F195" s="159" t="s">
        <v>886</v>
      </c>
      <c r="G195" s="160" t="s">
        <v>887</v>
      </c>
      <c r="H195" s="160">
        <v>2</v>
      </c>
      <c r="I195" s="160" t="s">
        <v>879</v>
      </c>
      <c r="J195" s="151"/>
      <c r="K195" s="161"/>
      <c r="L195" s="160"/>
      <c r="M195" s="160"/>
    </row>
    <row r="196" spans="1:13" ht="13.15" x14ac:dyDescent="0.4">
      <c r="A196" s="163" t="s">
        <v>475</v>
      </c>
      <c r="B196" s="164" t="s">
        <v>476</v>
      </c>
      <c r="C196" s="164">
        <v>2</v>
      </c>
      <c r="D196" s="164" t="s">
        <v>466</v>
      </c>
      <c r="E196" s="151"/>
      <c r="F196" s="163" t="s">
        <v>888</v>
      </c>
      <c r="G196" s="164" t="s">
        <v>889</v>
      </c>
      <c r="H196" s="164">
        <v>2</v>
      </c>
      <c r="I196" s="164" t="s">
        <v>879</v>
      </c>
      <c r="J196" s="151"/>
      <c r="K196" s="165"/>
      <c r="L196" s="164"/>
      <c r="M196" s="164"/>
    </row>
    <row r="197" spans="1:13" ht="13.15" x14ac:dyDescent="0.4">
      <c r="A197" s="159" t="s">
        <v>477</v>
      </c>
      <c r="B197" s="160" t="s">
        <v>478</v>
      </c>
      <c r="C197" s="160">
        <v>2</v>
      </c>
      <c r="D197" s="160" t="s">
        <v>466</v>
      </c>
      <c r="E197" s="151"/>
      <c r="F197" s="159" t="s">
        <v>890</v>
      </c>
      <c r="G197" s="160" t="s">
        <v>891</v>
      </c>
      <c r="H197" s="160">
        <v>2</v>
      </c>
      <c r="I197" s="160" t="s">
        <v>879</v>
      </c>
      <c r="J197" s="151"/>
      <c r="K197" s="161"/>
      <c r="L197" s="160"/>
      <c r="M197" s="160"/>
    </row>
    <row r="198" spans="1:13" ht="13.15" x14ac:dyDescent="0.4">
      <c r="A198" s="163" t="s">
        <v>479</v>
      </c>
      <c r="B198" s="167" t="s">
        <v>480</v>
      </c>
      <c r="C198" s="167">
        <v>1</v>
      </c>
      <c r="D198" s="167"/>
      <c r="E198" s="151"/>
      <c r="F198" s="163" t="s">
        <v>892</v>
      </c>
      <c r="G198" s="164" t="s">
        <v>893</v>
      </c>
      <c r="H198" s="164">
        <v>2</v>
      </c>
      <c r="I198" s="164" t="s">
        <v>879</v>
      </c>
      <c r="J198" s="151"/>
      <c r="K198" s="165"/>
      <c r="L198" s="164"/>
      <c r="M198" s="164"/>
    </row>
    <row r="199" spans="1:13" ht="13.15" x14ac:dyDescent="0.4">
      <c r="A199" s="159" t="s">
        <v>481</v>
      </c>
      <c r="B199" s="160" t="s">
        <v>482</v>
      </c>
      <c r="C199" s="160">
        <v>2</v>
      </c>
      <c r="D199" s="160" t="s">
        <v>480</v>
      </c>
      <c r="E199" s="151"/>
      <c r="F199" s="159" t="s">
        <v>894</v>
      </c>
      <c r="G199" s="160" t="s">
        <v>895</v>
      </c>
      <c r="H199" s="160">
        <v>2</v>
      </c>
      <c r="I199" s="160" t="s">
        <v>879</v>
      </c>
      <c r="J199" s="151"/>
      <c r="K199" s="161"/>
      <c r="L199" s="160"/>
      <c r="M199" s="160"/>
    </row>
    <row r="200" spans="1:13" ht="13.15" x14ac:dyDescent="0.4">
      <c r="A200" s="163" t="s">
        <v>483</v>
      </c>
      <c r="B200" s="164" t="s">
        <v>484</v>
      </c>
      <c r="C200" s="164">
        <v>2</v>
      </c>
      <c r="D200" s="164" t="s">
        <v>480</v>
      </c>
      <c r="E200" s="151"/>
      <c r="F200" s="163" t="s">
        <v>896</v>
      </c>
      <c r="G200" s="164" t="s">
        <v>897</v>
      </c>
      <c r="H200" s="164">
        <v>2</v>
      </c>
      <c r="I200" s="164" t="s">
        <v>879</v>
      </c>
      <c r="J200" s="151"/>
      <c r="K200" s="165"/>
      <c r="L200" s="164"/>
      <c r="M200" s="164"/>
    </row>
    <row r="201" spans="1:13" ht="13.15" x14ac:dyDescent="0.4">
      <c r="A201" s="159" t="s">
        <v>485</v>
      </c>
      <c r="B201" s="160" t="s">
        <v>486</v>
      </c>
      <c r="C201" s="160">
        <v>2</v>
      </c>
      <c r="D201" s="160" t="s">
        <v>480</v>
      </c>
      <c r="E201" s="151"/>
      <c r="F201" s="159" t="s">
        <v>898</v>
      </c>
      <c r="G201" s="160" t="s">
        <v>899</v>
      </c>
      <c r="H201" s="160">
        <v>2</v>
      </c>
      <c r="I201" s="160" t="s">
        <v>879</v>
      </c>
      <c r="J201" s="151"/>
      <c r="K201" s="161"/>
      <c r="L201" s="160"/>
      <c r="M201" s="160"/>
    </row>
    <row r="202" spans="1:13" ht="13.15" x14ac:dyDescent="0.4">
      <c r="A202" s="163" t="s">
        <v>487</v>
      </c>
      <c r="B202" s="164" t="s">
        <v>488</v>
      </c>
      <c r="C202" s="164">
        <v>2</v>
      </c>
      <c r="D202" s="164" t="s">
        <v>480</v>
      </c>
      <c r="E202" s="151"/>
      <c r="F202" s="163" t="s">
        <v>900</v>
      </c>
      <c r="G202" s="164" t="s">
        <v>901</v>
      </c>
      <c r="H202" s="164">
        <v>2</v>
      </c>
      <c r="I202" s="164" t="s">
        <v>879</v>
      </c>
      <c r="J202" s="151"/>
      <c r="K202" s="165"/>
      <c r="L202" s="164"/>
      <c r="M202" s="164"/>
    </row>
    <row r="203" spans="1:13" ht="13.15" x14ac:dyDescent="0.4">
      <c r="A203" s="159" t="s">
        <v>489</v>
      </c>
      <c r="B203" s="160" t="s">
        <v>490</v>
      </c>
      <c r="C203" s="160">
        <v>2</v>
      </c>
      <c r="D203" s="160" t="s">
        <v>480</v>
      </c>
      <c r="E203" s="151"/>
      <c r="F203" s="159" t="s">
        <v>902</v>
      </c>
      <c r="G203" s="160" t="s">
        <v>903</v>
      </c>
      <c r="H203" s="160">
        <v>2</v>
      </c>
      <c r="I203" s="160" t="s">
        <v>879</v>
      </c>
      <c r="J203" s="151"/>
      <c r="K203" s="161"/>
      <c r="L203" s="160"/>
      <c r="M203" s="160"/>
    </row>
    <row r="204" spans="1:13" ht="13.15" x14ac:dyDescent="0.4">
      <c r="A204" s="163" t="s">
        <v>491</v>
      </c>
      <c r="B204" s="167" t="s">
        <v>492</v>
      </c>
      <c r="C204" s="167">
        <v>1</v>
      </c>
      <c r="D204" s="167"/>
      <c r="E204" s="151"/>
      <c r="F204" s="163" t="s">
        <v>904</v>
      </c>
      <c r="G204" s="164" t="s">
        <v>905</v>
      </c>
      <c r="H204" s="164">
        <v>2</v>
      </c>
      <c r="I204" s="164" t="s">
        <v>879</v>
      </c>
      <c r="J204" s="151"/>
      <c r="K204" s="165"/>
      <c r="L204" s="164"/>
      <c r="M204" s="164"/>
    </row>
    <row r="205" spans="1:13" ht="13.15" x14ac:dyDescent="0.4">
      <c r="A205" s="159" t="s">
        <v>493</v>
      </c>
      <c r="B205" s="168" t="s">
        <v>494</v>
      </c>
      <c r="C205" s="168">
        <v>1</v>
      </c>
      <c r="D205" s="168"/>
      <c r="E205" s="151"/>
      <c r="F205" s="159" t="s">
        <v>906</v>
      </c>
      <c r="G205" s="160" t="s">
        <v>907</v>
      </c>
      <c r="H205" s="160">
        <v>2</v>
      </c>
      <c r="I205" s="160" t="s">
        <v>879</v>
      </c>
      <c r="J205" s="151"/>
      <c r="K205" s="161"/>
      <c r="L205" s="160"/>
      <c r="M205" s="160"/>
    </row>
    <row r="206" spans="1:13" ht="13.15" x14ac:dyDescent="0.4">
      <c r="A206" s="163" t="s">
        <v>495</v>
      </c>
      <c r="B206" s="164" t="s">
        <v>496</v>
      </c>
      <c r="C206" s="164">
        <v>2</v>
      </c>
      <c r="D206" s="164" t="s">
        <v>494</v>
      </c>
      <c r="E206" s="151"/>
      <c r="F206" s="163" t="s">
        <v>908</v>
      </c>
      <c r="G206" s="164" t="s">
        <v>909</v>
      </c>
      <c r="H206" s="164">
        <v>2</v>
      </c>
      <c r="I206" s="164" t="s">
        <v>879</v>
      </c>
      <c r="J206" s="151"/>
      <c r="K206" s="165"/>
      <c r="L206" s="164"/>
      <c r="M206" s="164"/>
    </row>
    <row r="207" spans="1:13" ht="13.15" x14ac:dyDescent="0.4">
      <c r="A207" s="159" t="s">
        <v>497</v>
      </c>
      <c r="B207" s="168" t="s">
        <v>498</v>
      </c>
      <c r="C207" s="168">
        <v>1</v>
      </c>
      <c r="D207" s="168"/>
      <c r="E207" s="151"/>
      <c r="F207" s="159" t="s">
        <v>910</v>
      </c>
      <c r="G207" s="160" t="s">
        <v>911</v>
      </c>
      <c r="H207" s="160">
        <v>2</v>
      </c>
      <c r="I207" s="160" t="s">
        <v>879</v>
      </c>
      <c r="J207" s="151"/>
      <c r="K207" s="161"/>
      <c r="L207" s="160"/>
      <c r="M207" s="160"/>
    </row>
    <row r="208" spans="1:13" ht="13.15" x14ac:dyDescent="0.4">
      <c r="A208" s="163" t="s">
        <v>499</v>
      </c>
      <c r="B208" s="167" t="s">
        <v>48</v>
      </c>
      <c r="C208" s="167">
        <v>1</v>
      </c>
      <c r="D208" s="167"/>
      <c r="E208" s="151"/>
      <c r="F208" s="163" t="s">
        <v>912</v>
      </c>
      <c r="G208" s="164" t="s">
        <v>913</v>
      </c>
      <c r="H208" s="164">
        <v>2</v>
      </c>
      <c r="I208" s="164" t="s">
        <v>879</v>
      </c>
      <c r="J208" s="151"/>
      <c r="K208" s="165"/>
      <c r="L208" s="164"/>
      <c r="M208" s="164"/>
    </row>
    <row r="209" spans="1:13" ht="13.15" x14ac:dyDescent="0.4">
      <c r="A209" s="159"/>
      <c r="B209" s="160"/>
      <c r="C209" s="160"/>
      <c r="D209" s="160"/>
      <c r="E209" s="151"/>
      <c r="F209" s="159" t="s">
        <v>914</v>
      </c>
      <c r="G209" s="160" t="s">
        <v>915</v>
      </c>
      <c r="H209" s="160">
        <v>2</v>
      </c>
      <c r="I209" s="160" t="s">
        <v>879</v>
      </c>
      <c r="J209" s="151"/>
      <c r="K209" s="161"/>
      <c r="L209" s="160"/>
      <c r="M209" s="160"/>
    </row>
    <row r="210" spans="1:13" ht="13.15" x14ac:dyDescent="0.4">
      <c r="A210" s="163"/>
      <c r="B210" s="164"/>
      <c r="C210" s="164"/>
      <c r="D210" s="164"/>
      <c r="E210" s="151"/>
      <c r="F210" s="163" t="s">
        <v>916</v>
      </c>
      <c r="G210" s="164" t="s">
        <v>917</v>
      </c>
      <c r="H210" s="164">
        <v>2</v>
      </c>
      <c r="I210" s="164" t="s">
        <v>879</v>
      </c>
      <c r="J210" s="151"/>
      <c r="K210" s="165"/>
      <c r="L210" s="164"/>
      <c r="M210" s="164"/>
    </row>
    <row r="211" spans="1:13" ht="13.15" x14ac:dyDescent="0.4">
      <c r="A211" s="159"/>
      <c r="B211" s="160"/>
      <c r="C211" s="160"/>
      <c r="D211" s="160"/>
      <c r="E211" s="151"/>
      <c r="F211" s="159" t="s">
        <v>918</v>
      </c>
      <c r="G211" s="160" t="s">
        <v>919</v>
      </c>
      <c r="H211" s="160">
        <v>2</v>
      </c>
      <c r="I211" s="160" t="s">
        <v>879</v>
      </c>
      <c r="J211" s="151"/>
      <c r="K211" s="161"/>
      <c r="L211" s="160"/>
      <c r="M211" s="160"/>
    </row>
    <row r="212" spans="1:13" ht="13.15" x14ac:dyDescent="0.4">
      <c r="A212" s="163"/>
      <c r="B212" s="164"/>
      <c r="C212" s="164"/>
      <c r="D212" s="164"/>
      <c r="E212" s="151"/>
      <c r="F212" s="163" t="s">
        <v>920</v>
      </c>
      <c r="G212" s="164" t="s">
        <v>921</v>
      </c>
      <c r="H212" s="164">
        <v>2</v>
      </c>
      <c r="I212" s="164" t="s">
        <v>879</v>
      </c>
      <c r="J212" s="151"/>
      <c r="K212" s="165"/>
      <c r="L212" s="164"/>
      <c r="M212" s="164"/>
    </row>
    <row r="213" spans="1:13" ht="13.15" x14ac:dyDescent="0.4">
      <c r="A213" s="159"/>
      <c r="B213" s="160"/>
      <c r="C213" s="160"/>
      <c r="D213" s="160"/>
      <c r="E213" s="151"/>
      <c r="F213" s="159" t="s">
        <v>922</v>
      </c>
      <c r="G213" s="160" t="s">
        <v>923</v>
      </c>
      <c r="H213" s="160">
        <v>2</v>
      </c>
      <c r="I213" s="160" t="s">
        <v>879</v>
      </c>
      <c r="J213" s="151"/>
      <c r="K213" s="161"/>
      <c r="L213" s="160"/>
      <c r="M213" s="160"/>
    </row>
    <row r="214" spans="1:13" ht="13.15" x14ac:dyDescent="0.4">
      <c r="A214" s="163"/>
      <c r="B214" s="164"/>
      <c r="C214" s="164"/>
      <c r="D214" s="164"/>
      <c r="E214" s="151"/>
      <c r="F214" s="163" t="s">
        <v>924</v>
      </c>
      <c r="G214" s="164" t="s">
        <v>925</v>
      </c>
      <c r="H214" s="164">
        <v>2</v>
      </c>
      <c r="I214" s="164" t="s">
        <v>879</v>
      </c>
      <c r="J214" s="151"/>
      <c r="K214" s="165"/>
      <c r="L214" s="164"/>
      <c r="M214" s="164"/>
    </row>
    <row r="215" spans="1:13" ht="13.15" x14ac:dyDescent="0.4">
      <c r="A215" s="159"/>
      <c r="B215" s="160"/>
      <c r="C215" s="160"/>
      <c r="D215" s="160"/>
      <c r="E215" s="151"/>
      <c r="F215" s="159" t="s">
        <v>926</v>
      </c>
      <c r="G215" s="168" t="s">
        <v>927</v>
      </c>
      <c r="H215" s="168">
        <v>1</v>
      </c>
      <c r="I215" s="168"/>
      <c r="J215" s="151"/>
      <c r="K215" s="161"/>
      <c r="L215" s="160"/>
      <c r="M215" s="160"/>
    </row>
    <row r="216" spans="1:13" ht="13.15" x14ac:dyDescent="0.4">
      <c r="A216" s="163"/>
      <c r="B216" s="164"/>
      <c r="C216" s="164"/>
      <c r="D216" s="164"/>
      <c r="E216" s="151"/>
      <c r="F216" s="163" t="s">
        <v>928</v>
      </c>
      <c r="G216" s="164" t="s">
        <v>929</v>
      </c>
      <c r="H216" s="164">
        <v>2</v>
      </c>
      <c r="I216" s="164" t="s">
        <v>927</v>
      </c>
      <c r="J216" s="151"/>
      <c r="K216" s="165"/>
      <c r="L216" s="164"/>
      <c r="M216" s="164"/>
    </row>
    <row r="217" spans="1:13" ht="13.15" x14ac:dyDescent="0.4">
      <c r="A217" s="159"/>
      <c r="B217" s="160"/>
      <c r="C217" s="160"/>
      <c r="D217" s="160"/>
      <c r="E217" s="151"/>
      <c r="F217" s="159" t="s">
        <v>930</v>
      </c>
      <c r="G217" s="160" t="s">
        <v>931</v>
      </c>
      <c r="H217" s="160">
        <v>2</v>
      </c>
      <c r="I217" s="160" t="s">
        <v>927</v>
      </c>
      <c r="J217" s="151"/>
      <c r="K217" s="161"/>
      <c r="L217" s="160"/>
      <c r="M217" s="160"/>
    </row>
    <row r="218" spans="1:13" ht="13.15" x14ac:dyDescent="0.4">
      <c r="A218" s="163"/>
      <c r="B218" s="164"/>
      <c r="C218" s="164"/>
      <c r="D218" s="164"/>
      <c r="E218" s="151"/>
      <c r="F218" s="163" t="s">
        <v>932</v>
      </c>
      <c r="G218" s="164" t="s">
        <v>933</v>
      </c>
      <c r="H218" s="164">
        <v>2</v>
      </c>
      <c r="I218" s="164" t="s">
        <v>927</v>
      </c>
      <c r="J218" s="151"/>
      <c r="K218" s="165"/>
      <c r="L218" s="164"/>
      <c r="M218" s="164"/>
    </row>
    <row r="219" spans="1:13" ht="13.15" x14ac:dyDescent="0.4">
      <c r="A219" s="159"/>
      <c r="B219" s="160"/>
      <c r="C219" s="160"/>
      <c r="D219" s="160"/>
      <c r="E219" s="151"/>
      <c r="F219" s="159" t="s">
        <v>934</v>
      </c>
      <c r="G219" s="160" t="s">
        <v>935</v>
      </c>
      <c r="H219" s="160">
        <v>2</v>
      </c>
      <c r="I219" s="160" t="s">
        <v>927</v>
      </c>
      <c r="J219" s="151"/>
      <c r="K219" s="161"/>
      <c r="L219" s="160"/>
      <c r="M219" s="160"/>
    </row>
    <row r="220" spans="1:13" ht="13.15" x14ac:dyDescent="0.4">
      <c r="A220" s="163"/>
      <c r="B220" s="164"/>
      <c r="C220" s="164"/>
      <c r="D220" s="164"/>
      <c r="E220" s="151"/>
      <c r="F220" s="163" t="s">
        <v>936</v>
      </c>
      <c r="G220" s="164" t="s">
        <v>937</v>
      </c>
      <c r="H220" s="164">
        <v>2</v>
      </c>
      <c r="I220" s="164" t="s">
        <v>927</v>
      </c>
      <c r="J220" s="151"/>
      <c r="K220" s="165"/>
      <c r="L220" s="164"/>
      <c r="M220" s="164"/>
    </row>
    <row r="221" spans="1:13" ht="13.15" x14ac:dyDescent="0.4">
      <c r="A221" s="159"/>
      <c r="B221" s="160"/>
      <c r="C221" s="160"/>
      <c r="D221" s="160"/>
      <c r="E221" s="151"/>
      <c r="F221" s="159" t="s">
        <v>938</v>
      </c>
      <c r="G221" s="160" t="s">
        <v>939</v>
      </c>
      <c r="H221" s="160">
        <v>2</v>
      </c>
      <c r="I221" s="160" t="s">
        <v>927</v>
      </c>
      <c r="J221" s="151"/>
      <c r="K221" s="161"/>
      <c r="L221" s="160"/>
      <c r="M221" s="160"/>
    </row>
    <row r="222" spans="1:13" ht="13.15" x14ac:dyDescent="0.4">
      <c r="A222" s="163"/>
      <c r="B222" s="164"/>
      <c r="C222" s="164"/>
      <c r="D222" s="164"/>
      <c r="E222" s="151"/>
      <c r="F222" s="163" t="s">
        <v>940</v>
      </c>
      <c r="G222" s="164" t="s">
        <v>941</v>
      </c>
      <c r="H222" s="164">
        <v>2</v>
      </c>
      <c r="I222" s="164" t="s">
        <v>927</v>
      </c>
      <c r="J222" s="151"/>
      <c r="K222" s="165"/>
      <c r="L222" s="164"/>
      <c r="M222" s="164"/>
    </row>
    <row r="223" spans="1:13" ht="13.15" x14ac:dyDescent="0.4">
      <c r="A223" s="159"/>
      <c r="B223" s="160"/>
      <c r="C223" s="160"/>
      <c r="D223" s="160"/>
      <c r="E223" s="151"/>
      <c r="F223" s="159" t="s">
        <v>942</v>
      </c>
      <c r="G223" s="160" t="s">
        <v>943</v>
      </c>
      <c r="H223" s="160">
        <v>2</v>
      </c>
      <c r="I223" s="160" t="s">
        <v>927</v>
      </c>
      <c r="J223" s="151"/>
      <c r="K223" s="161"/>
      <c r="L223" s="160"/>
      <c r="M223" s="160"/>
    </row>
    <row r="224" spans="1:13" ht="13.15" x14ac:dyDescent="0.4">
      <c r="A224" s="163"/>
      <c r="B224" s="164"/>
      <c r="C224" s="164"/>
      <c r="D224" s="164"/>
      <c r="E224" s="151"/>
      <c r="F224" s="163" t="s">
        <v>944</v>
      </c>
      <c r="G224" s="164" t="s">
        <v>945</v>
      </c>
      <c r="H224" s="164">
        <v>2</v>
      </c>
      <c r="I224" s="164" t="s">
        <v>927</v>
      </c>
      <c r="J224" s="151"/>
      <c r="K224" s="165"/>
      <c r="L224" s="164"/>
      <c r="M224" s="164"/>
    </row>
    <row r="225" spans="1:13" ht="13.15" x14ac:dyDescent="0.4">
      <c r="A225" s="159"/>
      <c r="B225" s="160"/>
      <c r="C225" s="160"/>
      <c r="D225" s="160"/>
      <c r="E225" s="151"/>
      <c r="F225" s="159" t="s">
        <v>946</v>
      </c>
      <c r="G225" s="168" t="s">
        <v>947</v>
      </c>
      <c r="H225" s="168">
        <v>1</v>
      </c>
      <c r="I225" s="168"/>
      <c r="J225" s="151"/>
      <c r="K225" s="161"/>
      <c r="L225" s="160"/>
      <c r="M225" s="160"/>
    </row>
    <row r="226" spans="1:13" ht="13.15" x14ac:dyDescent="0.4">
      <c r="A226" s="163"/>
      <c r="B226" s="164"/>
      <c r="C226" s="164"/>
      <c r="D226" s="164"/>
      <c r="E226" s="151"/>
      <c r="F226" s="163" t="s">
        <v>948</v>
      </c>
      <c r="G226" s="164" t="s">
        <v>949</v>
      </c>
      <c r="H226" s="164">
        <v>2</v>
      </c>
      <c r="I226" s="164" t="s">
        <v>947</v>
      </c>
      <c r="J226" s="151"/>
      <c r="K226" s="165"/>
      <c r="L226" s="164"/>
      <c r="M226" s="164"/>
    </row>
    <row r="227" spans="1:13" ht="13.15" x14ac:dyDescent="0.4">
      <c r="A227" s="159"/>
      <c r="B227" s="160"/>
      <c r="C227" s="160"/>
      <c r="D227" s="160"/>
      <c r="E227" s="151"/>
      <c r="F227" s="159" t="s">
        <v>950</v>
      </c>
      <c r="G227" s="160" t="s">
        <v>951</v>
      </c>
      <c r="H227" s="160">
        <v>2</v>
      </c>
      <c r="I227" s="160" t="s">
        <v>947</v>
      </c>
      <c r="J227" s="151"/>
      <c r="K227" s="161"/>
      <c r="L227" s="160"/>
      <c r="M227" s="160"/>
    </row>
    <row r="228" spans="1:13" ht="13.15" x14ac:dyDescent="0.4">
      <c r="A228" s="163"/>
      <c r="B228" s="164"/>
      <c r="C228" s="164"/>
      <c r="D228" s="164"/>
      <c r="E228" s="151"/>
      <c r="F228" s="163" t="s">
        <v>952</v>
      </c>
      <c r="G228" s="164" t="s">
        <v>953</v>
      </c>
      <c r="H228" s="164">
        <v>2</v>
      </c>
      <c r="I228" s="164" t="s">
        <v>947</v>
      </c>
      <c r="J228" s="151"/>
      <c r="K228" s="165"/>
      <c r="L228" s="164"/>
      <c r="M228" s="164"/>
    </row>
    <row r="229" spans="1:13" ht="13.15" x14ac:dyDescent="0.4">
      <c r="A229" s="159"/>
      <c r="B229" s="160"/>
      <c r="C229" s="160"/>
      <c r="D229" s="160"/>
      <c r="E229" s="151"/>
      <c r="F229" s="159" t="s">
        <v>954</v>
      </c>
      <c r="G229" s="160" t="s">
        <v>955</v>
      </c>
      <c r="H229" s="160">
        <v>2</v>
      </c>
      <c r="I229" s="160" t="s">
        <v>947</v>
      </c>
      <c r="J229" s="151"/>
      <c r="K229" s="161"/>
      <c r="L229" s="160"/>
      <c r="M229" s="160"/>
    </row>
    <row r="230" spans="1:13" ht="13.15" x14ac:dyDescent="0.4">
      <c r="A230" s="163"/>
      <c r="B230" s="164"/>
      <c r="C230" s="164"/>
      <c r="D230" s="164"/>
      <c r="E230" s="151"/>
      <c r="F230" s="163" t="s">
        <v>956</v>
      </c>
      <c r="G230" s="164" t="s">
        <v>957</v>
      </c>
      <c r="H230" s="164">
        <v>2</v>
      </c>
      <c r="I230" s="164" t="s">
        <v>947</v>
      </c>
      <c r="J230" s="151"/>
      <c r="K230" s="165"/>
      <c r="L230" s="164"/>
      <c r="M230" s="164"/>
    </row>
    <row r="231" spans="1:13" ht="13.15" x14ac:dyDescent="0.4">
      <c r="A231" s="159"/>
      <c r="B231" s="160"/>
      <c r="C231" s="160"/>
      <c r="D231" s="160"/>
      <c r="E231" s="151"/>
      <c r="F231" s="159" t="s">
        <v>958</v>
      </c>
      <c r="G231" s="160" t="s">
        <v>959</v>
      </c>
      <c r="H231" s="160">
        <v>2</v>
      </c>
      <c r="I231" s="160" t="s">
        <v>947</v>
      </c>
      <c r="J231" s="151"/>
      <c r="K231" s="161"/>
      <c r="L231" s="160"/>
      <c r="M231" s="160"/>
    </row>
    <row r="232" spans="1:13" ht="13.15" x14ac:dyDescent="0.4">
      <c r="A232" s="163"/>
      <c r="B232" s="164"/>
      <c r="C232" s="164"/>
      <c r="D232" s="164"/>
      <c r="E232" s="151"/>
      <c r="F232" s="163" t="s">
        <v>960</v>
      </c>
      <c r="G232" s="164" t="s">
        <v>961</v>
      </c>
      <c r="H232" s="164">
        <v>2</v>
      </c>
      <c r="I232" s="164" t="s">
        <v>947</v>
      </c>
      <c r="J232" s="151"/>
      <c r="K232" s="165"/>
      <c r="L232" s="164"/>
      <c r="M232" s="164"/>
    </row>
    <row r="233" spans="1:13" ht="13.15" x14ac:dyDescent="0.4">
      <c r="A233" s="159"/>
      <c r="B233" s="160"/>
      <c r="C233" s="160"/>
      <c r="D233" s="160"/>
      <c r="E233" s="151"/>
      <c r="F233" s="159" t="s">
        <v>962</v>
      </c>
      <c r="G233" s="160" t="s">
        <v>963</v>
      </c>
      <c r="H233" s="160">
        <v>2</v>
      </c>
      <c r="I233" s="160" t="s">
        <v>947</v>
      </c>
      <c r="J233" s="151"/>
      <c r="K233" s="161"/>
      <c r="L233" s="160"/>
      <c r="M233" s="160"/>
    </row>
    <row r="234" spans="1:13" ht="13.15" x14ac:dyDescent="0.4">
      <c r="A234" s="163"/>
      <c r="B234" s="164"/>
      <c r="C234" s="164"/>
      <c r="D234" s="164"/>
      <c r="E234" s="151"/>
      <c r="F234" s="163" t="s">
        <v>964</v>
      </c>
      <c r="G234" s="164" t="s">
        <v>965</v>
      </c>
      <c r="H234" s="164">
        <v>2</v>
      </c>
      <c r="I234" s="164" t="s">
        <v>947</v>
      </c>
      <c r="J234" s="151"/>
      <c r="K234" s="165"/>
      <c r="L234" s="164"/>
      <c r="M234" s="164"/>
    </row>
    <row r="235" spans="1:13" ht="13.15" x14ac:dyDescent="0.4">
      <c r="A235" s="159"/>
      <c r="B235" s="160"/>
      <c r="C235" s="160"/>
      <c r="D235" s="160"/>
      <c r="E235" s="151"/>
      <c r="F235" s="159" t="s">
        <v>966</v>
      </c>
      <c r="G235" s="168" t="s">
        <v>967</v>
      </c>
      <c r="H235" s="168">
        <v>1</v>
      </c>
      <c r="I235" s="168"/>
      <c r="J235" s="151"/>
      <c r="K235" s="161"/>
      <c r="L235" s="160"/>
      <c r="M235" s="160"/>
    </row>
    <row r="236" spans="1:13" ht="13.15" x14ac:dyDescent="0.4">
      <c r="A236" s="163"/>
      <c r="B236" s="164"/>
      <c r="C236" s="164"/>
      <c r="D236" s="164"/>
      <c r="E236" s="151"/>
      <c r="F236" s="163" t="s">
        <v>968</v>
      </c>
      <c r="G236" s="164" t="s">
        <v>969</v>
      </c>
      <c r="H236" s="164">
        <v>2</v>
      </c>
      <c r="I236" s="164" t="s">
        <v>967</v>
      </c>
      <c r="J236" s="151"/>
      <c r="K236" s="165"/>
      <c r="L236" s="164"/>
      <c r="M236" s="164"/>
    </row>
    <row r="237" spans="1:13" ht="13.15" x14ac:dyDescent="0.4">
      <c r="A237" s="159"/>
      <c r="B237" s="160"/>
      <c r="C237" s="160"/>
      <c r="D237" s="160"/>
      <c r="E237" s="151"/>
      <c r="F237" s="159" t="s">
        <v>970</v>
      </c>
      <c r="G237" s="160" t="s">
        <v>971</v>
      </c>
      <c r="H237" s="160">
        <v>2</v>
      </c>
      <c r="I237" s="160" t="s">
        <v>967</v>
      </c>
      <c r="J237" s="151"/>
      <c r="K237" s="161"/>
      <c r="L237" s="160"/>
      <c r="M237" s="160"/>
    </row>
    <row r="238" spans="1:13" ht="13.15" x14ac:dyDescent="0.4">
      <c r="A238" s="163"/>
      <c r="B238" s="164"/>
      <c r="C238" s="164"/>
      <c r="D238" s="164"/>
      <c r="E238" s="151"/>
      <c r="F238" s="163" t="s">
        <v>972</v>
      </c>
      <c r="G238" s="164" t="s">
        <v>973</v>
      </c>
      <c r="H238" s="164">
        <v>2</v>
      </c>
      <c r="I238" s="164" t="s">
        <v>967</v>
      </c>
      <c r="J238" s="151"/>
      <c r="K238" s="165"/>
      <c r="L238" s="164"/>
      <c r="M238" s="164"/>
    </row>
    <row r="239" spans="1:13" ht="13.15" x14ac:dyDescent="0.4">
      <c r="A239" s="159"/>
      <c r="B239" s="160"/>
      <c r="C239" s="160"/>
      <c r="D239" s="160"/>
      <c r="E239" s="151"/>
      <c r="F239" s="159" t="s">
        <v>974</v>
      </c>
      <c r="G239" s="160" t="s">
        <v>975</v>
      </c>
      <c r="H239" s="160">
        <v>2</v>
      </c>
      <c r="I239" s="160" t="s">
        <v>967</v>
      </c>
      <c r="J239" s="151"/>
      <c r="K239" s="161"/>
      <c r="L239" s="160"/>
      <c r="M239" s="160"/>
    </row>
    <row r="240" spans="1:13" ht="13.15" x14ac:dyDescent="0.4">
      <c r="A240" s="163"/>
      <c r="B240" s="164"/>
      <c r="C240" s="164"/>
      <c r="D240" s="164"/>
      <c r="E240" s="151"/>
      <c r="F240" s="163" t="s">
        <v>976</v>
      </c>
      <c r="G240" s="164" t="s">
        <v>977</v>
      </c>
      <c r="H240" s="164">
        <v>2</v>
      </c>
      <c r="I240" s="164" t="s">
        <v>967</v>
      </c>
      <c r="J240" s="151"/>
      <c r="K240" s="165"/>
      <c r="L240" s="164"/>
      <c r="M240" s="164"/>
    </row>
    <row r="241" spans="1:13" ht="13.15" x14ac:dyDescent="0.4">
      <c r="A241" s="159"/>
      <c r="B241" s="160"/>
      <c r="C241" s="160"/>
      <c r="D241" s="160"/>
      <c r="E241" s="151"/>
      <c r="F241" s="159" t="s">
        <v>978</v>
      </c>
      <c r="G241" s="160" t="s">
        <v>979</v>
      </c>
      <c r="H241" s="160">
        <v>2</v>
      </c>
      <c r="I241" s="160" t="s">
        <v>967</v>
      </c>
      <c r="J241" s="151"/>
      <c r="K241" s="161"/>
      <c r="L241" s="160"/>
      <c r="M241" s="160"/>
    </row>
    <row r="242" spans="1:13" ht="13.15" x14ac:dyDescent="0.4">
      <c r="A242" s="163"/>
      <c r="B242" s="164"/>
      <c r="C242" s="164"/>
      <c r="D242" s="164"/>
      <c r="E242" s="151"/>
      <c r="F242" s="163" t="s">
        <v>980</v>
      </c>
      <c r="G242" s="164" t="s">
        <v>981</v>
      </c>
      <c r="H242" s="164">
        <v>2</v>
      </c>
      <c r="I242" s="164" t="s">
        <v>967</v>
      </c>
      <c r="J242" s="151"/>
      <c r="K242" s="165"/>
      <c r="L242" s="164"/>
      <c r="M242" s="164"/>
    </row>
    <row r="243" spans="1:13" ht="13.15" x14ac:dyDescent="0.4">
      <c r="A243" s="159"/>
      <c r="B243" s="160"/>
      <c r="C243" s="160"/>
      <c r="D243" s="160"/>
      <c r="E243" s="151"/>
      <c r="F243" s="159" t="s">
        <v>982</v>
      </c>
      <c r="G243" s="160" t="s">
        <v>983</v>
      </c>
      <c r="H243" s="160">
        <v>2</v>
      </c>
      <c r="I243" s="160" t="s">
        <v>967</v>
      </c>
      <c r="J243" s="151"/>
      <c r="K243" s="161"/>
      <c r="L243" s="160"/>
      <c r="M243" s="160"/>
    </row>
    <row r="244" spans="1:13" ht="13.15" x14ac:dyDescent="0.4">
      <c r="A244" s="163"/>
      <c r="B244" s="164"/>
      <c r="C244" s="164"/>
      <c r="D244" s="164"/>
      <c r="E244" s="151"/>
      <c r="F244" s="163" t="s">
        <v>984</v>
      </c>
      <c r="G244" s="164" t="s">
        <v>985</v>
      </c>
      <c r="H244" s="164">
        <v>2</v>
      </c>
      <c r="I244" s="164" t="s">
        <v>967</v>
      </c>
      <c r="J244" s="151"/>
      <c r="K244" s="165"/>
      <c r="L244" s="164"/>
      <c r="M244" s="164"/>
    </row>
    <row r="245" spans="1:13" ht="13.15" x14ac:dyDescent="0.4">
      <c r="A245" s="159"/>
      <c r="B245" s="160"/>
      <c r="C245" s="160"/>
      <c r="D245" s="160"/>
      <c r="E245" s="151"/>
      <c r="F245" s="159" t="s">
        <v>986</v>
      </c>
      <c r="G245" s="160" t="s">
        <v>987</v>
      </c>
      <c r="H245" s="160">
        <v>2</v>
      </c>
      <c r="I245" s="160" t="s">
        <v>967</v>
      </c>
      <c r="J245" s="151"/>
      <c r="K245" s="161"/>
      <c r="L245" s="160"/>
      <c r="M245" s="160"/>
    </row>
    <row r="246" spans="1:13" ht="13.15" x14ac:dyDescent="0.4">
      <c r="A246" s="163"/>
      <c r="B246" s="164"/>
      <c r="C246" s="164"/>
      <c r="D246" s="164"/>
      <c r="E246" s="151"/>
      <c r="F246" s="163" t="s">
        <v>988</v>
      </c>
      <c r="G246" s="164" t="s">
        <v>989</v>
      </c>
      <c r="H246" s="164">
        <v>2</v>
      </c>
      <c r="I246" s="164" t="s">
        <v>967</v>
      </c>
      <c r="J246" s="151"/>
      <c r="K246" s="165"/>
      <c r="L246" s="164"/>
      <c r="M246" s="164"/>
    </row>
    <row r="247" spans="1:13" ht="13.15" x14ac:dyDescent="0.4">
      <c r="A247" s="159"/>
      <c r="B247" s="160"/>
      <c r="C247" s="160"/>
      <c r="D247" s="160"/>
      <c r="E247" s="151"/>
      <c r="F247" s="159" t="s">
        <v>990</v>
      </c>
      <c r="G247" s="160" t="s">
        <v>991</v>
      </c>
      <c r="H247" s="160">
        <v>2</v>
      </c>
      <c r="I247" s="160" t="s">
        <v>967</v>
      </c>
      <c r="J247" s="151"/>
      <c r="K247" s="161"/>
      <c r="L247" s="160"/>
      <c r="M247" s="160"/>
    </row>
    <row r="248" spans="1:13" ht="13.15" x14ac:dyDescent="0.4">
      <c r="A248" s="163"/>
      <c r="B248" s="164"/>
      <c r="C248" s="164"/>
      <c r="D248" s="164"/>
      <c r="E248" s="151"/>
      <c r="F248" s="163" t="s">
        <v>992</v>
      </c>
      <c r="G248" s="167" t="s">
        <v>993</v>
      </c>
      <c r="H248" s="167">
        <v>1</v>
      </c>
      <c r="I248" s="167"/>
      <c r="J248" s="151"/>
      <c r="K248" s="165"/>
      <c r="L248" s="164"/>
      <c r="M248" s="164"/>
    </row>
    <row r="249" spans="1:13" ht="13.15" x14ac:dyDescent="0.4">
      <c r="A249" s="159"/>
      <c r="B249" s="160"/>
      <c r="C249" s="160"/>
      <c r="D249" s="160"/>
      <c r="E249" s="151"/>
      <c r="F249" s="159" t="s">
        <v>994</v>
      </c>
      <c r="G249" s="160" t="s">
        <v>995</v>
      </c>
      <c r="H249" s="160">
        <v>2</v>
      </c>
      <c r="I249" s="160" t="s">
        <v>993</v>
      </c>
      <c r="J249" s="151"/>
      <c r="K249" s="161"/>
      <c r="L249" s="160"/>
      <c r="M249" s="160"/>
    </row>
    <row r="250" spans="1:13" ht="13.15" x14ac:dyDescent="0.4">
      <c r="A250" s="163"/>
      <c r="B250" s="164"/>
      <c r="C250" s="164"/>
      <c r="D250" s="164"/>
      <c r="E250" s="151"/>
      <c r="F250" s="163" t="s">
        <v>996</v>
      </c>
      <c r="G250" s="164" t="s">
        <v>997</v>
      </c>
      <c r="H250" s="164">
        <v>2</v>
      </c>
      <c r="I250" s="164" t="s">
        <v>993</v>
      </c>
      <c r="J250" s="151"/>
      <c r="K250" s="165"/>
      <c r="L250" s="164"/>
      <c r="M250" s="164"/>
    </row>
    <row r="251" spans="1:13" ht="13.15" x14ac:dyDescent="0.4">
      <c r="A251" s="159"/>
      <c r="B251" s="160"/>
      <c r="C251" s="160"/>
      <c r="D251" s="160"/>
      <c r="E251" s="151"/>
      <c r="F251" s="159" t="s">
        <v>998</v>
      </c>
      <c r="G251" s="160" t="s">
        <v>999</v>
      </c>
      <c r="H251" s="160">
        <v>2</v>
      </c>
      <c r="I251" s="160" t="s">
        <v>993</v>
      </c>
      <c r="J251" s="151"/>
      <c r="K251" s="161"/>
      <c r="L251" s="160"/>
      <c r="M251" s="160"/>
    </row>
    <row r="252" spans="1:13" ht="13.15" x14ac:dyDescent="0.4">
      <c r="A252" s="163"/>
      <c r="B252" s="164"/>
      <c r="C252" s="164"/>
      <c r="D252" s="164"/>
      <c r="E252" s="151"/>
      <c r="F252" s="163" t="s">
        <v>1000</v>
      </c>
      <c r="G252" s="164" t="s">
        <v>1001</v>
      </c>
      <c r="H252" s="164">
        <v>2</v>
      </c>
      <c r="I252" s="164" t="s">
        <v>993</v>
      </c>
      <c r="J252" s="151"/>
      <c r="K252" s="165"/>
      <c r="L252" s="164"/>
      <c r="M252" s="164"/>
    </row>
    <row r="253" spans="1:13" ht="13.15" x14ac:dyDescent="0.4">
      <c r="A253" s="159"/>
      <c r="B253" s="160"/>
      <c r="C253" s="160"/>
      <c r="D253" s="160"/>
      <c r="E253" s="151"/>
      <c r="F253" s="159" t="s">
        <v>1002</v>
      </c>
      <c r="G253" s="160" t="s">
        <v>1003</v>
      </c>
      <c r="H253" s="160">
        <v>2</v>
      </c>
      <c r="I253" s="160" t="s">
        <v>993</v>
      </c>
      <c r="J253" s="151"/>
      <c r="K253" s="161"/>
      <c r="L253" s="160"/>
      <c r="M253" s="160"/>
    </row>
    <row r="254" spans="1:13" ht="13.15" x14ac:dyDescent="0.4">
      <c r="A254" s="163"/>
      <c r="B254" s="164"/>
      <c r="C254" s="164"/>
      <c r="D254" s="164"/>
      <c r="E254" s="151"/>
      <c r="F254" s="163" t="s">
        <v>1004</v>
      </c>
      <c r="G254" s="164" t="s">
        <v>1005</v>
      </c>
      <c r="H254" s="164">
        <v>2</v>
      </c>
      <c r="I254" s="164" t="s">
        <v>993</v>
      </c>
      <c r="J254" s="151"/>
      <c r="K254" s="165"/>
      <c r="L254" s="164"/>
      <c r="M254" s="164"/>
    </row>
    <row r="255" spans="1:13" ht="13.15" x14ac:dyDescent="0.4">
      <c r="A255" s="159"/>
      <c r="B255" s="160"/>
      <c r="C255" s="160"/>
      <c r="D255" s="160"/>
      <c r="E255" s="151"/>
      <c r="F255" s="159" t="s">
        <v>1006</v>
      </c>
      <c r="G255" s="160" t="s">
        <v>1007</v>
      </c>
      <c r="H255" s="160">
        <v>2</v>
      </c>
      <c r="I255" s="160" t="s">
        <v>993</v>
      </c>
      <c r="J255" s="151"/>
      <c r="K255" s="161"/>
      <c r="L255" s="160"/>
      <c r="M255" s="160"/>
    </row>
    <row r="256" spans="1:13" ht="13.15" x14ac:dyDescent="0.4">
      <c r="A256" s="163"/>
      <c r="B256" s="164"/>
      <c r="C256" s="164"/>
      <c r="D256" s="164"/>
      <c r="E256" s="151"/>
      <c r="F256" s="163" t="s">
        <v>1008</v>
      </c>
      <c r="G256" s="164" t="s">
        <v>1009</v>
      </c>
      <c r="H256" s="164">
        <v>2</v>
      </c>
      <c r="I256" s="164" t="s">
        <v>993</v>
      </c>
      <c r="J256" s="151"/>
      <c r="K256" s="165"/>
      <c r="L256" s="164"/>
      <c r="M256" s="164"/>
    </row>
    <row r="257" spans="1:13" ht="13.15" x14ac:dyDescent="0.4">
      <c r="A257" s="159"/>
      <c r="B257" s="160"/>
      <c r="C257" s="160"/>
      <c r="D257" s="160"/>
      <c r="E257" s="151"/>
      <c r="F257" s="159" t="s">
        <v>1010</v>
      </c>
      <c r="G257" s="160" t="s">
        <v>1011</v>
      </c>
      <c r="H257" s="160">
        <v>2</v>
      </c>
      <c r="I257" s="160" t="s">
        <v>993</v>
      </c>
      <c r="J257" s="151"/>
      <c r="K257" s="161"/>
      <c r="L257" s="160"/>
      <c r="M257" s="160"/>
    </row>
    <row r="258" spans="1:13" ht="13.15" x14ac:dyDescent="0.4">
      <c r="A258" s="163"/>
      <c r="B258" s="164"/>
      <c r="C258" s="164"/>
      <c r="D258" s="164"/>
      <c r="E258" s="151"/>
      <c r="F258" s="163" t="s">
        <v>1012</v>
      </c>
      <c r="G258" s="164" t="s">
        <v>1013</v>
      </c>
      <c r="H258" s="164">
        <v>2</v>
      </c>
      <c r="I258" s="164" t="s">
        <v>993</v>
      </c>
      <c r="J258" s="151"/>
      <c r="K258" s="165"/>
      <c r="L258" s="164"/>
      <c r="M258" s="164"/>
    </row>
    <row r="259" spans="1:13" ht="13.15" x14ac:dyDescent="0.4">
      <c r="A259" s="159"/>
      <c r="B259" s="160"/>
      <c r="C259" s="160"/>
      <c r="D259" s="160"/>
      <c r="E259" s="151"/>
      <c r="F259" s="159" t="s">
        <v>1014</v>
      </c>
      <c r="G259" s="160" t="s">
        <v>1015</v>
      </c>
      <c r="H259" s="160">
        <v>2</v>
      </c>
      <c r="I259" s="160" t="s">
        <v>993</v>
      </c>
      <c r="J259" s="151"/>
      <c r="K259" s="161"/>
      <c r="L259" s="160"/>
      <c r="M259" s="160"/>
    </row>
    <row r="260" spans="1:13" ht="13.15" x14ac:dyDescent="0.4">
      <c r="A260" s="163"/>
      <c r="B260" s="164"/>
      <c r="C260" s="164"/>
      <c r="D260" s="164"/>
      <c r="E260" s="151"/>
      <c r="F260" s="163" t="s">
        <v>1016</v>
      </c>
      <c r="G260" s="164" t="s">
        <v>1017</v>
      </c>
      <c r="H260" s="164">
        <v>2</v>
      </c>
      <c r="I260" s="164" t="s">
        <v>993</v>
      </c>
      <c r="J260" s="151"/>
      <c r="K260" s="165"/>
      <c r="L260" s="164"/>
      <c r="M260" s="164"/>
    </row>
    <row r="261" spans="1:13" ht="13.15" x14ac:dyDescent="0.4">
      <c r="A261" s="159"/>
      <c r="B261" s="160"/>
      <c r="C261" s="160"/>
      <c r="D261" s="160"/>
      <c r="E261" s="151"/>
      <c r="F261" s="159" t="s">
        <v>1018</v>
      </c>
      <c r="G261" s="160" t="s">
        <v>1019</v>
      </c>
      <c r="H261" s="160">
        <v>2</v>
      </c>
      <c r="I261" s="160" t="s">
        <v>993</v>
      </c>
      <c r="J261" s="151"/>
      <c r="K261" s="161"/>
      <c r="L261" s="160"/>
      <c r="M261" s="160"/>
    </row>
    <row r="262" spans="1:13" ht="13.15" x14ac:dyDescent="0.4">
      <c r="A262" s="163"/>
      <c r="B262" s="164"/>
      <c r="C262" s="164"/>
      <c r="D262" s="164"/>
      <c r="E262" s="151"/>
      <c r="F262" s="163" t="s">
        <v>1020</v>
      </c>
      <c r="G262" s="164" t="s">
        <v>1021</v>
      </c>
      <c r="H262" s="164">
        <v>2</v>
      </c>
      <c r="I262" s="164" t="s">
        <v>993</v>
      </c>
      <c r="J262" s="151"/>
      <c r="K262" s="165"/>
      <c r="L262" s="164"/>
      <c r="M262" s="164"/>
    </row>
    <row r="263" spans="1:13" ht="13.15" x14ac:dyDescent="0.4">
      <c r="A263" s="159"/>
      <c r="B263" s="160"/>
      <c r="C263" s="160"/>
      <c r="D263" s="160"/>
      <c r="E263" s="151"/>
      <c r="F263" s="159" t="s">
        <v>1022</v>
      </c>
      <c r="G263" s="160" t="s">
        <v>1023</v>
      </c>
      <c r="H263" s="160">
        <v>2</v>
      </c>
      <c r="I263" s="160" t="s">
        <v>993</v>
      </c>
      <c r="J263" s="151"/>
      <c r="K263" s="161"/>
      <c r="L263" s="160"/>
      <c r="M263" s="160"/>
    </row>
    <row r="264" spans="1:13" ht="13.15" x14ac:dyDescent="0.4">
      <c r="A264" s="163"/>
      <c r="B264" s="164"/>
      <c r="C264" s="164"/>
      <c r="D264" s="164"/>
      <c r="E264" s="151"/>
      <c r="F264" s="163" t="s">
        <v>1024</v>
      </c>
      <c r="G264" s="164" t="s">
        <v>1025</v>
      </c>
      <c r="H264" s="164">
        <v>2</v>
      </c>
      <c r="I264" s="164" t="s">
        <v>993</v>
      </c>
      <c r="J264" s="151"/>
      <c r="K264" s="165"/>
      <c r="L264" s="164"/>
      <c r="M264" s="164"/>
    </row>
    <row r="265" spans="1:13" ht="13.15" x14ac:dyDescent="0.4">
      <c r="A265" s="159"/>
      <c r="B265" s="160"/>
      <c r="C265" s="160"/>
      <c r="D265" s="160"/>
      <c r="E265" s="151"/>
      <c r="F265" s="159" t="s">
        <v>1026</v>
      </c>
      <c r="G265" s="160" t="s">
        <v>1027</v>
      </c>
      <c r="H265" s="160">
        <v>2</v>
      </c>
      <c r="I265" s="160" t="s">
        <v>993</v>
      </c>
      <c r="J265" s="151"/>
      <c r="K265" s="161"/>
      <c r="L265" s="160"/>
      <c r="M265" s="160"/>
    </row>
    <row r="266" spans="1:13" ht="13.15" x14ac:dyDescent="0.4">
      <c r="A266" s="163"/>
      <c r="B266" s="164"/>
      <c r="C266" s="164"/>
      <c r="D266" s="164"/>
      <c r="E266" s="151"/>
      <c r="F266" s="163" t="s">
        <v>1028</v>
      </c>
      <c r="G266" s="164" t="s">
        <v>1029</v>
      </c>
      <c r="H266" s="164">
        <v>2</v>
      </c>
      <c r="I266" s="164" t="s">
        <v>993</v>
      </c>
      <c r="J266" s="151"/>
      <c r="K266" s="165"/>
      <c r="L266" s="164"/>
      <c r="M266" s="164"/>
    </row>
    <row r="267" spans="1:13" ht="13.15" x14ac:dyDescent="0.4">
      <c r="A267" s="159"/>
      <c r="B267" s="160"/>
      <c r="C267" s="160"/>
      <c r="D267" s="160"/>
      <c r="E267" s="151"/>
      <c r="F267" s="159" t="s">
        <v>1030</v>
      </c>
      <c r="G267" s="160" t="s">
        <v>1031</v>
      </c>
      <c r="H267" s="160">
        <v>2</v>
      </c>
      <c r="I267" s="160" t="s">
        <v>993</v>
      </c>
      <c r="J267" s="151"/>
      <c r="K267" s="161"/>
      <c r="L267" s="160"/>
      <c r="M267" s="160"/>
    </row>
    <row r="268" spans="1:13" ht="13.15" x14ac:dyDescent="0.4">
      <c r="A268" s="163"/>
      <c r="B268" s="164"/>
      <c r="C268" s="164"/>
      <c r="D268" s="164"/>
      <c r="E268" s="151"/>
      <c r="F268" s="163" t="s">
        <v>1032</v>
      </c>
      <c r="G268" s="164" t="s">
        <v>1033</v>
      </c>
      <c r="H268" s="164">
        <v>2</v>
      </c>
      <c r="I268" s="164" t="s">
        <v>993</v>
      </c>
      <c r="J268" s="151"/>
      <c r="K268" s="165"/>
      <c r="L268" s="164"/>
      <c r="M268" s="164"/>
    </row>
    <row r="269" spans="1:13" ht="13.15" x14ac:dyDescent="0.4">
      <c r="A269" s="159"/>
      <c r="B269" s="160"/>
      <c r="C269" s="160"/>
      <c r="D269" s="160"/>
      <c r="E269" s="151"/>
      <c r="F269" s="159" t="s">
        <v>1034</v>
      </c>
      <c r="G269" s="160" t="s">
        <v>1035</v>
      </c>
      <c r="H269" s="160">
        <v>2</v>
      </c>
      <c r="I269" s="160" t="s">
        <v>993</v>
      </c>
      <c r="J269" s="151"/>
      <c r="K269" s="161"/>
      <c r="L269" s="160"/>
      <c r="M269" s="160"/>
    </row>
    <row r="270" spans="1:13" ht="13.15" x14ac:dyDescent="0.4">
      <c r="A270" s="163"/>
      <c r="B270" s="164"/>
      <c r="C270" s="164"/>
      <c r="D270" s="164"/>
      <c r="E270" s="151"/>
      <c r="F270" s="163" t="s">
        <v>1036</v>
      </c>
      <c r="G270" s="167" t="s">
        <v>1037</v>
      </c>
      <c r="H270" s="167">
        <v>1</v>
      </c>
      <c r="I270" s="167"/>
      <c r="J270" s="151"/>
      <c r="K270" s="165"/>
      <c r="L270" s="164"/>
      <c r="M270" s="164"/>
    </row>
    <row r="271" spans="1:13" ht="13.15" x14ac:dyDescent="0.4">
      <c r="A271" s="159"/>
      <c r="B271" s="160"/>
      <c r="C271" s="160"/>
      <c r="D271" s="160"/>
      <c r="E271" s="151"/>
      <c r="F271" s="159" t="s">
        <v>1038</v>
      </c>
      <c r="G271" s="160" t="s">
        <v>1039</v>
      </c>
      <c r="H271" s="160">
        <v>2</v>
      </c>
      <c r="I271" s="160" t="s">
        <v>1037</v>
      </c>
      <c r="J271" s="151"/>
      <c r="K271" s="161"/>
      <c r="L271" s="160"/>
      <c r="M271" s="160"/>
    </row>
    <row r="272" spans="1:13" ht="13.15" x14ac:dyDescent="0.4">
      <c r="A272" s="163"/>
      <c r="B272" s="164"/>
      <c r="C272" s="164"/>
      <c r="D272" s="164"/>
      <c r="E272" s="151"/>
      <c r="F272" s="163" t="s">
        <v>1040</v>
      </c>
      <c r="G272" s="164" t="s">
        <v>1041</v>
      </c>
      <c r="H272" s="164">
        <v>2</v>
      </c>
      <c r="I272" s="164" t="s">
        <v>1037</v>
      </c>
      <c r="J272" s="151"/>
      <c r="K272" s="165"/>
      <c r="L272" s="164"/>
      <c r="M272" s="164"/>
    </row>
    <row r="273" spans="1:13" ht="13.15" x14ac:dyDescent="0.4">
      <c r="A273" s="159"/>
      <c r="B273" s="160"/>
      <c r="C273" s="160"/>
      <c r="D273" s="160"/>
      <c r="E273" s="151"/>
      <c r="F273" s="159" t="s">
        <v>1042</v>
      </c>
      <c r="G273" s="160" t="s">
        <v>1043</v>
      </c>
      <c r="H273" s="160">
        <v>2</v>
      </c>
      <c r="I273" s="160" t="s">
        <v>1037</v>
      </c>
      <c r="J273" s="151"/>
      <c r="K273" s="161"/>
      <c r="L273" s="160"/>
      <c r="M273" s="160"/>
    </row>
    <row r="274" spans="1:13" ht="13.15" x14ac:dyDescent="0.4">
      <c r="A274" s="163"/>
      <c r="B274" s="164"/>
      <c r="C274" s="164"/>
      <c r="D274" s="164"/>
      <c r="E274" s="151"/>
      <c r="F274" s="163" t="s">
        <v>1044</v>
      </c>
      <c r="G274" s="164" t="s">
        <v>1045</v>
      </c>
      <c r="H274" s="164">
        <v>2</v>
      </c>
      <c r="I274" s="164" t="s">
        <v>1037</v>
      </c>
      <c r="J274" s="151"/>
      <c r="K274" s="165"/>
      <c r="L274" s="164"/>
      <c r="M274" s="164"/>
    </row>
    <row r="275" spans="1:13" ht="13.15" x14ac:dyDescent="0.4">
      <c r="A275" s="159"/>
      <c r="B275" s="160"/>
      <c r="C275" s="160"/>
      <c r="D275" s="160"/>
      <c r="E275" s="151"/>
      <c r="F275" s="159" t="s">
        <v>1046</v>
      </c>
      <c r="G275" s="160" t="s">
        <v>1047</v>
      </c>
      <c r="H275" s="160">
        <v>2</v>
      </c>
      <c r="I275" s="160" t="s">
        <v>1037</v>
      </c>
      <c r="J275" s="151"/>
      <c r="K275" s="161"/>
      <c r="L275" s="160"/>
      <c r="M275" s="160"/>
    </row>
    <row r="276" spans="1:13" ht="13.15" x14ac:dyDescent="0.4">
      <c r="A276" s="163"/>
      <c r="B276" s="164"/>
      <c r="C276" s="164"/>
      <c r="D276" s="164"/>
      <c r="E276" s="151"/>
      <c r="F276" s="163" t="s">
        <v>1048</v>
      </c>
      <c r="G276" s="164" t="s">
        <v>1049</v>
      </c>
      <c r="H276" s="164">
        <v>2</v>
      </c>
      <c r="I276" s="164" t="s">
        <v>1037</v>
      </c>
      <c r="J276" s="151"/>
      <c r="K276" s="165"/>
      <c r="L276" s="164"/>
      <c r="M276" s="164"/>
    </row>
    <row r="277" spans="1:13" ht="13.15" x14ac:dyDescent="0.4">
      <c r="A277" s="159"/>
      <c r="B277" s="160"/>
      <c r="C277" s="160"/>
      <c r="D277" s="160"/>
      <c r="E277" s="151"/>
      <c r="F277" s="159" t="s">
        <v>1050</v>
      </c>
      <c r="G277" s="160" t="s">
        <v>1051</v>
      </c>
      <c r="H277" s="160">
        <v>2</v>
      </c>
      <c r="I277" s="160" t="s">
        <v>1037</v>
      </c>
      <c r="J277" s="151"/>
      <c r="K277" s="161"/>
      <c r="L277" s="160"/>
      <c r="M277" s="160"/>
    </row>
    <row r="278" spans="1:13" ht="13.15" x14ac:dyDescent="0.4">
      <c r="A278" s="163"/>
      <c r="B278" s="164"/>
      <c r="C278" s="164"/>
      <c r="D278" s="164"/>
      <c r="E278" s="151"/>
      <c r="F278" s="163" t="s">
        <v>1052</v>
      </c>
      <c r="G278" s="164" t="s">
        <v>1053</v>
      </c>
      <c r="H278" s="164">
        <v>2</v>
      </c>
      <c r="I278" s="164" t="s">
        <v>1037</v>
      </c>
      <c r="J278" s="151"/>
      <c r="K278" s="165"/>
      <c r="L278" s="164"/>
      <c r="M278" s="164"/>
    </row>
    <row r="279" spans="1:13" ht="13.15" x14ac:dyDescent="0.4">
      <c r="A279" s="159"/>
      <c r="B279" s="160"/>
      <c r="C279" s="160"/>
      <c r="D279" s="160"/>
      <c r="E279" s="151"/>
      <c r="F279" s="159" t="s">
        <v>1054</v>
      </c>
      <c r="G279" s="160" t="s">
        <v>1055</v>
      </c>
      <c r="H279" s="160">
        <v>2</v>
      </c>
      <c r="I279" s="160" t="s">
        <v>1037</v>
      </c>
      <c r="J279" s="151"/>
      <c r="K279" s="161"/>
      <c r="L279" s="160"/>
      <c r="M279" s="160"/>
    </row>
    <row r="280" spans="1:13" ht="13.15" x14ac:dyDescent="0.4">
      <c r="A280" s="163"/>
      <c r="B280" s="164"/>
      <c r="C280" s="164"/>
      <c r="D280" s="164"/>
      <c r="E280" s="151"/>
      <c r="F280" s="163" t="s">
        <v>1056</v>
      </c>
      <c r="G280" s="164" t="s">
        <v>1057</v>
      </c>
      <c r="H280" s="164">
        <v>2</v>
      </c>
      <c r="I280" s="164" t="s">
        <v>1037</v>
      </c>
      <c r="J280" s="151"/>
      <c r="K280" s="165"/>
      <c r="L280" s="164"/>
      <c r="M280" s="164"/>
    </row>
    <row r="281" spans="1:13" ht="13.15" x14ac:dyDescent="0.4">
      <c r="A281" s="159"/>
      <c r="B281" s="160"/>
      <c r="C281" s="160"/>
      <c r="D281" s="160"/>
      <c r="E281" s="151"/>
      <c r="F281" s="159" t="s">
        <v>1058</v>
      </c>
      <c r="G281" s="160" t="s">
        <v>1059</v>
      </c>
      <c r="H281" s="160">
        <v>2</v>
      </c>
      <c r="I281" s="160" t="s">
        <v>1037</v>
      </c>
      <c r="J281" s="151"/>
      <c r="K281" s="161"/>
      <c r="L281" s="160"/>
      <c r="M281" s="160"/>
    </row>
    <row r="282" spans="1:13" ht="13.15" x14ac:dyDescent="0.4">
      <c r="A282" s="163"/>
      <c r="B282" s="164"/>
      <c r="C282" s="164"/>
      <c r="D282" s="164"/>
      <c r="E282" s="151"/>
      <c r="F282" s="163" t="s">
        <v>1060</v>
      </c>
      <c r="G282" s="164" t="s">
        <v>1061</v>
      </c>
      <c r="H282" s="164">
        <v>2</v>
      </c>
      <c r="I282" s="164" t="s">
        <v>1037</v>
      </c>
      <c r="J282" s="151"/>
      <c r="K282" s="165"/>
      <c r="L282" s="164"/>
      <c r="M282" s="164"/>
    </row>
    <row r="283" spans="1:13" ht="13.15" x14ac:dyDescent="0.4">
      <c r="A283" s="159"/>
      <c r="B283" s="160"/>
      <c r="C283" s="160"/>
      <c r="D283" s="160"/>
      <c r="E283" s="151"/>
      <c r="F283" s="159" t="s">
        <v>1062</v>
      </c>
      <c r="G283" s="160" t="s">
        <v>1063</v>
      </c>
      <c r="H283" s="160">
        <v>2</v>
      </c>
      <c r="I283" s="160" t="s">
        <v>1037</v>
      </c>
      <c r="J283" s="151"/>
      <c r="K283" s="161"/>
      <c r="L283" s="160"/>
      <c r="M283" s="160"/>
    </row>
    <row r="284" spans="1:13" ht="13.15" x14ac:dyDescent="0.4">
      <c r="A284" s="163"/>
      <c r="B284" s="164"/>
      <c r="C284" s="164"/>
      <c r="D284" s="164"/>
      <c r="E284" s="151"/>
      <c r="F284" s="163" t="s">
        <v>1064</v>
      </c>
      <c r="G284" s="167" t="s">
        <v>1065</v>
      </c>
      <c r="H284" s="167">
        <v>1</v>
      </c>
      <c r="I284" s="167"/>
      <c r="J284" s="151"/>
      <c r="K284" s="165"/>
      <c r="L284" s="164"/>
      <c r="M284" s="164"/>
    </row>
    <row r="285" spans="1:13" ht="13.15" x14ac:dyDescent="0.4">
      <c r="A285" s="159"/>
      <c r="B285" s="160"/>
      <c r="C285" s="160"/>
      <c r="D285" s="160"/>
      <c r="E285" s="151"/>
      <c r="F285" s="159" t="s">
        <v>1066</v>
      </c>
      <c r="G285" s="160" t="s">
        <v>1067</v>
      </c>
      <c r="H285" s="160">
        <v>2</v>
      </c>
      <c r="I285" s="160" t="s">
        <v>1065</v>
      </c>
      <c r="J285" s="151"/>
      <c r="K285" s="161"/>
      <c r="L285" s="160"/>
      <c r="M285" s="160"/>
    </row>
    <row r="286" spans="1:13" ht="13.15" x14ac:dyDescent="0.4">
      <c r="A286" s="163"/>
      <c r="B286" s="164"/>
      <c r="C286" s="164"/>
      <c r="D286" s="164"/>
      <c r="E286" s="151"/>
      <c r="F286" s="163" t="s">
        <v>1068</v>
      </c>
      <c r="G286" s="164" t="s">
        <v>1069</v>
      </c>
      <c r="H286" s="164">
        <v>2</v>
      </c>
      <c r="I286" s="164" t="s">
        <v>1065</v>
      </c>
      <c r="J286" s="151"/>
      <c r="K286" s="165"/>
      <c r="L286" s="164"/>
      <c r="M286" s="164"/>
    </row>
    <row r="287" spans="1:13" ht="13.15" x14ac:dyDescent="0.4">
      <c r="A287" s="159"/>
      <c r="B287" s="160"/>
      <c r="C287" s="160"/>
      <c r="D287" s="160"/>
      <c r="E287" s="151"/>
      <c r="F287" s="159" t="s">
        <v>1070</v>
      </c>
      <c r="G287" s="160" t="s">
        <v>1071</v>
      </c>
      <c r="H287" s="160">
        <v>2</v>
      </c>
      <c r="I287" s="160" t="s">
        <v>1065</v>
      </c>
      <c r="J287" s="151"/>
      <c r="K287" s="161"/>
      <c r="L287" s="160"/>
      <c r="M287" s="160"/>
    </row>
    <row r="288" spans="1:13" ht="13.15" x14ac:dyDescent="0.4">
      <c r="A288" s="163"/>
      <c r="B288" s="164"/>
      <c r="C288" s="164"/>
      <c r="D288" s="164"/>
      <c r="E288" s="151"/>
      <c r="F288" s="163" t="s">
        <v>1072</v>
      </c>
      <c r="G288" s="164" t="s">
        <v>1073</v>
      </c>
      <c r="H288" s="164">
        <v>2</v>
      </c>
      <c r="I288" s="164" t="s">
        <v>1065</v>
      </c>
      <c r="J288" s="151"/>
      <c r="K288" s="165"/>
      <c r="L288" s="164"/>
      <c r="M288" s="164"/>
    </row>
    <row r="289" spans="1:13" ht="13.15" x14ac:dyDescent="0.4">
      <c r="A289" s="159"/>
      <c r="B289" s="160"/>
      <c r="C289" s="160"/>
      <c r="D289" s="160"/>
      <c r="E289" s="151"/>
      <c r="F289" s="159" t="s">
        <v>1074</v>
      </c>
      <c r="G289" s="160" t="s">
        <v>1075</v>
      </c>
      <c r="H289" s="160">
        <v>2</v>
      </c>
      <c r="I289" s="160" t="s">
        <v>1065</v>
      </c>
      <c r="J289" s="151"/>
      <c r="K289" s="161"/>
      <c r="L289" s="160"/>
      <c r="M289" s="160"/>
    </row>
    <row r="290" spans="1:13" ht="13.15" x14ac:dyDescent="0.4">
      <c r="A290" s="163"/>
      <c r="B290" s="164"/>
      <c r="C290" s="164"/>
      <c r="D290" s="164"/>
      <c r="E290" s="151"/>
      <c r="F290" s="163" t="s">
        <v>1076</v>
      </c>
      <c r="G290" s="164" t="s">
        <v>1077</v>
      </c>
      <c r="H290" s="164">
        <v>2</v>
      </c>
      <c r="I290" s="164" t="s">
        <v>1065</v>
      </c>
      <c r="J290" s="151"/>
      <c r="K290" s="165"/>
      <c r="L290" s="164"/>
      <c r="M290" s="164"/>
    </row>
    <row r="291" spans="1:13" ht="13.15" x14ac:dyDescent="0.4">
      <c r="A291" s="159"/>
      <c r="B291" s="160"/>
      <c r="C291" s="160"/>
      <c r="D291" s="160"/>
      <c r="E291" s="151"/>
      <c r="F291" s="159" t="s">
        <v>1078</v>
      </c>
      <c r="G291" s="160" t="s">
        <v>1079</v>
      </c>
      <c r="H291" s="160">
        <v>2</v>
      </c>
      <c r="I291" s="160" t="s">
        <v>1065</v>
      </c>
      <c r="J291" s="151"/>
      <c r="K291" s="161"/>
      <c r="L291" s="160"/>
      <c r="M291" s="160"/>
    </row>
    <row r="292" spans="1:13" ht="13.15" x14ac:dyDescent="0.4">
      <c r="A292" s="163"/>
      <c r="B292" s="164"/>
      <c r="C292" s="164"/>
      <c r="D292" s="164"/>
      <c r="E292" s="151"/>
      <c r="F292" s="163" t="s">
        <v>1080</v>
      </c>
      <c r="G292" s="164" t="s">
        <v>1081</v>
      </c>
      <c r="H292" s="164">
        <v>2</v>
      </c>
      <c r="I292" s="164" t="s">
        <v>1065</v>
      </c>
      <c r="J292" s="151"/>
      <c r="K292" s="165"/>
      <c r="L292" s="164"/>
      <c r="M292" s="164"/>
    </row>
    <row r="293" spans="1:13" ht="13.15" x14ac:dyDescent="0.4">
      <c r="A293" s="159"/>
      <c r="B293" s="160"/>
      <c r="C293" s="160"/>
      <c r="D293" s="160"/>
      <c r="E293" s="151"/>
      <c r="F293" s="159" t="s">
        <v>1082</v>
      </c>
      <c r="G293" s="160" t="s">
        <v>1083</v>
      </c>
      <c r="H293" s="160">
        <v>2</v>
      </c>
      <c r="I293" s="160" t="s">
        <v>1065</v>
      </c>
      <c r="J293" s="151"/>
      <c r="K293" s="161"/>
      <c r="L293" s="160"/>
      <c r="M293" s="160"/>
    </row>
    <row r="294" spans="1:13" ht="13.15" x14ac:dyDescent="0.4">
      <c r="A294" s="163"/>
      <c r="B294" s="164"/>
      <c r="C294" s="164"/>
      <c r="D294" s="164"/>
      <c r="E294" s="151"/>
      <c r="F294" s="163" t="s">
        <v>1084</v>
      </c>
      <c r="G294" s="164" t="s">
        <v>1085</v>
      </c>
      <c r="H294" s="164">
        <v>2</v>
      </c>
      <c r="I294" s="164" t="s">
        <v>1065</v>
      </c>
      <c r="J294" s="151"/>
      <c r="K294" s="165"/>
      <c r="L294" s="164"/>
      <c r="M294" s="164"/>
    </row>
    <row r="295" spans="1:13" ht="13.15" x14ac:dyDescent="0.4">
      <c r="A295" s="159"/>
      <c r="B295" s="160"/>
      <c r="C295" s="160"/>
      <c r="D295" s="160"/>
      <c r="E295" s="151"/>
      <c r="F295" s="159" t="s">
        <v>1086</v>
      </c>
      <c r="G295" s="160" t="s">
        <v>1087</v>
      </c>
      <c r="H295" s="160">
        <v>2</v>
      </c>
      <c r="I295" s="160" t="s">
        <v>1065</v>
      </c>
      <c r="J295" s="151"/>
      <c r="K295" s="161"/>
      <c r="L295" s="160"/>
      <c r="M295" s="160"/>
    </row>
    <row r="296" spans="1:13" ht="13.15" x14ac:dyDescent="0.4">
      <c r="A296" s="163"/>
      <c r="B296" s="164"/>
      <c r="C296" s="164"/>
      <c r="D296" s="164"/>
      <c r="E296" s="151"/>
      <c r="F296" s="163" t="s">
        <v>1088</v>
      </c>
      <c r="G296" s="164" t="s">
        <v>1089</v>
      </c>
      <c r="H296" s="164">
        <v>2</v>
      </c>
      <c r="I296" s="164" t="s">
        <v>1065</v>
      </c>
      <c r="J296" s="151"/>
      <c r="K296" s="165"/>
      <c r="L296" s="164"/>
      <c r="M296" s="164"/>
    </row>
    <row r="297" spans="1:13" ht="13.15" x14ac:dyDescent="0.4">
      <c r="A297" s="159"/>
      <c r="B297" s="160"/>
      <c r="C297" s="160"/>
      <c r="D297" s="160"/>
      <c r="E297" s="151"/>
      <c r="F297" s="159" t="s">
        <v>1090</v>
      </c>
      <c r="G297" s="160" t="s">
        <v>1091</v>
      </c>
      <c r="H297" s="160">
        <v>2</v>
      </c>
      <c r="I297" s="160" t="s">
        <v>1065</v>
      </c>
      <c r="J297" s="151"/>
      <c r="K297" s="161"/>
      <c r="L297" s="160"/>
      <c r="M297" s="160"/>
    </row>
    <row r="298" spans="1:13" ht="13.15" x14ac:dyDescent="0.4">
      <c r="A298" s="163"/>
      <c r="B298" s="164"/>
      <c r="C298" s="164"/>
      <c r="D298" s="164"/>
      <c r="E298" s="151"/>
      <c r="F298" s="163" t="s">
        <v>1092</v>
      </c>
      <c r="G298" s="164" t="s">
        <v>1093</v>
      </c>
      <c r="H298" s="164">
        <v>2</v>
      </c>
      <c r="I298" s="164" t="s">
        <v>1065</v>
      </c>
      <c r="J298" s="151"/>
      <c r="K298" s="165"/>
      <c r="L298" s="164"/>
      <c r="M298" s="164"/>
    </row>
    <row r="299" spans="1:13" ht="13.15" x14ac:dyDescent="0.4">
      <c r="A299" s="159"/>
      <c r="B299" s="160"/>
      <c r="C299" s="160"/>
      <c r="D299" s="160"/>
      <c r="E299" s="151"/>
      <c r="F299" s="159" t="s">
        <v>1094</v>
      </c>
      <c r="G299" s="160" t="s">
        <v>1095</v>
      </c>
      <c r="H299" s="160">
        <v>2</v>
      </c>
      <c r="I299" s="160" t="s">
        <v>1065</v>
      </c>
      <c r="J299" s="151"/>
      <c r="K299" s="161"/>
      <c r="L299" s="160"/>
      <c r="M299" s="160"/>
    </row>
    <row r="300" spans="1:13" ht="13.15" x14ac:dyDescent="0.4">
      <c r="A300" s="163"/>
      <c r="B300" s="164"/>
      <c r="C300" s="164"/>
      <c r="D300" s="164"/>
      <c r="E300" s="151"/>
      <c r="F300" s="163" t="s">
        <v>1096</v>
      </c>
      <c r="G300" s="164" t="s">
        <v>1097</v>
      </c>
      <c r="H300" s="164">
        <v>2</v>
      </c>
      <c r="I300" s="164" t="s">
        <v>1065</v>
      </c>
      <c r="J300" s="151"/>
      <c r="K300" s="165"/>
      <c r="L300" s="164"/>
      <c r="M300" s="164"/>
    </row>
    <row r="301" spans="1:13" ht="13.15" x14ac:dyDescent="0.4">
      <c r="A301" s="159"/>
      <c r="B301" s="160"/>
      <c r="C301" s="160"/>
      <c r="D301" s="160"/>
      <c r="E301" s="151"/>
      <c r="F301" s="159" t="s">
        <v>1098</v>
      </c>
      <c r="G301" s="160" t="s">
        <v>1099</v>
      </c>
      <c r="H301" s="160">
        <v>2</v>
      </c>
      <c r="I301" s="160" t="s">
        <v>1065</v>
      </c>
      <c r="J301" s="151"/>
      <c r="K301" s="161"/>
      <c r="L301" s="160"/>
      <c r="M301" s="160"/>
    </row>
    <row r="302" spans="1:13" ht="13.15" x14ac:dyDescent="0.4">
      <c r="A302" s="163"/>
      <c r="B302" s="164"/>
      <c r="C302" s="164"/>
      <c r="D302" s="164"/>
      <c r="E302" s="151"/>
      <c r="F302" s="163" t="s">
        <v>1100</v>
      </c>
      <c r="G302" s="164" t="s">
        <v>1101</v>
      </c>
      <c r="H302" s="164">
        <v>2</v>
      </c>
      <c r="I302" s="164" t="s">
        <v>1065</v>
      </c>
      <c r="J302" s="151"/>
      <c r="K302" s="165"/>
      <c r="L302" s="164"/>
      <c r="M302" s="164"/>
    </row>
    <row r="303" spans="1:13" ht="13.15" x14ac:dyDescent="0.4">
      <c r="A303" s="159"/>
      <c r="B303" s="160"/>
      <c r="C303" s="160"/>
      <c r="D303" s="160"/>
      <c r="E303" s="151"/>
      <c r="F303" s="159" t="s">
        <v>1102</v>
      </c>
      <c r="G303" s="160" t="s">
        <v>1103</v>
      </c>
      <c r="H303" s="160">
        <v>2</v>
      </c>
      <c r="I303" s="160" t="s">
        <v>1065</v>
      </c>
      <c r="J303" s="151"/>
      <c r="K303" s="161"/>
      <c r="L303" s="160"/>
      <c r="M303" s="160"/>
    </row>
    <row r="304" spans="1:13" ht="13.15" x14ac:dyDescent="0.4">
      <c r="A304" s="163"/>
      <c r="B304" s="164"/>
      <c r="C304" s="164"/>
      <c r="D304" s="164"/>
      <c r="E304" s="151"/>
      <c r="F304" s="163" t="s">
        <v>1104</v>
      </c>
      <c r="G304" s="164" t="s">
        <v>1105</v>
      </c>
      <c r="H304" s="164">
        <v>2</v>
      </c>
      <c r="I304" s="164" t="s">
        <v>1065</v>
      </c>
      <c r="J304" s="151"/>
      <c r="K304" s="165"/>
      <c r="L304" s="164"/>
      <c r="M304" s="164"/>
    </row>
    <row r="305" spans="1:13" ht="13.15" x14ac:dyDescent="0.4">
      <c r="A305" s="159"/>
      <c r="B305" s="160"/>
      <c r="C305" s="160"/>
      <c r="D305" s="160"/>
      <c r="E305" s="151"/>
      <c r="F305" s="159" t="s">
        <v>1106</v>
      </c>
      <c r="G305" s="160" t="s">
        <v>1107</v>
      </c>
      <c r="H305" s="160">
        <v>2</v>
      </c>
      <c r="I305" s="160" t="s">
        <v>1065</v>
      </c>
      <c r="J305" s="151"/>
      <c r="K305" s="161"/>
      <c r="L305" s="160"/>
      <c r="M305" s="160"/>
    </row>
    <row r="306" spans="1:13" ht="13.15" x14ac:dyDescent="0.4">
      <c r="A306" s="163"/>
      <c r="B306" s="164"/>
      <c r="C306" s="164"/>
      <c r="D306" s="164"/>
      <c r="E306" s="151"/>
      <c r="F306" s="163" t="s">
        <v>1108</v>
      </c>
      <c r="G306" s="164" t="s">
        <v>1109</v>
      </c>
      <c r="H306" s="164">
        <v>2</v>
      </c>
      <c r="I306" s="164" t="s">
        <v>1065</v>
      </c>
      <c r="J306" s="151"/>
      <c r="K306" s="165"/>
      <c r="L306" s="164"/>
      <c r="M306" s="164"/>
    </row>
    <row r="307" spans="1:13" ht="13.15" x14ac:dyDescent="0.4">
      <c r="A307" s="159"/>
      <c r="B307" s="160"/>
      <c r="C307" s="160"/>
      <c r="D307" s="160"/>
      <c r="E307" s="151"/>
      <c r="F307" s="159" t="s">
        <v>1110</v>
      </c>
      <c r="G307" s="160" t="s">
        <v>1111</v>
      </c>
      <c r="H307" s="160">
        <v>2</v>
      </c>
      <c r="I307" s="160" t="s">
        <v>1065</v>
      </c>
      <c r="J307" s="151"/>
      <c r="K307" s="161"/>
      <c r="L307" s="160"/>
      <c r="M307" s="160"/>
    </row>
    <row r="308" spans="1:13" ht="13.15" x14ac:dyDescent="0.4">
      <c r="A308" s="163"/>
      <c r="B308" s="164"/>
      <c r="C308" s="164"/>
      <c r="D308" s="164"/>
      <c r="E308" s="151"/>
      <c r="F308" s="163" t="s">
        <v>1112</v>
      </c>
      <c r="G308" s="167" t="s">
        <v>1113</v>
      </c>
      <c r="H308" s="167">
        <v>1</v>
      </c>
      <c r="I308" s="167"/>
      <c r="J308" s="151"/>
      <c r="K308" s="165"/>
      <c r="L308" s="164"/>
      <c r="M308" s="164"/>
    </row>
    <row r="309" spans="1:13" ht="13.15" x14ac:dyDescent="0.4">
      <c r="A309" s="159"/>
      <c r="B309" s="160"/>
      <c r="C309" s="160"/>
      <c r="D309" s="160"/>
      <c r="E309" s="151"/>
      <c r="F309" s="159" t="s">
        <v>1114</v>
      </c>
      <c r="G309" s="160" t="s">
        <v>1115</v>
      </c>
      <c r="H309" s="160">
        <v>2</v>
      </c>
      <c r="I309" s="160" t="s">
        <v>1113</v>
      </c>
      <c r="J309" s="151"/>
      <c r="K309" s="161"/>
      <c r="L309" s="160"/>
      <c r="M309" s="160"/>
    </row>
    <row r="310" spans="1:13" ht="13.15" x14ac:dyDescent="0.4">
      <c r="A310" s="163"/>
      <c r="B310" s="164"/>
      <c r="C310" s="164"/>
      <c r="D310" s="164"/>
      <c r="E310" s="151"/>
      <c r="F310" s="163" t="s">
        <v>1116</v>
      </c>
      <c r="G310" s="164" t="s">
        <v>1117</v>
      </c>
      <c r="H310" s="164">
        <v>2</v>
      </c>
      <c r="I310" s="164" t="s">
        <v>1113</v>
      </c>
      <c r="J310" s="151"/>
      <c r="K310" s="165"/>
      <c r="L310" s="164"/>
      <c r="M310" s="164"/>
    </row>
    <row r="311" spans="1:13" ht="13.15" x14ac:dyDescent="0.4">
      <c r="A311" s="159"/>
      <c r="B311" s="160"/>
      <c r="C311" s="160"/>
      <c r="D311" s="160"/>
      <c r="E311" s="151"/>
      <c r="F311" s="159" t="s">
        <v>1118</v>
      </c>
      <c r="G311" s="160" t="s">
        <v>1119</v>
      </c>
      <c r="H311" s="160">
        <v>2</v>
      </c>
      <c r="I311" s="160" t="s">
        <v>1113</v>
      </c>
      <c r="J311" s="151"/>
      <c r="K311" s="161"/>
      <c r="L311" s="160"/>
      <c r="M311" s="160"/>
    </row>
    <row r="312" spans="1:13" ht="13.15" x14ac:dyDescent="0.4">
      <c r="A312" s="163"/>
      <c r="B312" s="164"/>
      <c r="C312" s="164"/>
      <c r="D312" s="164"/>
      <c r="E312" s="151"/>
      <c r="F312" s="163" t="s">
        <v>1120</v>
      </c>
      <c r="G312" s="164" t="s">
        <v>1121</v>
      </c>
      <c r="H312" s="164">
        <v>2</v>
      </c>
      <c r="I312" s="164" t="s">
        <v>1113</v>
      </c>
      <c r="J312" s="151"/>
      <c r="K312" s="165"/>
      <c r="L312" s="164"/>
      <c r="M312" s="164"/>
    </row>
    <row r="313" spans="1:13" ht="13.15" x14ac:dyDescent="0.4">
      <c r="A313" s="159"/>
      <c r="B313" s="160"/>
      <c r="C313" s="160"/>
      <c r="D313" s="160"/>
      <c r="E313" s="151"/>
      <c r="F313" s="159" t="s">
        <v>1122</v>
      </c>
      <c r="G313" s="160" t="s">
        <v>1123</v>
      </c>
      <c r="H313" s="160">
        <v>2</v>
      </c>
      <c r="I313" s="160" t="s">
        <v>1113</v>
      </c>
      <c r="J313" s="151"/>
      <c r="K313" s="161"/>
      <c r="L313" s="160"/>
      <c r="M313" s="160"/>
    </row>
    <row r="314" spans="1:13" ht="13.15" x14ac:dyDescent="0.4">
      <c r="A314" s="163"/>
      <c r="B314" s="164"/>
      <c r="C314" s="164"/>
      <c r="D314" s="164"/>
      <c r="E314" s="151"/>
      <c r="F314" s="163" t="s">
        <v>1124</v>
      </c>
      <c r="G314" s="164" t="s">
        <v>1125</v>
      </c>
      <c r="H314" s="164">
        <v>2</v>
      </c>
      <c r="I314" s="164" t="s">
        <v>1113</v>
      </c>
      <c r="J314" s="151"/>
      <c r="K314" s="165"/>
      <c r="L314" s="164"/>
      <c r="M314" s="164"/>
    </row>
    <row r="315" spans="1:13" ht="13.15" x14ac:dyDescent="0.4">
      <c r="A315" s="159"/>
      <c r="B315" s="160"/>
      <c r="C315" s="160"/>
      <c r="D315" s="160"/>
      <c r="E315" s="151"/>
      <c r="F315" s="159" t="s">
        <v>1126</v>
      </c>
      <c r="G315" s="160" t="s">
        <v>1127</v>
      </c>
      <c r="H315" s="160">
        <v>2</v>
      </c>
      <c r="I315" s="160" t="s">
        <v>1113</v>
      </c>
      <c r="J315" s="151"/>
      <c r="K315" s="161"/>
      <c r="L315" s="160"/>
      <c r="M315" s="160"/>
    </row>
    <row r="316" spans="1:13" ht="13.15" x14ac:dyDescent="0.4">
      <c r="A316" s="163"/>
      <c r="B316" s="164"/>
      <c r="C316" s="164"/>
      <c r="D316" s="164"/>
      <c r="E316" s="151"/>
      <c r="F316" s="163" t="s">
        <v>1128</v>
      </c>
      <c r="G316" s="164" t="s">
        <v>1129</v>
      </c>
      <c r="H316" s="164">
        <v>2</v>
      </c>
      <c r="I316" s="164" t="s">
        <v>1113</v>
      </c>
      <c r="J316" s="151"/>
      <c r="K316" s="165"/>
      <c r="L316" s="164"/>
      <c r="M316" s="164"/>
    </row>
    <row r="317" spans="1:13" ht="13.15" x14ac:dyDescent="0.4">
      <c r="A317" s="159"/>
      <c r="B317" s="160"/>
      <c r="C317" s="160"/>
      <c r="D317" s="160"/>
      <c r="E317" s="151"/>
      <c r="F317" s="159" t="s">
        <v>1130</v>
      </c>
      <c r="G317" s="160" t="s">
        <v>1131</v>
      </c>
      <c r="H317" s="160">
        <v>2</v>
      </c>
      <c r="I317" s="160" t="s">
        <v>1113</v>
      </c>
      <c r="J317" s="151"/>
      <c r="K317" s="161"/>
      <c r="L317" s="160"/>
      <c r="M317" s="160"/>
    </row>
    <row r="318" spans="1:13" ht="13.15" x14ac:dyDescent="0.4">
      <c r="A318" s="163"/>
      <c r="B318" s="164"/>
      <c r="C318" s="164"/>
      <c r="D318" s="164"/>
      <c r="E318" s="151"/>
      <c r="F318" s="163" t="s">
        <v>1132</v>
      </c>
      <c r="G318" s="164" t="s">
        <v>1133</v>
      </c>
      <c r="H318" s="164">
        <v>2</v>
      </c>
      <c r="I318" s="164" t="s">
        <v>1113</v>
      </c>
      <c r="J318" s="151"/>
      <c r="K318" s="165"/>
      <c r="L318" s="164"/>
      <c r="M318" s="164"/>
    </row>
    <row r="319" spans="1:13" ht="13.15" x14ac:dyDescent="0.4">
      <c r="A319" s="159"/>
      <c r="B319" s="160"/>
      <c r="C319" s="160"/>
      <c r="D319" s="160"/>
      <c r="E319" s="151"/>
      <c r="F319" s="159" t="s">
        <v>1134</v>
      </c>
      <c r="G319" s="160" t="s">
        <v>1135</v>
      </c>
      <c r="H319" s="160">
        <v>2</v>
      </c>
      <c r="I319" s="160" t="s">
        <v>1113</v>
      </c>
      <c r="J319" s="151"/>
      <c r="K319" s="161"/>
      <c r="L319" s="160"/>
      <c r="M319" s="160"/>
    </row>
    <row r="320" spans="1:13" ht="13.15" x14ac:dyDescent="0.4">
      <c r="A320" s="163"/>
      <c r="B320" s="164"/>
      <c r="C320" s="164"/>
      <c r="D320" s="164"/>
      <c r="E320" s="151"/>
      <c r="F320" s="163" t="s">
        <v>1136</v>
      </c>
      <c r="G320" s="164" t="s">
        <v>1137</v>
      </c>
      <c r="H320" s="164">
        <v>2</v>
      </c>
      <c r="I320" s="164" t="s">
        <v>1113</v>
      </c>
      <c r="J320" s="151"/>
      <c r="K320" s="165"/>
      <c r="L320" s="164"/>
      <c r="M320" s="164"/>
    </row>
    <row r="321" spans="1:13" ht="13.15" x14ac:dyDescent="0.4">
      <c r="A321" s="159"/>
      <c r="B321" s="160"/>
      <c r="C321" s="160"/>
      <c r="D321" s="160"/>
      <c r="E321" s="151"/>
      <c r="F321" s="159" t="s">
        <v>1138</v>
      </c>
      <c r="G321" s="160" t="s">
        <v>1139</v>
      </c>
      <c r="H321" s="160">
        <v>2</v>
      </c>
      <c r="I321" s="160" t="s">
        <v>1113</v>
      </c>
      <c r="J321" s="151"/>
      <c r="K321" s="161"/>
      <c r="L321" s="160"/>
      <c r="M321" s="160"/>
    </row>
    <row r="322" spans="1:13" ht="13.15" x14ac:dyDescent="0.4">
      <c r="A322" s="163"/>
      <c r="B322" s="164"/>
      <c r="C322" s="164"/>
      <c r="D322" s="164"/>
      <c r="E322" s="151"/>
      <c r="F322" s="163" t="s">
        <v>1140</v>
      </c>
      <c r="G322" s="164" t="s">
        <v>1141</v>
      </c>
      <c r="H322" s="164">
        <v>2</v>
      </c>
      <c r="I322" s="164" t="s">
        <v>1113</v>
      </c>
      <c r="J322" s="151"/>
      <c r="K322" s="165"/>
      <c r="L322" s="164"/>
      <c r="M322" s="164"/>
    </row>
    <row r="323" spans="1:13" ht="13.15" x14ac:dyDescent="0.4">
      <c r="A323" s="159"/>
      <c r="B323" s="160"/>
      <c r="C323" s="160"/>
      <c r="D323" s="160"/>
      <c r="E323" s="151"/>
      <c r="F323" s="159" t="s">
        <v>1142</v>
      </c>
      <c r="G323" s="160" t="s">
        <v>1143</v>
      </c>
      <c r="H323" s="160">
        <v>2</v>
      </c>
      <c r="I323" s="160" t="s">
        <v>1113</v>
      </c>
      <c r="J323" s="151"/>
      <c r="K323" s="161"/>
      <c r="L323" s="160"/>
      <c r="M323" s="160"/>
    </row>
    <row r="324" spans="1:13" ht="13.15" x14ac:dyDescent="0.4">
      <c r="A324" s="163"/>
      <c r="B324" s="164"/>
      <c r="C324" s="164"/>
      <c r="D324" s="164"/>
      <c r="E324" s="151"/>
      <c r="F324" s="163" t="s">
        <v>1144</v>
      </c>
      <c r="G324" s="164" t="s">
        <v>1145</v>
      </c>
      <c r="H324" s="164">
        <v>2</v>
      </c>
      <c r="I324" s="164" t="s">
        <v>1113</v>
      </c>
      <c r="J324" s="151"/>
      <c r="K324" s="165"/>
      <c r="L324" s="164"/>
      <c r="M324" s="164"/>
    </row>
    <row r="325" spans="1:13" ht="13.15" x14ac:dyDescent="0.4">
      <c r="A325" s="159"/>
      <c r="B325" s="160"/>
      <c r="C325" s="160"/>
      <c r="D325" s="160"/>
      <c r="E325" s="151"/>
      <c r="F325" s="159" t="s">
        <v>1146</v>
      </c>
      <c r="G325" s="160" t="s">
        <v>1147</v>
      </c>
      <c r="H325" s="160">
        <v>2</v>
      </c>
      <c r="I325" s="160" t="s">
        <v>1113</v>
      </c>
      <c r="J325" s="151"/>
      <c r="K325" s="161"/>
      <c r="L325" s="160"/>
      <c r="M325" s="160"/>
    </row>
    <row r="326" spans="1:13" ht="13.15" x14ac:dyDescent="0.4">
      <c r="A326" s="163"/>
      <c r="B326" s="164"/>
      <c r="C326" s="164"/>
      <c r="D326" s="164"/>
      <c r="E326" s="151"/>
      <c r="F326" s="163" t="s">
        <v>1148</v>
      </c>
      <c r="G326" s="164" t="s">
        <v>1149</v>
      </c>
      <c r="H326" s="164">
        <v>2</v>
      </c>
      <c r="I326" s="164" t="s">
        <v>1113</v>
      </c>
      <c r="J326" s="151"/>
      <c r="K326" s="165"/>
      <c r="L326" s="164"/>
      <c r="M326" s="164"/>
    </row>
    <row r="327" spans="1:13" ht="13.15" x14ac:dyDescent="0.4">
      <c r="A327" s="159"/>
      <c r="B327" s="160"/>
      <c r="C327" s="160"/>
      <c r="D327" s="160"/>
      <c r="E327" s="151"/>
      <c r="F327" s="159" t="s">
        <v>1150</v>
      </c>
      <c r="G327" s="160" t="s">
        <v>1151</v>
      </c>
      <c r="H327" s="160">
        <v>2</v>
      </c>
      <c r="I327" s="160" t="s">
        <v>1113</v>
      </c>
      <c r="J327" s="151"/>
      <c r="K327" s="161"/>
      <c r="L327" s="160"/>
      <c r="M327" s="160"/>
    </row>
    <row r="328" spans="1:13" ht="13.15" x14ac:dyDescent="0.4">
      <c r="A328" s="163"/>
      <c r="B328" s="164"/>
      <c r="C328" s="164"/>
      <c r="D328" s="164"/>
      <c r="E328" s="151"/>
      <c r="F328" s="163" t="s">
        <v>1152</v>
      </c>
      <c r="G328" s="164" t="s">
        <v>1153</v>
      </c>
      <c r="H328" s="164">
        <v>2</v>
      </c>
      <c r="I328" s="164" t="s">
        <v>1113</v>
      </c>
      <c r="J328" s="151"/>
      <c r="K328" s="165"/>
      <c r="L328" s="164"/>
      <c r="M328" s="164"/>
    </row>
    <row r="329" spans="1:13" ht="13.15" x14ac:dyDescent="0.4">
      <c r="A329" s="159"/>
      <c r="B329" s="160"/>
      <c r="C329" s="160"/>
      <c r="D329" s="160"/>
      <c r="E329" s="151"/>
      <c r="F329" s="159" t="s">
        <v>1154</v>
      </c>
      <c r="G329" s="160" t="s">
        <v>1155</v>
      </c>
      <c r="H329" s="160">
        <v>2</v>
      </c>
      <c r="I329" s="160" t="s">
        <v>1113</v>
      </c>
      <c r="J329" s="151"/>
      <c r="K329" s="161"/>
      <c r="L329" s="160"/>
      <c r="M329" s="160"/>
    </row>
    <row r="330" spans="1:13" ht="13.15" x14ac:dyDescent="0.4">
      <c r="A330" s="163"/>
      <c r="B330" s="164"/>
      <c r="C330" s="164"/>
      <c r="D330" s="164"/>
      <c r="E330" s="151"/>
      <c r="F330" s="163" t="s">
        <v>1156</v>
      </c>
      <c r="G330" s="164" t="s">
        <v>1157</v>
      </c>
      <c r="H330" s="164">
        <v>2</v>
      </c>
      <c r="I330" s="164" t="s">
        <v>1113</v>
      </c>
      <c r="J330" s="151"/>
      <c r="K330" s="165"/>
      <c r="L330" s="164"/>
      <c r="M330" s="164"/>
    </row>
    <row r="331" spans="1:13" ht="13.15" x14ac:dyDescent="0.4">
      <c r="A331" s="159"/>
      <c r="B331" s="160"/>
      <c r="C331" s="160"/>
      <c r="D331" s="160"/>
      <c r="E331" s="151"/>
      <c r="F331" s="159" t="s">
        <v>1158</v>
      </c>
      <c r="G331" s="160" t="s">
        <v>1159</v>
      </c>
      <c r="H331" s="160">
        <v>2</v>
      </c>
      <c r="I331" s="160" t="s">
        <v>1113</v>
      </c>
      <c r="J331" s="151"/>
      <c r="K331" s="161"/>
      <c r="L331" s="160"/>
      <c r="M331" s="160"/>
    </row>
    <row r="332" spans="1:13" ht="13.15" x14ac:dyDescent="0.4">
      <c r="A332" s="163"/>
      <c r="B332" s="164"/>
      <c r="C332" s="164"/>
      <c r="D332" s="164"/>
      <c r="E332" s="151"/>
      <c r="F332" s="163" t="s">
        <v>1160</v>
      </c>
      <c r="G332" s="164" t="s">
        <v>1161</v>
      </c>
      <c r="H332" s="164">
        <v>2</v>
      </c>
      <c r="I332" s="164" t="s">
        <v>1113</v>
      </c>
      <c r="J332" s="151"/>
      <c r="K332" s="165"/>
      <c r="L332" s="164"/>
      <c r="M332" s="164"/>
    </row>
    <row r="333" spans="1:13" ht="13.15" x14ac:dyDescent="0.4">
      <c r="A333" s="159"/>
      <c r="B333" s="160"/>
      <c r="C333" s="160"/>
      <c r="D333" s="160"/>
      <c r="E333" s="151"/>
      <c r="F333" s="159" t="s">
        <v>1162</v>
      </c>
      <c r="G333" s="160" t="s">
        <v>1163</v>
      </c>
      <c r="H333" s="160">
        <v>2</v>
      </c>
      <c r="I333" s="160" t="s">
        <v>1113</v>
      </c>
      <c r="J333" s="151"/>
      <c r="K333" s="161"/>
      <c r="L333" s="160"/>
      <c r="M333" s="160"/>
    </row>
    <row r="334" spans="1:13" ht="13.15" x14ac:dyDescent="0.4">
      <c r="A334" s="163"/>
      <c r="B334" s="164"/>
      <c r="C334" s="164"/>
      <c r="D334" s="164"/>
      <c r="E334" s="151"/>
      <c r="F334" s="163" t="s">
        <v>1164</v>
      </c>
      <c r="G334" s="164" t="s">
        <v>1165</v>
      </c>
      <c r="H334" s="164">
        <v>2</v>
      </c>
      <c r="I334" s="164" t="s">
        <v>1113</v>
      </c>
      <c r="J334" s="151"/>
      <c r="K334" s="165"/>
      <c r="L334" s="164"/>
      <c r="M334" s="164"/>
    </row>
    <row r="335" spans="1:13" ht="13.15" x14ac:dyDescent="0.4">
      <c r="A335" s="159"/>
      <c r="B335" s="160"/>
      <c r="C335" s="160"/>
      <c r="D335" s="160"/>
      <c r="E335" s="151"/>
      <c r="F335" s="159" t="s">
        <v>1166</v>
      </c>
      <c r="G335" s="160" t="s">
        <v>1167</v>
      </c>
      <c r="H335" s="160">
        <v>2</v>
      </c>
      <c r="I335" s="160" t="s">
        <v>1113</v>
      </c>
      <c r="J335" s="151"/>
      <c r="K335" s="161"/>
      <c r="L335" s="160"/>
      <c r="M335" s="160"/>
    </row>
    <row r="336" spans="1:13" ht="13.15" x14ac:dyDescent="0.4">
      <c r="A336" s="163"/>
      <c r="B336" s="164"/>
      <c r="C336" s="164"/>
      <c r="D336" s="164"/>
      <c r="E336" s="151"/>
      <c r="F336" s="163" t="s">
        <v>1168</v>
      </c>
      <c r="G336" s="164" t="s">
        <v>1169</v>
      </c>
      <c r="H336" s="164">
        <v>2</v>
      </c>
      <c r="I336" s="164" t="s">
        <v>1113</v>
      </c>
      <c r="J336" s="151"/>
      <c r="K336" s="165"/>
      <c r="L336" s="164"/>
      <c r="M336" s="164"/>
    </row>
    <row r="337" spans="1:13" ht="13.15" x14ac:dyDescent="0.4">
      <c r="A337" s="159"/>
      <c r="B337" s="160"/>
      <c r="C337" s="160"/>
      <c r="D337" s="160"/>
      <c r="E337" s="151"/>
      <c r="F337" s="159" t="s">
        <v>1170</v>
      </c>
      <c r="G337" s="168" t="s">
        <v>1171</v>
      </c>
      <c r="H337" s="168">
        <v>1</v>
      </c>
      <c r="I337" s="168"/>
      <c r="J337" s="151"/>
      <c r="K337" s="161"/>
      <c r="L337" s="160"/>
      <c r="M337" s="160"/>
    </row>
    <row r="338" spans="1:13" ht="13.15" x14ac:dyDescent="0.4">
      <c r="A338" s="163"/>
      <c r="B338" s="164"/>
      <c r="C338" s="164"/>
      <c r="D338" s="164"/>
      <c r="E338" s="151"/>
      <c r="F338" s="163" t="s">
        <v>1172</v>
      </c>
      <c r="G338" s="164" t="s">
        <v>1173</v>
      </c>
      <c r="H338" s="164">
        <v>2</v>
      </c>
      <c r="I338" s="164" t="s">
        <v>1171</v>
      </c>
      <c r="J338" s="151"/>
      <c r="K338" s="165"/>
      <c r="L338" s="164"/>
      <c r="M338" s="164"/>
    </row>
    <row r="339" spans="1:13" ht="13.15" x14ac:dyDescent="0.4">
      <c r="A339" s="159"/>
      <c r="B339" s="160"/>
      <c r="C339" s="160"/>
      <c r="D339" s="160"/>
      <c r="E339" s="151"/>
      <c r="F339" s="159" t="s">
        <v>1174</v>
      </c>
      <c r="G339" s="160" t="s">
        <v>1175</v>
      </c>
      <c r="H339" s="160">
        <v>2</v>
      </c>
      <c r="I339" s="160" t="s">
        <v>1171</v>
      </c>
      <c r="J339" s="151"/>
      <c r="K339" s="161"/>
      <c r="L339" s="160"/>
      <c r="M339" s="160"/>
    </row>
    <row r="340" spans="1:13" ht="13.15" x14ac:dyDescent="0.4">
      <c r="A340" s="163"/>
      <c r="B340" s="164"/>
      <c r="C340" s="164"/>
      <c r="D340" s="164"/>
      <c r="E340" s="151"/>
      <c r="F340" s="163" t="s">
        <v>1176</v>
      </c>
      <c r="G340" s="167" t="s">
        <v>1177</v>
      </c>
      <c r="H340" s="167">
        <v>1</v>
      </c>
      <c r="I340" s="167"/>
      <c r="J340" s="151"/>
      <c r="K340" s="165"/>
      <c r="L340" s="164"/>
      <c r="M340" s="164"/>
    </row>
    <row r="341" spans="1:13" ht="13.15" x14ac:dyDescent="0.4">
      <c r="A341" s="159"/>
      <c r="B341" s="160"/>
      <c r="C341" s="160"/>
      <c r="D341" s="160"/>
      <c r="E341" s="151"/>
      <c r="F341" s="159" t="s">
        <v>1178</v>
      </c>
      <c r="G341" s="160" t="s">
        <v>1179</v>
      </c>
      <c r="H341" s="160">
        <v>2</v>
      </c>
      <c r="I341" s="160" t="s">
        <v>1177</v>
      </c>
      <c r="J341" s="151"/>
      <c r="K341" s="161"/>
      <c r="L341" s="160"/>
      <c r="M341" s="160"/>
    </row>
    <row r="342" spans="1:13" ht="13.15" x14ac:dyDescent="0.4">
      <c r="A342" s="163"/>
      <c r="B342" s="164"/>
      <c r="C342" s="164"/>
      <c r="D342" s="164"/>
      <c r="E342" s="151"/>
      <c r="F342" s="163" t="s">
        <v>1180</v>
      </c>
      <c r="G342" s="164" t="s">
        <v>1181</v>
      </c>
      <c r="H342" s="164">
        <v>2</v>
      </c>
      <c r="I342" s="164" t="s">
        <v>1177</v>
      </c>
      <c r="J342" s="151"/>
      <c r="K342" s="165"/>
      <c r="L342" s="164"/>
      <c r="M342" s="164"/>
    </row>
    <row r="343" spans="1:13" ht="13.15" x14ac:dyDescent="0.4">
      <c r="A343" s="159"/>
      <c r="B343" s="160"/>
      <c r="C343" s="160"/>
      <c r="D343" s="160"/>
      <c r="E343" s="151"/>
      <c r="F343" s="159" t="s">
        <v>1182</v>
      </c>
      <c r="G343" s="160" t="s">
        <v>1183</v>
      </c>
      <c r="H343" s="160">
        <v>2</v>
      </c>
      <c r="I343" s="160" t="s">
        <v>1177</v>
      </c>
      <c r="J343" s="151"/>
      <c r="K343" s="161"/>
      <c r="L343" s="160"/>
      <c r="M343" s="160"/>
    </row>
    <row r="344" spans="1:13" ht="13.15" x14ac:dyDescent="0.4">
      <c r="A344" s="163"/>
      <c r="B344" s="164"/>
      <c r="C344" s="164"/>
      <c r="D344" s="164"/>
      <c r="E344" s="151"/>
      <c r="F344" s="163" t="s">
        <v>1184</v>
      </c>
      <c r="G344" s="164" t="s">
        <v>1185</v>
      </c>
      <c r="H344" s="164">
        <v>2</v>
      </c>
      <c r="I344" s="164" t="s">
        <v>1177</v>
      </c>
      <c r="J344" s="151"/>
      <c r="K344" s="165"/>
      <c r="L344" s="164"/>
      <c r="M344" s="164"/>
    </row>
    <row r="345" spans="1:13" ht="13.15" x14ac:dyDescent="0.4">
      <c r="A345" s="159"/>
      <c r="B345" s="160"/>
      <c r="C345" s="160"/>
      <c r="D345" s="160"/>
      <c r="E345" s="151"/>
      <c r="F345" s="159" t="s">
        <v>1186</v>
      </c>
      <c r="G345" s="160" t="s">
        <v>1187</v>
      </c>
      <c r="H345" s="160">
        <v>2</v>
      </c>
      <c r="I345" s="160" t="s">
        <v>1177</v>
      </c>
      <c r="J345" s="151"/>
      <c r="K345" s="161"/>
      <c r="L345" s="160"/>
      <c r="M345" s="160"/>
    </row>
    <row r="346" spans="1:13" ht="13.15" x14ac:dyDescent="0.4">
      <c r="A346" s="163"/>
      <c r="B346" s="164"/>
      <c r="C346" s="164"/>
      <c r="D346" s="164"/>
      <c r="E346" s="151"/>
      <c r="F346" s="163" t="s">
        <v>1188</v>
      </c>
      <c r="G346" s="164" t="s">
        <v>1189</v>
      </c>
      <c r="H346" s="164">
        <v>2</v>
      </c>
      <c r="I346" s="164" t="s">
        <v>1177</v>
      </c>
      <c r="J346" s="151"/>
      <c r="K346" s="165"/>
      <c r="L346" s="164"/>
      <c r="M346" s="164"/>
    </row>
    <row r="347" spans="1:13" ht="13.15" x14ac:dyDescent="0.4">
      <c r="A347" s="159"/>
      <c r="B347" s="160"/>
      <c r="C347" s="160"/>
      <c r="D347" s="160"/>
      <c r="E347" s="151"/>
      <c r="F347" s="159" t="s">
        <v>1190</v>
      </c>
      <c r="G347" s="160" t="s">
        <v>1191</v>
      </c>
      <c r="H347" s="160">
        <v>2</v>
      </c>
      <c r="I347" s="160" t="s">
        <v>1177</v>
      </c>
      <c r="J347" s="151"/>
      <c r="K347" s="161"/>
      <c r="L347" s="160"/>
      <c r="M347" s="160"/>
    </row>
    <row r="348" spans="1:13" ht="13.15" x14ac:dyDescent="0.4">
      <c r="A348" s="163"/>
      <c r="B348" s="164"/>
      <c r="C348" s="164"/>
      <c r="D348" s="164"/>
      <c r="E348" s="151"/>
      <c r="F348" s="163" t="s">
        <v>1192</v>
      </c>
      <c r="G348" s="164" t="s">
        <v>1193</v>
      </c>
      <c r="H348" s="164">
        <v>2</v>
      </c>
      <c r="I348" s="164" t="s">
        <v>1177</v>
      </c>
      <c r="J348" s="151"/>
      <c r="K348" s="165"/>
      <c r="L348" s="164"/>
      <c r="M348" s="164"/>
    </row>
    <row r="349" spans="1:13" ht="13.15" x14ac:dyDescent="0.4">
      <c r="A349" s="159"/>
      <c r="B349" s="160"/>
      <c r="C349" s="160"/>
      <c r="D349" s="160"/>
      <c r="E349" s="151"/>
      <c r="F349" s="159" t="s">
        <v>1194</v>
      </c>
      <c r="G349" s="168" t="s">
        <v>63</v>
      </c>
      <c r="H349" s="168">
        <v>1</v>
      </c>
      <c r="I349" s="168"/>
      <c r="J349" s="151"/>
      <c r="K349" s="161"/>
      <c r="L349" s="160"/>
      <c r="M349" s="160"/>
    </row>
    <row r="350" spans="1:13" ht="13.15" x14ac:dyDescent="0.4">
      <c r="A350" s="163"/>
      <c r="B350" s="164"/>
      <c r="C350" s="164"/>
      <c r="D350" s="164"/>
      <c r="E350" s="151"/>
      <c r="F350" s="163" t="s">
        <v>1195</v>
      </c>
      <c r="G350" s="164" t="s">
        <v>1196</v>
      </c>
      <c r="H350" s="164">
        <v>2</v>
      </c>
      <c r="I350" s="164" t="s">
        <v>63</v>
      </c>
      <c r="J350" s="151"/>
      <c r="K350" s="165"/>
      <c r="L350" s="164"/>
      <c r="M350" s="164"/>
    </row>
    <row r="351" spans="1:13" ht="13.15" x14ac:dyDescent="0.4">
      <c r="A351" s="159"/>
      <c r="B351" s="160"/>
      <c r="C351" s="160"/>
      <c r="D351" s="160"/>
      <c r="E351" s="151"/>
      <c r="F351" s="159" t="s">
        <v>1197</v>
      </c>
      <c r="G351" s="160" t="s">
        <v>1198</v>
      </c>
      <c r="H351" s="160">
        <v>2</v>
      </c>
      <c r="I351" s="160" t="s">
        <v>63</v>
      </c>
      <c r="J351" s="151"/>
      <c r="K351" s="161"/>
      <c r="L351" s="160"/>
      <c r="M351" s="160"/>
    </row>
    <row r="352" spans="1:13" ht="13.15" x14ac:dyDescent="0.4">
      <c r="A352" s="163"/>
      <c r="B352" s="164"/>
      <c r="C352" s="164"/>
      <c r="D352" s="164"/>
      <c r="E352" s="151"/>
      <c r="F352" s="163" t="s">
        <v>1199</v>
      </c>
      <c r="G352" s="164" t="s">
        <v>1200</v>
      </c>
      <c r="H352" s="164">
        <v>2</v>
      </c>
      <c r="I352" s="164" t="s">
        <v>63</v>
      </c>
      <c r="J352" s="151"/>
      <c r="K352" s="165"/>
      <c r="L352" s="164"/>
      <c r="M352" s="164"/>
    </row>
    <row r="353" spans="1:13" ht="13.15" x14ac:dyDescent="0.4">
      <c r="A353" s="159"/>
      <c r="B353" s="160"/>
      <c r="C353" s="160"/>
      <c r="D353" s="160"/>
      <c r="E353" s="151"/>
      <c r="F353" s="159" t="s">
        <v>1201</v>
      </c>
      <c r="G353" s="160" t="s">
        <v>1202</v>
      </c>
      <c r="H353" s="160">
        <v>2</v>
      </c>
      <c r="I353" s="160" t="s">
        <v>63</v>
      </c>
      <c r="J353" s="151"/>
      <c r="K353" s="161"/>
      <c r="L353" s="160"/>
      <c r="M353" s="160"/>
    </row>
    <row r="354" spans="1:13" ht="13.15" x14ac:dyDescent="0.4">
      <c r="A354" s="163"/>
      <c r="B354" s="164"/>
      <c r="C354" s="164"/>
      <c r="D354" s="164"/>
      <c r="E354" s="151"/>
      <c r="F354" s="163" t="s">
        <v>1203</v>
      </c>
      <c r="G354" s="164" t="s">
        <v>1204</v>
      </c>
      <c r="H354" s="164">
        <v>2</v>
      </c>
      <c r="I354" s="164" t="s">
        <v>63</v>
      </c>
      <c r="J354" s="151"/>
      <c r="K354" s="165"/>
      <c r="L354" s="164"/>
      <c r="M354" s="164"/>
    </row>
    <row r="355" spans="1:13" ht="13.15" x14ac:dyDescent="0.4">
      <c r="A355" s="159"/>
      <c r="B355" s="160"/>
      <c r="C355" s="160"/>
      <c r="D355" s="160"/>
      <c r="E355" s="151"/>
      <c r="F355" s="159" t="s">
        <v>1205</v>
      </c>
      <c r="G355" s="160" t="s">
        <v>1206</v>
      </c>
      <c r="H355" s="160">
        <v>2</v>
      </c>
      <c r="I355" s="160" t="s">
        <v>63</v>
      </c>
      <c r="J355" s="151"/>
      <c r="K355" s="161"/>
      <c r="L355" s="160"/>
      <c r="M355" s="160"/>
    </row>
    <row r="356" spans="1:13" ht="13.15" x14ac:dyDescent="0.4">
      <c r="A356" s="163"/>
      <c r="B356" s="164"/>
      <c r="C356" s="164"/>
      <c r="D356" s="164"/>
      <c r="E356" s="151"/>
      <c r="F356" s="163" t="s">
        <v>1207</v>
      </c>
      <c r="G356" s="164" t="s">
        <v>1208</v>
      </c>
      <c r="H356" s="164">
        <v>2</v>
      </c>
      <c r="I356" s="164" t="s">
        <v>63</v>
      </c>
      <c r="J356" s="151"/>
      <c r="K356" s="165"/>
      <c r="L356" s="164"/>
      <c r="M356" s="164"/>
    </row>
    <row r="357" spans="1:13" ht="13.15" x14ac:dyDescent="0.4">
      <c r="A357" s="159"/>
      <c r="B357" s="160"/>
      <c r="C357" s="160"/>
      <c r="D357" s="160"/>
      <c r="E357" s="151"/>
      <c r="F357" s="159" t="s">
        <v>1209</v>
      </c>
      <c r="G357" s="160" t="s">
        <v>1210</v>
      </c>
      <c r="H357" s="160">
        <v>2</v>
      </c>
      <c r="I357" s="160" t="s">
        <v>63</v>
      </c>
      <c r="J357" s="151"/>
      <c r="K357" s="161"/>
      <c r="L357" s="160"/>
      <c r="M357" s="160"/>
    </row>
    <row r="358" spans="1:13" ht="13.15" x14ac:dyDescent="0.4">
      <c r="A358" s="163"/>
      <c r="B358" s="164"/>
      <c r="C358" s="164"/>
      <c r="D358" s="164"/>
      <c r="E358" s="151"/>
      <c r="F358" s="163" t="s">
        <v>1211</v>
      </c>
      <c r="G358" s="164" t="s">
        <v>1212</v>
      </c>
      <c r="H358" s="164">
        <v>2</v>
      </c>
      <c r="I358" s="164" t="s">
        <v>63</v>
      </c>
      <c r="J358" s="151"/>
      <c r="K358" s="165"/>
      <c r="L358" s="164"/>
      <c r="M358" s="164"/>
    </row>
    <row r="359" spans="1:13" ht="13.15" x14ac:dyDescent="0.4">
      <c r="A359" s="159"/>
      <c r="B359" s="160"/>
      <c r="C359" s="160"/>
      <c r="D359" s="160"/>
      <c r="E359" s="151"/>
      <c r="F359" s="159" t="s">
        <v>1213</v>
      </c>
      <c r="G359" s="160" t="s">
        <v>1214</v>
      </c>
      <c r="H359" s="160">
        <v>2</v>
      </c>
      <c r="I359" s="160" t="s">
        <v>63</v>
      </c>
      <c r="J359" s="151"/>
      <c r="K359" s="161"/>
      <c r="L359" s="160"/>
      <c r="M359" s="160"/>
    </row>
    <row r="360" spans="1:13" ht="13.15" x14ac:dyDescent="0.4">
      <c r="A360" s="163"/>
      <c r="B360" s="164"/>
      <c r="C360" s="164"/>
      <c r="D360" s="164"/>
      <c r="E360" s="151"/>
      <c r="F360" s="163" t="s">
        <v>1215</v>
      </c>
      <c r="G360" s="164" t="s">
        <v>1216</v>
      </c>
      <c r="H360" s="164">
        <v>2</v>
      </c>
      <c r="I360" s="164" t="s">
        <v>63</v>
      </c>
      <c r="J360" s="151"/>
      <c r="K360" s="165"/>
      <c r="L360" s="164"/>
      <c r="M360" s="164"/>
    </row>
    <row r="361" spans="1:13" ht="13.15" x14ac:dyDescent="0.4">
      <c r="A361" s="159"/>
      <c r="B361" s="160"/>
      <c r="C361" s="160"/>
      <c r="D361" s="160"/>
      <c r="E361" s="151"/>
      <c r="F361" s="159" t="s">
        <v>1217</v>
      </c>
      <c r="G361" s="160" t="s">
        <v>1218</v>
      </c>
      <c r="H361" s="160">
        <v>2</v>
      </c>
      <c r="I361" s="160" t="s">
        <v>63</v>
      </c>
      <c r="J361" s="151"/>
      <c r="K361" s="161"/>
      <c r="L361" s="160"/>
      <c r="M361" s="160"/>
    </row>
    <row r="362" spans="1:13" ht="13.15" x14ac:dyDescent="0.4">
      <c r="A362" s="163"/>
      <c r="B362" s="164"/>
      <c r="C362" s="164"/>
      <c r="D362" s="164"/>
      <c r="E362" s="151"/>
      <c r="F362" s="163" t="s">
        <v>1219</v>
      </c>
      <c r="G362" s="164" t="s">
        <v>1220</v>
      </c>
      <c r="H362" s="164">
        <v>2</v>
      </c>
      <c r="I362" s="164" t="s">
        <v>63</v>
      </c>
      <c r="J362" s="151"/>
      <c r="K362" s="165"/>
      <c r="L362" s="164"/>
      <c r="M362" s="164"/>
    </row>
    <row r="363" spans="1:13" ht="13.15" x14ac:dyDescent="0.4">
      <c r="A363" s="159"/>
      <c r="B363" s="160"/>
      <c r="C363" s="160"/>
      <c r="D363" s="160"/>
      <c r="E363" s="151"/>
      <c r="F363" s="159" t="s">
        <v>1221</v>
      </c>
      <c r="G363" s="160" t="s">
        <v>1222</v>
      </c>
      <c r="H363" s="160">
        <v>2</v>
      </c>
      <c r="I363" s="160" t="s">
        <v>63</v>
      </c>
      <c r="J363" s="151"/>
      <c r="K363" s="161"/>
      <c r="L363" s="160"/>
      <c r="M363" s="160"/>
    </row>
    <row r="364" spans="1:13" ht="13.15" x14ac:dyDescent="0.4">
      <c r="A364" s="163"/>
      <c r="B364" s="164"/>
      <c r="C364" s="164"/>
      <c r="D364" s="164"/>
      <c r="E364" s="151"/>
      <c r="F364" s="163" t="s">
        <v>1223</v>
      </c>
      <c r="G364" s="164" t="s">
        <v>1224</v>
      </c>
      <c r="H364" s="164">
        <v>2</v>
      </c>
      <c r="I364" s="164" t="s">
        <v>63</v>
      </c>
      <c r="J364" s="151"/>
      <c r="K364" s="165"/>
      <c r="L364" s="164"/>
      <c r="M364" s="164"/>
    </row>
    <row r="365" spans="1:13" ht="13.15" x14ac:dyDescent="0.4">
      <c r="A365" s="159"/>
      <c r="B365" s="160"/>
      <c r="C365" s="160"/>
      <c r="D365" s="160"/>
      <c r="E365" s="151"/>
      <c r="F365" s="159" t="s">
        <v>1225</v>
      </c>
      <c r="G365" s="160" t="s">
        <v>1226</v>
      </c>
      <c r="H365" s="160">
        <v>2</v>
      </c>
      <c r="I365" s="160" t="s">
        <v>63</v>
      </c>
      <c r="J365" s="151"/>
      <c r="K365" s="161"/>
      <c r="L365" s="160"/>
      <c r="M365" s="160"/>
    </row>
    <row r="366" spans="1:13" ht="13.15" x14ac:dyDescent="0.4">
      <c r="A366" s="163"/>
      <c r="B366" s="164"/>
      <c r="C366" s="164"/>
      <c r="D366" s="164"/>
      <c r="E366" s="151"/>
      <c r="F366" s="163" t="s">
        <v>1227</v>
      </c>
      <c r="G366" s="164" t="s">
        <v>1228</v>
      </c>
      <c r="H366" s="164">
        <v>2</v>
      </c>
      <c r="I366" s="164" t="s">
        <v>63</v>
      </c>
      <c r="J366" s="151"/>
      <c r="K366" s="165"/>
      <c r="L366" s="164"/>
      <c r="M366" s="164"/>
    </row>
    <row r="367" spans="1:13" ht="13.15" x14ac:dyDescent="0.4">
      <c r="A367" s="159"/>
      <c r="B367" s="160"/>
      <c r="C367" s="160"/>
      <c r="D367" s="160"/>
      <c r="E367" s="151"/>
      <c r="F367" s="159" t="s">
        <v>1229</v>
      </c>
      <c r="G367" s="160" t="s">
        <v>1230</v>
      </c>
      <c r="H367" s="160">
        <v>2</v>
      </c>
      <c r="I367" s="160" t="s">
        <v>63</v>
      </c>
      <c r="J367" s="151"/>
      <c r="K367" s="161"/>
      <c r="L367" s="160"/>
      <c r="M367" s="160"/>
    </row>
    <row r="368" spans="1:13" ht="13.15" x14ac:dyDescent="0.4">
      <c r="A368" s="163"/>
      <c r="B368" s="164"/>
      <c r="C368" s="164"/>
      <c r="D368" s="164"/>
      <c r="E368" s="151"/>
      <c r="F368" s="163" t="s">
        <v>1231</v>
      </c>
      <c r="G368" s="164" t="s">
        <v>1232</v>
      </c>
      <c r="H368" s="164">
        <v>2</v>
      </c>
      <c r="I368" s="164" t="s">
        <v>63</v>
      </c>
      <c r="J368" s="151"/>
      <c r="K368" s="165"/>
      <c r="L368" s="164"/>
      <c r="M368" s="164"/>
    </row>
    <row r="369" spans="1:13" ht="13.15" x14ac:dyDescent="0.4">
      <c r="A369" s="159"/>
      <c r="B369" s="160"/>
      <c r="C369" s="160"/>
      <c r="D369" s="160"/>
      <c r="E369" s="151"/>
      <c r="F369" s="159" t="s">
        <v>1233</v>
      </c>
      <c r="G369" s="168" t="s">
        <v>1234</v>
      </c>
      <c r="H369" s="168">
        <v>1</v>
      </c>
      <c r="I369" s="168"/>
      <c r="J369" s="151"/>
      <c r="K369" s="161"/>
      <c r="L369" s="160"/>
      <c r="M369" s="160"/>
    </row>
    <row r="370" spans="1:13" ht="13.15" x14ac:dyDescent="0.4">
      <c r="A370" s="163"/>
      <c r="B370" s="164"/>
      <c r="C370" s="164"/>
      <c r="D370" s="164"/>
      <c r="E370" s="151"/>
      <c r="F370" s="163" t="s">
        <v>1235</v>
      </c>
      <c r="G370" s="164" t="s">
        <v>1236</v>
      </c>
      <c r="H370" s="164">
        <v>2</v>
      </c>
      <c r="I370" s="164" t="s">
        <v>1234</v>
      </c>
      <c r="J370" s="151"/>
      <c r="K370" s="165"/>
      <c r="L370" s="164"/>
      <c r="M370" s="164"/>
    </row>
    <row r="371" spans="1:13" ht="13.15" x14ac:dyDescent="0.4">
      <c r="A371" s="159"/>
      <c r="B371" s="160"/>
      <c r="C371" s="160"/>
      <c r="D371" s="160"/>
      <c r="E371" s="151"/>
      <c r="F371" s="159" t="s">
        <v>1237</v>
      </c>
      <c r="G371" s="160" t="s">
        <v>1238</v>
      </c>
      <c r="H371" s="160">
        <v>2</v>
      </c>
      <c r="I371" s="160" t="s">
        <v>1234</v>
      </c>
      <c r="J371" s="151"/>
      <c r="K371" s="161"/>
      <c r="L371" s="160"/>
      <c r="M371" s="160"/>
    </row>
    <row r="372" spans="1:13" ht="13.15" x14ac:dyDescent="0.4">
      <c r="A372" s="163"/>
      <c r="B372" s="164"/>
      <c r="C372" s="164"/>
      <c r="D372" s="164"/>
      <c r="E372" s="151"/>
      <c r="F372" s="163" t="s">
        <v>1239</v>
      </c>
      <c r="G372" s="164" t="s">
        <v>1240</v>
      </c>
      <c r="H372" s="164">
        <v>2</v>
      </c>
      <c r="I372" s="164" t="s">
        <v>1234</v>
      </c>
      <c r="J372" s="151"/>
      <c r="K372" s="165"/>
      <c r="L372" s="164"/>
      <c r="M372" s="164"/>
    </row>
    <row r="373" spans="1:13" ht="13.15" x14ac:dyDescent="0.4">
      <c r="A373" s="159"/>
      <c r="B373" s="160"/>
      <c r="C373" s="160"/>
      <c r="D373" s="160"/>
      <c r="E373" s="151"/>
      <c r="F373" s="159" t="s">
        <v>1241</v>
      </c>
      <c r="G373" s="160" t="s">
        <v>1242</v>
      </c>
      <c r="H373" s="160">
        <v>2</v>
      </c>
      <c r="I373" s="160" t="s">
        <v>1234</v>
      </c>
      <c r="J373" s="151"/>
      <c r="K373" s="161"/>
      <c r="L373" s="160"/>
      <c r="M373" s="160"/>
    </row>
    <row r="374" spans="1:13" ht="13.15" x14ac:dyDescent="0.4">
      <c r="A374" s="163"/>
      <c r="B374" s="164"/>
      <c r="C374" s="164"/>
      <c r="D374" s="164"/>
      <c r="E374" s="151"/>
      <c r="F374" s="163" t="s">
        <v>1243</v>
      </c>
      <c r="G374" s="164" t="s">
        <v>1244</v>
      </c>
      <c r="H374" s="164">
        <v>2</v>
      </c>
      <c r="I374" s="164" t="s">
        <v>1234</v>
      </c>
      <c r="J374" s="151"/>
      <c r="K374" s="165"/>
      <c r="L374" s="164"/>
      <c r="M374" s="164"/>
    </row>
    <row r="375" spans="1:13" ht="13.15" x14ac:dyDescent="0.4">
      <c r="A375" s="159"/>
      <c r="B375" s="160"/>
      <c r="C375" s="160"/>
      <c r="D375" s="160"/>
      <c r="E375" s="151"/>
      <c r="F375" s="159" t="s">
        <v>1245</v>
      </c>
      <c r="G375" s="160" t="s">
        <v>1246</v>
      </c>
      <c r="H375" s="160">
        <v>2</v>
      </c>
      <c r="I375" s="160" t="s">
        <v>1234</v>
      </c>
      <c r="J375" s="151"/>
      <c r="K375" s="161"/>
      <c r="L375" s="160"/>
      <c r="M375" s="160"/>
    </row>
    <row r="376" spans="1:13" ht="13.15" x14ac:dyDescent="0.4">
      <c r="A376" s="163"/>
      <c r="B376" s="164"/>
      <c r="C376" s="164"/>
      <c r="D376" s="164"/>
      <c r="E376" s="151"/>
      <c r="F376" s="163" t="s">
        <v>1247</v>
      </c>
      <c r="G376" s="164" t="s">
        <v>1248</v>
      </c>
      <c r="H376" s="164">
        <v>2</v>
      </c>
      <c r="I376" s="164" t="s">
        <v>1234</v>
      </c>
      <c r="J376" s="151"/>
      <c r="K376" s="165"/>
      <c r="L376" s="164"/>
      <c r="M376" s="164"/>
    </row>
    <row r="377" spans="1:13" ht="13.15" x14ac:dyDescent="0.4">
      <c r="A377" s="159"/>
      <c r="B377" s="160"/>
      <c r="C377" s="160"/>
      <c r="D377" s="160"/>
      <c r="E377" s="151"/>
      <c r="F377" s="159" t="s">
        <v>1249</v>
      </c>
      <c r="G377" s="168" t="s">
        <v>1250</v>
      </c>
      <c r="H377" s="168">
        <v>1</v>
      </c>
      <c r="I377" s="168"/>
      <c r="J377" s="151"/>
      <c r="K377" s="161"/>
      <c r="L377" s="160"/>
      <c r="M377" s="160"/>
    </row>
    <row r="378" spans="1:13" ht="13.15" x14ac:dyDescent="0.4">
      <c r="A378" s="163"/>
      <c r="B378" s="164"/>
      <c r="C378" s="164"/>
      <c r="D378" s="164"/>
      <c r="E378" s="151"/>
      <c r="F378" s="163" t="s">
        <v>1251</v>
      </c>
      <c r="G378" s="164" t="s">
        <v>1252</v>
      </c>
      <c r="H378" s="164">
        <v>2</v>
      </c>
      <c r="I378" s="164" t="s">
        <v>1250</v>
      </c>
      <c r="J378" s="151"/>
      <c r="K378" s="165"/>
      <c r="L378" s="164"/>
      <c r="M378" s="164"/>
    </row>
    <row r="379" spans="1:13" ht="13.15" x14ac:dyDescent="0.4">
      <c r="A379" s="159"/>
      <c r="B379" s="160"/>
      <c r="C379" s="160"/>
      <c r="D379" s="160"/>
      <c r="E379" s="151"/>
      <c r="F379" s="159" t="s">
        <v>1253</v>
      </c>
      <c r="G379" s="160" t="s">
        <v>1254</v>
      </c>
      <c r="H379" s="160">
        <v>2</v>
      </c>
      <c r="I379" s="160" t="s">
        <v>1250</v>
      </c>
      <c r="J379" s="151"/>
      <c r="K379" s="161"/>
      <c r="L379" s="160"/>
      <c r="M379" s="160"/>
    </row>
    <row r="380" spans="1:13" ht="13.15" x14ac:dyDescent="0.4">
      <c r="A380" s="163"/>
      <c r="B380" s="164"/>
      <c r="C380" s="164"/>
      <c r="D380" s="164"/>
      <c r="E380" s="151"/>
      <c r="F380" s="163" t="s">
        <v>1255</v>
      </c>
      <c r="G380" s="164" t="s">
        <v>1256</v>
      </c>
      <c r="H380" s="164">
        <v>2</v>
      </c>
      <c r="I380" s="164" t="s">
        <v>1250</v>
      </c>
      <c r="J380" s="151"/>
      <c r="K380" s="165"/>
      <c r="L380" s="164"/>
      <c r="M380" s="164"/>
    </row>
    <row r="381" spans="1:13" ht="13.15" x14ac:dyDescent="0.4">
      <c r="A381" s="159"/>
      <c r="B381" s="160"/>
      <c r="C381" s="160"/>
      <c r="D381" s="160"/>
      <c r="E381" s="151"/>
      <c r="F381" s="159" t="s">
        <v>1257</v>
      </c>
      <c r="G381" s="160" t="s">
        <v>1258</v>
      </c>
      <c r="H381" s="160">
        <v>2</v>
      </c>
      <c r="I381" s="160" t="s">
        <v>1250</v>
      </c>
      <c r="J381" s="151"/>
      <c r="K381" s="161"/>
      <c r="L381" s="160"/>
      <c r="M381" s="160"/>
    </row>
    <row r="382" spans="1:13" ht="13.15" x14ac:dyDescent="0.4">
      <c r="A382" s="163"/>
      <c r="B382" s="164"/>
      <c r="C382" s="164"/>
      <c r="D382" s="164"/>
      <c r="E382" s="151"/>
      <c r="F382" s="163" t="s">
        <v>1259</v>
      </c>
      <c r="G382" s="164" t="s">
        <v>1260</v>
      </c>
      <c r="H382" s="164">
        <v>2</v>
      </c>
      <c r="I382" s="164" t="s">
        <v>1250</v>
      </c>
      <c r="J382" s="151"/>
      <c r="K382" s="165"/>
      <c r="L382" s="164"/>
      <c r="M382" s="164"/>
    </row>
    <row r="383" spans="1:13" ht="13.15" x14ac:dyDescent="0.4">
      <c r="A383" s="159"/>
      <c r="B383" s="160"/>
      <c r="C383" s="160"/>
      <c r="D383" s="160"/>
      <c r="E383" s="151"/>
      <c r="F383" s="159" t="s">
        <v>1261</v>
      </c>
      <c r="G383" s="168" t="s">
        <v>1262</v>
      </c>
      <c r="H383" s="168">
        <v>1</v>
      </c>
      <c r="I383" s="168"/>
      <c r="J383" s="151"/>
      <c r="K383" s="161"/>
      <c r="L383" s="160"/>
      <c r="M383" s="160"/>
    </row>
    <row r="384" spans="1:13" ht="13.15" x14ac:dyDescent="0.4">
      <c r="A384" s="163"/>
      <c r="B384" s="164"/>
      <c r="C384" s="164"/>
      <c r="D384" s="164"/>
      <c r="E384" s="151"/>
      <c r="F384" s="163" t="s">
        <v>1263</v>
      </c>
      <c r="G384" s="164" t="s">
        <v>1264</v>
      </c>
      <c r="H384" s="164">
        <v>2</v>
      </c>
      <c r="I384" s="164" t="s">
        <v>1262</v>
      </c>
      <c r="J384" s="151"/>
      <c r="K384" s="165"/>
      <c r="L384" s="164"/>
      <c r="M384" s="164"/>
    </row>
    <row r="385" spans="1:13" ht="13.15" x14ac:dyDescent="0.4">
      <c r="A385" s="159"/>
      <c r="B385" s="160"/>
      <c r="C385" s="160"/>
      <c r="D385" s="160"/>
      <c r="E385" s="151"/>
      <c r="F385" s="159" t="s">
        <v>1265</v>
      </c>
      <c r="G385" s="160" t="s">
        <v>1266</v>
      </c>
      <c r="H385" s="160">
        <v>2</v>
      </c>
      <c r="I385" s="160" t="s">
        <v>1262</v>
      </c>
      <c r="J385" s="151"/>
      <c r="K385" s="161"/>
      <c r="L385" s="160"/>
      <c r="M385" s="160"/>
    </row>
    <row r="386" spans="1:13" ht="13.15" x14ac:dyDescent="0.4">
      <c r="A386" s="163"/>
      <c r="B386" s="164"/>
      <c r="C386" s="164"/>
      <c r="D386" s="164"/>
      <c r="E386" s="151"/>
      <c r="F386" s="163" t="s">
        <v>1267</v>
      </c>
      <c r="G386" s="164" t="s">
        <v>1268</v>
      </c>
      <c r="H386" s="164">
        <v>2</v>
      </c>
      <c r="I386" s="164" t="s">
        <v>1262</v>
      </c>
      <c r="J386" s="151"/>
      <c r="K386" s="165"/>
      <c r="L386" s="164"/>
      <c r="M386" s="164"/>
    </row>
    <row r="387" spans="1:13" ht="13.15" x14ac:dyDescent="0.4">
      <c r="A387" s="159"/>
      <c r="B387" s="160"/>
      <c r="C387" s="160"/>
      <c r="D387" s="160"/>
      <c r="E387" s="151"/>
      <c r="F387" s="159" t="s">
        <v>1269</v>
      </c>
      <c r="G387" s="160" t="s">
        <v>1270</v>
      </c>
      <c r="H387" s="160">
        <v>2</v>
      </c>
      <c r="I387" s="160" t="s">
        <v>1262</v>
      </c>
      <c r="J387" s="151"/>
      <c r="K387" s="161"/>
      <c r="L387" s="160"/>
      <c r="M387" s="160"/>
    </row>
    <row r="388" spans="1:13" ht="13.15" x14ac:dyDescent="0.4">
      <c r="A388" s="163"/>
      <c r="B388" s="164"/>
      <c r="C388" s="164"/>
      <c r="D388" s="164"/>
      <c r="E388" s="151"/>
      <c r="F388" s="163" t="s">
        <v>1271</v>
      </c>
      <c r="G388" s="164" t="s">
        <v>1272</v>
      </c>
      <c r="H388" s="164">
        <v>2</v>
      </c>
      <c r="I388" s="164" t="s">
        <v>1262</v>
      </c>
      <c r="J388" s="151"/>
      <c r="K388" s="165"/>
      <c r="L388" s="164"/>
      <c r="M388" s="164"/>
    </row>
    <row r="389" spans="1:13" ht="13.15" x14ac:dyDescent="0.4">
      <c r="A389" s="159"/>
      <c r="B389" s="160"/>
      <c r="C389" s="160"/>
      <c r="D389" s="160"/>
      <c r="E389" s="151"/>
      <c r="F389" s="159" t="s">
        <v>1273</v>
      </c>
      <c r="G389" s="160" t="s">
        <v>1274</v>
      </c>
      <c r="H389" s="160">
        <v>2</v>
      </c>
      <c r="I389" s="160" t="s">
        <v>1262</v>
      </c>
      <c r="J389" s="151"/>
      <c r="K389" s="161"/>
      <c r="L389" s="160"/>
      <c r="M389" s="160"/>
    </row>
    <row r="390" spans="1:13" ht="13.15" x14ac:dyDescent="0.4">
      <c r="A390" s="163"/>
      <c r="B390" s="164"/>
      <c r="C390" s="164"/>
      <c r="D390" s="164"/>
      <c r="E390" s="151"/>
      <c r="F390" s="163" t="s">
        <v>1275</v>
      </c>
      <c r="G390" s="164" t="s">
        <v>1276</v>
      </c>
      <c r="H390" s="164">
        <v>2</v>
      </c>
      <c r="I390" s="164" t="s">
        <v>1262</v>
      </c>
      <c r="J390" s="151"/>
      <c r="K390" s="165"/>
      <c r="L390" s="164"/>
      <c r="M390" s="164"/>
    </row>
    <row r="391" spans="1:13" ht="13.15" x14ac:dyDescent="0.4">
      <c r="A391" s="159"/>
      <c r="B391" s="160"/>
      <c r="C391" s="160"/>
      <c r="D391" s="160"/>
      <c r="E391" s="151"/>
      <c r="F391" s="159" t="s">
        <v>1277</v>
      </c>
      <c r="G391" s="160" t="s">
        <v>1278</v>
      </c>
      <c r="H391" s="160">
        <v>2</v>
      </c>
      <c r="I391" s="160" t="s">
        <v>1262</v>
      </c>
      <c r="J391" s="151"/>
      <c r="K391" s="161"/>
      <c r="L391" s="160"/>
      <c r="M391" s="160"/>
    </row>
    <row r="392" spans="1:13" ht="13.15" x14ac:dyDescent="0.4">
      <c r="A392" s="163"/>
      <c r="B392" s="164"/>
      <c r="C392" s="164"/>
      <c r="D392" s="164"/>
      <c r="E392" s="151"/>
      <c r="F392" s="163" t="s">
        <v>1279</v>
      </c>
      <c r="G392" s="164" t="s">
        <v>1280</v>
      </c>
      <c r="H392" s="164">
        <v>2</v>
      </c>
      <c r="I392" s="164" t="s">
        <v>1262</v>
      </c>
      <c r="J392" s="151"/>
      <c r="K392" s="165"/>
      <c r="L392" s="164"/>
      <c r="M392" s="164"/>
    </row>
    <row r="393" spans="1:13" ht="13.15" x14ac:dyDescent="0.4">
      <c r="A393" s="159"/>
      <c r="B393" s="160"/>
      <c r="C393" s="160"/>
      <c r="D393" s="160"/>
      <c r="E393" s="151"/>
      <c r="F393" s="159" t="s">
        <v>1281</v>
      </c>
      <c r="G393" s="160" t="s">
        <v>1282</v>
      </c>
      <c r="H393" s="160">
        <v>2</v>
      </c>
      <c r="I393" s="160" t="s">
        <v>1262</v>
      </c>
      <c r="J393" s="151"/>
      <c r="K393" s="161"/>
      <c r="L393" s="160"/>
      <c r="M393" s="160"/>
    </row>
    <row r="394" spans="1:13" ht="13.15" x14ac:dyDescent="0.4">
      <c r="A394" s="163"/>
      <c r="B394" s="164"/>
      <c r="C394" s="164"/>
      <c r="D394" s="164"/>
      <c r="E394" s="151"/>
      <c r="F394" s="163" t="s">
        <v>1283</v>
      </c>
      <c r="G394" s="164" t="s">
        <v>1284</v>
      </c>
      <c r="H394" s="164">
        <v>2</v>
      </c>
      <c r="I394" s="164" t="s">
        <v>1262</v>
      </c>
      <c r="J394" s="151"/>
      <c r="K394" s="165"/>
      <c r="L394" s="164"/>
      <c r="M394" s="164"/>
    </row>
    <row r="395" spans="1:13" ht="13.15" x14ac:dyDescent="0.4">
      <c r="A395" s="159"/>
      <c r="B395" s="160"/>
      <c r="C395" s="160"/>
      <c r="D395" s="160"/>
      <c r="E395" s="151"/>
      <c r="F395" s="159" t="s">
        <v>1285</v>
      </c>
      <c r="G395" s="160" t="s">
        <v>1286</v>
      </c>
      <c r="H395" s="160">
        <v>2</v>
      </c>
      <c r="I395" s="160" t="s">
        <v>1262</v>
      </c>
      <c r="J395" s="151"/>
      <c r="K395" s="161"/>
      <c r="L395" s="160"/>
      <c r="M395" s="160"/>
    </row>
    <row r="396" spans="1:13" ht="13.15" x14ac:dyDescent="0.4">
      <c r="A396" s="163"/>
      <c r="B396" s="164"/>
      <c r="C396" s="164"/>
      <c r="D396" s="164"/>
      <c r="E396" s="151"/>
      <c r="F396" s="163" t="s">
        <v>1287</v>
      </c>
      <c r="G396" s="164" t="s">
        <v>1288</v>
      </c>
      <c r="H396" s="164">
        <v>2</v>
      </c>
      <c r="I396" s="164" t="s">
        <v>1262</v>
      </c>
      <c r="J396" s="151"/>
      <c r="K396" s="165"/>
      <c r="L396" s="164"/>
      <c r="M396" s="164"/>
    </row>
    <row r="397" spans="1:13" ht="13.15" x14ac:dyDescent="0.4">
      <c r="A397" s="159"/>
      <c r="B397" s="160"/>
      <c r="C397" s="160"/>
      <c r="D397" s="160"/>
      <c r="E397" s="151"/>
      <c r="F397" s="159" t="s">
        <v>1289</v>
      </c>
      <c r="G397" s="160" t="s">
        <v>1290</v>
      </c>
      <c r="H397" s="160">
        <v>2</v>
      </c>
      <c r="I397" s="160" t="s">
        <v>1262</v>
      </c>
      <c r="J397" s="151"/>
      <c r="K397" s="161"/>
      <c r="L397" s="160"/>
      <c r="M397" s="160"/>
    </row>
    <row r="398" spans="1:13" ht="13.15" x14ac:dyDescent="0.4">
      <c r="A398" s="163"/>
      <c r="B398" s="164"/>
      <c r="C398" s="164"/>
      <c r="D398" s="164"/>
      <c r="E398" s="151"/>
      <c r="F398" s="163" t="s">
        <v>1291</v>
      </c>
      <c r="G398" s="164" t="s">
        <v>1292</v>
      </c>
      <c r="H398" s="164">
        <v>2</v>
      </c>
      <c r="I398" s="164" t="s">
        <v>1262</v>
      </c>
      <c r="J398" s="151"/>
      <c r="K398" s="165"/>
      <c r="L398" s="164"/>
      <c r="M398" s="164"/>
    </row>
    <row r="399" spans="1:13" ht="13.15" x14ac:dyDescent="0.4">
      <c r="A399" s="159"/>
      <c r="B399" s="160"/>
      <c r="C399" s="160"/>
      <c r="D399" s="160"/>
      <c r="E399" s="151"/>
      <c r="F399" s="159" t="s">
        <v>1293</v>
      </c>
      <c r="G399" s="160" t="s">
        <v>1294</v>
      </c>
      <c r="H399" s="160">
        <v>2</v>
      </c>
      <c r="I399" s="160" t="s">
        <v>1262</v>
      </c>
      <c r="J399" s="151"/>
      <c r="K399" s="161"/>
      <c r="L399" s="160"/>
      <c r="M399" s="160"/>
    </row>
    <row r="400" spans="1:13" ht="13.15" x14ac:dyDescent="0.4">
      <c r="A400" s="163"/>
      <c r="B400" s="164"/>
      <c r="C400" s="164"/>
      <c r="D400" s="164"/>
      <c r="E400" s="151"/>
      <c r="F400" s="163" t="s">
        <v>1295</v>
      </c>
      <c r="G400" s="164" t="s">
        <v>1296</v>
      </c>
      <c r="H400" s="164">
        <v>2</v>
      </c>
      <c r="I400" s="164" t="s">
        <v>1262</v>
      </c>
      <c r="J400" s="151"/>
      <c r="K400" s="165"/>
      <c r="L400" s="164"/>
      <c r="M400" s="164"/>
    </row>
    <row r="401" spans="1:13" ht="13.15" x14ac:dyDescent="0.4">
      <c r="A401" s="159"/>
      <c r="B401" s="160"/>
      <c r="C401" s="160"/>
      <c r="D401" s="160"/>
      <c r="E401" s="151"/>
      <c r="F401" s="159" t="s">
        <v>1297</v>
      </c>
      <c r="G401" s="160" t="s">
        <v>1298</v>
      </c>
      <c r="H401" s="160">
        <v>2</v>
      </c>
      <c r="I401" s="160" t="s">
        <v>1262</v>
      </c>
      <c r="J401" s="151"/>
      <c r="K401" s="161"/>
      <c r="L401" s="160"/>
      <c r="M401" s="160"/>
    </row>
    <row r="402" spans="1:13" ht="13.15" x14ac:dyDescent="0.4">
      <c r="A402" s="163"/>
      <c r="B402" s="164"/>
      <c r="C402" s="164"/>
      <c r="D402" s="164"/>
      <c r="E402" s="151"/>
      <c r="F402" s="163" t="s">
        <v>1299</v>
      </c>
      <c r="G402" s="164" t="s">
        <v>1300</v>
      </c>
      <c r="H402" s="164">
        <v>2</v>
      </c>
      <c r="I402" s="164" t="s">
        <v>1262</v>
      </c>
      <c r="J402" s="151"/>
      <c r="K402" s="165"/>
      <c r="L402" s="164"/>
      <c r="M402" s="164"/>
    </row>
    <row r="403" spans="1:13" ht="13.15" x14ac:dyDescent="0.4">
      <c r="A403" s="159"/>
      <c r="B403" s="160"/>
      <c r="C403" s="160"/>
      <c r="D403" s="160"/>
      <c r="E403" s="151"/>
      <c r="F403" s="159" t="s">
        <v>1301</v>
      </c>
      <c r="G403" s="160" t="s">
        <v>1302</v>
      </c>
      <c r="H403" s="160">
        <v>2</v>
      </c>
      <c r="I403" s="160" t="s">
        <v>1262</v>
      </c>
      <c r="J403" s="151"/>
      <c r="K403" s="161"/>
      <c r="L403" s="160"/>
      <c r="M403" s="160"/>
    </row>
    <row r="404" spans="1:13" ht="13.15" x14ac:dyDescent="0.4">
      <c r="A404" s="163"/>
      <c r="B404" s="164"/>
      <c r="C404" s="164"/>
      <c r="D404" s="164"/>
      <c r="E404" s="151"/>
      <c r="F404" s="163" t="s">
        <v>1303</v>
      </c>
      <c r="G404" s="164" t="s">
        <v>1304</v>
      </c>
      <c r="H404" s="164">
        <v>2</v>
      </c>
      <c r="I404" s="164" t="s">
        <v>1262</v>
      </c>
      <c r="J404" s="151"/>
      <c r="K404" s="165"/>
      <c r="L404" s="164"/>
      <c r="M404" s="164"/>
    </row>
    <row r="405" spans="1:13" ht="13.15" x14ac:dyDescent="0.4">
      <c r="A405" s="159"/>
      <c r="B405" s="160"/>
      <c r="C405" s="160"/>
      <c r="D405" s="160"/>
      <c r="E405" s="151"/>
      <c r="F405" s="159" t="s">
        <v>1305</v>
      </c>
      <c r="G405" s="160" t="s">
        <v>1306</v>
      </c>
      <c r="H405" s="160">
        <v>2</v>
      </c>
      <c r="I405" s="160" t="s">
        <v>1262</v>
      </c>
      <c r="J405" s="151"/>
      <c r="K405" s="161"/>
      <c r="L405" s="160"/>
      <c r="M405" s="160"/>
    </row>
    <row r="406" spans="1:13" ht="13.15" x14ac:dyDescent="0.4">
      <c r="A406" s="163"/>
      <c r="B406" s="164"/>
      <c r="C406" s="164"/>
      <c r="D406" s="164"/>
      <c r="E406" s="151"/>
      <c r="F406" s="163" t="s">
        <v>1307</v>
      </c>
      <c r="G406" s="167" t="s">
        <v>1308</v>
      </c>
      <c r="H406" s="167">
        <v>1</v>
      </c>
      <c r="I406" s="167"/>
      <c r="J406" s="151"/>
      <c r="K406" s="165"/>
      <c r="L406" s="164"/>
      <c r="M406" s="164"/>
    </row>
    <row r="407" spans="1:13" ht="13.15" x14ac:dyDescent="0.4">
      <c r="A407" s="159"/>
      <c r="B407" s="160"/>
      <c r="C407" s="160"/>
      <c r="D407" s="160"/>
      <c r="E407" s="151"/>
      <c r="F407" s="159" t="s">
        <v>1309</v>
      </c>
      <c r="G407" s="160" t="s">
        <v>1310</v>
      </c>
      <c r="H407" s="160">
        <v>2</v>
      </c>
      <c r="I407" s="160" t="s">
        <v>1308</v>
      </c>
      <c r="J407" s="151"/>
      <c r="K407" s="161"/>
      <c r="L407" s="160"/>
      <c r="M407" s="160"/>
    </row>
    <row r="408" spans="1:13" ht="13.15" x14ac:dyDescent="0.4">
      <c r="A408" s="163"/>
      <c r="B408" s="164"/>
      <c r="C408" s="164"/>
      <c r="D408" s="164"/>
      <c r="E408" s="151"/>
      <c r="F408" s="163" t="s">
        <v>1311</v>
      </c>
      <c r="G408" s="164" t="s">
        <v>1312</v>
      </c>
      <c r="H408" s="164">
        <v>2</v>
      </c>
      <c r="I408" s="164" t="s">
        <v>1308</v>
      </c>
      <c r="J408" s="151"/>
      <c r="K408" s="165"/>
      <c r="L408" s="164"/>
      <c r="M408" s="164"/>
    </row>
    <row r="409" spans="1:13" ht="13.15" x14ac:dyDescent="0.4">
      <c r="A409" s="169"/>
      <c r="B409" s="170"/>
      <c r="C409" s="170"/>
      <c r="D409" s="170"/>
      <c r="E409" s="151"/>
      <c r="F409" s="169" t="s">
        <v>1313</v>
      </c>
      <c r="G409" s="170" t="s">
        <v>43</v>
      </c>
      <c r="H409" s="170">
        <v>2</v>
      </c>
      <c r="I409" s="170" t="s">
        <v>1308</v>
      </c>
      <c r="J409" s="151"/>
      <c r="K409" s="171"/>
      <c r="L409" s="170"/>
      <c r="M409" s="170"/>
    </row>
  </sheetData>
  <sheetProtection sheet="1" objects="1" scenarios="1" sort="0" autoFilter="0"/>
  <conditionalFormatting sqref="M2:M409">
    <cfRule type="containsText" dxfId="2" priority="1" operator="containsText" text="HIGH">
      <formula>NOT(ISERROR(SEARCH("HIGH",M2)))</formula>
    </cfRule>
    <cfRule type="containsText" dxfId="1" priority="2" operator="containsText" text="LOW">
      <formula>NOT(ISERROR(SEARCH("LOW",M2)))</formula>
    </cfRule>
    <cfRule type="containsText" dxfId="0" priority="3" operator="containsText" text="MEDIUM">
      <formula>NOT(ISERROR(SEARCH("MEDIUM",M2)))</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24EE5-AEFE-4662-A44E-F7033A724806}">
  <sheetPr>
    <tabColor rgb="FFA78BFA"/>
  </sheetPr>
  <dimension ref="A1:L46"/>
  <sheetViews>
    <sheetView showGridLines="0" workbookViewId="0">
      <pane ySplit="1" topLeftCell="A15" activePane="bottomLeft" state="frozen"/>
      <selection pane="bottomLeft" activeCell="I39" sqref="I39"/>
    </sheetView>
  </sheetViews>
  <sheetFormatPr defaultRowHeight="12.75" x14ac:dyDescent="0.35"/>
  <cols>
    <col min="1" max="2" width="15.265625" customWidth="1"/>
    <col min="3" max="3" width="19" customWidth="1"/>
    <col min="4" max="4" width="24.73046875" customWidth="1"/>
    <col min="5" max="5" width="15.265625" customWidth="1"/>
    <col min="6" max="6" width="21" customWidth="1"/>
    <col min="7" max="7" width="15.265625" customWidth="1"/>
    <col min="9" max="12" width="9.1328125" customWidth="1"/>
  </cols>
  <sheetData>
    <row r="1" spans="1:12" ht="30" customHeight="1" thickBot="1" x14ac:dyDescent="0.45">
      <c r="A1" s="172" t="s">
        <v>69</v>
      </c>
      <c r="B1" s="172" t="s">
        <v>1319</v>
      </c>
      <c r="C1" s="172" t="s">
        <v>1320</v>
      </c>
      <c r="D1" s="172" t="s">
        <v>1321</v>
      </c>
      <c r="E1" s="172" t="s">
        <v>1322</v>
      </c>
      <c r="F1" s="172" t="s">
        <v>1323</v>
      </c>
      <c r="G1" s="173" t="s">
        <v>1324</v>
      </c>
      <c r="H1" s="6"/>
      <c r="I1" s="174" t="s">
        <v>69</v>
      </c>
      <c r="J1" s="174" t="s">
        <v>1325</v>
      </c>
      <c r="K1" s="174" t="s">
        <v>1322</v>
      </c>
      <c r="L1" s="174" t="s">
        <v>1326</v>
      </c>
    </row>
    <row r="2" spans="1:12" ht="13.15" x14ac:dyDescent="0.4">
      <c r="A2" s="175">
        <f>IF(Config!C8="","",DATE(YEAR(Config!C8),MONTH(Config!C8),1))</f>
        <v>44743</v>
      </c>
      <c r="B2" s="142">
        <f>IF(A2="","",COUNTIFS(complaints!$B$2:$B$928,"&gt;="&amp;A2,complaints!$B$2:$B$928,"&lt;="&amp;EOMONTH(A2,0),complaints!$B$2:$B$928,"&lt;&gt;"&amp;""))</f>
        <v>0</v>
      </c>
      <c r="C2" s="176">
        <f>IF(A2="","",SUMIFS(Sales!$C$2:$C$78141,Sales!$D$2:$D$78141,YEAR(A2),Sales!$B$2:$B$78141,TEXT(A2,"MMMM")))</f>
        <v>1569</v>
      </c>
      <c r="D2" s="177">
        <f>IF(A2="","",IF(C2=0,IF(B2=0,0,B2),B2/C2))</f>
        <v>0</v>
      </c>
      <c r="E2" s="177">
        <f>IF(A2="","",AVERAGEIF($D$2:$D$46,"&lt;&gt;"))</f>
        <v>2.7619980261771912E-4</v>
      </c>
      <c r="F2" s="178" cm="1">
        <f t="array" ref="F2">IF(A2="","",AVERAGEIF($D$2:$D$46,"&lt;&gt;")+3*IFERROR(STDEV(IF($D$2:$D$46&lt;&gt;"", $D$2:$D$46)),0))</f>
        <v>2.3740003463252955E-3</v>
      </c>
      <c r="G2" s="179" t="str">
        <f>IF(A2="","",IF(D2&gt;F2,"⚠ BREACH",""))</f>
        <v/>
      </c>
      <c r="H2" s="6"/>
      <c r="I2" s="180" t="str">
        <f>IF(A2="","",TEXT(A2,"MMM YYYY"))</f>
        <v>Jul 2022</v>
      </c>
      <c r="J2" s="181">
        <f>IF(A2="","",D2)</f>
        <v>0</v>
      </c>
      <c r="K2" s="181">
        <f>IF(A2="","",E2)</f>
        <v>2.7619980261771912E-4</v>
      </c>
      <c r="L2" s="181">
        <f>IF(A2="","",F2)</f>
        <v>2.3740003463252955E-3</v>
      </c>
    </row>
    <row r="3" spans="1:12" ht="13.15" x14ac:dyDescent="0.4">
      <c r="A3" s="182">
        <f>IF(A2="","",IF(EDATE(A2,1)&gt;EOMONTH(Config!$C$9,0),"",EDATE(A2,1)))</f>
        <v>44774</v>
      </c>
      <c r="B3" s="183">
        <f>IF(A3="","",COUNTIFS(complaints!$B$2:$B$928,"&gt;="&amp;A3,complaints!$B$2:$B$928,"&lt;="&amp;EOMONTH(A3,0),complaints!$B$2:$B$928,"&lt;&gt;"&amp;""))</f>
        <v>0</v>
      </c>
      <c r="C3" s="184">
        <f>IF(A3="","",SUMIFS(Sales!$C$2:$C$78141,Sales!$D$2:$D$78141,YEAR(A3),Sales!$B$2:$B$78141,TEXT(A3,"MMMM")))</f>
        <v>1518</v>
      </c>
      <c r="D3" s="185">
        <f t="shared" ref="D3:D46" si="0">IF(A3="","",IF(C3=0,IF(B3=0,0,B3),B3/C3))</f>
        <v>0</v>
      </c>
      <c r="E3" s="185">
        <f t="shared" ref="E3:E46" si="1">IF(A3="","",AVERAGEIF($D$2:$D$46,"&lt;&gt;"))</f>
        <v>2.7619980261771912E-4</v>
      </c>
      <c r="F3" s="186" cm="1">
        <f t="array" ref="F3">IF(A3="","",AVERAGEIF($D$2:$D$46,"&lt;&gt;")+3*IFERROR(STDEV(IF($D$2:$D$46&lt;&gt;"", $D$2:$D$46)),0))</f>
        <v>2.3740003463252955E-3</v>
      </c>
      <c r="G3" s="187" t="str">
        <f t="shared" ref="G3:G46" si="2">IF(A3="","",IF(D3&gt;F3,"⚠ BREACH",""))</f>
        <v/>
      </c>
      <c r="H3" s="6"/>
      <c r="I3" s="188" t="str">
        <f t="shared" ref="I3:I46" si="3">IF(A3="","",TEXT(A3,"MMM YYYY"))</f>
        <v>Aug 2022</v>
      </c>
      <c r="J3" s="185">
        <f t="shared" ref="J3:J46" si="4">IF(A3="","",D3)</f>
        <v>0</v>
      </c>
      <c r="K3" s="185">
        <f t="shared" ref="K3:K46" si="5">IF(A3="","",E3)</f>
        <v>2.7619980261771912E-4</v>
      </c>
      <c r="L3" s="185">
        <f t="shared" ref="L3:L46" si="6">IF(A3="","",F3)</f>
        <v>2.3740003463252955E-3</v>
      </c>
    </row>
    <row r="4" spans="1:12" ht="13.15" x14ac:dyDescent="0.4">
      <c r="A4" s="189">
        <f>IF(A3="","",IF(EDATE(A3,1)&gt;EOMONTH(Config!$C$9,0),"",EDATE(A3,1)))</f>
        <v>44805</v>
      </c>
      <c r="B4" s="190">
        <f>IF(A4="","",COUNTIFS(complaints!$B$2:$B$928,"&gt;="&amp;A4,complaints!$B$2:$B$928,"&lt;="&amp;EOMONTH(A4,0),complaints!$B$2:$B$928,"&lt;&gt;"&amp;""))</f>
        <v>0</v>
      </c>
      <c r="C4" s="191">
        <f>IF(A4="","",SUMIFS(Sales!$C$2:$C$78141,Sales!$D$2:$D$78141,YEAR(A4),Sales!$B$2:$B$78141,TEXT(A4,"MMMM")))</f>
        <v>1521</v>
      </c>
      <c r="D4" s="192">
        <f t="shared" si="0"/>
        <v>0</v>
      </c>
      <c r="E4" s="192">
        <f t="shared" si="1"/>
        <v>2.7619980261771912E-4</v>
      </c>
      <c r="F4" s="193" cm="1">
        <f t="array" ref="F4">IF(A4="","",AVERAGEIF($D$2:$D$46,"&lt;&gt;")+3*IFERROR(STDEV(IF($D$2:$D$46&lt;&gt;"", $D$2:$D$46)),0))</f>
        <v>2.3740003463252955E-3</v>
      </c>
      <c r="G4" s="194" t="str">
        <f t="shared" si="2"/>
        <v/>
      </c>
      <c r="H4" s="6"/>
      <c r="I4" s="195" t="str">
        <f t="shared" si="3"/>
        <v>Sep 2022</v>
      </c>
      <c r="J4" s="192">
        <f t="shared" si="4"/>
        <v>0</v>
      </c>
      <c r="K4" s="192">
        <f t="shared" si="5"/>
        <v>2.7619980261771912E-4</v>
      </c>
      <c r="L4" s="192">
        <f t="shared" si="6"/>
        <v>2.3740003463252955E-3</v>
      </c>
    </row>
    <row r="5" spans="1:12" ht="13.15" x14ac:dyDescent="0.4">
      <c r="A5" s="182">
        <f>IF(A4="","",IF(EDATE(A4,1)&gt;EOMONTH(Config!$C$9,0),"",EDATE(A4,1)))</f>
        <v>44835</v>
      </c>
      <c r="B5" s="183">
        <f>IF(A5="","",COUNTIFS(complaints!$B$2:$B$928,"&gt;="&amp;A5,complaints!$B$2:$B$928,"&lt;="&amp;EOMONTH(A5,0),complaints!$B$2:$B$928,"&lt;&gt;"&amp;""))</f>
        <v>0</v>
      </c>
      <c r="C5" s="184">
        <f>IF(A5="","",SUMIFS(Sales!$C$2:$C$78141,Sales!$D$2:$D$78141,YEAR(A5),Sales!$B$2:$B$78141,TEXT(A5,"MMMM")))</f>
        <v>1548</v>
      </c>
      <c r="D5" s="185">
        <f t="shared" si="0"/>
        <v>0</v>
      </c>
      <c r="E5" s="185">
        <f t="shared" si="1"/>
        <v>2.7619980261771912E-4</v>
      </c>
      <c r="F5" s="186" cm="1">
        <f t="array" ref="F5">IF(A5="","",AVERAGEIF($D$2:$D$46,"&lt;&gt;")+3*IFERROR(STDEV(IF($D$2:$D$46&lt;&gt;"", $D$2:$D$46)),0))</f>
        <v>2.3740003463252955E-3</v>
      </c>
      <c r="G5" s="187" t="str">
        <f t="shared" si="2"/>
        <v/>
      </c>
      <c r="H5" s="6"/>
      <c r="I5" s="188" t="str">
        <f t="shared" si="3"/>
        <v>Oct 2022</v>
      </c>
      <c r="J5" s="185">
        <f t="shared" si="4"/>
        <v>0</v>
      </c>
      <c r="K5" s="185">
        <f t="shared" si="5"/>
        <v>2.7619980261771912E-4</v>
      </c>
      <c r="L5" s="185">
        <f t="shared" si="6"/>
        <v>2.3740003463252955E-3</v>
      </c>
    </row>
    <row r="6" spans="1:12" ht="13.15" x14ac:dyDescent="0.4">
      <c r="A6" s="189">
        <f>IF(A5="","",IF(EDATE(A5,1)&gt;EOMONTH(Config!$C$9,0),"",EDATE(A5,1)))</f>
        <v>44866</v>
      </c>
      <c r="B6" s="190">
        <f>IF(A6="","",COUNTIFS(complaints!$B$2:$B$928,"&gt;="&amp;A6,complaints!$B$2:$B$928,"&lt;="&amp;EOMONTH(A6,0),complaints!$B$2:$B$928,"&lt;&gt;"&amp;""))</f>
        <v>0</v>
      </c>
      <c r="C6" s="191">
        <f>IF(A6="","",SUMIFS(Sales!$C$2:$C$78141,Sales!$D$2:$D$78141,YEAR(A6),Sales!$B$2:$B$78141,TEXT(A6,"MMMM")))</f>
        <v>1528</v>
      </c>
      <c r="D6" s="192">
        <f t="shared" si="0"/>
        <v>0</v>
      </c>
      <c r="E6" s="192">
        <f t="shared" si="1"/>
        <v>2.7619980261771912E-4</v>
      </c>
      <c r="F6" s="193" cm="1">
        <f t="array" ref="F6">IF(A6="","",AVERAGEIF($D$2:$D$46,"&lt;&gt;")+3*IFERROR(STDEV(IF($D$2:$D$46&lt;&gt;"", $D$2:$D$46)),0))</f>
        <v>2.3740003463252955E-3</v>
      </c>
      <c r="G6" s="194" t="str">
        <f t="shared" si="2"/>
        <v/>
      </c>
      <c r="H6" s="6"/>
      <c r="I6" s="195" t="str">
        <f t="shared" si="3"/>
        <v>Nov 2022</v>
      </c>
      <c r="J6" s="192">
        <f t="shared" si="4"/>
        <v>0</v>
      </c>
      <c r="K6" s="192">
        <f t="shared" si="5"/>
        <v>2.7619980261771912E-4</v>
      </c>
      <c r="L6" s="192">
        <f t="shared" si="6"/>
        <v>2.3740003463252955E-3</v>
      </c>
    </row>
    <row r="7" spans="1:12" ht="13.15" x14ac:dyDescent="0.4">
      <c r="A7" s="182">
        <f>IF(A6="","",IF(EDATE(A6,1)&gt;EOMONTH(Config!$C$9,0),"",EDATE(A6,1)))</f>
        <v>44896</v>
      </c>
      <c r="B7" s="183">
        <f>IF(A7="","",COUNTIFS(complaints!$B$2:$B$928,"&gt;="&amp;A7,complaints!$B$2:$B$928,"&lt;="&amp;EOMONTH(A7,0),complaints!$B$2:$B$928,"&lt;&gt;"&amp;""))</f>
        <v>0</v>
      </c>
      <c r="C7" s="184">
        <f>IF(A7="","",SUMIFS(Sales!$C$2:$C$78141,Sales!$D$2:$D$78141,YEAR(A7),Sales!$B$2:$B$78141,TEXT(A7,"MMMM")))</f>
        <v>1201</v>
      </c>
      <c r="D7" s="185">
        <f t="shared" si="0"/>
        <v>0</v>
      </c>
      <c r="E7" s="185">
        <f t="shared" si="1"/>
        <v>2.7619980261771912E-4</v>
      </c>
      <c r="F7" s="186" cm="1">
        <f t="array" ref="F7">IF(A7="","",AVERAGEIF($D$2:$D$46,"&lt;&gt;")+3*IFERROR(STDEV(IF($D$2:$D$46&lt;&gt;"", $D$2:$D$46)),0))</f>
        <v>2.3740003463252955E-3</v>
      </c>
      <c r="G7" s="187" t="str">
        <f t="shared" si="2"/>
        <v/>
      </c>
      <c r="H7" s="6"/>
      <c r="I7" s="188" t="str">
        <f t="shared" si="3"/>
        <v>Dec 2022</v>
      </c>
      <c r="J7" s="185">
        <f t="shared" si="4"/>
        <v>0</v>
      </c>
      <c r="K7" s="185">
        <f t="shared" si="5"/>
        <v>2.7619980261771912E-4</v>
      </c>
      <c r="L7" s="185">
        <f t="shared" si="6"/>
        <v>2.3740003463252955E-3</v>
      </c>
    </row>
    <row r="8" spans="1:12" ht="13.15" x14ac:dyDescent="0.4">
      <c r="A8" s="189">
        <f>IF(A7="","",IF(EDATE(A7,1)&gt;EOMONTH(Config!$C$9,0),"",EDATE(A7,1)))</f>
        <v>44927</v>
      </c>
      <c r="B8" s="190">
        <f>IF(A8="","",COUNTIFS(complaints!$B$2:$B$928,"&gt;="&amp;A8,complaints!$B$2:$B$928,"&lt;="&amp;EOMONTH(A8,0),complaints!$B$2:$B$928,"&lt;&gt;"&amp;""))</f>
        <v>0</v>
      </c>
      <c r="C8" s="191">
        <f>IF(A8="","",SUMIFS(Sales!$C$2:$C$78141,Sales!$D$2:$D$78141,YEAR(A8),Sales!$B$2:$B$78141,TEXT(A8,"MMMM")))</f>
        <v>2007</v>
      </c>
      <c r="D8" s="192">
        <f t="shared" si="0"/>
        <v>0</v>
      </c>
      <c r="E8" s="192">
        <f t="shared" si="1"/>
        <v>2.7619980261771912E-4</v>
      </c>
      <c r="F8" s="193" cm="1">
        <f t="array" ref="F8">IF(A8="","",AVERAGEIF($D$2:$D$46,"&lt;&gt;")+3*IFERROR(STDEV(IF($D$2:$D$46&lt;&gt;"", $D$2:$D$46)),0))</f>
        <v>2.3740003463252955E-3</v>
      </c>
      <c r="G8" s="194" t="str">
        <f t="shared" si="2"/>
        <v/>
      </c>
      <c r="H8" s="6"/>
      <c r="I8" s="195" t="str">
        <f t="shared" si="3"/>
        <v>Jan 2023</v>
      </c>
      <c r="J8" s="192">
        <f t="shared" si="4"/>
        <v>0</v>
      </c>
      <c r="K8" s="192">
        <f t="shared" si="5"/>
        <v>2.7619980261771912E-4</v>
      </c>
      <c r="L8" s="192">
        <f t="shared" si="6"/>
        <v>2.3740003463252955E-3</v>
      </c>
    </row>
    <row r="9" spans="1:12" ht="13.15" x14ac:dyDescent="0.4">
      <c r="A9" s="182">
        <f>IF(A8="","",IF(EDATE(A8,1)&gt;EOMONTH(Config!$C$9,0),"",EDATE(A8,1)))</f>
        <v>44958</v>
      </c>
      <c r="B9" s="183">
        <f>IF(A9="","",COUNTIFS(complaints!$B$2:$B$928,"&gt;="&amp;A9,complaints!$B$2:$B$928,"&lt;="&amp;EOMONTH(A9,0),complaints!$B$2:$B$928,"&lt;&gt;"&amp;""))</f>
        <v>0</v>
      </c>
      <c r="C9" s="184">
        <f>IF(A9="","",SUMIFS(Sales!$C$2:$C$78141,Sales!$D$2:$D$78141,YEAR(A9),Sales!$B$2:$B$78141,TEXT(A9,"MMMM")))</f>
        <v>1670</v>
      </c>
      <c r="D9" s="185">
        <f t="shared" si="0"/>
        <v>0</v>
      </c>
      <c r="E9" s="185">
        <f t="shared" si="1"/>
        <v>2.7619980261771912E-4</v>
      </c>
      <c r="F9" s="186" cm="1">
        <f t="array" ref="F9">IF(A9="","",AVERAGEIF($D$2:$D$46,"&lt;&gt;")+3*IFERROR(STDEV(IF($D$2:$D$46&lt;&gt;"", $D$2:$D$46)),0))</f>
        <v>2.3740003463252955E-3</v>
      </c>
      <c r="G9" s="187" t="str">
        <f t="shared" si="2"/>
        <v/>
      </c>
      <c r="H9" s="6"/>
      <c r="I9" s="188" t="str">
        <f t="shared" si="3"/>
        <v>Feb 2023</v>
      </c>
      <c r="J9" s="185">
        <f t="shared" si="4"/>
        <v>0</v>
      </c>
      <c r="K9" s="185">
        <f t="shared" si="5"/>
        <v>2.7619980261771912E-4</v>
      </c>
      <c r="L9" s="185">
        <f t="shared" si="6"/>
        <v>2.3740003463252955E-3</v>
      </c>
    </row>
    <row r="10" spans="1:12" ht="13.15" x14ac:dyDescent="0.4">
      <c r="A10" s="189">
        <f>IF(A9="","",IF(EDATE(A9,1)&gt;EOMONTH(Config!$C$9,0),"",EDATE(A9,1)))</f>
        <v>44986</v>
      </c>
      <c r="B10" s="190">
        <f>IF(A10="","",COUNTIFS(complaints!$B$2:$B$928,"&gt;="&amp;A10,complaints!$B$2:$B$928,"&lt;="&amp;EOMONTH(A10,0),complaints!$B$2:$B$928,"&lt;&gt;"&amp;""))</f>
        <v>1</v>
      </c>
      <c r="C10" s="191">
        <f>IF(A10="","",SUMIFS(Sales!$C$2:$C$78141,Sales!$D$2:$D$78141,YEAR(A10),Sales!$B$2:$B$78141,TEXT(A10,"MMMM")))</f>
        <v>1972</v>
      </c>
      <c r="D10" s="192">
        <f t="shared" si="0"/>
        <v>5.0709939148073022E-4</v>
      </c>
      <c r="E10" s="192">
        <f t="shared" si="1"/>
        <v>2.7619980261771912E-4</v>
      </c>
      <c r="F10" s="193" cm="1">
        <f t="array" ref="F10">IF(A10="","",AVERAGEIF($D$2:$D$46,"&lt;&gt;")+3*IFERROR(STDEV(IF($D$2:$D$46&lt;&gt;"", $D$2:$D$46)),0))</f>
        <v>2.3740003463252955E-3</v>
      </c>
      <c r="G10" s="194" t="str">
        <f t="shared" si="2"/>
        <v/>
      </c>
      <c r="H10" s="6"/>
      <c r="I10" s="195" t="str">
        <f t="shared" si="3"/>
        <v>Mar 2023</v>
      </c>
      <c r="J10" s="192">
        <f t="shared" si="4"/>
        <v>5.0709939148073022E-4</v>
      </c>
      <c r="K10" s="192">
        <f t="shared" si="5"/>
        <v>2.7619980261771912E-4</v>
      </c>
      <c r="L10" s="192">
        <f t="shared" si="6"/>
        <v>2.3740003463252955E-3</v>
      </c>
    </row>
    <row r="11" spans="1:12" ht="13.15" x14ac:dyDescent="0.4">
      <c r="A11" s="182">
        <f>IF(A10="","",IF(EDATE(A10,1)&gt;EOMONTH(Config!$C$9,0),"",EDATE(A10,1)))</f>
        <v>45017</v>
      </c>
      <c r="B11" s="183">
        <f>IF(A11="","",COUNTIFS(complaints!$B$2:$B$928,"&gt;="&amp;A11,complaints!$B$2:$B$928,"&lt;="&amp;EOMONTH(A11,0),complaints!$B$2:$B$928,"&lt;&gt;"&amp;""))</f>
        <v>1</v>
      </c>
      <c r="C11" s="196">
        <f>IF(A11="","",SUMIFS(Sales!$C$2:$C$78141,Sales!$D$2:$D$78141,YEAR(A11),Sales!$B$2:$B$78141,TEXT(A11,"MMMM")))</f>
        <v>1610</v>
      </c>
      <c r="D11" s="197">
        <f t="shared" si="0"/>
        <v>6.2111801242236027E-4</v>
      </c>
      <c r="E11" s="197">
        <f t="shared" si="1"/>
        <v>2.7619980261771912E-4</v>
      </c>
      <c r="F11" s="186" cm="1">
        <f t="array" ref="F11">IF(A11="","",AVERAGEIF($D$2:$D$46,"&lt;&gt;")+3*IFERROR(STDEV(IF($D$2:$D$46&lt;&gt;"", $D$2:$D$46)),0))</f>
        <v>2.3740003463252955E-3</v>
      </c>
      <c r="G11" s="187" t="str">
        <f t="shared" si="2"/>
        <v/>
      </c>
      <c r="H11" s="6"/>
      <c r="I11" s="182" t="str">
        <f t="shared" si="3"/>
        <v>Apr 2023</v>
      </c>
      <c r="J11" s="197">
        <f t="shared" si="4"/>
        <v>6.2111801242236027E-4</v>
      </c>
      <c r="K11" s="197">
        <f t="shared" si="5"/>
        <v>2.7619980261771912E-4</v>
      </c>
      <c r="L11" s="197">
        <f t="shared" si="6"/>
        <v>2.3740003463252955E-3</v>
      </c>
    </row>
    <row r="12" spans="1:12" ht="13.15" x14ac:dyDescent="0.4">
      <c r="A12" s="189">
        <f>IF(A11="","",IF(EDATE(A11,1)&gt;EOMONTH(Config!$C$9,0),"",EDATE(A11,1)))</f>
        <v>45047</v>
      </c>
      <c r="B12" s="190">
        <f>IF(A12="","",COUNTIFS(complaints!$B$2:$B$928,"&gt;="&amp;A12,complaints!$B$2:$B$928,"&lt;="&amp;EOMONTH(A12,0),complaints!$B$2:$B$928,"&lt;&gt;"&amp;""))</f>
        <v>3</v>
      </c>
      <c r="C12" s="198">
        <f>IF(A12="","",SUMIFS(Sales!$C$2:$C$78141,Sales!$D$2:$D$78141,YEAR(A12),Sales!$B$2:$B$78141,TEXT(A12,"MMMM")))</f>
        <v>1777</v>
      </c>
      <c r="D12" s="199">
        <f t="shared" si="0"/>
        <v>1.6882386043894203E-3</v>
      </c>
      <c r="E12" s="199">
        <f t="shared" si="1"/>
        <v>2.7619980261771912E-4</v>
      </c>
      <c r="F12" s="193" cm="1">
        <f t="array" ref="F12">IF(A12="","",AVERAGEIF($D$2:$D$46,"&lt;&gt;")+3*IFERROR(STDEV(IF($D$2:$D$46&lt;&gt;"", $D$2:$D$46)),0))</f>
        <v>2.3740003463252955E-3</v>
      </c>
      <c r="G12" s="194" t="str">
        <f t="shared" si="2"/>
        <v/>
      </c>
      <c r="H12" s="6"/>
      <c r="I12" s="189" t="str">
        <f t="shared" si="3"/>
        <v>May 2023</v>
      </c>
      <c r="J12" s="199">
        <f t="shared" si="4"/>
        <v>1.6882386043894203E-3</v>
      </c>
      <c r="K12" s="199">
        <f t="shared" si="5"/>
        <v>2.7619980261771912E-4</v>
      </c>
      <c r="L12" s="199">
        <f t="shared" si="6"/>
        <v>2.3740003463252955E-3</v>
      </c>
    </row>
    <row r="13" spans="1:12" ht="13.15" x14ac:dyDescent="0.4">
      <c r="A13" s="182">
        <f>IF(A12="","",IF(EDATE(A12,1)&gt;EOMONTH(Config!$C$9,0),"",EDATE(A12,1)))</f>
        <v>45078</v>
      </c>
      <c r="B13" s="183">
        <f>IF(A13="","",COUNTIFS(complaints!$B$2:$B$928,"&gt;="&amp;A13,complaints!$B$2:$B$928,"&lt;="&amp;EOMONTH(A13,0),complaints!$B$2:$B$928,"&lt;&gt;"&amp;""))</f>
        <v>6</v>
      </c>
      <c r="C13" s="196">
        <f>IF(A13="","",SUMIFS(Sales!$C$2:$C$78141,Sales!$D$2:$D$78141,YEAR(A13),Sales!$B$2:$B$78141,TEXT(A13,"MMMM")))</f>
        <v>1682</v>
      </c>
      <c r="D13" s="197">
        <f t="shared" si="0"/>
        <v>3.5671819262782403E-3</v>
      </c>
      <c r="E13" s="197">
        <f t="shared" si="1"/>
        <v>2.7619980261771912E-4</v>
      </c>
      <c r="F13" s="186" cm="1">
        <f t="array" ref="F13">IF(A13="","",AVERAGEIF($D$2:$D$46,"&lt;&gt;")+3*IFERROR(STDEV(IF($D$2:$D$46&lt;&gt;"", $D$2:$D$46)),0))</f>
        <v>2.3740003463252955E-3</v>
      </c>
      <c r="G13" s="187" t="str">
        <f t="shared" si="2"/>
        <v>⚠ BREACH</v>
      </c>
      <c r="H13" s="6"/>
      <c r="I13" s="182" t="str">
        <f t="shared" si="3"/>
        <v>Jun 2023</v>
      </c>
      <c r="J13" s="197">
        <f t="shared" si="4"/>
        <v>3.5671819262782403E-3</v>
      </c>
      <c r="K13" s="197">
        <f t="shared" si="5"/>
        <v>2.7619980261771912E-4</v>
      </c>
      <c r="L13" s="197">
        <f t="shared" si="6"/>
        <v>2.3740003463252955E-3</v>
      </c>
    </row>
    <row r="14" spans="1:12" ht="13.15" x14ac:dyDescent="0.4">
      <c r="A14" s="189">
        <f>IF(A13="","",IF(EDATE(A13,1)&gt;EOMONTH(Config!$C$9,0),"",EDATE(A13,1)))</f>
        <v>45108</v>
      </c>
      <c r="B14" s="190">
        <f>IF(A14="","",COUNTIFS(complaints!$B$2:$B$928,"&gt;="&amp;A14,complaints!$B$2:$B$928,"&lt;="&amp;EOMONTH(A14,0),complaints!$B$2:$B$928,"&lt;&gt;"&amp;""))</f>
        <v>0</v>
      </c>
      <c r="C14" s="198">
        <f>IF(A14="","",SUMIFS(Sales!$C$2:$C$78141,Sales!$D$2:$D$78141,YEAR(A14),Sales!$B$2:$B$78141,TEXT(A14,"MMMM")))</f>
        <v>1689</v>
      </c>
      <c r="D14" s="199">
        <f t="shared" si="0"/>
        <v>0</v>
      </c>
      <c r="E14" s="199">
        <f t="shared" si="1"/>
        <v>2.7619980261771912E-4</v>
      </c>
      <c r="F14" s="193" cm="1">
        <f t="array" ref="F14">IF(A14="","",AVERAGEIF($D$2:$D$46,"&lt;&gt;")+3*IFERROR(STDEV(IF($D$2:$D$46&lt;&gt;"", $D$2:$D$46)),0))</f>
        <v>2.3740003463252955E-3</v>
      </c>
      <c r="G14" s="194" t="str">
        <f t="shared" si="2"/>
        <v/>
      </c>
      <c r="H14" s="6"/>
      <c r="I14" s="189" t="str">
        <f t="shared" si="3"/>
        <v>Jul 2023</v>
      </c>
      <c r="J14" s="199">
        <f t="shared" si="4"/>
        <v>0</v>
      </c>
      <c r="K14" s="199">
        <f t="shared" si="5"/>
        <v>2.7619980261771912E-4</v>
      </c>
      <c r="L14" s="199">
        <f t="shared" si="6"/>
        <v>2.3740003463252955E-3</v>
      </c>
    </row>
    <row r="15" spans="1:12" ht="13.15" x14ac:dyDescent="0.4">
      <c r="A15" s="200">
        <f>IF(A14="","",IF(EDATE(A14,1)&gt;EOMONTH(Config!$C$9,0),"",EDATE(A14,1)))</f>
        <v>45139</v>
      </c>
      <c r="B15" s="201">
        <f>IF(A15="","",COUNTIFS(complaints!$B$2:$B$928,"&gt;="&amp;A15,complaints!$B$2:$B$928,"&lt;="&amp;EOMONTH(A15,0),complaints!$B$2:$B$928,"&lt;&gt;"&amp;""))</f>
        <v>0</v>
      </c>
      <c r="C15" s="202">
        <f>IF(A15="","",SUMIFS(Sales!$C$2:$C$78141,Sales!$D$2:$D$78141,YEAR(A15),Sales!$B$2:$B$78141,TEXT(A15,"MMMM")))</f>
        <v>1684</v>
      </c>
      <c r="D15" s="203">
        <f t="shared" si="0"/>
        <v>0</v>
      </c>
      <c r="E15" s="203">
        <f t="shared" si="1"/>
        <v>2.7619980261771912E-4</v>
      </c>
      <c r="F15" s="204" cm="1">
        <f t="array" ref="F15">IF(A15="","",AVERAGEIF($D$2:$D$46,"&lt;&gt;")+3*IFERROR(STDEV(IF($D$2:$D$46&lt;&gt;"", $D$2:$D$46)),0))</f>
        <v>2.3740003463252955E-3</v>
      </c>
      <c r="G15" s="205" t="str">
        <f t="shared" si="2"/>
        <v/>
      </c>
      <c r="H15" s="6"/>
      <c r="I15" s="200" t="str">
        <f t="shared" si="3"/>
        <v>Aug 2023</v>
      </c>
      <c r="J15" s="203">
        <f t="shared" si="4"/>
        <v>0</v>
      </c>
      <c r="K15" s="203">
        <f t="shared" si="5"/>
        <v>2.7619980261771912E-4</v>
      </c>
      <c r="L15" s="203">
        <f t="shared" si="6"/>
        <v>2.3740003463252955E-3</v>
      </c>
    </row>
    <row r="16" spans="1:12" ht="13.15" x14ac:dyDescent="0.4">
      <c r="A16" s="206">
        <f>IF(A15="","",IF(EDATE(A15,1)&gt;EOMONTH(Config!$C$9,0),"",EDATE(A15,1)))</f>
        <v>45170</v>
      </c>
      <c r="B16" s="104">
        <f>IF(A16="","",COUNTIFS(complaints!$B$2:$B$928,"&gt;="&amp;A16,complaints!$B$2:$B$928,"&lt;="&amp;EOMONTH(A16,0),complaints!$B$2:$B$928,"&lt;&gt;"&amp;""))</f>
        <v>0</v>
      </c>
      <c r="C16" s="104">
        <f>IF(A16="","",SUMIFS(Sales!$C$2:$C$78141,Sales!$D$2:$D$78141,YEAR(A16),Sales!$B$2:$B$78141,TEXT(A16,"MMMM")))</f>
        <v>1601</v>
      </c>
      <c r="D16" s="207">
        <f t="shared" si="0"/>
        <v>0</v>
      </c>
      <c r="E16" s="207">
        <f t="shared" si="1"/>
        <v>2.7619980261771912E-4</v>
      </c>
      <c r="F16" s="207" cm="1">
        <f t="array" ref="F16">IF(A16="","",AVERAGEIF($D$2:$D$46,"&lt;&gt;")+3*IFERROR(STDEV(IF($D$2:$D$46&lt;&gt;"", $D$2:$D$46)),0))</f>
        <v>2.3740003463252955E-3</v>
      </c>
      <c r="G16" s="208" t="str">
        <f t="shared" si="2"/>
        <v/>
      </c>
      <c r="H16" s="6"/>
      <c r="I16" s="209" t="str">
        <f t="shared" si="3"/>
        <v>Sep 2023</v>
      </c>
      <c r="J16" s="210">
        <f t="shared" si="4"/>
        <v>0</v>
      </c>
      <c r="K16" s="210">
        <f t="shared" si="5"/>
        <v>2.7619980261771912E-4</v>
      </c>
      <c r="L16" s="210">
        <f t="shared" si="6"/>
        <v>2.3740003463252955E-3</v>
      </c>
    </row>
    <row r="17" spans="1:12" ht="13.15" x14ac:dyDescent="0.4">
      <c r="A17" s="206">
        <f>IF(A16="","",IF(EDATE(A16,1)&gt;EOMONTH(Config!$C$9,0),"",EDATE(A16,1)))</f>
        <v>45200</v>
      </c>
      <c r="B17" s="104">
        <f>IF(A17="","",COUNTIFS(complaints!$B$2:$B$928,"&gt;="&amp;A17,complaints!$B$2:$B$928,"&lt;="&amp;EOMONTH(A17,0),complaints!$B$2:$B$928,"&lt;&gt;"&amp;""))</f>
        <v>0</v>
      </c>
      <c r="C17" s="104">
        <f>IF(A17="","",SUMIFS(Sales!$C$2:$C$78141,Sales!$D$2:$D$78141,YEAR(A17),Sales!$B$2:$B$78141,TEXT(A17,"MMMM")))</f>
        <v>1645</v>
      </c>
      <c r="D17" s="207">
        <f t="shared" si="0"/>
        <v>0</v>
      </c>
      <c r="E17" s="207">
        <f t="shared" si="1"/>
        <v>2.7619980261771912E-4</v>
      </c>
      <c r="F17" s="207" cm="1">
        <f t="array" ref="F17">IF(A17="","",AVERAGEIF($D$2:$D$46,"&lt;&gt;")+3*IFERROR(STDEV(IF($D$2:$D$46&lt;&gt;"", $D$2:$D$46)),0))</f>
        <v>2.3740003463252955E-3</v>
      </c>
      <c r="G17" s="208" t="str">
        <f t="shared" si="2"/>
        <v/>
      </c>
      <c r="H17" s="6"/>
      <c r="I17" s="209" t="str">
        <f t="shared" si="3"/>
        <v>Oct 2023</v>
      </c>
      <c r="J17" s="210">
        <f t="shared" si="4"/>
        <v>0</v>
      </c>
      <c r="K17" s="210">
        <f t="shared" si="5"/>
        <v>2.7619980261771912E-4</v>
      </c>
      <c r="L17" s="210">
        <f t="shared" si="6"/>
        <v>2.3740003463252955E-3</v>
      </c>
    </row>
    <row r="18" spans="1:12" ht="13.15" x14ac:dyDescent="0.4">
      <c r="A18" s="206">
        <f>IF(A17="","",IF(EDATE(A17,1)&gt;EOMONTH(Config!$C$9,0),"",EDATE(A17,1)))</f>
        <v>45231</v>
      </c>
      <c r="B18" s="104">
        <f>IF(A18="","",COUNTIFS(complaints!$B$2:$B$928,"&gt;="&amp;A18,complaints!$B$2:$B$928,"&lt;="&amp;EOMONTH(A18,0),complaints!$B$2:$B$928,"&lt;&gt;"&amp;""))</f>
        <v>0</v>
      </c>
      <c r="C18" s="104">
        <f>IF(A18="","",SUMIFS(Sales!$C$2:$C$78141,Sales!$D$2:$D$78141,YEAR(A18),Sales!$B$2:$B$78141,TEXT(A18,"MMMM")))</f>
        <v>1635</v>
      </c>
      <c r="D18" s="207">
        <f t="shared" si="0"/>
        <v>0</v>
      </c>
      <c r="E18" s="207">
        <f t="shared" si="1"/>
        <v>2.7619980261771912E-4</v>
      </c>
      <c r="F18" s="207" cm="1">
        <f t="array" ref="F18">IF(A18="","",AVERAGEIF($D$2:$D$46,"&lt;&gt;")+3*IFERROR(STDEV(IF($D$2:$D$46&lt;&gt;"", $D$2:$D$46)),0))</f>
        <v>2.3740003463252955E-3</v>
      </c>
      <c r="G18" s="208" t="str">
        <f t="shared" si="2"/>
        <v/>
      </c>
      <c r="H18" s="6"/>
      <c r="I18" s="209" t="str">
        <f t="shared" si="3"/>
        <v>Nov 2023</v>
      </c>
      <c r="J18" s="210">
        <f t="shared" si="4"/>
        <v>0</v>
      </c>
      <c r="K18" s="210">
        <f t="shared" si="5"/>
        <v>2.7619980261771912E-4</v>
      </c>
      <c r="L18" s="210">
        <f t="shared" si="6"/>
        <v>2.3740003463252955E-3</v>
      </c>
    </row>
    <row r="19" spans="1:12" ht="13.15" x14ac:dyDescent="0.4">
      <c r="A19" s="206">
        <f>IF(A18="","",IF(EDATE(A18,1)&gt;EOMONTH(Config!$C$9,0),"",EDATE(A18,1)))</f>
        <v>45261</v>
      </c>
      <c r="B19" s="104">
        <f>IF(A19="","",COUNTIFS(complaints!$B$2:$B$928,"&gt;="&amp;A19,complaints!$B$2:$B$928,"&lt;="&amp;EOMONTH(A19,0),complaints!$B$2:$B$928,"&lt;&gt;"&amp;""))</f>
        <v>2</v>
      </c>
      <c r="C19" s="104">
        <f>IF(A19="","",SUMIFS(Sales!$C$2:$C$78141,Sales!$D$2:$D$78141,YEAR(A19),Sales!$B$2:$B$78141,TEXT(A19,"MMMM")))</f>
        <v>1404</v>
      </c>
      <c r="D19" s="207">
        <f t="shared" si="0"/>
        <v>1.4245014245014246E-3</v>
      </c>
      <c r="E19" s="207">
        <f t="shared" si="1"/>
        <v>2.7619980261771912E-4</v>
      </c>
      <c r="F19" s="207" cm="1">
        <f t="array" ref="F19">IF(A19="","",AVERAGEIF($D$2:$D$46,"&lt;&gt;")+3*IFERROR(STDEV(IF($D$2:$D$46&lt;&gt;"", $D$2:$D$46)),0))</f>
        <v>2.3740003463252955E-3</v>
      </c>
      <c r="G19" s="208" t="str">
        <f t="shared" si="2"/>
        <v/>
      </c>
      <c r="H19" s="6"/>
      <c r="I19" s="209" t="str">
        <f t="shared" si="3"/>
        <v>Dec 2023</v>
      </c>
      <c r="J19" s="210">
        <f t="shared" si="4"/>
        <v>1.4245014245014246E-3</v>
      </c>
      <c r="K19" s="210">
        <f t="shared" si="5"/>
        <v>2.7619980261771912E-4</v>
      </c>
      <c r="L19" s="210">
        <f t="shared" si="6"/>
        <v>2.3740003463252955E-3</v>
      </c>
    </row>
    <row r="20" spans="1:12" ht="13.15" x14ac:dyDescent="0.4">
      <c r="A20" s="206">
        <f>IF(A19="","",IF(EDATE(A19,1)&gt;EOMONTH(Config!$C$9,0),"",EDATE(A19,1)))</f>
        <v>45292</v>
      </c>
      <c r="B20" s="104">
        <f>IF(A20="","",COUNTIFS(complaints!$B$2:$B$928,"&gt;="&amp;A20,complaints!$B$2:$B$928,"&lt;="&amp;EOMONTH(A20,0),complaints!$B$2:$B$928,"&lt;&gt;"&amp;""))</f>
        <v>0</v>
      </c>
      <c r="C20" s="104">
        <f>IF(A20="","",SUMIFS(Sales!$C$2:$C$78141,Sales!$D$2:$D$78141,YEAR(A20),Sales!$B$2:$B$78141,TEXT(A20,"MMMM")))</f>
        <v>2666</v>
      </c>
      <c r="D20" s="207">
        <f t="shared" si="0"/>
        <v>0</v>
      </c>
      <c r="E20" s="207">
        <f t="shared" si="1"/>
        <v>2.7619980261771912E-4</v>
      </c>
      <c r="F20" s="207" cm="1">
        <f t="array" ref="F20">IF(A20="","",AVERAGEIF($D$2:$D$46,"&lt;&gt;")+3*IFERROR(STDEV(IF($D$2:$D$46&lt;&gt;"", $D$2:$D$46)),0))</f>
        <v>2.3740003463252955E-3</v>
      </c>
      <c r="G20" s="208" t="str">
        <f t="shared" si="2"/>
        <v/>
      </c>
      <c r="H20" s="6"/>
      <c r="I20" s="209" t="str">
        <f t="shared" si="3"/>
        <v>Jan 2024</v>
      </c>
      <c r="J20" s="210">
        <f t="shared" si="4"/>
        <v>0</v>
      </c>
      <c r="K20" s="210">
        <f t="shared" si="5"/>
        <v>2.7619980261771912E-4</v>
      </c>
      <c r="L20" s="210">
        <f t="shared" si="6"/>
        <v>2.3740003463252955E-3</v>
      </c>
    </row>
    <row r="21" spans="1:12" ht="13.15" x14ac:dyDescent="0.4">
      <c r="A21" s="206">
        <f>IF(A20="","",IF(EDATE(A20,1)&gt;EOMONTH(Config!$C$9,0),"",EDATE(A20,1)))</f>
        <v>45323</v>
      </c>
      <c r="B21" s="104">
        <f>IF(A21="","",COUNTIFS(complaints!$B$2:$B$928,"&gt;="&amp;A21,complaints!$B$2:$B$928,"&lt;="&amp;EOMONTH(A21,0),complaints!$B$2:$B$928,"&lt;&gt;"&amp;""))</f>
        <v>1</v>
      </c>
      <c r="C21" s="104">
        <f>IF(A21="","",SUMIFS(Sales!$C$2:$C$78141,Sales!$D$2:$D$78141,YEAR(A21),Sales!$B$2:$B$78141,TEXT(A21,"MMMM")))</f>
        <v>1042</v>
      </c>
      <c r="D21" s="207">
        <f t="shared" si="0"/>
        <v>9.5969289827255275E-4</v>
      </c>
      <c r="E21" s="207">
        <f t="shared" si="1"/>
        <v>2.7619980261771912E-4</v>
      </c>
      <c r="F21" s="207" cm="1">
        <f t="array" ref="F21">IF(A21="","",AVERAGEIF($D$2:$D$46,"&lt;&gt;")+3*IFERROR(STDEV(IF($D$2:$D$46&lt;&gt;"", $D$2:$D$46)),0))</f>
        <v>2.3740003463252955E-3</v>
      </c>
      <c r="G21" s="208" t="str">
        <f t="shared" si="2"/>
        <v/>
      </c>
      <c r="H21" s="6"/>
      <c r="I21" s="209" t="str">
        <f t="shared" si="3"/>
        <v>Feb 2024</v>
      </c>
      <c r="J21" s="210">
        <f t="shared" si="4"/>
        <v>9.5969289827255275E-4</v>
      </c>
      <c r="K21" s="210">
        <f t="shared" si="5"/>
        <v>2.7619980261771912E-4</v>
      </c>
      <c r="L21" s="210">
        <f t="shared" si="6"/>
        <v>2.3740003463252955E-3</v>
      </c>
    </row>
    <row r="22" spans="1:12" ht="13.15" x14ac:dyDescent="0.4">
      <c r="A22" s="206">
        <f>IF(A21="","",IF(EDATE(A21,1)&gt;EOMONTH(Config!$C$9,0),"",EDATE(A21,1)))</f>
        <v>45352</v>
      </c>
      <c r="B22" s="104">
        <f>IF(A22="","",COUNTIFS(complaints!$B$2:$B$928,"&gt;="&amp;A22,complaints!$B$2:$B$928,"&lt;="&amp;EOMONTH(A22,0),complaints!$B$2:$B$928,"&lt;&gt;"&amp;""))</f>
        <v>0</v>
      </c>
      <c r="C22" s="104">
        <f>IF(A22="","",SUMIFS(Sales!$C$2:$C$78141,Sales!$D$2:$D$78141,YEAR(A22),Sales!$B$2:$B$78141,TEXT(A22,"MMMM")))</f>
        <v>2146</v>
      </c>
      <c r="D22" s="207">
        <f t="shared" si="0"/>
        <v>0</v>
      </c>
      <c r="E22" s="207">
        <f t="shared" si="1"/>
        <v>2.7619980261771912E-4</v>
      </c>
      <c r="F22" s="207" cm="1">
        <f t="array" ref="F22">IF(A22="","",AVERAGEIF($D$2:$D$46,"&lt;&gt;")+3*IFERROR(STDEV(IF($D$2:$D$46&lt;&gt;"", $D$2:$D$46)),0))</f>
        <v>2.3740003463252955E-3</v>
      </c>
      <c r="G22" s="208" t="str">
        <f t="shared" si="2"/>
        <v/>
      </c>
      <c r="H22" s="6"/>
      <c r="I22" s="209" t="str">
        <f t="shared" si="3"/>
        <v>Mar 2024</v>
      </c>
      <c r="J22" s="210">
        <f t="shared" si="4"/>
        <v>0</v>
      </c>
      <c r="K22" s="210">
        <f t="shared" si="5"/>
        <v>2.7619980261771912E-4</v>
      </c>
      <c r="L22" s="210">
        <f t="shared" si="6"/>
        <v>2.3740003463252955E-3</v>
      </c>
    </row>
    <row r="23" spans="1:12" ht="13.15" x14ac:dyDescent="0.4">
      <c r="A23" s="206">
        <f>IF(A22="","",IF(EDATE(A22,1)&gt;EOMONTH(Config!$C$9,0),"",EDATE(A22,1)))</f>
        <v>45383</v>
      </c>
      <c r="B23" s="104">
        <f>IF(A23="","",COUNTIFS(complaints!$B$2:$B$928,"&gt;="&amp;A23,complaints!$B$2:$B$928,"&lt;="&amp;EOMONTH(A23,0),complaints!$B$2:$B$928,"&lt;&gt;"&amp;""))</f>
        <v>0</v>
      </c>
      <c r="C23" s="104">
        <f>IF(A23="","",SUMIFS(Sales!$C$2:$C$78141,Sales!$D$2:$D$78141,YEAR(A23),Sales!$B$2:$B$78141,TEXT(A23,"MMMM")))</f>
        <v>1780</v>
      </c>
      <c r="D23" s="207">
        <f t="shared" si="0"/>
        <v>0</v>
      </c>
      <c r="E23" s="207">
        <f t="shared" si="1"/>
        <v>2.7619980261771912E-4</v>
      </c>
      <c r="F23" s="207" cm="1">
        <f t="array" ref="F23">IF(A23="","",AVERAGEIF($D$2:$D$46,"&lt;&gt;")+3*IFERROR(STDEV(IF($D$2:$D$46&lt;&gt;"", $D$2:$D$46)),0))</f>
        <v>2.3740003463252955E-3</v>
      </c>
      <c r="G23" s="208" t="str">
        <f t="shared" si="2"/>
        <v/>
      </c>
      <c r="H23" s="6"/>
      <c r="I23" s="209" t="str">
        <f t="shared" si="3"/>
        <v>Apr 2024</v>
      </c>
      <c r="J23" s="210">
        <f t="shared" si="4"/>
        <v>0</v>
      </c>
      <c r="K23" s="210">
        <f t="shared" si="5"/>
        <v>2.7619980261771912E-4</v>
      </c>
      <c r="L23" s="210">
        <f t="shared" si="6"/>
        <v>2.3740003463252955E-3</v>
      </c>
    </row>
    <row r="24" spans="1:12" ht="13.15" x14ac:dyDescent="0.4">
      <c r="A24" s="206">
        <f>IF(A23="","",IF(EDATE(A23,1)&gt;EOMONTH(Config!$C$9,0),"",EDATE(A23,1)))</f>
        <v>45413</v>
      </c>
      <c r="B24" s="104">
        <f>IF(A24="","",COUNTIFS(complaints!$B$2:$B$928,"&gt;="&amp;A24,complaints!$B$2:$B$928,"&lt;="&amp;EOMONTH(A24,0),complaints!$B$2:$B$928,"&lt;&gt;"&amp;""))</f>
        <v>0</v>
      </c>
      <c r="C24" s="104">
        <f>IF(A24="","",SUMIFS(Sales!$C$2:$C$78141,Sales!$D$2:$D$78141,YEAR(A24),Sales!$B$2:$B$78141,TEXT(A24,"MMMM")))</f>
        <v>1826</v>
      </c>
      <c r="D24" s="207">
        <f t="shared" si="0"/>
        <v>0</v>
      </c>
      <c r="E24" s="207">
        <f t="shared" si="1"/>
        <v>2.7619980261771912E-4</v>
      </c>
      <c r="F24" s="207" cm="1">
        <f t="array" ref="F24">IF(A24="","",AVERAGEIF($D$2:$D$46,"&lt;&gt;")+3*IFERROR(STDEV(IF($D$2:$D$46&lt;&gt;"", $D$2:$D$46)),0))</f>
        <v>2.3740003463252955E-3</v>
      </c>
      <c r="G24" s="208" t="str">
        <f t="shared" si="2"/>
        <v/>
      </c>
      <c r="H24" s="6"/>
      <c r="I24" s="209" t="str">
        <f t="shared" si="3"/>
        <v>May 2024</v>
      </c>
      <c r="J24" s="210">
        <f t="shared" si="4"/>
        <v>0</v>
      </c>
      <c r="K24" s="210">
        <f t="shared" si="5"/>
        <v>2.7619980261771912E-4</v>
      </c>
      <c r="L24" s="210">
        <f t="shared" si="6"/>
        <v>2.3740003463252955E-3</v>
      </c>
    </row>
    <row r="25" spans="1:12" ht="13.15" x14ac:dyDescent="0.4">
      <c r="A25" s="206">
        <f>IF(A24="","",IF(EDATE(A24,1)&gt;EOMONTH(Config!$C$9,0),"",EDATE(A24,1)))</f>
        <v>45444</v>
      </c>
      <c r="B25" s="104">
        <f>IF(A25="","",COUNTIFS(complaints!$B$2:$B$928,"&gt;="&amp;A25,complaints!$B$2:$B$928,"&lt;="&amp;EOMONTH(A25,0),complaints!$B$2:$B$928,"&lt;&gt;"&amp;""))</f>
        <v>0</v>
      </c>
      <c r="C25" s="104">
        <f>IF(A25="","",SUMIFS(Sales!$C$2:$C$78141,Sales!$D$2:$D$78141,YEAR(A25),Sales!$B$2:$B$78141,TEXT(A25,"MMMM")))</f>
        <v>1608</v>
      </c>
      <c r="D25" s="207">
        <f t="shared" si="0"/>
        <v>0</v>
      </c>
      <c r="E25" s="207">
        <f t="shared" si="1"/>
        <v>2.7619980261771912E-4</v>
      </c>
      <c r="F25" s="207" cm="1">
        <f t="array" ref="F25">IF(A25="","",AVERAGEIF($D$2:$D$46,"&lt;&gt;")+3*IFERROR(STDEV(IF($D$2:$D$46&lt;&gt;"", $D$2:$D$46)),0))</f>
        <v>2.3740003463252955E-3</v>
      </c>
      <c r="G25" s="208" t="str">
        <f t="shared" si="2"/>
        <v/>
      </c>
      <c r="H25" s="6"/>
      <c r="I25" s="209" t="str">
        <f t="shared" si="3"/>
        <v>Jun 2024</v>
      </c>
      <c r="J25" s="210">
        <f t="shared" si="4"/>
        <v>0</v>
      </c>
      <c r="K25" s="210">
        <f t="shared" si="5"/>
        <v>2.7619980261771912E-4</v>
      </c>
      <c r="L25" s="210">
        <f t="shared" si="6"/>
        <v>2.3740003463252955E-3</v>
      </c>
    </row>
    <row r="26" spans="1:12" ht="13.15" x14ac:dyDescent="0.4">
      <c r="A26" s="206">
        <f>IF(A25="","",IF(EDATE(A25,1)&gt;EOMONTH(Config!$C$9,0),"",EDATE(A25,1)))</f>
        <v>45474</v>
      </c>
      <c r="B26" s="104">
        <f>IF(A26="","",COUNTIFS(complaints!$B$2:$B$928,"&gt;="&amp;A26,complaints!$B$2:$B$928,"&lt;="&amp;EOMONTH(A26,0),complaints!$B$2:$B$928,"&lt;&gt;"&amp;""))</f>
        <v>1</v>
      </c>
      <c r="C26" s="104">
        <f>IF(A26="","",SUMIFS(Sales!$C$2:$C$78141,Sales!$D$2:$D$78141,YEAR(A26),Sales!$B$2:$B$78141,TEXT(A26,"MMMM")))</f>
        <v>1624</v>
      </c>
      <c r="D26" s="207">
        <f t="shared" si="0"/>
        <v>6.1576354679802956E-4</v>
      </c>
      <c r="E26" s="207">
        <f t="shared" si="1"/>
        <v>2.7619980261771912E-4</v>
      </c>
      <c r="F26" s="207" cm="1">
        <f t="array" ref="F26">IF(A26="","",AVERAGEIF($D$2:$D$46,"&lt;&gt;")+3*IFERROR(STDEV(IF($D$2:$D$46&lt;&gt;"", $D$2:$D$46)),0))</f>
        <v>2.3740003463252955E-3</v>
      </c>
      <c r="G26" s="208" t="str">
        <f t="shared" si="2"/>
        <v/>
      </c>
      <c r="H26" s="6"/>
      <c r="I26" s="209" t="str">
        <f t="shared" si="3"/>
        <v>Jul 2024</v>
      </c>
      <c r="J26" s="210">
        <f t="shared" si="4"/>
        <v>6.1576354679802956E-4</v>
      </c>
      <c r="K26" s="210">
        <f t="shared" si="5"/>
        <v>2.7619980261771912E-4</v>
      </c>
      <c r="L26" s="210">
        <f t="shared" si="6"/>
        <v>2.3740003463252955E-3</v>
      </c>
    </row>
    <row r="27" spans="1:12" ht="13.15" x14ac:dyDescent="0.4">
      <c r="A27" s="206">
        <f>IF(A26="","",IF(EDATE(A26,1)&gt;EOMONTH(Config!$C$9,0),"",EDATE(A26,1)))</f>
        <v>45505</v>
      </c>
      <c r="B27" s="104">
        <f>IF(A27="","",COUNTIFS(complaints!$B$2:$B$928,"&gt;="&amp;A27,complaints!$B$2:$B$928,"&lt;="&amp;EOMONTH(A27,0),complaints!$B$2:$B$928,"&lt;&gt;"&amp;""))</f>
        <v>0</v>
      </c>
      <c r="C27" s="104">
        <f>IF(A27="","",SUMIFS(Sales!$C$2:$C$78141,Sales!$D$2:$D$78141,YEAR(A27),Sales!$B$2:$B$78141,TEXT(A27,"MMMM")))</f>
        <v>1489</v>
      </c>
      <c r="D27" s="207">
        <f t="shared" si="0"/>
        <v>0</v>
      </c>
      <c r="E27" s="207">
        <f t="shared" si="1"/>
        <v>2.7619980261771912E-4</v>
      </c>
      <c r="F27" s="207" cm="1">
        <f t="array" ref="F27">IF(A27="","",AVERAGEIF($D$2:$D$46,"&lt;&gt;")+3*IFERROR(STDEV(IF($D$2:$D$46&lt;&gt;"", $D$2:$D$46)),0))</f>
        <v>2.3740003463252955E-3</v>
      </c>
      <c r="G27" s="208" t="str">
        <f t="shared" si="2"/>
        <v/>
      </c>
      <c r="H27" s="6"/>
      <c r="I27" s="209" t="str">
        <f t="shared" si="3"/>
        <v>Aug 2024</v>
      </c>
      <c r="J27" s="210">
        <f t="shared" si="4"/>
        <v>0</v>
      </c>
      <c r="K27" s="210">
        <f t="shared" si="5"/>
        <v>2.7619980261771912E-4</v>
      </c>
      <c r="L27" s="210">
        <f t="shared" si="6"/>
        <v>2.3740003463252955E-3</v>
      </c>
    </row>
    <row r="28" spans="1:12" ht="13.15" x14ac:dyDescent="0.4">
      <c r="A28" s="206">
        <f>IF(A27="","",IF(EDATE(A27,1)&gt;EOMONTH(Config!$C$9,0),"",EDATE(A27,1)))</f>
        <v>45536</v>
      </c>
      <c r="B28" s="104">
        <f>IF(A28="","",COUNTIFS(complaints!$B$2:$B$928,"&gt;="&amp;A28,complaints!$B$2:$B$928,"&lt;="&amp;EOMONTH(A28,0),complaints!$B$2:$B$928,"&lt;&gt;"&amp;""))</f>
        <v>1</v>
      </c>
      <c r="C28" s="104">
        <f>IF(A28="","",SUMIFS(Sales!$C$2:$C$78141,Sales!$D$2:$D$78141,YEAR(A28),Sales!$B$2:$B$78141,TEXT(A28,"MMMM")))</f>
        <v>1787</v>
      </c>
      <c r="D28" s="207">
        <f t="shared" si="0"/>
        <v>5.5959709009513155E-4</v>
      </c>
      <c r="E28" s="207">
        <f t="shared" si="1"/>
        <v>2.7619980261771912E-4</v>
      </c>
      <c r="F28" s="207" cm="1">
        <f t="array" ref="F28">IF(A28="","",AVERAGEIF($D$2:$D$46,"&lt;&gt;")+3*IFERROR(STDEV(IF($D$2:$D$46&lt;&gt;"", $D$2:$D$46)),0))</f>
        <v>2.3740003463252955E-3</v>
      </c>
      <c r="G28" s="208" t="str">
        <f t="shared" si="2"/>
        <v/>
      </c>
      <c r="H28" s="6"/>
      <c r="I28" s="209" t="str">
        <f t="shared" si="3"/>
        <v>Sep 2024</v>
      </c>
      <c r="J28" s="210">
        <f t="shared" si="4"/>
        <v>5.5959709009513155E-4</v>
      </c>
      <c r="K28" s="210">
        <f t="shared" si="5"/>
        <v>2.7619980261771912E-4</v>
      </c>
      <c r="L28" s="210">
        <f t="shared" si="6"/>
        <v>2.3740003463252955E-3</v>
      </c>
    </row>
    <row r="29" spans="1:12" ht="13.15" x14ac:dyDescent="0.4">
      <c r="A29" s="206">
        <f>IF(A28="","",IF(EDATE(A28,1)&gt;EOMONTH(Config!$C$9,0),"",EDATE(A28,1)))</f>
        <v>45566</v>
      </c>
      <c r="B29" s="104">
        <f>IF(A29="","",COUNTIFS(complaints!$B$2:$B$928,"&gt;="&amp;A29,complaints!$B$2:$B$928,"&lt;="&amp;EOMONTH(A29,0),complaints!$B$2:$B$928,"&lt;&gt;"&amp;""))</f>
        <v>0</v>
      </c>
      <c r="C29" s="104">
        <f>IF(A29="","",SUMIFS(Sales!$C$2:$C$78141,Sales!$D$2:$D$78141,YEAR(A29),Sales!$B$2:$B$78141,TEXT(A29,"MMMM")))</f>
        <v>2484</v>
      </c>
      <c r="D29" s="207">
        <f t="shared" si="0"/>
        <v>0</v>
      </c>
      <c r="E29" s="207">
        <f t="shared" si="1"/>
        <v>2.7619980261771912E-4</v>
      </c>
      <c r="F29" s="207" cm="1">
        <f t="array" ref="F29">IF(A29="","",AVERAGEIF($D$2:$D$46,"&lt;&gt;")+3*IFERROR(STDEV(IF($D$2:$D$46&lt;&gt;"", $D$2:$D$46)),0))</f>
        <v>2.3740003463252955E-3</v>
      </c>
      <c r="G29" s="208" t="str">
        <f t="shared" si="2"/>
        <v/>
      </c>
      <c r="H29" s="6"/>
      <c r="I29" s="209" t="str">
        <f t="shared" si="3"/>
        <v>Oct 2024</v>
      </c>
      <c r="J29" s="210">
        <f t="shared" si="4"/>
        <v>0</v>
      </c>
      <c r="K29" s="210">
        <f t="shared" si="5"/>
        <v>2.7619980261771912E-4</v>
      </c>
      <c r="L29" s="210">
        <f t="shared" si="6"/>
        <v>2.3740003463252955E-3</v>
      </c>
    </row>
    <row r="30" spans="1:12" ht="13.15" x14ac:dyDescent="0.4">
      <c r="A30" s="206">
        <f>IF(A29="","",IF(EDATE(A29,1)&gt;EOMONTH(Config!$C$9,0),"",EDATE(A29,1)))</f>
        <v>45597</v>
      </c>
      <c r="B30" s="104">
        <f>IF(A30="","",COUNTIFS(complaints!$B$2:$B$928,"&gt;="&amp;A30,complaints!$B$2:$B$928,"&lt;="&amp;EOMONTH(A30,0),complaints!$B$2:$B$928,"&lt;&gt;"&amp;""))</f>
        <v>0</v>
      </c>
      <c r="C30" s="104">
        <f>IF(A30="","",SUMIFS(Sales!$C$2:$C$78141,Sales!$D$2:$D$78141,YEAR(A30),Sales!$B$2:$B$78141,TEXT(A30,"MMMM")))</f>
        <v>682</v>
      </c>
      <c r="D30" s="207">
        <f t="shared" si="0"/>
        <v>0</v>
      </c>
      <c r="E30" s="207">
        <f t="shared" si="1"/>
        <v>2.7619980261771912E-4</v>
      </c>
      <c r="F30" s="207" cm="1">
        <f t="array" ref="F30">IF(A30="","",AVERAGEIF($D$2:$D$46,"&lt;&gt;")+3*IFERROR(STDEV(IF($D$2:$D$46&lt;&gt;"", $D$2:$D$46)),0))</f>
        <v>2.3740003463252955E-3</v>
      </c>
      <c r="G30" s="208" t="str">
        <f t="shared" si="2"/>
        <v/>
      </c>
      <c r="H30" s="6"/>
      <c r="I30" s="209" t="str">
        <f t="shared" si="3"/>
        <v>Nov 2024</v>
      </c>
      <c r="J30" s="210">
        <f t="shared" si="4"/>
        <v>0</v>
      </c>
      <c r="K30" s="210">
        <f t="shared" si="5"/>
        <v>2.7619980261771912E-4</v>
      </c>
      <c r="L30" s="210">
        <f t="shared" si="6"/>
        <v>2.3740003463252955E-3</v>
      </c>
    </row>
    <row r="31" spans="1:12" ht="13.15" x14ac:dyDescent="0.4">
      <c r="A31" s="206">
        <f>IF(A30="","",IF(EDATE(A30,1)&gt;EOMONTH(Config!$C$9,0),"",EDATE(A30,1)))</f>
        <v>45627</v>
      </c>
      <c r="B31" s="104">
        <f>IF(A31="","",COUNTIFS(complaints!$B$2:$B$928,"&gt;="&amp;A31,complaints!$B$2:$B$928,"&lt;="&amp;EOMONTH(A31,0),complaints!$B$2:$B$928,"&lt;&gt;"&amp;""))</f>
        <v>0</v>
      </c>
      <c r="C31" s="104">
        <f>IF(A31="","",SUMIFS(Sales!$C$2:$C$78141,Sales!$D$2:$D$78141,YEAR(A31),Sales!$B$2:$B$78141,TEXT(A31,"MMMM")))</f>
        <v>2069</v>
      </c>
      <c r="D31" s="207">
        <f t="shared" si="0"/>
        <v>0</v>
      </c>
      <c r="E31" s="207">
        <f t="shared" si="1"/>
        <v>2.7619980261771912E-4</v>
      </c>
      <c r="F31" s="207" cm="1">
        <f t="array" ref="F31">IF(A31="","",AVERAGEIF($D$2:$D$46,"&lt;&gt;")+3*IFERROR(STDEV(IF($D$2:$D$46&lt;&gt;"", $D$2:$D$46)),0))</f>
        <v>2.3740003463252955E-3</v>
      </c>
      <c r="G31" s="208" t="str">
        <f t="shared" si="2"/>
        <v/>
      </c>
      <c r="H31" s="6"/>
      <c r="I31" s="209" t="str">
        <f t="shared" si="3"/>
        <v>Dec 2024</v>
      </c>
      <c r="J31" s="210">
        <f t="shared" si="4"/>
        <v>0</v>
      </c>
      <c r="K31" s="210">
        <f t="shared" si="5"/>
        <v>2.7619980261771912E-4</v>
      </c>
      <c r="L31" s="210">
        <f t="shared" si="6"/>
        <v>2.3740003463252955E-3</v>
      </c>
    </row>
    <row r="32" spans="1:12" ht="13.15" x14ac:dyDescent="0.4">
      <c r="A32" s="206">
        <f>IF(A31="","",IF(EDATE(A31,1)&gt;EOMONTH(Config!$C$9,0),"",EDATE(A31,1)))</f>
        <v>45658</v>
      </c>
      <c r="B32" s="104">
        <f>IF(A32="","",COUNTIFS(complaints!$B$2:$B$928,"&gt;="&amp;A32,complaints!$B$2:$B$928,"&lt;="&amp;EOMONTH(A32,0),complaints!$B$2:$B$928,"&lt;&gt;"&amp;""))</f>
        <v>0</v>
      </c>
      <c r="C32" s="104">
        <f>IF(A32="","",SUMIFS(Sales!$C$2:$C$78141,Sales!$D$2:$D$78141,YEAR(A32),Sales!$B$2:$B$78141,TEXT(A32,"MMMM")))</f>
        <v>1741</v>
      </c>
      <c r="D32" s="207">
        <f t="shared" si="0"/>
        <v>0</v>
      </c>
      <c r="E32" s="207">
        <f t="shared" si="1"/>
        <v>2.7619980261771912E-4</v>
      </c>
      <c r="F32" s="207" cm="1">
        <f t="array" ref="F32">IF(A32="","",AVERAGEIF($D$2:$D$46,"&lt;&gt;")+3*IFERROR(STDEV(IF($D$2:$D$46&lt;&gt;"", $D$2:$D$46)),0))</f>
        <v>2.3740003463252955E-3</v>
      </c>
      <c r="G32" s="208" t="str">
        <f t="shared" si="2"/>
        <v/>
      </c>
      <c r="H32" s="6"/>
      <c r="I32" s="209" t="str">
        <f t="shared" si="3"/>
        <v>Jan 2025</v>
      </c>
      <c r="J32" s="210">
        <f t="shared" si="4"/>
        <v>0</v>
      </c>
      <c r="K32" s="210">
        <f t="shared" si="5"/>
        <v>2.7619980261771912E-4</v>
      </c>
      <c r="L32" s="210">
        <f t="shared" si="6"/>
        <v>2.3740003463252955E-3</v>
      </c>
    </row>
    <row r="33" spans="1:12" ht="13.15" x14ac:dyDescent="0.4">
      <c r="A33" s="206">
        <f>IF(A32="","",IF(EDATE(A32,1)&gt;EOMONTH(Config!$C$9,0),"",EDATE(A32,1)))</f>
        <v>45689</v>
      </c>
      <c r="B33" s="104">
        <f>IF(A33="","",COUNTIFS(complaints!$B$2:$B$928,"&gt;="&amp;A33,complaints!$B$2:$B$928,"&lt;="&amp;EOMONTH(A33,0),complaints!$B$2:$B$928,"&lt;&gt;"&amp;""))</f>
        <v>0</v>
      </c>
      <c r="C33" s="104">
        <f>IF(A33="","",SUMIFS(Sales!$C$2:$C$78141,Sales!$D$2:$D$78141,YEAR(A33),Sales!$B$2:$B$78141,TEXT(A33,"MMMM")))</f>
        <v>1630</v>
      </c>
      <c r="D33" s="207">
        <f t="shared" si="0"/>
        <v>0</v>
      </c>
      <c r="E33" s="207">
        <f t="shared" si="1"/>
        <v>2.7619980261771912E-4</v>
      </c>
      <c r="F33" s="207" cm="1">
        <f t="array" ref="F33">IF(A33="","",AVERAGEIF($D$2:$D$46,"&lt;&gt;")+3*IFERROR(STDEV(IF($D$2:$D$46&lt;&gt;"", $D$2:$D$46)),0))</f>
        <v>2.3740003463252955E-3</v>
      </c>
      <c r="G33" s="208" t="str">
        <f t="shared" si="2"/>
        <v/>
      </c>
      <c r="H33" s="6"/>
      <c r="I33" s="209" t="str">
        <f t="shared" si="3"/>
        <v>Feb 2025</v>
      </c>
      <c r="J33" s="210">
        <f t="shared" si="4"/>
        <v>0</v>
      </c>
      <c r="K33" s="210">
        <f t="shared" si="5"/>
        <v>2.7619980261771912E-4</v>
      </c>
      <c r="L33" s="210">
        <f t="shared" si="6"/>
        <v>2.3740003463252955E-3</v>
      </c>
    </row>
    <row r="34" spans="1:12" ht="13.15" x14ac:dyDescent="0.4">
      <c r="A34" s="206">
        <f>IF(A33="","",IF(EDATE(A33,1)&gt;EOMONTH(Config!$C$9,0),"",EDATE(A33,1)))</f>
        <v>45717</v>
      </c>
      <c r="B34" s="104">
        <f>IF(A34="","",COUNTIFS(complaints!$B$2:$B$928,"&gt;="&amp;A34,complaints!$B$2:$B$928,"&lt;="&amp;EOMONTH(A34,0),complaints!$B$2:$B$928,"&lt;&gt;"&amp;""))</f>
        <v>0</v>
      </c>
      <c r="C34" s="104">
        <f>IF(A34="","",SUMIFS(Sales!$C$2:$C$78141,Sales!$D$2:$D$78141,YEAR(A34),Sales!$B$2:$B$78141,TEXT(A34,"MMMM")))</f>
        <v>1515</v>
      </c>
      <c r="D34" s="207">
        <f t="shared" si="0"/>
        <v>0</v>
      </c>
      <c r="E34" s="207">
        <f t="shared" si="1"/>
        <v>2.7619980261771912E-4</v>
      </c>
      <c r="F34" s="207" cm="1">
        <f t="array" ref="F34">IF(A34="","",AVERAGEIF($D$2:$D$46,"&lt;&gt;")+3*IFERROR(STDEV(IF($D$2:$D$46&lt;&gt;"", $D$2:$D$46)),0))</f>
        <v>2.3740003463252955E-3</v>
      </c>
      <c r="G34" s="208" t="str">
        <f t="shared" si="2"/>
        <v/>
      </c>
      <c r="H34" s="6"/>
      <c r="I34" s="209" t="str">
        <f t="shared" si="3"/>
        <v>Mar 2025</v>
      </c>
      <c r="J34" s="210">
        <f t="shared" si="4"/>
        <v>0</v>
      </c>
      <c r="K34" s="210">
        <f t="shared" si="5"/>
        <v>2.7619980261771912E-4</v>
      </c>
      <c r="L34" s="210">
        <f t="shared" si="6"/>
        <v>2.3740003463252955E-3</v>
      </c>
    </row>
    <row r="35" spans="1:12" ht="13.15" x14ac:dyDescent="0.4">
      <c r="A35" s="206">
        <f>IF(A34="","",IF(EDATE(A34,1)&gt;EOMONTH(Config!$C$9,0),"",EDATE(A34,1)))</f>
        <v>45748</v>
      </c>
      <c r="B35" s="104">
        <f>IF(A35="","",COUNTIFS(complaints!$B$2:$B$928,"&gt;="&amp;A35,complaints!$B$2:$B$928,"&lt;="&amp;EOMONTH(A35,0),complaints!$B$2:$B$928,"&lt;&gt;"&amp;""))</f>
        <v>0</v>
      </c>
      <c r="C35" s="104">
        <f>IF(A35="","",SUMIFS(Sales!$C$2:$C$78141,Sales!$D$2:$D$78141,YEAR(A35),Sales!$B$2:$B$78141,TEXT(A35,"MMMM")))</f>
        <v>1772</v>
      </c>
      <c r="D35" s="207">
        <f t="shared" si="0"/>
        <v>0</v>
      </c>
      <c r="E35" s="207">
        <f t="shared" si="1"/>
        <v>2.7619980261771912E-4</v>
      </c>
      <c r="F35" s="207" cm="1">
        <f t="array" ref="F35">IF(A35="","",AVERAGEIF($D$2:$D$46,"&lt;&gt;")+3*IFERROR(STDEV(IF($D$2:$D$46&lt;&gt;"", $D$2:$D$46)),0))</f>
        <v>2.3740003463252955E-3</v>
      </c>
      <c r="G35" s="208" t="str">
        <f t="shared" si="2"/>
        <v/>
      </c>
      <c r="H35" s="6"/>
      <c r="I35" s="209" t="str">
        <f t="shared" si="3"/>
        <v>Apr 2025</v>
      </c>
      <c r="J35" s="210">
        <f t="shared" si="4"/>
        <v>0</v>
      </c>
      <c r="K35" s="210">
        <f t="shared" si="5"/>
        <v>2.7619980261771912E-4</v>
      </c>
      <c r="L35" s="210">
        <f t="shared" si="6"/>
        <v>2.3740003463252955E-3</v>
      </c>
    </row>
    <row r="36" spans="1:12" ht="13.15" x14ac:dyDescent="0.4">
      <c r="A36" s="206">
        <f>IF(A35="","",IF(EDATE(A35,1)&gt;EOMONTH(Config!$C$9,0),"",EDATE(A35,1)))</f>
        <v>45778</v>
      </c>
      <c r="B36" s="104">
        <f>IF(A36="","",COUNTIFS(complaints!$B$2:$B$928,"&gt;="&amp;A36,complaints!$B$2:$B$928,"&lt;="&amp;EOMONTH(A36,0),complaints!$B$2:$B$928,"&lt;&gt;"&amp;""))</f>
        <v>0</v>
      </c>
      <c r="C36" s="104">
        <f>IF(A36="","",SUMIFS(Sales!$C$2:$C$78141,Sales!$D$2:$D$78141,YEAR(A36),Sales!$B$2:$B$78141,TEXT(A36,"MMMM")))</f>
        <v>1741</v>
      </c>
      <c r="D36" s="207">
        <f t="shared" si="0"/>
        <v>0</v>
      </c>
      <c r="E36" s="207">
        <f t="shared" si="1"/>
        <v>2.7619980261771912E-4</v>
      </c>
      <c r="F36" s="207" cm="1">
        <f t="array" ref="F36">IF(A36="","",AVERAGEIF($D$2:$D$46,"&lt;&gt;")+3*IFERROR(STDEV(IF($D$2:$D$46&lt;&gt;"", $D$2:$D$46)),0))</f>
        <v>2.3740003463252955E-3</v>
      </c>
      <c r="G36" s="208" t="str">
        <f t="shared" si="2"/>
        <v/>
      </c>
      <c r="H36" s="6"/>
      <c r="I36" s="209" t="str">
        <f t="shared" si="3"/>
        <v>May 2025</v>
      </c>
      <c r="J36" s="210">
        <f t="shared" si="4"/>
        <v>0</v>
      </c>
      <c r="K36" s="210">
        <f t="shared" si="5"/>
        <v>2.7619980261771912E-4</v>
      </c>
      <c r="L36" s="210">
        <f t="shared" si="6"/>
        <v>2.3740003463252955E-3</v>
      </c>
    </row>
    <row r="37" spans="1:12" ht="13.15" x14ac:dyDescent="0.4">
      <c r="A37" s="206">
        <f>IF(A36="","",IF(EDATE(A36,1)&gt;EOMONTH(Config!$C$9,0),"",EDATE(A36,1)))</f>
        <v>45809</v>
      </c>
      <c r="B37" s="104">
        <f>IF(A37="","",COUNTIFS(complaints!$B$2:$B$928,"&gt;="&amp;A37,complaints!$B$2:$B$928,"&lt;="&amp;EOMONTH(A37,0),complaints!$B$2:$B$928,"&lt;&gt;"&amp;""))</f>
        <v>0</v>
      </c>
      <c r="C37" s="104">
        <f>IF(A37="","",SUMIFS(Sales!$C$2:$C$78141,Sales!$D$2:$D$78141,YEAR(A37),Sales!$B$2:$B$78141,TEXT(A37,"MMMM")))</f>
        <v>1613</v>
      </c>
      <c r="D37" s="207">
        <f t="shared" si="0"/>
        <v>0</v>
      </c>
      <c r="E37" s="207">
        <f t="shared" si="1"/>
        <v>2.7619980261771912E-4</v>
      </c>
      <c r="F37" s="207" cm="1">
        <f t="array" ref="F37">IF(A37="","",AVERAGEIF($D$2:$D$46,"&lt;&gt;")+3*IFERROR(STDEV(IF($D$2:$D$46&lt;&gt;"", $D$2:$D$46)),0))</f>
        <v>2.3740003463252955E-3</v>
      </c>
      <c r="G37" s="208" t="str">
        <f t="shared" si="2"/>
        <v/>
      </c>
      <c r="H37" s="6"/>
      <c r="I37" s="209" t="str">
        <f t="shared" si="3"/>
        <v>Jun 2025</v>
      </c>
      <c r="J37" s="210">
        <f t="shared" si="4"/>
        <v>0</v>
      </c>
      <c r="K37" s="210">
        <f t="shared" si="5"/>
        <v>2.7619980261771912E-4</v>
      </c>
      <c r="L37" s="210">
        <f t="shared" si="6"/>
        <v>2.3740003463252955E-3</v>
      </c>
    </row>
    <row r="38" spans="1:12" ht="13.15" x14ac:dyDescent="0.4">
      <c r="A38" s="206" t="str">
        <f>IF(A37="","",IF(EDATE(A37,1)&gt;EOMONTH(Config!$C$9,0),"",EDATE(A37,1)))</f>
        <v/>
      </c>
      <c r="B38" s="104" t="str">
        <f>IF(A38="","",COUNTIFS(complaints!$B$2:$B$928,"&gt;="&amp;A38,complaints!$B$2:$B$928,"&lt;="&amp;EOMONTH(A38,0),complaints!$B$2:$B$928,"&lt;&gt;"&amp;""))</f>
        <v/>
      </c>
      <c r="C38" s="104" t="str">
        <f>IF(A38="","",SUMIFS(Sales!$C$2:$C$78141,Sales!$D$2:$D$78141,YEAR(A38),Sales!$B$2:$B$78141,TEXT(A38,"MMMM")))</f>
        <v/>
      </c>
      <c r="D38" s="207" t="str">
        <f t="shared" si="0"/>
        <v/>
      </c>
      <c r="E38" s="207" t="str">
        <f t="shared" si="1"/>
        <v/>
      </c>
      <c r="F38" s="207" t="str" cm="1">
        <f t="array" ref="F38">IF(A38="","",AVERAGEIF($D$2:$D$46,"&lt;&gt;")+3*IFERROR(STDEV(IF($D$2:$D$46&lt;&gt;"", $D$2:$D$46)),0))</f>
        <v/>
      </c>
      <c r="G38" s="208" t="str">
        <f t="shared" si="2"/>
        <v/>
      </c>
      <c r="H38" s="6"/>
      <c r="I38" s="209" t="str">
        <f t="shared" si="3"/>
        <v/>
      </c>
      <c r="J38" s="210" t="str">
        <f t="shared" si="4"/>
        <v/>
      </c>
      <c r="K38" s="210" t="str">
        <f t="shared" si="5"/>
        <v/>
      </c>
      <c r="L38" s="210" t="str">
        <f t="shared" si="6"/>
        <v/>
      </c>
    </row>
    <row r="39" spans="1:12" ht="13.15" x14ac:dyDescent="0.4">
      <c r="A39" s="206" t="str">
        <f>IF(A38="","",IF(EDATE(A38,1)&gt;EOMONTH(Config!$C$9,0),"",EDATE(A38,1)))</f>
        <v/>
      </c>
      <c r="B39" s="104" t="str">
        <f>IF(A39="","",COUNTIFS(complaints!$B$2:$B$928,"&gt;="&amp;A39,complaints!$B$2:$B$928,"&lt;="&amp;EOMONTH(A39,0),complaints!$B$2:$B$928,"&lt;&gt;"&amp;""))</f>
        <v/>
      </c>
      <c r="C39" s="104" t="str">
        <f>IF(A39="","",SUMIFS(Sales!$C$2:$C$78141,Sales!$D$2:$D$78141,YEAR(A39),Sales!$B$2:$B$78141,TEXT(A39,"MMMM")))</f>
        <v/>
      </c>
      <c r="D39" s="207" t="str">
        <f t="shared" si="0"/>
        <v/>
      </c>
      <c r="E39" s="207" t="str">
        <f t="shared" si="1"/>
        <v/>
      </c>
      <c r="F39" s="207" t="str" cm="1">
        <f t="array" ref="F39">IF(A39="","",AVERAGEIF($D$2:$D$46,"&lt;&gt;")+3*IFERROR(STDEV(IF($D$2:$D$46&lt;&gt;"", $D$2:$D$46)),0))</f>
        <v/>
      </c>
      <c r="G39" s="208" t="str">
        <f t="shared" si="2"/>
        <v/>
      </c>
      <c r="H39" s="6"/>
      <c r="I39" s="209" t="str">
        <f t="shared" si="3"/>
        <v/>
      </c>
      <c r="J39" s="210" t="str">
        <f t="shared" si="4"/>
        <v/>
      </c>
      <c r="K39" s="210" t="str">
        <f t="shared" si="5"/>
        <v/>
      </c>
      <c r="L39" s="210" t="str">
        <f t="shared" si="6"/>
        <v/>
      </c>
    </row>
    <row r="40" spans="1:12" ht="13.15" x14ac:dyDescent="0.4">
      <c r="A40" s="206" t="str">
        <f>IF(A39="","",IF(EDATE(A39,1)&gt;EOMONTH(Config!$C$9,0),"",EDATE(A39,1)))</f>
        <v/>
      </c>
      <c r="B40" s="104" t="str">
        <f>IF(A40="","",COUNTIFS(complaints!$B$2:$B$928,"&gt;="&amp;A40,complaints!$B$2:$B$928,"&lt;="&amp;EOMONTH(A40,0),complaints!$B$2:$B$928,"&lt;&gt;"&amp;""))</f>
        <v/>
      </c>
      <c r="C40" s="104" t="str">
        <f>IF(A40="","",SUMIFS(Sales!$C$2:$C$78141,Sales!$D$2:$D$78141,YEAR(A40),Sales!$B$2:$B$78141,TEXT(A40,"MMMM")))</f>
        <v/>
      </c>
      <c r="D40" s="207" t="str">
        <f t="shared" si="0"/>
        <v/>
      </c>
      <c r="E40" s="207" t="str">
        <f t="shared" si="1"/>
        <v/>
      </c>
      <c r="F40" s="207" t="str" cm="1">
        <f t="array" ref="F40">IF(A40="","",AVERAGEIF($D$2:$D$46,"&lt;&gt;")+3*IFERROR(STDEV(IF($D$2:$D$46&lt;&gt;"", $D$2:$D$46)),0))</f>
        <v/>
      </c>
      <c r="G40" s="208" t="str">
        <f t="shared" si="2"/>
        <v/>
      </c>
      <c r="H40" s="6"/>
      <c r="I40" s="209" t="str">
        <f t="shared" si="3"/>
        <v/>
      </c>
      <c r="J40" s="210" t="str">
        <f t="shared" si="4"/>
        <v/>
      </c>
      <c r="K40" s="210" t="str">
        <f t="shared" si="5"/>
        <v/>
      </c>
      <c r="L40" s="210" t="str">
        <f t="shared" si="6"/>
        <v/>
      </c>
    </row>
    <row r="41" spans="1:12" ht="13.15" x14ac:dyDescent="0.4">
      <c r="A41" s="206" t="str">
        <f>IF(A40="","",IF(EDATE(A40,1)&gt;EOMONTH(Config!$C$9,0),"",EDATE(A40,1)))</f>
        <v/>
      </c>
      <c r="B41" s="104" t="str">
        <f>IF(A41="","",COUNTIFS(complaints!$B$2:$B$928,"&gt;="&amp;A41,complaints!$B$2:$B$928,"&lt;="&amp;EOMONTH(A41,0),complaints!$B$2:$B$928,"&lt;&gt;"&amp;""))</f>
        <v/>
      </c>
      <c r="C41" s="104" t="str">
        <f>IF(A41="","",SUMIFS(Sales!$C$2:$C$78141,Sales!$D$2:$D$78141,YEAR(A41),Sales!$B$2:$B$78141,TEXT(A41,"MMMM")))</f>
        <v/>
      </c>
      <c r="D41" s="207" t="str">
        <f t="shared" si="0"/>
        <v/>
      </c>
      <c r="E41" s="207" t="str">
        <f t="shared" si="1"/>
        <v/>
      </c>
      <c r="F41" s="207" t="str" cm="1">
        <f t="array" ref="F41">IF(A41="","",AVERAGEIF($D$2:$D$46,"&lt;&gt;")+3*IFERROR(STDEV(IF($D$2:$D$46&lt;&gt;"", $D$2:$D$46)),0))</f>
        <v/>
      </c>
      <c r="G41" s="208" t="str">
        <f t="shared" si="2"/>
        <v/>
      </c>
      <c r="H41" s="6"/>
      <c r="I41" s="209" t="str">
        <f t="shared" si="3"/>
        <v/>
      </c>
      <c r="J41" s="210" t="str">
        <f t="shared" si="4"/>
        <v/>
      </c>
      <c r="K41" s="210" t="str">
        <f t="shared" si="5"/>
        <v/>
      </c>
      <c r="L41" s="210" t="str">
        <f t="shared" si="6"/>
        <v/>
      </c>
    </row>
    <row r="42" spans="1:12" ht="13.15" x14ac:dyDescent="0.4">
      <c r="A42" s="206" t="str">
        <f>IF(A41="","",IF(EDATE(A41,1)&gt;EOMONTH(Config!$C$9,0),"",EDATE(A41,1)))</f>
        <v/>
      </c>
      <c r="B42" s="104" t="str">
        <f>IF(A42="","",COUNTIFS(complaints!$B$2:$B$928,"&gt;="&amp;A42,complaints!$B$2:$B$928,"&lt;="&amp;EOMONTH(A42,0),complaints!$B$2:$B$928,"&lt;&gt;"&amp;""))</f>
        <v/>
      </c>
      <c r="C42" s="104" t="str">
        <f>IF(A42="","",SUMIFS(Sales!$C$2:$C$78141,Sales!$D$2:$D$78141,YEAR(A42),Sales!$B$2:$B$78141,TEXT(A42,"MMMM")))</f>
        <v/>
      </c>
      <c r="D42" s="207" t="str">
        <f t="shared" si="0"/>
        <v/>
      </c>
      <c r="E42" s="207" t="str">
        <f t="shared" si="1"/>
        <v/>
      </c>
      <c r="F42" s="207" t="str" cm="1">
        <f t="array" ref="F42">IF(A42="","",AVERAGEIF($D$2:$D$46,"&lt;&gt;")+3*IFERROR(STDEV(IF($D$2:$D$46&lt;&gt;"", $D$2:$D$46)),0))</f>
        <v/>
      </c>
      <c r="G42" s="208" t="str">
        <f t="shared" si="2"/>
        <v/>
      </c>
      <c r="H42" s="6"/>
      <c r="I42" s="209" t="str">
        <f t="shared" si="3"/>
        <v/>
      </c>
      <c r="J42" s="210" t="str">
        <f t="shared" si="4"/>
        <v/>
      </c>
      <c r="K42" s="210" t="str">
        <f t="shared" si="5"/>
        <v/>
      </c>
      <c r="L42" s="210" t="str">
        <f t="shared" si="6"/>
        <v/>
      </c>
    </row>
    <row r="43" spans="1:12" ht="13.15" x14ac:dyDescent="0.4">
      <c r="A43" s="206" t="str">
        <f>IF(A42="","",IF(EDATE(A42,1)&gt;EOMONTH(Config!$C$9,0),"",EDATE(A42,1)))</f>
        <v/>
      </c>
      <c r="B43" s="104" t="str">
        <f>IF(A43="","",COUNTIFS(complaints!$B$2:$B$928,"&gt;="&amp;A43,complaints!$B$2:$B$928,"&lt;="&amp;EOMONTH(A43,0),complaints!$B$2:$B$928,"&lt;&gt;"&amp;""))</f>
        <v/>
      </c>
      <c r="C43" s="104" t="str">
        <f>IF(A43="","",SUMIFS(Sales!$C$2:$C$78141,Sales!$D$2:$D$78141,YEAR(A43),Sales!$B$2:$B$78141,TEXT(A43,"MMMM")))</f>
        <v/>
      </c>
      <c r="D43" s="207" t="str">
        <f t="shared" si="0"/>
        <v/>
      </c>
      <c r="E43" s="207" t="str">
        <f t="shared" si="1"/>
        <v/>
      </c>
      <c r="F43" s="207" t="str" cm="1">
        <f t="array" ref="F43">IF(A43="","",AVERAGEIF($D$2:$D$46,"&lt;&gt;")+3*IFERROR(STDEV(IF($D$2:$D$46&lt;&gt;"", $D$2:$D$46)),0))</f>
        <v/>
      </c>
      <c r="G43" s="208" t="str">
        <f t="shared" si="2"/>
        <v/>
      </c>
      <c r="H43" s="6"/>
      <c r="I43" s="209" t="str">
        <f t="shared" si="3"/>
        <v/>
      </c>
      <c r="J43" s="210" t="str">
        <f t="shared" si="4"/>
        <v/>
      </c>
      <c r="K43" s="210" t="str">
        <f t="shared" si="5"/>
        <v/>
      </c>
      <c r="L43" s="210" t="str">
        <f t="shared" si="6"/>
        <v/>
      </c>
    </row>
    <row r="44" spans="1:12" ht="13.15" x14ac:dyDescent="0.4">
      <c r="A44" s="206" t="str">
        <f>IF(A43="","",IF(EDATE(A43,1)&gt;EOMONTH(Config!$C$9,0),"",EDATE(A43,1)))</f>
        <v/>
      </c>
      <c r="B44" s="104" t="str">
        <f>IF(A44="","",COUNTIFS(complaints!$B$2:$B$928,"&gt;="&amp;A44,complaints!$B$2:$B$928,"&lt;="&amp;EOMONTH(A44,0),complaints!$B$2:$B$928,"&lt;&gt;"&amp;""))</f>
        <v/>
      </c>
      <c r="C44" s="104" t="str">
        <f>IF(A44="","",SUMIFS(Sales!$C$2:$C$78141,Sales!$D$2:$D$78141,YEAR(A44),Sales!$B$2:$B$78141,TEXT(A44,"MMMM")))</f>
        <v/>
      </c>
      <c r="D44" s="207" t="str">
        <f t="shared" si="0"/>
        <v/>
      </c>
      <c r="E44" s="207" t="str">
        <f t="shared" si="1"/>
        <v/>
      </c>
      <c r="F44" s="207" t="str" cm="1">
        <f t="array" ref="F44">IF(A44="","",AVERAGEIF($D$2:$D$46,"&lt;&gt;")+3*IFERROR(STDEV(IF($D$2:$D$46&lt;&gt;"", $D$2:$D$46)),0))</f>
        <v/>
      </c>
      <c r="G44" s="208" t="str">
        <f t="shared" si="2"/>
        <v/>
      </c>
      <c r="H44" s="6"/>
      <c r="I44" s="209" t="str">
        <f t="shared" si="3"/>
        <v/>
      </c>
      <c r="J44" s="210" t="str">
        <f t="shared" si="4"/>
        <v/>
      </c>
      <c r="K44" s="210" t="str">
        <f t="shared" si="5"/>
        <v/>
      </c>
      <c r="L44" s="210" t="str">
        <f t="shared" si="6"/>
        <v/>
      </c>
    </row>
    <row r="45" spans="1:12" ht="13.15" x14ac:dyDescent="0.4">
      <c r="A45" s="206" t="str">
        <f>IF(A44="","",IF(EDATE(A44,1)&gt;EOMONTH(Config!$C$9,0),"",EDATE(A44,1)))</f>
        <v/>
      </c>
      <c r="B45" s="104" t="str">
        <f>IF(A45="","",COUNTIFS(complaints!$B$2:$B$928,"&gt;="&amp;A45,complaints!$B$2:$B$928,"&lt;="&amp;EOMONTH(A45,0),complaints!$B$2:$B$928,"&lt;&gt;"&amp;""))</f>
        <v/>
      </c>
      <c r="C45" s="104" t="str">
        <f>IF(A45="","",SUMIFS(Sales!$C$2:$C$78141,Sales!$D$2:$D$78141,YEAR(A45),Sales!$B$2:$B$78141,TEXT(A45,"MMMM")))</f>
        <v/>
      </c>
      <c r="D45" s="207" t="str">
        <f t="shared" si="0"/>
        <v/>
      </c>
      <c r="E45" s="207" t="str">
        <f t="shared" si="1"/>
        <v/>
      </c>
      <c r="F45" s="207" t="str" cm="1">
        <f t="array" ref="F45">IF(A45="","",AVERAGEIF($D$2:$D$46,"&lt;&gt;")+3*IFERROR(STDEV(IF($D$2:$D$46&lt;&gt;"", $D$2:$D$46)),0))</f>
        <v/>
      </c>
      <c r="G45" s="208" t="str">
        <f t="shared" si="2"/>
        <v/>
      </c>
      <c r="H45" s="6"/>
      <c r="I45" s="209" t="str">
        <f t="shared" si="3"/>
        <v/>
      </c>
      <c r="J45" s="210" t="str">
        <f t="shared" si="4"/>
        <v/>
      </c>
      <c r="K45" s="210" t="str">
        <f t="shared" si="5"/>
        <v/>
      </c>
      <c r="L45" s="210" t="str">
        <f t="shared" si="6"/>
        <v/>
      </c>
    </row>
    <row r="46" spans="1:12" ht="13.15" x14ac:dyDescent="0.4">
      <c r="A46" s="206" t="str">
        <f>IF(A45="","",IF(EDATE(A45,1)&gt;EOMONTH(Config!$C$9,0),"",EDATE(A45,1)))</f>
        <v/>
      </c>
      <c r="B46" s="104" t="str">
        <f>IF(A46="","",COUNTIFS(complaints!$B$2:$B$928,"&gt;="&amp;A46,complaints!$B$2:$B$928,"&lt;="&amp;EOMONTH(A46,0),complaints!$B$2:$B$928,"&lt;&gt;"&amp;""))</f>
        <v/>
      </c>
      <c r="C46" s="104" t="str">
        <f>IF(A46="","",SUMIFS(Sales!$C$2:$C$78141,Sales!$D$2:$D$78141,YEAR(A46),Sales!$B$2:$B$78141,TEXT(A46,"MMMM")))</f>
        <v/>
      </c>
      <c r="D46" s="207" t="str">
        <f t="shared" si="0"/>
        <v/>
      </c>
      <c r="E46" s="207" t="str">
        <f t="shared" si="1"/>
        <v/>
      </c>
      <c r="F46" s="207" t="str" cm="1">
        <f t="array" ref="F46">IF(A46="","",AVERAGEIF($D$2:$D$46,"&lt;&gt;")+3*IFERROR(STDEV(IF($D$2:$D$46&lt;&gt;"", $D$2:$D$46)),0))</f>
        <v/>
      </c>
      <c r="G46" s="208" t="str">
        <f t="shared" si="2"/>
        <v/>
      </c>
      <c r="H46" s="6"/>
      <c r="I46" s="209" t="str">
        <f t="shared" si="3"/>
        <v/>
      </c>
      <c r="J46" s="210" t="str">
        <f t="shared" si="4"/>
        <v/>
      </c>
      <c r="K46" s="210" t="str">
        <f t="shared" si="5"/>
        <v/>
      </c>
      <c r="L46" s="210" t="str">
        <f t="shared" si="6"/>
        <v/>
      </c>
    </row>
  </sheetData>
  <sheetProtection sheet="1" scenarios="1" sort="0" autoFilter="0"/>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1E295-802F-4F0E-B78D-E99B359F2AF3}">
  <sheetPr>
    <tabColor rgb="FF00B4D8"/>
  </sheetPr>
  <dimension ref="A1:H92"/>
  <sheetViews>
    <sheetView showGridLines="0" topLeftCell="C17" workbookViewId="0">
      <selection activeCell="F37" sqref="F37"/>
    </sheetView>
  </sheetViews>
  <sheetFormatPr defaultRowHeight="12.75" x14ac:dyDescent="0.35"/>
  <cols>
    <col min="1" max="1" width="3.86328125" customWidth="1"/>
    <col min="2" max="2" width="26.73046875" customWidth="1"/>
    <col min="3" max="3" width="33.59765625" bestFit="1" customWidth="1"/>
    <col min="4" max="4" width="22.86328125" customWidth="1"/>
    <col min="5" max="5" width="15.265625" customWidth="1"/>
    <col min="6" max="6" width="21" customWidth="1"/>
    <col min="7" max="12" width="19" customWidth="1"/>
  </cols>
  <sheetData>
    <row r="1" spans="1:8" ht="8.1" hidden="1" customHeight="1" x14ac:dyDescent="0.4">
      <c r="A1" s="6"/>
      <c r="B1" s="11" t="s">
        <v>1470</v>
      </c>
      <c r="C1" s="11" t="str">
        <f>IF(OR(Config!$C$11="",Config!$C$12=""),"",TEXT(Config!$C$11,"MMM YYYY")&amp;" – "&amp;TEXT(Config!$C$12,"MMM YYYY"))</f>
        <v/>
      </c>
      <c r="D1" s="11" t="str">
        <f>IF(Config!$C$8="","",TEXT(DATE(YEAR(Config!$C$8),MONTH(Config!$C$8),1),"MMM YYYY")&amp;" – "&amp;TEXT(EOMONTH(DATE(YEAR(Config!$C$8),12,1),0),"MMM YYYY"))</f>
        <v>Jul 2022 – Dec 2022</v>
      </c>
      <c r="E1" s="11" t="str">
        <f>IF(Config!$C$8="","",IF(YEAR(Config!$C$9)&gt;YEAR(Config!$C$8),TEXT(DATE(YEAR(Config!$C$8)+1,1,1),"MMM YYYY")&amp;" – "&amp;IF(YEAR(Config!$C$8)+1=YEAR(Config!$C$9),TEXT(Config!$C$9,"MMM YYYY"),TEXT(EOMONTH(DATE(YEAR(Config!$C$8)+1,12,1),0),"MMM YYYY")),""))</f>
        <v>Jan 2023 – Dec 2023</v>
      </c>
      <c r="F1" s="11" t="str">
        <f>IF(Config!$C$8="","",IF(YEAR(Config!$C$9)&gt;YEAR(Config!$C$8)+1,TEXT(DATE(YEAR(Config!$C$8)+2,1,1),"MMM YYYY")&amp;" – "&amp;IF(YEAR(Config!$C$8)+2=YEAR(Config!$C$9),TEXT(Config!$C$9,"MMM YYYY"),TEXT(EOMONTH(DATE(YEAR(Config!$C$8)+2,12,1),0),"MMM YYYY")),""))</f>
        <v>Jan 2024 – Dec 2024</v>
      </c>
      <c r="G1" s="11" t="str">
        <f>IF(Config!$C$8="","",IF(YEAR(Config!$C$9)&gt;YEAR(Config!$C$8)+2,TEXT(DATE(YEAR(Config!$C$8)+3,1,1),"MMM YYYY")&amp;" – "&amp;IF(YEAR(Config!$C$8)+3=YEAR(Config!$C$9),TEXT(Config!$C$9,"MMM YYYY"),TEXT(EOMONTH(DATE(YEAR(Config!$C$8)+3,12,1),0),"MMM YYYY")),""))</f>
        <v>Jan 2025 – Jun 2025</v>
      </c>
      <c r="H1" s="11" cm="1">
        <f t="array" ref="H1">SUMPRODUCT((C1:G1&lt;&gt;"")*1)</f>
        <v>4</v>
      </c>
    </row>
    <row r="2" spans="1:8" ht="30" customHeight="1" thickBot="1" x14ac:dyDescent="0.5">
      <c r="A2" s="6"/>
      <c r="B2" s="211" t="s">
        <v>1337</v>
      </c>
      <c r="C2" s="212"/>
      <c r="D2" s="212"/>
      <c r="E2" s="212"/>
      <c r="F2" s="213"/>
      <c r="G2" s="213"/>
      <c r="H2" s="213"/>
    </row>
    <row r="3" spans="1:8" ht="24" customHeight="1" thickBot="1" x14ac:dyDescent="0.45">
      <c r="A3" s="6"/>
      <c r="B3" s="214" t="s">
        <v>1314</v>
      </c>
      <c r="C3" s="214" t="str" cm="1">
        <f t="array" ref="C3">IF(COLUMN()-2&gt;$H$1+1,"",IF(COLUMN()-2=$H$1+1,"% of Total",IFERROR(INDEX(_xlfn._xlws.FILTER($C$1:$G$1,$C$1:$G$1&lt;&gt;""),1,COLUMN()-2),"")))</f>
        <v>Jul 2022 – Dec 2022</v>
      </c>
      <c r="D3" s="214" t="str" cm="1">
        <f t="array" ref="D3">IF(COLUMN()-2&gt;$H$1+1,"",IF(COLUMN()-2=$H$1+1,"% of Total",IFERROR(INDEX(_xlfn._xlws.FILTER($C$1:$G$1,$C$1:$G$1&lt;&gt;""),1,COLUMN()-2),"")))</f>
        <v>Jan 2023 – Dec 2023</v>
      </c>
      <c r="E3" s="214" t="str" cm="1">
        <f t="array" ref="E3">IF(COLUMN()-2&gt;$H$1+1,"",IF(COLUMN()-2=$H$1+1,"% of Total",IFERROR(INDEX(_xlfn._xlws.FILTER($C$1:$G$1,$C$1:$G$1&lt;&gt;""),1,COLUMN()-2),"")))</f>
        <v>Jan 2024 – Dec 2024</v>
      </c>
      <c r="F3" s="214" t="str" cm="1">
        <f t="array" ref="F3">IF(COLUMN()-2&gt;$H$1+1,"",IF(COLUMN()-2=$H$1+1,"% of Total",IFERROR(INDEX(_xlfn._xlws.FILTER($C$1:$G$1,$C$1:$G$1&lt;&gt;""),1,COLUMN()-2),"")))</f>
        <v>Jan 2025 – Jun 2025</v>
      </c>
      <c r="G3" s="214" t="str" cm="1">
        <f t="array" ref="G3">IF(COLUMN()-2&gt;$H$1+1,"",IF(COLUMN()-2=$H$1+1,"% of Total",IFERROR(INDEX(_xlfn._xlws.FILTER($C$1:$G$1,$C$1:$G$1&lt;&gt;""),1,COLUMN()-2),"")))</f>
        <v>% of Total</v>
      </c>
      <c r="H3" s="215" t="str" cm="1">
        <f t="array" ref="H3">IF(COLUMN()-2&gt;$H$1+1,"",IF(COLUMN()-2=$H$1+1,"% of Total",IFERROR(INDEX(_xlfn._xlws.FILTER($C$1:$G$1,$C$1:$G$1&lt;&gt;""),1,COLUMN()-2),"")))</f>
        <v/>
      </c>
    </row>
    <row r="4" spans="1:8" ht="13.15" x14ac:dyDescent="0.4">
      <c r="A4" s="6"/>
      <c r="B4" s="216"/>
      <c r="C4" s="217"/>
      <c r="D4" s="217"/>
      <c r="E4" s="217"/>
      <c r="F4" s="217"/>
      <c r="G4" s="217"/>
      <c r="H4" s="11"/>
    </row>
    <row r="5" spans="1:8" ht="13.15" x14ac:dyDescent="0.4">
      <c r="A5" s="6"/>
      <c r="B5" s="218"/>
      <c r="C5" s="219"/>
      <c r="D5" s="219"/>
      <c r="E5" s="219"/>
      <c r="F5" s="219"/>
      <c r="G5" s="219"/>
      <c r="H5" s="11"/>
    </row>
    <row r="6" spans="1:8" ht="13.15" x14ac:dyDescent="0.4">
      <c r="A6" s="6"/>
      <c r="B6" s="220" t="s">
        <v>1469</v>
      </c>
      <c r="C6" s="221" cm="1">
        <f t="array" ref="C6">IF(COLUMN()-2&gt;$H$1+1,"",IF(COLUMN()-2=$H$1+1,IF(SUM($D$92:$G$92)=0,"-",(IF(ISNUMBER(D82),D82,0)+IF(ISNUMBER(E82),E82,0)+IF(ISNUMBER(F82),F82,0)+IF(ISNUMBER(G82),G82,0))/SUM($D$92:$G$92)),IFERROR(INDEX(_xlfn._xlws.FILTER($C82:$G82,$C$1:$G$1&lt;&gt;""),1,COLUMN()-2),"")))</f>
        <v>0</v>
      </c>
      <c r="D6" s="221" cm="1">
        <f t="array" ref="D6">IF(COLUMN()-2&gt;$H$1+1,"",IF(COLUMN()-2=$H$1+1,IF(SUM($D$92:$G$92)=0,"-",(IF(ISNUMBER(D82),D82,0)+IF(ISNUMBER(E82),E82,0)+IF(ISNUMBER(F82),F82,0)+IF(ISNUMBER(G82),G82,0))/SUM($D$92:$G$92)),IFERROR(INDEX(_xlfn._xlws.FILTER($C82:$G82,$C$1:$G$1&lt;&gt;""),1,COLUMN()-2),"")))</f>
        <v>0</v>
      </c>
      <c r="E6" s="221" cm="1">
        <f t="array" ref="E6">IF(COLUMN()-2&gt;$H$1+1,"",IF(COLUMN()-2=$H$1+1,IF(SUM($D$92:$G$92)=0,"-",(IF(ISNUMBER(D82),D82,0)+IF(ISNUMBER(E82),E82,0)+IF(ISNUMBER(F82),F82,0)+IF(ISNUMBER(G82),G82,0))/SUM($D$92:$G$92)),IFERROR(INDEX(_xlfn._xlws.FILTER($C82:$G82,$C$1:$G$1&lt;&gt;""),1,COLUMN()-2),"")))</f>
        <v>0</v>
      </c>
      <c r="F6" s="221" cm="1">
        <f t="array" ref="F6">IF(COLUMN()-2&gt;$H$1+1,"",IF(COLUMN()-2=$H$1+1,IF(SUM($D$92:$G$92)=0,"-",(IF(ISNUMBER(D82),D82,0)+IF(ISNUMBER(E82),E82,0)+IF(ISNUMBER(F82),F82,0)+IF(ISNUMBER(G82),G82,0))/SUM($D$92:$G$92)),IFERROR(INDEX(_xlfn._xlws.FILTER($C82:$G82,$C$1:$G$1&lt;&gt;""),1,COLUMN()-2),"")))</f>
        <v>0</v>
      </c>
      <c r="G6" s="505" cm="1">
        <f t="array" ref="G6">IF(COLUMN()-2&gt;$H$1+1,"",IF(COLUMN()-2=$H$1+1,IF(SUM($D$92:$G$92)=0,"-",(IF(ISNUMBER(D82),D82,0)+IF(ISNUMBER(E82),E82,0)+IF(ISNUMBER(F82),F82,0)+IF(ISNUMBER(G82),G82,0))/SUM($D$92:$G$92)),IFERROR(INDEX(_xlfn._xlws.FILTER($C82:$G82,$C$1:$G$1&lt;&gt;""),1,COLUMN()-2),"")))</f>
        <v>0</v>
      </c>
      <c r="H6" s="222" t="str" cm="1">
        <f t="array" ref="H6">IF(COLUMN()-2&gt;$H$1+1,"",IF(COLUMN()-2=$H$1+1,IF(SUM($D$92:$G$92)=0,"-",(IF(ISNUMBER(D82),D82,0)+IF(ISNUMBER(E82),E82,0)+IF(ISNUMBER(F82),F82,0)+IF(ISNUMBER(G82),G82,0))/SUM($D$92:$G$92)),IFERROR(INDEX(_xlfn._xlws.FILTER($C82:$G82,$C$1:$G$1&lt;&gt;""),1,COLUMN()-2),"")))</f>
        <v/>
      </c>
    </row>
    <row r="7" spans="1:8" ht="13.15" x14ac:dyDescent="0.4">
      <c r="A7" s="6"/>
      <c r="B7" s="223" t="s">
        <v>73</v>
      </c>
      <c r="C7" s="219" cm="1">
        <f t="array" ref="C7">IF(COLUMN()-2&gt;$H$1+1,"",IF(COLUMN()-2=$H$1+1,IF(SUM($D$92:$G$92)=0,"-",(IF(ISNUMBER(D83),D83,0)+IF(ISNUMBER(E83),E83,0)+IF(ISNUMBER(F83),F83,0)+IF(ISNUMBER(G83),G83,0))/SUM($D$92:$G$92)),IFERROR(INDEX(_xlfn._xlws.FILTER($C83:$G83,$C$1:$G$1&lt;&gt;""),1,COLUMN()-2),"")))</f>
        <v>0</v>
      </c>
      <c r="D7" s="219" cm="1">
        <f t="array" ref="D7">IF(COLUMN()-2&gt;$H$1+1,"",IF(COLUMN()-2=$H$1+1,IF(SUM($D$92:$G$92)=0,"-",(IF(ISNUMBER(D83),D83,0)+IF(ISNUMBER(E83),E83,0)+IF(ISNUMBER(F83),F83,0)+IF(ISNUMBER(G83),G83,0))/SUM($D$92:$G$92)),IFERROR(INDEX(_xlfn._xlws.FILTER($C83:$G83,$C$1:$G$1&lt;&gt;""),1,COLUMN()-2),"")))</f>
        <v>0</v>
      </c>
      <c r="E7" s="219" cm="1">
        <f t="array" ref="E7">IF(COLUMN()-2&gt;$H$1+1,"",IF(COLUMN()-2=$H$1+1,IF(SUM($D$92:$G$92)=0,"-",(IF(ISNUMBER(D83),D83,0)+IF(ISNUMBER(E83),E83,0)+IF(ISNUMBER(F83),F83,0)+IF(ISNUMBER(G83),G83,0))/SUM($D$92:$G$92)),IFERROR(INDEX(_xlfn._xlws.FILTER($C83:$G83,$C$1:$G$1&lt;&gt;""),1,COLUMN()-2),"")))</f>
        <v>0</v>
      </c>
      <c r="F7" s="219" cm="1">
        <f t="array" ref="F7">IF(COLUMN()-2&gt;$H$1+1,"",IF(COLUMN()-2=$H$1+1,IF(SUM($D$92:$G$92)=0,"-",(IF(ISNUMBER(D83),D83,0)+IF(ISNUMBER(E83),E83,0)+IF(ISNUMBER(F83),F83,0)+IF(ISNUMBER(G83),G83,0))/SUM($D$92:$G$92)),IFERROR(INDEX(_xlfn._xlws.FILTER($C83:$G83,$C$1:$G$1&lt;&gt;""),1,COLUMN()-2),"")))</f>
        <v>0</v>
      </c>
      <c r="G7" s="506" cm="1">
        <f t="array" ref="G7">IF(COLUMN()-2&gt;$H$1+1,"",IF(COLUMN()-2=$H$1+1,IF(SUM($D$92:$G$92)=0,"-",(IF(ISNUMBER(D83),D83,0)+IF(ISNUMBER(E83),E83,0)+IF(ISNUMBER(F83),F83,0)+IF(ISNUMBER(G83),G83,0))/SUM($D$92:$G$92)),IFERROR(INDEX(_xlfn._xlws.FILTER($C83:$G83,$C$1:$G$1&lt;&gt;""),1,COLUMN()-2),"")))</f>
        <v>0</v>
      </c>
      <c r="H7" s="224" t="str" cm="1">
        <f t="array" ref="H7">IF(COLUMN()-2&gt;$H$1+1,"",IF(COLUMN()-2=$H$1+1,IF(SUM($D$92:$G$92)=0,"-",(IF(ISNUMBER(D83),D83,0)+IF(ISNUMBER(E83),E83,0)+IF(ISNUMBER(F83),F83,0)+IF(ISNUMBER(G83),G83,0))/SUM($D$92:$G$92)),IFERROR(INDEX(_xlfn._xlws.FILTER($C83:$G83,$C$1:$G$1&lt;&gt;""),1,COLUMN()-2),"")))</f>
        <v/>
      </c>
    </row>
    <row r="8" spans="1:8" ht="13.15" x14ac:dyDescent="0.4">
      <c r="A8" s="6"/>
      <c r="B8" s="220" t="s">
        <v>1315</v>
      </c>
      <c r="C8" s="221" cm="1">
        <f t="array" ref="C8">IF(COLUMN()-2&gt;$H$1+1,"",IF(COLUMN()-2=$H$1+1,IF(SUM($D$92:$G$92)=0,"-",(IF(ISNUMBER(D84),D84,0)+IF(ISNUMBER(E84),E84,0)+IF(ISNUMBER(F84),F84,0)+IF(ISNUMBER(G84),G84,0))/SUM($D$92:$G$92)),IFERROR(INDEX(_xlfn._xlws.FILTER($C84:$G84,$C$1:$G$1&lt;&gt;""),1,COLUMN()-2),"")))</f>
        <v>86</v>
      </c>
      <c r="D8" s="221" cm="1">
        <f t="array" ref="D8">IF(COLUMN()-2&gt;$H$1+1,"",IF(COLUMN()-2=$H$1+1,IF(SUM($D$92:$G$92)=0,"-",(IF(ISNUMBER(D84),D84,0)+IF(ISNUMBER(E84),E84,0)+IF(ISNUMBER(F84),F84,0)+IF(ISNUMBER(G84),G84,0))/SUM($D$92:$G$92)),IFERROR(INDEX(_xlfn._xlws.FILTER($C84:$G84,$C$1:$G$1&lt;&gt;""),1,COLUMN()-2),"")))</f>
        <v>231</v>
      </c>
      <c r="E8" s="221" cm="1">
        <f t="array" ref="E8">IF(COLUMN()-2&gt;$H$1+1,"",IF(COLUMN()-2=$H$1+1,IF(SUM($D$92:$G$92)=0,"-",(IF(ISNUMBER(D84),D84,0)+IF(ISNUMBER(E84),E84,0)+IF(ISNUMBER(F84),F84,0)+IF(ISNUMBER(G84),G84,0))/SUM($D$92:$G$92)),IFERROR(INDEX(_xlfn._xlws.FILTER($C84:$G84,$C$1:$G$1&lt;&gt;""),1,COLUMN()-2),"")))</f>
        <v>176</v>
      </c>
      <c r="F8" s="221" cm="1">
        <f t="array" ref="F8">IF(COLUMN()-2&gt;$H$1+1,"",IF(COLUMN()-2=$H$1+1,IF(SUM($D$92:$G$92)=0,"-",(IF(ISNUMBER(D84),D84,0)+IF(ISNUMBER(E84),E84,0)+IF(ISNUMBER(F84),F84,0)+IF(ISNUMBER(G84),G84,0))/SUM($D$92:$G$92)),IFERROR(INDEX(_xlfn._xlws.FILTER($C84:$G84,$C$1:$G$1&lt;&gt;""),1,COLUMN()-2),"")))</f>
        <v>86</v>
      </c>
      <c r="G8" s="505" cm="1">
        <f t="array" ref="G8">IF(COLUMN()-2&gt;$H$1+1,"",IF(COLUMN()-2=$H$1+1,IF(SUM($D$92:$G$92)=0,"-",(IF(ISNUMBER(D84),D84,0)+IF(ISNUMBER(E84),E84,0)+IF(ISNUMBER(F84),F84,0)+IF(ISNUMBER(G84),G84,0))/SUM($D$92:$G$92)),IFERROR(INDEX(_xlfn._xlws.FILTER($C84:$G84,$C$1:$G$1&lt;&gt;""),1,COLUMN()-2),"")))</f>
        <v>9.5740459025067792E-3</v>
      </c>
      <c r="H8" s="222" t="str" cm="1">
        <f t="array" ref="H8">IF(COLUMN()-2&gt;$H$1+1,"",IF(COLUMN()-2=$H$1+1,IF(SUM($D$92:$G$92)=0,"-",(IF(ISNUMBER(D84),D84,0)+IF(ISNUMBER(E84),E84,0)+IF(ISNUMBER(F84),F84,0)+IF(ISNUMBER(G84),G84,0))/SUM($D$92:$G$92)),IFERROR(INDEX(_xlfn._xlws.FILTER($C84:$G84,$C$1:$G$1&lt;&gt;""),1,COLUMN()-2),"")))</f>
        <v/>
      </c>
    </row>
    <row r="9" spans="1:8" ht="13.15" x14ac:dyDescent="0.4">
      <c r="A9" s="6"/>
      <c r="B9" s="223" t="s">
        <v>35</v>
      </c>
      <c r="C9" s="219" cm="1">
        <f t="array" ref="C9">IF(COLUMN()-2&gt;$H$1+1,"",IF(COLUMN()-2=$H$1+1,IF(SUM($D$92:$G$92)=0,"-",(IF(ISNUMBER(D85),D85,0)+IF(ISNUMBER(E85),E85,0)+IF(ISNUMBER(F85),F85,0)+IF(ISNUMBER(G85),G85,0))/SUM($D$92:$G$92)),IFERROR(INDEX(_xlfn._xlws.FILTER($C85:$G85,$C$1:$G$1&lt;&gt;""),1,COLUMN()-2),"")))</f>
        <v>893</v>
      </c>
      <c r="D9" s="219" cm="1">
        <f t="array" ref="D9">IF(COLUMN()-2&gt;$H$1+1,"",IF(COLUMN()-2=$H$1+1,IF(SUM($D$92:$G$92)=0,"-",(IF(ISNUMBER(D85),D85,0)+IF(ISNUMBER(E85),E85,0)+IF(ISNUMBER(F85),F85,0)+IF(ISNUMBER(G85),G85,0))/SUM($D$92:$G$92)),IFERROR(INDEX(_xlfn._xlws.FILTER($C85:$G85,$C$1:$G$1&lt;&gt;""),1,COLUMN()-2),"")))</f>
        <v>2058</v>
      </c>
      <c r="E9" s="219" cm="1">
        <f t="array" ref="E9">IF(COLUMN()-2&gt;$H$1+1,"",IF(COLUMN()-2=$H$1+1,IF(SUM($D$92:$G$92)=0,"-",(IF(ISNUMBER(D85),D85,0)+IF(ISNUMBER(E85),E85,0)+IF(ISNUMBER(F85),F85,0)+IF(ISNUMBER(G85),G85,0))/SUM($D$92:$G$92)),IFERROR(INDEX(_xlfn._xlws.FILTER($C85:$G85,$C$1:$G$1&lt;&gt;""),1,COLUMN()-2),"")))</f>
        <v>2731</v>
      </c>
      <c r="F9" s="219" cm="1">
        <f t="array" ref="F9">IF(COLUMN()-2&gt;$H$1+1,"",IF(COLUMN()-2=$H$1+1,IF(SUM($D$92:$G$92)=0,"-",(IF(ISNUMBER(D85),D85,0)+IF(ISNUMBER(E85),E85,0)+IF(ISNUMBER(F85),F85,0)+IF(ISNUMBER(G85),G85,0))/SUM($D$92:$G$92)),IFERROR(INDEX(_xlfn._xlws.FILTER($C85:$G85,$C$1:$G$1&lt;&gt;""),1,COLUMN()-2),"")))</f>
        <v>1260</v>
      </c>
      <c r="G9" s="506" cm="1">
        <f t="array" ref="G9">IF(COLUMN()-2&gt;$H$1+1,"",IF(COLUMN()-2=$H$1+1,IF(SUM($D$92:$G$92)=0,"-",(IF(ISNUMBER(D85),D85,0)+IF(ISNUMBER(E85),E85,0)+IF(ISNUMBER(F85),F85,0)+IF(ISNUMBER(G85),G85,0))/SUM($D$92:$G$92)),IFERROR(INDEX(_xlfn._xlws.FILTER($C85:$G85,$C$1:$G$1&lt;&gt;""),1,COLUMN()-2),"")))</f>
        <v>0.11478933791917455</v>
      </c>
      <c r="H9" s="224" t="str" cm="1">
        <f t="array" ref="H9">IF(COLUMN()-2&gt;$H$1+1,"",IF(COLUMN()-2=$H$1+1,IF(SUM($D$92:$G$92)=0,"-",(IF(ISNUMBER(D85),D85,0)+IF(ISNUMBER(E85),E85,0)+IF(ISNUMBER(F85),F85,0)+IF(ISNUMBER(G85),G85,0))/SUM($D$92:$G$92)),IFERROR(INDEX(_xlfn._xlws.FILTER($C85:$G85,$C$1:$G$1&lt;&gt;""),1,COLUMN()-2),"")))</f>
        <v/>
      </c>
    </row>
    <row r="10" spans="1:8" ht="13.15" x14ac:dyDescent="0.4">
      <c r="A10" s="6"/>
      <c r="B10" s="220" t="s">
        <v>75</v>
      </c>
      <c r="C10" s="221" cm="1">
        <f t="array" ref="C10">IF(COLUMN()-2&gt;$H$1+1,"",IF(COLUMN()-2=$H$1+1,IF(SUM($D$92:$G$92)=0,"-",(IF(ISNUMBER(D86),D86,0)+IF(ISNUMBER(E86),E86,0)+IF(ISNUMBER(F86),F86,0)+IF(ISNUMBER(G86),G86,0))/SUM($D$92:$G$92)),IFERROR(INDEX(_xlfn._xlws.FILTER($C86:$G86,$C$1:$G$1&lt;&gt;""),1,COLUMN()-2),"")))</f>
        <v>0</v>
      </c>
      <c r="D10" s="221" cm="1">
        <f t="array" ref="D10">IF(COLUMN()-2&gt;$H$1+1,"",IF(COLUMN()-2=$H$1+1,IF(SUM($D$92:$G$92)=0,"-",(IF(ISNUMBER(D86),D86,0)+IF(ISNUMBER(E86),E86,0)+IF(ISNUMBER(F86),F86,0)+IF(ISNUMBER(G86),G86,0))/SUM($D$92:$G$92)),IFERROR(INDEX(_xlfn._xlws.FILTER($C86:$G86,$C$1:$G$1&lt;&gt;""),1,COLUMN()-2),"")))</f>
        <v>0</v>
      </c>
      <c r="E10" s="221" cm="1">
        <f t="array" ref="E10">IF(COLUMN()-2&gt;$H$1+1,"",IF(COLUMN()-2=$H$1+1,IF(SUM($D$92:$G$92)=0,"-",(IF(ISNUMBER(D86),D86,0)+IF(ISNUMBER(E86),E86,0)+IF(ISNUMBER(F86),F86,0)+IF(ISNUMBER(G86),G86,0))/SUM($D$92:$G$92)),IFERROR(INDEX(_xlfn._xlws.FILTER($C86:$G86,$C$1:$G$1&lt;&gt;""),1,COLUMN()-2),"")))</f>
        <v>0</v>
      </c>
      <c r="F10" s="221" cm="1">
        <f t="array" ref="F10">IF(COLUMN()-2&gt;$H$1+1,"",IF(COLUMN()-2=$H$1+1,IF(SUM($D$92:$G$92)=0,"-",(IF(ISNUMBER(D86),D86,0)+IF(ISNUMBER(E86),E86,0)+IF(ISNUMBER(F86),F86,0)+IF(ISNUMBER(G86),G86,0))/SUM($D$92:$G$92)),IFERROR(INDEX(_xlfn._xlws.FILTER($C86:$G86,$C$1:$G$1&lt;&gt;""),1,COLUMN()-2),"")))</f>
        <v>0</v>
      </c>
      <c r="G10" s="505" cm="1">
        <f t="array" ref="G10">IF(COLUMN()-2&gt;$H$1+1,"",IF(COLUMN()-2=$H$1+1,IF(SUM($D$92:$G$92)=0,"-",(IF(ISNUMBER(D86),D86,0)+IF(ISNUMBER(E86),E86,0)+IF(ISNUMBER(F86),F86,0)+IF(ISNUMBER(G86),G86,0))/SUM($D$92:$G$92)),IFERROR(INDEX(_xlfn._xlws.FILTER($C86:$G86,$C$1:$G$1&lt;&gt;""),1,COLUMN()-2),"")))</f>
        <v>0</v>
      </c>
      <c r="H10" s="222" t="str" cm="1">
        <f t="array" ref="H10">IF(COLUMN()-2&gt;$H$1+1,"",IF(COLUMN()-2=$H$1+1,IF(SUM($D$92:$G$92)=0,"-",(IF(ISNUMBER(D86),D86,0)+IF(ISNUMBER(E86),E86,0)+IF(ISNUMBER(F86),F86,0)+IF(ISNUMBER(G86),G86,0))/SUM($D$92:$G$92)),IFERROR(INDEX(_xlfn._xlws.FILTER($C86:$G86,$C$1:$G$1&lt;&gt;""),1,COLUMN()-2),"")))</f>
        <v/>
      </c>
    </row>
    <row r="11" spans="1:8" ht="13.15" x14ac:dyDescent="0.4">
      <c r="A11" s="6"/>
      <c r="B11" s="223" t="s">
        <v>74</v>
      </c>
      <c r="C11" s="219" cm="1">
        <f t="array" ref="C11">IF(COLUMN()-2&gt;$H$1+1,"",IF(COLUMN()-2=$H$1+1,IF(SUM($D$92:$G$92)=0,"-",(IF(ISNUMBER(D87),D87,0)+IF(ISNUMBER(E87),E87,0)+IF(ISNUMBER(F87),F87,0)+IF(ISNUMBER(G87),G87,0))/SUM($D$92:$G$92)),IFERROR(INDEX(_xlfn._xlws.FILTER($C87:$G87,$C$1:$G$1&lt;&gt;""),1,COLUMN()-2),"")))</f>
        <v>529</v>
      </c>
      <c r="D11" s="219" cm="1">
        <f t="array" ref="D11">IF(COLUMN()-2&gt;$H$1+1,"",IF(COLUMN()-2=$H$1+1,IF(SUM($D$92:$G$92)=0,"-",(IF(ISNUMBER(D87),D87,0)+IF(ISNUMBER(E87),E87,0)+IF(ISNUMBER(F87),F87,0)+IF(ISNUMBER(G87),G87,0))/SUM($D$92:$G$92)),IFERROR(INDEX(_xlfn._xlws.FILTER($C87:$G87,$C$1:$G$1&lt;&gt;""),1,COLUMN()-2),"")))</f>
        <v>930</v>
      </c>
      <c r="E11" s="219" cm="1">
        <f t="array" ref="E11">IF(COLUMN()-2&gt;$H$1+1,"",IF(COLUMN()-2=$H$1+1,IF(SUM($D$92:$G$92)=0,"-",(IF(ISNUMBER(D87),D87,0)+IF(ISNUMBER(E87),E87,0)+IF(ISNUMBER(F87),F87,0)+IF(ISNUMBER(G87),G87,0))/SUM($D$92:$G$92)),IFERROR(INDEX(_xlfn._xlws.FILTER($C87:$G87,$C$1:$G$1&lt;&gt;""),1,COLUMN()-2),"")))</f>
        <v>470</v>
      </c>
      <c r="F11" s="219" cm="1">
        <f t="array" ref="F11">IF(COLUMN()-2&gt;$H$1+1,"",IF(COLUMN()-2=$H$1+1,IF(SUM($D$92:$G$92)=0,"-",(IF(ISNUMBER(D87),D87,0)+IF(ISNUMBER(E87),E87,0)+IF(ISNUMBER(F87),F87,0)+IF(ISNUMBER(G87),G87,0))/SUM($D$92:$G$92)),IFERROR(INDEX(_xlfn._xlws.FILTER($C87:$G87,$C$1:$G$1&lt;&gt;""),1,COLUMN()-2),"")))</f>
        <v>145</v>
      </c>
      <c r="G11" s="506" cm="1">
        <f t="array" ref="G11">IF(COLUMN()-2&gt;$H$1+1,"",IF(COLUMN()-2=$H$1+1,IF(SUM($D$92:$G$92)=0,"-",(IF(ISNUMBER(D87),D87,0)+IF(ISNUMBER(E87),E87,0)+IF(ISNUMBER(F87),F87,0)+IF(ISNUMBER(G87),G87,0))/SUM($D$92:$G$92)),IFERROR(INDEX(_xlfn._xlws.FILTER($C87:$G87,$C$1:$G$1&lt;&gt;""),1,COLUMN()-2),"")))</f>
        <v>3.4294596203452613E-2</v>
      </c>
      <c r="H11" s="224" t="str" cm="1">
        <f t="array" ref="H11">IF(COLUMN()-2&gt;$H$1+1,"",IF(COLUMN()-2=$H$1+1,IF(SUM($D$92:$G$92)=0,"-",(IF(ISNUMBER(D87),D87,0)+IF(ISNUMBER(E87),E87,0)+IF(ISNUMBER(F87),F87,0)+IF(ISNUMBER(G87),G87,0))/SUM($D$92:$G$92)),IFERROR(INDEX(_xlfn._xlws.FILTER($C87:$G87,$C$1:$G$1&lt;&gt;""),1,COLUMN()-2),"")))</f>
        <v/>
      </c>
    </row>
    <row r="12" spans="1:8" ht="13.15" x14ac:dyDescent="0.4">
      <c r="A12" s="6"/>
      <c r="B12" s="220" t="s">
        <v>1339</v>
      </c>
      <c r="C12" s="221" cm="1">
        <f t="array" ref="C12">IF(COLUMN()-2&gt;$H$1+1,"",IF(COLUMN()-2=$H$1+1,IF(SUM($D$92:$G$92)=0,"-",(IF(ISNUMBER(D88),D88,0)+IF(ISNUMBER(E88),E88,0)+IF(ISNUMBER(F88),F88,0)+IF(ISNUMBER(G88),G88,0))/SUM($D$92:$G$92)),IFERROR(INDEX(_xlfn._xlws.FILTER($C88:$G88,$C$1:$G$1&lt;&gt;""),1,COLUMN()-2),"")))</f>
        <v>0</v>
      </c>
      <c r="D12" s="221" cm="1">
        <f t="array" ref="D12">IF(COLUMN()-2&gt;$H$1+1,"",IF(COLUMN()-2=$H$1+1,IF(SUM($D$92:$G$92)=0,"-",(IF(ISNUMBER(D88),D88,0)+IF(ISNUMBER(E88),E88,0)+IF(ISNUMBER(F88),F88,0)+IF(ISNUMBER(G88),G88,0))/SUM($D$92:$G$92)),IFERROR(INDEX(_xlfn._xlws.FILTER($C88:$G88,$C$1:$G$1&lt;&gt;""),1,COLUMN()-2),"")))</f>
        <v>0</v>
      </c>
      <c r="E12" s="221" cm="1">
        <f t="array" ref="E12">IF(COLUMN()-2&gt;$H$1+1,"",IF(COLUMN()-2=$H$1+1,IF(SUM($D$92:$G$92)=0,"-",(IF(ISNUMBER(D88),D88,0)+IF(ISNUMBER(E88),E88,0)+IF(ISNUMBER(F88),F88,0)+IF(ISNUMBER(G88),G88,0))/SUM($D$92:$G$92)),IFERROR(INDEX(_xlfn._xlws.FILTER($C88:$G88,$C$1:$G$1&lt;&gt;""),1,COLUMN()-2),"")))</f>
        <v>0</v>
      </c>
      <c r="F12" s="221" cm="1">
        <f t="array" ref="F12">IF(COLUMN()-2&gt;$H$1+1,"",IF(COLUMN()-2=$H$1+1,IF(SUM($D$92:$G$92)=0,"-",(IF(ISNUMBER(D88),D88,0)+IF(ISNUMBER(E88),E88,0)+IF(ISNUMBER(F88),F88,0)+IF(ISNUMBER(G88),G88,0))/SUM($D$92:$G$92)),IFERROR(INDEX(_xlfn._xlws.FILTER($C88:$G88,$C$1:$G$1&lt;&gt;""),1,COLUMN()-2),"")))</f>
        <v>0</v>
      </c>
      <c r="G12" s="505" cm="1">
        <f t="array" ref="G12">IF(COLUMN()-2&gt;$H$1+1,"",IF(COLUMN()-2=$H$1+1,IF(SUM($D$92:$G$92)=0,"-",(IF(ISNUMBER(D88),D88,0)+IF(ISNUMBER(E88),E88,0)+IF(ISNUMBER(F88),F88,0)+IF(ISNUMBER(G88),G88,0))/SUM($D$92:$G$92)),IFERROR(INDEX(_xlfn._xlws.FILTER($C88:$G88,$C$1:$G$1&lt;&gt;""),1,COLUMN()-2),"")))</f>
        <v>0</v>
      </c>
      <c r="H12" s="222" t="str" cm="1">
        <f t="array" ref="H12">IF(COLUMN()-2&gt;$H$1+1,"",IF(COLUMN()-2=$H$1+1,IF(SUM($D$92:$G$92)=0,"-",(IF(ISNUMBER(D88),D88,0)+IF(ISNUMBER(E88),E88,0)+IF(ISNUMBER(F88),F88,0)+IF(ISNUMBER(G88),G88,0))/SUM($D$92:$G$92)),IFERROR(INDEX(_xlfn._xlws.FILTER($C88:$G88,$C$1:$G$1&lt;&gt;""),1,COLUMN()-2),"")))</f>
        <v/>
      </c>
    </row>
    <row r="13" spans="1:8" ht="13.15" x14ac:dyDescent="0.4">
      <c r="A13" s="6"/>
      <c r="B13" s="223" t="s">
        <v>1316</v>
      </c>
      <c r="C13" s="219" cm="1">
        <f t="array" ref="C13">IF(COLUMN()-2&gt;$H$1+1,"",IF(COLUMN()-2=$H$1+1,IF(SUM($D$92:$G$92)=0,"-",(IF(ISNUMBER(D89),D89,0)+IF(ISNUMBER(E89),E89,0)+IF(ISNUMBER(F89),F89,0)+IF(ISNUMBER(G89),G89,0))/SUM($D$92:$G$92)),IFERROR(INDEX(_xlfn._xlws.FILTER($C89:$G89,$C$1:$G$1&lt;&gt;""),1,COLUMN()-2),"")))</f>
        <v>3945</v>
      </c>
      <c r="D13" s="219" cm="1">
        <f t="array" ref="D13">IF(COLUMN()-2&gt;$H$1+1,"",IF(COLUMN()-2=$H$1+1,IF(SUM($D$92:$G$92)=0,"-",(IF(ISNUMBER(D89),D89,0)+IF(ISNUMBER(E89),E89,0)+IF(ISNUMBER(F89),F89,0)+IF(ISNUMBER(G89),G89,0))/SUM($D$92:$G$92)),IFERROR(INDEX(_xlfn._xlws.FILTER($C89:$G89,$C$1:$G$1&lt;&gt;""),1,COLUMN()-2),"")))</f>
        <v>9311</v>
      </c>
      <c r="E13" s="219" cm="1">
        <f t="array" ref="E13">IF(COLUMN()-2&gt;$H$1+1,"",IF(COLUMN()-2=$H$1+1,IF(SUM($D$92:$G$92)=0,"-",(IF(ISNUMBER(D89),D89,0)+IF(ISNUMBER(E89),E89,0)+IF(ISNUMBER(F89),F89,0)+IF(ISNUMBER(G89),G89,0))/SUM($D$92:$G$92)),IFERROR(INDEX(_xlfn._xlws.FILTER($C89:$G89,$C$1:$G$1&lt;&gt;""),1,COLUMN()-2),"")))</f>
        <v>8730</v>
      </c>
      <c r="F13" s="219" cm="1">
        <f t="array" ref="F13">IF(COLUMN()-2&gt;$H$1+1,"",IF(COLUMN()-2=$H$1+1,IF(SUM($D$92:$G$92)=0,"-",(IF(ISNUMBER(D89),D89,0)+IF(ISNUMBER(E89),E89,0)+IF(ISNUMBER(F89),F89,0)+IF(ISNUMBER(G89),G89,0))/SUM($D$92:$G$92)),IFERROR(INDEX(_xlfn._xlws.FILTER($C89:$G89,$C$1:$G$1&lt;&gt;""),1,COLUMN()-2),"")))</f>
        <v>4053</v>
      </c>
      <c r="G13" s="506" cm="1">
        <f t="array" ref="G13">IF(COLUMN()-2&gt;$H$1+1,"",IF(COLUMN()-2=$H$1+1,IF(SUM($D$92:$G$92)=0,"-",(IF(ISNUMBER(D89),D89,0)+IF(ISNUMBER(E89),E89,0)+IF(ISNUMBER(F89),F89,0)+IF(ISNUMBER(G89),G89,0))/SUM($D$92:$G$92)),IFERROR(INDEX(_xlfn._xlws.FILTER($C89:$G89,$C$1:$G$1&lt;&gt;""),1,COLUMN()-2),"")))</f>
        <v>0.43056749785038695</v>
      </c>
      <c r="H13" s="224" t="str" cm="1">
        <f t="array" ref="H13">IF(COLUMN()-2&gt;$H$1+1,"",IF(COLUMN()-2=$H$1+1,IF(SUM($D$92:$G$92)=0,"-",(IF(ISNUMBER(D89),D89,0)+IF(ISNUMBER(E89),E89,0)+IF(ISNUMBER(F89),F89,0)+IF(ISNUMBER(G89),G89,0))/SUM($D$92:$G$92)),IFERROR(INDEX(_xlfn._xlws.FILTER($C89:$G89,$C$1:$G$1&lt;&gt;""),1,COLUMN()-2),"")))</f>
        <v/>
      </c>
    </row>
    <row r="14" spans="1:8" ht="13.15" x14ac:dyDescent="0.4">
      <c r="A14" s="6"/>
      <c r="B14" s="225" t="s">
        <v>1340</v>
      </c>
      <c r="C14" s="221" cm="1">
        <f t="array" ref="C14">IF(COLUMN()-2&gt;$H$1+1,"",IF(COLUMN()-2=$H$1+1,IF(SUM($D$92:$G$92)=0,"-",(IF(ISNUMBER(D90),D90,0)+IF(ISNUMBER(E90),E90,0)+IF(ISNUMBER(F90),F90,0)+IF(ISNUMBER(G90),G90,0))/SUM($D$92:$G$92)),IFERROR(INDEX(_xlfn._xlws.FILTER($C90:$G90,$C$1:$G$1&lt;&gt;""),1,COLUMN()-2),"")))</f>
        <v>0</v>
      </c>
      <c r="D14" s="221" cm="1">
        <f t="array" ref="D14">IF(COLUMN()-2&gt;$H$1+1,"",IF(COLUMN()-2=$H$1+1,IF(SUM($D$92:$G$92)=0,"-",(IF(ISNUMBER(D90),D90,0)+IF(ISNUMBER(E90),E90,0)+IF(ISNUMBER(F90),F90,0)+IF(ISNUMBER(G90),G90,0))/SUM($D$92:$G$92)),IFERROR(INDEX(_xlfn._xlws.FILTER($C90:$G90,$C$1:$G$1&lt;&gt;""),1,COLUMN()-2),"")))</f>
        <v>0</v>
      </c>
      <c r="E14" s="221" cm="1">
        <f t="array" ref="E14">IF(COLUMN()-2&gt;$H$1+1,"",IF(COLUMN()-2=$H$1+1,IF(SUM($D$92:$G$92)=0,"-",(IF(ISNUMBER(D90),D90,0)+IF(ISNUMBER(E90),E90,0)+IF(ISNUMBER(F90),F90,0)+IF(ISNUMBER(G90),G90,0))/SUM($D$92:$G$92)),IFERROR(INDEX(_xlfn._xlws.FILTER($C90:$G90,$C$1:$G$1&lt;&gt;""),1,COLUMN()-2),"")))</f>
        <v>0</v>
      </c>
      <c r="F14" s="221" cm="1">
        <f t="array" ref="F14">IF(COLUMN()-2&gt;$H$1+1,"",IF(COLUMN()-2=$H$1+1,IF(SUM($D$92:$G$92)=0,"-",(IF(ISNUMBER(D90),D90,0)+IF(ISNUMBER(E90),E90,0)+IF(ISNUMBER(F90),F90,0)+IF(ISNUMBER(G90),G90,0))/SUM($D$92:$G$92)),IFERROR(INDEX(_xlfn._xlws.FILTER($C90:$G90,$C$1:$G$1&lt;&gt;""),1,COLUMN()-2),"")))</f>
        <v>0</v>
      </c>
      <c r="G14" s="505" cm="1">
        <f t="array" ref="G14">IF(COLUMN()-2&gt;$H$1+1,"",IF(COLUMN()-2=$H$1+1,IF(SUM($D$92:$G$92)=0,"-",(IF(ISNUMBER(D90),D90,0)+IF(ISNUMBER(E90),E90,0)+IF(ISNUMBER(F90),F90,0)+IF(ISNUMBER(G90),G90,0))/SUM($D$92:$G$92)),IFERROR(INDEX(_xlfn._xlws.FILTER($C90:$G90,$C$1:$G$1&lt;&gt;""),1,COLUMN()-2),"")))</f>
        <v>0</v>
      </c>
      <c r="H14" s="222" t="str" cm="1">
        <f t="array" ref="H14">IF(COLUMN()-2&gt;$H$1+1,"",IF(COLUMN()-2=$H$1+1,IF(SUM($D$92:$G$92)=0,"-",(IF(ISNUMBER(D90),D90,0)+IF(ISNUMBER(E90),E90,0)+IF(ISNUMBER(F90),F90,0)+IF(ISNUMBER(G90),G90,0))/SUM($D$92:$G$92)),IFERROR(INDEX(_xlfn._xlws.FILTER($C90:$G90,$C$1:$G$1&lt;&gt;""),1,COLUMN()-2),"")))</f>
        <v/>
      </c>
    </row>
    <row r="15" spans="1:8" ht="13.5" thickBot="1" x14ac:dyDescent="0.45">
      <c r="A15" s="6"/>
      <c r="B15" s="223" t="s">
        <v>1341</v>
      </c>
      <c r="C15" s="219" cm="1">
        <f t="array" ref="C15">IF(COLUMN()-2&gt;$H$1+1,"",IF(COLUMN()-2=$H$1+1,IF(SUM($D$92:$G$92)=0,"-",(IF(ISNUMBER(D91),D91,0)+IF(ISNUMBER(E91),E91,0)+IF(ISNUMBER(F91),F91,0)+IF(ISNUMBER(G91),G91,0))/SUM($D$92:$G$92)),IFERROR(INDEX(_xlfn._xlws.FILTER($C91:$G91,$C$1:$G$1&lt;&gt;""),1,COLUMN()-2),"")))</f>
        <v>3432</v>
      </c>
      <c r="D15" s="219" cm="1">
        <f t="array" ref="D15">IF(COLUMN()-2&gt;$H$1+1,"",IF(COLUMN()-2=$H$1+1,IF(SUM($D$92:$G$92)=0,"-",(IF(ISNUMBER(D91),D91,0)+IF(ISNUMBER(E91),E91,0)+IF(ISNUMBER(F91),F91,0)+IF(ISNUMBER(G91),G91,0))/SUM($D$92:$G$92)),IFERROR(INDEX(_xlfn._xlws.FILTER($C91:$G91,$C$1:$G$1&lt;&gt;""),1,COLUMN()-2),"")))</f>
        <v>7846</v>
      </c>
      <c r="E15" s="219" cm="1">
        <f t="array" ref="E15">IF(COLUMN()-2&gt;$H$1+1,"",IF(COLUMN()-2=$H$1+1,IF(SUM($D$92:$G$92)=0,"-",(IF(ISNUMBER(D91),D91,0)+IF(ISNUMBER(E91),E91,0)+IF(ISNUMBER(F91),F91,0)+IF(ISNUMBER(G91),G91,0))/SUM($D$92:$G$92)),IFERROR(INDEX(_xlfn._xlws.FILTER($C91:$G91,$C$1:$G$1&lt;&gt;""),1,COLUMN()-2),"")))</f>
        <v>9096</v>
      </c>
      <c r="F15" s="219" cm="1">
        <f t="array" ref="F15">IF(COLUMN()-2&gt;$H$1+1,"",IF(COLUMN()-2=$H$1+1,IF(SUM($D$92:$G$92)=0,"-",(IF(ISNUMBER(D91),D91,0)+IF(ISNUMBER(E91),E91,0)+IF(ISNUMBER(F91),F91,0)+IF(ISNUMBER(G91),G91,0))/SUM($D$92:$G$92)),IFERROR(INDEX(_xlfn._xlws.FILTER($C91:$G91,$C$1:$G$1&lt;&gt;""),1,COLUMN()-2),"")))</f>
        <v>4468</v>
      </c>
      <c r="G15" s="506" cm="1">
        <f t="array" ref="G15">IF(COLUMN()-2&gt;$H$1+1,"",IF(COLUMN()-2=$H$1+1,IF(SUM($D$92:$G$92)=0,"-",(IF(ISNUMBER(D91),D91,0)+IF(ISNUMBER(E91),E91,0)+IF(ISNUMBER(F91),F91,0)+IF(ISNUMBER(G91),G91,0))/SUM($D$92:$G$92)),IFERROR(INDEX(_xlfn._xlws.FILTER($C91:$G91,$C$1:$G$1&lt;&gt;""),1,COLUMN()-2),"")))</f>
        <v>0.41077452212447912</v>
      </c>
      <c r="H15" s="224" t="str" cm="1">
        <f t="array" ref="H15">IF(COLUMN()-2&gt;$H$1+1,"",IF(COLUMN()-2=$H$1+1,IF(SUM($D$92:$G$92)=0,"-",(IF(ISNUMBER(D91),D91,0)+IF(ISNUMBER(E91),E91,0)+IF(ISNUMBER(F91),F91,0)+IF(ISNUMBER(G91),G91,0))/SUM($D$92:$G$92)),IFERROR(INDEX(_xlfn._xlws.FILTER($C91:$G91,$C$1:$G$1&lt;&gt;""),1,COLUMN()-2),"")))</f>
        <v/>
      </c>
    </row>
    <row r="16" spans="1:8" ht="13.15" x14ac:dyDescent="0.4">
      <c r="A16" s="6"/>
      <c r="B16" s="226" t="s">
        <v>1317</v>
      </c>
      <c r="C16" s="227" cm="1">
        <f t="array" ref="C16">IF(COLUMN()-2&gt;$H$1+1,"",IF(COLUMN()-2=$H$1+1,IF(SUM($D$92:$G$92)=0,"-",1),IFERROR(INDEX(_xlfn._xlws.FILTER($C92:$G92,$C$1:$G$1&lt;&gt;""),1,COLUMN()-2),"")))</f>
        <v>8885</v>
      </c>
      <c r="D16" s="227" cm="1">
        <f t="array" ref="D16">IF(COLUMN()-2&gt;$H$1+1,"",IF(COLUMN()-2=$H$1+1,IF(SUM($D$92:$G$92)=0,"-",1),IFERROR(INDEX(_xlfn._xlws.FILTER($C92:$G92,$C$1:$G$1&lt;&gt;""),1,COLUMN()-2),"")))</f>
        <v>20376</v>
      </c>
      <c r="E16" s="227" cm="1">
        <f t="array" ref="E16">IF(COLUMN()-2&gt;$H$1+1,"",IF(COLUMN()-2=$H$1+1,IF(SUM($D$92:$G$92)=0,"-",1),IFERROR(INDEX(_xlfn._xlws.FILTER($C92:$G92,$C$1:$G$1&lt;&gt;""),1,COLUMN()-2),"")))</f>
        <v>21203</v>
      </c>
      <c r="F16" s="227" cm="1">
        <f t="array" ref="F16">IF(COLUMN()-2&gt;$H$1+1,"",IF(COLUMN()-2=$H$1+1,IF(SUM($D$92:$G$92)=0,"-",1),IFERROR(INDEX(_xlfn._xlws.FILTER($C92:$G92,$C$1:$G$1&lt;&gt;""),1,COLUMN()-2),"")))</f>
        <v>10012</v>
      </c>
      <c r="G16" s="507" cm="1">
        <f t="array" ref="G16">IF(COLUMN()-2&gt;$H$1+1,"",IF(COLUMN()-2=$H$1+1,IF(SUM($D$92:$G$92)=0,"-",1),IFERROR(INDEX(_xlfn._xlws.FILTER($C92:$G92,$C$1:$G$1&lt;&gt;""),1,COLUMN()-2),"")))</f>
        <v>1</v>
      </c>
      <c r="H16" s="228" t="str" cm="1">
        <f t="array" ref="H16">IF(COLUMN()-2&gt;$H$1+1,"",IF(COLUMN()-2=$H$1+1,IF(SUM($D$92:$G$92)=0,"-",1),IFERROR(INDEX(_xlfn._xlws.FILTER($C92:$G92,$C$1:$G$1&lt;&gt;""),1,COLUMN()-2),"")))</f>
        <v/>
      </c>
    </row>
    <row r="17" spans="1:8" ht="6" customHeight="1" x14ac:dyDescent="0.4">
      <c r="A17" s="6"/>
      <c r="B17" s="11"/>
      <c r="C17" s="11"/>
      <c r="D17" s="11"/>
      <c r="E17" s="11"/>
      <c r="F17" s="11"/>
      <c r="G17" s="11"/>
      <c r="H17" s="11"/>
    </row>
    <row r="18" spans="1:8" ht="13.15" x14ac:dyDescent="0.4">
      <c r="A18" s="6"/>
      <c r="B18" s="229" t="s">
        <v>1344</v>
      </c>
      <c r="C18" s="11"/>
      <c r="D18" s="11"/>
      <c r="E18" s="11"/>
      <c r="F18" s="11"/>
      <c r="G18" s="11"/>
      <c r="H18" s="11"/>
    </row>
    <row r="19" spans="1:8" ht="13.15" x14ac:dyDescent="0.4">
      <c r="A19" s="6"/>
      <c r="B19" s="229" t="s">
        <v>1342</v>
      </c>
      <c r="C19" s="11"/>
      <c r="D19" s="11"/>
      <c r="E19" s="11"/>
      <c r="F19" s="11"/>
      <c r="G19" s="11"/>
      <c r="H19" s="11"/>
    </row>
    <row r="20" spans="1:8" ht="13.15" x14ac:dyDescent="0.4">
      <c r="A20" s="6"/>
      <c r="B20" s="229" t="s">
        <v>1343</v>
      </c>
      <c r="C20" s="11"/>
      <c r="D20" s="11"/>
      <c r="E20" s="11"/>
      <c r="F20" s="11"/>
      <c r="G20" s="11"/>
      <c r="H20" s="11"/>
    </row>
    <row r="21" spans="1:8" ht="13.15" x14ac:dyDescent="0.4">
      <c r="A21" s="6"/>
      <c r="B21" s="11"/>
      <c r="C21" s="11"/>
      <c r="D21" s="11"/>
      <c r="E21" s="11"/>
      <c r="F21" s="11"/>
      <c r="G21" s="11"/>
      <c r="H21" s="11"/>
    </row>
    <row r="22" spans="1:8" ht="13.15" x14ac:dyDescent="0.4">
      <c r="A22" s="6"/>
      <c r="B22" s="11"/>
      <c r="C22" s="11"/>
      <c r="D22" s="11"/>
      <c r="E22" s="11"/>
      <c r="F22" s="11"/>
      <c r="G22" s="11"/>
      <c r="H22" s="11"/>
    </row>
    <row r="23" spans="1:8" ht="30" customHeight="1" thickBot="1" x14ac:dyDescent="0.5">
      <c r="A23" s="6"/>
      <c r="B23" s="230" t="s">
        <v>1345</v>
      </c>
      <c r="C23" s="94"/>
      <c r="D23" s="11"/>
      <c r="E23" s="11"/>
      <c r="F23" s="11"/>
      <c r="G23" s="11"/>
      <c r="H23" s="11"/>
    </row>
    <row r="24" spans="1:8" ht="13.5" thickBot="1" x14ac:dyDescent="0.45">
      <c r="A24" s="6"/>
      <c r="B24" s="231" t="s">
        <v>69</v>
      </c>
      <c r="C24" s="231" t="s">
        <v>1318</v>
      </c>
      <c r="D24" s="11"/>
      <c r="E24" s="11"/>
      <c r="F24" s="11"/>
      <c r="G24" s="11"/>
      <c r="H24" s="11"/>
    </row>
    <row r="25" spans="1:8" ht="13.15" x14ac:dyDescent="0.4">
      <c r="A25" s="6"/>
      <c r="B25" s="232">
        <f>IF(AND(Config!$C$11&lt;&gt;"",Config!$C$12&lt;&gt;""),DATE(YEAR(Config!$C$11),MONTH(Config!$C$11),1),IF(Config!$C$8&lt;&gt;"",DATE(YEAR(Config!$C$8),MONTH(Config!$C$8),1),""))</f>
        <v>44743</v>
      </c>
      <c r="C25" s="233">
        <f>IF(B25="","",SUMIFS(Sales!$C$2:$C$78141,Sales!$D$2:$D$78141,YEAR(B25),Sales!$B$2:$B$78141,TEXT(B25,"MMMM")))</f>
        <v>1569</v>
      </c>
      <c r="D25" s="11"/>
      <c r="E25" s="11"/>
      <c r="F25" s="11"/>
      <c r="G25" s="11"/>
      <c r="H25" s="11"/>
    </row>
    <row r="26" spans="1:8" ht="13.15" x14ac:dyDescent="0.4">
      <c r="A26" s="6"/>
      <c r="B26" s="234">
        <f>IF(B25="","",IF(EDATE(B25,1)&gt;EOMONTH(Config!$C$9,0),"",EDATE(B25,1)))</f>
        <v>44774</v>
      </c>
      <c r="C26" s="235">
        <f>IF(B26="","",SUMIFS(Sales!$C$2:$C$78141,Sales!$D$2:$D$78141,YEAR(B26),Sales!$B$2:$B$78141,TEXT(B26,"MMMM")))</f>
        <v>1518</v>
      </c>
      <c r="D26" s="11"/>
      <c r="E26" s="11"/>
      <c r="F26" s="11"/>
      <c r="G26" s="11"/>
      <c r="H26" s="11"/>
    </row>
    <row r="27" spans="1:8" ht="13.15" x14ac:dyDescent="0.4">
      <c r="A27" s="6"/>
      <c r="B27" s="236">
        <f>IF(B26="","",IF(EDATE(B26,1)&gt;EOMONTH(Config!$C$9,0),"",EDATE(B26,1)))</f>
        <v>44805</v>
      </c>
      <c r="C27" s="237">
        <f>IF(B27="","",SUMIFS(Sales!$C$2:$C$78141,Sales!$D$2:$D$78141,YEAR(B27),Sales!$B$2:$B$78141,TEXT(B27,"MMMM")))</f>
        <v>1521</v>
      </c>
      <c r="D27" s="11"/>
      <c r="E27" s="11"/>
      <c r="F27" s="11"/>
      <c r="G27" s="11"/>
      <c r="H27" s="11"/>
    </row>
    <row r="28" spans="1:8" ht="13.15" x14ac:dyDescent="0.4">
      <c r="A28" s="6"/>
      <c r="B28" s="234">
        <f>IF(B27="","",IF(EDATE(B27,1)&gt;EOMONTH(Config!$C$9,0),"",EDATE(B27,1)))</f>
        <v>44835</v>
      </c>
      <c r="C28" s="235">
        <f>IF(B28="","",SUMIFS(Sales!$C$2:$C$78141,Sales!$D$2:$D$78141,YEAR(B28),Sales!$B$2:$B$78141,TEXT(B28,"MMMM")))</f>
        <v>1548</v>
      </c>
      <c r="D28" s="11"/>
      <c r="E28" s="11"/>
      <c r="F28" s="11"/>
      <c r="G28" s="11"/>
      <c r="H28" s="11"/>
    </row>
    <row r="29" spans="1:8" ht="13.15" x14ac:dyDescent="0.4">
      <c r="A29" s="6"/>
      <c r="B29" s="236">
        <f>IF(B28="","",IF(EDATE(B28,1)&gt;EOMONTH(Config!$C$9,0),"",EDATE(B28,1)))</f>
        <v>44866</v>
      </c>
      <c r="C29" s="237">
        <f>IF(B29="","",SUMIFS(Sales!$C$2:$C$78141,Sales!$D$2:$D$78141,YEAR(B29),Sales!$B$2:$B$78141,TEXT(B29,"MMMM")))</f>
        <v>1528</v>
      </c>
      <c r="D29" s="11"/>
      <c r="E29" s="11"/>
      <c r="F29" s="11"/>
      <c r="G29" s="11"/>
      <c r="H29" s="11"/>
    </row>
    <row r="30" spans="1:8" ht="13.15" x14ac:dyDescent="0.4">
      <c r="A30" s="6"/>
      <c r="B30" s="234">
        <f>IF(B29="","",IF(EDATE(B29,1)&gt;EOMONTH(Config!$C$9,0),"",EDATE(B29,1)))</f>
        <v>44896</v>
      </c>
      <c r="C30" s="235">
        <f>IF(B30="","",SUMIFS(Sales!$C$2:$C$78141,Sales!$D$2:$D$78141,YEAR(B30),Sales!$B$2:$B$78141,TEXT(B30,"MMMM")))</f>
        <v>1201</v>
      </c>
      <c r="D30" s="11"/>
      <c r="E30" s="11"/>
      <c r="F30" s="11"/>
      <c r="G30" s="11"/>
      <c r="H30" s="11"/>
    </row>
    <row r="31" spans="1:8" ht="13.15" x14ac:dyDescent="0.4">
      <c r="A31" s="6"/>
      <c r="B31" s="236">
        <f>IF(B30="","",IF(EDATE(B30,1)&gt;EOMONTH(Config!$C$9,0),"",EDATE(B30,1)))</f>
        <v>44927</v>
      </c>
      <c r="C31" s="237">
        <f>IF(B31="","",SUMIFS(Sales!$C$2:$C$78141,Sales!$D$2:$D$78141,YEAR(B31),Sales!$B$2:$B$78141,TEXT(B31,"MMMM")))</f>
        <v>2007</v>
      </c>
      <c r="D31" s="11"/>
      <c r="E31" s="11"/>
      <c r="F31" s="11"/>
      <c r="G31" s="11"/>
      <c r="H31" s="11"/>
    </row>
    <row r="32" spans="1:8" ht="13.15" x14ac:dyDescent="0.4">
      <c r="A32" s="6"/>
      <c r="B32" s="234">
        <f>IF(B31="","",IF(EDATE(B31,1)&gt;EOMONTH(Config!$C$9,0),"",EDATE(B31,1)))</f>
        <v>44958</v>
      </c>
      <c r="C32" s="235">
        <f>IF(B32="","",SUMIFS(Sales!$C$2:$C$78141,Sales!$D$2:$D$78141,YEAR(B32),Sales!$B$2:$B$78141,TEXT(B32,"MMMM")))</f>
        <v>1670</v>
      </c>
      <c r="D32" s="11"/>
      <c r="E32" s="11"/>
      <c r="F32" s="11"/>
      <c r="G32" s="11"/>
      <c r="H32" s="11"/>
    </row>
    <row r="33" spans="1:8" ht="13.15" x14ac:dyDescent="0.4">
      <c r="A33" s="6"/>
      <c r="B33" s="236">
        <f>IF(B32="","",IF(EDATE(B32,1)&gt;EOMONTH(Config!$C$9,0),"",EDATE(B32,1)))</f>
        <v>44986</v>
      </c>
      <c r="C33" s="237">
        <f>IF(B33="","",SUMIFS(Sales!$C$2:$C$78141,Sales!$D$2:$D$78141,YEAR(B33),Sales!$B$2:$B$78141,TEXT(B33,"MMMM")))</f>
        <v>1972</v>
      </c>
      <c r="D33" s="11"/>
      <c r="E33" s="11"/>
      <c r="F33" s="11"/>
      <c r="G33" s="11"/>
      <c r="H33" s="11"/>
    </row>
    <row r="34" spans="1:8" ht="13.15" x14ac:dyDescent="0.4">
      <c r="A34" s="6"/>
      <c r="B34" s="234">
        <f>IF(B33="","",IF(EDATE(B33,1)&gt;EOMONTH(Config!$C$9,0),"",EDATE(B33,1)))</f>
        <v>45017</v>
      </c>
      <c r="C34" s="235">
        <f>IF(B34="","",SUMIFS(Sales!$C$2:$C$78141,Sales!$D$2:$D$78141,YEAR(B34),Sales!$B$2:$B$78141,TEXT(B34,"MMMM")))</f>
        <v>1610</v>
      </c>
      <c r="D34" s="11"/>
      <c r="E34" s="11"/>
      <c r="F34" s="11"/>
      <c r="G34" s="11"/>
      <c r="H34" s="11"/>
    </row>
    <row r="35" spans="1:8" ht="13.15" x14ac:dyDescent="0.4">
      <c r="A35" s="6"/>
      <c r="B35" s="236">
        <f>IF(B34="","",IF(EDATE(B34,1)&gt;EOMONTH(Config!$C$9,0),"",EDATE(B34,1)))</f>
        <v>45047</v>
      </c>
      <c r="C35" s="237">
        <f>IF(B35="","",SUMIFS(Sales!$C$2:$C$78141,Sales!$D$2:$D$78141,YEAR(B35),Sales!$B$2:$B$78141,TEXT(B35,"MMMM")))</f>
        <v>1777</v>
      </c>
      <c r="D35" s="11"/>
      <c r="E35" s="11"/>
      <c r="F35" s="11"/>
      <c r="G35" s="11"/>
      <c r="H35" s="11"/>
    </row>
    <row r="36" spans="1:8" ht="13.15" x14ac:dyDescent="0.4">
      <c r="A36" s="6"/>
      <c r="B36" s="234">
        <f>IF(B35="","",IF(EDATE(B35,1)&gt;EOMONTH(Config!$C$9,0),"",EDATE(B35,1)))</f>
        <v>45078</v>
      </c>
      <c r="C36" s="235">
        <f>IF(B36="","",SUMIFS(Sales!$C$2:$C$78141,Sales!$D$2:$D$78141,YEAR(B36),Sales!$B$2:$B$78141,TEXT(B36,"MMMM")))</f>
        <v>1682</v>
      </c>
      <c r="D36" s="11"/>
      <c r="E36" s="11"/>
      <c r="F36" s="11"/>
      <c r="G36" s="11"/>
      <c r="H36" s="11"/>
    </row>
    <row r="37" spans="1:8" ht="13.15" x14ac:dyDescent="0.4">
      <c r="A37" s="6"/>
      <c r="B37" s="236">
        <f>IF(B36="","",IF(EDATE(B36,1)&gt;EOMONTH(Config!$C$9,0),"",EDATE(B36,1)))</f>
        <v>45108</v>
      </c>
      <c r="C37" s="237">
        <f>IF(B37="","",SUMIFS(Sales!$C$2:$C$78141,Sales!$D$2:$D$78141,YEAR(B37),Sales!$B$2:$B$78141,TEXT(B37,"MMMM")))</f>
        <v>1689</v>
      </c>
      <c r="D37" s="11"/>
      <c r="E37" s="11"/>
      <c r="F37" s="11"/>
      <c r="G37" s="11"/>
      <c r="H37" s="11"/>
    </row>
    <row r="38" spans="1:8" ht="13.15" x14ac:dyDescent="0.4">
      <c r="A38" s="6"/>
      <c r="B38" s="238">
        <f>IF(B37="","",IF(EDATE(B37,1)&gt;EOMONTH(Config!$C$9,0),"",EDATE(B37,1)))</f>
        <v>45139</v>
      </c>
      <c r="C38" s="239">
        <f>IF(B38="","",SUMIFS(Sales!$C$2:$C$78141,Sales!$D$2:$D$78141,YEAR(B38),Sales!$B$2:$B$78141,TEXT(B38,"MMMM")))</f>
        <v>1684</v>
      </c>
      <c r="D38" s="11"/>
      <c r="E38" s="11"/>
      <c r="F38" s="11"/>
      <c r="G38" s="11"/>
      <c r="H38" s="11"/>
    </row>
    <row r="39" spans="1:8" ht="13.15" x14ac:dyDescent="0.4">
      <c r="A39" s="6"/>
      <c r="B39" s="240">
        <f>IF(B38="","",IF(EDATE(B38,1)&gt;EOMONTH(Config!$C$9,0),"",EDATE(B38,1)))</f>
        <v>45170</v>
      </c>
      <c r="C39" s="222">
        <f>IF(B39="","",SUMIFS(Sales!$C$2:$C$78141,Sales!$D$2:$D$78141,YEAR(B39),Sales!$B$2:$B$78141,TEXT(B39,"MMMM")))</f>
        <v>1601</v>
      </c>
      <c r="D39" s="11"/>
      <c r="E39" s="11"/>
      <c r="F39" s="11"/>
      <c r="G39" s="11"/>
      <c r="H39" s="11"/>
    </row>
    <row r="40" spans="1:8" ht="13.15" x14ac:dyDescent="0.4">
      <c r="A40" s="6"/>
      <c r="B40" s="241">
        <f>IF(B39="","",IF(EDATE(B39,1)&gt;EOMONTH(Config!$C$9,0),"",EDATE(B39,1)))</f>
        <v>45200</v>
      </c>
      <c r="C40" s="222">
        <f>IF(B40="","",SUMIFS(Sales!$C$2:$C$78141,Sales!$D$2:$D$78141,YEAR(B40),Sales!$B$2:$B$78141,TEXT(B40,"MMMM")))</f>
        <v>1645</v>
      </c>
      <c r="D40" s="11"/>
      <c r="E40" s="11"/>
      <c r="F40" s="11"/>
      <c r="G40" s="11"/>
      <c r="H40" s="11"/>
    </row>
    <row r="41" spans="1:8" ht="13.15" x14ac:dyDescent="0.4">
      <c r="A41" s="6"/>
      <c r="B41" s="242">
        <f>IF(B40="","",IF(EDATE(B40,1)&gt;EOMONTH(Config!$C$9,0),"",EDATE(B40,1)))</f>
        <v>45231</v>
      </c>
      <c r="C41" s="222">
        <f>IF(B41="","",SUMIFS(Sales!$C$2:$C$78141,Sales!$D$2:$D$78141,YEAR(B41),Sales!$B$2:$B$78141,TEXT(B41,"MMMM")))</f>
        <v>1635</v>
      </c>
      <c r="D41" s="11"/>
      <c r="E41" s="11"/>
      <c r="F41" s="11"/>
      <c r="G41" s="11"/>
      <c r="H41" s="11"/>
    </row>
    <row r="42" spans="1:8" ht="13.15" x14ac:dyDescent="0.4">
      <c r="A42" s="6"/>
      <c r="B42" s="241">
        <f>IF(B41="","",IF(EDATE(B41,1)&gt;EOMONTH(Config!$C$9,0),"",EDATE(B41,1)))</f>
        <v>45261</v>
      </c>
      <c r="C42" s="222">
        <f>IF(B42="","",SUMIFS(Sales!$C$2:$C$78141,Sales!$D$2:$D$78141,YEAR(B42),Sales!$B$2:$B$78141,TEXT(B42,"MMMM")))</f>
        <v>1404</v>
      </c>
      <c r="D42" s="11"/>
      <c r="E42" s="11"/>
      <c r="F42" s="11"/>
      <c r="G42" s="11"/>
      <c r="H42" s="11"/>
    </row>
    <row r="43" spans="1:8" ht="13.15" x14ac:dyDescent="0.4">
      <c r="A43" s="6"/>
      <c r="B43" s="242">
        <f>IF(B42="","",IF(EDATE(B42,1)&gt;EOMONTH(Config!$C$9,0),"",EDATE(B42,1)))</f>
        <v>45292</v>
      </c>
      <c r="C43" s="222">
        <f>IF(B43="","",SUMIFS(Sales!$C$2:$C$78141,Sales!$D$2:$D$78141,YEAR(B43),Sales!$B$2:$B$78141,TEXT(B43,"MMMM")))</f>
        <v>2666</v>
      </c>
      <c r="D43" s="11"/>
      <c r="E43" s="11"/>
      <c r="F43" s="11"/>
      <c r="G43" s="11"/>
      <c r="H43" s="11"/>
    </row>
    <row r="44" spans="1:8" ht="13.15" x14ac:dyDescent="0.4">
      <c r="A44" s="6"/>
      <c r="B44" s="241">
        <f>IF(B43="","",IF(EDATE(B43,1)&gt;EOMONTH(Config!$C$9,0),"",EDATE(B43,1)))</f>
        <v>45323</v>
      </c>
      <c r="C44" s="222">
        <f>IF(B44="","",SUMIFS(Sales!$C$2:$C$78141,Sales!$D$2:$D$78141,YEAR(B44),Sales!$B$2:$B$78141,TEXT(B44,"MMMM")))</f>
        <v>1042</v>
      </c>
      <c r="D44" s="11"/>
      <c r="E44" s="11"/>
      <c r="F44" s="11"/>
      <c r="G44" s="11"/>
      <c r="H44" s="11"/>
    </row>
    <row r="45" spans="1:8" ht="13.15" x14ac:dyDescent="0.4">
      <c r="A45" s="6"/>
      <c r="B45" s="242">
        <f>IF(B44="","",IF(EDATE(B44,1)&gt;EOMONTH(Config!$C$9,0),"",EDATE(B44,1)))</f>
        <v>45352</v>
      </c>
      <c r="C45" s="222">
        <f>IF(B45="","",SUMIFS(Sales!$C$2:$C$78141,Sales!$D$2:$D$78141,YEAR(B45),Sales!$B$2:$B$78141,TEXT(B45,"MMMM")))</f>
        <v>2146</v>
      </c>
      <c r="D45" s="11"/>
      <c r="E45" s="11"/>
      <c r="F45" s="11"/>
      <c r="G45" s="11"/>
      <c r="H45" s="11"/>
    </row>
    <row r="46" spans="1:8" ht="13.15" x14ac:dyDescent="0.4">
      <c r="A46" s="6"/>
      <c r="B46" s="241">
        <f>IF(B45="","",IF(EDATE(B45,1)&gt;EOMONTH(Config!$C$9,0),"",EDATE(B45,1)))</f>
        <v>45383</v>
      </c>
      <c r="C46" s="222">
        <f>IF(B46="","",SUMIFS(Sales!$C$2:$C$78141,Sales!$D$2:$D$78141,YEAR(B46),Sales!$B$2:$B$78141,TEXT(B46,"MMMM")))</f>
        <v>1780</v>
      </c>
      <c r="D46" s="11"/>
      <c r="E46" s="11"/>
      <c r="F46" s="11"/>
      <c r="G46" s="11"/>
      <c r="H46" s="11"/>
    </row>
    <row r="47" spans="1:8" ht="13.15" x14ac:dyDescent="0.4">
      <c r="A47" s="6"/>
      <c r="B47" s="242">
        <f>IF(B46="","",IF(EDATE(B46,1)&gt;EOMONTH(Config!$C$9,0),"",EDATE(B46,1)))</f>
        <v>45413</v>
      </c>
      <c r="C47" s="222">
        <f>IF(B47="","",SUMIFS(Sales!$C$2:$C$78141,Sales!$D$2:$D$78141,YEAR(B47),Sales!$B$2:$B$78141,TEXT(B47,"MMMM")))</f>
        <v>1826</v>
      </c>
      <c r="D47" s="11"/>
      <c r="E47" s="11"/>
      <c r="F47" s="11"/>
      <c r="G47" s="11"/>
      <c r="H47" s="11"/>
    </row>
    <row r="48" spans="1:8" ht="13.15" x14ac:dyDescent="0.4">
      <c r="A48" s="6"/>
      <c r="B48" s="241">
        <f>IF(B47="","",IF(EDATE(B47,1)&gt;EOMONTH(Config!$C$9,0),"",EDATE(B47,1)))</f>
        <v>45444</v>
      </c>
      <c r="C48" s="222">
        <f>IF(B48="","",SUMIFS(Sales!$C$2:$C$78141,Sales!$D$2:$D$78141,YEAR(B48),Sales!$B$2:$B$78141,TEXT(B48,"MMMM")))</f>
        <v>1608</v>
      </c>
      <c r="D48" s="11"/>
      <c r="E48" s="11"/>
      <c r="F48" s="11"/>
      <c r="G48" s="11"/>
      <c r="H48" s="11"/>
    </row>
    <row r="49" spans="1:8" ht="13.15" x14ac:dyDescent="0.4">
      <c r="A49" s="6"/>
      <c r="B49" s="242">
        <f>IF(B48="","",IF(EDATE(B48,1)&gt;EOMONTH(Config!$C$9,0),"",EDATE(B48,1)))</f>
        <v>45474</v>
      </c>
      <c r="C49" s="222">
        <f>IF(B49="","",SUMIFS(Sales!$C$2:$C$78141,Sales!$D$2:$D$78141,YEAR(B49),Sales!$B$2:$B$78141,TEXT(B49,"MMMM")))</f>
        <v>1624</v>
      </c>
      <c r="D49" s="11"/>
      <c r="E49" s="11"/>
      <c r="F49" s="11"/>
      <c r="G49" s="11"/>
      <c r="H49" s="11"/>
    </row>
    <row r="50" spans="1:8" ht="13.15" x14ac:dyDescent="0.4">
      <c r="A50" s="6"/>
      <c r="B50" s="241">
        <f>IF(B49="","",IF(EDATE(B49,1)&gt;EOMONTH(Config!$C$9,0),"",EDATE(B49,1)))</f>
        <v>45505</v>
      </c>
      <c r="C50" s="222">
        <f>IF(B50="","",SUMIFS(Sales!$C$2:$C$78141,Sales!$D$2:$D$78141,YEAR(B50),Sales!$B$2:$B$78141,TEXT(B50,"MMMM")))</f>
        <v>1489</v>
      </c>
      <c r="D50" s="11"/>
      <c r="E50" s="11"/>
      <c r="F50" s="11"/>
      <c r="G50" s="11"/>
      <c r="H50" s="11"/>
    </row>
    <row r="51" spans="1:8" ht="13.15" x14ac:dyDescent="0.4">
      <c r="A51" s="6"/>
      <c r="B51" s="242">
        <f>IF(B50="","",IF(EDATE(B50,1)&gt;EOMONTH(Config!$C$9,0),"",EDATE(B50,1)))</f>
        <v>45536</v>
      </c>
      <c r="C51" s="222">
        <f>IF(B51="","",SUMIFS(Sales!$C$2:$C$78141,Sales!$D$2:$D$78141,YEAR(B51),Sales!$B$2:$B$78141,TEXT(B51,"MMMM")))</f>
        <v>1787</v>
      </c>
      <c r="D51" s="11"/>
      <c r="E51" s="11"/>
      <c r="F51" s="11"/>
      <c r="G51" s="11"/>
      <c r="H51" s="11"/>
    </row>
    <row r="52" spans="1:8" ht="13.15" x14ac:dyDescent="0.4">
      <c r="A52" s="6"/>
      <c r="B52" s="241">
        <f>IF(B51="","",IF(EDATE(B51,1)&gt;EOMONTH(Config!$C$9,0),"",EDATE(B51,1)))</f>
        <v>45566</v>
      </c>
      <c r="C52" s="222">
        <f>IF(B52="","",SUMIFS(Sales!$C$2:$C$78141,Sales!$D$2:$D$78141,YEAR(B52),Sales!$B$2:$B$78141,TEXT(B52,"MMMM")))</f>
        <v>2484</v>
      </c>
      <c r="D52" s="11"/>
      <c r="E52" s="11"/>
      <c r="F52" s="11"/>
      <c r="G52" s="11"/>
      <c r="H52" s="11"/>
    </row>
    <row r="53" spans="1:8" ht="13.15" x14ac:dyDescent="0.4">
      <c r="A53" s="6"/>
      <c r="B53" s="242">
        <f>IF(B52="","",IF(EDATE(B52,1)&gt;EOMONTH(Config!$C$9,0),"",EDATE(B52,1)))</f>
        <v>45597</v>
      </c>
      <c r="C53" s="222">
        <f>IF(B53="","",SUMIFS(Sales!$C$2:$C$78141,Sales!$D$2:$D$78141,YEAR(B53),Sales!$B$2:$B$78141,TEXT(B53,"MMMM")))</f>
        <v>682</v>
      </c>
      <c r="D53" s="11"/>
      <c r="E53" s="11"/>
      <c r="F53" s="11"/>
      <c r="G53" s="11"/>
      <c r="H53" s="11"/>
    </row>
    <row r="54" spans="1:8" ht="13.15" x14ac:dyDescent="0.4">
      <c r="A54" s="6"/>
      <c r="B54" s="241">
        <f>IF(B53="","",IF(EDATE(B53,1)&gt;EOMONTH(Config!$C$9,0),"",EDATE(B53,1)))</f>
        <v>45627</v>
      </c>
      <c r="C54" s="222">
        <f>IF(B54="","",SUMIFS(Sales!$C$2:$C$78141,Sales!$D$2:$D$78141,YEAR(B54),Sales!$B$2:$B$78141,TEXT(B54,"MMMM")))</f>
        <v>2069</v>
      </c>
      <c r="D54" s="11"/>
      <c r="E54" s="11"/>
      <c r="F54" s="11"/>
      <c r="G54" s="11"/>
      <c r="H54" s="11"/>
    </row>
    <row r="55" spans="1:8" ht="13.15" x14ac:dyDescent="0.4">
      <c r="A55" s="6"/>
      <c r="B55" s="242">
        <f>IF(B54="","",IF(EDATE(B54,1)&gt;EOMONTH(Config!$C$9,0),"",EDATE(B54,1)))</f>
        <v>45658</v>
      </c>
      <c r="C55" s="222">
        <f>IF(B55="","",SUMIFS(Sales!$C$2:$C$78141,Sales!$D$2:$D$78141,YEAR(B55),Sales!$B$2:$B$78141,TEXT(B55,"MMMM")))</f>
        <v>1741</v>
      </c>
      <c r="D55" s="11"/>
      <c r="E55" s="11"/>
      <c r="F55" s="11"/>
      <c r="G55" s="11"/>
      <c r="H55" s="11"/>
    </row>
    <row r="56" spans="1:8" ht="13.15" x14ac:dyDescent="0.4">
      <c r="A56" s="6"/>
      <c r="B56" s="241">
        <f>IF(B55="","",IF(EDATE(B55,1)&gt;EOMONTH(Config!$C$9,0),"",EDATE(B55,1)))</f>
        <v>45689</v>
      </c>
      <c r="C56" s="222">
        <f>IF(B56="","",SUMIFS(Sales!$C$2:$C$78141,Sales!$D$2:$D$78141,YEAR(B56),Sales!$B$2:$B$78141,TEXT(B56,"MMMM")))</f>
        <v>1630</v>
      </c>
      <c r="D56" s="11"/>
      <c r="E56" s="11"/>
      <c r="F56" s="11"/>
      <c r="G56" s="11"/>
      <c r="H56" s="11"/>
    </row>
    <row r="57" spans="1:8" ht="13.15" x14ac:dyDescent="0.4">
      <c r="A57" s="6"/>
      <c r="B57" s="242">
        <f>IF(B56="","",IF(EDATE(B56,1)&gt;EOMONTH(Config!$C$9,0),"",EDATE(B56,1)))</f>
        <v>45717</v>
      </c>
      <c r="C57" s="222">
        <f>IF(B57="","",SUMIFS(Sales!$C$2:$C$78141,Sales!$D$2:$D$78141,YEAR(B57),Sales!$B$2:$B$78141,TEXT(B57,"MMMM")))</f>
        <v>1515</v>
      </c>
      <c r="D57" s="11"/>
      <c r="E57" s="11"/>
      <c r="F57" s="11"/>
      <c r="G57" s="11"/>
      <c r="H57" s="11"/>
    </row>
    <row r="58" spans="1:8" ht="13.15" x14ac:dyDescent="0.4">
      <c r="A58" s="6"/>
      <c r="B58" s="241">
        <f>IF(B57="","",IF(EDATE(B57,1)&gt;EOMONTH(Config!$C$9,0),"",EDATE(B57,1)))</f>
        <v>45748</v>
      </c>
      <c r="C58" s="222">
        <f>IF(B58="","",SUMIFS(Sales!$C$2:$C$78141,Sales!$D$2:$D$78141,YEAR(B58),Sales!$B$2:$B$78141,TEXT(B58,"MMMM")))</f>
        <v>1772</v>
      </c>
      <c r="D58" s="11"/>
      <c r="E58" s="11"/>
      <c r="F58" s="11"/>
      <c r="G58" s="11"/>
      <c r="H58" s="11"/>
    </row>
    <row r="59" spans="1:8" ht="13.15" x14ac:dyDescent="0.4">
      <c r="A59" s="6"/>
      <c r="B59" s="242">
        <f>IF(B58="","",IF(EDATE(B58,1)&gt;EOMONTH(Config!$C$9,0),"",EDATE(B58,1)))</f>
        <v>45778</v>
      </c>
      <c r="C59" s="222">
        <f>IF(B59="","",SUMIFS(Sales!$C$2:$C$78141,Sales!$D$2:$D$78141,YEAR(B59),Sales!$B$2:$B$78141,TEXT(B59,"MMMM")))</f>
        <v>1741</v>
      </c>
      <c r="D59" s="11"/>
      <c r="E59" s="11"/>
      <c r="F59" s="11"/>
      <c r="G59" s="11"/>
      <c r="H59" s="11"/>
    </row>
    <row r="60" spans="1:8" ht="13.15" x14ac:dyDescent="0.4">
      <c r="A60" s="6"/>
      <c r="B60" s="241">
        <f>IF(B59="","",IF(EDATE(B59,1)&gt;EOMONTH(Config!$C$9,0),"",EDATE(B59,1)))</f>
        <v>45809</v>
      </c>
      <c r="C60" s="222">
        <f>IF(B60="","",SUMIFS(Sales!$C$2:$C$78141,Sales!$D$2:$D$78141,YEAR(B60),Sales!$B$2:$B$78141,TEXT(B60,"MMMM")))</f>
        <v>1613</v>
      </c>
      <c r="D60" s="11"/>
      <c r="E60" s="11"/>
      <c r="F60" s="11"/>
      <c r="G60" s="11"/>
      <c r="H60" s="11"/>
    </row>
    <row r="61" spans="1:8" ht="13.15" x14ac:dyDescent="0.4">
      <c r="A61" s="6"/>
      <c r="B61" s="242" t="str">
        <f>IF(B60="","",IF(EDATE(B60,1)&gt;EOMONTH(Config!$C$9,0),"",EDATE(B60,1)))</f>
        <v/>
      </c>
      <c r="C61" s="222" t="str">
        <f>IF(B61="","",SUMIFS(Sales!$C$2:$C$78141,Sales!$D$2:$D$78141,YEAR(B61),Sales!$B$2:$B$78141,TEXT(B61,"MMMM")))</f>
        <v/>
      </c>
      <c r="D61" s="11"/>
      <c r="E61" s="11"/>
      <c r="F61" s="11"/>
      <c r="G61" s="11"/>
      <c r="H61" s="11"/>
    </row>
    <row r="62" spans="1:8" ht="13.15" x14ac:dyDescent="0.4">
      <c r="A62" s="6"/>
      <c r="B62" s="241" t="str">
        <f>IF(B61="","",IF(EDATE(B61,1)&gt;EOMONTH(Config!$C$9,0),"",EDATE(B61,1)))</f>
        <v/>
      </c>
      <c r="C62" s="222" t="str">
        <f>IF(B62="","",SUMIFS(Sales!$C$2:$C$78141,Sales!$D$2:$D$78141,YEAR(B62),Sales!$B$2:$B$78141,TEXT(B62,"MMMM")))</f>
        <v/>
      </c>
      <c r="D62" s="11"/>
      <c r="E62" s="11"/>
      <c r="F62" s="11"/>
      <c r="G62" s="11"/>
      <c r="H62" s="11"/>
    </row>
    <row r="63" spans="1:8" ht="13.15" x14ac:dyDescent="0.4">
      <c r="A63" s="6"/>
      <c r="B63" s="242" t="str">
        <f>IF(B62="","",IF(EDATE(B62,1)&gt;EOMONTH(Config!$C$9,0),"",EDATE(B62,1)))</f>
        <v/>
      </c>
      <c r="C63" s="222" t="str">
        <f>IF(B63="","",SUMIFS(Sales!$C$2:$C$78141,Sales!$D$2:$D$78141,YEAR(B63),Sales!$B$2:$B$78141,TEXT(B63,"MMMM")))</f>
        <v/>
      </c>
      <c r="D63" s="11"/>
      <c r="E63" s="11"/>
      <c r="F63" s="11"/>
      <c r="G63" s="11"/>
      <c r="H63" s="11"/>
    </row>
    <row r="64" spans="1:8" ht="13.15" x14ac:dyDescent="0.4">
      <c r="A64" s="6"/>
      <c r="B64" s="241" t="str">
        <f>IF(B63="","",IF(EDATE(B63,1)&gt;EOMONTH(Config!$C$9,0),"",EDATE(B63,1)))</f>
        <v/>
      </c>
      <c r="C64" s="222" t="str">
        <f>IF(B64="","",SUMIFS(Sales!$C$2:$C$78141,Sales!$D$2:$D$78141,YEAR(B64),Sales!$B$2:$B$78141,TEXT(B64,"MMMM")))</f>
        <v/>
      </c>
      <c r="D64" s="11"/>
      <c r="E64" s="11"/>
      <c r="F64" s="11"/>
      <c r="G64" s="11"/>
      <c r="H64" s="11"/>
    </row>
    <row r="65" spans="1:8" ht="13.15" x14ac:dyDescent="0.4">
      <c r="A65" s="6"/>
      <c r="B65" s="242" t="str">
        <f>IF(B64="","",IF(EDATE(B64,1)&gt;EOMONTH(Config!$C$9,0),"",EDATE(B64,1)))</f>
        <v/>
      </c>
      <c r="C65" s="222" t="str">
        <f>IF(B65="","",SUMIFS(Sales!$C$2:$C$78141,Sales!$D$2:$D$78141,YEAR(B65),Sales!$B$2:$B$78141,TEXT(B65,"MMMM")))</f>
        <v/>
      </c>
      <c r="D65" s="11"/>
      <c r="E65" s="11"/>
      <c r="F65" s="11"/>
      <c r="G65" s="11"/>
      <c r="H65" s="11"/>
    </row>
    <row r="66" spans="1:8" ht="13.15" x14ac:dyDescent="0.4">
      <c r="A66" s="6"/>
      <c r="B66" s="241" t="str">
        <f>IF(B65="","",IF(EDATE(B65,1)&gt;EOMONTH(Config!$C$9,0),"",EDATE(B65,1)))</f>
        <v/>
      </c>
      <c r="C66" s="222" t="str">
        <f>IF(B66="","",SUMIFS(Sales!$C$2:$C$78141,Sales!$D$2:$D$78141,YEAR(B66),Sales!$B$2:$B$78141,TEXT(B66,"MMMM")))</f>
        <v/>
      </c>
      <c r="D66" s="11"/>
      <c r="E66" s="11"/>
      <c r="F66" s="11"/>
      <c r="G66" s="11"/>
      <c r="H66" s="11"/>
    </row>
    <row r="67" spans="1:8" ht="13.15" x14ac:dyDescent="0.4">
      <c r="A67" s="6"/>
      <c r="B67" s="242" t="str">
        <f>IF(B66="","",IF(EDATE(B66,1)&gt;EOMONTH(Config!$C$9,0),"",EDATE(B66,1)))</f>
        <v/>
      </c>
      <c r="C67" s="222" t="str">
        <f>IF(B67="","",SUMIFS(Sales!$C$2:$C$78141,Sales!$D$2:$D$78141,YEAR(B67),Sales!$B$2:$B$78141,TEXT(B67,"MMMM")))</f>
        <v/>
      </c>
      <c r="D67" s="11"/>
      <c r="E67" s="11"/>
      <c r="F67" s="11"/>
      <c r="G67" s="11"/>
      <c r="H67" s="11"/>
    </row>
    <row r="68" spans="1:8" ht="13.15" x14ac:dyDescent="0.4">
      <c r="A68" s="6"/>
      <c r="B68" s="241" t="str">
        <f>IF(B67="","",IF(EDATE(B67,1)&gt;EOMONTH(Config!$C$9,0),"",EDATE(B67,1)))</f>
        <v/>
      </c>
      <c r="C68" s="222" t="str">
        <f>IF(B68="","",SUMIFS(Sales!$C$2:$C$78141,Sales!$D$2:$D$78141,YEAR(B68),Sales!$B$2:$B$78141,TEXT(B68,"MMMM")))</f>
        <v/>
      </c>
      <c r="D68" s="11"/>
      <c r="E68" s="11"/>
      <c r="F68" s="11"/>
      <c r="G68" s="11"/>
      <c r="H68" s="11"/>
    </row>
    <row r="69" spans="1:8" ht="13.15" x14ac:dyDescent="0.4">
      <c r="A69" s="6"/>
      <c r="B69" s="242" t="str">
        <f>IF(B68="","",IF(EDATE(B68,1)&gt;EOMONTH(Config!$C$9,0),"",EDATE(B68,1)))</f>
        <v/>
      </c>
      <c r="C69" s="222" t="str">
        <f>IF(B69="","",SUMIFS(Sales!$C$2:$C$78141,Sales!$D$2:$D$78141,YEAR(B69),Sales!$B$2:$B$78141,TEXT(B69,"MMMM")))</f>
        <v/>
      </c>
      <c r="D69" s="11"/>
      <c r="E69" s="11"/>
      <c r="F69" s="11"/>
      <c r="G69" s="11"/>
      <c r="H69" s="11"/>
    </row>
    <row r="70" spans="1:8" ht="13.15" x14ac:dyDescent="0.4">
      <c r="A70" s="6"/>
      <c r="B70" s="241" t="str">
        <f>IF(B69="","",IF(EDATE(B69,1)&gt;EOMONTH(Config!$C$9,0),"",EDATE(B69,1)))</f>
        <v/>
      </c>
      <c r="C70" s="222" t="str">
        <f>IF(B70="","",SUMIFS(Sales!$C$2:$C$78141,Sales!$D$2:$D$78141,YEAR(B70),Sales!$B$2:$B$78141,TEXT(B70,"MMMM")))</f>
        <v/>
      </c>
      <c r="D70" s="11"/>
      <c r="E70" s="11"/>
      <c r="F70" s="11"/>
      <c r="G70" s="11"/>
      <c r="H70" s="11"/>
    </row>
    <row r="71" spans="1:8" ht="13.15" x14ac:dyDescent="0.4">
      <c r="A71" s="6"/>
      <c r="B71" s="242" t="str">
        <f>IF(B70="","",IF(EDATE(B70,1)&gt;EOMONTH(Config!$C$9,0),"",EDATE(B70,1)))</f>
        <v/>
      </c>
      <c r="C71" s="222" t="str">
        <f>IF(B71="","",SUMIFS(Sales!$C$2:$C$78141,Sales!$D$2:$D$78141,YEAR(B71),Sales!$B$2:$B$78141,TEXT(B71,"MMMM")))</f>
        <v/>
      </c>
      <c r="D71" s="11"/>
      <c r="E71" s="11"/>
      <c r="F71" s="11"/>
      <c r="G71" s="11"/>
      <c r="H71" s="11"/>
    </row>
    <row r="72" spans="1:8" ht="13.15" x14ac:dyDescent="0.4">
      <c r="A72" s="6"/>
      <c r="B72" s="241" t="str">
        <f>IF(B71="","",IF(EDATE(B71,1)&gt;EOMONTH(Config!$C$9,0),"",EDATE(B71,1)))</f>
        <v/>
      </c>
      <c r="C72" s="222" t="str">
        <f>IF(B72="","",SUMIFS(Sales!$C$2:$C$78141,Sales!$D$2:$D$78141,YEAR(B72),Sales!$B$2:$B$78141,TEXT(B72,"MMMM")))</f>
        <v/>
      </c>
      <c r="D72" s="11"/>
      <c r="E72" s="11"/>
      <c r="F72" s="11"/>
      <c r="G72" s="11"/>
      <c r="H72" s="11"/>
    </row>
    <row r="73" spans="1:8" ht="13.15" x14ac:dyDescent="0.4">
      <c r="A73" s="11"/>
      <c r="B73" s="242" t="str">
        <f>IF(B72="","",IF(EDATE(B72,1)&gt;EOMONTH(Config!$C$9,0),"",EDATE(B72,1)))</f>
        <v/>
      </c>
      <c r="C73" s="222" t="str">
        <f>IF(B73="","",SUMIFS(Sales!$C$2:$C$78141,Sales!$D$2:$D$78141,YEAR(B73),Sales!$B$2:$B$78141,TEXT(B73,"MMMM")))</f>
        <v/>
      </c>
      <c r="D73" s="11"/>
      <c r="E73" s="11"/>
      <c r="F73" s="11"/>
      <c r="G73" s="11"/>
      <c r="H73" s="11"/>
    </row>
    <row r="74" spans="1:8" ht="13.15" x14ac:dyDescent="0.4">
      <c r="A74" s="11"/>
      <c r="B74" s="241" t="str">
        <f>IF(B73="","",IF(EDATE(B73,1)&gt;EOMONTH(Config!$C$9,0),"",EDATE(B73,1)))</f>
        <v/>
      </c>
      <c r="C74" s="222" t="str">
        <f>IF(B74="","",SUMIFS(Sales!$C$2:$C$78141,Sales!$D$2:$D$78141,YEAR(B74),Sales!$B$2:$B$78141,TEXT(B74,"MMMM")))</f>
        <v/>
      </c>
      <c r="D74" s="11"/>
      <c r="E74" s="11"/>
      <c r="F74" s="11"/>
      <c r="G74" s="11"/>
      <c r="H74" s="11"/>
    </row>
    <row r="75" spans="1:8" ht="13.15" x14ac:dyDescent="0.4">
      <c r="A75" s="11"/>
      <c r="B75" s="11"/>
      <c r="C75" s="11"/>
      <c r="D75" s="11"/>
      <c r="E75" s="11"/>
      <c r="F75" s="11"/>
      <c r="G75" s="11"/>
      <c r="H75" s="11"/>
    </row>
    <row r="76" spans="1:8" ht="13.15" x14ac:dyDescent="0.4">
      <c r="A76" s="11"/>
      <c r="B76" s="11"/>
      <c r="C76" s="11"/>
      <c r="D76" s="11"/>
      <c r="E76" s="11"/>
      <c r="F76" s="11"/>
      <c r="G76" s="11"/>
      <c r="H76" s="11"/>
    </row>
    <row r="77" spans="1:8" ht="13.15" x14ac:dyDescent="0.4">
      <c r="A77" s="11"/>
      <c r="B77" s="243"/>
      <c r="C77" s="243"/>
      <c r="D77" s="243"/>
      <c r="E77" s="243"/>
      <c r="F77" s="243"/>
      <c r="G77" s="243"/>
      <c r="H77" s="243"/>
    </row>
    <row r="78" spans="1:8" ht="13.15" x14ac:dyDescent="0.4">
      <c r="A78" s="11"/>
      <c r="B78" s="244"/>
      <c r="C78" s="244"/>
      <c r="D78" s="244"/>
      <c r="E78" s="244"/>
      <c r="F78" s="244"/>
      <c r="G78" s="244"/>
      <c r="H78" s="244"/>
    </row>
    <row r="79" spans="1:8" ht="13.15" x14ac:dyDescent="0.4">
      <c r="A79" s="11"/>
      <c r="B79" s="245"/>
      <c r="C79" s="245"/>
      <c r="D79" s="245"/>
      <c r="E79" s="245"/>
      <c r="F79" s="245"/>
      <c r="G79" s="245"/>
      <c r="H79" s="245"/>
    </row>
    <row r="80" spans="1:8" ht="13.15" hidden="1" x14ac:dyDescent="0.4">
      <c r="A80" s="11"/>
      <c r="B80" s="246" t="s">
        <v>1471</v>
      </c>
      <c r="C80" s="247"/>
      <c r="D80" s="247"/>
      <c r="E80" s="247"/>
      <c r="F80" s="247"/>
      <c r="G80" s="247"/>
      <c r="H80" s="247"/>
    </row>
    <row r="81" spans="1:8" ht="13.15" hidden="1" x14ac:dyDescent="0.4">
      <c r="A81" s="11"/>
      <c r="B81" s="248" t="s">
        <v>1314</v>
      </c>
      <c r="C81" s="249" t="s">
        <v>1472</v>
      </c>
      <c r="D81" s="249" t="s">
        <v>1473</v>
      </c>
      <c r="E81" s="249" t="s">
        <v>1474</v>
      </c>
      <c r="F81" s="249" t="s">
        <v>1475</v>
      </c>
      <c r="G81" s="249" t="s">
        <v>1476</v>
      </c>
      <c r="H81" s="245"/>
    </row>
    <row r="82" spans="1:8" ht="13.15" hidden="1" x14ac:dyDescent="0.4">
      <c r="A82" s="11"/>
      <c r="B82" s="247" t="s">
        <v>1477</v>
      </c>
      <c r="C82" s="247" t="str" cm="1">
        <f t="array" ref="C82">IF($C$1="","",SUMPRODUCT((Sales!$D$2:$D$78141&gt;=YEAR(Config!$C$11))*(Sales!$D$2:$D$78141&lt;=YEAR(Config!$C$12))*(Sales!$A$2:$A$78141="Austria")*Sales!$C$2:$C$78141)+SUMPRODUCT((Sales!$D$2:$D$78141&gt;=YEAR(Config!$C$11))*(Sales!$D$2:$D$78141&lt;=YEAR(Config!$C$12))*(Sales!$A$2:$A$78141="Belgium")*Sales!$C$2:$C$78141)+SUMPRODUCT((Sales!$D$2:$D$78141&gt;=YEAR(Config!$C$11))*(Sales!$D$2:$D$78141&lt;=YEAR(Config!$C$12))*(Sales!$A$2:$A$78141="Bulgaria")*Sales!$C$2:$C$78141)+SUMPRODUCT((Sales!$D$2:$D$78141&gt;=YEAR(Config!$C$11))*(Sales!$D$2:$D$78141&lt;=YEAR(Config!$C$12))*(Sales!$A$2:$A$78141="Croatia")*Sales!$C$2:$C$78141)+SUMPRODUCT((Sales!$D$2:$D$78141&gt;=YEAR(Config!$C$11))*(Sales!$D$2:$D$78141&lt;=YEAR(Config!$C$12))*(Sales!$A$2:$A$78141="Cyprus")*Sales!$C$2:$C$78141)+SUMPRODUCT((Sales!$D$2:$D$78141&gt;=YEAR(Config!$C$11))*(Sales!$D$2:$D$78141&lt;=YEAR(Config!$C$12))*(Sales!$A$2:$A$78141="Czech Republic")*Sales!$C$2:$C$78141)+SUMPRODUCT((Sales!$D$2:$D$78141&gt;=YEAR(Config!$C$11))*(Sales!$D$2:$D$78141&lt;=YEAR(Config!$C$12))*(Sales!$A$2:$A$78141="Denmark")*Sales!$C$2:$C$78141)+SUMPRODUCT((Sales!$D$2:$D$78141&gt;=YEAR(Config!$C$11))*(Sales!$D$2:$D$78141&lt;=YEAR(Config!$C$12))*(Sales!$A$2:$A$78141="Estonia")*Sales!$C$2:$C$78141)+SUMPRODUCT((Sales!$D$2:$D$78141&gt;=YEAR(Config!$C$11))*(Sales!$D$2:$D$78141&lt;=YEAR(Config!$C$12))*(Sales!$A$2:$A$78141="Finland")*Sales!$C$2:$C$78141)+SUMPRODUCT((Sales!$D$2:$D$78141&gt;=YEAR(Config!$C$11))*(Sales!$D$2:$D$78141&lt;=YEAR(Config!$C$12))*(Sales!$A$2:$A$78141="France")*Sales!$C$2:$C$78141)+SUMPRODUCT((Sales!$D$2:$D$78141&gt;=YEAR(Config!$C$11))*(Sales!$D$2:$D$78141&lt;=YEAR(Config!$C$12))*(Sales!$A$2:$A$78141="Germany")*Sales!$C$2:$C$78141)+SUMPRODUCT((Sales!$D$2:$D$78141&gt;=YEAR(Config!$C$11))*(Sales!$D$2:$D$78141&lt;=YEAR(Config!$C$12))*(Sales!$A$2:$A$78141="Greece")*Sales!$C$2:$C$78141)+SUMPRODUCT((Sales!$D$2:$D$78141&gt;=YEAR(Config!$C$11))*(Sales!$D$2:$D$78141&lt;=YEAR(Config!$C$12))*(Sales!$A$2:$A$78141="Hungary")*Sales!$C$2:$C$78141)+SUMPRODUCT((Sales!$D$2:$D$78141&gt;=YEAR(Config!$C$11))*(Sales!$D$2:$D$78141&lt;=YEAR(Config!$C$12))*(Sales!$A$2:$A$78141="Ireland")*Sales!$C$2:$C$78141)+SUMPRODUCT((Sales!$D$2:$D$78141&gt;=YEAR(Config!$C$11))*(Sales!$D$2:$D$78141&lt;=YEAR(Config!$C$12))*(Sales!$A$2:$A$78141="Italy")*Sales!$C$2:$C$78141)+SUMPRODUCT((Sales!$D$2:$D$78141&gt;=YEAR(Config!$C$11))*(Sales!$D$2:$D$78141&lt;=YEAR(Config!$C$12))*(Sales!$A$2:$A$78141="Latvia")*Sales!$C$2:$C$78141)+SUMPRODUCT((Sales!$D$2:$D$78141&gt;=YEAR(Config!$C$11))*(Sales!$D$2:$D$78141&lt;=YEAR(Config!$C$12))*(Sales!$A$2:$A$78141="Lithuania")*Sales!$C$2:$C$78141)+SUMPRODUCT((Sales!$D$2:$D$78141&gt;=YEAR(Config!$C$11))*(Sales!$D$2:$D$78141&lt;=YEAR(Config!$C$12))*(Sales!$A$2:$A$78141="Luxembourg")*Sales!$C$2:$C$78141)+SUMPRODUCT((Sales!$D$2:$D$78141&gt;=YEAR(Config!$C$11))*(Sales!$D$2:$D$78141&lt;=YEAR(Config!$C$12))*(Sales!$A$2:$A$78141="Malta")*Sales!$C$2:$C$78141)+SUMPRODUCT((Sales!$D$2:$D$78141&gt;=YEAR(Config!$C$11))*(Sales!$D$2:$D$78141&lt;=YEAR(Config!$C$12))*(Sales!$A$2:$A$78141="Netherlands")*Sales!$C$2:$C$78141)+SUMPRODUCT((Sales!$D$2:$D$78141&gt;=YEAR(Config!$C$11))*(Sales!$D$2:$D$78141&lt;=YEAR(Config!$C$12))*(Sales!$A$2:$A$78141="Poland")*Sales!$C$2:$C$78141)+SUMPRODUCT((Sales!$D$2:$D$78141&gt;=YEAR(Config!$C$11))*(Sales!$D$2:$D$78141&lt;=YEAR(Config!$C$12))*(Sales!$A$2:$A$78141="Portugal")*Sales!$C$2:$C$78141)+SUMPRODUCT((Sales!$D$2:$D$78141&gt;=YEAR(Config!$C$11))*(Sales!$D$2:$D$78141&lt;=YEAR(Config!$C$12))*(Sales!$A$2:$A$78141="Romania")*Sales!$C$2:$C$78141)+SUMPRODUCT((Sales!$D$2:$D$78141&gt;=YEAR(Config!$C$11))*(Sales!$D$2:$D$78141&lt;=YEAR(Config!$C$12))*(Sales!$A$2:$A$78141="Slovakia")*Sales!$C$2:$C$78141)+SUMPRODUCT((Sales!$D$2:$D$78141&gt;=YEAR(Config!$C$11))*(Sales!$D$2:$D$78141&lt;=YEAR(Config!$C$12))*(Sales!$A$2:$A$78141="Slovenia")*Sales!$C$2:$C$78141)+SUMPRODUCT((Sales!$D$2:$D$78141&gt;=YEAR(Config!$C$11))*(Sales!$D$2:$D$78141&lt;=YEAR(Config!$C$12))*(Sales!$A$2:$A$78141="Spain")*Sales!$C$2:$C$78141)+SUMPRODUCT((Sales!$D$2:$D$78141&gt;=YEAR(Config!$C$11))*(Sales!$D$2:$D$78141&lt;=YEAR(Config!$C$12))*(Sales!$A$2:$A$78141="Sweden")*Sales!$C$2:$C$78141)+SUMPRODUCT((Sales!$D$2:$D$78141&gt;=YEAR(Config!$C$11))*(Sales!$D$2:$D$78141&lt;=YEAR(Config!$C$12))*(Sales!$A$2:$A$78141="Iceland")*Sales!$C$2:$C$78141)+SUMPRODUCT((Sales!$D$2:$D$78141&gt;=YEAR(Config!$C$11))*(Sales!$D$2:$D$78141&lt;=YEAR(Config!$C$12))*(Sales!$A$2:$A$78141="Norway")*Sales!$C$2:$C$78141)+SUMPRODUCT((Sales!$D$2:$D$78141&gt;=YEAR(Config!$C$11))*(Sales!$D$2:$D$78141&lt;=YEAR(Config!$C$12))*(Sales!$A$2:$A$78141="Turkey")*Sales!$C$2:$C$78141)+SUMPRODUCT((Sales!$D$2:$D$78141&gt;=YEAR(Config!$C$11))*(Sales!$D$2:$D$78141&lt;=YEAR(Config!$C$12))*(Sales!$A$2:$A$78141="Northern Ireland")*Sales!$C$2:$C$78141))</f>
        <v/>
      </c>
      <c r="D82" s="247">
        <f>IF($D$1="","",SUMIFS(Sales!$C$2:$C$78141,Sales!$D$2:$D$78141,YEAR(Config!$C$8),Sales!$A$2:$A$78141,"Austria")+SUMIFS(Sales!$C$2:$C$78141,Sales!$D$2:$D$78141,YEAR(Config!$C$8),Sales!$A$2:$A$78141,"Belgium")+SUMIFS(Sales!$C$2:$C$78141,Sales!$D$2:$D$78141,YEAR(Config!$C$8),Sales!$A$2:$A$78141,"Bulgaria")+SUMIFS(Sales!$C$2:$C$78141,Sales!$D$2:$D$78141,YEAR(Config!$C$8),Sales!$A$2:$A$78141,"Croatia")+SUMIFS(Sales!$C$2:$C$78141,Sales!$D$2:$D$78141,YEAR(Config!$C$8),Sales!$A$2:$A$78141,"Cyprus")+SUMIFS(Sales!$C$2:$C$78141,Sales!$D$2:$D$78141,YEAR(Config!$C$8),Sales!$A$2:$A$78141,"Czech Republic")+SUMIFS(Sales!$C$2:$C$78141,Sales!$D$2:$D$78141,YEAR(Config!$C$8),Sales!$A$2:$A$78141,"Denmark")+SUMIFS(Sales!$C$2:$C$78141,Sales!$D$2:$D$78141,YEAR(Config!$C$8),Sales!$A$2:$A$78141,"Estonia")+SUMIFS(Sales!$C$2:$C$78141,Sales!$D$2:$D$78141,YEAR(Config!$C$8),Sales!$A$2:$A$78141,"Finland")+SUMIFS(Sales!$C$2:$C$78141,Sales!$D$2:$D$78141,YEAR(Config!$C$8),Sales!$A$2:$A$78141,"France")+SUMIFS(Sales!$C$2:$C$78141,Sales!$D$2:$D$78141,YEAR(Config!$C$8),Sales!$A$2:$A$78141,"Germany")+SUMIFS(Sales!$C$2:$C$78141,Sales!$D$2:$D$78141,YEAR(Config!$C$8),Sales!$A$2:$A$78141,"Greece")+SUMIFS(Sales!$C$2:$C$78141,Sales!$D$2:$D$78141,YEAR(Config!$C$8),Sales!$A$2:$A$78141,"Hungary")+SUMIFS(Sales!$C$2:$C$78141,Sales!$D$2:$D$78141,YEAR(Config!$C$8),Sales!$A$2:$A$78141,"Ireland")+SUMIFS(Sales!$C$2:$C$78141,Sales!$D$2:$D$78141,YEAR(Config!$C$8),Sales!$A$2:$A$78141,"Italy")+SUMIFS(Sales!$C$2:$C$78141,Sales!$D$2:$D$78141,YEAR(Config!$C$8),Sales!$A$2:$A$78141,"Latvia")+SUMIFS(Sales!$C$2:$C$78141,Sales!$D$2:$D$78141,YEAR(Config!$C$8),Sales!$A$2:$A$78141,"Lithuania")+SUMIFS(Sales!$C$2:$C$78141,Sales!$D$2:$D$78141,YEAR(Config!$C$8),Sales!$A$2:$A$78141,"Luxembourg")+SUMIFS(Sales!$C$2:$C$78141,Sales!$D$2:$D$78141,YEAR(Config!$C$8),Sales!$A$2:$A$78141,"Malta")+SUMIFS(Sales!$C$2:$C$78141,Sales!$D$2:$D$78141,YEAR(Config!$C$8),Sales!$A$2:$A$78141,"Netherlands")+SUMIFS(Sales!$C$2:$C$78141,Sales!$D$2:$D$78141,YEAR(Config!$C$8),Sales!$A$2:$A$78141,"Poland")+SUMIFS(Sales!$C$2:$C$78141,Sales!$D$2:$D$78141,YEAR(Config!$C$8),Sales!$A$2:$A$78141,"Portugal")+SUMIFS(Sales!$C$2:$C$78141,Sales!$D$2:$D$78141,YEAR(Config!$C$8),Sales!$A$2:$A$78141,"Romania")+SUMIFS(Sales!$C$2:$C$78141,Sales!$D$2:$D$78141,YEAR(Config!$C$8),Sales!$A$2:$A$78141,"Slovakia")+SUMIFS(Sales!$C$2:$C$78141,Sales!$D$2:$D$78141,YEAR(Config!$C$8),Sales!$A$2:$A$78141,"Slovenia")+SUMIFS(Sales!$C$2:$C$78141,Sales!$D$2:$D$78141,YEAR(Config!$C$8),Sales!$A$2:$A$78141,"Spain")+SUMIFS(Sales!$C$2:$C$78141,Sales!$D$2:$D$78141,YEAR(Config!$C$8),Sales!$A$2:$A$78141,"Sweden")+SUMIFS(Sales!$C$2:$C$78141,Sales!$D$2:$D$78141,YEAR(Config!$C$8),Sales!$A$2:$A$78141,"Iceland")+SUMIFS(Sales!$C$2:$C$78141,Sales!$D$2:$D$78141,YEAR(Config!$C$8),Sales!$A$2:$A$78141,"Norway")+SUMIFS(Sales!$C$2:$C$78141,Sales!$D$2:$D$78141,YEAR(Config!$C$8),Sales!$A$2:$A$78141,"Turkey")+SUMIFS(Sales!$C$2:$C$78141,Sales!$D$2:$D$78141,YEAR(Config!$C$8),Sales!$A$2:$A$78141,"Northern Ireland"))</f>
        <v>0</v>
      </c>
      <c r="E82" s="247">
        <f>IF($E$1="","",SUMIFS(Sales!$C$2:$C$78141,Sales!$D$2:$D$78141,YEAR(Config!$C$8)+1,Sales!$A$2:$A$78141,"Austria")+SUMIFS(Sales!$C$2:$C$78141,Sales!$D$2:$D$78141,YEAR(Config!$C$8)+1,Sales!$A$2:$A$78141,"Belgium")+SUMIFS(Sales!$C$2:$C$78141,Sales!$D$2:$D$78141,YEAR(Config!$C$8)+1,Sales!$A$2:$A$78141,"Bulgaria")+SUMIFS(Sales!$C$2:$C$78141,Sales!$D$2:$D$78141,YEAR(Config!$C$8)+1,Sales!$A$2:$A$78141,"Croatia")+SUMIFS(Sales!$C$2:$C$78141,Sales!$D$2:$D$78141,YEAR(Config!$C$8)+1,Sales!$A$2:$A$78141,"Cyprus")+SUMIFS(Sales!$C$2:$C$78141,Sales!$D$2:$D$78141,YEAR(Config!$C$8)+1,Sales!$A$2:$A$78141,"Czech Republic")+SUMIFS(Sales!$C$2:$C$78141,Sales!$D$2:$D$78141,YEAR(Config!$C$8)+1,Sales!$A$2:$A$78141,"Denmark")+SUMIFS(Sales!$C$2:$C$78141,Sales!$D$2:$D$78141,YEAR(Config!$C$8)+1,Sales!$A$2:$A$78141,"Estonia")+SUMIFS(Sales!$C$2:$C$78141,Sales!$D$2:$D$78141,YEAR(Config!$C$8)+1,Sales!$A$2:$A$78141,"Finland")+SUMIFS(Sales!$C$2:$C$78141,Sales!$D$2:$D$78141,YEAR(Config!$C$8)+1,Sales!$A$2:$A$78141,"France")+SUMIFS(Sales!$C$2:$C$78141,Sales!$D$2:$D$78141,YEAR(Config!$C$8)+1,Sales!$A$2:$A$78141,"Germany")+SUMIFS(Sales!$C$2:$C$78141,Sales!$D$2:$D$78141,YEAR(Config!$C$8)+1,Sales!$A$2:$A$78141,"Greece")+SUMIFS(Sales!$C$2:$C$78141,Sales!$D$2:$D$78141,YEAR(Config!$C$8)+1,Sales!$A$2:$A$78141,"Hungary")+SUMIFS(Sales!$C$2:$C$78141,Sales!$D$2:$D$78141,YEAR(Config!$C$8)+1,Sales!$A$2:$A$78141,"Ireland")+SUMIFS(Sales!$C$2:$C$78141,Sales!$D$2:$D$78141,YEAR(Config!$C$8)+1,Sales!$A$2:$A$78141,"Italy")+SUMIFS(Sales!$C$2:$C$78141,Sales!$D$2:$D$78141,YEAR(Config!$C$8)+1,Sales!$A$2:$A$78141,"Latvia")+SUMIFS(Sales!$C$2:$C$78141,Sales!$D$2:$D$78141,YEAR(Config!$C$8)+1,Sales!$A$2:$A$78141,"Lithuania")+SUMIFS(Sales!$C$2:$C$78141,Sales!$D$2:$D$78141,YEAR(Config!$C$8)+1,Sales!$A$2:$A$78141,"Luxembourg")+SUMIFS(Sales!$C$2:$C$78141,Sales!$D$2:$D$78141,YEAR(Config!$C$8)+1,Sales!$A$2:$A$78141,"Malta")+SUMIFS(Sales!$C$2:$C$78141,Sales!$D$2:$D$78141,YEAR(Config!$C$8)+1,Sales!$A$2:$A$78141,"Netherlands")+SUMIFS(Sales!$C$2:$C$78141,Sales!$D$2:$D$78141,YEAR(Config!$C$8)+1,Sales!$A$2:$A$78141,"Poland")+SUMIFS(Sales!$C$2:$C$78141,Sales!$D$2:$D$78141,YEAR(Config!$C$8)+1,Sales!$A$2:$A$78141,"Portugal")+SUMIFS(Sales!$C$2:$C$78141,Sales!$D$2:$D$78141,YEAR(Config!$C$8)+1,Sales!$A$2:$A$78141,"Romania")+SUMIFS(Sales!$C$2:$C$78141,Sales!$D$2:$D$78141,YEAR(Config!$C$8)+1,Sales!$A$2:$A$78141,"Slovakia")+SUMIFS(Sales!$C$2:$C$78141,Sales!$D$2:$D$78141,YEAR(Config!$C$8)+1,Sales!$A$2:$A$78141,"Slovenia")+SUMIFS(Sales!$C$2:$C$78141,Sales!$D$2:$D$78141,YEAR(Config!$C$8)+1,Sales!$A$2:$A$78141,"Spain")+SUMIFS(Sales!$C$2:$C$78141,Sales!$D$2:$D$78141,YEAR(Config!$C$8)+1,Sales!$A$2:$A$78141,"Sweden")+SUMIFS(Sales!$C$2:$C$78141,Sales!$D$2:$D$78141,YEAR(Config!$C$8)+1,Sales!$A$2:$A$78141,"Iceland")+SUMIFS(Sales!$C$2:$C$78141,Sales!$D$2:$D$78141,YEAR(Config!$C$8)+1,Sales!$A$2:$A$78141,"Norway")+SUMIFS(Sales!$C$2:$C$78141,Sales!$D$2:$D$78141,YEAR(Config!$C$8)+1,Sales!$A$2:$A$78141,"Turkey")+SUMIFS(Sales!$C$2:$C$78141,Sales!$D$2:$D$78141,YEAR(Config!$C$8)+1,Sales!$A$2:$A$78141,"Northern Ireland"))</f>
        <v>0</v>
      </c>
      <c r="F82" s="247">
        <f>IF($F$1="","",SUMIFS(Sales!$C$2:$C$78141,Sales!$D$2:$D$78141,YEAR(Config!$C$8)+2,Sales!$A$2:$A$78141,"Austria")+SUMIFS(Sales!$C$2:$C$78141,Sales!$D$2:$D$78141,YEAR(Config!$C$8)+2,Sales!$A$2:$A$78141,"Belgium")+SUMIFS(Sales!$C$2:$C$78141,Sales!$D$2:$D$78141,YEAR(Config!$C$8)+2,Sales!$A$2:$A$78141,"Bulgaria")+SUMIFS(Sales!$C$2:$C$78141,Sales!$D$2:$D$78141,YEAR(Config!$C$8)+2,Sales!$A$2:$A$78141,"Croatia")+SUMIFS(Sales!$C$2:$C$78141,Sales!$D$2:$D$78141,YEAR(Config!$C$8)+2,Sales!$A$2:$A$78141,"Cyprus")+SUMIFS(Sales!$C$2:$C$78141,Sales!$D$2:$D$78141,YEAR(Config!$C$8)+2,Sales!$A$2:$A$78141,"Czech Republic")+SUMIFS(Sales!$C$2:$C$78141,Sales!$D$2:$D$78141,YEAR(Config!$C$8)+2,Sales!$A$2:$A$78141,"Denmark")+SUMIFS(Sales!$C$2:$C$78141,Sales!$D$2:$D$78141,YEAR(Config!$C$8)+2,Sales!$A$2:$A$78141,"Estonia")+SUMIFS(Sales!$C$2:$C$78141,Sales!$D$2:$D$78141,YEAR(Config!$C$8)+2,Sales!$A$2:$A$78141,"Finland")+SUMIFS(Sales!$C$2:$C$78141,Sales!$D$2:$D$78141,YEAR(Config!$C$8)+2,Sales!$A$2:$A$78141,"France")+SUMIFS(Sales!$C$2:$C$78141,Sales!$D$2:$D$78141,YEAR(Config!$C$8)+2,Sales!$A$2:$A$78141,"Germany")+SUMIFS(Sales!$C$2:$C$78141,Sales!$D$2:$D$78141,YEAR(Config!$C$8)+2,Sales!$A$2:$A$78141,"Greece")+SUMIFS(Sales!$C$2:$C$78141,Sales!$D$2:$D$78141,YEAR(Config!$C$8)+2,Sales!$A$2:$A$78141,"Hungary")+SUMIFS(Sales!$C$2:$C$78141,Sales!$D$2:$D$78141,YEAR(Config!$C$8)+2,Sales!$A$2:$A$78141,"Ireland")+SUMIFS(Sales!$C$2:$C$78141,Sales!$D$2:$D$78141,YEAR(Config!$C$8)+2,Sales!$A$2:$A$78141,"Italy")+SUMIFS(Sales!$C$2:$C$78141,Sales!$D$2:$D$78141,YEAR(Config!$C$8)+2,Sales!$A$2:$A$78141,"Latvia")+SUMIFS(Sales!$C$2:$C$78141,Sales!$D$2:$D$78141,YEAR(Config!$C$8)+2,Sales!$A$2:$A$78141,"Lithuania")+SUMIFS(Sales!$C$2:$C$78141,Sales!$D$2:$D$78141,YEAR(Config!$C$8)+2,Sales!$A$2:$A$78141,"Luxembourg")+SUMIFS(Sales!$C$2:$C$78141,Sales!$D$2:$D$78141,YEAR(Config!$C$8)+2,Sales!$A$2:$A$78141,"Malta")+SUMIFS(Sales!$C$2:$C$78141,Sales!$D$2:$D$78141,YEAR(Config!$C$8)+2,Sales!$A$2:$A$78141,"Netherlands")+SUMIFS(Sales!$C$2:$C$78141,Sales!$D$2:$D$78141,YEAR(Config!$C$8)+2,Sales!$A$2:$A$78141,"Poland")+SUMIFS(Sales!$C$2:$C$78141,Sales!$D$2:$D$78141,YEAR(Config!$C$8)+2,Sales!$A$2:$A$78141,"Portugal")+SUMIFS(Sales!$C$2:$C$78141,Sales!$D$2:$D$78141,YEAR(Config!$C$8)+2,Sales!$A$2:$A$78141,"Romania")+SUMIFS(Sales!$C$2:$C$78141,Sales!$D$2:$D$78141,YEAR(Config!$C$8)+2,Sales!$A$2:$A$78141,"Slovakia")+SUMIFS(Sales!$C$2:$C$78141,Sales!$D$2:$D$78141,YEAR(Config!$C$8)+2,Sales!$A$2:$A$78141,"Slovenia")+SUMIFS(Sales!$C$2:$C$78141,Sales!$D$2:$D$78141,YEAR(Config!$C$8)+2,Sales!$A$2:$A$78141,"Spain")+SUMIFS(Sales!$C$2:$C$78141,Sales!$D$2:$D$78141,YEAR(Config!$C$8)+2,Sales!$A$2:$A$78141,"Sweden")+SUMIFS(Sales!$C$2:$C$78141,Sales!$D$2:$D$78141,YEAR(Config!$C$8)+2,Sales!$A$2:$A$78141,"Iceland")+SUMIFS(Sales!$C$2:$C$78141,Sales!$D$2:$D$78141,YEAR(Config!$C$8)+2,Sales!$A$2:$A$78141,"Norway")+SUMIFS(Sales!$C$2:$C$78141,Sales!$D$2:$D$78141,YEAR(Config!$C$8)+2,Sales!$A$2:$A$78141,"Turkey")+SUMIFS(Sales!$C$2:$C$78141,Sales!$D$2:$D$78141,YEAR(Config!$C$8)+2,Sales!$A$2:$A$78141,"Northern Ireland"))</f>
        <v>0</v>
      </c>
      <c r="G82" s="247">
        <f>IF($G$1="","",SUMIFS(Sales!$C$2:$C$78141,Sales!$D$2:$D$78141,YEAR(Config!$C$8)+3,Sales!$A$2:$A$78141,"Austria")+SUMIFS(Sales!$C$2:$C$78141,Sales!$D$2:$D$78141,YEAR(Config!$C$8)+3,Sales!$A$2:$A$78141,"Belgium")+SUMIFS(Sales!$C$2:$C$78141,Sales!$D$2:$D$78141,YEAR(Config!$C$8)+3,Sales!$A$2:$A$78141,"Bulgaria")+SUMIFS(Sales!$C$2:$C$78141,Sales!$D$2:$D$78141,YEAR(Config!$C$8)+3,Sales!$A$2:$A$78141,"Croatia")+SUMIFS(Sales!$C$2:$C$78141,Sales!$D$2:$D$78141,YEAR(Config!$C$8)+3,Sales!$A$2:$A$78141,"Cyprus")+SUMIFS(Sales!$C$2:$C$78141,Sales!$D$2:$D$78141,YEAR(Config!$C$8)+3,Sales!$A$2:$A$78141,"Czech Republic")+SUMIFS(Sales!$C$2:$C$78141,Sales!$D$2:$D$78141,YEAR(Config!$C$8)+3,Sales!$A$2:$A$78141,"Denmark")+SUMIFS(Sales!$C$2:$C$78141,Sales!$D$2:$D$78141,YEAR(Config!$C$8)+3,Sales!$A$2:$A$78141,"Estonia")+SUMIFS(Sales!$C$2:$C$78141,Sales!$D$2:$D$78141,YEAR(Config!$C$8)+3,Sales!$A$2:$A$78141,"Finland")+SUMIFS(Sales!$C$2:$C$78141,Sales!$D$2:$D$78141,YEAR(Config!$C$8)+3,Sales!$A$2:$A$78141,"France")+SUMIFS(Sales!$C$2:$C$78141,Sales!$D$2:$D$78141,YEAR(Config!$C$8)+3,Sales!$A$2:$A$78141,"Germany")+SUMIFS(Sales!$C$2:$C$78141,Sales!$D$2:$D$78141,YEAR(Config!$C$8)+3,Sales!$A$2:$A$78141,"Greece")+SUMIFS(Sales!$C$2:$C$78141,Sales!$D$2:$D$78141,YEAR(Config!$C$8)+3,Sales!$A$2:$A$78141,"Hungary")+SUMIFS(Sales!$C$2:$C$78141,Sales!$D$2:$D$78141,YEAR(Config!$C$8)+3,Sales!$A$2:$A$78141,"Ireland")+SUMIFS(Sales!$C$2:$C$78141,Sales!$D$2:$D$78141,YEAR(Config!$C$8)+3,Sales!$A$2:$A$78141,"Italy")+SUMIFS(Sales!$C$2:$C$78141,Sales!$D$2:$D$78141,YEAR(Config!$C$8)+3,Sales!$A$2:$A$78141,"Latvia")+SUMIFS(Sales!$C$2:$C$78141,Sales!$D$2:$D$78141,YEAR(Config!$C$8)+3,Sales!$A$2:$A$78141,"Lithuania")+SUMIFS(Sales!$C$2:$C$78141,Sales!$D$2:$D$78141,YEAR(Config!$C$8)+3,Sales!$A$2:$A$78141,"Luxembourg")+SUMIFS(Sales!$C$2:$C$78141,Sales!$D$2:$D$78141,YEAR(Config!$C$8)+3,Sales!$A$2:$A$78141,"Malta")+SUMIFS(Sales!$C$2:$C$78141,Sales!$D$2:$D$78141,YEAR(Config!$C$8)+3,Sales!$A$2:$A$78141,"Netherlands")+SUMIFS(Sales!$C$2:$C$78141,Sales!$D$2:$D$78141,YEAR(Config!$C$8)+3,Sales!$A$2:$A$78141,"Poland")+SUMIFS(Sales!$C$2:$C$78141,Sales!$D$2:$D$78141,YEAR(Config!$C$8)+3,Sales!$A$2:$A$78141,"Portugal")+SUMIFS(Sales!$C$2:$C$78141,Sales!$D$2:$D$78141,YEAR(Config!$C$8)+3,Sales!$A$2:$A$78141,"Romania")+SUMIFS(Sales!$C$2:$C$78141,Sales!$D$2:$D$78141,YEAR(Config!$C$8)+3,Sales!$A$2:$A$78141,"Slovakia")+SUMIFS(Sales!$C$2:$C$78141,Sales!$D$2:$D$78141,YEAR(Config!$C$8)+3,Sales!$A$2:$A$78141,"Slovenia")+SUMIFS(Sales!$C$2:$C$78141,Sales!$D$2:$D$78141,YEAR(Config!$C$8)+3,Sales!$A$2:$A$78141,"Spain")+SUMIFS(Sales!$C$2:$C$78141,Sales!$D$2:$D$78141,YEAR(Config!$C$8)+3,Sales!$A$2:$A$78141,"Sweden")+SUMIFS(Sales!$C$2:$C$78141,Sales!$D$2:$D$78141,YEAR(Config!$C$8)+3,Sales!$A$2:$A$78141,"Iceland")+SUMIFS(Sales!$C$2:$C$78141,Sales!$D$2:$D$78141,YEAR(Config!$C$8)+3,Sales!$A$2:$A$78141,"Norway")+SUMIFS(Sales!$C$2:$C$78141,Sales!$D$2:$D$78141,YEAR(Config!$C$8)+3,Sales!$A$2:$A$78141,"Turkey")+SUMIFS(Sales!$C$2:$C$78141,Sales!$D$2:$D$78141,YEAR(Config!$C$8)+3,Sales!$A$2:$A$78141,"Northern Ireland"))</f>
        <v>0</v>
      </c>
      <c r="H82" s="247"/>
    </row>
    <row r="83" spans="1:8" ht="13.15" hidden="1" x14ac:dyDescent="0.4">
      <c r="A83" s="11"/>
      <c r="B83" s="245" t="s">
        <v>73</v>
      </c>
      <c r="C83" s="245" t="str" cm="1">
        <f t="array" ref="C83">IF($C$1="","",SUMPRODUCT((Sales!$D$2:$D$78141&gt;=YEAR(Config!$C$11))*(Sales!$D$2:$D$78141&lt;=YEAR(Config!$C$12))*(Sales!$A$2:$A$78141="Australia")*Sales!$C$2:$C$78141))</f>
        <v/>
      </c>
      <c r="D83" s="245">
        <f>IF($D$1="","",SUMIFS(Sales!$C$2:$C$78141,Sales!$D$2:$D$78141,YEAR(Config!$C$8),Sales!$A$2:$A$78141,"Australia"))</f>
        <v>0</v>
      </c>
      <c r="E83" s="245">
        <f>IF($E$1="","",SUMIFS(Sales!$C$2:$C$78141,Sales!$D$2:$D$78141,YEAR(Config!$C$8)+1,Sales!$A$2:$A$78141,"Australia"))</f>
        <v>0</v>
      </c>
      <c r="F83" s="245">
        <f>IF($F$1="","",SUMIFS(Sales!$C$2:$C$78141,Sales!$D$2:$D$78141,YEAR(Config!$C$8)+2,Sales!$A$2:$A$78141,"Australia"))</f>
        <v>0</v>
      </c>
      <c r="G83" s="245">
        <f>IF($G$1="","",SUMIFS(Sales!$C$2:$C$78141,Sales!$D$2:$D$78141,YEAR(Config!$C$8)+3,Sales!$A$2:$A$78141,"Australia"))</f>
        <v>0</v>
      </c>
      <c r="H83" s="245"/>
    </row>
    <row r="84" spans="1:8" ht="13.15" hidden="1" x14ac:dyDescent="0.4">
      <c r="A84" s="11"/>
      <c r="B84" s="247" t="s">
        <v>1315</v>
      </c>
      <c r="C84" s="247" t="str" cm="1">
        <f t="array" ref="C84">IF($C$1="","",SUMPRODUCT((Sales!$D$2:$D$78141&gt;=YEAR(Config!$C$11))*(Sales!$D$2:$D$78141&lt;=YEAR(Config!$C$12))*(Sales!$A$2:$A$78141="Brazil")*Sales!$C$2:$C$78141))</f>
        <v/>
      </c>
      <c r="D84" s="247">
        <f>IF($D$1="","",SUMIFS(Sales!$C$2:$C$78141,Sales!$D$2:$D$78141,YEAR(Config!$C$8),Sales!$A$2:$A$78141,"Brazil"))</f>
        <v>86</v>
      </c>
      <c r="E84" s="247">
        <f>IF($E$1="","",SUMIFS(Sales!$C$2:$C$78141,Sales!$D$2:$D$78141,YEAR(Config!$C$8)+1,Sales!$A$2:$A$78141,"Brazil"))</f>
        <v>231</v>
      </c>
      <c r="F84" s="247">
        <f>IF($F$1="","",SUMIFS(Sales!$C$2:$C$78141,Sales!$D$2:$D$78141,YEAR(Config!$C$8)+2,Sales!$A$2:$A$78141,"Brazil"))</f>
        <v>176</v>
      </c>
      <c r="G84" s="247">
        <f>IF($G$1="","",SUMIFS(Sales!$C$2:$C$78141,Sales!$D$2:$D$78141,YEAR(Config!$C$8)+3,Sales!$A$2:$A$78141,"Brazil"))</f>
        <v>86</v>
      </c>
      <c r="H84" s="247"/>
    </row>
    <row r="85" spans="1:8" ht="13.15" hidden="1" x14ac:dyDescent="0.4">
      <c r="A85" s="11"/>
      <c r="B85" s="245" t="s">
        <v>35</v>
      </c>
      <c r="C85" s="245" t="str" cm="1">
        <f t="array" ref="C85">IF($C$1="","",SUMPRODUCT((Sales!$D$2:$D$78141&gt;=YEAR(Config!$C$11))*(Sales!$D$2:$D$78141&lt;=YEAR(Config!$C$12))*(Sales!$A$2:$A$78141="Canada")*Sales!$C$2:$C$78141))</f>
        <v/>
      </c>
      <c r="D85" s="245">
        <f>IF($D$1="","",SUMIFS(Sales!$C$2:$C$78141,Sales!$D$2:$D$78141,YEAR(Config!$C$8),Sales!$A$2:$A$78141,"Canada"))</f>
        <v>893</v>
      </c>
      <c r="E85" s="245">
        <f>IF($E$1="","",SUMIFS(Sales!$C$2:$C$78141,Sales!$D$2:$D$78141,YEAR(Config!$C$8)+1,Sales!$A$2:$A$78141,"Canada"))</f>
        <v>2058</v>
      </c>
      <c r="F85" s="245">
        <f>IF($F$1="","",SUMIFS(Sales!$C$2:$C$78141,Sales!$D$2:$D$78141,YEAR(Config!$C$8)+2,Sales!$A$2:$A$78141,"Canada"))</f>
        <v>2731</v>
      </c>
      <c r="G85" s="245">
        <f>IF($G$1="","",SUMIFS(Sales!$C$2:$C$78141,Sales!$D$2:$D$78141,YEAR(Config!$C$8)+3,Sales!$A$2:$A$78141,"Canada"))</f>
        <v>1260</v>
      </c>
      <c r="H85" s="245"/>
    </row>
    <row r="86" spans="1:8" ht="13.15" hidden="1" x14ac:dyDescent="0.4">
      <c r="A86" s="11"/>
      <c r="B86" s="247" t="s">
        <v>75</v>
      </c>
      <c r="C86" s="247" t="str" cm="1">
        <f t="array" ref="C86">IF($C$1="","",SUMPRODUCT((Sales!$D$2:$D$78141&gt;=YEAR(Config!$C$11))*(Sales!$D$2:$D$78141&lt;=YEAR(Config!$C$12))*(Sales!$A$2:$A$78141="China")*Sales!$C$2:$C$78141))</f>
        <v/>
      </c>
      <c r="D86" s="247">
        <f>IF($D$1="","",SUMIFS(Sales!$C$2:$C$78141,Sales!$D$2:$D$78141,YEAR(Config!$C$8),Sales!$A$2:$A$78141,"China"))</f>
        <v>0</v>
      </c>
      <c r="E86" s="247">
        <f>IF($E$1="","",SUMIFS(Sales!$C$2:$C$78141,Sales!$D$2:$D$78141,YEAR(Config!$C$8)+1,Sales!$A$2:$A$78141,"China"))</f>
        <v>0</v>
      </c>
      <c r="F86" s="247">
        <f>IF($F$1="","",SUMIFS(Sales!$C$2:$C$78141,Sales!$D$2:$D$78141,YEAR(Config!$C$8)+2,Sales!$A$2:$A$78141,"China"))</f>
        <v>0</v>
      </c>
      <c r="G86" s="247">
        <f>IF($G$1="","",SUMIFS(Sales!$C$2:$C$78141,Sales!$D$2:$D$78141,YEAR(Config!$C$8)+3,Sales!$A$2:$A$78141,"China"))</f>
        <v>0</v>
      </c>
      <c r="H86" s="247"/>
    </row>
    <row r="87" spans="1:8" ht="13.15" hidden="1" x14ac:dyDescent="0.4">
      <c r="A87" s="11"/>
      <c r="B87" s="245" t="s">
        <v>74</v>
      </c>
      <c r="C87" s="245" t="str" cm="1">
        <f t="array" ref="C87">IF($C$1="","",SUMPRODUCT((Sales!$D$2:$D$78141&gt;=YEAR(Config!$C$11))*(Sales!$D$2:$D$78141&lt;=YEAR(Config!$C$12))*(Sales!$A$2:$A$78141="Japan")*Sales!$C$2:$C$78141))</f>
        <v/>
      </c>
      <c r="D87" s="245">
        <f>IF($D$1="","",SUMIFS(Sales!$C$2:$C$78141,Sales!$D$2:$D$78141,YEAR(Config!$C$8),Sales!$A$2:$A$78141,"Japan"))</f>
        <v>529</v>
      </c>
      <c r="E87" s="245">
        <f>IF($E$1="","",SUMIFS(Sales!$C$2:$C$78141,Sales!$D$2:$D$78141,YEAR(Config!$C$8)+1,Sales!$A$2:$A$78141,"Japan"))</f>
        <v>930</v>
      </c>
      <c r="F87" s="245">
        <f>IF($F$1="","",SUMIFS(Sales!$C$2:$C$78141,Sales!$D$2:$D$78141,YEAR(Config!$C$8)+2,Sales!$A$2:$A$78141,"Japan"))</f>
        <v>470</v>
      </c>
      <c r="G87" s="245">
        <f>IF($G$1="","",SUMIFS(Sales!$C$2:$C$78141,Sales!$D$2:$D$78141,YEAR(Config!$C$8)+3,Sales!$A$2:$A$78141,"Japan"))</f>
        <v>145</v>
      </c>
      <c r="H87" s="245"/>
    </row>
    <row r="88" spans="1:8" ht="13.15" hidden="1" x14ac:dyDescent="0.4">
      <c r="A88" s="11"/>
      <c r="B88" s="247" t="s">
        <v>1425</v>
      </c>
      <c r="C88" s="247" t="str" cm="1">
        <f t="array" ref="C88">IF($C$1="","",SUMPRODUCT((Sales!$D$2:$D$78141&gt;=YEAR(Config!$C$11))*(Sales!$D$2:$D$78141&lt;=YEAR(Config!$C$12))*(Sales!$A$2:$A$78141="England")*Sales!$C$2:$C$78141)+SUMPRODUCT((Sales!$D$2:$D$78141&gt;=YEAR(Config!$C$11))*(Sales!$D$2:$D$78141&lt;=YEAR(Config!$C$12))*(Sales!$A$2:$A$78141="Scotland")*Sales!$C$2:$C$78141)+SUMPRODUCT((Sales!$D$2:$D$78141&gt;=YEAR(Config!$C$11))*(Sales!$D$2:$D$78141&lt;=YEAR(Config!$C$12))*(Sales!$A$2:$A$78141="Wales")*Sales!$C$2:$C$78141)+SUMPRODUCT((Sales!$D$2:$D$78141&gt;=YEAR(Config!$C$11))*(Sales!$D$2:$D$78141&lt;=YEAR(Config!$C$12))*(Sales!$A$2:$A$78141="United Kingdom")*Sales!$C$2:$C$78141))</f>
        <v/>
      </c>
      <c r="D88" s="247">
        <f>IF($D$1="","",SUMIFS(Sales!$C$2:$C$78141,Sales!$D$2:$D$78141,YEAR(Config!$C$8),Sales!$A$2:$A$78141,"England")+SUMIFS(Sales!$C$2:$C$78141,Sales!$D$2:$D$78141,YEAR(Config!$C$8),Sales!$A$2:$A$78141,"Scotland")+SUMIFS(Sales!$C$2:$C$78141,Sales!$D$2:$D$78141,YEAR(Config!$C$8),Sales!$A$2:$A$78141,"Wales")+SUMIFS(Sales!$C$2:$C$78141,Sales!$D$2:$D$78141,YEAR(Config!$C$8),Sales!$A$2:$A$78141,"United Kingdom"))</f>
        <v>0</v>
      </c>
      <c r="E88" s="247">
        <f>IF($E$1="","",SUMIFS(Sales!$C$2:$C$78141,Sales!$D$2:$D$78141,YEAR(Config!$C$8)+1,Sales!$A$2:$A$78141,"England")+SUMIFS(Sales!$C$2:$C$78141,Sales!$D$2:$D$78141,YEAR(Config!$C$8)+1,Sales!$A$2:$A$78141,"Scotland")+SUMIFS(Sales!$C$2:$C$78141,Sales!$D$2:$D$78141,YEAR(Config!$C$8)+1,Sales!$A$2:$A$78141,"Wales")+SUMIFS(Sales!$C$2:$C$78141,Sales!$D$2:$D$78141,YEAR(Config!$C$8)+1,Sales!$A$2:$A$78141,"United Kingdom"))</f>
        <v>0</v>
      </c>
      <c r="F88" s="247">
        <f>IF($F$1="","",SUMIFS(Sales!$C$2:$C$78141,Sales!$D$2:$D$78141,YEAR(Config!$C$8)+2,Sales!$A$2:$A$78141,"England")+SUMIFS(Sales!$C$2:$C$78141,Sales!$D$2:$D$78141,YEAR(Config!$C$8)+2,Sales!$A$2:$A$78141,"Scotland")+SUMIFS(Sales!$C$2:$C$78141,Sales!$D$2:$D$78141,YEAR(Config!$C$8)+2,Sales!$A$2:$A$78141,"Wales")+SUMIFS(Sales!$C$2:$C$78141,Sales!$D$2:$D$78141,YEAR(Config!$C$8)+2,Sales!$A$2:$A$78141,"United Kingdom"))</f>
        <v>0</v>
      </c>
      <c r="G88" s="247">
        <f>IF($G$1="","",SUMIFS(Sales!$C$2:$C$78141,Sales!$D$2:$D$78141,YEAR(Config!$C$8)+3,Sales!$A$2:$A$78141,"England")+SUMIFS(Sales!$C$2:$C$78141,Sales!$D$2:$D$78141,YEAR(Config!$C$8)+3,Sales!$A$2:$A$78141,"Scotland")+SUMIFS(Sales!$C$2:$C$78141,Sales!$D$2:$D$78141,YEAR(Config!$C$8)+3,Sales!$A$2:$A$78141,"Wales")+SUMIFS(Sales!$C$2:$C$78141,Sales!$D$2:$D$78141,YEAR(Config!$C$8)+3,Sales!$A$2:$A$78141,"United Kingdom"))</f>
        <v>0</v>
      </c>
      <c r="H88" s="247"/>
    </row>
    <row r="89" spans="1:8" ht="13.15" hidden="1" x14ac:dyDescent="0.4">
      <c r="A89" s="11"/>
      <c r="B89" s="245" t="s">
        <v>1316</v>
      </c>
      <c r="C89" s="245" t="str" cm="1">
        <f t="array" ref="C89">IF($C$1="","",SUMPRODUCT((Sales!$D$2:$D$78141&gt;=YEAR(Config!$C$11))*(Sales!$D$2:$D$78141&lt;=YEAR(Config!$C$12))*(Sales!$A$2:$A$78141="United States of America")*Sales!$C$2:$C$78141))</f>
        <v/>
      </c>
      <c r="D89" s="245">
        <f>IF($D$1="","",SUMIFS(Sales!$C$2:$C$78141,Sales!$D$2:$D$78141,YEAR(Config!$C$8),Sales!$A$2:$A$78141,"United States of America"))</f>
        <v>3945</v>
      </c>
      <c r="E89" s="245">
        <f>IF($E$1="","",SUMIFS(Sales!$C$2:$C$78141,Sales!$D$2:$D$78141,YEAR(Config!$C$8)+1,Sales!$A$2:$A$78141,"United States of America"))</f>
        <v>9311</v>
      </c>
      <c r="F89" s="245">
        <f>IF($F$1="","",SUMIFS(Sales!$C$2:$C$78141,Sales!$D$2:$D$78141,YEAR(Config!$C$8)+2,Sales!$A$2:$A$78141,"United States of America"))</f>
        <v>8730</v>
      </c>
      <c r="G89" s="245">
        <f>IF($G$1="","",SUMIFS(Sales!$C$2:$C$78141,Sales!$D$2:$D$78141,YEAR(Config!$C$8)+3,Sales!$A$2:$A$78141,"United States of America"))</f>
        <v>4053</v>
      </c>
      <c r="H89" s="245"/>
    </row>
    <row r="90" spans="1:8" ht="13.15" hidden="1" x14ac:dyDescent="0.4">
      <c r="A90" s="11"/>
      <c r="B90" s="247" t="s">
        <v>1340</v>
      </c>
      <c r="C90" s="247"/>
      <c r="D90" s="247"/>
      <c r="E90" s="247"/>
      <c r="F90" s="247"/>
      <c r="G90" s="247"/>
      <c r="H90" s="247"/>
    </row>
    <row r="91" spans="1:8" ht="13.15" hidden="1" x14ac:dyDescent="0.4">
      <c r="A91" s="11"/>
      <c r="B91" s="245" t="s">
        <v>1427</v>
      </c>
      <c r="C91" s="245" t="str">
        <f>IF($C$1="","",C92-SUM(C82:C84,C85:C89))</f>
        <v/>
      </c>
      <c r="D91" s="245">
        <f>IF($D$1="","",D92-SUM(D82:D84,D85:D89))</f>
        <v>3432</v>
      </c>
      <c r="E91" s="245">
        <f>IF($E$1="","",E92-SUM(E82:E84,E85:E89))</f>
        <v>7846</v>
      </c>
      <c r="F91" s="245">
        <f>IF($F$1="","",F92-SUM(F82:F84,F85:F89))</f>
        <v>9096</v>
      </c>
      <c r="G91" s="245">
        <f>IF($G$1="","",G92-SUM(G82:G84,G85:G89))</f>
        <v>4468</v>
      </c>
      <c r="H91" s="245"/>
    </row>
    <row r="92" spans="1:8" ht="13.15" hidden="1" x14ac:dyDescent="0.4">
      <c r="A92" s="11"/>
      <c r="B92" s="247" t="s">
        <v>1317</v>
      </c>
      <c r="C92" s="247" t="str" cm="1">
        <f t="array" ref="C92">IF($C$1="","",SUMPRODUCT((Sales!$D$2:$D$78141&gt;=YEAR(Config!$C$11))*(Sales!$D$2:$D$78141&lt;=YEAR(Config!$C$12))*Sales!$C$2:$C$78141))</f>
        <v/>
      </c>
      <c r="D92" s="247">
        <f>IF($D$1="","",SUMIFS(Sales!$C$2:$C$78141,Sales!$D$2:$D$78141,YEAR(Config!$C$8)))</f>
        <v>8885</v>
      </c>
      <c r="E92" s="247">
        <f>IF($E$1="","",SUMIFS(Sales!$C$2:$C$78141,Sales!$D$2:$D$78141,YEAR(Config!$C$8)+1))</f>
        <v>20376</v>
      </c>
      <c r="F92" s="247">
        <f>IF($F$1="","",SUMIFS(Sales!$C$2:$C$78141,Sales!$D$2:$D$78141,YEAR(Config!$C$8)+2))</f>
        <v>21203</v>
      </c>
      <c r="G92" s="247">
        <f>IF($G$1="","",SUMIFS(Sales!$C$2:$C$78141,Sales!$D$2:$D$78141,YEAR(Config!$C$8)+3))</f>
        <v>10012</v>
      </c>
      <c r="H92" s="247"/>
    </row>
  </sheetData>
  <sheetProtection sheet="1" objects="1" scenarios="1"/>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A3345-FA82-4992-9183-A4F6EFC3F13A}">
  <sheetPr>
    <tabColor rgb="FFA78BFA"/>
  </sheetPr>
  <dimension ref="A1:AZ200"/>
  <sheetViews>
    <sheetView showGridLines="0" topLeftCell="B1" zoomScale="130" zoomScaleNormal="130" workbookViewId="0">
      <pane ySplit="4" topLeftCell="A5" activePane="bottomLeft" state="frozen"/>
      <selection pane="bottomLeft" activeCell="O32" sqref="O32"/>
    </sheetView>
  </sheetViews>
  <sheetFormatPr defaultRowHeight="12.75" x14ac:dyDescent="0.35"/>
  <cols>
    <col min="1" max="1" width="2.86328125" customWidth="1"/>
    <col min="2" max="2" width="4.1328125" customWidth="1"/>
    <col min="3" max="6" width="16.1328125" customWidth="1"/>
    <col min="7" max="7" width="2.86328125" customWidth="1"/>
    <col min="8" max="11" width="16.1328125" customWidth="1"/>
    <col min="12" max="12" width="2.86328125" customWidth="1"/>
    <col min="13" max="15" width="16.1328125" customWidth="1"/>
    <col min="16" max="16" width="2.86328125" customWidth="1"/>
  </cols>
  <sheetData>
    <row r="1" spans="1:52" ht="8.1" customHeight="1" x14ac:dyDescent="0.4">
      <c r="A1" s="250"/>
      <c r="B1" s="250"/>
      <c r="C1" s="250"/>
      <c r="D1" s="250"/>
      <c r="E1" s="250"/>
      <c r="F1" s="250"/>
      <c r="G1" s="250"/>
      <c r="H1" s="250"/>
      <c r="I1" s="250"/>
      <c r="J1" s="250"/>
      <c r="K1" s="250"/>
      <c r="L1" s="250"/>
      <c r="M1" s="250"/>
      <c r="N1" s="250"/>
      <c r="O1" s="250"/>
      <c r="P1" s="250"/>
      <c r="Q1" s="250"/>
      <c r="R1" s="250"/>
      <c r="S1" s="250"/>
      <c r="T1" s="250"/>
      <c r="U1" s="250"/>
      <c r="V1" s="250"/>
      <c r="W1" s="250"/>
      <c r="X1" s="250"/>
      <c r="Y1" s="250"/>
      <c r="Z1" s="250"/>
      <c r="AA1" s="250"/>
      <c r="AB1" s="250"/>
      <c r="AC1" s="250"/>
      <c r="AD1" s="250"/>
      <c r="AE1" s="250"/>
      <c r="AF1" s="250"/>
      <c r="AG1" s="250"/>
      <c r="AH1" s="250"/>
      <c r="AI1" s="250"/>
      <c r="AJ1" s="250"/>
      <c r="AK1" s="250"/>
      <c r="AL1" s="250"/>
      <c r="AM1" s="250"/>
      <c r="AN1" s="250"/>
      <c r="AO1" s="250"/>
      <c r="AP1" s="250"/>
      <c r="AQ1" s="250"/>
      <c r="AR1" s="250"/>
      <c r="AS1" s="250"/>
      <c r="AT1" s="250"/>
      <c r="AU1" s="250"/>
      <c r="AV1" s="250"/>
      <c r="AW1" s="250"/>
      <c r="AX1" s="250"/>
      <c r="AY1" s="250"/>
      <c r="AZ1" s="250"/>
    </row>
    <row r="2" spans="1:52" ht="45" customHeight="1" x14ac:dyDescent="0.9">
      <c r="A2" s="250"/>
      <c r="B2" s="486" t="s">
        <v>1545</v>
      </c>
      <c r="C2" s="486"/>
      <c r="D2" s="486"/>
      <c r="E2" s="486"/>
      <c r="F2" s="486"/>
      <c r="G2" s="486"/>
      <c r="H2" s="486"/>
      <c r="I2" s="486"/>
      <c r="J2" s="486"/>
      <c r="K2" s="486"/>
      <c r="L2" s="486"/>
      <c r="M2" s="486"/>
      <c r="N2" s="486"/>
      <c r="O2" s="250"/>
      <c r="P2" s="250"/>
      <c r="Q2" s="250"/>
      <c r="R2" s="250"/>
      <c r="S2" s="250"/>
      <c r="T2" s="250"/>
      <c r="U2" s="250"/>
      <c r="V2" s="250"/>
      <c r="W2" s="250"/>
      <c r="X2" s="250"/>
      <c r="Y2" s="250"/>
      <c r="Z2" s="250"/>
      <c r="AA2" s="250"/>
      <c r="AB2" s="250"/>
      <c r="AC2" s="250"/>
      <c r="AD2" s="250"/>
      <c r="AE2" s="250"/>
      <c r="AF2" s="250"/>
      <c r="AG2" s="250"/>
      <c r="AH2" s="250"/>
      <c r="AI2" s="250"/>
      <c r="AJ2" s="250"/>
      <c r="AK2" s="250"/>
      <c r="AL2" s="250"/>
      <c r="AM2" s="250"/>
      <c r="AN2" s="250"/>
      <c r="AO2" s="250"/>
      <c r="AP2" s="250"/>
      <c r="AQ2" s="250"/>
      <c r="AR2" s="250"/>
      <c r="AS2" s="250"/>
      <c r="AT2" s="250"/>
      <c r="AU2" s="250"/>
      <c r="AV2" s="250"/>
      <c r="AW2" s="250"/>
      <c r="AX2" s="250"/>
      <c r="AY2" s="250"/>
      <c r="AZ2" s="250"/>
    </row>
    <row r="3" spans="1:52" ht="21.95" customHeight="1" thickBot="1" x14ac:dyDescent="0.5">
      <c r="A3" s="250"/>
      <c r="B3" s="487" t="s">
        <v>1546</v>
      </c>
      <c r="C3" s="487"/>
      <c r="D3" s="487"/>
      <c r="E3" s="487"/>
      <c r="F3" s="487"/>
      <c r="G3" s="487"/>
      <c r="H3" s="487"/>
      <c r="I3" s="487"/>
      <c r="J3" s="487"/>
      <c r="K3" s="487"/>
      <c r="L3" s="487"/>
      <c r="M3" s="487"/>
      <c r="N3" s="487"/>
      <c r="O3" s="250"/>
      <c r="P3" s="250"/>
      <c r="Q3" s="250"/>
      <c r="R3" s="250"/>
      <c r="S3" s="250"/>
      <c r="T3" s="250"/>
      <c r="U3" s="250"/>
      <c r="V3" s="250"/>
      <c r="W3" s="250"/>
      <c r="X3" s="250"/>
      <c r="Y3" s="250"/>
      <c r="Z3" s="250"/>
      <c r="AA3" s="250"/>
      <c r="AB3" s="250"/>
      <c r="AC3" s="250"/>
      <c r="AD3" s="250"/>
      <c r="AE3" s="250"/>
      <c r="AF3" s="250"/>
      <c r="AG3" s="250"/>
      <c r="AH3" s="250"/>
      <c r="AI3" s="250"/>
      <c r="AJ3" s="250"/>
      <c r="AK3" s="250"/>
      <c r="AL3" s="250"/>
      <c r="AM3" s="250"/>
      <c r="AN3" s="250"/>
      <c r="AO3" s="250"/>
      <c r="AP3" s="250"/>
      <c r="AQ3" s="250"/>
      <c r="AR3" s="250"/>
      <c r="AS3" s="250"/>
      <c r="AT3" s="250"/>
      <c r="AU3" s="250"/>
      <c r="AV3" s="250"/>
      <c r="AW3" s="250"/>
      <c r="AX3" s="250"/>
      <c r="AY3" s="250"/>
      <c r="AZ3" s="250"/>
    </row>
    <row r="4" spans="1:52" ht="12" customHeight="1" thickTop="1" thickBot="1" x14ac:dyDescent="0.45">
      <c r="A4" s="250"/>
      <c r="B4" s="251"/>
      <c r="C4" s="251"/>
      <c r="D4" s="251"/>
      <c r="E4" s="251"/>
      <c r="F4" s="251"/>
      <c r="G4" s="251"/>
      <c r="H4" s="251"/>
      <c r="I4" s="251"/>
      <c r="J4" s="251"/>
      <c r="K4" s="251"/>
      <c r="L4" s="251"/>
      <c r="M4" s="251"/>
      <c r="N4" s="251"/>
      <c r="O4" s="251"/>
      <c r="P4" s="250"/>
      <c r="Q4" s="250"/>
      <c r="R4" s="250"/>
      <c r="S4" s="250"/>
      <c r="T4" s="250"/>
      <c r="U4" s="250"/>
      <c r="V4" s="250"/>
      <c r="W4" s="250"/>
      <c r="X4" s="250"/>
      <c r="Y4" s="250"/>
      <c r="Z4" s="250"/>
      <c r="AA4" s="250"/>
      <c r="AB4" s="250"/>
      <c r="AC4" s="250"/>
      <c r="AD4" s="250"/>
      <c r="AE4" s="250"/>
      <c r="AF4" s="250"/>
      <c r="AG4" s="250"/>
      <c r="AH4" s="250"/>
      <c r="AI4" s="250"/>
      <c r="AJ4" s="250"/>
      <c r="AK4" s="250"/>
      <c r="AL4" s="250"/>
      <c r="AM4" s="250"/>
      <c r="AN4" s="250"/>
      <c r="AO4" s="250"/>
      <c r="AP4" s="250"/>
      <c r="AQ4" s="250"/>
      <c r="AR4" s="250"/>
      <c r="AS4" s="250"/>
      <c r="AT4" s="250"/>
      <c r="AU4" s="250"/>
      <c r="AV4" s="250"/>
      <c r="AW4" s="250"/>
      <c r="AX4" s="250"/>
      <c r="AY4" s="250"/>
      <c r="AZ4" s="250"/>
    </row>
    <row r="5" spans="1:52" ht="15.95" customHeight="1" thickTop="1" x14ac:dyDescent="0.4">
      <c r="A5" s="250"/>
      <c r="B5" s="250"/>
      <c r="C5" s="488" t="s">
        <v>1478</v>
      </c>
      <c r="D5" s="489"/>
      <c r="E5" s="488" t="s">
        <v>1479</v>
      </c>
      <c r="F5" s="493"/>
      <c r="G5" s="250"/>
      <c r="H5" s="488" t="s">
        <v>1480</v>
      </c>
      <c r="I5" s="489"/>
      <c r="J5" s="488" t="s">
        <v>1481</v>
      </c>
      <c r="K5" s="493"/>
      <c r="L5" s="250"/>
      <c r="M5" s="488" t="s">
        <v>1482</v>
      </c>
      <c r="N5" s="493"/>
      <c r="O5" s="250"/>
      <c r="P5" s="250"/>
      <c r="Q5" s="250"/>
      <c r="R5" s="250"/>
      <c r="S5" s="250"/>
      <c r="T5" s="250"/>
      <c r="U5" s="250"/>
      <c r="V5" s="250"/>
      <c r="W5" s="250"/>
      <c r="X5" s="250"/>
      <c r="Y5" s="250"/>
      <c r="Z5" s="250"/>
      <c r="AA5" s="250"/>
      <c r="AB5" s="250"/>
      <c r="AC5" s="250"/>
      <c r="AD5" s="250"/>
      <c r="AE5" s="250"/>
      <c r="AF5" s="250"/>
      <c r="AG5" s="250"/>
      <c r="AH5" s="250"/>
      <c r="AI5" s="250"/>
      <c r="AJ5" s="250"/>
      <c r="AK5" s="250"/>
      <c r="AL5" s="250"/>
      <c r="AM5" s="250"/>
      <c r="AN5" s="250"/>
      <c r="AO5" s="250"/>
      <c r="AP5" s="250"/>
      <c r="AQ5" s="250"/>
      <c r="AR5" s="250"/>
      <c r="AS5" s="250"/>
      <c r="AT5" s="250"/>
      <c r="AU5" s="250"/>
      <c r="AV5" s="250"/>
      <c r="AW5" s="250"/>
      <c r="AX5" s="250"/>
      <c r="AY5" s="250"/>
      <c r="AZ5" s="250"/>
    </row>
    <row r="6" spans="1:52" ht="50.1" customHeight="1" x14ac:dyDescent="1.25">
      <c r="A6" s="250"/>
      <c r="B6" s="250"/>
      <c r="C6" s="490">
        <f>COUNTIFS(complaints!B$2:B$928,"&gt;="&amp;Config!C8,complaints!B$2:B$928,"&lt;="&amp;Config!C9,complaints!B$2:B$928,"&lt;&gt;"&amp;"")</f>
        <v>16</v>
      </c>
      <c r="D6" s="491"/>
      <c r="E6" s="494">
        <f>SUM('Complaint Rate'!C2:C46)</f>
        <v>60476</v>
      </c>
      <c r="F6" s="495"/>
      <c r="G6" s="250"/>
      <c r="H6" s="496">
        <f>IF(E6=0,0,C6/E6)</f>
        <v>2.6456776241814934E-4</v>
      </c>
      <c r="I6" s="497"/>
      <c r="J6" s="498">
        <f>IFERROR(AVERAGEIF('Complaint Rate'!D2:D46,"&lt;&gt;"),0)</f>
        <v>2.7619980261771912E-4</v>
      </c>
      <c r="K6" s="499"/>
      <c r="L6" s="250"/>
      <c r="M6" s="502" t="str">
        <f>IF(C6=0,"-",C11)</f>
        <v>UNKNOWN - colorph</v>
      </c>
      <c r="N6" s="503"/>
      <c r="O6" s="250"/>
      <c r="P6" s="250"/>
      <c r="Q6" s="250"/>
      <c r="R6" s="250"/>
      <c r="S6" s="250"/>
      <c r="T6" s="250"/>
      <c r="U6" s="250"/>
      <c r="V6" s="250"/>
      <c r="W6" s="250"/>
      <c r="X6" s="250"/>
      <c r="Y6" s="250"/>
      <c r="Z6" s="250"/>
      <c r="AA6" s="250"/>
      <c r="AB6" s="250"/>
      <c r="AC6" s="250"/>
      <c r="AD6" s="250"/>
      <c r="AE6" s="250"/>
      <c r="AF6" s="250"/>
      <c r="AG6" s="250"/>
      <c r="AH6" s="250"/>
      <c r="AI6" s="250"/>
      <c r="AJ6" s="250"/>
      <c r="AK6" s="250"/>
      <c r="AL6" s="250"/>
      <c r="AM6" s="250"/>
      <c r="AN6" s="250"/>
      <c r="AO6" s="250"/>
      <c r="AP6" s="250"/>
      <c r="AQ6" s="250"/>
      <c r="AR6" s="250"/>
      <c r="AS6" s="250"/>
      <c r="AT6" s="250"/>
      <c r="AU6" s="250"/>
      <c r="AV6" s="250"/>
      <c r="AW6" s="250"/>
      <c r="AX6" s="250"/>
      <c r="AY6" s="250"/>
      <c r="AZ6" s="250"/>
    </row>
    <row r="7" spans="1:52" ht="20.100000000000001" customHeight="1" x14ac:dyDescent="0.4">
      <c r="A7" s="250"/>
      <c r="B7" s="250"/>
      <c r="C7" s="466" t="str">
        <f>IF(Config!C8="","","Surveillance Period")</f>
        <v>Surveillance Period</v>
      </c>
      <c r="D7" s="492"/>
      <c r="E7" s="466" t="str">
        <f>IF(Config!C8="","",DATEDIF(Config!C8,Config!C9,"M")+1&amp;" Months Cumulative")</f>
        <v>36 Months Cumulative</v>
      </c>
      <c r="F7" s="467"/>
      <c r="G7" s="250"/>
      <c r="H7" s="466" t="s">
        <v>1483</v>
      </c>
      <c r="I7" s="492"/>
      <c r="J7" s="500" t="str">
        <f>IF(J6=0,"-",IF(H6&lt;=IFERROR(AVERAGEIF('Complaint Rate'!F2:F46,"&lt;&gt;"),0),"Within UCL ✓","ABOVE UCL ⚠"))</f>
        <v>Within UCL ✓</v>
      </c>
      <c r="K7" s="501"/>
      <c r="L7" s="250"/>
      <c r="M7" s="466" t="str">
        <f>IF(C6=0,"No complaints",D11&amp;" of "&amp;C6&amp;" complaints ("&amp;TEXT(E11,"0%")&amp;")")</f>
        <v>9 of 16 complaints (56%)</v>
      </c>
      <c r="N7" s="467"/>
      <c r="O7" s="250"/>
      <c r="P7" s="250"/>
      <c r="Q7" s="250"/>
      <c r="R7" s="250"/>
      <c r="S7" s="250"/>
      <c r="T7" s="250"/>
      <c r="U7" s="250"/>
      <c r="V7" s="250"/>
      <c r="W7" s="250"/>
      <c r="X7" s="250"/>
      <c r="Y7" s="250"/>
      <c r="Z7" s="250"/>
      <c r="AA7" s="250"/>
      <c r="AB7" s="250"/>
      <c r="AC7" s="250"/>
      <c r="AD7" s="250"/>
      <c r="AE7" s="250"/>
      <c r="AF7" s="250"/>
      <c r="AG7" s="250"/>
      <c r="AH7" s="250"/>
      <c r="AI7" s="250"/>
      <c r="AJ7" s="250"/>
      <c r="AK7" s="250"/>
      <c r="AL7" s="250"/>
      <c r="AM7" s="250"/>
      <c r="AN7" s="250"/>
      <c r="AO7" s="250"/>
      <c r="AP7" s="250"/>
      <c r="AQ7" s="250"/>
      <c r="AR7" s="250"/>
      <c r="AS7" s="250"/>
      <c r="AT7" s="250"/>
      <c r="AU7" s="250"/>
      <c r="AV7" s="250"/>
      <c r="AW7" s="250"/>
      <c r="AX7" s="250"/>
      <c r="AY7" s="250"/>
      <c r="AZ7" s="250"/>
    </row>
    <row r="8" spans="1:52" ht="8.1" customHeight="1" x14ac:dyDescent="0.4">
      <c r="A8" s="250"/>
      <c r="B8" s="250"/>
      <c r="C8" s="250"/>
      <c r="D8" s="250"/>
      <c r="E8" s="250"/>
      <c r="F8" s="250"/>
      <c r="G8" s="250"/>
      <c r="H8" s="250"/>
      <c r="I8" s="250"/>
      <c r="J8" s="250"/>
      <c r="K8" s="250"/>
      <c r="L8" s="250"/>
      <c r="M8" s="250"/>
      <c r="N8" s="250"/>
      <c r="O8" s="250"/>
      <c r="P8" s="250"/>
      <c r="Q8" s="250"/>
      <c r="R8" s="250"/>
      <c r="S8" s="250"/>
      <c r="T8" s="250"/>
      <c r="U8" s="250"/>
      <c r="V8" s="250"/>
      <c r="W8" s="250"/>
      <c r="X8" s="250"/>
      <c r="Y8" s="250"/>
      <c r="Z8" s="250"/>
      <c r="AA8" s="250"/>
      <c r="AB8" s="250"/>
      <c r="AC8" s="250"/>
      <c r="AD8" s="250"/>
      <c r="AE8" s="250"/>
      <c r="AF8" s="250"/>
      <c r="AG8" s="250"/>
      <c r="AH8" s="250"/>
      <c r="AI8" s="250"/>
      <c r="AJ8" s="250"/>
      <c r="AK8" s="250"/>
      <c r="AL8" s="250"/>
      <c r="AM8" s="250"/>
      <c r="AN8" s="250"/>
      <c r="AO8" s="250"/>
      <c r="AP8" s="250"/>
      <c r="AQ8" s="250"/>
      <c r="AR8" s="250"/>
      <c r="AS8" s="250"/>
      <c r="AT8" s="250"/>
      <c r="AU8" s="250"/>
      <c r="AV8" s="250"/>
      <c r="AW8" s="250"/>
      <c r="AX8" s="250"/>
      <c r="AY8" s="250"/>
      <c r="AZ8" s="250"/>
    </row>
    <row r="9" spans="1:52" ht="30" customHeight="1" thickBot="1" x14ac:dyDescent="0.45">
      <c r="A9" s="250"/>
      <c r="B9" s="250"/>
      <c r="C9" s="477" t="s">
        <v>1484</v>
      </c>
      <c r="D9" s="474"/>
      <c r="E9" s="474"/>
      <c r="F9" s="474"/>
      <c r="G9" s="252"/>
      <c r="H9" s="478" t="s">
        <v>1485</v>
      </c>
      <c r="I9" s="479"/>
      <c r="J9" s="479"/>
      <c r="K9" s="479"/>
      <c r="L9" s="253"/>
      <c r="M9" s="480" t="s">
        <v>1486</v>
      </c>
      <c r="N9" s="469"/>
      <c r="O9" s="469"/>
      <c r="P9" s="253"/>
      <c r="Q9" s="250"/>
      <c r="R9" s="250"/>
      <c r="S9" s="250"/>
      <c r="T9" s="250"/>
      <c r="U9" s="250"/>
      <c r="V9" s="250"/>
      <c r="W9" s="250"/>
      <c r="X9" s="250"/>
      <c r="Y9" s="250"/>
      <c r="Z9" s="250"/>
      <c r="AA9" s="250"/>
      <c r="AB9" s="250"/>
      <c r="AC9" s="250"/>
      <c r="AD9" s="250"/>
      <c r="AE9" s="250"/>
      <c r="AF9" s="250"/>
      <c r="AG9" s="250"/>
      <c r="AH9" s="250"/>
      <c r="AI9" s="250"/>
      <c r="AJ9" s="250"/>
      <c r="AK9" s="250"/>
      <c r="AL9" s="250"/>
      <c r="AM9" s="250"/>
      <c r="AN9" s="250"/>
      <c r="AO9" s="250"/>
      <c r="AP9" s="250"/>
      <c r="AQ9" s="250"/>
      <c r="AR9" s="250"/>
      <c r="AS9" s="250"/>
      <c r="AT9" s="250"/>
      <c r="AU9" s="250"/>
      <c r="AV9" s="250"/>
      <c r="AW9" s="250"/>
      <c r="AX9" s="250"/>
      <c r="AY9" s="250"/>
      <c r="AZ9" s="250"/>
    </row>
    <row r="10" spans="1:52" ht="13.15" x14ac:dyDescent="0.4">
      <c r="A10" s="250"/>
      <c r="B10" s="250"/>
      <c r="C10" s="254" t="s">
        <v>1487</v>
      </c>
      <c r="D10" s="255" t="s">
        <v>1488</v>
      </c>
      <c r="E10" s="255" t="s">
        <v>1489</v>
      </c>
      <c r="F10" s="255" t="s">
        <v>1490</v>
      </c>
      <c r="G10" s="252"/>
      <c r="H10" s="256" t="s">
        <v>69</v>
      </c>
      <c r="I10" s="255" t="s">
        <v>1319</v>
      </c>
      <c r="J10" s="255" t="s">
        <v>1318</v>
      </c>
      <c r="K10" s="255" t="s">
        <v>1496</v>
      </c>
      <c r="L10" s="253"/>
      <c r="M10" s="256" t="s">
        <v>1314</v>
      </c>
      <c r="N10" s="255" t="s">
        <v>1497</v>
      </c>
      <c r="O10" s="255" t="s">
        <v>1489</v>
      </c>
      <c r="P10" s="253"/>
      <c r="Q10" s="250"/>
      <c r="R10" s="250"/>
      <c r="S10" s="250"/>
      <c r="T10" s="250"/>
      <c r="U10" s="250"/>
      <c r="V10" s="250"/>
      <c r="W10" s="250"/>
      <c r="X10" s="250"/>
      <c r="Y10" s="250"/>
      <c r="Z10" s="250"/>
      <c r="AA10" s="250"/>
      <c r="AB10" s="250"/>
      <c r="AC10" s="250"/>
      <c r="AD10" s="250"/>
      <c r="AE10" s="250"/>
      <c r="AF10" s="250"/>
      <c r="AG10" s="250"/>
      <c r="AH10" s="250"/>
      <c r="AI10" s="250"/>
      <c r="AJ10" s="250"/>
      <c r="AK10" s="250"/>
      <c r="AL10" s="250"/>
      <c r="AM10" s="250"/>
      <c r="AN10" s="250"/>
      <c r="AO10" s="250"/>
      <c r="AP10" s="250"/>
      <c r="AQ10" s="250"/>
      <c r="AR10" s="250"/>
      <c r="AS10" s="250"/>
      <c r="AT10" s="250"/>
      <c r="AU10" s="250"/>
      <c r="AV10" s="250"/>
      <c r="AW10" s="250"/>
      <c r="AX10" s="250"/>
      <c r="AY10" s="250"/>
      <c r="AZ10" s="250"/>
    </row>
    <row r="11" spans="1:52" ht="13.15" x14ac:dyDescent="0.4">
      <c r="A11" s="250"/>
      <c r="B11" s="250"/>
      <c r="C11" s="257" t="str" cm="1">
        <f t="array" ref="C11">IFERROR(INDEX(_xlfn.SORTBY(_xlfn.UNIQUE(_xlfn._xlws.FILTER(complaints!E2:E928,complaints!E2:E928&lt;&gt;"")),COUNTIF(complaints!E2:E928,_xlfn.UNIQUE(_xlfn._xlws.FILTER(complaints!E2:E928,complaints!E2:E928&lt;&gt;""))),-1),1),"")</f>
        <v>UNKNOWN - colorph</v>
      </c>
      <c r="D11" s="258">
        <f>IF(C11="","",COUNTIF(complaints!E$2:E$928,C11))</f>
        <v>9</v>
      </c>
      <c r="E11" s="259">
        <f t="shared" ref="E11:E16" si="0">IF(D11="","",IF($D$17=0,0,D11/$D$17))</f>
        <v>0.5625</v>
      </c>
      <c r="F11" s="260" t="str">
        <f t="shared" ref="F11:F16" si="1">IF(D11="","",REPT(_xlfn.UNICHAR(9608),MIN(D11,10)))</f>
        <v>█████████</v>
      </c>
      <c r="G11" s="252"/>
      <c r="H11" s="261">
        <f>'Complaint Rate'!A2</f>
        <v>44743</v>
      </c>
      <c r="I11" s="262">
        <f>IFERROR('Complaint Rate'!B2,0)</f>
        <v>0</v>
      </c>
      <c r="J11" s="263">
        <f>IFERROR('Complaint Rate'!C2,0)</f>
        <v>1569</v>
      </c>
      <c r="K11" s="264">
        <f>IFERROR('Complaint Rate'!D2,0)</f>
        <v>0</v>
      </c>
      <c r="L11" s="253"/>
      <c r="M11" s="265" t="s">
        <v>1498</v>
      </c>
      <c r="N11" s="266">
        <f>IFERROR('sales tables'!D89+'sales tables'!E89,0)</f>
        <v>13256</v>
      </c>
      <c r="O11" s="267">
        <f>IF($N$16=0,0,N11/$N$16)</f>
        <v>0.48229943605603054</v>
      </c>
      <c r="P11" s="253"/>
      <c r="Q11" s="250"/>
      <c r="R11" s="250"/>
      <c r="S11" s="250"/>
      <c r="T11" s="250"/>
      <c r="U11" s="250"/>
      <c r="V11" s="250"/>
      <c r="W11" s="250"/>
      <c r="X11" s="250"/>
      <c r="Y11" s="250"/>
      <c r="Z11" s="250"/>
      <c r="AA11" s="250"/>
      <c r="AB11" s="250"/>
      <c r="AC11" s="250"/>
      <c r="AD11" s="250"/>
      <c r="AE11" s="250"/>
      <c r="AF11" s="250"/>
      <c r="AG11" s="250"/>
      <c r="AH11" s="250"/>
      <c r="AI11" s="250"/>
      <c r="AJ11" s="250"/>
      <c r="AK11" s="250"/>
      <c r="AL11" s="250"/>
      <c r="AM11" s="250"/>
      <c r="AN11" s="250"/>
      <c r="AO11" s="250"/>
      <c r="AP11" s="250"/>
      <c r="AQ11" s="250"/>
      <c r="AR11" s="250"/>
      <c r="AS11" s="250"/>
      <c r="AT11" s="250"/>
      <c r="AU11" s="250"/>
      <c r="AV11" s="250"/>
      <c r="AW11" s="250"/>
      <c r="AX11" s="250"/>
      <c r="AY11" s="250"/>
      <c r="AZ11" s="250"/>
    </row>
    <row r="12" spans="1:52" ht="13.15" x14ac:dyDescent="0.4">
      <c r="A12" s="250"/>
      <c r="B12" s="250"/>
      <c r="C12" s="268" t="str" cm="1">
        <f t="array" ref="C12">IFERROR(INDEX(_xlfn.SORTBY(_xlfn.UNIQUE(_xlfn._xlws.FILTER(complaints!E2:E928,complaints!E2:E928&lt;&gt;"")),COUNTIF(complaints!E2:E928,_xlfn.UNIQUE(_xlfn._xlws.FILTER(complaints!E2:E928,complaints!E2:E928&lt;&gt;""))),-1),2),"")</f>
        <v>UNKNOWN - arrivedwarm</v>
      </c>
      <c r="D12" s="269">
        <f>IF(C12="","",COUNTIF(complaints!E$2:E$928,C12))</f>
        <v>4</v>
      </c>
      <c r="E12" s="270">
        <f t="shared" si="0"/>
        <v>0.25</v>
      </c>
      <c r="F12" s="271" t="str">
        <f t="shared" si="1"/>
        <v>████</v>
      </c>
      <c r="G12" s="252"/>
      <c r="H12" s="272">
        <f>'Complaint Rate'!A3</f>
        <v>44774</v>
      </c>
      <c r="I12" s="271">
        <f>IFERROR('Complaint Rate'!B3,0)</f>
        <v>0</v>
      </c>
      <c r="J12" s="273">
        <f>IFERROR('Complaint Rate'!C3,0)</f>
        <v>1518</v>
      </c>
      <c r="K12" s="274">
        <f>IFERROR('Complaint Rate'!D3,0)</f>
        <v>0</v>
      </c>
      <c r="L12" s="253"/>
      <c r="M12" s="275" t="s">
        <v>1499</v>
      </c>
      <c r="N12" s="276">
        <f>IFERROR('sales tables'!D82+'sales tables'!E82,0)</f>
        <v>0</v>
      </c>
      <c r="O12" s="277">
        <f>IF($N$16=0,0,N12/$N$16)</f>
        <v>0</v>
      </c>
      <c r="P12" s="253"/>
      <c r="Q12" s="250"/>
      <c r="R12" s="250"/>
      <c r="S12" s="250"/>
      <c r="T12" s="250"/>
      <c r="U12" s="250"/>
      <c r="V12" s="250"/>
      <c r="W12" s="250"/>
      <c r="X12" s="250"/>
      <c r="Y12" s="250"/>
      <c r="Z12" s="250"/>
      <c r="AA12" s="250"/>
      <c r="AB12" s="250"/>
      <c r="AC12" s="250"/>
      <c r="AD12" s="250"/>
      <c r="AE12" s="250"/>
      <c r="AF12" s="250"/>
      <c r="AG12" s="250"/>
      <c r="AH12" s="250"/>
      <c r="AI12" s="250"/>
      <c r="AJ12" s="250"/>
      <c r="AK12" s="250"/>
      <c r="AL12" s="250"/>
      <c r="AM12" s="250"/>
      <c r="AN12" s="250"/>
      <c r="AO12" s="250"/>
      <c r="AP12" s="250"/>
      <c r="AQ12" s="250"/>
      <c r="AR12" s="250"/>
      <c r="AS12" s="250"/>
      <c r="AT12" s="250"/>
      <c r="AU12" s="250"/>
      <c r="AV12" s="250"/>
      <c r="AW12" s="250"/>
      <c r="AX12" s="250"/>
      <c r="AY12" s="250"/>
      <c r="AZ12" s="250"/>
    </row>
    <row r="13" spans="1:52" ht="13.15" x14ac:dyDescent="0.4">
      <c r="A13" s="250"/>
      <c r="B13" s="250"/>
      <c r="C13" s="257" t="str" cm="1">
        <f t="array" ref="C13">IFERROR(INDEX(_xlfn.SORTBY(_xlfn.UNIQUE(_xlfn._xlws.FILTER(complaints!E2:E928,complaints!E2:E928&lt;&gt;"")),COUNTIF(complaints!E2:E928,_xlfn.UNIQUE(_xlfn._xlws.FILTER(complaints!E2:E928,complaints!E2:E928&lt;&gt;""))),-1),3),"")</f>
        <v>Defective Device</v>
      </c>
      <c r="D13" s="278">
        <f>IF(C13="","",COUNTIF(complaints!E$2:E$928,C13))</f>
        <v>2</v>
      </c>
      <c r="E13" s="259">
        <f t="shared" si="0"/>
        <v>0.125</v>
      </c>
      <c r="F13" s="279" t="str">
        <f t="shared" si="1"/>
        <v>██</v>
      </c>
      <c r="G13" s="252"/>
      <c r="H13" s="261">
        <f>'Complaint Rate'!A4</f>
        <v>44805</v>
      </c>
      <c r="I13" s="279">
        <f>IFERROR('Complaint Rate'!B4,0)</f>
        <v>0</v>
      </c>
      <c r="J13" s="263">
        <f>IFERROR('Complaint Rate'!C4,0)</f>
        <v>1521</v>
      </c>
      <c r="K13" s="264">
        <f>IFERROR('Complaint Rate'!D4,0)</f>
        <v>0</v>
      </c>
      <c r="L13" s="253"/>
      <c r="M13" s="265" t="s">
        <v>1500</v>
      </c>
      <c r="N13" s="280">
        <f>IFERROR('sales tables'!D91+'sales tables'!E91,0)</f>
        <v>11278</v>
      </c>
      <c r="O13" s="267">
        <f>IF($N$16=0,0,N13/$N$16)</f>
        <v>0.41033290885937784</v>
      </c>
      <c r="P13" s="253"/>
      <c r="Q13" s="250"/>
      <c r="R13" s="250"/>
      <c r="S13" s="250"/>
      <c r="T13" s="250"/>
      <c r="U13" s="250"/>
      <c r="V13" s="250"/>
      <c r="W13" s="250"/>
      <c r="X13" s="250"/>
      <c r="Y13" s="250"/>
      <c r="Z13" s="250"/>
      <c r="AA13" s="250"/>
      <c r="AB13" s="250"/>
      <c r="AC13" s="250"/>
      <c r="AD13" s="250"/>
      <c r="AE13" s="250"/>
      <c r="AF13" s="250"/>
      <c r="AG13" s="250"/>
      <c r="AH13" s="250"/>
      <c r="AI13" s="250"/>
      <c r="AJ13" s="250"/>
      <c r="AK13" s="250"/>
      <c r="AL13" s="250"/>
      <c r="AM13" s="250"/>
      <c r="AN13" s="250"/>
      <c r="AO13" s="250"/>
      <c r="AP13" s="250"/>
      <c r="AQ13" s="250"/>
      <c r="AR13" s="250"/>
      <c r="AS13" s="250"/>
      <c r="AT13" s="250"/>
      <c r="AU13" s="250"/>
      <c r="AV13" s="250"/>
      <c r="AW13" s="250"/>
      <c r="AX13" s="250"/>
      <c r="AY13" s="250"/>
      <c r="AZ13" s="250"/>
    </row>
    <row r="14" spans="1:52" ht="13.15" x14ac:dyDescent="0.4">
      <c r="A14" s="250"/>
      <c r="B14" s="250"/>
      <c r="C14" s="268" t="str" cm="1">
        <f t="array" ref="C14">IFERROR(INDEX(_xlfn.SORTBY(_xlfn.UNIQUE(_xlfn._xlws.FILTER(complaints!E2:E928,complaints!E2:E928&lt;&gt;"")),COUNTIF(complaints!E2:E928,_xlfn.UNIQUE(_xlfn._xlws.FILTER(complaints!E2:E928,complaints!E2:E928&lt;&gt;""))),-1),4),"")</f>
        <v>Break</v>
      </c>
      <c r="D14" s="281">
        <f>IF(C14="","",COUNTIF(complaints!E$2:E$928,C14))</f>
        <v>2</v>
      </c>
      <c r="E14" s="270">
        <f t="shared" si="0"/>
        <v>0.125</v>
      </c>
      <c r="F14" s="282" t="str">
        <f t="shared" si="1"/>
        <v>██</v>
      </c>
      <c r="G14" s="252"/>
      <c r="H14" s="272">
        <f>'Complaint Rate'!A5</f>
        <v>44835</v>
      </c>
      <c r="I14" s="282">
        <f>IFERROR('Complaint Rate'!B5,0)</f>
        <v>0</v>
      </c>
      <c r="J14" s="273">
        <f>IFERROR('Complaint Rate'!C5,0)</f>
        <v>1548</v>
      </c>
      <c r="K14" s="274">
        <f>IFERROR('Complaint Rate'!D5,0)</f>
        <v>0</v>
      </c>
      <c r="L14" s="253"/>
      <c r="M14" s="275" t="s">
        <v>1501</v>
      </c>
      <c r="N14" s="283">
        <f>IFERROR('sales tables'!D83+'sales tables'!E83,0)</f>
        <v>0</v>
      </c>
      <c r="O14" s="277">
        <f>IF($N$16=0,0,N14/$N$16)</f>
        <v>0</v>
      </c>
      <c r="P14" s="253"/>
      <c r="Q14" s="250"/>
      <c r="R14" s="250"/>
      <c r="S14" s="250"/>
      <c r="T14" s="250"/>
      <c r="U14" s="250"/>
      <c r="V14" s="250"/>
      <c r="W14" s="250"/>
      <c r="X14" s="250"/>
      <c r="Y14" s="250"/>
      <c r="Z14" s="250"/>
      <c r="AA14" s="250"/>
      <c r="AB14" s="250"/>
      <c r="AC14" s="250"/>
      <c r="AD14" s="250"/>
      <c r="AE14" s="250"/>
      <c r="AF14" s="250"/>
      <c r="AG14" s="250"/>
      <c r="AH14" s="250"/>
      <c r="AI14" s="250"/>
      <c r="AJ14" s="250"/>
      <c r="AK14" s="250"/>
      <c r="AL14" s="250"/>
      <c r="AM14" s="250"/>
      <c r="AN14" s="250"/>
      <c r="AO14" s="250"/>
      <c r="AP14" s="250"/>
      <c r="AQ14" s="250"/>
      <c r="AR14" s="250"/>
      <c r="AS14" s="250"/>
      <c r="AT14" s="250"/>
      <c r="AU14" s="250"/>
      <c r="AV14" s="250"/>
      <c r="AW14" s="250"/>
      <c r="AX14" s="250"/>
      <c r="AY14" s="250"/>
      <c r="AZ14" s="250"/>
    </row>
    <row r="15" spans="1:52" ht="13.15" x14ac:dyDescent="0.4">
      <c r="A15" s="250"/>
      <c r="B15" s="250"/>
      <c r="C15" s="257" t="str" cm="1">
        <f t="array" ref="C15">IFERROR(INDEX(_xlfn.SORTBY(_xlfn.UNIQUE(_xlfn._xlws.FILTER(complaints!E2:E928,complaints!E2:E928&lt;&gt;"")),COUNTIF(complaints!E2:E928,_xlfn.UNIQUE(_xlfn._xlws.FILTER(complaints!E2:E928,complaints!E2:E928&lt;&gt;""))),-1),5),"")</f>
        <v>Contamination</v>
      </c>
      <c r="D15" s="284">
        <f>IF(C15="","",COUNTIF(complaints!E$2:E$928,C15))</f>
        <v>1</v>
      </c>
      <c r="E15" s="259">
        <f t="shared" si="0"/>
        <v>6.25E-2</v>
      </c>
      <c r="F15" s="262" t="str">
        <f t="shared" si="1"/>
        <v>█</v>
      </c>
      <c r="G15" s="252"/>
      <c r="H15" s="261">
        <f>'Complaint Rate'!A6</f>
        <v>44866</v>
      </c>
      <c r="I15" s="279">
        <f>IFERROR('Complaint Rate'!B6,0)</f>
        <v>0</v>
      </c>
      <c r="J15" s="263">
        <f>IFERROR('Complaint Rate'!C6,0)</f>
        <v>1528</v>
      </c>
      <c r="K15" s="264">
        <f>IFERROR('Complaint Rate'!D6,0)</f>
        <v>0</v>
      </c>
      <c r="L15" s="253"/>
      <c r="M15" s="265" t="s">
        <v>1502</v>
      </c>
      <c r="N15" s="285">
        <f>IFERROR('sales tables'!D85+'sales tables'!E85,0)</f>
        <v>2951</v>
      </c>
      <c r="O15" s="267">
        <f>IF($N$16=0,0,N15/$N$16)</f>
        <v>0.10736765508459159</v>
      </c>
      <c r="P15" s="253"/>
      <c r="Q15" s="250"/>
      <c r="R15" s="250"/>
      <c r="S15" s="250"/>
      <c r="T15" s="250"/>
      <c r="U15" s="250"/>
      <c r="V15" s="250"/>
      <c r="W15" s="250"/>
      <c r="X15" s="250"/>
      <c r="Y15" s="250"/>
      <c r="Z15" s="250"/>
      <c r="AA15" s="250"/>
      <c r="AB15" s="250"/>
      <c r="AC15" s="250"/>
      <c r="AD15" s="250"/>
      <c r="AE15" s="250"/>
      <c r="AF15" s="250"/>
      <c r="AG15" s="250"/>
      <c r="AH15" s="250"/>
      <c r="AI15" s="250"/>
      <c r="AJ15" s="250"/>
      <c r="AK15" s="250"/>
      <c r="AL15" s="250"/>
      <c r="AM15" s="250"/>
      <c r="AN15" s="250"/>
      <c r="AO15" s="250"/>
      <c r="AP15" s="250"/>
      <c r="AQ15" s="250"/>
      <c r="AR15" s="250"/>
      <c r="AS15" s="250"/>
      <c r="AT15" s="250"/>
      <c r="AU15" s="250"/>
      <c r="AV15" s="250"/>
      <c r="AW15" s="250"/>
      <c r="AX15" s="250"/>
      <c r="AY15" s="250"/>
      <c r="AZ15" s="250"/>
    </row>
    <row r="16" spans="1:52" ht="13.15" x14ac:dyDescent="0.4">
      <c r="A16" s="250"/>
      <c r="B16" s="250"/>
      <c r="C16" s="268" t="str" cm="1">
        <f t="array" ref="C16">IFERROR(INDEX(_xlfn.SORTBY(_xlfn.UNIQUE(_xlfn._xlws.FILTER(complaints!E2:E928,complaints!E2:E928&lt;&gt;"")),COUNTIF(complaints!E2:E928,_xlfn.UNIQUE(_xlfn._xlws.FILTER(complaints!E2:E928,complaints!E2:E928&lt;&gt;""))),-1),6),"")</f>
        <v>UNKNOWN - particles</v>
      </c>
      <c r="D16" s="281">
        <f>IF(C16="","",COUNTIF(complaints!E$2:E$928,C16))</f>
        <v>1</v>
      </c>
      <c r="E16" s="270">
        <f t="shared" si="0"/>
        <v>6.25E-2</v>
      </c>
      <c r="F16" s="282" t="str">
        <f t="shared" si="1"/>
        <v>█</v>
      </c>
      <c r="G16" s="252"/>
      <c r="H16" s="272">
        <f>'Complaint Rate'!A7</f>
        <v>44896</v>
      </c>
      <c r="I16" s="286">
        <f>IFERROR('Complaint Rate'!B7,0)</f>
        <v>0</v>
      </c>
      <c r="J16" s="273">
        <f>IFERROR('Complaint Rate'!C7,0)</f>
        <v>1201</v>
      </c>
      <c r="K16" s="287">
        <f>IFERROR('Complaint Rate'!D7,0)</f>
        <v>0</v>
      </c>
      <c r="L16" s="253"/>
      <c r="M16" s="288" t="s">
        <v>1503</v>
      </c>
      <c r="N16" s="266">
        <f>SUM(N11:N15)</f>
        <v>27485</v>
      </c>
      <c r="O16" s="289">
        <f>IF($N$16=0,0,1)</f>
        <v>1</v>
      </c>
      <c r="P16" s="253"/>
      <c r="Q16" s="250"/>
      <c r="R16" s="250"/>
      <c r="S16" s="250"/>
      <c r="T16" s="250"/>
      <c r="U16" s="250"/>
      <c r="V16" s="250"/>
      <c r="W16" s="250"/>
      <c r="X16" s="250"/>
      <c r="Y16" s="250"/>
      <c r="Z16" s="250"/>
      <c r="AA16" s="250"/>
      <c r="AB16" s="250"/>
      <c r="AC16" s="250"/>
      <c r="AD16" s="250"/>
      <c r="AE16" s="250"/>
      <c r="AF16" s="250"/>
      <c r="AG16" s="250"/>
      <c r="AH16" s="250"/>
      <c r="AI16" s="250"/>
      <c r="AJ16" s="250"/>
      <c r="AK16" s="250"/>
      <c r="AL16" s="250"/>
      <c r="AM16" s="250"/>
      <c r="AN16" s="250"/>
      <c r="AO16" s="250"/>
      <c r="AP16" s="250"/>
      <c r="AQ16" s="250"/>
      <c r="AR16" s="250"/>
      <c r="AS16" s="250"/>
      <c r="AT16" s="250"/>
      <c r="AU16" s="250"/>
      <c r="AV16" s="250"/>
      <c r="AW16" s="250"/>
      <c r="AX16" s="250"/>
      <c r="AY16" s="250"/>
      <c r="AZ16" s="250"/>
    </row>
    <row r="17" spans="1:52" ht="13.15" x14ac:dyDescent="0.4">
      <c r="A17" s="250"/>
      <c r="B17" s="250"/>
      <c r="C17" s="290" t="s">
        <v>1495</v>
      </c>
      <c r="D17" s="291">
        <f>C6</f>
        <v>16</v>
      </c>
      <c r="E17" s="289">
        <f>IF(D17=0,0,1)</f>
        <v>1</v>
      </c>
      <c r="F17" s="265"/>
      <c r="G17" s="252"/>
      <c r="H17" s="261">
        <f>'Complaint Rate'!A8</f>
        <v>44927</v>
      </c>
      <c r="I17" s="279">
        <f>IFERROR('Complaint Rate'!B8,0)</f>
        <v>0</v>
      </c>
      <c r="J17" s="263">
        <f>IFERROR('Complaint Rate'!C8,0)</f>
        <v>2007</v>
      </c>
      <c r="K17" s="264">
        <f>IFERROR('Complaint Rate'!D8,0)</f>
        <v>0</v>
      </c>
      <c r="L17" s="253"/>
      <c r="M17" s="292"/>
      <c r="N17" s="292"/>
      <c r="O17" s="292"/>
      <c r="P17" s="250"/>
      <c r="Q17" s="250"/>
      <c r="R17" s="250"/>
      <c r="S17" s="250"/>
      <c r="T17" s="250"/>
      <c r="U17" s="250"/>
      <c r="V17" s="250"/>
      <c r="W17" s="250"/>
      <c r="X17" s="250"/>
      <c r="Y17" s="250"/>
      <c r="Z17" s="250"/>
      <c r="AA17" s="250"/>
      <c r="AB17" s="250"/>
      <c r="AC17" s="250"/>
      <c r="AD17" s="250"/>
      <c r="AE17" s="250"/>
      <c r="AF17" s="250"/>
      <c r="AG17" s="250"/>
      <c r="AH17" s="250"/>
      <c r="AI17" s="250"/>
      <c r="AJ17" s="250"/>
      <c r="AK17" s="250"/>
      <c r="AL17" s="250"/>
      <c r="AM17" s="250"/>
      <c r="AN17" s="250"/>
      <c r="AO17" s="250"/>
      <c r="AP17" s="250"/>
      <c r="AQ17" s="250"/>
      <c r="AR17" s="250"/>
      <c r="AS17" s="250"/>
      <c r="AT17" s="250"/>
      <c r="AU17" s="250"/>
      <c r="AV17" s="250"/>
      <c r="AW17" s="250"/>
      <c r="AX17" s="250"/>
      <c r="AY17" s="250"/>
      <c r="AZ17" s="250"/>
    </row>
    <row r="18" spans="1:52" ht="13.15" x14ac:dyDescent="0.4">
      <c r="A18" s="250"/>
      <c r="B18" s="250"/>
      <c r="C18" s="292"/>
      <c r="D18" s="292"/>
      <c r="E18" s="292"/>
      <c r="F18" s="292"/>
      <c r="G18" s="250"/>
      <c r="H18" s="293">
        <f>'Complaint Rate'!A9</f>
        <v>44958</v>
      </c>
      <c r="I18" s="271">
        <f>IFERROR('Complaint Rate'!B9,0)</f>
        <v>0</v>
      </c>
      <c r="J18" s="273">
        <f>IFERROR('Complaint Rate'!C9,0)</f>
        <v>1670</v>
      </c>
      <c r="K18" s="274">
        <f>IFERROR('Complaint Rate'!D9,0)</f>
        <v>0</v>
      </c>
      <c r="L18" s="253"/>
      <c r="M18" s="250"/>
      <c r="N18" s="250"/>
      <c r="O18" s="250"/>
      <c r="P18" s="250"/>
      <c r="Q18" s="250"/>
      <c r="R18" s="250"/>
      <c r="S18" s="250"/>
      <c r="T18" s="250"/>
      <c r="U18" s="250"/>
      <c r="V18" s="250"/>
      <c r="W18" s="250"/>
      <c r="X18" s="250"/>
      <c r="Y18" s="250"/>
      <c r="Z18" s="250"/>
      <c r="AA18" s="250"/>
      <c r="AB18" s="250"/>
      <c r="AC18" s="250"/>
      <c r="AD18" s="250"/>
      <c r="AE18" s="250"/>
      <c r="AF18" s="250"/>
      <c r="AG18" s="250"/>
      <c r="AH18" s="250"/>
      <c r="AI18" s="250"/>
      <c r="AJ18" s="250"/>
      <c r="AK18" s="250"/>
      <c r="AL18" s="250"/>
      <c r="AM18" s="250"/>
      <c r="AN18" s="250"/>
      <c r="AO18" s="250"/>
      <c r="AP18" s="250"/>
      <c r="AQ18" s="250"/>
      <c r="AR18" s="250"/>
      <c r="AS18" s="250"/>
      <c r="AT18" s="250"/>
      <c r="AU18" s="250"/>
      <c r="AV18" s="250"/>
      <c r="AW18" s="250"/>
      <c r="AX18" s="250"/>
      <c r="AY18" s="250"/>
      <c r="AZ18" s="250"/>
    </row>
    <row r="19" spans="1:52" ht="13.15" x14ac:dyDescent="0.4">
      <c r="A19" s="250"/>
      <c r="B19" s="250"/>
      <c r="C19" s="250"/>
      <c r="D19" s="250"/>
      <c r="E19" s="250"/>
      <c r="F19" s="250"/>
      <c r="G19" s="250"/>
      <c r="H19" s="294">
        <f>'Complaint Rate'!A10</f>
        <v>44986</v>
      </c>
      <c r="I19" s="262">
        <f>IFERROR('Complaint Rate'!B10,0)</f>
        <v>1</v>
      </c>
      <c r="J19" s="263">
        <f>IFERROR('Complaint Rate'!C10,0)</f>
        <v>1972</v>
      </c>
      <c r="K19" s="264">
        <f>IFERROR('Complaint Rate'!D10,0)</f>
        <v>5.0709939148073022E-4</v>
      </c>
      <c r="L19" s="253"/>
      <c r="M19" s="250"/>
      <c r="N19" s="250"/>
      <c r="O19" s="250"/>
      <c r="P19" s="250"/>
      <c r="Q19" s="250"/>
      <c r="R19" s="250"/>
      <c r="S19" s="250"/>
      <c r="T19" s="250"/>
      <c r="U19" s="250"/>
      <c r="V19" s="250"/>
      <c r="W19" s="250"/>
      <c r="X19" s="250"/>
      <c r="Y19" s="250"/>
      <c r="Z19" s="250"/>
      <c r="AA19" s="250"/>
      <c r="AB19" s="250"/>
      <c r="AC19" s="250"/>
      <c r="AD19" s="250"/>
      <c r="AE19" s="250"/>
      <c r="AF19" s="250"/>
      <c r="AG19" s="250"/>
      <c r="AH19" s="250"/>
      <c r="AI19" s="250"/>
      <c r="AJ19" s="250"/>
      <c r="AK19" s="250"/>
      <c r="AL19" s="250"/>
      <c r="AM19" s="250"/>
      <c r="AN19" s="250"/>
      <c r="AO19" s="250"/>
      <c r="AP19" s="250"/>
      <c r="AQ19" s="250"/>
      <c r="AR19" s="250"/>
      <c r="AS19" s="250"/>
      <c r="AT19" s="250"/>
      <c r="AU19" s="250"/>
      <c r="AV19" s="250"/>
      <c r="AW19" s="250"/>
      <c r="AX19" s="250"/>
      <c r="AY19" s="250"/>
      <c r="AZ19" s="250"/>
    </row>
    <row r="20" spans="1:52" ht="13.15" x14ac:dyDescent="0.4">
      <c r="A20" s="250"/>
      <c r="B20" s="250"/>
      <c r="C20" s="250"/>
      <c r="D20" s="250"/>
      <c r="E20" s="250"/>
      <c r="F20" s="250"/>
      <c r="G20" s="250"/>
      <c r="H20" s="293">
        <f>'Complaint Rate'!A11</f>
        <v>45017</v>
      </c>
      <c r="I20" s="282">
        <f>IFERROR('Complaint Rate'!B11,0)</f>
        <v>1</v>
      </c>
      <c r="J20" s="273">
        <f>IFERROR('Complaint Rate'!C11,0)</f>
        <v>1610</v>
      </c>
      <c r="K20" s="274">
        <f>IFERROR('Complaint Rate'!D11,0)</f>
        <v>6.2111801242236027E-4</v>
      </c>
      <c r="L20" s="253"/>
      <c r="M20" s="250"/>
      <c r="N20" s="250"/>
      <c r="O20" s="250"/>
      <c r="P20" s="250"/>
      <c r="Q20" s="250"/>
      <c r="R20" s="250"/>
      <c r="S20" s="250"/>
      <c r="T20" s="250"/>
      <c r="U20" s="250"/>
      <c r="V20" s="250"/>
      <c r="W20" s="250"/>
      <c r="X20" s="250"/>
      <c r="Y20" s="250"/>
      <c r="Z20" s="250"/>
      <c r="AA20" s="250"/>
      <c r="AB20" s="250"/>
      <c r="AC20" s="250"/>
      <c r="AD20" s="250"/>
      <c r="AE20" s="250"/>
      <c r="AF20" s="250"/>
      <c r="AG20" s="250"/>
      <c r="AH20" s="250"/>
      <c r="AI20" s="250"/>
      <c r="AJ20" s="250"/>
      <c r="AK20" s="250"/>
      <c r="AL20" s="250"/>
      <c r="AM20" s="250"/>
      <c r="AN20" s="250"/>
      <c r="AO20" s="250"/>
      <c r="AP20" s="250"/>
      <c r="AQ20" s="250"/>
      <c r="AR20" s="250"/>
      <c r="AS20" s="250"/>
      <c r="AT20" s="250"/>
      <c r="AU20" s="250"/>
      <c r="AV20" s="250"/>
      <c r="AW20" s="250"/>
      <c r="AX20" s="250"/>
      <c r="AY20" s="250"/>
      <c r="AZ20" s="250"/>
    </row>
    <row r="21" spans="1:52" ht="13.15" x14ac:dyDescent="0.4">
      <c r="A21" s="250"/>
      <c r="B21" s="250"/>
      <c r="C21" s="250"/>
      <c r="D21" s="250"/>
      <c r="E21" s="250"/>
      <c r="F21" s="250"/>
      <c r="G21" s="250"/>
      <c r="H21" s="294">
        <f>'Complaint Rate'!A12</f>
        <v>45047</v>
      </c>
      <c r="I21" s="262">
        <f>IFERROR('Complaint Rate'!B12,0)</f>
        <v>3</v>
      </c>
      <c r="J21" s="263">
        <f>IFERROR('Complaint Rate'!C12,0)</f>
        <v>1777</v>
      </c>
      <c r="K21" s="264">
        <f>IFERROR('Complaint Rate'!D12,0)</f>
        <v>1.6882386043894203E-3</v>
      </c>
      <c r="L21" s="253"/>
      <c r="M21" s="250"/>
      <c r="N21" s="250"/>
      <c r="O21" s="250"/>
      <c r="P21" s="250"/>
      <c r="Q21" s="250"/>
      <c r="R21" s="250"/>
      <c r="S21" s="250"/>
      <c r="T21" s="250"/>
      <c r="U21" s="250"/>
      <c r="V21" s="250"/>
      <c r="W21" s="250"/>
      <c r="X21" s="250"/>
      <c r="Y21" s="250"/>
      <c r="Z21" s="250"/>
      <c r="AA21" s="250"/>
      <c r="AB21" s="250"/>
      <c r="AC21" s="250"/>
      <c r="AD21" s="250"/>
      <c r="AE21" s="250"/>
      <c r="AF21" s="250"/>
      <c r="AG21" s="250"/>
      <c r="AH21" s="250"/>
      <c r="AI21" s="250"/>
      <c r="AJ21" s="250"/>
      <c r="AK21" s="250"/>
      <c r="AL21" s="250"/>
      <c r="AM21" s="250"/>
      <c r="AN21" s="250"/>
      <c r="AO21" s="250"/>
      <c r="AP21" s="250"/>
      <c r="AQ21" s="250"/>
      <c r="AR21" s="250"/>
      <c r="AS21" s="250"/>
      <c r="AT21" s="250"/>
      <c r="AU21" s="250"/>
      <c r="AV21" s="250"/>
      <c r="AW21" s="250"/>
      <c r="AX21" s="250"/>
      <c r="AY21" s="250"/>
      <c r="AZ21" s="250"/>
    </row>
    <row r="22" spans="1:52" ht="13.15" x14ac:dyDescent="0.4">
      <c r="A22" s="250"/>
      <c r="B22" s="250"/>
      <c r="C22" s="250"/>
      <c r="D22" s="250"/>
      <c r="E22" s="250"/>
      <c r="F22" s="250"/>
      <c r="G22" s="250"/>
      <c r="H22" s="293">
        <f>'Complaint Rate'!A13</f>
        <v>45078</v>
      </c>
      <c r="I22" s="271">
        <f>IFERROR('Complaint Rate'!B13,0)</f>
        <v>6</v>
      </c>
      <c r="J22" s="273">
        <f>IFERROR('Complaint Rate'!C13,0)</f>
        <v>1682</v>
      </c>
      <c r="K22" s="274">
        <f>IFERROR('Complaint Rate'!D13,0)</f>
        <v>3.5671819262782403E-3</v>
      </c>
      <c r="L22" s="253"/>
      <c r="M22" s="250"/>
      <c r="N22" s="250"/>
      <c r="O22" s="250"/>
      <c r="P22" s="250"/>
      <c r="Q22" s="250"/>
      <c r="R22" s="250"/>
      <c r="S22" s="250"/>
      <c r="T22" s="250"/>
      <c r="U22" s="250"/>
      <c r="V22" s="250"/>
      <c r="W22" s="250"/>
      <c r="X22" s="250"/>
      <c r="Y22" s="250"/>
      <c r="Z22" s="250"/>
      <c r="AA22" s="250"/>
      <c r="AB22" s="250"/>
      <c r="AC22" s="250"/>
      <c r="AD22" s="250"/>
      <c r="AE22" s="250"/>
      <c r="AF22" s="250"/>
      <c r="AG22" s="250"/>
      <c r="AH22" s="250"/>
      <c r="AI22" s="250"/>
      <c r="AJ22" s="250"/>
      <c r="AK22" s="250"/>
      <c r="AL22" s="250"/>
      <c r="AM22" s="250"/>
      <c r="AN22" s="250"/>
      <c r="AO22" s="250"/>
      <c r="AP22" s="250"/>
      <c r="AQ22" s="250"/>
      <c r="AR22" s="250"/>
      <c r="AS22" s="250"/>
      <c r="AT22" s="250"/>
      <c r="AU22" s="250"/>
      <c r="AV22" s="250"/>
      <c r="AW22" s="250"/>
      <c r="AX22" s="250"/>
      <c r="AY22" s="250"/>
      <c r="AZ22" s="250"/>
    </row>
    <row r="23" spans="1:52" ht="13.15" x14ac:dyDescent="0.4">
      <c r="A23" s="250"/>
      <c r="B23" s="250"/>
      <c r="C23" s="250"/>
      <c r="D23" s="250"/>
      <c r="E23" s="250"/>
      <c r="F23" s="250"/>
      <c r="G23" s="250"/>
      <c r="H23" s="294">
        <f>'Complaint Rate'!A14</f>
        <v>45108</v>
      </c>
      <c r="I23" s="262">
        <f>IFERROR('Complaint Rate'!B14,0)</f>
        <v>0</v>
      </c>
      <c r="J23" s="263">
        <f>IFERROR('Complaint Rate'!C14,0)</f>
        <v>1689</v>
      </c>
      <c r="K23" s="264">
        <f>IFERROR('Complaint Rate'!D14,0)</f>
        <v>0</v>
      </c>
      <c r="L23" s="253"/>
      <c r="M23" s="250"/>
      <c r="N23" s="250"/>
      <c r="O23" s="250"/>
      <c r="P23" s="250"/>
      <c r="Q23" s="250"/>
      <c r="R23" s="250"/>
      <c r="S23" s="250"/>
      <c r="T23" s="250"/>
      <c r="U23" s="250"/>
      <c r="V23" s="250"/>
      <c r="W23" s="250"/>
      <c r="X23" s="250"/>
      <c r="Y23" s="250"/>
      <c r="Z23" s="250"/>
      <c r="AA23" s="250"/>
      <c r="AB23" s="250"/>
      <c r="AC23" s="250"/>
      <c r="AD23" s="250"/>
      <c r="AE23" s="250"/>
      <c r="AF23" s="250"/>
      <c r="AG23" s="250"/>
      <c r="AH23" s="250"/>
      <c r="AI23" s="250"/>
      <c r="AJ23" s="250"/>
      <c r="AK23" s="250"/>
      <c r="AL23" s="250"/>
      <c r="AM23" s="250"/>
      <c r="AN23" s="250"/>
      <c r="AO23" s="250"/>
      <c r="AP23" s="250"/>
      <c r="AQ23" s="250"/>
      <c r="AR23" s="250"/>
      <c r="AS23" s="250"/>
      <c r="AT23" s="250"/>
      <c r="AU23" s="250"/>
      <c r="AV23" s="250"/>
      <c r="AW23" s="250"/>
      <c r="AX23" s="250"/>
      <c r="AY23" s="250"/>
      <c r="AZ23" s="250"/>
    </row>
    <row r="24" spans="1:52" ht="13.15" x14ac:dyDescent="0.4">
      <c r="A24" s="250"/>
      <c r="B24" s="250"/>
      <c r="C24" s="250"/>
      <c r="D24" s="250"/>
      <c r="E24" s="250"/>
      <c r="F24" s="250"/>
      <c r="G24" s="250"/>
      <c r="H24" s="293">
        <f>'Complaint Rate'!A15</f>
        <v>45139</v>
      </c>
      <c r="I24" s="282">
        <f>IFERROR('Complaint Rate'!B15,0)</f>
        <v>0</v>
      </c>
      <c r="J24" s="273">
        <f>IFERROR('Complaint Rate'!C15,0)</f>
        <v>1684</v>
      </c>
      <c r="K24" s="274">
        <f>IFERROR('Complaint Rate'!D15,0)</f>
        <v>0</v>
      </c>
      <c r="L24" s="253"/>
      <c r="M24" s="250"/>
      <c r="N24" s="250"/>
      <c r="O24" s="250"/>
      <c r="P24" s="250"/>
      <c r="Q24" s="250"/>
      <c r="R24" s="250"/>
      <c r="S24" s="250"/>
      <c r="T24" s="250"/>
      <c r="U24" s="250"/>
      <c r="V24" s="250"/>
      <c r="W24" s="250"/>
      <c r="X24" s="250"/>
      <c r="Y24" s="250"/>
      <c r="Z24" s="250"/>
      <c r="AA24" s="250"/>
      <c r="AB24" s="250"/>
      <c r="AC24" s="250"/>
      <c r="AD24" s="250"/>
      <c r="AE24" s="250"/>
      <c r="AF24" s="250"/>
      <c r="AG24" s="250"/>
      <c r="AH24" s="250"/>
      <c r="AI24" s="250"/>
      <c r="AJ24" s="250"/>
      <c r="AK24" s="250"/>
      <c r="AL24" s="250"/>
      <c r="AM24" s="250"/>
      <c r="AN24" s="250"/>
      <c r="AO24" s="250"/>
      <c r="AP24" s="250"/>
      <c r="AQ24" s="250"/>
      <c r="AR24" s="250"/>
      <c r="AS24" s="250"/>
      <c r="AT24" s="250"/>
      <c r="AU24" s="250"/>
      <c r="AV24" s="250"/>
      <c r="AW24" s="250"/>
      <c r="AX24" s="250"/>
      <c r="AY24" s="250"/>
      <c r="AZ24" s="250"/>
    </row>
    <row r="25" spans="1:52" ht="13.15" x14ac:dyDescent="0.4">
      <c r="A25" s="250"/>
      <c r="B25" s="250"/>
      <c r="C25" s="250"/>
      <c r="D25" s="250"/>
      <c r="E25" s="250"/>
      <c r="F25" s="250"/>
      <c r="G25" s="250"/>
      <c r="H25" s="292"/>
      <c r="I25" s="292"/>
      <c r="J25" s="292"/>
      <c r="K25" s="292"/>
      <c r="L25" s="250"/>
      <c r="M25" s="250"/>
      <c r="N25" s="250"/>
      <c r="O25" s="250"/>
      <c r="P25" s="250"/>
      <c r="Q25" s="250"/>
      <c r="R25" s="250"/>
      <c r="S25" s="250"/>
      <c r="T25" s="250"/>
      <c r="U25" s="250"/>
      <c r="V25" s="250"/>
      <c r="W25" s="250"/>
      <c r="X25" s="250"/>
      <c r="Y25" s="250"/>
      <c r="Z25" s="250"/>
      <c r="AA25" s="250"/>
      <c r="AB25" s="250"/>
      <c r="AC25" s="250"/>
      <c r="AD25" s="250"/>
      <c r="AE25" s="250"/>
      <c r="AF25" s="250"/>
      <c r="AG25" s="250"/>
      <c r="AH25" s="250"/>
      <c r="AI25" s="250"/>
      <c r="AJ25" s="250"/>
      <c r="AK25" s="250"/>
      <c r="AL25" s="250"/>
      <c r="AM25" s="250"/>
      <c r="AN25" s="250"/>
      <c r="AO25" s="250"/>
      <c r="AP25" s="250"/>
      <c r="AQ25" s="250"/>
      <c r="AR25" s="250"/>
      <c r="AS25" s="250"/>
      <c r="AT25" s="250"/>
      <c r="AU25" s="250"/>
      <c r="AV25" s="250"/>
      <c r="AW25" s="250"/>
      <c r="AX25" s="250"/>
      <c r="AY25" s="250"/>
      <c r="AZ25" s="250"/>
    </row>
    <row r="26" spans="1:52" ht="12" customHeight="1" x14ac:dyDescent="0.4">
      <c r="A26" s="250"/>
      <c r="B26" s="250"/>
      <c r="C26" s="250"/>
      <c r="D26" s="250"/>
      <c r="E26" s="250"/>
      <c r="F26" s="250"/>
      <c r="G26" s="250"/>
      <c r="H26" s="250"/>
      <c r="I26" s="250"/>
      <c r="J26" s="250"/>
      <c r="K26" s="250"/>
      <c r="L26" s="250"/>
      <c r="M26" s="250"/>
      <c r="N26" s="250"/>
      <c r="O26" s="250"/>
      <c r="P26" s="250"/>
      <c r="Q26" s="250"/>
      <c r="R26" s="250"/>
      <c r="S26" s="250"/>
      <c r="T26" s="250"/>
      <c r="U26" s="250"/>
      <c r="V26" s="250"/>
      <c r="W26" s="250"/>
      <c r="X26" s="250"/>
      <c r="Y26" s="250"/>
      <c r="Z26" s="250"/>
      <c r="AA26" s="250"/>
      <c r="AB26" s="250"/>
      <c r="AC26" s="250"/>
      <c r="AD26" s="250"/>
      <c r="AE26" s="250"/>
      <c r="AF26" s="250"/>
      <c r="AG26" s="250"/>
      <c r="AH26" s="250"/>
      <c r="AI26" s="250"/>
      <c r="AJ26" s="250"/>
      <c r="AK26" s="250"/>
      <c r="AL26" s="250"/>
      <c r="AM26" s="250"/>
      <c r="AN26" s="250"/>
      <c r="AO26" s="250"/>
      <c r="AP26" s="250"/>
      <c r="AQ26" s="250"/>
      <c r="AR26" s="250"/>
      <c r="AS26" s="250"/>
      <c r="AT26" s="250"/>
      <c r="AU26" s="250"/>
      <c r="AV26" s="250"/>
      <c r="AW26" s="250"/>
      <c r="AX26" s="250"/>
      <c r="AY26" s="250"/>
      <c r="AZ26" s="250"/>
    </row>
    <row r="27" spans="1:52" ht="30" customHeight="1" thickBot="1" x14ac:dyDescent="0.45">
      <c r="A27" s="250"/>
      <c r="B27" s="250"/>
      <c r="C27" s="481" t="s">
        <v>1504</v>
      </c>
      <c r="D27" s="482"/>
      <c r="E27" s="482"/>
      <c r="F27" s="482"/>
      <c r="G27" s="252"/>
      <c r="H27" s="483" t="s">
        <v>1505</v>
      </c>
      <c r="I27" s="484"/>
      <c r="J27" s="484"/>
      <c r="K27" s="484"/>
      <c r="L27" s="253"/>
      <c r="M27" s="485" t="s">
        <v>1506</v>
      </c>
      <c r="N27" s="474"/>
      <c r="O27" s="474"/>
      <c r="P27" s="253"/>
      <c r="Q27" s="250"/>
      <c r="R27" s="250"/>
      <c r="S27" s="250"/>
      <c r="T27" s="250"/>
      <c r="U27" s="250"/>
      <c r="V27" s="250"/>
      <c r="W27" s="250"/>
      <c r="X27" s="250"/>
      <c r="Y27" s="250"/>
      <c r="Z27" s="250"/>
      <c r="AA27" s="250"/>
      <c r="AB27" s="250"/>
      <c r="AC27" s="250"/>
      <c r="AD27" s="250"/>
      <c r="AE27" s="250"/>
      <c r="AF27" s="250"/>
      <c r="AG27" s="250"/>
      <c r="AH27" s="250"/>
      <c r="AI27" s="250"/>
      <c r="AJ27" s="250"/>
      <c r="AK27" s="250"/>
      <c r="AL27" s="250"/>
      <c r="AM27" s="250"/>
      <c r="AN27" s="250"/>
      <c r="AO27" s="250"/>
      <c r="AP27" s="250"/>
      <c r="AQ27" s="250"/>
      <c r="AR27" s="250"/>
      <c r="AS27" s="250"/>
      <c r="AT27" s="250"/>
      <c r="AU27" s="250"/>
      <c r="AV27" s="250"/>
      <c r="AW27" s="250"/>
      <c r="AX27" s="250"/>
      <c r="AY27" s="250"/>
      <c r="AZ27" s="250"/>
    </row>
    <row r="28" spans="1:52" ht="13.15" x14ac:dyDescent="0.4">
      <c r="A28" s="250"/>
      <c r="B28" s="250"/>
      <c r="C28" s="254" t="s">
        <v>38</v>
      </c>
      <c r="D28" s="255" t="s">
        <v>1488</v>
      </c>
      <c r="E28" s="255" t="s">
        <v>1489</v>
      </c>
      <c r="F28" s="255" t="s">
        <v>1507</v>
      </c>
      <c r="G28" s="252"/>
      <c r="H28" s="256" t="s">
        <v>69</v>
      </c>
      <c r="I28" s="255" t="s">
        <v>1496</v>
      </c>
      <c r="J28" s="255" t="s">
        <v>1508</v>
      </c>
      <c r="K28" s="255" t="s">
        <v>1326</v>
      </c>
      <c r="L28" s="253"/>
      <c r="M28" s="256" t="s">
        <v>1314</v>
      </c>
      <c r="N28" s="255" t="s">
        <v>1509</v>
      </c>
      <c r="O28" s="255" t="s">
        <v>1510</v>
      </c>
      <c r="P28" s="253"/>
      <c r="Q28" s="250"/>
      <c r="R28" s="250"/>
      <c r="S28" s="250"/>
      <c r="T28" s="250"/>
      <c r="U28" s="250"/>
      <c r="V28" s="250"/>
      <c r="W28" s="250"/>
      <c r="X28" s="250"/>
      <c r="Y28" s="250"/>
      <c r="Z28" s="250"/>
      <c r="AA28" s="250"/>
      <c r="AB28" s="250"/>
      <c r="AC28" s="250"/>
      <c r="AD28" s="250"/>
      <c r="AE28" s="250"/>
      <c r="AF28" s="250"/>
      <c r="AG28" s="250"/>
      <c r="AH28" s="250"/>
      <c r="AI28" s="250"/>
      <c r="AJ28" s="250"/>
      <c r="AK28" s="250"/>
      <c r="AL28" s="250"/>
      <c r="AM28" s="250"/>
      <c r="AN28" s="250"/>
      <c r="AO28" s="250"/>
      <c r="AP28" s="250"/>
      <c r="AQ28" s="250"/>
      <c r="AR28" s="250"/>
      <c r="AS28" s="250"/>
      <c r="AT28" s="250"/>
      <c r="AU28" s="250"/>
      <c r="AV28" s="250"/>
      <c r="AW28" s="250"/>
      <c r="AX28" s="250"/>
      <c r="AY28" s="250"/>
      <c r="AZ28" s="250"/>
    </row>
    <row r="29" spans="1:52" ht="13.15" x14ac:dyDescent="0.4">
      <c r="A29" s="250"/>
      <c r="B29" s="250"/>
      <c r="C29" s="257" t="str" cm="1">
        <f t="array" ref="C29">IFERROR(INDEX(_xlfn.SORTBY(_xlfn.UNIQUE(_xlfn._xlws.FILTER(complaints!D2:D928,complaints!D2:D928&lt;&gt;"")),COUNTIF(complaints!D2:D928,_xlfn.UNIQUE(_xlfn._xlws.FILTER(complaints!D2:D928,complaints!D2:D928&lt;&gt;""))),-1),1),"")</f>
        <v>colorph</v>
      </c>
      <c r="D29" s="258">
        <f>IF(C29="","",COUNTIF(complaints!D$2:D$928,C29))</f>
        <v>9</v>
      </c>
      <c r="E29" s="259">
        <f t="shared" ref="E29:E35" si="2">IF(D29="","",IF($D$36=0,0,D29/$D$36))</f>
        <v>0.5625</v>
      </c>
      <c r="F29" s="295" t="str">
        <f t="shared" ref="F29:F35" si="3">IF(D29="","",IF(E29&gt;=0.2,_xlfn.UNICHAR(9650)&amp;" CRITICAL",IF(E29&gt;=0.1,_xlfn.UNICHAR(9679)&amp;" WATCH",_xlfn.UNICHAR(9660)&amp;" LOW")))</f>
        <v>▲ CRITICAL</v>
      </c>
      <c r="G29" s="252"/>
      <c r="H29" s="296" t="str">
        <f>'Complaint Rate'!I2</f>
        <v>Jul 2022</v>
      </c>
      <c r="I29" s="297">
        <f>IFERROR('Complaint Rate'!J2,0)</f>
        <v>0</v>
      </c>
      <c r="J29" s="298">
        <f>IFERROR('Complaint Rate'!K2,0)</f>
        <v>2.7619980261771912E-4</v>
      </c>
      <c r="K29" s="299">
        <f>IFERROR('Complaint Rate'!L2,0)</f>
        <v>2.3740003463252955E-3</v>
      </c>
      <c r="L29" s="253"/>
      <c r="M29" s="265" t="s">
        <v>1316</v>
      </c>
      <c r="N29" s="300">
        <f>IFERROR('sales tables'!D89,0)</f>
        <v>3945</v>
      </c>
      <c r="O29" s="280">
        <f>IFERROR('sales tables'!E89,0)</f>
        <v>9311</v>
      </c>
      <c r="P29" s="253"/>
      <c r="Q29" s="250"/>
      <c r="R29" s="250"/>
      <c r="S29" s="250"/>
      <c r="T29" s="250"/>
      <c r="U29" s="250"/>
      <c r="V29" s="250"/>
      <c r="W29" s="250"/>
      <c r="X29" s="250"/>
      <c r="Y29" s="250"/>
      <c r="Z29" s="250"/>
      <c r="AA29" s="250"/>
      <c r="AB29" s="250"/>
      <c r="AC29" s="250"/>
      <c r="AD29" s="250"/>
      <c r="AE29" s="250"/>
      <c r="AF29" s="250"/>
      <c r="AG29" s="250"/>
      <c r="AH29" s="250"/>
      <c r="AI29" s="250"/>
      <c r="AJ29" s="250"/>
      <c r="AK29" s="250"/>
      <c r="AL29" s="250"/>
      <c r="AM29" s="250"/>
      <c r="AN29" s="250"/>
      <c r="AO29" s="250"/>
      <c r="AP29" s="250"/>
      <c r="AQ29" s="250"/>
      <c r="AR29" s="250"/>
      <c r="AS29" s="250"/>
      <c r="AT29" s="250"/>
      <c r="AU29" s="250"/>
      <c r="AV29" s="250"/>
      <c r="AW29" s="250"/>
      <c r="AX29" s="250"/>
      <c r="AY29" s="250"/>
      <c r="AZ29" s="250"/>
    </row>
    <row r="30" spans="1:52" ht="13.15" x14ac:dyDescent="0.4">
      <c r="A30" s="250"/>
      <c r="B30" s="250"/>
      <c r="C30" s="268" t="str" cm="1">
        <f t="array" ref="C30">IFERROR(INDEX(_xlfn.SORTBY(_xlfn.UNIQUE(_xlfn._xlws.FILTER(complaints!D2:D928,complaints!D2:D928&lt;&gt;"")),COUNTIF(complaints!D2:D928,_xlfn.UNIQUE(_xlfn._xlws.FILTER(complaints!D2:D928,complaints!D2:D928&lt;&gt;""))),-1),2),"")</f>
        <v>arrivedwarm</v>
      </c>
      <c r="D30" s="269">
        <f>IF(C30="","",COUNTIF(complaints!D$2:D$928,C30))</f>
        <v>4</v>
      </c>
      <c r="E30" s="270">
        <f t="shared" si="2"/>
        <v>0.25</v>
      </c>
      <c r="F30" s="301" t="str">
        <f t="shared" si="3"/>
        <v>▲ CRITICAL</v>
      </c>
      <c r="G30" s="252"/>
      <c r="H30" s="302" t="str">
        <f>'Complaint Rate'!I3</f>
        <v>Aug 2022</v>
      </c>
      <c r="I30" s="303">
        <f>IFERROR('Complaint Rate'!J3,0)</f>
        <v>0</v>
      </c>
      <c r="J30" s="304">
        <f>IFERROR('Complaint Rate'!K3,0)</f>
        <v>2.7619980261771912E-4</v>
      </c>
      <c r="K30" s="305">
        <f>IFERROR('Complaint Rate'!L3,0)</f>
        <v>2.3740003463252955E-3</v>
      </c>
      <c r="L30" s="253"/>
      <c r="M30" s="275" t="s">
        <v>1338</v>
      </c>
      <c r="N30" s="306">
        <f>IFERROR('sales tables'!D82,0)</f>
        <v>0</v>
      </c>
      <c r="O30" s="307">
        <f>IFERROR('sales tables'!E82,0)</f>
        <v>0</v>
      </c>
      <c r="P30" s="253"/>
      <c r="Q30" s="250"/>
      <c r="R30" s="250"/>
      <c r="S30" s="250"/>
      <c r="T30" s="250"/>
      <c r="U30" s="250"/>
      <c r="V30" s="250"/>
      <c r="W30" s="250"/>
      <c r="X30" s="250"/>
      <c r="Y30" s="250"/>
      <c r="Z30" s="250"/>
      <c r="AA30" s="250"/>
      <c r="AB30" s="250"/>
      <c r="AC30" s="250"/>
      <c r="AD30" s="250"/>
      <c r="AE30" s="250"/>
      <c r="AF30" s="250"/>
      <c r="AG30" s="250"/>
      <c r="AH30" s="250"/>
      <c r="AI30" s="250"/>
      <c r="AJ30" s="250"/>
      <c r="AK30" s="250"/>
      <c r="AL30" s="250"/>
      <c r="AM30" s="250"/>
      <c r="AN30" s="250"/>
      <c r="AO30" s="250"/>
      <c r="AP30" s="250"/>
      <c r="AQ30" s="250"/>
      <c r="AR30" s="250"/>
      <c r="AS30" s="250"/>
      <c r="AT30" s="250"/>
      <c r="AU30" s="250"/>
      <c r="AV30" s="250"/>
      <c r="AW30" s="250"/>
      <c r="AX30" s="250"/>
      <c r="AY30" s="250"/>
      <c r="AZ30" s="250"/>
    </row>
    <row r="31" spans="1:52" ht="13.15" x14ac:dyDescent="0.4">
      <c r="A31" s="250"/>
      <c r="B31" s="250"/>
      <c r="C31" s="257" t="str" cm="1">
        <f t="array" ref="C31">IFERROR(INDEX(_xlfn.SORTBY(_xlfn.UNIQUE(_xlfn._xlws.FILTER(complaints!D2:D928,complaints!D2:D928&lt;&gt;"")),COUNTIF(complaints!D2:D928,_xlfn.UNIQUE(_xlfn._xlws.FILTER(complaints!D2:D928,complaints!D2:D928&lt;&gt;""))),-1),3),"")</f>
        <v>performance</v>
      </c>
      <c r="D31" s="278">
        <f>IF(C31="","",COUNTIF(complaints!D$2:D$928,C31))</f>
        <v>2</v>
      </c>
      <c r="E31" s="259">
        <f t="shared" si="2"/>
        <v>0.125</v>
      </c>
      <c r="F31" s="308" t="str">
        <f t="shared" si="3"/>
        <v>● WATCH</v>
      </c>
      <c r="G31" s="252"/>
      <c r="H31" s="296" t="str">
        <f>'Complaint Rate'!I4</f>
        <v>Sep 2022</v>
      </c>
      <c r="I31" s="297">
        <f>IFERROR('Complaint Rate'!J4,0)</f>
        <v>0</v>
      </c>
      <c r="J31" s="298">
        <f>IFERROR('Complaint Rate'!K4,0)</f>
        <v>2.7619980261771912E-4</v>
      </c>
      <c r="K31" s="299">
        <f>IFERROR('Complaint Rate'!L4,0)</f>
        <v>2.3740003463252955E-3</v>
      </c>
      <c r="L31" s="253"/>
      <c r="M31" s="265" t="s">
        <v>1427</v>
      </c>
      <c r="N31" s="300">
        <f>IFERROR('sales tables'!D91,0)</f>
        <v>3432</v>
      </c>
      <c r="O31" s="309">
        <f>IFERROR('sales tables'!E91,0)</f>
        <v>7846</v>
      </c>
      <c r="P31" s="253"/>
      <c r="Q31" s="250"/>
      <c r="R31" s="250"/>
      <c r="S31" s="250"/>
      <c r="T31" s="250"/>
      <c r="U31" s="250"/>
      <c r="V31" s="250"/>
      <c r="W31" s="250"/>
      <c r="X31" s="250"/>
      <c r="Y31" s="250"/>
      <c r="Z31" s="250"/>
      <c r="AA31" s="250"/>
      <c r="AB31" s="250"/>
      <c r="AC31" s="250"/>
      <c r="AD31" s="250"/>
      <c r="AE31" s="250"/>
      <c r="AF31" s="250"/>
      <c r="AG31" s="250"/>
      <c r="AH31" s="250"/>
      <c r="AI31" s="250"/>
      <c r="AJ31" s="250"/>
      <c r="AK31" s="250"/>
      <c r="AL31" s="250"/>
      <c r="AM31" s="250"/>
      <c r="AN31" s="250"/>
      <c r="AO31" s="250"/>
      <c r="AP31" s="250"/>
      <c r="AQ31" s="250"/>
      <c r="AR31" s="250"/>
      <c r="AS31" s="250"/>
      <c r="AT31" s="250"/>
      <c r="AU31" s="250"/>
      <c r="AV31" s="250"/>
      <c r="AW31" s="250"/>
      <c r="AX31" s="250"/>
      <c r="AY31" s="250"/>
      <c r="AZ31" s="250"/>
    </row>
    <row r="32" spans="1:52" ht="13.15" x14ac:dyDescent="0.4">
      <c r="A32" s="250"/>
      <c r="B32" s="250"/>
      <c r="C32" s="268" t="str" cm="1">
        <f t="array" ref="C32">IFERROR(INDEX(_xlfn.SORTBY(_xlfn.UNIQUE(_xlfn._xlws.FILTER(complaints!D2:D928,complaints!D2:D928&lt;&gt;"")),COUNTIF(complaints!D2:D928,_xlfn.UNIQUE(_xlfn._xlws.FILTER(complaints!D2:D928,complaints!D2:D928&lt;&gt;""))),-1),4),"")</f>
        <v>shippingdamage</v>
      </c>
      <c r="D32" s="269">
        <f>IF(C32="","",COUNTIF(complaints!D$2:D$928,C32))</f>
        <v>2</v>
      </c>
      <c r="E32" s="270">
        <f t="shared" si="2"/>
        <v>0.125</v>
      </c>
      <c r="F32" s="301" t="str">
        <f t="shared" si="3"/>
        <v>● WATCH</v>
      </c>
      <c r="G32" s="252"/>
      <c r="H32" s="302" t="str">
        <f>'Complaint Rate'!I5</f>
        <v>Oct 2022</v>
      </c>
      <c r="I32" s="303">
        <f>IFERROR('Complaint Rate'!J5,0)</f>
        <v>0</v>
      </c>
      <c r="J32" s="304">
        <f>IFERROR('Complaint Rate'!K5,0)</f>
        <v>2.7619980261771912E-4</v>
      </c>
      <c r="K32" s="305">
        <f>IFERROR('Complaint Rate'!L5,0)</f>
        <v>2.3740003463252955E-3</v>
      </c>
      <c r="L32" s="253"/>
      <c r="M32" s="275" t="s">
        <v>73</v>
      </c>
      <c r="N32" s="306">
        <f>IFERROR('sales tables'!D83,0)</f>
        <v>0</v>
      </c>
      <c r="O32" s="307">
        <f>IFERROR('sales tables'!E83,0)</f>
        <v>0</v>
      </c>
      <c r="P32" s="253"/>
      <c r="Q32" s="250"/>
      <c r="R32" s="250"/>
      <c r="S32" s="250"/>
      <c r="T32" s="250"/>
      <c r="U32" s="250"/>
      <c r="V32" s="250"/>
      <c r="W32" s="250"/>
      <c r="X32" s="250"/>
      <c r="Y32" s="250"/>
      <c r="Z32" s="250"/>
      <c r="AA32" s="250"/>
      <c r="AB32" s="250"/>
      <c r="AC32" s="250"/>
      <c r="AD32" s="250"/>
      <c r="AE32" s="250"/>
      <c r="AF32" s="250"/>
      <c r="AG32" s="250"/>
      <c r="AH32" s="250"/>
      <c r="AI32" s="250"/>
      <c r="AJ32" s="250"/>
      <c r="AK32" s="250"/>
      <c r="AL32" s="250"/>
      <c r="AM32" s="250"/>
      <c r="AN32" s="250"/>
      <c r="AO32" s="250"/>
      <c r="AP32" s="250"/>
      <c r="AQ32" s="250"/>
      <c r="AR32" s="250"/>
      <c r="AS32" s="250"/>
      <c r="AT32" s="250"/>
      <c r="AU32" s="250"/>
      <c r="AV32" s="250"/>
      <c r="AW32" s="250"/>
      <c r="AX32" s="250"/>
      <c r="AY32" s="250"/>
      <c r="AZ32" s="250"/>
    </row>
    <row r="33" spans="1:52" ht="13.15" x14ac:dyDescent="0.4">
      <c r="A33" s="250"/>
      <c r="B33" s="250"/>
      <c r="C33" s="257" t="str" cm="1">
        <f t="array" ref="C33">IFERROR(INDEX(_xlfn.SORTBY(_xlfn.UNIQUE(_xlfn._xlws.FILTER(complaints!D2:D928,complaints!D2:D928&lt;&gt;"")),COUNTIF(complaints!D2:D928,_xlfn.UNIQUE(_xlfn._xlws.FILTER(complaints!D2:D928,complaints!D2:D928&lt;&gt;""))),-1),5),"")</f>
        <v>foreignmaterial</v>
      </c>
      <c r="D33" s="262">
        <f>IF(C33="","",COUNTIF(complaints!D$2:D$928,C33))</f>
        <v>1</v>
      </c>
      <c r="E33" s="259">
        <f t="shared" si="2"/>
        <v>6.25E-2</v>
      </c>
      <c r="F33" s="310" t="str">
        <f t="shared" si="3"/>
        <v>▼ LOW</v>
      </c>
      <c r="G33" s="252"/>
      <c r="H33" s="296" t="str">
        <f>'Complaint Rate'!I6</f>
        <v>Nov 2022</v>
      </c>
      <c r="I33" s="297">
        <f>IFERROR('Complaint Rate'!J6,0)</f>
        <v>0</v>
      </c>
      <c r="J33" s="298">
        <f>IFERROR('Complaint Rate'!K6,0)</f>
        <v>2.7619980261771912E-4</v>
      </c>
      <c r="K33" s="299">
        <f>IFERROR('Complaint Rate'!L6,0)</f>
        <v>2.3740003463252955E-3</v>
      </c>
      <c r="L33" s="253"/>
      <c r="M33" s="265" t="s">
        <v>35</v>
      </c>
      <c r="N33" s="300">
        <f>IFERROR('sales tables'!D85,0)</f>
        <v>893</v>
      </c>
      <c r="O33" s="309">
        <f>IFERROR('sales tables'!E85,0)</f>
        <v>2058</v>
      </c>
      <c r="P33" s="253"/>
      <c r="Q33" s="250"/>
      <c r="R33" s="250"/>
      <c r="S33" s="250"/>
      <c r="T33" s="250"/>
      <c r="U33" s="250"/>
      <c r="V33" s="250"/>
      <c r="W33" s="250"/>
      <c r="X33" s="250"/>
      <c r="Y33" s="250"/>
      <c r="Z33" s="250"/>
      <c r="AA33" s="250"/>
      <c r="AB33" s="250"/>
      <c r="AC33" s="250"/>
      <c r="AD33" s="250"/>
      <c r="AE33" s="250"/>
      <c r="AF33" s="250"/>
      <c r="AG33" s="250"/>
      <c r="AH33" s="250"/>
      <c r="AI33" s="250"/>
      <c r="AJ33" s="250"/>
      <c r="AK33" s="250"/>
      <c r="AL33" s="250"/>
      <c r="AM33" s="250"/>
      <c r="AN33" s="250"/>
      <c r="AO33" s="250"/>
      <c r="AP33" s="250"/>
      <c r="AQ33" s="250"/>
      <c r="AR33" s="250"/>
      <c r="AS33" s="250"/>
      <c r="AT33" s="250"/>
      <c r="AU33" s="250"/>
      <c r="AV33" s="250"/>
      <c r="AW33" s="250"/>
      <c r="AX33" s="250"/>
      <c r="AY33" s="250"/>
      <c r="AZ33" s="250"/>
    </row>
    <row r="34" spans="1:52" ht="13.15" x14ac:dyDescent="0.4">
      <c r="A34" s="250"/>
      <c r="B34" s="250"/>
      <c r="C34" s="268" t="str" cm="1">
        <f t="array" ref="C34">IFERROR(INDEX(_xlfn.SORTBY(_xlfn.UNIQUE(_xlfn._xlws.FILTER(complaints!D2:D928,complaints!D2:D928&lt;&gt;"")),COUNTIF(complaints!D2:D928,_xlfn.UNIQUE(_xlfn._xlws.FILTER(complaints!D2:D928,complaints!D2:D928&lt;&gt;""))),-1),6),"")</f>
        <v>particles</v>
      </c>
      <c r="D34" s="282">
        <f>IF(C34="","",COUNTIF(complaints!D$2:D$928,C34))</f>
        <v>1</v>
      </c>
      <c r="E34" s="270">
        <f t="shared" si="2"/>
        <v>6.25E-2</v>
      </c>
      <c r="F34" s="311" t="str">
        <f t="shared" si="3"/>
        <v>▼ LOW</v>
      </c>
      <c r="G34" s="252"/>
      <c r="H34" s="302" t="str">
        <f>'Complaint Rate'!I7</f>
        <v>Dec 2022</v>
      </c>
      <c r="I34" s="312">
        <f>IFERROR('Complaint Rate'!J7,0)</f>
        <v>0</v>
      </c>
      <c r="J34" s="304">
        <f>IFERROR('Complaint Rate'!K7,0)</f>
        <v>2.7619980261771912E-4</v>
      </c>
      <c r="K34" s="305">
        <f>IFERROR('Complaint Rate'!L7,0)</f>
        <v>2.3740003463252955E-3</v>
      </c>
      <c r="L34" s="253"/>
      <c r="M34" s="313" t="s">
        <v>1511</v>
      </c>
      <c r="N34" s="314">
        <f>SUM(N29:N33)</f>
        <v>8270</v>
      </c>
      <c r="O34" s="315">
        <f>SUM(O29:O33)</f>
        <v>19215</v>
      </c>
      <c r="P34" s="253"/>
      <c r="Q34" s="250"/>
      <c r="R34" s="250"/>
      <c r="S34" s="250"/>
      <c r="T34" s="250"/>
      <c r="U34" s="250"/>
      <c r="V34" s="250"/>
      <c r="W34" s="250"/>
      <c r="X34" s="250"/>
      <c r="Y34" s="250"/>
      <c r="Z34" s="250"/>
      <c r="AA34" s="250"/>
      <c r="AB34" s="250"/>
      <c r="AC34" s="250"/>
      <c r="AD34" s="250"/>
      <c r="AE34" s="250"/>
      <c r="AF34" s="250"/>
      <c r="AG34" s="250"/>
      <c r="AH34" s="250"/>
      <c r="AI34" s="250"/>
      <c r="AJ34" s="250"/>
      <c r="AK34" s="250"/>
      <c r="AL34" s="250"/>
      <c r="AM34" s="250"/>
      <c r="AN34" s="250"/>
      <c r="AO34" s="250"/>
      <c r="AP34" s="250"/>
      <c r="AQ34" s="250"/>
      <c r="AR34" s="250"/>
      <c r="AS34" s="250"/>
      <c r="AT34" s="250"/>
      <c r="AU34" s="250"/>
      <c r="AV34" s="250"/>
      <c r="AW34" s="250"/>
      <c r="AX34" s="250"/>
      <c r="AY34" s="250"/>
      <c r="AZ34" s="250"/>
    </row>
    <row r="35" spans="1:52" ht="13.15" x14ac:dyDescent="0.4">
      <c r="A35" s="250"/>
      <c r="B35" s="250"/>
      <c r="C35" s="257" t="str" cm="1">
        <f t="array" ref="C35">IFERROR(INDEX(_xlfn.SORTBY(_xlfn.UNIQUE(_xlfn._xlws.FILTER(complaints!D2:D928,complaints!D2:D928&lt;&gt;"")),COUNTIF(complaints!D2:D928,_xlfn.UNIQUE(_xlfn._xlws.FILTER(complaints!D2:D928,complaints!D2:D928&lt;&gt;""))),-1),7),"")</f>
        <v>bottleslids</v>
      </c>
      <c r="D35" s="262">
        <f>IF(C35="","",COUNTIF(complaints!D$2:D$928,C35))</f>
        <v>1</v>
      </c>
      <c r="E35" s="259">
        <f t="shared" si="2"/>
        <v>6.25E-2</v>
      </c>
      <c r="F35" s="310" t="str">
        <f t="shared" si="3"/>
        <v>▼ LOW</v>
      </c>
      <c r="G35" s="252"/>
      <c r="H35" s="296" t="str">
        <f>'Complaint Rate'!I8</f>
        <v>Jan 2023</v>
      </c>
      <c r="I35" s="297">
        <f>IFERROR('Complaint Rate'!J8,0)</f>
        <v>0</v>
      </c>
      <c r="J35" s="298">
        <f>IFERROR('Complaint Rate'!K8,0)</f>
        <v>2.7619980261771912E-4</v>
      </c>
      <c r="K35" s="299">
        <f>IFERROR('Complaint Rate'!L8,0)</f>
        <v>2.3740003463252955E-3</v>
      </c>
      <c r="L35" s="253"/>
      <c r="M35" s="292"/>
      <c r="N35" s="292"/>
      <c r="O35" s="292"/>
      <c r="P35" s="250"/>
      <c r="Q35" s="250"/>
      <c r="R35" s="250"/>
      <c r="S35" s="250"/>
      <c r="T35" s="250"/>
      <c r="U35" s="250"/>
      <c r="V35" s="250"/>
      <c r="W35" s="250"/>
      <c r="X35" s="250"/>
      <c r="Y35" s="250"/>
      <c r="Z35" s="250"/>
      <c r="AA35" s="250"/>
      <c r="AB35" s="250"/>
      <c r="AC35" s="250"/>
      <c r="AD35" s="250"/>
      <c r="AE35" s="250"/>
      <c r="AF35" s="250"/>
      <c r="AG35" s="250"/>
      <c r="AH35" s="250"/>
      <c r="AI35" s="250"/>
      <c r="AJ35" s="250"/>
      <c r="AK35" s="250"/>
      <c r="AL35" s="250"/>
      <c r="AM35" s="250"/>
      <c r="AN35" s="250"/>
      <c r="AO35" s="250"/>
      <c r="AP35" s="250"/>
      <c r="AQ35" s="250"/>
      <c r="AR35" s="250"/>
      <c r="AS35" s="250"/>
      <c r="AT35" s="250"/>
      <c r="AU35" s="250"/>
      <c r="AV35" s="250"/>
      <c r="AW35" s="250"/>
      <c r="AX35" s="250"/>
      <c r="AY35" s="250"/>
      <c r="AZ35" s="250"/>
    </row>
    <row r="36" spans="1:52" ht="13.15" x14ac:dyDescent="0.4">
      <c r="A36" s="250"/>
      <c r="B36" s="250"/>
      <c r="C36" s="316" t="s">
        <v>1495</v>
      </c>
      <c r="D36" s="317">
        <f>C6</f>
        <v>16</v>
      </c>
      <c r="E36" s="318">
        <f>IF(D36=0,0,1)</f>
        <v>1</v>
      </c>
      <c r="F36" s="275"/>
      <c r="G36" s="252"/>
      <c r="H36" s="302" t="str">
        <f>'Complaint Rate'!I9</f>
        <v>Feb 2023</v>
      </c>
      <c r="I36" s="303">
        <f>IFERROR('Complaint Rate'!J9,0)</f>
        <v>0</v>
      </c>
      <c r="J36" s="304">
        <f>IFERROR('Complaint Rate'!K9,0)</f>
        <v>2.7619980261771912E-4</v>
      </c>
      <c r="K36" s="305">
        <f>IFERROR('Complaint Rate'!L9,0)</f>
        <v>2.3740003463252955E-3</v>
      </c>
      <c r="L36" s="253"/>
      <c r="M36" s="250"/>
      <c r="N36" s="250"/>
      <c r="O36" s="250"/>
      <c r="P36" s="250"/>
      <c r="Q36" s="250"/>
      <c r="R36" s="250"/>
      <c r="S36" s="250"/>
      <c r="T36" s="250"/>
      <c r="U36" s="250"/>
      <c r="V36" s="250"/>
      <c r="W36" s="250"/>
      <c r="X36" s="250"/>
      <c r="Y36" s="250"/>
      <c r="Z36" s="250"/>
      <c r="AA36" s="250"/>
      <c r="AB36" s="250"/>
      <c r="AC36" s="250"/>
      <c r="AD36" s="250"/>
      <c r="AE36" s="250"/>
      <c r="AF36" s="250"/>
      <c r="AG36" s="250"/>
      <c r="AH36" s="250"/>
      <c r="AI36" s="250"/>
      <c r="AJ36" s="250"/>
      <c r="AK36" s="250"/>
      <c r="AL36" s="250"/>
      <c r="AM36" s="250"/>
      <c r="AN36" s="250"/>
      <c r="AO36" s="250"/>
      <c r="AP36" s="250"/>
      <c r="AQ36" s="250"/>
      <c r="AR36" s="250"/>
      <c r="AS36" s="250"/>
      <c r="AT36" s="250"/>
      <c r="AU36" s="250"/>
      <c r="AV36" s="250"/>
      <c r="AW36" s="250"/>
      <c r="AX36" s="250"/>
      <c r="AY36" s="250"/>
      <c r="AZ36" s="250"/>
    </row>
    <row r="37" spans="1:52" ht="13.15" x14ac:dyDescent="0.4">
      <c r="A37" s="250"/>
      <c r="B37" s="250"/>
      <c r="C37" s="292"/>
      <c r="D37" s="292"/>
      <c r="E37" s="292"/>
      <c r="F37" s="292"/>
      <c r="G37" s="250"/>
      <c r="H37" s="319" t="str">
        <f>'Complaint Rate'!I10</f>
        <v>Mar 2023</v>
      </c>
      <c r="I37" s="297">
        <f>IFERROR('Complaint Rate'!J10,0)</f>
        <v>5.0709939148073022E-4</v>
      </c>
      <c r="J37" s="298">
        <f>IFERROR('Complaint Rate'!K10,0)</f>
        <v>2.7619980261771912E-4</v>
      </c>
      <c r="K37" s="299">
        <f>IFERROR('Complaint Rate'!L10,0)</f>
        <v>2.3740003463252955E-3</v>
      </c>
      <c r="L37" s="253"/>
      <c r="M37" s="250"/>
      <c r="N37" s="250"/>
      <c r="O37" s="250"/>
      <c r="P37" s="250"/>
      <c r="Q37" s="250"/>
      <c r="R37" s="250"/>
      <c r="S37" s="250"/>
      <c r="T37" s="250"/>
      <c r="U37" s="250"/>
      <c r="V37" s="250"/>
      <c r="W37" s="250"/>
      <c r="X37" s="250"/>
      <c r="Y37" s="250"/>
      <c r="Z37" s="250"/>
      <c r="AA37" s="250"/>
      <c r="AB37" s="250"/>
      <c r="AC37" s="250"/>
      <c r="AD37" s="250"/>
      <c r="AE37" s="250"/>
      <c r="AF37" s="250"/>
      <c r="AG37" s="250"/>
      <c r="AH37" s="250"/>
      <c r="AI37" s="250"/>
      <c r="AJ37" s="250"/>
      <c r="AK37" s="250"/>
      <c r="AL37" s="250"/>
      <c r="AM37" s="250"/>
      <c r="AN37" s="250"/>
      <c r="AO37" s="250"/>
      <c r="AP37" s="250"/>
      <c r="AQ37" s="250"/>
      <c r="AR37" s="250"/>
      <c r="AS37" s="250"/>
      <c r="AT37" s="250"/>
      <c r="AU37" s="250"/>
      <c r="AV37" s="250"/>
      <c r="AW37" s="250"/>
      <c r="AX37" s="250"/>
      <c r="AY37" s="250"/>
      <c r="AZ37" s="250"/>
    </row>
    <row r="38" spans="1:52" ht="13.15" x14ac:dyDescent="0.4">
      <c r="A38" s="250"/>
      <c r="B38" s="250"/>
      <c r="C38" s="250"/>
      <c r="D38" s="250"/>
      <c r="E38" s="250"/>
      <c r="F38" s="250"/>
      <c r="G38" s="250"/>
      <c r="H38" s="320" t="str">
        <f>'Complaint Rate'!I11</f>
        <v>Apr 2023</v>
      </c>
      <c r="I38" s="303">
        <f>IFERROR('Complaint Rate'!J11,0)</f>
        <v>6.2111801242236027E-4</v>
      </c>
      <c r="J38" s="304">
        <f>IFERROR('Complaint Rate'!K11,0)</f>
        <v>2.7619980261771912E-4</v>
      </c>
      <c r="K38" s="305">
        <f>IFERROR('Complaint Rate'!L11,0)</f>
        <v>2.3740003463252955E-3</v>
      </c>
      <c r="L38" s="253"/>
      <c r="M38" s="250"/>
      <c r="N38" s="250"/>
      <c r="O38" s="250"/>
      <c r="P38" s="250"/>
      <c r="Q38" s="250"/>
      <c r="R38" s="250"/>
      <c r="S38" s="250"/>
      <c r="T38" s="250"/>
      <c r="U38" s="250"/>
      <c r="V38" s="250"/>
      <c r="W38" s="250"/>
      <c r="X38" s="250"/>
      <c r="Y38" s="250"/>
      <c r="Z38" s="250"/>
      <c r="AA38" s="250"/>
      <c r="AB38" s="250"/>
      <c r="AC38" s="250"/>
      <c r="AD38" s="250"/>
      <c r="AE38" s="250"/>
      <c r="AF38" s="250"/>
      <c r="AG38" s="250"/>
      <c r="AH38" s="250"/>
      <c r="AI38" s="250"/>
      <c r="AJ38" s="250"/>
      <c r="AK38" s="250"/>
      <c r="AL38" s="250"/>
      <c r="AM38" s="250"/>
      <c r="AN38" s="250"/>
      <c r="AO38" s="250"/>
      <c r="AP38" s="250"/>
      <c r="AQ38" s="250"/>
      <c r="AR38" s="250"/>
      <c r="AS38" s="250"/>
      <c r="AT38" s="250"/>
      <c r="AU38" s="250"/>
      <c r="AV38" s="250"/>
      <c r="AW38" s="250"/>
      <c r="AX38" s="250"/>
      <c r="AY38" s="250"/>
      <c r="AZ38" s="250"/>
    </row>
    <row r="39" spans="1:52" ht="13.15" x14ac:dyDescent="0.4">
      <c r="A39" s="250"/>
      <c r="B39" s="250"/>
      <c r="C39" s="250"/>
      <c r="D39" s="250"/>
      <c r="E39" s="250"/>
      <c r="F39" s="250"/>
      <c r="G39" s="250"/>
      <c r="H39" s="319" t="str">
        <f>'Complaint Rate'!I12</f>
        <v>May 2023</v>
      </c>
      <c r="I39" s="297">
        <f>IFERROR('Complaint Rate'!J12,0)</f>
        <v>1.6882386043894203E-3</v>
      </c>
      <c r="J39" s="298">
        <f>IFERROR('Complaint Rate'!K12,0)</f>
        <v>2.7619980261771912E-4</v>
      </c>
      <c r="K39" s="299">
        <f>IFERROR('Complaint Rate'!L12,0)</f>
        <v>2.3740003463252955E-3</v>
      </c>
      <c r="L39" s="253"/>
      <c r="M39" s="250"/>
      <c r="N39" s="250"/>
      <c r="O39" s="250"/>
      <c r="P39" s="250"/>
      <c r="Q39" s="250"/>
      <c r="R39" s="250"/>
      <c r="S39" s="250"/>
      <c r="T39" s="250"/>
      <c r="U39" s="250"/>
      <c r="V39" s="250"/>
      <c r="W39" s="250"/>
      <c r="X39" s="250"/>
      <c r="Y39" s="250"/>
      <c r="Z39" s="250"/>
      <c r="AA39" s="250"/>
      <c r="AB39" s="250"/>
      <c r="AC39" s="250"/>
      <c r="AD39" s="250"/>
      <c r="AE39" s="250"/>
      <c r="AF39" s="250"/>
      <c r="AG39" s="250"/>
      <c r="AH39" s="250"/>
      <c r="AI39" s="250"/>
      <c r="AJ39" s="250"/>
      <c r="AK39" s="250"/>
      <c r="AL39" s="250"/>
      <c r="AM39" s="250"/>
      <c r="AN39" s="250"/>
      <c r="AO39" s="250"/>
      <c r="AP39" s="250"/>
      <c r="AQ39" s="250"/>
      <c r="AR39" s="250"/>
      <c r="AS39" s="250"/>
      <c r="AT39" s="250"/>
      <c r="AU39" s="250"/>
      <c r="AV39" s="250"/>
      <c r="AW39" s="250"/>
      <c r="AX39" s="250"/>
      <c r="AY39" s="250"/>
      <c r="AZ39" s="250"/>
    </row>
    <row r="40" spans="1:52" ht="13.15" x14ac:dyDescent="0.4">
      <c r="A40" s="250"/>
      <c r="B40" s="250"/>
      <c r="C40" s="250"/>
      <c r="D40" s="250"/>
      <c r="E40" s="250"/>
      <c r="F40" s="250"/>
      <c r="G40" s="250"/>
      <c r="H40" s="320" t="str">
        <f>'Complaint Rate'!I13</f>
        <v>Jun 2023</v>
      </c>
      <c r="I40" s="303">
        <f>IFERROR('Complaint Rate'!J13,0)</f>
        <v>3.5671819262782403E-3</v>
      </c>
      <c r="J40" s="304">
        <f>IFERROR('Complaint Rate'!K13,0)</f>
        <v>2.7619980261771912E-4</v>
      </c>
      <c r="K40" s="305">
        <f>IFERROR('Complaint Rate'!L13,0)</f>
        <v>2.3740003463252955E-3</v>
      </c>
      <c r="L40" s="253"/>
      <c r="M40" s="250"/>
      <c r="N40" s="250"/>
      <c r="O40" s="250"/>
      <c r="P40" s="250"/>
      <c r="Q40" s="250"/>
      <c r="R40" s="250"/>
      <c r="S40" s="250"/>
      <c r="T40" s="250"/>
      <c r="U40" s="250"/>
      <c r="V40" s="250"/>
      <c r="W40" s="250"/>
      <c r="X40" s="250"/>
      <c r="Y40" s="250"/>
      <c r="Z40" s="250"/>
      <c r="AA40" s="250"/>
      <c r="AB40" s="250"/>
      <c r="AC40" s="250"/>
      <c r="AD40" s="250"/>
      <c r="AE40" s="250"/>
      <c r="AF40" s="250"/>
      <c r="AG40" s="250"/>
      <c r="AH40" s="250"/>
      <c r="AI40" s="250"/>
      <c r="AJ40" s="250"/>
      <c r="AK40" s="250"/>
      <c r="AL40" s="250"/>
      <c r="AM40" s="250"/>
      <c r="AN40" s="250"/>
      <c r="AO40" s="250"/>
      <c r="AP40" s="250"/>
      <c r="AQ40" s="250"/>
      <c r="AR40" s="250"/>
      <c r="AS40" s="250"/>
      <c r="AT40" s="250"/>
      <c r="AU40" s="250"/>
      <c r="AV40" s="250"/>
      <c r="AW40" s="250"/>
      <c r="AX40" s="250"/>
      <c r="AY40" s="250"/>
      <c r="AZ40" s="250"/>
    </row>
    <row r="41" spans="1:52" ht="13.15" x14ac:dyDescent="0.4">
      <c r="A41" s="250"/>
      <c r="B41" s="250"/>
      <c r="C41" s="250"/>
      <c r="D41" s="250"/>
      <c r="E41" s="250"/>
      <c r="F41" s="250"/>
      <c r="G41" s="250"/>
      <c r="H41" s="319" t="str">
        <f>'Complaint Rate'!I14</f>
        <v>Jul 2023</v>
      </c>
      <c r="I41" s="297">
        <f>IFERROR('Complaint Rate'!J14,0)</f>
        <v>0</v>
      </c>
      <c r="J41" s="298">
        <f>IFERROR('Complaint Rate'!K14,0)</f>
        <v>2.7619980261771912E-4</v>
      </c>
      <c r="K41" s="299">
        <f>IFERROR('Complaint Rate'!L14,0)</f>
        <v>2.3740003463252955E-3</v>
      </c>
      <c r="L41" s="253"/>
      <c r="M41" s="250"/>
      <c r="N41" s="250"/>
      <c r="O41" s="250"/>
      <c r="P41" s="250"/>
      <c r="Q41" s="250"/>
      <c r="R41" s="250"/>
      <c r="S41" s="250"/>
      <c r="T41" s="250"/>
      <c r="U41" s="250"/>
      <c r="V41" s="250"/>
      <c r="W41" s="250"/>
      <c r="X41" s="250"/>
      <c r="Y41" s="250"/>
      <c r="Z41" s="250"/>
      <c r="AA41" s="250"/>
      <c r="AB41" s="250"/>
      <c r="AC41" s="250"/>
      <c r="AD41" s="250"/>
      <c r="AE41" s="250"/>
      <c r="AF41" s="250"/>
      <c r="AG41" s="250"/>
      <c r="AH41" s="250"/>
      <c r="AI41" s="250"/>
      <c r="AJ41" s="250"/>
      <c r="AK41" s="250"/>
      <c r="AL41" s="250"/>
      <c r="AM41" s="250"/>
      <c r="AN41" s="250"/>
      <c r="AO41" s="250"/>
      <c r="AP41" s="250"/>
      <c r="AQ41" s="250"/>
      <c r="AR41" s="250"/>
      <c r="AS41" s="250"/>
      <c r="AT41" s="250"/>
      <c r="AU41" s="250"/>
      <c r="AV41" s="250"/>
      <c r="AW41" s="250"/>
      <c r="AX41" s="250"/>
      <c r="AY41" s="250"/>
      <c r="AZ41" s="250"/>
    </row>
    <row r="42" spans="1:52" ht="13.15" x14ac:dyDescent="0.4">
      <c r="A42" s="250"/>
      <c r="B42" s="250"/>
      <c r="C42" s="250"/>
      <c r="D42" s="250"/>
      <c r="E42" s="250"/>
      <c r="F42" s="250"/>
      <c r="G42" s="250"/>
      <c r="H42" s="320" t="str">
        <f>'Complaint Rate'!I15</f>
        <v>Aug 2023</v>
      </c>
      <c r="I42" s="303">
        <f>IFERROR('Complaint Rate'!J15,0)</f>
        <v>0</v>
      </c>
      <c r="J42" s="304">
        <f>IFERROR('Complaint Rate'!K15,0)</f>
        <v>2.7619980261771912E-4</v>
      </c>
      <c r="K42" s="305">
        <f>IFERROR('Complaint Rate'!L15,0)</f>
        <v>2.3740003463252955E-3</v>
      </c>
      <c r="L42" s="253"/>
      <c r="M42" s="250"/>
      <c r="N42" s="250"/>
      <c r="O42" s="250"/>
      <c r="P42" s="250"/>
      <c r="Q42" s="250"/>
      <c r="R42" s="250"/>
      <c r="S42" s="250"/>
      <c r="T42" s="250"/>
      <c r="U42" s="250"/>
      <c r="V42" s="250"/>
      <c r="W42" s="250"/>
      <c r="X42" s="250"/>
      <c r="Y42" s="250"/>
      <c r="Z42" s="250"/>
      <c r="AA42" s="250"/>
      <c r="AB42" s="250"/>
      <c r="AC42" s="250"/>
      <c r="AD42" s="250"/>
      <c r="AE42" s="250"/>
      <c r="AF42" s="250"/>
      <c r="AG42" s="250"/>
      <c r="AH42" s="250"/>
      <c r="AI42" s="250"/>
      <c r="AJ42" s="250"/>
      <c r="AK42" s="250"/>
      <c r="AL42" s="250"/>
      <c r="AM42" s="250"/>
      <c r="AN42" s="250"/>
      <c r="AO42" s="250"/>
      <c r="AP42" s="250"/>
      <c r="AQ42" s="250"/>
      <c r="AR42" s="250"/>
      <c r="AS42" s="250"/>
      <c r="AT42" s="250"/>
      <c r="AU42" s="250"/>
      <c r="AV42" s="250"/>
      <c r="AW42" s="250"/>
      <c r="AX42" s="250"/>
      <c r="AY42" s="250"/>
      <c r="AZ42" s="250"/>
    </row>
    <row r="43" spans="1:52" ht="13.15" x14ac:dyDescent="0.4">
      <c r="A43" s="250"/>
      <c r="B43" s="250"/>
      <c r="C43" s="250"/>
      <c r="D43" s="250"/>
      <c r="E43" s="250"/>
      <c r="F43" s="250"/>
      <c r="G43" s="250"/>
      <c r="H43" s="292"/>
      <c r="I43" s="292"/>
      <c r="J43" s="292"/>
      <c r="K43" s="292"/>
      <c r="L43" s="250"/>
      <c r="M43" s="250"/>
      <c r="N43" s="250"/>
      <c r="O43" s="250"/>
      <c r="P43" s="250"/>
      <c r="Q43" s="250"/>
      <c r="R43" s="250"/>
      <c r="S43" s="250"/>
      <c r="T43" s="250"/>
      <c r="U43" s="250"/>
      <c r="V43" s="250"/>
      <c r="W43" s="250"/>
      <c r="X43" s="250"/>
      <c r="Y43" s="250"/>
      <c r="Z43" s="250"/>
      <c r="AA43" s="250"/>
      <c r="AB43" s="250"/>
      <c r="AC43" s="250"/>
      <c r="AD43" s="250"/>
      <c r="AE43" s="250"/>
      <c r="AF43" s="250"/>
      <c r="AG43" s="250"/>
      <c r="AH43" s="250"/>
      <c r="AI43" s="250"/>
      <c r="AJ43" s="250"/>
      <c r="AK43" s="250"/>
      <c r="AL43" s="250"/>
      <c r="AM43" s="250"/>
      <c r="AN43" s="250"/>
      <c r="AO43" s="250"/>
      <c r="AP43" s="250"/>
      <c r="AQ43" s="250"/>
      <c r="AR43" s="250"/>
      <c r="AS43" s="250"/>
      <c r="AT43" s="250"/>
      <c r="AU43" s="250"/>
      <c r="AV43" s="250"/>
      <c r="AW43" s="250"/>
      <c r="AX43" s="250"/>
      <c r="AY43" s="250"/>
      <c r="AZ43" s="250"/>
    </row>
    <row r="44" spans="1:52" ht="12" customHeight="1" x14ac:dyDescent="0.4">
      <c r="A44" s="250"/>
      <c r="B44" s="250"/>
      <c r="C44" s="250"/>
      <c r="D44" s="250"/>
      <c r="E44" s="250"/>
      <c r="F44" s="250"/>
      <c r="G44" s="250"/>
      <c r="H44" s="250"/>
      <c r="I44" s="250"/>
      <c r="J44" s="250"/>
      <c r="K44" s="250"/>
      <c r="L44" s="250"/>
      <c r="M44" s="250"/>
      <c r="N44" s="250"/>
      <c r="O44" s="250"/>
      <c r="P44" s="250"/>
      <c r="Q44" s="250"/>
      <c r="R44" s="250"/>
      <c r="S44" s="250"/>
      <c r="T44" s="250"/>
      <c r="U44" s="250"/>
      <c r="V44" s="250"/>
      <c r="W44" s="250"/>
      <c r="X44" s="250"/>
      <c r="Y44" s="250"/>
      <c r="Z44" s="250"/>
      <c r="AA44" s="250"/>
      <c r="AB44" s="250"/>
      <c r="AC44" s="250"/>
      <c r="AD44" s="250"/>
      <c r="AE44" s="250"/>
      <c r="AF44" s="250"/>
      <c r="AG44" s="250"/>
      <c r="AH44" s="250"/>
      <c r="AI44" s="250"/>
      <c r="AJ44" s="250"/>
      <c r="AK44" s="250"/>
      <c r="AL44" s="250"/>
      <c r="AM44" s="250"/>
      <c r="AN44" s="250"/>
      <c r="AO44" s="250"/>
      <c r="AP44" s="250"/>
      <c r="AQ44" s="250"/>
      <c r="AR44" s="250"/>
      <c r="AS44" s="250"/>
      <c r="AT44" s="250"/>
      <c r="AU44" s="250"/>
      <c r="AV44" s="250"/>
      <c r="AW44" s="250"/>
      <c r="AX44" s="250"/>
      <c r="AY44" s="250"/>
      <c r="AZ44" s="250"/>
    </row>
    <row r="45" spans="1:52" ht="30" customHeight="1" thickBot="1" x14ac:dyDescent="0.45">
      <c r="A45" s="250"/>
      <c r="B45" s="250"/>
      <c r="C45" s="468" t="s">
        <v>1512</v>
      </c>
      <c r="D45" s="469"/>
      <c r="E45" s="469"/>
      <c r="F45" s="469"/>
      <c r="G45" s="253"/>
      <c r="H45" s="470" t="s">
        <v>1513</v>
      </c>
      <c r="I45" s="471"/>
      <c r="J45" s="471"/>
      <c r="K45" s="472"/>
      <c r="L45" s="250"/>
      <c r="M45" s="473" t="s">
        <v>1514</v>
      </c>
      <c r="N45" s="474"/>
      <c r="O45" s="474"/>
      <c r="P45" s="253"/>
      <c r="Q45" s="250"/>
      <c r="R45" s="250"/>
      <c r="S45" s="250"/>
      <c r="T45" s="250"/>
      <c r="U45" s="250"/>
      <c r="V45" s="250"/>
      <c r="W45" s="250"/>
      <c r="X45" s="250"/>
      <c r="Y45" s="250"/>
      <c r="Z45" s="250"/>
      <c r="AA45" s="250"/>
      <c r="AB45" s="250"/>
      <c r="AC45" s="250"/>
      <c r="AD45" s="250"/>
      <c r="AE45" s="250"/>
      <c r="AF45" s="250"/>
      <c r="AG45" s="250"/>
      <c r="AH45" s="250"/>
      <c r="AI45" s="250"/>
      <c r="AJ45" s="250"/>
      <c r="AK45" s="250"/>
      <c r="AL45" s="250"/>
      <c r="AM45" s="250"/>
      <c r="AN45" s="250"/>
      <c r="AO45" s="250"/>
      <c r="AP45" s="250"/>
      <c r="AQ45" s="250"/>
      <c r="AR45" s="250"/>
      <c r="AS45" s="250"/>
      <c r="AT45" s="250"/>
      <c r="AU45" s="250"/>
      <c r="AV45" s="250"/>
      <c r="AW45" s="250"/>
      <c r="AX45" s="250"/>
      <c r="AY45" s="250"/>
      <c r="AZ45" s="250"/>
    </row>
    <row r="46" spans="1:52" ht="13.15" x14ac:dyDescent="0.4">
      <c r="A46" s="250"/>
      <c r="B46" s="250"/>
      <c r="C46" s="254" t="s">
        <v>40</v>
      </c>
      <c r="D46" s="255" t="s">
        <v>1515</v>
      </c>
      <c r="E46" s="255" t="s">
        <v>1516</v>
      </c>
      <c r="F46" s="255" t="s">
        <v>1517</v>
      </c>
      <c r="G46" s="253"/>
      <c r="H46" s="250"/>
      <c r="I46" s="250"/>
      <c r="J46" s="250"/>
      <c r="K46" s="250"/>
      <c r="L46" s="250"/>
      <c r="M46" s="321" t="s">
        <v>1521</v>
      </c>
      <c r="N46" s="322" t="s">
        <v>1522</v>
      </c>
      <c r="O46" s="323" t="s">
        <v>1523</v>
      </c>
      <c r="P46" s="253"/>
      <c r="Q46" s="250"/>
      <c r="R46" s="250"/>
      <c r="S46" s="250"/>
      <c r="T46" s="250"/>
      <c r="U46" s="250"/>
      <c r="V46" s="250"/>
      <c r="W46" s="250"/>
      <c r="X46" s="250"/>
      <c r="Y46" s="250"/>
      <c r="Z46" s="250"/>
      <c r="AA46" s="250"/>
      <c r="AB46" s="250"/>
      <c r="AC46" s="250"/>
      <c r="AD46" s="250"/>
      <c r="AE46" s="250"/>
      <c r="AF46" s="250"/>
      <c r="AG46" s="250"/>
      <c r="AH46" s="250"/>
      <c r="AI46" s="250"/>
      <c r="AJ46" s="250"/>
      <c r="AK46" s="250"/>
      <c r="AL46" s="250"/>
      <c r="AM46" s="250"/>
      <c r="AN46" s="250"/>
      <c r="AO46" s="250"/>
      <c r="AP46" s="250"/>
      <c r="AQ46" s="250"/>
      <c r="AR46" s="250"/>
      <c r="AS46" s="250"/>
      <c r="AT46" s="250"/>
      <c r="AU46" s="250"/>
      <c r="AV46" s="250"/>
      <c r="AW46" s="250"/>
      <c r="AX46" s="250"/>
      <c r="AY46" s="250"/>
      <c r="AZ46" s="250"/>
    </row>
    <row r="47" spans="1:52" ht="13.15" x14ac:dyDescent="0.4">
      <c r="A47" s="250"/>
      <c r="B47" s="250"/>
      <c r="C47" s="257" t="s">
        <v>50</v>
      </c>
      <c r="D47" s="324">
        <v>2.0000000000000001E-4</v>
      </c>
      <c r="E47" s="324">
        <v>1E-3</v>
      </c>
      <c r="F47" s="325" t="s">
        <v>1518</v>
      </c>
      <c r="G47" s="253"/>
      <c r="H47" s="250"/>
      <c r="I47" s="250"/>
      <c r="J47" s="250"/>
      <c r="K47" s="250"/>
      <c r="L47" s="250"/>
      <c r="M47" s="326" t="s">
        <v>1524</v>
      </c>
      <c r="N47" s="250"/>
      <c r="O47" s="327" t="s">
        <v>1525</v>
      </c>
      <c r="P47" s="253"/>
      <c r="Q47" s="250"/>
      <c r="R47" s="250"/>
      <c r="S47" s="250"/>
      <c r="T47" s="250"/>
      <c r="U47" s="250"/>
      <c r="V47" s="250"/>
      <c r="W47" s="250"/>
      <c r="X47" s="250"/>
      <c r="Y47" s="250"/>
      <c r="Z47" s="250"/>
      <c r="AA47" s="250"/>
      <c r="AB47" s="250"/>
      <c r="AC47" s="250"/>
      <c r="AD47" s="250"/>
      <c r="AE47" s="250"/>
      <c r="AF47" s="250"/>
      <c r="AG47" s="250"/>
      <c r="AH47" s="250"/>
      <c r="AI47" s="250"/>
      <c r="AJ47" s="250"/>
      <c r="AK47" s="250"/>
      <c r="AL47" s="250"/>
      <c r="AM47" s="250"/>
      <c r="AN47" s="250"/>
      <c r="AO47" s="250"/>
      <c r="AP47" s="250"/>
      <c r="AQ47" s="250"/>
      <c r="AR47" s="250"/>
      <c r="AS47" s="250"/>
      <c r="AT47" s="250"/>
      <c r="AU47" s="250"/>
      <c r="AV47" s="250"/>
      <c r="AW47" s="250"/>
      <c r="AX47" s="250"/>
      <c r="AY47" s="250"/>
      <c r="AZ47" s="250"/>
    </row>
    <row r="48" spans="1:52" ht="13.15" x14ac:dyDescent="0.4">
      <c r="A48" s="250"/>
      <c r="B48" s="250"/>
      <c r="C48" s="268" t="s">
        <v>1491</v>
      </c>
      <c r="D48" s="328">
        <v>1E-4</v>
      </c>
      <c r="E48" s="328">
        <v>1E-4</v>
      </c>
      <c r="F48" s="329" t="s">
        <v>1519</v>
      </c>
      <c r="G48" s="253"/>
      <c r="H48" s="250"/>
      <c r="I48" s="250"/>
      <c r="J48" s="250"/>
      <c r="K48" s="250"/>
      <c r="L48" s="250"/>
      <c r="M48" s="330"/>
      <c r="N48" s="250"/>
      <c r="O48" s="250"/>
      <c r="P48" s="253"/>
      <c r="Q48" s="250"/>
      <c r="R48" s="250"/>
      <c r="S48" s="250"/>
      <c r="T48" s="250"/>
      <c r="U48" s="250"/>
      <c r="V48" s="250"/>
      <c r="W48" s="250"/>
      <c r="X48" s="250"/>
      <c r="Y48" s="250"/>
      <c r="Z48" s="250"/>
      <c r="AA48" s="250"/>
      <c r="AB48" s="250"/>
      <c r="AC48" s="250"/>
      <c r="AD48" s="250"/>
      <c r="AE48" s="250"/>
      <c r="AF48" s="250"/>
      <c r="AG48" s="250"/>
      <c r="AH48" s="250"/>
      <c r="AI48" s="250"/>
      <c r="AJ48" s="250"/>
      <c r="AK48" s="250"/>
      <c r="AL48" s="250"/>
      <c r="AM48" s="250"/>
      <c r="AN48" s="250"/>
      <c r="AO48" s="250"/>
      <c r="AP48" s="250"/>
      <c r="AQ48" s="250"/>
      <c r="AR48" s="250"/>
      <c r="AS48" s="250"/>
      <c r="AT48" s="250"/>
      <c r="AU48" s="250"/>
      <c r="AV48" s="250"/>
      <c r="AW48" s="250"/>
      <c r="AX48" s="250"/>
      <c r="AY48" s="250"/>
      <c r="AZ48" s="250"/>
    </row>
    <row r="49" spans="1:52" ht="13.15" x14ac:dyDescent="0.4">
      <c r="A49" s="250"/>
      <c r="B49" s="250"/>
      <c r="C49" s="257" t="s">
        <v>1492</v>
      </c>
      <c r="D49" s="324">
        <v>1E-4</v>
      </c>
      <c r="E49" s="324">
        <v>1E-4</v>
      </c>
      <c r="F49" s="331" t="s">
        <v>1519</v>
      </c>
      <c r="G49" s="253"/>
      <c r="H49" s="250"/>
      <c r="I49" s="250"/>
      <c r="J49" s="250"/>
      <c r="K49" s="250"/>
      <c r="L49" s="250"/>
      <c r="M49" s="332" t="s">
        <v>1526</v>
      </c>
      <c r="N49" s="333" t="s">
        <v>1527</v>
      </c>
      <c r="O49" s="334" t="s">
        <v>1528</v>
      </c>
      <c r="P49" s="253"/>
      <c r="Q49" s="250"/>
      <c r="R49" s="250"/>
      <c r="S49" s="250"/>
      <c r="T49" s="250"/>
      <c r="U49" s="250"/>
      <c r="V49" s="250"/>
      <c r="W49" s="250"/>
      <c r="X49" s="250"/>
      <c r="Y49" s="250"/>
      <c r="Z49" s="250"/>
      <c r="AA49" s="250"/>
      <c r="AB49" s="250"/>
      <c r="AC49" s="250"/>
      <c r="AD49" s="250"/>
      <c r="AE49" s="250"/>
      <c r="AF49" s="250"/>
      <c r="AG49" s="250"/>
      <c r="AH49" s="250"/>
      <c r="AI49" s="250"/>
      <c r="AJ49" s="250"/>
      <c r="AK49" s="250"/>
      <c r="AL49" s="250"/>
      <c r="AM49" s="250"/>
      <c r="AN49" s="250"/>
      <c r="AO49" s="250"/>
      <c r="AP49" s="250"/>
      <c r="AQ49" s="250"/>
      <c r="AR49" s="250"/>
      <c r="AS49" s="250"/>
      <c r="AT49" s="250"/>
      <c r="AU49" s="250"/>
      <c r="AV49" s="250"/>
      <c r="AW49" s="250"/>
      <c r="AX49" s="250"/>
      <c r="AY49" s="250"/>
      <c r="AZ49" s="250"/>
    </row>
    <row r="50" spans="1:52" ht="13.15" x14ac:dyDescent="0.4">
      <c r="A50" s="250"/>
      <c r="B50" s="250"/>
      <c r="C50" s="268" t="s">
        <v>1493</v>
      </c>
      <c r="D50" s="328">
        <v>0</v>
      </c>
      <c r="E50" s="328">
        <v>1E-4</v>
      </c>
      <c r="F50" s="335" t="s">
        <v>1518</v>
      </c>
      <c r="G50" s="253"/>
      <c r="H50" s="250"/>
      <c r="I50" s="250"/>
      <c r="J50" s="250"/>
      <c r="K50" s="250"/>
      <c r="L50" s="250"/>
      <c r="M50" s="336" t="s">
        <v>1529</v>
      </c>
      <c r="N50" s="250"/>
      <c r="O50" s="337" t="s">
        <v>1530</v>
      </c>
      <c r="P50" s="253"/>
      <c r="Q50" s="250"/>
      <c r="R50" s="250"/>
      <c r="S50" s="250"/>
      <c r="T50" s="250"/>
      <c r="U50" s="250"/>
      <c r="V50" s="250"/>
      <c r="W50" s="250"/>
      <c r="X50" s="250"/>
      <c r="Y50" s="250"/>
      <c r="Z50" s="250"/>
      <c r="AA50" s="250"/>
      <c r="AB50" s="250"/>
      <c r="AC50" s="250"/>
      <c r="AD50" s="250"/>
      <c r="AE50" s="250"/>
      <c r="AF50" s="250"/>
      <c r="AG50" s="250"/>
      <c r="AH50" s="250"/>
      <c r="AI50" s="250"/>
      <c r="AJ50" s="250"/>
      <c r="AK50" s="250"/>
      <c r="AL50" s="250"/>
      <c r="AM50" s="250"/>
      <c r="AN50" s="250"/>
      <c r="AO50" s="250"/>
      <c r="AP50" s="250"/>
      <c r="AQ50" s="250"/>
      <c r="AR50" s="250"/>
      <c r="AS50" s="250"/>
      <c r="AT50" s="250"/>
      <c r="AU50" s="250"/>
      <c r="AV50" s="250"/>
      <c r="AW50" s="250"/>
      <c r="AX50" s="250"/>
      <c r="AY50" s="250"/>
      <c r="AZ50" s="250"/>
    </row>
    <row r="51" spans="1:52" ht="13.15" x14ac:dyDescent="0.4">
      <c r="A51" s="250"/>
      <c r="B51" s="250"/>
      <c r="C51" s="257" t="s">
        <v>1494</v>
      </c>
      <c r="D51" s="324">
        <v>0</v>
      </c>
      <c r="E51" s="324">
        <v>1E-4</v>
      </c>
      <c r="F51" s="325" t="s">
        <v>1518</v>
      </c>
      <c r="G51" s="253"/>
      <c r="H51" s="250"/>
      <c r="I51" s="250"/>
      <c r="J51" s="250"/>
      <c r="K51" s="250"/>
      <c r="L51" s="250"/>
      <c r="M51" s="330"/>
      <c r="N51" s="250"/>
      <c r="O51" s="250"/>
      <c r="P51" s="253"/>
      <c r="Q51" s="250"/>
      <c r="R51" s="250"/>
      <c r="S51" s="250"/>
      <c r="T51" s="250"/>
      <c r="U51" s="250"/>
      <c r="V51" s="250"/>
      <c r="W51" s="250"/>
      <c r="X51" s="250"/>
      <c r="Y51" s="250"/>
      <c r="Z51" s="250"/>
      <c r="AA51" s="250"/>
      <c r="AB51" s="250"/>
      <c r="AC51" s="250"/>
      <c r="AD51" s="250"/>
      <c r="AE51" s="250"/>
      <c r="AF51" s="250"/>
      <c r="AG51" s="250"/>
      <c r="AH51" s="250"/>
      <c r="AI51" s="250"/>
      <c r="AJ51" s="250"/>
      <c r="AK51" s="250"/>
      <c r="AL51" s="250"/>
      <c r="AM51" s="250"/>
      <c r="AN51" s="250"/>
      <c r="AO51" s="250"/>
      <c r="AP51" s="250"/>
      <c r="AQ51" s="250"/>
      <c r="AR51" s="250"/>
      <c r="AS51" s="250"/>
      <c r="AT51" s="250"/>
      <c r="AU51" s="250"/>
      <c r="AV51" s="250"/>
      <c r="AW51" s="250"/>
      <c r="AX51" s="250"/>
      <c r="AY51" s="250"/>
      <c r="AZ51" s="250"/>
    </row>
    <row r="52" spans="1:52" ht="13.15" x14ac:dyDescent="0.4">
      <c r="A52" s="250"/>
      <c r="B52" s="250"/>
      <c r="C52" s="268" t="s">
        <v>46</v>
      </c>
      <c r="D52" s="328">
        <v>0</v>
      </c>
      <c r="E52" s="328">
        <v>1E-4</v>
      </c>
      <c r="F52" s="335" t="s">
        <v>1518</v>
      </c>
      <c r="G52" s="253"/>
      <c r="H52" s="250"/>
      <c r="I52" s="250"/>
      <c r="J52" s="250"/>
      <c r="K52" s="250"/>
      <c r="L52" s="250"/>
      <c r="M52" s="338" t="s">
        <v>1531</v>
      </c>
      <c r="N52" s="339" t="s">
        <v>1532</v>
      </c>
      <c r="O52" s="340" t="s">
        <v>1533</v>
      </c>
      <c r="P52" s="253"/>
      <c r="Q52" s="250"/>
      <c r="R52" s="250"/>
      <c r="S52" s="250"/>
      <c r="T52" s="250"/>
      <c r="U52" s="250"/>
      <c r="V52" s="250"/>
      <c r="W52" s="250"/>
      <c r="X52" s="250"/>
      <c r="Y52" s="250"/>
      <c r="Z52" s="250"/>
      <c r="AA52" s="250"/>
      <c r="AB52" s="250"/>
      <c r="AC52" s="250"/>
      <c r="AD52" s="250"/>
      <c r="AE52" s="250"/>
      <c r="AF52" s="250"/>
      <c r="AG52" s="250"/>
      <c r="AH52" s="250"/>
      <c r="AI52" s="250"/>
      <c r="AJ52" s="250"/>
      <c r="AK52" s="250"/>
      <c r="AL52" s="250"/>
      <c r="AM52" s="250"/>
      <c r="AN52" s="250"/>
      <c r="AO52" s="250"/>
      <c r="AP52" s="250"/>
      <c r="AQ52" s="250"/>
      <c r="AR52" s="250"/>
      <c r="AS52" s="250"/>
      <c r="AT52" s="250"/>
      <c r="AU52" s="250"/>
      <c r="AV52" s="250"/>
      <c r="AW52" s="250"/>
      <c r="AX52" s="250"/>
      <c r="AY52" s="250"/>
      <c r="AZ52" s="250"/>
    </row>
    <row r="53" spans="1:52" ht="13.15" x14ac:dyDescent="0.4">
      <c r="A53" s="250"/>
      <c r="B53" s="250"/>
      <c r="C53" s="330"/>
      <c r="D53" s="250"/>
      <c r="E53" s="250"/>
      <c r="F53" s="250"/>
      <c r="G53" s="253"/>
      <c r="H53" s="250"/>
      <c r="I53" s="250"/>
      <c r="J53" s="250"/>
      <c r="K53" s="250"/>
      <c r="L53" s="250"/>
      <c r="M53" s="341" t="s">
        <v>1534</v>
      </c>
      <c r="N53" s="250"/>
      <c r="O53" s="342" t="s">
        <v>1535</v>
      </c>
      <c r="P53" s="253"/>
      <c r="Q53" s="250"/>
      <c r="R53" s="250"/>
      <c r="S53" s="250"/>
      <c r="T53" s="250"/>
      <c r="U53" s="250"/>
      <c r="V53" s="250"/>
      <c r="W53" s="250"/>
      <c r="X53" s="250"/>
      <c r="Y53" s="250"/>
      <c r="Z53" s="250"/>
      <c r="AA53" s="250"/>
      <c r="AB53" s="250"/>
      <c r="AC53" s="250"/>
      <c r="AD53" s="250"/>
      <c r="AE53" s="250"/>
      <c r="AF53" s="250"/>
      <c r="AG53" s="250"/>
      <c r="AH53" s="250"/>
      <c r="AI53" s="250"/>
      <c r="AJ53" s="250"/>
      <c r="AK53" s="250"/>
      <c r="AL53" s="250"/>
      <c r="AM53" s="250"/>
      <c r="AN53" s="250"/>
      <c r="AO53" s="250"/>
      <c r="AP53" s="250"/>
      <c r="AQ53" s="250"/>
      <c r="AR53" s="250"/>
      <c r="AS53" s="250"/>
      <c r="AT53" s="250"/>
      <c r="AU53" s="250"/>
      <c r="AV53" s="250"/>
      <c r="AW53" s="250"/>
      <c r="AX53" s="250"/>
      <c r="AY53" s="250"/>
      <c r="AZ53" s="250"/>
    </row>
    <row r="54" spans="1:52" ht="13.15" x14ac:dyDescent="0.4">
      <c r="A54" s="250"/>
      <c r="B54" s="250"/>
      <c r="C54" s="343" t="s">
        <v>1520</v>
      </c>
      <c r="D54" s="250"/>
      <c r="E54" s="250"/>
      <c r="F54" s="250"/>
      <c r="G54" s="253"/>
      <c r="H54" s="250"/>
      <c r="I54" s="250"/>
      <c r="J54" s="250"/>
      <c r="K54" s="250"/>
      <c r="L54" s="250"/>
      <c r="M54" s="330"/>
      <c r="N54" s="250"/>
      <c r="O54" s="250"/>
      <c r="P54" s="253"/>
      <c r="Q54" s="250"/>
      <c r="R54" s="250"/>
      <c r="S54" s="250"/>
      <c r="T54" s="250"/>
      <c r="U54" s="250"/>
      <c r="V54" s="250"/>
      <c r="W54" s="250"/>
      <c r="X54" s="250"/>
      <c r="Y54" s="250"/>
      <c r="Z54" s="250"/>
      <c r="AA54" s="250"/>
      <c r="AB54" s="250"/>
      <c r="AC54" s="250"/>
      <c r="AD54" s="250"/>
      <c r="AE54" s="250"/>
      <c r="AF54" s="250"/>
      <c r="AG54" s="250"/>
      <c r="AH54" s="250"/>
      <c r="AI54" s="250"/>
      <c r="AJ54" s="250"/>
      <c r="AK54" s="250"/>
      <c r="AL54" s="250"/>
      <c r="AM54" s="250"/>
      <c r="AN54" s="250"/>
      <c r="AO54" s="250"/>
      <c r="AP54" s="250"/>
      <c r="AQ54" s="250"/>
      <c r="AR54" s="250"/>
      <c r="AS54" s="250"/>
      <c r="AT54" s="250"/>
      <c r="AU54" s="250"/>
      <c r="AV54" s="250"/>
      <c r="AW54" s="250"/>
      <c r="AX54" s="250"/>
      <c r="AY54" s="250"/>
      <c r="AZ54" s="250"/>
    </row>
    <row r="55" spans="1:52" ht="13.15" x14ac:dyDescent="0.4">
      <c r="A55" s="250"/>
      <c r="B55" s="250"/>
      <c r="C55" s="292"/>
      <c r="D55" s="292"/>
      <c r="E55" s="292"/>
      <c r="F55" s="292"/>
      <c r="G55" s="250"/>
      <c r="H55" s="250"/>
      <c r="I55" s="250"/>
      <c r="J55" s="250"/>
      <c r="K55" s="250"/>
      <c r="L55" s="250"/>
      <c r="M55" s="344" t="s">
        <v>1536</v>
      </c>
      <c r="N55" s="345" t="s">
        <v>1537</v>
      </c>
      <c r="O55" s="346" t="s">
        <v>1538</v>
      </c>
      <c r="P55" s="253"/>
      <c r="Q55" s="250"/>
      <c r="R55" s="250"/>
      <c r="S55" s="250"/>
      <c r="T55" s="250"/>
      <c r="U55" s="250"/>
      <c r="V55" s="250"/>
      <c r="W55" s="250"/>
      <c r="X55" s="250"/>
      <c r="Y55" s="250"/>
      <c r="Z55" s="250"/>
      <c r="AA55" s="250"/>
      <c r="AB55" s="250"/>
      <c r="AC55" s="250"/>
      <c r="AD55" s="250"/>
      <c r="AE55" s="250"/>
      <c r="AF55" s="250"/>
      <c r="AG55" s="250"/>
      <c r="AH55" s="250"/>
      <c r="AI55" s="250"/>
      <c r="AJ55" s="250"/>
      <c r="AK55" s="250"/>
      <c r="AL55" s="250"/>
      <c r="AM55" s="250"/>
      <c r="AN55" s="250"/>
      <c r="AO55" s="250"/>
      <c r="AP55" s="250"/>
      <c r="AQ55" s="250"/>
      <c r="AR55" s="250"/>
      <c r="AS55" s="250"/>
      <c r="AT55" s="250"/>
      <c r="AU55" s="250"/>
      <c r="AV55" s="250"/>
      <c r="AW55" s="250"/>
      <c r="AX55" s="250"/>
      <c r="AY55" s="250"/>
      <c r="AZ55" s="250"/>
    </row>
    <row r="56" spans="1:52" ht="13.15" x14ac:dyDescent="0.4">
      <c r="A56" s="250"/>
      <c r="B56" s="250"/>
      <c r="C56" s="250"/>
      <c r="D56" s="250"/>
      <c r="E56" s="250"/>
      <c r="F56" s="250"/>
      <c r="G56" s="250"/>
      <c r="H56" s="250"/>
      <c r="I56" s="250"/>
      <c r="J56" s="250"/>
      <c r="K56" s="250"/>
      <c r="L56" s="250"/>
      <c r="M56" s="347" t="s">
        <v>1539</v>
      </c>
      <c r="N56" s="250"/>
      <c r="O56" s="348" t="s">
        <v>1540</v>
      </c>
      <c r="P56" s="253"/>
      <c r="Q56" s="250"/>
      <c r="R56" s="250"/>
      <c r="S56" s="250"/>
      <c r="T56" s="250"/>
      <c r="U56" s="250"/>
      <c r="V56" s="250"/>
      <c r="W56" s="250"/>
      <c r="X56" s="250"/>
      <c r="Y56" s="250"/>
      <c r="Z56" s="250"/>
      <c r="AA56" s="250"/>
      <c r="AB56" s="250"/>
      <c r="AC56" s="250"/>
      <c r="AD56" s="250"/>
      <c r="AE56" s="250"/>
      <c r="AF56" s="250"/>
      <c r="AG56" s="250"/>
      <c r="AH56" s="250"/>
      <c r="AI56" s="250"/>
      <c r="AJ56" s="250"/>
      <c r="AK56" s="250"/>
      <c r="AL56" s="250"/>
      <c r="AM56" s="250"/>
      <c r="AN56" s="250"/>
      <c r="AO56" s="250"/>
      <c r="AP56" s="250"/>
      <c r="AQ56" s="250"/>
      <c r="AR56" s="250"/>
      <c r="AS56" s="250"/>
      <c r="AT56" s="250"/>
      <c r="AU56" s="250"/>
      <c r="AV56" s="250"/>
      <c r="AW56" s="250"/>
      <c r="AX56" s="250"/>
      <c r="AY56" s="250"/>
      <c r="AZ56" s="250"/>
    </row>
    <row r="57" spans="1:52" ht="13.15" x14ac:dyDescent="0.4">
      <c r="A57" s="250"/>
      <c r="B57" s="250"/>
      <c r="C57" s="250"/>
      <c r="D57" s="250"/>
      <c r="E57" s="250"/>
      <c r="F57" s="250"/>
      <c r="G57" s="250"/>
      <c r="H57" s="250"/>
      <c r="I57" s="250"/>
      <c r="J57" s="250"/>
      <c r="K57" s="250"/>
      <c r="L57" s="250"/>
      <c r="M57" s="330"/>
      <c r="N57" s="250"/>
      <c r="O57" s="250"/>
      <c r="P57" s="253"/>
      <c r="Q57" s="250"/>
      <c r="R57" s="250"/>
      <c r="S57" s="250"/>
      <c r="T57" s="250"/>
      <c r="U57" s="250"/>
      <c r="V57" s="250"/>
      <c r="W57" s="250"/>
      <c r="X57" s="250"/>
      <c r="Y57" s="250"/>
      <c r="Z57" s="250"/>
      <c r="AA57" s="250"/>
      <c r="AB57" s="250"/>
      <c r="AC57" s="250"/>
      <c r="AD57" s="250"/>
      <c r="AE57" s="250"/>
      <c r="AF57" s="250"/>
      <c r="AG57" s="250"/>
      <c r="AH57" s="250"/>
      <c r="AI57" s="250"/>
      <c r="AJ57" s="250"/>
      <c r="AK57" s="250"/>
      <c r="AL57" s="250"/>
      <c r="AM57" s="250"/>
      <c r="AN57" s="250"/>
      <c r="AO57" s="250"/>
      <c r="AP57" s="250"/>
      <c r="AQ57" s="250"/>
      <c r="AR57" s="250"/>
      <c r="AS57" s="250"/>
      <c r="AT57" s="250"/>
      <c r="AU57" s="250"/>
      <c r="AV57" s="250"/>
      <c r="AW57" s="250"/>
      <c r="AX57" s="250"/>
      <c r="AY57" s="250"/>
      <c r="AZ57" s="250"/>
    </row>
    <row r="58" spans="1:52" ht="13.15" x14ac:dyDescent="0.4">
      <c r="A58" s="250"/>
      <c r="B58" s="250"/>
      <c r="C58" s="250"/>
      <c r="D58" s="250"/>
      <c r="E58" s="250"/>
      <c r="F58" s="250"/>
      <c r="G58" s="250"/>
      <c r="H58" s="250"/>
      <c r="I58" s="250"/>
      <c r="J58" s="250"/>
      <c r="K58" s="250"/>
      <c r="L58" s="250"/>
      <c r="M58" s="349" t="s">
        <v>1541</v>
      </c>
      <c r="N58" s="350" t="s">
        <v>1542</v>
      </c>
      <c r="O58" s="351" t="s">
        <v>1543</v>
      </c>
      <c r="P58" s="253"/>
      <c r="Q58" s="250"/>
      <c r="R58" s="250"/>
      <c r="S58" s="250"/>
      <c r="T58" s="250"/>
      <c r="U58" s="250"/>
      <c r="V58" s="250"/>
      <c r="W58" s="250"/>
      <c r="X58" s="250"/>
      <c r="Y58" s="250"/>
      <c r="Z58" s="250"/>
      <c r="AA58" s="250"/>
      <c r="AB58" s="250"/>
      <c r="AC58" s="250"/>
      <c r="AD58" s="250"/>
      <c r="AE58" s="250"/>
      <c r="AF58" s="250"/>
      <c r="AG58" s="250"/>
      <c r="AH58" s="250"/>
      <c r="AI58" s="250"/>
      <c r="AJ58" s="250"/>
      <c r="AK58" s="250"/>
      <c r="AL58" s="250"/>
      <c r="AM58" s="250"/>
      <c r="AN58" s="250"/>
      <c r="AO58" s="250"/>
      <c r="AP58" s="250"/>
      <c r="AQ58" s="250"/>
      <c r="AR58" s="250"/>
      <c r="AS58" s="250"/>
      <c r="AT58" s="250"/>
      <c r="AU58" s="250"/>
      <c r="AV58" s="250"/>
      <c r="AW58" s="250"/>
      <c r="AX58" s="250"/>
      <c r="AY58" s="250"/>
      <c r="AZ58" s="250"/>
    </row>
    <row r="59" spans="1:52" ht="13.15" x14ac:dyDescent="0.4">
      <c r="A59" s="250"/>
      <c r="B59" s="250"/>
      <c r="C59" s="250"/>
      <c r="D59" s="250"/>
      <c r="E59" s="250"/>
      <c r="F59" s="250"/>
      <c r="G59" s="250"/>
      <c r="H59" s="250"/>
      <c r="I59" s="250"/>
      <c r="J59" s="250"/>
      <c r="K59" s="250"/>
      <c r="L59" s="250"/>
      <c r="M59" s="292"/>
      <c r="N59" s="292"/>
      <c r="O59" s="292"/>
      <c r="P59" s="250"/>
      <c r="Q59" s="250"/>
      <c r="R59" s="250"/>
      <c r="S59" s="250"/>
      <c r="T59" s="250"/>
      <c r="U59" s="250"/>
      <c r="V59" s="250"/>
      <c r="W59" s="250"/>
      <c r="X59" s="250"/>
      <c r="Y59" s="250"/>
      <c r="Z59" s="250"/>
      <c r="AA59" s="250"/>
      <c r="AB59" s="250"/>
      <c r="AC59" s="250"/>
      <c r="AD59" s="250"/>
      <c r="AE59" s="250"/>
      <c r="AF59" s="250"/>
      <c r="AG59" s="250"/>
      <c r="AH59" s="250"/>
      <c r="AI59" s="250"/>
      <c r="AJ59" s="250"/>
      <c r="AK59" s="250"/>
      <c r="AL59" s="250"/>
      <c r="AM59" s="250"/>
      <c r="AN59" s="250"/>
      <c r="AO59" s="250"/>
      <c r="AP59" s="250"/>
      <c r="AQ59" s="250"/>
      <c r="AR59" s="250"/>
      <c r="AS59" s="250"/>
      <c r="AT59" s="250"/>
      <c r="AU59" s="250"/>
      <c r="AV59" s="250"/>
      <c r="AW59" s="250"/>
      <c r="AX59" s="250"/>
      <c r="AY59" s="250"/>
      <c r="AZ59" s="250"/>
    </row>
    <row r="60" spans="1:52" ht="8.1" customHeight="1" x14ac:dyDescent="0.4">
      <c r="A60" s="250"/>
      <c r="B60" s="250"/>
      <c r="C60" s="250"/>
      <c r="D60" s="250"/>
      <c r="E60" s="250"/>
      <c r="F60" s="250"/>
      <c r="G60" s="250"/>
      <c r="H60" s="250"/>
      <c r="I60" s="250"/>
      <c r="J60" s="250"/>
      <c r="K60" s="250"/>
      <c r="L60" s="250"/>
      <c r="M60" s="250"/>
      <c r="N60" s="250"/>
      <c r="O60" s="250"/>
      <c r="P60" s="250"/>
      <c r="Q60" s="250"/>
      <c r="R60" s="250"/>
      <c r="S60" s="250"/>
      <c r="T60" s="250"/>
      <c r="U60" s="250"/>
      <c r="V60" s="250"/>
      <c r="W60" s="250"/>
      <c r="X60" s="250"/>
      <c r="Y60" s="250"/>
      <c r="Z60" s="250"/>
      <c r="AA60" s="250"/>
      <c r="AB60" s="250"/>
      <c r="AC60" s="250"/>
      <c r="AD60" s="250"/>
      <c r="AE60" s="250"/>
      <c r="AF60" s="250"/>
      <c r="AG60" s="250"/>
      <c r="AH60" s="250"/>
      <c r="AI60" s="250"/>
      <c r="AJ60" s="250"/>
      <c r="AK60" s="250"/>
      <c r="AL60" s="250"/>
      <c r="AM60" s="250"/>
      <c r="AN60" s="250"/>
      <c r="AO60" s="250"/>
      <c r="AP60" s="250"/>
      <c r="AQ60" s="250"/>
      <c r="AR60" s="250"/>
      <c r="AS60" s="250"/>
      <c r="AT60" s="250"/>
      <c r="AU60" s="250"/>
      <c r="AV60" s="250"/>
      <c r="AW60" s="250"/>
      <c r="AX60" s="250"/>
      <c r="AY60" s="250"/>
      <c r="AZ60" s="250"/>
    </row>
    <row r="61" spans="1:52" ht="24.95" customHeight="1" x14ac:dyDescent="0.4">
      <c r="A61" s="250"/>
      <c r="B61" s="352"/>
      <c r="C61" s="475" t="s">
        <v>1544</v>
      </c>
      <c r="D61" s="476"/>
      <c r="E61" s="476"/>
      <c r="F61" s="476"/>
      <c r="G61" s="476"/>
      <c r="H61" s="476"/>
      <c r="I61" s="476"/>
      <c r="J61" s="476"/>
      <c r="K61" s="476"/>
      <c r="L61" s="476"/>
      <c r="M61" s="476"/>
      <c r="N61" s="476"/>
      <c r="O61" s="476"/>
      <c r="P61" s="250"/>
      <c r="Q61" s="250"/>
      <c r="R61" s="250"/>
      <c r="S61" s="250"/>
      <c r="T61" s="250"/>
      <c r="U61" s="250"/>
      <c r="V61" s="250"/>
      <c r="W61" s="250"/>
      <c r="X61" s="250"/>
      <c r="Y61" s="250"/>
      <c r="Z61" s="250"/>
      <c r="AA61" s="250"/>
      <c r="AB61" s="250"/>
      <c r="AC61" s="250"/>
      <c r="AD61" s="250"/>
      <c r="AE61" s="250"/>
      <c r="AF61" s="250"/>
      <c r="AG61" s="250"/>
      <c r="AH61" s="250"/>
      <c r="AI61" s="250"/>
      <c r="AJ61" s="250"/>
      <c r="AK61" s="250"/>
      <c r="AL61" s="250"/>
      <c r="AM61" s="250"/>
      <c r="AN61" s="250"/>
      <c r="AO61" s="250"/>
      <c r="AP61" s="250"/>
      <c r="AQ61" s="250"/>
      <c r="AR61" s="250"/>
      <c r="AS61" s="250"/>
      <c r="AT61" s="250"/>
      <c r="AU61" s="250"/>
      <c r="AV61" s="250"/>
      <c r="AW61" s="250"/>
      <c r="AX61" s="250"/>
      <c r="AY61" s="250"/>
      <c r="AZ61" s="250"/>
    </row>
    <row r="62" spans="1:52" ht="13.15" x14ac:dyDescent="0.4">
      <c r="A62" s="250"/>
      <c r="B62" s="250"/>
      <c r="C62" s="250"/>
      <c r="D62" s="250"/>
      <c r="E62" s="250"/>
      <c r="F62" s="250"/>
      <c r="G62" s="250"/>
      <c r="H62" s="250"/>
      <c r="I62" s="250"/>
      <c r="J62" s="250"/>
      <c r="K62" s="250"/>
      <c r="L62" s="250"/>
      <c r="M62" s="250"/>
      <c r="N62" s="250"/>
      <c r="O62" s="250"/>
      <c r="P62" s="250"/>
      <c r="Q62" s="250"/>
      <c r="R62" s="250"/>
      <c r="S62" s="250"/>
      <c r="T62" s="250"/>
      <c r="U62" s="250"/>
      <c r="V62" s="250"/>
      <c r="W62" s="250"/>
      <c r="X62" s="250"/>
      <c r="Y62" s="250"/>
      <c r="Z62" s="250"/>
      <c r="AA62" s="250"/>
      <c r="AB62" s="250"/>
      <c r="AC62" s="250"/>
      <c r="AD62" s="250"/>
      <c r="AE62" s="250"/>
      <c r="AF62" s="250"/>
      <c r="AG62" s="250"/>
      <c r="AH62" s="250"/>
      <c r="AI62" s="250"/>
      <c r="AJ62" s="250"/>
      <c r="AK62" s="250"/>
      <c r="AL62" s="250"/>
      <c r="AM62" s="250"/>
      <c r="AN62" s="250"/>
      <c r="AO62" s="250"/>
      <c r="AP62" s="250"/>
      <c r="AQ62" s="250"/>
      <c r="AR62" s="250"/>
      <c r="AS62" s="250"/>
      <c r="AT62" s="250"/>
      <c r="AU62" s="250"/>
      <c r="AV62" s="250"/>
      <c r="AW62" s="250"/>
      <c r="AX62" s="250"/>
      <c r="AY62" s="250"/>
      <c r="AZ62" s="250"/>
    </row>
    <row r="63" spans="1:52" ht="13.15" x14ac:dyDescent="0.4">
      <c r="A63" s="250"/>
      <c r="B63" s="250"/>
      <c r="C63" s="250"/>
      <c r="D63" s="250"/>
      <c r="E63" s="250"/>
      <c r="F63" s="250"/>
      <c r="G63" s="250"/>
      <c r="H63" s="250"/>
      <c r="I63" s="250"/>
      <c r="J63" s="250"/>
      <c r="K63" s="250"/>
      <c r="L63" s="250"/>
      <c r="M63" s="250"/>
      <c r="N63" s="250"/>
      <c r="O63" s="250"/>
      <c r="P63" s="250"/>
      <c r="Q63" s="250"/>
      <c r="R63" s="250"/>
      <c r="S63" s="250"/>
      <c r="T63" s="250"/>
      <c r="U63" s="250"/>
      <c r="V63" s="250"/>
      <c r="W63" s="250"/>
      <c r="X63" s="250"/>
      <c r="Y63" s="250"/>
      <c r="Z63" s="250"/>
      <c r="AA63" s="250"/>
      <c r="AB63" s="250"/>
      <c r="AC63" s="250"/>
      <c r="AD63" s="250"/>
      <c r="AE63" s="250"/>
      <c r="AF63" s="250"/>
      <c r="AG63" s="250"/>
      <c r="AH63" s="250"/>
      <c r="AI63" s="250"/>
      <c r="AJ63" s="250"/>
      <c r="AK63" s="250"/>
      <c r="AL63" s="250"/>
      <c r="AM63" s="250"/>
      <c r="AN63" s="250"/>
      <c r="AO63" s="250"/>
      <c r="AP63" s="250"/>
      <c r="AQ63" s="250"/>
      <c r="AR63" s="250"/>
      <c r="AS63" s="250"/>
      <c r="AT63" s="250"/>
      <c r="AU63" s="250"/>
      <c r="AV63" s="250"/>
      <c r="AW63" s="250"/>
      <c r="AX63" s="250"/>
      <c r="AY63" s="250"/>
      <c r="AZ63" s="250"/>
    </row>
    <row r="64" spans="1:52" ht="13.15" x14ac:dyDescent="0.4">
      <c r="A64" s="250"/>
      <c r="B64" s="250"/>
      <c r="C64" s="250"/>
      <c r="D64" s="250"/>
      <c r="E64" s="250"/>
      <c r="F64" s="250"/>
      <c r="G64" s="250"/>
      <c r="H64" s="250"/>
      <c r="I64" s="250"/>
      <c r="J64" s="250"/>
      <c r="K64" s="250"/>
      <c r="L64" s="250"/>
      <c r="M64" s="250"/>
      <c r="N64" s="250"/>
      <c r="O64" s="250"/>
      <c r="P64" s="250"/>
      <c r="Q64" s="250"/>
      <c r="R64" s="250"/>
      <c r="S64" s="250"/>
      <c r="T64" s="250"/>
      <c r="U64" s="250"/>
      <c r="V64" s="250"/>
      <c r="W64" s="250"/>
      <c r="X64" s="250"/>
      <c r="Y64" s="250"/>
      <c r="Z64" s="250"/>
      <c r="AA64" s="250"/>
      <c r="AB64" s="250"/>
      <c r="AC64" s="250"/>
      <c r="AD64" s="250"/>
      <c r="AE64" s="250"/>
      <c r="AF64" s="250"/>
      <c r="AG64" s="250"/>
      <c r="AH64" s="250"/>
      <c r="AI64" s="250"/>
      <c r="AJ64" s="250"/>
      <c r="AK64" s="250"/>
      <c r="AL64" s="250"/>
      <c r="AM64" s="250"/>
      <c r="AN64" s="250"/>
      <c r="AO64" s="250"/>
      <c r="AP64" s="250"/>
      <c r="AQ64" s="250"/>
      <c r="AR64" s="250"/>
      <c r="AS64" s="250"/>
      <c r="AT64" s="250"/>
      <c r="AU64" s="250"/>
      <c r="AV64" s="250"/>
      <c r="AW64" s="250"/>
      <c r="AX64" s="250"/>
      <c r="AY64" s="250"/>
      <c r="AZ64" s="250"/>
    </row>
    <row r="65" spans="1:52" ht="13.15" x14ac:dyDescent="0.4">
      <c r="A65" s="250"/>
      <c r="B65" s="250"/>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c r="AA65" s="250"/>
      <c r="AB65" s="250"/>
      <c r="AC65" s="250"/>
      <c r="AD65" s="250"/>
      <c r="AE65" s="250"/>
      <c r="AF65" s="250"/>
      <c r="AG65" s="250"/>
      <c r="AH65" s="250"/>
      <c r="AI65" s="250"/>
      <c r="AJ65" s="250"/>
      <c r="AK65" s="250"/>
      <c r="AL65" s="250"/>
      <c r="AM65" s="250"/>
      <c r="AN65" s="250"/>
      <c r="AO65" s="250"/>
      <c r="AP65" s="250"/>
      <c r="AQ65" s="250"/>
      <c r="AR65" s="250"/>
      <c r="AS65" s="250"/>
      <c r="AT65" s="250"/>
      <c r="AU65" s="250"/>
      <c r="AV65" s="250"/>
      <c r="AW65" s="250"/>
      <c r="AX65" s="250"/>
      <c r="AY65" s="250"/>
      <c r="AZ65" s="250"/>
    </row>
    <row r="66" spans="1:52" ht="13.15" x14ac:dyDescent="0.4">
      <c r="A66" s="250"/>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c r="AA66" s="250"/>
      <c r="AB66" s="250"/>
      <c r="AC66" s="250"/>
      <c r="AD66" s="250"/>
      <c r="AE66" s="250"/>
      <c r="AF66" s="250"/>
      <c r="AG66" s="250"/>
      <c r="AH66" s="250"/>
      <c r="AI66" s="250"/>
      <c r="AJ66" s="250"/>
      <c r="AK66" s="250"/>
      <c r="AL66" s="250"/>
      <c r="AM66" s="250"/>
      <c r="AN66" s="250"/>
      <c r="AO66" s="250"/>
      <c r="AP66" s="250"/>
      <c r="AQ66" s="250"/>
      <c r="AR66" s="250"/>
      <c r="AS66" s="250"/>
      <c r="AT66" s="250"/>
      <c r="AU66" s="250"/>
      <c r="AV66" s="250"/>
      <c r="AW66" s="250"/>
      <c r="AX66" s="250"/>
      <c r="AY66" s="250"/>
      <c r="AZ66" s="250"/>
    </row>
    <row r="67" spans="1:52" ht="13.15" x14ac:dyDescent="0.4">
      <c r="A67" s="250"/>
      <c r="B67" s="250"/>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c r="AA67" s="250"/>
      <c r="AB67" s="250"/>
      <c r="AC67" s="250"/>
      <c r="AD67" s="250"/>
      <c r="AE67" s="250"/>
      <c r="AF67" s="250"/>
      <c r="AG67" s="250"/>
      <c r="AH67" s="250"/>
      <c r="AI67" s="250"/>
      <c r="AJ67" s="250"/>
      <c r="AK67" s="250"/>
      <c r="AL67" s="250"/>
      <c r="AM67" s="250"/>
      <c r="AN67" s="250"/>
      <c r="AO67" s="250"/>
      <c r="AP67" s="250"/>
      <c r="AQ67" s="250"/>
      <c r="AR67" s="250"/>
      <c r="AS67" s="250"/>
      <c r="AT67" s="250"/>
      <c r="AU67" s="250"/>
      <c r="AV67" s="250"/>
      <c r="AW67" s="250"/>
      <c r="AX67" s="250"/>
      <c r="AY67" s="250"/>
      <c r="AZ67" s="250"/>
    </row>
    <row r="68" spans="1:52" ht="13.15" x14ac:dyDescent="0.4">
      <c r="A68" s="250"/>
      <c r="B68" s="250"/>
      <c r="C68" s="250"/>
      <c r="D68" s="250"/>
      <c r="E68" s="250"/>
      <c r="F68" s="250"/>
      <c r="G68" s="250"/>
      <c r="H68" s="250"/>
      <c r="I68" s="250"/>
      <c r="J68" s="250"/>
      <c r="K68" s="250"/>
      <c r="L68" s="250"/>
      <c r="M68" s="250"/>
      <c r="N68" s="250"/>
      <c r="O68" s="250"/>
      <c r="P68" s="250"/>
      <c r="Q68" s="250"/>
      <c r="R68" s="250"/>
      <c r="S68" s="250"/>
      <c r="T68" s="250"/>
      <c r="U68" s="250"/>
      <c r="V68" s="250"/>
      <c r="W68" s="250"/>
      <c r="X68" s="250"/>
      <c r="Y68" s="250"/>
      <c r="Z68" s="250"/>
      <c r="AA68" s="250"/>
      <c r="AB68" s="250"/>
      <c r="AC68" s="250"/>
      <c r="AD68" s="250"/>
      <c r="AE68" s="250"/>
      <c r="AF68" s="250"/>
      <c r="AG68" s="250"/>
      <c r="AH68" s="250"/>
      <c r="AI68" s="250"/>
      <c r="AJ68" s="250"/>
      <c r="AK68" s="250"/>
      <c r="AL68" s="250"/>
      <c r="AM68" s="250"/>
      <c r="AN68" s="250"/>
      <c r="AO68" s="250"/>
      <c r="AP68" s="250"/>
      <c r="AQ68" s="250"/>
      <c r="AR68" s="250"/>
      <c r="AS68" s="250"/>
      <c r="AT68" s="250"/>
      <c r="AU68" s="250"/>
      <c r="AV68" s="250"/>
      <c r="AW68" s="250"/>
      <c r="AX68" s="250"/>
      <c r="AY68" s="250"/>
      <c r="AZ68" s="250"/>
    </row>
    <row r="69" spans="1:52" ht="13.15" x14ac:dyDescent="0.4">
      <c r="A69" s="250"/>
      <c r="B69" s="250"/>
      <c r="C69" s="250"/>
      <c r="D69" s="250"/>
      <c r="E69" s="250"/>
      <c r="F69" s="250"/>
      <c r="G69" s="250"/>
      <c r="H69" s="250"/>
      <c r="I69" s="250"/>
      <c r="J69" s="250"/>
      <c r="K69" s="250"/>
      <c r="L69" s="250"/>
      <c r="M69" s="250"/>
      <c r="N69" s="250"/>
      <c r="O69" s="250"/>
      <c r="P69" s="250"/>
      <c r="Q69" s="250"/>
      <c r="R69" s="250"/>
      <c r="S69" s="250"/>
      <c r="T69" s="250"/>
      <c r="U69" s="250"/>
      <c r="V69" s="250"/>
      <c r="W69" s="250"/>
      <c r="X69" s="250"/>
      <c r="Y69" s="250"/>
      <c r="Z69" s="250"/>
      <c r="AA69" s="250"/>
      <c r="AB69" s="250"/>
      <c r="AC69" s="250"/>
      <c r="AD69" s="250"/>
      <c r="AE69" s="250"/>
      <c r="AF69" s="250"/>
      <c r="AG69" s="250"/>
      <c r="AH69" s="250"/>
      <c r="AI69" s="250"/>
      <c r="AJ69" s="250"/>
      <c r="AK69" s="250"/>
      <c r="AL69" s="250"/>
      <c r="AM69" s="250"/>
      <c r="AN69" s="250"/>
      <c r="AO69" s="250"/>
      <c r="AP69" s="250"/>
      <c r="AQ69" s="250"/>
      <c r="AR69" s="250"/>
      <c r="AS69" s="250"/>
      <c r="AT69" s="250"/>
      <c r="AU69" s="250"/>
      <c r="AV69" s="250"/>
      <c r="AW69" s="250"/>
      <c r="AX69" s="250"/>
      <c r="AY69" s="250"/>
      <c r="AZ69" s="250"/>
    </row>
    <row r="70" spans="1:52" ht="13.15" x14ac:dyDescent="0.4">
      <c r="A70" s="250"/>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c r="AA70" s="250"/>
      <c r="AB70" s="250"/>
      <c r="AC70" s="250"/>
      <c r="AD70" s="250"/>
      <c r="AE70" s="250"/>
      <c r="AF70" s="250"/>
      <c r="AG70" s="250"/>
      <c r="AH70" s="250"/>
      <c r="AI70" s="250"/>
      <c r="AJ70" s="250"/>
      <c r="AK70" s="250"/>
      <c r="AL70" s="250"/>
      <c r="AM70" s="250"/>
      <c r="AN70" s="250"/>
      <c r="AO70" s="250"/>
      <c r="AP70" s="250"/>
      <c r="AQ70" s="250"/>
      <c r="AR70" s="250"/>
      <c r="AS70" s="250"/>
      <c r="AT70" s="250"/>
      <c r="AU70" s="250"/>
      <c r="AV70" s="250"/>
      <c r="AW70" s="250"/>
      <c r="AX70" s="250"/>
      <c r="AY70" s="250"/>
      <c r="AZ70" s="250"/>
    </row>
    <row r="71" spans="1:52" ht="13.15" x14ac:dyDescent="0.4">
      <c r="A71" s="250"/>
      <c r="B71" s="250"/>
      <c r="C71" s="250"/>
      <c r="D71" s="250"/>
      <c r="E71" s="250"/>
      <c r="F71" s="250"/>
      <c r="G71" s="250"/>
      <c r="H71" s="250"/>
      <c r="I71" s="250"/>
      <c r="J71" s="250"/>
      <c r="K71" s="250"/>
      <c r="L71" s="250"/>
      <c r="M71" s="250"/>
      <c r="N71" s="250"/>
      <c r="O71" s="250"/>
      <c r="P71" s="250"/>
      <c r="Q71" s="250"/>
      <c r="R71" s="250"/>
      <c r="S71" s="250"/>
      <c r="T71" s="250"/>
      <c r="U71" s="250"/>
      <c r="V71" s="250"/>
      <c r="W71" s="250"/>
      <c r="X71" s="250"/>
      <c r="Y71" s="250"/>
      <c r="Z71" s="250"/>
      <c r="AA71" s="250"/>
      <c r="AB71" s="250"/>
      <c r="AC71" s="250"/>
      <c r="AD71" s="250"/>
      <c r="AE71" s="250"/>
      <c r="AF71" s="250"/>
      <c r="AG71" s="250"/>
      <c r="AH71" s="250"/>
      <c r="AI71" s="250"/>
      <c r="AJ71" s="250"/>
      <c r="AK71" s="250"/>
      <c r="AL71" s="250"/>
      <c r="AM71" s="250"/>
      <c r="AN71" s="250"/>
      <c r="AO71" s="250"/>
      <c r="AP71" s="250"/>
      <c r="AQ71" s="250"/>
      <c r="AR71" s="250"/>
      <c r="AS71" s="250"/>
      <c r="AT71" s="250"/>
      <c r="AU71" s="250"/>
      <c r="AV71" s="250"/>
      <c r="AW71" s="250"/>
      <c r="AX71" s="250"/>
      <c r="AY71" s="250"/>
      <c r="AZ71" s="250"/>
    </row>
    <row r="72" spans="1:52" ht="13.15" x14ac:dyDescent="0.4">
      <c r="A72" s="250"/>
      <c r="B72" s="250"/>
      <c r="C72" s="250"/>
      <c r="D72" s="250"/>
      <c r="E72" s="250"/>
      <c r="F72" s="250"/>
      <c r="G72" s="250"/>
      <c r="H72" s="250"/>
      <c r="I72" s="250"/>
      <c r="J72" s="250"/>
      <c r="K72" s="250"/>
      <c r="L72" s="250"/>
      <c r="M72" s="250"/>
      <c r="N72" s="250"/>
      <c r="O72" s="250"/>
      <c r="P72" s="250"/>
      <c r="Q72" s="250"/>
      <c r="R72" s="250"/>
      <c r="S72" s="250"/>
      <c r="T72" s="250"/>
      <c r="U72" s="250"/>
      <c r="V72" s="250"/>
      <c r="W72" s="250"/>
      <c r="X72" s="250"/>
      <c r="Y72" s="250"/>
      <c r="Z72" s="250"/>
      <c r="AA72" s="250"/>
      <c r="AB72" s="250"/>
      <c r="AC72" s="250"/>
      <c r="AD72" s="250"/>
      <c r="AE72" s="250"/>
      <c r="AF72" s="250"/>
      <c r="AG72" s="250"/>
      <c r="AH72" s="250"/>
      <c r="AI72" s="250"/>
      <c r="AJ72" s="250"/>
      <c r="AK72" s="250"/>
      <c r="AL72" s="250"/>
      <c r="AM72" s="250"/>
      <c r="AN72" s="250"/>
      <c r="AO72" s="250"/>
      <c r="AP72" s="250"/>
      <c r="AQ72" s="250"/>
      <c r="AR72" s="250"/>
      <c r="AS72" s="250"/>
      <c r="AT72" s="250"/>
      <c r="AU72" s="250"/>
      <c r="AV72" s="250"/>
      <c r="AW72" s="250"/>
      <c r="AX72" s="250"/>
      <c r="AY72" s="250"/>
      <c r="AZ72" s="250"/>
    </row>
    <row r="73" spans="1:52" ht="13.15" x14ac:dyDescent="0.4">
      <c r="A73" s="250"/>
      <c r="B73" s="250"/>
      <c r="C73" s="250"/>
      <c r="D73" s="250"/>
      <c r="E73" s="250"/>
      <c r="F73" s="250"/>
      <c r="G73" s="250"/>
      <c r="H73" s="250"/>
      <c r="I73" s="250"/>
      <c r="J73" s="250"/>
      <c r="K73" s="250"/>
      <c r="L73" s="250"/>
      <c r="M73" s="250"/>
      <c r="N73" s="250"/>
      <c r="O73" s="250"/>
      <c r="P73" s="250"/>
      <c r="Q73" s="250"/>
      <c r="R73" s="250"/>
      <c r="S73" s="250"/>
      <c r="T73" s="250"/>
      <c r="U73" s="250"/>
      <c r="V73" s="250"/>
      <c r="W73" s="250"/>
      <c r="X73" s="250"/>
      <c r="Y73" s="250"/>
      <c r="Z73" s="250"/>
      <c r="AA73" s="250"/>
      <c r="AB73" s="250"/>
      <c r="AC73" s="250"/>
      <c r="AD73" s="250"/>
      <c r="AE73" s="250"/>
      <c r="AF73" s="250"/>
      <c r="AG73" s="250"/>
      <c r="AH73" s="250"/>
      <c r="AI73" s="250"/>
      <c r="AJ73" s="250"/>
      <c r="AK73" s="250"/>
      <c r="AL73" s="250"/>
      <c r="AM73" s="250"/>
      <c r="AN73" s="250"/>
      <c r="AO73" s="250"/>
      <c r="AP73" s="250"/>
      <c r="AQ73" s="250"/>
      <c r="AR73" s="250"/>
      <c r="AS73" s="250"/>
      <c r="AT73" s="250"/>
      <c r="AU73" s="250"/>
      <c r="AV73" s="250"/>
      <c r="AW73" s="250"/>
      <c r="AX73" s="250"/>
      <c r="AY73" s="250"/>
      <c r="AZ73" s="250"/>
    </row>
    <row r="74" spans="1:52" ht="13.15" x14ac:dyDescent="0.4">
      <c r="A74" s="250"/>
      <c r="B74" s="250"/>
      <c r="C74" s="250"/>
      <c r="D74" s="250"/>
      <c r="E74" s="250"/>
      <c r="F74" s="250"/>
      <c r="G74" s="250"/>
      <c r="H74" s="250"/>
      <c r="I74" s="250"/>
      <c r="J74" s="250"/>
      <c r="K74" s="250"/>
      <c r="L74" s="250"/>
      <c r="M74" s="250"/>
      <c r="N74" s="250"/>
      <c r="O74" s="250"/>
      <c r="P74" s="250"/>
      <c r="Q74" s="250"/>
      <c r="R74" s="250"/>
      <c r="S74" s="250"/>
      <c r="T74" s="250"/>
      <c r="U74" s="250"/>
      <c r="V74" s="250"/>
      <c r="W74" s="250"/>
      <c r="X74" s="250"/>
      <c r="Y74" s="250"/>
      <c r="Z74" s="250"/>
      <c r="AA74" s="250"/>
      <c r="AB74" s="250"/>
      <c r="AC74" s="250"/>
      <c r="AD74" s="250"/>
      <c r="AE74" s="250"/>
      <c r="AF74" s="250"/>
      <c r="AG74" s="250"/>
      <c r="AH74" s="250"/>
      <c r="AI74" s="250"/>
      <c r="AJ74" s="250"/>
      <c r="AK74" s="250"/>
      <c r="AL74" s="250"/>
      <c r="AM74" s="250"/>
      <c r="AN74" s="250"/>
      <c r="AO74" s="250"/>
      <c r="AP74" s="250"/>
      <c r="AQ74" s="250"/>
      <c r="AR74" s="250"/>
      <c r="AS74" s="250"/>
      <c r="AT74" s="250"/>
      <c r="AU74" s="250"/>
      <c r="AV74" s="250"/>
      <c r="AW74" s="250"/>
      <c r="AX74" s="250"/>
      <c r="AY74" s="250"/>
      <c r="AZ74" s="250"/>
    </row>
    <row r="75" spans="1:52" ht="13.15" x14ac:dyDescent="0.4">
      <c r="A75" s="250"/>
      <c r="B75" s="250"/>
      <c r="C75" s="250"/>
      <c r="D75" s="250"/>
      <c r="E75" s="250"/>
      <c r="F75" s="250"/>
      <c r="G75" s="250"/>
      <c r="H75" s="250"/>
      <c r="I75" s="250"/>
      <c r="J75" s="250"/>
      <c r="K75" s="250"/>
      <c r="L75" s="250"/>
      <c r="M75" s="250"/>
      <c r="N75" s="250"/>
      <c r="O75" s="250"/>
      <c r="P75" s="250"/>
      <c r="Q75" s="250"/>
      <c r="R75" s="250"/>
      <c r="S75" s="250"/>
      <c r="T75" s="250"/>
      <c r="U75" s="250"/>
      <c r="V75" s="250"/>
      <c r="W75" s="250"/>
      <c r="X75" s="250"/>
      <c r="Y75" s="250"/>
      <c r="Z75" s="250"/>
      <c r="AA75" s="250"/>
      <c r="AB75" s="250"/>
      <c r="AC75" s="250"/>
      <c r="AD75" s="250"/>
      <c r="AE75" s="250"/>
      <c r="AF75" s="250"/>
      <c r="AG75" s="250"/>
      <c r="AH75" s="250"/>
      <c r="AI75" s="250"/>
      <c r="AJ75" s="250"/>
      <c r="AK75" s="250"/>
      <c r="AL75" s="250"/>
      <c r="AM75" s="250"/>
      <c r="AN75" s="250"/>
      <c r="AO75" s="250"/>
      <c r="AP75" s="250"/>
      <c r="AQ75" s="250"/>
      <c r="AR75" s="250"/>
      <c r="AS75" s="250"/>
      <c r="AT75" s="250"/>
      <c r="AU75" s="250"/>
      <c r="AV75" s="250"/>
      <c r="AW75" s="250"/>
      <c r="AX75" s="250"/>
      <c r="AY75" s="250"/>
      <c r="AZ75" s="250"/>
    </row>
    <row r="76" spans="1:52" ht="13.15" x14ac:dyDescent="0.4">
      <c r="A76" s="250"/>
      <c r="B76" s="250"/>
      <c r="C76" s="250"/>
      <c r="D76" s="250"/>
      <c r="E76" s="250"/>
      <c r="F76" s="250"/>
      <c r="G76" s="250"/>
      <c r="H76" s="250"/>
      <c r="I76" s="250"/>
      <c r="J76" s="250"/>
      <c r="K76" s="250"/>
      <c r="L76" s="250"/>
      <c r="M76" s="250"/>
      <c r="N76" s="250"/>
      <c r="O76" s="250"/>
      <c r="P76" s="250"/>
      <c r="Q76" s="250"/>
      <c r="R76" s="250"/>
      <c r="S76" s="250"/>
      <c r="T76" s="250"/>
      <c r="U76" s="250"/>
      <c r="V76" s="250"/>
      <c r="W76" s="250"/>
      <c r="X76" s="250"/>
      <c r="Y76" s="250"/>
      <c r="Z76" s="250"/>
      <c r="AA76" s="250"/>
      <c r="AB76" s="250"/>
      <c r="AC76" s="250"/>
      <c r="AD76" s="250"/>
      <c r="AE76" s="250"/>
      <c r="AF76" s="250"/>
      <c r="AG76" s="250"/>
      <c r="AH76" s="250"/>
      <c r="AI76" s="250"/>
      <c r="AJ76" s="250"/>
      <c r="AK76" s="250"/>
      <c r="AL76" s="250"/>
      <c r="AM76" s="250"/>
      <c r="AN76" s="250"/>
      <c r="AO76" s="250"/>
      <c r="AP76" s="250"/>
      <c r="AQ76" s="250"/>
      <c r="AR76" s="250"/>
      <c r="AS76" s="250"/>
      <c r="AT76" s="250"/>
      <c r="AU76" s="250"/>
      <c r="AV76" s="250"/>
      <c r="AW76" s="250"/>
      <c r="AX76" s="250"/>
      <c r="AY76" s="250"/>
      <c r="AZ76" s="250"/>
    </row>
    <row r="77" spans="1:52" ht="13.15" x14ac:dyDescent="0.4">
      <c r="A77" s="250"/>
      <c r="B77" s="250"/>
      <c r="C77" s="250"/>
      <c r="D77" s="250"/>
      <c r="E77" s="250"/>
      <c r="F77" s="250"/>
      <c r="G77" s="250"/>
      <c r="H77" s="250"/>
      <c r="I77" s="250"/>
      <c r="J77" s="250"/>
      <c r="K77" s="250"/>
      <c r="L77" s="250"/>
      <c r="M77" s="250"/>
      <c r="N77" s="250"/>
      <c r="O77" s="250"/>
      <c r="P77" s="250"/>
      <c r="Q77" s="250"/>
      <c r="R77" s="250"/>
      <c r="S77" s="250"/>
      <c r="T77" s="250"/>
      <c r="U77" s="250"/>
      <c r="V77" s="250"/>
      <c r="W77" s="250"/>
      <c r="X77" s="250"/>
      <c r="Y77" s="250"/>
      <c r="Z77" s="250"/>
      <c r="AA77" s="250"/>
      <c r="AB77" s="250"/>
      <c r="AC77" s="250"/>
      <c r="AD77" s="250"/>
      <c r="AE77" s="250"/>
      <c r="AF77" s="250"/>
      <c r="AG77" s="250"/>
      <c r="AH77" s="250"/>
      <c r="AI77" s="250"/>
      <c r="AJ77" s="250"/>
      <c r="AK77" s="250"/>
      <c r="AL77" s="250"/>
      <c r="AM77" s="250"/>
      <c r="AN77" s="250"/>
      <c r="AO77" s="250"/>
      <c r="AP77" s="250"/>
      <c r="AQ77" s="250"/>
      <c r="AR77" s="250"/>
      <c r="AS77" s="250"/>
      <c r="AT77" s="250"/>
      <c r="AU77" s="250"/>
      <c r="AV77" s="250"/>
      <c r="AW77" s="250"/>
      <c r="AX77" s="250"/>
      <c r="AY77" s="250"/>
      <c r="AZ77" s="250"/>
    </row>
    <row r="78" spans="1:52" ht="13.15" x14ac:dyDescent="0.4">
      <c r="A78" s="250"/>
      <c r="B78" s="250"/>
      <c r="C78" s="250"/>
      <c r="D78" s="250"/>
      <c r="E78" s="250"/>
      <c r="F78" s="250"/>
      <c r="G78" s="250"/>
      <c r="H78" s="250"/>
      <c r="I78" s="250"/>
      <c r="J78" s="250"/>
      <c r="K78" s="250"/>
      <c r="L78" s="250"/>
      <c r="M78" s="250"/>
      <c r="N78" s="250"/>
      <c r="O78" s="250"/>
      <c r="P78" s="250"/>
      <c r="Q78" s="250"/>
      <c r="R78" s="250"/>
      <c r="S78" s="250"/>
      <c r="T78" s="250"/>
      <c r="U78" s="250"/>
      <c r="V78" s="250"/>
      <c r="W78" s="250"/>
      <c r="X78" s="250"/>
      <c r="Y78" s="250"/>
      <c r="Z78" s="250"/>
      <c r="AA78" s="250"/>
      <c r="AB78" s="250"/>
      <c r="AC78" s="250"/>
      <c r="AD78" s="250"/>
      <c r="AE78" s="250"/>
      <c r="AF78" s="250"/>
      <c r="AG78" s="250"/>
      <c r="AH78" s="250"/>
      <c r="AI78" s="250"/>
      <c r="AJ78" s="250"/>
      <c r="AK78" s="250"/>
      <c r="AL78" s="250"/>
      <c r="AM78" s="250"/>
      <c r="AN78" s="250"/>
      <c r="AO78" s="250"/>
      <c r="AP78" s="250"/>
      <c r="AQ78" s="250"/>
      <c r="AR78" s="250"/>
      <c r="AS78" s="250"/>
      <c r="AT78" s="250"/>
      <c r="AU78" s="250"/>
      <c r="AV78" s="250"/>
      <c r="AW78" s="250"/>
      <c r="AX78" s="250"/>
      <c r="AY78" s="250"/>
      <c r="AZ78" s="250"/>
    </row>
    <row r="79" spans="1:52" ht="13.15" x14ac:dyDescent="0.4">
      <c r="A79" s="250"/>
      <c r="B79" s="250"/>
      <c r="C79" s="250"/>
      <c r="D79" s="250"/>
      <c r="E79" s="250"/>
      <c r="F79" s="250"/>
      <c r="G79" s="250"/>
      <c r="H79" s="250"/>
      <c r="I79" s="250"/>
      <c r="J79" s="250"/>
      <c r="K79" s="250"/>
      <c r="L79" s="250"/>
      <c r="M79" s="250"/>
      <c r="N79" s="250"/>
      <c r="O79" s="250"/>
      <c r="P79" s="250"/>
      <c r="Q79" s="250"/>
      <c r="R79" s="250"/>
      <c r="S79" s="250"/>
      <c r="T79" s="250"/>
      <c r="U79" s="250"/>
      <c r="V79" s="250"/>
      <c r="W79" s="250"/>
      <c r="X79" s="250"/>
      <c r="Y79" s="250"/>
      <c r="Z79" s="250"/>
      <c r="AA79" s="250"/>
      <c r="AB79" s="250"/>
      <c r="AC79" s="250"/>
      <c r="AD79" s="250"/>
      <c r="AE79" s="250"/>
      <c r="AF79" s="250"/>
      <c r="AG79" s="250"/>
      <c r="AH79" s="250"/>
      <c r="AI79" s="250"/>
      <c r="AJ79" s="250"/>
      <c r="AK79" s="250"/>
      <c r="AL79" s="250"/>
      <c r="AM79" s="250"/>
      <c r="AN79" s="250"/>
      <c r="AO79" s="250"/>
      <c r="AP79" s="250"/>
      <c r="AQ79" s="250"/>
      <c r="AR79" s="250"/>
      <c r="AS79" s="250"/>
      <c r="AT79" s="250"/>
      <c r="AU79" s="250"/>
      <c r="AV79" s="250"/>
      <c r="AW79" s="250"/>
      <c r="AX79" s="250"/>
      <c r="AY79" s="250"/>
      <c r="AZ79" s="250"/>
    </row>
    <row r="80" spans="1:52" ht="13.15" x14ac:dyDescent="0.4">
      <c r="A80" s="250"/>
      <c r="B80" s="250"/>
      <c r="C80" s="250"/>
      <c r="D80" s="250"/>
      <c r="E80" s="250"/>
      <c r="F80" s="250"/>
      <c r="G80" s="250"/>
      <c r="H80" s="250"/>
      <c r="I80" s="250"/>
      <c r="J80" s="250"/>
      <c r="K80" s="250"/>
      <c r="L80" s="250"/>
      <c r="M80" s="250"/>
      <c r="N80" s="250"/>
      <c r="O80" s="250"/>
      <c r="P80" s="250"/>
      <c r="Q80" s="250"/>
      <c r="R80" s="250"/>
      <c r="S80" s="250"/>
      <c r="T80" s="250"/>
      <c r="U80" s="250"/>
      <c r="V80" s="250"/>
      <c r="W80" s="250"/>
      <c r="X80" s="250"/>
      <c r="Y80" s="250"/>
      <c r="Z80" s="250"/>
      <c r="AA80" s="250"/>
      <c r="AB80" s="250"/>
      <c r="AC80" s="250"/>
      <c r="AD80" s="250"/>
      <c r="AE80" s="250"/>
      <c r="AF80" s="250"/>
      <c r="AG80" s="250"/>
      <c r="AH80" s="250"/>
      <c r="AI80" s="250"/>
      <c r="AJ80" s="250"/>
      <c r="AK80" s="250"/>
      <c r="AL80" s="250"/>
      <c r="AM80" s="250"/>
      <c r="AN80" s="250"/>
      <c r="AO80" s="250"/>
      <c r="AP80" s="250"/>
      <c r="AQ80" s="250"/>
      <c r="AR80" s="250"/>
      <c r="AS80" s="250"/>
      <c r="AT80" s="250"/>
      <c r="AU80" s="250"/>
      <c r="AV80" s="250"/>
      <c r="AW80" s="250"/>
      <c r="AX80" s="250"/>
      <c r="AY80" s="250"/>
      <c r="AZ80" s="250"/>
    </row>
    <row r="81" spans="1:52" ht="13.15" x14ac:dyDescent="0.4">
      <c r="A81" s="250"/>
      <c r="B81" s="250"/>
      <c r="C81" s="250"/>
      <c r="D81" s="250"/>
      <c r="E81" s="250"/>
      <c r="F81" s="250"/>
      <c r="G81" s="250"/>
      <c r="H81" s="250"/>
      <c r="I81" s="250"/>
      <c r="J81" s="250"/>
      <c r="K81" s="250"/>
      <c r="L81" s="250"/>
      <c r="M81" s="250"/>
      <c r="N81" s="250"/>
      <c r="O81" s="250"/>
      <c r="P81" s="250"/>
      <c r="Q81" s="250"/>
      <c r="R81" s="250"/>
      <c r="S81" s="250"/>
      <c r="T81" s="250"/>
      <c r="U81" s="250"/>
      <c r="V81" s="250"/>
      <c r="W81" s="250"/>
      <c r="X81" s="250"/>
      <c r="Y81" s="250"/>
      <c r="Z81" s="250"/>
      <c r="AA81" s="250"/>
      <c r="AB81" s="250"/>
      <c r="AC81" s="250"/>
      <c r="AD81" s="250"/>
      <c r="AE81" s="250"/>
      <c r="AF81" s="250"/>
      <c r="AG81" s="250"/>
      <c r="AH81" s="250"/>
      <c r="AI81" s="250"/>
      <c r="AJ81" s="250"/>
      <c r="AK81" s="250"/>
      <c r="AL81" s="250"/>
      <c r="AM81" s="250"/>
      <c r="AN81" s="250"/>
      <c r="AO81" s="250"/>
      <c r="AP81" s="250"/>
      <c r="AQ81" s="250"/>
      <c r="AR81" s="250"/>
      <c r="AS81" s="250"/>
      <c r="AT81" s="250"/>
      <c r="AU81" s="250"/>
      <c r="AV81" s="250"/>
      <c r="AW81" s="250"/>
      <c r="AX81" s="250"/>
      <c r="AY81" s="250"/>
      <c r="AZ81" s="250"/>
    </row>
    <row r="82" spans="1:52" ht="13.15" x14ac:dyDescent="0.4">
      <c r="A82" s="250"/>
      <c r="B82" s="250"/>
      <c r="C82" s="250"/>
      <c r="D82" s="250"/>
      <c r="E82" s="250"/>
      <c r="F82" s="250"/>
      <c r="G82" s="250"/>
      <c r="H82" s="250"/>
      <c r="I82" s="250"/>
      <c r="J82" s="250"/>
      <c r="K82" s="250"/>
      <c r="L82" s="250"/>
      <c r="M82" s="250"/>
      <c r="N82" s="250"/>
      <c r="O82" s="250"/>
      <c r="P82" s="250"/>
      <c r="Q82" s="250"/>
      <c r="R82" s="250"/>
      <c r="S82" s="250"/>
      <c r="T82" s="250"/>
      <c r="U82" s="250"/>
      <c r="V82" s="250"/>
      <c r="W82" s="250"/>
      <c r="X82" s="250"/>
      <c r="Y82" s="250"/>
      <c r="Z82" s="250"/>
      <c r="AA82" s="250"/>
      <c r="AB82" s="250"/>
      <c r="AC82" s="250"/>
      <c r="AD82" s="250"/>
      <c r="AE82" s="250"/>
      <c r="AF82" s="250"/>
      <c r="AG82" s="250"/>
      <c r="AH82" s="250"/>
      <c r="AI82" s="250"/>
      <c r="AJ82" s="250"/>
      <c r="AK82" s="250"/>
      <c r="AL82" s="250"/>
      <c r="AM82" s="250"/>
      <c r="AN82" s="250"/>
      <c r="AO82" s="250"/>
      <c r="AP82" s="250"/>
      <c r="AQ82" s="250"/>
      <c r="AR82" s="250"/>
      <c r="AS82" s="250"/>
      <c r="AT82" s="250"/>
      <c r="AU82" s="250"/>
      <c r="AV82" s="250"/>
      <c r="AW82" s="250"/>
      <c r="AX82" s="250"/>
      <c r="AY82" s="250"/>
      <c r="AZ82" s="250"/>
    </row>
    <row r="83" spans="1:52" ht="13.15" x14ac:dyDescent="0.4">
      <c r="A83" s="250"/>
      <c r="B83" s="250"/>
      <c r="C83" s="250"/>
      <c r="D83" s="250"/>
      <c r="E83" s="250"/>
      <c r="F83" s="250"/>
      <c r="G83" s="250"/>
      <c r="H83" s="250"/>
      <c r="I83" s="250"/>
      <c r="J83" s="250"/>
      <c r="K83" s="250"/>
      <c r="L83" s="250"/>
      <c r="M83" s="250"/>
      <c r="N83" s="250"/>
      <c r="O83" s="250"/>
      <c r="P83" s="250"/>
      <c r="Q83" s="250"/>
      <c r="R83" s="250"/>
      <c r="S83" s="250"/>
      <c r="T83" s="250"/>
      <c r="U83" s="250"/>
      <c r="V83" s="250"/>
      <c r="W83" s="250"/>
      <c r="X83" s="250"/>
      <c r="Y83" s="250"/>
      <c r="Z83" s="250"/>
      <c r="AA83" s="250"/>
      <c r="AB83" s="250"/>
      <c r="AC83" s="250"/>
      <c r="AD83" s="250"/>
      <c r="AE83" s="250"/>
      <c r="AF83" s="250"/>
      <c r="AG83" s="250"/>
      <c r="AH83" s="250"/>
      <c r="AI83" s="250"/>
      <c r="AJ83" s="250"/>
      <c r="AK83" s="250"/>
      <c r="AL83" s="250"/>
      <c r="AM83" s="250"/>
      <c r="AN83" s="250"/>
      <c r="AO83" s="250"/>
      <c r="AP83" s="250"/>
      <c r="AQ83" s="250"/>
      <c r="AR83" s="250"/>
      <c r="AS83" s="250"/>
      <c r="AT83" s="250"/>
      <c r="AU83" s="250"/>
      <c r="AV83" s="250"/>
      <c r="AW83" s="250"/>
      <c r="AX83" s="250"/>
      <c r="AY83" s="250"/>
      <c r="AZ83" s="250"/>
    </row>
    <row r="84" spans="1:52" ht="13.15" x14ac:dyDescent="0.4">
      <c r="A84" s="250"/>
      <c r="B84" s="250"/>
      <c r="C84" s="250"/>
      <c r="D84" s="250"/>
      <c r="E84" s="250"/>
      <c r="F84" s="250"/>
      <c r="G84" s="250"/>
      <c r="H84" s="250"/>
      <c r="I84" s="250"/>
      <c r="J84" s="250"/>
      <c r="K84" s="250"/>
      <c r="L84" s="250"/>
      <c r="M84" s="250"/>
      <c r="N84" s="250"/>
      <c r="O84" s="250"/>
      <c r="P84" s="250"/>
      <c r="Q84" s="250"/>
      <c r="R84" s="250"/>
      <c r="S84" s="250"/>
      <c r="T84" s="250"/>
      <c r="U84" s="250"/>
      <c r="V84" s="250"/>
      <c r="W84" s="250"/>
      <c r="X84" s="250"/>
      <c r="Y84" s="250"/>
      <c r="Z84" s="250"/>
      <c r="AA84" s="250"/>
      <c r="AB84" s="250"/>
      <c r="AC84" s="250"/>
      <c r="AD84" s="250"/>
      <c r="AE84" s="250"/>
      <c r="AF84" s="250"/>
      <c r="AG84" s="250"/>
      <c r="AH84" s="250"/>
      <c r="AI84" s="250"/>
      <c r="AJ84" s="250"/>
      <c r="AK84" s="250"/>
      <c r="AL84" s="250"/>
      <c r="AM84" s="250"/>
      <c r="AN84" s="250"/>
      <c r="AO84" s="250"/>
      <c r="AP84" s="250"/>
      <c r="AQ84" s="250"/>
      <c r="AR84" s="250"/>
      <c r="AS84" s="250"/>
      <c r="AT84" s="250"/>
      <c r="AU84" s="250"/>
      <c r="AV84" s="250"/>
      <c r="AW84" s="250"/>
      <c r="AX84" s="250"/>
      <c r="AY84" s="250"/>
      <c r="AZ84" s="250"/>
    </row>
    <row r="85" spans="1:52" ht="13.15" x14ac:dyDescent="0.4">
      <c r="A85" s="250"/>
      <c r="B85" s="250"/>
      <c r="C85" s="250"/>
      <c r="D85" s="250"/>
      <c r="E85" s="250"/>
      <c r="F85" s="250"/>
      <c r="G85" s="250"/>
      <c r="H85" s="250"/>
      <c r="I85" s="250"/>
      <c r="J85" s="250"/>
      <c r="K85" s="250"/>
      <c r="L85" s="250"/>
      <c r="M85" s="250"/>
      <c r="N85" s="250"/>
      <c r="O85" s="250"/>
      <c r="P85" s="250"/>
      <c r="Q85" s="250"/>
      <c r="R85" s="250"/>
      <c r="S85" s="250"/>
      <c r="T85" s="250"/>
      <c r="U85" s="250"/>
      <c r="V85" s="250"/>
      <c r="W85" s="250"/>
      <c r="X85" s="250"/>
      <c r="Y85" s="250"/>
      <c r="Z85" s="250"/>
      <c r="AA85" s="250"/>
      <c r="AB85" s="250"/>
      <c r="AC85" s="250"/>
      <c r="AD85" s="250"/>
      <c r="AE85" s="250"/>
      <c r="AF85" s="250"/>
      <c r="AG85" s="250"/>
      <c r="AH85" s="250"/>
      <c r="AI85" s="250"/>
      <c r="AJ85" s="250"/>
      <c r="AK85" s="250"/>
      <c r="AL85" s="250"/>
      <c r="AM85" s="250"/>
      <c r="AN85" s="250"/>
      <c r="AO85" s="250"/>
      <c r="AP85" s="250"/>
      <c r="AQ85" s="250"/>
      <c r="AR85" s="250"/>
      <c r="AS85" s="250"/>
      <c r="AT85" s="250"/>
      <c r="AU85" s="250"/>
      <c r="AV85" s="250"/>
      <c r="AW85" s="250"/>
      <c r="AX85" s="250"/>
      <c r="AY85" s="250"/>
      <c r="AZ85" s="250"/>
    </row>
    <row r="86" spans="1:52" ht="13.15" x14ac:dyDescent="0.4">
      <c r="A86" s="250"/>
      <c r="B86" s="250"/>
      <c r="C86" s="250"/>
      <c r="D86" s="250"/>
      <c r="E86" s="250"/>
      <c r="F86" s="250"/>
      <c r="G86" s="250"/>
      <c r="H86" s="250"/>
      <c r="I86" s="250"/>
      <c r="J86" s="250"/>
      <c r="K86" s="250"/>
      <c r="L86" s="250"/>
      <c r="M86" s="250"/>
      <c r="N86" s="250"/>
      <c r="O86" s="250"/>
      <c r="P86" s="250"/>
      <c r="Q86" s="250"/>
      <c r="R86" s="250"/>
      <c r="S86" s="250"/>
      <c r="T86" s="250"/>
      <c r="U86" s="250"/>
      <c r="V86" s="250"/>
      <c r="W86" s="250"/>
      <c r="X86" s="250"/>
      <c r="Y86" s="250"/>
      <c r="Z86" s="250"/>
      <c r="AA86" s="250"/>
      <c r="AB86" s="250"/>
      <c r="AC86" s="250"/>
      <c r="AD86" s="250"/>
      <c r="AE86" s="250"/>
      <c r="AF86" s="250"/>
      <c r="AG86" s="250"/>
      <c r="AH86" s="250"/>
      <c r="AI86" s="250"/>
      <c r="AJ86" s="250"/>
      <c r="AK86" s="250"/>
      <c r="AL86" s="250"/>
      <c r="AM86" s="250"/>
      <c r="AN86" s="250"/>
      <c r="AO86" s="250"/>
      <c r="AP86" s="250"/>
      <c r="AQ86" s="250"/>
      <c r="AR86" s="250"/>
      <c r="AS86" s="250"/>
      <c r="AT86" s="250"/>
      <c r="AU86" s="250"/>
      <c r="AV86" s="250"/>
      <c r="AW86" s="250"/>
      <c r="AX86" s="250"/>
      <c r="AY86" s="250"/>
      <c r="AZ86" s="250"/>
    </row>
    <row r="87" spans="1:52" ht="13.15" x14ac:dyDescent="0.4">
      <c r="A87" s="250"/>
      <c r="B87" s="250"/>
      <c r="C87" s="250"/>
      <c r="D87" s="250"/>
      <c r="E87" s="250"/>
      <c r="F87" s="250"/>
      <c r="G87" s="250"/>
      <c r="H87" s="250"/>
      <c r="I87" s="250"/>
      <c r="J87" s="250"/>
      <c r="K87" s="250"/>
      <c r="L87" s="250"/>
      <c r="M87" s="250"/>
      <c r="N87" s="250"/>
      <c r="O87" s="250"/>
      <c r="P87" s="250"/>
      <c r="Q87" s="250"/>
      <c r="R87" s="250"/>
      <c r="S87" s="250"/>
      <c r="T87" s="250"/>
      <c r="U87" s="250"/>
      <c r="V87" s="250"/>
      <c r="W87" s="250"/>
      <c r="X87" s="250"/>
      <c r="Y87" s="250"/>
      <c r="Z87" s="250"/>
      <c r="AA87" s="250"/>
      <c r="AB87" s="250"/>
      <c r="AC87" s="250"/>
      <c r="AD87" s="250"/>
      <c r="AE87" s="250"/>
      <c r="AF87" s="250"/>
      <c r="AG87" s="250"/>
      <c r="AH87" s="250"/>
      <c r="AI87" s="250"/>
      <c r="AJ87" s="250"/>
      <c r="AK87" s="250"/>
      <c r="AL87" s="250"/>
      <c r="AM87" s="250"/>
      <c r="AN87" s="250"/>
      <c r="AO87" s="250"/>
      <c r="AP87" s="250"/>
      <c r="AQ87" s="250"/>
      <c r="AR87" s="250"/>
      <c r="AS87" s="250"/>
      <c r="AT87" s="250"/>
      <c r="AU87" s="250"/>
      <c r="AV87" s="250"/>
      <c r="AW87" s="250"/>
      <c r="AX87" s="250"/>
      <c r="AY87" s="250"/>
      <c r="AZ87" s="250"/>
    </row>
    <row r="88" spans="1:52" ht="13.15" x14ac:dyDescent="0.4">
      <c r="A88" s="250"/>
      <c r="B88" s="250"/>
      <c r="C88" s="250"/>
      <c r="D88" s="250"/>
      <c r="E88" s="250"/>
      <c r="F88" s="250"/>
      <c r="G88" s="250"/>
      <c r="H88" s="250"/>
      <c r="I88" s="250"/>
      <c r="J88" s="250"/>
      <c r="K88" s="250"/>
      <c r="L88" s="250"/>
      <c r="M88" s="250"/>
      <c r="N88" s="250"/>
      <c r="O88" s="250"/>
      <c r="P88" s="250"/>
      <c r="Q88" s="250"/>
      <c r="R88" s="250"/>
      <c r="S88" s="250"/>
      <c r="T88" s="250"/>
      <c r="U88" s="250"/>
      <c r="V88" s="250"/>
      <c r="W88" s="250"/>
      <c r="X88" s="250"/>
      <c r="Y88" s="250"/>
      <c r="Z88" s="250"/>
      <c r="AA88" s="250"/>
      <c r="AB88" s="250"/>
      <c r="AC88" s="250"/>
      <c r="AD88" s="250"/>
      <c r="AE88" s="250"/>
      <c r="AF88" s="250"/>
      <c r="AG88" s="250"/>
      <c r="AH88" s="250"/>
      <c r="AI88" s="250"/>
      <c r="AJ88" s="250"/>
      <c r="AK88" s="250"/>
      <c r="AL88" s="250"/>
      <c r="AM88" s="250"/>
      <c r="AN88" s="250"/>
      <c r="AO88" s="250"/>
      <c r="AP88" s="250"/>
      <c r="AQ88" s="250"/>
      <c r="AR88" s="250"/>
      <c r="AS88" s="250"/>
      <c r="AT88" s="250"/>
      <c r="AU88" s="250"/>
      <c r="AV88" s="250"/>
      <c r="AW88" s="250"/>
      <c r="AX88" s="250"/>
      <c r="AY88" s="250"/>
      <c r="AZ88" s="250"/>
    </row>
    <row r="89" spans="1:52" ht="13.15" x14ac:dyDescent="0.4">
      <c r="A89" s="250"/>
      <c r="B89" s="250"/>
      <c r="C89" s="250"/>
      <c r="D89" s="250"/>
      <c r="E89" s="250"/>
      <c r="F89" s="250"/>
      <c r="G89" s="250"/>
      <c r="H89" s="250"/>
      <c r="I89" s="250"/>
      <c r="J89" s="250"/>
      <c r="K89" s="250"/>
      <c r="L89" s="250"/>
      <c r="M89" s="250"/>
      <c r="N89" s="250"/>
      <c r="O89" s="250"/>
      <c r="P89" s="250"/>
      <c r="Q89" s="250"/>
      <c r="R89" s="250"/>
      <c r="S89" s="250"/>
      <c r="T89" s="250"/>
      <c r="U89" s="250"/>
      <c r="V89" s="250"/>
      <c r="W89" s="250"/>
      <c r="X89" s="250"/>
      <c r="Y89" s="250"/>
      <c r="Z89" s="250"/>
      <c r="AA89" s="250"/>
      <c r="AB89" s="250"/>
      <c r="AC89" s="250"/>
      <c r="AD89" s="250"/>
      <c r="AE89" s="250"/>
      <c r="AF89" s="250"/>
      <c r="AG89" s="250"/>
      <c r="AH89" s="250"/>
      <c r="AI89" s="250"/>
      <c r="AJ89" s="250"/>
      <c r="AK89" s="250"/>
      <c r="AL89" s="250"/>
      <c r="AM89" s="250"/>
      <c r="AN89" s="250"/>
      <c r="AO89" s="250"/>
      <c r="AP89" s="250"/>
      <c r="AQ89" s="250"/>
      <c r="AR89" s="250"/>
      <c r="AS89" s="250"/>
      <c r="AT89" s="250"/>
      <c r="AU89" s="250"/>
      <c r="AV89" s="250"/>
      <c r="AW89" s="250"/>
      <c r="AX89" s="250"/>
      <c r="AY89" s="250"/>
      <c r="AZ89" s="250"/>
    </row>
    <row r="90" spans="1:52" ht="13.15" x14ac:dyDescent="0.4">
      <c r="A90" s="250"/>
      <c r="B90" s="250"/>
      <c r="C90" s="250"/>
      <c r="D90" s="250"/>
      <c r="E90" s="250"/>
      <c r="F90" s="250"/>
      <c r="G90" s="250"/>
      <c r="H90" s="250"/>
      <c r="I90" s="250"/>
      <c r="J90" s="250"/>
      <c r="K90" s="250"/>
      <c r="L90" s="250"/>
      <c r="M90" s="250"/>
      <c r="N90" s="250"/>
      <c r="O90" s="250"/>
      <c r="P90" s="250"/>
      <c r="Q90" s="250"/>
      <c r="R90" s="250"/>
      <c r="S90" s="250"/>
      <c r="T90" s="250"/>
      <c r="U90" s="250"/>
      <c r="V90" s="250"/>
      <c r="W90" s="250"/>
      <c r="X90" s="250"/>
      <c r="Y90" s="250"/>
      <c r="Z90" s="250"/>
      <c r="AA90" s="250"/>
      <c r="AB90" s="250"/>
      <c r="AC90" s="250"/>
      <c r="AD90" s="250"/>
      <c r="AE90" s="250"/>
      <c r="AF90" s="250"/>
      <c r="AG90" s="250"/>
      <c r="AH90" s="250"/>
      <c r="AI90" s="250"/>
      <c r="AJ90" s="250"/>
      <c r="AK90" s="250"/>
      <c r="AL90" s="250"/>
      <c r="AM90" s="250"/>
      <c r="AN90" s="250"/>
      <c r="AO90" s="250"/>
      <c r="AP90" s="250"/>
      <c r="AQ90" s="250"/>
      <c r="AR90" s="250"/>
      <c r="AS90" s="250"/>
      <c r="AT90" s="250"/>
      <c r="AU90" s="250"/>
      <c r="AV90" s="250"/>
      <c r="AW90" s="250"/>
      <c r="AX90" s="250"/>
      <c r="AY90" s="250"/>
      <c r="AZ90" s="250"/>
    </row>
    <row r="91" spans="1:52" ht="13.15" x14ac:dyDescent="0.4">
      <c r="A91" s="250"/>
      <c r="B91" s="250"/>
      <c r="C91" s="250"/>
      <c r="D91" s="250"/>
      <c r="E91" s="250"/>
      <c r="F91" s="250"/>
      <c r="G91" s="250"/>
      <c r="H91" s="250"/>
      <c r="I91" s="250"/>
      <c r="J91" s="250"/>
      <c r="K91" s="250"/>
      <c r="L91" s="250"/>
      <c r="M91" s="250"/>
      <c r="N91" s="250"/>
      <c r="O91" s="250"/>
      <c r="P91" s="250"/>
      <c r="Q91" s="250"/>
      <c r="R91" s="250"/>
      <c r="S91" s="250"/>
      <c r="T91" s="250"/>
      <c r="U91" s="250"/>
      <c r="V91" s="250"/>
      <c r="W91" s="250"/>
      <c r="X91" s="250"/>
      <c r="Y91" s="250"/>
      <c r="Z91" s="250"/>
      <c r="AA91" s="250"/>
      <c r="AB91" s="250"/>
      <c r="AC91" s="250"/>
      <c r="AD91" s="250"/>
      <c r="AE91" s="250"/>
      <c r="AF91" s="250"/>
      <c r="AG91" s="250"/>
      <c r="AH91" s="250"/>
      <c r="AI91" s="250"/>
      <c r="AJ91" s="250"/>
      <c r="AK91" s="250"/>
      <c r="AL91" s="250"/>
      <c r="AM91" s="250"/>
      <c r="AN91" s="250"/>
      <c r="AO91" s="250"/>
      <c r="AP91" s="250"/>
      <c r="AQ91" s="250"/>
      <c r="AR91" s="250"/>
      <c r="AS91" s="250"/>
      <c r="AT91" s="250"/>
      <c r="AU91" s="250"/>
      <c r="AV91" s="250"/>
      <c r="AW91" s="250"/>
      <c r="AX91" s="250"/>
      <c r="AY91" s="250"/>
      <c r="AZ91" s="250"/>
    </row>
    <row r="92" spans="1:52" ht="13.15" x14ac:dyDescent="0.4">
      <c r="A92" s="250"/>
      <c r="B92" s="250"/>
      <c r="C92" s="250"/>
      <c r="D92" s="250"/>
      <c r="E92" s="250"/>
      <c r="F92" s="250"/>
      <c r="G92" s="250"/>
      <c r="H92" s="250"/>
      <c r="I92" s="250"/>
      <c r="J92" s="250"/>
      <c r="K92" s="250"/>
      <c r="L92" s="250"/>
      <c r="M92" s="250"/>
      <c r="N92" s="250"/>
      <c r="O92" s="250"/>
      <c r="P92" s="250"/>
      <c r="Q92" s="250"/>
      <c r="R92" s="250"/>
      <c r="S92" s="250"/>
      <c r="T92" s="250"/>
      <c r="U92" s="250"/>
      <c r="V92" s="250"/>
      <c r="W92" s="250"/>
      <c r="X92" s="250"/>
      <c r="Y92" s="250"/>
      <c r="Z92" s="250"/>
      <c r="AA92" s="250"/>
      <c r="AB92" s="250"/>
      <c r="AC92" s="250"/>
      <c r="AD92" s="250"/>
      <c r="AE92" s="250"/>
      <c r="AF92" s="250"/>
      <c r="AG92" s="250"/>
      <c r="AH92" s="250"/>
      <c r="AI92" s="250"/>
      <c r="AJ92" s="250"/>
      <c r="AK92" s="250"/>
      <c r="AL92" s="250"/>
      <c r="AM92" s="250"/>
      <c r="AN92" s="250"/>
      <c r="AO92" s="250"/>
      <c r="AP92" s="250"/>
      <c r="AQ92" s="250"/>
      <c r="AR92" s="250"/>
      <c r="AS92" s="250"/>
      <c r="AT92" s="250"/>
      <c r="AU92" s="250"/>
      <c r="AV92" s="250"/>
      <c r="AW92" s="250"/>
      <c r="AX92" s="250"/>
      <c r="AY92" s="250"/>
      <c r="AZ92" s="250"/>
    </row>
    <row r="93" spans="1:52" ht="13.15" x14ac:dyDescent="0.4">
      <c r="A93" s="250"/>
      <c r="B93" s="250"/>
      <c r="C93" s="250"/>
      <c r="D93" s="250"/>
      <c r="E93" s="250"/>
      <c r="F93" s="250"/>
      <c r="G93" s="250"/>
      <c r="H93" s="250"/>
      <c r="I93" s="250"/>
      <c r="J93" s="250"/>
      <c r="K93" s="250"/>
      <c r="L93" s="250"/>
      <c r="M93" s="250"/>
      <c r="N93" s="250"/>
      <c r="O93" s="250"/>
      <c r="P93" s="250"/>
      <c r="Q93" s="250"/>
      <c r="R93" s="250"/>
      <c r="S93" s="250"/>
      <c r="T93" s="250"/>
      <c r="U93" s="250"/>
      <c r="V93" s="250"/>
      <c r="W93" s="250"/>
      <c r="X93" s="250"/>
      <c r="Y93" s="250"/>
      <c r="Z93" s="250"/>
      <c r="AA93" s="250"/>
      <c r="AB93" s="250"/>
      <c r="AC93" s="250"/>
      <c r="AD93" s="250"/>
      <c r="AE93" s="250"/>
      <c r="AF93" s="250"/>
      <c r="AG93" s="250"/>
      <c r="AH93" s="250"/>
      <c r="AI93" s="250"/>
      <c r="AJ93" s="250"/>
      <c r="AK93" s="250"/>
      <c r="AL93" s="250"/>
      <c r="AM93" s="250"/>
      <c r="AN93" s="250"/>
      <c r="AO93" s="250"/>
      <c r="AP93" s="250"/>
      <c r="AQ93" s="250"/>
      <c r="AR93" s="250"/>
      <c r="AS93" s="250"/>
      <c r="AT93" s="250"/>
      <c r="AU93" s="250"/>
      <c r="AV93" s="250"/>
      <c r="AW93" s="250"/>
      <c r="AX93" s="250"/>
      <c r="AY93" s="250"/>
      <c r="AZ93" s="250"/>
    </row>
    <row r="94" spans="1:52" ht="13.15" x14ac:dyDescent="0.4">
      <c r="A94" s="250"/>
      <c r="B94" s="250"/>
      <c r="C94" s="250"/>
      <c r="D94" s="250"/>
      <c r="E94" s="250"/>
      <c r="F94" s="250"/>
      <c r="G94" s="250"/>
      <c r="H94" s="250"/>
      <c r="I94" s="250"/>
      <c r="J94" s="250"/>
      <c r="K94" s="250"/>
      <c r="L94" s="250"/>
      <c r="M94" s="250"/>
      <c r="N94" s="250"/>
      <c r="O94" s="250"/>
      <c r="P94" s="250"/>
      <c r="Q94" s="250"/>
      <c r="R94" s="250"/>
      <c r="S94" s="250"/>
      <c r="T94" s="250"/>
      <c r="U94" s="250"/>
      <c r="V94" s="250"/>
      <c r="W94" s="250"/>
      <c r="X94" s="250"/>
      <c r="Y94" s="250"/>
      <c r="Z94" s="250"/>
      <c r="AA94" s="250"/>
      <c r="AB94" s="250"/>
      <c r="AC94" s="250"/>
      <c r="AD94" s="250"/>
      <c r="AE94" s="250"/>
      <c r="AF94" s="250"/>
      <c r="AG94" s="250"/>
      <c r="AH94" s="250"/>
      <c r="AI94" s="250"/>
      <c r="AJ94" s="250"/>
      <c r="AK94" s="250"/>
      <c r="AL94" s="250"/>
      <c r="AM94" s="250"/>
      <c r="AN94" s="250"/>
      <c r="AO94" s="250"/>
      <c r="AP94" s="250"/>
      <c r="AQ94" s="250"/>
      <c r="AR94" s="250"/>
      <c r="AS94" s="250"/>
      <c r="AT94" s="250"/>
      <c r="AU94" s="250"/>
      <c r="AV94" s="250"/>
      <c r="AW94" s="250"/>
      <c r="AX94" s="250"/>
      <c r="AY94" s="250"/>
      <c r="AZ94" s="250"/>
    </row>
    <row r="95" spans="1:52" ht="13.15" x14ac:dyDescent="0.4">
      <c r="A95" s="250"/>
      <c r="B95" s="250"/>
      <c r="C95" s="250"/>
      <c r="D95" s="250"/>
      <c r="E95" s="250"/>
      <c r="F95" s="250"/>
      <c r="G95" s="250"/>
      <c r="H95" s="250"/>
      <c r="I95" s="250"/>
      <c r="J95" s="250"/>
      <c r="K95" s="250"/>
      <c r="L95" s="250"/>
      <c r="M95" s="250"/>
      <c r="N95" s="250"/>
      <c r="O95" s="250"/>
      <c r="P95" s="250"/>
      <c r="Q95" s="250"/>
      <c r="R95" s="250"/>
      <c r="S95" s="250"/>
      <c r="T95" s="250"/>
      <c r="U95" s="250"/>
      <c r="V95" s="250"/>
      <c r="W95" s="250"/>
      <c r="X95" s="250"/>
      <c r="Y95" s="250"/>
      <c r="Z95" s="250"/>
      <c r="AA95" s="250"/>
      <c r="AB95" s="250"/>
      <c r="AC95" s="250"/>
      <c r="AD95" s="250"/>
      <c r="AE95" s="250"/>
      <c r="AF95" s="250"/>
      <c r="AG95" s="250"/>
      <c r="AH95" s="250"/>
      <c r="AI95" s="250"/>
      <c r="AJ95" s="250"/>
      <c r="AK95" s="250"/>
      <c r="AL95" s="250"/>
      <c r="AM95" s="250"/>
      <c r="AN95" s="250"/>
      <c r="AO95" s="250"/>
      <c r="AP95" s="250"/>
      <c r="AQ95" s="250"/>
      <c r="AR95" s="250"/>
      <c r="AS95" s="250"/>
      <c r="AT95" s="250"/>
      <c r="AU95" s="250"/>
      <c r="AV95" s="250"/>
      <c r="AW95" s="250"/>
      <c r="AX95" s="250"/>
      <c r="AY95" s="250"/>
      <c r="AZ95" s="250"/>
    </row>
    <row r="96" spans="1:52" ht="13.15" x14ac:dyDescent="0.4">
      <c r="A96" s="250"/>
      <c r="B96" s="250"/>
      <c r="C96" s="250"/>
      <c r="D96" s="250"/>
      <c r="E96" s="250"/>
      <c r="F96" s="250"/>
      <c r="G96" s="250"/>
      <c r="H96" s="250"/>
      <c r="I96" s="250"/>
      <c r="J96" s="250"/>
      <c r="K96" s="250"/>
      <c r="L96" s="250"/>
      <c r="M96" s="250"/>
      <c r="N96" s="250"/>
      <c r="O96" s="250"/>
      <c r="P96" s="250"/>
      <c r="Q96" s="250"/>
      <c r="R96" s="250"/>
      <c r="S96" s="250"/>
      <c r="T96" s="250"/>
      <c r="U96" s="250"/>
      <c r="V96" s="250"/>
      <c r="W96" s="250"/>
      <c r="X96" s="250"/>
      <c r="Y96" s="250"/>
      <c r="Z96" s="250"/>
      <c r="AA96" s="250"/>
      <c r="AB96" s="250"/>
      <c r="AC96" s="250"/>
      <c r="AD96" s="250"/>
      <c r="AE96" s="250"/>
      <c r="AF96" s="250"/>
      <c r="AG96" s="250"/>
      <c r="AH96" s="250"/>
      <c r="AI96" s="250"/>
      <c r="AJ96" s="250"/>
      <c r="AK96" s="250"/>
      <c r="AL96" s="250"/>
      <c r="AM96" s="250"/>
      <c r="AN96" s="250"/>
      <c r="AO96" s="250"/>
      <c r="AP96" s="250"/>
      <c r="AQ96" s="250"/>
      <c r="AR96" s="250"/>
      <c r="AS96" s="250"/>
      <c r="AT96" s="250"/>
      <c r="AU96" s="250"/>
      <c r="AV96" s="250"/>
      <c r="AW96" s="250"/>
      <c r="AX96" s="250"/>
      <c r="AY96" s="250"/>
      <c r="AZ96" s="250"/>
    </row>
    <row r="97" spans="1:52" ht="13.15" x14ac:dyDescent="0.4">
      <c r="A97" s="250"/>
      <c r="B97" s="250"/>
      <c r="C97" s="250"/>
      <c r="D97" s="250"/>
      <c r="E97" s="250"/>
      <c r="F97" s="250"/>
      <c r="G97" s="250"/>
      <c r="H97" s="250"/>
      <c r="I97" s="250"/>
      <c r="J97" s="250"/>
      <c r="K97" s="250"/>
      <c r="L97" s="250"/>
      <c r="M97" s="250"/>
      <c r="N97" s="250"/>
      <c r="O97" s="250"/>
      <c r="P97" s="250"/>
      <c r="Q97" s="250"/>
      <c r="R97" s="250"/>
      <c r="S97" s="250"/>
      <c r="T97" s="250"/>
      <c r="U97" s="250"/>
      <c r="V97" s="250"/>
      <c r="W97" s="250"/>
      <c r="X97" s="250"/>
      <c r="Y97" s="250"/>
      <c r="Z97" s="250"/>
      <c r="AA97" s="250"/>
      <c r="AB97" s="250"/>
      <c r="AC97" s="250"/>
      <c r="AD97" s="250"/>
      <c r="AE97" s="250"/>
      <c r="AF97" s="250"/>
      <c r="AG97" s="250"/>
      <c r="AH97" s="250"/>
      <c r="AI97" s="250"/>
      <c r="AJ97" s="250"/>
      <c r="AK97" s="250"/>
      <c r="AL97" s="250"/>
      <c r="AM97" s="250"/>
      <c r="AN97" s="250"/>
      <c r="AO97" s="250"/>
      <c r="AP97" s="250"/>
      <c r="AQ97" s="250"/>
      <c r="AR97" s="250"/>
      <c r="AS97" s="250"/>
      <c r="AT97" s="250"/>
      <c r="AU97" s="250"/>
      <c r="AV97" s="250"/>
      <c r="AW97" s="250"/>
      <c r="AX97" s="250"/>
      <c r="AY97" s="250"/>
      <c r="AZ97" s="250"/>
    </row>
    <row r="98" spans="1:52" ht="13.15" x14ac:dyDescent="0.4">
      <c r="A98" s="250"/>
      <c r="B98" s="250"/>
      <c r="C98" s="250"/>
      <c r="D98" s="250"/>
      <c r="E98" s="250"/>
      <c r="F98" s="250"/>
      <c r="G98" s="250"/>
      <c r="H98" s="250"/>
      <c r="I98" s="250"/>
      <c r="J98" s="250"/>
      <c r="K98" s="250"/>
      <c r="L98" s="250"/>
      <c r="M98" s="250"/>
      <c r="N98" s="250"/>
      <c r="O98" s="250"/>
      <c r="P98" s="250"/>
      <c r="Q98" s="250"/>
      <c r="R98" s="250"/>
      <c r="S98" s="250"/>
      <c r="T98" s="250"/>
      <c r="U98" s="250"/>
      <c r="V98" s="250"/>
      <c r="W98" s="250"/>
      <c r="X98" s="250"/>
      <c r="Y98" s="250"/>
      <c r="Z98" s="250"/>
      <c r="AA98" s="250"/>
      <c r="AB98" s="250"/>
      <c r="AC98" s="250"/>
      <c r="AD98" s="250"/>
      <c r="AE98" s="250"/>
      <c r="AF98" s="250"/>
      <c r="AG98" s="250"/>
      <c r="AH98" s="250"/>
      <c r="AI98" s="250"/>
      <c r="AJ98" s="250"/>
      <c r="AK98" s="250"/>
      <c r="AL98" s="250"/>
      <c r="AM98" s="250"/>
      <c r="AN98" s="250"/>
      <c r="AO98" s="250"/>
      <c r="AP98" s="250"/>
      <c r="AQ98" s="250"/>
      <c r="AR98" s="250"/>
      <c r="AS98" s="250"/>
      <c r="AT98" s="250"/>
      <c r="AU98" s="250"/>
      <c r="AV98" s="250"/>
      <c r="AW98" s="250"/>
      <c r="AX98" s="250"/>
      <c r="AY98" s="250"/>
      <c r="AZ98" s="250"/>
    </row>
    <row r="99" spans="1:52" ht="13.15" x14ac:dyDescent="0.4">
      <c r="A99" s="250"/>
      <c r="B99" s="250"/>
      <c r="C99" s="250"/>
      <c r="D99" s="250"/>
      <c r="E99" s="250"/>
      <c r="F99" s="250"/>
      <c r="G99" s="250"/>
      <c r="H99" s="250"/>
      <c r="I99" s="250"/>
      <c r="J99" s="250"/>
      <c r="K99" s="250"/>
      <c r="L99" s="250"/>
      <c r="M99" s="250"/>
      <c r="N99" s="250"/>
      <c r="O99" s="250"/>
      <c r="P99" s="250"/>
      <c r="Q99" s="250"/>
      <c r="R99" s="250"/>
      <c r="S99" s="250"/>
      <c r="T99" s="250"/>
      <c r="U99" s="250"/>
      <c r="V99" s="250"/>
      <c r="W99" s="250"/>
      <c r="X99" s="250"/>
      <c r="Y99" s="250"/>
      <c r="Z99" s="250"/>
      <c r="AA99" s="250"/>
      <c r="AB99" s="250"/>
      <c r="AC99" s="250"/>
      <c r="AD99" s="250"/>
      <c r="AE99" s="250"/>
      <c r="AF99" s="250"/>
      <c r="AG99" s="250"/>
      <c r="AH99" s="250"/>
      <c r="AI99" s="250"/>
      <c r="AJ99" s="250"/>
      <c r="AK99" s="250"/>
      <c r="AL99" s="250"/>
      <c r="AM99" s="250"/>
      <c r="AN99" s="250"/>
      <c r="AO99" s="250"/>
      <c r="AP99" s="250"/>
      <c r="AQ99" s="250"/>
      <c r="AR99" s="250"/>
      <c r="AS99" s="250"/>
      <c r="AT99" s="250"/>
      <c r="AU99" s="250"/>
      <c r="AV99" s="250"/>
      <c r="AW99" s="250"/>
      <c r="AX99" s="250"/>
      <c r="AY99" s="250"/>
      <c r="AZ99" s="250"/>
    </row>
    <row r="100" spans="1:52" ht="13.15" x14ac:dyDescent="0.4">
      <c r="A100" s="250"/>
      <c r="B100" s="250"/>
      <c r="C100" s="250"/>
      <c r="D100" s="250"/>
      <c r="E100" s="250"/>
      <c r="F100" s="250"/>
      <c r="G100" s="250"/>
      <c r="H100" s="250"/>
      <c r="I100" s="250"/>
      <c r="J100" s="250"/>
      <c r="K100" s="250"/>
      <c r="L100" s="250"/>
      <c r="M100" s="250"/>
      <c r="N100" s="250"/>
      <c r="O100" s="250"/>
      <c r="P100" s="250"/>
      <c r="Q100" s="250"/>
      <c r="R100" s="250"/>
      <c r="S100" s="250"/>
      <c r="T100" s="250"/>
      <c r="U100" s="250"/>
      <c r="V100" s="250"/>
      <c r="W100" s="250"/>
      <c r="X100" s="250"/>
      <c r="Y100" s="250"/>
      <c r="Z100" s="250"/>
      <c r="AA100" s="250"/>
      <c r="AB100" s="250"/>
      <c r="AC100" s="250"/>
      <c r="AD100" s="250"/>
      <c r="AE100" s="250"/>
      <c r="AF100" s="250"/>
      <c r="AG100" s="250"/>
      <c r="AH100" s="250"/>
      <c r="AI100" s="250"/>
      <c r="AJ100" s="250"/>
      <c r="AK100" s="250"/>
      <c r="AL100" s="250"/>
      <c r="AM100" s="250"/>
      <c r="AN100" s="250"/>
      <c r="AO100" s="250"/>
      <c r="AP100" s="250"/>
      <c r="AQ100" s="250"/>
      <c r="AR100" s="250"/>
      <c r="AS100" s="250"/>
      <c r="AT100" s="250"/>
      <c r="AU100" s="250"/>
      <c r="AV100" s="250"/>
      <c r="AW100" s="250"/>
      <c r="AX100" s="250"/>
      <c r="AY100" s="250"/>
      <c r="AZ100" s="250"/>
    </row>
    <row r="101" spans="1:52" ht="13.15" x14ac:dyDescent="0.4">
      <c r="A101" s="250"/>
      <c r="B101" s="250"/>
      <c r="C101" s="250"/>
      <c r="D101" s="250"/>
      <c r="E101" s="250"/>
      <c r="F101" s="250"/>
      <c r="G101" s="250"/>
      <c r="H101" s="250"/>
      <c r="I101" s="250"/>
      <c r="J101" s="250"/>
      <c r="K101" s="250"/>
      <c r="L101" s="250"/>
      <c r="M101" s="250"/>
      <c r="N101" s="250"/>
      <c r="O101" s="250"/>
      <c r="P101" s="250"/>
      <c r="Q101" s="250"/>
      <c r="R101" s="250"/>
      <c r="S101" s="250"/>
      <c r="T101" s="250"/>
      <c r="U101" s="250"/>
      <c r="V101" s="250"/>
      <c r="W101" s="250"/>
      <c r="X101" s="250"/>
      <c r="Y101" s="250"/>
      <c r="Z101" s="250"/>
      <c r="AA101" s="250"/>
      <c r="AB101" s="250"/>
      <c r="AC101" s="250"/>
      <c r="AD101" s="250"/>
      <c r="AE101" s="250"/>
      <c r="AF101" s="250"/>
      <c r="AG101" s="250"/>
      <c r="AH101" s="250"/>
      <c r="AI101" s="250"/>
      <c r="AJ101" s="250"/>
      <c r="AK101" s="250"/>
      <c r="AL101" s="250"/>
      <c r="AM101" s="250"/>
      <c r="AN101" s="250"/>
      <c r="AO101" s="250"/>
      <c r="AP101" s="250"/>
      <c r="AQ101" s="250"/>
      <c r="AR101" s="250"/>
      <c r="AS101" s="250"/>
      <c r="AT101" s="250"/>
      <c r="AU101" s="250"/>
      <c r="AV101" s="250"/>
      <c r="AW101" s="250"/>
      <c r="AX101" s="250"/>
      <c r="AY101" s="250"/>
      <c r="AZ101" s="250"/>
    </row>
    <row r="102" spans="1:52" ht="13.15" x14ac:dyDescent="0.4">
      <c r="A102" s="250"/>
      <c r="B102" s="250"/>
      <c r="C102" s="250"/>
      <c r="D102" s="250"/>
      <c r="E102" s="250"/>
      <c r="F102" s="250"/>
      <c r="G102" s="250"/>
      <c r="H102" s="250"/>
      <c r="I102" s="250"/>
      <c r="J102" s="250"/>
      <c r="K102" s="250"/>
      <c r="L102" s="250"/>
      <c r="M102" s="250"/>
      <c r="N102" s="250"/>
      <c r="O102" s="250"/>
      <c r="P102" s="250"/>
      <c r="Q102" s="250"/>
      <c r="R102" s="250"/>
      <c r="S102" s="250"/>
      <c r="T102" s="250"/>
      <c r="U102" s="250"/>
      <c r="V102" s="250"/>
      <c r="W102" s="250"/>
      <c r="X102" s="250"/>
      <c r="Y102" s="250"/>
      <c r="Z102" s="250"/>
      <c r="AA102" s="250"/>
      <c r="AB102" s="250"/>
      <c r="AC102" s="250"/>
      <c r="AD102" s="250"/>
      <c r="AE102" s="250"/>
      <c r="AF102" s="250"/>
      <c r="AG102" s="250"/>
      <c r="AH102" s="250"/>
      <c r="AI102" s="250"/>
      <c r="AJ102" s="250"/>
      <c r="AK102" s="250"/>
      <c r="AL102" s="250"/>
      <c r="AM102" s="250"/>
      <c r="AN102" s="250"/>
      <c r="AO102" s="250"/>
      <c r="AP102" s="250"/>
      <c r="AQ102" s="250"/>
      <c r="AR102" s="250"/>
      <c r="AS102" s="250"/>
      <c r="AT102" s="250"/>
      <c r="AU102" s="250"/>
      <c r="AV102" s="250"/>
      <c r="AW102" s="250"/>
      <c r="AX102" s="250"/>
      <c r="AY102" s="250"/>
      <c r="AZ102" s="250"/>
    </row>
    <row r="103" spans="1:52" ht="13.15" x14ac:dyDescent="0.4">
      <c r="A103" s="250"/>
      <c r="B103" s="250"/>
      <c r="C103" s="250"/>
      <c r="D103" s="250"/>
      <c r="E103" s="250"/>
      <c r="F103" s="250"/>
      <c r="G103" s="250"/>
      <c r="H103" s="250"/>
      <c r="I103" s="250"/>
      <c r="J103" s="250"/>
      <c r="K103" s="250"/>
      <c r="L103" s="250"/>
      <c r="M103" s="250"/>
      <c r="N103" s="250"/>
      <c r="O103" s="250"/>
      <c r="P103" s="250"/>
      <c r="Q103" s="250"/>
      <c r="R103" s="250"/>
      <c r="S103" s="250"/>
      <c r="T103" s="250"/>
      <c r="U103" s="250"/>
      <c r="V103" s="250"/>
      <c r="W103" s="250"/>
      <c r="X103" s="250"/>
      <c r="Y103" s="250"/>
      <c r="Z103" s="250"/>
      <c r="AA103" s="250"/>
      <c r="AB103" s="250"/>
      <c r="AC103" s="250"/>
      <c r="AD103" s="250"/>
      <c r="AE103" s="250"/>
      <c r="AF103" s="250"/>
      <c r="AG103" s="250"/>
      <c r="AH103" s="250"/>
      <c r="AI103" s="250"/>
      <c r="AJ103" s="250"/>
      <c r="AK103" s="250"/>
      <c r="AL103" s="250"/>
      <c r="AM103" s="250"/>
      <c r="AN103" s="250"/>
      <c r="AO103" s="250"/>
      <c r="AP103" s="250"/>
      <c r="AQ103" s="250"/>
      <c r="AR103" s="250"/>
      <c r="AS103" s="250"/>
      <c r="AT103" s="250"/>
      <c r="AU103" s="250"/>
      <c r="AV103" s="250"/>
      <c r="AW103" s="250"/>
      <c r="AX103" s="250"/>
      <c r="AY103" s="250"/>
      <c r="AZ103" s="250"/>
    </row>
    <row r="104" spans="1:52" ht="13.15" x14ac:dyDescent="0.4">
      <c r="A104" s="250"/>
      <c r="B104" s="250"/>
      <c r="C104" s="250"/>
      <c r="D104" s="250"/>
      <c r="E104" s="250"/>
      <c r="F104" s="250"/>
      <c r="G104" s="250"/>
      <c r="H104" s="250"/>
      <c r="I104" s="250"/>
      <c r="J104" s="250"/>
      <c r="K104" s="250"/>
      <c r="L104" s="250"/>
      <c r="M104" s="250"/>
      <c r="N104" s="250"/>
      <c r="O104" s="250"/>
      <c r="P104" s="250"/>
      <c r="Q104" s="250"/>
      <c r="R104" s="250"/>
      <c r="S104" s="250"/>
      <c r="T104" s="250"/>
      <c r="U104" s="250"/>
      <c r="V104" s="250"/>
      <c r="W104" s="250"/>
      <c r="X104" s="250"/>
      <c r="Y104" s="250"/>
      <c r="Z104" s="250"/>
      <c r="AA104" s="250"/>
      <c r="AB104" s="250"/>
      <c r="AC104" s="250"/>
      <c r="AD104" s="250"/>
      <c r="AE104" s="250"/>
      <c r="AF104" s="250"/>
      <c r="AG104" s="250"/>
      <c r="AH104" s="250"/>
      <c r="AI104" s="250"/>
      <c r="AJ104" s="250"/>
      <c r="AK104" s="250"/>
      <c r="AL104" s="250"/>
      <c r="AM104" s="250"/>
      <c r="AN104" s="250"/>
      <c r="AO104" s="250"/>
      <c r="AP104" s="250"/>
      <c r="AQ104" s="250"/>
      <c r="AR104" s="250"/>
      <c r="AS104" s="250"/>
      <c r="AT104" s="250"/>
      <c r="AU104" s="250"/>
      <c r="AV104" s="250"/>
      <c r="AW104" s="250"/>
      <c r="AX104" s="250"/>
      <c r="AY104" s="250"/>
      <c r="AZ104" s="250"/>
    </row>
    <row r="105" spans="1:52" ht="13.15" x14ac:dyDescent="0.4">
      <c r="A105" s="250"/>
      <c r="B105" s="250"/>
      <c r="C105" s="250"/>
      <c r="D105" s="250"/>
      <c r="E105" s="250"/>
      <c r="F105" s="250"/>
      <c r="G105" s="250"/>
      <c r="H105" s="250"/>
      <c r="I105" s="250"/>
      <c r="J105" s="250"/>
      <c r="K105" s="250"/>
      <c r="L105" s="250"/>
      <c r="M105" s="250"/>
      <c r="N105" s="250"/>
      <c r="O105" s="250"/>
      <c r="P105" s="250"/>
      <c r="Q105" s="250"/>
      <c r="R105" s="250"/>
      <c r="S105" s="250"/>
      <c r="T105" s="250"/>
      <c r="U105" s="250"/>
      <c r="V105" s="250"/>
      <c r="W105" s="250"/>
      <c r="X105" s="250"/>
      <c r="Y105" s="250"/>
      <c r="Z105" s="250"/>
      <c r="AA105" s="250"/>
      <c r="AB105" s="250"/>
      <c r="AC105" s="250"/>
      <c r="AD105" s="250"/>
      <c r="AE105" s="250"/>
      <c r="AF105" s="250"/>
      <c r="AG105" s="250"/>
      <c r="AH105" s="250"/>
      <c r="AI105" s="250"/>
      <c r="AJ105" s="250"/>
      <c r="AK105" s="250"/>
      <c r="AL105" s="250"/>
      <c r="AM105" s="250"/>
      <c r="AN105" s="250"/>
      <c r="AO105" s="250"/>
      <c r="AP105" s="250"/>
      <c r="AQ105" s="250"/>
      <c r="AR105" s="250"/>
      <c r="AS105" s="250"/>
      <c r="AT105" s="250"/>
      <c r="AU105" s="250"/>
      <c r="AV105" s="250"/>
      <c r="AW105" s="250"/>
      <c r="AX105" s="250"/>
      <c r="AY105" s="250"/>
      <c r="AZ105" s="250"/>
    </row>
    <row r="106" spans="1:52" ht="13.15" x14ac:dyDescent="0.4">
      <c r="A106" s="250"/>
      <c r="B106" s="250"/>
      <c r="C106" s="250"/>
      <c r="D106" s="250"/>
      <c r="E106" s="250"/>
      <c r="F106" s="250"/>
      <c r="G106" s="250"/>
      <c r="H106" s="250"/>
      <c r="I106" s="250"/>
      <c r="J106" s="250"/>
      <c r="K106" s="250"/>
      <c r="L106" s="250"/>
      <c r="M106" s="250"/>
      <c r="N106" s="250"/>
      <c r="O106" s="250"/>
      <c r="P106" s="250"/>
      <c r="Q106" s="250"/>
      <c r="R106" s="250"/>
      <c r="S106" s="250"/>
      <c r="T106" s="250"/>
      <c r="U106" s="250"/>
      <c r="V106" s="250"/>
      <c r="W106" s="250"/>
      <c r="X106" s="250"/>
      <c r="Y106" s="250"/>
      <c r="Z106" s="250"/>
      <c r="AA106" s="250"/>
      <c r="AB106" s="250"/>
      <c r="AC106" s="250"/>
      <c r="AD106" s="250"/>
      <c r="AE106" s="250"/>
      <c r="AF106" s="250"/>
      <c r="AG106" s="250"/>
      <c r="AH106" s="250"/>
      <c r="AI106" s="250"/>
      <c r="AJ106" s="250"/>
      <c r="AK106" s="250"/>
      <c r="AL106" s="250"/>
      <c r="AM106" s="250"/>
      <c r="AN106" s="250"/>
      <c r="AO106" s="250"/>
      <c r="AP106" s="250"/>
      <c r="AQ106" s="250"/>
      <c r="AR106" s="250"/>
      <c r="AS106" s="250"/>
      <c r="AT106" s="250"/>
      <c r="AU106" s="250"/>
      <c r="AV106" s="250"/>
      <c r="AW106" s="250"/>
      <c r="AX106" s="250"/>
      <c r="AY106" s="250"/>
      <c r="AZ106" s="250"/>
    </row>
    <row r="107" spans="1:52" ht="13.15" x14ac:dyDescent="0.4">
      <c r="A107" s="250"/>
      <c r="B107" s="250"/>
      <c r="C107" s="250"/>
      <c r="D107" s="250"/>
      <c r="E107" s="250"/>
      <c r="F107" s="250"/>
      <c r="G107" s="250"/>
      <c r="H107" s="250"/>
      <c r="I107" s="250"/>
      <c r="J107" s="250"/>
      <c r="K107" s="250"/>
      <c r="L107" s="250"/>
      <c r="M107" s="250"/>
      <c r="N107" s="250"/>
      <c r="O107" s="250"/>
      <c r="P107" s="250"/>
      <c r="Q107" s="250"/>
      <c r="R107" s="250"/>
      <c r="S107" s="250"/>
      <c r="T107" s="250"/>
      <c r="U107" s="250"/>
      <c r="V107" s="250"/>
      <c r="W107" s="250"/>
      <c r="X107" s="250"/>
      <c r="Y107" s="250"/>
      <c r="Z107" s="250"/>
      <c r="AA107" s="250"/>
      <c r="AB107" s="250"/>
      <c r="AC107" s="250"/>
      <c r="AD107" s="250"/>
      <c r="AE107" s="250"/>
      <c r="AF107" s="250"/>
      <c r="AG107" s="250"/>
      <c r="AH107" s="250"/>
      <c r="AI107" s="250"/>
      <c r="AJ107" s="250"/>
      <c r="AK107" s="250"/>
      <c r="AL107" s="250"/>
      <c r="AM107" s="250"/>
      <c r="AN107" s="250"/>
      <c r="AO107" s="250"/>
      <c r="AP107" s="250"/>
      <c r="AQ107" s="250"/>
      <c r="AR107" s="250"/>
      <c r="AS107" s="250"/>
      <c r="AT107" s="250"/>
      <c r="AU107" s="250"/>
      <c r="AV107" s="250"/>
      <c r="AW107" s="250"/>
      <c r="AX107" s="250"/>
      <c r="AY107" s="250"/>
      <c r="AZ107" s="250"/>
    </row>
    <row r="108" spans="1:52" ht="13.15" x14ac:dyDescent="0.4">
      <c r="A108" s="250"/>
      <c r="B108" s="250"/>
      <c r="C108" s="250"/>
      <c r="D108" s="250"/>
      <c r="E108" s="250"/>
      <c r="F108" s="250"/>
      <c r="G108" s="250"/>
      <c r="H108" s="250"/>
      <c r="I108" s="250"/>
      <c r="J108" s="250"/>
      <c r="K108" s="250"/>
      <c r="L108" s="250"/>
      <c r="M108" s="250"/>
      <c r="N108" s="250"/>
      <c r="O108" s="250"/>
      <c r="P108" s="250"/>
      <c r="Q108" s="250"/>
      <c r="R108" s="250"/>
      <c r="S108" s="250"/>
      <c r="T108" s="250"/>
      <c r="U108" s="250"/>
      <c r="V108" s="250"/>
      <c r="W108" s="250"/>
      <c r="X108" s="250"/>
      <c r="Y108" s="250"/>
      <c r="Z108" s="250"/>
      <c r="AA108" s="250"/>
      <c r="AB108" s="250"/>
      <c r="AC108" s="250"/>
      <c r="AD108" s="250"/>
      <c r="AE108" s="250"/>
      <c r="AF108" s="250"/>
      <c r="AG108" s="250"/>
      <c r="AH108" s="250"/>
      <c r="AI108" s="250"/>
      <c r="AJ108" s="250"/>
      <c r="AK108" s="250"/>
      <c r="AL108" s="250"/>
      <c r="AM108" s="250"/>
      <c r="AN108" s="250"/>
      <c r="AO108" s="250"/>
      <c r="AP108" s="250"/>
      <c r="AQ108" s="250"/>
      <c r="AR108" s="250"/>
      <c r="AS108" s="250"/>
      <c r="AT108" s="250"/>
      <c r="AU108" s="250"/>
      <c r="AV108" s="250"/>
      <c r="AW108" s="250"/>
      <c r="AX108" s="250"/>
      <c r="AY108" s="250"/>
      <c r="AZ108" s="250"/>
    </row>
    <row r="109" spans="1:52" ht="13.15" x14ac:dyDescent="0.4">
      <c r="A109" s="250"/>
      <c r="B109" s="250"/>
      <c r="C109" s="250"/>
      <c r="D109" s="250"/>
      <c r="E109" s="250"/>
      <c r="F109" s="250"/>
      <c r="G109" s="250"/>
      <c r="H109" s="250"/>
      <c r="I109" s="250"/>
      <c r="J109" s="250"/>
      <c r="K109" s="250"/>
      <c r="L109" s="250"/>
      <c r="M109" s="250"/>
      <c r="N109" s="250"/>
      <c r="O109" s="250"/>
      <c r="P109" s="250"/>
      <c r="Q109" s="250"/>
      <c r="R109" s="250"/>
      <c r="S109" s="250"/>
      <c r="T109" s="250"/>
      <c r="U109" s="250"/>
      <c r="V109" s="250"/>
      <c r="W109" s="250"/>
      <c r="X109" s="250"/>
      <c r="Y109" s="250"/>
      <c r="Z109" s="250"/>
      <c r="AA109" s="250"/>
      <c r="AB109" s="250"/>
      <c r="AC109" s="250"/>
      <c r="AD109" s="250"/>
      <c r="AE109" s="250"/>
      <c r="AF109" s="250"/>
      <c r="AG109" s="250"/>
      <c r="AH109" s="250"/>
      <c r="AI109" s="250"/>
      <c r="AJ109" s="250"/>
      <c r="AK109" s="250"/>
      <c r="AL109" s="250"/>
      <c r="AM109" s="250"/>
      <c r="AN109" s="250"/>
      <c r="AO109" s="250"/>
      <c r="AP109" s="250"/>
      <c r="AQ109" s="250"/>
      <c r="AR109" s="250"/>
      <c r="AS109" s="250"/>
      <c r="AT109" s="250"/>
      <c r="AU109" s="250"/>
      <c r="AV109" s="250"/>
      <c r="AW109" s="250"/>
      <c r="AX109" s="250"/>
      <c r="AY109" s="250"/>
      <c r="AZ109" s="250"/>
    </row>
    <row r="110" spans="1:52" ht="13.15" x14ac:dyDescent="0.4">
      <c r="A110" s="250"/>
      <c r="B110" s="250"/>
      <c r="C110" s="250"/>
      <c r="D110" s="250"/>
      <c r="E110" s="250"/>
      <c r="F110" s="250"/>
      <c r="G110" s="250"/>
      <c r="H110" s="250"/>
      <c r="I110" s="250"/>
      <c r="J110" s="250"/>
      <c r="K110" s="250"/>
      <c r="L110" s="250"/>
      <c r="M110" s="250"/>
      <c r="N110" s="250"/>
      <c r="O110" s="250"/>
      <c r="P110" s="250"/>
      <c r="Q110" s="250"/>
      <c r="R110" s="250"/>
      <c r="S110" s="250"/>
      <c r="T110" s="250"/>
      <c r="U110" s="250"/>
      <c r="V110" s="250"/>
      <c r="W110" s="250"/>
      <c r="X110" s="250"/>
      <c r="Y110" s="250"/>
      <c r="Z110" s="250"/>
      <c r="AA110" s="250"/>
      <c r="AB110" s="250"/>
      <c r="AC110" s="250"/>
      <c r="AD110" s="250"/>
      <c r="AE110" s="250"/>
      <c r="AF110" s="250"/>
      <c r="AG110" s="250"/>
      <c r="AH110" s="250"/>
      <c r="AI110" s="250"/>
      <c r="AJ110" s="250"/>
      <c r="AK110" s="250"/>
      <c r="AL110" s="250"/>
      <c r="AM110" s="250"/>
      <c r="AN110" s="250"/>
      <c r="AO110" s="250"/>
      <c r="AP110" s="250"/>
      <c r="AQ110" s="250"/>
      <c r="AR110" s="250"/>
      <c r="AS110" s="250"/>
      <c r="AT110" s="250"/>
      <c r="AU110" s="250"/>
      <c r="AV110" s="250"/>
      <c r="AW110" s="250"/>
      <c r="AX110" s="250"/>
      <c r="AY110" s="250"/>
      <c r="AZ110" s="250"/>
    </row>
    <row r="111" spans="1:52" ht="13.15" x14ac:dyDescent="0.4">
      <c r="A111" s="250"/>
      <c r="B111" s="250"/>
      <c r="C111" s="250"/>
      <c r="D111" s="250"/>
      <c r="E111" s="250"/>
      <c r="F111" s="250"/>
      <c r="G111" s="250"/>
      <c r="H111" s="250"/>
      <c r="I111" s="250"/>
      <c r="J111" s="250"/>
      <c r="K111" s="250"/>
      <c r="L111" s="250"/>
      <c r="M111" s="250"/>
      <c r="N111" s="250"/>
      <c r="O111" s="250"/>
      <c r="P111" s="250"/>
      <c r="Q111" s="250"/>
      <c r="R111" s="250"/>
      <c r="S111" s="250"/>
      <c r="T111" s="250"/>
      <c r="U111" s="250"/>
      <c r="V111" s="250"/>
      <c r="W111" s="250"/>
      <c r="X111" s="250"/>
      <c r="Y111" s="250"/>
      <c r="Z111" s="250"/>
      <c r="AA111" s="250"/>
      <c r="AB111" s="250"/>
      <c r="AC111" s="250"/>
      <c r="AD111" s="250"/>
      <c r="AE111" s="250"/>
      <c r="AF111" s="250"/>
      <c r="AG111" s="250"/>
      <c r="AH111" s="250"/>
      <c r="AI111" s="250"/>
      <c r="AJ111" s="250"/>
      <c r="AK111" s="250"/>
      <c r="AL111" s="250"/>
      <c r="AM111" s="250"/>
      <c r="AN111" s="250"/>
      <c r="AO111" s="250"/>
      <c r="AP111" s="250"/>
      <c r="AQ111" s="250"/>
      <c r="AR111" s="250"/>
      <c r="AS111" s="250"/>
      <c r="AT111" s="250"/>
      <c r="AU111" s="250"/>
      <c r="AV111" s="250"/>
      <c r="AW111" s="250"/>
      <c r="AX111" s="250"/>
      <c r="AY111" s="250"/>
      <c r="AZ111" s="250"/>
    </row>
    <row r="112" spans="1:52" ht="13.15" x14ac:dyDescent="0.4">
      <c r="A112" s="250"/>
      <c r="B112" s="250"/>
      <c r="C112" s="250"/>
      <c r="D112" s="250"/>
      <c r="E112" s="250"/>
      <c r="F112" s="250"/>
      <c r="G112" s="250"/>
      <c r="H112" s="250"/>
      <c r="I112" s="250"/>
      <c r="J112" s="250"/>
      <c r="K112" s="250"/>
      <c r="L112" s="250"/>
      <c r="M112" s="250"/>
      <c r="N112" s="250"/>
      <c r="O112" s="250"/>
      <c r="P112" s="250"/>
      <c r="Q112" s="250"/>
      <c r="R112" s="250"/>
      <c r="S112" s="250"/>
      <c r="T112" s="250"/>
      <c r="U112" s="250"/>
      <c r="V112" s="250"/>
      <c r="W112" s="250"/>
      <c r="X112" s="250"/>
      <c r="Y112" s="250"/>
      <c r="Z112" s="250"/>
      <c r="AA112" s="250"/>
      <c r="AB112" s="250"/>
      <c r="AC112" s="250"/>
      <c r="AD112" s="250"/>
      <c r="AE112" s="250"/>
      <c r="AF112" s="250"/>
      <c r="AG112" s="250"/>
      <c r="AH112" s="250"/>
      <c r="AI112" s="250"/>
      <c r="AJ112" s="250"/>
      <c r="AK112" s="250"/>
      <c r="AL112" s="250"/>
      <c r="AM112" s="250"/>
      <c r="AN112" s="250"/>
      <c r="AO112" s="250"/>
      <c r="AP112" s="250"/>
      <c r="AQ112" s="250"/>
      <c r="AR112" s="250"/>
      <c r="AS112" s="250"/>
      <c r="AT112" s="250"/>
      <c r="AU112" s="250"/>
      <c r="AV112" s="250"/>
      <c r="AW112" s="250"/>
      <c r="AX112" s="250"/>
      <c r="AY112" s="250"/>
      <c r="AZ112" s="250"/>
    </row>
    <row r="113" spans="1:52" ht="13.15" x14ac:dyDescent="0.4">
      <c r="A113" s="250"/>
      <c r="B113" s="250"/>
      <c r="C113" s="250"/>
      <c r="D113" s="250"/>
      <c r="E113" s="250"/>
      <c r="F113" s="250"/>
      <c r="G113" s="250"/>
      <c r="H113" s="250"/>
      <c r="I113" s="250"/>
      <c r="J113" s="250"/>
      <c r="K113" s="250"/>
      <c r="L113" s="250"/>
      <c r="M113" s="250"/>
      <c r="N113" s="250"/>
      <c r="O113" s="250"/>
      <c r="P113" s="250"/>
      <c r="Q113" s="250"/>
      <c r="R113" s="250"/>
      <c r="S113" s="250"/>
      <c r="T113" s="250"/>
      <c r="U113" s="250"/>
      <c r="V113" s="250"/>
      <c r="W113" s="250"/>
      <c r="X113" s="250"/>
      <c r="Y113" s="250"/>
      <c r="Z113" s="250"/>
      <c r="AA113" s="250"/>
      <c r="AB113" s="250"/>
      <c r="AC113" s="250"/>
      <c r="AD113" s="250"/>
      <c r="AE113" s="250"/>
      <c r="AF113" s="250"/>
      <c r="AG113" s="250"/>
      <c r="AH113" s="250"/>
      <c r="AI113" s="250"/>
      <c r="AJ113" s="250"/>
      <c r="AK113" s="250"/>
      <c r="AL113" s="250"/>
      <c r="AM113" s="250"/>
      <c r="AN113" s="250"/>
      <c r="AO113" s="250"/>
      <c r="AP113" s="250"/>
      <c r="AQ113" s="250"/>
      <c r="AR113" s="250"/>
      <c r="AS113" s="250"/>
      <c r="AT113" s="250"/>
      <c r="AU113" s="250"/>
      <c r="AV113" s="250"/>
      <c r="AW113" s="250"/>
      <c r="AX113" s="250"/>
      <c r="AY113" s="250"/>
      <c r="AZ113" s="250"/>
    </row>
    <row r="114" spans="1:52" ht="13.15" x14ac:dyDescent="0.4">
      <c r="A114" s="250"/>
      <c r="B114" s="250"/>
      <c r="C114" s="250"/>
      <c r="D114" s="250"/>
      <c r="E114" s="250"/>
      <c r="F114" s="250"/>
      <c r="G114" s="250"/>
      <c r="H114" s="250"/>
      <c r="I114" s="250"/>
      <c r="J114" s="250"/>
      <c r="K114" s="250"/>
      <c r="L114" s="250"/>
      <c r="M114" s="250"/>
      <c r="N114" s="250"/>
      <c r="O114" s="250"/>
      <c r="P114" s="250"/>
      <c r="Q114" s="250"/>
      <c r="R114" s="250"/>
      <c r="S114" s="250"/>
      <c r="T114" s="250"/>
      <c r="U114" s="250"/>
      <c r="V114" s="250"/>
      <c r="W114" s="250"/>
      <c r="X114" s="250"/>
      <c r="Y114" s="250"/>
      <c r="Z114" s="250"/>
      <c r="AA114" s="250"/>
      <c r="AB114" s="250"/>
      <c r="AC114" s="250"/>
      <c r="AD114" s="250"/>
      <c r="AE114" s="250"/>
      <c r="AF114" s="250"/>
      <c r="AG114" s="250"/>
      <c r="AH114" s="250"/>
      <c r="AI114" s="250"/>
      <c r="AJ114" s="250"/>
      <c r="AK114" s="250"/>
      <c r="AL114" s="250"/>
      <c r="AM114" s="250"/>
      <c r="AN114" s="250"/>
      <c r="AO114" s="250"/>
      <c r="AP114" s="250"/>
      <c r="AQ114" s="250"/>
      <c r="AR114" s="250"/>
      <c r="AS114" s="250"/>
      <c r="AT114" s="250"/>
      <c r="AU114" s="250"/>
      <c r="AV114" s="250"/>
      <c r="AW114" s="250"/>
      <c r="AX114" s="250"/>
      <c r="AY114" s="250"/>
      <c r="AZ114" s="250"/>
    </row>
    <row r="115" spans="1:52" ht="13.15" x14ac:dyDescent="0.4">
      <c r="A115" s="250"/>
      <c r="B115" s="250"/>
      <c r="C115" s="250"/>
      <c r="D115" s="250"/>
      <c r="E115" s="250"/>
      <c r="F115" s="250"/>
      <c r="G115" s="250"/>
      <c r="H115" s="250"/>
      <c r="I115" s="250"/>
      <c r="J115" s="250"/>
      <c r="K115" s="250"/>
      <c r="L115" s="250"/>
      <c r="M115" s="250"/>
      <c r="N115" s="250"/>
      <c r="O115" s="250"/>
      <c r="P115" s="250"/>
      <c r="Q115" s="250"/>
      <c r="R115" s="250"/>
      <c r="S115" s="250"/>
      <c r="T115" s="250"/>
      <c r="U115" s="250"/>
      <c r="V115" s="250"/>
      <c r="W115" s="250"/>
      <c r="X115" s="250"/>
      <c r="Y115" s="250"/>
      <c r="Z115" s="250"/>
      <c r="AA115" s="250"/>
      <c r="AB115" s="250"/>
      <c r="AC115" s="250"/>
      <c r="AD115" s="250"/>
      <c r="AE115" s="250"/>
      <c r="AF115" s="250"/>
      <c r="AG115" s="250"/>
      <c r="AH115" s="250"/>
      <c r="AI115" s="250"/>
      <c r="AJ115" s="250"/>
      <c r="AK115" s="250"/>
      <c r="AL115" s="250"/>
      <c r="AM115" s="250"/>
      <c r="AN115" s="250"/>
      <c r="AO115" s="250"/>
      <c r="AP115" s="250"/>
      <c r="AQ115" s="250"/>
      <c r="AR115" s="250"/>
      <c r="AS115" s="250"/>
      <c r="AT115" s="250"/>
      <c r="AU115" s="250"/>
      <c r="AV115" s="250"/>
      <c r="AW115" s="250"/>
      <c r="AX115" s="250"/>
      <c r="AY115" s="250"/>
      <c r="AZ115" s="250"/>
    </row>
    <row r="116" spans="1:52" ht="13.15" x14ac:dyDescent="0.4">
      <c r="A116" s="250"/>
      <c r="B116" s="250"/>
      <c r="C116" s="250"/>
      <c r="D116" s="250"/>
      <c r="E116" s="250"/>
      <c r="F116" s="250"/>
      <c r="G116" s="250"/>
      <c r="H116" s="250"/>
      <c r="I116" s="250"/>
      <c r="J116" s="250"/>
      <c r="K116" s="250"/>
      <c r="L116" s="250"/>
      <c r="M116" s="250"/>
      <c r="N116" s="250"/>
      <c r="O116" s="250"/>
      <c r="P116" s="250"/>
      <c r="Q116" s="250"/>
      <c r="R116" s="250"/>
      <c r="S116" s="250"/>
      <c r="T116" s="250"/>
      <c r="U116" s="250"/>
      <c r="V116" s="250"/>
      <c r="W116" s="250"/>
      <c r="X116" s="250"/>
      <c r="Y116" s="250"/>
      <c r="Z116" s="250"/>
      <c r="AA116" s="250"/>
      <c r="AB116" s="250"/>
      <c r="AC116" s="250"/>
      <c r="AD116" s="250"/>
      <c r="AE116" s="250"/>
      <c r="AF116" s="250"/>
      <c r="AG116" s="250"/>
      <c r="AH116" s="250"/>
      <c r="AI116" s="250"/>
      <c r="AJ116" s="250"/>
      <c r="AK116" s="250"/>
      <c r="AL116" s="250"/>
      <c r="AM116" s="250"/>
      <c r="AN116" s="250"/>
      <c r="AO116" s="250"/>
      <c r="AP116" s="250"/>
      <c r="AQ116" s="250"/>
      <c r="AR116" s="250"/>
      <c r="AS116" s="250"/>
      <c r="AT116" s="250"/>
      <c r="AU116" s="250"/>
      <c r="AV116" s="250"/>
      <c r="AW116" s="250"/>
      <c r="AX116" s="250"/>
      <c r="AY116" s="250"/>
      <c r="AZ116" s="250"/>
    </row>
    <row r="117" spans="1:52" ht="13.15" x14ac:dyDescent="0.4">
      <c r="A117" s="250"/>
      <c r="B117" s="250"/>
      <c r="C117" s="250"/>
      <c r="D117" s="250"/>
      <c r="E117" s="250"/>
      <c r="F117" s="250"/>
      <c r="G117" s="250"/>
      <c r="H117" s="250"/>
      <c r="I117" s="250"/>
      <c r="J117" s="250"/>
      <c r="K117" s="250"/>
      <c r="L117" s="250"/>
      <c r="M117" s="250"/>
      <c r="N117" s="250"/>
      <c r="O117" s="250"/>
      <c r="P117" s="250"/>
      <c r="Q117" s="250"/>
      <c r="R117" s="250"/>
      <c r="S117" s="250"/>
      <c r="T117" s="250"/>
      <c r="U117" s="250"/>
      <c r="V117" s="250"/>
      <c r="W117" s="250"/>
      <c r="X117" s="250"/>
      <c r="Y117" s="250"/>
      <c r="Z117" s="250"/>
      <c r="AA117" s="250"/>
      <c r="AB117" s="250"/>
      <c r="AC117" s="250"/>
      <c r="AD117" s="250"/>
      <c r="AE117" s="250"/>
      <c r="AF117" s="250"/>
      <c r="AG117" s="250"/>
      <c r="AH117" s="250"/>
      <c r="AI117" s="250"/>
      <c r="AJ117" s="250"/>
      <c r="AK117" s="250"/>
      <c r="AL117" s="250"/>
      <c r="AM117" s="250"/>
      <c r="AN117" s="250"/>
      <c r="AO117" s="250"/>
      <c r="AP117" s="250"/>
      <c r="AQ117" s="250"/>
      <c r="AR117" s="250"/>
      <c r="AS117" s="250"/>
      <c r="AT117" s="250"/>
      <c r="AU117" s="250"/>
      <c r="AV117" s="250"/>
      <c r="AW117" s="250"/>
      <c r="AX117" s="250"/>
      <c r="AY117" s="250"/>
      <c r="AZ117" s="250"/>
    </row>
    <row r="118" spans="1:52" ht="13.15" x14ac:dyDescent="0.4">
      <c r="A118" s="250"/>
      <c r="B118" s="250"/>
      <c r="C118" s="250"/>
      <c r="D118" s="250"/>
      <c r="E118" s="250"/>
      <c r="F118" s="250"/>
      <c r="G118" s="250"/>
      <c r="H118" s="250"/>
      <c r="I118" s="250"/>
      <c r="J118" s="250"/>
      <c r="K118" s="250"/>
      <c r="L118" s="250"/>
      <c r="M118" s="250"/>
      <c r="N118" s="250"/>
      <c r="O118" s="250"/>
      <c r="P118" s="250"/>
      <c r="Q118" s="250"/>
      <c r="R118" s="250"/>
      <c r="S118" s="250"/>
      <c r="T118" s="250"/>
      <c r="U118" s="250"/>
      <c r="V118" s="250"/>
      <c r="W118" s="250"/>
      <c r="X118" s="250"/>
      <c r="Y118" s="250"/>
      <c r="Z118" s="250"/>
      <c r="AA118" s="250"/>
      <c r="AB118" s="250"/>
      <c r="AC118" s="250"/>
      <c r="AD118" s="250"/>
      <c r="AE118" s="250"/>
      <c r="AF118" s="250"/>
      <c r="AG118" s="250"/>
      <c r="AH118" s="250"/>
      <c r="AI118" s="250"/>
      <c r="AJ118" s="250"/>
      <c r="AK118" s="250"/>
      <c r="AL118" s="250"/>
      <c r="AM118" s="250"/>
      <c r="AN118" s="250"/>
      <c r="AO118" s="250"/>
      <c r="AP118" s="250"/>
      <c r="AQ118" s="250"/>
      <c r="AR118" s="250"/>
      <c r="AS118" s="250"/>
      <c r="AT118" s="250"/>
      <c r="AU118" s="250"/>
      <c r="AV118" s="250"/>
      <c r="AW118" s="250"/>
      <c r="AX118" s="250"/>
      <c r="AY118" s="250"/>
      <c r="AZ118" s="250"/>
    </row>
    <row r="119" spans="1:52" ht="13.15" x14ac:dyDescent="0.4">
      <c r="A119" s="250"/>
      <c r="B119" s="250"/>
      <c r="C119" s="250"/>
      <c r="D119" s="250"/>
      <c r="E119" s="250"/>
      <c r="F119" s="250"/>
      <c r="G119" s="250"/>
      <c r="H119" s="250"/>
      <c r="I119" s="250"/>
      <c r="J119" s="250"/>
      <c r="K119" s="250"/>
      <c r="L119" s="250"/>
      <c r="M119" s="250"/>
      <c r="N119" s="250"/>
      <c r="O119" s="250"/>
      <c r="P119" s="250"/>
      <c r="Q119" s="250"/>
      <c r="R119" s="250"/>
      <c r="S119" s="250"/>
      <c r="T119" s="250"/>
      <c r="U119" s="250"/>
      <c r="V119" s="250"/>
      <c r="W119" s="250"/>
      <c r="X119" s="250"/>
      <c r="Y119" s="250"/>
      <c r="Z119" s="250"/>
      <c r="AA119" s="250"/>
      <c r="AB119" s="250"/>
      <c r="AC119" s="250"/>
      <c r="AD119" s="250"/>
      <c r="AE119" s="250"/>
      <c r="AF119" s="250"/>
      <c r="AG119" s="250"/>
      <c r="AH119" s="250"/>
      <c r="AI119" s="250"/>
      <c r="AJ119" s="250"/>
      <c r="AK119" s="250"/>
      <c r="AL119" s="250"/>
      <c r="AM119" s="250"/>
      <c r="AN119" s="250"/>
      <c r="AO119" s="250"/>
      <c r="AP119" s="250"/>
      <c r="AQ119" s="250"/>
      <c r="AR119" s="250"/>
      <c r="AS119" s="250"/>
      <c r="AT119" s="250"/>
      <c r="AU119" s="250"/>
      <c r="AV119" s="250"/>
      <c r="AW119" s="250"/>
      <c r="AX119" s="250"/>
      <c r="AY119" s="250"/>
      <c r="AZ119" s="250"/>
    </row>
    <row r="120" spans="1:52" ht="13.15" x14ac:dyDescent="0.4">
      <c r="A120" s="250"/>
      <c r="B120" s="250"/>
      <c r="C120" s="250"/>
      <c r="D120" s="250"/>
      <c r="E120" s="250"/>
      <c r="F120" s="250"/>
      <c r="G120" s="250"/>
      <c r="H120" s="250"/>
      <c r="I120" s="250"/>
      <c r="J120" s="250"/>
      <c r="K120" s="250"/>
      <c r="L120" s="250"/>
      <c r="M120" s="250"/>
      <c r="N120" s="250"/>
      <c r="O120" s="250"/>
      <c r="P120" s="250"/>
      <c r="Q120" s="250"/>
      <c r="R120" s="250"/>
      <c r="S120" s="250"/>
      <c r="T120" s="250"/>
      <c r="U120" s="250"/>
      <c r="V120" s="250"/>
      <c r="W120" s="250"/>
      <c r="X120" s="250"/>
      <c r="Y120" s="250"/>
      <c r="Z120" s="250"/>
      <c r="AA120" s="250"/>
      <c r="AB120" s="250"/>
      <c r="AC120" s="250"/>
      <c r="AD120" s="250"/>
      <c r="AE120" s="250"/>
      <c r="AF120" s="250"/>
      <c r="AG120" s="250"/>
      <c r="AH120" s="250"/>
      <c r="AI120" s="250"/>
      <c r="AJ120" s="250"/>
      <c r="AK120" s="250"/>
      <c r="AL120" s="250"/>
      <c r="AM120" s="250"/>
      <c r="AN120" s="250"/>
      <c r="AO120" s="250"/>
      <c r="AP120" s="250"/>
      <c r="AQ120" s="250"/>
      <c r="AR120" s="250"/>
      <c r="AS120" s="250"/>
      <c r="AT120" s="250"/>
      <c r="AU120" s="250"/>
      <c r="AV120" s="250"/>
      <c r="AW120" s="250"/>
      <c r="AX120" s="250"/>
      <c r="AY120" s="250"/>
      <c r="AZ120" s="250"/>
    </row>
    <row r="121" spans="1:52" ht="13.15" x14ac:dyDescent="0.4">
      <c r="A121" s="250"/>
      <c r="B121" s="250"/>
      <c r="C121" s="250"/>
      <c r="D121" s="250"/>
      <c r="E121" s="250"/>
      <c r="F121" s="250"/>
      <c r="G121" s="250"/>
      <c r="H121" s="250"/>
      <c r="I121" s="250"/>
      <c r="J121" s="250"/>
      <c r="K121" s="250"/>
      <c r="L121" s="250"/>
      <c r="M121" s="250"/>
      <c r="N121" s="250"/>
      <c r="O121" s="250"/>
      <c r="P121" s="250"/>
      <c r="Q121" s="250"/>
      <c r="R121" s="250"/>
      <c r="S121" s="250"/>
      <c r="T121" s="250"/>
      <c r="U121" s="250"/>
      <c r="V121" s="250"/>
      <c r="W121" s="250"/>
      <c r="X121" s="250"/>
      <c r="Y121" s="250"/>
      <c r="Z121" s="250"/>
      <c r="AA121" s="250"/>
      <c r="AB121" s="250"/>
      <c r="AC121" s="250"/>
      <c r="AD121" s="250"/>
      <c r="AE121" s="250"/>
      <c r="AF121" s="250"/>
      <c r="AG121" s="250"/>
      <c r="AH121" s="250"/>
      <c r="AI121" s="250"/>
      <c r="AJ121" s="250"/>
      <c r="AK121" s="250"/>
      <c r="AL121" s="250"/>
      <c r="AM121" s="250"/>
      <c r="AN121" s="250"/>
      <c r="AO121" s="250"/>
      <c r="AP121" s="250"/>
      <c r="AQ121" s="250"/>
      <c r="AR121" s="250"/>
      <c r="AS121" s="250"/>
      <c r="AT121" s="250"/>
      <c r="AU121" s="250"/>
      <c r="AV121" s="250"/>
      <c r="AW121" s="250"/>
      <c r="AX121" s="250"/>
      <c r="AY121" s="250"/>
      <c r="AZ121" s="250"/>
    </row>
    <row r="122" spans="1:52" ht="13.15" x14ac:dyDescent="0.4">
      <c r="A122" s="250"/>
      <c r="B122" s="250"/>
      <c r="C122" s="250"/>
      <c r="D122" s="250"/>
      <c r="E122" s="250"/>
      <c r="F122" s="250"/>
      <c r="G122" s="250"/>
      <c r="H122" s="250"/>
      <c r="I122" s="250"/>
      <c r="J122" s="250"/>
      <c r="K122" s="250"/>
      <c r="L122" s="250"/>
      <c r="M122" s="250"/>
      <c r="N122" s="250"/>
      <c r="O122" s="250"/>
      <c r="P122" s="250"/>
      <c r="Q122" s="250"/>
      <c r="R122" s="250"/>
      <c r="S122" s="250"/>
      <c r="T122" s="250"/>
      <c r="U122" s="250"/>
      <c r="V122" s="250"/>
      <c r="W122" s="250"/>
      <c r="X122" s="250"/>
      <c r="Y122" s="250"/>
      <c r="Z122" s="250"/>
      <c r="AA122" s="250"/>
      <c r="AB122" s="250"/>
      <c r="AC122" s="250"/>
      <c r="AD122" s="250"/>
      <c r="AE122" s="250"/>
      <c r="AF122" s="250"/>
      <c r="AG122" s="250"/>
      <c r="AH122" s="250"/>
      <c r="AI122" s="250"/>
      <c r="AJ122" s="250"/>
      <c r="AK122" s="250"/>
      <c r="AL122" s="250"/>
      <c r="AM122" s="250"/>
      <c r="AN122" s="250"/>
      <c r="AO122" s="250"/>
      <c r="AP122" s="250"/>
      <c r="AQ122" s="250"/>
      <c r="AR122" s="250"/>
      <c r="AS122" s="250"/>
      <c r="AT122" s="250"/>
      <c r="AU122" s="250"/>
      <c r="AV122" s="250"/>
      <c r="AW122" s="250"/>
      <c r="AX122" s="250"/>
      <c r="AY122" s="250"/>
      <c r="AZ122" s="250"/>
    </row>
    <row r="123" spans="1:52" ht="13.15" x14ac:dyDescent="0.4">
      <c r="A123" s="250"/>
      <c r="B123" s="250"/>
      <c r="C123" s="250"/>
      <c r="D123" s="250"/>
      <c r="E123" s="250"/>
      <c r="F123" s="250"/>
      <c r="G123" s="250"/>
      <c r="H123" s="250"/>
      <c r="I123" s="250"/>
      <c r="J123" s="250"/>
      <c r="K123" s="250"/>
      <c r="L123" s="250"/>
      <c r="M123" s="250"/>
      <c r="N123" s="250"/>
      <c r="O123" s="250"/>
      <c r="P123" s="250"/>
      <c r="Q123" s="250"/>
      <c r="R123" s="250"/>
      <c r="S123" s="250"/>
      <c r="T123" s="250"/>
      <c r="U123" s="250"/>
      <c r="V123" s="250"/>
      <c r="W123" s="250"/>
      <c r="X123" s="250"/>
      <c r="Y123" s="250"/>
      <c r="Z123" s="250"/>
      <c r="AA123" s="250"/>
      <c r="AB123" s="250"/>
      <c r="AC123" s="250"/>
      <c r="AD123" s="250"/>
      <c r="AE123" s="250"/>
      <c r="AF123" s="250"/>
      <c r="AG123" s="250"/>
      <c r="AH123" s="250"/>
      <c r="AI123" s="250"/>
      <c r="AJ123" s="250"/>
      <c r="AK123" s="250"/>
      <c r="AL123" s="250"/>
      <c r="AM123" s="250"/>
      <c r="AN123" s="250"/>
      <c r="AO123" s="250"/>
      <c r="AP123" s="250"/>
      <c r="AQ123" s="250"/>
      <c r="AR123" s="250"/>
      <c r="AS123" s="250"/>
      <c r="AT123" s="250"/>
      <c r="AU123" s="250"/>
      <c r="AV123" s="250"/>
      <c r="AW123" s="250"/>
      <c r="AX123" s="250"/>
      <c r="AY123" s="250"/>
      <c r="AZ123" s="250"/>
    </row>
    <row r="124" spans="1:52" ht="13.15" x14ac:dyDescent="0.4">
      <c r="A124" s="250"/>
      <c r="B124" s="250"/>
      <c r="C124" s="250"/>
      <c r="D124" s="250"/>
      <c r="E124" s="250"/>
      <c r="F124" s="250"/>
      <c r="G124" s="250"/>
      <c r="H124" s="250"/>
      <c r="I124" s="250"/>
      <c r="J124" s="250"/>
      <c r="K124" s="250"/>
      <c r="L124" s="250"/>
      <c r="M124" s="250"/>
      <c r="N124" s="250"/>
      <c r="O124" s="250"/>
      <c r="P124" s="250"/>
      <c r="Q124" s="250"/>
      <c r="R124" s="250"/>
      <c r="S124" s="250"/>
      <c r="T124" s="250"/>
      <c r="U124" s="250"/>
      <c r="V124" s="250"/>
      <c r="W124" s="250"/>
      <c r="X124" s="250"/>
      <c r="Y124" s="250"/>
      <c r="Z124" s="250"/>
      <c r="AA124" s="250"/>
      <c r="AB124" s="250"/>
      <c r="AC124" s="250"/>
      <c r="AD124" s="250"/>
      <c r="AE124" s="250"/>
      <c r="AF124" s="250"/>
      <c r="AG124" s="250"/>
      <c r="AH124" s="250"/>
      <c r="AI124" s="250"/>
      <c r="AJ124" s="250"/>
      <c r="AK124" s="250"/>
      <c r="AL124" s="250"/>
      <c r="AM124" s="250"/>
      <c r="AN124" s="250"/>
      <c r="AO124" s="250"/>
      <c r="AP124" s="250"/>
      <c r="AQ124" s="250"/>
      <c r="AR124" s="250"/>
      <c r="AS124" s="250"/>
      <c r="AT124" s="250"/>
      <c r="AU124" s="250"/>
      <c r="AV124" s="250"/>
      <c r="AW124" s="250"/>
      <c r="AX124" s="250"/>
      <c r="AY124" s="250"/>
      <c r="AZ124" s="250"/>
    </row>
    <row r="125" spans="1:52" ht="13.15" x14ac:dyDescent="0.4">
      <c r="A125" s="250"/>
      <c r="B125" s="250"/>
      <c r="C125" s="250"/>
      <c r="D125" s="250"/>
      <c r="E125" s="250"/>
      <c r="F125" s="250"/>
      <c r="G125" s="250"/>
      <c r="H125" s="250"/>
      <c r="I125" s="250"/>
      <c r="J125" s="250"/>
      <c r="K125" s="250"/>
      <c r="L125" s="250"/>
      <c r="M125" s="250"/>
      <c r="N125" s="250"/>
      <c r="O125" s="250"/>
      <c r="P125" s="250"/>
      <c r="Q125" s="250"/>
      <c r="R125" s="250"/>
      <c r="S125" s="250"/>
      <c r="T125" s="250"/>
      <c r="U125" s="250"/>
      <c r="V125" s="250"/>
      <c r="W125" s="250"/>
      <c r="X125" s="250"/>
      <c r="Y125" s="250"/>
      <c r="Z125" s="250"/>
      <c r="AA125" s="250"/>
      <c r="AB125" s="250"/>
      <c r="AC125" s="250"/>
      <c r="AD125" s="250"/>
      <c r="AE125" s="250"/>
      <c r="AF125" s="250"/>
      <c r="AG125" s="250"/>
      <c r="AH125" s="250"/>
      <c r="AI125" s="250"/>
      <c r="AJ125" s="250"/>
      <c r="AK125" s="250"/>
      <c r="AL125" s="250"/>
      <c r="AM125" s="250"/>
      <c r="AN125" s="250"/>
      <c r="AO125" s="250"/>
      <c r="AP125" s="250"/>
      <c r="AQ125" s="250"/>
      <c r="AR125" s="250"/>
      <c r="AS125" s="250"/>
      <c r="AT125" s="250"/>
      <c r="AU125" s="250"/>
      <c r="AV125" s="250"/>
      <c r="AW125" s="250"/>
      <c r="AX125" s="250"/>
      <c r="AY125" s="250"/>
      <c r="AZ125" s="250"/>
    </row>
    <row r="126" spans="1:52" ht="13.15" x14ac:dyDescent="0.4">
      <c r="A126" s="250"/>
      <c r="B126" s="250"/>
      <c r="C126" s="250"/>
      <c r="D126" s="250"/>
      <c r="E126" s="250"/>
      <c r="F126" s="250"/>
      <c r="G126" s="250"/>
      <c r="H126" s="250"/>
      <c r="I126" s="250"/>
      <c r="J126" s="250"/>
      <c r="K126" s="250"/>
      <c r="L126" s="250"/>
      <c r="M126" s="250"/>
      <c r="N126" s="250"/>
      <c r="O126" s="250"/>
      <c r="P126" s="250"/>
      <c r="Q126" s="250"/>
      <c r="R126" s="250"/>
      <c r="S126" s="250"/>
      <c r="T126" s="250"/>
      <c r="U126" s="250"/>
      <c r="V126" s="250"/>
      <c r="W126" s="250"/>
      <c r="X126" s="250"/>
      <c r="Y126" s="250"/>
      <c r="Z126" s="250"/>
      <c r="AA126" s="250"/>
      <c r="AB126" s="250"/>
      <c r="AC126" s="250"/>
      <c r="AD126" s="250"/>
      <c r="AE126" s="250"/>
      <c r="AF126" s="250"/>
      <c r="AG126" s="250"/>
      <c r="AH126" s="250"/>
      <c r="AI126" s="250"/>
      <c r="AJ126" s="250"/>
      <c r="AK126" s="250"/>
      <c r="AL126" s="250"/>
      <c r="AM126" s="250"/>
      <c r="AN126" s="250"/>
      <c r="AO126" s="250"/>
      <c r="AP126" s="250"/>
      <c r="AQ126" s="250"/>
      <c r="AR126" s="250"/>
      <c r="AS126" s="250"/>
      <c r="AT126" s="250"/>
      <c r="AU126" s="250"/>
      <c r="AV126" s="250"/>
      <c r="AW126" s="250"/>
      <c r="AX126" s="250"/>
      <c r="AY126" s="250"/>
      <c r="AZ126" s="250"/>
    </row>
    <row r="127" spans="1:52" ht="13.15" x14ac:dyDescent="0.4">
      <c r="A127" s="250"/>
      <c r="B127" s="250"/>
      <c r="C127" s="250"/>
      <c r="D127" s="250"/>
      <c r="E127" s="250"/>
      <c r="F127" s="250"/>
      <c r="G127" s="250"/>
      <c r="H127" s="250"/>
      <c r="I127" s="250"/>
      <c r="J127" s="250"/>
      <c r="K127" s="250"/>
      <c r="L127" s="250"/>
      <c r="M127" s="250"/>
      <c r="N127" s="250"/>
      <c r="O127" s="250"/>
      <c r="P127" s="250"/>
      <c r="Q127" s="250"/>
      <c r="R127" s="250"/>
      <c r="S127" s="250"/>
      <c r="T127" s="250"/>
      <c r="U127" s="250"/>
      <c r="V127" s="250"/>
      <c r="W127" s="250"/>
      <c r="X127" s="250"/>
      <c r="Y127" s="250"/>
      <c r="Z127" s="250"/>
      <c r="AA127" s="250"/>
      <c r="AB127" s="250"/>
      <c r="AC127" s="250"/>
      <c r="AD127" s="250"/>
      <c r="AE127" s="250"/>
      <c r="AF127" s="250"/>
      <c r="AG127" s="250"/>
      <c r="AH127" s="250"/>
      <c r="AI127" s="250"/>
      <c r="AJ127" s="250"/>
      <c r="AK127" s="250"/>
      <c r="AL127" s="250"/>
      <c r="AM127" s="250"/>
      <c r="AN127" s="250"/>
      <c r="AO127" s="250"/>
      <c r="AP127" s="250"/>
      <c r="AQ127" s="250"/>
      <c r="AR127" s="250"/>
      <c r="AS127" s="250"/>
      <c r="AT127" s="250"/>
      <c r="AU127" s="250"/>
      <c r="AV127" s="250"/>
      <c r="AW127" s="250"/>
      <c r="AX127" s="250"/>
      <c r="AY127" s="250"/>
      <c r="AZ127" s="250"/>
    </row>
    <row r="128" spans="1:52" ht="13.15" x14ac:dyDescent="0.4">
      <c r="A128" s="250"/>
      <c r="B128" s="250"/>
      <c r="C128" s="250"/>
      <c r="D128" s="250"/>
      <c r="E128" s="250"/>
      <c r="F128" s="250"/>
      <c r="G128" s="250"/>
      <c r="H128" s="250"/>
      <c r="I128" s="250"/>
      <c r="J128" s="250"/>
      <c r="K128" s="250"/>
      <c r="L128" s="250"/>
      <c r="M128" s="250"/>
      <c r="N128" s="250"/>
      <c r="O128" s="250"/>
      <c r="P128" s="250"/>
      <c r="Q128" s="250"/>
      <c r="R128" s="250"/>
      <c r="S128" s="250"/>
      <c r="T128" s="250"/>
      <c r="U128" s="250"/>
      <c r="V128" s="250"/>
      <c r="W128" s="250"/>
      <c r="X128" s="250"/>
      <c r="Y128" s="250"/>
      <c r="Z128" s="250"/>
      <c r="AA128" s="250"/>
      <c r="AB128" s="250"/>
      <c r="AC128" s="250"/>
      <c r="AD128" s="250"/>
      <c r="AE128" s="250"/>
      <c r="AF128" s="250"/>
      <c r="AG128" s="250"/>
      <c r="AH128" s="250"/>
      <c r="AI128" s="250"/>
      <c r="AJ128" s="250"/>
      <c r="AK128" s="250"/>
      <c r="AL128" s="250"/>
      <c r="AM128" s="250"/>
      <c r="AN128" s="250"/>
      <c r="AO128" s="250"/>
      <c r="AP128" s="250"/>
      <c r="AQ128" s="250"/>
      <c r="AR128" s="250"/>
      <c r="AS128" s="250"/>
      <c r="AT128" s="250"/>
      <c r="AU128" s="250"/>
      <c r="AV128" s="250"/>
      <c r="AW128" s="250"/>
      <c r="AX128" s="250"/>
      <c r="AY128" s="250"/>
      <c r="AZ128" s="250"/>
    </row>
    <row r="129" spans="1:52" ht="13.15" x14ac:dyDescent="0.4">
      <c r="A129" s="250"/>
      <c r="B129" s="250"/>
      <c r="C129" s="250"/>
      <c r="D129" s="250"/>
      <c r="E129" s="250"/>
      <c r="F129" s="250"/>
      <c r="G129" s="250"/>
      <c r="H129" s="250"/>
      <c r="I129" s="250"/>
      <c r="J129" s="250"/>
      <c r="K129" s="250"/>
      <c r="L129" s="250"/>
      <c r="M129" s="250"/>
      <c r="N129" s="250"/>
      <c r="O129" s="250"/>
      <c r="P129" s="250"/>
      <c r="Q129" s="250"/>
      <c r="R129" s="250"/>
      <c r="S129" s="250"/>
      <c r="T129" s="250"/>
      <c r="U129" s="250"/>
      <c r="V129" s="250"/>
      <c r="W129" s="250"/>
      <c r="X129" s="250"/>
      <c r="Y129" s="250"/>
      <c r="Z129" s="250"/>
      <c r="AA129" s="250"/>
      <c r="AB129" s="250"/>
      <c r="AC129" s="250"/>
      <c r="AD129" s="250"/>
      <c r="AE129" s="250"/>
      <c r="AF129" s="250"/>
      <c r="AG129" s="250"/>
      <c r="AH129" s="250"/>
      <c r="AI129" s="250"/>
      <c r="AJ129" s="250"/>
      <c r="AK129" s="250"/>
      <c r="AL129" s="250"/>
      <c r="AM129" s="250"/>
      <c r="AN129" s="250"/>
      <c r="AO129" s="250"/>
      <c r="AP129" s="250"/>
      <c r="AQ129" s="250"/>
      <c r="AR129" s="250"/>
      <c r="AS129" s="250"/>
      <c r="AT129" s="250"/>
      <c r="AU129" s="250"/>
      <c r="AV129" s="250"/>
      <c r="AW129" s="250"/>
      <c r="AX129" s="250"/>
      <c r="AY129" s="250"/>
      <c r="AZ129" s="250"/>
    </row>
    <row r="130" spans="1:52" ht="13.15" x14ac:dyDescent="0.4">
      <c r="A130" s="250"/>
      <c r="B130" s="250"/>
      <c r="C130" s="250"/>
      <c r="D130" s="250"/>
      <c r="E130" s="250"/>
      <c r="F130" s="250"/>
      <c r="G130" s="250"/>
      <c r="H130" s="250"/>
      <c r="I130" s="250"/>
      <c r="J130" s="250"/>
      <c r="K130" s="250"/>
      <c r="L130" s="250"/>
      <c r="M130" s="250"/>
      <c r="N130" s="250"/>
      <c r="O130" s="250"/>
      <c r="P130" s="250"/>
      <c r="Q130" s="250"/>
      <c r="R130" s="250"/>
      <c r="S130" s="250"/>
      <c r="T130" s="250"/>
      <c r="U130" s="250"/>
      <c r="V130" s="250"/>
      <c r="W130" s="250"/>
      <c r="X130" s="250"/>
      <c r="Y130" s="250"/>
      <c r="Z130" s="250"/>
      <c r="AA130" s="250"/>
      <c r="AB130" s="250"/>
      <c r="AC130" s="250"/>
      <c r="AD130" s="250"/>
      <c r="AE130" s="250"/>
      <c r="AF130" s="250"/>
      <c r="AG130" s="250"/>
      <c r="AH130" s="250"/>
      <c r="AI130" s="250"/>
      <c r="AJ130" s="250"/>
      <c r="AK130" s="250"/>
      <c r="AL130" s="250"/>
      <c r="AM130" s="250"/>
      <c r="AN130" s="250"/>
      <c r="AO130" s="250"/>
      <c r="AP130" s="250"/>
      <c r="AQ130" s="250"/>
      <c r="AR130" s="250"/>
      <c r="AS130" s="250"/>
      <c r="AT130" s="250"/>
      <c r="AU130" s="250"/>
      <c r="AV130" s="250"/>
      <c r="AW130" s="250"/>
      <c r="AX130" s="250"/>
      <c r="AY130" s="250"/>
      <c r="AZ130" s="250"/>
    </row>
    <row r="131" spans="1:52" ht="13.15" x14ac:dyDescent="0.4">
      <c r="A131" s="250"/>
      <c r="B131" s="250"/>
      <c r="C131" s="250"/>
      <c r="D131" s="250"/>
      <c r="E131" s="250"/>
      <c r="F131" s="250"/>
      <c r="G131" s="250"/>
      <c r="H131" s="250"/>
      <c r="I131" s="250"/>
      <c r="J131" s="250"/>
      <c r="K131" s="250"/>
      <c r="L131" s="250"/>
      <c r="M131" s="250"/>
      <c r="N131" s="250"/>
      <c r="O131" s="250"/>
      <c r="P131" s="250"/>
      <c r="Q131" s="250"/>
      <c r="R131" s="250"/>
      <c r="S131" s="250"/>
      <c r="T131" s="250"/>
      <c r="U131" s="250"/>
      <c r="V131" s="250"/>
      <c r="W131" s="250"/>
      <c r="X131" s="250"/>
      <c r="Y131" s="250"/>
      <c r="Z131" s="250"/>
      <c r="AA131" s="250"/>
      <c r="AB131" s="250"/>
      <c r="AC131" s="250"/>
      <c r="AD131" s="250"/>
      <c r="AE131" s="250"/>
      <c r="AF131" s="250"/>
      <c r="AG131" s="250"/>
      <c r="AH131" s="250"/>
      <c r="AI131" s="250"/>
      <c r="AJ131" s="250"/>
      <c r="AK131" s="250"/>
      <c r="AL131" s="250"/>
      <c r="AM131" s="250"/>
      <c r="AN131" s="250"/>
      <c r="AO131" s="250"/>
      <c r="AP131" s="250"/>
      <c r="AQ131" s="250"/>
      <c r="AR131" s="250"/>
      <c r="AS131" s="250"/>
      <c r="AT131" s="250"/>
      <c r="AU131" s="250"/>
      <c r="AV131" s="250"/>
      <c r="AW131" s="250"/>
      <c r="AX131" s="250"/>
      <c r="AY131" s="250"/>
      <c r="AZ131" s="250"/>
    </row>
    <row r="132" spans="1:52" ht="13.15" x14ac:dyDescent="0.4">
      <c r="A132" s="250"/>
      <c r="B132" s="250"/>
      <c r="C132" s="250"/>
      <c r="D132" s="250"/>
      <c r="E132" s="250"/>
      <c r="F132" s="250"/>
      <c r="G132" s="250"/>
      <c r="H132" s="250"/>
      <c r="I132" s="250"/>
      <c r="J132" s="250"/>
      <c r="K132" s="250"/>
      <c r="L132" s="250"/>
      <c r="M132" s="250"/>
      <c r="N132" s="250"/>
      <c r="O132" s="250"/>
      <c r="P132" s="250"/>
      <c r="Q132" s="250"/>
      <c r="R132" s="250"/>
      <c r="S132" s="250"/>
      <c r="T132" s="250"/>
      <c r="U132" s="250"/>
      <c r="V132" s="250"/>
      <c r="W132" s="250"/>
      <c r="X132" s="250"/>
      <c r="Y132" s="250"/>
      <c r="Z132" s="250"/>
      <c r="AA132" s="250"/>
      <c r="AB132" s="250"/>
      <c r="AC132" s="250"/>
      <c r="AD132" s="250"/>
      <c r="AE132" s="250"/>
      <c r="AF132" s="250"/>
      <c r="AG132" s="250"/>
      <c r="AH132" s="250"/>
      <c r="AI132" s="250"/>
      <c r="AJ132" s="250"/>
      <c r="AK132" s="250"/>
      <c r="AL132" s="250"/>
      <c r="AM132" s="250"/>
      <c r="AN132" s="250"/>
      <c r="AO132" s="250"/>
      <c r="AP132" s="250"/>
      <c r="AQ132" s="250"/>
      <c r="AR132" s="250"/>
      <c r="AS132" s="250"/>
      <c r="AT132" s="250"/>
      <c r="AU132" s="250"/>
      <c r="AV132" s="250"/>
      <c r="AW132" s="250"/>
      <c r="AX132" s="250"/>
      <c r="AY132" s="250"/>
      <c r="AZ132" s="250"/>
    </row>
    <row r="133" spans="1:52" ht="13.15" x14ac:dyDescent="0.4">
      <c r="A133" s="250"/>
      <c r="B133" s="250"/>
      <c r="C133" s="250"/>
      <c r="D133" s="250"/>
      <c r="E133" s="250"/>
      <c r="F133" s="250"/>
      <c r="G133" s="250"/>
      <c r="H133" s="250"/>
      <c r="I133" s="250"/>
      <c r="J133" s="250"/>
      <c r="K133" s="250"/>
      <c r="L133" s="250"/>
      <c r="M133" s="250"/>
      <c r="N133" s="250"/>
      <c r="O133" s="250"/>
      <c r="P133" s="250"/>
      <c r="Q133" s="250"/>
      <c r="R133" s="250"/>
      <c r="S133" s="250"/>
      <c r="T133" s="250"/>
      <c r="U133" s="250"/>
      <c r="V133" s="250"/>
      <c r="W133" s="250"/>
      <c r="X133" s="250"/>
      <c r="Y133" s="250"/>
      <c r="Z133" s="250"/>
      <c r="AA133" s="250"/>
      <c r="AB133" s="250"/>
      <c r="AC133" s="250"/>
      <c r="AD133" s="250"/>
      <c r="AE133" s="250"/>
      <c r="AF133" s="250"/>
      <c r="AG133" s="250"/>
      <c r="AH133" s="250"/>
      <c r="AI133" s="250"/>
      <c r="AJ133" s="250"/>
      <c r="AK133" s="250"/>
      <c r="AL133" s="250"/>
      <c r="AM133" s="250"/>
      <c r="AN133" s="250"/>
      <c r="AO133" s="250"/>
      <c r="AP133" s="250"/>
      <c r="AQ133" s="250"/>
      <c r="AR133" s="250"/>
      <c r="AS133" s="250"/>
      <c r="AT133" s="250"/>
      <c r="AU133" s="250"/>
      <c r="AV133" s="250"/>
      <c r="AW133" s="250"/>
      <c r="AX133" s="250"/>
      <c r="AY133" s="250"/>
      <c r="AZ133" s="250"/>
    </row>
    <row r="134" spans="1:52" ht="13.15" x14ac:dyDescent="0.4">
      <c r="A134" s="250"/>
      <c r="B134" s="250"/>
      <c r="C134" s="250"/>
      <c r="D134" s="250"/>
      <c r="E134" s="250"/>
      <c r="F134" s="250"/>
      <c r="G134" s="250"/>
      <c r="H134" s="250"/>
      <c r="I134" s="250"/>
      <c r="J134" s="250"/>
      <c r="K134" s="250"/>
      <c r="L134" s="250"/>
      <c r="M134" s="250"/>
      <c r="N134" s="250"/>
      <c r="O134" s="250"/>
      <c r="P134" s="250"/>
      <c r="Q134" s="250"/>
      <c r="R134" s="250"/>
      <c r="S134" s="250"/>
      <c r="T134" s="250"/>
      <c r="U134" s="250"/>
      <c r="V134" s="250"/>
      <c r="W134" s="250"/>
      <c r="X134" s="250"/>
      <c r="Y134" s="250"/>
      <c r="Z134" s="250"/>
      <c r="AA134" s="250"/>
      <c r="AB134" s="250"/>
      <c r="AC134" s="250"/>
      <c r="AD134" s="250"/>
      <c r="AE134" s="250"/>
      <c r="AF134" s="250"/>
      <c r="AG134" s="250"/>
      <c r="AH134" s="250"/>
      <c r="AI134" s="250"/>
      <c r="AJ134" s="250"/>
      <c r="AK134" s="250"/>
      <c r="AL134" s="250"/>
      <c r="AM134" s="250"/>
      <c r="AN134" s="250"/>
      <c r="AO134" s="250"/>
      <c r="AP134" s="250"/>
      <c r="AQ134" s="250"/>
      <c r="AR134" s="250"/>
      <c r="AS134" s="250"/>
      <c r="AT134" s="250"/>
      <c r="AU134" s="250"/>
      <c r="AV134" s="250"/>
      <c r="AW134" s="250"/>
      <c r="AX134" s="250"/>
      <c r="AY134" s="250"/>
      <c r="AZ134" s="250"/>
    </row>
    <row r="135" spans="1:52" ht="13.15" x14ac:dyDescent="0.4">
      <c r="A135" s="250"/>
      <c r="B135" s="250"/>
      <c r="C135" s="250"/>
      <c r="D135" s="250"/>
      <c r="E135" s="250"/>
      <c r="F135" s="250"/>
      <c r="G135" s="250"/>
      <c r="H135" s="250"/>
      <c r="I135" s="250"/>
      <c r="J135" s="250"/>
      <c r="K135" s="250"/>
      <c r="L135" s="250"/>
      <c r="M135" s="250"/>
      <c r="N135" s="250"/>
      <c r="O135" s="250"/>
      <c r="P135" s="250"/>
      <c r="Q135" s="250"/>
      <c r="R135" s="250"/>
      <c r="S135" s="250"/>
      <c r="T135" s="250"/>
      <c r="U135" s="250"/>
      <c r="V135" s="250"/>
      <c r="W135" s="250"/>
      <c r="X135" s="250"/>
      <c r="Y135" s="250"/>
      <c r="Z135" s="250"/>
      <c r="AA135" s="250"/>
      <c r="AB135" s="250"/>
      <c r="AC135" s="250"/>
      <c r="AD135" s="250"/>
      <c r="AE135" s="250"/>
      <c r="AF135" s="250"/>
      <c r="AG135" s="250"/>
      <c r="AH135" s="250"/>
      <c r="AI135" s="250"/>
      <c r="AJ135" s="250"/>
      <c r="AK135" s="250"/>
      <c r="AL135" s="250"/>
      <c r="AM135" s="250"/>
      <c r="AN135" s="250"/>
      <c r="AO135" s="250"/>
      <c r="AP135" s="250"/>
      <c r="AQ135" s="250"/>
      <c r="AR135" s="250"/>
      <c r="AS135" s="250"/>
      <c r="AT135" s="250"/>
      <c r="AU135" s="250"/>
      <c r="AV135" s="250"/>
      <c r="AW135" s="250"/>
      <c r="AX135" s="250"/>
      <c r="AY135" s="250"/>
      <c r="AZ135" s="250"/>
    </row>
    <row r="136" spans="1:52" ht="13.15" x14ac:dyDescent="0.4">
      <c r="A136" s="250"/>
      <c r="B136" s="250"/>
      <c r="C136" s="250"/>
      <c r="D136" s="250"/>
      <c r="E136" s="250"/>
      <c r="F136" s="250"/>
      <c r="G136" s="250"/>
      <c r="H136" s="250"/>
      <c r="I136" s="250"/>
      <c r="J136" s="250"/>
      <c r="K136" s="250"/>
      <c r="L136" s="250"/>
      <c r="M136" s="250"/>
      <c r="N136" s="250"/>
      <c r="O136" s="250"/>
      <c r="P136" s="250"/>
      <c r="Q136" s="250"/>
      <c r="R136" s="250"/>
      <c r="S136" s="250"/>
      <c r="T136" s="250"/>
      <c r="U136" s="250"/>
      <c r="V136" s="250"/>
      <c r="W136" s="250"/>
      <c r="X136" s="250"/>
      <c r="Y136" s="250"/>
      <c r="Z136" s="250"/>
      <c r="AA136" s="250"/>
      <c r="AB136" s="250"/>
      <c r="AC136" s="250"/>
      <c r="AD136" s="250"/>
      <c r="AE136" s="250"/>
      <c r="AF136" s="250"/>
      <c r="AG136" s="250"/>
      <c r="AH136" s="250"/>
      <c r="AI136" s="250"/>
      <c r="AJ136" s="250"/>
      <c r="AK136" s="250"/>
      <c r="AL136" s="250"/>
      <c r="AM136" s="250"/>
      <c r="AN136" s="250"/>
      <c r="AO136" s="250"/>
      <c r="AP136" s="250"/>
      <c r="AQ136" s="250"/>
      <c r="AR136" s="250"/>
      <c r="AS136" s="250"/>
      <c r="AT136" s="250"/>
      <c r="AU136" s="250"/>
      <c r="AV136" s="250"/>
      <c r="AW136" s="250"/>
      <c r="AX136" s="250"/>
      <c r="AY136" s="250"/>
      <c r="AZ136" s="250"/>
    </row>
    <row r="137" spans="1:52" ht="13.15" x14ac:dyDescent="0.4">
      <c r="A137" s="250"/>
      <c r="B137" s="250"/>
      <c r="C137" s="250"/>
      <c r="D137" s="250"/>
      <c r="E137" s="250"/>
      <c r="F137" s="250"/>
      <c r="G137" s="250"/>
      <c r="H137" s="250"/>
      <c r="I137" s="250"/>
      <c r="J137" s="250"/>
      <c r="K137" s="250"/>
      <c r="L137" s="250"/>
      <c r="M137" s="250"/>
      <c r="N137" s="250"/>
      <c r="O137" s="250"/>
      <c r="P137" s="250"/>
      <c r="Q137" s="250"/>
      <c r="R137" s="250"/>
      <c r="S137" s="250"/>
      <c r="T137" s="250"/>
      <c r="U137" s="250"/>
      <c r="V137" s="250"/>
      <c r="W137" s="250"/>
      <c r="X137" s="250"/>
      <c r="Y137" s="250"/>
      <c r="Z137" s="250"/>
      <c r="AA137" s="250"/>
      <c r="AB137" s="250"/>
      <c r="AC137" s="250"/>
      <c r="AD137" s="250"/>
      <c r="AE137" s="250"/>
      <c r="AF137" s="250"/>
      <c r="AG137" s="250"/>
      <c r="AH137" s="250"/>
      <c r="AI137" s="250"/>
      <c r="AJ137" s="250"/>
      <c r="AK137" s="250"/>
      <c r="AL137" s="250"/>
      <c r="AM137" s="250"/>
      <c r="AN137" s="250"/>
      <c r="AO137" s="250"/>
      <c r="AP137" s="250"/>
      <c r="AQ137" s="250"/>
      <c r="AR137" s="250"/>
      <c r="AS137" s="250"/>
      <c r="AT137" s="250"/>
      <c r="AU137" s="250"/>
      <c r="AV137" s="250"/>
      <c r="AW137" s="250"/>
      <c r="AX137" s="250"/>
      <c r="AY137" s="250"/>
      <c r="AZ137" s="250"/>
    </row>
    <row r="138" spans="1:52" ht="13.15" x14ac:dyDescent="0.4">
      <c r="A138" s="250"/>
      <c r="B138" s="250"/>
      <c r="C138" s="250"/>
      <c r="D138" s="250"/>
      <c r="E138" s="250"/>
      <c r="F138" s="250"/>
      <c r="G138" s="250"/>
      <c r="H138" s="250"/>
      <c r="I138" s="250"/>
      <c r="J138" s="250"/>
      <c r="K138" s="250"/>
      <c r="L138" s="250"/>
      <c r="M138" s="250"/>
      <c r="N138" s="250"/>
      <c r="O138" s="250"/>
      <c r="P138" s="250"/>
      <c r="Q138" s="250"/>
      <c r="R138" s="250"/>
      <c r="S138" s="250"/>
      <c r="T138" s="250"/>
      <c r="U138" s="250"/>
      <c r="V138" s="250"/>
      <c r="W138" s="250"/>
      <c r="X138" s="250"/>
      <c r="Y138" s="250"/>
      <c r="Z138" s="250"/>
      <c r="AA138" s="250"/>
      <c r="AB138" s="250"/>
      <c r="AC138" s="250"/>
      <c r="AD138" s="250"/>
      <c r="AE138" s="250"/>
      <c r="AF138" s="250"/>
      <c r="AG138" s="250"/>
      <c r="AH138" s="250"/>
      <c r="AI138" s="250"/>
      <c r="AJ138" s="250"/>
      <c r="AK138" s="250"/>
      <c r="AL138" s="250"/>
      <c r="AM138" s="250"/>
      <c r="AN138" s="250"/>
      <c r="AO138" s="250"/>
      <c r="AP138" s="250"/>
      <c r="AQ138" s="250"/>
      <c r="AR138" s="250"/>
      <c r="AS138" s="250"/>
      <c r="AT138" s="250"/>
      <c r="AU138" s="250"/>
      <c r="AV138" s="250"/>
      <c r="AW138" s="250"/>
      <c r="AX138" s="250"/>
      <c r="AY138" s="250"/>
      <c r="AZ138" s="250"/>
    </row>
    <row r="139" spans="1:52" ht="13.15" x14ac:dyDescent="0.4">
      <c r="A139" s="250"/>
      <c r="B139" s="250"/>
      <c r="C139" s="250"/>
      <c r="D139" s="250"/>
      <c r="E139" s="250"/>
      <c r="F139" s="250"/>
      <c r="G139" s="250"/>
      <c r="H139" s="250"/>
      <c r="I139" s="250"/>
      <c r="J139" s="250"/>
      <c r="K139" s="250"/>
      <c r="L139" s="250"/>
      <c r="M139" s="250"/>
      <c r="N139" s="250"/>
      <c r="O139" s="250"/>
      <c r="P139" s="250"/>
      <c r="Q139" s="250"/>
      <c r="R139" s="250"/>
      <c r="S139" s="250"/>
      <c r="T139" s="250"/>
      <c r="U139" s="250"/>
      <c r="V139" s="250"/>
      <c r="W139" s="250"/>
      <c r="X139" s="250"/>
      <c r="Y139" s="250"/>
      <c r="Z139" s="250"/>
      <c r="AA139" s="250"/>
      <c r="AB139" s="250"/>
      <c r="AC139" s="250"/>
      <c r="AD139" s="250"/>
      <c r="AE139" s="250"/>
      <c r="AF139" s="250"/>
      <c r="AG139" s="250"/>
      <c r="AH139" s="250"/>
      <c r="AI139" s="250"/>
      <c r="AJ139" s="250"/>
      <c r="AK139" s="250"/>
      <c r="AL139" s="250"/>
      <c r="AM139" s="250"/>
      <c r="AN139" s="250"/>
      <c r="AO139" s="250"/>
      <c r="AP139" s="250"/>
      <c r="AQ139" s="250"/>
      <c r="AR139" s="250"/>
      <c r="AS139" s="250"/>
      <c r="AT139" s="250"/>
      <c r="AU139" s="250"/>
      <c r="AV139" s="250"/>
      <c r="AW139" s="250"/>
      <c r="AX139" s="250"/>
      <c r="AY139" s="250"/>
      <c r="AZ139" s="250"/>
    </row>
    <row r="140" spans="1:52" ht="13.15" x14ac:dyDescent="0.4">
      <c r="A140" s="250"/>
      <c r="B140" s="250"/>
      <c r="C140" s="250"/>
      <c r="D140" s="250"/>
      <c r="E140" s="250"/>
      <c r="F140" s="250"/>
      <c r="G140" s="250"/>
      <c r="H140" s="250"/>
      <c r="I140" s="250"/>
      <c r="J140" s="250"/>
      <c r="K140" s="250"/>
      <c r="L140" s="250"/>
      <c r="M140" s="250"/>
      <c r="N140" s="250"/>
      <c r="O140" s="250"/>
      <c r="P140" s="250"/>
      <c r="Q140" s="250"/>
      <c r="R140" s="250"/>
      <c r="S140" s="250"/>
      <c r="T140" s="250"/>
      <c r="U140" s="250"/>
      <c r="V140" s="250"/>
      <c r="W140" s="250"/>
      <c r="X140" s="250"/>
      <c r="Y140" s="250"/>
      <c r="Z140" s="250"/>
      <c r="AA140" s="250"/>
      <c r="AB140" s="250"/>
      <c r="AC140" s="250"/>
      <c r="AD140" s="250"/>
      <c r="AE140" s="250"/>
      <c r="AF140" s="250"/>
      <c r="AG140" s="250"/>
      <c r="AH140" s="250"/>
      <c r="AI140" s="250"/>
      <c r="AJ140" s="250"/>
      <c r="AK140" s="250"/>
      <c r="AL140" s="250"/>
      <c r="AM140" s="250"/>
      <c r="AN140" s="250"/>
      <c r="AO140" s="250"/>
      <c r="AP140" s="250"/>
      <c r="AQ140" s="250"/>
      <c r="AR140" s="250"/>
      <c r="AS140" s="250"/>
      <c r="AT140" s="250"/>
      <c r="AU140" s="250"/>
      <c r="AV140" s="250"/>
      <c r="AW140" s="250"/>
      <c r="AX140" s="250"/>
      <c r="AY140" s="250"/>
      <c r="AZ140" s="250"/>
    </row>
    <row r="141" spans="1:52" ht="13.15" x14ac:dyDescent="0.4">
      <c r="A141" s="250"/>
      <c r="B141" s="250"/>
      <c r="C141" s="250"/>
      <c r="D141" s="250"/>
      <c r="E141" s="250"/>
      <c r="F141" s="250"/>
      <c r="G141" s="250"/>
      <c r="H141" s="250"/>
      <c r="I141" s="250"/>
      <c r="J141" s="250"/>
      <c r="K141" s="250"/>
      <c r="L141" s="250"/>
      <c r="M141" s="250"/>
      <c r="N141" s="250"/>
      <c r="O141" s="250"/>
      <c r="P141" s="250"/>
      <c r="Q141" s="250"/>
      <c r="R141" s="250"/>
      <c r="S141" s="250"/>
      <c r="T141" s="250"/>
      <c r="U141" s="250"/>
      <c r="V141" s="250"/>
      <c r="W141" s="250"/>
      <c r="X141" s="250"/>
      <c r="Y141" s="250"/>
      <c r="Z141" s="250"/>
      <c r="AA141" s="250"/>
      <c r="AB141" s="250"/>
      <c r="AC141" s="250"/>
      <c r="AD141" s="250"/>
      <c r="AE141" s="250"/>
      <c r="AF141" s="250"/>
      <c r="AG141" s="250"/>
      <c r="AH141" s="250"/>
      <c r="AI141" s="250"/>
      <c r="AJ141" s="250"/>
      <c r="AK141" s="250"/>
      <c r="AL141" s="250"/>
      <c r="AM141" s="250"/>
      <c r="AN141" s="250"/>
      <c r="AO141" s="250"/>
      <c r="AP141" s="250"/>
      <c r="AQ141" s="250"/>
      <c r="AR141" s="250"/>
      <c r="AS141" s="250"/>
      <c r="AT141" s="250"/>
      <c r="AU141" s="250"/>
      <c r="AV141" s="250"/>
      <c r="AW141" s="250"/>
      <c r="AX141" s="250"/>
      <c r="AY141" s="250"/>
      <c r="AZ141" s="250"/>
    </row>
    <row r="142" spans="1:52" ht="13.15" x14ac:dyDescent="0.4">
      <c r="A142" s="250"/>
      <c r="B142" s="250"/>
      <c r="C142" s="250"/>
      <c r="D142" s="250"/>
      <c r="E142" s="250"/>
      <c r="F142" s="250"/>
      <c r="G142" s="250"/>
      <c r="H142" s="250"/>
      <c r="I142" s="250"/>
      <c r="J142" s="250"/>
      <c r="K142" s="250"/>
      <c r="L142" s="250"/>
      <c r="M142" s="250"/>
      <c r="N142" s="250"/>
      <c r="O142" s="250"/>
      <c r="P142" s="250"/>
      <c r="Q142" s="250"/>
      <c r="R142" s="250"/>
      <c r="S142" s="250"/>
      <c r="T142" s="250"/>
      <c r="U142" s="250"/>
      <c r="V142" s="250"/>
      <c r="W142" s="250"/>
      <c r="X142" s="250"/>
      <c r="Y142" s="250"/>
      <c r="Z142" s="250"/>
      <c r="AA142" s="250"/>
      <c r="AB142" s="250"/>
      <c r="AC142" s="250"/>
      <c r="AD142" s="250"/>
      <c r="AE142" s="250"/>
      <c r="AF142" s="250"/>
      <c r="AG142" s="250"/>
      <c r="AH142" s="250"/>
      <c r="AI142" s="250"/>
      <c r="AJ142" s="250"/>
      <c r="AK142" s="250"/>
      <c r="AL142" s="250"/>
      <c r="AM142" s="250"/>
      <c r="AN142" s="250"/>
      <c r="AO142" s="250"/>
      <c r="AP142" s="250"/>
      <c r="AQ142" s="250"/>
      <c r="AR142" s="250"/>
      <c r="AS142" s="250"/>
      <c r="AT142" s="250"/>
      <c r="AU142" s="250"/>
      <c r="AV142" s="250"/>
      <c r="AW142" s="250"/>
      <c r="AX142" s="250"/>
      <c r="AY142" s="250"/>
      <c r="AZ142" s="250"/>
    </row>
    <row r="143" spans="1:52" ht="13.15" x14ac:dyDescent="0.4">
      <c r="A143" s="250"/>
      <c r="B143" s="250"/>
      <c r="C143" s="250"/>
      <c r="D143" s="250"/>
      <c r="E143" s="250"/>
      <c r="F143" s="250"/>
      <c r="G143" s="250"/>
      <c r="H143" s="250"/>
      <c r="I143" s="250"/>
      <c r="J143" s="250"/>
      <c r="K143" s="250"/>
      <c r="L143" s="250"/>
      <c r="M143" s="250"/>
      <c r="N143" s="250"/>
      <c r="O143" s="250"/>
      <c r="P143" s="250"/>
      <c r="Q143" s="250"/>
      <c r="R143" s="250"/>
      <c r="S143" s="250"/>
      <c r="T143" s="250"/>
      <c r="U143" s="250"/>
      <c r="V143" s="250"/>
      <c r="W143" s="250"/>
      <c r="X143" s="250"/>
      <c r="Y143" s="250"/>
      <c r="Z143" s="250"/>
      <c r="AA143" s="250"/>
      <c r="AB143" s="250"/>
      <c r="AC143" s="250"/>
      <c r="AD143" s="250"/>
      <c r="AE143" s="250"/>
      <c r="AF143" s="250"/>
      <c r="AG143" s="250"/>
      <c r="AH143" s="250"/>
      <c r="AI143" s="250"/>
      <c r="AJ143" s="250"/>
      <c r="AK143" s="250"/>
      <c r="AL143" s="250"/>
      <c r="AM143" s="250"/>
      <c r="AN143" s="250"/>
      <c r="AO143" s="250"/>
      <c r="AP143" s="250"/>
      <c r="AQ143" s="250"/>
      <c r="AR143" s="250"/>
      <c r="AS143" s="250"/>
      <c r="AT143" s="250"/>
      <c r="AU143" s="250"/>
      <c r="AV143" s="250"/>
      <c r="AW143" s="250"/>
      <c r="AX143" s="250"/>
      <c r="AY143" s="250"/>
      <c r="AZ143" s="250"/>
    </row>
    <row r="144" spans="1:52" ht="13.15" x14ac:dyDescent="0.4">
      <c r="A144" s="250"/>
      <c r="B144" s="250"/>
      <c r="C144" s="250"/>
      <c r="D144" s="250"/>
      <c r="E144" s="250"/>
      <c r="F144" s="250"/>
      <c r="G144" s="250"/>
      <c r="H144" s="250"/>
      <c r="I144" s="250"/>
      <c r="J144" s="250"/>
      <c r="K144" s="250"/>
      <c r="L144" s="250"/>
      <c r="M144" s="250"/>
      <c r="N144" s="250"/>
      <c r="O144" s="250"/>
      <c r="P144" s="250"/>
      <c r="Q144" s="250"/>
      <c r="R144" s="250"/>
      <c r="S144" s="250"/>
      <c r="T144" s="250"/>
      <c r="U144" s="250"/>
      <c r="V144" s="250"/>
      <c r="W144" s="250"/>
      <c r="X144" s="250"/>
      <c r="Y144" s="250"/>
      <c r="Z144" s="250"/>
      <c r="AA144" s="250"/>
      <c r="AB144" s="250"/>
      <c r="AC144" s="250"/>
      <c r="AD144" s="250"/>
      <c r="AE144" s="250"/>
      <c r="AF144" s="250"/>
      <c r="AG144" s="250"/>
      <c r="AH144" s="250"/>
      <c r="AI144" s="250"/>
      <c r="AJ144" s="250"/>
      <c r="AK144" s="250"/>
      <c r="AL144" s="250"/>
      <c r="AM144" s="250"/>
      <c r="AN144" s="250"/>
      <c r="AO144" s="250"/>
      <c r="AP144" s="250"/>
      <c r="AQ144" s="250"/>
      <c r="AR144" s="250"/>
      <c r="AS144" s="250"/>
      <c r="AT144" s="250"/>
      <c r="AU144" s="250"/>
      <c r="AV144" s="250"/>
      <c r="AW144" s="250"/>
      <c r="AX144" s="250"/>
      <c r="AY144" s="250"/>
      <c r="AZ144" s="250"/>
    </row>
    <row r="145" spans="1:52" ht="13.15" x14ac:dyDescent="0.4">
      <c r="A145" s="250"/>
      <c r="B145" s="250"/>
      <c r="C145" s="250"/>
      <c r="D145" s="250"/>
      <c r="E145" s="250"/>
      <c r="F145" s="250"/>
      <c r="G145" s="250"/>
      <c r="H145" s="250"/>
      <c r="I145" s="250"/>
      <c r="J145" s="250"/>
      <c r="K145" s="250"/>
      <c r="L145" s="250"/>
      <c r="M145" s="250"/>
      <c r="N145" s="250"/>
      <c r="O145" s="250"/>
      <c r="P145" s="250"/>
      <c r="Q145" s="250"/>
      <c r="R145" s="250"/>
      <c r="S145" s="250"/>
      <c r="T145" s="250"/>
      <c r="U145" s="250"/>
      <c r="V145" s="250"/>
      <c r="W145" s="250"/>
      <c r="X145" s="250"/>
      <c r="Y145" s="250"/>
      <c r="Z145" s="250"/>
      <c r="AA145" s="250"/>
      <c r="AB145" s="250"/>
      <c r="AC145" s="250"/>
      <c r="AD145" s="250"/>
      <c r="AE145" s="250"/>
      <c r="AF145" s="250"/>
      <c r="AG145" s="250"/>
      <c r="AH145" s="250"/>
      <c r="AI145" s="250"/>
      <c r="AJ145" s="250"/>
      <c r="AK145" s="250"/>
      <c r="AL145" s="250"/>
      <c r="AM145" s="250"/>
      <c r="AN145" s="250"/>
      <c r="AO145" s="250"/>
      <c r="AP145" s="250"/>
      <c r="AQ145" s="250"/>
      <c r="AR145" s="250"/>
      <c r="AS145" s="250"/>
      <c r="AT145" s="250"/>
      <c r="AU145" s="250"/>
      <c r="AV145" s="250"/>
      <c r="AW145" s="250"/>
      <c r="AX145" s="250"/>
      <c r="AY145" s="250"/>
      <c r="AZ145" s="250"/>
    </row>
    <row r="146" spans="1:52" ht="13.15" x14ac:dyDescent="0.4">
      <c r="A146" s="250"/>
      <c r="B146" s="250"/>
      <c r="C146" s="250"/>
      <c r="D146" s="250"/>
      <c r="E146" s="250"/>
      <c r="F146" s="250"/>
      <c r="G146" s="250"/>
      <c r="H146" s="250"/>
      <c r="I146" s="250"/>
      <c r="J146" s="250"/>
      <c r="K146" s="250"/>
      <c r="L146" s="250"/>
      <c r="M146" s="250"/>
      <c r="N146" s="250"/>
      <c r="O146" s="250"/>
      <c r="P146" s="250"/>
      <c r="Q146" s="250"/>
      <c r="R146" s="250"/>
      <c r="S146" s="250"/>
      <c r="T146" s="250"/>
      <c r="U146" s="250"/>
      <c r="V146" s="250"/>
      <c r="W146" s="250"/>
      <c r="X146" s="250"/>
      <c r="Y146" s="250"/>
      <c r="Z146" s="250"/>
      <c r="AA146" s="250"/>
      <c r="AB146" s="250"/>
      <c r="AC146" s="250"/>
      <c r="AD146" s="250"/>
      <c r="AE146" s="250"/>
      <c r="AF146" s="250"/>
      <c r="AG146" s="250"/>
      <c r="AH146" s="250"/>
      <c r="AI146" s="250"/>
      <c r="AJ146" s="250"/>
      <c r="AK146" s="250"/>
      <c r="AL146" s="250"/>
      <c r="AM146" s="250"/>
      <c r="AN146" s="250"/>
      <c r="AO146" s="250"/>
      <c r="AP146" s="250"/>
      <c r="AQ146" s="250"/>
      <c r="AR146" s="250"/>
      <c r="AS146" s="250"/>
      <c r="AT146" s="250"/>
      <c r="AU146" s="250"/>
      <c r="AV146" s="250"/>
      <c r="AW146" s="250"/>
      <c r="AX146" s="250"/>
      <c r="AY146" s="250"/>
      <c r="AZ146" s="250"/>
    </row>
    <row r="147" spans="1:52" ht="13.15" x14ac:dyDescent="0.4">
      <c r="A147" s="250"/>
      <c r="B147" s="250"/>
      <c r="C147" s="250"/>
      <c r="D147" s="250"/>
      <c r="E147" s="250"/>
      <c r="F147" s="250"/>
      <c r="G147" s="250"/>
      <c r="H147" s="250"/>
      <c r="I147" s="250"/>
      <c r="J147" s="250"/>
      <c r="K147" s="250"/>
      <c r="L147" s="250"/>
      <c r="M147" s="250"/>
      <c r="N147" s="250"/>
      <c r="O147" s="250"/>
      <c r="P147" s="250"/>
      <c r="Q147" s="250"/>
      <c r="R147" s="250"/>
      <c r="S147" s="250"/>
      <c r="T147" s="250"/>
      <c r="U147" s="250"/>
      <c r="V147" s="250"/>
      <c r="W147" s="250"/>
      <c r="X147" s="250"/>
      <c r="Y147" s="250"/>
      <c r="Z147" s="250"/>
      <c r="AA147" s="250"/>
      <c r="AB147" s="250"/>
      <c r="AC147" s="250"/>
      <c r="AD147" s="250"/>
      <c r="AE147" s="250"/>
      <c r="AF147" s="250"/>
      <c r="AG147" s="250"/>
      <c r="AH147" s="250"/>
      <c r="AI147" s="250"/>
      <c r="AJ147" s="250"/>
      <c r="AK147" s="250"/>
      <c r="AL147" s="250"/>
      <c r="AM147" s="250"/>
      <c r="AN147" s="250"/>
      <c r="AO147" s="250"/>
      <c r="AP147" s="250"/>
      <c r="AQ147" s="250"/>
      <c r="AR147" s="250"/>
      <c r="AS147" s="250"/>
      <c r="AT147" s="250"/>
      <c r="AU147" s="250"/>
      <c r="AV147" s="250"/>
      <c r="AW147" s="250"/>
      <c r="AX147" s="250"/>
      <c r="AY147" s="250"/>
      <c r="AZ147" s="250"/>
    </row>
    <row r="148" spans="1:52" ht="13.15" x14ac:dyDescent="0.4">
      <c r="A148" s="250"/>
      <c r="B148" s="250"/>
      <c r="C148" s="250"/>
      <c r="D148" s="250"/>
      <c r="E148" s="250"/>
      <c r="F148" s="250"/>
      <c r="G148" s="250"/>
      <c r="H148" s="250"/>
      <c r="I148" s="250"/>
      <c r="J148" s="250"/>
      <c r="K148" s="250"/>
      <c r="L148" s="250"/>
      <c r="M148" s="250"/>
      <c r="N148" s="250"/>
      <c r="O148" s="250"/>
      <c r="P148" s="250"/>
      <c r="Q148" s="250"/>
      <c r="R148" s="250"/>
      <c r="S148" s="250"/>
      <c r="T148" s="250"/>
      <c r="U148" s="250"/>
      <c r="V148" s="250"/>
      <c r="W148" s="250"/>
      <c r="X148" s="250"/>
      <c r="Y148" s="250"/>
      <c r="Z148" s="250"/>
      <c r="AA148" s="250"/>
      <c r="AB148" s="250"/>
      <c r="AC148" s="250"/>
      <c r="AD148" s="250"/>
      <c r="AE148" s="250"/>
      <c r="AF148" s="250"/>
      <c r="AG148" s="250"/>
      <c r="AH148" s="250"/>
      <c r="AI148" s="250"/>
      <c r="AJ148" s="250"/>
      <c r="AK148" s="250"/>
      <c r="AL148" s="250"/>
      <c r="AM148" s="250"/>
      <c r="AN148" s="250"/>
      <c r="AO148" s="250"/>
      <c r="AP148" s="250"/>
      <c r="AQ148" s="250"/>
      <c r="AR148" s="250"/>
      <c r="AS148" s="250"/>
      <c r="AT148" s="250"/>
      <c r="AU148" s="250"/>
      <c r="AV148" s="250"/>
      <c r="AW148" s="250"/>
      <c r="AX148" s="250"/>
      <c r="AY148" s="250"/>
      <c r="AZ148" s="250"/>
    </row>
    <row r="149" spans="1:52" ht="13.15" x14ac:dyDescent="0.4">
      <c r="A149" s="250"/>
      <c r="B149" s="250"/>
      <c r="C149" s="250"/>
      <c r="D149" s="250"/>
      <c r="E149" s="250"/>
      <c r="F149" s="250"/>
      <c r="G149" s="250"/>
      <c r="H149" s="250"/>
      <c r="I149" s="250"/>
      <c r="J149" s="250"/>
      <c r="K149" s="250"/>
      <c r="L149" s="250"/>
      <c r="M149" s="250"/>
      <c r="N149" s="250"/>
      <c r="O149" s="250"/>
      <c r="P149" s="250"/>
      <c r="Q149" s="250"/>
      <c r="R149" s="250"/>
      <c r="S149" s="250"/>
      <c r="T149" s="250"/>
      <c r="U149" s="250"/>
      <c r="V149" s="250"/>
      <c r="W149" s="250"/>
      <c r="X149" s="250"/>
      <c r="Y149" s="250"/>
      <c r="Z149" s="250"/>
      <c r="AA149" s="250"/>
      <c r="AB149" s="250"/>
      <c r="AC149" s="250"/>
      <c r="AD149" s="250"/>
      <c r="AE149" s="250"/>
      <c r="AF149" s="250"/>
      <c r="AG149" s="250"/>
      <c r="AH149" s="250"/>
      <c r="AI149" s="250"/>
      <c r="AJ149" s="250"/>
      <c r="AK149" s="250"/>
      <c r="AL149" s="250"/>
      <c r="AM149" s="250"/>
      <c r="AN149" s="250"/>
      <c r="AO149" s="250"/>
      <c r="AP149" s="250"/>
      <c r="AQ149" s="250"/>
      <c r="AR149" s="250"/>
      <c r="AS149" s="250"/>
      <c r="AT149" s="250"/>
      <c r="AU149" s="250"/>
      <c r="AV149" s="250"/>
      <c r="AW149" s="250"/>
      <c r="AX149" s="250"/>
      <c r="AY149" s="250"/>
      <c r="AZ149" s="250"/>
    </row>
    <row r="150" spans="1:52" ht="13.15" x14ac:dyDescent="0.4">
      <c r="A150" s="250"/>
      <c r="B150" s="250"/>
      <c r="C150" s="250"/>
      <c r="D150" s="250"/>
      <c r="E150" s="250"/>
      <c r="F150" s="250"/>
      <c r="G150" s="250"/>
      <c r="H150" s="250"/>
      <c r="I150" s="250"/>
      <c r="J150" s="250"/>
      <c r="K150" s="250"/>
      <c r="L150" s="250"/>
      <c r="M150" s="250"/>
      <c r="N150" s="250"/>
      <c r="O150" s="250"/>
      <c r="P150" s="250"/>
      <c r="Q150" s="250"/>
      <c r="R150" s="250"/>
      <c r="S150" s="250"/>
      <c r="T150" s="250"/>
      <c r="U150" s="250"/>
      <c r="V150" s="250"/>
      <c r="W150" s="250"/>
      <c r="X150" s="250"/>
      <c r="Y150" s="250"/>
      <c r="Z150" s="250"/>
      <c r="AA150" s="250"/>
      <c r="AB150" s="250"/>
      <c r="AC150" s="250"/>
      <c r="AD150" s="250"/>
      <c r="AE150" s="250"/>
      <c r="AF150" s="250"/>
      <c r="AG150" s="250"/>
      <c r="AH150" s="250"/>
      <c r="AI150" s="250"/>
      <c r="AJ150" s="250"/>
      <c r="AK150" s="250"/>
      <c r="AL150" s="250"/>
      <c r="AM150" s="250"/>
      <c r="AN150" s="250"/>
      <c r="AO150" s="250"/>
      <c r="AP150" s="250"/>
      <c r="AQ150" s="250"/>
      <c r="AR150" s="250"/>
      <c r="AS150" s="250"/>
      <c r="AT150" s="250"/>
      <c r="AU150" s="250"/>
      <c r="AV150" s="250"/>
      <c r="AW150" s="250"/>
      <c r="AX150" s="250"/>
      <c r="AY150" s="250"/>
      <c r="AZ150" s="250"/>
    </row>
    <row r="151" spans="1:52" ht="13.15" x14ac:dyDescent="0.4">
      <c r="A151" s="250"/>
      <c r="B151" s="250"/>
      <c r="C151" s="250"/>
      <c r="D151" s="250"/>
      <c r="E151" s="250"/>
      <c r="F151" s="250"/>
      <c r="G151" s="250"/>
      <c r="H151" s="250"/>
      <c r="I151" s="250"/>
      <c r="J151" s="250"/>
      <c r="K151" s="250"/>
      <c r="L151" s="250"/>
      <c r="M151" s="250"/>
      <c r="N151" s="250"/>
      <c r="O151" s="250"/>
      <c r="P151" s="250"/>
      <c r="Q151" s="250"/>
      <c r="R151" s="250"/>
      <c r="S151" s="250"/>
      <c r="T151" s="250"/>
      <c r="U151" s="250"/>
      <c r="V151" s="250"/>
      <c r="W151" s="250"/>
      <c r="X151" s="250"/>
      <c r="Y151" s="250"/>
      <c r="Z151" s="250"/>
      <c r="AA151" s="250"/>
      <c r="AB151" s="250"/>
      <c r="AC151" s="250"/>
      <c r="AD151" s="250"/>
      <c r="AE151" s="250"/>
      <c r="AF151" s="250"/>
      <c r="AG151" s="250"/>
      <c r="AH151" s="250"/>
      <c r="AI151" s="250"/>
      <c r="AJ151" s="250"/>
      <c r="AK151" s="250"/>
      <c r="AL151" s="250"/>
      <c r="AM151" s="250"/>
      <c r="AN151" s="250"/>
      <c r="AO151" s="250"/>
      <c r="AP151" s="250"/>
      <c r="AQ151" s="250"/>
      <c r="AR151" s="250"/>
      <c r="AS151" s="250"/>
      <c r="AT151" s="250"/>
      <c r="AU151" s="250"/>
      <c r="AV151" s="250"/>
      <c r="AW151" s="250"/>
      <c r="AX151" s="250"/>
      <c r="AY151" s="250"/>
      <c r="AZ151" s="250"/>
    </row>
    <row r="152" spans="1:52" ht="13.15" x14ac:dyDescent="0.4">
      <c r="A152" s="250"/>
      <c r="B152" s="250"/>
      <c r="C152" s="250"/>
      <c r="D152" s="250"/>
      <c r="E152" s="250"/>
      <c r="F152" s="250"/>
      <c r="G152" s="250"/>
      <c r="H152" s="250"/>
      <c r="I152" s="250"/>
      <c r="J152" s="250"/>
      <c r="K152" s="250"/>
      <c r="L152" s="250"/>
      <c r="M152" s="250"/>
      <c r="N152" s="250"/>
      <c r="O152" s="250"/>
      <c r="P152" s="250"/>
      <c r="Q152" s="250"/>
      <c r="R152" s="250"/>
      <c r="S152" s="250"/>
      <c r="T152" s="250"/>
      <c r="U152" s="250"/>
      <c r="V152" s="250"/>
      <c r="W152" s="250"/>
      <c r="X152" s="250"/>
      <c r="Y152" s="250"/>
      <c r="Z152" s="250"/>
      <c r="AA152" s="250"/>
      <c r="AB152" s="250"/>
      <c r="AC152" s="250"/>
      <c r="AD152" s="250"/>
      <c r="AE152" s="250"/>
      <c r="AF152" s="250"/>
      <c r="AG152" s="250"/>
      <c r="AH152" s="250"/>
      <c r="AI152" s="250"/>
      <c r="AJ152" s="250"/>
      <c r="AK152" s="250"/>
      <c r="AL152" s="250"/>
      <c r="AM152" s="250"/>
      <c r="AN152" s="250"/>
      <c r="AO152" s="250"/>
      <c r="AP152" s="250"/>
      <c r="AQ152" s="250"/>
      <c r="AR152" s="250"/>
      <c r="AS152" s="250"/>
      <c r="AT152" s="250"/>
      <c r="AU152" s="250"/>
      <c r="AV152" s="250"/>
      <c r="AW152" s="250"/>
      <c r="AX152" s="250"/>
      <c r="AY152" s="250"/>
      <c r="AZ152" s="250"/>
    </row>
    <row r="153" spans="1:52" ht="13.15" x14ac:dyDescent="0.4">
      <c r="A153" s="250"/>
      <c r="B153" s="250"/>
      <c r="C153" s="250"/>
      <c r="D153" s="250"/>
      <c r="E153" s="250"/>
      <c r="F153" s="250"/>
      <c r="G153" s="250"/>
      <c r="H153" s="250"/>
      <c r="I153" s="250"/>
      <c r="J153" s="250"/>
      <c r="K153" s="250"/>
      <c r="L153" s="250"/>
      <c r="M153" s="250"/>
      <c r="N153" s="250"/>
      <c r="O153" s="250"/>
      <c r="P153" s="250"/>
      <c r="Q153" s="250"/>
      <c r="R153" s="250"/>
      <c r="S153" s="250"/>
      <c r="T153" s="250"/>
      <c r="U153" s="250"/>
      <c r="V153" s="250"/>
      <c r="W153" s="250"/>
      <c r="X153" s="250"/>
      <c r="Y153" s="250"/>
      <c r="Z153" s="250"/>
      <c r="AA153" s="250"/>
      <c r="AB153" s="250"/>
      <c r="AC153" s="250"/>
      <c r="AD153" s="250"/>
      <c r="AE153" s="250"/>
      <c r="AF153" s="250"/>
      <c r="AG153" s="250"/>
      <c r="AH153" s="250"/>
      <c r="AI153" s="250"/>
      <c r="AJ153" s="250"/>
      <c r="AK153" s="250"/>
      <c r="AL153" s="250"/>
      <c r="AM153" s="250"/>
      <c r="AN153" s="250"/>
      <c r="AO153" s="250"/>
      <c r="AP153" s="250"/>
      <c r="AQ153" s="250"/>
      <c r="AR153" s="250"/>
      <c r="AS153" s="250"/>
      <c r="AT153" s="250"/>
      <c r="AU153" s="250"/>
      <c r="AV153" s="250"/>
      <c r="AW153" s="250"/>
      <c r="AX153" s="250"/>
      <c r="AY153" s="250"/>
      <c r="AZ153" s="250"/>
    </row>
    <row r="154" spans="1:52" ht="13.15" x14ac:dyDescent="0.4">
      <c r="A154" s="250"/>
      <c r="B154" s="250"/>
      <c r="C154" s="250"/>
      <c r="D154" s="250"/>
      <c r="E154" s="250"/>
      <c r="F154" s="250"/>
      <c r="G154" s="250"/>
      <c r="H154" s="250"/>
      <c r="I154" s="250"/>
      <c r="J154" s="250"/>
      <c r="K154" s="250"/>
      <c r="L154" s="250"/>
      <c r="M154" s="250"/>
      <c r="N154" s="250"/>
      <c r="O154" s="250"/>
      <c r="P154" s="250"/>
      <c r="Q154" s="250"/>
      <c r="R154" s="250"/>
      <c r="S154" s="250"/>
      <c r="T154" s="250"/>
      <c r="U154" s="250"/>
      <c r="V154" s="250"/>
      <c r="W154" s="250"/>
      <c r="X154" s="250"/>
      <c r="Y154" s="250"/>
      <c r="Z154" s="250"/>
      <c r="AA154" s="250"/>
      <c r="AB154" s="250"/>
      <c r="AC154" s="250"/>
      <c r="AD154" s="250"/>
      <c r="AE154" s="250"/>
      <c r="AF154" s="250"/>
      <c r="AG154" s="250"/>
      <c r="AH154" s="250"/>
      <c r="AI154" s="250"/>
      <c r="AJ154" s="250"/>
      <c r="AK154" s="250"/>
      <c r="AL154" s="250"/>
      <c r="AM154" s="250"/>
      <c r="AN154" s="250"/>
      <c r="AO154" s="250"/>
      <c r="AP154" s="250"/>
      <c r="AQ154" s="250"/>
      <c r="AR154" s="250"/>
      <c r="AS154" s="250"/>
      <c r="AT154" s="250"/>
      <c r="AU154" s="250"/>
      <c r="AV154" s="250"/>
      <c r="AW154" s="250"/>
      <c r="AX154" s="250"/>
      <c r="AY154" s="250"/>
      <c r="AZ154" s="250"/>
    </row>
    <row r="155" spans="1:52" ht="13.15" x14ac:dyDescent="0.4">
      <c r="A155" s="250"/>
      <c r="B155" s="250"/>
      <c r="C155" s="250"/>
      <c r="D155" s="250"/>
      <c r="E155" s="250"/>
      <c r="F155" s="250"/>
      <c r="G155" s="250"/>
      <c r="H155" s="250"/>
      <c r="I155" s="250"/>
      <c r="J155" s="250"/>
      <c r="K155" s="250"/>
      <c r="L155" s="250"/>
      <c r="M155" s="250"/>
      <c r="N155" s="250"/>
      <c r="O155" s="250"/>
      <c r="P155" s="250"/>
      <c r="Q155" s="250"/>
      <c r="R155" s="250"/>
      <c r="S155" s="250"/>
      <c r="T155" s="250"/>
      <c r="U155" s="250"/>
      <c r="V155" s="250"/>
      <c r="W155" s="250"/>
      <c r="X155" s="250"/>
      <c r="Y155" s="250"/>
      <c r="Z155" s="250"/>
      <c r="AA155" s="250"/>
      <c r="AB155" s="250"/>
      <c r="AC155" s="250"/>
      <c r="AD155" s="250"/>
      <c r="AE155" s="250"/>
      <c r="AF155" s="250"/>
      <c r="AG155" s="250"/>
      <c r="AH155" s="250"/>
      <c r="AI155" s="250"/>
      <c r="AJ155" s="250"/>
      <c r="AK155" s="250"/>
      <c r="AL155" s="250"/>
      <c r="AM155" s="250"/>
      <c r="AN155" s="250"/>
      <c r="AO155" s="250"/>
      <c r="AP155" s="250"/>
      <c r="AQ155" s="250"/>
      <c r="AR155" s="250"/>
      <c r="AS155" s="250"/>
      <c r="AT155" s="250"/>
      <c r="AU155" s="250"/>
      <c r="AV155" s="250"/>
      <c r="AW155" s="250"/>
      <c r="AX155" s="250"/>
      <c r="AY155" s="250"/>
      <c r="AZ155" s="250"/>
    </row>
    <row r="156" spans="1:52" ht="13.15" x14ac:dyDescent="0.4">
      <c r="A156" s="250"/>
      <c r="B156" s="250"/>
      <c r="C156" s="250"/>
      <c r="D156" s="250"/>
      <c r="E156" s="250"/>
      <c r="F156" s="250"/>
      <c r="G156" s="250"/>
      <c r="H156" s="250"/>
      <c r="I156" s="250"/>
      <c r="J156" s="250"/>
      <c r="K156" s="250"/>
      <c r="L156" s="250"/>
      <c r="M156" s="250"/>
      <c r="N156" s="250"/>
      <c r="O156" s="250"/>
      <c r="P156" s="250"/>
      <c r="Q156" s="250"/>
      <c r="R156" s="250"/>
      <c r="S156" s="250"/>
      <c r="T156" s="250"/>
      <c r="U156" s="250"/>
      <c r="V156" s="250"/>
      <c r="W156" s="250"/>
      <c r="X156" s="250"/>
      <c r="Y156" s="250"/>
      <c r="Z156" s="250"/>
      <c r="AA156" s="250"/>
      <c r="AB156" s="250"/>
      <c r="AC156" s="250"/>
      <c r="AD156" s="250"/>
      <c r="AE156" s="250"/>
      <c r="AF156" s="250"/>
      <c r="AG156" s="250"/>
      <c r="AH156" s="250"/>
      <c r="AI156" s="250"/>
      <c r="AJ156" s="250"/>
      <c r="AK156" s="250"/>
      <c r="AL156" s="250"/>
      <c r="AM156" s="250"/>
      <c r="AN156" s="250"/>
      <c r="AO156" s="250"/>
      <c r="AP156" s="250"/>
      <c r="AQ156" s="250"/>
      <c r="AR156" s="250"/>
      <c r="AS156" s="250"/>
      <c r="AT156" s="250"/>
      <c r="AU156" s="250"/>
      <c r="AV156" s="250"/>
      <c r="AW156" s="250"/>
      <c r="AX156" s="250"/>
      <c r="AY156" s="250"/>
      <c r="AZ156" s="250"/>
    </row>
    <row r="157" spans="1:52" ht="13.15" x14ac:dyDescent="0.4">
      <c r="A157" s="250"/>
      <c r="B157" s="250"/>
      <c r="C157" s="250"/>
      <c r="D157" s="250"/>
      <c r="E157" s="250"/>
      <c r="F157" s="250"/>
      <c r="G157" s="250"/>
      <c r="H157" s="250"/>
      <c r="I157" s="250"/>
      <c r="J157" s="250"/>
      <c r="K157" s="250"/>
      <c r="L157" s="250"/>
      <c r="M157" s="250"/>
      <c r="N157" s="250"/>
      <c r="O157" s="250"/>
      <c r="P157" s="250"/>
      <c r="Q157" s="250"/>
      <c r="R157" s="250"/>
      <c r="S157" s="250"/>
      <c r="T157" s="250"/>
      <c r="U157" s="250"/>
      <c r="V157" s="250"/>
      <c r="W157" s="250"/>
      <c r="X157" s="250"/>
      <c r="Y157" s="250"/>
      <c r="Z157" s="250"/>
      <c r="AA157" s="250"/>
      <c r="AB157" s="250"/>
      <c r="AC157" s="250"/>
      <c r="AD157" s="250"/>
      <c r="AE157" s="250"/>
      <c r="AF157" s="250"/>
      <c r="AG157" s="250"/>
      <c r="AH157" s="250"/>
      <c r="AI157" s="250"/>
      <c r="AJ157" s="250"/>
      <c r="AK157" s="250"/>
      <c r="AL157" s="250"/>
      <c r="AM157" s="250"/>
      <c r="AN157" s="250"/>
      <c r="AO157" s="250"/>
      <c r="AP157" s="250"/>
      <c r="AQ157" s="250"/>
      <c r="AR157" s="250"/>
      <c r="AS157" s="250"/>
      <c r="AT157" s="250"/>
      <c r="AU157" s="250"/>
      <c r="AV157" s="250"/>
      <c r="AW157" s="250"/>
      <c r="AX157" s="250"/>
      <c r="AY157" s="250"/>
      <c r="AZ157" s="250"/>
    </row>
    <row r="158" spans="1:52" ht="13.15" x14ac:dyDescent="0.4">
      <c r="A158" s="250"/>
      <c r="B158" s="250"/>
      <c r="C158" s="250"/>
      <c r="D158" s="250"/>
      <c r="E158" s="250"/>
      <c r="F158" s="250"/>
      <c r="G158" s="250"/>
      <c r="H158" s="250"/>
      <c r="I158" s="250"/>
      <c r="J158" s="250"/>
      <c r="K158" s="250"/>
      <c r="L158" s="250"/>
      <c r="M158" s="250"/>
      <c r="N158" s="250"/>
      <c r="O158" s="250"/>
      <c r="P158" s="250"/>
      <c r="Q158" s="250"/>
      <c r="R158" s="250"/>
      <c r="S158" s="250"/>
      <c r="T158" s="250"/>
      <c r="U158" s="250"/>
      <c r="V158" s="250"/>
      <c r="W158" s="250"/>
      <c r="X158" s="250"/>
      <c r="Y158" s="250"/>
      <c r="Z158" s="250"/>
      <c r="AA158" s="250"/>
      <c r="AB158" s="250"/>
      <c r="AC158" s="250"/>
      <c r="AD158" s="250"/>
      <c r="AE158" s="250"/>
      <c r="AF158" s="250"/>
      <c r="AG158" s="250"/>
      <c r="AH158" s="250"/>
      <c r="AI158" s="250"/>
      <c r="AJ158" s="250"/>
      <c r="AK158" s="250"/>
      <c r="AL158" s="250"/>
      <c r="AM158" s="250"/>
      <c r="AN158" s="250"/>
      <c r="AO158" s="250"/>
      <c r="AP158" s="250"/>
      <c r="AQ158" s="250"/>
      <c r="AR158" s="250"/>
      <c r="AS158" s="250"/>
      <c r="AT158" s="250"/>
      <c r="AU158" s="250"/>
      <c r="AV158" s="250"/>
      <c r="AW158" s="250"/>
      <c r="AX158" s="250"/>
      <c r="AY158" s="250"/>
      <c r="AZ158" s="250"/>
    </row>
    <row r="159" spans="1:52" ht="13.15" x14ac:dyDescent="0.4">
      <c r="A159" s="250"/>
      <c r="B159" s="250"/>
      <c r="C159" s="250"/>
      <c r="D159" s="250"/>
      <c r="E159" s="250"/>
      <c r="F159" s="250"/>
      <c r="G159" s="250"/>
      <c r="H159" s="250"/>
      <c r="I159" s="250"/>
      <c r="J159" s="250"/>
      <c r="K159" s="250"/>
      <c r="L159" s="250"/>
      <c r="M159" s="250"/>
      <c r="N159" s="250"/>
      <c r="O159" s="250"/>
      <c r="P159" s="250"/>
      <c r="Q159" s="250"/>
      <c r="R159" s="250"/>
      <c r="S159" s="250"/>
      <c r="T159" s="250"/>
      <c r="U159" s="250"/>
      <c r="V159" s="250"/>
      <c r="W159" s="250"/>
      <c r="X159" s="250"/>
      <c r="Y159" s="250"/>
      <c r="Z159" s="250"/>
      <c r="AA159" s="250"/>
      <c r="AB159" s="250"/>
      <c r="AC159" s="250"/>
      <c r="AD159" s="250"/>
      <c r="AE159" s="250"/>
      <c r="AF159" s="250"/>
      <c r="AG159" s="250"/>
      <c r="AH159" s="250"/>
      <c r="AI159" s="250"/>
      <c r="AJ159" s="250"/>
      <c r="AK159" s="250"/>
      <c r="AL159" s="250"/>
      <c r="AM159" s="250"/>
      <c r="AN159" s="250"/>
      <c r="AO159" s="250"/>
      <c r="AP159" s="250"/>
      <c r="AQ159" s="250"/>
      <c r="AR159" s="250"/>
      <c r="AS159" s="250"/>
      <c r="AT159" s="250"/>
      <c r="AU159" s="250"/>
      <c r="AV159" s="250"/>
      <c r="AW159" s="250"/>
      <c r="AX159" s="250"/>
      <c r="AY159" s="250"/>
      <c r="AZ159" s="250"/>
    </row>
    <row r="160" spans="1:52" ht="13.15" x14ac:dyDescent="0.4">
      <c r="A160" s="250"/>
      <c r="B160" s="250"/>
      <c r="C160" s="250"/>
      <c r="D160" s="250"/>
      <c r="E160" s="250"/>
      <c r="F160" s="250"/>
      <c r="G160" s="250"/>
      <c r="H160" s="250"/>
      <c r="I160" s="250"/>
      <c r="J160" s="250"/>
      <c r="K160" s="250"/>
      <c r="L160" s="250"/>
      <c r="M160" s="250"/>
      <c r="N160" s="250"/>
      <c r="O160" s="250"/>
      <c r="P160" s="250"/>
      <c r="Q160" s="250"/>
      <c r="R160" s="250"/>
      <c r="S160" s="250"/>
      <c r="T160" s="250"/>
      <c r="U160" s="250"/>
      <c r="V160" s="250"/>
      <c r="W160" s="250"/>
      <c r="X160" s="250"/>
      <c r="Y160" s="250"/>
      <c r="Z160" s="250"/>
      <c r="AA160" s="250"/>
      <c r="AB160" s="250"/>
      <c r="AC160" s="250"/>
      <c r="AD160" s="250"/>
      <c r="AE160" s="250"/>
      <c r="AF160" s="250"/>
      <c r="AG160" s="250"/>
      <c r="AH160" s="250"/>
      <c r="AI160" s="250"/>
      <c r="AJ160" s="250"/>
      <c r="AK160" s="250"/>
      <c r="AL160" s="250"/>
      <c r="AM160" s="250"/>
      <c r="AN160" s="250"/>
      <c r="AO160" s="250"/>
      <c r="AP160" s="250"/>
      <c r="AQ160" s="250"/>
      <c r="AR160" s="250"/>
      <c r="AS160" s="250"/>
      <c r="AT160" s="250"/>
      <c r="AU160" s="250"/>
      <c r="AV160" s="250"/>
      <c r="AW160" s="250"/>
      <c r="AX160" s="250"/>
      <c r="AY160" s="250"/>
      <c r="AZ160" s="250"/>
    </row>
    <row r="161" spans="1:52" ht="13.15" x14ac:dyDescent="0.4">
      <c r="A161" s="250"/>
      <c r="B161" s="250"/>
      <c r="C161" s="250"/>
      <c r="D161" s="250"/>
      <c r="E161" s="250"/>
      <c r="F161" s="250"/>
      <c r="G161" s="250"/>
      <c r="H161" s="250"/>
      <c r="I161" s="250"/>
      <c r="J161" s="250"/>
      <c r="K161" s="250"/>
      <c r="L161" s="250"/>
      <c r="M161" s="250"/>
      <c r="N161" s="250"/>
      <c r="O161" s="250"/>
      <c r="P161" s="250"/>
      <c r="Q161" s="250"/>
      <c r="R161" s="250"/>
      <c r="S161" s="250"/>
      <c r="T161" s="250"/>
      <c r="U161" s="250"/>
      <c r="V161" s="250"/>
      <c r="W161" s="250"/>
      <c r="X161" s="250"/>
      <c r="Y161" s="250"/>
      <c r="Z161" s="250"/>
      <c r="AA161" s="250"/>
      <c r="AB161" s="250"/>
      <c r="AC161" s="250"/>
      <c r="AD161" s="250"/>
      <c r="AE161" s="250"/>
      <c r="AF161" s="250"/>
      <c r="AG161" s="250"/>
      <c r="AH161" s="250"/>
      <c r="AI161" s="250"/>
      <c r="AJ161" s="250"/>
      <c r="AK161" s="250"/>
      <c r="AL161" s="250"/>
      <c r="AM161" s="250"/>
      <c r="AN161" s="250"/>
      <c r="AO161" s="250"/>
      <c r="AP161" s="250"/>
      <c r="AQ161" s="250"/>
      <c r="AR161" s="250"/>
      <c r="AS161" s="250"/>
      <c r="AT161" s="250"/>
      <c r="AU161" s="250"/>
      <c r="AV161" s="250"/>
      <c r="AW161" s="250"/>
      <c r="AX161" s="250"/>
      <c r="AY161" s="250"/>
      <c r="AZ161" s="250"/>
    </row>
    <row r="162" spans="1:52" ht="13.15" x14ac:dyDescent="0.4">
      <c r="A162" s="250"/>
      <c r="B162" s="250"/>
      <c r="C162" s="250"/>
      <c r="D162" s="250"/>
      <c r="E162" s="250"/>
      <c r="F162" s="250"/>
      <c r="G162" s="250"/>
      <c r="H162" s="250"/>
      <c r="I162" s="250"/>
      <c r="J162" s="250"/>
      <c r="K162" s="250"/>
      <c r="L162" s="250"/>
      <c r="M162" s="250"/>
      <c r="N162" s="250"/>
      <c r="O162" s="250"/>
      <c r="P162" s="250"/>
      <c r="Q162" s="250"/>
      <c r="R162" s="250"/>
      <c r="S162" s="250"/>
      <c r="T162" s="250"/>
      <c r="U162" s="250"/>
      <c r="V162" s="250"/>
      <c r="W162" s="250"/>
      <c r="X162" s="250"/>
      <c r="Y162" s="250"/>
      <c r="Z162" s="250"/>
      <c r="AA162" s="250"/>
      <c r="AB162" s="250"/>
      <c r="AC162" s="250"/>
      <c r="AD162" s="250"/>
      <c r="AE162" s="250"/>
      <c r="AF162" s="250"/>
      <c r="AG162" s="250"/>
      <c r="AH162" s="250"/>
      <c r="AI162" s="250"/>
      <c r="AJ162" s="250"/>
      <c r="AK162" s="250"/>
      <c r="AL162" s="250"/>
      <c r="AM162" s="250"/>
      <c r="AN162" s="250"/>
      <c r="AO162" s="250"/>
      <c r="AP162" s="250"/>
      <c r="AQ162" s="250"/>
      <c r="AR162" s="250"/>
      <c r="AS162" s="250"/>
      <c r="AT162" s="250"/>
      <c r="AU162" s="250"/>
      <c r="AV162" s="250"/>
      <c r="AW162" s="250"/>
      <c r="AX162" s="250"/>
      <c r="AY162" s="250"/>
      <c r="AZ162" s="250"/>
    </row>
    <row r="163" spans="1:52" ht="13.15" x14ac:dyDescent="0.4">
      <c r="A163" s="250"/>
      <c r="B163" s="250"/>
      <c r="C163" s="250"/>
      <c r="D163" s="250"/>
      <c r="E163" s="250"/>
      <c r="F163" s="250"/>
      <c r="G163" s="250"/>
      <c r="H163" s="250"/>
      <c r="I163" s="250"/>
      <c r="J163" s="250"/>
      <c r="K163" s="250"/>
      <c r="L163" s="250"/>
      <c r="M163" s="250"/>
      <c r="N163" s="250"/>
      <c r="O163" s="250"/>
      <c r="P163" s="250"/>
      <c r="Q163" s="250"/>
      <c r="R163" s="250"/>
      <c r="S163" s="250"/>
      <c r="T163" s="250"/>
      <c r="U163" s="250"/>
      <c r="V163" s="250"/>
      <c r="W163" s="250"/>
      <c r="X163" s="250"/>
      <c r="Y163" s="250"/>
      <c r="Z163" s="250"/>
      <c r="AA163" s="250"/>
      <c r="AB163" s="250"/>
      <c r="AC163" s="250"/>
      <c r="AD163" s="250"/>
      <c r="AE163" s="250"/>
      <c r="AF163" s="250"/>
      <c r="AG163" s="250"/>
      <c r="AH163" s="250"/>
      <c r="AI163" s="250"/>
      <c r="AJ163" s="250"/>
      <c r="AK163" s="250"/>
      <c r="AL163" s="250"/>
      <c r="AM163" s="250"/>
      <c r="AN163" s="250"/>
      <c r="AO163" s="250"/>
      <c r="AP163" s="250"/>
      <c r="AQ163" s="250"/>
      <c r="AR163" s="250"/>
      <c r="AS163" s="250"/>
      <c r="AT163" s="250"/>
      <c r="AU163" s="250"/>
      <c r="AV163" s="250"/>
      <c r="AW163" s="250"/>
      <c r="AX163" s="250"/>
      <c r="AY163" s="250"/>
      <c r="AZ163" s="250"/>
    </row>
    <row r="164" spans="1:52" ht="13.15" x14ac:dyDescent="0.4">
      <c r="A164" s="250"/>
      <c r="B164" s="250"/>
      <c r="C164" s="250"/>
      <c r="D164" s="250"/>
      <c r="E164" s="250"/>
      <c r="F164" s="250"/>
      <c r="G164" s="250"/>
      <c r="H164" s="250"/>
      <c r="I164" s="250"/>
      <c r="J164" s="250"/>
      <c r="K164" s="250"/>
      <c r="L164" s="250"/>
      <c r="M164" s="250"/>
      <c r="N164" s="250"/>
      <c r="O164" s="250"/>
      <c r="P164" s="250"/>
      <c r="Q164" s="250"/>
      <c r="R164" s="250"/>
      <c r="S164" s="250"/>
      <c r="T164" s="250"/>
      <c r="U164" s="250"/>
      <c r="V164" s="250"/>
      <c r="W164" s="250"/>
      <c r="X164" s="250"/>
      <c r="Y164" s="250"/>
      <c r="Z164" s="250"/>
      <c r="AA164" s="250"/>
      <c r="AB164" s="250"/>
      <c r="AC164" s="250"/>
      <c r="AD164" s="250"/>
      <c r="AE164" s="250"/>
      <c r="AF164" s="250"/>
      <c r="AG164" s="250"/>
      <c r="AH164" s="250"/>
      <c r="AI164" s="250"/>
      <c r="AJ164" s="250"/>
      <c r="AK164" s="250"/>
      <c r="AL164" s="250"/>
      <c r="AM164" s="250"/>
      <c r="AN164" s="250"/>
      <c r="AO164" s="250"/>
      <c r="AP164" s="250"/>
      <c r="AQ164" s="250"/>
      <c r="AR164" s="250"/>
      <c r="AS164" s="250"/>
      <c r="AT164" s="250"/>
      <c r="AU164" s="250"/>
      <c r="AV164" s="250"/>
      <c r="AW164" s="250"/>
      <c r="AX164" s="250"/>
      <c r="AY164" s="250"/>
      <c r="AZ164" s="250"/>
    </row>
    <row r="165" spans="1:52" ht="13.15" x14ac:dyDescent="0.4">
      <c r="A165" s="250"/>
      <c r="B165" s="250"/>
      <c r="C165" s="250"/>
      <c r="D165" s="250"/>
      <c r="E165" s="250"/>
      <c r="F165" s="250"/>
      <c r="G165" s="250"/>
      <c r="H165" s="250"/>
      <c r="I165" s="250"/>
      <c r="J165" s="250"/>
      <c r="K165" s="250"/>
      <c r="L165" s="250"/>
      <c r="M165" s="250"/>
      <c r="N165" s="250"/>
      <c r="O165" s="250"/>
      <c r="P165" s="250"/>
      <c r="Q165" s="250"/>
      <c r="R165" s="250"/>
      <c r="S165" s="250"/>
      <c r="T165" s="250"/>
      <c r="U165" s="250"/>
      <c r="V165" s="250"/>
      <c r="W165" s="250"/>
      <c r="X165" s="250"/>
      <c r="Y165" s="250"/>
      <c r="Z165" s="250"/>
      <c r="AA165" s="250"/>
      <c r="AB165" s="250"/>
      <c r="AC165" s="250"/>
      <c r="AD165" s="250"/>
      <c r="AE165" s="250"/>
      <c r="AF165" s="250"/>
      <c r="AG165" s="250"/>
      <c r="AH165" s="250"/>
      <c r="AI165" s="250"/>
      <c r="AJ165" s="250"/>
      <c r="AK165" s="250"/>
      <c r="AL165" s="250"/>
      <c r="AM165" s="250"/>
      <c r="AN165" s="250"/>
      <c r="AO165" s="250"/>
      <c r="AP165" s="250"/>
      <c r="AQ165" s="250"/>
      <c r="AR165" s="250"/>
      <c r="AS165" s="250"/>
      <c r="AT165" s="250"/>
      <c r="AU165" s="250"/>
      <c r="AV165" s="250"/>
      <c r="AW165" s="250"/>
      <c r="AX165" s="250"/>
      <c r="AY165" s="250"/>
      <c r="AZ165" s="250"/>
    </row>
    <row r="166" spans="1:52" ht="13.15" x14ac:dyDescent="0.4">
      <c r="A166" s="250"/>
      <c r="B166" s="250"/>
      <c r="C166" s="250"/>
      <c r="D166" s="250"/>
      <c r="E166" s="250"/>
      <c r="F166" s="250"/>
      <c r="G166" s="250"/>
      <c r="H166" s="250"/>
      <c r="I166" s="250"/>
      <c r="J166" s="250"/>
      <c r="K166" s="250"/>
      <c r="L166" s="250"/>
      <c r="M166" s="250"/>
      <c r="N166" s="250"/>
      <c r="O166" s="250"/>
      <c r="P166" s="250"/>
      <c r="Q166" s="250"/>
      <c r="R166" s="250"/>
      <c r="S166" s="250"/>
      <c r="T166" s="250"/>
      <c r="U166" s="250"/>
      <c r="V166" s="250"/>
      <c r="W166" s="250"/>
      <c r="X166" s="250"/>
      <c r="Y166" s="250"/>
      <c r="Z166" s="250"/>
      <c r="AA166" s="250"/>
      <c r="AB166" s="250"/>
      <c r="AC166" s="250"/>
      <c r="AD166" s="250"/>
      <c r="AE166" s="250"/>
      <c r="AF166" s="250"/>
      <c r="AG166" s="250"/>
      <c r="AH166" s="250"/>
      <c r="AI166" s="250"/>
      <c r="AJ166" s="250"/>
      <c r="AK166" s="250"/>
      <c r="AL166" s="250"/>
      <c r="AM166" s="250"/>
      <c r="AN166" s="250"/>
      <c r="AO166" s="250"/>
      <c r="AP166" s="250"/>
      <c r="AQ166" s="250"/>
      <c r="AR166" s="250"/>
      <c r="AS166" s="250"/>
      <c r="AT166" s="250"/>
      <c r="AU166" s="250"/>
      <c r="AV166" s="250"/>
      <c r="AW166" s="250"/>
      <c r="AX166" s="250"/>
      <c r="AY166" s="250"/>
      <c r="AZ166" s="250"/>
    </row>
    <row r="167" spans="1:52" ht="13.15" x14ac:dyDescent="0.4">
      <c r="A167" s="250"/>
      <c r="B167" s="250"/>
      <c r="C167" s="250"/>
      <c r="D167" s="250"/>
      <c r="E167" s="250"/>
      <c r="F167" s="250"/>
      <c r="G167" s="250"/>
      <c r="H167" s="250"/>
      <c r="I167" s="250"/>
      <c r="J167" s="250"/>
      <c r="K167" s="250"/>
      <c r="L167" s="250"/>
      <c r="M167" s="250"/>
      <c r="N167" s="250"/>
      <c r="O167" s="250"/>
      <c r="P167" s="250"/>
      <c r="Q167" s="250"/>
      <c r="R167" s="250"/>
      <c r="S167" s="250"/>
      <c r="T167" s="250"/>
      <c r="U167" s="250"/>
      <c r="V167" s="250"/>
      <c r="W167" s="250"/>
      <c r="X167" s="250"/>
      <c r="Y167" s="250"/>
      <c r="Z167" s="250"/>
      <c r="AA167" s="250"/>
      <c r="AB167" s="250"/>
      <c r="AC167" s="250"/>
      <c r="AD167" s="250"/>
      <c r="AE167" s="250"/>
      <c r="AF167" s="250"/>
      <c r="AG167" s="250"/>
      <c r="AH167" s="250"/>
      <c r="AI167" s="250"/>
      <c r="AJ167" s="250"/>
      <c r="AK167" s="250"/>
      <c r="AL167" s="250"/>
      <c r="AM167" s="250"/>
      <c r="AN167" s="250"/>
      <c r="AO167" s="250"/>
      <c r="AP167" s="250"/>
      <c r="AQ167" s="250"/>
      <c r="AR167" s="250"/>
      <c r="AS167" s="250"/>
      <c r="AT167" s="250"/>
      <c r="AU167" s="250"/>
      <c r="AV167" s="250"/>
      <c r="AW167" s="250"/>
      <c r="AX167" s="250"/>
      <c r="AY167" s="250"/>
      <c r="AZ167" s="250"/>
    </row>
    <row r="168" spans="1:52" ht="13.15" x14ac:dyDescent="0.4">
      <c r="A168" s="250"/>
      <c r="B168" s="250"/>
      <c r="C168" s="250"/>
      <c r="D168" s="250"/>
      <c r="E168" s="250"/>
      <c r="F168" s="250"/>
      <c r="G168" s="250"/>
      <c r="H168" s="250"/>
      <c r="I168" s="250"/>
      <c r="J168" s="250"/>
      <c r="K168" s="250"/>
      <c r="L168" s="250"/>
      <c r="M168" s="250"/>
      <c r="N168" s="250"/>
      <c r="O168" s="250"/>
      <c r="P168" s="250"/>
      <c r="Q168" s="250"/>
      <c r="R168" s="250"/>
      <c r="S168" s="250"/>
      <c r="T168" s="250"/>
      <c r="U168" s="250"/>
      <c r="V168" s="250"/>
      <c r="W168" s="250"/>
      <c r="X168" s="250"/>
      <c r="Y168" s="250"/>
      <c r="Z168" s="250"/>
      <c r="AA168" s="250"/>
      <c r="AB168" s="250"/>
      <c r="AC168" s="250"/>
      <c r="AD168" s="250"/>
      <c r="AE168" s="250"/>
      <c r="AF168" s="250"/>
      <c r="AG168" s="250"/>
      <c r="AH168" s="250"/>
      <c r="AI168" s="250"/>
      <c r="AJ168" s="250"/>
      <c r="AK168" s="250"/>
      <c r="AL168" s="250"/>
      <c r="AM168" s="250"/>
      <c r="AN168" s="250"/>
      <c r="AO168" s="250"/>
      <c r="AP168" s="250"/>
      <c r="AQ168" s="250"/>
      <c r="AR168" s="250"/>
      <c r="AS168" s="250"/>
      <c r="AT168" s="250"/>
      <c r="AU168" s="250"/>
      <c r="AV168" s="250"/>
      <c r="AW168" s="250"/>
      <c r="AX168" s="250"/>
      <c r="AY168" s="250"/>
      <c r="AZ168" s="250"/>
    </row>
    <row r="169" spans="1:52" ht="13.15" x14ac:dyDescent="0.4">
      <c r="A169" s="250"/>
      <c r="B169" s="250"/>
      <c r="C169" s="250"/>
      <c r="D169" s="250"/>
      <c r="E169" s="250"/>
      <c r="F169" s="250"/>
      <c r="G169" s="250"/>
      <c r="H169" s="250"/>
      <c r="I169" s="250"/>
      <c r="J169" s="250"/>
      <c r="K169" s="250"/>
      <c r="L169" s="250"/>
      <c r="M169" s="250"/>
      <c r="N169" s="250"/>
      <c r="O169" s="250"/>
      <c r="P169" s="250"/>
      <c r="Q169" s="250"/>
      <c r="R169" s="250"/>
      <c r="S169" s="250"/>
      <c r="T169" s="250"/>
      <c r="U169" s="250"/>
      <c r="V169" s="250"/>
      <c r="W169" s="250"/>
      <c r="X169" s="250"/>
      <c r="Y169" s="250"/>
      <c r="Z169" s="250"/>
      <c r="AA169" s="250"/>
      <c r="AB169" s="250"/>
      <c r="AC169" s="250"/>
      <c r="AD169" s="250"/>
      <c r="AE169" s="250"/>
      <c r="AF169" s="250"/>
      <c r="AG169" s="250"/>
      <c r="AH169" s="250"/>
      <c r="AI169" s="250"/>
      <c r="AJ169" s="250"/>
      <c r="AK169" s="250"/>
      <c r="AL169" s="250"/>
      <c r="AM169" s="250"/>
      <c r="AN169" s="250"/>
      <c r="AO169" s="250"/>
      <c r="AP169" s="250"/>
      <c r="AQ169" s="250"/>
      <c r="AR169" s="250"/>
      <c r="AS169" s="250"/>
      <c r="AT169" s="250"/>
      <c r="AU169" s="250"/>
      <c r="AV169" s="250"/>
      <c r="AW169" s="250"/>
      <c r="AX169" s="250"/>
      <c r="AY169" s="250"/>
      <c r="AZ169" s="250"/>
    </row>
    <row r="170" spans="1:52" ht="13.15" x14ac:dyDescent="0.4">
      <c r="A170" s="250"/>
      <c r="B170" s="250"/>
      <c r="C170" s="250"/>
      <c r="D170" s="250"/>
      <c r="E170" s="250"/>
      <c r="F170" s="250"/>
      <c r="G170" s="250"/>
      <c r="H170" s="250"/>
      <c r="I170" s="250"/>
      <c r="J170" s="250"/>
      <c r="K170" s="250"/>
      <c r="L170" s="250"/>
      <c r="M170" s="250"/>
      <c r="N170" s="250"/>
      <c r="O170" s="250"/>
      <c r="P170" s="250"/>
      <c r="Q170" s="250"/>
      <c r="R170" s="250"/>
      <c r="S170" s="250"/>
      <c r="T170" s="250"/>
      <c r="U170" s="250"/>
      <c r="V170" s="250"/>
      <c r="W170" s="250"/>
      <c r="X170" s="250"/>
      <c r="Y170" s="250"/>
      <c r="Z170" s="250"/>
      <c r="AA170" s="250"/>
      <c r="AB170" s="250"/>
      <c r="AC170" s="250"/>
      <c r="AD170" s="250"/>
      <c r="AE170" s="250"/>
      <c r="AF170" s="250"/>
      <c r="AG170" s="250"/>
      <c r="AH170" s="250"/>
      <c r="AI170" s="250"/>
      <c r="AJ170" s="250"/>
      <c r="AK170" s="250"/>
      <c r="AL170" s="250"/>
      <c r="AM170" s="250"/>
      <c r="AN170" s="250"/>
      <c r="AO170" s="250"/>
      <c r="AP170" s="250"/>
      <c r="AQ170" s="250"/>
      <c r="AR170" s="250"/>
      <c r="AS170" s="250"/>
      <c r="AT170" s="250"/>
      <c r="AU170" s="250"/>
      <c r="AV170" s="250"/>
      <c r="AW170" s="250"/>
      <c r="AX170" s="250"/>
      <c r="AY170" s="250"/>
      <c r="AZ170" s="250"/>
    </row>
    <row r="171" spans="1:52" ht="13.15" x14ac:dyDescent="0.4">
      <c r="A171" s="250"/>
      <c r="B171" s="250"/>
      <c r="C171" s="250"/>
      <c r="D171" s="250"/>
      <c r="E171" s="250"/>
      <c r="F171" s="250"/>
      <c r="G171" s="250"/>
      <c r="H171" s="250"/>
      <c r="I171" s="250"/>
      <c r="J171" s="250"/>
      <c r="K171" s="250"/>
      <c r="L171" s="250"/>
      <c r="M171" s="250"/>
      <c r="N171" s="250"/>
      <c r="O171" s="250"/>
      <c r="P171" s="250"/>
      <c r="Q171" s="250"/>
      <c r="R171" s="250"/>
      <c r="S171" s="250"/>
      <c r="T171" s="250"/>
      <c r="U171" s="250"/>
      <c r="V171" s="250"/>
      <c r="W171" s="250"/>
      <c r="X171" s="250"/>
      <c r="Y171" s="250"/>
      <c r="Z171" s="250"/>
      <c r="AA171" s="250"/>
      <c r="AB171" s="250"/>
      <c r="AC171" s="250"/>
      <c r="AD171" s="250"/>
      <c r="AE171" s="250"/>
      <c r="AF171" s="250"/>
      <c r="AG171" s="250"/>
      <c r="AH171" s="250"/>
      <c r="AI171" s="250"/>
      <c r="AJ171" s="250"/>
      <c r="AK171" s="250"/>
      <c r="AL171" s="250"/>
      <c r="AM171" s="250"/>
      <c r="AN171" s="250"/>
      <c r="AO171" s="250"/>
      <c r="AP171" s="250"/>
      <c r="AQ171" s="250"/>
      <c r="AR171" s="250"/>
      <c r="AS171" s="250"/>
      <c r="AT171" s="250"/>
      <c r="AU171" s="250"/>
      <c r="AV171" s="250"/>
      <c r="AW171" s="250"/>
      <c r="AX171" s="250"/>
      <c r="AY171" s="250"/>
      <c r="AZ171" s="250"/>
    </row>
    <row r="172" spans="1:52" ht="13.15" x14ac:dyDescent="0.4">
      <c r="A172" s="250"/>
      <c r="B172" s="250"/>
      <c r="C172" s="250"/>
      <c r="D172" s="250"/>
      <c r="E172" s="250"/>
      <c r="F172" s="250"/>
      <c r="G172" s="250"/>
      <c r="H172" s="250"/>
      <c r="I172" s="250"/>
      <c r="J172" s="250"/>
      <c r="K172" s="250"/>
      <c r="L172" s="250"/>
      <c r="M172" s="250"/>
      <c r="N172" s="250"/>
      <c r="O172" s="250"/>
      <c r="P172" s="250"/>
      <c r="Q172" s="250"/>
      <c r="R172" s="250"/>
      <c r="S172" s="250"/>
      <c r="T172" s="250"/>
      <c r="U172" s="250"/>
      <c r="V172" s="250"/>
      <c r="W172" s="250"/>
      <c r="X172" s="250"/>
      <c r="Y172" s="250"/>
      <c r="Z172" s="250"/>
      <c r="AA172" s="250"/>
      <c r="AB172" s="250"/>
      <c r="AC172" s="250"/>
      <c r="AD172" s="250"/>
      <c r="AE172" s="250"/>
      <c r="AF172" s="250"/>
      <c r="AG172" s="250"/>
      <c r="AH172" s="250"/>
      <c r="AI172" s="250"/>
      <c r="AJ172" s="250"/>
      <c r="AK172" s="250"/>
      <c r="AL172" s="250"/>
      <c r="AM172" s="250"/>
      <c r="AN172" s="250"/>
      <c r="AO172" s="250"/>
      <c r="AP172" s="250"/>
      <c r="AQ172" s="250"/>
      <c r="AR172" s="250"/>
      <c r="AS172" s="250"/>
      <c r="AT172" s="250"/>
      <c r="AU172" s="250"/>
      <c r="AV172" s="250"/>
      <c r="AW172" s="250"/>
      <c r="AX172" s="250"/>
      <c r="AY172" s="250"/>
      <c r="AZ172" s="250"/>
    </row>
    <row r="173" spans="1:52" ht="13.15" x14ac:dyDescent="0.4">
      <c r="A173" s="250"/>
      <c r="B173" s="250"/>
      <c r="C173" s="250"/>
      <c r="D173" s="250"/>
      <c r="E173" s="250"/>
      <c r="F173" s="250"/>
      <c r="G173" s="250"/>
      <c r="H173" s="250"/>
      <c r="I173" s="250"/>
      <c r="J173" s="250"/>
      <c r="K173" s="250"/>
      <c r="L173" s="250"/>
      <c r="M173" s="250"/>
      <c r="N173" s="250"/>
      <c r="O173" s="250"/>
      <c r="P173" s="250"/>
      <c r="Q173" s="250"/>
      <c r="R173" s="250"/>
      <c r="S173" s="250"/>
      <c r="T173" s="250"/>
      <c r="U173" s="250"/>
      <c r="V173" s="250"/>
      <c r="W173" s="250"/>
      <c r="X173" s="250"/>
      <c r="Y173" s="250"/>
      <c r="Z173" s="250"/>
      <c r="AA173" s="250"/>
      <c r="AB173" s="250"/>
      <c r="AC173" s="250"/>
      <c r="AD173" s="250"/>
      <c r="AE173" s="250"/>
      <c r="AF173" s="250"/>
      <c r="AG173" s="250"/>
      <c r="AH173" s="250"/>
      <c r="AI173" s="250"/>
      <c r="AJ173" s="250"/>
      <c r="AK173" s="250"/>
      <c r="AL173" s="250"/>
      <c r="AM173" s="250"/>
      <c r="AN173" s="250"/>
      <c r="AO173" s="250"/>
      <c r="AP173" s="250"/>
      <c r="AQ173" s="250"/>
      <c r="AR173" s="250"/>
      <c r="AS173" s="250"/>
      <c r="AT173" s="250"/>
      <c r="AU173" s="250"/>
      <c r="AV173" s="250"/>
      <c r="AW173" s="250"/>
      <c r="AX173" s="250"/>
      <c r="AY173" s="250"/>
      <c r="AZ173" s="250"/>
    </row>
    <row r="174" spans="1:52" ht="13.15" x14ac:dyDescent="0.4">
      <c r="A174" s="250"/>
      <c r="B174" s="250"/>
      <c r="C174" s="250"/>
      <c r="D174" s="250"/>
      <c r="E174" s="250"/>
      <c r="F174" s="250"/>
      <c r="G174" s="250"/>
      <c r="H174" s="250"/>
      <c r="I174" s="250"/>
      <c r="J174" s="250"/>
      <c r="K174" s="250"/>
      <c r="L174" s="250"/>
      <c r="M174" s="250"/>
      <c r="N174" s="250"/>
      <c r="O174" s="250"/>
      <c r="P174" s="250"/>
      <c r="Q174" s="250"/>
      <c r="R174" s="250"/>
      <c r="S174" s="250"/>
      <c r="T174" s="250"/>
      <c r="U174" s="250"/>
      <c r="V174" s="250"/>
      <c r="W174" s="250"/>
      <c r="X174" s="250"/>
      <c r="Y174" s="250"/>
      <c r="Z174" s="250"/>
      <c r="AA174" s="250"/>
      <c r="AB174" s="250"/>
      <c r="AC174" s="250"/>
      <c r="AD174" s="250"/>
      <c r="AE174" s="250"/>
      <c r="AF174" s="250"/>
      <c r="AG174" s="250"/>
      <c r="AH174" s="250"/>
      <c r="AI174" s="250"/>
      <c r="AJ174" s="250"/>
      <c r="AK174" s="250"/>
      <c r="AL174" s="250"/>
      <c r="AM174" s="250"/>
      <c r="AN174" s="250"/>
      <c r="AO174" s="250"/>
      <c r="AP174" s="250"/>
      <c r="AQ174" s="250"/>
      <c r="AR174" s="250"/>
      <c r="AS174" s="250"/>
      <c r="AT174" s="250"/>
      <c r="AU174" s="250"/>
      <c r="AV174" s="250"/>
      <c r="AW174" s="250"/>
      <c r="AX174" s="250"/>
      <c r="AY174" s="250"/>
      <c r="AZ174" s="250"/>
    </row>
    <row r="175" spans="1:52" ht="13.15" x14ac:dyDescent="0.4">
      <c r="A175" s="250"/>
      <c r="B175" s="250"/>
      <c r="C175" s="250"/>
      <c r="D175" s="250"/>
      <c r="E175" s="250"/>
      <c r="F175" s="250"/>
      <c r="G175" s="250"/>
      <c r="H175" s="250"/>
      <c r="I175" s="250"/>
      <c r="J175" s="250"/>
      <c r="K175" s="250"/>
      <c r="L175" s="250"/>
      <c r="M175" s="250"/>
      <c r="N175" s="250"/>
      <c r="O175" s="250"/>
      <c r="P175" s="250"/>
      <c r="Q175" s="250"/>
      <c r="R175" s="250"/>
      <c r="S175" s="250"/>
      <c r="T175" s="250"/>
      <c r="U175" s="250"/>
      <c r="V175" s="250"/>
      <c r="W175" s="250"/>
      <c r="X175" s="250"/>
      <c r="Y175" s="250"/>
      <c r="Z175" s="250"/>
      <c r="AA175" s="250"/>
      <c r="AB175" s="250"/>
      <c r="AC175" s="250"/>
      <c r="AD175" s="250"/>
      <c r="AE175" s="250"/>
      <c r="AF175" s="250"/>
      <c r="AG175" s="250"/>
      <c r="AH175" s="250"/>
      <c r="AI175" s="250"/>
      <c r="AJ175" s="250"/>
      <c r="AK175" s="250"/>
      <c r="AL175" s="250"/>
      <c r="AM175" s="250"/>
      <c r="AN175" s="250"/>
      <c r="AO175" s="250"/>
      <c r="AP175" s="250"/>
      <c r="AQ175" s="250"/>
      <c r="AR175" s="250"/>
      <c r="AS175" s="250"/>
      <c r="AT175" s="250"/>
      <c r="AU175" s="250"/>
      <c r="AV175" s="250"/>
      <c r="AW175" s="250"/>
      <c r="AX175" s="250"/>
      <c r="AY175" s="250"/>
      <c r="AZ175" s="250"/>
    </row>
    <row r="176" spans="1:52" ht="13.15" x14ac:dyDescent="0.4">
      <c r="A176" s="250"/>
      <c r="B176" s="250"/>
      <c r="C176" s="250"/>
      <c r="D176" s="250"/>
      <c r="E176" s="250"/>
      <c r="F176" s="250"/>
      <c r="G176" s="250"/>
      <c r="H176" s="250"/>
      <c r="I176" s="250"/>
      <c r="J176" s="250"/>
      <c r="K176" s="250"/>
      <c r="L176" s="250"/>
      <c r="M176" s="250"/>
      <c r="N176" s="250"/>
      <c r="O176" s="250"/>
      <c r="P176" s="250"/>
      <c r="Q176" s="250"/>
      <c r="R176" s="250"/>
      <c r="S176" s="250"/>
      <c r="T176" s="250"/>
      <c r="U176" s="250"/>
      <c r="V176" s="250"/>
      <c r="W176" s="250"/>
      <c r="X176" s="250"/>
      <c r="Y176" s="250"/>
      <c r="Z176" s="250"/>
      <c r="AA176" s="250"/>
      <c r="AB176" s="250"/>
      <c r="AC176" s="250"/>
      <c r="AD176" s="250"/>
      <c r="AE176" s="250"/>
      <c r="AF176" s="250"/>
      <c r="AG176" s="250"/>
      <c r="AH176" s="250"/>
      <c r="AI176" s="250"/>
      <c r="AJ176" s="250"/>
      <c r="AK176" s="250"/>
      <c r="AL176" s="250"/>
      <c r="AM176" s="250"/>
      <c r="AN176" s="250"/>
      <c r="AO176" s="250"/>
      <c r="AP176" s="250"/>
      <c r="AQ176" s="250"/>
      <c r="AR176" s="250"/>
      <c r="AS176" s="250"/>
      <c r="AT176" s="250"/>
      <c r="AU176" s="250"/>
      <c r="AV176" s="250"/>
      <c r="AW176" s="250"/>
      <c r="AX176" s="250"/>
      <c r="AY176" s="250"/>
      <c r="AZ176" s="250"/>
    </row>
    <row r="177" spans="1:52" ht="13.15" x14ac:dyDescent="0.4">
      <c r="A177" s="250"/>
      <c r="B177" s="250"/>
      <c r="C177" s="250"/>
      <c r="D177" s="250"/>
      <c r="E177" s="250"/>
      <c r="F177" s="250"/>
      <c r="G177" s="250"/>
      <c r="H177" s="250"/>
      <c r="I177" s="250"/>
      <c r="J177" s="250"/>
      <c r="K177" s="250"/>
      <c r="L177" s="250"/>
      <c r="M177" s="250"/>
      <c r="N177" s="250"/>
      <c r="O177" s="250"/>
      <c r="P177" s="250"/>
      <c r="Q177" s="250"/>
      <c r="R177" s="250"/>
      <c r="S177" s="250"/>
      <c r="T177" s="250"/>
      <c r="U177" s="250"/>
      <c r="V177" s="250"/>
      <c r="W177" s="250"/>
      <c r="X177" s="250"/>
      <c r="Y177" s="250"/>
      <c r="Z177" s="250"/>
      <c r="AA177" s="250"/>
      <c r="AB177" s="250"/>
      <c r="AC177" s="250"/>
      <c r="AD177" s="250"/>
      <c r="AE177" s="250"/>
      <c r="AF177" s="250"/>
      <c r="AG177" s="250"/>
      <c r="AH177" s="250"/>
      <c r="AI177" s="250"/>
      <c r="AJ177" s="250"/>
      <c r="AK177" s="250"/>
      <c r="AL177" s="250"/>
      <c r="AM177" s="250"/>
      <c r="AN177" s="250"/>
      <c r="AO177" s="250"/>
      <c r="AP177" s="250"/>
      <c r="AQ177" s="250"/>
      <c r="AR177" s="250"/>
      <c r="AS177" s="250"/>
      <c r="AT177" s="250"/>
      <c r="AU177" s="250"/>
      <c r="AV177" s="250"/>
      <c r="AW177" s="250"/>
      <c r="AX177" s="250"/>
      <c r="AY177" s="250"/>
      <c r="AZ177" s="250"/>
    </row>
    <row r="178" spans="1:52" ht="13.15" x14ac:dyDescent="0.4">
      <c r="A178" s="250"/>
      <c r="B178" s="250"/>
      <c r="C178" s="250"/>
      <c r="D178" s="250"/>
      <c r="E178" s="250"/>
      <c r="F178" s="250"/>
      <c r="G178" s="250"/>
      <c r="H178" s="250"/>
      <c r="I178" s="250"/>
      <c r="J178" s="250"/>
      <c r="K178" s="250"/>
      <c r="L178" s="250"/>
      <c r="M178" s="250"/>
      <c r="N178" s="250"/>
      <c r="O178" s="250"/>
      <c r="P178" s="250"/>
      <c r="Q178" s="250"/>
      <c r="R178" s="250"/>
      <c r="S178" s="250"/>
      <c r="T178" s="250"/>
      <c r="U178" s="250"/>
      <c r="V178" s="250"/>
      <c r="W178" s="250"/>
      <c r="X178" s="250"/>
      <c r="Y178" s="250"/>
      <c r="Z178" s="250"/>
      <c r="AA178" s="250"/>
      <c r="AB178" s="250"/>
      <c r="AC178" s="250"/>
      <c r="AD178" s="250"/>
      <c r="AE178" s="250"/>
      <c r="AF178" s="250"/>
      <c r="AG178" s="250"/>
      <c r="AH178" s="250"/>
      <c r="AI178" s="250"/>
      <c r="AJ178" s="250"/>
      <c r="AK178" s="250"/>
      <c r="AL178" s="250"/>
      <c r="AM178" s="250"/>
      <c r="AN178" s="250"/>
      <c r="AO178" s="250"/>
      <c r="AP178" s="250"/>
      <c r="AQ178" s="250"/>
      <c r="AR178" s="250"/>
      <c r="AS178" s="250"/>
      <c r="AT178" s="250"/>
      <c r="AU178" s="250"/>
      <c r="AV178" s="250"/>
      <c r="AW178" s="250"/>
      <c r="AX178" s="250"/>
      <c r="AY178" s="250"/>
      <c r="AZ178" s="250"/>
    </row>
    <row r="179" spans="1:52" ht="13.15" x14ac:dyDescent="0.4">
      <c r="A179" s="250"/>
      <c r="B179" s="250"/>
      <c r="C179" s="250"/>
      <c r="D179" s="250"/>
      <c r="E179" s="250"/>
      <c r="F179" s="250"/>
      <c r="G179" s="250"/>
      <c r="H179" s="250"/>
      <c r="I179" s="250"/>
      <c r="J179" s="250"/>
      <c r="K179" s="250"/>
      <c r="L179" s="250"/>
      <c r="M179" s="250"/>
      <c r="N179" s="250"/>
      <c r="O179" s="250"/>
      <c r="P179" s="250"/>
      <c r="Q179" s="250"/>
      <c r="R179" s="250"/>
      <c r="S179" s="250"/>
      <c r="T179" s="250"/>
      <c r="U179" s="250"/>
      <c r="V179" s="250"/>
      <c r="W179" s="250"/>
      <c r="X179" s="250"/>
      <c r="Y179" s="250"/>
      <c r="Z179" s="250"/>
      <c r="AA179" s="250"/>
      <c r="AB179" s="250"/>
      <c r="AC179" s="250"/>
      <c r="AD179" s="250"/>
      <c r="AE179" s="250"/>
      <c r="AF179" s="250"/>
      <c r="AG179" s="250"/>
      <c r="AH179" s="250"/>
      <c r="AI179" s="250"/>
      <c r="AJ179" s="250"/>
      <c r="AK179" s="250"/>
      <c r="AL179" s="250"/>
      <c r="AM179" s="250"/>
      <c r="AN179" s="250"/>
      <c r="AO179" s="250"/>
      <c r="AP179" s="250"/>
      <c r="AQ179" s="250"/>
      <c r="AR179" s="250"/>
      <c r="AS179" s="250"/>
      <c r="AT179" s="250"/>
      <c r="AU179" s="250"/>
      <c r="AV179" s="250"/>
      <c r="AW179" s="250"/>
      <c r="AX179" s="250"/>
      <c r="AY179" s="250"/>
      <c r="AZ179" s="250"/>
    </row>
    <row r="180" spans="1:52" ht="13.15" x14ac:dyDescent="0.4">
      <c r="A180" s="250"/>
      <c r="B180" s="250"/>
      <c r="C180" s="250"/>
      <c r="D180" s="250"/>
      <c r="E180" s="250"/>
      <c r="F180" s="250"/>
      <c r="G180" s="250"/>
      <c r="H180" s="250"/>
      <c r="I180" s="250"/>
      <c r="J180" s="250"/>
      <c r="K180" s="250"/>
      <c r="L180" s="250"/>
      <c r="M180" s="250"/>
      <c r="N180" s="250"/>
      <c r="O180" s="250"/>
      <c r="P180" s="250"/>
      <c r="Q180" s="250"/>
      <c r="R180" s="250"/>
      <c r="S180" s="250"/>
      <c r="T180" s="250"/>
      <c r="U180" s="250"/>
      <c r="V180" s="250"/>
      <c r="W180" s="250"/>
      <c r="X180" s="250"/>
      <c r="Y180" s="250"/>
      <c r="Z180" s="250"/>
      <c r="AA180" s="250"/>
      <c r="AB180" s="250"/>
      <c r="AC180" s="250"/>
      <c r="AD180" s="250"/>
      <c r="AE180" s="250"/>
      <c r="AF180" s="250"/>
      <c r="AG180" s="250"/>
      <c r="AH180" s="250"/>
      <c r="AI180" s="250"/>
      <c r="AJ180" s="250"/>
      <c r="AK180" s="250"/>
      <c r="AL180" s="250"/>
      <c r="AM180" s="250"/>
      <c r="AN180" s="250"/>
      <c r="AO180" s="250"/>
      <c r="AP180" s="250"/>
      <c r="AQ180" s="250"/>
      <c r="AR180" s="250"/>
      <c r="AS180" s="250"/>
      <c r="AT180" s="250"/>
      <c r="AU180" s="250"/>
      <c r="AV180" s="250"/>
      <c r="AW180" s="250"/>
      <c r="AX180" s="250"/>
      <c r="AY180" s="250"/>
      <c r="AZ180" s="250"/>
    </row>
    <row r="181" spans="1:52" ht="13.15" x14ac:dyDescent="0.4">
      <c r="A181" s="250"/>
      <c r="B181" s="250"/>
      <c r="C181" s="250"/>
      <c r="D181" s="250"/>
      <c r="E181" s="250"/>
      <c r="F181" s="250"/>
      <c r="G181" s="250"/>
      <c r="H181" s="250"/>
      <c r="I181" s="250"/>
      <c r="J181" s="250"/>
      <c r="K181" s="250"/>
      <c r="L181" s="250"/>
      <c r="M181" s="250"/>
      <c r="N181" s="250"/>
      <c r="O181" s="250"/>
      <c r="P181" s="250"/>
      <c r="Q181" s="250"/>
      <c r="R181" s="250"/>
      <c r="S181" s="250"/>
      <c r="T181" s="250"/>
      <c r="U181" s="250"/>
      <c r="V181" s="250"/>
      <c r="W181" s="250"/>
      <c r="X181" s="250"/>
      <c r="Y181" s="250"/>
      <c r="Z181" s="250"/>
      <c r="AA181" s="250"/>
      <c r="AB181" s="250"/>
      <c r="AC181" s="250"/>
      <c r="AD181" s="250"/>
      <c r="AE181" s="250"/>
      <c r="AF181" s="250"/>
      <c r="AG181" s="250"/>
      <c r="AH181" s="250"/>
      <c r="AI181" s="250"/>
      <c r="AJ181" s="250"/>
      <c r="AK181" s="250"/>
      <c r="AL181" s="250"/>
      <c r="AM181" s="250"/>
      <c r="AN181" s="250"/>
      <c r="AO181" s="250"/>
      <c r="AP181" s="250"/>
      <c r="AQ181" s="250"/>
      <c r="AR181" s="250"/>
      <c r="AS181" s="250"/>
      <c r="AT181" s="250"/>
      <c r="AU181" s="250"/>
      <c r="AV181" s="250"/>
      <c r="AW181" s="250"/>
      <c r="AX181" s="250"/>
      <c r="AY181" s="250"/>
      <c r="AZ181" s="250"/>
    </row>
    <row r="182" spans="1:52" ht="13.15" x14ac:dyDescent="0.4">
      <c r="A182" s="250"/>
      <c r="B182" s="250"/>
      <c r="C182" s="250"/>
      <c r="D182" s="250"/>
      <c r="E182" s="250"/>
      <c r="F182" s="250"/>
      <c r="G182" s="250"/>
      <c r="H182" s="250"/>
      <c r="I182" s="250"/>
      <c r="J182" s="250"/>
      <c r="K182" s="250"/>
      <c r="L182" s="250"/>
      <c r="M182" s="250"/>
      <c r="N182" s="250"/>
      <c r="O182" s="250"/>
      <c r="P182" s="250"/>
      <c r="Q182" s="250"/>
      <c r="R182" s="250"/>
      <c r="S182" s="250"/>
      <c r="T182" s="250"/>
      <c r="U182" s="250"/>
      <c r="V182" s="250"/>
      <c r="W182" s="250"/>
      <c r="X182" s="250"/>
      <c r="Y182" s="250"/>
      <c r="Z182" s="250"/>
      <c r="AA182" s="250"/>
      <c r="AB182" s="250"/>
      <c r="AC182" s="250"/>
      <c r="AD182" s="250"/>
      <c r="AE182" s="250"/>
      <c r="AF182" s="250"/>
      <c r="AG182" s="250"/>
      <c r="AH182" s="250"/>
      <c r="AI182" s="250"/>
      <c r="AJ182" s="250"/>
      <c r="AK182" s="250"/>
      <c r="AL182" s="250"/>
      <c r="AM182" s="250"/>
      <c r="AN182" s="250"/>
      <c r="AO182" s="250"/>
      <c r="AP182" s="250"/>
      <c r="AQ182" s="250"/>
      <c r="AR182" s="250"/>
      <c r="AS182" s="250"/>
      <c r="AT182" s="250"/>
      <c r="AU182" s="250"/>
      <c r="AV182" s="250"/>
      <c r="AW182" s="250"/>
      <c r="AX182" s="250"/>
      <c r="AY182" s="250"/>
      <c r="AZ182" s="250"/>
    </row>
    <row r="183" spans="1:52" ht="13.15" x14ac:dyDescent="0.4">
      <c r="A183" s="250"/>
      <c r="B183" s="250"/>
      <c r="C183" s="250"/>
      <c r="D183" s="250"/>
      <c r="E183" s="250"/>
      <c r="F183" s="250"/>
      <c r="G183" s="250"/>
      <c r="H183" s="250"/>
      <c r="I183" s="250"/>
      <c r="J183" s="250"/>
      <c r="K183" s="250"/>
      <c r="L183" s="250"/>
      <c r="M183" s="250"/>
      <c r="N183" s="250"/>
      <c r="O183" s="250"/>
      <c r="P183" s="250"/>
      <c r="Q183" s="250"/>
      <c r="R183" s="250"/>
      <c r="S183" s="250"/>
      <c r="T183" s="250"/>
      <c r="U183" s="250"/>
      <c r="V183" s="250"/>
      <c r="W183" s="250"/>
      <c r="X183" s="250"/>
      <c r="Y183" s="250"/>
      <c r="Z183" s="250"/>
      <c r="AA183" s="250"/>
      <c r="AB183" s="250"/>
      <c r="AC183" s="250"/>
      <c r="AD183" s="250"/>
      <c r="AE183" s="250"/>
      <c r="AF183" s="250"/>
      <c r="AG183" s="250"/>
      <c r="AH183" s="250"/>
      <c r="AI183" s="250"/>
      <c r="AJ183" s="250"/>
      <c r="AK183" s="250"/>
      <c r="AL183" s="250"/>
      <c r="AM183" s="250"/>
      <c r="AN183" s="250"/>
      <c r="AO183" s="250"/>
      <c r="AP183" s="250"/>
      <c r="AQ183" s="250"/>
      <c r="AR183" s="250"/>
      <c r="AS183" s="250"/>
      <c r="AT183" s="250"/>
      <c r="AU183" s="250"/>
      <c r="AV183" s="250"/>
      <c r="AW183" s="250"/>
      <c r="AX183" s="250"/>
      <c r="AY183" s="250"/>
      <c r="AZ183" s="250"/>
    </row>
    <row r="184" spans="1:52" ht="13.15" x14ac:dyDescent="0.4">
      <c r="A184" s="250"/>
      <c r="B184" s="250"/>
      <c r="C184" s="250"/>
      <c r="D184" s="250"/>
      <c r="E184" s="250"/>
      <c r="F184" s="250"/>
      <c r="G184" s="250"/>
      <c r="H184" s="250"/>
      <c r="I184" s="250"/>
      <c r="J184" s="250"/>
      <c r="K184" s="250"/>
      <c r="L184" s="250"/>
      <c r="M184" s="250"/>
      <c r="N184" s="250"/>
      <c r="O184" s="250"/>
      <c r="P184" s="250"/>
      <c r="Q184" s="250"/>
      <c r="R184" s="250"/>
      <c r="S184" s="250"/>
      <c r="T184" s="250"/>
      <c r="U184" s="250"/>
      <c r="V184" s="250"/>
      <c r="W184" s="250"/>
      <c r="X184" s="250"/>
      <c r="Y184" s="250"/>
      <c r="Z184" s="250"/>
      <c r="AA184" s="250"/>
      <c r="AB184" s="250"/>
      <c r="AC184" s="250"/>
      <c r="AD184" s="250"/>
      <c r="AE184" s="250"/>
      <c r="AF184" s="250"/>
      <c r="AG184" s="250"/>
      <c r="AH184" s="250"/>
      <c r="AI184" s="250"/>
      <c r="AJ184" s="250"/>
      <c r="AK184" s="250"/>
      <c r="AL184" s="250"/>
      <c r="AM184" s="250"/>
      <c r="AN184" s="250"/>
      <c r="AO184" s="250"/>
      <c r="AP184" s="250"/>
      <c r="AQ184" s="250"/>
      <c r="AR184" s="250"/>
      <c r="AS184" s="250"/>
      <c r="AT184" s="250"/>
      <c r="AU184" s="250"/>
      <c r="AV184" s="250"/>
      <c r="AW184" s="250"/>
      <c r="AX184" s="250"/>
      <c r="AY184" s="250"/>
      <c r="AZ184" s="250"/>
    </row>
    <row r="185" spans="1:52" ht="13.15" x14ac:dyDescent="0.4">
      <c r="A185" s="250"/>
      <c r="B185" s="250"/>
      <c r="C185" s="250"/>
      <c r="D185" s="250"/>
      <c r="E185" s="250"/>
      <c r="F185" s="250"/>
      <c r="G185" s="250"/>
      <c r="H185" s="250"/>
      <c r="I185" s="250"/>
      <c r="J185" s="250"/>
      <c r="K185" s="250"/>
      <c r="L185" s="250"/>
      <c r="M185" s="250"/>
      <c r="N185" s="250"/>
      <c r="O185" s="250"/>
      <c r="P185" s="250"/>
      <c r="Q185" s="250"/>
      <c r="R185" s="250"/>
      <c r="S185" s="250"/>
      <c r="T185" s="250"/>
      <c r="U185" s="250"/>
      <c r="V185" s="250"/>
      <c r="W185" s="250"/>
      <c r="X185" s="250"/>
      <c r="Y185" s="250"/>
      <c r="Z185" s="250"/>
      <c r="AA185" s="250"/>
      <c r="AB185" s="250"/>
      <c r="AC185" s="250"/>
      <c r="AD185" s="250"/>
      <c r="AE185" s="250"/>
      <c r="AF185" s="250"/>
      <c r="AG185" s="250"/>
      <c r="AH185" s="250"/>
      <c r="AI185" s="250"/>
      <c r="AJ185" s="250"/>
      <c r="AK185" s="250"/>
      <c r="AL185" s="250"/>
      <c r="AM185" s="250"/>
      <c r="AN185" s="250"/>
      <c r="AO185" s="250"/>
      <c r="AP185" s="250"/>
      <c r="AQ185" s="250"/>
      <c r="AR185" s="250"/>
      <c r="AS185" s="250"/>
      <c r="AT185" s="250"/>
      <c r="AU185" s="250"/>
      <c r="AV185" s="250"/>
      <c r="AW185" s="250"/>
      <c r="AX185" s="250"/>
      <c r="AY185" s="250"/>
      <c r="AZ185" s="250"/>
    </row>
    <row r="186" spans="1:52" ht="13.15" x14ac:dyDescent="0.4">
      <c r="A186" s="250"/>
      <c r="B186" s="250"/>
      <c r="C186" s="250"/>
      <c r="D186" s="250"/>
      <c r="E186" s="250"/>
      <c r="F186" s="250"/>
      <c r="G186" s="250"/>
      <c r="H186" s="250"/>
      <c r="I186" s="250"/>
      <c r="J186" s="250"/>
      <c r="K186" s="250"/>
      <c r="L186" s="250"/>
      <c r="M186" s="250"/>
      <c r="N186" s="250"/>
      <c r="O186" s="250"/>
      <c r="P186" s="250"/>
      <c r="Q186" s="250"/>
      <c r="R186" s="250"/>
      <c r="S186" s="250"/>
      <c r="T186" s="250"/>
      <c r="U186" s="250"/>
      <c r="V186" s="250"/>
      <c r="W186" s="250"/>
      <c r="X186" s="250"/>
      <c r="Y186" s="250"/>
      <c r="Z186" s="250"/>
      <c r="AA186" s="250"/>
      <c r="AB186" s="250"/>
      <c r="AC186" s="250"/>
      <c r="AD186" s="250"/>
      <c r="AE186" s="250"/>
      <c r="AF186" s="250"/>
      <c r="AG186" s="250"/>
      <c r="AH186" s="250"/>
      <c r="AI186" s="250"/>
      <c r="AJ186" s="250"/>
      <c r="AK186" s="250"/>
      <c r="AL186" s="250"/>
      <c r="AM186" s="250"/>
      <c r="AN186" s="250"/>
      <c r="AO186" s="250"/>
      <c r="AP186" s="250"/>
      <c r="AQ186" s="250"/>
      <c r="AR186" s="250"/>
      <c r="AS186" s="250"/>
      <c r="AT186" s="250"/>
      <c r="AU186" s="250"/>
      <c r="AV186" s="250"/>
      <c r="AW186" s="250"/>
      <c r="AX186" s="250"/>
      <c r="AY186" s="250"/>
      <c r="AZ186" s="250"/>
    </row>
    <row r="187" spans="1:52" ht="13.15" x14ac:dyDescent="0.4">
      <c r="A187" s="250"/>
      <c r="B187" s="250"/>
      <c r="C187" s="250"/>
      <c r="D187" s="250"/>
      <c r="E187" s="250"/>
      <c r="F187" s="250"/>
      <c r="G187" s="250"/>
      <c r="H187" s="250"/>
      <c r="I187" s="250"/>
      <c r="J187" s="250"/>
      <c r="K187" s="250"/>
      <c r="L187" s="250"/>
      <c r="M187" s="250"/>
      <c r="N187" s="250"/>
      <c r="O187" s="250"/>
      <c r="P187" s="250"/>
      <c r="Q187" s="250"/>
      <c r="R187" s="250"/>
      <c r="S187" s="250"/>
      <c r="T187" s="250"/>
      <c r="U187" s="250"/>
      <c r="V187" s="250"/>
      <c r="W187" s="250"/>
      <c r="X187" s="250"/>
      <c r="Y187" s="250"/>
      <c r="Z187" s="250"/>
      <c r="AA187" s="250"/>
      <c r="AB187" s="250"/>
      <c r="AC187" s="250"/>
      <c r="AD187" s="250"/>
      <c r="AE187" s="250"/>
      <c r="AF187" s="250"/>
      <c r="AG187" s="250"/>
      <c r="AH187" s="250"/>
      <c r="AI187" s="250"/>
      <c r="AJ187" s="250"/>
      <c r="AK187" s="250"/>
      <c r="AL187" s="250"/>
      <c r="AM187" s="250"/>
      <c r="AN187" s="250"/>
      <c r="AO187" s="250"/>
      <c r="AP187" s="250"/>
      <c r="AQ187" s="250"/>
      <c r="AR187" s="250"/>
      <c r="AS187" s="250"/>
      <c r="AT187" s="250"/>
      <c r="AU187" s="250"/>
      <c r="AV187" s="250"/>
      <c r="AW187" s="250"/>
      <c r="AX187" s="250"/>
      <c r="AY187" s="250"/>
      <c r="AZ187" s="250"/>
    </row>
    <row r="188" spans="1:52" ht="13.15" x14ac:dyDescent="0.4">
      <c r="A188" s="250"/>
      <c r="B188" s="250"/>
      <c r="C188" s="250"/>
      <c r="D188" s="250"/>
      <c r="E188" s="250"/>
      <c r="F188" s="250"/>
      <c r="G188" s="250"/>
      <c r="H188" s="250"/>
      <c r="I188" s="250"/>
      <c r="J188" s="250"/>
      <c r="K188" s="250"/>
      <c r="L188" s="250"/>
      <c r="M188" s="250"/>
      <c r="N188" s="250"/>
      <c r="O188" s="250"/>
      <c r="P188" s="250"/>
      <c r="Q188" s="250"/>
      <c r="R188" s="250"/>
      <c r="S188" s="250"/>
      <c r="T188" s="250"/>
      <c r="U188" s="250"/>
      <c r="V188" s="250"/>
      <c r="W188" s="250"/>
      <c r="X188" s="250"/>
      <c r="Y188" s="250"/>
      <c r="Z188" s="250"/>
      <c r="AA188" s="250"/>
      <c r="AB188" s="250"/>
      <c r="AC188" s="250"/>
      <c r="AD188" s="250"/>
      <c r="AE188" s="250"/>
      <c r="AF188" s="250"/>
      <c r="AG188" s="250"/>
      <c r="AH188" s="250"/>
      <c r="AI188" s="250"/>
      <c r="AJ188" s="250"/>
      <c r="AK188" s="250"/>
      <c r="AL188" s="250"/>
      <c r="AM188" s="250"/>
      <c r="AN188" s="250"/>
      <c r="AO188" s="250"/>
      <c r="AP188" s="250"/>
      <c r="AQ188" s="250"/>
      <c r="AR188" s="250"/>
      <c r="AS188" s="250"/>
      <c r="AT188" s="250"/>
      <c r="AU188" s="250"/>
      <c r="AV188" s="250"/>
      <c r="AW188" s="250"/>
      <c r="AX188" s="250"/>
      <c r="AY188" s="250"/>
      <c r="AZ188" s="250"/>
    </row>
    <row r="189" spans="1:52" ht="13.15" x14ac:dyDescent="0.4">
      <c r="A189" s="250"/>
      <c r="B189" s="250"/>
      <c r="C189" s="250"/>
      <c r="D189" s="250"/>
      <c r="E189" s="250"/>
      <c r="F189" s="250"/>
      <c r="G189" s="250"/>
      <c r="H189" s="250"/>
      <c r="I189" s="250"/>
      <c r="J189" s="250"/>
      <c r="K189" s="250"/>
      <c r="L189" s="250"/>
      <c r="M189" s="250"/>
      <c r="N189" s="250"/>
      <c r="O189" s="250"/>
      <c r="P189" s="250"/>
      <c r="Q189" s="250"/>
      <c r="R189" s="250"/>
      <c r="S189" s="250"/>
      <c r="T189" s="250"/>
      <c r="U189" s="250"/>
      <c r="V189" s="250"/>
      <c r="W189" s="250"/>
      <c r="X189" s="250"/>
      <c r="Y189" s="250"/>
      <c r="Z189" s="250"/>
      <c r="AA189" s="250"/>
      <c r="AB189" s="250"/>
      <c r="AC189" s="250"/>
      <c r="AD189" s="250"/>
      <c r="AE189" s="250"/>
      <c r="AF189" s="250"/>
      <c r="AG189" s="250"/>
      <c r="AH189" s="250"/>
      <c r="AI189" s="250"/>
      <c r="AJ189" s="250"/>
      <c r="AK189" s="250"/>
      <c r="AL189" s="250"/>
      <c r="AM189" s="250"/>
      <c r="AN189" s="250"/>
      <c r="AO189" s="250"/>
      <c r="AP189" s="250"/>
      <c r="AQ189" s="250"/>
      <c r="AR189" s="250"/>
      <c r="AS189" s="250"/>
      <c r="AT189" s="250"/>
      <c r="AU189" s="250"/>
      <c r="AV189" s="250"/>
      <c r="AW189" s="250"/>
      <c r="AX189" s="250"/>
      <c r="AY189" s="250"/>
      <c r="AZ189" s="250"/>
    </row>
    <row r="190" spans="1:52" ht="13.15" x14ac:dyDescent="0.4">
      <c r="A190" s="250"/>
      <c r="B190" s="250"/>
      <c r="C190" s="250"/>
      <c r="D190" s="250"/>
      <c r="E190" s="250"/>
      <c r="F190" s="250"/>
      <c r="G190" s="250"/>
      <c r="H190" s="250"/>
      <c r="I190" s="250"/>
      <c r="J190" s="250"/>
      <c r="K190" s="250"/>
      <c r="L190" s="250"/>
      <c r="M190" s="250"/>
      <c r="N190" s="250"/>
      <c r="O190" s="250"/>
      <c r="P190" s="250"/>
      <c r="Q190" s="250"/>
      <c r="R190" s="250"/>
      <c r="S190" s="250"/>
      <c r="T190" s="250"/>
      <c r="U190" s="250"/>
      <c r="V190" s="250"/>
      <c r="W190" s="250"/>
      <c r="X190" s="250"/>
      <c r="Y190" s="250"/>
      <c r="Z190" s="250"/>
      <c r="AA190" s="250"/>
      <c r="AB190" s="250"/>
      <c r="AC190" s="250"/>
      <c r="AD190" s="250"/>
      <c r="AE190" s="250"/>
      <c r="AF190" s="250"/>
      <c r="AG190" s="250"/>
      <c r="AH190" s="250"/>
      <c r="AI190" s="250"/>
      <c r="AJ190" s="250"/>
      <c r="AK190" s="250"/>
      <c r="AL190" s="250"/>
      <c r="AM190" s="250"/>
      <c r="AN190" s="250"/>
      <c r="AO190" s="250"/>
      <c r="AP190" s="250"/>
      <c r="AQ190" s="250"/>
      <c r="AR190" s="250"/>
      <c r="AS190" s="250"/>
      <c r="AT190" s="250"/>
      <c r="AU190" s="250"/>
      <c r="AV190" s="250"/>
      <c r="AW190" s="250"/>
      <c r="AX190" s="250"/>
      <c r="AY190" s="250"/>
      <c r="AZ190" s="250"/>
    </row>
    <row r="191" spans="1:52" ht="13.15" x14ac:dyDescent="0.4">
      <c r="A191" s="250"/>
      <c r="B191" s="250"/>
      <c r="C191" s="250"/>
      <c r="D191" s="250"/>
      <c r="E191" s="250"/>
      <c r="F191" s="250"/>
      <c r="G191" s="250"/>
      <c r="H191" s="250"/>
      <c r="I191" s="250"/>
      <c r="J191" s="250"/>
      <c r="K191" s="250"/>
      <c r="L191" s="250"/>
      <c r="M191" s="250"/>
      <c r="N191" s="250"/>
      <c r="O191" s="250"/>
      <c r="P191" s="250"/>
      <c r="Q191" s="250"/>
      <c r="R191" s="250"/>
      <c r="S191" s="250"/>
      <c r="T191" s="250"/>
      <c r="U191" s="250"/>
      <c r="V191" s="250"/>
      <c r="W191" s="250"/>
      <c r="X191" s="250"/>
      <c r="Y191" s="250"/>
      <c r="Z191" s="250"/>
      <c r="AA191" s="250"/>
      <c r="AB191" s="250"/>
      <c r="AC191" s="250"/>
      <c r="AD191" s="250"/>
      <c r="AE191" s="250"/>
      <c r="AF191" s="250"/>
      <c r="AG191" s="250"/>
      <c r="AH191" s="250"/>
      <c r="AI191" s="250"/>
      <c r="AJ191" s="250"/>
      <c r="AK191" s="250"/>
      <c r="AL191" s="250"/>
      <c r="AM191" s="250"/>
      <c r="AN191" s="250"/>
      <c r="AO191" s="250"/>
      <c r="AP191" s="250"/>
      <c r="AQ191" s="250"/>
      <c r="AR191" s="250"/>
      <c r="AS191" s="250"/>
      <c r="AT191" s="250"/>
      <c r="AU191" s="250"/>
      <c r="AV191" s="250"/>
      <c r="AW191" s="250"/>
      <c r="AX191" s="250"/>
      <c r="AY191" s="250"/>
      <c r="AZ191" s="250"/>
    </row>
    <row r="192" spans="1:52" ht="13.15" x14ac:dyDescent="0.4">
      <c r="A192" s="250"/>
      <c r="B192" s="250"/>
      <c r="C192" s="250"/>
      <c r="D192" s="250"/>
      <c r="E192" s="250"/>
      <c r="F192" s="250"/>
      <c r="G192" s="250"/>
      <c r="H192" s="250"/>
      <c r="I192" s="250"/>
      <c r="J192" s="250"/>
      <c r="K192" s="250"/>
      <c r="L192" s="250"/>
      <c r="M192" s="250"/>
      <c r="N192" s="250"/>
      <c r="O192" s="250"/>
      <c r="P192" s="250"/>
      <c r="Q192" s="250"/>
      <c r="R192" s="250"/>
      <c r="S192" s="250"/>
      <c r="T192" s="250"/>
      <c r="U192" s="250"/>
      <c r="V192" s="250"/>
      <c r="W192" s="250"/>
      <c r="X192" s="250"/>
      <c r="Y192" s="250"/>
      <c r="Z192" s="250"/>
      <c r="AA192" s="250"/>
      <c r="AB192" s="250"/>
      <c r="AC192" s="250"/>
      <c r="AD192" s="250"/>
      <c r="AE192" s="250"/>
      <c r="AF192" s="250"/>
      <c r="AG192" s="250"/>
      <c r="AH192" s="250"/>
      <c r="AI192" s="250"/>
      <c r="AJ192" s="250"/>
      <c r="AK192" s="250"/>
      <c r="AL192" s="250"/>
      <c r="AM192" s="250"/>
      <c r="AN192" s="250"/>
      <c r="AO192" s="250"/>
      <c r="AP192" s="250"/>
      <c r="AQ192" s="250"/>
      <c r="AR192" s="250"/>
      <c r="AS192" s="250"/>
      <c r="AT192" s="250"/>
      <c r="AU192" s="250"/>
      <c r="AV192" s="250"/>
      <c r="AW192" s="250"/>
      <c r="AX192" s="250"/>
      <c r="AY192" s="250"/>
      <c r="AZ192" s="250"/>
    </row>
    <row r="193" spans="1:52" ht="13.15" x14ac:dyDescent="0.4">
      <c r="A193" s="250"/>
      <c r="B193" s="250"/>
      <c r="C193" s="250"/>
      <c r="D193" s="250"/>
      <c r="E193" s="250"/>
      <c r="F193" s="250"/>
      <c r="G193" s="250"/>
      <c r="H193" s="250"/>
      <c r="I193" s="250"/>
      <c r="J193" s="250"/>
      <c r="K193" s="250"/>
      <c r="L193" s="250"/>
      <c r="M193" s="250"/>
      <c r="N193" s="250"/>
      <c r="O193" s="250"/>
      <c r="P193" s="250"/>
      <c r="Q193" s="250"/>
      <c r="R193" s="250"/>
      <c r="S193" s="250"/>
      <c r="T193" s="250"/>
      <c r="U193" s="250"/>
      <c r="V193" s="250"/>
      <c r="W193" s="250"/>
      <c r="X193" s="250"/>
      <c r="Y193" s="250"/>
      <c r="Z193" s="250"/>
      <c r="AA193" s="250"/>
      <c r="AB193" s="250"/>
      <c r="AC193" s="250"/>
      <c r="AD193" s="250"/>
      <c r="AE193" s="250"/>
      <c r="AF193" s="250"/>
      <c r="AG193" s="250"/>
      <c r="AH193" s="250"/>
      <c r="AI193" s="250"/>
      <c r="AJ193" s="250"/>
      <c r="AK193" s="250"/>
      <c r="AL193" s="250"/>
      <c r="AM193" s="250"/>
      <c r="AN193" s="250"/>
      <c r="AO193" s="250"/>
      <c r="AP193" s="250"/>
      <c r="AQ193" s="250"/>
      <c r="AR193" s="250"/>
      <c r="AS193" s="250"/>
      <c r="AT193" s="250"/>
      <c r="AU193" s="250"/>
      <c r="AV193" s="250"/>
      <c r="AW193" s="250"/>
      <c r="AX193" s="250"/>
      <c r="AY193" s="250"/>
      <c r="AZ193" s="250"/>
    </row>
    <row r="194" spans="1:52" ht="13.15" x14ac:dyDescent="0.4">
      <c r="A194" s="250"/>
      <c r="B194" s="250"/>
      <c r="C194" s="250"/>
      <c r="D194" s="250"/>
      <c r="E194" s="250"/>
      <c r="F194" s="250"/>
      <c r="G194" s="250"/>
      <c r="H194" s="250"/>
      <c r="I194" s="250"/>
      <c r="J194" s="250"/>
      <c r="K194" s="250"/>
      <c r="L194" s="250"/>
      <c r="M194" s="250"/>
      <c r="N194" s="250"/>
      <c r="O194" s="250"/>
      <c r="P194" s="250"/>
      <c r="Q194" s="250"/>
      <c r="R194" s="250"/>
      <c r="S194" s="250"/>
      <c r="T194" s="250"/>
      <c r="U194" s="250"/>
      <c r="V194" s="250"/>
      <c r="W194" s="250"/>
      <c r="X194" s="250"/>
      <c r="Y194" s="250"/>
      <c r="Z194" s="250"/>
      <c r="AA194" s="250"/>
      <c r="AB194" s="250"/>
      <c r="AC194" s="250"/>
      <c r="AD194" s="250"/>
      <c r="AE194" s="250"/>
      <c r="AF194" s="250"/>
      <c r="AG194" s="250"/>
      <c r="AH194" s="250"/>
      <c r="AI194" s="250"/>
      <c r="AJ194" s="250"/>
      <c r="AK194" s="250"/>
      <c r="AL194" s="250"/>
      <c r="AM194" s="250"/>
      <c r="AN194" s="250"/>
      <c r="AO194" s="250"/>
      <c r="AP194" s="250"/>
      <c r="AQ194" s="250"/>
      <c r="AR194" s="250"/>
      <c r="AS194" s="250"/>
      <c r="AT194" s="250"/>
      <c r="AU194" s="250"/>
      <c r="AV194" s="250"/>
      <c r="AW194" s="250"/>
      <c r="AX194" s="250"/>
      <c r="AY194" s="250"/>
      <c r="AZ194" s="250"/>
    </row>
    <row r="195" spans="1:52" ht="13.15" x14ac:dyDescent="0.4">
      <c r="A195" s="250"/>
      <c r="B195" s="250"/>
      <c r="C195" s="250"/>
      <c r="D195" s="250"/>
      <c r="E195" s="250"/>
      <c r="F195" s="250"/>
      <c r="G195" s="250"/>
      <c r="H195" s="250"/>
      <c r="I195" s="250"/>
      <c r="J195" s="250"/>
      <c r="K195" s="250"/>
      <c r="L195" s="250"/>
      <c r="M195" s="250"/>
      <c r="N195" s="250"/>
      <c r="O195" s="250"/>
      <c r="P195" s="250"/>
      <c r="Q195" s="250"/>
      <c r="R195" s="250"/>
      <c r="S195" s="250"/>
      <c r="T195" s="250"/>
      <c r="U195" s="250"/>
      <c r="V195" s="250"/>
      <c r="W195" s="250"/>
      <c r="X195" s="250"/>
      <c r="Y195" s="250"/>
      <c r="Z195" s="250"/>
      <c r="AA195" s="250"/>
      <c r="AB195" s="250"/>
      <c r="AC195" s="250"/>
      <c r="AD195" s="250"/>
      <c r="AE195" s="250"/>
      <c r="AF195" s="250"/>
      <c r="AG195" s="250"/>
      <c r="AH195" s="250"/>
      <c r="AI195" s="250"/>
      <c r="AJ195" s="250"/>
      <c r="AK195" s="250"/>
      <c r="AL195" s="250"/>
      <c r="AM195" s="250"/>
      <c r="AN195" s="250"/>
      <c r="AO195" s="250"/>
      <c r="AP195" s="250"/>
      <c r="AQ195" s="250"/>
      <c r="AR195" s="250"/>
      <c r="AS195" s="250"/>
      <c r="AT195" s="250"/>
      <c r="AU195" s="250"/>
      <c r="AV195" s="250"/>
      <c r="AW195" s="250"/>
      <c r="AX195" s="250"/>
      <c r="AY195" s="250"/>
      <c r="AZ195" s="250"/>
    </row>
    <row r="196" spans="1:52" ht="13.15" x14ac:dyDescent="0.4">
      <c r="A196" s="250"/>
      <c r="B196" s="250"/>
      <c r="C196" s="250"/>
      <c r="D196" s="250"/>
      <c r="E196" s="250"/>
      <c r="F196" s="250"/>
      <c r="G196" s="250"/>
      <c r="H196" s="250"/>
      <c r="I196" s="250"/>
      <c r="J196" s="250"/>
      <c r="K196" s="250"/>
      <c r="L196" s="250"/>
      <c r="M196" s="250"/>
      <c r="N196" s="250"/>
      <c r="O196" s="250"/>
      <c r="P196" s="250"/>
      <c r="Q196" s="250"/>
      <c r="R196" s="250"/>
      <c r="S196" s="250"/>
      <c r="T196" s="250"/>
      <c r="U196" s="250"/>
      <c r="V196" s="250"/>
      <c r="W196" s="250"/>
      <c r="X196" s="250"/>
      <c r="Y196" s="250"/>
      <c r="Z196" s="250"/>
      <c r="AA196" s="250"/>
      <c r="AB196" s="250"/>
      <c r="AC196" s="250"/>
      <c r="AD196" s="250"/>
      <c r="AE196" s="250"/>
      <c r="AF196" s="250"/>
      <c r="AG196" s="250"/>
      <c r="AH196" s="250"/>
      <c r="AI196" s="250"/>
      <c r="AJ196" s="250"/>
      <c r="AK196" s="250"/>
      <c r="AL196" s="250"/>
      <c r="AM196" s="250"/>
      <c r="AN196" s="250"/>
      <c r="AO196" s="250"/>
      <c r="AP196" s="250"/>
      <c r="AQ196" s="250"/>
      <c r="AR196" s="250"/>
      <c r="AS196" s="250"/>
      <c r="AT196" s="250"/>
      <c r="AU196" s="250"/>
      <c r="AV196" s="250"/>
      <c r="AW196" s="250"/>
      <c r="AX196" s="250"/>
      <c r="AY196" s="250"/>
      <c r="AZ196" s="250"/>
    </row>
    <row r="197" spans="1:52" ht="13.15" x14ac:dyDescent="0.4">
      <c r="A197" s="250"/>
      <c r="B197" s="250"/>
      <c r="C197" s="250"/>
      <c r="D197" s="250"/>
      <c r="E197" s="250"/>
      <c r="F197" s="250"/>
      <c r="G197" s="250"/>
      <c r="H197" s="250"/>
      <c r="I197" s="250"/>
      <c r="J197" s="250"/>
      <c r="K197" s="250"/>
      <c r="L197" s="250"/>
      <c r="M197" s="250"/>
      <c r="N197" s="250"/>
      <c r="O197" s="250"/>
      <c r="P197" s="250"/>
      <c r="Q197" s="250"/>
      <c r="R197" s="250"/>
      <c r="S197" s="250"/>
      <c r="T197" s="250"/>
      <c r="U197" s="250"/>
      <c r="V197" s="250"/>
      <c r="W197" s="250"/>
      <c r="X197" s="250"/>
      <c r="Y197" s="250"/>
      <c r="Z197" s="250"/>
      <c r="AA197" s="250"/>
      <c r="AB197" s="250"/>
      <c r="AC197" s="250"/>
      <c r="AD197" s="250"/>
      <c r="AE197" s="250"/>
      <c r="AF197" s="250"/>
      <c r="AG197" s="250"/>
      <c r="AH197" s="250"/>
      <c r="AI197" s="250"/>
      <c r="AJ197" s="250"/>
      <c r="AK197" s="250"/>
      <c r="AL197" s="250"/>
      <c r="AM197" s="250"/>
      <c r="AN197" s="250"/>
      <c r="AO197" s="250"/>
      <c r="AP197" s="250"/>
      <c r="AQ197" s="250"/>
      <c r="AR197" s="250"/>
      <c r="AS197" s="250"/>
      <c r="AT197" s="250"/>
      <c r="AU197" s="250"/>
      <c r="AV197" s="250"/>
      <c r="AW197" s="250"/>
      <c r="AX197" s="250"/>
      <c r="AY197" s="250"/>
      <c r="AZ197" s="250"/>
    </row>
    <row r="198" spans="1:52" ht="13.15" x14ac:dyDescent="0.4">
      <c r="A198" s="250"/>
      <c r="B198" s="250"/>
      <c r="C198" s="250"/>
      <c r="D198" s="250"/>
      <c r="E198" s="250"/>
      <c r="F198" s="250"/>
      <c r="G198" s="250"/>
      <c r="H198" s="250"/>
      <c r="I198" s="250"/>
      <c r="J198" s="250"/>
      <c r="K198" s="250"/>
      <c r="L198" s="250"/>
      <c r="M198" s="250"/>
      <c r="N198" s="250"/>
      <c r="O198" s="250"/>
      <c r="P198" s="250"/>
      <c r="Q198" s="250"/>
      <c r="R198" s="250"/>
      <c r="S198" s="250"/>
      <c r="T198" s="250"/>
      <c r="U198" s="250"/>
      <c r="V198" s="250"/>
      <c r="W198" s="250"/>
      <c r="X198" s="250"/>
      <c r="Y198" s="250"/>
      <c r="Z198" s="250"/>
      <c r="AA198" s="250"/>
      <c r="AB198" s="250"/>
      <c r="AC198" s="250"/>
      <c r="AD198" s="250"/>
      <c r="AE198" s="250"/>
      <c r="AF198" s="250"/>
      <c r="AG198" s="250"/>
      <c r="AH198" s="250"/>
      <c r="AI198" s="250"/>
      <c r="AJ198" s="250"/>
      <c r="AK198" s="250"/>
      <c r="AL198" s="250"/>
      <c r="AM198" s="250"/>
      <c r="AN198" s="250"/>
      <c r="AO198" s="250"/>
      <c r="AP198" s="250"/>
      <c r="AQ198" s="250"/>
      <c r="AR198" s="250"/>
      <c r="AS198" s="250"/>
      <c r="AT198" s="250"/>
      <c r="AU198" s="250"/>
      <c r="AV198" s="250"/>
      <c r="AW198" s="250"/>
      <c r="AX198" s="250"/>
      <c r="AY198" s="250"/>
      <c r="AZ198" s="250"/>
    </row>
    <row r="199" spans="1:52" ht="13.15" x14ac:dyDescent="0.4">
      <c r="A199" s="250"/>
      <c r="B199" s="250"/>
      <c r="C199" s="250"/>
      <c r="D199" s="250"/>
      <c r="E199" s="250"/>
      <c r="F199" s="250"/>
      <c r="G199" s="250"/>
      <c r="H199" s="250"/>
      <c r="I199" s="250"/>
      <c r="J199" s="250"/>
      <c r="K199" s="250"/>
      <c r="L199" s="250"/>
      <c r="M199" s="250"/>
      <c r="N199" s="250"/>
      <c r="O199" s="250"/>
      <c r="P199" s="250"/>
      <c r="Q199" s="250"/>
      <c r="R199" s="250"/>
      <c r="S199" s="250"/>
      <c r="T199" s="250"/>
      <c r="U199" s="250"/>
      <c r="V199" s="250"/>
      <c r="W199" s="250"/>
      <c r="X199" s="250"/>
      <c r="Y199" s="250"/>
      <c r="Z199" s="250"/>
      <c r="AA199" s="250"/>
      <c r="AB199" s="250"/>
      <c r="AC199" s="250"/>
      <c r="AD199" s="250"/>
      <c r="AE199" s="250"/>
      <c r="AF199" s="250"/>
      <c r="AG199" s="250"/>
      <c r="AH199" s="250"/>
      <c r="AI199" s="250"/>
      <c r="AJ199" s="250"/>
      <c r="AK199" s="250"/>
      <c r="AL199" s="250"/>
      <c r="AM199" s="250"/>
      <c r="AN199" s="250"/>
      <c r="AO199" s="250"/>
      <c r="AP199" s="250"/>
      <c r="AQ199" s="250"/>
      <c r="AR199" s="250"/>
      <c r="AS199" s="250"/>
      <c r="AT199" s="250"/>
      <c r="AU199" s="250"/>
      <c r="AV199" s="250"/>
      <c r="AW199" s="250"/>
      <c r="AX199" s="250"/>
      <c r="AY199" s="250"/>
      <c r="AZ199" s="250"/>
    </row>
    <row r="200" spans="1:52" ht="13.15" x14ac:dyDescent="0.4">
      <c r="A200" s="250"/>
      <c r="B200" s="250"/>
      <c r="C200" s="250"/>
      <c r="D200" s="250"/>
      <c r="E200" s="250"/>
      <c r="F200" s="250"/>
      <c r="G200" s="250"/>
      <c r="H200" s="250"/>
      <c r="I200" s="250"/>
      <c r="J200" s="250"/>
      <c r="K200" s="250"/>
      <c r="L200" s="250"/>
      <c r="M200" s="250"/>
      <c r="N200" s="250"/>
      <c r="O200" s="250"/>
      <c r="P200" s="250"/>
      <c r="Q200" s="250"/>
      <c r="R200" s="250"/>
      <c r="S200" s="250"/>
      <c r="T200" s="250"/>
      <c r="U200" s="250"/>
      <c r="V200" s="250"/>
      <c r="W200" s="250"/>
      <c r="X200" s="250"/>
      <c r="Y200" s="250"/>
      <c r="Z200" s="250"/>
      <c r="AA200" s="250"/>
      <c r="AB200" s="250"/>
      <c r="AC200" s="250"/>
      <c r="AD200" s="250"/>
      <c r="AE200" s="250"/>
      <c r="AF200" s="250"/>
      <c r="AG200" s="250"/>
      <c r="AH200" s="250"/>
      <c r="AI200" s="250"/>
      <c r="AJ200" s="250"/>
      <c r="AK200" s="250"/>
      <c r="AL200" s="250"/>
      <c r="AM200" s="250"/>
      <c r="AN200" s="250"/>
      <c r="AO200" s="250"/>
      <c r="AP200" s="250"/>
      <c r="AQ200" s="250"/>
      <c r="AR200" s="250"/>
      <c r="AS200" s="250"/>
      <c r="AT200" s="250"/>
      <c r="AU200" s="250"/>
      <c r="AV200" s="250"/>
      <c r="AW200" s="250"/>
      <c r="AX200" s="250"/>
      <c r="AY200" s="250"/>
      <c r="AZ200" s="250"/>
    </row>
  </sheetData>
  <sheetProtection sheet="1" objects="1" scenarios="1"/>
  <mergeCells count="27">
    <mergeCell ref="B2:N2"/>
    <mergeCell ref="B3:N3"/>
    <mergeCell ref="C5:D5"/>
    <mergeCell ref="C6:D6"/>
    <mergeCell ref="C7:D7"/>
    <mergeCell ref="E5:F5"/>
    <mergeCell ref="E6:F6"/>
    <mergeCell ref="E7:F7"/>
    <mergeCell ref="H5:I5"/>
    <mergeCell ref="H6:I6"/>
    <mergeCell ref="H7:I7"/>
    <mergeCell ref="J5:K5"/>
    <mergeCell ref="J6:K6"/>
    <mergeCell ref="J7:K7"/>
    <mergeCell ref="M5:N5"/>
    <mergeCell ref="M6:N6"/>
    <mergeCell ref="M7:N7"/>
    <mergeCell ref="C45:F45"/>
    <mergeCell ref="H45:K45"/>
    <mergeCell ref="M45:O45"/>
    <mergeCell ref="C61:O61"/>
    <mergeCell ref="C9:F9"/>
    <mergeCell ref="H9:K9"/>
    <mergeCell ref="M9:O9"/>
    <mergeCell ref="C27:F27"/>
    <mergeCell ref="H27:K27"/>
    <mergeCell ref="M27:O2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BF610-7EA0-4B3A-B1B9-420BF43AFB5A}">
  <sheetPr>
    <tabColor rgb="FF00B4D8"/>
  </sheetPr>
  <dimension ref="A1:Z100"/>
  <sheetViews>
    <sheetView tabSelected="1" workbookViewId="0">
      <selection activeCell="U37" sqref="U37"/>
    </sheetView>
  </sheetViews>
  <sheetFormatPr defaultRowHeight="12.75" x14ac:dyDescent="0.35"/>
  <cols>
    <col min="1" max="1" width="2.86328125" customWidth="1"/>
  </cols>
  <sheetData>
    <row r="1" spans="1:26" ht="13.15" x14ac:dyDescent="0.4">
      <c r="A1" s="423"/>
      <c r="B1" s="423"/>
      <c r="C1" s="423"/>
      <c r="D1" s="423"/>
      <c r="E1" s="423"/>
      <c r="F1" s="423"/>
      <c r="G1" s="423"/>
      <c r="H1" s="423"/>
      <c r="I1" s="423"/>
      <c r="J1" s="423"/>
      <c r="K1" s="423"/>
      <c r="L1" s="423"/>
      <c r="M1" s="423"/>
      <c r="N1" s="423"/>
      <c r="O1" s="423"/>
      <c r="P1" s="423"/>
      <c r="Q1" s="423"/>
      <c r="R1" s="423"/>
      <c r="S1" s="423"/>
      <c r="T1" s="423"/>
      <c r="U1" s="3"/>
      <c r="V1" s="3"/>
      <c r="W1" s="3"/>
      <c r="X1" s="3"/>
      <c r="Y1" s="3"/>
      <c r="Z1" s="3"/>
    </row>
    <row r="2" spans="1:26" ht="29.25" x14ac:dyDescent="0.9">
      <c r="A2" s="423"/>
      <c r="B2" s="424" t="s">
        <v>1547</v>
      </c>
      <c r="C2" s="423"/>
      <c r="D2" s="423"/>
      <c r="E2" s="423"/>
      <c r="F2" s="423"/>
      <c r="G2" s="423"/>
      <c r="H2" s="423"/>
      <c r="I2" s="423"/>
      <c r="J2" s="423"/>
      <c r="K2" s="423"/>
      <c r="L2" s="423"/>
      <c r="M2" s="423"/>
      <c r="N2" s="423"/>
      <c r="O2" s="423"/>
      <c r="P2" s="423"/>
      <c r="Q2" s="423"/>
      <c r="R2" s="423"/>
      <c r="S2" s="423"/>
      <c r="T2" s="423"/>
      <c r="U2" s="3"/>
      <c r="V2" s="3"/>
      <c r="W2" s="3"/>
      <c r="X2" s="3"/>
      <c r="Y2" s="3"/>
      <c r="Z2" s="3"/>
    </row>
    <row r="3" spans="1:26" ht="14.65" thickBot="1" x14ac:dyDescent="0.5">
      <c r="A3" s="423"/>
      <c r="B3" s="425" t="s">
        <v>1548</v>
      </c>
      <c r="C3" s="426"/>
      <c r="D3" s="426"/>
      <c r="E3" s="426"/>
      <c r="F3" s="426"/>
      <c r="G3" s="426"/>
      <c r="H3" s="426"/>
      <c r="I3" s="426"/>
      <c r="J3" s="426"/>
      <c r="K3" s="426"/>
      <c r="L3" s="426"/>
      <c r="M3" s="426"/>
      <c r="N3" s="426"/>
      <c r="O3" s="426"/>
      <c r="P3" s="423"/>
      <c r="Q3" s="423"/>
      <c r="R3" s="423"/>
      <c r="S3" s="423"/>
      <c r="T3" s="423"/>
      <c r="U3" s="3"/>
      <c r="V3" s="3"/>
      <c r="W3" s="3"/>
      <c r="X3" s="3"/>
      <c r="Y3" s="3"/>
      <c r="Z3" s="3"/>
    </row>
    <row r="4" spans="1:26" ht="13.5" thickTop="1" x14ac:dyDescent="0.4">
      <c r="A4" s="423"/>
      <c r="B4" s="423"/>
      <c r="C4" s="423"/>
      <c r="D4" s="423"/>
      <c r="E4" s="423"/>
      <c r="F4" s="423"/>
      <c r="G4" s="423"/>
      <c r="H4" s="423"/>
      <c r="I4" s="423"/>
      <c r="J4" s="423"/>
      <c r="K4" s="423"/>
      <c r="L4" s="423"/>
      <c r="M4" s="423"/>
      <c r="N4" s="423"/>
      <c r="O4" s="423"/>
      <c r="P4" s="423"/>
      <c r="Q4" s="423"/>
      <c r="R4" s="423"/>
      <c r="S4" s="423"/>
      <c r="T4" s="423"/>
      <c r="U4" s="3"/>
      <c r="V4" s="3"/>
      <c r="W4" s="3"/>
      <c r="X4" s="3"/>
      <c r="Y4" s="3"/>
      <c r="Z4" s="3"/>
    </row>
    <row r="5" spans="1:26" ht="13.9" x14ac:dyDescent="0.4">
      <c r="A5" s="423"/>
      <c r="B5" s="427" t="s">
        <v>1549</v>
      </c>
      <c r="C5" s="428"/>
      <c r="D5" s="428"/>
      <c r="E5" s="428"/>
      <c r="F5" s="428"/>
      <c r="G5" s="428"/>
      <c r="H5" s="428"/>
      <c r="I5" s="428"/>
      <c r="J5" s="428"/>
      <c r="K5" s="428"/>
      <c r="L5" s="428"/>
      <c r="M5" s="428"/>
      <c r="N5" s="428"/>
      <c r="O5" s="428"/>
      <c r="P5" s="423"/>
      <c r="Q5" s="423"/>
      <c r="R5" s="423"/>
      <c r="S5" s="423"/>
      <c r="T5" s="423"/>
      <c r="U5" s="3"/>
      <c r="V5" s="3"/>
      <c r="W5" s="3"/>
      <c r="X5" s="3"/>
      <c r="Y5" s="3"/>
      <c r="Z5" s="3"/>
    </row>
    <row r="6" spans="1:26" ht="13.15" x14ac:dyDescent="0.4">
      <c r="A6" s="423"/>
      <c r="B6" s="423"/>
      <c r="C6" s="423"/>
      <c r="D6" s="423"/>
      <c r="E6" s="423"/>
      <c r="F6" s="423"/>
      <c r="G6" s="423"/>
      <c r="H6" s="423"/>
      <c r="I6" s="423"/>
      <c r="J6" s="423"/>
      <c r="K6" s="423"/>
      <c r="L6" s="423"/>
      <c r="M6" s="423"/>
      <c r="N6" s="423"/>
      <c r="O6" s="423"/>
      <c r="P6" s="423"/>
      <c r="Q6" s="423"/>
      <c r="R6" s="423"/>
      <c r="S6" s="423"/>
      <c r="T6" s="423"/>
      <c r="U6" s="3"/>
      <c r="V6" s="3"/>
      <c r="W6" s="3"/>
      <c r="X6" s="3"/>
      <c r="Y6" s="3"/>
      <c r="Z6" s="3"/>
    </row>
    <row r="7" spans="1:26" ht="13.15" x14ac:dyDescent="0.4">
      <c r="A7" s="423"/>
      <c r="B7" s="423"/>
      <c r="C7" s="423"/>
      <c r="D7" s="423"/>
      <c r="E7" s="423"/>
      <c r="F7" s="423"/>
      <c r="G7" s="423"/>
      <c r="H7" s="423"/>
      <c r="I7" s="423"/>
      <c r="J7" s="423"/>
      <c r="K7" s="423"/>
      <c r="L7" s="423"/>
      <c r="M7" s="423"/>
      <c r="N7" s="423"/>
      <c r="O7" s="423"/>
      <c r="P7" s="423"/>
      <c r="Q7" s="423"/>
      <c r="R7" s="423"/>
      <c r="S7" s="423"/>
      <c r="T7" s="423"/>
      <c r="U7" s="3"/>
      <c r="V7" s="3"/>
      <c r="W7" s="3"/>
      <c r="X7" s="3"/>
      <c r="Y7" s="3"/>
      <c r="Z7" s="3"/>
    </row>
    <row r="8" spans="1:26" ht="13.15" x14ac:dyDescent="0.4">
      <c r="A8" s="423"/>
      <c r="B8" s="423"/>
      <c r="C8" s="423"/>
      <c r="D8" s="423"/>
      <c r="E8" s="423"/>
      <c r="F8" s="423"/>
      <c r="G8" s="423"/>
      <c r="H8" s="423"/>
      <c r="I8" s="423"/>
      <c r="J8" s="423"/>
      <c r="K8" s="423"/>
      <c r="L8" s="423"/>
      <c r="M8" s="423"/>
      <c r="N8" s="423"/>
      <c r="O8" s="423"/>
      <c r="P8" s="423"/>
      <c r="Q8" s="423"/>
      <c r="R8" s="423"/>
      <c r="S8" s="423"/>
      <c r="T8" s="423"/>
      <c r="U8" s="3"/>
      <c r="V8" s="3"/>
      <c r="W8" s="3"/>
      <c r="X8" s="3"/>
      <c r="Y8" s="3"/>
      <c r="Z8" s="3"/>
    </row>
    <row r="9" spans="1:26" ht="13.15" x14ac:dyDescent="0.4">
      <c r="A9" s="423"/>
      <c r="B9" s="423"/>
      <c r="C9" s="423"/>
      <c r="D9" s="423"/>
      <c r="E9" s="423"/>
      <c r="F9" s="423"/>
      <c r="G9" s="423"/>
      <c r="H9" s="423"/>
      <c r="I9" s="423"/>
      <c r="J9" s="423"/>
      <c r="K9" s="423"/>
      <c r="L9" s="423"/>
      <c r="M9" s="423"/>
      <c r="N9" s="423"/>
      <c r="O9" s="423"/>
      <c r="P9" s="423"/>
      <c r="Q9" s="423"/>
      <c r="R9" s="423"/>
      <c r="S9" s="423"/>
      <c r="T9" s="423"/>
      <c r="U9" s="3"/>
      <c r="V9" s="3"/>
      <c r="W9" s="3"/>
      <c r="X9" s="3"/>
      <c r="Y9" s="3"/>
      <c r="Z9" s="3"/>
    </row>
    <row r="10" spans="1:26" ht="13.15" x14ac:dyDescent="0.4">
      <c r="A10" s="423"/>
      <c r="B10" s="423"/>
      <c r="C10" s="423"/>
      <c r="D10" s="423"/>
      <c r="E10" s="423"/>
      <c r="F10" s="423"/>
      <c r="G10" s="423"/>
      <c r="H10" s="423"/>
      <c r="I10" s="423"/>
      <c r="J10" s="423"/>
      <c r="K10" s="423"/>
      <c r="L10" s="423"/>
      <c r="M10" s="423"/>
      <c r="N10" s="423"/>
      <c r="O10" s="423"/>
      <c r="P10" s="423"/>
      <c r="Q10" s="423"/>
      <c r="R10" s="423"/>
      <c r="S10" s="423"/>
      <c r="T10" s="423"/>
      <c r="U10" s="3"/>
      <c r="V10" s="3"/>
      <c r="W10" s="3"/>
      <c r="X10" s="3"/>
      <c r="Y10" s="3"/>
      <c r="Z10" s="3"/>
    </row>
    <row r="11" spans="1:26" ht="13.15" x14ac:dyDescent="0.4">
      <c r="A11" s="423"/>
      <c r="B11" s="423"/>
      <c r="C11" s="423"/>
      <c r="D11" s="423"/>
      <c r="E11" s="423"/>
      <c r="F11" s="423"/>
      <c r="G11" s="423"/>
      <c r="H11" s="423"/>
      <c r="I11" s="423"/>
      <c r="J11" s="423"/>
      <c r="K11" s="423"/>
      <c r="L11" s="423"/>
      <c r="M11" s="423"/>
      <c r="N11" s="423"/>
      <c r="O11" s="423"/>
      <c r="P11" s="423"/>
      <c r="Q11" s="423"/>
      <c r="R11" s="423"/>
      <c r="S11" s="423"/>
      <c r="T11" s="423"/>
      <c r="U11" s="3"/>
      <c r="V11" s="3"/>
      <c r="W11" s="3"/>
      <c r="X11" s="3"/>
      <c r="Y11" s="3"/>
      <c r="Z11" s="3"/>
    </row>
    <row r="12" spans="1:26" ht="13.15" x14ac:dyDescent="0.4">
      <c r="A12" s="423"/>
      <c r="B12" s="423"/>
      <c r="C12" s="423"/>
      <c r="D12" s="423"/>
      <c r="E12" s="423"/>
      <c r="F12" s="423"/>
      <c r="G12" s="423"/>
      <c r="H12" s="423"/>
      <c r="I12" s="423"/>
      <c r="J12" s="423"/>
      <c r="K12" s="423"/>
      <c r="L12" s="423"/>
      <c r="M12" s="423"/>
      <c r="N12" s="423"/>
      <c r="O12" s="423"/>
      <c r="P12" s="423"/>
      <c r="Q12" s="423"/>
      <c r="R12" s="423"/>
      <c r="S12" s="423"/>
      <c r="T12" s="423"/>
      <c r="U12" s="3"/>
      <c r="V12" s="3"/>
      <c r="W12" s="3"/>
      <c r="X12" s="3"/>
      <c r="Y12" s="3"/>
      <c r="Z12" s="3"/>
    </row>
    <row r="13" spans="1:26" ht="13.15" x14ac:dyDescent="0.4">
      <c r="A13" s="423"/>
      <c r="B13" s="423"/>
      <c r="C13" s="423"/>
      <c r="D13" s="423"/>
      <c r="E13" s="423"/>
      <c r="F13" s="423"/>
      <c r="G13" s="423"/>
      <c r="H13" s="423"/>
      <c r="I13" s="423"/>
      <c r="J13" s="423"/>
      <c r="K13" s="423"/>
      <c r="L13" s="423"/>
      <c r="M13" s="423"/>
      <c r="N13" s="423"/>
      <c r="O13" s="423"/>
      <c r="P13" s="423"/>
      <c r="Q13" s="423"/>
      <c r="R13" s="423"/>
      <c r="S13" s="423"/>
      <c r="T13" s="423"/>
      <c r="U13" s="3"/>
      <c r="V13" s="3"/>
      <c r="W13" s="3"/>
      <c r="X13" s="3"/>
      <c r="Y13" s="3"/>
      <c r="Z13" s="3"/>
    </row>
    <row r="14" spans="1:26" ht="13.15" x14ac:dyDescent="0.4">
      <c r="A14" s="423"/>
      <c r="B14" s="423"/>
      <c r="C14" s="423"/>
      <c r="D14" s="423"/>
      <c r="E14" s="423"/>
      <c r="F14" s="423"/>
      <c r="G14" s="423"/>
      <c r="H14" s="423"/>
      <c r="I14" s="423"/>
      <c r="J14" s="423"/>
      <c r="K14" s="423"/>
      <c r="L14" s="423"/>
      <c r="M14" s="423"/>
      <c r="N14" s="423"/>
      <c r="O14" s="423"/>
      <c r="P14" s="423"/>
      <c r="Q14" s="423"/>
      <c r="R14" s="423"/>
      <c r="S14" s="423"/>
      <c r="T14" s="423"/>
      <c r="U14" s="3"/>
      <c r="V14" s="3"/>
      <c r="W14" s="3"/>
      <c r="X14" s="3"/>
      <c r="Y14" s="3"/>
      <c r="Z14" s="3"/>
    </row>
    <row r="15" spans="1:26" ht="13.15" x14ac:dyDescent="0.4">
      <c r="A15" s="423"/>
      <c r="B15" s="423"/>
      <c r="C15" s="423"/>
      <c r="D15" s="423"/>
      <c r="E15" s="423"/>
      <c r="F15" s="423"/>
      <c r="G15" s="423"/>
      <c r="H15" s="423"/>
      <c r="I15" s="423"/>
      <c r="J15" s="423"/>
      <c r="K15" s="423"/>
      <c r="L15" s="423"/>
      <c r="M15" s="423"/>
      <c r="N15" s="423"/>
      <c r="O15" s="423"/>
      <c r="P15" s="423"/>
      <c r="Q15" s="423"/>
      <c r="R15" s="423"/>
      <c r="S15" s="423"/>
      <c r="T15" s="423"/>
      <c r="U15" s="3"/>
      <c r="V15" s="3"/>
      <c r="W15" s="3"/>
      <c r="X15" s="3"/>
      <c r="Y15" s="3"/>
      <c r="Z15" s="3"/>
    </row>
    <row r="16" spans="1:26" ht="13.15" x14ac:dyDescent="0.4">
      <c r="A16" s="423"/>
      <c r="B16" s="423"/>
      <c r="C16" s="423"/>
      <c r="D16" s="423"/>
      <c r="E16" s="423"/>
      <c r="F16" s="423"/>
      <c r="G16" s="423"/>
      <c r="H16" s="423"/>
      <c r="I16" s="423"/>
      <c r="J16" s="423"/>
      <c r="K16" s="423"/>
      <c r="L16" s="423"/>
      <c r="M16" s="423"/>
      <c r="N16" s="423"/>
      <c r="O16" s="423"/>
      <c r="P16" s="423"/>
      <c r="Q16" s="423"/>
      <c r="R16" s="423"/>
      <c r="S16" s="423"/>
      <c r="T16" s="423"/>
      <c r="U16" s="3"/>
      <c r="V16" s="3"/>
      <c r="W16" s="3"/>
      <c r="X16" s="3"/>
      <c r="Y16" s="3"/>
      <c r="Z16" s="3"/>
    </row>
    <row r="17" spans="1:26" ht="13.15" x14ac:dyDescent="0.4">
      <c r="A17" s="423"/>
      <c r="B17" s="423"/>
      <c r="C17" s="423"/>
      <c r="D17" s="423"/>
      <c r="E17" s="423"/>
      <c r="F17" s="423"/>
      <c r="G17" s="423"/>
      <c r="H17" s="423"/>
      <c r="I17" s="423"/>
      <c r="J17" s="423"/>
      <c r="K17" s="423"/>
      <c r="L17" s="423"/>
      <c r="M17" s="423"/>
      <c r="N17" s="423"/>
      <c r="O17" s="423"/>
      <c r="P17" s="423"/>
      <c r="Q17" s="423"/>
      <c r="R17" s="423"/>
      <c r="S17" s="423"/>
      <c r="T17" s="423"/>
      <c r="U17" s="3"/>
      <c r="V17" s="3"/>
      <c r="W17" s="3"/>
      <c r="X17" s="3"/>
      <c r="Y17" s="3"/>
      <c r="Z17" s="3"/>
    </row>
    <row r="18" spans="1:26" ht="13.15" x14ac:dyDescent="0.4">
      <c r="A18" s="423"/>
      <c r="B18" s="423"/>
      <c r="C18" s="423"/>
      <c r="D18" s="423"/>
      <c r="E18" s="423"/>
      <c r="F18" s="423"/>
      <c r="G18" s="423"/>
      <c r="H18" s="423"/>
      <c r="I18" s="423"/>
      <c r="J18" s="423"/>
      <c r="K18" s="423"/>
      <c r="L18" s="423"/>
      <c r="M18" s="423"/>
      <c r="N18" s="423"/>
      <c r="O18" s="423"/>
      <c r="P18" s="423"/>
      <c r="Q18" s="423"/>
      <c r="R18" s="423"/>
      <c r="S18" s="423"/>
      <c r="T18" s="423"/>
      <c r="U18" s="3"/>
      <c r="V18" s="3"/>
      <c r="W18" s="3"/>
      <c r="X18" s="3"/>
      <c r="Y18" s="3"/>
      <c r="Z18" s="3"/>
    </row>
    <row r="19" spans="1:26" ht="13.15" x14ac:dyDescent="0.4">
      <c r="A19" s="423"/>
      <c r="B19" s="423"/>
      <c r="C19" s="423"/>
      <c r="D19" s="423"/>
      <c r="E19" s="423"/>
      <c r="F19" s="423"/>
      <c r="G19" s="423"/>
      <c r="H19" s="423"/>
      <c r="I19" s="423"/>
      <c r="J19" s="423"/>
      <c r="K19" s="423"/>
      <c r="L19" s="423"/>
      <c r="M19" s="423"/>
      <c r="N19" s="423"/>
      <c r="O19" s="423"/>
      <c r="P19" s="423"/>
      <c r="Q19" s="423"/>
      <c r="R19" s="423"/>
      <c r="S19" s="423"/>
      <c r="T19" s="423"/>
      <c r="U19" s="3"/>
      <c r="V19" s="3"/>
      <c r="W19" s="3"/>
      <c r="X19" s="3"/>
      <c r="Y19" s="3"/>
      <c r="Z19" s="3"/>
    </row>
    <row r="20" spans="1:26" ht="13.15" x14ac:dyDescent="0.4">
      <c r="A20" s="423"/>
      <c r="B20" s="423"/>
      <c r="C20" s="423"/>
      <c r="D20" s="423"/>
      <c r="E20" s="423"/>
      <c r="F20" s="423"/>
      <c r="G20" s="423"/>
      <c r="H20" s="423"/>
      <c r="I20" s="423"/>
      <c r="J20" s="423"/>
      <c r="K20" s="423"/>
      <c r="L20" s="423"/>
      <c r="M20" s="423"/>
      <c r="N20" s="423"/>
      <c r="O20" s="423"/>
      <c r="P20" s="423"/>
      <c r="Q20" s="423"/>
      <c r="R20" s="423"/>
      <c r="S20" s="423"/>
      <c r="T20" s="423"/>
      <c r="U20" s="3"/>
      <c r="V20" s="3"/>
      <c r="W20" s="3"/>
      <c r="X20" s="3"/>
      <c r="Y20" s="3"/>
      <c r="Z20" s="3"/>
    </row>
    <row r="21" spans="1:26" ht="13.15" x14ac:dyDescent="0.4">
      <c r="A21" s="423"/>
      <c r="B21" s="423"/>
      <c r="C21" s="423"/>
      <c r="D21" s="423"/>
      <c r="E21" s="423"/>
      <c r="F21" s="423"/>
      <c r="G21" s="423"/>
      <c r="H21" s="423"/>
      <c r="I21" s="423"/>
      <c r="J21" s="423"/>
      <c r="K21" s="423"/>
      <c r="L21" s="423"/>
      <c r="M21" s="423"/>
      <c r="N21" s="423"/>
      <c r="O21" s="423"/>
      <c r="P21" s="423"/>
      <c r="Q21" s="423"/>
      <c r="R21" s="423"/>
      <c r="S21" s="423"/>
      <c r="T21" s="423"/>
      <c r="U21" s="3"/>
      <c r="V21" s="3"/>
      <c r="W21" s="3"/>
      <c r="X21" s="3"/>
      <c r="Y21" s="3"/>
      <c r="Z21" s="3"/>
    </row>
    <row r="22" spans="1:26" ht="13.9" x14ac:dyDescent="0.4">
      <c r="A22" s="423"/>
      <c r="B22" s="429" t="s">
        <v>1550</v>
      </c>
      <c r="C22" s="430"/>
      <c r="D22" s="430"/>
      <c r="E22" s="430"/>
      <c r="F22" s="430"/>
      <c r="G22" s="430"/>
      <c r="H22" s="430"/>
      <c r="I22" s="430"/>
      <c r="J22" s="430"/>
      <c r="K22" s="430"/>
      <c r="L22" s="430"/>
      <c r="M22" s="430"/>
      <c r="N22" s="430"/>
      <c r="O22" s="430"/>
      <c r="P22" s="423"/>
      <c r="Q22" s="423"/>
      <c r="R22" s="423"/>
      <c r="S22" s="423"/>
      <c r="T22" s="423"/>
      <c r="U22" s="3"/>
      <c r="V22" s="3"/>
      <c r="W22" s="3"/>
      <c r="X22" s="3"/>
      <c r="Y22" s="3"/>
      <c r="Z22" s="3"/>
    </row>
    <row r="23" spans="1:26" ht="13.15" x14ac:dyDescent="0.4">
      <c r="A23" s="423"/>
      <c r="B23" s="423"/>
      <c r="C23" s="423"/>
      <c r="D23" s="423"/>
      <c r="E23" s="423"/>
      <c r="F23" s="423"/>
      <c r="G23" s="423"/>
      <c r="H23" s="423"/>
      <c r="I23" s="423"/>
      <c r="J23" s="423"/>
      <c r="K23" s="423"/>
      <c r="L23" s="423"/>
      <c r="M23" s="423"/>
      <c r="N23" s="423"/>
      <c r="O23" s="423"/>
      <c r="P23" s="423"/>
      <c r="Q23" s="423"/>
      <c r="R23" s="423"/>
      <c r="S23" s="423"/>
      <c r="T23" s="423"/>
      <c r="U23" s="3"/>
      <c r="V23" s="3"/>
      <c r="W23" s="3"/>
      <c r="X23" s="3"/>
      <c r="Y23" s="3"/>
      <c r="Z23" s="3"/>
    </row>
    <row r="24" spans="1:26" ht="13.15" x14ac:dyDescent="0.4">
      <c r="A24" s="423"/>
      <c r="B24" s="423"/>
      <c r="C24" s="423"/>
      <c r="D24" s="423"/>
      <c r="E24" s="423"/>
      <c r="F24" s="423"/>
      <c r="G24" s="423"/>
      <c r="H24" s="423"/>
      <c r="I24" s="423"/>
      <c r="J24" s="423"/>
      <c r="K24" s="423"/>
      <c r="L24" s="423"/>
      <c r="M24" s="423"/>
      <c r="N24" s="423"/>
      <c r="O24" s="423"/>
      <c r="P24" s="423"/>
      <c r="Q24" s="423"/>
      <c r="R24" s="423"/>
      <c r="S24" s="423"/>
      <c r="T24" s="423"/>
      <c r="U24" s="3"/>
      <c r="V24" s="3"/>
      <c r="W24" s="3"/>
      <c r="X24" s="3"/>
      <c r="Y24" s="3"/>
      <c r="Z24" s="3"/>
    </row>
    <row r="25" spans="1:26" ht="13.15" x14ac:dyDescent="0.4">
      <c r="A25" s="423"/>
      <c r="B25" s="423"/>
      <c r="C25" s="423"/>
      <c r="D25" s="423"/>
      <c r="E25" s="423"/>
      <c r="F25" s="423"/>
      <c r="G25" s="423"/>
      <c r="H25" s="423"/>
      <c r="I25" s="423"/>
      <c r="J25" s="423"/>
      <c r="K25" s="423"/>
      <c r="L25" s="423"/>
      <c r="M25" s="423"/>
      <c r="N25" s="423"/>
      <c r="O25" s="423"/>
      <c r="P25" s="423"/>
      <c r="Q25" s="423"/>
      <c r="R25" s="423"/>
      <c r="S25" s="423"/>
      <c r="T25" s="423"/>
      <c r="U25" s="3"/>
      <c r="V25" s="3"/>
      <c r="W25" s="3"/>
      <c r="X25" s="3"/>
      <c r="Y25" s="3"/>
      <c r="Z25" s="3"/>
    </row>
    <row r="26" spans="1:26" ht="13.15" x14ac:dyDescent="0.4">
      <c r="A26" s="423"/>
      <c r="B26" s="423"/>
      <c r="C26" s="423"/>
      <c r="D26" s="423"/>
      <c r="E26" s="423"/>
      <c r="F26" s="423"/>
      <c r="G26" s="423"/>
      <c r="H26" s="423"/>
      <c r="I26" s="423"/>
      <c r="J26" s="423"/>
      <c r="K26" s="423"/>
      <c r="L26" s="423"/>
      <c r="M26" s="423"/>
      <c r="N26" s="423"/>
      <c r="O26" s="423"/>
      <c r="P26" s="423"/>
      <c r="Q26" s="423"/>
      <c r="R26" s="423"/>
      <c r="S26" s="423"/>
      <c r="T26" s="423"/>
      <c r="U26" s="3"/>
      <c r="V26" s="3"/>
      <c r="W26" s="3"/>
      <c r="X26" s="3"/>
      <c r="Y26" s="3"/>
      <c r="Z26" s="3"/>
    </row>
    <row r="27" spans="1:26" ht="13.15" x14ac:dyDescent="0.4">
      <c r="A27" s="423"/>
      <c r="B27" s="423"/>
      <c r="C27" s="423"/>
      <c r="D27" s="423"/>
      <c r="E27" s="423"/>
      <c r="F27" s="423"/>
      <c r="G27" s="423"/>
      <c r="H27" s="423"/>
      <c r="I27" s="423"/>
      <c r="J27" s="423"/>
      <c r="K27" s="423"/>
      <c r="L27" s="423"/>
      <c r="M27" s="423"/>
      <c r="N27" s="423"/>
      <c r="O27" s="423"/>
      <c r="P27" s="423"/>
      <c r="Q27" s="423"/>
      <c r="R27" s="423"/>
      <c r="S27" s="423"/>
      <c r="T27" s="423"/>
      <c r="U27" s="3"/>
      <c r="V27" s="3"/>
      <c r="W27" s="3"/>
      <c r="X27" s="3"/>
      <c r="Y27" s="3"/>
      <c r="Z27" s="3"/>
    </row>
    <row r="28" spans="1:26" ht="13.15" x14ac:dyDescent="0.4">
      <c r="A28" s="423"/>
      <c r="B28" s="423"/>
      <c r="C28" s="423"/>
      <c r="D28" s="423"/>
      <c r="E28" s="423"/>
      <c r="F28" s="423"/>
      <c r="G28" s="423"/>
      <c r="H28" s="423"/>
      <c r="I28" s="423"/>
      <c r="J28" s="423"/>
      <c r="K28" s="423"/>
      <c r="L28" s="423"/>
      <c r="M28" s="423"/>
      <c r="N28" s="423"/>
      <c r="O28" s="423"/>
      <c r="P28" s="423"/>
      <c r="Q28" s="423"/>
      <c r="R28" s="423"/>
      <c r="S28" s="423"/>
      <c r="T28" s="423"/>
      <c r="U28" s="3"/>
      <c r="V28" s="3"/>
      <c r="W28" s="3"/>
      <c r="X28" s="3"/>
      <c r="Y28" s="3"/>
      <c r="Z28" s="3"/>
    </row>
    <row r="29" spans="1:26" ht="13.15" x14ac:dyDescent="0.4">
      <c r="A29" s="423"/>
      <c r="B29" s="423"/>
      <c r="C29" s="423"/>
      <c r="D29" s="423"/>
      <c r="E29" s="423"/>
      <c r="F29" s="423"/>
      <c r="G29" s="423"/>
      <c r="H29" s="423"/>
      <c r="I29" s="423"/>
      <c r="J29" s="423"/>
      <c r="K29" s="423"/>
      <c r="L29" s="423"/>
      <c r="M29" s="423"/>
      <c r="N29" s="423"/>
      <c r="O29" s="423"/>
      <c r="P29" s="423"/>
      <c r="Q29" s="423"/>
      <c r="R29" s="423"/>
      <c r="S29" s="423"/>
      <c r="T29" s="423"/>
      <c r="U29" s="3"/>
      <c r="V29" s="3"/>
      <c r="W29" s="3"/>
      <c r="X29" s="3"/>
      <c r="Y29" s="3"/>
      <c r="Z29" s="3"/>
    </row>
    <row r="30" spans="1:26" ht="13.15" x14ac:dyDescent="0.4">
      <c r="A30" s="423"/>
      <c r="B30" s="423"/>
      <c r="C30" s="423"/>
      <c r="D30" s="423"/>
      <c r="E30" s="423"/>
      <c r="F30" s="423"/>
      <c r="G30" s="423"/>
      <c r="H30" s="423"/>
      <c r="I30" s="423"/>
      <c r="J30" s="423"/>
      <c r="K30" s="423"/>
      <c r="L30" s="423"/>
      <c r="M30" s="423"/>
      <c r="N30" s="423"/>
      <c r="O30" s="423"/>
      <c r="P30" s="423"/>
      <c r="Q30" s="423"/>
      <c r="R30" s="423"/>
      <c r="S30" s="423"/>
      <c r="T30" s="423"/>
      <c r="U30" s="3"/>
      <c r="V30" s="3"/>
      <c r="W30" s="3"/>
      <c r="X30" s="3"/>
      <c r="Y30" s="3"/>
      <c r="Z30" s="3"/>
    </row>
    <row r="31" spans="1:26" ht="13.15" x14ac:dyDescent="0.4">
      <c r="A31" s="423"/>
      <c r="B31" s="423"/>
      <c r="C31" s="423"/>
      <c r="D31" s="423"/>
      <c r="E31" s="423"/>
      <c r="F31" s="423"/>
      <c r="G31" s="423"/>
      <c r="H31" s="423"/>
      <c r="I31" s="423"/>
      <c r="J31" s="423"/>
      <c r="K31" s="423"/>
      <c r="L31" s="423"/>
      <c r="M31" s="423"/>
      <c r="N31" s="423"/>
      <c r="O31" s="423"/>
      <c r="P31" s="423"/>
      <c r="Q31" s="423"/>
      <c r="R31" s="423"/>
      <c r="S31" s="423"/>
      <c r="T31" s="423"/>
      <c r="U31" s="3"/>
      <c r="V31" s="3"/>
      <c r="W31" s="3"/>
      <c r="X31" s="3"/>
      <c r="Y31" s="3"/>
      <c r="Z31" s="3"/>
    </row>
    <row r="32" spans="1:26" ht="13.15" x14ac:dyDescent="0.4">
      <c r="A32" s="423"/>
      <c r="B32" s="423"/>
      <c r="C32" s="423"/>
      <c r="D32" s="423"/>
      <c r="E32" s="423"/>
      <c r="F32" s="423"/>
      <c r="G32" s="423"/>
      <c r="H32" s="423"/>
      <c r="I32" s="423"/>
      <c r="J32" s="423"/>
      <c r="K32" s="423"/>
      <c r="L32" s="423"/>
      <c r="M32" s="423"/>
      <c r="N32" s="423"/>
      <c r="O32" s="423"/>
      <c r="P32" s="423"/>
      <c r="Q32" s="423"/>
      <c r="R32" s="423"/>
      <c r="S32" s="423"/>
      <c r="T32" s="423"/>
      <c r="U32" s="3"/>
      <c r="V32" s="3"/>
      <c r="W32" s="3"/>
      <c r="X32" s="3"/>
      <c r="Y32" s="3"/>
      <c r="Z32" s="3"/>
    </row>
    <row r="33" spans="1:26" ht="13.15" x14ac:dyDescent="0.4">
      <c r="A33" s="423"/>
      <c r="B33" s="423"/>
      <c r="C33" s="423"/>
      <c r="D33" s="423"/>
      <c r="E33" s="423"/>
      <c r="F33" s="423"/>
      <c r="G33" s="423"/>
      <c r="H33" s="423"/>
      <c r="I33" s="423"/>
      <c r="J33" s="423"/>
      <c r="K33" s="423"/>
      <c r="L33" s="423"/>
      <c r="M33" s="423"/>
      <c r="N33" s="423"/>
      <c r="O33" s="423"/>
      <c r="P33" s="423"/>
      <c r="Q33" s="423"/>
      <c r="R33" s="423"/>
      <c r="S33" s="423"/>
      <c r="T33" s="423"/>
      <c r="U33" s="3"/>
      <c r="V33" s="3"/>
      <c r="W33" s="3"/>
      <c r="X33" s="3"/>
      <c r="Y33" s="3"/>
      <c r="Z33" s="3"/>
    </row>
    <row r="34" spans="1:26" ht="13.15" x14ac:dyDescent="0.4">
      <c r="A34" s="423"/>
      <c r="B34" s="423"/>
      <c r="C34" s="423"/>
      <c r="D34" s="423"/>
      <c r="E34" s="423"/>
      <c r="F34" s="423"/>
      <c r="G34" s="423"/>
      <c r="H34" s="423"/>
      <c r="I34" s="423"/>
      <c r="J34" s="423"/>
      <c r="K34" s="423"/>
      <c r="L34" s="423"/>
      <c r="M34" s="423"/>
      <c r="N34" s="423"/>
      <c r="O34" s="423"/>
      <c r="P34" s="423"/>
      <c r="Q34" s="423"/>
      <c r="R34" s="423"/>
      <c r="S34" s="423"/>
      <c r="T34" s="423"/>
      <c r="U34" s="3"/>
      <c r="V34" s="3"/>
      <c r="W34" s="3"/>
      <c r="X34" s="3"/>
      <c r="Y34" s="3"/>
      <c r="Z34" s="3"/>
    </row>
    <row r="35" spans="1:26" ht="13.15" x14ac:dyDescent="0.4">
      <c r="A35" s="423"/>
      <c r="B35" s="423"/>
      <c r="C35" s="423"/>
      <c r="D35" s="423"/>
      <c r="E35" s="423"/>
      <c r="F35" s="423"/>
      <c r="G35" s="423"/>
      <c r="H35" s="423"/>
      <c r="I35" s="423"/>
      <c r="J35" s="423"/>
      <c r="K35" s="423"/>
      <c r="L35" s="423"/>
      <c r="M35" s="423"/>
      <c r="N35" s="423"/>
      <c r="O35" s="423"/>
      <c r="P35" s="423"/>
      <c r="Q35" s="423"/>
      <c r="R35" s="423"/>
      <c r="S35" s="423"/>
      <c r="T35" s="423"/>
      <c r="U35" s="3"/>
      <c r="V35" s="3"/>
      <c r="W35" s="3"/>
      <c r="X35" s="3"/>
      <c r="Y35" s="3"/>
      <c r="Z35" s="3"/>
    </row>
    <row r="36" spans="1:26" ht="13.15" x14ac:dyDescent="0.4">
      <c r="A36" s="423"/>
      <c r="B36" s="423"/>
      <c r="C36" s="423"/>
      <c r="D36" s="423"/>
      <c r="E36" s="423"/>
      <c r="F36" s="423"/>
      <c r="G36" s="423"/>
      <c r="H36" s="423"/>
      <c r="I36" s="423"/>
      <c r="J36" s="423"/>
      <c r="K36" s="423"/>
      <c r="L36" s="423"/>
      <c r="M36" s="423"/>
      <c r="N36" s="423"/>
      <c r="O36" s="423"/>
      <c r="P36" s="423"/>
      <c r="Q36" s="423"/>
      <c r="R36" s="423"/>
      <c r="S36" s="423"/>
      <c r="T36" s="423"/>
      <c r="U36" s="3"/>
      <c r="V36" s="3"/>
      <c r="W36" s="3"/>
      <c r="X36" s="3"/>
      <c r="Y36" s="3"/>
      <c r="Z36" s="3"/>
    </row>
    <row r="37" spans="1:26" ht="13.15" x14ac:dyDescent="0.4">
      <c r="A37" s="423"/>
      <c r="B37" s="423"/>
      <c r="C37" s="423"/>
      <c r="D37" s="423"/>
      <c r="E37" s="423"/>
      <c r="F37" s="423"/>
      <c r="G37" s="423"/>
      <c r="H37" s="423"/>
      <c r="I37" s="423"/>
      <c r="J37" s="423"/>
      <c r="K37" s="423"/>
      <c r="L37" s="423"/>
      <c r="M37" s="423"/>
      <c r="N37" s="423"/>
      <c r="O37" s="423"/>
      <c r="P37" s="423"/>
      <c r="Q37" s="423"/>
      <c r="R37" s="423"/>
      <c r="S37" s="423"/>
      <c r="T37" s="423"/>
      <c r="U37" s="3"/>
      <c r="V37" s="3"/>
      <c r="W37" s="3"/>
      <c r="X37" s="3"/>
      <c r="Y37" s="3"/>
      <c r="Z37" s="3"/>
    </row>
    <row r="38" spans="1:26" ht="13.15" x14ac:dyDescent="0.4">
      <c r="A38" s="423"/>
      <c r="B38" s="423"/>
      <c r="C38" s="423"/>
      <c r="D38" s="423"/>
      <c r="E38" s="423"/>
      <c r="F38" s="423"/>
      <c r="G38" s="423"/>
      <c r="H38" s="423"/>
      <c r="I38" s="423"/>
      <c r="J38" s="423"/>
      <c r="K38" s="423"/>
      <c r="L38" s="423"/>
      <c r="M38" s="423"/>
      <c r="N38" s="423"/>
      <c r="O38" s="423"/>
      <c r="P38" s="423"/>
      <c r="Q38" s="423"/>
      <c r="R38" s="423"/>
      <c r="S38" s="423"/>
      <c r="T38" s="423"/>
      <c r="U38" s="3"/>
      <c r="V38" s="3"/>
      <c r="W38" s="3"/>
      <c r="X38" s="3"/>
      <c r="Y38" s="3"/>
      <c r="Z38" s="3"/>
    </row>
    <row r="39" spans="1:26" ht="13.9" x14ac:dyDescent="0.4">
      <c r="A39" s="423"/>
      <c r="B39" s="431" t="s">
        <v>1551</v>
      </c>
      <c r="C39" s="432"/>
      <c r="D39" s="432"/>
      <c r="E39" s="432"/>
      <c r="F39" s="432"/>
      <c r="G39" s="432"/>
      <c r="H39" s="432"/>
      <c r="I39" s="432"/>
      <c r="J39" s="432"/>
      <c r="K39" s="432"/>
      <c r="L39" s="432"/>
      <c r="M39" s="432"/>
      <c r="N39" s="432"/>
      <c r="O39" s="432"/>
      <c r="P39" s="423"/>
      <c r="Q39" s="423"/>
      <c r="R39" s="423"/>
      <c r="S39" s="423"/>
      <c r="T39" s="423"/>
      <c r="U39" s="3"/>
      <c r="V39" s="3"/>
      <c r="W39" s="3"/>
      <c r="X39" s="3"/>
      <c r="Y39" s="3"/>
      <c r="Z39" s="3"/>
    </row>
    <row r="40" spans="1:26" ht="13.15" x14ac:dyDescent="0.4">
      <c r="A40" s="423"/>
      <c r="B40" s="423"/>
      <c r="C40" s="423"/>
      <c r="D40" s="423"/>
      <c r="E40" s="423"/>
      <c r="F40" s="423"/>
      <c r="G40" s="423"/>
      <c r="H40" s="423"/>
      <c r="I40" s="423"/>
      <c r="J40" s="423"/>
      <c r="K40" s="423"/>
      <c r="L40" s="423"/>
      <c r="M40" s="423"/>
      <c r="N40" s="423"/>
      <c r="O40" s="423"/>
      <c r="P40" s="423"/>
      <c r="Q40" s="423"/>
      <c r="R40" s="423"/>
      <c r="S40" s="423"/>
      <c r="T40" s="423"/>
      <c r="U40" s="3"/>
      <c r="V40" s="3"/>
      <c r="W40" s="3"/>
      <c r="X40" s="3"/>
      <c r="Y40" s="3"/>
      <c r="Z40" s="3"/>
    </row>
    <row r="41" spans="1:26" ht="13.15" x14ac:dyDescent="0.4">
      <c r="A41" s="423"/>
      <c r="B41" s="423"/>
      <c r="C41" s="423"/>
      <c r="D41" s="423"/>
      <c r="E41" s="423"/>
      <c r="F41" s="423"/>
      <c r="G41" s="423"/>
      <c r="H41" s="423"/>
      <c r="I41" s="423"/>
      <c r="J41" s="423"/>
      <c r="K41" s="423"/>
      <c r="L41" s="423"/>
      <c r="M41" s="423"/>
      <c r="N41" s="423"/>
      <c r="O41" s="423"/>
      <c r="P41" s="423"/>
      <c r="Q41" s="423"/>
      <c r="R41" s="423"/>
      <c r="S41" s="423"/>
      <c r="T41" s="423"/>
      <c r="U41" s="3"/>
      <c r="V41" s="3"/>
      <c r="W41" s="3"/>
      <c r="X41" s="3"/>
      <c r="Y41" s="3"/>
      <c r="Z41" s="3"/>
    </row>
    <row r="42" spans="1:26" ht="13.15" x14ac:dyDescent="0.4">
      <c r="A42" s="423"/>
      <c r="B42" s="423"/>
      <c r="C42" s="423"/>
      <c r="D42" s="423"/>
      <c r="E42" s="423"/>
      <c r="F42" s="423"/>
      <c r="G42" s="423"/>
      <c r="H42" s="423"/>
      <c r="I42" s="423"/>
      <c r="J42" s="423"/>
      <c r="K42" s="423"/>
      <c r="L42" s="423"/>
      <c r="M42" s="423"/>
      <c r="N42" s="423"/>
      <c r="O42" s="423"/>
      <c r="P42" s="423"/>
      <c r="Q42" s="423"/>
      <c r="R42" s="423"/>
      <c r="S42" s="423"/>
      <c r="T42" s="423"/>
      <c r="U42" s="3"/>
      <c r="V42" s="3"/>
      <c r="W42" s="3"/>
      <c r="X42" s="3"/>
      <c r="Y42" s="3"/>
      <c r="Z42" s="3"/>
    </row>
    <row r="43" spans="1:26" ht="13.15" x14ac:dyDescent="0.4">
      <c r="A43" s="423"/>
      <c r="B43" s="423"/>
      <c r="C43" s="423"/>
      <c r="D43" s="423"/>
      <c r="E43" s="423"/>
      <c r="F43" s="423"/>
      <c r="G43" s="423"/>
      <c r="H43" s="423"/>
      <c r="I43" s="423"/>
      <c r="J43" s="423"/>
      <c r="K43" s="423"/>
      <c r="L43" s="423"/>
      <c r="M43" s="423"/>
      <c r="N43" s="423"/>
      <c r="O43" s="423"/>
      <c r="P43" s="423"/>
      <c r="Q43" s="423"/>
      <c r="R43" s="423"/>
      <c r="S43" s="423"/>
      <c r="T43" s="423"/>
      <c r="U43" s="3"/>
      <c r="V43" s="3"/>
      <c r="W43" s="3"/>
      <c r="X43" s="3"/>
      <c r="Y43" s="3"/>
      <c r="Z43" s="3"/>
    </row>
    <row r="44" spans="1:26" ht="13.15" x14ac:dyDescent="0.4">
      <c r="A44" s="423"/>
      <c r="B44" s="423"/>
      <c r="C44" s="423"/>
      <c r="D44" s="423"/>
      <c r="E44" s="423"/>
      <c r="F44" s="423"/>
      <c r="G44" s="423"/>
      <c r="H44" s="423"/>
      <c r="I44" s="423"/>
      <c r="J44" s="423"/>
      <c r="K44" s="423"/>
      <c r="L44" s="423"/>
      <c r="M44" s="423"/>
      <c r="N44" s="423"/>
      <c r="O44" s="423"/>
      <c r="P44" s="423"/>
      <c r="Q44" s="423"/>
      <c r="R44" s="423"/>
      <c r="S44" s="423"/>
      <c r="T44" s="423"/>
      <c r="U44" s="3"/>
      <c r="V44" s="3"/>
      <c r="W44" s="3"/>
      <c r="X44" s="3"/>
      <c r="Y44" s="3"/>
      <c r="Z44" s="3"/>
    </row>
    <row r="45" spans="1:26" ht="13.15" x14ac:dyDescent="0.4">
      <c r="A45" s="423"/>
      <c r="B45" s="423"/>
      <c r="C45" s="423"/>
      <c r="D45" s="423"/>
      <c r="E45" s="423"/>
      <c r="F45" s="423"/>
      <c r="G45" s="423"/>
      <c r="H45" s="423"/>
      <c r="I45" s="423"/>
      <c r="J45" s="423"/>
      <c r="K45" s="423"/>
      <c r="L45" s="423"/>
      <c r="M45" s="423"/>
      <c r="N45" s="423"/>
      <c r="O45" s="423"/>
      <c r="P45" s="423"/>
      <c r="Q45" s="423"/>
      <c r="R45" s="423"/>
      <c r="S45" s="423"/>
      <c r="T45" s="423"/>
      <c r="U45" s="3"/>
      <c r="V45" s="3"/>
      <c r="W45" s="3"/>
      <c r="X45" s="3"/>
      <c r="Y45" s="3"/>
      <c r="Z45" s="3"/>
    </row>
    <row r="46" spans="1:26" ht="13.15" x14ac:dyDescent="0.4">
      <c r="A46" s="423"/>
      <c r="B46" s="423"/>
      <c r="C46" s="423"/>
      <c r="D46" s="423"/>
      <c r="E46" s="423"/>
      <c r="F46" s="423"/>
      <c r="G46" s="423"/>
      <c r="H46" s="423"/>
      <c r="I46" s="423"/>
      <c r="J46" s="423"/>
      <c r="K46" s="423"/>
      <c r="L46" s="423"/>
      <c r="M46" s="423"/>
      <c r="N46" s="423"/>
      <c r="O46" s="423"/>
      <c r="P46" s="423"/>
      <c r="Q46" s="423"/>
      <c r="R46" s="423"/>
      <c r="S46" s="423"/>
      <c r="T46" s="423"/>
      <c r="U46" s="3"/>
      <c r="V46" s="3"/>
      <c r="W46" s="3"/>
      <c r="X46" s="3"/>
      <c r="Y46" s="3"/>
      <c r="Z46" s="3"/>
    </row>
    <row r="47" spans="1:26" ht="13.15" x14ac:dyDescent="0.4">
      <c r="A47" s="423"/>
      <c r="B47" s="423"/>
      <c r="C47" s="423"/>
      <c r="D47" s="423"/>
      <c r="E47" s="423"/>
      <c r="F47" s="423"/>
      <c r="G47" s="423"/>
      <c r="H47" s="423"/>
      <c r="I47" s="423"/>
      <c r="J47" s="423"/>
      <c r="K47" s="423"/>
      <c r="L47" s="423"/>
      <c r="M47" s="423"/>
      <c r="N47" s="423"/>
      <c r="O47" s="423"/>
      <c r="P47" s="423"/>
      <c r="Q47" s="423"/>
      <c r="R47" s="423"/>
      <c r="S47" s="423"/>
      <c r="T47" s="423"/>
      <c r="U47" s="3"/>
      <c r="V47" s="3"/>
      <c r="W47" s="3"/>
      <c r="X47" s="3"/>
      <c r="Y47" s="3"/>
      <c r="Z47" s="3"/>
    </row>
    <row r="48" spans="1:26" ht="13.15" x14ac:dyDescent="0.4">
      <c r="A48" s="423"/>
      <c r="B48" s="423"/>
      <c r="C48" s="423"/>
      <c r="D48" s="423"/>
      <c r="E48" s="423"/>
      <c r="F48" s="423"/>
      <c r="G48" s="423"/>
      <c r="H48" s="423"/>
      <c r="I48" s="423"/>
      <c r="J48" s="423"/>
      <c r="K48" s="423"/>
      <c r="L48" s="423"/>
      <c r="M48" s="423"/>
      <c r="N48" s="423"/>
      <c r="O48" s="423"/>
      <c r="P48" s="423"/>
      <c r="Q48" s="423"/>
      <c r="R48" s="423"/>
      <c r="S48" s="423"/>
      <c r="T48" s="423"/>
      <c r="U48" s="3"/>
      <c r="V48" s="3"/>
      <c r="W48" s="3"/>
      <c r="X48" s="3"/>
      <c r="Y48" s="3"/>
      <c r="Z48" s="3"/>
    </row>
    <row r="49" spans="1:26" ht="13.15" x14ac:dyDescent="0.4">
      <c r="A49" s="423"/>
      <c r="B49" s="423"/>
      <c r="C49" s="423"/>
      <c r="D49" s="423"/>
      <c r="E49" s="423"/>
      <c r="F49" s="423"/>
      <c r="G49" s="423"/>
      <c r="H49" s="423"/>
      <c r="I49" s="423"/>
      <c r="J49" s="423"/>
      <c r="K49" s="423"/>
      <c r="L49" s="423"/>
      <c r="M49" s="423"/>
      <c r="N49" s="423"/>
      <c r="O49" s="423"/>
      <c r="P49" s="423"/>
      <c r="Q49" s="423"/>
      <c r="R49" s="423"/>
      <c r="S49" s="423"/>
      <c r="T49" s="423"/>
      <c r="U49" s="3"/>
      <c r="V49" s="3"/>
      <c r="W49" s="3"/>
      <c r="X49" s="3"/>
      <c r="Y49" s="3"/>
      <c r="Z49" s="3"/>
    </row>
    <row r="50" spans="1:26" ht="13.15" x14ac:dyDescent="0.4">
      <c r="A50" s="423"/>
      <c r="B50" s="423"/>
      <c r="C50" s="423"/>
      <c r="D50" s="423"/>
      <c r="E50" s="423"/>
      <c r="F50" s="423"/>
      <c r="G50" s="423"/>
      <c r="H50" s="423"/>
      <c r="I50" s="423"/>
      <c r="J50" s="423"/>
      <c r="K50" s="423"/>
      <c r="L50" s="423"/>
      <c r="M50" s="423"/>
      <c r="N50" s="423"/>
      <c r="O50" s="423"/>
      <c r="P50" s="423"/>
      <c r="Q50" s="423"/>
      <c r="R50" s="423"/>
      <c r="S50" s="423"/>
      <c r="T50" s="423"/>
      <c r="U50" s="3"/>
      <c r="V50" s="3"/>
      <c r="W50" s="3"/>
      <c r="X50" s="3"/>
      <c r="Y50" s="3"/>
      <c r="Z50" s="3"/>
    </row>
    <row r="51" spans="1:26" ht="13.15" x14ac:dyDescent="0.4">
      <c r="A51" s="423"/>
      <c r="B51" s="423"/>
      <c r="C51" s="423"/>
      <c r="D51" s="423"/>
      <c r="E51" s="423"/>
      <c r="F51" s="423"/>
      <c r="G51" s="423"/>
      <c r="H51" s="423"/>
      <c r="I51" s="423"/>
      <c r="J51" s="423"/>
      <c r="K51" s="423"/>
      <c r="L51" s="423"/>
      <c r="M51" s="423"/>
      <c r="N51" s="423"/>
      <c r="O51" s="423"/>
      <c r="P51" s="423"/>
      <c r="Q51" s="423"/>
      <c r="R51" s="423"/>
      <c r="S51" s="423"/>
      <c r="T51" s="423"/>
      <c r="U51" s="3"/>
      <c r="V51" s="3"/>
      <c r="W51" s="3"/>
      <c r="X51" s="3"/>
      <c r="Y51" s="3"/>
      <c r="Z51" s="3"/>
    </row>
    <row r="52" spans="1:26" ht="13.15" x14ac:dyDescent="0.4">
      <c r="A52" s="423"/>
      <c r="B52" s="423"/>
      <c r="C52" s="423"/>
      <c r="D52" s="423"/>
      <c r="E52" s="423"/>
      <c r="F52" s="423"/>
      <c r="G52" s="423"/>
      <c r="H52" s="423"/>
      <c r="I52" s="423"/>
      <c r="J52" s="423"/>
      <c r="K52" s="423"/>
      <c r="L52" s="423"/>
      <c r="M52" s="423"/>
      <c r="N52" s="423"/>
      <c r="O52" s="423"/>
      <c r="P52" s="423"/>
      <c r="Q52" s="423"/>
      <c r="R52" s="423"/>
      <c r="S52" s="423"/>
      <c r="T52" s="423"/>
      <c r="U52" s="3"/>
      <c r="V52" s="3"/>
      <c r="W52" s="3"/>
      <c r="X52" s="3"/>
      <c r="Y52" s="3"/>
      <c r="Z52" s="3"/>
    </row>
    <row r="53" spans="1:26" ht="13.15" x14ac:dyDescent="0.4">
      <c r="A53" s="423"/>
      <c r="B53" s="423"/>
      <c r="C53" s="423"/>
      <c r="D53" s="423"/>
      <c r="E53" s="423"/>
      <c r="F53" s="423"/>
      <c r="G53" s="423"/>
      <c r="H53" s="423"/>
      <c r="I53" s="423"/>
      <c r="J53" s="423"/>
      <c r="K53" s="423"/>
      <c r="L53" s="423"/>
      <c r="M53" s="423"/>
      <c r="N53" s="423"/>
      <c r="O53" s="423"/>
      <c r="P53" s="423"/>
      <c r="Q53" s="423"/>
      <c r="R53" s="423"/>
      <c r="S53" s="423"/>
      <c r="T53" s="423"/>
      <c r="U53" s="3"/>
      <c r="V53" s="3"/>
      <c r="W53" s="3"/>
      <c r="X53" s="3"/>
      <c r="Y53" s="3"/>
      <c r="Z53" s="3"/>
    </row>
    <row r="54" spans="1:26" ht="13.15" x14ac:dyDescent="0.4">
      <c r="A54" s="423"/>
      <c r="B54" s="423"/>
      <c r="C54" s="423"/>
      <c r="D54" s="423"/>
      <c r="E54" s="423"/>
      <c r="F54" s="423"/>
      <c r="G54" s="423"/>
      <c r="H54" s="423"/>
      <c r="I54" s="423"/>
      <c r="J54" s="423"/>
      <c r="K54" s="423"/>
      <c r="L54" s="423"/>
      <c r="M54" s="423"/>
      <c r="N54" s="423"/>
      <c r="O54" s="423"/>
      <c r="P54" s="423"/>
      <c r="Q54" s="423"/>
      <c r="R54" s="423"/>
      <c r="S54" s="423"/>
      <c r="T54" s="423"/>
      <c r="U54" s="3"/>
      <c r="V54" s="3"/>
      <c r="W54" s="3"/>
      <c r="X54" s="3"/>
      <c r="Y54" s="3"/>
      <c r="Z54" s="3"/>
    </row>
    <row r="55" spans="1:26" ht="13.15" x14ac:dyDescent="0.4">
      <c r="A55" s="423"/>
      <c r="B55" s="433" t="s">
        <v>1552</v>
      </c>
      <c r="C55" s="423"/>
      <c r="D55" s="423"/>
      <c r="E55" s="423"/>
      <c r="F55" s="423"/>
      <c r="G55" s="423"/>
      <c r="H55" s="423"/>
      <c r="I55" s="423"/>
      <c r="J55" s="423"/>
      <c r="K55" s="423"/>
      <c r="L55" s="423"/>
      <c r="M55" s="423"/>
      <c r="N55" s="423"/>
      <c r="O55" s="423"/>
      <c r="P55" s="423"/>
      <c r="Q55" s="423"/>
      <c r="R55" s="423"/>
      <c r="S55" s="423"/>
      <c r="T55" s="423"/>
      <c r="U55" s="3"/>
      <c r="V55" s="3"/>
      <c r="W55" s="3"/>
      <c r="X55" s="3"/>
      <c r="Y55" s="3"/>
      <c r="Z55" s="3"/>
    </row>
    <row r="56" spans="1:26" ht="13.15" x14ac:dyDescent="0.4">
      <c r="A56" s="423"/>
      <c r="B56" s="423"/>
      <c r="C56" s="423"/>
      <c r="D56" s="423"/>
      <c r="E56" s="423"/>
      <c r="F56" s="423"/>
      <c r="G56" s="423"/>
      <c r="H56" s="423"/>
      <c r="I56" s="423"/>
      <c r="J56" s="423"/>
      <c r="K56" s="423"/>
      <c r="L56" s="423"/>
      <c r="M56" s="423"/>
      <c r="N56" s="423"/>
      <c r="O56" s="423"/>
      <c r="P56" s="423"/>
      <c r="Q56" s="423"/>
      <c r="R56" s="423"/>
      <c r="S56" s="423"/>
      <c r="T56" s="423"/>
      <c r="U56" s="3"/>
      <c r="V56" s="3"/>
      <c r="W56" s="3"/>
      <c r="X56" s="3"/>
      <c r="Y56" s="3"/>
      <c r="Z56" s="3"/>
    </row>
    <row r="57" spans="1:26" ht="13.15" x14ac:dyDescent="0.4">
      <c r="A57" s="423"/>
      <c r="B57" s="423"/>
      <c r="C57" s="423"/>
      <c r="D57" s="423"/>
      <c r="E57" s="423"/>
      <c r="F57" s="423"/>
      <c r="G57" s="423"/>
      <c r="H57" s="423"/>
      <c r="I57" s="423"/>
      <c r="J57" s="423"/>
      <c r="K57" s="423"/>
      <c r="L57" s="423"/>
      <c r="M57" s="423"/>
      <c r="N57" s="423"/>
      <c r="O57" s="423"/>
      <c r="P57" s="423"/>
      <c r="Q57" s="423"/>
      <c r="R57" s="423"/>
      <c r="S57" s="423"/>
      <c r="T57" s="423"/>
      <c r="U57" s="3"/>
      <c r="V57" s="3"/>
      <c r="W57" s="3"/>
      <c r="X57" s="3"/>
      <c r="Y57" s="3"/>
      <c r="Z57" s="3"/>
    </row>
    <row r="58" spans="1:26" ht="13.15" x14ac:dyDescent="0.4">
      <c r="A58" s="423"/>
      <c r="B58" s="423"/>
      <c r="C58" s="423"/>
      <c r="D58" s="423"/>
      <c r="E58" s="423"/>
      <c r="F58" s="423"/>
      <c r="G58" s="423"/>
      <c r="H58" s="423"/>
      <c r="I58" s="423"/>
      <c r="J58" s="423"/>
      <c r="K58" s="423"/>
      <c r="L58" s="423"/>
      <c r="M58" s="423"/>
      <c r="N58" s="423"/>
      <c r="O58" s="423"/>
      <c r="P58" s="423"/>
      <c r="Q58" s="423"/>
      <c r="R58" s="423"/>
      <c r="S58" s="423"/>
      <c r="T58" s="423"/>
      <c r="U58" s="3"/>
      <c r="V58" s="3"/>
      <c r="W58" s="3"/>
      <c r="X58" s="3"/>
      <c r="Y58" s="3"/>
      <c r="Z58" s="3"/>
    </row>
    <row r="59" spans="1:26" ht="13.15" x14ac:dyDescent="0.4">
      <c r="A59" s="423"/>
      <c r="B59" s="423"/>
      <c r="C59" s="423"/>
      <c r="D59" s="423"/>
      <c r="E59" s="423"/>
      <c r="F59" s="423"/>
      <c r="G59" s="423"/>
      <c r="H59" s="423"/>
      <c r="I59" s="423"/>
      <c r="J59" s="423"/>
      <c r="K59" s="423"/>
      <c r="L59" s="423"/>
      <c r="M59" s="423"/>
      <c r="N59" s="423"/>
      <c r="O59" s="423"/>
      <c r="P59" s="423"/>
      <c r="Q59" s="423"/>
      <c r="R59" s="423"/>
      <c r="S59" s="423"/>
      <c r="T59" s="423"/>
      <c r="U59" s="3"/>
      <c r="V59" s="3"/>
      <c r="W59" s="3"/>
      <c r="X59" s="3"/>
      <c r="Y59" s="3"/>
      <c r="Z59" s="3"/>
    </row>
    <row r="60" spans="1:26" ht="13.15" x14ac:dyDescent="0.4">
      <c r="A60" s="423"/>
      <c r="B60" s="423"/>
      <c r="C60" s="423"/>
      <c r="D60" s="423"/>
      <c r="E60" s="423"/>
      <c r="F60" s="423"/>
      <c r="G60" s="423"/>
      <c r="H60" s="423"/>
      <c r="I60" s="423"/>
      <c r="J60" s="423"/>
      <c r="K60" s="423"/>
      <c r="L60" s="423"/>
      <c r="M60" s="423"/>
      <c r="N60" s="423"/>
      <c r="O60" s="423"/>
      <c r="P60" s="423"/>
      <c r="Q60" s="423"/>
      <c r="R60" s="423"/>
      <c r="S60" s="423"/>
      <c r="T60" s="423"/>
      <c r="U60" s="3"/>
      <c r="V60" s="3"/>
      <c r="W60" s="3"/>
      <c r="X60" s="3"/>
      <c r="Y60" s="3"/>
      <c r="Z60" s="3"/>
    </row>
    <row r="61" spans="1:26" x14ac:dyDescent="0.3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x14ac:dyDescent="0.3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x14ac:dyDescent="0.3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x14ac:dyDescent="0.3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x14ac:dyDescent="0.3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x14ac:dyDescent="0.3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x14ac:dyDescent="0.3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x14ac:dyDescent="0.3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x14ac:dyDescent="0.3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x14ac:dyDescent="0.3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x14ac:dyDescent="0.3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x14ac:dyDescent="0.3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x14ac:dyDescent="0.3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x14ac:dyDescent="0.3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x14ac:dyDescent="0.3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x14ac:dyDescent="0.3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x14ac:dyDescent="0.3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x14ac:dyDescent="0.3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x14ac:dyDescent="0.3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x14ac:dyDescent="0.3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x14ac:dyDescent="0.3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x14ac:dyDescent="0.3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x14ac:dyDescent="0.3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x14ac:dyDescent="0.3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x14ac:dyDescent="0.3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x14ac:dyDescent="0.3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x14ac:dyDescent="0.3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x14ac:dyDescent="0.3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x14ac:dyDescent="0.3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x14ac:dyDescent="0.3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x14ac:dyDescent="0.3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x14ac:dyDescent="0.3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x14ac:dyDescent="0.3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x14ac:dyDescent="0.3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x14ac:dyDescent="0.3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x14ac:dyDescent="0.3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x14ac:dyDescent="0.3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x14ac:dyDescent="0.3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x14ac:dyDescent="0.3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x14ac:dyDescent="0.3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sheetData>
  <sheetProtection sheet="1" scenarios="1" sort="0" autoFilter="0"/>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8cb3bad-90df-40e3-9ac8-a127c82fcbd4"/>
    <lcf76f155ced4ddcb4097134ff3c332f xmlns="fc7f3e65-d8a1-4635-83e2-0277e4c3b77d">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B771640B107C340AE186BE528581A5E" ma:contentTypeVersion="16" ma:contentTypeDescription="Create a new document." ma:contentTypeScope="" ma:versionID="7db13f2cbb34e96fcc5869d9532f2a66">
  <xsd:schema xmlns:xsd="http://www.w3.org/2001/XMLSchema" xmlns:xs="http://www.w3.org/2001/XMLSchema" xmlns:p="http://schemas.microsoft.com/office/2006/metadata/properties" xmlns:ns2="fc7f3e65-d8a1-4635-83e2-0277e4c3b77d" xmlns:ns3="f8cb3bad-90df-40e3-9ac8-a127c82fcbd4" targetNamespace="http://schemas.microsoft.com/office/2006/metadata/properties" ma:root="true" ma:fieldsID="992817fa6ce50ea15398831a01c7a1c8" ns2:_="" ns3:_="">
    <xsd:import namespace="fc7f3e65-d8a1-4635-83e2-0277e4c3b77d"/>
    <xsd:import namespace="f8cb3bad-90df-40e3-9ac8-a127c82fcbd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7f3e65-d8a1-4635-83e2-0277e4c3b7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952f638-0634-4fbb-9f87-256e45311cd4"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8cb3bad-90df-40e3-9ac8-a127c82fcbd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330715e-a522-469d-9642-73d538c9fabe}" ma:internalName="TaxCatchAll" ma:showField="CatchAllData" ma:web="f8cb3bad-90df-40e3-9ac8-a127c82fcbd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F4A6FA4-F3C4-4EBF-88F7-F5B46BC21329}">
  <ds:schemaRefs>
    <ds:schemaRef ds:uri="http://schemas.openxmlformats.org/package/2006/metadata/core-properties"/>
    <ds:schemaRef ds:uri="http://www.w3.org/XML/1998/namespace"/>
    <ds:schemaRef ds:uri="http://schemas.microsoft.com/office/2006/metadata/properties"/>
    <ds:schemaRef ds:uri="http://schemas.microsoft.com/office/2006/documentManagement/types"/>
    <ds:schemaRef ds:uri="http://purl.org/dc/dcmitype/"/>
    <ds:schemaRef ds:uri="http://purl.org/dc/elements/1.1/"/>
    <ds:schemaRef ds:uri="http://purl.org/dc/terms/"/>
    <ds:schemaRef ds:uri="f8cb3bad-90df-40e3-9ac8-a127c82fcbd4"/>
    <ds:schemaRef ds:uri="http://schemas.microsoft.com/office/infopath/2007/PartnerControls"/>
    <ds:schemaRef ds:uri="fc7f3e65-d8a1-4635-83e2-0277e4c3b77d"/>
  </ds:schemaRefs>
</ds:datastoreItem>
</file>

<file path=customXml/itemProps2.xml><?xml version="1.0" encoding="utf-8"?>
<ds:datastoreItem xmlns:ds="http://schemas.openxmlformats.org/officeDocument/2006/customXml" ds:itemID="{80699F12-CFCA-4704-830C-E087682439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c7f3e65-d8a1-4635-83e2-0277e4c3b77d"/>
    <ds:schemaRef ds:uri="f8cb3bad-90df-40e3-9ac8-a127c82fcbd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24E3369-3C05-49C3-AC16-642919DDF7C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7</vt:i4>
      </vt:variant>
    </vt:vector>
  </HeadingPairs>
  <TitlesOfParts>
    <vt:vector size="19" baseType="lpstr">
      <vt:lpstr>Config</vt:lpstr>
      <vt:lpstr>complaints</vt:lpstr>
      <vt:lpstr>Sales</vt:lpstr>
      <vt:lpstr>Harms table</vt:lpstr>
      <vt:lpstr>Section D - Incidents</vt:lpstr>
      <vt:lpstr>Section H - FSCA</vt:lpstr>
      <vt:lpstr>Section I - CAPA</vt:lpstr>
      <vt:lpstr>Codes</vt:lpstr>
      <vt:lpstr>Complaint Rate</vt:lpstr>
      <vt:lpstr>sales tables</vt:lpstr>
      <vt:lpstr>Dashboard</vt:lpstr>
      <vt:lpstr>Charts (Light Mode)</vt:lpstr>
      <vt:lpstr>'sales tables'!_ftn3</vt:lpstr>
      <vt:lpstr>'sales tables'!_ftn4</vt:lpstr>
      <vt:lpstr>'sales tables'!_ftn5</vt:lpstr>
      <vt:lpstr>'Harms table'!_ftnref1</vt:lpstr>
      <vt:lpstr>'Harms table'!_ftnref2</vt:lpstr>
      <vt:lpstr>'sales tables'!_ftnref4</vt:lpstr>
      <vt:lpstr>'sales tables'!_ftnref5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Terence Musoni</dc:creator>
  <cp:lastModifiedBy>Terence Musoni</cp:lastModifiedBy>
  <dcterms:created xsi:type="dcterms:W3CDTF">2026-02-08T07:13:03Z</dcterms:created>
  <dcterms:modified xsi:type="dcterms:W3CDTF">2026-03-20T15:56:55Z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0x0101000B771640B107C340AE186BE528581A5E</vt:lpwstr>
  </property>
</Properties>
</file>